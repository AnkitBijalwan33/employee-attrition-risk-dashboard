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Validation" sheetId="2" state="visible" r:id="rId4"/>
    <sheet name="Risk Score" sheetId="3" state="visible" r:id="rId5"/>
    <sheet name="High Risk 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<sst xmlns="http://schemas.openxmlformats.org/spreadsheetml/2006/main" count="30929" uniqueCount="68">
  <si>
    <t xml:space="preserve">Age</t>
  </si>
  <si>
    <t xml:space="preserve">Attrition</t>
  </si>
  <si>
    <t xml:space="preserve">BusinessTravel</t>
  </si>
  <si>
    <t xml:space="preserve">Department</t>
  </si>
  <si>
    <t xml:space="preserve">DistanceFromHome</t>
  </si>
  <si>
    <t xml:space="preserve">Education</t>
  </si>
  <si>
    <t xml:space="preserve">EducationField</t>
  </si>
  <si>
    <t xml:space="preserve">EmployeeID</t>
  </si>
  <si>
    <t xml:space="preserve">Gender</t>
  </si>
  <si>
    <t xml:space="preserve">JobLevel</t>
  </si>
  <si>
    <t xml:space="preserve">JobRole</t>
  </si>
  <si>
    <t xml:space="preserve">MaritalStatus</t>
  </si>
  <si>
    <t xml:space="preserve">MonthlyIncome</t>
  </si>
  <si>
    <t xml:space="preserve">NumCompaniesWorked</t>
  </si>
  <si>
    <t xml:space="preserve">PercentSalaryHike</t>
  </si>
  <si>
    <t xml:space="preserve">StockOptionLevel</t>
  </si>
  <si>
    <t xml:space="preserve">TotalWorkingYears</t>
  </si>
  <si>
    <t xml:space="preserve">TrainingTimesLastYear</t>
  </si>
  <si>
    <t xml:space="preserve">YearsAtCompany</t>
  </si>
  <si>
    <t xml:space="preserve">YearsSinceLastPromotion</t>
  </si>
  <si>
    <t xml:space="preserve">YearsWithCurrManager</t>
  </si>
  <si>
    <t xml:space="preserve">EnvironmentSatisfaction</t>
  </si>
  <si>
    <t xml:space="preserve">JobSatisfaction</t>
  </si>
  <si>
    <t xml:space="preserve">WorkLifeBalance</t>
  </si>
  <si>
    <t xml:space="preserve">JobInvolvement</t>
  </si>
  <si>
    <t xml:space="preserve">PerformanceRating</t>
  </si>
  <si>
    <t xml:space="preserve">No</t>
  </si>
  <si>
    <t xml:space="preserve">Travel_Rarely</t>
  </si>
  <si>
    <t xml:space="preserve">Sales</t>
  </si>
  <si>
    <t xml:space="preserve">Life Sciences</t>
  </si>
  <si>
    <t xml:space="preserve">Female</t>
  </si>
  <si>
    <t xml:space="preserve">Healthcare Representative</t>
  </si>
  <si>
    <t xml:space="preserve">Married</t>
  </si>
  <si>
    <t xml:space="preserve">Yes</t>
  </si>
  <si>
    <t xml:space="preserve">Travel_Frequently</t>
  </si>
  <si>
    <t xml:space="preserve">Research &amp; Development</t>
  </si>
  <si>
    <t xml:space="preserve">Research Scientist</t>
  </si>
  <si>
    <t xml:space="preserve">Single</t>
  </si>
  <si>
    <t xml:space="preserve">Other</t>
  </si>
  <si>
    <t xml:space="preserve">Male</t>
  </si>
  <si>
    <t xml:space="preserve">Sales Executive</t>
  </si>
  <si>
    <t xml:space="preserve">Non-Travel</t>
  </si>
  <si>
    <t xml:space="preserve">Human Resources</t>
  </si>
  <si>
    <t xml:space="preserve">Medical</t>
  </si>
  <si>
    <t xml:space="preserve">Research Director</t>
  </si>
  <si>
    <t xml:space="preserve">Laboratory Technician</t>
  </si>
  <si>
    <t xml:space="preserve">Divorced</t>
  </si>
  <si>
    <t xml:space="preserve">Manufacturing Director</t>
  </si>
  <si>
    <t xml:space="preserve">Sales Representative</t>
  </si>
  <si>
    <t xml:space="preserve">Manager</t>
  </si>
  <si>
    <t xml:space="preserve">Marketing</t>
  </si>
  <si>
    <t xml:space="preserve">Technical Degree</t>
  </si>
  <si>
    <t xml:space="preserve">Data Validation</t>
  </si>
  <si>
    <t xml:space="preserve">Check</t>
  </si>
  <si>
    <t xml:space="preserve">Result</t>
  </si>
  <si>
    <t xml:space="preserve">Total employees</t>
  </si>
  <si>
    <t xml:space="preserve">Duplicate EmployeeID</t>
  </si>
  <si>
    <t xml:space="preserve">Missing Age</t>
  </si>
  <si>
    <t xml:space="preserve">Missing MonthlyIncome</t>
  </si>
  <si>
    <t xml:space="preserve">Missing JobSatisfaction</t>
  </si>
  <si>
    <t xml:space="preserve">Missing EnvironmentSatisfaction</t>
  </si>
  <si>
    <t xml:space="preserve">Min Age</t>
  </si>
  <si>
    <t xml:space="preserve">Max Age</t>
  </si>
  <si>
    <t xml:space="preserve">Attrition Yes count</t>
  </si>
  <si>
    <t xml:space="preserve">Attrition rate %</t>
  </si>
  <si>
    <t xml:space="preserve">Risk_Score</t>
  </si>
  <si>
    <t xml:space="preserve">Risk_Tier</t>
  </si>
  <si>
    <t xml:space="preserve">High Risk Employees, sorted by Risk Score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</si>
</sst>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4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true" outlineLevel="0" collapsed="false">
      <c r="A2" s="2" t="n">
        <v>51</v>
      </c>
      <c r="B2" s="2" t="s">
        <v>26</v>
      </c>
      <c r="C2" s="2" t="s">
        <v>27</v>
      </c>
      <c r="D2" s="2" t="s">
        <v>28</v>
      </c>
      <c r="E2" s="2" t="n">
        <v>6</v>
      </c>
      <c r="F2" s="2" t="n">
        <v>2</v>
      </c>
      <c r="G2" s="2" t="s">
        <v>29</v>
      </c>
      <c r="H2" s="2" t="n">
        <v>1</v>
      </c>
      <c r="I2" s="2" t="s">
        <v>30</v>
      </c>
      <c r="J2" s="2" t="n">
        <v>1</v>
      </c>
      <c r="K2" s="2" t="s">
        <v>31</v>
      </c>
      <c r="L2" s="2" t="s">
        <v>32</v>
      </c>
      <c r="M2" s="2" t="n">
        <v>131160</v>
      </c>
      <c r="N2" s="2" t="n">
        <v>1</v>
      </c>
      <c r="O2" s="2" t="n">
        <v>11</v>
      </c>
      <c r="P2" s="2" t="n">
        <v>0</v>
      </c>
      <c r="Q2" s="2" t="n">
        <v>1</v>
      </c>
      <c r="R2" s="2" t="n">
        <v>6</v>
      </c>
      <c r="S2" s="2" t="n">
        <v>1</v>
      </c>
      <c r="T2" s="2" t="n">
        <v>0</v>
      </c>
      <c r="U2" s="2" t="n">
        <v>0</v>
      </c>
      <c r="V2" s="2" t="n">
        <v>3</v>
      </c>
      <c r="W2" s="2" t="n">
        <v>4</v>
      </c>
      <c r="X2" s="2" t="n">
        <v>2</v>
      </c>
      <c r="Y2" s="2" t="n">
        <v>3</v>
      </c>
      <c r="Z2" s="2" t="n">
        <v>3</v>
      </c>
    </row>
    <row r="3" customFormat="false" ht="15" hidden="false" customHeight="true" outlineLevel="0" collapsed="false">
      <c r="A3" s="2" t="n">
        <v>31</v>
      </c>
      <c r="B3" s="2" t="s">
        <v>33</v>
      </c>
      <c r="C3" s="2" t="s">
        <v>34</v>
      </c>
      <c r="D3" s="2" t="s">
        <v>35</v>
      </c>
      <c r="E3" s="2" t="n">
        <v>10</v>
      </c>
      <c r="F3" s="2" t="n">
        <v>1</v>
      </c>
      <c r="G3" s="2" t="s">
        <v>29</v>
      </c>
      <c r="H3" s="2" t="n">
        <v>2</v>
      </c>
      <c r="I3" s="2" t="s">
        <v>30</v>
      </c>
      <c r="J3" s="2" t="n">
        <v>1</v>
      </c>
      <c r="K3" s="2" t="s">
        <v>36</v>
      </c>
      <c r="L3" s="2" t="s">
        <v>37</v>
      </c>
      <c r="M3" s="2" t="n">
        <v>41890</v>
      </c>
      <c r="N3" s="2" t="n">
        <v>0</v>
      </c>
      <c r="O3" s="2" t="n">
        <v>23</v>
      </c>
      <c r="P3" s="2" t="n">
        <v>1</v>
      </c>
      <c r="Q3" s="2" t="n">
        <v>6</v>
      </c>
      <c r="R3" s="2" t="n">
        <v>3</v>
      </c>
      <c r="S3" s="2" t="n">
        <v>5</v>
      </c>
      <c r="T3" s="2" t="n">
        <v>1</v>
      </c>
      <c r="U3" s="2" t="n">
        <v>4</v>
      </c>
      <c r="V3" s="2" t="n">
        <v>3</v>
      </c>
      <c r="W3" s="2" t="n">
        <v>2</v>
      </c>
      <c r="X3" s="2" t="n">
        <v>4</v>
      </c>
      <c r="Y3" s="2" t="n">
        <v>2</v>
      </c>
      <c r="Z3" s="2" t="n">
        <v>4</v>
      </c>
    </row>
    <row r="4" customFormat="false" ht="15" hidden="false" customHeight="true" outlineLevel="0" collapsed="false">
      <c r="A4" s="2" t="n">
        <v>32</v>
      </c>
      <c r="B4" s="2" t="s">
        <v>26</v>
      </c>
      <c r="C4" s="2" t="s">
        <v>34</v>
      </c>
      <c r="D4" s="2" t="s">
        <v>35</v>
      </c>
      <c r="E4" s="2" t="n">
        <v>17</v>
      </c>
      <c r="F4" s="2" t="n">
        <v>4</v>
      </c>
      <c r="G4" s="2" t="s">
        <v>38</v>
      </c>
      <c r="H4" s="2" t="n">
        <v>3</v>
      </c>
      <c r="I4" s="2" t="s">
        <v>39</v>
      </c>
      <c r="J4" s="2" t="n">
        <v>4</v>
      </c>
      <c r="K4" s="2" t="s">
        <v>40</v>
      </c>
      <c r="L4" s="2" t="s">
        <v>32</v>
      </c>
      <c r="M4" s="2" t="n">
        <v>193280</v>
      </c>
      <c r="N4" s="2" t="n">
        <v>1</v>
      </c>
      <c r="O4" s="2" t="n">
        <v>15</v>
      </c>
      <c r="P4" s="2" t="n">
        <v>3</v>
      </c>
      <c r="Q4" s="2" t="n">
        <v>5</v>
      </c>
      <c r="R4" s="2" t="n">
        <v>2</v>
      </c>
      <c r="S4" s="2" t="n">
        <v>5</v>
      </c>
      <c r="T4" s="2" t="n">
        <v>0</v>
      </c>
      <c r="U4" s="2" t="n">
        <v>3</v>
      </c>
      <c r="V4" s="2" t="n">
        <v>2</v>
      </c>
      <c r="W4" s="2" t="n">
        <v>2</v>
      </c>
      <c r="X4" s="2" t="n">
        <v>1</v>
      </c>
      <c r="Y4" s="2" t="n">
        <v>3</v>
      </c>
      <c r="Z4" s="2" t="n">
        <v>3</v>
      </c>
    </row>
    <row r="5" customFormat="false" ht="15" hidden="false" customHeight="true" outlineLevel="0" collapsed="false">
      <c r="A5" s="2" t="n">
        <v>38</v>
      </c>
      <c r="B5" s="2" t="s">
        <v>26</v>
      </c>
      <c r="C5" s="2" t="s">
        <v>41</v>
      </c>
      <c r="D5" s="2" t="s">
        <v>35</v>
      </c>
      <c r="E5" s="2" t="n">
        <v>2</v>
      </c>
      <c r="F5" s="2" t="n">
        <v>5</v>
      </c>
      <c r="G5" s="2" t="s">
        <v>29</v>
      </c>
      <c r="H5" s="2" t="n">
        <v>4</v>
      </c>
      <c r="I5" s="2" t="s">
        <v>39</v>
      </c>
      <c r="J5" s="2" t="n">
        <v>3</v>
      </c>
      <c r="K5" s="2" t="s">
        <v>42</v>
      </c>
      <c r="L5" s="2" t="s">
        <v>32</v>
      </c>
      <c r="M5" s="2" t="n">
        <v>83210</v>
      </c>
      <c r="N5" s="2" t="n">
        <v>3</v>
      </c>
      <c r="O5" s="2" t="n">
        <v>11</v>
      </c>
      <c r="P5" s="2" t="n">
        <v>3</v>
      </c>
      <c r="Q5" s="2" t="n">
        <v>13</v>
      </c>
      <c r="R5" s="2" t="n">
        <v>5</v>
      </c>
      <c r="S5" s="2" t="n">
        <v>8</v>
      </c>
      <c r="T5" s="2" t="n">
        <v>7</v>
      </c>
      <c r="U5" s="2" t="n">
        <v>5</v>
      </c>
      <c r="V5" s="2" t="n">
        <v>4</v>
      </c>
      <c r="W5" s="2" t="n">
        <v>4</v>
      </c>
      <c r="X5" s="2" t="n">
        <v>3</v>
      </c>
      <c r="Y5" s="2" t="n">
        <v>2</v>
      </c>
      <c r="Z5" s="2" t="n">
        <v>3</v>
      </c>
    </row>
    <row r="6" customFormat="false" ht="15" hidden="false" customHeight="true" outlineLevel="0" collapsed="false">
      <c r="A6" s="2" t="n">
        <v>32</v>
      </c>
      <c r="B6" s="2" t="s">
        <v>26</v>
      </c>
      <c r="C6" s="2" t="s">
        <v>27</v>
      </c>
      <c r="D6" s="2" t="s">
        <v>35</v>
      </c>
      <c r="E6" s="2" t="n">
        <v>10</v>
      </c>
      <c r="F6" s="2" t="n">
        <v>1</v>
      </c>
      <c r="G6" s="2" t="s">
        <v>43</v>
      </c>
      <c r="H6" s="2" t="n">
        <v>5</v>
      </c>
      <c r="I6" s="2" t="s">
        <v>39</v>
      </c>
      <c r="J6" s="2" t="n">
        <v>1</v>
      </c>
      <c r="K6" s="2" t="s">
        <v>40</v>
      </c>
      <c r="L6" s="2" t="s">
        <v>37</v>
      </c>
      <c r="M6" s="2" t="n">
        <v>23420</v>
      </c>
      <c r="N6" s="2" t="n">
        <v>4</v>
      </c>
      <c r="O6" s="2" t="n">
        <v>12</v>
      </c>
      <c r="P6" s="2" t="n">
        <v>2</v>
      </c>
      <c r="Q6" s="2" t="n">
        <v>9</v>
      </c>
      <c r="R6" s="2" t="n">
        <v>2</v>
      </c>
      <c r="S6" s="2" t="n">
        <v>6</v>
      </c>
      <c r="T6" s="2" t="n">
        <v>0</v>
      </c>
      <c r="U6" s="2" t="n">
        <v>4</v>
      </c>
      <c r="V6" s="2" t="n">
        <v>4</v>
      </c>
      <c r="W6" s="2" t="n">
        <v>1</v>
      </c>
      <c r="X6" s="2" t="n">
        <v>3</v>
      </c>
      <c r="Y6" s="2" t="n">
        <v>3</v>
      </c>
      <c r="Z6" s="2" t="n">
        <v>3</v>
      </c>
    </row>
    <row r="7" customFormat="false" ht="15" hidden="false" customHeight="true" outlineLevel="0" collapsed="false">
      <c r="A7" s="2" t="n">
        <v>46</v>
      </c>
      <c r="B7" s="2" t="s">
        <v>26</v>
      </c>
      <c r="C7" s="2" t="s">
        <v>27</v>
      </c>
      <c r="D7" s="2" t="s">
        <v>35</v>
      </c>
      <c r="E7" s="2" t="n">
        <v>8</v>
      </c>
      <c r="F7" s="2" t="n">
        <v>3</v>
      </c>
      <c r="G7" s="2" t="s">
        <v>29</v>
      </c>
      <c r="H7" s="2" t="n">
        <v>6</v>
      </c>
      <c r="I7" s="2" t="s">
        <v>30</v>
      </c>
      <c r="J7" s="2" t="n">
        <v>4</v>
      </c>
      <c r="K7" s="2" t="s">
        <v>44</v>
      </c>
      <c r="L7" s="2" t="s">
        <v>32</v>
      </c>
      <c r="M7" s="2" t="n">
        <v>40710</v>
      </c>
      <c r="N7" s="2" t="n">
        <v>3</v>
      </c>
      <c r="O7" s="2" t="n">
        <v>13</v>
      </c>
      <c r="P7" s="2" t="n">
        <v>0</v>
      </c>
      <c r="Q7" s="2" t="n">
        <v>28</v>
      </c>
      <c r="R7" s="2" t="n">
        <v>5</v>
      </c>
      <c r="S7" s="2" t="n">
        <v>7</v>
      </c>
      <c r="T7" s="2" t="n">
        <v>7</v>
      </c>
      <c r="U7" s="2" t="n">
        <v>7</v>
      </c>
      <c r="V7" s="2" t="n">
        <v>3</v>
      </c>
      <c r="W7" s="2" t="n">
        <v>2</v>
      </c>
      <c r="X7" s="2" t="n">
        <v>2</v>
      </c>
      <c r="Y7" s="2" t="n">
        <v>3</v>
      </c>
      <c r="Z7" s="2" t="n">
        <v>3</v>
      </c>
    </row>
    <row r="8" customFormat="false" ht="15" hidden="false" customHeight="true" outlineLevel="0" collapsed="false">
      <c r="A8" s="2" t="n">
        <v>28</v>
      </c>
      <c r="B8" s="2" t="s">
        <v>33</v>
      </c>
      <c r="C8" s="2" t="s">
        <v>27</v>
      </c>
      <c r="D8" s="2" t="s">
        <v>35</v>
      </c>
      <c r="E8" s="2" t="n">
        <v>11</v>
      </c>
      <c r="F8" s="2" t="n">
        <v>2</v>
      </c>
      <c r="G8" s="2" t="s">
        <v>43</v>
      </c>
      <c r="H8" s="2" t="n">
        <v>7</v>
      </c>
      <c r="I8" s="2" t="s">
        <v>39</v>
      </c>
      <c r="J8" s="2" t="n">
        <v>2</v>
      </c>
      <c r="K8" s="2" t="s">
        <v>40</v>
      </c>
      <c r="L8" s="2" t="s">
        <v>37</v>
      </c>
      <c r="M8" s="2" t="n">
        <v>58130</v>
      </c>
      <c r="N8" s="2" t="n">
        <v>2</v>
      </c>
      <c r="O8" s="2" t="n">
        <v>20</v>
      </c>
      <c r="P8" s="2" t="n">
        <v>1</v>
      </c>
      <c r="Q8" s="2" t="n">
        <v>5</v>
      </c>
      <c r="R8" s="2" t="n">
        <v>2</v>
      </c>
      <c r="S8" s="2" t="n">
        <v>0</v>
      </c>
      <c r="T8" s="2" t="n">
        <v>0</v>
      </c>
      <c r="U8" s="2" t="n">
        <v>0</v>
      </c>
      <c r="V8" s="2" t="n">
        <v>1</v>
      </c>
      <c r="W8" s="2" t="n">
        <v>3</v>
      </c>
      <c r="X8" s="2" t="n">
        <v>1</v>
      </c>
      <c r="Y8" s="2" t="n">
        <v>3</v>
      </c>
      <c r="Z8" s="2" t="n">
        <v>4</v>
      </c>
    </row>
    <row r="9" customFormat="false" ht="15" hidden="false" customHeight="true" outlineLevel="0" collapsed="false">
      <c r="A9" s="2" t="n">
        <v>29</v>
      </c>
      <c r="B9" s="2" t="s">
        <v>26</v>
      </c>
      <c r="C9" s="2" t="s">
        <v>27</v>
      </c>
      <c r="D9" s="2" t="s">
        <v>35</v>
      </c>
      <c r="E9" s="2" t="n">
        <v>18</v>
      </c>
      <c r="F9" s="2" t="n">
        <v>3</v>
      </c>
      <c r="G9" s="2" t="s">
        <v>29</v>
      </c>
      <c r="H9" s="2" t="n">
        <v>8</v>
      </c>
      <c r="I9" s="2" t="s">
        <v>39</v>
      </c>
      <c r="J9" s="2" t="n">
        <v>2</v>
      </c>
      <c r="K9" s="2" t="s">
        <v>40</v>
      </c>
      <c r="L9" s="2" t="s">
        <v>32</v>
      </c>
      <c r="M9" s="2" t="n">
        <v>31430</v>
      </c>
      <c r="N9" s="2" t="n">
        <v>2</v>
      </c>
      <c r="O9" s="2" t="n">
        <v>22</v>
      </c>
      <c r="P9" s="2" t="n">
        <v>3</v>
      </c>
      <c r="Q9" s="2" t="n">
        <v>10</v>
      </c>
      <c r="R9" s="2" t="n">
        <v>2</v>
      </c>
      <c r="S9" s="2" t="n">
        <v>0</v>
      </c>
      <c r="T9" s="2" t="n">
        <v>0</v>
      </c>
      <c r="U9" s="2" t="n">
        <v>0</v>
      </c>
      <c r="V9" s="2" t="n">
        <v>1</v>
      </c>
      <c r="W9" s="2" t="n">
        <v>2</v>
      </c>
      <c r="X9" s="2" t="n">
        <v>3</v>
      </c>
      <c r="Y9" s="2" t="n">
        <v>3</v>
      </c>
      <c r="Z9" s="2" t="n">
        <v>4</v>
      </c>
    </row>
    <row r="10" customFormat="false" ht="15" hidden="false" customHeight="true" outlineLevel="0" collapsed="false">
      <c r="A10" s="2" t="n">
        <v>31</v>
      </c>
      <c r="B10" s="2" t="s">
        <v>26</v>
      </c>
      <c r="C10" s="2" t="s">
        <v>27</v>
      </c>
      <c r="D10" s="2" t="s">
        <v>35</v>
      </c>
      <c r="E10" s="2" t="n">
        <v>1</v>
      </c>
      <c r="F10" s="2" t="n">
        <v>3</v>
      </c>
      <c r="G10" s="2" t="s">
        <v>29</v>
      </c>
      <c r="H10" s="2" t="n">
        <v>9</v>
      </c>
      <c r="I10" s="2" t="s">
        <v>39</v>
      </c>
      <c r="J10" s="2" t="n">
        <v>3</v>
      </c>
      <c r="K10" s="2" t="s">
        <v>45</v>
      </c>
      <c r="L10" s="2" t="s">
        <v>32</v>
      </c>
      <c r="M10" s="2" t="n">
        <v>20440</v>
      </c>
      <c r="N10" s="2" t="n">
        <v>0</v>
      </c>
      <c r="O10" s="2" t="n">
        <v>21</v>
      </c>
      <c r="P10" s="2" t="n">
        <v>0</v>
      </c>
      <c r="Q10" s="2" t="n">
        <v>10</v>
      </c>
      <c r="R10" s="2" t="n">
        <v>2</v>
      </c>
      <c r="S10" s="2" t="n">
        <v>9</v>
      </c>
      <c r="T10" s="2" t="n">
        <v>7</v>
      </c>
      <c r="U10" s="2" t="n">
        <v>8</v>
      </c>
      <c r="V10" s="2" t="n">
        <v>2</v>
      </c>
      <c r="W10" s="2" t="n">
        <v>4</v>
      </c>
      <c r="X10" s="2" t="n">
        <v>3</v>
      </c>
      <c r="Y10" s="2" t="n">
        <v>3</v>
      </c>
      <c r="Z10" s="2" t="n">
        <v>4</v>
      </c>
    </row>
    <row r="11" customFormat="false" ht="15" hidden="false" customHeight="true" outlineLevel="0" collapsed="false">
      <c r="A11" s="2" t="n">
        <v>25</v>
      </c>
      <c r="B11" s="2" t="s">
        <v>26</v>
      </c>
      <c r="C11" s="2" t="s">
        <v>41</v>
      </c>
      <c r="D11" s="2" t="s">
        <v>35</v>
      </c>
      <c r="E11" s="2" t="n">
        <v>7</v>
      </c>
      <c r="F11" s="2" t="n">
        <v>4</v>
      </c>
      <c r="G11" s="2" t="s">
        <v>43</v>
      </c>
      <c r="H11" s="2" t="n">
        <v>10</v>
      </c>
      <c r="I11" s="2" t="s">
        <v>30</v>
      </c>
      <c r="J11" s="2" t="n">
        <v>4</v>
      </c>
      <c r="K11" s="2" t="s">
        <v>45</v>
      </c>
      <c r="L11" s="2" t="s">
        <v>46</v>
      </c>
      <c r="M11" s="2" t="n">
        <v>134640</v>
      </c>
      <c r="N11" s="2" t="n">
        <v>1</v>
      </c>
      <c r="O11" s="2" t="n">
        <v>13</v>
      </c>
      <c r="P11" s="2" t="n">
        <v>1</v>
      </c>
      <c r="Q11" s="2" t="n">
        <v>6</v>
      </c>
      <c r="R11" s="2" t="n">
        <v>2</v>
      </c>
      <c r="S11" s="2" t="n">
        <v>6</v>
      </c>
      <c r="T11" s="2" t="n">
        <v>1</v>
      </c>
      <c r="U11" s="2" t="n">
        <v>5</v>
      </c>
      <c r="V11" s="2" t="n">
        <v>2</v>
      </c>
      <c r="W11" s="2" t="n">
        <v>1</v>
      </c>
      <c r="X11" s="2" t="n">
        <v>3</v>
      </c>
      <c r="Y11" s="2" t="n">
        <v>3</v>
      </c>
      <c r="Z11" s="2" t="n">
        <v>3</v>
      </c>
    </row>
    <row r="12" customFormat="false" ht="15" hidden="false" customHeight="true" outlineLevel="0" collapsed="false">
      <c r="A12" s="2" t="n">
        <v>45</v>
      </c>
      <c r="B12" s="2" t="s">
        <v>26</v>
      </c>
      <c r="C12" s="2" t="s">
        <v>27</v>
      </c>
      <c r="D12" s="2" t="s">
        <v>35</v>
      </c>
      <c r="E12" s="2" t="n">
        <v>17</v>
      </c>
      <c r="F12" s="2" t="n">
        <v>2</v>
      </c>
      <c r="G12" s="2" t="s">
        <v>43</v>
      </c>
      <c r="H12" s="2" t="n">
        <v>11</v>
      </c>
      <c r="I12" s="2" t="s">
        <v>39</v>
      </c>
      <c r="J12" s="2" t="n">
        <v>2</v>
      </c>
      <c r="K12" s="2" t="s">
        <v>45</v>
      </c>
      <c r="L12" s="2" t="s">
        <v>32</v>
      </c>
      <c r="M12" s="2" t="n">
        <v>79910</v>
      </c>
      <c r="N12" s="2" t="n">
        <v>0</v>
      </c>
      <c r="O12" s="2" t="n">
        <v>13</v>
      </c>
      <c r="P12" s="2" t="n">
        <v>2</v>
      </c>
      <c r="Q12" s="2" t="n">
        <v>21</v>
      </c>
      <c r="R12" s="2" t="n">
        <v>2</v>
      </c>
      <c r="S12" s="2" t="n">
        <v>20</v>
      </c>
      <c r="T12" s="2" t="n">
        <v>4</v>
      </c>
      <c r="U12" s="2" t="n">
        <v>10</v>
      </c>
      <c r="V12" s="2" t="n">
        <v>3</v>
      </c>
      <c r="W12" s="2" t="n">
        <v>4</v>
      </c>
      <c r="X12" s="2" t="n">
        <v>3</v>
      </c>
      <c r="Y12" s="2" t="n">
        <v>2</v>
      </c>
      <c r="Z12" s="2" t="n">
        <v>3</v>
      </c>
    </row>
    <row r="13" customFormat="false" ht="15" hidden="false" customHeight="true" outlineLevel="0" collapsed="false">
      <c r="A13" s="2" t="n">
        <v>36</v>
      </c>
      <c r="B13" s="2" t="s">
        <v>26</v>
      </c>
      <c r="C13" s="2" t="s">
        <v>27</v>
      </c>
      <c r="D13" s="2" t="s">
        <v>35</v>
      </c>
      <c r="E13" s="2" t="n">
        <v>28</v>
      </c>
      <c r="F13" s="2" t="n">
        <v>1</v>
      </c>
      <c r="G13" s="2" t="s">
        <v>29</v>
      </c>
      <c r="H13" s="2" t="n">
        <v>12</v>
      </c>
      <c r="I13" s="2" t="s">
        <v>39</v>
      </c>
      <c r="J13" s="2" t="n">
        <v>1</v>
      </c>
      <c r="K13" s="2" t="s">
        <v>45</v>
      </c>
      <c r="L13" s="2" t="s">
        <v>32</v>
      </c>
      <c r="M13" s="2" t="n">
        <v>33770</v>
      </c>
      <c r="N13" s="2" t="n">
        <v>0</v>
      </c>
      <c r="O13" s="2" t="n">
        <v>12</v>
      </c>
      <c r="P13" s="2" t="n">
        <v>2</v>
      </c>
      <c r="Q13" s="2" t="n">
        <v>16</v>
      </c>
      <c r="R13" s="2" t="n">
        <v>2</v>
      </c>
      <c r="S13" s="2" t="n">
        <v>15</v>
      </c>
      <c r="T13" s="2" t="n">
        <v>10</v>
      </c>
      <c r="U13" s="2" t="n">
        <v>11</v>
      </c>
      <c r="V13" s="2"/>
      <c r="W13" s="2" t="n">
        <v>4</v>
      </c>
      <c r="X13" s="2" t="n">
        <v>3</v>
      </c>
      <c r="Y13" s="2" t="n">
        <v>3</v>
      </c>
      <c r="Z13" s="2" t="n">
        <v>3</v>
      </c>
    </row>
    <row r="14" customFormat="false" ht="15" hidden="false" customHeight="true" outlineLevel="0" collapsed="false">
      <c r="A14" s="2" t="n">
        <v>55</v>
      </c>
      <c r="B14" s="2" t="s">
        <v>26</v>
      </c>
      <c r="C14" s="2" t="s">
        <v>27</v>
      </c>
      <c r="D14" s="2" t="s">
        <v>35</v>
      </c>
      <c r="E14" s="2" t="n">
        <v>14</v>
      </c>
      <c r="F14" s="2" t="n">
        <v>4</v>
      </c>
      <c r="G14" s="2" t="s">
        <v>29</v>
      </c>
      <c r="H14" s="2" t="n">
        <v>13</v>
      </c>
      <c r="I14" s="2" t="s">
        <v>30</v>
      </c>
      <c r="J14" s="2" t="n">
        <v>1</v>
      </c>
      <c r="K14" s="2" t="s">
        <v>40</v>
      </c>
      <c r="L14" s="2" t="s">
        <v>37</v>
      </c>
      <c r="M14" s="2" t="n">
        <v>55380</v>
      </c>
      <c r="N14" s="2" t="n">
        <v>0</v>
      </c>
      <c r="O14" s="2" t="n">
        <v>17</v>
      </c>
      <c r="P14" s="2" t="n">
        <v>0</v>
      </c>
      <c r="Q14" s="2" t="n">
        <v>37</v>
      </c>
      <c r="R14" s="2" t="n">
        <v>2</v>
      </c>
      <c r="S14" s="2" t="n">
        <v>36</v>
      </c>
      <c r="T14" s="2" t="n">
        <v>4</v>
      </c>
      <c r="U14" s="2" t="n">
        <v>13</v>
      </c>
      <c r="V14" s="2" t="n">
        <v>4</v>
      </c>
      <c r="W14" s="2" t="n">
        <v>1</v>
      </c>
      <c r="X14" s="2" t="n">
        <v>3</v>
      </c>
      <c r="Y14" s="2" t="n">
        <v>3</v>
      </c>
      <c r="Z14" s="2" t="n">
        <v>3</v>
      </c>
    </row>
    <row r="15" customFormat="false" ht="15" hidden="false" customHeight="true" outlineLevel="0" collapsed="false">
      <c r="A15" s="2" t="n">
        <v>47</v>
      </c>
      <c r="B15" s="2" t="s">
        <v>33</v>
      </c>
      <c r="C15" s="2" t="s">
        <v>41</v>
      </c>
      <c r="D15" s="2" t="s">
        <v>35</v>
      </c>
      <c r="E15" s="2" t="n">
        <v>1</v>
      </c>
      <c r="F15" s="2" t="n">
        <v>1</v>
      </c>
      <c r="G15" s="2" t="s">
        <v>43</v>
      </c>
      <c r="H15" s="2" t="n">
        <v>14</v>
      </c>
      <c r="I15" s="2" t="s">
        <v>39</v>
      </c>
      <c r="J15" s="2" t="n">
        <v>1</v>
      </c>
      <c r="K15" s="2" t="s">
        <v>36</v>
      </c>
      <c r="L15" s="2" t="s">
        <v>32</v>
      </c>
      <c r="M15" s="2" t="n">
        <v>57620</v>
      </c>
      <c r="N15" s="2" t="n">
        <v>1</v>
      </c>
      <c r="O15" s="2" t="n">
        <v>11</v>
      </c>
      <c r="P15" s="2" t="n">
        <v>2</v>
      </c>
      <c r="Q15" s="2" t="n">
        <v>10</v>
      </c>
      <c r="R15" s="2" t="n">
        <v>4</v>
      </c>
      <c r="S15" s="2" t="n">
        <v>10</v>
      </c>
      <c r="T15" s="2" t="n">
        <v>9</v>
      </c>
      <c r="U15" s="2" t="n">
        <v>9</v>
      </c>
      <c r="V15" s="2" t="n">
        <v>1</v>
      </c>
      <c r="W15" s="2" t="n">
        <v>2</v>
      </c>
      <c r="X15" s="2" t="n">
        <v>2</v>
      </c>
      <c r="Y15" s="2" t="n">
        <v>2</v>
      </c>
      <c r="Z15" s="2" t="n">
        <v>3</v>
      </c>
    </row>
    <row r="16" customFormat="false" ht="15" hidden="false" customHeight="true" outlineLevel="0" collapsed="false">
      <c r="A16" s="2" t="n">
        <v>28</v>
      </c>
      <c r="B16" s="2" t="s">
        <v>26</v>
      </c>
      <c r="C16" s="2" t="s">
        <v>27</v>
      </c>
      <c r="D16" s="2" t="s">
        <v>35</v>
      </c>
      <c r="E16" s="2" t="n">
        <v>1</v>
      </c>
      <c r="F16" s="2" t="n">
        <v>3</v>
      </c>
      <c r="G16" s="2" t="s">
        <v>29</v>
      </c>
      <c r="H16" s="2" t="n">
        <v>15</v>
      </c>
      <c r="I16" s="2" t="s">
        <v>39</v>
      </c>
      <c r="J16" s="2" t="n">
        <v>1</v>
      </c>
      <c r="K16" s="2" t="s">
        <v>47</v>
      </c>
      <c r="L16" s="2" t="s">
        <v>32</v>
      </c>
      <c r="M16" s="2" t="n">
        <v>25920</v>
      </c>
      <c r="N16" s="2" t="n">
        <v>1</v>
      </c>
      <c r="O16" s="2" t="n">
        <v>14</v>
      </c>
      <c r="P16" s="2" t="n">
        <v>0</v>
      </c>
      <c r="Q16" s="2" t="n">
        <v>5</v>
      </c>
      <c r="R16" s="2" t="n">
        <v>2</v>
      </c>
      <c r="S16" s="2" t="n">
        <v>5</v>
      </c>
      <c r="T16" s="2" t="n">
        <v>0</v>
      </c>
      <c r="U16" s="2" t="n">
        <v>4</v>
      </c>
      <c r="V16" s="2" t="n">
        <v>4</v>
      </c>
      <c r="W16" s="2" t="n">
        <v>4</v>
      </c>
      <c r="X16" s="2" t="n">
        <v>2</v>
      </c>
      <c r="Y16" s="2" t="n">
        <v>3</v>
      </c>
      <c r="Z16" s="2" t="n">
        <v>3</v>
      </c>
    </row>
    <row r="17" customFormat="false" ht="15" hidden="false" customHeight="true" outlineLevel="0" collapsed="false">
      <c r="A17" s="2" t="n">
        <v>37</v>
      </c>
      <c r="B17" s="2" t="s">
        <v>26</v>
      </c>
      <c r="C17" s="2" t="s">
        <v>27</v>
      </c>
      <c r="D17" s="2" t="s">
        <v>35</v>
      </c>
      <c r="E17" s="2" t="n">
        <v>1</v>
      </c>
      <c r="F17" s="2" t="n">
        <v>3</v>
      </c>
      <c r="G17" s="2" t="s">
        <v>29</v>
      </c>
      <c r="H17" s="2" t="n">
        <v>16</v>
      </c>
      <c r="I17" s="2" t="s">
        <v>39</v>
      </c>
      <c r="J17" s="2" t="n">
        <v>2</v>
      </c>
      <c r="K17" s="2" t="s">
        <v>31</v>
      </c>
      <c r="L17" s="2" t="s">
        <v>32</v>
      </c>
      <c r="M17" s="2" t="n">
        <v>53460</v>
      </c>
      <c r="N17" s="2" t="n">
        <v>4</v>
      </c>
      <c r="O17" s="2" t="n">
        <v>11</v>
      </c>
      <c r="P17" s="2" t="n">
        <v>0</v>
      </c>
      <c r="Q17" s="2" t="n">
        <v>7</v>
      </c>
      <c r="R17" s="2" t="n">
        <v>2</v>
      </c>
      <c r="S17" s="2" t="n">
        <v>5</v>
      </c>
      <c r="T17" s="2" t="n">
        <v>0</v>
      </c>
      <c r="U17" s="2" t="n">
        <v>1</v>
      </c>
      <c r="V17" s="2" t="n">
        <v>3</v>
      </c>
      <c r="W17" s="2" t="n">
        <v>4</v>
      </c>
      <c r="X17" s="2" t="n">
        <v>4</v>
      </c>
      <c r="Y17" s="2" t="n">
        <v>3</v>
      </c>
      <c r="Z17" s="2" t="n">
        <v>3</v>
      </c>
    </row>
    <row r="18" customFormat="false" ht="15" hidden="false" customHeight="true" outlineLevel="0" collapsed="false">
      <c r="A18" s="2" t="n">
        <v>21</v>
      </c>
      <c r="B18" s="2" t="s">
        <v>26</v>
      </c>
      <c r="C18" s="2" t="s">
        <v>27</v>
      </c>
      <c r="D18" s="2" t="s">
        <v>35</v>
      </c>
      <c r="E18" s="2" t="n">
        <v>3</v>
      </c>
      <c r="F18" s="2" t="n">
        <v>2</v>
      </c>
      <c r="G18" s="2" t="s">
        <v>29</v>
      </c>
      <c r="H18" s="2" t="n">
        <v>17</v>
      </c>
      <c r="I18" s="2" t="s">
        <v>39</v>
      </c>
      <c r="J18" s="2" t="n">
        <v>1</v>
      </c>
      <c r="K18" s="2" t="s">
        <v>45</v>
      </c>
      <c r="L18" s="2" t="s">
        <v>37</v>
      </c>
      <c r="M18" s="2" t="n">
        <v>42130</v>
      </c>
      <c r="N18" s="2" t="n">
        <v>1</v>
      </c>
      <c r="O18" s="2" t="n">
        <v>12</v>
      </c>
      <c r="P18" s="2" t="n">
        <v>3</v>
      </c>
      <c r="Q18" s="2" t="n">
        <v>3</v>
      </c>
      <c r="R18" s="2" t="n">
        <v>3</v>
      </c>
      <c r="S18" s="2" t="n">
        <v>3</v>
      </c>
      <c r="T18" s="2" t="n">
        <v>1</v>
      </c>
      <c r="U18" s="2" t="n">
        <v>0</v>
      </c>
      <c r="V18" s="2" t="n">
        <v>4</v>
      </c>
      <c r="W18" s="2" t="n">
        <v>3</v>
      </c>
      <c r="X18" s="2" t="n">
        <v>4</v>
      </c>
      <c r="Y18" s="2" t="n">
        <v>2</v>
      </c>
      <c r="Z18" s="2" t="n">
        <v>3</v>
      </c>
    </row>
    <row r="19" customFormat="false" ht="15" hidden="false" customHeight="true" outlineLevel="0" collapsed="false">
      <c r="A19" s="2" t="n">
        <v>37</v>
      </c>
      <c r="B19" s="2" t="s">
        <v>26</v>
      </c>
      <c r="C19" s="2" t="s">
        <v>41</v>
      </c>
      <c r="D19" s="2" t="s">
        <v>35</v>
      </c>
      <c r="E19" s="2" t="n">
        <v>1</v>
      </c>
      <c r="F19" s="2" t="n">
        <v>3</v>
      </c>
      <c r="G19" s="2" t="s">
        <v>43</v>
      </c>
      <c r="H19" s="2" t="n">
        <v>18</v>
      </c>
      <c r="I19" s="2" t="s">
        <v>39</v>
      </c>
      <c r="J19" s="2" t="n">
        <v>2</v>
      </c>
      <c r="K19" s="2" t="s">
        <v>40</v>
      </c>
      <c r="L19" s="2" t="s">
        <v>46</v>
      </c>
      <c r="M19" s="2" t="n">
        <v>41270</v>
      </c>
      <c r="N19" s="2" t="n">
        <v>2</v>
      </c>
      <c r="O19" s="2" t="n">
        <v>13</v>
      </c>
      <c r="P19" s="2" t="n">
        <v>1</v>
      </c>
      <c r="Q19" s="2" t="n">
        <v>15</v>
      </c>
      <c r="R19" s="2" t="n">
        <v>2</v>
      </c>
      <c r="S19" s="2" t="n">
        <v>5</v>
      </c>
      <c r="T19" s="2" t="n">
        <v>0</v>
      </c>
      <c r="U19" s="2" t="n">
        <v>2</v>
      </c>
      <c r="V19" s="2" t="n">
        <v>1</v>
      </c>
      <c r="W19" s="2" t="n">
        <v>4</v>
      </c>
      <c r="X19" s="2" t="n">
        <v>3</v>
      </c>
      <c r="Y19" s="2" t="n">
        <v>3</v>
      </c>
      <c r="Z19" s="2" t="n">
        <v>3</v>
      </c>
    </row>
    <row r="20" customFormat="false" ht="15" hidden="false" customHeight="true" outlineLevel="0" collapsed="false">
      <c r="A20" s="2" t="n">
        <v>35</v>
      </c>
      <c r="B20" s="2" t="s">
        <v>26</v>
      </c>
      <c r="C20" s="2" t="s">
        <v>27</v>
      </c>
      <c r="D20" s="2" t="s">
        <v>28</v>
      </c>
      <c r="E20" s="2" t="n">
        <v>7</v>
      </c>
      <c r="F20" s="2" t="n">
        <v>4</v>
      </c>
      <c r="G20" s="2" t="s">
        <v>29</v>
      </c>
      <c r="H20" s="2" t="n">
        <v>19</v>
      </c>
      <c r="I20" s="2" t="s">
        <v>39</v>
      </c>
      <c r="J20" s="2" t="n">
        <v>1</v>
      </c>
      <c r="K20" s="2" t="s">
        <v>48</v>
      </c>
      <c r="L20" s="2" t="s">
        <v>46</v>
      </c>
      <c r="M20" s="2" t="n">
        <v>24380</v>
      </c>
      <c r="N20" s="2" t="n">
        <v>7</v>
      </c>
      <c r="O20" s="2" t="n">
        <v>16</v>
      </c>
      <c r="P20" s="2" t="n">
        <v>0</v>
      </c>
      <c r="Q20" s="2" t="n">
        <v>10</v>
      </c>
      <c r="R20" s="2" t="n">
        <v>5</v>
      </c>
      <c r="S20" s="2" t="n">
        <v>7</v>
      </c>
      <c r="T20" s="2" t="n">
        <v>6</v>
      </c>
      <c r="U20" s="2" t="n">
        <v>2</v>
      </c>
      <c r="V20" s="2" t="n">
        <v>2</v>
      </c>
      <c r="W20" s="2" t="n">
        <v>2</v>
      </c>
      <c r="X20" s="2" t="n">
        <v>2</v>
      </c>
      <c r="Y20" s="2" t="n">
        <v>2</v>
      </c>
      <c r="Z20" s="2" t="n">
        <v>3</v>
      </c>
    </row>
    <row r="21" customFormat="false" ht="15" hidden="false" customHeight="true" outlineLevel="0" collapsed="false">
      <c r="A21" s="2" t="n">
        <v>38</v>
      </c>
      <c r="B21" s="2" t="s">
        <v>26</v>
      </c>
      <c r="C21" s="2" t="s">
        <v>27</v>
      </c>
      <c r="D21" s="2" t="s">
        <v>35</v>
      </c>
      <c r="E21" s="2" t="n">
        <v>8</v>
      </c>
      <c r="F21" s="2" t="n">
        <v>3</v>
      </c>
      <c r="G21" s="2" t="s">
        <v>29</v>
      </c>
      <c r="H21" s="2" t="n">
        <v>20</v>
      </c>
      <c r="I21" s="2" t="s">
        <v>30</v>
      </c>
      <c r="J21" s="2" t="n">
        <v>1</v>
      </c>
      <c r="K21" s="2" t="s">
        <v>49</v>
      </c>
      <c r="L21" s="2" t="s">
        <v>46</v>
      </c>
      <c r="M21" s="2" t="n">
        <v>68700</v>
      </c>
      <c r="N21" s="2" t="n">
        <v>1</v>
      </c>
      <c r="O21" s="2" t="n">
        <v>11</v>
      </c>
      <c r="P21" s="2" t="n">
        <v>1</v>
      </c>
      <c r="Q21" s="2" t="n">
        <v>8</v>
      </c>
      <c r="R21" s="2" t="n">
        <v>5</v>
      </c>
      <c r="S21" s="2" t="n">
        <v>8</v>
      </c>
      <c r="T21" s="2" t="n">
        <v>7</v>
      </c>
      <c r="U21" s="2" t="n">
        <v>7</v>
      </c>
      <c r="V21" s="2" t="n">
        <v>1</v>
      </c>
      <c r="W21" s="2" t="n">
        <v>1</v>
      </c>
      <c r="X21" s="2" t="n">
        <v>3</v>
      </c>
      <c r="Y21" s="2" t="n">
        <v>3</v>
      </c>
      <c r="Z21" s="2" t="n">
        <v>3</v>
      </c>
    </row>
    <row r="22" customFormat="false" ht="15" hidden="false" customHeight="true" outlineLevel="0" collapsed="false">
      <c r="A22" s="2" t="n">
        <v>26</v>
      </c>
      <c r="B22" s="2" t="s">
        <v>26</v>
      </c>
      <c r="C22" s="2" t="s">
        <v>34</v>
      </c>
      <c r="D22" s="2" t="s">
        <v>35</v>
      </c>
      <c r="E22" s="2" t="n">
        <v>1</v>
      </c>
      <c r="F22" s="2" t="n">
        <v>4</v>
      </c>
      <c r="G22" s="2" t="s">
        <v>38</v>
      </c>
      <c r="H22" s="2" t="n">
        <v>21</v>
      </c>
      <c r="I22" s="2" t="s">
        <v>39</v>
      </c>
      <c r="J22" s="2" t="n">
        <v>2</v>
      </c>
      <c r="K22" s="2" t="s">
        <v>45</v>
      </c>
      <c r="L22" s="2" t="s">
        <v>46</v>
      </c>
      <c r="M22" s="2" t="n">
        <v>104470</v>
      </c>
      <c r="N22" s="2" t="n">
        <v>1</v>
      </c>
      <c r="O22" s="2" t="n">
        <v>18</v>
      </c>
      <c r="P22" s="2" t="n">
        <v>0</v>
      </c>
      <c r="Q22" s="2" t="n">
        <v>6</v>
      </c>
      <c r="R22" s="2" t="n">
        <v>3</v>
      </c>
      <c r="S22" s="2" t="n">
        <v>6</v>
      </c>
      <c r="T22" s="2" t="n">
        <v>1</v>
      </c>
      <c r="U22" s="2" t="n">
        <v>4</v>
      </c>
      <c r="V22" s="2" t="n">
        <v>3</v>
      </c>
      <c r="W22" s="2" t="n">
        <v>2</v>
      </c>
      <c r="X22" s="2" t="n">
        <v>1</v>
      </c>
      <c r="Y22" s="2" t="n">
        <v>3</v>
      </c>
      <c r="Z22" s="2" t="n">
        <v>3</v>
      </c>
    </row>
    <row r="23" customFormat="false" ht="15" hidden="false" customHeight="true" outlineLevel="0" collapsed="false">
      <c r="A23" s="2" t="n">
        <v>50</v>
      </c>
      <c r="B23" s="2" t="s">
        <v>26</v>
      </c>
      <c r="C23" s="2" t="s">
        <v>27</v>
      </c>
      <c r="D23" s="2" t="s">
        <v>28</v>
      </c>
      <c r="E23" s="2" t="n">
        <v>8</v>
      </c>
      <c r="F23" s="2" t="n">
        <v>4</v>
      </c>
      <c r="G23" s="2" t="s">
        <v>29</v>
      </c>
      <c r="H23" s="2" t="n">
        <v>22</v>
      </c>
      <c r="I23" s="2" t="s">
        <v>39</v>
      </c>
      <c r="J23" s="2" t="n">
        <v>1</v>
      </c>
      <c r="K23" s="2" t="s">
        <v>36</v>
      </c>
      <c r="L23" s="2" t="s">
        <v>46</v>
      </c>
      <c r="M23" s="2" t="n">
        <v>96670</v>
      </c>
      <c r="N23" s="2" t="n">
        <v>3</v>
      </c>
      <c r="O23" s="2" t="n">
        <v>23</v>
      </c>
      <c r="P23" s="2" t="n">
        <v>0</v>
      </c>
      <c r="Q23" s="2" t="n">
        <v>28</v>
      </c>
      <c r="R23" s="2" t="n">
        <v>2</v>
      </c>
      <c r="S23" s="2" t="n">
        <v>10</v>
      </c>
      <c r="T23" s="2" t="n">
        <v>1</v>
      </c>
      <c r="U23" s="2" t="n">
        <v>6</v>
      </c>
      <c r="V23" s="2" t="n">
        <v>1</v>
      </c>
      <c r="W23" s="2" t="n">
        <v>2</v>
      </c>
      <c r="X23" s="2" t="n">
        <v>2</v>
      </c>
      <c r="Y23" s="2" t="n">
        <v>2</v>
      </c>
      <c r="Z23" s="2" t="n">
        <v>4</v>
      </c>
    </row>
    <row r="24" customFormat="false" ht="15" hidden="false" customHeight="true" outlineLevel="0" collapsed="false">
      <c r="A24" s="2" t="n">
        <v>53</v>
      </c>
      <c r="B24" s="2" t="s">
        <v>26</v>
      </c>
      <c r="C24" s="2" t="s">
        <v>27</v>
      </c>
      <c r="D24" s="2" t="s">
        <v>35</v>
      </c>
      <c r="E24" s="2" t="n">
        <v>11</v>
      </c>
      <c r="F24" s="2" t="n">
        <v>4</v>
      </c>
      <c r="G24" s="2" t="s">
        <v>29</v>
      </c>
      <c r="H24" s="2" t="n">
        <v>23</v>
      </c>
      <c r="I24" s="2" t="s">
        <v>30</v>
      </c>
      <c r="J24" s="2" t="n">
        <v>2</v>
      </c>
      <c r="K24" s="2" t="s">
        <v>36</v>
      </c>
      <c r="L24" s="2" t="s">
        <v>32</v>
      </c>
      <c r="M24" s="2" t="n">
        <v>21480</v>
      </c>
      <c r="N24" s="2" t="n">
        <v>3</v>
      </c>
      <c r="O24" s="2" t="n">
        <v>11</v>
      </c>
      <c r="P24" s="2" t="n">
        <v>0</v>
      </c>
      <c r="Q24" s="2" t="n">
        <v>21</v>
      </c>
      <c r="R24" s="2" t="n">
        <v>2</v>
      </c>
      <c r="S24" s="2" t="n">
        <v>5</v>
      </c>
      <c r="T24" s="2" t="n">
        <v>1</v>
      </c>
      <c r="U24" s="2" t="n">
        <v>3</v>
      </c>
      <c r="V24" s="2" t="n">
        <v>3</v>
      </c>
      <c r="W24" s="2" t="n">
        <v>3</v>
      </c>
      <c r="X24" s="2" t="n">
        <v>2</v>
      </c>
      <c r="Y24" s="2" t="n">
        <v>3</v>
      </c>
      <c r="Z24" s="2" t="n">
        <v>3</v>
      </c>
    </row>
    <row r="25" customFormat="false" ht="15" hidden="false" customHeight="true" outlineLevel="0" collapsed="false">
      <c r="A25" s="2" t="n">
        <v>42</v>
      </c>
      <c r="B25" s="2" t="s">
        <v>26</v>
      </c>
      <c r="C25" s="2" t="s">
        <v>27</v>
      </c>
      <c r="D25" s="2" t="s">
        <v>35</v>
      </c>
      <c r="E25" s="2" t="n">
        <v>4</v>
      </c>
      <c r="F25" s="2" t="n">
        <v>4</v>
      </c>
      <c r="G25" s="2" t="s">
        <v>29</v>
      </c>
      <c r="H25" s="2" t="n">
        <v>24</v>
      </c>
      <c r="I25" s="2" t="s">
        <v>39</v>
      </c>
      <c r="J25" s="2" t="n">
        <v>1</v>
      </c>
      <c r="K25" s="2" t="s">
        <v>47</v>
      </c>
      <c r="L25" s="2" t="s">
        <v>32</v>
      </c>
      <c r="M25" s="2" t="n">
        <v>89260</v>
      </c>
      <c r="N25" s="2" t="n">
        <v>1</v>
      </c>
      <c r="O25" s="2" t="n">
        <v>14</v>
      </c>
      <c r="P25" s="2" t="n">
        <v>0</v>
      </c>
      <c r="Q25" s="2"/>
      <c r="R25" s="2" t="n">
        <v>4</v>
      </c>
      <c r="S25" s="2" t="n">
        <v>20</v>
      </c>
      <c r="T25" s="2" t="n">
        <v>11</v>
      </c>
      <c r="U25" s="2" t="n">
        <v>6</v>
      </c>
      <c r="V25" s="2" t="n">
        <v>2</v>
      </c>
      <c r="W25" s="2" t="n">
        <v>3</v>
      </c>
      <c r="X25" s="2" t="n">
        <v>3</v>
      </c>
      <c r="Y25" s="2" t="n">
        <v>1</v>
      </c>
      <c r="Z25" s="2" t="n">
        <v>3</v>
      </c>
    </row>
    <row r="26" customFormat="false" ht="15" hidden="false" customHeight="true" outlineLevel="0" collapsed="false">
      <c r="A26" s="2" t="n">
        <v>29</v>
      </c>
      <c r="B26" s="2" t="s">
        <v>26</v>
      </c>
      <c r="C26" s="2" t="s">
        <v>34</v>
      </c>
      <c r="D26" s="2" t="s">
        <v>35</v>
      </c>
      <c r="E26" s="2" t="n">
        <v>16</v>
      </c>
      <c r="F26" s="2" t="n">
        <v>4</v>
      </c>
      <c r="G26" s="2" t="s">
        <v>43</v>
      </c>
      <c r="H26" s="2" t="n">
        <v>25</v>
      </c>
      <c r="I26" s="2" t="s">
        <v>39</v>
      </c>
      <c r="J26" s="2" t="n">
        <v>1</v>
      </c>
      <c r="K26" s="2" t="s">
        <v>45</v>
      </c>
      <c r="L26" s="2" t="s">
        <v>37</v>
      </c>
      <c r="M26" s="2" t="n">
        <v>65130</v>
      </c>
      <c r="N26" s="2" t="n">
        <v>1</v>
      </c>
      <c r="O26" s="2" t="n">
        <v>11</v>
      </c>
      <c r="P26" s="2" t="n">
        <v>1</v>
      </c>
      <c r="Q26" s="2" t="n">
        <v>10</v>
      </c>
      <c r="R26" s="2" t="n">
        <v>2</v>
      </c>
      <c r="S26" s="2" t="n">
        <v>10</v>
      </c>
      <c r="T26" s="2" t="n">
        <v>0</v>
      </c>
      <c r="U26" s="2" t="n">
        <v>9</v>
      </c>
      <c r="V26" s="2" t="n">
        <v>2</v>
      </c>
      <c r="W26" s="2" t="n">
        <v>4</v>
      </c>
      <c r="X26" s="2" t="n">
        <v>2</v>
      </c>
      <c r="Y26" s="2" t="n">
        <v>3</v>
      </c>
      <c r="Z26" s="2" t="n">
        <v>3</v>
      </c>
    </row>
    <row r="27" customFormat="false" ht="15" hidden="false" customHeight="true" outlineLevel="0" collapsed="false">
      <c r="A27" s="2" t="n">
        <v>55</v>
      </c>
      <c r="B27" s="2" t="s">
        <v>26</v>
      </c>
      <c r="C27" s="2" t="s">
        <v>27</v>
      </c>
      <c r="D27" s="2" t="s">
        <v>35</v>
      </c>
      <c r="E27" s="2" t="n">
        <v>1</v>
      </c>
      <c r="F27" s="2" t="n">
        <v>4</v>
      </c>
      <c r="G27" s="2" t="s">
        <v>38</v>
      </c>
      <c r="H27" s="2" t="n">
        <v>26</v>
      </c>
      <c r="I27" s="2" t="s">
        <v>30</v>
      </c>
      <c r="J27" s="2" t="n">
        <v>1</v>
      </c>
      <c r="K27" s="2" t="s">
        <v>36</v>
      </c>
      <c r="L27" s="2" t="s">
        <v>32</v>
      </c>
      <c r="M27" s="2" t="n">
        <v>67990</v>
      </c>
      <c r="N27" s="2" t="n">
        <v>3</v>
      </c>
      <c r="O27" s="2" t="n">
        <v>11</v>
      </c>
      <c r="P27" s="2" t="n">
        <v>0</v>
      </c>
      <c r="Q27" s="2" t="n">
        <v>12</v>
      </c>
      <c r="R27" s="2" t="n">
        <v>2</v>
      </c>
      <c r="S27" s="2" t="n">
        <v>10</v>
      </c>
      <c r="T27" s="2" t="n">
        <v>0</v>
      </c>
      <c r="U27" s="2" t="n">
        <v>8</v>
      </c>
      <c r="V27" s="2" t="n">
        <v>2</v>
      </c>
      <c r="W27" s="2" t="n">
        <v>4</v>
      </c>
      <c r="X27" s="2" t="n">
        <v>3</v>
      </c>
      <c r="Y27" s="2" t="n">
        <v>3</v>
      </c>
      <c r="Z27" s="2" t="n">
        <v>3</v>
      </c>
    </row>
    <row r="28" customFormat="false" ht="15" hidden="false" customHeight="true" outlineLevel="0" collapsed="false">
      <c r="A28" s="2" t="n">
        <v>26</v>
      </c>
      <c r="B28" s="2" t="s">
        <v>26</v>
      </c>
      <c r="C28" s="2" t="s">
        <v>34</v>
      </c>
      <c r="D28" s="2" t="s">
        <v>35</v>
      </c>
      <c r="E28" s="2" t="n">
        <v>9</v>
      </c>
      <c r="F28" s="2" t="n">
        <v>3</v>
      </c>
      <c r="G28" s="2" t="s">
        <v>29</v>
      </c>
      <c r="H28" s="2" t="n">
        <v>27</v>
      </c>
      <c r="I28" s="2" t="s">
        <v>30</v>
      </c>
      <c r="J28" s="2" t="n">
        <v>1</v>
      </c>
      <c r="K28" s="2" t="s">
        <v>49</v>
      </c>
      <c r="L28" s="2" t="s">
        <v>32</v>
      </c>
      <c r="M28" s="2" t="n">
        <v>162910</v>
      </c>
      <c r="N28" s="2" t="n">
        <v>1</v>
      </c>
      <c r="O28" s="2" t="n">
        <v>22</v>
      </c>
      <c r="P28" s="2" t="n">
        <v>0</v>
      </c>
      <c r="Q28" s="2" t="n">
        <v>5</v>
      </c>
      <c r="R28" s="2" t="n">
        <v>3</v>
      </c>
      <c r="S28" s="2" t="n">
        <v>5</v>
      </c>
      <c r="T28" s="2" t="n">
        <v>3</v>
      </c>
      <c r="U28" s="2" t="n">
        <v>3</v>
      </c>
      <c r="V28" s="2" t="n">
        <v>1</v>
      </c>
      <c r="W28" s="2" t="n">
        <v>1</v>
      </c>
      <c r="X28" s="2" t="n">
        <v>3</v>
      </c>
      <c r="Y28" s="2" t="n">
        <v>3</v>
      </c>
      <c r="Z28" s="2" t="n">
        <v>4</v>
      </c>
    </row>
    <row r="29" customFormat="false" ht="15" hidden="false" customHeight="true" outlineLevel="0" collapsed="false">
      <c r="A29" s="2" t="n">
        <v>37</v>
      </c>
      <c r="B29" s="2" t="s">
        <v>26</v>
      </c>
      <c r="C29" s="2" t="s">
        <v>27</v>
      </c>
      <c r="D29" s="2" t="s">
        <v>28</v>
      </c>
      <c r="E29" s="2" t="n">
        <v>5</v>
      </c>
      <c r="F29" s="2" t="n">
        <v>1</v>
      </c>
      <c r="G29" s="2" t="s">
        <v>50</v>
      </c>
      <c r="H29" s="2" t="n">
        <v>28</v>
      </c>
      <c r="I29" s="2" t="s">
        <v>39</v>
      </c>
      <c r="J29" s="2" t="n">
        <v>1</v>
      </c>
      <c r="K29" s="2" t="s">
        <v>36</v>
      </c>
      <c r="L29" s="2" t="s">
        <v>37</v>
      </c>
      <c r="M29" s="2" t="n">
        <v>27050</v>
      </c>
      <c r="N29" s="2" t="n">
        <v>1</v>
      </c>
      <c r="O29" s="2" t="n">
        <v>11</v>
      </c>
      <c r="P29" s="2" t="n">
        <v>0</v>
      </c>
      <c r="Q29" s="2" t="n">
        <v>17</v>
      </c>
      <c r="R29" s="2" t="n">
        <v>2</v>
      </c>
      <c r="S29" s="2" t="n">
        <v>17</v>
      </c>
      <c r="T29" s="2" t="n">
        <v>5</v>
      </c>
      <c r="U29" s="2" t="n">
        <v>7</v>
      </c>
      <c r="V29" s="2" t="n">
        <v>4</v>
      </c>
      <c r="W29" s="2" t="n">
        <v>4</v>
      </c>
      <c r="X29" s="2" t="n">
        <v>3</v>
      </c>
      <c r="Y29" s="2" t="n">
        <v>3</v>
      </c>
      <c r="Z29" s="2" t="n">
        <v>3</v>
      </c>
    </row>
    <row r="30" customFormat="false" ht="15" hidden="false" customHeight="true" outlineLevel="0" collapsed="false">
      <c r="A30" s="2" t="n">
        <v>44</v>
      </c>
      <c r="B30" s="2" t="s">
        <v>33</v>
      </c>
      <c r="C30" s="2" t="s">
        <v>34</v>
      </c>
      <c r="D30" s="2" t="s">
        <v>35</v>
      </c>
      <c r="E30" s="2" t="n">
        <v>1</v>
      </c>
      <c r="F30" s="2" t="n">
        <v>2</v>
      </c>
      <c r="G30" s="2" t="s">
        <v>43</v>
      </c>
      <c r="H30" s="2" t="n">
        <v>29</v>
      </c>
      <c r="I30" s="2" t="s">
        <v>39</v>
      </c>
      <c r="J30" s="2" t="n">
        <v>2</v>
      </c>
      <c r="K30" s="2" t="s">
        <v>36</v>
      </c>
      <c r="L30" s="2" t="s">
        <v>46</v>
      </c>
      <c r="M30" s="2" t="n">
        <v>103330</v>
      </c>
      <c r="N30" s="2" t="n">
        <v>3</v>
      </c>
      <c r="O30" s="2" t="n">
        <v>14</v>
      </c>
      <c r="P30" s="2" t="n">
        <v>1</v>
      </c>
      <c r="Q30" s="2" t="n">
        <v>19</v>
      </c>
      <c r="R30" s="2" t="n">
        <v>2</v>
      </c>
      <c r="S30" s="2" t="n">
        <v>1</v>
      </c>
      <c r="T30" s="2" t="n">
        <v>0</v>
      </c>
      <c r="U30" s="2" t="n">
        <v>0</v>
      </c>
      <c r="V30" s="2" t="n">
        <v>4</v>
      </c>
      <c r="W30" s="2" t="n">
        <v>3</v>
      </c>
      <c r="X30" s="2" t="n">
        <v>1</v>
      </c>
      <c r="Y30" s="2" t="n">
        <v>2</v>
      </c>
      <c r="Z30" s="2" t="n">
        <v>3</v>
      </c>
    </row>
    <row r="31" customFormat="false" ht="15" hidden="false" customHeight="true" outlineLevel="0" collapsed="false">
      <c r="A31" s="2" t="n">
        <v>38</v>
      </c>
      <c r="B31" s="2" t="s">
        <v>26</v>
      </c>
      <c r="C31" s="2" t="s">
        <v>27</v>
      </c>
      <c r="D31" s="2" t="s">
        <v>28</v>
      </c>
      <c r="E31" s="2" t="n">
        <v>2</v>
      </c>
      <c r="F31" s="2" t="n">
        <v>3</v>
      </c>
      <c r="G31" s="2" t="s">
        <v>50</v>
      </c>
      <c r="H31" s="2" t="n">
        <v>30</v>
      </c>
      <c r="I31" s="2" t="s">
        <v>30</v>
      </c>
      <c r="J31" s="2" t="n">
        <v>1</v>
      </c>
      <c r="K31" s="2" t="s">
        <v>49</v>
      </c>
      <c r="L31" s="2" t="s">
        <v>46</v>
      </c>
      <c r="M31" s="2" t="n">
        <v>44480</v>
      </c>
      <c r="N31" s="2" t="n">
        <v>9</v>
      </c>
      <c r="O31" s="2" t="n">
        <v>12</v>
      </c>
      <c r="P31" s="2" t="n">
        <v>0</v>
      </c>
      <c r="Q31" s="2" t="n">
        <v>10</v>
      </c>
      <c r="R31" s="2" t="n">
        <v>3</v>
      </c>
      <c r="S31" s="2" t="n">
        <v>2</v>
      </c>
      <c r="T31" s="2" t="n">
        <v>1</v>
      </c>
      <c r="U31" s="2" t="n">
        <v>2</v>
      </c>
      <c r="V31" s="2" t="n">
        <v>4</v>
      </c>
      <c r="W31" s="2" t="n">
        <v>4</v>
      </c>
      <c r="X31" s="2" t="n">
        <v>3</v>
      </c>
      <c r="Y31" s="2" t="n">
        <v>2</v>
      </c>
      <c r="Z31" s="2" t="n">
        <v>3</v>
      </c>
    </row>
    <row r="32" customFormat="false" ht="15" hidden="false" customHeight="true" outlineLevel="0" collapsed="false">
      <c r="A32" s="2" t="n">
        <v>26</v>
      </c>
      <c r="B32" s="2" t="s">
        <v>33</v>
      </c>
      <c r="C32" s="2" t="s">
        <v>27</v>
      </c>
      <c r="D32" s="2" t="s">
        <v>35</v>
      </c>
      <c r="E32" s="2" t="n">
        <v>4</v>
      </c>
      <c r="F32" s="2" t="n">
        <v>3</v>
      </c>
      <c r="G32" s="2" t="s">
        <v>43</v>
      </c>
      <c r="H32" s="2" t="n">
        <v>31</v>
      </c>
      <c r="I32" s="2" t="s">
        <v>39</v>
      </c>
      <c r="J32" s="2" t="n">
        <v>3</v>
      </c>
      <c r="K32" s="2" t="s">
        <v>36</v>
      </c>
      <c r="L32" s="2" t="s">
        <v>46</v>
      </c>
      <c r="M32" s="2" t="n">
        <v>68540</v>
      </c>
      <c r="N32" s="2" t="n">
        <v>2</v>
      </c>
      <c r="O32" s="2" t="n">
        <v>11</v>
      </c>
      <c r="P32" s="2" t="n">
        <v>0</v>
      </c>
      <c r="Q32" s="2" t="n">
        <v>5</v>
      </c>
      <c r="R32" s="2" t="n">
        <v>5</v>
      </c>
      <c r="S32" s="2" t="n">
        <v>3</v>
      </c>
      <c r="T32" s="2" t="n">
        <v>0</v>
      </c>
      <c r="U32" s="2" t="n">
        <v>2</v>
      </c>
      <c r="V32" s="2" t="n">
        <v>1</v>
      </c>
      <c r="W32" s="2" t="n">
        <v>2</v>
      </c>
      <c r="X32" s="2" t="n">
        <v>3</v>
      </c>
      <c r="Y32" s="2" t="n">
        <v>2</v>
      </c>
      <c r="Z32" s="2" t="n">
        <v>3</v>
      </c>
    </row>
    <row r="33" customFormat="false" ht="15" hidden="false" customHeight="true" outlineLevel="0" collapsed="false">
      <c r="A33" s="2" t="n">
        <v>28</v>
      </c>
      <c r="B33" s="2" t="s">
        <v>26</v>
      </c>
      <c r="C33" s="2" t="s">
        <v>27</v>
      </c>
      <c r="D33" s="2" t="s">
        <v>35</v>
      </c>
      <c r="E33" s="2" t="n">
        <v>7</v>
      </c>
      <c r="F33" s="2" t="n">
        <v>3</v>
      </c>
      <c r="G33" s="2" t="s">
        <v>38</v>
      </c>
      <c r="H33" s="2" t="n">
        <v>32</v>
      </c>
      <c r="I33" s="2" t="s">
        <v>39</v>
      </c>
      <c r="J33" s="2" t="n">
        <v>1</v>
      </c>
      <c r="K33" s="2" t="s">
        <v>42</v>
      </c>
      <c r="L33" s="2" t="s">
        <v>37</v>
      </c>
      <c r="M33" s="2" t="n">
        <v>96370</v>
      </c>
      <c r="N33" s="2" t="n">
        <v>1</v>
      </c>
      <c r="O33" s="2" t="n">
        <v>13</v>
      </c>
      <c r="P33" s="2" t="n">
        <v>0</v>
      </c>
      <c r="Q33" s="2" t="n">
        <v>5</v>
      </c>
      <c r="R33" s="2" t="n">
        <v>6</v>
      </c>
      <c r="S33" s="2" t="n">
        <v>5</v>
      </c>
      <c r="T33" s="2" t="n">
        <v>0</v>
      </c>
      <c r="U33" s="2" t="n">
        <v>2</v>
      </c>
      <c r="V33" s="2" t="n">
        <v>4</v>
      </c>
      <c r="W33" s="2" t="n">
        <v>4</v>
      </c>
      <c r="X33" s="2" t="n">
        <v>3</v>
      </c>
      <c r="Y33" s="2" t="n">
        <v>2</v>
      </c>
      <c r="Z33" s="2" t="n">
        <v>3</v>
      </c>
    </row>
    <row r="34" customFormat="false" ht="15" hidden="false" customHeight="true" outlineLevel="0" collapsed="false">
      <c r="A34" s="2" t="n">
        <v>49</v>
      </c>
      <c r="B34" s="2" t="s">
        <v>26</v>
      </c>
      <c r="C34" s="2" t="s">
        <v>34</v>
      </c>
      <c r="D34" s="2" t="s">
        <v>35</v>
      </c>
      <c r="E34" s="2" t="n">
        <v>1</v>
      </c>
      <c r="F34" s="2" t="n">
        <v>1</v>
      </c>
      <c r="G34" s="2" t="s">
        <v>43</v>
      </c>
      <c r="H34" s="2" t="n">
        <v>33</v>
      </c>
      <c r="I34" s="2" t="s">
        <v>30</v>
      </c>
      <c r="J34" s="2" t="n">
        <v>2</v>
      </c>
      <c r="K34" s="2" t="s">
        <v>36</v>
      </c>
      <c r="L34" s="2" t="s">
        <v>37</v>
      </c>
      <c r="M34" s="2" t="n">
        <v>35910</v>
      </c>
      <c r="N34" s="2" t="n">
        <v>9</v>
      </c>
      <c r="O34" s="2" t="n">
        <v>13</v>
      </c>
      <c r="P34" s="2" t="n">
        <v>0</v>
      </c>
      <c r="Q34" s="2" t="n">
        <v>22</v>
      </c>
      <c r="R34" s="2" t="n">
        <v>2</v>
      </c>
      <c r="S34" s="2" t="n">
        <v>3</v>
      </c>
      <c r="T34" s="2" t="n">
        <v>1</v>
      </c>
      <c r="U34" s="2" t="n">
        <v>2</v>
      </c>
      <c r="V34" s="2" t="n">
        <v>3</v>
      </c>
      <c r="W34" s="2" t="n">
        <v>1</v>
      </c>
      <c r="X34" s="2" t="n">
        <v>3</v>
      </c>
      <c r="Y34" s="2" t="n">
        <v>3</v>
      </c>
      <c r="Z34" s="2" t="n">
        <v>3</v>
      </c>
    </row>
    <row r="35" customFormat="false" ht="15" hidden="false" customHeight="true" outlineLevel="0" collapsed="false">
      <c r="A35" s="2" t="n">
        <v>36</v>
      </c>
      <c r="B35" s="2" t="s">
        <v>26</v>
      </c>
      <c r="C35" s="2" t="s">
        <v>27</v>
      </c>
      <c r="D35" s="2" t="s">
        <v>28</v>
      </c>
      <c r="E35" s="2" t="n">
        <v>5</v>
      </c>
      <c r="F35" s="2" t="n">
        <v>3</v>
      </c>
      <c r="G35" s="2" t="s">
        <v>51</v>
      </c>
      <c r="H35" s="2" t="n">
        <v>34</v>
      </c>
      <c r="I35" s="2" t="s">
        <v>39</v>
      </c>
      <c r="J35" s="2" t="n">
        <v>3</v>
      </c>
      <c r="K35" s="2" t="s">
        <v>40</v>
      </c>
      <c r="L35" s="2" t="s">
        <v>37</v>
      </c>
      <c r="M35" s="2" t="n">
        <v>54050</v>
      </c>
      <c r="N35" s="2" t="n">
        <v>4</v>
      </c>
      <c r="O35" s="2" t="n">
        <v>14</v>
      </c>
      <c r="P35" s="2" t="n">
        <v>0</v>
      </c>
      <c r="Q35" s="2" t="n">
        <v>10</v>
      </c>
      <c r="R35" s="2" t="n">
        <v>2</v>
      </c>
      <c r="S35" s="2" t="n">
        <v>8</v>
      </c>
      <c r="T35" s="2" t="n">
        <v>7</v>
      </c>
      <c r="U35" s="2" t="n">
        <v>7</v>
      </c>
      <c r="V35" s="2" t="n">
        <v>3</v>
      </c>
      <c r="W35" s="2" t="n">
        <v>2</v>
      </c>
      <c r="X35" s="2" t="n">
        <v>3</v>
      </c>
      <c r="Y35" s="2" t="n">
        <v>3</v>
      </c>
      <c r="Z35" s="2" t="n">
        <v>3</v>
      </c>
    </row>
    <row r="36" customFormat="false" ht="15" hidden="false" customHeight="true" outlineLevel="0" collapsed="false">
      <c r="A36" s="2" t="n">
        <v>31</v>
      </c>
      <c r="B36" s="2" t="s">
        <v>26</v>
      </c>
      <c r="C36" s="2" t="s">
        <v>34</v>
      </c>
      <c r="D36" s="2" t="s">
        <v>35</v>
      </c>
      <c r="E36" s="2" t="n">
        <v>9</v>
      </c>
      <c r="F36" s="2" t="n">
        <v>4</v>
      </c>
      <c r="G36" s="2" t="s">
        <v>43</v>
      </c>
      <c r="H36" s="2" t="n">
        <v>35</v>
      </c>
      <c r="I36" s="2" t="s">
        <v>39</v>
      </c>
      <c r="J36" s="2" t="n">
        <v>1</v>
      </c>
      <c r="K36" s="2" t="s">
        <v>40</v>
      </c>
      <c r="L36" s="2" t="s">
        <v>46</v>
      </c>
      <c r="M36" s="2" t="n">
        <v>46840</v>
      </c>
      <c r="N36" s="2" t="n">
        <v>1</v>
      </c>
      <c r="O36" s="2" t="n">
        <v>16</v>
      </c>
      <c r="P36" s="2" t="n">
        <v>1</v>
      </c>
      <c r="Q36" s="2" t="n">
        <v>2</v>
      </c>
      <c r="R36" s="2" t="n">
        <v>4</v>
      </c>
      <c r="S36" s="2" t="n">
        <v>2</v>
      </c>
      <c r="T36" s="2" t="n">
        <v>2</v>
      </c>
      <c r="U36" s="2" t="n">
        <v>2</v>
      </c>
      <c r="V36" s="2" t="n">
        <v>4</v>
      </c>
      <c r="W36" s="2" t="n">
        <v>2</v>
      </c>
      <c r="X36" s="2" t="n">
        <v>2</v>
      </c>
      <c r="Y36" s="2" t="n">
        <v>3</v>
      </c>
      <c r="Z36" s="2" t="n">
        <v>3</v>
      </c>
    </row>
    <row r="37" customFormat="false" ht="15" hidden="false" customHeight="true" outlineLevel="0" collapsed="false">
      <c r="A37" s="2" t="n">
        <v>26</v>
      </c>
      <c r="B37" s="2" t="s">
        <v>33</v>
      </c>
      <c r="C37" s="2" t="s">
        <v>27</v>
      </c>
      <c r="D37" s="2" t="s">
        <v>35</v>
      </c>
      <c r="E37" s="2" t="n">
        <v>8</v>
      </c>
      <c r="F37" s="2" t="n">
        <v>3</v>
      </c>
      <c r="G37" s="2" t="s">
        <v>43</v>
      </c>
      <c r="H37" s="2" t="n">
        <v>36</v>
      </c>
      <c r="I37" s="2" t="s">
        <v>39</v>
      </c>
      <c r="J37" s="2" t="n">
        <v>2</v>
      </c>
      <c r="K37" s="2" t="s">
        <v>49</v>
      </c>
      <c r="L37" s="2" t="s">
        <v>37</v>
      </c>
      <c r="M37" s="2" t="n">
        <v>157870</v>
      </c>
      <c r="N37" s="2" t="n">
        <v>1</v>
      </c>
      <c r="O37" s="2" t="n">
        <v>12</v>
      </c>
      <c r="P37" s="2" t="n">
        <v>2</v>
      </c>
      <c r="Q37" s="2" t="n">
        <v>8</v>
      </c>
      <c r="R37" s="2" t="n">
        <v>5</v>
      </c>
      <c r="S37" s="2" t="n">
        <v>8</v>
      </c>
      <c r="T37" s="2" t="n">
        <v>7</v>
      </c>
      <c r="U37" s="2" t="n">
        <v>4</v>
      </c>
      <c r="V37" s="2" t="n">
        <v>4</v>
      </c>
      <c r="W37" s="2" t="n">
        <v>4</v>
      </c>
      <c r="X37" s="2" t="n">
        <v>3</v>
      </c>
      <c r="Y37" s="2" t="n">
        <v>3</v>
      </c>
      <c r="Z37" s="2" t="n">
        <v>3</v>
      </c>
    </row>
    <row r="38" customFormat="false" ht="15" hidden="false" customHeight="true" outlineLevel="0" collapsed="false">
      <c r="A38" s="2" t="n">
        <v>37</v>
      </c>
      <c r="B38" s="2" t="s">
        <v>26</v>
      </c>
      <c r="C38" s="2" t="s">
        <v>34</v>
      </c>
      <c r="D38" s="2" t="s">
        <v>28</v>
      </c>
      <c r="E38" s="2" t="n">
        <v>9</v>
      </c>
      <c r="F38" s="2" t="n">
        <v>1</v>
      </c>
      <c r="G38" s="2" t="s">
        <v>50</v>
      </c>
      <c r="H38" s="2" t="n">
        <v>37</v>
      </c>
      <c r="I38" s="2" t="s">
        <v>39</v>
      </c>
      <c r="J38" s="2" t="n">
        <v>1</v>
      </c>
      <c r="K38" s="2" t="s">
        <v>45</v>
      </c>
      <c r="L38" s="2" t="s">
        <v>32</v>
      </c>
      <c r="M38" s="2" t="n">
        <v>15140</v>
      </c>
      <c r="N38" s="2" t="n">
        <v>1</v>
      </c>
      <c r="O38" s="2" t="n">
        <v>14</v>
      </c>
      <c r="P38" s="2" t="n">
        <v>0</v>
      </c>
      <c r="Q38" s="2" t="n">
        <v>4</v>
      </c>
      <c r="R38" s="2" t="n">
        <v>3</v>
      </c>
      <c r="S38" s="2" t="n">
        <v>4</v>
      </c>
      <c r="T38" s="2" t="n">
        <v>1</v>
      </c>
      <c r="U38" s="2" t="n">
        <v>2</v>
      </c>
      <c r="V38" s="2" t="n">
        <v>2</v>
      </c>
      <c r="W38" s="2" t="n">
        <v>4</v>
      </c>
      <c r="X38" s="2" t="n">
        <v>2</v>
      </c>
      <c r="Y38" s="2" t="n">
        <v>3</v>
      </c>
      <c r="Z38" s="2" t="n">
        <v>3</v>
      </c>
    </row>
    <row r="39" customFormat="false" ht="15" hidden="false" customHeight="true" outlineLevel="0" collapsed="false">
      <c r="A39" s="2" t="n">
        <v>42</v>
      </c>
      <c r="B39" s="2" t="s">
        <v>26</v>
      </c>
      <c r="C39" s="2" t="s">
        <v>34</v>
      </c>
      <c r="D39" s="2" t="s">
        <v>28</v>
      </c>
      <c r="E39" s="2" t="n">
        <v>2</v>
      </c>
      <c r="F39" s="2" t="n">
        <v>2</v>
      </c>
      <c r="G39" s="2" t="s">
        <v>50</v>
      </c>
      <c r="H39" s="2" t="n">
        <v>38</v>
      </c>
      <c r="I39" s="2" t="s">
        <v>39</v>
      </c>
      <c r="J39" s="2" t="n">
        <v>3</v>
      </c>
      <c r="K39" s="2" t="s">
        <v>44</v>
      </c>
      <c r="L39" s="2" t="s">
        <v>32</v>
      </c>
      <c r="M39" s="2" t="n">
        <v>29560</v>
      </c>
      <c r="N39" s="2" t="n">
        <v>5</v>
      </c>
      <c r="O39" s="2" t="n">
        <v>13</v>
      </c>
      <c r="P39" s="2" t="n">
        <v>0</v>
      </c>
      <c r="Q39" s="2" t="n">
        <v>23</v>
      </c>
      <c r="R39" s="2" t="n">
        <v>2</v>
      </c>
      <c r="S39" s="2" t="n">
        <v>20</v>
      </c>
      <c r="T39" s="2" t="n">
        <v>4</v>
      </c>
      <c r="U39" s="2" t="n">
        <v>8</v>
      </c>
      <c r="V39" s="2" t="n">
        <v>3</v>
      </c>
      <c r="W39" s="2" t="n">
        <v>2</v>
      </c>
      <c r="X39" s="2" t="n">
        <v>4</v>
      </c>
      <c r="Y39" s="2" t="n">
        <v>3</v>
      </c>
      <c r="Z39" s="2" t="n">
        <v>3</v>
      </c>
    </row>
    <row r="40" customFormat="false" ht="15" hidden="false" customHeight="true" outlineLevel="0" collapsed="false">
      <c r="A40" s="2" t="n">
        <v>18</v>
      </c>
      <c r="B40" s="2" t="s">
        <v>33</v>
      </c>
      <c r="C40" s="2" t="s">
        <v>27</v>
      </c>
      <c r="D40" s="2" t="s">
        <v>35</v>
      </c>
      <c r="E40" s="2" t="n">
        <v>1</v>
      </c>
      <c r="F40" s="2" t="n">
        <v>4</v>
      </c>
      <c r="G40" s="2" t="s">
        <v>29</v>
      </c>
      <c r="H40" s="2" t="n">
        <v>39</v>
      </c>
      <c r="I40" s="2" t="s">
        <v>39</v>
      </c>
      <c r="J40" s="2" t="n">
        <v>1</v>
      </c>
      <c r="K40" s="2" t="s">
        <v>40</v>
      </c>
      <c r="L40" s="2" t="s">
        <v>37</v>
      </c>
      <c r="M40" s="2" t="n">
        <v>23350</v>
      </c>
      <c r="N40" s="2" t="n">
        <v>1</v>
      </c>
      <c r="O40" s="2" t="n">
        <v>14</v>
      </c>
      <c r="P40" s="2" t="n">
        <v>2</v>
      </c>
      <c r="Q40" s="2" t="n">
        <v>0</v>
      </c>
      <c r="R40" s="2" t="n">
        <v>3</v>
      </c>
      <c r="S40" s="2" t="n">
        <v>0</v>
      </c>
      <c r="T40" s="2" t="n">
        <v>0</v>
      </c>
      <c r="U40" s="2" t="n">
        <v>0</v>
      </c>
      <c r="V40" s="2" t="n">
        <v>3</v>
      </c>
      <c r="W40" s="2" t="n">
        <v>3</v>
      </c>
      <c r="X40" s="2" t="n">
        <v>3</v>
      </c>
      <c r="Y40" s="2" t="n">
        <v>2</v>
      </c>
      <c r="Z40" s="2" t="n">
        <v>3</v>
      </c>
    </row>
    <row r="41" customFormat="false" ht="15" hidden="false" customHeight="true" outlineLevel="0" collapsed="false">
      <c r="A41" s="2" t="n">
        <v>35</v>
      </c>
      <c r="B41" s="2" t="s">
        <v>26</v>
      </c>
      <c r="C41" s="2" t="s">
        <v>27</v>
      </c>
      <c r="D41" s="2" t="s">
        <v>28</v>
      </c>
      <c r="E41" s="2" t="n">
        <v>20</v>
      </c>
      <c r="F41" s="2" t="n">
        <v>2</v>
      </c>
      <c r="G41" s="2" t="s">
        <v>29</v>
      </c>
      <c r="H41" s="2" t="n">
        <v>40</v>
      </c>
      <c r="I41" s="2" t="s">
        <v>39</v>
      </c>
      <c r="J41" s="2" t="n">
        <v>1</v>
      </c>
      <c r="K41" s="2" t="s">
        <v>45</v>
      </c>
      <c r="L41" s="2" t="s">
        <v>32</v>
      </c>
      <c r="M41" s="2" t="n">
        <v>51540</v>
      </c>
      <c r="N41" s="2" t="n">
        <v>0</v>
      </c>
      <c r="O41" s="2" t="n">
        <v>19</v>
      </c>
      <c r="P41" s="2" t="n">
        <v>0</v>
      </c>
      <c r="Q41" s="2" t="n">
        <v>12</v>
      </c>
      <c r="R41" s="2" t="n">
        <v>2</v>
      </c>
      <c r="S41" s="2" t="n">
        <v>11</v>
      </c>
      <c r="T41" s="2" t="n">
        <v>6</v>
      </c>
      <c r="U41" s="2" t="n">
        <v>9</v>
      </c>
      <c r="V41" s="2" t="n">
        <v>3</v>
      </c>
      <c r="W41" s="2" t="n">
        <v>2</v>
      </c>
      <c r="X41" s="2" t="n">
        <v>2</v>
      </c>
      <c r="Y41" s="2" t="n">
        <v>2</v>
      </c>
      <c r="Z41" s="2" t="n">
        <v>3</v>
      </c>
    </row>
    <row r="42" customFormat="false" ht="15" hidden="false" customHeight="true" outlineLevel="0" collapsed="false">
      <c r="A42" s="2" t="n">
        <v>36</v>
      </c>
      <c r="B42" s="2" t="s">
        <v>26</v>
      </c>
      <c r="C42" s="2" t="s">
        <v>34</v>
      </c>
      <c r="D42" s="2" t="s">
        <v>35</v>
      </c>
      <c r="E42" s="2" t="n">
        <v>8</v>
      </c>
      <c r="F42" s="2" t="n">
        <v>3</v>
      </c>
      <c r="G42" s="2" t="s">
        <v>38</v>
      </c>
      <c r="H42" s="2" t="n">
        <v>41</v>
      </c>
      <c r="I42" s="2" t="s">
        <v>30</v>
      </c>
      <c r="J42" s="2" t="n">
        <v>3</v>
      </c>
      <c r="K42" s="2" t="s">
        <v>40</v>
      </c>
      <c r="L42" s="2" t="s">
        <v>32</v>
      </c>
      <c r="M42" s="2" t="n">
        <v>69620</v>
      </c>
      <c r="N42" s="2" t="n">
        <v>4</v>
      </c>
      <c r="O42" s="2" t="n">
        <v>12</v>
      </c>
      <c r="P42" s="2" t="n">
        <v>2</v>
      </c>
      <c r="Q42" s="2" t="n">
        <v>4</v>
      </c>
      <c r="R42" s="2" t="n">
        <v>2</v>
      </c>
      <c r="S42" s="2" t="n">
        <v>1</v>
      </c>
      <c r="T42" s="2" t="n">
        <v>0</v>
      </c>
      <c r="U42" s="2" t="n">
        <v>0</v>
      </c>
      <c r="V42" s="2" t="n">
        <v>3</v>
      </c>
      <c r="W42" s="2"/>
      <c r="X42" s="2" t="n">
        <v>3</v>
      </c>
      <c r="Y42" s="2" t="n">
        <v>2</v>
      </c>
      <c r="Z42" s="2" t="n">
        <v>3</v>
      </c>
    </row>
    <row r="43" customFormat="false" ht="15" hidden="false" customHeight="true" outlineLevel="0" collapsed="false">
      <c r="A43" s="2" t="n">
        <v>51</v>
      </c>
      <c r="B43" s="2" t="s">
        <v>26</v>
      </c>
      <c r="C43" s="2" t="s">
        <v>27</v>
      </c>
      <c r="D43" s="2" t="s">
        <v>35</v>
      </c>
      <c r="E43" s="2" t="n">
        <v>2</v>
      </c>
      <c r="F43" s="2" t="n">
        <v>3</v>
      </c>
      <c r="G43" s="2" t="s">
        <v>29</v>
      </c>
      <c r="H43" s="2" t="n">
        <v>42</v>
      </c>
      <c r="I43" s="2" t="s">
        <v>39</v>
      </c>
      <c r="J43" s="2" t="n">
        <v>2</v>
      </c>
      <c r="K43" s="2" t="s">
        <v>45</v>
      </c>
      <c r="L43" s="2" t="s">
        <v>46</v>
      </c>
      <c r="M43" s="2" t="n">
        <v>56750</v>
      </c>
      <c r="N43" s="2" t="n">
        <v>5</v>
      </c>
      <c r="O43" s="2" t="n">
        <v>13</v>
      </c>
      <c r="P43" s="2" t="n">
        <v>0</v>
      </c>
      <c r="Q43" s="2" t="n">
        <v>13</v>
      </c>
      <c r="R43" s="2" t="n">
        <v>2</v>
      </c>
      <c r="S43" s="2" t="n">
        <v>4</v>
      </c>
      <c r="T43" s="2" t="n">
        <v>1</v>
      </c>
      <c r="U43" s="2" t="n">
        <v>2</v>
      </c>
      <c r="V43" s="2" t="n">
        <v>4</v>
      </c>
      <c r="W43" s="2" t="n">
        <v>2</v>
      </c>
      <c r="X43" s="2" t="n">
        <v>3</v>
      </c>
      <c r="Y43" s="2" t="n">
        <v>2</v>
      </c>
      <c r="Z43" s="2" t="n">
        <v>3</v>
      </c>
    </row>
    <row r="44" customFormat="false" ht="15" hidden="false" customHeight="true" outlineLevel="0" collapsed="false">
      <c r="A44" s="2" t="n">
        <v>41</v>
      </c>
      <c r="B44" s="2" t="s">
        <v>26</v>
      </c>
      <c r="C44" s="2" t="s">
        <v>27</v>
      </c>
      <c r="D44" s="2" t="s">
        <v>35</v>
      </c>
      <c r="E44" s="2" t="n">
        <v>29</v>
      </c>
      <c r="F44" s="2" t="n">
        <v>1</v>
      </c>
      <c r="G44" s="2" t="s">
        <v>29</v>
      </c>
      <c r="H44" s="2" t="n">
        <v>43</v>
      </c>
      <c r="I44" s="2" t="s">
        <v>39</v>
      </c>
      <c r="J44" s="2" t="n">
        <v>1</v>
      </c>
      <c r="K44" s="2" t="s">
        <v>45</v>
      </c>
      <c r="L44" s="2" t="s">
        <v>37</v>
      </c>
      <c r="M44" s="2" t="n">
        <v>23790</v>
      </c>
      <c r="N44" s="2" t="n">
        <v>1</v>
      </c>
      <c r="O44" s="2" t="n">
        <v>12</v>
      </c>
      <c r="P44" s="2" t="n">
        <v>0</v>
      </c>
      <c r="Q44" s="2" t="n">
        <v>22</v>
      </c>
      <c r="R44" s="2" t="n">
        <v>6</v>
      </c>
      <c r="S44" s="2" t="n">
        <v>22</v>
      </c>
      <c r="T44" s="2" t="n">
        <v>0</v>
      </c>
      <c r="U44" s="2" t="n">
        <v>4</v>
      </c>
      <c r="V44" s="2" t="n">
        <v>4</v>
      </c>
      <c r="W44" s="2" t="n">
        <v>2</v>
      </c>
      <c r="X44" s="2" t="n">
        <v>3</v>
      </c>
      <c r="Y44" s="2" t="n">
        <v>3</v>
      </c>
      <c r="Z44" s="2" t="n">
        <v>3</v>
      </c>
    </row>
    <row r="45" customFormat="false" ht="15" hidden="false" customHeight="true" outlineLevel="0" collapsed="false">
      <c r="A45" s="2" t="n">
        <v>18</v>
      </c>
      <c r="B45" s="2" t="s">
        <v>26</v>
      </c>
      <c r="C45" s="2" t="s">
        <v>27</v>
      </c>
      <c r="D45" s="2" t="s">
        <v>28</v>
      </c>
      <c r="E45" s="2" t="n">
        <v>7</v>
      </c>
      <c r="F45" s="2" t="n">
        <v>3</v>
      </c>
      <c r="G45" s="2" t="s">
        <v>29</v>
      </c>
      <c r="H45" s="2" t="n">
        <v>44</v>
      </c>
      <c r="I45" s="2" t="s">
        <v>39</v>
      </c>
      <c r="J45" s="2" t="n">
        <v>1</v>
      </c>
      <c r="K45" s="2" t="s">
        <v>36</v>
      </c>
      <c r="L45" s="2" t="s">
        <v>37</v>
      </c>
      <c r="M45" s="2" t="n">
        <v>38120</v>
      </c>
      <c r="N45" s="2" t="n">
        <v>1</v>
      </c>
      <c r="O45" s="2" t="n">
        <v>15</v>
      </c>
      <c r="P45" s="2" t="n">
        <v>0</v>
      </c>
      <c r="Q45" s="2" t="n">
        <v>0</v>
      </c>
      <c r="R45" s="2" t="n">
        <v>3</v>
      </c>
      <c r="S45" s="2" t="n">
        <v>0</v>
      </c>
      <c r="T45" s="2" t="n">
        <v>0</v>
      </c>
      <c r="U45" s="2" t="n">
        <v>0</v>
      </c>
      <c r="V45" s="2" t="n">
        <v>4</v>
      </c>
      <c r="W45" s="2" t="n">
        <v>3</v>
      </c>
      <c r="X45" s="2" t="n">
        <v>3</v>
      </c>
      <c r="Y45" s="2" t="n">
        <v>3</v>
      </c>
      <c r="Z45" s="2" t="n">
        <v>3</v>
      </c>
    </row>
    <row r="46" customFormat="false" ht="15" hidden="false" customHeight="true" outlineLevel="0" collapsed="false">
      <c r="A46" s="2" t="n">
        <v>28</v>
      </c>
      <c r="B46" s="2" t="s">
        <v>26</v>
      </c>
      <c r="C46" s="2" t="s">
        <v>27</v>
      </c>
      <c r="D46" s="2" t="s">
        <v>35</v>
      </c>
      <c r="E46" s="2" t="n">
        <v>9</v>
      </c>
      <c r="F46" s="2" t="n">
        <v>3</v>
      </c>
      <c r="G46" s="2" t="s">
        <v>43</v>
      </c>
      <c r="H46" s="2" t="n">
        <v>45</v>
      </c>
      <c r="I46" s="2" t="s">
        <v>39</v>
      </c>
      <c r="J46" s="2" t="n">
        <v>1</v>
      </c>
      <c r="K46" s="2" t="s">
        <v>48</v>
      </c>
      <c r="L46" s="2" t="s">
        <v>37</v>
      </c>
      <c r="M46" s="2" t="n">
        <v>46480</v>
      </c>
      <c r="N46" s="2" t="n">
        <v>0</v>
      </c>
      <c r="O46" s="2" t="n">
        <v>23</v>
      </c>
      <c r="P46" s="2" t="n">
        <v>2</v>
      </c>
      <c r="Q46" s="2" t="n">
        <v>9</v>
      </c>
      <c r="R46" s="2" t="n">
        <v>2</v>
      </c>
      <c r="S46" s="2" t="n">
        <v>8</v>
      </c>
      <c r="T46" s="2" t="n">
        <v>0</v>
      </c>
      <c r="U46" s="2" t="n">
        <v>7</v>
      </c>
      <c r="V46" s="2" t="n">
        <v>2</v>
      </c>
      <c r="W46" s="2" t="n">
        <v>1</v>
      </c>
      <c r="X46" s="2" t="n">
        <v>3</v>
      </c>
      <c r="Y46" s="2" t="n">
        <v>2</v>
      </c>
      <c r="Z46" s="2" t="n">
        <v>4</v>
      </c>
    </row>
    <row r="47" customFormat="false" ht="15" hidden="false" customHeight="true" outlineLevel="0" collapsed="false">
      <c r="A47" s="2" t="n">
        <v>31</v>
      </c>
      <c r="B47" s="2" t="s">
        <v>26</v>
      </c>
      <c r="C47" s="2" t="s">
        <v>27</v>
      </c>
      <c r="D47" s="2" t="s">
        <v>35</v>
      </c>
      <c r="E47" s="2" t="n">
        <v>8</v>
      </c>
      <c r="F47" s="2" t="n">
        <v>1</v>
      </c>
      <c r="G47" s="2" t="s">
        <v>51</v>
      </c>
      <c r="H47" s="2" t="n">
        <v>46</v>
      </c>
      <c r="I47" s="2" t="s">
        <v>39</v>
      </c>
      <c r="J47" s="2" t="n">
        <v>1</v>
      </c>
      <c r="K47" s="2" t="s">
        <v>47</v>
      </c>
      <c r="L47" s="2" t="s">
        <v>32</v>
      </c>
      <c r="M47" s="2" t="n">
        <v>29360</v>
      </c>
      <c r="N47" s="2" t="n">
        <v>4</v>
      </c>
      <c r="O47" s="2" t="n">
        <v>12</v>
      </c>
      <c r="P47" s="2" t="n">
        <v>1</v>
      </c>
      <c r="Q47" s="2" t="n">
        <v>10</v>
      </c>
      <c r="R47" s="2" t="n">
        <v>2</v>
      </c>
      <c r="S47" s="2" t="n">
        <v>8</v>
      </c>
      <c r="T47" s="2" t="n">
        <v>7</v>
      </c>
      <c r="U47" s="2" t="n">
        <v>7</v>
      </c>
      <c r="V47" s="2" t="n">
        <v>2</v>
      </c>
      <c r="W47" s="2" t="n">
        <v>4</v>
      </c>
      <c r="X47" s="2" t="n">
        <v>2</v>
      </c>
      <c r="Y47" s="2" t="n">
        <v>3</v>
      </c>
      <c r="Z47" s="2" t="n">
        <v>3</v>
      </c>
    </row>
    <row r="48" customFormat="false" ht="15" hidden="false" customHeight="true" outlineLevel="0" collapsed="false">
      <c r="A48" s="2" t="n">
        <v>39</v>
      </c>
      <c r="B48" s="2" t="s">
        <v>26</v>
      </c>
      <c r="C48" s="2" t="s">
        <v>27</v>
      </c>
      <c r="D48" s="2" t="s">
        <v>28</v>
      </c>
      <c r="E48" s="2" t="n">
        <v>5</v>
      </c>
      <c r="F48" s="2" t="n">
        <v>4</v>
      </c>
      <c r="G48" s="2" t="s">
        <v>50</v>
      </c>
      <c r="H48" s="2" t="n">
        <v>47</v>
      </c>
      <c r="I48" s="2" t="s">
        <v>30</v>
      </c>
      <c r="J48" s="2" t="n">
        <v>2</v>
      </c>
      <c r="K48" s="2" t="s">
        <v>42</v>
      </c>
      <c r="L48" s="2" t="s">
        <v>46</v>
      </c>
      <c r="M48" s="2" t="n">
        <v>21050</v>
      </c>
      <c r="N48" s="2" t="n">
        <v>0</v>
      </c>
      <c r="O48" s="2" t="n">
        <v>20</v>
      </c>
      <c r="P48" s="2" t="n">
        <v>0</v>
      </c>
      <c r="Q48" s="2" t="n">
        <v>19</v>
      </c>
      <c r="R48" s="2" t="n">
        <v>3</v>
      </c>
      <c r="S48" s="2" t="n">
        <v>18</v>
      </c>
      <c r="T48" s="2" t="n">
        <v>3</v>
      </c>
      <c r="U48" s="2" t="n">
        <v>7</v>
      </c>
      <c r="V48" s="2" t="n">
        <v>3</v>
      </c>
      <c r="W48" s="2" t="n">
        <v>4</v>
      </c>
      <c r="X48" s="2" t="n">
        <v>2</v>
      </c>
      <c r="Y48" s="2" t="n">
        <v>3</v>
      </c>
      <c r="Z48" s="2" t="n">
        <v>4</v>
      </c>
    </row>
    <row r="49" customFormat="false" ht="15" hidden="false" customHeight="true" outlineLevel="0" collapsed="false">
      <c r="A49" s="2" t="n">
        <v>36</v>
      </c>
      <c r="B49" s="2" t="s">
        <v>26</v>
      </c>
      <c r="C49" s="2" t="s">
        <v>41</v>
      </c>
      <c r="D49" s="2" t="s">
        <v>35</v>
      </c>
      <c r="E49" s="2" t="n">
        <v>5</v>
      </c>
      <c r="F49" s="2" t="n">
        <v>4</v>
      </c>
      <c r="G49" s="2" t="s">
        <v>29</v>
      </c>
      <c r="H49" s="2" t="n">
        <v>48</v>
      </c>
      <c r="I49" s="2" t="s">
        <v>39</v>
      </c>
      <c r="J49" s="2" t="n">
        <v>1</v>
      </c>
      <c r="K49" s="2" t="s">
        <v>40</v>
      </c>
      <c r="L49" s="2" t="s">
        <v>32</v>
      </c>
      <c r="M49" s="2" t="n">
        <v>85780</v>
      </c>
      <c r="N49" s="2" t="n">
        <v>7</v>
      </c>
      <c r="O49" s="2" t="n">
        <v>21</v>
      </c>
      <c r="P49" s="2" t="n">
        <v>0</v>
      </c>
      <c r="Q49" s="2" t="n">
        <v>11</v>
      </c>
      <c r="R49" s="2" t="n">
        <v>4</v>
      </c>
      <c r="S49" s="2" t="n">
        <v>9</v>
      </c>
      <c r="T49" s="2" t="n">
        <v>0</v>
      </c>
      <c r="U49" s="2" t="n">
        <v>8</v>
      </c>
      <c r="V49" s="2" t="n">
        <v>2</v>
      </c>
      <c r="W49" s="2" t="n">
        <v>2</v>
      </c>
      <c r="X49" s="2" t="n">
        <v>3</v>
      </c>
      <c r="Y49" s="2" t="n">
        <v>3</v>
      </c>
      <c r="Z49" s="2" t="n">
        <v>4</v>
      </c>
    </row>
    <row r="50" customFormat="false" ht="15" hidden="false" customHeight="true" outlineLevel="0" collapsed="false">
      <c r="A50" s="2" t="n">
        <v>32</v>
      </c>
      <c r="B50" s="2" t="s">
        <v>26</v>
      </c>
      <c r="C50" s="2" t="s">
        <v>27</v>
      </c>
      <c r="D50" s="2" t="s">
        <v>28</v>
      </c>
      <c r="E50" s="2" t="n">
        <v>2</v>
      </c>
      <c r="F50" s="2" t="n">
        <v>3</v>
      </c>
      <c r="G50" s="2" t="s">
        <v>50</v>
      </c>
      <c r="H50" s="2" t="n">
        <v>49</v>
      </c>
      <c r="I50" s="2" t="s">
        <v>39</v>
      </c>
      <c r="J50" s="2" t="n">
        <v>2</v>
      </c>
      <c r="K50" s="2" t="s">
        <v>45</v>
      </c>
      <c r="L50" s="2" t="s">
        <v>32</v>
      </c>
      <c r="M50" s="2" t="n">
        <v>27060</v>
      </c>
      <c r="N50" s="2" t="n">
        <v>1</v>
      </c>
      <c r="O50" s="2" t="n">
        <v>21</v>
      </c>
      <c r="P50" s="2" t="n">
        <v>1</v>
      </c>
      <c r="Q50" s="2" t="n">
        <v>13</v>
      </c>
      <c r="R50" s="2" t="n">
        <v>4</v>
      </c>
      <c r="S50" s="2" t="n">
        <v>13</v>
      </c>
      <c r="T50" s="2" t="n">
        <v>4</v>
      </c>
      <c r="U50" s="2" t="n">
        <v>8</v>
      </c>
      <c r="V50" s="2" t="n">
        <v>4</v>
      </c>
      <c r="W50" s="2" t="n">
        <v>3</v>
      </c>
      <c r="X50" s="2" t="n">
        <v>2</v>
      </c>
      <c r="Y50" s="2" t="n">
        <v>3</v>
      </c>
      <c r="Z50" s="2" t="n">
        <v>4</v>
      </c>
    </row>
    <row r="51" customFormat="false" ht="15" hidden="false" customHeight="true" outlineLevel="0" collapsed="false">
      <c r="A51" s="2" t="n">
        <v>38</v>
      </c>
      <c r="B51" s="2" t="s">
        <v>26</v>
      </c>
      <c r="C51" s="2" t="s">
        <v>27</v>
      </c>
      <c r="D51" s="2" t="s">
        <v>35</v>
      </c>
      <c r="E51" s="2" t="n">
        <v>5</v>
      </c>
      <c r="F51" s="2" t="n">
        <v>2</v>
      </c>
      <c r="G51" s="2" t="s">
        <v>29</v>
      </c>
      <c r="H51" s="2" t="n">
        <v>50</v>
      </c>
      <c r="I51" s="2" t="s">
        <v>30</v>
      </c>
      <c r="J51" s="2" t="n">
        <v>3</v>
      </c>
      <c r="K51" s="2" t="s">
        <v>36</v>
      </c>
      <c r="L51" s="2" t="s">
        <v>32</v>
      </c>
      <c r="M51" s="2" t="n">
        <v>63840</v>
      </c>
      <c r="N51" s="2" t="n">
        <v>3</v>
      </c>
      <c r="O51" s="2" t="n">
        <v>19</v>
      </c>
      <c r="P51" s="2" t="n">
        <v>2</v>
      </c>
      <c r="Q51" s="2" t="n">
        <v>19</v>
      </c>
      <c r="R51" s="2" t="n">
        <v>4</v>
      </c>
      <c r="S51" s="2" t="n">
        <v>10</v>
      </c>
      <c r="T51" s="2" t="n">
        <v>0</v>
      </c>
      <c r="U51" s="2" t="n">
        <v>1</v>
      </c>
      <c r="V51" s="2" t="n">
        <v>1</v>
      </c>
      <c r="W51" s="2" t="n">
        <v>2</v>
      </c>
      <c r="X51" s="2" t="n">
        <v>3</v>
      </c>
      <c r="Y51" s="2" t="n">
        <v>2</v>
      </c>
      <c r="Z51" s="2" t="n">
        <v>3</v>
      </c>
    </row>
    <row r="52" customFormat="false" ht="15" hidden="false" customHeight="true" outlineLevel="0" collapsed="false">
      <c r="A52" s="2" t="n">
        <v>58</v>
      </c>
      <c r="B52" s="2" t="s">
        <v>26</v>
      </c>
      <c r="C52" s="2" t="s">
        <v>41</v>
      </c>
      <c r="D52" s="2" t="s">
        <v>35</v>
      </c>
      <c r="E52" s="2" t="n">
        <v>2</v>
      </c>
      <c r="F52" s="2" t="n">
        <v>3</v>
      </c>
      <c r="G52" s="2" t="s">
        <v>29</v>
      </c>
      <c r="H52" s="2" t="n">
        <v>51</v>
      </c>
      <c r="I52" s="2" t="s">
        <v>39</v>
      </c>
      <c r="J52" s="2" t="n">
        <v>2</v>
      </c>
      <c r="K52" s="2" t="s">
        <v>47</v>
      </c>
      <c r="L52" s="2" t="s">
        <v>46</v>
      </c>
      <c r="M52" s="2" t="n">
        <v>39680</v>
      </c>
      <c r="N52" s="2" t="n">
        <v>2</v>
      </c>
      <c r="O52" s="2" t="n">
        <v>13</v>
      </c>
      <c r="P52" s="2" t="n">
        <v>2</v>
      </c>
      <c r="Q52" s="2" t="n">
        <v>12</v>
      </c>
      <c r="R52" s="2" t="n">
        <v>3</v>
      </c>
      <c r="S52" s="2" t="n">
        <v>5</v>
      </c>
      <c r="T52" s="2" t="n">
        <v>1</v>
      </c>
      <c r="U52" s="2" t="n">
        <v>2</v>
      </c>
      <c r="V52" s="2" t="n">
        <v>4</v>
      </c>
      <c r="W52" s="2" t="n">
        <v>3</v>
      </c>
      <c r="X52" s="2" t="n">
        <v>3</v>
      </c>
      <c r="Y52" s="2" t="n">
        <v>2</v>
      </c>
      <c r="Z52" s="2" t="n">
        <v>3</v>
      </c>
    </row>
    <row r="53" customFormat="false" ht="15" hidden="false" customHeight="true" outlineLevel="0" collapsed="false">
      <c r="A53" s="2" t="n">
        <v>31</v>
      </c>
      <c r="B53" s="2" t="s">
        <v>26</v>
      </c>
      <c r="C53" s="2" t="s">
        <v>27</v>
      </c>
      <c r="D53" s="2" t="s">
        <v>35</v>
      </c>
      <c r="E53" s="2" t="n">
        <v>20</v>
      </c>
      <c r="F53" s="2" t="n">
        <v>1</v>
      </c>
      <c r="G53" s="2" t="s">
        <v>51</v>
      </c>
      <c r="H53" s="2" t="n">
        <v>52</v>
      </c>
      <c r="I53" s="2" t="s">
        <v>30</v>
      </c>
      <c r="J53" s="2" t="n">
        <v>3</v>
      </c>
      <c r="K53" s="2" t="s">
        <v>36</v>
      </c>
      <c r="L53" s="2" t="s">
        <v>32</v>
      </c>
      <c r="M53" s="2" t="n">
        <v>99070</v>
      </c>
      <c r="N53" s="2" t="n">
        <v>0</v>
      </c>
      <c r="O53" s="2" t="n">
        <v>13</v>
      </c>
      <c r="P53" s="2" t="n">
        <v>1</v>
      </c>
      <c r="Q53" s="2" t="n">
        <v>6</v>
      </c>
      <c r="R53" s="2" t="n">
        <v>3</v>
      </c>
      <c r="S53" s="2" t="n">
        <v>5</v>
      </c>
      <c r="T53" s="2" t="n">
        <v>0</v>
      </c>
      <c r="U53" s="2" t="n">
        <v>3</v>
      </c>
      <c r="V53" s="2" t="n">
        <v>3</v>
      </c>
      <c r="W53" s="2" t="n">
        <v>4</v>
      </c>
      <c r="X53" s="2" t="n">
        <v>3</v>
      </c>
      <c r="Y53" s="2" t="n">
        <v>2</v>
      </c>
      <c r="Z53" s="2" t="n">
        <v>3</v>
      </c>
    </row>
    <row r="54" customFormat="false" ht="15" hidden="false" customHeight="true" outlineLevel="0" collapsed="false">
      <c r="A54" s="2" t="n">
        <v>31</v>
      </c>
      <c r="B54" s="2" t="s">
        <v>26</v>
      </c>
      <c r="C54" s="2" t="s">
        <v>27</v>
      </c>
      <c r="D54" s="2" t="s">
        <v>28</v>
      </c>
      <c r="E54" s="2" t="n">
        <v>7</v>
      </c>
      <c r="F54" s="2" t="n">
        <v>4</v>
      </c>
      <c r="G54" s="2" t="s">
        <v>50</v>
      </c>
      <c r="H54" s="2" t="n">
        <v>53</v>
      </c>
      <c r="I54" s="2" t="s">
        <v>39</v>
      </c>
      <c r="J54" s="2" t="n">
        <v>2</v>
      </c>
      <c r="K54" s="2" t="s">
        <v>40</v>
      </c>
      <c r="L54" s="2" t="s">
        <v>32</v>
      </c>
      <c r="M54" s="2" t="n">
        <v>132250</v>
      </c>
      <c r="N54" s="2" t="n">
        <v>3</v>
      </c>
      <c r="O54" s="2" t="n">
        <v>21</v>
      </c>
      <c r="P54" s="2" t="n">
        <v>1</v>
      </c>
      <c r="Q54" s="2" t="n">
        <v>9</v>
      </c>
      <c r="R54" s="2" t="n">
        <v>2</v>
      </c>
      <c r="S54" s="2" t="n">
        <v>2</v>
      </c>
      <c r="T54" s="2" t="n">
        <v>1</v>
      </c>
      <c r="U54" s="2" t="n">
        <v>0</v>
      </c>
      <c r="V54" s="2" t="n">
        <v>1</v>
      </c>
      <c r="W54" s="2" t="n">
        <v>1</v>
      </c>
      <c r="X54" s="2" t="n">
        <v>3</v>
      </c>
      <c r="Y54" s="2" t="n">
        <v>3</v>
      </c>
      <c r="Z54" s="2" t="n">
        <v>4</v>
      </c>
    </row>
    <row r="55" customFormat="false" ht="15" hidden="false" customHeight="true" outlineLevel="0" collapsed="false">
      <c r="A55" s="2" t="n">
        <v>45</v>
      </c>
      <c r="B55" s="2" t="s">
        <v>26</v>
      </c>
      <c r="C55" s="2" t="s">
        <v>34</v>
      </c>
      <c r="D55" s="2" t="s">
        <v>35</v>
      </c>
      <c r="E55" s="2" t="n">
        <v>3</v>
      </c>
      <c r="F55" s="2" t="n">
        <v>1</v>
      </c>
      <c r="G55" s="2" t="s">
        <v>43</v>
      </c>
      <c r="H55" s="2" t="n">
        <v>54</v>
      </c>
      <c r="I55" s="2" t="s">
        <v>30</v>
      </c>
      <c r="J55" s="2" t="n">
        <v>1</v>
      </c>
      <c r="K55" s="2" t="s">
        <v>40</v>
      </c>
      <c r="L55" s="2" t="s">
        <v>46</v>
      </c>
      <c r="M55" s="2" t="n">
        <v>35400</v>
      </c>
      <c r="N55" s="2" t="n">
        <v>1</v>
      </c>
      <c r="O55" s="2" t="n">
        <v>13</v>
      </c>
      <c r="P55" s="2" t="n">
        <v>0</v>
      </c>
      <c r="Q55" s="2" t="n">
        <v>24</v>
      </c>
      <c r="R55" s="2" t="n">
        <v>6</v>
      </c>
      <c r="S55" s="2" t="n">
        <v>24</v>
      </c>
      <c r="T55" s="2" t="n">
        <v>9</v>
      </c>
      <c r="U55" s="2" t="n">
        <v>11</v>
      </c>
      <c r="V55" s="2" t="n">
        <v>1</v>
      </c>
      <c r="W55" s="2" t="n">
        <v>1</v>
      </c>
      <c r="X55" s="2" t="n">
        <v>3</v>
      </c>
      <c r="Y55" s="2" t="n">
        <v>3</v>
      </c>
      <c r="Z55" s="2" t="n">
        <v>3</v>
      </c>
    </row>
    <row r="56" customFormat="false" ht="15" hidden="false" customHeight="true" outlineLevel="0" collapsed="false">
      <c r="A56" s="2" t="n">
        <v>31</v>
      </c>
      <c r="B56" s="2" t="s">
        <v>26</v>
      </c>
      <c r="C56" s="2" t="s">
        <v>27</v>
      </c>
      <c r="D56" s="2" t="s">
        <v>28</v>
      </c>
      <c r="E56" s="2" t="n">
        <v>16</v>
      </c>
      <c r="F56" s="2" t="n">
        <v>4</v>
      </c>
      <c r="G56" s="2" t="s">
        <v>50</v>
      </c>
      <c r="H56" s="2" t="n">
        <v>55</v>
      </c>
      <c r="I56" s="2" t="s">
        <v>30</v>
      </c>
      <c r="J56" s="2" t="n">
        <v>2</v>
      </c>
      <c r="K56" s="2" t="s">
        <v>36</v>
      </c>
      <c r="L56" s="2" t="s">
        <v>46</v>
      </c>
      <c r="M56" s="2" t="n">
        <v>28040</v>
      </c>
      <c r="N56" s="2" t="n">
        <v>0</v>
      </c>
      <c r="O56" s="2" t="n">
        <v>19</v>
      </c>
      <c r="P56" s="2" t="n">
        <v>2</v>
      </c>
      <c r="Q56" s="2" t="n">
        <v>3</v>
      </c>
      <c r="R56" s="2" t="n">
        <v>0</v>
      </c>
      <c r="S56" s="2" t="n">
        <v>2</v>
      </c>
      <c r="T56" s="2" t="n">
        <v>2</v>
      </c>
      <c r="U56" s="2" t="n">
        <v>2</v>
      </c>
      <c r="V56" s="2" t="n">
        <v>3</v>
      </c>
      <c r="W56" s="2" t="n">
        <v>4</v>
      </c>
      <c r="X56" s="2" t="n">
        <v>1</v>
      </c>
      <c r="Y56" s="2" t="n">
        <v>3</v>
      </c>
      <c r="Z56" s="2" t="n">
        <v>3</v>
      </c>
    </row>
    <row r="57" customFormat="false" ht="15" hidden="false" customHeight="true" outlineLevel="0" collapsed="false">
      <c r="A57" s="2" t="n">
        <v>33</v>
      </c>
      <c r="B57" s="2" t="s">
        <v>26</v>
      </c>
      <c r="C57" s="2" t="s">
        <v>34</v>
      </c>
      <c r="D57" s="2" t="s">
        <v>35</v>
      </c>
      <c r="E57" s="2" t="n">
        <v>9</v>
      </c>
      <c r="F57" s="2" t="n">
        <v>3</v>
      </c>
      <c r="G57" s="2" t="s">
        <v>29</v>
      </c>
      <c r="H57" s="2" t="n">
        <v>56</v>
      </c>
      <c r="I57" s="2" t="s">
        <v>39</v>
      </c>
      <c r="J57" s="2" t="n">
        <v>4</v>
      </c>
      <c r="K57" s="2" t="s">
        <v>44</v>
      </c>
      <c r="L57" s="2" t="s">
        <v>32</v>
      </c>
      <c r="M57" s="2" t="n">
        <v>193920</v>
      </c>
      <c r="N57" s="2" t="n">
        <v>6</v>
      </c>
      <c r="O57" s="2" t="n">
        <v>12</v>
      </c>
      <c r="P57" s="2" t="n">
        <v>1</v>
      </c>
      <c r="Q57" s="2" t="n">
        <v>12</v>
      </c>
      <c r="R57" s="2" t="n">
        <v>3</v>
      </c>
      <c r="S57" s="2" t="n">
        <v>10</v>
      </c>
      <c r="T57" s="2" t="n">
        <v>8</v>
      </c>
      <c r="U57" s="2" t="n">
        <v>8</v>
      </c>
      <c r="V57" s="2" t="n">
        <v>4</v>
      </c>
      <c r="W57" s="2" t="n">
        <v>2</v>
      </c>
      <c r="X57" s="2" t="n">
        <v>3</v>
      </c>
      <c r="Y57" s="2" t="n">
        <v>3</v>
      </c>
      <c r="Z57" s="2" t="n">
        <v>3</v>
      </c>
    </row>
    <row r="58" customFormat="false" ht="15" hidden="false" customHeight="true" outlineLevel="0" collapsed="false">
      <c r="A58" s="2" t="n">
        <v>39</v>
      </c>
      <c r="B58" s="2" t="s">
        <v>26</v>
      </c>
      <c r="C58" s="2" t="s">
        <v>27</v>
      </c>
      <c r="D58" s="2" t="s">
        <v>28</v>
      </c>
      <c r="E58" s="2" t="n">
        <v>1</v>
      </c>
      <c r="F58" s="2" t="n">
        <v>4</v>
      </c>
      <c r="G58" s="2" t="s">
        <v>29</v>
      </c>
      <c r="H58" s="2" t="n">
        <v>57</v>
      </c>
      <c r="I58" s="2" t="s">
        <v>39</v>
      </c>
      <c r="J58" s="2" t="n">
        <v>1</v>
      </c>
      <c r="K58" s="2" t="s">
        <v>40</v>
      </c>
      <c r="L58" s="2" t="s">
        <v>32</v>
      </c>
      <c r="M58" s="2" t="n">
        <v>196650</v>
      </c>
      <c r="N58" s="2" t="n">
        <v>1</v>
      </c>
      <c r="O58" s="2" t="n">
        <v>22</v>
      </c>
      <c r="P58" s="2" t="n">
        <v>1</v>
      </c>
      <c r="Q58" s="2" t="n">
        <v>21</v>
      </c>
      <c r="R58" s="2" t="n">
        <v>6</v>
      </c>
      <c r="S58" s="2" t="n">
        <v>21</v>
      </c>
      <c r="T58" s="2" t="n">
        <v>11</v>
      </c>
      <c r="U58" s="2" t="n">
        <v>10</v>
      </c>
      <c r="V58" s="2" t="n">
        <v>3</v>
      </c>
      <c r="W58" s="2" t="n">
        <v>1</v>
      </c>
      <c r="X58" s="2" t="n">
        <v>3</v>
      </c>
      <c r="Y58" s="2" t="n">
        <v>3</v>
      </c>
      <c r="Z58" s="2" t="n">
        <v>4</v>
      </c>
    </row>
    <row r="59" customFormat="false" ht="15" hidden="false" customHeight="true" outlineLevel="0" collapsed="false">
      <c r="A59" s="2" t="n">
        <v>43</v>
      </c>
      <c r="B59" s="2" t="s">
        <v>26</v>
      </c>
      <c r="C59" s="2" t="s">
        <v>34</v>
      </c>
      <c r="D59" s="2" t="s">
        <v>35</v>
      </c>
      <c r="E59" s="2" t="n">
        <v>7</v>
      </c>
      <c r="F59" s="2" t="n">
        <v>4</v>
      </c>
      <c r="G59" s="2" t="s">
        <v>43</v>
      </c>
      <c r="H59" s="2" t="n">
        <v>58</v>
      </c>
      <c r="I59" s="2" t="s">
        <v>39</v>
      </c>
      <c r="J59" s="2" t="n">
        <v>4</v>
      </c>
      <c r="K59" s="2" t="s">
        <v>36</v>
      </c>
      <c r="L59" s="2" t="s">
        <v>37</v>
      </c>
      <c r="M59" s="2" t="n">
        <v>24390</v>
      </c>
      <c r="N59" s="2" t="n">
        <v>0</v>
      </c>
      <c r="O59" s="2" t="n">
        <v>15</v>
      </c>
      <c r="P59" s="2" t="n">
        <v>0</v>
      </c>
      <c r="Q59" s="2" t="n">
        <v>9</v>
      </c>
      <c r="R59" s="2" t="n">
        <v>2</v>
      </c>
      <c r="S59" s="2" t="n">
        <v>8</v>
      </c>
      <c r="T59" s="2" t="n">
        <v>1</v>
      </c>
      <c r="U59" s="2" t="n">
        <v>7</v>
      </c>
      <c r="V59" s="2" t="n">
        <v>3</v>
      </c>
      <c r="W59" s="2" t="n">
        <v>4</v>
      </c>
      <c r="X59" s="2" t="n">
        <v>3</v>
      </c>
      <c r="Y59" s="2" t="n">
        <v>3</v>
      </c>
      <c r="Z59" s="2" t="n">
        <v>3</v>
      </c>
    </row>
    <row r="60" customFormat="false" ht="15" hidden="false" customHeight="true" outlineLevel="0" collapsed="false">
      <c r="A60" s="2" t="n">
        <v>49</v>
      </c>
      <c r="B60" s="2" t="s">
        <v>26</v>
      </c>
      <c r="C60" s="2" t="s">
        <v>27</v>
      </c>
      <c r="D60" s="2" t="s">
        <v>35</v>
      </c>
      <c r="E60" s="2" t="n">
        <v>1</v>
      </c>
      <c r="F60" s="2" t="n">
        <v>3</v>
      </c>
      <c r="G60" s="2" t="s">
        <v>29</v>
      </c>
      <c r="H60" s="2" t="n">
        <v>59</v>
      </c>
      <c r="I60" s="2" t="s">
        <v>39</v>
      </c>
      <c r="J60" s="2" t="n">
        <v>3</v>
      </c>
      <c r="K60" s="2" t="s">
        <v>47</v>
      </c>
      <c r="L60" s="2" t="s">
        <v>37</v>
      </c>
      <c r="M60" s="2" t="n">
        <v>73140</v>
      </c>
      <c r="N60" s="2" t="n">
        <v>7</v>
      </c>
      <c r="O60" s="2" t="n">
        <v>22</v>
      </c>
      <c r="P60" s="2" t="n">
        <v>0</v>
      </c>
      <c r="Q60" s="2" t="n">
        <v>25</v>
      </c>
      <c r="R60" s="2" t="n">
        <v>2</v>
      </c>
      <c r="S60" s="2" t="n">
        <v>7</v>
      </c>
      <c r="T60" s="2" t="n">
        <v>0</v>
      </c>
      <c r="U60" s="2" t="n">
        <v>7</v>
      </c>
      <c r="V60" s="2" t="n">
        <v>3</v>
      </c>
      <c r="W60" s="2" t="n">
        <v>3</v>
      </c>
      <c r="X60" s="2" t="n">
        <v>3</v>
      </c>
      <c r="Y60" s="2" t="n">
        <v>3</v>
      </c>
      <c r="Z60" s="2" t="n">
        <v>4</v>
      </c>
    </row>
    <row r="61" customFormat="false" ht="15" hidden="false" customHeight="true" outlineLevel="0" collapsed="false">
      <c r="A61" s="2" t="n">
        <v>52</v>
      </c>
      <c r="B61" s="2" t="s">
        <v>33</v>
      </c>
      <c r="C61" s="2" t="s">
        <v>27</v>
      </c>
      <c r="D61" s="2" t="s">
        <v>35</v>
      </c>
      <c r="E61" s="2" t="n">
        <v>7</v>
      </c>
      <c r="F61" s="2" t="n">
        <v>1</v>
      </c>
      <c r="G61" s="2" t="s">
        <v>29</v>
      </c>
      <c r="H61" s="2" t="n">
        <v>60</v>
      </c>
      <c r="I61" s="2" t="s">
        <v>30</v>
      </c>
      <c r="J61" s="2" t="n">
        <v>2</v>
      </c>
      <c r="K61" s="2" t="s">
        <v>36</v>
      </c>
      <c r="L61" s="2" t="s">
        <v>32</v>
      </c>
      <c r="M61" s="2" t="n">
        <v>47740</v>
      </c>
      <c r="N61" s="2" t="n">
        <v>2</v>
      </c>
      <c r="O61" s="2" t="n">
        <v>18</v>
      </c>
      <c r="P61" s="2" t="n">
        <v>1</v>
      </c>
      <c r="Q61" s="2" t="n">
        <v>11</v>
      </c>
      <c r="R61" s="2" t="n">
        <v>2</v>
      </c>
      <c r="S61" s="2" t="n">
        <v>8</v>
      </c>
      <c r="T61" s="2" t="n">
        <v>7</v>
      </c>
      <c r="U61" s="2" t="n">
        <v>7</v>
      </c>
      <c r="V61" s="2" t="n">
        <v>3</v>
      </c>
      <c r="W61" s="2" t="n">
        <v>2</v>
      </c>
      <c r="X61" s="2" t="n">
        <v>2</v>
      </c>
      <c r="Y61" s="2" t="n">
        <v>3</v>
      </c>
      <c r="Z61" s="2" t="n">
        <v>3</v>
      </c>
    </row>
    <row r="62" customFormat="false" ht="15" hidden="false" customHeight="true" outlineLevel="0" collapsed="false">
      <c r="A62" s="2" t="n">
        <v>27</v>
      </c>
      <c r="B62" s="2" t="s">
        <v>26</v>
      </c>
      <c r="C62" s="2" t="s">
        <v>27</v>
      </c>
      <c r="D62" s="2" t="s">
        <v>35</v>
      </c>
      <c r="E62" s="2" t="n">
        <v>15</v>
      </c>
      <c r="F62" s="2" t="n">
        <v>4</v>
      </c>
      <c r="G62" s="2" t="s">
        <v>43</v>
      </c>
      <c r="H62" s="2" t="n">
        <v>61</v>
      </c>
      <c r="I62" s="2" t="s">
        <v>39</v>
      </c>
      <c r="J62" s="2" t="n">
        <v>3</v>
      </c>
      <c r="K62" s="2" t="s">
        <v>36</v>
      </c>
      <c r="L62" s="2" t="s">
        <v>37</v>
      </c>
      <c r="M62" s="2" t="n">
        <v>39020</v>
      </c>
      <c r="N62" s="2" t="n">
        <v>1</v>
      </c>
      <c r="O62" s="2" t="n">
        <v>22</v>
      </c>
      <c r="P62" s="2" t="n">
        <v>0</v>
      </c>
      <c r="Q62" s="2" t="n">
        <v>4</v>
      </c>
      <c r="R62" s="2" t="n">
        <v>2</v>
      </c>
      <c r="S62" s="2" t="n">
        <v>4</v>
      </c>
      <c r="T62" s="2" t="n">
        <v>1</v>
      </c>
      <c r="U62" s="2" t="n">
        <v>2</v>
      </c>
      <c r="V62" s="2" t="n">
        <v>3</v>
      </c>
      <c r="W62" s="2" t="n">
        <v>2</v>
      </c>
      <c r="X62" s="2" t="n">
        <v>2</v>
      </c>
      <c r="Y62" s="2" t="n">
        <v>3</v>
      </c>
      <c r="Z62" s="2" t="n">
        <v>4</v>
      </c>
    </row>
    <row r="63" customFormat="false" ht="15" hidden="false" customHeight="true" outlineLevel="0" collapsed="false">
      <c r="A63" s="2" t="n">
        <v>32</v>
      </c>
      <c r="B63" s="2" t="s">
        <v>26</v>
      </c>
      <c r="C63" s="2" t="s">
        <v>27</v>
      </c>
      <c r="D63" s="2" t="s">
        <v>35</v>
      </c>
      <c r="E63" s="2" t="n">
        <v>1</v>
      </c>
      <c r="F63" s="2" t="n">
        <v>3</v>
      </c>
      <c r="G63" s="2" t="s">
        <v>29</v>
      </c>
      <c r="H63" s="2" t="n">
        <v>62</v>
      </c>
      <c r="I63" s="2" t="s">
        <v>39</v>
      </c>
      <c r="J63" s="2" t="n">
        <v>3</v>
      </c>
      <c r="K63" s="2" t="s">
        <v>36</v>
      </c>
      <c r="L63" s="2" t="s">
        <v>32</v>
      </c>
      <c r="M63" s="2" t="n">
        <v>26620</v>
      </c>
      <c r="N63" s="2" t="n">
        <v>1</v>
      </c>
      <c r="O63" s="2" t="n">
        <v>11</v>
      </c>
      <c r="P63" s="2" t="n">
        <v>1</v>
      </c>
      <c r="Q63" s="2" t="n">
        <v>13</v>
      </c>
      <c r="R63" s="2" t="n">
        <v>6</v>
      </c>
      <c r="S63" s="2" t="n">
        <v>13</v>
      </c>
      <c r="T63" s="2" t="n">
        <v>11</v>
      </c>
      <c r="U63" s="2" t="n">
        <v>9</v>
      </c>
      <c r="V63" s="2" t="n">
        <v>3</v>
      </c>
      <c r="W63" s="2" t="n">
        <v>2</v>
      </c>
      <c r="X63" s="2" t="n">
        <v>3</v>
      </c>
      <c r="Y63" s="2" t="n">
        <v>4</v>
      </c>
      <c r="Z63" s="2" t="n">
        <v>3</v>
      </c>
    </row>
    <row r="64" customFormat="false" ht="15" hidden="false" customHeight="true" outlineLevel="0" collapsed="false">
      <c r="A64" s="2" t="n">
        <v>27</v>
      </c>
      <c r="B64" s="2" t="s">
        <v>26</v>
      </c>
      <c r="C64" s="2" t="s">
        <v>27</v>
      </c>
      <c r="D64" s="2" t="s">
        <v>35</v>
      </c>
      <c r="E64" s="2" t="n">
        <v>13</v>
      </c>
      <c r="F64" s="2" t="n">
        <v>2</v>
      </c>
      <c r="G64" s="2" t="s">
        <v>43</v>
      </c>
      <c r="H64" s="2" t="n">
        <v>63</v>
      </c>
      <c r="I64" s="2" t="s">
        <v>30</v>
      </c>
      <c r="J64" s="2" t="n">
        <v>4</v>
      </c>
      <c r="K64" s="2" t="s">
        <v>44</v>
      </c>
      <c r="L64" s="2" t="s">
        <v>37</v>
      </c>
      <c r="M64" s="2" t="n">
        <v>28560</v>
      </c>
      <c r="N64" s="2" t="n">
        <v>1</v>
      </c>
      <c r="O64" s="2" t="n">
        <v>12</v>
      </c>
      <c r="P64" s="2" t="n">
        <v>2</v>
      </c>
      <c r="Q64" s="2" t="n">
        <v>5</v>
      </c>
      <c r="R64" s="2" t="n">
        <v>5</v>
      </c>
      <c r="S64" s="2" t="n">
        <v>5</v>
      </c>
      <c r="T64" s="2" t="n">
        <v>0</v>
      </c>
      <c r="U64" s="2" t="n">
        <v>4</v>
      </c>
      <c r="V64" s="2" t="n">
        <v>4</v>
      </c>
      <c r="W64" s="2" t="n">
        <v>3</v>
      </c>
      <c r="X64" s="2" t="n">
        <v>3</v>
      </c>
      <c r="Y64" s="2" t="n">
        <v>4</v>
      </c>
      <c r="Z64" s="2" t="n">
        <v>3</v>
      </c>
    </row>
    <row r="65" customFormat="false" ht="15" hidden="false" customHeight="true" outlineLevel="0" collapsed="false">
      <c r="A65" s="2" t="n">
        <v>31</v>
      </c>
      <c r="B65" s="2" t="s">
        <v>26</v>
      </c>
      <c r="C65" s="2" t="s">
        <v>27</v>
      </c>
      <c r="D65" s="2" t="s">
        <v>28</v>
      </c>
      <c r="E65" s="2" t="n">
        <v>24</v>
      </c>
      <c r="F65" s="2" t="n">
        <v>3</v>
      </c>
      <c r="G65" s="2" t="s">
        <v>29</v>
      </c>
      <c r="H65" s="2" t="n">
        <v>64</v>
      </c>
      <c r="I65" s="2" t="s">
        <v>39</v>
      </c>
      <c r="J65" s="2" t="n">
        <v>2</v>
      </c>
      <c r="K65" s="2" t="s">
        <v>31</v>
      </c>
      <c r="L65" s="2" t="s">
        <v>46</v>
      </c>
      <c r="M65" s="2" t="n">
        <v>10810</v>
      </c>
      <c r="N65" s="2" t="n">
        <v>4</v>
      </c>
      <c r="O65" s="2" t="n">
        <v>11</v>
      </c>
      <c r="P65" s="2" t="n">
        <v>3</v>
      </c>
      <c r="Q65" s="2" t="n">
        <v>13</v>
      </c>
      <c r="R65" s="2" t="n">
        <v>4</v>
      </c>
      <c r="S65" s="2" t="n">
        <v>7</v>
      </c>
      <c r="T65" s="2" t="n">
        <v>1</v>
      </c>
      <c r="U65" s="2" t="n">
        <v>7</v>
      </c>
      <c r="V65" s="2" t="n">
        <v>4</v>
      </c>
      <c r="W65" s="2" t="n">
        <v>4</v>
      </c>
      <c r="X65" s="2" t="n">
        <v>3</v>
      </c>
      <c r="Y65" s="2" t="n">
        <v>4</v>
      </c>
      <c r="Z65" s="2" t="n">
        <v>3</v>
      </c>
    </row>
    <row r="66" customFormat="false" ht="15" hidden="false" customHeight="true" outlineLevel="0" collapsed="false">
      <c r="A66" s="2" t="n">
        <v>32</v>
      </c>
      <c r="B66" s="2" t="s">
        <v>26</v>
      </c>
      <c r="C66" s="2" t="s">
        <v>27</v>
      </c>
      <c r="D66" s="2" t="s">
        <v>35</v>
      </c>
      <c r="E66" s="2" t="n">
        <v>7</v>
      </c>
      <c r="F66" s="2" t="n">
        <v>3</v>
      </c>
      <c r="G66" s="2" t="s">
        <v>51</v>
      </c>
      <c r="H66" s="2" t="n">
        <v>65</v>
      </c>
      <c r="I66" s="2" t="s">
        <v>39</v>
      </c>
      <c r="J66" s="2" t="n">
        <v>2</v>
      </c>
      <c r="K66" s="2" t="s">
        <v>31</v>
      </c>
      <c r="L66" s="2" t="s">
        <v>37</v>
      </c>
      <c r="M66" s="2" t="n">
        <v>24720</v>
      </c>
      <c r="N66" s="2" t="n">
        <v>7</v>
      </c>
      <c r="O66" s="2" t="n">
        <v>13</v>
      </c>
      <c r="P66" s="2" t="n">
        <v>0</v>
      </c>
      <c r="Q66" s="2" t="n">
        <v>10</v>
      </c>
      <c r="R66" s="2" t="n">
        <v>2</v>
      </c>
      <c r="S66" s="2" t="n">
        <v>7</v>
      </c>
      <c r="T66" s="2" t="n">
        <v>0</v>
      </c>
      <c r="U66" s="2" t="n">
        <v>7</v>
      </c>
      <c r="V66" s="2" t="n">
        <v>1</v>
      </c>
      <c r="W66" s="2" t="n">
        <v>4</v>
      </c>
      <c r="X66" s="2" t="n">
        <v>2</v>
      </c>
      <c r="Y66" s="2" t="n">
        <v>3</v>
      </c>
      <c r="Z66" s="2" t="n">
        <v>3</v>
      </c>
    </row>
    <row r="67" customFormat="false" ht="15" hidden="false" customHeight="true" outlineLevel="0" collapsed="false">
      <c r="A67" s="2" t="n">
        <v>28</v>
      </c>
      <c r="B67" s="2" t="s">
        <v>33</v>
      </c>
      <c r="C67" s="2" t="s">
        <v>27</v>
      </c>
      <c r="D67" s="2" t="s">
        <v>35</v>
      </c>
      <c r="E67" s="2" t="n">
        <v>9</v>
      </c>
      <c r="F67" s="2" t="n">
        <v>4</v>
      </c>
      <c r="G67" s="2" t="s">
        <v>43</v>
      </c>
      <c r="H67" s="2" t="n">
        <v>66</v>
      </c>
      <c r="I67" s="2" t="s">
        <v>39</v>
      </c>
      <c r="J67" s="2" t="n">
        <v>1</v>
      </c>
      <c r="K67" s="2" t="s">
        <v>40</v>
      </c>
      <c r="L67" s="2" t="s">
        <v>32</v>
      </c>
      <c r="M67" s="2" t="n">
        <v>56730</v>
      </c>
      <c r="N67" s="2" t="n">
        <v>5</v>
      </c>
      <c r="O67" s="2" t="n">
        <v>14</v>
      </c>
      <c r="P67" s="2" t="n">
        <v>1</v>
      </c>
      <c r="Q67" s="2" t="n">
        <v>5</v>
      </c>
      <c r="R67" s="2" t="n">
        <v>4</v>
      </c>
      <c r="S67" s="2" t="n">
        <v>3</v>
      </c>
      <c r="T67" s="2" t="n">
        <v>2</v>
      </c>
      <c r="U67" s="2" t="n">
        <v>2</v>
      </c>
      <c r="V67" s="2" t="n">
        <v>1</v>
      </c>
      <c r="W67" s="2" t="n">
        <v>4</v>
      </c>
      <c r="X67" s="2" t="n">
        <v>2</v>
      </c>
      <c r="Y67" s="2" t="n">
        <v>2</v>
      </c>
      <c r="Z67" s="2" t="n">
        <v>3</v>
      </c>
    </row>
    <row r="68" customFormat="false" ht="15" hidden="false" customHeight="true" outlineLevel="0" collapsed="false">
      <c r="A68" s="2" t="n">
        <v>30</v>
      </c>
      <c r="B68" s="2" t="s">
        <v>26</v>
      </c>
      <c r="C68" s="2" t="s">
        <v>27</v>
      </c>
      <c r="D68" s="2" t="s">
        <v>35</v>
      </c>
      <c r="E68" s="2" t="n">
        <v>13</v>
      </c>
      <c r="F68" s="2" t="n">
        <v>3</v>
      </c>
      <c r="G68" s="2" t="s">
        <v>29</v>
      </c>
      <c r="H68" s="2" t="n">
        <v>67</v>
      </c>
      <c r="I68" s="2" t="s">
        <v>30</v>
      </c>
      <c r="J68" s="2" t="n">
        <v>4</v>
      </c>
      <c r="K68" s="2" t="s">
        <v>44</v>
      </c>
      <c r="L68" s="2" t="s">
        <v>32</v>
      </c>
      <c r="M68" s="2" t="n">
        <v>41970</v>
      </c>
      <c r="N68" s="2" t="n">
        <v>1</v>
      </c>
      <c r="O68" s="2" t="n">
        <v>13</v>
      </c>
      <c r="P68" s="2" t="n">
        <v>0</v>
      </c>
      <c r="Q68" s="2" t="n">
        <v>11</v>
      </c>
      <c r="R68" s="2" t="n">
        <v>3</v>
      </c>
      <c r="S68" s="2" t="n">
        <v>10</v>
      </c>
      <c r="T68" s="2" t="n">
        <v>1</v>
      </c>
      <c r="U68" s="2" t="n">
        <v>9</v>
      </c>
      <c r="V68" s="2" t="n">
        <v>4</v>
      </c>
      <c r="W68" s="2" t="n">
        <v>4</v>
      </c>
      <c r="X68" s="2" t="n">
        <v>3</v>
      </c>
      <c r="Y68" s="2" t="n">
        <v>3</v>
      </c>
      <c r="Z68" s="2" t="n">
        <v>3</v>
      </c>
    </row>
    <row r="69" customFormat="false" ht="15" hidden="false" customHeight="true" outlineLevel="0" collapsed="false">
      <c r="A69" s="2" t="n">
        <v>31</v>
      </c>
      <c r="B69" s="2" t="s">
        <v>26</v>
      </c>
      <c r="C69" s="2" t="s">
        <v>34</v>
      </c>
      <c r="D69" s="2" t="s">
        <v>35</v>
      </c>
      <c r="E69" s="2" t="n">
        <v>2</v>
      </c>
      <c r="F69" s="2" t="n">
        <v>1</v>
      </c>
      <c r="G69" s="2" t="s">
        <v>29</v>
      </c>
      <c r="H69" s="2" t="n">
        <v>68</v>
      </c>
      <c r="I69" s="2" t="s">
        <v>30</v>
      </c>
      <c r="J69" s="2" t="n">
        <v>1</v>
      </c>
      <c r="K69" s="2" t="s">
        <v>49</v>
      </c>
      <c r="L69" s="2" t="s">
        <v>32</v>
      </c>
      <c r="M69" s="2" t="n">
        <v>97130</v>
      </c>
      <c r="N69" s="2" t="n">
        <v>1</v>
      </c>
      <c r="O69" s="2" t="n">
        <v>17</v>
      </c>
      <c r="P69" s="2" t="n">
        <v>0</v>
      </c>
      <c r="Q69" s="2" t="n">
        <v>10</v>
      </c>
      <c r="R69" s="2" t="n">
        <v>5</v>
      </c>
      <c r="S69" s="2" t="n">
        <v>10</v>
      </c>
      <c r="T69" s="2" t="n">
        <v>8</v>
      </c>
      <c r="U69" s="2" t="n">
        <v>9</v>
      </c>
      <c r="V69" s="2" t="n">
        <v>3</v>
      </c>
      <c r="W69" s="2" t="n">
        <v>3</v>
      </c>
      <c r="X69" s="2" t="n">
        <v>3</v>
      </c>
      <c r="Y69" s="2" t="n">
        <v>2</v>
      </c>
      <c r="Z69" s="2" t="n">
        <v>3</v>
      </c>
    </row>
    <row r="70" customFormat="false" ht="15" hidden="false" customHeight="true" outlineLevel="0" collapsed="false">
      <c r="A70" s="2" t="n">
        <v>39</v>
      </c>
      <c r="B70" s="2" t="s">
        <v>26</v>
      </c>
      <c r="C70" s="2" t="s">
        <v>34</v>
      </c>
      <c r="D70" s="2" t="s">
        <v>35</v>
      </c>
      <c r="E70" s="2" t="n">
        <v>19</v>
      </c>
      <c r="F70" s="2" t="n">
        <v>4</v>
      </c>
      <c r="G70" s="2" t="s">
        <v>43</v>
      </c>
      <c r="H70" s="2" t="n">
        <v>69</v>
      </c>
      <c r="I70" s="2" t="s">
        <v>30</v>
      </c>
      <c r="J70" s="2" t="n">
        <v>1</v>
      </c>
      <c r="K70" s="2" t="s">
        <v>36</v>
      </c>
      <c r="L70" s="2" t="s">
        <v>32</v>
      </c>
      <c r="M70" s="2" t="n">
        <v>20620</v>
      </c>
      <c r="N70" s="2" t="n">
        <v>1</v>
      </c>
      <c r="O70" s="2" t="n">
        <v>13</v>
      </c>
      <c r="P70" s="2" t="n">
        <v>0</v>
      </c>
      <c r="Q70" s="2" t="n">
        <v>21</v>
      </c>
      <c r="R70" s="2" t="n">
        <v>4</v>
      </c>
      <c r="S70" s="2" t="n">
        <v>21</v>
      </c>
      <c r="T70" s="2" t="n">
        <v>13</v>
      </c>
      <c r="U70" s="2" t="n">
        <v>3</v>
      </c>
      <c r="V70" s="2" t="n">
        <v>3</v>
      </c>
      <c r="W70" s="2" t="n">
        <v>4</v>
      </c>
      <c r="X70" s="2" t="n">
        <v>3</v>
      </c>
      <c r="Y70" s="2" t="n">
        <v>3</v>
      </c>
      <c r="Z70" s="2" t="n">
        <v>3</v>
      </c>
    </row>
    <row r="71" customFormat="false" ht="15" hidden="false" customHeight="true" outlineLevel="0" collapsed="false">
      <c r="A71" s="2" t="n">
        <v>39</v>
      </c>
      <c r="B71" s="2" t="s">
        <v>33</v>
      </c>
      <c r="C71" s="2" t="s">
        <v>27</v>
      </c>
      <c r="D71" s="2" t="s">
        <v>35</v>
      </c>
      <c r="E71" s="2" t="n">
        <v>1</v>
      </c>
      <c r="F71" s="2" t="n">
        <v>1</v>
      </c>
      <c r="G71" s="2" t="s">
        <v>43</v>
      </c>
      <c r="H71" s="2" t="n">
        <v>70</v>
      </c>
      <c r="I71" s="2" t="s">
        <v>30</v>
      </c>
      <c r="J71" s="2" t="n">
        <v>1</v>
      </c>
      <c r="K71" s="2" t="s">
        <v>45</v>
      </c>
      <c r="L71" s="2" t="s">
        <v>32</v>
      </c>
      <c r="M71" s="2" t="n">
        <v>42840</v>
      </c>
      <c r="N71" s="2" t="n">
        <v>4</v>
      </c>
      <c r="O71" s="2" t="n">
        <v>17</v>
      </c>
      <c r="P71" s="2" t="n">
        <v>1</v>
      </c>
      <c r="Q71" s="2" t="n">
        <v>12</v>
      </c>
      <c r="R71" s="2" t="n">
        <v>0</v>
      </c>
      <c r="S71" s="2" t="n">
        <v>1</v>
      </c>
      <c r="T71" s="2" t="n">
        <v>0</v>
      </c>
      <c r="U71" s="2" t="n">
        <v>0</v>
      </c>
      <c r="V71" s="2" t="n">
        <v>4</v>
      </c>
      <c r="W71" s="2" t="n">
        <v>3</v>
      </c>
      <c r="X71" s="2" t="n">
        <v>2</v>
      </c>
      <c r="Y71" s="2" t="n">
        <v>3</v>
      </c>
      <c r="Z71" s="2" t="n">
        <v>3</v>
      </c>
    </row>
    <row r="72" customFormat="false" ht="15" hidden="false" customHeight="true" outlineLevel="0" collapsed="false">
      <c r="A72" s="2" t="n">
        <v>33</v>
      </c>
      <c r="B72" s="2" t="s">
        <v>26</v>
      </c>
      <c r="C72" s="2" t="s">
        <v>34</v>
      </c>
      <c r="D72" s="2" t="s">
        <v>28</v>
      </c>
      <c r="E72" s="2" t="n">
        <v>4</v>
      </c>
      <c r="F72" s="2" t="n">
        <v>2</v>
      </c>
      <c r="G72" s="2" t="s">
        <v>29</v>
      </c>
      <c r="H72" s="2" t="n">
        <v>71</v>
      </c>
      <c r="I72" s="2" t="s">
        <v>39</v>
      </c>
      <c r="J72" s="2" t="n">
        <v>4</v>
      </c>
      <c r="K72" s="2" t="s">
        <v>36</v>
      </c>
      <c r="L72" s="2" t="s">
        <v>37</v>
      </c>
      <c r="M72" s="2" t="n">
        <v>47880</v>
      </c>
      <c r="N72" s="2" t="n">
        <v>3</v>
      </c>
      <c r="O72" s="2" t="n">
        <v>11</v>
      </c>
      <c r="P72" s="2" t="n">
        <v>1</v>
      </c>
      <c r="Q72" s="2" t="n">
        <v>9</v>
      </c>
      <c r="R72" s="2" t="n">
        <v>0</v>
      </c>
      <c r="S72" s="2" t="n">
        <v>7</v>
      </c>
      <c r="T72" s="2" t="n">
        <v>0</v>
      </c>
      <c r="U72" s="2" t="n">
        <v>1</v>
      </c>
      <c r="V72" s="2" t="n">
        <v>2</v>
      </c>
      <c r="W72" s="2" t="n">
        <v>4</v>
      </c>
      <c r="X72" s="2" t="n">
        <v>2</v>
      </c>
      <c r="Y72" s="2" t="n">
        <v>3</v>
      </c>
      <c r="Z72" s="2" t="n">
        <v>3</v>
      </c>
    </row>
    <row r="73" customFormat="false" ht="15" hidden="false" customHeight="true" outlineLevel="0" collapsed="false">
      <c r="A73" s="2" t="n">
        <v>47</v>
      </c>
      <c r="B73" s="2" t="s">
        <v>26</v>
      </c>
      <c r="C73" s="2" t="s">
        <v>27</v>
      </c>
      <c r="D73" s="2" t="s">
        <v>35</v>
      </c>
      <c r="E73" s="2" t="n">
        <v>4</v>
      </c>
      <c r="F73" s="2" t="n">
        <v>3</v>
      </c>
      <c r="G73" s="2" t="s">
        <v>29</v>
      </c>
      <c r="H73" s="2" t="n">
        <v>72</v>
      </c>
      <c r="I73" s="2" t="s">
        <v>30</v>
      </c>
      <c r="J73" s="2" t="n">
        <v>2</v>
      </c>
      <c r="K73" s="2" t="s">
        <v>31</v>
      </c>
      <c r="L73" s="2" t="s">
        <v>32</v>
      </c>
      <c r="M73" s="2" t="n">
        <v>59060</v>
      </c>
      <c r="N73" s="2" t="n">
        <v>4</v>
      </c>
      <c r="O73" s="2" t="n">
        <v>23</v>
      </c>
      <c r="P73" s="2" t="n">
        <v>0</v>
      </c>
      <c r="Q73" s="2" t="n">
        <v>21</v>
      </c>
      <c r="R73" s="2" t="n">
        <v>4</v>
      </c>
      <c r="S73" s="2" t="n">
        <v>3</v>
      </c>
      <c r="T73" s="2" t="n">
        <v>1</v>
      </c>
      <c r="U73" s="2" t="n">
        <v>1</v>
      </c>
      <c r="V73" s="2" t="n">
        <v>4</v>
      </c>
      <c r="W73" s="2" t="n">
        <v>3</v>
      </c>
      <c r="X73" s="2" t="n">
        <v>3</v>
      </c>
      <c r="Y73" s="2" t="n">
        <v>4</v>
      </c>
      <c r="Z73" s="2" t="n">
        <v>4</v>
      </c>
    </row>
    <row r="74" customFormat="false" ht="15" hidden="false" customHeight="true" outlineLevel="0" collapsed="false">
      <c r="A74" s="2" t="n">
        <v>43</v>
      </c>
      <c r="B74" s="2" t="s">
        <v>26</v>
      </c>
      <c r="C74" s="2" t="s">
        <v>34</v>
      </c>
      <c r="D74" s="2" t="s">
        <v>35</v>
      </c>
      <c r="E74" s="2" t="n">
        <v>14</v>
      </c>
      <c r="F74" s="2" t="n">
        <v>3</v>
      </c>
      <c r="G74" s="2" t="s">
        <v>43</v>
      </c>
      <c r="H74" s="2" t="n">
        <v>73</v>
      </c>
      <c r="I74" s="2" t="s">
        <v>30</v>
      </c>
      <c r="J74" s="2" t="n">
        <v>5</v>
      </c>
      <c r="K74" s="2" t="s">
        <v>44</v>
      </c>
      <c r="L74" s="2" t="s">
        <v>46</v>
      </c>
      <c r="M74" s="2" t="n">
        <v>38860</v>
      </c>
      <c r="N74" s="2" t="n">
        <v>1</v>
      </c>
      <c r="O74" s="2" t="n">
        <v>17</v>
      </c>
      <c r="P74" s="2" t="n">
        <v>2</v>
      </c>
      <c r="Q74" s="2" t="n">
        <v>9</v>
      </c>
      <c r="R74" s="2" t="n">
        <v>2</v>
      </c>
      <c r="S74" s="2" t="n">
        <v>9</v>
      </c>
      <c r="T74" s="2" t="n">
        <v>0</v>
      </c>
      <c r="U74" s="2" t="n">
        <v>0</v>
      </c>
      <c r="V74" s="2" t="n">
        <v>3</v>
      </c>
      <c r="W74" s="2" t="n">
        <v>3</v>
      </c>
      <c r="X74" s="2" t="n">
        <v>4</v>
      </c>
      <c r="Y74" s="2" t="n">
        <v>3</v>
      </c>
      <c r="Z74" s="2" t="n">
        <v>3</v>
      </c>
    </row>
    <row r="75" customFormat="false" ht="15" hidden="false" customHeight="true" outlineLevel="0" collapsed="false">
      <c r="A75" s="2" t="n">
        <v>27</v>
      </c>
      <c r="B75" s="2" t="s">
        <v>26</v>
      </c>
      <c r="C75" s="2" t="s">
        <v>41</v>
      </c>
      <c r="D75" s="2" t="s">
        <v>35</v>
      </c>
      <c r="E75" s="2" t="n">
        <v>2</v>
      </c>
      <c r="F75" s="2" t="n">
        <v>3</v>
      </c>
      <c r="G75" s="2" t="s">
        <v>29</v>
      </c>
      <c r="H75" s="2" t="n">
        <v>74</v>
      </c>
      <c r="I75" s="2" t="s">
        <v>39</v>
      </c>
      <c r="J75" s="2" t="n">
        <v>1</v>
      </c>
      <c r="K75" s="2" t="s">
        <v>44</v>
      </c>
      <c r="L75" s="2" t="s">
        <v>32</v>
      </c>
      <c r="M75" s="2" t="n">
        <v>168230</v>
      </c>
      <c r="N75" s="2" t="n">
        <v>0</v>
      </c>
      <c r="O75" s="2" t="n">
        <v>17</v>
      </c>
      <c r="P75" s="2" t="n">
        <v>0</v>
      </c>
      <c r="Q75" s="2" t="n">
        <v>6</v>
      </c>
      <c r="R75" s="2" t="n">
        <v>3</v>
      </c>
      <c r="S75" s="2" t="n">
        <v>5</v>
      </c>
      <c r="T75" s="2" t="n">
        <v>1</v>
      </c>
      <c r="U75" s="2" t="n">
        <v>4</v>
      </c>
      <c r="V75" s="2" t="n">
        <v>3</v>
      </c>
      <c r="W75" s="2" t="n">
        <v>2</v>
      </c>
      <c r="X75" s="2" t="n">
        <v>3</v>
      </c>
      <c r="Y75" s="2" t="n">
        <v>3</v>
      </c>
      <c r="Z75" s="2" t="n">
        <v>3</v>
      </c>
    </row>
    <row r="76" customFormat="false" ht="15" hidden="false" customHeight="true" outlineLevel="0" collapsed="false">
      <c r="A76" s="2" t="n">
        <v>54</v>
      </c>
      <c r="B76" s="2" t="s">
        <v>26</v>
      </c>
      <c r="C76" s="2" t="s">
        <v>34</v>
      </c>
      <c r="D76" s="2" t="s">
        <v>35</v>
      </c>
      <c r="E76" s="2" t="n">
        <v>1</v>
      </c>
      <c r="F76" s="2" t="n">
        <v>4</v>
      </c>
      <c r="G76" s="2" t="s">
        <v>29</v>
      </c>
      <c r="H76" s="2" t="n">
        <v>75</v>
      </c>
      <c r="I76" s="2" t="s">
        <v>39</v>
      </c>
      <c r="J76" s="2" t="n">
        <v>2</v>
      </c>
      <c r="K76" s="2" t="s">
        <v>36</v>
      </c>
      <c r="L76" s="2" t="s">
        <v>37</v>
      </c>
      <c r="M76" s="2" t="n">
        <v>29330</v>
      </c>
      <c r="N76" s="2" t="n">
        <v>3</v>
      </c>
      <c r="O76" s="2" t="n">
        <v>12</v>
      </c>
      <c r="P76" s="2" t="n">
        <v>2</v>
      </c>
      <c r="Q76" s="2" t="n">
        <v>20</v>
      </c>
      <c r="R76" s="2" t="n">
        <v>2</v>
      </c>
      <c r="S76" s="2" t="n">
        <v>4</v>
      </c>
      <c r="T76" s="2" t="n">
        <v>0</v>
      </c>
      <c r="U76" s="2" t="n">
        <v>3</v>
      </c>
      <c r="V76" s="2" t="n">
        <v>4</v>
      </c>
      <c r="W76" s="2" t="n">
        <v>3</v>
      </c>
      <c r="X76" s="2" t="n">
        <v>2</v>
      </c>
      <c r="Y76" s="2" t="n">
        <v>3</v>
      </c>
      <c r="Z76" s="2" t="n">
        <v>3</v>
      </c>
    </row>
    <row r="77" customFormat="false" ht="15" hidden="false" customHeight="true" outlineLevel="0" collapsed="false">
      <c r="A77" s="2" t="n">
        <v>43</v>
      </c>
      <c r="B77" s="2" t="s">
        <v>26</v>
      </c>
      <c r="C77" s="2" t="s">
        <v>27</v>
      </c>
      <c r="D77" s="2" t="s">
        <v>35</v>
      </c>
      <c r="E77" s="2" t="n">
        <v>7</v>
      </c>
      <c r="F77" s="2" t="n">
        <v>2</v>
      </c>
      <c r="G77" s="2" t="s">
        <v>29</v>
      </c>
      <c r="H77" s="2" t="n">
        <v>76</v>
      </c>
      <c r="I77" s="2" t="s">
        <v>30</v>
      </c>
      <c r="J77" s="2" t="n">
        <v>2</v>
      </c>
      <c r="K77" s="2" t="s">
        <v>49</v>
      </c>
      <c r="L77" s="2" t="s">
        <v>32</v>
      </c>
      <c r="M77" s="2" t="n">
        <v>65000</v>
      </c>
      <c r="N77" s="2" t="n">
        <v>8</v>
      </c>
      <c r="O77" s="2" t="n">
        <v>23</v>
      </c>
      <c r="P77" s="2" t="n">
        <v>0</v>
      </c>
      <c r="Q77" s="2" t="n">
        <v>10</v>
      </c>
      <c r="R77" s="2" t="n">
        <v>3</v>
      </c>
      <c r="S77" s="2" t="n">
        <v>1</v>
      </c>
      <c r="T77" s="2" t="n">
        <v>0</v>
      </c>
      <c r="U77" s="2" t="n">
        <v>0</v>
      </c>
      <c r="V77" s="2" t="n">
        <v>3</v>
      </c>
      <c r="W77" s="2" t="n">
        <v>1</v>
      </c>
      <c r="X77" s="2" t="n">
        <v>2</v>
      </c>
      <c r="Y77" s="2" t="n">
        <v>3</v>
      </c>
      <c r="Z77" s="2" t="n">
        <v>4</v>
      </c>
    </row>
    <row r="78" customFormat="false" ht="15" hidden="false" customHeight="true" outlineLevel="0" collapsed="false">
      <c r="A78" s="2" t="n">
        <v>45</v>
      </c>
      <c r="B78" s="2" t="s">
        <v>26</v>
      </c>
      <c r="C78" s="2" t="s">
        <v>27</v>
      </c>
      <c r="D78" s="2" t="s">
        <v>28</v>
      </c>
      <c r="E78" s="2" t="n">
        <v>3</v>
      </c>
      <c r="F78" s="2" t="n">
        <v>1</v>
      </c>
      <c r="G78" s="2" t="s">
        <v>50</v>
      </c>
      <c r="H78" s="2" t="n">
        <v>77</v>
      </c>
      <c r="I78" s="2" t="s">
        <v>30</v>
      </c>
      <c r="J78" s="2" t="n">
        <v>1</v>
      </c>
      <c r="K78" s="2" t="s">
        <v>40</v>
      </c>
      <c r="L78" s="2" t="s">
        <v>32</v>
      </c>
      <c r="M78" s="2" t="n">
        <v>171740</v>
      </c>
      <c r="N78" s="2" t="n">
        <v>9</v>
      </c>
      <c r="O78" s="2" t="n">
        <v>14</v>
      </c>
      <c r="P78" s="2" t="n">
        <v>1</v>
      </c>
      <c r="Q78" s="2" t="n">
        <v>12</v>
      </c>
      <c r="R78" s="2" t="n">
        <v>6</v>
      </c>
      <c r="S78" s="2" t="n">
        <v>10</v>
      </c>
      <c r="T78" s="2" t="n">
        <v>9</v>
      </c>
      <c r="U78" s="2" t="n">
        <v>8</v>
      </c>
      <c r="V78" s="2" t="n">
        <v>4</v>
      </c>
      <c r="W78" s="2" t="n">
        <v>4</v>
      </c>
      <c r="X78" s="2" t="n">
        <v>3</v>
      </c>
      <c r="Y78" s="2" t="n">
        <v>3</v>
      </c>
      <c r="Z78" s="2" t="n">
        <v>3</v>
      </c>
    </row>
    <row r="79" customFormat="false" ht="15" hidden="false" customHeight="true" outlineLevel="0" collapsed="false">
      <c r="A79" s="2" t="n">
        <v>40</v>
      </c>
      <c r="B79" s="2" t="s">
        <v>26</v>
      </c>
      <c r="C79" s="2" t="s">
        <v>27</v>
      </c>
      <c r="D79" s="2" t="s">
        <v>35</v>
      </c>
      <c r="E79" s="2" t="n">
        <v>2</v>
      </c>
      <c r="F79" s="2" t="n">
        <v>4</v>
      </c>
      <c r="G79" s="2" t="s">
        <v>38</v>
      </c>
      <c r="H79" s="2" t="n">
        <v>78</v>
      </c>
      <c r="I79" s="2" t="s">
        <v>39</v>
      </c>
      <c r="J79" s="2" t="n">
        <v>4</v>
      </c>
      <c r="K79" s="2" t="s">
        <v>36</v>
      </c>
      <c r="L79" s="2" t="s">
        <v>32</v>
      </c>
      <c r="M79" s="2" t="n">
        <v>50330</v>
      </c>
      <c r="N79" s="2" t="n">
        <v>2</v>
      </c>
      <c r="O79" s="2" t="n">
        <v>14</v>
      </c>
      <c r="P79" s="2" t="n">
        <v>2</v>
      </c>
      <c r="Q79" s="2" t="n">
        <v>6</v>
      </c>
      <c r="R79" s="2" t="n">
        <v>6</v>
      </c>
      <c r="S79" s="2" t="n">
        <v>4</v>
      </c>
      <c r="T79" s="2" t="n">
        <v>0</v>
      </c>
      <c r="U79" s="2" t="n">
        <v>2</v>
      </c>
      <c r="V79" s="2" t="n">
        <v>2</v>
      </c>
      <c r="W79" s="2" t="n">
        <v>4</v>
      </c>
      <c r="X79" s="2" t="n">
        <v>2</v>
      </c>
      <c r="Y79" s="2" t="n">
        <v>3</v>
      </c>
      <c r="Z79" s="2" t="n">
        <v>3</v>
      </c>
    </row>
    <row r="80" customFormat="false" ht="15" hidden="false" customHeight="true" outlineLevel="0" collapsed="false">
      <c r="A80" s="2" t="n">
        <v>29</v>
      </c>
      <c r="B80" s="2" t="s">
        <v>33</v>
      </c>
      <c r="C80" s="2" t="s">
        <v>27</v>
      </c>
      <c r="D80" s="2" t="s">
        <v>35</v>
      </c>
      <c r="E80" s="2" t="n">
        <v>29</v>
      </c>
      <c r="F80" s="2" t="n">
        <v>3</v>
      </c>
      <c r="G80" s="2" t="s">
        <v>43</v>
      </c>
      <c r="H80" s="2" t="n">
        <v>79</v>
      </c>
      <c r="I80" s="2" t="s">
        <v>30</v>
      </c>
      <c r="J80" s="2" t="n">
        <v>1</v>
      </c>
      <c r="K80" s="2" t="s">
        <v>36</v>
      </c>
      <c r="L80" s="2" t="s">
        <v>32</v>
      </c>
      <c r="M80" s="2" t="n">
        <v>23070</v>
      </c>
      <c r="N80" s="2" t="n">
        <v>1</v>
      </c>
      <c r="O80" s="2" t="n">
        <v>13</v>
      </c>
      <c r="P80" s="2" t="n">
        <v>1</v>
      </c>
      <c r="Q80" s="2" t="n">
        <v>7</v>
      </c>
      <c r="R80" s="2" t="n">
        <v>0</v>
      </c>
      <c r="S80" s="2" t="n">
        <v>7</v>
      </c>
      <c r="T80" s="2" t="n">
        <v>0</v>
      </c>
      <c r="U80" s="2" t="n">
        <v>7</v>
      </c>
      <c r="V80" s="2" t="n">
        <v>2</v>
      </c>
      <c r="W80" s="2" t="n">
        <v>1</v>
      </c>
      <c r="X80" s="2" t="n">
        <v>2</v>
      </c>
      <c r="Y80" s="2" t="n">
        <v>3</v>
      </c>
      <c r="Z80" s="2" t="n">
        <v>3</v>
      </c>
    </row>
    <row r="81" customFormat="false" ht="15" hidden="false" customHeight="true" outlineLevel="0" collapsed="false">
      <c r="A81" s="2" t="n">
        <v>29</v>
      </c>
      <c r="B81" s="2" t="s">
        <v>26</v>
      </c>
      <c r="C81" s="2" t="s">
        <v>27</v>
      </c>
      <c r="D81" s="2" t="s">
        <v>42</v>
      </c>
      <c r="E81" s="2" t="n">
        <v>8</v>
      </c>
      <c r="F81" s="2" t="n">
        <v>3</v>
      </c>
      <c r="G81" s="2" t="s">
        <v>43</v>
      </c>
      <c r="H81" s="2" t="n">
        <v>80</v>
      </c>
      <c r="I81" s="2" t="s">
        <v>39</v>
      </c>
      <c r="J81" s="2" t="n">
        <v>3</v>
      </c>
      <c r="K81" s="2" t="s">
        <v>48</v>
      </c>
      <c r="L81" s="2" t="s">
        <v>37</v>
      </c>
      <c r="M81" s="2" t="n">
        <v>25870</v>
      </c>
      <c r="N81" s="2" t="n">
        <v>0</v>
      </c>
      <c r="O81" s="2" t="n">
        <v>22</v>
      </c>
      <c r="P81" s="2" t="n">
        <v>2</v>
      </c>
      <c r="Q81" s="2" t="n">
        <v>4</v>
      </c>
      <c r="R81" s="2" t="n">
        <v>3</v>
      </c>
      <c r="S81" s="2" t="n">
        <v>3</v>
      </c>
      <c r="T81" s="2" t="n">
        <v>2</v>
      </c>
      <c r="U81" s="2" t="n">
        <v>2</v>
      </c>
      <c r="V81" s="2" t="n">
        <v>2</v>
      </c>
      <c r="W81" s="2" t="n">
        <v>4</v>
      </c>
      <c r="X81" s="2" t="n">
        <v>3</v>
      </c>
      <c r="Y81" s="2" t="n">
        <v>3</v>
      </c>
      <c r="Z81" s="2" t="n">
        <v>4</v>
      </c>
    </row>
    <row r="82" customFormat="false" ht="15" hidden="false" customHeight="true" outlineLevel="0" collapsed="false">
      <c r="A82" s="2" t="n">
        <v>30</v>
      </c>
      <c r="B82" s="2" t="s">
        <v>26</v>
      </c>
      <c r="C82" s="2" t="s">
        <v>27</v>
      </c>
      <c r="D82" s="2" t="s">
        <v>35</v>
      </c>
      <c r="E82" s="2" t="n">
        <v>10</v>
      </c>
      <c r="F82" s="2" t="n">
        <v>3</v>
      </c>
      <c r="G82" s="2" t="s">
        <v>29</v>
      </c>
      <c r="H82" s="2" t="n">
        <v>81</v>
      </c>
      <c r="I82" s="2" t="s">
        <v>39</v>
      </c>
      <c r="J82" s="2" t="n">
        <v>2</v>
      </c>
      <c r="K82" s="2" t="s">
        <v>36</v>
      </c>
      <c r="L82" s="2" t="s">
        <v>46</v>
      </c>
      <c r="M82" s="2" t="n">
        <v>55070</v>
      </c>
      <c r="N82" s="2" t="n">
        <v>1</v>
      </c>
      <c r="O82" s="2" t="n">
        <v>12</v>
      </c>
      <c r="P82" s="2" t="n">
        <v>2</v>
      </c>
      <c r="Q82" s="2" t="n">
        <v>10</v>
      </c>
      <c r="R82" s="2" t="n">
        <v>2</v>
      </c>
      <c r="S82" s="2" t="n">
        <v>10</v>
      </c>
      <c r="T82" s="2" t="n">
        <v>1</v>
      </c>
      <c r="U82" s="2" t="n">
        <v>2</v>
      </c>
      <c r="V82" s="2" t="n">
        <v>4</v>
      </c>
      <c r="W82" s="2" t="n">
        <v>3</v>
      </c>
      <c r="X82" s="2" t="n">
        <v>3</v>
      </c>
      <c r="Y82" s="2" t="n">
        <v>2</v>
      </c>
      <c r="Z82" s="2" t="n">
        <v>3</v>
      </c>
    </row>
    <row r="83" customFormat="false" ht="15" hidden="false" customHeight="true" outlineLevel="0" collapsed="false">
      <c r="A83" s="2" t="n">
        <v>27</v>
      </c>
      <c r="B83" s="2" t="s">
        <v>26</v>
      </c>
      <c r="C83" s="2" t="s">
        <v>27</v>
      </c>
      <c r="D83" s="2" t="s">
        <v>35</v>
      </c>
      <c r="E83" s="2" t="n">
        <v>11</v>
      </c>
      <c r="F83" s="2" t="n">
        <v>2</v>
      </c>
      <c r="G83" s="2" t="s">
        <v>43</v>
      </c>
      <c r="H83" s="2" t="n">
        <v>82</v>
      </c>
      <c r="I83" s="2" t="s">
        <v>39</v>
      </c>
      <c r="J83" s="2" t="n">
        <v>1</v>
      </c>
      <c r="K83" s="2" t="s">
        <v>49</v>
      </c>
      <c r="L83" s="2" t="s">
        <v>32</v>
      </c>
      <c r="M83" s="2" t="n">
        <v>43930</v>
      </c>
      <c r="N83" s="2" t="n">
        <v>1</v>
      </c>
      <c r="O83" s="2" t="n">
        <v>18</v>
      </c>
      <c r="P83" s="2" t="n">
        <v>1</v>
      </c>
      <c r="Q83" s="2" t="n">
        <v>8</v>
      </c>
      <c r="R83" s="2" t="n">
        <v>2</v>
      </c>
      <c r="S83" s="2" t="n">
        <v>8</v>
      </c>
      <c r="T83" s="2" t="n">
        <v>0</v>
      </c>
      <c r="U83" s="2" t="n">
        <v>7</v>
      </c>
      <c r="V83" s="2" t="n">
        <v>2</v>
      </c>
      <c r="W83" s="2" t="n">
        <v>2</v>
      </c>
      <c r="X83" s="2" t="n">
        <v>3</v>
      </c>
      <c r="Y83" s="2" t="n">
        <v>2</v>
      </c>
      <c r="Z83" s="2" t="n">
        <v>3</v>
      </c>
    </row>
    <row r="84" customFormat="false" ht="15" hidden="false" customHeight="true" outlineLevel="0" collapsed="false">
      <c r="A84" s="2" t="n">
        <v>37</v>
      </c>
      <c r="B84" s="2" t="s">
        <v>26</v>
      </c>
      <c r="C84" s="2" t="s">
        <v>27</v>
      </c>
      <c r="D84" s="2" t="s">
        <v>28</v>
      </c>
      <c r="E84" s="2" t="n">
        <v>1</v>
      </c>
      <c r="F84" s="2" t="n">
        <v>4</v>
      </c>
      <c r="G84" s="2" t="s">
        <v>29</v>
      </c>
      <c r="H84" s="2" t="n">
        <v>83</v>
      </c>
      <c r="I84" s="2" t="s">
        <v>39</v>
      </c>
      <c r="J84" s="2" t="n">
        <v>2</v>
      </c>
      <c r="K84" s="2" t="s">
        <v>31</v>
      </c>
      <c r="L84" s="2" t="s">
        <v>46</v>
      </c>
      <c r="M84" s="2" t="n">
        <v>133480</v>
      </c>
      <c r="N84" s="2" t="n">
        <v>7</v>
      </c>
      <c r="O84" s="2" t="n">
        <v>14</v>
      </c>
      <c r="P84" s="2" t="n">
        <v>0</v>
      </c>
      <c r="Q84" s="2" t="n">
        <v>8</v>
      </c>
      <c r="R84" s="2" t="n">
        <v>4</v>
      </c>
      <c r="S84" s="2" t="n">
        <v>6</v>
      </c>
      <c r="T84" s="2" t="n">
        <v>0</v>
      </c>
      <c r="U84" s="2" t="n">
        <v>4</v>
      </c>
      <c r="V84" s="2" t="n">
        <v>4</v>
      </c>
      <c r="W84" s="2" t="n">
        <v>4</v>
      </c>
      <c r="X84" s="2" t="n">
        <v>2</v>
      </c>
      <c r="Y84" s="2" t="n">
        <v>3</v>
      </c>
      <c r="Z84" s="2" t="n">
        <v>3</v>
      </c>
    </row>
    <row r="85" customFormat="false" ht="15" hidden="false" customHeight="true" outlineLevel="0" collapsed="false">
      <c r="A85" s="2" t="n">
        <v>38</v>
      </c>
      <c r="B85" s="2" t="s">
        <v>26</v>
      </c>
      <c r="C85" s="2" t="s">
        <v>27</v>
      </c>
      <c r="D85" s="2" t="s">
        <v>35</v>
      </c>
      <c r="E85" s="2" t="n">
        <v>28</v>
      </c>
      <c r="F85" s="2" t="n">
        <v>4</v>
      </c>
      <c r="G85" s="2" t="s">
        <v>43</v>
      </c>
      <c r="H85" s="2" t="n">
        <v>84</v>
      </c>
      <c r="I85" s="2" t="s">
        <v>39</v>
      </c>
      <c r="J85" s="2" t="n">
        <v>1</v>
      </c>
      <c r="K85" s="2" t="s">
        <v>45</v>
      </c>
      <c r="L85" s="2" t="s">
        <v>46</v>
      </c>
      <c r="M85" s="2" t="n">
        <v>65830</v>
      </c>
      <c r="N85" s="2" t="n">
        <v>0</v>
      </c>
      <c r="O85" s="2" t="n">
        <v>12</v>
      </c>
      <c r="P85" s="2" t="n">
        <v>0</v>
      </c>
      <c r="Q85" s="2" t="n">
        <v>12</v>
      </c>
      <c r="R85" s="2" t="n">
        <v>1</v>
      </c>
      <c r="S85" s="2" t="n">
        <v>11</v>
      </c>
      <c r="T85" s="2" t="n">
        <v>2</v>
      </c>
      <c r="U85" s="2" t="n">
        <v>9</v>
      </c>
      <c r="V85" s="2" t="n">
        <v>3</v>
      </c>
      <c r="W85" s="2" t="n">
        <v>4</v>
      </c>
      <c r="X85" s="2" t="n">
        <v>3</v>
      </c>
      <c r="Y85" s="2" t="n">
        <v>3</v>
      </c>
      <c r="Z85" s="2" t="n">
        <v>3</v>
      </c>
    </row>
    <row r="86" customFormat="false" ht="15" hidden="false" customHeight="true" outlineLevel="0" collapsed="false">
      <c r="A86" s="2" t="n">
        <v>31</v>
      </c>
      <c r="B86" s="2" t="s">
        <v>26</v>
      </c>
      <c r="C86" s="2" t="s">
        <v>27</v>
      </c>
      <c r="D86" s="2" t="s">
        <v>35</v>
      </c>
      <c r="E86" s="2" t="n">
        <v>6</v>
      </c>
      <c r="F86" s="2" t="n">
        <v>3</v>
      </c>
      <c r="G86" s="2" t="s">
        <v>43</v>
      </c>
      <c r="H86" s="2" t="n">
        <v>85</v>
      </c>
      <c r="I86" s="2" t="s">
        <v>30</v>
      </c>
      <c r="J86" s="2" t="n">
        <v>3</v>
      </c>
      <c r="K86" s="2" t="s">
        <v>49</v>
      </c>
      <c r="L86" s="2" t="s">
        <v>37</v>
      </c>
      <c r="M86" s="2" t="n">
        <v>81030</v>
      </c>
      <c r="N86" s="2" t="n">
        <v>1</v>
      </c>
      <c r="O86" s="2" t="n">
        <v>15</v>
      </c>
      <c r="P86" s="2" t="n">
        <v>1</v>
      </c>
      <c r="Q86" s="2" t="n">
        <v>11</v>
      </c>
      <c r="R86" s="2" t="n">
        <v>5</v>
      </c>
      <c r="S86" s="2" t="n">
        <v>11</v>
      </c>
      <c r="T86" s="2" t="n">
        <v>4</v>
      </c>
      <c r="U86" s="2" t="n">
        <v>10</v>
      </c>
      <c r="V86" s="2" t="n">
        <v>3</v>
      </c>
      <c r="W86" s="2" t="n">
        <v>4</v>
      </c>
      <c r="X86" s="2"/>
      <c r="Y86" s="2" t="n">
        <v>3</v>
      </c>
      <c r="Z86" s="2" t="n">
        <v>3</v>
      </c>
    </row>
    <row r="87" customFormat="false" ht="15" hidden="false" customHeight="true" outlineLevel="0" collapsed="false">
      <c r="A87" s="2" t="n">
        <v>29</v>
      </c>
      <c r="B87" s="2" t="s">
        <v>26</v>
      </c>
      <c r="C87" s="2" t="s">
        <v>27</v>
      </c>
      <c r="D87" s="2" t="s">
        <v>35</v>
      </c>
      <c r="E87" s="2" t="n">
        <v>3</v>
      </c>
      <c r="F87" s="2" t="n">
        <v>4</v>
      </c>
      <c r="G87" s="2" t="s">
        <v>29</v>
      </c>
      <c r="H87" s="2" t="n">
        <v>86</v>
      </c>
      <c r="I87" s="2" t="s">
        <v>39</v>
      </c>
      <c r="J87" s="2" t="n">
        <v>3</v>
      </c>
      <c r="K87" s="2" t="s">
        <v>40</v>
      </c>
      <c r="L87" s="2" t="s">
        <v>46</v>
      </c>
      <c r="M87" s="2" t="n">
        <v>39780</v>
      </c>
      <c r="N87" s="2" t="n">
        <v>1</v>
      </c>
      <c r="O87" s="2" t="n">
        <v>11</v>
      </c>
      <c r="P87" s="2" t="n">
        <v>0</v>
      </c>
      <c r="Q87" s="2" t="n">
        <v>7</v>
      </c>
      <c r="R87" s="2" t="n">
        <v>0</v>
      </c>
      <c r="S87" s="2" t="n">
        <v>7</v>
      </c>
      <c r="T87" s="2" t="n">
        <v>1</v>
      </c>
      <c r="U87" s="2" t="n">
        <v>7</v>
      </c>
      <c r="V87" s="2" t="n">
        <v>4</v>
      </c>
      <c r="W87" s="2" t="n">
        <v>2</v>
      </c>
      <c r="X87" s="2" t="n">
        <v>3</v>
      </c>
      <c r="Y87" s="2" t="n">
        <v>3</v>
      </c>
      <c r="Z87" s="2" t="n">
        <v>3</v>
      </c>
    </row>
    <row r="88" customFormat="false" ht="15" hidden="false" customHeight="true" outlineLevel="0" collapsed="false">
      <c r="A88" s="2" t="n">
        <v>35</v>
      </c>
      <c r="B88" s="2" t="s">
        <v>26</v>
      </c>
      <c r="C88" s="2" t="s">
        <v>27</v>
      </c>
      <c r="D88" s="2" t="s">
        <v>28</v>
      </c>
      <c r="E88" s="2" t="n">
        <v>16</v>
      </c>
      <c r="F88" s="2" t="n">
        <v>2</v>
      </c>
      <c r="G88" s="2" t="s">
        <v>51</v>
      </c>
      <c r="H88" s="2" t="n">
        <v>87</v>
      </c>
      <c r="I88" s="2" t="s">
        <v>39</v>
      </c>
      <c r="J88" s="2" t="n">
        <v>3</v>
      </c>
      <c r="K88" s="2" t="s">
        <v>49</v>
      </c>
      <c r="L88" s="2" t="s">
        <v>37</v>
      </c>
      <c r="M88" s="2" t="n">
        <v>25440</v>
      </c>
      <c r="N88" s="2" t="n">
        <v>0</v>
      </c>
      <c r="O88" s="2" t="n">
        <v>13</v>
      </c>
      <c r="P88" s="2" t="n">
        <v>1</v>
      </c>
      <c r="Q88" s="2" t="n">
        <v>17</v>
      </c>
      <c r="R88" s="2" t="n">
        <v>3</v>
      </c>
      <c r="S88" s="2" t="n">
        <v>16</v>
      </c>
      <c r="T88" s="2" t="n">
        <v>0</v>
      </c>
      <c r="U88" s="2" t="n">
        <v>13</v>
      </c>
      <c r="V88" s="2" t="n">
        <v>3</v>
      </c>
      <c r="W88" s="2" t="n">
        <v>2</v>
      </c>
      <c r="X88" s="2" t="n">
        <v>3</v>
      </c>
      <c r="Y88" s="2" t="n">
        <v>4</v>
      </c>
      <c r="Z88" s="2" t="n">
        <v>3</v>
      </c>
    </row>
    <row r="89" customFormat="false" ht="15" hidden="false" customHeight="true" outlineLevel="0" collapsed="false">
      <c r="A89" s="2" t="n">
        <v>23</v>
      </c>
      <c r="B89" s="2" t="s">
        <v>26</v>
      </c>
      <c r="C89" s="2" t="s">
        <v>27</v>
      </c>
      <c r="D89" s="2" t="s">
        <v>35</v>
      </c>
      <c r="E89" s="2" t="n">
        <v>20</v>
      </c>
      <c r="F89" s="2" t="n">
        <v>4</v>
      </c>
      <c r="G89" s="2" t="s">
        <v>29</v>
      </c>
      <c r="H89" s="2" t="n">
        <v>88</v>
      </c>
      <c r="I89" s="2" t="s">
        <v>39</v>
      </c>
      <c r="J89" s="2" t="n">
        <v>1</v>
      </c>
      <c r="K89" s="2" t="s">
        <v>47</v>
      </c>
      <c r="L89" s="2" t="s">
        <v>46</v>
      </c>
      <c r="M89" s="2" t="n">
        <v>53990</v>
      </c>
      <c r="N89" s="2" t="n">
        <v>1</v>
      </c>
      <c r="O89" s="2" t="n">
        <v>23</v>
      </c>
      <c r="P89" s="2" t="n">
        <v>0</v>
      </c>
      <c r="Q89" s="2" t="n">
        <v>4</v>
      </c>
      <c r="R89" s="2" t="n">
        <v>2</v>
      </c>
      <c r="S89" s="2" t="n">
        <v>4</v>
      </c>
      <c r="T89" s="2" t="n">
        <v>0</v>
      </c>
      <c r="U89" s="2" t="n">
        <v>2</v>
      </c>
      <c r="V89" s="2" t="n">
        <v>3</v>
      </c>
      <c r="W89" s="2" t="n">
        <v>4</v>
      </c>
      <c r="X89" s="2" t="n">
        <v>2</v>
      </c>
      <c r="Y89" s="2" t="n">
        <v>2</v>
      </c>
      <c r="Z89" s="2" t="n">
        <v>4</v>
      </c>
    </row>
    <row r="90" customFormat="false" ht="15" hidden="false" customHeight="true" outlineLevel="0" collapsed="false">
      <c r="A90" s="2" t="n">
        <v>41</v>
      </c>
      <c r="B90" s="2" t="s">
        <v>26</v>
      </c>
      <c r="C90" s="2" t="s">
        <v>27</v>
      </c>
      <c r="D90" s="2" t="s">
        <v>35</v>
      </c>
      <c r="E90" s="2" t="n">
        <v>9</v>
      </c>
      <c r="F90" s="2" t="n">
        <v>2</v>
      </c>
      <c r="G90" s="2" t="s">
        <v>29</v>
      </c>
      <c r="H90" s="2" t="n">
        <v>89</v>
      </c>
      <c r="I90" s="2" t="s">
        <v>30</v>
      </c>
      <c r="J90" s="2" t="n">
        <v>1</v>
      </c>
      <c r="K90" s="2" t="s">
        <v>45</v>
      </c>
      <c r="L90" s="2" t="s">
        <v>37</v>
      </c>
      <c r="M90" s="2" t="n">
        <v>54870</v>
      </c>
      <c r="N90" s="2" t="n">
        <v>6</v>
      </c>
      <c r="O90" s="2" t="n">
        <v>19</v>
      </c>
      <c r="P90" s="2" t="n">
        <v>2</v>
      </c>
      <c r="Q90" s="2" t="n">
        <v>8</v>
      </c>
      <c r="R90" s="2" t="n">
        <v>0</v>
      </c>
      <c r="S90" s="2" t="n">
        <v>5</v>
      </c>
      <c r="T90" s="2" t="n">
        <v>1</v>
      </c>
      <c r="U90" s="2" t="n">
        <v>2</v>
      </c>
      <c r="V90" s="2" t="n">
        <v>4</v>
      </c>
      <c r="W90" s="2" t="n">
        <v>2</v>
      </c>
      <c r="X90" s="2" t="n">
        <v>3</v>
      </c>
      <c r="Y90" s="2" t="n">
        <v>3</v>
      </c>
      <c r="Z90" s="2" t="n">
        <v>3</v>
      </c>
    </row>
    <row r="91" customFormat="false" ht="15" hidden="false" customHeight="true" outlineLevel="0" collapsed="false">
      <c r="A91" s="2" t="n">
        <v>47</v>
      </c>
      <c r="B91" s="2" t="s">
        <v>26</v>
      </c>
      <c r="C91" s="2" t="s">
        <v>34</v>
      </c>
      <c r="D91" s="2" t="s">
        <v>28</v>
      </c>
      <c r="E91" s="2" t="n">
        <v>1</v>
      </c>
      <c r="F91" s="2" t="n">
        <v>3</v>
      </c>
      <c r="G91" s="2" t="s">
        <v>43</v>
      </c>
      <c r="H91" s="2" t="n">
        <v>90</v>
      </c>
      <c r="I91" s="2" t="s">
        <v>30</v>
      </c>
      <c r="J91" s="2" t="n">
        <v>2</v>
      </c>
      <c r="K91" s="2" t="s">
        <v>45</v>
      </c>
      <c r="L91" s="2" t="s">
        <v>37</v>
      </c>
      <c r="M91" s="2" t="n">
        <v>68340</v>
      </c>
      <c r="N91" s="2" t="n">
        <v>3</v>
      </c>
      <c r="O91" s="2" t="n">
        <v>16</v>
      </c>
      <c r="P91" s="2" t="n">
        <v>1</v>
      </c>
      <c r="Q91" s="2" t="n">
        <v>5</v>
      </c>
      <c r="R91" s="2" t="n">
        <v>2</v>
      </c>
      <c r="S91" s="2" t="n">
        <v>0</v>
      </c>
      <c r="T91" s="2" t="n">
        <v>0</v>
      </c>
      <c r="U91" s="2" t="n">
        <v>0</v>
      </c>
      <c r="V91" s="2" t="n">
        <v>2</v>
      </c>
      <c r="W91" s="2" t="n">
        <v>3</v>
      </c>
      <c r="X91" s="2" t="n">
        <v>3</v>
      </c>
      <c r="Y91" s="2" t="n">
        <v>4</v>
      </c>
      <c r="Z91" s="2" t="n">
        <v>3</v>
      </c>
    </row>
    <row r="92" customFormat="false" ht="15" hidden="false" customHeight="true" outlineLevel="0" collapsed="false">
      <c r="A92" s="2" t="n">
        <v>42</v>
      </c>
      <c r="B92" s="2" t="s">
        <v>26</v>
      </c>
      <c r="C92" s="2" t="s">
        <v>27</v>
      </c>
      <c r="D92" s="2" t="s">
        <v>35</v>
      </c>
      <c r="E92" s="2" t="n">
        <v>3</v>
      </c>
      <c r="F92" s="2" t="n">
        <v>4</v>
      </c>
      <c r="G92" s="2" t="s">
        <v>29</v>
      </c>
      <c r="H92" s="2" t="n">
        <v>91</v>
      </c>
      <c r="I92" s="2" t="s">
        <v>39</v>
      </c>
      <c r="J92" s="2" t="n">
        <v>1</v>
      </c>
      <c r="K92" s="2" t="s">
        <v>49</v>
      </c>
      <c r="L92" s="2" t="s">
        <v>37</v>
      </c>
      <c r="M92" s="2" t="n">
        <v>10910</v>
      </c>
      <c r="N92" s="2" t="n">
        <v>2</v>
      </c>
      <c r="O92" s="2" t="n">
        <v>22</v>
      </c>
      <c r="P92" s="2" t="n">
        <v>0</v>
      </c>
      <c r="Q92" s="2" t="n">
        <v>16</v>
      </c>
      <c r="R92" s="2" t="n">
        <v>0</v>
      </c>
      <c r="S92" s="2" t="n">
        <v>1</v>
      </c>
      <c r="T92" s="2" t="n">
        <v>0</v>
      </c>
      <c r="U92" s="2" t="n">
        <v>0</v>
      </c>
      <c r="V92" s="2" t="n">
        <v>1</v>
      </c>
      <c r="W92" s="2" t="n">
        <v>4</v>
      </c>
      <c r="X92" s="2" t="n">
        <v>3</v>
      </c>
      <c r="Y92" s="2" t="n">
        <v>1</v>
      </c>
      <c r="Z92" s="2" t="n">
        <v>4</v>
      </c>
    </row>
    <row r="93" customFormat="false" ht="15" hidden="false" customHeight="true" outlineLevel="0" collapsed="false">
      <c r="A93" s="2" t="n">
        <v>29</v>
      </c>
      <c r="B93" s="2" t="s">
        <v>26</v>
      </c>
      <c r="C93" s="2" t="s">
        <v>41</v>
      </c>
      <c r="D93" s="2" t="s">
        <v>28</v>
      </c>
      <c r="E93" s="2" t="n">
        <v>22</v>
      </c>
      <c r="F93" s="2" t="n">
        <v>4</v>
      </c>
      <c r="G93" s="2" t="s">
        <v>50</v>
      </c>
      <c r="H93" s="2" t="n">
        <v>92</v>
      </c>
      <c r="I93" s="2" t="s">
        <v>39</v>
      </c>
      <c r="J93" s="2" t="n">
        <v>2</v>
      </c>
      <c r="K93" s="2" t="s">
        <v>42</v>
      </c>
      <c r="L93" s="2" t="s">
        <v>32</v>
      </c>
      <c r="M93" s="2" t="n">
        <v>57360</v>
      </c>
      <c r="N93" s="2" t="n">
        <v>1</v>
      </c>
      <c r="O93" s="2" t="n">
        <v>22</v>
      </c>
      <c r="P93" s="2" t="n">
        <v>0</v>
      </c>
      <c r="Q93" s="2" t="n">
        <v>4</v>
      </c>
      <c r="R93" s="2" t="n">
        <v>1</v>
      </c>
      <c r="S93" s="2" t="n">
        <v>4</v>
      </c>
      <c r="T93" s="2" t="n">
        <v>0</v>
      </c>
      <c r="U93" s="2" t="n">
        <v>2</v>
      </c>
      <c r="V93" s="2" t="n">
        <v>4</v>
      </c>
      <c r="W93" s="2" t="n">
        <v>3</v>
      </c>
      <c r="X93" s="2" t="n">
        <v>2</v>
      </c>
      <c r="Y93" s="2" t="n">
        <v>2</v>
      </c>
      <c r="Z93" s="2" t="n">
        <v>4</v>
      </c>
    </row>
    <row r="94" customFormat="false" ht="15" hidden="false" customHeight="true" outlineLevel="0" collapsed="false">
      <c r="A94" s="2" t="n">
        <v>42</v>
      </c>
      <c r="B94" s="2" t="s">
        <v>26</v>
      </c>
      <c r="C94" s="2" t="s">
        <v>27</v>
      </c>
      <c r="D94" s="2" t="s">
        <v>28</v>
      </c>
      <c r="E94" s="2" t="n">
        <v>7</v>
      </c>
      <c r="F94" s="2" t="n">
        <v>4</v>
      </c>
      <c r="G94" s="2" t="s">
        <v>43</v>
      </c>
      <c r="H94" s="2" t="n">
        <v>93</v>
      </c>
      <c r="I94" s="2" t="s">
        <v>39</v>
      </c>
      <c r="J94" s="2" t="n">
        <v>3</v>
      </c>
      <c r="K94" s="2" t="s">
        <v>36</v>
      </c>
      <c r="L94" s="2" t="s">
        <v>46</v>
      </c>
      <c r="M94" s="2" t="n">
        <v>22260</v>
      </c>
      <c r="N94" s="2" t="n">
        <v>0</v>
      </c>
      <c r="O94" s="2" t="n">
        <v>12</v>
      </c>
      <c r="P94" s="2" t="n">
        <v>1</v>
      </c>
      <c r="Q94" s="2" t="n">
        <v>4</v>
      </c>
      <c r="R94" s="2" t="n">
        <v>3</v>
      </c>
      <c r="S94" s="2" t="n">
        <v>3</v>
      </c>
      <c r="T94" s="2" t="n">
        <v>1</v>
      </c>
      <c r="U94" s="2" t="n">
        <v>0</v>
      </c>
      <c r="V94" s="2" t="n">
        <v>3</v>
      </c>
      <c r="W94" s="2" t="n">
        <v>3</v>
      </c>
      <c r="X94" s="2" t="n">
        <v>3</v>
      </c>
      <c r="Y94" s="2" t="n">
        <v>2</v>
      </c>
      <c r="Z94" s="2" t="n">
        <v>3</v>
      </c>
    </row>
    <row r="95" customFormat="false" ht="15" hidden="false" customHeight="true" outlineLevel="0" collapsed="false">
      <c r="A95" s="2" t="n">
        <v>32</v>
      </c>
      <c r="B95" s="2" t="s">
        <v>26</v>
      </c>
      <c r="C95" s="2" t="s">
        <v>27</v>
      </c>
      <c r="D95" s="2" t="s">
        <v>35</v>
      </c>
      <c r="E95" s="2" t="n">
        <v>2</v>
      </c>
      <c r="F95" s="2" t="n">
        <v>3</v>
      </c>
      <c r="G95" s="2" t="s">
        <v>43</v>
      </c>
      <c r="H95" s="2" t="n">
        <v>94</v>
      </c>
      <c r="I95" s="2" t="s">
        <v>39</v>
      </c>
      <c r="J95" s="2" t="n">
        <v>2</v>
      </c>
      <c r="K95" s="2" t="s">
        <v>36</v>
      </c>
      <c r="L95" s="2" t="s">
        <v>32</v>
      </c>
      <c r="M95" s="2" t="n">
        <v>57470</v>
      </c>
      <c r="N95" s="2" t="n">
        <v>1</v>
      </c>
      <c r="O95" s="2" t="n">
        <v>13</v>
      </c>
      <c r="P95" s="2" t="n">
        <v>0</v>
      </c>
      <c r="Q95" s="2" t="n">
        <v>8</v>
      </c>
      <c r="R95" s="2" t="n">
        <v>0</v>
      </c>
      <c r="S95" s="2" t="n">
        <v>8</v>
      </c>
      <c r="T95" s="2" t="n">
        <v>0</v>
      </c>
      <c r="U95" s="2" t="n">
        <v>7</v>
      </c>
      <c r="V95" s="2" t="n">
        <v>3</v>
      </c>
      <c r="W95" s="2" t="n">
        <v>2</v>
      </c>
      <c r="X95" s="2" t="n">
        <v>3</v>
      </c>
      <c r="Y95" s="2" t="n">
        <v>3</v>
      </c>
      <c r="Z95" s="2" t="n">
        <v>3</v>
      </c>
    </row>
    <row r="96" customFormat="false" ht="15" hidden="false" customHeight="true" outlineLevel="0" collapsed="false">
      <c r="A96" s="2" t="n">
        <v>48</v>
      </c>
      <c r="B96" s="2" t="s">
        <v>26</v>
      </c>
      <c r="C96" s="2" t="s">
        <v>27</v>
      </c>
      <c r="D96" s="2" t="s">
        <v>28</v>
      </c>
      <c r="E96" s="2" t="n">
        <v>13</v>
      </c>
      <c r="F96" s="2" t="n">
        <v>4</v>
      </c>
      <c r="G96" s="2" t="s">
        <v>43</v>
      </c>
      <c r="H96" s="2" t="n">
        <v>95</v>
      </c>
      <c r="I96" s="2" t="s">
        <v>39</v>
      </c>
      <c r="J96" s="2" t="n">
        <v>4</v>
      </c>
      <c r="K96" s="2" t="s">
        <v>40</v>
      </c>
      <c r="L96" s="2" t="s">
        <v>32</v>
      </c>
      <c r="M96" s="2" t="n">
        <v>98540</v>
      </c>
      <c r="N96" s="2" t="n">
        <v>3</v>
      </c>
      <c r="O96" s="2" t="n">
        <v>16</v>
      </c>
      <c r="P96" s="2" t="n">
        <v>1</v>
      </c>
      <c r="Q96" s="2" t="n">
        <v>15</v>
      </c>
      <c r="R96" s="2" t="n">
        <v>2</v>
      </c>
      <c r="S96" s="2" t="n">
        <v>0</v>
      </c>
      <c r="T96" s="2" t="n">
        <v>0</v>
      </c>
      <c r="U96" s="2" t="n">
        <v>0</v>
      </c>
      <c r="V96" s="2" t="n">
        <v>1</v>
      </c>
      <c r="W96" s="2" t="n">
        <v>3</v>
      </c>
      <c r="X96" s="2" t="n">
        <v>1</v>
      </c>
      <c r="Y96" s="2" t="n">
        <v>2</v>
      </c>
      <c r="Z96" s="2" t="n">
        <v>3</v>
      </c>
    </row>
    <row r="97" customFormat="false" ht="15" hidden="false" customHeight="true" outlineLevel="0" collapsed="false">
      <c r="A97" s="2" t="n">
        <v>37</v>
      </c>
      <c r="B97" s="2" t="s">
        <v>26</v>
      </c>
      <c r="C97" s="2" t="s">
        <v>27</v>
      </c>
      <c r="D97" s="2" t="s">
        <v>35</v>
      </c>
      <c r="E97" s="2" t="n">
        <v>8</v>
      </c>
      <c r="F97" s="2" t="n">
        <v>5</v>
      </c>
      <c r="G97" s="2" t="s">
        <v>51</v>
      </c>
      <c r="H97" s="2" t="n">
        <v>96</v>
      </c>
      <c r="I97" s="2" t="s">
        <v>39</v>
      </c>
      <c r="J97" s="2" t="n">
        <v>2</v>
      </c>
      <c r="K97" s="2" t="s">
        <v>47</v>
      </c>
      <c r="L97" s="2" t="s">
        <v>46</v>
      </c>
      <c r="M97" s="2" t="n">
        <v>54670</v>
      </c>
      <c r="N97" s="2" t="n">
        <v>4</v>
      </c>
      <c r="O97" s="2" t="n">
        <v>12</v>
      </c>
      <c r="P97" s="2" t="n">
        <v>0</v>
      </c>
      <c r="Q97" s="2" t="n">
        <v>13</v>
      </c>
      <c r="R97" s="2" t="n">
        <v>2</v>
      </c>
      <c r="S97" s="2" t="n">
        <v>7</v>
      </c>
      <c r="T97" s="2" t="n">
        <v>6</v>
      </c>
      <c r="U97" s="2" t="n">
        <v>7</v>
      </c>
      <c r="V97" s="2" t="n">
        <v>3</v>
      </c>
      <c r="W97" s="2" t="n">
        <v>1</v>
      </c>
      <c r="X97" s="2" t="n">
        <v>3</v>
      </c>
      <c r="Y97" s="2" t="n">
        <v>3</v>
      </c>
      <c r="Z97" s="2" t="n">
        <v>3</v>
      </c>
    </row>
    <row r="98" customFormat="false" ht="15" hidden="false" customHeight="true" outlineLevel="0" collapsed="false">
      <c r="A98" s="2" t="n">
        <v>30</v>
      </c>
      <c r="B98" s="2" t="s">
        <v>26</v>
      </c>
      <c r="C98" s="2" t="s">
        <v>41</v>
      </c>
      <c r="D98" s="2" t="s">
        <v>28</v>
      </c>
      <c r="E98" s="2" t="n">
        <v>25</v>
      </c>
      <c r="F98" s="2" t="n">
        <v>4</v>
      </c>
      <c r="G98" s="2" t="s">
        <v>38</v>
      </c>
      <c r="H98" s="2" t="n">
        <v>97</v>
      </c>
      <c r="I98" s="2" t="s">
        <v>39</v>
      </c>
      <c r="J98" s="2" t="n">
        <v>1</v>
      </c>
      <c r="K98" s="2" t="s">
        <v>31</v>
      </c>
      <c r="L98" s="2" t="s">
        <v>32</v>
      </c>
      <c r="M98" s="2" t="n">
        <v>53800</v>
      </c>
      <c r="N98" s="2" t="n">
        <v>7</v>
      </c>
      <c r="O98" s="2" t="n">
        <v>21</v>
      </c>
      <c r="P98" s="2" t="n">
        <v>1</v>
      </c>
      <c r="Q98" s="2" t="n">
        <v>4</v>
      </c>
      <c r="R98" s="2" t="n">
        <v>0</v>
      </c>
      <c r="S98" s="2" t="n">
        <v>2</v>
      </c>
      <c r="T98" s="2" t="n">
        <v>2</v>
      </c>
      <c r="U98" s="2" t="n">
        <v>2</v>
      </c>
      <c r="V98" s="2" t="n">
        <v>4</v>
      </c>
      <c r="W98" s="2" t="n">
        <v>3</v>
      </c>
      <c r="X98" s="2" t="n">
        <v>4</v>
      </c>
      <c r="Y98" s="2" t="n">
        <v>3</v>
      </c>
      <c r="Z98" s="2" t="n">
        <v>4</v>
      </c>
    </row>
    <row r="99" customFormat="false" ht="15" hidden="false" customHeight="true" outlineLevel="0" collapsed="false">
      <c r="A99" s="2" t="n">
        <v>26</v>
      </c>
      <c r="B99" s="2" t="s">
        <v>26</v>
      </c>
      <c r="C99" s="2" t="s">
        <v>27</v>
      </c>
      <c r="D99" s="2" t="s">
        <v>28</v>
      </c>
      <c r="E99" s="2" t="n">
        <v>28</v>
      </c>
      <c r="F99" s="2" t="n">
        <v>3</v>
      </c>
      <c r="G99" s="2" t="s">
        <v>43</v>
      </c>
      <c r="H99" s="2" t="n">
        <v>98</v>
      </c>
      <c r="I99" s="2" t="s">
        <v>30</v>
      </c>
      <c r="J99" s="2" t="n">
        <v>5</v>
      </c>
      <c r="K99" s="2" t="s">
        <v>45</v>
      </c>
      <c r="L99" s="2" t="s">
        <v>32</v>
      </c>
      <c r="M99" s="2" t="n">
        <v>51510</v>
      </c>
      <c r="N99" s="2" t="n">
        <v>1</v>
      </c>
      <c r="O99" s="2" t="n">
        <v>15</v>
      </c>
      <c r="P99" s="2" t="n">
        <v>3</v>
      </c>
      <c r="Q99" s="2" t="n">
        <v>8</v>
      </c>
      <c r="R99" s="2" t="n">
        <v>3</v>
      </c>
      <c r="S99" s="2" t="n">
        <v>8</v>
      </c>
      <c r="T99" s="2" t="n">
        <v>7</v>
      </c>
      <c r="U99" s="2" t="n">
        <v>7</v>
      </c>
      <c r="V99" s="2" t="n">
        <v>3</v>
      </c>
      <c r="W99" s="2" t="n">
        <v>3</v>
      </c>
      <c r="X99" s="2" t="n">
        <v>3</v>
      </c>
      <c r="Y99" s="2" t="n">
        <v>3</v>
      </c>
      <c r="Z99" s="2" t="n">
        <v>3</v>
      </c>
    </row>
    <row r="100" customFormat="false" ht="15" hidden="false" customHeight="true" outlineLevel="0" collapsed="false">
      <c r="A100" s="2" t="n">
        <v>42</v>
      </c>
      <c r="B100" s="2" t="s">
        <v>26</v>
      </c>
      <c r="C100" s="2" t="s">
        <v>27</v>
      </c>
      <c r="D100" s="2" t="s">
        <v>28</v>
      </c>
      <c r="E100" s="2" t="n">
        <v>2</v>
      </c>
      <c r="F100" s="2" t="n">
        <v>2</v>
      </c>
      <c r="G100" s="2" t="s">
        <v>43</v>
      </c>
      <c r="H100" s="2" t="n">
        <v>99</v>
      </c>
      <c r="I100" s="2" t="s">
        <v>30</v>
      </c>
      <c r="J100" s="2" t="n">
        <v>1</v>
      </c>
      <c r="K100" s="2" t="s">
        <v>45</v>
      </c>
      <c r="L100" s="2" t="s">
        <v>37</v>
      </c>
      <c r="M100" s="2" t="n">
        <v>21330</v>
      </c>
      <c r="N100" s="2" t="n">
        <v>3</v>
      </c>
      <c r="O100" s="2" t="n">
        <v>13</v>
      </c>
      <c r="P100" s="2" t="n">
        <v>2</v>
      </c>
      <c r="Q100" s="2" t="n">
        <v>14</v>
      </c>
      <c r="R100" s="2" t="n">
        <v>2</v>
      </c>
      <c r="S100" s="2" t="n">
        <v>1</v>
      </c>
      <c r="T100" s="2" t="n">
        <v>0</v>
      </c>
      <c r="U100" s="2" t="n">
        <v>0</v>
      </c>
      <c r="V100" s="2" t="n">
        <v>1</v>
      </c>
      <c r="W100" s="2" t="n">
        <v>4</v>
      </c>
      <c r="X100" s="2" t="n">
        <v>3</v>
      </c>
      <c r="Y100" s="2" t="n">
        <v>3</v>
      </c>
      <c r="Z100" s="2" t="n">
        <v>3</v>
      </c>
    </row>
    <row r="101" customFormat="false" ht="15" hidden="false" customHeight="true" outlineLevel="0" collapsed="false">
      <c r="A101" s="2" t="n">
        <v>21</v>
      </c>
      <c r="B101" s="2" t="s">
        <v>33</v>
      </c>
      <c r="C101" s="2" t="s">
        <v>34</v>
      </c>
      <c r="D101" s="2" t="s">
        <v>35</v>
      </c>
      <c r="E101" s="2" t="n">
        <v>9</v>
      </c>
      <c r="F101" s="2" t="n">
        <v>3</v>
      </c>
      <c r="G101" s="2" t="s">
        <v>43</v>
      </c>
      <c r="H101" s="2" t="n">
        <v>100</v>
      </c>
      <c r="I101" s="2" t="s">
        <v>30</v>
      </c>
      <c r="J101" s="2" t="n">
        <v>4</v>
      </c>
      <c r="K101" s="2" t="s">
        <v>47</v>
      </c>
      <c r="L101" s="2" t="s">
        <v>37</v>
      </c>
      <c r="M101" s="2" t="n">
        <v>178750</v>
      </c>
      <c r="N101" s="2" t="n">
        <v>1</v>
      </c>
      <c r="O101" s="2" t="n">
        <v>12</v>
      </c>
      <c r="P101" s="2" t="n">
        <v>0</v>
      </c>
      <c r="Q101" s="2" t="n">
        <v>3</v>
      </c>
      <c r="R101" s="2" t="n">
        <v>5</v>
      </c>
      <c r="S101" s="2" t="n">
        <v>3</v>
      </c>
      <c r="T101" s="2" t="n">
        <v>1</v>
      </c>
      <c r="U101" s="2" t="n">
        <v>2</v>
      </c>
      <c r="V101" s="2" t="n">
        <v>1</v>
      </c>
      <c r="W101" s="2" t="n">
        <v>2</v>
      </c>
      <c r="X101" s="2" t="n">
        <v>3</v>
      </c>
      <c r="Y101" s="2" t="n">
        <v>2</v>
      </c>
      <c r="Z101" s="2" t="n">
        <v>3</v>
      </c>
    </row>
    <row r="102" customFormat="false" ht="15" hidden="false" customHeight="true" outlineLevel="0" collapsed="false">
      <c r="A102" s="2" t="n">
        <v>36</v>
      </c>
      <c r="B102" s="2" t="s">
        <v>26</v>
      </c>
      <c r="C102" s="2" t="s">
        <v>41</v>
      </c>
      <c r="D102" s="2" t="s">
        <v>42</v>
      </c>
      <c r="E102" s="2" t="n">
        <v>28</v>
      </c>
      <c r="F102" s="2" t="n">
        <v>3</v>
      </c>
      <c r="G102" s="2" t="s">
        <v>42</v>
      </c>
      <c r="H102" s="2" t="n">
        <v>101</v>
      </c>
      <c r="I102" s="2" t="s">
        <v>39</v>
      </c>
      <c r="J102" s="2" t="n">
        <v>2</v>
      </c>
      <c r="K102" s="2" t="s">
        <v>45</v>
      </c>
      <c r="L102" s="2" t="s">
        <v>37</v>
      </c>
      <c r="M102" s="2" t="n">
        <v>24320</v>
      </c>
      <c r="N102" s="2" t="n">
        <v>4</v>
      </c>
      <c r="O102" s="2" t="n">
        <v>22</v>
      </c>
      <c r="P102" s="2" t="n">
        <v>0</v>
      </c>
      <c r="Q102" s="2" t="n">
        <v>7</v>
      </c>
      <c r="R102" s="2" t="n">
        <v>4</v>
      </c>
      <c r="S102" s="2" t="n">
        <v>1</v>
      </c>
      <c r="T102" s="2" t="n">
        <v>0</v>
      </c>
      <c r="U102" s="2" t="n">
        <v>0</v>
      </c>
      <c r="V102" s="2" t="n">
        <v>4</v>
      </c>
      <c r="W102" s="2" t="n">
        <v>4</v>
      </c>
      <c r="X102" s="2" t="n">
        <v>3</v>
      </c>
      <c r="Y102" s="2" t="n">
        <v>1</v>
      </c>
      <c r="Z102" s="2" t="n">
        <v>4</v>
      </c>
    </row>
    <row r="103" customFormat="false" ht="15" hidden="false" customHeight="true" outlineLevel="0" collapsed="false">
      <c r="A103" s="2" t="n">
        <v>36</v>
      </c>
      <c r="B103" s="2" t="s">
        <v>26</v>
      </c>
      <c r="C103" s="2" t="s">
        <v>34</v>
      </c>
      <c r="D103" s="2" t="s">
        <v>35</v>
      </c>
      <c r="E103" s="2" t="n">
        <v>6</v>
      </c>
      <c r="F103" s="2" t="n">
        <v>3</v>
      </c>
      <c r="G103" s="2" t="s">
        <v>29</v>
      </c>
      <c r="H103" s="2" t="n">
        <v>102</v>
      </c>
      <c r="I103" s="2" t="s">
        <v>30</v>
      </c>
      <c r="J103" s="2" t="n">
        <v>2</v>
      </c>
      <c r="K103" s="2" t="s">
        <v>36</v>
      </c>
      <c r="L103" s="2" t="s">
        <v>32</v>
      </c>
      <c r="M103" s="2" t="n">
        <v>47710</v>
      </c>
      <c r="N103" s="2" t="n">
        <v>4</v>
      </c>
      <c r="O103" s="2" t="n">
        <v>13</v>
      </c>
      <c r="P103" s="2" t="n">
        <v>1</v>
      </c>
      <c r="Q103" s="2" t="n">
        <v>16</v>
      </c>
      <c r="R103" s="2" t="n">
        <v>2</v>
      </c>
      <c r="S103" s="2" t="n">
        <v>13</v>
      </c>
      <c r="T103" s="2" t="n">
        <v>1</v>
      </c>
      <c r="U103" s="2" t="n">
        <v>12</v>
      </c>
      <c r="V103" s="2" t="n">
        <v>1</v>
      </c>
      <c r="W103" s="2" t="n">
        <v>4</v>
      </c>
      <c r="X103" s="2" t="n">
        <v>3</v>
      </c>
      <c r="Y103" s="2" t="n">
        <v>3</v>
      </c>
      <c r="Z103" s="2" t="n">
        <v>3</v>
      </c>
    </row>
    <row r="104" customFormat="false" ht="15" hidden="false" customHeight="true" outlineLevel="0" collapsed="false">
      <c r="A104" s="2" t="n">
        <v>57</v>
      </c>
      <c r="B104" s="2" t="s">
        <v>26</v>
      </c>
      <c r="C104" s="2" t="s">
        <v>27</v>
      </c>
      <c r="D104" s="2" t="s">
        <v>35</v>
      </c>
      <c r="E104" s="2" t="n">
        <v>21</v>
      </c>
      <c r="F104" s="2" t="n">
        <v>4</v>
      </c>
      <c r="G104" s="2" t="s">
        <v>29</v>
      </c>
      <c r="H104" s="2" t="n">
        <v>103</v>
      </c>
      <c r="I104" s="2" t="s">
        <v>39</v>
      </c>
      <c r="J104" s="2" t="n">
        <v>5</v>
      </c>
      <c r="K104" s="2" t="s">
        <v>36</v>
      </c>
      <c r="L104" s="2" t="s">
        <v>32</v>
      </c>
      <c r="M104" s="2" t="n">
        <v>191610</v>
      </c>
      <c r="N104" s="2" t="n">
        <v>2</v>
      </c>
      <c r="O104" s="2" t="n">
        <v>18</v>
      </c>
      <c r="P104" s="2" t="n">
        <v>0</v>
      </c>
      <c r="Q104" s="2" t="n">
        <v>15</v>
      </c>
      <c r="R104" s="2" t="n">
        <v>2</v>
      </c>
      <c r="S104" s="2" t="n">
        <v>3</v>
      </c>
      <c r="T104" s="2" t="n">
        <v>1</v>
      </c>
      <c r="U104" s="2" t="n">
        <v>2</v>
      </c>
      <c r="V104" s="2" t="n">
        <v>4</v>
      </c>
      <c r="W104" s="2" t="n">
        <v>3</v>
      </c>
      <c r="X104" s="2" t="n">
        <v>3</v>
      </c>
      <c r="Y104" s="2" t="n">
        <v>1</v>
      </c>
      <c r="Z104" s="2" t="n">
        <v>3</v>
      </c>
    </row>
    <row r="105" customFormat="false" ht="15" hidden="false" customHeight="true" outlineLevel="0" collapsed="false">
      <c r="A105" s="2" t="n">
        <v>40</v>
      </c>
      <c r="B105" s="2" t="s">
        <v>26</v>
      </c>
      <c r="C105" s="2" t="s">
        <v>27</v>
      </c>
      <c r="D105" s="2" t="s">
        <v>35</v>
      </c>
      <c r="E105" s="2" t="n">
        <v>8</v>
      </c>
      <c r="F105" s="2" t="n">
        <v>3</v>
      </c>
      <c r="G105" s="2" t="s">
        <v>38</v>
      </c>
      <c r="H105" s="2" t="n">
        <v>104</v>
      </c>
      <c r="I105" s="2" t="s">
        <v>39</v>
      </c>
      <c r="J105" s="2" t="n">
        <v>2</v>
      </c>
      <c r="K105" s="2" t="s">
        <v>40</v>
      </c>
      <c r="L105" s="2" t="s">
        <v>32</v>
      </c>
      <c r="M105" s="2" t="n">
        <v>50870</v>
      </c>
      <c r="N105" s="2" t="n">
        <v>3</v>
      </c>
      <c r="O105" s="2" t="n">
        <v>14</v>
      </c>
      <c r="P105" s="2" t="n">
        <v>1</v>
      </c>
      <c r="Q105" s="2" t="n">
        <v>10</v>
      </c>
      <c r="R105" s="2" t="n">
        <v>3</v>
      </c>
      <c r="S105" s="2" t="n">
        <v>7</v>
      </c>
      <c r="T105" s="2" t="n">
        <v>1</v>
      </c>
      <c r="U105" s="2" t="n">
        <v>7</v>
      </c>
      <c r="V105" s="2" t="n">
        <v>4</v>
      </c>
      <c r="W105" s="2" t="n">
        <v>3</v>
      </c>
      <c r="X105" s="2" t="n">
        <v>3</v>
      </c>
      <c r="Y105" s="2" t="n">
        <v>3</v>
      </c>
      <c r="Z105" s="2" t="n">
        <v>3</v>
      </c>
    </row>
    <row r="106" customFormat="false" ht="15" hidden="false" customHeight="true" outlineLevel="0" collapsed="false">
      <c r="A106" s="2" t="n">
        <v>21</v>
      </c>
      <c r="B106" s="2" t="s">
        <v>26</v>
      </c>
      <c r="C106" s="2" t="s">
        <v>41</v>
      </c>
      <c r="D106" s="2" t="s">
        <v>35</v>
      </c>
      <c r="E106" s="2" t="n">
        <v>1</v>
      </c>
      <c r="F106" s="2" t="n">
        <v>5</v>
      </c>
      <c r="G106" s="2" t="s">
        <v>29</v>
      </c>
      <c r="H106" s="2" t="n">
        <v>105</v>
      </c>
      <c r="I106" s="2" t="s">
        <v>30</v>
      </c>
      <c r="J106" s="2" t="n">
        <v>2</v>
      </c>
      <c r="K106" s="2" t="s">
        <v>49</v>
      </c>
      <c r="L106" s="2" t="s">
        <v>37</v>
      </c>
      <c r="M106" s="2" t="n">
        <v>28630</v>
      </c>
      <c r="N106" s="2" t="n">
        <v>1</v>
      </c>
      <c r="O106" s="2" t="n">
        <v>14</v>
      </c>
      <c r="P106" s="2" t="n">
        <v>0</v>
      </c>
      <c r="Q106" s="2" t="n">
        <v>3</v>
      </c>
      <c r="R106" s="2" t="n">
        <v>2</v>
      </c>
      <c r="S106" s="2" t="n">
        <v>3</v>
      </c>
      <c r="T106" s="2" t="n">
        <v>2</v>
      </c>
      <c r="U106" s="2" t="n">
        <v>2</v>
      </c>
      <c r="V106" s="2" t="n">
        <v>1</v>
      </c>
      <c r="W106" s="2" t="n">
        <v>4</v>
      </c>
      <c r="X106" s="2" t="n">
        <v>2</v>
      </c>
      <c r="Y106" s="2" t="n">
        <v>1</v>
      </c>
      <c r="Z106" s="2" t="n">
        <v>3</v>
      </c>
    </row>
    <row r="107" customFormat="false" ht="15" hidden="false" customHeight="true" outlineLevel="0" collapsed="false">
      <c r="A107" s="2" t="n">
        <v>33</v>
      </c>
      <c r="B107" s="2" t="s">
        <v>33</v>
      </c>
      <c r="C107" s="2" t="s">
        <v>27</v>
      </c>
      <c r="D107" s="2" t="s">
        <v>42</v>
      </c>
      <c r="E107" s="2" t="n">
        <v>28</v>
      </c>
      <c r="F107" s="2" t="n">
        <v>2</v>
      </c>
      <c r="G107" s="2" t="s">
        <v>42</v>
      </c>
      <c r="H107" s="2" t="n">
        <v>106</v>
      </c>
      <c r="I107" s="2" t="s">
        <v>30</v>
      </c>
      <c r="J107" s="2" t="n">
        <v>5</v>
      </c>
      <c r="K107" s="2" t="s">
        <v>49</v>
      </c>
      <c r="L107" s="2" t="s">
        <v>37</v>
      </c>
      <c r="M107" s="2" t="n">
        <v>55610</v>
      </c>
      <c r="N107" s="2" t="n">
        <v>1</v>
      </c>
      <c r="O107" s="2" t="n">
        <v>21</v>
      </c>
      <c r="P107" s="2" t="n">
        <v>1</v>
      </c>
      <c r="Q107" s="2" t="n">
        <v>1</v>
      </c>
      <c r="R107" s="2" t="n">
        <v>3</v>
      </c>
      <c r="S107" s="2" t="n">
        <v>1</v>
      </c>
      <c r="T107" s="2" t="n">
        <v>0</v>
      </c>
      <c r="U107" s="2" t="n">
        <v>0</v>
      </c>
      <c r="V107" s="2" t="n">
        <v>4</v>
      </c>
      <c r="W107" s="2" t="n">
        <v>3</v>
      </c>
      <c r="X107" s="2" t="n">
        <v>3</v>
      </c>
      <c r="Y107" s="2" t="n">
        <v>1</v>
      </c>
      <c r="Z107" s="2" t="n">
        <v>4</v>
      </c>
    </row>
    <row r="108" customFormat="false" ht="15" hidden="false" customHeight="true" outlineLevel="0" collapsed="false">
      <c r="A108" s="2" t="n">
        <v>37</v>
      </c>
      <c r="B108" s="2" t="s">
        <v>26</v>
      </c>
      <c r="C108" s="2" t="s">
        <v>27</v>
      </c>
      <c r="D108" s="2" t="s">
        <v>35</v>
      </c>
      <c r="E108" s="2" t="n">
        <v>5</v>
      </c>
      <c r="F108" s="2" t="n">
        <v>3</v>
      </c>
      <c r="G108" s="2" t="s">
        <v>29</v>
      </c>
      <c r="H108" s="2" t="n">
        <v>107</v>
      </c>
      <c r="I108" s="2" t="s">
        <v>39</v>
      </c>
      <c r="J108" s="2" t="n">
        <v>4</v>
      </c>
      <c r="K108" s="2" t="s">
        <v>36</v>
      </c>
      <c r="L108" s="2" t="s">
        <v>32</v>
      </c>
      <c r="M108" s="2" t="n">
        <v>21440</v>
      </c>
      <c r="N108" s="2" t="n">
        <v>6</v>
      </c>
      <c r="O108" s="2" t="n">
        <v>19</v>
      </c>
      <c r="P108" s="2" t="n">
        <v>0</v>
      </c>
      <c r="Q108" s="2" t="n">
        <v>17</v>
      </c>
      <c r="R108" s="2" t="n">
        <v>3</v>
      </c>
      <c r="S108" s="2" t="n">
        <v>5</v>
      </c>
      <c r="T108" s="2" t="n">
        <v>0</v>
      </c>
      <c r="U108" s="2" t="n">
        <v>3</v>
      </c>
      <c r="V108" s="2" t="n">
        <v>3</v>
      </c>
      <c r="W108" s="2" t="n">
        <v>1</v>
      </c>
      <c r="X108" s="2" t="n">
        <v>3</v>
      </c>
      <c r="Y108" s="2" t="n">
        <v>4</v>
      </c>
      <c r="Z108" s="2" t="n">
        <v>3</v>
      </c>
    </row>
    <row r="109" customFormat="false" ht="15" hidden="false" customHeight="true" outlineLevel="0" collapsed="false">
      <c r="A109" s="2" t="n">
        <v>46</v>
      </c>
      <c r="B109" s="2" t="s">
        <v>26</v>
      </c>
      <c r="C109" s="2" t="s">
        <v>41</v>
      </c>
      <c r="D109" s="2" t="s">
        <v>28</v>
      </c>
      <c r="E109" s="2" t="n">
        <v>2</v>
      </c>
      <c r="F109" s="2" t="n">
        <v>4</v>
      </c>
      <c r="G109" s="2" t="s">
        <v>50</v>
      </c>
      <c r="H109" s="2" t="n">
        <v>108</v>
      </c>
      <c r="I109" s="2" t="s">
        <v>30</v>
      </c>
      <c r="J109" s="2" t="n">
        <v>2</v>
      </c>
      <c r="K109" s="2" t="s">
        <v>45</v>
      </c>
      <c r="L109" s="2" t="s">
        <v>32</v>
      </c>
      <c r="M109" s="2" t="n">
        <v>30650</v>
      </c>
      <c r="N109" s="2" t="n">
        <v>2</v>
      </c>
      <c r="O109" s="2" t="n">
        <v>11</v>
      </c>
      <c r="P109" s="2" t="n">
        <v>0</v>
      </c>
      <c r="Q109" s="2" t="n">
        <v>7</v>
      </c>
      <c r="R109" s="2" t="n">
        <v>3</v>
      </c>
      <c r="S109" s="2" t="n">
        <v>1</v>
      </c>
      <c r="T109" s="2" t="n">
        <v>0</v>
      </c>
      <c r="U109" s="2" t="n">
        <v>0</v>
      </c>
      <c r="V109" s="2" t="n">
        <v>3</v>
      </c>
      <c r="W109" s="2" t="n">
        <v>3</v>
      </c>
      <c r="X109" s="2" t="n">
        <v>4</v>
      </c>
      <c r="Y109" s="2" t="n">
        <v>3</v>
      </c>
      <c r="Z109" s="2" t="n">
        <v>3</v>
      </c>
    </row>
    <row r="110" customFormat="false" ht="15" hidden="false" customHeight="true" outlineLevel="0" collapsed="false">
      <c r="A110" s="2" t="n">
        <v>41</v>
      </c>
      <c r="B110" s="2" t="s">
        <v>33</v>
      </c>
      <c r="C110" s="2" t="s">
        <v>34</v>
      </c>
      <c r="D110" s="2" t="s">
        <v>35</v>
      </c>
      <c r="E110" s="2" t="n">
        <v>16</v>
      </c>
      <c r="F110" s="2" t="n">
        <v>1</v>
      </c>
      <c r="G110" s="2" t="s">
        <v>43</v>
      </c>
      <c r="H110" s="2" t="n">
        <v>109</v>
      </c>
      <c r="I110" s="2" t="s">
        <v>30</v>
      </c>
      <c r="J110" s="2" t="n">
        <v>1</v>
      </c>
      <c r="K110" s="2" t="s">
        <v>36</v>
      </c>
      <c r="L110" s="2" t="s">
        <v>37</v>
      </c>
      <c r="M110" s="2" t="n">
        <v>28100</v>
      </c>
      <c r="N110" s="2" t="n">
        <v>1</v>
      </c>
      <c r="O110" s="2" t="n">
        <v>11</v>
      </c>
      <c r="P110" s="2" t="n">
        <v>0</v>
      </c>
      <c r="Q110" s="2" t="n">
        <v>8</v>
      </c>
      <c r="R110" s="2" t="n">
        <v>3</v>
      </c>
      <c r="S110" s="2" t="n">
        <v>8</v>
      </c>
      <c r="T110" s="2" t="n">
        <v>7</v>
      </c>
      <c r="U110" s="2" t="n">
        <v>7</v>
      </c>
      <c r="V110" s="2" t="n">
        <v>1</v>
      </c>
      <c r="W110" s="2" t="n">
        <v>2</v>
      </c>
      <c r="X110" s="2" t="n">
        <v>3</v>
      </c>
      <c r="Y110" s="2" t="n">
        <v>4</v>
      </c>
      <c r="Z110" s="2" t="n">
        <v>3</v>
      </c>
    </row>
    <row r="111" customFormat="false" ht="15" hidden="false" customHeight="true" outlineLevel="0" collapsed="false">
      <c r="A111" s="2" t="n">
        <v>50</v>
      </c>
      <c r="B111" s="2" t="s">
        <v>26</v>
      </c>
      <c r="C111" s="2" t="s">
        <v>27</v>
      </c>
      <c r="D111" s="2" t="s">
        <v>35</v>
      </c>
      <c r="E111" s="2" t="n">
        <v>9</v>
      </c>
      <c r="F111" s="2" t="n">
        <v>3</v>
      </c>
      <c r="G111" s="2" t="s">
        <v>43</v>
      </c>
      <c r="H111" s="2" t="n">
        <v>110</v>
      </c>
      <c r="I111" s="2" t="s">
        <v>30</v>
      </c>
      <c r="J111" s="2" t="n">
        <v>3</v>
      </c>
      <c r="K111" s="2" t="s">
        <v>45</v>
      </c>
      <c r="L111" s="2" t="s">
        <v>37</v>
      </c>
      <c r="M111" s="2" t="n">
        <v>98880</v>
      </c>
      <c r="N111" s="2" t="n">
        <v>6</v>
      </c>
      <c r="O111" s="2" t="n">
        <v>15</v>
      </c>
      <c r="P111" s="2" t="n">
        <v>0</v>
      </c>
      <c r="Q111" s="2" t="n">
        <v>20</v>
      </c>
      <c r="R111" s="2" t="n">
        <v>2</v>
      </c>
      <c r="S111" s="2" t="n">
        <v>4</v>
      </c>
      <c r="T111" s="2" t="n">
        <v>1</v>
      </c>
      <c r="U111" s="2" t="n">
        <v>3</v>
      </c>
      <c r="V111" s="2" t="n">
        <v>4</v>
      </c>
      <c r="W111" s="2" t="n">
        <v>4</v>
      </c>
      <c r="X111" s="2" t="n">
        <v>3</v>
      </c>
      <c r="Y111" s="2" t="n">
        <v>3</v>
      </c>
      <c r="Z111" s="2" t="n">
        <v>3</v>
      </c>
    </row>
    <row r="112" customFormat="false" ht="15" hidden="false" customHeight="true" outlineLevel="0" collapsed="false">
      <c r="A112" s="2" t="n">
        <v>40</v>
      </c>
      <c r="B112" s="2" t="s">
        <v>33</v>
      </c>
      <c r="C112" s="2" t="s">
        <v>27</v>
      </c>
      <c r="D112" s="2" t="s">
        <v>35</v>
      </c>
      <c r="E112" s="2" t="n">
        <v>8</v>
      </c>
      <c r="F112" s="2" t="n">
        <v>3</v>
      </c>
      <c r="G112" s="2" t="s">
        <v>43</v>
      </c>
      <c r="H112" s="2" t="n">
        <v>111</v>
      </c>
      <c r="I112" s="2" t="s">
        <v>30</v>
      </c>
      <c r="J112" s="2" t="n">
        <v>1</v>
      </c>
      <c r="K112" s="2" t="s">
        <v>31</v>
      </c>
      <c r="L112" s="2" t="s">
        <v>32</v>
      </c>
      <c r="M112" s="2" t="n">
        <v>86280</v>
      </c>
      <c r="N112" s="2" t="n">
        <v>2</v>
      </c>
      <c r="O112" s="2" t="n">
        <v>20</v>
      </c>
      <c r="P112" s="2" t="n">
        <v>0</v>
      </c>
      <c r="Q112" s="2" t="n">
        <v>8</v>
      </c>
      <c r="R112" s="2" t="n">
        <v>2</v>
      </c>
      <c r="S112" s="2" t="n">
        <v>6</v>
      </c>
      <c r="T112" s="2" t="n">
        <v>1</v>
      </c>
      <c r="U112" s="2" t="n">
        <v>0</v>
      </c>
      <c r="V112" s="2" t="n">
        <v>3</v>
      </c>
      <c r="W112" s="2" t="n">
        <v>3</v>
      </c>
      <c r="X112" s="2" t="n">
        <v>3</v>
      </c>
      <c r="Y112" s="2" t="n">
        <v>2</v>
      </c>
      <c r="Z112" s="2" t="n">
        <v>4</v>
      </c>
    </row>
    <row r="113" customFormat="false" ht="15" hidden="false" customHeight="true" outlineLevel="0" collapsed="false">
      <c r="A113" s="2" t="n">
        <v>31</v>
      </c>
      <c r="B113" s="2" t="s">
        <v>26</v>
      </c>
      <c r="C113" s="2" t="s">
        <v>27</v>
      </c>
      <c r="D113" s="2" t="s">
        <v>35</v>
      </c>
      <c r="E113" s="2" t="n">
        <v>1</v>
      </c>
      <c r="F113" s="2" t="n">
        <v>3</v>
      </c>
      <c r="G113" s="2" t="s">
        <v>29</v>
      </c>
      <c r="H113" s="2" t="n">
        <v>112</v>
      </c>
      <c r="I113" s="2" t="s">
        <v>39</v>
      </c>
      <c r="J113" s="2" t="n">
        <v>4</v>
      </c>
      <c r="K113" s="2" t="s">
        <v>42</v>
      </c>
      <c r="L113" s="2" t="s">
        <v>37</v>
      </c>
      <c r="M113" s="2" t="n">
        <v>28670</v>
      </c>
      <c r="N113" s="2" t="n">
        <v>0</v>
      </c>
      <c r="O113" s="2" t="n">
        <v>24</v>
      </c>
      <c r="P113" s="2" t="n">
        <v>0</v>
      </c>
      <c r="Q113" s="2" t="n">
        <v>3</v>
      </c>
      <c r="R113" s="2" t="n">
        <v>5</v>
      </c>
      <c r="S113" s="2" t="n">
        <v>2</v>
      </c>
      <c r="T113" s="2" t="n">
        <v>2</v>
      </c>
      <c r="U113" s="2" t="n">
        <v>2</v>
      </c>
      <c r="V113" s="2"/>
      <c r="W113" s="2" t="n">
        <v>2</v>
      </c>
      <c r="X113" s="2" t="n">
        <v>3</v>
      </c>
      <c r="Y113" s="2" t="n">
        <v>3</v>
      </c>
      <c r="Z113" s="2" t="n">
        <v>4</v>
      </c>
    </row>
    <row r="114" customFormat="false" ht="15" hidden="false" customHeight="true" outlineLevel="0" collapsed="false">
      <c r="A114" s="2" t="n">
        <v>21</v>
      </c>
      <c r="B114" s="2" t="s">
        <v>33</v>
      </c>
      <c r="C114" s="2" t="s">
        <v>27</v>
      </c>
      <c r="D114" s="2" t="s">
        <v>42</v>
      </c>
      <c r="E114" s="2" t="n">
        <v>10</v>
      </c>
      <c r="F114" s="2" t="n">
        <v>2</v>
      </c>
      <c r="G114" s="2" t="s">
        <v>42</v>
      </c>
      <c r="H114" s="2" t="n">
        <v>113</v>
      </c>
      <c r="I114" s="2" t="s">
        <v>39</v>
      </c>
      <c r="J114" s="2" t="n">
        <v>1</v>
      </c>
      <c r="K114" s="2" t="s">
        <v>45</v>
      </c>
      <c r="L114" s="2" t="s">
        <v>37</v>
      </c>
      <c r="M114" s="2" t="n">
        <v>53730</v>
      </c>
      <c r="N114" s="2" t="n">
        <v>1</v>
      </c>
      <c r="O114" s="2" t="n">
        <v>12</v>
      </c>
      <c r="P114" s="2" t="n">
        <v>1</v>
      </c>
      <c r="Q114" s="2" t="n">
        <v>1</v>
      </c>
      <c r="R114" s="2" t="n">
        <v>2</v>
      </c>
      <c r="S114" s="2" t="n">
        <v>1</v>
      </c>
      <c r="T114" s="2" t="n">
        <v>0</v>
      </c>
      <c r="U114" s="2" t="n">
        <v>0</v>
      </c>
      <c r="V114" s="2" t="n">
        <v>3</v>
      </c>
      <c r="W114" s="2" t="n">
        <v>2</v>
      </c>
      <c r="X114" s="2" t="n">
        <v>3</v>
      </c>
      <c r="Y114" s="2" t="n">
        <v>3</v>
      </c>
      <c r="Z114" s="2" t="n">
        <v>3</v>
      </c>
    </row>
    <row r="115" customFormat="false" ht="15" hidden="false" customHeight="true" outlineLevel="0" collapsed="false">
      <c r="A115" s="2" t="n">
        <v>29</v>
      </c>
      <c r="B115" s="2" t="s">
        <v>26</v>
      </c>
      <c r="C115" s="2" t="s">
        <v>27</v>
      </c>
      <c r="D115" s="2" t="s">
        <v>35</v>
      </c>
      <c r="E115" s="2" t="n">
        <v>1</v>
      </c>
      <c r="F115" s="2" t="n">
        <v>3</v>
      </c>
      <c r="G115" s="2" t="s">
        <v>29</v>
      </c>
      <c r="H115" s="2" t="n">
        <v>114</v>
      </c>
      <c r="I115" s="2" t="s">
        <v>30</v>
      </c>
      <c r="J115" s="2" t="n">
        <v>2</v>
      </c>
      <c r="K115" s="2" t="s">
        <v>44</v>
      </c>
      <c r="L115" s="2" t="s">
        <v>37</v>
      </c>
      <c r="M115" s="2" t="n">
        <v>66670</v>
      </c>
      <c r="N115" s="2" t="n">
        <v>9</v>
      </c>
      <c r="O115" s="2" t="n">
        <v>12</v>
      </c>
      <c r="P115" s="2" t="n">
        <v>1</v>
      </c>
      <c r="Q115" s="2" t="n">
        <v>6</v>
      </c>
      <c r="R115" s="2" t="n">
        <v>6</v>
      </c>
      <c r="S115" s="2" t="n">
        <v>3</v>
      </c>
      <c r="T115" s="2" t="n">
        <v>1</v>
      </c>
      <c r="U115" s="2" t="n">
        <v>2</v>
      </c>
      <c r="V115" s="2" t="n">
        <v>4</v>
      </c>
      <c r="W115" s="2" t="n">
        <v>4</v>
      </c>
      <c r="X115" s="2" t="n">
        <v>3</v>
      </c>
      <c r="Y115" s="2" t="n">
        <v>4</v>
      </c>
      <c r="Z115" s="2" t="n">
        <v>3</v>
      </c>
    </row>
    <row r="116" customFormat="false" ht="15" hidden="false" customHeight="true" outlineLevel="0" collapsed="false">
      <c r="A116" s="2" t="n">
        <v>35</v>
      </c>
      <c r="B116" s="2" t="s">
        <v>26</v>
      </c>
      <c r="C116" s="2" t="s">
        <v>27</v>
      </c>
      <c r="D116" s="2" t="s">
        <v>35</v>
      </c>
      <c r="E116" s="2" t="n">
        <v>29</v>
      </c>
      <c r="F116" s="2" t="n">
        <v>3</v>
      </c>
      <c r="G116" s="2" t="s">
        <v>29</v>
      </c>
      <c r="H116" s="2" t="n">
        <v>115</v>
      </c>
      <c r="I116" s="2" t="s">
        <v>30</v>
      </c>
      <c r="J116" s="2" t="n">
        <v>3</v>
      </c>
      <c r="K116" s="2" t="s">
        <v>40</v>
      </c>
      <c r="L116" s="2" t="s">
        <v>37</v>
      </c>
      <c r="M116" s="2" t="n">
        <v>50030</v>
      </c>
      <c r="N116" s="2" t="n">
        <v>9</v>
      </c>
      <c r="O116" s="2" t="n">
        <v>15</v>
      </c>
      <c r="P116" s="2" t="n">
        <v>0</v>
      </c>
      <c r="Q116" s="2" t="n">
        <v>10</v>
      </c>
      <c r="R116" s="2" t="n">
        <v>2</v>
      </c>
      <c r="S116" s="2" t="n">
        <v>1</v>
      </c>
      <c r="T116" s="2" t="n">
        <v>0</v>
      </c>
      <c r="U116" s="2" t="n">
        <v>0</v>
      </c>
      <c r="V116" s="2" t="n">
        <v>3</v>
      </c>
      <c r="W116" s="2" t="n">
        <v>2</v>
      </c>
      <c r="X116" s="2" t="n">
        <v>3</v>
      </c>
      <c r="Y116" s="2" t="n">
        <v>3</v>
      </c>
      <c r="Z116" s="2" t="n">
        <v>3</v>
      </c>
    </row>
    <row r="117" customFormat="false" ht="15" hidden="false" customHeight="true" outlineLevel="0" collapsed="false">
      <c r="A117" s="2" t="n">
        <v>27</v>
      </c>
      <c r="B117" s="2" t="s">
        <v>26</v>
      </c>
      <c r="C117" s="2" t="s">
        <v>27</v>
      </c>
      <c r="D117" s="2" t="s">
        <v>28</v>
      </c>
      <c r="E117" s="2" t="n">
        <v>2</v>
      </c>
      <c r="F117" s="2" t="n">
        <v>3</v>
      </c>
      <c r="G117" s="2" t="s">
        <v>29</v>
      </c>
      <c r="H117" s="2" t="n">
        <v>116</v>
      </c>
      <c r="I117" s="2" t="s">
        <v>39</v>
      </c>
      <c r="J117" s="2" t="n">
        <v>1</v>
      </c>
      <c r="K117" s="2" t="s">
        <v>40</v>
      </c>
      <c r="L117" s="2" t="s">
        <v>46</v>
      </c>
      <c r="M117" s="2" t="n">
        <v>23670</v>
      </c>
      <c r="N117" s="2"/>
      <c r="O117" s="2" t="n">
        <v>12</v>
      </c>
      <c r="P117" s="2" t="n">
        <v>1</v>
      </c>
      <c r="Q117" s="2" t="n">
        <v>5</v>
      </c>
      <c r="R117" s="2" t="n">
        <v>2</v>
      </c>
      <c r="S117" s="2" t="n">
        <v>5</v>
      </c>
      <c r="T117" s="2" t="n">
        <v>0</v>
      </c>
      <c r="U117" s="2" t="n">
        <v>4</v>
      </c>
      <c r="V117" s="2" t="n">
        <v>4</v>
      </c>
      <c r="W117" s="2" t="n">
        <v>2</v>
      </c>
      <c r="X117" s="2" t="n">
        <v>3</v>
      </c>
      <c r="Y117" s="2" t="n">
        <v>3</v>
      </c>
      <c r="Z117" s="2" t="n">
        <v>3</v>
      </c>
    </row>
    <row r="118" customFormat="false" ht="15" hidden="false" customHeight="true" outlineLevel="0" collapsed="false">
      <c r="A118" s="2" t="n">
        <v>28</v>
      </c>
      <c r="B118" s="2" t="s">
        <v>26</v>
      </c>
      <c r="C118" s="2" t="s">
        <v>27</v>
      </c>
      <c r="D118" s="2" t="s">
        <v>35</v>
      </c>
      <c r="E118" s="2" t="n">
        <v>2</v>
      </c>
      <c r="F118" s="2" t="n">
        <v>2</v>
      </c>
      <c r="G118" s="2" t="s">
        <v>43</v>
      </c>
      <c r="H118" s="2" t="n">
        <v>117</v>
      </c>
      <c r="I118" s="2" t="s">
        <v>39</v>
      </c>
      <c r="J118" s="2" t="n">
        <v>3</v>
      </c>
      <c r="K118" s="2" t="s">
        <v>49</v>
      </c>
      <c r="L118" s="2" t="s">
        <v>37</v>
      </c>
      <c r="M118" s="2" t="n">
        <v>28580</v>
      </c>
      <c r="N118" s="2" t="n">
        <v>1</v>
      </c>
      <c r="O118" s="2" t="n">
        <v>12</v>
      </c>
      <c r="P118" s="2" t="n">
        <v>0</v>
      </c>
      <c r="Q118" s="2" t="n">
        <v>7</v>
      </c>
      <c r="R118" s="2" t="n">
        <v>2</v>
      </c>
      <c r="S118" s="2" t="n">
        <v>7</v>
      </c>
      <c r="T118" s="2" t="n">
        <v>0</v>
      </c>
      <c r="U118" s="2" t="n">
        <v>7</v>
      </c>
      <c r="V118" s="2" t="n">
        <v>2</v>
      </c>
      <c r="W118" s="2" t="n">
        <v>4</v>
      </c>
      <c r="X118" s="2" t="n">
        <v>3</v>
      </c>
      <c r="Y118" s="2" t="n">
        <v>2</v>
      </c>
      <c r="Z118" s="2" t="n">
        <v>3</v>
      </c>
    </row>
    <row r="119" customFormat="false" ht="15" hidden="false" customHeight="true" outlineLevel="0" collapsed="false">
      <c r="A119" s="2" t="n">
        <v>49</v>
      </c>
      <c r="B119" s="2" t="s">
        <v>26</v>
      </c>
      <c r="C119" s="2" t="s">
        <v>27</v>
      </c>
      <c r="D119" s="2" t="s">
        <v>28</v>
      </c>
      <c r="E119" s="2" t="n">
        <v>2</v>
      </c>
      <c r="F119" s="2" t="n">
        <v>3</v>
      </c>
      <c r="G119" s="2" t="s">
        <v>51</v>
      </c>
      <c r="H119" s="2" t="n">
        <v>118</v>
      </c>
      <c r="I119" s="2" t="s">
        <v>39</v>
      </c>
      <c r="J119" s="2" t="n">
        <v>2</v>
      </c>
      <c r="K119" s="2" t="s">
        <v>47</v>
      </c>
      <c r="L119" s="2" t="s">
        <v>37</v>
      </c>
      <c r="M119" s="2" t="n">
        <v>52040</v>
      </c>
      <c r="N119" s="2" t="n">
        <v>8</v>
      </c>
      <c r="O119" s="2" t="n">
        <v>14</v>
      </c>
      <c r="P119" s="2" t="n">
        <v>1</v>
      </c>
      <c r="Q119" s="2" t="n">
        <v>26</v>
      </c>
      <c r="R119" s="2" t="n">
        <v>3</v>
      </c>
      <c r="S119" s="2" t="n">
        <v>5</v>
      </c>
      <c r="T119" s="2" t="n">
        <v>0</v>
      </c>
      <c r="U119" s="2" t="n">
        <v>0</v>
      </c>
      <c r="V119" s="2" t="n">
        <v>2</v>
      </c>
      <c r="W119" s="2" t="n">
        <v>3</v>
      </c>
      <c r="X119" s="2" t="n">
        <v>3</v>
      </c>
      <c r="Y119" s="2" t="n">
        <v>3</v>
      </c>
      <c r="Z119" s="2" t="n">
        <v>3</v>
      </c>
    </row>
    <row r="120" customFormat="false" ht="15" hidden="false" customHeight="true" outlineLevel="0" collapsed="false">
      <c r="A120" s="2" t="n">
        <v>51</v>
      </c>
      <c r="B120" s="2" t="s">
        <v>26</v>
      </c>
      <c r="C120" s="2" t="s">
        <v>27</v>
      </c>
      <c r="D120" s="2" t="s">
        <v>35</v>
      </c>
      <c r="E120" s="2" t="n">
        <v>1</v>
      </c>
      <c r="F120" s="2" t="n">
        <v>2</v>
      </c>
      <c r="G120" s="2" t="s">
        <v>29</v>
      </c>
      <c r="H120" s="2" t="n">
        <v>119</v>
      </c>
      <c r="I120" s="2" t="s">
        <v>39</v>
      </c>
      <c r="J120" s="2" t="n">
        <v>1</v>
      </c>
      <c r="K120" s="2" t="s">
        <v>40</v>
      </c>
      <c r="L120" s="2" t="s">
        <v>32</v>
      </c>
      <c r="M120" s="2" t="n">
        <v>41050</v>
      </c>
      <c r="N120" s="2" t="n">
        <v>4</v>
      </c>
      <c r="O120" s="2" t="n">
        <v>22</v>
      </c>
      <c r="P120" s="2" t="n">
        <v>1</v>
      </c>
      <c r="Q120" s="2" t="n">
        <v>18</v>
      </c>
      <c r="R120" s="2" t="n">
        <v>2</v>
      </c>
      <c r="S120" s="2" t="n">
        <v>7</v>
      </c>
      <c r="T120" s="2" t="n">
        <v>0</v>
      </c>
      <c r="U120" s="2" t="n">
        <v>7</v>
      </c>
      <c r="V120" s="2" t="n">
        <v>3</v>
      </c>
      <c r="W120" s="2" t="n">
        <v>4</v>
      </c>
      <c r="X120" s="2" t="n">
        <v>2</v>
      </c>
      <c r="Y120" s="2" t="n">
        <v>3</v>
      </c>
      <c r="Z120" s="2" t="n">
        <v>4</v>
      </c>
    </row>
    <row r="121" customFormat="false" ht="15" hidden="false" customHeight="true" outlineLevel="0" collapsed="false">
      <c r="A121" s="2" t="n">
        <v>36</v>
      </c>
      <c r="B121" s="2" t="s">
        <v>26</v>
      </c>
      <c r="C121" s="2" t="s">
        <v>27</v>
      </c>
      <c r="D121" s="2" t="s">
        <v>28</v>
      </c>
      <c r="E121" s="2" t="n">
        <v>15</v>
      </c>
      <c r="F121" s="2" t="n">
        <v>2</v>
      </c>
      <c r="G121" s="2" t="s">
        <v>29</v>
      </c>
      <c r="H121" s="2" t="n">
        <v>120</v>
      </c>
      <c r="I121" s="2" t="s">
        <v>39</v>
      </c>
      <c r="J121" s="2" t="n">
        <v>1</v>
      </c>
      <c r="K121" s="2" t="s">
        <v>40</v>
      </c>
      <c r="L121" s="2" t="s">
        <v>32</v>
      </c>
      <c r="M121" s="2" t="n">
        <v>96790</v>
      </c>
      <c r="N121" s="2" t="n">
        <v>4</v>
      </c>
      <c r="O121" s="2" t="n">
        <v>12</v>
      </c>
      <c r="P121" s="2" t="n">
        <v>0</v>
      </c>
      <c r="Q121" s="2" t="n">
        <v>6</v>
      </c>
      <c r="R121" s="2" t="n">
        <v>1</v>
      </c>
      <c r="S121" s="2" t="n">
        <v>2</v>
      </c>
      <c r="T121" s="2" t="n">
        <v>2</v>
      </c>
      <c r="U121" s="2" t="n">
        <v>2</v>
      </c>
      <c r="V121" s="2" t="n">
        <v>4</v>
      </c>
      <c r="W121" s="2" t="n">
        <v>3</v>
      </c>
      <c r="X121" s="2" t="n">
        <v>3</v>
      </c>
      <c r="Y121" s="2" t="n">
        <v>3</v>
      </c>
      <c r="Z121" s="2" t="n">
        <v>3</v>
      </c>
    </row>
    <row r="122" customFormat="false" ht="15" hidden="false" customHeight="true" outlineLevel="0" collapsed="false">
      <c r="A122" s="2" t="n">
        <v>34</v>
      </c>
      <c r="B122" s="2" t="s">
        <v>33</v>
      </c>
      <c r="C122" s="2" t="s">
        <v>41</v>
      </c>
      <c r="D122" s="2" t="s">
        <v>35</v>
      </c>
      <c r="E122" s="2" t="n">
        <v>7</v>
      </c>
      <c r="F122" s="2" t="n">
        <v>3</v>
      </c>
      <c r="G122" s="2" t="s">
        <v>29</v>
      </c>
      <c r="H122" s="2" t="n">
        <v>121</v>
      </c>
      <c r="I122" s="2" t="s">
        <v>39</v>
      </c>
      <c r="J122" s="2" t="n">
        <v>1</v>
      </c>
      <c r="K122" s="2" t="s">
        <v>48</v>
      </c>
      <c r="L122" s="2" t="s">
        <v>37</v>
      </c>
      <c r="M122" s="2" t="n">
        <v>56170</v>
      </c>
      <c r="N122" s="2" t="n">
        <v>8</v>
      </c>
      <c r="O122" s="2" t="n">
        <v>25</v>
      </c>
      <c r="P122" s="2" t="n">
        <v>1</v>
      </c>
      <c r="Q122" s="2" t="n">
        <v>9</v>
      </c>
      <c r="R122" s="2" t="n">
        <v>3</v>
      </c>
      <c r="S122" s="2" t="n">
        <v>5</v>
      </c>
      <c r="T122" s="2" t="n">
        <v>0</v>
      </c>
      <c r="U122" s="2" t="n">
        <v>4</v>
      </c>
      <c r="V122" s="2" t="n">
        <v>1</v>
      </c>
      <c r="W122" s="2" t="n">
        <v>4</v>
      </c>
      <c r="X122" s="2" t="n">
        <v>2</v>
      </c>
      <c r="Y122" s="2" t="n">
        <v>3</v>
      </c>
      <c r="Z122" s="2" t="n">
        <v>4</v>
      </c>
    </row>
    <row r="123" customFormat="false" ht="15" hidden="false" customHeight="true" outlineLevel="0" collapsed="false">
      <c r="A123" s="2" t="n">
        <v>55</v>
      </c>
      <c r="B123" s="2" t="s">
        <v>26</v>
      </c>
      <c r="C123" s="2" t="s">
        <v>27</v>
      </c>
      <c r="D123" s="2" t="s">
        <v>28</v>
      </c>
      <c r="E123" s="2" t="n">
        <v>26</v>
      </c>
      <c r="F123" s="2" t="n">
        <v>3</v>
      </c>
      <c r="G123" s="2" t="s">
        <v>50</v>
      </c>
      <c r="H123" s="2" t="n">
        <v>122</v>
      </c>
      <c r="I123" s="2" t="s">
        <v>39</v>
      </c>
      <c r="J123" s="2" t="n">
        <v>1</v>
      </c>
      <c r="K123" s="2" t="s">
        <v>45</v>
      </c>
      <c r="L123" s="2" t="s">
        <v>37</v>
      </c>
      <c r="M123" s="2" t="n">
        <v>104480</v>
      </c>
      <c r="N123" s="2" t="n">
        <v>2</v>
      </c>
      <c r="O123" s="2" t="n">
        <v>13</v>
      </c>
      <c r="P123" s="2" t="n">
        <v>0</v>
      </c>
      <c r="Q123" s="2" t="n">
        <v>30</v>
      </c>
      <c r="R123" s="2" t="n">
        <v>3</v>
      </c>
      <c r="S123" s="2" t="n">
        <v>5</v>
      </c>
      <c r="T123" s="2" t="n">
        <v>1</v>
      </c>
      <c r="U123" s="2" t="n">
        <v>2</v>
      </c>
      <c r="V123" s="2" t="n">
        <v>3</v>
      </c>
      <c r="W123" s="2" t="n">
        <v>4</v>
      </c>
      <c r="X123" s="2" t="n">
        <v>3</v>
      </c>
      <c r="Y123" s="2" t="n">
        <v>3</v>
      </c>
      <c r="Z123" s="2" t="n">
        <v>3</v>
      </c>
    </row>
    <row r="124" customFormat="false" ht="15" hidden="false" customHeight="true" outlineLevel="0" collapsed="false">
      <c r="A124" s="2" t="n">
        <v>24</v>
      </c>
      <c r="B124" s="2" t="s">
        <v>26</v>
      </c>
      <c r="C124" s="2" t="s">
        <v>27</v>
      </c>
      <c r="D124" s="2" t="s">
        <v>35</v>
      </c>
      <c r="E124" s="2" t="n">
        <v>1</v>
      </c>
      <c r="F124" s="2" t="n">
        <v>3</v>
      </c>
      <c r="G124" s="2" t="s">
        <v>29</v>
      </c>
      <c r="H124" s="2" t="n">
        <v>123</v>
      </c>
      <c r="I124" s="2" t="s">
        <v>30</v>
      </c>
      <c r="J124" s="2" t="n">
        <v>5</v>
      </c>
      <c r="K124" s="2" t="s">
        <v>49</v>
      </c>
      <c r="L124" s="2" t="s">
        <v>46</v>
      </c>
      <c r="M124" s="2" t="n">
        <v>28970</v>
      </c>
      <c r="N124" s="2" t="n">
        <v>1</v>
      </c>
      <c r="O124" s="2" t="n">
        <v>18</v>
      </c>
      <c r="P124" s="2" t="n">
        <v>3</v>
      </c>
      <c r="Q124" s="2" t="n">
        <v>5</v>
      </c>
      <c r="R124" s="2" t="n">
        <v>4</v>
      </c>
      <c r="S124" s="2" t="n">
        <v>5</v>
      </c>
      <c r="T124" s="2" t="n">
        <v>0</v>
      </c>
      <c r="U124" s="2" t="n">
        <v>3</v>
      </c>
      <c r="V124" s="2" t="n">
        <v>4</v>
      </c>
      <c r="W124" s="2" t="n">
        <v>3</v>
      </c>
      <c r="X124" s="2" t="n">
        <v>4</v>
      </c>
      <c r="Y124" s="2" t="n">
        <v>3</v>
      </c>
      <c r="Z124" s="2" t="n">
        <v>3</v>
      </c>
    </row>
    <row r="125" customFormat="false" ht="15" hidden="false" customHeight="true" outlineLevel="0" collapsed="false">
      <c r="A125" s="2" t="n">
        <v>30</v>
      </c>
      <c r="B125" s="2" t="s">
        <v>26</v>
      </c>
      <c r="C125" s="2" t="s">
        <v>27</v>
      </c>
      <c r="D125" s="2" t="s">
        <v>35</v>
      </c>
      <c r="E125" s="2" t="n">
        <v>3</v>
      </c>
      <c r="F125" s="2" t="n">
        <v>3</v>
      </c>
      <c r="G125" s="2" t="s">
        <v>29</v>
      </c>
      <c r="H125" s="2" t="n">
        <v>124</v>
      </c>
      <c r="I125" s="2" t="s">
        <v>30</v>
      </c>
      <c r="J125" s="2" t="n">
        <v>2</v>
      </c>
      <c r="K125" s="2" t="s">
        <v>49</v>
      </c>
      <c r="L125" s="2" t="s">
        <v>32</v>
      </c>
      <c r="M125" s="2" t="n">
        <v>59680</v>
      </c>
      <c r="N125" s="2" t="n">
        <v>1</v>
      </c>
      <c r="O125" s="2" t="n">
        <v>13</v>
      </c>
      <c r="P125" s="2" t="n">
        <v>0</v>
      </c>
      <c r="Q125" s="2" t="n">
        <v>1</v>
      </c>
      <c r="R125" s="2" t="n">
        <v>3</v>
      </c>
      <c r="S125" s="2" t="n">
        <v>1</v>
      </c>
      <c r="T125" s="2" t="n">
        <v>0</v>
      </c>
      <c r="U125" s="2" t="n">
        <v>0</v>
      </c>
      <c r="V125" s="2" t="n">
        <v>3</v>
      </c>
      <c r="W125" s="2" t="n">
        <v>2</v>
      </c>
      <c r="X125" s="2" t="n">
        <v>3</v>
      </c>
      <c r="Y125" s="2" t="n">
        <v>3</v>
      </c>
      <c r="Z125" s="2" t="n">
        <v>3</v>
      </c>
    </row>
    <row r="126" customFormat="false" ht="15" hidden="false" customHeight="true" outlineLevel="0" collapsed="false">
      <c r="A126" s="2" t="n">
        <v>26</v>
      </c>
      <c r="B126" s="2" t="s">
        <v>33</v>
      </c>
      <c r="C126" s="2" t="s">
        <v>34</v>
      </c>
      <c r="D126" s="2" t="s">
        <v>28</v>
      </c>
      <c r="E126" s="2" t="n">
        <v>14</v>
      </c>
      <c r="F126" s="2" t="n">
        <v>3</v>
      </c>
      <c r="G126" s="2" t="s">
        <v>29</v>
      </c>
      <c r="H126" s="2" t="n">
        <v>125</v>
      </c>
      <c r="I126" s="2" t="s">
        <v>39</v>
      </c>
      <c r="J126" s="2" t="n">
        <v>2</v>
      </c>
      <c r="K126" s="2" t="s">
        <v>49</v>
      </c>
      <c r="L126" s="2" t="s">
        <v>37</v>
      </c>
      <c r="M126" s="2" t="n">
        <v>75100</v>
      </c>
      <c r="N126" s="2" t="n">
        <v>0</v>
      </c>
      <c r="O126" s="2" t="n">
        <v>18</v>
      </c>
      <c r="P126" s="2" t="n">
        <v>3</v>
      </c>
      <c r="Q126" s="2" t="n">
        <v>7</v>
      </c>
      <c r="R126" s="2" t="n">
        <v>3</v>
      </c>
      <c r="S126" s="2" t="n">
        <v>6</v>
      </c>
      <c r="T126" s="2" t="n">
        <v>0</v>
      </c>
      <c r="U126" s="2" t="n">
        <v>4</v>
      </c>
      <c r="V126" s="2" t="n">
        <v>3</v>
      </c>
      <c r="W126" s="2"/>
      <c r="X126" s="2" t="n">
        <v>3</v>
      </c>
      <c r="Y126" s="2" t="n">
        <v>3</v>
      </c>
      <c r="Z126" s="2" t="n">
        <v>3</v>
      </c>
    </row>
    <row r="127" customFormat="false" ht="15" hidden="false" customHeight="true" outlineLevel="0" collapsed="false">
      <c r="A127" s="2" t="n">
        <v>22</v>
      </c>
      <c r="B127" s="2" t="s">
        <v>26</v>
      </c>
      <c r="C127" s="2" t="s">
        <v>27</v>
      </c>
      <c r="D127" s="2" t="s">
        <v>35</v>
      </c>
      <c r="E127" s="2" t="n">
        <v>16</v>
      </c>
      <c r="F127" s="2" t="n">
        <v>5</v>
      </c>
      <c r="G127" s="2" t="s">
        <v>38</v>
      </c>
      <c r="H127" s="2" t="n">
        <v>126</v>
      </c>
      <c r="I127" s="2" t="s">
        <v>39</v>
      </c>
      <c r="J127" s="2" t="n">
        <v>1</v>
      </c>
      <c r="K127" s="2" t="s">
        <v>36</v>
      </c>
      <c r="L127" s="2" t="s">
        <v>32</v>
      </c>
      <c r="M127" s="2" t="n">
        <v>29910</v>
      </c>
      <c r="N127" s="2" t="n">
        <v>1</v>
      </c>
      <c r="O127" s="2" t="n">
        <v>19</v>
      </c>
      <c r="P127" s="2" t="n">
        <v>2</v>
      </c>
      <c r="Q127" s="2" t="n">
        <v>2</v>
      </c>
      <c r="R127" s="2" t="n">
        <v>3</v>
      </c>
      <c r="S127" s="2" t="n">
        <v>2</v>
      </c>
      <c r="T127" s="2" t="n">
        <v>1</v>
      </c>
      <c r="U127" s="2" t="n">
        <v>2</v>
      </c>
      <c r="V127" s="2" t="n">
        <v>1</v>
      </c>
      <c r="W127" s="2" t="n">
        <v>2</v>
      </c>
      <c r="X127" s="2" t="n">
        <v>3</v>
      </c>
      <c r="Y127" s="2" t="n">
        <v>2</v>
      </c>
      <c r="Z127" s="2" t="n">
        <v>3</v>
      </c>
    </row>
    <row r="128" customFormat="false" ht="15" hidden="false" customHeight="true" outlineLevel="0" collapsed="false">
      <c r="A128" s="2" t="n">
        <v>36</v>
      </c>
      <c r="B128" s="2" t="s">
        <v>26</v>
      </c>
      <c r="C128" s="2" t="s">
        <v>27</v>
      </c>
      <c r="D128" s="2" t="s">
        <v>35</v>
      </c>
      <c r="E128" s="2" t="n">
        <v>1</v>
      </c>
      <c r="F128" s="2" t="n">
        <v>3</v>
      </c>
      <c r="G128" s="2" t="s">
        <v>43</v>
      </c>
      <c r="H128" s="2" t="n">
        <v>127</v>
      </c>
      <c r="I128" s="2" t="s">
        <v>30</v>
      </c>
      <c r="J128" s="2" t="n">
        <v>5</v>
      </c>
      <c r="K128" s="2" t="s">
        <v>31</v>
      </c>
      <c r="L128" s="2" t="s">
        <v>32</v>
      </c>
      <c r="M128" s="2" t="n">
        <v>196360</v>
      </c>
      <c r="N128" s="2" t="n">
        <v>1</v>
      </c>
      <c r="O128" s="2" t="n">
        <v>12</v>
      </c>
      <c r="P128" s="2" t="n">
        <v>1</v>
      </c>
      <c r="Q128" s="2" t="n">
        <v>10</v>
      </c>
      <c r="R128" s="2" t="n">
        <v>3</v>
      </c>
      <c r="S128" s="2" t="n">
        <v>10</v>
      </c>
      <c r="T128" s="2" t="n">
        <v>9</v>
      </c>
      <c r="U128" s="2" t="n">
        <v>0</v>
      </c>
      <c r="V128" s="2" t="n">
        <v>2</v>
      </c>
      <c r="W128" s="2" t="n">
        <v>3</v>
      </c>
      <c r="X128" s="2" t="n">
        <v>3</v>
      </c>
      <c r="Y128" s="2" t="n">
        <v>3</v>
      </c>
      <c r="Z128" s="2" t="n">
        <v>3</v>
      </c>
    </row>
    <row r="129" customFormat="false" ht="15" hidden="false" customHeight="true" outlineLevel="0" collapsed="false">
      <c r="A129" s="2" t="n">
        <v>30</v>
      </c>
      <c r="B129" s="2" t="s">
        <v>33</v>
      </c>
      <c r="C129" s="2" t="s">
        <v>34</v>
      </c>
      <c r="D129" s="2" t="s">
        <v>28</v>
      </c>
      <c r="E129" s="2" t="n">
        <v>3</v>
      </c>
      <c r="F129" s="2" t="n">
        <v>2</v>
      </c>
      <c r="G129" s="2" t="s">
        <v>50</v>
      </c>
      <c r="H129" s="2" t="n">
        <v>128</v>
      </c>
      <c r="I129" s="2" t="s">
        <v>39</v>
      </c>
      <c r="J129" s="2" t="n">
        <v>3</v>
      </c>
      <c r="K129" s="2" t="s">
        <v>36</v>
      </c>
      <c r="L129" s="2" t="s">
        <v>37</v>
      </c>
      <c r="M129" s="2" t="n">
        <v>11290</v>
      </c>
      <c r="N129" s="2" t="n">
        <v>9</v>
      </c>
      <c r="O129" s="2" t="n">
        <v>19</v>
      </c>
      <c r="P129" s="2" t="n">
        <v>0</v>
      </c>
      <c r="Q129" s="2" t="n">
        <v>3</v>
      </c>
      <c r="R129" s="2" t="n">
        <v>2</v>
      </c>
      <c r="S129" s="2" t="n">
        <v>1</v>
      </c>
      <c r="T129" s="2" t="n">
        <v>0</v>
      </c>
      <c r="U129" s="2" t="n">
        <v>0</v>
      </c>
      <c r="V129" s="2" t="n">
        <v>3</v>
      </c>
      <c r="W129" s="2" t="n">
        <v>4</v>
      </c>
      <c r="X129" s="2" t="n">
        <v>3</v>
      </c>
      <c r="Y129" s="2" t="n">
        <v>2</v>
      </c>
      <c r="Z129" s="2" t="n">
        <v>3</v>
      </c>
    </row>
    <row r="130" customFormat="false" ht="15" hidden="false" customHeight="true" outlineLevel="0" collapsed="false">
      <c r="A130" s="2" t="n">
        <v>37</v>
      </c>
      <c r="B130" s="2" t="s">
        <v>26</v>
      </c>
      <c r="C130" s="2" t="s">
        <v>27</v>
      </c>
      <c r="D130" s="2" t="s">
        <v>35</v>
      </c>
      <c r="E130" s="2" t="n">
        <v>10</v>
      </c>
      <c r="F130" s="2" t="n">
        <v>1</v>
      </c>
      <c r="G130" s="2" t="s">
        <v>51</v>
      </c>
      <c r="H130" s="2" t="n">
        <v>129</v>
      </c>
      <c r="I130" s="2" t="s">
        <v>39</v>
      </c>
      <c r="J130" s="2" t="n">
        <v>1</v>
      </c>
      <c r="K130" s="2" t="s">
        <v>40</v>
      </c>
      <c r="L130" s="2" t="s">
        <v>46</v>
      </c>
      <c r="M130" s="2" t="n">
        <v>133410</v>
      </c>
      <c r="N130" s="2" t="n">
        <v>1</v>
      </c>
      <c r="O130" s="2" t="n">
        <v>14</v>
      </c>
      <c r="P130" s="2" t="n">
        <v>1</v>
      </c>
      <c r="Q130" s="2" t="n">
        <v>18</v>
      </c>
      <c r="R130" s="2" t="n">
        <v>3</v>
      </c>
      <c r="S130" s="2" t="n">
        <v>18</v>
      </c>
      <c r="T130" s="2" t="n">
        <v>12</v>
      </c>
      <c r="U130" s="2" t="n">
        <v>17</v>
      </c>
      <c r="V130" s="2" t="n">
        <v>4</v>
      </c>
      <c r="W130" s="2" t="n">
        <v>1</v>
      </c>
      <c r="X130" s="2" t="n">
        <v>2</v>
      </c>
      <c r="Y130" s="2" t="n">
        <v>3</v>
      </c>
      <c r="Z130" s="2" t="n">
        <v>3</v>
      </c>
    </row>
    <row r="131" customFormat="false" ht="15" hidden="false" customHeight="true" outlineLevel="0" collapsed="false">
      <c r="A131" s="2" t="n">
        <v>40</v>
      </c>
      <c r="B131" s="2" t="s">
        <v>26</v>
      </c>
      <c r="C131" s="2" t="s">
        <v>27</v>
      </c>
      <c r="D131" s="2" t="s">
        <v>35</v>
      </c>
      <c r="E131" s="2" t="n">
        <v>6</v>
      </c>
      <c r="F131" s="2" t="n">
        <v>2</v>
      </c>
      <c r="G131" s="2" t="s">
        <v>43</v>
      </c>
      <c r="H131" s="2" t="n">
        <v>130</v>
      </c>
      <c r="I131" s="2" t="s">
        <v>39</v>
      </c>
      <c r="J131" s="2" t="n">
        <v>3</v>
      </c>
      <c r="K131" s="2" t="s">
        <v>36</v>
      </c>
      <c r="L131" s="2" t="s">
        <v>46</v>
      </c>
      <c r="M131" s="2" t="n">
        <v>43320</v>
      </c>
      <c r="N131" s="2" t="n">
        <v>7</v>
      </c>
      <c r="O131" s="2" t="n">
        <v>14</v>
      </c>
      <c r="P131" s="2" t="n">
        <v>2</v>
      </c>
      <c r="Q131" s="2" t="n">
        <v>8</v>
      </c>
      <c r="R131" s="2" t="n">
        <v>3</v>
      </c>
      <c r="S131" s="2" t="n">
        <v>5</v>
      </c>
      <c r="T131" s="2" t="n">
        <v>1</v>
      </c>
      <c r="U131" s="2" t="n">
        <v>3</v>
      </c>
      <c r="V131" s="2" t="n">
        <v>4</v>
      </c>
      <c r="W131" s="2" t="n">
        <v>2</v>
      </c>
      <c r="X131" s="2" t="n">
        <v>3</v>
      </c>
      <c r="Y131" s="2" t="n">
        <v>2</v>
      </c>
      <c r="Z131" s="2" t="n">
        <v>3</v>
      </c>
    </row>
    <row r="132" customFormat="false" ht="15" hidden="false" customHeight="true" outlineLevel="0" collapsed="false">
      <c r="A132" s="2" t="n">
        <v>42</v>
      </c>
      <c r="B132" s="2" t="s">
        <v>26</v>
      </c>
      <c r="C132" s="2" t="s">
        <v>27</v>
      </c>
      <c r="D132" s="2" t="s">
        <v>35</v>
      </c>
      <c r="E132" s="2" t="n">
        <v>2</v>
      </c>
      <c r="F132" s="2" t="n">
        <v>3</v>
      </c>
      <c r="G132" s="2" t="s">
        <v>43</v>
      </c>
      <c r="H132" s="2" t="n">
        <v>131</v>
      </c>
      <c r="I132" s="2" t="s">
        <v>30</v>
      </c>
      <c r="J132" s="2" t="n">
        <v>4</v>
      </c>
      <c r="K132" s="2" t="s">
        <v>49</v>
      </c>
      <c r="L132" s="2" t="s">
        <v>46</v>
      </c>
      <c r="M132" s="2" t="n">
        <v>110310</v>
      </c>
      <c r="N132" s="2" t="n">
        <v>3</v>
      </c>
      <c r="O132" s="2" t="n">
        <v>12</v>
      </c>
      <c r="P132" s="2" t="n">
        <v>1</v>
      </c>
      <c r="Q132" s="2" t="n">
        <v>8</v>
      </c>
      <c r="R132" s="2" t="n">
        <v>2</v>
      </c>
      <c r="S132" s="2" t="n">
        <v>5</v>
      </c>
      <c r="T132" s="2" t="n">
        <v>1</v>
      </c>
      <c r="U132" s="2" t="n">
        <v>2</v>
      </c>
      <c r="V132" s="2" t="n">
        <v>2</v>
      </c>
      <c r="W132" s="2" t="n">
        <v>1</v>
      </c>
      <c r="X132" s="2" t="n">
        <v>3</v>
      </c>
      <c r="Y132" s="2" t="n">
        <v>2</v>
      </c>
      <c r="Z132" s="2" t="n">
        <v>3</v>
      </c>
    </row>
    <row r="133" customFormat="false" ht="15" hidden="false" customHeight="true" outlineLevel="0" collapsed="false">
      <c r="A133" s="2" t="n">
        <v>37</v>
      </c>
      <c r="B133" s="2" t="s">
        <v>26</v>
      </c>
      <c r="C133" s="2" t="s">
        <v>27</v>
      </c>
      <c r="D133" s="2" t="s">
        <v>28</v>
      </c>
      <c r="E133" s="2" t="n">
        <v>9</v>
      </c>
      <c r="F133" s="2" t="n">
        <v>1</v>
      </c>
      <c r="G133" s="2" t="s">
        <v>50</v>
      </c>
      <c r="H133" s="2" t="n">
        <v>132</v>
      </c>
      <c r="I133" s="2" t="s">
        <v>39</v>
      </c>
      <c r="J133" s="2" t="n">
        <v>3</v>
      </c>
      <c r="K133" s="2" t="s">
        <v>40</v>
      </c>
      <c r="L133" s="2" t="s">
        <v>37</v>
      </c>
      <c r="M133" s="2" t="n">
        <v>44400</v>
      </c>
      <c r="N133" s="2" t="n">
        <v>2</v>
      </c>
      <c r="O133" s="2" t="n">
        <v>11</v>
      </c>
      <c r="P133" s="2" t="n">
        <v>1</v>
      </c>
      <c r="Q133" s="2" t="n">
        <v>18</v>
      </c>
      <c r="R133" s="2" t="n">
        <v>3</v>
      </c>
      <c r="S133" s="2" t="n">
        <v>1</v>
      </c>
      <c r="T133" s="2" t="n">
        <v>0</v>
      </c>
      <c r="U133" s="2" t="n">
        <v>1</v>
      </c>
      <c r="V133" s="2" t="n">
        <v>3</v>
      </c>
      <c r="W133" s="2" t="n">
        <v>2</v>
      </c>
      <c r="X133" s="2" t="n">
        <v>2</v>
      </c>
      <c r="Y133" s="2" t="n">
        <v>2</v>
      </c>
      <c r="Z133" s="2" t="n">
        <v>3</v>
      </c>
    </row>
    <row r="134" customFormat="false" ht="15" hidden="false" customHeight="true" outlineLevel="0" collapsed="false">
      <c r="A134" s="2" t="n">
        <v>43</v>
      </c>
      <c r="B134" s="2" t="s">
        <v>26</v>
      </c>
      <c r="C134" s="2" t="s">
        <v>27</v>
      </c>
      <c r="D134" s="2" t="s">
        <v>28</v>
      </c>
      <c r="E134" s="2" t="n">
        <v>10</v>
      </c>
      <c r="F134" s="2" t="n">
        <v>2</v>
      </c>
      <c r="G134" s="2" t="s">
        <v>29</v>
      </c>
      <c r="H134" s="2" t="n">
        <v>133</v>
      </c>
      <c r="I134" s="2" t="s">
        <v>30</v>
      </c>
      <c r="J134" s="2" t="n">
        <v>1</v>
      </c>
      <c r="K134" s="2" t="s">
        <v>40</v>
      </c>
      <c r="L134" s="2" t="s">
        <v>46</v>
      </c>
      <c r="M134" s="2" t="n">
        <v>46170</v>
      </c>
      <c r="N134" s="2" t="n">
        <v>1</v>
      </c>
      <c r="O134" s="2" t="n">
        <v>11</v>
      </c>
      <c r="P134" s="2" t="n">
        <v>0</v>
      </c>
      <c r="Q134" s="2" t="n">
        <v>25</v>
      </c>
      <c r="R134" s="2" t="n">
        <v>2</v>
      </c>
      <c r="S134" s="2" t="n">
        <v>25</v>
      </c>
      <c r="T134" s="2" t="n">
        <v>3</v>
      </c>
      <c r="U134" s="2" t="n">
        <v>9</v>
      </c>
      <c r="V134" s="2" t="n">
        <v>1</v>
      </c>
      <c r="W134" s="2" t="n">
        <v>2</v>
      </c>
      <c r="X134" s="2" t="n">
        <v>3</v>
      </c>
      <c r="Y134" s="2" t="n">
        <v>3</v>
      </c>
      <c r="Z134" s="2" t="n">
        <v>3</v>
      </c>
    </row>
    <row r="135" customFormat="false" ht="15" hidden="false" customHeight="true" outlineLevel="0" collapsed="false">
      <c r="A135" s="2" t="n">
        <v>40</v>
      </c>
      <c r="B135" s="2" t="s">
        <v>26</v>
      </c>
      <c r="C135" s="2" t="s">
        <v>27</v>
      </c>
      <c r="D135" s="2" t="s">
        <v>28</v>
      </c>
      <c r="E135" s="2" t="n">
        <v>6</v>
      </c>
      <c r="F135" s="2" t="n">
        <v>2</v>
      </c>
      <c r="G135" s="2" t="s">
        <v>29</v>
      </c>
      <c r="H135" s="2" t="n">
        <v>134</v>
      </c>
      <c r="I135" s="2" t="s">
        <v>30</v>
      </c>
      <c r="J135" s="2" t="n">
        <v>1</v>
      </c>
      <c r="K135" s="2" t="s">
        <v>45</v>
      </c>
      <c r="L135" s="2" t="s">
        <v>32</v>
      </c>
      <c r="M135" s="2" t="n">
        <v>26470</v>
      </c>
      <c r="N135" s="2" t="n">
        <v>6</v>
      </c>
      <c r="O135" s="2" t="n">
        <v>13</v>
      </c>
      <c r="P135" s="2" t="n">
        <v>0</v>
      </c>
      <c r="Q135" s="2" t="n">
        <v>20</v>
      </c>
      <c r="R135" s="2" t="n">
        <v>2</v>
      </c>
      <c r="S135" s="2" t="n">
        <v>1</v>
      </c>
      <c r="T135" s="2" t="n">
        <v>0</v>
      </c>
      <c r="U135" s="2" t="n">
        <v>0</v>
      </c>
      <c r="V135" s="2" t="n">
        <v>2</v>
      </c>
      <c r="W135" s="2" t="n">
        <v>3</v>
      </c>
      <c r="X135" s="2" t="n">
        <v>3</v>
      </c>
      <c r="Y135" s="2" t="n">
        <v>2</v>
      </c>
      <c r="Z135" s="2" t="n">
        <v>3</v>
      </c>
    </row>
    <row r="136" customFormat="false" ht="15" hidden="false" customHeight="true" outlineLevel="0" collapsed="false">
      <c r="A136" s="2" t="n">
        <v>54</v>
      </c>
      <c r="B136" s="2" t="s">
        <v>26</v>
      </c>
      <c r="C136" s="2" t="s">
        <v>27</v>
      </c>
      <c r="D136" s="2" t="s">
        <v>42</v>
      </c>
      <c r="E136" s="2" t="n">
        <v>9</v>
      </c>
      <c r="F136" s="2" t="n">
        <v>3</v>
      </c>
      <c r="G136" s="2" t="s">
        <v>29</v>
      </c>
      <c r="H136" s="2" t="n">
        <v>135</v>
      </c>
      <c r="I136" s="2" t="s">
        <v>30</v>
      </c>
      <c r="J136" s="2" t="n">
        <v>2</v>
      </c>
      <c r="K136" s="2" t="s">
        <v>47</v>
      </c>
      <c r="L136" s="2" t="s">
        <v>32</v>
      </c>
      <c r="M136" s="2" t="n">
        <v>63230</v>
      </c>
      <c r="N136" s="2" t="n">
        <v>4</v>
      </c>
      <c r="O136" s="2" t="n">
        <v>23</v>
      </c>
      <c r="P136" s="2" t="n">
        <v>1</v>
      </c>
      <c r="Q136" s="2" t="n">
        <v>24</v>
      </c>
      <c r="R136" s="2" t="n">
        <v>2</v>
      </c>
      <c r="S136" s="2" t="n">
        <v>4</v>
      </c>
      <c r="T136" s="2" t="n">
        <v>1</v>
      </c>
      <c r="U136" s="2" t="n">
        <v>2</v>
      </c>
      <c r="V136" s="2" t="n">
        <v>1</v>
      </c>
      <c r="W136" s="2" t="n">
        <v>1</v>
      </c>
      <c r="X136" s="2" t="n">
        <v>2</v>
      </c>
      <c r="Y136" s="2" t="n">
        <v>2</v>
      </c>
      <c r="Z136" s="2" t="n">
        <v>4</v>
      </c>
    </row>
    <row r="137" customFormat="false" ht="15" hidden="false" customHeight="true" outlineLevel="0" collapsed="false">
      <c r="A137" s="2" t="n">
        <v>34</v>
      </c>
      <c r="B137" s="2" t="s">
        <v>26</v>
      </c>
      <c r="C137" s="2" t="s">
        <v>41</v>
      </c>
      <c r="D137" s="2" t="s">
        <v>35</v>
      </c>
      <c r="E137" s="2" t="n">
        <v>28</v>
      </c>
      <c r="F137" s="2" t="n">
        <v>3</v>
      </c>
      <c r="G137" s="2" t="s">
        <v>43</v>
      </c>
      <c r="H137" s="2" t="n">
        <v>136</v>
      </c>
      <c r="I137" s="2" t="s">
        <v>39</v>
      </c>
      <c r="J137" s="2" t="n">
        <v>1</v>
      </c>
      <c r="K137" s="2" t="s">
        <v>45</v>
      </c>
      <c r="L137" s="2" t="s">
        <v>32</v>
      </c>
      <c r="M137" s="2" t="n">
        <v>56770</v>
      </c>
      <c r="N137" s="2" t="n">
        <v>9</v>
      </c>
      <c r="O137" s="2" t="n">
        <v>20</v>
      </c>
      <c r="P137" s="2" t="n">
        <v>1</v>
      </c>
      <c r="Q137" s="2" t="n">
        <v>6</v>
      </c>
      <c r="R137" s="2" t="n">
        <v>3</v>
      </c>
      <c r="S137" s="2" t="n">
        <v>3</v>
      </c>
      <c r="T137" s="2" t="n">
        <v>1</v>
      </c>
      <c r="U137" s="2" t="n">
        <v>2</v>
      </c>
      <c r="V137" s="2" t="n">
        <v>3</v>
      </c>
      <c r="W137" s="2" t="n">
        <v>3</v>
      </c>
      <c r="X137" s="2" t="n">
        <v>3</v>
      </c>
      <c r="Y137" s="2" t="n">
        <v>3</v>
      </c>
      <c r="Z137" s="2" t="n">
        <v>4</v>
      </c>
    </row>
    <row r="138" customFormat="false" ht="15" hidden="false" customHeight="true" outlineLevel="0" collapsed="false">
      <c r="A138" s="2" t="n">
        <v>31</v>
      </c>
      <c r="B138" s="2" t="s">
        <v>26</v>
      </c>
      <c r="C138" s="2" t="s">
        <v>27</v>
      </c>
      <c r="D138" s="2" t="s">
        <v>35</v>
      </c>
      <c r="E138" s="2" t="n">
        <v>10</v>
      </c>
      <c r="F138" s="2" t="n">
        <v>4</v>
      </c>
      <c r="G138" s="2" t="s">
        <v>29</v>
      </c>
      <c r="H138" s="2" t="n">
        <v>137</v>
      </c>
      <c r="I138" s="2" t="s">
        <v>39</v>
      </c>
      <c r="J138" s="2" t="n">
        <v>3</v>
      </c>
      <c r="K138" s="2" t="s">
        <v>40</v>
      </c>
      <c r="L138" s="2" t="s">
        <v>32</v>
      </c>
      <c r="M138" s="2" t="n">
        <v>21870</v>
      </c>
      <c r="N138" s="2" t="n">
        <v>1</v>
      </c>
      <c r="O138" s="2" t="n">
        <v>15</v>
      </c>
      <c r="P138" s="2" t="n">
        <v>1</v>
      </c>
      <c r="Q138" s="2" t="n">
        <v>13</v>
      </c>
      <c r="R138" s="2" t="n">
        <v>2</v>
      </c>
      <c r="S138" s="2" t="n">
        <v>13</v>
      </c>
      <c r="T138" s="2" t="n">
        <v>3</v>
      </c>
      <c r="U138" s="2" t="n">
        <v>12</v>
      </c>
      <c r="V138" s="2" t="n">
        <v>2</v>
      </c>
      <c r="W138" s="2" t="n">
        <v>1</v>
      </c>
      <c r="X138" s="2" t="n">
        <v>1</v>
      </c>
      <c r="Y138" s="2" t="n">
        <v>2</v>
      </c>
      <c r="Z138" s="2" t="n">
        <v>3</v>
      </c>
    </row>
    <row r="139" customFormat="false" ht="15" hidden="false" customHeight="true" outlineLevel="0" collapsed="false">
      <c r="A139" s="2" t="n">
        <v>43</v>
      </c>
      <c r="B139" s="2" t="s">
        <v>26</v>
      </c>
      <c r="C139" s="2" t="s">
        <v>34</v>
      </c>
      <c r="D139" s="2" t="s">
        <v>28</v>
      </c>
      <c r="E139" s="2" t="n">
        <v>14</v>
      </c>
      <c r="F139" s="2" t="n">
        <v>3</v>
      </c>
      <c r="G139" s="2" t="s">
        <v>29</v>
      </c>
      <c r="H139" s="2" t="n">
        <v>138</v>
      </c>
      <c r="I139" s="2" t="s">
        <v>30</v>
      </c>
      <c r="J139" s="2" t="n">
        <v>1</v>
      </c>
      <c r="K139" s="2" t="s">
        <v>47</v>
      </c>
      <c r="L139" s="2" t="s">
        <v>32</v>
      </c>
      <c r="M139" s="2" t="n">
        <v>37480</v>
      </c>
      <c r="N139" s="2" t="n">
        <v>7</v>
      </c>
      <c r="O139" s="2" t="n">
        <v>14</v>
      </c>
      <c r="P139" s="2" t="n">
        <v>2</v>
      </c>
      <c r="Q139" s="2"/>
      <c r="R139" s="2" t="n">
        <v>3</v>
      </c>
      <c r="S139" s="2" t="n">
        <v>3</v>
      </c>
      <c r="T139" s="2" t="n">
        <v>1</v>
      </c>
      <c r="U139" s="2" t="n">
        <v>2</v>
      </c>
      <c r="V139" s="2" t="n">
        <v>4</v>
      </c>
      <c r="W139" s="2" t="n">
        <v>4</v>
      </c>
      <c r="X139" s="2" t="n">
        <v>3</v>
      </c>
      <c r="Y139" s="2" t="n">
        <v>2</v>
      </c>
      <c r="Z139" s="2" t="n">
        <v>3</v>
      </c>
    </row>
    <row r="140" customFormat="false" ht="15" hidden="false" customHeight="true" outlineLevel="0" collapsed="false">
      <c r="A140" s="2" t="n">
        <v>43</v>
      </c>
      <c r="B140" s="2" t="s">
        <v>26</v>
      </c>
      <c r="C140" s="2" t="s">
        <v>27</v>
      </c>
      <c r="D140" s="2" t="s">
        <v>28</v>
      </c>
      <c r="E140" s="2" t="n">
        <v>27</v>
      </c>
      <c r="F140" s="2" t="n">
        <v>4</v>
      </c>
      <c r="G140" s="2" t="s">
        <v>29</v>
      </c>
      <c r="H140" s="2" t="n">
        <v>139</v>
      </c>
      <c r="I140" s="2" t="s">
        <v>39</v>
      </c>
      <c r="J140" s="2" t="n">
        <v>2</v>
      </c>
      <c r="K140" s="2" t="s">
        <v>48</v>
      </c>
      <c r="L140" s="2" t="s">
        <v>46</v>
      </c>
      <c r="M140" s="2" t="n">
        <v>39770</v>
      </c>
      <c r="N140" s="2" t="n">
        <v>4</v>
      </c>
      <c r="O140" s="2" t="n">
        <v>18</v>
      </c>
      <c r="P140" s="2" t="n">
        <v>1</v>
      </c>
      <c r="Q140" s="2" t="n">
        <v>8</v>
      </c>
      <c r="R140" s="2" t="n">
        <v>3</v>
      </c>
      <c r="S140" s="2" t="n">
        <v>5</v>
      </c>
      <c r="T140" s="2" t="n">
        <v>0</v>
      </c>
      <c r="U140" s="2" t="n">
        <v>2</v>
      </c>
      <c r="V140" s="2" t="n">
        <v>3</v>
      </c>
      <c r="W140" s="2" t="n">
        <v>3</v>
      </c>
      <c r="X140" s="2" t="n">
        <v>3</v>
      </c>
      <c r="Y140" s="2" t="n">
        <v>3</v>
      </c>
      <c r="Z140" s="2" t="n">
        <v>3</v>
      </c>
    </row>
    <row r="141" customFormat="false" ht="15" hidden="false" customHeight="true" outlineLevel="0" collapsed="false">
      <c r="A141" s="2" t="n">
        <v>25</v>
      </c>
      <c r="B141" s="2" t="s">
        <v>26</v>
      </c>
      <c r="C141" s="2" t="s">
        <v>27</v>
      </c>
      <c r="D141" s="2" t="s">
        <v>42</v>
      </c>
      <c r="E141" s="2" t="n">
        <v>7</v>
      </c>
      <c r="F141" s="2" t="n">
        <v>2</v>
      </c>
      <c r="G141" s="2" t="s">
        <v>42</v>
      </c>
      <c r="H141" s="2" t="n">
        <v>140</v>
      </c>
      <c r="I141" s="2" t="s">
        <v>39</v>
      </c>
      <c r="J141" s="2" t="n">
        <v>1</v>
      </c>
      <c r="K141" s="2" t="s">
        <v>47</v>
      </c>
      <c r="L141" s="2" t="s">
        <v>37</v>
      </c>
      <c r="M141" s="2" t="n">
        <v>86330</v>
      </c>
      <c r="N141" s="2" t="n">
        <v>1</v>
      </c>
      <c r="O141" s="2" t="n">
        <v>19</v>
      </c>
      <c r="P141" s="2" t="n">
        <v>1</v>
      </c>
      <c r="Q141" s="2" t="n">
        <v>5</v>
      </c>
      <c r="R141" s="2" t="n">
        <v>2</v>
      </c>
      <c r="S141" s="2" t="n">
        <v>5</v>
      </c>
      <c r="T141" s="2" t="n">
        <v>1</v>
      </c>
      <c r="U141" s="2" t="n">
        <v>3</v>
      </c>
      <c r="V141" s="2" t="n">
        <v>2</v>
      </c>
      <c r="W141" s="2" t="n">
        <v>4</v>
      </c>
      <c r="X141" s="2" t="n">
        <v>3</v>
      </c>
      <c r="Y141" s="2" t="n">
        <v>4</v>
      </c>
      <c r="Z141" s="2" t="n">
        <v>3</v>
      </c>
    </row>
    <row r="142" customFormat="false" ht="15" hidden="false" customHeight="true" outlineLevel="0" collapsed="false">
      <c r="A142" s="2" t="n">
        <v>37</v>
      </c>
      <c r="B142" s="2" t="s">
        <v>26</v>
      </c>
      <c r="C142" s="2" t="s">
        <v>41</v>
      </c>
      <c r="D142" s="2" t="s">
        <v>35</v>
      </c>
      <c r="E142" s="2" t="n">
        <v>1</v>
      </c>
      <c r="F142" s="2" t="n">
        <v>3</v>
      </c>
      <c r="G142" s="2" t="s">
        <v>43</v>
      </c>
      <c r="H142" s="2" t="n">
        <v>141</v>
      </c>
      <c r="I142" s="2" t="s">
        <v>39</v>
      </c>
      <c r="J142" s="2" t="n">
        <v>3</v>
      </c>
      <c r="K142" s="2" t="s">
        <v>45</v>
      </c>
      <c r="L142" s="2" t="s">
        <v>32</v>
      </c>
      <c r="M142" s="2" t="n">
        <v>20080</v>
      </c>
      <c r="N142" s="2" t="n">
        <v>3</v>
      </c>
      <c r="O142" s="2" t="n">
        <v>22</v>
      </c>
      <c r="P142" s="2" t="n">
        <v>0</v>
      </c>
      <c r="Q142" s="2" t="n">
        <v>15</v>
      </c>
      <c r="R142" s="2" t="n">
        <v>5</v>
      </c>
      <c r="S142" s="2" t="n">
        <v>13</v>
      </c>
      <c r="T142" s="2" t="n">
        <v>10</v>
      </c>
      <c r="U142" s="2" t="n">
        <v>7</v>
      </c>
      <c r="V142" s="2" t="n">
        <v>2</v>
      </c>
      <c r="W142" s="2" t="n">
        <v>3</v>
      </c>
      <c r="X142" s="2" t="n">
        <v>3</v>
      </c>
      <c r="Y142" s="2" t="n">
        <v>2</v>
      </c>
      <c r="Z142" s="2" t="n">
        <v>4</v>
      </c>
    </row>
    <row r="143" customFormat="false" ht="15" hidden="false" customHeight="true" outlineLevel="0" collapsed="false">
      <c r="A143" s="2" t="n">
        <v>31</v>
      </c>
      <c r="B143" s="2" t="s">
        <v>26</v>
      </c>
      <c r="C143" s="2" t="s">
        <v>27</v>
      </c>
      <c r="D143" s="2" t="s">
        <v>35</v>
      </c>
      <c r="E143" s="2" t="n">
        <v>24</v>
      </c>
      <c r="F143" s="2" t="n">
        <v>1</v>
      </c>
      <c r="G143" s="2" t="s">
        <v>43</v>
      </c>
      <c r="H143" s="2" t="n">
        <v>142</v>
      </c>
      <c r="I143" s="2" t="s">
        <v>39</v>
      </c>
      <c r="J143" s="2" t="n">
        <v>3</v>
      </c>
      <c r="K143" s="2" t="s">
        <v>45</v>
      </c>
      <c r="L143" s="2" t="s">
        <v>32</v>
      </c>
      <c r="M143" s="2" t="n">
        <v>44400</v>
      </c>
      <c r="N143" s="2" t="n">
        <v>1</v>
      </c>
      <c r="O143" s="2" t="n">
        <v>13</v>
      </c>
      <c r="P143" s="2" t="n">
        <v>1</v>
      </c>
      <c r="Q143" s="2" t="n">
        <v>4</v>
      </c>
      <c r="R143" s="2" t="n">
        <v>2</v>
      </c>
      <c r="S143" s="2" t="n">
        <v>4</v>
      </c>
      <c r="T143" s="2" t="n">
        <v>3</v>
      </c>
      <c r="U143" s="2" t="n">
        <v>2</v>
      </c>
      <c r="V143" s="2" t="n">
        <v>4</v>
      </c>
      <c r="W143" s="2" t="n">
        <v>1</v>
      </c>
      <c r="X143" s="2" t="n">
        <v>3</v>
      </c>
      <c r="Y143" s="2" t="n">
        <v>3</v>
      </c>
      <c r="Z143" s="2" t="n">
        <v>3</v>
      </c>
    </row>
    <row r="144" customFormat="false" ht="15" hidden="false" customHeight="true" outlineLevel="0" collapsed="false">
      <c r="A144" s="2" t="n">
        <v>39</v>
      </c>
      <c r="B144" s="2" t="s">
        <v>26</v>
      </c>
      <c r="C144" s="2" t="s">
        <v>34</v>
      </c>
      <c r="D144" s="2" t="s">
        <v>35</v>
      </c>
      <c r="E144" s="2" t="n">
        <v>26</v>
      </c>
      <c r="F144" s="2" t="n">
        <v>4</v>
      </c>
      <c r="G144" s="2" t="s">
        <v>51</v>
      </c>
      <c r="H144" s="2" t="n">
        <v>143</v>
      </c>
      <c r="I144" s="2" t="s">
        <v>30</v>
      </c>
      <c r="J144" s="2" t="n">
        <v>1</v>
      </c>
      <c r="K144" s="2" t="s">
        <v>40</v>
      </c>
      <c r="L144" s="2" t="s">
        <v>46</v>
      </c>
      <c r="M144" s="2" t="n">
        <v>30670</v>
      </c>
      <c r="N144" s="2" t="n">
        <v>1</v>
      </c>
      <c r="O144" s="2" t="n">
        <v>20</v>
      </c>
      <c r="P144" s="2" t="n">
        <v>1</v>
      </c>
      <c r="Q144" s="2" t="n">
        <v>21</v>
      </c>
      <c r="R144" s="2" t="n">
        <v>5</v>
      </c>
      <c r="S144" s="2" t="n">
        <v>21</v>
      </c>
      <c r="T144" s="2" t="n">
        <v>1</v>
      </c>
      <c r="U144" s="2" t="n">
        <v>6</v>
      </c>
      <c r="V144" s="2" t="n">
        <v>2</v>
      </c>
      <c r="W144" s="2" t="n">
        <v>3</v>
      </c>
      <c r="X144" s="2" t="n">
        <v>3</v>
      </c>
      <c r="Y144" s="2" t="n">
        <v>1</v>
      </c>
      <c r="Z144" s="2" t="n">
        <v>4</v>
      </c>
    </row>
    <row r="145" customFormat="false" ht="15" hidden="false" customHeight="true" outlineLevel="0" collapsed="false">
      <c r="A145" s="2" t="n">
        <v>56</v>
      </c>
      <c r="B145" s="2" t="s">
        <v>26</v>
      </c>
      <c r="C145" s="2" t="s">
        <v>34</v>
      </c>
      <c r="D145" s="2" t="s">
        <v>35</v>
      </c>
      <c r="E145" s="2" t="n">
        <v>20</v>
      </c>
      <c r="F145" s="2" t="n">
        <v>4</v>
      </c>
      <c r="G145" s="2" t="s">
        <v>29</v>
      </c>
      <c r="H145" s="2" t="n">
        <v>144</v>
      </c>
      <c r="I145" s="2" t="s">
        <v>30</v>
      </c>
      <c r="J145" s="2" t="n">
        <v>3</v>
      </c>
      <c r="K145" s="2" t="s">
        <v>40</v>
      </c>
      <c r="L145" s="2" t="s">
        <v>32</v>
      </c>
      <c r="M145" s="2" t="n">
        <v>53210</v>
      </c>
      <c r="N145" s="2" t="n">
        <v>9</v>
      </c>
      <c r="O145" s="2" t="n">
        <v>14</v>
      </c>
      <c r="P145" s="2" t="n">
        <v>0</v>
      </c>
      <c r="Q145" s="2" t="n">
        <v>36</v>
      </c>
      <c r="R145" s="2" t="n">
        <v>1</v>
      </c>
      <c r="S145" s="2" t="n">
        <v>7</v>
      </c>
      <c r="T145" s="2" t="n">
        <v>7</v>
      </c>
      <c r="U145" s="2" t="n">
        <v>7</v>
      </c>
      <c r="V145" s="2" t="n">
        <v>3</v>
      </c>
      <c r="W145" s="2" t="n">
        <v>1</v>
      </c>
      <c r="X145" s="2" t="n">
        <v>2</v>
      </c>
      <c r="Y145" s="2" t="n">
        <v>3</v>
      </c>
      <c r="Z145" s="2" t="n">
        <v>3</v>
      </c>
    </row>
    <row r="146" customFormat="false" ht="15" hidden="false" customHeight="true" outlineLevel="0" collapsed="false">
      <c r="A146" s="2" t="n">
        <v>30</v>
      </c>
      <c r="B146" s="2" t="s">
        <v>26</v>
      </c>
      <c r="C146" s="2" t="s">
        <v>27</v>
      </c>
      <c r="D146" s="2" t="s">
        <v>28</v>
      </c>
      <c r="E146" s="2" t="n">
        <v>5</v>
      </c>
      <c r="F146" s="2" t="n">
        <v>4</v>
      </c>
      <c r="G146" s="2" t="s">
        <v>43</v>
      </c>
      <c r="H146" s="2" t="n">
        <v>145</v>
      </c>
      <c r="I146" s="2" t="s">
        <v>30</v>
      </c>
      <c r="J146" s="2" t="n">
        <v>2</v>
      </c>
      <c r="K146" s="2" t="s">
        <v>47</v>
      </c>
      <c r="L146" s="2" t="s">
        <v>37</v>
      </c>
      <c r="M146" s="2" t="n">
        <v>54100</v>
      </c>
      <c r="N146" s="2" t="n">
        <v>0</v>
      </c>
      <c r="O146" s="2" t="n">
        <v>17</v>
      </c>
      <c r="P146" s="2" t="n">
        <v>1</v>
      </c>
      <c r="Q146" s="2" t="n">
        <v>6</v>
      </c>
      <c r="R146" s="2" t="n">
        <v>2</v>
      </c>
      <c r="S146" s="2" t="n">
        <v>5</v>
      </c>
      <c r="T146" s="2" t="n">
        <v>4</v>
      </c>
      <c r="U146" s="2" t="n">
        <v>4</v>
      </c>
      <c r="V146" s="2" t="n">
        <v>2</v>
      </c>
      <c r="W146" s="2" t="n">
        <v>3</v>
      </c>
      <c r="X146" s="2" t="n">
        <v>3</v>
      </c>
      <c r="Y146" s="2" t="n">
        <v>3</v>
      </c>
      <c r="Z146" s="2" t="n">
        <v>3</v>
      </c>
    </row>
    <row r="147" customFormat="false" ht="15" hidden="false" customHeight="true" outlineLevel="0" collapsed="false">
      <c r="A147" s="2" t="n">
        <v>41</v>
      </c>
      <c r="B147" s="2" t="s">
        <v>26</v>
      </c>
      <c r="C147" s="2" t="s">
        <v>27</v>
      </c>
      <c r="D147" s="2" t="s">
        <v>35</v>
      </c>
      <c r="E147" s="2" t="n">
        <v>7</v>
      </c>
      <c r="F147" s="2" t="n">
        <v>3</v>
      </c>
      <c r="G147" s="2" t="s">
        <v>51</v>
      </c>
      <c r="H147" s="2" t="n">
        <v>146</v>
      </c>
      <c r="I147" s="2" t="s">
        <v>30</v>
      </c>
      <c r="J147" s="2" t="n">
        <v>3</v>
      </c>
      <c r="K147" s="2" t="s">
        <v>36</v>
      </c>
      <c r="L147" s="2" t="s">
        <v>32</v>
      </c>
      <c r="M147" s="2" t="n">
        <v>27820</v>
      </c>
      <c r="N147" s="2" t="n">
        <v>1</v>
      </c>
      <c r="O147" s="2" t="n">
        <v>14</v>
      </c>
      <c r="P147" s="2" t="n">
        <v>0</v>
      </c>
      <c r="Q147" s="2" t="n">
        <v>10</v>
      </c>
      <c r="R147" s="2" t="n">
        <v>2</v>
      </c>
      <c r="S147" s="2" t="n">
        <v>10</v>
      </c>
      <c r="T147" s="2" t="n">
        <v>0</v>
      </c>
      <c r="U147" s="2" t="n">
        <v>7</v>
      </c>
      <c r="V147" s="2" t="n">
        <v>2</v>
      </c>
      <c r="W147" s="2" t="n">
        <v>1</v>
      </c>
      <c r="X147" s="2" t="n">
        <v>3</v>
      </c>
      <c r="Y147" s="2" t="n">
        <v>2</v>
      </c>
      <c r="Z147" s="2" t="n">
        <v>3</v>
      </c>
    </row>
    <row r="148" customFormat="false" ht="15" hidden="false" customHeight="true" outlineLevel="0" collapsed="false">
      <c r="A148" s="2" t="n">
        <v>28</v>
      </c>
      <c r="B148" s="2" t="s">
        <v>26</v>
      </c>
      <c r="C148" s="2" t="s">
        <v>27</v>
      </c>
      <c r="D148" s="2" t="s">
        <v>35</v>
      </c>
      <c r="E148" s="2" t="n">
        <v>7</v>
      </c>
      <c r="F148" s="2" t="n">
        <v>3</v>
      </c>
      <c r="G148" s="2" t="s">
        <v>43</v>
      </c>
      <c r="H148" s="2" t="n">
        <v>147</v>
      </c>
      <c r="I148" s="2" t="s">
        <v>39</v>
      </c>
      <c r="J148" s="2" t="n">
        <v>3</v>
      </c>
      <c r="K148" s="2" t="s">
        <v>31</v>
      </c>
      <c r="L148" s="2" t="s">
        <v>46</v>
      </c>
      <c r="M148" s="2" t="n">
        <v>119570</v>
      </c>
      <c r="N148" s="2" t="n">
        <v>1</v>
      </c>
      <c r="O148" s="2" t="n">
        <v>13</v>
      </c>
      <c r="P148" s="2" t="n">
        <v>0</v>
      </c>
      <c r="Q148" s="2" t="n">
        <v>10</v>
      </c>
      <c r="R148" s="2" t="n">
        <v>2</v>
      </c>
      <c r="S148" s="2" t="n">
        <v>10</v>
      </c>
      <c r="T148" s="2" t="n">
        <v>1</v>
      </c>
      <c r="U148" s="2" t="n">
        <v>8</v>
      </c>
      <c r="V148" s="2" t="n">
        <v>3</v>
      </c>
      <c r="W148" s="2" t="n">
        <v>1</v>
      </c>
      <c r="X148" s="2" t="n">
        <v>3</v>
      </c>
      <c r="Y148" s="2" t="n">
        <v>2</v>
      </c>
      <c r="Z148" s="2" t="n">
        <v>3</v>
      </c>
    </row>
    <row r="149" customFormat="false" ht="15" hidden="false" customHeight="true" outlineLevel="0" collapsed="false">
      <c r="A149" s="2" t="n">
        <v>25</v>
      </c>
      <c r="B149" s="2" t="s">
        <v>33</v>
      </c>
      <c r="C149" s="2" t="s">
        <v>27</v>
      </c>
      <c r="D149" s="2" t="s">
        <v>35</v>
      </c>
      <c r="E149" s="2" t="n">
        <v>5</v>
      </c>
      <c r="F149" s="2" t="n">
        <v>2</v>
      </c>
      <c r="G149" s="2" t="s">
        <v>29</v>
      </c>
      <c r="H149" s="2" t="n">
        <v>148</v>
      </c>
      <c r="I149" s="2" t="s">
        <v>30</v>
      </c>
      <c r="J149" s="2" t="n">
        <v>3</v>
      </c>
      <c r="K149" s="2" t="s">
        <v>45</v>
      </c>
      <c r="L149" s="2" t="s">
        <v>32</v>
      </c>
      <c r="M149" s="2" t="n">
        <v>26600</v>
      </c>
      <c r="N149" s="2" t="n">
        <v>5</v>
      </c>
      <c r="O149" s="2" t="n">
        <v>13</v>
      </c>
      <c r="P149" s="2" t="n">
        <v>0</v>
      </c>
      <c r="Q149" s="2" t="n">
        <v>6</v>
      </c>
      <c r="R149" s="2" t="n">
        <v>3</v>
      </c>
      <c r="S149" s="2" t="n">
        <v>2</v>
      </c>
      <c r="T149" s="2" t="n">
        <v>0</v>
      </c>
      <c r="U149" s="2" t="n">
        <v>2</v>
      </c>
      <c r="V149" s="2" t="n">
        <v>1</v>
      </c>
      <c r="W149" s="2" t="n">
        <v>1</v>
      </c>
      <c r="X149" s="2" t="n">
        <v>3</v>
      </c>
      <c r="Y149" s="2" t="n">
        <v>3</v>
      </c>
      <c r="Z149" s="2" t="n">
        <v>3</v>
      </c>
    </row>
    <row r="150" customFormat="false" ht="15" hidden="false" customHeight="true" outlineLevel="0" collapsed="false">
      <c r="A150" s="2" t="n">
        <v>52</v>
      </c>
      <c r="B150" s="2" t="s">
        <v>26</v>
      </c>
      <c r="C150" s="2" t="s">
        <v>27</v>
      </c>
      <c r="D150" s="2" t="s">
        <v>35</v>
      </c>
      <c r="E150" s="2" t="n">
        <v>26</v>
      </c>
      <c r="F150" s="2" t="n">
        <v>2</v>
      </c>
      <c r="G150" s="2" t="s">
        <v>29</v>
      </c>
      <c r="H150" s="2" t="n">
        <v>149</v>
      </c>
      <c r="I150" s="2" t="s">
        <v>30</v>
      </c>
      <c r="J150" s="2" t="n">
        <v>2</v>
      </c>
      <c r="K150" s="2" t="s">
        <v>48</v>
      </c>
      <c r="L150" s="2" t="s">
        <v>32</v>
      </c>
      <c r="M150" s="2" t="n">
        <v>33750</v>
      </c>
      <c r="N150" s="2" t="n">
        <v>2</v>
      </c>
      <c r="O150" s="2" t="n">
        <v>21</v>
      </c>
      <c r="P150" s="2" t="n">
        <v>0</v>
      </c>
      <c r="Q150" s="2" t="n">
        <v>28</v>
      </c>
      <c r="R150" s="2" t="n">
        <v>2</v>
      </c>
      <c r="S150" s="2" t="n">
        <v>5</v>
      </c>
      <c r="T150" s="2" t="n">
        <v>0</v>
      </c>
      <c r="U150" s="2" t="n">
        <v>4</v>
      </c>
      <c r="V150" s="2" t="n">
        <v>4</v>
      </c>
      <c r="W150" s="2" t="n">
        <v>3</v>
      </c>
      <c r="X150" s="2" t="n">
        <v>3</v>
      </c>
      <c r="Y150" s="2" t="n">
        <v>2</v>
      </c>
      <c r="Z150" s="2" t="n">
        <v>4</v>
      </c>
    </row>
    <row r="151" customFormat="false" ht="15" hidden="false" customHeight="true" outlineLevel="0" collapsed="false">
      <c r="A151" s="2" t="n">
        <v>45</v>
      </c>
      <c r="B151" s="2" t="s">
        <v>26</v>
      </c>
      <c r="C151" s="2" t="s">
        <v>27</v>
      </c>
      <c r="D151" s="2" t="s">
        <v>35</v>
      </c>
      <c r="E151" s="2" t="n">
        <v>2</v>
      </c>
      <c r="F151" s="2" t="n">
        <v>3</v>
      </c>
      <c r="G151" s="2" t="s">
        <v>43</v>
      </c>
      <c r="H151" s="2" t="n">
        <v>150</v>
      </c>
      <c r="I151" s="2" t="s">
        <v>30</v>
      </c>
      <c r="J151" s="2" t="n">
        <v>1</v>
      </c>
      <c r="K151" s="2" t="s">
        <v>40</v>
      </c>
      <c r="L151" s="2" t="s">
        <v>32</v>
      </c>
      <c r="M151" s="2" t="n">
        <v>50980</v>
      </c>
      <c r="N151" s="2" t="n">
        <v>3</v>
      </c>
      <c r="O151" s="2" t="n">
        <v>14</v>
      </c>
      <c r="P151" s="2" t="n">
        <v>1</v>
      </c>
      <c r="Q151" s="2" t="n">
        <v>8</v>
      </c>
      <c r="R151" s="2" t="n">
        <v>4</v>
      </c>
      <c r="S151" s="2" t="n">
        <v>2</v>
      </c>
      <c r="T151" s="2" t="n">
        <v>0</v>
      </c>
      <c r="U151" s="2" t="n">
        <v>2</v>
      </c>
      <c r="V151" s="2" t="n">
        <v>1</v>
      </c>
      <c r="W151" s="2" t="n">
        <v>4</v>
      </c>
      <c r="X151" s="2" t="n">
        <v>2</v>
      </c>
      <c r="Y151" s="2" t="n">
        <v>3</v>
      </c>
      <c r="Z151" s="2" t="n">
        <v>3</v>
      </c>
    </row>
    <row r="152" customFormat="false" ht="15" hidden="false" customHeight="true" outlineLevel="0" collapsed="false">
      <c r="A152" s="2" t="n">
        <v>52</v>
      </c>
      <c r="B152" s="2" t="s">
        <v>26</v>
      </c>
      <c r="C152" s="2" t="s">
        <v>27</v>
      </c>
      <c r="D152" s="2" t="s">
        <v>35</v>
      </c>
      <c r="E152" s="2" t="n">
        <v>12</v>
      </c>
      <c r="F152" s="2" t="n">
        <v>3</v>
      </c>
      <c r="G152" s="2" t="s">
        <v>43</v>
      </c>
      <c r="H152" s="2" t="n">
        <v>151</v>
      </c>
      <c r="I152" s="2" t="s">
        <v>39</v>
      </c>
      <c r="J152" s="2" t="n">
        <v>2</v>
      </c>
      <c r="K152" s="2" t="s">
        <v>36</v>
      </c>
      <c r="L152" s="2" t="s">
        <v>32</v>
      </c>
      <c r="M152" s="2" t="n">
        <v>48780</v>
      </c>
      <c r="N152" s="2" t="n">
        <v>2</v>
      </c>
      <c r="O152" s="2" t="n">
        <v>11</v>
      </c>
      <c r="P152" s="2" t="n">
        <v>1</v>
      </c>
      <c r="Q152" s="2" t="n">
        <v>31</v>
      </c>
      <c r="R152" s="2" t="n">
        <v>3</v>
      </c>
      <c r="S152" s="2" t="n">
        <v>5</v>
      </c>
      <c r="T152" s="2" t="n">
        <v>1</v>
      </c>
      <c r="U152" s="2" t="n">
        <v>4</v>
      </c>
      <c r="V152" s="2" t="n">
        <v>4</v>
      </c>
      <c r="W152" s="2" t="n">
        <v>4</v>
      </c>
      <c r="X152" s="2" t="n">
        <v>1</v>
      </c>
      <c r="Y152" s="2" t="n">
        <v>3</v>
      </c>
      <c r="Z152" s="2" t="n">
        <v>3</v>
      </c>
    </row>
    <row r="153" customFormat="false" ht="15" hidden="false" customHeight="true" outlineLevel="0" collapsed="false">
      <c r="A153" s="2" t="n">
        <v>42</v>
      </c>
      <c r="B153" s="2" t="s">
        <v>26</v>
      </c>
      <c r="C153" s="2" t="s">
        <v>34</v>
      </c>
      <c r="D153" s="2" t="s">
        <v>28</v>
      </c>
      <c r="E153" s="2" t="n">
        <v>10</v>
      </c>
      <c r="F153" s="2" t="n">
        <v>3</v>
      </c>
      <c r="G153" s="2" t="s">
        <v>50</v>
      </c>
      <c r="H153" s="2" t="n">
        <v>152</v>
      </c>
      <c r="I153" s="2" t="s">
        <v>30</v>
      </c>
      <c r="J153" s="2" t="n">
        <v>2</v>
      </c>
      <c r="K153" s="2" t="s">
        <v>31</v>
      </c>
      <c r="L153" s="2" t="s">
        <v>46</v>
      </c>
      <c r="M153" s="2" t="n">
        <v>28370</v>
      </c>
      <c r="N153" s="2" t="n">
        <v>2</v>
      </c>
      <c r="O153" s="2" t="n">
        <v>13</v>
      </c>
      <c r="P153" s="2" t="n">
        <v>1</v>
      </c>
      <c r="Q153" s="2" t="n">
        <v>19</v>
      </c>
      <c r="R153" s="2" t="n">
        <v>0</v>
      </c>
      <c r="S153" s="2" t="n">
        <v>5</v>
      </c>
      <c r="T153" s="2" t="n">
        <v>0</v>
      </c>
      <c r="U153" s="2" t="n">
        <v>2</v>
      </c>
      <c r="V153" s="2" t="n">
        <v>1</v>
      </c>
      <c r="W153" s="2" t="n">
        <v>3</v>
      </c>
      <c r="X153" s="2" t="n">
        <v>3</v>
      </c>
      <c r="Y153" s="2" t="n">
        <v>2</v>
      </c>
      <c r="Z153" s="2" t="n">
        <v>3</v>
      </c>
    </row>
    <row r="154" customFormat="false" ht="15" hidden="false" customHeight="true" outlineLevel="0" collapsed="false">
      <c r="A154" s="2" t="n">
        <v>30</v>
      </c>
      <c r="B154" s="2" t="s">
        <v>26</v>
      </c>
      <c r="C154" s="2" t="s">
        <v>27</v>
      </c>
      <c r="D154" s="2" t="s">
        <v>28</v>
      </c>
      <c r="E154" s="2" t="n">
        <v>25</v>
      </c>
      <c r="F154" s="2" t="n">
        <v>3</v>
      </c>
      <c r="G154" s="2" t="s">
        <v>50</v>
      </c>
      <c r="H154" s="2" t="n">
        <v>153</v>
      </c>
      <c r="I154" s="2" t="s">
        <v>39</v>
      </c>
      <c r="J154" s="2" t="n">
        <v>1</v>
      </c>
      <c r="K154" s="2" t="s">
        <v>40</v>
      </c>
      <c r="L154" s="2" t="s">
        <v>37</v>
      </c>
      <c r="M154" s="2" t="n">
        <v>24060</v>
      </c>
      <c r="N154" s="2" t="n">
        <v>2</v>
      </c>
      <c r="O154" s="2" t="n">
        <v>20</v>
      </c>
      <c r="P154" s="2" t="n">
        <v>1</v>
      </c>
      <c r="Q154" s="2" t="n">
        <v>11</v>
      </c>
      <c r="R154" s="2" t="n">
        <v>5</v>
      </c>
      <c r="S154" s="2" t="n">
        <v>5</v>
      </c>
      <c r="T154" s="2" t="n">
        <v>0</v>
      </c>
      <c r="U154" s="2" t="n">
        <v>2</v>
      </c>
      <c r="V154" s="2" t="n">
        <v>3</v>
      </c>
      <c r="W154" s="2" t="n">
        <v>4</v>
      </c>
      <c r="X154" s="2" t="n">
        <v>3</v>
      </c>
      <c r="Y154" s="2" t="n">
        <v>3</v>
      </c>
      <c r="Z154" s="2" t="n">
        <v>4</v>
      </c>
    </row>
    <row r="155" customFormat="false" ht="15" hidden="false" customHeight="true" outlineLevel="0" collapsed="false">
      <c r="A155" s="2" t="n">
        <v>60</v>
      </c>
      <c r="B155" s="2" t="s">
        <v>26</v>
      </c>
      <c r="C155" s="2" t="s">
        <v>27</v>
      </c>
      <c r="D155" s="2" t="s">
        <v>35</v>
      </c>
      <c r="E155" s="2" t="n">
        <v>10</v>
      </c>
      <c r="F155" s="2" t="n">
        <v>3</v>
      </c>
      <c r="G155" s="2" t="s">
        <v>29</v>
      </c>
      <c r="H155" s="2" t="n">
        <v>154</v>
      </c>
      <c r="I155" s="2" t="s">
        <v>30</v>
      </c>
      <c r="J155" s="2" t="n">
        <v>1</v>
      </c>
      <c r="K155" s="2" t="s">
        <v>47</v>
      </c>
      <c r="L155" s="2" t="s">
        <v>32</v>
      </c>
      <c r="M155" s="2" t="n">
        <v>22690</v>
      </c>
      <c r="N155" s="2" t="n">
        <v>5</v>
      </c>
      <c r="O155" s="2" t="n">
        <v>18</v>
      </c>
      <c r="P155" s="2" t="n">
        <v>1</v>
      </c>
      <c r="Q155" s="2" t="n">
        <v>33</v>
      </c>
      <c r="R155" s="2" t="n">
        <v>4</v>
      </c>
      <c r="S155" s="2" t="n">
        <v>29</v>
      </c>
      <c r="T155" s="2" t="n">
        <v>11</v>
      </c>
      <c r="U155" s="2" t="n">
        <v>10</v>
      </c>
      <c r="V155" s="2" t="n">
        <v>1</v>
      </c>
      <c r="W155" s="2" t="n">
        <v>1</v>
      </c>
      <c r="X155" s="2" t="n">
        <v>1</v>
      </c>
      <c r="Y155" s="2" t="n">
        <v>3</v>
      </c>
      <c r="Z155" s="2" t="n">
        <v>3</v>
      </c>
    </row>
    <row r="156" customFormat="false" ht="15" hidden="false" customHeight="true" outlineLevel="0" collapsed="false">
      <c r="A156" s="2" t="n">
        <v>46</v>
      </c>
      <c r="B156" s="2" t="s">
        <v>26</v>
      </c>
      <c r="C156" s="2" t="s">
        <v>27</v>
      </c>
      <c r="D156" s="2" t="s">
        <v>28</v>
      </c>
      <c r="E156" s="2" t="n">
        <v>19</v>
      </c>
      <c r="F156" s="2" t="n">
        <v>4</v>
      </c>
      <c r="G156" s="2" t="s">
        <v>50</v>
      </c>
      <c r="H156" s="2" t="n">
        <v>155</v>
      </c>
      <c r="I156" s="2" t="s">
        <v>30</v>
      </c>
      <c r="J156" s="2" t="n">
        <v>1</v>
      </c>
      <c r="K156" s="2" t="s">
        <v>40</v>
      </c>
      <c r="L156" s="2" t="s">
        <v>46</v>
      </c>
      <c r="M156" s="2" t="n">
        <v>41080</v>
      </c>
      <c r="N156" s="2" t="n">
        <v>2</v>
      </c>
      <c r="O156" s="2" t="n">
        <v>14</v>
      </c>
      <c r="P156" s="2" t="n">
        <v>0</v>
      </c>
      <c r="Q156" s="2" t="n">
        <v>19</v>
      </c>
      <c r="R156" s="2" t="n">
        <v>5</v>
      </c>
      <c r="S156" s="2" t="n">
        <v>10</v>
      </c>
      <c r="T156" s="2" t="n">
        <v>0</v>
      </c>
      <c r="U156" s="2" t="n">
        <v>8</v>
      </c>
      <c r="V156" s="2" t="n">
        <v>3</v>
      </c>
      <c r="W156" s="2" t="n">
        <v>3</v>
      </c>
      <c r="X156" s="2" t="n">
        <v>2</v>
      </c>
      <c r="Y156" s="2" t="n">
        <v>2</v>
      </c>
      <c r="Z156" s="2" t="n">
        <v>3</v>
      </c>
    </row>
    <row r="157" customFormat="false" ht="15" hidden="false" customHeight="true" outlineLevel="0" collapsed="false">
      <c r="A157" s="2" t="n">
        <v>42</v>
      </c>
      <c r="B157" s="2" t="s">
        <v>26</v>
      </c>
      <c r="C157" s="2" t="s">
        <v>34</v>
      </c>
      <c r="D157" s="2" t="s">
        <v>35</v>
      </c>
      <c r="E157" s="2" t="n">
        <v>18</v>
      </c>
      <c r="F157" s="2" t="n">
        <v>4</v>
      </c>
      <c r="G157" s="2" t="s">
        <v>51</v>
      </c>
      <c r="H157" s="2" t="n">
        <v>156</v>
      </c>
      <c r="I157" s="2" t="s">
        <v>39</v>
      </c>
      <c r="J157" s="2" t="n">
        <v>4</v>
      </c>
      <c r="K157" s="2" t="s">
        <v>40</v>
      </c>
      <c r="L157" s="2" t="s">
        <v>32</v>
      </c>
      <c r="M157" s="2" t="n">
        <v>132060</v>
      </c>
      <c r="N157" s="2" t="n">
        <v>0</v>
      </c>
      <c r="O157" s="2" t="n">
        <v>13</v>
      </c>
      <c r="P157" s="2" t="n">
        <v>2</v>
      </c>
      <c r="Q157" s="2" t="n">
        <v>7</v>
      </c>
      <c r="R157" s="2" t="n">
        <v>2</v>
      </c>
      <c r="S157" s="2" t="n">
        <v>6</v>
      </c>
      <c r="T157" s="2" t="n">
        <v>0</v>
      </c>
      <c r="U157" s="2" t="n">
        <v>4</v>
      </c>
      <c r="V157" s="2" t="n">
        <v>4</v>
      </c>
      <c r="W157" s="2" t="n">
        <v>4</v>
      </c>
      <c r="X157" s="2" t="n">
        <v>4</v>
      </c>
      <c r="Y157" s="2" t="n">
        <v>3</v>
      </c>
      <c r="Z157" s="2" t="n">
        <v>3</v>
      </c>
    </row>
    <row r="158" customFormat="false" ht="15" hidden="false" customHeight="true" outlineLevel="0" collapsed="false">
      <c r="A158" s="2" t="n">
        <v>24</v>
      </c>
      <c r="B158" s="2" t="s">
        <v>33</v>
      </c>
      <c r="C158" s="2" t="s">
        <v>27</v>
      </c>
      <c r="D158" s="2" t="s">
        <v>35</v>
      </c>
      <c r="E158" s="2" t="n">
        <v>27</v>
      </c>
      <c r="F158" s="2" t="n">
        <v>2</v>
      </c>
      <c r="G158" s="2" t="s">
        <v>43</v>
      </c>
      <c r="H158" s="2" t="n">
        <v>157</v>
      </c>
      <c r="I158" s="2" t="s">
        <v>39</v>
      </c>
      <c r="J158" s="2" t="n">
        <v>1</v>
      </c>
      <c r="K158" s="2" t="s">
        <v>36</v>
      </c>
      <c r="L158" s="2" t="s">
        <v>37</v>
      </c>
      <c r="M158" s="2" t="n">
        <v>104220</v>
      </c>
      <c r="N158" s="2" t="n">
        <v>1</v>
      </c>
      <c r="O158" s="2" t="n">
        <v>17</v>
      </c>
      <c r="P158" s="2" t="n">
        <v>1</v>
      </c>
      <c r="Q158" s="2" t="n">
        <v>6</v>
      </c>
      <c r="R158" s="2" t="n">
        <v>0</v>
      </c>
      <c r="S158" s="2" t="n">
        <v>5</v>
      </c>
      <c r="T158" s="2" t="n">
        <v>1</v>
      </c>
      <c r="U158" s="2" t="n">
        <v>4</v>
      </c>
      <c r="V158" s="2" t="n">
        <v>1</v>
      </c>
      <c r="W158" s="2" t="n">
        <v>2</v>
      </c>
      <c r="X158" s="2" t="n">
        <v>3</v>
      </c>
      <c r="Y158" s="2" t="n">
        <v>2</v>
      </c>
      <c r="Z158" s="2" t="n">
        <v>3</v>
      </c>
    </row>
    <row r="159" customFormat="false" ht="15" hidden="false" customHeight="true" outlineLevel="0" collapsed="false">
      <c r="A159" s="2" t="n">
        <v>34</v>
      </c>
      <c r="B159" s="2" t="s">
        <v>33</v>
      </c>
      <c r="C159" s="2" t="s">
        <v>34</v>
      </c>
      <c r="D159" s="2" t="s">
        <v>35</v>
      </c>
      <c r="E159" s="2" t="n">
        <v>5</v>
      </c>
      <c r="F159" s="2" t="n">
        <v>3</v>
      </c>
      <c r="G159" s="2" t="s">
        <v>43</v>
      </c>
      <c r="H159" s="2" t="n">
        <v>158</v>
      </c>
      <c r="I159" s="2" t="s">
        <v>39</v>
      </c>
      <c r="J159" s="2" t="n">
        <v>2</v>
      </c>
      <c r="K159" s="2" t="s">
        <v>36</v>
      </c>
      <c r="L159" s="2" t="s">
        <v>46</v>
      </c>
      <c r="M159" s="2" t="n">
        <v>137440</v>
      </c>
      <c r="N159" s="2" t="n">
        <v>0</v>
      </c>
      <c r="O159" s="2" t="n">
        <v>20</v>
      </c>
      <c r="P159" s="2" t="n">
        <v>1</v>
      </c>
      <c r="Q159" s="2" t="n">
        <v>3</v>
      </c>
      <c r="R159" s="2" t="n">
        <v>3</v>
      </c>
      <c r="S159" s="2" t="n">
        <v>2</v>
      </c>
      <c r="T159" s="2" t="n">
        <v>1</v>
      </c>
      <c r="U159" s="2" t="n">
        <v>0</v>
      </c>
      <c r="V159" s="2" t="n">
        <v>4</v>
      </c>
      <c r="W159" s="2" t="n">
        <v>3</v>
      </c>
      <c r="X159" s="2" t="n">
        <v>2</v>
      </c>
      <c r="Y159" s="2" t="n">
        <v>3</v>
      </c>
      <c r="Z159" s="2" t="n">
        <v>4</v>
      </c>
    </row>
    <row r="160" customFormat="false" ht="15" hidden="false" customHeight="true" outlineLevel="0" collapsed="false">
      <c r="A160" s="2" t="n">
        <v>38</v>
      </c>
      <c r="B160" s="2" t="s">
        <v>26</v>
      </c>
      <c r="C160" s="2" t="s">
        <v>34</v>
      </c>
      <c r="D160" s="2" t="s">
        <v>28</v>
      </c>
      <c r="E160" s="2" t="n">
        <v>3</v>
      </c>
      <c r="F160" s="2" t="n">
        <v>3</v>
      </c>
      <c r="G160" s="2" t="s">
        <v>50</v>
      </c>
      <c r="H160" s="2" t="n">
        <v>159</v>
      </c>
      <c r="I160" s="2" t="s">
        <v>30</v>
      </c>
      <c r="J160" s="2" t="n">
        <v>2</v>
      </c>
      <c r="K160" s="2" t="s">
        <v>40</v>
      </c>
      <c r="L160" s="2" t="s">
        <v>32</v>
      </c>
      <c r="M160" s="2" t="n">
        <v>49070</v>
      </c>
      <c r="N160" s="2" t="n">
        <v>1</v>
      </c>
      <c r="O160" s="2" t="n">
        <v>11</v>
      </c>
      <c r="P160" s="2" t="n">
        <v>1</v>
      </c>
      <c r="Q160" s="2" t="n">
        <v>1</v>
      </c>
      <c r="R160" s="2" t="n">
        <v>3</v>
      </c>
      <c r="S160" s="2" t="n">
        <v>1</v>
      </c>
      <c r="T160" s="2" t="n">
        <v>0</v>
      </c>
      <c r="U160" s="2" t="n">
        <v>0</v>
      </c>
      <c r="V160" s="2" t="n">
        <v>4</v>
      </c>
      <c r="W160" s="2" t="n">
        <v>4</v>
      </c>
      <c r="X160" s="2" t="n">
        <v>3</v>
      </c>
      <c r="Y160" s="2" t="n">
        <v>3</v>
      </c>
      <c r="Z160" s="2" t="n">
        <v>3</v>
      </c>
    </row>
    <row r="161" customFormat="false" ht="15" hidden="false" customHeight="true" outlineLevel="0" collapsed="false">
      <c r="A161" s="2" t="n">
        <v>40</v>
      </c>
      <c r="B161" s="2" t="s">
        <v>26</v>
      </c>
      <c r="C161" s="2" t="s">
        <v>27</v>
      </c>
      <c r="D161" s="2" t="s">
        <v>28</v>
      </c>
      <c r="E161" s="2" t="n">
        <v>26</v>
      </c>
      <c r="F161" s="2" t="n">
        <v>4</v>
      </c>
      <c r="G161" s="2" t="s">
        <v>50</v>
      </c>
      <c r="H161" s="2" t="n">
        <v>160</v>
      </c>
      <c r="I161" s="2" t="s">
        <v>30</v>
      </c>
      <c r="J161" s="2" t="n">
        <v>1</v>
      </c>
      <c r="K161" s="2" t="s">
        <v>40</v>
      </c>
      <c r="L161" s="2" t="s">
        <v>32</v>
      </c>
      <c r="M161" s="2" t="n">
        <v>34820</v>
      </c>
      <c r="N161" s="2" t="n">
        <v>0</v>
      </c>
      <c r="O161" s="2" t="n">
        <v>18</v>
      </c>
      <c r="P161" s="2" t="n">
        <v>1</v>
      </c>
      <c r="Q161" s="2" t="n">
        <v>21</v>
      </c>
      <c r="R161" s="2" t="n">
        <v>2</v>
      </c>
      <c r="S161" s="2" t="n">
        <v>20</v>
      </c>
      <c r="T161" s="2" t="n">
        <v>1</v>
      </c>
      <c r="U161" s="2" t="n">
        <v>12</v>
      </c>
      <c r="V161" s="2" t="n">
        <v>3</v>
      </c>
      <c r="W161" s="2" t="n">
        <v>3</v>
      </c>
      <c r="X161" s="2" t="n">
        <v>3</v>
      </c>
      <c r="Y161" s="2" t="n">
        <v>2</v>
      </c>
      <c r="Z161" s="2" t="n">
        <v>3</v>
      </c>
    </row>
    <row r="162" customFormat="false" ht="15" hidden="false" customHeight="true" outlineLevel="0" collapsed="false">
      <c r="A162" s="2" t="n">
        <v>26</v>
      </c>
      <c r="B162" s="2" t="s">
        <v>26</v>
      </c>
      <c r="C162" s="2" t="s">
        <v>27</v>
      </c>
      <c r="D162" s="2" t="s">
        <v>35</v>
      </c>
      <c r="E162" s="2" t="n">
        <v>3</v>
      </c>
      <c r="F162" s="2" t="n">
        <v>2</v>
      </c>
      <c r="G162" s="2" t="s">
        <v>43</v>
      </c>
      <c r="H162" s="2" t="n">
        <v>161</v>
      </c>
      <c r="I162" s="2" t="s">
        <v>30</v>
      </c>
      <c r="J162" s="2" t="n">
        <v>4</v>
      </c>
      <c r="K162" s="2" t="s">
        <v>31</v>
      </c>
      <c r="L162" s="2" t="s">
        <v>46</v>
      </c>
      <c r="M162" s="2" t="n">
        <v>24360</v>
      </c>
      <c r="N162" s="2" t="n">
        <v>1</v>
      </c>
      <c r="O162" s="2" t="n">
        <v>24</v>
      </c>
      <c r="P162" s="2" t="n">
        <v>0</v>
      </c>
      <c r="Q162" s="2" t="n">
        <v>3</v>
      </c>
      <c r="R162" s="2" t="n">
        <v>2</v>
      </c>
      <c r="S162" s="2" t="n">
        <v>3</v>
      </c>
      <c r="T162" s="2" t="n">
        <v>0</v>
      </c>
      <c r="U162" s="2" t="n">
        <v>2</v>
      </c>
      <c r="V162" s="2" t="n">
        <v>1</v>
      </c>
      <c r="W162" s="2" t="n">
        <v>4</v>
      </c>
      <c r="X162" s="2" t="n">
        <v>1</v>
      </c>
      <c r="Y162" s="2" t="n">
        <v>4</v>
      </c>
      <c r="Z162" s="2" t="n">
        <v>4</v>
      </c>
    </row>
    <row r="163" customFormat="false" ht="15" hidden="false" customHeight="true" outlineLevel="0" collapsed="false">
      <c r="A163" s="2" t="n">
        <v>30</v>
      </c>
      <c r="B163" s="2" t="s">
        <v>26</v>
      </c>
      <c r="C163" s="2" t="s">
        <v>41</v>
      </c>
      <c r="D163" s="2" t="s">
        <v>35</v>
      </c>
      <c r="E163" s="2" t="n">
        <v>15</v>
      </c>
      <c r="F163" s="2" t="n">
        <v>3</v>
      </c>
      <c r="G163" s="2" t="s">
        <v>43</v>
      </c>
      <c r="H163" s="2" t="n">
        <v>162</v>
      </c>
      <c r="I163" s="2" t="s">
        <v>30</v>
      </c>
      <c r="J163" s="2" t="n">
        <v>2</v>
      </c>
      <c r="K163" s="2" t="s">
        <v>40</v>
      </c>
      <c r="L163" s="2" t="s">
        <v>32</v>
      </c>
      <c r="M163" s="2" t="n">
        <v>23800</v>
      </c>
      <c r="N163" s="2" t="n">
        <v>4</v>
      </c>
      <c r="O163" s="2" t="n">
        <v>18</v>
      </c>
      <c r="P163" s="2" t="n">
        <v>3</v>
      </c>
      <c r="Q163" s="2" t="n">
        <v>9</v>
      </c>
      <c r="R163" s="2" t="n">
        <v>2</v>
      </c>
      <c r="S163" s="2" t="n">
        <v>5</v>
      </c>
      <c r="T163" s="2" t="n">
        <v>1</v>
      </c>
      <c r="U163" s="2" t="n">
        <v>4</v>
      </c>
      <c r="V163" s="2" t="n">
        <v>3</v>
      </c>
      <c r="W163" s="2" t="n">
        <v>4</v>
      </c>
      <c r="X163" s="2" t="n">
        <v>1</v>
      </c>
      <c r="Y163" s="2" t="n">
        <v>2</v>
      </c>
      <c r="Z163" s="2" t="n">
        <v>3</v>
      </c>
    </row>
    <row r="164" customFormat="false" ht="15" hidden="false" customHeight="true" outlineLevel="0" collapsed="false">
      <c r="A164" s="2" t="n">
        <v>29</v>
      </c>
      <c r="B164" s="2" t="s">
        <v>26</v>
      </c>
      <c r="C164" s="2" t="s">
        <v>27</v>
      </c>
      <c r="D164" s="2" t="s">
        <v>35</v>
      </c>
      <c r="E164" s="2" t="n">
        <v>8</v>
      </c>
      <c r="F164" s="2" t="n">
        <v>3</v>
      </c>
      <c r="G164" s="2" t="s">
        <v>43</v>
      </c>
      <c r="H164" s="2" t="n">
        <v>163</v>
      </c>
      <c r="I164" s="2" t="s">
        <v>30</v>
      </c>
      <c r="J164" s="2" t="n">
        <v>3</v>
      </c>
      <c r="K164" s="2" t="s">
        <v>47</v>
      </c>
      <c r="L164" s="2" t="s">
        <v>32</v>
      </c>
      <c r="M164" s="2" t="n">
        <v>194310</v>
      </c>
      <c r="N164" s="2" t="n">
        <v>1</v>
      </c>
      <c r="O164" s="2" t="n">
        <v>11</v>
      </c>
      <c r="P164" s="2" t="n">
        <v>0</v>
      </c>
      <c r="Q164" s="2" t="n">
        <v>10</v>
      </c>
      <c r="R164" s="2" t="n">
        <v>3</v>
      </c>
      <c r="S164" s="2" t="n">
        <v>10</v>
      </c>
      <c r="T164" s="2" t="n">
        <v>0</v>
      </c>
      <c r="U164" s="2" t="n">
        <v>7</v>
      </c>
      <c r="V164" s="2" t="n">
        <v>2</v>
      </c>
      <c r="W164" s="2" t="n">
        <v>3</v>
      </c>
      <c r="X164" s="2" t="n">
        <v>3</v>
      </c>
      <c r="Y164" s="2" t="n">
        <v>3</v>
      </c>
      <c r="Z164" s="2" t="n">
        <v>3</v>
      </c>
    </row>
    <row r="165" customFormat="false" ht="15" hidden="false" customHeight="true" outlineLevel="0" collapsed="false">
      <c r="A165" s="2" t="n">
        <v>29</v>
      </c>
      <c r="B165" s="2" t="s">
        <v>33</v>
      </c>
      <c r="C165" s="2" t="s">
        <v>27</v>
      </c>
      <c r="D165" s="2" t="s">
        <v>35</v>
      </c>
      <c r="E165" s="2" t="n">
        <v>19</v>
      </c>
      <c r="F165" s="2" t="n">
        <v>4</v>
      </c>
      <c r="G165" s="2" t="s">
        <v>29</v>
      </c>
      <c r="H165" s="2" t="n">
        <v>164</v>
      </c>
      <c r="I165" s="2" t="s">
        <v>39</v>
      </c>
      <c r="J165" s="2" t="n">
        <v>3</v>
      </c>
      <c r="K165" s="2" t="s">
        <v>36</v>
      </c>
      <c r="L165" s="2" t="s">
        <v>32</v>
      </c>
      <c r="M165" s="2" t="n">
        <v>17900</v>
      </c>
      <c r="N165" s="2" t="n">
        <v>5</v>
      </c>
      <c r="O165" s="2" t="n">
        <v>16</v>
      </c>
      <c r="P165" s="2" t="n">
        <v>1</v>
      </c>
      <c r="Q165" s="2" t="n">
        <v>6</v>
      </c>
      <c r="R165" s="2" t="n">
        <v>4</v>
      </c>
      <c r="S165" s="2" t="n">
        <v>2</v>
      </c>
      <c r="T165" s="2" t="n">
        <v>1</v>
      </c>
      <c r="U165" s="2" t="n">
        <v>1</v>
      </c>
      <c r="V165" s="2" t="n">
        <v>3</v>
      </c>
      <c r="W165" s="2" t="n">
        <v>2</v>
      </c>
      <c r="X165" s="2" t="n">
        <v>4</v>
      </c>
      <c r="Y165" s="2" t="n">
        <v>2</v>
      </c>
      <c r="Z165" s="2" t="n">
        <v>3</v>
      </c>
    </row>
    <row r="166" customFormat="false" ht="15" hidden="false" customHeight="true" outlineLevel="0" collapsed="false">
      <c r="A166" s="2" t="n">
        <v>19</v>
      </c>
      <c r="B166" s="2" t="s">
        <v>33</v>
      </c>
      <c r="C166" s="2" t="s">
        <v>27</v>
      </c>
      <c r="D166" s="2" t="s">
        <v>35</v>
      </c>
      <c r="E166" s="2" t="n">
        <v>4</v>
      </c>
      <c r="F166" s="2" t="n">
        <v>3</v>
      </c>
      <c r="G166" s="2" t="s">
        <v>43</v>
      </c>
      <c r="H166" s="2" t="n">
        <v>165</v>
      </c>
      <c r="I166" s="2" t="s">
        <v>39</v>
      </c>
      <c r="J166" s="2" t="n">
        <v>1</v>
      </c>
      <c r="K166" s="2" t="s">
        <v>40</v>
      </c>
      <c r="L166" s="2" t="s">
        <v>37</v>
      </c>
      <c r="M166" s="2" t="n">
        <v>76440</v>
      </c>
      <c r="N166" s="2" t="n">
        <v>1</v>
      </c>
      <c r="O166" s="2" t="n">
        <v>15</v>
      </c>
      <c r="P166" s="2" t="n">
        <v>2</v>
      </c>
      <c r="Q166" s="2" t="n">
        <v>1</v>
      </c>
      <c r="R166" s="2" t="n">
        <v>2</v>
      </c>
      <c r="S166" s="2" t="n">
        <v>1</v>
      </c>
      <c r="T166" s="2" t="n">
        <v>0</v>
      </c>
      <c r="U166" s="2" t="n">
        <v>0</v>
      </c>
      <c r="V166" s="2" t="n">
        <v>1</v>
      </c>
      <c r="W166" s="2" t="n">
        <v>4</v>
      </c>
      <c r="X166" s="2" t="n">
        <v>4</v>
      </c>
      <c r="Y166" s="2" t="n">
        <v>3</v>
      </c>
      <c r="Z166" s="2" t="n">
        <v>3</v>
      </c>
    </row>
    <row r="167" customFormat="false" ht="15" hidden="false" customHeight="true" outlineLevel="0" collapsed="false">
      <c r="A167" s="2" t="n">
        <v>30</v>
      </c>
      <c r="B167" s="2" t="s">
        <v>26</v>
      </c>
      <c r="C167" s="2" t="s">
        <v>41</v>
      </c>
      <c r="D167" s="2" t="s">
        <v>35</v>
      </c>
      <c r="E167" s="2" t="n">
        <v>2</v>
      </c>
      <c r="F167" s="2" t="n">
        <v>4</v>
      </c>
      <c r="G167" s="2" t="s">
        <v>29</v>
      </c>
      <c r="H167" s="2" t="n">
        <v>166</v>
      </c>
      <c r="I167" s="2" t="s">
        <v>30</v>
      </c>
      <c r="J167" s="2" t="n">
        <v>3</v>
      </c>
      <c r="K167" s="2" t="s">
        <v>36</v>
      </c>
      <c r="L167" s="2" t="s">
        <v>32</v>
      </c>
      <c r="M167" s="2" t="n">
        <v>51310</v>
      </c>
      <c r="N167" s="2" t="n">
        <v>0</v>
      </c>
      <c r="O167" s="2" t="n">
        <v>15</v>
      </c>
      <c r="P167" s="2" t="n">
        <v>1</v>
      </c>
      <c r="Q167" s="2" t="n">
        <v>10</v>
      </c>
      <c r="R167" s="2" t="n">
        <v>2</v>
      </c>
      <c r="S167" s="2" t="n">
        <v>9</v>
      </c>
      <c r="T167" s="2" t="n">
        <v>7</v>
      </c>
      <c r="U167" s="2" t="n">
        <v>8</v>
      </c>
      <c r="V167" s="2" t="n">
        <v>3</v>
      </c>
      <c r="W167" s="2" t="n">
        <v>1</v>
      </c>
      <c r="X167" s="2" t="n">
        <v>3</v>
      </c>
      <c r="Y167" s="2" t="n">
        <v>3</v>
      </c>
      <c r="Z167" s="2" t="n">
        <v>3</v>
      </c>
    </row>
    <row r="168" customFormat="false" ht="15" hidden="false" customHeight="true" outlineLevel="0" collapsed="false">
      <c r="A168" s="2" t="n">
        <v>57</v>
      </c>
      <c r="B168" s="2" t="s">
        <v>26</v>
      </c>
      <c r="C168" s="2" t="s">
        <v>27</v>
      </c>
      <c r="D168" s="2" t="s">
        <v>35</v>
      </c>
      <c r="E168" s="2" t="n">
        <v>2</v>
      </c>
      <c r="F168" s="2" t="n">
        <v>2</v>
      </c>
      <c r="G168" s="2" t="s">
        <v>29</v>
      </c>
      <c r="H168" s="2" t="n">
        <v>167</v>
      </c>
      <c r="I168" s="2" t="s">
        <v>39</v>
      </c>
      <c r="J168" s="2" t="n">
        <v>4</v>
      </c>
      <c r="K168" s="2" t="s">
        <v>36</v>
      </c>
      <c r="L168" s="2" t="s">
        <v>46</v>
      </c>
      <c r="M168" s="2" t="n">
        <v>63060</v>
      </c>
      <c r="N168" s="2" t="n">
        <v>3</v>
      </c>
      <c r="O168" s="2" t="n">
        <v>12</v>
      </c>
      <c r="P168" s="2" t="n">
        <v>1</v>
      </c>
      <c r="Q168" s="2" t="n">
        <v>32</v>
      </c>
      <c r="R168" s="2" t="n">
        <v>3</v>
      </c>
      <c r="S168" s="2" t="n">
        <v>1</v>
      </c>
      <c r="T168" s="2" t="n">
        <v>0</v>
      </c>
      <c r="U168" s="2" t="n">
        <v>0</v>
      </c>
      <c r="V168" s="2" t="n">
        <v>1</v>
      </c>
      <c r="W168" s="2" t="n">
        <v>4</v>
      </c>
      <c r="X168" s="2" t="n">
        <v>2</v>
      </c>
      <c r="Y168" s="2" t="n">
        <v>3</v>
      </c>
      <c r="Z168" s="2" t="n">
        <v>3</v>
      </c>
    </row>
    <row r="169" customFormat="false" ht="15" hidden="false" customHeight="true" outlineLevel="0" collapsed="false">
      <c r="A169" s="2" t="n">
        <v>50</v>
      </c>
      <c r="B169" s="2" t="s">
        <v>26</v>
      </c>
      <c r="C169" s="2" t="s">
        <v>27</v>
      </c>
      <c r="D169" s="2" t="s">
        <v>28</v>
      </c>
      <c r="E169" s="2" t="n">
        <v>10</v>
      </c>
      <c r="F169" s="2" t="n">
        <v>4</v>
      </c>
      <c r="G169" s="2" t="s">
        <v>29</v>
      </c>
      <c r="H169" s="2" t="n">
        <v>168</v>
      </c>
      <c r="I169" s="2" t="s">
        <v>30</v>
      </c>
      <c r="J169" s="2" t="n">
        <v>3</v>
      </c>
      <c r="K169" s="2" t="s">
        <v>49</v>
      </c>
      <c r="L169" s="2" t="s">
        <v>32</v>
      </c>
      <c r="M169" s="2" t="n">
        <v>47870</v>
      </c>
      <c r="N169" s="2" t="n">
        <v>0</v>
      </c>
      <c r="O169" s="2" t="n">
        <v>12</v>
      </c>
      <c r="P169" s="2" t="n">
        <v>0</v>
      </c>
      <c r="Q169" s="2" t="n">
        <v>28</v>
      </c>
      <c r="R169" s="2" t="n">
        <v>3</v>
      </c>
      <c r="S169" s="2" t="n">
        <v>27</v>
      </c>
      <c r="T169" s="2" t="n">
        <v>15</v>
      </c>
      <c r="U169" s="2" t="n">
        <v>7</v>
      </c>
      <c r="V169" s="2" t="n">
        <v>2</v>
      </c>
      <c r="W169" s="2" t="n">
        <v>3</v>
      </c>
      <c r="X169" s="2" t="n">
        <v>3</v>
      </c>
      <c r="Y169" s="2" t="n">
        <v>3</v>
      </c>
      <c r="Z169" s="2" t="n">
        <v>3</v>
      </c>
    </row>
    <row r="170" customFormat="false" ht="15" hidden="false" customHeight="true" outlineLevel="0" collapsed="false">
      <c r="A170" s="2" t="n">
        <v>30</v>
      </c>
      <c r="B170" s="2" t="s">
        <v>26</v>
      </c>
      <c r="C170" s="2" t="s">
        <v>41</v>
      </c>
      <c r="D170" s="2" t="s">
        <v>28</v>
      </c>
      <c r="E170" s="2" t="n">
        <v>10</v>
      </c>
      <c r="F170" s="2" t="n">
        <v>2</v>
      </c>
      <c r="G170" s="2" t="s">
        <v>29</v>
      </c>
      <c r="H170" s="2" t="n">
        <v>169</v>
      </c>
      <c r="I170" s="2" t="s">
        <v>39</v>
      </c>
      <c r="J170" s="2" t="n">
        <v>3</v>
      </c>
      <c r="K170" s="2" t="s">
        <v>45</v>
      </c>
      <c r="L170" s="2" t="s">
        <v>37</v>
      </c>
      <c r="M170" s="2" t="n">
        <v>188800</v>
      </c>
      <c r="N170" s="2" t="n">
        <v>0</v>
      </c>
      <c r="O170" s="2" t="n">
        <v>22</v>
      </c>
      <c r="P170" s="2" t="n">
        <v>1</v>
      </c>
      <c r="Q170" s="2" t="n">
        <v>12</v>
      </c>
      <c r="R170" s="2" t="n">
        <v>3</v>
      </c>
      <c r="S170" s="2" t="n">
        <v>11</v>
      </c>
      <c r="T170" s="2" t="n">
        <v>6</v>
      </c>
      <c r="U170" s="2" t="n">
        <v>7</v>
      </c>
      <c r="V170" s="2" t="n">
        <v>3</v>
      </c>
      <c r="W170" s="2" t="n">
        <v>4</v>
      </c>
      <c r="X170" s="2" t="n">
        <v>2</v>
      </c>
      <c r="Y170" s="2" t="n">
        <v>3</v>
      </c>
      <c r="Z170" s="2" t="n">
        <v>4</v>
      </c>
    </row>
    <row r="171" customFormat="false" ht="15" hidden="false" customHeight="true" outlineLevel="0" collapsed="false">
      <c r="A171" s="2" t="n">
        <v>60</v>
      </c>
      <c r="B171" s="2" t="s">
        <v>26</v>
      </c>
      <c r="C171" s="2" t="s">
        <v>34</v>
      </c>
      <c r="D171" s="2" t="s">
        <v>35</v>
      </c>
      <c r="E171" s="2" t="n">
        <v>16</v>
      </c>
      <c r="F171" s="2" t="n">
        <v>3</v>
      </c>
      <c r="G171" s="2" t="s">
        <v>29</v>
      </c>
      <c r="H171" s="2" t="n">
        <v>170</v>
      </c>
      <c r="I171" s="2" t="s">
        <v>30</v>
      </c>
      <c r="J171" s="2" t="n">
        <v>4</v>
      </c>
      <c r="K171" s="2" t="s">
        <v>45</v>
      </c>
      <c r="L171" s="2" t="s">
        <v>32</v>
      </c>
      <c r="M171" s="2" t="n">
        <v>23390</v>
      </c>
      <c r="N171" s="2" t="n">
        <v>4</v>
      </c>
      <c r="O171" s="2" t="n">
        <v>20</v>
      </c>
      <c r="P171" s="2" t="n">
        <v>0</v>
      </c>
      <c r="Q171" s="2" t="n">
        <v>22</v>
      </c>
      <c r="R171" s="2" t="n">
        <v>4</v>
      </c>
      <c r="S171" s="2" t="n">
        <v>18</v>
      </c>
      <c r="T171" s="2" t="n">
        <v>13</v>
      </c>
      <c r="U171" s="2" t="n">
        <v>11</v>
      </c>
      <c r="V171" s="2" t="n">
        <v>3</v>
      </c>
      <c r="W171" s="2" t="n">
        <v>1</v>
      </c>
      <c r="X171" s="2" t="n">
        <v>4</v>
      </c>
      <c r="Y171" s="2" t="n">
        <v>3</v>
      </c>
      <c r="Z171" s="2" t="n">
        <v>4</v>
      </c>
    </row>
    <row r="172" customFormat="false" ht="15" hidden="false" customHeight="true" outlineLevel="0" collapsed="false">
      <c r="A172" s="2" t="n">
        <v>47</v>
      </c>
      <c r="B172" s="2" t="s">
        <v>26</v>
      </c>
      <c r="C172" s="2" t="s">
        <v>27</v>
      </c>
      <c r="D172" s="2" t="s">
        <v>35</v>
      </c>
      <c r="E172" s="2" t="n">
        <v>1</v>
      </c>
      <c r="F172" s="2" t="n">
        <v>3</v>
      </c>
      <c r="G172" s="2" t="s">
        <v>51</v>
      </c>
      <c r="H172" s="2" t="n">
        <v>171</v>
      </c>
      <c r="I172" s="2" t="s">
        <v>39</v>
      </c>
      <c r="J172" s="2" t="n">
        <v>5</v>
      </c>
      <c r="K172" s="2" t="s">
        <v>47</v>
      </c>
      <c r="L172" s="2" t="s">
        <v>46</v>
      </c>
      <c r="M172" s="2" t="n">
        <v>135700</v>
      </c>
      <c r="N172" s="2" t="n">
        <v>5</v>
      </c>
      <c r="O172" s="2" t="n">
        <v>16</v>
      </c>
      <c r="P172" s="2" t="n">
        <v>2</v>
      </c>
      <c r="Q172" s="2" t="n">
        <v>20</v>
      </c>
      <c r="R172" s="2" t="n">
        <v>2</v>
      </c>
      <c r="S172" s="2" t="n">
        <v>5</v>
      </c>
      <c r="T172" s="2" t="n">
        <v>0</v>
      </c>
      <c r="U172" s="2" t="n">
        <v>4</v>
      </c>
      <c r="V172" s="2" t="n">
        <v>1</v>
      </c>
      <c r="W172" s="2" t="n">
        <v>4</v>
      </c>
      <c r="X172" s="2" t="n">
        <v>3</v>
      </c>
      <c r="Y172" s="2" t="n">
        <v>2</v>
      </c>
      <c r="Z172" s="2" t="n">
        <v>3</v>
      </c>
    </row>
    <row r="173" customFormat="false" ht="15" hidden="false" customHeight="true" outlineLevel="0" collapsed="false">
      <c r="A173" s="2" t="n">
        <v>46</v>
      </c>
      <c r="B173" s="2" t="s">
        <v>26</v>
      </c>
      <c r="C173" s="2" t="s">
        <v>27</v>
      </c>
      <c r="D173" s="2" t="s">
        <v>28</v>
      </c>
      <c r="E173" s="2" t="n">
        <v>4</v>
      </c>
      <c r="F173" s="2" t="n">
        <v>1</v>
      </c>
      <c r="G173" s="2" t="s">
        <v>51</v>
      </c>
      <c r="H173" s="2" t="n">
        <v>172</v>
      </c>
      <c r="I173" s="2" t="s">
        <v>39</v>
      </c>
      <c r="J173" s="2" t="n">
        <v>1</v>
      </c>
      <c r="K173" s="2" t="s">
        <v>45</v>
      </c>
      <c r="L173" s="2" t="s">
        <v>32</v>
      </c>
      <c r="M173" s="2" t="n">
        <v>67120</v>
      </c>
      <c r="N173" s="2" t="n">
        <v>6</v>
      </c>
      <c r="O173" s="2" t="n">
        <v>21</v>
      </c>
      <c r="P173" s="2" t="n">
        <v>1</v>
      </c>
      <c r="Q173" s="2" t="n">
        <v>26</v>
      </c>
      <c r="R173" s="2" t="n">
        <v>3</v>
      </c>
      <c r="S173" s="2" t="n">
        <v>3</v>
      </c>
      <c r="T173" s="2" t="n">
        <v>0</v>
      </c>
      <c r="U173" s="2" t="n">
        <v>1</v>
      </c>
      <c r="V173" s="2" t="n">
        <v>1</v>
      </c>
      <c r="W173" s="2" t="n">
        <v>3</v>
      </c>
      <c r="X173" s="2" t="n">
        <v>1</v>
      </c>
      <c r="Y173" s="2" t="n">
        <v>2</v>
      </c>
      <c r="Z173" s="2" t="n">
        <v>4</v>
      </c>
    </row>
    <row r="174" customFormat="false" ht="15" hidden="false" customHeight="true" outlineLevel="0" collapsed="false">
      <c r="A174" s="2" t="n">
        <v>35</v>
      </c>
      <c r="B174" s="2" t="s">
        <v>26</v>
      </c>
      <c r="C174" s="2" t="s">
        <v>27</v>
      </c>
      <c r="D174" s="2" t="s">
        <v>35</v>
      </c>
      <c r="E174" s="2" t="n">
        <v>15</v>
      </c>
      <c r="F174" s="2" t="n">
        <v>2</v>
      </c>
      <c r="G174" s="2" t="s">
        <v>43</v>
      </c>
      <c r="H174" s="2" t="n">
        <v>173</v>
      </c>
      <c r="I174" s="2" t="s">
        <v>30</v>
      </c>
      <c r="J174" s="2" t="n">
        <v>2</v>
      </c>
      <c r="K174" s="2" t="s">
        <v>45</v>
      </c>
      <c r="L174" s="2" t="s">
        <v>37</v>
      </c>
      <c r="M174" s="2" t="n">
        <v>54060</v>
      </c>
      <c r="N174" s="2" t="n">
        <v>0</v>
      </c>
      <c r="O174" s="2" t="n">
        <v>12</v>
      </c>
      <c r="P174" s="2" t="n">
        <v>1</v>
      </c>
      <c r="Q174" s="2" t="n">
        <v>6</v>
      </c>
      <c r="R174" s="2" t="n">
        <v>2</v>
      </c>
      <c r="S174" s="2" t="n">
        <v>5</v>
      </c>
      <c r="T174" s="2" t="n">
        <v>4</v>
      </c>
      <c r="U174" s="2" t="n">
        <v>3</v>
      </c>
      <c r="V174" s="2" t="n">
        <v>4</v>
      </c>
      <c r="W174" s="2" t="n">
        <v>3</v>
      </c>
      <c r="X174" s="2" t="n">
        <v>3</v>
      </c>
      <c r="Y174" s="2" t="n">
        <v>3</v>
      </c>
      <c r="Z174" s="2" t="n">
        <v>3</v>
      </c>
    </row>
    <row r="175" customFormat="false" ht="15" hidden="false" customHeight="true" outlineLevel="0" collapsed="false">
      <c r="A175" s="2" t="n">
        <v>54</v>
      </c>
      <c r="B175" s="2" t="s">
        <v>26</v>
      </c>
      <c r="C175" s="2" t="s">
        <v>27</v>
      </c>
      <c r="D175" s="2" t="s">
        <v>35</v>
      </c>
      <c r="E175" s="2" t="n">
        <v>2</v>
      </c>
      <c r="F175" s="2" t="n">
        <v>4</v>
      </c>
      <c r="G175" s="2" t="s">
        <v>43</v>
      </c>
      <c r="H175" s="2" t="n">
        <v>174</v>
      </c>
      <c r="I175" s="2" t="s">
        <v>39</v>
      </c>
      <c r="J175" s="2" t="n">
        <v>2</v>
      </c>
      <c r="K175" s="2" t="s">
        <v>42</v>
      </c>
      <c r="L175" s="2" t="s">
        <v>37</v>
      </c>
      <c r="M175" s="2" t="n">
        <v>89380</v>
      </c>
      <c r="N175" s="2" t="n">
        <v>7</v>
      </c>
      <c r="O175" s="2" t="n">
        <v>11</v>
      </c>
      <c r="P175" s="2" t="n">
        <v>3</v>
      </c>
      <c r="Q175" s="2" t="n">
        <v>19</v>
      </c>
      <c r="R175" s="2" t="n">
        <v>2</v>
      </c>
      <c r="S175" s="2" t="n">
        <v>1</v>
      </c>
      <c r="T175" s="2" t="n">
        <v>0</v>
      </c>
      <c r="U175" s="2" t="n">
        <v>0</v>
      </c>
      <c r="V175" s="2" t="n">
        <v>3</v>
      </c>
      <c r="W175" s="2" t="n">
        <v>3</v>
      </c>
      <c r="X175" s="2" t="n">
        <v>3</v>
      </c>
      <c r="Y175" s="2" t="n">
        <v>3</v>
      </c>
      <c r="Z175" s="2" t="n">
        <v>3</v>
      </c>
    </row>
    <row r="176" customFormat="false" ht="15" hidden="false" customHeight="true" outlineLevel="0" collapsed="false">
      <c r="A176" s="2" t="n">
        <v>34</v>
      </c>
      <c r="B176" s="2" t="s">
        <v>26</v>
      </c>
      <c r="C176" s="2" t="s">
        <v>27</v>
      </c>
      <c r="D176" s="2" t="s">
        <v>28</v>
      </c>
      <c r="E176" s="2" t="n">
        <v>8</v>
      </c>
      <c r="F176" s="2" t="n">
        <v>2</v>
      </c>
      <c r="G176" s="2" t="s">
        <v>29</v>
      </c>
      <c r="H176" s="2" t="n">
        <v>175</v>
      </c>
      <c r="I176" s="2" t="s">
        <v>39</v>
      </c>
      <c r="J176" s="2" t="n">
        <v>1</v>
      </c>
      <c r="K176" s="2" t="s">
        <v>45</v>
      </c>
      <c r="L176" s="2" t="s">
        <v>46</v>
      </c>
      <c r="M176" s="2" t="n">
        <v>24390</v>
      </c>
      <c r="N176" s="2" t="n">
        <v>3</v>
      </c>
      <c r="O176" s="2" t="n">
        <v>11</v>
      </c>
      <c r="P176" s="2" t="n">
        <v>2</v>
      </c>
      <c r="Q176" s="2" t="n">
        <v>14</v>
      </c>
      <c r="R176" s="2" t="n">
        <v>2</v>
      </c>
      <c r="S176" s="2" t="n">
        <v>7</v>
      </c>
      <c r="T176" s="2" t="n">
        <v>5</v>
      </c>
      <c r="U176" s="2" t="n">
        <v>7</v>
      </c>
      <c r="V176" s="2" t="n">
        <v>4</v>
      </c>
      <c r="W176" s="2" t="n">
        <v>3</v>
      </c>
      <c r="X176" s="2" t="n">
        <v>3</v>
      </c>
      <c r="Y176" s="2" t="n">
        <v>4</v>
      </c>
      <c r="Z176" s="2" t="n">
        <v>3</v>
      </c>
    </row>
    <row r="177" customFormat="false" ht="15" hidden="false" customHeight="true" outlineLevel="0" collapsed="false">
      <c r="A177" s="2" t="n">
        <v>46</v>
      </c>
      <c r="B177" s="2" t="s">
        <v>26</v>
      </c>
      <c r="C177" s="2" t="s">
        <v>27</v>
      </c>
      <c r="D177" s="2" t="s">
        <v>35</v>
      </c>
      <c r="E177" s="2" t="n">
        <v>2</v>
      </c>
      <c r="F177" s="2" t="n">
        <v>3</v>
      </c>
      <c r="G177" s="2" t="s">
        <v>29</v>
      </c>
      <c r="H177" s="2" t="n">
        <v>176</v>
      </c>
      <c r="I177" s="2" t="s">
        <v>39</v>
      </c>
      <c r="J177" s="2" t="n">
        <v>1</v>
      </c>
      <c r="K177" s="2" t="s">
        <v>31</v>
      </c>
      <c r="L177" s="2" t="s">
        <v>32</v>
      </c>
      <c r="M177" s="2" t="n">
        <v>88370</v>
      </c>
      <c r="N177" s="2" t="n">
        <v>2</v>
      </c>
      <c r="O177" s="2" t="n">
        <v>18</v>
      </c>
      <c r="P177" s="2" t="n">
        <v>0</v>
      </c>
      <c r="Q177" s="2" t="n">
        <v>15</v>
      </c>
      <c r="R177" s="2" t="n">
        <v>3</v>
      </c>
      <c r="S177" s="2" t="n">
        <v>3</v>
      </c>
      <c r="T177" s="2" t="n">
        <v>1</v>
      </c>
      <c r="U177" s="2" t="n">
        <v>2</v>
      </c>
      <c r="V177" s="2" t="n">
        <v>3</v>
      </c>
      <c r="W177" s="2" t="n">
        <v>4</v>
      </c>
      <c r="X177" s="2" t="n">
        <v>3</v>
      </c>
      <c r="Y177" s="2" t="n">
        <v>2</v>
      </c>
      <c r="Z177" s="2" t="n">
        <v>3</v>
      </c>
    </row>
    <row r="178" customFormat="false" ht="15" hidden="false" customHeight="true" outlineLevel="0" collapsed="false">
      <c r="A178" s="2" t="n">
        <v>31</v>
      </c>
      <c r="B178" s="2" t="s">
        <v>26</v>
      </c>
      <c r="C178" s="2" t="s">
        <v>27</v>
      </c>
      <c r="D178" s="2" t="s">
        <v>35</v>
      </c>
      <c r="E178" s="2" t="n">
        <v>7</v>
      </c>
      <c r="F178" s="2" t="n">
        <v>3</v>
      </c>
      <c r="G178" s="2" t="s">
        <v>29</v>
      </c>
      <c r="H178" s="2" t="n">
        <v>177</v>
      </c>
      <c r="I178" s="2" t="s">
        <v>39</v>
      </c>
      <c r="J178" s="2" t="n">
        <v>2</v>
      </c>
      <c r="K178" s="2" t="s">
        <v>44</v>
      </c>
      <c r="L178" s="2" t="s">
        <v>46</v>
      </c>
      <c r="M178" s="2" t="n">
        <v>53430</v>
      </c>
      <c r="N178" s="2" t="n">
        <v>1</v>
      </c>
      <c r="O178" s="2" t="n">
        <v>14</v>
      </c>
      <c r="P178" s="2" t="n">
        <v>1</v>
      </c>
      <c r="Q178" s="2" t="n">
        <v>13</v>
      </c>
      <c r="R178" s="2" t="n">
        <v>3</v>
      </c>
      <c r="S178" s="2" t="n">
        <v>13</v>
      </c>
      <c r="T178" s="2" t="n">
        <v>0</v>
      </c>
      <c r="U178" s="2" t="n">
        <v>8</v>
      </c>
      <c r="V178" s="2" t="n">
        <v>3</v>
      </c>
      <c r="W178" s="2" t="n">
        <v>2</v>
      </c>
      <c r="X178" s="2" t="n">
        <v>4</v>
      </c>
      <c r="Y178" s="2" t="n">
        <v>3</v>
      </c>
      <c r="Z178" s="2" t="n">
        <v>3</v>
      </c>
    </row>
    <row r="179" customFormat="false" ht="15" hidden="false" customHeight="true" outlineLevel="0" collapsed="false">
      <c r="A179" s="2" t="n">
        <v>33</v>
      </c>
      <c r="B179" s="2" t="s">
        <v>33</v>
      </c>
      <c r="C179" s="2" t="s">
        <v>27</v>
      </c>
      <c r="D179" s="2" t="s">
        <v>35</v>
      </c>
      <c r="E179" s="2" t="n">
        <v>10</v>
      </c>
      <c r="F179" s="2" t="n">
        <v>3</v>
      </c>
      <c r="G179" s="2" t="s">
        <v>29</v>
      </c>
      <c r="H179" s="2" t="n">
        <v>178</v>
      </c>
      <c r="I179" s="2" t="s">
        <v>30</v>
      </c>
      <c r="J179" s="2" t="n">
        <v>4</v>
      </c>
      <c r="K179" s="2" t="s">
        <v>44</v>
      </c>
      <c r="L179" s="2" t="s">
        <v>32</v>
      </c>
      <c r="M179" s="2" t="n">
        <v>67280</v>
      </c>
      <c r="N179" s="2" t="n">
        <v>7</v>
      </c>
      <c r="O179" s="2" t="n">
        <v>22</v>
      </c>
      <c r="P179" s="2" t="n">
        <v>0</v>
      </c>
      <c r="Q179" s="2" t="n">
        <v>15</v>
      </c>
      <c r="R179" s="2" t="n">
        <v>2</v>
      </c>
      <c r="S179" s="2" t="n">
        <v>7</v>
      </c>
      <c r="T179" s="2" t="n">
        <v>7</v>
      </c>
      <c r="U179" s="2" t="n">
        <v>7</v>
      </c>
      <c r="V179" s="2" t="n">
        <v>2</v>
      </c>
      <c r="W179" s="2" t="n">
        <v>3</v>
      </c>
      <c r="X179" s="2" t="n">
        <v>4</v>
      </c>
      <c r="Y179" s="2" t="n">
        <v>2</v>
      </c>
      <c r="Z179" s="2" t="n">
        <v>4</v>
      </c>
    </row>
    <row r="180" customFormat="false" ht="15" hidden="false" customHeight="true" outlineLevel="0" collapsed="false">
      <c r="A180" s="2" t="n">
        <v>33</v>
      </c>
      <c r="B180" s="2" t="s">
        <v>33</v>
      </c>
      <c r="C180" s="2" t="s">
        <v>27</v>
      </c>
      <c r="D180" s="2" t="s">
        <v>28</v>
      </c>
      <c r="E180" s="2" t="n">
        <v>5</v>
      </c>
      <c r="F180" s="2" t="n">
        <v>4</v>
      </c>
      <c r="G180" s="2" t="s">
        <v>50</v>
      </c>
      <c r="H180" s="2" t="n">
        <v>179</v>
      </c>
      <c r="I180" s="2" t="s">
        <v>39</v>
      </c>
      <c r="J180" s="2" t="n">
        <v>2</v>
      </c>
      <c r="K180" s="2" t="s">
        <v>44</v>
      </c>
      <c r="L180" s="2" t="s">
        <v>46</v>
      </c>
      <c r="M180" s="2" t="n">
        <v>66520</v>
      </c>
      <c r="N180" s="2" t="n">
        <v>7</v>
      </c>
      <c r="O180" s="2" t="n">
        <v>25</v>
      </c>
      <c r="P180" s="2" t="n">
        <v>0</v>
      </c>
      <c r="Q180" s="2" t="n">
        <v>8</v>
      </c>
      <c r="R180" s="2" t="n">
        <v>5</v>
      </c>
      <c r="S180" s="2" t="n">
        <v>4</v>
      </c>
      <c r="T180" s="2" t="n">
        <v>1</v>
      </c>
      <c r="U180" s="2" t="n">
        <v>3</v>
      </c>
      <c r="V180" s="2" t="n">
        <v>1</v>
      </c>
      <c r="W180" s="2" t="n">
        <v>4</v>
      </c>
      <c r="X180" s="2" t="n">
        <v>3</v>
      </c>
      <c r="Y180" s="2" t="n">
        <v>3</v>
      </c>
      <c r="Z180" s="2" t="n">
        <v>4</v>
      </c>
    </row>
    <row r="181" customFormat="false" ht="15" hidden="false" customHeight="true" outlineLevel="0" collapsed="false">
      <c r="A181" s="2" t="n">
        <v>30</v>
      </c>
      <c r="B181" s="2" t="s">
        <v>26</v>
      </c>
      <c r="C181" s="2" t="s">
        <v>27</v>
      </c>
      <c r="D181" s="2" t="s">
        <v>35</v>
      </c>
      <c r="E181" s="2" t="n">
        <v>2</v>
      </c>
      <c r="F181" s="2" t="n">
        <v>3</v>
      </c>
      <c r="G181" s="2" t="s">
        <v>29</v>
      </c>
      <c r="H181" s="2" t="n">
        <v>180</v>
      </c>
      <c r="I181" s="2" t="s">
        <v>39</v>
      </c>
      <c r="J181" s="2" t="n">
        <v>1</v>
      </c>
      <c r="K181" s="2" t="s">
        <v>40</v>
      </c>
      <c r="L181" s="2" t="s">
        <v>37</v>
      </c>
      <c r="M181" s="2" t="n">
        <v>48500</v>
      </c>
      <c r="N181" s="2" t="n">
        <v>0</v>
      </c>
      <c r="O181" s="2" t="n">
        <v>12</v>
      </c>
      <c r="P181" s="2" t="n">
        <v>1</v>
      </c>
      <c r="Q181" s="2" t="n">
        <v>4</v>
      </c>
      <c r="R181" s="2" t="n">
        <v>4</v>
      </c>
      <c r="S181" s="2" t="n">
        <v>3</v>
      </c>
      <c r="T181" s="2" t="n">
        <v>1</v>
      </c>
      <c r="U181" s="2" t="n">
        <v>2</v>
      </c>
      <c r="V181" s="2" t="n">
        <v>4</v>
      </c>
      <c r="W181" s="2" t="n">
        <v>2</v>
      </c>
      <c r="X181" s="2" t="n">
        <v>3</v>
      </c>
      <c r="Y181" s="2" t="n">
        <v>3</v>
      </c>
      <c r="Z181" s="2" t="n">
        <v>3</v>
      </c>
    </row>
    <row r="182" customFormat="false" ht="15" hidden="false" customHeight="true" outlineLevel="0" collapsed="false">
      <c r="A182" s="2" t="n">
        <v>35</v>
      </c>
      <c r="B182" s="2" t="s">
        <v>26</v>
      </c>
      <c r="C182" s="2" t="s">
        <v>27</v>
      </c>
      <c r="D182" s="2" t="s">
        <v>35</v>
      </c>
      <c r="E182" s="2" t="n">
        <v>12</v>
      </c>
      <c r="F182" s="2" t="n">
        <v>2</v>
      </c>
      <c r="G182" s="2" t="s">
        <v>43</v>
      </c>
      <c r="H182" s="2" t="n">
        <v>181</v>
      </c>
      <c r="I182" s="2" t="s">
        <v>30</v>
      </c>
      <c r="J182" s="2" t="n">
        <v>2</v>
      </c>
      <c r="K182" s="2" t="s">
        <v>48</v>
      </c>
      <c r="L182" s="2" t="s">
        <v>32</v>
      </c>
      <c r="M182" s="2" t="n">
        <v>28090</v>
      </c>
      <c r="N182" s="2" t="n">
        <v>4</v>
      </c>
      <c r="O182" s="2" t="n">
        <v>23</v>
      </c>
      <c r="P182" s="2" t="n">
        <v>1</v>
      </c>
      <c r="Q182" s="2" t="n">
        <v>10</v>
      </c>
      <c r="R182" s="2" t="n">
        <v>2</v>
      </c>
      <c r="S182" s="2" t="n">
        <v>8</v>
      </c>
      <c r="T182" s="2" t="n">
        <v>0</v>
      </c>
      <c r="U182" s="2" t="n">
        <v>0</v>
      </c>
      <c r="V182" s="2" t="n">
        <v>4</v>
      </c>
      <c r="W182" s="2" t="n">
        <v>3</v>
      </c>
      <c r="X182" s="2" t="n">
        <v>3</v>
      </c>
      <c r="Y182" s="2" t="n">
        <v>1</v>
      </c>
      <c r="Z182" s="2" t="n">
        <v>4</v>
      </c>
    </row>
    <row r="183" customFormat="false" ht="15" hidden="false" customHeight="true" outlineLevel="0" collapsed="false">
      <c r="A183" s="2" t="n">
        <v>31</v>
      </c>
      <c r="B183" s="2" t="s">
        <v>33</v>
      </c>
      <c r="C183" s="2" t="s">
        <v>34</v>
      </c>
      <c r="D183" s="2" t="s">
        <v>35</v>
      </c>
      <c r="E183" s="2" t="n">
        <v>22</v>
      </c>
      <c r="F183" s="2" t="n">
        <v>2</v>
      </c>
      <c r="G183" s="2" t="s">
        <v>43</v>
      </c>
      <c r="H183" s="2" t="n">
        <v>182</v>
      </c>
      <c r="I183" s="2" t="s">
        <v>30</v>
      </c>
      <c r="J183" s="2" t="n">
        <v>2</v>
      </c>
      <c r="K183" s="2" t="s">
        <v>40</v>
      </c>
      <c r="L183" s="2" t="s">
        <v>32</v>
      </c>
      <c r="M183" s="2" t="n">
        <v>56890</v>
      </c>
      <c r="N183" s="2" t="n">
        <v>3</v>
      </c>
      <c r="O183" s="2" t="n">
        <v>15</v>
      </c>
      <c r="P183" s="2" t="n">
        <v>2</v>
      </c>
      <c r="Q183" s="2" t="n">
        <v>12</v>
      </c>
      <c r="R183" s="2" t="n">
        <v>2</v>
      </c>
      <c r="S183" s="2" t="n">
        <v>1</v>
      </c>
      <c r="T183" s="2" t="n">
        <v>0</v>
      </c>
      <c r="U183" s="2" t="n">
        <v>0</v>
      </c>
      <c r="V183" s="2" t="n">
        <v>1</v>
      </c>
      <c r="W183" s="2" t="n">
        <v>3</v>
      </c>
      <c r="X183" s="2" t="n">
        <v>3</v>
      </c>
      <c r="Y183" s="2" t="n">
        <v>2</v>
      </c>
      <c r="Z183" s="2" t="n">
        <v>3</v>
      </c>
    </row>
    <row r="184" customFormat="false" ht="15" hidden="false" customHeight="true" outlineLevel="0" collapsed="false">
      <c r="A184" s="2" t="n">
        <v>34</v>
      </c>
      <c r="B184" s="2" t="s">
        <v>33</v>
      </c>
      <c r="C184" s="2" t="s">
        <v>34</v>
      </c>
      <c r="D184" s="2" t="s">
        <v>28</v>
      </c>
      <c r="E184" s="2" t="n">
        <v>17</v>
      </c>
      <c r="F184" s="2" t="n">
        <v>1</v>
      </c>
      <c r="G184" s="2" t="s">
        <v>50</v>
      </c>
      <c r="H184" s="2" t="n">
        <v>183</v>
      </c>
      <c r="I184" s="2" t="s">
        <v>39</v>
      </c>
      <c r="J184" s="2" t="n">
        <v>1</v>
      </c>
      <c r="K184" s="2" t="s">
        <v>44</v>
      </c>
      <c r="L184" s="2" t="s">
        <v>46</v>
      </c>
      <c r="M184" s="2" t="n">
        <v>20010</v>
      </c>
      <c r="N184" s="2" t="n">
        <v>9</v>
      </c>
      <c r="O184" s="2" t="n">
        <v>22</v>
      </c>
      <c r="P184" s="2" t="n">
        <v>1</v>
      </c>
      <c r="Q184" s="2" t="n">
        <v>11</v>
      </c>
      <c r="R184" s="2" t="n">
        <v>5</v>
      </c>
      <c r="S184" s="2" t="n">
        <v>3</v>
      </c>
      <c r="T184" s="2" t="n">
        <v>0</v>
      </c>
      <c r="U184" s="2" t="n">
        <v>2</v>
      </c>
      <c r="V184" s="2" t="n">
        <v>2</v>
      </c>
      <c r="W184" s="2" t="n">
        <v>1</v>
      </c>
      <c r="X184" s="2" t="n">
        <v>3</v>
      </c>
      <c r="Y184" s="2" t="n">
        <v>4</v>
      </c>
      <c r="Z184" s="2" t="n">
        <v>4</v>
      </c>
    </row>
    <row r="185" customFormat="false" ht="15" hidden="false" customHeight="true" outlineLevel="0" collapsed="false">
      <c r="A185" s="2" t="n">
        <v>42</v>
      </c>
      <c r="B185" s="2" t="s">
        <v>26</v>
      </c>
      <c r="C185" s="2" t="s">
        <v>34</v>
      </c>
      <c r="D185" s="2" t="s">
        <v>35</v>
      </c>
      <c r="E185" s="2" t="n">
        <v>2</v>
      </c>
      <c r="F185" s="2" t="n">
        <v>4</v>
      </c>
      <c r="G185" s="2" t="s">
        <v>43</v>
      </c>
      <c r="H185" s="2" t="n">
        <v>184</v>
      </c>
      <c r="I185" s="2" t="s">
        <v>30</v>
      </c>
      <c r="J185" s="2" t="n">
        <v>1</v>
      </c>
      <c r="K185" s="2" t="s">
        <v>36</v>
      </c>
      <c r="L185" s="2" t="s">
        <v>32</v>
      </c>
      <c r="M185" s="2" t="n">
        <v>29770</v>
      </c>
      <c r="N185" s="2" t="n">
        <v>4</v>
      </c>
      <c r="O185" s="2" t="n">
        <v>15</v>
      </c>
      <c r="P185" s="2" t="n">
        <v>3</v>
      </c>
      <c r="Q185" s="2" t="n">
        <v>8</v>
      </c>
      <c r="R185" s="2" t="n">
        <v>3</v>
      </c>
      <c r="S185" s="2" t="n">
        <v>2</v>
      </c>
      <c r="T185" s="2" t="n">
        <v>2</v>
      </c>
      <c r="U185" s="2" t="n">
        <v>0</v>
      </c>
      <c r="V185" s="2" t="n">
        <v>2</v>
      </c>
      <c r="W185" s="2" t="n">
        <v>3</v>
      </c>
      <c r="X185" s="2" t="n">
        <v>3</v>
      </c>
      <c r="Y185" s="2" t="n">
        <v>2</v>
      </c>
      <c r="Z185" s="2" t="n">
        <v>3</v>
      </c>
    </row>
    <row r="186" customFormat="false" ht="15" hidden="false" customHeight="true" outlineLevel="0" collapsed="false">
      <c r="A186" s="2" t="n">
        <v>36</v>
      </c>
      <c r="B186" s="2" t="s">
        <v>26</v>
      </c>
      <c r="C186" s="2" t="s">
        <v>41</v>
      </c>
      <c r="D186" s="2" t="s">
        <v>35</v>
      </c>
      <c r="E186" s="2" t="n">
        <v>3</v>
      </c>
      <c r="F186" s="2" t="n">
        <v>4</v>
      </c>
      <c r="G186" s="2" t="s">
        <v>43</v>
      </c>
      <c r="H186" s="2" t="n">
        <v>185</v>
      </c>
      <c r="I186" s="2" t="s">
        <v>39</v>
      </c>
      <c r="J186" s="2" t="n">
        <v>1</v>
      </c>
      <c r="K186" s="2" t="s">
        <v>36</v>
      </c>
      <c r="L186" s="2" t="s">
        <v>37</v>
      </c>
      <c r="M186" s="2" t="n">
        <v>40250</v>
      </c>
      <c r="N186" s="2" t="n">
        <v>1</v>
      </c>
      <c r="O186" s="2" t="n">
        <v>11</v>
      </c>
      <c r="P186" s="2" t="n">
        <v>0</v>
      </c>
      <c r="Q186" s="2" t="n">
        <v>10</v>
      </c>
      <c r="R186" s="2" t="n">
        <v>3</v>
      </c>
      <c r="S186" s="2" t="n">
        <v>10</v>
      </c>
      <c r="T186" s="2" t="n">
        <v>9</v>
      </c>
      <c r="U186" s="2" t="n">
        <v>7</v>
      </c>
      <c r="V186" s="2" t="n">
        <v>2</v>
      </c>
      <c r="W186" s="2" t="n">
        <v>4</v>
      </c>
      <c r="X186" s="2" t="n">
        <v>2</v>
      </c>
      <c r="Y186" s="2" t="n">
        <v>3</v>
      </c>
      <c r="Z186" s="2" t="n">
        <v>3</v>
      </c>
    </row>
    <row r="187" customFormat="false" ht="15" hidden="false" customHeight="true" outlineLevel="0" collapsed="false">
      <c r="A187" s="2" t="n">
        <v>22</v>
      </c>
      <c r="B187" s="2" t="s">
        <v>33</v>
      </c>
      <c r="C187" s="2" t="s">
        <v>34</v>
      </c>
      <c r="D187" s="2" t="s">
        <v>35</v>
      </c>
      <c r="E187" s="2" t="n">
        <v>7</v>
      </c>
      <c r="F187" s="2" t="n">
        <v>3</v>
      </c>
      <c r="G187" s="2" t="s">
        <v>43</v>
      </c>
      <c r="H187" s="2" t="n">
        <v>186</v>
      </c>
      <c r="I187" s="2" t="s">
        <v>30</v>
      </c>
      <c r="J187" s="2" t="n">
        <v>2</v>
      </c>
      <c r="K187" s="2" t="s">
        <v>45</v>
      </c>
      <c r="L187" s="2" t="s">
        <v>37</v>
      </c>
      <c r="M187" s="2" t="n">
        <v>37850</v>
      </c>
      <c r="N187" s="2" t="n">
        <v>5</v>
      </c>
      <c r="O187" s="2" t="n">
        <v>13</v>
      </c>
      <c r="P187" s="2" t="n">
        <v>2</v>
      </c>
      <c r="Q187" s="2" t="n">
        <v>4</v>
      </c>
      <c r="R187" s="2" t="n">
        <v>2</v>
      </c>
      <c r="S187" s="2" t="n">
        <v>2</v>
      </c>
      <c r="T187" s="2" t="n">
        <v>1</v>
      </c>
      <c r="U187" s="2" t="n">
        <v>2</v>
      </c>
      <c r="V187" s="2" t="n">
        <v>3</v>
      </c>
      <c r="W187" s="2" t="n">
        <v>3</v>
      </c>
      <c r="X187" s="2" t="n">
        <v>3</v>
      </c>
      <c r="Y187" s="2" t="n">
        <v>3</v>
      </c>
      <c r="Z187" s="2" t="n">
        <v>3</v>
      </c>
    </row>
    <row r="188" customFormat="false" ht="15" hidden="false" customHeight="true" outlineLevel="0" collapsed="false">
      <c r="A188" s="2" t="n">
        <v>48</v>
      </c>
      <c r="B188" s="2" t="s">
        <v>26</v>
      </c>
      <c r="C188" s="2" t="s">
        <v>27</v>
      </c>
      <c r="D188" s="2" t="s">
        <v>35</v>
      </c>
      <c r="E188" s="2" t="n">
        <v>6</v>
      </c>
      <c r="F188" s="2" t="n">
        <v>3</v>
      </c>
      <c r="G188" s="2" t="s">
        <v>43</v>
      </c>
      <c r="H188" s="2" t="n">
        <v>187</v>
      </c>
      <c r="I188" s="2" t="s">
        <v>39</v>
      </c>
      <c r="J188" s="2" t="n">
        <v>1</v>
      </c>
      <c r="K188" s="2" t="s">
        <v>45</v>
      </c>
      <c r="L188" s="2" t="s">
        <v>32</v>
      </c>
      <c r="M188" s="2" t="n">
        <v>108540</v>
      </c>
      <c r="N188" s="2" t="n">
        <v>2</v>
      </c>
      <c r="O188" s="2" t="n">
        <v>14</v>
      </c>
      <c r="P188" s="2" t="n">
        <v>1</v>
      </c>
      <c r="Q188" s="2" t="n">
        <v>14</v>
      </c>
      <c r="R188" s="2" t="n">
        <v>6</v>
      </c>
      <c r="S188" s="2" t="n">
        <v>9</v>
      </c>
      <c r="T188" s="2" t="n">
        <v>6</v>
      </c>
      <c r="U188" s="2" t="n">
        <v>7</v>
      </c>
      <c r="V188" s="2" t="n">
        <v>2</v>
      </c>
      <c r="W188" s="2" t="n">
        <v>4</v>
      </c>
      <c r="X188" s="2" t="n">
        <v>3</v>
      </c>
      <c r="Y188" s="2" t="n">
        <v>3</v>
      </c>
      <c r="Z188" s="2" t="n">
        <v>3</v>
      </c>
    </row>
    <row r="189" customFormat="false" ht="15" hidden="false" customHeight="true" outlineLevel="0" collapsed="false">
      <c r="A189" s="2" t="n">
        <v>55</v>
      </c>
      <c r="B189" s="2" t="s">
        <v>26</v>
      </c>
      <c r="C189" s="2" t="s">
        <v>27</v>
      </c>
      <c r="D189" s="2" t="s">
        <v>35</v>
      </c>
      <c r="E189" s="2" t="n">
        <v>1</v>
      </c>
      <c r="F189" s="2" t="n">
        <v>3</v>
      </c>
      <c r="G189" s="2" t="s">
        <v>43</v>
      </c>
      <c r="H189" s="2" t="n">
        <v>188</v>
      </c>
      <c r="I189" s="2" t="s">
        <v>30</v>
      </c>
      <c r="J189" s="2" t="n">
        <v>1</v>
      </c>
      <c r="K189" s="2" t="s">
        <v>40</v>
      </c>
      <c r="L189" s="2" t="s">
        <v>37</v>
      </c>
      <c r="M189" s="2" t="n">
        <v>120310</v>
      </c>
      <c r="N189" s="2" t="n">
        <v>3</v>
      </c>
      <c r="O189" s="2" t="n">
        <v>11</v>
      </c>
      <c r="P189" s="2" t="n">
        <v>0</v>
      </c>
      <c r="Q189" s="2" t="n">
        <v>37</v>
      </c>
      <c r="R189" s="2" t="n">
        <v>5</v>
      </c>
      <c r="S189" s="2" t="n">
        <v>10</v>
      </c>
      <c r="T189" s="2" t="n">
        <v>7</v>
      </c>
      <c r="U189" s="2" t="n">
        <v>7</v>
      </c>
      <c r="V189" s="2" t="n">
        <v>1</v>
      </c>
      <c r="W189" s="2" t="n">
        <v>2</v>
      </c>
      <c r="X189" s="2" t="n">
        <v>3</v>
      </c>
      <c r="Y189" s="2" t="n">
        <v>3</v>
      </c>
      <c r="Z189" s="2" t="n">
        <v>3</v>
      </c>
    </row>
    <row r="190" customFormat="false" ht="15" hidden="false" customHeight="true" outlineLevel="0" collapsed="false">
      <c r="A190" s="2" t="n">
        <v>41</v>
      </c>
      <c r="B190" s="2" t="s">
        <v>26</v>
      </c>
      <c r="C190" s="2" t="s">
        <v>41</v>
      </c>
      <c r="D190" s="2" t="s">
        <v>35</v>
      </c>
      <c r="E190" s="2" t="n">
        <v>3</v>
      </c>
      <c r="F190" s="2" t="n">
        <v>2</v>
      </c>
      <c r="G190" s="2" t="s">
        <v>29</v>
      </c>
      <c r="H190" s="2" t="n">
        <v>189</v>
      </c>
      <c r="I190" s="2" t="s">
        <v>30</v>
      </c>
      <c r="J190" s="2" t="n">
        <v>2</v>
      </c>
      <c r="K190" s="2" t="s">
        <v>36</v>
      </c>
      <c r="L190" s="2" t="s">
        <v>37</v>
      </c>
      <c r="M190" s="2" t="n">
        <v>99360</v>
      </c>
      <c r="N190" s="2" t="n">
        <v>7</v>
      </c>
      <c r="O190" s="2" t="n">
        <v>17</v>
      </c>
      <c r="P190" s="2" t="n">
        <v>1</v>
      </c>
      <c r="Q190" s="2" t="n">
        <v>16</v>
      </c>
      <c r="R190" s="2" t="n">
        <v>2</v>
      </c>
      <c r="S190" s="2" t="n">
        <v>14</v>
      </c>
      <c r="T190" s="2" t="n">
        <v>1</v>
      </c>
      <c r="U190" s="2" t="n">
        <v>10</v>
      </c>
      <c r="V190" s="2" t="n">
        <v>4</v>
      </c>
      <c r="W190" s="2" t="n">
        <v>4</v>
      </c>
      <c r="X190" s="2" t="n">
        <v>3</v>
      </c>
      <c r="Y190" s="2" t="n">
        <v>2</v>
      </c>
      <c r="Z190" s="2" t="n">
        <v>3</v>
      </c>
    </row>
    <row r="191" customFormat="false" ht="15" hidden="false" customHeight="true" outlineLevel="0" collapsed="false">
      <c r="A191" s="2" t="n">
        <v>35</v>
      </c>
      <c r="B191" s="2" t="s">
        <v>26</v>
      </c>
      <c r="C191" s="2" t="s">
        <v>27</v>
      </c>
      <c r="D191" s="2" t="s">
        <v>35</v>
      </c>
      <c r="E191" s="2" t="n">
        <v>22</v>
      </c>
      <c r="F191" s="2" t="n">
        <v>3</v>
      </c>
      <c r="G191" s="2" t="s">
        <v>43</v>
      </c>
      <c r="H191" s="2" t="n">
        <v>190</v>
      </c>
      <c r="I191" s="2" t="s">
        <v>30</v>
      </c>
      <c r="J191" s="2" t="n">
        <v>1</v>
      </c>
      <c r="K191" s="2" t="s">
        <v>48</v>
      </c>
      <c r="L191" s="2" t="s">
        <v>32</v>
      </c>
      <c r="M191" s="2" t="n">
        <v>29660</v>
      </c>
      <c r="N191" s="2" t="n">
        <v>9</v>
      </c>
      <c r="O191" s="2" t="n">
        <v>18</v>
      </c>
      <c r="P191" s="2" t="n">
        <v>0</v>
      </c>
      <c r="Q191" s="2" t="n">
        <v>15</v>
      </c>
      <c r="R191" s="2" t="n">
        <v>2</v>
      </c>
      <c r="S191" s="2" t="n">
        <v>11</v>
      </c>
      <c r="T191" s="2" t="n">
        <v>6</v>
      </c>
      <c r="U191" s="2" t="n">
        <v>9</v>
      </c>
      <c r="V191" s="2" t="n">
        <v>2</v>
      </c>
      <c r="W191" s="2" t="n">
        <v>3</v>
      </c>
      <c r="X191" s="2" t="n">
        <v>3</v>
      </c>
      <c r="Y191" s="2" t="n">
        <v>2</v>
      </c>
      <c r="Z191" s="2" t="n">
        <v>3</v>
      </c>
    </row>
    <row r="192" customFormat="false" ht="15" hidden="false" customHeight="true" outlineLevel="0" collapsed="false">
      <c r="A192" s="2" t="n">
        <v>40</v>
      </c>
      <c r="B192" s="2" t="s">
        <v>26</v>
      </c>
      <c r="C192" s="2" t="s">
        <v>27</v>
      </c>
      <c r="D192" s="2" t="s">
        <v>35</v>
      </c>
      <c r="E192" s="2" t="n">
        <v>15</v>
      </c>
      <c r="F192" s="2" t="n">
        <v>3</v>
      </c>
      <c r="G192" s="2" t="s">
        <v>29</v>
      </c>
      <c r="H192" s="2" t="n">
        <v>191</v>
      </c>
      <c r="I192" s="2" t="s">
        <v>30</v>
      </c>
      <c r="J192" s="2" t="n">
        <v>2</v>
      </c>
      <c r="K192" s="2" t="s">
        <v>45</v>
      </c>
      <c r="L192" s="2" t="s">
        <v>37</v>
      </c>
      <c r="M192" s="2" t="n">
        <v>25710</v>
      </c>
      <c r="N192" s="2" t="n">
        <v>7</v>
      </c>
      <c r="O192" s="2" t="n">
        <v>14</v>
      </c>
      <c r="P192" s="2" t="n">
        <v>0</v>
      </c>
      <c r="Q192" s="2" t="n">
        <v>22</v>
      </c>
      <c r="R192" s="2" t="n">
        <v>1</v>
      </c>
      <c r="S192" s="2" t="n">
        <v>20</v>
      </c>
      <c r="T192" s="2" t="n">
        <v>5</v>
      </c>
      <c r="U192" s="2" t="n">
        <v>13</v>
      </c>
      <c r="V192" s="2" t="n">
        <v>2</v>
      </c>
      <c r="W192" s="2" t="n">
        <v>3</v>
      </c>
      <c r="X192" s="2" t="n">
        <v>3</v>
      </c>
      <c r="Y192" s="2" t="n">
        <v>3</v>
      </c>
      <c r="Z192" s="2" t="n">
        <v>3</v>
      </c>
    </row>
    <row r="193" customFormat="false" ht="15" hidden="false" customHeight="true" outlineLevel="0" collapsed="false">
      <c r="A193" s="2" t="n">
        <v>39</v>
      </c>
      <c r="B193" s="2" t="s">
        <v>26</v>
      </c>
      <c r="C193" s="2" t="s">
        <v>34</v>
      </c>
      <c r="D193" s="2" t="s">
        <v>35</v>
      </c>
      <c r="E193" s="2" t="n">
        <v>12</v>
      </c>
      <c r="F193" s="2" t="n">
        <v>1</v>
      </c>
      <c r="G193" s="2" t="s">
        <v>43</v>
      </c>
      <c r="H193" s="2" t="n">
        <v>192</v>
      </c>
      <c r="I193" s="2" t="s">
        <v>39</v>
      </c>
      <c r="J193" s="2" t="n">
        <v>1</v>
      </c>
      <c r="K193" s="2" t="s">
        <v>36</v>
      </c>
      <c r="L193" s="2" t="s">
        <v>32</v>
      </c>
      <c r="M193" s="2" t="n">
        <v>99910</v>
      </c>
      <c r="N193" s="2" t="n">
        <v>1</v>
      </c>
      <c r="O193" s="2" t="n">
        <v>16</v>
      </c>
      <c r="P193" s="2" t="n">
        <v>1</v>
      </c>
      <c r="Q193" s="2" t="n">
        <v>8</v>
      </c>
      <c r="R193" s="2" t="n">
        <v>3</v>
      </c>
      <c r="S193" s="2" t="n">
        <v>8</v>
      </c>
      <c r="T193" s="2" t="n">
        <v>0</v>
      </c>
      <c r="U193" s="2" t="n">
        <v>7</v>
      </c>
      <c r="V193" s="2" t="n">
        <v>3</v>
      </c>
      <c r="W193" s="2" t="n">
        <v>3</v>
      </c>
      <c r="X193" s="2" t="n">
        <v>3</v>
      </c>
      <c r="Y193" s="2" t="n">
        <v>3</v>
      </c>
      <c r="Z193" s="2" t="n">
        <v>3</v>
      </c>
    </row>
    <row r="194" customFormat="false" ht="15" hidden="false" customHeight="true" outlineLevel="0" collapsed="false">
      <c r="A194" s="2" t="n">
        <v>31</v>
      </c>
      <c r="B194" s="2" t="s">
        <v>26</v>
      </c>
      <c r="C194" s="2" t="s">
        <v>27</v>
      </c>
      <c r="D194" s="2" t="s">
        <v>35</v>
      </c>
      <c r="E194" s="2" t="n">
        <v>1</v>
      </c>
      <c r="F194" s="2" t="n">
        <v>4</v>
      </c>
      <c r="G194" s="2" t="s">
        <v>29</v>
      </c>
      <c r="H194" s="2" t="n">
        <v>193</v>
      </c>
      <c r="I194" s="2" t="s">
        <v>39</v>
      </c>
      <c r="J194" s="2" t="n">
        <v>3</v>
      </c>
      <c r="K194" s="2" t="s">
        <v>44</v>
      </c>
      <c r="L194" s="2" t="s">
        <v>37</v>
      </c>
      <c r="M194" s="2" t="n">
        <v>61420</v>
      </c>
      <c r="N194" s="2" t="n">
        <v>4</v>
      </c>
      <c r="O194" s="2" t="n">
        <v>13</v>
      </c>
      <c r="P194" s="2" t="n">
        <v>2</v>
      </c>
      <c r="Q194" s="2" t="n">
        <v>10</v>
      </c>
      <c r="R194" s="2" t="n">
        <v>2</v>
      </c>
      <c r="S194" s="2" t="n">
        <v>6</v>
      </c>
      <c r="T194" s="2" t="n">
        <v>0</v>
      </c>
      <c r="U194" s="2" t="n">
        <v>5</v>
      </c>
      <c r="V194" s="2" t="n">
        <v>2</v>
      </c>
      <c r="W194" s="2" t="n">
        <v>4</v>
      </c>
      <c r="X194" s="2" t="n">
        <v>4</v>
      </c>
      <c r="Y194" s="2" t="n">
        <v>2</v>
      </c>
      <c r="Z194" s="2" t="n">
        <v>3</v>
      </c>
    </row>
    <row r="195" customFormat="false" ht="15" hidden="false" customHeight="true" outlineLevel="0" collapsed="false">
      <c r="A195" s="2" t="n">
        <v>42</v>
      </c>
      <c r="B195" s="2" t="s">
        <v>26</v>
      </c>
      <c r="C195" s="2" t="s">
        <v>27</v>
      </c>
      <c r="D195" s="2" t="s">
        <v>35</v>
      </c>
      <c r="E195" s="2" t="n">
        <v>5</v>
      </c>
      <c r="F195" s="2" t="n">
        <v>3</v>
      </c>
      <c r="G195" s="2" t="s">
        <v>43</v>
      </c>
      <c r="H195" s="2" t="n">
        <v>194</v>
      </c>
      <c r="I195" s="2" t="s">
        <v>39</v>
      </c>
      <c r="J195" s="2" t="n">
        <v>3</v>
      </c>
      <c r="K195" s="2" t="s">
        <v>40</v>
      </c>
      <c r="L195" s="2" t="s">
        <v>32</v>
      </c>
      <c r="M195" s="2" t="n">
        <v>53900</v>
      </c>
      <c r="N195" s="2" t="n">
        <v>1</v>
      </c>
      <c r="O195" s="2" t="n">
        <v>14</v>
      </c>
      <c r="P195" s="2" t="n">
        <v>0</v>
      </c>
      <c r="Q195" s="2" t="n">
        <v>10</v>
      </c>
      <c r="R195" s="2" t="n">
        <v>3</v>
      </c>
      <c r="S195" s="2" t="n">
        <v>10</v>
      </c>
      <c r="T195" s="2" t="n">
        <v>5</v>
      </c>
      <c r="U195" s="2" t="n">
        <v>8</v>
      </c>
      <c r="V195" s="2" t="n">
        <v>4</v>
      </c>
      <c r="W195" s="2" t="n">
        <v>1</v>
      </c>
      <c r="X195" s="2" t="n">
        <v>2</v>
      </c>
      <c r="Y195" s="2" t="n">
        <v>3</v>
      </c>
      <c r="Z195" s="2" t="n">
        <v>3</v>
      </c>
    </row>
    <row r="196" customFormat="false" ht="15" hidden="false" customHeight="true" outlineLevel="0" collapsed="false">
      <c r="A196" s="2" t="n">
        <v>45</v>
      </c>
      <c r="B196" s="2" t="s">
        <v>26</v>
      </c>
      <c r="C196" s="2" t="s">
        <v>27</v>
      </c>
      <c r="D196" s="2" t="s">
        <v>35</v>
      </c>
      <c r="E196" s="2" t="n">
        <v>2</v>
      </c>
      <c r="F196" s="2" t="n">
        <v>1</v>
      </c>
      <c r="G196" s="2" t="s">
        <v>43</v>
      </c>
      <c r="H196" s="2" t="n">
        <v>195</v>
      </c>
      <c r="I196" s="2" t="s">
        <v>30</v>
      </c>
      <c r="J196" s="2" t="n">
        <v>4</v>
      </c>
      <c r="K196" s="2" t="s">
        <v>40</v>
      </c>
      <c r="L196" s="2" t="s">
        <v>32</v>
      </c>
      <c r="M196" s="2" t="n">
        <v>44040</v>
      </c>
      <c r="N196" s="2" t="n">
        <v>0</v>
      </c>
      <c r="O196" s="2" t="n">
        <v>23</v>
      </c>
      <c r="P196" s="2" t="n">
        <v>0</v>
      </c>
      <c r="Q196" s="2" t="n">
        <v>9</v>
      </c>
      <c r="R196" s="2" t="n">
        <v>2</v>
      </c>
      <c r="S196" s="2" t="n">
        <v>8</v>
      </c>
      <c r="T196" s="2" t="n">
        <v>3</v>
      </c>
      <c r="U196" s="2" t="n">
        <v>7</v>
      </c>
      <c r="V196" s="2" t="n">
        <v>4</v>
      </c>
      <c r="W196" s="2" t="n">
        <v>2</v>
      </c>
      <c r="X196" s="2" t="n">
        <v>4</v>
      </c>
      <c r="Y196" s="2" t="n">
        <v>3</v>
      </c>
      <c r="Z196" s="2" t="n">
        <v>4</v>
      </c>
    </row>
    <row r="197" customFormat="false" ht="15" hidden="false" customHeight="true" outlineLevel="0" collapsed="false">
      <c r="A197" s="2" t="n">
        <v>26</v>
      </c>
      <c r="B197" s="2" t="s">
        <v>33</v>
      </c>
      <c r="C197" s="2" t="s">
        <v>34</v>
      </c>
      <c r="D197" s="2" t="s">
        <v>35</v>
      </c>
      <c r="E197" s="2" t="n">
        <v>2</v>
      </c>
      <c r="F197" s="2" t="n">
        <v>1</v>
      </c>
      <c r="G197" s="2" t="s">
        <v>29</v>
      </c>
      <c r="H197" s="2" t="n">
        <v>196</v>
      </c>
      <c r="I197" s="2" t="s">
        <v>30</v>
      </c>
      <c r="J197" s="2" t="n">
        <v>2</v>
      </c>
      <c r="K197" s="2" t="s">
        <v>45</v>
      </c>
      <c r="L197" s="2" t="s">
        <v>46</v>
      </c>
      <c r="M197" s="2" t="n">
        <v>59930</v>
      </c>
      <c r="N197" s="2" t="n">
        <v>0</v>
      </c>
      <c r="O197" s="2" t="n">
        <v>12</v>
      </c>
      <c r="P197" s="2" t="n">
        <v>0</v>
      </c>
      <c r="Q197" s="2" t="n">
        <v>8</v>
      </c>
      <c r="R197" s="2" t="n">
        <v>3</v>
      </c>
      <c r="S197" s="2" t="n">
        <v>7</v>
      </c>
      <c r="T197" s="2" t="n">
        <v>1</v>
      </c>
      <c r="U197" s="2" t="n">
        <v>0</v>
      </c>
      <c r="V197" s="2"/>
      <c r="W197" s="2" t="n">
        <v>3</v>
      </c>
      <c r="X197" s="2" t="n">
        <v>2</v>
      </c>
      <c r="Y197" s="2" t="n">
        <v>3</v>
      </c>
      <c r="Z197" s="2" t="n">
        <v>3</v>
      </c>
    </row>
    <row r="198" customFormat="false" ht="15" hidden="false" customHeight="true" outlineLevel="0" collapsed="false">
      <c r="A198" s="2" t="n">
        <v>29</v>
      </c>
      <c r="B198" s="2" t="s">
        <v>26</v>
      </c>
      <c r="C198" s="2" t="s">
        <v>27</v>
      </c>
      <c r="D198" s="2" t="s">
        <v>35</v>
      </c>
      <c r="E198" s="2" t="n">
        <v>5</v>
      </c>
      <c r="F198" s="2" t="n">
        <v>3</v>
      </c>
      <c r="G198" s="2" t="s">
        <v>43</v>
      </c>
      <c r="H198" s="2" t="n">
        <v>197</v>
      </c>
      <c r="I198" s="2" t="s">
        <v>39</v>
      </c>
      <c r="J198" s="2" t="n">
        <v>1</v>
      </c>
      <c r="K198" s="2" t="s">
        <v>36</v>
      </c>
      <c r="L198" s="2" t="s">
        <v>46</v>
      </c>
      <c r="M198" s="2" t="n">
        <v>51300</v>
      </c>
      <c r="N198" s="2" t="n">
        <v>4</v>
      </c>
      <c r="O198" s="2" t="n">
        <v>11</v>
      </c>
      <c r="P198" s="2" t="n">
        <v>0</v>
      </c>
      <c r="Q198" s="2" t="n">
        <v>8</v>
      </c>
      <c r="R198" s="2" t="n">
        <v>3</v>
      </c>
      <c r="S198" s="2" t="n">
        <v>3</v>
      </c>
      <c r="T198" s="2" t="n">
        <v>1</v>
      </c>
      <c r="U198" s="2" t="n">
        <v>2</v>
      </c>
      <c r="V198" s="2" t="n">
        <v>4</v>
      </c>
      <c r="W198" s="2" t="n">
        <v>4</v>
      </c>
      <c r="X198" s="2" t="n">
        <v>4</v>
      </c>
      <c r="Y198" s="2" t="n">
        <v>2</v>
      </c>
      <c r="Z198" s="2" t="n">
        <v>3</v>
      </c>
    </row>
    <row r="199" customFormat="false" ht="15" hidden="false" customHeight="true" outlineLevel="0" collapsed="false">
      <c r="A199" s="2" t="n">
        <v>33</v>
      </c>
      <c r="B199" s="2" t="s">
        <v>26</v>
      </c>
      <c r="C199" s="2" t="s">
        <v>27</v>
      </c>
      <c r="D199" s="2" t="s">
        <v>35</v>
      </c>
      <c r="E199" s="2" t="n">
        <v>16</v>
      </c>
      <c r="F199" s="2" t="n">
        <v>3</v>
      </c>
      <c r="G199" s="2" t="s">
        <v>43</v>
      </c>
      <c r="H199" s="2" t="n">
        <v>198</v>
      </c>
      <c r="I199" s="2" t="s">
        <v>30</v>
      </c>
      <c r="J199" s="2" t="n">
        <v>1</v>
      </c>
      <c r="K199" s="2" t="s">
        <v>45</v>
      </c>
      <c r="L199" s="2" t="s">
        <v>46</v>
      </c>
      <c r="M199" s="2" t="n">
        <v>20900</v>
      </c>
      <c r="N199" s="2" t="n">
        <v>4</v>
      </c>
      <c r="O199" s="2" t="n">
        <v>16</v>
      </c>
      <c r="P199" s="2" t="n">
        <v>0</v>
      </c>
      <c r="Q199" s="2" t="n">
        <v>10</v>
      </c>
      <c r="R199" s="2" t="n">
        <v>2</v>
      </c>
      <c r="S199" s="2" t="n">
        <v>6</v>
      </c>
      <c r="T199" s="2" t="n">
        <v>0</v>
      </c>
      <c r="U199" s="2" t="n">
        <v>5</v>
      </c>
      <c r="V199" s="2" t="n">
        <v>1</v>
      </c>
      <c r="W199" s="2" t="n">
        <v>3</v>
      </c>
      <c r="X199" s="2" t="n">
        <v>3</v>
      </c>
      <c r="Y199" s="2" t="n">
        <v>3</v>
      </c>
      <c r="Z199" s="2" t="n">
        <v>3</v>
      </c>
    </row>
    <row r="200" customFormat="false" ht="15" hidden="false" customHeight="true" outlineLevel="0" collapsed="false">
      <c r="A200" s="2" t="n">
        <v>31</v>
      </c>
      <c r="B200" s="2" t="s">
        <v>26</v>
      </c>
      <c r="C200" s="2" t="s">
        <v>27</v>
      </c>
      <c r="D200" s="2" t="s">
        <v>35</v>
      </c>
      <c r="E200" s="2" t="n">
        <v>2</v>
      </c>
      <c r="F200" s="2" t="n">
        <v>4</v>
      </c>
      <c r="G200" s="2" t="s">
        <v>29</v>
      </c>
      <c r="H200" s="2" t="n">
        <v>199</v>
      </c>
      <c r="I200" s="2" t="s">
        <v>30</v>
      </c>
      <c r="J200" s="2" t="n">
        <v>1</v>
      </c>
      <c r="K200" s="2" t="s">
        <v>40</v>
      </c>
      <c r="L200" s="2" t="s">
        <v>46</v>
      </c>
      <c r="M200" s="2" t="n">
        <v>29090</v>
      </c>
      <c r="N200" s="2" t="n">
        <v>9</v>
      </c>
      <c r="O200" s="2" t="n">
        <v>14</v>
      </c>
      <c r="P200" s="2" t="n">
        <v>2</v>
      </c>
      <c r="Q200" s="2" t="n">
        <v>10</v>
      </c>
      <c r="R200" s="2" t="n">
        <v>2</v>
      </c>
      <c r="S200" s="2" t="n">
        <v>5</v>
      </c>
      <c r="T200" s="2" t="n">
        <v>0</v>
      </c>
      <c r="U200" s="2" t="n">
        <v>1</v>
      </c>
      <c r="V200" s="2" t="n">
        <v>3</v>
      </c>
      <c r="W200" s="2" t="n">
        <v>4</v>
      </c>
      <c r="X200" s="2" t="n">
        <v>2</v>
      </c>
      <c r="Y200" s="2" t="n">
        <v>3</v>
      </c>
      <c r="Z200" s="2" t="n">
        <v>3</v>
      </c>
    </row>
    <row r="201" customFormat="false" ht="15" hidden="false" customHeight="true" outlineLevel="0" collapsed="false">
      <c r="A201" s="2" t="n">
        <v>18</v>
      </c>
      <c r="B201" s="2" t="s">
        <v>33</v>
      </c>
      <c r="C201" s="2" t="s">
        <v>34</v>
      </c>
      <c r="D201" s="2" t="s">
        <v>35</v>
      </c>
      <c r="E201" s="2" t="n">
        <v>2</v>
      </c>
      <c r="F201" s="2" t="n">
        <v>3</v>
      </c>
      <c r="G201" s="2" t="s">
        <v>51</v>
      </c>
      <c r="H201" s="2" t="n">
        <v>200</v>
      </c>
      <c r="I201" s="2" t="s">
        <v>39</v>
      </c>
      <c r="J201" s="2" t="n">
        <v>1</v>
      </c>
      <c r="K201" s="2" t="s">
        <v>40</v>
      </c>
      <c r="L201" s="2" t="s">
        <v>37</v>
      </c>
      <c r="M201" s="2" t="n">
        <v>34680</v>
      </c>
      <c r="N201" s="2" t="n">
        <v>1</v>
      </c>
      <c r="O201" s="2" t="n">
        <v>18</v>
      </c>
      <c r="P201" s="2" t="n">
        <v>2</v>
      </c>
      <c r="Q201" s="2" t="n">
        <v>0</v>
      </c>
      <c r="R201" s="2" t="n">
        <v>4</v>
      </c>
      <c r="S201" s="2" t="n">
        <v>0</v>
      </c>
      <c r="T201" s="2" t="n">
        <v>0</v>
      </c>
      <c r="U201" s="2" t="n">
        <v>0</v>
      </c>
      <c r="V201" s="2" t="n">
        <v>2</v>
      </c>
      <c r="W201" s="2" t="n">
        <v>2</v>
      </c>
      <c r="X201" s="2" t="n">
        <v>3</v>
      </c>
      <c r="Y201" s="2" t="n">
        <v>4</v>
      </c>
      <c r="Z201" s="2" t="n">
        <v>3</v>
      </c>
    </row>
    <row r="202" customFormat="false" ht="15" hidden="false" customHeight="true" outlineLevel="0" collapsed="false">
      <c r="A202" s="2" t="n">
        <v>40</v>
      </c>
      <c r="B202" s="2" t="s">
        <v>26</v>
      </c>
      <c r="C202" s="2" t="s">
        <v>41</v>
      </c>
      <c r="D202" s="2" t="s">
        <v>35</v>
      </c>
      <c r="E202" s="2" t="n">
        <v>1</v>
      </c>
      <c r="F202" s="2" t="n">
        <v>4</v>
      </c>
      <c r="G202" s="2" t="s">
        <v>51</v>
      </c>
      <c r="H202" s="2" t="n">
        <v>201</v>
      </c>
      <c r="I202" s="2" t="s">
        <v>30</v>
      </c>
      <c r="J202" s="2" t="n">
        <v>2</v>
      </c>
      <c r="K202" s="2" t="s">
        <v>45</v>
      </c>
      <c r="L202" s="2" t="s">
        <v>46</v>
      </c>
      <c r="M202" s="2" t="n">
        <v>30680</v>
      </c>
      <c r="N202" s="2" t="n">
        <v>3</v>
      </c>
      <c r="O202" s="2" t="n">
        <v>19</v>
      </c>
      <c r="P202" s="2" t="n">
        <v>0</v>
      </c>
      <c r="Q202" s="2" t="n">
        <v>20</v>
      </c>
      <c r="R202" s="2" t="n">
        <v>3</v>
      </c>
      <c r="S202" s="2" t="n">
        <v>1</v>
      </c>
      <c r="T202" s="2" t="n">
        <v>0</v>
      </c>
      <c r="U202" s="2" t="n">
        <v>1</v>
      </c>
      <c r="V202" s="2" t="n">
        <v>3</v>
      </c>
      <c r="W202" s="2" t="n">
        <v>1</v>
      </c>
      <c r="X202" s="2" t="n">
        <v>3</v>
      </c>
      <c r="Y202" s="2" t="n">
        <v>2</v>
      </c>
      <c r="Z202" s="2" t="n">
        <v>3</v>
      </c>
    </row>
    <row r="203" customFormat="false" ht="15" hidden="false" customHeight="true" outlineLevel="0" collapsed="false">
      <c r="A203" s="2" t="n">
        <v>41</v>
      </c>
      <c r="B203" s="2" t="s">
        <v>26</v>
      </c>
      <c r="C203" s="2" t="s">
        <v>41</v>
      </c>
      <c r="D203" s="2" t="s">
        <v>35</v>
      </c>
      <c r="E203" s="2" t="n">
        <v>23</v>
      </c>
      <c r="F203" s="2" t="n">
        <v>3</v>
      </c>
      <c r="G203" s="2" t="s">
        <v>29</v>
      </c>
      <c r="H203" s="2" t="n">
        <v>202</v>
      </c>
      <c r="I203" s="2" t="s">
        <v>39</v>
      </c>
      <c r="J203" s="2" t="n">
        <v>2</v>
      </c>
      <c r="K203" s="2" t="s">
        <v>47</v>
      </c>
      <c r="L203" s="2" t="s">
        <v>37</v>
      </c>
      <c r="M203" s="2" t="n">
        <v>26700</v>
      </c>
      <c r="N203" s="2" t="n">
        <v>2</v>
      </c>
      <c r="O203" s="2" t="n">
        <v>15</v>
      </c>
      <c r="P203" s="2" t="n">
        <v>2</v>
      </c>
      <c r="Q203" s="2" t="n">
        <v>10</v>
      </c>
      <c r="R203" s="2" t="n">
        <v>2</v>
      </c>
      <c r="S203" s="2" t="n">
        <v>8</v>
      </c>
      <c r="T203" s="2" t="n">
        <v>0</v>
      </c>
      <c r="U203" s="2" t="n">
        <v>7</v>
      </c>
      <c r="V203" s="2" t="n">
        <v>1</v>
      </c>
      <c r="W203" s="2" t="n">
        <v>3</v>
      </c>
      <c r="X203" s="2" t="n">
        <v>3</v>
      </c>
      <c r="Y203" s="2" t="n">
        <v>2</v>
      </c>
      <c r="Z203" s="2" t="n">
        <v>3</v>
      </c>
    </row>
    <row r="204" customFormat="false" ht="15" hidden="false" customHeight="true" outlineLevel="0" collapsed="false">
      <c r="A204" s="2" t="n">
        <v>26</v>
      </c>
      <c r="B204" s="2" t="s">
        <v>26</v>
      </c>
      <c r="C204" s="2" t="s">
        <v>27</v>
      </c>
      <c r="D204" s="2" t="s">
        <v>35</v>
      </c>
      <c r="E204" s="2" t="n">
        <v>9</v>
      </c>
      <c r="F204" s="2" t="n">
        <v>4</v>
      </c>
      <c r="G204" s="2" t="s">
        <v>43</v>
      </c>
      <c r="H204" s="2" t="n">
        <v>203</v>
      </c>
      <c r="I204" s="2" t="s">
        <v>39</v>
      </c>
      <c r="J204" s="2" t="n">
        <v>3</v>
      </c>
      <c r="K204" s="2" t="s">
        <v>31</v>
      </c>
      <c r="L204" s="2" t="s">
        <v>46</v>
      </c>
      <c r="M204" s="2" t="n">
        <v>26930</v>
      </c>
      <c r="N204" s="2" t="n">
        <v>5</v>
      </c>
      <c r="O204" s="2" t="n">
        <v>17</v>
      </c>
      <c r="P204" s="2" t="n">
        <v>3</v>
      </c>
      <c r="Q204" s="2" t="n">
        <v>8</v>
      </c>
      <c r="R204" s="2" t="n">
        <v>3</v>
      </c>
      <c r="S204" s="2" t="n">
        <v>0</v>
      </c>
      <c r="T204" s="2" t="n">
        <v>0</v>
      </c>
      <c r="U204" s="2" t="n">
        <v>0</v>
      </c>
      <c r="V204" s="2" t="n">
        <v>1</v>
      </c>
      <c r="W204" s="2" t="n">
        <v>3</v>
      </c>
      <c r="X204" s="2" t="n">
        <v>3</v>
      </c>
      <c r="Y204" s="2" t="n">
        <v>2</v>
      </c>
      <c r="Z204" s="2" t="n">
        <v>3</v>
      </c>
    </row>
    <row r="205" customFormat="false" ht="15" hidden="false" customHeight="true" outlineLevel="0" collapsed="false">
      <c r="A205" s="2" t="n">
        <v>35</v>
      </c>
      <c r="B205" s="2" t="s">
        <v>26</v>
      </c>
      <c r="C205" s="2" t="s">
        <v>27</v>
      </c>
      <c r="D205" s="2" t="s">
        <v>35</v>
      </c>
      <c r="E205" s="2" t="n">
        <v>16</v>
      </c>
      <c r="F205" s="2" t="n">
        <v>4</v>
      </c>
      <c r="G205" s="2" t="s">
        <v>43</v>
      </c>
      <c r="H205" s="2" t="n">
        <v>204</v>
      </c>
      <c r="I205" s="2" t="s">
        <v>39</v>
      </c>
      <c r="J205" s="2" t="n">
        <v>2</v>
      </c>
      <c r="K205" s="2" t="s">
        <v>42</v>
      </c>
      <c r="L205" s="2" t="s">
        <v>37</v>
      </c>
      <c r="M205" s="2" t="n">
        <v>95260</v>
      </c>
      <c r="N205" s="2" t="n">
        <v>1</v>
      </c>
      <c r="O205" s="2" t="n">
        <v>15</v>
      </c>
      <c r="P205" s="2" t="n">
        <v>0</v>
      </c>
      <c r="Q205" s="2" t="n">
        <v>5</v>
      </c>
      <c r="R205" s="2" t="n">
        <v>2</v>
      </c>
      <c r="S205" s="2" t="n">
        <v>5</v>
      </c>
      <c r="T205" s="2" t="n">
        <v>0</v>
      </c>
      <c r="U205" s="2" t="n">
        <v>3</v>
      </c>
      <c r="V205" s="2" t="n">
        <v>1</v>
      </c>
      <c r="W205" s="2" t="n">
        <v>3</v>
      </c>
      <c r="X205" s="2" t="n">
        <v>3</v>
      </c>
      <c r="Y205" s="2" t="n">
        <v>2</v>
      </c>
      <c r="Z205" s="2" t="n">
        <v>3</v>
      </c>
    </row>
    <row r="206" customFormat="false" ht="15" hidden="false" customHeight="true" outlineLevel="0" collapsed="false">
      <c r="A206" s="2" t="n">
        <v>34</v>
      </c>
      <c r="B206" s="2" t="s">
        <v>26</v>
      </c>
      <c r="C206" s="2" t="s">
        <v>27</v>
      </c>
      <c r="D206" s="2" t="s">
        <v>35</v>
      </c>
      <c r="E206" s="2" t="n">
        <v>26</v>
      </c>
      <c r="F206" s="2" t="n">
        <v>3</v>
      </c>
      <c r="G206" s="2" t="s">
        <v>43</v>
      </c>
      <c r="H206" s="2" t="n">
        <v>205</v>
      </c>
      <c r="I206" s="2" t="s">
        <v>39</v>
      </c>
      <c r="J206" s="2" t="n">
        <v>1</v>
      </c>
      <c r="K206" s="2" t="s">
        <v>45</v>
      </c>
      <c r="L206" s="2" t="s">
        <v>37</v>
      </c>
      <c r="M206" s="2" t="n">
        <v>52370</v>
      </c>
      <c r="N206" s="2" t="n">
        <v>1</v>
      </c>
      <c r="O206" s="2" t="n">
        <v>19</v>
      </c>
      <c r="P206" s="2" t="n">
        <v>1</v>
      </c>
      <c r="Q206" s="2" t="n">
        <v>10</v>
      </c>
      <c r="R206" s="2" t="n">
        <v>3</v>
      </c>
      <c r="S206" s="2" t="n">
        <v>10</v>
      </c>
      <c r="T206" s="2" t="n">
        <v>5</v>
      </c>
      <c r="U206" s="2" t="n">
        <v>7</v>
      </c>
      <c r="V206" s="2" t="n">
        <v>4</v>
      </c>
      <c r="W206" s="2" t="n">
        <v>4</v>
      </c>
      <c r="X206" s="2" t="n">
        <v>3</v>
      </c>
      <c r="Y206" s="2" t="n">
        <v>2</v>
      </c>
      <c r="Z206" s="2" t="n">
        <v>3</v>
      </c>
    </row>
    <row r="207" customFormat="false" ht="15" hidden="false" customHeight="true" outlineLevel="0" collapsed="false">
      <c r="A207" s="2" t="n">
        <v>26</v>
      </c>
      <c r="B207" s="2" t="s">
        <v>33</v>
      </c>
      <c r="C207" s="2" t="s">
        <v>27</v>
      </c>
      <c r="D207" s="2" t="s">
        <v>28</v>
      </c>
      <c r="E207" s="2" t="n">
        <v>1</v>
      </c>
      <c r="F207" s="2" t="n">
        <v>3</v>
      </c>
      <c r="G207" s="2" t="s">
        <v>50</v>
      </c>
      <c r="H207" s="2" t="n">
        <v>206</v>
      </c>
      <c r="I207" s="2" t="s">
        <v>30</v>
      </c>
      <c r="J207" s="2" t="n">
        <v>2</v>
      </c>
      <c r="K207" s="2" t="s">
        <v>47</v>
      </c>
      <c r="L207" s="2" t="s">
        <v>37</v>
      </c>
      <c r="M207" s="2" t="n">
        <v>24260</v>
      </c>
      <c r="N207" s="2" t="n">
        <v>1</v>
      </c>
      <c r="O207" s="2" t="n">
        <v>22</v>
      </c>
      <c r="P207" s="2" t="n">
        <v>0</v>
      </c>
      <c r="Q207" s="2" t="n">
        <v>1</v>
      </c>
      <c r="R207" s="2" t="n">
        <v>3</v>
      </c>
      <c r="S207" s="2" t="n">
        <v>1</v>
      </c>
      <c r="T207" s="2" t="n">
        <v>0</v>
      </c>
      <c r="U207" s="2" t="n">
        <v>0</v>
      </c>
      <c r="V207" s="2" t="n">
        <v>3</v>
      </c>
      <c r="W207" s="2" t="n">
        <v>4</v>
      </c>
      <c r="X207" s="2" t="n">
        <v>1</v>
      </c>
      <c r="Y207" s="2" t="n">
        <v>1</v>
      </c>
      <c r="Z207" s="2" t="n">
        <v>4</v>
      </c>
    </row>
    <row r="208" customFormat="false" ht="15" hidden="false" customHeight="true" outlineLevel="0" collapsed="false">
      <c r="A208" s="2" t="n">
        <v>37</v>
      </c>
      <c r="B208" s="2" t="s">
        <v>26</v>
      </c>
      <c r="C208" s="2" t="s">
        <v>27</v>
      </c>
      <c r="D208" s="2" t="s">
        <v>35</v>
      </c>
      <c r="E208" s="2" t="n">
        <v>8</v>
      </c>
      <c r="F208" s="2" t="n">
        <v>1</v>
      </c>
      <c r="G208" s="2" t="s">
        <v>29</v>
      </c>
      <c r="H208" s="2" t="n">
        <v>207</v>
      </c>
      <c r="I208" s="2" t="s">
        <v>39</v>
      </c>
      <c r="J208" s="2" t="n">
        <v>1</v>
      </c>
      <c r="K208" s="2" t="s">
        <v>40</v>
      </c>
      <c r="L208" s="2" t="s">
        <v>37</v>
      </c>
      <c r="M208" s="2" t="n">
        <v>41930</v>
      </c>
      <c r="N208" s="2" t="n">
        <v>4</v>
      </c>
      <c r="O208" s="2" t="n">
        <v>16</v>
      </c>
      <c r="P208" s="2" t="n">
        <v>1</v>
      </c>
      <c r="Q208" s="2" t="n">
        <v>12</v>
      </c>
      <c r="R208" s="2" t="n">
        <v>5</v>
      </c>
      <c r="S208" s="2" t="n">
        <v>6</v>
      </c>
      <c r="T208" s="2" t="n">
        <v>1</v>
      </c>
      <c r="U208" s="2" t="n">
        <v>2</v>
      </c>
      <c r="V208" s="2" t="n">
        <v>2</v>
      </c>
      <c r="W208" s="2" t="n">
        <v>4</v>
      </c>
      <c r="X208" s="2" t="n">
        <v>4</v>
      </c>
      <c r="Y208" s="2" t="n">
        <v>3</v>
      </c>
      <c r="Z208" s="2" t="n">
        <v>3</v>
      </c>
    </row>
    <row r="209" customFormat="false" ht="15" hidden="false" customHeight="true" outlineLevel="0" collapsed="false">
      <c r="A209" s="2" t="n">
        <v>46</v>
      </c>
      <c r="B209" s="2" t="s">
        <v>26</v>
      </c>
      <c r="C209" s="2" t="s">
        <v>34</v>
      </c>
      <c r="D209" s="2" t="s">
        <v>35</v>
      </c>
      <c r="E209" s="2" t="n">
        <v>4</v>
      </c>
      <c r="F209" s="2" t="n">
        <v>1</v>
      </c>
      <c r="G209" s="2" t="s">
        <v>43</v>
      </c>
      <c r="H209" s="2" t="n">
        <v>208</v>
      </c>
      <c r="I209" s="2" t="s">
        <v>39</v>
      </c>
      <c r="J209" s="2" t="n">
        <v>5</v>
      </c>
      <c r="K209" s="2" t="s">
        <v>42</v>
      </c>
      <c r="L209" s="2" t="s">
        <v>32</v>
      </c>
      <c r="M209" s="2" t="n">
        <v>29110</v>
      </c>
      <c r="N209" s="2" t="n">
        <v>5</v>
      </c>
      <c r="O209" s="2" t="n">
        <v>13</v>
      </c>
      <c r="P209" s="2" t="n">
        <v>0</v>
      </c>
      <c r="Q209" s="2" t="n">
        <v>28</v>
      </c>
      <c r="R209" s="2" t="n">
        <v>3</v>
      </c>
      <c r="S209" s="2" t="n">
        <v>2</v>
      </c>
      <c r="T209" s="2" t="n">
        <v>1</v>
      </c>
      <c r="U209" s="2" t="n">
        <v>2</v>
      </c>
      <c r="V209" s="2" t="n">
        <v>1</v>
      </c>
      <c r="W209" s="2" t="n">
        <v>3</v>
      </c>
      <c r="X209" s="2" t="n">
        <v>2</v>
      </c>
      <c r="Y209" s="2" t="n">
        <v>3</v>
      </c>
      <c r="Z209" s="2" t="n">
        <v>3</v>
      </c>
    </row>
    <row r="210" customFormat="false" ht="15" hidden="false" customHeight="true" outlineLevel="0" collapsed="false">
      <c r="A210" s="2" t="n">
        <v>41</v>
      </c>
      <c r="B210" s="2" t="s">
        <v>26</v>
      </c>
      <c r="C210" s="2" t="s">
        <v>27</v>
      </c>
      <c r="D210" s="2" t="s">
        <v>35</v>
      </c>
      <c r="E210" s="2" t="n">
        <v>24</v>
      </c>
      <c r="F210" s="2" t="n">
        <v>1</v>
      </c>
      <c r="G210" s="2" t="s">
        <v>29</v>
      </c>
      <c r="H210" s="2" t="n">
        <v>209</v>
      </c>
      <c r="I210" s="2" t="s">
        <v>39</v>
      </c>
      <c r="J210" s="2" t="n">
        <v>1</v>
      </c>
      <c r="K210" s="2" t="s">
        <v>44</v>
      </c>
      <c r="L210" s="2" t="s">
        <v>32</v>
      </c>
      <c r="M210" s="2" t="n">
        <v>26610</v>
      </c>
      <c r="N210" s="2" t="n">
        <v>7</v>
      </c>
      <c r="O210" s="2" t="n">
        <v>14</v>
      </c>
      <c r="P210" s="2" t="n">
        <v>1</v>
      </c>
      <c r="Q210" s="2" t="n">
        <v>22</v>
      </c>
      <c r="R210" s="2" t="n">
        <v>2</v>
      </c>
      <c r="S210" s="2" t="n">
        <v>18</v>
      </c>
      <c r="T210" s="2" t="n">
        <v>11</v>
      </c>
      <c r="U210" s="2" t="n">
        <v>8</v>
      </c>
      <c r="V210" s="2" t="n">
        <v>2</v>
      </c>
      <c r="W210" s="2" t="n">
        <v>1</v>
      </c>
      <c r="X210" s="2" t="n">
        <v>3</v>
      </c>
      <c r="Y210" s="2" t="n">
        <v>3</v>
      </c>
      <c r="Z210" s="2" t="n">
        <v>3</v>
      </c>
    </row>
    <row r="211" customFormat="false" ht="15" hidden="false" customHeight="true" outlineLevel="0" collapsed="false">
      <c r="A211" s="2" t="n">
        <v>37</v>
      </c>
      <c r="B211" s="2" t="s">
        <v>26</v>
      </c>
      <c r="C211" s="2" t="s">
        <v>41</v>
      </c>
      <c r="D211" s="2" t="s">
        <v>35</v>
      </c>
      <c r="E211" s="2" t="n">
        <v>7</v>
      </c>
      <c r="F211" s="2" t="n">
        <v>2</v>
      </c>
      <c r="G211" s="2" t="s">
        <v>43</v>
      </c>
      <c r="H211" s="2" t="n">
        <v>210</v>
      </c>
      <c r="I211" s="2" t="s">
        <v>39</v>
      </c>
      <c r="J211" s="2" t="n">
        <v>1</v>
      </c>
      <c r="K211" s="2" t="s">
        <v>40</v>
      </c>
      <c r="L211" s="2" t="s">
        <v>46</v>
      </c>
      <c r="M211" s="2" t="n">
        <v>20280</v>
      </c>
      <c r="N211" s="2" t="n">
        <v>1</v>
      </c>
      <c r="O211" s="2" t="n">
        <v>16</v>
      </c>
      <c r="P211" s="2" t="n">
        <v>1</v>
      </c>
      <c r="Q211" s="2" t="n">
        <v>9</v>
      </c>
      <c r="R211" s="2" t="n">
        <v>3</v>
      </c>
      <c r="S211" s="2" t="n">
        <v>9</v>
      </c>
      <c r="T211" s="2" t="n">
        <v>7</v>
      </c>
      <c r="U211" s="2" t="n">
        <v>7</v>
      </c>
      <c r="V211" s="2" t="n">
        <v>1</v>
      </c>
      <c r="W211" s="2" t="n">
        <v>2</v>
      </c>
      <c r="X211" s="2" t="n">
        <v>3</v>
      </c>
      <c r="Y211" s="2" t="n">
        <v>3</v>
      </c>
      <c r="Z211" s="2" t="n">
        <v>3</v>
      </c>
    </row>
    <row r="212" customFormat="false" ht="15" hidden="false" customHeight="true" outlineLevel="0" collapsed="false">
      <c r="A212" s="2" t="n">
        <v>52</v>
      </c>
      <c r="B212" s="2" t="s">
        <v>26</v>
      </c>
      <c r="C212" s="2" t="s">
        <v>27</v>
      </c>
      <c r="D212" s="2" t="s">
        <v>28</v>
      </c>
      <c r="E212" s="2" t="n">
        <v>2</v>
      </c>
      <c r="F212" s="2" t="n">
        <v>1</v>
      </c>
      <c r="G212" s="2" t="s">
        <v>43</v>
      </c>
      <c r="H212" s="2" t="n">
        <v>211</v>
      </c>
      <c r="I212" s="2" t="s">
        <v>39</v>
      </c>
      <c r="J212" s="2" t="n">
        <v>1</v>
      </c>
      <c r="K212" s="2" t="s">
        <v>45</v>
      </c>
      <c r="L212" s="2" t="s">
        <v>46</v>
      </c>
      <c r="M212" s="2" t="n">
        <v>99800</v>
      </c>
      <c r="N212" s="2"/>
      <c r="O212" s="2" t="n">
        <v>11</v>
      </c>
      <c r="P212" s="2" t="n">
        <v>1</v>
      </c>
      <c r="Q212" s="2" t="n">
        <v>18</v>
      </c>
      <c r="R212" s="2" t="n">
        <v>2</v>
      </c>
      <c r="S212" s="2" t="n">
        <v>10</v>
      </c>
      <c r="T212" s="2" t="n">
        <v>6</v>
      </c>
      <c r="U212" s="2" t="n">
        <v>9</v>
      </c>
      <c r="V212" s="2" t="n">
        <v>4</v>
      </c>
      <c r="W212" s="2" t="n">
        <v>1</v>
      </c>
      <c r="X212" s="2" t="n">
        <v>3</v>
      </c>
      <c r="Y212" s="2" t="n">
        <v>3</v>
      </c>
      <c r="Z212" s="2" t="n">
        <v>3</v>
      </c>
    </row>
    <row r="213" customFormat="false" ht="15" hidden="false" customHeight="true" outlineLevel="0" collapsed="false">
      <c r="A213" s="2" t="n">
        <v>32</v>
      </c>
      <c r="B213" s="2" t="s">
        <v>33</v>
      </c>
      <c r="C213" s="2" t="s">
        <v>41</v>
      </c>
      <c r="D213" s="2" t="s">
        <v>35</v>
      </c>
      <c r="E213" s="2" t="n">
        <v>7</v>
      </c>
      <c r="F213" s="2" t="n">
        <v>2</v>
      </c>
      <c r="G213" s="2" t="s">
        <v>29</v>
      </c>
      <c r="H213" s="2" t="n">
        <v>212</v>
      </c>
      <c r="I213" s="2" t="s">
        <v>30</v>
      </c>
      <c r="J213" s="2" t="n">
        <v>2</v>
      </c>
      <c r="K213" s="2" t="s">
        <v>44</v>
      </c>
      <c r="L213" s="2" t="s">
        <v>32</v>
      </c>
      <c r="M213" s="2" t="n">
        <v>32980</v>
      </c>
      <c r="N213" s="2" t="n">
        <v>8</v>
      </c>
      <c r="O213" s="2" t="n">
        <v>22</v>
      </c>
      <c r="P213" s="2" t="n">
        <v>0</v>
      </c>
      <c r="Q213" s="2" t="n">
        <v>6</v>
      </c>
      <c r="R213" s="2" t="n">
        <v>4</v>
      </c>
      <c r="S213" s="2" t="n">
        <v>4</v>
      </c>
      <c r="T213" s="2" t="n">
        <v>1</v>
      </c>
      <c r="U213" s="2" t="n">
        <v>2</v>
      </c>
      <c r="V213" s="2" t="n">
        <v>4</v>
      </c>
      <c r="W213" s="2" t="n">
        <v>3</v>
      </c>
      <c r="X213" s="2" t="n">
        <v>3</v>
      </c>
      <c r="Y213" s="2" t="n">
        <v>2</v>
      </c>
      <c r="Z213" s="2" t="n">
        <v>4</v>
      </c>
    </row>
    <row r="214" customFormat="false" ht="15" hidden="false" customHeight="true" outlineLevel="0" collapsed="false">
      <c r="A214" s="2" t="n">
        <v>24</v>
      </c>
      <c r="B214" s="2" t="s">
        <v>26</v>
      </c>
      <c r="C214" s="2" t="s">
        <v>34</v>
      </c>
      <c r="D214" s="2" t="s">
        <v>28</v>
      </c>
      <c r="E214" s="2" t="n">
        <v>22</v>
      </c>
      <c r="F214" s="2" t="n">
        <v>3</v>
      </c>
      <c r="G214" s="2" t="s">
        <v>29</v>
      </c>
      <c r="H214" s="2" t="n">
        <v>213</v>
      </c>
      <c r="I214" s="2" t="s">
        <v>30</v>
      </c>
      <c r="J214" s="2" t="n">
        <v>1</v>
      </c>
      <c r="K214" s="2" t="s">
        <v>31</v>
      </c>
      <c r="L214" s="2" t="s">
        <v>32</v>
      </c>
      <c r="M214" s="2" t="n">
        <v>29350</v>
      </c>
      <c r="N214" s="2" t="n">
        <v>0</v>
      </c>
      <c r="O214" s="2" t="n">
        <v>14</v>
      </c>
      <c r="P214" s="2" t="n">
        <v>2</v>
      </c>
      <c r="Q214" s="2" t="n">
        <v>3</v>
      </c>
      <c r="R214" s="2" t="n">
        <v>5</v>
      </c>
      <c r="S214" s="2" t="n">
        <v>2</v>
      </c>
      <c r="T214" s="2" t="n">
        <v>2</v>
      </c>
      <c r="U214" s="2" t="n">
        <v>1</v>
      </c>
      <c r="V214" s="2" t="n">
        <v>4</v>
      </c>
      <c r="W214" s="2" t="n">
        <v>4</v>
      </c>
      <c r="X214" s="2" t="n">
        <v>3</v>
      </c>
      <c r="Y214" s="2" t="n">
        <v>2</v>
      </c>
      <c r="Z214" s="2" t="n">
        <v>3</v>
      </c>
    </row>
    <row r="215" customFormat="false" ht="15" hidden="false" customHeight="true" outlineLevel="0" collapsed="false">
      <c r="A215" s="2" t="n">
        <v>38</v>
      </c>
      <c r="B215" s="2" t="s">
        <v>26</v>
      </c>
      <c r="C215" s="2" t="s">
        <v>27</v>
      </c>
      <c r="D215" s="2" t="s">
        <v>35</v>
      </c>
      <c r="E215" s="2" t="n">
        <v>5</v>
      </c>
      <c r="F215" s="2" t="n">
        <v>3</v>
      </c>
      <c r="G215" s="2" t="s">
        <v>29</v>
      </c>
      <c r="H215" s="2" t="n">
        <v>214</v>
      </c>
      <c r="I215" s="2" t="s">
        <v>30</v>
      </c>
      <c r="J215" s="2" t="n">
        <v>1</v>
      </c>
      <c r="K215" s="2" t="s">
        <v>36</v>
      </c>
      <c r="L215" s="2" t="s">
        <v>32</v>
      </c>
      <c r="M215" s="2" t="n">
        <v>154270</v>
      </c>
      <c r="N215" s="2" t="n">
        <v>3</v>
      </c>
      <c r="O215" s="2" t="n">
        <v>16</v>
      </c>
      <c r="P215" s="2" t="n">
        <v>1</v>
      </c>
      <c r="Q215" s="2" t="n">
        <v>18</v>
      </c>
      <c r="R215" s="2" t="n">
        <v>2</v>
      </c>
      <c r="S215" s="2" t="n">
        <v>1</v>
      </c>
      <c r="T215" s="2" t="n">
        <v>0</v>
      </c>
      <c r="U215" s="2" t="n">
        <v>0</v>
      </c>
      <c r="V215" s="2" t="n">
        <v>3</v>
      </c>
      <c r="W215" s="2" t="n">
        <v>3</v>
      </c>
      <c r="X215" s="2" t="n">
        <v>3</v>
      </c>
      <c r="Y215" s="2" t="n">
        <v>3</v>
      </c>
      <c r="Z215" s="2" t="n">
        <v>3</v>
      </c>
    </row>
    <row r="216" customFormat="false" ht="15" hidden="false" customHeight="true" outlineLevel="0" collapsed="false">
      <c r="A216" s="2" t="n">
        <v>37</v>
      </c>
      <c r="B216" s="2" t="s">
        <v>26</v>
      </c>
      <c r="C216" s="2" t="s">
        <v>27</v>
      </c>
      <c r="D216" s="2" t="s">
        <v>35</v>
      </c>
      <c r="E216" s="2" t="n">
        <v>1</v>
      </c>
      <c r="F216" s="2" t="n">
        <v>4</v>
      </c>
      <c r="G216" s="2" t="s">
        <v>51</v>
      </c>
      <c r="H216" s="2" t="n">
        <v>215</v>
      </c>
      <c r="I216" s="2" t="s">
        <v>30</v>
      </c>
      <c r="J216" s="2" t="n">
        <v>5</v>
      </c>
      <c r="K216" s="2" t="s">
        <v>36</v>
      </c>
      <c r="L216" s="2" t="s">
        <v>32</v>
      </c>
      <c r="M216" s="2" t="n">
        <v>39440</v>
      </c>
      <c r="N216" s="2" t="n">
        <v>6</v>
      </c>
      <c r="O216" s="2" t="n">
        <v>11</v>
      </c>
      <c r="P216" s="2" t="n">
        <v>2</v>
      </c>
      <c r="Q216" s="2" t="n">
        <v>8</v>
      </c>
      <c r="R216" s="2" t="n">
        <v>3</v>
      </c>
      <c r="S216" s="2" t="n">
        <v>6</v>
      </c>
      <c r="T216" s="2" t="n">
        <v>4</v>
      </c>
      <c r="U216" s="2" t="n">
        <v>3</v>
      </c>
      <c r="V216" s="2" t="n">
        <v>2</v>
      </c>
      <c r="W216" s="2" t="n">
        <v>2</v>
      </c>
      <c r="X216" s="2" t="n">
        <v>2</v>
      </c>
      <c r="Y216" s="2" t="n">
        <v>3</v>
      </c>
      <c r="Z216" s="2" t="n">
        <v>3</v>
      </c>
    </row>
    <row r="217" customFormat="false" ht="15" hidden="false" customHeight="true" outlineLevel="0" collapsed="false">
      <c r="A217" s="2" t="n">
        <v>49</v>
      </c>
      <c r="B217" s="2" t="s">
        <v>26</v>
      </c>
      <c r="C217" s="2" t="s">
        <v>27</v>
      </c>
      <c r="D217" s="2" t="s">
        <v>28</v>
      </c>
      <c r="E217" s="2" t="n">
        <v>21</v>
      </c>
      <c r="F217" s="2" t="n">
        <v>1</v>
      </c>
      <c r="G217" s="2" t="s">
        <v>29</v>
      </c>
      <c r="H217" s="2" t="n">
        <v>216</v>
      </c>
      <c r="I217" s="2" t="s">
        <v>39</v>
      </c>
      <c r="J217" s="2" t="n">
        <v>1</v>
      </c>
      <c r="K217" s="2" t="s">
        <v>40</v>
      </c>
      <c r="L217" s="2" t="s">
        <v>46</v>
      </c>
      <c r="M217" s="2" t="n">
        <v>40110</v>
      </c>
      <c r="N217" s="2" t="n">
        <v>1</v>
      </c>
      <c r="O217" s="2" t="n">
        <v>18</v>
      </c>
      <c r="P217" s="2" t="n">
        <v>2</v>
      </c>
      <c r="Q217" s="2" t="n">
        <v>31</v>
      </c>
      <c r="R217" s="2" t="n">
        <v>2</v>
      </c>
      <c r="S217" s="2" t="n">
        <v>31</v>
      </c>
      <c r="T217" s="2" t="n">
        <v>0</v>
      </c>
      <c r="U217" s="2" t="n">
        <v>9</v>
      </c>
      <c r="V217" s="2" t="n">
        <v>4</v>
      </c>
      <c r="W217" s="2" t="n">
        <v>3</v>
      </c>
      <c r="X217" s="2" t="n">
        <v>3</v>
      </c>
      <c r="Y217" s="2" t="n">
        <v>1</v>
      </c>
      <c r="Z217" s="2" t="n">
        <v>3</v>
      </c>
    </row>
    <row r="218" customFormat="false" ht="15" hidden="false" customHeight="true" outlineLevel="0" collapsed="false">
      <c r="A218" s="2" t="n">
        <v>24</v>
      </c>
      <c r="B218" s="2" t="s">
        <v>26</v>
      </c>
      <c r="C218" s="2" t="s">
        <v>27</v>
      </c>
      <c r="D218" s="2" t="s">
        <v>28</v>
      </c>
      <c r="E218" s="2" t="n">
        <v>1</v>
      </c>
      <c r="F218" s="2" t="n">
        <v>3</v>
      </c>
      <c r="G218" s="2" t="s">
        <v>50</v>
      </c>
      <c r="H218" s="2" t="n">
        <v>217</v>
      </c>
      <c r="I218" s="2" t="s">
        <v>30</v>
      </c>
      <c r="J218" s="2" t="n">
        <v>1</v>
      </c>
      <c r="K218" s="2" t="s">
        <v>40</v>
      </c>
      <c r="L218" s="2" t="s">
        <v>32</v>
      </c>
      <c r="M218" s="2" t="n">
        <v>34070</v>
      </c>
      <c r="N218" s="2" t="n">
        <v>1</v>
      </c>
      <c r="O218" s="2" t="n">
        <v>15</v>
      </c>
      <c r="P218" s="2" t="n">
        <v>2</v>
      </c>
      <c r="Q218" s="2" t="n">
        <v>6</v>
      </c>
      <c r="R218" s="2" t="n">
        <v>2</v>
      </c>
      <c r="S218" s="2" t="n">
        <v>6</v>
      </c>
      <c r="T218" s="2" t="n">
        <v>1</v>
      </c>
      <c r="U218" s="2" t="n">
        <v>4</v>
      </c>
      <c r="V218" s="2" t="n">
        <v>2</v>
      </c>
      <c r="W218" s="2" t="n">
        <v>4</v>
      </c>
      <c r="X218" s="2" t="n">
        <v>3</v>
      </c>
      <c r="Y218" s="2" t="n">
        <v>2</v>
      </c>
      <c r="Z218" s="2" t="n">
        <v>3</v>
      </c>
    </row>
    <row r="219" customFormat="false" ht="15" hidden="false" customHeight="true" outlineLevel="0" collapsed="false">
      <c r="A219" s="2" t="n">
        <v>26</v>
      </c>
      <c r="B219" s="2" t="s">
        <v>26</v>
      </c>
      <c r="C219" s="2" t="s">
        <v>27</v>
      </c>
      <c r="D219" s="2" t="s">
        <v>35</v>
      </c>
      <c r="E219" s="2" t="n">
        <v>19</v>
      </c>
      <c r="F219" s="2" t="n">
        <v>4</v>
      </c>
      <c r="G219" s="2" t="s">
        <v>51</v>
      </c>
      <c r="H219" s="2" t="n">
        <v>218</v>
      </c>
      <c r="I219" s="2" t="s">
        <v>30</v>
      </c>
      <c r="J219" s="2" t="n">
        <v>4</v>
      </c>
      <c r="K219" s="2" t="s">
        <v>40</v>
      </c>
      <c r="L219" s="2" t="s">
        <v>32</v>
      </c>
      <c r="M219" s="2" t="n">
        <v>119940</v>
      </c>
      <c r="N219" s="2" t="n">
        <v>1</v>
      </c>
      <c r="O219" s="2" t="n">
        <v>14</v>
      </c>
      <c r="P219" s="2" t="n">
        <v>1</v>
      </c>
      <c r="Q219" s="2" t="n">
        <v>6</v>
      </c>
      <c r="R219" s="2" t="n">
        <v>6</v>
      </c>
      <c r="S219" s="2" t="n">
        <v>5</v>
      </c>
      <c r="T219" s="2" t="n">
        <v>1</v>
      </c>
      <c r="U219" s="2" t="n">
        <v>4</v>
      </c>
      <c r="V219" s="2" t="n">
        <v>1</v>
      </c>
      <c r="W219" s="2" t="n">
        <v>2</v>
      </c>
      <c r="X219" s="2" t="n">
        <v>4</v>
      </c>
      <c r="Y219" s="2" t="n">
        <v>3</v>
      </c>
      <c r="Z219" s="2" t="n">
        <v>3</v>
      </c>
    </row>
    <row r="220" customFormat="false" ht="15" hidden="false" customHeight="true" outlineLevel="0" collapsed="false">
      <c r="A220" s="2" t="n">
        <v>24</v>
      </c>
      <c r="B220" s="2" t="s">
        <v>26</v>
      </c>
      <c r="C220" s="2" t="s">
        <v>27</v>
      </c>
      <c r="D220" s="2" t="s">
        <v>28</v>
      </c>
      <c r="E220" s="2" t="n">
        <v>7</v>
      </c>
      <c r="F220" s="2" t="n">
        <v>3</v>
      </c>
      <c r="G220" s="2" t="s">
        <v>43</v>
      </c>
      <c r="H220" s="2" t="n">
        <v>219</v>
      </c>
      <c r="I220" s="2" t="s">
        <v>30</v>
      </c>
      <c r="J220" s="2" t="n">
        <v>1</v>
      </c>
      <c r="K220" s="2" t="s">
        <v>45</v>
      </c>
      <c r="L220" s="2" t="s">
        <v>32</v>
      </c>
      <c r="M220" s="2" t="n">
        <v>12320</v>
      </c>
      <c r="N220" s="2" t="n">
        <v>1</v>
      </c>
      <c r="O220" s="2" t="n">
        <v>12</v>
      </c>
      <c r="P220" s="2" t="n">
        <v>0</v>
      </c>
      <c r="Q220" s="2" t="n">
        <v>1</v>
      </c>
      <c r="R220" s="2" t="n">
        <v>4</v>
      </c>
      <c r="S220" s="2" t="n">
        <v>1</v>
      </c>
      <c r="T220" s="2" t="n">
        <v>0</v>
      </c>
      <c r="U220" s="2" t="n">
        <v>0</v>
      </c>
      <c r="V220" s="2" t="n">
        <v>4</v>
      </c>
      <c r="W220" s="2" t="n">
        <v>2</v>
      </c>
      <c r="X220" s="2" t="n">
        <v>3</v>
      </c>
      <c r="Y220" s="2" t="n">
        <v>1</v>
      </c>
      <c r="Z220" s="2" t="n">
        <v>3</v>
      </c>
    </row>
    <row r="221" customFormat="false" ht="15" hidden="false" customHeight="true" outlineLevel="0" collapsed="false">
      <c r="A221" s="2" t="n">
        <v>50</v>
      </c>
      <c r="B221" s="2" t="s">
        <v>26</v>
      </c>
      <c r="C221" s="2" t="s">
        <v>34</v>
      </c>
      <c r="D221" s="2" t="s">
        <v>28</v>
      </c>
      <c r="E221" s="2" t="n">
        <v>2</v>
      </c>
      <c r="F221" s="2" t="n">
        <v>2</v>
      </c>
      <c r="G221" s="2" t="s">
        <v>50</v>
      </c>
      <c r="H221" s="2" t="n">
        <v>220</v>
      </c>
      <c r="I221" s="2" t="s">
        <v>39</v>
      </c>
      <c r="J221" s="2" t="n">
        <v>1</v>
      </c>
      <c r="K221" s="2" t="s">
        <v>40</v>
      </c>
      <c r="L221" s="2" t="s">
        <v>32</v>
      </c>
      <c r="M221" s="2" t="n">
        <v>29600</v>
      </c>
      <c r="N221" s="2" t="n">
        <v>1</v>
      </c>
      <c r="O221" s="2" t="n">
        <v>14</v>
      </c>
      <c r="P221" s="2" t="n">
        <v>3</v>
      </c>
      <c r="Q221" s="2" t="n">
        <v>32</v>
      </c>
      <c r="R221" s="2" t="n">
        <v>2</v>
      </c>
      <c r="S221" s="2" t="n">
        <v>32</v>
      </c>
      <c r="T221" s="2" t="n">
        <v>10</v>
      </c>
      <c r="U221" s="2" t="n">
        <v>7</v>
      </c>
      <c r="V221" s="2" t="n">
        <v>1</v>
      </c>
      <c r="W221" s="2" t="n">
        <v>2</v>
      </c>
      <c r="X221" s="2" t="n">
        <v>3</v>
      </c>
      <c r="Y221" s="2" t="n">
        <v>3</v>
      </c>
      <c r="Z221" s="2" t="n">
        <v>3</v>
      </c>
    </row>
    <row r="222" customFormat="false" ht="15" hidden="false" customHeight="true" outlineLevel="0" collapsed="false">
      <c r="A222" s="2" t="n">
        <v>25</v>
      </c>
      <c r="B222" s="2" t="s">
        <v>26</v>
      </c>
      <c r="C222" s="2" t="s">
        <v>27</v>
      </c>
      <c r="D222" s="2" t="s">
        <v>35</v>
      </c>
      <c r="E222" s="2" t="n">
        <v>2</v>
      </c>
      <c r="F222" s="2" t="n">
        <v>3</v>
      </c>
      <c r="G222" s="2" t="s">
        <v>29</v>
      </c>
      <c r="H222" s="2" t="n">
        <v>221</v>
      </c>
      <c r="I222" s="2" t="s">
        <v>39</v>
      </c>
      <c r="J222" s="2" t="n">
        <v>1</v>
      </c>
      <c r="K222" s="2" t="s">
        <v>36</v>
      </c>
      <c r="L222" s="2" t="s">
        <v>32</v>
      </c>
      <c r="M222" s="2" t="n">
        <v>190940</v>
      </c>
      <c r="N222" s="2" t="n">
        <v>1</v>
      </c>
      <c r="O222" s="2" t="n">
        <v>16</v>
      </c>
      <c r="P222" s="2" t="n">
        <v>0</v>
      </c>
      <c r="Q222" s="2" t="n">
        <v>7</v>
      </c>
      <c r="R222" s="2" t="n">
        <v>3</v>
      </c>
      <c r="S222" s="2" t="n">
        <v>7</v>
      </c>
      <c r="T222" s="2" t="n">
        <v>0</v>
      </c>
      <c r="U222" s="2" t="n">
        <v>6</v>
      </c>
      <c r="V222" s="2" t="n">
        <v>2</v>
      </c>
      <c r="W222" s="2" t="n">
        <v>3</v>
      </c>
      <c r="X222" s="2" t="n">
        <v>3</v>
      </c>
      <c r="Y222" s="2" t="n">
        <v>2</v>
      </c>
      <c r="Z222" s="2" t="n">
        <v>3</v>
      </c>
    </row>
    <row r="223" customFormat="false" ht="15" hidden="false" customHeight="true" outlineLevel="0" collapsed="false">
      <c r="A223" s="2" t="n">
        <v>24</v>
      </c>
      <c r="B223" s="2" t="s">
        <v>33</v>
      </c>
      <c r="C223" s="2" t="s">
        <v>34</v>
      </c>
      <c r="D223" s="2" t="s">
        <v>35</v>
      </c>
      <c r="E223" s="2" t="n">
        <v>2</v>
      </c>
      <c r="F223" s="2" t="n">
        <v>3</v>
      </c>
      <c r="G223" s="2" t="s">
        <v>43</v>
      </c>
      <c r="H223" s="2" t="n">
        <v>222</v>
      </c>
      <c r="I223" s="2" t="s">
        <v>39</v>
      </c>
      <c r="J223" s="2" t="n">
        <v>2</v>
      </c>
      <c r="K223" s="2" t="s">
        <v>36</v>
      </c>
      <c r="L223" s="2" t="s">
        <v>32</v>
      </c>
      <c r="M223" s="2" t="n">
        <v>39190</v>
      </c>
      <c r="N223" s="2" t="n">
        <v>1</v>
      </c>
      <c r="O223" s="2" t="n">
        <v>21</v>
      </c>
      <c r="P223" s="2" t="n">
        <v>0</v>
      </c>
      <c r="Q223" s="2" t="n">
        <v>6</v>
      </c>
      <c r="R223" s="2" t="n">
        <v>3</v>
      </c>
      <c r="S223" s="2" t="n">
        <v>6</v>
      </c>
      <c r="T223" s="2" t="n">
        <v>1</v>
      </c>
      <c r="U223" s="2" t="n">
        <v>2</v>
      </c>
      <c r="V223" s="2" t="n">
        <v>1</v>
      </c>
      <c r="W223" s="2" t="n">
        <v>3</v>
      </c>
      <c r="X223" s="2" t="n">
        <v>3</v>
      </c>
      <c r="Y223" s="2" t="n">
        <v>3</v>
      </c>
      <c r="Z223" s="2" t="n">
        <v>4</v>
      </c>
    </row>
    <row r="224" customFormat="false" ht="15" hidden="false" customHeight="true" outlineLevel="0" collapsed="false">
      <c r="A224" s="2" t="n">
        <v>30</v>
      </c>
      <c r="B224" s="2" t="s">
        <v>33</v>
      </c>
      <c r="C224" s="2" t="s">
        <v>34</v>
      </c>
      <c r="D224" s="2" t="s">
        <v>35</v>
      </c>
      <c r="E224" s="2" t="n">
        <v>9</v>
      </c>
      <c r="F224" s="2" t="n">
        <v>3</v>
      </c>
      <c r="G224" s="2" t="s">
        <v>38</v>
      </c>
      <c r="H224" s="2" t="n">
        <v>223</v>
      </c>
      <c r="I224" s="2" t="s">
        <v>39</v>
      </c>
      <c r="J224" s="2" t="n">
        <v>2</v>
      </c>
      <c r="K224" s="2" t="s">
        <v>31</v>
      </c>
      <c r="L224" s="2" t="s">
        <v>32</v>
      </c>
      <c r="M224" s="2" t="n">
        <v>68250</v>
      </c>
      <c r="N224" s="2" t="n">
        <v>1</v>
      </c>
      <c r="O224" s="2" t="n">
        <v>14</v>
      </c>
      <c r="P224" s="2" t="n">
        <v>0</v>
      </c>
      <c r="Q224" s="2" t="n">
        <v>1</v>
      </c>
      <c r="R224" s="2" t="n">
        <v>2</v>
      </c>
      <c r="S224" s="2" t="n">
        <v>1</v>
      </c>
      <c r="T224" s="2" t="n">
        <v>0</v>
      </c>
      <c r="U224" s="2" t="n">
        <v>0</v>
      </c>
      <c r="V224" s="2" t="n">
        <v>2</v>
      </c>
      <c r="W224" s="2" t="n">
        <v>1</v>
      </c>
      <c r="X224" s="2" t="n">
        <v>4</v>
      </c>
      <c r="Y224" s="2" t="n">
        <v>3</v>
      </c>
      <c r="Z224" s="2" t="n">
        <v>3</v>
      </c>
    </row>
    <row r="225" customFormat="false" ht="15" hidden="false" customHeight="true" outlineLevel="0" collapsed="false">
      <c r="A225" s="2" t="n">
        <v>34</v>
      </c>
      <c r="B225" s="2" t="s">
        <v>26</v>
      </c>
      <c r="C225" s="2" t="s">
        <v>27</v>
      </c>
      <c r="D225" s="2" t="s">
        <v>28</v>
      </c>
      <c r="E225" s="2" t="n">
        <v>6</v>
      </c>
      <c r="F225" s="2" t="n">
        <v>2</v>
      </c>
      <c r="G225" s="2" t="s">
        <v>29</v>
      </c>
      <c r="H225" s="2" t="n">
        <v>224</v>
      </c>
      <c r="I225" s="2" t="s">
        <v>39</v>
      </c>
      <c r="J225" s="2" t="n">
        <v>4</v>
      </c>
      <c r="K225" s="2" t="s">
        <v>44</v>
      </c>
      <c r="L225" s="2" t="s">
        <v>32</v>
      </c>
      <c r="M225" s="2" t="n">
        <v>102480</v>
      </c>
      <c r="N225" s="2" t="n">
        <v>1</v>
      </c>
      <c r="O225" s="2" t="n">
        <v>12</v>
      </c>
      <c r="P225" s="2" t="n">
        <v>1</v>
      </c>
      <c r="Q225" s="2" t="n">
        <v>6</v>
      </c>
      <c r="R225" s="2" t="n">
        <v>4</v>
      </c>
      <c r="S225" s="2" t="n">
        <v>6</v>
      </c>
      <c r="T225" s="2" t="n">
        <v>1</v>
      </c>
      <c r="U225" s="2" t="n">
        <v>3</v>
      </c>
      <c r="V225" s="2" t="n">
        <v>2</v>
      </c>
      <c r="W225" s="2" t="n">
        <v>4</v>
      </c>
      <c r="X225" s="2" t="n">
        <v>3</v>
      </c>
      <c r="Y225" s="2" t="n">
        <v>3</v>
      </c>
      <c r="Z225" s="2" t="n">
        <v>3</v>
      </c>
    </row>
    <row r="226" customFormat="false" ht="15" hidden="false" customHeight="true" outlineLevel="0" collapsed="false">
      <c r="A226" s="2" t="n">
        <v>31</v>
      </c>
      <c r="B226" s="2" t="s">
        <v>33</v>
      </c>
      <c r="C226" s="2" t="s">
        <v>27</v>
      </c>
      <c r="D226" s="2" t="s">
        <v>35</v>
      </c>
      <c r="E226" s="2" t="n">
        <v>9</v>
      </c>
      <c r="F226" s="2" t="n">
        <v>1</v>
      </c>
      <c r="G226" s="2" t="s">
        <v>43</v>
      </c>
      <c r="H226" s="2" t="n">
        <v>225</v>
      </c>
      <c r="I226" s="2" t="s">
        <v>30</v>
      </c>
      <c r="J226" s="2" t="n">
        <v>1</v>
      </c>
      <c r="K226" s="2" t="s">
        <v>48</v>
      </c>
      <c r="L226" s="2" t="s">
        <v>46</v>
      </c>
      <c r="M226" s="2" t="n">
        <v>189470</v>
      </c>
      <c r="N226" s="2" t="n">
        <v>2</v>
      </c>
      <c r="O226" s="2" t="n">
        <v>12</v>
      </c>
      <c r="P226" s="2" t="n">
        <v>2</v>
      </c>
      <c r="Q226" s="2" t="n">
        <v>9</v>
      </c>
      <c r="R226" s="2" t="n">
        <v>2</v>
      </c>
      <c r="S226" s="2" t="n">
        <v>3</v>
      </c>
      <c r="T226" s="2" t="n">
        <v>1</v>
      </c>
      <c r="U226" s="2" t="n">
        <v>2</v>
      </c>
      <c r="V226" s="2" t="n">
        <v>2</v>
      </c>
      <c r="W226" s="2" t="n">
        <v>1</v>
      </c>
      <c r="X226" s="2" t="n">
        <v>1</v>
      </c>
      <c r="Y226" s="2" t="n">
        <v>2</v>
      </c>
      <c r="Z226" s="2" t="n">
        <v>3</v>
      </c>
    </row>
    <row r="227" customFormat="false" ht="15" hidden="false" customHeight="true" outlineLevel="0" collapsed="false">
      <c r="A227" s="2" t="n">
        <v>35</v>
      </c>
      <c r="B227" s="2" t="s">
        <v>26</v>
      </c>
      <c r="C227" s="2" t="s">
        <v>27</v>
      </c>
      <c r="D227" s="2" t="s">
        <v>35</v>
      </c>
      <c r="E227" s="2" t="n">
        <v>2</v>
      </c>
      <c r="F227" s="2" t="n">
        <v>3</v>
      </c>
      <c r="G227" s="2" t="s">
        <v>29</v>
      </c>
      <c r="H227" s="2" t="n">
        <v>226</v>
      </c>
      <c r="I227" s="2" t="s">
        <v>30</v>
      </c>
      <c r="J227" s="2" t="n">
        <v>5</v>
      </c>
      <c r="K227" s="2" t="s">
        <v>40</v>
      </c>
      <c r="L227" s="2" t="s">
        <v>37</v>
      </c>
      <c r="M227" s="2" t="n">
        <v>24960</v>
      </c>
      <c r="N227" s="2" t="n">
        <v>4</v>
      </c>
      <c r="O227" s="2" t="n">
        <v>17</v>
      </c>
      <c r="P227" s="2" t="n">
        <v>3</v>
      </c>
      <c r="Q227" s="2" t="n">
        <v>9</v>
      </c>
      <c r="R227" s="2" t="n">
        <v>3</v>
      </c>
      <c r="S227" s="2" t="n">
        <v>3</v>
      </c>
      <c r="T227" s="2" t="n">
        <v>0</v>
      </c>
      <c r="U227" s="2" t="n">
        <v>2</v>
      </c>
      <c r="V227" s="2" t="n">
        <v>1</v>
      </c>
      <c r="W227" s="2" t="n">
        <v>4</v>
      </c>
      <c r="X227" s="2" t="n">
        <v>3</v>
      </c>
      <c r="Y227" s="2" t="n">
        <v>3</v>
      </c>
      <c r="Z227" s="2" t="n">
        <v>3</v>
      </c>
    </row>
    <row r="228" customFormat="false" ht="15" hidden="false" customHeight="true" outlineLevel="0" collapsed="false">
      <c r="A228" s="2" t="n">
        <v>31</v>
      </c>
      <c r="B228" s="2" t="s">
        <v>26</v>
      </c>
      <c r="C228" s="2" t="s">
        <v>27</v>
      </c>
      <c r="D228" s="2" t="s">
        <v>28</v>
      </c>
      <c r="E228" s="2" t="n">
        <v>1</v>
      </c>
      <c r="F228" s="2" t="n">
        <v>3</v>
      </c>
      <c r="G228" s="2" t="s">
        <v>50</v>
      </c>
      <c r="H228" s="2" t="n">
        <v>227</v>
      </c>
      <c r="I228" s="2" t="s">
        <v>30</v>
      </c>
      <c r="J228" s="2" t="n">
        <v>2</v>
      </c>
      <c r="K228" s="2" t="s">
        <v>40</v>
      </c>
      <c r="L228" s="2" t="s">
        <v>46</v>
      </c>
      <c r="M228" s="2" t="n">
        <v>64650</v>
      </c>
      <c r="N228" s="2" t="n">
        <v>4</v>
      </c>
      <c r="O228" s="2" t="n">
        <v>17</v>
      </c>
      <c r="P228" s="2" t="n">
        <v>0</v>
      </c>
      <c r="Q228" s="2" t="n">
        <v>13</v>
      </c>
      <c r="R228" s="2" t="n">
        <v>3</v>
      </c>
      <c r="S228" s="2" t="n">
        <v>7</v>
      </c>
      <c r="T228" s="2" t="n">
        <v>5</v>
      </c>
      <c r="U228" s="2" t="n">
        <v>7</v>
      </c>
      <c r="V228" s="2" t="n">
        <v>1</v>
      </c>
      <c r="W228" s="2" t="n">
        <v>4</v>
      </c>
      <c r="X228" s="2" t="n">
        <v>4</v>
      </c>
      <c r="Y228" s="2" t="n">
        <v>3</v>
      </c>
      <c r="Z228" s="2" t="n">
        <v>3</v>
      </c>
    </row>
    <row r="229" customFormat="false" ht="15" hidden="false" customHeight="true" outlineLevel="0" collapsed="false">
      <c r="A229" s="2" t="n">
        <v>27</v>
      </c>
      <c r="B229" s="2" t="s">
        <v>26</v>
      </c>
      <c r="C229" s="2" t="s">
        <v>27</v>
      </c>
      <c r="D229" s="2" t="s">
        <v>28</v>
      </c>
      <c r="E229" s="2" t="n">
        <v>22</v>
      </c>
      <c r="F229" s="2" t="n">
        <v>4</v>
      </c>
      <c r="G229" s="2" t="s">
        <v>43</v>
      </c>
      <c r="H229" s="2" t="n">
        <v>228</v>
      </c>
      <c r="I229" s="2" t="s">
        <v>39</v>
      </c>
      <c r="J229" s="2" t="n">
        <v>1</v>
      </c>
      <c r="K229" s="2" t="s">
        <v>48</v>
      </c>
      <c r="L229" s="2" t="s">
        <v>46</v>
      </c>
      <c r="M229" s="2" t="n">
        <v>22060</v>
      </c>
      <c r="N229" s="2" t="n">
        <v>0</v>
      </c>
      <c r="O229" s="2" t="n">
        <v>14</v>
      </c>
      <c r="P229" s="2" t="n">
        <v>1</v>
      </c>
      <c r="Q229" s="2" t="n">
        <v>6</v>
      </c>
      <c r="R229" s="2" t="n">
        <v>4</v>
      </c>
      <c r="S229" s="2" t="n">
        <v>5</v>
      </c>
      <c r="T229" s="2" t="n">
        <v>0</v>
      </c>
      <c r="U229" s="2" t="n">
        <v>3</v>
      </c>
      <c r="V229" s="2" t="n">
        <v>1</v>
      </c>
      <c r="W229" s="2" t="n">
        <v>3</v>
      </c>
      <c r="X229" s="2" t="n">
        <v>2</v>
      </c>
      <c r="Y229" s="2" t="n">
        <v>3</v>
      </c>
      <c r="Z229" s="2" t="n">
        <v>3</v>
      </c>
    </row>
    <row r="230" customFormat="false" ht="15" hidden="false" customHeight="true" outlineLevel="0" collapsed="false">
      <c r="A230" s="2" t="n">
        <v>37</v>
      </c>
      <c r="B230" s="2" t="s">
        <v>26</v>
      </c>
      <c r="C230" s="2" t="s">
        <v>27</v>
      </c>
      <c r="D230" s="2" t="s">
        <v>28</v>
      </c>
      <c r="E230" s="2" t="n">
        <v>9</v>
      </c>
      <c r="F230" s="2" t="n">
        <v>4</v>
      </c>
      <c r="G230" s="2" t="s">
        <v>50</v>
      </c>
      <c r="H230" s="2" t="n">
        <v>229</v>
      </c>
      <c r="I230" s="2" t="s">
        <v>30</v>
      </c>
      <c r="J230" s="2" t="n">
        <v>2</v>
      </c>
      <c r="K230" s="2" t="s">
        <v>45</v>
      </c>
      <c r="L230" s="2" t="s">
        <v>32</v>
      </c>
      <c r="M230" s="2" t="n">
        <v>20860</v>
      </c>
      <c r="N230" s="2" t="n">
        <v>4</v>
      </c>
      <c r="O230" s="2" t="n">
        <v>14</v>
      </c>
      <c r="P230" s="2" t="n">
        <v>0</v>
      </c>
      <c r="Q230" s="2" t="n">
        <v>17</v>
      </c>
      <c r="R230" s="2" t="n">
        <v>3</v>
      </c>
      <c r="S230" s="2" t="n">
        <v>3</v>
      </c>
      <c r="T230" s="2" t="n">
        <v>1</v>
      </c>
      <c r="U230" s="2" t="n">
        <v>0</v>
      </c>
      <c r="V230" s="2" t="n">
        <v>4</v>
      </c>
      <c r="W230" s="2" t="n">
        <v>3</v>
      </c>
      <c r="X230" s="2" t="n">
        <v>2</v>
      </c>
      <c r="Y230" s="2" t="n">
        <v>3</v>
      </c>
      <c r="Z230" s="2" t="n">
        <v>3</v>
      </c>
    </row>
    <row r="231" customFormat="false" ht="15" hidden="false" customHeight="true" outlineLevel="0" collapsed="false">
      <c r="A231" s="2" t="n">
        <v>20</v>
      </c>
      <c r="B231" s="2" t="s">
        <v>26</v>
      </c>
      <c r="C231" s="2" t="s">
        <v>27</v>
      </c>
      <c r="D231" s="2" t="s">
        <v>35</v>
      </c>
      <c r="E231" s="2" t="n">
        <v>17</v>
      </c>
      <c r="F231" s="2" t="n">
        <v>4</v>
      </c>
      <c r="G231" s="2" t="s">
        <v>43</v>
      </c>
      <c r="H231" s="2" t="n">
        <v>230</v>
      </c>
      <c r="I231" s="2" t="s">
        <v>30</v>
      </c>
      <c r="J231" s="2" t="n">
        <v>1</v>
      </c>
      <c r="K231" s="2" t="s">
        <v>48</v>
      </c>
      <c r="L231" s="2" t="s">
        <v>37</v>
      </c>
      <c r="M231" s="2" t="n">
        <v>22930</v>
      </c>
      <c r="N231" s="2" t="n">
        <v>1</v>
      </c>
      <c r="O231" s="2" t="n">
        <v>13</v>
      </c>
      <c r="P231" s="2" t="n">
        <v>2</v>
      </c>
      <c r="Q231" s="2" t="n">
        <v>1</v>
      </c>
      <c r="R231" s="2" t="n">
        <v>3</v>
      </c>
      <c r="S231" s="2" t="n">
        <v>1</v>
      </c>
      <c r="T231" s="2" t="n">
        <v>0</v>
      </c>
      <c r="U231" s="2" t="n">
        <v>0</v>
      </c>
      <c r="V231" s="2" t="n">
        <v>4</v>
      </c>
      <c r="W231" s="2" t="n">
        <v>2</v>
      </c>
      <c r="X231" s="2" t="n">
        <v>4</v>
      </c>
      <c r="Y231" s="2" t="n">
        <v>1</v>
      </c>
      <c r="Z231" s="2" t="n">
        <v>3</v>
      </c>
    </row>
    <row r="232" customFormat="false" ht="15" hidden="false" customHeight="true" outlineLevel="0" collapsed="false">
      <c r="A232" s="2" t="n">
        <v>42</v>
      </c>
      <c r="B232" s="2" t="s">
        <v>26</v>
      </c>
      <c r="C232" s="2" t="s">
        <v>27</v>
      </c>
      <c r="D232" s="2" t="s">
        <v>35</v>
      </c>
      <c r="E232" s="2" t="n">
        <v>28</v>
      </c>
      <c r="F232" s="2" t="n">
        <v>4</v>
      </c>
      <c r="G232" s="2" t="s">
        <v>29</v>
      </c>
      <c r="H232" s="2" t="n">
        <v>231</v>
      </c>
      <c r="I232" s="2" t="s">
        <v>30</v>
      </c>
      <c r="J232" s="2" t="n">
        <v>2</v>
      </c>
      <c r="K232" s="2" t="s">
        <v>47</v>
      </c>
      <c r="L232" s="2" t="s">
        <v>32</v>
      </c>
      <c r="M232" s="2" t="n">
        <v>26450</v>
      </c>
      <c r="N232" s="2" t="n">
        <v>1</v>
      </c>
      <c r="O232" s="2" t="n">
        <v>15</v>
      </c>
      <c r="P232" s="2" t="n">
        <v>0</v>
      </c>
      <c r="Q232" s="2" t="n">
        <v>10</v>
      </c>
      <c r="R232" s="2" t="n">
        <v>5</v>
      </c>
      <c r="S232" s="2" t="n">
        <v>10</v>
      </c>
      <c r="T232" s="2" t="n">
        <v>2</v>
      </c>
      <c r="U232" s="2" t="n">
        <v>2</v>
      </c>
      <c r="V232" s="2" t="n">
        <v>3</v>
      </c>
      <c r="W232" s="2" t="n">
        <v>4</v>
      </c>
      <c r="X232" s="2" t="n">
        <v>3</v>
      </c>
      <c r="Y232" s="2" t="n">
        <v>3</v>
      </c>
      <c r="Z232" s="2" t="n">
        <v>3</v>
      </c>
    </row>
    <row r="233" customFormat="false" ht="15" hidden="false" customHeight="true" outlineLevel="0" collapsed="false">
      <c r="A233" s="2" t="n">
        <v>43</v>
      </c>
      <c r="B233" s="2" t="s">
        <v>26</v>
      </c>
      <c r="C233" s="2" t="s">
        <v>27</v>
      </c>
      <c r="D233" s="2" t="s">
        <v>35</v>
      </c>
      <c r="E233" s="2" t="n">
        <v>10</v>
      </c>
      <c r="F233" s="2" t="n">
        <v>5</v>
      </c>
      <c r="G233" s="2" t="s">
        <v>51</v>
      </c>
      <c r="H233" s="2" t="n">
        <v>232</v>
      </c>
      <c r="I233" s="2" t="s">
        <v>30</v>
      </c>
      <c r="J233" s="2" t="n">
        <v>2</v>
      </c>
      <c r="K233" s="2" t="s">
        <v>40</v>
      </c>
      <c r="L233" s="2" t="s">
        <v>46</v>
      </c>
      <c r="M233" s="2" t="n">
        <v>26830</v>
      </c>
      <c r="N233" s="2" t="n">
        <v>4</v>
      </c>
      <c r="O233" s="2" t="n">
        <v>11</v>
      </c>
      <c r="P233" s="2" t="n">
        <v>0</v>
      </c>
      <c r="Q233" s="2" t="n">
        <v>21</v>
      </c>
      <c r="R233" s="2" t="n">
        <v>3</v>
      </c>
      <c r="S233" s="2" t="n">
        <v>1</v>
      </c>
      <c r="T233" s="2" t="n">
        <v>0</v>
      </c>
      <c r="U233" s="2" t="n">
        <v>0</v>
      </c>
      <c r="V233" s="2" t="n">
        <v>2</v>
      </c>
      <c r="W233" s="2" t="n">
        <v>4</v>
      </c>
      <c r="X233" s="2" t="n">
        <v>2</v>
      </c>
      <c r="Y233" s="2" t="n">
        <v>3</v>
      </c>
      <c r="Z233" s="2" t="n">
        <v>3</v>
      </c>
    </row>
    <row r="234" customFormat="false" ht="15" hidden="false" customHeight="true" outlineLevel="0" collapsed="false">
      <c r="A234" s="2" t="n">
        <v>38</v>
      </c>
      <c r="B234" s="2" t="s">
        <v>26</v>
      </c>
      <c r="C234" s="2" t="s">
        <v>27</v>
      </c>
      <c r="D234" s="2" t="s">
        <v>42</v>
      </c>
      <c r="E234" s="2" t="n">
        <v>2</v>
      </c>
      <c r="F234" s="2" t="n">
        <v>4</v>
      </c>
      <c r="G234" s="2" t="s">
        <v>43</v>
      </c>
      <c r="H234" s="2" t="n">
        <v>233</v>
      </c>
      <c r="I234" s="2" t="s">
        <v>39</v>
      </c>
      <c r="J234" s="2" t="n">
        <v>1</v>
      </c>
      <c r="K234" s="2" t="s">
        <v>42</v>
      </c>
      <c r="L234" s="2" t="s">
        <v>37</v>
      </c>
      <c r="M234" s="2" t="n">
        <v>20140</v>
      </c>
      <c r="N234" s="2" t="n">
        <v>3</v>
      </c>
      <c r="O234" s="2" t="n">
        <v>17</v>
      </c>
      <c r="P234" s="2" t="n">
        <v>1</v>
      </c>
      <c r="Q234" s="2" t="n">
        <v>8</v>
      </c>
      <c r="R234" s="2" t="n">
        <v>5</v>
      </c>
      <c r="S234" s="2" t="n">
        <v>0</v>
      </c>
      <c r="T234" s="2" t="n">
        <v>0</v>
      </c>
      <c r="U234" s="2" t="n">
        <v>0</v>
      </c>
      <c r="V234" s="2" t="n">
        <v>3</v>
      </c>
      <c r="W234" s="2" t="n">
        <v>1</v>
      </c>
      <c r="X234" s="2" t="n">
        <v>2</v>
      </c>
      <c r="Y234" s="2" t="n">
        <v>4</v>
      </c>
      <c r="Z234" s="2" t="n">
        <v>3</v>
      </c>
    </row>
    <row r="235" customFormat="false" ht="15" hidden="false" customHeight="true" outlineLevel="0" collapsed="false">
      <c r="A235" s="2" t="n">
        <v>43</v>
      </c>
      <c r="B235" s="2" t="s">
        <v>26</v>
      </c>
      <c r="C235" s="2" t="s">
        <v>34</v>
      </c>
      <c r="D235" s="2" t="s">
        <v>28</v>
      </c>
      <c r="E235" s="2" t="n">
        <v>4</v>
      </c>
      <c r="F235" s="2" t="n">
        <v>3</v>
      </c>
      <c r="G235" s="2" t="s">
        <v>43</v>
      </c>
      <c r="H235" s="2" t="n">
        <v>234</v>
      </c>
      <c r="I235" s="2" t="s">
        <v>30</v>
      </c>
      <c r="J235" s="2" t="n">
        <v>2</v>
      </c>
      <c r="K235" s="2" t="s">
        <v>31</v>
      </c>
      <c r="L235" s="2" t="s">
        <v>46</v>
      </c>
      <c r="M235" s="2" t="n">
        <v>34190</v>
      </c>
      <c r="N235" s="2" t="n">
        <v>3</v>
      </c>
      <c r="O235" s="2" t="n">
        <v>11</v>
      </c>
      <c r="P235" s="2" t="n">
        <v>1</v>
      </c>
      <c r="Q235" s="2" t="n">
        <v>10</v>
      </c>
      <c r="R235" s="2" t="n">
        <v>5</v>
      </c>
      <c r="S235" s="2" t="n">
        <v>8</v>
      </c>
      <c r="T235" s="2" t="n">
        <v>4</v>
      </c>
      <c r="U235" s="2" t="n">
        <v>7</v>
      </c>
      <c r="V235" s="2" t="n">
        <v>4</v>
      </c>
      <c r="W235" s="2" t="n">
        <v>3</v>
      </c>
      <c r="X235" s="2" t="n">
        <v>3</v>
      </c>
      <c r="Y235" s="2" t="n">
        <v>3</v>
      </c>
      <c r="Z235" s="2" t="n">
        <v>3</v>
      </c>
    </row>
    <row r="236" customFormat="false" ht="15" hidden="false" customHeight="true" outlineLevel="0" collapsed="false">
      <c r="A236" s="2" t="n">
        <v>48</v>
      </c>
      <c r="B236" s="2" t="s">
        <v>26</v>
      </c>
      <c r="C236" s="2" t="s">
        <v>27</v>
      </c>
      <c r="D236" s="2" t="s">
        <v>35</v>
      </c>
      <c r="E236" s="2" t="n">
        <v>8</v>
      </c>
      <c r="F236" s="2" t="n">
        <v>1</v>
      </c>
      <c r="G236" s="2" t="s">
        <v>43</v>
      </c>
      <c r="H236" s="2" t="n">
        <v>235</v>
      </c>
      <c r="I236" s="2" t="s">
        <v>39</v>
      </c>
      <c r="J236" s="2" t="n">
        <v>2</v>
      </c>
      <c r="K236" s="2" t="s">
        <v>45</v>
      </c>
      <c r="L236" s="2" t="s">
        <v>32</v>
      </c>
      <c r="M236" s="2" t="n">
        <v>53760</v>
      </c>
      <c r="N236" s="2" t="n">
        <v>7</v>
      </c>
      <c r="O236" s="2" t="n">
        <v>13</v>
      </c>
      <c r="P236" s="2" t="n">
        <v>1</v>
      </c>
      <c r="Q236" s="2" t="n">
        <v>21</v>
      </c>
      <c r="R236" s="2" t="n">
        <v>3</v>
      </c>
      <c r="S236" s="2" t="n">
        <v>3</v>
      </c>
      <c r="T236" s="2" t="n">
        <v>0</v>
      </c>
      <c r="U236" s="2" t="n">
        <v>2</v>
      </c>
      <c r="V236" s="2" t="n">
        <v>4</v>
      </c>
      <c r="W236" s="2" t="n">
        <v>1</v>
      </c>
      <c r="X236" s="2" t="n">
        <v>1</v>
      </c>
      <c r="Y236" s="2" t="n">
        <v>4</v>
      </c>
      <c r="Z236" s="2" t="n">
        <v>3</v>
      </c>
    </row>
    <row r="237" customFormat="false" ht="15" hidden="false" customHeight="true" outlineLevel="0" collapsed="false">
      <c r="A237" s="2" t="n">
        <v>44</v>
      </c>
      <c r="B237" s="2" t="s">
        <v>26</v>
      </c>
      <c r="C237" s="2" t="s">
        <v>27</v>
      </c>
      <c r="D237" s="2" t="s">
        <v>28</v>
      </c>
      <c r="E237" s="2" t="n">
        <v>29</v>
      </c>
      <c r="F237" s="2" t="n">
        <v>4</v>
      </c>
      <c r="G237" s="2" t="s">
        <v>50</v>
      </c>
      <c r="H237" s="2" t="n">
        <v>236</v>
      </c>
      <c r="I237" s="2" t="s">
        <v>39</v>
      </c>
      <c r="J237" s="2" t="n">
        <v>2</v>
      </c>
      <c r="K237" s="2" t="s">
        <v>40</v>
      </c>
      <c r="L237" s="2" t="s">
        <v>37</v>
      </c>
      <c r="M237" s="2" t="n">
        <v>19510</v>
      </c>
      <c r="N237" s="2" t="n">
        <v>4</v>
      </c>
      <c r="O237" s="2" t="n">
        <v>22</v>
      </c>
      <c r="P237" s="2" t="n">
        <v>3</v>
      </c>
      <c r="Q237" s="2" t="n">
        <v>10</v>
      </c>
      <c r="R237" s="2" t="n">
        <v>4</v>
      </c>
      <c r="S237" s="2" t="n">
        <v>2</v>
      </c>
      <c r="T237" s="2" t="n">
        <v>0</v>
      </c>
      <c r="U237" s="2" t="n">
        <v>2</v>
      </c>
      <c r="V237" s="2" t="n">
        <v>1</v>
      </c>
      <c r="W237" s="2" t="n">
        <v>3</v>
      </c>
      <c r="X237" s="2" t="n">
        <v>4</v>
      </c>
      <c r="Y237" s="2" t="n">
        <v>4</v>
      </c>
      <c r="Z237" s="2" t="n">
        <v>4</v>
      </c>
    </row>
    <row r="238" customFormat="false" ht="15" hidden="false" customHeight="true" outlineLevel="0" collapsed="false">
      <c r="A238" s="2" t="n">
        <v>34</v>
      </c>
      <c r="B238" s="2" t="s">
        <v>26</v>
      </c>
      <c r="C238" s="2" t="s">
        <v>27</v>
      </c>
      <c r="D238" s="2" t="s">
        <v>35</v>
      </c>
      <c r="E238" s="2" t="n">
        <v>13</v>
      </c>
      <c r="F238" s="2" t="n">
        <v>4</v>
      </c>
      <c r="G238" s="2" t="s">
        <v>29</v>
      </c>
      <c r="H238" s="2" t="n">
        <v>237</v>
      </c>
      <c r="I238" s="2" t="s">
        <v>30</v>
      </c>
      <c r="J238" s="2" t="n">
        <v>1</v>
      </c>
      <c r="K238" s="2" t="s">
        <v>45</v>
      </c>
      <c r="L238" s="2" t="s">
        <v>46</v>
      </c>
      <c r="M238" s="2" t="n">
        <v>23410</v>
      </c>
      <c r="N238" s="2" t="n">
        <v>1</v>
      </c>
      <c r="O238" s="2" t="n">
        <v>20</v>
      </c>
      <c r="P238" s="2" t="n">
        <v>2</v>
      </c>
      <c r="Q238" s="2" t="n">
        <v>8</v>
      </c>
      <c r="R238" s="2" t="n">
        <v>3</v>
      </c>
      <c r="S238" s="2" t="n">
        <v>8</v>
      </c>
      <c r="T238" s="2" t="n">
        <v>0</v>
      </c>
      <c r="U238" s="2" t="n">
        <v>6</v>
      </c>
      <c r="V238" s="2" t="n">
        <v>3</v>
      </c>
      <c r="W238" s="2" t="n">
        <v>3</v>
      </c>
      <c r="X238" s="2" t="n">
        <v>3</v>
      </c>
      <c r="Y238" s="2" t="n">
        <v>2</v>
      </c>
      <c r="Z238" s="2" t="n">
        <v>4</v>
      </c>
    </row>
    <row r="239" customFormat="false" ht="15" hidden="false" customHeight="true" outlineLevel="0" collapsed="false">
      <c r="A239" s="2" t="n">
        <v>27</v>
      </c>
      <c r="B239" s="2" t="s">
        <v>33</v>
      </c>
      <c r="C239" s="2" t="s">
        <v>27</v>
      </c>
      <c r="D239" s="2" t="s">
        <v>28</v>
      </c>
      <c r="E239" s="2" t="n">
        <v>27</v>
      </c>
      <c r="F239" s="2" t="n">
        <v>3</v>
      </c>
      <c r="G239" s="2" t="s">
        <v>29</v>
      </c>
      <c r="H239" s="2" t="n">
        <v>238</v>
      </c>
      <c r="I239" s="2" t="s">
        <v>39</v>
      </c>
      <c r="J239" s="2" t="n">
        <v>2</v>
      </c>
      <c r="K239" s="2" t="s">
        <v>36</v>
      </c>
      <c r="L239" s="2" t="s">
        <v>46</v>
      </c>
      <c r="M239" s="2" t="n">
        <v>22930</v>
      </c>
      <c r="N239" s="2" t="n">
        <v>0</v>
      </c>
      <c r="O239" s="2" t="n">
        <v>18</v>
      </c>
      <c r="P239" s="2" t="n">
        <v>0</v>
      </c>
      <c r="Q239" s="2" t="n">
        <v>5</v>
      </c>
      <c r="R239" s="2" t="n">
        <v>0</v>
      </c>
      <c r="S239" s="2" t="n">
        <v>4</v>
      </c>
      <c r="T239" s="2" t="n">
        <v>0</v>
      </c>
      <c r="U239" s="2" t="n">
        <v>2</v>
      </c>
      <c r="V239" s="2" t="n">
        <v>3</v>
      </c>
      <c r="W239" s="2" t="n">
        <v>1</v>
      </c>
      <c r="X239" s="2" t="n">
        <v>3</v>
      </c>
      <c r="Y239" s="2" t="n">
        <v>3</v>
      </c>
      <c r="Z239" s="2" t="n">
        <v>3</v>
      </c>
    </row>
    <row r="240" customFormat="false" ht="15" hidden="false" customHeight="true" outlineLevel="0" collapsed="false">
      <c r="A240" s="2" t="n">
        <v>21</v>
      </c>
      <c r="B240" s="2" t="s">
        <v>26</v>
      </c>
      <c r="C240" s="2" t="s">
        <v>27</v>
      </c>
      <c r="D240" s="2" t="s">
        <v>28</v>
      </c>
      <c r="E240" s="2" t="n">
        <v>16</v>
      </c>
      <c r="F240" s="2" t="n">
        <v>2</v>
      </c>
      <c r="G240" s="2" t="s">
        <v>29</v>
      </c>
      <c r="H240" s="2" t="n">
        <v>239</v>
      </c>
      <c r="I240" s="2" t="s">
        <v>39</v>
      </c>
      <c r="J240" s="2" t="n">
        <v>3</v>
      </c>
      <c r="K240" s="2" t="s">
        <v>40</v>
      </c>
      <c r="L240" s="2" t="s">
        <v>37</v>
      </c>
      <c r="M240" s="2" t="n">
        <v>87260</v>
      </c>
      <c r="N240" s="2" t="n">
        <v>1</v>
      </c>
      <c r="O240" s="2" t="n">
        <v>11</v>
      </c>
      <c r="P240" s="2" t="n">
        <v>1</v>
      </c>
      <c r="Q240" s="2" t="n">
        <v>3</v>
      </c>
      <c r="R240" s="2" t="n">
        <v>2</v>
      </c>
      <c r="S240" s="2" t="n">
        <v>3</v>
      </c>
      <c r="T240" s="2" t="n">
        <v>1</v>
      </c>
      <c r="U240" s="2" t="n">
        <v>2</v>
      </c>
      <c r="V240" s="2" t="n">
        <v>3</v>
      </c>
      <c r="W240" s="2" t="n">
        <v>3</v>
      </c>
      <c r="X240" s="2" t="n">
        <v>3</v>
      </c>
      <c r="Y240" s="2" t="n">
        <v>1</v>
      </c>
      <c r="Z240" s="2" t="n">
        <v>3</v>
      </c>
    </row>
    <row r="241" customFormat="false" ht="15" hidden="false" customHeight="true" outlineLevel="0" collapsed="false">
      <c r="A241" s="2" t="n">
        <v>44</v>
      </c>
      <c r="B241" s="2" t="s">
        <v>26</v>
      </c>
      <c r="C241" s="2" t="s">
        <v>27</v>
      </c>
      <c r="D241" s="2" t="s">
        <v>35</v>
      </c>
      <c r="E241" s="2" t="n">
        <v>2</v>
      </c>
      <c r="F241" s="2" t="n">
        <v>2</v>
      </c>
      <c r="G241" s="2" t="s">
        <v>29</v>
      </c>
      <c r="H241" s="2" t="n">
        <v>240</v>
      </c>
      <c r="I241" s="2" t="s">
        <v>39</v>
      </c>
      <c r="J241" s="2" t="n">
        <v>1</v>
      </c>
      <c r="K241" s="2" t="s">
        <v>45</v>
      </c>
      <c r="L241" s="2" t="s">
        <v>32</v>
      </c>
      <c r="M241" s="2" t="n">
        <v>40110</v>
      </c>
      <c r="N241" s="2" t="n">
        <v>4</v>
      </c>
      <c r="O241" s="2" t="n">
        <v>14</v>
      </c>
      <c r="P241" s="2" t="n">
        <v>1</v>
      </c>
      <c r="Q241" s="2" t="n">
        <v>26</v>
      </c>
      <c r="R241" s="2" t="n">
        <v>2</v>
      </c>
      <c r="S241" s="2" t="n">
        <v>2</v>
      </c>
      <c r="T241" s="2" t="n">
        <v>0</v>
      </c>
      <c r="U241" s="2" t="n">
        <v>1</v>
      </c>
      <c r="V241" s="2" t="n">
        <v>4</v>
      </c>
      <c r="W241" s="2" t="n">
        <v>4</v>
      </c>
      <c r="X241" s="2" t="n">
        <v>4</v>
      </c>
      <c r="Y241" s="2" t="n">
        <v>3</v>
      </c>
      <c r="Z241" s="2" t="n">
        <v>3</v>
      </c>
    </row>
    <row r="242" customFormat="false" ht="15" hidden="false" customHeight="true" outlineLevel="0" collapsed="false">
      <c r="A242" s="2" t="n">
        <v>22</v>
      </c>
      <c r="B242" s="2" t="s">
        <v>26</v>
      </c>
      <c r="C242" s="2" t="s">
        <v>27</v>
      </c>
      <c r="D242" s="2" t="s">
        <v>35</v>
      </c>
      <c r="E242" s="2" t="n">
        <v>2</v>
      </c>
      <c r="F242" s="2" t="n">
        <v>2</v>
      </c>
      <c r="G242" s="2" t="s">
        <v>43</v>
      </c>
      <c r="H242" s="2" t="n">
        <v>241</v>
      </c>
      <c r="I242" s="2" t="s">
        <v>30</v>
      </c>
      <c r="J242" s="2" t="n">
        <v>2</v>
      </c>
      <c r="K242" s="2" t="s">
        <v>45</v>
      </c>
      <c r="L242" s="2" t="s">
        <v>32</v>
      </c>
      <c r="M242" s="2" t="n">
        <v>195450</v>
      </c>
      <c r="N242" s="2" t="n">
        <v>0</v>
      </c>
      <c r="O242" s="2" t="n">
        <v>14</v>
      </c>
      <c r="P242" s="2" t="n">
        <v>0</v>
      </c>
      <c r="Q242" s="2" t="n">
        <v>3</v>
      </c>
      <c r="R242" s="2" t="n">
        <v>3</v>
      </c>
      <c r="S242" s="2" t="n">
        <v>2</v>
      </c>
      <c r="T242" s="2" t="n">
        <v>2</v>
      </c>
      <c r="U242" s="2" t="n">
        <v>2</v>
      </c>
      <c r="V242" s="2" t="n">
        <v>1</v>
      </c>
      <c r="W242" s="2" t="n">
        <v>3</v>
      </c>
      <c r="X242" s="2" t="n">
        <v>3</v>
      </c>
      <c r="Y242" s="2" t="n">
        <v>2</v>
      </c>
      <c r="Z242" s="2" t="n">
        <v>3</v>
      </c>
    </row>
    <row r="243" customFormat="false" ht="15" hidden="false" customHeight="true" outlineLevel="0" collapsed="false">
      <c r="A243" s="2" t="n">
        <v>33</v>
      </c>
      <c r="B243" s="2" t="s">
        <v>26</v>
      </c>
      <c r="C243" s="2" t="s">
        <v>27</v>
      </c>
      <c r="D243" s="2" t="s">
        <v>28</v>
      </c>
      <c r="E243" s="2" t="n">
        <v>13</v>
      </c>
      <c r="F243" s="2" t="n">
        <v>4</v>
      </c>
      <c r="G243" s="2" t="s">
        <v>50</v>
      </c>
      <c r="H243" s="2" t="n">
        <v>242</v>
      </c>
      <c r="I243" s="2" t="s">
        <v>30</v>
      </c>
      <c r="J243" s="2" t="n">
        <v>2</v>
      </c>
      <c r="K243" s="2" t="s">
        <v>47</v>
      </c>
      <c r="L243" s="2" t="s">
        <v>46</v>
      </c>
      <c r="M243" s="2" t="n">
        <v>45680</v>
      </c>
      <c r="N243" s="2" t="n">
        <v>0</v>
      </c>
      <c r="O243" s="2" t="n">
        <v>18</v>
      </c>
      <c r="P243" s="2" t="n">
        <v>1</v>
      </c>
      <c r="Q243" s="2" t="n">
        <v>6</v>
      </c>
      <c r="R243" s="2" t="n">
        <v>2</v>
      </c>
      <c r="S243" s="2" t="n">
        <v>5</v>
      </c>
      <c r="T243" s="2" t="n">
        <v>1</v>
      </c>
      <c r="U243" s="2" t="n">
        <v>2</v>
      </c>
      <c r="V243" s="2" t="n">
        <v>3</v>
      </c>
      <c r="W243" s="2" t="n">
        <v>3</v>
      </c>
      <c r="X243" s="2" t="n">
        <v>3</v>
      </c>
      <c r="Y243" s="2" t="n">
        <v>3</v>
      </c>
      <c r="Z243" s="2" t="n">
        <v>3</v>
      </c>
    </row>
    <row r="244" customFormat="false" ht="15" hidden="false" customHeight="true" outlineLevel="0" collapsed="false">
      <c r="A244" s="2" t="n">
        <v>32</v>
      </c>
      <c r="B244" s="2" t="s">
        <v>26</v>
      </c>
      <c r="C244" s="2" t="s">
        <v>27</v>
      </c>
      <c r="D244" s="2" t="s">
        <v>35</v>
      </c>
      <c r="E244" s="2" t="n">
        <v>1</v>
      </c>
      <c r="F244" s="2" t="n">
        <v>1</v>
      </c>
      <c r="G244" s="2" t="s">
        <v>29</v>
      </c>
      <c r="H244" s="2" t="n">
        <v>243</v>
      </c>
      <c r="I244" s="2" t="s">
        <v>30</v>
      </c>
      <c r="J244" s="2" t="n">
        <v>1</v>
      </c>
      <c r="K244" s="2" t="s">
        <v>31</v>
      </c>
      <c r="L244" s="2" t="s">
        <v>32</v>
      </c>
      <c r="M244" s="2" t="n">
        <v>30220</v>
      </c>
      <c r="N244" s="2" t="n">
        <v>1</v>
      </c>
      <c r="O244" s="2" t="n">
        <v>16</v>
      </c>
      <c r="P244" s="2" t="n">
        <v>1</v>
      </c>
      <c r="Q244" s="2" t="n">
        <v>6</v>
      </c>
      <c r="R244" s="2" t="n">
        <v>3</v>
      </c>
      <c r="S244" s="2" t="n">
        <v>6</v>
      </c>
      <c r="T244" s="2" t="n">
        <v>0</v>
      </c>
      <c r="U244" s="2" t="n">
        <v>5</v>
      </c>
      <c r="V244" s="2" t="n">
        <v>1</v>
      </c>
      <c r="W244" s="2" t="n">
        <v>4</v>
      </c>
      <c r="X244" s="2" t="n">
        <v>2</v>
      </c>
      <c r="Y244" s="2" t="n">
        <v>3</v>
      </c>
      <c r="Z244" s="2" t="n">
        <v>3</v>
      </c>
    </row>
    <row r="245" customFormat="false" ht="15" hidden="false" customHeight="true" outlineLevel="0" collapsed="false">
      <c r="A245" s="2" t="n">
        <v>30</v>
      </c>
      <c r="B245" s="2" t="s">
        <v>26</v>
      </c>
      <c r="C245" s="2" t="s">
        <v>34</v>
      </c>
      <c r="D245" s="2" t="s">
        <v>35</v>
      </c>
      <c r="E245" s="2" t="n">
        <v>4</v>
      </c>
      <c r="F245" s="2" t="n">
        <v>5</v>
      </c>
      <c r="G245" s="2" t="s">
        <v>51</v>
      </c>
      <c r="H245" s="2" t="n">
        <v>244</v>
      </c>
      <c r="I245" s="2" t="s">
        <v>39</v>
      </c>
      <c r="J245" s="2" t="n">
        <v>3</v>
      </c>
      <c r="K245" s="2" t="s">
        <v>49</v>
      </c>
      <c r="L245" s="2" t="s">
        <v>46</v>
      </c>
      <c r="M245" s="2" t="n">
        <v>57720</v>
      </c>
      <c r="N245" s="2" t="n">
        <v>1</v>
      </c>
      <c r="O245" s="2" t="n">
        <v>17</v>
      </c>
      <c r="P245" s="2" t="n">
        <v>0</v>
      </c>
      <c r="Q245" s="2" t="n">
        <v>1</v>
      </c>
      <c r="R245" s="2" t="n">
        <v>3</v>
      </c>
      <c r="S245" s="2" t="n">
        <v>1</v>
      </c>
      <c r="T245" s="2" t="n">
        <v>0</v>
      </c>
      <c r="U245" s="2" t="n">
        <v>0</v>
      </c>
      <c r="V245" s="2" t="n">
        <v>3</v>
      </c>
      <c r="W245" s="2" t="n">
        <v>3</v>
      </c>
      <c r="X245" s="2" t="n">
        <v>3</v>
      </c>
      <c r="Y245" s="2" t="n">
        <v>3</v>
      </c>
      <c r="Z245" s="2" t="n">
        <v>3</v>
      </c>
    </row>
    <row r="246" customFormat="false" ht="15" hidden="false" customHeight="true" outlineLevel="0" collapsed="false">
      <c r="A246" s="2" t="n">
        <v>53</v>
      </c>
      <c r="B246" s="2" t="s">
        <v>26</v>
      </c>
      <c r="C246" s="2" t="s">
        <v>27</v>
      </c>
      <c r="D246" s="2" t="s">
        <v>35</v>
      </c>
      <c r="E246" s="2" t="n">
        <v>24</v>
      </c>
      <c r="F246" s="2" t="n">
        <v>3</v>
      </c>
      <c r="G246" s="2" t="s">
        <v>38</v>
      </c>
      <c r="H246" s="2" t="n">
        <v>245</v>
      </c>
      <c r="I246" s="2" t="s">
        <v>30</v>
      </c>
      <c r="J246" s="2" t="n">
        <v>3</v>
      </c>
      <c r="K246" s="2" t="s">
        <v>49</v>
      </c>
      <c r="L246" s="2" t="s">
        <v>37</v>
      </c>
      <c r="M246" s="2" t="n">
        <v>22690</v>
      </c>
      <c r="N246" s="2" t="n">
        <v>7</v>
      </c>
      <c r="O246" s="2" t="n">
        <v>11</v>
      </c>
      <c r="P246" s="2" t="n">
        <v>1</v>
      </c>
      <c r="Q246" s="2" t="n">
        <v>18</v>
      </c>
      <c r="R246" s="2" t="n">
        <v>2</v>
      </c>
      <c r="S246" s="2" t="n">
        <v>14</v>
      </c>
      <c r="T246" s="2" t="n">
        <v>8</v>
      </c>
      <c r="U246" s="2" t="n">
        <v>10</v>
      </c>
      <c r="V246" s="2" t="n">
        <v>4</v>
      </c>
      <c r="W246" s="2" t="n">
        <v>1</v>
      </c>
      <c r="X246" s="2" t="n">
        <v>4</v>
      </c>
      <c r="Y246" s="2" t="n">
        <v>2</v>
      </c>
      <c r="Z246" s="2" t="n">
        <v>3</v>
      </c>
    </row>
    <row r="247" customFormat="false" ht="15" hidden="false" customHeight="true" outlineLevel="0" collapsed="false">
      <c r="A247" s="2" t="n">
        <v>34</v>
      </c>
      <c r="B247" s="2" t="s">
        <v>26</v>
      </c>
      <c r="C247" s="2" t="s">
        <v>27</v>
      </c>
      <c r="D247" s="2" t="s">
        <v>35</v>
      </c>
      <c r="E247" s="2" t="n">
        <v>1</v>
      </c>
      <c r="F247" s="2" t="n">
        <v>5</v>
      </c>
      <c r="G247" s="2" t="s">
        <v>43</v>
      </c>
      <c r="H247" s="2" t="n">
        <v>246</v>
      </c>
      <c r="I247" s="2" t="s">
        <v>39</v>
      </c>
      <c r="J247" s="2" t="n">
        <v>1</v>
      </c>
      <c r="K247" s="2" t="s">
        <v>36</v>
      </c>
      <c r="L247" s="2" t="s">
        <v>32</v>
      </c>
      <c r="M247" s="2" t="n">
        <v>53810</v>
      </c>
      <c r="N247" s="2" t="n">
        <v>1</v>
      </c>
      <c r="O247" s="2" t="n">
        <v>12</v>
      </c>
      <c r="P247" s="2" t="n">
        <v>0</v>
      </c>
      <c r="Q247" s="2" t="n">
        <v>10</v>
      </c>
      <c r="R247" s="2" t="n">
        <v>0</v>
      </c>
      <c r="S247" s="2" t="n">
        <v>10</v>
      </c>
      <c r="T247" s="2" t="n">
        <v>8</v>
      </c>
      <c r="U247" s="2" t="n">
        <v>8</v>
      </c>
      <c r="V247" s="2" t="n">
        <v>2</v>
      </c>
      <c r="W247" s="2" t="n">
        <v>4</v>
      </c>
      <c r="X247" s="2" t="n">
        <v>2</v>
      </c>
      <c r="Y247" s="2" t="n">
        <v>3</v>
      </c>
      <c r="Z247" s="2" t="n">
        <v>3</v>
      </c>
    </row>
    <row r="248" customFormat="false" ht="15" hidden="false" customHeight="true" outlineLevel="0" collapsed="false">
      <c r="A248" s="2" t="n">
        <v>45</v>
      </c>
      <c r="B248" s="2" t="s">
        <v>33</v>
      </c>
      <c r="C248" s="2" t="s">
        <v>34</v>
      </c>
      <c r="D248" s="2" t="s">
        <v>35</v>
      </c>
      <c r="E248" s="2" t="n">
        <v>19</v>
      </c>
      <c r="F248" s="2" t="n">
        <v>4</v>
      </c>
      <c r="G248" s="2" t="s">
        <v>29</v>
      </c>
      <c r="H248" s="2" t="n">
        <v>247</v>
      </c>
      <c r="I248" s="2" t="s">
        <v>39</v>
      </c>
      <c r="J248" s="2" t="n">
        <v>3</v>
      </c>
      <c r="K248" s="2" t="s">
        <v>44</v>
      </c>
      <c r="L248" s="2" t="s">
        <v>32</v>
      </c>
      <c r="M248" s="2" t="n">
        <v>34410</v>
      </c>
      <c r="N248" s="2" t="n">
        <v>2</v>
      </c>
      <c r="O248" s="2" t="n">
        <v>13</v>
      </c>
      <c r="P248" s="2" t="n">
        <v>1</v>
      </c>
      <c r="Q248" s="2" t="n">
        <v>5</v>
      </c>
      <c r="R248" s="2" t="n">
        <v>5</v>
      </c>
      <c r="S248" s="2" t="n">
        <v>1</v>
      </c>
      <c r="T248" s="2" t="n">
        <v>0</v>
      </c>
      <c r="U248" s="2" t="n">
        <v>0</v>
      </c>
      <c r="V248" s="2" t="n">
        <v>1</v>
      </c>
      <c r="W248" s="2" t="n">
        <v>1</v>
      </c>
      <c r="X248" s="2" t="n">
        <v>3</v>
      </c>
      <c r="Y248" s="2" t="n">
        <v>3</v>
      </c>
      <c r="Z248" s="2" t="n">
        <v>3</v>
      </c>
    </row>
    <row r="249" customFormat="false" ht="15" hidden="false" customHeight="true" outlineLevel="0" collapsed="false">
      <c r="A249" s="2" t="n">
        <v>26</v>
      </c>
      <c r="B249" s="2" t="s">
        <v>26</v>
      </c>
      <c r="C249" s="2" t="s">
        <v>27</v>
      </c>
      <c r="D249" s="2" t="s">
        <v>35</v>
      </c>
      <c r="E249" s="2" t="n">
        <v>7</v>
      </c>
      <c r="F249" s="2" t="n">
        <v>2</v>
      </c>
      <c r="G249" s="2" t="s">
        <v>29</v>
      </c>
      <c r="H249" s="2" t="n">
        <v>248</v>
      </c>
      <c r="I249" s="2" t="s">
        <v>39</v>
      </c>
      <c r="J249" s="2" t="n">
        <v>1</v>
      </c>
      <c r="K249" s="2" t="s">
        <v>47</v>
      </c>
      <c r="L249" s="2" t="s">
        <v>32</v>
      </c>
      <c r="M249" s="2" t="n">
        <v>54540</v>
      </c>
      <c r="N249" s="2" t="n">
        <v>1</v>
      </c>
      <c r="O249" s="2" t="n">
        <v>13</v>
      </c>
      <c r="P249" s="2" t="n">
        <v>1</v>
      </c>
      <c r="Q249" s="2" t="n">
        <v>3</v>
      </c>
      <c r="R249" s="2" t="n">
        <v>5</v>
      </c>
      <c r="S249" s="2" t="n">
        <v>3</v>
      </c>
      <c r="T249" s="2" t="n">
        <v>0</v>
      </c>
      <c r="U249" s="2" t="n">
        <v>2</v>
      </c>
      <c r="V249" s="2" t="n">
        <v>3</v>
      </c>
      <c r="W249" s="2" t="n">
        <v>4</v>
      </c>
      <c r="X249" s="2" t="n">
        <v>3</v>
      </c>
      <c r="Y249" s="2" t="n">
        <v>4</v>
      </c>
      <c r="Z249" s="2" t="n">
        <v>3</v>
      </c>
    </row>
    <row r="250" customFormat="false" ht="15" hidden="false" customHeight="true" outlineLevel="0" collapsed="false">
      <c r="A250" s="2" t="n">
        <v>37</v>
      </c>
      <c r="B250" s="2" t="s">
        <v>26</v>
      </c>
      <c r="C250" s="2" t="s">
        <v>27</v>
      </c>
      <c r="D250" s="2" t="s">
        <v>35</v>
      </c>
      <c r="E250" s="2" t="n">
        <v>4</v>
      </c>
      <c r="F250" s="2" t="n">
        <v>3</v>
      </c>
      <c r="G250" s="2" t="s">
        <v>43</v>
      </c>
      <c r="H250" s="2" t="n">
        <v>249</v>
      </c>
      <c r="I250" s="2" t="s">
        <v>39</v>
      </c>
      <c r="J250" s="2" t="n">
        <v>1</v>
      </c>
      <c r="K250" s="2" t="s">
        <v>49</v>
      </c>
      <c r="L250" s="2" t="s">
        <v>32</v>
      </c>
      <c r="M250" s="2" t="n">
        <v>98840</v>
      </c>
      <c r="N250" s="2" t="n">
        <v>1</v>
      </c>
      <c r="O250" s="2" t="n">
        <v>14</v>
      </c>
      <c r="P250" s="2" t="n">
        <v>0</v>
      </c>
      <c r="Q250" s="2" t="n">
        <v>10</v>
      </c>
      <c r="R250" s="2" t="n">
        <v>3</v>
      </c>
      <c r="S250" s="2" t="n">
        <v>10</v>
      </c>
      <c r="T250" s="2" t="n">
        <v>7</v>
      </c>
      <c r="U250" s="2" t="n">
        <v>8</v>
      </c>
      <c r="V250" s="2" t="n">
        <v>3</v>
      </c>
      <c r="W250" s="2" t="n">
        <v>3</v>
      </c>
      <c r="X250" s="2" t="n">
        <v>3</v>
      </c>
      <c r="Y250" s="2" t="n">
        <v>2</v>
      </c>
      <c r="Z250" s="2" t="n">
        <v>3</v>
      </c>
    </row>
    <row r="251" customFormat="false" ht="15" hidden="false" customHeight="true" outlineLevel="0" collapsed="false">
      <c r="A251" s="2" t="n">
        <v>29</v>
      </c>
      <c r="B251" s="2" t="s">
        <v>26</v>
      </c>
      <c r="C251" s="2" t="s">
        <v>27</v>
      </c>
      <c r="D251" s="2" t="s">
        <v>35</v>
      </c>
      <c r="E251" s="2" t="n">
        <v>2</v>
      </c>
      <c r="F251" s="2" t="n">
        <v>3</v>
      </c>
      <c r="G251" s="2" t="s">
        <v>29</v>
      </c>
      <c r="H251" s="2" t="n">
        <v>250</v>
      </c>
      <c r="I251" s="2" t="s">
        <v>30</v>
      </c>
      <c r="J251" s="2" t="n">
        <v>1</v>
      </c>
      <c r="K251" s="2" t="s">
        <v>31</v>
      </c>
      <c r="L251" s="2" t="s">
        <v>32</v>
      </c>
      <c r="M251" s="2" t="n">
        <v>41570</v>
      </c>
      <c r="N251" s="2" t="n">
        <v>1</v>
      </c>
      <c r="O251" s="2" t="n">
        <v>17</v>
      </c>
      <c r="P251" s="2" t="n">
        <v>3</v>
      </c>
      <c r="Q251" s="2" t="n">
        <v>6</v>
      </c>
      <c r="R251" s="2" t="n">
        <v>2</v>
      </c>
      <c r="S251" s="2" t="n">
        <v>6</v>
      </c>
      <c r="T251" s="2" t="n">
        <v>1</v>
      </c>
      <c r="U251" s="2" t="n">
        <v>2</v>
      </c>
      <c r="V251" s="2" t="n">
        <v>2</v>
      </c>
      <c r="W251" s="2" t="n">
        <v>3</v>
      </c>
      <c r="X251" s="2" t="n">
        <v>2</v>
      </c>
      <c r="Y251" s="2" t="n">
        <v>3</v>
      </c>
      <c r="Z251" s="2" t="n">
        <v>3</v>
      </c>
    </row>
    <row r="252" customFormat="false" ht="15" hidden="false" customHeight="true" outlineLevel="0" collapsed="false">
      <c r="A252" s="2" t="n">
        <v>35</v>
      </c>
      <c r="B252" s="2" t="s">
        <v>26</v>
      </c>
      <c r="C252" s="2" t="s">
        <v>27</v>
      </c>
      <c r="D252" s="2" t="s">
        <v>35</v>
      </c>
      <c r="E252" s="2" t="n">
        <v>10</v>
      </c>
      <c r="F252" s="2" t="n">
        <v>5</v>
      </c>
      <c r="G252" s="2" t="s">
        <v>43</v>
      </c>
      <c r="H252" s="2" t="n">
        <v>251</v>
      </c>
      <c r="I252" s="2" t="s">
        <v>30</v>
      </c>
      <c r="J252" s="2" t="n">
        <v>4</v>
      </c>
      <c r="K252" s="2" t="s">
        <v>45</v>
      </c>
      <c r="L252" s="2" t="s">
        <v>37</v>
      </c>
      <c r="M252" s="2" t="n">
        <v>134580</v>
      </c>
      <c r="N252" s="2" t="n">
        <v>1</v>
      </c>
      <c r="O252" s="2" t="n">
        <v>11</v>
      </c>
      <c r="P252" s="2" t="n">
        <v>0</v>
      </c>
      <c r="Q252" s="2" t="n">
        <v>17</v>
      </c>
      <c r="R252" s="2" t="n">
        <v>3</v>
      </c>
      <c r="S252" s="2" t="n">
        <v>17</v>
      </c>
      <c r="T252" s="2" t="n">
        <v>11</v>
      </c>
      <c r="U252" s="2" t="n">
        <v>8</v>
      </c>
      <c r="V252" s="2" t="n">
        <v>2</v>
      </c>
      <c r="W252" s="2" t="n">
        <v>4</v>
      </c>
      <c r="X252" s="2" t="n">
        <v>3</v>
      </c>
      <c r="Y252" s="2" t="n">
        <v>3</v>
      </c>
      <c r="Z252" s="2" t="n">
        <v>3</v>
      </c>
    </row>
    <row r="253" customFormat="false" ht="15" hidden="false" customHeight="true" outlineLevel="0" collapsed="false">
      <c r="A253" s="2" t="n">
        <v>33</v>
      </c>
      <c r="B253" s="2" t="s">
        <v>26</v>
      </c>
      <c r="C253" s="2" t="s">
        <v>34</v>
      </c>
      <c r="D253" s="2" t="s">
        <v>35</v>
      </c>
      <c r="E253" s="2" t="n">
        <v>8</v>
      </c>
      <c r="F253" s="2" t="n">
        <v>3</v>
      </c>
      <c r="G253" s="2" t="s">
        <v>51</v>
      </c>
      <c r="H253" s="2" t="n">
        <v>252</v>
      </c>
      <c r="I253" s="2" t="s">
        <v>39</v>
      </c>
      <c r="J253" s="2" t="n">
        <v>2</v>
      </c>
      <c r="K253" s="2" t="s">
        <v>45</v>
      </c>
      <c r="L253" s="2" t="s">
        <v>46</v>
      </c>
      <c r="M253" s="2" t="n">
        <v>90690</v>
      </c>
      <c r="N253" s="2" t="n">
        <v>3</v>
      </c>
      <c r="O253" s="2" t="n">
        <v>25</v>
      </c>
      <c r="P253" s="2" t="n">
        <v>1</v>
      </c>
      <c r="Q253" s="2" t="n">
        <v>15</v>
      </c>
      <c r="R253" s="2" t="n">
        <v>3</v>
      </c>
      <c r="S253" s="2" t="n">
        <v>13</v>
      </c>
      <c r="T253" s="2" t="n">
        <v>4</v>
      </c>
      <c r="U253" s="2" t="n">
        <v>7</v>
      </c>
      <c r="V253" s="2" t="n">
        <v>3</v>
      </c>
      <c r="W253" s="2" t="n">
        <v>4</v>
      </c>
      <c r="X253" s="2" t="n">
        <v>1</v>
      </c>
      <c r="Y253" s="2" t="n">
        <v>3</v>
      </c>
      <c r="Z253" s="2" t="n">
        <v>4</v>
      </c>
    </row>
    <row r="254" customFormat="false" ht="15" hidden="false" customHeight="true" outlineLevel="0" collapsed="false">
      <c r="A254" s="2" t="n">
        <v>54</v>
      </c>
      <c r="B254" s="2" t="s">
        <v>26</v>
      </c>
      <c r="C254" s="2" t="s">
        <v>27</v>
      </c>
      <c r="D254" s="2" t="s">
        <v>35</v>
      </c>
      <c r="E254" s="2" t="n">
        <v>5</v>
      </c>
      <c r="F254" s="2" t="n">
        <v>2</v>
      </c>
      <c r="G254" s="2" t="s">
        <v>29</v>
      </c>
      <c r="H254" s="2" t="n">
        <v>253</v>
      </c>
      <c r="I254" s="2" t="s">
        <v>30</v>
      </c>
      <c r="J254" s="2" t="n">
        <v>2</v>
      </c>
      <c r="K254" s="2" t="s">
        <v>40</v>
      </c>
      <c r="L254" s="2" t="s">
        <v>32</v>
      </c>
      <c r="M254" s="2" t="n">
        <v>40140</v>
      </c>
      <c r="N254" s="2" t="n">
        <v>2</v>
      </c>
      <c r="O254" s="2" t="n">
        <v>19</v>
      </c>
      <c r="P254" s="2" t="n">
        <v>1</v>
      </c>
      <c r="Q254" s="2" t="n">
        <v>16</v>
      </c>
      <c r="R254" s="2" t="n">
        <v>4</v>
      </c>
      <c r="S254" s="2" t="n">
        <v>9</v>
      </c>
      <c r="T254" s="2" t="n">
        <v>7</v>
      </c>
      <c r="U254" s="2" t="n">
        <v>1</v>
      </c>
      <c r="V254" s="2" t="n">
        <v>3</v>
      </c>
      <c r="W254" s="2" t="n">
        <v>2</v>
      </c>
      <c r="X254" s="2" t="n">
        <v>4</v>
      </c>
      <c r="Y254" s="2" t="n">
        <v>2</v>
      </c>
      <c r="Z254" s="2" t="n">
        <v>3</v>
      </c>
    </row>
    <row r="255" customFormat="false" ht="15" hidden="false" customHeight="true" outlineLevel="0" collapsed="false">
      <c r="A255" s="2" t="n">
        <v>36</v>
      </c>
      <c r="B255" s="2" t="s">
        <v>26</v>
      </c>
      <c r="C255" s="2" t="s">
        <v>27</v>
      </c>
      <c r="D255" s="2" t="s">
        <v>35</v>
      </c>
      <c r="E255" s="2" t="n">
        <v>8</v>
      </c>
      <c r="F255" s="2" t="n">
        <v>3</v>
      </c>
      <c r="G255" s="2" t="s">
        <v>29</v>
      </c>
      <c r="H255" s="2" t="n">
        <v>254</v>
      </c>
      <c r="I255" s="2" t="s">
        <v>39</v>
      </c>
      <c r="J255" s="2" t="n">
        <v>2</v>
      </c>
      <c r="K255" s="2" t="s">
        <v>36</v>
      </c>
      <c r="L255" s="2" t="s">
        <v>46</v>
      </c>
      <c r="M255" s="2" t="n">
        <v>59150</v>
      </c>
      <c r="N255" s="2" t="n">
        <v>2</v>
      </c>
      <c r="O255" s="2" t="n">
        <v>13</v>
      </c>
      <c r="P255" s="2" t="n">
        <v>1</v>
      </c>
      <c r="Q255" s="2" t="n">
        <v>13</v>
      </c>
      <c r="R255" s="2" t="n">
        <v>3</v>
      </c>
      <c r="S255" s="2" t="n">
        <v>3</v>
      </c>
      <c r="T255" s="2" t="n">
        <v>0</v>
      </c>
      <c r="U255" s="2" t="n">
        <v>2</v>
      </c>
      <c r="V255" s="2" t="n">
        <v>2</v>
      </c>
      <c r="W255" s="2" t="n">
        <v>2</v>
      </c>
      <c r="X255" s="2" t="n">
        <v>3</v>
      </c>
      <c r="Y255" s="2" t="n">
        <v>2</v>
      </c>
      <c r="Z255" s="2" t="n">
        <v>3</v>
      </c>
    </row>
    <row r="256" customFormat="false" ht="15" hidden="false" customHeight="true" outlineLevel="0" collapsed="false">
      <c r="A256" s="2" t="n">
        <v>27</v>
      </c>
      <c r="B256" s="2" t="s">
        <v>26</v>
      </c>
      <c r="C256" s="2" t="s">
        <v>27</v>
      </c>
      <c r="D256" s="2" t="s">
        <v>28</v>
      </c>
      <c r="E256" s="2" t="n">
        <v>9</v>
      </c>
      <c r="F256" s="2" t="n">
        <v>3</v>
      </c>
      <c r="G256" s="2" t="s">
        <v>50</v>
      </c>
      <c r="H256" s="2" t="n">
        <v>255</v>
      </c>
      <c r="I256" s="2" t="s">
        <v>39</v>
      </c>
      <c r="J256" s="2" t="n">
        <v>5</v>
      </c>
      <c r="K256" s="2" t="s">
        <v>44</v>
      </c>
      <c r="L256" s="2" t="s">
        <v>37</v>
      </c>
      <c r="M256" s="2" t="n">
        <v>59930</v>
      </c>
      <c r="N256" s="2" t="n">
        <v>0</v>
      </c>
      <c r="O256" s="2" t="n">
        <v>14</v>
      </c>
      <c r="P256" s="2" t="n">
        <v>1</v>
      </c>
      <c r="Q256" s="2" t="n">
        <v>5</v>
      </c>
      <c r="R256" s="2" t="n">
        <v>3</v>
      </c>
      <c r="S256" s="2" t="n">
        <v>4</v>
      </c>
      <c r="T256" s="2" t="n">
        <v>1</v>
      </c>
      <c r="U256" s="2" t="n">
        <v>1</v>
      </c>
      <c r="V256" s="2" t="n">
        <v>1</v>
      </c>
      <c r="W256" s="2" t="n">
        <v>4</v>
      </c>
      <c r="X256" s="2" t="n">
        <v>3</v>
      </c>
      <c r="Y256" s="2" t="n">
        <v>1</v>
      </c>
      <c r="Z256" s="2" t="n">
        <v>3</v>
      </c>
    </row>
    <row r="257" customFormat="false" ht="15" hidden="false" customHeight="true" outlineLevel="0" collapsed="false">
      <c r="A257" s="2" t="n">
        <v>20</v>
      </c>
      <c r="B257" s="2" t="s">
        <v>33</v>
      </c>
      <c r="C257" s="2" t="s">
        <v>27</v>
      </c>
      <c r="D257" s="2" t="s">
        <v>35</v>
      </c>
      <c r="E257" s="2" t="n">
        <v>1</v>
      </c>
      <c r="F257" s="2" t="n">
        <v>3</v>
      </c>
      <c r="G257" s="2" t="s">
        <v>29</v>
      </c>
      <c r="H257" s="2" t="n">
        <v>256</v>
      </c>
      <c r="I257" s="2" t="s">
        <v>39</v>
      </c>
      <c r="J257" s="2" t="n">
        <v>5</v>
      </c>
      <c r="K257" s="2" t="s">
        <v>48</v>
      </c>
      <c r="L257" s="2" t="s">
        <v>37</v>
      </c>
      <c r="M257" s="2" t="n">
        <v>61620</v>
      </c>
      <c r="N257" s="2" t="n">
        <v>1</v>
      </c>
      <c r="O257" s="2" t="n">
        <v>12</v>
      </c>
      <c r="P257" s="2" t="n">
        <v>3</v>
      </c>
      <c r="Q257" s="2" t="n">
        <v>1</v>
      </c>
      <c r="R257" s="2" t="n">
        <v>2</v>
      </c>
      <c r="S257" s="2" t="n">
        <v>1</v>
      </c>
      <c r="T257" s="2" t="n">
        <v>1</v>
      </c>
      <c r="U257" s="2" t="n">
        <v>1</v>
      </c>
      <c r="V257" s="2" t="n">
        <v>4</v>
      </c>
      <c r="W257" s="2" t="n">
        <v>3</v>
      </c>
      <c r="X257" s="2" t="n">
        <v>3</v>
      </c>
      <c r="Y257" s="2" t="n">
        <v>2</v>
      </c>
      <c r="Z257" s="2" t="n">
        <v>3</v>
      </c>
    </row>
    <row r="258" customFormat="false" ht="15" hidden="false" customHeight="true" outlineLevel="0" collapsed="false">
      <c r="A258" s="2" t="n">
        <v>33</v>
      </c>
      <c r="B258" s="2" t="s">
        <v>33</v>
      </c>
      <c r="C258" s="2" t="s">
        <v>34</v>
      </c>
      <c r="D258" s="2" t="s">
        <v>35</v>
      </c>
      <c r="E258" s="2" t="n">
        <v>15</v>
      </c>
      <c r="F258" s="2" t="n">
        <v>4</v>
      </c>
      <c r="G258" s="2" t="s">
        <v>43</v>
      </c>
      <c r="H258" s="2" t="n">
        <v>257</v>
      </c>
      <c r="I258" s="2" t="s">
        <v>30</v>
      </c>
      <c r="J258" s="2" t="n">
        <v>1</v>
      </c>
      <c r="K258" s="2" t="s">
        <v>45</v>
      </c>
      <c r="L258" s="2" t="s">
        <v>37</v>
      </c>
      <c r="M258" s="2" t="n">
        <v>24060</v>
      </c>
      <c r="N258" s="2" t="n">
        <v>1</v>
      </c>
      <c r="O258" s="2" t="n">
        <v>11</v>
      </c>
      <c r="P258" s="2" t="n">
        <v>0</v>
      </c>
      <c r="Q258" s="2" t="n">
        <v>10</v>
      </c>
      <c r="R258" s="2" t="n">
        <v>3</v>
      </c>
      <c r="S258" s="2" t="n">
        <v>10</v>
      </c>
      <c r="T258" s="2" t="n">
        <v>9</v>
      </c>
      <c r="U258" s="2" t="n">
        <v>7</v>
      </c>
      <c r="V258" s="2" t="n">
        <v>1</v>
      </c>
      <c r="W258" s="2" t="n">
        <v>1</v>
      </c>
      <c r="X258" s="2" t="n">
        <v>3</v>
      </c>
      <c r="Y258" s="2" t="n">
        <v>3</v>
      </c>
      <c r="Z258" s="2" t="n">
        <v>3</v>
      </c>
    </row>
    <row r="259" customFormat="false" ht="15" hidden="false" customHeight="true" outlineLevel="0" collapsed="false">
      <c r="A259" s="2" t="n">
        <v>35</v>
      </c>
      <c r="B259" s="2" t="s">
        <v>26</v>
      </c>
      <c r="C259" s="2" t="s">
        <v>41</v>
      </c>
      <c r="D259" s="2" t="s">
        <v>35</v>
      </c>
      <c r="E259" s="2" t="n">
        <v>2</v>
      </c>
      <c r="F259" s="2" t="n">
        <v>1</v>
      </c>
      <c r="G259" s="2" t="s">
        <v>43</v>
      </c>
      <c r="H259" s="2" t="n">
        <v>258</v>
      </c>
      <c r="I259" s="2" t="s">
        <v>39</v>
      </c>
      <c r="J259" s="2" t="n">
        <v>1</v>
      </c>
      <c r="K259" s="2" t="s">
        <v>36</v>
      </c>
      <c r="L259" s="2" t="s">
        <v>32</v>
      </c>
      <c r="M259" s="2" t="n">
        <v>187400</v>
      </c>
      <c r="N259" s="2" t="n">
        <v>1</v>
      </c>
      <c r="O259" s="2" t="n">
        <v>19</v>
      </c>
      <c r="P259" s="2" t="n">
        <v>1</v>
      </c>
      <c r="Q259" s="2" t="n">
        <v>1</v>
      </c>
      <c r="R259" s="2" t="n">
        <v>2</v>
      </c>
      <c r="S259" s="2" t="n">
        <v>1</v>
      </c>
      <c r="T259" s="2" t="n">
        <v>0</v>
      </c>
      <c r="U259" s="2" t="n">
        <v>0</v>
      </c>
      <c r="V259" s="2" t="n">
        <v>3</v>
      </c>
      <c r="W259" s="2" t="n">
        <v>3</v>
      </c>
      <c r="X259" s="2" t="n">
        <v>3</v>
      </c>
      <c r="Y259" s="2" t="n">
        <v>4</v>
      </c>
      <c r="Z259" s="2" t="n">
        <v>3</v>
      </c>
    </row>
    <row r="260" customFormat="false" ht="15" hidden="false" customHeight="true" outlineLevel="0" collapsed="false">
      <c r="A260" s="2" t="n">
        <v>23</v>
      </c>
      <c r="B260" s="2" t="s">
        <v>26</v>
      </c>
      <c r="C260" s="2" t="s">
        <v>27</v>
      </c>
      <c r="D260" s="2" t="s">
        <v>35</v>
      </c>
      <c r="E260" s="2" t="n">
        <v>2</v>
      </c>
      <c r="F260" s="2" t="n">
        <v>3</v>
      </c>
      <c r="G260" s="2" t="s">
        <v>29</v>
      </c>
      <c r="H260" s="2" t="n">
        <v>259</v>
      </c>
      <c r="I260" s="2" t="s">
        <v>39</v>
      </c>
      <c r="J260" s="2" t="n">
        <v>1</v>
      </c>
      <c r="K260" s="2" t="s">
        <v>31</v>
      </c>
      <c r="L260" s="2" t="s">
        <v>32</v>
      </c>
      <c r="M260" s="2" t="n">
        <v>76370</v>
      </c>
      <c r="N260" s="2" t="n">
        <v>2</v>
      </c>
      <c r="O260" s="2" t="n">
        <v>11</v>
      </c>
      <c r="P260" s="2" t="n">
        <v>1</v>
      </c>
      <c r="Q260" s="2" t="n">
        <v>5</v>
      </c>
      <c r="R260" s="2" t="n">
        <v>3</v>
      </c>
      <c r="S260" s="2" t="n">
        <v>3</v>
      </c>
      <c r="T260" s="2" t="n">
        <v>0</v>
      </c>
      <c r="U260" s="2" t="n">
        <v>2</v>
      </c>
      <c r="V260" s="2" t="n">
        <v>1</v>
      </c>
      <c r="W260" s="2" t="n">
        <v>1</v>
      </c>
      <c r="X260" s="2" t="n">
        <v>4</v>
      </c>
      <c r="Y260" s="2" t="n">
        <v>3</v>
      </c>
      <c r="Z260" s="2" t="n">
        <v>3</v>
      </c>
    </row>
    <row r="261" customFormat="false" ht="15" hidden="false" customHeight="true" outlineLevel="0" collapsed="false">
      <c r="A261" s="2" t="n">
        <v>25</v>
      </c>
      <c r="B261" s="2" t="s">
        <v>26</v>
      </c>
      <c r="C261" s="2" t="s">
        <v>27</v>
      </c>
      <c r="D261" s="2" t="s">
        <v>35</v>
      </c>
      <c r="E261" s="2" t="n">
        <v>11</v>
      </c>
      <c r="F261" s="2" t="n">
        <v>3</v>
      </c>
      <c r="G261" s="2" t="s">
        <v>43</v>
      </c>
      <c r="H261" s="2" t="n">
        <v>260</v>
      </c>
      <c r="I261" s="2" t="s">
        <v>39</v>
      </c>
      <c r="J261" s="2" t="n">
        <v>2</v>
      </c>
      <c r="K261" s="2" t="s">
        <v>47</v>
      </c>
      <c r="L261" s="2" t="s">
        <v>32</v>
      </c>
      <c r="M261" s="2" t="n">
        <v>100960</v>
      </c>
      <c r="N261" s="2" t="n">
        <v>0</v>
      </c>
      <c r="O261" s="2" t="n">
        <v>11</v>
      </c>
      <c r="P261" s="2" t="n">
        <v>1</v>
      </c>
      <c r="Q261" s="2" t="n">
        <v>4</v>
      </c>
      <c r="R261" s="2" t="n">
        <v>3</v>
      </c>
      <c r="S261" s="2" t="n">
        <v>3</v>
      </c>
      <c r="T261" s="2" t="n">
        <v>1</v>
      </c>
      <c r="U261" s="2" t="n">
        <v>2</v>
      </c>
      <c r="V261" s="2" t="n">
        <v>4</v>
      </c>
      <c r="W261" s="2" t="n">
        <v>2</v>
      </c>
      <c r="X261" s="2" t="n">
        <v>3</v>
      </c>
      <c r="Y261" s="2" t="n">
        <v>3</v>
      </c>
      <c r="Z261" s="2" t="n">
        <v>3</v>
      </c>
    </row>
    <row r="262" customFormat="false" ht="15" hidden="false" customHeight="true" outlineLevel="0" collapsed="false">
      <c r="A262" s="2" t="n">
        <v>38</v>
      </c>
      <c r="B262" s="2" t="s">
        <v>26</v>
      </c>
      <c r="C262" s="2" t="s">
        <v>27</v>
      </c>
      <c r="D262" s="2" t="s">
        <v>35</v>
      </c>
      <c r="E262" s="2" t="n">
        <v>16</v>
      </c>
      <c r="F262" s="2" t="n">
        <v>3</v>
      </c>
      <c r="G262" s="2" t="s">
        <v>29</v>
      </c>
      <c r="H262" s="2" t="n">
        <v>261</v>
      </c>
      <c r="I262" s="2" t="s">
        <v>39</v>
      </c>
      <c r="J262" s="2" t="n">
        <v>5</v>
      </c>
      <c r="K262" s="2" t="s">
        <v>36</v>
      </c>
      <c r="L262" s="2" t="s">
        <v>37</v>
      </c>
      <c r="M262" s="2" t="n">
        <v>147560</v>
      </c>
      <c r="N262" s="2" t="n">
        <v>0</v>
      </c>
      <c r="O262" s="2" t="n">
        <v>20</v>
      </c>
      <c r="P262" s="2" t="n">
        <v>1</v>
      </c>
      <c r="Q262" s="2" t="n">
        <v>8</v>
      </c>
      <c r="R262" s="2" t="n">
        <v>3</v>
      </c>
      <c r="S262" s="2" t="n">
        <v>7</v>
      </c>
      <c r="T262" s="2" t="n">
        <v>0</v>
      </c>
      <c r="U262" s="2" t="n">
        <v>5</v>
      </c>
      <c r="V262" s="2" t="n">
        <v>4</v>
      </c>
      <c r="W262" s="2" t="n">
        <v>4</v>
      </c>
      <c r="X262" s="2" t="n">
        <v>3</v>
      </c>
      <c r="Y262" s="2" t="n">
        <v>2</v>
      </c>
      <c r="Z262" s="2" t="n">
        <v>4</v>
      </c>
    </row>
    <row r="263" customFormat="false" ht="15" hidden="false" customHeight="true" outlineLevel="0" collapsed="false">
      <c r="A263" s="2" t="n">
        <v>29</v>
      </c>
      <c r="B263" s="2" t="s">
        <v>26</v>
      </c>
      <c r="C263" s="2" t="s">
        <v>34</v>
      </c>
      <c r="D263" s="2" t="s">
        <v>28</v>
      </c>
      <c r="E263" s="2" t="n">
        <v>2</v>
      </c>
      <c r="F263" s="2" t="n">
        <v>4</v>
      </c>
      <c r="G263" s="2" t="s">
        <v>29</v>
      </c>
      <c r="H263" s="2" t="n">
        <v>262</v>
      </c>
      <c r="I263" s="2" t="s">
        <v>39</v>
      </c>
      <c r="J263" s="2" t="n">
        <v>4</v>
      </c>
      <c r="K263" s="2" t="s">
        <v>31</v>
      </c>
      <c r="L263" s="2" t="s">
        <v>46</v>
      </c>
      <c r="M263" s="2" t="n">
        <v>64990</v>
      </c>
      <c r="N263" s="2" t="n">
        <v>1</v>
      </c>
      <c r="O263" s="2" t="n">
        <v>18</v>
      </c>
      <c r="P263" s="2" t="n">
        <v>3</v>
      </c>
      <c r="Q263" s="2" t="n">
        <v>10</v>
      </c>
      <c r="R263" s="2" t="n">
        <v>3</v>
      </c>
      <c r="S263" s="2" t="n">
        <v>10</v>
      </c>
      <c r="T263" s="2" t="n">
        <v>2</v>
      </c>
      <c r="U263" s="2" t="n">
        <v>8</v>
      </c>
      <c r="V263" s="2" t="n">
        <v>2</v>
      </c>
      <c r="W263" s="2" t="n">
        <v>4</v>
      </c>
      <c r="X263" s="2" t="n">
        <v>3</v>
      </c>
      <c r="Y263" s="2" t="n">
        <v>2</v>
      </c>
      <c r="Z263" s="2" t="n">
        <v>3</v>
      </c>
    </row>
    <row r="264" customFormat="false" ht="15" hidden="false" customHeight="true" outlineLevel="0" collapsed="false">
      <c r="A264" s="2" t="n">
        <v>48</v>
      </c>
      <c r="B264" s="2" t="s">
        <v>26</v>
      </c>
      <c r="C264" s="2" t="s">
        <v>27</v>
      </c>
      <c r="D264" s="2" t="s">
        <v>35</v>
      </c>
      <c r="E264" s="2" t="n">
        <v>16</v>
      </c>
      <c r="F264" s="2" t="n">
        <v>3</v>
      </c>
      <c r="G264" s="2" t="s">
        <v>51</v>
      </c>
      <c r="H264" s="2" t="n">
        <v>263</v>
      </c>
      <c r="I264" s="2" t="s">
        <v>39</v>
      </c>
      <c r="J264" s="2" t="n">
        <v>1</v>
      </c>
      <c r="K264" s="2" t="s">
        <v>40</v>
      </c>
      <c r="L264" s="2" t="s">
        <v>32</v>
      </c>
      <c r="M264" s="2" t="n">
        <v>97240</v>
      </c>
      <c r="N264" s="2" t="n">
        <v>3</v>
      </c>
      <c r="O264" s="2" t="n">
        <v>13</v>
      </c>
      <c r="P264" s="2" t="n">
        <v>0</v>
      </c>
      <c r="Q264" s="2" t="n">
        <v>12</v>
      </c>
      <c r="R264" s="2" t="n">
        <v>2</v>
      </c>
      <c r="S264" s="2" t="n">
        <v>2</v>
      </c>
      <c r="T264" s="2" t="n">
        <v>2</v>
      </c>
      <c r="U264" s="2" t="n">
        <v>2</v>
      </c>
      <c r="V264" s="2" t="n">
        <v>2</v>
      </c>
      <c r="W264" s="2" t="n">
        <v>2</v>
      </c>
      <c r="X264" s="2" t="n">
        <v>3</v>
      </c>
      <c r="Y264" s="2" t="n">
        <v>4</v>
      </c>
      <c r="Z264" s="2" t="n">
        <v>3</v>
      </c>
    </row>
    <row r="265" customFormat="false" ht="15" hidden="false" customHeight="true" outlineLevel="0" collapsed="false">
      <c r="A265" s="2" t="n">
        <v>27</v>
      </c>
      <c r="B265" s="2" t="s">
        <v>26</v>
      </c>
      <c r="C265" s="2" t="s">
        <v>34</v>
      </c>
      <c r="D265" s="2" t="s">
        <v>28</v>
      </c>
      <c r="E265" s="2" t="n">
        <v>4</v>
      </c>
      <c r="F265" s="2" t="n">
        <v>3</v>
      </c>
      <c r="G265" s="2" t="s">
        <v>51</v>
      </c>
      <c r="H265" s="2" t="n">
        <v>264</v>
      </c>
      <c r="I265" s="2" t="s">
        <v>39</v>
      </c>
      <c r="J265" s="2" t="n">
        <v>5</v>
      </c>
      <c r="K265" s="2" t="s">
        <v>45</v>
      </c>
      <c r="L265" s="2" t="s">
        <v>46</v>
      </c>
      <c r="M265" s="2" t="n">
        <v>21940</v>
      </c>
      <c r="N265" s="2" t="n">
        <v>1</v>
      </c>
      <c r="O265" s="2" t="n">
        <v>12</v>
      </c>
      <c r="P265" s="2" t="n">
        <v>0</v>
      </c>
      <c r="Q265" s="2" t="n">
        <v>6</v>
      </c>
      <c r="R265" s="2" t="n">
        <v>5</v>
      </c>
      <c r="S265" s="2" t="n">
        <v>6</v>
      </c>
      <c r="T265" s="2" t="n">
        <v>0</v>
      </c>
      <c r="U265" s="2" t="n">
        <v>4</v>
      </c>
      <c r="V265" s="2" t="n">
        <v>4</v>
      </c>
      <c r="W265" s="2" t="n">
        <v>4</v>
      </c>
      <c r="X265" s="2" t="n">
        <v>3</v>
      </c>
      <c r="Y265" s="2" t="n">
        <v>3</v>
      </c>
      <c r="Z265" s="2" t="n">
        <v>3</v>
      </c>
    </row>
    <row r="266" customFormat="false" ht="15" hidden="false" customHeight="true" outlineLevel="0" collapsed="false">
      <c r="A266" s="2" t="n">
        <v>37</v>
      </c>
      <c r="B266" s="2" t="s">
        <v>26</v>
      </c>
      <c r="C266" s="2" t="s">
        <v>27</v>
      </c>
      <c r="D266" s="2" t="s">
        <v>35</v>
      </c>
      <c r="E266" s="2" t="n">
        <v>16</v>
      </c>
      <c r="F266" s="2" t="n">
        <v>3</v>
      </c>
      <c r="G266" s="2" t="s">
        <v>29</v>
      </c>
      <c r="H266" s="2" t="n">
        <v>265</v>
      </c>
      <c r="I266" s="2" t="s">
        <v>39</v>
      </c>
      <c r="J266" s="2" t="n">
        <v>3</v>
      </c>
      <c r="K266" s="2" t="s">
        <v>49</v>
      </c>
      <c r="L266" s="2" t="s">
        <v>37</v>
      </c>
      <c r="M266" s="2" t="n">
        <v>33880</v>
      </c>
      <c r="N266" s="2" t="n">
        <v>3</v>
      </c>
      <c r="O266" s="2" t="n">
        <v>11</v>
      </c>
      <c r="P266" s="2" t="n">
        <v>0</v>
      </c>
      <c r="Q266" s="2" t="n">
        <v>4</v>
      </c>
      <c r="R266" s="2" t="n">
        <v>2</v>
      </c>
      <c r="S266" s="2" t="n">
        <v>1</v>
      </c>
      <c r="T266" s="2" t="n">
        <v>0</v>
      </c>
      <c r="U266" s="2" t="n">
        <v>0</v>
      </c>
      <c r="V266" s="2" t="n">
        <v>4</v>
      </c>
      <c r="W266" s="2" t="n">
        <v>4</v>
      </c>
      <c r="X266" s="2" t="n">
        <v>3</v>
      </c>
      <c r="Y266" s="2" t="n">
        <v>4</v>
      </c>
      <c r="Z266" s="2" t="n">
        <v>3</v>
      </c>
    </row>
    <row r="267" customFormat="false" ht="15" hidden="false" customHeight="true" outlineLevel="0" collapsed="false">
      <c r="A267" s="2" t="n">
        <v>50</v>
      </c>
      <c r="B267" s="2" t="s">
        <v>26</v>
      </c>
      <c r="C267" s="2" t="s">
        <v>27</v>
      </c>
      <c r="D267" s="2" t="s">
        <v>28</v>
      </c>
      <c r="E267" s="2" t="n">
        <v>5</v>
      </c>
      <c r="F267" s="2" t="n">
        <v>3</v>
      </c>
      <c r="G267" s="2" t="s">
        <v>43</v>
      </c>
      <c r="H267" s="2" t="n">
        <v>266</v>
      </c>
      <c r="I267" s="2" t="s">
        <v>39</v>
      </c>
      <c r="J267" s="2" t="n">
        <v>1</v>
      </c>
      <c r="K267" s="2" t="s">
        <v>45</v>
      </c>
      <c r="L267" s="2" t="s">
        <v>32</v>
      </c>
      <c r="M267" s="2" t="n">
        <v>54730</v>
      </c>
      <c r="N267" s="2" t="n">
        <v>1</v>
      </c>
      <c r="O267" s="2" t="n">
        <v>19</v>
      </c>
      <c r="P267" s="2" t="n">
        <v>1</v>
      </c>
      <c r="Q267" s="2" t="n">
        <v>20</v>
      </c>
      <c r="R267" s="2" t="n">
        <v>2</v>
      </c>
      <c r="S267" s="2" t="n">
        <v>20</v>
      </c>
      <c r="T267" s="2" t="n">
        <v>3</v>
      </c>
      <c r="U267" s="2" t="n">
        <v>8</v>
      </c>
      <c r="V267" s="2" t="n">
        <v>4</v>
      </c>
      <c r="W267" s="2" t="n">
        <v>3</v>
      </c>
      <c r="X267" s="2" t="n">
        <v>3</v>
      </c>
      <c r="Y267" s="2" t="n">
        <v>4</v>
      </c>
      <c r="Z267" s="2" t="n">
        <v>3</v>
      </c>
    </row>
    <row r="268" customFormat="false" ht="15" hidden="false" customHeight="true" outlineLevel="0" collapsed="false">
      <c r="A268" s="2" t="n">
        <v>34</v>
      </c>
      <c r="B268" s="2" t="s">
        <v>26</v>
      </c>
      <c r="C268" s="2" t="s">
        <v>27</v>
      </c>
      <c r="D268" s="2" t="s">
        <v>35</v>
      </c>
      <c r="E268" s="2" t="n">
        <v>18</v>
      </c>
      <c r="F268" s="2" t="n">
        <v>1</v>
      </c>
      <c r="G268" s="2" t="s">
        <v>43</v>
      </c>
      <c r="H268" s="2" t="n">
        <v>267</v>
      </c>
      <c r="I268" s="2" t="s">
        <v>39</v>
      </c>
      <c r="J268" s="2" t="n">
        <v>1</v>
      </c>
      <c r="K268" s="2" t="s">
        <v>31</v>
      </c>
      <c r="L268" s="2" t="s">
        <v>37</v>
      </c>
      <c r="M268" s="2" t="n">
        <v>27030</v>
      </c>
      <c r="N268" s="2" t="n">
        <v>1</v>
      </c>
      <c r="O268" s="2" t="n">
        <v>21</v>
      </c>
      <c r="P268" s="2" t="n">
        <v>1</v>
      </c>
      <c r="Q268" s="2" t="n">
        <v>9</v>
      </c>
      <c r="R268" s="2" t="n">
        <v>2</v>
      </c>
      <c r="S268" s="2" t="n">
        <v>8</v>
      </c>
      <c r="T268" s="2" t="n">
        <v>7</v>
      </c>
      <c r="U268" s="2" t="n">
        <v>7</v>
      </c>
      <c r="V268" s="2" t="n">
        <v>4</v>
      </c>
      <c r="W268" s="2" t="n">
        <v>2</v>
      </c>
      <c r="X268" s="2" t="n">
        <v>4</v>
      </c>
      <c r="Y268" s="2" t="n">
        <v>3</v>
      </c>
      <c r="Z268" s="2" t="n">
        <v>4</v>
      </c>
    </row>
    <row r="269" customFormat="false" ht="15" hidden="false" customHeight="true" outlineLevel="0" collapsed="false">
      <c r="A269" s="2" t="n">
        <v>24</v>
      </c>
      <c r="B269" s="2" t="s">
        <v>33</v>
      </c>
      <c r="C269" s="2" t="s">
        <v>27</v>
      </c>
      <c r="D269" s="2" t="s">
        <v>35</v>
      </c>
      <c r="E269" s="2" t="n">
        <v>17</v>
      </c>
      <c r="F269" s="2" t="n">
        <v>2</v>
      </c>
      <c r="G269" s="2" t="s">
        <v>29</v>
      </c>
      <c r="H269" s="2" t="n">
        <v>268</v>
      </c>
      <c r="I269" s="2" t="s">
        <v>30</v>
      </c>
      <c r="J269" s="2" t="n">
        <v>1</v>
      </c>
      <c r="K269" s="2" t="s">
        <v>31</v>
      </c>
      <c r="L269" s="2" t="s">
        <v>37</v>
      </c>
      <c r="M269" s="2" t="n">
        <v>25010</v>
      </c>
      <c r="N269" s="2" t="n">
        <v>9</v>
      </c>
      <c r="O269" s="2" t="n">
        <v>12</v>
      </c>
      <c r="P269" s="2" t="n">
        <v>0</v>
      </c>
      <c r="Q269" s="2" t="n">
        <v>4</v>
      </c>
      <c r="R269" s="2" t="n">
        <v>3</v>
      </c>
      <c r="S269" s="2" t="n">
        <v>2</v>
      </c>
      <c r="T269" s="2" t="n">
        <v>2</v>
      </c>
      <c r="U269" s="2" t="n">
        <v>0</v>
      </c>
      <c r="V269" s="2" t="n">
        <v>1</v>
      </c>
      <c r="W269" s="2" t="n">
        <v>3</v>
      </c>
      <c r="X269" s="2" t="n">
        <v>3</v>
      </c>
      <c r="Y269" s="2" t="n">
        <v>1</v>
      </c>
      <c r="Z269" s="2" t="n">
        <v>3</v>
      </c>
    </row>
    <row r="270" customFormat="false" ht="15" hidden="false" customHeight="true" outlineLevel="0" collapsed="false">
      <c r="A270" s="2" t="n">
        <v>39</v>
      </c>
      <c r="B270" s="2" t="s">
        <v>26</v>
      </c>
      <c r="C270" s="2" t="s">
        <v>27</v>
      </c>
      <c r="D270" s="2" t="s">
        <v>35</v>
      </c>
      <c r="E270" s="2" t="n">
        <v>12</v>
      </c>
      <c r="F270" s="2" t="n">
        <v>5</v>
      </c>
      <c r="G270" s="2" t="s">
        <v>43</v>
      </c>
      <c r="H270" s="2" t="n">
        <v>269</v>
      </c>
      <c r="I270" s="2" t="s">
        <v>30</v>
      </c>
      <c r="J270" s="2" t="n">
        <v>1</v>
      </c>
      <c r="K270" s="2" t="s">
        <v>48</v>
      </c>
      <c r="L270" s="2" t="s">
        <v>37</v>
      </c>
      <c r="M270" s="2" t="n">
        <v>62200</v>
      </c>
      <c r="N270" s="2" t="n">
        <v>1</v>
      </c>
      <c r="O270" s="2" t="n">
        <v>14</v>
      </c>
      <c r="P270" s="2" t="n">
        <v>2</v>
      </c>
      <c r="Q270" s="2" t="n">
        <v>20</v>
      </c>
      <c r="R270" s="2" t="n">
        <v>2</v>
      </c>
      <c r="S270" s="2" t="n">
        <v>20</v>
      </c>
      <c r="T270" s="2" t="n">
        <v>11</v>
      </c>
      <c r="U270" s="2" t="n">
        <v>10</v>
      </c>
      <c r="V270" s="2" t="n">
        <v>4</v>
      </c>
      <c r="W270" s="2" t="n">
        <v>3</v>
      </c>
      <c r="X270" s="2" t="n">
        <v>3</v>
      </c>
      <c r="Y270" s="2" t="n">
        <v>3</v>
      </c>
      <c r="Z270" s="2" t="n">
        <v>3</v>
      </c>
    </row>
    <row r="271" customFormat="false" ht="15" hidden="false" customHeight="true" outlineLevel="0" collapsed="false">
      <c r="A271" s="2" t="n">
        <v>32</v>
      </c>
      <c r="B271" s="2" t="s">
        <v>26</v>
      </c>
      <c r="C271" s="2" t="s">
        <v>27</v>
      </c>
      <c r="D271" s="2" t="s">
        <v>35</v>
      </c>
      <c r="E271" s="2" t="n">
        <v>2</v>
      </c>
      <c r="F271" s="2" t="n">
        <v>3</v>
      </c>
      <c r="G271" s="2" t="s">
        <v>29</v>
      </c>
      <c r="H271" s="2" t="n">
        <v>270</v>
      </c>
      <c r="I271" s="2" t="s">
        <v>39</v>
      </c>
      <c r="J271" s="2" t="n">
        <v>5</v>
      </c>
      <c r="K271" s="2" t="s">
        <v>36</v>
      </c>
      <c r="L271" s="2" t="s">
        <v>37</v>
      </c>
      <c r="M271" s="2" t="n">
        <v>30380</v>
      </c>
      <c r="N271" s="2" t="n">
        <v>1</v>
      </c>
      <c r="O271" s="2" t="n">
        <v>11</v>
      </c>
      <c r="P271" s="2" t="n">
        <v>0</v>
      </c>
      <c r="Q271" s="2" t="n">
        <v>10</v>
      </c>
      <c r="R271" s="2" t="n">
        <v>5</v>
      </c>
      <c r="S271" s="2" t="n">
        <v>10</v>
      </c>
      <c r="T271" s="2" t="n">
        <v>0</v>
      </c>
      <c r="U271" s="2" t="n">
        <v>8</v>
      </c>
      <c r="V271" s="2" t="n">
        <v>4</v>
      </c>
      <c r="W271" s="2" t="n">
        <v>4</v>
      </c>
      <c r="X271" s="2" t="n">
        <v>2</v>
      </c>
      <c r="Y271" s="2" t="n">
        <v>1</v>
      </c>
      <c r="Z271" s="2" t="n">
        <v>3</v>
      </c>
    </row>
    <row r="272" customFormat="false" ht="15" hidden="false" customHeight="true" outlineLevel="0" collapsed="false">
      <c r="A272" s="2" t="n">
        <v>50</v>
      </c>
      <c r="B272" s="2" t="s">
        <v>33</v>
      </c>
      <c r="C272" s="2" t="s">
        <v>34</v>
      </c>
      <c r="D272" s="2" t="s">
        <v>35</v>
      </c>
      <c r="E272" s="2" t="n">
        <v>4</v>
      </c>
      <c r="F272" s="2" t="n">
        <v>2</v>
      </c>
      <c r="G272" s="2" t="s">
        <v>43</v>
      </c>
      <c r="H272" s="2" t="n">
        <v>271</v>
      </c>
      <c r="I272" s="2" t="s">
        <v>39</v>
      </c>
      <c r="J272" s="2" t="n">
        <v>4</v>
      </c>
      <c r="K272" s="2" t="s">
        <v>48</v>
      </c>
      <c r="L272" s="2" t="s">
        <v>32</v>
      </c>
      <c r="M272" s="2" t="n">
        <v>44240</v>
      </c>
      <c r="N272" s="2" t="n">
        <v>3</v>
      </c>
      <c r="O272" s="2" t="n">
        <v>14</v>
      </c>
      <c r="P272" s="2" t="n">
        <v>1</v>
      </c>
      <c r="Q272" s="2" t="n">
        <v>18</v>
      </c>
      <c r="R272" s="2" t="n">
        <v>2</v>
      </c>
      <c r="S272" s="2" t="n">
        <v>4</v>
      </c>
      <c r="T272" s="2" t="n">
        <v>1</v>
      </c>
      <c r="U272" s="2" t="n">
        <v>3</v>
      </c>
      <c r="V272" s="2" t="n">
        <v>2</v>
      </c>
      <c r="W272" s="2" t="n">
        <v>3</v>
      </c>
      <c r="X272" s="2" t="n">
        <v>3</v>
      </c>
      <c r="Y272" s="2" t="n">
        <v>2</v>
      </c>
      <c r="Z272" s="2" t="n">
        <v>3</v>
      </c>
    </row>
    <row r="273" customFormat="false" ht="15" hidden="false" customHeight="true" outlineLevel="0" collapsed="false">
      <c r="A273" s="2" t="n">
        <v>38</v>
      </c>
      <c r="B273" s="2" t="s">
        <v>26</v>
      </c>
      <c r="C273" s="2" t="s">
        <v>27</v>
      </c>
      <c r="D273" s="2" t="s">
        <v>35</v>
      </c>
      <c r="E273" s="2" t="n">
        <v>9</v>
      </c>
      <c r="F273" s="2" t="n">
        <v>4</v>
      </c>
      <c r="G273" s="2" t="s">
        <v>29</v>
      </c>
      <c r="H273" s="2" t="n">
        <v>272</v>
      </c>
      <c r="I273" s="2" t="s">
        <v>39</v>
      </c>
      <c r="J273" s="2" t="n">
        <v>1</v>
      </c>
      <c r="K273" s="2" t="s">
        <v>40</v>
      </c>
      <c r="L273" s="2" t="s">
        <v>37</v>
      </c>
      <c r="M273" s="2" t="n">
        <v>43120</v>
      </c>
      <c r="N273" s="2" t="n">
        <v>0</v>
      </c>
      <c r="O273" s="2" t="n">
        <v>12</v>
      </c>
      <c r="P273" s="2" t="n">
        <v>1</v>
      </c>
      <c r="Q273" s="2" t="n">
        <v>10</v>
      </c>
      <c r="R273" s="2" t="n">
        <v>2</v>
      </c>
      <c r="S273" s="2" t="n">
        <v>9</v>
      </c>
      <c r="T273" s="2" t="n">
        <v>1</v>
      </c>
      <c r="U273" s="2" t="n">
        <v>8</v>
      </c>
      <c r="V273" s="2" t="n">
        <v>2</v>
      </c>
      <c r="W273" s="2" t="n">
        <v>4</v>
      </c>
      <c r="X273" s="2" t="n">
        <v>2</v>
      </c>
      <c r="Y273" s="2" t="n">
        <v>2</v>
      </c>
      <c r="Z273" s="2" t="n">
        <v>3</v>
      </c>
    </row>
    <row r="274" customFormat="false" ht="15" hidden="false" customHeight="true" outlineLevel="0" collapsed="false">
      <c r="A274" s="2" t="n">
        <v>27</v>
      </c>
      <c r="B274" s="2" t="s">
        <v>26</v>
      </c>
      <c r="C274" s="2" t="s">
        <v>27</v>
      </c>
      <c r="D274" s="2" t="s">
        <v>35</v>
      </c>
      <c r="E274" s="2" t="n">
        <v>10</v>
      </c>
      <c r="F274" s="2" t="n">
        <v>3</v>
      </c>
      <c r="G274" s="2" t="s">
        <v>43</v>
      </c>
      <c r="H274" s="2" t="n">
        <v>273</v>
      </c>
      <c r="I274" s="2" t="s">
        <v>39</v>
      </c>
      <c r="J274" s="2" t="n">
        <v>5</v>
      </c>
      <c r="K274" s="2" t="s">
        <v>36</v>
      </c>
      <c r="L274" s="2" t="s">
        <v>32</v>
      </c>
      <c r="M274" s="2" t="n">
        <v>132450</v>
      </c>
      <c r="N274" s="2" t="n">
        <v>1</v>
      </c>
      <c r="O274" s="2" t="n">
        <v>23</v>
      </c>
      <c r="P274" s="2" t="n">
        <v>1</v>
      </c>
      <c r="Q274" s="2" t="n">
        <v>9</v>
      </c>
      <c r="R274" s="2" t="n">
        <v>3</v>
      </c>
      <c r="S274" s="2" t="n">
        <v>9</v>
      </c>
      <c r="T274" s="2" t="n">
        <v>0</v>
      </c>
      <c r="U274" s="2" t="n">
        <v>7</v>
      </c>
      <c r="V274" s="2" t="n">
        <v>3</v>
      </c>
      <c r="W274" s="2" t="n">
        <v>1</v>
      </c>
      <c r="X274" s="2" t="n">
        <v>3</v>
      </c>
      <c r="Y274" s="2" t="n">
        <v>2</v>
      </c>
      <c r="Z274" s="2" t="n">
        <v>4</v>
      </c>
    </row>
    <row r="275" customFormat="false" ht="15" hidden="false" customHeight="true" outlineLevel="0" collapsed="false">
      <c r="A275" s="2" t="n">
        <v>32</v>
      </c>
      <c r="B275" s="2" t="s">
        <v>26</v>
      </c>
      <c r="C275" s="2" t="s">
        <v>27</v>
      </c>
      <c r="D275" s="2" t="s">
        <v>28</v>
      </c>
      <c r="E275" s="2" t="n">
        <v>1</v>
      </c>
      <c r="F275" s="2" t="n">
        <v>3</v>
      </c>
      <c r="G275" s="2" t="s">
        <v>43</v>
      </c>
      <c r="H275" s="2" t="n">
        <v>274</v>
      </c>
      <c r="I275" s="2" t="s">
        <v>39</v>
      </c>
      <c r="J275" s="2" t="n">
        <v>2</v>
      </c>
      <c r="K275" s="2" t="s">
        <v>40</v>
      </c>
      <c r="L275" s="2" t="s">
        <v>37</v>
      </c>
      <c r="M275" s="2" t="n">
        <v>136640</v>
      </c>
      <c r="N275" s="2" t="n">
        <v>3</v>
      </c>
      <c r="O275" s="2" t="n">
        <v>14</v>
      </c>
      <c r="P275" s="2" t="n">
        <v>0</v>
      </c>
      <c r="Q275" s="2" t="n">
        <v>10</v>
      </c>
      <c r="R275" s="2" t="n">
        <v>6</v>
      </c>
      <c r="S275" s="2" t="n">
        <v>7</v>
      </c>
      <c r="T275" s="2" t="n">
        <v>7</v>
      </c>
      <c r="U275" s="2" t="n">
        <v>7</v>
      </c>
      <c r="V275" s="2" t="n">
        <v>3</v>
      </c>
      <c r="W275" s="2" t="n">
        <v>4</v>
      </c>
      <c r="X275" s="2"/>
      <c r="Y275" s="2" t="n">
        <v>3</v>
      </c>
      <c r="Z275" s="2" t="n">
        <v>3</v>
      </c>
    </row>
    <row r="276" customFormat="false" ht="15" hidden="false" customHeight="true" outlineLevel="0" collapsed="false">
      <c r="A276" s="2" t="n">
        <v>47</v>
      </c>
      <c r="B276" s="2" t="s">
        <v>26</v>
      </c>
      <c r="C276" s="2" t="s">
        <v>27</v>
      </c>
      <c r="D276" s="2" t="s">
        <v>35</v>
      </c>
      <c r="E276" s="2" t="n">
        <v>2</v>
      </c>
      <c r="F276" s="2" t="n">
        <v>3</v>
      </c>
      <c r="G276" s="2" t="s">
        <v>43</v>
      </c>
      <c r="H276" s="2" t="n">
        <v>275</v>
      </c>
      <c r="I276" s="2" t="s">
        <v>30</v>
      </c>
      <c r="J276" s="2" t="n">
        <v>5</v>
      </c>
      <c r="K276" s="2" t="s">
        <v>40</v>
      </c>
      <c r="L276" s="2" t="s">
        <v>37</v>
      </c>
      <c r="M276" s="2" t="n">
        <v>50210</v>
      </c>
      <c r="N276" s="2" t="n">
        <v>2</v>
      </c>
      <c r="O276" s="2" t="n">
        <v>17</v>
      </c>
      <c r="P276" s="2" t="n">
        <v>0</v>
      </c>
      <c r="Q276" s="2" t="n">
        <v>20</v>
      </c>
      <c r="R276" s="2" t="n">
        <v>3</v>
      </c>
      <c r="S276" s="2" t="n">
        <v>7</v>
      </c>
      <c r="T276" s="2" t="n">
        <v>1</v>
      </c>
      <c r="U276" s="2" t="n">
        <v>7</v>
      </c>
      <c r="V276" s="2" t="n">
        <v>4</v>
      </c>
      <c r="W276" s="2" t="n">
        <v>1</v>
      </c>
      <c r="X276" s="2" t="n">
        <v>3</v>
      </c>
      <c r="Y276" s="2" t="n">
        <v>3</v>
      </c>
      <c r="Z276" s="2" t="n">
        <v>3</v>
      </c>
    </row>
    <row r="277" customFormat="false" ht="15" hidden="false" customHeight="true" outlineLevel="0" collapsed="false">
      <c r="A277" s="2" t="n">
        <v>40</v>
      </c>
      <c r="B277" s="2" t="s">
        <v>26</v>
      </c>
      <c r="C277" s="2" t="s">
        <v>34</v>
      </c>
      <c r="D277" s="2" t="s">
        <v>35</v>
      </c>
      <c r="E277" s="2" t="n">
        <v>3</v>
      </c>
      <c r="F277" s="2" t="n">
        <v>4</v>
      </c>
      <c r="G277" s="2" t="s">
        <v>43</v>
      </c>
      <c r="H277" s="2" t="n">
        <v>276</v>
      </c>
      <c r="I277" s="2" t="s">
        <v>30</v>
      </c>
      <c r="J277" s="2" t="n">
        <v>3</v>
      </c>
      <c r="K277" s="2" t="s">
        <v>42</v>
      </c>
      <c r="L277" s="2" t="s">
        <v>32</v>
      </c>
      <c r="M277" s="2" t="n">
        <v>51260</v>
      </c>
      <c r="N277" s="2" t="n">
        <v>5</v>
      </c>
      <c r="O277" s="2" t="n">
        <v>18</v>
      </c>
      <c r="P277" s="2" t="n">
        <v>0</v>
      </c>
      <c r="Q277" s="2" t="n">
        <v>20</v>
      </c>
      <c r="R277" s="2" t="n">
        <v>2</v>
      </c>
      <c r="S277" s="2" t="n">
        <v>18</v>
      </c>
      <c r="T277" s="2" t="n">
        <v>1</v>
      </c>
      <c r="U277" s="2" t="n">
        <v>12</v>
      </c>
      <c r="V277" s="2" t="n">
        <v>4</v>
      </c>
      <c r="W277" s="2" t="n">
        <v>1</v>
      </c>
      <c r="X277" s="2" t="n">
        <v>3</v>
      </c>
      <c r="Y277" s="2" t="n">
        <v>3</v>
      </c>
      <c r="Z277" s="2" t="n">
        <v>3</v>
      </c>
    </row>
    <row r="278" customFormat="false" ht="15" hidden="false" customHeight="true" outlineLevel="0" collapsed="false">
      <c r="A278" s="2" t="n">
        <v>53</v>
      </c>
      <c r="B278" s="2" t="s">
        <v>26</v>
      </c>
      <c r="C278" s="2" t="s">
        <v>27</v>
      </c>
      <c r="D278" s="2" t="s">
        <v>35</v>
      </c>
      <c r="E278" s="2" t="n">
        <v>7</v>
      </c>
      <c r="F278" s="2" t="n">
        <v>1</v>
      </c>
      <c r="G278" s="2" t="s">
        <v>29</v>
      </c>
      <c r="H278" s="2" t="n">
        <v>277</v>
      </c>
      <c r="I278" s="2" t="s">
        <v>39</v>
      </c>
      <c r="J278" s="2" t="n">
        <v>2</v>
      </c>
      <c r="K278" s="2" t="s">
        <v>45</v>
      </c>
      <c r="L278" s="2" t="s">
        <v>32</v>
      </c>
      <c r="M278" s="2" t="n">
        <v>28590</v>
      </c>
      <c r="N278" s="2" t="n">
        <v>3</v>
      </c>
      <c r="O278" s="2" t="n">
        <v>18</v>
      </c>
      <c r="P278" s="2" t="n">
        <v>1</v>
      </c>
      <c r="Q278" s="2" t="n">
        <v>32</v>
      </c>
      <c r="R278" s="2" t="n">
        <v>2</v>
      </c>
      <c r="S278" s="2" t="n">
        <v>5</v>
      </c>
      <c r="T278" s="2" t="n">
        <v>1</v>
      </c>
      <c r="U278" s="2" t="n">
        <v>3</v>
      </c>
      <c r="V278" s="2" t="n">
        <v>3</v>
      </c>
      <c r="W278" s="2" t="n">
        <v>3</v>
      </c>
      <c r="X278" s="2" t="n">
        <v>3</v>
      </c>
      <c r="Y278" s="2" t="n">
        <v>3</v>
      </c>
      <c r="Z278" s="2" t="n">
        <v>3</v>
      </c>
    </row>
    <row r="279" customFormat="false" ht="15" hidden="false" customHeight="true" outlineLevel="0" collapsed="false">
      <c r="A279" s="2" t="n">
        <v>41</v>
      </c>
      <c r="B279" s="2" t="s">
        <v>26</v>
      </c>
      <c r="C279" s="2" t="s">
        <v>27</v>
      </c>
      <c r="D279" s="2" t="s">
        <v>28</v>
      </c>
      <c r="E279" s="2" t="n">
        <v>6</v>
      </c>
      <c r="F279" s="2" t="n">
        <v>3</v>
      </c>
      <c r="G279" s="2" t="s">
        <v>43</v>
      </c>
      <c r="H279" s="2" t="n">
        <v>278</v>
      </c>
      <c r="I279" s="2" t="s">
        <v>39</v>
      </c>
      <c r="J279" s="2" t="n">
        <v>1</v>
      </c>
      <c r="K279" s="2" t="s">
        <v>40</v>
      </c>
      <c r="L279" s="2" t="s">
        <v>46</v>
      </c>
      <c r="M279" s="2" t="n">
        <v>102390</v>
      </c>
      <c r="N279" s="2" t="n">
        <v>3</v>
      </c>
      <c r="O279" s="2" t="n">
        <v>24</v>
      </c>
      <c r="P279" s="2" t="n">
        <v>3</v>
      </c>
      <c r="Q279" s="2" t="n">
        <v>23</v>
      </c>
      <c r="R279" s="2" t="n">
        <v>3</v>
      </c>
      <c r="S279" s="2" t="n">
        <v>21</v>
      </c>
      <c r="T279" s="2" t="n">
        <v>12</v>
      </c>
      <c r="U279" s="2" t="n">
        <v>6</v>
      </c>
      <c r="V279" s="2" t="n">
        <v>2</v>
      </c>
      <c r="W279" s="2" t="n">
        <v>4</v>
      </c>
      <c r="X279" s="2" t="n">
        <v>2</v>
      </c>
      <c r="Y279" s="2" t="n">
        <v>3</v>
      </c>
      <c r="Z279" s="2" t="n">
        <v>4</v>
      </c>
    </row>
    <row r="280" customFormat="false" ht="15" hidden="false" customHeight="true" outlineLevel="0" collapsed="false">
      <c r="A280" s="2" t="n">
        <v>60</v>
      </c>
      <c r="B280" s="2" t="s">
        <v>26</v>
      </c>
      <c r="C280" s="2" t="s">
        <v>27</v>
      </c>
      <c r="D280" s="2" t="s">
        <v>35</v>
      </c>
      <c r="E280" s="2" t="n">
        <v>8</v>
      </c>
      <c r="F280" s="2" t="n">
        <v>2</v>
      </c>
      <c r="G280" s="2" t="s">
        <v>29</v>
      </c>
      <c r="H280" s="2" t="n">
        <v>279</v>
      </c>
      <c r="I280" s="2" t="s">
        <v>30</v>
      </c>
      <c r="J280" s="2" t="n">
        <v>5</v>
      </c>
      <c r="K280" s="2" t="s">
        <v>45</v>
      </c>
      <c r="L280" s="2" t="s">
        <v>37</v>
      </c>
      <c r="M280" s="2" t="n">
        <v>53290</v>
      </c>
      <c r="N280" s="2" t="n">
        <v>8</v>
      </c>
      <c r="O280" s="2" t="n">
        <v>20</v>
      </c>
      <c r="P280" s="2" t="n">
        <v>0</v>
      </c>
      <c r="Q280" s="2" t="n">
        <v>10</v>
      </c>
      <c r="R280" s="2" t="n">
        <v>3</v>
      </c>
      <c r="S280" s="2" t="n">
        <v>2</v>
      </c>
      <c r="T280" s="2" t="n">
        <v>2</v>
      </c>
      <c r="U280" s="2" t="n">
        <v>2</v>
      </c>
      <c r="V280" s="2" t="n">
        <v>1</v>
      </c>
      <c r="W280" s="2" t="n">
        <v>1</v>
      </c>
      <c r="X280" s="2" t="n">
        <v>3</v>
      </c>
      <c r="Y280" s="2" t="n">
        <v>4</v>
      </c>
      <c r="Z280" s="2" t="n">
        <v>4</v>
      </c>
    </row>
    <row r="281" customFormat="false" ht="15" hidden="false" customHeight="true" outlineLevel="0" collapsed="false">
      <c r="A281" s="2" t="n">
        <v>27</v>
      </c>
      <c r="B281" s="2" t="s">
        <v>26</v>
      </c>
      <c r="C281" s="2" t="s">
        <v>34</v>
      </c>
      <c r="D281" s="2" t="s">
        <v>35</v>
      </c>
      <c r="E281" s="2" t="n">
        <v>29</v>
      </c>
      <c r="F281" s="2" t="n">
        <v>1</v>
      </c>
      <c r="G281" s="2" t="s">
        <v>29</v>
      </c>
      <c r="H281" s="2" t="n">
        <v>280</v>
      </c>
      <c r="I281" s="2" t="s">
        <v>39</v>
      </c>
      <c r="J281" s="2" t="n">
        <v>2</v>
      </c>
      <c r="K281" s="2" t="s">
        <v>47</v>
      </c>
      <c r="L281" s="2" t="s">
        <v>46</v>
      </c>
      <c r="M281" s="2" t="n">
        <v>43250</v>
      </c>
      <c r="N281" s="2" t="n">
        <v>1</v>
      </c>
      <c r="O281" s="2" t="n">
        <v>14</v>
      </c>
      <c r="P281" s="2" t="n">
        <v>0</v>
      </c>
      <c r="Q281" s="2" t="n">
        <v>9</v>
      </c>
      <c r="R281" s="2" t="n">
        <v>2</v>
      </c>
      <c r="S281" s="2" t="n">
        <v>9</v>
      </c>
      <c r="T281" s="2" t="n">
        <v>1</v>
      </c>
      <c r="U281" s="2" t="n">
        <v>7</v>
      </c>
      <c r="V281" s="2" t="n">
        <v>4</v>
      </c>
      <c r="W281" s="2" t="n">
        <v>1</v>
      </c>
      <c r="X281" s="2" t="n">
        <v>2</v>
      </c>
      <c r="Y281" s="2" t="n">
        <v>2</v>
      </c>
      <c r="Z281" s="2" t="n">
        <v>3</v>
      </c>
    </row>
    <row r="282" customFormat="false" ht="15" hidden="false" customHeight="true" outlineLevel="0" collapsed="false">
      <c r="A282" s="2" t="n">
        <v>41</v>
      </c>
      <c r="B282" s="2" t="s">
        <v>26</v>
      </c>
      <c r="C282" s="2" t="s">
        <v>27</v>
      </c>
      <c r="D282" s="2" t="s">
        <v>35</v>
      </c>
      <c r="E282" s="2" t="n">
        <v>3</v>
      </c>
      <c r="F282" s="2" t="n">
        <v>3</v>
      </c>
      <c r="G282" s="2" t="s">
        <v>43</v>
      </c>
      <c r="H282" s="2" t="n">
        <v>281</v>
      </c>
      <c r="I282" s="2" t="s">
        <v>39</v>
      </c>
      <c r="J282" s="2" t="n">
        <v>1</v>
      </c>
      <c r="K282" s="2" t="s">
        <v>47</v>
      </c>
      <c r="L282" s="2" t="s">
        <v>32</v>
      </c>
      <c r="M282" s="2" t="n">
        <v>72600</v>
      </c>
      <c r="N282" s="2" t="n">
        <v>1</v>
      </c>
      <c r="O282" s="2" t="n">
        <v>16</v>
      </c>
      <c r="P282" s="2" t="n">
        <v>0</v>
      </c>
      <c r="Q282" s="2" t="n">
        <v>22</v>
      </c>
      <c r="R282" s="2" t="n">
        <v>2</v>
      </c>
      <c r="S282" s="2" t="n">
        <v>22</v>
      </c>
      <c r="T282" s="2" t="n">
        <v>2</v>
      </c>
      <c r="U282" s="2" t="n">
        <v>10</v>
      </c>
      <c r="V282" s="2" t="n">
        <v>4</v>
      </c>
      <c r="W282" s="2" t="n">
        <v>3</v>
      </c>
      <c r="X282" s="2" t="n">
        <v>3</v>
      </c>
      <c r="Y282" s="2" t="n">
        <v>3</v>
      </c>
      <c r="Z282" s="2" t="n">
        <v>3</v>
      </c>
    </row>
    <row r="283" customFormat="false" ht="15" hidden="false" customHeight="true" outlineLevel="0" collapsed="false">
      <c r="A283" s="2" t="n">
        <v>50</v>
      </c>
      <c r="B283" s="2" t="s">
        <v>26</v>
      </c>
      <c r="C283" s="2" t="s">
        <v>27</v>
      </c>
      <c r="D283" s="2" t="s">
        <v>28</v>
      </c>
      <c r="E283" s="2" t="n">
        <v>9</v>
      </c>
      <c r="F283" s="2" t="n">
        <v>3</v>
      </c>
      <c r="G283" s="2" t="s">
        <v>29</v>
      </c>
      <c r="H283" s="2" t="n">
        <v>282</v>
      </c>
      <c r="I283" s="2" t="s">
        <v>39</v>
      </c>
      <c r="J283" s="2" t="n">
        <v>2</v>
      </c>
      <c r="K283" s="2" t="s">
        <v>36</v>
      </c>
      <c r="L283" s="2" t="s">
        <v>32</v>
      </c>
      <c r="M283" s="2" t="n">
        <v>23220</v>
      </c>
      <c r="N283" s="2" t="n">
        <v>7</v>
      </c>
      <c r="O283" s="2" t="n">
        <v>25</v>
      </c>
      <c r="P283" s="2" t="n">
        <v>1</v>
      </c>
      <c r="Q283" s="2" t="n">
        <v>4</v>
      </c>
      <c r="R283" s="2" t="n">
        <v>0</v>
      </c>
      <c r="S283" s="2" t="n">
        <v>2</v>
      </c>
      <c r="T283" s="2" t="n">
        <v>2</v>
      </c>
      <c r="U283" s="2" t="n">
        <v>2</v>
      </c>
      <c r="V283" s="2" t="n">
        <v>4</v>
      </c>
      <c r="W283" s="2" t="n">
        <v>2</v>
      </c>
      <c r="X283" s="2" t="n">
        <v>3</v>
      </c>
      <c r="Y283" s="2" t="n">
        <v>4</v>
      </c>
      <c r="Z283" s="2" t="n">
        <v>4</v>
      </c>
    </row>
    <row r="284" customFormat="false" ht="15" hidden="false" customHeight="true" outlineLevel="0" collapsed="false">
      <c r="A284" s="2" t="n">
        <v>28</v>
      </c>
      <c r="B284" s="2" t="s">
        <v>33</v>
      </c>
      <c r="C284" s="2" t="s">
        <v>27</v>
      </c>
      <c r="D284" s="2" t="s">
        <v>28</v>
      </c>
      <c r="E284" s="2" t="n">
        <v>2</v>
      </c>
      <c r="F284" s="2" t="n">
        <v>4</v>
      </c>
      <c r="G284" s="2" t="s">
        <v>29</v>
      </c>
      <c r="H284" s="2" t="n">
        <v>283</v>
      </c>
      <c r="I284" s="2" t="s">
        <v>39</v>
      </c>
      <c r="J284" s="2" t="n">
        <v>3</v>
      </c>
      <c r="K284" s="2" t="s">
        <v>36</v>
      </c>
      <c r="L284" s="2" t="s">
        <v>37</v>
      </c>
      <c r="M284" s="2" t="n">
        <v>20750</v>
      </c>
      <c r="N284" s="2" t="n">
        <v>7</v>
      </c>
      <c r="O284" s="2" t="n">
        <v>18</v>
      </c>
      <c r="P284" s="2" t="n">
        <v>3</v>
      </c>
      <c r="Q284" s="2" t="n">
        <v>10</v>
      </c>
      <c r="R284" s="2" t="n">
        <v>0</v>
      </c>
      <c r="S284" s="2" t="n">
        <v>7</v>
      </c>
      <c r="T284" s="2" t="n">
        <v>3</v>
      </c>
      <c r="U284" s="2" t="n">
        <v>7</v>
      </c>
      <c r="V284" s="2" t="n">
        <v>1</v>
      </c>
      <c r="W284" s="2" t="n">
        <v>2</v>
      </c>
      <c r="X284" s="2" t="n">
        <v>3</v>
      </c>
      <c r="Y284" s="2" t="n">
        <v>2</v>
      </c>
      <c r="Z284" s="2" t="n">
        <v>3</v>
      </c>
    </row>
    <row r="285" customFormat="false" ht="15" hidden="false" customHeight="true" outlineLevel="0" collapsed="false">
      <c r="A285" s="2" t="n">
        <v>36</v>
      </c>
      <c r="B285" s="2" t="s">
        <v>26</v>
      </c>
      <c r="C285" s="2" t="s">
        <v>41</v>
      </c>
      <c r="D285" s="2" t="s">
        <v>35</v>
      </c>
      <c r="E285" s="2" t="n">
        <v>10</v>
      </c>
      <c r="F285" s="2" t="n">
        <v>4</v>
      </c>
      <c r="G285" s="2" t="s">
        <v>51</v>
      </c>
      <c r="H285" s="2" t="n">
        <v>284</v>
      </c>
      <c r="I285" s="2" t="s">
        <v>30</v>
      </c>
      <c r="J285" s="2" t="n">
        <v>2</v>
      </c>
      <c r="K285" s="2" t="s">
        <v>36</v>
      </c>
      <c r="L285" s="2" t="s">
        <v>32</v>
      </c>
      <c r="M285" s="2" t="n">
        <v>41520</v>
      </c>
      <c r="N285" s="2" t="n">
        <v>9</v>
      </c>
      <c r="O285" s="2" t="n">
        <v>19</v>
      </c>
      <c r="P285" s="2" t="n">
        <v>1</v>
      </c>
      <c r="Q285" s="2" t="n">
        <v>10</v>
      </c>
      <c r="R285" s="2" t="n">
        <v>3</v>
      </c>
      <c r="S285" s="2" t="n">
        <v>8</v>
      </c>
      <c r="T285" s="2" t="n">
        <v>0</v>
      </c>
      <c r="U285" s="2" t="n">
        <v>5</v>
      </c>
      <c r="V285" s="2" t="n">
        <v>1</v>
      </c>
      <c r="W285" s="2" t="n">
        <v>1</v>
      </c>
      <c r="X285" s="2" t="n">
        <v>3</v>
      </c>
      <c r="Y285" s="2" t="n">
        <v>3</v>
      </c>
      <c r="Z285" s="2" t="n">
        <v>3</v>
      </c>
    </row>
    <row r="286" customFormat="false" ht="15" hidden="false" customHeight="true" outlineLevel="0" collapsed="false">
      <c r="A286" s="2" t="n">
        <v>38</v>
      </c>
      <c r="B286" s="2" t="s">
        <v>26</v>
      </c>
      <c r="C286" s="2" t="s">
        <v>27</v>
      </c>
      <c r="D286" s="2" t="s">
        <v>35</v>
      </c>
      <c r="E286" s="2" t="n">
        <v>1</v>
      </c>
      <c r="F286" s="2" t="n">
        <v>3</v>
      </c>
      <c r="G286" s="2" t="s">
        <v>43</v>
      </c>
      <c r="H286" s="2" t="n">
        <v>285</v>
      </c>
      <c r="I286" s="2" t="s">
        <v>30</v>
      </c>
      <c r="J286" s="2" t="n">
        <v>3</v>
      </c>
      <c r="K286" s="2" t="s">
        <v>49</v>
      </c>
      <c r="L286" s="2" t="s">
        <v>37</v>
      </c>
      <c r="M286" s="2" t="n">
        <v>96190</v>
      </c>
      <c r="N286" s="2" t="n">
        <v>4</v>
      </c>
      <c r="O286" s="2" t="n">
        <v>13</v>
      </c>
      <c r="P286" s="2" t="n">
        <v>1</v>
      </c>
      <c r="Q286" s="2" t="n">
        <v>10</v>
      </c>
      <c r="R286" s="2" t="n">
        <v>2</v>
      </c>
      <c r="S286" s="2" t="n">
        <v>1</v>
      </c>
      <c r="T286" s="2" t="n">
        <v>0</v>
      </c>
      <c r="U286" s="2" t="n">
        <v>0</v>
      </c>
      <c r="V286" s="2" t="n">
        <v>3</v>
      </c>
      <c r="W286" s="2" t="n">
        <v>3</v>
      </c>
      <c r="X286" s="2" t="n">
        <v>4</v>
      </c>
      <c r="Y286" s="2" t="n">
        <v>3</v>
      </c>
      <c r="Z286" s="2" t="n">
        <v>3</v>
      </c>
    </row>
    <row r="287" customFormat="false" ht="15" hidden="false" customHeight="true" outlineLevel="0" collapsed="false">
      <c r="A287" s="2" t="n">
        <v>44</v>
      </c>
      <c r="B287" s="2" t="s">
        <v>26</v>
      </c>
      <c r="C287" s="2" t="s">
        <v>41</v>
      </c>
      <c r="D287" s="2" t="s">
        <v>35</v>
      </c>
      <c r="E287" s="2" t="n">
        <v>8</v>
      </c>
      <c r="F287" s="2" t="n">
        <v>2</v>
      </c>
      <c r="G287" s="2" t="s">
        <v>29</v>
      </c>
      <c r="H287" s="2" t="n">
        <v>286</v>
      </c>
      <c r="I287" s="2" t="s">
        <v>39</v>
      </c>
      <c r="J287" s="2" t="n">
        <v>1</v>
      </c>
      <c r="K287" s="2" t="s">
        <v>36</v>
      </c>
      <c r="L287" s="2" t="s">
        <v>37</v>
      </c>
      <c r="M287" s="2" t="n">
        <v>135030</v>
      </c>
      <c r="N287" s="2" t="n">
        <v>2</v>
      </c>
      <c r="O287" s="2" t="n">
        <v>12</v>
      </c>
      <c r="P287" s="2" t="n">
        <v>0</v>
      </c>
      <c r="Q287" s="2" t="n">
        <v>9</v>
      </c>
      <c r="R287" s="2" t="n">
        <v>6</v>
      </c>
      <c r="S287" s="2" t="n">
        <v>5</v>
      </c>
      <c r="T287" s="2" t="n">
        <v>1</v>
      </c>
      <c r="U287" s="2" t="n">
        <v>4</v>
      </c>
      <c r="V287" s="2" t="n">
        <v>1</v>
      </c>
      <c r="W287" s="2" t="n">
        <v>3</v>
      </c>
      <c r="X287" s="2" t="n">
        <v>3</v>
      </c>
      <c r="Y287" s="2" t="n">
        <v>2</v>
      </c>
      <c r="Z287" s="2" t="n">
        <v>3</v>
      </c>
    </row>
    <row r="288" customFormat="false" ht="15" hidden="false" customHeight="true" outlineLevel="0" collapsed="false">
      <c r="A288" s="2" t="n">
        <v>47</v>
      </c>
      <c r="B288" s="2" t="s">
        <v>26</v>
      </c>
      <c r="C288" s="2" t="s">
        <v>34</v>
      </c>
      <c r="D288" s="2" t="s">
        <v>35</v>
      </c>
      <c r="E288" s="2" t="n">
        <v>27</v>
      </c>
      <c r="F288" s="2" t="n">
        <v>3</v>
      </c>
      <c r="G288" s="2" t="s">
        <v>29</v>
      </c>
      <c r="H288" s="2" t="n">
        <v>287</v>
      </c>
      <c r="I288" s="2" t="s">
        <v>39</v>
      </c>
      <c r="J288" s="2" t="n">
        <v>1</v>
      </c>
      <c r="K288" s="2" t="s">
        <v>36</v>
      </c>
      <c r="L288" s="2" t="s">
        <v>46</v>
      </c>
      <c r="M288" s="2" t="n">
        <v>54410</v>
      </c>
      <c r="N288" s="2" t="n">
        <v>9</v>
      </c>
      <c r="O288" s="2" t="n">
        <v>22</v>
      </c>
      <c r="P288" s="2" t="n">
        <v>1</v>
      </c>
      <c r="Q288" s="2" t="n">
        <v>28</v>
      </c>
      <c r="R288" s="2" t="n">
        <v>6</v>
      </c>
      <c r="S288" s="2" t="n">
        <v>22</v>
      </c>
      <c r="T288" s="2" t="n">
        <v>11</v>
      </c>
      <c r="U288" s="2" t="n">
        <v>13</v>
      </c>
      <c r="V288" s="2" t="n">
        <v>4</v>
      </c>
      <c r="W288" s="2" t="n">
        <v>3</v>
      </c>
      <c r="X288" s="2" t="n">
        <v>2</v>
      </c>
      <c r="Y288" s="2" t="n">
        <v>2</v>
      </c>
      <c r="Z288" s="2" t="n">
        <v>4</v>
      </c>
    </row>
    <row r="289" customFormat="false" ht="15" hidden="false" customHeight="true" outlineLevel="0" collapsed="false">
      <c r="A289" s="2" t="n">
        <v>30</v>
      </c>
      <c r="B289" s="2" t="s">
        <v>26</v>
      </c>
      <c r="C289" s="2" t="s">
        <v>27</v>
      </c>
      <c r="D289" s="2" t="s">
        <v>35</v>
      </c>
      <c r="E289" s="2" t="n">
        <v>8</v>
      </c>
      <c r="F289" s="2" t="n">
        <v>3</v>
      </c>
      <c r="G289" s="2" t="s">
        <v>29</v>
      </c>
      <c r="H289" s="2" t="n">
        <v>288</v>
      </c>
      <c r="I289" s="2" t="s">
        <v>39</v>
      </c>
      <c r="J289" s="2" t="n">
        <v>2</v>
      </c>
      <c r="K289" s="2" t="s">
        <v>40</v>
      </c>
      <c r="L289" s="2" t="s">
        <v>46</v>
      </c>
      <c r="M289" s="2" t="n">
        <v>52090</v>
      </c>
      <c r="N289" s="2" t="n">
        <v>7</v>
      </c>
      <c r="O289" s="2" t="n">
        <v>14</v>
      </c>
      <c r="P289" s="2" t="n">
        <v>1</v>
      </c>
      <c r="Q289" s="2" t="n">
        <v>10</v>
      </c>
      <c r="R289" s="2" t="n">
        <v>3</v>
      </c>
      <c r="S289" s="2" t="n">
        <v>8</v>
      </c>
      <c r="T289" s="2" t="n">
        <v>7</v>
      </c>
      <c r="U289" s="2" t="n">
        <v>7</v>
      </c>
      <c r="V289" s="2" t="n">
        <v>3</v>
      </c>
      <c r="W289" s="2" t="n">
        <v>4</v>
      </c>
      <c r="X289" s="2" t="n">
        <v>2</v>
      </c>
      <c r="Y289" s="2" t="n">
        <v>3</v>
      </c>
      <c r="Z289" s="2" t="n">
        <v>3</v>
      </c>
    </row>
    <row r="290" customFormat="false" ht="15" hidden="false" customHeight="true" outlineLevel="0" collapsed="false">
      <c r="A290" s="2" t="n">
        <v>29</v>
      </c>
      <c r="B290" s="2" t="s">
        <v>26</v>
      </c>
      <c r="C290" s="2" t="s">
        <v>27</v>
      </c>
      <c r="D290" s="2" t="s">
        <v>35</v>
      </c>
      <c r="E290" s="2" t="n">
        <v>1</v>
      </c>
      <c r="F290" s="2" t="n">
        <v>2</v>
      </c>
      <c r="G290" s="2" t="s">
        <v>43</v>
      </c>
      <c r="H290" s="2" t="n">
        <v>289</v>
      </c>
      <c r="I290" s="2" t="s">
        <v>30</v>
      </c>
      <c r="J290" s="2" t="n">
        <v>1</v>
      </c>
      <c r="K290" s="2" t="s">
        <v>40</v>
      </c>
      <c r="L290" s="2" t="s">
        <v>37</v>
      </c>
      <c r="M290" s="2" t="n">
        <v>106730</v>
      </c>
      <c r="N290" s="2" t="n">
        <v>1</v>
      </c>
      <c r="O290" s="2" t="n">
        <v>13</v>
      </c>
      <c r="P290" s="2" t="n">
        <v>3</v>
      </c>
      <c r="Q290" s="2" t="n">
        <v>1</v>
      </c>
      <c r="R290" s="2" t="n">
        <v>2</v>
      </c>
      <c r="S290" s="2" t="n">
        <v>1</v>
      </c>
      <c r="T290" s="2" t="n">
        <v>0</v>
      </c>
      <c r="U290" s="2" t="n">
        <v>0</v>
      </c>
      <c r="V290" s="2" t="n">
        <v>3</v>
      </c>
      <c r="W290" s="2" t="n">
        <v>3</v>
      </c>
      <c r="X290" s="2" t="n">
        <v>3</v>
      </c>
      <c r="Y290" s="2" t="n">
        <v>3</v>
      </c>
      <c r="Z290" s="2" t="n">
        <v>3</v>
      </c>
    </row>
    <row r="291" customFormat="false" ht="15" hidden="false" customHeight="true" outlineLevel="0" collapsed="false">
      <c r="A291" s="2" t="n">
        <v>42</v>
      </c>
      <c r="B291" s="2" t="s">
        <v>33</v>
      </c>
      <c r="C291" s="2" t="s">
        <v>34</v>
      </c>
      <c r="D291" s="2" t="s">
        <v>35</v>
      </c>
      <c r="E291" s="2" t="n">
        <v>10</v>
      </c>
      <c r="F291" s="2" t="n">
        <v>1</v>
      </c>
      <c r="G291" s="2" t="s">
        <v>29</v>
      </c>
      <c r="H291" s="2" t="n">
        <v>290</v>
      </c>
      <c r="I291" s="2" t="s">
        <v>30</v>
      </c>
      <c r="J291" s="2" t="n">
        <v>1</v>
      </c>
      <c r="K291" s="2" t="s">
        <v>40</v>
      </c>
      <c r="L291" s="2" t="s">
        <v>46</v>
      </c>
      <c r="M291" s="2" t="n">
        <v>50100</v>
      </c>
      <c r="N291" s="2" t="n">
        <v>6</v>
      </c>
      <c r="O291" s="2" t="n">
        <v>21</v>
      </c>
      <c r="P291" s="2" t="n">
        <v>3</v>
      </c>
      <c r="Q291" s="2" t="n">
        <v>7</v>
      </c>
      <c r="R291" s="2" t="n">
        <v>3</v>
      </c>
      <c r="S291" s="2" t="n">
        <v>2</v>
      </c>
      <c r="T291" s="2" t="n">
        <v>2</v>
      </c>
      <c r="U291" s="2" t="n">
        <v>2</v>
      </c>
      <c r="V291" s="2" t="n">
        <v>3</v>
      </c>
      <c r="W291" s="2" t="n">
        <v>3</v>
      </c>
      <c r="X291" s="2" t="n">
        <v>3</v>
      </c>
      <c r="Y291" s="2" t="n">
        <v>3</v>
      </c>
      <c r="Z291" s="2" t="n">
        <v>4</v>
      </c>
    </row>
    <row r="292" customFormat="false" ht="15" hidden="false" customHeight="true" outlineLevel="0" collapsed="false">
      <c r="A292" s="2" t="n">
        <v>43</v>
      </c>
      <c r="B292" s="2" t="s">
        <v>26</v>
      </c>
      <c r="C292" s="2" t="s">
        <v>34</v>
      </c>
      <c r="D292" s="2" t="s">
        <v>35</v>
      </c>
      <c r="E292" s="2" t="n">
        <v>26</v>
      </c>
      <c r="F292" s="2" t="n">
        <v>1</v>
      </c>
      <c r="G292" s="2" t="s">
        <v>29</v>
      </c>
      <c r="H292" s="2" t="n">
        <v>291</v>
      </c>
      <c r="I292" s="2" t="s">
        <v>39</v>
      </c>
      <c r="J292" s="2" t="n">
        <v>1</v>
      </c>
      <c r="K292" s="2" t="s">
        <v>45</v>
      </c>
      <c r="L292" s="2" t="s">
        <v>32</v>
      </c>
      <c r="M292" s="2" t="n">
        <v>135490</v>
      </c>
      <c r="N292" s="2" t="n">
        <v>3</v>
      </c>
      <c r="O292" s="2" t="n">
        <v>11</v>
      </c>
      <c r="P292" s="2" t="n">
        <v>2</v>
      </c>
      <c r="Q292" s="2" t="n">
        <v>7</v>
      </c>
      <c r="R292" s="2" t="n">
        <v>3</v>
      </c>
      <c r="S292" s="2" t="n">
        <v>2</v>
      </c>
      <c r="T292" s="2" t="n">
        <v>2</v>
      </c>
      <c r="U292" s="2" t="n">
        <v>2</v>
      </c>
      <c r="V292" s="2" t="n">
        <v>4</v>
      </c>
      <c r="W292" s="2" t="n">
        <v>4</v>
      </c>
      <c r="X292" s="2" t="n">
        <v>3</v>
      </c>
      <c r="Y292" s="2" t="n">
        <v>3</v>
      </c>
      <c r="Z292" s="2" t="n">
        <v>3</v>
      </c>
    </row>
    <row r="293" customFormat="false" ht="15" hidden="false" customHeight="true" outlineLevel="0" collapsed="false">
      <c r="A293" s="2" t="n">
        <v>34</v>
      </c>
      <c r="B293" s="2" t="s">
        <v>26</v>
      </c>
      <c r="C293" s="2" t="s">
        <v>27</v>
      </c>
      <c r="D293" s="2" t="s">
        <v>35</v>
      </c>
      <c r="E293" s="2" t="n">
        <v>2</v>
      </c>
      <c r="F293" s="2" t="n">
        <v>5</v>
      </c>
      <c r="G293" s="2" t="s">
        <v>51</v>
      </c>
      <c r="H293" s="2" t="n">
        <v>292</v>
      </c>
      <c r="I293" s="2" t="s">
        <v>39</v>
      </c>
      <c r="J293" s="2" t="n">
        <v>2</v>
      </c>
      <c r="K293" s="2" t="s">
        <v>31</v>
      </c>
      <c r="L293" s="2" t="s">
        <v>37</v>
      </c>
      <c r="M293" s="2" t="n">
        <v>49990</v>
      </c>
      <c r="N293" s="2" t="n">
        <v>3</v>
      </c>
      <c r="O293" s="2" t="n">
        <v>12</v>
      </c>
      <c r="P293" s="2" t="n">
        <v>2</v>
      </c>
      <c r="Q293" s="2" t="n">
        <v>10</v>
      </c>
      <c r="R293" s="2" t="n">
        <v>2</v>
      </c>
      <c r="S293" s="2" t="n">
        <v>5</v>
      </c>
      <c r="T293" s="2" t="n">
        <v>4</v>
      </c>
      <c r="U293" s="2" t="n">
        <v>3</v>
      </c>
      <c r="V293" s="2" t="n">
        <v>2</v>
      </c>
      <c r="W293" s="2" t="n">
        <v>3</v>
      </c>
      <c r="X293" s="2" t="n">
        <v>3</v>
      </c>
      <c r="Y293" s="2" t="n">
        <v>4</v>
      </c>
      <c r="Z293" s="2" t="n">
        <v>3</v>
      </c>
    </row>
    <row r="294" customFormat="false" ht="15" hidden="false" customHeight="true" outlineLevel="0" collapsed="false">
      <c r="A294" s="2" t="n">
        <v>23</v>
      </c>
      <c r="B294" s="2" t="s">
        <v>26</v>
      </c>
      <c r="C294" s="2" t="s">
        <v>27</v>
      </c>
      <c r="D294" s="2" t="s">
        <v>28</v>
      </c>
      <c r="E294" s="2" t="n">
        <v>13</v>
      </c>
      <c r="F294" s="2" t="n">
        <v>3</v>
      </c>
      <c r="G294" s="2" t="s">
        <v>50</v>
      </c>
      <c r="H294" s="2" t="n">
        <v>293</v>
      </c>
      <c r="I294" s="2" t="s">
        <v>39</v>
      </c>
      <c r="J294" s="2" t="n">
        <v>5</v>
      </c>
      <c r="K294" s="2" t="s">
        <v>40</v>
      </c>
      <c r="L294" s="2" t="s">
        <v>32</v>
      </c>
      <c r="M294" s="2" t="n">
        <v>42210</v>
      </c>
      <c r="N294" s="2" t="n">
        <v>1</v>
      </c>
      <c r="O294" s="2" t="n">
        <v>11</v>
      </c>
      <c r="P294" s="2" t="n">
        <v>1</v>
      </c>
      <c r="Q294" s="2" t="n">
        <v>5</v>
      </c>
      <c r="R294" s="2" t="n">
        <v>4</v>
      </c>
      <c r="S294" s="2" t="n">
        <v>4</v>
      </c>
      <c r="T294" s="2" t="n">
        <v>0</v>
      </c>
      <c r="U294" s="2" t="n">
        <v>2</v>
      </c>
      <c r="V294" s="2" t="n">
        <v>2</v>
      </c>
      <c r="W294" s="2" t="n">
        <v>1</v>
      </c>
      <c r="X294" s="2" t="n">
        <v>4</v>
      </c>
      <c r="Y294" s="2" t="n">
        <v>3</v>
      </c>
      <c r="Z294" s="2" t="n">
        <v>3</v>
      </c>
    </row>
    <row r="295" customFormat="false" ht="15" hidden="false" customHeight="true" outlineLevel="0" collapsed="false">
      <c r="A295" s="2" t="n">
        <v>39</v>
      </c>
      <c r="B295" s="2" t="s">
        <v>26</v>
      </c>
      <c r="C295" s="2" t="s">
        <v>27</v>
      </c>
      <c r="D295" s="2" t="s">
        <v>28</v>
      </c>
      <c r="E295" s="2" t="n">
        <v>2</v>
      </c>
      <c r="F295" s="2" t="n">
        <v>4</v>
      </c>
      <c r="G295" s="2" t="s">
        <v>50</v>
      </c>
      <c r="H295" s="2" t="n">
        <v>294</v>
      </c>
      <c r="I295" s="2" t="s">
        <v>30</v>
      </c>
      <c r="J295" s="2" t="n">
        <v>4</v>
      </c>
      <c r="K295" s="2" t="s">
        <v>31</v>
      </c>
      <c r="L295" s="2" t="s">
        <v>32</v>
      </c>
      <c r="M295" s="2" t="n">
        <v>138720</v>
      </c>
      <c r="N295" s="2" t="n">
        <v>9</v>
      </c>
      <c r="O295" s="2" t="n">
        <v>12</v>
      </c>
      <c r="P295" s="2" t="n">
        <v>3</v>
      </c>
      <c r="Q295" s="2" t="n">
        <v>12</v>
      </c>
      <c r="R295" s="2" t="n">
        <v>3</v>
      </c>
      <c r="S295" s="2" t="n">
        <v>8</v>
      </c>
      <c r="T295" s="2" t="n">
        <v>3</v>
      </c>
      <c r="U295" s="2" t="n">
        <v>6</v>
      </c>
      <c r="V295" s="2" t="n">
        <v>3</v>
      </c>
      <c r="W295" s="2" t="n">
        <v>2</v>
      </c>
      <c r="X295" s="2" t="n">
        <v>1</v>
      </c>
      <c r="Y295" s="2" t="n">
        <v>2</v>
      </c>
      <c r="Z295" s="2" t="n">
        <v>3</v>
      </c>
    </row>
    <row r="296" customFormat="false" ht="15" hidden="false" customHeight="true" outlineLevel="0" collapsed="false">
      <c r="A296" s="2" t="n">
        <v>56</v>
      </c>
      <c r="B296" s="2" t="s">
        <v>26</v>
      </c>
      <c r="C296" s="2" t="s">
        <v>27</v>
      </c>
      <c r="D296" s="2" t="s">
        <v>35</v>
      </c>
      <c r="E296" s="2" t="n">
        <v>2</v>
      </c>
      <c r="F296" s="2" t="n">
        <v>4</v>
      </c>
      <c r="G296" s="2" t="s">
        <v>43</v>
      </c>
      <c r="H296" s="2" t="n">
        <v>295</v>
      </c>
      <c r="I296" s="2" t="s">
        <v>39</v>
      </c>
      <c r="J296" s="2" t="n">
        <v>1</v>
      </c>
      <c r="K296" s="2" t="s">
        <v>49</v>
      </c>
      <c r="L296" s="2" t="s">
        <v>32</v>
      </c>
      <c r="M296" s="2" t="n">
        <v>20420</v>
      </c>
      <c r="N296" s="2" t="n">
        <v>7</v>
      </c>
      <c r="O296" s="2" t="n">
        <v>12</v>
      </c>
      <c r="P296" s="2" t="n">
        <v>0</v>
      </c>
      <c r="Q296" s="2" t="n">
        <v>30</v>
      </c>
      <c r="R296" s="2" t="n">
        <v>6</v>
      </c>
      <c r="S296" s="2" t="n">
        <v>10</v>
      </c>
      <c r="T296" s="2" t="n">
        <v>1</v>
      </c>
      <c r="U296" s="2" t="n">
        <v>1</v>
      </c>
      <c r="V296" s="2" t="n">
        <v>3</v>
      </c>
      <c r="W296" s="2" t="n">
        <v>4</v>
      </c>
      <c r="X296" s="2" t="n">
        <v>2</v>
      </c>
      <c r="Y296" s="2" t="n">
        <v>3</v>
      </c>
      <c r="Z296" s="2" t="n">
        <v>3</v>
      </c>
    </row>
    <row r="297" customFormat="false" ht="15" hidden="false" customHeight="true" outlineLevel="0" collapsed="false">
      <c r="A297" s="2" t="n">
        <v>40</v>
      </c>
      <c r="B297" s="2" t="s">
        <v>26</v>
      </c>
      <c r="C297" s="2" t="s">
        <v>27</v>
      </c>
      <c r="D297" s="2" t="s">
        <v>28</v>
      </c>
      <c r="E297" s="2" t="n">
        <v>9</v>
      </c>
      <c r="F297" s="2" t="n">
        <v>3</v>
      </c>
      <c r="G297" s="2" t="s">
        <v>50</v>
      </c>
      <c r="H297" s="2" t="n">
        <v>296</v>
      </c>
      <c r="I297" s="2" t="s">
        <v>39</v>
      </c>
      <c r="J297" s="2" t="n">
        <v>2</v>
      </c>
      <c r="K297" s="2" t="s">
        <v>36</v>
      </c>
      <c r="L297" s="2" t="s">
        <v>37</v>
      </c>
      <c r="M297" s="2" t="n">
        <v>20730</v>
      </c>
      <c r="N297" s="2" t="n">
        <v>0</v>
      </c>
      <c r="O297" s="2" t="n">
        <v>14</v>
      </c>
      <c r="P297" s="2" t="n">
        <v>0</v>
      </c>
      <c r="Q297" s="2" t="n">
        <v>5</v>
      </c>
      <c r="R297" s="2" t="n">
        <v>3</v>
      </c>
      <c r="S297" s="2" t="n">
        <v>4</v>
      </c>
      <c r="T297" s="2" t="n">
        <v>2</v>
      </c>
      <c r="U297" s="2" t="n">
        <v>3</v>
      </c>
      <c r="V297" s="2" t="n">
        <v>4</v>
      </c>
      <c r="W297" s="2" t="n">
        <v>4</v>
      </c>
      <c r="X297" s="2" t="n">
        <v>2</v>
      </c>
      <c r="Y297" s="2" t="n">
        <v>3</v>
      </c>
      <c r="Z297" s="2" t="n">
        <v>3</v>
      </c>
    </row>
    <row r="298" customFormat="false" ht="15" hidden="false" customHeight="true" outlineLevel="0" collapsed="false">
      <c r="A298" s="2" t="n">
        <v>27</v>
      </c>
      <c r="B298" s="2" t="s">
        <v>26</v>
      </c>
      <c r="C298" s="2" t="s">
        <v>27</v>
      </c>
      <c r="D298" s="2" t="s">
        <v>35</v>
      </c>
      <c r="E298" s="2" t="n">
        <v>10</v>
      </c>
      <c r="F298" s="2" t="n">
        <v>3</v>
      </c>
      <c r="G298" s="2" t="s">
        <v>29</v>
      </c>
      <c r="H298" s="2" t="n">
        <v>297</v>
      </c>
      <c r="I298" s="2" t="s">
        <v>30</v>
      </c>
      <c r="J298" s="2" t="n">
        <v>1</v>
      </c>
      <c r="K298" s="2" t="s">
        <v>45</v>
      </c>
      <c r="L298" s="2" t="s">
        <v>37</v>
      </c>
      <c r="M298" s="2" t="n">
        <v>29560</v>
      </c>
      <c r="N298" s="2" t="n">
        <v>8</v>
      </c>
      <c r="O298" s="2" t="n">
        <v>13</v>
      </c>
      <c r="P298" s="2" t="n">
        <v>0</v>
      </c>
      <c r="Q298" s="2" t="n">
        <v>9</v>
      </c>
      <c r="R298" s="2" t="n">
        <v>6</v>
      </c>
      <c r="S298" s="2" t="n">
        <v>7</v>
      </c>
      <c r="T298" s="2" t="n">
        <v>0</v>
      </c>
      <c r="U298" s="2" t="n">
        <v>7</v>
      </c>
      <c r="V298" s="2" t="n">
        <v>4</v>
      </c>
      <c r="W298" s="2" t="n">
        <v>1</v>
      </c>
      <c r="X298" s="2" t="n">
        <v>1</v>
      </c>
      <c r="Y298" s="2" t="n">
        <v>3</v>
      </c>
      <c r="Z298" s="2" t="n">
        <v>3</v>
      </c>
    </row>
    <row r="299" customFormat="false" ht="15" hidden="false" customHeight="true" outlineLevel="0" collapsed="false">
      <c r="A299" s="2" t="n">
        <v>29</v>
      </c>
      <c r="B299" s="2" t="s">
        <v>26</v>
      </c>
      <c r="C299" s="2" t="s">
        <v>27</v>
      </c>
      <c r="D299" s="2" t="s">
        <v>28</v>
      </c>
      <c r="E299" s="2" t="n">
        <v>20</v>
      </c>
      <c r="F299" s="2" t="n">
        <v>3</v>
      </c>
      <c r="G299" s="2" t="s">
        <v>50</v>
      </c>
      <c r="H299" s="2" t="n">
        <v>298</v>
      </c>
      <c r="I299" s="2" t="s">
        <v>30</v>
      </c>
      <c r="J299" s="2" t="n">
        <v>2</v>
      </c>
      <c r="K299" s="2" t="s">
        <v>49</v>
      </c>
      <c r="L299" s="2" t="s">
        <v>46</v>
      </c>
      <c r="M299" s="2" t="n">
        <v>29260</v>
      </c>
      <c r="N299" s="2" t="n">
        <v>1</v>
      </c>
      <c r="O299" s="2" t="n">
        <v>15</v>
      </c>
      <c r="P299" s="2" t="n">
        <v>1</v>
      </c>
      <c r="Q299" s="2" t="n">
        <v>2</v>
      </c>
      <c r="R299" s="2" t="n">
        <v>3</v>
      </c>
      <c r="S299" s="2" t="n">
        <v>2</v>
      </c>
      <c r="T299" s="2" t="n">
        <v>2</v>
      </c>
      <c r="U299" s="2" t="n">
        <v>2</v>
      </c>
      <c r="V299" s="2" t="n">
        <v>4</v>
      </c>
      <c r="W299" s="2" t="n">
        <v>2</v>
      </c>
      <c r="X299" s="2" t="n">
        <v>3</v>
      </c>
      <c r="Y299" s="2" t="n">
        <v>2</v>
      </c>
      <c r="Z299" s="2" t="n">
        <v>3</v>
      </c>
    </row>
    <row r="300" customFormat="false" ht="15" hidden="false" customHeight="true" outlineLevel="0" collapsed="false">
      <c r="A300" s="2" t="n">
        <v>53</v>
      </c>
      <c r="B300" s="2" t="s">
        <v>26</v>
      </c>
      <c r="C300" s="2" t="s">
        <v>27</v>
      </c>
      <c r="D300" s="2" t="s">
        <v>35</v>
      </c>
      <c r="E300" s="2" t="n">
        <v>9</v>
      </c>
      <c r="F300" s="2" t="n">
        <v>3</v>
      </c>
      <c r="G300" s="2" t="s">
        <v>29</v>
      </c>
      <c r="H300" s="2" t="n">
        <v>299</v>
      </c>
      <c r="I300" s="2" t="s">
        <v>30</v>
      </c>
      <c r="J300" s="2" t="n">
        <v>3</v>
      </c>
      <c r="K300" s="2" t="s">
        <v>45</v>
      </c>
      <c r="L300" s="2" t="s">
        <v>37</v>
      </c>
      <c r="M300" s="2" t="n">
        <v>48090</v>
      </c>
      <c r="N300" s="2" t="n">
        <v>2</v>
      </c>
      <c r="O300" s="2" t="n">
        <v>18</v>
      </c>
      <c r="P300" s="2" t="n">
        <v>0</v>
      </c>
      <c r="Q300" s="2" t="n">
        <v>19</v>
      </c>
      <c r="R300" s="2" t="n">
        <v>2</v>
      </c>
      <c r="S300" s="2" t="n">
        <v>2</v>
      </c>
      <c r="T300" s="2" t="n">
        <v>2</v>
      </c>
      <c r="U300" s="2" t="n">
        <v>2</v>
      </c>
      <c r="V300" s="2" t="n">
        <v>4</v>
      </c>
      <c r="W300" s="2" t="n">
        <v>4</v>
      </c>
      <c r="X300" s="2" t="n">
        <v>3</v>
      </c>
      <c r="Y300" s="2" t="n">
        <v>3</v>
      </c>
      <c r="Z300" s="2" t="n">
        <v>3</v>
      </c>
    </row>
    <row r="301" customFormat="false" ht="15" hidden="false" customHeight="true" outlineLevel="0" collapsed="false">
      <c r="A301" s="2" t="n">
        <v>35</v>
      </c>
      <c r="B301" s="2" t="s">
        <v>26</v>
      </c>
      <c r="C301" s="2" t="s">
        <v>41</v>
      </c>
      <c r="D301" s="2" t="s">
        <v>35</v>
      </c>
      <c r="E301" s="2" t="n">
        <v>5</v>
      </c>
      <c r="F301" s="2" t="n">
        <v>1</v>
      </c>
      <c r="G301" s="2" t="s">
        <v>43</v>
      </c>
      <c r="H301" s="2" t="n">
        <v>300</v>
      </c>
      <c r="I301" s="2" t="s">
        <v>39</v>
      </c>
      <c r="J301" s="2" t="n">
        <v>1</v>
      </c>
      <c r="K301" s="2" t="s">
        <v>31</v>
      </c>
      <c r="L301" s="2" t="s">
        <v>46</v>
      </c>
      <c r="M301" s="2" t="n">
        <v>51630</v>
      </c>
      <c r="N301" s="2" t="n">
        <v>2</v>
      </c>
      <c r="O301" s="2" t="n">
        <v>18</v>
      </c>
      <c r="P301" s="2" t="n">
        <v>2</v>
      </c>
      <c r="Q301" s="2" t="n">
        <v>16</v>
      </c>
      <c r="R301" s="2" t="n">
        <v>4</v>
      </c>
      <c r="S301" s="2" t="n">
        <v>1</v>
      </c>
      <c r="T301" s="2" t="n">
        <v>0</v>
      </c>
      <c r="U301" s="2" t="n">
        <v>0</v>
      </c>
      <c r="V301" s="2" t="n">
        <v>4</v>
      </c>
      <c r="W301" s="2" t="n">
        <v>1</v>
      </c>
      <c r="X301" s="2" t="n">
        <v>4</v>
      </c>
      <c r="Y301" s="2" t="n">
        <v>3</v>
      </c>
      <c r="Z301" s="2" t="n">
        <v>3</v>
      </c>
    </row>
    <row r="302" customFormat="false" ht="15" hidden="false" customHeight="true" outlineLevel="0" collapsed="false">
      <c r="A302" s="2" t="n">
        <v>32</v>
      </c>
      <c r="B302" s="2" t="s">
        <v>26</v>
      </c>
      <c r="C302" s="2" t="s">
        <v>34</v>
      </c>
      <c r="D302" s="2" t="s">
        <v>28</v>
      </c>
      <c r="E302" s="2" t="n">
        <v>4</v>
      </c>
      <c r="F302" s="2" t="n">
        <v>4</v>
      </c>
      <c r="G302" s="2" t="s">
        <v>29</v>
      </c>
      <c r="H302" s="2" t="n">
        <v>301</v>
      </c>
      <c r="I302" s="2" t="s">
        <v>39</v>
      </c>
      <c r="J302" s="2" t="n">
        <v>2</v>
      </c>
      <c r="K302" s="2" t="s">
        <v>40</v>
      </c>
      <c r="L302" s="2" t="s">
        <v>32</v>
      </c>
      <c r="M302" s="2" t="n">
        <v>188440</v>
      </c>
      <c r="N302" s="2" t="n">
        <v>1</v>
      </c>
      <c r="O302" s="2" t="n">
        <v>19</v>
      </c>
      <c r="P302" s="2" t="n">
        <v>0</v>
      </c>
      <c r="Q302" s="2" t="n">
        <v>10</v>
      </c>
      <c r="R302" s="2" t="n">
        <v>3</v>
      </c>
      <c r="S302" s="2" t="n">
        <v>10</v>
      </c>
      <c r="T302" s="2" t="n">
        <v>4</v>
      </c>
      <c r="U302" s="2" t="n">
        <v>7</v>
      </c>
      <c r="V302" s="2"/>
      <c r="W302" s="2" t="n">
        <v>4</v>
      </c>
      <c r="X302" s="2" t="n">
        <v>3</v>
      </c>
      <c r="Y302" s="2" t="n">
        <v>1</v>
      </c>
      <c r="Z302" s="2" t="n">
        <v>3</v>
      </c>
    </row>
    <row r="303" customFormat="false" ht="15" hidden="false" customHeight="true" outlineLevel="0" collapsed="false">
      <c r="A303" s="2" t="n">
        <v>38</v>
      </c>
      <c r="B303" s="2" t="s">
        <v>26</v>
      </c>
      <c r="C303" s="2" t="s">
        <v>27</v>
      </c>
      <c r="D303" s="2" t="s">
        <v>28</v>
      </c>
      <c r="E303" s="2" t="n">
        <v>10</v>
      </c>
      <c r="F303" s="2" t="n">
        <v>3</v>
      </c>
      <c r="G303" s="2" t="s">
        <v>43</v>
      </c>
      <c r="H303" s="2" t="n">
        <v>302</v>
      </c>
      <c r="I303" s="2" t="s">
        <v>39</v>
      </c>
      <c r="J303" s="2" t="n">
        <v>4</v>
      </c>
      <c r="K303" s="2" t="s">
        <v>45</v>
      </c>
      <c r="L303" s="2" t="s">
        <v>32</v>
      </c>
      <c r="M303" s="2" t="n">
        <v>181720</v>
      </c>
      <c r="N303" s="2" t="n">
        <v>6</v>
      </c>
      <c r="O303" s="2" t="n">
        <v>12</v>
      </c>
      <c r="P303" s="2" t="n">
        <v>2</v>
      </c>
      <c r="Q303" s="2" t="n">
        <v>6</v>
      </c>
      <c r="R303" s="2" t="n">
        <v>5</v>
      </c>
      <c r="S303" s="2" t="n">
        <v>1</v>
      </c>
      <c r="T303" s="2" t="n">
        <v>0</v>
      </c>
      <c r="U303" s="2" t="n">
        <v>1</v>
      </c>
      <c r="V303" s="2" t="n">
        <v>4</v>
      </c>
      <c r="W303" s="2" t="n">
        <v>3</v>
      </c>
      <c r="X303" s="2" t="n">
        <v>1</v>
      </c>
      <c r="Y303" s="2" t="n">
        <v>3</v>
      </c>
      <c r="Z303" s="2" t="n">
        <v>3</v>
      </c>
    </row>
    <row r="304" customFormat="false" ht="15" hidden="false" customHeight="true" outlineLevel="0" collapsed="false">
      <c r="A304" s="2" t="n">
        <v>34</v>
      </c>
      <c r="B304" s="2" t="s">
        <v>26</v>
      </c>
      <c r="C304" s="2" t="s">
        <v>27</v>
      </c>
      <c r="D304" s="2" t="s">
        <v>35</v>
      </c>
      <c r="E304" s="2" t="n">
        <v>20</v>
      </c>
      <c r="F304" s="2" t="n">
        <v>3</v>
      </c>
      <c r="G304" s="2" t="s">
        <v>43</v>
      </c>
      <c r="H304" s="2" t="n">
        <v>303</v>
      </c>
      <c r="I304" s="2" t="s">
        <v>30</v>
      </c>
      <c r="J304" s="2" t="n">
        <v>3</v>
      </c>
      <c r="K304" s="2" t="s">
        <v>45</v>
      </c>
      <c r="L304" s="2" t="s">
        <v>46</v>
      </c>
      <c r="M304" s="2" t="n">
        <v>57440</v>
      </c>
      <c r="N304" s="2" t="n">
        <v>3</v>
      </c>
      <c r="O304" s="2" t="n">
        <v>19</v>
      </c>
      <c r="P304" s="2" t="n">
        <v>1</v>
      </c>
      <c r="Q304" s="2" t="n">
        <v>7</v>
      </c>
      <c r="R304" s="2" t="n">
        <v>4</v>
      </c>
      <c r="S304" s="2" t="n">
        <v>0</v>
      </c>
      <c r="T304" s="2" t="n">
        <v>0</v>
      </c>
      <c r="U304" s="2" t="n">
        <v>0</v>
      </c>
      <c r="V304" s="2" t="n">
        <v>2</v>
      </c>
      <c r="W304" s="2" t="n">
        <v>1</v>
      </c>
      <c r="X304" s="2" t="n">
        <v>3</v>
      </c>
      <c r="Y304" s="2" t="n">
        <v>2</v>
      </c>
      <c r="Z304" s="2" t="n">
        <v>3</v>
      </c>
    </row>
    <row r="305" customFormat="false" ht="15" hidden="false" customHeight="true" outlineLevel="0" collapsed="false">
      <c r="A305" s="2" t="n">
        <v>52</v>
      </c>
      <c r="B305" s="2" t="s">
        <v>26</v>
      </c>
      <c r="C305" s="2" t="s">
        <v>27</v>
      </c>
      <c r="D305" s="2" t="s">
        <v>28</v>
      </c>
      <c r="E305" s="2" t="n">
        <v>21</v>
      </c>
      <c r="F305" s="2" t="n">
        <v>5</v>
      </c>
      <c r="G305" s="2" t="s">
        <v>51</v>
      </c>
      <c r="H305" s="2" t="n">
        <v>304</v>
      </c>
      <c r="I305" s="2" t="s">
        <v>39</v>
      </c>
      <c r="J305" s="2" t="n">
        <v>3</v>
      </c>
      <c r="K305" s="2" t="s">
        <v>49</v>
      </c>
      <c r="L305" s="2" t="s">
        <v>32</v>
      </c>
      <c r="M305" s="2" t="n">
        <v>28890</v>
      </c>
      <c r="N305" s="2" t="n">
        <v>1</v>
      </c>
      <c r="O305" s="2" t="n">
        <v>11</v>
      </c>
      <c r="P305" s="2" t="n">
        <v>1</v>
      </c>
      <c r="Q305" s="2" t="n">
        <v>34</v>
      </c>
      <c r="R305" s="2" t="n">
        <v>2</v>
      </c>
      <c r="S305" s="2" t="n">
        <v>34</v>
      </c>
      <c r="T305" s="2" t="n">
        <v>1</v>
      </c>
      <c r="U305" s="2" t="n">
        <v>16</v>
      </c>
      <c r="V305" s="2" t="n">
        <v>3</v>
      </c>
      <c r="W305" s="2" t="n">
        <v>1</v>
      </c>
      <c r="X305" s="2" t="n">
        <v>4</v>
      </c>
      <c r="Y305" s="2" t="n">
        <v>3</v>
      </c>
      <c r="Z305" s="2" t="n">
        <v>3</v>
      </c>
    </row>
    <row r="306" customFormat="false" ht="15" hidden="false" customHeight="true" outlineLevel="0" collapsed="false">
      <c r="A306" s="2" t="n">
        <v>33</v>
      </c>
      <c r="B306" s="2" t="s">
        <v>33</v>
      </c>
      <c r="C306" s="2" t="s">
        <v>27</v>
      </c>
      <c r="D306" s="2" t="s">
        <v>35</v>
      </c>
      <c r="E306" s="2" t="n">
        <v>1</v>
      </c>
      <c r="F306" s="2" t="n">
        <v>2</v>
      </c>
      <c r="G306" s="2" t="s">
        <v>43</v>
      </c>
      <c r="H306" s="2" t="n">
        <v>305</v>
      </c>
      <c r="I306" s="2" t="s">
        <v>39</v>
      </c>
      <c r="J306" s="2" t="n">
        <v>3</v>
      </c>
      <c r="K306" s="2" t="s">
        <v>45</v>
      </c>
      <c r="L306" s="2" t="s">
        <v>37</v>
      </c>
      <c r="M306" s="2" t="n">
        <v>28710</v>
      </c>
      <c r="N306" s="2" t="n">
        <v>1</v>
      </c>
      <c r="O306" s="2" t="n">
        <v>17</v>
      </c>
      <c r="P306" s="2" t="n">
        <v>3</v>
      </c>
      <c r="Q306" s="2" t="n">
        <v>10</v>
      </c>
      <c r="R306" s="2" t="n">
        <v>2</v>
      </c>
      <c r="S306" s="2" t="n">
        <v>10</v>
      </c>
      <c r="T306" s="2" t="n">
        <v>7</v>
      </c>
      <c r="U306" s="2" t="n">
        <v>8</v>
      </c>
      <c r="V306" s="2" t="n">
        <v>4</v>
      </c>
      <c r="W306" s="2" t="n">
        <v>4</v>
      </c>
      <c r="X306" s="2" t="n">
        <v>2</v>
      </c>
      <c r="Y306" s="2" t="n">
        <v>3</v>
      </c>
      <c r="Z306" s="2" t="n">
        <v>3</v>
      </c>
    </row>
    <row r="307" customFormat="false" ht="15" hidden="false" customHeight="true" outlineLevel="0" collapsed="false">
      <c r="A307" s="2" t="n">
        <v>25</v>
      </c>
      <c r="B307" s="2" t="s">
        <v>26</v>
      </c>
      <c r="C307" s="2" t="s">
        <v>27</v>
      </c>
      <c r="D307" s="2" t="s">
        <v>35</v>
      </c>
      <c r="E307" s="2" t="n">
        <v>8</v>
      </c>
      <c r="F307" s="2" t="n">
        <v>3</v>
      </c>
      <c r="G307" s="2" t="s">
        <v>29</v>
      </c>
      <c r="H307" s="2" t="n">
        <v>306</v>
      </c>
      <c r="I307" s="2" t="s">
        <v>39</v>
      </c>
      <c r="J307" s="2" t="n">
        <v>2</v>
      </c>
      <c r="K307" s="2" t="s">
        <v>36</v>
      </c>
      <c r="L307" s="2" t="s">
        <v>37</v>
      </c>
      <c r="M307" s="2" t="n">
        <v>74840</v>
      </c>
      <c r="N307" s="2" t="n">
        <v>1</v>
      </c>
      <c r="O307" s="2" t="n">
        <v>15</v>
      </c>
      <c r="P307" s="2" t="n">
        <v>0</v>
      </c>
      <c r="Q307" s="2" t="n">
        <v>6</v>
      </c>
      <c r="R307" s="2" t="n">
        <v>3</v>
      </c>
      <c r="S307" s="2" t="n">
        <v>6</v>
      </c>
      <c r="T307" s="2" t="n">
        <v>1</v>
      </c>
      <c r="U307" s="2" t="n">
        <v>4</v>
      </c>
      <c r="V307" s="2" t="n">
        <v>3</v>
      </c>
      <c r="W307" s="2" t="n">
        <v>4</v>
      </c>
      <c r="X307" s="2" t="n">
        <v>2</v>
      </c>
      <c r="Y307" s="2" t="n">
        <v>3</v>
      </c>
      <c r="Z307" s="2" t="n">
        <v>3</v>
      </c>
    </row>
    <row r="308" customFormat="false" ht="15" hidden="false" customHeight="true" outlineLevel="0" collapsed="false">
      <c r="A308" s="2" t="n">
        <v>45</v>
      </c>
      <c r="B308" s="2" t="s">
        <v>26</v>
      </c>
      <c r="C308" s="2" t="s">
        <v>27</v>
      </c>
      <c r="D308" s="2" t="s">
        <v>28</v>
      </c>
      <c r="E308" s="2" t="n">
        <v>2</v>
      </c>
      <c r="F308" s="2" t="n">
        <v>3</v>
      </c>
      <c r="G308" s="2" t="s">
        <v>29</v>
      </c>
      <c r="H308" s="2" t="n">
        <v>307</v>
      </c>
      <c r="I308" s="2" t="s">
        <v>39</v>
      </c>
      <c r="J308" s="2" t="n">
        <v>3</v>
      </c>
      <c r="K308" s="2" t="s">
        <v>31</v>
      </c>
      <c r="L308" s="2" t="s">
        <v>37</v>
      </c>
      <c r="M308" s="2" t="n">
        <v>60740</v>
      </c>
      <c r="N308" s="2" t="n">
        <v>0</v>
      </c>
      <c r="O308" s="2" t="n">
        <v>14</v>
      </c>
      <c r="P308" s="2" t="n">
        <v>0</v>
      </c>
      <c r="Q308" s="2" t="n">
        <v>9</v>
      </c>
      <c r="R308" s="2" t="n">
        <v>2</v>
      </c>
      <c r="S308" s="2" t="n">
        <v>8</v>
      </c>
      <c r="T308" s="2" t="n">
        <v>3</v>
      </c>
      <c r="U308" s="2" t="n">
        <v>1</v>
      </c>
      <c r="V308" s="2" t="n">
        <v>2</v>
      </c>
      <c r="W308" s="2" t="n">
        <v>3</v>
      </c>
      <c r="X308" s="2" t="n">
        <v>3</v>
      </c>
      <c r="Y308" s="2" t="n">
        <v>3</v>
      </c>
      <c r="Z308" s="2" t="n">
        <v>3</v>
      </c>
    </row>
    <row r="309" customFormat="false" ht="15" hidden="false" customHeight="true" outlineLevel="0" collapsed="false">
      <c r="A309" s="2" t="n">
        <v>23</v>
      </c>
      <c r="B309" s="2" t="s">
        <v>26</v>
      </c>
      <c r="C309" s="2" t="s">
        <v>27</v>
      </c>
      <c r="D309" s="2" t="s">
        <v>35</v>
      </c>
      <c r="E309" s="2" t="n">
        <v>23</v>
      </c>
      <c r="F309" s="2" t="n">
        <v>1</v>
      </c>
      <c r="G309" s="2" t="s">
        <v>29</v>
      </c>
      <c r="H309" s="2" t="n">
        <v>308</v>
      </c>
      <c r="I309" s="2" t="s">
        <v>30</v>
      </c>
      <c r="J309" s="2" t="n">
        <v>2</v>
      </c>
      <c r="K309" s="2" t="s">
        <v>36</v>
      </c>
      <c r="L309" s="2" t="s">
        <v>37</v>
      </c>
      <c r="M309" s="2" t="n">
        <v>173280</v>
      </c>
      <c r="N309" s="2" t="n">
        <v>1</v>
      </c>
      <c r="O309" s="2" t="n">
        <v>17</v>
      </c>
      <c r="P309" s="2" t="n">
        <v>1</v>
      </c>
      <c r="Q309" s="2" t="n">
        <v>2</v>
      </c>
      <c r="R309" s="2" t="n">
        <v>2</v>
      </c>
      <c r="S309" s="2" t="n">
        <v>2</v>
      </c>
      <c r="T309" s="2" t="n">
        <v>0</v>
      </c>
      <c r="U309" s="2" t="n">
        <v>2</v>
      </c>
      <c r="V309" s="2" t="n">
        <v>1</v>
      </c>
      <c r="W309" s="2" t="n">
        <v>3</v>
      </c>
      <c r="X309" s="2" t="n">
        <v>3</v>
      </c>
      <c r="Y309" s="2" t="n">
        <v>1</v>
      </c>
      <c r="Z309" s="2" t="n">
        <v>3</v>
      </c>
    </row>
    <row r="310" customFormat="false" ht="15" hidden="false" customHeight="true" outlineLevel="0" collapsed="false">
      <c r="A310" s="2" t="n">
        <v>47</v>
      </c>
      <c r="B310" s="2" t="s">
        <v>33</v>
      </c>
      <c r="C310" s="2" t="s">
        <v>34</v>
      </c>
      <c r="D310" s="2" t="s">
        <v>35</v>
      </c>
      <c r="E310" s="2" t="n">
        <v>4</v>
      </c>
      <c r="F310" s="2" t="n">
        <v>3</v>
      </c>
      <c r="G310" s="2" t="s">
        <v>29</v>
      </c>
      <c r="H310" s="2" t="n">
        <v>309</v>
      </c>
      <c r="I310" s="2" t="s">
        <v>39</v>
      </c>
      <c r="J310" s="2" t="n">
        <v>1</v>
      </c>
      <c r="K310" s="2" t="s">
        <v>44</v>
      </c>
      <c r="L310" s="2" t="s">
        <v>37</v>
      </c>
      <c r="M310" s="2" t="n">
        <v>27740</v>
      </c>
      <c r="N310" s="2" t="n">
        <v>4</v>
      </c>
      <c r="O310" s="2" t="n">
        <v>13</v>
      </c>
      <c r="P310" s="2" t="n">
        <v>1</v>
      </c>
      <c r="Q310" s="2"/>
      <c r="R310" s="2" t="n">
        <v>2</v>
      </c>
      <c r="S310" s="2" t="n">
        <v>5</v>
      </c>
      <c r="T310" s="2" t="n">
        <v>1</v>
      </c>
      <c r="U310" s="2" t="n">
        <v>3</v>
      </c>
      <c r="V310" s="2" t="n">
        <v>2</v>
      </c>
      <c r="W310" s="2" t="n">
        <v>3</v>
      </c>
      <c r="X310" s="2" t="n">
        <v>3</v>
      </c>
      <c r="Y310" s="2" t="n">
        <v>3</v>
      </c>
      <c r="Z310" s="2" t="n">
        <v>3</v>
      </c>
    </row>
    <row r="311" customFormat="false" ht="15" hidden="false" customHeight="true" outlineLevel="0" collapsed="false">
      <c r="A311" s="2" t="n">
        <v>34</v>
      </c>
      <c r="B311" s="2" t="s">
        <v>26</v>
      </c>
      <c r="C311" s="2" t="s">
        <v>27</v>
      </c>
      <c r="D311" s="2" t="s">
        <v>35</v>
      </c>
      <c r="E311" s="2" t="n">
        <v>12</v>
      </c>
      <c r="F311" s="2" t="n">
        <v>3</v>
      </c>
      <c r="G311" s="2" t="s">
        <v>51</v>
      </c>
      <c r="H311" s="2" t="n">
        <v>310</v>
      </c>
      <c r="I311" s="2" t="s">
        <v>39</v>
      </c>
      <c r="J311" s="2" t="n">
        <v>1</v>
      </c>
      <c r="K311" s="2" t="s">
        <v>36</v>
      </c>
      <c r="L311" s="2" t="s">
        <v>37</v>
      </c>
      <c r="M311" s="2" t="n">
        <v>45050</v>
      </c>
      <c r="N311" s="2" t="n">
        <v>1</v>
      </c>
      <c r="O311" s="2" t="n">
        <v>12</v>
      </c>
      <c r="P311" s="2" t="n">
        <v>0</v>
      </c>
      <c r="Q311" s="2" t="n">
        <v>6</v>
      </c>
      <c r="R311" s="2" t="n">
        <v>3</v>
      </c>
      <c r="S311" s="2" t="n">
        <v>6</v>
      </c>
      <c r="T311" s="2" t="n">
        <v>1</v>
      </c>
      <c r="U311" s="2" t="n">
        <v>4</v>
      </c>
      <c r="V311" s="2" t="n">
        <v>4</v>
      </c>
      <c r="W311" s="2" t="n">
        <v>4</v>
      </c>
      <c r="X311" s="2" t="n">
        <v>3</v>
      </c>
      <c r="Y311" s="2" t="n">
        <v>3</v>
      </c>
      <c r="Z311" s="2" t="n">
        <v>3</v>
      </c>
    </row>
    <row r="312" customFormat="false" ht="15" hidden="false" customHeight="true" outlineLevel="0" collapsed="false">
      <c r="A312" s="2" t="n">
        <v>55</v>
      </c>
      <c r="B312" s="2" t="s">
        <v>33</v>
      </c>
      <c r="C312" s="2" t="s">
        <v>27</v>
      </c>
      <c r="D312" s="2" t="s">
        <v>42</v>
      </c>
      <c r="E312" s="2" t="n">
        <v>7</v>
      </c>
      <c r="F312" s="2" t="n">
        <v>3</v>
      </c>
      <c r="G312" s="2" t="s">
        <v>42</v>
      </c>
      <c r="H312" s="2" t="n">
        <v>311</v>
      </c>
      <c r="I312" s="2" t="s">
        <v>39</v>
      </c>
      <c r="J312" s="2" t="n">
        <v>4</v>
      </c>
      <c r="K312" s="2" t="s">
        <v>45</v>
      </c>
      <c r="L312" s="2" t="s">
        <v>32</v>
      </c>
      <c r="M312" s="2" t="n">
        <v>74280</v>
      </c>
      <c r="N312" s="2" t="n">
        <v>5</v>
      </c>
      <c r="O312" s="2" t="n">
        <v>12</v>
      </c>
      <c r="P312" s="2" t="n">
        <v>0</v>
      </c>
      <c r="Q312" s="2" t="n">
        <v>24</v>
      </c>
      <c r="R312" s="2" t="n">
        <v>2</v>
      </c>
      <c r="S312" s="2" t="n">
        <v>5</v>
      </c>
      <c r="T312" s="2" t="n">
        <v>1</v>
      </c>
      <c r="U312" s="2" t="n">
        <v>4</v>
      </c>
      <c r="V312" s="2" t="n">
        <v>4</v>
      </c>
      <c r="W312" s="2" t="n">
        <v>1</v>
      </c>
      <c r="X312" s="2" t="n">
        <v>3</v>
      </c>
      <c r="Y312" s="2" t="n">
        <v>3</v>
      </c>
      <c r="Z312" s="2" t="n">
        <v>3</v>
      </c>
    </row>
    <row r="313" customFormat="false" ht="15" hidden="false" customHeight="true" outlineLevel="0" collapsed="false">
      <c r="A313" s="2" t="n">
        <v>36</v>
      </c>
      <c r="B313" s="2" t="s">
        <v>26</v>
      </c>
      <c r="C313" s="2" t="s">
        <v>41</v>
      </c>
      <c r="D313" s="2" t="s">
        <v>35</v>
      </c>
      <c r="E313" s="2" t="n">
        <v>7</v>
      </c>
      <c r="F313" s="2" t="n">
        <v>2</v>
      </c>
      <c r="G313" s="2" t="s">
        <v>29</v>
      </c>
      <c r="H313" s="2" t="n">
        <v>312</v>
      </c>
      <c r="I313" s="2" t="s">
        <v>39</v>
      </c>
      <c r="J313" s="2" t="n">
        <v>5</v>
      </c>
      <c r="K313" s="2" t="s">
        <v>40</v>
      </c>
      <c r="L313" s="2" t="s">
        <v>37</v>
      </c>
      <c r="M313" s="2" t="n">
        <v>116310</v>
      </c>
      <c r="N313" s="2" t="n">
        <v>1</v>
      </c>
      <c r="O313" s="2" t="n">
        <v>18</v>
      </c>
      <c r="P313" s="2" t="n">
        <v>1</v>
      </c>
      <c r="Q313" s="2" t="n">
        <v>10</v>
      </c>
      <c r="R313" s="2" t="n">
        <v>2</v>
      </c>
      <c r="S313" s="2" t="n">
        <v>10</v>
      </c>
      <c r="T313" s="2" t="n">
        <v>0</v>
      </c>
      <c r="U313" s="2" t="n">
        <v>9</v>
      </c>
      <c r="V313" s="2" t="n">
        <v>1</v>
      </c>
      <c r="W313" s="2" t="n">
        <v>1</v>
      </c>
      <c r="X313" s="2" t="n">
        <v>3</v>
      </c>
      <c r="Y313" s="2" t="n">
        <v>1</v>
      </c>
      <c r="Z313" s="2" t="n">
        <v>3</v>
      </c>
    </row>
    <row r="314" customFormat="false" ht="15" hidden="false" customHeight="true" outlineLevel="0" collapsed="false">
      <c r="A314" s="2" t="n">
        <v>52</v>
      </c>
      <c r="B314" s="2" t="s">
        <v>26</v>
      </c>
      <c r="C314" s="2" t="s">
        <v>41</v>
      </c>
      <c r="D314" s="2" t="s">
        <v>35</v>
      </c>
      <c r="E314" s="2" t="n">
        <v>1</v>
      </c>
      <c r="F314" s="2" t="n">
        <v>4</v>
      </c>
      <c r="G314" s="2" t="s">
        <v>29</v>
      </c>
      <c r="H314" s="2" t="n">
        <v>313</v>
      </c>
      <c r="I314" s="2" t="s">
        <v>39</v>
      </c>
      <c r="J314" s="2" t="n">
        <v>5</v>
      </c>
      <c r="K314" s="2" t="s">
        <v>40</v>
      </c>
      <c r="L314" s="2" t="s">
        <v>32</v>
      </c>
      <c r="M314" s="2" t="n">
        <v>97380</v>
      </c>
      <c r="N314" s="2" t="n">
        <v>0</v>
      </c>
      <c r="O314" s="2" t="n">
        <v>18</v>
      </c>
      <c r="P314" s="2" t="n">
        <v>2</v>
      </c>
      <c r="Q314" s="2" t="n">
        <v>5</v>
      </c>
      <c r="R314" s="2" t="n">
        <v>2</v>
      </c>
      <c r="S314" s="2" t="n">
        <v>4</v>
      </c>
      <c r="T314" s="2" t="n">
        <v>1</v>
      </c>
      <c r="U314" s="2" t="n">
        <v>2</v>
      </c>
      <c r="V314" s="2" t="n">
        <v>4</v>
      </c>
      <c r="W314" s="2" t="n">
        <v>4</v>
      </c>
      <c r="X314" s="2" t="n">
        <v>3</v>
      </c>
      <c r="Y314" s="2" t="n">
        <v>3</v>
      </c>
      <c r="Z314" s="2" t="n">
        <v>3</v>
      </c>
    </row>
    <row r="315" customFormat="false" ht="15" hidden="false" customHeight="true" outlineLevel="0" collapsed="false">
      <c r="A315" s="2" t="n">
        <v>26</v>
      </c>
      <c r="B315" s="2" t="s">
        <v>26</v>
      </c>
      <c r="C315" s="2" t="s">
        <v>34</v>
      </c>
      <c r="D315" s="2" t="s">
        <v>35</v>
      </c>
      <c r="E315" s="2" t="n">
        <v>2</v>
      </c>
      <c r="F315" s="2" t="n">
        <v>2</v>
      </c>
      <c r="G315" s="2" t="s">
        <v>29</v>
      </c>
      <c r="H315" s="2" t="n">
        <v>314</v>
      </c>
      <c r="I315" s="2" t="s">
        <v>39</v>
      </c>
      <c r="J315" s="2" t="n">
        <v>1</v>
      </c>
      <c r="K315" s="2" t="s">
        <v>47</v>
      </c>
      <c r="L315" s="2" t="s">
        <v>46</v>
      </c>
      <c r="M315" s="2" t="n">
        <v>28350</v>
      </c>
      <c r="N315" s="2" t="n">
        <v>3</v>
      </c>
      <c r="O315" s="2" t="n">
        <v>11</v>
      </c>
      <c r="P315" s="2" t="n">
        <v>1</v>
      </c>
      <c r="Q315" s="2" t="n">
        <v>5</v>
      </c>
      <c r="R315" s="2" t="n">
        <v>2</v>
      </c>
      <c r="S315" s="2" t="n">
        <v>2</v>
      </c>
      <c r="T315" s="2" t="n">
        <v>2</v>
      </c>
      <c r="U315" s="2" t="n">
        <v>0</v>
      </c>
      <c r="V315" s="2" t="n">
        <v>1</v>
      </c>
      <c r="W315" s="2"/>
      <c r="X315" s="2" t="n">
        <v>3</v>
      </c>
      <c r="Y315" s="2" t="n">
        <v>3</v>
      </c>
      <c r="Z315" s="2" t="n">
        <v>3</v>
      </c>
    </row>
    <row r="316" customFormat="false" ht="15" hidden="false" customHeight="true" outlineLevel="0" collapsed="false">
      <c r="A316" s="2" t="n">
        <v>29</v>
      </c>
      <c r="B316" s="2" t="s">
        <v>26</v>
      </c>
      <c r="C316" s="2" t="s">
        <v>27</v>
      </c>
      <c r="D316" s="2" t="s">
        <v>35</v>
      </c>
      <c r="E316" s="2" t="n">
        <v>10</v>
      </c>
      <c r="F316" s="2" t="n">
        <v>2</v>
      </c>
      <c r="G316" s="2" t="s">
        <v>43</v>
      </c>
      <c r="H316" s="2" t="n">
        <v>315</v>
      </c>
      <c r="I316" s="2" t="s">
        <v>39</v>
      </c>
      <c r="J316" s="2" t="n">
        <v>3</v>
      </c>
      <c r="K316" s="2" t="s">
        <v>47</v>
      </c>
      <c r="L316" s="2" t="s">
        <v>32</v>
      </c>
      <c r="M316" s="2" t="n">
        <v>169590</v>
      </c>
      <c r="N316" s="2" t="n">
        <v>4</v>
      </c>
      <c r="O316" s="2" t="n">
        <v>14</v>
      </c>
      <c r="P316" s="2" t="n">
        <v>3</v>
      </c>
      <c r="Q316" s="2" t="n">
        <v>11</v>
      </c>
      <c r="R316" s="2" t="n">
        <v>5</v>
      </c>
      <c r="S316" s="2" t="n">
        <v>8</v>
      </c>
      <c r="T316" s="2" t="n">
        <v>1</v>
      </c>
      <c r="U316" s="2" t="n">
        <v>1</v>
      </c>
      <c r="V316" s="2" t="n">
        <v>2</v>
      </c>
      <c r="W316" s="2" t="n">
        <v>3</v>
      </c>
      <c r="X316" s="2" t="n">
        <v>2</v>
      </c>
      <c r="Y316" s="2" t="n">
        <v>3</v>
      </c>
      <c r="Z316" s="2" t="n">
        <v>3</v>
      </c>
    </row>
    <row r="317" customFormat="false" ht="15" hidden="false" customHeight="true" outlineLevel="0" collapsed="false">
      <c r="A317" s="2" t="n">
        <v>26</v>
      </c>
      <c r="B317" s="2" t="s">
        <v>33</v>
      </c>
      <c r="C317" s="2" t="s">
        <v>27</v>
      </c>
      <c r="D317" s="2" t="s">
        <v>35</v>
      </c>
      <c r="E317" s="2" t="n">
        <v>15</v>
      </c>
      <c r="F317" s="2" t="n">
        <v>2</v>
      </c>
      <c r="G317" s="2" t="s">
        <v>29</v>
      </c>
      <c r="H317" s="2" t="n">
        <v>316</v>
      </c>
      <c r="I317" s="2" t="s">
        <v>39</v>
      </c>
      <c r="J317" s="2" t="n">
        <v>2</v>
      </c>
      <c r="K317" s="2" t="s">
        <v>45</v>
      </c>
      <c r="L317" s="2" t="s">
        <v>37</v>
      </c>
      <c r="M317" s="2" t="n">
        <v>26130</v>
      </c>
      <c r="N317" s="2" t="n">
        <v>6</v>
      </c>
      <c r="O317" s="2" t="n">
        <v>19</v>
      </c>
      <c r="P317" s="2" t="n">
        <v>1</v>
      </c>
      <c r="Q317" s="2" t="n">
        <v>6</v>
      </c>
      <c r="R317" s="2" t="n">
        <v>2</v>
      </c>
      <c r="S317" s="2" t="n">
        <v>4</v>
      </c>
      <c r="T317" s="2" t="n">
        <v>1</v>
      </c>
      <c r="U317" s="2" t="n">
        <v>2</v>
      </c>
      <c r="V317" s="2" t="n">
        <v>4</v>
      </c>
      <c r="W317" s="2" t="n">
        <v>1</v>
      </c>
      <c r="X317" s="2" t="n">
        <v>2</v>
      </c>
      <c r="Y317" s="2" t="n">
        <v>3</v>
      </c>
      <c r="Z317" s="2" t="n">
        <v>3</v>
      </c>
    </row>
    <row r="318" customFormat="false" ht="15" hidden="false" customHeight="true" outlineLevel="0" collapsed="false">
      <c r="A318" s="2" t="n">
        <v>34</v>
      </c>
      <c r="B318" s="2" t="s">
        <v>26</v>
      </c>
      <c r="C318" s="2" t="s">
        <v>27</v>
      </c>
      <c r="D318" s="2" t="s">
        <v>35</v>
      </c>
      <c r="E318" s="2" t="n">
        <v>14</v>
      </c>
      <c r="F318" s="2" t="n">
        <v>4</v>
      </c>
      <c r="G318" s="2" t="s">
        <v>51</v>
      </c>
      <c r="H318" s="2" t="n">
        <v>317</v>
      </c>
      <c r="I318" s="2" t="s">
        <v>39</v>
      </c>
      <c r="J318" s="2" t="n">
        <v>2</v>
      </c>
      <c r="K318" s="2" t="s">
        <v>47</v>
      </c>
      <c r="L318" s="2" t="s">
        <v>37</v>
      </c>
      <c r="M318" s="2" t="n">
        <v>61460</v>
      </c>
      <c r="N318" s="2" t="n">
        <v>2</v>
      </c>
      <c r="O318" s="2" t="n">
        <v>12</v>
      </c>
      <c r="P318" s="2" t="n">
        <v>0</v>
      </c>
      <c r="Q318" s="2" t="n">
        <v>10</v>
      </c>
      <c r="R318" s="2" t="n">
        <v>3</v>
      </c>
      <c r="S318" s="2" t="n">
        <v>4</v>
      </c>
      <c r="T318" s="2" t="n">
        <v>1</v>
      </c>
      <c r="U318" s="2" t="n">
        <v>3</v>
      </c>
      <c r="V318" s="2" t="n">
        <v>2</v>
      </c>
      <c r="W318" s="2" t="n">
        <v>4</v>
      </c>
      <c r="X318" s="2" t="n">
        <v>3</v>
      </c>
      <c r="Y318" s="2" t="n">
        <v>3</v>
      </c>
      <c r="Z318" s="2" t="n">
        <v>3</v>
      </c>
    </row>
    <row r="319" customFormat="false" ht="15" hidden="false" customHeight="true" outlineLevel="0" collapsed="false">
      <c r="A319" s="2" t="n">
        <v>54</v>
      </c>
      <c r="B319" s="2" t="s">
        <v>26</v>
      </c>
      <c r="C319" s="2" t="s">
        <v>27</v>
      </c>
      <c r="D319" s="2" t="s">
        <v>35</v>
      </c>
      <c r="E319" s="2" t="n">
        <v>18</v>
      </c>
      <c r="F319" s="2" t="n">
        <v>4</v>
      </c>
      <c r="G319" s="2" t="s">
        <v>43</v>
      </c>
      <c r="H319" s="2" t="n">
        <v>318</v>
      </c>
      <c r="I319" s="2" t="s">
        <v>30</v>
      </c>
      <c r="J319" s="2" t="n">
        <v>2</v>
      </c>
      <c r="K319" s="2" t="s">
        <v>45</v>
      </c>
      <c r="L319" s="2" t="s">
        <v>46</v>
      </c>
      <c r="M319" s="2" t="n">
        <v>49630</v>
      </c>
      <c r="N319" s="2" t="n">
        <v>9</v>
      </c>
      <c r="O319" s="2" t="n">
        <v>15</v>
      </c>
      <c r="P319" s="2" t="n">
        <v>1</v>
      </c>
      <c r="Q319" s="2" t="n">
        <v>9</v>
      </c>
      <c r="R319" s="2" t="n">
        <v>2</v>
      </c>
      <c r="S319" s="2" t="n">
        <v>5</v>
      </c>
      <c r="T319" s="2" t="n">
        <v>1</v>
      </c>
      <c r="U319" s="2" t="n">
        <v>4</v>
      </c>
      <c r="V319" s="2" t="n">
        <v>4</v>
      </c>
      <c r="W319" s="2" t="n">
        <v>1</v>
      </c>
      <c r="X319" s="2" t="n">
        <v>3</v>
      </c>
      <c r="Y319" s="2" t="n">
        <v>3</v>
      </c>
      <c r="Z319" s="2" t="n">
        <v>3</v>
      </c>
    </row>
    <row r="320" customFormat="false" ht="15" hidden="false" customHeight="true" outlineLevel="0" collapsed="false">
      <c r="A320" s="2" t="n">
        <v>27</v>
      </c>
      <c r="B320" s="2" t="s">
        <v>26</v>
      </c>
      <c r="C320" s="2" t="s">
        <v>34</v>
      </c>
      <c r="D320" s="2" t="s">
        <v>35</v>
      </c>
      <c r="E320" s="2" t="n">
        <v>13</v>
      </c>
      <c r="F320" s="2" t="n">
        <v>2</v>
      </c>
      <c r="G320" s="2" t="s">
        <v>29</v>
      </c>
      <c r="H320" s="2" t="n">
        <v>319</v>
      </c>
      <c r="I320" s="2" t="s">
        <v>30</v>
      </c>
      <c r="J320" s="2" t="n">
        <v>4</v>
      </c>
      <c r="K320" s="2" t="s">
        <v>36</v>
      </c>
      <c r="L320" s="2" t="s">
        <v>32</v>
      </c>
      <c r="M320" s="2" t="n">
        <v>195370</v>
      </c>
      <c r="N320" s="2" t="n">
        <v>0</v>
      </c>
      <c r="O320" s="2" t="n">
        <v>12</v>
      </c>
      <c r="P320" s="2" t="n">
        <v>0</v>
      </c>
      <c r="Q320" s="2" t="n">
        <v>5</v>
      </c>
      <c r="R320" s="2" t="n">
        <v>5</v>
      </c>
      <c r="S320" s="2" t="n">
        <v>4</v>
      </c>
      <c r="T320" s="2" t="n">
        <v>1</v>
      </c>
      <c r="U320" s="2" t="n">
        <v>1</v>
      </c>
      <c r="V320" s="2" t="n">
        <v>3</v>
      </c>
      <c r="W320" s="2" t="n">
        <v>4</v>
      </c>
      <c r="X320" s="2" t="n">
        <v>3</v>
      </c>
      <c r="Y320" s="2" t="n">
        <v>3</v>
      </c>
      <c r="Z320" s="2" t="n">
        <v>3</v>
      </c>
    </row>
    <row r="321" customFormat="false" ht="15" hidden="false" customHeight="true" outlineLevel="0" collapsed="false">
      <c r="A321" s="2" t="n">
        <v>37</v>
      </c>
      <c r="B321" s="2" t="s">
        <v>26</v>
      </c>
      <c r="C321" s="2" t="s">
        <v>27</v>
      </c>
      <c r="D321" s="2" t="s">
        <v>28</v>
      </c>
      <c r="E321" s="2" t="n">
        <v>2</v>
      </c>
      <c r="F321" s="2" t="n">
        <v>4</v>
      </c>
      <c r="G321" s="2" t="s">
        <v>51</v>
      </c>
      <c r="H321" s="2" t="n">
        <v>320</v>
      </c>
      <c r="I321" s="2" t="s">
        <v>39</v>
      </c>
      <c r="J321" s="2" t="n">
        <v>2</v>
      </c>
      <c r="K321" s="2" t="s">
        <v>47</v>
      </c>
      <c r="L321" s="2" t="s">
        <v>46</v>
      </c>
      <c r="M321" s="2" t="n">
        <v>61720</v>
      </c>
      <c r="N321" s="2" t="n">
        <v>0</v>
      </c>
      <c r="O321" s="2" t="n">
        <v>11</v>
      </c>
      <c r="P321" s="2" t="n">
        <v>0</v>
      </c>
      <c r="Q321" s="2" t="n">
        <v>6</v>
      </c>
      <c r="R321" s="2" t="n">
        <v>1</v>
      </c>
      <c r="S321" s="2" t="n">
        <v>5</v>
      </c>
      <c r="T321" s="2" t="n">
        <v>4</v>
      </c>
      <c r="U321" s="2" t="n">
        <v>3</v>
      </c>
      <c r="V321" s="2" t="n">
        <v>4</v>
      </c>
      <c r="W321" s="2" t="n">
        <v>1</v>
      </c>
      <c r="X321" s="2" t="n">
        <v>2</v>
      </c>
      <c r="Y321" s="2" t="n">
        <v>3</v>
      </c>
      <c r="Z321" s="2" t="n">
        <v>3</v>
      </c>
    </row>
    <row r="322" customFormat="false" ht="15" hidden="false" customHeight="true" outlineLevel="0" collapsed="false">
      <c r="A322" s="2" t="n">
        <v>38</v>
      </c>
      <c r="B322" s="2" t="s">
        <v>26</v>
      </c>
      <c r="C322" s="2" t="s">
        <v>34</v>
      </c>
      <c r="D322" s="2" t="s">
        <v>28</v>
      </c>
      <c r="E322" s="2" t="n">
        <v>2</v>
      </c>
      <c r="F322" s="2" t="n">
        <v>4</v>
      </c>
      <c r="G322" s="2" t="s">
        <v>29</v>
      </c>
      <c r="H322" s="2" t="n">
        <v>321</v>
      </c>
      <c r="I322" s="2" t="s">
        <v>30</v>
      </c>
      <c r="J322" s="2" t="n">
        <v>2</v>
      </c>
      <c r="K322" s="2" t="s">
        <v>36</v>
      </c>
      <c r="L322" s="2" t="s">
        <v>37</v>
      </c>
      <c r="M322" s="2" t="n">
        <v>23680</v>
      </c>
      <c r="N322" s="2" t="n">
        <v>6</v>
      </c>
      <c r="O322" s="2" t="n">
        <v>11</v>
      </c>
      <c r="P322" s="2" t="n">
        <v>1</v>
      </c>
      <c r="Q322" s="2" t="n">
        <v>17</v>
      </c>
      <c r="R322" s="2" t="n">
        <v>3</v>
      </c>
      <c r="S322" s="2" t="n">
        <v>15</v>
      </c>
      <c r="T322" s="2" t="n">
        <v>4</v>
      </c>
      <c r="U322" s="2" t="n">
        <v>12</v>
      </c>
      <c r="V322" s="2" t="n">
        <v>1</v>
      </c>
      <c r="W322" s="2" t="n">
        <v>1</v>
      </c>
      <c r="X322" s="2" t="n">
        <v>3</v>
      </c>
      <c r="Y322" s="2" t="n">
        <v>3</v>
      </c>
      <c r="Z322" s="2" t="n">
        <v>3</v>
      </c>
    </row>
    <row r="323" customFormat="false" ht="15" hidden="false" customHeight="true" outlineLevel="0" collapsed="false">
      <c r="A323" s="2" t="n">
        <v>34</v>
      </c>
      <c r="B323" s="2" t="s">
        <v>26</v>
      </c>
      <c r="C323" s="2" t="s">
        <v>27</v>
      </c>
      <c r="D323" s="2" t="s">
        <v>28</v>
      </c>
      <c r="E323" s="2" t="n">
        <v>2</v>
      </c>
      <c r="F323" s="2" t="n">
        <v>3</v>
      </c>
      <c r="G323" s="2" t="s">
        <v>50</v>
      </c>
      <c r="H323" s="2" t="n">
        <v>322</v>
      </c>
      <c r="I323" s="2" t="s">
        <v>39</v>
      </c>
      <c r="J323" s="2" t="n">
        <v>1</v>
      </c>
      <c r="K323" s="2" t="s">
        <v>48</v>
      </c>
      <c r="L323" s="2" t="s">
        <v>37</v>
      </c>
      <c r="M323" s="2" t="n">
        <v>103120</v>
      </c>
      <c r="N323" s="2" t="n">
        <v>1</v>
      </c>
      <c r="O323" s="2" t="n">
        <v>12</v>
      </c>
      <c r="P323" s="2" t="n">
        <v>0</v>
      </c>
      <c r="Q323" s="2" t="n">
        <v>6</v>
      </c>
      <c r="R323" s="2" t="n">
        <v>2</v>
      </c>
      <c r="S323" s="2" t="n">
        <v>6</v>
      </c>
      <c r="T323" s="2" t="n">
        <v>1</v>
      </c>
      <c r="U323" s="2" t="n">
        <v>3</v>
      </c>
      <c r="V323" s="2" t="n">
        <v>3</v>
      </c>
      <c r="W323" s="2" t="n">
        <v>1</v>
      </c>
      <c r="X323" s="2" t="n">
        <v>3</v>
      </c>
      <c r="Y323" s="2" t="n">
        <v>3</v>
      </c>
      <c r="Z323" s="2" t="n">
        <v>3</v>
      </c>
    </row>
    <row r="324" customFormat="false" ht="15" hidden="false" customHeight="true" outlineLevel="0" collapsed="false">
      <c r="A324" s="2" t="n">
        <v>35</v>
      </c>
      <c r="B324" s="2" t="s">
        <v>26</v>
      </c>
      <c r="C324" s="2" t="s">
        <v>27</v>
      </c>
      <c r="D324" s="2" t="s">
        <v>35</v>
      </c>
      <c r="E324" s="2" t="n">
        <v>5</v>
      </c>
      <c r="F324" s="2" t="n">
        <v>4</v>
      </c>
      <c r="G324" s="2" t="s">
        <v>43</v>
      </c>
      <c r="H324" s="2" t="n">
        <v>323</v>
      </c>
      <c r="I324" s="2" t="s">
        <v>39</v>
      </c>
      <c r="J324" s="2" t="n">
        <v>3</v>
      </c>
      <c r="K324" s="2" t="s">
        <v>49</v>
      </c>
      <c r="L324" s="2" t="s">
        <v>32</v>
      </c>
      <c r="M324" s="2" t="n">
        <v>16750</v>
      </c>
      <c r="N324" s="2" t="n">
        <v>1</v>
      </c>
      <c r="O324" s="2" t="n">
        <v>16</v>
      </c>
      <c r="P324" s="2" t="n">
        <v>0</v>
      </c>
      <c r="Q324" s="2" t="n">
        <v>3</v>
      </c>
      <c r="R324" s="2" t="n">
        <v>6</v>
      </c>
      <c r="S324" s="2" t="n">
        <v>3</v>
      </c>
      <c r="T324" s="2" t="n">
        <v>0</v>
      </c>
      <c r="U324" s="2" t="n">
        <v>2</v>
      </c>
      <c r="V324" s="2" t="n">
        <v>1</v>
      </c>
      <c r="W324" s="2" t="n">
        <v>4</v>
      </c>
      <c r="X324" s="2" t="n">
        <v>2</v>
      </c>
      <c r="Y324" s="2" t="n">
        <v>2</v>
      </c>
      <c r="Z324" s="2" t="n">
        <v>3</v>
      </c>
    </row>
    <row r="325" customFormat="false" ht="15" hidden="false" customHeight="true" outlineLevel="0" collapsed="false">
      <c r="A325" s="2" t="n">
        <v>30</v>
      </c>
      <c r="B325" s="2" t="s">
        <v>26</v>
      </c>
      <c r="C325" s="2" t="s">
        <v>27</v>
      </c>
      <c r="D325" s="2" t="s">
        <v>35</v>
      </c>
      <c r="E325" s="2" t="n">
        <v>20</v>
      </c>
      <c r="F325" s="2" t="n">
        <v>3</v>
      </c>
      <c r="G325" s="2" t="s">
        <v>43</v>
      </c>
      <c r="H325" s="2" t="n">
        <v>324</v>
      </c>
      <c r="I325" s="2" t="s">
        <v>39</v>
      </c>
      <c r="J325" s="2" t="n">
        <v>1</v>
      </c>
      <c r="K325" s="2" t="s">
        <v>45</v>
      </c>
      <c r="L325" s="2" t="s">
        <v>32</v>
      </c>
      <c r="M325" s="2" t="n">
        <v>25230</v>
      </c>
      <c r="N325" s="2" t="n">
        <v>3</v>
      </c>
      <c r="O325" s="2" t="n">
        <v>13</v>
      </c>
      <c r="P325" s="2" t="n">
        <v>1</v>
      </c>
      <c r="Q325" s="2" t="n">
        <v>7</v>
      </c>
      <c r="R325" s="2" t="n">
        <v>2</v>
      </c>
      <c r="S325" s="2" t="n">
        <v>2</v>
      </c>
      <c r="T325" s="2" t="n">
        <v>0</v>
      </c>
      <c r="U325" s="2" t="n">
        <v>2</v>
      </c>
      <c r="V325" s="2" t="n">
        <v>4</v>
      </c>
      <c r="W325" s="2" t="n">
        <v>3</v>
      </c>
      <c r="X325" s="2" t="n">
        <v>3</v>
      </c>
      <c r="Y325" s="2" t="n">
        <v>3</v>
      </c>
      <c r="Z325" s="2" t="n">
        <v>3</v>
      </c>
    </row>
    <row r="326" customFormat="false" ht="15" hidden="false" customHeight="true" outlineLevel="0" collapsed="false">
      <c r="A326" s="2" t="n">
        <v>40</v>
      </c>
      <c r="B326" s="2" t="s">
        <v>26</v>
      </c>
      <c r="C326" s="2" t="s">
        <v>34</v>
      </c>
      <c r="D326" s="2" t="s">
        <v>35</v>
      </c>
      <c r="E326" s="2" t="n">
        <v>10</v>
      </c>
      <c r="F326" s="2" t="n">
        <v>4</v>
      </c>
      <c r="G326" s="2" t="s">
        <v>43</v>
      </c>
      <c r="H326" s="2" t="n">
        <v>325</v>
      </c>
      <c r="I326" s="2" t="s">
        <v>39</v>
      </c>
      <c r="J326" s="2" t="n">
        <v>2</v>
      </c>
      <c r="K326" s="2" t="s">
        <v>47</v>
      </c>
      <c r="L326" s="2" t="s">
        <v>32</v>
      </c>
      <c r="M326" s="2" t="n">
        <v>65670</v>
      </c>
      <c r="N326" s="2" t="n">
        <v>1</v>
      </c>
      <c r="O326" s="2" t="n">
        <v>13</v>
      </c>
      <c r="P326" s="2" t="n">
        <v>1</v>
      </c>
      <c r="Q326" s="2" t="n">
        <v>8</v>
      </c>
      <c r="R326" s="2" t="n">
        <v>3</v>
      </c>
      <c r="S326" s="2" t="n">
        <v>8</v>
      </c>
      <c r="T326" s="2" t="n">
        <v>3</v>
      </c>
      <c r="U326" s="2" t="n">
        <v>7</v>
      </c>
      <c r="V326" s="2" t="n">
        <v>3</v>
      </c>
      <c r="W326" s="2" t="n">
        <v>2</v>
      </c>
      <c r="X326" s="2" t="n">
        <v>3</v>
      </c>
      <c r="Y326" s="2" t="n">
        <v>4</v>
      </c>
      <c r="Z326" s="2" t="n">
        <v>3</v>
      </c>
    </row>
    <row r="327" customFormat="false" ht="15" hidden="false" customHeight="true" outlineLevel="0" collapsed="false">
      <c r="A327" s="2" t="n">
        <v>34</v>
      </c>
      <c r="B327" s="2" t="s">
        <v>26</v>
      </c>
      <c r="C327" s="2" t="s">
        <v>27</v>
      </c>
      <c r="D327" s="2" t="s">
        <v>35</v>
      </c>
      <c r="E327" s="2" t="n">
        <v>10</v>
      </c>
      <c r="F327" s="2" t="n">
        <v>3</v>
      </c>
      <c r="G327" s="2" t="s">
        <v>29</v>
      </c>
      <c r="H327" s="2" t="n">
        <v>326</v>
      </c>
      <c r="I327" s="2" t="s">
        <v>39</v>
      </c>
      <c r="J327" s="2" t="n">
        <v>3</v>
      </c>
      <c r="K327" s="2" t="s">
        <v>31</v>
      </c>
      <c r="L327" s="2" t="s">
        <v>32</v>
      </c>
      <c r="M327" s="2" t="n">
        <v>47390</v>
      </c>
      <c r="N327" s="2" t="n">
        <v>5</v>
      </c>
      <c r="O327" s="2" t="n">
        <v>24</v>
      </c>
      <c r="P327" s="2" t="n">
        <v>2</v>
      </c>
      <c r="Q327" s="2" t="n">
        <v>6</v>
      </c>
      <c r="R327" s="2" t="n">
        <v>2</v>
      </c>
      <c r="S327" s="2" t="n">
        <v>3</v>
      </c>
      <c r="T327" s="2" t="n">
        <v>1</v>
      </c>
      <c r="U327" s="2" t="n">
        <v>2</v>
      </c>
      <c r="V327" s="2" t="n">
        <v>3</v>
      </c>
      <c r="W327" s="2" t="n">
        <v>1</v>
      </c>
      <c r="X327" s="2" t="n">
        <v>3</v>
      </c>
      <c r="Y327" s="2" t="n">
        <v>3</v>
      </c>
      <c r="Z327" s="2" t="n">
        <v>4</v>
      </c>
    </row>
    <row r="328" customFormat="false" ht="15" hidden="false" customHeight="true" outlineLevel="0" collapsed="false">
      <c r="A328" s="2" t="n">
        <v>42</v>
      </c>
      <c r="B328" s="2" t="s">
        <v>26</v>
      </c>
      <c r="C328" s="2" t="s">
        <v>34</v>
      </c>
      <c r="D328" s="2" t="s">
        <v>35</v>
      </c>
      <c r="E328" s="2" t="n">
        <v>9</v>
      </c>
      <c r="F328" s="2" t="n">
        <v>4</v>
      </c>
      <c r="G328" s="2" t="s">
        <v>43</v>
      </c>
      <c r="H328" s="2" t="n">
        <v>327</v>
      </c>
      <c r="I328" s="2" t="s">
        <v>39</v>
      </c>
      <c r="J328" s="2" t="n">
        <v>1</v>
      </c>
      <c r="K328" s="2" t="s">
        <v>47</v>
      </c>
      <c r="L328" s="2" t="s">
        <v>46</v>
      </c>
      <c r="M328" s="2" t="n">
        <v>92080</v>
      </c>
      <c r="N328" s="2" t="n">
        <v>1</v>
      </c>
      <c r="O328" s="2" t="n">
        <v>15</v>
      </c>
      <c r="P328" s="2" t="n">
        <v>1</v>
      </c>
      <c r="Q328" s="2" t="n">
        <v>24</v>
      </c>
      <c r="R328" s="2" t="n">
        <v>2</v>
      </c>
      <c r="S328" s="2" t="n">
        <v>24</v>
      </c>
      <c r="T328" s="2" t="n">
        <v>14</v>
      </c>
      <c r="U328" s="2" t="n">
        <v>9</v>
      </c>
      <c r="V328" s="2" t="n">
        <v>2</v>
      </c>
      <c r="W328" s="2" t="n">
        <v>4</v>
      </c>
      <c r="X328" s="2" t="n">
        <v>2</v>
      </c>
      <c r="Y328" s="2" t="n">
        <v>4</v>
      </c>
      <c r="Z328" s="2" t="n">
        <v>3</v>
      </c>
    </row>
    <row r="329" customFormat="false" ht="15" hidden="false" customHeight="true" outlineLevel="0" collapsed="false">
      <c r="A329" s="2" t="n">
        <v>23</v>
      </c>
      <c r="B329" s="2" t="s">
        <v>33</v>
      </c>
      <c r="C329" s="2" t="s">
        <v>27</v>
      </c>
      <c r="D329" s="2" t="s">
        <v>28</v>
      </c>
      <c r="E329" s="2" t="n">
        <v>2</v>
      </c>
      <c r="F329" s="2" t="n">
        <v>3</v>
      </c>
      <c r="G329" s="2" t="s">
        <v>43</v>
      </c>
      <c r="H329" s="2" t="n">
        <v>328</v>
      </c>
      <c r="I329" s="2" t="s">
        <v>30</v>
      </c>
      <c r="J329" s="2" t="n">
        <v>4</v>
      </c>
      <c r="K329" s="2" t="s">
        <v>47</v>
      </c>
      <c r="L329" s="2" t="s">
        <v>32</v>
      </c>
      <c r="M329" s="2" t="n">
        <v>45590</v>
      </c>
      <c r="N329" s="2" t="n">
        <v>1</v>
      </c>
      <c r="O329" s="2" t="n">
        <v>18</v>
      </c>
      <c r="P329" s="2" t="n">
        <v>1</v>
      </c>
      <c r="Q329" s="2" t="n">
        <v>1</v>
      </c>
      <c r="R329" s="2" t="n">
        <v>2</v>
      </c>
      <c r="S329" s="2" t="n">
        <v>0</v>
      </c>
      <c r="T329" s="2" t="n">
        <v>0</v>
      </c>
      <c r="U329" s="2" t="n">
        <v>0</v>
      </c>
      <c r="V329" s="2" t="n">
        <v>3</v>
      </c>
      <c r="W329" s="2" t="n">
        <v>1</v>
      </c>
      <c r="X329" s="2" t="n">
        <v>3</v>
      </c>
      <c r="Y329" s="2" t="n">
        <v>2</v>
      </c>
      <c r="Z329" s="2" t="n">
        <v>3</v>
      </c>
    </row>
    <row r="330" customFormat="false" ht="15" hidden="false" customHeight="true" outlineLevel="0" collapsed="false">
      <c r="A330" s="2" t="n">
        <v>24</v>
      </c>
      <c r="B330" s="2" t="s">
        <v>26</v>
      </c>
      <c r="C330" s="2" t="s">
        <v>41</v>
      </c>
      <c r="D330" s="2" t="s">
        <v>28</v>
      </c>
      <c r="E330" s="2" t="n">
        <v>1</v>
      </c>
      <c r="F330" s="2" t="n">
        <v>5</v>
      </c>
      <c r="G330" s="2" t="s">
        <v>50</v>
      </c>
      <c r="H330" s="2" t="n">
        <v>329</v>
      </c>
      <c r="I330" s="2" t="s">
        <v>30</v>
      </c>
      <c r="J330" s="2" t="n">
        <v>1</v>
      </c>
      <c r="K330" s="2" t="s">
        <v>47</v>
      </c>
      <c r="L330" s="2" t="s">
        <v>46</v>
      </c>
      <c r="M330" s="2" t="n">
        <v>81890</v>
      </c>
      <c r="N330" s="2" t="n">
        <v>1</v>
      </c>
      <c r="O330" s="2" t="n">
        <v>14</v>
      </c>
      <c r="P330" s="2" t="n">
        <v>1</v>
      </c>
      <c r="Q330" s="2" t="n">
        <v>1</v>
      </c>
      <c r="R330" s="2" t="n">
        <v>3</v>
      </c>
      <c r="S330" s="2" t="n">
        <v>1</v>
      </c>
      <c r="T330" s="2" t="n">
        <v>0</v>
      </c>
      <c r="U330" s="2" t="n">
        <v>0</v>
      </c>
      <c r="V330" s="2" t="n">
        <v>3</v>
      </c>
      <c r="W330" s="2" t="n">
        <v>2</v>
      </c>
      <c r="X330" s="2" t="n">
        <v>3</v>
      </c>
      <c r="Y330" s="2" t="n">
        <v>3</v>
      </c>
      <c r="Z330" s="2" t="n">
        <v>3</v>
      </c>
    </row>
    <row r="331" customFormat="false" ht="15" hidden="false" customHeight="true" outlineLevel="0" collapsed="false">
      <c r="A331" s="2" t="n">
        <v>52</v>
      </c>
      <c r="B331" s="2" t="s">
        <v>26</v>
      </c>
      <c r="C331" s="2" t="s">
        <v>27</v>
      </c>
      <c r="D331" s="2" t="s">
        <v>35</v>
      </c>
      <c r="E331" s="2" t="n">
        <v>29</v>
      </c>
      <c r="F331" s="2" t="n">
        <v>3</v>
      </c>
      <c r="G331" s="2" t="s">
        <v>29</v>
      </c>
      <c r="H331" s="2" t="n">
        <v>330</v>
      </c>
      <c r="I331" s="2" t="s">
        <v>39</v>
      </c>
      <c r="J331" s="2" t="n">
        <v>2</v>
      </c>
      <c r="K331" s="2" t="s">
        <v>47</v>
      </c>
      <c r="L331" s="2" t="s">
        <v>32</v>
      </c>
      <c r="M331" s="2" t="n">
        <v>29420</v>
      </c>
      <c r="N331" s="2" t="n">
        <v>8</v>
      </c>
      <c r="O331" s="2" t="n">
        <v>11</v>
      </c>
      <c r="P331" s="2" t="n">
        <v>1</v>
      </c>
      <c r="Q331" s="2" t="n">
        <v>9</v>
      </c>
      <c r="R331" s="2" t="n">
        <v>1</v>
      </c>
      <c r="S331" s="2" t="n">
        <v>5</v>
      </c>
      <c r="T331" s="2" t="n">
        <v>1</v>
      </c>
      <c r="U331" s="2" t="n">
        <v>4</v>
      </c>
      <c r="V331" s="2" t="n">
        <v>4</v>
      </c>
      <c r="W331" s="2" t="n">
        <v>3</v>
      </c>
      <c r="X331" s="2" t="n">
        <v>3</v>
      </c>
      <c r="Y331" s="2" t="n">
        <v>2</v>
      </c>
      <c r="Z331" s="2" t="n">
        <v>3</v>
      </c>
    </row>
    <row r="332" customFormat="false" ht="15" hidden="false" customHeight="true" outlineLevel="0" collapsed="false">
      <c r="A332" s="2" t="n">
        <v>50</v>
      </c>
      <c r="B332" s="2" t="s">
        <v>26</v>
      </c>
      <c r="C332" s="2" t="s">
        <v>27</v>
      </c>
      <c r="D332" s="2" t="s">
        <v>35</v>
      </c>
      <c r="E332" s="2" t="n">
        <v>8</v>
      </c>
      <c r="F332" s="2" t="n">
        <v>4</v>
      </c>
      <c r="G332" s="2" t="s">
        <v>29</v>
      </c>
      <c r="H332" s="2" t="n">
        <v>331</v>
      </c>
      <c r="I332" s="2" t="s">
        <v>39</v>
      </c>
      <c r="J332" s="2" t="n">
        <v>2</v>
      </c>
      <c r="K332" s="2" t="s">
        <v>40</v>
      </c>
      <c r="L332" s="2" t="s">
        <v>32</v>
      </c>
      <c r="M332" s="2" t="n">
        <v>49410</v>
      </c>
      <c r="N332" s="2" t="n">
        <v>5</v>
      </c>
      <c r="O332" s="2" t="n">
        <v>11</v>
      </c>
      <c r="P332" s="2" t="n">
        <v>1</v>
      </c>
      <c r="Q332" s="2" t="n">
        <v>30</v>
      </c>
      <c r="R332" s="2" t="n">
        <v>3</v>
      </c>
      <c r="S332" s="2" t="n">
        <v>4</v>
      </c>
      <c r="T332" s="2" t="n">
        <v>0</v>
      </c>
      <c r="U332" s="2" t="n">
        <v>3</v>
      </c>
      <c r="V332" s="2" t="n">
        <v>3</v>
      </c>
      <c r="W332" s="2" t="n">
        <v>3</v>
      </c>
      <c r="X332" s="2" t="n">
        <v>3</v>
      </c>
      <c r="Y332" s="2" t="n">
        <v>1</v>
      </c>
      <c r="Z332" s="2" t="n">
        <v>3</v>
      </c>
    </row>
    <row r="333" customFormat="false" ht="15" hidden="false" customHeight="true" outlineLevel="0" collapsed="false">
      <c r="A333" s="2" t="n">
        <v>29</v>
      </c>
      <c r="B333" s="2" t="s">
        <v>33</v>
      </c>
      <c r="C333" s="2" t="s">
        <v>27</v>
      </c>
      <c r="D333" s="2" t="s">
        <v>28</v>
      </c>
      <c r="E333" s="2" t="n">
        <v>2</v>
      </c>
      <c r="F333" s="2" t="n">
        <v>4</v>
      </c>
      <c r="G333" s="2" t="s">
        <v>50</v>
      </c>
      <c r="H333" s="2" t="n">
        <v>332</v>
      </c>
      <c r="I333" s="2" t="s">
        <v>30</v>
      </c>
      <c r="J333" s="2" t="n">
        <v>4</v>
      </c>
      <c r="K333" s="2" t="s">
        <v>36</v>
      </c>
      <c r="L333" s="2" t="s">
        <v>32</v>
      </c>
      <c r="M333" s="2" t="n">
        <v>106500</v>
      </c>
      <c r="N333" s="2" t="n">
        <v>1</v>
      </c>
      <c r="O333" s="2" t="n">
        <v>13</v>
      </c>
      <c r="P333" s="2" t="n">
        <v>2</v>
      </c>
      <c r="Q333" s="2" t="n">
        <v>1</v>
      </c>
      <c r="R333" s="2" t="n">
        <v>2</v>
      </c>
      <c r="S333" s="2" t="n">
        <v>1</v>
      </c>
      <c r="T333" s="2" t="n">
        <v>0</v>
      </c>
      <c r="U333" s="2" t="n">
        <v>0</v>
      </c>
      <c r="V333" s="2" t="n">
        <v>2</v>
      </c>
      <c r="W333" s="2" t="n">
        <v>1</v>
      </c>
      <c r="X333" s="2" t="n">
        <v>3</v>
      </c>
      <c r="Y333" s="2" t="n">
        <v>4</v>
      </c>
      <c r="Z333" s="2" t="n">
        <v>3</v>
      </c>
    </row>
    <row r="334" customFormat="false" ht="15" hidden="false" customHeight="true" outlineLevel="0" collapsed="false">
      <c r="A334" s="2" t="n">
        <v>33</v>
      </c>
      <c r="B334" s="2" t="s">
        <v>26</v>
      </c>
      <c r="C334" s="2" t="s">
        <v>27</v>
      </c>
      <c r="D334" s="2" t="s">
        <v>35</v>
      </c>
      <c r="E334" s="2" t="n">
        <v>3</v>
      </c>
      <c r="F334" s="2" t="n">
        <v>4</v>
      </c>
      <c r="G334" s="2" t="s">
        <v>29</v>
      </c>
      <c r="H334" s="2" t="n">
        <v>333</v>
      </c>
      <c r="I334" s="2" t="s">
        <v>39</v>
      </c>
      <c r="J334" s="2" t="n">
        <v>4</v>
      </c>
      <c r="K334" s="2" t="s">
        <v>47</v>
      </c>
      <c r="L334" s="2" t="s">
        <v>32</v>
      </c>
      <c r="M334" s="2" t="n">
        <v>59020</v>
      </c>
      <c r="N334" s="2" t="n">
        <v>0</v>
      </c>
      <c r="O334" s="2" t="n">
        <v>12</v>
      </c>
      <c r="P334" s="2" t="n">
        <v>1</v>
      </c>
      <c r="Q334" s="2" t="n">
        <v>14</v>
      </c>
      <c r="R334" s="2" t="n">
        <v>2</v>
      </c>
      <c r="S334" s="2" t="n">
        <v>13</v>
      </c>
      <c r="T334" s="2" t="n">
        <v>3</v>
      </c>
      <c r="U334" s="2" t="n">
        <v>7</v>
      </c>
      <c r="V334" s="2" t="n">
        <v>3</v>
      </c>
      <c r="W334" s="2" t="n">
        <v>3</v>
      </c>
      <c r="X334" s="2" t="n">
        <v>4</v>
      </c>
      <c r="Y334" s="2" t="n">
        <v>3</v>
      </c>
      <c r="Z334" s="2" t="n">
        <v>3</v>
      </c>
    </row>
    <row r="335" customFormat="false" ht="15" hidden="false" customHeight="true" outlineLevel="0" collapsed="false">
      <c r="A335" s="2" t="n">
        <v>33</v>
      </c>
      <c r="B335" s="2" t="s">
        <v>33</v>
      </c>
      <c r="C335" s="2" t="s">
        <v>27</v>
      </c>
      <c r="D335" s="2" t="s">
        <v>35</v>
      </c>
      <c r="E335" s="2" t="n">
        <v>23</v>
      </c>
      <c r="F335" s="2" t="n">
        <v>5</v>
      </c>
      <c r="G335" s="2" t="s">
        <v>29</v>
      </c>
      <c r="H335" s="2" t="n">
        <v>334</v>
      </c>
      <c r="I335" s="2" t="s">
        <v>39</v>
      </c>
      <c r="J335" s="2" t="n">
        <v>1</v>
      </c>
      <c r="K335" s="2" t="s">
        <v>42</v>
      </c>
      <c r="L335" s="2" t="s">
        <v>37</v>
      </c>
      <c r="M335" s="2" t="n">
        <v>86390</v>
      </c>
      <c r="N335" s="2" t="n">
        <v>5</v>
      </c>
      <c r="O335" s="2" t="n">
        <v>16</v>
      </c>
      <c r="P335" s="2" t="n">
        <v>2</v>
      </c>
      <c r="Q335" s="2" t="n">
        <v>6</v>
      </c>
      <c r="R335" s="2" t="n">
        <v>3</v>
      </c>
      <c r="S335" s="2" t="n">
        <v>3</v>
      </c>
      <c r="T335" s="2" t="n">
        <v>0</v>
      </c>
      <c r="U335" s="2" t="n">
        <v>2</v>
      </c>
      <c r="V335" s="2" t="n">
        <v>1</v>
      </c>
      <c r="W335" s="2" t="n">
        <v>1</v>
      </c>
      <c r="X335" s="2" t="n">
        <v>3</v>
      </c>
      <c r="Y335" s="2" t="n">
        <v>2</v>
      </c>
      <c r="Z335" s="2" t="n">
        <v>3</v>
      </c>
    </row>
    <row r="336" customFormat="false" ht="15" hidden="false" customHeight="true" outlineLevel="0" collapsed="false">
      <c r="A336" s="2" t="n">
        <v>47</v>
      </c>
      <c r="B336" s="2" t="s">
        <v>26</v>
      </c>
      <c r="C336" s="2" t="s">
        <v>27</v>
      </c>
      <c r="D336" s="2" t="s">
        <v>35</v>
      </c>
      <c r="E336" s="2" t="n">
        <v>6</v>
      </c>
      <c r="F336" s="2" t="n">
        <v>4</v>
      </c>
      <c r="G336" s="2" t="s">
        <v>38</v>
      </c>
      <c r="H336" s="2" t="n">
        <v>335</v>
      </c>
      <c r="I336" s="2" t="s">
        <v>39</v>
      </c>
      <c r="J336" s="2" t="n">
        <v>2</v>
      </c>
      <c r="K336" s="2" t="s">
        <v>49</v>
      </c>
      <c r="L336" s="2" t="s">
        <v>32</v>
      </c>
      <c r="M336" s="2" t="n">
        <v>63470</v>
      </c>
      <c r="N336" s="2" t="n">
        <v>1</v>
      </c>
      <c r="O336" s="2" t="n">
        <v>14</v>
      </c>
      <c r="P336" s="2" t="n">
        <v>0</v>
      </c>
      <c r="Q336" s="2" t="n">
        <v>26</v>
      </c>
      <c r="R336" s="2" t="n">
        <v>2</v>
      </c>
      <c r="S336" s="2" t="n">
        <v>26</v>
      </c>
      <c r="T336" s="2" t="n">
        <v>3</v>
      </c>
      <c r="U336" s="2" t="n">
        <v>0</v>
      </c>
      <c r="V336" s="2" t="n">
        <v>3</v>
      </c>
      <c r="W336" s="2" t="n">
        <v>4</v>
      </c>
      <c r="X336" s="2" t="n">
        <v>2</v>
      </c>
      <c r="Y336" s="2" t="n">
        <v>4</v>
      </c>
      <c r="Z336" s="2" t="n">
        <v>3</v>
      </c>
    </row>
    <row r="337" customFormat="false" ht="15" hidden="false" customHeight="true" outlineLevel="0" collapsed="false">
      <c r="A337" s="2" t="n">
        <v>36</v>
      </c>
      <c r="B337" s="2" t="s">
        <v>26</v>
      </c>
      <c r="C337" s="2" t="s">
        <v>27</v>
      </c>
      <c r="D337" s="2" t="s">
        <v>28</v>
      </c>
      <c r="E337" s="2" t="n">
        <v>6</v>
      </c>
      <c r="F337" s="2" t="n">
        <v>3</v>
      </c>
      <c r="G337" s="2" t="s">
        <v>43</v>
      </c>
      <c r="H337" s="2" t="n">
        <v>336</v>
      </c>
      <c r="I337" s="2" t="s">
        <v>30</v>
      </c>
      <c r="J337" s="2" t="n">
        <v>2</v>
      </c>
      <c r="K337" s="2" t="s">
        <v>40</v>
      </c>
      <c r="L337" s="2" t="s">
        <v>32</v>
      </c>
      <c r="M337" s="2" t="n">
        <v>42000</v>
      </c>
      <c r="N337" s="2" t="n">
        <v>0</v>
      </c>
      <c r="O337" s="2" t="n">
        <v>22</v>
      </c>
      <c r="P337" s="2" t="n">
        <v>0</v>
      </c>
      <c r="Q337" s="2" t="n">
        <v>10</v>
      </c>
      <c r="R337" s="2" t="n">
        <v>3</v>
      </c>
      <c r="S337" s="2" t="n">
        <v>9</v>
      </c>
      <c r="T337" s="2" t="n">
        <v>0</v>
      </c>
      <c r="U337" s="2" t="n">
        <v>5</v>
      </c>
      <c r="V337" s="2" t="n">
        <v>3</v>
      </c>
      <c r="W337" s="2" t="n">
        <v>2</v>
      </c>
      <c r="X337" s="2" t="n">
        <v>3</v>
      </c>
      <c r="Y337" s="2" t="n">
        <v>3</v>
      </c>
      <c r="Z337" s="2" t="n">
        <v>4</v>
      </c>
    </row>
    <row r="338" customFormat="false" ht="15" hidden="false" customHeight="true" outlineLevel="0" collapsed="false">
      <c r="A338" s="2" t="n">
        <v>29</v>
      </c>
      <c r="B338" s="2" t="s">
        <v>26</v>
      </c>
      <c r="C338" s="2" t="s">
        <v>27</v>
      </c>
      <c r="D338" s="2" t="s">
        <v>35</v>
      </c>
      <c r="E338" s="2" t="n">
        <v>10</v>
      </c>
      <c r="F338" s="2" t="n">
        <v>3</v>
      </c>
      <c r="G338" s="2" t="s">
        <v>38</v>
      </c>
      <c r="H338" s="2" t="n">
        <v>337</v>
      </c>
      <c r="I338" s="2" t="s">
        <v>39</v>
      </c>
      <c r="J338" s="2" t="n">
        <v>1</v>
      </c>
      <c r="K338" s="2" t="s">
        <v>36</v>
      </c>
      <c r="L338" s="2" t="s">
        <v>32</v>
      </c>
      <c r="M338" s="2" t="n">
        <v>34520</v>
      </c>
      <c r="N338" s="2" t="n">
        <v>1</v>
      </c>
      <c r="O338" s="2" t="n">
        <v>11</v>
      </c>
      <c r="P338" s="2" t="n">
        <v>0</v>
      </c>
      <c r="Q338" s="2" t="n">
        <v>10</v>
      </c>
      <c r="R338" s="2" t="n">
        <v>3</v>
      </c>
      <c r="S338" s="2" t="n">
        <v>10</v>
      </c>
      <c r="T338" s="2" t="n">
        <v>0</v>
      </c>
      <c r="U338" s="2" t="n">
        <v>7</v>
      </c>
      <c r="V338" s="2" t="n">
        <v>3</v>
      </c>
      <c r="W338" s="2" t="n">
        <v>3</v>
      </c>
      <c r="X338" s="2" t="n">
        <v>3</v>
      </c>
      <c r="Y338" s="2" t="n">
        <v>2</v>
      </c>
      <c r="Z338" s="2" t="n">
        <v>3</v>
      </c>
    </row>
    <row r="339" customFormat="false" ht="15" hidden="false" customHeight="true" outlineLevel="0" collapsed="false">
      <c r="A339" s="2" t="n">
        <v>58</v>
      </c>
      <c r="B339" s="2" t="s">
        <v>33</v>
      </c>
      <c r="C339" s="2" t="s">
        <v>27</v>
      </c>
      <c r="D339" s="2" t="s">
        <v>35</v>
      </c>
      <c r="E339" s="2" t="n">
        <v>24</v>
      </c>
      <c r="F339" s="2" t="n">
        <v>3</v>
      </c>
      <c r="G339" s="2" t="s">
        <v>38</v>
      </c>
      <c r="H339" s="2" t="n">
        <v>338</v>
      </c>
      <c r="I339" s="2" t="s">
        <v>30</v>
      </c>
      <c r="J339" s="2" t="n">
        <v>2</v>
      </c>
      <c r="K339" s="2" t="s">
        <v>36</v>
      </c>
      <c r="L339" s="2" t="s">
        <v>37</v>
      </c>
      <c r="M339" s="2" t="n">
        <v>43170</v>
      </c>
      <c r="N339" s="2" t="n">
        <v>7</v>
      </c>
      <c r="O339" s="2" t="n">
        <v>17</v>
      </c>
      <c r="P339" s="2" t="n">
        <v>0</v>
      </c>
      <c r="Q339" s="2" t="n">
        <v>40</v>
      </c>
      <c r="R339" s="2" t="n">
        <v>2</v>
      </c>
      <c r="S339" s="2" t="n">
        <v>31</v>
      </c>
      <c r="T339" s="2" t="n">
        <v>13</v>
      </c>
      <c r="U339" s="2" t="n">
        <v>8</v>
      </c>
      <c r="V339" s="2" t="n">
        <v>4</v>
      </c>
      <c r="W339" s="2" t="n">
        <v>2</v>
      </c>
      <c r="X339" s="2" t="n">
        <v>3</v>
      </c>
      <c r="Y339" s="2" t="n">
        <v>3</v>
      </c>
      <c r="Z339" s="2" t="n">
        <v>3</v>
      </c>
    </row>
    <row r="340" customFormat="false" ht="15" hidden="false" customHeight="true" outlineLevel="0" collapsed="false">
      <c r="A340" s="2" t="n">
        <v>35</v>
      </c>
      <c r="B340" s="2" t="s">
        <v>26</v>
      </c>
      <c r="C340" s="2" t="s">
        <v>27</v>
      </c>
      <c r="D340" s="2" t="s">
        <v>28</v>
      </c>
      <c r="E340" s="2" t="n">
        <v>10</v>
      </c>
      <c r="F340" s="2" t="n">
        <v>4</v>
      </c>
      <c r="G340" s="2" t="s">
        <v>50</v>
      </c>
      <c r="H340" s="2" t="n">
        <v>339</v>
      </c>
      <c r="I340" s="2" t="s">
        <v>30</v>
      </c>
      <c r="J340" s="2" t="n">
        <v>1</v>
      </c>
      <c r="K340" s="2" t="s">
        <v>36</v>
      </c>
      <c r="L340" s="2" t="s">
        <v>37</v>
      </c>
      <c r="M340" s="2" t="n">
        <v>26320</v>
      </c>
      <c r="N340" s="2" t="n">
        <v>3</v>
      </c>
      <c r="O340" s="2" t="n">
        <v>13</v>
      </c>
      <c r="P340" s="2" t="n">
        <v>3</v>
      </c>
      <c r="Q340" s="2" t="n">
        <v>7</v>
      </c>
      <c r="R340" s="2" t="n">
        <v>3</v>
      </c>
      <c r="S340" s="2" t="n">
        <v>2</v>
      </c>
      <c r="T340" s="2" t="n">
        <v>2</v>
      </c>
      <c r="U340" s="2" t="n">
        <v>2</v>
      </c>
      <c r="V340" s="2" t="n">
        <v>4</v>
      </c>
      <c r="W340" s="2" t="n">
        <v>3</v>
      </c>
      <c r="X340" s="2" t="n">
        <v>3</v>
      </c>
      <c r="Y340" s="2" t="n">
        <v>4</v>
      </c>
      <c r="Z340" s="2" t="n">
        <v>3</v>
      </c>
    </row>
    <row r="341" customFormat="false" ht="15" hidden="false" customHeight="true" outlineLevel="0" collapsed="false">
      <c r="A341" s="2" t="n">
        <v>42</v>
      </c>
      <c r="B341" s="2" t="s">
        <v>26</v>
      </c>
      <c r="C341" s="2" t="s">
        <v>27</v>
      </c>
      <c r="D341" s="2" t="s">
        <v>28</v>
      </c>
      <c r="E341" s="2" t="n">
        <v>15</v>
      </c>
      <c r="F341" s="2" t="n">
        <v>1</v>
      </c>
      <c r="G341" s="2" t="s">
        <v>50</v>
      </c>
      <c r="H341" s="2" t="n">
        <v>340</v>
      </c>
      <c r="I341" s="2" t="s">
        <v>39</v>
      </c>
      <c r="J341" s="2" t="n">
        <v>2</v>
      </c>
      <c r="K341" s="2" t="s">
        <v>45</v>
      </c>
      <c r="L341" s="2" t="s">
        <v>32</v>
      </c>
      <c r="M341" s="2" t="n">
        <v>46680</v>
      </c>
      <c r="N341" s="2" t="n">
        <v>9</v>
      </c>
      <c r="O341" s="2" t="n">
        <v>18</v>
      </c>
      <c r="P341" s="2" t="n">
        <v>2</v>
      </c>
      <c r="Q341" s="2" t="n">
        <v>8</v>
      </c>
      <c r="R341" s="2" t="n">
        <v>2</v>
      </c>
      <c r="S341" s="2" t="n">
        <v>4</v>
      </c>
      <c r="T341" s="2" t="n">
        <v>0</v>
      </c>
      <c r="U341" s="2" t="n">
        <v>2</v>
      </c>
      <c r="V341" s="2" t="n">
        <v>4</v>
      </c>
      <c r="W341" s="2" t="n">
        <v>4</v>
      </c>
      <c r="X341" s="2" t="n">
        <v>3</v>
      </c>
      <c r="Y341" s="2" t="n">
        <v>3</v>
      </c>
      <c r="Z341" s="2" t="n">
        <v>3</v>
      </c>
    </row>
    <row r="342" customFormat="false" ht="15" hidden="false" customHeight="true" outlineLevel="0" collapsed="false">
      <c r="A342" s="2" t="n">
        <v>28</v>
      </c>
      <c r="B342" s="2" t="s">
        <v>33</v>
      </c>
      <c r="C342" s="2" t="s">
        <v>27</v>
      </c>
      <c r="D342" s="2" t="s">
        <v>35</v>
      </c>
      <c r="E342" s="2" t="n">
        <v>19</v>
      </c>
      <c r="F342" s="2" t="n">
        <v>4</v>
      </c>
      <c r="G342" s="2" t="s">
        <v>43</v>
      </c>
      <c r="H342" s="2" t="n">
        <v>341</v>
      </c>
      <c r="I342" s="2" t="s">
        <v>30</v>
      </c>
      <c r="J342" s="2" t="n">
        <v>2</v>
      </c>
      <c r="K342" s="2" t="s">
        <v>40</v>
      </c>
      <c r="L342" s="2" t="s">
        <v>37</v>
      </c>
      <c r="M342" s="2" t="n">
        <v>32040</v>
      </c>
      <c r="N342" s="2" t="n">
        <v>6</v>
      </c>
      <c r="O342" s="2" t="n">
        <v>16</v>
      </c>
      <c r="P342" s="2" t="n">
        <v>1</v>
      </c>
      <c r="Q342" s="2" t="n">
        <v>5</v>
      </c>
      <c r="R342" s="2" t="n">
        <v>4</v>
      </c>
      <c r="S342" s="2" t="n">
        <v>2</v>
      </c>
      <c r="T342" s="2" t="n">
        <v>2</v>
      </c>
      <c r="U342" s="2" t="n">
        <v>1</v>
      </c>
      <c r="V342" s="2" t="n">
        <v>3</v>
      </c>
      <c r="W342" s="2" t="n">
        <v>3</v>
      </c>
      <c r="X342" s="2" t="n">
        <v>2</v>
      </c>
      <c r="Y342" s="2" t="n">
        <v>2</v>
      </c>
      <c r="Z342" s="2" t="n">
        <v>3</v>
      </c>
    </row>
    <row r="343" customFormat="false" ht="15" hidden="false" customHeight="true" outlineLevel="0" collapsed="false">
      <c r="A343" s="2" t="n">
        <v>36</v>
      </c>
      <c r="B343" s="2" t="s">
        <v>26</v>
      </c>
      <c r="C343" s="2" t="s">
        <v>27</v>
      </c>
      <c r="D343" s="2" t="s">
        <v>35</v>
      </c>
      <c r="E343" s="2" t="n">
        <v>2</v>
      </c>
      <c r="F343" s="2" t="n">
        <v>3</v>
      </c>
      <c r="G343" s="2" t="s">
        <v>29</v>
      </c>
      <c r="H343" s="2" t="n">
        <v>342</v>
      </c>
      <c r="I343" s="2" t="s">
        <v>39</v>
      </c>
      <c r="J343" s="2" t="n">
        <v>2</v>
      </c>
      <c r="K343" s="2" t="s">
        <v>31</v>
      </c>
      <c r="L343" s="2" t="s">
        <v>32</v>
      </c>
      <c r="M343" s="2" t="n">
        <v>27200</v>
      </c>
      <c r="N343" s="2" t="n">
        <v>4</v>
      </c>
      <c r="O343" s="2" t="n">
        <v>14</v>
      </c>
      <c r="P343" s="2" t="n">
        <v>1</v>
      </c>
      <c r="Q343" s="2" t="n">
        <v>8</v>
      </c>
      <c r="R343" s="2" t="n">
        <v>3</v>
      </c>
      <c r="S343" s="2" t="n">
        <v>5</v>
      </c>
      <c r="T343" s="2" t="n">
        <v>0</v>
      </c>
      <c r="U343" s="2" t="n">
        <v>4</v>
      </c>
      <c r="V343" s="2" t="n">
        <v>3</v>
      </c>
      <c r="W343" s="2" t="n">
        <v>2</v>
      </c>
      <c r="X343" s="2" t="n">
        <v>3</v>
      </c>
      <c r="Y343" s="2" t="n">
        <v>3</v>
      </c>
      <c r="Z343" s="2" t="n">
        <v>3</v>
      </c>
    </row>
    <row r="344" customFormat="false" ht="15" hidden="false" customHeight="true" outlineLevel="0" collapsed="false">
      <c r="A344" s="2" t="n">
        <v>32</v>
      </c>
      <c r="B344" s="2" t="s">
        <v>26</v>
      </c>
      <c r="C344" s="2" t="s">
        <v>27</v>
      </c>
      <c r="D344" s="2" t="s">
        <v>35</v>
      </c>
      <c r="E344" s="2" t="n">
        <v>3</v>
      </c>
      <c r="F344" s="2" t="n">
        <v>1</v>
      </c>
      <c r="G344" s="2" t="s">
        <v>43</v>
      </c>
      <c r="H344" s="2" t="n">
        <v>343</v>
      </c>
      <c r="I344" s="2" t="s">
        <v>39</v>
      </c>
      <c r="J344" s="2" t="n">
        <v>2</v>
      </c>
      <c r="K344" s="2" t="s">
        <v>47</v>
      </c>
      <c r="L344" s="2" t="s">
        <v>32</v>
      </c>
      <c r="M344" s="2" t="n">
        <v>171810</v>
      </c>
      <c r="N344" s="2" t="n">
        <v>1</v>
      </c>
      <c r="O344" s="2" t="n">
        <v>14</v>
      </c>
      <c r="P344" s="2" t="n">
        <v>0</v>
      </c>
      <c r="Q344" s="2" t="n">
        <v>14</v>
      </c>
      <c r="R344" s="2" t="n">
        <v>2</v>
      </c>
      <c r="S344" s="2" t="n">
        <v>14</v>
      </c>
      <c r="T344" s="2" t="n">
        <v>6</v>
      </c>
      <c r="U344" s="2" t="n">
        <v>8</v>
      </c>
      <c r="V344" s="2" t="n">
        <v>3</v>
      </c>
      <c r="W344" s="2" t="n">
        <v>3</v>
      </c>
      <c r="X344" s="2" t="n">
        <v>3</v>
      </c>
      <c r="Y344" s="2" t="n">
        <v>2</v>
      </c>
      <c r="Z344" s="2" t="n">
        <v>3</v>
      </c>
    </row>
    <row r="345" customFormat="false" ht="15" hidden="false" customHeight="true" outlineLevel="0" collapsed="false">
      <c r="A345" s="2" t="n">
        <v>40</v>
      </c>
      <c r="B345" s="2" t="s">
        <v>26</v>
      </c>
      <c r="C345" s="2" t="s">
        <v>34</v>
      </c>
      <c r="D345" s="2" t="s">
        <v>28</v>
      </c>
      <c r="E345" s="2" t="n">
        <v>9</v>
      </c>
      <c r="F345" s="2" t="n">
        <v>3</v>
      </c>
      <c r="G345" s="2" t="s">
        <v>50</v>
      </c>
      <c r="H345" s="2" t="n">
        <v>344</v>
      </c>
      <c r="I345" s="2" t="s">
        <v>39</v>
      </c>
      <c r="J345" s="2" t="n">
        <v>3</v>
      </c>
      <c r="K345" s="2" t="s">
        <v>47</v>
      </c>
      <c r="L345" s="2" t="s">
        <v>37</v>
      </c>
      <c r="M345" s="2" t="n">
        <v>22380</v>
      </c>
      <c r="N345" s="2"/>
      <c r="O345" s="2" t="n">
        <v>14</v>
      </c>
      <c r="P345" s="2" t="n">
        <v>0</v>
      </c>
      <c r="Q345" s="2" t="n">
        <v>10</v>
      </c>
      <c r="R345" s="2" t="n">
        <v>3</v>
      </c>
      <c r="S345" s="2" t="n">
        <v>1</v>
      </c>
      <c r="T345" s="2" t="n">
        <v>0</v>
      </c>
      <c r="U345" s="2" t="n">
        <v>0</v>
      </c>
      <c r="V345" s="2" t="n">
        <v>1</v>
      </c>
      <c r="W345" s="2" t="n">
        <v>3</v>
      </c>
      <c r="X345" s="2" t="n">
        <v>3</v>
      </c>
      <c r="Y345" s="2" t="n">
        <v>3</v>
      </c>
      <c r="Z345" s="2" t="n">
        <v>3</v>
      </c>
    </row>
    <row r="346" customFormat="false" ht="15" hidden="false" customHeight="true" outlineLevel="0" collapsed="false">
      <c r="A346" s="2" t="n">
        <v>30</v>
      </c>
      <c r="B346" s="2" t="s">
        <v>26</v>
      </c>
      <c r="C346" s="2" t="s">
        <v>27</v>
      </c>
      <c r="D346" s="2" t="s">
        <v>35</v>
      </c>
      <c r="E346" s="2" t="n">
        <v>7</v>
      </c>
      <c r="F346" s="2" t="n">
        <v>3</v>
      </c>
      <c r="G346" s="2" t="s">
        <v>51</v>
      </c>
      <c r="H346" s="2" t="n">
        <v>345</v>
      </c>
      <c r="I346" s="2" t="s">
        <v>39</v>
      </c>
      <c r="J346" s="2" t="n">
        <v>2</v>
      </c>
      <c r="K346" s="2" t="s">
        <v>44</v>
      </c>
      <c r="L346" s="2" t="s">
        <v>37</v>
      </c>
      <c r="M346" s="2" t="n">
        <v>14830</v>
      </c>
      <c r="N346" s="2" t="n">
        <v>5</v>
      </c>
      <c r="O346" s="2" t="n">
        <v>13</v>
      </c>
      <c r="P346" s="2" t="n">
        <v>0</v>
      </c>
      <c r="Q346" s="2" t="n">
        <v>12</v>
      </c>
      <c r="R346" s="2" t="n">
        <v>3</v>
      </c>
      <c r="S346" s="2" t="n">
        <v>0</v>
      </c>
      <c r="T346" s="2" t="n">
        <v>0</v>
      </c>
      <c r="U346" s="2" t="n">
        <v>0</v>
      </c>
      <c r="V346" s="2" t="n">
        <v>3</v>
      </c>
      <c r="W346" s="2" t="n">
        <v>4</v>
      </c>
      <c r="X346" s="2" t="n">
        <v>2</v>
      </c>
      <c r="Y346" s="2" t="n">
        <v>3</v>
      </c>
      <c r="Z346" s="2" t="n">
        <v>3</v>
      </c>
    </row>
    <row r="347" customFormat="false" ht="15" hidden="false" customHeight="true" outlineLevel="0" collapsed="false">
      <c r="A347" s="2" t="n">
        <v>45</v>
      </c>
      <c r="B347" s="2" t="s">
        <v>26</v>
      </c>
      <c r="C347" s="2" t="s">
        <v>27</v>
      </c>
      <c r="D347" s="2" t="s">
        <v>35</v>
      </c>
      <c r="E347" s="2" t="n">
        <v>10</v>
      </c>
      <c r="F347" s="2" t="n">
        <v>4</v>
      </c>
      <c r="G347" s="2" t="s">
        <v>29</v>
      </c>
      <c r="H347" s="2" t="n">
        <v>346</v>
      </c>
      <c r="I347" s="2" t="s">
        <v>39</v>
      </c>
      <c r="J347" s="2" t="n">
        <v>1</v>
      </c>
      <c r="K347" s="2" t="s">
        <v>44</v>
      </c>
      <c r="L347" s="2" t="s">
        <v>37</v>
      </c>
      <c r="M347" s="2" t="n">
        <v>56050</v>
      </c>
      <c r="N347" s="2" t="n">
        <v>1</v>
      </c>
      <c r="O347" s="2" t="n">
        <v>12</v>
      </c>
      <c r="P347" s="2" t="n">
        <v>2</v>
      </c>
      <c r="Q347" s="2" t="n">
        <v>1</v>
      </c>
      <c r="R347" s="2" t="n">
        <v>2</v>
      </c>
      <c r="S347" s="2" t="n">
        <v>1</v>
      </c>
      <c r="T347" s="2" t="n">
        <v>0</v>
      </c>
      <c r="U347" s="2" t="n">
        <v>0</v>
      </c>
      <c r="V347" s="2" t="n">
        <v>2</v>
      </c>
      <c r="W347" s="2" t="n">
        <v>3</v>
      </c>
      <c r="X347" s="2" t="n">
        <v>3</v>
      </c>
      <c r="Y347" s="2" t="n">
        <v>3</v>
      </c>
      <c r="Z347" s="2" t="n">
        <v>3</v>
      </c>
    </row>
    <row r="348" customFormat="false" ht="15" hidden="false" customHeight="true" outlineLevel="0" collapsed="false">
      <c r="A348" s="2" t="n">
        <v>42</v>
      </c>
      <c r="B348" s="2" t="s">
        <v>26</v>
      </c>
      <c r="C348" s="2" t="s">
        <v>27</v>
      </c>
      <c r="D348" s="2" t="s">
        <v>35</v>
      </c>
      <c r="E348" s="2" t="n">
        <v>20</v>
      </c>
      <c r="F348" s="2" t="n">
        <v>2</v>
      </c>
      <c r="G348" s="2" t="s">
        <v>43</v>
      </c>
      <c r="H348" s="2" t="n">
        <v>347</v>
      </c>
      <c r="I348" s="2" t="s">
        <v>39</v>
      </c>
      <c r="J348" s="2" t="n">
        <v>2</v>
      </c>
      <c r="K348" s="2" t="s">
        <v>48</v>
      </c>
      <c r="L348" s="2" t="s">
        <v>32</v>
      </c>
      <c r="M348" s="2" t="n">
        <v>72950</v>
      </c>
      <c r="N348" s="2" t="n">
        <v>1</v>
      </c>
      <c r="O348" s="2" t="n">
        <v>15</v>
      </c>
      <c r="P348" s="2" t="n">
        <v>0</v>
      </c>
      <c r="Q348" s="2" t="n">
        <v>10</v>
      </c>
      <c r="R348" s="2" t="n">
        <v>3</v>
      </c>
      <c r="S348" s="2" t="n">
        <v>9</v>
      </c>
      <c r="T348" s="2" t="n">
        <v>7</v>
      </c>
      <c r="U348" s="2" t="n">
        <v>8</v>
      </c>
      <c r="V348" s="2" t="n">
        <v>2</v>
      </c>
      <c r="W348" s="2" t="n">
        <v>2</v>
      </c>
      <c r="X348" s="2" t="n">
        <v>2</v>
      </c>
      <c r="Y348" s="2" t="n">
        <v>3</v>
      </c>
      <c r="Z348" s="2" t="n">
        <v>3</v>
      </c>
    </row>
    <row r="349" customFormat="false" ht="15" hidden="false" customHeight="true" outlineLevel="0" collapsed="false">
      <c r="A349" s="2" t="n">
        <v>38</v>
      </c>
      <c r="B349" s="2" t="s">
        <v>26</v>
      </c>
      <c r="C349" s="2" t="s">
        <v>34</v>
      </c>
      <c r="D349" s="2" t="s">
        <v>28</v>
      </c>
      <c r="E349" s="2" t="n">
        <v>4</v>
      </c>
      <c r="F349" s="2" t="n">
        <v>3</v>
      </c>
      <c r="G349" s="2" t="s">
        <v>43</v>
      </c>
      <c r="H349" s="2" t="n">
        <v>348</v>
      </c>
      <c r="I349" s="2" t="s">
        <v>39</v>
      </c>
      <c r="J349" s="2" t="n">
        <v>2</v>
      </c>
      <c r="K349" s="2" t="s">
        <v>36</v>
      </c>
      <c r="L349" s="2" t="s">
        <v>46</v>
      </c>
      <c r="M349" s="2" t="n">
        <v>23060</v>
      </c>
      <c r="N349" s="2" t="n">
        <v>2</v>
      </c>
      <c r="O349" s="2" t="n">
        <v>19</v>
      </c>
      <c r="P349" s="2" t="n">
        <v>1</v>
      </c>
      <c r="Q349" s="2" t="n">
        <v>13</v>
      </c>
      <c r="R349" s="2" t="n">
        <v>5</v>
      </c>
      <c r="S349" s="2" t="n">
        <v>4</v>
      </c>
      <c r="T349" s="2" t="n">
        <v>1</v>
      </c>
      <c r="U349" s="2" t="n">
        <v>2</v>
      </c>
      <c r="V349" s="2" t="n">
        <v>1</v>
      </c>
      <c r="W349" s="2" t="n">
        <v>1</v>
      </c>
      <c r="X349" s="2" t="n">
        <v>2</v>
      </c>
      <c r="Y349" s="2" t="n">
        <v>3</v>
      </c>
      <c r="Z349" s="2" t="n">
        <v>3</v>
      </c>
    </row>
    <row r="350" customFormat="false" ht="15" hidden="false" customHeight="true" outlineLevel="0" collapsed="false">
      <c r="A350" s="2" t="n">
        <v>34</v>
      </c>
      <c r="B350" s="2" t="s">
        <v>26</v>
      </c>
      <c r="C350" s="2" t="s">
        <v>34</v>
      </c>
      <c r="D350" s="2" t="s">
        <v>35</v>
      </c>
      <c r="E350" s="2" t="n">
        <v>7</v>
      </c>
      <c r="F350" s="2" t="n">
        <v>4</v>
      </c>
      <c r="G350" s="2" t="s">
        <v>29</v>
      </c>
      <c r="H350" s="2" t="n">
        <v>349</v>
      </c>
      <c r="I350" s="2" t="s">
        <v>39</v>
      </c>
      <c r="J350" s="2" t="n">
        <v>3</v>
      </c>
      <c r="K350" s="2" t="s">
        <v>45</v>
      </c>
      <c r="L350" s="2" t="s">
        <v>37</v>
      </c>
      <c r="M350" s="2" t="n">
        <v>23480</v>
      </c>
      <c r="N350" s="2" t="n">
        <v>1</v>
      </c>
      <c r="O350" s="2" t="n">
        <v>14</v>
      </c>
      <c r="P350" s="2" t="n">
        <v>1</v>
      </c>
      <c r="Q350" s="2" t="n">
        <v>6</v>
      </c>
      <c r="R350" s="2" t="n">
        <v>3</v>
      </c>
      <c r="S350" s="2" t="n">
        <v>5</v>
      </c>
      <c r="T350" s="2" t="n">
        <v>1</v>
      </c>
      <c r="U350" s="2" t="n">
        <v>3</v>
      </c>
      <c r="V350" s="2" t="n">
        <v>3</v>
      </c>
      <c r="W350" s="2" t="n">
        <v>4</v>
      </c>
      <c r="X350" s="2" t="n">
        <v>3</v>
      </c>
      <c r="Y350" s="2" t="n">
        <v>3</v>
      </c>
      <c r="Z350" s="2" t="n">
        <v>3</v>
      </c>
    </row>
    <row r="351" customFormat="false" ht="15" hidden="false" customHeight="true" outlineLevel="0" collapsed="false">
      <c r="A351" s="2" t="n">
        <v>49</v>
      </c>
      <c r="B351" s="2" t="s">
        <v>33</v>
      </c>
      <c r="C351" s="2" t="s">
        <v>27</v>
      </c>
      <c r="D351" s="2" t="s">
        <v>28</v>
      </c>
      <c r="E351" s="2" t="n">
        <v>7</v>
      </c>
      <c r="F351" s="2" t="n">
        <v>2</v>
      </c>
      <c r="G351" s="2" t="s">
        <v>29</v>
      </c>
      <c r="H351" s="2" t="n">
        <v>350</v>
      </c>
      <c r="I351" s="2" t="s">
        <v>30</v>
      </c>
      <c r="J351" s="2" t="n">
        <v>2</v>
      </c>
      <c r="K351" s="2" t="s">
        <v>31</v>
      </c>
      <c r="L351" s="2" t="s">
        <v>32</v>
      </c>
      <c r="M351" s="2" t="n">
        <v>89980</v>
      </c>
      <c r="N351" s="2" t="n">
        <v>1</v>
      </c>
      <c r="O351" s="2" t="n">
        <v>14</v>
      </c>
      <c r="P351" s="2" t="n">
        <v>2</v>
      </c>
      <c r="Q351" s="2" t="n">
        <v>9</v>
      </c>
      <c r="R351" s="2" t="n">
        <v>2</v>
      </c>
      <c r="S351" s="2" t="n">
        <v>9</v>
      </c>
      <c r="T351" s="2" t="n">
        <v>7</v>
      </c>
      <c r="U351" s="2" t="n">
        <v>7</v>
      </c>
      <c r="V351" s="2" t="n">
        <v>3</v>
      </c>
      <c r="W351" s="2" t="n">
        <v>4</v>
      </c>
      <c r="X351" s="2" t="n">
        <v>4</v>
      </c>
      <c r="Y351" s="2" t="n">
        <v>4</v>
      </c>
      <c r="Z351" s="2" t="n">
        <v>3</v>
      </c>
    </row>
    <row r="352" customFormat="false" ht="15" hidden="false" customHeight="true" outlineLevel="0" collapsed="false">
      <c r="A352" s="2" t="n">
        <v>55</v>
      </c>
      <c r="B352" s="2" t="s">
        <v>33</v>
      </c>
      <c r="C352" s="2" t="s">
        <v>27</v>
      </c>
      <c r="D352" s="2" t="s">
        <v>42</v>
      </c>
      <c r="E352" s="2" t="n">
        <v>16</v>
      </c>
      <c r="F352" s="2" t="n">
        <v>3</v>
      </c>
      <c r="G352" s="2" t="s">
        <v>51</v>
      </c>
      <c r="H352" s="2" t="n">
        <v>351</v>
      </c>
      <c r="I352" s="2" t="s">
        <v>39</v>
      </c>
      <c r="J352" s="2" t="n">
        <v>4</v>
      </c>
      <c r="K352" s="2" t="s">
        <v>47</v>
      </c>
      <c r="L352" s="2" t="s">
        <v>37</v>
      </c>
      <c r="M352" s="2" t="n">
        <v>43190</v>
      </c>
      <c r="N352" s="2" t="n">
        <v>4</v>
      </c>
      <c r="O352" s="2" t="n">
        <v>11</v>
      </c>
      <c r="P352" s="2" t="n">
        <v>0</v>
      </c>
      <c r="Q352" s="2" t="n">
        <v>12</v>
      </c>
      <c r="R352" s="2" t="n">
        <v>3</v>
      </c>
      <c r="S352" s="2" t="n">
        <v>9</v>
      </c>
      <c r="T352" s="2" t="n">
        <v>7</v>
      </c>
      <c r="U352" s="2" t="n">
        <v>3</v>
      </c>
      <c r="V352" s="2" t="n">
        <v>3</v>
      </c>
      <c r="W352" s="2" t="n">
        <v>4</v>
      </c>
      <c r="X352" s="2" t="n">
        <v>2</v>
      </c>
      <c r="Y352" s="2" t="n">
        <v>4</v>
      </c>
      <c r="Z352" s="2" t="n">
        <v>3</v>
      </c>
    </row>
    <row r="353" customFormat="false" ht="15" hidden="false" customHeight="true" outlineLevel="0" collapsed="false">
      <c r="A353" s="2" t="n">
        <v>43</v>
      </c>
      <c r="B353" s="2" t="s">
        <v>26</v>
      </c>
      <c r="C353" s="2" t="s">
        <v>27</v>
      </c>
      <c r="D353" s="2" t="s">
        <v>35</v>
      </c>
      <c r="E353" s="2" t="n">
        <v>25</v>
      </c>
      <c r="F353" s="2" t="n">
        <v>2</v>
      </c>
      <c r="G353" s="2" t="s">
        <v>43</v>
      </c>
      <c r="H353" s="2" t="n">
        <v>352</v>
      </c>
      <c r="I353" s="2" t="s">
        <v>39</v>
      </c>
      <c r="J353" s="2" t="n">
        <v>2</v>
      </c>
      <c r="K353" s="2" t="s">
        <v>31</v>
      </c>
      <c r="L353" s="2" t="s">
        <v>32</v>
      </c>
      <c r="M353" s="2" t="n">
        <v>61320</v>
      </c>
      <c r="N353" s="2" t="n">
        <v>6</v>
      </c>
      <c r="O353" s="2" t="n">
        <v>13</v>
      </c>
      <c r="P353" s="2" t="n">
        <v>0</v>
      </c>
      <c r="Q353" s="2" t="n">
        <v>22</v>
      </c>
      <c r="R353" s="2" t="n">
        <v>3</v>
      </c>
      <c r="S353" s="2" t="n">
        <v>4</v>
      </c>
      <c r="T353" s="2" t="n">
        <v>1</v>
      </c>
      <c r="U353" s="2" t="n">
        <v>0</v>
      </c>
      <c r="V353" s="2" t="n">
        <v>2</v>
      </c>
      <c r="W353" s="2" t="n">
        <v>1</v>
      </c>
      <c r="X353" s="2" t="n">
        <v>3</v>
      </c>
      <c r="Y353" s="2" t="n">
        <v>2</v>
      </c>
      <c r="Z353" s="2" t="n">
        <v>3</v>
      </c>
    </row>
    <row r="354" customFormat="false" ht="15" hidden="false" customHeight="true" outlineLevel="0" collapsed="false">
      <c r="A354" s="2" t="n">
        <v>27</v>
      </c>
      <c r="B354" s="2" t="s">
        <v>26</v>
      </c>
      <c r="C354" s="2" t="s">
        <v>27</v>
      </c>
      <c r="D354" s="2" t="s">
        <v>28</v>
      </c>
      <c r="E354" s="2" t="n">
        <v>2</v>
      </c>
      <c r="F354" s="2" t="n">
        <v>4</v>
      </c>
      <c r="G354" s="2" t="s">
        <v>43</v>
      </c>
      <c r="H354" s="2" t="n">
        <v>353</v>
      </c>
      <c r="I354" s="2" t="s">
        <v>39</v>
      </c>
      <c r="J354" s="2" t="n">
        <v>2</v>
      </c>
      <c r="K354" s="2" t="s">
        <v>49</v>
      </c>
      <c r="L354" s="2" t="s">
        <v>46</v>
      </c>
      <c r="M354" s="2" t="n">
        <v>33460</v>
      </c>
      <c r="N354" s="2" t="n">
        <v>1</v>
      </c>
      <c r="O354" s="2" t="n">
        <v>21</v>
      </c>
      <c r="P354" s="2" t="n">
        <v>1</v>
      </c>
      <c r="Q354" s="2" t="n">
        <v>9</v>
      </c>
      <c r="R354" s="2" t="n">
        <v>2</v>
      </c>
      <c r="S354" s="2" t="n">
        <v>9</v>
      </c>
      <c r="T354" s="2" t="n">
        <v>0</v>
      </c>
      <c r="U354" s="2" t="n">
        <v>8</v>
      </c>
      <c r="V354" s="2" t="n">
        <v>3</v>
      </c>
      <c r="W354" s="2" t="n">
        <v>4</v>
      </c>
      <c r="X354" s="2" t="n">
        <v>3</v>
      </c>
      <c r="Y354" s="2" t="n">
        <v>2</v>
      </c>
      <c r="Z354" s="2" t="n">
        <v>4</v>
      </c>
    </row>
    <row r="355" customFormat="false" ht="15" hidden="false" customHeight="true" outlineLevel="0" collapsed="false">
      <c r="A355" s="2" t="n">
        <v>35</v>
      </c>
      <c r="B355" s="2" t="s">
        <v>26</v>
      </c>
      <c r="C355" s="2" t="s">
        <v>27</v>
      </c>
      <c r="D355" s="2" t="s">
        <v>35</v>
      </c>
      <c r="E355" s="2" t="n">
        <v>1</v>
      </c>
      <c r="F355" s="2" t="n">
        <v>3</v>
      </c>
      <c r="G355" s="2" t="s">
        <v>43</v>
      </c>
      <c r="H355" s="2" t="n">
        <v>354</v>
      </c>
      <c r="I355" s="2" t="s">
        <v>39</v>
      </c>
      <c r="J355" s="2" t="n">
        <v>1</v>
      </c>
      <c r="K355" s="2" t="s">
        <v>44</v>
      </c>
      <c r="L355" s="2" t="s">
        <v>37</v>
      </c>
      <c r="M355" s="2" t="n">
        <v>108550</v>
      </c>
      <c r="N355" s="2" t="n">
        <v>3</v>
      </c>
      <c r="O355" s="2" t="n">
        <v>13</v>
      </c>
      <c r="P355" s="2" t="n">
        <v>1</v>
      </c>
      <c r="Q355" s="2" t="n">
        <v>17</v>
      </c>
      <c r="R355" s="2" t="n">
        <v>2</v>
      </c>
      <c r="S355" s="2" t="n">
        <v>8</v>
      </c>
      <c r="T355" s="2" t="n">
        <v>1</v>
      </c>
      <c r="U355" s="2" t="n">
        <v>6</v>
      </c>
      <c r="V355" s="2" t="n">
        <v>3</v>
      </c>
      <c r="W355" s="2" t="n">
        <v>3</v>
      </c>
      <c r="X355" s="2" t="n">
        <v>4</v>
      </c>
      <c r="Y355" s="2" t="n">
        <v>3</v>
      </c>
      <c r="Z355" s="2" t="n">
        <v>3</v>
      </c>
    </row>
    <row r="356" customFormat="false" ht="15" hidden="false" customHeight="true" outlineLevel="0" collapsed="false">
      <c r="A356" s="2" t="n">
        <v>28</v>
      </c>
      <c r="B356" s="2" t="s">
        <v>26</v>
      </c>
      <c r="C356" s="2" t="s">
        <v>27</v>
      </c>
      <c r="D356" s="2" t="s">
        <v>28</v>
      </c>
      <c r="E356" s="2" t="n">
        <v>1</v>
      </c>
      <c r="F356" s="2" t="n">
        <v>2</v>
      </c>
      <c r="G356" s="2" t="s">
        <v>51</v>
      </c>
      <c r="H356" s="2" t="n">
        <v>355</v>
      </c>
      <c r="I356" s="2" t="s">
        <v>30</v>
      </c>
      <c r="J356" s="2" t="n">
        <v>1</v>
      </c>
      <c r="K356" s="2" t="s">
        <v>40</v>
      </c>
      <c r="L356" s="2" t="s">
        <v>32</v>
      </c>
      <c r="M356" s="2" t="n">
        <v>22310</v>
      </c>
      <c r="N356" s="2" t="n">
        <v>1</v>
      </c>
      <c r="O356" s="2" t="n">
        <v>12</v>
      </c>
      <c r="P356" s="2" t="n">
        <v>0</v>
      </c>
      <c r="Q356" s="2" t="n">
        <v>8</v>
      </c>
      <c r="R356" s="2" t="n">
        <v>3</v>
      </c>
      <c r="S356" s="2" t="n">
        <v>8</v>
      </c>
      <c r="T356" s="2" t="n">
        <v>7</v>
      </c>
      <c r="U356" s="2" t="n">
        <v>5</v>
      </c>
      <c r="V356" s="2" t="n">
        <v>2</v>
      </c>
      <c r="W356" s="2" t="n">
        <v>2</v>
      </c>
      <c r="X356" s="2" t="n">
        <v>3</v>
      </c>
      <c r="Y356" s="2" t="n">
        <v>2</v>
      </c>
      <c r="Z356" s="2" t="n">
        <v>3</v>
      </c>
    </row>
    <row r="357" customFormat="false" ht="15" hidden="false" customHeight="true" outlineLevel="0" collapsed="false">
      <c r="A357" s="2" t="n">
        <v>34</v>
      </c>
      <c r="B357" s="2" t="s">
        <v>26</v>
      </c>
      <c r="C357" s="2" t="s">
        <v>27</v>
      </c>
      <c r="D357" s="2" t="s">
        <v>28</v>
      </c>
      <c r="E357" s="2" t="n">
        <v>2</v>
      </c>
      <c r="F357" s="2" t="n">
        <v>5</v>
      </c>
      <c r="G357" s="2" t="s">
        <v>29</v>
      </c>
      <c r="H357" s="2" t="n">
        <v>356</v>
      </c>
      <c r="I357" s="2" t="s">
        <v>39</v>
      </c>
      <c r="J357" s="2" t="n">
        <v>4</v>
      </c>
      <c r="K357" s="2" t="s">
        <v>36</v>
      </c>
      <c r="L357" s="2" t="s">
        <v>32</v>
      </c>
      <c r="M357" s="2" t="n">
        <v>23230</v>
      </c>
      <c r="N357" s="2" t="n">
        <v>0</v>
      </c>
      <c r="O357" s="2" t="n">
        <v>17</v>
      </c>
      <c r="P357" s="2" t="n">
        <v>0</v>
      </c>
      <c r="Q357" s="2" t="n">
        <v>4</v>
      </c>
      <c r="R357" s="2" t="n">
        <v>2</v>
      </c>
      <c r="S357" s="2" t="n">
        <v>3</v>
      </c>
      <c r="T357" s="2" t="n">
        <v>0</v>
      </c>
      <c r="U357" s="2" t="n">
        <v>2</v>
      </c>
      <c r="V357" s="2" t="n">
        <v>3</v>
      </c>
      <c r="W357" s="2" t="n">
        <v>4</v>
      </c>
      <c r="X357" s="2" t="n">
        <v>1</v>
      </c>
      <c r="Y357" s="2" t="n">
        <v>3</v>
      </c>
      <c r="Z357" s="2" t="n">
        <v>3</v>
      </c>
    </row>
    <row r="358" customFormat="false" ht="15" hidden="false" customHeight="true" outlineLevel="0" collapsed="false">
      <c r="A358" s="2" t="n">
        <v>26</v>
      </c>
      <c r="B358" s="2" t="s">
        <v>33</v>
      </c>
      <c r="C358" s="2" t="s">
        <v>34</v>
      </c>
      <c r="D358" s="2" t="s">
        <v>35</v>
      </c>
      <c r="E358" s="2" t="n">
        <v>22</v>
      </c>
      <c r="F358" s="2" t="n">
        <v>4</v>
      </c>
      <c r="G358" s="2" t="s">
        <v>38</v>
      </c>
      <c r="H358" s="2" t="n">
        <v>357</v>
      </c>
      <c r="I358" s="2" t="s">
        <v>30</v>
      </c>
      <c r="J358" s="2" t="n">
        <v>1</v>
      </c>
      <c r="K358" s="2" t="s">
        <v>40</v>
      </c>
      <c r="L358" s="2" t="s">
        <v>32</v>
      </c>
      <c r="M358" s="2" t="n">
        <v>20240</v>
      </c>
      <c r="N358" s="2" t="n">
        <v>1</v>
      </c>
      <c r="O358" s="2" t="n">
        <v>23</v>
      </c>
      <c r="P358" s="2" t="n">
        <v>0</v>
      </c>
      <c r="Q358" s="2" t="n">
        <v>8</v>
      </c>
      <c r="R358" s="2" t="n">
        <v>2</v>
      </c>
      <c r="S358" s="2" t="n">
        <v>8</v>
      </c>
      <c r="T358" s="2" t="n">
        <v>1</v>
      </c>
      <c r="U358" s="2" t="n">
        <v>7</v>
      </c>
      <c r="V358" s="2" t="n">
        <v>3</v>
      </c>
      <c r="W358" s="2" t="n">
        <v>3</v>
      </c>
      <c r="X358" s="2" t="n">
        <v>3</v>
      </c>
      <c r="Y358" s="2" t="n">
        <v>3</v>
      </c>
      <c r="Z358" s="2" t="n">
        <v>4</v>
      </c>
    </row>
    <row r="359" customFormat="false" ht="15" hidden="false" customHeight="true" outlineLevel="0" collapsed="false">
      <c r="A359" s="2" t="n">
        <v>27</v>
      </c>
      <c r="B359" s="2" t="s">
        <v>26</v>
      </c>
      <c r="C359" s="2" t="s">
        <v>41</v>
      </c>
      <c r="D359" s="2" t="s">
        <v>28</v>
      </c>
      <c r="E359" s="2" t="n">
        <v>1</v>
      </c>
      <c r="F359" s="2" t="n">
        <v>3</v>
      </c>
      <c r="G359" s="2" t="s">
        <v>51</v>
      </c>
      <c r="H359" s="2" t="n">
        <v>358</v>
      </c>
      <c r="I359" s="2" t="s">
        <v>30</v>
      </c>
      <c r="J359" s="2" t="n">
        <v>1</v>
      </c>
      <c r="K359" s="2" t="s">
        <v>40</v>
      </c>
      <c r="L359" s="2" t="s">
        <v>32</v>
      </c>
      <c r="M359" s="2" t="n">
        <v>27130</v>
      </c>
      <c r="N359" s="2" t="n">
        <v>1</v>
      </c>
      <c r="O359" s="2" t="n">
        <v>11</v>
      </c>
      <c r="P359" s="2" t="n">
        <v>0</v>
      </c>
      <c r="Q359" s="2" t="n">
        <v>0</v>
      </c>
      <c r="R359" s="2" t="n">
        <v>2</v>
      </c>
      <c r="S359" s="2" t="n">
        <v>0</v>
      </c>
      <c r="T359" s="2" t="n">
        <v>0</v>
      </c>
      <c r="U359" s="2" t="n">
        <v>0</v>
      </c>
      <c r="V359" s="2" t="n">
        <v>4</v>
      </c>
      <c r="W359" s="2" t="n">
        <v>4</v>
      </c>
      <c r="X359" s="2" t="n">
        <v>2</v>
      </c>
      <c r="Y359" s="2" t="n">
        <v>3</v>
      </c>
      <c r="Z359" s="2" t="n">
        <v>3</v>
      </c>
    </row>
    <row r="360" customFormat="false" ht="15" hidden="false" customHeight="true" outlineLevel="0" collapsed="false">
      <c r="A360" s="2" t="n">
        <v>51</v>
      </c>
      <c r="B360" s="2" t="s">
        <v>26</v>
      </c>
      <c r="C360" s="2" t="s">
        <v>27</v>
      </c>
      <c r="D360" s="2" t="s">
        <v>28</v>
      </c>
      <c r="E360" s="2" t="n">
        <v>16</v>
      </c>
      <c r="F360" s="2" t="n">
        <v>3</v>
      </c>
      <c r="G360" s="2" t="s">
        <v>43</v>
      </c>
      <c r="H360" s="2" t="n">
        <v>359</v>
      </c>
      <c r="I360" s="2" t="s">
        <v>39</v>
      </c>
      <c r="J360" s="2" t="n">
        <v>3</v>
      </c>
      <c r="K360" s="2" t="s">
        <v>36</v>
      </c>
      <c r="L360" s="2" t="s">
        <v>32</v>
      </c>
      <c r="M360" s="2" t="n">
        <v>94390</v>
      </c>
      <c r="N360" s="2" t="n">
        <v>2</v>
      </c>
      <c r="O360" s="2" t="n">
        <v>15</v>
      </c>
      <c r="P360" s="2" t="n">
        <v>3</v>
      </c>
      <c r="Q360" s="2" t="n">
        <v>29</v>
      </c>
      <c r="R360" s="2" t="n">
        <v>0</v>
      </c>
      <c r="S360" s="2" t="n">
        <v>20</v>
      </c>
      <c r="T360" s="2" t="n">
        <v>4</v>
      </c>
      <c r="U360" s="2" t="n">
        <v>17</v>
      </c>
      <c r="V360" s="2" t="n">
        <v>1</v>
      </c>
      <c r="W360" s="2" t="n">
        <v>3</v>
      </c>
      <c r="X360" s="2" t="n">
        <v>2</v>
      </c>
      <c r="Y360" s="2" t="n">
        <v>3</v>
      </c>
      <c r="Z360" s="2" t="n">
        <v>3</v>
      </c>
    </row>
    <row r="361" customFormat="false" ht="15" hidden="false" customHeight="true" outlineLevel="0" collapsed="false">
      <c r="A361" s="2" t="n">
        <v>44</v>
      </c>
      <c r="B361" s="2" t="s">
        <v>26</v>
      </c>
      <c r="C361" s="2" t="s">
        <v>27</v>
      </c>
      <c r="D361" s="2" t="s">
        <v>28</v>
      </c>
      <c r="E361" s="2" t="n">
        <v>24</v>
      </c>
      <c r="F361" s="2" t="n">
        <v>5</v>
      </c>
      <c r="G361" s="2" t="s">
        <v>43</v>
      </c>
      <c r="H361" s="2" t="n">
        <v>360</v>
      </c>
      <c r="I361" s="2" t="s">
        <v>30</v>
      </c>
      <c r="J361" s="2" t="n">
        <v>1</v>
      </c>
      <c r="K361" s="2" t="s">
        <v>40</v>
      </c>
      <c r="L361" s="2" t="s">
        <v>37</v>
      </c>
      <c r="M361" s="2" t="n">
        <v>25660</v>
      </c>
      <c r="N361" s="2" t="n">
        <v>9</v>
      </c>
      <c r="O361" s="2" t="n">
        <v>11</v>
      </c>
      <c r="P361" s="2" t="n">
        <v>1</v>
      </c>
      <c r="Q361" s="2" t="n">
        <v>10</v>
      </c>
      <c r="R361" s="2" t="n">
        <v>3</v>
      </c>
      <c r="S361" s="2" t="n">
        <v>5</v>
      </c>
      <c r="T361" s="2" t="n">
        <v>2</v>
      </c>
      <c r="U361" s="2" t="n">
        <v>3</v>
      </c>
      <c r="V361" s="2" t="n">
        <v>4</v>
      </c>
      <c r="W361" s="2" t="n">
        <v>2</v>
      </c>
      <c r="X361" s="2" t="n">
        <v>2</v>
      </c>
      <c r="Y361" s="2" t="n">
        <v>3</v>
      </c>
      <c r="Z361" s="2" t="n">
        <v>3</v>
      </c>
    </row>
    <row r="362" customFormat="false" ht="15" hidden="false" customHeight="true" outlineLevel="0" collapsed="false">
      <c r="A362" s="2" t="n">
        <v>25</v>
      </c>
      <c r="B362" s="2" t="s">
        <v>26</v>
      </c>
      <c r="C362" s="2" t="s">
        <v>27</v>
      </c>
      <c r="D362" s="2" t="s">
        <v>35</v>
      </c>
      <c r="E362" s="2" t="n">
        <v>17</v>
      </c>
      <c r="F362" s="2" t="n">
        <v>3</v>
      </c>
      <c r="G362" s="2" t="s">
        <v>43</v>
      </c>
      <c r="H362" s="2" t="n">
        <v>361</v>
      </c>
      <c r="I362" s="2" t="s">
        <v>39</v>
      </c>
      <c r="J362" s="2" t="n">
        <v>1</v>
      </c>
      <c r="K362" s="2" t="s">
        <v>45</v>
      </c>
      <c r="L362" s="2" t="s">
        <v>37</v>
      </c>
      <c r="M362" s="2" t="n">
        <v>199260</v>
      </c>
      <c r="N362" s="2" t="n">
        <v>7</v>
      </c>
      <c r="O362" s="2" t="n">
        <v>11</v>
      </c>
      <c r="P362" s="2" t="n">
        <v>3</v>
      </c>
      <c r="Q362" s="2" t="n">
        <v>6</v>
      </c>
      <c r="R362" s="2" t="n">
        <v>5</v>
      </c>
      <c r="S362" s="2" t="n">
        <v>4</v>
      </c>
      <c r="T362" s="2" t="n">
        <v>0</v>
      </c>
      <c r="U362" s="2" t="n">
        <v>1</v>
      </c>
      <c r="V362" s="2" t="n">
        <v>1</v>
      </c>
      <c r="W362" s="2" t="n">
        <v>1</v>
      </c>
      <c r="X362" s="2" t="n">
        <v>2</v>
      </c>
      <c r="Y362" s="2" t="n">
        <v>4</v>
      </c>
      <c r="Z362" s="2" t="n">
        <v>3</v>
      </c>
    </row>
    <row r="363" customFormat="false" ht="15" hidden="false" customHeight="true" outlineLevel="0" collapsed="false">
      <c r="A363" s="2" t="n">
        <v>33</v>
      </c>
      <c r="B363" s="2" t="s">
        <v>26</v>
      </c>
      <c r="C363" s="2" t="s">
        <v>27</v>
      </c>
      <c r="D363" s="2" t="s">
        <v>35</v>
      </c>
      <c r="E363" s="2" t="n">
        <v>8</v>
      </c>
      <c r="F363" s="2" t="n">
        <v>4</v>
      </c>
      <c r="G363" s="2" t="s">
        <v>29</v>
      </c>
      <c r="H363" s="2" t="n">
        <v>362</v>
      </c>
      <c r="I363" s="2" t="s">
        <v>39</v>
      </c>
      <c r="J363" s="2" t="n">
        <v>3</v>
      </c>
      <c r="K363" s="2" t="s">
        <v>45</v>
      </c>
      <c r="L363" s="2" t="s">
        <v>46</v>
      </c>
      <c r="M363" s="2" t="n">
        <v>24510</v>
      </c>
      <c r="N363" s="2" t="n">
        <v>1</v>
      </c>
      <c r="O363" s="2" t="n">
        <v>13</v>
      </c>
      <c r="P363" s="2" t="n">
        <v>1</v>
      </c>
      <c r="Q363" s="2" t="n">
        <v>9</v>
      </c>
      <c r="R363" s="2" t="n">
        <v>3</v>
      </c>
      <c r="S363" s="2" t="n">
        <v>9</v>
      </c>
      <c r="T363" s="2" t="n">
        <v>0</v>
      </c>
      <c r="U363" s="2" t="n">
        <v>8</v>
      </c>
      <c r="V363" s="2" t="n">
        <v>1</v>
      </c>
      <c r="W363" s="2" t="n">
        <v>1</v>
      </c>
      <c r="X363" s="2" t="n">
        <v>3</v>
      </c>
      <c r="Y363" s="2" t="n">
        <v>2</v>
      </c>
      <c r="Z363" s="2" t="n">
        <v>3</v>
      </c>
    </row>
    <row r="364" customFormat="false" ht="15" hidden="false" customHeight="true" outlineLevel="0" collapsed="false">
      <c r="A364" s="2" t="n">
        <v>35</v>
      </c>
      <c r="B364" s="2" t="s">
        <v>26</v>
      </c>
      <c r="C364" s="2" t="s">
        <v>27</v>
      </c>
      <c r="D364" s="2" t="s">
        <v>28</v>
      </c>
      <c r="E364" s="2" t="n">
        <v>6</v>
      </c>
      <c r="F364" s="2" t="n">
        <v>4</v>
      </c>
      <c r="G364" s="2" t="s">
        <v>43</v>
      </c>
      <c r="H364" s="2" t="n">
        <v>363</v>
      </c>
      <c r="I364" s="2" t="s">
        <v>30</v>
      </c>
      <c r="J364" s="2" t="n">
        <v>2</v>
      </c>
      <c r="K364" s="2" t="s">
        <v>49</v>
      </c>
      <c r="L364" s="2" t="s">
        <v>37</v>
      </c>
      <c r="M364" s="2" t="n">
        <v>94190</v>
      </c>
      <c r="N364" s="2" t="n">
        <v>1</v>
      </c>
      <c r="O364" s="2" t="n">
        <v>24</v>
      </c>
      <c r="P364" s="2" t="n">
        <v>1</v>
      </c>
      <c r="Q364" s="2" t="n">
        <v>6</v>
      </c>
      <c r="R364" s="2" t="n">
        <v>5</v>
      </c>
      <c r="S364" s="2" t="n">
        <v>6</v>
      </c>
      <c r="T364" s="2" t="n">
        <v>1</v>
      </c>
      <c r="U364" s="2" t="n">
        <v>1</v>
      </c>
      <c r="V364" s="2" t="n">
        <v>3</v>
      </c>
      <c r="W364" s="2" t="n">
        <v>1</v>
      </c>
      <c r="X364" s="2" t="n">
        <v>2</v>
      </c>
      <c r="Y364" s="2" t="n">
        <v>2</v>
      </c>
      <c r="Z364" s="2" t="n">
        <v>4</v>
      </c>
    </row>
    <row r="365" customFormat="false" ht="15" hidden="false" customHeight="true" outlineLevel="0" collapsed="false">
      <c r="A365" s="2" t="n">
        <v>36</v>
      </c>
      <c r="B365" s="2" t="s">
        <v>26</v>
      </c>
      <c r="C365" s="2" t="s">
        <v>27</v>
      </c>
      <c r="D365" s="2" t="s">
        <v>28</v>
      </c>
      <c r="E365" s="2" t="n">
        <v>10</v>
      </c>
      <c r="F365" s="2" t="n">
        <v>4</v>
      </c>
      <c r="G365" s="2" t="s">
        <v>50</v>
      </c>
      <c r="H365" s="2" t="n">
        <v>364</v>
      </c>
      <c r="I365" s="2" t="s">
        <v>39</v>
      </c>
      <c r="J365" s="2" t="n">
        <v>3</v>
      </c>
      <c r="K365" s="2" t="s">
        <v>49</v>
      </c>
      <c r="L365" s="2" t="s">
        <v>32</v>
      </c>
      <c r="M365" s="2" t="n">
        <v>86860</v>
      </c>
      <c r="N365" s="2" t="n">
        <v>1</v>
      </c>
      <c r="O365" s="2" t="n">
        <v>13</v>
      </c>
      <c r="P365" s="2" t="n">
        <v>0</v>
      </c>
      <c r="Q365" s="2" t="n">
        <v>18</v>
      </c>
      <c r="R365" s="2" t="n">
        <v>2</v>
      </c>
      <c r="S365" s="2" t="n">
        <v>18</v>
      </c>
      <c r="T365" s="2" t="n">
        <v>4</v>
      </c>
      <c r="U365" s="2" t="n">
        <v>11</v>
      </c>
      <c r="V365" s="2" t="n">
        <v>2</v>
      </c>
      <c r="W365" s="2" t="n">
        <v>4</v>
      </c>
      <c r="X365" s="2" t="n">
        <v>2</v>
      </c>
      <c r="Y365" s="2" t="n">
        <v>3</v>
      </c>
      <c r="Z365" s="2" t="n">
        <v>3</v>
      </c>
    </row>
    <row r="366" customFormat="false" ht="15" hidden="false" customHeight="true" outlineLevel="0" collapsed="false">
      <c r="A366" s="2" t="n">
        <v>32</v>
      </c>
      <c r="B366" s="2" t="s">
        <v>26</v>
      </c>
      <c r="C366" s="2" t="s">
        <v>27</v>
      </c>
      <c r="D366" s="2" t="s">
        <v>35</v>
      </c>
      <c r="E366" s="2" t="n">
        <v>3</v>
      </c>
      <c r="F366" s="2" t="n">
        <v>4</v>
      </c>
      <c r="G366" s="2" t="s">
        <v>43</v>
      </c>
      <c r="H366" s="2" t="n">
        <v>365</v>
      </c>
      <c r="I366" s="2" t="s">
        <v>30</v>
      </c>
      <c r="J366" s="2" t="n">
        <v>4</v>
      </c>
      <c r="K366" s="2" t="s">
        <v>40</v>
      </c>
      <c r="L366" s="2" t="s">
        <v>46</v>
      </c>
      <c r="M366" s="2" t="n">
        <v>30380</v>
      </c>
      <c r="N366" s="2" t="n">
        <v>2</v>
      </c>
      <c r="O366" s="2" t="n">
        <v>20</v>
      </c>
      <c r="P366" s="2" t="n">
        <v>0</v>
      </c>
      <c r="Q366" s="2" t="n">
        <v>8</v>
      </c>
      <c r="R366" s="2" t="n">
        <v>3</v>
      </c>
      <c r="S366" s="2" t="n">
        <v>5</v>
      </c>
      <c r="T366" s="2" t="n">
        <v>0</v>
      </c>
      <c r="U366" s="2" t="n">
        <v>3</v>
      </c>
      <c r="V366" s="2" t="n">
        <v>2</v>
      </c>
      <c r="W366" s="2" t="n">
        <v>4</v>
      </c>
      <c r="X366" s="2" t="n">
        <v>2</v>
      </c>
      <c r="Y366" s="2" t="n">
        <v>3</v>
      </c>
      <c r="Z366" s="2" t="n">
        <v>4</v>
      </c>
    </row>
    <row r="367" customFormat="false" ht="15" hidden="false" customHeight="true" outlineLevel="0" collapsed="false">
      <c r="A367" s="2" t="n">
        <v>30</v>
      </c>
      <c r="B367" s="2" t="s">
        <v>26</v>
      </c>
      <c r="C367" s="2" t="s">
        <v>34</v>
      </c>
      <c r="D367" s="2" t="s">
        <v>35</v>
      </c>
      <c r="E367" s="2" t="n">
        <v>4</v>
      </c>
      <c r="F367" s="2" t="n">
        <v>5</v>
      </c>
      <c r="G367" s="2" t="s">
        <v>43</v>
      </c>
      <c r="H367" s="2" t="n">
        <v>366</v>
      </c>
      <c r="I367" s="2" t="s">
        <v>39</v>
      </c>
      <c r="J367" s="2" t="n">
        <v>5</v>
      </c>
      <c r="K367" s="2" t="s">
        <v>48</v>
      </c>
      <c r="L367" s="2" t="s">
        <v>46</v>
      </c>
      <c r="M367" s="2" t="n">
        <v>30580</v>
      </c>
      <c r="N367" s="2" t="n">
        <v>9</v>
      </c>
      <c r="O367" s="2" t="n">
        <v>14</v>
      </c>
      <c r="P367" s="2" t="n">
        <v>1</v>
      </c>
      <c r="Q367" s="2" t="n">
        <v>10</v>
      </c>
      <c r="R367" s="2" t="n">
        <v>2</v>
      </c>
      <c r="S367" s="2" t="n">
        <v>5</v>
      </c>
      <c r="T367" s="2" t="n">
        <v>0</v>
      </c>
      <c r="U367" s="2" t="n">
        <v>3</v>
      </c>
      <c r="V367" s="2" t="n">
        <v>2</v>
      </c>
      <c r="W367" s="2" t="n">
        <v>4</v>
      </c>
      <c r="X367" s="2" t="n">
        <v>2</v>
      </c>
      <c r="Y367" s="2" t="n">
        <v>3</v>
      </c>
      <c r="Z367" s="2" t="n">
        <v>3</v>
      </c>
    </row>
    <row r="368" customFormat="false" ht="15" hidden="false" customHeight="true" outlineLevel="0" collapsed="false">
      <c r="A368" s="2" t="n">
        <v>53</v>
      </c>
      <c r="B368" s="2" t="s">
        <v>26</v>
      </c>
      <c r="C368" s="2" t="s">
        <v>27</v>
      </c>
      <c r="D368" s="2" t="s">
        <v>28</v>
      </c>
      <c r="E368" s="2" t="n">
        <v>6</v>
      </c>
      <c r="F368" s="2" t="n">
        <v>3</v>
      </c>
      <c r="G368" s="2" t="s">
        <v>50</v>
      </c>
      <c r="H368" s="2" t="n">
        <v>367</v>
      </c>
      <c r="I368" s="2" t="s">
        <v>39</v>
      </c>
      <c r="J368" s="2" t="n">
        <v>4</v>
      </c>
      <c r="K368" s="2" t="s">
        <v>40</v>
      </c>
      <c r="L368" s="2" t="s">
        <v>32</v>
      </c>
      <c r="M368" s="2" t="n">
        <v>23250</v>
      </c>
      <c r="N368" s="2" t="n">
        <v>7</v>
      </c>
      <c r="O368" s="2" t="n">
        <v>18</v>
      </c>
      <c r="P368" s="2" t="n">
        <v>1</v>
      </c>
      <c r="Q368" s="2" t="n">
        <v>35</v>
      </c>
      <c r="R368" s="2" t="n">
        <v>1</v>
      </c>
      <c r="S368" s="2" t="n">
        <v>5</v>
      </c>
      <c r="T368" s="2" t="n">
        <v>0</v>
      </c>
      <c r="U368" s="2" t="n">
        <v>4</v>
      </c>
      <c r="V368" s="2" t="n">
        <v>1</v>
      </c>
      <c r="W368" s="2" t="n">
        <v>4</v>
      </c>
      <c r="X368" s="2" t="n">
        <v>3</v>
      </c>
      <c r="Y368" s="2" t="n">
        <v>4</v>
      </c>
      <c r="Z368" s="2" t="n">
        <v>3</v>
      </c>
    </row>
    <row r="369" customFormat="false" ht="15" hidden="false" customHeight="true" outlineLevel="0" collapsed="false">
      <c r="A369" s="2" t="n">
        <v>45</v>
      </c>
      <c r="B369" s="2" t="s">
        <v>26</v>
      </c>
      <c r="C369" s="2" t="s">
        <v>27</v>
      </c>
      <c r="D369" s="2" t="s">
        <v>35</v>
      </c>
      <c r="E369" s="2" t="n">
        <v>1</v>
      </c>
      <c r="F369" s="2" t="n">
        <v>5</v>
      </c>
      <c r="G369" s="2" t="s">
        <v>51</v>
      </c>
      <c r="H369" s="2" t="n">
        <v>368</v>
      </c>
      <c r="I369" s="2" t="s">
        <v>39</v>
      </c>
      <c r="J369" s="2" t="n">
        <v>2</v>
      </c>
      <c r="K369" s="2" t="s">
        <v>31</v>
      </c>
      <c r="L369" s="2" t="s">
        <v>46</v>
      </c>
      <c r="M369" s="2" t="n">
        <v>20880</v>
      </c>
      <c r="N369" s="2" t="n">
        <v>4</v>
      </c>
      <c r="O369" s="2" t="n">
        <v>15</v>
      </c>
      <c r="P369" s="2" t="n">
        <v>3</v>
      </c>
      <c r="Q369" s="2" t="n">
        <v>18</v>
      </c>
      <c r="R369" s="2" t="n">
        <v>2</v>
      </c>
      <c r="S369" s="2" t="n">
        <v>5</v>
      </c>
      <c r="T369" s="2" t="n">
        <v>0</v>
      </c>
      <c r="U369" s="2" t="n">
        <v>2</v>
      </c>
      <c r="V369" s="2" t="n">
        <v>4</v>
      </c>
      <c r="W369" s="2" t="n">
        <v>1</v>
      </c>
      <c r="X369" s="2" t="n">
        <v>3</v>
      </c>
      <c r="Y369" s="2" t="n">
        <v>3</v>
      </c>
      <c r="Z369" s="2" t="n">
        <v>3</v>
      </c>
    </row>
    <row r="370" customFormat="false" ht="15" hidden="false" customHeight="true" outlineLevel="0" collapsed="false">
      <c r="A370" s="2" t="n">
        <v>32</v>
      </c>
      <c r="B370" s="2" t="s">
        <v>26</v>
      </c>
      <c r="C370" s="2" t="s">
        <v>27</v>
      </c>
      <c r="D370" s="2" t="s">
        <v>28</v>
      </c>
      <c r="E370" s="2" t="n">
        <v>10</v>
      </c>
      <c r="F370" s="2" t="n">
        <v>3</v>
      </c>
      <c r="G370" s="2" t="s">
        <v>50</v>
      </c>
      <c r="H370" s="2" t="n">
        <v>369</v>
      </c>
      <c r="I370" s="2" t="s">
        <v>30</v>
      </c>
      <c r="J370" s="2" t="n">
        <v>1</v>
      </c>
      <c r="K370" s="2" t="s">
        <v>42</v>
      </c>
      <c r="L370" s="2" t="s">
        <v>32</v>
      </c>
      <c r="M370" s="2" t="n">
        <v>30720</v>
      </c>
      <c r="N370" s="2" t="n">
        <v>5</v>
      </c>
      <c r="O370" s="2" t="n">
        <v>12</v>
      </c>
      <c r="P370" s="2" t="n">
        <v>0</v>
      </c>
      <c r="Q370" s="2" t="n">
        <v>9</v>
      </c>
      <c r="R370" s="2" t="n">
        <v>4</v>
      </c>
      <c r="S370" s="2" t="n">
        <v>5</v>
      </c>
      <c r="T370" s="2" t="n">
        <v>1</v>
      </c>
      <c r="U370" s="2" t="n">
        <v>3</v>
      </c>
      <c r="V370" s="2" t="n">
        <v>3</v>
      </c>
      <c r="W370" s="2" t="n">
        <v>3</v>
      </c>
      <c r="X370" s="2" t="n">
        <v>2</v>
      </c>
      <c r="Y370" s="2" t="n">
        <v>1</v>
      </c>
      <c r="Z370" s="2" t="n">
        <v>3</v>
      </c>
    </row>
    <row r="371" customFormat="false" ht="15" hidden="false" customHeight="true" outlineLevel="0" collapsed="false">
      <c r="A371" s="2" t="n">
        <v>52</v>
      </c>
      <c r="B371" s="2" t="s">
        <v>26</v>
      </c>
      <c r="C371" s="2" t="s">
        <v>34</v>
      </c>
      <c r="D371" s="2" t="s">
        <v>35</v>
      </c>
      <c r="E371" s="2" t="n">
        <v>1</v>
      </c>
      <c r="F371" s="2" t="n">
        <v>1</v>
      </c>
      <c r="G371" s="2" t="s">
        <v>29</v>
      </c>
      <c r="H371" s="2" t="n">
        <v>370</v>
      </c>
      <c r="I371" s="2" t="s">
        <v>39</v>
      </c>
      <c r="J371" s="2" t="n">
        <v>2</v>
      </c>
      <c r="K371" s="2" t="s">
        <v>45</v>
      </c>
      <c r="L371" s="2" t="s">
        <v>32</v>
      </c>
      <c r="M371" s="2" t="n">
        <v>50060</v>
      </c>
      <c r="N371" s="2" t="n">
        <v>3</v>
      </c>
      <c r="O371" s="2" t="n">
        <v>16</v>
      </c>
      <c r="P371" s="2" t="n">
        <v>1</v>
      </c>
      <c r="Q371" s="2" t="n">
        <v>31</v>
      </c>
      <c r="R371" s="2" t="n">
        <v>2</v>
      </c>
      <c r="S371" s="2" t="n">
        <v>9</v>
      </c>
      <c r="T371" s="2" t="n">
        <v>0</v>
      </c>
      <c r="U371" s="2" t="n">
        <v>0</v>
      </c>
      <c r="V371" s="2" t="n">
        <v>3</v>
      </c>
      <c r="W371" s="2" t="n">
        <v>4</v>
      </c>
      <c r="X371" s="2" t="n">
        <v>3</v>
      </c>
      <c r="Y371" s="2" t="n">
        <v>3</v>
      </c>
      <c r="Z371" s="2" t="n">
        <v>3</v>
      </c>
    </row>
    <row r="372" customFormat="false" ht="15" hidden="false" customHeight="true" outlineLevel="0" collapsed="false">
      <c r="A372" s="2" t="n">
        <v>37</v>
      </c>
      <c r="B372" s="2" t="s">
        <v>26</v>
      </c>
      <c r="C372" s="2" t="s">
        <v>27</v>
      </c>
      <c r="D372" s="2" t="s">
        <v>28</v>
      </c>
      <c r="E372" s="2" t="n">
        <v>24</v>
      </c>
      <c r="F372" s="2" t="n">
        <v>2</v>
      </c>
      <c r="G372" s="2" t="s">
        <v>29</v>
      </c>
      <c r="H372" s="2" t="n">
        <v>371</v>
      </c>
      <c r="I372" s="2" t="s">
        <v>30</v>
      </c>
      <c r="J372" s="2" t="n">
        <v>4</v>
      </c>
      <c r="K372" s="2" t="s">
        <v>45</v>
      </c>
      <c r="L372" s="2" t="s">
        <v>46</v>
      </c>
      <c r="M372" s="2" t="n">
        <v>42570</v>
      </c>
      <c r="N372" s="2" t="n">
        <v>4</v>
      </c>
      <c r="O372" s="2" t="n">
        <v>15</v>
      </c>
      <c r="P372" s="2" t="n">
        <v>0</v>
      </c>
      <c r="Q372" s="2" t="n">
        <v>9</v>
      </c>
      <c r="R372" s="2" t="n">
        <v>2</v>
      </c>
      <c r="S372" s="2" t="n">
        <v>1</v>
      </c>
      <c r="T372" s="2" t="n">
        <v>0</v>
      </c>
      <c r="U372" s="2" t="n">
        <v>0</v>
      </c>
      <c r="V372" s="2" t="n">
        <v>4</v>
      </c>
      <c r="W372" s="2" t="n">
        <v>3</v>
      </c>
      <c r="X372" s="2" t="n">
        <v>3</v>
      </c>
      <c r="Y372" s="2" t="n">
        <v>3</v>
      </c>
      <c r="Z372" s="2" t="n">
        <v>3</v>
      </c>
    </row>
    <row r="373" customFormat="false" ht="15" hidden="false" customHeight="true" outlineLevel="0" collapsed="false">
      <c r="A373" s="2" t="n">
        <v>28</v>
      </c>
      <c r="B373" s="2" t="s">
        <v>26</v>
      </c>
      <c r="C373" s="2" t="s">
        <v>27</v>
      </c>
      <c r="D373" s="2" t="s">
        <v>35</v>
      </c>
      <c r="E373" s="2" t="n">
        <v>21</v>
      </c>
      <c r="F373" s="2" t="n">
        <v>4</v>
      </c>
      <c r="G373" s="2" t="s">
        <v>29</v>
      </c>
      <c r="H373" s="2" t="n">
        <v>372</v>
      </c>
      <c r="I373" s="2" t="s">
        <v>30</v>
      </c>
      <c r="J373" s="2" t="n">
        <v>1</v>
      </c>
      <c r="K373" s="2" t="s">
        <v>31</v>
      </c>
      <c r="L373" s="2" t="s">
        <v>46</v>
      </c>
      <c r="M373" s="2" t="n">
        <v>25000</v>
      </c>
      <c r="N373" s="2" t="n">
        <v>1</v>
      </c>
      <c r="O373" s="2" t="n">
        <v>16</v>
      </c>
      <c r="P373" s="2" t="n">
        <v>2</v>
      </c>
      <c r="Q373" s="2" t="n">
        <v>6</v>
      </c>
      <c r="R373" s="2" t="n">
        <v>3</v>
      </c>
      <c r="S373" s="2" t="n">
        <v>5</v>
      </c>
      <c r="T373" s="2" t="n">
        <v>0</v>
      </c>
      <c r="U373" s="2" t="n">
        <v>4</v>
      </c>
      <c r="V373" s="2" t="n">
        <v>2</v>
      </c>
      <c r="W373" s="2" t="n">
        <v>4</v>
      </c>
      <c r="X373" s="2" t="n">
        <v>3</v>
      </c>
      <c r="Y373" s="2" t="n">
        <v>3</v>
      </c>
      <c r="Z373" s="2" t="n">
        <v>3</v>
      </c>
    </row>
    <row r="374" customFormat="false" ht="15" hidden="false" customHeight="true" outlineLevel="0" collapsed="false">
      <c r="A374" s="2" t="n">
        <v>22</v>
      </c>
      <c r="B374" s="2" t="s">
        <v>26</v>
      </c>
      <c r="C374" s="2" t="s">
        <v>27</v>
      </c>
      <c r="D374" s="2" t="s">
        <v>35</v>
      </c>
      <c r="E374" s="2" t="n">
        <v>2</v>
      </c>
      <c r="F374" s="2" t="n">
        <v>2</v>
      </c>
      <c r="G374" s="2" t="s">
        <v>29</v>
      </c>
      <c r="H374" s="2" t="n">
        <v>373</v>
      </c>
      <c r="I374" s="2" t="s">
        <v>39</v>
      </c>
      <c r="J374" s="2" t="n">
        <v>1</v>
      </c>
      <c r="K374" s="2" t="s">
        <v>48</v>
      </c>
      <c r="L374" s="2" t="s">
        <v>32</v>
      </c>
      <c r="M374" s="2" t="n">
        <v>11020</v>
      </c>
      <c r="N374" s="2" t="n">
        <v>6</v>
      </c>
      <c r="O374" s="2" t="n">
        <v>19</v>
      </c>
      <c r="P374" s="2" t="n">
        <v>0</v>
      </c>
      <c r="Q374" s="2" t="n">
        <v>4</v>
      </c>
      <c r="R374" s="2" t="n">
        <v>3</v>
      </c>
      <c r="S374" s="2" t="n">
        <v>2</v>
      </c>
      <c r="T374" s="2" t="n">
        <v>2</v>
      </c>
      <c r="U374" s="2" t="n">
        <v>2</v>
      </c>
      <c r="V374" s="2" t="n">
        <v>4</v>
      </c>
      <c r="W374" s="2" t="n">
        <v>4</v>
      </c>
      <c r="X374" s="2" t="n">
        <v>1</v>
      </c>
      <c r="Y374" s="2" t="n">
        <v>2</v>
      </c>
      <c r="Z374" s="2" t="n">
        <v>3</v>
      </c>
    </row>
    <row r="375" customFormat="false" ht="15" hidden="false" customHeight="true" outlineLevel="0" collapsed="false">
      <c r="A375" s="2" t="n">
        <v>44</v>
      </c>
      <c r="B375" s="2" t="s">
        <v>26</v>
      </c>
      <c r="C375" s="2" t="s">
        <v>27</v>
      </c>
      <c r="D375" s="2" t="s">
        <v>35</v>
      </c>
      <c r="E375" s="2" t="n">
        <v>22</v>
      </c>
      <c r="F375" s="2" t="n">
        <v>3</v>
      </c>
      <c r="G375" s="2" t="s">
        <v>43</v>
      </c>
      <c r="H375" s="2" t="n">
        <v>374</v>
      </c>
      <c r="I375" s="2" t="s">
        <v>30</v>
      </c>
      <c r="J375" s="2" t="n">
        <v>1</v>
      </c>
      <c r="K375" s="2" t="s">
        <v>45</v>
      </c>
      <c r="L375" s="2" t="s">
        <v>32</v>
      </c>
      <c r="M375" s="2" t="n">
        <v>104530</v>
      </c>
      <c r="N375" s="2" t="n">
        <v>2</v>
      </c>
      <c r="O375" s="2" t="n">
        <v>11</v>
      </c>
      <c r="P375" s="2" t="n">
        <v>1</v>
      </c>
      <c r="Q375" s="2" t="n">
        <v>10</v>
      </c>
      <c r="R375" s="2" t="n">
        <v>2</v>
      </c>
      <c r="S375" s="2" t="n">
        <v>3</v>
      </c>
      <c r="T375" s="2" t="n">
        <v>0</v>
      </c>
      <c r="U375" s="2" t="n">
        <v>2</v>
      </c>
      <c r="V375" s="2" t="n">
        <v>1</v>
      </c>
      <c r="W375" s="2" t="n">
        <v>4</v>
      </c>
      <c r="X375" s="2" t="n">
        <v>2</v>
      </c>
      <c r="Y375" s="2" t="n">
        <v>3</v>
      </c>
      <c r="Z375" s="2" t="n">
        <v>3</v>
      </c>
    </row>
    <row r="376" customFormat="false" ht="15" hidden="false" customHeight="true" outlineLevel="0" collapsed="false">
      <c r="A376" s="2" t="n">
        <v>42</v>
      </c>
      <c r="B376" s="2" t="s">
        <v>26</v>
      </c>
      <c r="C376" s="2" t="s">
        <v>34</v>
      </c>
      <c r="D376" s="2" t="s">
        <v>28</v>
      </c>
      <c r="E376" s="2" t="n">
        <v>13</v>
      </c>
      <c r="F376" s="2" t="n">
        <v>4</v>
      </c>
      <c r="G376" s="2" t="s">
        <v>29</v>
      </c>
      <c r="H376" s="2" t="n">
        <v>375</v>
      </c>
      <c r="I376" s="2" t="s">
        <v>30</v>
      </c>
      <c r="J376" s="2" t="n">
        <v>2</v>
      </c>
      <c r="K376" s="2" t="s">
        <v>45</v>
      </c>
      <c r="L376" s="2" t="s">
        <v>37</v>
      </c>
      <c r="M376" s="2" t="n">
        <v>22880</v>
      </c>
      <c r="N376" s="2" t="n">
        <v>5</v>
      </c>
      <c r="O376" s="2" t="n">
        <v>16</v>
      </c>
      <c r="P376" s="2" t="n">
        <v>1</v>
      </c>
      <c r="Q376" s="2" t="n">
        <v>8</v>
      </c>
      <c r="R376" s="2" t="n">
        <v>4</v>
      </c>
      <c r="S376" s="2" t="n">
        <v>2</v>
      </c>
      <c r="T376" s="2" t="n">
        <v>2</v>
      </c>
      <c r="U376" s="2" t="n">
        <v>2</v>
      </c>
      <c r="V376" s="2" t="n">
        <v>2</v>
      </c>
      <c r="W376" s="2" t="n">
        <v>4</v>
      </c>
      <c r="X376" s="2" t="n">
        <v>3</v>
      </c>
      <c r="Y376" s="2" t="n">
        <v>2</v>
      </c>
      <c r="Z376" s="2" t="n">
        <v>3</v>
      </c>
    </row>
    <row r="377" customFormat="false" ht="15" hidden="false" customHeight="true" outlineLevel="0" collapsed="false">
      <c r="A377" s="2" t="n">
        <v>36</v>
      </c>
      <c r="B377" s="2" t="s">
        <v>26</v>
      </c>
      <c r="C377" s="2" t="s">
        <v>27</v>
      </c>
      <c r="D377" s="2" t="s">
        <v>35</v>
      </c>
      <c r="E377" s="2" t="n">
        <v>14</v>
      </c>
      <c r="F377" s="2" t="n">
        <v>3</v>
      </c>
      <c r="G377" s="2" t="s">
        <v>38</v>
      </c>
      <c r="H377" s="2" t="n">
        <v>376</v>
      </c>
      <c r="I377" s="2" t="s">
        <v>39</v>
      </c>
      <c r="J377" s="2" t="n">
        <v>2</v>
      </c>
      <c r="K377" s="2" t="s">
        <v>36</v>
      </c>
      <c r="L377" s="2" t="s">
        <v>32</v>
      </c>
      <c r="M377" s="2" t="n">
        <v>39290</v>
      </c>
      <c r="N377" s="2" t="n">
        <v>0</v>
      </c>
      <c r="O377" s="2" t="n">
        <v>24</v>
      </c>
      <c r="P377" s="2" t="n">
        <v>0</v>
      </c>
      <c r="Q377" s="2" t="n">
        <v>6</v>
      </c>
      <c r="R377" s="2" t="n">
        <v>6</v>
      </c>
      <c r="S377" s="2" t="n">
        <v>5</v>
      </c>
      <c r="T377" s="2" t="n">
        <v>0</v>
      </c>
      <c r="U377" s="2" t="n">
        <v>3</v>
      </c>
      <c r="V377" s="2" t="n">
        <v>1</v>
      </c>
      <c r="W377" s="2" t="n">
        <v>1</v>
      </c>
      <c r="X377" s="2" t="n">
        <v>3</v>
      </c>
      <c r="Y377" s="2" t="n">
        <v>2</v>
      </c>
      <c r="Z377" s="2" t="n">
        <v>4</v>
      </c>
    </row>
    <row r="378" customFormat="false" ht="15" hidden="false" customHeight="true" outlineLevel="0" collapsed="false">
      <c r="A378" s="2" t="n">
        <v>25</v>
      </c>
      <c r="B378" s="2" t="s">
        <v>26</v>
      </c>
      <c r="C378" s="2" t="s">
        <v>27</v>
      </c>
      <c r="D378" s="2" t="s">
        <v>28</v>
      </c>
      <c r="E378" s="2" t="n">
        <v>11</v>
      </c>
      <c r="F378" s="2" t="n">
        <v>3</v>
      </c>
      <c r="G378" s="2" t="s">
        <v>29</v>
      </c>
      <c r="H378" s="2" t="n">
        <v>377</v>
      </c>
      <c r="I378" s="2" t="s">
        <v>30</v>
      </c>
      <c r="J378" s="2" t="n">
        <v>1</v>
      </c>
      <c r="K378" s="2" t="s">
        <v>45</v>
      </c>
      <c r="L378" s="2" t="s">
        <v>32</v>
      </c>
      <c r="M378" s="2" t="n">
        <v>23110</v>
      </c>
      <c r="N378" s="2" t="n">
        <v>1</v>
      </c>
      <c r="O378" s="2" t="n">
        <v>11</v>
      </c>
      <c r="P378" s="2" t="n">
        <v>1</v>
      </c>
      <c r="Q378" s="2" t="n">
        <v>5</v>
      </c>
      <c r="R378" s="2" t="n">
        <v>2</v>
      </c>
      <c r="S378" s="2" t="n">
        <v>5</v>
      </c>
      <c r="T378" s="2" t="n">
        <v>0</v>
      </c>
      <c r="U378" s="2" t="n">
        <v>3</v>
      </c>
      <c r="V378" s="2" t="n">
        <v>3</v>
      </c>
      <c r="W378" s="2" t="n">
        <v>1</v>
      </c>
      <c r="X378" s="2" t="n">
        <v>3</v>
      </c>
      <c r="Y378" s="2" t="n">
        <v>3</v>
      </c>
      <c r="Z378" s="2" t="n">
        <v>3</v>
      </c>
    </row>
    <row r="379" customFormat="false" ht="15" hidden="false" customHeight="true" outlineLevel="0" collapsed="false">
      <c r="A379" s="2" t="n">
        <v>35</v>
      </c>
      <c r="B379" s="2" t="s">
        <v>26</v>
      </c>
      <c r="C379" s="2" t="s">
        <v>27</v>
      </c>
      <c r="D379" s="2" t="s">
        <v>35</v>
      </c>
      <c r="E379" s="2" t="n">
        <v>9</v>
      </c>
      <c r="F379" s="2" t="n">
        <v>2</v>
      </c>
      <c r="G379" s="2" t="s">
        <v>29</v>
      </c>
      <c r="H379" s="2" t="n">
        <v>378</v>
      </c>
      <c r="I379" s="2" t="s">
        <v>30</v>
      </c>
      <c r="J379" s="2" t="n">
        <v>1</v>
      </c>
      <c r="K379" s="2" t="s">
        <v>31</v>
      </c>
      <c r="L379" s="2" t="s">
        <v>32</v>
      </c>
      <c r="M379" s="2" t="n">
        <v>31400</v>
      </c>
      <c r="N379" s="2" t="n">
        <v>1</v>
      </c>
      <c r="O379" s="2" t="n">
        <v>13</v>
      </c>
      <c r="P379" s="2" t="n">
        <v>1</v>
      </c>
      <c r="Q379" s="2" t="n">
        <v>17</v>
      </c>
      <c r="R379" s="2" t="n">
        <v>2</v>
      </c>
      <c r="S379" s="2" t="n">
        <v>17</v>
      </c>
      <c r="T379" s="2" t="n">
        <v>5</v>
      </c>
      <c r="U379" s="2" t="n">
        <v>15</v>
      </c>
      <c r="V379" s="2" t="n">
        <v>4</v>
      </c>
      <c r="W379" s="2" t="n">
        <v>3</v>
      </c>
      <c r="X379" s="2" t="n">
        <v>3</v>
      </c>
      <c r="Y379" s="2" t="n">
        <v>2</v>
      </c>
      <c r="Z379" s="2" t="n">
        <v>3</v>
      </c>
    </row>
    <row r="380" customFormat="false" ht="15" hidden="false" customHeight="true" outlineLevel="0" collapsed="false">
      <c r="A380" s="2" t="n">
        <v>35</v>
      </c>
      <c r="B380" s="2" t="s">
        <v>33</v>
      </c>
      <c r="C380" s="2" t="s">
        <v>34</v>
      </c>
      <c r="D380" s="2" t="s">
        <v>28</v>
      </c>
      <c r="E380" s="2" t="n">
        <v>8</v>
      </c>
      <c r="F380" s="2" t="n">
        <v>2</v>
      </c>
      <c r="G380" s="2" t="s">
        <v>50</v>
      </c>
      <c r="H380" s="2" t="n">
        <v>379</v>
      </c>
      <c r="I380" s="2" t="s">
        <v>30</v>
      </c>
      <c r="J380" s="2" t="n">
        <v>1</v>
      </c>
      <c r="K380" s="2" t="s">
        <v>45</v>
      </c>
      <c r="L380" s="2" t="s">
        <v>46</v>
      </c>
      <c r="M380" s="2" t="n">
        <v>36900</v>
      </c>
      <c r="N380" s="2" t="n">
        <v>1</v>
      </c>
      <c r="O380" s="2" t="n">
        <v>13</v>
      </c>
      <c r="P380" s="2" t="n">
        <v>1</v>
      </c>
      <c r="Q380" s="2" t="n">
        <v>10</v>
      </c>
      <c r="R380" s="2" t="n">
        <v>2</v>
      </c>
      <c r="S380" s="2" t="n">
        <v>10</v>
      </c>
      <c r="T380" s="2" t="n">
        <v>7</v>
      </c>
      <c r="U380" s="2" t="n">
        <v>8</v>
      </c>
      <c r="V380" s="2" t="n">
        <v>4</v>
      </c>
      <c r="W380" s="2" t="n">
        <v>2</v>
      </c>
      <c r="X380" s="2" t="n">
        <v>2</v>
      </c>
      <c r="Y380" s="2" t="n">
        <v>4</v>
      </c>
      <c r="Z380" s="2" t="n">
        <v>3</v>
      </c>
    </row>
    <row r="381" customFormat="false" ht="15" hidden="false" customHeight="true" outlineLevel="0" collapsed="false">
      <c r="A381" s="2" t="n">
        <v>32</v>
      </c>
      <c r="B381" s="2" t="s">
        <v>26</v>
      </c>
      <c r="C381" s="2" t="s">
        <v>41</v>
      </c>
      <c r="D381" s="2" t="s">
        <v>35</v>
      </c>
      <c r="E381" s="2" t="n">
        <v>21</v>
      </c>
      <c r="F381" s="2" t="n">
        <v>3</v>
      </c>
      <c r="G381" s="2" t="s">
        <v>29</v>
      </c>
      <c r="H381" s="2" t="n">
        <v>380</v>
      </c>
      <c r="I381" s="2" t="s">
        <v>39</v>
      </c>
      <c r="J381" s="2" t="n">
        <v>1</v>
      </c>
      <c r="K381" s="2" t="s">
        <v>40</v>
      </c>
      <c r="L381" s="2" t="s">
        <v>46</v>
      </c>
      <c r="M381" s="2" t="n">
        <v>44500</v>
      </c>
      <c r="N381" s="2" t="n">
        <v>0</v>
      </c>
      <c r="O381" s="2" t="n">
        <v>13</v>
      </c>
      <c r="P381" s="2" t="n">
        <v>0</v>
      </c>
      <c r="Q381" s="2" t="n">
        <v>4</v>
      </c>
      <c r="R381" s="2" t="n">
        <v>3</v>
      </c>
      <c r="S381" s="2" t="n">
        <v>3</v>
      </c>
      <c r="T381" s="2" t="n">
        <v>0</v>
      </c>
      <c r="U381" s="2" t="n">
        <v>2</v>
      </c>
      <c r="V381" s="2" t="n">
        <v>4</v>
      </c>
      <c r="W381" s="2" t="n">
        <v>4</v>
      </c>
      <c r="X381" s="2" t="n">
        <v>3</v>
      </c>
      <c r="Y381" s="2" t="n">
        <v>3</v>
      </c>
      <c r="Z381" s="2" t="n">
        <v>3</v>
      </c>
    </row>
    <row r="382" customFormat="false" ht="15" hidden="false" customHeight="true" outlineLevel="0" collapsed="false">
      <c r="A382" s="2" t="n">
        <v>25</v>
      </c>
      <c r="B382" s="2" t="s">
        <v>26</v>
      </c>
      <c r="C382" s="2" t="s">
        <v>27</v>
      </c>
      <c r="D382" s="2" t="s">
        <v>28</v>
      </c>
      <c r="E382" s="2" t="n">
        <v>5</v>
      </c>
      <c r="F382" s="2" t="n">
        <v>3</v>
      </c>
      <c r="G382" s="2" t="s">
        <v>50</v>
      </c>
      <c r="H382" s="2" t="n">
        <v>381</v>
      </c>
      <c r="I382" s="2" t="s">
        <v>30</v>
      </c>
      <c r="J382" s="2" t="n">
        <v>4</v>
      </c>
      <c r="K382" s="2" t="s">
        <v>36</v>
      </c>
      <c r="L382" s="2" t="s">
        <v>32</v>
      </c>
      <c r="M382" s="2" t="n">
        <v>27560</v>
      </c>
      <c r="N382" s="2" t="n">
        <v>1</v>
      </c>
      <c r="O382" s="2" t="n">
        <v>12</v>
      </c>
      <c r="P382" s="2" t="n">
        <v>2</v>
      </c>
      <c r="Q382" s="2" t="n">
        <v>5</v>
      </c>
      <c r="R382" s="2" t="n">
        <v>2</v>
      </c>
      <c r="S382" s="2" t="n">
        <v>5</v>
      </c>
      <c r="T382" s="2" t="n">
        <v>0</v>
      </c>
      <c r="U382" s="2" t="n">
        <v>3</v>
      </c>
      <c r="V382" s="2" t="n">
        <v>3</v>
      </c>
      <c r="W382" s="2" t="n">
        <v>1</v>
      </c>
      <c r="X382" s="2" t="n">
        <v>4</v>
      </c>
      <c r="Y382" s="2" t="n">
        <v>3</v>
      </c>
      <c r="Z382" s="2" t="n">
        <v>3</v>
      </c>
    </row>
    <row r="383" customFormat="false" ht="15" hidden="false" customHeight="true" outlineLevel="0" collapsed="false">
      <c r="A383" s="2" t="n">
        <v>49</v>
      </c>
      <c r="B383" s="2" t="s">
        <v>26</v>
      </c>
      <c r="C383" s="2" t="s">
        <v>27</v>
      </c>
      <c r="D383" s="2" t="s">
        <v>28</v>
      </c>
      <c r="E383" s="2" t="n">
        <v>9</v>
      </c>
      <c r="F383" s="2" t="n">
        <v>3</v>
      </c>
      <c r="G383" s="2" t="s">
        <v>51</v>
      </c>
      <c r="H383" s="2" t="n">
        <v>382</v>
      </c>
      <c r="I383" s="2" t="s">
        <v>30</v>
      </c>
      <c r="J383" s="2" t="n">
        <v>2</v>
      </c>
      <c r="K383" s="2" t="s">
        <v>48</v>
      </c>
      <c r="L383" s="2" t="s">
        <v>32</v>
      </c>
      <c r="M383" s="2" t="n">
        <v>190330</v>
      </c>
      <c r="N383" s="2" t="n">
        <v>2</v>
      </c>
      <c r="O383" s="2" t="n">
        <v>18</v>
      </c>
      <c r="P383" s="2" t="n">
        <v>1</v>
      </c>
      <c r="Q383" s="2" t="n">
        <v>7</v>
      </c>
      <c r="R383" s="2" t="n">
        <v>5</v>
      </c>
      <c r="S383" s="2" t="n">
        <v>4</v>
      </c>
      <c r="T383" s="2" t="n">
        <v>0</v>
      </c>
      <c r="U383" s="2" t="n">
        <v>2</v>
      </c>
      <c r="V383" s="2" t="n">
        <v>3</v>
      </c>
      <c r="W383" s="2" t="n">
        <v>1</v>
      </c>
      <c r="X383" s="2" t="n">
        <v>3</v>
      </c>
      <c r="Y383" s="2" t="n">
        <v>3</v>
      </c>
      <c r="Z383" s="2" t="n">
        <v>3</v>
      </c>
    </row>
    <row r="384" customFormat="false" ht="15" hidden="false" customHeight="true" outlineLevel="0" collapsed="false">
      <c r="A384" s="2" t="n">
        <v>24</v>
      </c>
      <c r="B384" s="2" t="s">
        <v>26</v>
      </c>
      <c r="C384" s="2" t="s">
        <v>41</v>
      </c>
      <c r="D384" s="2" t="s">
        <v>35</v>
      </c>
      <c r="E384" s="2" t="n">
        <v>2</v>
      </c>
      <c r="F384" s="2" t="n">
        <v>5</v>
      </c>
      <c r="G384" s="2" t="s">
        <v>51</v>
      </c>
      <c r="H384" s="2" t="n">
        <v>383</v>
      </c>
      <c r="I384" s="2" t="s">
        <v>39</v>
      </c>
      <c r="J384" s="2" t="n">
        <v>2</v>
      </c>
      <c r="K384" s="2" t="s">
        <v>31</v>
      </c>
      <c r="L384" s="2" t="s">
        <v>32</v>
      </c>
      <c r="M384" s="2" t="n">
        <v>187220</v>
      </c>
      <c r="N384" s="2" t="n">
        <v>0</v>
      </c>
      <c r="O384" s="2" t="n">
        <v>22</v>
      </c>
      <c r="P384" s="2" t="n">
        <v>1</v>
      </c>
      <c r="Q384" s="2" t="n">
        <v>6</v>
      </c>
      <c r="R384" s="2" t="n">
        <v>3</v>
      </c>
      <c r="S384" s="2" t="n">
        <v>5</v>
      </c>
      <c r="T384" s="2" t="n">
        <v>3</v>
      </c>
      <c r="U384" s="2" t="n">
        <v>4</v>
      </c>
      <c r="V384" s="2" t="n">
        <v>1</v>
      </c>
      <c r="W384" s="2" t="n">
        <v>4</v>
      </c>
      <c r="X384" s="2" t="n">
        <v>2</v>
      </c>
      <c r="Y384" s="2" t="n">
        <v>3</v>
      </c>
      <c r="Z384" s="2" t="n">
        <v>4</v>
      </c>
    </row>
    <row r="385" customFormat="false" ht="15" hidden="false" customHeight="true" outlineLevel="0" collapsed="false">
      <c r="A385" s="2" t="n">
        <v>32</v>
      </c>
      <c r="B385" s="2" t="s">
        <v>26</v>
      </c>
      <c r="C385" s="2" t="s">
        <v>34</v>
      </c>
      <c r="D385" s="2" t="s">
        <v>35</v>
      </c>
      <c r="E385" s="2" t="n">
        <v>12</v>
      </c>
      <c r="F385" s="2" t="n">
        <v>5</v>
      </c>
      <c r="G385" s="2" t="s">
        <v>43</v>
      </c>
      <c r="H385" s="2" t="n">
        <v>384</v>
      </c>
      <c r="I385" s="2" t="s">
        <v>39</v>
      </c>
      <c r="J385" s="2" t="n">
        <v>1</v>
      </c>
      <c r="K385" s="2" t="s">
        <v>36</v>
      </c>
      <c r="L385" s="2" t="s">
        <v>32</v>
      </c>
      <c r="M385" s="2" t="n">
        <v>95470</v>
      </c>
      <c r="N385" s="2" t="n">
        <v>1</v>
      </c>
      <c r="O385" s="2" t="n">
        <v>13</v>
      </c>
      <c r="P385" s="2" t="n">
        <v>1</v>
      </c>
      <c r="Q385" s="2" t="n">
        <v>10</v>
      </c>
      <c r="R385" s="2" t="n">
        <v>3</v>
      </c>
      <c r="S385" s="2" t="n">
        <v>10</v>
      </c>
      <c r="T385" s="2" t="n">
        <v>5</v>
      </c>
      <c r="U385" s="2" t="n">
        <v>3</v>
      </c>
      <c r="V385" s="2" t="n">
        <v>2</v>
      </c>
      <c r="W385" s="2" t="n">
        <v>2</v>
      </c>
      <c r="X385" s="2" t="n">
        <v>3</v>
      </c>
      <c r="Y385" s="2" t="n">
        <v>2</v>
      </c>
      <c r="Z385" s="2" t="n">
        <v>3</v>
      </c>
    </row>
    <row r="386" customFormat="false" ht="15" hidden="false" customHeight="true" outlineLevel="0" collapsed="false">
      <c r="A386" s="2" t="n">
        <v>38</v>
      </c>
      <c r="B386" s="2" t="s">
        <v>26</v>
      </c>
      <c r="C386" s="2" t="s">
        <v>27</v>
      </c>
      <c r="D386" s="2" t="s">
        <v>28</v>
      </c>
      <c r="E386" s="2" t="n">
        <v>22</v>
      </c>
      <c r="F386" s="2" t="n">
        <v>2</v>
      </c>
      <c r="G386" s="2" t="s">
        <v>43</v>
      </c>
      <c r="H386" s="2" t="n">
        <v>385</v>
      </c>
      <c r="I386" s="2" t="s">
        <v>39</v>
      </c>
      <c r="J386" s="2" t="n">
        <v>1</v>
      </c>
      <c r="K386" s="2" t="s">
        <v>40</v>
      </c>
      <c r="L386" s="2" t="s">
        <v>32</v>
      </c>
      <c r="M386" s="2" t="n">
        <v>137340</v>
      </c>
      <c r="N386" s="2" t="n">
        <v>0</v>
      </c>
      <c r="O386" s="2" t="n">
        <v>13</v>
      </c>
      <c r="P386" s="2" t="n">
        <v>0</v>
      </c>
      <c r="Q386" s="2" t="n">
        <v>3</v>
      </c>
      <c r="R386" s="2" t="n">
        <v>3</v>
      </c>
      <c r="S386" s="2" t="n">
        <v>2</v>
      </c>
      <c r="T386" s="2" t="n">
        <v>1</v>
      </c>
      <c r="U386" s="2" t="n">
        <v>2</v>
      </c>
      <c r="V386" s="2" t="n">
        <v>2</v>
      </c>
      <c r="W386" s="2" t="n">
        <v>2</v>
      </c>
      <c r="X386" s="2" t="n">
        <v>3</v>
      </c>
      <c r="Y386" s="2" t="n">
        <v>4</v>
      </c>
      <c r="Z386" s="2" t="n">
        <v>3</v>
      </c>
    </row>
    <row r="387" customFormat="false" ht="15" hidden="false" customHeight="true" outlineLevel="0" collapsed="false">
      <c r="A387" s="2" t="n">
        <v>42</v>
      </c>
      <c r="B387" s="2" t="s">
        <v>26</v>
      </c>
      <c r="C387" s="2" t="s">
        <v>27</v>
      </c>
      <c r="D387" s="2" t="s">
        <v>35</v>
      </c>
      <c r="E387" s="2" t="n">
        <v>18</v>
      </c>
      <c r="F387" s="2" t="n">
        <v>1</v>
      </c>
      <c r="G387" s="2" t="s">
        <v>51</v>
      </c>
      <c r="H387" s="2" t="n">
        <v>386</v>
      </c>
      <c r="I387" s="2" t="s">
        <v>30</v>
      </c>
      <c r="J387" s="2" t="n">
        <v>2</v>
      </c>
      <c r="K387" s="2" t="s">
        <v>36</v>
      </c>
      <c r="L387" s="2" t="s">
        <v>32</v>
      </c>
      <c r="M387" s="2" t="n">
        <v>199990</v>
      </c>
      <c r="N387" s="2" t="n">
        <v>2</v>
      </c>
      <c r="O387" s="2" t="n">
        <v>23</v>
      </c>
      <c r="P387" s="2" t="n">
        <v>1</v>
      </c>
      <c r="Q387" s="2" t="n">
        <v>17</v>
      </c>
      <c r="R387" s="2" t="n">
        <v>6</v>
      </c>
      <c r="S387" s="2" t="n">
        <v>5</v>
      </c>
      <c r="T387" s="2" t="n">
        <v>1</v>
      </c>
      <c r="U387" s="2" t="n">
        <v>3</v>
      </c>
      <c r="V387" s="2" t="n">
        <v>3</v>
      </c>
      <c r="W387" s="2" t="n">
        <v>4</v>
      </c>
      <c r="X387" s="2" t="n">
        <v>2</v>
      </c>
      <c r="Y387" s="2" t="n">
        <v>3</v>
      </c>
      <c r="Z387" s="2" t="n">
        <v>4</v>
      </c>
    </row>
    <row r="388" customFormat="false" ht="15" hidden="false" customHeight="true" outlineLevel="0" collapsed="false">
      <c r="A388" s="2" t="n">
        <v>31</v>
      </c>
      <c r="B388" s="2" t="s">
        <v>26</v>
      </c>
      <c r="C388" s="2" t="s">
        <v>27</v>
      </c>
      <c r="D388" s="2" t="s">
        <v>35</v>
      </c>
      <c r="E388" s="2" t="n">
        <v>16</v>
      </c>
      <c r="F388" s="2" t="n">
        <v>3</v>
      </c>
      <c r="G388" s="2" t="s">
        <v>29</v>
      </c>
      <c r="H388" s="2" t="n">
        <v>387</v>
      </c>
      <c r="I388" s="2" t="s">
        <v>30</v>
      </c>
      <c r="J388" s="2" t="n">
        <v>3</v>
      </c>
      <c r="K388" s="2" t="s">
        <v>40</v>
      </c>
      <c r="L388" s="2" t="s">
        <v>32</v>
      </c>
      <c r="M388" s="2" t="n">
        <v>22790</v>
      </c>
      <c r="N388" s="2" t="n">
        <v>3</v>
      </c>
      <c r="O388" s="2" t="n">
        <v>12</v>
      </c>
      <c r="P388" s="2" t="n">
        <v>1</v>
      </c>
      <c r="Q388" s="2" t="n">
        <v>8</v>
      </c>
      <c r="R388" s="2" t="n">
        <v>3</v>
      </c>
      <c r="S388" s="2" t="n">
        <v>6</v>
      </c>
      <c r="T388" s="2" t="n">
        <v>0</v>
      </c>
      <c r="U388" s="2" t="n">
        <v>2</v>
      </c>
      <c r="V388" s="2" t="n">
        <v>4</v>
      </c>
      <c r="W388" s="2" t="n">
        <v>4</v>
      </c>
      <c r="X388" s="2" t="n">
        <v>3</v>
      </c>
      <c r="Y388" s="2" t="n">
        <v>3</v>
      </c>
      <c r="Z388" s="2" t="n">
        <v>3</v>
      </c>
    </row>
    <row r="389" customFormat="false" ht="15" hidden="false" customHeight="true" outlineLevel="0" collapsed="false">
      <c r="A389" s="2" t="n">
        <v>29</v>
      </c>
      <c r="B389" s="2" t="s">
        <v>33</v>
      </c>
      <c r="C389" s="2" t="s">
        <v>27</v>
      </c>
      <c r="D389" s="2" t="s">
        <v>28</v>
      </c>
      <c r="E389" s="2" t="n">
        <v>3</v>
      </c>
      <c r="F389" s="2" t="n">
        <v>3</v>
      </c>
      <c r="G389" s="2" t="s">
        <v>50</v>
      </c>
      <c r="H389" s="2" t="n">
        <v>388</v>
      </c>
      <c r="I389" s="2" t="s">
        <v>39</v>
      </c>
      <c r="J389" s="2" t="n">
        <v>3</v>
      </c>
      <c r="K389" s="2" t="s">
        <v>45</v>
      </c>
      <c r="L389" s="2" t="s">
        <v>46</v>
      </c>
      <c r="M389" s="2" t="n">
        <v>59160</v>
      </c>
      <c r="N389" s="2" t="n">
        <v>6</v>
      </c>
      <c r="O389" s="2" t="n">
        <v>12</v>
      </c>
      <c r="P389" s="2" t="n">
        <v>0</v>
      </c>
      <c r="Q389" s="2" t="n">
        <v>5</v>
      </c>
      <c r="R389" s="2" t="n">
        <v>2</v>
      </c>
      <c r="S389" s="2" t="n">
        <v>3</v>
      </c>
      <c r="T389" s="2" t="n">
        <v>0</v>
      </c>
      <c r="U389" s="2" t="n">
        <v>2</v>
      </c>
      <c r="V389" s="2" t="n">
        <v>2</v>
      </c>
      <c r="W389" s="2" t="n">
        <v>3</v>
      </c>
      <c r="X389" s="2" t="n">
        <v>3</v>
      </c>
      <c r="Y389" s="2" t="n">
        <v>3</v>
      </c>
      <c r="Z389" s="2" t="n">
        <v>3</v>
      </c>
    </row>
    <row r="390" customFormat="false" ht="15" hidden="false" customHeight="true" outlineLevel="0" collapsed="false">
      <c r="A390" s="2" t="n">
        <v>53</v>
      </c>
      <c r="B390" s="2" t="s">
        <v>26</v>
      </c>
      <c r="C390" s="2" t="s">
        <v>27</v>
      </c>
      <c r="D390" s="2" t="s">
        <v>35</v>
      </c>
      <c r="E390" s="2" t="n">
        <v>9</v>
      </c>
      <c r="F390" s="2" t="n">
        <v>3</v>
      </c>
      <c r="G390" s="2" t="s">
        <v>29</v>
      </c>
      <c r="H390" s="2" t="n">
        <v>389</v>
      </c>
      <c r="I390" s="2" t="s">
        <v>39</v>
      </c>
      <c r="J390" s="2" t="n">
        <v>1</v>
      </c>
      <c r="K390" s="2" t="s">
        <v>48</v>
      </c>
      <c r="L390" s="2" t="s">
        <v>32</v>
      </c>
      <c r="M390" s="2" t="n">
        <v>20890</v>
      </c>
      <c r="N390" s="2" t="n">
        <v>5</v>
      </c>
      <c r="O390" s="2" t="n">
        <v>16</v>
      </c>
      <c r="P390" s="2" t="n">
        <v>0</v>
      </c>
      <c r="Q390" s="2" t="n">
        <v>28</v>
      </c>
      <c r="R390" s="2" t="n">
        <v>2</v>
      </c>
      <c r="S390" s="2" t="n">
        <v>2</v>
      </c>
      <c r="T390" s="2" t="n">
        <v>2</v>
      </c>
      <c r="U390" s="2" t="n">
        <v>2</v>
      </c>
      <c r="V390" s="2" t="n">
        <v>1</v>
      </c>
      <c r="W390" s="2" t="n">
        <v>4</v>
      </c>
      <c r="X390" s="2" t="n">
        <v>3</v>
      </c>
      <c r="Y390" s="2" t="n">
        <v>2</v>
      </c>
      <c r="Z390" s="2" t="n">
        <v>3</v>
      </c>
    </row>
    <row r="391" customFormat="false" ht="15" hidden="false" customHeight="true" outlineLevel="0" collapsed="false">
      <c r="A391" s="2" t="n">
        <v>35</v>
      </c>
      <c r="B391" s="2" t="s">
        <v>26</v>
      </c>
      <c r="C391" s="2" t="s">
        <v>27</v>
      </c>
      <c r="D391" s="2" t="s">
        <v>35</v>
      </c>
      <c r="E391" s="2" t="n">
        <v>1</v>
      </c>
      <c r="F391" s="2" t="n">
        <v>3</v>
      </c>
      <c r="G391" s="2" t="s">
        <v>29</v>
      </c>
      <c r="H391" s="2" t="n">
        <v>390</v>
      </c>
      <c r="I391" s="2" t="s">
        <v>39</v>
      </c>
      <c r="J391" s="2" t="n">
        <v>3</v>
      </c>
      <c r="K391" s="2" t="s">
        <v>31</v>
      </c>
      <c r="L391" s="2" t="s">
        <v>32</v>
      </c>
      <c r="M391" s="2" t="n">
        <v>167920</v>
      </c>
      <c r="N391" s="2" t="n">
        <v>3</v>
      </c>
      <c r="O391" s="2" t="n">
        <v>12</v>
      </c>
      <c r="P391" s="2" t="n">
        <v>1</v>
      </c>
      <c r="Q391" s="2" t="n">
        <v>16</v>
      </c>
      <c r="R391" s="2" t="n">
        <v>3</v>
      </c>
      <c r="S391" s="2" t="n">
        <v>13</v>
      </c>
      <c r="T391" s="2" t="n">
        <v>4</v>
      </c>
      <c r="U391" s="2" t="n">
        <v>8</v>
      </c>
      <c r="V391" s="2" t="n">
        <v>4</v>
      </c>
      <c r="W391" s="2" t="n">
        <v>2</v>
      </c>
      <c r="X391" s="2" t="n">
        <v>3</v>
      </c>
      <c r="Y391" s="2" t="n">
        <v>4</v>
      </c>
      <c r="Z391" s="2" t="n">
        <v>3</v>
      </c>
    </row>
    <row r="392" customFormat="false" ht="15" hidden="false" customHeight="true" outlineLevel="0" collapsed="false">
      <c r="A392" s="2" t="n">
        <v>37</v>
      </c>
      <c r="B392" s="2" t="s">
        <v>26</v>
      </c>
      <c r="C392" s="2" t="s">
        <v>34</v>
      </c>
      <c r="D392" s="2" t="s">
        <v>35</v>
      </c>
      <c r="E392" s="2" t="n">
        <v>13</v>
      </c>
      <c r="F392" s="2" t="n">
        <v>4</v>
      </c>
      <c r="G392" s="2" t="s">
        <v>29</v>
      </c>
      <c r="H392" s="2" t="n">
        <v>391</v>
      </c>
      <c r="I392" s="2" t="s">
        <v>30</v>
      </c>
      <c r="J392" s="2" t="n">
        <v>3</v>
      </c>
      <c r="K392" s="2" t="s">
        <v>42</v>
      </c>
      <c r="L392" s="2" t="s">
        <v>32</v>
      </c>
      <c r="M392" s="2" t="n">
        <v>35640</v>
      </c>
      <c r="N392" s="2" t="n">
        <v>5</v>
      </c>
      <c r="O392" s="2" t="n">
        <v>11</v>
      </c>
      <c r="P392" s="2" t="n">
        <v>0</v>
      </c>
      <c r="Q392" s="2" t="n">
        <v>10</v>
      </c>
      <c r="R392" s="2" t="n">
        <v>1</v>
      </c>
      <c r="S392" s="2" t="n">
        <v>5</v>
      </c>
      <c r="T392" s="2" t="n">
        <v>0</v>
      </c>
      <c r="U392" s="2" t="n">
        <v>0</v>
      </c>
      <c r="V392" s="2" t="n">
        <v>3</v>
      </c>
      <c r="W392" s="2" t="n">
        <v>4</v>
      </c>
      <c r="X392" s="2" t="n">
        <v>3</v>
      </c>
      <c r="Y392" s="2" t="n">
        <v>1</v>
      </c>
      <c r="Z392" s="2" t="n">
        <v>3</v>
      </c>
    </row>
    <row r="393" customFormat="false" ht="15" hidden="false" customHeight="true" outlineLevel="0" collapsed="false">
      <c r="A393" s="2" t="n">
        <v>53</v>
      </c>
      <c r="B393" s="2" t="s">
        <v>26</v>
      </c>
      <c r="C393" s="2" t="s">
        <v>27</v>
      </c>
      <c r="D393" s="2" t="s">
        <v>35</v>
      </c>
      <c r="E393" s="2" t="n">
        <v>1</v>
      </c>
      <c r="F393" s="2" t="n">
        <v>1</v>
      </c>
      <c r="G393" s="2" t="s">
        <v>43</v>
      </c>
      <c r="H393" s="2" t="n">
        <v>392</v>
      </c>
      <c r="I393" s="2" t="s">
        <v>39</v>
      </c>
      <c r="J393" s="2" t="n">
        <v>1</v>
      </c>
      <c r="K393" s="2" t="s">
        <v>40</v>
      </c>
      <c r="L393" s="2" t="s">
        <v>37</v>
      </c>
      <c r="M393" s="2" t="n">
        <v>44250</v>
      </c>
      <c r="N393" s="2" t="n">
        <v>6</v>
      </c>
      <c r="O393" s="2" t="n">
        <v>22</v>
      </c>
      <c r="P393" s="2" t="n">
        <v>1</v>
      </c>
      <c r="Q393" s="2" t="n">
        <v>33</v>
      </c>
      <c r="R393" s="2" t="n">
        <v>2</v>
      </c>
      <c r="S393" s="2" t="n">
        <v>12</v>
      </c>
      <c r="T393" s="2" t="n">
        <v>3</v>
      </c>
      <c r="U393" s="2" t="n">
        <v>8</v>
      </c>
      <c r="V393" s="2" t="n">
        <v>4</v>
      </c>
      <c r="W393" s="2" t="n">
        <v>4</v>
      </c>
      <c r="X393" s="2" t="n">
        <v>3</v>
      </c>
      <c r="Y393" s="2" t="n">
        <v>4</v>
      </c>
      <c r="Z393" s="2" t="n">
        <v>4</v>
      </c>
    </row>
    <row r="394" customFormat="false" ht="15" hidden="false" customHeight="true" outlineLevel="0" collapsed="false">
      <c r="A394" s="2" t="n">
        <v>43</v>
      </c>
      <c r="B394" s="2" t="s">
        <v>26</v>
      </c>
      <c r="C394" s="2" t="s">
        <v>34</v>
      </c>
      <c r="D394" s="2" t="s">
        <v>35</v>
      </c>
      <c r="E394" s="2" t="n">
        <v>1</v>
      </c>
      <c r="F394" s="2" t="n">
        <v>3</v>
      </c>
      <c r="G394" s="2" t="s">
        <v>43</v>
      </c>
      <c r="H394" s="2" t="n">
        <v>393</v>
      </c>
      <c r="I394" s="2" t="s">
        <v>39</v>
      </c>
      <c r="J394" s="2" t="n">
        <v>1</v>
      </c>
      <c r="K394" s="2" t="s">
        <v>45</v>
      </c>
      <c r="L394" s="2" t="s">
        <v>32</v>
      </c>
      <c r="M394" s="2" t="n">
        <v>52650</v>
      </c>
      <c r="N394" s="2" t="n">
        <v>4</v>
      </c>
      <c r="O394" s="2" t="n">
        <v>11</v>
      </c>
      <c r="P394" s="2" t="n">
        <v>1</v>
      </c>
      <c r="Q394" s="2" t="n">
        <v>12</v>
      </c>
      <c r="R394" s="2" t="n">
        <v>4</v>
      </c>
      <c r="S394" s="2" t="n">
        <v>5</v>
      </c>
      <c r="T394" s="2" t="n">
        <v>2</v>
      </c>
      <c r="U394" s="2" t="n">
        <v>2</v>
      </c>
      <c r="V394" s="2" t="n">
        <v>4</v>
      </c>
      <c r="W394" s="2" t="n">
        <v>4</v>
      </c>
      <c r="X394" s="2" t="n">
        <v>2</v>
      </c>
      <c r="Y394" s="2" t="n">
        <v>3</v>
      </c>
      <c r="Z394" s="2" t="n">
        <v>3</v>
      </c>
    </row>
    <row r="395" customFormat="false" ht="15" hidden="false" customHeight="true" outlineLevel="0" collapsed="false">
      <c r="A395" s="2" t="n">
        <v>47</v>
      </c>
      <c r="B395" s="2" t="s">
        <v>26</v>
      </c>
      <c r="C395" s="2" t="s">
        <v>27</v>
      </c>
      <c r="D395" s="2" t="s">
        <v>28</v>
      </c>
      <c r="E395" s="2" t="n">
        <v>15</v>
      </c>
      <c r="F395" s="2" t="n">
        <v>4</v>
      </c>
      <c r="G395" s="2" t="s">
        <v>50</v>
      </c>
      <c r="H395" s="2" t="n">
        <v>394</v>
      </c>
      <c r="I395" s="2" t="s">
        <v>30</v>
      </c>
      <c r="J395" s="2" t="n">
        <v>3</v>
      </c>
      <c r="K395" s="2" t="s">
        <v>44</v>
      </c>
      <c r="L395" s="2" t="s">
        <v>32</v>
      </c>
      <c r="M395" s="2" t="n">
        <v>65530</v>
      </c>
      <c r="N395" s="2" t="n">
        <v>0</v>
      </c>
      <c r="O395" s="2" t="n">
        <v>15</v>
      </c>
      <c r="P395" s="2" t="n">
        <v>0</v>
      </c>
      <c r="Q395" s="2" t="n">
        <v>8</v>
      </c>
      <c r="R395" s="2" t="n">
        <v>2</v>
      </c>
      <c r="S395" s="2" t="n">
        <v>7</v>
      </c>
      <c r="T395" s="2" t="n">
        <v>7</v>
      </c>
      <c r="U395" s="2" t="n">
        <v>7</v>
      </c>
      <c r="V395" s="2" t="n">
        <v>3</v>
      </c>
      <c r="W395" s="2" t="n">
        <v>4</v>
      </c>
      <c r="X395" s="2" t="n">
        <v>3</v>
      </c>
      <c r="Y395" s="2" t="n">
        <v>3</v>
      </c>
      <c r="Z395" s="2" t="n">
        <v>3</v>
      </c>
    </row>
    <row r="396" customFormat="false" ht="15" hidden="false" customHeight="true" outlineLevel="0" collapsed="false">
      <c r="A396" s="2" t="n">
        <v>37</v>
      </c>
      <c r="B396" s="2" t="s">
        <v>26</v>
      </c>
      <c r="C396" s="2" t="s">
        <v>41</v>
      </c>
      <c r="D396" s="2" t="s">
        <v>35</v>
      </c>
      <c r="E396" s="2" t="n">
        <v>1</v>
      </c>
      <c r="F396" s="2" t="n">
        <v>5</v>
      </c>
      <c r="G396" s="2" t="s">
        <v>43</v>
      </c>
      <c r="H396" s="2" t="n">
        <v>395</v>
      </c>
      <c r="I396" s="2" t="s">
        <v>30</v>
      </c>
      <c r="J396" s="2" t="n">
        <v>2</v>
      </c>
      <c r="K396" s="2" t="s">
        <v>36</v>
      </c>
      <c r="L396" s="2" t="s">
        <v>37</v>
      </c>
      <c r="M396" s="2" t="n">
        <v>62610</v>
      </c>
      <c r="N396" s="2" t="n">
        <v>1</v>
      </c>
      <c r="O396" s="2" t="n">
        <v>12</v>
      </c>
      <c r="P396" s="2" t="n">
        <v>0</v>
      </c>
      <c r="Q396" s="2" t="n">
        <v>10</v>
      </c>
      <c r="R396" s="2" t="n">
        <v>1</v>
      </c>
      <c r="S396" s="2" t="n">
        <v>10</v>
      </c>
      <c r="T396" s="2" t="n">
        <v>0</v>
      </c>
      <c r="U396" s="2" t="n">
        <v>9</v>
      </c>
      <c r="V396" s="2" t="n">
        <v>1</v>
      </c>
      <c r="W396" s="2" t="n">
        <v>2</v>
      </c>
      <c r="X396" s="2" t="n">
        <v>3</v>
      </c>
      <c r="Y396" s="2" t="n">
        <v>3</v>
      </c>
      <c r="Z396" s="2" t="n">
        <v>3</v>
      </c>
    </row>
    <row r="397" customFormat="false" ht="15" hidden="false" customHeight="true" outlineLevel="0" collapsed="false">
      <c r="A397" s="2" t="n">
        <v>50</v>
      </c>
      <c r="B397" s="2" t="s">
        <v>26</v>
      </c>
      <c r="C397" s="2" t="s">
        <v>41</v>
      </c>
      <c r="D397" s="2" t="s">
        <v>35</v>
      </c>
      <c r="E397" s="2" t="n">
        <v>17</v>
      </c>
      <c r="F397" s="2" t="n">
        <v>3</v>
      </c>
      <c r="G397" s="2" t="s">
        <v>43</v>
      </c>
      <c r="H397" s="2" t="n">
        <v>396</v>
      </c>
      <c r="I397" s="2" t="s">
        <v>30</v>
      </c>
      <c r="J397" s="2" t="n">
        <v>1</v>
      </c>
      <c r="K397" s="2" t="s">
        <v>45</v>
      </c>
      <c r="L397" s="2" t="s">
        <v>46</v>
      </c>
      <c r="M397" s="2" t="n">
        <v>42980</v>
      </c>
      <c r="N397" s="2" t="n">
        <v>1</v>
      </c>
      <c r="O397" s="2" t="n">
        <v>20</v>
      </c>
      <c r="P397" s="2" t="n">
        <v>1</v>
      </c>
      <c r="Q397" s="2" t="n">
        <v>31</v>
      </c>
      <c r="R397" s="2" t="n">
        <v>6</v>
      </c>
      <c r="S397" s="2" t="n">
        <v>31</v>
      </c>
      <c r="T397" s="2" t="n">
        <v>14</v>
      </c>
      <c r="U397" s="2" t="n">
        <v>7</v>
      </c>
      <c r="V397" s="2" t="n">
        <v>1</v>
      </c>
      <c r="W397" s="2" t="n">
        <v>1</v>
      </c>
      <c r="X397" s="2" t="n">
        <v>3</v>
      </c>
      <c r="Y397" s="2" t="n">
        <v>3</v>
      </c>
      <c r="Z397" s="2" t="n">
        <v>4</v>
      </c>
    </row>
    <row r="398" customFormat="false" ht="15" hidden="false" customHeight="true" outlineLevel="0" collapsed="false">
      <c r="A398" s="2" t="n">
        <v>39</v>
      </c>
      <c r="B398" s="2" t="s">
        <v>26</v>
      </c>
      <c r="C398" s="2" t="s">
        <v>27</v>
      </c>
      <c r="D398" s="2" t="s">
        <v>35</v>
      </c>
      <c r="E398" s="2" t="n">
        <v>1</v>
      </c>
      <c r="F398" s="2" t="n">
        <v>3</v>
      </c>
      <c r="G398" s="2" t="s">
        <v>38</v>
      </c>
      <c r="H398" s="2" t="n">
        <v>397</v>
      </c>
      <c r="I398" s="2" t="s">
        <v>30</v>
      </c>
      <c r="J398" s="2" t="n">
        <v>3</v>
      </c>
      <c r="K398" s="2" t="s">
        <v>42</v>
      </c>
      <c r="L398" s="2" t="s">
        <v>32</v>
      </c>
      <c r="M398" s="2" t="n">
        <v>68040</v>
      </c>
      <c r="N398" s="2" t="n">
        <v>8</v>
      </c>
      <c r="O398" s="2" t="n">
        <v>14</v>
      </c>
      <c r="P398" s="2" t="n">
        <v>1</v>
      </c>
      <c r="Q398" s="2" t="n">
        <v>13</v>
      </c>
      <c r="R398" s="2" t="n">
        <v>3</v>
      </c>
      <c r="S398" s="2" t="n">
        <v>5</v>
      </c>
      <c r="T398" s="2" t="n">
        <v>0</v>
      </c>
      <c r="U398" s="2" t="n">
        <v>4</v>
      </c>
      <c r="V398" s="2" t="n">
        <v>4</v>
      </c>
      <c r="W398" s="2" t="n">
        <v>4</v>
      </c>
      <c r="X398" s="2" t="n">
        <v>3</v>
      </c>
      <c r="Y398" s="2" t="n">
        <v>2</v>
      </c>
      <c r="Z398" s="2" t="n">
        <v>3</v>
      </c>
    </row>
    <row r="399" customFormat="false" ht="15" hidden="false" customHeight="true" outlineLevel="0" collapsed="false">
      <c r="A399" s="2" t="n">
        <v>33</v>
      </c>
      <c r="B399" s="2" t="s">
        <v>26</v>
      </c>
      <c r="C399" s="2" t="s">
        <v>27</v>
      </c>
      <c r="D399" s="2" t="s">
        <v>28</v>
      </c>
      <c r="E399" s="2" t="n">
        <v>7</v>
      </c>
      <c r="F399" s="2" t="n">
        <v>3</v>
      </c>
      <c r="G399" s="2" t="s">
        <v>29</v>
      </c>
      <c r="H399" s="2" t="n">
        <v>398</v>
      </c>
      <c r="I399" s="2" t="s">
        <v>39</v>
      </c>
      <c r="J399" s="2" t="n">
        <v>2</v>
      </c>
      <c r="K399" s="2" t="s">
        <v>47</v>
      </c>
      <c r="L399" s="2" t="s">
        <v>46</v>
      </c>
      <c r="M399" s="2" t="n">
        <v>38150</v>
      </c>
      <c r="N399" s="2" t="n">
        <v>3</v>
      </c>
      <c r="O399" s="2" t="n">
        <v>11</v>
      </c>
      <c r="P399" s="2" t="n">
        <v>1</v>
      </c>
      <c r="Q399" s="2" t="n">
        <v>7</v>
      </c>
      <c r="R399" s="2" t="n">
        <v>3</v>
      </c>
      <c r="S399" s="2" t="n">
        <v>4</v>
      </c>
      <c r="T399" s="2" t="n">
        <v>0</v>
      </c>
      <c r="U399" s="2" t="n">
        <v>3</v>
      </c>
      <c r="V399" s="2" t="n">
        <v>4</v>
      </c>
      <c r="W399" s="2" t="n">
        <v>2</v>
      </c>
      <c r="X399" s="2" t="n">
        <v>4</v>
      </c>
      <c r="Y399" s="2" t="n">
        <v>3</v>
      </c>
      <c r="Z399" s="2" t="n">
        <v>3</v>
      </c>
    </row>
    <row r="400" customFormat="false" ht="15" hidden="false" customHeight="true" outlineLevel="0" collapsed="false">
      <c r="A400" s="2" t="n">
        <v>32</v>
      </c>
      <c r="B400" s="2" t="s">
        <v>33</v>
      </c>
      <c r="C400" s="2" t="s">
        <v>27</v>
      </c>
      <c r="D400" s="2" t="s">
        <v>35</v>
      </c>
      <c r="E400" s="2" t="n">
        <v>9</v>
      </c>
      <c r="F400" s="2" t="n">
        <v>1</v>
      </c>
      <c r="G400" s="2" t="s">
        <v>43</v>
      </c>
      <c r="H400" s="2" t="n">
        <v>399</v>
      </c>
      <c r="I400" s="2" t="s">
        <v>30</v>
      </c>
      <c r="J400" s="2" t="n">
        <v>1</v>
      </c>
      <c r="K400" s="2" t="s">
        <v>45</v>
      </c>
      <c r="L400" s="2" t="s">
        <v>37</v>
      </c>
      <c r="M400" s="2" t="n">
        <v>27410</v>
      </c>
      <c r="N400" s="2" t="n">
        <v>1</v>
      </c>
      <c r="O400" s="2" t="n">
        <v>15</v>
      </c>
      <c r="P400" s="2" t="n">
        <v>1</v>
      </c>
      <c r="Q400" s="2" t="n">
        <v>1</v>
      </c>
      <c r="R400" s="2" t="n">
        <v>5</v>
      </c>
      <c r="S400" s="2" t="n">
        <v>1</v>
      </c>
      <c r="T400" s="2" t="n">
        <v>0</v>
      </c>
      <c r="U400" s="2" t="n">
        <v>1</v>
      </c>
      <c r="V400" s="2" t="n">
        <v>1</v>
      </c>
      <c r="W400" s="2" t="n">
        <v>4</v>
      </c>
      <c r="X400" s="2" t="n">
        <v>1</v>
      </c>
      <c r="Y400" s="2" t="n">
        <v>2</v>
      </c>
      <c r="Z400" s="2" t="n">
        <v>3</v>
      </c>
    </row>
    <row r="401" customFormat="false" ht="15" hidden="false" customHeight="true" outlineLevel="0" collapsed="false">
      <c r="A401" s="2" t="n">
        <v>29</v>
      </c>
      <c r="B401" s="2" t="s">
        <v>26</v>
      </c>
      <c r="C401" s="2" t="s">
        <v>27</v>
      </c>
      <c r="D401" s="2" t="s">
        <v>35</v>
      </c>
      <c r="E401" s="2" t="n">
        <v>5</v>
      </c>
      <c r="F401" s="2" t="n">
        <v>4</v>
      </c>
      <c r="G401" s="2" t="s">
        <v>29</v>
      </c>
      <c r="H401" s="2" t="n">
        <v>400</v>
      </c>
      <c r="I401" s="2" t="s">
        <v>30</v>
      </c>
      <c r="J401" s="2" t="n">
        <v>4</v>
      </c>
      <c r="K401" s="2" t="s">
        <v>31</v>
      </c>
      <c r="L401" s="2" t="s">
        <v>46</v>
      </c>
      <c r="M401" s="2" t="n">
        <v>66730</v>
      </c>
      <c r="N401" s="2" t="n">
        <v>6</v>
      </c>
      <c r="O401" s="2" t="n">
        <v>12</v>
      </c>
      <c r="P401" s="2" t="n">
        <v>1</v>
      </c>
      <c r="Q401" s="2" t="n">
        <v>8</v>
      </c>
      <c r="R401" s="2" t="n">
        <v>2</v>
      </c>
      <c r="S401" s="2" t="n">
        <v>4</v>
      </c>
      <c r="T401" s="2" t="n">
        <v>0</v>
      </c>
      <c r="U401" s="2" t="n">
        <v>3</v>
      </c>
      <c r="V401" s="2" t="n">
        <v>1</v>
      </c>
      <c r="W401" s="2" t="n">
        <v>4</v>
      </c>
      <c r="X401" s="2" t="n">
        <v>3</v>
      </c>
      <c r="Y401" s="2" t="n">
        <v>4</v>
      </c>
      <c r="Z401" s="2" t="n">
        <v>3</v>
      </c>
    </row>
    <row r="402" customFormat="false" ht="15" hidden="false" customHeight="true" outlineLevel="0" collapsed="false">
      <c r="A402" s="2" t="n">
        <v>44</v>
      </c>
      <c r="B402" s="2" t="s">
        <v>26</v>
      </c>
      <c r="C402" s="2" t="s">
        <v>27</v>
      </c>
      <c r="D402" s="2" t="s">
        <v>35</v>
      </c>
      <c r="E402" s="2" t="n">
        <v>26</v>
      </c>
      <c r="F402" s="2" t="n">
        <v>2</v>
      </c>
      <c r="G402" s="2" t="s">
        <v>29</v>
      </c>
      <c r="H402" s="2" t="n">
        <v>401</v>
      </c>
      <c r="I402" s="2" t="s">
        <v>39</v>
      </c>
      <c r="J402" s="2" t="n">
        <v>2</v>
      </c>
      <c r="K402" s="2" t="s">
        <v>47</v>
      </c>
      <c r="L402" s="2" t="s">
        <v>32</v>
      </c>
      <c r="M402" s="2" t="n">
        <v>76390</v>
      </c>
      <c r="N402" s="2" t="n">
        <v>1</v>
      </c>
      <c r="O402" s="2" t="n">
        <v>14</v>
      </c>
      <c r="P402" s="2" t="n">
        <v>0</v>
      </c>
      <c r="Q402" s="2" t="n">
        <v>8</v>
      </c>
      <c r="R402" s="2" t="n">
        <v>6</v>
      </c>
      <c r="S402" s="2" t="n">
        <v>8</v>
      </c>
      <c r="T402" s="2" t="n">
        <v>7</v>
      </c>
      <c r="U402" s="2" t="n">
        <v>1</v>
      </c>
      <c r="V402" s="2" t="n">
        <v>2</v>
      </c>
      <c r="W402" s="2" t="n">
        <v>1</v>
      </c>
      <c r="X402" s="2" t="n">
        <v>3</v>
      </c>
      <c r="Y402" s="2" t="n">
        <v>3</v>
      </c>
      <c r="Z402" s="2" t="n">
        <v>3</v>
      </c>
    </row>
    <row r="403" customFormat="false" ht="15" hidden="false" customHeight="true" outlineLevel="0" collapsed="false">
      <c r="A403" s="2" t="n">
        <v>28</v>
      </c>
      <c r="B403" s="2" t="s">
        <v>26</v>
      </c>
      <c r="C403" s="2" t="s">
        <v>27</v>
      </c>
      <c r="D403" s="2" t="s">
        <v>28</v>
      </c>
      <c r="E403" s="2" t="n">
        <v>24</v>
      </c>
      <c r="F403" s="2" t="n">
        <v>5</v>
      </c>
      <c r="G403" s="2" t="s">
        <v>29</v>
      </c>
      <c r="H403" s="2" t="n">
        <v>402</v>
      </c>
      <c r="I403" s="2" t="s">
        <v>30</v>
      </c>
      <c r="J403" s="2" t="n">
        <v>1</v>
      </c>
      <c r="K403" s="2" t="s">
        <v>36</v>
      </c>
      <c r="L403" s="2" t="s">
        <v>37</v>
      </c>
      <c r="M403" s="2" t="n">
        <v>23280</v>
      </c>
      <c r="N403" s="2" t="n">
        <v>1</v>
      </c>
      <c r="O403" s="2" t="n">
        <v>11</v>
      </c>
      <c r="P403" s="2" t="n">
        <v>2</v>
      </c>
      <c r="Q403" s="2" t="n">
        <v>4</v>
      </c>
      <c r="R403" s="2" t="n">
        <v>3</v>
      </c>
      <c r="S403" s="2" t="n">
        <v>4</v>
      </c>
      <c r="T403" s="2" t="n">
        <v>0</v>
      </c>
      <c r="U403" s="2" t="n">
        <v>2</v>
      </c>
      <c r="V403" s="2" t="n">
        <v>1</v>
      </c>
      <c r="W403" s="2" t="n">
        <v>4</v>
      </c>
      <c r="X403" s="2" t="n">
        <v>3</v>
      </c>
      <c r="Y403" s="2" t="n">
        <v>3</v>
      </c>
      <c r="Z403" s="2" t="n">
        <v>3</v>
      </c>
    </row>
    <row r="404" customFormat="false" ht="15" hidden="false" customHeight="true" outlineLevel="0" collapsed="false">
      <c r="A404" s="2" t="n">
        <v>58</v>
      </c>
      <c r="B404" s="2" t="s">
        <v>33</v>
      </c>
      <c r="C404" s="2" t="s">
        <v>34</v>
      </c>
      <c r="D404" s="2" t="s">
        <v>28</v>
      </c>
      <c r="E404" s="2" t="n">
        <v>9</v>
      </c>
      <c r="F404" s="2" t="n">
        <v>2</v>
      </c>
      <c r="G404" s="2" t="s">
        <v>51</v>
      </c>
      <c r="H404" s="2" t="n">
        <v>403</v>
      </c>
      <c r="I404" s="2" t="s">
        <v>39</v>
      </c>
      <c r="J404" s="2" t="n">
        <v>1</v>
      </c>
      <c r="K404" s="2" t="s">
        <v>40</v>
      </c>
      <c r="L404" s="2" t="s">
        <v>46</v>
      </c>
      <c r="M404" s="2" t="n">
        <v>21530</v>
      </c>
      <c r="N404" s="2" t="n">
        <v>9</v>
      </c>
      <c r="O404" s="2" t="n">
        <v>11</v>
      </c>
      <c r="P404" s="2" t="n">
        <v>0</v>
      </c>
      <c r="Q404" s="2" t="n">
        <v>3</v>
      </c>
      <c r="R404" s="2" t="n">
        <v>3</v>
      </c>
      <c r="S404" s="2" t="n">
        <v>1</v>
      </c>
      <c r="T404" s="2" t="n">
        <v>0</v>
      </c>
      <c r="U404" s="2" t="n">
        <v>0</v>
      </c>
      <c r="V404" s="2" t="n">
        <v>4</v>
      </c>
      <c r="W404" s="2" t="n">
        <v>4</v>
      </c>
      <c r="X404" s="2" t="n">
        <v>2</v>
      </c>
      <c r="Y404" s="2" t="n">
        <v>3</v>
      </c>
      <c r="Z404" s="2" t="n">
        <v>3</v>
      </c>
    </row>
    <row r="405" customFormat="false" ht="15" hidden="false" customHeight="true" outlineLevel="0" collapsed="false">
      <c r="A405" s="2" t="n">
        <v>43</v>
      </c>
      <c r="B405" s="2" t="s">
        <v>26</v>
      </c>
      <c r="C405" s="2" t="s">
        <v>27</v>
      </c>
      <c r="D405" s="2" t="s">
        <v>28</v>
      </c>
      <c r="E405" s="2" t="n">
        <v>7</v>
      </c>
      <c r="F405" s="2" t="n">
        <v>4</v>
      </c>
      <c r="G405" s="2" t="s">
        <v>50</v>
      </c>
      <c r="H405" s="2" t="n">
        <v>404</v>
      </c>
      <c r="I405" s="2" t="s">
        <v>39</v>
      </c>
      <c r="J405" s="2" t="n">
        <v>2</v>
      </c>
      <c r="K405" s="2" t="s">
        <v>40</v>
      </c>
      <c r="L405" s="2" t="s">
        <v>46</v>
      </c>
      <c r="M405" s="2" t="n">
        <v>48760</v>
      </c>
      <c r="N405" s="2" t="n">
        <v>4</v>
      </c>
      <c r="O405" s="2" t="n">
        <v>16</v>
      </c>
      <c r="P405" s="2" t="n">
        <v>2</v>
      </c>
      <c r="Q405" s="2" t="n">
        <v>4</v>
      </c>
      <c r="R405" s="2" t="n">
        <v>4</v>
      </c>
      <c r="S405" s="2" t="n">
        <v>1</v>
      </c>
      <c r="T405" s="2" t="n">
        <v>0</v>
      </c>
      <c r="U405" s="2" t="n">
        <v>0</v>
      </c>
      <c r="V405" s="2" t="n">
        <v>1</v>
      </c>
      <c r="W405" s="2" t="n">
        <v>2</v>
      </c>
      <c r="X405" s="2" t="n">
        <v>4</v>
      </c>
      <c r="Y405" s="2" t="n">
        <v>3</v>
      </c>
      <c r="Z405" s="2" t="n">
        <v>3</v>
      </c>
    </row>
    <row r="406" customFormat="false" ht="15" hidden="false" customHeight="true" outlineLevel="0" collapsed="false">
      <c r="A406" s="2" t="n">
        <v>20</v>
      </c>
      <c r="B406" s="2" t="s">
        <v>33</v>
      </c>
      <c r="C406" s="2" t="s">
        <v>27</v>
      </c>
      <c r="D406" s="2" t="s">
        <v>35</v>
      </c>
      <c r="E406" s="2" t="n">
        <v>11</v>
      </c>
      <c r="F406" s="2" t="n">
        <v>3</v>
      </c>
      <c r="G406" s="2" t="s">
        <v>43</v>
      </c>
      <c r="H406" s="2" t="n">
        <v>405</v>
      </c>
      <c r="I406" s="2" t="s">
        <v>39</v>
      </c>
      <c r="J406" s="2" t="n">
        <v>2</v>
      </c>
      <c r="K406" s="2" t="s">
        <v>40</v>
      </c>
      <c r="L406" s="2" t="s">
        <v>37</v>
      </c>
      <c r="M406" s="2" t="n">
        <v>93960</v>
      </c>
      <c r="N406" s="2" t="n">
        <v>1</v>
      </c>
      <c r="O406" s="2" t="n">
        <v>12</v>
      </c>
      <c r="P406" s="2" t="n">
        <v>0</v>
      </c>
      <c r="Q406" s="2" t="n">
        <v>2</v>
      </c>
      <c r="R406" s="2" t="n">
        <v>6</v>
      </c>
      <c r="S406" s="2" t="n">
        <v>2</v>
      </c>
      <c r="T406" s="2" t="n">
        <v>0</v>
      </c>
      <c r="U406" s="2" t="n">
        <v>2</v>
      </c>
      <c r="V406" s="2" t="n">
        <v>3</v>
      </c>
      <c r="W406" s="2" t="n">
        <v>3</v>
      </c>
      <c r="X406" s="2" t="n">
        <v>2</v>
      </c>
      <c r="Y406" s="2" t="n">
        <v>1</v>
      </c>
      <c r="Z406" s="2" t="n">
        <v>3</v>
      </c>
    </row>
    <row r="407" customFormat="false" ht="15" hidden="false" customHeight="true" outlineLevel="0" collapsed="false">
      <c r="A407" s="2" t="n">
        <v>21</v>
      </c>
      <c r="B407" s="2" t="s">
        <v>33</v>
      </c>
      <c r="C407" s="2" t="s">
        <v>27</v>
      </c>
      <c r="D407" s="2" t="s">
        <v>35</v>
      </c>
      <c r="E407" s="2" t="n">
        <v>1</v>
      </c>
      <c r="F407" s="2" t="n">
        <v>3</v>
      </c>
      <c r="G407" s="2" t="s">
        <v>43</v>
      </c>
      <c r="H407" s="2" t="n">
        <v>406</v>
      </c>
      <c r="I407" s="2" t="s">
        <v>39</v>
      </c>
      <c r="J407" s="2" t="n">
        <v>2</v>
      </c>
      <c r="K407" s="2" t="s">
        <v>40</v>
      </c>
      <c r="L407" s="2" t="s">
        <v>37</v>
      </c>
      <c r="M407" s="2" t="n">
        <v>104000</v>
      </c>
      <c r="N407" s="2" t="n">
        <v>1</v>
      </c>
      <c r="O407" s="2" t="n">
        <v>13</v>
      </c>
      <c r="P407" s="2" t="n">
        <v>1</v>
      </c>
      <c r="Q407" s="2" t="n">
        <v>1</v>
      </c>
      <c r="R407" s="2" t="n">
        <v>2</v>
      </c>
      <c r="S407" s="2" t="n">
        <v>1</v>
      </c>
      <c r="T407" s="2" t="n">
        <v>0</v>
      </c>
      <c r="U407" s="2" t="n">
        <v>0</v>
      </c>
      <c r="V407" s="2"/>
      <c r="W407" s="2" t="n">
        <v>4</v>
      </c>
      <c r="X407" s="2" t="n">
        <v>2</v>
      </c>
      <c r="Y407" s="2" t="n">
        <v>3</v>
      </c>
      <c r="Z407" s="2" t="n">
        <v>3</v>
      </c>
    </row>
    <row r="408" customFormat="false" ht="15" hidden="false" customHeight="true" outlineLevel="0" collapsed="false">
      <c r="A408" s="2" t="n">
        <v>36</v>
      </c>
      <c r="B408" s="2" t="s">
        <v>26</v>
      </c>
      <c r="C408" s="2" t="s">
        <v>27</v>
      </c>
      <c r="D408" s="2" t="s">
        <v>35</v>
      </c>
      <c r="E408" s="2" t="n">
        <v>26</v>
      </c>
      <c r="F408" s="2" t="n">
        <v>4</v>
      </c>
      <c r="G408" s="2" t="s">
        <v>43</v>
      </c>
      <c r="H408" s="2" t="n">
        <v>407</v>
      </c>
      <c r="I408" s="2" t="s">
        <v>39</v>
      </c>
      <c r="J408" s="2" t="n">
        <v>1</v>
      </c>
      <c r="K408" s="2" t="s">
        <v>45</v>
      </c>
      <c r="L408" s="2" t="s">
        <v>32</v>
      </c>
      <c r="M408" s="2" t="n">
        <v>84740</v>
      </c>
      <c r="N408" s="2" t="n">
        <v>0</v>
      </c>
      <c r="O408" s="2" t="n">
        <v>14</v>
      </c>
      <c r="P408" s="2" t="n">
        <v>0</v>
      </c>
      <c r="Q408" s="2" t="n">
        <v>17</v>
      </c>
      <c r="R408" s="2" t="n">
        <v>3</v>
      </c>
      <c r="S408" s="2" t="n">
        <v>16</v>
      </c>
      <c r="T408" s="2" t="n">
        <v>4</v>
      </c>
      <c r="U408" s="2" t="n">
        <v>11</v>
      </c>
      <c r="V408" s="2" t="n">
        <v>3</v>
      </c>
      <c r="W408" s="2" t="n">
        <v>4</v>
      </c>
      <c r="X408" s="2" t="n">
        <v>2</v>
      </c>
      <c r="Y408" s="2" t="n">
        <v>3</v>
      </c>
      <c r="Z408" s="2" t="n">
        <v>3</v>
      </c>
    </row>
    <row r="409" customFormat="false" ht="15" hidden="false" customHeight="true" outlineLevel="0" collapsed="false">
      <c r="A409" s="2" t="n">
        <v>47</v>
      </c>
      <c r="B409" s="2" t="s">
        <v>26</v>
      </c>
      <c r="C409" s="2" t="s">
        <v>27</v>
      </c>
      <c r="D409" s="2" t="s">
        <v>35</v>
      </c>
      <c r="E409" s="2" t="n">
        <v>2</v>
      </c>
      <c r="F409" s="2" t="n">
        <v>3</v>
      </c>
      <c r="G409" s="2" t="s">
        <v>29</v>
      </c>
      <c r="H409" s="2" t="n">
        <v>408</v>
      </c>
      <c r="I409" s="2" t="s">
        <v>39</v>
      </c>
      <c r="J409" s="2" t="n">
        <v>2</v>
      </c>
      <c r="K409" s="2" t="s">
        <v>47</v>
      </c>
      <c r="L409" s="2" t="s">
        <v>37</v>
      </c>
      <c r="M409" s="2" t="n">
        <v>99810</v>
      </c>
      <c r="N409" s="2" t="n">
        <v>1</v>
      </c>
      <c r="O409" s="2" t="n">
        <v>21</v>
      </c>
      <c r="P409" s="2" t="n">
        <v>1</v>
      </c>
      <c r="Q409" s="2" t="n">
        <v>3</v>
      </c>
      <c r="R409" s="2" t="n">
        <v>3</v>
      </c>
      <c r="S409" s="2" t="n">
        <v>3</v>
      </c>
      <c r="T409" s="2" t="n">
        <v>1</v>
      </c>
      <c r="U409" s="2" t="n">
        <v>2</v>
      </c>
      <c r="V409" s="2" t="n">
        <v>4</v>
      </c>
      <c r="W409" s="2" t="n">
        <v>4</v>
      </c>
      <c r="X409" s="2" t="n">
        <v>2</v>
      </c>
      <c r="Y409" s="2" t="n">
        <v>3</v>
      </c>
      <c r="Z409" s="2" t="n">
        <v>4</v>
      </c>
    </row>
    <row r="410" customFormat="false" ht="15" hidden="false" customHeight="true" outlineLevel="0" collapsed="false">
      <c r="A410" s="2" t="n">
        <v>22</v>
      </c>
      <c r="B410" s="2" t="s">
        <v>33</v>
      </c>
      <c r="C410" s="2" t="s">
        <v>27</v>
      </c>
      <c r="D410" s="2" t="s">
        <v>35</v>
      </c>
      <c r="E410" s="2" t="n">
        <v>15</v>
      </c>
      <c r="F410" s="2" t="n">
        <v>4</v>
      </c>
      <c r="G410" s="2" t="s">
        <v>29</v>
      </c>
      <c r="H410" s="2" t="n">
        <v>409</v>
      </c>
      <c r="I410" s="2" t="s">
        <v>30</v>
      </c>
      <c r="J410" s="2" t="n">
        <v>1</v>
      </c>
      <c r="K410" s="2" t="s">
        <v>45</v>
      </c>
      <c r="L410" s="2" t="s">
        <v>32</v>
      </c>
      <c r="M410" s="2" t="n">
        <v>124900</v>
      </c>
      <c r="N410" s="2" t="n">
        <v>0</v>
      </c>
      <c r="O410" s="2" t="n">
        <v>13</v>
      </c>
      <c r="P410" s="2" t="n">
        <v>0</v>
      </c>
      <c r="Q410" s="2" t="n">
        <v>4</v>
      </c>
      <c r="R410" s="2" t="n">
        <v>3</v>
      </c>
      <c r="S410" s="2" t="n">
        <v>3</v>
      </c>
      <c r="T410" s="2" t="n">
        <v>0</v>
      </c>
      <c r="U410" s="2" t="n">
        <v>2</v>
      </c>
      <c r="V410" s="2" t="n">
        <v>2</v>
      </c>
      <c r="W410" s="2" t="n">
        <v>3</v>
      </c>
      <c r="X410" s="2" t="n">
        <v>4</v>
      </c>
      <c r="Y410" s="2" t="n">
        <v>3</v>
      </c>
      <c r="Z410" s="2" t="n">
        <v>3</v>
      </c>
    </row>
    <row r="411" customFormat="false" ht="15" hidden="false" customHeight="true" outlineLevel="0" collapsed="false">
      <c r="A411" s="2" t="n">
        <v>41</v>
      </c>
      <c r="B411" s="2" t="s">
        <v>33</v>
      </c>
      <c r="C411" s="2" t="s">
        <v>27</v>
      </c>
      <c r="D411" s="2" t="s">
        <v>35</v>
      </c>
      <c r="E411" s="2" t="n">
        <v>23</v>
      </c>
      <c r="F411" s="2" t="n">
        <v>3</v>
      </c>
      <c r="G411" s="2" t="s">
        <v>29</v>
      </c>
      <c r="H411" s="2" t="n">
        <v>410</v>
      </c>
      <c r="I411" s="2" t="s">
        <v>30</v>
      </c>
      <c r="J411" s="2" t="n">
        <v>2</v>
      </c>
      <c r="K411" s="2" t="s">
        <v>40</v>
      </c>
      <c r="L411" s="2" t="s">
        <v>46</v>
      </c>
      <c r="M411" s="2" t="n">
        <v>26570</v>
      </c>
      <c r="N411" s="2" t="n">
        <v>4</v>
      </c>
      <c r="O411" s="2" t="n">
        <v>11</v>
      </c>
      <c r="P411" s="2" t="n">
        <v>0</v>
      </c>
      <c r="Q411" s="2" t="n">
        <v>10</v>
      </c>
      <c r="R411" s="2" t="n">
        <v>3</v>
      </c>
      <c r="S411" s="2" t="n">
        <v>7</v>
      </c>
      <c r="T411" s="2" t="n">
        <v>1</v>
      </c>
      <c r="U411" s="2" t="n">
        <v>0</v>
      </c>
      <c r="V411" s="2" t="n">
        <v>2</v>
      </c>
      <c r="W411" s="2" t="n">
        <v>4</v>
      </c>
      <c r="X411" s="2" t="n">
        <v>2</v>
      </c>
      <c r="Y411" s="2" t="n">
        <v>4</v>
      </c>
      <c r="Z411" s="2" t="n">
        <v>3</v>
      </c>
    </row>
    <row r="412" customFormat="false" ht="15" hidden="false" customHeight="true" outlineLevel="0" collapsed="false">
      <c r="A412" s="2" t="n">
        <v>28</v>
      </c>
      <c r="B412" s="2" t="s">
        <v>26</v>
      </c>
      <c r="C412" s="2" t="s">
        <v>27</v>
      </c>
      <c r="D412" s="2" t="s">
        <v>35</v>
      </c>
      <c r="E412" s="2" t="n">
        <v>10</v>
      </c>
      <c r="F412" s="2" t="n">
        <v>3</v>
      </c>
      <c r="G412" s="2" t="s">
        <v>29</v>
      </c>
      <c r="H412" s="2" t="n">
        <v>411</v>
      </c>
      <c r="I412" s="2" t="s">
        <v>30</v>
      </c>
      <c r="J412" s="2" t="n">
        <v>3</v>
      </c>
      <c r="K412" s="2" t="s">
        <v>49</v>
      </c>
      <c r="L412" s="2" t="s">
        <v>46</v>
      </c>
      <c r="M412" s="2" t="n">
        <v>135910</v>
      </c>
      <c r="N412" s="2" t="n">
        <v>5</v>
      </c>
      <c r="O412" s="2" t="n">
        <v>20</v>
      </c>
      <c r="P412" s="2" t="n">
        <v>1</v>
      </c>
      <c r="Q412" s="2" t="n">
        <v>6</v>
      </c>
      <c r="R412" s="2" t="n">
        <v>2</v>
      </c>
      <c r="S412" s="2" t="n">
        <v>2</v>
      </c>
      <c r="T412" s="2" t="n">
        <v>2</v>
      </c>
      <c r="U412" s="2" t="n">
        <v>2</v>
      </c>
      <c r="V412" s="2" t="n">
        <v>3</v>
      </c>
      <c r="W412" s="2" t="n">
        <v>3</v>
      </c>
      <c r="X412" s="2" t="n">
        <v>3</v>
      </c>
      <c r="Y412" s="2" t="n">
        <v>3</v>
      </c>
      <c r="Z412" s="2" t="n">
        <v>4</v>
      </c>
    </row>
    <row r="413" customFormat="false" ht="15" hidden="false" customHeight="true" outlineLevel="0" collapsed="false">
      <c r="A413" s="2" t="n">
        <v>39</v>
      </c>
      <c r="B413" s="2" t="s">
        <v>33</v>
      </c>
      <c r="C413" s="2" t="s">
        <v>27</v>
      </c>
      <c r="D413" s="2" t="s">
        <v>35</v>
      </c>
      <c r="E413" s="2" t="n">
        <v>10</v>
      </c>
      <c r="F413" s="2" t="n">
        <v>4</v>
      </c>
      <c r="G413" s="2" t="s">
        <v>29</v>
      </c>
      <c r="H413" s="2" t="n">
        <v>412</v>
      </c>
      <c r="I413" s="2" t="s">
        <v>30</v>
      </c>
      <c r="J413" s="2" t="n">
        <v>4</v>
      </c>
      <c r="K413" s="2" t="s">
        <v>42</v>
      </c>
      <c r="L413" s="2" t="s">
        <v>32</v>
      </c>
      <c r="M413" s="2" t="n">
        <v>66960</v>
      </c>
      <c r="N413" s="2" t="n">
        <v>7</v>
      </c>
      <c r="O413" s="2" t="n">
        <v>11</v>
      </c>
      <c r="P413" s="2" t="n">
        <v>0</v>
      </c>
      <c r="Q413" s="2" t="n">
        <v>8</v>
      </c>
      <c r="R413" s="2" t="n">
        <v>3</v>
      </c>
      <c r="S413" s="2" t="n">
        <v>2</v>
      </c>
      <c r="T413" s="2" t="n">
        <v>2</v>
      </c>
      <c r="U413" s="2" t="n">
        <v>2</v>
      </c>
      <c r="V413" s="2" t="n">
        <v>4</v>
      </c>
      <c r="W413" s="2" t="n">
        <v>1</v>
      </c>
      <c r="X413" s="2" t="n">
        <v>1</v>
      </c>
      <c r="Y413" s="2" t="n">
        <v>3</v>
      </c>
      <c r="Z413" s="2" t="n">
        <v>3</v>
      </c>
    </row>
    <row r="414" customFormat="false" ht="15" hidden="false" customHeight="true" outlineLevel="0" collapsed="false">
      <c r="A414" s="2" t="n">
        <v>27</v>
      </c>
      <c r="B414" s="2" t="s">
        <v>26</v>
      </c>
      <c r="C414" s="2" t="s">
        <v>27</v>
      </c>
      <c r="D414" s="2" t="s">
        <v>35</v>
      </c>
      <c r="E414" s="2" t="n">
        <v>1</v>
      </c>
      <c r="F414" s="2" t="n">
        <v>3</v>
      </c>
      <c r="G414" s="2" t="s">
        <v>43</v>
      </c>
      <c r="H414" s="2" t="n">
        <v>413</v>
      </c>
      <c r="I414" s="2" t="s">
        <v>39</v>
      </c>
      <c r="J414" s="2" t="n">
        <v>1</v>
      </c>
      <c r="K414" s="2" t="s">
        <v>36</v>
      </c>
      <c r="L414" s="2" t="s">
        <v>37</v>
      </c>
      <c r="M414" s="2" t="n">
        <v>20580</v>
      </c>
      <c r="N414" s="2" t="n">
        <v>1</v>
      </c>
      <c r="O414" s="2" t="n">
        <v>14</v>
      </c>
      <c r="P414" s="2" t="n">
        <v>1</v>
      </c>
      <c r="Q414" s="2" t="n">
        <v>1</v>
      </c>
      <c r="R414" s="2" t="n">
        <v>5</v>
      </c>
      <c r="S414" s="2" t="n">
        <v>1</v>
      </c>
      <c r="T414" s="2" t="n">
        <v>0</v>
      </c>
      <c r="U414" s="2" t="n">
        <v>0</v>
      </c>
      <c r="V414" s="2" t="n">
        <v>2</v>
      </c>
      <c r="W414" s="2" t="n">
        <v>3</v>
      </c>
      <c r="X414" s="2" t="n">
        <v>3</v>
      </c>
      <c r="Y414" s="2" t="n">
        <v>3</v>
      </c>
      <c r="Z414" s="2" t="n">
        <v>3</v>
      </c>
    </row>
    <row r="415" customFormat="false" ht="15" hidden="false" customHeight="true" outlineLevel="0" collapsed="false">
      <c r="A415" s="2" t="n">
        <v>34</v>
      </c>
      <c r="B415" s="2" t="s">
        <v>26</v>
      </c>
      <c r="C415" s="2" t="s">
        <v>27</v>
      </c>
      <c r="D415" s="2" t="s">
        <v>35</v>
      </c>
      <c r="E415" s="2" t="n">
        <v>12</v>
      </c>
      <c r="F415" s="2" t="n">
        <v>2</v>
      </c>
      <c r="G415" s="2" t="s">
        <v>51</v>
      </c>
      <c r="H415" s="2" t="n">
        <v>414</v>
      </c>
      <c r="I415" s="2" t="s">
        <v>39</v>
      </c>
      <c r="J415" s="2" t="n">
        <v>2</v>
      </c>
      <c r="K415" s="2" t="s">
        <v>42</v>
      </c>
      <c r="L415" s="2" t="s">
        <v>46</v>
      </c>
      <c r="M415" s="2" t="n">
        <v>88650</v>
      </c>
      <c r="N415" s="2" t="n">
        <v>1</v>
      </c>
      <c r="O415" s="2" t="n">
        <v>11</v>
      </c>
      <c r="P415" s="2" t="n">
        <v>1</v>
      </c>
      <c r="Q415" s="2" t="n">
        <v>1</v>
      </c>
      <c r="R415" s="2" t="n">
        <v>0</v>
      </c>
      <c r="S415" s="2" t="n">
        <v>1</v>
      </c>
      <c r="T415" s="2" t="n">
        <v>1</v>
      </c>
      <c r="U415" s="2" t="n">
        <v>0</v>
      </c>
      <c r="V415" s="2" t="n">
        <v>2</v>
      </c>
      <c r="W415" s="2" t="n">
        <v>2</v>
      </c>
      <c r="X415" s="2" t="n">
        <v>3</v>
      </c>
      <c r="Y415" s="2" t="n">
        <v>3</v>
      </c>
      <c r="Z415" s="2" t="n">
        <v>3</v>
      </c>
    </row>
    <row r="416" customFormat="false" ht="15" hidden="false" customHeight="true" outlineLevel="0" collapsed="false">
      <c r="A416" s="2" t="n">
        <v>42</v>
      </c>
      <c r="B416" s="2" t="s">
        <v>26</v>
      </c>
      <c r="C416" s="2" t="s">
        <v>27</v>
      </c>
      <c r="D416" s="2" t="s">
        <v>28</v>
      </c>
      <c r="E416" s="2" t="n">
        <v>11</v>
      </c>
      <c r="F416" s="2" t="n">
        <v>1</v>
      </c>
      <c r="G416" s="2" t="s">
        <v>51</v>
      </c>
      <c r="H416" s="2" t="n">
        <v>415</v>
      </c>
      <c r="I416" s="2" t="s">
        <v>39</v>
      </c>
      <c r="J416" s="2" t="n">
        <v>2</v>
      </c>
      <c r="K416" s="2" t="s">
        <v>42</v>
      </c>
      <c r="L416" s="2" t="s">
        <v>37</v>
      </c>
      <c r="M416" s="2" t="n">
        <v>59400</v>
      </c>
      <c r="N416" s="2" t="n">
        <v>7</v>
      </c>
      <c r="O416" s="2" t="n">
        <v>16</v>
      </c>
      <c r="P416" s="2" t="n">
        <v>0</v>
      </c>
      <c r="Q416" s="2" t="n">
        <v>10</v>
      </c>
      <c r="R416" s="2" t="n">
        <v>2</v>
      </c>
      <c r="S416" s="2" t="n">
        <v>5</v>
      </c>
      <c r="T416" s="2" t="n">
        <v>0</v>
      </c>
      <c r="U416" s="2" t="n">
        <v>3</v>
      </c>
      <c r="V416" s="2" t="n">
        <v>3</v>
      </c>
      <c r="W416" s="2" t="n">
        <v>3</v>
      </c>
      <c r="X416" s="2" t="n">
        <v>3</v>
      </c>
      <c r="Y416" s="2" t="n">
        <v>2</v>
      </c>
      <c r="Z416" s="2" t="n">
        <v>3</v>
      </c>
    </row>
    <row r="417" customFormat="false" ht="15" hidden="false" customHeight="true" outlineLevel="0" collapsed="false">
      <c r="A417" s="2" t="n">
        <v>33</v>
      </c>
      <c r="B417" s="2" t="s">
        <v>26</v>
      </c>
      <c r="C417" s="2" t="s">
        <v>27</v>
      </c>
      <c r="D417" s="2" t="s">
        <v>28</v>
      </c>
      <c r="E417" s="2" t="n">
        <v>2</v>
      </c>
      <c r="F417" s="2" t="n">
        <v>3</v>
      </c>
      <c r="G417" s="2" t="s">
        <v>50</v>
      </c>
      <c r="H417" s="2" t="n">
        <v>416</v>
      </c>
      <c r="I417" s="2" t="s">
        <v>30</v>
      </c>
      <c r="J417" s="2" t="n">
        <v>1</v>
      </c>
      <c r="K417" s="2" t="s">
        <v>40</v>
      </c>
      <c r="L417" s="2" t="s">
        <v>37</v>
      </c>
      <c r="M417" s="2" t="n">
        <v>59140</v>
      </c>
      <c r="N417" s="2" t="n">
        <v>3</v>
      </c>
      <c r="O417" s="2" t="n">
        <v>16</v>
      </c>
      <c r="P417" s="2" t="n">
        <v>1</v>
      </c>
      <c r="Q417" s="2" t="n">
        <v>6</v>
      </c>
      <c r="R417" s="2" t="n">
        <v>4</v>
      </c>
      <c r="S417" s="2" t="n">
        <v>3</v>
      </c>
      <c r="T417" s="2" t="n">
        <v>0</v>
      </c>
      <c r="U417" s="2" t="n">
        <v>2</v>
      </c>
      <c r="V417" s="2" t="n">
        <v>3</v>
      </c>
      <c r="W417" s="2" t="n">
        <v>1</v>
      </c>
      <c r="X417" s="2" t="n">
        <v>3</v>
      </c>
      <c r="Y417" s="2" t="n">
        <v>3</v>
      </c>
      <c r="Z417" s="2" t="n">
        <v>3</v>
      </c>
    </row>
    <row r="418" customFormat="false" ht="15" hidden="false" customHeight="true" outlineLevel="0" collapsed="false">
      <c r="A418" s="2" t="n">
        <v>58</v>
      </c>
      <c r="B418" s="2" t="s">
        <v>26</v>
      </c>
      <c r="C418" s="2" t="s">
        <v>27</v>
      </c>
      <c r="D418" s="2" t="s">
        <v>35</v>
      </c>
      <c r="E418" s="2" t="n">
        <v>2</v>
      </c>
      <c r="F418" s="2" t="n">
        <v>4</v>
      </c>
      <c r="G418" s="2" t="s">
        <v>29</v>
      </c>
      <c r="H418" s="2" t="n">
        <v>417</v>
      </c>
      <c r="I418" s="2" t="s">
        <v>39</v>
      </c>
      <c r="J418" s="2" t="n">
        <v>1</v>
      </c>
      <c r="K418" s="2" t="s">
        <v>36</v>
      </c>
      <c r="L418" s="2" t="s">
        <v>46</v>
      </c>
      <c r="M418" s="2" t="n">
        <v>26220</v>
      </c>
      <c r="N418" s="2" t="n">
        <v>2</v>
      </c>
      <c r="O418" s="2" t="n">
        <v>23</v>
      </c>
      <c r="P418" s="2" t="n">
        <v>0</v>
      </c>
      <c r="Q418" s="2" t="n">
        <v>24</v>
      </c>
      <c r="R418" s="2" t="n">
        <v>3</v>
      </c>
      <c r="S418" s="2" t="n">
        <v>6</v>
      </c>
      <c r="T418" s="2" t="n">
        <v>0</v>
      </c>
      <c r="U418" s="2" t="n">
        <v>4</v>
      </c>
      <c r="V418" s="2" t="n">
        <v>3</v>
      </c>
      <c r="W418" s="2" t="n">
        <v>2</v>
      </c>
      <c r="X418" s="2" t="n">
        <v>3</v>
      </c>
      <c r="Y418" s="2" t="n">
        <v>3</v>
      </c>
      <c r="Z418" s="2" t="n">
        <v>4</v>
      </c>
    </row>
    <row r="419" customFormat="false" ht="15" hidden="false" customHeight="true" outlineLevel="0" collapsed="false">
      <c r="A419" s="2" t="n">
        <v>31</v>
      </c>
      <c r="B419" s="2" t="s">
        <v>26</v>
      </c>
      <c r="C419" s="2" t="s">
        <v>27</v>
      </c>
      <c r="D419" s="2" t="s">
        <v>28</v>
      </c>
      <c r="E419" s="2" t="n">
        <v>1</v>
      </c>
      <c r="F419" s="2" t="n">
        <v>3</v>
      </c>
      <c r="G419" s="2" t="s">
        <v>29</v>
      </c>
      <c r="H419" s="2" t="n">
        <v>418</v>
      </c>
      <c r="I419" s="2" t="s">
        <v>30</v>
      </c>
      <c r="J419" s="2" t="n">
        <v>1</v>
      </c>
      <c r="K419" s="2" t="s">
        <v>48</v>
      </c>
      <c r="L419" s="2" t="s">
        <v>32</v>
      </c>
      <c r="M419" s="2" t="n">
        <v>121850</v>
      </c>
      <c r="N419" s="2" t="n">
        <v>3</v>
      </c>
      <c r="O419" s="2" t="n">
        <v>14</v>
      </c>
      <c r="P419" s="2" t="n">
        <v>0</v>
      </c>
      <c r="Q419" s="2" t="n">
        <v>13</v>
      </c>
      <c r="R419" s="2" t="n">
        <v>2</v>
      </c>
      <c r="S419" s="2" t="n">
        <v>7</v>
      </c>
      <c r="T419" s="2" t="n">
        <v>5</v>
      </c>
      <c r="U419" s="2" t="n">
        <v>2</v>
      </c>
      <c r="V419" s="2" t="n">
        <v>2</v>
      </c>
      <c r="W419" s="2" t="n">
        <v>3</v>
      </c>
      <c r="X419" s="2" t="n">
        <v>4</v>
      </c>
      <c r="Y419" s="2" t="n">
        <v>3</v>
      </c>
      <c r="Z419" s="2" t="n">
        <v>3</v>
      </c>
    </row>
    <row r="420" customFormat="false" ht="15" hidden="false" customHeight="true" outlineLevel="0" collapsed="false">
      <c r="A420" s="2" t="n">
        <v>35</v>
      </c>
      <c r="B420" s="2" t="s">
        <v>26</v>
      </c>
      <c r="C420" s="2" t="s">
        <v>27</v>
      </c>
      <c r="D420" s="2" t="s">
        <v>35</v>
      </c>
      <c r="E420" s="2" t="n">
        <v>2</v>
      </c>
      <c r="F420" s="2" t="n">
        <v>1</v>
      </c>
      <c r="G420" s="2" t="s">
        <v>29</v>
      </c>
      <c r="H420" s="2" t="n">
        <v>419</v>
      </c>
      <c r="I420" s="2" t="s">
        <v>39</v>
      </c>
      <c r="J420" s="2" t="n">
        <v>3</v>
      </c>
      <c r="K420" s="2" t="s">
        <v>31</v>
      </c>
      <c r="L420" s="2" t="s">
        <v>32</v>
      </c>
      <c r="M420" s="2" t="n">
        <v>106090</v>
      </c>
      <c r="N420" s="2" t="n">
        <v>1</v>
      </c>
      <c r="O420" s="2" t="n">
        <v>22</v>
      </c>
      <c r="P420" s="2" t="n">
        <v>0</v>
      </c>
      <c r="Q420" s="2" t="n">
        <v>10</v>
      </c>
      <c r="R420" s="2" t="n">
        <v>3</v>
      </c>
      <c r="S420" s="2" t="n">
        <v>10</v>
      </c>
      <c r="T420" s="2" t="n">
        <v>0</v>
      </c>
      <c r="U420" s="2" t="n">
        <v>7</v>
      </c>
      <c r="V420" s="2" t="n">
        <v>4</v>
      </c>
      <c r="W420" s="2" t="n">
        <v>4</v>
      </c>
      <c r="X420" s="2" t="n">
        <v>1</v>
      </c>
      <c r="Y420" s="2" t="n">
        <v>3</v>
      </c>
      <c r="Z420" s="2" t="n">
        <v>4</v>
      </c>
    </row>
    <row r="421" customFormat="false" ht="15" hidden="false" customHeight="true" outlineLevel="0" collapsed="false">
      <c r="A421" s="2" t="n">
        <v>49</v>
      </c>
      <c r="B421" s="2" t="s">
        <v>26</v>
      </c>
      <c r="C421" s="2" t="s">
        <v>27</v>
      </c>
      <c r="D421" s="2" t="s">
        <v>35</v>
      </c>
      <c r="E421" s="2" t="n">
        <v>25</v>
      </c>
      <c r="F421" s="2" t="n">
        <v>2</v>
      </c>
      <c r="G421" s="2" t="s">
        <v>29</v>
      </c>
      <c r="H421" s="2" t="n">
        <v>420</v>
      </c>
      <c r="I421" s="2" t="s">
        <v>30</v>
      </c>
      <c r="J421" s="2" t="n">
        <v>2</v>
      </c>
      <c r="K421" s="2" t="s">
        <v>40</v>
      </c>
      <c r="L421" s="2" t="s">
        <v>32</v>
      </c>
      <c r="M421" s="2" t="n">
        <v>43450</v>
      </c>
      <c r="N421" s="2" t="n">
        <v>4</v>
      </c>
      <c r="O421" s="2" t="n">
        <v>15</v>
      </c>
      <c r="P421" s="2" t="n">
        <v>0</v>
      </c>
      <c r="Q421" s="2" t="n">
        <v>29</v>
      </c>
      <c r="R421" s="2" t="n">
        <v>3</v>
      </c>
      <c r="S421" s="2" t="n">
        <v>26</v>
      </c>
      <c r="T421" s="2" t="n">
        <v>1</v>
      </c>
      <c r="U421" s="2" t="n">
        <v>7</v>
      </c>
      <c r="V421" s="2" t="n">
        <v>1</v>
      </c>
      <c r="W421" s="2" t="n">
        <v>2</v>
      </c>
      <c r="X421" s="2" t="n">
        <v>2</v>
      </c>
      <c r="Y421" s="2" t="n">
        <v>2</v>
      </c>
      <c r="Z421" s="2" t="n">
        <v>3</v>
      </c>
    </row>
    <row r="422" customFormat="false" ht="15" hidden="false" customHeight="true" outlineLevel="0" collapsed="false">
      <c r="A422" s="2" t="n">
        <v>48</v>
      </c>
      <c r="B422" s="2" t="s">
        <v>26</v>
      </c>
      <c r="C422" s="2" t="s">
        <v>27</v>
      </c>
      <c r="D422" s="2" t="s">
        <v>35</v>
      </c>
      <c r="E422" s="2" t="n">
        <v>1</v>
      </c>
      <c r="F422" s="2" t="n">
        <v>4</v>
      </c>
      <c r="G422" s="2" t="s">
        <v>43</v>
      </c>
      <c r="H422" s="2" t="n">
        <v>421</v>
      </c>
      <c r="I422" s="2" t="s">
        <v>39</v>
      </c>
      <c r="J422" s="2" t="n">
        <v>1</v>
      </c>
      <c r="K422" s="2" t="s">
        <v>36</v>
      </c>
      <c r="L422" s="2" t="s">
        <v>32</v>
      </c>
      <c r="M422" s="2" t="n">
        <v>21770</v>
      </c>
      <c r="N422" s="2" t="n">
        <v>4</v>
      </c>
      <c r="O422" s="2" t="n">
        <v>18</v>
      </c>
      <c r="P422" s="2" t="n">
        <v>0</v>
      </c>
      <c r="Q422" s="2" t="n">
        <v>13</v>
      </c>
      <c r="R422" s="2" t="n">
        <v>4</v>
      </c>
      <c r="S422" s="2" t="n">
        <v>0</v>
      </c>
      <c r="T422" s="2" t="n">
        <v>0</v>
      </c>
      <c r="U422" s="2" t="n">
        <v>0</v>
      </c>
      <c r="V422" s="2" t="n">
        <v>4</v>
      </c>
      <c r="W422" s="2" t="n">
        <v>3</v>
      </c>
      <c r="X422" s="2" t="n">
        <v>2</v>
      </c>
      <c r="Y422" s="2" t="n">
        <v>3</v>
      </c>
      <c r="Z422" s="2" t="n">
        <v>3</v>
      </c>
    </row>
    <row r="423" customFormat="false" ht="15" hidden="false" customHeight="true" outlineLevel="0" collapsed="false">
      <c r="A423" s="2" t="n">
        <v>31</v>
      </c>
      <c r="B423" s="2" t="s">
        <v>26</v>
      </c>
      <c r="C423" s="2" t="s">
        <v>41</v>
      </c>
      <c r="D423" s="2" t="s">
        <v>35</v>
      </c>
      <c r="E423" s="2" t="n">
        <v>1</v>
      </c>
      <c r="F423" s="2" t="n">
        <v>2</v>
      </c>
      <c r="G423" s="2" t="s">
        <v>51</v>
      </c>
      <c r="H423" s="2" t="n">
        <v>422</v>
      </c>
      <c r="I423" s="2" t="s">
        <v>30</v>
      </c>
      <c r="J423" s="2" t="n">
        <v>2</v>
      </c>
      <c r="K423" s="2" t="s">
        <v>40</v>
      </c>
      <c r="L423" s="2" t="s">
        <v>32</v>
      </c>
      <c r="M423" s="2" t="n">
        <v>27930</v>
      </c>
      <c r="N423" s="2" t="n">
        <v>1</v>
      </c>
      <c r="O423" s="2" t="n">
        <v>16</v>
      </c>
      <c r="P423" s="2" t="n">
        <v>0</v>
      </c>
      <c r="Q423" s="2" t="n">
        <v>9</v>
      </c>
      <c r="R423" s="2" t="n">
        <v>4</v>
      </c>
      <c r="S423" s="2" t="n">
        <v>9</v>
      </c>
      <c r="T423" s="2" t="n">
        <v>0</v>
      </c>
      <c r="U423" s="2" t="n">
        <v>0</v>
      </c>
      <c r="V423" s="2" t="n">
        <v>4</v>
      </c>
      <c r="W423" s="2" t="n">
        <v>3</v>
      </c>
      <c r="X423" s="2" t="n">
        <v>2</v>
      </c>
      <c r="Y423" s="2" t="n">
        <v>3</v>
      </c>
      <c r="Z423" s="2" t="n">
        <v>3</v>
      </c>
    </row>
    <row r="424" customFormat="false" ht="15" hidden="false" customHeight="true" outlineLevel="0" collapsed="false">
      <c r="A424" s="2" t="n">
        <v>36</v>
      </c>
      <c r="B424" s="2" t="s">
        <v>26</v>
      </c>
      <c r="C424" s="2" t="s">
        <v>27</v>
      </c>
      <c r="D424" s="2" t="s">
        <v>42</v>
      </c>
      <c r="E424" s="2" t="n">
        <v>2</v>
      </c>
      <c r="F424" s="2" t="n">
        <v>4</v>
      </c>
      <c r="G424" s="2" t="s">
        <v>51</v>
      </c>
      <c r="H424" s="2" t="n">
        <v>423</v>
      </c>
      <c r="I424" s="2" t="s">
        <v>39</v>
      </c>
      <c r="J424" s="2" t="n">
        <v>1</v>
      </c>
      <c r="K424" s="2" t="s">
        <v>40</v>
      </c>
      <c r="L424" s="2" t="s">
        <v>37</v>
      </c>
      <c r="M424" s="2" t="n">
        <v>79180</v>
      </c>
      <c r="N424" s="2" t="n">
        <v>2</v>
      </c>
      <c r="O424" s="2" t="n">
        <v>12</v>
      </c>
      <c r="P424" s="2" t="n">
        <v>2</v>
      </c>
      <c r="Q424" s="2" t="n">
        <v>8</v>
      </c>
      <c r="R424" s="2" t="n">
        <v>3</v>
      </c>
      <c r="S424" s="2" t="n">
        <v>6</v>
      </c>
      <c r="T424" s="2" t="n">
        <v>0</v>
      </c>
      <c r="U424" s="2" t="n">
        <v>1</v>
      </c>
      <c r="V424" s="2" t="n">
        <v>2</v>
      </c>
      <c r="W424" s="2" t="n">
        <v>4</v>
      </c>
      <c r="X424" s="2" t="n">
        <v>3</v>
      </c>
      <c r="Y424" s="2" t="n">
        <v>2</v>
      </c>
      <c r="Z424" s="2" t="n">
        <v>3</v>
      </c>
    </row>
    <row r="425" customFormat="false" ht="15" hidden="false" customHeight="true" outlineLevel="0" collapsed="false">
      <c r="A425" s="2" t="n">
        <v>38</v>
      </c>
      <c r="B425" s="2" t="s">
        <v>26</v>
      </c>
      <c r="C425" s="2" t="s">
        <v>27</v>
      </c>
      <c r="D425" s="2" t="s">
        <v>28</v>
      </c>
      <c r="E425" s="2" t="n">
        <v>6</v>
      </c>
      <c r="F425" s="2" t="n">
        <v>3</v>
      </c>
      <c r="G425" s="2" t="s">
        <v>38</v>
      </c>
      <c r="H425" s="2" t="n">
        <v>424</v>
      </c>
      <c r="I425" s="2" t="s">
        <v>39</v>
      </c>
      <c r="J425" s="2" t="n">
        <v>2</v>
      </c>
      <c r="K425" s="2" t="s">
        <v>40</v>
      </c>
      <c r="L425" s="2" t="s">
        <v>32</v>
      </c>
      <c r="M425" s="2" t="n">
        <v>87890</v>
      </c>
      <c r="N425" s="2" t="n">
        <v>1</v>
      </c>
      <c r="O425" s="2" t="n">
        <v>11</v>
      </c>
      <c r="P425" s="2" t="n">
        <v>3</v>
      </c>
      <c r="Q425" s="2" t="n">
        <v>15</v>
      </c>
      <c r="R425" s="2" t="n">
        <v>4</v>
      </c>
      <c r="S425" s="2" t="n">
        <v>15</v>
      </c>
      <c r="T425" s="2" t="n">
        <v>5</v>
      </c>
      <c r="U425" s="2" t="n">
        <v>11</v>
      </c>
      <c r="V425" s="2" t="n">
        <v>4</v>
      </c>
      <c r="W425" s="2" t="n">
        <v>1</v>
      </c>
      <c r="X425" s="2" t="n">
        <v>3</v>
      </c>
      <c r="Y425" s="2" t="n">
        <v>3</v>
      </c>
      <c r="Z425" s="2" t="n">
        <v>3</v>
      </c>
    </row>
    <row r="426" customFormat="false" ht="15" hidden="false" customHeight="true" outlineLevel="0" collapsed="false">
      <c r="A426" s="2" t="n">
        <v>32</v>
      </c>
      <c r="B426" s="2" t="s">
        <v>26</v>
      </c>
      <c r="C426" s="2" t="s">
        <v>41</v>
      </c>
      <c r="D426" s="2" t="s">
        <v>28</v>
      </c>
      <c r="E426" s="2" t="n">
        <v>18</v>
      </c>
      <c r="F426" s="2" t="n">
        <v>3</v>
      </c>
      <c r="G426" s="2" t="s">
        <v>50</v>
      </c>
      <c r="H426" s="2" t="n">
        <v>425</v>
      </c>
      <c r="I426" s="2" t="s">
        <v>39</v>
      </c>
      <c r="J426" s="2" t="n">
        <v>1</v>
      </c>
      <c r="K426" s="2" t="s">
        <v>45</v>
      </c>
      <c r="L426" s="2" t="s">
        <v>32</v>
      </c>
      <c r="M426" s="2" t="n">
        <v>23890</v>
      </c>
      <c r="N426" s="2" t="n">
        <v>6</v>
      </c>
      <c r="O426" s="2" t="n">
        <v>12</v>
      </c>
      <c r="P426" s="2" t="n">
        <v>1</v>
      </c>
      <c r="Q426" s="2" t="n">
        <v>5</v>
      </c>
      <c r="R426" s="2" t="n">
        <v>4</v>
      </c>
      <c r="S426" s="2" t="n">
        <v>3</v>
      </c>
      <c r="T426" s="2" t="n">
        <v>0</v>
      </c>
      <c r="U426" s="2" t="n">
        <v>2</v>
      </c>
      <c r="V426" s="2" t="n">
        <v>3</v>
      </c>
      <c r="W426" s="2" t="n">
        <v>2</v>
      </c>
      <c r="X426" s="2" t="n">
        <v>3</v>
      </c>
      <c r="Y426" s="2" t="n">
        <v>2</v>
      </c>
      <c r="Z426" s="2" t="n">
        <v>3</v>
      </c>
    </row>
    <row r="427" customFormat="false" ht="15" hidden="false" customHeight="true" outlineLevel="0" collapsed="false">
      <c r="A427" s="2" t="n">
        <v>25</v>
      </c>
      <c r="B427" s="2" t="s">
        <v>33</v>
      </c>
      <c r="C427" s="2" t="s">
        <v>27</v>
      </c>
      <c r="D427" s="2" t="s">
        <v>35</v>
      </c>
      <c r="E427" s="2" t="n">
        <v>1</v>
      </c>
      <c r="F427" s="2" t="n">
        <v>2</v>
      </c>
      <c r="G427" s="2" t="s">
        <v>29</v>
      </c>
      <c r="H427" s="2" t="n">
        <v>426</v>
      </c>
      <c r="I427" s="2" t="s">
        <v>39</v>
      </c>
      <c r="J427" s="2" t="n">
        <v>1</v>
      </c>
      <c r="K427" s="2" t="s">
        <v>40</v>
      </c>
      <c r="L427" s="2" t="s">
        <v>32</v>
      </c>
      <c r="M427" s="2" t="n">
        <v>32120</v>
      </c>
      <c r="N427" s="2" t="n">
        <v>1</v>
      </c>
      <c r="O427" s="2" t="n">
        <v>15</v>
      </c>
      <c r="P427" s="2" t="n">
        <v>1</v>
      </c>
      <c r="Q427" s="2" t="n">
        <v>1</v>
      </c>
      <c r="R427" s="2" t="n">
        <v>3</v>
      </c>
      <c r="S427" s="2" t="n">
        <v>1</v>
      </c>
      <c r="T427" s="2" t="n">
        <v>0</v>
      </c>
      <c r="U427" s="2" t="n">
        <v>0</v>
      </c>
      <c r="V427" s="2" t="n">
        <v>3</v>
      </c>
      <c r="W427" s="2" t="n">
        <v>2</v>
      </c>
      <c r="X427" s="2" t="n">
        <v>3</v>
      </c>
      <c r="Y427" s="2" t="n">
        <v>2</v>
      </c>
      <c r="Z427" s="2" t="n">
        <v>3</v>
      </c>
    </row>
    <row r="428" customFormat="false" ht="15" hidden="false" customHeight="true" outlineLevel="0" collapsed="false">
      <c r="A428" s="2" t="n">
        <v>40</v>
      </c>
      <c r="B428" s="2" t="s">
        <v>26</v>
      </c>
      <c r="C428" s="2" t="s">
        <v>27</v>
      </c>
      <c r="D428" s="2" t="s">
        <v>35</v>
      </c>
      <c r="E428" s="2" t="n">
        <v>1</v>
      </c>
      <c r="F428" s="2" t="n">
        <v>4</v>
      </c>
      <c r="G428" s="2" t="s">
        <v>43</v>
      </c>
      <c r="H428" s="2" t="n">
        <v>427</v>
      </c>
      <c r="I428" s="2" t="s">
        <v>39</v>
      </c>
      <c r="J428" s="2" t="n">
        <v>2</v>
      </c>
      <c r="K428" s="2" t="s">
        <v>36</v>
      </c>
      <c r="L428" s="2" t="s">
        <v>46</v>
      </c>
      <c r="M428" s="2" t="n">
        <v>192320</v>
      </c>
      <c r="N428" s="2" t="n">
        <v>2</v>
      </c>
      <c r="O428" s="2" t="n">
        <v>14</v>
      </c>
      <c r="P428" s="2" t="n">
        <v>1</v>
      </c>
      <c r="Q428" s="2" t="n">
        <v>11</v>
      </c>
      <c r="R428" s="2" t="n">
        <v>3</v>
      </c>
      <c r="S428" s="2" t="n">
        <v>1</v>
      </c>
      <c r="T428" s="2" t="n">
        <v>0</v>
      </c>
      <c r="U428" s="2" t="n">
        <v>0</v>
      </c>
      <c r="V428" s="2" t="n">
        <v>1</v>
      </c>
      <c r="W428" s="2" t="n">
        <v>2</v>
      </c>
      <c r="X428" s="2" t="n">
        <v>2</v>
      </c>
      <c r="Y428" s="2" t="n">
        <v>3</v>
      </c>
      <c r="Z428" s="2" t="n">
        <v>3</v>
      </c>
    </row>
    <row r="429" customFormat="false" ht="15" hidden="false" customHeight="true" outlineLevel="0" collapsed="false">
      <c r="A429" s="2" t="n">
        <v>26</v>
      </c>
      <c r="B429" s="2" t="s">
        <v>26</v>
      </c>
      <c r="C429" s="2" t="s">
        <v>34</v>
      </c>
      <c r="D429" s="2" t="s">
        <v>28</v>
      </c>
      <c r="E429" s="2" t="n">
        <v>11</v>
      </c>
      <c r="F429" s="2" t="n">
        <v>3</v>
      </c>
      <c r="G429" s="2" t="s">
        <v>50</v>
      </c>
      <c r="H429" s="2" t="n">
        <v>428</v>
      </c>
      <c r="I429" s="2" t="s">
        <v>39</v>
      </c>
      <c r="J429" s="2" t="n">
        <v>2</v>
      </c>
      <c r="K429" s="2" t="s">
        <v>31</v>
      </c>
      <c r="L429" s="2" t="s">
        <v>37</v>
      </c>
      <c r="M429" s="2" t="n">
        <v>22670</v>
      </c>
      <c r="N429" s="2" t="n">
        <v>1</v>
      </c>
      <c r="O429" s="2" t="n">
        <v>19</v>
      </c>
      <c r="P429" s="2" t="n">
        <v>3</v>
      </c>
      <c r="Q429" s="2" t="n">
        <v>7</v>
      </c>
      <c r="R429" s="2" t="n">
        <v>2</v>
      </c>
      <c r="S429" s="2" t="n">
        <v>7</v>
      </c>
      <c r="T429" s="2" t="n">
        <v>0</v>
      </c>
      <c r="U429" s="2" t="n">
        <v>7</v>
      </c>
      <c r="V429" s="2" t="n">
        <v>3</v>
      </c>
      <c r="W429" s="2" t="n">
        <v>1</v>
      </c>
      <c r="X429" s="2" t="n">
        <v>3</v>
      </c>
      <c r="Y429" s="2" t="n">
        <v>2</v>
      </c>
      <c r="Z429" s="2" t="n">
        <v>3</v>
      </c>
    </row>
    <row r="430" customFormat="false" ht="15" hidden="false" customHeight="true" outlineLevel="0" collapsed="false">
      <c r="A430" s="2" t="n">
        <v>41</v>
      </c>
      <c r="B430" s="2" t="s">
        <v>26</v>
      </c>
      <c r="C430" s="2" t="s">
        <v>27</v>
      </c>
      <c r="D430" s="2" t="s">
        <v>35</v>
      </c>
      <c r="E430" s="2" t="n">
        <v>1</v>
      </c>
      <c r="F430" s="2" t="n">
        <v>4</v>
      </c>
      <c r="G430" s="2" t="s">
        <v>43</v>
      </c>
      <c r="H430" s="2" t="n">
        <v>429</v>
      </c>
      <c r="I430" s="2" t="s">
        <v>39</v>
      </c>
      <c r="J430" s="2" t="n">
        <v>1</v>
      </c>
      <c r="K430" s="2" t="s">
        <v>36</v>
      </c>
      <c r="L430" s="2" t="s">
        <v>37</v>
      </c>
      <c r="M430" s="2" t="n">
        <v>195170</v>
      </c>
      <c r="N430" s="2" t="n">
        <v>2</v>
      </c>
      <c r="O430" s="2" t="n">
        <v>13</v>
      </c>
      <c r="P430" s="2" t="n">
        <v>0</v>
      </c>
      <c r="Q430" s="2" t="n">
        <v>20</v>
      </c>
      <c r="R430" s="2" t="n">
        <v>5</v>
      </c>
      <c r="S430" s="2" t="n">
        <v>18</v>
      </c>
      <c r="T430" s="2" t="n">
        <v>2</v>
      </c>
      <c r="U430" s="2" t="n">
        <v>17</v>
      </c>
      <c r="V430" s="2" t="n">
        <v>4</v>
      </c>
      <c r="W430" s="2" t="n">
        <v>1</v>
      </c>
      <c r="X430" s="2" t="n">
        <v>3</v>
      </c>
      <c r="Y430" s="2" t="n">
        <v>3</v>
      </c>
      <c r="Z430" s="2" t="n">
        <v>3</v>
      </c>
    </row>
    <row r="431" customFormat="false" ht="15" hidden="false" customHeight="true" outlineLevel="0" collapsed="false">
      <c r="A431" s="2" t="n">
        <v>36</v>
      </c>
      <c r="B431" s="2" t="s">
        <v>26</v>
      </c>
      <c r="C431" s="2" t="s">
        <v>27</v>
      </c>
      <c r="D431" s="2" t="s">
        <v>35</v>
      </c>
      <c r="E431" s="2" t="n">
        <v>9</v>
      </c>
      <c r="F431" s="2" t="n">
        <v>3</v>
      </c>
      <c r="G431" s="2" t="s">
        <v>29</v>
      </c>
      <c r="H431" s="2" t="n">
        <v>430</v>
      </c>
      <c r="I431" s="2" t="s">
        <v>30</v>
      </c>
      <c r="J431" s="2" t="n">
        <v>2</v>
      </c>
      <c r="K431" s="2" t="s">
        <v>31</v>
      </c>
      <c r="L431" s="2" t="s">
        <v>37</v>
      </c>
      <c r="M431" s="2" t="n">
        <v>24360</v>
      </c>
      <c r="N431" s="2" t="n">
        <v>4</v>
      </c>
      <c r="O431" s="2" t="n">
        <v>13</v>
      </c>
      <c r="P431" s="2" t="n">
        <v>0</v>
      </c>
      <c r="Q431" s="2" t="n">
        <v>16</v>
      </c>
      <c r="R431" s="2" t="n">
        <v>3</v>
      </c>
      <c r="S431" s="2" t="n">
        <v>11</v>
      </c>
      <c r="T431" s="2" t="n">
        <v>3</v>
      </c>
      <c r="U431" s="2" t="n">
        <v>9</v>
      </c>
      <c r="V431" s="2" t="n">
        <v>3</v>
      </c>
      <c r="W431" s="2" t="n">
        <v>3</v>
      </c>
      <c r="X431" s="2" t="n">
        <v>3</v>
      </c>
      <c r="Y431" s="2" t="n">
        <v>1</v>
      </c>
      <c r="Z431" s="2" t="n">
        <v>3</v>
      </c>
    </row>
    <row r="432" customFormat="false" ht="15" hidden="false" customHeight="true" outlineLevel="0" collapsed="false">
      <c r="A432" s="2" t="n">
        <v>19</v>
      </c>
      <c r="B432" s="2" t="s">
        <v>33</v>
      </c>
      <c r="C432" s="2" t="s">
        <v>27</v>
      </c>
      <c r="D432" s="2" t="s">
        <v>35</v>
      </c>
      <c r="E432" s="2" t="n">
        <v>15</v>
      </c>
      <c r="F432" s="2" t="n">
        <v>3</v>
      </c>
      <c r="G432" s="2" t="s">
        <v>29</v>
      </c>
      <c r="H432" s="2" t="n">
        <v>431</v>
      </c>
      <c r="I432" s="2" t="s">
        <v>39</v>
      </c>
      <c r="J432" s="2" t="n">
        <v>2</v>
      </c>
      <c r="K432" s="2" t="s">
        <v>36</v>
      </c>
      <c r="L432" s="2" t="s">
        <v>37</v>
      </c>
      <c r="M432" s="2" t="n">
        <v>160640</v>
      </c>
      <c r="N432" s="2" t="n">
        <v>1</v>
      </c>
      <c r="O432" s="2" t="n">
        <v>15</v>
      </c>
      <c r="P432" s="2" t="n">
        <v>1</v>
      </c>
      <c r="Q432" s="2" t="n">
        <v>1</v>
      </c>
      <c r="R432" s="2" t="n">
        <v>3</v>
      </c>
      <c r="S432" s="2" t="n">
        <v>1</v>
      </c>
      <c r="T432" s="2" t="n">
        <v>0</v>
      </c>
      <c r="U432" s="2" t="n">
        <v>0</v>
      </c>
      <c r="V432" s="2" t="n">
        <v>4</v>
      </c>
      <c r="W432" s="2" t="n">
        <v>2</v>
      </c>
      <c r="X432" s="2" t="n">
        <v>4</v>
      </c>
      <c r="Y432" s="2" t="n">
        <v>3</v>
      </c>
      <c r="Z432" s="2" t="n">
        <v>3</v>
      </c>
    </row>
    <row r="433" customFormat="false" ht="15" hidden="false" customHeight="true" outlineLevel="0" collapsed="false">
      <c r="A433" s="2" t="n">
        <v>20</v>
      </c>
      <c r="B433" s="2" t="s">
        <v>33</v>
      </c>
      <c r="C433" s="2" t="s">
        <v>27</v>
      </c>
      <c r="D433" s="2" t="s">
        <v>35</v>
      </c>
      <c r="E433" s="2" t="n">
        <v>29</v>
      </c>
      <c r="F433" s="2" t="n">
        <v>3</v>
      </c>
      <c r="G433" s="2" t="s">
        <v>29</v>
      </c>
      <c r="H433" s="2" t="n">
        <v>432</v>
      </c>
      <c r="I433" s="2" t="s">
        <v>30</v>
      </c>
      <c r="J433" s="2" t="n">
        <v>3</v>
      </c>
      <c r="K433" s="2" t="s">
        <v>45</v>
      </c>
      <c r="L433" s="2" t="s">
        <v>37</v>
      </c>
      <c r="M433" s="2" t="n">
        <v>27070</v>
      </c>
      <c r="N433" s="2" t="n">
        <v>1</v>
      </c>
      <c r="O433" s="2" t="n">
        <v>11</v>
      </c>
      <c r="P433" s="2" t="n">
        <v>0</v>
      </c>
      <c r="Q433" s="2" t="n">
        <v>1</v>
      </c>
      <c r="R433" s="2" t="n">
        <v>2</v>
      </c>
      <c r="S433" s="2" t="n">
        <v>1</v>
      </c>
      <c r="T433" s="2" t="n">
        <v>0</v>
      </c>
      <c r="U433" s="2" t="n">
        <v>0</v>
      </c>
      <c r="V433" s="2" t="n">
        <v>1</v>
      </c>
      <c r="W433" s="2" t="n">
        <v>1</v>
      </c>
      <c r="X433" s="2" t="n">
        <v>3</v>
      </c>
      <c r="Y433" s="2" t="n">
        <v>3</v>
      </c>
      <c r="Z433" s="2" t="n">
        <v>3</v>
      </c>
    </row>
    <row r="434" customFormat="false" ht="15" hidden="false" customHeight="true" outlineLevel="0" collapsed="false">
      <c r="A434" s="2" t="n">
        <v>31</v>
      </c>
      <c r="B434" s="2" t="s">
        <v>26</v>
      </c>
      <c r="C434" s="2" t="s">
        <v>27</v>
      </c>
      <c r="D434" s="2" t="s">
        <v>35</v>
      </c>
      <c r="E434" s="2" t="n">
        <v>1</v>
      </c>
      <c r="F434" s="2" t="n">
        <v>4</v>
      </c>
      <c r="G434" s="2" t="s">
        <v>29</v>
      </c>
      <c r="H434" s="2" t="n">
        <v>433</v>
      </c>
      <c r="I434" s="2" t="s">
        <v>39</v>
      </c>
      <c r="J434" s="2" t="n">
        <v>4</v>
      </c>
      <c r="K434" s="2" t="s">
        <v>44</v>
      </c>
      <c r="L434" s="2" t="s">
        <v>32</v>
      </c>
      <c r="M434" s="2" t="n">
        <v>190680</v>
      </c>
      <c r="N434" s="2" t="n">
        <v>0</v>
      </c>
      <c r="O434" s="2" t="n">
        <v>12</v>
      </c>
      <c r="P434" s="2" t="n">
        <v>0</v>
      </c>
      <c r="Q434" s="2" t="n">
        <v>10</v>
      </c>
      <c r="R434" s="2" t="n">
        <v>1</v>
      </c>
      <c r="S434" s="2" t="n">
        <v>9</v>
      </c>
      <c r="T434" s="2" t="n">
        <v>8</v>
      </c>
      <c r="U434" s="2" t="n">
        <v>5</v>
      </c>
      <c r="V434" s="2" t="n">
        <v>4</v>
      </c>
      <c r="W434" s="2" t="n">
        <v>4</v>
      </c>
      <c r="X434" s="2" t="n">
        <v>1</v>
      </c>
      <c r="Y434" s="2" t="n">
        <v>3</v>
      </c>
      <c r="Z434" s="2" t="n">
        <v>3</v>
      </c>
    </row>
    <row r="435" customFormat="false" ht="15" hidden="false" customHeight="true" outlineLevel="0" collapsed="false">
      <c r="A435" s="2" t="n">
        <v>40</v>
      </c>
      <c r="B435" s="2" t="s">
        <v>26</v>
      </c>
      <c r="C435" s="2" t="s">
        <v>34</v>
      </c>
      <c r="D435" s="2" t="s">
        <v>28</v>
      </c>
      <c r="E435" s="2" t="n">
        <v>1</v>
      </c>
      <c r="F435" s="2" t="n">
        <v>3</v>
      </c>
      <c r="G435" s="2" t="s">
        <v>50</v>
      </c>
      <c r="H435" s="2" t="n">
        <v>434</v>
      </c>
      <c r="I435" s="2" t="s">
        <v>39</v>
      </c>
      <c r="J435" s="2" t="n">
        <v>1</v>
      </c>
      <c r="K435" s="2" t="s">
        <v>36</v>
      </c>
      <c r="L435" s="2" t="s">
        <v>46</v>
      </c>
      <c r="M435" s="2" t="n">
        <v>39310</v>
      </c>
      <c r="N435" s="2" t="n">
        <v>8</v>
      </c>
      <c r="O435" s="2" t="n">
        <v>19</v>
      </c>
      <c r="P435" s="2" t="n">
        <v>0</v>
      </c>
      <c r="Q435" s="2" t="n">
        <v>3</v>
      </c>
      <c r="R435" s="2" t="n">
        <v>2</v>
      </c>
      <c r="S435" s="2" t="n">
        <v>1</v>
      </c>
      <c r="T435" s="2" t="n">
        <v>0</v>
      </c>
      <c r="U435" s="2" t="n">
        <v>0</v>
      </c>
      <c r="V435" s="2" t="n">
        <v>4</v>
      </c>
      <c r="W435" s="2" t="n">
        <v>2</v>
      </c>
      <c r="X435" s="2" t="n">
        <v>3</v>
      </c>
      <c r="Y435" s="2" t="n">
        <v>2</v>
      </c>
      <c r="Z435" s="2" t="n">
        <v>3</v>
      </c>
    </row>
    <row r="436" customFormat="false" ht="15" hidden="false" customHeight="true" outlineLevel="0" collapsed="false">
      <c r="A436" s="2" t="n">
        <v>32</v>
      </c>
      <c r="B436" s="2" t="s">
        <v>26</v>
      </c>
      <c r="C436" s="2" t="s">
        <v>27</v>
      </c>
      <c r="D436" s="2" t="s">
        <v>35</v>
      </c>
      <c r="E436" s="2" t="n">
        <v>24</v>
      </c>
      <c r="F436" s="2" t="n">
        <v>3</v>
      </c>
      <c r="G436" s="2" t="s">
        <v>29</v>
      </c>
      <c r="H436" s="2" t="n">
        <v>435</v>
      </c>
      <c r="I436" s="2" t="s">
        <v>39</v>
      </c>
      <c r="J436" s="2" t="n">
        <v>4</v>
      </c>
      <c r="K436" s="2" t="s">
        <v>45</v>
      </c>
      <c r="L436" s="2" t="s">
        <v>32</v>
      </c>
      <c r="M436" s="2" t="n">
        <v>37300</v>
      </c>
      <c r="N436" s="2" t="n">
        <v>1</v>
      </c>
      <c r="O436" s="2" t="n">
        <v>25</v>
      </c>
      <c r="P436" s="2" t="n">
        <v>1</v>
      </c>
      <c r="Q436" s="2" t="n">
        <v>8</v>
      </c>
      <c r="R436" s="2" t="n">
        <v>4</v>
      </c>
      <c r="S436" s="2" t="n">
        <v>8</v>
      </c>
      <c r="T436" s="2" t="n">
        <v>6</v>
      </c>
      <c r="U436" s="2" t="n">
        <v>3</v>
      </c>
      <c r="V436" s="2" t="n">
        <v>3</v>
      </c>
      <c r="W436" s="2" t="n">
        <v>1</v>
      </c>
      <c r="X436" s="2" t="n">
        <v>4</v>
      </c>
      <c r="Y436" s="2" t="n">
        <v>3</v>
      </c>
      <c r="Z436" s="2" t="n">
        <v>4</v>
      </c>
    </row>
    <row r="437" customFormat="false" ht="15" hidden="false" customHeight="true" outlineLevel="0" collapsed="false">
      <c r="A437" s="2" t="n">
        <v>36</v>
      </c>
      <c r="B437" s="2" t="s">
        <v>33</v>
      </c>
      <c r="C437" s="2" t="s">
        <v>27</v>
      </c>
      <c r="D437" s="2" t="s">
        <v>35</v>
      </c>
      <c r="E437" s="2" t="n">
        <v>10</v>
      </c>
      <c r="F437" s="2" t="n">
        <v>3</v>
      </c>
      <c r="G437" s="2" t="s">
        <v>43</v>
      </c>
      <c r="H437" s="2" t="n">
        <v>436</v>
      </c>
      <c r="I437" s="2" t="s">
        <v>39</v>
      </c>
      <c r="J437" s="2" t="n">
        <v>3</v>
      </c>
      <c r="K437" s="2" t="s">
        <v>40</v>
      </c>
      <c r="L437" s="2" t="s">
        <v>32</v>
      </c>
      <c r="M437" s="2" t="n">
        <v>22320</v>
      </c>
      <c r="N437" s="2" t="n">
        <v>1</v>
      </c>
      <c r="O437" s="2" t="n">
        <v>12</v>
      </c>
      <c r="P437" s="2" t="n">
        <v>1</v>
      </c>
      <c r="Q437" s="2" t="n">
        <v>16</v>
      </c>
      <c r="R437" s="2" t="n">
        <v>2</v>
      </c>
      <c r="S437" s="2" t="n">
        <v>16</v>
      </c>
      <c r="T437" s="2" t="n">
        <v>3</v>
      </c>
      <c r="U437" s="2" t="n">
        <v>7</v>
      </c>
      <c r="V437" s="2" t="n">
        <v>3</v>
      </c>
      <c r="W437" s="2" t="n">
        <v>4</v>
      </c>
      <c r="X437" s="2" t="n">
        <v>3</v>
      </c>
      <c r="Y437" s="2" t="n">
        <v>3</v>
      </c>
      <c r="Z437" s="2" t="n">
        <v>3</v>
      </c>
    </row>
    <row r="438" customFormat="false" ht="15" hidden="false" customHeight="true" outlineLevel="0" collapsed="false">
      <c r="A438" s="2" t="n">
        <v>33</v>
      </c>
      <c r="B438" s="2" t="s">
        <v>26</v>
      </c>
      <c r="C438" s="2" t="s">
        <v>27</v>
      </c>
      <c r="D438" s="2" t="s">
        <v>35</v>
      </c>
      <c r="E438" s="2" t="n">
        <v>1</v>
      </c>
      <c r="F438" s="2" t="n">
        <v>4</v>
      </c>
      <c r="G438" s="2" t="s">
        <v>43</v>
      </c>
      <c r="H438" s="2" t="n">
        <v>437</v>
      </c>
      <c r="I438" s="2" t="s">
        <v>30</v>
      </c>
      <c r="J438" s="2" t="n">
        <v>4</v>
      </c>
      <c r="K438" s="2" t="s">
        <v>47</v>
      </c>
      <c r="L438" s="2" t="s">
        <v>37</v>
      </c>
      <c r="M438" s="2" t="n">
        <v>44650</v>
      </c>
      <c r="N438" s="2" t="n">
        <v>0</v>
      </c>
      <c r="O438" s="2" t="n">
        <v>13</v>
      </c>
      <c r="P438" s="2" t="n">
        <v>0</v>
      </c>
      <c r="Q438" s="2" t="n">
        <v>6</v>
      </c>
      <c r="R438" s="2" t="n">
        <v>3</v>
      </c>
      <c r="S438" s="2" t="n">
        <v>5</v>
      </c>
      <c r="T438" s="2" t="n">
        <v>1</v>
      </c>
      <c r="U438" s="2" t="n">
        <v>4</v>
      </c>
      <c r="V438" s="2" t="n">
        <v>2</v>
      </c>
      <c r="W438" s="2" t="n">
        <v>4</v>
      </c>
      <c r="X438" s="2" t="n">
        <v>3</v>
      </c>
      <c r="Y438" s="2" t="n">
        <v>3</v>
      </c>
      <c r="Z438" s="2" t="n">
        <v>3</v>
      </c>
    </row>
    <row r="439" customFormat="false" ht="15" hidden="false" customHeight="true" outlineLevel="0" collapsed="false">
      <c r="A439" s="2" t="n">
        <v>37</v>
      </c>
      <c r="B439" s="2" t="s">
        <v>33</v>
      </c>
      <c r="C439" s="2" t="s">
        <v>27</v>
      </c>
      <c r="D439" s="2" t="s">
        <v>28</v>
      </c>
      <c r="E439" s="2" t="n">
        <v>10</v>
      </c>
      <c r="F439" s="2" t="n">
        <v>4</v>
      </c>
      <c r="G439" s="2" t="s">
        <v>50</v>
      </c>
      <c r="H439" s="2" t="n">
        <v>438</v>
      </c>
      <c r="I439" s="2" t="s">
        <v>30</v>
      </c>
      <c r="J439" s="2" t="n">
        <v>3</v>
      </c>
      <c r="K439" s="2" t="s">
        <v>42</v>
      </c>
      <c r="L439" s="2" t="s">
        <v>32</v>
      </c>
      <c r="M439" s="2" t="n">
        <v>30720</v>
      </c>
      <c r="N439" s="2" t="n">
        <v>5</v>
      </c>
      <c r="O439" s="2" t="n">
        <v>14</v>
      </c>
      <c r="P439" s="2" t="n">
        <v>0</v>
      </c>
      <c r="Q439" s="2" t="n">
        <v>17</v>
      </c>
      <c r="R439" s="2" t="n">
        <v>3</v>
      </c>
      <c r="S439" s="2" t="n">
        <v>14</v>
      </c>
      <c r="T439" s="2" t="n">
        <v>11</v>
      </c>
      <c r="U439" s="2" t="n">
        <v>7</v>
      </c>
      <c r="V439" s="2" t="n">
        <v>1</v>
      </c>
      <c r="W439" s="2" t="n">
        <v>3</v>
      </c>
      <c r="X439" s="2" t="n">
        <v>1</v>
      </c>
      <c r="Y439" s="2" t="n">
        <v>2</v>
      </c>
      <c r="Z439" s="2" t="n">
        <v>3</v>
      </c>
    </row>
    <row r="440" customFormat="false" ht="15" hidden="false" customHeight="true" outlineLevel="0" collapsed="false">
      <c r="A440" s="2" t="n">
        <v>45</v>
      </c>
      <c r="B440" s="2" t="s">
        <v>26</v>
      </c>
      <c r="C440" s="2" t="s">
        <v>41</v>
      </c>
      <c r="D440" s="2" t="s">
        <v>35</v>
      </c>
      <c r="E440" s="2" t="n">
        <v>8</v>
      </c>
      <c r="F440" s="2" t="n">
        <v>1</v>
      </c>
      <c r="G440" s="2" t="s">
        <v>29</v>
      </c>
      <c r="H440" s="2" t="n">
        <v>439</v>
      </c>
      <c r="I440" s="2" t="s">
        <v>39</v>
      </c>
      <c r="J440" s="2" t="n">
        <v>2</v>
      </c>
      <c r="K440" s="2" t="s">
        <v>40</v>
      </c>
      <c r="L440" s="2" t="s">
        <v>32</v>
      </c>
      <c r="M440" s="2" t="n">
        <v>33190</v>
      </c>
      <c r="N440" s="2" t="n">
        <v>1</v>
      </c>
      <c r="O440" s="2" t="n">
        <v>12</v>
      </c>
      <c r="P440" s="2" t="n">
        <v>1</v>
      </c>
      <c r="Q440" s="2" t="n">
        <v>9</v>
      </c>
      <c r="R440" s="2" t="n">
        <v>3</v>
      </c>
      <c r="S440" s="2" t="n">
        <v>9</v>
      </c>
      <c r="T440" s="2" t="n">
        <v>0</v>
      </c>
      <c r="U440" s="2" t="n">
        <v>8</v>
      </c>
      <c r="V440" s="2" t="n">
        <v>3</v>
      </c>
      <c r="W440" s="2" t="n">
        <v>2</v>
      </c>
      <c r="X440" s="2" t="n">
        <v>2</v>
      </c>
      <c r="Y440" s="2" t="n">
        <v>3</v>
      </c>
      <c r="Z440" s="2" t="n">
        <v>3</v>
      </c>
    </row>
    <row r="441" customFormat="false" ht="15" hidden="false" customHeight="true" outlineLevel="0" collapsed="false">
      <c r="A441" s="2" t="n">
        <v>29</v>
      </c>
      <c r="B441" s="2" t="s">
        <v>26</v>
      </c>
      <c r="C441" s="2" t="s">
        <v>34</v>
      </c>
      <c r="D441" s="2" t="s">
        <v>35</v>
      </c>
      <c r="E441" s="2" t="n">
        <v>29</v>
      </c>
      <c r="F441" s="2" t="n">
        <v>1</v>
      </c>
      <c r="G441" s="2" t="s">
        <v>29</v>
      </c>
      <c r="H441" s="2" t="n">
        <v>440</v>
      </c>
      <c r="I441" s="2" t="s">
        <v>39</v>
      </c>
      <c r="J441" s="2" t="n">
        <v>1</v>
      </c>
      <c r="K441" s="2" t="s">
        <v>48</v>
      </c>
      <c r="L441" s="2" t="s">
        <v>32</v>
      </c>
      <c r="M441" s="2" t="n">
        <v>192020</v>
      </c>
      <c r="N441" s="2" t="n">
        <v>1</v>
      </c>
      <c r="O441" s="2" t="n">
        <v>12</v>
      </c>
      <c r="P441" s="2" t="n">
        <v>0</v>
      </c>
      <c r="Q441" s="2" t="n">
        <v>3</v>
      </c>
      <c r="R441" s="2" t="n">
        <v>5</v>
      </c>
      <c r="S441" s="2" t="n">
        <v>3</v>
      </c>
      <c r="T441" s="2" t="n">
        <v>0</v>
      </c>
      <c r="U441" s="2" t="n">
        <v>2</v>
      </c>
      <c r="V441" s="2" t="n">
        <v>3</v>
      </c>
      <c r="W441" s="2" t="n">
        <v>4</v>
      </c>
      <c r="X441" s="2" t="n">
        <v>3</v>
      </c>
      <c r="Y441" s="2" t="n">
        <v>3</v>
      </c>
      <c r="Z441" s="2" t="n">
        <v>3</v>
      </c>
    </row>
    <row r="442" customFormat="false" ht="15" hidden="false" customHeight="true" outlineLevel="0" collapsed="false">
      <c r="A442" s="2" t="n">
        <v>35</v>
      </c>
      <c r="B442" s="2" t="s">
        <v>26</v>
      </c>
      <c r="C442" s="2" t="s">
        <v>27</v>
      </c>
      <c r="D442" s="2" t="s">
        <v>42</v>
      </c>
      <c r="E442" s="2" t="n">
        <v>1</v>
      </c>
      <c r="F442" s="2" t="n">
        <v>3</v>
      </c>
      <c r="G442" s="2" t="s">
        <v>42</v>
      </c>
      <c r="H442" s="2" t="n">
        <v>441</v>
      </c>
      <c r="I442" s="2" t="s">
        <v>39</v>
      </c>
      <c r="J442" s="2" t="n">
        <v>3</v>
      </c>
      <c r="K442" s="2" t="s">
        <v>45</v>
      </c>
      <c r="L442" s="2" t="s">
        <v>32</v>
      </c>
      <c r="M442" s="2" t="n">
        <v>136750</v>
      </c>
      <c r="N442" s="2" t="n">
        <v>1</v>
      </c>
      <c r="O442" s="2" t="n">
        <v>15</v>
      </c>
      <c r="P442" s="2" t="n">
        <v>3</v>
      </c>
      <c r="Q442" s="2" t="n">
        <v>5</v>
      </c>
      <c r="R442" s="2" t="n">
        <v>5</v>
      </c>
      <c r="S442" s="2" t="n">
        <v>5</v>
      </c>
      <c r="T442" s="2" t="n">
        <v>1</v>
      </c>
      <c r="U442" s="2" t="n">
        <v>0</v>
      </c>
      <c r="V442" s="2" t="n">
        <v>3</v>
      </c>
      <c r="W442" s="2" t="n">
        <v>3</v>
      </c>
      <c r="X442" s="2" t="n">
        <v>3</v>
      </c>
      <c r="Y442" s="2" t="n">
        <v>2</v>
      </c>
      <c r="Z442" s="2" t="n">
        <v>3</v>
      </c>
    </row>
    <row r="443" customFormat="false" ht="15" hidden="false" customHeight="true" outlineLevel="0" collapsed="false">
      <c r="A443" s="2" t="n">
        <v>52</v>
      </c>
      <c r="B443" s="2" t="s">
        <v>26</v>
      </c>
      <c r="C443" s="2" t="s">
        <v>27</v>
      </c>
      <c r="D443" s="2" t="s">
        <v>35</v>
      </c>
      <c r="E443" s="2" t="n">
        <v>5</v>
      </c>
      <c r="F443" s="2" t="n">
        <v>4</v>
      </c>
      <c r="G443" s="2" t="s">
        <v>38</v>
      </c>
      <c r="H443" s="2" t="n">
        <v>442</v>
      </c>
      <c r="I443" s="2" t="s">
        <v>39</v>
      </c>
      <c r="J443" s="2" t="n">
        <v>1</v>
      </c>
      <c r="K443" s="2" t="s">
        <v>45</v>
      </c>
      <c r="L443" s="2" t="s">
        <v>32</v>
      </c>
      <c r="M443" s="2" t="n">
        <v>29110</v>
      </c>
      <c r="N443" s="2" t="n">
        <v>2</v>
      </c>
      <c r="O443" s="2" t="n">
        <v>17</v>
      </c>
      <c r="P443" s="2" t="n">
        <v>2</v>
      </c>
      <c r="Q443" s="2" t="n">
        <v>26</v>
      </c>
      <c r="R443" s="2" t="n">
        <v>3</v>
      </c>
      <c r="S443" s="2" t="n">
        <v>9</v>
      </c>
      <c r="T443" s="2" t="n">
        <v>7</v>
      </c>
      <c r="U443" s="2" t="n">
        <v>8</v>
      </c>
      <c r="V443" s="2" t="n">
        <v>4</v>
      </c>
      <c r="W443" s="2" t="n">
        <v>4</v>
      </c>
      <c r="X443" s="2" t="n">
        <v>2</v>
      </c>
      <c r="Y443" s="2" t="n">
        <v>3</v>
      </c>
      <c r="Z443" s="2" t="n">
        <v>3</v>
      </c>
    </row>
    <row r="444" customFormat="false" ht="15" hidden="false" customHeight="true" outlineLevel="0" collapsed="false">
      <c r="A444" s="2" t="n">
        <v>58</v>
      </c>
      <c r="B444" s="2" t="s">
        <v>33</v>
      </c>
      <c r="C444" s="2" t="s">
        <v>27</v>
      </c>
      <c r="D444" s="2" t="s">
        <v>28</v>
      </c>
      <c r="E444" s="2" t="n">
        <v>9</v>
      </c>
      <c r="F444" s="2" t="n">
        <v>2</v>
      </c>
      <c r="G444" s="2" t="s">
        <v>43</v>
      </c>
      <c r="H444" s="2" t="n">
        <v>443</v>
      </c>
      <c r="I444" s="2" t="s">
        <v>30</v>
      </c>
      <c r="J444" s="2" t="n">
        <v>4</v>
      </c>
      <c r="K444" s="2" t="s">
        <v>40</v>
      </c>
      <c r="L444" s="2" t="s">
        <v>37</v>
      </c>
      <c r="M444" s="2" t="n">
        <v>59570</v>
      </c>
      <c r="N444" s="2" t="n">
        <v>4</v>
      </c>
      <c r="O444" s="2" t="n">
        <v>14</v>
      </c>
      <c r="P444" s="2" t="n">
        <v>1</v>
      </c>
      <c r="Q444" s="2" t="n">
        <v>7</v>
      </c>
      <c r="R444" s="2" t="n">
        <v>2</v>
      </c>
      <c r="S444" s="2" t="n">
        <v>1</v>
      </c>
      <c r="T444" s="2" t="n">
        <v>0</v>
      </c>
      <c r="U444" s="2" t="n">
        <v>0</v>
      </c>
      <c r="V444" s="2" t="n">
        <v>4</v>
      </c>
      <c r="W444" s="2" t="n">
        <v>3</v>
      </c>
      <c r="X444" s="2" t="n">
        <v>3</v>
      </c>
      <c r="Y444" s="2" t="n">
        <v>1</v>
      </c>
      <c r="Z444" s="2" t="n">
        <v>3</v>
      </c>
    </row>
    <row r="445" customFormat="false" ht="15" hidden="false" customHeight="true" outlineLevel="0" collapsed="false">
      <c r="A445" s="2" t="n">
        <v>53</v>
      </c>
      <c r="B445" s="2" t="s">
        <v>26</v>
      </c>
      <c r="C445" s="2" t="s">
        <v>27</v>
      </c>
      <c r="D445" s="2" t="s">
        <v>35</v>
      </c>
      <c r="E445" s="2" t="n">
        <v>9</v>
      </c>
      <c r="F445" s="2" t="n">
        <v>3</v>
      </c>
      <c r="G445" s="2" t="s">
        <v>51</v>
      </c>
      <c r="H445" s="2" t="n">
        <v>444</v>
      </c>
      <c r="I445" s="2" t="s">
        <v>39</v>
      </c>
      <c r="J445" s="2" t="n">
        <v>1</v>
      </c>
      <c r="K445" s="2" t="s">
        <v>49</v>
      </c>
      <c r="L445" s="2" t="s">
        <v>46</v>
      </c>
      <c r="M445" s="2" t="n">
        <v>39200</v>
      </c>
      <c r="N445" s="2" t="n">
        <v>6</v>
      </c>
      <c r="O445" s="2" t="n">
        <v>16</v>
      </c>
      <c r="P445" s="2" t="n">
        <v>1</v>
      </c>
      <c r="Q445" s="2" t="n">
        <v>22</v>
      </c>
      <c r="R445" s="2" t="n">
        <v>3</v>
      </c>
      <c r="S445" s="2" t="n">
        <v>17</v>
      </c>
      <c r="T445" s="2" t="n">
        <v>15</v>
      </c>
      <c r="U445" s="2" t="n">
        <v>2</v>
      </c>
      <c r="V445" s="2" t="n">
        <v>3</v>
      </c>
      <c r="W445" s="2" t="n">
        <v>3</v>
      </c>
      <c r="X445" s="2" t="n">
        <v>4</v>
      </c>
      <c r="Y445" s="2" t="n">
        <v>3</v>
      </c>
      <c r="Z445" s="2" t="n">
        <v>3</v>
      </c>
    </row>
    <row r="446" customFormat="false" ht="15" hidden="false" customHeight="true" outlineLevel="0" collapsed="false">
      <c r="A446" s="2" t="n">
        <v>30</v>
      </c>
      <c r="B446" s="2" t="s">
        <v>26</v>
      </c>
      <c r="C446" s="2" t="s">
        <v>27</v>
      </c>
      <c r="D446" s="2" t="s">
        <v>28</v>
      </c>
      <c r="E446" s="2" t="n">
        <v>3</v>
      </c>
      <c r="F446" s="2" t="n">
        <v>4</v>
      </c>
      <c r="G446" s="2" t="s">
        <v>50</v>
      </c>
      <c r="H446" s="2" t="n">
        <v>445</v>
      </c>
      <c r="I446" s="2" t="s">
        <v>39</v>
      </c>
      <c r="J446" s="2" t="n">
        <v>1</v>
      </c>
      <c r="K446" s="2" t="s">
        <v>40</v>
      </c>
      <c r="L446" s="2" t="s">
        <v>46</v>
      </c>
      <c r="M446" s="2" t="n">
        <v>64340</v>
      </c>
      <c r="N446" s="2" t="n">
        <v>5</v>
      </c>
      <c r="O446" s="2" t="n">
        <v>14</v>
      </c>
      <c r="P446" s="2" t="n">
        <v>1</v>
      </c>
      <c r="Q446" s="2" t="n">
        <v>10</v>
      </c>
      <c r="R446" s="2" t="n">
        <v>3</v>
      </c>
      <c r="S446" s="2" t="n">
        <v>8</v>
      </c>
      <c r="T446" s="2" t="n">
        <v>7</v>
      </c>
      <c r="U446" s="2" t="n">
        <v>7</v>
      </c>
      <c r="V446" s="2" t="n">
        <v>3</v>
      </c>
      <c r="W446" s="2" t="n">
        <v>3</v>
      </c>
      <c r="X446" s="2" t="n">
        <v>4</v>
      </c>
      <c r="Y446" s="2" t="n">
        <v>2</v>
      </c>
      <c r="Z446" s="2" t="n">
        <v>3</v>
      </c>
    </row>
    <row r="447" customFormat="false" ht="15" hidden="false" customHeight="true" outlineLevel="0" collapsed="false">
      <c r="A447" s="2" t="n">
        <v>38</v>
      </c>
      <c r="B447" s="2" t="s">
        <v>26</v>
      </c>
      <c r="C447" s="2" t="s">
        <v>41</v>
      </c>
      <c r="D447" s="2" t="s">
        <v>28</v>
      </c>
      <c r="E447" s="2" t="n">
        <v>4</v>
      </c>
      <c r="F447" s="2" t="n">
        <v>3</v>
      </c>
      <c r="G447" s="2" t="s">
        <v>29</v>
      </c>
      <c r="H447" s="2" t="n">
        <v>446</v>
      </c>
      <c r="I447" s="2" t="s">
        <v>39</v>
      </c>
      <c r="J447" s="2" t="n">
        <v>2</v>
      </c>
      <c r="K447" s="2" t="s">
        <v>44</v>
      </c>
      <c r="L447" s="2" t="s">
        <v>37</v>
      </c>
      <c r="M447" s="2" t="n">
        <v>100480</v>
      </c>
      <c r="N447" s="2" t="n">
        <v>1</v>
      </c>
      <c r="O447" s="2" t="n">
        <v>23</v>
      </c>
      <c r="P447" s="2" t="n">
        <v>1</v>
      </c>
      <c r="Q447" s="2" t="n">
        <v>6</v>
      </c>
      <c r="R447" s="2" t="n">
        <v>2</v>
      </c>
      <c r="S447" s="2" t="n">
        <v>5</v>
      </c>
      <c r="T447" s="2" t="n">
        <v>1</v>
      </c>
      <c r="U447" s="2" t="n">
        <v>3</v>
      </c>
      <c r="V447" s="2" t="n">
        <v>3</v>
      </c>
      <c r="W447" s="2" t="n">
        <v>4</v>
      </c>
      <c r="X447" s="2" t="n">
        <v>3</v>
      </c>
      <c r="Y447" s="2" t="n">
        <v>3</v>
      </c>
      <c r="Z447" s="2" t="n">
        <v>4</v>
      </c>
    </row>
    <row r="448" customFormat="false" ht="15" hidden="false" customHeight="true" outlineLevel="0" collapsed="false">
      <c r="A448" s="2" t="n">
        <v>35</v>
      </c>
      <c r="B448" s="2" t="s">
        <v>26</v>
      </c>
      <c r="C448" s="2" t="s">
        <v>27</v>
      </c>
      <c r="D448" s="2" t="s">
        <v>28</v>
      </c>
      <c r="E448" s="2" t="n">
        <v>1</v>
      </c>
      <c r="F448" s="2" t="n">
        <v>2</v>
      </c>
      <c r="G448" s="2" t="s">
        <v>29</v>
      </c>
      <c r="H448" s="2" t="n">
        <v>447</v>
      </c>
      <c r="I448" s="2" t="s">
        <v>30</v>
      </c>
      <c r="J448" s="2" t="n">
        <v>2</v>
      </c>
      <c r="K448" s="2" t="s">
        <v>31</v>
      </c>
      <c r="L448" s="2" t="s">
        <v>46</v>
      </c>
      <c r="M448" s="2" t="n">
        <v>109380</v>
      </c>
      <c r="N448" s="2" t="n">
        <v>6</v>
      </c>
      <c r="O448" s="2" t="n">
        <v>14</v>
      </c>
      <c r="P448" s="2" t="n">
        <v>2</v>
      </c>
      <c r="Q448" s="2" t="n">
        <v>12</v>
      </c>
      <c r="R448" s="2" t="n">
        <v>2</v>
      </c>
      <c r="S448" s="2" t="n">
        <v>10</v>
      </c>
      <c r="T448" s="2" t="n">
        <v>0</v>
      </c>
      <c r="U448" s="2" t="n">
        <v>8</v>
      </c>
      <c r="V448" s="2" t="n">
        <v>4</v>
      </c>
      <c r="W448" s="2" t="n">
        <v>4</v>
      </c>
      <c r="X448" s="2" t="n">
        <v>3</v>
      </c>
      <c r="Y448" s="2" t="n">
        <v>1</v>
      </c>
      <c r="Z448" s="2" t="n">
        <v>3</v>
      </c>
    </row>
    <row r="449" customFormat="false" ht="15" hidden="false" customHeight="true" outlineLevel="0" collapsed="false">
      <c r="A449" s="2" t="n">
        <v>39</v>
      </c>
      <c r="B449" s="2" t="s">
        <v>26</v>
      </c>
      <c r="C449" s="2" t="s">
        <v>27</v>
      </c>
      <c r="D449" s="2" t="s">
        <v>28</v>
      </c>
      <c r="E449" s="2" t="n">
        <v>1</v>
      </c>
      <c r="F449" s="2" t="n">
        <v>1</v>
      </c>
      <c r="G449" s="2" t="s">
        <v>50</v>
      </c>
      <c r="H449" s="2" t="n">
        <v>448</v>
      </c>
      <c r="I449" s="2" t="s">
        <v>39</v>
      </c>
      <c r="J449" s="2" t="n">
        <v>2</v>
      </c>
      <c r="K449" s="2" t="s">
        <v>36</v>
      </c>
      <c r="L449" s="2" t="s">
        <v>37</v>
      </c>
      <c r="M449" s="2" t="n">
        <v>23400</v>
      </c>
      <c r="N449" s="2" t="n">
        <v>0</v>
      </c>
      <c r="O449" s="2" t="n">
        <v>11</v>
      </c>
      <c r="P449" s="2" t="n">
        <v>1</v>
      </c>
      <c r="Q449" s="2" t="n">
        <v>9</v>
      </c>
      <c r="R449" s="2" t="n">
        <v>2</v>
      </c>
      <c r="S449" s="2" t="n">
        <v>8</v>
      </c>
      <c r="T449" s="2" t="n">
        <v>0</v>
      </c>
      <c r="U449" s="2" t="n">
        <v>7</v>
      </c>
      <c r="V449" s="2" t="n">
        <v>1</v>
      </c>
      <c r="W449" s="2" t="n">
        <v>3</v>
      </c>
      <c r="X449" s="2" t="n">
        <v>3</v>
      </c>
      <c r="Y449" s="2" t="n">
        <v>2</v>
      </c>
      <c r="Z449" s="2" t="n">
        <v>3</v>
      </c>
    </row>
    <row r="450" customFormat="false" ht="15" hidden="false" customHeight="true" outlineLevel="0" collapsed="false">
      <c r="A450" s="2" t="n">
        <v>40</v>
      </c>
      <c r="B450" s="2" t="s">
        <v>33</v>
      </c>
      <c r="C450" s="2" t="s">
        <v>41</v>
      </c>
      <c r="D450" s="2" t="s">
        <v>35</v>
      </c>
      <c r="E450" s="2" t="n">
        <v>2</v>
      </c>
      <c r="F450" s="2" t="n">
        <v>4</v>
      </c>
      <c r="G450" s="2" t="s">
        <v>29</v>
      </c>
      <c r="H450" s="2" t="n">
        <v>449</v>
      </c>
      <c r="I450" s="2" t="s">
        <v>39</v>
      </c>
      <c r="J450" s="2" t="n">
        <v>1</v>
      </c>
      <c r="K450" s="2" t="s">
        <v>42</v>
      </c>
      <c r="L450" s="2" t="s">
        <v>37</v>
      </c>
      <c r="M450" s="2" t="n">
        <v>65450</v>
      </c>
      <c r="N450" s="2" t="n">
        <v>4</v>
      </c>
      <c r="O450" s="2" t="n">
        <v>15</v>
      </c>
      <c r="P450" s="2" t="n">
        <v>0</v>
      </c>
      <c r="Q450" s="2" t="n">
        <v>22</v>
      </c>
      <c r="R450" s="2" t="n">
        <v>2</v>
      </c>
      <c r="S450" s="2" t="n">
        <v>1</v>
      </c>
      <c r="T450" s="2" t="n">
        <v>0</v>
      </c>
      <c r="U450" s="2" t="n">
        <v>0</v>
      </c>
      <c r="V450" s="2" t="n">
        <v>2</v>
      </c>
      <c r="W450" s="2" t="n">
        <v>2</v>
      </c>
      <c r="X450" s="2" t="n">
        <v>2</v>
      </c>
      <c r="Y450" s="2" t="n">
        <v>3</v>
      </c>
      <c r="Z450" s="2" t="n">
        <v>3</v>
      </c>
    </row>
    <row r="451" customFormat="false" ht="15" hidden="false" customHeight="true" outlineLevel="0" collapsed="false">
      <c r="A451" s="2" t="n">
        <v>47</v>
      </c>
      <c r="B451" s="2" t="s">
        <v>26</v>
      </c>
      <c r="C451" s="2" t="s">
        <v>34</v>
      </c>
      <c r="D451" s="2" t="s">
        <v>35</v>
      </c>
      <c r="E451" s="2" t="n">
        <v>7</v>
      </c>
      <c r="F451" s="2" t="n">
        <v>4</v>
      </c>
      <c r="G451" s="2" t="s">
        <v>29</v>
      </c>
      <c r="H451" s="2" t="n">
        <v>450</v>
      </c>
      <c r="I451" s="2" t="s">
        <v>39</v>
      </c>
      <c r="J451" s="2" t="n">
        <v>3</v>
      </c>
      <c r="K451" s="2" t="s">
        <v>40</v>
      </c>
      <c r="L451" s="2" t="s">
        <v>46</v>
      </c>
      <c r="M451" s="2" t="n">
        <v>69310</v>
      </c>
      <c r="N451" s="2" t="n">
        <v>1</v>
      </c>
      <c r="O451" s="2" t="n">
        <v>11</v>
      </c>
      <c r="P451" s="2" t="n">
        <v>0</v>
      </c>
      <c r="Q451" s="2" t="n">
        <v>20</v>
      </c>
      <c r="R451" s="2" t="n">
        <v>3</v>
      </c>
      <c r="S451" s="2" t="n">
        <v>19</v>
      </c>
      <c r="T451" s="2" t="n">
        <v>2</v>
      </c>
      <c r="U451" s="2" t="n">
        <v>7</v>
      </c>
      <c r="V451" s="2" t="n">
        <v>3</v>
      </c>
      <c r="W451" s="2" t="n">
        <v>3</v>
      </c>
      <c r="X451" s="2" t="n">
        <v>4</v>
      </c>
      <c r="Y451" s="2" t="n">
        <v>3</v>
      </c>
      <c r="Z451" s="2" t="n">
        <v>3</v>
      </c>
    </row>
    <row r="452" customFormat="false" ht="15" hidden="false" customHeight="true" outlineLevel="0" collapsed="false">
      <c r="A452" s="2" t="n">
        <v>36</v>
      </c>
      <c r="B452" s="2" t="s">
        <v>26</v>
      </c>
      <c r="C452" s="2" t="s">
        <v>41</v>
      </c>
      <c r="D452" s="2" t="s">
        <v>28</v>
      </c>
      <c r="E452" s="2" t="n">
        <v>28</v>
      </c>
      <c r="F452" s="2" t="n">
        <v>1</v>
      </c>
      <c r="G452" s="2" t="s">
        <v>29</v>
      </c>
      <c r="H452" s="2" t="n">
        <v>451</v>
      </c>
      <c r="I452" s="2" t="s">
        <v>39</v>
      </c>
      <c r="J452" s="2" t="n">
        <v>2</v>
      </c>
      <c r="K452" s="2" t="s">
        <v>36</v>
      </c>
      <c r="L452" s="2" t="s">
        <v>46</v>
      </c>
      <c r="M452" s="2" t="n">
        <v>48980</v>
      </c>
      <c r="N452" s="2" t="n">
        <v>4</v>
      </c>
      <c r="O452" s="2" t="n">
        <v>13</v>
      </c>
      <c r="P452" s="2" t="n">
        <v>1</v>
      </c>
      <c r="Q452" s="2" t="n">
        <v>12</v>
      </c>
      <c r="R452" s="2" t="n">
        <v>3</v>
      </c>
      <c r="S452" s="2" t="n">
        <v>7</v>
      </c>
      <c r="T452" s="2" t="n">
        <v>0</v>
      </c>
      <c r="U452" s="2" t="n">
        <v>7</v>
      </c>
      <c r="V452" s="2" t="n">
        <v>1</v>
      </c>
      <c r="W452" s="2" t="n">
        <v>4</v>
      </c>
      <c r="X452" s="2" t="n">
        <v>3</v>
      </c>
      <c r="Y452" s="2" t="n">
        <v>3</v>
      </c>
      <c r="Z452" s="2" t="n">
        <v>3</v>
      </c>
    </row>
    <row r="453" customFormat="false" ht="15" hidden="false" customHeight="true" outlineLevel="0" collapsed="false">
      <c r="A453" s="2" t="n">
        <v>31</v>
      </c>
      <c r="B453" s="2" t="s">
        <v>33</v>
      </c>
      <c r="C453" s="2" t="s">
        <v>41</v>
      </c>
      <c r="D453" s="2" t="s">
        <v>35</v>
      </c>
      <c r="E453" s="2" t="n">
        <v>28</v>
      </c>
      <c r="F453" s="2" t="n">
        <v>4</v>
      </c>
      <c r="G453" s="2" t="s">
        <v>43</v>
      </c>
      <c r="H453" s="2" t="n">
        <v>452</v>
      </c>
      <c r="I453" s="2" t="s">
        <v>39</v>
      </c>
      <c r="J453" s="2" t="n">
        <v>2</v>
      </c>
      <c r="K453" s="2" t="s">
        <v>36</v>
      </c>
      <c r="L453" s="2" t="s">
        <v>37</v>
      </c>
      <c r="M453" s="2" t="n">
        <v>25930</v>
      </c>
      <c r="N453" s="2" t="n">
        <v>0</v>
      </c>
      <c r="O453" s="2" t="n">
        <v>21</v>
      </c>
      <c r="P453" s="2" t="n">
        <v>0</v>
      </c>
      <c r="Q453" s="2" t="n">
        <v>4</v>
      </c>
      <c r="R453" s="2" t="n">
        <v>2</v>
      </c>
      <c r="S453" s="2" t="n">
        <v>3</v>
      </c>
      <c r="T453" s="2" t="n">
        <v>1</v>
      </c>
      <c r="U453" s="2" t="n">
        <v>2</v>
      </c>
      <c r="V453" s="2" t="n">
        <v>3</v>
      </c>
      <c r="W453" s="2" t="n">
        <v>1</v>
      </c>
      <c r="X453" s="2" t="n">
        <v>3</v>
      </c>
      <c r="Y453" s="2" t="n">
        <v>3</v>
      </c>
      <c r="Z453" s="2" t="n">
        <v>4</v>
      </c>
    </row>
    <row r="454" customFormat="false" ht="15" hidden="false" customHeight="true" outlineLevel="0" collapsed="false">
      <c r="A454" s="2" t="n">
        <v>33</v>
      </c>
      <c r="B454" s="2" t="s">
        <v>26</v>
      </c>
      <c r="C454" s="2" t="s">
        <v>41</v>
      </c>
      <c r="D454" s="2" t="s">
        <v>28</v>
      </c>
      <c r="E454" s="2" t="n">
        <v>15</v>
      </c>
      <c r="F454" s="2" t="n">
        <v>3</v>
      </c>
      <c r="G454" s="2" t="s">
        <v>38</v>
      </c>
      <c r="H454" s="2" t="n">
        <v>453</v>
      </c>
      <c r="I454" s="2" t="s">
        <v>39</v>
      </c>
      <c r="J454" s="2" t="n">
        <v>4</v>
      </c>
      <c r="K454" s="2" t="s">
        <v>44</v>
      </c>
      <c r="L454" s="2" t="s">
        <v>37</v>
      </c>
      <c r="M454" s="2" t="n">
        <v>194360</v>
      </c>
      <c r="N454" s="2" t="n">
        <v>1</v>
      </c>
      <c r="O454" s="2" t="n">
        <v>19</v>
      </c>
      <c r="P454" s="2" t="n">
        <v>2</v>
      </c>
      <c r="Q454" s="2" t="n">
        <v>10</v>
      </c>
      <c r="R454" s="2" t="n">
        <v>4</v>
      </c>
      <c r="S454" s="2" t="n">
        <v>10</v>
      </c>
      <c r="T454" s="2" t="n">
        <v>6</v>
      </c>
      <c r="U454" s="2" t="n">
        <v>0</v>
      </c>
      <c r="V454" s="2" t="n">
        <v>4</v>
      </c>
      <c r="W454" s="2" t="n">
        <v>3</v>
      </c>
      <c r="X454" s="2" t="n">
        <v>3</v>
      </c>
      <c r="Y454" s="2" t="n">
        <v>3</v>
      </c>
      <c r="Z454" s="2" t="n">
        <v>3</v>
      </c>
    </row>
    <row r="455" customFormat="false" ht="15" hidden="false" customHeight="true" outlineLevel="0" collapsed="false">
      <c r="A455" s="2" t="n">
        <v>29</v>
      </c>
      <c r="B455" s="2" t="s">
        <v>33</v>
      </c>
      <c r="C455" s="2" t="s">
        <v>27</v>
      </c>
      <c r="D455" s="2" t="s">
        <v>42</v>
      </c>
      <c r="E455" s="2" t="n">
        <v>3</v>
      </c>
      <c r="F455" s="2" t="n">
        <v>5</v>
      </c>
      <c r="G455" s="2" t="s">
        <v>29</v>
      </c>
      <c r="H455" s="2" t="n">
        <v>454</v>
      </c>
      <c r="I455" s="2" t="s">
        <v>39</v>
      </c>
      <c r="J455" s="2" t="n">
        <v>1</v>
      </c>
      <c r="K455" s="2" t="s">
        <v>40</v>
      </c>
      <c r="L455" s="2" t="s">
        <v>37</v>
      </c>
      <c r="M455" s="2" t="n">
        <v>27230</v>
      </c>
      <c r="N455" s="2" t="n">
        <v>6</v>
      </c>
      <c r="O455" s="2" t="n">
        <v>11</v>
      </c>
      <c r="P455" s="2" t="n">
        <v>1</v>
      </c>
      <c r="Q455" s="2" t="n">
        <v>3</v>
      </c>
      <c r="R455" s="2" t="n">
        <v>2</v>
      </c>
      <c r="S455" s="2" t="n">
        <v>0</v>
      </c>
      <c r="T455" s="2" t="n">
        <v>0</v>
      </c>
      <c r="U455" s="2" t="n">
        <v>0</v>
      </c>
      <c r="V455" s="2" t="n">
        <v>4</v>
      </c>
      <c r="W455" s="2" t="n">
        <v>1</v>
      </c>
      <c r="X455" s="2" t="n">
        <v>3</v>
      </c>
      <c r="Y455" s="2" t="n">
        <v>2</v>
      </c>
      <c r="Z455" s="2" t="n">
        <v>3</v>
      </c>
    </row>
    <row r="456" customFormat="false" ht="15" hidden="false" customHeight="true" outlineLevel="0" collapsed="false">
      <c r="A456" s="2" t="n">
        <v>33</v>
      </c>
      <c r="B456" s="2" t="s">
        <v>26</v>
      </c>
      <c r="C456" s="2" t="s">
        <v>27</v>
      </c>
      <c r="D456" s="2" t="s">
        <v>35</v>
      </c>
      <c r="E456" s="2" t="n">
        <v>2</v>
      </c>
      <c r="F456" s="2" t="n">
        <v>2</v>
      </c>
      <c r="G456" s="2" t="s">
        <v>51</v>
      </c>
      <c r="H456" s="2" t="n">
        <v>455</v>
      </c>
      <c r="I456" s="2" t="s">
        <v>39</v>
      </c>
      <c r="J456" s="2" t="n">
        <v>2</v>
      </c>
      <c r="K456" s="2" t="s">
        <v>45</v>
      </c>
      <c r="L456" s="2" t="s">
        <v>37</v>
      </c>
      <c r="M456" s="2" t="n">
        <v>34790</v>
      </c>
      <c r="N456" s="2" t="n">
        <v>3</v>
      </c>
      <c r="O456" s="2" t="n">
        <v>12</v>
      </c>
      <c r="P456" s="2" t="n">
        <v>0</v>
      </c>
      <c r="Q456" s="2" t="n">
        <v>5</v>
      </c>
      <c r="R456" s="2" t="n">
        <v>3</v>
      </c>
      <c r="S456" s="2" t="n">
        <v>3</v>
      </c>
      <c r="T456" s="2" t="n">
        <v>0</v>
      </c>
      <c r="U456" s="2" t="n">
        <v>2</v>
      </c>
      <c r="V456" s="2" t="n">
        <v>2</v>
      </c>
      <c r="W456" s="2" t="n">
        <v>4</v>
      </c>
      <c r="X456" s="2" t="n">
        <v>3</v>
      </c>
      <c r="Y456" s="2" t="n">
        <v>3</v>
      </c>
      <c r="Z456" s="2" t="n">
        <v>3</v>
      </c>
    </row>
    <row r="457" customFormat="false" ht="15" hidden="false" customHeight="true" outlineLevel="0" collapsed="false">
      <c r="A457" s="2" t="n">
        <v>45</v>
      </c>
      <c r="B457" s="2" t="s">
        <v>26</v>
      </c>
      <c r="C457" s="2" t="s">
        <v>27</v>
      </c>
      <c r="D457" s="2" t="s">
        <v>35</v>
      </c>
      <c r="E457" s="2" t="n">
        <v>26</v>
      </c>
      <c r="F457" s="2" t="n">
        <v>1</v>
      </c>
      <c r="G457" s="2" t="s">
        <v>43</v>
      </c>
      <c r="H457" s="2" t="n">
        <v>456</v>
      </c>
      <c r="I457" s="2" t="s">
        <v>30</v>
      </c>
      <c r="J457" s="2" t="n">
        <v>3</v>
      </c>
      <c r="K457" s="2" t="s">
        <v>31</v>
      </c>
      <c r="L457" s="2" t="s">
        <v>46</v>
      </c>
      <c r="M457" s="2" t="n">
        <v>27940</v>
      </c>
      <c r="N457" s="2" t="n">
        <v>3</v>
      </c>
      <c r="O457" s="2" t="n">
        <v>19</v>
      </c>
      <c r="P457" s="2" t="n">
        <v>1</v>
      </c>
      <c r="Q457" s="2" t="n">
        <v>8</v>
      </c>
      <c r="R457" s="2" t="n">
        <v>2</v>
      </c>
      <c r="S457" s="2" t="n">
        <v>5</v>
      </c>
      <c r="T457" s="2" t="n">
        <v>0</v>
      </c>
      <c r="U457" s="2" t="n">
        <v>2</v>
      </c>
      <c r="V457" s="2" t="n">
        <v>4</v>
      </c>
      <c r="W457" s="2" t="n">
        <v>4</v>
      </c>
      <c r="X457" s="2" t="n">
        <v>3</v>
      </c>
      <c r="Y457" s="2" t="n">
        <v>3</v>
      </c>
      <c r="Z457" s="2" t="n">
        <v>3</v>
      </c>
    </row>
    <row r="458" customFormat="false" ht="15" hidden="false" customHeight="true" outlineLevel="0" collapsed="false">
      <c r="A458" s="2" t="n">
        <v>50</v>
      </c>
      <c r="B458" s="2" t="s">
        <v>26</v>
      </c>
      <c r="C458" s="2" t="s">
        <v>27</v>
      </c>
      <c r="D458" s="2" t="s">
        <v>28</v>
      </c>
      <c r="E458" s="2" t="n">
        <v>10</v>
      </c>
      <c r="F458" s="2" t="n">
        <v>1</v>
      </c>
      <c r="G458" s="2" t="s">
        <v>29</v>
      </c>
      <c r="H458" s="2" t="n">
        <v>457</v>
      </c>
      <c r="I458" s="2" t="s">
        <v>30</v>
      </c>
      <c r="J458" s="2" t="n">
        <v>1</v>
      </c>
      <c r="K458" s="2" t="s">
        <v>47</v>
      </c>
      <c r="L458" s="2" t="s">
        <v>46</v>
      </c>
      <c r="M458" s="2" t="n">
        <v>52490</v>
      </c>
      <c r="N458" s="2" t="n">
        <v>9</v>
      </c>
      <c r="O458" s="2" t="n">
        <v>21</v>
      </c>
      <c r="P458" s="2" t="n">
        <v>2</v>
      </c>
      <c r="Q458" s="2" t="n">
        <v>32</v>
      </c>
      <c r="R458" s="2" t="n">
        <v>2</v>
      </c>
      <c r="S458" s="2" t="n">
        <v>5</v>
      </c>
      <c r="T458" s="2" t="n">
        <v>1</v>
      </c>
      <c r="U458" s="2" t="n">
        <v>3</v>
      </c>
      <c r="V458" s="2" t="n">
        <v>4</v>
      </c>
      <c r="W458" s="2" t="n">
        <v>4</v>
      </c>
      <c r="X458" s="2" t="n">
        <v>2</v>
      </c>
      <c r="Y458" s="2" t="n">
        <v>2</v>
      </c>
      <c r="Z458" s="2" t="n">
        <v>4</v>
      </c>
    </row>
    <row r="459" customFormat="false" ht="15" hidden="false" customHeight="true" outlineLevel="0" collapsed="false">
      <c r="A459" s="2" t="n">
        <v>33</v>
      </c>
      <c r="B459" s="2" t="s">
        <v>26</v>
      </c>
      <c r="C459" s="2" t="s">
        <v>34</v>
      </c>
      <c r="D459" s="2" t="s">
        <v>28</v>
      </c>
      <c r="E459" s="2" t="n">
        <v>1</v>
      </c>
      <c r="F459" s="2" t="n">
        <v>3</v>
      </c>
      <c r="G459" s="2" t="s">
        <v>50</v>
      </c>
      <c r="H459" s="2" t="n">
        <v>458</v>
      </c>
      <c r="I459" s="2" t="s">
        <v>39</v>
      </c>
      <c r="J459" s="2" t="n">
        <v>2</v>
      </c>
      <c r="K459" s="2" t="s">
        <v>42</v>
      </c>
      <c r="L459" s="2" t="s">
        <v>32</v>
      </c>
      <c r="M459" s="2" t="n">
        <v>21760</v>
      </c>
      <c r="N459" s="2" t="n">
        <v>1</v>
      </c>
      <c r="O459" s="2" t="n">
        <v>14</v>
      </c>
      <c r="P459" s="2" t="n">
        <v>1</v>
      </c>
      <c r="Q459" s="2" t="n">
        <v>6</v>
      </c>
      <c r="R459" s="2" t="n">
        <v>2</v>
      </c>
      <c r="S459" s="2" t="n">
        <v>6</v>
      </c>
      <c r="T459" s="2" t="n">
        <v>1</v>
      </c>
      <c r="U459" s="2" t="n">
        <v>2</v>
      </c>
      <c r="V459" s="2" t="n">
        <v>3</v>
      </c>
      <c r="W459" s="2" t="n">
        <v>2</v>
      </c>
      <c r="X459" s="2" t="n">
        <v>3</v>
      </c>
      <c r="Y459" s="2" t="n">
        <v>2</v>
      </c>
      <c r="Z459" s="2" t="n">
        <v>3</v>
      </c>
    </row>
    <row r="460" customFormat="false" ht="15" hidden="false" customHeight="true" outlineLevel="0" collapsed="false">
      <c r="A460" s="2" t="n">
        <v>41</v>
      </c>
      <c r="B460" s="2" t="s">
        <v>26</v>
      </c>
      <c r="C460" s="2" t="s">
        <v>34</v>
      </c>
      <c r="D460" s="2" t="s">
        <v>28</v>
      </c>
      <c r="E460" s="2" t="n">
        <v>11</v>
      </c>
      <c r="F460" s="2" t="n">
        <v>3</v>
      </c>
      <c r="G460" s="2" t="s">
        <v>38</v>
      </c>
      <c r="H460" s="2" t="n">
        <v>459</v>
      </c>
      <c r="I460" s="2" t="s">
        <v>39</v>
      </c>
      <c r="J460" s="2" t="n">
        <v>1</v>
      </c>
      <c r="K460" s="2" t="s">
        <v>45</v>
      </c>
      <c r="L460" s="2" t="s">
        <v>46</v>
      </c>
      <c r="M460" s="2" t="n">
        <v>168720</v>
      </c>
      <c r="N460" s="2" t="n">
        <v>2</v>
      </c>
      <c r="O460" s="2" t="n">
        <v>15</v>
      </c>
      <c r="P460" s="2" t="n">
        <v>1</v>
      </c>
      <c r="Q460" s="2" t="n">
        <v>21</v>
      </c>
      <c r="R460" s="2" t="n">
        <v>2</v>
      </c>
      <c r="S460" s="2" t="n">
        <v>18</v>
      </c>
      <c r="T460" s="2" t="n">
        <v>0</v>
      </c>
      <c r="U460" s="2" t="n">
        <v>11</v>
      </c>
      <c r="V460" s="2" t="n">
        <v>1</v>
      </c>
      <c r="W460" s="2" t="n">
        <v>3</v>
      </c>
      <c r="X460" s="2" t="n">
        <v>4</v>
      </c>
      <c r="Y460" s="2" t="n">
        <v>3</v>
      </c>
      <c r="Z460" s="2" t="n">
        <v>3</v>
      </c>
    </row>
    <row r="461" customFormat="false" ht="15" hidden="false" customHeight="true" outlineLevel="0" collapsed="false">
      <c r="A461" s="2" t="n">
        <v>27</v>
      </c>
      <c r="B461" s="2" t="s">
        <v>26</v>
      </c>
      <c r="C461" s="2" t="s">
        <v>27</v>
      </c>
      <c r="D461" s="2" t="s">
        <v>35</v>
      </c>
      <c r="E461" s="2" t="n">
        <v>20</v>
      </c>
      <c r="F461" s="2" t="n">
        <v>4</v>
      </c>
      <c r="G461" s="2" t="s">
        <v>38</v>
      </c>
      <c r="H461" s="2" t="n">
        <v>460</v>
      </c>
      <c r="I461" s="2" t="s">
        <v>39</v>
      </c>
      <c r="J461" s="2" t="n">
        <v>2</v>
      </c>
      <c r="K461" s="2" t="s">
        <v>47</v>
      </c>
      <c r="L461" s="2" t="s">
        <v>32</v>
      </c>
      <c r="M461" s="2" t="n">
        <v>34850</v>
      </c>
      <c r="N461" s="2" t="n">
        <v>9</v>
      </c>
      <c r="O461" s="2" t="n">
        <v>17</v>
      </c>
      <c r="P461" s="2" t="n">
        <v>2</v>
      </c>
      <c r="Q461" s="2" t="n">
        <v>4</v>
      </c>
      <c r="R461" s="2" t="n">
        <v>2</v>
      </c>
      <c r="S461" s="2" t="n">
        <v>2</v>
      </c>
      <c r="T461" s="2" t="n">
        <v>2</v>
      </c>
      <c r="U461" s="2" t="n">
        <v>2</v>
      </c>
      <c r="V461" s="2" t="n">
        <v>3</v>
      </c>
      <c r="W461" s="2" t="n">
        <v>2</v>
      </c>
      <c r="X461" s="2" t="n">
        <v>3</v>
      </c>
      <c r="Y461" s="2" t="n">
        <v>3</v>
      </c>
      <c r="Z461" s="2" t="n">
        <v>3</v>
      </c>
    </row>
    <row r="462" customFormat="false" ht="15" hidden="false" customHeight="true" outlineLevel="0" collapsed="false">
      <c r="A462" s="2" t="n">
        <v>45</v>
      </c>
      <c r="B462" s="2" t="s">
        <v>26</v>
      </c>
      <c r="C462" s="2" t="s">
        <v>41</v>
      </c>
      <c r="D462" s="2" t="s">
        <v>28</v>
      </c>
      <c r="E462" s="2" t="n">
        <v>2</v>
      </c>
      <c r="F462" s="2" t="n">
        <v>3</v>
      </c>
      <c r="G462" s="2" t="s">
        <v>43</v>
      </c>
      <c r="H462" s="2" t="n">
        <v>461</v>
      </c>
      <c r="I462" s="2" t="s">
        <v>30</v>
      </c>
      <c r="J462" s="2" t="n">
        <v>1</v>
      </c>
      <c r="K462" s="2" t="s">
        <v>40</v>
      </c>
      <c r="L462" s="2" t="s">
        <v>32</v>
      </c>
      <c r="M462" s="2" t="n">
        <v>66440</v>
      </c>
      <c r="N462" s="2" t="n">
        <v>1</v>
      </c>
      <c r="O462" s="2" t="n">
        <v>12</v>
      </c>
      <c r="P462" s="2" t="n">
        <v>0</v>
      </c>
      <c r="Q462" s="2" t="n">
        <v>9</v>
      </c>
      <c r="R462" s="2" t="n">
        <v>3</v>
      </c>
      <c r="S462" s="2" t="n">
        <v>9</v>
      </c>
      <c r="T462" s="2" t="n">
        <v>0</v>
      </c>
      <c r="U462" s="2" t="n">
        <v>8</v>
      </c>
      <c r="V462" s="2" t="n">
        <v>4</v>
      </c>
      <c r="W462" s="2" t="n">
        <v>1</v>
      </c>
      <c r="X462" s="2" t="n">
        <v>3</v>
      </c>
      <c r="Y462" s="2" t="n">
        <v>4</v>
      </c>
      <c r="Z462" s="2" t="n">
        <v>3</v>
      </c>
    </row>
    <row r="463" customFormat="false" ht="15" hidden="false" customHeight="true" outlineLevel="0" collapsed="false">
      <c r="A463" s="2" t="n">
        <v>47</v>
      </c>
      <c r="B463" s="2" t="s">
        <v>26</v>
      </c>
      <c r="C463" s="2" t="s">
        <v>27</v>
      </c>
      <c r="D463" s="2" t="s">
        <v>28</v>
      </c>
      <c r="E463" s="2" t="n">
        <v>18</v>
      </c>
      <c r="F463" s="2" t="n">
        <v>4</v>
      </c>
      <c r="G463" s="2" t="s">
        <v>43</v>
      </c>
      <c r="H463" s="2" t="n">
        <v>462</v>
      </c>
      <c r="I463" s="2" t="s">
        <v>30</v>
      </c>
      <c r="J463" s="2" t="n">
        <v>2</v>
      </c>
      <c r="K463" s="2" t="s">
        <v>36</v>
      </c>
      <c r="L463" s="2" t="s">
        <v>37</v>
      </c>
      <c r="M463" s="2" t="n">
        <v>55820</v>
      </c>
      <c r="N463" s="2" t="n">
        <v>1</v>
      </c>
      <c r="O463" s="2" t="n">
        <v>16</v>
      </c>
      <c r="P463" s="2" t="n">
        <v>0</v>
      </c>
      <c r="Q463" s="2" t="n">
        <v>9</v>
      </c>
      <c r="R463" s="2" t="n">
        <v>3</v>
      </c>
      <c r="S463" s="2" t="n">
        <v>9</v>
      </c>
      <c r="T463" s="2" t="n">
        <v>0</v>
      </c>
      <c r="U463" s="2" t="n">
        <v>7</v>
      </c>
      <c r="V463" s="2" t="n">
        <v>4</v>
      </c>
      <c r="W463" s="2" t="n">
        <v>4</v>
      </c>
      <c r="X463" s="2" t="n">
        <v>3</v>
      </c>
      <c r="Y463" s="2" t="n">
        <v>3</v>
      </c>
      <c r="Z463" s="2" t="n">
        <v>3</v>
      </c>
    </row>
    <row r="464" customFormat="false" ht="15" hidden="false" customHeight="true" outlineLevel="0" collapsed="false">
      <c r="A464" s="2" t="n">
        <v>30</v>
      </c>
      <c r="B464" s="2" t="s">
        <v>33</v>
      </c>
      <c r="C464" s="2" t="s">
        <v>27</v>
      </c>
      <c r="D464" s="2" t="s">
        <v>28</v>
      </c>
      <c r="E464" s="2" t="n">
        <v>2</v>
      </c>
      <c r="F464" s="2" t="n">
        <v>3</v>
      </c>
      <c r="G464" s="2" t="s">
        <v>29</v>
      </c>
      <c r="H464" s="2" t="n">
        <v>463</v>
      </c>
      <c r="I464" s="2" t="s">
        <v>39</v>
      </c>
      <c r="J464" s="2" t="n">
        <v>2</v>
      </c>
      <c r="K464" s="2" t="s">
        <v>31</v>
      </c>
      <c r="L464" s="2" t="s">
        <v>32</v>
      </c>
      <c r="M464" s="2" t="n">
        <v>40000</v>
      </c>
      <c r="N464" s="2" t="n">
        <v>4</v>
      </c>
      <c r="O464" s="2" t="n">
        <v>12</v>
      </c>
      <c r="P464" s="2" t="n">
        <v>0</v>
      </c>
      <c r="Q464" s="2" t="n">
        <v>7</v>
      </c>
      <c r="R464" s="2" t="n">
        <v>5</v>
      </c>
      <c r="S464" s="2" t="n">
        <v>5</v>
      </c>
      <c r="T464" s="2" t="n">
        <v>0</v>
      </c>
      <c r="U464" s="2" t="n">
        <v>1</v>
      </c>
      <c r="V464" s="2" t="n">
        <v>1</v>
      </c>
      <c r="W464" s="2" t="n">
        <v>3</v>
      </c>
      <c r="X464" s="2" t="n">
        <v>3</v>
      </c>
      <c r="Y464" s="2" t="n">
        <v>2</v>
      </c>
      <c r="Z464" s="2" t="n">
        <v>3</v>
      </c>
    </row>
    <row r="465" customFormat="false" ht="15" hidden="false" customHeight="true" outlineLevel="0" collapsed="false">
      <c r="A465" s="2" t="n">
        <v>50</v>
      </c>
      <c r="B465" s="2" t="s">
        <v>26</v>
      </c>
      <c r="C465" s="2" t="s">
        <v>27</v>
      </c>
      <c r="D465" s="2" t="s">
        <v>35</v>
      </c>
      <c r="E465" s="2" t="n">
        <v>1</v>
      </c>
      <c r="F465" s="2" t="n">
        <v>3</v>
      </c>
      <c r="G465" s="2" t="s">
        <v>51</v>
      </c>
      <c r="H465" s="2" t="n">
        <v>464</v>
      </c>
      <c r="I465" s="2" t="s">
        <v>30</v>
      </c>
      <c r="J465" s="2" t="n">
        <v>2</v>
      </c>
      <c r="K465" s="2" t="s">
        <v>40</v>
      </c>
      <c r="L465" s="2" t="s">
        <v>32</v>
      </c>
      <c r="M465" s="2" t="n">
        <v>134960</v>
      </c>
      <c r="N465" s="2" t="n">
        <v>3</v>
      </c>
      <c r="O465" s="2" t="n">
        <v>18</v>
      </c>
      <c r="P465" s="2" t="n">
        <v>1</v>
      </c>
      <c r="Q465" s="2" t="n">
        <v>22</v>
      </c>
      <c r="R465" s="2" t="n">
        <v>3</v>
      </c>
      <c r="S465" s="2" t="n">
        <v>12</v>
      </c>
      <c r="T465" s="2" t="n">
        <v>1</v>
      </c>
      <c r="U465" s="2" t="n">
        <v>5</v>
      </c>
      <c r="V465" s="2" t="n">
        <v>4</v>
      </c>
      <c r="W465" s="2" t="n">
        <v>3</v>
      </c>
      <c r="X465" s="2" t="n">
        <v>3</v>
      </c>
      <c r="Y465" s="2" t="n">
        <v>3</v>
      </c>
      <c r="Z465" s="2" t="n">
        <v>3</v>
      </c>
    </row>
    <row r="466" customFormat="false" ht="15" hidden="false" customHeight="true" outlineLevel="0" collapsed="false">
      <c r="A466" s="2" t="n">
        <v>38</v>
      </c>
      <c r="B466" s="2" t="s">
        <v>26</v>
      </c>
      <c r="C466" s="2" t="s">
        <v>34</v>
      </c>
      <c r="D466" s="2" t="s">
        <v>35</v>
      </c>
      <c r="E466" s="2" t="n">
        <v>13</v>
      </c>
      <c r="F466" s="2" t="n">
        <v>3</v>
      </c>
      <c r="G466" s="2" t="s">
        <v>51</v>
      </c>
      <c r="H466" s="2" t="n">
        <v>465</v>
      </c>
      <c r="I466" s="2" t="s">
        <v>39</v>
      </c>
      <c r="J466" s="2" t="n">
        <v>1</v>
      </c>
      <c r="K466" s="2" t="s">
        <v>47</v>
      </c>
      <c r="L466" s="2" t="s">
        <v>32</v>
      </c>
      <c r="M466" s="2" t="n">
        <v>32100</v>
      </c>
      <c r="N466" s="2" t="n">
        <v>0</v>
      </c>
      <c r="O466" s="2" t="n">
        <v>17</v>
      </c>
      <c r="P466" s="2" t="n">
        <v>2</v>
      </c>
      <c r="Q466" s="2" t="n">
        <v>3</v>
      </c>
      <c r="R466" s="2" t="n">
        <v>5</v>
      </c>
      <c r="S466" s="2" t="n">
        <v>2</v>
      </c>
      <c r="T466" s="2" t="n">
        <v>0</v>
      </c>
      <c r="U466" s="2" t="n">
        <v>2</v>
      </c>
      <c r="V466" s="2" t="n">
        <v>3</v>
      </c>
      <c r="W466" s="2" t="n">
        <v>3</v>
      </c>
      <c r="X466" s="2" t="n">
        <v>2</v>
      </c>
      <c r="Y466" s="2" t="n">
        <v>2</v>
      </c>
      <c r="Z466" s="2" t="n">
        <v>3</v>
      </c>
    </row>
    <row r="467" customFormat="false" ht="15" hidden="false" customHeight="true" outlineLevel="0" collapsed="false">
      <c r="A467" s="2" t="n">
        <v>46</v>
      </c>
      <c r="B467" s="2" t="s">
        <v>26</v>
      </c>
      <c r="C467" s="2" t="s">
        <v>27</v>
      </c>
      <c r="D467" s="2" t="s">
        <v>35</v>
      </c>
      <c r="E467" s="2" t="n">
        <v>28</v>
      </c>
      <c r="F467" s="2" t="n">
        <v>3</v>
      </c>
      <c r="G467" s="2" t="s">
        <v>43</v>
      </c>
      <c r="H467" s="2" t="n">
        <v>466</v>
      </c>
      <c r="I467" s="2" t="s">
        <v>30</v>
      </c>
      <c r="J467" s="2" t="n">
        <v>3</v>
      </c>
      <c r="K467" s="2" t="s">
        <v>42</v>
      </c>
      <c r="L467" s="2" t="s">
        <v>46</v>
      </c>
      <c r="M467" s="2" t="n">
        <v>190450</v>
      </c>
      <c r="N467" s="2" t="n">
        <v>6</v>
      </c>
      <c r="O467" s="2" t="n">
        <v>11</v>
      </c>
      <c r="P467" s="2" t="n">
        <v>3</v>
      </c>
      <c r="Q467" s="2" t="n">
        <v>13</v>
      </c>
      <c r="R467" s="2" t="n">
        <v>2</v>
      </c>
      <c r="S467" s="2" t="n">
        <v>8</v>
      </c>
      <c r="T467" s="2" t="n">
        <v>0</v>
      </c>
      <c r="U467" s="2" t="n">
        <v>7</v>
      </c>
      <c r="V467" s="2" t="n">
        <v>4</v>
      </c>
      <c r="W467" s="2" t="n">
        <v>3</v>
      </c>
      <c r="X467" s="2" t="n">
        <v>3</v>
      </c>
      <c r="Y467" s="2" t="n">
        <v>3</v>
      </c>
      <c r="Z467" s="2" t="n">
        <v>3</v>
      </c>
    </row>
    <row r="468" customFormat="false" ht="15" hidden="false" customHeight="true" outlineLevel="0" collapsed="false">
      <c r="A468" s="2" t="n">
        <v>24</v>
      </c>
      <c r="B468" s="2" t="s">
        <v>26</v>
      </c>
      <c r="C468" s="2" t="s">
        <v>27</v>
      </c>
      <c r="D468" s="2" t="s">
        <v>28</v>
      </c>
      <c r="E468" s="2" t="n">
        <v>28</v>
      </c>
      <c r="F468" s="2" t="n">
        <v>3</v>
      </c>
      <c r="G468" s="2" t="s">
        <v>29</v>
      </c>
      <c r="H468" s="2" t="n">
        <v>467</v>
      </c>
      <c r="I468" s="2" t="s">
        <v>30</v>
      </c>
      <c r="J468" s="2" t="n">
        <v>1</v>
      </c>
      <c r="K468" s="2" t="s">
        <v>31</v>
      </c>
      <c r="L468" s="2" t="s">
        <v>46</v>
      </c>
      <c r="M468" s="2" t="n">
        <v>118490</v>
      </c>
      <c r="N468" s="2" t="n">
        <v>1</v>
      </c>
      <c r="O468" s="2" t="n">
        <v>16</v>
      </c>
      <c r="P468" s="2" t="n">
        <v>1</v>
      </c>
      <c r="Q468" s="2" t="n">
        <v>5</v>
      </c>
      <c r="R468" s="2" t="n">
        <v>3</v>
      </c>
      <c r="S468" s="2" t="n">
        <v>4</v>
      </c>
      <c r="T468" s="2" t="n">
        <v>3</v>
      </c>
      <c r="U468" s="2" t="n">
        <v>2</v>
      </c>
      <c r="V468" s="2" t="n">
        <v>4</v>
      </c>
      <c r="W468" s="2" t="n">
        <v>3</v>
      </c>
      <c r="X468" s="2" t="n">
        <v>3</v>
      </c>
      <c r="Y468" s="2" t="n">
        <v>3</v>
      </c>
      <c r="Z468" s="2" t="n">
        <v>3</v>
      </c>
    </row>
    <row r="469" customFormat="false" ht="15" hidden="false" customHeight="true" outlineLevel="0" collapsed="false">
      <c r="A469" s="2" t="n">
        <v>35</v>
      </c>
      <c r="B469" s="2" t="s">
        <v>33</v>
      </c>
      <c r="C469" s="2" t="s">
        <v>27</v>
      </c>
      <c r="D469" s="2" t="s">
        <v>28</v>
      </c>
      <c r="E469" s="2" t="n">
        <v>24</v>
      </c>
      <c r="F469" s="2" t="n">
        <v>3</v>
      </c>
      <c r="G469" s="2" t="s">
        <v>43</v>
      </c>
      <c r="H469" s="2" t="n">
        <v>468</v>
      </c>
      <c r="I469" s="2" t="s">
        <v>39</v>
      </c>
      <c r="J469" s="2" t="n">
        <v>3</v>
      </c>
      <c r="K469" s="2" t="s">
        <v>31</v>
      </c>
      <c r="L469" s="2" t="s">
        <v>46</v>
      </c>
      <c r="M469" s="2" t="n">
        <v>20700</v>
      </c>
      <c r="N469" s="2" t="n">
        <v>1</v>
      </c>
      <c r="O469" s="2" t="n">
        <v>13</v>
      </c>
      <c r="P469" s="2" t="n">
        <v>3</v>
      </c>
      <c r="Q469" s="2" t="n">
        <v>5</v>
      </c>
      <c r="R469" s="2" t="n">
        <v>1</v>
      </c>
      <c r="S469" s="2" t="n">
        <v>4</v>
      </c>
      <c r="T469" s="2" t="n">
        <v>0</v>
      </c>
      <c r="U469" s="2" t="n">
        <v>2</v>
      </c>
      <c r="V469" s="2" t="n">
        <v>3</v>
      </c>
      <c r="W469" s="2" t="n">
        <v>2</v>
      </c>
      <c r="X469" s="2" t="n">
        <v>1</v>
      </c>
      <c r="Y469" s="2" t="n">
        <v>2</v>
      </c>
      <c r="Z469" s="2" t="n">
        <v>3</v>
      </c>
    </row>
    <row r="470" customFormat="false" ht="15" hidden="false" customHeight="true" outlineLevel="0" collapsed="false">
      <c r="A470" s="2" t="n">
        <v>31</v>
      </c>
      <c r="B470" s="2" t="s">
        <v>26</v>
      </c>
      <c r="C470" s="2" t="s">
        <v>34</v>
      </c>
      <c r="D470" s="2" t="s">
        <v>35</v>
      </c>
      <c r="E470" s="2" t="n">
        <v>5</v>
      </c>
      <c r="F470" s="2" t="n">
        <v>2</v>
      </c>
      <c r="G470" s="2" t="s">
        <v>51</v>
      </c>
      <c r="H470" s="2" t="n">
        <v>469</v>
      </c>
      <c r="I470" s="2" t="s">
        <v>39</v>
      </c>
      <c r="J470" s="2" t="n">
        <v>2</v>
      </c>
      <c r="K470" s="2" t="s">
        <v>40</v>
      </c>
      <c r="L470" s="2" t="s">
        <v>32</v>
      </c>
      <c r="M470" s="2" t="n">
        <v>65020</v>
      </c>
      <c r="N470" s="2" t="n">
        <v>1</v>
      </c>
      <c r="O470" s="2" t="n">
        <v>12</v>
      </c>
      <c r="P470" s="2" t="n">
        <v>0</v>
      </c>
      <c r="Q470" s="2" t="n">
        <v>4</v>
      </c>
      <c r="R470" s="2" t="n">
        <v>3</v>
      </c>
      <c r="S470" s="2" t="n">
        <v>4</v>
      </c>
      <c r="T470" s="2" t="n">
        <v>0</v>
      </c>
      <c r="U470" s="2" t="n">
        <v>3</v>
      </c>
      <c r="V470" s="2" t="n">
        <v>3</v>
      </c>
      <c r="W470" s="2" t="n">
        <v>1</v>
      </c>
      <c r="X470" s="2" t="n">
        <v>3</v>
      </c>
      <c r="Y470" s="2" t="n">
        <v>3</v>
      </c>
      <c r="Z470" s="2" t="n">
        <v>3</v>
      </c>
    </row>
    <row r="471" customFormat="false" ht="15" hidden="false" customHeight="true" outlineLevel="0" collapsed="false">
      <c r="A471" s="2" t="n">
        <v>18</v>
      </c>
      <c r="B471" s="2" t="s">
        <v>26</v>
      </c>
      <c r="C471" s="2" t="s">
        <v>41</v>
      </c>
      <c r="D471" s="2" t="s">
        <v>28</v>
      </c>
      <c r="E471" s="2" t="n">
        <v>5</v>
      </c>
      <c r="F471" s="2" t="n">
        <v>4</v>
      </c>
      <c r="G471" s="2" t="s">
        <v>38</v>
      </c>
      <c r="H471" s="2" t="n">
        <v>470</v>
      </c>
      <c r="I471" s="2" t="s">
        <v>39</v>
      </c>
      <c r="J471" s="2" t="n">
        <v>2</v>
      </c>
      <c r="K471" s="2" t="s">
        <v>49</v>
      </c>
      <c r="L471" s="2" t="s">
        <v>37</v>
      </c>
      <c r="M471" s="2" t="n">
        <v>32300</v>
      </c>
      <c r="N471" s="2" t="n">
        <v>1</v>
      </c>
      <c r="O471" s="2" t="n">
        <v>12</v>
      </c>
      <c r="P471" s="2" t="n">
        <v>1</v>
      </c>
      <c r="Q471" s="2" t="n">
        <v>0</v>
      </c>
      <c r="R471" s="2" t="n">
        <v>3</v>
      </c>
      <c r="S471" s="2" t="n">
        <v>0</v>
      </c>
      <c r="T471" s="2" t="n">
        <v>0</v>
      </c>
      <c r="U471" s="2" t="n">
        <v>0</v>
      </c>
      <c r="V471" s="2" t="n">
        <v>2</v>
      </c>
      <c r="W471" s="2" t="n">
        <v>4</v>
      </c>
      <c r="X471" s="2" t="n">
        <v>3</v>
      </c>
      <c r="Y471" s="2" t="n">
        <v>3</v>
      </c>
      <c r="Z471" s="2" t="n">
        <v>3</v>
      </c>
    </row>
    <row r="472" customFormat="false" ht="15" hidden="false" customHeight="true" outlineLevel="0" collapsed="false">
      <c r="A472" s="2" t="n">
        <v>54</v>
      </c>
      <c r="B472" s="2" t="s">
        <v>26</v>
      </c>
      <c r="C472" s="2" t="s">
        <v>27</v>
      </c>
      <c r="D472" s="2" t="s">
        <v>28</v>
      </c>
      <c r="E472" s="2" t="n">
        <v>23</v>
      </c>
      <c r="F472" s="2" t="n">
        <v>3</v>
      </c>
      <c r="G472" s="2" t="s">
        <v>43</v>
      </c>
      <c r="H472" s="2" t="n">
        <v>471</v>
      </c>
      <c r="I472" s="2" t="s">
        <v>30</v>
      </c>
      <c r="J472" s="2" t="n">
        <v>1</v>
      </c>
      <c r="K472" s="2" t="s">
        <v>45</v>
      </c>
      <c r="L472" s="2" t="s">
        <v>32</v>
      </c>
      <c r="M472" s="2" t="n">
        <v>136030</v>
      </c>
      <c r="N472" s="2" t="n">
        <v>8</v>
      </c>
      <c r="O472" s="2" t="n">
        <v>13</v>
      </c>
      <c r="P472" s="2" t="n">
        <v>1</v>
      </c>
      <c r="Q472" s="2" t="n">
        <v>22</v>
      </c>
      <c r="R472" s="2" t="n">
        <v>2</v>
      </c>
      <c r="S472" s="2" t="n">
        <v>10</v>
      </c>
      <c r="T472" s="2" t="n">
        <v>0</v>
      </c>
      <c r="U472" s="2" t="n">
        <v>8</v>
      </c>
      <c r="V472" s="2" t="n">
        <v>3</v>
      </c>
      <c r="W472" s="2" t="n">
        <v>3</v>
      </c>
      <c r="X472" s="2" t="n">
        <v>3</v>
      </c>
      <c r="Y472" s="2" t="n">
        <v>3</v>
      </c>
      <c r="Z472" s="2" t="n">
        <v>3</v>
      </c>
    </row>
    <row r="473" customFormat="false" ht="15" hidden="false" customHeight="true" outlineLevel="0" collapsed="false">
      <c r="A473" s="2" t="n">
        <v>35</v>
      </c>
      <c r="B473" s="2" t="s">
        <v>26</v>
      </c>
      <c r="C473" s="2" t="s">
        <v>27</v>
      </c>
      <c r="D473" s="2" t="s">
        <v>35</v>
      </c>
      <c r="E473" s="2" t="n">
        <v>6</v>
      </c>
      <c r="F473" s="2" t="n">
        <v>4</v>
      </c>
      <c r="G473" s="2" t="s">
        <v>43</v>
      </c>
      <c r="H473" s="2" t="n">
        <v>472</v>
      </c>
      <c r="I473" s="2" t="s">
        <v>30</v>
      </c>
      <c r="J473" s="2" t="n">
        <v>1</v>
      </c>
      <c r="K473" s="2" t="s">
        <v>47</v>
      </c>
      <c r="L473" s="2" t="s">
        <v>46</v>
      </c>
      <c r="M473" s="2" t="n">
        <v>119960</v>
      </c>
      <c r="N473" s="2" t="n">
        <v>1</v>
      </c>
      <c r="O473" s="2" t="n">
        <v>19</v>
      </c>
      <c r="P473" s="2" t="n">
        <v>2</v>
      </c>
      <c r="Q473" s="2" t="n">
        <v>16</v>
      </c>
      <c r="R473" s="2" t="n">
        <v>3</v>
      </c>
      <c r="S473" s="2" t="n">
        <v>16</v>
      </c>
      <c r="T473" s="2" t="n">
        <v>10</v>
      </c>
      <c r="U473" s="2" t="n">
        <v>1</v>
      </c>
      <c r="V473" s="2" t="n">
        <v>3</v>
      </c>
      <c r="W473" s="2" t="n">
        <v>3</v>
      </c>
      <c r="X473" s="2" t="n">
        <v>2</v>
      </c>
      <c r="Y473" s="2" t="n">
        <v>3</v>
      </c>
      <c r="Z473" s="2" t="n">
        <v>3</v>
      </c>
    </row>
    <row r="474" customFormat="false" ht="15" hidden="false" customHeight="true" outlineLevel="0" collapsed="false">
      <c r="A474" s="2" t="n">
        <v>30</v>
      </c>
      <c r="B474" s="2" t="s">
        <v>26</v>
      </c>
      <c r="C474" s="2" t="s">
        <v>27</v>
      </c>
      <c r="D474" s="2" t="s">
        <v>35</v>
      </c>
      <c r="E474" s="2" t="n">
        <v>4</v>
      </c>
      <c r="F474" s="2" t="n">
        <v>3</v>
      </c>
      <c r="G474" s="2" t="s">
        <v>29</v>
      </c>
      <c r="H474" s="2" t="n">
        <v>473</v>
      </c>
      <c r="I474" s="2" t="s">
        <v>30</v>
      </c>
      <c r="J474" s="2" t="n">
        <v>5</v>
      </c>
      <c r="K474" s="2" t="s">
        <v>31</v>
      </c>
      <c r="L474" s="2" t="s">
        <v>32</v>
      </c>
      <c r="M474" s="2" t="n">
        <v>56050</v>
      </c>
      <c r="N474" s="2" t="n">
        <v>0</v>
      </c>
      <c r="O474" s="2" t="n">
        <v>12</v>
      </c>
      <c r="P474" s="2" t="n">
        <v>1</v>
      </c>
      <c r="Q474" s="2" t="n">
        <v>9</v>
      </c>
      <c r="R474" s="2" t="n">
        <v>0</v>
      </c>
      <c r="S474" s="2" t="n">
        <v>8</v>
      </c>
      <c r="T474" s="2" t="n">
        <v>1</v>
      </c>
      <c r="U474" s="2" t="n">
        <v>7</v>
      </c>
      <c r="V474" s="2" t="n">
        <v>2</v>
      </c>
      <c r="W474" s="2" t="n">
        <v>1</v>
      </c>
      <c r="X474" s="2" t="n">
        <v>2</v>
      </c>
      <c r="Y474" s="2" t="n">
        <v>2</v>
      </c>
      <c r="Z474" s="2" t="n">
        <v>3</v>
      </c>
    </row>
    <row r="475" customFormat="false" ht="15" hidden="false" customHeight="true" outlineLevel="0" collapsed="false">
      <c r="A475" s="2" t="n">
        <v>20</v>
      </c>
      <c r="B475" s="2" t="s">
        <v>33</v>
      </c>
      <c r="C475" s="2" t="s">
        <v>27</v>
      </c>
      <c r="D475" s="2" t="s">
        <v>35</v>
      </c>
      <c r="E475" s="2" t="n">
        <v>2</v>
      </c>
      <c r="F475" s="2" t="n">
        <v>2</v>
      </c>
      <c r="G475" s="2" t="s">
        <v>29</v>
      </c>
      <c r="H475" s="2" t="n">
        <v>474</v>
      </c>
      <c r="I475" s="2" t="s">
        <v>30</v>
      </c>
      <c r="J475" s="2" t="n">
        <v>2</v>
      </c>
      <c r="K475" s="2" t="s">
        <v>36</v>
      </c>
      <c r="L475" s="2" t="s">
        <v>37</v>
      </c>
      <c r="M475" s="2" t="n">
        <v>63970</v>
      </c>
      <c r="N475" s="2" t="n">
        <v>1</v>
      </c>
      <c r="O475" s="2" t="n">
        <v>17</v>
      </c>
      <c r="P475" s="2" t="n">
        <v>1</v>
      </c>
      <c r="Q475" s="2" t="n">
        <v>1</v>
      </c>
      <c r="R475" s="2" t="n">
        <v>3</v>
      </c>
      <c r="S475" s="2" t="n">
        <v>1</v>
      </c>
      <c r="T475" s="2" t="n">
        <v>0</v>
      </c>
      <c r="U475" s="2" t="n">
        <v>0</v>
      </c>
      <c r="V475" s="2" t="n">
        <v>4</v>
      </c>
      <c r="W475" s="2" t="n">
        <v>1</v>
      </c>
      <c r="X475" s="2" t="n">
        <v>3</v>
      </c>
      <c r="Y475" s="2" t="n">
        <v>3</v>
      </c>
      <c r="Z475" s="2" t="n">
        <v>3</v>
      </c>
    </row>
    <row r="476" customFormat="false" ht="15" hidden="false" customHeight="true" outlineLevel="0" collapsed="false">
      <c r="A476" s="2" t="n">
        <v>30</v>
      </c>
      <c r="B476" s="2" t="s">
        <v>33</v>
      </c>
      <c r="C476" s="2" t="s">
        <v>34</v>
      </c>
      <c r="D476" s="2" t="s">
        <v>35</v>
      </c>
      <c r="E476" s="2" t="n">
        <v>8</v>
      </c>
      <c r="F476" s="2" t="n">
        <v>4</v>
      </c>
      <c r="G476" s="2" t="s">
        <v>43</v>
      </c>
      <c r="H476" s="2" t="n">
        <v>475</v>
      </c>
      <c r="I476" s="2" t="s">
        <v>39</v>
      </c>
      <c r="J476" s="2" t="n">
        <v>1</v>
      </c>
      <c r="K476" s="2" t="s">
        <v>40</v>
      </c>
      <c r="L476" s="2" t="s">
        <v>37</v>
      </c>
      <c r="M476" s="2" t="n">
        <v>191440</v>
      </c>
      <c r="N476" s="2" t="n">
        <v>0</v>
      </c>
      <c r="O476" s="2" t="n">
        <v>11</v>
      </c>
      <c r="P476" s="2" t="n">
        <v>0</v>
      </c>
      <c r="Q476" s="2" t="n">
        <v>4</v>
      </c>
      <c r="R476" s="2" t="n">
        <v>3</v>
      </c>
      <c r="S476" s="2" t="n">
        <v>3</v>
      </c>
      <c r="T476" s="2" t="n">
        <v>1</v>
      </c>
      <c r="U476" s="2" t="n">
        <v>2</v>
      </c>
      <c r="V476" s="2" t="n">
        <v>2</v>
      </c>
      <c r="W476" s="2" t="n">
        <v>2</v>
      </c>
      <c r="X476" s="2" t="n">
        <v>3</v>
      </c>
      <c r="Y476" s="2" t="n">
        <v>3</v>
      </c>
      <c r="Z476" s="2" t="n">
        <v>3</v>
      </c>
    </row>
    <row r="477" customFormat="false" ht="15" hidden="false" customHeight="true" outlineLevel="0" collapsed="false">
      <c r="A477" s="2" t="n">
        <v>26</v>
      </c>
      <c r="B477" s="2" t="s">
        <v>26</v>
      </c>
      <c r="C477" s="2" t="s">
        <v>27</v>
      </c>
      <c r="D477" s="2" t="s">
        <v>28</v>
      </c>
      <c r="E477" s="2" t="n">
        <v>1</v>
      </c>
      <c r="F477" s="2" t="n">
        <v>3</v>
      </c>
      <c r="G477" s="2" t="s">
        <v>50</v>
      </c>
      <c r="H477" s="2" t="n">
        <v>476</v>
      </c>
      <c r="I477" s="2" t="s">
        <v>30</v>
      </c>
      <c r="J477" s="2" t="n">
        <v>2</v>
      </c>
      <c r="K477" s="2" t="s">
        <v>36</v>
      </c>
      <c r="L477" s="2" t="s">
        <v>32</v>
      </c>
      <c r="M477" s="2" t="n">
        <v>175840</v>
      </c>
      <c r="N477" s="2" t="n">
        <v>1</v>
      </c>
      <c r="O477" s="2" t="n">
        <v>20</v>
      </c>
      <c r="P477" s="2" t="n">
        <v>0</v>
      </c>
      <c r="Q477" s="2" t="n">
        <v>8</v>
      </c>
      <c r="R477" s="2" t="n">
        <v>2</v>
      </c>
      <c r="S477" s="2" t="n">
        <v>8</v>
      </c>
      <c r="T477" s="2" t="n">
        <v>1</v>
      </c>
      <c r="U477" s="2" t="n">
        <v>3</v>
      </c>
      <c r="V477" s="2" t="n">
        <v>4</v>
      </c>
      <c r="W477" s="2" t="n">
        <v>4</v>
      </c>
      <c r="X477" s="2" t="n">
        <v>3</v>
      </c>
      <c r="Y477" s="2" t="n">
        <v>3</v>
      </c>
      <c r="Z477" s="2" t="n">
        <v>4</v>
      </c>
    </row>
    <row r="478" customFormat="false" ht="15" hidden="false" customHeight="true" outlineLevel="0" collapsed="false">
      <c r="A478" s="2" t="n">
        <v>22</v>
      </c>
      <c r="B478" s="2" t="s">
        <v>26</v>
      </c>
      <c r="C478" s="2" t="s">
        <v>27</v>
      </c>
      <c r="D478" s="2" t="s">
        <v>35</v>
      </c>
      <c r="E478" s="2" t="n">
        <v>8</v>
      </c>
      <c r="F478" s="2" t="n">
        <v>3</v>
      </c>
      <c r="G478" s="2" t="s">
        <v>38</v>
      </c>
      <c r="H478" s="2" t="n">
        <v>477</v>
      </c>
      <c r="I478" s="2" t="s">
        <v>39</v>
      </c>
      <c r="J478" s="2" t="n">
        <v>2</v>
      </c>
      <c r="K478" s="2" t="s">
        <v>48</v>
      </c>
      <c r="L478" s="2" t="s">
        <v>32</v>
      </c>
      <c r="M478" s="2" t="n">
        <v>49070</v>
      </c>
      <c r="N478" s="2"/>
      <c r="O478" s="2" t="n">
        <v>21</v>
      </c>
      <c r="P478" s="2" t="n">
        <v>1</v>
      </c>
      <c r="Q478" s="2" t="n">
        <v>4</v>
      </c>
      <c r="R478" s="2" t="n">
        <v>2</v>
      </c>
      <c r="S478" s="2" t="n">
        <v>4</v>
      </c>
      <c r="T478" s="2" t="n">
        <v>1</v>
      </c>
      <c r="U478" s="2" t="n">
        <v>1</v>
      </c>
      <c r="V478" s="2" t="n">
        <v>2</v>
      </c>
      <c r="W478" s="2" t="n">
        <v>1</v>
      </c>
      <c r="X478" s="2" t="n">
        <v>2</v>
      </c>
      <c r="Y478" s="2" t="n">
        <v>3</v>
      </c>
      <c r="Z478" s="2" t="n">
        <v>4</v>
      </c>
    </row>
    <row r="479" customFormat="false" ht="15" hidden="false" customHeight="true" outlineLevel="0" collapsed="false">
      <c r="A479" s="2" t="n">
        <v>48</v>
      </c>
      <c r="B479" s="2" t="s">
        <v>26</v>
      </c>
      <c r="C479" s="2" t="s">
        <v>27</v>
      </c>
      <c r="D479" s="2" t="s">
        <v>42</v>
      </c>
      <c r="E479" s="2" t="n">
        <v>2</v>
      </c>
      <c r="F479" s="2" t="n">
        <v>4</v>
      </c>
      <c r="G479" s="2" t="s">
        <v>43</v>
      </c>
      <c r="H479" s="2" t="n">
        <v>478</v>
      </c>
      <c r="I479" s="2" t="s">
        <v>39</v>
      </c>
      <c r="J479" s="2" t="n">
        <v>2</v>
      </c>
      <c r="K479" s="2" t="s">
        <v>40</v>
      </c>
      <c r="L479" s="2" t="s">
        <v>37</v>
      </c>
      <c r="M479" s="2" t="n">
        <v>45540</v>
      </c>
      <c r="N479" s="2" t="n">
        <v>2</v>
      </c>
      <c r="O479" s="2" t="n">
        <v>11</v>
      </c>
      <c r="P479" s="2" t="n">
        <v>2</v>
      </c>
      <c r="Q479" s="2" t="n">
        <v>19</v>
      </c>
      <c r="R479" s="2" t="n">
        <v>3</v>
      </c>
      <c r="S479" s="2" t="n">
        <v>2</v>
      </c>
      <c r="T479" s="2" t="n">
        <v>2</v>
      </c>
      <c r="U479" s="2" t="n">
        <v>2</v>
      </c>
      <c r="V479" s="2" t="n">
        <v>1</v>
      </c>
      <c r="W479" s="2" t="n">
        <v>3</v>
      </c>
      <c r="X479" s="2" t="n">
        <v>3</v>
      </c>
      <c r="Y479" s="2" t="n">
        <v>3</v>
      </c>
      <c r="Z479" s="2" t="n">
        <v>3</v>
      </c>
    </row>
    <row r="480" customFormat="false" ht="15" hidden="false" customHeight="true" outlineLevel="0" collapsed="false">
      <c r="A480" s="2" t="n">
        <v>48</v>
      </c>
      <c r="B480" s="2" t="s">
        <v>26</v>
      </c>
      <c r="C480" s="2" t="s">
        <v>27</v>
      </c>
      <c r="D480" s="2" t="s">
        <v>28</v>
      </c>
      <c r="E480" s="2" t="n">
        <v>3</v>
      </c>
      <c r="F480" s="2" t="n">
        <v>3</v>
      </c>
      <c r="G480" s="2" t="s">
        <v>43</v>
      </c>
      <c r="H480" s="2" t="n">
        <v>479</v>
      </c>
      <c r="I480" s="2" t="s">
        <v>39</v>
      </c>
      <c r="J480" s="2" t="n">
        <v>1</v>
      </c>
      <c r="K480" s="2" t="s">
        <v>44</v>
      </c>
      <c r="L480" s="2" t="s">
        <v>37</v>
      </c>
      <c r="M480" s="2" t="n">
        <v>54150</v>
      </c>
      <c r="N480" s="2" t="n">
        <v>7</v>
      </c>
      <c r="O480" s="2" t="n">
        <v>11</v>
      </c>
      <c r="P480" s="2" t="n">
        <v>1</v>
      </c>
      <c r="Q480" s="2" t="n">
        <v>27</v>
      </c>
      <c r="R480" s="2" t="n">
        <v>1</v>
      </c>
      <c r="S480" s="2" t="n">
        <v>15</v>
      </c>
      <c r="T480" s="2" t="n">
        <v>4</v>
      </c>
      <c r="U480" s="2" t="n">
        <v>8</v>
      </c>
      <c r="V480" s="2" t="n">
        <v>3</v>
      </c>
      <c r="W480" s="2" t="n">
        <v>3</v>
      </c>
      <c r="X480" s="2" t="n">
        <v>3</v>
      </c>
      <c r="Y480" s="2" t="n">
        <v>3</v>
      </c>
      <c r="Z480" s="2" t="n">
        <v>3</v>
      </c>
    </row>
    <row r="481" customFormat="false" ht="15" hidden="false" customHeight="true" outlineLevel="0" collapsed="false">
      <c r="A481" s="2" t="n">
        <v>41</v>
      </c>
      <c r="B481" s="2" t="s">
        <v>26</v>
      </c>
      <c r="C481" s="2" t="s">
        <v>27</v>
      </c>
      <c r="D481" s="2" t="s">
        <v>35</v>
      </c>
      <c r="E481" s="2" t="n">
        <v>2</v>
      </c>
      <c r="F481" s="2" t="n">
        <v>3</v>
      </c>
      <c r="G481" s="2" t="s">
        <v>29</v>
      </c>
      <c r="H481" s="2" t="n">
        <v>480</v>
      </c>
      <c r="I481" s="2" t="s">
        <v>39</v>
      </c>
      <c r="J481" s="2" t="n">
        <v>2</v>
      </c>
      <c r="K481" s="2" t="s">
        <v>36</v>
      </c>
      <c r="L481" s="2" t="s">
        <v>37</v>
      </c>
      <c r="M481" s="2" t="n">
        <v>47410</v>
      </c>
      <c r="N481" s="2" t="n">
        <v>6</v>
      </c>
      <c r="O481" s="2" t="n">
        <v>16</v>
      </c>
      <c r="P481" s="2" t="n">
        <v>0</v>
      </c>
      <c r="Q481" s="2" t="n">
        <v>8</v>
      </c>
      <c r="R481" s="2" t="n">
        <v>3</v>
      </c>
      <c r="S481" s="2" t="n">
        <v>2</v>
      </c>
      <c r="T481" s="2" t="n">
        <v>2</v>
      </c>
      <c r="U481" s="2" t="n">
        <v>1</v>
      </c>
      <c r="V481" s="2" t="n">
        <v>4</v>
      </c>
      <c r="W481" s="2" t="n">
        <v>3</v>
      </c>
      <c r="X481" s="2" t="n">
        <v>3</v>
      </c>
      <c r="Y481" s="2" t="n">
        <v>3</v>
      </c>
      <c r="Z481" s="2" t="n">
        <v>3</v>
      </c>
    </row>
    <row r="482" customFormat="false" ht="15" hidden="false" customHeight="true" outlineLevel="0" collapsed="false">
      <c r="A482" s="2" t="n">
        <v>39</v>
      </c>
      <c r="B482" s="2" t="s">
        <v>26</v>
      </c>
      <c r="C482" s="2" t="s">
        <v>27</v>
      </c>
      <c r="D482" s="2" t="s">
        <v>28</v>
      </c>
      <c r="E482" s="2" t="n">
        <v>2</v>
      </c>
      <c r="F482" s="2" t="n">
        <v>3</v>
      </c>
      <c r="G482" s="2" t="s">
        <v>29</v>
      </c>
      <c r="H482" s="2" t="n">
        <v>481</v>
      </c>
      <c r="I482" s="2" t="s">
        <v>39</v>
      </c>
      <c r="J482" s="2" t="n">
        <v>3</v>
      </c>
      <c r="K482" s="2" t="s">
        <v>42</v>
      </c>
      <c r="L482" s="2" t="s">
        <v>32</v>
      </c>
      <c r="M482" s="2" t="n">
        <v>21150</v>
      </c>
      <c r="N482" s="2" t="n">
        <v>1</v>
      </c>
      <c r="O482" s="2" t="n">
        <v>18</v>
      </c>
      <c r="P482" s="2" t="n">
        <v>0</v>
      </c>
      <c r="Q482" s="2" t="n">
        <v>21</v>
      </c>
      <c r="R482" s="2" t="n">
        <v>3</v>
      </c>
      <c r="S482" s="2" t="n">
        <v>21</v>
      </c>
      <c r="T482" s="2" t="n">
        <v>11</v>
      </c>
      <c r="U482" s="2" t="n">
        <v>8</v>
      </c>
      <c r="V482" s="2" t="n">
        <v>4</v>
      </c>
      <c r="W482" s="2" t="n">
        <v>4</v>
      </c>
      <c r="X482" s="2" t="n">
        <v>3</v>
      </c>
      <c r="Y482" s="2" t="n">
        <v>4</v>
      </c>
      <c r="Z482" s="2" t="n">
        <v>3</v>
      </c>
    </row>
    <row r="483" customFormat="false" ht="15" hidden="false" customHeight="true" outlineLevel="0" collapsed="false">
      <c r="A483" s="2" t="n">
        <v>27</v>
      </c>
      <c r="B483" s="2" t="s">
        <v>26</v>
      </c>
      <c r="C483" s="2" t="s">
        <v>27</v>
      </c>
      <c r="D483" s="2" t="s">
        <v>35</v>
      </c>
      <c r="E483" s="2" t="n">
        <v>3</v>
      </c>
      <c r="F483" s="2" t="n">
        <v>3</v>
      </c>
      <c r="G483" s="2" t="s">
        <v>29</v>
      </c>
      <c r="H483" s="2" t="n">
        <v>482</v>
      </c>
      <c r="I483" s="2" t="s">
        <v>39</v>
      </c>
      <c r="J483" s="2" t="n">
        <v>2</v>
      </c>
      <c r="K483" s="2" t="s">
        <v>42</v>
      </c>
      <c r="L483" s="2" t="s">
        <v>32</v>
      </c>
      <c r="M483" s="2" t="n">
        <v>31610</v>
      </c>
      <c r="N483" s="2" t="n">
        <v>0</v>
      </c>
      <c r="O483" s="2" t="n">
        <v>13</v>
      </c>
      <c r="P483" s="2" t="n">
        <v>2</v>
      </c>
      <c r="Q483" s="2" t="n">
        <v>4</v>
      </c>
      <c r="R483" s="2" t="n">
        <v>0</v>
      </c>
      <c r="S483" s="2" t="n">
        <v>3</v>
      </c>
      <c r="T483" s="2" t="n">
        <v>2</v>
      </c>
      <c r="U483" s="2" t="n">
        <v>2</v>
      </c>
      <c r="V483" s="2" t="n">
        <v>1</v>
      </c>
      <c r="W483" s="2" t="n">
        <v>4</v>
      </c>
      <c r="X483" s="2" t="n">
        <v>3</v>
      </c>
      <c r="Y483" s="2" t="n">
        <v>3</v>
      </c>
      <c r="Z483" s="2" t="n">
        <v>3</v>
      </c>
    </row>
    <row r="484" customFormat="false" ht="15" hidden="false" customHeight="true" outlineLevel="0" collapsed="false">
      <c r="A484" s="2" t="n">
        <v>35</v>
      </c>
      <c r="B484" s="2" t="s">
        <v>26</v>
      </c>
      <c r="C484" s="2" t="s">
        <v>27</v>
      </c>
      <c r="D484" s="2" t="s">
        <v>28</v>
      </c>
      <c r="E484" s="2" t="n">
        <v>24</v>
      </c>
      <c r="F484" s="2" t="n">
        <v>3</v>
      </c>
      <c r="G484" s="2" t="s">
        <v>43</v>
      </c>
      <c r="H484" s="2" t="n">
        <v>483</v>
      </c>
      <c r="I484" s="2" t="s">
        <v>39</v>
      </c>
      <c r="J484" s="2" t="n">
        <v>5</v>
      </c>
      <c r="K484" s="2" t="s">
        <v>40</v>
      </c>
      <c r="L484" s="2" t="s">
        <v>46</v>
      </c>
      <c r="M484" s="2" t="n">
        <v>57450</v>
      </c>
      <c r="N484" s="2" t="n">
        <v>1</v>
      </c>
      <c r="O484" s="2" t="n">
        <v>17</v>
      </c>
      <c r="P484" s="2" t="n">
        <v>3</v>
      </c>
      <c r="Q484" s="2" t="n">
        <v>3</v>
      </c>
      <c r="R484" s="2" t="n">
        <v>4</v>
      </c>
      <c r="S484" s="2" t="n">
        <v>3</v>
      </c>
      <c r="T484" s="2" t="n">
        <v>1</v>
      </c>
      <c r="U484" s="2" t="n">
        <v>2</v>
      </c>
      <c r="V484" s="2" t="n">
        <v>2</v>
      </c>
      <c r="W484" s="2" t="n">
        <v>4</v>
      </c>
      <c r="X484" s="2" t="n">
        <v>2</v>
      </c>
      <c r="Y484" s="2" t="n">
        <v>3</v>
      </c>
      <c r="Z484" s="2" t="n">
        <v>3</v>
      </c>
    </row>
    <row r="485" customFormat="false" ht="15" hidden="false" customHeight="true" outlineLevel="0" collapsed="false">
      <c r="A485" s="2" t="n">
        <v>42</v>
      </c>
      <c r="B485" s="2" t="s">
        <v>26</v>
      </c>
      <c r="C485" s="2" t="s">
        <v>27</v>
      </c>
      <c r="D485" s="2" t="s">
        <v>35</v>
      </c>
      <c r="E485" s="2" t="n">
        <v>23</v>
      </c>
      <c r="F485" s="2" t="n">
        <v>4</v>
      </c>
      <c r="G485" s="2" t="s">
        <v>38</v>
      </c>
      <c r="H485" s="2" t="n">
        <v>484</v>
      </c>
      <c r="I485" s="2" t="s">
        <v>39</v>
      </c>
      <c r="J485" s="2" t="n">
        <v>1</v>
      </c>
      <c r="K485" s="2" t="s">
        <v>36</v>
      </c>
      <c r="L485" s="2" t="s">
        <v>32</v>
      </c>
      <c r="M485" s="2" t="n">
        <v>23730</v>
      </c>
      <c r="N485" s="2" t="n">
        <v>6</v>
      </c>
      <c r="O485" s="2" t="n">
        <v>14</v>
      </c>
      <c r="P485" s="2" t="n">
        <v>1</v>
      </c>
      <c r="Q485" s="2" t="n">
        <v>21</v>
      </c>
      <c r="R485" s="2" t="n">
        <v>3</v>
      </c>
      <c r="S485" s="2" t="n">
        <v>1</v>
      </c>
      <c r="T485" s="2" t="n">
        <v>0</v>
      </c>
      <c r="U485" s="2" t="n">
        <v>0</v>
      </c>
      <c r="V485" s="2" t="n">
        <v>4</v>
      </c>
      <c r="W485" s="2" t="n">
        <v>3</v>
      </c>
      <c r="X485" s="2"/>
      <c r="Y485" s="2" t="n">
        <v>4</v>
      </c>
      <c r="Z485" s="2" t="n">
        <v>3</v>
      </c>
    </row>
    <row r="486" customFormat="false" ht="15" hidden="false" customHeight="true" outlineLevel="0" collapsed="false">
      <c r="A486" s="2" t="n">
        <v>50</v>
      </c>
      <c r="B486" s="2" t="s">
        <v>26</v>
      </c>
      <c r="C486" s="2" t="s">
        <v>27</v>
      </c>
      <c r="D486" s="2" t="s">
        <v>28</v>
      </c>
      <c r="E486" s="2" t="n">
        <v>27</v>
      </c>
      <c r="F486" s="2" t="n">
        <v>3</v>
      </c>
      <c r="G486" s="2" t="s">
        <v>43</v>
      </c>
      <c r="H486" s="2" t="n">
        <v>485</v>
      </c>
      <c r="I486" s="2" t="s">
        <v>39</v>
      </c>
      <c r="J486" s="2" t="n">
        <v>2</v>
      </c>
      <c r="K486" s="2" t="s">
        <v>40</v>
      </c>
      <c r="L486" s="2" t="s">
        <v>32</v>
      </c>
      <c r="M486" s="2" t="n">
        <v>33100</v>
      </c>
      <c r="N486" s="2" t="n">
        <v>4</v>
      </c>
      <c r="O486" s="2" t="n">
        <v>22</v>
      </c>
      <c r="P486" s="2" t="n">
        <v>1</v>
      </c>
      <c r="Q486" s="2" t="n">
        <v>8</v>
      </c>
      <c r="R486" s="2" t="n">
        <v>3</v>
      </c>
      <c r="S486" s="2" t="n">
        <v>1</v>
      </c>
      <c r="T486" s="2" t="n">
        <v>0</v>
      </c>
      <c r="U486" s="2" t="n">
        <v>0</v>
      </c>
      <c r="V486" s="2" t="n">
        <v>1</v>
      </c>
      <c r="W486" s="2" t="n">
        <v>4</v>
      </c>
      <c r="X486" s="2" t="n">
        <v>3</v>
      </c>
      <c r="Y486" s="2" t="n">
        <v>4</v>
      </c>
      <c r="Z486" s="2" t="n">
        <v>4</v>
      </c>
    </row>
    <row r="487" customFormat="false" ht="15" hidden="false" customHeight="true" outlineLevel="0" collapsed="false">
      <c r="A487" s="2" t="n">
        <v>59</v>
      </c>
      <c r="B487" s="2" t="s">
        <v>26</v>
      </c>
      <c r="C487" s="2" t="s">
        <v>27</v>
      </c>
      <c r="D487" s="2" t="s">
        <v>35</v>
      </c>
      <c r="E487" s="2" t="n">
        <v>16</v>
      </c>
      <c r="F487" s="2" t="n">
        <v>4</v>
      </c>
      <c r="G487" s="2" t="s">
        <v>43</v>
      </c>
      <c r="H487" s="2" t="n">
        <v>486</v>
      </c>
      <c r="I487" s="2" t="s">
        <v>30</v>
      </c>
      <c r="J487" s="2" t="n">
        <v>5</v>
      </c>
      <c r="K487" s="2" t="s">
        <v>45</v>
      </c>
      <c r="L487" s="2" t="s">
        <v>37</v>
      </c>
      <c r="M487" s="2" t="n">
        <v>186650</v>
      </c>
      <c r="N487" s="2" t="n">
        <v>3</v>
      </c>
      <c r="O487" s="2" t="n">
        <v>12</v>
      </c>
      <c r="P487" s="2" t="n">
        <v>0</v>
      </c>
      <c r="Q487" s="2" t="n">
        <v>30</v>
      </c>
      <c r="R487" s="2" t="n">
        <v>3</v>
      </c>
      <c r="S487" s="2" t="n">
        <v>5</v>
      </c>
      <c r="T487" s="2" t="n">
        <v>4</v>
      </c>
      <c r="U487" s="2" t="n">
        <v>3</v>
      </c>
      <c r="V487" s="2" t="n">
        <v>3</v>
      </c>
      <c r="W487" s="2" t="n">
        <v>4</v>
      </c>
      <c r="X487" s="2" t="n">
        <v>3</v>
      </c>
      <c r="Y487" s="2" t="n">
        <v>2</v>
      </c>
      <c r="Z487" s="2" t="n">
        <v>3</v>
      </c>
    </row>
    <row r="488" customFormat="false" ht="15" hidden="false" customHeight="true" outlineLevel="0" collapsed="false">
      <c r="A488" s="2" t="n">
        <v>37</v>
      </c>
      <c r="B488" s="2" t="s">
        <v>33</v>
      </c>
      <c r="C488" s="2" t="s">
        <v>27</v>
      </c>
      <c r="D488" s="2" t="s">
        <v>28</v>
      </c>
      <c r="E488" s="2" t="n">
        <v>15</v>
      </c>
      <c r="F488" s="2" t="n">
        <v>3</v>
      </c>
      <c r="G488" s="2" t="s">
        <v>50</v>
      </c>
      <c r="H488" s="2" t="n">
        <v>487</v>
      </c>
      <c r="I488" s="2" t="s">
        <v>39</v>
      </c>
      <c r="J488" s="2" t="n">
        <v>2</v>
      </c>
      <c r="K488" s="2" t="s">
        <v>45</v>
      </c>
      <c r="L488" s="2" t="s">
        <v>32</v>
      </c>
      <c r="M488" s="2" t="n">
        <v>44850</v>
      </c>
      <c r="N488" s="2" t="n">
        <v>5</v>
      </c>
      <c r="O488" s="2" t="n">
        <v>11</v>
      </c>
      <c r="P488" s="2" t="n">
        <v>1</v>
      </c>
      <c r="Q488" s="2" t="n">
        <v>15</v>
      </c>
      <c r="R488" s="2" t="n">
        <v>2</v>
      </c>
      <c r="S488" s="2" t="n">
        <v>1</v>
      </c>
      <c r="T488" s="2" t="n">
        <v>0</v>
      </c>
      <c r="U488" s="2" t="n">
        <v>0</v>
      </c>
      <c r="V488" s="2" t="n">
        <v>1</v>
      </c>
      <c r="W488" s="2" t="n">
        <v>2</v>
      </c>
      <c r="X488" s="2" t="n">
        <v>1</v>
      </c>
      <c r="Y488" s="2" t="n">
        <v>4</v>
      </c>
      <c r="Z488" s="2" t="n">
        <v>3</v>
      </c>
    </row>
    <row r="489" customFormat="false" ht="15" hidden="false" customHeight="true" outlineLevel="0" collapsed="false">
      <c r="A489" s="2" t="n">
        <v>55</v>
      </c>
      <c r="B489" s="2" t="s">
        <v>26</v>
      </c>
      <c r="C489" s="2" t="s">
        <v>34</v>
      </c>
      <c r="D489" s="2" t="s">
        <v>35</v>
      </c>
      <c r="E489" s="2" t="n">
        <v>26</v>
      </c>
      <c r="F489" s="2" t="n">
        <v>2</v>
      </c>
      <c r="G489" s="2" t="s">
        <v>29</v>
      </c>
      <c r="H489" s="2" t="n">
        <v>488</v>
      </c>
      <c r="I489" s="2" t="s">
        <v>30</v>
      </c>
      <c r="J489" s="2" t="n">
        <v>2</v>
      </c>
      <c r="K489" s="2" t="s">
        <v>40</v>
      </c>
      <c r="L489" s="2" t="s">
        <v>32</v>
      </c>
      <c r="M489" s="2" t="n">
        <v>27890</v>
      </c>
      <c r="N489" s="2" t="n">
        <v>3</v>
      </c>
      <c r="O489" s="2" t="n">
        <v>13</v>
      </c>
      <c r="P489" s="2" t="n">
        <v>1</v>
      </c>
      <c r="Q489" s="2" t="n">
        <v>17</v>
      </c>
      <c r="R489" s="2" t="n">
        <v>2</v>
      </c>
      <c r="S489" s="2" t="n">
        <v>8</v>
      </c>
      <c r="T489" s="2" t="n">
        <v>6</v>
      </c>
      <c r="U489" s="2" t="n">
        <v>7</v>
      </c>
      <c r="V489" s="2" t="n">
        <v>3</v>
      </c>
      <c r="W489" s="2" t="n">
        <v>2</v>
      </c>
      <c r="X489" s="2" t="n">
        <v>3</v>
      </c>
      <c r="Y489" s="2" t="n">
        <v>2</v>
      </c>
      <c r="Z489" s="2" t="n">
        <v>3</v>
      </c>
    </row>
    <row r="490" customFormat="false" ht="15" hidden="false" customHeight="true" outlineLevel="0" collapsed="false">
      <c r="A490" s="2" t="n">
        <v>41</v>
      </c>
      <c r="B490" s="2" t="s">
        <v>26</v>
      </c>
      <c r="C490" s="2" t="s">
        <v>41</v>
      </c>
      <c r="D490" s="2" t="s">
        <v>35</v>
      </c>
      <c r="E490" s="2" t="n">
        <v>19</v>
      </c>
      <c r="F490" s="2" t="n">
        <v>1</v>
      </c>
      <c r="G490" s="2" t="s">
        <v>29</v>
      </c>
      <c r="H490" s="2" t="n">
        <v>489</v>
      </c>
      <c r="I490" s="2" t="s">
        <v>39</v>
      </c>
      <c r="J490" s="2" t="n">
        <v>2</v>
      </c>
      <c r="K490" s="2" t="s">
        <v>36</v>
      </c>
      <c r="L490" s="2" t="s">
        <v>46</v>
      </c>
      <c r="M490" s="2" t="n">
        <v>58280</v>
      </c>
      <c r="N490" s="2" t="n">
        <v>1</v>
      </c>
      <c r="O490" s="2" t="n">
        <v>13</v>
      </c>
      <c r="P490" s="2" t="n">
        <v>0</v>
      </c>
      <c r="Q490" s="2" t="n">
        <v>21</v>
      </c>
      <c r="R490" s="2" t="n">
        <v>0</v>
      </c>
      <c r="S490" s="2" t="n">
        <v>21</v>
      </c>
      <c r="T490" s="2" t="n">
        <v>5</v>
      </c>
      <c r="U490" s="2" t="n">
        <v>10</v>
      </c>
      <c r="V490" s="2" t="n">
        <v>2</v>
      </c>
      <c r="W490" s="2" t="n">
        <v>3</v>
      </c>
      <c r="X490" s="2" t="n">
        <v>3</v>
      </c>
      <c r="Y490" s="2" t="n">
        <v>3</v>
      </c>
      <c r="Z490" s="2" t="n">
        <v>3</v>
      </c>
    </row>
    <row r="491" customFormat="false" ht="15" hidden="false" customHeight="true" outlineLevel="0" collapsed="false">
      <c r="A491" s="2" t="n">
        <v>38</v>
      </c>
      <c r="B491" s="2" t="s">
        <v>26</v>
      </c>
      <c r="C491" s="2" t="s">
        <v>27</v>
      </c>
      <c r="D491" s="2" t="s">
        <v>35</v>
      </c>
      <c r="E491" s="2" t="n">
        <v>24</v>
      </c>
      <c r="F491" s="2" t="n">
        <v>2</v>
      </c>
      <c r="G491" s="2" t="s">
        <v>38</v>
      </c>
      <c r="H491" s="2" t="n">
        <v>490</v>
      </c>
      <c r="I491" s="2" t="s">
        <v>30</v>
      </c>
      <c r="J491" s="2" t="n">
        <v>1</v>
      </c>
      <c r="K491" s="2" t="s">
        <v>45</v>
      </c>
      <c r="L491" s="2" t="s">
        <v>37</v>
      </c>
      <c r="M491" s="2" t="n">
        <v>23260</v>
      </c>
      <c r="N491" s="2" t="n">
        <v>8</v>
      </c>
      <c r="O491" s="2" t="n">
        <v>14</v>
      </c>
      <c r="P491" s="2" t="n">
        <v>0</v>
      </c>
      <c r="Q491" s="2" t="n">
        <v>19</v>
      </c>
      <c r="R491" s="2" t="n">
        <v>3</v>
      </c>
      <c r="S491" s="2" t="n">
        <v>1</v>
      </c>
      <c r="T491" s="2" t="n">
        <v>0</v>
      </c>
      <c r="U491" s="2" t="n">
        <v>0</v>
      </c>
      <c r="V491" s="2"/>
      <c r="W491" s="2" t="n">
        <v>4</v>
      </c>
      <c r="X491" s="2" t="n">
        <v>3</v>
      </c>
      <c r="Y491" s="2" t="n">
        <v>4</v>
      </c>
      <c r="Z491" s="2" t="n">
        <v>3</v>
      </c>
    </row>
    <row r="492" customFormat="false" ht="15" hidden="false" customHeight="true" outlineLevel="0" collapsed="false">
      <c r="A492" s="2" t="n">
        <v>26</v>
      </c>
      <c r="B492" s="2" t="s">
        <v>33</v>
      </c>
      <c r="C492" s="2" t="s">
        <v>41</v>
      </c>
      <c r="D492" s="2" t="s">
        <v>35</v>
      </c>
      <c r="E492" s="2" t="n">
        <v>21</v>
      </c>
      <c r="F492" s="2" t="n">
        <v>1</v>
      </c>
      <c r="G492" s="2" t="s">
        <v>29</v>
      </c>
      <c r="H492" s="2" t="n">
        <v>491</v>
      </c>
      <c r="I492" s="2" t="s">
        <v>30</v>
      </c>
      <c r="J492" s="2" t="n">
        <v>1</v>
      </c>
      <c r="K492" s="2" t="s">
        <v>47</v>
      </c>
      <c r="L492" s="2" t="s">
        <v>37</v>
      </c>
      <c r="M492" s="2" t="n">
        <v>135250</v>
      </c>
      <c r="N492" s="2" t="n">
        <v>8</v>
      </c>
      <c r="O492" s="2" t="n">
        <v>17</v>
      </c>
      <c r="P492" s="2" t="n">
        <v>1</v>
      </c>
      <c r="Q492" s="2" t="n">
        <v>7</v>
      </c>
      <c r="R492" s="2" t="n">
        <v>4</v>
      </c>
      <c r="S492" s="2" t="n">
        <v>2</v>
      </c>
      <c r="T492" s="2" t="n">
        <v>2</v>
      </c>
      <c r="U492" s="2" t="n">
        <v>2</v>
      </c>
      <c r="V492" s="2" t="n">
        <v>2</v>
      </c>
      <c r="W492" s="2" t="n">
        <v>1</v>
      </c>
      <c r="X492" s="2" t="n">
        <v>3</v>
      </c>
      <c r="Y492" s="2" t="n">
        <v>2</v>
      </c>
      <c r="Z492" s="2" t="n">
        <v>3</v>
      </c>
    </row>
    <row r="493" customFormat="false" ht="15" hidden="false" customHeight="true" outlineLevel="0" collapsed="false">
      <c r="A493" s="2" t="n">
        <v>52</v>
      </c>
      <c r="B493" s="2" t="s">
        <v>33</v>
      </c>
      <c r="C493" s="2" t="s">
        <v>27</v>
      </c>
      <c r="D493" s="2" t="s">
        <v>35</v>
      </c>
      <c r="E493" s="2" t="n">
        <v>5</v>
      </c>
      <c r="F493" s="2" t="n">
        <v>4</v>
      </c>
      <c r="G493" s="2" t="s">
        <v>43</v>
      </c>
      <c r="H493" s="2" t="n">
        <v>492</v>
      </c>
      <c r="I493" s="2" t="s">
        <v>30</v>
      </c>
      <c r="J493" s="2" t="n">
        <v>4</v>
      </c>
      <c r="K493" s="2" t="s">
        <v>42</v>
      </c>
      <c r="L493" s="2" t="s">
        <v>32</v>
      </c>
      <c r="M493" s="2" t="n">
        <v>14200</v>
      </c>
      <c r="N493" s="2" t="n">
        <v>1</v>
      </c>
      <c r="O493" s="2" t="n">
        <v>13</v>
      </c>
      <c r="P493" s="2" t="n">
        <v>1</v>
      </c>
      <c r="Q493" s="2" t="n">
        <v>33</v>
      </c>
      <c r="R493" s="2" t="n">
        <v>2</v>
      </c>
      <c r="S493" s="2" t="n">
        <v>32</v>
      </c>
      <c r="T493" s="2" t="n">
        <v>6</v>
      </c>
      <c r="U493" s="2" t="n">
        <v>9</v>
      </c>
      <c r="V493" s="2" t="n">
        <v>1</v>
      </c>
      <c r="W493" s="2" t="n">
        <v>4</v>
      </c>
      <c r="X493" s="2" t="n">
        <v>3</v>
      </c>
      <c r="Y493" s="2" t="n">
        <v>4</v>
      </c>
      <c r="Z493" s="2" t="n">
        <v>3</v>
      </c>
    </row>
    <row r="494" customFormat="false" ht="15" hidden="false" customHeight="true" outlineLevel="0" collapsed="false">
      <c r="A494" s="2" t="n">
        <v>44</v>
      </c>
      <c r="B494" s="2" t="s">
        <v>26</v>
      </c>
      <c r="C494" s="2" t="s">
        <v>27</v>
      </c>
      <c r="D494" s="2" t="s">
        <v>35</v>
      </c>
      <c r="E494" s="2" t="n">
        <v>16</v>
      </c>
      <c r="F494" s="2" t="n">
        <v>3</v>
      </c>
      <c r="G494" s="2" t="s">
        <v>29</v>
      </c>
      <c r="H494" s="2" t="n">
        <v>493</v>
      </c>
      <c r="I494" s="2" t="s">
        <v>30</v>
      </c>
      <c r="J494" s="2" t="n">
        <v>1</v>
      </c>
      <c r="K494" s="2" t="s">
        <v>31</v>
      </c>
      <c r="L494" s="2" t="s">
        <v>32</v>
      </c>
      <c r="M494" s="2" t="n">
        <v>80200</v>
      </c>
      <c r="N494" s="2" t="n">
        <v>3</v>
      </c>
      <c r="O494" s="2" t="n">
        <v>11</v>
      </c>
      <c r="P494" s="2" t="n">
        <v>1</v>
      </c>
      <c r="Q494" s="2" t="n">
        <v>23</v>
      </c>
      <c r="R494" s="2" t="n">
        <v>2</v>
      </c>
      <c r="S494" s="2" t="n">
        <v>12</v>
      </c>
      <c r="T494" s="2" t="n">
        <v>11</v>
      </c>
      <c r="U494" s="2" t="n">
        <v>11</v>
      </c>
      <c r="V494" s="2" t="n">
        <v>4</v>
      </c>
      <c r="W494" s="2" t="n">
        <v>4</v>
      </c>
      <c r="X494" s="2" t="n">
        <v>3</v>
      </c>
      <c r="Y494" s="2" t="n">
        <v>3</v>
      </c>
      <c r="Z494" s="2" t="n">
        <v>3</v>
      </c>
    </row>
    <row r="495" customFormat="false" ht="15" hidden="false" customHeight="true" outlineLevel="0" collapsed="false">
      <c r="A495" s="2" t="n">
        <v>50</v>
      </c>
      <c r="B495" s="2" t="s">
        <v>26</v>
      </c>
      <c r="C495" s="2" t="s">
        <v>41</v>
      </c>
      <c r="D495" s="2" t="s">
        <v>42</v>
      </c>
      <c r="E495" s="2" t="n">
        <v>2</v>
      </c>
      <c r="F495" s="2" t="n">
        <v>2</v>
      </c>
      <c r="G495" s="2" t="s">
        <v>29</v>
      </c>
      <c r="H495" s="2" t="n">
        <v>494</v>
      </c>
      <c r="I495" s="2" t="s">
        <v>39</v>
      </c>
      <c r="J495" s="2" t="n">
        <v>1</v>
      </c>
      <c r="K495" s="2" t="s">
        <v>45</v>
      </c>
      <c r="L495" s="2" t="s">
        <v>32</v>
      </c>
      <c r="M495" s="2" t="n">
        <v>36880</v>
      </c>
      <c r="N495" s="2" t="n">
        <v>0</v>
      </c>
      <c r="O495" s="2" t="n">
        <v>11</v>
      </c>
      <c r="P495" s="2" t="n">
        <v>0</v>
      </c>
      <c r="Q495" s="2" t="n">
        <v>19</v>
      </c>
      <c r="R495" s="2" t="n">
        <v>3</v>
      </c>
      <c r="S495" s="2" t="n">
        <v>18</v>
      </c>
      <c r="T495" s="2" t="n">
        <v>0</v>
      </c>
      <c r="U495" s="2" t="n">
        <v>13</v>
      </c>
      <c r="V495" s="2" t="n">
        <v>4</v>
      </c>
      <c r="W495" s="2" t="n">
        <v>3</v>
      </c>
      <c r="X495" s="2" t="n">
        <v>3</v>
      </c>
      <c r="Y495" s="2" t="n">
        <v>2</v>
      </c>
      <c r="Z495" s="2" t="n">
        <v>3</v>
      </c>
    </row>
    <row r="496" customFormat="false" ht="15" hidden="false" customHeight="true" outlineLevel="0" collapsed="false">
      <c r="A496" s="2" t="n">
        <v>36</v>
      </c>
      <c r="B496" s="2" t="s">
        <v>33</v>
      </c>
      <c r="C496" s="2" t="s">
        <v>27</v>
      </c>
      <c r="D496" s="2" t="s">
        <v>28</v>
      </c>
      <c r="E496" s="2" t="n">
        <v>2</v>
      </c>
      <c r="F496" s="2" t="n">
        <v>4</v>
      </c>
      <c r="G496" s="2" t="s">
        <v>51</v>
      </c>
      <c r="H496" s="2" t="n">
        <v>495</v>
      </c>
      <c r="I496" s="2" t="s">
        <v>39</v>
      </c>
      <c r="J496" s="2" t="n">
        <v>4</v>
      </c>
      <c r="K496" s="2" t="s">
        <v>40</v>
      </c>
      <c r="L496" s="2" t="s">
        <v>37</v>
      </c>
      <c r="M496" s="2" t="n">
        <v>54820</v>
      </c>
      <c r="N496" s="2" t="n">
        <v>1</v>
      </c>
      <c r="O496" s="2" t="n">
        <v>18</v>
      </c>
      <c r="P496" s="2" t="n">
        <v>0</v>
      </c>
      <c r="Q496" s="2" t="n">
        <v>18</v>
      </c>
      <c r="R496" s="2" t="n">
        <v>3</v>
      </c>
      <c r="S496" s="2" t="n">
        <v>17</v>
      </c>
      <c r="T496" s="2" t="n">
        <v>15</v>
      </c>
      <c r="U496" s="2" t="n">
        <v>14</v>
      </c>
      <c r="V496" s="2" t="n">
        <v>3</v>
      </c>
      <c r="W496" s="2" t="n">
        <v>1</v>
      </c>
      <c r="X496" s="2" t="n">
        <v>3</v>
      </c>
      <c r="Y496" s="2" t="n">
        <v>3</v>
      </c>
      <c r="Z496" s="2" t="n">
        <v>3</v>
      </c>
    </row>
    <row r="497" customFormat="false" ht="15" hidden="false" customHeight="true" outlineLevel="0" collapsed="false">
      <c r="A497" s="2" t="n">
        <v>39</v>
      </c>
      <c r="B497" s="2" t="s">
        <v>26</v>
      </c>
      <c r="C497" s="2" t="s">
        <v>34</v>
      </c>
      <c r="D497" s="2" t="s">
        <v>28</v>
      </c>
      <c r="E497" s="2" t="n">
        <v>11</v>
      </c>
      <c r="F497" s="2" t="n">
        <v>3</v>
      </c>
      <c r="G497" s="2" t="s">
        <v>50</v>
      </c>
      <c r="H497" s="2" t="n">
        <v>496</v>
      </c>
      <c r="I497" s="2" t="s">
        <v>39</v>
      </c>
      <c r="J497" s="2" t="n">
        <v>1</v>
      </c>
      <c r="K497" s="2" t="s">
        <v>40</v>
      </c>
      <c r="L497" s="2" t="s">
        <v>37</v>
      </c>
      <c r="M497" s="2" t="n">
        <v>160150</v>
      </c>
      <c r="N497" s="2" t="n">
        <v>1</v>
      </c>
      <c r="O497" s="2" t="n">
        <v>11</v>
      </c>
      <c r="P497" s="2" t="n">
        <v>0</v>
      </c>
      <c r="Q497" s="2" t="n">
        <v>21</v>
      </c>
      <c r="R497" s="2" t="n">
        <v>3</v>
      </c>
      <c r="S497" s="2" t="n">
        <v>21</v>
      </c>
      <c r="T497" s="2" t="n">
        <v>2</v>
      </c>
      <c r="U497" s="2" t="n">
        <v>8</v>
      </c>
      <c r="V497" s="2" t="n">
        <v>4</v>
      </c>
      <c r="W497" s="2" t="n">
        <v>1</v>
      </c>
      <c r="X497" s="2" t="n">
        <v>3</v>
      </c>
      <c r="Y497" s="2" t="n">
        <v>4</v>
      </c>
      <c r="Z497" s="2" t="n">
        <v>3</v>
      </c>
    </row>
    <row r="498" customFormat="false" ht="15" hidden="false" customHeight="true" outlineLevel="0" collapsed="false">
      <c r="A498" s="2" t="n">
        <v>33</v>
      </c>
      <c r="B498" s="2" t="s">
        <v>26</v>
      </c>
      <c r="C498" s="2" t="s">
        <v>41</v>
      </c>
      <c r="D498" s="2" t="s">
        <v>28</v>
      </c>
      <c r="E498" s="2" t="n">
        <v>9</v>
      </c>
      <c r="F498" s="2" t="n">
        <v>2</v>
      </c>
      <c r="G498" s="2" t="s">
        <v>51</v>
      </c>
      <c r="H498" s="2" t="n">
        <v>497</v>
      </c>
      <c r="I498" s="2" t="s">
        <v>39</v>
      </c>
      <c r="J498" s="2" t="n">
        <v>5</v>
      </c>
      <c r="K498" s="2" t="s">
        <v>48</v>
      </c>
      <c r="L498" s="2" t="s">
        <v>37</v>
      </c>
      <c r="M498" s="2" t="n">
        <v>12000</v>
      </c>
      <c r="N498" s="2" t="n">
        <v>0</v>
      </c>
      <c r="O498" s="2" t="n">
        <v>11</v>
      </c>
      <c r="P498" s="2" t="n">
        <v>1</v>
      </c>
      <c r="Q498" s="2" t="n">
        <v>3</v>
      </c>
      <c r="R498" s="2" t="n">
        <v>3</v>
      </c>
      <c r="S498" s="2" t="n">
        <v>2</v>
      </c>
      <c r="T498" s="2" t="n">
        <v>2</v>
      </c>
      <c r="U498" s="2" t="n">
        <v>2</v>
      </c>
      <c r="V498" s="2" t="n">
        <v>2</v>
      </c>
      <c r="W498" s="2" t="n">
        <v>4</v>
      </c>
      <c r="X498" s="2" t="n">
        <v>2</v>
      </c>
      <c r="Y498" s="2" t="n">
        <v>3</v>
      </c>
      <c r="Z498" s="2" t="n">
        <v>3</v>
      </c>
    </row>
    <row r="499" customFormat="false" ht="15" hidden="false" customHeight="true" outlineLevel="0" collapsed="false">
      <c r="A499" s="2" t="n">
        <v>45</v>
      </c>
      <c r="B499" s="2" t="s">
        <v>26</v>
      </c>
      <c r="C499" s="2" t="s">
        <v>27</v>
      </c>
      <c r="D499" s="2" t="s">
        <v>35</v>
      </c>
      <c r="E499" s="2" t="n">
        <v>7</v>
      </c>
      <c r="F499" s="2" t="n">
        <v>2</v>
      </c>
      <c r="G499" s="2" t="s">
        <v>38</v>
      </c>
      <c r="H499" s="2" t="n">
        <v>498</v>
      </c>
      <c r="I499" s="2" t="s">
        <v>39</v>
      </c>
      <c r="J499" s="2" t="n">
        <v>1</v>
      </c>
      <c r="K499" s="2" t="s">
        <v>42</v>
      </c>
      <c r="L499" s="2" t="s">
        <v>32</v>
      </c>
      <c r="M499" s="2" t="n">
        <v>56610</v>
      </c>
      <c r="N499" s="2" t="n">
        <v>3</v>
      </c>
      <c r="O499" s="2" t="n">
        <v>12</v>
      </c>
      <c r="P499" s="2" t="n">
        <v>0</v>
      </c>
      <c r="Q499" s="2" t="n">
        <v>26</v>
      </c>
      <c r="R499" s="2" t="n">
        <v>2</v>
      </c>
      <c r="S499" s="2" t="n">
        <v>9</v>
      </c>
      <c r="T499" s="2" t="n">
        <v>1</v>
      </c>
      <c r="U499" s="2" t="n">
        <v>1</v>
      </c>
      <c r="V499" s="2" t="n">
        <v>4</v>
      </c>
      <c r="W499" s="2" t="n">
        <v>4</v>
      </c>
      <c r="X499" s="2" t="n">
        <v>4</v>
      </c>
      <c r="Y499" s="2" t="n">
        <v>2</v>
      </c>
      <c r="Z499" s="2" t="n">
        <v>3</v>
      </c>
    </row>
    <row r="500" customFormat="false" ht="15" hidden="false" customHeight="true" outlineLevel="0" collapsed="false">
      <c r="A500" s="2" t="n">
        <v>32</v>
      </c>
      <c r="B500" s="2" t="s">
        <v>26</v>
      </c>
      <c r="C500" s="2" t="s">
        <v>41</v>
      </c>
      <c r="D500" s="2" t="s">
        <v>35</v>
      </c>
      <c r="E500" s="2" t="n">
        <v>15</v>
      </c>
      <c r="F500" s="2" t="n">
        <v>3</v>
      </c>
      <c r="G500" s="2" t="s">
        <v>43</v>
      </c>
      <c r="H500" s="2" t="n">
        <v>499</v>
      </c>
      <c r="I500" s="2" t="s">
        <v>39</v>
      </c>
      <c r="J500" s="2" t="n">
        <v>2</v>
      </c>
      <c r="K500" s="2" t="s">
        <v>49</v>
      </c>
      <c r="L500" s="2" t="s">
        <v>37</v>
      </c>
      <c r="M500" s="2" t="n">
        <v>69290</v>
      </c>
      <c r="N500" s="2" t="n">
        <v>9</v>
      </c>
      <c r="O500" s="2" t="n">
        <v>20</v>
      </c>
      <c r="P500" s="2" t="n">
        <v>0</v>
      </c>
      <c r="Q500" s="2" t="n">
        <v>10</v>
      </c>
      <c r="R500" s="2" t="n">
        <v>6</v>
      </c>
      <c r="S500" s="2" t="n">
        <v>8</v>
      </c>
      <c r="T500" s="2" t="n">
        <v>7</v>
      </c>
      <c r="U500" s="2" t="n">
        <v>7</v>
      </c>
      <c r="V500" s="2" t="n">
        <v>4</v>
      </c>
      <c r="W500" s="2" t="n">
        <v>3</v>
      </c>
      <c r="X500" s="2" t="n">
        <v>3</v>
      </c>
      <c r="Y500" s="2" t="n">
        <v>1</v>
      </c>
      <c r="Z500" s="2" t="n">
        <v>4</v>
      </c>
    </row>
    <row r="501" customFormat="false" ht="15" hidden="false" customHeight="true" outlineLevel="0" collapsed="false">
      <c r="A501" s="2" t="n">
        <v>34</v>
      </c>
      <c r="B501" s="2" t="s">
        <v>26</v>
      </c>
      <c r="C501" s="2" t="s">
        <v>27</v>
      </c>
      <c r="D501" s="2" t="s">
        <v>28</v>
      </c>
      <c r="E501" s="2" t="n">
        <v>6</v>
      </c>
      <c r="F501" s="2" t="n">
        <v>4</v>
      </c>
      <c r="G501" s="2" t="s">
        <v>50</v>
      </c>
      <c r="H501" s="2" t="n">
        <v>500</v>
      </c>
      <c r="I501" s="2" t="s">
        <v>39</v>
      </c>
      <c r="J501" s="2" t="n">
        <v>2</v>
      </c>
      <c r="K501" s="2" t="s">
        <v>44</v>
      </c>
      <c r="L501" s="2" t="s">
        <v>46</v>
      </c>
      <c r="M501" s="2" t="n">
        <v>96130</v>
      </c>
      <c r="N501" s="2" t="n">
        <v>0</v>
      </c>
      <c r="O501" s="2" t="n">
        <v>12</v>
      </c>
      <c r="P501" s="2" t="n">
        <v>1</v>
      </c>
      <c r="Q501" s="2" t="n">
        <v>16</v>
      </c>
      <c r="R501" s="2" t="n">
        <v>5</v>
      </c>
      <c r="S501" s="2" t="n">
        <v>15</v>
      </c>
      <c r="T501" s="2" t="n">
        <v>0</v>
      </c>
      <c r="U501" s="2" t="n">
        <v>9</v>
      </c>
      <c r="V501" s="2" t="n">
        <v>2</v>
      </c>
      <c r="W501" s="2" t="n">
        <v>4</v>
      </c>
      <c r="X501" s="2" t="n">
        <v>2</v>
      </c>
      <c r="Y501" s="2" t="n">
        <v>2</v>
      </c>
      <c r="Z501" s="2" t="n">
        <v>3</v>
      </c>
    </row>
    <row r="502" customFormat="false" ht="15" hidden="false" customHeight="true" outlineLevel="0" collapsed="false">
      <c r="A502" s="2" t="n">
        <v>59</v>
      </c>
      <c r="B502" s="2" t="s">
        <v>26</v>
      </c>
      <c r="C502" s="2" t="s">
        <v>27</v>
      </c>
      <c r="D502" s="2" t="s">
        <v>35</v>
      </c>
      <c r="E502" s="2" t="n">
        <v>5</v>
      </c>
      <c r="F502" s="2" t="n">
        <v>3</v>
      </c>
      <c r="G502" s="2" t="s">
        <v>29</v>
      </c>
      <c r="H502" s="2" t="n">
        <v>501</v>
      </c>
      <c r="I502" s="2" t="s">
        <v>39</v>
      </c>
      <c r="J502" s="2" t="n">
        <v>2</v>
      </c>
      <c r="K502" s="2" t="s">
        <v>36</v>
      </c>
      <c r="L502" s="2" t="s">
        <v>32</v>
      </c>
      <c r="M502" s="2" t="n">
        <v>56740</v>
      </c>
      <c r="N502" s="2" t="n">
        <v>3</v>
      </c>
      <c r="O502" s="2" t="n">
        <v>12</v>
      </c>
      <c r="P502" s="2" t="n">
        <v>0</v>
      </c>
      <c r="Q502" s="2" t="n">
        <v>14</v>
      </c>
      <c r="R502" s="2" t="n">
        <v>6</v>
      </c>
      <c r="S502" s="2" t="n">
        <v>6</v>
      </c>
      <c r="T502" s="2" t="n">
        <v>0</v>
      </c>
      <c r="U502" s="2" t="n">
        <v>4</v>
      </c>
      <c r="V502" s="2" t="n">
        <v>2</v>
      </c>
      <c r="W502" s="2" t="n">
        <v>4</v>
      </c>
      <c r="X502" s="2" t="n">
        <v>1</v>
      </c>
      <c r="Y502" s="2" t="n">
        <v>3</v>
      </c>
      <c r="Z502" s="2" t="n">
        <v>3</v>
      </c>
    </row>
    <row r="503" customFormat="false" ht="15" hidden="false" customHeight="true" outlineLevel="0" collapsed="false">
      <c r="A503" s="2" t="n">
        <v>45</v>
      </c>
      <c r="B503" s="2" t="s">
        <v>26</v>
      </c>
      <c r="C503" s="2" t="s">
        <v>27</v>
      </c>
      <c r="D503" s="2" t="s">
        <v>35</v>
      </c>
      <c r="E503" s="2" t="n">
        <v>16</v>
      </c>
      <c r="F503" s="2" t="n">
        <v>1</v>
      </c>
      <c r="G503" s="2" t="s">
        <v>43</v>
      </c>
      <c r="H503" s="2" t="n">
        <v>502</v>
      </c>
      <c r="I503" s="2" t="s">
        <v>39</v>
      </c>
      <c r="J503" s="2" t="n">
        <v>2</v>
      </c>
      <c r="K503" s="2" t="s">
        <v>40</v>
      </c>
      <c r="L503" s="2" t="s">
        <v>37</v>
      </c>
      <c r="M503" s="2" t="n">
        <v>54840</v>
      </c>
      <c r="N503" s="2" t="n">
        <v>1</v>
      </c>
      <c r="O503" s="2" t="n">
        <v>20</v>
      </c>
      <c r="P503" s="2" t="n">
        <v>3</v>
      </c>
      <c r="Q503" s="2" t="n">
        <v>6</v>
      </c>
      <c r="R503" s="2" t="n">
        <v>6</v>
      </c>
      <c r="S503" s="2" t="n">
        <v>6</v>
      </c>
      <c r="T503" s="2" t="n">
        <v>0</v>
      </c>
      <c r="U503" s="2" t="n">
        <v>4</v>
      </c>
      <c r="V503" s="2" t="n">
        <v>2</v>
      </c>
      <c r="W503" s="2" t="n">
        <v>2</v>
      </c>
      <c r="X503" s="2" t="n">
        <v>3</v>
      </c>
      <c r="Y503" s="2" t="n">
        <v>3</v>
      </c>
      <c r="Z503" s="2" t="n">
        <v>4</v>
      </c>
    </row>
    <row r="504" customFormat="false" ht="15" hidden="false" customHeight="true" outlineLevel="0" collapsed="false">
      <c r="A504" s="2" t="n">
        <v>53</v>
      </c>
      <c r="B504" s="2" t="s">
        <v>26</v>
      </c>
      <c r="C504" s="2" t="s">
        <v>34</v>
      </c>
      <c r="D504" s="2" t="s">
        <v>28</v>
      </c>
      <c r="E504" s="2" t="n">
        <v>8</v>
      </c>
      <c r="F504" s="2" t="n">
        <v>2</v>
      </c>
      <c r="G504" s="2" t="s">
        <v>43</v>
      </c>
      <c r="H504" s="2" t="n">
        <v>503</v>
      </c>
      <c r="I504" s="2" t="s">
        <v>39</v>
      </c>
      <c r="J504" s="2" t="n">
        <v>2</v>
      </c>
      <c r="K504" s="2" t="s">
        <v>36</v>
      </c>
      <c r="L504" s="2" t="s">
        <v>32</v>
      </c>
      <c r="M504" s="2" t="n">
        <v>120610</v>
      </c>
      <c r="N504" s="2" t="n">
        <v>2</v>
      </c>
      <c r="O504" s="2" t="n">
        <v>20</v>
      </c>
      <c r="P504" s="2" t="n">
        <v>1</v>
      </c>
      <c r="Q504" s="2" t="n">
        <v>30</v>
      </c>
      <c r="R504" s="2" t="n">
        <v>2</v>
      </c>
      <c r="S504" s="2" t="n">
        <v>15</v>
      </c>
      <c r="T504" s="2" t="n">
        <v>6</v>
      </c>
      <c r="U504" s="2" t="n">
        <v>12</v>
      </c>
      <c r="V504" s="2" t="n">
        <v>3</v>
      </c>
      <c r="W504" s="2" t="n">
        <v>2</v>
      </c>
      <c r="X504" s="2" t="n">
        <v>3</v>
      </c>
      <c r="Y504" s="2" t="n">
        <v>4</v>
      </c>
      <c r="Z504" s="2" t="n">
        <v>4</v>
      </c>
    </row>
    <row r="505" customFormat="false" ht="15" hidden="false" customHeight="true" outlineLevel="0" collapsed="false">
      <c r="A505" s="2" t="n">
        <v>36</v>
      </c>
      <c r="B505" s="2" t="s">
        <v>33</v>
      </c>
      <c r="C505" s="2" t="s">
        <v>27</v>
      </c>
      <c r="D505" s="2" t="s">
        <v>35</v>
      </c>
      <c r="E505" s="2" t="n">
        <v>7</v>
      </c>
      <c r="F505" s="2" t="n">
        <v>2</v>
      </c>
      <c r="G505" s="2" t="s">
        <v>29</v>
      </c>
      <c r="H505" s="2" t="n">
        <v>504</v>
      </c>
      <c r="I505" s="2" t="s">
        <v>30</v>
      </c>
      <c r="J505" s="2" t="n">
        <v>1</v>
      </c>
      <c r="K505" s="2" t="s">
        <v>36</v>
      </c>
      <c r="L505" s="2" t="s">
        <v>46</v>
      </c>
      <c r="M505" s="2" t="n">
        <v>56600</v>
      </c>
      <c r="N505" s="2" t="n">
        <v>7</v>
      </c>
      <c r="O505" s="2" t="n">
        <v>12</v>
      </c>
      <c r="P505" s="2" t="n">
        <v>0</v>
      </c>
      <c r="Q505" s="2" t="n">
        <v>9</v>
      </c>
      <c r="R505" s="2" t="n">
        <v>3</v>
      </c>
      <c r="S505" s="2" t="n">
        <v>1</v>
      </c>
      <c r="T505" s="2" t="n">
        <v>0</v>
      </c>
      <c r="U505" s="2" t="n">
        <v>0</v>
      </c>
      <c r="V505" s="2" t="n">
        <v>1</v>
      </c>
      <c r="W505" s="2" t="n">
        <v>3</v>
      </c>
      <c r="X505" s="2" t="n">
        <v>2</v>
      </c>
      <c r="Y505" s="2" t="n">
        <v>3</v>
      </c>
      <c r="Z505" s="2" t="n">
        <v>3</v>
      </c>
    </row>
    <row r="506" customFormat="false" ht="15" hidden="false" customHeight="true" outlineLevel="0" collapsed="false">
      <c r="A506" s="2" t="n">
        <v>26</v>
      </c>
      <c r="B506" s="2" t="s">
        <v>33</v>
      </c>
      <c r="C506" s="2" t="s">
        <v>34</v>
      </c>
      <c r="D506" s="2" t="s">
        <v>28</v>
      </c>
      <c r="E506" s="2" t="n">
        <v>2</v>
      </c>
      <c r="F506" s="2" t="n">
        <v>3</v>
      </c>
      <c r="G506" s="2" t="s">
        <v>29</v>
      </c>
      <c r="H506" s="2" t="n">
        <v>505</v>
      </c>
      <c r="I506" s="2" t="s">
        <v>39</v>
      </c>
      <c r="J506" s="2" t="n">
        <v>2</v>
      </c>
      <c r="K506" s="2" t="s">
        <v>36</v>
      </c>
      <c r="L506" s="2" t="s">
        <v>32</v>
      </c>
      <c r="M506" s="2" t="n">
        <v>48210</v>
      </c>
      <c r="N506" s="2" t="n">
        <v>6</v>
      </c>
      <c r="O506" s="2" t="n">
        <v>14</v>
      </c>
      <c r="P506" s="2" t="n">
        <v>2</v>
      </c>
      <c r="Q506" s="2" t="n">
        <v>6</v>
      </c>
      <c r="R506" s="2" t="n">
        <v>2</v>
      </c>
      <c r="S506" s="2" t="n">
        <v>3</v>
      </c>
      <c r="T506" s="2" t="n">
        <v>1</v>
      </c>
      <c r="U506" s="2" t="n">
        <v>2</v>
      </c>
      <c r="V506" s="2" t="n">
        <v>1</v>
      </c>
      <c r="W506" s="2" t="n">
        <v>1</v>
      </c>
      <c r="X506" s="2" t="n">
        <v>3</v>
      </c>
      <c r="Y506" s="2" t="n">
        <v>3</v>
      </c>
      <c r="Z506" s="2" t="n">
        <v>3</v>
      </c>
    </row>
    <row r="507" customFormat="false" ht="15" hidden="false" customHeight="true" outlineLevel="0" collapsed="false">
      <c r="A507" s="2" t="n">
        <v>34</v>
      </c>
      <c r="B507" s="2" t="s">
        <v>26</v>
      </c>
      <c r="C507" s="2" t="s">
        <v>27</v>
      </c>
      <c r="D507" s="2" t="s">
        <v>35</v>
      </c>
      <c r="E507" s="2" t="n">
        <v>2</v>
      </c>
      <c r="F507" s="2" t="n">
        <v>2</v>
      </c>
      <c r="G507" s="2" t="s">
        <v>29</v>
      </c>
      <c r="H507" s="2" t="n">
        <v>506</v>
      </c>
      <c r="I507" s="2" t="s">
        <v>39</v>
      </c>
      <c r="J507" s="2" t="n">
        <v>1</v>
      </c>
      <c r="K507" s="2" t="s">
        <v>48</v>
      </c>
      <c r="L507" s="2" t="s">
        <v>32</v>
      </c>
      <c r="M507" s="2" t="n">
        <v>64100</v>
      </c>
      <c r="N507" s="2" t="n">
        <v>1</v>
      </c>
      <c r="O507" s="2" t="n">
        <v>13</v>
      </c>
      <c r="P507" s="2" t="n">
        <v>1</v>
      </c>
      <c r="Q507" s="2" t="n">
        <v>1</v>
      </c>
      <c r="R507" s="2" t="n">
        <v>5</v>
      </c>
      <c r="S507" s="2" t="n">
        <v>1</v>
      </c>
      <c r="T507" s="2" t="n">
        <v>0</v>
      </c>
      <c r="U507" s="2" t="n">
        <v>0</v>
      </c>
      <c r="V507" s="2" t="n">
        <v>3</v>
      </c>
      <c r="W507" s="2" t="n">
        <v>3</v>
      </c>
      <c r="X507" s="2" t="n">
        <v>3</v>
      </c>
      <c r="Y507" s="2" t="n">
        <v>2</v>
      </c>
      <c r="Z507" s="2" t="n">
        <v>3</v>
      </c>
    </row>
    <row r="508" customFormat="false" ht="15" hidden="false" customHeight="true" outlineLevel="0" collapsed="false">
      <c r="A508" s="2" t="n">
        <v>28</v>
      </c>
      <c r="B508" s="2" t="s">
        <v>26</v>
      </c>
      <c r="C508" s="2" t="s">
        <v>27</v>
      </c>
      <c r="D508" s="2" t="s">
        <v>35</v>
      </c>
      <c r="E508" s="2" t="n">
        <v>10</v>
      </c>
      <c r="F508" s="2" t="n">
        <v>3</v>
      </c>
      <c r="G508" s="2" t="s">
        <v>38</v>
      </c>
      <c r="H508" s="2" t="n">
        <v>507</v>
      </c>
      <c r="I508" s="2" t="s">
        <v>39</v>
      </c>
      <c r="J508" s="2" t="n">
        <v>2</v>
      </c>
      <c r="K508" s="2" t="s">
        <v>48</v>
      </c>
      <c r="L508" s="2" t="s">
        <v>32</v>
      </c>
      <c r="M508" s="2" t="n">
        <v>52100</v>
      </c>
      <c r="N508" s="2" t="n">
        <v>1</v>
      </c>
      <c r="O508" s="2" t="n">
        <v>15</v>
      </c>
      <c r="P508" s="2" t="n">
        <v>0</v>
      </c>
      <c r="Q508" s="2" t="n">
        <v>1</v>
      </c>
      <c r="R508" s="2" t="n">
        <v>1</v>
      </c>
      <c r="S508" s="2" t="n">
        <v>1</v>
      </c>
      <c r="T508" s="2" t="n">
        <v>0</v>
      </c>
      <c r="U508" s="2" t="n">
        <v>0</v>
      </c>
      <c r="V508" s="2" t="n">
        <v>4</v>
      </c>
      <c r="W508" s="2" t="n">
        <v>2</v>
      </c>
      <c r="X508" s="2" t="n">
        <v>3</v>
      </c>
      <c r="Y508" s="2" t="n">
        <v>4</v>
      </c>
      <c r="Z508" s="2" t="n">
        <v>3</v>
      </c>
    </row>
    <row r="509" customFormat="false" ht="15" hidden="false" customHeight="true" outlineLevel="0" collapsed="false">
      <c r="A509" s="2" t="n">
        <v>38</v>
      </c>
      <c r="B509" s="2" t="s">
        <v>26</v>
      </c>
      <c r="C509" s="2" t="s">
        <v>34</v>
      </c>
      <c r="D509" s="2" t="s">
        <v>28</v>
      </c>
      <c r="E509" s="2" t="n">
        <v>9</v>
      </c>
      <c r="F509" s="2" t="n">
        <v>4</v>
      </c>
      <c r="G509" s="2" t="s">
        <v>43</v>
      </c>
      <c r="H509" s="2" t="n">
        <v>508</v>
      </c>
      <c r="I509" s="2" t="s">
        <v>39</v>
      </c>
      <c r="J509" s="2" t="n">
        <v>2</v>
      </c>
      <c r="K509" s="2" t="s">
        <v>36</v>
      </c>
      <c r="L509" s="2" t="s">
        <v>32</v>
      </c>
      <c r="M509" s="2" t="n">
        <v>26950</v>
      </c>
      <c r="N509" s="2" t="n">
        <v>3</v>
      </c>
      <c r="O509" s="2" t="n">
        <v>14</v>
      </c>
      <c r="P509" s="2" t="n">
        <v>1</v>
      </c>
      <c r="Q509" s="2" t="n">
        <v>8</v>
      </c>
      <c r="R509" s="2" t="n">
        <v>4</v>
      </c>
      <c r="S509" s="2" t="n">
        <v>2</v>
      </c>
      <c r="T509" s="2" t="n">
        <v>2</v>
      </c>
      <c r="U509" s="2" t="n">
        <v>2</v>
      </c>
      <c r="V509" s="2" t="n">
        <v>3</v>
      </c>
      <c r="W509" s="2" t="n">
        <v>3</v>
      </c>
      <c r="X509" s="2" t="n">
        <v>3</v>
      </c>
      <c r="Y509" s="2" t="n">
        <v>1</v>
      </c>
      <c r="Z509" s="2" t="n">
        <v>3</v>
      </c>
    </row>
    <row r="510" customFormat="false" ht="15" hidden="false" customHeight="true" outlineLevel="0" collapsed="false">
      <c r="A510" s="2" t="n">
        <v>50</v>
      </c>
      <c r="B510" s="2" t="s">
        <v>26</v>
      </c>
      <c r="C510" s="2" t="s">
        <v>27</v>
      </c>
      <c r="D510" s="2" t="s">
        <v>35</v>
      </c>
      <c r="E510" s="2" t="n">
        <v>5</v>
      </c>
      <c r="F510" s="2" t="n">
        <v>4</v>
      </c>
      <c r="G510" s="2" t="s">
        <v>29</v>
      </c>
      <c r="H510" s="2" t="n">
        <v>509</v>
      </c>
      <c r="I510" s="2" t="s">
        <v>39</v>
      </c>
      <c r="J510" s="2" t="n">
        <v>1</v>
      </c>
      <c r="K510" s="2" t="s">
        <v>40</v>
      </c>
      <c r="L510" s="2" t="s">
        <v>32</v>
      </c>
      <c r="M510" s="2" t="n">
        <v>118780</v>
      </c>
      <c r="N510" s="2" t="n">
        <v>2</v>
      </c>
      <c r="O510" s="2" t="n">
        <v>13</v>
      </c>
      <c r="P510" s="2" t="n">
        <v>1</v>
      </c>
      <c r="Q510" s="2" t="n">
        <v>29</v>
      </c>
      <c r="R510" s="2" t="n">
        <v>2</v>
      </c>
      <c r="S510" s="2" t="n">
        <v>8</v>
      </c>
      <c r="T510" s="2" t="n">
        <v>7</v>
      </c>
      <c r="U510" s="2" t="n">
        <v>7</v>
      </c>
      <c r="V510" s="2" t="n">
        <v>2</v>
      </c>
      <c r="W510" s="2" t="n">
        <v>3</v>
      </c>
      <c r="X510" s="2" t="n">
        <v>2</v>
      </c>
      <c r="Y510" s="2" t="n">
        <v>3</v>
      </c>
      <c r="Z510" s="2" t="n">
        <v>3</v>
      </c>
    </row>
    <row r="511" customFormat="false" ht="15" hidden="false" customHeight="true" outlineLevel="0" collapsed="false">
      <c r="A511" s="2" t="n">
        <v>37</v>
      </c>
      <c r="B511" s="2" t="s">
        <v>26</v>
      </c>
      <c r="C511" s="2" t="s">
        <v>27</v>
      </c>
      <c r="D511" s="2" t="s">
        <v>35</v>
      </c>
      <c r="E511" s="2" t="n">
        <v>1</v>
      </c>
      <c r="F511" s="2" t="n">
        <v>3</v>
      </c>
      <c r="G511" s="2" t="s">
        <v>29</v>
      </c>
      <c r="H511" s="2" t="n">
        <v>510</v>
      </c>
      <c r="I511" s="2" t="s">
        <v>39</v>
      </c>
      <c r="J511" s="2" t="n">
        <v>1</v>
      </c>
      <c r="K511" s="2" t="s">
        <v>45</v>
      </c>
      <c r="L511" s="2" t="s">
        <v>37</v>
      </c>
      <c r="M511" s="2" t="n">
        <v>170680</v>
      </c>
      <c r="N511" s="2" t="n">
        <v>3</v>
      </c>
      <c r="O511" s="2" t="n">
        <v>23</v>
      </c>
      <c r="P511" s="2" t="n">
        <v>0</v>
      </c>
      <c r="Q511" s="2" t="n">
        <v>8</v>
      </c>
      <c r="R511" s="2" t="n">
        <v>6</v>
      </c>
      <c r="S511" s="2" t="n">
        <v>4</v>
      </c>
      <c r="T511" s="2" t="n">
        <v>0</v>
      </c>
      <c r="U511" s="2" t="n">
        <v>1</v>
      </c>
      <c r="V511" s="2" t="n">
        <v>4</v>
      </c>
      <c r="W511" s="2" t="n">
        <v>2</v>
      </c>
      <c r="X511" s="2" t="n">
        <v>2</v>
      </c>
      <c r="Y511" s="2" t="n">
        <v>3</v>
      </c>
      <c r="Z511" s="2" t="n">
        <v>4</v>
      </c>
    </row>
    <row r="512" customFormat="false" ht="15" hidden="false" customHeight="true" outlineLevel="0" collapsed="false">
      <c r="A512" s="2" t="n">
        <v>40</v>
      </c>
      <c r="B512" s="2" t="s">
        <v>26</v>
      </c>
      <c r="C512" s="2" t="s">
        <v>27</v>
      </c>
      <c r="D512" s="2" t="s">
        <v>42</v>
      </c>
      <c r="E512" s="2" t="n">
        <v>2</v>
      </c>
      <c r="F512" s="2" t="n">
        <v>3</v>
      </c>
      <c r="G512" s="2" t="s">
        <v>43</v>
      </c>
      <c r="H512" s="2" t="n">
        <v>511</v>
      </c>
      <c r="I512" s="2" t="s">
        <v>39</v>
      </c>
      <c r="J512" s="2" t="n">
        <v>5</v>
      </c>
      <c r="K512" s="2" t="s">
        <v>40</v>
      </c>
      <c r="L512" s="2" t="s">
        <v>32</v>
      </c>
      <c r="M512" s="2" t="n">
        <v>24550</v>
      </c>
      <c r="N512" s="2" t="n">
        <v>1</v>
      </c>
      <c r="O512" s="2" t="n">
        <v>15</v>
      </c>
      <c r="P512" s="2" t="n">
        <v>1</v>
      </c>
      <c r="Q512" s="2" t="n">
        <v>8</v>
      </c>
      <c r="R512" s="2" t="n">
        <v>2</v>
      </c>
      <c r="S512" s="2" t="n">
        <v>7</v>
      </c>
      <c r="T512" s="2" t="n">
        <v>7</v>
      </c>
      <c r="U512" s="2" t="n">
        <v>5</v>
      </c>
      <c r="V512" s="2" t="n">
        <v>3</v>
      </c>
      <c r="W512" s="2" t="n">
        <v>1</v>
      </c>
      <c r="X512" s="2" t="n">
        <v>2</v>
      </c>
      <c r="Y512" s="2" t="n">
        <v>3</v>
      </c>
      <c r="Z512" s="2" t="n">
        <v>3</v>
      </c>
    </row>
    <row r="513" customFormat="false" ht="15" hidden="false" customHeight="true" outlineLevel="0" collapsed="false">
      <c r="A513" s="2" t="n">
        <v>26</v>
      </c>
      <c r="B513" s="2" t="s">
        <v>26</v>
      </c>
      <c r="C513" s="2" t="s">
        <v>34</v>
      </c>
      <c r="D513" s="2" t="s">
        <v>35</v>
      </c>
      <c r="E513" s="2" t="n">
        <v>3</v>
      </c>
      <c r="F513" s="2" t="n">
        <v>3</v>
      </c>
      <c r="G513" s="2" t="s">
        <v>43</v>
      </c>
      <c r="H513" s="2" t="n">
        <v>512</v>
      </c>
      <c r="I513" s="2" t="s">
        <v>39</v>
      </c>
      <c r="J513" s="2" t="n">
        <v>2</v>
      </c>
      <c r="K513" s="2" t="s">
        <v>45</v>
      </c>
      <c r="L513" s="2" t="s">
        <v>46</v>
      </c>
      <c r="M513" s="2" t="n">
        <v>139640</v>
      </c>
      <c r="N513" s="2" t="n">
        <v>1</v>
      </c>
      <c r="O513" s="2" t="n">
        <v>11</v>
      </c>
      <c r="P513" s="2" t="n">
        <v>2</v>
      </c>
      <c r="Q513" s="2" t="n">
        <v>5</v>
      </c>
      <c r="R513" s="2" t="n">
        <v>1</v>
      </c>
      <c r="S513" s="2" t="n">
        <v>5</v>
      </c>
      <c r="T513" s="2" t="n">
        <v>1</v>
      </c>
      <c r="U513" s="2" t="n">
        <v>3</v>
      </c>
      <c r="V513" s="2" t="n">
        <v>1</v>
      </c>
      <c r="W513" s="2" t="n">
        <v>3</v>
      </c>
      <c r="X513" s="2" t="n">
        <v>3</v>
      </c>
      <c r="Y513" s="2" t="n">
        <v>2</v>
      </c>
      <c r="Z513" s="2" t="n">
        <v>3</v>
      </c>
    </row>
    <row r="514" customFormat="false" ht="15" hidden="false" customHeight="true" outlineLevel="0" collapsed="false">
      <c r="A514" s="2" t="n">
        <v>46</v>
      </c>
      <c r="B514" s="2" t="s">
        <v>26</v>
      </c>
      <c r="C514" s="2" t="s">
        <v>27</v>
      </c>
      <c r="D514" s="2" t="s">
        <v>35</v>
      </c>
      <c r="E514" s="2" t="n">
        <v>2</v>
      </c>
      <c r="F514" s="2" t="n">
        <v>1</v>
      </c>
      <c r="G514" s="2" t="s">
        <v>43</v>
      </c>
      <c r="H514" s="2" t="n">
        <v>513</v>
      </c>
      <c r="I514" s="2" t="s">
        <v>30</v>
      </c>
      <c r="J514" s="2" t="n">
        <v>3</v>
      </c>
      <c r="K514" s="2" t="s">
        <v>36</v>
      </c>
      <c r="L514" s="2" t="s">
        <v>46</v>
      </c>
      <c r="M514" s="2" t="n">
        <v>49410</v>
      </c>
      <c r="N514" s="2" t="n">
        <v>9</v>
      </c>
      <c r="O514" s="2" t="n">
        <v>13</v>
      </c>
      <c r="P514" s="2" t="n">
        <v>2</v>
      </c>
      <c r="Q514" s="2" t="n">
        <v>23</v>
      </c>
      <c r="R514" s="2" t="n">
        <v>2</v>
      </c>
      <c r="S514" s="2" t="n">
        <v>2</v>
      </c>
      <c r="T514" s="2" t="n">
        <v>2</v>
      </c>
      <c r="U514" s="2" t="n">
        <v>2</v>
      </c>
      <c r="V514" s="2" t="n">
        <v>4</v>
      </c>
      <c r="W514" s="2" t="n">
        <v>4</v>
      </c>
      <c r="X514" s="2" t="n">
        <v>3</v>
      </c>
      <c r="Y514" s="2" t="n">
        <v>2</v>
      </c>
      <c r="Z514" s="2" t="n">
        <v>3</v>
      </c>
    </row>
    <row r="515" customFormat="false" ht="15" hidden="false" customHeight="true" outlineLevel="0" collapsed="false">
      <c r="A515" s="2" t="n">
        <v>54</v>
      </c>
      <c r="B515" s="2" t="s">
        <v>26</v>
      </c>
      <c r="C515" s="2" t="s">
        <v>27</v>
      </c>
      <c r="D515" s="2" t="s">
        <v>35</v>
      </c>
      <c r="E515" s="2" t="n">
        <v>5</v>
      </c>
      <c r="F515" s="2" t="n">
        <v>3</v>
      </c>
      <c r="G515" s="2" t="s">
        <v>43</v>
      </c>
      <c r="H515" s="2" t="n">
        <v>514</v>
      </c>
      <c r="I515" s="2" t="s">
        <v>30</v>
      </c>
      <c r="J515" s="2" t="n">
        <v>2</v>
      </c>
      <c r="K515" s="2" t="s">
        <v>47</v>
      </c>
      <c r="L515" s="2" t="s">
        <v>32</v>
      </c>
      <c r="M515" s="2" t="n">
        <v>24780</v>
      </c>
      <c r="N515" s="2" t="n">
        <v>6</v>
      </c>
      <c r="O515" s="2" t="n">
        <v>11</v>
      </c>
      <c r="P515" s="2" t="n">
        <v>0</v>
      </c>
      <c r="Q515" s="2" t="n">
        <v>13</v>
      </c>
      <c r="R515" s="2" t="n">
        <v>0</v>
      </c>
      <c r="S515" s="2" t="n">
        <v>9</v>
      </c>
      <c r="T515" s="2" t="n">
        <v>7</v>
      </c>
      <c r="U515" s="2" t="n">
        <v>0</v>
      </c>
      <c r="V515" s="2" t="n">
        <v>3</v>
      </c>
      <c r="W515" s="2" t="n">
        <v>3</v>
      </c>
      <c r="X515" s="2" t="n">
        <v>3</v>
      </c>
      <c r="Y515" s="2" t="n">
        <v>3</v>
      </c>
      <c r="Z515" s="2" t="n">
        <v>3</v>
      </c>
    </row>
    <row r="516" customFormat="false" ht="15" hidden="false" customHeight="true" outlineLevel="0" collapsed="false">
      <c r="A516" s="2" t="n">
        <v>56</v>
      </c>
      <c r="B516" s="2" t="s">
        <v>26</v>
      </c>
      <c r="C516" s="2" t="s">
        <v>34</v>
      </c>
      <c r="D516" s="2" t="s">
        <v>35</v>
      </c>
      <c r="E516" s="2" t="n">
        <v>1</v>
      </c>
      <c r="F516" s="2" t="n">
        <v>2</v>
      </c>
      <c r="G516" s="2" t="s">
        <v>29</v>
      </c>
      <c r="H516" s="2" t="n">
        <v>515</v>
      </c>
      <c r="I516" s="2" t="s">
        <v>30</v>
      </c>
      <c r="J516" s="2" t="n">
        <v>2</v>
      </c>
      <c r="K516" s="2" t="s">
        <v>47</v>
      </c>
      <c r="L516" s="2" t="s">
        <v>32</v>
      </c>
      <c r="M516" s="2" t="n">
        <v>52280</v>
      </c>
      <c r="N516" s="2" t="n">
        <v>2</v>
      </c>
      <c r="O516" s="2" t="n">
        <v>11</v>
      </c>
      <c r="P516" s="2" t="n">
        <v>0</v>
      </c>
      <c r="Q516" s="2" t="n">
        <v>18</v>
      </c>
      <c r="R516" s="2" t="n">
        <v>4</v>
      </c>
      <c r="S516" s="2" t="n">
        <v>5</v>
      </c>
      <c r="T516" s="2" t="n">
        <v>0</v>
      </c>
      <c r="U516" s="2" t="n">
        <v>3</v>
      </c>
      <c r="V516" s="2" t="n">
        <v>1</v>
      </c>
      <c r="W516" s="2" t="n">
        <v>3</v>
      </c>
      <c r="X516" s="2" t="n">
        <v>3</v>
      </c>
      <c r="Y516" s="2" t="n">
        <v>3</v>
      </c>
      <c r="Z516" s="2" t="n">
        <v>3</v>
      </c>
    </row>
    <row r="517" customFormat="false" ht="15" hidden="false" customHeight="true" outlineLevel="0" collapsed="false">
      <c r="A517" s="2" t="n">
        <v>36</v>
      </c>
      <c r="B517" s="2" t="s">
        <v>26</v>
      </c>
      <c r="C517" s="2" t="s">
        <v>27</v>
      </c>
      <c r="D517" s="2" t="s">
        <v>35</v>
      </c>
      <c r="E517" s="2" t="n">
        <v>4</v>
      </c>
      <c r="F517" s="2" t="n">
        <v>2</v>
      </c>
      <c r="G517" s="2" t="s">
        <v>29</v>
      </c>
      <c r="H517" s="2" t="n">
        <v>516</v>
      </c>
      <c r="I517" s="2" t="s">
        <v>30</v>
      </c>
      <c r="J517" s="2" t="n">
        <v>2</v>
      </c>
      <c r="K517" s="2" t="s">
        <v>42</v>
      </c>
      <c r="L517" s="2" t="s">
        <v>37</v>
      </c>
      <c r="M517" s="2" t="n">
        <v>44780</v>
      </c>
      <c r="N517" s="2" t="n">
        <v>0</v>
      </c>
      <c r="O517" s="2" t="n">
        <v>18</v>
      </c>
      <c r="P517" s="2" t="n">
        <v>1</v>
      </c>
      <c r="Q517" s="2" t="n">
        <v>15</v>
      </c>
      <c r="R517" s="2" t="n">
        <v>3</v>
      </c>
      <c r="S517" s="2" t="n">
        <v>14</v>
      </c>
      <c r="T517" s="2" t="n">
        <v>7</v>
      </c>
      <c r="U517" s="2" t="n">
        <v>8</v>
      </c>
      <c r="V517" s="2" t="n">
        <v>4</v>
      </c>
      <c r="W517" s="2" t="n">
        <v>4</v>
      </c>
      <c r="X517" s="2" t="n">
        <v>2</v>
      </c>
      <c r="Y517" s="2" t="n">
        <v>3</v>
      </c>
      <c r="Z517" s="2" t="n">
        <v>3</v>
      </c>
    </row>
    <row r="518" customFormat="false" ht="15" hidden="false" customHeight="true" outlineLevel="0" collapsed="false">
      <c r="A518" s="2" t="n">
        <v>55</v>
      </c>
      <c r="B518" s="2" t="s">
        <v>26</v>
      </c>
      <c r="C518" s="2" t="s">
        <v>41</v>
      </c>
      <c r="D518" s="2" t="s">
        <v>35</v>
      </c>
      <c r="E518" s="2" t="n">
        <v>2</v>
      </c>
      <c r="F518" s="2" t="n">
        <v>3</v>
      </c>
      <c r="G518" s="2" t="s">
        <v>43</v>
      </c>
      <c r="H518" s="2" t="n">
        <v>517</v>
      </c>
      <c r="I518" s="2" t="s">
        <v>30</v>
      </c>
      <c r="J518" s="2" t="n">
        <v>2</v>
      </c>
      <c r="K518" s="2" t="s">
        <v>49</v>
      </c>
      <c r="L518" s="2" t="s">
        <v>37</v>
      </c>
      <c r="M518" s="2" t="n">
        <v>75470</v>
      </c>
      <c r="N518" s="2" t="n">
        <v>7</v>
      </c>
      <c r="O518" s="2" t="n">
        <v>16</v>
      </c>
      <c r="P518" s="2" t="n">
        <v>0</v>
      </c>
      <c r="Q518" s="2" t="n">
        <v>31</v>
      </c>
      <c r="R518" s="2" t="n">
        <v>2</v>
      </c>
      <c r="S518" s="2" t="n">
        <v>9</v>
      </c>
      <c r="T518" s="2" t="n">
        <v>6</v>
      </c>
      <c r="U518" s="2" t="n">
        <v>2</v>
      </c>
      <c r="V518" s="2" t="n">
        <v>3</v>
      </c>
      <c r="W518" s="2" t="n">
        <v>1</v>
      </c>
      <c r="X518" s="2" t="n">
        <v>4</v>
      </c>
      <c r="Y518" s="2" t="n">
        <v>2</v>
      </c>
      <c r="Z518" s="2" t="n">
        <v>3</v>
      </c>
    </row>
    <row r="519" customFormat="false" ht="15" hidden="false" customHeight="true" outlineLevel="0" collapsed="false">
      <c r="A519" s="2" t="n">
        <v>43</v>
      </c>
      <c r="B519" s="2" t="s">
        <v>26</v>
      </c>
      <c r="C519" s="2" t="s">
        <v>27</v>
      </c>
      <c r="D519" s="2" t="s">
        <v>28</v>
      </c>
      <c r="E519" s="2" t="n">
        <v>25</v>
      </c>
      <c r="F519" s="2" t="n">
        <v>2</v>
      </c>
      <c r="G519" s="2" t="s">
        <v>29</v>
      </c>
      <c r="H519" s="2" t="n">
        <v>518</v>
      </c>
      <c r="I519" s="2" t="s">
        <v>39</v>
      </c>
      <c r="J519" s="2" t="n">
        <v>3</v>
      </c>
      <c r="K519" s="2" t="s">
        <v>36</v>
      </c>
      <c r="L519" s="2" t="s">
        <v>46</v>
      </c>
      <c r="M519" s="2" t="n">
        <v>50550</v>
      </c>
      <c r="N519" s="2" t="n">
        <v>5</v>
      </c>
      <c r="O519" s="2" t="n">
        <v>22</v>
      </c>
      <c r="P519" s="2" t="n">
        <v>0</v>
      </c>
      <c r="Q519" s="2" t="n">
        <v>18</v>
      </c>
      <c r="R519" s="2" t="n">
        <v>2</v>
      </c>
      <c r="S519" s="2" t="n">
        <v>1</v>
      </c>
      <c r="T519" s="2" t="n">
        <v>0</v>
      </c>
      <c r="U519" s="2" t="n">
        <v>0</v>
      </c>
      <c r="V519" s="2" t="n">
        <v>3</v>
      </c>
      <c r="W519" s="2" t="n">
        <v>4</v>
      </c>
      <c r="X519" s="2" t="n">
        <v>3</v>
      </c>
      <c r="Y519" s="2" t="n">
        <v>2</v>
      </c>
      <c r="Z519" s="2" t="n">
        <v>4</v>
      </c>
    </row>
    <row r="520" customFormat="false" ht="15" hidden="false" customHeight="true" outlineLevel="0" collapsed="false">
      <c r="A520" s="2" t="n">
        <v>20</v>
      </c>
      <c r="B520" s="2" t="s">
        <v>33</v>
      </c>
      <c r="C520" s="2" t="s">
        <v>34</v>
      </c>
      <c r="D520" s="2" t="s">
        <v>28</v>
      </c>
      <c r="E520" s="2" t="n">
        <v>8</v>
      </c>
      <c r="F520" s="2" t="n">
        <v>3</v>
      </c>
      <c r="G520" s="2" t="s">
        <v>50</v>
      </c>
      <c r="H520" s="2" t="n">
        <v>519</v>
      </c>
      <c r="I520" s="2" t="s">
        <v>39</v>
      </c>
      <c r="J520" s="2" t="n">
        <v>3</v>
      </c>
      <c r="K520" s="2" t="s">
        <v>40</v>
      </c>
      <c r="L520" s="2" t="s">
        <v>37</v>
      </c>
      <c r="M520" s="2" t="n">
        <v>34640</v>
      </c>
      <c r="N520" s="2" t="n">
        <v>1</v>
      </c>
      <c r="O520" s="2" t="n">
        <v>20</v>
      </c>
      <c r="P520" s="2" t="n">
        <v>0</v>
      </c>
      <c r="Q520" s="2" t="n">
        <v>2</v>
      </c>
      <c r="R520" s="2" t="n">
        <v>3</v>
      </c>
      <c r="S520" s="2" t="n">
        <v>2</v>
      </c>
      <c r="T520" s="2" t="n">
        <v>0</v>
      </c>
      <c r="U520" s="2" t="n">
        <v>2</v>
      </c>
      <c r="V520" s="2" t="n">
        <v>4</v>
      </c>
      <c r="W520" s="2" t="n">
        <v>4</v>
      </c>
      <c r="X520" s="2" t="n">
        <v>3</v>
      </c>
      <c r="Y520" s="2" t="n">
        <v>2</v>
      </c>
      <c r="Z520" s="2" t="n">
        <v>4</v>
      </c>
    </row>
    <row r="521" customFormat="false" ht="15" hidden="false" customHeight="true" outlineLevel="0" collapsed="false">
      <c r="A521" s="2" t="n">
        <v>21</v>
      </c>
      <c r="B521" s="2" t="s">
        <v>33</v>
      </c>
      <c r="C521" s="2" t="s">
        <v>27</v>
      </c>
      <c r="D521" s="2" t="s">
        <v>35</v>
      </c>
      <c r="E521" s="2" t="n">
        <v>1</v>
      </c>
      <c r="F521" s="2" t="n">
        <v>4</v>
      </c>
      <c r="G521" s="2" t="s">
        <v>29</v>
      </c>
      <c r="H521" s="2" t="n">
        <v>520</v>
      </c>
      <c r="I521" s="2" t="s">
        <v>39</v>
      </c>
      <c r="J521" s="2" t="n">
        <v>1</v>
      </c>
      <c r="K521" s="2" t="s">
        <v>49</v>
      </c>
      <c r="L521" s="2" t="s">
        <v>37</v>
      </c>
      <c r="M521" s="2" t="n">
        <v>57750</v>
      </c>
      <c r="N521" s="2" t="n">
        <v>1</v>
      </c>
      <c r="O521" s="2" t="n">
        <v>18</v>
      </c>
      <c r="P521" s="2" t="n">
        <v>0</v>
      </c>
      <c r="Q521" s="2" t="n">
        <v>1</v>
      </c>
      <c r="R521" s="2" t="n">
        <v>2</v>
      </c>
      <c r="S521" s="2" t="n">
        <v>1</v>
      </c>
      <c r="T521" s="2" t="n">
        <v>1</v>
      </c>
      <c r="U521" s="2" t="n">
        <v>0</v>
      </c>
      <c r="V521" s="2" t="n">
        <v>3</v>
      </c>
      <c r="W521" s="2" t="n">
        <v>1</v>
      </c>
      <c r="X521" s="2" t="n">
        <v>2</v>
      </c>
      <c r="Y521" s="2" t="n">
        <v>3</v>
      </c>
      <c r="Z521" s="2" t="n">
        <v>3</v>
      </c>
    </row>
    <row r="522" customFormat="false" ht="15" hidden="false" customHeight="true" outlineLevel="0" collapsed="false">
      <c r="A522" s="2" t="n">
        <v>46</v>
      </c>
      <c r="B522" s="2" t="s">
        <v>26</v>
      </c>
      <c r="C522" s="2" t="s">
        <v>27</v>
      </c>
      <c r="D522" s="2" t="s">
        <v>28</v>
      </c>
      <c r="E522" s="2" t="n">
        <v>12</v>
      </c>
      <c r="F522" s="2" t="n">
        <v>3</v>
      </c>
      <c r="G522" s="2" t="s">
        <v>50</v>
      </c>
      <c r="H522" s="2" t="n">
        <v>521</v>
      </c>
      <c r="I522" s="2" t="s">
        <v>30</v>
      </c>
      <c r="J522" s="2" t="n">
        <v>3</v>
      </c>
      <c r="K522" s="2" t="s">
        <v>31</v>
      </c>
      <c r="L522" s="2" t="s">
        <v>46</v>
      </c>
      <c r="M522" s="2" t="n">
        <v>89430</v>
      </c>
      <c r="N522" s="2" t="n">
        <v>8</v>
      </c>
      <c r="O522" s="2" t="n">
        <v>12</v>
      </c>
      <c r="P522" s="2" t="n">
        <v>1</v>
      </c>
      <c r="Q522" s="2" t="n">
        <v>19</v>
      </c>
      <c r="R522" s="2" t="n">
        <v>6</v>
      </c>
      <c r="S522" s="2" t="n">
        <v>16</v>
      </c>
      <c r="T522" s="2" t="n">
        <v>1</v>
      </c>
      <c r="U522" s="2" t="n">
        <v>7</v>
      </c>
      <c r="V522" s="2" t="n">
        <v>4</v>
      </c>
      <c r="W522" s="2" t="n">
        <v>1</v>
      </c>
      <c r="X522" s="2" t="n">
        <v>3</v>
      </c>
      <c r="Y522" s="2" t="n">
        <v>3</v>
      </c>
      <c r="Z522" s="2" t="n">
        <v>3</v>
      </c>
    </row>
    <row r="523" customFormat="false" ht="15" hidden="false" customHeight="true" outlineLevel="0" collapsed="false">
      <c r="A523" s="2" t="n">
        <v>51</v>
      </c>
      <c r="B523" s="2" t="s">
        <v>33</v>
      </c>
      <c r="C523" s="2" t="s">
        <v>27</v>
      </c>
      <c r="D523" s="2" t="s">
        <v>28</v>
      </c>
      <c r="E523" s="2" t="n">
        <v>23</v>
      </c>
      <c r="F523" s="2" t="n">
        <v>3</v>
      </c>
      <c r="G523" s="2" t="s">
        <v>43</v>
      </c>
      <c r="H523" s="2" t="n">
        <v>522</v>
      </c>
      <c r="I523" s="2" t="s">
        <v>30</v>
      </c>
      <c r="J523" s="2" t="n">
        <v>2</v>
      </c>
      <c r="K523" s="2" t="s">
        <v>36</v>
      </c>
      <c r="L523" s="2" t="s">
        <v>32</v>
      </c>
      <c r="M523" s="2" t="n">
        <v>192720</v>
      </c>
      <c r="N523" s="2" t="n">
        <v>9</v>
      </c>
      <c r="O523" s="2" t="n">
        <v>20</v>
      </c>
      <c r="P523" s="2" t="n">
        <v>0</v>
      </c>
      <c r="Q523" s="2" t="n">
        <v>18</v>
      </c>
      <c r="R523" s="2" t="n">
        <v>2</v>
      </c>
      <c r="S523" s="2" t="n">
        <v>10</v>
      </c>
      <c r="T523" s="2" t="n">
        <v>2</v>
      </c>
      <c r="U523" s="2" t="n">
        <v>7</v>
      </c>
      <c r="V523" s="2" t="n">
        <v>1</v>
      </c>
      <c r="W523" s="2" t="n">
        <v>3</v>
      </c>
      <c r="X523" s="2" t="n">
        <v>4</v>
      </c>
      <c r="Y523" s="2" t="n">
        <v>3</v>
      </c>
      <c r="Z523" s="2" t="n">
        <v>4</v>
      </c>
    </row>
    <row r="524" customFormat="false" ht="15" hidden="false" customHeight="true" outlineLevel="0" collapsed="false">
      <c r="A524" s="2" t="n">
        <v>28</v>
      </c>
      <c r="B524" s="2" t="s">
        <v>33</v>
      </c>
      <c r="C524" s="2" t="s">
        <v>41</v>
      </c>
      <c r="D524" s="2" t="s">
        <v>35</v>
      </c>
      <c r="E524" s="2" t="n">
        <v>19</v>
      </c>
      <c r="F524" s="2" t="n">
        <v>4</v>
      </c>
      <c r="G524" s="2" t="s">
        <v>29</v>
      </c>
      <c r="H524" s="2" t="n">
        <v>523</v>
      </c>
      <c r="I524" s="2" t="s">
        <v>30</v>
      </c>
      <c r="J524" s="2" t="n">
        <v>4</v>
      </c>
      <c r="K524" s="2" t="s">
        <v>45</v>
      </c>
      <c r="L524" s="2" t="s">
        <v>37</v>
      </c>
      <c r="M524" s="2" t="n">
        <v>52380</v>
      </c>
      <c r="N524" s="2" t="n">
        <v>1</v>
      </c>
      <c r="O524" s="2" t="n">
        <v>17</v>
      </c>
      <c r="P524" s="2" t="n">
        <v>1</v>
      </c>
      <c r="Q524" s="2" t="n">
        <v>10</v>
      </c>
      <c r="R524" s="2" t="n">
        <v>4</v>
      </c>
      <c r="S524" s="2" t="n">
        <v>10</v>
      </c>
      <c r="T524" s="2" t="n">
        <v>1</v>
      </c>
      <c r="U524" s="2" t="n">
        <v>9</v>
      </c>
      <c r="V524" s="2" t="n">
        <v>2</v>
      </c>
      <c r="W524" s="2" t="n">
        <v>1</v>
      </c>
      <c r="X524" s="2" t="n">
        <v>2</v>
      </c>
      <c r="Y524" s="2" t="n">
        <v>2</v>
      </c>
      <c r="Z524" s="2" t="n">
        <v>3</v>
      </c>
    </row>
    <row r="525" customFormat="false" ht="15" hidden="false" customHeight="true" outlineLevel="0" collapsed="false">
      <c r="A525" s="2" t="n">
        <v>26</v>
      </c>
      <c r="B525" s="2" t="s">
        <v>26</v>
      </c>
      <c r="C525" s="2" t="s">
        <v>27</v>
      </c>
      <c r="D525" s="2" t="s">
        <v>35</v>
      </c>
      <c r="E525" s="2" t="n">
        <v>5</v>
      </c>
      <c r="F525" s="2" t="n">
        <v>4</v>
      </c>
      <c r="G525" s="2" t="s">
        <v>43</v>
      </c>
      <c r="H525" s="2" t="n">
        <v>524</v>
      </c>
      <c r="I525" s="2" t="s">
        <v>30</v>
      </c>
      <c r="J525" s="2" t="n">
        <v>2</v>
      </c>
      <c r="K525" s="2" t="s">
        <v>40</v>
      </c>
      <c r="L525" s="2" t="s">
        <v>32</v>
      </c>
      <c r="M525" s="2" t="n">
        <v>46820</v>
      </c>
      <c r="N525" s="2" t="n">
        <v>1</v>
      </c>
      <c r="O525" s="2" t="n">
        <v>11</v>
      </c>
      <c r="P525" s="2" t="n">
        <v>1</v>
      </c>
      <c r="Q525" s="2" t="n">
        <v>6</v>
      </c>
      <c r="R525" s="2" t="n">
        <v>3</v>
      </c>
      <c r="S525" s="2" t="n">
        <v>5</v>
      </c>
      <c r="T525" s="2" t="n">
        <v>1</v>
      </c>
      <c r="U525" s="2" t="n">
        <v>3</v>
      </c>
      <c r="V525" s="2" t="n">
        <v>1</v>
      </c>
      <c r="W525" s="2" t="n">
        <v>1</v>
      </c>
      <c r="X525" s="2" t="n">
        <v>3</v>
      </c>
      <c r="Y525" s="2" t="n">
        <v>1</v>
      </c>
      <c r="Z525" s="2" t="n">
        <v>3</v>
      </c>
    </row>
    <row r="526" customFormat="false" ht="15" hidden="false" customHeight="true" outlineLevel="0" collapsed="false">
      <c r="A526" s="2" t="n">
        <v>30</v>
      </c>
      <c r="B526" s="2" t="s">
        <v>26</v>
      </c>
      <c r="C526" s="2" t="s">
        <v>27</v>
      </c>
      <c r="D526" s="2" t="s">
        <v>35</v>
      </c>
      <c r="E526" s="2" t="n">
        <v>8</v>
      </c>
      <c r="F526" s="2" t="n">
        <v>3</v>
      </c>
      <c r="G526" s="2" t="s">
        <v>43</v>
      </c>
      <c r="H526" s="2" t="n">
        <v>525</v>
      </c>
      <c r="I526" s="2" t="s">
        <v>30</v>
      </c>
      <c r="J526" s="2" t="n">
        <v>1</v>
      </c>
      <c r="K526" s="2" t="s">
        <v>40</v>
      </c>
      <c r="L526" s="2" t="s">
        <v>32</v>
      </c>
      <c r="M526" s="2" t="n">
        <v>183000</v>
      </c>
      <c r="N526" s="2" t="n">
        <v>0</v>
      </c>
      <c r="O526" s="2" t="n">
        <v>14</v>
      </c>
      <c r="P526" s="2" t="n">
        <v>0</v>
      </c>
      <c r="Q526" s="2" t="n">
        <v>7</v>
      </c>
      <c r="R526" s="2" t="n">
        <v>6</v>
      </c>
      <c r="S526" s="2" t="n">
        <v>6</v>
      </c>
      <c r="T526" s="2" t="n">
        <v>0</v>
      </c>
      <c r="U526" s="2" t="n">
        <v>2</v>
      </c>
      <c r="V526" s="2" t="n">
        <v>3</v>
      </c>
      <c r="W526" s="2" t="n">
        <v>1</v>
      </c>
      <c r="X526" s="2" t="n">
        <v>2</v>
      </c>
      <c r="Y526" s="2" t="n">
        <v>3</v>
      </c>
      <c r="Z526" s="2" t="n">
        <v>3</v>
      </c>
    </row>
    <row r="527" customFormat="false" ht="15" hidden="false" customHeight="true" outlineLevel="0" collapsed="false">
      <c r="A527" s="2" t="n">
        <v>41</v>
      </c>
      <c r="B527" s="2" t="s">
        <v>26</v>
      </c>
      <c r="C527" s="2" t="s">
        <v>27</v>
      </c>
      <c r="D527" s="2" t="s">
        <v>28</v>
      </c>
      <c r="E527" s="2" t="n">
        <v>1</v>
      </c>
      <c r="F527" s="2" t="n">
        <v>4</v>
      </c>
      <c r="G527" s="2" t="s">
        <v>29</v>
      </c>
      <c r="H527" s="2" t="n">
        <v>526</v>
      </c>
      <c r="I527" s="2" t="s">
        <v>30</v>
      </c>
      <c r="J527" s="2" t="n">
        <v>1</v>
      </c>
      <c r="K527" s="2" t="s">
        <v>44</v>
      </c>
      <c r="L527" s="2" t="s">
        <v>32</v>
      </c>
      <c r="M527" s="2" t="n">
        <v>52570</v>
      </c>
      <c r="N527" s="2" t="n">
        <v>1</v>
      </c>
      <c r="O527" s="2" t="n">
        <v>14</v>
      </c>
      <c r="P527" s="2" t="n">
        <v>0</v>
      </c>
      <c r="Q527" s="2" t="n">
        <v>10</v>
      </c>
      <c r="R527" s="2" t="n">
        <v>2</v>
      </c>
      <c r="S527" s="2" t="n">
        <v>10</v>
      </c>
      <c r="T527" s="2" t="n">
        <v>0</v>
      </c>
      <c r="U527" s="2" t="n">
        <v>8</v>
      </c>
      <c r="V527" s="2" t="n">
        <v>2</v>
      </c>
      <c r="W527" s="2" t="n">
        <v>3</v>
      </c>
      <c r="X527" s="2" t="n">
        <v>3</v>
      </c>
      <c r="Y527" s="2" t="n">
        <v>4</v>
      </c>
      <c r="Z527" s="2" t="n">
        <v>3</v>
      </c>
    </row>
    <row r="528" customFormat="false" ht="15" hidden="false" customHeight="true" outlineLevel="0" collapsed="false">
      <c r="A528" s="2" t="n">
        <v>38</v>
      </c>
      <c r="B528" s="2" t="s">
        <v>26</v>
      </c>
      <c r="C528" s="2" t="s">
        <v>27</v>
      </c>
      <c r="D528" s="2" t="s">
        <v>35</v>
      </c>
      <c r="E528" s="2" t="n">
        <v>5</v>
      </c>
      <c r="F528" s="2" t="n">
        <v>3</v>
      </c>
      <c r="G528" s="2" t="s">
        <v>51</v>
      </c>
      <c r="H528" s="2" t="n">
        <v>527</v>
      </c>
      <c r="I528" s="2" t="s">
        <v>39</v>
      </c>
      <c r="J528" s="2" t="n">
        <v>1</v>
      </c>
      <c r="K528" s="2" t="s">
        <v>40</v>
      </c>
      <c r="L528" s="2" t="s">
        <v>32</v>
      </c>
      <c r="M528" s="2" t="n">
        <v>63490</v>
      </c>
      <c r="N528" s="2" t="n">
        <v>0</v>
      </c>
      <c r="O528" s="2" t="n">
        <v>11</v>
      </c>
      <c r="P528" s="2" t="n">
        <v>0</v>
      </c>
      <c r="Q528" s="2" t="n">
        <v>20</v>
      </c>
      <c r="R528" s="2" t="n">
        <v>3</v>
      </c>
      <c r="S528" s="2" t="n">
        <v>19</v>
      </c>
      <c r="T528" s="2" t="n">
        <v>1</v>
      </c>
      <c r="U528" s="2" t="n">
        <v>9</v>
      </c>
      <c r="V528" s="2" t="n">
        <v>3</v>
      </c>
      <c r="W528" s="2" t="n">
        <v>3</v>
      </c>
      <c r="X528" s="2" t="n">
        <v>2</v>
      </c>
      <c r="Y528" s="2" t="n">
        <v>3</v>
      </c>
      <c r="Z528" s="2" t="n">
        <v>3</v>
      </c>
    </row>
    <row r="529" customFormat="false" ht="15" hidden="false" customHeight="true" outlineLevel="0" collapsed="false">
      <c r="A529" s="2" t="n">
        <v>40</v>
      </c>
      <c r="B529" s="2" t="s">
        <v>26</v>
      </c>
      <c r="C529" s="2" t="s">
        <v>27</v>
      </c>
      <c r="D529" s="2" t="s">
        <v>28</v>
      </c>
      <c r="E529" s="2" t="n">
        <v>1</v>
      </c>
      <c r="F529" s="2" t="n">
        <v>4</v>
      </c>
      <c r="G529" s="2" t="s">
        <v>50</v>
      </c>
      <c r="H529" s="2" t="n">
        <v>528</v>
      </c>
      <c r="I529" s="2" t="s">
        <v>39</v>
      </c>
      <c r="J529" s="2" t="n">
        <v>1</v>
      </c>
      <c r="K529" s="2" t="s">
        <v>40</v>
      </c>
      <c r="L529" s="2" t="s">
        <v>32</v>
      </c>
      <c r="M529" s="2" t="n">
        <v>48690</v>
      </c>
      <c r="N529" s="2" t="n">
        <v>4</v>
      </c>
      <c r="O529" s="2" t="n">
        <v>12</v>
      </c>
      <c r="P529" s="2" t="n">
        <v>0</v>
      </c>
      <c r="Q529" s="2" t="n">
        <v>14</v>
      </c>
      <c r="R529" s="2" t="n">
        <v>2</v>
      </c>
      <c r="S529" s="2" t="n">
        <v>11</v>
      </c>
      <c r="T529" s="2" t="n">
        <v>11</v>
      </c>
      <c r="U529" s="2" t="n">
        <v>1</v>
      </c>
      <c r="V529" s="2" t="n">
        <v>1</v>
      </c>
      <c r="W529" s="2" t="n">
        <v>4</v>
      </c>
      <c r="X529" s="2" t="n">
        <v>3</v>
      </c>
      <c r="Y529" s="2" t="n">
        <v>3</v>
      </c>
      <c r="Z529" s="2" t="n">
        <v>3</v>
      </c>
    </row>
    <row r="530" customFormat="false" ht="15" hidden="false" customHeight="true" outlineLevel="0" collapsed="false">
      <c r="A530" s="2" t="n">
        <v>27</v>
      </c>
      <c r="B530" s="2" t="s">
        <v>26</v>
      </c>
      <c r="C530" s="2" t="s">
        <v>41</v>
      </c>
      <c r="D530" s="2" t="s">
        <v>28</v>
      </c>
      <c r="E530" s="2" t="n">
        <v>11</v>
      </c>
      <c r="F530" s="2" t="n">
        <v>3</v>
      </c>
      <c r="G530" s="2" t="s">
        <v>51</v>
      </c>
      <c r="H530" s="2" t="n">
        <v>529</v>
      </c>
      <c r="I530" s="2" t="s">
        <v>30</v>
      </c>
      <c r="J530" s="2" t="n">
        <v>2</v>
      </c>
      <c r="K530" s="2" t="s">
        <v>45</v>
      </c>
      <c r="L530" s="2" t="s">
        <v>32</v>
      </c>
      <c r="M530" s="2" t="n">
        <v>99850</v>
      </c>
      <c r="N530" s="2" t="n">
        <v>1</v>
      </c>
      <c r="O530" s="2" t="n">
        <v>14</v>
      </c>
      <c r="P530" s="2" t="n">
        <v>1</v>
      </c>
      <c r="Q530" s="2" t="n">
        <v>3</v>
      </c>
      <c r="R530" s="2" t="n">
        <v>3</v>
      </c>
      <c r="S530" s="2" t="n">
        <v>3</v>
      </c>
      <c r="T530" s="2" t="n">
        <v>1</v>
      </c>
      <c r="U530" s="2" t="n">
        <v>2</v>
      </c>
      <c r="V530" s="2" t="n">
        <v>1</v>
      </c>
      <c r="W530" s="2" t="n">
        <v>3</v>
      </c>
      <c r="X530" s="2" t="n">
        <v>3</v>
      </c>
      <c r="Y530" s="2" t="n">
        <v>2</v>
      </c>
      <c r="Z530" s="2" t="n">
        <v>3</v>
      </c>
    </row>
    <row r="531" customFormat="false" ht="15" hidden="false" customHeight="true" outlineLevel="0" collapsed="false">
      <c r="A531" s="2" t="n">
        <v>55</v>
      </c>
      <c r="B531" s="2" t="s">
        <v>26</v>
      </c>
      <c r="C531" s="2" t="s">
        <v>34</v>
      </c>
      <c r="D531" s="2" t="s">
        <v>35</v>
      </c>
      <c r="E531" s="2" t="n">
        <v>23</v>
      </c>
      <c r="F531" s="2" t="n">
        <v>5</v>
      </c>
      <c r="G531" s="2" t="s">
        <v>29</v>
      </c>
      <c r="H531" s="2" t="n">
        <v>530</v>
      </c>
      <c r="I531" s="2" t="s">
        <v>39</v>
      </c>
      <c r="J531" s="2" t="n">
        <v>3</v>
      </c>
      <c r="K531" s="2" t="s">
        <v>45</v>
      </c>
      <c r="L531" s="2" t="s">
        <v>32</v>
      </c>
      <c r="M531" s="2" t="n">
        <v>36970</v>
      </c>
      <c r="N531" s="2" t="n">
        <v>3</v>
      </c>
      <c r="O531" s="2" t="n">
        <v>13</v>
      </c>
      <c r="P531" s="2" t="n">
        <v>1</v>
      </c>
      <c r="Q531" s="2" t="n">
        <v>23</v>
      </c>
      <c r="R531" s="2" t="n">
        <v>1</v>
      </c>
      <c r="S531" s="2" t="n">
        <v>3</v>
      </c>
      <c r="T531" s="2" t="n">
        <v>1</v>
      </c>
      <c r="U531" s="2" t="n">
        <v>2</v>
      </c>
      <c r="V531" s="2" t="n">
        <v>4</v>
      </c>
      <c r="W531" s="2" t="n">
        <v>2</v>
      </c>
      <c r="X531" s="2" t="n">
        <v>3</v>
      </c>
      <c r="Y531" s="2" t="n">
        <v>3</v>
      </c>
      <c r="Z531" s="2" t="n">
        <v>3</v>
      </c>
    </row>
    <row r="532" customFormat="false" ht="15" hidden="false" customHeight="true" outlineLevel="0" collapsed="false">
      <c r="A532" s="2" t="n">
        <v>28</v>
      </c>
      <c r="B532" s="2" t="s">
        <v>26</v>
      </c>
      <c r="C532" s="2" t="s">
        <v>27</v>
      </c>
      <c r="D532" s="2" t="s">
        <v>35</v>
      </c>
      <c r="E532" s="2" t="n">
        <v>1</v>
      </c>
      <c r="F532" s="2" t="n">
        <v>3</v>
      </c>
      <c r="G532" s="2" t="s">
        <v>29</v>
      </c>
      <c r="H532" s="2" t="n">
        <v>531</v>
      </c>
      <c r="I532" s="2" t="s">
        <v>39</v>
      </c>
      <c r="J532" s="2" t="n">
        <v>2</v>
      </c>
      <c r="K532" s="2" t="s">
        <v>31</v>
      </c>
      <c r="L532" s="2" t="s">
        <v>37</v>
      </c>
      <c r="M532" s="2" t="n">
        <v>74570</v>
      </c>
      <c r="N532" s="2" t="n">
        <v>3</v>
      </c>
      <c r="O532" s="2" t="n">
        <v>11</v>
      </c>
      <c r="P532" s="2" t="n">
        <v>2</v>
      </c>
      <c r="Q532" s="2" t="n">
        <v>10</v>
      </c>
      <c r="R532" s="2" t="n">
        <v>1</v>
      </c>
      <c r="S532" s="2" t="n">
        <v>8</v>
      </c>
      <c r="T532" s="2" t="n">
        <v>1</v>
      </c>
      <c r="U532" s="2" t="n">
        <v>7</v>
      </c>
      <c r="V532" s="2" t="n">
        <v>3</v>
      </c>
      <c r="W532" s="2" t="n">
        <v>3</v>
      </c>
      <c r="X532" s="2" t="n">
        <v>4</v>
      </c>
      <c r="Y532" s="2" t="n">
        <v>4</v>
      </c>
      <c r="Z532" s="2" t="n">
        <v>3</v>
      </c>
    </row>
    <row r="533" customFormat="false" ht="15" hidden="false" customHeight="true" outlineLevel="0" collapsed="false">
      <c r="A533" s="2" t="n">
        <v>44</v>
      </c>
      <c r="B533" s="2" t="s">
        <v>33</v>
      </c>
      <c r="C533" s="2" t="s">
        <v>27</v>
      </c>
      <c r="D533" s="2" t="s">
        <v>35</v>
      </c>
      <c r="E533" s="2" t="n">
        <v>18</v>
      </c>
      <c r="F533" s="2" t="n">
        <v>4</v>
      </c>
      <c r="G533" s="2" t="s">
        <v>29</v>
      </c>
      <c r="H533" s="2" t="n">
        <v>532</v>
      </c>
      <c r="I533" s="2" t="s">
        <v>30</v>
      </c>
      <c r="J533" s="2" t="n">
        <v>2</v>
      </c>
      <c r="K533" s="2" t="s">
        <v>40</v>
      </c>
      <c r="L533" s="2" t="s">
        <v>32</v>
      </c>
      <c r="M533" s="2" t="n">
        <v>21190</v>
      </c>
      <c r="N533" s="2" t="n">
        <v>9</v>
      </c>
      <c r="O533" s="2" t="n">
        <v>15</v>
      </c>
      <c r="P533" s="2" t="n">
        <v>0</v>
      </c>
      <c r="Q533" s="2" t="n">
        <v>24</v>
      </c>
      <c r="R533" s="2" t="n">
        <v>3</v>
      </c>
      <c r="S533" s="2" t="n">
        <v>20</v>
      </c>
      <c r="T533" s="2" t="n">
        <v>3</v>
      </c>
      <c r="U533" s="2" t="n">
        <v>6</v>
      </c>
      <c r="V533" s="2" t="n">
        <v>2</v>
      </c>
      <c r="W533" s="2" t="n">
        <v>1</v>
      </c>
      <c r="X533" s="2" t="n">
        <v>3</v>
      </c>
      <c r="Y533" s="2" t="n">
        <v>3</v>
      </c>
      <c r="Z533" s="2" t="n">
        <v>3</v>
      </c>
    </row>
    <row r="534" customFormat="false" ht="15" hidden="false" customHeight="true" outlineLevel="0" collapsed="false">
      <c r="A534" s="2" t="n">
        <v>33</v>
      </c>
      <c r="B534" s="2" t="s">
        <v>26</v>
      </c>
      <c r="C534" s="2" t="s">
        <v>27</v>
      </c>
      <c r="D534" s="2" t="s">
        <v>28</v>
      </c>
      <c r="E534" s="2" t="n">
        <v>23</v>
      </c>
      <c r="F534" s="2" t="n">
        <v>4</v>
      </c>
      <c r="G534" s="2" t="s">
        <v>50</v>
      </c>
      <c r="H534" s="2" t="n">
        <v>533</v>
      </c>
      <c r="I534" s="2" t="s">
        <v>30</v>
      </c>
      <c r="J534" s="2" t="n">
        <v>4</v>
      </c>
      <c r="K534" s="2" t="s">
        <v>40</v>
      </c>
      <c r="L534" s="2" t="s">
        <v>46</v>
      </c>
      <c r="M534" s="2" t="n">
        <v>39830</v>
      </c>
      <c r="N534" s="2" t="n">
        <v>4</v>
      </c>
      <c r="O534" s="2" t="n">
        <v>12</v>
      </c>
      <c r="P534" s="2" t="n">
        <v>0</v>
      </c>
      <c r="Q534" s="2" t="n">
        <v>9</v>
      </c>
      <c r="R534" s="2" t="n">
        <v>3</v>
      </c>
      <c r="S534" s="2" t="n">
        <v>3</v>
      </c>
      <c r="T534" s="2" t="n">
        <v>1</v>
      </c>
      <c r="U534" s="2" t="n">
        <v>2</v>
      </c>
      <c r="V534" s="2" t="n">
        <v>4</v>
      </c>
      <c r="W534" s="2" t="n">
        <v>4</v>
      </c>
      <c r="X534" s="2" t="n">
        <v>3</v>
      </c>
      <c r="Y534" s="2" t="n">
        <v>3</v>
      </c>
      <c r="Z534" s="2" t="n">
        <v>3</v>
      </c>
    </row>
    <row r="535" customFormat="false" ht="15" hidden="false" customHeight="true" outlineLevel="0" collapsed="false">
      <c r="A535" s="2" t="n">
        <v>35</v>
      </c>
      <c r="B535" s="2" t="s">
        <v>33</v>
      </c>
      <c r="C535" s="2" t="s">
        <v>27</v>
      </c>
      <c r="D535" s="2" t="s">
        <v>28</v>
      </c>
      <c r="E535" s="2" t="n">
        <v>7</v>
      </c>
      <c r="F535" s="2" t="n">
        <v>4</v>
      </c>
      <c r="G535" s="2" t="s">
        <v>29</v>
      </c>
      <c r="H535" s="2" t="n">
        <v>534</v>
      </c>
      <c r="I535" s="2" t="s">
        <v>39</v>
      </c>
      <c r="J535" s="2" t="n">
        <v>3</v>
      </c>
      <c r="K535" s="2" t="s">
        <v>48</v>
      </c>
      <c r="L535" s="2" t="s">
        <v>37</v>
      </c>
      <c r="M535" s="2" t="n">
        <v>61180</v>
      </c>
      <c r="N535" s="2" t="n">
        <v>0</v>
      </c>
      <c r="O535" s="2" t="n">
        <v>21</v>
      </c>
      <c r="P535" s="2" t="n">
        <v>1</v>
      </c>
      <c r="Q535" s="2" t="n">
        <v>9</v>
      </c>
      <c r="R535" s="2" t="n">
        <v>3</v>
      </c>
      <c r="S535" s="2" t="n">
        <v>8</v>
      </c>
      <c r="T535" s="2" t="n">
        <v>4</v>
      </c>
      <c r="U535" s="2" t="n">
        <v>7</v>
      </c>
      <c r="V535" s="2" t="n">
        <v>4</v>
      </c>
      <c r="W535" s="2" t="n">
        <v>1</v>
      </c>
      <c r="X535" s="2" t="n">
        <v>3</v>
      </c>
      <c r="Y535" s="2" t="n">
        <v>2</v>
      </c>
      <c r="Z535" s="2" t="n">
        <v>4</v>
      </c>
    </row>
    <row r="536" customFormat="false" ht="15" hidden="false" customHeight="true" outlineLevel="0" collapsed="false">
      <c r="A536" s="2" t="n">
        <v>33</v>
      </c>
      <c r="B536" s="2" t="s">
        <v>33</v>
      </c>
      <c r="C536" s="2" t="s">
        <v>34</v>
      </c>
      <c r="D536" s="2" t="s">
        <v>35</v>
      </c>
      <c r="E536" s="2" t="n">
        <v>1</v>
      </c>
      <c r="F536" s="2" t="n">
        <v>2</v>
      </c>
      <c r="G536" s="2" t="s">
        <v>29</v>
      </c>
      <c r="H536" s="2" t="n">
        <v>535</v>
      </c>
      <c r="I536" s="2" t="s">
        <v>30</v>
      </c>
      <c r="J536" s="2" t="n">
        <v>1</v>
      </c>
      <c r="K536" s="2" t="s">
        <v>40</v>
      </c>
      <c r="L536" s="2" t="s">
        <v>37</v>
      </c>
      <c r="M536" s="2" t="n">
        <v>62140</v>
      </c>
      <c r="N536" s="2" t="n">
        <v>1</v>
      </c>
      <c r="O536" s="2" t="n">
        <v>19</v>
      </c>
      <c r="P536" s="2" t="n">
        <v>2</v>
      </c>
      <c r="Q536" s="2" t="n">
        <v>14</v>
      </c>
      <c r="R536" s="2" t="n">
        <v>3</v>
      </c>
      <c r="S536" s="2" t="n">
        <v>13</v>
      </c>
      <c r="T536" s="2" t="n">
        <v>3</v>
      </c>
      <c r="U536" s="2" t="n">
        <v>8</v>
      </c>
      <c r="V536" s="2" t="n">
        <v>1</v>
      </c>
      <c r="W536" s="2" t="n">
        <v>3</v>
      </c>
      <c r="X536" s="2" t="n">
        <v>3</v>
      </c>
      <c r="Y536" s="2" t="n">
        <v>3</v>
      </c>
      <c r="Z536" s="2" t="n">
        <v>3</v>
      </c>
    </row>
    <row r="537" customFormat="false" ht="15" hidden="false" customHeight="true" outlineLevel="0" collapsed="false">
      <c r="A537" s="2" t="n">
        <v>28</v>
      </c>
      <c r="B537" s="2" t="s">
        <v>26</v>
      </c>
      <c r="C537" s="2" t="s">
        <v>27</v>
      </c>
      <c r="D537" s="2" t="s">
        <v>42</v>
      </c>
      <c r="E537" s="2" t="n">
        <v>1</v>
      </c>
      <c r="F537" s="2" t="n">
        <v>1</v>
      </c>
      <c r="G537" s="2" t="s">
        <v>42</v>
      </c>
      <c r="H537" s="2" t="n">
        <v>536</v>
      </c>
      <c r="I537" s="2" t="s">
        <v>39</v>
      </c>
      <c r="J537" s="2" t="n">
        <v>2</v>
      </c>
      <c r="K537" s="2" t="s">
        <v>36</v>
      </c>
      <c r="L537" s="2" t="s">
        <v>46</v>
      </c>
      <c r="M537" s="2" t="n">
        <v>63470</v>
      </c>
      <c r="N537" s="2" t="n">
        <v>1</v>
      </c>
      <c r="O537" s="2" t="n">
        <v>15</v>
      </c>
      <c r="P537" s="2" t="n">
        <v>1</v>
      </c>
      <c r="Q537" s="2" t="n">
        <v>4</v>
      </c>
      <c r="R537" s="2" t="n">
        <v>2</v>
      </c>
      <c r="S537" s="2" t="n">
        <v>4</v>
      </c>
      <c r="T537" s="2" t="n">
        <v>2</v>
      </c>
      <c r="U537" s="2" t="n">
        <v>2</v>
      </c>
      <c r="V537" s="2" t="n">
        <v>1</v>
      </c>
      <c r="W537" s="2" t="n">
        <v>3</v>
      </c>
      <c r="X537" s="2" t="n">
        <v>2</v>
      </c>
      <c r="Y537" s="2" t="n">
        <v>3</v>
      </c>
      <c r="Z537" s="2" t="n">
        <v>3</v>
      </c>
    </row>
    <row r="538" customFormat="false" ht="15" hidden="false" customHeight="true" outlineLevel="0" collapsed="false">
      <c r="A538" s="2" t="n">
        <v>34</v>
      </c>
      <c r="B538" s="2" t="s">
        <v>26</v>
      </c>
      <c r="C538" s="2" t="s">
        <v>34</v>
      </c>
      <c r="D538" s="2" t="s">
        <v>28</v>
      </c>
      <c r="E538" s="2" t="n">
        <v>29</v>
      </c>
      <c r="F538" s="2" t="n">
        <v>4</v>
      </c>
      <c r="G538" s="2" t="s">
        <v>50</v>
      </c>
      <c r="H538" s="2" t="n">
        <v>537</v>
      </c>
      <c r="I538" s="2" t="s">
        <v>39</v>
      </c>
      <c r="J538" s="2" t="n">
        <v>1</v>
      </c>
      <c r="K538" s="2" t="s">
        <v>36</v>
      </c>
      <c r="L538" s="2" t="s">
        <v>37</v>
      </c>
      <c r="M538" s="2" t="n">
        <v>115100</v>
      </c>
      <c r="N538" s="2" t="n">
        <v>0</v>
      </c>
      <c r="O538" s="2" t="n">
        <v>14</v>
      </c>
      <c r="P538" s="2" t="n">
        <v>1</v>
      </c>
      <c r="Q538" s="2" t="n">
        <v>7</v>
      </c>
      <c r="R538" s="2" t="n">
        <v>5</v>
      </c>
      <c r="S538" s="2" t="n">
        <v>6</v>
      </c>
      <c r="T538" s="2" t="n">
        <v>0</v>
      </c>
      <c r="U538" s="2" t="n">
        <v>4</v>
      </c>
      <c r="V538" s="2" t="n">
        <v>1</v>
      </c>
      <c r="W538" s="2" t="n">
        <v>4</v>
      </c>
      <c r="X538" s="2" t="n">
        <v>2</v>
      </c>
      <c r="Y538" s="2" t="n">
        <v>3</v>
      </c>
      <c r="Z538" s="2" t="n">
        <v>3</v>
      </c>
    </row>
    <row r="539" customFormat="false" ht="15" hidden="false" customHeight="true" outlineLevel="0" collapsed="false">
      <c r="A539" s="2" t="n">
        <v>37</v>
      </c>
      <c r="B539" s="2" t="s">
        <v>26</v>
      </c>
      <c r="C539" s="2" t="s">
        <v>27</v>
      </c>
      <c r="D539" s="2" t="s">
        <v>35</v>
      </c>
      <c r="E539" s="2" t="n">
        <v>7</v>
      </c>
      <c r="F539" s="2" t="n">
        <v>4</v>
      </c>
      <c r="G539" s="2" t="s">
        <v>29</v>
      </c>
      <c r="H539" s="2" t="n">
        <v>538</v>
      </c>
      <c r="I539" s="2" t="s">
        <v>39</v>
      </c>
      <c r="J539" s="2" t="n">
        <v>4</v>
      </c>
      <c r="K539" s="2" t="s">
        <v>40</v>
      </c>
      <c r="L539" s="2" t="s">
        <v>46</v>
      </c>
      <c r="M539" s="2" t="n">
        <v>71430</v>
      </c>
      <c r="N539" s="2" t="n">
        <v>2</v>
      </c>
      <c r="O539" s="2" t="n">
        <v>21</v>
      </c>
      <c r="P539" s="2" t="n">
        <v>0</v>
      </c>
      <c r="Q539" s="2" t="n">
        <v>8</v>
      </c>
      <c r="R539" s="2" t="n">
        <v>6</v>
      </c>
      <c r="S539" s="2" t="n">
        <v>1</v>
      </c>
      <c r="T539" s="2" t="n">
        <v>0</v>
      </c>
      <c r="U539" s="2" t="n">
        <v>0</v>
      </c>
      <c r="V539" s="2" t="n">
        <v>4</v>
      </c>
      <c r="W539" s="2" t="n">
        <v>4</v>
      </c>
      <c r="X539" s="2" t="n">
        <v>3</v>
      </c>
      <c r="Y539" s="2" t="n">
        <v>2</v>
      </c>
      <c r="Z539" s="2" t="n">
        <v>4</v>
      </c>
    </row>
    <row r="540" customFormat="false" ht="15" hidden="false" customHeight="true" outlineLevel="0" collapsed="false">
      <c r="A540" s="2" t="n">
        <v>25</v>
      </c>
      <c r="B540" s="2" t="s">
        <v>33</v>
      </c>
      <c r="C540" s="2" t="s">
        <v>27</v>
      </c>
      <c r="D540" s="2" t="s">
        <v>42</v>
      </c>
      <c r="E540" s="2" t="n">
        <v>25</v>
      </c>
      <c r="F540" s="2" t="n">
        <v>4</v>
      </c>
      <c r="G540" s="2" t="s">
        <v>42</v>
      </c>
      <c r="H540" s="2" t="n">
        <v>539</v>
      </c>
      <c r="I540" s="2" t="s">
        <v>30</v>
      </c>
      <c r="J540" s="2" t="n">
        <v>2</v>
      </c>
      <c r="K540" s="2" t="s">
        <v>36</v>
      </c>
      <c r="L540" s="2" t="s">
        <v>32</v>
      </c>
      <c r="M540" s="2" t="n">
        <v>82680</v>
      </c>
      <c r="N540" s="2" t="n">
        <v>1</v>
      </c>
      <c r="O540" s="2" t="n">
        <v>12</v>
      </c>
      <c r="P540" s="2" t="n">
        <v>0</v>
      </c>
      <c r="Q540" s="2" t="n">
        <v>7</v>
      </c>
      <c r="R540" s="2" t="n">
        <v>3</v>
      </c>
      <c r="S540" s="2" t="n">
        <v>7</v>
      </c>
      <c r="T540" s="2" t="n">
        <v>5</v>
      </c>
      <c r="U540" s="2" t="n">
        <v>6</v>
      </c>
      <c r="V540" s="2" t="n">
        <v>4</v>
      </c>
      <c r="W540" s="2" t="n">
        <v>4</v>
      </c>
      <c r="X540" s="2" t="n">
        <v>4</v>
      </c>
      <c r="Y540" s="2" t="n">
        <v>2</v>
      </c>
      <c r="Z540" s="2" t="n">
        <v>3</v>
      </c>
    </row>
    <row r="541" customFormat="false" ht="15" hidden="false" customHeight="true" outlineLevel="0" collapsed="false">
      <c r="A541" s="2" t="n">
        <v>26</v>
      </c>
      <c r="B541" s="2" t="s">
        <v>33</v>
      </c>
      <c r="C541" s="2" t="s">
        <v>27</v>
      </c>
      <c r="D541" s="2" t="s">
        <v>28</v>
      </c>
      <c r="E541" s="2" t="n">
        <v>8</v>
      </c>
      <c r="F541" s="2" t="n">
        <v>2</v>
      </c>
      <c r="G541" s="2" t="s">
        <v>50</v>
      </c>
      <c r="H541" s="2" t="n">
        <v>540</v>
      </c>
      <c r="I541" s="2" t="s">
        <v>39</v>
      </c>
      <c r="J541" s="2" t="n">
        <v>2</v>
      </c>
      <c r="K541" s="2" t="s">
        <v>40</v>
      </c>
      <c r="L541" s="2" t="s">
        <v>46</v>
      </c>
      <c r="M541" s="2" t="n">
        <v>80950</v>
      </c>
      <c r="N541" s="2" t="n">
        <v>1</v>
      </c>
      <c r="O541" s="2" t="n">
        <v>15</v>
      </c>
      <c r="P541" s="2" t="n">
        <v>0</v>
      </c>
      <c r="Q541" s="2" t="n">
        <v>1</v>
      </c>
      <c r="R541" s="2" t="n">
        <v>3</v>
      </c>
      <c r="S541" s="2" t="n">
        <v>1</v>
      </c>
      <c r="T541" s="2" t="n">
        <v>0</v>
      </c>
      <c r="U541" s="2" t="n">
        <v>0</v>
      </c>
      <c r="V541" s="2" t="n">
        <v>1</v>
      </c>
      <c r="W541" s="2" t="n">
        <v>3</v>
      </c>
      <c r="X541" s="2" t="n">
        <v>2</v>
      </c>
      <c r="Y541" s="2" t="n">
        <v>4</v>
      </c>
      <c r="Z541" s="2" t="n">
        <v>3</v>
      </c>
    </row>
    <row r="542" customFormat="false" ht="15" hidden="false" customHeight="true" outlineLevel="0" collapsed="false">
      <c r="A542" s="2" t="n">
        <v>33</v>
      </c>
      <c r="B542" s="2" t="s">
        <v>33</v>
      </c>
      <c r="C542" s="2" t="s">
        <v>27</v>
      </c>
      <c r="D542" s="2" t="s">
        <v>35</v>
      </c>
      <c r="E542" s="2" t="n">
        <v>8</v>
      </c>
      <c r="F542" s="2" t="n">
        <v>2</v>
      </c>
      <c r="G542" s="2" t="s">
        <v>29</v>
      </c>
      <c r="H542" s="2" t="n">
        <v>541</v>
      </c>
      <c r="I542" s="2" t="s">
        <v>39</v>
      </c>
      <c r="J542" s="2" t="n">
        <v>4</v>
      </c>
      <c r="K542" s="2" t="s">
        <v>47</v>
      </c>
      <c r="L542" s="2" t="s">
        <v>37</v>
      </c>
      <c r="M542" s="2" t="n">
        <v>29040</v>
      </c>
      <c r="N542" s="2" t="n">
        <v>4</v>
      </c>
      <c r="O542" s="2" t="n">
        <v>13</v>
      </c>
      <c r="P542" s="2" t="n">
        <v>0</v>
      </c>
      <c r="Q542" s="2" t="n">
        <v>5</v>
      </c>
      <c r="R542" s="2" t="n">
        <v>2</v>
      </c>
      <c r="S542" s="2" t="n">
        <v>2</v>
      </c>
      <c r="T542" s="2" t="n">
        <v>2</v>
      </c>
      <c r="U542" s="2" t="n">
        <v>2</v>
      </c>
      <c r="V542" s="2" t="n">
        <v>1</v>
      </c>
      <c r="W542" s="2" t="n">
        <v>2</v>
      </c>
      <c r="X542" s="2" t="n">
        <v>3</v>
      </c>
      <c r="Y542" s="2" t="n">
        <v>3</v>
      </c>
      <c r="Z542" s="2" t="n">
        <v>3</v>
      </c>
    </row>
    <row r="543" customFormat="false" ht="15" hidden="false" customHeight="true" outlineLevel="0" collapsed="false">
      <c r="A543" s="2" t="n">
        <v>42</v>
      </c>
      <c r="B543" s="2" t="s">
        <v>26</v>
      </c>
      <c r="C543" s="2" t="s">
        <v>27</v>
      </c>
      <c r="D543" s="2" t="s">
        <v>35</v>
      </c>
      <c r="E543" s="2" t="n">
        <v>11</v>
      </c>
      <c r="F543" s="2" t="n">
        <v>1</v>
      </c>
      <c r="G543" s="2" t="s">
        <v>29</v>
      </c>
      <c r="H543" s="2" t="n">
        <v>542</v>
      </c>
      <c r="I543" s="2" t="s">
        <v>39</v>
      </c>
      <c r="J543" s="2" t="n">
        <v>4</v>
      </c>
      <c r="K543" s="2" t="s">
        <v>36</v>
      </c>
      <c r="L543" s="2" t="s">
        <v>32</v>
      </c>
      <c r="M543" s="2" t="n">
        <v>60320</v>
      </c>
      <c r="N543" s="2" t="n">
        <v>0</v>
      </c>
      <c r="O543" s="2" t="n">
        <v>14</v>
      </c>
      <c r="P543" s="2" t="n">
        <v>0</v>
      </c>
      <c r="Q543" s="2" t="n">
        <v>23</v>
      </c>
      <c r="R543" s="2" t="n">
        <v>2</v>
      </c>
      <c r="S543" s="2" t="n">
        <v>22</v>
      </c>
      <c r="T543" s="2" t="n">
        <v>13</v>
      </c>
      <c r="U543" s="2" t="n">
        <v>7</v>
      </c>
      <c r="V543" s="2" t="n">
        <v>4</v>
      </c>
      <c r="W543" s="2" t="n">
        <v>1</v>
      </c>
      <c r="X543" s="2" t="n">
        <v>3</v>
      </c>
      <c r="Y543" s="2" t="n">
        <v>2</v>
      </c>
      <c r="Z543" s="2" t="n">
        <v>3</v>
      </c>
    </row>
    <row r="544" customFormat="false" ht="15" hidden="false" customHeight="true" outlineLevel="0" collapsed="false">
      <c r="A544" s="2" t="n">
        <v>28</v>
      </c>
      <c r="B544" s="2" t="s">
        <v>33</v>
      </c>
      <c r="C544" s="2" t="s">
        <v>34</v>
      </c>
      <c r="D544" s="2" t="s">
        <v>35</v>
      </c>
      <c r="E544" s="2" t="n">
        <v>7</v>
      </c>
      <c r="F544" s="2" t="n">
        <v>3</v>
      </c>
      <c r="G544" s="2" t="s">
        <v>29</v>
      </c>
      <c r="H544" s="2" t="n">
        <v>543</v>
      </c>
      <c r="I544" s="2" t="s">
        <v>39</v>
      </c>
      <c r="J544" s="2" t="n">
        <v>2</v>
      </c>
      <c r="K544" s="2" t="s">
        <v>49</v>
      </c>
      <c r="L544" s="2" t="s">
        <v>46</v>
      </c>
      <c r="M544" s="2" t="n">
        <v>29760</v>
      </c>
      <c r="N544" s="2" t="n">
        <v>1</v>
      </c>
      <c r="O544" s="2" t="n">
        <v>14</v>
      </c>
      <c r="P544" s="2" t="n">
        <v>0</v>
      </c>
      <c r="Q544" s="2" t="n">
        <v>1</v>
      </c>
      <c r="R544" s="2" t="n">
        <v>3</v>
      </c>
      <c r="S544" s="2" t="n">
        <v>1</v>
      </c>
      <c r="T544" s="2" t="n">
        <v>0</v>
      </c>
      <c r="U544" s="2" t="n">
        <v>0</v>
      </c>
      <c r="V544" s="2" t="n">
        <v>1</v>
      </c>
      <c r="W544" s="2" t="n">
        <v>2</v>
      </c>
      <c r="X544" s="2" t="n">
        <v>3</v>
      </c>
      <c r="Y544" s="2" t="n">
        <v>3</v>
      </c>
      <c r="Z544" s="2" t="n">
        <v>3</v>
      </c>
    </row>
    <row r="545" customFormat="false" ht="15" hidden="false" customHeight="true" outlineLevel="0" collapsed="false">
      <c r="A545" s="2" t="n">
        <v>50</v>
      </c>
      <c r="B545" s="2" t="s">
        <v>33</v>
      </c>
      <c r="C545" s="2" t="s">
        <v>34</v>
      </c>
      <c r="D545" s="2" t="s">
        <v>35</v>
      </c>
      <c r="E545" s="2" t="n">
        <v>1</v>
      </c>
      <c r="F545" s="2" t="n">
        <v>4</v>
      </c>
      <c r="G545" s="2" t="s">
        <v>43</v>
      </c>
      <c r="H545" s="2" t="n">
        <v>544</v>
      </c>
      <c r="I545" s="2" t="s">
        <v>39</v>
      </c>
      <c r="J545" s="2" t="n">
        <v>2</v>
      </c>
      <c r="K545" s="2" t="s">
        <v>36</v>
      </c>
      <c r="L545" s="2" t="s">
        <v>37</v>
      </c>
      <c r="M545" s="2" t="n">
        <v>159920</v>
      </c>
      <c r="N545" s="2" t="n">
        <v>3</v>
      </c>
      <c r="O545" s="2" t="n">
        <v>14</v>
      </c>
      <c r="P545" s="2" t="n">
        <v>0</v>
      </c>
      <c r="Q545" s="2" t="n">
        <v>5</v>
      </c>
      <c r="R545" s="2" t="n">
        <v>3</v>
      </c>
      <c r="S545" s="2" t="n">
        <v>0</v>
      </c>
      <c r="T545" s="2" t="n">
        <v>0</v>
      </c>
      <c r="U545" s="2" t="n">
        <v>0</v>
      </c>
      <c r="V545" s="2" t="n">
        <v>4</v>
      </c>
      <c r="W545" s="2" t="n">
        <v>3</v>
      </c>
      <c r="X545" s="2" t="n">
        <v>3</v>
      </c>
      <c r="Y545" s="2" t="n">
        <v>3</v>
      </c>
      <c r="Z545" s="2" t="n">
        <v>3</v>
      </c>
    </row>
    <row r="546" customFormat="false" ht="15" hidden="false" customHeight="true" outlineLevel="0" collapsed="false">
      <c r="A546" s="2" t="n">
        <v>33</v>
      </c>
      <c r="B546" s="2" t="s">
        <v>26</v>
      </c>
      <c r="C546" s="2" t="s">
        <v>34</v>
      </c>
      <c r="D546" s="2" t="s">
        <v>28</v>
      </c>
      <c r="E546" s="2" t="n">
        <v>9</v>
      </c>
      <c r="F546" s="2" t="n">
        <v>3</v>
      </c>
      <c r="G546" s="2" t="s">
        <v>43</v>
      </c>
      <c r="H546" s="2" t="n">
        <v>545</v>
      </c>
      <c r="I546" s="2" t="s">
        <v>30</v>
      </c>
      <c r="J546" s="2" t="n">
        <v>2</v>
      </c>
      <c r="K546" s="2" t="s">
        <v>36</v>
      </c>
      <c r="L546" s="2" t="s">
        <v>32</v>
      </c>
      <c r="M546" s="2" t="n">
        <v>46490</v>
      </c>
      <c r="N546" s="2" t="n">
        <v>0</v>
      </c>
      <c r="O546" s="2" t="n">
        <v>12</v>
      </c>
      <c r="P546" s="2" t="n">
        <v>0</v>
      </c>
      <c r="Q546" s="2" t="n">
        <v>4</v>
      </c>
      <c r="R546" s="2" t="n">
        <v>2</v>
      </c>
      <c r="S546" s="2" t="n">
        <v>3</v>
      </c>
      <c r="T546" s="2" t="n">
        <v>0</v>
      </c>
      <c r="U546" s="2" t="n">
        <v>2</v>
      </c>
      <c r="V546" s="2" t="n">
        <v>4</v>
      </c>
      <c r="W546" s="2" t="n">
        <v>2</v>
      </c>
      <c r="X546" s="2" t="n">
        <v>3</v>
      </c>
      <c r="Y546" s="2" t="n">
        <v>2</v>
      </c>
      <c r="Z546" s="2" t="n">
        <v>3</v>
      </c>
    </row>
    <row r="547" customFormat="false" ht="15" hidden="false" customHeight="true" outlineLevel="0" collapsed="false">
      <c r="A547" s="2" t="n">
        <v>34</v>
      </c>
      <c r="B547" s="2" t="s">
        <v>26</v>
      </c>
      <c r="C547" s="2" t="s">
        <v>41</v>
      </c>
      <c r="D547" s="2" t="s">
        <v>28</v>
      </c>
      <c r="E547" s="2" t="n">
        <v>1</v>
      </c>
      <c r="F547" s="2" t="n">
        <v>1</v>
      </c>
      <c r="G547" s="2" t="s">
        <v>50</v>
      </c>
      <c r="H547" s="2" t="n">
        <v>546</v>
      </c>
      <c r="I547" s="2" t="s">
        <v>30</v>
      </c>
      <c r="J547" s="2" t="n">
        <v>2</v>
      </c>
      <c r="K547" s="2" t="s">
        <v>44</v>
      </c>
      <c r="L547" s="2" t="s">
        <v>32</v>
      </c>
      <c r="M547" s="2" t="n">
        <v>26960</v>
      </c>
      <c r="N547" s="2" t="n">
        <v>3</v>
      </c>
      <c r="O547" s="2" t="n">
        <v>23</v>
      </c>
      <c r="P547" s="2" t="n">
        <v>0</v>
      </c>
      <c r="Q547" s="2" t="n">
        <v>6</v>
      </c>
      <c r="R547" s="2" t="n">
        <v>3</v>
      </c>
      <c r="S547" s="2" t="n">
        <v>0</v>
      </c>
      <c r="T547" s="2" t="n">
        <v>0</v>
      </c>
      <c r="U547" s="2" t="n">
        <v>0</v>
      </c>
      <c r="V547" s="2" t="n">
        <v>3</v>
      </c>
      <c r="W547" s="2" t="n">
        <v>4</v>
      </c>
      <c r="X547" s="2" t="n">
        <v>3</v>
      </c>
      <c r="Y547" s="2" t="n">
        <v>3</v>
      </c>
      <c r="Z547" s="2" t="n">
        <v>4</v>
      </c>
    </row>
    <row r="548" customFormat="false" ht="15" hidden="false" customHeight="true" outlineLevel="0" collapsed="false">
      <c r="A548" s="2" t="n">
        <v>48</v>
      </c>
      <c r="B548" s="2" t="s">
        <v>26</v>
      </c>
      <c r="C548" s="2" t="s">
        <v>41</v>
      </c>
      <c r="D548" s="2" t="s">
        <v>28</v>
      </c>
      <c r="E548" s="2" t="n">
        <v>2</v>
      </c>
      <c r="F548" s="2" t="n">
        <v>1</v>
      </c>
      <c r="G548" s="2" t="s">
        <v>29</v>
      </c>
      <c r="H548" s="2" t="n">
        <v>547</v>
      </c>
      <c r="I548" s="2" t="s">
        <v>39</v>
      </c>
      <c r="J548" s="2" t="n">
        <v>2</v>
      </c>
      <c r="K548" s="2" t="s">
        <v>40</v>
      </c>
      <c r="L548" s="2" t="s">
        <v>37</v>
      </c>
      <c r="M548" s="2" t="n">
        <v>23700</v>
      </c>
      <c r="N548" s="2" t="n">
        <v>2</v>
      </c>
      <c r="O548" s="2" t="n">
        <v>11</v>
      </c>
      <c r="P548" s="2" t="n">
        <v>0</v>
      </c>
      <c r="Q548" s="2" t="n">
        <v>27</v>
      </c>
      <c r="R548" s="2" t="n">
        <v>3</v>
      </c>
      <c r="S548" s="2" t="n">
        <v>5</v>
      </c>
      <c r="T548" s="2" t="n">
        <v>2</v>
      </c>
      <c r="U548" s="2" t="n">
        <v>1</v>
      </c>
      <c r="V548" s="2" t="n">
        <v>1</v>
      </c>
      <c r="W548" s="2" t="n">
        <v>4</v>
      </c>
      <c r="X548" s="2" t="n">
        <v>2</v>
      </c>
      <c r="Y548" s="2" t="n">
        <v>3</v>
      </c>
      <c r="Z548" s="2" t="n">
        <v>3</v>
      </c>
    </row>
    <row r="549" customFormat="false" ht="15" hidden="false" customHeight="true" outlineLevel="0" collapsed="false">
      <c r="A549" s="2" t="n">
        <v>45</v>
      </c>
      <c r="B549" s="2" t="s">
        <v>26</v>
      </c>
      <c r="C549" s="2" t="s">
        <v>41</v>
      </c>
      <c r="D549" s="2" t="s">
        <v>35</v>
      </c>
      <c r="E549" s="2" t="n">
        <v>1</v>
      </c>
      <c r="F549" s="2" t="n">
        <v>3</v>
      </c>
      <c r="G549" s="2" t="s">
        <v>43</v>
      </c>
      <c r="H549" s="2" t="n">
        <v>548</v>
      </c>
      <c r="I549" s="2" t="s">
        <v>30</v>
      </c>
      <c r="J549" s="2" t="n">
        <v>2</v>
      </c>
      <c r="K549" s="2" t="s">
        <v>42</v>
      </c>
      <c r="L549" s="2" t="s">
        <v>32</v>
      </c>
      <c r="M549" s="2" t="n">
        <v>125040</v>
      </c>
      <c r="N549" s="2" t="n">
        <v>1</v>
      </c>
      <c r="O549" s="2" t="n">
        <v>12</v>
      </c>
      <c r="P549" s="2" t="n">
        <v>1</v>
      </c>
      <c r="Q549" s="2" t="n">
        <v>15</v>
      </c>
      <c r="R549" s="2" t="n">
        <v>2</v>
      </c>
      <c r="S549" s="2" t="n">
        <v>15</v>
      </c>
      <c r="T549" s="2" t="n">
        <v>4</v>
      </c>
      <c r="U549" s="2" t="n">
        <v>12</v>
      </c>
      <c r="V549" s="2" t="n">
        <v>2</v>
      </c>
      <c r="W549" s="2" t="n">
        <v>3</v>
      </c>
      <c r="X549" s="2" t="n">
        <v>3</v>
      </c>
      <c r="Y549" s="2" t="n">
        <v>3</v>
      </c>
      <c r="Z549" s="2" t="n">
        <v>3</v>
      </c>
    </row>
    <row r="550" customFormat="false" ht="15" hidden="false" customHeight="true" outlineLevel="0" collapsed="false">
      <c r="A550" s="2" t="n">
        <v>52</v>
      </c>
      <c r="B550" s="2" t="s">
        <v>26</v>
      </c>
      <c r="C550" s="2" t="s">
        <v>27</v>
      </c>
      <c r="D550" s="2" t="s">
        <v>28</v>
      </c>
      <c r="E550" s="2" t="n">
        <v>1</v>
      </c>
      <c r="F550" s="2" t="n">
        <v>3</v>
      </c>
      <c r="G550" s="2" t="s">
        <v>29</v>
      </c>
      <c r="H550" s="2" t="n">
        <v>549</v>
      </c>
      <c r="I550" s="2" t="s">
        <v>39</v>
      </c>
      <c r="J550" s="2" t="n">
        <v>1</v>
      </c>
      <c r="K550" s="2" t="s">
        <v>40</v>
      </c>
      <c r="L550" s="2" t="s">
        <v>37</v>
      </c>
      <c r="M550" s="2" t="n">
        <v>59740</v>
      </c>
      <c r="N550" s="2" t="n">
        <v>7</v>
      </c>
      <c r="O550" s="2" t="n">
        <v>18</v>
      </c>
      <c r="P550" s="2" t="n">
        <v>1</v>
      </c>
      <c r="Q550" s="2" t="n">
        <v>18</v>
      </c>
      <c r="R550" s="2" t="n">
        <v>6</v>
      </c>
      <c r="S550" s="2" t="n">
        <v>8</v>
      </c>
      <c r="T550" s="2" t="n">
        <v>4</v>
      </c>
      <c r="U550" s="2" t="n">
        <v>0</v>
      </c>
      <c r="V550" s="2" t="n">
        <v>2</v>
      </c>
      <c r="W550" s="2" t="n">
        <v>2</v>
      </c>
      <c r="X550" s="2" t="n">
        <v>3</v>
      </c>
      <c r="Y550" s="2" t="n">
        <v>3</v>
      </c>
      <c r="Z550" s="2" t="n">
        <v>3</v>
      </c>
    </row>
    <row r="551" customFormat="false" ht="15" hidden="false" customHeight="true" outlineLevel="0" collapsed="false">
      <c r="A551" s="2" t="n">
        <v>38</v>
      </c>
      <c r="B551" s="2" t="s">
        <v>26</v>
      </c>
      <c r="C551" s="2" t="s">
        <v>27</v>
      </c>
      <c r="D551" s="2" t="s">
        <v>35</v>
      </c>
      <c r="E551" s="2" t="n">
        <v>6</v>
      </c>
      <c r="F551" s="2" t="n">
        <v>2</v>
      </c>
      <c r="G551" s="2" t="s">
        <v>43</v>
      </c>
      <c r="H551" s="2" t="n">
        <v>550</v>
      </c>
      <c r="I551" s="2" t="s">
        <v>39</v>
      </c>
      <c r="J551" s="2" t="n">
        <v>1</v>
      </c>
      <c r="K551" s="2" t="s">
        <v>36</v>
      </c>
      <c r="L551" s="2" t="s">
        <v>46</v>
      </c>
      <c r="M551" s="2" t="n">
        <v>47360</v>
      </c>
      <c r="N551" s="2" t="n">
        <v>0</v>
      </c>
      <c r="O551" s="2" t="n">
        <v>11</v>
      </c>
      <c r="P551" s="2" t="n">
        <v>1</v>
      </c>
      <c r="Q551" s="2" t="n">
        <v>9</v>
      </c>
      <c r="R551" s="2" t="n">
        <v>3</v>
      </c>
      <c r="S551" s="2" t="n">
        <v>8</v>
      </c>
      <c r="T551" s="2" t="n">
        <v>2</v>
      </c>
      <c r="U551" s="2" t="n">
        <v>7</v>
      </c>
      <c r="V551" s="2" t="n">
        <v>3</v>
      </c>
      <c r="W551" s="2" t="n">
        <v>3</v>
      </c>
      <c r="X551" s="2" t="n">
        <v>3</v>
      </c>
      <c r="Y551" s="2" t="n">
        <v>2</v>
      </c>
      <c r="Z551" s="2" t="n">
        <v>3</v>
      </c>
    </row>
    <row r="552" customFormat="false" ht="15" hidden="false" customHeight="true" outlineLevel="0" collapsed="false">
      <c r="A552" s="2" t="n">
        <v>29</v>
      </c>
      <c r="B552" s="2" t="s">
        <v>26</v>
      </c>
      <c r="C552" s="2" t="s">
        <v>27</v>
      </c>
      <c r="D552" s="2" t="s">
        <v>35</v>
      </c>
      <c r="E552" s="2" t="n">
        <v>8</v>
      </c>
      <c r="F552" s="2" t="n">
        <v>3</v>
      </c>
      <c r="G552" s="2" t="s">
        <v>43</v>
      </c>
      <c r="H552" s="2" t="n">
        <v>551</v>
      </c>
      <c r="I552" s="2" t="s">
        <v>30</v>
      </c>
      <c r="J552" s="2" t="n">
        <v>4</v>
      </c>
      <c r="K552" s="2" t="s">
        <v>36</v>
      </c>
      <c r="L552" s="2" t="s">
        <v>46</v>
      </c>
      <c r="M552" s="2" t="n">
        <v>52960</v>
      </c>
      <c r="N552" s="2" t="n">
        <v>4</v>
      </c>
      <c r="O552" s="2" t="n">
        <v>14</v>
      </c>
      <c r="P552" s="2" t="n">
        <v>0</v>
      </c>
      <c r="Q552" s="2" t="n">
        <v>11</v>
      </c>
      <c r="R552" s="2" t="n">
        <v>3</v>
      </c>
      <c r="S552" s="2" t="n">
        <v>7</v>
      </c>
      <c r="T552" s="2" t="n">
        <v>1</v>
      </c>
      <c r="U552" s="2" t="n">
        <v>7</v>
      </c>
      <c r="V552" s="2" t="n">
        <v>3</v>
      </c>
      <c r="W552" s="2" t="n">
        <v>4</v>
      </c>
      <c r="X552" s="2" t="n">
        <v>3</v>
      </c>
      <c r="Y552" s="2" t="n">
        <v>4</v>
      </c>
      <c r="Z552" s="2" t="n">
        <v>3</v>
      </c>
    </row>
    <row r="553" customFormat="false" ht="15" hidden="false" customHeight="true" outlineLevel="0" collapsed="false">
      <c r="A553" s="2" t="n">
        <v>28</v>
      </c>
      <c r="B553" s="2" t="s">
        <v>26</v>
      </c>
      <c r="C553" s="2" t="s">
        <v>27</v>
      </c>
      <c r="D553" s="2" t="s">
        <v>42</v>
      </c>
      <c r="E553" s="2" t="n">
        <v>1</v>
      </c>
      <c r="F553" s="2" t="n">
        <v>3</v>
      </c>
      <c r="G553" s="2" t="s">
        <v>42</v>
      </c>
      <c r="H553" s="2" t="n">
        <v>552</v>
      </c>
      <c r="I553" s="2" t="s">
        <v>30</v>
      </c>
      <c r="J553" s="2" t="n">
        <v>4</v>
      </c>
      <c r="K553" s="2" t="s">
        <v>45</v>
      </c>
      <c r="L553" s="2" t="s">
        <v>46</v>
      </c>
      <c r="M553" s="2" t="n">
        <v>67810</v>
      </c>
      <c r="N553" s="2" t="n">
        <v>0</v>
      </c>
      <c r="O553" s="2" t="n">
        <v>15</v>
      </c>
      <c r="P553" s="2" t="n">
        <v>1</v>
      </c>
      <c r="Q553" s="2" t="n">
        <v>10</v>
      </c>
      <c r="R553" s="2" t="n">
        <v>2</v>
      </c>
      <c r="S553" s="2" t="n">
        <v>9</v>
      </c>
      <c r="T553" s="2" t="n">
        <v>1</v>
      </c>
      <c r="U553" s="2" t="n">
        <v>7</v>
      </c>
      <c r="V553" s="2" t="n">
        <v>4</v>
      </c>
      <c r="W553" s="2" t="n">
        <v>2</v>
      </c>
      <c r="X553" s="2" t="n">
        <v>2</v>
      </c>
      <c r="Y553" s="2" t="n">
        <v>3</v>
      </c>
      <c r="Z553" s="2" t="n">
        <v>3</v>
      </c>
    </row>
    <row r="554" customFormat="false" ht="15" hidden="false" customHeight="true" outlineLevel="0" collapsed="false">
      <c r="A554" s="2" t="n">
        <v>46</v>
      </c>
      <c r="B554" s="2" t="s">
        <v>26</v>
      </c>
      <c r="C554" s="2" t="s">
        <v>27</v>
      </c>
      <c r="D554" s="2" t="s">
        <v>35</v>
      </c>
      <c r="E554" s="2" t="n">
        <v>6</v>
      </c>
      <c r="F554" s="2" t="n">
        <v>4</v>
      </c>
      <c r="G554" s="2" t="s">
        <v>43</v>
      </c>
      <c r="H554" s="2" t="n">
        <v>553</v>
      </c>
      <c r="I554" s="2" t="s">
        <v>39</v>
      </c>
      <c r="J554" s="2" t="n">
        <v>3</v>
      </c>
      <c r="K554" s="2" t="s">
        <v>40</v>
      </c>
      <c r="L554" s="2" t="s">
        <v>32</v>
      </c>
      <c r="M554" s="2" t="n">
        <v>21740</v>
      </c>
      <c r="N554" s="2" t="n">
        <v>3</v>
      </c>
      <c r="O554" s="2" t="n">
        <v>11</v>
      </c>
      <c r="P554" s="2" t="n">
        <v>1</v>
      </c>
      <c r="Q554" s="2" t="n">
        <v>23</v>
      </c>
      <c r="R554" s="2" t="n">
        <v>3</v>
      </c>
      <c r="S554" s="2" t="n">
        <v>12</v>
      </c>
      <c r="T554" s="2" t="n">
        <v>4</v>
      </c>
      <c r="U554" s="2" t="n">
        <v>9</v>
      </c>
      <c r="V554" s="2" t="n">
        <v>1</v>
      </c>
      <c r="W554" s="2" t="n">
        <v>3</v>
      </c>
      <c r="X554" s="2" t="n">
        <v>3</v>
      </c>
      <c r="Y554" s="2" t="n">
        <v>3</v>
      </c>
      <c r="Z554" s="2" t="n">
        <v>3</v>
      </c>
    </row>
    <row r="555" customFormat="false" ht="15" hidden="false" customHeight="true" outlineLevel="0" collapsed="false">
      <c r="A555" s="2" t="n">
        <v>38</v>
      </c>
      <c r="B555" s="2" t="s">
        <v>26</v>
      </c>
      <c r="C555" s="2" t="s">
        <v>27</v>
      </c>
      <c r="D555" s="2" t="s">
        <v>35</v>
      </c>
      <c r="E555" s="2" t="n">
        <v>7</v>
      </c>
      <c r="F555" s="2" t="n">
        <v>4</v>
      </c>
      <c r="G555" s="2" t="s">
        <v>43</v>
      </c>
      <c r="H555" s="2" t="n">
        <v>554</v>
      </c>
      <c r="I555" s="2" t="s">
        <v>39</v>
      </c>
      <c r="J555" s="2" t="n">
        <v>1</v>
      </c>
      <c r="K555" s="2" t="s">
        <v>40</v>
      </c>
      <c r="L555" s="2" t="s">
        <v>37</v>
      </c>
      <c r="M555" s="2" t="n">
        <v>66530</v>
      </c>
      <c r="N555" s="2" t="n">
        <v>7</v>
      </c>
      <c r="O555" s="2" t="n">
        <v>20</v>
      </c>
      <c r="P555" s="2" t="n">
        <v>1</v>
      </c>
      <c r="Q555" s="2" t="n">
        <v>10</v>
      </c>
      <c r="R555" s="2" t="n">
        <v>2</v>
      </c>
      <c r="S555" s="2" t="n">
        <v>1</v>
      </c>
      <c r="T555" s="2" t="n">
        <v>0</v>
      </c>
      <c r="U555" s="2" t="n">
        <v>0</v>
      </c>
      <c r="V555" s="2" t="n">
        <v>4</v>
      </c>
      <c r="W555" s="2" t="n">
        <v>2</v>
      </c>
      <c r="X555" s="2" t="n">
        <v>3</v>
      </c>
      <c r="Y555" s="2" t="n">
        <v>3</v>
      </c>
      <c r="Z555" s="2" t="n">
        <v>4</v>
      </c>
    </row>
    <row r="556" customFormat="false" ht="15" hidden="false" customHeight="true" outlineLevel="0" collapsed="false">
      <c r="A556" s="2" t="n">
        <v>43</v>
      </c>
      <c r="B556" s="2" t="s">
        <v>26</v>
      </c>
      <c r="C556" s="2" t="s">
        <v>34</v>
      </c>
      <c r="D556" s="2" t="s">
        <v>35</v>
      </c>
      <c r="E556" s="2" t="n">
        <v>5</v>
      </c>
      <c r="F556" s="2" t="n">
        <v>3</v>
      </c>
      <c r="G556" s="2" t="s">
        <v>43</v>
      </c>
      <c r="H556" s="2" t="n">
        <v>555</v>
      </c>
      <c r="I556" s="2" t="s">
        <v>30</v>
      </c>
      <c r="J556" s="2" t="n">
        <v>2</v>
      </c>
      <c r="K556" s="2" t="s">
        <v>45</v>
      </c>
      <c r="L556" s="2" t="s">
        <v>32</v>
      </c>
      <c r="M556" s="2" t="n">
        <v>96990</v>
      </c>
      <c r="N556" s="2" t="n">
        <v>8</v>
      </c>
      <c r="O556" s="2" t="n">
        <v>19</v>
      </c>
      <c r="P556" s="2" t="n">
        <v>1</v>
      </c>
      <c r="Q556" s="2" t="n">
        <v>18</v>
      </c>
      <c r="R556" s="2" t="n">
        <v>3</v>
      </c>
      <c r="S556" s="2" t="n">
        <v>8</v>
      </c>
      <c r="T556" s="2" t="n">
        <v>0</v>
      </c>
      <c r="U556" s="2" t="n">
        <v>1</v>
      </c>
      <c r="V556" s="2" t="n">
        <v>3</v>
      </c>
      <c r="W556" s="2" t="n">
        <v>1</v>
      </c>
      <c r="X556" s="2" t="n">
        <v>3</v>
      </c>
      <c r="Y556" s="2" t="n">
        <v>3</v>
      </c>
      <c r="Z556" s="2" t="n">
        <v>3</v>
      </c>
    </row>
    <row r="557" customFormat="false" ht="15" hidden="false" customHeight="true" outlineLevel="0" collapsed="false">
      <c r="A557" s="2" t="n">
        <v>39</v>
      </c>
      <c r="B557" s="2" t="s">
        <v>33</v>
      </c>
      <c r="C557" s="2" t="s">
        <v>34</v>
      </c>
      <c r="D557" s="2" t="s">
        <v>28</v>
      </c>
      <c r="E557" s="2" t="n">
        <v>1</v>
      </c>
      <c r="F557" s="2" t="n">
        <v>3</v>
      </c>
      <c r="G557" s="2" t="s">
        <v>50</v>
      </c>
      <c r="H557" s="2" t="n">
        <v>556</v>
      </c>
      <c r="I557" s="2" t="s">
        <v>39</v>
      </c>
      <c r="J557" s="2" t="n">
        <v>2</v>
      </c>
      <c r="K557" s="2" t="s">
        <v>31</v>
      </c>
      <c r="L557" s="2" t="s">
        <v>46</v>
      </c>
      <c r="M557" s="2" t="n">
        <v>67550</v>
      </c>
      <c r="N557" s="2" t="n">
        <v>7</v>
      </c>
      <c r="O557" s="2" t="n">
        <v>14</v>
      </c>
      <c r="P557" s="2" t="n">
        <v>1</v>
      </c>
      <c r="Q557" s="2" t="n">
        <v>21</v>
      </c>
      <c r="R557" s="2" t="n">
        <v>2</v>
      </c>
      <c r="S557" s="2" t="n">
        <v>18</v>
      </c>
      <c r="T557" s="2" t="n">
        <v>11</v>
      </c>
      <c r="U557" s="2" t="n">
        <v>5</v>
      </c>
      <c r="V557" s="2" t="n">
        <v>1</v>
      </c>
      <c r="W557" s="2" t="n">
        <v>4</v>
      </c>
      <c r="X557" s="2" t="n">
        <v>3</v>
      </c>
      <c r="Y557" s="2" t="n">
        <v>3</v>
      </c>
      <c r="Z557" s="2" t="n">
        <v>3</v>
      </c>
    </row>
    <row r="558" customFormat="false" ht="15" hidden="false" customHeight="true" outlineLevel="0" collapsed="false">
      <c r="A558" s="2" t="n">
        <v>40</v>
      </c>
      <c r="B558" s="2" t="s">
        <v>26</v>
      </c>
      <c r="C558" s="2" t="s">
        <v>27</v>
      </c>
      <c r="D558" s="2" t="s">
        <v>35</v>
      </c>
      <c r="E558" s="2" t="n">
        <v>1</v>
      </c>
      <c r="F558" s="2" t="n">
        <v>1</v>
      </c>
      <c r="G558" s="2" t="s">
        <v>29</v>
      </c>
      <c r="H558" s="2" t="n">
        <v>557</v>
      </c>
      <c r="I558" s="2" t="s">
        <v>39</v>
      </c>
      <c r="J558" s="2" t="n">
        <v>1</v>
      </c>
      <c r="K558" s="2" t="s">
        <v>31</v>
      </c>
      <c r="L558" s="2" t="s">
        <v>37</v>
      </c>
      <c r="M558" s="2" t="n">
        <v>22130</v>
      </c>
      <c r="N558" s="2" t="n">
        <v>1</v>
      </c>
      <c r="O558" s="2" t="n">
        <v>17</v>
      </c>
      <c r="P558" s="2" t="n">
        <v>0</v>
      </c>
      <c r="Q558" s="2" t="n">
        <v>21</v>
      </c>
      <c r="R558" s="2" t="n">
        <v>4</v>
      </c>
      <c r="S558" s="2" t="n">
        <v>20</v>
      </c>
      <c r="T558" s="2" t="n">
        <v>4</v>
      </c>
      <c r="U558" s="2" t="n">
        <v>9</v>
      </c>
      <c r="V558" s="2" t="n">
        <v>3</v>
      </c>
      <c r="W558" s="2" t="n">
        <v>3</v>
      </c>
      <c r="X558" s="2" t="n">
        <v>4</v>
      </c>
      <c r="Y558" s="2" t="n">
        <v>3</v>
      </c>
      <c r="Z558" s="2" t="n">
        <v>3</v>
      </c>
    </row>
    <row r="559" customFormat="false" ht="15" hidden="false" customHeight="true" outlineLevel="0" collapsed="false">
      <c r="A559" s="2" t="n">
        <v>21</v>
      </c>
      <c r="B559" s="2" t="s">
        <v>26</v>
      </c>
      <c r="C559" s="2" t="s">
        <v>27</v>
      </c>
      <c r="D559" s="2" t="s">
        <v>35</v>
      </c>
      <c r="E559" s="2" t="n">
        <v>1</v>
      </c>
      <c r="F559" s="2" t="n">
        <v>4</v>
      </c>
      <c r="G559" s="2" t="s">
        <v>29</v>
      </c>
      <c r="H559" s="2" t="n">
        <v>558</v>
      </c>
      <c r="I559" s="2" t="s">
        <v>30</v>
      </c>
      <c r="J559" s="2" t="n">
        <v>1</v>
      </c>
      <c r="K559" s="2" t="s">
        <v>36</v>
      </c>
      <c r="L559" s="2" t="s">
        <v>37</v>
      </c>
      <c r="M559" s="2" t="n">
        <v>26100</v>
      </c>
      <c r="N559" s="2" t="n">
        <v>1</v>
      </c>
      <c r="O559" s="2" t="n">
        <v>11</v>
      </c>
      <c r="P559" s="2" t="n">
        <v>1</v>
      </c>
      <c r="Q559" s="2" t="n">
        <v>2</v>
      </c>
      <c r="R559" s="2" t="n">
        <v>3</v>
      </c>
      <c r="S559" s="2" t="n">
        <v>2</v>
      </c>
      <c r="T559" s="2" t="n">
        <v>2</v>
      </c>
      <c r="U559" s="2" t="n">
        <v>2</v>
      </c>
      <c r="V559" s="2" t="n">
        <v>4</v>
      </c>
      <c r="W559" s="2" t="n">
        <v>2</v>
      </c>
      <c r="X559" s="2" t="n">
        <v>4</v>
      </c>
      <c r="Y559" s="2" t="n">
        <v>2</v>
      </c>
      <c r="Z559" s="2" t="n">
        <v>3</v>
      </c>
    </row>
    <row r="560" customFormat="false" ht="15" hidden="false" customHeight="true" outlineLevel="0" collapsed="false">
      <c r="A560" s="2" t="n">
        <v>39</v>
      </c>
      <c r="B560" s="2" t="s">
        <v>26</v>
      </c>
      <c r="C560" s="2" t="s">
        <v>41</v>
      </c>
      <c r="D560" s="2" t="s">
        <v>35</v>
      </c>
      <c r="E560" s="2" t="n">
        <v>6</v>
      </c>
      <c r="F560" s="2" t="n">
        <v>3</v>
      </c>
      <c r="G560" s="2" t="s">
        <v>29</v>
      </c>
      <c r="H560" s="2" t="n">
        <v>559</v>
      </c>
      <c r="I560" s="2" t="s">
        <v>39</v>
      </c>
      <c r="J560" s="2" t="n">
        <v>1</v>
      </c>
      <c r="K560" s="2" t="s">
        <v>45</v>
      </c>
      <c r="L560" s="2" t="s">
        <v>37</v>
      </c>
      <c r="M560" s="2" t="n">
        <v>28510</v>
      </c>
      <c r="N560" s="2" t="n">
        <v>9</v>
      </c>
      <c r="O560" s="2" t="n">
        <v>15</v>
      </c>
      <c r="P560" s="2" t="n">
        <v>0</v>
      </c>
      <c r="Q560" s="2" t="n">
        <v>9</v>
      </c>
      <c r="R560" s="2" t="n">
        <v>2</v>
      </c>
      <c r="S560" s="2" t="n">
        <v>5</v>
      </c>
      <c r="T560" s="2" t="n">
        <v>0</v>
      </c>
      <c r="U560" s="2" t="n">
        <v>3</v>
      </c>
      <c r="V560" s="2" t="n">
        <v>3</v>
      </c>
      <c r="W560" s="2" t="n">
        <v>2</v>
      </c>
      <c r="X560" s="2" t="n">
        <v>2</v>
      </c>
      <c r="Y560" s="2" t="n">
        <v>3</v>
      </c>
      <c r="Z560" s="2" t="n">
        <v>3</v>
      </c>
    </row>
    <row r="561" customFormat="false" ht="15" hidden="false" customHeight="true" outlineLevel="0" collapsed="false">
      <c r="A561" s="2" t="n">
        <v>36</v>
      </c>
      <c r="B561" s="2" t="s">
        <v>26</v>
      </c>
      <c r="C561" s="2" t="s">
        <v>41</v>
      </c>
      <c r="D561" s="2" t="s">
        <v>35</v>
      </c>
      <c r="E561" s="2" t="n">
        <v>1</v>
      </c>
      <c r="F561" s="2" t="n">
        <v>3</v>
      </c>
      <c r="G561" s="2" t="s">
        <v>43</v>
      </c>
      <c r="H561" s="2" t="n">
        <v>560</v>
      </c>
      <c r="I561" s="2" t="s">
        <v>39</v>
      </c>
      <c r="J561" s="2" t="n">
        <v>3</v>
      </c>
      <c r="K561" s="2" t="s">
        <v>48</v>
      </c>
      <c r="L561" s="2" t="s">
        <v>37</v>
      </c>
      <c r="M561" s="2" t="n">
        <v>34520</v>
      </c>
      <c r="N561" s="2" t="n">
        <v>2</v>
      </c>
      <c r="O561" s="2" t="n">
        <v>13</v>
      </c>
      <c r="P561" s="2" t="n">
        <v>3</v>
      </c>
      <c r="Q561" s="2" t="n">
        <v>18</v>
      </c>
      <c r="R561" s="2" t="n">
        <v>4</v>
      </c>
      <c r="S561" s="2" t="n">
        <v>11</v>
      </c>
      <c r="T561" s="2" t="n">
        <v>0</v>
      </c>
      <c r="U561" s="2" t="n">
        <v>9</v>
      </c>
      <c r="V561" s="2" t="n">
        <v>1</v>
      </c>
      <c r="W561" s="2" t="n">
        <v>4</v>
      </c>
      <c r="X561" s="2" t="n">
        <v>3</v>
      </c>
      <c r="Y561" s="2" t="n">
        <v>4</v>
      </c>
      <c r="Z561" s="2" t="n">
        <v>3</v>
      </c>
    </row>
    <row r="562" customFormat="false" ht="15" hidden="false" customHeight="true" outlineLevel="0" collapsed="false">
      <c r="A562" s="2" t="n">
        <v>31</v>
      </c>
      <c r="B562" s="2" t="s">
        <v>26</v>
      </c>
      <c r="C562" s="2" t="s">
        <v>34</v>
      </c>
      <c r="D562" s="2" t="s">
        <v>35</v>
      </c>
      <c r="E562" s="2" t="n">
        <v>7</v>
      </c>
      <c r="F562" s="2" t="n">
        <v>3</v>
      </c>
      <c r="G562" s="2" t="s">
        <v>29</v>
      </c>
      <c r="H562" s="2" t="n">
        <v>561</v>
      </c>
      <c r="I562" s="2" t="s">
        <v>39</v>
      </c>
      <c r="J562" s="2" t="n">
        <v>1</v>
      </c>
      <c r="K562" s="2" t="s">
        <v>40</v>
      </c>
      <c r="L562" s="2" t="s">
        <v>32</v>
      </c>
      <c r="M562" s="2" t="n">
        <v>52580</v>
      </c>
      <c r="N562" s="2" t="n">
        <v>0</v>
      </c>
      <c r="O562" s="2" t="n">
        <v>14</v>
      </c>
      <c r="P562" s="2" t="n">
        <v>3</v>
      </c>
      <c r="Q562" s="2" t="n">
        <v>3</v>
      </c>
      <c r="R562" s="2" t="n">
        <v>5</v>
      </c>
      <c r="S562" s="2" t="n">
        <v>2</v>
      </c>
      <c r="T562" s="2" t="n">
        <v>2</v>
      </c>
      <c r="U562" s="2" t="n">
        <v>2</v>
      </c>
      <c r="V562" s="2" t="n">
        <v>3</v>
      </c>
      <c r="W562" s="2" t="n">
        <v>4</v>
      </c>
      <c r="X562" s="2" t="n">
        <v>3</v>
      </c>
      <c r="Y562" s="2" t="n">
        <v>3</v>
      </c>
      <c r="Z562" s="2" t="n">
        <v>3</v>
      </c>
    </row>
    <row r="563" customFormat="false" ht="15" hidden="false" customHeight="true" outlineLevel="0" collapsed="false">
      <c r="A563" s="2" t="n">
        <v>28</v>
      </c>
      <c r="B563" s="2" t="s">
        <v>26</v>
      </c>
      <c r="C563" s="2" t="s">
        <v>27</v>
      </c>
      <c r="D563" s="2" t="s">
        <v>28</v>
      </c>
      <c r="E563" s="2" t="n">
        <v>2</v>
      </c>
      <c r="F563" s="2" t="n">
        <v>4</v>
      </c>
      <c r="G563" s="2" t="s">
        <v>50</v>
      </c>
      <c r="H563" s="2" t="n">
        <v>562</v>
      </c>
      <c r="I563" s="2" t="s">
        <v>39</v>
      </c>
      <c r="J563" s="2" t="n">
        <v>1</v>
      </c>
      <c r="K563" s="2" t="s">
        <v>40</v>
      </c>
      <c r="L563" s="2" t="s">
        <v>32</v>
      </c>
      <c r="M563" s="2" t="n">
        <v>93550</v>
      </c>
      <c r="N563" s="2" t="n">
        <v>0</v>
      </c>
      <c r="O563" s="2" t="n">
        <v>11</v>
      </c>
      <c r="P563" s="2" t="n">
        <v>0</v>
      </c>
      <c r="Q563" s="2" t="n">
        <v>6</v>
      </c>
      <c r="R563" s="2" t="n">
        <v>4</v>
      </c>
      <c r="S563" s="2" t="n">
        <v>5</v>
      </c>
      <c r="T563" s="2" t="n">
        <v>0</v>
      </c>
      <c r="U563" s="2" t="n">
        <v>4</v>
      </c>
      <c r="V563" s="2" t="n">
        <v>1</v>
      </c>
      <c r="W563" s="2" t="n">
        <v>2</v>
      </c>
      <c r="X563" s="2" t="n">
        <v>1</v>
      </c>
      <c r="Y563" s="2" t="n">
        <v>3</v>
      </c>
      <c r="Z563" s="2" t="n">
        <v>3</v>
      </c>
    </row>
    <row r="564" customFormat="false" ht="15" hidden="false" customHeight="true" outlineLevel="0" collapsed="false">
      <c r="A564" s="2" t="n">
        <v>35</v>
      </c>
      <c r="B564" s="2" t="s">
        <v>26</v>
      </c>
      <c r="C564" s="2" t="s">
        <v>34</v>
      </c>
      <c r="D564" s="2" t="s">
        <v>35</v>
      </c>
      <c r="E564" s="2" t="n">
        <v>9</v>
      </c>
      <c r="F564" s="2" t="n">
        <v>2</v>
      </c>
      <c r="G564" s="2" t="s">
        <v>38</v>
      </c>
      <c r="H564" s="2" t="n">
        <v>563</v>
      </c>
      <c r="I564" s="2" t="s">
        <v>30</v>
      </c>
      <c r="J564" s="2" t="n">
        <v>1</v>
      </c>
      <c r="K564" s="2" t="s">
        <v>47</v>
      </c>
      <c r="L564" s="2" t="s">
        <v>46</v>
      </c>
      <c r="M564" s="2" t="n">
        <v>104960</v>
      </c>
      <c r="N564" s="2" t="n">
        <v>1</v>
      </c>
      <c r="O564" s="2" t="n">
        <v>13</v>
      </c>
      <c r="P564" s="2" t="n">
        <v>1</v>
      </c>
      <c r="Q564" s="2" t="n">
        <v>5</v>
      </c>
      <c r="R564" s="2" t="n">
        <v>2</v>
      </c>
      <c r="S564" s="2" t="n">
        <v>5</v>
      </c>
      <c r="T564" s="2" t="n">
        <v>0</v>
      </c>
      <c r="U564" s="2" t="n">
        <v>2</v>
      </c>
      <c r="V564" s="2" t="n">
        <v>4</v>
      </c>
      <c r="W564" s="2" t="n">
        <v>4</v>
      </c>
      <c r="X564" s="2" t="n">
        <v>3</v>
      </c>
      <c r="Y564" s="2" t="n">
        <v>3</v>
      </c>
      <c r="Z564" s="2" t="n">
        <v>3</v>
      </c>
    </row>
    <row r="565" customFormat="false" ht="15" hidden="false" customHeight="true" outlineLevel="0" collapsed="false">
      <c r="A565" s="2" t="n">
        <v>49</v>
      </c>
      <c r="B565" s="2" t="s">
        <v>26</v>
      </c>
      <c r="C565" s="2" t="s">
        <v>27</v>
      </c>
      <c r="D565" s="2" t="s">
        <v>28</v>
      </c>
      <c r="E565" s="2" t="n">
        <v>2</v>
      </c>
      <c r="F565" s="2" t="n">
        <v>2</v>
      </c>
      <c r="G565" s="2" t="s">
        <v>43</v>
      </c>
      <c r="H565" s="2" t="n">
        <v>564</v>
      </c>
      <c r="I565" s="2" t="s">
        <v>30</v>
      </c>
      <c r="J565" s="2" t="n">
        <v>1</v>
      </c>
      <c r="K565" s="2" t="s">
        <v>40</v>
      </c>
      <c r="L565" s="2" t="s">
        <v>32</v>
      </c>
      <c r="M565" s="2" t="n">
        <v>63800</v>
      </c>
      <c r="N565" s="2" t="n">
        <v>6</v>
      </c>
      <c r="O565" s="2" t="n">
        <v>23</v>
      </c>
      <c r="P565" s="2" t="n">
        <v>1</v>
      </c>
      <c r="Q565" s="2" t="n">
        <v>22</v>
      </c>
      <c r="R565" s="2" t="n">
        <v>1</v>
      </c>
      <c r="S565" s="2" t="n">
        <v>9</v>
      </c>
      <c r="T565" s="2" t="n">
        <v>2</v>
      </c>
      <c r="U565" s="2" t="n">
        <v>3</v>
      </c>
      <c r="V565" s="2" t="n">
        <v>4</v>
      </c>
      <c r="W565" s="2" t="n">
        <v>2</v>
      </c>
      <c r="X565" s="2" t="n">
        <v>3</v>
      </c>
      <c r="Y565" s="2" t="n">
        <v>2</v>
      </c>
      <c r="Z565" s="2" t="n">
        <v>4</v>
      </c>
    </row>
    <row r="566" customFormat="false" ht="15" hidden="false" customHeight="true" outlineLevel="0" collapsed="false">
      <c r="A566" s="2" t="n">
        <v>34</v>
      </c>
      <c r="B566" s="2" t="s">
        <v>26</v>
      </c>
      <c r="C566" s="2" t="s">
        <v>34</v>
      </c>
      <c r="D566" s="2" t="s">
        <v>28</v>
      </c>
      <c r="E566" s="2" t="n">
        <v>9</v>
      </c>
      <c r="F566" s="2" t="n">
        <v>1</v>
      </c>
      <c r="G566" s="2" t="s">
        <v>51</v>
      </c>
      <c r="H566" s="2" t="n">
        <v>565</v>
      </c>
      <c r="I566" s="2" t="s">
        <v>39</v>
      </c>
      <c r="J566" s="2" t="n">
        <v>2</v>
      </c>
      <c r="K566" s="2" t="s">
        <v>40</v>
      </c>
      <c r="L566" s="2" t="s">
        <v>37</v>
      </c>
      <c r="M566" s="2" t="n">
        <v>26570</v>
      </c>
      <c r="N566" s="2" t="n">
        <v>2</v>
      </c>
      <c r="O566" s="2" t="n">
        <v>13</v>
      </c>
      <c r="P566" s="2" t="n">
        <v>1</v>
      </c>
      <c r="Q566" s="2" t="n">
        <v>5</v>
      </c>
      <c r="R566" s="2" t="n">
        <v>3</v>
      </c>
      <c r="S566" s="2" t="n">
        <v>3</v>
      </c>
      <c r="T566" s="2" t="n">
        <v>0</v>
      </c>
      <c r="U566" s="2" t="n">
        <v>2</v>
      </c>
      <c r="V566" s="2" t="n">
        <v>4</v>
      </c>
      <c r="W566" s="2" t="n">
        <v>3</v>
      </c>
      <c r="X566" s="2" t="n">
        <v>2</v>
      </c>
      <c r="Y566" s="2" t="n">
        <v>2</v>
      </c>
      <c r="Z566" s="2" t="n">
        <v>3</v>
      </c>
    </row>
    <row r="567" customFormat="false" ht="15" hidden="false" customHeight="true" outlineLevel="0" collapsed="false">
      <c r="A567" s="2" t="n">
        <v>29</v>
      </c>
      <c r="B567" s="2" t="s">
        <v>26</v>
      </c>
      <c r="C567" s="2" t="s">
        <v>34</v>
      </c>
      <c r="D567" s="2" t="s">
        <v>35</v>
      </c>
      <c r="E567" s="2" t="n">
        <v>1</v>
      </c>
      <c r="F567" s="2" t="n">
        <v>4</v>
      </c>
      <c r="G567" s="2" t="s">
        <v>43</v>
      </c>
      <c r="H567" s="2" t="n">
        <v>566</v>
      </c>
      <c r="I567" s="2" t="s">
        <v>39</v>
      </c>
      <c r="J567" s="2" t="n">
        <v>3</v>
      </c>
      <c r="K567" s="2" t="s">
        <v>36</v>
      </c>
      <c r="L567" s="2" t="s">
        <v>46</v>
      </c>
      <c r="M567" s="2" t="n">
        <v>27160</v>
      </c>
      <c r="N567" s="2" t="n">
        <v>0</v>
      </c>
      <c r="O567" s="2" t="n">
        <v>18</v>
      </c>
      <c r="P567" s="2" t="n">
        <v>0</v>
      </c>
      <c r="Q567" s="2" t="n">
        <v>8</v>
      </c>
      <c r="R567" s="2" t="n">
        <v>2</v>
      </c>
      <c r="S567" s="2" t="n">
        <v>7</v>
      </c>
      <c r="T567" s="2" t="n">
        <v>1</v>
      </c>
      <c r="U567" s="2" t="n">
        <v>1</v>
      </c>
      <c r="V567" s="2" t="n">
        <v>4</v>
      </c>
      <c r="W567" s="2" t="n">
        <v>2</v>
      </c>
      <c r="X567" s="2" t="n">
        <v>2</v>
      </c>
      <c r="Y567" s="2" t="n">
        <v>1</v>
      </c>
      <c r="Z567" s="2" t="n">
        <v>3</v>
      </c>
    </row>
    <row r="568" customFormat="false" ht="15" hidden="false" customHeight="true" outlineLevel="0" collapsed="false">
      <c r="A568" s="2" t="n">
        <v>42</v>
      </c>
      <c r="B568" s="2" t="s">
        <v>26</v>
      </c>
      <c r="C568" s="2" t="s">
        <v>27</v>
      </c>
      <c r="D568" s="2" t="s">
        <v>28</v>
      </c>
      <c r="E568" s="2" t="n">
        <v>21</v>
      </c>
      <c r="F568" s="2" t="n">
        <v>2</v>
      </c>
      <c r="G568" s="2" t="s">
        <v>29</v>
      </c>
      <c r="H568" s="2" t="n">
        <v>567</v>
      </c>
      <c r="I568" s="2" t="s">
        <v>30</v>
      </c>
      <c r="J568" s="2" t="n">
        <v>1</v>
      </c>
      <c r="K568" s="2" t="s">
        <v>31</v>
      </c>
      <c r="L568" s="2" t="s">
        <v>37</v>
      </c>
      <c r="M568" s="2" t="n">
        <v>22010</v>
      </c>
      <c r="N568" s="2" t="n">
        <v>4</v>
      </c>
      <c r="O568" s="2" t="n">
        <v>12</v>
      </c>
      <c r="P568" s="2" t="n">
        <v>1</v>
      </c>
      <c r="Q568" s="2" t="n">
        <v>16</v>
      </c>
      <c r="R568" s="2" t="n">
        <v>3</v>
      </c>
      <c r="S568" s="2" t="n">
        <v>1</v>
      </c>
      <c r="T568" s="2" t="n">
        <v>0</v>
      </c>
      <c r="U568" s="2" t="n">
        <v>0</v>
      </c>
      <c r="V568" s="2" t="n">
        <v>2</v>
      </c>
      <c r="W568" s="2" t="n">
        <v>4</v>
      </c>
      <c r="X568" s="2" t="n">
        <v>3</v>
      </c>
      <c r="Y568" s="2" t="n">
        <v>4</v>
      </c>
      <c r="Z568" s="2" t="n">
        <v>3</v>
      </c>
    </row>
    <row r="569" customFormat="false" ht="15" hidden="false" customHeight="true" outlineLevel="0" collapsed="false">
      <c r="A569" s="2" t="n">
        <v>29</v>
      </c>
      <c r="B569" s="2" t="s">
        <v>26</v>
      </c>
      <c r="C569" s="2" t="s">
        <v>27</v>
      </c>
      <c r="D569" s="2" t="s">
        <v>28</v>
      </c>
      <c r="E569" s="2" t="n">
        <v>4</v>
      </c>
      <c r="F569" s="2" t="n">
        <v>2</v>
      </c>
      <c r="G569" s="2" t="s">
        <v>38</v>
      </c>
      <c r="H569" s="2" t="n">
        <v>568</v>
      </c>
      <c r="I569" s="2" t="s">
        <v>30</v>
      </c>
      <c r="J569" s="2" t="n">
        <v>2</v>
      </c>
      <c r="K569" s="2" t="s">
        <v>31</v>
      </c>
      <c r="L569" s="2" t="s">
        <v>32</v>
      </c>
      <c r="M569" s="2" t="n">
        <v>65400</v>
      </c>
      <c r="N569" s="2" t="n">
        <v>1</v>
      </c>
      <c r="O569" s="2" t="n">
        <v>22</v>
      </c>
      <c r="P569" s="2" t="n">
        <v>0</v>
      </c>
      <c r="Q569" s="2" t="n">
        <v>10</v>
      </c>
      <c r="R569" s="2" t="n">
        <v>2</v>
      </c>
      <c r="S569" s="2" t="n">
        <v>10</v>
      </c>
      <c r="T569" s="2" t="n">
        <v>1</v>
      </c>
      <c r="U569" s="2" t="n">
        <v>2</v>
      </c>
      <c r="V569" s="2" t="n">
        <v>2</v>
      </c>
      <c r="W569" s="2" t="n">
        <v>4</v>
      </c>
      <c r="X569" s="2" t="n">
        <v>2</v>
      </c>
      <c r="Y569" s="2" t="n">
        <v>1</v>
      </c>
      <c r="Z569" s="2" t="n">
        <v>4</v>
      </c>
    </row>
    <row r="570" customFormat="false" ht="15" hidden="false" customHeight="true" outlineLevel="0" collapsed="false">
      <c r="A570" s="2" t="n">
        <v>38</v>
      </c>
      <c r="B570" s="2" t="s">
        <v>26</v>
      </c>
      <c r="C570" s="2" t="s">
        <v>27</v>
      </c>
      <c r="D570" s="2" t="s">
        <v>35</v>
      </c>
      <c r="E570" s="2" t="n">
        <v>1</v>
      </c>
      <c r="F570" s="2" t="n">
        <v>3</v>
      </c>
      <c r="G570" s="2" t="s">
        <v>43</v>
      </c>
      <c r="H570" s="2" t="n">
        <v>569</v>
      </c>
      <c r="I570" s="2" t="s">
        <v>30</v>
      </c>
      <c r="J570" s="2" t="n">
        <v>1</v>
      </c>
      <c r="K570" s="2" t="s">
        <v>42</v>
      </c>
      <c r="L570" s="2" t="s">
        <v>32</v>
      </c>
      <c r="M570" s="2" t="n">
        <v>38160</v>
      </c>
      <c r="N570" s="2" t="n">
        <v>1</v>
      </c>
      <c r="O570" s="2" t="n">
        <v>13</v>
      </c>
      <c r="P570" s="2" t="n">
        <v>2</v>
      </c>
      <c r="Q570" s="2" t="n">
        <v>7</v>
      </c>
      <c r="R570" s="2" t="n">
        <v>2</v>
      </c>
      <c r="S570" s="2" t="n">
        <v>7</v>
      </c>
      <c r="T570" s="2" t="n">
        <v>5</v>
      </c>
      <c r="U570" s="2" t="n">
        <v>0</v>
      </c>
      <c r="V570" s="2" t="n">
        <v>3</v>
      </c>
      <c r="W570" s="2" t="n">
        <v>3</v>
      </c>
      <c r="X570" s="2" t="n">
        <v>4</v>
      </c>
      <c r="Y570" s="2" t="n">
        <v>2</v>
      </c>
      <c r="Z570" s="2" t="n">
        <v>3</v>
      </c>
    </row>
    <row r="571" customFormat="false" ht="15" hidden="false" customHeight="true" outlineLevel="0" collapsed="false">
      <c r="A571" s="2" t="n">
        <v>28</v>
      </c>
      <c r="B571" s="2" t="s">
        <v>26</v>
      </c>
      <c r="C571" s="2" t="s">
        <v>34</v>
      </c>
      <c r="D571" s="2" t="s">
        <v>28</v>
      </c>
      <c r="E571" s="2" t="n">
        <v>6</v>
      </c>
      <c r="F571" s="2" t="n">
        <v>4</v>
      </c>
      <c r="G571" s="2" t="s">
        <v>29</v>
      </c>
      <c r="H571" s="2" t="n">
        <v>570</v>
      </c>
      <c r="I571" s="2" t="s">
        <v>39</v>
      </c>
      <c r="J571" s="2" t="n">
        <v>1</v>
      </c>
      <c r="K571" s="2" t="s">
        <v>49</v>
      </c>
      <c r="L571" s="2" t="s">
        <v>46</v>
      </c>
      <c r="M571" s="2" t="n">
        <v>52530</v>
      </c>
      <c r="N571" s="2" t="n">
        <v>1</v>
      </c>
      <c r="O571" s="2" t="n">
        <v>15</v>
      </c>
      <c r="P571" s="2" t="n">
        <v>0</v>
      </c>
      <c r="Q571" s="2" t="n">
        <v>3</v>
      </c>
      <c r="R571" s="2" t="n">
        <v>2</v>
      </c>
      <c r="S571" s="2" t="n">
        <v>3</v>
      </c>
      <c r="T571" s="2" t="n">
        <v>0</v>
      </c>
      <c r="U571" s="2" t="n">
        <v>2</v>
      </c>
      <c r="V571" s="2" t="n">
        <v>3</v>
      </c>
      <c r="W571" s="2" t="n">
        <v>3</v>
      </c>
      <c r="X571" s="2" t="n">
        <v>3</v>
      </c>
      <c r="Y571" s="2" t="n">
        <v>3</v>
      </c>
      <c r="Z571" s="2" t="n">
        <v>3</v>
      </c>
    </row>
    <row r="572" customFormat="false" ht="15" hidden="false" customHeight="true" outlineLevel="0" collapsed="false">
      <c r="A572" s="2" t="n">
        <v>18</v>
      </c>
      <c r="B572" s="2" t="s">
        <v>33</v>
      </c>
      <c r="C572" s="2" t="s">
        <v>41</v>
      </c>
      <c r="D572" s="2" t="s">
        <v>35</v>
      </c>
      <c r="E572" s="2" t="n">
        <v>2</v>
      </c>
      <c r="F572" s="2" t="n">
        <v>4</v>
      </c>
      <c r="G572" s="2" t="s">
        <v>43</v>
      </c>
      <c r="H572" s="2" t="n">
        <v>571</v>
      </c>
      <c r="I572" s="2" t="s">
        <v>39</v>
      </c>
      <c r="J572" s="2" t="n">
        <v>3</v>
      </c>
      <c r="K572" s="2" t="s">
        <v>45</v>
      </c>
      <c r="L572" s="2" t="s">
        <v>37</v>
      </c>
      <c r="M572" s="2" t="n">
        <v>109650</v>
      </c>
      <c r="N572" s="2" t="n">
        <v>1</v>
      </c>
      <c r="O572" s="2" t="n">
        <v>18</v>
      </c>
      <c r="P572" s="2" t="n">
        <v>0</v>
      </c>
      <c r="Q572" s="2" t="n">
        <v>0</v>
      </c>
      <c r="R572" s="2" t="n">
        <v>5</v>
      </c>
      <c r="S572" s="2" t="n">
        <v>0</v>
      </c>
      <c r="T572" s="2" t="n">
        <v>0</v>
      </c>
      <c r="U572" s="2" t="n">
        <v>0</v>
      </c>
      <c r="V572" s="2" t="n">
        <v>3</v>
      </c>
      <c r="W572" s="2" t="n">
        <v>3</v>
      </c>
      <c r="X572" s="2" t="n">
        <v>3</v>
      </c>
      <c r="Y572" s="2" t="n">
        <v>4</v>
      </c>
      <c r="Z572" s="2" t="n">
        <v>3</v>
      </c>
    </row>
    <row r="573" customFormat="false" ht="15" hidden="false" customHeight="true" outlineLevel="0" collapsed="false">
      <c r="A573" s="2" t="n">
        <v>33</v>
      </c>
      <c r="B573" s="2" t="s">
        <v>33</v>
      </c>
      <c r="C573" s="2" t="s">
        <v>27</v>
      </c>
      <c r="D573" s="2" t="s">
        <v>35</v>
      </c>
      <c r="E573" s="2" t="n">
        <v>3</v>
      </c>
      <c r="F573" s="2" t="n">
        <v>2</v>
      </c>
      <c r="G573" s="2" t="s">
        <v>29</v>
      </c>
      <c r="H573" s="2" t="n">
        <v>572</v>
      </c>
      <c r="I573" s="2" t="s">
        <v>39</v>
      </c>
      <c r="J573" s="2" t="n">
        <v>1</v>
      </c>
      <c r="K573" s="2" t="s">
        <v>40</v>
      </c>
      <c r="L573" s="2" t="s">
        <v>37</v>
      </c>
      <c r="M573" s="2" t="n">
        <v>49360</v>
      </c>
      <c r="N573" s="2" t="n">
        <v>0</v>
      </c>
      <c r="O573" s="2" t="n">
        <v>14</v>
      </c>
      <c r="P573" s="2" t="n">
        <v>0</v>
      </c>
      <c r="Q573" s="2" t="n">
        <v>6</v>
      </c>
      <c r="R573" s="2" t="n">
        <v>2</v>
      </c>
      <c r="S573" s="2" t="n">
        <v>5</v>
      </c>
      <c r="T573" s="2" t="n">
        <v>0</v>
      </c>
      <c r="U573" s="2" t="n">
        <v>3</v>
      </c>
      <c r="V573" s="2" t="n">
        <v>1</v>
      </c>
      <c r="W573" s="2" t="n">
        <v>1</v>
      </c>
      <c r="X573" s="2" t="n">
        <v>3</v>
      </c>
      <c r="Y573" s="2" t="n">
        <v>2</v>
      </c>
      <c r="Z573" s="2" t="n">
        <v>3</v>
      </c>
    </row>
    <row r="574" customFormat="false" ht="15" hidden="false" customHeight="true" outlineLevel="0" collapsed="false">
      <c r="A574" s="2" t="n">
        <v>41</v>
      </c>
      <c r="B574" s="2" t="s">
        <v>26</v>
      </c>
      <c r="C574" s="2" t="s">
        <v>27</v>
      </c>
      <c r="D574" s="2" t="s">
        <v>35</v>
      </c>
      <c r="E574" s="2" t="n">
        <v>4</v>
      </c>
      <c r="F574" s="2" t="n">
        <v>2</v>
      </c>
      <c r="G574" s="2" t="s">
        <v>43</v>
      </c>
      <c r="H574" s="2" t="n">
        <v>573</v>
      </c>
      <c r="I574" s="2" t="s">
        <v>39</v>
      </c>
      <c r="J574" s="2" t="n">
        <v>2</v>
      </c>
      <c r="K574" s="2" t="s">
        <v>36</v>
      </c>
      <c r="L574" s="2" t="s">
        <v>32</v>
      </c>
      <c r="M574" s="2" t="n">
        <v>25430</v>
      </c>
      <c r="N574" s="2" t="n">
        <v>3</v>
      </c>
      <c r="O574" s="2" t="n">
        <v>12</v>
      </c>
      <c r="P574" s="2" t="n">
        <v>0</v>
      </c>
      <c r="Q574" s="2" t="n">
        <v>6</v>
      </c>
      <c r="R574" s="2" t="n">
        <v>3</v>
      </c>
      <c r="S574" s="2" t="n">
        <v>1</v>
      </c>
      <c r="T574" s="2" t="n">
        <v>0</v>
      </c>
      <c r="U574" s="2" t="n">
        <v>0</v>
      </c>
      <c r="V574" s="2" t="n">
        <v>2</v>
      </c>
      <c r="W574" s="2" t="n">
        <v>4</v>
      </c>
      <c r="X574" s="2" t="n">
        <v>3</v>
      </c>
      <c r="Y574" s="2" t="n">
        <v>3</v>
      </c>
      <c r="Z574" s="2" t="n">
        <v>3</v>
      </c>
    </row>
    <row r="575" customFormat="false" ht="15" hidden="false" customHeight="true" outlineLevel="0" collapsed="false">
      <c r="A575" s="2" t="n">
        <v>31</v>
      </c>
      <c r="B575" s="2" t="s">
        <v>33</v>
      </c>
      <c r="C575" s="2" t="s">
        <v>34</v>
      </c>
      <c r="D575" s="2" t="s">
        <v>28</v>
      </c>
      <c r="E575" s="2" t="n">
        <v>10</v>
      </c>
      <c r="F575" s="2" t="n">
        <v>3</v>
      </c>
      <c r="G575" s="2" t="s">
        <v>51</v>
      </c>
      <c r="H575" s="2" t="n">
        <v>574</v>
      </c>
      <c r="I575" s="2" t="s">
        <v>30</v>
      </c>
      <c r="J575" s="2" t="n">
        <v>1</v>
      </c>
      <c r="K575" s="2" t="s">
        <v>44</v>
      </c>
      <c r="L575" s="2" t="s">
        <v>32</v>
      </c>
      <c r="M575" s="2" t="n">
        <v>53040</v>
      </c>
      <c r="N575" s="2" t="n">
        <v>1</v>
      </c>
      <c r="O575" s="2" t="n">
        <v>17</v>
      </c>
      <c r="P575" s="2" t="n">
        <v>0</v>
      </c>
      <c r="Q575" s="2" t="n">
        <v>2</v>
      </c>
      <c r="R575" s="2" t="n">
        <v>3</v>
      </c>
      <c r="S575" s="2" t="n">
        <v>2</v>
      </c>
      <c r="T575" s="2" t="n">
        <v>2</v>
      </c>
      <c r="U575" s="2" t="n">
        <v>2</v>
      </c>
      <c r="V575" s="2" t="n">
        <v>3</v>
      </c>
      <c r="W575" s="2" t="n">
        <v>3</v>
      </c>
      <c r="X575" s="2" t="n">
        <v>2</v>
      </c>
      <c r="Y575" s="2" t="n">
        <v>4</v>
      </c>
      <c r="Z575" s="2" t="n">
        <v>3</v>
      </c>
    </row>
    <row r="576" customFormat="false" ht="15" hidden="false" customHeight="true" outlineLevel="0" collapsed="false">
      <c r="A576" s="2" t="n">
        <v>37</v>
      </c>
      <c r="B576" s="2" t="s">
        <v>26</v>
      </c>
      <c r="C576" s="2" t="s">
        <v>27</v>
      </c>
      <c r="D576" s="2" t="s">
        <v>35</v>
      </c>
      <c r="E576" s="2" t="n">
        <v>23</v>
      </c>
      <c r="F576" s="2" t="n">
        <v>3</v>
      </c>
      <c r="G576" s="2" t="s">
        <v>29</v>
      </c>
      <c r="H576" s="2" t="n">
        <v>575</v>
      </c>
      <c r="I576" s="2" t="s">
        <v>39</v>
      </c>
      <c r="J576" s="2" t="n">
        <v>3</v>
      </c>
      <c r="K576" s="2" t="s">
        <v>47</v>
      </c>
      <c r="L576" s="2" t="s">
        <v>46</v>
      </c>
      <c r="M576" s="2" t="n">
        <v>166590</v>
      </c>
      <c r="N576" s="2" t="n">
        <v>7</v>
      </c>
      <c r="O576" s="2" t="n">
        <v>16</v>
      </c>
      <c r="P576" s="2" t="n">
        <v>1</v>
      </c>
      <c r="Q576" s="2"/>
      <c r="R576" s="2" t="n">
        <v>2</v>
      </c>
      <c r="S576" s="2" t="n">
        <v>6</v>
      </c>
      <c r="T576" s="2" t="n">
        <v>1</v>
      </c>
      <c r="U576" s="2" t="n">
        <v>3</v>
      </c>
      <c r="V576" s="2" t="n">
        <v>3</v>
      </c>
      <c r="W576" s="2" t="n">
        <v>4</v>
      </c>
      <c r="X576" s="2" t="n">
        <v>3</v>
      </c>
      <c r="Y576" s="2" t="n">
        <v>3</v>
      </c>
      <c r="Z576" s="2" t="n">
        <v>3</v>
      </c>
    </row>
    <row r="577" customFormat="false" ht="15" hidden="false" customHeight="true" outlineLevel="0" collapsed="false">
      <c r="A577" s="2" t="n">
        <v>27</v>
      </c>
      <c r="B577" s="2" t="s">
        <v>26</v>
      </c>
      <c r="C577" s="2" t="s">
        <v>27</v>
      </c>
      <c r="D577" s="2" t="s">
        <v>35</v>
      </c>
      <c r="E577" s="2" t="n">
        <v>6</v>
      </c>
      <c r="F577" s="2" t="n">
        <v>2</v>
      </c>
      <c r="G577" s="2" t="s">
        <v>43</v>
      </c>
      <c r="H577" s="2" t="n">
        <v>576</v>
      </c>
      <c r="I577" s="2" t="s">
        <v>30</v>
      </c>
      <c r="J577" s="2" t="n">
        <v>1</v>
      </c>
      <c r="K577" s="2" t="s">
        <v>31</v>
      </c>
      <c r="L577" s="2" t="s">
        <v>32</v>
      </c>
      <c r="M577" s="2" t="n">
        <v>42600</v>
      </c>
      <c r="N577" s="2" t="n">
        <v>1</v>
      </c>
      <c r="O577" s="2" t="n">
        <v>11</v>
      </c>
      <c r="P577" s="2" t="n">
        <v>2</v>
      </c>
      <c r="Q577" s="2" t="n">
        <v>4</v>
      </c>
      <c r="R577" s="2" t="n">
        <v>2</v>
      </c>
      <c r="S577" s="2" t="n">
        <v>4</v>
      </c>
      <c r="T577" s="2" t="n">
        <v>2</v>
      </c>
      <c r="U577" s="2" t="n">
        <v>2</v>
      </c>
      <c r="V577" s="2" t="n">
        <v>4</v>
      </c>
      <c r="W577" s="2" t="n">
        <v>3</v>
      </c>
      <c r="X577" s="2" t="n">
        <v>3</v>
      </c>
      <c r="Y577" s="2" t="n">
        <v>3</v>
      </c>
      <c r="Z577" s="2" t="n">
        <v>3</v>
      </c>
    </row>
    <row r="578" customFormat="false" ht="15" hidden="false" customHeight="true" outlineLevel="0" collapsed="false">
      <c r="A578" s="2" t="n">
        <v>34</v>
      </c>
      <c r="B578" s="2" t="s">
        <v>26</v>
      </c>
      <c r="C578" s="2" t="s">
        <v>27</v>
      </c>
      <c r="D578" s="2" t="s">
        <v>28</v>
      </c>
      <c r="E578" s="2" t="n">
        <v>1</v>
      </c>
      <c r="F578" s="2" t="n">
        <v>1</v>
      </c>
      <c r="G578" s="2" t="s">
        <v>50</v>
      </c>
      <c r="H578" s="2" t="n">
        <v>577</v>
      </c>
      <c r="I578" s="2" t="s">
        <v>30</v>
      </c>
      <c r="J578" s="2" t="n">
        <v>2</v>
      </c>
      <c r="K578" s="2" t="s">
        <v>45</v>
      </c>
      <c r="L578" s="2" t="s">
        <v>32</v>
      </c>
      <c r="M578" s="2" t="n">
        <v>24760</v>
      </c>
      <c r="N578" s="2" t="n">
        <v>1</v>
      </c>
      <c r="O578" s="2" t="n">
        <v>19</v>
      </c>
      <c r="P578" s="2" t="n">
        <v>0</v>
      </c>
      <c r="Q578" s="2" t="n">
        <v>6</v>
      </c>
      <c r="R578" s="2" t="n">
        <v>2</v>
      </c>
      <c r="S578" s="2" t="n">
        <v>6</v>
      </c>
      <c r="T578" s="2" t="n">
        <v>1</v>
      </c>
      <c r="U578" s="2" t="n">
        <v>3</v>
      </c>
      <c r="V578" s="2" t="n">
        <v>2</v>
      </c>
      <c r="W578" s="2" t="n">
        <v>3</v>
      </c>
      <c r="X578" s="2" t="n">
        <v>2</v>
      </c>
      <c r="Y578" s="2" t="n">
        <v>3</v>
      </c>
      <c r="Z578" s="2" t="n">
        <v>3</v>
      </c>
    </row>
    <row r="579" customFormat="false" ht="15" hidden="false" customHeight="true" outlineLevel="0" collapsed="false">
      <c r="A579" s="2" t="n">
        <v>35</v>
      </c>
      <c r="B579" s="2" t="s">
        <v>26</v>
      </c>
      <c r="C579" s="2" t="s">
        <v>27</v>
      </c>
      <c r="D579" s="2" t="s">
        <v>35</v>
      </c>
      <c r="E579" s="2" t="n">
        <v>6</v>
      </c>
      <c r="F579" s="2" t="n">
        <v>3</v>
      </c>
      <c r="G579" s="2" t="s">
        <v>29</v>
      </c>
      <c r="H579" s="2" t="n">
        <v>578</v>
      </c>
      <c r="I579" s="2" t="s">
        <v>30</v>
      </c>
      <c r="J579" s="2" t="n">
        <v>3</v>
      </c>
      <c r="K579" s="2" t="s">
        <v>45</v>
      </c>
      <c r="L579" s="2" t="s">
        <v>37</v>
      </c>
      <c r="M579" s="2" t="n">
        <v>31020</v>
      </c>
      <c r="N579" s="2" t="n">
        <v>1</v>
      </c>
      <c r="O579" s="2" t="n">
        <v>13</v>
      </c>
      <c r="P579" s="2" t="n">
        <v>1</v>
      </c>
      <c r="Q579" s="2" t="n">
        <v>6</v>
      </c>
      <c r="R579" s="2" t="n">
        <v>3</v>
      </c>
      <c r="S579" s="2" t="n">
        <v>5</v>
      </c>
      <c r="T579" s="2" t="n">
        <v>1</v>
      </c>
      <c r="U579" s="2" t="n">
        <v>4</v>
      </c>
      <c r="V579" s="2" t="n">
        <v>3</v>
      </c>
      <c r="W579" s="2" t="n">
        <v>3</v>
      </c>
      <c r="X579" s="2" t="n">
        <v>1</v>
      </c>
      <c r="Y579" s="2" t="n">
        <v>2</v>
      </c>
      <c r="Z579" s="2" t="n">
        <v>3</v>
      </c>
    </row>
    <row r="580" customFormat="false" ht="15" hidden="false" customHeight="true" outlineLevel="0" collapsed="false">
      <c r="A580" s="2" t="n">
        <v>29</v>
      </c>
      <c r="B580" s="2" t="s">
        <v>33</v>
      </c>
      <c r="C580" s="2" t="s">
        <v>27</v>
      </c>
      <c r="D580" s="2" t="s">
        <v>35</v>
      </c>
      <c r="E580" s="2" t="n">
        <v>6</v>
      </c>
      <c r="F580" s="2" t="n">
        <v>3</v>
      </c>
      <c r="G580" s="2" t="s">
        <v>29</v>
      </c>
      <c r="H580" s="2" t="n">
        <v>579</v>
      </c>
      <c r="I580" s="2" t="s">
        <v>39</v>
      </c>
      <c r="J580" s="2" t="n">
        <v>1</v>
      </c>
      <c r="K580" s="2" t="s">
        <v>40</v>
      </c>
      <c r="L580" s="2" t="s">
        <v>32</v>
      </c>
      <c r="M580" s="2" t="n">
        <v>22440</v>
      </c>
      <c r="N580" s="2" t="n">
        <v>1</v>
      </c>
      <c r="O580" s="2" t="n">
        <v>12</v>
      </c>
      <c r="P580" s="2" t="n">
        <v>3</v>
      </c>
      <c r="Q580" s="2" t="n">
        <v>11</v>
      </c>
      <c r="R580" s="2" t="n">
        <v>5</v>
      </c>
      <c r="S580" s="2" t="n">
        <v>11</v>
      </c>
      <c r="T580" s="2" t="n">
        <v>3</v>
      </c>
      <c r="U580" s="2" t="n">
        <v>10</v>
      </c>
      <c r="V580" s="2" t="n">
        <v>4</v>
      </c>
      <c r="W580" s="2" t="n">
        <v>1</v>
      </c>
      <c r="X580" s="2" t="n">
        <v>1</v>
      </c>
      <c r="Y580" s="2" t="n">
        <v>1</v>
      </c>
      <c r="Z580" s="2" t="n">
        <v>3</v>
      </c>
    </row>
    <row r="581" customFormat="false" ht="15" hidden="false" customHeight="true" outlineLevel="0" collapsed="false">
      <c r="A581" s="2" t="n">
        <v>40</v>
      </c>
      <c r="B581" s="2" t="s">
        <v>26</v>
      </c>
      <c r="C581" s="2" t="s">
        <v>34</v>
      </c>
      <c r="D581" s="2" t="s">
        <v>35</v>
      </c>
      <c r="E581" s="2" t="n">
        <v>2</v>
      </c>
      <c r="F581" s="2" t="n">
        <v>4</v>
      </c>
      <c r="G581" s="2" t="s">
        <v>43</v>
      </c>
      <c r="H581" s="2" t="n">
        <v>580</v>
      </c>
      <c r="I581" s="2" t="s">
        <v>39</v>
      </c>
      <c r="J581" s="2" t="n">
        <v>4</v>
      </c>
      <c r="K581" s="2" t="s">
        <v>42</v>
      </c>
      <c r="L581" s="2" t="s">
        <v>37</v>
      </c>
      <c r="M581" s="2" t="n">
        <v>75960</v>
      </c>
      <c r="N581" s="2" t="n">
        <v>9</v>
      </c>
      <c r="O581" s="2" t="n">
        <v>11</v>
      </c>
      <c r="P581" s="2" t="n">
        <v>0</v>
      </c>
      <c r="Q581" s="2" t="n">
        <v>20</v>
      </c>
      <c r="R581" s="2" t="n">
        <v>0</v>
      </c>
      <c r="S581" s="2" t="n">
        <v>18</v>
      </c>
      <c r="T581" s="2" t="n">
        <v>2</v>
      </c>
      <c r="U581" s="2" t="n">
        <v>13</v>
      </c>
      <c r="V581" s="2" t="n">
        <v>2</v>
      </c>
      <c r="W581" s="2" t="n">
        <v>3</v>
      </c>
      <c r="X581" s="2" t="n">
        <v>2</v>
      </c>
      <c r="Y581" s="2" t="n">
        <v>1</v>
      </c>
      <c r="Z581" s="2" t="n">
        <v>3</v>
      </c>
    </row>
    <row r="582" customFormat="false" ht="15" hidden="false" customHeight="true" outlineLevel="0" collapsed="false">
      <c r="A582" s="2" t="n">
        <v>42</v>
      </c>
      <c r="B582" s="2" t="s">
        <v>33</v>
      </c>
      <c r="C582" s="2" t="s">
        <v>34</v>
      </c>
      <c r="D582" s="2" t="s">
        <v>28</v>
      </c>
      <c r="E582" s="2" t="n">
        <v>2</v>
      </c>
      <c r="F582" s="2" t="n">
        <v>4</v>
      </c>
      <c r="G582" s="2" t="s">
        <v>29</v>
      </c>
      <c r="H582" s="2" t="n">
        <v>581</v>
      </c>
      <c r="I582" s="2" t="s">
        <v>39</v>
      </c>
      <c r="J582" s="2" t="n">
        <v>1</v>
      </c>
      <c r="K582" s="2" t="s">
        <v>45</v>
      </c>
      <c r="L582" s="2" t="s">
        <v>37</v>
      </c>
      <c r="M582" s="2" t="n">
        <v>22850</v>
      </c>
      <c r="N582" s="2" t="n">
        <v>0</v>
      </c>
      <c r="O582" s="2" t="n">
        <v>16</v>
      </c>
      <c r="P582" s="2" t="n">
        <v>0</v>
      </c>
      <c r="Q582" s="2" t="n">
        <v>22</v>
      </c>
      <c r="R582" s="2" t="n">
        <v>3</v>
      </c>
      <c r="S582" s="2" t="n">
        <v>21</v>
      </c>
      <c r="T582" s="2" t="n">
        <v>13</v>
      </c>
      <c r="U582" s="2" t="n">
        <v>14</v>
      </c>
      <c r="V582" s="2" t="n">
        <v>3</v>
      </c>
      <c r="W582" s="2" t="n">
        <v>1</v>
      </c>
      <c r="X582" s="2" t="n">
        <v>2</v>
      </c>
      <c r="Y582" s="2" t="n">
        <v>1</v>
      </c>
      <c r="Z582" s="2" t="n">
        <v>3</v>
      </c>
    </row>
    <row r="583" customFormat="false" ht="15" hidden="false" customHeight="true" outlineLevel="0" collapsed="false">
      <c r="A583" s="2" t="n">
        <v>42</v>
      </c>
      <c r="B583" s="2" t="s">
        <v>26</v>
      </c>
      <c r="C583" s="2" t="s">
        <v>27</v>
      </c>
      <c r="D583" s="2" t="s">
        <v>35</v>
      </c>
      <c r="E583" s="2" t="n">
        <v>1</v>
      </c>
      <c r="F583" s="2" t="n">
        <v>2</v>
      </c>
      <c r="G583" s="2" t="s">
        <v>29</v>
      </c>
      <c r="H583" s="2" t="n">
        <v>582</v>
      </c>
      <c r="I583" s="2" t="s">
        <v>39</v>
      </c>
      <c r="J583" s="2" t="n">
        <v>4</v>
      </c>
      <c r="K583" s="2" t="s">
        <v>45</v>
      </c>
      <c r="L583" s="2" t="s">
        <v>37</v>
      </c>
      <c r="M583" s="2" t="n">
        <v>30340</v>
      </c>
      <c r="N583" s="2" t="n">
        <v>7</v>
      </c>
      <c r="O583" s="2" t="n">
        <v>21</v>
      </c>
      <c r="P583" s="2" t="n">
        <v>1</v>
      </c>
      <c r="Q583" s="2" t="n">
        <v>9</v>
      </c>
      <c r="R583" s="2" t="n">
        <v>3</v>
      </c>
      <c r="S583" s="2" t="n">
        <v>6</v>
      </c>
      <c r="T583" s="2" t="n">
        <v>1</v>
      </c>
      <c r="U583" s="2" t="n">
        <v>5</v>
      </c>
      <c r="V583" s="2" t="n">
        <v>2</v>
      </c>
      <c r="W583" s="2" t="n">
        <v>1</v>
      </c>
      <c r="X583" s="2" t="n">
        <v>4</v>
      </c>
      <c r="Y583" s="2" t="n">
        <v>2</v>
      </c>
      <c r="Z583" s="2" t="n">
        <v>4</v>
      </c>
    </row>
    <row r="584" customFormat="false" ht="15" hidden="false" customHeight="true" outlineLevel="0" collapsed="false">
      <c r="A584" s="2" t="n">
        <v>35</v>
      </c>
      <c r="B584" s="2" t="s">
        <v>26</v>
      </c>
      <c r="C584" s="2" t="s">
        <v>27</v>
      </c>
      <c r="D584" s="2" t="s">
        <v>35</v>
      </c>
      <c r="E584" s="2" t="n">
        <v>5</v>
      </c>
      <c r="F584" s="2" t="n">
        <v>3</v>
      </c>
      <c r="G584" s="2" t="s">
        <v>43</v>
      </c>
      <c r="H584" s="2" t="n">
        <v>583</v>
      </c>
      <c r="I584" s="2" t="s">
        <v>39</v>
      </c>
      <c r="J584" s="2" t="n">
        <v>1</v>
      </c>
      <c r="K584" s="2" t="s">
        <v>31</v>
      </c>
      <c r="L584" s="2" t="s">
        <v>32</v>
      </c>
      <c r="M584" s="2" t="n">
        <v>57150</v>
      </c>
      <c r="N584" s="2" t="n">
        <v>6</v>
      </c>
      <c r="O584" s="2" t="n">
        <v>24</v>
      </c>
      <c r="P584" s="2" t="n">
        <v>2</v>
      </c>
      <c r="Q584" s="2" t="n">
        <v>10</v>
      </c>
      <c r="R584" s="2" t="n">
        <v>0</v>
      </c>
      <c r="S584" s="2" t="n">
        <v>8</v>
      </c>
      <c r="T584" s="2" t="n">
        <v>1</v>
      </c>
      <c r="U584" s="2" t="n">
        <v>7</v>
      </c>
      <c r="V584" s="2" t="n">
        <v>4</v>
      </c>
      <c r="W584" s="2" t="n">
        <v>3</v>
      </c>
      <c r="X584" s="2" t="n">
        <v>3</v>
      </c>
      <c r="Y584" s="2" t="n">
        <v>3</v>
      </c>
      <c r="Z584" s="2" t="n">
        <v>4</v>
      </c>
    </row>
    <row r="585" customFormat="false" ht="15" hidden="false" customHeight="true" outlineLevel="0" collapsed="false">
      <c r="A585" s="2" t="n">
        <v>24</v>
      </c>
      <c r="B585" s="2" t="s">
        <v>26</v>
      </c>
      <c r="C585" s="2" t="s">
        <v>27</v>
      </c>
      <c r="D585" s="2" t="s">
        <v>28</v>
      </c>
      <c r="E585" s="2" t="n">
        <v>7</v>
      </c>
      <c r="F585" s="2" t="n">
        <v>4</v>
      </c>
      <c r="G585" s="2" t="s">
        <v>29</v>
      </c>
      <c r="H585" s="2" t="n">
        <v>584</v>
      </c>
      <c r="I585" s="2" t="s">
        <v>30</v>
      </c>
      <c r="J585" s="2" t="n">
        <v>1</v>
      </c>
      <c r="K585" s="2" t="s">
        <v>45</v>
      </c>
      <c r="L585" s="2" t="s">
        <v>37</v>
      </c>
      <c r="M585" s="2" t="n">
        <v>25760</v>
      </c>
      <c r="N585" s="2" t="n">
        <v>8</v>
      </c>
      <c r="O585" s="2" t="n">
        <v>17</v>
      </c>
      <c r="P585" s="2" t="n">
        <v>3</v>
      </c>
      <c r="Q585" s="2" t="n">
        <v>6</v>
      </c>
      <c r="R585" s="2" t="n">
        <v>3</v>
      </c>
      <c r="S585" s="2" t="n">
        <v>4</v>
      </c>
      <c r="T585" s="2" t="n">
        <v>1</v>
      </c>
      <c r="U585" s="2" t="n">
        <v>2</v>
      </c>
      <c r="V585" s="2" t="n">
        <v>4</v>
      </c>
      <c r="W585" s="2" t="n">
        <v>2</v>
      </c>
      <c r="X585" s="2" t="n">
        <v>3</v>
      </c>
      <c r="Y585" s="2" t="n">
        <v>3</v>
      </c>
      <c r="Z585" s="2" t="n">
        <v>3</v>
      </c>
    </row>
    <row r="586" customFormat="false" ht="15" hidden="false" customHeight="true" outlineLevel="0" collapsed="false">
      <c r="A586" s="2" t="n">
        <v>28</v>
      </c>
      <c r="B586" s="2" t="s">
        <v>33</v>
      </c>
      <c r="C586" s="2" t="s">
        <v>27</v>
      </c>
      <c r="D586" s="2" t="s">
        <v>35</v>
      </c>
      <c r="E586" s="2" t="n">
        <v>15</v>
      </c>
      <c r="F586" s="2" t="n">
        <v>4</v>
      </c>
      <c r="G586" s="2" t="s">
        <v>29</v>
      </c>
      <c r="H586" s="2" t="n">
        <v>585</v>
      </c>
      <c r="I586" s="2" t="s">
        <v>39</v>
      </c>
      <c r="J586" s="2" t="n">
        <v>2</v>
      </c>
      <c r="K586" s="2" t="s">
        <v>40</v>
      </c>
      <c r="L586" s="2" t="s">
        <v>32</v>
      </c>
      <c r="M586" s="2" t="n">
        <v>41970</v>
      </c>
      <c r="N586" s="2" t="n">
        <v>1</v>
      </c>
      <c r="O586" s="2" t="n">
        <v>13</v>
      </c>
      <c r="P586" s="2" t="n">
        <v>0</v>
      </c>
      <c r="Q586" s="2" t="n">
        <v>1</v>
      </c>
      <c r="R586" s="2" t="n">
        <v>3</v>
      </c>
      <c r="S586" s="2" t="n">
        <v>1</v>
      </c>
      <c r="T586" s="2" t="n">
        <v>0</v>
      </c>
      <c r="U586" s="2" t="n">
        <v>0</v>
      </c>
      <c r="V586" s="2" t="n">
        <v>3</v>
      </c>
      <c r="W586" s="2" t="n">
        <v>4</v>
      </c>
      <c r="X586" s="2" t="n">
        <v>2</v>
      </c>
      <c r="Y586" s="2" t="n">
        <v>1</v>
      </c>
      <c r="Z586" s="2" t="n">
        <v>3</v>
      </c>
    </row>
    <row r="587" customFormat="false" ht="15" hidden="false" customHeight="true" outlineLevel="0" collapsed="false">
      <c r="A587" s="2" t="n">
        <v>26</v>
      </c>
      <c r="B587" s="2" t="s">
        <v>26</v>
      </c>
      <c r="C587" s="2" t="s">
        <v>27</v>
      </c>
      <c r="D587" s="2" t="s">
        <v>35</v>
      </c>
      <c r="E587" s="2" t="n">
        <v>1</v>
      </c>
      <c r="F587" s="2" t="n">
        <v>4</v>
      </c>
      <c r="G587" s="2" t="s">
        <v>29</v>
      </c>
      <c r="H587" s="2" t="n">
        <v>586</v>
      </c>
      <c r="I587" s="2" t="s">
        <v>39</v>
      </c>
      <c r="J587" s="2" t="n">
        <v>2</v>
      </c>
      <c r="K587" s="2" t="s">
        <v>48</v>
      </c>
      <c r="L587" s="2" t="s">
        <v>32</v>
      </c>
      <c r="M587" s="2" t="n">
        <v>143360</v>
      </c>
      <c r="N587" s="2" t="n">
        <v>1</v>
      </c>
      <c r="O587" s="2" t="n">
        <v>21</v>
      </c>
      <c r="P587" s="2" t="n">
        <v>1</v>
      </c>
      <c r="Q587" s="2" t="n">
        <v>8</v>
      </c>
      <c r="R587" s="2" t="n">
        <v>3</v>
      </c>
      <c r="S587" s="2" t="n">
        <v>8</v>
      </c>
      <c r="T587" s="2" t="n">
        <v>0</v>
      </c>
      <c r="U587" s="2" t="n">
        <v>7</v>
      </c>
      <c r="V587" s="2" t="n">
        <v>1</v>
      </c>
      <c r="W587" s="2" t="n">
        <v>4</v>
      </c>
      <c r="X587" s="2" t="n">
        <v>3</v>
      </c>
      <c r="Y587" s="2" t="n">
        <v>3</v>
      </c>
      <c r="Z587" s="2" t="n">
        <v>4</v>
      </c>
    </row>
    <row r="588" customFormat="false" ht="15" hidden="false" customHeight="true" outlineLevel="0" collapsed="false">
      <c r="A588" s="2" t="n">
        <v>30</v>
      </c>
      <c r="B588" s="2" t="s">
        <v>26</v>
      </c>
      <c r="C588" s="2" t="s">
        <v>27</v>
      </c>
      <c r="D588" s="2" t="s">
        <v>35</v>
      </c>
      <c r="E588" s="2" t="n">
        <v>7</v>
      </c>
      <c r="F588" s="2" t="n">
        <v>2</v>
      </c>
      <c r="G588" s="2" t="s">
        <v>29</v>
      </c>
      <c r="H588" s="2" t="n">
        <v>587</v>
      </c>
      <c r="I588" s="2" t="s">
        <v>30</v>
      </c>
      <c r="J588" s="2" t="n">
        <v>1</v>
      </c>
      <c r="K588" s="2" t="s">
        <v>47</v>
      </c>
      <c r="L588" s="2" t="s">
        <v>32</v>
      </c>
      <c r="M588" s="2" t="n">
        <v>34480</v>
      </c>
      <c r="N588" s="2" t="n">
        <v>1</v>
      </c>
      <c r="O588" s="2" t="n">
        <v>11</v>
      </c>
      <c r="P588" s="2" t="n">
        <v>0</v>
      </c>
      <c r="Q588" s="2" t="n">
        <v>10</v>
      </c>
      <c r="R588" s="2" t="n">
        <v>3</v>
      </c>
      <c r="S588" s="2" t="n">
        <v>10</v>
      </c>
      <c r="T588" s="2" t="n">
        <v>1</v>
      </c>
      <c r="U588" s="2" t="n">
        <v>4</v>
      </c>
      <c r="V588" s="2" t="n">
        <v>3</v>
      </c>
      <c r="W588" s="2"/>
      <c r="X588" s="2" t="n">
        <v>3</v>
      </c>
      <c r="Y588" s="2" t="n">
        <v>3</v>
      </c>
      <c r="Z588" s="2" t="n">
        <v>3</v>
      </c>
    </row>
    <row r="589" customFormat="false" ht="15" hidden="false" customHeight="true" outlineLevel="0" collapsed="false">
      <c r="A589" s="2" t="n">
        <v>40</v>
      </c>
      <c r="B589" s="2" t="s">
        <v>26</v>
      </c>
      <c r="C589" s="2" t="s">
        <v>34</v>
      </c>
      <c r="D589" s="2" t="s">
        <v>35</v>
      </c>
      <c r="E589" s="2" t="n">
        <v>26</v>
      </c>
      <c r="F589" s="2" t="n">
        <v>4</v>
      </c>
      <c r="G589" s="2" t="s">
        <v>29</v>
      </c>
      <c r="H589" s="2" t="n">
        <v>588</v>
      </c>
      <c r="I589" s="2" t="s">
        <v>39</v>
      </c>
      <c r="J589" s="2" t="n">
        <v>2</v>
      </c>
      <c r="K589" s="2" t="s">
        <v>36</v>
      </c>
      <c r="L589" s="2" t="s">
        <v>32</v>
      </c>
      <c r="M589" s="2" t="n">
        <v>194060</v>
      </c>
      <c r="N589" s="2" t="n">
        <v>3</v>
      </c>
      <c r="O589" s="2" t="n">
        <v>20</v>
      </c>
      <c r="P589" s="2" t="n">
        <v>3</v>
      </c>
      <c r="Q589" s="2" t="n">
        <v>16</v>
      </c>
      <c r="R589" s="2" t="n">
        <v>2</v>
      </c>
      <c r="S589" s="2" t="n">
        <v>1</v>
      </c>
      <c r="T589" s="2" t="n">
        <v>0</v>
      </c>
      <c r="U589" s="2" t="n">
        <v>0</v>
      </c>
      <c r="V589" s="2" t="n">
        <v>3</v>
      </c>
      <c r="W589" s="2" t="n">
        <v>4</v>
      </c>
      <c r="X589" s="2" t="n">
        <v>1</v>
      </c>
      <c r="Y589" s="2" t="n">
        <v>3</v>
      </c>
      <c r="Z589" s="2" t="n">
        <v>4</v>
      </c>
    </row>
    <row r="590" customFormat="false" ht="15" hidden="false" customHeight="true" outlineLevel="0" collapsed="false">
      <c r="A590" s="2" t="n">
        <v>35</v>
      </c>
      <c r="B590" s="2" t="s">
        <v>26</v>
      </c>
      <c r="C590" s="2" t="s">
        <v>27</v>
      </c>
      <c r="D590" s="2" t="s">
        <v>35</v>
      </c>
      <c r="E590" s="2" t="n">
        <v>18</v>
      </c>
      <c r="F590" s="2" t="n">
        <v>5</v>
      </c>
      <c r="G590" s="2" t="s">
        <v>43</v>
      </c>
      <c r="H590" s="2" t="n">
        <v>589</v>
      </c>
      <c r="I590" s="2" t="s">
        <v>30</v>
      </c>
      <c r="J590" s="2" t="n">
        <v>2</v>
      </c>
      <c r="K590" s="2" t="s">
        <v>36</v>
      </c>
      <c r="L590" s="2" t="s">
        <v>46</v>
      </c>
      <c r="M590" s="2" t="n">
        <v>65380</v>
      </c>
      <c r="N590" s="2" t="n">
        <v>2</v>
      </c>
      <c r="O590" s="2" t="n">
        <v>16</v>
      </c>
      <c r="P590" s="2" t="n">
        <v>1</v>
      </c>
      <c r="Q590" s="2" t="n">
        <v>15</v>
      </c>
      <c r="R590" s="2" t="n">
        <v>3</v>
      </c>
      <c r="S590" s="2" t="n">
        <v>7</v>
      </c>
      <c r="T590" s="2" t="n">
        <v>6</v>
      </c>
      <c r="U590" s="2" t="n">
        <v>4</v>
      </c>
      <c r="V590" s="2" t="n">
        <v>3</v>
      </c>
      <c r="W590" s="2" t="n">
        <v>2</v>
      </c>
      <c r="X590" s="2" t="n">
        <v>4</v>
      </c>
      <c r="Y590" s="2" t="n">
        <v>3</v>
      </c>
      <c r="Z590" s="2" t="n">
        <v>3</v>
      </c>
    </row>
    <row r="591" customFormat="false" ht="15" hidden="false" customHeight="true" outlineLevel="0" collapsed="false">
      <c r="A591" s="2" t="n">
        <v>34</v>
      </c>
      <c r="B591" s="2" t="s">
        <v>26</v>
      </c>
      <c r="C591" s="2" t="s">
        <v>34</v>
      </c>
      <c r="D591" s="2" t="s">
        <v>35</v>
      </c>
      <c r="E591" s="2" t="n">
        <v>6</v>
      </c>
      <c r="F591" s="2" t="n">
        <v>2</v>
      </c>
      <c r="G591" s="2" t="s">
        <v>29</v>
      </c>
      <c r="H591" s="2" t="n">
        <v>590</v>
      </c>
      <c r="I591" s="2" t="s">
        <v>39</v>
      </c>
      <c r="J591" s="2" t="n">
        <v>1</v>
      </c>
      <c r="K591" s="2" t="s">
        <v>44</v>
      </c>
      <c r="L591" s="2" t="s">
        <v>37</v>
      </c>
      <c r="M591" s="2" t="n">
        <v>43060</v>
      </c>
      <c r="N591" s="2" t="n">
        <v>0</v>
      </c>
      <c r="O591" s="2" t="n">
        <v>11</v>
      </c>
      <c r="P591" s="2" t="n">
        <v>0</v>
      </c>
      <c r="Q591" s="2" t="n">
        <v>14</v>
      </c>
      <c r="R591" s="2" t="n">
        <v>2</v>
      </c>
      <c r="S591" s="2" t="n">
        <v>13</v>
      </c>
      <c r="T591" s="2" t="n">
        <v>4</v>
      </c>
      <c r="U591" s="2" t="n">
        <v>9</v>
      </c>
      <c r="V591" s="2" t="n">
        <v>4</v>
      </c>
      <c r="W591" s="2" t="n">
        <v>1</v>
      </c>
      <c r="X591" s="2" t="n">
        <v>3</v>
      </c>
      <c r="Y591" s="2" t="n">
        <v>3</v>
      </c>
      <c r="Z591" s="2" t="n">
        <v>3</v>
      </c>
    </row>
    <row r="592" customFormat="false" ht="15" hidden="false" customHeight="true" outlineLevel="0" collapsed="false">
      <c r="A592" s="2" t="n">
        <v>35</v>
      </c>
      <c r="B592" s="2" t="s">
        <v>26</v>
      </c>
      <c r="C592" s="2" t="s">
        <v>34</v>
      </c>
      <c r="D592" s="2" t="s">
        <v>35</v>
      </c>
      <c r="E592" s="2" t="n">
        <v>3</v>
      </c>
      <c r="F592" s="2" t="n">
        <v>3</v>
      </c>
      <c r="G592" s="2" t="s">
        <v>43</v>
      </c>
      <c r="H592" s="2" t="n">
        <v>591</v>
      </c>
      <c r="I592" s="2" t="s">
        <v>30</v>
      </c>
      <c r="J592" s="2" t="n">
        <v>2</v>
      </c>
      <c r="K592" s="2" t="s">
        <v>45</v>
      </c>
      <c r="L592" s="2" t="s">
        <v>32</v>
      </c>
      <c r="M592" s="2" t="n">
        <v>22580</v>
      </c>
      <c r="N592" s="2" t="n">
        <v>1</v>
      </c>
      <c r="O592" s="2" t="n">
        <v>11</v>
      </c>
      <c r="P592" s="2" t="n">
        <v>1</v>
      </c>
      <c r="Q592" s="2" t="n">
        <v>2</v>
      </c>
      <c r="R592" s="2" t="n">
        <v>2</v>
      </c>
      <c r="S592" s="2" t="n">
        <v>2</v>
      </c>
      <c r="T592" s="2" t="n">
        <v>2</v>
      </c>
      <c r="U592" s="2" t="n">
        <v>2</v>
      </c>
      <c r="V592" s="2" t="n">
        <v>4</v>
      </c>
      <c r="W592" s="2" t="n">
        <v>4</v>
      </c>
      <c r="X592" s="2" t="n">
        <v>4</v>
      </c>
      <c r="Y592" s="2" t="n">
        <v>3</v>
      </c>
      <c r="Z592" s="2" t="n">
        <v>3</v>
      </c>
    </row>
    <row r="593" customFormat="false" ht="15" hidden="false" customHeight="true" outlineLevel="0" collapsed="false">
      <c r="A593" s="2" t="n">
        <v>43</v>
      </c>
      <c r="B593" s="2" t="s">
        <v>33</v>
      </c>
      <c r="C593" s="2" t="s">
        <v>27</v>
      </c>
      <c r="D593" s="2" t="s">
        <v>28</v>
      </c>
      <c r="E593" s="2" t="n">
        <v>5</v>
      </c>
      <c r="F593" s="2" t="n">
        <v>3</v>
      </c>
      <c r="G593" s="2" t="s">
        <v>50</v>
      </c>
      <c r="H593" s="2" t="n">
        <v>592</v>
      </c>
      <c r="I593" s="2" t="s">
        <v>30</v>
      </c>
      <c r="J593" s="2" t="n">
        <v>3</v>
      </c>
      <c r="K593" s="2" t="s">
        <v>36</v>
      </c>
      <c r="L593" s="2" t="s">
        <v>37</v>
      </c>
      <c r="M593" s="2" t="n">
        <v>45220</v>
      </c>
      <c r="N593" s="2" t="n">
        <v>8</v>
      </c>
      <c r="O593" s="2" t="n">
        <v>15</v>
      </c>
      <c r="P593" s="2" t="n">
        <v>1</v>
      </c>
      <c r="Q593" s="2" t="n">
        <v>7</v>
      </c>
      <c r="R593" s="2" t="n">
        <v>3</v>
      </c>
      <c r="S593" s="2" t="n">
        <v>4</v>
      </c>
      <c r="T593" s="2" t="n">
        <v>1</v>
      </c>
      <c r="U593" s="2" t="n">
        <v>3</v>
      </c>
      <c r="V593" s="2" t="n">
        <v>1</v>
      </c>
      <c r="W593" s="2" t="n">
        <v>3</v>
      </c>
      <c r="X593" s="2" t="n">
        <v>2</v>
      </c>
      <c r="Y593" s="2" t="n">
        <v>3</v>
      </c>
      <c r="Z593" s="2" t="n">
        <v>3</v>
      </c>
    </row>
    <row r="594" customFormat="false" ht="15" hidden="false" customHeight="true" outlineLevel="0" collapsed="false">
      <c r="A594" s="2" t="n">
        <v>32</v>
      </c>
      <c r="B594" s="2" t="s">
        <v>26</v>
      </c>
      <c r="C594" s="2" t="s">
        <v>41</v>
      </c>
      <c r="D594" s="2" t="s">
        <v>35</v>
      </c>
      <c r="E594" s="2" t="n">
        <v>11</v>
      </c>
      <c r="F594" s="2" t="n">
        <v>2</v>
      </c>
      <c r="G594" s="2" t="s">
        <v>38</v>
      </c>
      <c r="H594" s="2" t="n">
        <v>593</v>
      </c>
      <c r="I594" s="2" t="s">
        <v>30</v>
      </c>
      <c r="J594" s="2" t="n">
        <v>2</v>
      </c>
      <c r="K594" s="2" t="s">
        <v>36</v>
      </c>
      <c r="L594" s="2" t="s">
        <v>46</v>
      </c>
      <c r="M594" s="2" t="n">
        <v>44870</v>
      </c>
      <c r="N594" s="2" t="n">
        <v>1</v>
      </c>
      <c r="O594" s="2" t="n">
        <v>11</v>
      </c>
      <c r="P594" s="2" t="n">
        <v>0</v>
      </c>
      <c r="Q594" s="2" t="n">
        <v>1</v>
      </c>
      <c r="R594" s="2" t="n">
        <v>5</v>
      </c>
      <c r="S594" s="2" t="n">
        <v>1</v>
      </c>
      <c r="T594" s="2" t="n">
        <v>0</v>
      </c>
      <c r="U594" s="2" t="n">
        <v>0</v>
      </c>
      <c r="V594" s="2" t="n">
        <v>3</v>
      </c>
      <c r="W594" s="2" t="n">
        <v>1</v>
      </c>
      <c r="X594" s="2" t="n">
        <v>3</v>
      </c>
      <c r="Y594" s="2" t="n">
        <v>2</v>
      </c>
      <c r="Z594" s="2" t="n">
        <v>3</v>
      </c>
    </row>
    <row r="595" customFormat="false" ht="15" hidden="false" customHeight="true" outlineLevel="0" collapsed="false">
      <c r="A595" s="2" t="n">
        <v>56</v>
      </c>
      <c r="B595" s="2" t="s">
        <v>26</v>
      </c>
      <c r="C595" s="2" t="s">
        <v>27</v>
      </c>
      <c r="D595" s="2" t="s">
        <v>35</v>
      </c>
      <c r="E595" s="2" t="n">
        <v>3</v>
      </c>
      <c r="F595" s="2" t="n">
        <v>2</v>
      </c>
      <c r="G595" s="2" t="s">
        <v>38</v>
      </c>
      <c r="H595" s="2" t="n">
        <v>594</v>
      </c>
      <c r="I595" s="2" t="s">
        <v>39</v>
      </c>
      <c r="J595" s="2" t="n">
        <v>2</v>
      </c>
      <c r="K595" s="2" t="s">
        <v>31</v>
      </c>
      <c r="L595" s="2" t="s">
        <v>46</v>
      </c>
      <c r="M595" s="2" t="n">
        <v>44490</v>
      </c>
      <c r="N595" s="2" t="n">
        <v>4</v>
      </c>
      <c r="O595" s="2" t="n">
        <v>15</v>
      </c>
      <c r="P595" s="2" t="n">
        <v>0</v>
      </c>
      <c r="Q595" s="2" t="n">
        <v>28</v>
      </c>
      <c r="R595" s="2" t="n">
        <v>3</v>
      </c>
      <c r="S595" s="2" t="n">
        <v>5</v>
      </c>
      <c r="T595" s="2" t="n">
        <v>4</v>
      </c>
      <c r="U595" s="2" t="n">
        <v>2</v>
      </c>
      <c r="V595" s="2" t="n">
        <v>4</v>
      </c>
      <c r="W595" s="2" t="n">
        <v>1</v>
      </c>
      <c r="X595" s="2" t="n">
        <v>3</v>
      </c>
      <c r="Y595" s="2" t="n">
        <v>1</v>
      </c>
      <c r="Z595" s="2" t="n">
        <v>3</v>
      </c>
    </row>
    <row r="596" customFormat="false" ht="15" hidden="false" customHeight="true" outlineLevel="0" collapsed="false">
      <c r="A596" s="2" t="n">
        <v>29</v>
      </c>
      <c r="B596" s="2" t="s">
        <v>26</v>
      </c>
      <c r="C596" s="2" t="s">
        <v>27</v>
      </c>
      <c r="D596" s="2" t="s">
        <v>35</v>
      </c>
      <c r="E596" s="2" t="n">
        <v>26</v>
      </c>
      <c r="F596" s="2" t="n">
        <v>1</v>
      </c>
      <c r="G596" s="2" t="s">
        <v>29</v>
      </c>
      <c r="H596" s="2" t="n">
        <v>595</v>
      </c>
      <c r="I596" s="2" t="s">
        <v>39</v>
      </c>
      <c r="J596" s="2" t="n">
        <v>1</v>
      </c>
      <c r="K596" s="2" t="s">
        <v>45</v>
      </c>
      <c r="L596" s="2" t="s">
        <v>32</v>
      </c>
      <c r="M596" s="2" t="n">
        <v>22180</v>
      </c>
      <c r="N596" s="2" t="n">
        <v>1</v>
      </c>
      <c r="O596" s="2" t="n">
        <v>24</v>
      </c>
      <c r="P596" s="2" t="n">
        <v>1</v>
      </c>
      <c r="Q596" s="2" t="n">
        <v>10</v>
      </c>
      <c r="R596" s="2" t="n">
        <v>1</v>
      </c>
      <c r="S596" s="2" t="n">
        <v>10</v>
      </c>
      <c r="T596" s="2" t="n">
        <v>0</v>
      </c>
      <c r="U596" s="2" t="n">
        <v>8</v>
      </c>
      <c r="V596" s="2" t="n">
        <v>2</v>
      </c>
      <c r="W596" s="2" t="n">
        <v>4</v>
      </c>
      <c r="X596" s="2" t="n">
        <v>3</v>
      </c>
      <c r="Y596" s="2" t="n">
        <v>3</v>
      </c>
      <c r="Z596" s="2" t="n">
        <v>4</v>
      </c>
    </row>
    <row r="597" customFormat="false" ht="15" hidden="false" customHeight="true" outlineLevel="0" collapsed="false">
      <c r="A597" s="2" t="n">
        <v>19</v>
      </c>
      <c r="B597" s="2" t="s">
        <v>26</v>
      </c>
      <c r="C597" s="2" t="s">
        <v>27</v>
      </c>
      <c r="D597" s="2" t="s">
        <v>35</v>
      </c>
      <c r="E597" s="2" t="n">
        <v>23</v>
      </c>
      <c r="F597" s="2" t="n">
        <v>4</v>
      </c>
      <c r="G597" s="2" t="s">
        <v>29</v>
      </c>
      <c r="H597" s="2" t="n">
        <v>596</v>
      </c>
      <c r="I597" s="2" t="s">
        <v>39</v>
      </c>
      <c r="J597" s="2" t="n">
        <v>2</v>
      </c>
      <c r="K597" s="2" t="s">
        <v>45</v>
      </c>
      <c r="L597" s="2" t="s">
        <v>37</v>
      </c>
      <c r="M597" s="2" t="n">
        <v>191970</v>
      </c>
      <c r="N597" s="2" t="n">
        <v>1</v>
      </c>
      <c r="O597" s="2" t="n">
        <v>12</v>
      </c>
      <c r="P597" s="2" t="n">
        <v>0</v>
      </c>
      <c r="Q597" s="2" t="n">
        <v>1</v>
      </c>
      <c r="R597" s="2" t="n">
        <v>2</v>
      </c>
      <c r="S597" s="2" t="n">
        <v>1</v>
      </c>
      <c r="T597" s="2" t="n">
        <v>0</v>
      </c>
      <c r="U597" s="2" t="n">
        <v>0</v>
      </c>
      <c r="V597" s="2" t="n">
        <v>3</v>
      </c>
      <c r="W597" s="2" t="n">
        <v>1</v>
      </c>
      <c r="X597" s="2" t="n">
        <v>3</v>
      </c>
      <c r="Y597" s="2" t="n">
        <v>3</v>
      </c>
      <c r="Z597" s="2" t="n">
        <v>3</v>
      </c>
    </row>
    <row r="598" customFormat="false" ht="15" hidden="false" customHeight="true" outlineLevel="0" collapsed="false">
      <c r="A598" s="2" t="n">
        <v>45</v>
      </c>
      <c r="B598" s="2" t="s">
        <v>26</v>
      </c>
      <c r="C598" s="2" t="s">
        <v>27</v>
      </c>
      <c r="D598" s="2" t="s">
        <v>35</v>
      </c>
      <c r="E598" s="2" t="n">
        <v>22</v>
      </c>
      <c r="F598" s="2" t="n">
        <v>3</v>
      </c>
      <c r="G598" s="2" t="s">
        <v>29</v>
      </c>
      <c r="H598" s="2" t="n">
        <v>597</v>
      </c>
      <c r="I598" s="2" t="s">
        <v>30</v>
      </c>
      <c r="J598" s="2" t="n">
        <v>2</v>
      </c>
      <c r="K598" s="2" t="s">
        <v>48</v>
      </c>
      <c r="L598" s="2" t="s">
        <v>32</v>
      </c>
      <c r="M598" s="2" t="n">
        <v>132120</v>
      </c>
      <c r="N598" s="2" t="n">
        <v>4</v>
      </c>
      <c r="O598" s="2" t="n">
        <v>13</v>
      </c>
      <c r="P598" s="2" t="n">
        <v>0</v>
      </c>
      <c r="Q598" s="2" t="n">
        <v>7</v>
      </c>
      <c r="R598" s="2" t="n">
        <v>4</v>
      </c>
      <c r="S598" s="2" t="n">
        <v>3</v>
      </c>
      <c r="T598" s="2" t="n">
        <v>0</v>
      </c>
      <c r="U598" s="2" t="n">
        <v>2</v>
      </c>
      <c r="V598" s="2" t="n">
        <v>1</v>
      </c>
      <c r="W598" s="2" t="n">
        <v>3</v>
      </c>
      <c r="X598" s="2" t="n">
        <v>2</v>
      </c>
      <c r="Y598" s="2" t="n">
        <v>3</v>
      </c>
      <c r="Z598" s="2" t="n">
        <v>3</v>
      </c>
    </row>
    <row r="599" customFormat="false" ht="15" hidden="false" customHeight="true" outlineLevel="0" collapsed="false">
      <c r="A599" s="2" t="n">
        <v>37</v>
      </c>
      <c r="B599" s="2" t="s">
        <v>26</v>
      </c>
      <c r="C599" s="2" t="s">
        <v>27</v>
      </c>
      <c r="D599" s="2" t="s">
        <v>35</v>
      </c>
      <c r="E599" s="2" t="n">
        <v>14</v>
      </c>
      <c r="F599" s="2" t="n">
        <v>4</v>
      </c>
      <c r="G599" s="2" t="s">
        <v>29</v>
      </c>
      <c r="H599" s="2" t="n">
        <v>598</v>
      </c>
      <c r="I599" s="2" t="s">
        <v>39</v>
      </c>
      <c r="J599" s="2" t="n">
        <v>3</v>
      </c>
      <c r="K599" s="2" t="s">
        <v>36</v>
      </c>
      <c r="L599" s="2" t="s">
        <v>32</v>
      </c>
      <c r="M599" s="2" t="n">
        <v>65770</v>
      </c>
      <c r="N599" s="2" t="n">
        <v>1</v>
      </c>
      <c r="O599" s="2" t="n">
        <v>13</v>
      </c>
      <c r="P599" s="2" t="n">
        <v>0</v>
      </c>
      <c r="Q599" s="2" t="n">
        <v>14</v>
      </c>
      <c r="R599" s="2" t="n">
        <v>1</v>
      </c>
      <c r="S599" s="2" t="n">
        <v>14</v>
      </c>
      <c r="T599" s="2" t="n">
        <v>3</v>
      </c>
      <c r="U599" s="2" t="n">
        <v>11</v>
      </c>
      <c r="V599" s="2" t="n">
        <v>4</v>
      </c>
      <c r="W599" s="2" t="n">
        <v>4</v>
      </c>
      <c r="X599" s="2" t="n">
        <v>2</v>
      </c>
      <c r="Y599" s="2" t="n">
        <v>1</v>
      </c>
      <c r="Z599" s="2" t="n">
        <v>3</v>
      </c>
    </row>
    <row r="600" customFormat="false" ht="15" hidden="false" customHeight="true" outlineLevel="0" collapsed="false">
      <c r="A600" s="2" t="n">
        <v>20</v>
      </c>
      <c r="B600" s="2" t="s">
        <v>26</v>
      </c>
      <c r="C600" s="2" t="s">
        <v>27</v>
      </c>
      <c r="D600" s="2" t="s">
        <v>35</v>
      </c>
      <c r="E600" s="2" t="n">
        <v>6</v>
      </c>
      <c r="F600" s="2" t="n">
        <v>3</v>
      </c>
      <c r="G600" s="2" t="s">
        <v>43</v>
      </c>
      <c r="H600" s="2" t="n">
        <v>599</v>
      </c>
      <c r="I600" s="2" t="s">
        <v>39</v>
      </c>
      <c r="J600" s="2" t="n">
        <v>5</v>
      </c>
      <c r="K600" s="2" t="s">
        <v>44</v>
      </c>
      <c r="L600" s="2" t="s">
        <v>37</v>
      </c>
      <c r="M600" s="2" t="n">
        <v>83920</v>
      </c>
      <c r="N600" s="2" t="n">
        <v>1</v>
      </c>
      <c r="O600" s="2" t="n">
        <v>17</v>
      </c>
      <c r="P600" s="2" t="n">
        <v>0</v>
      </c>
      <c r="Q600" s="2" t="n">
        <v>2</v>
      </c>
      <c r="R600" s="2" t="n">
        <v>5</v>
      </c>
      <c r="S600" s="2" t="n">
        <v>2</v>
      </c>
      <c r="T600" s="2" t="n">
        <v>1</v>
      </c>
      <c r="U600" s="2" t="n">
        <v>2</v>
      </c>
      <c r="V600" s="2" t="n">
        <v>1</v>
      </c>
      <c r="W600" s="2" t="n">
        <v>3</v>
      </c>
      <c r="X600" s="2" t="n">
        <v>2</v>
      </c>
      <c r="Y600" s="2" t="n">
        <v>3</v>
      </c>
      <c r="Z600" s="2" t="n">
        <v>3</v>
      </c>
    </row>
    <row r="601" customFormat="false" ht="15" hidden="false" customHeight="true" outlineLevel="0" collapsed="false">
      <c r="A601" s="2" t="n">
        <v>44</v>
      </c>
      <c r="B601" s="2" t="s">
        <v>33</v>
      </c>
      <c r="C601" s="2" t="s">
        <v>27</v>
      </c>
      <c r="D601" s="2" t="s">
        <v>42</v>
      </c>
      <c r="E601" s="2" t="n">
        <v>6</v>
      </c>
      <c r="F601" s="2" t="n">
        <v>2</v>
      </c>
      <c r="G601" s="2" t="s">
        <v>42</v>
      </c>
      <c r="H601" s="2" t="n">
        <v>600</v>
      </c>
      <c r="I601" s="2" t="s">
        <v>39</v>
      </c>
      <c r="J601" s="2" t="n">
        <v>3</v>
      </c>
      <c r="K601" s="2" t="s">
        <v>40</v>
      </c>
      <c r="L601" s="2" t="s">
        <v>37</v>
      </c>
      <c r="M601" s="2" t="n">
        <v>45580</v>
      </c>
      <c r="N601" s="2" t="n">
        <v>1</v>
      </c>
      <c r="O601" s="2" t="n">
        <v>13</v>
      </c>
      <c r="P601" s="2" t="n">
        <v>1</v>
      </c>
      <c r="Q601" s="2" t="n">
        <v>6</v>
      </c>
      <c r="R601" s="2" t="n">
        <v>2</v>
      </c>
      <c r="S601" s="2" t="n">
        <v>6</v>
      </c>
      <c r="T601" s="2" t="n">
        <v>0</v>
      </c>
      <c r="U601" s="2" t="n">
        <v>2</v>
      </c>
      <c r="V601" s="2" t="n">
        <v>3</v>
      </c>
      <c r="W601" s="2" t="n">
        <v>3</v>
      </c>
      <c r="X601" s="2" t="n">
        <v>3</v>
      </c>
      <c r="Y601" s="2" t="n">
        <v>1</v>
      </c>
      <c r="Z601" s="2" t="n">
        <v>3</v>
      </c>
    </row>
    <row r="602" customFormat="false" ht="15" hidden="false" customHeight="true" outlineLevel="0" collapsed="false">
      <c r="A602" s="2" t="n">
        <v>53</v>
      </c>
      <c r="B602" s="2" t="s">
        <v>26</v>
      </c>
      <c r="C602" s="2" t="s">
        <v>27</v>
      </c>
      <c r="D602" s="2" t="s">
        <v>35</v>
      </c>
      <c r="E602" s="2" t="n">
        <v>6</v>
      </c>
      <c r="F602" s="2" t="n">
        <v>4</v>
      </c>
      <c r="G602" s="2" t="s">
        <v>29</v>
      </c>
      <c r="H602" s="2" t="n">
        <v>601</v>
      </c>
      <c r="I602" s="2" t="s">
        <v>39</v>
      </c>
      <c r="J602" s="2" t="n">
        <v>1</v>
      </c>
      <c r="K602" s="2" t="s">
        <v>44</v>
      </c>
      <c r="L602" s="2" t="s">
        <v>46</v>
      </c>
      <c r="M602" s="2" t="n">
        <v>40310</v>
      </c>
      <c r="N602" s="2" t="n">
        <v>3</v>
      </c>
      <c r="O602" s="2" t="n">
        <v>12</v>
      </c>
      <c r="P602" s="2" t="n">
        <v>1</v>
      </c>
      <c r="Q602" s="2" t="n">
        <v>26</v>
      </c>
      <c r="R602" s="2" t="n">
        <v>3</v>
      </c>
      <c r="S602" s="2" t="n">
        <v>7</v>
      </c>
      <c r="T602" s="2" t="n">
        <v>4</v>
      </c>
      <c r="U602" s="2" t="n">
        <v>7</v>
      </c>
      <c r="V602" s="2" t="n">
        <v>4</v>
      </c>
      <c r="W602" s="2" t="n">
        <v>3</v>
      </c>
      <c r="X602" s="2" t="n">
        <v>3</v>
      </c>
      <c r="Y602" s="2" t="n">
        <v>2</v>
      </c>
      <c r="Z602" s="2" t="n">
        <v>3</v>
      </c>
    </row>
    <row r="603" customFormat="false" ht="15" hidden="false" customHeight="true" outlineLevel="0" collapsed="false">
      <c r="A603" s="2" t="n">
        <v>29</v>
      </c>
      <c r="B603" s="2" t="s">
        <v>26</v>
      </c>
      <c r="C603" s="2" t="s">
        <v>27</v>
      </c>
      <c r="D603" s="2" t="s">
        <v>35</v>
      </c>
      <c r="E603" s="2" t="n">
        <v>23</v>
      </c>
      <c r="F603" s="2" t="n">
        <v>3</v>
      </c>
      <c r="G603" s="2" t="s">
        <v>43</v>
      </c>
      <c r="H603" s="2" t="n">
        <v>602</v>
      </c>
      <c r="I603" s="2" t="s">
        <v>39</v>
      </c>
      <c r="J603" s="2" t="n">
        <v>1</v>
      </c>
      <c r="K603" s="2" t="s">
        <v>40</v>
      </c>
      <c r="L603" s="2" t="s">
        <v>32</v>
      </c>
      <c r="M603" s="2" t="n">
        <v>79690</v>
      </c>
      <c r="N603" s="2" t="n">
        <v>0</v>
      </c>
      <c r="O603" s="2" t="n">
        <v>14</v>
      </c>
      <c r="P603" s="2" t="n">
        <v>0</v>
      </c>
      <c r="Q603" s="2" t="n">
        <v>6</v>
      </c>
      <c r="R603" s="2" t="n">
        <v>3</v>
      </c>
      <c r="S603" s="2" t="n">
        <v>5</v>
      </c>
      <c r="T603" s="2" t="n">
        <v>1</v>
      </c>
      <c r="U603" s="2" t="n">
        <v>3</v>
      </c>
      <c r="V603" s="2" t="n">
        <v>2</v>
      </c>
      <c r="W603" s="2" t="n">
        <v>4</v>
      </c>
      <c r="X603" s="2" t="n">
        <v>2</v>
      </c>
      <c r="Y603" s="2" t="n">
        <v>3</v>
      </c>
      <c r="Z603" s="2" t="n">
        <v>3</v>
      </c>
    </row>
    <row r="604" customFormat="false" ht="15" hidden="false" customHeight="true" outlineLevel="0" collapsed="false">
      <c r="A604" s="2" t="n">
        <v>22</v>
      </c>
      <c r="B604" s="2" t="s">
        <v>33</v>
      </c>
      <c r="C604" s="2" t="s">
        <v>34</v>
      </c>
      <c r="D604" s="2" t="s">
        <v>35</v>
      </c>
      <c r="E604" s="2" t="n">
        <v>22</v>
      </c>
      <c r="F604" s="2" t="n">
        <v>4</v>
      </c>
      <c r="G604" s="2" t="s">
        <v>43</v>
      </c>
      <c r="H604" s="2" t="n">
        <v>603</v>
      </c>
      <c r="I604" s="2" t="s">
        <v>39</v>
      </c>
      <c r="J604" s="2" t="n">
        <v>1</v>
      </c>
      <c r="K604" s="2" t="s">
        <v>48</v>
      </c>
      <c r="L604" s="2" t="s">
        <v>32</v>
      </c>
      <c r="M604" s="2" t="n">
        <v>26540</v>
      </c>
      <c r="N604" s="2" t="n">
        <v>0</v>
      </c>
      <c r="O604" s="2" t="n">
        <v>24</v>
      </c>
      <c r="P604" s="2" t="n">
        <v>0</v>
      </c>
      <c r="Q604" s="2" t="n">
        <v>1</v>
      </c>
      <c r="R604" s="2" t="n">
        <v>5</v>
      </c>
      <c r="S604" s="2" t="n">
        <v>0</v>
      </c>
      <c r="T604" s="2" t="n">
        <v>0</v>
      </c>
      <c r="U604" s="2" t="n">
        <v>0</v>
      </c>
      <c r="V604" s="2" t="n">
        <v>3</v>
      </c>
      <c r="W604" s="2" t="n">
        <v>4</v>
      </c>
      <c r="X604" s="2" t="n">
        <v>3</v>
      </c>
      <c r="Y604" s="2" t="n">
        <v>2</v>
      </c>
      <c r="Z604" s="2" t="n">
        <v>4</v>
      </c>
    </row>
    <row r="605" customFormat="false" ht="15" hidden="false" customHeight="true" outlineLevel="0" collapsed="false">
      <c r="A605" s="2" t="n">
        <v>46</v>
      </c>
      <c r="B605" s="2" t="s">
        <v>26</v>
      </c>
      <c r="C605" s="2" t="s">
        <v>27</v>
      </c>
      <c r="D605" s="2" t="s">
        <v>35</v>
      </c>
      <c r="E605" s="2" t="n">
        <v>2</v>
      </c>
      <c r="F605" s="2" t="n">
        <v>3</v>
      </c>
      <c r="G605" s="2" t="s">
        <v>29</v>
      </c>
      <c r="H605" s="2" t="n">
        <v>604</v>
      </c>
      <c r="I605" s="2" t="s">
        <v>39</v>
      </c>
      <c r="J605" s="2" t="n">
        <v>2</v>
      </c>
      <c r="K605" s="2" t="s">
        <v>36</v>
      </c>
      <c r="L605" s="2" t="s">
        <v>32</v>
      </c>
      <c r="M605" s="2" t="n">
        <v>165550</v>
      </c>
      <c r="N605" s="2" t="n">
        <v>8</v>
      </c>
      <c r="O605" s="2" t="n">
        <v>14</v>
      </c>
      <c r="P605" s="2" t="n">
        <v>2</v>
      </c>
      <c r="Q605" s="2" t="n">
        <v>28</v>
      </c>
      <c r="R605" s="2" t="n">
        <v>4</v>
      </c>
      <c r="S605" s="2" t="n">
        <v>26</v>
      </c>
      <c r="T605" s="2" t="n">
        <v>15</v>
      </c>
      <c r="U605" s="2" t="n">
        <v>9</v>
      </c>
      <c r="V605" s="2" t="n">
        <v>3</v>
      </c>
      <c r="W605" s="2" t="n">
        <v>1</v>
      </c>
      <c r="X605" s="2" t="n">
        <v>3</v>
      </c>
      <c r="Y605" s="2" t="n">
        <v>3</v>
      </c>
      <c r="Z605" s="2" t="n">
        <v>3</v>
      </c>
    </row>
    <row r="606" customFormat="false" ht="15" hidden="false" customHeight="true" outlineLevel="0" collapsed="false">
      <c r="A606" s="2" t="n">
        <v>44</v>
      </c>
      <c r="B606" s="2" t="s">
        <v>26</v>
      </c>
      <c r="C606" s="2" t="s">
        <v>41</v>
      </c>
      <c r="D606" s="2" t="s">
        <v>35</v>
      </c>
      <c r="E606" s="2" t="n">
        <v>20</v>
      </c>
      <c r="F606" s="2" t="n">
        <v>3</v>
      </c>
      <c r="G606" s="2" t="s">
        <v>29</v>
      </c>
      <c r="H606" s="2" t="n">
        <v>605</v>
      </c>
      <c r="I606" s="2" t="s">
        <v>39</v>
      </c>
      <c r="J606" s="2" t="n">
        <v>1</v>
      </c>
      <c r="K606" s="2" t="s">
        <v>48</v>
      </c>
      <c r="L606" s="2" t="s">
        <v>37</v>
      </c>
      <c r="M606" s="2" t="n">
        <v>45560</v>
      </c>
      <c r="N606" s="2" t="n">
        <v>2</v>
      </c>
      <c r="O606" s="2" t="n">
        <v>13</v>
      </c>
      <c r="P606" s="2" t="n">
        <v>0</v>
      </c>
      <c r="Q606" s="2" t="n">
        <v>6</v>
      </c>
      <c r="R606" s="2" t="n">
        <v>4</v>
      </c>
      <c r="S606" s="2" t="n">
        <v>0</v>
      </c>
      <c r="T606" s="2" t="n">
        <v>0</v>
      </c>
      <c r="U606" s="2" t="n">
        <v>0</v>
      </c>
      <c r="V606" s="2" t="n">
        <v>4</v>
      </c>
      <c r="W606" s="2" t="n">
        <v>3</v>
      </c>
      <c r="X606" s="2" t="n">
        <v>3</v>
      </c>
      <c r="Y606" s="2" t="n">
        <v>3</v>
      </c>
      <c r="Z606" s="2" t="n">
        <v>3</v>
      </c>
    </row>
    <row r="607" customFormat="false" ht="15" hidden="false" customHeight="true" outlineLevel="0" collapsed="false">
      <c r="A607" s="2" t="n">
        <v>33</v>
      </c>
      <c r="B607" s="2" t="s">
        <v>26</v>
      </c>
      <c r="C607" s="2" t="s">
        <v>27</v>
      </c>
      <c r="D607" s="2" t="s">
        <v>35</v>
      </c>
      <c r="E607" s="2" t="n">
        <v>28</v>
      </c>
      <c r="F607" s="2" t="n">
        <v>4</v>
      </c>
      <c r="G607" s="2" t="s">
        <v>29</v>
      </c>
      <c r="H607" s="2" t="n">
        <v>606</v>
      </c>
      <c r="I607" s="2" t="s">
        <v>30</v>
      </c>
      <c r="J607" s="2" t="n">
        <v>1</v>
      </c>
      <c r="K607" s="2" t="s">
        <v>49</v>
      </c>
      <c r="L607" s="2" t="s">
        <v>32</v>
      </c>
      <c r="M607" s="2" t="n">
        <v>60910</v>
      </c>
      <c r="N607" s="2" t="n">
        <v>1</v>
      </c>
      <c r="O607" s="2" t="n">
        <v>15</v>
      </c>
      <c r="P607" s="2" t="n">
        <v>0</v>
      </c>
      <c r="Q607" s="2" t="n">
        <v>5</v>
      </c>
      <c r="R607" s="2" t="n">
        <v>6</v>
      </c>
      <c r="S607" s="2" t="n">
        <v>5</v>
      </c>
      <c r="T607" s="2" t="n">
        <v>1</v>
      </c>
      <c r="U607" s="2" t="n">
        <v>4</v>
      </c>
      <c r="V607" s="2" t="n">
        <v>2</v>
      </c>
      <c r="W607" s="2" t="n">
        <v>3</v>
      </c>
      <c r="X607" s="2" t="n">
        <v>3</v>
      </c>
      <c r="Y607" s="2" t="n">
        <v>1</v>
      </c>
      <c r="Z607" s="2" t="n">
        <v>3</v>
      </c>
    </row>
    <row r="608" customFormat="false" ht="15" hidden="false" customHeight="true" outlineLevel="0" collapsed="false">
      <c r="A608" s="2" t="n">
        <v>41</v>
      </c>
      <c r="B608" s="2" t="s">
        <v>33</v>
      </c>
      <c r="C608" s="2" t="s">
        <v>41</v>
      </c>
      <c r="D608" s="2" t="s">
        <v>35</v>
      </c>
      <c r="E608" s="2" t="n">
        <v>12</v>
      </c>
      <c r="F608" s="2" t="n">
        <v>3</v>
      </c>
      <c r="G608" s="2" t="s">
        <v>29</v>
      </c>
      <c r="H608" s="2" t="n">
        <v>607</v>
      </c>
      <c r="I608" s="2" t="s">
        <v>39</v>
      </c>
      <c r="J608" s="2" t="n">
        <v>2</v>
      </c>
      <c r="K608" s="2" t="s">
        <v>48</v>
      </c>
      <c r="L608" s="2" t="s">
        <v>46</v>
      </c>
      <c r="M608" s="2" t="n">
        <v>195660</v>
      </c>
      <c r="N608" s="2" t="n">
        <v>6</v>
      </c>
      <c r="O608" s="2" t="n">
        <v>16</v>
      </c>
      <c r="P608" s="2" t="n">
        <v>0</v>
      </c>
      <c r="Q608" s="2" t="n">
        <v>5</v>
      </c>
      <c r="R608" s="2" t="n">
        <v>2</v>
      </c>
      <c r="S608" s="2" t="n">
        <v>1</v>
      </c>
      <c r="T608" s="2" t="n">
        <v>0</v>
      </c>
      <c r="U608" s="2" t="n">
        <v>0</v>
      </c>
      <c r="V608" s="2" t="n">
        <v>1</v>
      </c>
      <c r="W608" s="2" t="n">
        <v>1</v>
      </c>
      <c r="X608" s="2" t="n">
        <v>1</v>
      </c>
      <c r="Y608" s="2" t="n">
        <v>4</v>
      </c>
      <c r="Z608" s="2" t="n">
        <v>3</v>
      </c>
    </row>
    <row r="609" customFormat="false" ht="15" hidden="false" customHeight="true" outlineLevel="0" collapsed="false">
      <c r="A609" s="2" t="n">
        <v>30</v>
      </c>
      <c r="B609" s="2" t="s">
        <v>26</v>
      </c>
      <c r="C609" s="2" t="s">
        <v>27</v>
      </c>
      <c r="D609" s="2" t="s">
        <v>28</v>
      </c>
      <c r="E609" s="2" t="n">
        <v>20</v>
      </c>
      <c r="F609" s="2" t="n">
        <v>3</v>
      </c>
      <c r="G609" s="2" t="s">
        <v>50</v>
      </c>
      <c r="H609" s="2" t="n">
        <v>608</v>
      </c>
      <c r="I609" s="2" t="s">
        <v>39</v>
      </c>
      <c r="J609" s="2" t="n">
        <v>3</v>
      </c>
      <c r="K609" s="2" t="s">
        <v>40</v>
      </c>
      <c r="L609" s="2" t="s">
        <v>46</v>
      </c>
      <c r="M609" s="2" t="n">
        <v>48100</v>
      </c>
      <c r="N609" s="2" t="n">
        <v>8</v>
      </c>
      <c r="O609" s="2" t="n">
        <v>18</v>
      </c>
      <c r="P609" s="2" t="n">
        <v>0</v>
      </c>
      <c r="Q609" s="2" t="n">
        <v>8</v>
      </c>
      <c r="R609" s="2" t="n">
        <v>3</v>
      </c>
      <c r="S609" s="2" t="n">
        <v>4</v>
      </c>
      <c r="T609" s="2" t="n">
        <v>0</v>
      </c>
      <c r="U609" s="2" t="n">
        <v>3</v>
      </c>
      <c r="V609" s="2" t="n">
        <v>3</v>
      </c>
      <c r="W609" s="2" t="n">
        <v>1</v>
      </c>
      <c r="X609" s="2" t="n">
        <v>3</v>
      </c>
      <c r="Y609" s="2" t="n">
        <v>2</v>
      </c>
      <c r="Z609" s="2" t="n">
        <v>3</v>
      </c>
    </row>
    <row r="610" customFormat="false" ht="15" hidden="false" customHeight="true" outlineLevel="0" collapsed="false">
      <c r="A610" s="2" t="n">
        <v>40</v>
      </c>
      <c r="B610" s="2" t="s">
        <v>26</v>
      </c>
      <c r="C610" s="2" t="s">
        <v>34</v>
      </c>
      <c r="D610" s="2" t="s">
        <v>28</v>
      </c>
      <c r="E610" s="2" t="n">
        <v>9</v>
      </c>
      <c r="F610" s="2" t="n">
        <v>3</v>
      </c>
      <c r="G610" s="2" t="s">
        <v>43</v>
      </c>
      <c r="H610" s="2" t="n">
        <v>609</v>
      </c>
      <c r="I610" s="2" t="s">
        <v>39</v>
      </c>
      <c r="J610" s="2" t="n">
        <v>1</v>
      </c>
      <c r="K610" s="2" t="s">
        <v>47</v>
      </c>
      <c r="L610" s="2" t="s">
        <v>32</v>
      </c>
      <c r="M610" s="2" t="n">
        <v>45230</v>
      </c>
      <c r="N610" s="2" t="n">
        <v>5</v>
      </c>
      <c r="O610" s="2" t="n">
        <v>16</v>
      </c>
      <c r="P610" s="2" t="n">
        <v>1</v>
      </c>
      <c r="Q610" s="2" t="n">
        <v>5</v>
      </c>
      <c r="R610" s="2" t="n">
        <v>5</v>
      </c>
      <c r="S610" s="2" t="n">
        <v>0</v>
      </c>
      <c r="T610" s="2" t="n">
        <v>0</v>
      </c>
      <c r="U610" s="2" t="n">
        <v>0</v>
      </c>
      <c r="V610" s="2" t="n">
        <v>2</v>
      </c>
      <c r="W610" s="2" t="n">
        <v>2</v>
      </c>
      <c r="X610" s="2" t="n">
        <v>3</v>
      </c>
      <c r="Y610" s="2" t="n">
        <v>4</v>
      </c>
      <c r="Z610" s="2" t="n">
        <v>3</v>
      </c>
    </row>
    <row r="611" customFormat="false" ht="15" hidden="false" customHeight="true" outlineLevel="0" collapsed="false">
      <c r="A611" s="2" t="n">
        <v>50</v>
      </c>
      <c r="B611" s="2" t="s">
        <v>26</v>
      </c>
      <c r="C611" s="2" t="s">
        <v>34</v>
      </c>
      <c r="D611" s="2" t="s">
        <v>35</v>
      </c>
      <c r="E611" s="2" t="n">
        <v>25</v>
      </c>
      <c r="F611" s="2" t="n">
        <v>4</v>
      </c>
      <c r="G611" s="2" t="s">
        <v>29</v>
      </c>
      <c r="H611" s="2" t="n">
        <v>610</v>
      </c>
      <c r="I611" s="2" t="s">
        <v>30</v>
      </c>
      <c r="J611" s="2" t="n">
        <v>2</v>
      </c>
      <c r="K611" s="2" t="s">
        <v>31</v>
      </c>
      <c r="L611" s="2" t="s">
        <v>32</v>
      </c>
      <c r="M611" s="2" t="n">
        <v>32020</v>
      </c>
      <c r="N611" s="2" t="n">
        <v>2</v>
      </c>
      <c r="O611" s="2" t="n">
        <v>24</v>
      </c>
      <c r="P611" s="2" t="n">
        <v>1</v>
      </c>
      <c r="Q611" s="2" t="n">
        <v>32</v>
      </c>
      <c r="R611" s="2" t="n">
        <v>2</v>
      </c>
      <c r="S611" s="2" t="n">
        <v>2</v>
      </c>
      <c r="T611" s="2" t="n">
        <v>2</v>
      </c>
      <c r="U611" s="2" t="n">
        <v>2</v>
      </c>
      <c r="V611" s="2" t="n">
        <v>4</v>
      </c>
      <c r="W611" s="2" t="n">
        <v>1</v>
      </c>
      <c r="X611" s="2"/>
      <c r="Y611" s="2" t="n">
        <v>3</v>
      </c>
      <c r="Z611" s="2" t="n">
        <v>4</v>
      </c>
    </row>
    <row r="612" customFormat="false" ht="15" hidden="false" customHeight="true" outlineLevel="0" collapsed="false">
      <c r="A612" s="2" t="n">
        <v>28</v>
      </c>
      <c r="B612" s="2" t="s">
        <v>26</v>
      </c>
      <c r="C612" s="2" t="s">
        <v>27</v>
      </c>
      <c r="D612" s="2" t="s">
        <v>35</v>
      </c>
      <c r="E612" s="2" t="n">
        <v>6</v>
      </c>
      <c r="F612" s="2" t="n">
        <v>3</v>
      </c>
      <c r="G612" s="2" t="s">
        <v>51</v>
      </c>
      <c r="H612" s="2" t="n">
        <v>611</v>
      </c>
      <c r="I612" s="2" t="s">
        <v>39</v>
      </c>
      <c r="J612" s="2" t="n">
        <v>2</v>
      </c>
      <c r="K612" s="2" t="s">
        <v>36</v>
      </c>
      <c r="L612" s="2" t="s">
        <v>32</v>
      </c>
      <c r="M612" s="2" t="n">
        <v>23510</v>
      </c>
      <c r="N612" s="2" t="n">
        <v>1</v>
      </c>
      <c r="O612" s="2" t="n">
        <v>16</v>
      </c>
      <c r="P612" s="2" t="n">
        <v>0</v>
      </c>
      <c r="Q612" s="2" t="n">
        <v>6</v>
      </c>
      <c r="R612" s="2" t="n">
        <v>4</v>
      </c>
      <c r="S612" s="2" t="n">
        <v>6</v>
      </c>
      <c r="T612" s="2" t="n">
        <v>3</v>
      </c>
      <c r="U612" s="2" t="n">
        <v>3</v>
      </c>
      <c r="V612" s="2" t="n">
        <v>4</v>
      </c>
      <c r="W612" s="2" t="n">
        <v>1</v>
      </c>
      <c r="X612" s="2" t="n">
        <v>3</v>
      </c>
      <c r="Y612" s="2" t="n">
        <v>3</v>
      </c>
      <c r="Z612" s="2" t="n">
        <v>3</v>
      </c>
    </row>
    <row r="613" customFormat="false" ht="15" hidden="false" customHeight="true" outlineLevel="0" collapsed="false">
      <c r="A613" s="2" t="n">
        <v>46</v>
      </c>
      <c r="B613" s="2" t="s">
        <v>26</v>
      </c>
      <c r="C613" s="2" t="s">
        <v>27</v>
      </c>
      <c r="D613" s="2" t="s">
        <v>35</v>
      </c>
      <c r="E613" s="2" t="n">
        <v>8</v>
      </c>
      <c r="F613" s="2" t="n">
        <v>4</v>
      </c>
      <c r="G613" s="2" t="s">
        <v>38</v>
      </c>
      <c r="H613" s="2" t="n">
        <v>612</v>
      </c>
      <c r="I613" s="2" t="s">
        <v>39</v>
      </c>
      <c r="J613" s="2" t="n">
        <v>3</v>
      </c>
      <c r="K613" s="2" t="s">
        <v>49</v>
      </c>
      <c r="L613" s="2" t="s">
        <v>32</v>
      </c>
      <c r="M613" s="2" t="n">
        <v>17020</v>
      </c>
      <c r="N613" s="2" t="n">
        <v>5</v>
      </c>
      <c r="O613" s="2" t="n">
        <v>21</v>
      </c>
      <c r="P613" s="2" t="n">
        <v>0</v>
      </c>
      <c r="Q613" s="2" t="n">
        <v>25</v>
      </c>
      <c r="R613" s="2" t="n">
        <v>2</v>
      </c>
      <c r="S613" s="2" t="n">
        <v>4</v>
      </c>
      <c r="T613" s="2" t="n">
        <v>0</v>
      </c>
      <c r="U613" s="2" t="n">
        <v>3</v>
      </c>
      <c r="V613" s="2" t="n">
        <v>4</v>
      </c>
      <c r="W613" s="2" t="n">
        <v>2</v>
      </c>
      <c r="X613" s="2" t="n">
        <v>3</v>
      </c>
      <c r="Y613" s="2" t="n">
        <v>3</v>
      </c>
      <c r="Z613" s="2" t="n">
        <v>4</v>
      </c>
    </row>
    <row r="614" customFormat="false" ht="15" hidden="false" customHeight="true" outlineLevel="0" collapsed="false">
      <c r="A614" s="2" t="n">
        <v>35</v>
      </c>
      <c r="B614" s="2" t="s">
        <v>26</v>
      </c>
      <c r="C614" s="2" t="s">
        <v>27</v>
      </c>
      <c r="D614" s="2" t="s">
        <v>28</v>
      </c>
      <c r="E614" s="2" t="n">
        <v>4</v>
      </c>
      <c r="F614" s="2" t="n">
        <v>4</v>
      </c>
      <c r="G614" s="2" t="s">
        <v>50</v>
      </c>
      <c r="H614" s="2" t="n">
        <v>613</v>
      </c>
      <c r="I614" s="2" t="s">
        <v>39</v>
      </c>
      <c r="J614" s="2" t="n">
        <v>1</v>
      </c>
      <c r="K614" s="2" t="s">
        <v>45</v>
      </c>
      <c r="L614" s="2" t="s">
        <v>32</v>
      </c>
      <c r="M614" s="2" t="n">
        <v>180410</v>
      </c>
      <c r="N614" s="2" t="n">
        <v>3</v>
      </c>
      <c r="O614" s="2" t="n">
        <v>20</v>
      </c>
      <c r="P614" s="2" t="n">
        <v>1</v>
      </c>
      <c r="Q614" s="2" t="n">
        <v>15</v>
      </c>
      <c r="R614" s="2" t="n">
        <v>3</v>
      </c>
      <c r="S614" s="2" t="n">
        <v>7</v>
      </c>
      <c r="T614" s="2" t="n">
        <v>1</v>
      </c>
      <c r="U614" s="2" t="n">
        <v>7</v>
      </c>
      <c r="V614" s="2" t="n">
        <v>3</v>
      </c>
      <c r="W614" s="2" t="n">
        <v>1</v>
      </c>
      <c r="X614" s="2" t="n">
        <v>3</v>
      </c>
      <c r="Y614" s="2" t="n">
        <v>2</v>
      </c>
      <c r="Z614" s="2" t="n">
        <v>4</v>
      </c>
    </row>
    <row r="615" customFormat="false" ht="15" hidden="false" customHeight="true" outlineLevel="0" collapsed="false">
      <c r="A615" s="2" t="n">
        <v>24</v>
      </c>
      <c r="B615" s="2" t="s">
        <v>33</v>
      </c>
      <c r="C615" s="2" t="s">
        <v>27</v>
      </c>
      <c r="D615" s="2" t="s">
        <v>42</v>
      </c>
      <c r="E615" s="2" t="n">
        <v>28</v>
      </c>
      <c r="F615" s="2" t="n">
        <v>4</v>
      </c>
      <c r="G615" s="2" t="s">
        <v>42</v>
      </c>
      <c r="H615" s="2" t="n">
        <v>614</v>
      </c>
      <c r="I615" s="2" t="s">
        <v>39</v>
      </c>
      <c r="J615" s="2" t="n">
        <v>3</v>
      </c>
      <c r="K615" s="2" t="s">
        <v>47</v>
      </c>
      <c r="L615" s="2" t="s">
        <v>32</v>
      </c>
      <c r="M615" s="2" t="n">
        <v>28860</v>
      </c>
      <c r="N615" s="2" t="n">
        <v>1</v>
      </c>
      <c r="O615" s="2" t="n">
        <v>19</v>
      </c>
      <c r="P615" s="2" t="n">
        <v>1</v>
      </c>
      <c r="Q615" s="2" t="n">
        <v>1</v>
      </c>
      <c r="R615" s="2" t="n">
        <v>5</v>
      </c>
      <c r="S615" s="2" t="n">
        <v>1</v>
      </c>
      <c r="T615" s="2" t="n">
        <v>0</v>
      </c>
      <c r="U615" s="2" t="n">
        <v>0</v>
      </c>
      <c r="V615" s="2" t="n">
        <v>4</v>
      </c>
      <c r="W615" s="2" t="n">
        <v>2</v>
      </c>
      <c r="X615" s="2" t="n">
        <v>1</v>
      </c>
      <c r="Y615" s="2" t="n">
        <v>3</v>
      </c>
      <c r="Z615" s="2" t="n">
        <v>3</v>
      </c>
    </row>
    <row r="616" customFormat="false" ht="15" hidden="false" customHeight="true" outlineLevel="0" collapsed="false">
      <c r="A616" s="2" t="n">
        <v>33</v>
      </c>
      <c r="B616" s="2" t="s">
        <v>26</v>
      </c>
      <c r="C616" s="2" t="s">
        <v>34</v>
      </c>
      <c r="D616" s="2" t="s">
        <v>35</v>
      </c>
      <c r="E616" s="2" t="n">
        <v>9</v>
      </c>
      <c r="F616" s="2" t="n">
        <v>2</v>
      </c>
      <c r="G616" s="2" t="s">
        <v>43</v>
      </c>
      <c r="H616" s="2" t="n">
        <v>615</v>
      </c>
      <c r="I616" s="2" t="s">
        <v>30</v>
      </c>
      <c r="J616" s="2" t="n">
        <v>1</v>
      </c>
      <c r="K616" s="2" t="s">
        <v>40</v>
      </c>
      <c r="L616" s="2" t="s">
        <v>32</v>
      </c>
      <c r="M616" s="2" t="n">
        <v>20970</v>
      </c>
      <c r="N616" s="2" t="n">
        <v>1</v>
      </c>
      <c r="O616" s="2" t="n">
        <v>14</v>
      </c>
      <c r="P616" s="2" t="n">
        <v>2</v>
      </c>
      <c r="Q616" s="2" t="n">
        <v>10</v>
      </c>
      <c r="R616" s="2" t="n">
        <v>5</v>
      </c>
      <c r="S616" s="2" t="n">
        <v>10</v>
      </c>
      <c r="T616" s="2" t="n">
        <v>0</v>
      </c>
      <c r="U616" s="2" t="n">
        <v>1</v>
      </c>
      <c r="V616" s="2" t="n">
        <v>2</v>
      </c>
      <c r="W616" s="2" t="n">
        <v>3</v>
      </c>
      <c r="X616" s="2" t="n">
        <v>2</v>
      </c>
      <c r="Y616" s="2" t="n">
        <v>2</v>
      </c>
      <c r="Z616" s="2" t="n">
        <v>3</v>
      </c>
    </row>
    <row r="617" customFormat="false" ht="15" hidden="false" customHeight="true" outlineLevel="0" collapsed="false">
      <c r="A617" s="2" t="n">
        <v>36</v>
      </c>
      <c r="B617" s="2" t="s">
        <v>26</v>
      </c>
      <c r="C617" s="2" t="s">
        <v>27</v>
      </c>
      <c r="D617" s="2" t="s">
        <v>35</v>
      </c>
      <c r="E617" s="2" t="n">
        <v>9</v>
      </c>
      <c r="F617" s="2" t="n">
        <v>2</v>
      </c>
      <c r="G617" s="2" t="s">
        <v>43</v>
      </c>
      <c r="H617" s="2" t="n">
        <v>616</v>
      </c>
      <c r="I617" s="2" t="s">
        <v>39</v>
      </c>
      <c r="J617" s="2" t="n">
        <v>2</v>
      </c>
      <c r="K617" s="2" t="s">
        <v>40</v>
      </c>
      <c r="L617" s="2" t="s">
        <v>46</v>
      </c>
      <c r="M617" s="2" t="n">
        <v>119350</v>
      </c>
      <c r="N617" s="2" t="n">
        <v>1</v>
      </c>
      <c r="O617" s="2" t="n">
        <v>11</v>
      </c>
      <c r="P617" s="2" t="n">
        <v>3</v>
      </c>
      <c r="Q617" s="2" t="n">
        <v>7</v>
      </c>
      <c r="R617" s="2" t="n">
        <v>6</v>
      </c>
      <c r="S617" s="2" t="n">
        <v>7</v>
      </c>
      <c r="T617" s="2" t="n">
        <v>1</v>
      </c>
      <c r="U617" s="2" t="n">
        <v>7</v>
      </c>
      <c r="V617" s="2" t="n">
        <v>3</v>
      </c>
      <c r="W617" s="2" t="n">
        <v>3</v>
      </c>
      <c r="X617" s="2" t="n">
        <v>3</v>
      </c>
      <c r="Y617" s="2" t="n">
        <v>4</v>
      </c>
      <c r="Z617" s="2" t="n">
        <v>3</v>
      </c>
    </row>
    <row r="618" customFormat="false" ht="15" hidden="false" customHeight="true" outlineLevel="0" collapsed="false">
      <c r="A618" s="2" t="n">
        <v>30</v>
      </c>
      <c r="B618" s="2" t="s">
        <v>26</v>
      </c>
      <c r="C618" s="2" t="s">
        <v>27</v>
      </c>
      <c r="D618" s="2" t="s">
        <v>28</v>
      </c>
      <c r="E618" s="2" t="n">
        <v>29</v>
      </c>
      <c r="F618" s="2" t="n">
        <v>3</v>
      </c>
      <c r="G618" s="2" t="s">
        <v>50</v>
      </c>
      <c r="H618" s="2" t="n">
        <v>617</v>
      </c>
      <c r="I618" s="2" t="s">
        <v>39</v>
      </c>
      <c r="J618" s="2" t="n">
        <v>1</v>
      </c>
      <c r="K618" s="2" t="s">
        <v>40</v>
      </c>
      <c r="L618" s="2" t="s">
        <v>46</v>
      </c>
      <c r="M618" s="2" t="n">
        <v>25460</v>
      </c>
      <c r="N618" s="2" t="n">
        <v>1</v>
      </c>
      <c r="O618" s="2" t="n">
        <v>14</v>
      </c>
      <c r="P618" s="2" t="n">
        <v>1</v>
      </c>
      <c r="Q618" s="2" t="n">
        <v>10</v>
      </c>
      <c r="R618" s="2" t="n">
        <v>2</v>
      </c>
      <c r="S618" s="2" t="n">
        <v>10</v>
      </c>
      <c r="T618" s="2" t="n">
        <v>8</v>
      </c>
      <c r="U618" s="2" t="n">
        <v>9</v>
      </c>
      <c r="V618" s="2" t="n">
        <v>3</v>
      </c>
      <c r="W618" s="2" t="n">
        <v>3</v>
      </c>
      <c r="X618" s="2" t="n">
        <v>2</v>
      </c>
      <c r="Y618" s="2" t="n">
        <v>3</v>
      </c>
      <c r="Z618" s="2" t="n">
        <v>3</v>
      </c>
    </row>
    <row r="619" customFormat="false" ht="15" hidden="false" customHeight="true" outlineLevel="0" collapsed="false">
      <c r="A619" s="2" t="n">
        <v>44</v>
      </c>
      <c r="B619" s="2" t="s">
        <v>26</v>
      </c>
      <c r="C619" s="2" t="s">
        <v>27</v>
      </c>
      <c r="D619" s="2" t="s">
        <v>35</v>
      </c>
      <c r="E619" s="2" t="n">
        <v>3</v>
      </c>
      <c r="F619" s="2" t="n">
        <v>4</v>
      </c>
      <c r="G619" s="2" t="s">
        <v>43</v>
      </c>
      <c r="H619" s="2" t="n">
        <v>618</v>
      </c>
      <c r="I619" s="2" t="s">
        <v>39</v>
      </c>
      <c r="J619" s="2" t="n">
        <v>2</v>
      </c>
      <c r="K619" s="2" t="s">
        <v>36</v>
      </c>
      <c r="L619" s="2" t="s">
        <v>37</v>
      </c>
      <c r="M619" s="2" t="n">
        <v>25640</v>
      </c>
      <c r="N619" s="2" t="n">
        <v>1</v>
      </c>
      <c r="O619" s="2" t="n">
        <v>12</v>
      </c>
      <c r="P619" s="2" t="n">
        <v>3</v>
      </c>
      <c r="Q619" s="2" t="n">
        <v>20</v>
      </c>
      <c r="R619" s="2" t="n">
        <v>3</v>
      </c>
      <c r="S619" s="2" t="n">
        <v>20</v>
      </c>
      <c r="T619" s="2" t="n">
        <v>13</v>
      </c>
      <c r="U619" s="2" t="n">
        <v>17</v>
      </c>
      <c r="V619" s="2" t="n">
        <v>4</v>
      </c>
      <c r="W619" s="2" t="n">
        <v>4</v>
      </c>
      <c r="X619" s="2" t="n">
        <v>3</v>
      </c>
      <c r="Y619" s="2" t="n">
        <v>1</v>
      </c>
      <c r="Z619" s="2" t="n">
        <v>3</v>
      </c>
    </row>
    <row r="620" customFormat="false" ht="15" hidden="false" customHeight="true" outlineLevel="0" collapsed="false">
      <c r="A620" s="2" t="n">
        <v>20</v>
      </c>
      <c r="B620" s="2" t="s">
        <v>26</v>
      </c>
      <c r="C620" s="2" t="s">
        <v>27</v>
      </c>
      <c r="D620" s="2" t="s">
        <v>35</v>
      </c>
      <c r="E620" s="2" t="n">
        <v>18</v>
      </c>
      <c r="F620" s="2" t="n">
        <v>4</v>
      </c>
      <c r="G620" s="2" t="s">
        <v>43</v>
      </c>
      <c r="H620" s="2" t="n">
        <v>619</v>
      </c>
      <c r="I620" s="2" t="s">
        <v>39</v>
      </c>
      <c r="J620" s="2" t="n">
        <v>1</v>
      </c>
      <c r="K620" s="2" t="s">
        <v>42</v>
      </c>
      <c r="L620" s="2" t="s">
        <v>37</v>
      </c>
      <c r="M620" s="2" t="n">
        <v>84120</v>
      </c>
      <c r="N620" s="2" t="n">
        <v>1</v>
      </c>
      <c r="O620" s="2" t="n">
        <v>13</v>
      </c>
      <c r="P620" s="2" t="n">
        <v>0</v>
      </c>
      <c r="Q620" s="2" t="n">
        <v>2</v>
      </c>
      <c r="R620" s="2" t="n">
        <v>2</v>
      </c>
      <c r="S620" s="2" t="n">
        <v>2</v>
      </c>
      <c r="T620" s="2" t="n">
        <v>2</v>
      </c>
      <c r="U620" s="2" t="n">
        <v>2</v>
      </c>
      <c r="V620" s="2" t="n">
        <v>3</v>
      </c>
      <c r="W620" s="2" t="n">
        <v>4</v>
      </c>
      <c r="X620" s="2" t="n">
        <v>3</v>
      </c>
      <c r="Y620" s="2" t="n">
        <v>2</v>
      </c>
      <c r="Z620" s="2" t="n">
        <v>3</v>
      </c>
    </row>
    <row r="621" customFormat="false" ht="15" hidden="false" customHeight="true" outlineLevel="0" collapsed="false">
      <c r="A621" s="2" t="n">
        <v>46</v>
      </c>
      <c r="B621" s="2" t="s">
        <v>26</v>
      </c>
      <c r="C621" s="2" t="s">
        <v>27</v>
      </c>
      <c r="D621" s="2" t="s">
        <v>28</v>
      </c>
      <c r="E621" s="2" t="n">
        <v>9</v>
      </c>
      <c r="F621" s="2" t="n">
        <v>1</v>
      </c>
      <c r="G621" s="2" t="s">
        <v>43</v>
      </c>
      <c r="H621" s="2" t="n">
        <v>620</v>
      </c>
      <c r="I621" s="2" t="s">
        <v>30</v>
      </c>
      <c r="J621" s="2" t="n">
        <v>1</v>
      </c>
      <c r="K621" s="2" t="s">
        <v>40</v>
      </c>
      <c r="L621" s="2" t="s">
        <v>46</v>
      </c>
      <c r="M621" s="2" t="n">
        <v>141180</v>
      </c>
      <c r="N621" s="2" t="n">
        <v>2</v>
      </c>
      <c r="O621" s="2" t="n">
        <v>22</v>
      </c>
      <c r="P621" s="2" t="n">
        <v>0</v>
      </c>
      <c r="Q621" s="2" t="n">
        <v>12</v>
      </c>
      <c r="R621" s="2" t="n">
        <v>3</v>
      </c>
      <c r="S621" s="2" t="n">
        <v>6</v>
      </c>
      <c r="T621" s="2" t="n">
        <v>1</v>
      </c>
      <c r="U621" s="2" t="n">
        <v>4</v>
      </c>
      <c r="V621" s="2" t="n">
        <v>4</v>
      </c>
      <c r="W621" s="2" t="n">
        <v>4</v>
      </c>
      <c r="X621" s="2" t="n">
        <v>2</v>
      </c>
      <c r="Y621" s="2" t="n">
        <v>3</v>
      </c>
      <c r="Z621" s="2" t="n">
        <v>4</v>
      </c>
    </row>
    <row r="622" customFormat="false" ht="15" hidden="false" customHeight="true" outlineLevel="0" collapsed="false">
      <c r="A622" s="2" t="n">
        <v>42</v>
      </c>
      <c r="B622" s="2" t="s">
        <v>26</v>
      </c>
      <c r="C622" s="2" t="s">
        <v>41</v>
      </c>
      <c r="D622" s="2" t="s">
        <v>35</v>
      </c>
      <c r="E622" s="2" t="n">
        <v>5</v>
      </c>
      <c r="F622" s="2" t="n">
        <v>4</v>
      </c>
      <c r="G622" s="2" t="s">
        <v>43</v>
      </c>
      <c r="H622" s="2" t="n">
        <v>621</v>
      </c>
      <c r="I622" s="2" t="s">
        <v>39</v>
      </c>
      <c r="J622" s="2" t="n">
        <v>5</v>
      </c>
      <c r="K622" s="2" t="s">
        <v>40</v>
      </c>
      <c r="L622" s="2" t="s">
        <v>32</v>
      </c>
      <c r="M622" s="2" t="n">
        <v>170460</v>
      </c>
      <c r="N622" s="2" t="n">
        <v>7</v>
      </c>
      <c r="O622" s="2" t="n">
        <v>11</v>
      </c>
      <c r="P622" s="2" t="n">
        <v>0</v>
      </c>
      <c r="Q622" s="2" t="n">
        <v>10</v>
      </c>
      <c r="R622" s="2" t="n">
        <v>3</v>
      </c>
      <c r="S622" s="2" t="n">
        <v>4</v>
      </c>
      <c r="T622" s="2" t="n">
        <v>0</v>
      </c>
      <c r="U622" s="2" t="n">
        <v>3</v>
      </c>
      <c r="V622" s="2" t="n">
        <v>4</v>
      </c>
      <c r="W622" s="2" t="n">
        <v>1</v>
      </c>
      <c r="X622" s="2" t="n">
        <v>4</v>
      </c>
      <c r="Y622" s="2" t="n">
        <v>2</v>
      </c>
      <c r="Z622" s="2" t="n">
        <v>3</v>
      </c>
    </row>
    <row r="623" customFormat="false" ht="15" hidden="false" customHeight="true" outlineLevel="0" collapsed="false">
      <c r="A623" s="2" t="n">
        <v>60</v>
      </c>
      <c r="B623" s="2" t="s">
        <v>26</v>
      </c>
      <c r="C623" s="2" t="s">
        <v>27</v>
      </c>
      <c r="D623" s="2" t="s">
        <v>28</v>
      </c>
      <c r="E623" s="2" t="n">
        <v>2</v>
      </c>
      <c r="F623" s="2" t="n">
        <v>2</v>
      </c>
      <c r="G623" s="2" t="s">
        <v>29</v>
      </c>
      <c r="H623" s="2" t="n">
        <v>622</v>
      </c>
      <c r="I623" s="2" t="s">
        <v>39</v>
      </c>
      <c r="J623" s="2" t="n">
        <v>2</v>
      </c>
      <c r="K623" s="2" t="s">
        <v>40</v>
      </c>
      <c r="L623" s="2" t="s">
        <v>46</v>
      </c>
      <c r="M623" s="2" t="n">
        <v>25640</v>
      </c>
      <c r="N623" s="2" t="n">
        <v>0</v>
      </c>
      <c r="O623" s="2" t="n">
        <v>14</v>
      </c>
      <c r="P623" s="2" t="n">
        <v>1</v>
      </c>
      <c r="Q623" s="2" t="n">
        <v>12</v>
      </c>
      <c r="R623" s="2" t="n">
        <v>3</v>
      </c>
      <c r="S623" s="2" t="n">
        <v>11</v>
      </c>
      <c r="T623" s="2" t="n">
        <v>1</v>
      </c>
      <c r="U623" s="2" t="n">
        <v>9</v>
      </c>
      <c r="V623" s="2" t="n">
        <v>2</v>
      </c>
      <c r="W623" s="2" t="n">
        <v>4</v>
      </c>
      <c r="X623" s="2" t="n">
        <v>3</v>
      </c>
      <c r="Y623" s="2" t="n">
        <v>3</v>
      </c>
      <c r="Z623" s="2" t="n">
        <v>3</v>
      </c>
    </row>
    <row r="624" customFormat="false" ht="15" hidden="false" customHeight="true" outlineLevel="0" collapsed="false">
      <c r="A624" s="2" t="n">
        <v>32</v>
      </c>
      <c r="B624" s="2" t="s">
        <v>26</v>
      </c>
      <c r="C624" s="2" t="s">
        <v>34</v>
      </c>
      <c r="D624" s="2" t="s">
        <v>28</v>
      </c>
      <c r="E624" s="2" t="n">
        <v>10</v>
      </c>
      <c r="F624" s="2" t="n">
        <v>3</v>
      </c>
      <c r="G624" s="2" t="s">
        <v>29</v>
      </c>
      <c r="H624" s="2" t="n">
        <v>623</v>
      </c>
      <c r="I624" s="2" t="s">
        <v>30</v>
      </c>
      <c r="J624" s="2" t="n">
        <v>1</v>
      </c>
      <c r="K624" s="2" t="s">
        <v>40</v>
      </c>
      <c r="L624" s="2" t="s">
        <v>32</v>
      </c>
      <c r="M624" s="2" t="n">
        <v>102660</v>
      </c>
      <c r="N624" s="2" t="n">
        <v>1</v>
      </c>
      <c r="O624" s="2" t="n">
        <v>11</v>
      </c>
      <c r="P624" s="2" t="n">
        <v>0</v>
      </c>
      <c r="Q624" s="2" t="n">
        <v>2</v>
      </c>
      <c r="R624" s="2" t="n">
        <v>3</v>
      </c>
      <c r="S624" s="2" t="n">
        <v>2</v>
      </c>
      <c r="T624" s="2" t="n">
        <v>2</v>
      </c>
      <c r="U624" s="2" t="n">
        <v>2</v>
      </c>
      <c r="V624" s="2" t="n">
        <v>3</v>
      </c>
      <c r="W624" s="2" t="n">
        <v>2</v>
      </c>
      <c r="X624" s="2" t="n">
        <v>3</v>
      </c>
      <c r="Y624" s="2" t="n">
        <v>3</v>
      </c>
      <c r="Z624" s="2" t="n">
        <v>3</v>
      </c>
    </row>
    <row r="625" customFormat="false" ht="15" hidden="false" customHeight="true" outlineLevel="0" collapsed="false">
      <c r="A625" s="2" t="n">
        <v>32</v>
      </c>
      <c r="B625" s="2" t="s">
        <v>26</v>
      </c>
      <c r="C625" s="2" t="s">
        <v>34</v>
      </c>
      <c r="D625" s="2" t="s">
        <v>35</v>
      </c>
      <c r="E625" s="2" t="n">
        <v>9</v>
      </c>
      <c r="F625" s="2" t="n">
        <v>3</v>
      </c>
      <c r="G625" s="2" t="s">
        <v>29</v>
      </c>
      <c r="H625" s="2" t="n">
        <v>624</v>
      </c>
      <c r="I625" s="2" t="s">
        <v>30</v>
      </c>
      <c r="J625" s="2" t="n">
        <v>2</v>
      </c>
      <c r="K625" s="2" t="s">
        <v>36</v>
      </c>
      <c r="L625" s="2" t="s">
        <v>37</v>
      </c>
      <c r="M625" s="2" t="n">
        <v>50700</v>
      </c>
      <c r="N625" s="2" t="n">
        <v>4</v>
      </c>
      <c r="O625" s="2" t="n">
        <v>12</v>
      </c>
      <c r="P625" s="2" t="n">
        <v>1</v>
      </c>
      <c r="Q625" s="2" t="n">
        <v>10</v>
      </c>
      <c r="R625" s="2" t="n">
        <v>6</v>
      </c>
      <c r="S625" s="2" t="n">
        <v>8</v>
      </c>
      <c r="T625" s="2" t="n">
        <v>0</v>
      </c>
      <c r="U625" s="2" t="n">
        <v>7</v>
      </c>
      <c r="V625" s="2" t="n">
        <v>4</v>
      </c>
      <c r="W625" s="2" t="n">
        <v>3</v>
      </c>
      <c r="X625" s="2" t="n">
        <v>3</v>
      </c>
      <c r="Y625" s="2" t="n">
        <v>3</v>
      </c>
      <c r="Z625" s="2" t="n">
        <v>3</v>
      </c>
    </row>
    <row r="626" customFormat="false" ht="15" hidden="false" customHeight="true" outlineLevel="0" collapsed="false">
      <c r="A626" s="2" t="n">
        <v>36</v>
      </c>
      <c r="B626" s="2" t="s">
        <v>26</v>
      </c>
      <c r="C626" s="2" t="s">
        <v>27</v>
      </c>
      <c r="D626" s="2" t="s">
        <v>28</v>
      </c>
      <c r="E626" s="2" t="n">
        <v>3</v>
      </c>
      <c r="F626" s="2" t="n">
        <v>2</v>
      </c>
      <c r="G626" s="2" t="s">
        <v>50</v>
      </c>
      <c r="H626" s="2" t="n">
        <v>625</v>
      </c>
      <c r="I626" s="2" t="s">
        <v>39</v>
      </c>
      <c r="J626" s="2" t="n">
        <v>4</v>
      </c>
      <c r="K626" s="2" t="s">
        <v>31</v>
      </c>
      <c r="L626" s="2" t="s">
        <v>46</v>
      </c>
      <c r="M626" s="2" t="n">
        <v>178610</v>
      </c>
      <c r="N626" s="2" t="n">
        <v>2</v>
      </c>
      <c r="O626" s="2" t="n">
        <v>18</v>
      </c>
      <c r="P626" s="2" t="n">
        <v>0</v>
      </c>
      <c r="Q626" s="2" t="n">
        <v>17</v>
      </c>
      <c r="R626" s="2" t="n">
        <v>2</v>
      </c>
      <c r="S626" s="2" t="n">
        <v>7</v>
      </c>
      <c r="T626" s="2" t="n">
        <v>7</v>
      </c>
      <c r="U626" s="2" t="n">
        <v>7</v>
      </c>
      <c r="V626" s="2" t="n">
        <v>3</v>
      </c>
      <c r="W626" s="2" t="n">
        <v>1</v>
      </c>
      <c r="X626" s="2" t="n">
        <v>3</v>
      </c>
      <c r="Y626" s="2" t="n">
        <v>2</v>
      </c>
      <c r="Z626" s="2" t="n">
        <v>3</v>
      </c>
    </row>
    <row r="627" customFormat="false" ht="15" hidden="false" customHeight="true" outlineLevel="0" collapsed="false">
      <c r="A627" s="2" t="n">
        <v>33</v>
      </c>
      <c r="B627" s="2" t="s">
        <v>26</v>
      </c>
      <c r="C627" s="2" t="s">
        <v>27</v>
      </c>
      <c r="D627" s="2" t="s">
        <v>28</v>
      </c>
      <c r="E627" s="2" t="n">
        <v>26</v>
      </c>
      <c r="F627" s="2" t="n">
        <v>2</v>
      </c>
      <c r="G627" s="2" t="s">
        <v>50</v>
      </c>
      <c r="H627" s="2" t="n">
        <v>626</v>
      </c>
      <c r="I627" s="2" t="s">
        <v>39</v>
      </c>
      <c r="J627" s="2" t="n">
        <v>1</v>
      </c>
      <c r="K627" s="2" t="s">
        <v>36</v>
      </c>
      <c r="L627" s="2" t="s">
        <v>32</v>
      </c>
      <c r="M627" s="2" t="n">
        <v>42300</v>
      </c>
      <c r="N627" s="2" t="n">
        <v>0</v>
      </c>
      <c r="O627" s="2" t="n">
        <v>12</v>
      </c>
      <c r="P627" s="2" t="n">
        <v>0</v>
      </c>
      <c r="Q627" s="2" t="n">
        <v>15</v>
      </c>
      <c r="R627" s="2" t="n">
        <v>0</v>
      </c>
      <c r="S627" s="2" t="n">
        <v>14</v>
      </c>
      <c r="T627" s="2" t="n">
        <v>4</v>
      </c>
      <c r="U627" s="2" t="n">
        <v>10</v>
      </c>
      <c r="V627" s="2" t="n">
        <v>1</v>
      </c>
      <c r="W627" s="2" t="n">
        <v>4</v>
      </c>
      <c r="X627" s="2" t="n">
        <v>3</v>
      </c>
      <c r="Y627" s="2" t="n">
        <v>3</v>
      </c>
      <c r="Z627" s="2" t="n">
        <v>3</v>
      </c>
    </row>
    <row r="628" customFormat="false" ht="15" hidden="false" customHeight="true" outlineLevel="0" collapsed="false">
      <c r="A628" s="2" t="n">
        <v>40</v>
      </c>
      <c r="B628" s="2" t="s">
        <v>26</v>
      </c>
      <c r="C628" s="2" t="s">
        <v>27</v>
      </c>
      <c r="D628" s="2" t="s">
        <v>35</v>
      </c>
      <c r="E628" s="2" t="n">
        <v>1</v>
      </c>
      <c r="F628" s="2" t="n">
        <v>3</v>
      </c>
      <c r="G628" s="2" t="s">
        <v>43</v>
      </c>
      <c r="H628" s="2" t="n">
        <v>627</v>
      </c>
      <c r="I628" s="2" t="s">
        <v>30</v>
      </c>
      <c r="J628" s="2" t="n">
        <v>2</v>
      </c>
      <c r="K628" s="2" t="s">
        <v>36</v>
      </c>
      <c r="L628" s="2" t="s">
        <v>46</v>
      </c>
      <c r="M628" s="2" t="n">
        <v>37800</v>
      </c>
      <c r="N628" s="2" t="n">
        <v>7</v>
      </c>
      <c r="O628" s="2" t="n">
        <v>12</v>
      </c>
      <c r="P628" s="2" t="n">
        <v>0</v>
      </c>
      <c r="Q628" s="2" t="n">
        <v>7</v>
      </c>
      <c r="R628" s="2" t="n">
        <v>2</v>
      </c>
      <c r="S628" s="2" t="n">
        <v>5</v>
      </c>
      <c r="T628" s="2" t="n">
        <v>1</v>
      </c>
      <c r="U628" s="2" t="n">
        <v>3</v>
      </c>
      <c r="V628" s="2" t="n">
        <v>2</v>
      </c>
      <c r="W628" s="2" t="n">
        <v>2</v>
      </c>
      <c r="X628" s="2" t="n">
        <v>4</v>
      </c>
      <c r="Y628" s="2" t="n">
        <v>1</v>
      </c>
      <c r="Z628" s="2" t="n">
        <v>3</v>
      </c>
    </row>
    <row r="629" customFormat="false" ht="15" hidden="false" customHeight="true" outlineLevel="0" collapsed="false">
      <c r="A629" s="2" t="n">
        <v>25</v>
      </c>
      <c r="B629" s="2" t="s">
        <v>26</v>
      </c>
      <c r="C629" s="2" t="s">
        <v>27</v>
      </c>
      <c r="D629" s="2" t="s">
        <v>35</v>
      </c>
      <c r="E629" s="2" t="n">
        <v>6</v>
      </c>
      <c r="F629" s="2" t="n">
        <v>2</v>
      </c>
      <c r="G629" s="2" t="s">
        <v>43</v>
      </c>
      <c r="H629" s="2" t="n">
        <v>628</v>
      </c>
      <c r="I629" s="2" t="s">
        <v>30</v>
      </c>
      <c r="J629" s="2" t="n">
        <v>1</v>
      </c>
      <c r="K629" s="2" t="s">
        <v>45</v>
      </c>
      <c r="L629" s="2" t="s">
        <v>37</v>
      </c>
      <c r="M629" s="2" t="n">
        <v>27680</v>
      </c>
      <c r="N629" s="2" t="n">
        <v>0</v>
      </c>
      <c r="O629" s="2" t="n">
        <v>22</v>
      </c>
      <c r="P629" s="2" t="n">
        <v>1</v>
      </c>
      <c r="Q629" s="2" t="n">
        <v>5</v>
      </c>
      <c r="R629" s="2" t="n">
        <v>0</v>
      </c>
      <c r="S629" s="2" t="n">
        <v>4</v>
      </c>
      <c r="T629" s="2" t="n">
        <v>1</v>
      </c>
      <c r="U629" s="2" t="n">
        <v>1</v>
      </c>
      <c r="V629" s="2" t="n">
        <v>3</v>
      </c>
      <c r="W629" s="2" t="n">
        <v>4</v>
      </c>
      <c r="X629" s="2" t="n">
        <v>3</v>
      </c>
      <c r="Y629" s="2" t="n">
        <v>3</v>
      </c>
      <c r="Z629" s="2" t="n">
        <v>4</v>
      </c>
    </row>
    <row r="630" customFormat="false" ht="15" hidden="false" customHeight="true" outlineLevel="0" collapsed="false">
      <c r="A630" s="2" t="n">
        <v>30</v>
      </c>
      <c r="B630" s="2" t="s">
        <v>26</v>
      </c>
      <c r="C630" s="2" t="s">
        <v>27</v>
      </c>
      <c r="D630" s="2" t="s">
        <v>28</v>
      </c>
      <c r="E630" s="2" t="n">
        <v>9</v>
      </c>
      <c r="F630" s="2" t="n">
        <v>3</v>
      </c>
      <c r="G630" s="2" t="s">
        <v>50</v>
      </c>
      <c r="H630" s="2" t="n">
        <v>629</v>
      </c>
      <c r="I630" s="2" t="s">
        <v>30</v>
      </c>
      <c r="J630" s="2" t="n">
        <v>1</v>
      </c>
      <c r="K630" s="2" t="s">
        <v>36</v>
      </c>
      <c r="L630" s="2" t="s">
        <v>32</v>
      </c>
      <c r="M630" s="2" t="n">
        <v>90710</v>
      </c>
      <c r="N630" s="2" t="n">
        <v>0</v>
      </c>
      <c r="O630" s="2" t="n">
        <v>19</v>
      </c>
      <c r="P630" s="2" t="n">
        <v>1</v>
      </c>
      <c r="Q630" s="2" t="n">
        <v>12</v>
      </c>
      <c r="R630" s="2" t="n">
        <v>2</v>
      </c>
      <c r="S630" s="2" t="n">
        <v>11</v>
      </c>
      <c r="T630" s="2" t="n">
        <v>5</v>
      </c>
      <c r="U630" s="2" t="n">
        <v>7</v>
      </c>
      <c r="V630" s="2" t="n">
        <v>4</v>
      </c>
      <c r="W630" s="2" t="n">
        <v>2</v>
      </c>
      <c r="X630" s="2" t="n">
        <v>3</v>
      </c>
      <c r="Y630" s="2" t="n">
        <v>2</v>
      </c>
      <c r="Z630" s="2" t="n">
        <v>3</v>
      </c>
    </row>
    <row r="631" customFormat="false" ht="15" hidden="false" customHeight="true" outlineLevel="0" collapsed="false">
      <c r="A631" s="2" t="n">
        <v>42</v>
      </c>
      <c r="B631" s="2" t="s">
        <v>26</v>
      </c>
      <c r="C631" s="2" t="s">
        <v>34</v>
      </c>
      <c r="D631" s="2" t="s">
        <v>42</v>
      </c>
      <c r="E631" s="2" t="n">
        <v>8</v>
      </c>
      <c r="F631" s="2" t="n">
        <v>2</v>
      </c>
      <c r="G631" s="2" t="s">
        <v>43</v>
      </c>
      <c r="H631" s="2" t="n">
        <v>630</v>
      </c>
      <c r="I631" s="2" t="s">
        <v>39</v>
      </c>
      <c r="J631" s="2" t="n">
        <v>1</v>
      </c>
      <c r="K631" s="2" t="s">
        <v>40</v>
      </c>
      <c r="L631" s="2" t="s">
        <v>32</v>
      </c>
      <c r="M631" s="2" t="n">
        <v>106480</v>
      </c>
      <c r="N631" s="2" t="n">
        <v>3</v>
      </c>
      <c r="O631" s="2" t="n">
        <v>13</v>
      </c>
      <c r="P631" s="2" t="n">
        <v>1</v>
      </c>
      <c r="Q631" s="2" t="n">
        <v>20</v>
      </c>
      <c r="R631" s="2" t="n">
        <v>1</v>
      </c>
      <c r="S631" s="2" t="n">
        <v>1</v>
      </c>
      <c r="T631" s="2" t="n">
        <v>0</v>
      </c>
      <c r="U631" s="2" t="n">
        <v>0</v>
      </c>
      <c r="V631" s="2" t="n">
        <v>1</v>
      </c>
      <c r="W631" s="2" t="n">
        <v>1</v>
      </c>
      <c r="X631" s="2" t="n">
        <v>3</v>
      </c>
      <c r="Y631" s="2" t="n">
        <v>3</v>
      </c>
      <c r="Z631" s="2" t="n">
        <v>3</v>
      </c>
    </row>
    <row r="632" customFormat="false" ht="15" hidden="false" customHeight="true" outlineLevel="0" collapsed="false">
      <c r="A632" s="2" t="n">
        <v>35</v>
      </c>
      <c r="B632" s="2" t="s">
        <v>26</v>
      </c>
      <c r="C632" s="2" t="s">
        <v>41</v>
      </c>
      <c r="D632" s="2" t="s">
        <v>35</v>
      </c>
      <c r="E632" s="2" t="n">
        <v>1</v>
      </c>
      <c r="F632" s="2" t="n">
        <v>1</v>
      </c>
      <c r="G632" s="2" t="s">
        <v>29</v>
      </c>
      <c r="H632" s="2" t="n">
        <v>631</v>
      </c>
      <c r="I632" s="2" t="s">
        <v>39</v>
      </c>
      <c r="J632" s="2" t="n">
        <v>2</v>
      </c>
      <c r="K632" s="2" t="s">
        <v>40</v>
      </c>
      <c r="L632" s="2" t="s">
        <v>32</v>
      </c>
      <c r="M632" s="2" t="n">
        <v>136100</v>
      </c>
      <c r="N632" s="2" t="n">
        <v>4</v>
      </c>
      <c r="O632" s="2" t="n">
        <v>22</v>
      </c>
      <c r="P632" s="2" t="n">
        <v>2</v>
      </c>
      <c r="Q632" s="2" t="n">
        <v>16</v>
      </c>
      <c r="R632" s="2" t="n">
        <v>4</v>
      </c>
      <c r="S632" s="2" t="n">
        <v>13</v>
      </c>
      <c r="T632" s="2" t="n">
        <v>4</v>
      </c>
      <c r="U632" s="2" t="n">
        <v>12</v>
      </c>
      <c r="V632" s="2" t="n">
        <v>3</v>
      </c>
      <c r="W632" s="2" t="n">
        <v>4</v>
      </c>
      <c r="X632" s="2" t="n">
        <v>2</v>
      </c>
      <c r="Y632" s="2" t="n">
        <v>2</v>
      </c>
      <c r="Z632" s="2" t="n">
        <v>4</v>
      </c>
    </row>
    <row r="633" customFormat="false" ht="15" hidden="false" customHeight="true" outlineLevel="0" collapsed="false">
      <c r="A633" s="2" t="n">
        <v>27</v>
      </c>
      <c r="B633" s="2" t="s">
        <v>26</v>
      </c>
      <c r="C633" s="2" t="s">
        <v>27</v>
      </c>
      <c r="D633" s="2" t="s">
        <v>35</v>
      </c>
      <c r="E633" s="2" t="n">
        <v>7</v>
      </c>
      <c r="F633" s="2" t="n">
        <v>3</v>
      </c>
      <c r="G633" s="2" t="s">
        <v>29</v>
      </c>
      <c r="H633" s="2" t="n">
        <v>632</v>
      </c>
      <c r="I633" s="2" t="s">
        <v>39</v>
      </c>
      <c r="J633" s="2" t="n">
        <v>3</v>
      </c>
      <c r="K633" s="2" t="s">
        <v>47</v>
      </c>
      <c r="L633" s="2" t="s">
        <v>32</v>
      </c>
      <c r="M633" s="2" t="n">
        <v>34080</v>
      </c>
      <c r="N633" s="2" t="n">
        <v>1</v>
      </c>
      <c r="O633" s="2" t="n">
        <v>24</v>
      </c>
      <c r="P633" s="2" t="n">
        <v>0</v>
      </c>
      <c r="Q633" s="2" t="n">
        <v>9</v>
      </c>
      <c r="R633" s="2" t="n">
        <v>2</v>
      </c>
      <c r="S633" s="2" t="n">
        <v>9</v>
      </c>
      <c r="T633" s="2" t="n">
        <v>6</v>
      </c>
      <c r="U633" s="2" t="n">
        <v>8</v>
      </c>
      <c r="V633" s="2" t="n">
        <v>1</v>
      </c>
      <c r="W633" s="2" t="n">
        <v>1</v>
      </c>
      <c r="X633" s="2" t="n">
        <v>2</v>
      </c>
      <c r="Y633" s="2" t="n">
        <v>3</v>
      </c>
      <c r="Z633" s="2" t="n">
        <v>4</v>
      </c>
    </row>
    <row r="634" customFormat="false" ht="15" hidden="false" customHeight="true" outlineLevel="0" collapsed="false">
      <c r="A634" s="2" t="n">
        <v>54</v>
      </c>
      <c r="B634" s="2" t="s">
        <v>26</v>
      </c>
      <c r="C634" s="2" t="s">
        <v>34</v>
      </c>
      <c r="D634" s="2" t="s">
        <v>35</v>
      </c>
      <c r="E634" s="2" t="n">
        <v>9</v>
      </c>
      <c r="F634" s="2" t="n">
        <v>2</v>
      </c>
      <c r="G634" s="2" t="s">
        <v>43</v>
      </c>
      <c r="H634" s="2" t="n">
        <v>633</v>
      </c>
      <c r="I634" s="2" t="s">
        <v>39</v>
      </c>
      <c r="J634" s="2" t="n">
        <v>2</v>
      </c>
      <c r="K634" s="2" t="s">
        <v>48</v>
      </c>
      <c r="L634" s="2" t="s">
        <v>46</v>
      </c>
      <c r="M634" s="2" t="n">
        <v>29830</v>
      </c>
      <c r="N634" s="2" t="n">
        <v>7</v>
      </c>
      <c r="O634" s="2" t="n">
        <v>14</v>
      </c>
      <c r="P634" s="2" t="n">
        <v>1</v>
      </c>
      <c r="Q634" s="2" t="n">
        <v>33</v>
      </c>
      <c r="R634" s="2" t="n">
        <v>2</v>
      </c>
      <c r="S634" s="2" t="n">
        <v>5</v>
      </c>
      <c r="T634" s="2" t="n">
        <v>1</v>
      </c>
      <c r="U634" s="2" t="n">
        <v>4</v>
      </c>
      <c r="V634" s="2" t="n">
        <v>4</v>
      </c>
      <c r="W634" s="2" t="n">
        <v>3</v>
      </c>
      <c r="X634" s="2" t="n">
        <v>1</v>
      </c>
      <c r="Y634" s="2" t="n">
        <v>2</v>
      </c>
      <c r="Z634" s="2" t="n">
        <v>3</v>
      </c>
    </row>
    <row r="635" customFormat="false" ht="15" hidden="false" customHeight="true" outlineLevel="0" collapsed="false">
      <c r="A635" s="2" t="n">
        <v>44</v>
      </c>
      <c r="B635" s="2" t="s">
        <v>26</v>
      </c>
      <c r="C635" s="2" t="s">
        <v>27</v>
      </c>
      <c r="D635" s="2" t="s">
        <v>42</v>
      </c>
      <c r="E635" s="2" t="n">
        <v>4</v>
      </c>
      <c r="F635" s="2" t="n">
        <v>4</v>
      </c>
      <c r="G635" s="2" t="s">
        <v>29</v>
      </c>
      <c r="H635" s="2" t="n">
        <v>634</v>
      </c>
      <c r="I635" s="2" t="s">
        <v>39</v>
      </c>
      <c r="J635" s="2" t="n">
        <v>5</v>
      </c>
      <c r="K635" s="2" t="s">
        <v>45</v>
      </c>
      <c r="L635" s="2" t="s">
        <v>32</v>
      </c>
      <c r="M635" s="2" t="n">
        <v>76320</v>
      </c>
      <c r="N635" s="2" t="n">
        <v>1</v>
      </c>
      <c r="O635" s="2" t="n">
        <v>21</v>
      </c>
      <c r="P635" s="2" t="n">
        <v>0</v>
      </c>
      <c r="Q635" s="2" t="n">
        <v>10</v>
      </c>
      <c r="R635" s="2" t="n">
        <v>3</v>
      </c>
      <c r="S635" s="2" t="n">
        <v>10</v>
      </c>
      <c r="T635" s="2" t="n">
        <v>7</v>
      </c>
      <c r="U635" s="2" t="n">
        <v>7</v>
      </c>
      <c r="V635" s="2" t="n">
        <v>1</v>
      </c>
      <c r="W635" s="2" t="n">
        <v>4</v>
      </c>
      <c r="X635" s="2" t="n">
        <v>3</v>
      </c>
      <c r="Y635" s="2" t="n">
        <v>3</v>
      </c>
      <c r="Z635" s="2" t="n">
        <v>4</v>
      </c>
    </row>
    <row r="636" customFormat="false" ht="15" hidden="false" customHeight="true" outlineLevel="0" collapsed="false">
      <c r="A636" s="2" t="n">
        <v>19</v>
      </c>
      <c r="B636" s="2" t="s">
        <v>33</v>
      </c>
      <c r="C636" s="2" t="s">
        <v>41</v>
      </c>
      <c r="D636" s="2" t="s">
        <v>28</v>
      </c>
      <c r="E636" s="2" t="n">
        <v>2</v>
      </c>
      <c r="F636" s="2" t="n">
        <v>2</v>
      </c>
      <c r="G636" s="2" t="s">
        <v>38</v>
      </c>
      <c r="H636" s="2" t="n">
        <v>635</v>
      </c>
      <c r="I636" s="2" t="s">
        <v>39</v>
      </c>
      <c r="J636" s="2" t="n">
        <v>3</v>
      </c>
      <c r="K636" s="2" t="s">
        <v>31</v>
      </c>
      <c r="L636" s="2" t="s">
        <v>37</v>
      </c>
      <c r="M636" s="2" t="n">
        <v>98240</v>
      </c>
      <c r="N636" s="2" t="n">
        <v>1</v>
      </c>
      <c r="O636" s="2" t="n">
        <v>18</v>
      </c>
      <c r="P636" s="2" t="n">
        <v>0</v>
      </c>
      <c r="Q636" s="2" t="n">
        <v>1</v>
      </c>
      <c r="R636" s="2" t="n">
        <v>2</v>
      </c>
      <c r="S636" s="2" t="n">
        <v>1</v>
      </c>
      <c r="T636" s="2" t="n">
        <v>0</v>
      </c>
      <c r="U636" s="2" t="n">
        <v>0</v>
      </c>
      <c r="V636" s="2" t="n">
        <v>1</v>
      </c>
      <c r="W636" s="2" t="n">
        <v>2</v>
      </c>
      <c r="X636" s="2" t="n">
        <v>4</v>
      </c>
      <c r="Y636" s="2" t="n">
        <v>3</v>
      </c>
      <c r="Z636" s="2" t="n">
        <v>3</v>
      </c>
    </row>
    <row r="637" customFormat="false" ht="15" hidden="false" customHeight="true" outlineLevel="0" collapsed="false">
      <c r="A637" s="2" t="n">
        <v>29</v>
      </c>
      <c r="B637" s="2" t="s">
        <v>26</v>
      </c>
      <c r="C637" s="2" t="s">
        <v>27</v>
      </c>
      <c r="D637" s="2" t="s">
        <v>35</v>
      </c>
      <c r="E637" s="2" t="n">
        <v>19</v>
      </c>
      <c r="F637" s="2" t="n">
        <v>4</v>
      </c>
      <c r="G637" s="2" t="s">
        <v>29</v>
      </c>
      <c r="H637" s="2" t="n">
        <v>636</v>
      </c>
      <c r="I637" s="2" t="s">
        <v>39</v>
      </c>
      <c r="J637" s="2" t="n">
        <v>1</v>
      </c>
      <c r="K637" s="2" t="s">
        <v>47</v>
      </c>
      <c r="L637" s="2" t="s">
        <v>46</v>
      </c>
      <c r="M637" s="2" t="n">
        <v>99500</v>
      </c>
      <c r="N637" s="2" t="n">
        <v>1</v>
      </c>
      <c r="O637" s="2" t="n">
        <v>20</v>
      </c>
      <c r="P637" s="2" t="n">
        <v>0</v>
      </c>
      <c r="Q637" s="2" t="n">
        <v>3</v>
      </c>
      <c r="R637" s="2" t="n">
        <v>3</v>
      </c>
      <c r="S637" s="2" t="n">
        <v>3</v>
      </c>
      <c r="T637" s="2" t="n">
        <v>1</v>
      </c>
      <c r="U637" s="2" t="n">
        <v>2</v>
      </c>
      <c r="V637" s="2" t="n">
        <v>1</v>
      </c>
      <c r="W637" s="2" t="n">
        <v>4</v>
      </c>
      <c r="X637" s="2" t="n">
        <v>3</v>
      </c>
      <c r="Y637" s="2" t="n">
        <v>3</v>
      </c>
      <c r="Z637" s="2" t="n">
        <v>4</v>
      </c>
    </row>
    <row r="638" customFormat="false" ht="15" hidden="false" customHeight="true" outlineLevel="0" collapsed="false">
      <c r="A638" s="2" t="n">
        <v>54</v>
      </c>
      <c r="B638" s="2" t="s">
        <v>26</v>
      </c>
      <c r="C638" s="2" t="s">
        <v>27</v>
      </c>
      <c r="D638" s="2" t="s">
        <v>35</v>
      </c>
      <c r="E638" s="2" t="n">
        <v>9</v>
      </c>
      <c r="F638" s="2" t="n">
        <v>4</v>
      </c>
      <c r="G638" s="2" t="s">
        <v>29</v>
      </c>
      <c r="H638" s="2" t="n">
        <v>637</v>
      </c>
      <c r="I638" s="2" t="s">
        <v>39</v>
      </c>
      <c r="J638" s="2" t="n">
        <v>2</v>
      </c>
      <c r="K638" s="2" t="s">
        <v>40</v>
      </c>
      <c r="L638" s="2" t="s">
        <v>32</v>
      </c>
      <c r="M638" s="2" t="n">
        <v>20930</v>
      </c>
      <c r="N638" s="2" t="n">
        <v>3</v>
      </c>
      <c r="O638" s="2" t="n">
        <v>19</v>
      </c>
      <c r="P638" s="2" t="n">
        <v>0</v>
      </c>
      <c r="Q638" s="2" t="n">
        <v>36</v>
      </c>
      <c r="R638" s="2" t="n">
        <v>2</v>
      </c>
      <c r="S638" s="2" t="n">
        <v>10</v>
      </c>
      <c r="T638" s="2" t="n">
        <v>0</v>
      </c>
      <c r="U638" s="2" t="n">
        <v>9</v>
      </c>
      <c r="V638" s="2" t="n">
        <v>4</v>
      </c>
      <c r="W638" s="2" t="n">
        <v>4</v>
      </c>
      <c r="X638" s="2" t="n">
        <v>3</v>
      </c>
      <c r="Y638" s="2" t="n">
        <v>3</v>
      </c>
      <c r="Z638" s="2" t="n">
        <v>3</v>
      </c>
    </row>
    <row r="639" customFormat="false" ht="15" hidden="false" customHeight="true" outlineLevel="0" collapsed="false">
      <c r="A639" s="2" t="n">
        <v>31</v>
      </c>
      <c r="B639" s="2" t="s">
        <v>26</v>
      </c>
      <c r="C639" s="2" t="s">
        <v>27</v>
      </c>
      <c r="D639" s="2" t="s">
        <v>35</v>
      </c>
      <c r="E639" s="2" t="n">
        <v>21</v>
      </c>
      <c r="F639" s="2" t="n">
        <v>3</v>
      </c>
      <c r="G639" s="2" t="s">
        <v>29</v>
      </c>
      <c r="H639" s="2" t="n">
        <v>638</v>
      </c>
      <c r="I639" s="2" t="s">
        <v>39</v>
      </c>
      <c r="J639" s="2" t="n">
        <v>2</v>
      </c>
      <c r="K639" s="2" t="s">
        <v>45</v>
      </c>
      <c r="L639" s="2" t="s">
        <v>32</v>
      </c>
      <c r="M639" s="2" t="n">
        <v>99800</v>
      </c>
      <c r="N639" s="2" t="n">
        <v>1</v>
      </c>
      <c r="O639" s="2" t="n">
        <v>12</v>
      </c>
      <c r="P639" s="2" t="n">
        <v>0</v>
      </c>
      <c r="Q639" s="2" t="n">
        <v>6</v>
      </c>
      <c r="R639" s="2" t="n">
        <v>1</v>
      </c>
      <c r="S639" s="2" t="n">
        <v>6</v>
      </c>
      <c r="T639" s="2" t="n">
        <v>0</v>
      </c>
      <c r="U639" s="2" t="n">
        <v>1</v>
      </c>
      <c r="V639" s="2" t="n">
        <v>3</v>
      </c>
      <c r="W639" s="2" t="n">
        <v>1</v>
      </c>
      <c r="X639" s="2" t="n">
        <v>2</v>
      </c>
      <c r="Y639" s="2" t="n">
        <v>3</v>
      </c>
      <c r="Z639" s="2" t="n">
        <v>3</v>
      </c>
    </row>
    <row r="640" customFormat="false" ht="15" hidden="false" customHeight="true" outlineLevel="0" collapsed="false">
      <c r="A640" s="2" t="n">
        <v>31</v>
      </c>
      <c r="B640" s="2" t="s">
        <v>26</v>
      </c>
      <c r="C640" s="2" t="s">
        <v>27</v>
      </c>
      <c r="D640" s="2" t="s">
        <v>28</v>
      </c>
      <c r="E640" s="2" t="n">
        <v>24</v>
      </c>
      <c r="F640" s="2" t="n">
        <v>1</v>
      </c>
      <c r="G640" s="2" t="s">
        <v>50</v>
      </c>
      <c r="H640" s="2" t="n">
        <v>639</v>
      </c>
      <c r="I640" s="2" t="s">
        <v>30</v>
      </c>
      <c r="J640" s="2" t="n">
        <v>1</v>
      </c>
      <c r="K640" s="2" t="s">
        <v>40</v>
      </c>
      <c r="L640" s="2" t="s">
        <v>37</v>
      </c>
      <c r="M640" s="2" t="n">
        <v>38940</v>
      </c>
      <c r="N640" s="2" t="n">
        <v>1</v>
      </c>
      <c r="O640" s="2" t="n">
        <v>12</v>
      </c>
      <c r="P640" s="2" t="n">
        <v>0</v>
      </c>
      <c r="Q640" s="2" t="n">
        <v>10</v>
      </c>
      <c r="R640" s="2" t="n">
        <v>3</v>
      </c>
      <c r="S640" s="2" t="n">
        <v>10</v>
      </c>
      <c r="T640" s="2" t="n">
        <v>1</v>
      </c>
      <c r="U640" s="2" t="n">
        <v>8</v>
      </c>
      <c r="V640" s="2" t="n">
        <v>3</v>
      </c>
      <c r="W640" s="2" t="n">
        <v>1</v>
      </c>
      <c r="X640" s="2" t="n">
        <v>3</v>
      </c>
      <c r="Y640" s="2" t="n">
        <v>4</v>
      </c>
      <c r="Z640" s="2" t="n">
        <v>3</v>
      </c>
    </row>
    <row r="641" customFormat="false" ht="15" hidden="false" customHeight="true" outlineLevel="0" collapsed="false">
      <c r="A641" s="2" t="n">
        <v>59</v>
      </c>
      <c r="B641" s="2" t="s">
        <v>26</v>
      </c>
      <c r="C641" s="2" t="s">
        <v>27</v>
      </c>
      <c r="D641" s="2" t="s">
        <v>35</v>
      </c>
      <c r="E641" s="2" t="n">
        <v>3</v>
      </c>
      <c r="F641" s="2" t="n">
        <v>4</v>
      </c>
      <c r="G641" s="2" t="s">
        <v>51</v>
      </c>
      <c r="H641" s="2" t="n">
        <v>640</v>
      </c>
      <c r="I641" s="2" t="s">
        <v>39</v>
      </c>
      <c r="J641" s="2" t="n">
        <v>1</v>
      </c>
      <c r="K641" s="2" t="s">
        <v>36</v>
      </c>
      <c r="L641" s="2" t="s">
        <v>37</v>
      </c>
      <c r="M641" s="2" t="n">
        <v>40510</v>
      </c>
      <c r="N641" s="2" t="n">
        <v>5</v>
      </c>
      <c r="O641" s="2" t="n">
        <v>16</v>
      </c>
      <c r="P641" s="2" t="n">
        <v>3</v>
      </c>
      <c r="Q641" s="2" t="n">
        <v>13</v>
      </c>
      <c r="R641" s="2" t="n">
        <v>3</v>
      </c>
      <c r="S641" s="2" t="n">
        <v>6</v>
      </c>
      <c r="T641" s="2" t="n">
        <v>0</v>
      </c>
      <c r="U641" s="2" t="n">
        <v>5</v>
      </c>
      <c r="V641" s="2" t="n">
        <v>3</v>
      </c>
      <c r="W641" s="2" t="n">
        <v>4</v>
      </c>
      <c r="X641" s="2" t="n">
        <v>3</v>
      </c>
      <c r="Y641" s="2" t="n">
        <v>3</v>
      </c>
      <c r="Z641" s="2" t="n">
        <v>3</v>
      </c>
    </row>
    <row r="642" customFormat="false" ht="15" hidden="false" customHeight="true" outlineLevel="0" collapsed="false">
      <c r="A642" s="2" t="n">
        <v>43</v>
      </c>
      <c r="B642" s="2" t="s">
        <v>26</v>
      </c>
      <c r="C642" s="2" t="s">
        <v>27</v>
      </c>
      <c r="D642" s="2" t="s">
        <v>35</v>
      </c>
      <c r="E642" s="2" t="n">
        <v>11</v>
      </c>
      <c r="F642" s="2" t="n">
        <v>2</v>
      </c>
      <c r="G642" s="2" t="s">
        <v>29</v>
      </c>
      <c r="H642" s="2" t="n">
        <v>641</v>
      </c>
      <c r="I642" s="2" t="s">
        <v>39</v>
      </c>
      <c r="J642" s="2" t="n">
        <v>3</v>
      </c>
      <c r="K642" s="2" t="s">
        <v>45</v>
      </c>
      <c r="L642" s="2" t="s">
        <v>32</v>
      </c>
      <c r="M642" s="2" t="n">
        <v>168350</v>
      </c>
      <c r="N642" s="2" t="n">
        <v>3</v>
      </c>
      <c r="O642" s="2" t="n">
        <v>17</v>
      </c>
      <c r="P642" s="2" t="n">
        <v>1</v>
      </c>
      <c r="Q642" s="2" t="n">
        <v>25</v>
      </c>
      <c r="R642" s="2" t="n">
        <v>3</v>
      </c>
      <c r="S642" s="2" t="n">
        <v>8</v>
      </c>
      <c r="T642" s="2" t="n">
        <v>0</v>
      </c>
      <c r="U642" s="2" t="n">
        <v>7</v>
      </c>
      <c r="V642" s="2" t="n">
        <v>3</v>
      </c>
      <c r="W642" s="2" t="n">
        <v>4</v>
      </c>
      <c r="X642" s="2" t="n">
        <v>3</v>
      </c>
      <c r="Y642" s="2" t="n">
        <v>3</v>
      </c>
      <c r="Z642" s="2" t="n">
        <v>3</v>
      </c>
    </row>
    <row r="643" customFormat="false" ht="15" hidden="false" customHeight="true" outlineLevel="0" collapsed="false">
      <c r="A643" s="2" t="n">
        <v>49</v>
      </c>
      <c r="B643" s="2" t="s">
        <v>26</v>
      </c>
      <c r="C643" s="2" t="s">
        <v>27</v>
      </c>
      <c r="D643" s="2" t="s">
        <v>28</v>
      </c>
      <c r="E643" s="2" t="n">
        <v>14</v>
      </c>
      <c r="F643" s="2" t="n">
        <v>4</v>
      </c>
      <c r="G643" s="2" t="s">
        <v>29</v>
      </c>
      <c r="H643" s="2" t="n">
        <v>642</v>
      </c>
      <c r="I643" s="2" t="s">
        <v>39</v>
      </c>
      <c r="J643" s="2" t="n">
        <v>2</v>
      </c>
      <c r="K643" s="2" t="s">
        <v>36</v>
      </c>
      <c r="L643" s="2" t="s">
        <v>32</v>
      </c>
      <c r="M643" s="2" t="n">
        <v>62300</v>
      </c>
      <c r="N643" s="2" t="n">
        <v>2</v>
      </c>
      <c r="O643" s="2" t="n">
        <v>14</v>
      </c>
      <c r="P643" s="2" t="n">
        <v>0</v>
      </c>
      <c r="Q643" s="2" t="n">
        <v>23</v>
      </c>
      <c r="R643" s="2" t="n">
        <v>2</v>
      </c>
      <c r="S643" s="2" t="n">
        <v>1</v>
      </c>
      <c r="T643" s="2" t="n">
        <v>0</v>
      </c>
      <c r="U643" s="2" t="n">
        <v>0</v>
      </c>
      <c r="V643" s="2" t="n">
        <v>1</v>
      </c>
      <c r="W643" s="2" t="n">
        <v>3</v>
      </c>
      <c r="X643" s="2" t="n">
        <v>4</v>
      </c>
      <c r="Y643" s="2" t="n">
        <v>2</v>
      </c>
      <c r="Z643" s="2" t="n">
        <v>3</v>
      </c>
    </row>
    <row r="644" customFormat="false" ht="15" hidden="false" customHeight="true" outlineLevel="0" collapsed="false">
      <c r="A644" s="2" t="n">
        <v>36</v>
      </c>
      <c r="B644" s="2" t="s">
        <v>26</v>
      </c>
      <c r="C644" s="2" t="s">
        <v>34</v>
      </c>
      <c r="D644" s="2" t="s">
        <v>28</v>
      </c>
      <c r="E644" s="2" t="n">
        <v>5</v>
      </c>
      <c r="F644" s="2" t="n">
        <v>2</v>
      </c>
      <c r="G644" s="2" t="s">
        <v>50</v>
      </c>
      <c r="H644" s="2" t="n">
        <v>643</v>
      </c>
      <c r="I644" s="2" t="s">
        <v>30</v>
      </c>
      <c r="J644" s="2" t="n">
        <v>1</v>
      </c>
      <c r="K644" s="2" t="s">
        <v>45</v>
      </c>
      <c r="L644" s="2" t="s">
        <v>32</v>
      </c>
      <c r="M644" s="2" t="n">
        <v>47170</v>
      </c>
      <c r="N644" s="2" t="n">
        <v>1</v>
      </c>
      <c r="O644" s="2" t="n">
        <v>19</v>
      </c>
      <c r="P644" s="2" t="n">
        <v>1</v>
      </c>
      <c r="Q644" s="2" t="n">
        <v>12</v>
      </c>
      <c r="R644" s="2" t="n">
        <v>3</v>
      </c>
      <c r="S644" s="2" t="n">
        <v>11</v>
      </c>
      <c r="T644" s="2" t="n">
        <v>0</v>
      </c>
      <c r="U644" s="2" t="n">
        <v>7</v>
      </c>
      <c r="V644" s="2" t="n">
        <v>3</v>
      </c>
      <c r="W644" s="2" t="n">
        <v>2</v>
      </c>
      <c r="X644" s="2" t="n">
        <v>2</v>
      </c>
      <c r="Y644" s="2" t="n">
        <v>3</v>
      </c>
      <c r="Z644" s="2" t="n">
        <v>3</v>
      </c>
    </row>
    <row r="645" customFormat="false" ht="15" hidden="false" customHeight="true" outlineLevel="0" collapsed="false">
      <c r="A645" s="2" t="n">
        <v>48</v>
      </c>
      <c r="B645" s="2" t="s">
        <v>26</v>
      </c>
      <c r="C645" s="2" t="s">
        <v>27</v>
      </c>
      <c r="D645" s="2" t="s">
        <v>35</v>
      </c>
      <c r="E645" s="2" t="n">
        <v>1</v>
      </c>
      <c r="F645" s="2" t="n">
        <v>4</v>
      </c>
      <c r="G645" s="2" t="s">
        <v>29</v>
      </c>
      <c r="H645" s="2" t="n">
        <v>644</v>
      </c>
      <c r="I645" s="2" t="s">
        <v>30</v>
      </c>
      <c r="J645" s="2" t="n">
        <v>2</v>
      </c>
      <c r="K645" s="2" t="s">
        <v>45</v>
      </c>
      <c r="L645" s="2" t="s">
        <v>37</v>
      </c>
      <c r="M645" s="2" t="n">
        <v>132370</v>
      </c>
      <c r="N645" s="2" t="n">
        <v>5</v>
      </c>
      <c r="O645" s="2" t="n">
        <v>13</v>
      </c>
      <c r="P645" s="2" t="n">
        <v>1</v>
      </c>
      <c r="Q645" s="2" t="n">
        <v>7</v>
      </c>
      <c r="R645" s="2" t="n">
        <v>2</v>
      </c>
      <c r="S645" s="2" t="n">
        <v>1</v>
      </c>
      <c r="T645" s="2" t="n">
        <v>0</v>
      </c>
      <c r="U645" s="2" t="n">
        <v>0</v>
      </c>
      <c r="V645" s="2" t="n">
        <v>4</v>
      </c>
      <c r="W645" s="2" t="n">
        <v>2</v>
      </c>
      <c r="X645" s="2" t="n">
        <v>2</v>
      </c>
      <c r="Y645" s="2" t="n">
        <v>4</v>
      </c>
      <c r="Z645" s="2" t="n">
        <v>3</v>
      </c>
    </row>
    <row r="646" customFormat="false" ht="15" hidden="false" customHeight="true" outlineLevel="0" collapsed="false">
      <c r="A646" s="2" t="n">
        <v>27</v>
      </c>
      <c r="B646" s="2" t="s">
        <v>26</v>
      </c>
      <c r="C646" s="2" t="s">
        <v>27</v>
      </c>
      <c r="D646" s="2" t="s">
        <v>35</v>
      </c>
      <c r="E646" s="2" t="n">
        <v>6</v>
      </c>
      <c r="F646" s="2" t="n">
        <v>4</v>
      </c>
      <c r="G646" s="2" t="s">
        <v>29</v>
      </c>
      <c r="H646" s="2" t="n">
        <v>645</v>
      </c>
      <c r="I646" s="2" t="s">
        <v>39</v>
      </c>
      <c r="J646" s="2" t="n">
        <v>2</v>
      </c>
      <c r="K646" s="2" t="s">
        <v>45</v>
      </c>
      <c r="L646" s="2" t="s">
        <v>46</v>
      </c>
      <c r="M646" s="2" t="n">
        <v>37550</v>
      </c>
      <c r="N646" s="2" t="n">
        <v>1</v>
      </c>
      <c r="O646" s="2" t="n">
        <v>19</v>
      </c>
      <c r="P646" s="2" t="n">
        <v>0</v>
      </c>
      <c r="Q646" s="2" t="n">
        <v>5</v>
      </c>
      <c r="R646" s="2" t="n">
        <v>2</v>
      </c>
      <c r="S646" s="2" t="n">
        <v>5</v>
      </c>
      <c r="T646" s="2" t="n">
        <v>0</v>
      </c>
      <c r="U646" s="2" t="n">
        <v>3</v>
      </c>
      <c r="V646" s="2" t="n">
        <v>1</v>
      </c>
      <c r="W646" s="2" t="n">
        <v>3</v>
      </c>
      <c r="X646" s="2" t="n">
        <v>3</v>
      </c>
      <c r="Y646" s="2" t="n">
        <v>3</v>
      </c>
      <c r="Z646" s="2" t="n">
        <v>3</v>
      </c>
    </row>
    <row r="647" customFormat="false" ht="15" hidden="false" customHeight="true" outlineLevel="0" collapsed="false">
      <c r="A647" s="2" t="n">
        <v>29</v>
      </c>
      <c r="B647" s="2" t="s">
        <v>26</v>
      </c>
      <c r="C647" s="2" t="s">
        <v>27</v>
      </c>
      <c r="D647" s="2" t="s">
        <v>28</v>
      </c>
      <c r="E647" s="2" t="n">
        <v>17</v>
      </c>
      <c r="F647" s="2" t="n">
        <v>4</v>
      </c>
      <c r="G647" s="2" t="s">
        <v>43</v>
      </c>
      <c r="H647" s="2" t="n">
        <v>646</v>
      </c>
      <c r="I647" s="2" t="s">
        <v>39</v>
      </c>
      <c r="J647" s="2" t="n">
        <v>1</v>
      </c>
      <c r="K647" s="2" t="s">
        <v>45</v>
      </c>
      <c r="L647" s="2" t="s">
        <v>46</v>
      </c>
      <c r="M647" s="2" t="n">
        <v>65820</v>
      </c>
      <c r="N647" s="2" t="n">
        <v>1</v>
      </c>
      <c r="O647" s="2" t="n">
        <v>19</v>
      </c>
      <c r="P647" s="2" t="n">
        <v>1</v>
      </c>
      <c r="Q647" s="2" t="n">
        <v>6</v>
      </c>
      <c r="R647" s="2" t="n">
        <v>3</v>
      </c>
      <c r="S647" s="2" t="n">
        <v>6</v>
      </c>
      <c r="T647" s="2" t="n">
        <v>1</v>
      </c>
      <c r="U647" s="2" t="n">
        <v>0</v>
      </c>
      <c r="V647" s="2" t="n">
        <v>3</v>
      </c>
      <c r="W647" s="2" t="n">
        <v>4</v>
      </c>
      <c r="X647" s="2" t="n">
        <v>3</v>
      </c>
      <c r="Y647" s="2" t="n">
        <v>3</v>
      </c>
      <c r="Z647" s="2" t="n">
        <v>3</v>
      </c>
    </row>
    <row r="648" customFormat="false" ht="15" hidden="false" customHeight="true" outlineLevel="0" collapsed="false">
      <c r="A648" s="2" t="n">
        <v>48</v>
      </c>
      <c r="B648" s="2" t="s">
        <v>26</v>
      </c>
      <c r="C648" s="2" t="s">
        <v>27</v>
      </c>
      <c r="D648" s="2" t="s">
        <v>28</v>
      </c>
      <c r="E648" s="2" t="n">
        <v>1</v>
      </c>
      <c r="F648" s="2" t="n">
        <v>1</v>
      </c>
      <c r="G648" s="2" t="s">
        <v>50</v>
      </c>
      <c r="H648" s="2" t="n">
        <v>647</v>
      </c>
      <c r="I648" s="2" t="s">
        <v>39</v>
      </c>
      <c r="J648" s="2" t="n">
        <v>2</v>
      </c>
      <c r="K648" s="2" t="s">
        <v>47</v>
      </c>
      <c r="L648" s="2" t="s">
        <v>37</v>
      </c>
      <c r="M648" s="2" t="n">
        <v>74060</v>
      </c>
      <c r="N648" s="2" t="n">
        <v>6</v>
      </c>
      <c r="O648" s="2" t="n">
        <v>14</v>
      </c>
      <c r="P648" s="2" t="n">
        <v>2</v>
      </c>
      <c r="Q648" s="2" t="n">
        <v>25</v>
      </c>
      <c r="R648" s="2" t="n">
        <v>2</v>
      </c>
      <c r="S648" s="2" t="n">
        <v>1</v>
      </c>
      <c r="T648" s="2" t="n">
        <v>0</v>
      </c>
      <c r="U648" s="2" t="n">
        <v>0</v>
      </c>
      <c r="V648" s="2" t="n">
        <v>4</v>
      </c>
      <c r="W648" s="2" t="n">
        <v>4</v>
      </c>
      <c r="X648" s="2" t="n">
        <v>4</v>
      </c>
      <c r="Y648" s="2" t="n">
        <v>3</v>
      </c>
      <c r="Z648" s="2" t="n">
        <v>3</v>
      </c>
    </row>
    <row r="649" customFormat="false" ht="15" hidden="false" customHeight="true" outlineLevel="0" collapsed="false">
      <c r="A649" s="2" t="n">
        <v>29</v>
      </c>
      <c r="B649" s="2" t="s">
        <v>26</v>
      </c>
      <c r="C649" s="2" t="s">
        <v>27</v>
      </c>
      <c r="D649" s="2" t="s">
        <v>35</v>
      </c>
      <c r="E649" s="2" t="n">
        <v>3</v>
      </c>
      <c r="F649" s="2" t="n">
        <v>3</v>
      </c>
      <c r="G649" s="2" t="s">
        <v>51</v>
      </c>
      <c r="H649" s="2" t="n">
        <v>648</v>
      </c>
      <c r="I649" s="2" t="s">
        <v>30</v>
      </c>
      <c r="J649" s="2" t="n">
        <v>2</v>
      </c>
      <c r="K649" s="2" t="s">
        <v>31</v>
      </c>
      <c r="L649" s="2" t="s">
        <v>46</v>
      </c>
      <c r="M649" s="2" t="n">
        <v>48050</v>
      </c>
      <c r="N649" s="2"/>
      <c r="O649" s="2" t="n">
        <v>16</v>
      </c>
      <c r="P649" s="2" t="n">
        <v>1</v>
      </c>
      <c r="Q649" s="2" t="n">
        <v>9</v>
      </c>
      <c r="R649" s="2" t="n">
        <v>2</v>
      </c>
      <c r="S649" s="2" t="n">
        <v>7</v>
      </c>
      <c r="T649" s="2" t="n">
        <v>1</v>
      </c>
      <c r="U649" s="2" t="n">
        <v>7</v>
      </c>
      <c r="V649" s="2" t="n">
        <v>4</v>
      </c>
      <c r="W649" s="2" t="n">
        <v>4</v>
      </c>
      <c r="X649" s="2" t="n">
        <v>2</v>
      </c>
      <c r="Y649" s="2" t="n">
        <v>3</v>
      </c>
      <c r="Z649" s="2" t="n">
        <v>3</v>
      </c>
    </row>
    <row r="650" customFormat="false" ht="15" hidden="false" customHeight="true" outlineLevel="0" collapsed="false">
      <c r="A650" s="2" t="n">
        <v>34</v>
      </c>
      <c r="B650" s="2" t="s">
        <v>26</v>
      </c>
      <c r="C650" s="2" t="s">
        <v>27</v>
      </c>
      <c r="D650" s="2" t="s">
        <v>28</v>
      </c>
      <c r="E650" s="2" t="n">
        <v>9</v>
      </c>
      <c r="F650" s="2" t="n">
        <v>4</v>
      </c>
      <c r="G650" s="2" t="s">
        <v>43</v>
      </c>
      <c r="H650" s="2" t="n">
        <v>649</v>
      </c>
      <c r="I650" s="2" t="s">
        <v>30</v>
      </c>
      <c r="J650" s="2" t="n">
        <v>2</v>
      </c>
      <c r="K650" s="2" t="s">
        <v>45</v>
      </c>
      <c r="L650" s="2" t="s">
        <v>32</v>
      </c>
      <c r="M650" s="2" t="n">
        <v>27410</v>
      </c>
      <c r="N650" s="2" t="n">
        <v>0</v>
      </c>
      <c r="O650" s="2" t="n">
        <v>15</v>
      </c>
      <c r="P650" s="2" t="n">
        <v>1</v>
      </c>
      <c r="Q650" s="2" t="n">
        <v>2</v>
      </c>
      <c r="R650" s="2" t="n">
        <v>3</v>
      </c>
      <c r="S650" s="2" t="n">
        <v>1</v>
      </c>
      <c r="T650" s="2" t="n">
        <v>0</v>
      </c>
      <c r="U650" s="2" t="n">
        <v>0</v>
      </c>
      <c r="V650" s="2" t="n">
        <v>3</v>
      </c>
      <c r="W650" s="2" t="n">
        <v>3</v>
      </c>
      <c r="X650" s="2" t="n">
        <v>2</v>
      </c>
      <c r="Y650" s="2" t="n">
        <v>3</v>
      </c>
      <c r="Z650" s="2" t="n">
        <v>3</v>
      </c>
    </row>
    <row r="651" customFormat="false" ht="15" hidden="false" customHeight="true" outlineLevel="0" collapsed="false">
      <c r="A651" s="2" t="n">
        <v>44</v>
      </c>
      <c r="B651" s="2" t="s">
        <v>26</v>
      </c>
      <c r="C651" s="2" t="s">
        <v>27</v>
      </c>
      <c r="D651" s="2" t="s">
        <v>35</v>
      </c>
      <c r="E651" s="2" t="n">
        <v>4</v>
      </c>
      <c r="F651" s="2" t="n">
        <v>3</v>
      </c>
      <c r="G651" s="2" t="s">
        <v>29</v>
      </c>
      <c r="H651" s="2" t="n">
        <v>650</v>
      </c>
      <c r="I651" s="2" t="s">
        <v>30</v>
      </c>
      <c r="J651" s="2" t="n">
        <v>1</v>
      </c>
      <c r="K651" s="2" t="s">
        <v>45</v>
      </c>
      <c r="L651" s="2" t="s">
        <v>32</v>
      </c>
      <c r="M651" s="2" t="n">
        <v>42620</v>
      </c>
      <c r="N651" s="2" t="n">
        <v>7</v>
      </c>
      <c r="O651" s="2" t="n">
        <v>18</v>
      </c>
      <c r="P651" s="2" t="n">
        <v>0</v>
      </c>
      <c r="Q651" s="2" t="n">
        <v>26</v>
      </c>
      <c r="R651" s="2" t="n">
        <v>2</v>
      </c>
      <c r="S651" s="2" t="n">
        <v>22</v>
      </c>
      <c r="T651" s="2" t="n">
        <v>3</v>
      </c>
      <c r="U651" s="2" t="n">
        <v>10</v>
      </c>
      <c r="V651" s="2" t="n">
        <v>2</v>
      </c>
      <c r="W651" s="2" t="n">
        <v>2</v>
      </c>
      <c r="X651" s="2" t="n">
        <v>3</v>
      </c>
      <c r="Y651" s="2" t="n">
        <v>3</v>
      </c>
      <c r="Z651" s="2" t="n">
        <v>3</v>
      </c>
    </row>
    <row r="652" customFormat="false" ht="15" hidden="false" customHeight="true" outlineLevel="0" collapsed="false">
      <c r="A652" s="2" t="n">
        <v>33</v>
      </c>
      <c r="B652" s="2" t="s">
        <v>26</v>
      </c>
      <c r="C652" s="2" t="s">
        <v>27</v>
      </c>
      <c r="D652" s="2" t="s">
        <v>35</v>
      </c>
      <c r="E652" s="2" t="n">
        <v>8</v>
      </c>
      <c r="F652" s="2" t="n">
        <v>2</v>
      </c>
      <c r="G652" s="2" t="s">
        <v>29</v>
      </c>
      <c r="H652" s="2" t="n">
        <v>651</v>
      </c>
      <c r="I652" s="2" t="s">
        <v>30</v>
      </c>
      <c r="J652" s="2" t="n">
        <v>2</v>
      </c>
      <c r="K652" s="2" t="s">
        <v>36</v>
      </c>
      <c r="L652" s="2" t="s">
        <v>46</v>
      </c>
      <c r="M652" s="2" t="n">
        <v>161840</v>
      </c>
      <c r="N652" s="2" t="n">
        <v>0</v>
      </c>
      <c r="O652" s="2" t="n">
        <v>13</v>
      </c>
      <c r="P652" s="2" t="n">
        <v>1</v>
      </c>
      <c r="Q652" s="2" t="n">
        <v>10</v>
      </c>
      <c r="R652" s="2" t="n">
        <v>2</v>
      </c>
      <c r="S652" s="2" t="n">
        <v>9</v>
      </c>
      <c r="T652" s="2" t="n">
        <v>0</v>
      </c>
      <c r="U652" s="2" t="n">
        <v>8</v>
      </c>
      <c r="V652" s="2" t="n">
        <v>4</v>
      </c>
      <c r="W652" s="2" t="n">
        <v>3</v>
      </c>
      <c r="X652" s="2" t="n">
        <v>3</v>
      </c>
      <c r="Y652" s="2" t="n">
        <v>4</v>
      </c>
      <c r="Z652" s="2" t="n">
        <v>3</v>
      </c>
    </row>
    <row r="653" customFormat="false" ht="15" hidden="false" customHeight="true" outlineLevel="0" collapsed="false">
      <c r="A653" s="2" t="n">
        <v>19</v>
      </c>
      <c r="B653" s="2" t="s">
        <v>26</v>
      </c>
      <c r="C653" s="2" t="s">
        <v>27</v>
      </c>
      <c r="D653" s="2" t="s">
        <v>28</v>
      </c>
      <c r="E653" s="2" t="n">
        <v>2</v>
      </c>
      <c r="F653" s="2" t="n">
        <v>4</v>
      </c>
      <c r="G653" s="2" t="s">
        <v>50</v>
      </c>
      <c r="H653" s="2" t="n">
        <v>652</v>
      </c>
      <c r="I653" s="2" t="s">
        <v>39</v>
      </c>
      <c r="J653" s="2" t="n">
        <v>3</v>
      </c>
      <c r="K653" s="2" t="s">
        <v>45</v>
      </c>
      <c r="L653" s="2" t="s">
        <v>37</v>
      </c>
      <c r="M653" s="2" t="n">
        <v>115570</v>
      </c>
      <c r="N653" s="2" t="n">
        <v>1</v>
      </c>
      <c r="O653" s="2" t="n">
        <v>22</v>
      </c>
      <c r="P653" s="2" t="n">
        <v>0</v>
      </c>
      <c r="Q653" s="2" t="n">
        <v>1</v>
      </c>
      <c r="R653" s="2" t="n">
        <v>0</v>
      </c>
      <c r="S653" s="2" t="n">
        <v>1</v>
      </c>
      <c r="T653" s="2" t="n">
        <v>0</v>
      </c>
      <c r="U653" s="2" t="n">
        <v>1</v>
      </c>
      <c r="V653" s="2" t="n">
        <v>2</v>
      </c>
      <c r="W653" s="2" t="n">
        <v>4</v>
      </c>
      <c r="X653" s="2" t="n">
        <v>3</v>
      </c>
      <c r="Y653" s="2" t="n">
        <v>3</v>
      </c>
      <c r="Z653" s="2" t="n">
        <v>4</v>
      </c>
    </row>
    <row r="654" customFormat="false" ht="15" hidden="false" customHeight="true" outlineLevel="0" collapsed="false">
      <c r="A654" s="2" t="n">
        <v>23</v>
      </c>
      <c r="B654" s="2" t="s">
        <v>26</v>
      </c>
      <c r="C654" s="2" t="s">
        <v>27</v>
      </c>
      <c r="D654" s="2" t="s">
        <v>28</v>
      </c>
      <c r="E654" s="2" t="n">
        <v>2</v>
      </c>
      <c r="F654" s="2" t="n">
        <v>3</v>
      </c>
      <c r="G654" s="2" t="s">
        <v>43</v>
      </c>
      <c r="H654" s="2" t="n">
        <v>653</v>
      </c>
      <c r="I654" s="2" t="s">
        <v>39</v>
      </c>
      <c r="J654" s="2" t="n">
        <v>3</v>
      </c>
      <c r="K654" s="2" t="s">
        <v>45</v>
      </c>
      <c r="L654" s="2" t="s">
        <v>32</v>
      </c>
      <c r="M654" s="2" t="n">
        <v>18780</v>
      </c>
      <c r="N654" s="2" t="n">
        <v>1</v>
      </c>
      <c r="O654" s="2" t="n">
        <v>13</v>
      </c>
      <c r="P654" s="2" t="n">
        <v>1</v>
      </c>
      <c r="Q654" s="2" t="n">
        <v>1</v>
      </c>
      <c r="R654" s="2" t="n">
        <v>2</v>
      </c>
      <c r="S654" s="2" t="n">
        <v>1</v>
      </c>
      <c r="T654" s="2" t="n">
        <v>0</v>
      </c>
      <c r="U654" s="2" t="n">
        <v>1</v>
      </c>
      <c r="V654" s="2" t="n">
        <v>4</v>
      </c>
      <c r="W654" s="2" t="n">
        <v>3</v>
      </c>
      <c r="X654" s="2" t="n">
        <v>3</v>
      </c>
      <c r="Y654" s="2" t="n">
        <v>3</v>
      </c>
      <c r="Z654" s="2" t="n">
        <v>3</v>
      </c>
    </row>
    <row r="655" customFormat="false" ht="15" hidden="false" customHeight="true" outlineLevel="0" collapsed="false">
      <c r="A655" s="2" t="n">
        <v>25</v>
      </c>
      <c r="B655" s="2" t="s">
        <v>33</v>
      </c>
      <c r="C655" s="2" t="s">
        <v>34</v>
      </c>
      <c r="D655" s="2" t="s">
        <v>35</v>
      </c>
      <c r="E655" s="2" t="n">
        <v>1</v>
      </c>
      <c r="F655" s="2" t="n">
        <v>1</v>
      </c>
      <c r="G655" s="2" t="s">
        <v>29</v>
      </c>
      <c r="H655" s="2" t="n">
        <v>654</v>
      </c>
      <c r="I655" s="2" t="s">
        <v>39</v>
      </c>
      <c r="J655" s="2" t="n">
        <v>1</v>
      </c>
      <c r="K655" s="2" t="s">
        <v>47</v>
      </c>
      <c r="L655" s="2" t="s">
        <v>37</v>
      </c>
      <c r="M655" s="2" t="n">
        <v>109320</v>
      </c>
      <c r="N655" s="2" t="n">
        <v>1</v>
      </c>
      <c r="O655" s="2" t="n">
        <v>11</v>
      </c>
      <c r="P655" s="2" t="n">
        <v>1</v>
      </c>
      <c r="Q655" s="2" t="n">
        <v>1</v>
      </c>
      <c r="R655" s="2" t="n">
        <v>3</v>
      </c>
      <c r="S655" s="2" t="n">
        <v>1</v>
      </c>
      <c r="T655" s="2" t="n">
        <v>1</v>
      </c>
      <c r="U655" s="2" t="n">
        <v>0</v>
      </c>
      <c r="V655" s="2" t="n">
        <v>3</v>
      </c>
      <c r="W655" s="2" t="n">
        <v>4</v>
      </c>
      <c r="X655" s="2" t="n">
        <v>3</v>
      </c>
      <c r="Y655" s="2" t="n">
        <v>3</v>
      </c>
      <c r="Z655" s="2" t="n">
        <v>3</v>
      </c>
    </row>
    <row r="656" customFormat="false" ht="15" hidden="false" customHeight="true" outlineLevel="0" collapsed="false">
      <c r="A656" s="2" t="n">
        <v>26</v>
      </c>
      <c r="B656" s="2" t="s">
        <v>26</v>
      </c>
      <c r="C656" s="2" t="s">
        <v>27</v>
      </c>
      <c r="D656" s="2" t="s">
        <v>42</v>
      </c>
      <c r="E656" s="2" t="n">
        <v>9</v>
      </c>
      <c r="F656" s="2" t="n">
        <v>3</v>
      </c>
      <c r="G656" s="2" t="s">
        <v>29</v>
      </c>
      <c r="H656" s="2" t="n">
        <v>655</v>
      </c>
      <c r="I656" s="2" t="s">
        <v>39</v>
      </c>
      <c r="J656" s="2" t="n">
        <v>2</v>
      </c>
      <c r="K656" s="2" t="s">
        <v>36</v>
      </c>
      <c r="L656" s="2" t="s">
        <v>37</v>
      </c>
      <c r="M656" s="2" t="n">
        <v>68110</v>
      </c>
      <c r="N656" s="2" t="n">
        <v>1</v>
      </c>
      <c r="O656" s="2" t="n">
        <v>11</v>
      </c>
      <c r="P656" s="2" t="n">
        <v>1</v>
      </c>
      <c r="Q656" s="2" t="n">
        <v>8</v>
      </c>
      <c r="R656" s="2" t="n">
        <v>4</v>
      </c>
      <c r="S656" s="2" t="n">
        <v>8</v>
      </c>
      <c r="T656" s="2" t="n">
        <v>2</v>
      </c>
      <c r="U656" s="2" t="n">
        <v>2</v>
      </c>
      <c r="V656" s="2" t="n">
        <v>3</v>
      </c>
      <c r="W656" s="2" t="n">
        <v>4</v>
      </c>
      <c r="X656" s="2" t="n">
        <v>2</v>
      </c>
      <c r="Y656" s="2" t="n">
        <v>3</v>
      </c>
      <c r="Z656" s="2" t="n">
        <v>3</v>
      </c>
    </row>
    <row r="657" customFormat="false" ht="15" hidden="false" customHeight="true" outlineLevel="0" collapsed="false">
      <c r="A657" s="2" t="n">
        <v>45</v>
      </c>
      <c r="B657" s="2" t="s">
        <v>33</v>
      </c>
      <c r="C657" s="2" t="s">
        <v>27</v>
      </c>
      <c r="D657" s="2" t="s">
        <v>42</v>
      </c>
      <c r="E657" s="2" t="n">
        <v>12</v>
      </c>
      <c r="F657" s="2" t="n">
        <v>3</v>
      </c>
      <c r="G657" s="2" t="s">
        <v>42</v>
      </c>
      <c r="H657" s="2" t="n">
        <v>656</v>
      </c>
      <c r="I657" s="2" t="s">
        <v>39</v>
      </c>
      <c r="J657" s="2" t="n">
        <v>2</v>
      </c>
      <c r="K657" s="2" t="s">
        <v>45</v>
      </c>
      <c r="L657" s="2" t="s">
        <v>37</v>
      </c>
      <c r="M657" s="2" t="n">
        <v>43060</v>
      </c>
      <c r="N657" s="2" t="n">
        <v>2</v>
      </c>
      <c r="O657" s="2" t="n">
        <v>11</v>
      </c>
      <c r="P657" s="2" t="n">
        <v>2</v>
      </c>
      <c r="Q657" s="2" t="n">
        <v>26</v>
      </c>
      <c r="R657" s="2" t="n">
        <v>3</v>
      </c>
      <c r="S657" s="2" t="n">
        <v>24</v>
      </c>
      <c r="T657" s="2" t="n">
        <v>1</v>
      </c>
      <c r="U657" s="2" t="n">
        <v>11</v>
      </c>
      <c r="V657" s="2" t="n">
        <v>1</v>
      </c>
      <c r="W657" s="2" t="n">
        <v>2</v>
      </c>
      <c r="X657" s="2" t="n">
        <v>3</v>
      </c>
      <c r="Y657" s="2" t="n">
        <v>3</v>
      </c>
      <c r="Z657" s="2" t="n">
        <v>3</v>
      </c>
    </row>
    <row r="658" customFormat="false" ht="15" hidden="false" customHeight="true" outlineLevel="0" collapsed="false">
      <c r="A658" s="2" t="n">
        <v>55</v>
      </c>
      <c r="B658" s="2" t="s">
        <v>26</v>
      </c>
      <c r="C658" s="2" t="s">
        <v>41</v>
      </c>
      <c r="D658" s="2" t="s">
        <v>35</v>
      </c>
      <c r="E658" s="2" t="n">
        <v>27</v>
      </c>
      <c r="F658" s="2" t="n">
        <v>3</v>
      </c>
      <c r="G658" s="2" t="s">
        <v>29</v>
      </c>
      <c r="H658" s="2" t="n">
        <v>657</v>
      </c>
      <c r="I658" s="2" t="s">
        <v>30</v>
      </c>
      <c r="J658" s="2" t="n">
        <v>2</v>
      </c>
      <c r="K658" s="2" t="s">
        <v>49</v>
      </c>
      <c r="L658" s="2" t="s">
        <v>46</v>
      </c>
      <c r="M658" s="2" t="n">
        <v>48590</v>
      </c>
      <c r="N658" s="2" t="n">
        <v>1</v>
      </c>
      <c r="O658" s="2" t="n">
        <v>24</v>
      </c>
      <c r="P658" s="2" t="n">
        <v>1</v>
      </c>
      <c r="Q658" s="2" t="n">
        <v>34</v>
      </c>
      <c r="R658" s="2" t="n">
        <v>3</v>
      </c>
      <c r="S658" s="2" t="n">
        <v>33</v>
      </c>
      <c r="T658" s="2" t="n">
        <v>15</v>
      </c>
      <c r="U658" s="2" t="n">
        <v>0</v>
      </c>
      <c r="V658" s="2" t="n">
        <v>4</v>
      </c>
      <c r="W658" s="2" t="n">
        <v>2</v>
      </c>
      <c r="X658" s="2" t="n">
        <v>3</v>
      </c>
      <c r="Y658" s="2" t="n">
        <v>4</v>
      </c>
      <c r="Z658" s="2" t="n">
        <v>4</v>
      </c>
    </row>
    <row r="659" customFormat="false" ht="15" hidden="false" customHeight="true" outlineLevel="0" collapsed="false">
      <c r="A659" s="2" t="n">
        <v>21</v>
      </c>
      <c r="B659" s="2" t="s">
        <v>33</v>
      </c>
      <c r="C659" s="2" t="s">
        <v>34</v>
      </c>
      <c r="D659" s="2" t="s">
        <v>35</v>
      </c>
      <c r="E659" s="2" t="n">
        <v>20</v>
      </c>
      <c r="F659" s="2" t="n">
        <v>2</v>
      </c>
      <c r="G659" s="2" t="s">
        <v>43</v>
      </c>
      <c r="H659" s="2" t="n">
        <v>658</v>
      </c>
      <c r="I659" s="2" t="s">
        <v>30</v>
      </c>
      <c r="J659" s="2" t="n">
        <v>4</v>
      </c>
      <c r="K659" s="2" t="s">
        <v>36</v>
      </c>
      <c r="L659" s="2" t="s">
        <v>37</v>
      </c>
      <c r="M659" s="2" t="n">
        <v>53370</v>
      </c>
      <c r="N659" s="2" t="n">
        <v>1</v>
      </c>
      <c r="O659" s="2" t="n">
        <v>14</v>
      </c>
      <c r="P659" s="2" t="n">
        <v>1</v>
      </c>
      <c r="Q659" s="2" t="n">
        <v>2</v>
      </c>
      <c r="R659" s="2" t="n">
        <v>2</v>
      </c>
      <c r="S659" s="2" t="n">
        <v>2</v>
      </c>
      <c r="T659" s="2" t="n">
        <v>2</v>
      </c>
      <c r="U659" s="2" t="n">
        <v>2</v>
      </c>
      <c r="V659" s="2" t="n">
        <v>1</v>
      </c>
      <c r="W659" s="2" t="n">
        <v>3</v>
      </c>
      <c r="X659" s="2" t="n">
        <v>1</v>
      </c>
      <c r="Y659" s="2" t="n">
        <v>3</v>
      </c>
      <c r="Z659" s="2" t="n">
        <v>3</v>
      </c>
    </row>
    <row r="660" customFormat="false" ht="15" hidden="false" customHeight="true" outlineLevel="0" collapsed="false">
      <c r="A660" s="2" t="n">
        <v>46</v>
      </c>
      <c r="B660" s="2" t="s">
        <v>26</v>
      </c>
      <c r="C660" s="2" t="s">
        <v>27</v>
      </c>
      <c r="D660" s="2" t="s">
        <v>35</v>
      </c>
      <c r="E660" s="2" t="n">
        <v>1</v>
      </c>
      <c r="F660" s="2" t="n">
        <v>4</v>
      </c>
      <c r="G660" s="2" t="s">
        <v>29</v>
      </c>
      <c r="H660" s="2" t="n">
        <v>659</v>
      </c>
      <c r="I660" s="2" t="s">
        <v>39</v>
      </c>
      <c r="J660" s="2" t="n">
        <v>1</v>
      </c>
      <c r="K660" s="2" t="s">
        <v>47</v>
      </c>
      <c r="L660" s="2" t="s">
        <v>32</v>
      </c>
      <c r="M660" s="2" t="n">
        <v>23400</v>
      </c>
      <c r="N660" s="2" t="n">
        <v>2</v>
      </c>
      <c r="O660" s="2" t="n">
        <v>13</v>
      </c>
      <c r="P660" s="2" t="n">
        <v>1</v>
      </c>
      <c r="Q660" s="2" t="n">
        <v>26</v>
      </c>
      <c r="R660" s="2" t="n">
        <v>2</v>
      </c>
      <c r="S660" s="2" t="n">
        <v>11</v>
      </c>
      <c r="T660" s="2" t="n">
        <v>0</v>
      </c>
      <c r="U660" s="2" t="n">
        <v>8</v>
      </c>
      <c r="V660" s="2" t="n">
        <v>4</v>
      </c>
      <c r="W660" s="2" t="n">
        <v>2</v>
      </c>
      <c r="X660" s="2" t="n">
        <v>3</v>
      </c>
      <c r="Y660" s="2" t="n">
        <v>1</v>
      </c>
      <c r="Z660" s="2" t="n">
        <v>3</v>
      </c>
    </row>
    <row r="661" customFormat="false" ht="15" hidden="false" customHeight="true" outlineLevel="0" collapsed="false">
      <c r="A661" s="2" t="n">
        <v>34</v>
      </c>
      <c r="B661" s="2" t="s">
        <v>26</v>
      </c>
      <c r="C661" s="2" t="s">
        <v>27</v>
      </c>
      <c r="D661" s="2" t="s">
        <v>28</v>
      </c>
      <c r="E661" s="2" t="n">
        <v>13</v>
      </c>
      <c r="F661" s="2" t="n">
        <v>4</v>
      </c>
      <c r="G661" s="2" t="s">
        <v>43</v>
      </c>
      <c r="H661" s="2" t="n">
        <v>660</v>
      </c>
      <c r="I661" s="2" t="s">
        <v>39</v>
      </c>
      <c r="J661" s="2" t="n">
        <v>3</v>
      </c>
      <c r="K661" s="2" t="s">
        <v>48</v>
      </c>
      <c r="L661" s="2" t="s">
        <v>37</v>
      </c>
      <c r="M661" s="2" t="n">
        <v>74910</v>
      </c>
      <c r="N661" s="2" t="n">
        <v>0</v>
      </c>
      <c r="O661" s="2" t="n">
        <v>14</v>
      </c>
      <c r="P661" s="2" t="n">
        <v>1</v>
      </c>
      <c r="Q661" s="2" t="n">
        <v>4</v>
      </c>
      <c r="R661" s="2" t="n">
        <v>3</v>
      </c>
      <c r="S661" s="2" t="n">
        <v>3</v>
      </c>
      <c r="T661" s="2" t="n">
        <v>0</v>
      </c>
      <c r="U661" s="2" t="n">
        <v>2</v>
      </c>
      <c r="V661" s="2" t="n">
        <v>3</v>
      </c>
      <c r="W661" s="2" t="n">
        <v>1</v>
      </c>
      <c r="X661" s="2" t="n">
        <v>3</v>
      </c>
      <c r="Y661" s="2" t="n">
        <v>2</v>
      </c>
      <c r="Z661" s="2" t="n">
        <v>3</v>
      </c>
    </row>
    <row r="662" customFormat="false" ht="15" hidden="false" customHeight="true" outlineLevel="0" collapsed="false">
      <c r="A662" s="2" t="n">
        <v>51</v>
      </c>
      <c r="B662" s="2" t="s">
        <v>26</v>
      </c>
      <c r="C662" s="2" t="s">
        <v>34</v>
      </c>
      <c r="D662" s="2" t="s">
        <v>35</v>
      </c>
      <c r="E662" s="2" t="n">
        <v>14</v>
      </c>
      <c r="F662" s="2" t="n">
        <v>3</v>
      </c>
      <c r="G662" s="2" t="s">
        <v>29</v>
      </c>
      <c r="H662" s="2" t="n">
        <v>661</v>
      </c>
      <c r="I662" s="2" t="s">
        <v>39</v>
      </c>
      <c r="J662" s="2" t="n">
        <v>2</v>
      </c>
      <c r="K662" s="2" t="s">
        <v>44</v>
      </c>
      <c r="L662" s="2" t="s">
        <v>46</v>
      </c>
      <c r="M662" s="2" t="n">
        <v>105270</v>
      </c>
      <c r="N662" s="2" t="n">
        <v>4</v>
      </c>
      <c r="O662" s="2" t="n">
        <v>14</v>
      </c>
      <c r="P662" s="2" t="n">
        <v>0</v>
      </c>
      <c r="Q662" s="2" t="n">
        <v>31</v>
      </c>
      <c r="R662" s="2" t="n">
        <v>3</v>
      </c>
      <c r="S662" s="2" t="n">
        <v>29</v>
      </c>
      <c r="T662" s="2" t="n">
        <v>11</v>
      </c>
      <c r="U662" s="2" t="n">
        <v>10</v>
      </c>
      <c r="V662" s="2" t="n">
        <v>4</v>
      </c>
      <c r="W662" s="2" t="n">
        <v>2</v>
      </c>
      <c r="X662" s="2" t="n">
        <v>2</v>
      </c>
      <c r="Y662" s="2" t="n">
        <v>3</v>
      </c>
      <c r="Z662" s="2" t="n">
        <v>3</v>
      </c>
    </row>
    <row r="663" customFormat="false" ht="15" hidden="false" customHeight="true" outlineLevel="0" collapsed="false">
      <c r="A663" s="2" t="n">
        <v>59</v>
      </c>
      <c r="B663" s="2" t="s">
        <v>26</v>
      </c>
      <c r="C663" s="2" t="s">
        <v>27</v>
      </c>
      <c r="D663" s="2" t="s">
        <v>35</v>
      </c>
      <c r="E663" s="2" t="n">
        <v>4</v>
      </c>
      <c r="F663" s="2" t="n">
        <v>2</v>
      </c>
      <c r="G663" s="2" t="s">
        <v>29</v>
      </c>
      <c r="H663" s="2" t="n">
        <v>662</v>
      </c>
      <c r="I663" s="2" t="s">
        <v>39</v>
      </c>
      <c r="J663" s="2" t="n">
        <v>2</v>
      </c>
      <c r="K663" s="2" t="s">
        <v>36</v>
      </c>
      <c r="L663" s="2" t="s">
        <v>37</v>
      </c>
      <c r="M663" s="2" t="n">
        <v>165950</v>
      </c>
      <c r="N663" s="2" t="n">
        <v>6</v>
      </c>
      <c r="O663" s="2" t="n">
        <v>21</v>
      </c>
      <c r="P663" s="2" t="n">
        <v>1</v>
      </c>
      <c r="Q663" s="2" t="n">
        <v>25</v>
      </c>
      <c r="R663" s="2" t="n">
        <v>2</v>
      </c>
      <c r="S663" s="2" t="n">
        <v>9</v>
      </c>
      <c r="T663" s="2" t="n">
        <v>5</v>
      </c>
      <c r="U663" s="2" t="n">
        <v>4</v>
      </c>
      <c r="V663" s="2" t="n">
        <v>4</v>
      </c>
      <c r="W663" s="2" t="n">
        <v>4</v>
      </c>
      <c r="X663" s="2" t="n">
        <v>2</v>
      </c>
      <c r="Y663" s="2" t="n">
        <v>3</v>
      </c>
      <c r="Z663" s="2" t="n">
        <v>4</v>
      </c>
    </row>
    <row r="664" customFormat="false" ht="15" hidden="false" customHeight="true" outlineLevel="0" collapsed="false">
      <c r="A664" s="2" t="n">
        <v>34</v>
      </c>
      <c r="B664" s="2" t="s">
        <v>26</v>
      </c>
      <c r="C664" s="2" t="s">
        <v>34</v>
      </c>
      <c r="D664" s="2" t="s">
        <v>28</v>
      </c>
      <c r="E664" s="2" t="n">
        <v>14</v>
      </c>
      <c r="F664" s="2" t="n">
        <v>4</v>
      </c>
      <c r="G664" s="2" t="s">
        <v>43</v>
      </c>
      <c r="H664" s="2" t="n">
        <v>663</v>
      </c>
      <c r="I664" s="2" t="s">
        <v>30</v>
      </c>
      <c r="J664" s="2" t="n">
        <v>3</v>
      </c>
      <c r="K664" s="2" t="s">
        <v>36</v>
      </c>
      <c r="L664" s="2" t="s">
        <v>46</v>
      </c>
      <c r="M664" s="2" t="n">
        <v>88340</v>
      </c>
      <c r="N664" s="2" t="n">
        <v>4</v>
      </c>
      <c r="O664" s="2" t="n">
        <v>13</v>
      </c>
      <c r="P664" s="2" t="n">
        <v>1</v>
      </c>
      <c r="Q664" s="2" t="n">
        <v>15</v>
      </c>
      <c r="R664" s="2" t="n">
        <v>1</v>
      </c>
      <c r="S664" s="2" t="n">
        <v>11</v>
      </c>
      <c r="T664" s="2" t="n">
        <v>5</v>
      </c>
      <c r="U664" s="2" t="n">
        <v>10</v>
      </c>
      <c r="V664" s="2" t="n">
        <v>3</v>
      </c>
      <c r="W664" s="2" t="n">
        <v>2</v>
      </c>
      <c r="X664" s="2" t="n">
        <v>4</v>
      </c>
      <c r="Y664" s="2" t="n">
        <v>3</v>
      </c>
      <c r="Z664" s="2" t="n">
        <v>3</v>
      </c>
    </row>
    <row r="665" customFormat="false" ht="15" hidden="false" customHeight="true" outlineLevel="0" collapsed="false">
      <c r="A665" s="2" t="n">
        <v>28</v>
      </c>
      <c r="B665" s="2" t="s">
        <v>26</v>
      </c>
      <c r="C665" s="2" t="s">
        <v>34</v>
      </c>
      <c r="D665" s="2" t="s">
        <v>35</v>
      </c>
      <c r="E665" s="2" t="n">
        <v>2</v>
      </c>
      <c r="F665" s="2" t="n">
        <v>3</v>
      </c>
      <c r="G665" s="2" t="s">
        <v>38</v>
      </c>
      <c r="H665" s="2" t="n">
        <v>664</v>
      </c>
      <c r="I665" s="2" t="s">
        <v>30</v>
      </c>
      <c r="J665" s="2" t="n">
        <v>1</v>
      </c>
      <c r="K665" s="2" t="s">
        <v>49</v>
      </c>
      <c r="L665" s="2" t="s">
        <v>37</v>
      </c>
      <c r="M665" s="2" t="n">
        <v>55770</v>
      </c>
      <c r="N665" s="2" t="n">
        <v>0</v>
      </c>
      <c r="O665" s="2" t="n">
        <v>19</v>
      </c>
      <c r="P665" s="2" t="n">
        <v>0</v>
      </c>
      <c r="Q665" s="2" t="n">
        <v>5</v>
      </c>
      <c r="R665" s="2" t="n">
        <v>3</v>
      </c>
      <c r="S665" s="2" t="n">
        <v>4</v>
      </c>
      <c r="T665" s="2" t="n">
        <v>0</v>
      </c>
      <c r="U665" s="2" t="n">
        <v>2</v>
      </c>
      <c r="V665" s="2" t="n">
        <v>4</v>
      </c>
      <c r="W665" s="2" t="n">
        <v>3</v>
      </c>
      <c r="X665" s="2" t="n">
        <v>2</v>
      </c>
      <c r="Y665" s="2" t="n">
        <v>3</v>
      </c>
      <c r="Z665" s="2" t="n">
        <v>3</v>
      </c>
    </row>
    <row r="666" customFormat="false" ht="15" hidden="false" customHeight="true" outlineLevel="0" collapsed="false">
      <c r="A666" s="2" t="n">
        <v>44</v>
      </c>
      <c r="B666" s="2" t="s">
        <v>26</v>
      </c>
      <c r="C666" s="2" t="s">
        <v>27</v>
      </c>
      <c r="D666" s="2" t="s">
        <v>35</v>
      </c>
      <c r="E666" s="2" t="n">
        <v>3</v>
      </c>
      <c r="F666" s="2" t="n">
        <v>4</v>
      </c>
      <c r="G666" s="2" t="s">
        <v>29</v>
      </c>
      <c r="H666" s="2" t="n">
        <v>665</v>
      </c>
      <c r="I666" s="2" t="s">
        <v>39</v>
      </c>
      <c r="J666" s="2" t="n">
        <v>2</v>
      </c>
      <c r="K666" s="2" t="s">
        <v>36</v>
      </c>
      <c r="L666" s="2" t="s">
        <v>46</v>
      </c>
      <c r="M666" s="2" t="n">
        <v>47070</v>
      </c>
      <c r="N666" s="2" t="n">
        <v>1</v>
      </c>
      <c r="O666" s="2" t="n">
        <v>17</v>
      </c>
      <c r="P666" s="2" t="n">
        <v>0</v>
      </c>
      <c r="Q666" s="2" t="n">
        <v>26</v>
      </c>
      <c r="R666" s="2" t="n">
        <v>4</v>
      </c>
      <c r="S666" s="2" t="n">
        <v>25</v>
      </c>
      <c r="T666" s="2" t="n">
        <v>14</v>
      </c>
      <c r="U666" s="2" t="n">
        <v>13</v>
      </c>
      <c r="V666" s="2" t="n">
        <v>3</v>
      </c>
      <c r="W666" s="2" t="n">
        <v>1</v>
      </c>
      <c r="X666" s="2" t="n">
        <v>2</v>
      </c>
      <c r="Y666" s="2" t="n">
        <v>1</v>
      </c>
      <c r="Z666" s="2" t="n">
        <v>3</v>
      </c>
    </row>
    <row r="667" customFormat="false" ht="15" hidden="false" customHeight="true" outlineLevel="0" collapsed="false">
      <c r="A667" s="2" t="n">
        <v>34</v>
      </c>
      <c r="B667" s="2" t="s">
        <v>26</v>
      </c>
      <c r="C667" s="2" t="s">
        <v>34</v>
      </c>
      <c r="D667" s="2" t="s">
        <v>28</v>
      </c>
      <c r="E667" s="2" t="n">
        <v>1</v>
      </c>
      <c r="F667" s="2" t="n">
        <v>3</v>
      </c>
      <c r="G667" s="2" t="s">
        <v>29</v>
      </c>
      <c r="H667" s="2" t="n">
        <v>666</v>
      </c>
      <c r="I667" s="2" t="s">
        <v>39</v>
      </c>
      <c r="J667" s="2" t="n">
        <v>2</v>
      </c>
      <c r="K667" s="2" t="s">
        <v>40</v>
      </c>
      <c r="L667" s="2" t="s">
        <v>32</v>
      </c>
      <c r="M667" s="2" t="n">
        <v>24000</v>
      </c>
      <c r="N667" s="2" t="n">
        <v>4</v>
      </c>
      <c r="O667" s="2" t="n">
        <v>18</v>
      </c>
      <c r="P667" s="2" t="n">
        <v>1</v>
      </c>
      <c r="Q667" s="2" t="n">
        <v>14</v>
      </c>
      <c r="R667" s="2" t="n">
        <v>3</v>
      </c>
      <c r="S667" s="2" t="n">
        <v>10</v>
      </c>
      <c r="T667" s="2" t="n">
        <v>1</v>
      </c>
      <c r="U667" s="2" t="n">
        <v>8</v>
      </c>
      <c r="V667" s="2" t="n">
        <v>3</v>
      </c>
      <c r="W667" s="2" t="n">
        <v>2</v>
      </c>
      <c r="X667" s="2" t="n">
        <v>4</v>
      </c>
      <c r="Y667" s="2" t="n">
        <v>3</v>
      </c>
      <c r="Z667" s="2" t="n">
        <v>3</v>
      </c>
    </row>
    <row r="668" customFormat="false" ht="15" hidden="false" customHeight="true" outlineLevel="0" collapsed="false">
      <c r="A668" s="2" t="n">
        <v>35</v>
      </c>
      <c r="B668" s="2" t="s">
        <v>26</v>
      </c>
      <c r="C668" s="2" t="s">
        <v>27</v>
      </c>
      <c r="D668" s="2" t="s">
        <v>35</v>
      </c>
      <c r="E668" s="2" t="n">
        <v>9</v>
      </c>
      <c r="F668" s="2" t="n">
        <v>3</v>
      </c>
      <c r="G668" s="2" t="s">
        <v>29</v>
      </c>
      <c r="H668" s="2" t="n">
        <v>667</v>
      </c>
      <c r="I668" s="2" t="s">
        <v>39</v>
      </c>
      <c r="J668" s="2" t="n">
        <v>4</v>
      </c>
      <c r="K668" s="2" t="s">
        <v>31</v>
      </c>
      <c r="L668" s="2" t="s">
        <v>32</v>
      </c>
      <c r="M668" s="2" t="n">
        <v>98240</v>
      </c>
      <c r="N668" s="2" t="n">
        <v>0</v>
      </c>
      <c r="O668" s="2" t="n">
        <v>19</v>
      </c>
      <c r="P668" s="2" t="n">
        <v>0</v>
      </c>
      <c r="Q668" s="2" t="n">
        <v>4</v>
      </c>
      <c r="R668" s="2" t="n">
        <v>2</v>
      </c>
      <c r="S668" s="2" t="n">
        <v>3</v>
      </c>
      <c r="T668" s="2" t="n">
        <v>2</v>
      </c>
      <c r="U668" s="2" t="n">
        <v>2</v>
      </c>
      <c r="V668" s="2" t="n">
        <v>3</v>
      </c>
      <c r="W668" s="2" t="n">
        <v>3</v>
      </c>
      <c r="X668" s="2" t="n">
        <v>3</v>
      </c>
      <c r="Y668" s="2" t="n">
        <v>3</v>
      </c>
      <c r="Z668" s="2" t="n">
        <v>3</v>
      </c>
    </row>
    <row r="669" customFormat="false" ht="15" hidden="false" customHeight="true" outlineLevel="0" collapsed="false">
      <c r="A669" s="2" t="n">
        <v>42</v>
      </c>
      <c r="B669" s="2" t="s">
        <v>26</v>
      </c>
      <c r="C669" s="2" t="s">
        <v>27</v>
      </c>
      <c r="D669" s="2" t="s">
        <v>35</v>
      </c>
      <c r="E669" s="2" t="n">
        <v>23</v>
      </c>
      <c r="F669" s="2" t="n">
        <v>4</v>
      </c>
      <c r="G669" s="2" t="s">
        <v>29</v>
      </c>
      <c r="H669" s="2" t="n">
        <v>668</v>
      </c>
      <c r="I669" s="2" t="s">
        <v>30</v>
      </c>
      <c r="J669" s="2" t="n">
        <v>1</v>
      </c>
      <c r="K669" s="2" t="s">
        <v>49</v>
      </c>
      <c r="L669" s="2" t="s">
        <v>32</v>
      </c>
      <c r="M669" s="2" t="n">
        <v>64470</v>
      </c>
      <c r="N669" s="2" t="n">
        <v>6</v>
      </c>
      <c r="O669" s="2" t="n">
        <v>13</v>
      </c>
      <c r="P669" s="2" t="n">
        <v>0</v>
      </c>
      <c r="Q669" s="2" t="n">
        <v>18</v>
      </c>
      <c r="R669" s="2" t="n">
        <v>3</v>
      </c>
      <c r="S669" s="2" t="n">
        <v>1</v>
      </c>
      <c r="T669" s="2" t="n">
        <v>0</v>
      </c>
      <c r="U669" s="2" t="n">
        <v>0</v>
      </c>
      <c r="V669" s="2" t="n">
        <v>2</v>
      </c>
      <c r="W669" s="2" t="n">
        <v>2</v>
      </c>
      <c r="X669" s="2" t="n">
        <v>3</v>
      </c>
      <c r="Y669" s="2" t="n">
        <v>3</v>
      </c>
      <c r="Z669" s="2" t="n">
        <v>3</v>
      </c>
    </row>
    <row r="670" customFormat="false" ht="15" hidden="false" customHeight="true" outlineLevel="0" collapsed="false">
      <c r="A670" s="2" t="n">
        <v>43</v>
      </c>
      <c r="B670" s="2" t="s">
        <v>26</v>
      </c>
      <c r="C670" s="2" t="s">
        <v>27</v>
      </c>
      <c r="D670" s="2" t="s">
        <v>35</v>
      </c>
      <c r="E670" s="2" t="n">
        <v>7</v>
      </c>
      <c r="F670" s="2" t="n">
        <v>2</v>
      </c>
      <c r="G670" s="2" t="s">
        <v>43</v>
      </c>
      <c r="H670" s="2" t="n">
        <v>669</v>
      </c>
      <c r="I670" s="2" t="s">
        <v>30</v>
      </c>
      <c r="J670" s="2" t="n">
        <v>1</v>
      </c>
      <c r="K670" s="2" t="s">
        <v>45</v>
      </c>
      <c r="L670" s="2" t="s">
        <v>37</v>
      </c>
      <c r="M670" s="2" t="n">
        <v>195020</v>
      </c>
      <c r="N670" s="2" t="n">
        <v>3</v>
      </c>
      <c r="O670" s="2" t="n">
        <v>18</v>
      </c>
      <c r="P670" s="2" t="n">
        <v>2</v>
      </c>
      <c r="Q670" s="2" t="n">
        <v>23</v>
      </c>
      <c r="R670" s="2" t="n">
        <v>3</v>
      </c>
      <c r="S670" s="2" t="n">
        <v>21</v>
      </c>
      <c r="T670" s="2" t="n">
        <v>15</v>
      </c>
      <c r="U670" s="2" t="n">
        <v>17</v>
      </c>
      <c r="V670" s="2" t="n">
        <v>4</v>
      </c>
      <c r="W670" s="2" t="n">
        <v>4</v>
      </c>
      <c r="X670" s="2" t="n">
        <v>4</v>
      </c>
      <c r="Y670" s="2" t="n">
        <v>4</v>
      </c>
      <c r="Z670" s="2" t="n">
        <v>3</v>
      </c>
    </row>
    <row r="671" customFormat="false" ht="15" hidden="false" customHeight="true" outlineLevel="0" collapsed="false">
      <c r="A671" s="2" t="n">
        <v>36</v>
      </c>
      <c r="B671" s="2" t="s">
        <v>26</v>
      </c>
      <c r="C671" s="2" t="s">
        <v>27</v>
      </c>
      <c r="D671" s="2" t="s">
        <v>35</v>
      </c>
      <c r="E671" s="2" t="n">
        <v>2</v>
      </c>
      <c r="F671" s="2" t="n">
        <v>4</v>
      </c>
      <c r="G671" s="2" t="s">
        <v>43</v>
      </c>
      <c r="H671" s="2" t="n">
        <v>670</v>
      </c>
      <c r="I671" s="2" t="s">
        <v>39</v>
      </c>
      <c r="J671" s="2" t="n">
        <v>1</v>
      </c>
      <c r="K671" s="2" t="s">
        <v>31</v>
      </c>
      <c r="L671" s="2" t="s">
        <v>37</v>
      </c>
      <c r="M671" s="2" t="n">
        <v>27250</v>
      </c>
      <c r="N671" s="2" t="n">
        <v>9</v>
      </c>
      <c r="O671" s="2" t="n">
        <v>21</v>
      </c>
      <c r="P671" s="2" t="n">
        <v>1</v>
      </c>
      <c r="Q671" s="2" t="n">
        <v>18</v>
      </c>
      <c r="R671" s="2" t="n">
        <v>4</v>
      </c>
      <c r="S671" s="2" t="n">
        <v>16</v>
      </c>
      <c r="T671" s="2" t="n">
        <v>5</v>
      </c>
      <c r="U671" s="2" t="n">
        <v>12</v>
      </c>
      <c r="V671" s="2" t="n">
        <v>3</v>
      </c>
      <c r="W671" s="2" t="n">
        <v>2</v>
      </c>
      <c r="X671" s="2" t="n">
        <v>3</v>
      </c>
      <c r="Y671" s="2" t="n">
        <v>2</v>
      </c>
      <c r="Z671" s="2" t="n">
        <v>4</v>
      </c>
    </row>
    <row r="672" customFormat="false" ht="15" hidden="false" customHeight="true" outlineLevel="0" collapsed="false">
      <c r="A672" s="2" t="n">
        <v>44</v>
      </c>
      <c r="B672" s="2" t="s">
        <v>33</v>
      </c>
      <c r="C672" s="2" t="s">
        <v>27</v>
      </c>
      <c r="D672" s="2" t="s">
        <v>35</v>
      </c>
      <c r="E672" s="2" t="n">
        <v>21</v>
      </c>
      <c r="F672" s="2" t="n">
        <v>4</v>
      </c>
      <c r="G672" s="2" t="s">
        <v>29</v>
      </c>
      <c r="H672" s="2" t="n">
        <v>671</v>
      </c>
      <c r="I672" s="2" t="s">
        <v>30</v>
      </c>
      <c r="J672" s="2" t="n">
        <v>2</v>
      </c>
      <c r="K672" s="2" t="s">
        <v>45</v>
      </c>
      <c r="L672" s="2" t="s">
        <v>32</v>
      </c>
      <c r="M672" s="2" t="n">
        <v>62720</v>
      </c>
      <c r="N672" s="2" t="n">
        <v>1</v>
      </c>
      <c r="O672" s="2" t="n">
        <v>19</v>
      </c>
      <c r="P672" s="2" t="n">
        <v>1</v>
      </c>
      <c r="Q672" s="2" t="n">
        <v>10</v>
      </c>
      <c r="R672" s="2" t="n">
        <v>3</v>
      </c>
      <c r="S672" s="2" t="n">
        <v>10</v>
      </c>
      <c r="T672" s="2" t="n">
        <v>0</v>
      </c>
      <c r="U672" s="2" t="n">
        <v>5</v>
      </c>
      <c r="V672" s="2" t="n">
        <v>1</v>
      </c>
      <c r="W672" s="2" t="n">
        <v>4</v>
      </c>
      <c r="X672" s="2" t="n">
        <v>3</v>
      </c>
      <c r="Y672" s="2" t="n">
        <v>3</v>
      </c>
      <c r="Z672" s="2" t="n">
        <v>3</v>
      </c>
    </row>
    <row r="673" customFormat="false" ht="15" hidden="false" customHeight="true" outlineLevel="0" collapsed="false">
      <c r="A673" s="2" t="n">
        <v>28</v>
      </c>
      <c r="B673" s="2" t="s">
        <v>26</v>
      </c>
      <c r="C673" s="2" t="s">
        <v>34</v>
      </c>
      <c r="D673" s="2" t="s">
        <v>35</v>
      </c>
      <c r="E673" s="2" t="n">
        <v>2</v>
      </c>
      <c r="F673" s="2" t="n">
        <v>3</v>
      </c>
      <c r="G673" s="2" t="s">
        <v>29</v>
      </c>
      <c r="H673" s="2" t="n">
        <v>672</v>
      </c>
      <c r="I673" s="2" t="s">
        <v>30</v>
      </c>
      <c r="J673" s="2" t="n">
        <v>2</v>
      </c>
      <c r="K673" s="2" t="s">
        <v>48</v>
      </c>
      <c r="L673" s="2" t="s">
        <v>32</v>
      </c>
      <c r="M673" s="2" t="n">
        <v>21270</v>
      </c>
      <c r="N673" s="2" t="n">
        <v>1</v>
      </c>
      <c r="O673" s="2" t="n">
        <v>14</v>
      </c>
      <c r="P673" s="2" t="n">
        <v>0</v>
      </c>
      <c r="Q673" s="2" t="n">
        <v>2</v>
      </c>
      <c r="R673" s="2" t="n">
        <v>3</v>
      </c>
      <c r="S673" s="2" t="n">
        <v>2</v>
      </c>
      <c r="T673" s="2" t="n">
        <v>2</v>
      </c>
      <c r="U673" s="2" t="n">
        <v>2</v>
      </c>
      <c r="V673" s="2" t="n">
        <v>4</v>
      </c>
      <c r="W673" s="2" t="n">
        <v>4</v>
      </c>
      <c r="X673" s="2" t="n">
        <v>3</v>
      </c>
      <c r="Y673" s="2" t="n">
        <v>3</v>
      </c>
      <c r="Z673" s="2" t="n">
        <v>3</v>
      </c>
    </row>
    <row r="674" customFormat="false" ht="15" hidden="false" customHeight="true" outlineLevel="0" collapsed="false">
      <c r="A674" s="2" t="n">
        <v>51</v>
      </c>
      <c r="B674" s="2" t="s">
        <v>26</v>
      </c>
      <c r="C674" s="2" t="s">
        <v>34</v>
      </c>
      <c r="D674" s="2" t="s">
        <v>28</v>
      </c>
      <c r="E674" s="2" t="n">
        <v>21</v>
      </c>
      <c r="F674" s="2" t="n">
        <v>4</v>
      </c>
      <c r="G674" s="2" t="s">
        <v>43</v>
      </c>
      <c r="H674" s="2" t="n">
        <v>673</v>
      </c>
      <c r="I674" s="2" t="s">
        <v>39</v>
      </c>
      <c r="J674" s="2" t="n">
        <v>2</v>
      </c>
      <c r="K674" s="2" t="s">
        <v>36</v>
      </c>
      <c r="L674" s="2" t="s">
        <v>37</v>
      </c>
      <c r="M674" s="2" t="n">
        <v>182000</v>
      </c>
      <c r="N674" s="2" t="n">
        <v>0</v>
      </c>
      <c r="O674" s="2" t="n">
        <v>17</v>
      </c>
      <c r="P674" s="2" t="n">
        <v>0</v>
      </c>
      <c r="Q674" s="2" t="n">
        <v>8</v>
      </c>
      <c r="R674" s="2" t="n">
        <v>3</v>
      </c>
      <c r="S674" s="2" t="n">
        <v>7</v>
      </c>
      <c r="T674" s="2" t="n">
        <v>7</v>
      </c>
      <c r="U674" s="2" t="n">
        <v>7</v>
      </c>
      <c r="V674" s="2" t="n">
        <v>2</v>
      </c>
      <c r="W674" s="2" t="n">
        <v>3</v>
      </c>
      <c r="X674" s="2" t="n">
        <v>2</v>
      </c>
      <c r="Y674" s="2" t="n">
        <v>3</v>
      </c>
      <c r="Z674" s="2" t="n">
        <v>3</v>
      </c>
    </row>
    <row r="675" customFormat="false" ht="15" hidden="false" customHeight="true" outlineLevel="0" collapsed="false">
      <c r="A675" s="2" t="n">
        <v>30</v>
      </c>
      <c r="B675" s="2" t="s">
        <v>26</v>
      </c>
      <c r="C675" s="2" t="s">
        <v>41</v>
      </c>
      <c r="D675" s="2" t="s">
        <v>35</v>
      </c>
      <c r="E675" s="2" t="n">
        <v>2</v>
      </c>
      <c r="F675" s="2" t="n">
        <v>4</v>
      </c>
      <c r="G675" s="2" t="s">
        <v>38</v>
      </c>
      <c r="H675" s="2" t="n">
        <v>674</v>
      </c>
      <c r="I675" s="2" t="s">
        <v>39</v>
      </c>
      <c r="J675" s="2" t="n">
        <v>1</v>
      </c>
      <c r="K675" s="2" t="s">
        <v>36</v>
      </c>
      <c r="L675" s="2" t="s">
        <v>37</v>
      </c>
      <c r="M675" s="2" t="n">
        <v>20960</v>
      </c>
      <c r="N675" s="2" t="n">
        <v>7</v>
      </c>
      <c r="O675" s="2" t="n">
        <v>11</v>
      </c>
      <c r="P675" s="2" t="n">
        <v>3</v>
      </c>
      <c r="Q675" s="2" t="n">
        <v>10</v>
      </c>
      <c r="R675" s="2" t="n">
        <v>2</v>
      </c>
      <c r="S675" s="2" t="n">
        <v>8</v>
      </c>
      <c r="T675" s="2" t="n">
        <v>1</v>
      </c>
      <c r="U675" s="2" t="n">
        <v>7</v>
      </c>
      <c r="V675" s="2" t="n">
        <v>3</v>
      </c>
      <c r="W675" s="2" t="n">
        <v>3</v>
      </c>
      <c r="X675" s="2" t="n">
        <v>3</v>
      </c>
      <c r="Y675" s="2" t="n">
        <v>3</v>
      </c>
      <c r="Z675" s="2" t="n">
        <v>3</v>
      </c>
    </row>
    <row r="676" customFormat="false" ht="15" hidden="false" customHeight="true" outlineLevel="0" collapsed="false">
      <c r="A676" s="2" t="n">
        <v>29</v>
      </c>
      <c r="B676" s="2" t="s">
        <v>33</v>
      </c>
      <c r="C676" s="2" t="s">
        <v>27</v>
      </c>
      <c r="D676" s="2" t="s">
        <v>35</v>
      </c>
      <c r="E676" s="2" t="n">
        <v>29</v>
      </c>
      <c r="F676" s="2" t="n">
        <v>4</v>
      </c>
      <c r="G676" s="2" t="s">
        <v>51</v>
      </c>
      <c r="H676" s="2" t="n">
        <v>675</v>
      </c>
      <c r="I676" s="2" t="s">
        <v>30</v>
      </c>
      <c r="J676" s="2" t="n">
        <v>1</v>
      </c>
      <c r="K676" s="2" t="s">
        <v>48</v>
      </c>
      <c r="L676" s="2" t="s">
        <v>46</v>
      </c>
      <c r="M676" s="2" t="n">
        <v>28860</v>
      </c>
      <c r="N676" s="2" t="n">
        <v>3</v>
      </c>
      <c r="O676" s="2" t="n">
        <v>13</v>
      </c>
      <c r="P676" s="2" t="n">
        <v>0</v>
      </c>
      <c r="Q676" s="2" t="n">
        <v>10</v>
      </c>
      <c r="R676" s="2" t="n">
        <v>4</v>
      </c>
      <c r="S676" s="2" t="n">
        <v>7</v>
      </c>
      <c r="T676" s="2" t="n">
        <v>7</v>
      </c>
      <c r="U676" s="2" t="n">
        <v>7</v>
      </c>
      <c r="V676" s="2" t="n">
        <v>2</v>
      </c>
      <c r="W676" s="2" t="n">
        <v>3</v>
      </c>
      <c r="X676" s="2" t="n">
        <v>3</v>
      </c>
      <c r="Y676" s="2" t="n">
        <v>3</v>
      </c>
      <c r="Z676" s="2" t="n">
        <v>3</v>
      </c>
    </row>
    <row r="677" customFormat="false" ht="15" hidden="false" customHeight="true" outlineLevel="0" collapsed="false">
      <c r="A677" s="2" t="n">
        <v>28</v>
      </c>
      <c r="B677" s="2" t="s">
        <v>26</v>
      </c>
      <c r="C677" s="2" t="s">
        <v>27</v>
      </c>
      <c r="D677" s="2" t="s">
        <v>28</v>
      </c>
      <c r="E677" s="2" t="n">
        <v>1</v>
      </c>
      <c r="F677" s="2" t="n">
        <v>4</v>
      </c>
      <c r="G677" s="2" t="s">
        <v>29</v>
      </c>
      <c r="H677" s="2" t="n">
        <v>676</v>
      </c>
      <c r="I677" s="2" t="s">
        <v>30</v>
      </c>
      <c r="J677" s="2" t="n">
        <v>2</v>
      </c>
      <c r="K677" s="2" t="s">
        <v>48</v>
      </c>
      <c r="L677" s="2" t="s">
        <v>37</v>
      </c>
      <c r="M677" s="2" t="n">
        <v>20330</v>
      </c>
      <c r="N677" s="2" t="n">
        <v>2</v>
      </c>
      <c r="O677" s="2" t="n">
        <v>15</v>
      </c>
      <c r="P677" s="2" t="n">
        <v>1</v>
      </c>
      <c r="Q677" s="2" t="n">
        <v>5</v>
      </c>
      <c r="R677" s="2" t="n">
        <v>5</v>
      </c>
      <c r="S677" s="2" t="n">
        <v>3</v>
      </c>
      <c r="T677" s="2" t="n">
        <v>1</v>
      </c>
      <c r="U677" s="2" t="n">
        <v>2</v>
      </c>
      <c r="V677" s="2" t="n">
        <v>4</v>
      </c>
      <c r="W677" s="2" t="n">
        <v>1</v>
      </c>
      <c r="X677" s="2" t="n">
        <v>2</v>
      </c>
      <c r="Y677" s="2" t="n">
        <v>3</v>
      </c>
      <c r="Z677" s="2" t="n">
        <v>3</v>
      </c>
    </row>
    <row r="678" customFormat="false" ht="15" hidden="false" customHeight="true" outlineLevel="0" collapsed="false">
      <c r="A678" s="2" t="n">
        <v>25</v>
      </c>
      <c r="B678" s="2" t="s">
        <v>26</v>
      </c>
      <c r="C678" s="2" t="s">
        <v>27</v>
      </c>
      <c r="D678" s="2" t="s">
        <v>35</v>
      </c>
      <c r="E678" s="2" t="n">
        <v>18</v>
      </c>
      <c r="F678" s="2" t="n">
        <v>2</v>
      </c>
      <c r="G678" s="2" t="s">
        <v>29</v>
      </c>
      <c r="H678" s="2" t="n">
        <v>677</v>
      </c>
      <c r="I678" s="2" t="s">
        <v>39</v>
      </c>
      <c r="J678" s="2" t="n">
        <v>1</v>
      </c>
      <c r="K678" s="2" t="s">
        <v>36</v>
      </c>
      <c r="L678" s="2" t="s">
        <v>37</v>
      </c>
      <c r="M678" s="2" t="n">
        <v>36220</v>
      </c>
      <c r="N678" s="2" t="n">
        <v>1</v>
      </c>
      <c r="O678" s="2" t="n">
        <v>25</v>
      </c>
      <c r="P678" s="2" t="n">
        <v>0</v>
      </c>
      <c r="Q678" s="2" t="n">
        <v>2</v>
      </c>
      <c r="R678" s="2" t="n">
        <v>0</v>
      </c>
      <c r="S678" s="2" t="n">
        <v>2</v>
      </c>
      <c r="T678" s="2" t="n">
        <v>2</v>
      </c>
      <c r="U678" s="2" t="n">
        <v>1</v>
      </c>
      <c r="V678" s="2" t="n">
        <v>4</v>
      </c>
      <c r="W678" s="2" t="n">
        <v>2</v>
      </c>
      <c r="X678" s="2" t="n">
        <v>2</v>
      </c>
      <c r="Y678" s="2" t="n">
        <v>3</v>
      </c>
      <c r="Z678" s="2" t="n">
        <v>4</v>
      </c>
    </row>
    <row r="679" customFormat="false" ht="15" hidden="false" customHeight="true" outlineLevel="0" collapsed="false">
      <c r="A679" s="2" t="n">
        <v>32</v>
      </c>
      <c r="B679" s="2" t="s">
        <v>26</v>
      </c>
      <c r="C679" s="2" t="s">
        <v>27</v>
      </c>
      <c r="D679" s="2" t="s">
        <v>35</v>
      </c>
      <c r="E679" s="2" t="n">
        <v>10</v>
      </c>
      <c r="F679" s="2" t="n">
        <v>4</v>
      </c>
      <c r="G679" s="2" t="s">
        <v>38</v>
      </c>
      <c r="H679" s="2" t="n">
        <v>678</v>
      </c>
      <c r="I679" s="2" t="s">
        <v>30</v>
      </c>
      <c r="J679" s="2" t="n">
        <v>1</v>
      </c>
      <c r="K679" s="2" t="s">
        <v>40</v>
      </c>
      <c r="L679" s="2" t="s">
        <v>32</v>
      </c>
      <c r="M679" s="2" t="n">
        <v>42330</v>
      </c>
      <c r="N679" s="2" t="n">
        <v>1</v>
      </c>
      <c r="O679" s="2" t="n">
        <v>11</v>
      </c>
      <c r="P679" s="2" t="n">
        <v>0</v>
      </c>
      <c r="Q679" s="2" t="n">
        <v>10</v>
      </c>
      <c r="R679" s="2" t="n">
        <v>5</v>
      </c>
      <c r="S679" s="2" t="n">
        <v>10</v>
      </c>
      <c r="T679" s="2" t="n">
        <v>0</v>
      </c>
      <c r="U679" s="2" t="n">
        <v>8</v>
      </c>
      <c r="V679" s="2" t="n">
        <v>3</v>
      </c>
      <c r="W679" s="2" t="n">
        <v>4</v>
      </c>
      <c r="X679" s="2" t="n">
        <v>4</v>
      </c>
      <c r="Y679" s="2" t="n">
        <v>3</v>
      </c>
      <c r="Z679" s="2" t="n">
        <v>3</v>
      </c>
    </row>
    <row r="680" customFormat="false" ht="15" hidden="false" customHeight="true" outlineLevel="0" collapsed="false">
      <c r="A680" s="2" t="n">
        <v>45</v>
      </c>
      <c r="B680" s="2" t="s">
        <v>26</v>
      </c>
      <c r="C680" s="2" t="s">
        <v>34</v>
      </c>
      <c r="D680" s="2" t="s">
        <v>35</v>
      </c>
      <c r="E680" s="2" t="n">
        <v>19</v>
      </c>
      <c r="F680" s="2" t="n">
        <v>3</v>
      </c>
      <c r="G680" s="2" t="s">
        <v>43</v>
      </c>
      <c r="H680" s="2" t="n">
        <v>679</v>
      </c>
      <c r="I680" s="2" t="s">
        <v>39</v>
      </c>
      <c r="J680" s="2" t="n">
        <v>3</v>
      </c>
      <c r="K680" s="2" t="s">
        <v>45</v>
      </c>
      <c r="L680" s="2" t="s">
        <v>37</v>
      </c>
      <c r="M680" s="2" t="n">
        <v>36810</v>
      </c>
      <c r="N680" s="2" t="n">
        <v>3</v>
      </c>
      <c r="O680" s="2" t="n">
        <v>17</v>
      </c>
      <c r="P680" s="2" t="n">
        <v>1</v>
      </c>
      <c r="Q680" s="2" t="n">
        <v>22</v>
      </c>
      <c r="R680" s="2" t="n">
        <v>2</v>
      </c>
      <c r="S680" s="2" t="n">
        <v>0</v>
      </c>
      <c r="T680" s="2" t="n">
        <v>0</v>
      </c>
      <c r="U680" s="2" t="n">
        <v>0</v>
      </c>
      <c r="V680" s="2"/>
      <c r="W680" s="2" t="n">
        <v>2</v>
      </c>
      <c r="X680" s="2" t="n">
        <v>3</v>
      </c>
      <c r="Y680" s="2" t="n">
        <v>3</v>
      </c>
      <c r="Z680" s="2" t="n">
        <v>3</v>
      </c>
    </row>
    <row r="681" customFormat="false" ht="15" hidden="false" customHeight="true" outlineLevel="0" collapsed="false">
      <c r="A681" s="2" t="n">
        <v>39</v>
      </c>
      <c r="B681" s="2" t="s">
        <v>26</v>
      </c>
      <c r="C681" s="2" t="s">
        <v>27</v>
      </c>
      <c r="D681" s="2" t="s">
        <v>28</v>
      </c>
      <c r="E681" s="2" t="n">
        <v>29</v>
      </c>
      <c r="F681" s="2" t="n">
        <v>1</v>
      </c>
      <c r="G681" s="2" t="s">
        <v>50</v>
      </c>
      <c r="H681" s="2" t="n">
        <v>680</v>
      </c>
      <c r="I681" s="2" t="s">
        <v>30</v>
      </c>
      <c r="J681" s="2" t="n">
        <v>1</v>
      </c>
      <c r="K681" s="2" t="s">
        <v>45</v>
      </c>
      <c r="L681" s="2" t="s">
        <v>46</v>
      </c>
      <c r="M681" s="2" t="n">
        <v>54600</v>
      </c>
      <c r="N681" s="2" t="n">
        <v>6</v>
      </c>
      <c r="O681" s="2" t="n">
        <v>13</v>
      </c>
      <c r="P681" s="2" t="n">
        <v>2</v>
      </c>
      <c r="Q681" s="2" t="n">
        <v>21</v>
      </c>
      <c r="R681" s="2" t="n">
        <v>3</v>
      </c>
      <c r="S681" s="2" t="n">
        <v>19</v>
      </c>
      <c r="T681" s="2" t="n">
        <v>15</v>
      </c>
      <c r="U681" s="2" t="n">
        <v>2</v>
      </c>
      <c r="V681" s="2" t="n">
        <v>3</v>
      </c>
      <c r="W681" s="2" t="n">
        <v>2</v>
      </c>
      <c r="X681" s="2" t="n">
        <v>3</v>
      </c>
      <c r="Y681" s="2" t="n">
        <v>3</v>
      </c>
      <c r="Z681" s="2" t="n">
        <v>3</v>
      </c>
    </row>
    <row r="682" customFormat="false" ht="15" hidden="false" customHeight="true" outlineLevel="0" collapsed="false">
      <c r="A682" s="2" t="n">
        <v>58</v>
      </c>
      <c r="B682" s="2" t="s">
        <v>26</v>
      </c>
      <c r="C682" s="2" t="s">
        <v>27</v>
      </c>
      <c r="D682" s="2" t="s">
        <v>35</v>
      </c>
      <c r="E682" s="2" t="n">
        <v>27</v>
      </c>
      <c r="F682" s="2" t="n">
        <v>3</v>
      </c>
      <c r="G682" s="2" t="s">
        <v>38</v>
      </c>
      <c r="H682" s="2" t="n">
        <v>681</v>
      </c>
      <c r="I682" s="2" t="s">
        <v>39</v>
      </c>
      <c r="J682" s="2" t="n">
        <v>2</v>
      </c>
      <c r="K682" s="2" t="s">
        <v>45</v>
      </c>
      <c r="L682" s="2" t="s">
        <v>46</v>
      </c>
      <c r="M682" s="2" t="n">
        <v>21870</v>
      </c>
      <c r="N682" s="2" t="n">
        <v>1</v>
      </c>
      <c r="O682" s="2" t="n">
        <v>18</v>
      </c>
      <c r="P682" s="2" t="n">
        <v>1</v>
      </c>
      <c r="Q682" s="2" t="n">
        <v>2</v>
      </c>
      <c r="R682" s="2" t="n">
        <v>1</v>
      </c>
      <c r="S682" s="2" t="n">
        <v>2</v>
      </c>
      <c r="T682" s="2" t="n">
        <v>2</v>
      </c>
      <c r="U682" s="2" t="n">
        <v>2</v>
      </c>
      <c r="V682" s="2" t="n">
        <v>1</v>
      </c>
      <c r="W682" s="2" t="n">
        <v>3</v>
      </c>
      <c r="X682" s="2" t="n">
        <v>3</v>
      </c>
      <c r="Y682" s="2" t="n">
        <v>1</v>
      </c>
      <c r="Z682" s="2" t="n">
        <v>3</v>
      </c>
    </row>
    <row r="683" customFormat="false" ht="15" hidden="false" customHeight="true" outlineLevel="0" collapsed="false">
      <c r="A683" s="2" t="n">
        <v>32</v>
      </c>
      <c r="B683" s="2" t="s">
        <v>33</v>
      </c>
      <c r="C683" s="2" t="s">
        <v>27</v>
      </c>
      <c r="D683" s="2" t="s">
        <v>35</v>
      </c>
      <c r="E683" s="2" t="n">
        <v>5</v>
      </c>
      <c r="F683" s="2" t="n">
        <v>3</v>
      </c>
      <c r="G683" s="2" t="s">
        <v>51</v>
      </c>
      <c r="H683" s="2" t="n">
        <v>682</v>
      </c>
      <c r="I683" s="2" t="s">
        <v>30</v>
      </c>
      <c r="J683" s="2" t="n">
        <v>1</v>
      </c>
      <c r="K683" s="2" t="s">
        <v>40</v>
      </c>
      <c r="L683" s="2" t="s">
        <v>32</v>
      </c>
      <c r="M683" s="2" t="n">
        <v>96020</v>
      </c>
      <c r="N683" s="2" t="n">
        <v>1</v>
      </c>
      <c r="O683" s="2" t="n">
        <v>13</v>
      </c>
      <c r="P683" s="2" t="n">
        <v>1</v>
      </c>
      <c r="Q683" s="2" t="n">
        <v>10</v>
      </c>
      <c r="R683" s="2" t="n">
        <v>3</v>
      </c>
      <c r="S683" s="2" t="n">
        <v>10</v>
      </c>
      <c r="T683" s="2" t="n">
        <v>1</v>
      </c>
      <c r="U683" s="2" t="n">
        <v>1</v>
      </c>
      <c r="V683" s="2" t="n">
        <v>4</v>
      </c>
      <c r="W683" s="2" t="n">
        <v>3</v>
      </c>
      <c r="X683" s="2" t="n">
        <v>3</v>
      </c>
      <c r="Y683" s="2" t="n">
        <v>3</v>
      </c>
      <c r="Z683" s="2" t="n">
        <v>3</v>
      </c>
    </row>
    <row r="684" customFormat="false" ht="15" hidden="false" customHeight="true" outlineLevel="0" collapsed="false">
      <c r="A684" s="2" t="n">
        <v>39</v>
      </c>
      <c r="B684" s="2" t="s">
        <v>33</v>
      </c>
      <c r="C684" s="2" t="s">
        <v>27</v>
      </c>
      <c r="D684" s="2" t="s">
        <v>35</v>
      </c>
      <c r="E684" s="2" t="n">
        <v>18</v>
      </c>
      <c r="F684" s="2" t="n">
        <v>2</v>
      </c>
      <c r="G684" s="2" t="s">
        <v>29</v>
      </c>
      <c r="H684" s="2" t="n">
        <v>683</v>
      </c>
      <c r="I684" s="2" t="s">
        <v>39</v>
      </c>
      <c r="J684" s="2" t="n">
        <v>2</v>
      </c>
      <c r="K684" s="2" t="s">
        <v>45</v>
      </c>
      <c r="L684" s="2" t="s">
        <v>37</v>
      </c>
      <c r="M684" s="2" t="n">
        <v>28360</v>
      </c>
      <c r="N684" s="2" t="n">
        <v>0</v>
      </c>
      <c r="O684" s="2" t="n">
        <v>20</v>
      </c>
      <c r="P684" s="2" t="n">
        <v>0</v>
      </c>
      <c r="Q684" s="2" t="n">
        <v>6</v>
      </c>
      <c r="R684" s="2" t="n">
        <v>3</v>
      </c>
      <c r="S684" s="2" t="n">
        <v>5</v>
      </c>
      <c r="T684" s="2" t="n">
        <v>0</v>
      </c>
      <c r="U684" s="2" t="n">
        <v>3</v>
      </c>
      <c r="V684" s="2" t="n">
        <v>3</v>
      </c>
      <c r="W684" s="2" t="n">
        <v>1</v>
      </c>
      <c r="X684" s="2" t="n">
        <v>3</v>
      </c>
      <c r="Y684" s="2" t="n">
        <v>2</v>
      </c>
      <c r="Z684" s="2" t="n">
        <v>4</v>
      </c>
    </row>
    <row r="685" customFormat="false" ht="15" hidden="false" customHeight="true" outlineLevel="0" collapsed="false">
      <c r="A685" s="2" t="n">
        <v>30</v>
      </c>
      <c r="B685" s="2" t="s">
        <v>26</v>
      </c>
      <c r="C685" s="2" t="s">
        <v>27</v>
      </c>
      <c r="D685" s="2" t="s">
        <v>28</v>
      </c>
      <c r="E685" s="2" t="n">
        <v>9</v>
      </c>
      <c r="F685" s="2" t="n">
        <v>1</v>
      </c>
      <c r="G685" s="2" t="s">
        <v>50</v>
      </c>
      <c r="H685" s="2" t="n">
        <v>684</v>
      </c>
      <c r="I685" s="2" t="s">
        <v>39</v>
      </c>
      <c r="J685" s="2" t="n">
        <v>4</v>
      </c>
      <c r="K685" s="2" t="s">
        <v>44</v>
      </c>
      <c r="L685" s="2" t="s">
        <v>32</v>
      </c>
      <c r="M685" s="2" t="n">
        <v>40890</v>
      </c>
      <c r="N685" s="2" t="n">
        <v>0</v>
      </c>
      <c r="O685" s="2" t="n">
        <v>18</v>
      </c>
      <c r="P685" s="2" t="n">
        <v>0</v>
      </c>
      <c r="Q685" s="2" t="n">
        <v>10</v>
      </c>
      <c r="R685" s="2" t="n">
        <v>2</v>
      </c>
      <c r="S685" s="2" t="n">
        <v>9</v>
      </c>
      <c r="T685" s="2" t="n">
        <v>6</v>
      </c>
      <c r="U685" s="2" t="n">
        <v>7</v>
      </c>
      <c r="V685" s="2" t="n">
        <v>1</v>
      </c>
      <c r="W685" s="2" t="n">
        <v>4</v>
      </c>
      <c r="X685" s="2" t="n">
        <v>3</v>
      </c>
      <c r="Y685" s="2" t="n">
        <v>4</v>
      </c>
      <c r="Z685" s="2" t="n">
        <v>3</v>
      </c>
    </row>
    <row r="686" customFormat="false" ht="15" hidden="false" customHeight="true" outlineLevel="0" collapsed="false">
      <c r="A686" s="2" t="n">
        <v>36</v>
      </c>
      <c r="B686" s="2" t="s">
        <v>26</v>
      </c>
      <c r="C686" s="2" t="s">
        <v>27</v>
      </c>
      <c r="D686" s="2" t="s">
        <v>28</v>
      </c>
      <c r="E686" s="2" t="n">
        <v>1</v>
      </c>
      <c r="F686" s="2" t="n">
        <v>3</v>
      </c>
      <c r="G686" s="2" t="s">
        <v>50</v>
      </c>
      <c r="H686" s="2" t="n">
        <v>685</v>
      </c>
      <c r="I686" s="2" t="s">
        <v>39</v>
      </c>
      <c r="J686" s="2" t="n">
        <v>2</v>
      </c>
      <c r="K686" s="2" t="s">
        <v>40</v>
      </c>
      <c r="L686" s="2" t="s">
        <v>32</v>
      </c>
      <c r="M686" s="2" t="n">
        <v>166270</v>
      </c>
      <c r="N686" s="2" t="n">
        <v>3</v>
      </c>
      <c r="O686" s="2" t="n">
        <v>12</v>
      </c>
      <c r="P686" s="2" t="n">
        <v>0</v>
      </c>
      <c r="Q686" s="2" t="n">
        <v>10</v>
      </c>
      <c r="R686" s="2" t="n">
        <v>5</v>
      </c>
      <c r="S686" s="2" t="n">
        <v>7</v>
      </c>
      <c r="T686" s="2" t="n">
        <v>1</v>
      </c>
      <c r="U686" s="2" t="n">
        <v>7</v>
      </c>
      <c r="V686" s="2" t="n">
        <v>4</v>
      </c>
      <c r="W686" s="2" t="n">
        <v>3</v>
      </c>
      <c r="X686" s="2" t="n">
        <v>3</v>
      </c>
      <c r="Y686" s="2" t="n">
        <v>2</v>
      </c>
      <c r="Z686" s="2" t="n">
        <v>3</v>
      </c>
    </row>
    <row r="687" customFormat="false" ht="15" hidden="false" customHeight="true" outlineLevel="0" collapsed="false">
      <c r="A687" s="2" t="n">
        <v>46</v>
      </c>
      <c r="B687" s="2" t="s">
        <v>26</v>
      </c>
      <c r="C687" s="2" t="s">
        <v>27</v>
      </c>
      <c r="D687" s="2" t="s">
        <v>28</v>
      </c>
      <c r="E687" s="2" t="n">
        <v>4</v>
      </c>
      <c r="F687" s="2" t="n">
        <v>3</v>
      </c>
      <c r="G687" s="2" t="s">
        <v>43</v>
      </c>
      <c r="H687" s="2" t="n">
        <v>686</v>
      </c>
      <c r="I687" s="2" t="s">
        <v>39</v>
      </c>
      <c r="J687" s="2" t="n">
        <v>1</v>
      </c>
      <c r="K687" s="2" t="s">
        <v>36</v>
      </c>
      <c r="L687" s="2" t="s">
        <v>37</v>
      </c>
      <c r="M687" s="2" t="n">
        <v>26190</v>
      </c>
      <c r="N687" s="2" t="n">
        <v>6</v>
      </c>
      <c r="O687" s="2" t="n">
        <v>12</v>
      </c>
      <c r="P687" s="2" t="n">
        <v>1</v>
      </c>
      <c r="Q687" s="2" t="n">
        <v>10</v>
      </c>
      <c r="R687" s="2" t="n">
        <v>3</v>
      </c>
      <c r="S687" s="2" t="n">
        <v>7</v>
      </c>
      <c r="T687" s="2" t="n">
        <v>5</v>
      </c>
      <c r="U687" s="2" t="n">
        <v>7</v>
      </c>
      <c r="V687" s="2" t="n">
        <v>4</v>
      </c>
      <c r="W687" s="2" t="n">
        <v>1</v>
      </c>
      <c r="X687" s="2" t="n">
        <v>4</v>
      </c>
      <c r="Y687" s="2" t="n">
        <v>2</v>
      </c>
      <c r="Z687" s="2" t="n">
        <v>3</v>
      </c>
    </row>
    <row r="688" customFormat="false" ht="15" hidden="false" customHeight="true" outlineLevel="0" collapsed="false">
      <c r="A688" s="2" t="n">
        <v>28</v>
      </c>
      <c r="B688" s="2" t="s">
        <v>26</v>
      </c>
      <c r="C688" s="2" t="s">
        <v>41</v>
      </c>
      <c r="D688" s="2" t="s">
        <v>35</v>
      </c>
      <c r="E688" s="2" t="n">
        <v>1</v>
      </c>
      <c r="F688" s="2" t="n">
        <v>3</v>
      </c>
      <c r="G688" s="2" t="s">
        <v>43</v>
      </c>
      <c r="H688" s="2" t="n">
        <v>687</v>
      </c>
      <c r="I688" s="2" t="s">
        <v>39</v>
      </c>
      <c r="J688" s="2" t="n">
        <v>5</v>
      </c>
      <c r="K688" s="2" t="s">
        <v>40</v>
      </c>
      <c r="L688" s="2" t="s">
        <v>32</v>
      </c>
      <c r="M688" s="2" t="n">
        <v>56790</v>
      </c>
      <c r="N688" s="2" t="n">
        <v>0</v>
      </c>
      <c r="O688" s="2" t="n">
        <v>13</v>
      </c>
      <c r="P688" s="2" t="n">
        <v>0</v>
      </c>
      <c r="Q688" s="2" t="n">
        <v>10</v>
      </c>
      <c r="R688" s="2" t="n">
        <v>2</v>
      </c>
      <c r="S688" s="2" t="n">
        <v>9</v>
      </c>
      <c r="T688" s="2" t="n">
        <v>7</v>
      </c>
      <c r="U688" s="2" t="n">
        <v>5</v>
      </c>
      <c r="V688" s="2" t="n">
        <v>3</v>
      </c>
      <c r="W688" s="2" t="n">
        <v>4</v>
      </c>
      <c r="X688" s="2" t="n">
        <v>3</v>
      </c>
      <c r="Y688" s="2" t="n">
        <v>2</v>
      </c>
      <c r="Z688" s="2" t="n">
        <v>3</v>
      </c>
    </row>
    <row r="689" customFormat="false" ht="15" hidden="false" customHeight="true" outlineLevel="0" collapsed="false">
      <c r="A689" s="2" t="n">
        <v>50</v>
      </c>
      <c r="B689" s="2" t="s">
        <v>26</v>
      </c>
      <c r="C689" s="2" t="s">
        <v>27</v>
      </c>
      <c r="D689" s="2" t="s">
        <v>35</v>
      </c>
      <c r="E689" s="2" t="n">
        <v>20</v>
      </c>
      <c r="F689" s="2" t="n">
        <v>2</v>
      </c>
      <c r="G689" s="2" t="s">
        <v>43</v>
      </c>
      <c r="H689" s="2" t="n">
        <v>688</v>
      </c>
      <c r="I689" s="2" t="s">
        <v>30</v>
      </c>
      <c r="J689" s="2" t="n">
        <v>5</v>
      </c>
      <c r="K689" s="2" t="s">
        <v>45</v>
      </c>
      <c r="L689" s="2" t="s">
        <v>32</v>
      </c>
      <c r="M689" s="2" t="n">
        <v>154020</v>
      </c>
      <c r="N689" s="2" t="n">
        <v>4</v>
      </c>
      <c r="O689" s="2" t="n">
        <v>21</v>
      </c>
      <c r="P689" s="2" t="n">
        <v>0</v>
      </c>
      <c r="Q689" s="2" t="n">
        <v>25</v>
      </c>
      <c r="R689" s="2" t="n">
        <v>3</v>
      </c>
      <c r="S689" s="2" t="n">
        <v>3</v>
      </c>
      <c r="T689" s="2" t="n">
        <v>1</v>
      </c>
      <c r="U689" s="2" t="n">
        <v>2</v>
      </c>
      <c r="V689" s="2" t="n">
        <v>4</v>
      </c>
      <c r="W689" s="2" t="n">
        <v>1</v>
      </c>
      <c r="X689" s="2" t="n">
        <v>3</v>
      </c>
      <c r="Y689" s="2" t="n">
        <v>2</v>
      </c>
      <c r="Z689" s="2" t="n">
        <v>4</v>
      </c>
    </row>
    <row r="690" customFormat="false" ht="15" hidden="false" customHeight="true" outlineLevel="0" collapsed="false">
      <c r="A690" s="2" t="n">
        <v>40</v>
      </c>
      <c r="B690" s="2" t="s">
        <v>33</v>
      </c>
      <c r="C690" s="2" t="s">
        <v>27</v>
      </c>
      <c r="D690" s="2" t="s">
        <v>28</v>
      </c>
      <c r="E690" s="2" t="n">
        <v>8</v>
      </c>
      <c r="F690" s="2" t="n">
        <v>1</v>
      </c>
      <c r="G690" s="2" t="s">
        <v>38</v>
      </c>
      <c r="H690" s="2" t="n">
        <v>689</v>
      </c>
      <c r="I690" s="2" t="s">
        <v>39</v>
      </c>
      <c r="J690" s="2" t="n">
        <v>1</v>
      </c>
      <c r="K690" s="2" t="s">
        <v>45</v>
      </c>
      <c r="L690" s="2" t="s">
        <v>37</v>
      </c>
      <c r="M690" s="2" t="n">
        <v>59850</v>
      </c>
      <c r="N690" s="2" t="n">
        <v>2</v>
      </c>
      <c r="O690" s="2" t="n">
        <v>13</v>
      </c>
      <c r="P690" s="2" t="n">
        <v>3</v>
      </c>
      <c r="Q690" s="2" t="n">
        <v>9</v>
      </c>
      <c r="R690" s="2" t="n">
        <v>1</v>
      </c>
      <c r="S690" s="2" t="n">
        <v>5</v>
      </c>
      <c r="T690" s="2" t="n">
        <v>1</v>
      </c>
      <c r="U690" s="2" t="n">
        <v>0</v>
      </c>
      <c r="V690" s="2" t="n">
        <v>4</v>
      </c>
      <c r="W690" s="2" t="n">
        <v>2</v>
      </c>
      <c r="X690" s="2" t="n">
        <v>3</v>
      </c>
      <c r="Y690" s="2" t="n">
        <v>2</v>
      </c>
      <c r="Z690" s="2" t="n">
        <v>3</v>
      </c>
    </row>
    <row r="691" customFormat="false" ht="15" hidden="false" customHeight="true" outlineLevel="0" collapsed="false">
      <c r="A691" s="2" t="n">
        <v>52</v>
      </c>
      <c r="B691" s="2" t="s">
        <v>33</v>
      </c>
      <c r="C691" s="2" t="s">
        <v>27</v>
      </c>
      <c r="D691" s="2" t="s">
        <v>35</v>
      </c>
      <c r="E691" s="2" t="n">
        <v>3</v>
      </c>
      <c r="F691" s="2" t="n">
        <v>2</v>
      </c>
      <c r="G691" s="2" t="s">
        <v>51</v>
      </c>
      <c r="H691" s="2" t="n">
        <v>690</v>
      </c>
      <c r="I691" s="2" t="s">
        <v>39</v>
      </c>
      <c r="J691" s="2" t="n">
        <v>3</v>
      </c>
      <c r="K691" s="2" t="s">
        <v>45</v>
      </c>
      <c r="L691" s="2" t="s">
        <v>37</v>
      </c>
      <c r="M691" s="2" t="n">
        <v>25790</v>
      </c>
      <c r="N691" s="2" t="n">
        <v>9</v>
      </c>
      <c r="O691" s="2" t="n">
        <v>19</v>
      </c>
      <c r="P691" s="2" t="n">
        <v>1</v>
      </c>
      <c r="Q691" s="2" t="n">
        <v>10</v>
      </c>
      <c r="R691" s="2" t="n">
        <v>1</v>
      </c>
      <c r="S691" s="2" t="n">
        <v>8</v>
      </c>
      <c r="T691" s="2" t="n">
        <v>7</v>
      </c>
      <c r="U691" s="2" t="n">
        <v>7</v>
      </c>
      <c r="V691" s="2" t="n">
        <v>2</v>
      </c>
      <c r="W691" s="2" t="n">
        <v>2</v>
      </c>
      <c r="X691" s="2" t="n">
        <v>2</v>
      </c>
      <c r="Y691" s="2" t="n">
        <v>3</v>
      </c>
      <c r="Z691" s="2" t="n">
        <v>3</v>
      </c>
    </row>
    <row r="692" customFormat="false" ht="15" hidden="false" customHeight="true" outlineLevel="0" collapsed="false">
      <c r="A692" s="2" t="n">
        <v>30</v>
      </c>
      <c r="B692" s="2" t="s">
        <v>26</v>
      </c>
      <c r="C692" s="2" t="s">
        <v>27</v>
      </c>
      <c r="D692" s="2" t="s">
        <v>35</v>
      </c>
      <c r="E692" s="2" t="n">
        <v>6</v>
      </c>
      <c r="F692" s="2" t="n">
        <v>4</v>
      </c>
      <c r="G692" s="2" t="s">
        <v>43</v>
      </c>
      <c r="H692" s="2" t="n">
        <v>691</v>
      </c>
      <c r="I692" s="2" t="s">
        <v>30</v>
      </c>
      <c r="J692" s="2" t="n">
        <v>1</v>
      </c>
      <c r="K692" s="2" t="s">
        <v>40</v>
      </c>
      <c r="L692" s="2" t="s">
        <v>32</v>
      </c>
      <c r="M692" s="2" t="n">
        <v>30410</v>
      </c>
      <c r="N692" s="2" t="n">
        <v>1</v>
      </c>
      <c r="O692" s="2" t="n">
        <v>11</v>
      </c>
      <c r="P692" s="2" t="n">
        <v>1</v>
      </c>
      <c r="Q692" s="2" t="n">
        <v>9</v>
      </c>
      <c r="R692" s="2" t="n">
        <v>2</v>
      </c>
      <c r="S692" s="2" t="n">
        <v>9</v>
      </c>
      <c r="T692" s="2" t="n">
        <v>0</v>
      </c>
      <c r="U692" s="2" t="n">
        <v>8</v>
      </c>
      <c r="V692" s="2" t="n">
        <v>2</v>
      </c>
      <c r="W692" s="2" t="n">
        <v>1</v>
      </c>
      <c r="X692" s="2" t="n">
        <v>3</v>
      </c>
      <c r="Y692" s="2" t="n">
        <v>2</v>
      </c>
      <c r="Z692" s="2" t="n">
        <v>3</v>
      </c>
    </row>
    <row r="693" customFormat="false" ht="15" hidden="false" customHeight="true" outlineLevel="0" collapsed="false">
      <c r="A693" s="2" t="n">
        <v>39</v>
      </c>
      <c r="B693" s="2" t="s">
        <v>26</v>
      </c>
      <c r="C693" s="2" t="s">
        <v>27</v>
      </c>
      <c r="D693" s="2" t="s">
        <v>35</v>
      </c>
      <c r="E693" s="2" t="n">
        <v>26</v>
      </c>
      <c r="F693" s="2" t="n">
        <v>1</v>
      </c>
      <c r="G693" s="2" t="s">
        <v>43</v>
      </c>
      <c r="H693" s="2" t="n">
        <v>692</v>
      </c>
      <c r="I693" s="2" t="s">
        <v>39</v>
      </c>
      <c r="J693" s="2" t="n">
        <v>2</v>
      </c>
      <c r="K693" s="2" t="s">
        <v>31</v>
      </c>
      <c r="L693" s="2" t="s">
        <v>37</v>
      </c>
      <c r="M693" s="2" t="n">
        <v>34470</v>
      </c>
      <c r="N693" s="2" t="n">
        <v>0</v>
      </c>
      <c r="O693" s="2" t="n">
        <v>14</v>
      </c>
      <c r="P693" s="2" t="n">
        <v>0</v>
      </c>
      <c r="Q693" s="2" t="n">
        <v>9</v>
      </c>
      <c r="R693" s="2" t="n">
        <v>5</v>
      </c>
      <c r="S693" s="2" t="n">
        <v>8</v>
      </c>
      <c r="T693" s="2" t="n">
        <v>1</v>
      </c>
      <c r="U693" s="2" t="n">
        <v>7</v>
      </c>
      <c r="V693" s="2" t="n">
        <v>1</v>
      </c>
      <c r="W693" s="2" t="n">
        <v>3</v>
      </c>
      <c r="X693" s="2" t="n">
        <v>3</v>
      </c>
      <c r="Y693" s="2" t="n">
        <v>3</v>
      </c>
      <c r="Z693" s="2" t="n">
        <v>3</v>
      </c>
    </row>
    <row r="694" customFormat="false" ht="15" hidden="false" customHeight="true" outlineLevel="0" collapsed="false">
      <c r="A694" s="2" t="n">
        <v>31</v>
      </c>
      <c r="B694" s="2" t="s">
        <v>26</v>
      </c>
      <c r="C694" s="2" t="s">
        <v>41</v>
      </c>
      <c r="D694" s="2" t="s">
        <v>35</v>
      </c>
      <c r="E694" s="2" t="n">
        <v>1</v>
      </c>
      <c r="F694" s="2" t="n">
        <v>2</v>
      </c>
      <c r="G694" s="2" t="s">
        <v>43</v>
      </c>
      <c r="H694" s="2" t="n">
        <v>693</v>
      </c>
      <c r="I694" s="2" t="s">
        <v>39</v>
      </c>
      <c r="J694" s="2" t="n">
        <v>1</v>
      </c>
      <c r="K694" s="2" t="s">
        <v>40</v>
      </c>
      <c r="L694" s="2" t="s">
        <v>46</v>
      </c>
      <c r="M694" s="2" t="n">
        <v>195130</v>
      </c>
      <c r="N694" s="2" t="n">
        <v>1</v>
      </c>
      <c r="O694" s="2" t="n">
        <v>12</v>
      </c>
      <c r="P694" s="2" t="n">
        <v>1</v>
      </c>
      <c r="Q694" s="2" t="n">
        <v>10</v>
      </c>
      <c r="R694" s="2" t="n">
        <v>1</v>
      </c>
      <c r="S694" s="2" t="n">
        <v>10</v>
      </c>
      <c r="T694" s="2" t="n">
        <v>9</v>
      </c>
      <c r="U694" s="2" t="n">
        <v>6</v>
      </c>
      <c r="V694" s="2" t="n">
        <v>4</v>
      </c>
      <c r="W694" s="2" t="n">
        <v>3</v>
      </c>
      <c r="X694" s="2" t="n">
        <v>2</v>
      </c>
      <c r="Y694" s="2" t="n">
        <v>2</v>
      </c>
      <c r="Z694" s="2" t="n">
        <v>3</v>
      </c>
    </row>
    <row r="695" customFormat="false" ht="15" hidden="false" customHeight="true" outlineLevel="0" collapsed="false">
      <c r="A695" s="2" t="n">
        <v>41</v>
      </c>
      <c r="B695" s="2" t="s">
        <v>26</v>
      </c>
      <c r="C695" s="2" t="s">
        <v>41</v>
      </c>
      <c r="D695" s="2" t="s">
        <v>28</v>
      </c>
      <c r="E695" s="2" t="n">
        <v>6</v>
      </c>
      <c r="F695" s="2" t="n">
        <v>3</v>
      </c>
      <c r="G695" s="2" t="s">
        <v>29</v>
      </c>
      <c r="H695" s="2" t="n">
        <v>694</v>
      </c>
      <c r="I695" s="2" t="s">
        <v>30</v>
      </c>
      <c r="J695" s="2" t="n">
        <v>1</v>
      </c>
      <c r="K695" s="2" t="s">
        <v>44</v>
      </c>
      <c r="L695" s="2" t="s">
        <v>37</v>
      </c>
      <c r="M695" s="2" t="n">
        <v>27730</v>
      </c>
      <c r="N695" s="2" t="n">
        <v>1</v>
      </c>
      <c r="O695" s="2" t="n">
        <v>11</v>
      </c>
      <c r="P695" s="2" t="n">
        <v>0</v>
      </c>
      <c r="Q695" s="2" t="n">
        <v>19</v>
      </c>
      <c r="R695" s="2" t="n">
        <v>3</v>
      </c>
      <c r="S695" s="2" t="n">
        <v>19</v>
      </c>
      <c r="T695" s="2" t="n">
        <v>11</v>
      </c>
      <c r="U695" s="2" t="n">
        <v>9</v>
      </c>
      <c r="V695" s="2" t="n">
        <v>3</v>
      </c>
      <c r="W695" s="2" t="n">
        <v>2</v>
      </c>
      <c r="X695" s="2" t="n">
        <v>3</v>
      </c>
      <c r="Y695" s="2" t="n">
        <v>3</v>
      </c>
      <c r="Z695" s="2" t="n">
        <v>3</v>
      </c>
    </row>
    <row r="696" customFormat="false" ht="15" hidden="false" customHeight="true" outlineLevel="0" collapsed="false">
      <c r="A696" s="2" t="n">
        <v>31</v>
      </c>
      <c r="B696" s="2" t="s">
        <v>33</v>
      </c>
      <c r="C696" s="2" t="s">
        <v>34</v>
      </c>
      <c r="D696" s="2" t="s">
        <v>35</v>
      </c>
      <c r="E696" s="2" t="n">
        <v>3</v>
      </c>
      <c r="F696" s="2" t="n">
        <v>1</v>
      </c>
      <c r="G696" s="2" t="s">
        <v>29</v>
      </c>
      <c r="H696" s="2" t="n">
        <v>695</v>
      </c>
      <c r="I696" s="2" t="s">
        <v>39</v>
      </c>
      <c r="J696" s="2" t="n">
        <v>1</v>
      </c>
      <c r="K696" s="2" t="s">
        <v>40</v>
      </c>
      <c r="L696" s="2" t="s">
        <v>37</v>
      </c>
      <c r="M696" s="2" t="n">
        <v>71040</v>
      </c>
      <c r="N696" s="2" t="n">
        <v>1</v>
      </c>
      <c r="O696" s="2" t="n">
        <v>14</v>
      </c>
      <c r="P696" s="2" t="n">
        <v>1</v>
      </c>
      <c r="Q696" s="2" t="n">
        <v>3</v>
      </c>
      <c r="R696" s="2" t="n">
        <v>3</v>
      </c>
      <c r="S696" s="2" t="n">
        <v>3</v>
      </c>
      <c r="T696" s="2" t="n">
        <v>2</v>
      </c>
      <c r="U696" s="2" t="n">
        <v>2</v>
      </c>
      <c r="V696" s="2" t="n">
        <v>4</v>
      </c>
      <c r="W696" s="2" t="n">
        <v>2</v>
      </c>
      <c r="X696" s="2" t="n">
        <v>4</v>
      </c>
      <c r="Y696" s="2" t="n">
        <v>3</v>
      </c>
      <c r="Z696" s="2" t="n">
        <v>3</v>
      </c>
    </row>
    <row r="697" customFormat="false" ht="15" hidden="false" customHeight="true" outlineLevel="0" collapsed="false">
      <c r="A697" s="2" t="n">
        <v>44</v>
      </c>
      <c r="B697" s="2" t="s">
        <v>33</v>
      </c>
      <c r="C697" s="2" t="s">
        <v>27</v>
      </c>
      <c r="D697" s="2" t="s">
        <v>28</v>
      </c>
      <c r="E697" s="2" t="n">
        <v>5</v>
      </c>
      <c r="F697" s="2" t="n">
        <v>3</v>
      </c>
      <c r="G697" s="2" t="s">
        <v>29</v>
      </c>
      <c r="H697" s="2" t="n">
        <v>696</v>
      </c>
      <c r="I697" s="2" t="s">
        <v>39</v>
      </c>
      <c r="J697" s="2" t="n">
        <v>1</v>
      </c>
      <c r="K697" s="2" t="s">
        <v>45</v>
      </c>
      <c r="L697" s="2" t="s">
        <v>32</v>
      </c>
      <c r="M697" s="2" t="n">
        <v>63220</v>
      </c>
      <c r="N697" s="2" t="n">
        <v>4</v>
      </c>
      <c r="O697" s="2" t="n">
        <v>11</v>
      </c>
      <c r="P697" s="2" t="n">
        <v>1</v>
      </c>
      <c r="Q697" s="2" t="n">
        <v>10</v>
      </c>
      <c r="R697" s="2" t="n">
        <v>2</v>
      </c>
      <c r="S697" s="2" t="n">
        <v>3</v>
      </c>
      <c r="T697" s="2" t="n">
        <v>1</v>
      </c>
      <c r="U697" s="2" t="n">
        <v>2</v>
      </c>
      <c r="V697" s="2" t="n">
        <v>1</v>
      </c>
      <c r="W697" s="2" t="n">
        <v>1</v>
      </c>
      <c r="X697" s="2" t="n">
        <v>4</v>
      </c>
      <c r="Y697" s="2" t="n">
        <v>3</v>
      </c>
      <c r="Z697" s="2" t="n">
        <v>3</v>
      </c>
    </row>
    <row r="698" customFormat="false" ht="15" hidden="false" customHeight="true" outlineLevel="0" collapsed="false">
      <c r="A698" s="2" t="n">
        <v>42</v>
      </c>
      <c r="B698" s="2" t="s">
        <v>26</v>
      </c>
      <c r="C698" s="2" t="s">
        <v>41</v>
      </c>
      <c r="D698" s="2" t="s">
        <v>35</v>
      </c>
      <c r="E698" s="2" t="n">
        <v>4</v>
      </c>
      <c r="F698" s="2" t="n">
        <v>3</v>
      </c>
      <c r="G698" s="2" t="s">
        <v>29</v>
      </c>
      <c r="H698" s="2" t="n">
        <v>697</v>
      </c>
      <c r="I698" s="2" t="s">
        <v>39</v>
      </c>
      <c r="J698" s="2" t="n">
        <v>2</v>
      </c>
      <c r="K698" s="2" t="s">
        <v>45</v>
      </c>
      <c r="L698" s="2" t="s">
        <v>32</v>
      </c>
      <c r="M698" s="2" t="n">
        <v>20830</v>
      </c>
      <c r="N698" s="2" t="n">
        <v>0</v>
      </c>
      <c r="O698" s="2" t="n">
        <v>12</v>
      </c>
      <c r="P698" s="2" t="n">
        <v>2</v>
      </c>
      <c r="Q698" s="2" t="n">
        <v>21</v>
      </c>
      <c r="R698" s="2" t="n">
        <v>3</v>
      </c>
      <c r="S698" s="2" t="n">
        <v>20</v>
      </c>
      <c r="T698" s="2" t="n">
        <v>2</v>
      </c>
      <c r="U698" s="2" t="n">
        <v>10</v>
      </c>
      <c r="V698" s="2" t="n">
        <v>3</v>
      </c>
      <c r="W698" s="2" t="n">
        <v>3</v>
      </c>
      <c r="X698" s="2" t="n">
        <v>2</v>
      </c>
      <c r="Y698" s="2" t="n">
        <v>2</v>
      </c>
      <c r="Z698" s="2" t="n">
        <v>3</v>
      </c>
    </row>
    <row r="699" customFormat="false" ht="15" hidden="false" customHeight="true" outlineLevel="0" collapsed="false">
      <c r="A699" s="2" t="n">
        <v>55</v>
      </c>
      <c r="B699" s="2" t="s">
        <v>26</v>
      </c>
      <c r="C699" s="2" t="s">
        <v>27</v>
      </c>
      <c r="D699" s="2" t="s">
        <v>28</v>
      </c>
      <c r="E699" s="2" t="n">
        <v>11</v>
      </c>
      <c r="F699" s="2" t="n">
        <v>3</v>
      </c>
      <c r="G699" s="2" t="s">
        <v>51</v>
      </c>
      <c r="H699" s="2" t="n">
        <v>698</v>
      </c>
      <c r="I699" s="2" t="s">
        <v>39</v>
      </c>
      <c r="J699" s="2" t="n">
        <v>2</v>
      </c>
      <c r="K699" s="2" t="s">
        <v>47</v>
      </c>
      <c r="L699" s="2" t="s">
        <v>32</v>
      </c>
      <c r="M699" s="2" t="n">
        <v>83810</v>
      </c>
      <c r="N699" s="2" t="n">
        <v>4</v>
      </c>
      <c r="O699" s="2" t="n">
        <v>15</v>
      </c>
      <c r="P699" s="2" t="n">
        <v>1</v>
      </c>
      <c r="Q699" s="2" t="n">
        <v>23</v>
      </c>
      <c r="R699" s="2" t="n">
        <v>3</v>
      </c>
      <c r="S699" s="2" t="n">
        <v>19</v>
      </c>
      <c r="T699" s="2" t="n">
        <v>9</v>
      </c>
      <c r="U699" s="2" t="n">
        <v>11</v>
      </c>
      <c r="V699" s="2" t="n">
        <v>4</v>
      </c>
      <c r="W699" s="2" t="n">
        <v>3</v>
      </c>
      <c r="X699" s="2" t="n">
        <v>3</v>
      </c>
      <c r="Y699" s="2" t="n">
        <v>3</v>
      </c>
      <c r="Z699" s="2" t="n">
        <v>3</v>
      </c>
    </row>
    <row r="700" customFormat="false" ht="15" hidden="false" customHeight="true" outlineLevel="0" collapsed="false">
      <c r="A700" s="2" t="n">
        <v>56</v>
      </c>
      <c r="B700" s="2" t="s">
        <v>26</v>
      </c>
      <c r="C700" s="2" t="s">
        <v>27</v>
      </c>
      <c r="D700" s="2" t="s">
        <v>28</v>
      </c>
      <c r="E700" s="2" t="n">
        <v>3</v>
      </c>
      <c r="F700" s="2" t="n">
        <v>2</v>
      </c>
      <c r="G700" s="2" t="s">
        <v>43</v>
      </c>
      <c r="H700" s="2" t="n">
        <v>699</v>
      </c>
      <c r="I700" s="2" t="s">
        <v>30</v>
      </c>
      <c r="J700" s="2" t="n">
        <v>3</v>
      </c>
      <c r="K700" s="2" t="s">
        <v>47</v>
      </c>
      <c r="L700" s="2" t="s">
        <v>37</v>
      </c>
      <c r="M700" s="2" t="n">
        <v>26910</v>
      </c>
      <c r="N700" s="2" t="n">
        <v>6</v>
      </c>
      <c r="O700" s="2" t="n">
        <v>16</v>
      </c>
      <c r="P700" s="2" t="n">
        <v>1</v>
      </c>
      <c r="Q700" s="2" t="n">
        <v>36</v>
      </c>
      <c r="R700" s="2" t="n">
        <v>6</v>
      </c>
      <c r="S700" s="2" t="n">
        <v>7</v>
      </c>
      <c r="T700" s="2" t="n">
        <v>7</v>
      </c>
      <c r="U700" s="2" t="n">
        <v>7</v>
      </c>
      <c r="V700" s="2" t="n">
        <v>4</v>
      </c>
      <c r="W700" s="2" t="n">
        <v>2</v>
      </c>
      <c r="X700" s="2" t="n">
        <v>3</v>
      </c>
      <c r="Y700" s="2" t="n">
        <v>3</v>
      </c>
      <c r="Z700" s="2" t="n">
        <v>3</v>
      </c>
    </row>
    <row r="701" customFormat="false" ht="15" hidden="false" customHeight="true" outlineLevel="0" collapsed="false">
      <c r="A701" s="2" t="n">
        <v>40</v>
      </c>
      <c r="B701" s="2" t="s">
        <v>26</v>
      </c>
      <c r="C701" s="2" t="s">
        <v>41</v>
      </c>
      <c r="D701" s="2" t="s">
        <v>35</v>
      </c>
      <c r="E701" s="2" t="n">
        <v>1</v>
      </c>
      <c r="F701" s="2" t="n">
        <v>1</v>
      </c>
      <c r="G701" s="2" t="s">
        <v>29</v>
      </c>
      <c r="H701" s="2" t="n">
        <v>700</v>
      </c>
      <c r="I701" s="2" t="s">
        <v>39</v>
      </c>
      <c r="J701" s="2" t="n">
        <v>1</v>
      </c>
      <c r="K701" s="2" t="s">
        <v>45</v>
      </c>
      <c r="L701" s="2" t="s">
        <v>46</v>
      </c>
      <c r="M701" s="2" t="n">
        <v>42860</v>
      </c>
      <c r="N701" s="2" t="n">
        <v>9</v>
      </c>
      <c r="O701" s="2" t="n">
        <v>15</v>
      </c>
      <c r="P701" s="2" t="n">
        <v>0</v>
      </c>
      <c r="Q701" s="2" t="n">
        <v>6</v>
      </c>
      <c r="R701" s="2" t="n">
        <v>6</v>
      </c>
      <c r="S701" s="2" t="n">
        <v>4</v>
      </c>
      <c r="T701" s="2" t="n">
        <v>0</v>
      </c>
      <c r="U701" s="2" t="n">
        <v>0</v>
      </c>
      <c r="V701" s="2" t="n">
        <v>3</v>
      </c>
      <c r="W701" s="2" t="n">
        <v>3</v>
      </c>
      <c r="X701" s="2" t="n">
        <v>3</v>
      </c>
      <c r="Y701" s="2" t="n">
        <v>3</v>
      </c>
      <c r="Z701" s="2" t="n">
        <v>3</v>
      </c>
    </row>
    <row r="702" customFormat="false" ht="15" hidden="false" customHeight="true" outlineLevel="0" collapsed="false">
      <c r="A702" s="2" t="n">
        <v>34</v>
      </c>
      <c r="B702" s="2" t="s">
        <v>26</v>
      </c>
      <c r="C702" s="2" t="s">
        <v>27</v>
      </c>
      <c r="D702" s="2" t="s">
        <v>35</v>
      </c>
      <c r="E702" s="2" t="n">
        <v>3</v>
      </c>
      <c r="F702" s="2" t="n">
        <v>2</v>
      </c>
      <c r="G702" s="2" t="s">
        <v>51</v>
      </c>
      <c r="H702" s="2" t="n">
        <v>701</v>
      </c>
      <c r="I702" s="2" t="s">
        <v>39</v>
      </c>
      <c r="J702" s="2" t="n">
        <v>2</v>
      </c>
      <c r="K702" s="2" t="s">
        <v>44</v>
      </c>
      <c r="L702" s="2" t="s">
        <v>46</v>
      </c>
      <c r="M702" s="2" t="n">
        <v>26590</v>
      </c>
      <c r="N702" s="2" t="n">
        <v>0</v>
      </c>
      <c r="O702" s="2" t="n">
        <v>24</v>
      </c>
      <c r="P702" s="2" t="n">
        <v>3</v>
      </c>
      <c r="Q702" s="2" t="n">
        <v>10</v>
      </c>
      <c r="R702" s="2" t="n">
        <v>2</v>
      </c>
      <c r="S702" s="2" t="n">
        <v>9</v>
      </c>
      <c r="T702" s="2" t="n">
        <v>1</v>
      </c>
      <c r="U702" s="2" t="n">
        <v>6</v>
      </c>
      <c r="V702" s="2" t="n">
        <v>4</v>
      </c>
      <c r="W702" s="2" t="n">
        <v>4</v>
      </c>
      <c r="X702" s="2" t="n">
        <v>2</v>
      </c>
      <c r="Y702" s="2" t="n">
        <v>3</v>
      </c>
      <c r="Z702" s="2" t="n">
        <v>4</v>
      </c>
    </row>
    <row r="703" customFormat="false" ht="15" hidden="false" customHeight="true" outlineLevel="0" collapsed="false">
      <c r="A703" s="2" t="n">
        <v>40</v>
      </c>
      <c r="B703" s="2" t="s">
        <v>26</v>
      </c>
      <c r="C703" s="2" t="s">
        <v>27</v>
      </c>
      <c r="D703" s="2" t="s">
        <v>28</v>
      </c>
      <c r="E703" s="2" t="n">
        <v>4</v>
      </c>
      <c r="F703" s="2" t="n">
        <v>3</v>
      </c>
      <c r="G703" s="2" t="s">
        <v>43</v>
      </c>
      <c r="H703" s="2" t="n">
        <v>702</v>
      </c>
      <c r="I703" s="2" t="s">
        <v>39</v>
      </c>
      <c r="J703" s="2" t="n">
        <v>2</v>
      </c>
      <c r="K703" s="2" t="s">
        <v>40</v>
      </c>
      <c r="L703" s="2" t="s">
        <v>37</v>
      </c>
      <c r="M703" s="2" t="n">
        <v>94340</v>
      </c>
      <c r="N703" s="2" t="n">
        <v>1</v>
      </c>
      <c r="O703" s="2" t="n">
        <v>13</v>
      </c>
      <c r="P703" s="2" t="n">
        <v>1</v>
      </c>
      <c r="Q703" s="2" t="n">
        <v>9</v>
      </c>
      <c r="R703" s="2" t="n">
        <v>3</v>
      </c>
      <c r="S703" s="2" t="n">
        <v>9</v>
      </c>
      <c r="T703" s="2" t="n">
        <v>8</v>
      </c>
      <c r="U703" s="2" t="n">
        <v>8</v>
      </c>
      <c r="V703" s="2" t="n">
        <v>3</v>
      </c>
      <c r="W703" s="2" t="n">
        <v>4</v>
      </c>
      <c r="X703" s="2" t="n">
        <v>3</v>
      </c>
      <c r="Y703" s="2" t="n">
        <v>2</v>
      </c>
      <c r="Z703" s="2" t="n">
        <v>3</v>
      </c>
    </row>
    <row r="704" customFormat="false" ht="15" hidden="false" customHeight="true" outlineLevel="0" collapsed="false">
      <c r="A704" s="2" t="n">
        <v>41</v>
      </c>
      <c r="B704" s="2" t="s">
        <v>26</v>
      </c>
      <c r="C704" s="2" t="s">
        <v>34</v>
      </c>
      <c r="D704" s="2" t="s">
        <v>28</v>
      </c>
      <c r="E704" s="2" t="n">
        <v>1</v>
      </c>
      <c r="F704" s="2" t="n">
        <v>4</v>
      </c>
      <c r="G704" s="2" t="s">
        <v>38</v>
      </c>
      <c r="H704" s="2" t="n">
        <v>703</v>
      </c>
      <c r="I704" s="2" t="s">
        <v>30</v>
      </c>
      <c r="J704" s="2" t="n">
        <v>2</v>
      </c>
      <c r="K704" s="2" t="s">
        <v>31</v>
      </c>
      <c r="L704" s="2" t="s">
        <v>46</v>
      </c>
      <c r="M704" s="2" t="n">
        <v>55610</v>
      </c>
      <c r="N704" s="2" t="n">
        <v>0</v>
      </c>
      <c r="O704" s="2" t="n">
        <v>11</v>
      </c>
      <c r="P704" s="2" t="n">
        <v>0</v>
      </c>
      <c r="Q704" s="2" t="n">
        <v>10</v>
      </c>
      <c r="R704" s="2" t="n">
        <v>2</v>
      </c>
      <c r="S704" s="2" t="n">
        <v>9</v>
      </c>
      <c r="T704" s="2" t="n">
        <v>1</v>
      </c>
      <c r="U704" s="2" t="n">
        <v>7</v>
      </c>
      <c r="V704" s="2" t="n">
        <v>3</v>
      </c>
      <c r="W704" s="2" t="n">
        <v>1</v>
      </c>
      <c r="X704" s="2" t="n">
        <v>3</v>
      </c>
      <c r="Y704" s="2" t="n">
        <v>2</v>
      </c>
      <c r="Z704" s="2" t="n">
        <v>3</v>
      </c>
    </row>
    <row r="705" customFormat="false" ht="15" hidden="false" customHeight="true" outlineLevel="0" collapsed="false">
      <c r="A705" s="2" t="n">
        <v>35</v>
      </c>
      <c r="B705" s="2" t="s">
        <v>26</v>
      </c>
      <c r="C705" s="2" t="s">
        <v>34</v>
      </c>
      <c r="D705" s="2" t="s">
        <v>28</v>
      </c>
      <c r="E705" s="2" t="n">
        <v>1</v>
      </c>
      <c r="F705" s="2" t="n">
        <v>2</v>
      </c>
      <c r="G705" s="2" t="s">
        <v>51</v>
      </c>
      <c r="H705" s="2" t="n">
        <v>704</v>
      </c>
      <c r="I705" s="2" t="s">
        <v>39</v>
      </c>
      <c r="J705" s="2" t="n">
        <v>2</v>
      </c>
      <c r="K705" s="2" t="s">
        <v>49</v>
      </c>
      <c r="L705" s="2" t="s">
        <v>37</v>
      </c>
      <c r="M705" s="2" t="n">
        <v>66460</v>
      </c>
      <c r="N705" s="2" t="n">
        <v>1</v>
      </c>
      <c r="O705" s="2" t="n">
        <v>13</v>
      </c>
      <c r="P705" s="2" t="n">
        <v>1</v>
      </c>
      <c r="Q705" s="2" t="n">
        <v>9</v>
      </c>
      <c r="R705" s="2" t="n">
        <v>2</v>
      </c>
      <c r="S705" s="2" t="n">
        <v>9</v>
      </c>
      <c r="T705" s="2" t="n">
        <v>1</v>
      </c>
      <c r="U705" s="2" t="n">
        <v>1</v>
      </c>
      <c r="V705" s="2" t="n">
        <v>3</v>
      </c>
      <c r="W705" s="2" t="n">
        <v>3</v>
      </c>
      <c r="X705" s="2" t="n">
        <v>3</v>
      </c>
      <c r="Y705" s="2" t="n">
        <v>2</v>
      </c>
      <c r="Z705" s="2" t="n">
        <v>3</v>
      </c>
    </row>
    <row r="706" customFormat="false" ht="15" hidden="false" customHeight="true" outlineLevel="0" collapsed="false">
      <c r="A706" s="2" t="n">
        <v>51</v>
      </c>
      <c r="B706" s="2" t="s">
        <v>26</v>
      </c>
      <c r="C706" s="2" t="s">
        <v>27</v>
      </c>
      <c r="D706" s="2" t="s">
        <v>28</v>
      </c>
      <c r="E706" s="2" t="n">
        <v>18</v>
      </c>
      <c r="F706" s="2" t="n">
        <v>2</v>
      </c>
      <c r="G706" s="2" t="s">
        <v>29</v>
      </c>
      <c r="H706" s="2" t="n">
        <v>705</v>
      </c>
      <c r="I706" s="2" t="s">
        <v>39</v>
      </c>
      <c r="J706" s="2" t="n">
        <v>4</v>
      </c>
      <c r="K706" s="2" t="s">
        <v>47</v>
      </c>
      <c r="L706" s="2" t="s">
        <v>46</v>
      </c>
      <c r="M706" s="2" t="n">
        <v>77250</v>
      </c>
      <c r="N706" s="2" t="n">
        <v>1</v>
      </c>
      <c r="O706" s="2" t="n">
        <v>13</v>
      </c>
      <c r="P706" s="2" t="n">
        <v>1</v>
      </c>
      <c r="Q706" s="2" t="n">
        <v>33</v>
      </c>
      <c r="R706" s="2" t="n">
        <v>2</v>
      </c>
      <c r="S706" s="2" t="n">
        <v>33</v>
      </c>
      <c r="T706" s="2" t="n">
        <v>0</v>
      </c>
      <c r="U706" s="2" t="n">
        <v>10</v>
      </c>
      <c r="V706" s="2" t="n">
        <v>3</v>
      </c>
      <c r="W706" s="2" t="n">
        <v>2</v>
      </c>
      <c r="X706" s="2" t="n">
        <v>3</v>
      </c>
      <c r="Y706" s="2" t="n">
        <v>3</v>
      </c>
      <c r="Z706" s="2" t="n">
        <v>3</v>
      </c>
    </row>
    <row r="707" customFormat="false" ht="15" hidden="false" customHeight="true" outlineLevel="0" collapsed="false">
      <c r="A707" s="2" t="n">
        <v>38</v>
      </c>
      <c r="B707" s="2" t="s">
        <v>26</v>
      </c>
      <c r="C707" s="2" t="s">
        <v>27</v>
      </c>
      <c r="D707" s="2" t="s">
        <v>28</v>
      </c>
      <c r="E707" s="2" t="n">
        <v>2</v>
      </c>
      <c r="F707" s="2" t="n">
        <v>4</v>
      </c>
      <c r="G707" s="2" t="s">
        <v>29</v>
      </c>
      <c r="H707" s="2" t="n">
        <v>706</v>
      </c>
      <c r="I707" s="2" t="s">
        <v>30</v>
      </c>
      <c r="J707" s="2" t="n">
        <v>1</v>
      </c>
      <c r="K707" s="2" t="s">
        <v>36</v>
      </c>
      <c r="L707" s="2" t="s">
        <v>46</v>
      </c>
      <c r="M707" s="2" t="n">
        <v>107250</v>
      </c>
      <c r="N707" s="2" t="n">
        <v>3</v>
      </c>
      <c r="O707" s="2" t="n">
        <v>18</v>
      </c>
      <c r="P707" s="2" t="n">
        <v>0</v>
      </c>
      <c r="Q707" s="2" t="n">
        <v>11</v>
      </c>
      <c r="R707" s="2" t="n">
        <v>5</v>
      </c>
      <c r="S707" s="2" t="n">
        <v>7</v>
      </c>
      <c r="T707" s="2" t="n">
        <v>1</v>
      </c>
      <c r="U707" s="2" t="n">
        <v>7</v>
      </c>
      <c r="V707" s="2" t="n">
        <v>2</v>
      </c>
      <c r="W707" s="2" t="n">
        <v>1</v>
      </c>
      <c r="X707" s="2" t="n">
        <v>3</v>
      </c>
      <c r="Y707" s="2" t="n">
        <v>2</v>
      </c>
      <c r="Z707" s="2" t="n">
        <v>3</v>
      </c>
    </row>
    <row r="708" customFormat="false" ht="15" hidden="false" customHeight="true" outlineLevel="0" collapsed="false">
      <c r="A708" s="2" t="n">
        <v>34</v>
      </c>
      <c r="B708" s="2" t="s">
        <v>26</v>
      </c>
      <c r="C708" s="2" t="s">
        <v>27</v>
      </c>
      <c r="D708" s="2" t="s">
        <v>28</v>
      </c>
      <c r="E708" s="2" t="n">
        <v>4</v>
      </c>
      <c r="F708" s="2" t="n">
        <v>3</v>
      </c>
      <c r="G708" s="2" t="s">
        <v>29</v>
      </c>
      <c r="H708" s="2" t="n">
        <v>707</v>
      </c>
      <c r="I708" s="2" t="s">
        <v>39</v>
      </c>
      <c r="J708" s="2" t="n">
        <v>2</v>
      </c>
      <c r="K708" s="2" t="s">
        <v>36</v>
      </c>
      <c r="L708" s="2" t="s">
        <v>37</v>
      </c>
      <c r="M708" s="2" t="n">
        <v>88470</v>
      </c>
      <c r="N708" s="2" t="n">
        <v>1</v>
      </c>
      <c r="O708" s="2" t="n">
        <v>16</v>
      </c>
      <c r="P708" s="2" t="n">
        <v>0</v>
      </c>
      <c r="Q708" s="2" t="n">
        <v>10</v>
      </c>
      <c r="R708" s="2" t="n">
        <v>3</v>
      </c>
      <c r="S708" s="2" t="n">
        <v>10</v>
      </c>
      <c r="T708" s="2" t="n">
        <v>9</v>
      </c>
      <c r="U708" s="2" t="n">
        <v>6</v>
      </c>
      <c r="V708" s="2" t="n">
        <v>3</v>
      </c>
      <c r="W708" s="2" t="n">
        <v>1</v>
      </c>
      <c r="X708" s="2" t="n">
        <v>4</v>
      </c>
      <c r="Y708" s="2" t="n">
        <v>4</v>
      </c>
      <c r="Z708" s="2" t="n">
        <v>3</v>
      </c>
    </row>
    <row r="709" customFormat="false" ht="15" hidden="false" customHeight="true" outlineLevel="0" collapsed="false">
      <c r="A709" s="2" t="n">
        <v>25</v>
      </c>
      <c r="B709" s="2" t="s">
        <v>26</v>
      </c>
      <c r="C709" s="2" t="s">
        <v>27</v>
      </c>
      <c r="D709" s="2" t="s">
        <v>35</v>
      </c>
      <c r="E709" s="2" t="n">
        <v>6</v>
      </c>
      <c r="F709" s="2" t="n">
        <v>2</v>
      </c>
      <c r="G709" s="2" t="s">
        <v>43</v>
      </c>
      <c r="H709" s="2" t="n">
        <v>708</v>
      </c>
      <c r="I709" s="2" t="s">
        <v>30</v>
      </c>
      <c r="J709" s="2" t="n">
        <v>4</v>
      </c>
      <c r="K709" s="2" t="s">
        <v>36</v>
      </c>
      <c r="L709" s="2" t="s">
        <v>32</v>
      </c>
      <c r="M709" s="2" t="n">
        <v>20450</v>
      </c>
      <c r="N709" s="2" t="n">
        <v>3</v>
      </c>
      <c r="O709" s="2" t="n">
        <v>19</v>
      </c>
      <c r="P709" s="2" t="n">
        <v>0</v>
      </c>
      <c r="Q709" s="2" t="n">
        <v>7</v>
      </c>
      <c r="R709" s="2" t="n">
        <v>3</v>
      </c>
      <c r="S709" s="2" t="n">
        <v>3</v>
      </c>
      <c r="T709" s="2" t="n">
        <v>1</v>
      </c>
      <c r="U709" s="2" t="n">
        <v>2</v>
      </c>
      <c r="V709" s="2" t="n">
        <v>4</v>
      </c>
      <c r="W709" s="2" t="n">
        <v>4</v>
      </c>
      <c r="X709" s="2" t="n">
        <v>2</v>
      </c>
      <c r="Y709" s="2" t="n">
        <v>3</v>
      </c>
      <c r="Z709" s="2" t="n">
        <v>3</v>
      </c>
    </row>
    <row r="710" customFormat="false" ht="15" hidden="false" customHeight="true" outlineLevel="0" collapsed="false">
      <c r="A710" s="2" t="n">
        <v>58</v>
      </c>
      <c r="B710" s="2" t="s">
        <v>33</v>
      </c>
      <c r="C710" s="2" t="s">
        <v>27</v>
      </c>
      <c r="D710" s="2" t="s">
        <v>28</v>
      </c>
      <c r="E710" s="2" t="n">
        <v>1</v>
      </c>
      <c r="F710" s="2" t="n">
        <v>4</v>
      </c>
      <c r="G710" s="2" t="s">
        <v>51</v>
      </c>
      <c r="H710" s="2" t="n">
        <v>709</v>
      </c>
      <c r="I710" s="2" t="s">
        <v>39</v>
      </c>
      <c r="J710" s="2" t="n">
        <v>2</v>
      </c>
      <c r="K710" s="2" t="s">
        <v>40</v>
      </c>
      <c r="L710" s="2" t="s">
        <v>32</v>
      </c>
      <c r="M710" s="2" t="n">
        <v>10090</v>
      </c>
      <c r="N710" s="2" t="n">
        <v>7</v>
      </c>
      <c r="O710" s="2" t="n">
        <v>13</v>
      </c>
      <c r="P710" s="2" t="n">
        <v>2</v>
      </c>
      <c r="Q710" s="2" t="n">
        <v>31</v>
      </c>
      <c r="R710" s="2" t="n">
        <v>3</v>
      </c>
      <c r="S710" s="2" t="n">
        <v>10</v>
      </c>
      <c r="T710" s="2" t="n">
        <v>5</v>
      </c>
      <c r="U710" s="2" t="n">
        <v>9</v>
      </c>
      <c r="V710" s="2" t="n">
        <v>3</v>
      </c>
      <c r="W710" s="2" t="n">
        <v>1</v>
      </c>
      <c r="X710" s="2" t="n">
        <v>2</v>
      </c>
      <c r="Y710" s="2" t="n">
        <v>4</v>
      </c>
      <c r="Z710" s="2" t="n">
        <v>3</v>
      </c>
    </row>
    <row r="711" customFormat="false" ht="15" hidden="false" customHeight="true" outlineLevel="0" collapsed="false">
      <c r="A711" s="2" t="n">
        <v>40</v>
      </c>
      <c r="B711" s="2" t="s">
        <v>26</v>
      </c>
      <c r="C711" s="2" t="s">
        <v>27</v>
      </c>
      <c r="D711" s="2" t="s">
        <v>35</v>
      </c>
      <c r="E711" s="2" t="n">
        <v>14</v>
      </c>
      <c r="F711" s="2" t="n">
        <v>4</v>
      </c>
      <c r="G711" s="2" t="s">
        <v>43</v>
      </c>
      <c r="H711" s="2" t="n">
        <v>710</v>
      </c>
      <c r="I711" s="2" t="s">
        <v>30</v>
      </c>
      <c r="J711" s="2" t="n">
        <v>1</v>
      </c>
      <c r="K711" s="2" t="s">
        <v>36</v>
      </c>
      <c r="L711" s="2" t="s">
        <v>32</v>
      </c>
      <c r="M711" s="2" t="n">
        <v>33480</v>
      </c>
      <c r="N711" s="2" t="n">
        <v>3</v>
      </c>
      <c r="O711" s="2" t="n">
        <v>22</v>
      </c>
      <c r="P711" s="2" t="n">
        <v>0</v>
      </c>
      <c r="Q711" s="2" t="n">
        <v>7</v>
      </c>
      <c r="R711" s="2" t="n">
        <v>2</v>
      </c>
      <c r="S711" s="2" t="n">
        <v>4</v>
      </c>
      <c r="T711" s="2" t="n">
        <v>0</v>
      </c>
      <c r="U711" s="2" t="n">
        <v>3</v>
      </c>
      <c r="V711" s="2" t="n">
        <v>2</v>
      </c>
      <c r="W711" s="2" t="n">
        <v>2</v>
      </c>
      <c r="X711" s="2" t="n">
        <v>3</v>
      </c>
      <c r="Y711" s="2" t="n">
        <v>1</v>
      </c>
      <c r="Z711" s="2" t="n">
        <v>4</v>
      </c>
    </row>
    <row r="712" customFormat="false" ht="15" hidden="false" customHeight="true" outlineLevel="0" collapsed="false">
      <c r="A712" s="2" t="n">
        <v>36</v>
      </c>
      <c r="B712" s="2" t="s">
        <v>26</v>
      </c>
      <c r="C712" s="2" t="s">
        <v>34</v>
      </c>
      <c r="D712" s="2" t="s">
        <v>28</v>
      </c>
      <c r="E712" s="2" t="n">
        <v>16</v>
      </c>
      <c r="F712" s="2" t="n">
        <v>2</v>
      </c>
      <c r="G712" s="2" t="s">
        <v>29</v>
      </c>
      <c r="H712" s="2" t="n">
        <v>711</v>
      </c>
      <c r="I712" s="2" t="s">
        <v>39</v>
      </c>
      <c r="J712" s="2" t="n">
        <v>1</v>
      </c>
      <c r="K712" s="2" t="s">
        <v>36</v>
      </c>
      <c r="L712" s="2" t="s">
        <v>32</v>
      </c>
      <c r="M712" s="2" t="n">
        <v>12810</v>
      </c>
      <c r="N712" s="2" t="n">
        <v>2</v>
      </c>
      <c r="O712" s="2" t="n">
        <v>11</v>
      </c>
      <c r="P712" s="2" t="n">
        <v>0</v>
      </c>
      <c r="Q712" s="2" t="n">
        <v>17</v>
      </c>
      <c r="R712" s="2" t="n">
        <v>2</v>
      </c>
      <c r="S712" s="2" t="n">
        <v>15</v>
      </c>
      <c r="T712" s="2" t="n">
        <v>6</v>
      </c>
      <c r="U712" s="2" t="n">
        <v>13</v>
      </c>
      <c r="V712" s="2" t="n">
        <v>1</v>
      </c>
      <c r="W712" s="2" t="n">
        <v>1</v>
      </c>
      <c r="X712" s="2" t="n">
        <v>2</v>
      </c>
      <c r="Y712" s="2" t="n">
        <v>3</v>
      </c>
      <c r="Z712" s="2" t="n">
        <v>3</v>
      </c>
    </row>
    <row r="713" customFormat="false" ht="15" hidden="false" customHeight="true" outlineLevel="0" collapsed="false">
      <c r="A713" s="2" t="n">
        <v>48</v>
      </c>
      <c r="B713" s="2" t="s">
        <v>26</v>
      </c>
      <c r="C713" s="2" t="s">
        <v>27</v>
      </c>
      <c r="D713" s="2" t="s">
        <v>35</v>
      </c>
      <c r="E713" s="2" t="n">
        <v>2</v>
      </c>
      <c r="F713" s="2" t="n">
        <v>1</v>
      </c>
      <c r="G713" s="2" t="s">
        <v>29</v>
      </c>
      <c r="H713" s="2" t="n">
        <v>712</v>
      </c>
      <c r="I713" s="2" t="s">
        <v>39</v>
      </c>
      <c r="J713" s="2" t="n">
        <v>2</v>
      </c>
      <c r="K713" s="2" t="s">
        <v>36</v>
      </c>
      <c r="L713" s="2" t="s">
        <v>37</v>
      </c>
      <c r="M713" s="2" t="n">
        <v>28190</v>
      </c>
      <c r="N713" s="2" t="n">
        <v>1</v>
      </c>
      <c r="O713" s="2" t="n">
        <v>20</v>
      </c>
      <c r="P713" s="2" t="n">
        <v>0</v>
      </c>
      <c r="Q713" s="2" t="n">
        <v>11</v>
      </c>
      <c r="R713" s="2" t="n">
        <v>2</v>
      </c>
      <c r="S713" s="2" t="n">
        <v>10</v>
      </c>
      <c r="T713" s="2" t="n">
        <v>0</v>
      </c>
      <c r="U713" s="2" t="n">
        <v>8</v>
      </c>
      <c r="V713" s="2" t="n">
        <v>4</v>
      </c>
      <c r="W713" s="2" t="n">
        <v>4</v>
      </c>
      <c r="X713" s="2" t="n">
        <v>3</v>
      </c>
      <c r="Y713" s="2" t="n">
        <v>2</v>
      </c>
      <c r="Z713" s="2" t="n">
        <v>4</v>
      </c>
    </row>
    <row r="714" customFormat="false" ht="15" hidden="false" customHeight="true" outlineLevel="0" collapsed="false">
      <c r="A714" s="2" t="n">
        <v>27</v>
      </c>
      <c r="B714" s="2" t="s">
        <v>26</v>
      </c>
      <c r="C714" s="2" t="s">
        <v>27</v>
      </c>
      <c r="D714" s="2" t="s">
        <v>35</v>
      </c>
      <c r="E714" s="2" t="n">
        <v>2</v>
      </c>
      <c r="F714" s="2" t="n">
        <v>3</v>
      </c>
      <c r="G714" s="2" t="s">
        <v>29</v>
      </c>
      <c r="H714" s="2" t="n">
        <v>713</v>
      </c>
      <c r="I714" s="2" t="s">
        <v>30</v>
      </c>
      <c r="J714" s="2" t="n">
        <v>2</v>
      </c>
      <c r="K714" s="2" t="s">
        <v>45</v>
      </c>
      <c r="L714" s="2" t="s">
        <v>32</v>
      </c>
      <c r="M714" s="2" t="n">
        <v>48510</v>
      </c>
      <c r="N714" s="2" t="n">
        <v>8</v>
      </c>
      <c r="O714" s="2" t="n">
        <v>18</v>
      </c>
      <c r="P714" s="2" t="n">
        <v>0</v>
      </c>
      <c r="Q714" s="2" t="n">
        <v>5</v>
      </c>
      <c r="R714" s="2" t="n">
        <v>2</v>
      </c>
      <c r="S714" s="2" t="n">
        <v>1</v>
      </c>
      <c r="T714" s="2" t="n">
        <v>0</v>
      </c>
      <c r="U714" s="2" t="n">
        <v>0</v>
      </c>
      <c r="V714" s="2" t="n">
        <v>3</v>
      </c>
      <c r="W714" s="2" t="n">
        <v>4</v>
      </c>
      <c r="X714" s="2" t="n">
        <v>3</v>
      </c>
      <c r="Y714" s="2" t="n">
        <v>3</v>
      </c>
      <c r="Z714" s="2" t="n">
        <v>3</v>
      </c>
    </row>
    <row r="715" customFormat="false" ht="15" hidden="false" customHeight="true" outlineLevel="0" collapsed="false">
      <c r="A715" s="2" t="n">
        <v>51</v>
      </c>
      <c r="B715" s="2" t="s">
        <v>26</v>
      </c>
      <c r="C715" s="2" t="s">
        <v>27</v>
      </c>
      <c r="D715" s="2" t="s">
        <v>35</v>
      </c>
      <c r="E715" s="2" t="n">
        <v>4</v>
      </c>
      <c r="F715" s="2" t="n">
        <v>1</v>
      </c>
      <c r="G715" s="2" t="s">
        <v>43</v>
      </c>
      <c r="H715" s="2" t="n">
        <v>714</v>
      </c>
      <c r="I715" s="2" t="s">
        <v>30</v>
      </c>
      <c r="J715" s="2" t="n">
        <v>3</v>
      </c>
      <c r="K715" s="2" t="s">
        <v>47</v>
      </c>
      <c r="L715" s="2" t="s">
        <v>37</v>
      </c>
      <c r="M715" s="2" t="n">
        <v>40280</v>
      </c>
      <c r="N715" s="2" t="n">
        <v>3</v>
      </c>
      <c r="O715" s="2" t="n">
        <v>14</v>
      </c>
      <c r="P715" s="2" t="n">
        <v>0</v>
      </c>
      <c r="Q715" s="2" t="n">
        <v>29</v>
      </c>
      <c r="R715" s="2" t="n">
        <v>3</v>
      </c>
      <c r="S715" s="2" t="n">
        <v>5</v>
      </c>
      <c r="T715" s="2" t="n">
        <v>0</v>
      </c>
      <c r="U715" s="2" t="n">
        <v>3</v>
      </c>
      <c r="V715" s="2" t="n">
        <v>4</v>
      </c>
      <c r="W715" s="2" t="n">
        <v>2</v>
      </c>
      <c r="X715" s="2" t="n">
        <v>2</v>
      </c>
      <c r="Y715" s="2" t="n">
        <v>3</v>
      </c>
      <c r="Z715" s="2" t="n">
        <v>3</v>
      </c>
    </row>
    <row r="716" customFormat="false" ht="15" hidden="false" customHeight="true" outlineLevel="0" collapsed="false">
      <c r="A716" s="2" t="n">
        <v>18</v>
      </c>
      <c r="B716" s="2" t="s">
        <v>26</v>
      </c>
      <c r="C716" s="2" t="s">
        <v>41</v>
      </c>
      <c r="D716" s="2" t="s">
        <v>35</v>
      </c>
      <c r="E716" s="2" t="n">
        <v>1</v>
      </c>
      <c r="F716" s="2" t="n">
        <v>4</v>
      </c>
      <c r="G716" s="2" t="s">
        <v>43</v>
      </c>
      <c r="H716" s="2" t="n">
        <v>715</v>
      </c>
      <c r="I716" s="2" t="s">
        <v>39</v>
      </c>
      <c r="J716" s="2" t="n">
        <v>2</v>
      </c>
      <c r="K716" s="2" t="s">
        <v>40</v>
      </c>
      <c r="L716" s="2" t="s">
        <v>37</v>
      </c>
      <c r="M716" s="2" t="n">
        <v>27200</v>
      </c>
      <c r="N716" s="2" t="n">
        <v>1</v>
      </c>
      <c r="O716" s="2" t="n">
        <v>22</v>
      </c>
      <c r="P716" s="2" t="n">
        <v>1</v>
      </c>
      <c r="Q716" s="2" t="n">
        <v>0</v>
      </c>
      <c r="R716" s="2" t="n">
        <v>2</v>
      </c>
      <c r="S716" s="2" t="n">
        <v>0</v>
      </c>
      <c r="T716" s="2" t="n">
        <v>0</v>
      </c>
      <c r="U716" s="2" t="n">
        <v>0</v>
      </c>
      <c r="V716" s="2" t="n">
        <v>4</v>
      </c>
      <c r="W716" s="2" t="n">
        <v>4</v>
      </c>
      <c r="X716" s="2" t="n">
        <v>4</v>
      </c>
      <c r="Y716" s="2" t="n">
        <v>3</v>
      </c>
      <c r="Z716" s="2" t="n">
        <v>4</v>
      </c>
    </row>
    <row r="717" customFormat="false" ht="15" hidden="false" customHeight="true" outlineLevel="0" collapsed="false">
      <c r="A717" s="2" t="n">
        <v>35</v>
      </c>
      <c r="B717" s="2" t="s">
        <v>26</v>
      </c>
      <c r="C717" s="2" t="s">
        <v>27</v>
      </c>
      <c r="D717" s="2" t="s">
        <v>35</v>
      </c>
      <c r="E717" s="2" t="n">
        <v>1</v>
      </c>
      <c r="F717" s="2" t="n">
        <v>4</v>
      </c>
      <c r="G717" s="2" t="s">
        <v>38</v>
      </c>
      <c r="H717" s="2" t="n">
        <v>716</v>
      </c>
      <c r="I717" s="2" t="s">
        <v>30</v>
      </c>
      <c r="J717" s="2" t="n">
        <v>2</v>
      </c>
      <c r="K717" s="2" t="s">
        <v>44</v>
      </c>
      <c r="L717" s="2" t="s">
        <v>32</v>
      </c>
      <c r="M717" s="2" t="n">
        <v>81200</v>
      </c>
      <c r="N717" s="2" t="n">
        <v>0</v>
      </c>
      <c r="O717" s="2" t="n">
        <v>13</v>
      </c>
      <c r="P717" s="2" t="n">
        <v>0</v>
      </c>
      <c r="Q717" s="2" t="n">
        <v>10</v>
      </c>
      <c r="R717" s="2" t="n">
        <v>2</v>
      </c>
      <c r="S717" s="2" t="n">
        <v>9</v>
      </c>
      <c r="T717" s="2" t="n">
        <v>0</v>
      </c>
      <c r="U717" s="2" t="n">
        <v>0</v>
      </c>
      <c r="V717" s="2" t="n">
        <v>4</v>
      </c>
      <c r="W717" s="2" t="n">
        <v>4</v>
      </c>
      <c r="X717" s="2" t="n">
        <v>3</v>
      </c>
      <c r="Y717" s="2" t="n">
        <v>2</v>
      </c>
      <c r="Z717" s="2" t="n">
        <v>3</v>
      </c>
    </row>
    <row r="718" customFormat="false" ht="15" hidden="false" customHeight="true" outlineLevel="0" collapsed="false">
      <c r="A718" s="2" t="n">
        <v>27</v>
      </c>
      <c r="B718" s="2" t="s">
        <v>26</v>
      </c>
      <c r="C718" s="2" t="s">
        <v>34</v>
      </c>
      <c r="D718" s="2" t="s">
        <v>35</v>
      </c>
      <c r="E718" s="2" t="n">
        <v>26</v>
      </c>
      <c r="F718" s="2" t="n">
        <v>4</v>
      </c>
      <c r="G718" s="2" t="s">
        <v>43</v>
      </c>
      <c r="H718" s="2" t="n">
        <v>717</v>
      </c>
      <c r="I718" s="2" t="s">
        <v>30</v>
      </c>
      <c r="J718" s="2" t="n">
        <v>1</v>
      </c>
      <c r="K718" s="2" t="s">
        <v>44</v>
      </c>
      <c r="L718" s="2" t="s">
        <v>37</v>
      </c>
      <c r="M718" s="2" t="n">
        <v>46470</v>
      </c>
      <c r="N718" s="2" t="n">
        <v>3</v>
      </c>
      <c r="O718" s="2" t="n">
        <v>17</v>
      </c>
      <c r="P718" s="2" t="n">
        <v>0</v>
      </c>
      <c r="Q718" s="2" t="n">
        <v>8</v>
      </c>
      <c r="R718" s="2" t="n">
        <v>3</v>
      </c>
      <c r="S718" s="2" t="n">
        <v>6</v>
      </c>
      <c r="T718" s="2" t="n">
        <v>0</v>
      </c>
      <c r="U718" s="2" t="n">
        <v>0</v>
      </c>
      <c r="V718" s="2" t="n">
        <v>4</v>
      </c>
      <c r="W718" s="2" t="n">
        <v>4</v>
      </c>
      <c r="X718" s="2" t="n">
        <v>3</v>
      </c>
      <c r="Y718" s="2" t="n">
        <v>4</v>
      </c>
      <c r="Z718" s="2" t="n">
        <v>3</v>
      </c>
    </row>
    <row r="719" customFormat="false" ht="15" hidden="false" customHeight="true" outlineLevel="0" collapsed="false">
      <c r="A719" s="2" t="n">
        <v>55</v>
      </c>
      <c r="B719" s="2" t="s">
        <v>33</v>
      </c>
      <c r="C719" s="2" t="s">
        <v>27</v>
      </c>
      <c r="D719" s="2" t="s">
        <v>35</v>
      </c>
      <c r="E719" s="2" t="n">
        <v>19</v>
      </c>
      <c r="F719" s="2" t="n">
        <v>3</v>
      </c>
      <c r="G719" s="2" t="s">
        <v>51</v>
      </c>
      <c r="H719" s="2" t="n">
        <v>718</v>
      </c>
      <c r="I719" s="2" t="s">
        <v>39</v>
      </c>
      <c r="J719" s="2" t="n">
        <v>1</v>
      </c>
      <c r="K719" s="2" t="s">
        <v>42</v>
      </c>
      <c r="L719" s="2" t="s">
        <v>37</v>
      </c>
      <c r="M719" s="2" t="n">
        <v>46800</v>
      </c>
      <c r="N719" s="2" t="n">
        <v>6</v>
      </c>
      <c r="O719" s="2" t="n">
        <v>14</v>
      </c>
      <c r="P719" s="2" t="n">
        <v>3</v>
      </c>
      <c r="Q719" s="2" t="n">
        <v>24</v>
      </c>
      <c r="R719" s="2" t="n">
        <v>0</v>
      </c>
      <c r="S719" s="2" t="n">
        <v>19</v>
      </c>
      <c r="T719" s="2" t="n">
        <v>3</v>
      </c>
      <c r="U719" s="2" t="n">
        <v>8</v>
      </c>
      <c r="V719" s="2" t="n">
        <v>1</v>
      </c>
      <c r="W719" s="2" t="n">
        <v>3</v>
      </c>
      <c r="X719" s="2" t="n">
        <v>2</v>
      </c>
      <c r="Y719" s="2" t="n">
        <v>4</v>
      </c>
      <c r="Z719" s="2" t="n">
        <v>3</v>
      </c>
    </row>
    <row r="720" customFormat="false" ht="15" hidden="false" customHeight="true" outlineLevel="0" collapsed="false">
      <c r="A720" s="2" t="n">
        <v>56</v>
      </c>
      <c r="B720" s="2" t="s">
        <v>26</v>
      </c>
      <c r="C720" s="2" t="s">
        <v>27</v>
      </c>
      <c r="D720" s="2" t="s">
        <v>35</v>
      </c>
      <c r="E720" s="2" t="n">
        <v>24</v>
      </c>
      <c r="F720" s="2" t="n">
        <v>4</v>
      </c>
      <c r="G720" s="2" t="s">
        <v>29</v>
      </c>
      <c r="H720" s="2" t="n">
        <v>719</v>
      </c>
      <c r="I720" s="2" t="s">
        <v>39</v>
      </c>
      <c r="J720" s="2" t="n">
        <v>2</v>
      </c>
      <c r="K720" s="2" t="s">
        <v>45</v>
      </c>
      <c r="L720" s="2" t="s">
        <v>32</v>
      </c>
      <c r="M720" s="2" t="n">
        <v>32210</v>
      </c>
      <c r="N720" s="2" t="n">
        <v>4</v>
      </c>
      <c r="O720" s="2" t="n">
        <v>15</v>
      </c>
      <c r="P720" s="2" t="n">
        <v>2</v>
      </c>
      <c r="Q720" s="2" t="n">
        <v>33</v>
      </c>
      <c r="R720" s="2" t="n">
        <v>2</v>
      </c>
      <c r="S720" s="2" t="n">
        <v>19</v>
      </c>
      <c r="T720" s="2" t="n">
        <v>15</v>
      </c>
      <c r="U720" s="2" t="n">
        <v>9</v>
      </c>
      <c r="V720" s="2" t="n">
        <v>4</v>
      </c>
      <c r="W720" s="2" t="n">
        <v>2</v>
      </c>
      <c r="X720" s="2" t="n">
        <v>3</v>
      </c>
      <c r="Y720" s="2" t="n">
        <v>3</v>
      </c>
      <c r="Z720" s="2" t="n">
        <v>3</v>
      </c>
    </row>
    <row r="721" customFormat="false" ht="15" hidden="false" customHeight="true" outlineLevel="0" collapsed="false">
      <c r="A721" s="2" t="n">
        <v>34</v>
      </c>
      <c r="B721" s="2" t="s">
        <v>26</v>
      </c>
      <c r="C721" s="2" t="s">
        <v>41</v>
      </c>
      <c r="D721" s="2" t="s">
        <v>28</v>
      </c>
      <c r="E721" s="2" t="n">
        <v>1</v>
      </c>
      <c r="F721" s="2" t="n">
        <v>2</v>
      </c>
      <c r="G721" s="2" t="s">
        <v>29</v>
      </c>
      <c r="H721" s="2" t="n">
        <v>720</v>
      </c>
      <c r="I721" s="2" t="s">
        <v>39</v>
      </c>
      <c r="J721" s="2" t="n">
        <v>2</v>
      </c>
      <c r="K721" s="2" t="s">
        <v>36</v>
      </c>
      <c r="L721" s="2" t="s">
        <v>46</v>
      </c>
      <c r="M721" s="2" t="n">
        <v>86210</v>
      </c>
      <c r="N721" s="2" t="n">
        <v>1</v>
      </c>
      <c r="O721" s="2" t="n">
        <v>17</v>
      </c>
      <c r="P721" s="2" t="n">
        <v>1</v>
      </c>
      <c r="Q721" s="2" t="n">
        <v>5</v>
      </c>
      <c r="R721" s="2" t="n">
        <v>1</v>
      </c>
      <c r="S721" s="2" t="n">
        <v>5</v>
      </c>
      <c r="T721" s="2" t="n">
        <v>0</v>
      </c>
      <c r="U721" s="2" t="n">
        <v>0</v>
      </c>
      <c r="V721" s="2" t="n">
        <v>1</v>
      </c>
      <c r="W721" s="2" t="n">
        <v>3</v>
      </c>
      <c r="X721" s="2" t="n">
        <v>3</v>
      </c>
      <c r="Y721" s="2" t="n">
        <v>3</v>
      </c>
      <c r="Z721" s="2" t="n">
        <v>3</v>
      </c>
    </row>
    <row r="722" customFormat="false" ht="15" hidden="false" customHeight="true" outlineLevel="0" collapsed="false">
      <c r="A722" s="2" t="n">
        <v>40</v>
      </c>
      <c r="B722" s="2" t="s">
        <v>26</v>
      </c>
      <c r="C722" s="2" t="s">
        <v>27</v>
      </c>
      <c r="D722" s="2" t="s">
        <v>35</v>
      </c>
      <c r="E722" s="2" t="n">
        <v>3</v>
      </c>
      <c r="F722" s="2" t="n">
        <v>3</v>
      </c>
      <c r="G722" s="2" t="s">
        <v>29</v>
      </c>
      <c r="H722" s="2" t="n">
        <v>721</v>
      </c>
      <c r="I722" s="2" t="s">
        <v>39</v>
      </c>
      <c r="J722" s="2" t="n">
        <v>2</v>
      </c>
      <c r="K722" s="2" t="s">
        <v>40</v>
      </c>
      <c r="L722" s="2" t="s">
        <v>46</v>
      </c>
      <c r="M722" s="2" t="n">
        <v>45770</v>
      </c>
      <c r="N722" s="2" t="n">
        <v>5</v>
      </c>
      <c r="O722" s="2" t="n">
        <v>11</v>
      </c>
      <c r="P722" s="2" t="n">
        <v>1</v>
      </c>
      <c r="Q722" s="2" t="n">
        <v>15</v>
      </c>
      <c r="R722" s="2" t="n">
        <v>3</v>
      </c>
      <c r="S722" s="2" t="n">
        <v>12</v>
      </c>
      <c r="T722" s="2" t="n">
        <v>11</v>
      </c>
      <c r="U722" s="2" t="n">
        <v>8</v>
      </c>
      <c r="V722" s="2" t="n">
        <v>2</v>
      </c>
      <c r="W722" s="2" t="n">
        <v>3</v>
      </c>
      <c r="X722" s="2" t="n">
        <v>3</v>
      </c>
      <c r="Y722" s="2" t="n">
        <v>2</v>
      </c>
      <c r="Z722" s="2" t="n">
        <v>3</v>
      </c>
    </row>
    <row r="723" customFormat="false" ht="15" hidden="false" customHeight="true" outlineLevel="0" collapsed="false">
      <c r="A723" s="2" t="n">
        <v>34</v>
      </c>
      <c r="B723" s="2" t="s">
        <v>26</v>
      </c>
      <c r="C723" s="2" t="s">
        <v>27</v>
      </c>
      <c r="D723" s="2" t="s">
        <v>35</v>
      </c>
      <c r="E723" s="2" t="n">
        <v>5</v>
      </c>
      <c r="F723" s="2" t="n">
        <v>3</v>
      </c>
      <c r="G723" s="2" t="s">
        <v>29</v>
      </c>
      <c r="H723" s="2" t="n">
        <v>722</v>
      </c>
      <c r="I723" s="2" t="s">
        <v>39</v>
      </c>
      <c r="J723" s="2" t="n">
        <v>1</v>
      </c>
      <c r="K723" s="2" t="s">
        <v>36</v>
      </c>
      <c r="L723" s="2" t="s">
        <v>32</v>
      </c>
      <c r="M723" s="2" t="n">
        <v>45530</v>
      </c>
      <c r="N723" s="2" t="n">
        <v>4</v>
      </c>
      <c r="O723" s="2" t="n">
        <v>18</v>
      </c>
      <c r="P723" s="2" t="n">
        <v>1</v>
      </c>
      <c r="Q723" s="2" t="n">
        <v>10</v>
      </c>
      <c r="R723" s="2" t="n">
        <v>2</v>
      </c>
      <c r="S723" s="2" t="n">
        <v>8</v>
      </c>
      <c r="T723" s="2" t="n">
        <v>7</v>
      </c>
      <c r="U723" s="2" t="n">
        <v>7</v>
      </c>
      <c r="V723" s="2" t="n">
        <v>2</v>
      </c>
      <c r="W723" s="2" t="n">
        <v>3</v>
      </c>
      <c r="X723" s="2" t="n">
        <v>3</v>
      </c>
      <c r="Y723" s="2" t="n">
        <v>4</v>
      </c>
      <c r="Z723" s="2" t="n">
        <v>3</v>
      </c>
    </row>
    <row r="724" customFormat="false" ht="15" hidden="false" customHeight="true" outlineLevel="0" collapsed="false">
      <c r="A724" s="2" t="n">
        <v>31</v>
      </c>
      <c r="B724" s="2" t="s">
        <v>33</v>
      </c>
      <c r="C724" s="2" t="s">
        <v>34</v>
      </c>
      <c r="D724" s="2" t="s">
        <v>35</v>
      </c>
      <c r="E724" s="2" t="n">
        <v>2</v>
      </c>
      <c r="F724" s="2" t="n">
        <v>2</v>
      </c>
      <c r="G724" s="2" t="s">
        <v>43</v>
      </c>
      <c r="H724" s="2" t="n">
        <v>723</v>
      </c>
      <c r="I724" s="2" t="s">
        <v>30</v>
      </c>
      <c r="J724" s="2" t="n">
        <v>2</v>
      </c>
      <c r="K724" s="2" t="s">
        <v>47</v>
      </c>
      <c r="L724" s="2" t="s">
        <v>37</v>
      </c>
      <c r="M724" s="2" t="n">
        <v>53960</v>
      </c>
      <c r="N724" s="2" t="n">
        <v>7</v>
      </c>
      <c r="O724" s="2" t="n">
        <v>17</v>
      </c>
      <c r="P724" s="2" t="n">
        <v>1</v>
      </c>
      <c r="Q724" s="2" t="n">
        <v>3</v>
      </c>
      <c r="R724" s="2" t="n">
        <v>2</v>
      </c>
      <c r="S724" s="2" t="n">
        <v>1</v>
      </c>
      <c r="T724" s="2" t="n">
        <v>0</v>
      </c>
      <c r="U724" s="2" t="n">
        <v>0</v>
      </c>
      <c r="V724" s="2" t="n">
        <v>3</v>
      </c>
      <c r="W724" s="2" t="n">
        <v>4</v>
      </c>
      <c r="X724" s="2" t="n">
        <v>4</v>
      </c>
      <c r="Y724" s="2" t="n">
        <v>1</v>
      </c>
      <c r="Z724" s="2" t="n">
        <v>3</v>
      </c>
    </row>
    <row r="725" customFormat="false" ht="15" hidden="false" customHeight="true" outlineLevel="0" collapsed="false">
      <c r="A725" s="2" t="n">
        <v>35</v>
      </c>
      <c r="B725" s="2" t="s">
        <v>33</v>
      </c>
      <c r="C725" s="2" t="s">
        <v>34</v>
      </c>
      <c r="D725" s="2" t="s">
        <v>35</v>
      </c>
      <c r="E725" s="2" t="n">
        <v>1</v>
      </c>
      <c r="F725" s="2" t="n">
        <v>2</v>
      </c>
      <c r="G725" s="2" t="s">
        <v>43</v>
      </c>
      <c r="H725" s="2" t="n">
        <v>724</v>
      </c>
      <c r="I725" s="2" t="s">
        <v>39</v>
      </c>
      <c r="J725" s="2" t="n">
        <v>1</v>
      </c>
      <c r="K725" s="2" t="s">
        <v>47</v>
      </c>
      <c r="L725" s="2" t="s">
        <v>32</v>
      </c>
      <c r="M725" s="2" t="n">
        <v>67960</v>
      </c>
      <c r="N725" s="2" t="n">
        <v>0</v>
      </c>
      <c r="O725" s="2" t="n">
        <v>13</v>
      </c>
      <c r="P725" s="2" t="n">
        <v>0</v>
      </c>
      <c r="Q725" s="2" t="n">
        <v>5</v>
      </c>
      <c r="R725" s="2" t="n">
        <v>2</v>
      </c>
      <c r="S725" s="2" t="n">
        <v>4</v>
      </c>
      <c r="T725" s="2" t="n">
        <v>3</v>
      </c>
      <c r="U725" s="2" t="n">
        <v>2</v>
      </c>
      <c r="V725" s="2" t="n">
        <v>4</v>
      </c>
      <c r="W725" s="2" t="n">
        <v>3</v>
      </c>
      <c r="X725" s="2" t="n">
        <v>2</v>
      </c>
      <c r="Y725" s="2" t="n">
        <v>3</v>
      </c>
      <c r="Z725" s="2" t="n">
        <v>3</v>
      </c>
    </row>
    <row r="726" customFormat="false" ht="15" hidden="false" customHeight="true" outlineLevel="0" collapsed="false">
      <c r="A726" s="2" t="n">
        <v>38</v>
      </c>
      <c r="B726" s="2" t="s">
        <v>26</v>
      </c>
      <c r="C726" s="2" t="s">
        <v>34</v>
      </c>
      <c r="D726" s="2" t="s">
        <v>35</v>
      </c>
      <c r="E726" s="2" t="n">
        <v>7</v>
      </c>
      <c r="F726" s="2" t="n">
        <v>3</v>
      </c>
      <c r="G726" s="2" t="s">
        <v>43</v>
      </c>
      <c r="H726" s="2" t="n">
        <v>725</v>
      </c>
      <c r="I726" s="2" t="s">
        <v>30</v>
      </c>
      <c r="J726" s="2" t="n">
        <v>2</v>
      </c>
      <c r="K726" s="2" t="s">
        <v>48</v>
      </c>
      <c r="L726" s="2" t="s">
        <v>46</v>
      </c>
      <c r="M726" s="2" t="n">
        <v>76250</v>
      </c>
      <c r="N726" s="2" t="n">
        <v>1</v>
      </c>
      <c r="O726" s="2" t="n">
        <v>15</v>
      </c>
      <c r="P726" s="2" t="n">
        <v>0</v>
      </c>
      <c r="Q726" s="2" t="n">
        <v>4</v>
      </c>
      <c r="R726" s="2" t="n">
        <v>2</v>
      </c>
      <c r="S726" s="2" t="n">
        <v>4</v>
      </c>
      <c r="T726" s="2" t="n">
        <v>0</v>
      </c>
      <c r="U726" s="2" t="n">
        <v>3</v>
      </c>
      <c r="V726" s="2" t="n">
        <v>4</v>
      </c>
      <c r="W726" s="2" t="n">
        <v>3</v>
      </c>
      <c r="X726" s="2" t="n">
        <v>3</v>
      </c>
      <c r="Y726" s="2" t="n">
        <v>2</v>
      </c>
      <c r="Z726" s="2" t="n">
        <v>3</v>
      </c>
    </row>
    <row r="727" customFormat="false" ht="15" hidden="false" customHeight="true" outlineLevel="0" collapsed="false">
      <c r="A727" s="2" t="n">
        <v>34</v>
      </c>
      <c r="B727" s="2" t="s">
        <v>26</v>
      </c>
      <c r="C727" s="2" t="s">
        <v>27</v>
      </c>
      <c r="D727" s="2" t="s">
        <v>35</v>
      </c>
      <c r="E727" s="2" t="n">
        <v>10</v>
      </c>
      <c r="F727" s="2" t="n">
        <v>4</v>
      </c>
      <c r="G727" s="2" t="s">
        <v>38</v>
      </c>
      <c r="H727" s="2" t="n">
        <v>726</v>
      </c>
      <c r="I727" s="2" t="s">
        <v>30</v>
      </c>
      <c r="J727" s="2" t="n">
        <v>2</v>
      </c>
      <c r="K727" s="2" t="s">
        <v>45</v>
      </c>
      <c r="L727" s="2" t="s">
        <v>37</v>
      </c>
      <c r="M727" s="2" t="n">
        <v>74120</v>
      </c>
      <c r="N727" s="2" t="n">
        <v>1</v>
      </c>
      <c r="O727" s="2" t="n">
        <v>24</v>
      </c>
      <c r="P727" s="2" t="n">
        <v>0</v>
      </c>
      <c r="Q727" s="2" t="n">
        <v>14</v>
      </c>
      <c r="R727" s="2" t="n">
        <v>4</v>
      </c>
      <c r="S727" s="2" t="n">
        <v>14</v>
      </c>
      <c r="T727" s="2" t="n">
        <v>4</v>
      </c>
      <c r="U727" s="2" t="n">
        <v>11</v>
      </c>
      <c r="V727" s="2" t="n">
        <v>3</v>
      </c>
      <c r="W727" s="2" t="n">
        <v>4</v>
      </c>
      <c r="X727" s="2" t="n">
        <v>4</v>
      </c>
      <c r="Y727" s="2" t="n">
        <v>3</v>
      </c>
      <c r="Z727" s="2" t="n">
        <v>4</v>
      </c>
    </row>
    <row r="728" customFormat="false" ht="15" hidden="false" customHeight="true" outlineLevel="0" collapsed="false">
      <c r="A728" s="2" t="n">
        <v>28</v>
      </c>
      <c r="B728" s="2" t="s">
        <v>26</v>
      </c>
      <c r="C728" s="2" t="s">
        <v>27</v>
      </c>
      <c r="D728" s="2" t="s">
        <v>35</v>
      </c>
      <c r="E728" s="2" t="n">
        <v>2</v>
      </c>
      <c r="F728" s="2" t="n">
        <v>3</v>
      </c>
      <c r="G728" s="2" t="s">
        <v>29</v>
      </c>
      <c r="H728" s="2" t="n">
        <v>727</v>
      </c>
      <c r="I728" s="2" t="s">
        <v>30</v>
      </c>
      <c r="J728" s="2" t="n">
        <v>2</v>
      </c>
      <c r="K728" s="2" t="s">
        <v>31</v>
      </c>
      <c r="L728" s="2" t="s">
        <v>32</v>
      </c>
      <c r="M728" s="2" t="n">
        <v>111590</v>
      </c>
      <c r="N728" s="2" t="n">
        <v>1</v>
      </c>
      <c r="O728" s="2" t="n">
        <v>12</v>
      </c>
      <c r="P728" s="2" t="n">
        <v>0</v>
      </c>
      <c r="Q728" s="2" t="n">
        <v>5</v>
      </c>
      <c r="R728" s="2" t="n">
        <v>2</v>
      </c>
      <c r="S728" s="2" t="n">
        <v>5</v>
      </c>
      <c r="T728" s="2" t="n">
        <v>0</v>
      </c>
      <c r="U728" s="2" t="n">
        <v>4</v>
      </c>
      <c r="V728" s="2" t="n">
        <v>3</v>
      </c>
      <c r="W728" s="2" t="n">
        <v>1</v>
      </c>
      <c r="X728" s="2" t="n">
        <v>3</v>
      </c>
      <c r="Y728" s="2" t="n">
        <v>3</v>
      </c>
      <c r="Z728" s="2" t="n">
        <v>3</v>
      </c>
    </row>
    <row r="729" customFormat="false" ht="15" hidden="false" customHeight="true" outlineLevel="0" collapsed="false">
      <c r="A729" s="2" t="n">
        <v>31</v>
      </c>
      <c r="B729" s="2" t="s">
        <v>33</v>
      </c>
      <c r="C729" s="2" t="s">
        <v>27</v>
      </c>
      <c r="D729" s="2" t="s">
        <v>35</v>
      </c>
      <c r="E729" s="2" t="n">
        <v>15</v>
      </c>
      <c r="F729" s="2" t="n">
        <v>2</v>
      </c>
      <c r="G729" s="2" t="s">
        <v>29</v>
      </c>
      <c r="H729" s="2" t="n">
        <v>728</v>
      </c>
      <c r="I729" s="2" t="s">
        <v>39</v>
      </c>
      <c r="J729" s="2" t="n">
        <v>2</v>
      </c>
      <c r="K729" s="2" t="s">
        <v>40</v>
      </c>
      <c r="L729" s="2" t="s">
        <v>32</v>
      </c>
      <c r="M729" s="2" t="n">
        <v>49600</v>
      </c>
      <c r="N729" s="2" t="n">
        <v>1</v>
      </c>
      <c r="O729" s="2" t="n">
        <v>15</v>
      </c>
      <c r="P729" s="2" t="n">
        <v>0</v>
      </c>
      <c r="Q729" s="2" t="n">
        <v>10</v>
      </c>
      <c r="R729" s="2" t="n">
        <v>3</v>
      </c>
      <c r="S729" s="2" t="n">
        <v>10</v>
      </c>
      <c r="T729" s="2" t="n">
        <v>6</v>
      </c>
      <c r="U729" s="2" t="n">
        <v>7</v>
      </c>
      <c r="V729" s="2" t="n">
        <v>4</v>
      </c>
      <c r="W729" s="2" t="n">
        <v>3</v>
      </c>
      <c r="X729" s="2" t="n">
        <v>2</v>
      </c>
      <c r="Y729" s="2" t="n">
        <v>2</v>
      </c>
      <c r="Z729" s="2" t="n">
        <v>3</v>
      </c>
    </row>
    <row r="730" customFormat="false" ht="15" hidden="false" customHeight="true" outlineLevel="0" collapsed="false">
      <c r="A730" s="2" t="n">
        <v>39</v>
      </c>
      <c r="B730" s="2" t="s">
        <v>26</v>
      </c>
      <c r="C730" s="2" t="s">
        <v>27</v>
      </c>
      <c r="D730" s="2" t="s">
        <v>35</v>
      </c>
      <c r="E730" s="2" t="n">
        <v>17</v>
      </c>
      <c r="F730" s="2" t="n">
        <v>4</v>
      </c>
      <c r="G730" s="2" t="s">
        <v>51</v>
      </c>
      <c r="H730" s="2" t="n">
        <v>729</v>
      </c>
      <c r="I730" s="2" t="s">
        <v>30</v>
      </c>
      <c r="J730" s="2" t="n">
        <v>2</v>
      </c>
      <c r="K730" s="2" t="s">
        <v>31</v>
      </c>
      <c r="L730" s="2" t="s">
        <v>32</v>
      </c>
      <c r="M730" s="2" t="n">
        <v>104750</v>
      </c>
      <c r="N730" s="2" t="n">
        <v>3</v>
      </c>
      <c r="O730" s="2" t="n">
        <v>11</v>
      </c>
      <c r="P730" s="2" t="n">
        <v>1</v>
      </c>
      <c r="Q730" s="2" t="n">
        <v>8</v>
      </c>
      <c r="R730" s="2" t="n">
        <v>3</v>
      </c>
      <c r="S730" s="2" t="n">
        <v>5</v>
      </c>
      <c r="T730" s="2" t="n">
        <v>1</v>
      </c>
      <c r="U730" s="2" t="n">
        <v>4</v>
      </c>
      <c r="V730" s="2" t="n">
        <v>1</v>
      </c>
      <c r="W730" s="2" t="n">
        <v>4</v>
      </c>
      <c r="X730" s="2" t="n">
        <v>4</v>
      </c>
      <c r="Y730" s="2" t="n">
        <v>3</v>
      </c>
      <c r="Z730" s="2" t="n">
        <v>3</v>
      </c>
    </row>
    <row r="731" customFormat="false" ht="15" hidden="false" customHeight="true" outlineLevel="0" collapsed="false">
      <c r="A731" s="2" t="n">
        <v>51</v>
      </c>
      <c r="B731" s="2" t="s">
        <v>26</v>
      </c>
      <c r="C731" s="2" t="s">
        <v>34</v>
      </c>
      <c r="D731" s="2" t="s">
        <v>35</v>
      </c>
      <c r="E731" s="2" t="n">
        <v>20</v>
      </c>
      <c r="F731" s="2" t="n">
        <v>3</v>
      </c>
      <c r="G731" s="2" t="s">
        <v>43</v>
      </c>
      <c r="H731" s="2" t="n">
        <v>730</v>
      </c>
      <c r="I731" s="2" t="s">
        <v>39</v>
      </c>
      <c r="J731" s="2" t="n">
        <v>2</v>
      </c>
      <c r="K731" s="2" t="s">
        <v>40</v>
      </c>
      <c r="L731" s="2" t="s">
        <v>32</v>
      </c>
      <c r="M731" s="2" t="n">
        <v>148140</v>
      </c>
      <c r="N731" s="2" t="n">
        <v>2</v>
      </c>
      <c r="O731" s="2" t="n">
        <v>11</v>
      </c>
      <c r="P731" s="2" t="n">
        <v>1</v>
      </c>
      <c r="Q731" s="2" t="n">
        <v>14</v>
      </c>
      <c r="R731" s="2" t="n">
        <v>2</v>
      </c>
      <c r="S731" s="2" t="n">
        <v>4</v>
      </c>
      <c r="T731" s="2" t="n">
        <v>3</v>
      </c>
      <c r="U731" s="2" t="n">
        <v>2</v>
      </c>
      <c r="V731" s="2" t="n">
        <v>2</v>
      </c>
      <c r="W731" s="2" t="n">
        <v>2</v>
      </c>
      <c r="X731" s="2" t="n">
        <v>3</v>
      </c>
      <c r="Y731" s="2" t="n">
        <v>2</v>
      </c>
      <c r="Z731" s="2" t="n">
        <v>3</v>
      </c>
    </row>
    <row r="732" customFormat="false" ht="15" hidden="false" customHeight="true" outlineLevel="0" collapsed="false">
      <c r="A732" s="2" t="n">
        <v>41</v>
      </c>
      <c r="B732" s="2" t="s">
        <v>26</v>
      </c>
      <c r="C732" s="2" t="s">
        <v>34</v>
      </c>
      <c r="D732" s="2" t="s">
        <v>35</v>
      </c>
      <c r="E732" s="2" t="n">
        <v>1</v>
      </c>
      <c r="F732" s="2" t="n">
        <v>3</v>
      </c>
      <c r="G732" s="2" t="s">
        <v>29</v>
      </c>
      <c r="H732" s="2" t="n">
        <v>731</v>
      </c>
      <c r="I732" s="2" t="s">
        <v>39</v>
      </c>
      <c r="J732" s="2" t="n">
        <v>4</v>
      </c>
      <c r="K732" s="2" t="s">
        <v>40</v>
      </c>
      <c r="L732" s="2" t="s">
        <v>46</v>
      </c>
      <c r="M732" s="2" t="n">
        <v>191410</v>
      </c>
      <c r="N732" s="2" t="n">
        <v>3</v>
      </c>
      <c r="O732" s="2" t="n">
        <v>12</v>
      </c>
      <c r="P732" s="2" t="n">
        <v>1</v>
      </c>
      <c r="Q732" s="2" t="n">
        <v>12</v>
      </c>
      <c r="R732" s="2" t="n">
        <v>2</v>
      </c>
      <c r="S732" s="2" t="n">
        <v>6</v>
      </c>
      <c r="T732" s="2" t="n">
        <v>3</v>
      </c>
      <c r="U732" s="2" t="n">
        <v>3</v>
      </c>
      <c r="V732" s="2" t="n">
        <v>4</v>
      </c>
      <c r="W732" s="2" t="n">
        <v>4</v>
      </c>
      <c r="X732" s="2" t="n">
        <v>2</v>
      </c>
      <c r="Y732" s="2" t="n">
        <v>3</v>
      </c>
      <c r="Z732" s="2" t="n">
        <v>3</v>
      </c>
    </row>
    <row r="733" customFormat="false" ht="15" hidden="false" customHeight="true" outlineLevel="0" collapsed="false">
      <c r="A733" s="2" t="n">
        <v>37</v>
      </c>
      <c r="B733" s="2" t="s">
        <v>26</v>
      </c>
      <c r="C733" s="2" t="s">
        <v>27</v>
      </c>
      <c r="D733" s="2" t="s">
        <v>35</v>
      </c>
      <c r="E733" s="2" t="n">
        <v>2</v>
      </c>
      <c r="F733" s="2" t="n">
        <v>2</v>
      </c>
      <c r="G733" s="2" t="s">
        <v>43</v>
      </c>
      <c r="H733" s="2" t="n">
        <v>732</v>
      </c>
      <c r="I733" s="2" t="s">
        <v>30</v>
      </c>
      <c r="J733" s="2" t="n">
        <v>1</v>
      </c>
      <c r="K733" s="2" t="s">
        <v>31</v>
      </c>
      <c r="L733" s="2" t="s">
        <v>32</v>
      </c>
      <c r="M733" s="2" t="n">
        <v>54050</v>
      </c>
      <c r="N733" s="2" t="n">
        <v>7</v>
      </c>
      <c r="O733" s="2" t="n">
        <v>15</v>
      </c>
      <c r="P733" s="2" t="n">
        <v>0</v>
      </c>
      <c r="Q733" s="2" t="n">
        <v>8</v>
      </c>
      <c r="R733" s="2" t="n">
        <v>3</v>
      </c>
      <c r="S733" s="2" t="n">
        <v>6</v>
      </c>
      <c r="T733" s="2" t="n">
        <v>1</v>
      </c>
      <c r="U733" s="2" t="n">
        <v>3</v>
      </c>
      <c r="V733" s="2" t="n">
        <v>3</v>
      </c>
      <c r="W733" s="2" t="n">
        <v>3</v>
      </c>
      <c r="X733" s="2" t="n">
        <v>3</v>
      </c>
      <c r="Y733" s="2" t="n">
        <v>4</v>
      </c>
      <c r="Z733" s="2" t="n">
        <v>3</v>
      </c>
    </row>
    <row r="734" customFormat="false" ht="15" hidden="false" customHeight="true" outlineLevel="0" collapsed="false">
      <c r="A734" s="2" t="n">
        <v>33</v>
      </c>
      <c r="B734" s="2" t="s">
        <v>26</v>
      </c>
      <c r="C734" s="2" t="s">
        <v>34</v>
      </c>
      <c r="D734" s="2" t="s">
        <v>35</v>
      </c>
      <c r="E734" s="2" t="n">
        <v>2</v>
      </c>
      <c r="F734" s="2" t="n">
        <v>3</v>
      </c>
      <c r="G734" s="2" t="s">
        <v>43</v>
      </c>
      <c r="H734" s="2" t="n">
        <v>733</v>
      </c>
      <c r="I734" s="2" t="s">
        <v>30</v>
      </c>
      <c r="J734" s="2" t="n">
        <v>1</v>
      </c>
      <c r="K734" s="2" t="s">
        <v>40</v>
      </c>
      <c r="L734" s="2" t="s">
        <v>32</v>
      </c>
      <c r="M734" s="2" t="n">
        <v>87930</v>
      </c>
      <c r="N734" s="2" t="n">
        <v>6</v>
      </c>
      <c r="O734" s="2" t="n">
        <v>17</v>
      </c>
      <c r="P734" s="2" t="n">
        <v>0</v>
      </c>
      <c r="Q734" s="2" t="n">
        <v>8</v>
      </c>
      <c r="R734" s="2" t="n">
        <v>2</v>
      </c>
      <c r="S734" s="2" t="n">
        <v>5</v>
      </c>
      <c r="T734" s="2" t="n">
        <v>1</v>
      </c>
      <c r="U734" s="2" t="n">
        <v>2</v>
      </c>
      <c r="V734" s="2" t="n">
        <v>2</v>
      </c>
      <c r="W734" s="2" t="n">
        <v>4</v>
      </c>
      <c r="X734" s="2" t="n">
        <v>4</v>
      </c>
      <c r="Y734" s="2" t="n">
        <v>3</v>
      </c>
      <c r="Z734" s="2" t="n">
        <v>3</v>
      </c>
    </row>
    <row r="735" customFormat="false" ht="15" hidden="false" customHeight="true" outlineLevel="0" collapsed="false">
      <c r="A735" s="2" t="n">
        <v>32</v>
      </c>
      <c r="B735" s="2" t="s">
        <v>26</v>
      </c>
      <c r="C735" s="2" t="s">
        <v>27</v>
      </c>
      <c r="D735" s="2" t="s">
        <v>35</v>
      </c>
      <c r="E735" s="2" t="n">
        <v>1</v>
      </c>
      <c r="F735" s="2" t="n">
        <v>4</v>
      </c>
      <c r="G735" s="2" t="s">
        <v>43</v>
      </c>
      <c r="H735" s="2" t="n">
        <v>734</v>
      </c>
      <c r="I735" s="2" t="s">
        <v>39</v>
      </c>
      <c r="J735" s="2" t="n">
        <v>5</v>
      </c>
      <c r="K735" s="2" t="s">
        <v>44</v>
      </c>
      <c r="L735" s="2" t="s">
        <v>32</v>
      </c>
      <c r="M735" s="2" t="n">
        <v>191890</v>
      </c>
      <c r="N735" s="2" t="n">
        <v>0</v>
      </c>
      <c r="O735" s="2" t="n">
        <v>12</v>
      </c>
      <c r="P735" s="2" t="n">
        <v>1</v>
      </c>
      <c r="Q735" s="2" t="n">
        <v>4</v>
      </c>
      <c r="R735" s="2" t="n">
        <v>3</v>
      </c>
      <c r="S735" s="2" t="n">
        <v>3</v>
      </c>
      <c r="T735" s="2" t="n">
        <v>1</v>
      </c>
      <c r="U735" s="2" t="n">
        <v>2</v>
      </c>
      <c r="V735" s="2" t="n">
        <v>3</v>
      </c>
      <c r="W735" s="2" t="n">
        <v>2</v>
      </c>
      <c r="X735" s="2" t="n">
        <v>2</v>
      </c>
      <c r="Y735" s="2" t="n">
        <v>3</v>
      </c>
      <c r="Z735" s="2" t="n">
        <v>3</v>
      </c>
    </row>
    <row r="736" customFormat="false" ht="15" hidden="false" customHeight="true" outlineLevel="0" collapsed="false">
      <c r="A736" s="2" t="n">
        <v>39</v>
      </c>
      <c r="B736" s="2" t="s">
        <v>26</v>
      </c>
      <c r="C736" s="2" t="s">
        <v>41</v>
      </c>
      <c r="D736" s="2" t="s">
        <v>35</v>
      </c>
      <c r="E736" s="2" t="n">
        <v>29</v>
      </c>
      <c r="F736" s="2" t="n">
        <v>2</v>
      </c>
      <c r="G736" s="2" t="s">
        <v>29</v>
      </c>
      <c r="H736" s="2" t="n">
        <v>735</v>
      </c>
      <c r="I736" s="2" t="s">
        <v>39</v>
      </c>
      <c r="J736" s="2" t="n">
        <v>2</v>
      </c>
      <c r="K736" s="2" t="s">
        <v>40</v>
      </c>
      <c r="L736" s="2" t="s">
        <v>32</v>
      </c>
      <c r="M736" s="2" t="n">
        <v>38750</v>
      </c>
      <c r="N736" s="2" t="n">
        <v>3</v>
      </c>
      <c r="O736" s="2" t="n">
        <v>15</v>
      </c>
      <c r="P736" s="2" t="n">
        <v>0</v>
      </c>
      <c r="Q736" s="2" t="n">
        <v>13</v>
      </c>
      <c r="R736" s="2" t="n">
        <v>3</v>
      </c>
      <c r="S736" s="2" t="n">
        <v>6</v>
      </c>
      <c r="T736" s="2" t="n">
        <v>0</v>
      </c>
      <c r="U736" s="2" t="n">
        <v>5</v>
      </c>
      <c r="V736" s="2" t="n">
        <v>3</v>
      </c>
      <c r="W736" s="2" t="n">
        <v>3</v>
      </c>
      <c r="X736" s="2" t="n">
        <v>3</v>
      </c>
      <c r="Y736" s="2" t="n">
        <v>3</v>
      </c>
      <c r="Z736" s="2" t="n">
        <v>3</v>
      </c>
    </row>
    <row r="737" customFormat="false" ht="15" hidden="false" customHeight="true" outlineLevel="0" collapsed="false">
      <c r="A737" s="2" t="n">
        <v>25</v>
      </c>
      <c r="B737" s="2" t="s">
        <v>26</v>
      </c>
      <c r="C737" s="2" t="s">
        <v>27</v>
      </c>
      <c r="D737" s="2" t="s">
        <v>35</v>
      </c>
      <c r="E737" s="2" t="n">
        <v>7</v>
      </c>
      <c r="F737" s="2" t="n">
        <v>4</v>
      </c>
      <c r="G737" s="2" t="s">
        <v>29</v>
      </c>
      <c r="H737" s="2" t="n">
        <v>736</v>
      </c>
      <c r="I737" s="2" t="s">
        <v>39</v>
      </c>
      <c r="J737" s="2" t="n">
        <v>1</v>
      </c>
      <c r="K737" s="2" t="s">
        <v>40</v>
      </c>
      <c r="L737" s="2" t="s">
        <v>32</v>
      </c>
      <c r="M737" s="2" t="n">
        <v>22160</v>
      </c>
      <c r="N737" s="2" t="n">
        <v>2</v>
      </c>
      <c r="O737" s="2" t="n">
        <v>13</v>
      </c>
      <c r="P737" s="2" t="n">
        <v>3</v>
      </c>
      <c r="Q737" s="2" t="n">
        <v>6</v>
      </c>
      <c r="R737" s="2" t="n">
        <v>2</v>
      </c>
      <c r="S737" s="2" t="n">
        <v>3</v>
      </c>
      <c r="T737" s="2" t="n">
        <v>1</v>
      </c>
      <c r="U737" s="2" t="n">
        <v>2</v>
      </c>
      <c r="V737" s="2" t="n">
        <v>1</v>
      </c>
      <c r="W737" s="2" t="n">
        <v>3</v>
      </c>
      <c r="X737" s="2"/>
      <c r="Y737" s="2" t="n">
        <v>2</v>
      </c>
      <c r="Z737" s="2" t="n">
        <v>3</v>
      </c>
    </row>
    <row r="738" customFormat="false" ht="15" hidden="false" customHeight="true" outlineLevel="0" collapsed="false">
      <c r="A738" s="2" t="n">
        <v>52</v>
      </c>
      <c r="B738" s="2" t="s">
        <v>26</v>
      </c>
      <c r="C738" s="2" t="s">
        <v>34</v>
      </c>
      <c r="D738" s="2" t="s">
        <v>35</v>
      </c>
      <c r="E738" s="2" t="n">
        <v>2</v>
      </c>
      <c r="F738" s="2" t="n">
        <v>1</v>
      </c>
      <c r="G738" s="2" t="s">
        <v>29</v>
      </c>
      <c r="H738" s="2" t="n">
        <v>737</v>
      </c>
      <c r="I738" s="2" t="s">
        <v>39</v>
      </c>
      <c r="J738" s="2" t="n">
        <v>2</v>
      </c>
      <c r="K738" s="2" t="s">
        <v>40</v>
      </c>
      <c r="L738" s="2" t="s">
        <v>32</v>
      </c>
      <c r="M738" s="2" t="n">
        <v>117130</v>
      </c>
      <c r="N738" s="2" t="n">
        <v>2</v>
      </c>
      <c r="O738" s="2" t="n">
        <v>14</v>
      </c>
      <c r="P738" s="2" t="n">
        <v>0</v>
      </c>
      <c r="Q738" s="2" t="n">
        <v>24</v>
      </c>
      <c r="R738" s="2" t="n">
        <v>2</v>
      </c>
      <c r="S738" s="2" t="n">
        <v>5</v>
      </c>
      <c r="T738" s="2" t="n">
        <v>0</v>
      </c>
      <c r="U738" s="2" t="n">
        <v>2</v>
      </c>
      <c r="V738" s="2" t="n">
        <v>4</v>
      </c>
      <c r="W738" s="2" t="n">
        <v>3</v>
      </c>
      <c r="X738" s="2" t="n">
        <v>2</v>
      </c>
      <c r="Y738" s="2" t="n">
        <v>3</v>
      </c>
      <c r="Z738" s="2" t="n">
        <v>3</v>
      </c>
    </row>
    <row r="739" customFormat="false" ht="15" hidden="false" customHeight="true" outlineLevel="0" collapsed="false">
      <c r="A739" s="2" t="n">
        <v>43</v>
      </c>
      <c r="B739" s="2" t="s">
        <v>26</v>
      </c>
      <c r="C739" s="2" t="s">
        <v>27</v>
      </c>
      <c r="D739" s="2" t="s">
        <v>35</v>
      </c>
      <c r="E739" s="2" t="n">
        <v>2</v>
      </c>
      <c r="F739" s="2" t="n">
        <v>2</v>
      </c>
      <c r="G739" s="2" t="s">
        <v>43</v>
      </c>
      <c r="H739" s="2" t="n">
        <v>738</v>
      </c>
      <c r="I739" s="2" t="s">
        <v>39</v>
      </c>
      <c r="J739" s="2" t="n">
        <v>1</v>
      </c>
      <c r="K739" s="2" t="s">
        <v>45</v>
      </c>
      <c r="L739" s="2" t="s">
        <v>37</v>
      </c>
      <c r="M739" s="2" t="n">
        <v>78610</v>
      </c>
      <c r="N739" s="2" t="n">
        <v>1</v>
      </c>
      <c r="O739" s="2" t="n">
        <v>14</v>
      </c>
      <c r="P739" s="2" t="n">
        <v>2</v>
      </c>
      <c r="Q739" s="2" t="n">
        <v>20</v>
      </c>
      <c r="R739" s="2" t="n">
        <v>1</v>
      </c>
      <c r="S739" s="2" t="n">
        <v>20</v>
      </c>
      <c r="T739" s="2" t="n">
        <v>1</v>
      </c>
      <c r="U739" s="2" t="n">
        <v>8</v>
      </c>
      <c r="V739" s="2" t="n">
        <v>1</v>
      </c>
      <c r="W739" s="2" t="n">
        <v>3</v>
      </c>
      <c r="X739" s="2" t="n">
        <v>1</v>
      </c>
      <c r="Y739" s="2" t="n">
        <v>3</v>
      </c>
      <c r="Z739" s="2" t="n">
        <v>3</v>
      </c>
    </row>
    <row r="740" customFormat="false" ht="15" hidden="false" customHeight="true" outlineLevel="0" collapsed="false">
      <c r="A740" s="2" t="n">
        <v>27</v>
      </c>
      <c r="B740" s="2" t="s">
        <v>26</v>
      </c>
      <c r="C740" s="2" t="s">
        <v>27</v>
      </c>
      <c r="D740" s="2" t="s">
        <v>35</v>
      </c>
      <c r="E740" s="2" t="n">
        <v>2</v>
      </c>
      <c r="F740" s="2" t="n">
        <v>4</v>
      </c>
      <c r="G740" s="2" t="s">
        <v>29</v>
      </c>
      <c r="H740" s="2" t="n">
        <v>739</v>
      </c>
      <c r="I740" s="2" t="s">
        <v>39</v>
      </c>
      <c r="J740" s="2" t="n">
        <v>1</v>
      </c>
      <c r="K740" s="2" t="s">
        <v>42</v>
      </c>
      <c r="L740" s="2" t="s">
        <v>32</v>
      </c>
      <c r="M740" s="2" t="n">
        <v>37080</v>
      </c>
      <c r="N740" s="2" t="n">
        <v>1</v>
      </c>
      <c r="O740" s="2" t="n">
        <v>16</v>
      </c>
      <c r="P740" s="2" t="n">
        <v>2</v>
      </c>
      <c r="Q740" s="2" t="n">
        <v>6</v>
      </c>
      <c r="R740" s="2" t="n">
        <v>2</v>
      </c>
      <c r="S740" s="2" t="n">
        <v>6</v>
      </c>
      <c r="T740" s="2" t="n">
        <v>4</v>
      </c>
      <c r="U740" s="2" t="n">
        <v>4</v>
      </c>
      <c r="V740" s="2" t="n">
        <v>4</v>
      </c>
      <c r="W740" s="2" t="n">
        <v>4</v>
      </c>
      <c r="X740" s="2" t="n">
        <v>3</v>
      </c>
      <c r="Y740" s="2" t="n">
        <v>3</v>
      </c>
      <c r="Z740" s="2" t="n">
        <v>3</v>
      </c>
    </row>
    <row r="741" customFormat="false" ht="15" hidden="false" customHeight="true" outlineLevel="0" collapsed="false">
      <c r="A741" s="2" t="n">
        <v>27</v>
      </c>
      <c r="B741" s="2" t="s">
        <v>33</v>
      </c>
      <c r="C741" s="2" t="s">
        <v>27</v>
      </c>
      <c r="D741" s="2" t="s">
        <v>35</v>
      </c>
      <c r="E741" s="2" t="n">
        <v>2</v>
      </c>
      <c r="F741" s="2" t="n">
        <v>5</v>
      </c>
      <c r="G741" s="2" t="s">
        <v>29</v>
      </c>
      <c r="H741" s="2" t="n">
        <v>740</v>
      </c>
      <c r="I741" s="2" t="s">
        <v>30</v>
      </c>
      <c r="J741" s="2" t="n">
        <v>1</v>
      </c>
      <c r="K741" s="2" t="s">
        <v>36</v>
      </c>
      <c r="L741" s="2" t="s">
        <v>37</v>
      </c>
      <c r="M741" s="2" t="n">
        <v>137700</v>
      </c>
      <c r="N741" s="2" t="n">
        <v>1</v>
      </c>
      <c r="O741" s="2" t="n">
        <v>18</v>
      </c>
      <c r="P741" s="2" t="n">
        <v>1</v>
      </c>
      <c r="Q741" s="2" t="n">
        <v>8</v>
      </c>
      <c r="R741" s="2" t="n">
        <v>3</v>
      </c>
      <c r="S741" s="2" t="n">
        <v>8</v>
      </c>
      <c r="T741" s="2" t="n">
        <v>7</v>
      </c>
      <c r="U741" s="2" t="n">
        <v>7</v>
      </c>
      <c r="V741" s="2" t="n">
        <v>4</v>
      </c>
      <c r="W741" s="2" t="n">
        <v>3</v>
      </c>
      <c r="X741" s="2" t="n">
        <v>3</v>
      </c>
      <c r="Y741" s="2" t="n">
        <v>4</v>
      </c>
      <c r="Z741" s="2" t="n">
        <v>3</v>
      </c>
    </row>
    <row r="742" customFormat="false" ht="15" hidden="false" customHeight="true" outlineLevel="0" collapsed="false">
      <c r="A742" s="2" t="n">
        <v>26</v>
      </c>
      <c r="B742" s="2" t="s">
        <v>26</v>
      </c>
      <c r="C742" s="2" t="s">
        <v>27</v>
      </c>
      <c r="D742" s="2" t="s">
        <v>35</v>
      </c>
      <c r="E742" s="2" t="n">
        <v>2</v>
      </c>
      <c r="F742" s="2" t="n">
        <v>2</v>
      </c>
      <c r="G742" s="2" t="s">
        <v>38</v>
      </c>
      <c r="H742" s="2" t="n">
        <v>741</v>
      </c>
      <c r="I742" s="2" t="s">
        <v>39</v>
      </c>
      <c r="J742" s="2" t="n">
        <v>3</v>
      </c>
      <c r="K742" s="2" t="s">
        <v>45</v>
      </c>
      <c r="L742" s="2" t="s">
        <v>37</v>
      </c>
      <c r="M742" s="2" t="n">
        <v>53040</v>
      </c>
      <c r="N742" s="2" t="n">
        <v>0</v>
      </c>
      <c r="O742" s="2" t="n">
        <v>20</v>
      </c>
      <c r="P742" s="2" t="n">
        <v>1</v>
      </c>
      <c r="Q742" s="2" t="n">
        <v>5</v>
      </c>
      <c r="R742" s="2" t="n">
        <v>2</v>
      </c>
      <c r="S742" s="2" t="n">
        <v>4</v>
      </c>
      <c r="T742" s="2" t="n">
        <v>1</v>
      </c>
      <c r="U742" s="2" t="n">
        <v>1</v>
      </c>
      <c r="V742" s="2" t="n">
        <v>1</v>
      </c>
      <c r="W742" s="2" t="n">
        <v>4</v>
      </c>
      <c r="X742" s="2" t="n">
        <v>3</v>
      </c>
      <c r="Y742" s="2" t="n">
        <v>3</v>
      </c>
      <c r="Z742" s="2" t="n">
        <v>4</v>
      </c>
    </row>
    <row r="743" customFormat="false" ht="15" hidden="false" customHeight="true" outlineLevel="0" collapsed="false">
      <c r="A743" s="2" t="n">
        <v>42</v>
      </c>
      <c r="B743" s="2" t="s">
        <v>26</v>
      </c>
      <c r="C743" s="2" t="s">
        <v>27</v>
      </c>
      <c r="D743" s="2" t="s">
        <v>28</v>
      </c>
      <c r="E743" s="2" t="n">
        <v>23</v>
      </c>
      <c r="F743" s="2" t="n">
        <v>3</v>
      </c>
      <c r="G743" s="2" t="s">
        <v>50</v>
      </c>
      <c r="H743" s="2" t="n">
        <v>742</v>
      </c>
      <c r="I743" s="2" t="s">
        <v>30</v>
      </c>
      <c r="J743" s="2" t="n">
        <v>3</v>
      </c>
      <c r="K743" s="2" t="s">
        <v>36</v>
      </c>
      <c r="L743" s="2" t="s">
        <v>32</v>
      </c>
      <c r="M743" s="2" t="n">
        <v>26420</v>
      </c>
      <c r="N743" s="2" t="n">
        <v>0</v>
      </c>
      <c r="O743" s="2" t="n">
        <v>13</v>
      </c>
      <c r="P743" s="2" t="n">
        <v>1</v>
      </c>
      <c r="Q743" s="2" t="n">
        <v>21</v>
      </c>
      <c r="R743" s="2" t="n">
        <v>3</v>
      </c>
      <c r="S743" s="2" t="n">
        <v>20</v>
      </c>
      <c r="T743" s="2" t="n">
        <v>0</v>
      </c>
      <c r="U743" s="2" t="n">
        <v>9</v>
      </c>
      <c r="V743" s="2" t="n">
        <v>3</v>
      </c>
      <c r="W743" s="2" t="n">
        <v>1</v>
      </c>
      <c r="X743" s="2" t="n">
        <v>3</v>
      </c>
      <c r="Y743" s="2" t="n">
        <v>3</v>
      </c>
      <c r="Z743" s="2" t="n">
        <v>3</v>
      </c>
    </row>
    <row r="744" customFormat="false" ht="15" hidden="false" customHeight="true" outlineLevel="0" collapsed="false">
      <c r="A744" s="2" t="n">
        <v>52</v>
      </c>
      <c r="B744" s="2" t="s">
        <v>26</v>
      </c>
      <c r="C744" s="2" t="s">
        <v>27</v>
      </c>
      <c r="D744" s="2" t="s">
        <v>35</v>
      </c>
      <c r="E744" s="2" t="n">
        <v>5</v>
      </c>
      <c r="F744" s="2" t="n">
        <v>2</v>
      </c>
      <c r="G744" s="2" t="s">
        <v>29</v>
      </c>
      <c r="H744" s="2" t="n">
        <v>743</v>
      </c>
      <c r="I744" s="2" t="s">
        <v>30</v>
      </c>
      <c r="J744" s="2" t="n">
        <v>1</v>
      </c>
      <c r="K744" s="2" t="s">
        <v>31</v>
      </c>
      <c r="L744" s="2" t="s">
        <v>32</v>
      </c>
      <c r="M744" s="2" t="n">
        <v>27590</v>
      </c>
      <c r="N744" s="2" t="n">
        <v>9</v>
      </c>
      <c r="O744" s="2" t="n">
        <v>18</v>
      </c>
      <c r="P744" s="2" t="n">
        <v>1</v>
      </c>
      <c r="Q744" s="2" t="n">
        <v>12</v>
      </c>
      <c r="R744" s="2" t="n">
        <v>6</v>
      </c>
      <c r="S744" s="2" t="n">
        <v>5</v>
      </c>
      <c r="T744" s="2" t="n">
        <v>0</v>
      </c>
      <c r="U744" s="2" t="n">
        <v>4</v>
      </c>
      <c r="V744" s="2" t="n">
        <v>3</v>
      </c>
      <c r="W744" s="2" t="n">
        <v>1</v>
      </c>
      <c r="X744" s="2" t="n">
        <v>1</v>
      </c>
      <c r="Y744" s="2" t="n">
        <v>3</v>
      </c>
      <c r="Z744" s="2" t="n">
        <v>3</v>
      </c>
    </row>
    <row r="745" customFormat="false" ht="15" hidden="false" customHeight="true" outlineLevel="0" collapsed="false">
      <c r="A745" s="2" t="n">
        <v>37</v>
      </c>
      <c r="B745" s="2" t="s">
        <v>26</v>
      </c>
      <c r="C745" s="2" t="s">
        <v>27</v>
      </c>
      <c r="D745" s="2" t="s">
        <v>35</v>
      </c>
      <c r="E745" s="2" t="n">
        <v>20</v>
      </c>
      <c r="F745" s="2" t="n">
        <v>5</v>
      </c>
      <c r="G745" s="2" t="s">
        <v>29</v>
      </c>
      <c r="H745" s="2" t="n">
        <v>744</v>
      </c>
      <c r="I745" s="2" t="s">
        <v>39</v>
      </c>
      <c r="J745" s="2" t="n">
        <v>2</v>
      </c>
      <c r="K745" s="2" t="s">
        <v>49</v>
      </c>
      <c r="L745" s="2" t="s">
        <v>37</v>
      </c>
      <c r="M745" s="2" t="n">
        <v>68040</v>
      </c>
      <c r="N745" s="2" t="n">
        <v>4</v>
      </c>
      <c r="O745" s="2" t="n">
        <v>13</v>
      </c>
      <c r="P745" s="2" t="n">
        <v>1</v>
      </c>
      <c r="Q745" s="2" t="n">
        <v>8</v>
      </c>
      <c r="R745" s="2" t="n">
        <v>1</v>
      </c>
      <c r="S745" s="2" t="n">
        <v>3</v>
      </c>
      <c r="T745" s="2" t="n">
        <v>0</v>
      </c>
      <c r="U745" s="2" t="n">
        <v>2</v>
      </c>
      <c r="V745" s="2" t="n">
        <v>1</v>
      </c>
      <c r="W745" s="2" t="n">
        <v>3</v>
      </c>
      <c r="X745" s="2" t="n">
        <v>3</v>
      </c>
      <c r="Y745" s="2" t="n">
        <v>3</v>
      </c>
      <c r="Z745" s="2" t="n">
        <v>3</v>
      </c>
    </row>
    <row r="746" customFormat="false" ht="15" hidden="false" customHeight="true" outlineLevel="0" collapsed="false">
      <c r="A746" s="2" t="n">
        <v>35</v>
      </c>
      <c r="B746" s="2" t="s">
        <v>26</v>
      </c>
      <c r="C746" s="2" t="s">
        <v>34</v>
      </c>
      <c r="D746" s="2" t="s">
        <v>35</v>
      </c>
      <c r="E746" s="2" t="n">
        <v>6</v>
      </c>
      <c r="F746" s="2" t="n">
        <v>4</v>
      </c>
      <c r="G746" s="2" t="s">
        <v>43</v>
      </c>
      <c r="H746" s="2" t="n">
        <v>745</v>
      </c>
      <c r="I746" s="2" t="s">
        <v>30</v>
      </c>
      <c r="J746" s="2" t="n">
        <v>2</v>
      </c>
      <c r="K746" s="2" t="s">
        <v>44</v>
      </c>
      <c r="L746" s="2" t="s">
        <v>37</v>
      </c>
      <c r="M746" s="2" t="n">
        <v>61420</v>
      </c>
      <c r="N746" s="2" t="n">
        <v>2</v>
      </c>
      <c r="O746" s="2" t="n">
        <v>15</v>
      </c>
      <c r="P746" s="2" t="n">
        <v>1</v>
      </c>
      <c r="Q746" s="2" t="n">
        <v>10</v>
      </c>
      <c r="R746" s="2" t="n">
        <v>2</v>
      </c>
      <c r="S746" s="2" t="n">
        <v>2</v>
      </c>
      <c r="T746" s="2" t="n">
        <v>2</v>
      </c>
      <c r="U746" s="2" t="n">
        <v>2</v>
      </c>
      <c r="V746" s="2" t="n">
        <v>3</v>
      </c>
      <c r="W746" s="2" t="n">
        <v>4</v>
      </c>
      <c r="X746" s="2" t="n">
        <v>3</v>
      </c>
      <c r="Y746" s="2" t="n">
        <v>3</v>
      </c>
      <c r="Z746" s="2" t="n">
        <v>3</v>
      </c>
    </row>
    <row r="747" customFormat="false" ht="15" hidden="false" customHeight="true" outlineLevel="0" collapsed="false">
      <c r="A747" s="2" t="n">
        <v>25</v>
      </c>
      <c r="B747" s="2" t="s">
        <v>26</v>
      </c>
      <c r="C747" s="2" t="s">
        <v>27</v>
      </c>
      <c r="D747" s="2" t="s">
        <v>35</v>
      </c>
      <c r="E747" s="2" t="n">
        <v>1</v>
      </c>
      <c r="F747" s="2" t="n">
        <v>4</v>
      </c>
      <c r="G747" s="2" t="s">
        <v>43</v>
      </c>
      <c r="H747" s="2" t="n">
        <v>746</v>
      </c>
      <c r="I747" s="2" t="s">
        <v>39</v>
      </c>
      <c r="J747" s="2" t="n">
        <v>2</v>
      </c>
      <c r="K747" s="2" t="s">
        <v>40</v>
      </c>
      <c r="L747" s="2" t="s">
        <v>32</v>
      </c>
      <c r="M747" s="2" t="n">
        <v>25000</v>
      </c>
      <c r="N747" s="2" t="n">
        <v>4</v>
      </c>
      <c r="O747" s="2" t="n">
        <v>14</v>
      </c>
      <c r="P747" s="2" t="n">
        <v>2</v>
      </c>
      <c r="Q747" s="2" t="n">
        <v>7</v>
      </c>
      <c r="R747" s="2" t="n">
        <v>2</v>
      </c>
      <c r="S747" s="2" t="n">
        <v>3</v>
      </c>
      <c r="T747" s="2" t="n">
        <v>0</v>
      </c>
      <c r="U747" s="2" t="n">
        <v>2</v>
      </c>
      <c r="V747" s="2" t="n">
        <v>1</v>
      </c>
      <c r="W747" s="2" t="n">
        <v>4</v>
      </c>
      <c r="X747" s="2" t="n">
        <v>2</v>
      </c>
      <c r="Y747" s="2" t="n">
        <v>1</v>
      </c>
      <c r="Z747" s="2" t="n">
        <v>3</v>
      </c>
    </row>
    <row r="748" customFormat="false" ht="15" hidden="false" customHeight="true" outlineLevel="0" collapsed="false">
      <c r="A748" s="2" t="n">
        <v>26</v>
      </c>
      <c r="B748" s="2" t="s">
        <v>26</v>
      </c>
      <c r="C748" s="2" t="s">
        <v>27</v>
      </c>
      <c r="D748" s="2" t="s">
        <v>35</v>
      </c>
      <c r="E748" s="2" t="n">
        <v>29</v>
      </c>
      <c r="F748" s="2" t="n">
        <v>4</v>
      </c>
      <c r="G748" s="2" t="s">
        <v>29</v>
      </c>
      <c r="H748" s="2" t="n">
        <v>747</v>
      </c>
      <c r="I748" s="2" t="s">
        <v>39</v>
      </c>
      <c r="J748" s="2" t="n">
        <v>1</v>
      </c>
      <c r="K748" s="2" t="s">
        <v>36</v>
      </c>
      <c r="L748" s="2" t="s">
        <v>37</v>
      </c>
      <c r="M748" s="2" t="n">
        <v>63890</v>
      </c>
      <c r="N748" s="2" t="n">
        <v>0</v>
      </c>
      <c r="O748" s="2" t="n">
        <v>22</v>
      </c>
      <c r="P748" s="2" t="n">
        <v>0</v>
      </c>
      <c r="Q748" s="2" t="n">
        <v>8</v>
      </c>
      <c r="R748" s="2" t="n">
        <v>2</v>
      </c>
      <c r="S748" s="2" t="n">
        <v>7</v>
      </c>
      <c r="T748" s="2" t="n">
        <v>0</v>
      </c>
      <c r="U748" s="2" t="n">
        <v>7</v>
      </c>
      <c r="V748" s="2" t="n">
        <v>3</v>
      </c>
      <c r="W748" s="2" t="n">
        <v>1</v>
      </c>
      <c r="X748" s="2" t="n">
        <v>3</v>
      </c>
      <c r="Y748" s="2" t="n">
        <v>2</v>
      </c>
      <c r="Z748" s="2" t="n">
        <v>4</v>
      </c>
    </row>
    <row r="749" customFormat="false" ht="15" hidden="false" customHeight="true" outlineLevel="0" collapsed="false">
      <c r="A749" s="2" t="n">
        <v>29</v>
      </c>
      <c r="B749" s="2" t="s">
        <v>26</v>
      </c>
      <c r="C749" s="2" t="s">
        <v>27</v>
      </c>
      <c r="D749" s="2" t="s">
        <v>28</v>
      </c>
      <c r="E749" s="2" t="n">
        <v>9</v>
      </c>
      <c r="F749" s="2" t="n">
        <v>3</v>
      </c>
      <c r="G749" s="2" t="s">
        <v>29</v>
      </c>
      <c r="H749" s="2" t="n">
        <v>748</v>
      </c>
      <c r="I749" s="2" t="s">
        <v>39</v>
      </c>
      <c r="J749" s="2" t="n">
        <v>1</v>
      </c>
      <c r="K749" s="2" t="s">
        <v>45</v>
      </c>
      <c r="L749" s="2" t="s">
        <v>37</v>
      </c>
      <c r="M749" s="2" t="n">
        <v>111030</v>
      </c>
      <c r="N749" s="2" t="n">
        <v>1</v>
      </c>
      <c r="O749" s="2" t="n">
        <v>12</v>
      </c>
      <c r="P749" s="2" t="n">
        <v>0</v>
      </c>
      <c r="Q749" s="2" t="n">
        <v>10</v>
      </c>
      <c r="R749" s="2" t="n">
        <v>5</v>
      </c>
      <c r="S749" s="2" t="n">
        <v>10</v>
      </c>
      <c r="T749" s="2" t="n">
        <v>0</v>
      </c>
      <c r="U749" s="2" t="n">
        <v>9</v>
      </c>
      <c r="V749" s="2" t="n">
        <v>2</v>
      </c>
      <c r="W749" s="2" t="n">
        <v>1</v>
      </c>
      <c r="X749" s="2" t="n">
        <v>2</v>
      </c>
      <c r="Y749" s="2" t="n">
        <v>2</v>
      </c>
      <c r="Z749" s="2" t="n">
        <v>3</v>
      </c>
    </row>
    <row r="750" customFormat="false" ht="15" hidden="false" customHeight="true" outlineLevel="0" collapsed="false">
      <c r="A750" s="2" t="n">
        <v>49</v>
      </c>
      <c r="B750" s="2" t="s">
        <v>33</v>
      </c>
      <c r="C750" s="2" t="s">
        <v>34</v>
      </c>
      <c r="D750" s="2" t="s">
        <v>28</v>
      </c>
      <c r="E750" s="2" t="n">
        <v>6</v>
      </c>
      <c r="F750" s="2" t="n">
        <v>5</v>
      </c>
      <c r="G750" s="2" t="s">
        <v>43</v>
      </c>
      <c r="H750" s="2" t="n">
        <v>749</v>
      </c>
      <c r="I750" s="2" t="s">
        <v>30</v>
      </c>
      <c r="J750" s="2" t="n">
        <v>2</v>
      </c>
      <c r="K750" s="2" t="s">
        <v>31</v>
      </c>
      <c r="L750" s="2" t="s">
        <v>37</v>
      </c>
      <c r="M750" s="2" t="n">
        <v>23420</v>
      </c>
      <c r="N750" s="2" t="n">
        <v>3</v>
      </c>
      <c r="O750" s="2" t="n">
        <v>18</v>
      </c>
      <c r="P750" s="2" t="n">
        <v>0</v>
      </c>
      <c r="Q750" s="2" t="n">
        <v>20</v>
      </c>
      <c r="R750" s="2" t="n">
        <v>2</v>
      </c>
      <c r="S750" s="2" t="n">
        <v>4</v>
      </c>
      <c r="T750" s="2" t="n">
        <v>1</v>
      </c>
      <c r="U750" s="2" t="n">
        <v>3</v>
      </c>
      <c r="V750" s="2" t="n">
        <v>1</v>
      </c>
      <c r="W750" s="2" t="n">
        <v>1</v>
      </c>
      <c r="X750" s="2" t="n">
        <v>3</v>
      </c>
      <c r="Y750" s="2" t="n">
        <v>3</v>
      </c>
      <c r="Z750" s="2" t="n">
        <v>3</v>
      </c>
    </row>
    <row r="751" customFormat="false" ht="15" hidden="false" customHeight="true" outlineLevel="0" collapsed="false">
      <c r="A751" s="2" t="n">
        <v>29</v>
      </c>
      <c r="B751" s="2" t="s">
        <v>33</v>
      </c>
      <c r="C751" s="2" t="s">
        <v>34</v>
      </c>
      <c r="D751" s="2" t="s">
        <v>28</v>
      </c>
      <c r="E751" s="2" t="n">
        <v>3</v>
      </c>
      <c r="F751" s="2" t="n">
        <v>2</v>
      </c>
      <c r="G751" s="2" t="s">
        <v>50</v>
      </c>
      <c r="H751" s="2" t="n">
        <v>750</v>
      </c>
      <c r="I751" s="2" t="s">
        <v>30</v>
      </c>
      <c r="J751" s="2" t="n">
        <v>2</v>
      </c>
      <c r="K751" s="2" t="s">
        <v>45</v>
      </c>
      <c r="L751" s="2" t="s">
        <v>37</v>
      </c>
      <c r="M751" s="2" t="n">
        <v>68110</v>
      </c>
      <c r="N751" s="2" t="n">
        <v>0</v>
      </c>
      <c r="O751" s="2" t="n">
        <v>15</v>
      </c>
      <c r="P751" s="2" t="n">
        <v>1</v>
      </c>
      <c r="Q751" s="2" t="n">
        <v>9</v>
      </c>
      <c r="R751" s="2" t="n">
        <v>2</v>
      </c>
      <c r="S751" s="2" t="n">
        <v>8</v>
      </c>
      <c r="T751" s="2" t="n">
        <v>7</v>
      </c>
      <c r="U751" s="2" t="n">
        <v>7</v>
      </c>
      <c r="V751" s="2" t="n">
        <v>3</v>
      </c>
      <c r="W751" s="2" t="n">
        <v>4</v>
      </c>
      <c r="X751" s="2" t="n">
        <v>3</v>
      </c>
      <c r="Y751" s="2" t="n">
        <v>3</v>
      </c>
      <c r="Z751" s="2" t="n">
        <v>3</v>
      </c>
    </row>
    <row r="752" customFormat="false" ht="15" hidden="false" customHeight="true" outlineLevel="0" collapsed="false">
      <c r="A752" s="2" t="n">
        <v>54</v>
      </c>
      <c r="B752" s="2" t="s">
        <v>26</v>
      </c>
      <c r="C752" s="2" t="s">
        <v>27</v>
      </c>
      <c r="D752" s="2" t="s">
        <v>28</v>
      </c>
      <c r="E752" s="2" t="n">
        <v>1</v>
      </c>
      <c r="F752" s="2" t="n">
        <v>3</v>
      </c>
      <c r="G752" s="2" t="s">
        <v>43</v>
      </c>
      <c r="H752" s="2" t="n">
        <v>751</v>
      </c>
      <c r="I752" s="2" t="s">
        <v>30</v>
      </c>
      <c r="J752" s="2" t="n">
        <v>2</v>
      </c>
      <c r="K752" s="2" t="s">
        <v>49</v>
      </c>
      <c r="L752" s="2" t="s">
        <v>37</v>
      </c>
      <c r="M752" s="2" t="n">
        <v>22970</v>
      </c>
      <c r="N752" s="2" t="n">
        <v>6</v>
      </c>
      <c r="O752" s="2" t="n">
        <v>18</v>
      </c>
      <c r="P752" s="2" t="n">
        <v>2</v>
      </c>
      <c r="Q752" s="2" t="n">
        <v>29</v>
      </c>
      <c r="R752" s="2" t="n">
        <v>2</v>
      </c>
      <c r="S752" s="2" t="n">
        <v>20</v>
      </c>
      <c r="T752" s="2" t="n">
        <v>12</v>
      </c>
      <c r="U752" s="2" t="n">
        <v>7</v>
      </c>
      <c r="V752" s="2" t="n">
        <v>4</v>
      </c>
      <c r="W752" s="2" t="n">
        <v>4</v>
      </c>
      <c r="X752" s="2" t="n">
        <v>2</v>
      </c>
      <c r="Y752" s="2" t="n">
        <v>2</v>
      </c>
      <c r="Z752" s="2" t="n">
        <v>3</v>
      </c>
    </row>
    <row r="753" customFormat="false" ht="15" hidden="false" customHeight="true" outlineLevel="0" collapsed="false">
      <c r="A753" s="2" t="n">
        <v>58</v>
      </c>
      <c r="B753" s="2" t="s">
        <v>26</v>
      </c>
      <c r="C753" s="2" t="s">
        <v>27</v>
      </c>
      <c r="D753" s="2" t="s">
        <v>28</v>
      </c>
      <c r="E753" s="2" t="n">
        <v>22</v>
      </c>
      <c r="F753" s="2" t="n">
        <v>3</v>
      </c>
      <c r="G753" s="2" t="s">
        <v>29</v>
      </c>
      <c r="H753" s="2" t="n">
        <v>752</v>
      </c>
      <c r="I753" s="2" t="s">
        <v>30</v>
      </c>
      <c r="J753" s="2" t="n">
        <v>2</v>
      </c>
      <c r="K753" s="2" t="s">
        <v>45</v>
      </c>
      <c r="L753" s="2" t="s">
        <v>32</v>
      </c>
      <c r="M753" s="2" t="n">
        <v>24500</v>
      </c>
      <c r="N753" s="2" t="n">
        <v>3</v>
      </c>
      <c r="O753" s="2" t="n">
        <v>12</v>
      </c>
      <c r="P753" s="2" t="n">
        <v>1</v>
      </c>
      <c r="Q753" s="2" t="n">
        <v>32</v>
      </c>
      <c r="R753" s="2" t="n">
        <v>2</v>
      </c>
      <c r="S753" s="2" t="n">
        <v>9</v>
      </c>
      <c r="T753" s="2" t="n">
        <v>1</v>
      </c>
      <c r="U753" s="2" t="n">
        <v>5</v>
      </c>
      <c r="V753" s="2" t="n">
        <v>4</v>
      </c>
      <c r="W753" s="2" t="n">
        <v>1</v>
      </c>
      <c r="X753" s="2" t="n">
        <v>3</v>
      </c>
      <c r="Y753" s="2" t="n">
        <v>3</v>
      </c>
      <c r="Z753" s="2" t="n">
        <v>3</v>
      </c>
    </row>
    <row r="754" customFormat="false" ht="15" hidden="false" customHeight="true" outlineLevel="0" collapsed="false">
      <c r="A754" s="2" t="n">
        <v>55</v>
      </c>
      <c r="B754" s="2" t="s">
        <v>26</v>
      </c>
      <c r="C754" s="2" t="s">
        <v>27</v>
      </c>
      <c r="D754" s="2" t="s">
        <v>35</v>
      </c>
      <c r="E754" s="2" t="n">
        <v>7</v>
      </c>
      <c r="F754" s="2" t="n">
        <v>3</v>
      </c>
      <c r="G754" s="2" t="s">
        <v>29</v>
      </c>
      <c r="H754" s="2" t="n">
        <v>753</v>
      </c>
      <c r="I754" s="2" t="s">
        <v>30</v>
      </c>
      <c r="J754" s="2" t="n">
        <v>3</v>
      </c>
      <c r="K754" s="2" t="s">
        <v>36</v>
      </c>
      <c r="L754" s="2" t="s">
        <v>46</v>
      </c>
      <c r="M754" s="2" t="n">
        <v>50930</v>
      </c>
      <c r="N754" s="2" t="n">
        <v>2</v>
      </c>
      <c r="O754" s="2" t="n">
        <v>16</v>
      </c>
      <c r="P754" s="2" t="n">
        <v>1</v>
      </c>
      <c r="Q754" s="2" t="n">
        <v>31</v>
      </c>
      <c r="R754" s="2" t="n">
        <v>3</v>
      </c>
      <c r="S754" s="2" t="n">
        <v>7</v>
      </c>
      <c r="T754" s="2" t="n">
        <v>0</v>
      </c>
      <c r="U754" s="2" t="n">
        <v>0</v>
      </c>
      <c r="V754" s="2" t="n">
        <v>2</v>
      </c>
      <c r="W754" s="2" t="n">
        <v>4</v>
      </c>
      <c r="X754" s="2" t="n">
        <v>4</v>
      </c>
      <c r="Y754" s="2" t="n">
        <v>3</v>
      </c>
      <c r="Z754" s="2" t="n">
        <v>3</v>
      </c>
    </row>
    <row r="755" customFormat="false" ht="15" hidden="false" customHeight="true" outlineLevel="0" collapsed="false">
      <c r="A755" s="2" t="n">
        <v>36</v>
      </c>
      <c r="B755" s="2" t="s">
        <v>26</v>
      </c>
      <c r="C755" s="2" t="s">
        <v>27</v>
      </c>
      <c r="D755" s="2" t="s">
        <v>35</v>
      </c>
      <c r="E755" s="2" t="n">
        <v>1</v>
      </c>
      <c r="F755" s="2" t="n">
        <v>3</v>
      </c>
      <c r="G755" s="2" t="s">
        <v>43</v>
      </c>
      <c r="H755" s="2" t="n">
        <v>754</v>
      </c>
      <c r="I755" s="2" t="s">
        <v>39</v>
      </c>
      <c r="J755" s="2" t="n">
        <v>2</v>
      </c>
      <c r="K755" s="2" t="s">
        <v>40</v>
      </c>
      <c r="L755" s="2" t="s">
        <v>37</v>
      </c>
      <c r="M755" s="2" t="n">
        <v>53090</v>
      </c>
      <c r="N755" s="2" t="n">
        <v>3</v>
      </c>
      <c r="O755" s="2" t="n">
        <v>13</v>
      </c>
      <c r="P755" s="2" t="n">
        <v>0</v>
      </c>
      <c r="Q755" s="2" t="n">
        <v>15</v>
      </c>
      <c r="R755" s="2" t="n">
        <v>5</v>
      </c>
      <c r="S755" s="2" t="n">
        <v>5</v>
      </c>
      <c r="T755" s="2" t="n">
        <v>0</v>
      </c>
      <c r="U755" s="2" t="n">
        <v>1</v>
      </c>
      <c r="V755" s="2" t="n">
        <v>1</v>
      </c>
      <c r="W755" s="2" t="n">
        <v>2</v>
      </c>
      <c r="X755" s="2" t="n">
        <v>3</v>
      </c>
      <c r="Y755" s="2" t="n">
        <v>3</v>
      </c>
      <c r="Z755" s="2" t="n">
        <v>3</v>
      </c>
    </row>
    <row r="756" customFormat="false" ht="15" hidden="false" customHeight="true" outlineLevel="0" collapsed="false">
      <c r="A756" s="2" t="n">
        <v>31</v>
      </c>
      <c r="B756" s="2" t="s">
        <v>33</v>
      </c>
      <c r="C756" s="2" t="s">
        <v>34</v>
      </c>
      <c r="D756" s="2" t="s">
        <v>28</v>
      </c>
      <c r="E756" s="2" t="n">
        <v>4</v>
      </c>
      <c r="F756" s="2" t="n">
        <v>3</v>
      </c>
      <c r="G756" s="2" t="s">
        <v>29</v>
      </c>
      <c r="H756" s="2" t="n">
        <v>755</v>
      </c>
      <c r="I756" s="2" t="s">
        <v>39</v>
      </c>
      <c r="J756" s="2" t="n">
        <v>2</v>
      </c>
      <c r="K756" s="2" t="s">
        <v>49</v>
      </c>
      <c r="L756" s="2" t="s">
        <v>37</v>
      </c>
      <c r="M756" s="2" t="n">
        <v>30570</v>
      </c>
      <c r="N756" s="2" t="n">
        <v>1</v>
      </c>
      <c r="O756" s="2" t="n">
        <v>19</v>
      </c>
      <c r="P756" s="2" t="n">
        <v>0</v>
      </c>
      <c r="Q756" s="2" t="n">
        <v>1</v>
      </c>
      <c r="R756" s="2" t="n">
        <v>3</v>
      </c>
      <c r="S756" s="2" t="n">
        <v>1</v>
      </c>
      <c r="T756" s="2" t="n">
        <v>0</v>
      </c>
      <c r="U756" s="2" t="n">
        <v>0</v>
      </c>
      <c r="V756" s="2" t="n">
        <v>2</v>
      </c>
      <c r="W756" s="2" t="n">
        <v>3</v>
      </c>
      <c r="X756" s="2" t="n">
        <v>3</v>
      </c>
      <c r="Y756" s="2" t="n">
        <v>3</v>
      </c>
      <c r="Z756" s="2" t="n">
        <v>3</v>
      </c>
    </row>
    <row r="757" customFormat="false" ht="15" hidden="false" customHeight="true" outlineLevel="0" collapsed="false">
      <c r="A757" s="2" t="n">
        <v>30</v>
      </c>
      <c r="B757" s="2" t="s">
        <v>26</v>
      </c>
      <c r="C757" s="2" t="s">
        <v>27</v>
      </c>
      <c r="D757" s="2" t="s">
        <v>28</v>
      </c>
      <c r="E757" s="2" t="n">
        <v>3</v>
      </c>
      <c r="F757" s="2" t="n">
        <v>3</v>
      </c>
      <c r="G757" s="2" t="s">
        <v>29</v>
      </c>
      <c r="H757" s="2" t="n">
        <v>756</v>
      </c>
      <c r="I757" s="2" t="s">
        <v>39</v>
      </c>
      <c r="J757" s="2" t="n">
        <v>3</v>
      </c>
      <c r="K757" s="2" t="s">
        <v>40</v>
      </c>
      <c r="L757" s="2" t="s">
        <v>46</v>
      </c>
      <c r="M757" s="2" t="n">
        <v>51210</v>
      </c>
      <c r="N757" s="2" t="n">
        <v>7</v>
      </c>
      <c r="O757" s="2" t="n">
        <v>13</v>
      </c>
      <c r="P757" s="2" t="n">
        <v>0</v>
      </c>
      <c r="Q757" s="2" t="n">
        <v>8</v>
      </c>
      <c r="R757" s="2" t="n">
        <v>4</v>
      </c>
      <c r="S757" s="2" t="n">
        <v>3</v>
      </c>
      <c r="T757" s="2" t="n">
        <v>0</v>
      </c>
      <c r="U757" s="2" t="n">
        <v>2</v>
      </c>
      <c r="V757" s="2" t="n">
        <v>4</v>
      </c>
      <c r="W757" s="2" t="n">
        <v>1</v>
      </c>
      <c r="X757" s="2" t="n">
        <v>3</v>
      </c>
      <c r="Y757" s="2" t="n">
        <v>3</v>
      </c>
      <c r="Z757" s="2" t="n">
        <v>3</v>
      </c>
    </row>
    <row r="758" customFormat="false" ht="15" hidden="false" customHeight="true" outlineLevel="0" collapsed="false">
      <c r="A758" s="2" t="n">
        <v>31</v>
      </c>
      <c r="B758" s="2" t="s">
        <v>26</v>
      </c>
      <c r="C758" s="2" t="s">
        <v>27</v>
      </c>
      <c r="D758" s="2" t="s">
        <v>35</v>
      </c>
      <c r="E758" s="2" t="n">
        <v>1</v>
      </c>
      <c r="F758" s="2" t="n">
        <v>3</v>
      </c>
      <c r="G758" s="2" t="s">
        <v>43</v>
      </c>
      <c r="H758" s="2" t="n">
        <v>757</v>
      </c>
      <c r="I758" s="2" t="s">
        <v>39</v>
      </c>
      <c r="J758" s="2" t="n">
        <v>1</v>
      </c>
      <c r="K758" s="2" t="s">
        <v>45</v>
      </c>
      <c r="L758" s="2" t="s">
        <v>37</v>
      </c>
      <c r="M758" s="2" t="n">
        <v>168560</v>
      </c>
      <c r="N758" s="2" t="n">
        <v>3</v>
      </c>
      <c r="O758" s="2" t="n">
        <v>12</v>
      </c>
      <c r="P758" s="2" t="n">
        <v>1</v>
      </c>
      <c r="Q758" s="2" t="n">
        <v>9</v>
      </c>
      <c r="R758" s="2" t="n">
        <v>3</v>
      </c>
      <c r="S758" s="2" t="n">
        <v>3</v>
      </c>
      <c r="T758" s="2" t="n">
        <v>1</v>
      </c>
      <c r="U758" s="2" t="n">
        <v>0</v>
      </c>
      <c r="V758" s="2" t="n">
        <v>1</v>
      </c>
      <c r="W758" s="2" t="n">
        <v>2</v>
      </c>
      <c r="X758" s="2" t="n">
        <v>4</v>
      </c>
      <c r="Y758" s="2" t="n">
        <v>3</v>
      </c>
      <c r="Z758" s="2" t="n">
        <v>3</v>
      </c>
    </row>
    <row r="759" customFormat="false" ht="15" hidden="false" customHeight="true" outlineLevel="0" collapsed="false">
      <c r="A759" s="2" t="n">
        <v>34</v>
      </c>
      <c r="B759" s="2" t="s">
        <v>26</v>
      </c>
      <c r="C759" s="2" t="s">
        <v>34</v>
      </c>
      <c r="D759" s="2" t="s">
        <v>28</v>
      </c>
      <c r="E759" s="2" t="n">
        <v>2</v>
      </c>
      <c r="F759" s="2" t="n">
        <v>1</v>
      </c>
      <c r="G759" s="2" t="s">
        <v>50</v>
      </c>
      <c r="H759" s="2" t="n">
        <v>758</v>
      </c>
      <c r="I759" s="2" t="s">
        <v>30</v>
      </c>
      <c r="J759" s="2" t="n">
        <v>5</v>
      </c>
      <c r="K759" s="2" t="s">
        <v>49</v>
      </c>
      <c r="L759" s="2" t="s">
        <v>46</v>
      </c>
      <c r="M759" s="2" t="n">
        <v>26860</v>
      </c>
      <c r="N759" s="2" t="n">
        <v>5</v>
      </c>
      <c r="O759" s="2" t="n">
        <v>11</v>
      </c>
      <c r="P759" s="2" t="n">
        <v>0</v>
      </c>
      <c r="Q759" s="2" t="n">
        <v>10</v>
      </c>
      <c r="R759" s="2" t="n">
        <v>3</v>
      </c>
      <c r="S759" s="2" t="n">
        <v>4</v>
      </c>
      <c r="T759" s="2" t="n">
        <v>1</v>
      </c>
      <c r="U759" s="2" t="n">
        <v>3</v>
      </c>
      <c r="V759" s="2" t="n">
        <v>4</v>
      </c>
      <c r="W759" s="2" t="n">
        <v>1</v>
      </c>
      <c r="X759" s="2" t="n">
        <v>3</v>
      </c>
      <c r="Y759" s="2" t="n">
        <v>4</v>
      </c>
      <c r="Z759" s="2" t="n">
        <v>3</v>
      </c>
    </row>
    <row r="760" customFormat="false" ht="15" hidden="false" customHeight="true" outlineLevel="0" collapsed="false">
      <c r="A760" s="2" t="n">
        <v>31</v>
      </c>
      <c r="B760" s="2" t="s">
        <v>33</v>
      </c>
      <c r="C760" s="2" t="s">
        <v>27</v>
      </c>
      <c r="D760" s="2" t="s">
        <v>28</v>
      </c>
      <c r="E760" s="2" t="n">
        <v>20</v>
      </c>
      <c r="F760" s="2" t="n">
        <v>3</v>
      </c>
      <c r="G760" s="2" t="s">
        <v>51</v>
      </c>
      <c r="H760" s="2" t="n">
        <v>759</v>
      </c>
      <c r="I760" s="2" t="s">
        <v>39</v>
      </c>
      <c r="J760" s="2" t="n">
        <v>1</v>
      </c>
      <c r="K760" s="2" t="s">
        <v>36</v>
      </c>
      <c r="L760" s="2" t="s">
        <v>37</v>
      </c>
      <c r="M760" s="2" t="n">
        <v>61800</v>
      </c>
      <c r="N760" s="2" t="n">
        <v>1</v>
      </c>
      <c r="O760" s="2" t="n">
        <v>14</v>
      </c>
      <c r="P760" s="2" t="n">
        <v>1</v>
      </c>
      <c r="Q760" s="2" t="n">
        <v>1</v>
      </c>
      <c r="R760" s="2" t="n">
        <v>2</v>
      </c>
      <c r="S760" s="2" t="n">
        <v>1</v>
      </c>
      <c r="T760" s="2" t="n">
        <v>0</v>
      </c>
      <c r="U760" s="2" t="n">
        <v>0</v>
      </c>
      <c r="V760" s="2" t="n">
        <v>1</v>
      </c>
      <c r="W760" s="2" t="n">
        <v>2</v>
      </c>
      <c r="X760" s="2" t="n">
        <v>4</v>
      </c>
      <c r="Y760" s="2" t="n">
        <v>1</v>
      </c>
      <c r="Z760" s="2" t="n">
        <v>3</v>
      </c>
    </row>
    <row r="761" customFormat="false" ht="15" hidden="false" customHeight="true" outlineLevel="0" collapsed="false">
      <c r="A761" s="2" t="n">
        <v>27</v>
      </c>
      <c r="B761" s="2" t="s">
        <v>26</v>
      </c>
      <c r="C761" s="2" t="s">
        <v>27</v>
      </c>
      <c r="D761" s="2" t="s">
        <v>42</v>
      </c>
      <c r="E761" s="2" t="n">
        <v>11</v>
      </c>
      <c r="F761" s="2" t="n">
        <v>4</v>
      </c>
      <c r="G761" s="2" t="s">
        <v>43</v>
      </c>
      <c r="H761" s="2" t="n">
        <v>760</v>
      </c>
      <c r="I761" s="2" t="s">
        <v>39</v>
      </c>
      <c r="J761" s="2" t="n">
        <v>4</v>
      </c>
      <c r="K761" s="2" t="s">
        <v>40</v>
      </c>
      <c r="L761" s="2" t="s">
        <v>32</v>
      </c>
      <c r="M761" s="2" t="n">
        <v>66320</v>
      </c>
      <c r="N761" s="2" t="n">
        <v>0</v>
      </c>
      <c r="O761" s="2" t="n">
        <v>16</v>
      </c>
      <c r="P761" s="2" t="n">
        <v>0</v>
      </c>
      <c r="Q761" s="2" t="n">
        <v>6</v>
      </c>
      <c r="R761" s="2" t="n">
        <v>3</v>
      </c>
      <c r="S761" s="2" t="n">
        <v>5</v>
      </c>
      <c r="T761" s="2" t="n">
        <v>1</v>
      </c>
      <c r="U761" s="2" t="n">
        <v>4</v>
      </c>
      <c r="V761" s="2" t="n">
        <v>2</v>
      </c>
      <c r="W761" s="2" t="n">
        <v>1</v>
      </c>
      <c r="X761" s="2" t="n">
        <v>4</v>
      </c>
      <c r="Y761" s="2" t="n">
        <v>3</v>
      </c>
      <c r="Z761" s="2" t="n">
        <v>3</v>
      </c>
    </row>
    <row r="762" customFormat="false" ht="15" hidden="false" customHeight="true" outlineLevel="0" collapsed="false">
      <c r="A762" s="2" t="n">
        <v>36</v>
      </c>
      <c r="B762" s="2" t="s">
        <v>26</v>
      </c>
      <c r="C762" s="2" t="s">
        <v>27</v>
      </c>
      <c r="D762" s="2" t="s">
        <v>28</v>
      </c>
      <c r="E762" s="2" t="n">
        <v>1</v>
      </c>
      <c r="F762" s="2" t="n">
        <v>3</v>
      </c>
      <c r="G762" s="2" t="s">
        <v>50</v>
      </c>
      <c r="H762" s="2" t="n">
        <v>761</v>
      </c>
      <c r="I762" s="2" t="s">
        <v>39</v>
      </c>
      <c r="J762" s="2" t="n">
        <v>2</v>
      </c>
      <c r="K762" s="2" t="s">
        <v>36</v>
      </c>
      <c r="L762" s="2" t="s">
        <v>37</v>
      </c>
      <c r="M762" s="2" t="n">
        <v>35050</v>
      </c>
      <c r="N762" s="2" t="n">
        <v>1</v>
      </c>
      <c r="O762" s="2" t="n">
        <v>12</v>
      </c>
      <c r="P762" s="2" t="n">
        <v>2</v>
      </c>
      <c r="Q762" s="2" t="n">
        <v>10</v>
      </c>
      <c r="R762" s="2" t="n">
        <v>2</v>
      </c>
      <c r="S762" s="2" t="n">
        <v>10</v>
      </c>
      <c r="T762" s="2" t="n">
        <v>1</v>
      </c>
      <c r="U762" s="2" t="n">
        <v>8</v>
      </c>
      <c r="V762" s="2" t="n">
        <v>1</v>
      </c>
      <c r="W762" s="2" t="n">
        <v>4</v>
      </c>
      <c r="X762" s="2" t="n">
        <v>2</v>
      </c>
      <c r="Y762" s="2" t="n">
        <v>2</v>
      </c>
      <c r="Z762" s="2" t="n">
        <v>3</v>
      </c>
    </row>
    <row r="763" customFormat="false" ht="15" hidden="false" customHeight="true" outlineLevel="0" collapsed="false">
      <c r="A763" s="2" t="n">
        <v>36</v>
      </c>
      <c r="B763" s="2" t="s">
        <v>26</v>
      </c>
      <c r="C763" s="2" t="s">
        <v>27</v>
      </c>
      <c r="D763" s="2" t="s">
        <v>35</v>
      </c>
      <c r="E763" s="2" t="n">
        <v>24</v>
      </c>
      <c r="F763" s="2" t="n">
        <v>3</v>
      </c>
      <c r="G763" s="2" t="s">
        <v>38</v>
      </c>
      <c r="H763" s="2" t="n">
        <v>762</v>
      </c>
      <c r="I763" s="2" t="s">
        <v>30</v>
      </c>
      <c r="J763" s="2" t="n">
        <v>3</v>
      </c>
      <c r="K763" s="2" t="s">
        <v>44</v>
      </c>
      <c r="L763" s="2" t="s">
        <v>32</v>
      </c>
      <c r="M763" s="2" t="n">
        <v>63970</v>
      </c>
      <c r="N763" s="2" t="n">
        <v>4</v>
      </c>
      <c r="O763" s="2" t="n">
        <v>14</v>
      </c>
      <c r="P763" s="2" t="n">
        <v>1</v>
      </c>
      <c r="Q763" s="2" t="n">
        <v>11</v>
      </c>
      <c r="R763" s="2" t="n">
        <v>3</v>
      </c>
      <c r="S763" s="2" t="n">
        <v>3</v>
      </c>
      <c r="T763" s="2" t="n">
        <v>0</v>
      </c>
      <c r="U763" s="2" t="n">
        <v>2</v>
      </c>
      <c r="V763" s="2" t="n">
        <v>3</v>
      </c>
      <c r="W763" s="2" t="n">
        <v>1</v>
      </c>
      <c r="X763" s="2" t="n">
        <v>2</v>
      </c>
      <c r="Y763" s="2" t="n">
        <v>3</v>
      </c>
      <c r="Z763" s="2" t="n">
        <v>3</v>
      </c>
    </row>
    <row r="764" customFormat="false" ht="15" hidden="false" customHeight="true" outlineLevel="0" collapsed="false">
      <c r="A764" s="2" t="n">
        <v>47</v>
      </c>
      <c r="B764" s="2" t="s">
        <v>26</v>
      </c>
      <c r="C764" s="2" t="s">
        <v>27</v>
      </c>
      <c r="D764" s="2" t="s">
        <v>35</v>
      </c>
      <c r="E764" s="2" t="n">
        <v>23</v>
      </c>
      <c r="F764" s="2" t="n">
        <v>4</v>
      </c>
      <c r="G764" s="2" t="s">
        <v>29</v>
      </c>
      <c r="H764" s="2" t="n">
        <v>763</v>
      </c>
      <c r="I764" s="2" t="s">
        <v>30</v>
      </c>
      <c r="J764" s="2" t="n">
        <v>2</v>
      </c>
      <c r="K764" s="2" t="s">
        <v>40</v>
      </c>
      <c r="L764" s="2" t="s">
        <v>32</v>
      </c>
      <c r="M764" s="2" t="n">
        <v>62740</v>
      </c>
      <c r="N764" s="2" t="n">
        <v>7</v>
      </c>
      <c r="O764" s="2" t="n">
        <v>14</v>
      </c>
      <c r="P764" s="2" t="n">
        <v>2</v>
      </c>
      <c r="Q764" s="2" t="n">
        <v>17</v>
      </c>
      <c r="R764" s="2" t="n">
        <v>0</v>
      </c>
      <c r="S764" s="2" t="n">
        <v>6</v>
      </c>
      <c r="T764" s="2" t="n">
        <v>1</v>
      </c>
      <c r="U764" s="2" t="n">
        <v>2</v>
      </c>
      <c r="V764" s="2" t="n">
        <v>1</v>
      </c>
      <c r="W764" s="2" t="n">
        <v>4</v>
      </c>
      <c r="X764" s="2" t="n">
        <v>2</v>
      </c>
      <c r="Y764" s="2" t="n">
        <v>3</v>
      </c>
      <c r="Z764" s="2" t="n">
        <v>3</v>
      </c>
    </row>
    <row r="765" customFormat="false" ht="15" hidden="false" customHeight="true" outlineLevel="0" collapsed="false">
      <c r="A765" s="2" t="n">
        <v>25</v>
      </c>
      <c r="B765" s="2" t="s">
        <v>33</v>
      </c>
      <c r="C765" s="2" t="s">
        <v>27</v>
      </c>
      <c r="D765" s="2" t="s">
        <v>28</v>
      </c>
      <c r="E765" s="2" t="n">
        <v>16</v>
      </c>
      <c r="F765" s="2" t="n">
        <v>4</v>
      </c>
      <c r="G765" s="2" t="s">
        <v>29</v>
      </c>
      <c r="H765" s="2" t="n">
        <v>764</v>
      </c>
      <c r="I765" s="2" t="s">
        <v>39</v>
      </c>
      <c r="J765" s="2" t="n">
        <v>2</v>
      </c>
      <c r="K765" s="2" t="s">
        <v>36</v>
      </c>
      <c r="L765" s="2" t="s">
        <v>32</v>
      </c>
      <c r="M765" s="2" t="n">
        <v>198590</v>
      </c>
      <c r="N765" s="2" t="n">
        <v>3</v>
      </c>
      <c r="O765" s="2" t="n">
        <v>19</v>
      </c>
      <c r="P765" s="2" t="n">
        <v>0</v>
      </c>
      <c r="Q765" s="2" t="n">
        <v>6</v>
      </c>
      <c r="R765" s="2" t="n">
        <v>3</v>
      </c>
      <c r="S765" s="2" t="n">
        <v>3</v>
      </c>
      <c r="T765" s="2" t="n">
        <v>2</v>
      </c>
      <c r="U765" s="2" t="n">
        <v>2</v>
      </c>
      <c r="V765" s="2" t="n">
        <v>1</v>
      </c>
      <c r="W765" s="2" t="n">
        <v>1</v>
      </c>
      <c r="X765" s="2" t="n">
        <v>3</v>
      </c>
      <c r="Y765" s="2" t="n">
        <v>2</v>
      </c>
      <c r="Z765" s="2" t="n">
        <v>3</v>
      </c>
    </row>
    <row r="766" customFormat="false" ht="15" hidden="false" customHeight="true" outlineLevel="0" collapsed="false">
      <c r="A766" s="2" t="n">
        <v>37</v>
      </c>
      <c r="B766" s="2" t="s">
        <v>26</v>
      </c>
      <c r="C766" s="2" t="s">
        <v>41</v>
      </c>
      <c r="D766" s="2" t="s">
        <v>28</v>
      </c>
      <c r="E766" s="2" t="n">
        <v>8</v>
      </c>
      <c r="F766" s="2" t="n">
        <v>4</v>
      </c>
      <c r="G766" s="2" t="s">
        <v>43</v>
      </c>
      <c r="H766" s="2" t="n">
        <v>765</v>
      </c>
      <c r="I766" s="2" t="s">
        <v>39</v>
      </c>
      <c r="J766" s="2" t="n">
        <v>1</v>
      </c>
      <c r="K766" s="2" t="s">
        <v>31</v>
      </c>
      <c r="L766" s="2" t="s">
        <v>37</v>
      </c>
      <c r="M766" s="2" t="n">
        <v>75870</v>
      </c>
      <c r="N766" s="2" t="n">
        <v>0</v>
      </c>
      <c r="O766" s="2" t="n">
        <v>22</v>
      </c>
      <c r="P766" s="2" t="n">
        <v>1</v>
      </c>
      <c r="Q766" s="2" t="n">
        <v>7</v>
      </c>
      <c r="R766" s="2" t="n">
        <v>5</v>
      </c>
      <c r="S766" s="2" t="n">
        <v>6</v>
      </c>
      <c r="T766" s="2" t="n">
        <v>1</v>
      </c>
      <c r="U766" s="2" t="n">
        <v>3</v>
      </c>
      <c r="V766" s="2" t="n">
        <v>3</v>
      </c>
      <c r="W766" s="2" t="n">
        <v>3</v>
      </c>
      <c r="X766" s="2" t="n">
        <v>1</v>
      </c>
      <c r="Y766" s="2" t="n">
        <v>3</v>
      </c>
      <c r="Z766" s="2" t="n">
        <v>4</v>
      </c>
    </row>
    <row r="767" customFormat="false" ht="15" hidden="false" customHeight="true" outlineLevel="0" collapsed="false">
      <c r="A767" s="2" t="n">
        <v>56</v>
      </c>
      <c r="B767" s="2" t="s">
        <v>26</v>
      </c>
      <c r="C767" s="2" t="s">
        <v>27</v>
      </c>
      <c r="D767" s="2" t="s">
        <v>35</v>
      </c>
      <c r="E767" s="2" t="n">
        <v>10</v>
      </c>
      <c r="F767" s="2" t="n">
        <v>4</v>
      </c>
      <c r="G767" s="2" t="s">
        <v>38</v>
      </c>
      <c r="H767" s="2" t="n">
        <v>766</v>
      </c>
      <c r="I767" s="2" t="s">
        <v>39</v>
      </c>
      <c r="J767" s="2" t="n">
        <v>2</v>
      </c>
      <c r="K767" s="2" t="s">
        <v>48</v>
      </c>
      <c r="L767" s="2" t="s">
        <v>32</v>
      </c>
      <c r="M767" s="2" t="n">
        <v>42580</v>
      </c>
      <c r="N767" s="2" t="n">
        <v>2</v>
      </c>
      <c r="O767" s="2" t="n">
        <v>16</v>
      </c>
      <c r="P767" s="2" t="n">
        <v>0</v>
      </c>
      <c r="Q767" s="2" t="n">
        <v>5</v>
      </c>
      <c r="R767" s="2" t="n">
        <v>2</v>
      </c>
      <c r="S767" s="2" t="n">
        <v>3</v>
      </c>
      <c r="T767" s="2" t="n">
        <v>1</v>
      </c>
      <c r="U767" s="2" t="n">
        <v>0</v>
      </c>
      <c r="V767" s="2" t="n">
        <v>1</v>
      </c>
      <c r="W767" s="2" t="n">
        <v>1</v>
      </c>
      <c r="X767" s="2" t="n">
        <v>4</v>
      </c>
      <c r="Y767" s="2" t="n">
        <v>3</v>
      </c>
      <c r="Z767" s="2" t="n">
        <v>3</v>
      </c>
    </row>
    <row r="768" customFormat="false" ht="15" hidden="false" customHeight="true" outlineLevel="0" collapsed="false">
      <c r="A768" s="2" t="n">
        <v>47</v>
      </c>
      <c r="B768" s="2" t="s">
        <v>26</v>
      </c>
      <c r="C768" s="2" t="s">
        <v>27</v>
      </c>
      <c r="D768" s="2" t="s">
        <v>35</v>
      </c>
      <c r="E768" s="2" t="n">
        <v>3</v>
      </c>
      <c r="F768" s="2" t="n">
        <v>2</v>
      </c>
      <c r="G768" s="2" t="s">
        <v>43</v>
      </c>
      <c r="H768" s="2" t="n">
        <v>767</v>
      </c>
      <c r="I768" s="2" t="s">
        <v>39</v>
      </c>
      <c r="J768" s="2" t="n">
        <v>2</v>
      </c>
      <c r="K768" s="2" t="s">
        <v>45</v>
      </c>
      <c r="L768" s="2" t="s">
        <v>32</v>
      </c>
      <c r="M768" s="2" t="n">
        <v>43640</v>
      </c>
      <c r="N768" s="2" t="n">
        <v>3</v>
      </c>
      <c r="O768" s="2" t="n">
        <v>11</v>
      </c>
      <c r="P768" s="2" t="n">
        <v>1</v>
      </c>
      <c r="Q768" s="2" t="n">
        <v>26</v>
      </c>
      <c r="R768" s="2" t="n">
        <v>3</v>
      </c>
      <c r="S768" s="2" t="n">
        <v>20</v>
      </c>
      <c r="T768" s="2" t="n">
        <v>5</v>
      </c>
      <c r="U768" s="2" t="n">
        <v>6</v>
      </c>
      <c r="V768" s="2" t="n">
        <v>1</v>
      </c>
      <c r="W768" s="2" t="n">
        <v>3</v>
      </c>
      <c r="X768" s="2" t="n">
        <v>4</v>
      </c>
      <c r="Y768" s="2" t="n">
        <v>3</v>
      </c>
      <c r="Z768" s="2" t="n">
        <v>3</v>
      </c>
    </row>
    <row r="769" customFormat="false" ht="15" hidden="false" customHeight="true" outlineLevel="0" collapsed="false">
      <c r="A769" s="2" t="n">
        <v>24</v>
      </c>
      <c r="B769" s="2" t="s">
        <v>26</v>
      </c>
      <c r="C769" s="2" t="s">
        <v>27</v>
      </c>
      <c r="D769" s="2" t="s">
        <v>35</v>
      </c>
      <c r="E769" s="2" t="n">
        <v>5</v>
      </c>
      <c r="F769" s="2" t="n">
        <v>1</v>
      </c>
      <c r="G769" s="2" t="s">
        <v>38</v>
      </c>
      <c r="H769" s="2" t="n">
        <v>768</v>
      </c>
      <c r="I769" s="2" t="s">
        <v>39</v>
      </c>
      <c r="J769" s="2" t="n">
        <v>1</v>
      </c>
      <c r="K769" s="2" t="s">
        <v>47</v>
      </c>
      <c r="L769" s="2" t="s">
        <v>32</v>
      </c>
      <c r="M769" s="2" t="n">
        <v>43350</v>
      </c>
      <c r="N769" s="2" t="n">
        <v>1</v>
      </c>
      <c r="O769" s="2" t="n">
        <v>15</v>
      </c>
      <c r="P769" s="2" t="n">
        <v>1</v>
      </c>
      <c r="Q769" s="2" t="n">
        <v>5</v>
      </c>
      <c r="R769" s="2" t="n">
        <v>5</v>
      </c>
      <c r="S769" s="2" t="n">
        <v>5</v>
      </c>
      <c r="T769" s="2" t="n">
        <v>0</v>
      </c>
      <c r="U769" s="2" t="n">
        <v>3</v>
      </c>
      <c r="V769" s="2" t="n">
        <v>4</v>
      </c>
      <c r="W769" s="2" t="n">
        <v>3</v>
      </c>
      <c r="X769" s="2" t="n">
        <v>3</v>
      </c>
      <c r="Y769" s="2" t="n">
        <v>3</v>
      </c>
      <c r="Z769" s="2" t="n">
        <v>3</v>
      </c>
    </row>
    <row r="770" customFormat="false" ht="15" hidden="false" customHeight="true" outlineLevel="0" collapsed="false">
      <c r="A770" s="2" t="n">
        <v>32</v>
      </c>
      <c r="B770" s="2" t="s">
        <v>26</v>
      </c>
      <c r="C770" s="2" t="s">
        <v>27</v>
      </c>
      <c r="D770" s="2" t="s">
        <v>28</v>
      </c>
      <c r="E770" s="2" t="n">
        <v>4</v>
      </c>
      <c r="F770" s="2" t="n">
        <v>3</v>
      </c>
      <c r="G770" s="2" t="s">
        <v>50</v>
      </c>
      <c r="H770" s="2" t="n">
        <v>769</v>
      </c>
      <c r="I770" s="2" t="s">
        <v>39</v>
      </c>
      <c r="J770" s="2" t="n">
        <v>1</v>
      </c>
      <c r="K770" s="2" t="s">
        <v>36</v>
      </c>
      <c r="L770" s="2" t="s">
        <v>32</v>
      </c>
      <c r="M770" s="2" t="n">
        <v>53260</v>
      </c>
      <c r="N770" s="2" t="n">
        <v>4</v>
      </c>
      <c r="O770" s="2" t="n">
        <v>14</v>
      </c>
      <c r="P770" s="2" t="n">
        <v>1</v>
      </c>
      <c r="Q770" s="2" t="n">
        <v>7</v>
      </c>
      <c r="R770" s="2" t="n">
        <v>2</v>
      </c>
      <c r="S770" s="2" t="n">
        <v>4</v>
      </c>
      <c r="T770" s="2" t="n">
        <v>0</v>
      </c>
      <c r="U770" s="2" t="n">
        <v>3</v>
      </c>
      <c r="V770" s="2" t="n">
        <v>4</v>
      </c>
      <c r="W770" s="2" t="n">
        <v>4</v>
      </c>
      <c r="X770" s="2" t="n">
        <v>2</v>
      </c>
      <c r="Y770" s="2" t="n">
        <v>3</v>
      </c>
      <c r="Z770" s="2" t="n">
        <v>3</v>
      </c>
    </row>
    <row r="771" customFormat="false" ht="15" hidden="false" customHeight="true" outlineLevel="0" collapsed="false">
      <c r="A771" s="2" t="n">
        <v>34</v>
      </c>
      <c r="B771" s="2" t="s">
        <v>26</v>
      </c>
      <c r="C771" s="2" t="s">
        <v>27</v>
      </c>
      <c r="D771" s="2" t="s">
        <v>35</v>
      </c>
      <c r="E771" s="2" t="n">
        <v>9</v>
      </c>
      <c r="F771" s="2" t="n">
        <v>2</v>
      </c>
      <c r="G771" s="2" t="s">
        <v>43</v>
      </c>
      <c r="H771" s="2" t="n">
        <v>770</v>
      </c>
      <c r="I771" s="2" t="s">
        <v>39</v>
      </c>
      <c r="J771" s="2" t="n">
        <v>1</v>
      </c>
      <c r="K771" s="2" t="s">
        <v>40</v>
      </c>
      <c r="L771" s="2" t="s">
        <v>32</v>
      </c>
      <c r="M771" s="2" t="n">
        <v>32800</v>
      </c>
      <c r="N771" s="2" t="n">
        <v>5</v>
      </c>
      <c r="O771" s="2" t="n">
        <v>13</v>
      </c>
      <c r="P771" s="2" t="n">
        <v>0</v>
      </c>
      <c r="Q771" s="2" t="n">
        <v>7</v>
      </c>
      <c r="R771" s="2" t="n">
        <v>3</v>
      </c>
      <c r="S771" s="2" t="n">
        <v>5</v>
      </c>
      <c r="T771" s="2" t="n">
        <v>0</v>
      </c>
      <c r="U771" s="2" t="n">
        <v>2</v>
      </c>
      <c r="V771" s="2" t="n">
        <v>4</v>
      </c>
      <c r="W771" s="2" t="n">
        <v>2</v>
      </c>
      <c r="X771" s="2" t="n">
        <v>2</v>
      </c>
      <c r="Y771" s="2" t="n">
        <v>3</v>
      </c>
      <c r="Z771" s="2" t="n">
        <v>3</v>
      </c>
    </row>
    <row r="772" customFormat="false" ht="15" hidden="false" customHeight="true" outlineLevel="0" collapsed="false">
      <c r="A772" s="2" t="n">
        <v>41</v>
      </c>
      <c r="B772" s="2" t="s">
        <v>26</v>
      </c>
      <c r="C772" s="2" t="s">
        <v>27</v>
      </c>
      <c r="D772" s="2" t="s">
        <v>35</v>
      </c>
      <c r="E772" s="2" t="n">
        <v>26</v>
      </c>
      <c r="F772" s="2" t="n">
        <v>3</v>
      </c>
      <c r="G772" s="2" t="s">
        <v>43</v>
      </c>
      <c r="H772" s="2" t="n">
        <v>771</v>
      </c>
      <c r="I772" s="2" t="s">
        <v>30</v>
      </c>
      <c r="J772" s="2" t="n">
        <v>3</v>
      </c>
      <c r="K772" s="2" t="s">
        <v>40</v>
      </c>
      <c r="L772" s="2" t="s">
        <v>32</v>
      </c>
      <c r="M772" s="2" t="n">
        <v>54850</v>
      </c>
      <c r="N772" s="2" t="n">
        <v>2</v>
      </c>
      <c r="O772" s="2" t="n">
        <v>17</v>
      </c>
      <c r="P772" s="2" t="n">
        <v>2</v>
      </c>
      <c r="Q772" s="2" t="n">
        <v>7</v>
      </c>
      <c r="R772" s="2" t="n">
        <v>2</v>
      </c>
      <c r="S772" s="2" t="n">
        <v>4</v>
      </c>
      <c r="T772" s="2" t="n">
        <v>0</v>
      </c>
      <c r="U772" s="2" t="n">
        <v>3</v>
      </c>
      <c r="V772" s="2" t="n">
        <v>2</v>
      </c>
      <c r="W772" s="2" t="n">
        <v>3</v>
      </c>
      <c r="X772" s="2" t="n">
        <v>2</v>
      </c>
      <c r="Y772" s="2" t="n">
        <v>3</v>
      </c>
      <c r="Z772" s="2" t="n">
        <v>3</v>
      </c>
    </row>
    <row r="773" customFormat="false" ht="15" hidden="false" customHeight="true" outlineLevel="0" collapsed="false">
      <c r="A773" s="2" t="n">
        <v>40</v>
      </c>
      <c r="B773" s="2" t="s">
        <v>26</v>
      </c>
      <c r="C773" s="2" t="s">
        <v>41</v>
      </c>
      <c r="D773" s="2" t="s">
        <v>28</v>
      </c>
      <c r="E773" s="2" t="n">
        <v>3</v>
      </c>
      <c r="F773" s="2" t="n">
        <v>2</v>
      </c>
      <c r="G773" s="2" t="s">
        <v>29</v>
      </c>
      <c r="H773" s="2" t="n">
        <v>772</v>
      </c>
      <c r="I773" s="2" t="s">
        <v>39</v>
      </c>
      <c r="J773" s="2" t="n">
        <v>1</v>
      </c>
      <c r="K773" s="2" t="s">
        <v>40</v>
      </c>
      <c r="L773" s="2" t="s">
        <v>46</v>
      </c>
      <c r="M773" s="2" t="n">
        <v>43420</v>
      </c>
      <c r="N773" s="2" t="n">
        <v>3</v>
      </c>
      <c r="O773" s="2" t="n">
        <v>11</v>
      </c>
      <c r="P773" s="2" t="n">
        <v>1</v>
      </c>
      <c r="Q773" s="2" t="n">
        <v>11</v>
      </c>
      <c r="R773" s="2" t="n">
        <v>6</v>
      </c>
      <c r="S773" s="2" t="n">
        <v>8</v>
      </c>
      <c r="T773" s="2" t="n">
        <v>0</v>
      </c>
      <c r="U773" s="2" t="n">
        <v>7</v>
      </c>
      <c r="V773" s="2" t="n">
        <v>3</v>
      </c>
      <c r="W773" s="2" t="n">
        <v>3</v>
      </c>
      <c r="X773" s="2" t="n">
        <v>4</v>
      </c>
      <c r="Y773" s="2" t="n">
        <v>2</v>
      </c>
      <c r="Z773" s="2" t="n">
        <v>3</v>
      </c>
    </row>
    <row r="774" customFormat="false" ht="15" hidden="false" customHeight="true" outlineLevel="0" collapsed="false">
      <c r="A774" s="2" t="n">
        <v>31</v>
      </c>
      <c r="B774" s="2" t="s">
        <v>26</v>
      </c>
      <c r="C774" s="2" t="s">
        <v>27</v>
      </c>
      <c r="D774" s="2" t="s">
        <v>35</v>
      </c>
      <c r="E774" s="2" t="n">
        <v>16</v>
      </c>
      <c r="F774" s="2" t="n">
        <v>3</v>
      </c>
      <c r="G774" s="2" t="s">
        <v>43</v>
      </c>
      <c r="H774" s="2" t="n">
        <v>773</v>
      </c>
      <c r="I774" s="2" t="s">
        <v>39</v>
      </c>
      <c r="J774" s="2" t="n">
        <v>2</v>
      </c>
      <c r="K774" s="2" t="s">
        <v>42</v>
      </c>
      <c r="L774" s="2" t="s">
        <v>46</v>
      </c>
      <c r="M774" s="2" t="n">
        <v>27820</v>
      </c>
      <c r="N774" s="2" t="n">
        <v>1</v>
      </c>
      <c r="O774" s="2" t="n">
        <v>19</v>
      </c>
      <c r="P774" s="2" t="n">
        <v>1</v>
      </c>
      <c r="Q774" s="2" t="n">
        <v>13</v>
      </c>
      <c r="R774" s="2" t="n">
        <v>5</v>
      </c>
      <c r="S774" s="2" t="n">
        <v>13</v>
      </c>
      <c r="T774" s="2" t="n">
        <v>9</v>
      </c>
      <c r="U774" s="2" t="n">
        <v>9</v>
      </c>
      <c r="V774" s="2" t="n">
        <v>1</v>
      </c>
      <c r="W774" s="2" t="n">
        <v>4</v>
      </c>
      <c r="X774" s="2" t="n">
        <v>3</v>
      </c>
      <c r="Y774" s="2" t="n">
        <v>3</v>
      </c>
      <c r="Z774" s="2" t="n">
        <v>3</v>
      </c>
    </row>
    <row r="775" customFormat="false" ht="15" hidden="false" customHeight="true" outlineLevel="0" collapsed="false">
      <c r="A775" s="2" t="n">
        <v>46</v>
      </c>
      <c r="B775" s="2" t="s">
        <v>33</v>
      </c>
      <c r="C775" s="2" t="s">
        <v>27</v>
      </c>
      <c r="D775" s="2" t="s">
        <v>35</v>
      </c>
      <c r="E775" s="2" t="n">
        <v>18</v>
      </c>
      <c r="F775" s="2" t="n">
        <v>1</v>
      </c>
      <c r="G775" s="2" t="s">
        <v>43</v>
      </c>
      <c r="H775" s="2" t="n">
        <v>774</v>
      </c>
      <c r="I775" s="2" t="s">
        <v>39</v>
      </c>
      <c r="J775" s="2" t="n">
        <v>1</v>
      </c>
      <c r="K775" s="2" t="s">
        <v>47</v>
      </c>
      <c r="L775" s="2" t="s">
        <v>46</v>
      </c>
      <c r="M775" s="2" t="n">
        <v>59800</v>
      </c>
      <c r="N775" s="2" t="n">
        <v>4</v>
      </c>
      <c r="O775" s="2" t="n">
        <v>11</v>
      </c>
      <c r="P775" s="2" t="n">
        <v>1</v>
      </c>
      <c r="Q775" s="2" t="n">
        <v>28</v>
      </c>
      <c r="R775" s="2" t="n">
        <v>2</v>
      </c>
      <c r="S775" s="2" t="n">
        <v>7</v>
      </c>
      <c r="T775" s="2" t="n">
        <v>4</v>
      </c>
      <c r="U775" s="2" t="n">
        <v>3</v>
      </c>
      <c r="V775" s="2" t="n">
        <v>1</v>
      </c>
      <c r="W775" s="2" t="n">
        <v>4</v>
      </c>
      <c r="X775" s="2" t="n">
        <v>4</v>
      </c>
      <c r="Y775" s="2" t="n">
        <v>3</v>
      </c>
      <c r="Z775" s="2" t="n">
        <v>3</v>
      </c>
    </row>
    <row r="776" customFormat="false" ht="15" hidden="false" customHeight="true" outlineLevel="0" collapsed="false">
      <c r="A776" s="2" t="n">
        <v>39</v>
      </c>
      <c r="B776" s="2" t="s">
        <v>33</v>
      </c>
      <c r="C776" s="2" t="s">
        <v>41</v>
      </c>
      <c r="D776" s="2" t="s">
        <v>35</v>
      </c>
      <c r="E776" s="2" t="n">
        <v>2</v>
      </c>
      <c r="F776" s="2" t="n">
        <v>4</v>
      </c>
      <c r="G776" s="2" t="s">
        <v>43</v>
      </c>
      <c r="H776" s="2" t="n">
        <v>775</v>
      </c>
      <c r="I776" s="2" t="s">
        <v>39</v>
      </c>
      <c r="J776" s="2" t="n">
        <v>2</v>
      </c>
      <c r="K776" s="2" t="s">
        <v>47</v>
      </c>
      <c r="L776" s="2" t="s">
        <v>37</v>
      </c>
      <c r="M776" s="2" t="n">
        <v>43810</v>
      </c>
      <c r="N776" s="2" t="n">
        <v>2</v>
      </c>
      <c r="O776" s="2" t="n">
        <v>15</v>
      </c>
      <c r="P776" s="2" t="n">
        <v>2</v>
      </c>
      <c r="Q776" s="2" t="n">
        <v>11</v>
      </c>
      <c r="R776" s="2" t="n">
        <v>1</v>
      </c>
      <c r="S776" s="2" t="n">
        <v>1</v>
      </c>
      <c r="T776" s="2" t="n">
        <v>0</v>
      </c>
      <c r="U776" s="2" t="n">
        <v>0</v>
      </c>
      <c r="V776" s="2" t="n">
        <v>1</v>
      </c>
      <c r="W776" s="2" t="n">
        <v>1</v>
      </c>
      <c r="X776" s="2" t="n">
        <v>4</v>
      </c>
      <c r="Y776" s="2" t="n">
        <v>2</v>
      </c>
      <c r="Z776" s="2" t="n">
        <v>3</v>
      </c>
    </row>
    <row r="777" customFormat="false" ht="15" hidden="false" customHeight="true" outlineLevel="0" collapsed="false">
      <c r="A777" s="2" t="n">
        <v>31</v>
      </c>
      <c r="B777" s="2" t="s">
        <v>33</v>
      </c>
      <c r="C777" s="2" t="s">
        <v>34</v>
      </c>
      <c r="D777" s="2" t="s">
        <v>28</v>
      </c>
      <c r="E777" s="2" t="n">
        <v>2</v>
      </c>
      <c r="F777" s="2" t="n">
        <v>3</v>
      </c>
      <c r="G777" s="2" t="s">
        <v>43</v>
      </c>
      <c r="H777" s="2" t="n">
        <v>776</v>
      </c>
      <c r="I777" s="2" t="s">
        <v>39</v>
      </c>
      <c r="J777" s="2" t="n">
        <v>2</v>
      </c>
      <c r="K777" s="2" t="s">
        <v>40</v>
      </c>
      <c r="L777" s="2" t="s">
        <v>37</v>
      </c>
      <c r="M777" s="2" t="n">
        <v>25720</v>
      </c>
      <c r="N777" s="2" t="n">
        <v>1</v>
      </c>
      <c r="O777" s="2" t="n">
        <v>13</v>
      </c>
      <c r="P777" s="2" t="n">
        <v>3</v>
      </c>
      <c r="Q777" s="2" t="n">
        <v>10</v>
      </c>
      <c r="R777" s="2" t="n">
        <v>3</v>
      </c>
      <c r="S777" s="2" t="n">
        <v>10</v>
      </c>
      <c r="T777" s="2" t="n">
        <v>4</v>
      </c>
      <c r="U777" s="2" t="n">
        <v>7</v>
      </c>
      <c r="V777" s="2" t="n">
        <v>3</v>
      </c>
      <c r="W777" s="2" t="n">
        <v>2</v>
      </c>
      <c r="X777" s="2" t="n">
        <v>3</v>
      </c>
      <c r="Y777" s="2" t="n">
        <v>3</v>
      </c>
      <c r="Z777" s="2" t="n">
        <v>3</v>
      </c>
    </row>
    <row r="778" customFormat="false" ht="15" hidden="false" customHeight="true" outlineLevel="0" collapsed="false">
      <c r="A778" s="2" t="n">
        <v>45</v>
      </c>
      <c r="B778" s="2" t="s">
        <v>26</v>
      </c>
      <c r="C778" s="2" t="s">
        <v>27</v>
      </c>
      <c r="D778" s="2" t="s">
        <v>28</v>
      </c>
      <c r="E778" s="2" t="n">
        <v>10</v>
      </c>
      <c r="F778" s="2" t="n">
        <v>2</v>
      </c>
      <c r="G778" s="2" t="s">
        <v>50</v>
      </c>
      <c r="H778" s="2" t="n">
        <v>777</v>
      </c>
      <c r="I778" s="2" t="s">
        <v>39</v>
      </c>
      <c r="J778" s="2" t="n">
        <v>1</v>
      </c>
      <c r="K778" s="2" t="s">
        <v>40</v>
      </c>
      <c r="L778" s="2" t="s">
        <v>46</v>
      </c>
      <c r="M778" s="2" t="n">
        <v>38330</v>
      </c>
      <c r="N778" s="2" t="n">
        <v>2</v>
      </c>
      <c r="O778" s="2" t="n">
        <v>14</v>
      </c>
      <c r="P778" s="2" t="n">
        <v>0</v>
      </c>
      <c r="Q778" s="2" t="n">
        <v>24</v>
      </c>
      <c r="R778" s="2" t="n">
        <v>1</v>
      </c>
      <c r="S778" s="2" t="n">
        <v>7</v>
      </c>
      <c r="T778" s="2" t="n">
        <v>0</v>
      </c>
      <c r="U778" s="2" t="n">
        <v>7</v>
      </c>
      <c r="V778" s="2" t="n">
        <v>2</v>
      </c>
      <c r="W778" s="2" t="n">
        <v>1</v>
      </c>
      <c r="X778" s="2" t="n">
        <v>3</v>
      </c>
      <c r="Y778" s="2" t="n">
        <v>3</v>
      </c>
      <c r="Z778" s="2" t="n">
        <v>3</v>
      </c>
    </row>
    <row r="779" customFormat="false" ht="15" hidden="false" customHeight="true" outlineLevel="0" collapsed="false">
      <c r="A779" s="2" t="n">
        <v>31</v>
      </c>
      <c r="B779" s="2" t="s">
        <v>26</v>
      </c>
      <c r="C779" s="2" t="s">
        <v>27</v>
      </c>
      <c r="D779" s="2" t="s">
        <v>35</v>
      </c>
      <c r="E779" s="2" t="n">
        <v>16</v>
      </c>
      <c r="F779" s="2" t="n">
        <v>4</v>
      </c>
      <c r="G779" s="2" t="s">
        <v>29</v>
      </c>
      <c r="H779" s="2" t="n">
        <v>778</v>
      </c>
      <c r="I779" s="2" t="s">
        <v>39</v>
      </c>
      <c r="J779" s="2" t="n">
        <v>3</v>
      </c>
      <c r="K779" s="2" t="s">
        <v>42</v>
      </c>
      <c r="L779" s="2" t="s">
        <v>37</v>
      </c>
      <c r="M779" s="2" t="n">
        <v>42440</v>
      </c>
      <c r="N779" s="2" t="n">
        <v>9</v>
      </c>
      <c r="O779" s="2" t="n">
        <v>13</v>
      </c>
      <c r="P779" s="2" t="n">
        <v>0</v>
      </c>
      <c r="Q779" s="2" t="n">
        <v>8</v>
      </c>
      <c r="R779" s="2" t="n">
        <v>3</v>
      </c>
      <c r="S779" s="2" t="n">
        <v>3</v>
      </c>
      <c r="T779" s="2" t="n">
        <v>0</v>
      </c>
      <c r="U779" s="2" t="n">
        <v>2</v>
      </c>
      <c r="V779" s="2" t="n">
        <v>4</v>
      </c>
      <c r="W779" s="2" t="n">
        <v>2</v>
      </c>
      <c r="X779" s="2" t="n">
        <v>3</v>
      </c>
      <c r="Y779" s="2" t="n">
        <v>3</v>
      </c>
      <c r="Z779" s="2" t="n">
        <v>3</v>
      </c>
    </row>
    <row r="780" customFormat="false" ht="15" hidden="false" customHeight="true" outlineLevel="0" collapsed="false">
      <c r="A780" s="2" t="n">
        <v>31</v>
      </c>
      <c r="B780" s="2" t="s">
        <v>33</v>
      </c>
      <c r="C780" s="2" t="s">
        <v>34</v>
      </c>
      <c r="D780" s="2" t="s">
        <v>35</v>
      </c>
      <c r="E780" s="2" t="n">
        <v>7</v>
      </c>
      <c r="F780" s="2" t="n">
        <v>4</v>
      </c>
      <c r="G780" s="2" t="s">
        <v>29</v>
      </c>
      <c r="H780" s="2" t="n">
        <v>779</v>
      </c>
      <c r="I780" s="2" t="s">
        <v>39</v>
      </c>
      <c r="J780" s="2" t="n">
        <v>1</v>
      </c>
      <c r="K780" s="2" t="s">
        <v>45</v>
      </c>
      <c r="L780" s="2" t="s">
        <v>32</v>
      </c>
      <c r="M780" s="2" t="n">
        <v>65000</v>
      </c>
      <c r="N780" s="2" t="n">
        <v>6</v>
      </c>
      <c r="O780" s="2" t="n">
        <v>23</v>
      </c>
      <c r="P780" s="2" t="n">
        <v>1</v>
      </c>
      <c r="Q780" s="2" t="n">
        <v>7</v>
      </c>
      <c r="R780" s="2" t="n">
        <v>5</v>
      </c>
      <c r="S780" s="2" t="n">
        <v>2</v>
      </c>
      <c r="T780" s="2" t="n">
        <v>2</v>
      </c>
      <c r="U780" s="2" t="n">
        <v>2</v>
      </c>
      <c r="V780" s="2" t="n">
        <v>2</v>
      </c>
      <c r="W780" s="2" t="n">
        <v>4</v>
      </c>
      <c r="X780" s="2" t="n">
        <v>1</v>
      </c>
      <c r="Y780" s="2" t="n">
        <v>3</v>
      </c>
      <c r="Z780" s="2" t="n">
        <v>4</v>
      </c>
    </row>
    <row r="781" customFormat="false" ht="15" hidden="false" customHeight="true" outlineLevel="0" collapsed="false">
      <c r="A781" s="2" t="n">
        <v>45</v>
      </c>
      <c r="B781" s="2" t="s">
        <v>26</v>
      </c>
      <c r="C781" s="2" t="s">
        <v>27</v>
      </c>
      <c r="D781" s="2" t="s">
        <v>35</v>
      </c>
      <c r="E781" s="2" t="n">
        <v>1</v>
      </c>
      <c r="F781" s="2" t="n">
        <v>2</v>
      </c>
      <c r="G781" s="2" t="s">
        <v>29</v>
      </c>
      <c r="H781" s="2" t="n">
        <v>780</v>
      </c>
      <c r="I781" s="2" t="s">
        <v>30</v>
      </c>
      <c r="J781" s="2" t="n">
        <v>1</v>
      </c>
      <c r="K781" s="2" t="s">
        <v>36</v>
      </c>
      <c r="L781" s="2" t="s">
        <v>32</v>
      </c>
      <c r="M781" s="2" t="n">
        <v>184300</v>
      </c>
      <c r="N781" s="2" t="n">
        <v>4</v>
      </c>
      <c r="O781" s="2" t="n">
        <v>12</v>
      </c>
      <c r="P781" s="2" t="n">
        <v>1</v>
      </c>
      <c r="Q781" s="2" t="n">
        <v>10</v>
      </c>
      <c r="R781" s="2" t="n">
        <v>5</v>
      </c>
      <c r="S781" s="2" t="n">
        <v>3</v>
      </c>
      <c r="T781" s="2" t="n">
        <v>1</v>
      </c>
      <c r="U781" s="2" t="n">
        <v>2</v>
      </c>
      <c r="V781" s="2" t="n">
        <v>2</v>
      </c>
      <c r="W781" s="2" t="n">
        <v>4</v>
      </c>
      <c r="X781" s="2" t="n">
        <v>4</v>
      </c>
      <c r="Y781" s="2" t="n">
        <v>3</v>
      </c>
      <c r="Z781" s="2" t="n">
        <v>3</v>
      </c>
    </row>
    <row r="782" customFormat="false" ht="15" hidden="false" customHeight="true" outlineLevel="0" collapsed="false">
      <c r="A782" s="2" t="n">
        <v>48</v>
      </c>
      <c r="B782" s="2" t="s">
        <v>26</v>
      </c>
      <c r="C782" s="2" t="s">
        <v>27</v>
      </c>
      <c r="D782" s="2" t="s">
        <v>35</v>
      </c>
      <c r="E782" s="2" t="n">
        <v>24</v>
      </c>
      <c r="F782" s="2" t="n">
        <v>3</v>
      </c>
      <c r="G782" s="2" t="s">
        <v>51</v>
      </c>
      <c r="H782" s="2" t="n">
        <v>781</v>
      </c>
      <c r="I782" s="2" t="s">
        <v>39</v>
      </c>
      <c r="J782" s="2" t="n">
        <v>2</v>
      </c>
      <c r="K782" s="2" t="s">
        <v>36</v>
      </c>
      <c r="L782" s="2" t="s">
        <v>46</v>
      </c>
      <c r="M782" s="2" t="n">
        <v>16010</v>
      </c>
      <c r="N782" s="2" t="n">
        <v>4</v>
      </c>
      <c r="O782" s="2" t="n">
        <v>12</v>
      </c>
      <c r="P782" s="2" t="n">
        <v>0</v>
      </c>
      <c r="Q782" s="2" t="n">
        <v>15</v>
      </c>
      <c r="R782" s="2" t="n">
        <v>3</v>
      </c>
      <c r="S782" s="2" t="n">
        <v>2</v>
      </c>
      <c r="T782" s="2" t="n">
        <v>2</v>
      </c>
      <c r="U782" s="2" t="n">
        <v>2</v>
      </c>
      <c r="V782" s="2" t="n">
        <v>3</v>
      </c>
      <c r="W782" s="2" t="n">
        <v>1</v>
      </c>
      <c r="X782" s="2" t="n">
        <v>3</v>
      </c>
      <c r="Y782" s="2" t="n">
        <v>3</v>
      </c>
      <c r="Z782" s="2" t="n">
        <v>3</v>
      </c>
    </row>
    <row r="783" customFormat="false" ht="15" hidden="false" customHeight="true" outlineLevel="0" collapsed="false">
      <c r="A783" s="2" t="n">
        <v>34</v>
      </c>
      <c r="B783" s="2" t="s">
        <v>33</v>
      </c>
      <c r="C783" s="2" t="s">
        <v>27</v>
      </c>
      <c r="D783" s="2" t="s">
        <v>35</v>
      </c>
      <c r="E783" s="2" t="n">
        <v>7</v>
      </c>
      <c r="F783" s="2" t="n">
        <v>4</v>
      </c>
      <c r="G783" s="2" t="s">
        <v>43</v>
      </c>
      <c r="H783" s="2" t="n">
        <v>782</v>
      </c>
      <c r="I783" s="2" t="s">
        <v>39</v>
      </c>
      <c r="J783" s="2" t="n">
        <v>2</v>
      </c>
      <c r="K783" s="2" t="s">
        <v>36</v>
      </c>
      <c r="L783" s="2" t="s">
        <v>32</v>
      </c>
      <c r="M783" s="2" t="n">
        <v>26940</v>
      </c>
      <c r="N783" s="2" t="n">
        <v>1</v>
      </c>
      <c r="O783" s="2" t="n">
        <v>16</v>
      </c>
      <c r="P783" s="2" t="n">
        <v>1</v>
      </c>
      <c r="Q783" s="2" t="n">
        <v>2</v>
      </c>
      <c r="R783" s="2" t="n">
        <v>3</v>
      </c>
      <c r="S783" s="2" t="n">
        <v>2</v>
      </c>
      <c r="T783" s="2" t="n">
        <v>2</v>
      </c>
      <c r="U783" s="2" t="n">
        <v>2</v>
      </c>
      <c r="V783" s="2" t="n">
        <v>1</v>
      </c>
      <c r="W783" s="2" t="n">
        <v>3</v>
      </c>
      <c r="X783" s="2" t="n">
        <v>3</v>
      </c>
      <c r="Y783" s="2" t="n">
        <v>3</v>
      </c>
      <c r="Z783" s="2" t="n">
        <v>3</v>
      </c>
    </row>
    <row r="784" customFormat="false" ht="15" hidden="false" customHeight="true" outlineLevel="0" collapsed="false">
      <c r="A784" s="2" t="n">
        <v>40</v>
      </c>
      <c r="B784" s="2" t="s">
        <v>26</v>
      </c>
      <c r="C784" s="2" t="s">
        <v>41</v>
      </c>
      <c r="D784" s="2" t="s">
        <v>35</v>
      </c>
      <c r="E784" s="2" t="n">
        <v>25</v>
      </c>
      <c r="F784" s="2" t="n">
        <v>4</v>
      </c>
      <c r="G784" s="2" t="s">
        <v>38</v>
      </c>
      <c r="H784" s="2" t="n">
        <v>783</v>
      </c>
      <c r="I784" s="2" t="s">
        <v>30</v>
      </c>
      <c r="J784" s="2" t="n">
        <v>1</v>
      </c>
      <c r="K784" s="2" t="s">
        <v>40</v>
      </c>
      <c r="L784" s="2" t="s">
        <v>46</v>
      </c>
      <c r="M784" s="2" t="n">
        <v>31490</v>
      </c>
      <c r="N784" s="2" t="n">
        <v>2</v>
      </c>
      <c r="O784" s="2" t="n">
        <v>15</v>
      </c>
      <c r="P784" s="2" t="n">
        <v>1</v>
      </c>
      <c r="Q784" s="2" t="n">
        <v>16</v>
      </c>
      <c r="R784" s="2" t="n">
        <v>1</v>
      </c>
      <c r="S784" s="2" t="n">
        <v>9</v>
      </c>
      <c r="T784" s="2" t="n">
        <v>4</v>
      </c>
      <c r="U784" s="2" t="n">
        <v>8</v>
      </c>
      <c r="V784" s="2" t="n">
        <v>4</v>
      </c>
      <c r="W784" s="2" t="n">
        <v>2</v>
      </c>
      <c r="X784" s="2" t="n">
        <v>3</v>
      </c>
      <c r="Y784" s="2" t="n">
        <v>2</v>
      </c>
      <c r="Z784" s="2" t="n">
        <v>3</v>
      </c>
    </row>
    <row r="785" customFormat="false" ht="15" hidden="false" customHeight="true" outlineLevel="0" collapsed="false">
      <c r="A785" s="2" t="n">
        <v>28</v>
      </c>
      <c r="B785" s="2" t="s">
        <v>26</v>
      </c>
      <c r="C785" s="2" t="s">
        <v>27</v>
      </c>
      <c r="D785" s="2" t="s">
        <v>35</v>
      </c>
      <c r="E785" s="2" t="n">
        <v>1</v>
      </c>
      <c r="F785" s="2" t="n">
        <v>2</v>
      </c>
      <c r="G785" s="2" t="s">
        <v>51</v>
      </c>
      <c r="H785" s="2" t="n">
        <v>784</v>
      </c>
      <c r="I785" s="2" t="s">
        <v>30</v>
      </c>
      <c r="J785" s="2" t="n">
        <v>1</v>
      </c>
      <c r="K785" s="2" t="s">
        <v>36</v>
      </c>
      <c r="L785" s="2" t="s">
        <v>37</v>
      </c>
      <c r="M785" s="2" t="n">
        <v>176390</v>
      </c>
      <c r="N785" s="2" t="n">
        <v>0</v>
      </c>
      <c r="O785" s="2" t="n">
        <v>13</v>
      </c>
      <c r="P785" s="2" t="n">
        <v>1</v>
      </c>
      <c r="Q785" s="2" t="n">
        <v>6</v>
      </c>
      <c r="R785" s="2" t="n">
        <v>0</v>
      </c>
      <c r="S785" s="2" t="n">
        <v>5</v>
      </c>
      <c r="T785" s="2" t="n">
        <v>1</v>
      </c>
      <c r="U785" s="2" t="n">
        <v>3</v>
      </c>
      <c r="V785" s="2" t="n">
        <v>4</v>
      </c>
      <c r="W785" s="2" t="n">
        <v>1</v>
      </c>
      <c r="X785" s="2" t="n">
        <v>3</v>
      </c>
      <c r="Y785" s="2" t="n">
        <v>3</v>
      </c>
      <c r="Z785" s="2" t="n">
        <v>3</v>
      </c>
    </row>
    <row r="786" customFormat="false" ht="15" hidden="false" customHeight="true" outlineLevel="0" collapsed="false">
      <c r="A786" s="2" t="n">
        <v>44</v>
      </c>
      <c r="B786" s="2" t="s">
        <v>26</v>
      </c>
      <c r="C786" s="2" t="s">
        <v>41</v>
      </c>
      <c r="D786" s="2" t="s">
        <v>35</v>
      </c>
      <c r="E786" s="2" t="n">
        <v>5</v>
      </c>
      <c r="F786" s="2" t="n">
        <v>3</v>
      </c>
      <c r="G786" s="2" t="s">
        <v>29</v>
      </c>
      <c r="H786" s="2" t="n">
        <v>785</v>
      </c>
      <c r="I786" s="2" t="s">
        <v>39</v>
      </c>
      <c r="J786" s="2" t="n">
        <v>1</v>
      </c>
      <c r="K786" s="2" t="s">
        <v>45</v>
      </c>
      <c r="L786" s="2" t="s">
        <v>37</v>
      </c>
      <c r="M786" s="2" t="n">
        <v>23190</v>
      </c>
      <c r="N786" s="2" t="n">
        <v>3</v>
      </c>
      <c r="O786" s="2" t="n">
        <v>18</v>
      </c>
      <c r="P786" s="2" t="n">
        <v>0</v>
      </c>
      <c r="Q786" s="2" t="n">
        <v>7</v>
      </c>
      <c r="R786" s="2" t="n">
        <v>4</v>
      </c>
      <c r="S786" s="2" t="n">
        <v>5</v>
      </c>
      <c r="T786" s="2" t="n">
        <v>0</v>
      </c>
      <c r="U786" s="2" t="n">
        <v>3</v>
      </c>
      <c r="V786" s="2" t="n">
        <v>3</v>
      </c>
      <c r="W786" s="2" t="n">
        <v>3</v>
      </c>
      <c r="X786" s="2" t="n">
        <v>3</v>
      </c>
      <c r="Y786" s="2" t="n">
        <v>2</v>
      </c>
      <c r="Z786" s="2" t="n">
        <v>3</v>
      </c>
    </row>
    <row r="787" customFormat="false" ht="15" hidden="false" customHeight="true" outlineLevel="0" collapsed="false">
      <c r="A787" s="2" t="n">
        <v>53</v>
      </c>
      <c r="B787" s="2" t="s">
        <v>26</v>
      </c>
      <c r="C787" s="2" t="s">
        <v>27</v>
      </c>
      <c r="D787" s="2" t="s">
        <v>35</v>
      </c>
      <c r="E787" s="2" t="n">
        <v>2</v>
      </c>
      <c r="F787" s="2" t="n">
        <v>4</v>
      </c>
      <c r="G787" s="2" t="s">
        <v>51</v>
      </c>
      <c r="H787" s="2" t="n">
        <v>786</v>
      </c>
      <c r="I787" s="2" t="s">
        <v>39</v>
      </c>
      <c r="J787" s="2" t="n">
        <v>2</v>
      </c>
      <c r="K787" s="2" t="s">
        <v>49</v>
      </c>
      <c r="L787" s="2" t="s">
        <v>37</v>
      </c>
      <c r="M787" s="2" t="n">
        <v>116910</v>
      </c>
      <c r="N787" s="2" t="n">
        <v>4</v>
      </c>
      <c r="O787" s="2" t="n">
        <v>20</v>
      </c>
      <c r="P787" s="2" t="n">
        <v>0</v>
      </c>
      <c r="Q787" s="2" t="n">
        <v>35</v>
      </c>
      <c r="R787" s="2" t="n">
        <v>2</v>
      </c>
      <c r="S787" s="2" t="n">
        <v>9</v>
      </c>
      <c r="T787" s="2" t="n">
        <v>8</v>
      </c>
      <c r="U787" s="2" t="n">
        <v>8</v>
      </c>
      <c r="V787" s="2" t="n">
        <v>4</v>
      </c>
      <c r="W787" s="2" t="n">
        <v>2</v>
      </c>
      <c r="X787" s="2" t="n">
        <v>2</v>
      </c>
      <c r="Y787" s="2" t="n">
        <v>3</v>
      </c>
      <c r="Z787" s="2" t="n">
        <v>4</v>
      </c>
    </row>
    <row r="788" customFormat="false" ht="15" hidden="false" customHeight="true" outlineLevel="0" collapsed="false">
      <c r="A788" s="2" t="n">
        <v>49</v>
      </c>
      <c r="B788" s="2" t="s">
        <v>26</v>
      </c>
      <c r="C788" s="2" t="s">
        <v>27</v>
      </c>
      <c r="D788" s="2" t="s">
        <v>35</v>
      </c>
      <c r="E788" s="2" t="n">
        <v>7</v>
      </c>
      <c r="F788" s="2" t="n">
        <v>3</v>
      </c>
      <c r="G788" s="2" t="s">
        <v>29</v>
      </c>
      <c r="H788" s="2" t="n">
        <v>787</v>
      </c>
      <c r="I788" s="2" t="s">
        <v>39</v>
      </c>
      <c r="J788" s="2" t="n">
        <v>3</v>
      </c>
      <c r="K788" s="2" t="s">
        <v>45</v>
      </c>
      <c r="L788" s="2" t="s">
        <v>32</v>
      </c>
      <c r="M788" s="2" t="n">
        <v>53240</v>
      </c>
      <c r="N788" s="2" t="n">
        <v>2</v>
      </c>
      <c r="O788" s="2" t="n">
        <v>19</v>
      </c>
      <c r="P788" s="2" t="n">
        <v>0</v>
      </c>
      <c r="Q788" s="2" t="n">
        <v>20</v>
      </c>
      <c r="R788" s="2" t="n">
        <v>2</v>
      </c>
      <c r="S788" s="2" t="n">
        <v>3</v>
      </c>
      <c r="T788" s="2" t="n">
        <v>1</v>
      </c>
      <c r="U788" s="2" t="n">
        <v>2</v>
      </c>
      <c r="V788" s="2" t="n">
        <v>1</v>
      </c>
      <c r="W788" s="2" t="n">
        <v>3</v>
      </c>
      <c r="X788" s="2" t="n">
        <v>2</v>
      </c>
      <c r="Y788" s="2" t="n">
        <v>1</v>
      </c>
      <c r="Z788" s="2" t="n">
        <v>3</v>
      </c>
    </row>
    <row r="789" customFormat="false" ht="15" hidden="false" customHeight="true" outlineLevel="0" collapsed="false">
      <c r="A789" s="2" t="n">
        <v>40</v>
      </c>
      <c r="B789" s="2" t="s">
        <v>26</v>
      </c>
      <c r="C789" s="2" t="s">
        <v>27</v>
      </c>
      <c r="D789" s="2" t="s">
        <v>35</v>
      </c>
      <c r="E789" s="2" t="n">
        <v>2</v>
      </c>
      <c r="F789" s="2" t="n">
        <v>4</v>
      </c>
      <c r="G789" s="2" t="s">
        <v>29</v>
      </c>
      <c r="H789" s="2" t="n">
        <v>788</v>
      </c>
      <c r="I789" s="2" t="s">
        <v>39</v>
      </c>
      <c r="J789" s="2" t="n">
        <v>3</v>
      </c>
      <c r="K789" s="2" t="s">
        <v>45</v>
      </c>
      <c r="L789" s="2" t="s">
        <v>46</v>
      </c>
      <c r="M789" s="2" t="n">
        <v>167520</v>
      </c>
      <c r="N789" s="2" t="n">
        <v>2</v>
      </c>
      <c r="O789" s="2" t="n">
        <v>18</v>
      </c>
      <c r="P789" s="2" t="n">
        <v>1</v>
      </c>
      <c r="Q789" s="2" t="n">
        <v>8</v>
      </c>
      <c r="R789" s="2" t="n">
        <v>3</v>
      </c>
      <c r="S789" s="2" t="n">
        <v>3</v>
      </c>
      <c r="T789" s="2" t="n">
        <v>1</v>
      </c>
      <c r="U789" s="2" t="n">
        <v>2</v>
      </c>
      <c r="V789" s="2" t="n">
        <v>3</v>
      </c>
      <c r="W789" s="2" t="n">
        <v>3</v>
      </c>
      <c r="X789" s="2" t="n">
        <v>4</v>
      </c>
      <c r="Y789" s="2" t="n">
        <v>3</v>
      </c>
      <c r="Z789" s="2" t="n">
        <v>3</v>
      </c>
    </row>
    <row r="790" customFormat="false" ht="15" hidden="false" customHeight="true" outlineLevel="0" collapsed="false">
      <c r="A790" s="2" t="n">
        <v>44</v>
      </c>
      <c r="B790" s="2" t="s">
        <v>26</v>
      </c>
      <c r="C790" s="2" t="s">
        <v>27</v>
      </c>
      <c r="D790" s="2" t="s">
        <v>35</v>
      </c>
      <c r="E790" s="2" t="n">
        <v>5</v>
      </c>
      <c r="F790" s="2" t="n">
        <v>1</v>
      </c>
      <c r="G790" s="2" t="s">
        <v>38</v>
      </c>
      <c r="H790" s="2" t="n">
        <v>789</v>
      </c>
      <c r="I790" s="2" t="s">
        <v>39</v>
      </c>
      <c r="J790" s="2" t="n">
        <v>3</v>
      </c>
      <c r="K790" s="2" t="s">
        <v>36</v>
      </c>
      <c r="L790" s="2" t="s">
        <v>37</v>
      </c>
      <c r="M790" s="2" t="n">
        <v>52280</v>
      </c>
      <c r="N790" s="2" t="n">
        <v>1</v>
      </c>
      <c r="O790" s="2" t="n">
        <v>13</v>
      </c>
      <c r="P790" s="2" t="n">
        <v>0</v>
      </c>
      <c r="Q790" s="2" t="n">
        <v>6</v>
      </c>
      <c r="R790" s="2" t="n">
        <v>2</v>
      </c>
      <c r="S790" s="2" t="n">
        <v>5</v>
      </c>
      <c r="T790" s="2" t="n">
        <v>1</v>
      </c>
      <c r="U790" s="2" t="n">
        <v>3</v>
      </c>
      <c r="V790" s="2" t="n">
        <v>4</v>
      </c>
      <c r="W790" s="2" t="n">
        <v>2</v>
      </c>
      <c r="X790" s="2" t="n">
        <v>2</v>
      </c>
      <c r="Y790" s="2" t="n">
        <v>4</v>
      </c>
      <c r="Z790" s="2" t="n">
        <v>3</v>
      </c>
    </row>
    <row r="791" customFormat="false" ht="15" hidden="false" customHeight="true" outlineLevel="0" collapsed="false">
      <c r="A791" s="2" t="n">
        <v>33</v>
      </c>
      <c r="B791" s="2" t="s">
        <v>26</v>
      </c>
      <c r="C791" s="2" t="s">
        <v>34</v>
      </c>
      <c r="D791" s="2" t="s">
        <v>42</v>
      </c>
      <c r="E791" s="2" t="n">
        <v>10</v>
      </c>
      <c r="F791" s="2" t="n">
        <v>3</v>
      </c>
      <c r="G791" s="2" t="s">
        <v>43</v>
      </c>
      <c r="H791" s="2" t="n">
        <v>790</v>
      </c>
      <c r="I791" s="2" t="s">
        <v>30</v>
      </c>
      <c r="J791" s="2" t="n">
        <v>2</v>
      </c>
      <c r="K791" s="2" t="s">
        <v>40</v>
      </c>
      <c r="L791" s="2" t="s">
        <v>32</v>
      </c>
      <c r="M791" s="2" t="n">
        <v>27000</v>
      </c>
      <c r="N791" s="2" t="n">
        <v>0</v>
      </c>
      <c r="O791" s="2" t="n">
        <v>14</v>
      </c>
      <c r="P791" s="2" t="n">
        <v>3</v>
      </c>
      <c r="Q791" s="2" t="n">
        <v>5</v>
      </c>
      <c r="R791" s="2" t="n">
        <v>2</v>
      </c>
      <c r="S791" s="2" t="n">
        <v>4</v>
      </c>
      <c r="T791" s="2" t="n">
        <v>0</v>
      </c>
      <c r="U791" s="2" t="n">
        <v>3</v>
      </c>
      <c r="V791" s="2" t="n">
        <v>4</v>
      </c>
      <c r="W791" s="2" t="n">
        <v>1</v>
      </c>
      <c r="X791" s="2" t="n">
        <v>3</v>
      </c>
      <c r="Y791" s="2" t="n">
        <v>3</v>
      </c>
      <c r="Z791" s="2" t="n">
        <v>3</v>
      </c>
    </row>
    <row r="792" customFormat="false" ht="15" hidden="false" customHeight="true" outlineLevel="0" collapsed="false">
      <c r="A792" s="2" t="n">
        <v>34</v>
      </c>
      <c r="B792" s="2" t="s">
        <v>26</v>
      </c>
      <c r="C792" s="2" t="s">
        <v>27</v>
      </c>
      <c r="D792" s="2" t="s">
        <v>35</v>
      </c>
      <c r="E792" s="2" t="n">
        <v>10</v>
      </c>
      <c r="F792" s="2" t="n">
        <v>4</v>
      </c>
      <c r="G792" s="2" t="s">
        <v>29</v>
      </c>
      <c r="H792" s="2" t="n">
        <v>791</v>
      </c>
      <c r="I792" s="2" t="s">
        <v>30</v>
      </c>
      <c r="J792" s="2" t="n">
        <v>1</v>
      </c>
      <c r="K792" s="2" t="s">
        <v>48</v>
      </c>
      <c r="L792" s="2" t="s">
        <v>37</v>
      </c>
      <c r="M792" s="2" t="n">
        <v>192460</v>
      </c>
      <c r="N792" s="2" t="n">
        <v>3</v>
      </c>
      <c r="O792" s="2" t="n">
        <v>15</v>
      </c>
      <c r="P792" s="2" t="n">
        <v>1</v>
      </c>
      <c r="Q792" s="2" t="n">
        <v>15</v>
      </c>
      <c r="R792" s="2" t="n">
        <v>5</v>
      </c>
      <c r="S792" s="2" t="n">
        <v>13</v>
      </c>
      <c r="T792" s="2" t="n">
        <v>3</v>
      </c>
      <c r="U792" s="2" t="n">
        <v>12</v>
      </c>
      <c r="V792" s="2" t="n">
        <v>4</v>
      </c>
      <c r="W792" s="2" t="n">
        <v>1</v>
      </c>
      <c r="X792" s="2" t="n">
        <v>3</v>
      </c>
      <c r="Y792" s="2" t="n">
        <v>3</v>
      </c>
      <c r="Z792" s="2" t="n">
        <v>3</v>
      </c>
    </row>
    <row r="793" customFormat="false" ht="15" hidden="false" customHeight="true" outlineLevel="0" collapsed="false">
      <c r="A793" s="2" t="n">
        <v>30</v>
      </c>
      <c r="B793" s="2" t="s">
        <v>26</v>
      </c>
      <c r="C793" s="2" t="s">
        <v>27</v>
      </c>
      <c r="D793" s="2" t="s">
        <v>28</v>
      </c>
      <c r="E793" s="2" t="n">
        <v>1</v>
      </c>
      <c r="F793" s="2" t="n">
        <v>2</v>
      </c>
      <c r="G793" s="2" t="s">
        <v>51</v>
      </c>
      <c r="H793" s="2" t="n">
        <v>792</v>
      </c>
      <c r="I793" s="2" t="s">
        <v>39</v>
      </c>
      <c r="J793" s="2" t="n">
        <v>1</v>
      </c>
      <c r="K793" s="2" t="s">
        <v>45</v>
      </c>
      <c r="L793" s="2" t="s">
        <v>32</v>
      </c>
      <c r="M793" s="2" t="n">
        <v>25060</v>
      </c>
      <c r="N793" s="2" t="n">
        <v>8</v>
      </c>
      <c r="O793" s="2" t="n">
        <v>22</v>
      </c>
      <c r="P793" s="2" t="n">
        <v>0</v>
      </c>
      <c r="Q793" s="2" t="n">
        <v>4</v>
      </c>
      <c r="R793" s="2" t="n">
        <v>3</v>
      </c>
      <c r="S793" s="2" t="n">
        <v>2</v>
      </c>
      <c r="T793" s="2" t="n">
        <v>2</v>
      </c>
      <c r="U793" s="2" t="n">
        <v>2</v>
      </c>
      <c r="V793" s="2" t="n">
        <v>4</v>
      </c>
      <c r="W793" s="2" t="n">
        <v>3</v>
      </c>
      <c r="X793" s="2" t="n">
        <v>2</v>
      </c>
      <c r="Y793" s="2" t="n">
        <v>3</v>
      </c>
      <c r="Z793" s="2" t="n">
        <v>4</v>
      </c>
    </row>
    <row r="794" customFormat="false" ht="15" hidden="false" customHeight="true" outlineLevel="0" collapsed="false">
      <c r="A794" s="2" t="n">
        <v>42</v>
      </c>
      <c r="B794" s="2" t="s">
        <v>26</v>
      </c>
      <c r="C794" s="2" t="s">
        <v>34</v>
      </c>
      <c r="D794" s="2" t="s">
        <v>35</v>
      </c>
      <c r="E794" s="2" t="n">
        <v>8</v>
      </c>
      <c r="F794" s="2" t="n">
        <v>4</v>
      </c>
      <c r="G794" s="2" t="s">
        <v>43</v>
      </c>
      <c r="H794" s="2" t="n">
        <v>793</v>
      </c>
      <c r="I794" s="2" t="s">
        <v>30</v>
      </c>
      <c r="J794" s="2" t="n">
        <v>1</v>
      </c>
      <c r="K794" s="2" t="s">
        <v>40</v>
      </c>
      <c r="L794" s="2" t="s">
        <v>37</v>
      </c>
      <c r="M794" s="2" t="n">
        <v>60620</v>
      </c>
      <c r="N794" s="2" t="n">
        <v>1</v>
      </c>
      <c r="O794" s="2" t="n">
        <v>22</v>
      </c>
      <c r="P794" s="2" t="n">
        <v>2</v>
      </c>
      <c r="Q794" s="2" t="n">
        <v>12</v>
      </c>
      <c r="R794" s="2" t="n">
        <v>2</v>
      </c>
      <c r="S794" s="2" t="n">
        <v>12</v>
      </c>
      <c r="T794" s="2" t="n">
        <v>5</v>
      </c>
      <c r="U794" s="2" t="n">
        <v>8</v>
      </c>
      <c r="V794" s="2" t="n">
        <v>1</v>
      </c>
      <c r="W794" s="2" t="n">
        <v>4</v>
      </c>
      <c r="X794" s="2" t="n">
        <v>3</v>
      </c>
      <c r="Y794" s="2" t="n">
        <v>3</v>
      </c>
      <c r="Z794" s="2" t="n">
        <v>4</v>
      </c>
    </row>
    <row r="795" customFormat="false" ht="15" hidden="false" customHeight="true" outlineLevel="0" collapsed="false">
      <c r="A795" s="2" t="n">
        <v>44</v>
      </c>
      <c r="B795" s="2" t="s">
        <v>26</v>
      </c>
      <c r="C795" s="2" t="s">
        <v>34</v>
      </c>
      <c r="D795" s="2" t="s">
        <v>35</v>
      </c>
      <c r="E795" s="2" t="n">
        <v>5</v>
      </c>
      <c r="F795" s="2" t="n">
        <v>3</v>
      </c>
      <c r="G795" s="2" t="s">
        <v>29</v>
      </c>
      <c r="H795" s="2" t="n">
        <v>794</v>
      </c>
      <c r="I795" s="2" t="s">
        <v>30</v>
      </c>
      <c r="J795" s="2" t="n">
        <v>5</v>
      </c>
      <c r="K795" s="2" t="s">
        <v>47</v>
      </c>
      <c r="L795" s="2" t="s">
        <v>32</v>
      </c>
      <c r="M795" s="2" t="n">
        <v>43820</v>
      </c>
      <c r="N795" s="2" t="n">
        <v>7</v>
      </c>
      <c r="O795" s="2" t="n">
        <v>16</v>
      </c>
      <c r="P795" s="2" t="n">
        <v>2</v>
      </c>
      <c r="Q795" s="2" t="n">
        <v>11</v>
      </c>
      <c r="R795" s="2" t="n">
        <v>2</v>
      </c>
      <c r="S795" s="2" t="n">
        <v>1</v>
      </c>
      <c r="T795" s="2" t="n">
        <v>0</v>
      </c>
      <c r="U795" s="2" t="n">
        <v>0</v>
      </c>
      <c r="V795" s="2" t="n">
        <v>1</v>
      </c>
      <c r="W795" s="2" t="n">
        <v>3</v>
      </c>
      <c r="X795" s="2" t="n">
        <v>2</v>
      </c>
      <c r="Y795" s="2" t="n">
        <v>3</v>
      </c>
      <c r="Z795" s="2" t="n">
        <v>3</v>
      </c>
    </row>
    <row r="796" customFormat="false" ht="15" hidden="false" customHeight="true" outlineLevel="0" collapsed="false">
      <c r="A796" s="2" t="n">
        <v>30</v>
      </c>
      <c r="B796" s="2" t="s">
        <v>26</v>
      </c>
      <c r="C796" s="2" t="s">
        <v>41</v>
      </c>
      <c r="D796" s="2" t="s">
        <v>35</v>
      </c>
      <c r="E796" s="2" t="n">
        <v>8</v>
      </c>
      <c r="F796" s="2" t="n">
        <v>3</v>
      </c>
      <c r="G796" s="2" t="s">
        <v>29</v>
      </c>
      <c r="H796" s="2" t="n">
        <v>795</v>
      </c>
      <c r="I796" s="2" t="s">
        <v>39</v>
      </c>
      <c r="J796" s="2" t="n">
        <v>1</v>
      </c>
      <c r="K796" s="2" t="s">
        <v>47</v>
      </c>
      <c r="L796" s="2" t="s">
        <v>46</v>
      </c>
      <c r="M796" s="2" t="n">
        <v>21430</v>
      </c>
      <c r="N796" s="2" t="n">
        <v>1</v>
      </c>
      <c r="O796" s="2" t="n">
        <v>17</v>
      </c>
      <c r="P796" s="2" t="n">
        <v>1</v>
      </c>
      <c r="Q796" s="2" t="n">
        <v>1</v>
      </c>
      <c r="R796" s="2" t="n">
        <v>2</v>
      </c>
      <c r="S796" s="2" t="n">
        <v>1</v>
      </c>
      <c r="T796" s="2" t="n">
        <v>0</v>
      </c>
      <c r="U796" s="2" t="n">
        <v>0</v>
      </c>
      <c r="V796" s="2" t="n">
        <v>3</v>
      </c>
      <c r="W796" s="2" t="n">
        <v>3</v>
      </c>
      <c r="X796" s="2" t="n">
        <v>2</v>
      </c>
      <c r="Y796" s="2" t="n">
        <v>3</v>
      </c>
      <c r="Z796" s="2" t="n">
        <v>3</v>
      </c>
    </row>
    <row r="797" customFormat="false" ht="15" hidden="false" customHeight="true" outlineLevel="0" collapsed="false">
      <c r="A797" s="2" t="n">
        <v>57</v>
      </c>
      <c r="B797" s="2" t="s">
        <v>26</v>
      </c>
      <c r="C797" s="2" t="s">
        <v>27</v>
      </c>
      <c r="D797" s="2" t="s">
        <v>28</v>
      </c>
      <c r="E797" s="2" t="n">
        <v>2</v>
      </c>
      <c r="F797" s="2" t="n">
        <v>1</v>
      </c>
      <c r="G797" s="2" t="s">
        <v>29</v>
      </c>
      <c r="H797" s="2" t="n">
        <v>796</v>
      </c>
      <c r="I797" s="2" t="s">
        <v>39</v>
      </c>
      <c r="J797" s="2" t="n">
        <v>3</v>
      </c>
      <c r="K797" s="2" t="s">
        <v>36</v>
      </c>
      <c r="L797" s="2" t="s">
        <v>32</v>
      </c>
      <c r="M797" s="2" t="n">
        <v>61620</v>
      </c>
      <c r="N797" s="2" t="n">
        <v>0</v>
      </c>
      <c r="O797" s="2" t="n">
        <v>14</v>
      </c>
      <c r="P797" s="2" t="n">
        <v>0</v>
      </c>
      <c r="Q797" s="2" t="n">
        <v>13</v>
      </c>
      <c r="R797" s="2" t="n">
        <v>5</v>
      </c>
      <c r="S797" s="2" t="n">
        <v>12</v>
      </c>
      <c r="T797" s="2" t="n">
        <v>2</v>
      </c>
      <c r="U797" s="2" t="n">
        <v>8</v>
      </c>
      <c r="V797" s="2" t="n">
        <v>2</v>
      </c>
      <c r="W797" s="2" t="n">
        <v>3</v>
      </c>
      <c r="X797" s="2" t="n">
        <v>2</v>
      </c>
      <c r="Y797" s="2" t="n">
        <v>2</v>
      </c>
      <c r="Z797" s="2" t="n">
        <v>3</v>
      </c>
    </row>
    <row r="798" customFormat="false" ht="15" hidden="false" customHeight="true" outlineLevel="0" collapsed="false">
      <c r="A798" s="2" t="n">
        <v>49</v>
      </c>
      <c r="B798" s="2" t="s">
        <v>26</v>
      </c>
      <c r="C798" s="2" t="s">
        <v>27</v>
      </c>
      <c r="D798" s="2" t="s">
        <v>35</v>
      </c>
      <c r="E798" s="2" t="n">
        <v>7</v>
      </c>
      <c r="F798" s="2" t="n">
        <v>3</v>
      </c>
      <c r="G798" s="2" t="s">
        <v>51</v>
      </c>
      <c r="H798" s="2" t="n">
        <v>797</v>
      </c>
      <c r="I798" s="2" t="s">
        <v>30</v>
      </c>
      <c r="J798" s="2" t="n">
        <v>2</v>
      </c>
      <c r="K798" s="2" t="s">
        <v>40</v>
      </c>
      <c r="L798" s="2" t="s">
        <v>46</v>
      </c>
      <c r="M798" s="2" t="n">
        <v>50940</v>
      </c>
      <c r="N798" s="2" t="n">
        <v>3</v>
      </c>
      <c r="O798" s="2" t="n">
        <v>15</v>
      </c>
      <c r="P798" s="2" t="n">
        <v>0</v>
      </c>
      <c r="Q798" s="2" t="n">
        <v>29</v>
      </c>
      <c r="R798" s="2" t="n">
        <v>5</v>
      </c>
      <c r="S798" s="2" t="n">
        <v>8</v>
      </c>
      <c r="T798" s="2" t="n">
        <v>0</v>
      </c>
      <c r="U798" s="2" t="n">
        <v>7</v>
      </c>
      <c r="V798" s="2" t="n">
        <v>3</v>
      </c>
      <c r="W798" s="2" t="n">
        <v>2</v>
      </c>
      <c r="X798" s="2" t="n">
        <v>3</v>
      </c>
      <c r="Y798" s="2" t="n">
        <v>3</v>
      </c>
      <c r="Z798" s="2" t="n">
        <v>3</v>
      </c>
    </row>
    <row r="799" customFormat="false" ht="15" hidden="false" customHeight="true" outlineLevel="0" collapsed="false">
      <c r="A799" s="2" t="n">
        <v>34</v>
      </c>
      <c r="B799" s="2" t="s">
        <v>26</v>
      </c>
      <c r="C799" s="2" t="s">
        <v>34</v>
      </c>
      <c r="D799" s="2" t="s">
        <v>35</v>
      </c>
      <c r="E799" s="2" t="n">
        <v>2</v>
      </c>
      <c r="F799" s="2" t="n">
        <v>4</v>
      </c>
      <c r="G799" s="2" t="s">
        <v>43</v>
      </c>
      <c r="H799" s="2" t="n">
        <v>798</v>
      </c>
      <c r="I799" s="2" t="s">
        <v>30</v>
      </c>
      <c r="J799" s="2" t="n">
        <v>2</v>
      </c>
      <c r="K799" s="2" t="s">
        <v>48</v>
      </c>
      <c r="L799" s="2" t="s">
        <v>46</v>
      </c>
      <c r="M799" s="2" t="n">
        <v>68770</v>
      </c>
      <c r="N799" s="2" t="n">
        <v>7</v>
      </c>
      <c r="O799" s="2" t="n">
        <v>20</v>
      </c>
      <c r="P799" s="2" t="n">
        <v>0</v>
      </c>
      <c r="Q799" s="2" t="n">
        <v>16</v>
      </c>
      <c r="R799" s="2" t="n">
        <v>3</v>
      </c>
      <c r="S799" s="2" t="n">
        <v>14</v>
      </c>
      <c r="T799" s="2" t="n">
        <v>6</v>
      </c>
      <c r="U799" s="2" t="n">
        <v>9</v>
      </c>
      <c r="V799" s="2" t="n">
        <v>2</v>
      </c>
      <c r="W799" s="2" t="n">
        <v>1</v>
      </c>
      <c r="X799" s="2" t="n">
        <v>2</v>
      </c>
      <c r="Y799" s="2" t="n">
        <v>3</v>
      </c>
      <c r="Z799" s="2" t="n">
        <v>4</v>
      </c>
    </row>
    <row r="800" customFormat="false" ht="15" hidden="false" customHeight="true" outlineLevel="0" collapsed="false">
      <c r="A800" s="2" t="n">
        <v>28</v>
      </c>
      <c r="B800" s="2" t="s">
        <v>33</v>
      </c>
      <c r="C800" s="2" t="s">
        <v>34</v>
      </c>
      <c r="D800" s="2" t="s">
        <v>35</v>
      </c>
      <c r="E800" s="2" t="n">
        <v>2</v>
      </c>
      <c r="F800" s="2" t="n">
        <v>3</v>
      </c>
      <c r="G800" s="2" t="s">
        <v>43</v>
      </c>
      <c r="H800" s="2" t="n">
        <v>799</v>
      </c>
      <c r="I800" s="2" t="s">
        <v>39</v>
      </c>
      <c r="J800" s="2" t="n">
        <v>1</v>
      </c>
      <c r="K800" s="2" t="s">
        <v>36</v>
      </c>
      <c r="L800" s="2" t="s">
        <v>32</v>
      </c>
      <c r="M800" s="2" t="n">
        <v>22740</v>
      </c>
      <c r="N800" s="2" t="n">
        <v>3</v>
      </c>
      <c r="O800" s="2" t="n">
        <v>20</v>
      </c>
      <c r="P800" s="2" t="n">
        <v>1</v>
      </c>
      <c r="Q800" s="2" t="n">
        <v>5</v>
      </c>
      <c r="R800" s="2" t="n">
        <v>5</v>
      </c>
      <c r="S800" s="2" t="n">
        <v>3</v>
      </c>
      <c r="T800" s="2" t="n">
        <v>1</v>
      </c>
      <c r="U800" s="2" t="n">
        <v>2</v>
      </c>
      <c r="V800" s="2" t="n">
        <v>1</v>
      </c>
      <c r="W800" s="2" t="n">
        <v>3</v>
      </c>
      <c r="X800" s="2" t="n">
        <v>4</v>
      </c>
      <c r="Y800" s="2" t="n">
        <v>3</v>
      </c>
      <c r="Z800" s="2" t="n">
        <v>4</v>
      </c>
    </row>
    <row r="801" customFormat="false" ht="15" hidden="false" customHeight="true" outlineLevel="0" collapsed="false">
      <c r="A801" s="2" t="n">
        <v>29</v>
      </c>
      <c r="B801" s="2" t="s">
        <v>33</v>
      </c>
      <c r="C801" s="2" t="s">
        <v>34</v>
      </c>
      <c r="D801" s="2" t="s">
        <v>35</v>
      </c>
      <c r="E801" s="2" t="n">
        <v>28</v>
      </c>
      <c r="F801" s="2" t="n">
        <v>3</v>
      </c>
      <c r="G801" s="2" t="s">
        <v>43</v>
      </c>
      <c r="H801" s="2" t="n">
        <v>800</v>
      </c>
      <c r="I801" s="2" t="s">
        <v>30</v>
      </c>
      <c r="J801" s="2" t="n">
        <v>5</v>
      </c>
      <c r="K801" s="2" t="s">
        <v>36</v>
      </c>
      <c r="L801" s="2" t="s">
        <v>37</v>
      </c>
      <c r="M801" s="2" t="n">
        <v>44340</v>
      </c>
      <c r="N801" s="2"/>
      <c r="O801" s="2" t="n">
        <v>17</v>
      </c>
      <c r="P801" s="2" t="n">
        <v>3</v>
      </c>
      <c r="Q801" s="2" t="n">
        <v>7</v>
      </c>
      <c r="R801" s="2" t="n">
        <v>1</v>
      </c>
      <c r="S801" s="2" t="n">
        <v>5</v>
      </c>
      <c r="T801" s="2" t="n">
        <v>0</v>
      </c>
      <c r="U801" s="2" t="n">
        <v>0</v>
      </c>
      <c r="V801" s="2" t="n">
        <v>1</v>
      </c>
      <c r="W801" s="2" t="n">
        <v>2</v>
      </c>
      <c r="X801" s="2" t="n">
        <v>1</v>
      </c>
      <c r="Y801" s="2" t="n">
        <v>3</v>
      </c>
      <c r="Z801" s="2" t="n">
        <v>3</v>
      </c>
    </row>
    <row r="802" customFormat="false" ht="15" hidden="false" customHeight="true" outlineLevel="0" collapsed="false">
      <c r="A802" s="2" t="n">
        <v>34</v>
      </c>
      <c r="B802" s="2" t="s">
        <v>33</v>
      </c>
      <c r="C802" s="2" t="s">
        <v>27</v>
      </c>
      <c r="D802" s="2" t="s">
        <v>35</v>
      </c>
      <c r="E802" s="2" t="n">
        <v>7</v>
      </c>
      <c r="F802" s="2" t="n">
        <v>1</v>
      </c>
      <c r="G802" s="2" t="s">
        <v>43</v>
      </c>
      <c r="H802" s="2" t="n">
        <v>801</v>
      </c>
      <c r="I802" s="2" t="s">
        <v>39</v>
      </c>
      <c r="J802" s="2" t="n">
        <v>1</v>
      </c>
      <c r="K802" s="2" t="s">
        <v>36</v>
      </c>
      <c r="L802" s="2" t="s">
        <v>37</v>
      </c>
      <c r="M802" s="2" t="n">
        <v>62880</v>
      </c>
      <c r="N802" s="2" t="n">
        <v>0</v>
      </c>
      <c r="O802" s="2" t="n">
        <v>15</v>
      </c>
      <c r="P802" s="2" t="n">
        <v>1</v>
      </c>
      <c r="Q802" s="2" t="n">
        <v>16</v>
      </c>
      <c r="R802" s="2" t="n">
        <v>2</v>
      </c>
      <c r="S802" s="2" t="n">
        <v>15</v>
      </c>
      <c r="T802" s="2" t="n">
        <v>10</v>
      </c>
      <c r="U802" s="2" t="n">
        <v>10</v>
      </c>
      <c r="V802" s="2" t="n">
        <v>1</v>
      </c>
      <c r="W802" s="2" t="n">
        <v>2</v>
      </c>
      <c r="X802" s="2" t="n">
        <v>4</v>
      </c>
      <c r="Y802" s="2" t="n">
        <v>3</v>
      </c>
      <c r="Z802" s="2" t="n">
        <v>3</v>
      </c>
    </row>
    <row r="803" customFormat="false" ht="15" hidden="false" customHeight="true" outlineLevel="0" collapsed="false">
      <c r="A803" s="2" t="n">
        <v>35</v>
      </c>
      <c r="B803" s="2" t="s">
        <v>26</v>
      </c>
      <c r="C803" s="2" t="s">
        <v>27</v>
      </c>
      <c r="D803" s="2" t="s">
        <v>28</v>
      </c>
      <c r="E803" s="2" t="n">
        <v>7</v>
      </c>
      <c r="F803" s="2" t="n">
        <v>4</v>
      </c>
      <c r="G803" s="2" t="s">
        <v>38</v>
      </c>
      <c r="H803" s="2" t="n">
        <v>802</v>
      </c>
      <c r="I803" s="2" t="s">
        <v>30</v>
      </c>
      <c r="J803" s="2" t="n">
        <v>4</v>
      </c>
      <c r="K803" s="2" t="s">
        <v>31</v>
      </c>
      <c r="L803" s="2" t="s">
        <v>32</v>
      </c>
      <c r="M803" s="2" t="n">
        <v>25530</v>
      </c>
      <c r="N803" s="2" t="n">
        <v>1</v>
      </c>
      <c r="O803" s="2" t="n">
        <v>14</v>
      </c>
      <c r="P803" s="2" t="n">
        <v>1</v>
      </c>
      <c r="Q803" s="2" t="n">
        <v>1</v>
      </c>
      <c r="R803" s="2" t="n">
        <v>4</v>
      </c>
      <c r="S803" s="2" t="n">
        <v>1</v>
      </c>
      <c r="T803" s="2" t="n">
        <v>0</v>
      </c>
      <c r="U803" s="2" t="n">
        <v>0</v>
      </c>
      <c r="V803" s="2" t="n">
        <v>4</v>
      </c>
      <c r="W803" s="2" t="n">
        <v>3</v>
      </c>
      <c r="X803" s="2" t="n">
        <v>3</v>
      </c>
      <c r="Y803" s="2" t="n">
        <v>2</v>
      </c>
      <c r="Z803" s="2" t="n">
        <v>3</v>
      </c>
    </row>
    <row r="804" customFormat="false" ht="15" hidden="false" customHeight="true" outlineLevel="0" collapsed="false">
      <c r="A804" s="2" t="n">
        <v>24</v>
      </c>
      <c r="B804" s="2" t="s">
        <v>33</v>
      </c>
      <c r="C804" s="2" t="s">
        <v>34</v>
      </c>
      <c r="D804" s="2" t="s">
        <v>28</v>
      </c>
      <c r="E804" s="2" t="n">
        <v>3</v>
      </c>
      <c r="F804" s="2" t="n">
        <v>3</v>
      </c>
      <c r="G804" s="2" t="s">
        <v>29</v>
      </c>
      <c r="H804" s="2" t="n">
        <v>803</v>
      </c>
      <c r="I804" s="2" t="s">
        <v>39</v>
      </c>
      <c r="J804" s="2" t="n">
        <v>2</v>
      </c>
      <c r="K804" s="2" t="s">
        <v>36</v>
      </c>
      <c r="L804" s="2" t="s">
        <v>37</v>
      </c>
      <c r="M804" s="2" t="n">
        <v>76540</v>
      </c>
      <c r="N804" s="2" t="n">
        <v>2</v>
      </c>
      <c r="O804" s="2" t="n">
        <v>17</v>
      </c>
      <c r="P804" s="2" t="n">
        <v>1</v>
      </c>
      <c r="Q804" s="2" t="n">
        <v>4</v>
      </c>
      <c r="R804" s="2" t="n">
        <v>3</v>
      </c>
      <c r="S804" s="2" t="n">
        <v>0</v>
      </c>
      <c r="T804" s="2" t="n">
        <v>0</v>
      </c>
      <c r="U804" s="2" t="n">
        <v>0</v>
      </c>
      <c r="V804" s="2" t="n">
        <v>2</v>
      </c>
      <c r="W804" s="2" t="n">
        <v>1</v>
      </c>
      <c r="X804" s="2" t="n">
        <v>2</v>
      </c>
      <c r="Y804" s="2" t="n">
        <v>2</v>
      </c>
      <c r="Z804" s="2" t="n">
        <v>3</v>
      </c>
    </row>
    <row r="805" customFormat="false" ht="15" hidden="false" customHeight="true" outlineLevel="0" collapsed="false">
      <c r="A805" s="2" t="n">
        <v>24</v>
      </c>
      <c r="B805" s="2" t="s">
        <v>26</v>
      </c>
      <c r="C805" s="2" t="s">
        <v>41</v>
      </c>
      <c r="D805" s="2" t="s">
        <v>35</v>
      </c>
      <c r="E805" s="2" t="n">
        <v>10</v>
      </c>
      <c r="F805" s="2" t="n">
        <v>3</v>
      </c>
      <c r="G805" s="2" t="s">
        <v>29</v>
      </c>
      <c r="H805" s="2" t="n">
        <v>804</v>
      </c>
      <c r="I805" s="2" t="s">
        <v>30</v>
      </c>
      <c r="J805" s="2" t="n">
        <v>2</v>
      </c>
      <c r="K805" s="2" t="s">
        <v>49</v>
      </c>
      <c r="L805" s="2" t="s">
        <v>32</v>
      </c>
      <c r="M805" s="2" t="n">
        <v>51600</v>
      </c>
      <c r="N805" s="2" t="n">
        <v>1</v>
      </c>
      <c r="O805" s="2" t="n">
        <v>17</v>
      </c>
      <c r="P805" s="2" t="n">
        <v>1</v>
      </c>
      <c r="Q805" s="2" t="n">
        <v>1</v>
      </c>
      <c r="R805" s="2" t="n">
        <v>3</v>
      </c>
      <c r="S805" s="2" t="n">
        <v>1</v>
      </c>
      <c r="T805" s="2" t="n">
        <v>0</v>
      </c>
      <c r="U805" s="2" t="n">
        <v>0</v>
      </c>
      <c r="V805" s="2" t="n">
        <v>4</v>
      </c>
      <c r="W805" s="2" t="n">
        <v>2</v>
      </c>
      <c r="X805" s="2" t="n">
        <v>3</v>
      </c>
      <c r="Y805" s="2" t="n">
        <v>1</v>
      </c>
      <c r="Z805" s="2" t="n">
        <v>3</v>
      </c>
    </row>
    <row r="806" customFormat="false" ht="15" hidden="false" customHeight="true" outlineLevel="0" collapsed="false">
      <c r="A806" s="2" t="n">
        <v>44</v>
      </c>
      <c r="B806" s="2" t="s">
        <v>26</v>
      </c>
      <c r="C806" s="2" t="s">
        <v>34</v>
      </c>
      <c r="D806" s="2" t="s">
        <v>35</v>
      </c>
      <c r="E806" s="2" t="n">
        <v>5</v>
      </c>
      <c r="F806" s="2" t="n">
        <v>2</v>
      </c>
      <c r="G806" s="2" t="s">
        <v>43</v>
      </c>
      <c r="H806" s="2" t="n">
        <v>805</v>
      </c>
      <c r="I806" s="2" t="s">
        <v>30</v>
      </c>
      <c r="J806" s="2" t="n">
        <v>2</v>
      </c>
      <c r="K806" s="2" t="s">
        <v>36</v>
      </c>
      <c r="L806" s="2" t="s">
        <v>37</v>
      </c>
      <c r="M806" s="2" t="n">
        <v>171590</v>
      </c>
      <c r="N806" s="2" t="n">
        <v>5</v>
      </c>
      <c r="O806" s="2" t="n">
        <v>22</v>
      </c>
      <c r="P806" s="2" t="n">
        <v>1</v>
      </c>
      <c r="Q806" s="2" t="n">
        <v>16</v>
      </c>
      <c r="R806" s="2" t="n">
        <v>1</v>
      </c>
      <c r="S806" s="2" t="n">
        <v>2</v>
      </c>
      <c r="T806" s="2" t="n">
        <v>2</v>
      </c>
      <c r="U806" s="2" t="n">
        <v>2</v>
      </c>
      <c r="V806" s="2" t="n">
        <v>2</v>
      </c>
      <c r="W806" s="2" t="n">
        <v>3</v>
      </c>
      <c r="X806" s="2" t="n">
        <v>2</v>
      </c>
      <c r="Y806" s="2" t="n">
        <v>2</v>
      </c>
      <c r="Z806" s="2" t="n">
        <v>4</v>
      </c>
    </row>
    <row r="807" customFormat="false" ht="15" hidden="false" customHeight="true" outlineLevel="0" collapsed="false">
      <c r="A807" s="2" t="n">
        <v>29</v>
      </c>
      <c r="B807" s="2" t="s">
        <v>26</v>
      </c>
      <c r="C807" s="2" t="s">
        <v>27</v>
      </c>
      <c r="D807" s="2" t="s">
        <v>28</v>
      </c>
      <c r="E807" s="2" t="n">
        <v>10</v>
      </c>
      <c r="F807" s="2" t="n">
        <v>2</v>
      </c>
      <c r="G807" s="2" t="s">
        <v>29</v>
      </c>
      <c r="H807" s="2" t="n">
        <v>806</v>
      </c>
      <c r="I807" s="2" t="s">
        <v>30</v>
      </c>
      <c r="J807" s="2" t="n">
        <v>1</v>
      </c>
      <c r="K807" s="2" t="s">
        <v>40</v>
      </c>
      <c r="L807" s="2" t="s">
        <v>46</v>
      </c>
      <c r="M807" s="2" t="n">
        <v>128080</v>
      </c>
      <c r="N807" s="2" t="n">
        <v>1</v>
      </c>
      <c r="O807" s="2" t="n">
        <v>13</v>
      </c>
      <c r="P807" s="2" t="n">
        <v>0</v>
      </c>
      <c r="Q807" s="2" t="n">
        <v>10</v>
      </c>
      <c r="R807" s="2" t="n">
        <v>6</v>
      </c>
      <c r="S807" s="2" t="n">
        <v>10</v>
      </c>
      <c r="T807" s="2" t="n">
        <v>0</v>
      </c>
      <c r="U807" s="2" t="n">
        <v>4</v>
      </c>
      <c r="V807" s="2" t="n">
        <v>3</v>
      </c>
      <c r="W807" s="2" t="n">
        <v>3</v>
      </c>
      <c r="X807" s="2" t="n">
        <v>3</v>
      </c>
      <c r="Y807" s="2" t="n">
        <v>3</v>
      </c>
      <c r="Z807" s="2" t="n">
        <v>3</v>
      </c>
    </row>
    <row r="808" customFormat="false" ht="15" hidden="false" customHeight="true" outlineLevel="0" collapsed="false">
      <c r="A808" s="2" t="n">
        <v>30</v>
      </c>
      <c r="B808" s="2" t="s">
        <v>26</v>
      </c>
      <c r="C808" s="2" t="s">
        <v>27</v>
      </c>
      <c r="D808" s="2" t="s">
        <v>35</v>
      </c>
      <c r="E808" s="2" t="n">
        <v>1</v>
      </c>
      <c r="F808" s="2" t="n">
        <v>2</v>
      </c>
      <c r="G808" s="2" t="s">
        <v>29</v>
      </c>
      <c r="H808" s="2" t="n">
        <v>807</v>
      </c>
      <c r="I808" s="2" t="s">
        <v>39</v>
      </c>
      <c r="J808" s="2" t="n">
        <v>3</v>
      </c>
      <c r="K808" s="2" t="s">
        <v>40</v>
      </c>
      <c r="L808" s="2" t="s">
        <v>46</v>
      </c>
      <c r="M808" s="2" t="n">
        <v>102210</v>
      </c>
      <c r="N808" s="2" t="n">
        <v>0</v>
      </c>
      <c r="O808" s="2" t="n">
        <v>19</v>
      </c>
      <c r="P808" s="2" t="n">
        <v>1</v>
      </c>
      <c r="Q808" s="2" t="n">
        <v>6</v>
      </c>
      <c r="R808" s="2" t="n">
        <v>2</v>
      </c>
      <c r="S808" s="2" t="n">
        <v>5</v>
      </c>
      <c r="T808" s="2" t="n">
        <v>1</v>
      </c>
      <c r="U808" s="2" t="n">
        <v>3</v>
      </c>
      <c r="V808" s="2" t="n">
        <v>3</v>
      </c>
      <c r="W808" s="2" t="n">
        <v>3</v>
      </c>
      <c r="X808" s="2" t="n">
        <v>4</v>
      </c>
      <c r="Y808" s="2" t="n">
        <v>3</v>
      </c>
      <c r="Z808" s="2" t="n">
        <v>3</v>
      </c>
    </row>
    <row r="809" customFormat="false" ht="15" hidden="false" customHeight="true" outlineLevel="0" collapsed="false">
      <c r="A809" s="2" t="n">
        <v>55</v>
      </c>
      <c r="B809" s="2" t="s">
        <v>26</v>
      </c>
      <c r="C809" s="2" t="s">
        <v>27</v>
      </c>
      <c r="D809" s="2" t="s">
        <v>28</v>
      </c>
      <c r="E809" s="2" t="n">
        <v>20</v>
      </c>
      <c r="F809" s="2" t="n">
        <v>3</v>
      </c>
      <c r="G809" s="2" t="s">
        <v>50</v>
      </c>
      <c r="H809" s="2" t="n">
        <v>808</v>
      </c>
      <c r="I809" s="2" t="s">
        <v>39</v>
      </c>
      <c r="J809" s="2" t="n">
        <v>2</v>
      </c>
      <c r="K809" s="2" t="s">
        <v>36</v>
      </c>
      <c r="L809" s="2" t="s">
        <v>32</v>
      </c>
      <c r="M809" s="2" t="n">
        <v>47790</v>
      </c>
      <c r="N809" s="2" t="n">
        <v>0</v>
      </c>
      <c r="O809" s="2" t="n">
        <v>14</v>
      </c>
      <c r="P809" s="2" t="n">
        <v>1</v>
      </c>
      <c r="Q809" s="2" t="n">
        <v>4</v>
      </c>
      <c r="R809" s="2" t="n">
        <v>6</v>
      </c>
      <c r="S809" s="2" t="n">
        <v>3</v>
      </c>
      <c r="T809" s="2" t="n">
        <v>1</v>
      </c>
      <c r="U809" s="2" t="n">
        <v>2</v>
      </c>
      <c r="V809" s="2" t="n">
        <v>4</v>
      </c>
      <c r="W809" s="2" t="n">
        <v>3</v>
      </c>
      <c r="X809" s="2" t="n">
        <v>3</v>
      </c>
      <c r="Y809" s="2" t="n">
        <v>3</v>
      </c>
      <c r="Z809" s="2" t="n">
        <v>3</v>
      </c>
    </row>
    <row r="810" customFormat="false" ht="15" hidden="false" customHeight="true" outlineLevel="0" collapsed="false">
      <c r="A810" s="2" t="n">
        <v>33</v>
      </c>
      <c r="B810" s="2" t="s">
        <v>26</v>
      </c>
      <c r="C810" s="2" t="s">
        <v>27</v>
      </c>
      <c r="D810" s="2" t="s">
        <v>35</v>
      </c>
      <c r="E810" s="2" t="n">
        <v>7</v>
      </c>
      <c r="F810" s="2" t="n">
        <v>2</v>
      </c>
      <c r="G810" s="2" t="s">
        <v>29</v>
      </c>
      <c r="H810" s="2" t="n">
        <v>809</v>
      </c>
      <c r="I810" s="2" t="s">
        <v>39</v>
      </c>
      <c r="J810" s="2" t="n">
        <v>2</v>
      </c>
      <c r="K810" s="2" t="s">
        <v>36</v>
      </c>
      <c r="L810" s="2" t="s">
        <v>32</v>
      </c>
      <c r="M810" s="2" t="n">
        <v>37370</v>
      </c>
      <c r="N810" s="2" t="n">
        <v>8</v>
      </c>
      <c r="O810" s="2" t="n">
        <v>22</v>
      </c>
      <c r="P810" s="2" t="n">
        <v>2</v>
      </c>
      <c r="Q810" s="2" t="n">
        <v>8</v>
      </c>
      <c r="R810" s="2" t="n">
        <v>2</v>
      </c>
      <c r="S810" s="2" t="n">
        <v>5</v>
      </c>
      <c r="T810" s="2" t="n">
        <v>0</v>
      </c>
      <c r="U810" s="2" t="n">
        <v>2</v>
      </c>
      <c r="V810" s="2" t="n">
        <v>1</v>
      </c>
      <c r="W810" s="2" t="n">
        <v>2</v>
      </c>
      <c r="X810" s="2" t="n">
        <v>3</v>
      </c>
      <c r="Y810" s="2" t="n">
        <v>3</v>
      </c>
      <c r="Z810" s="2" t="n">
        <v>4</v>
      </c>
    </row>
    <row r="811" customFormat="false" ht="15" hidden="false" customHeight="true" outlineLevel="0" collapsed="false">
      <c r="A811" s="2" t="n">
        <v>47</v>
      </c>
      <c r="B811" s="2" t="s">
        <v>26</v>
      </c>
      <c r="C811" s="2" t="s">
        <v>27</v>
      </c>
      <c r="D811" s="2" t="s">
        <v>35</v>
      </c>
      <c r="E811" s="2" t="n">
        <v>8</v>
      </c>
      <c r="F811" s="2" t="n">
        <v>4</v>
      </c>
      <c r="G811" s="2" t="s">
        <v>43</v>
      </c>
      <c r="H811" s="2" t="n">
        <v>810</v>
      </c>
      <c r="I811" s="2" t="s">
        <v>30</v>
      </c>
      <c r="J811" s="2" t="n">
        <v>2</v>
      </c>
      <c r="K811" s="2" t="s">
        <v>48</v>
      </c>
      <c r="L811" s="2" t="s">
        <v>32</v>
      </c>
      <c r="M811" s="2" t="n">
        <v>23660</v>
      </c>
      <c r="N811" s="2" t="n">
        <v>3</v>
      </c>
      <c r="O811" s="2" t="n">
        <v>17</v>
      </c>
      <c r="P811" s="2" t="n">
        <v>0</v>
      </c>
      <c r="Q811" s="2" t="n">
        <v>11</v>
      </c>
      <c r="R811" s="2" t="n">
        <v>5</v>
      </c>
      <c r="S811" s="2" t="n">
        <v>5</v>
      </c>
      <c r="T811" s="2" t="n">
        <v>1</v>
      </c>
      <c r="U811" s="2" t="n">
        <v>2</v>
      </c>
      <c r="V811" s="2" t="n">
        <v>3</v>
      </c>
      <c r="W811" s="2" t="n">
        <v>3</v>
      </c>
      <c r="X811" s="2" t="n">
        <v>2</v>
      </c>
      <c r="Y811" s="2" t="n">
        <v>2</v>
      </c>
      <c r="Z811" s="2" t="n">
        <v>3</v>
      </c>
    </row>
    <row r="812" customFormat="false" ht="15" hidden="false" customHeight="true" outlineLevel="0" collapsed="false">
      <c r="A812" s="2" t="n">
        <v>28</v>
      </c>
      <c r="B812" s="2" t="s">
        <v>33</v>
      </c>
      <c r="C812" s="2" t="s">
        <v>34</v>
      </c>
      <c r="D812" s="2" t="s">
        <v>28</v>
      </c>
      <c r="E812" s="2" t="n">
        <v>1</v>
      </c>
      <c r="F812" s="2" t="n">
        <v>3</v>
      </c>
      <c r="G812" s="2" t="s">
        <v>50</v>
      </c>
      <c r="H812" s="2" t="n">
        <v>811</v>
      </c>
      <c r="I812" s="2" t="s">
        <v>39</v>
      </c>
      <c r="J812" s="2" t="n">
        <v>2</v>
      </c>
      <c r="K812" s="2" t="s">
        <v>45</v>
      </c>
      <c r="L812" s="2" t="s">
        <v>37</v>
      </c>
      <c r="M812" s="2" t="n">
        <v>17060</v>
      </c>
      <c r="N812" s="2" t="n">
        <v>7</v>
      </c>
      <c r="O812" s="2" t="n">
        <v>12</v>
      </c>
      <c r="P812" s="2" t="n">
        <v>0</v>
      </c>
      <c r="Q812" s="2" t="n">
        <v>8</v>
      </c>
      <c r="R812" s="2" t="n">
        <v>3</v>
      </c>
      <c r="S812" s="2" t="n">
        <v>0</v>
      </c>
      <c r="T812" s="2" t="n">
        <v>0</v>
      </c>
      <c r="U812" s="2" t="n">
        <v>0</v>
      </c>
      <c r="V812" s="2" t="n">
        <v>3</v>
      </c>
      <c r="W812" s="2" t="n">
        <v>1</v>
      </c>
      <c r="X812" s="2" t="n">
        <v>2</v>
      </c>
      <c r="Y812" s="2" t="n">
        <v>3</v>
      </c>
      <c r="Z812" s="2" t="n">
        <v>3</v>
      </c>
    </row>
    <row r="813" customFormat="false" ht="15" hidden="false" customHeight="true" outlineLevel="0" collapsed="false">
      <c r="A813" s="2" t="n">
        <v>28</v>
      </c>
      <c r="B813" s="2" t="s">
        <v>26</v>
      </c>
      <c r="C813" s="2" t="s">
        <v>27</v>
      </c>
      <c r="D813" s="2" t="s">
        <v>28</v>
      </c>
      <c r="E813" s="2" t="n">
        <v>8</v>
      </c>
      <c r="F813" s="2" t="n">
        <v>4</v>
      </c>
      <c r="G813" s="2" t="s">
        <v>50</v>
      </c>
      <c r="H813" s="2" t="n">
        <v>812</v>
      </c>
      <c r="I813" s="2" t="s">
        <v>39</v>
      </c>
      <c r="J813" s="2" t="n">
        <v>1</v>
      </c>
      <c r="K813" s="2" t="s">
        <v>45</v>
      </c>
      <c r="L813" s="2" t="s">
        <v>46</v>
      </c>
      <c r="M813" s="2" t="n">
        <v>163070</v>
      </c>
      <c r="N813" s="2" t="n">
        <v>1</v>
      </c>
      <c r="O813" s="2" t="n">
        <v>16</v>
      </c>
      <c r="P813" s="2" t="n">
        <v>0</v>
      </c>
      <c r="Q813" s="2" t="n">
        <v>1</v>
      </c>
      <c r="R813" s="2" t="n">
        <v>3</v>
      </c>
      <c r="S813" s="2" t="n">
        <v>1</v>
      </c>
      <c r="T813" s="2" t="n">
        <v>0</v>
      </c>
      <c r="U813" s="2" t="n">
        <v>0</v>
      </c>
      <c r="V813" s="2" t="n">
        <v>1</v>
      </c>
      <c r="W813" s="2" t="n">
        <v>3</v>
      </c>
      <c r="X813" s="2" t="n">
        <v>1</v>
      </c>
      <c r="Y813" s="2" t="n">
        <v>2</v>
      </c>
      <c r="Z813" s="2" t="n">
        <v>3</v>
      </c>
    </row>
    <row r="814" customFormat="false" ht="15" hidden="false" customHeight="true" outlineLevel="0" collapsed="false">
      <c r="A814" s="2" t="n">
        <v>28</v>
      </c>
      <c r="B814" s="2" t="s">
        <v>26</v>
      </c>
      <c r="C814" s="2" t="s">
        <v>34</v>
      </c>
      <c r="D814" s="2" t="s">
        <v>35</v>
      </c>
      <c r="E814" s="2" t="n">
        <v>9</v>
      </c>
      <c r="F814" s="2" t="n">
        <v>3</v>
      </c>
      <c r="G814" s="2" t="s">
        <v>29</v>
      </c>
      <c r="H814" s="2" t="n">
        <v>813</v>
      </c>
      <c r="I814" s="2" t="s">
        <v>30</v>
      </c>
      <c r="J814" s="2" t="n">
        <v>2</v>
      </c>
      <c r="K814" s="2" t="s">
        <v>40</v>
      </c>
      <c r="L814" s="2" t="s">
        <v>37</v>
      </c>
      <c r="M814" s="2" t="n">
        <v>59330</v>
      </c>
      <c r="N814" s="2" t="n">
        <v>0</v>
      </c>
      <c r="O814" s="2" t="n">
        <v>11</v>
      </c>
      <c r="P814" s="2" t="n">
        <v>0</v>
      </c>
      <c r="Q814" s="2" t="n">
        <v>5</v>
      </c>
      <c r="R814" s="2" t="n">
        <v>3</v>
      </c>
      <c r="S814" s="2" t="n">
        <v>4</v>
      </c>
      <c r="T814" s="2" t="n">
        <v>1</v>
      </c>
      <c r="U814" s="2" t="n">
        <v>3</v>
      </c>
      <c r="V814" s="2" t="n">
        <v>3</v>
      </c>
      <c r="W814" s="2" t="n">
        <v>1</v>
      </c>
      <c r="X814" s="2" t="n">
        <v>3</v>
      </c>
      <c r="Y814" s="2" t="n">
        <v>3</v>
      </c>
      <c r="Z814" s="2" t="n">
        <v>3</v>
      </c>
    </row>
    <row r="815" customFormat="false" ht="15" hidden="false" customHeight="true" outlineLevel="0" collapsed="false">
      <c r="A815" s="2" t="n">
        <v>49</v>
      </c>
      <c r="B815" s="2" t="s">
        <v>26</v>
      </c>
      <c r="C815" s="2" t="s">
        <v>27</v>
      </c>
      <c r="D815" s="2" t="s">
        <v>35</v>
      </c>
      <c r="E815" s="2" t="n">
        <v>5</v>
      </c>
      <c r="F815" s="2" t="n">
        <v>4</v>
      </c>
      <c r="G815" s="2" t="s">
        <v>29</v>
      </c>
      <c r="H815" s="2" t="n">
        <v>814</v>
      </c>
      <c r="I815" s="2" t="s">
        <v>30</v>
      </c>
      <c r="J815" s="2" t="n">
        <v>1</v>
      </c>
      <c r="K815" s="2" t="s">
        <v>36</v>
      </c>
      <c r="L815" s="2" t="s">
        <v>32</v>
      </c>
      <c r="M815" s="2" t="n">
        <v>34240</v>
      </c>
      <c r="N815" s="2" t="n">
        <v>4</v>
      </c>
      <c r="O815" s="2" t="n">
        <v>11</v>
      </c>
      <c r="P815" s="2" t="n">
        <v>0</v>
      </c>
      <c r="Q815" s="2" t="n">
        <v>10</v>
      </c>
      <c r="R815" s="2" t="n">
        <v>3</v>
      </c>
      <c r="S815" s="2" t="n">
        <v>3</v>
      </c>
      <c r="T815" s="2" t="n">
        <v>1</v>
      </c>
      <c r="U815" s="2" t="n">
        <v>2</v>
      </c>
      <c r="V815" s="2" t="n">
        <v>3</v>
      </c>
      <c r="W815" s="2" t="n">
        <v>1</v>
      </c>
      <c r="X815" s="2" t="n">
        <v>3</v>
      </c>
      <c r="Y815" s="2" t="n">
        <v>3</v>
      </c>
      <c r="Z815" s="2" t="n">
        <v>3</v>
      </c>
    </row>
    <row r="816" customFormat="false" ht="15" hidden="false" customHeight="true" outlineLevel="0" collapsed="false">
      <c r="A816" s="2" t="n">
        <v>29</v>
      </c>
      <c r="B816" s="2" t="s">
        <v>26</v>
      </c>
      <c r="C816" s="2" t="s">
        <v>34</v>
      </c>
      <c r="D816" s="2" t="s">
        <v>35</v>
      </c>
      <c r="E816" s="2" t="n">
        <v>8</v>
      </c>
      <c r="F816" s="2" t="n">
        <v>1</v>
      </c>
      <c r="G816" s="2" t="s">
        <v>43</v>
      </c>
      <c r="H816" s="2" t="n">
        <v>815</v>
      </c>
      <c r="I816" s="2" t="s">
        <v>39</v>
      </c>
      <c r="J816" s="2" t="n">
        <v>1</v>
      </c>
      <c r="K816" s="2" t="s">
        <v>36</v>
      </c>
      <c r="L816" s="2" t="s">
        <v>32</v>
      </c>
      <c r="M816" s="2" t="n">
        <v>40370</v>
      </c>
      <c r="N816" s="2" t="n">
        <v>0</v>
      </c>
      <c r="O816" s="2" t="n">
        <v>14</v>
      </c>
      <c r="P816" s="2" t="n">
        <v>0</v>
      </c>
      <c r="Q816" s="2" t="n">
        <v>4</v>
      </c>
      <c r="R816" s="2" t="n">
        <v>2</v>
      </c>
      <c r="S816" s="2" t="n">
        <v>3</v>
      </c>
      <c r="T816" s="2" t="n">
        <v>0</v>
      </c>
      <c r="U816" s="2" t="n">
        <v>2</v>
      </c>
      <c r="V816" s="2" t="n">
        <v>4</v>
      </c>
      <c r="W816" s="2" t="n">
        <v>2</v>
      </c>
      <c r="X816" s="2" t="n">
        <v>3</v>
      </c>
      <c r="Y816" s="2" t="n">
        <v>1</v>
      </c>
      <c r="Z816" s="2" t="n">
        <v>3</v>
      </c>
    </row>
    <row r="817" customFormat="false" ht="15" hidden="false" customHeight="true" outlineLevel="0" collapsed="false">
      <c r="A817" s="2" t="n">
        <v>28</v>
      </c>
      <c r="B817" s="2" t="s">
        <v>26</v>
      </c>
      <c r="C817" s="2" t="s">
        <v>27</v>
      </c>
      <c r="D817" s="2" t="s">
        <v>35</v>
      </c>
      <c r="E817" s="2" t="n">
        <v>5</v>
      </c>
      <c r="F817" s="2" t="n">
        <v>1</v>
      </c>
      <c r="G817" s="2" t="s">
        <v>51</v>
      </c>
      <c r="H817" s="2" t="n">
        <v>816</v>
      </c>
      <c r="I817" s="2" t="s">
        <v>39</v>
      </c>
      <c r="J817" s="2" t="n">
        <v>2</v>
      </c>
      <c r="K817" s="2" t="s">
        <v>45</v>
      </c>
      <c r="L817" s="2" t="s">
        <v>32</v>
      </c>
      <c r="M817" s="2" t="n">
        <v>25590</v>
      </c>
      <c r="N817" s="2" t="n">
        <v>1</v>
      </c>
      <c r="O817" s="2" t="n">
        <v>11</v>
      </c>
      <c r="P817" s="2" t="n">
        <v>0</v>
      </c>
      <c r="Q817" s="2" t="n">
        <v>8</v>
      </c>
      <c r="R817" s="2" t="n">
        <v>3</v>
      </c>
      <c r="S817" s="2" t="n">
        <v>8</v>
      </c>
      <c r="T817" s="2" t="n">
        <v>1</v>
      </c>
      <c r="U817" s="2" t="n">
        <v>7</v>
      </c>
      <c r="V817" s="2" t="n">
        <v>3</v>
      </c>
      <c r="W817" s="2" t="n">
        <v>2</v>
      </c>
      <c r="X817" s="2" t="n">
        <v>2</v>
      </c>
      <c r="Y817" s="2" t="n">
        <v>2</v>
      </c>
      <c r="Z817" s="2" t="n">
        <v>3</v>
      </c>
    </row>
    <row r="818" customFormat="false" ht="15" hidden="false" customHeight="true" outlineLevel="0" collapsed="false">
      <c r="A818" s="2" t="n">
        <v>33</v>
      </c>
      <c r="B818" s="2" t="s">
        <v>26</v>
      </c>
      <c r="C818" s="2" t="s">
        <v>27</v>
      </c>
      <c r="D818" s="2" t="s">
        <v>35</v>
      </c>
      <c r="E818" s="2" t="n">
        <v>15</v>
      </c>
      <c r="F818" s="2" t="n">
        <v>4</v>
      </c>
      <c r="G818" s="2" t="s">
        <v>29</v>
      </c>
      <c r="H818" s="2" t="n">
        <v>817</v>
      </c>
      <c r="I818" s="2" t="s">
        <v>30</v>
      </c>
      <c r="J818" s="2" t="n">
        <v>1</v>
      </c>
      <c r="K818" s="2" t="s">
        <v>40</v>
      </c>
      <c r="L818" s="2" t="s">
        <v>37</v>
      </c>
      <c r="M818" s="2" t="n">
        <v>62010</v>
      </c>
      <c r="N818" s="2" t="n">
        <v>2</v>
      </c>
      <c r="O818" s="2" t="n">
        <v>15</v>
      </c>
      <c r="P818" s="2" t="n">
        <v>3</v>
      </c>
      <c r="Q818" s="2" t="n">
        <v>14</v>
      </c>
      <c r="R818" s="2" t="n">
        <v>2</v>
      </c>
      <c r="S818" s="2" t="n">
        <v>0</v>
      </c>
      <c r="T818" s="2" t="n">
        <v>0</v>
      </c>
      <c r="U818" s="2" t="n">
        <v>0</v>
      </c>
      <c r="V818" s="2" t="n">
        <v>4</v>
      </c>
      <c r="W818" s="2" t="n">
        <v>3</v>
      </c>
      <c r="X818" s="2" t="n">
        <v>3</v>
      </c>
      <c r="Y818" s="2" t="n">
        <v>2</v>
      </c>
      <c r="Z818" s="2" t="n">
        <v>3</v>
      </c>
    </row>
    <row r="819" customFormat="false" ht="15" hidden="false" customHeight="true" outlineLevel="0" collapsed="false">
      <c r="A819" s="2" t="n">
        <v>32</v>
      </c>
      <c r="B819" s="2" t="s">
        <v>26</v>
      </c>
      <c r="C819" s="2" t="s">
        <v>27</v>
      </c>
      <c r="D819" s="2" t="s">
        <v>35</v>
      </c>
      <c r="E819" s="2" t="n">
        <v>7</v>
      </c>
      <c r="F819" s="2" t="n">
        <v>3</v>
      </c>
      <c r="G819" s="2" t="s">
        <v>29</v>
      </c>
      <c r="H819" s="2" t="n">
        <v>818</v>
      </c>
      <c r="I819" s="2" t="s">
        <v>30</v>
      </c>
      <c r="J819" s="2" t="n">
        <v>3</v>
      </c>
      <c r="K819" s="2" t="s">
        <v>45</v>
      </c>
      <c r="L819" s="2" t="s">
        <v>37</v>
      </c>
      <c r="M819" s="2" t="n">
        <v>44030</v>
      </c>
      <c r="N819" s="2" t="n">
        <v>2</v>
      </c>
      <c r="O819" s="2" t="n">
        <v>20</v>
      </c>
      <c r="P819" s="2" t="n">
        <v>0</v>
      </c>
      <c r="Q819" s="2" t="n">
        <v>10</v>
      </c>
      <c r="R819" s="2" t="n">
        <v>3</v>
      </c>
      <c r="S819" s="2" t="n">
        <v>5</v>
      </c>
      <c r="T819" s="2" t="n">
        <v>0</v>
      </c>
      <c r="U819" s="2" t="n">
        <v>0</v>
      </c>
      <c r="V819" s="2" t="n">
        <v>3</v>
      </c>
      <c r="W819" s="2" t="n">
        <v>4</v>
      </c>
      <c r="X819" s="2" t="n">
        <v>4</v>
      </c>
      <c r="Y819" s="2" t="n">
        <v>2</v>
      </c>
      <c r="Z819" s="2" t="n">
        <v>4</v>
      </c>
    </row>
    <row r="820" customFormat="false" ht="15" hidden="false" customHeight="true" outlineLevel="0" collapsed="false">
      <c r="A820" s="2" t="n">
        <v>54</v>
      </c>
      <c r="B820" s="2" t="s">
        <v>26</v>
      </c>
      <c r="C820" s="2" t="s">
        <v>34</v>
      </c>
      <c r="D820" s="2" t="s">
        <v>28</v>
      </c>
      <c r="E820" s="2" t="n">
        <v>10</v>
      </c>
      <c r="F820" s="2" t="n">
        <v>3</v>
      </c>
      <c r="G820" s="2" t="s">
        <v>29</v>
      </c>
      <c r="H820" s="2" t="n">
        <v>819</v>
      </c>
      <c r="I820" s="2" t="s">
        <v>30</v>
      </c>
      <c r="J820" s="2" t="n">
        <v>4</v>
      </c>
      <c r="K820" s="2" t="s">
        <v>36</v>
      </c>
      <c r="L820" s="2" t="s">
        <v>46</v>
      </c>
      <c r="M820" s="2" t="n">
        <v>37610</v>
      </c>
      <c r="N820" s="2" t="n">
        <v>3</v>
      </c>
      <c r="O820" s="2" t="n">
        <v>12</v>
      </c>
      <c r="P820" s="2" t="n">
        <v>0</v>
      </c>
      <c r="Q820" s="2" t="n">
        <v>26</v>
      </c>
      <c r="R820" s="2" t="n">
        <v>3</v>
      </c>
      <c r="S820" s="2" t="n">
        <v>14</v>
      </c>
      <c r="T820" s="2" t="n">
        <v>1</v>
      </c>
      <c r="U820" s="2" t="n">
        <v>12</v>
      </c>
      <c r="V820" s="2" t="n">
        <v>2</v>
      </c>
      <c r="W820" s="2" t="n">
        <v>4</v>
      </c>
      <c r="X820" s="2" t="n">
        <v>3</v>
      </c>
      <c r="Y820" s="2" t="n">
        <v>2</v>
      </c>
      <c r="Z820" s="2" t="n">
        <v>3</v>
      </c>
    </row>
    <row r="821" customFormat="false" ht="15" hidden="false" customHeight="true" outlineLevel="0" collapsed="false">
      <c r="A821" s="2" t="n">
        <v>29</v>
      </c>
      <c r="B821" s="2" t="s">
        <v>33</v>
      </c>
      <c r="C821" s="2" t="s">
        <v>27</v>
      </c>
      <c r="D821" s="2" t="s">
        <v>35</v>
      </c>
      <c r="E821" s="2" t="n">
        <v>5</v>
      </c>
      <c r="F821" s="2" t="n">
        <v>3</v>
      </c>
      <c r="G821" s="2" t="s">
        <v>29</v>
      </c>
      <c r="H821" s="2" t="n">
        <v>820</v>
      </c>
      <c r="I821" s="2" t="s">
        <v>30</v>
      </c>
      <c r="J821" s="2" t="n">
        <v>2</v>
      </c>
      <c r="K821" s="2" t="s">
        <v>36</v>
      </c>
      <c r="L821" s="2" t="s">
        <v>37</v>
      </c>
      <c r="M821" s="2" t="n">
        <v>109340</v>
      </c>
      <c r="N821" s="2" t="n">
        <v>6</v>
      </c>
      <c r="O821" s="2" t="n">
        <v>17</v>
      </c>
      <c r="P821" s="2" t="n">
        <v>2</v>
      </c>
      <c r="Q821" s="2" t="n">
        <v>11</v>
      </c>
      <c r="R821" s="2" t="n">
        <v>2</v>
      </c>
      <c r="S821" s="2" t="n">
        <v>9</v>
      </c>
      <c r="T821" s="2" t="n">
        <v>0</v>
      </c>
      <c r="U821" s="2" t="n">
        <v>7</v>
      </c>
      <c r="V821" s="2" t="n">
        <v>1</v>
      </c>
      <c r="W821" s="2" t="n">
        <v>1</v>
      </c>
      <c r="X821" s="2" t="n">
        <v>1</v>
      </c>
      <c r="Y821" s="2" t="n">
        <v>3</v>
      </c>
      <c r="Z821" s="2" t="n">
        <v>3</v>
      </c>
    </row>
    <row r="822" customFormat="false" ht="15" hidden="false" customHeight="true" outlineLevel="0" collapsed="false">
      <c r="A822" s="2" t="n">
        <v>44</v>
      </c>
      <c r="B822" s="2" t="s">
        <v>26</v>
      </c>
      <c r="C822" s="2" t="s">
        <v>27</v>
      </c>
      <c r="D822" s="2" t="s">
        <v>28</v>
      </c>
      <c r="E822" s="2" t="n">
        <v>26</v>
      </c>
      <c r="F822" s="2" t="n">
        <v>1</v>
      </c>
      <c r="G822" s="2" t="s">
        <v>50</v>
      </c>
      <c r="H822" s="2" t="n">
        <v>821</v>
      </c>
      <c r="I822" s="2" t="s">
        <v>39</v>
      </c>
      <c r="J822" s="2" t="n">
        <v>1</v>
      </c>
      <c r="K822" s="2" t="s">
        <v>48</v>
      </c>
      <c r="L822" s="2" t="s">
        <v>32</v>
      </c>
      <c r="M822" s="2" t="n">
        <v>107610</v>
      </c>
      <c r="N822" s="2" t="n">
        <v>3</v>
      </c>
      <c r="O822" s="2" t="n">
        <v>11</v>
      </c>
      <c r="P822" s="2" t="n">
        <v>1</v>
      </c>
      <c r="Q822" s="2" t="n">
        <v>24</v>
      </c>
      <c r="R822" s="2" t="n">
        <v>5</v>
      </c>
      <c r="S822" s="2" t="n">
        <v>20</v>
      </c>
      <c r="T822" s="2" t="n">
        <v>14</v>
      </c>
      <c r="U822" s="2" t="n">
        <v>17</v>
      </c>
      <c r="V822" s="2" t="n">
        <v>4</v>
      </c>
      <c r="W822" s="2" t="n">
        <v>1</v>
      </c>
      <c r="X822" s="2" t="n">
        <v>4</v>
      </c>
      <c r="Y822" s="2" t="n">
        <v>2</v>
      </c>
      <c r="Z822" s="2" t="n">
        <v>3</v>
      </c>
    </row>
    <row r="823" customFormat="false" ht="15" hidden="false" customHeight="true" outlineLevel="0" collapsed="false">
      <c r="A823" s="2" t="n">
        <v>39</v>
      </c>
      <c r="B823" s="2" t="s">
        <v>26</v>
      </c>
      <c r="C823" s="2" t="s">
        <v>27</v>
      </c>
      <c r="D823" s="2" t="s">
        <v>28</v>
      </c>
      <c r="E823" s="2" t="n">
        <v>6</v>
      </c>
      <c r="F823" s="2" t="n">
        <v>1</v>
      </c>
      <c r="G823" s="2" t="s">
        <v>51</v>
      </c>
      <c r="H823" s="2" t="n">
        <v>822</v>
      </c>
      <c r="I823" s="2" t="s">
        <v>30</v>
      </c>
      <c r="J823" s="2" t="n">
        <v>2</v>
      </c>
      <c r="K823" s="2" t="s">
        <v>45</v>
      </c>
      <c r="L823" s="2" t="s">
        <v>37</v>
      </c>
      <c r="M823" s="2" t="n">
        <v>51750</v>
      </c>
      <c r="N823" s="2" t="n">
        <v>4</v>
      </c>
      <c r="O823" s="2" t="n">
        <v>17</v>
      </c>
      <c r="P823" s="2" t="n">
        <v>1</v>
      </c>
      <c r="Q823" s="2" t="n">
        <v>9</v>
      </c>
      <c r="R823" s="2" t="n">
        <v>2</v>
      </c>
      <c r="S823" s="2" t="n">
        <v>2</v>
      </c>
      <c r="T823" s="2" t="n">
        <v>2</v>
      </c>
      <c r="U823" s="2" t="n">
        <v>2</v>
      </c>
      <c r="V823" s="2" t="n">
        <v>2</v>
      </c>
      <c r="W823" s="2" t="n">
        <v>2</v>
      </c>
      <c r="X823" s="2" t="n">
        <v>3</v>
      </c>
      <c r="Y823" s="2" t="n">
        <v>4</v>
      </c>
      <c r="Z823" s="2" t="n">
        <v>3</v>
      </c>
    </row>
    <row r="824" customFormat="false" ht="15" hidden="false" customHeight="true" outlineLevel="0" collapsed="false">
      <c r="A824" s="2" t="n">
        <v>46</v>
      </c>
      <c r="B824" s="2" t="s">
        <v>26</v>
      </c>
      <c r="C824" s="2" t="s">
        <v>27</v>
      </c>
      <c r="D824" s="2" t="s">
        <v>35</v>
      </c>
      <c r="E824" s="2" t="n">
        <v>4</v>
      </c>
      <c r="F824" s="2" t="n">
        <v>2</v>
      </c>
      <c r="G824" s="2" t="s">
        <v>29</v>
      </c>
      <c r="H824" s="2" t="n">
        <v>823</v>
      </c>
      <c r="I824" s="2" t="s">
        <v>39</v>
      </c>
      <c r="J824" s="2" t="n">
        <v>3</v>
      </c>
      <c r="K824" s="2" t="s">
        <v>47</v>
      </c>
      <c r="L824" s="2" t="s">
        <v>32</v>
      </c>
      <c r="M824" s="2" t="n">
        <v>138260</v>
      </c>
      <c r="N824" s="2" t="n">
        <v>8</v>
      </c>
      <c r="O824" s="2" t="n">
        <v>11</v>
      </c>
      <c r="P824" s="2" t="n">
        <v>0</v>
      </c>
      <c r="Q824" s="2" t="n">
        <v>23</v>
      </c>
      <c r="R824" s="2" t="n">
        <v>1</v>
      </c>
      <c r="S824" s="2" t="n">
        <v>13</v>
      </c>
      <c r="T824" s="2" t="n">
        <v>5</v>
      </c>
      <c r="U824" s="2" t="n">
        <v>1</v>
      </c>
      <c r="V824" s="2" t="n">
        <v>3</v>
      </c>
      <c r="W824" s="2" t="n">
        <v>2</v>
      </c>
      <c r="X824" s="2" t="n">
        <v>4</v>
      </c>
      <c r="Y824" s="2" t="n">
        <v>2</v>
      </c>
      <c r="Z824" s="2" t="n">
        <v>3</v>
      </c>
    </row>
    <row r="825" customFormat="false" ht="15" hidden="false" customHeight="true" outlineLevel="0" collapsed="false">
      <c r="A825" s="2" t="n">
        <v>35</v>
      </c>
      <c r="B825" s="2" t="s">
        <v>26</v>
      </c>
      <c r="C825" s="2" t="s">
        <v>27</v>
      </c>
      <c r="D825" s="2" t="s">
        <v>35</v>
      </c>
      <c r="E825" s="2" t="n">
        <v>23</v>
      </c>
      <c r="F825" s="2" t="n">
        <v>4</v>
      </c>
      <c r="G825" s="2" t="s">
        <v>29</v>
      </c>
      <c r="H825" s="2" t="n">
        <v>824</v>
      </c>
      <c r="I825" s="2" t="s">
        <v>39</v>
      </c>
      <c r="J825" s="2" t="n">
        <v>2</v>
      </c>
      <c r="K825" s="2" t="s">
        <v>36</v>
      </c>
      <c r="L825" s="2" t="s">
        <v>37</v>
      </c>
      <c r="M825" s="2" t="n">
        <v>63340</v>
      </c>
      <c r="N825" s="2" t="n">
        <v>1</v>
      </c>
      <c r="O825" s="2" t="n">
        <v>14</v>
      </c>
      <c r="P825" s="2" t="n">
        <v>0</v>
      </c>
      <c r="Q825" s="2" t="n">
        <v>11</v>
      </c>
      <c r="R825" s="2" t="n">
        <v>2</v>
      </c>
      <c r="S825" s="2" t="n">
        <v>11</v>
      </c>
      <c r="T825" s="2" t="n">
        <v>3</v>
      </c>
      <c r="U825" s="2" t="n">
        <v>3</v>
      </c>
      <c r="V825" s="2" t="n">
        <v>4</v>
      </c>
      <c r="W825" s="2" t="n">
        <v>2</v>
      </c>
      <c r="X825" s="2" t="n">
        <v>1</v>
      </c>
      <c r="Y825" s="2" t="n">
        <v>4</v>
      </c>
      <c r="Z825" s="2" t="n">
        <v>3</v>
      </c>
    </row>
    <row r="826" customFormat="false" ht="15" hidden="false" customHeight="true" outlineLevel="0" collapsed="false">
      <c r="A826" s="2" t="n">
        <v>23</v>
      </c>
      <c r="B826" s="2" t="s">
        <v>26</v>
      </c>
      <c r="C826" s="2" t="s">
        <v>27</v>
      </c>
      <c r="D826" s="2" t="s">
        <v>35</v>
      </c>
      <c r="E826" s="2" t="n">
        <v>2</v>
      </c>
      <c r="F826" s="2" t="n">
        <v>4</v>
      </c>
      <c r="G826" s="2" t="s">
        <v>43</v>
      </c>
      <c r="H826" s="2" t="n">
        <v>825</v>
      </c>
      <c r="I826" s="2" t="s">
        <v>30</v>
      </c>
      <c r="J826" s="2" t="n">
        <v>2</v>
      </c>
      <c r="K826" s="2" t="s">
        <v>49</v>
      </c>
      <c r="L826" s="2" t="s">
        <v>37</v>
      </c>
      <c r="M826" s="2" t="n">
        <v>49360</v>
      </c>
      <c r="N826" s="2" t="n">
        <v>0</v>
      </c>
      <c r="O826" s="2" t="n">
        <v>19</v>
      </c>
      <c r="P826" s="2" t="n">
        <v>1</v>
      </c>
      <c r="Q826" s="2" t="n">
        <v>5</v>
      </c>
      <c r="R826" s="2" t="n">
        <v>2</v>
      </c>
      <c r="S826" s="2" t="n">
        <v>4</v>
      </c>
      <c r="T826" s="2" t="n">
        <v>1</v>
      </c>
      <c r="U826" s="2" t="n">
        <v>2</v>
      </c>
      <c r="V826" s="2" t="n">
        <v>1</v>
      </c>
      <c r="W826" s="2" t="n">
        <v>3</v>
      </c>
      <c r="X826" s="2" t="n">
        <v>3</v>
      </c>
      <c r="Y826" s="2" t="n">
        <v>2</v>
      </c>
      <c r="Z826" s="2" t="n">
        <v>3</v>
      </c>
    </row>
    <row r="827" customFormat="false" ht="15" hidden="false" customHeight="true" outlineLevel="0" collapsed="false">
      <c r="A827" s="2" t="n">
        <v>40</v>
      </c>
      <c r="B827" s="2" t="s">
        <v>33</v>
      </c>
      <c r="C827" s="2" t="s">
        <v>27</v>
      </c>
      <c r="D827" s="2" t="s">
        <v>35</v>
      </c>
      <c r="E827" s="2" t="n">
        <v>2</v>
      </c>
      <c r="F827" s="2" t="n">
        <v>3</v>
      </c>
      <c r="G827" s="2" t="s">
        <v>43</v>
      </c>
      <c r="H827" s="2" t="n">
        <v>826</v>
      </c>
      <c r="I827" s="2" t="s">
        <v>39</v>
      </c>
      <c r="J827" s="2" t="n">
        <v>2</v>
      </c>
      <c r="K827" s="2" t="s">
        <v>44</v>
      </c>
      <c r="L827" s="2" t="s">
        <v>37</v>
      </c>
      <c r="M827" s="2" t="n">
        <v>47750</v>
      </c>
      <c r="N827" s="2" t="n">
        <v>3</v>
      </c>
      <c r="O827" s="2" t="n">
        <v>15</v>
      </c>
      <c r="P827" s="2" t="n">
        <v>1</v>
      </c>
      <c r="Q827" s="2" t="n">
        <v>15</v>
      </c>
      <c r="R827" s="2" t="n">
        <v>3</v>
      </c>
      <c r="S827" s="2" t="n">
        <v>5</v>
      </c>
      <c r="T827" s="2" t="n">
        <v>1</v>
      </c>
      <c r="U827" s="2" t="n">
        <v>0</v>
      </c>
      <c r="V827" s="2" t="n">
        <v>4</v>
      </c>
      <c r="W827" s="2" t="n">
        <v>1</v>
      </c>
      <c r="X827" s="2" t="n">
        <v>1</v>
      </c>
      <c r="Y827" s="2" t="n">
        <v>4</v>
      </c>
      <c r="Z827" s="2" t="n">
        <v>3</v>
      </c>
    </row>
    <row r="828" customFormat="false" ht="15" hidden="false" customHeight="true" outlineLevel="0" collapsed="false">
      <c r="A828" s="2" t="n">
        <v>34</v>
      </c>
      <c r="B828" s="2" t="s">
        <v>26</v>
      </c>
      <c r="C828" s="2" t="s">
        <v>27</v>
      </c>
      <c r="D828" s="2" t="s">
        <v>42</v>
      </c>
      <c r="E828" s="2" t="n">
        <v>2</v>
      </c>
      <c r="F828" s="2" t="n">
        <v>3</v>
      </c>
      <c r="G828" s="2" t="s">
        <v>42</v>
      </c>
      <c r="H828" s="2" t="n">
        <v>827</v>
      </c>
      <c r="I828" s="2" t="s">
        <v>39</v>
      </c>
      <c r="J828" s="2" t="n">
        <v>2</v>
      </c>
      <c r="K828" s="2" t="s">
        <v>47</v>
      </c>
      <c r="L828" s="2" t="s">
        <v>32</v>
      </c>
      <c r="M828" s="2" t="n">
        <v>28180</v>
      </c>
      <c r="N828" s="2" t="n">
        <v>1</v>
      </c>
      <c r="O828" s="2" t="n">
        <v>13</v>
      </c>
      <c r="P828" s="2" t="n">
        <v>1</v>
      </c>
      <c r="Q828" s="2" t="n">
        <v>10</v>
      </c>
      <c r="R828" s="2" t="n">
        <v>2</v>
      </c>
      <c r="S828" s="2" t="n">
        <v>10</v>
      </c>
      <c r="T828" s="2" t="n">
        <v>8</v>
      </c>
      <c r="U828" s="2" t="n">
        <v>6</v>
      </c>
      <c r="V828" s="2" t="n">
        <v>4</v>
      </c>
      <c r="W828" s="2" t="n">
        <v>3</v>
      </c>
      <c r="X828" s="2" t="n">
        <v>3</v>
      </c>
      <c r="Y828" s="2" t="n">
        <v>3</v>
      </c>
      <c r="Z828" s="2" t="n">
        <v>3</v>
      </c>
    </row>
    <row r="829" customFormat="false" ht="15" hidden="false" customHeight="true" outlineLevel="0" collapsed="false">
      <c r="A829" s="2" t="n">
        <v>31</v>
      </c>
      <c r="B829" s="2" t="s">
        <v>33</v>
      </c>
      <c r="C829" s="2" t="s">
        <v>34</v>
      </c>
      <c r="D829" s="2" t="s">
        <v>35</v>
      </c>
      <c r="E829" s="2" t="n">
        <v>29</v>
      </c>
      <c r="F829" s="2" t="n">
        <v>3</v>
      </c>
      <c r="G829" s="2" t="s">
        <v>29</v>
      </c>
      <c r="H829" s="2" t="n">
        <v>828</v>
      </c>
      <c r="I829" s="2" t="s">
        <v>30</v>
      </c>
      <c r="J829" s="2" t="n">
        <v>2</v>
      </c>
      <c r="K829" s="2" t="s">
        <v>31</v>
      </c>
      <c r="L829" s="2" t="s">
        <v>37</v>
      </c>
      <c r="M829" s="2" t="n">
        <v>25150</v>
      </c>
      <c r="N829" s="2" t="n">
        <v>1</v>
      </c>
      <c r="O829" s="2" t="n">
        <v>14</v>
      </c>
      <c r="P829" s="2" t="n">
        <v>0</v>
      </c>
      <c r="Q829" s="2" t="n">
        <v>7</v>
      </c>
      <c r="R829" s="2" t="n">
        <v>3</v>
      </c>
      <c r="S829" s="2" t="n">
        <v>7</v>
      </c>
      <c r="T829" s="2" t="n">
        <v>7</v>
      </c>
      <c r="U829" s="2" t="n">
        <v>7</v>
      </c>
      <c r="V829" s="2" t="n">
        <v>4</v>
      </c>
      <c r="W829" s="2" t="n">
        <v>3</v>
      </c>
      <c r="X829" s="2" t="n">
        <v>1</v>
      </c>
      <c r="Y829" s="2" t="n">
        <v>2</v>
      </c>
      <c r="Z829" s="2" t="n">
        <v>3</v>
      </c>
    </row>
    <row r="830" customFormat="false" ht="15" hidden="false" customHeight="true" outlineLevel="0" collapsed="false">
      <c r="A830" s="2" t="n">
        <v>50</v>
      </c>
      <c r="B830" s="2" t="s">
        <v>26</v>
      </c>
      <c r="C830" s="2" t="s">
        <v>34</v>
      </c>
      <c r="D830" s="2" t="s">
        <v>35</v>
      </c>
      <c r="E830" s="2" t="n">
        <v>6</v>
      </c>
      <c r="F830" s="2" t="n">
        <v>3</v>
      </c>
      <c r="G830" s="2" t="s">
        <v>43</v>
      </c>
      <c r="H830" s="2" t="n">
        <v>829</v>
      </c>
      <c r="I830" s="2" t="s">
        <v>39</v>
      </c>
      <c r="J830" s="2" t="n">
        <v>1</v>
      </c>
      <c r="K830" s="2" t="s">
        <v>49</v>
      </c>
      <c r="L830" s="2" t="s">
        <v>37</v>
      </c>
      <c r="M830" s="2" t="n">
        <v>23420</v>
      </c>
      <c r="N830" s="2" t="n">
        <v>1</v>
      </c>
      <c r="O830" s="2" t="n">
        <v>12</v>
      </c>
      <c r="P830" s="2" t="n">
        <v>1</v>
      </c>
      <c r="Q830" s="2" t="n">
        <v>32</v>
      </c>
      <c r="R830" s="2" t="n">
        <v>2</v>
      </c>
      <c r="S830" s="2" t="n">
        <v>32</v>
      </c>
      <c r="T830" s="2" t="n">
        <v>13</v>
      </c>
      <c r="U830" s="2" t="n">
        <v>9</v>
      </c>
      <c r="V830" s="2" t="n">
        <v>3</v>
      </c>
      <c r="W830" s="2" t="n">
        <v>4</v>
      </c>
      <c r="X830" s="2" t="n">
        <v>3</v>
      </c>
      <c r="Y830" s="2" t="n">
        <v>2</v>
      </c>
      <c r="Z830" s="2" t="n">
        <v>3</v>
      </c>
    </row>
    <row r="831" customFormat="false" ht="15" hidden="false" customHeight="true" outlineLevel="0" collapsed="false">
      <c r="A831" s="2" t="n">
        <v>34</v>
      </c>
      <c r="B831" s="2" t="s">
        <v>26</v>
      </c>
      <c r="C831" s="2" t="s">
        <v>27</v>
      </c>
      <c r="D831" s="2" t="s">
        <v>28</v>
      </c>
      <c r="E831" s="2" t="n">
        <v>25</v>
      </c>
      <c r="F831" s="2" t="n">
        <v>5</v>
      </c>
      <c r="G831" s="2" t="s">
        <v>50</v>
      </c>
      <c r="H831" s="2" t="n">
        <v>830</v>
      </c>
      <c r="I831" s="2" t="s">
        <v>30</v>
      </c>
      <c r="J831" s="2" t="n">
        <v>1</v>
      </c>
      <c r="K831" s="2" t="s">
        <v>36</v>
      </c>
      <c r="L831" s="2" t="s">
        <v>32</v>
      </c>
      <c r="M831" s="2" t="n">
        <v>41940</v>
      </c>
      <c r="N831" s="2" t="n">
        <v>0</v>
      </c>
      <c r="O831" s="2" t="n">
        <v>17</v>
      </c>
      <c r="P831" s="2" t="n">
        <v>2</v>
      </c>
      <c r="Q831" s="2" t="n">
        <v>12</v>
      </c>
      <c r="R831" s="2" t="n">
        <v>3</v>
      </c>
      <c r="S831" s="2" t="n">
        <v>11</v>
      </c>
      <c r="T831" s="2" t="n">
        <v>5</v>
      </c>
      <c r="U831" s="2" t="n">
        <v>7</v>
      </c>
      <c r="V831" s="2" t="n">
        <v>2</v>
      </c>
      <c r="W831" s="2" t="n">
        <v>3</v>
      </c>
      <c r="X831" s="2" t="n">
        <v>3</v>
      </c>
      <c r="Y831" s="2" t="n">
        <v>3</v>
      </c>
      <c r="Z831" s="2" t="n">
        <v>3</v>
      </c>
    </row>
    <row r="832" customFormat="false" ht="15" hidden="false" customHeight="true" outlineLevel="0" collapsed="false">
      <c r="A832" s="2" t="n">
        <v>42</v>
      </c>
      <c r="B832" s="2" t="s">
        <v>26</v>
      </c>
      <c r="C832" s="2" t="s">
        <v>27</v>
      </c>
      <c r="D832" s="2" t="s">
        <v>35</v>
      </c>
      <c r="E832" s="2" t="n">
        <v>1</v>
      </c>
      <c r="F832" s="2" t="n">
        <v>3</v>
      </c>
      <c r="G832" s="2" t="s">
        <v>29</v>
      </c>
      <c r="H832" s="2" t="n">
        <v>831</v>
      </c>
      <c r="I832" s="2" t="s">
        <v>30</v>
      </c>
      <c r="J832" s="2" t="n">
        <v>1</v>
      </c>
      <c r="K832" s="2" t="s">
        <v>47</v>
      </c>
      <c r="L832" s="2" t="s">
        <v>32</v>
      </c>
      <c r="M832" s="2" t="n">
        <v>106850</v>
      </c>
      <c r="N832" s="2" t="n">
        <v>4</v>
      </c>
      <c r="O832" s="2" t="n">
        <v>11</v>
      </c>
      <c r="P832" s="2" t="n">
        <v>3</v>
      </c>
      <c r="Q832" s="2" t="n">
        <v>4</v>
      </c>
      <c r="R832" s="2" t="n">
        <v>2</v>
      </c>
      <c r="S832" s="2" t="n">
        <v>1</v>
      </c>
      <c r="T832" s="2" t="n">
        <v>0</v>
      </c>
      <c r="U832" s="2" t="n">
        <v>0</v>
      </c>
      <c r="V832" s="2" t="n">
        <v>3</v>
      </c>
      <c r="W832" s="2" t="n">
        <v>2</v>
      </c>
      <c r="X832" s="2" t="n">
        <v>3</v>
      </c>
      <c r="Y832" s="2" t="n">
        <v>3</v>
      </c>
      <c r="Z832" s="2" t="n">
        <v>3</v>
      </c>
    </row>
    <row r="833" customFormat="false" ht="15" hidden="false" customHeight="true" outlineLevel="0" collapsed="false">
      <c r="A833" s="2" t="n">
        <v>37</v>
      </c>
      <c r="B833" s="2" t="s">
        <v>26</v>
      </c>
      <c r="C833" s="2" t="s">
        <v>27</v>
      </c>
      <c r="D833" s="2" t="s">
        <v>35</v>
      </c>
      <c r="E833" s="2" t="n">
        <v>2</v>
      </c>
      <c r="F833" s="2" t="n">
        <v>2</v>
      </c>
      <c r="G833" s="2" t="s">
        <v>43</v>
      </c>
      <c r="H833" s="2" t="n">
        <v>832</v>
      </c>
      <c r="I833" s="2" t="s">
        <v>39</v>
      </c>
      <c r="J833" s="2" t="n">
        <v>1</v>
      </c>
      <c r="K833" s="2" t="s">
        <v>36</v>
      </c>
      <c r="L833" s="2" t="s">
        <v>32</v>
      </c>
      <c r="M833" s="2" t="n">
        <v>20220</v>
      </c>
      <c r="N833" s="2" t="n">
        <v>1</v>
      </c>
      <c r="O833" s="2" t="n">
        <v>12</v>
      </c>
      <c r="P833" s="2" t="n">
        <v>0</v>
      </c>
      <c r="Q833" s="2" t="n">
        <v>10</v>
      </c>
      <c r="R833" s="2" t="n">
        <v>1</v>
      </c>
      <c r="S833" s="2" t="n">
        <v>10</v>
      </c>
      <c r="T833" s="2" t="n">
        <v>3</v>
      </c>
      <c r="U833" s="2" t="n">
        <v>7</v>
      </c>
      <c r="V833" s="2" t="n">
        <v>1</v>
      </c>
      <c r="W833" s="2" t="n">
        <v>4</v>
      </c>
      <c r="X833" s="2" t="n">
        <v>3</v>
      </c>
      <c r="Y833" s="2" t="n">
        <v>3</v>
      </c>
      <c r="Z833" s="2" t="n">
        <v>3</v>
      </c>
    </row>
    <row r="834" customFormat="false" ht="15" hidden="false" customHeight="true" outlineLevel="0" collapsed="false">
      <c r="A834" s="2" t="n">
        <v>29</v>
      </c>
      <c r="B834" s="2" t="s">
        <v>26</v>
      </c>
      <c r="C834" s="2" t="s">
        <v>27</v>
      </c>
      <c r="D834" s="2" t="s">
        <v>35</v>
      </c>
      <c r="E834" s="2" t="n">
        <v>1</v>
      </c>
      <c r="F834" s="2" t="n">
        <v>3</v>
      </c>
      <c r="G834" s="2" t="s">
        <v>43</v>
      </c>
      <c r="H834" s="2" t="n">
        <v>833</v>
      </c>
      <c r="I834" s="2" t="s">
        <v>30</v>
      </c>
      <c r="J834" s="2" t="n">
        <v>1</v>
      </c>
      <c r="K834" s="2" t="s">
        <v>49</v>
      </c>
      <c r="L834" s="2" t="s">
        <v>32</v>
      </c>
      <c r="M834" s="2" t="n">
        <v>23140</v>
      </c>
      <c r="N834" s="2" t="n">
        <v>3</v>
      </c>
      <c r="O834" s="2" t="n">
        <v>13</v>
      </c>
      <c r="P834" s="2" t="n">
        <v>0</v>
      </c>
      <c r="Q834" s="2" t="n">
        <v>9</v>
      </c>
      <c r="R834" s="2" t="n">
        <v>5</v>
      </c>
      <c r="S834" s="2" t="n">
        <v>7</v>
      </c>
      <c r="T834" s="2" t="n">
        <v>0</v>
      </c>
      <c r="U834" s="2" t="n">
        <v>7</v>
      </c>
      <c r="V834" s="2" t="n">
        <v>3</v>
      </c>
      <c r="W834" s="2" t="n">
        <v>1</v>
      </c>
      <c r="X834" s="2" t="n">
        <v>3</v>
      </c>
      <c r="Y834" s="2" t="n">
        <v>4</v>
      </c>
      <c r="Z834" s="2" t="n">
        <v>3</v>
      </c>
    </row>
    <row r="835" customFormat="false" ht="15" hidden="false" customHeight="true" outlineLevel="0" collapsed="false">
      <c r="A835" s="2" t="n">
        <v>33</v>
      </c>
      <c r="B835" s="2" t="s">
        <v>26</v>
      </c>
      <c r="C835" s="2" t="s">
        <v>27</v>
      </c>
      <c r="D835" s="2" t="s">
        <v>35</v>
      </c>
      <c r="E835" s="2" t="n">
        <v>1</v>
      </c>
      <c r="F835" s="2" t="n">
        <v>1</v>
      </c>
      <c r="G835" s="2" t="s">
        <v>29</v>
      </c>
      <c r="H835" s="2" t="n">
        <v>834</v>
      </c>
      <c r="I835" s="2" t="s">
        <v>39</v>
      </c>
      <c r="J835" s="2" t="n">
        <v>1</v>
      </c>
      <c r="K835" s="2" t="s">
        <v>36</v>
      </c>
      <c r="L835" s="2" t="s">
        <v>37</v>
      </c>
      <c r="M835" s="2" t="n">
        <v>42560</v>
      </c>
      <c r="N835" s="2" t="n">
        <v>1</v>
      </c>
      <c r="O835" s="2" t="n">
        <v>13</v>
      </c>
      <c r="P835" s="2" t="n">
        <v>3</v>
      </c>
      <c r="Q835" s="2" t="n">
        <v>5</v>
      </c>
      <c r="R835" s="2" t="n">
        <v>1</v>
      </c>
      <c r="S835" s="2" t="n">
        <v>5</v>
      </c>
      <c r="T835" s="2" t="n">
        <v>0</v>
      </c>
      <c r="U835" s="2" t="n">
        <v>2</v>
      </c>
      <c r="V835" s="2" t="n">
        <v>4</v>
      </c>
      <c r="W835" s="2" t="n">
        <v>2</v>
      </c>
      <c r="X835" s="2" t="n">
        <v>3</v>
      </c>
      <c r="Y835" s="2" t="n">
        <v>3</v>
      </c>
      <c r="Z835" s="2" t="n">
        <v>3</v>
      </c>
    </row>
    <row r="836" customFormat="false" ht="15" hidden="false" customHeight="true" outlineLevel="0" collapsed="false">
      <c r="A836" s="2" t="n">
        <v>45</v>
      </c>
      <c r="B836" s="2" t="s">
        <v>26</v>
      </c>
      <c r="C836" s="2" t="s">
        <v>27</v>
      </c>
      <c r="D836" s="2" t="s">
        <v>28</v>
      </c>
      <c r="E836" s="2" t="n">
        <v>3</v>
      </c>
      <c r="F836" s="2" t="n">
        <v>3</v>
      </c>
      <c r="G836" s="2" t="s">
        <v>29</v>
      </c>
      <c r="H836" s="2" t="n">
        <v>835</v>
      </c>
      <c r="I836" s="2" t="s">
        <v>39</v>
      </c>
      <c r="J836" s="2" t="n">
        <v>3</v>
      </c>
      <c r="K836" s="2" t="s">
        <v>45</v>
      </c>
      <c r="L836" s="2" t="s">
        <v>32</v>
      </c>
      <c r="M836" s="2" t="n">
        <v>35800</v>
      </c>
      <c r="N836" s="2" t="n">
        <v>4</v>
      </c>
      <c r="O836" s="2" t="n">
        <v>20</v>
      </c>
      <c r="P836" s="2" t="n">
        <v>1</v>
      </c>
      <c r="Q836" s="2" t="n">
        <v>8</v>
      </c>
      <c r="R836" s="2" t="n">
        <v>1</v>
      </c>
      <c r="S836" s="2" t="n">
        <v>5</v>
      </c>
      <c r="T836" s="2" t="n">
        <v>0</v>
      </c>
      <c r="U836" s="2" t="n">
        <v>3</v>
      </c>
      <c r="V836" s="2" t="n">
        <v>4</v>
      </c>
      <c r="W836" s="2" t="n">
        <v>4</v>
      </c>
      <c r="X836" s="2" t="n">
        <v>3</v>
      </c>
      <c r="Y836" s="2" t="n">
        <v>2</v>
      </c>
      <c r="Z836" s="2" t="n">
        <v>4</v>
      </c>
    </row>
    <row r="837" customFormat="false" ht="15" hidden="false" customHeight="true" outlineLevel="0" collapsed="false">
      <c r="A837" s="2" t="n">
        <v>42</v>
      </c>
      <c r="B837" s="2" t="s">
        <v>26</v>
      </c>
      <c r="C837" s="2" t="s">
        <v>34</v>
      </c>
      <c r="D837" s="2" t="s">
        <v>42</v>
      </c>
      <c r="E837" s="2" t="n">
        <v>1</v>
      </c>
      <c r="F837" s="2" t="n">
        <v>4</v>
      </c>
      <c r="G837" s="2" t="s">
        <v>51</v>
      </c>
      <c r="H837" s="2" t="n">
        <v>836</v>
      </c>
      <c r="I837" s="2" t="s">
        <v>39</v>
      </c>
      <c r="J837" s="2" t="n">
        <v>2</v>
      </c>
      <c r="K837" s="2" t="s">
        <v>47</v>
      </c>
      <c r="L837" s="2" t="s">
        <v>32</v>
      </c>
      <c r="M837" s="2" t="n">
        <v>31620</v>
      </c>
      <c r="N837" s="2" t="n">
        <v>2</v>
      </c>
      <c r="O837" s="2" t="n">
        <v>17</v>
      </c>
      <c r="P837" s="2" t="n">
        <v>2</v>
      </c>
      <c r="Q837" s="2" t="n">
        <v>24</v>
      </c>
      <c r="R837" s="2" t="n">
        <v>1</v>
      </c>
      <c r="S837" s="2" t="n">
        <v>20</v>
      </c>
      <c r="T837" s="2" t="n">
        <v>13</v>
      </c>
      <c r="U837" s="2" t="n">
        <v>9</v>
      </c>
      <c r="V837" s="2" t="n">
        <v>4</v>
      </c>
      <c r="W837" s="2" t="n">
        <v>4</v>
      </c>
      <c r="X837" s="2" t="n">
        <v>1</v>
      </c>
      <c r="Y837" s="2" t="n">
        <v>3</v>
      </c>
      <c r="Z837" s="2" t="n">
        <v>3</v>
      </c>
    </row>
    <row r="838" customFormat="false" ht="15" hidden="false" customHeight="true" outlineLevel="0" collapsed="false">
      <c r="A838" s="2" t="n">
        <v>40</v>
      </c>
      <c r="B838" s="2" t="s">
        <v>26</v>
      </c>
      <c r="C838" s="2" t="s">
        <v>27</v>
      </c>
      <c r="D838" s="2" t="s">
        <v>28</v>
      </c>
      <c r="E838" s="2" t="n">
        <v>10</v>
      </c>
      <c r="F838" s="2" t="n">
        <v>1</v>
      </c>
      <c r="G838" s="2" t="s">
        <v>29</v>
      </c>
      <c r="H838" s="2" t="n">
        <v>837</v>
      </c>
      <c r="I838" s="2" t="s">
        <v>30</v>
      </c>
      <c r="J838" s="2" t="n">
        <v>1</v>
      </c>
      <c r="K838" s="2" t="s">
        <v>47</v>
      </c>
      <c r="L838" s="2" t="s">
        <v>32</v>
      </c>
      <c r="M838" s="2" t="n">
        <v>65240</v>
      </c>
      <c r="N838" s="2" t="n">
        <v>0</v>
      </c>
      <c r="O838" s="2" t="n">
        <v>13</v>
      </c>
      <c r="P838" s="2" t="n">
        <v>1</v>
      </c>
      <c r="Q838" s="2" t="n">
        <v>9</v>
      </c>
      <c r="R838" s="2" t="n">
        <v>2</v>
      </c>
      <c r="S838" s="2" t="n">
        <v>8</v>
      </c>
      <c r="T838" s="2" t="n">
        <v>7</v>
      </c>
      <c r="U838" s="2" t="n">
        <v>1</v>
      </c>
      <c r="V838" s="2" t="n">
        <v>1</v>
      </c>
      <c r="W838" s="2" t="n">
        <v>1</v>
      </c>
      <c r="X838" s="2" t="n">
        <v>4</v>
      </c>
      <c r="Y838" s="2" t="n">
        <v>4</v>
      </c>
      <c r="Z838" s="2" t="n">
        <v>3</v>
      </c>
    </row>
    <row r="839" customFormat="false" ht="15" hidden="false" customHeight="true" outlineLevel="0" collapsed="false">
      <c r="A839" s="2" t="n">
        <v>33</v>
      </c>
      <c r="B839" s="2" t="s">
        <v>26</v>
      </c>
      <c r="C839" s="2" t="s">
        <v>27</v>
      </c>
      <c r="D839" s="2" t="s">
        <v>35</v>
      </c>
      <c r="E839" s="2" t="n">
        <v>9</v>
      </c>
      <c r="F839" s="2" t="n">
        <v>3</v>
      </c>
      <c r="G839" s="2" t="s">
        <v>43</v>
      </c>
      <c r="H839" s="2" t="n">
        <v>838</v>
      </c>
      <c r="I839" s="2" t="s">
        <v>30</v>
      </c>
      <c r="J839" s="2" t="n">
        <v>2</v>
      </c>
      <c r="K839" s="2" t="s">
        <v>47</v>
      </c>
      <c r="L839" s="2" t="s">
        <v>32</v>
      </c>
      <c r="M839" s="2" t="n">
        <v>28990</v>
      </c>
      <c r="N839" s="2" t="n">
        <v>1</v>
      </c>
      <c r="O839" s="2" t="n">
        <v>17</v>
      </c>
      <c r="P839" s="2" t="n">
        <v>0</v>
      </c>
      <c r="Q839" s="2" t="n">
        <v>15</v>
      </c>
      <c r="R839" s="2" t="n">
        <v>3</v>
      </c>
      <c r="S839" s="2" t="n">
        <v>15</v>
      </c>
      <c r="T839" s="2" t="n">
        <v>5</v>
      </c>
      <c r="U839" s="2" t="n">
        <v>7</v>
      </c>
      <c r="V839" s="2" t="n">
        <v>2</v>
      </c>
      <c r="W839" s="2" t="n">
        <v>3</v>
      </c>
      <c r="X839" s="2" t="n">
        <v>3</v>
      </c>
      <c r="Y839" s="2" t="n">
        <v>2</v>
      </c>
      <c r="Z839" s="2" t="n">
        <v>3</v>
      </c>
    </row>
    <row r="840" customFormat="false" ht="15" hidden="false" customHeight="true" outlineLevel="0" collapsed="false">
      <c r="A840" s="2" t="n">
        <v>40</v>
      </c>
      <c r="B840" s="2" t="s">
        <v>26</v>
      </c>
      <c r="C840" s="2" t="s">
        <v>27</v>
      </c>
      <c r="D840" s="2" t="s">
        <v>28</v>
      </c>
      <c r="E840" s="2" t="n">
        <v>5</v>
      </c>
      <c r="F840" s="2" t="n">
        <v>5</v>
      </c>
      <c r="G840" s="2" t="s">
        <v>29</v>
      </c>
      <c r="H840" s="2" t="n">
        <v>839</v>
      </c>
      <c r="I840" s="2" t="s">
        <v>39</v>
      </c>
      <c r="J840" s="2" t="n">
        <v>1</v>
      </c>
      <c r="K840" s="2" t="s">
        <v>47</v>
      </c>
      <c r="L840" s="2" t="s">
        <v>37</v>
      </c>
      <c r="M840" s="2" t="n">
        <v>52310</v>
      </c>
      <c r="N840" s="2" t="n">
        <v>1</v>
      </c>
      <c r="O840" s="2" t="n">
        <v>12</v>
      </c>
      <c r="P840" s="2" t="n">
        <v>2</v>
      </c>
      <c r="Q840" s="2" t="n">
        <v>21</v>
      </c>
      <c r="R840" s="2" t="n">
        <v>4</v>
      </c>
      <c r="S840" s="2" t="n">
        <v>21</v>
      </c>
      <c r="T840" s="2" t="n">
        <v>7</v>
      </c>
      <c r="U840" s="2" t="n">
        <v>7</v>
      </c>
      <c r="V840" s="2" t="n">
        <v>3</v>
      </c>
      <c r="W840" s="2" t="n">
        <v>4</v>
      </c>
      <c r="X840" s="2" t="n">
        <v>3</v>
      </c>
      <c r="Y840" s="2" t="n">
        <v>3</v>
      </c>
      <c r="Z840" s="2" t="n">
        <v>3</v>
      </c>
    </row>
    <row r="841" customFormat="false" ht="15" hidden="false" customHeight="true" outlineLevel="0" collapsed="false">
      <c r="A841" s="2" t="n">
        <v>24</v>
      </c>
      <c r="B841" s="2" t="s">
        <v>26</v>
      </c>
      <c r="C841" s="2" t="s">
        <v>27</v>
      </c>
      <c r="D841" s="2" t="s">
        <v>28</v>
      </c>
      <c r="E841" s="2" t="n">
        <v>10</v>
      </c>
      <c r="F841" s="2" t="n">
        <v>2</v>
      </c>
      <c r="G841" s="2" t="s">
        <v>50</v>
      </c>
      <c r="H841" s="2" t="n">
        <v>840</v>
      </c>
      <c r="I841" s="2" t="s">
        <v>39</v>
      </c>
      <c r="J841" s="2" t="n">
        <v>1</v>
      </c>
      <c r="K841" s="2" t="s">
        <v>47</v>
      </c>
      <c r="L841" s="2" t="s">
        <v>46</v>
      </c>
      <c r="M841" s="2" t="n">
        <v>23560</v>
      </c>
      <c r="N841" s="2" t="n">
        <v>0</v>
      </c>
      <c r="O841" s="2" t="n">
        <v>13</v>
      </c>
      <c r="P841" s="2" t="n">
        <v>0</v>
      </c>
      <c r="Q841" s="2" t="n">
        <v>2</v>
      </c>
      <c r="R841" s="2" t="n">
        <v>5</v>
      </c>
      <c r="S841" s="2" t="n">
        <v>1</v>
      </c>
      <c r="T841" s="2" t="n">
        <v>0</v>
      </c>
      <c r="U841" s="2" t="n">
        <v>0</v>
      </c>
      <c r="V841" s="2" t="n">
        <v>3</v>
      </c>
      <c r="W841" s="2" t="n">
        <v>1</v>
      </c>
      <c r="X841" s="2" t="n">
        <v>3</v>
      </c>
      <c r="Y841" s="2" t="n">
        <v>3</v>
      </c>
      <c r="Z841" s="2" t="n">
        <v>3</v>
      </c>
    </row>
    <row r="842" customFormat="false" ht="15" hidden="false" customHeight="true" outlineLevel="0" collapsed="false">
      <c r="A842" s="2" t="n">
        <v>40</v>
      </c>
      <c r="B842" s="2" t="s">
        <v>26</v>
      </c>
      <c r="C842" s="2" t="s">
        <v>41</v>
      </c>
      <c r="D842" s="2" t="s">
        <v>35</v>
      </c>
      <c r="E842" s="2" t="n">
        <v>7</v>
      </c>
      <c r="F842" s="2" t="n">
        <v>3</v>
      </c>
      <c r="G842" s="2" t="s">
        <v>43</v>
      </c>
      <c r="H842" s="2" t="n">
        <v>841</v>
      </c>
      <c r="I842" s="2" t="s">
        <v>39</v>
      </c>
      <c r="J842" s="2" t="n">
        <v>1</v>
      </c>
      <c r="K842" s="2" t="s">
        <v>36</v>
      </c>
      <c r="L842" s="2" t="s">
        <v>46</v>
      </c>
      <c r="M842" s="2" t="n">
        <v>28000</v>
      </c>
      <c r="N842" s="2" t="n">
        <v>3</v>
      </c>
      <c r="O842" s="2" t="n">
        <v>12</v>
      </c>
      <c r="P842" s="2" t="n">
        <v>2</v>
      </c>
      <c r="Q842" s="2" t="n">
        <v>8</v>
      </c>
      <c r="R842" s="2" t="n">
        <v>0</v>
      </c>
      <c r="S842" s="2" t="n">
        <v>2</v>
      </c>
      <c r="T842" s="2" t="n">
        <v>2</v>
      </c>
      <c r="U842" s="2" t="n">
        <v>2</v>
      </c>
      <c r="V842" s="2" t="n">
        <v>4</v>
      </c>
      <c r="W842" s="2" t="n">
        <v>4</v>
      </c>
      <c r="X842" s="2" t="n">
        <v>3</v>
      </c>
      <c r="Y842" s="2" t="n">
        <v>2</v>
      </c>
      <c r="Z842" s="2" t="n">
        <v>3</v>
      </c>
    </row>
    <row r="843" customFormat="false" ht="15" hidden="false" customHeight="true" outlineLevel="0" collapsed="false">
      <c r="A843" s="2" t="n">
        <v>45</v>
      </c>
      <c r="B843" s="2" t="s">
        <v>26</v>
      </c>
      <c r="C843" s="2" t="s">
        <v>27</v>
      </c>
      <c r="D843" s="2" t="s">
        <v>35</v>
      </c>
      <c r="E843" s="2" t="n">
        <v>4</v>
      </c>
      <c r="F843" s="2" t="n">
        <v>3</v>
      </c>
      <c r="G843" s="2" t="s">
        <v>43</v>
      </c>
      <c r="H843" s="2" t="n">
        <v>842</v>
      </c>
      <c r="I843" s="2" t="s">
        <v>30</v>
      </c>
      <c r="J843" s="2" t="n">
        <v>3</v>
      </c>
      <c r="K843" s="2" t="s">
        <v>45</v>
      </c>
      <c r="L843" s="2" t="s">
        <v>46</v>
      </c>
      <c r="M843" s="2" t="n">
        <v>118360</v>
      </c>
      <c r="N843" s="2" t="n">
        <v>1</v>
      </c>
      <c r="O843" s="2" t="n">
        <v>22</v>
      </c>
      <c r="P843" s="2" t="n">
        <v>0</v>
      </c>
      <c r="Q843" s="2" t="n">
        <v>10</v>
      </c>
      <c r="R843" s="2" t="n">
        <v>2</v>
      </c>
      <c r="S843" s="2" t="n">
        <v>10</v>
      </c>
      <c r="T843" s="2" t="n">
        <v>7</v>
      </c>
      <c r="U843" s="2" t="n">
        <v>7</v>
      </c>
      <c r="V843" s="2" t="n">
        <v>1</v>
      </c>
      <c r="W843" s="2" t="n">
        <v>2</v>
      </c>
      <c r="X843" s="2" t="n">
        <v>3</v>
      </c>
      <c r="Y843" s="2" t="n">
        <v>4</v>
      </c>
      <c r="Z843" s="2" t="n">
        <v>4</v>
      </c>
    </row>
    <row r="844" customFormat="false" ht="15" hidden="false" customHeight="true" outlineLevel="0" collapsed="false">
      <c r="A844" s="2" t="n">
        <v>35</v>
      </c>
      <c r="B844" s="2" t="s">
        <v>26</v>
      </c>
      <c r="C844" s="2" t="s">
        <v>27</v>
      </c>
      <c r="D844" s="2" t="s">
        <v>35</v>
      </c>
      <c r="E844" s="2" t="n">
        <v>10</v>
      </c>
      <c r="F844" s="2" t="n">
        <v>1</v>
      </c>
      <c r="G844" s="2" t="s">
        <v>29</v>
      </c>
      <c r="H844" s="2" t="n">
        <v>843</v>
      </c>
      <c r="I844" s="2" t="s">
        <v>39</v>
      </c>
      <c r="J844" s="2" t="n">
        <v>1</v>
      </c>
      <c r="K844" s="2" t="s">
        <v>31</v>
      </c>
      <c r="L844" s="2" t="s">
        <v>32</v>
      </c>
      <c r="M844" s="2" t="n">
        <v>109030</v>
      </c>
      <c r="N844" s="2" t="n">
        <v>0</v>
      </c>
      <c r="O844" s="2" t="n">
        <v>11</v>
      </c>
      <c r="P844" s="2" t="n">
        <v>0</v>
      </c>
      <c r="Q844" s="2" t="n">
        <v>6</v>
      </c>
      <c r="R844" s="2" t="n">
        <v>3</v>
      </c>
      <c r="S844" s="2" t="n">
        <v>5</v>
      </c>
      <c r="T844" s="2" t="n">
        <v>4</v>
      </c>
      <c r="U844" s="2" t="n">
        <v>2</v>
      </c>
      <c r="V844" s="2" t="n">
        <v>2</v>
      </c>
      <c r="W844" s="2" t="n">
        <v>3</v>
      </c>
      <c r="X844" s="2" t="n">
        <v>3</v>
      </c>
      <c r="Y844" s="2" t="n">
        <v>4</v>
      </c>
      <c r="Z844" s="2" t="n">
        <v>3</v>
      </c>
    </row>
    <row r="845" customFormat="false" ht="15" hidden="false" customHeight="true" outlineLevel="0" collapsed="false">
      <c r="A845" s="2" t="n">
        <v>32</v>
      </c>
      <c r="B845" s="2" t="s">
        <v>26</v>
      </c>
      <c r="C845" s="2" t="s">
        <v>27</v>
      </c>
      <c r="D845" s="2" t="s">
        <v>35</v>
      </c>
      <c r="E845" s="2" t="n">
        <v>22</v>
      </c>
      <c r="F845" s="2" t="n">
        <v>4</v>
      </c>
      <c r="G845" s="2" t="s">
        <v>43</v>
      </c>
      <c r="H845" s="2" t="n">
        <v>844</v>
      </c>
      <c r="I845" s="2" t="s">
        <v>39</v>
      </c>
      <c r="J845" s="2" t="n">
        <v>1</v>
      </c>
      <c r="K845" s="2" t="s">
        <v>40</v>
      </c>
      <c r="L845" s="2" t="s">
        <v>32</v>
      </c>
      <c r="M845" s="2" t="n">
        <v>29730</v>
      </c>
      <c r="N845" s="2" t="n">
        <v>3</v>
      </c>
      <c r="O845" s="2" t="n">
        <v>22</v>
      </c>
      <c r="P845" s="2" t="n">
        <v>0</v>
      </c>
      <c r="Q845" s="2" t="n">
        <v>12</v>
      </c>
      <c r="R845" s="2" t="n">
        <v>0</v>
      </c>
      <c r="S845" s="2" t="n">
        <v>7</v>
      </c>
      <c r="T845" s="2" t="n">
        <v>2</v>
      </c>
      <c r="U845" s="2" t="n">
        <v>5</v>
      </c>
      <c r="V845" s="2" t="n">
        <v>4</v>
      </c>
      <c r="W845" s="2" t="n">
        <v>2</v>
      </c>
      <c r="X845" s="2" t="n">
        <v>3</v>
      </c>
      <c r="Y845" s="2" t="n">
        <v>4</v>
      </c>
      <c r="Z845" s="2" t="n">
        <v>4</v>
      </c>
    </row>
    <row r="846" customFormat="false" ht="15" hidden="false" customHeight="true" outlineLevel="0" collapsed="false">
      <c r="A846" s="2" t="n">
        <v>36</v>
      </c>
      <c r="B846" s="2" t="s">
        <v>26</v>
      </c>
      <c r="C846" s="2" t="s">
        <v>27</v>
      </c>
      <c r="D846" s="2" t="s">
        <v>28</v>
      </c>
      <c r="E846" s="2" t="n">
        <v>9</v>
      </c>
      <c r="F846" s="2" t="n">
        <v>3</v>
      </c>
      <c r="G846" s="2" t="s">
        <v>50</v>
      </c>
      <c r="H846" s="2" t="n">
        <v>845</v>
      </c>
      <c r="I846" s="2" t="s">
        <v>30</v>
      </c>
      <c r="J846" s="2" t="n">
        <v>4</v>
      </c>
      <c r="K846" s="2" t="s">
        <v>36</v>
      </c>
      <c r="L846" s="2" t="s">
        <v>37</v>
      </c>
      <c r="M846" s="2" t="n">
        <v>142750</v>
      </c>
      <c r="N846" s="2" t="n">
        <v>3</v>
      </c>
      <c r="O846" s="2" t="n">
        <v>18</v>
      </c>
      <c r="P846" s="2" t="n">
        <v>1</v>
      </c>
      <c r="Q846" s="2" t="n">
        <v>7</v>
      </c>
      <c r="R846" s="2" t="n">
        <v>5</v>
      </c>
      <c r="S846" s="2" t="n">
        <v>3</v>
      </c>
      <c r="T846" s="2" t="n">
        <v>1</v>
      </c>
      <c r="U846" s="2" t="n">
        <v>2</v>
      </c>
      <c r="V846" s="2" t="n">
        <v>3</v>
      </c>
      <c r="W846" s="2" t="n">
        <v>4</v>
      </c>
      <c r="X846" s="2" t="n">
        <v>2</v>
      </c>
      <c r="Y846" s="2" t="n">
        <v>2</v>
      </c>
      <c r="Z846" s="2" t="n">
        <v>3</v>
      </c>
    </row>
    <row r="847" customFormat="false" ht="15" hidden="false" customHeight="true" outlineLevel="0" collapsed="false">
      <c r="A847" s="2" t="n">
        <v>48</v>
      </c>
      <c r="B847" s="2" t="s">
        <v>26</v>
      </c>
      <c r="C847" s="2" t="s">
        <v>27</v>
      </c>
      <c r="D847" s="2" t="s">
        <v>35</v>
      </c>
      <c r="E847" s="2" t="n">
        <v>12</v>
      </c>
      <c r="F847" s="2" t="n">
        <v>4</v>
      </c>
      <c r="G847" s="2" t="s">
        <v>43</v>
      </c>
      <c r="H847" s="2" t="n">
        <v>846</v>
      </c>
      <c r="I847" s="2" t="s">
        <v>39</v>
      </c>
      <c r="J847" s="2" t="n">
        <v>1</v>
      </c>
      <c r="K847" s="2" t="s">
        <v>45</v>
      </c>
      <c r="L847" s="2" t="s">
        <v>46</v>
      </c>
      <c r="M847" s="2" t="n">
        <v>55620</v>
      </c>
      <c r="N847" s="2" t="n">
        <v>8</v>
      </c>
      <c r="O847" s="2" t="n">
        <v>13</v>
      </c>
      <c r="P847" s="2" t="n">
        <v>1</v>
      </c>
      <c r="Q847" s="2" t="n">
        <v>18</v>
      </c>
      <c r="R847" s="2" t="n">
        <v>2</v>
      </c>
      <c r="S847" s="2" t="n">
        <v>8</v>
      </c>
      <c r="T847" s="2" t="n">
        <v>7</v>
      </c>
      <c r="U847" s="2" t="n">
        <v>7</v>
      </c>
      <c r="V847" s="2" t="n">
        <v>3</v>
      </c>
      <c r="W847" s="2" t="n">
        <v>3</v>
      </c>
      <c r="X847" s="2" t="n">
        <v>3</v>
      </c>
      <c r="Y847" s="2" t="n">
        <v>3</v>
      </c>
      <c r="Z847" s="2" t="n">
        <v>3</v>
      </c>
    </row>
    <row r="848" customFormat="false" ht="15" hidden="false" customHeight="true" outlineLevel="0" collapsed="false">
      <c r="A848" s="2" t="n">
        <v>29</v>
      </c>
      <c r="B848" s="2" t="s">
        <v>26</v>
      </c>
      <c r="C848" s="2" t="s">
        <v>27</v>
      </c>
      <c r="D848" s="2" t="s">
        <v>35</v>
      </c>
      <c r="E848" s="2" t="n">
        <v>23</v>
      </c>
      <c r="F848" s="2" t="n">
        <v>4</v>
      </c>
      <c r="G848" s="2" t="s">
        <v>29</v>
      </c>
      <c r="H848" s="2" t="n">
        <v>847</v>
      </c>
      <c r="I848" s="2" t="s">
        <v>30</v>
      </c>
      <c r="J848" s="2" t="n">
        <v>2</v>
      </c>
      <c r="K848" s="2" t="s">
        <v>31</v>
      </c>
      <c r="L848" s="2" t="s">
        <v>32</v>
      </c>
      <c r="M848" s="2" t="n">
        <v>45370</v>
      </c>
      <c r="N848" s="2" t="n">
        <v>6</v>
      </c>
      <c r="O848" s="2" t="n">
        <v>18</v>
      </c>
      <c r="P848" s="2" t="n">
        <v>1</v>
      </c>
      <c r="Q848" s="2" t="n">
        <v>5</v>
      </c>
      <c r="R848" s="2" t="n">
        <v>5</v>
      </c>
      <c r="S848" s="2" t="n">
        <v>1</v>
      </c>
      <c r="T848" s="2" t="n">
        <v>0</v>
      </c>
      <c r="U848" s="2" t="n">
        <v>0</v>
      </c>
      <c r="V848" s="2"/>
      <c r="W848" s="2" t="n">
        <v>3</v>
      </c>
      <c r="X848" s="2" t="n">
        <v>2</v>
      </c>
      <c r="Y848" s="2" t="n">
        <v>4</v>
      </c>
      <c r="Z848" s="2" t="n">
        <v>3</v>
      </c>
    </row>
    <row r="849" customFormat="false" ht="15" hidden="false" customHeight="true" outlineLevel="0" collapsed="false">
      <c r="A849" s="2" t="n">
        <v>33</v>
      </c>
      <c r="B849" s="2" t="s">
        <v>26</v>
      </c>
      <c r="C849" s="2" t="s">
        <v>27</v>
      </c>
      <c r="D849" s="2" t="s">
        <v>35</v>
      </c>
      <c r="E849" s="2" t="n">
        <v>9</v>
      </c>
      <c r="F849" s="2" t="n">
        <v>1</v>
      </c>
      <c r="G849" s="2" t="s">
        <v>43</v>
      </c>
      <c r="H849" s="2" t="n">
        <v>848</v>
      </c>
      <c r="I849" s="2" t="s">
        <v>39</v>
      </c>
      <c r="J849" s="2" t="n">
        <v>1</v>
      </c>
      <c r="K849" s="2" t="s">
        <v>31</v>
      </c>
      <c r="L849" s="2" t="s">
        <v>32</v>
      </c>
      <c r="M849" s="2" t="n">
        <v>76420</v>
      </c>
      <c r="N849" s="2" t="n">
        <v>2</v>
      </c>
      <c r="O849" s="2" t="n">
        <v>20</v>
      </c>
      <c r="P849" s="2" t="n">
        <v>1</v>
      </c>
      <c r="Q849" s="2" t="n">
        <v>8</v>
      </c>
      <c r="R849" s="2" t="n">
        <v>2</v>
      </c>
      <c r="S849" s="2" t="n">
        <v>2</v>
      </c>
      <c r="T849" s="2" t="n">
        <v>2</v>
      </c>
      <c r="U849" s="2" t="n">
        <v>2</v>
      </c>
      <c r="V849" s="2" t="n">
        <v>1</v>
      </c>
      <c r="W849" s="2" t="n">
        <v>1</v>
      </c>
      <c r="X849" s="2" t="n">
        <v>1</v>
      </c>
      <c r="Y849" s="2" t="n">
        <v>2</v>
      </c>
      <c r="Z849" s="2" t="n">
        <v>4</v>
      </c>
    </row>
    <row r="850" customFormat="false" ht="15" hidden="false" customHeight="true" outlineLevel="0" collapsed="false">
      <c r="A850" s="2" t="n">
        <v>30</v>
      </c>
      <c r="B850" s="2" t="s">
        <v>33</v>
      </c>
      <c r="C850" s="2" t="s">
        <v>27</v>
      </c>
      <c r="D850" s="2" t="s">
        <v>35</v>
      </c>
      <c r="E850" s="2" t="n">
        <v>1</v>
      </c>
      <c r="F850" s="2" t="n">
        <v>3</v>
      </c>
      <c r="G850" s="2" t="s">
        <v>38</v>
      </c>
      <c r="H850" s="2" t="n">
        <v>849</v>
      </c>
      <c r="I850" s="2" t="s">
        <v>39</v>
      </c>
      <c r="J850" s="2" t="n">
        <v>3</v>
      </c>
      <c r="K850" s="2" t="s">
        <v>40</v>
      </c>
      <c r="L850" s="2" t="s">
        <v>32</v>
      </c>
      <c r="M850" s="2" t="n">
        <v>179240</v>
      </c>
      <c r="N850" s="2" t="n">
        <v>1</v>
      </c>
      <c r="O850" s="2" t="n">
        <v>13</v>
      </c>
      <c r="P850" s="2" t="n">
        <v>2</v>
      </c>
      <c r="Q850" s="2" t="n">
        <v>10</v>
      </c>
      <c r="R850" s="2" t="n">
        <v>2</v>
      </c>
      <c r="S850" s="2" t="n">
        <v>10</v>
      </c>
      <c r="T850" s="2" t="n">
        <v>6</v>
      </c>
      <c r="U850" s="2" t="n">
        <v>7</v>
      </c>
      <c r="V850" s="2" t="n">
        <v>2</v>
      </c>
      <c r="W850" s="2" t="n">
        <v>1</v>
      </c>
      <c r="X850" s="2" t="n">
        <v>3</v>
      </c>
      <c r="Y850" s="2" t="n">
        <v>3</v>
      </c>
      <c r="Z850" s="2" t="n">
        <v>3</v>
      </c>
    </row>
    <row r="851" customFormat="false" ht="15" hidden="false" customHeight="true" outlineLevel="0" collapsed="false">
      <c r="A851" s="2" t="n">
        <v>38</v>
      </c>
      <c r="B851" s="2" t="s">
        <v>26</v>
      </c>
      <c r="C851" s="2" t="s">
        <v>34</v>
      </c>
      <c r="D851" s="2" t="s">
        <v>28</v>
      </c>
      <c r="E851" s="2" t="n">
        <v>9</v>
      </c>
      <c r="F851" s="2" t="n">
        <v>3</v>
      </c>
      <c r="G851" s="2" t="s">
        <v>50</v>
      </c>
      <c r="H851" s="2" t="n">
        <v>850</v>
      </c>
      <c r="I851" s="2" t="s">
        <v>39</v>
      </c>
      <c r="J851" s="2" t="n">
        <v>1</v>
      </c>
      <c r="K851" s="2" t="s">
        <v>47</v>
      </c>
      <c r="L851" s="2" t="s">
        <v>32</v>
      </c>
      <c r="M851" s="2" t="n">
        <v>52040</v>
      </c>
      <c r="N851" s="2" t="n">
        <v>3</v>
      </c>
      <c r="O851" s="2" t="n">
        <v>13</v>
      </c>
      <c r="P851" s="2" t="n">
        <v>1</v>
      </c>
      <c r="Q851" s="2" t="n">
        <v>10</v>
      </c>
      <c r="R851" s="2" t="n">
        <v>2</v>
      </c>
      <c r="S851" s="2" t="n">
        <v>6</v>
      </c>
      <c r="T851" s="2" t="n">
        <v>1</v>
      </c>
      <c r="U851" s="2" t="n">
        <v>2</v>
      </c>
      <c r="V851" s="2" t="n">
        <v>3</v>
      </c>
      <c r="W851" s="2" t="n">
        <v>3</v>
      </c>
      <c r="X851" s="2" t="n">
        <v>3</v>
      </c>
      <c r="Y851" s="2" t="n">
        <v>3</v>
      </c>
      <c r="Z851" s="2" t="n">
        <v>3</v>
      </c>
    </row>
    <row r="852" customFormat="false" ht="15" hidden="false" customHeight="true" outlineLevel="0" collapsed="false">
      <c r="A852" s="2" t="n">
        <v>35</v>
      </c>
      <c r="B852" s="2" t="s">
        <v>26</v>
      </c>
      <c r="C852" s="2" t="s">
        <v>27</v>
      </c>
      <c r="D852" s="2" t="s">
        <v>28</v>
      </c>
      <c r="E852" s="2" t="n">
        <v>7</v>
      </c>
      <c r="F852" s="2" t="n">
        <v>2</v>
      </c>
      <c r="G852" s="2" t="s">
        <v>29</v>
      </c>
      <c r="H852" s="2" t="n">
        <v>851</v>
      </c>
      <c r="I852" s="2" t="s">
        <v>39</v>
      </c>
      <c r="J852" s="2" t="n">
        <v>1</v>
      </c>
      <c r="K852" s="2" t="s">
        <v>40</v>
      </c>
      <c r="L852" s="2" t="s">
        <v>37</v>
      </c>
      <c r="M852" s="2" t="n">
        <v>22770</v>
      </c>
      <c r="N852" s="2" t="n">
        <v>1</v>
      </c>
      <c r="O852" s="2" t="n">
        <v>12</v>
      </c>
      <c r="P852" s="2" t="n">
        <v>1</v>
      </c>
      <c r="Q852" s="2" t="n">
        <v>3</v>
      </c>
      <c r="R852" s="2" t="n">
        <v>2</v>
      </c>
      <c r="S852" s="2" t="n">
        <v>3</v>
      </c>
      <c r="T852" s="2" t="n">
        <v>1</v>
      </c>
      <c r="U852" s="2" t="n">
        <v>2</v>
      </c>
      <c r="V852" s="2" t="n">
        <v>4</v>
      </c>
      <c r="W852" s="2" t="n">
        <v>1</v>
      </c>
      <c r="X852" s="2" t="n">
        <v>3</v>
      </c>
      <c r="Y852" s="2" t="n">
        <v>3</v>
      </c>
      <c r="Z852" s="2" t="n">
        <v>3</v>
      </c>
    </row>
    <row r="853" customFormat="false" ht="15" hidden="false" customHeight="true" outlineLevel="0" collapsed="false">
      <c r="A853" s="2" t="n">
        <v>30</v>
      </c>
      <c r="B853" s="2" t="s">
        <v>26</v>
      </c>
      <c r="C853" s="2" t="s">
        <v>27</v>
      </c>
      <c r="D853" s="2" t="s">
        <v>35</v>
      </c>
      <c r="E853" s="2" t="n">
        <v>14</v>
      </c>
      <c r="F853" s="2" t="n">
        <v>3</v>
      </c>
      <c r="G853" s="2" t="s">
        <v>51</v>
      </c>
      <c r="H853" s="2" t="n">
        <v>852</v>
      </c>
      <c r="I853" s="2" t="s">
        <v>39</v>
      </c>
      <c r="J853" s="2" t="n">
        <v>5</v>
      </c>
      <c r="K853" s="2" t="s">
        <v>44</v>
      </c>
      <c r="L853" s="2" t="s">
        <v>32</v>
      </c>
      <c r="M853" s="2" t="n">
        <v>27950</v>
      </c>
      <c r="N853" s="2" t="n">
        <v>3</v>
      </c>
      <c r="O853" s="2" t="n">
        <v>13</v>
      </c>
      <c r="P853" s="2" t="n">
        <v>0</v>
      </c>
      <c r="Q853" s="2" t="n">
        <v>9</v>
      </c>
      <c r="R853" s="2" t="n">
        <v>4</v>
      </c>
      <c r="S853" s="2" t="n">
        <v>4</v>
      </c>
      <c r="T853" s="2" t="n">
        <v>1</v>
      </c>
      <c r="U853" s="2" t="n">
        <v>3</v>
      </c>
      <c r="V853" s="2" t="n">
        <v>3</v>
      </c>
      <c r="W853" s="2" t="n">
        <v>2</v>
      </c>
      <c r="X853" s="2" t="n">
        <v>3</v>
      </c>
      <c r="Y853" s="2" t="n">
        <v>3</v>
      </c>
      <c r="Z853" s="2" t="n">
        <v>3</v>
      </c>
    </row>
    <row r="854" customFormat="false" ht="15" hidden="false" customHeight="true" outlineLevel="0" collapsed="false">
      <c r="A854" s="2" t="n">
        <v>35</v>
      </c>
      <c r="B854" s="2" t="s">
        <v>33</v>
      </c>
      <c r="C854" s="2" t="s">
        <v>27</v>
      </c>
      <c r="D854" s="2" t="s">
        <v>35</v>
      </c>
      <c r="E854" s="2" t="n">
        <v>2</v>
      </c>
      <c r="F854" s="2" t="n">
        <v>3</v>
      </c>
      <c r="G854" s="2" t="s">
        <v>43</v>
      </c>
      <c r="H854" s="2" t="n">
        <v>853</v>
      </c>
      <c r="I854" s="2" t="s">
        <v>30</v>
      </c>
      <c r="J854" s="2" t="n">
        <v>1</v>
      </c>
      <c r="K854" s="2" t="s">
        <v>36</v>
      </c>
      <c r="L854" s="2" t="s">
        <v>46</v>
      </c>
      <c r="M854" s="2" t="n">
        <v>25320</v>
      </c>
      <c r="N854" s="2" t="n">
        <v>1</v>
      </c>
      <c r="O854" s="2" t="n">
        <v>13</v>
      </c>
      <c r="P854" s="2" t="n">
        <v>0</v>
      </c>
      <c r="Q854" s="2" t="n">
        <v>1</v>
      </c>
      <c r="R854" s="2" t="n">
        <v>2</v>
      </c>
      <c r="S854" s="2" t="n">
        <v>1</v>
      </c>
      <c r="T854" s="2" t="n">
        <v>0</v>
      </c>
      <c r="U854" s="2" t="n">
        <v>0</v>
      </c>
      <c r="V854" s="2" t="n">
        <v>1</v>
      </c>
      <c r="W854" s="2" t="n">
        <v>1</v>
      </c>
      <c r="X854" s="2" t="n">
        <v>3</v>
      </c>
      <c r="Y854" s="2" t="n">
        <v>1</v>
      </c>
      <c r="Z854" s="2" t="n">
        <v>3</v>
      </c>
    </row>
    <row r="855" customFormat="false" ht="15" hidden="false" customHeight="true" outlineLevel="0" collapsed="false">
      <c r="A855" s="2" t="n">
        <v>53</v>
      </c>
      <c r="B855" s="2" t="s">
        <v>33</v>
      </c>
      <c r="C855" s="2" t="s">
        <v>27</v>
      </c>
      <c r="D855" s="2" t="s">
        <v>35</v>
      </c>
      <c r="E855" s="2" t="n">
        <v>19</v>
      </c>
      <c r="F855" s="2" t="n">
        <v>3</v>
      </c>
      <c r="G855" s="2" t="s">
        <v>29</v>
      </c>
      <c r="H855" s="2" t="n">
        <v>854</v>
      </c>
      <c r="I855" s="2" t="s">
        <v>39</v>
      </c>
      <c r="J855" s="2" t="n">
        <v>2</v>
      </c>
      <c r="K855" s="2" t="s">
        <v>49</v>
      </c>
      <c r="L855" s="2" t="s">
        <v>32</v>
      </c>
      <c r="M855" s="2" t="n">
        <v>25590</v>
      </c>
      <c r="N855" s="2" t="n">
        <v>0</v>
      </c>
      <c r="O855" s="2" t="n">
        <v>25</v>
      </c>
      <c r="P855" s="2" t="n">
        <v>0</v>
      </c>
      <c r="Q855" s="2" t="n">
        <v>34</v>
      </c>
      <c r="R855" s="2" t="n">
        <v>2</v>
      </c>
      <c r="S855" s="2" t="n">
        <v>33</v>
      </c>
      <c r="T855" s="2" t="n">
        <v>1</v>
      </c>
      <c r="U855" s="2" t="n">
        <v>9</v>
      </c>
      <c r="V855" s="2" t="n">
        <v>3</v>
      </c>
      <c r="W855" s="2" t="n">
        <v>4</v>
      </c>
      <c r="X855" s="2" t="n">
        <v>3</v>
      </c>
      <c r="Y855" s="2" t="n">
        <v>3</v>
      </c>
      <c r="Z855" s="2" t="n">
        <v>4</v>
      </c>
    </row>
    <row r="856" customFormat="false" ht="15" hidden="false" customHeight="true" outlineLevel="0" collapsed="false">
      <c r="A856" s="2" t="n">
        <v>38</v>
      </c>
      <c r="B856" s="2" t="s">
        <v>33</v>
      </c>
      <c r="C856" s="2" t="s">
        <v>27</v>
      </c>
      <c r="D856" s="2" t="s">
        <v>35</v>
      </c>
      <c r="E856" s="2" t="n">
        <v>2</v>
      </c>
      <c r="F856" s="2" t="n">
        <v>3</v>
      </c>
      <c r="G856" s="2" t="s">
        <v>43</v>
      </c>
      <c r="H856" s="2" t="n">
        <v>855</v>
      </c>
      <c r="I856" s="2" t="s">
        <v>30</v>
      </c>
      <c r="J856" s="2" t="n">
        <v>3</v>
      </c>
      <c r="K856" s="2" t="s">
        <v>40</v>
      </c>
      <c r="L856" s="2" t="s">
        <v>32</v>
      </c>
      <c r="M856" s="2" t="n">
        <v>49080</v>
      </c>
      <c r="N856" s="2" t="n">
        <v>4</v>
      </c>
      <c r="O856" s="2" t="n">
        <v>19</v>
      </c>
      <c r="P856" s="2" t="n">
        <v>1</v>
      </c>
      <c r="Q856" s="2" t="n">
        <v>7</v>
      </c>
      <c r="R856" s="2" t="n">
        <v>3</v>
      </c>
      <c r="S856" s="2" t="n">
        <v>5</v>
      </c>
      <c r="T856" s="2" t="n">
        <v>1</v>
      </c>
      <c r="U856" s="2" t="n">
        <v>4</v>
      </c>
      <c r="V856" s="2" t="n">
        <v>3</v>
      </c>
      <c r="W856" s="2" t="n">
        <v>2</v>
      </c>
      <c r="X856" s="2" t="n">
        <v>3</v>
      </c>
      <c r="Y856" s="2" t="n">
        <v>2</v>
      </c>
      <c r="Z856" s="2" t="n">
        <v>3</v>
      </c>
    </row>
    <row r="857" customFormat="false" ht="15" hidden="false" customHeight="true" outlineLevel="0" collapsed="false">
      <c r="A857" s="2" t="n">
        <v>32</v>
      </c>
      <c r="B857" s="2" t="s">
        <v>26</v>
      </c>
      <c r="C857" s="2" t="s">
        <v>41</v>
      </c>
      <c r="D857" s="2" t="s">
        <v>35</v>
      </c>
      <c r="E857" s="2" t="n">
        <v>10</v>
      </c>
      <c r="F857" s="2" t="n">
        <v>4</v>
      </c>
      <c r="G857" s="2" t="s">
        <v>29</v>
      </c>
      <c r="H857" s="2" t="n">
        <v>856</v>
      </c>
      <c r="I857" s="2" t="s">
        <v>30</v>
      </c>
      <c r="J857" s="2" t="n">
        <v>5</v>
      </c>
      <c r="K857" s="2" t="s">
        <v>36</v>
      </c>
      <c r="L857" s="2" t="s">
        <v>32</v>
      </c>
      <c r="M857" s="2" t="n">
        <v>23800</v>
      </c>
      <c r="N857" s="2" t="n">
        <v>4</v>
      </c>
      <c r="O857" s="2" t="n">
        <v>13</v>
      </c>
      <c r="P857" s="2" t="n">
        <v>0</v>
      </c>
      <c r="Q857" s="2" t="n">
        <v>9</v>
      </c>
      <c r="R857" s="2" t="n">
        <v>5</v>
      </c>
      <c r="S857" s="2" t="n">
        <v>6</v>
      </c>
      <c r="T857" s="2" t="n">
        <v>1</v>
      </c>
      <c r="U857" s="2" t="n">
        <v>2</v>
      </c>
      <c r="V857" s="2" t="n">
        <v>4</v>
      </c>
      <c r="W857" s="2" t="n">
        <v>1</v>
      </c>
      <c r="X857" s="2" t="n">
        <v>2</v>
      </c>
      <c r="Y857" s="2" t="n">
        <v>3</v>
      </c>
      <c r="Z857" s="2" t="n">
        <v>3</v>
      </c>
    </row>
    <row r="858" customFormat="false" ht="15" hidden="false" customHeight="true" outlineLevel="0" collapsed="false">
      <c r="A858" s="2" t="n">
        <v>48</v>
      </c>
      <c r="B858" s="2" t="s">
        <v>26</v>
      </c>
      <c r="C858" s="2" t="s">
        <v>27</v>
      </c>
      <c r="D858" s="2" t="s">
        <v>35</v>
      </c>
      <c r="E858" s="2" t="n">
        <v>2</v>
      </c>
      <c r="F858" s="2" t="n">
        <v>5</v>
      </c>
      <c r="G858" s="2" t="s">
        <v>29</v>
      </c>
      <c r="H858" s="2" t="n">
        <v>857</v>
      </c>
      <c r="I858" s="2" t="s">
        <v>39</v>
      </c>
      <c r="J858" s="2" t="n">
        <v>1</v>
      </c>
      <c r="K858" s="2" t="s">
        <v>40</v>
      </c>
      <c r="L858" s="2" t="s">
        <v>32</v>
      </c>
      <c r="M858" s="2" t="n">
        <v>47650</v>
      </c>
      <c r="N858" s="2" t="n">
        <v>8</v>
      </c>
      <c r="O858" s="2" t="n">
        <v>12</v>
      </c>
      <c r="P858" s="2" t="n">
        <v>1</v>
      </c>
      <c r="Q858" s="2" t="n">
        <v>10</v>
      </c>
      <c r="R858" s="2" t="n">
        <v>4</v>
      </c>
      <c r="S858" s="2" t="n">
        <v>8</v>
      </c>
      <c r="T858" s="2" t="n">
        <v>7</v>
      </c>
      <c r="U858" s="2" t="n">
        <v>6</v>
      </c>
      <c r="V858" s="2" t="n">
        <v>3</v>
      </c>
      <c r="W858" s="2" t="n">
        <v>1</v>
      </c>
      <c r="X858" s="2" t="n">
        <v>2</v>
      </c>
      <c r="Y858" s="2" t="n">
        <v>3</v>
      </c>
      <c r="Z858" s="2" t="n">
        <v>3</v>
      </c>
    </row>
    <row r="859" customFormat="false" ht="15" hidden="false" customHeight="true" outlineLevel="0" collapsed="false">
      <c r="A859" s="2" t="n">
        <v>34</v>
      </c>
      <c r="B859" s="2" t="s">
        <v>26</v>
      </c>
      <c r="C859" s="2" t="s">
        <v>27</v>
      </c>
      <c r="D859" s="2" t="s">
        <v>35</v>
      </c>
      <c r="E859" s="2" t="n">
        <v>3</v>
      </c>
      <c r="F859" s="2" t="n">
        <v>3</v>
      </c>
      <c r="G859" s="2" t="s">
        <v>29</v>
      </c>
      <c r="H859" s="2" t="n">
        <v>858</v>
      </c>
      <c r="I859" s="2" t="s">
        <v>39</v>
      </c>
      <c r="J859" s="2" t="n">
        <v>2</v>
      </c>
      <c r="K859" s="2" t="s">
        <v>40</v>
      </c>
      <c r="L859" s="2" t="s">
        <v>37</v>
      </c>
      <c r="M859" s="2" t="n">
        <v>20440</v>
      </c>
      <c r="N859" s="2" t="n">
        <v>1</v>
      </c>
      <c r="O859" s="2" t="n">
        <v>11</v>
      </c>
      <c r="P859" s="2" t="n">
        <v>0</v>
      </c>
      <c r="Q859" s="2" t="n">
        <v>1</v>
      </c>
      <c r="R859" s="2" t="n">
        <v>2</v>
      </c>
      <c r="S859" s="2" t="n">
        <v>1</v>
      </c>
      <c r="T859" s="2" t="n">
        <v>0</v>
      </c>
      <c r="U859" s="2" t="n">
        <v>0</v>
      </c>
      <c r="V859" s="2" t="n">
        <v>1</v>
      </c>
      <c r="W859" s="2" t="n">
        <v>4</v>
      </c>
      <c r="X859" s="2" t="n">
        <v>1</v>
      </c>
      <c r="Y859" s="2" t="n">
        <v>3</v>
      </c>
      <c r="Z859" s="2" t="n">
        <v>3</v>
      </c>
    </row>
    <row r="860" customFormat="false" ht="15" hidden="false" customHeight="true" outlineLevel="0" collapsed="false">
      <c r="A860" s="2" t="n">
        <v>55</v>
      </c>
      <c r="B860" s="2" t="s">
        <v>26</v>
      </c>
      <c r="C860" s="2" t="s">
        <v>27</v>
      </c>
      <c r="D860" s="2" t="s">
        <v>35</v>
      </c>
      <c r="E860" s="2" t="n">
        <v>11</v>
      </c>
      <c r="F860" s="2" t="n">
        <v>1</v>
      </c>
      <c r="G860" s="2" t="s">
        <v>43</v>
      </c>
      <c r="H860" s="2" t="n">
        <v>859</v>
      </c>
      <c r="I860" s="2" t="s">
        <v>30</v>
      </c>
      <c r="J860" s="2" t="n">
        <v>1</v>
      </c>
      <c r="K860" s="2" t="s">
        <v>45</v>
      </c>
      <c r="L860" s="2" t="s">
        <v>32</v>
      </c>
      <c r="M860" s="2" t="n">
        <v>26930</v>
      </c>
      <c r="N860" s="2" t="n">
        <v>1</v>
      </c>
      <c r="O860" s="2" t="n">
        <v>18</v>
      </c>
      <c r="P860" s="2" t="n">
        <v>0</v>
      </c>
      <c r="Q860" s="2" t="n">
        <v>36</v>
      </c>
      <c r="R860" s="2" t="n">
        <v>6</v>
      </c>
      <c r="S860" s="2" t="n">
        <v>36</v>
      </c>
      <c r="T860" s="2" t="n">
        <v>2</v>
      </c>
      <c r="U860" s="2" t="n">
        <v>13</v>
      </c>
      <c r="V860" s="2" t="n">
        <v>3</v>
      </c>
      <c r="W860" s="2" t="n">
        <v>4</v>
      </c>
      <c r="X860" s="2" t="n">
        <v>3</v>
      </c>
      <c r="Y860" s="2" t="n">
        <v>2</v>
      </c>
      <c r="Z860" s="2" t="n">
        <v>3</v>
      </c>
    </row>
    <row r="861" customFormat="false" ht="15" hidden="false" customHeight="true" outlineLevel="0" collapsed="false">
      <c r="A861" s="2" t="n">
        <v>34</v>
      </c>
      <c r="B861" s="2" t="s">
        <v>26</v>
      </c>
      <c r="C861" s="2" t="s">
        <v>27</v>
      </c>
      <c r="D861" s="2" t="s">
        <v>35</v>
      </c>
      <c r="E861" s="2" t="n">
        <v>2</v>
      </c>
      <c r="F861" s="2" t="n">
        <v>2</v>
      </c>
      <c r="G861" s="2" t="s">
        <v>29</v>
      </c>
      <c r="H861" s="2" t="n">
        <v>860</v>
      </c>
      <c r="I861" s="2" t="s">
        <v>39</v>
      </c>
      <c r="J861" s="2" t="n">
        <v>2</v>
      </c>
      <c r="K861" s="2" t="s">
        <v>36</v>
      </c>
      <c r="L861" s="2" t="s">
        <v>32</v>
      </c>
      <c r="M861" s="2" t="n">
        <v>65860</v>
      </c>
      <c r="N861" s="2" t="n">
        <v>9</v>
      </c>
      <c r="O861" s="2" t="n">
        <v>18</v>
      </c>
      <c r="P861" s="2" t="n">
        <v>1</v>
      </c>
      <c r="Q861" s="2" t="n">
        <v>9</v>
      </c>
      <c r="R861" s="2" t="n">
        <v>3</v>
      </c>
      <c r="S861" s="2" t="n">
        <v>2</v>
      </c>
      <c r="T861" s="2" t="n">
        <v>2</v>
      </c>
      <c r="U861" s="2" t="n">
        <v>1</v>
      </c>
      <c r="V861" s="2" t="n">
        <v>2</v>
      </c>
      <c r="W861" s="2"/>
      <c r="X861" s="2" t="n">
        <v>2</v>
      </c>
      <c r="Y861" s="2" t="n">
        <v>3</v>
      </c>
      <c r="Z861" s="2" t="n">
        <v>3</v>
      </c>
    </row>
    <row r="862" customFormat="false" ht="15" hidden="false" customHeight="true" outlineLevel="0" collapsed="false">
      <c r="A862" s="2" t="n">
        <v>26</v>
      </c>
      <c r="B862" s="2" t="s">
        <v>26</v>
      </c>
      <c r="C862" s="2" t="s">
        <v>27</v>
      </c>
      <c r="D862" s="2" t="s">
        <v>35</v>
      </c>
      <c r="E862" s="2" t="n">
        <v>4</v>
      </c>
      <c r="F862" s="2" t="n">
        <v>3</v>
      </c>
      <c r="G862" s="2" t="s">
        <v>29</v>
      </c>
      <c r="H862" s="2" t="n">
        <v>861</v>
      </c>
      <c r="I862" s="2" t="s">
        <v>39</v>
      </c>
      <c r="J862" s="2" t="n">
        <v>1</v>
      </c>
      <c r="K862" s="2" t="s">
        <v>44</v>
      </c>
      <c r="L862" s="2" t="s">
        <v>32</v>
      </c>
      <c r="M862" s="2" t="n">
        <v>32940</v>
      </c>
      <c r="N862" s="2" t="n">
        <v>1</v>
      </c>
      <c r="O862" s="2" t="n">
        <v>11</v>
      </c>
      <c r="P862" s="2" t="n">
        <v>0</v>
      </c>
      <c r="Q862" s="2" t="n">
        <v>1</v>
      </c>
      <c r="R862" s="2" t="n">
        <v>6</v>
      </c>
      <c r="S862" s="2" t="n">
        <v>1</v>
      </c>
      <c r="T862" s="2" t="n">
        <v>0</v>
      </c>
      <c r="U862" s="2" t="n">
        <v>0</v>
      </c>
      <c r="V862" s="2" t="n">
        <v>1</v>
      </c>
      <c r="W862" s="2" t="n">
        <v>4</v>
      </c>
      <c r="X862" s="2" t="n">
        <v>3</v>
      </c>
      <c r="Y862" s="2" t="n">
        <v>3</v>
      </c>
      <c r="Z862" s="2" t="n">
        <v>3</v>
      </c>
    </row>
    <row r="863" customFormat="false" ht="15" hidden="false" customHeight="true" outlineLevel="0" collapsed="false">
      <c r="A863" s="2" t="n">
        <v>38</v>
      </c>
      <c r="B863" s="2" t="s">
        <v>26</v>
      </c>
      <c r="C863" s="2" t="s">
        <v>27</v>
      </c>
      <c r="D863" s="2" t="s">
        <v>28</v>
      </c>
      <c r="E863" s="2" t="n">
        <v>14</v>
      </c>
      <c r="F863" s="2" t="n">
        <v>2</v>
      </c>
      <c r="G863" s="2" t="s">
        <v>50</v>
      </c>
      <c r="H863" s="2" t="n">
        <v>862</v>
      </c>
      <c r="I863" s="2" t="s">
        <v>30</v>
      </c>
      <c r="J863" s="2" t="n">
        <v>1</v>
      </c>
      <c r="K863" s="2" t="s">
        <v>40</v>
      </c>
      <c r="L863" s="2" t="s">
        <v>32</v>
      </c>
      <c r="M863" s="2" t="n">
        <v>41710</v>
      </c>
      <c r="N863" s="2" t="n">
        <v>0</v>
      </c>
      <c r="O863" s="2" t="n">
        <v>23</v>
      </c>
      <c r="P863" s="2" t="n">
        <v>0</v>
      </c>
      <c r="Q863" s="2" t="n">
        <v>10</v>
      </c>
      <c r="R863" s="2" t="n">
        <v>4</v>
      </c>
      <c r="S863" s="2" t="n">
        <v>9</v>
      </c>
      <c r="T863" s="2" t="n">
        <v>7</v>
      </c>
      <c r="U863" s="2" t="n">
        <v>7</v>
      </c>
      <c r="V863" s="2" t="n">
        <v>3</v>
      </c>
      <c r="W863" s="2" t="n">
        <v>2</v>
      </c>
      <c r="X863" s="2"/>
      <c r="Y863" s="2" t="n">
        <v>4</v>
      </c>
      <c r="Z863" s="2" t="n">
        <v>4</v>
      </c>
    </row>
    <row r="864" customFormat="false" ht="15" hidden="false" customHeight="true" outlineLevel="0" collapsed="false">
      <c r="A864" s="2" t="n">
        <v>38</v>
      </c>
      <c r="B864" s="2" t="s">
        <v>26</v>
      </c>
      <c r="C864" s="2" t="s">
        <v>27</v>
      </c>
      <c r="D864" s="2" t="s">
        <v>35</v>
      </c>
      <c r="E864" s="2" t="n">
        <v>2</v>
      </c>
      <c r="F864" s="2" t="n">
        <v>3</v>
      </c>
      <c r="G864" s="2" t="s">
        <v>29</v>
      </c>
      <c r="H864" s="2" t="n">
        <v>863</v>
      </c>
      <c r="I864" s="2" t="s">
        <v>30</v>
      </c>
      <c r="J864" s="2" t="n">
        <v>1</v>
      </c>
      <c r="K864" s="2" t="s">
        <v>47</v>
      </c>
      <c r="L864" s="2" t="s">
        <v>37</v>
      </c>
      <c r="M864" s="2" t="n">
        <v>27780</v>
      </c>
      <c r="N864" s="2" t="n">
        <v>2</v>
      </c>
      <c r="O864" s="2" t="n">
        <v>13</v>
      </c>
      <c r="P864" s="2" t="n">
        <v>0</v>
      </c>
      <c r="Q864" s="2" t="n">
        <v>8</v>
      </c>
      <c r="R864" s="2" t="n">
        <v>5</v>
      </c>
      <c r="S864" s="2" t="n">
        <v>3</v>
      </c>
      <c r="T864" s="2" t="n">
        <v>1</v>
      </c>
      <c r="U864" s="2" t="n">
        <v>2</v>
      </c>
      <c r="V864" s="2" t="n">
        <v>2</v>
      </c>
      <c r="W864" s="2" t="n">
        <v>2</v>
      </c>
      <c r="X864" s="2" t="n">
        <v>4</v>
      </c>
      <c r="Y864" s="2" t="n">
        <v>2</v>
      </c>
      <c r="Z864" s="2" t="n">
        <v>3</v>
      </c>
    </row>
    <row r="865" customFormat="false" ht="15" hidden="false" customHeight="true" outlineLevel="0" collapsed="false">
      <c r="A865" s="2" t="n">
        <v>36</v>
      </c>
      <c r="B865" s="2" t="s">
        <v>26</v>
      </c>
      <c r="C865" s="2" t="s">
        <v>27</v>
      </c>
      <c r="D865" s="2" t="s">
        <v>42</v>
      </c>
      <c r="E865" s="2" t="n">
        <v>1</v>
      </c>
      <c r="F865" s="2" t="n">
        <v>3</v>
      </c>
      <c r="G865" s="2" t="s">
        <v>42</v>
      </c>
      <c r="H865" s="2" t="n">
        <v>864</v>
      </c>
      <c r="I865" s="2" t="s">
        <v>39</v>
      </c>
      <c r="J865" s="2" t="n">
        <v>1</v>
      </c>
      <c r="K865" s="2" t="s">
        <v>36</v>
      </c>
      <c r="L865" s="2" t="s">
        <v>37</v>
      </c>
      <c r="M865" s="2" t="n">
        <v>23770</v>
      </c>
      <c r="N865" s="2" t="n">
        <v>6</v>
      </c>
      <c r="O865" s="2" t="n">
        <v>13</v>
      </c>
      <c r="P865" s="2" t="n">
        <v>2</v>
      </c>
      <c r="Q865" s="2" t="n">
        <v>15</v>
      </c>
      <c r="R865" s="2" t="n">
        <v>3</v>
      </c>
      <c r="S865" s="2" t="n">
        <v>1</v>
      </c>
      <c r="T865" s="2" t="n">
        <v>0</v>
      </c>
      <c r="U865" s="2" t="n">
        <v>0</v>
      </c>
      <c r="V865" s="2" t="n">
        <v>2</v>
      </c>
      <c r="W865" s="2" t="n">
        <v>3</v>
      </c>
      <c r="X865" s="2" t="n">
        <v>3</v>
      </c>
      <c r="Y865" s="2" t="n">
        <v>3</v>
      </c>
      <c r="Z865" s="2" t="n">
        <v>3</v>
      </c>
    </row>
    <row r="866" customFormat="false" ht="15" hidden="false" customHeight="true" outlineLevel="0" collapsed="false">
      <c r="A866" s="2" t="n">
        <v>29</v>
      </c>
      <c r="B866" s="2" t="s">
        <v>26</v>
      </c>
      <c r="C866" s="2" t="s">
        <v>27</v>
      </c>
      <c r="D866" s="2" t="s">
        <v>35</v>
      </c>
      <c r="E866" s="2" t="n">
        <v>10</v>
      </c>
      <c r="F866" s="2" t="n">
        <v>3</v>
      </c>
      <c r="G866" s="2" t="s">
        <v>29</v>
      </c>
      <c r="H866" s="2" t="n">
        <v>865</v>
      </c>
      <c r="I866" s="2" t="s">
        <v>39</v>
      </c>
      <c r="J866" s="2" t="n">
        <v>1</v>
      </c>
      <c r="K866" s="2" t="s">
        <v>48</v>
      </c>
      <c r="L866" s="2" t="s">
        <v>37</v>
      </c>
      <c r="M866" s="2" t="n">
        <v>24040</v>
      </c>
      <c r="N866" s="2" t="n">
        <v>1</v>
      </c>
      <c r="O866" s="2" t="n">
        <v>17</v>
      </c>
      <c r="P866" s="2" t="n">
        <v>0</v>
      </c>
      <c r="Q866" s="2" t="n">
        <v>10</v>
      </c>
      <c r="R866" s="2" t="n">
        <v>3</v>
      </c>
      <c r="S866" s="2" t="n">
        <v>10</v>
      </c>
      <c r="T866" s="2" t="n">
        <v>1</v>
      </c>
      <c r="U866" s="2" t="n">
        <v>5</v>
      </c>
      <c r="V866" s="2" t="n">
        <v>2</v>
      </c>
      <c r="W866" s="2" t="n">
        <v>1</v>
      </c>
      <c r="X866" s="2" t="n">
        <v>3</v>
      </c>
      <c r="Y866" s="2" t="n">
        <v>2</v>
      </c>
      <c r="Z866" s="2" t="n">
        <v>3</v>
      </c>
    </row>
    <row r="867" customFormat="false" ht="15" hidden="false" customHeight="true" outlineLevel="0" collapsed="false">
      <c r="A867" s="2" t="n">
        <v>35</v>
      </c>
      <c r="B867" s="2" t="s">
        <v>26</v>
      </c>
      <c r="C867" s="2" t="s">
        <v>27</v>
      </c>
      <c r="D867" s="2" t="s">
        <v>28</v>
      </c>
      <c r="E867" s="2" t="n">
        <v>12</v>
      </c>
      <c r="F867" s="2" t="n">
        <v>2</v>
      </c>
      <c r="G867" s="2" t="s">
        <v>29</v>
      </c>
      <c r="H867" s="2" t="n">
        <v>866</v>
      </c>
      <c r="I867" s="2" t="s">
        <v>30</v>
      </c>
      <c r="J867" s="2" t="n">
        <v>2</v>
      </c>
      <c r="K867" s="2" t="s">
        <v>40</v>
      </c>
      <c r="L867" s="2" t="s">
        <v>37</v>
      </c>
      <c r="M867" s="2" t="n">
        <v>23180</v>
      </c>
      <c r="N867" s="2" t="n">
        <v>3</v>
      </c>
      <c r="O867" s="2" t="n">
        <v>19</v>
      </c>
      <c r="P867" s="2" t="n">
        <v>0</v>
      </c>
      <c r="Q867" s="2" t="n">
        <v>10</v>
      </c>
      <c r="R867" s="2" t="n">
        <v>4</v>
      </c>
      <c r="S867" s="2" t="n">
        <v>5</v>
      </c>
      <c r="T867" s="2" t="n">
        <v>0</v>
      </c>
      <c r="U867" s="2" t="n">
        <v>4</v>
      </c>
      <c r="V867" s="2" t="n">
        <v>1</v>
      </c>
      <c r="W867" s="2" t="n">
        <v>3</v>
      </c>
      <c r="X867" s="2" t="n">
        <v>3</v>
      </c>
      <c r="Y867" s="2" t="n">
        <v>4</v>
      </c>
      <c r="Z867" s="2" t="n">
        <v>3</v>
      </c>
    </row>
    <row r="868" customFormat="false" ht="15" hidden="false" customHeight="true" outlineLevel="0" collapsed="false">
      <c r="A868" s="2" t="n">
        <v>39</v>
      </c>
      <c r="B868" s="2" t="s">
        <v>26</v>
      </c>
      <c r="C868" s="2" t="s">
        <v>27</v>
      </c>
      <c r="D868" s="2" t="s">
        <v>28</v>
      </c>
      <c r="E868" s="2" t="n">
        <v>2</v>
      </c>
      <c r="F868" s="2" t="n">
        <v>2</v>
      </c>
      <c r="G868" s="2" t="s">
        <v>43</v>
      </c>
      <c r="H868" s="2" t="n">
        <v>867</v>
      </c>
      <c r="I868" s="2" t="s">
        <v>30</v>
      </c>
      <c r="J868" s="2" t="n">
        <v>1</v>
      </c>
      <c r="K868" s="2" t="s">
        <v>40</v>
      </c>
      <c r="L868" s="2" t="s">
        <v>32</v>
      </c>
      <c r="M868" s="2" t="n">
        <v>20080</v>
      </c>
      <c r="N868" s="2" t="n">
        <v>2</v>
      </c>
      <c r="O868" s="2" t="n">
        <v>12</v>
      </c>
      <c r="P868" s="2" t="n">
        <v>0</v>
      </c>
      <c r="Q868" s="2" t="n">
        <v>11</v>
      </c>
      <c r="R868" s="2" t="n">
        <v>3</v>
      </c>
      <c r="S868" s="2" t="n">
        <v>7</v>
      </c>
      <c r="T868" s="2" t="n">
        <v>7</v>
      </c>
      <c r="U868" s="2" t="n">
        <v>6</v>
      </c>
      <c r="V868" s="2" t="n">
        <v>4</v>
      </c>
      <c r="W868" s="2" t="n">
        <v>3</v>
      </c>
      <c r="X868" s="2" t="n">
        <v>3</v>
      </c>
      <c r="Y868" s="2" t="n">
        <v>3</v>
      </c>
      <c r="Z868" s="2" t="n">
        <v>3</v>
      </c>
    </row>
    <row r="869" customFormat="false" ht="15" hidden="false" customHeight="true" outlineLevel="0" collapsed="false">
      <c r="A869" s="2" t="n">
        <v>29</v>
      </c>
      <c r="B869" s="2" t="s">
        <v>26</v>
      </c>
      <c r="C869" s="2" t="s">
        <v>34</v>
      </c>
      <c r="D869" s="2" t="s">
        <v>35</v>
      </c>
      <c r="E869" s="2" t="n">
        <v>5</v>
      </c>
      <c r="F869" s="2" t="n">
        <v>1</v>
      </c>
      <c r="G869" s="2" t="s">
        <v>43</v>
      </c>
      <c r="H869" s="2" t="n">
        <v>868</v>
      </c>
      <c r="I869" s="2" t="s">
        <v>30</v>
      </c>
      <c r="J869" s="2" t="n">
        <v>1</v>
      </c>
      <c r="K869" s="2" t="s">
        <v>36</v>
      </c>
      <c r="L869" s="2" t="s">
        <v>46</v>
      </c>
      <c r="M869" s="2" t="n">
        <v>62440</v>
      </c>
      <c r="N869" s="2" t="n">
        <v>1</v>
      </c>
      <c r="O869" s="2" t="n">
        <v>22</v>
      </c>
      <c r="P869" s="2" t="n">
        <v>0</v>
      </c>
      <c r="Q869" s="2" t="n">
        <v>6</v>
      </c>
      <c r="R869" s="2" t="n">
        <v>3</v>
      </c>
      <c r="S869" s="2" t="n">
        <v>6</v>
      </c>
      <c r="T869" s="2" t="n">
        <v>1</v>
      </c>
      <c r="U869" s="2" t="n">
        <v>3</v>
      </c>
      <c r="V869" s="2" t="n">
        <v>1</v>
      </c>
      <c r="W869" s="2" t="n">
        <v>4</v>
      </c>
      <c r="X869" s="2" t="n">
        <v>4</v>
      </c>
      <c r="Y869" s="2" t="n">
        <v>3</v>
      </c>
      <c r="Z869" s="2" t="n">
        <v>4</v>
      </c>
    </row>
    <row r="870" customFormat="false" ht="15" hidden="false" customHeight="true" outlineLevel="0" collapsed="false">
      <c r="A870" s="2" t="n">
        <v>50</v>
      </c>
      <c r="B870" s="2" t="s">
        <v>26</v>
      </c>
      <c r="C870" s="2" t="s">
        <v>27</v>
      </c>
      <c r="D870" s="2" t="s">
        <v>35</v>
      </c>
      <c r="E870" s="2" t="n">
        <v>4</v>
      </c>
      <c r="F870" s="2" t="n">
        <v>2</v>
      </c>
      <c r="G870" s="2" t="s">
        <v>43</v>
      </c>
      <c r="H870" s="2" t="n">
        <v>869</v>
      </c>
      <c r="I870" s="2" t="s">
        <v>30</v>
      </c>
      <c r="J870" s="2" t="n">
        <v>1</v>
      </c>
      <c r="K870" s="2" t="s">
        <v>45</v>
      </c>
      <c r="L870" s="2" t="s">
        <v>32</v>
      </c>
      <c r="M870" s="2" t="n">
        <v>27990</v>
      </c>
      <c r="N870" s="2" t="n">
        <v>4</v>
      </c>
      <c r="O870" s="2" t="n">
        <v>12</v>
      </c>
      <c r="P870" s="2" t="n">
        <v>1</v>
      </c>
      <c r="Q870" s="2" t="n">
        <v>27</v>
      </c>
      <c r="R870" s="2" t="n">
        <v>0</v>
      </c>
      <c r="S870" s="2" t="n">
        <v>1</v>
      </c>
      <c r="T870" s="2" t="n">
        <v>0</v>
      </c>
      <c r="U870" s="2" t="n">
        <v>0</v>
      </c>
      <c r="V870" s="2" t="n">
        <v>3</v>
      </c>
      <c r="W870" s="2" t="n">
        <v>3</v>
      </c>
      <c r="X870" s="2" t="n">
        <v>3</v>
      </c>
      <c r="Y870" s="2" t="n">
        <v>1</v>
      </c>
      <c r="Z870" s="2" t="n">
        <v>3</v>
      </c>
    </row>
    <row r="871" customFormat="false" ht="15" hidden="false" customHeight="true" outlineLevel="0" collapsed="false">
      <c r="A871" s="2" t="n">
        <v>23</v>
      </c>
      <c r="B871" s="2" t="s">
        <v>26</v>
      </c>
      <c r="C871" s="2" t="s">
        <v>27</v>
      </c>
      <c r="D871" s="2" t="s">
        <v>35</v>
      </c>
      <c r="E871" s="2" t="n">
        <v>7</v>
      </c>
      <c r="F871" s="2" t="n">
        <v>2</v>
      </c>
      <c r="G871" s="2" t="s">
        <v>29</v>
      </c>
      <c r="H871" s="2" t="n">
        <v>870</v>
      </c>
      <c r="I871" s="2" t="s">
        <v>30</v>
      </c>
      <c r="J871" s="2" t="n">
        <v>3</v>
      </c>
      <c r="K871" s="2" t="s">
        <v>49</v>
      </c>
      <c r="L871" s="2" t="s">
        <v>32</v>
      </c>
      <c r="M871" s="2" t="n">
        <v>105520</v>
      </c>
      <c r="N871" s="2" t="n">
        <v>2</v>
      </c>
      <c r="O871" s="2" t="n">
        <v>11</v>
      </c>
      <c r="P871" s="2" t="n">
        <v>0</v>
      </c>
      <c r="Q871" s="2" t="n">
        <v>4</v>
      </c>
      <c r="R871" s="2" t="n">
        <v>2</v>
      </c>
      <c r="S871" s="2" t="n">
        <v>2</v>
      </c>
      <c r="T871" s="2" t="n">
        <v>2</v>
      </c>
      <c r="U871" s="2" t="n">
        <v>2</v>
      </c>
      <c r="V871" s="2" t="n">
        <v>4</v>
      </c>
      <c r="W871" s="2" t="n">
        <v>3</v>
      </c>
      <c r="X871" s="2" t="n">
        <v>3</v>
      </c>
      <c r="Y871" s="2" t="n">
        <v>3</v>
      </c>
      <c r="Z871" s="2" t="n">
        <v>3</v>
      </c>
    </row>
    <row r="872" customFormat="false" ht="15" hidden="false" customHeight="true" outlineLevel="0" collapsed="false">
      <c r="A872" s="2" t="n">
        <v>36</v>
      </c>
      <c r="B872" s="2" t="s">
        <v>26</v>
      </c>
      <c r="C872" s="2" t="s">
        <v>34</v>
      </c>
      <c r="D872" s="2" t="s">
        <v>28</v>
      </c>
      <c r="E872" s="2" t="n">
        <v>21</v>
      </c>
      <c r="F872" s="2" t="n">
        <v>3</v>
      </c>
      <c r="G872" s="2" t="s">
        <v>29</v>
      </c>
      <c r="H872" s="2" t="n">
        <v>871</v>
      </c>
      <c r="I872" s="2" t="s">
        <v>39</v>
      </c>
      <c r="J872" s="2" t="n">
        <v>2</v>
      </c>
      <c r="K872" s="2" t="s">
        <v>42</v>
      </c>
      <c r="L872" s="2" t="s">
        <v>32</v>
      </c>
      <c r="M872" s="2" t="n">
        <v>23290</v>
      </c>
      <c r="N872" s="2" t="n">
        <v>3</v>
      </c>
      <c r="O872" s="2" t="n">
        <v>15</v>
      </c>
      <c r="P872" s="2" t="n">
        <v>0</v>
      </c>
      <c r="Q872" s="2" t="n">
        <v>9</v>
      </c>
      <c r="R872" s="2" t="n">
        <v>2</v>
      </c>
      <c r="S872" s="2" t="n">
        <v>3</v>
      </c>
      <c r="T872" s="2" t="n">
        <v>0</v>
      </c>
      <c r="U872" s="2" t="n">
        <v>2</v>
      </c>
      <c r="V872" s="2" t="n">
        <v>1</v>
      </c>
      <c r="W872" s="2" t="n">
        <v>1</v>
      </c>
      <c r="X872" s="2" t="n">
        <v>3</v>
      </c>
      <c r="Y872" s="2" t="n">
        <v>3</v>
      </c>
      <c r="Z872" s="2" t="n">
        <v>3</v>
      </c>
    </row>
    <row r="873" customFormat="false" ht="15" hidden="false" customHeight="true" outlineLevel="0" collapsed="false">
      <c r="A873" s="2" t="n">
        <v>42</v>
      </c>
      <c r="B873" s="2" t="s">
        <v>26</v>
      </c>
      <c r="C873" s="2" t="s">
        <v>27</v>
      </c>
      <c r="D873" s="2" t="s">
        <v>35</v>
      </c>
      <c r="E873" s="2" t="n">
        <v>8</v>
      </c>
      <c r="F873" s="2" t="n">
        <v>2</v>
      </c>
      <c r="G873" s="2" t="s">
        <v>29</v>
      </c>
      <c r="H873" s="2" t="n">
        <v>872</v>
      </c>
      <c r="I873" s="2" t="s">
        <v>30</v>
      </c>
      <c r="J873" s="2" t="n">
        <v>5</v>
      </c>
      <c r="K873" s="2" t="s">
        <v>49</v>
      </c>
      <c r="L873" s="2" t="s">
        <v>37</v>
      </c>
      <c r="M873" s="2" t="n">
        <v>40140</v>
      </c>
      <c r="N873" s="2" t="n">
        <v>8</v>
      </c>
      <c r="O873" s="2" t="n">
        <v>13</v>
      </c>
      <c r="P873" s="2" t="n">
        <v>1</v>
      </c>
      <c r="Q873" s="2" t="n">
        <v>24</v>
      </c>
      <c r="R873" s="2" t="n">
        <v>3</v>
      </c>
      <c r="S873" s="2" t="n">
        <v>1</v>
      </c>
      <c r="T873" s="2" t="n">
        <v>0</v>
      </c>
      <c r="U873" s="2" t="n">
        <v>1</v>
      </c>
      <c r="V873" s="2" t="n">
        <v>4</v>
      </c>
      <c r="W873" s="2" t="n">
        <v>4</v>
      </c>
      <c r="X873" s="2" t="n">
        <v>3</v>
      </c>
      <c r="Y873" s="2" t="n">
        <v>3</v>
      </c>
      <c r="Z873" s="2" t="n">
        <v>3</v>
      </c>
    </row>
    <row r="874" customFormat="false" ht="15" hidden="false" customHeight="true" outlineLevel="0" collapsed="false">
      <c r="A874" s="2" t="n">
        <v>35</v>
      </c>
      <c r="B874" s="2" t="s">
        <v>26</v>
      </c>
      <c r="C874" s="2" t="s">
        <v>27</v>
      </c>
      <c r="D874" s="2" t="s">
        <v>28</v>
      </c>
      <c r="E874" s="2" t="n">
        <v>4</v>
      </c>
      <c r="F874" s="2" t="n">
        <v>3</v>
      </c>
      <c r="G874" s="2" t="s">
        <v>43</v>
      </c>
      <c r="H874" s="2" t="n">
        <v>873</v>
      </c>
      <c r="I874" s="2" t="s">
        <v>30</v>
      </c>
      <c r="J874" s="2" t="n">
        <v>2</v>
      </c>
      <c r="K874" s="2" t="s">
        <v>45</v>
      </c>
      <c r="L874" s="2" t="s">
        <v>32</v>
      </c>
      <c r="M874" s="2" t="n">
        <v>74030</v>
      </c>
      <c r="N874" s="2" t="n">
        <v>1</v>
      </c>
      <c r="O874" s="2" t="n">
        <v>12</v>
      </c>
      <c r="P874" s="2" t="n">
        <v>1</v>
      </c>
      <c r="Q874" s="2" t="n">
        <v>10</v>
      </c>
      <c r="R874" s="2" t="n">
        <v>4</v>
      </c>
      <c r="S874" s="2" t="n">
        <v>10</v>
      </c>
      <c r="T874" s="2" t="n">
        <v>6</v>
      </c>
      <c r="U874" s="2" t="n">
        <v>8</v>
      </c>
      <c r="V874" s="2" t="n">
        <v>2</v>
      </c>
      <c r="W874" s="2" t="n">
        <v>3</v>
      </c>
      <c r="X874" s="2" t="n">
        <v>2</v>
      </c>
      <c r="Y874" s="2" t="n">
        <v>3</v>
      </c>
      <c r="Z874" s="2" t="n">
        <v>3</v>
      </c>
    </row>
    <row r="875" customFormat="false" ht="15" hidden="false" customHeight="true" outlineLevel="0" collapsed="false">
      <c r="A875" s="2" t="n">
        <v>34</v>
      </c>
      <c r="B875" s="2" t="s">
        <v>26</v>
      </c>
      <c r="C875" s="2" t="s">
        <v>34</v>
      </c>
      <c r="D875" s="2" t="s">
        <v>35</v>
      </c>
      <c r="E875" s="2" t="n">
        <v>25</v>
      </c>
      <c r="F875" s="2" t="n">
        <v>1</v>
      </c>
      <c r="G875" s="2" t="s">
        <v>29</v>
      </c>
      <c r="H875" s="2" t="n">
        <v>874</v>
      </c>
      <c r="I875" s="2" t="s">
        <v>30</v>
      </c>
      <c r="J875" s="2" t="n">
        <v>1</v>
      </c>
      <c r="K875" s="2" t="s">
        <v>49</v>
      </c>
      <c r="L875" s="2" t="s">
        <v>32</v>
      </c>
      <c r="M875" s="2" t="n">
        <v>22590</v>
      </c>
      <c r="N875" s="2" t="n">
        <v>1</v>
      </c>
      <c r="O875" s="2" t="n">
        <v>14</v>
      </c>
      <c r="P875" s="2" t="n">
        <v>0</v>
      </c>
      <c r="Q875" s="2" t="n">
        <v>8</v>
      </c>
      <c r="R875" s="2" t="n">
        <v>2</v>
      </c>
      <c r="S875" s="2" t="n">
        <v>8</v>
      </c>
      <c r="T875" s="2" t="n">
        <v>7</v>
      </c>
      <c r="U875" s="2" t="n">
        <v>7</v>
      </c>
      <c r="V875" s="2" t="n">
        <v>4</v>
      </c>
      <c r="W875" s="2" t="n">
        <v>3</v>
      </c>
      <c r="X875" s="2" t="n">
        <v>2</v>
      </c>
      <c r="Y875" s="2" t="n">
        <v>3</v>
      </c>
      <c r="Z875" s="2" t="n">
        <v>3</v>
      </c>
    </row>
    <row r="876" customFormat="false" ht="15" hidden="false" customHeight="true" outlineLevel="0" collapsed="false">
      <c r="A876" s="2" t="n">
        <v>40</v>
      </c>
      <c r="B876" s="2" t="s">
        <v>26</v>
      </c>
      <c r="C876" s="2" t="s">
        <v>27</v>
      </c>
      <c r="D876" s="2" t="s">
        <v>35</v>
      </c>
      <c r="E876" s="2" t="n">
        <v>1</v>
      </c>
      <c r="F876" s="2" t="n">
        <v>4</v>
      </c>
      <c r="G876" s="2" t="s">
        <v>29</v>
      </c>
      <c r="H876" s="2" t="n">
        <v>875</v>
      </c>
      <c r="I876" s="2" t="s">
        <v>39</v>
      </c>
      <c r="J876" s="2" t="n">
        <v>2</v>
      </c>
      <c r="K876" s="2" t="s">
        <v>45</v>
      </c>
      <c r="L876" s="2" t="s">
        <v>32</v>
      </c>
      <c r="M876" s="2" t="n">
        <v>69320</v>
      </c>
      <c r="N876" s="2" t="n">
        <v>1</v>
      </c>
      <c r="O876" s="2" t="n">
        <v>13</v>
      </c>
      <c r="P876" s="2" t="n">
        <v>0</v>
      </c>
      <c r="Q876" s="2" t="n">
        <v>5</v>
      </c>
      <c r="R876" s="2" t="n">
        <v>5</v>
      </c>
      <c r="S876" s="2" t="n">
        <v>5</v>
      </c>
      <c r="T876" s="2" t="n">
        <v>1</v>
      </c>
      <c r="U876" s="2" t="n">
        <v>2</v>
      </c>
      <c r="V876" s="2" t="n">
        <v>4</v>
      </c>
      <c r="W876" s="2" t="n">
        <v>1</v>
      </c>
      <c r="X876" s="2" t="n">
        <v>3</v>
      </c>
      <c r="Y876" s="2" t="n">
        <v>3</v>
      </c>
      <c r="Z876" s="2" t="n">
        <v>3</v>
      </c>
    </row>
    <row r="877" customFormat="false" ht="15" hidden="false" customHeight="true" outlineLevel="0" collapsed="false">
      <c r="A877" s="2" t="n">
        <v>43</v>
      </c>
      <c r="B877" s="2" t="s">
        <v>26</v>
      </c>
      <c r="C877" s="2" t="s">
        <v>27</v>
      </c>
      <c r="D877" s="2" t="s">
        <v>35</v>
      </c>
      <c r="E877" s="2" t="n">
        <v>1</v>
      </c>
      <c r="F877" s="2" t="n">
        <v>1</v>
      </c>
      <c r="G877" s="2" t="s">
        <v>38</v>
      </c>
      <c r="H877" s="2" t="n">
        <v>876</v>
      </c>
      <c r="I877" s="2" t="s">
        <v>39</v>
      </c>
      <c r="J877" s="2" t="n">
        <v>1</v>
      </c>
      <c r="K877" s="2" t="s">
        <v>49</v>
      </c>
      <c r="L877" s="2" t="s">
        <v>46</v>
      </c>
      <c r="M877" s="2" t="n">
        <v>46780</v>
      </c>
      <c r="N877" s="2" t="n">
        <v>5</v>
      </c>
      <c r="O877" s="2" t="n">
        <v>25</v>
      </c>
      <c r="P877" s="2" t="n">
        <v>1</v>
      </c>
      <c r="Q877" s="2" t="n">
        <v>8</v>
      </c>
      <c r="R877" s="2" t="n">
        <v>0</v>
      </c>
      <c r="S877" s="2" t="n">
        <v>6</v>
      </c>
      <c r="T877" s="2" t="n">
        <v>0</v>
      </c>
      <c r="U877" s="2" t="n">
        <v>2</v>
      </c>
      <c r="V877" s="2" t="n">
        <v>4</v>
      </c>
      <c r="W877" s="2" t="n">
        <v>2</v>
      </c>
      <c r="X877" s="2" t="n">
        <v>3</v>
      </c>
      <c r="Y877" s="2" t="n">
        <v>4</v>
      </c>
      <c r="Z877" s="2" t="n">
        <v>4</v>
      </c>
    </row>
    <row r="878" customFormat="false" ht="15" hidden="false" customHeight="true" outlineLevel="0" collapsed="false">
      <c r="A878" s="2" t="n">
        <v>35</v>
      </c>
      <c r="B878" s="2" t="s">
        <v>26</v>
      </c>
      <c r="C878" s="2" t="s">
        <v>27</v>
      </c>
      <c r="D878" s="2" t="s">
        <v>28</v>
      </c>
      <c r="E878" s="2" t="n">
        <v>6</v>
      </c>
      <c r="F878" s="2" t="n">
        <v>3</v>
      </c>
      <c r="G878" s="2" t="s">
        <v>50</v>
      </c>
      <c r="H878" s="2" t="n">
        <v>877</v>
      </c>
      <c r="I878" s="2" t="s">
        <v>30</v>
      </c>
      <c r="J878" s="2" t="n">
        <v>3</v>
      </c>
      <c r="K878" s="2" t="s">
        <v>48</v>
      </c>
      <c r="L878" s="2" t="s">
        <v>32</v>
      </c>
      <c r="M878" s="2" t="n">
        <v>135820</v>
      </c>
      <c r="N878" s="2" t="n">
        <v>1</v>
      </c>
      <c r="O878" s="2" t="n">
        <v>17</v>
      </c>
      <c r="P878" s="2" t="n">
        <v>1</v>
      </c>
      <c r="Q878" s="2" t="n">
        <v>1</v>
      </c>
      <c r="R878" s="2" t="n">
        <v>3</v>
      </c>
      <c r="S878" s="2" t="n">
        <v>1</v>
      </c>
      <c r="T878" s="2" t="n">
        <v>0</v>
      </c>
      <c r="U878" s="2" t="n">
        <v>1</v>
      </c>
      <c r="V878" s="2" t="n">
        <v>3</v>
      </c>
      <c r="W878" s="2" t="n">
        <v>4</v>
      </c>
      <c r="X878" s="2" t="n">
        <v>2</v>
      </c>
      <c r="Y878" s="2" t="n">
        <v>2</v>
      </c>
      <c r="Z878" s="2" t="n">
        <v>3</v>
      </c>
    </row>
    <row r="879" customFormat="false" ht="15" hidden="false" customHeight="true" outlineLevel="0" collapsed="false">
      <c r="A879" s="2" t="n">
        <v>46</v>
      </c>
      <c r="B879" s="2" t="s">
        <v>26</v>
      </c>
      <c r="C879" s="2" t="s">
        <v>27</v>
      </c>
      <c r="D879" s="2" t="s">
        <v>35</v>
      </c>
      <c r="E879" s="2" t="n">
        <v>12</v>
      </c>
      <c r="F879" s="2" t="n">
        <v>4</v>
      </c>
      <c r="G879" s="2" t="s">
        <v>51</v>
      </c>
      <c r="H879" s="2" t="n">
        <v>878</v>
      </c>
      <c r="I879" s="2" t="s">
        <v>39</v>
      </c>
      <c r="J879" s="2" t="n">
        <v>1</v>
      </c>
      <c r="K879" s="2" t="s">
        <v>45</v>
      </c>
      <c r="L879" s="2" t="s">
        <v>37</v>
      </c>
      <c r="M879" s="2" t="n">
        <v>23320</v>
      </c>
      <c r="N879" s="2" t="n">
        <v>1</v>
      </c>
      <c r="O879" s="2" t="n">
        <v>11</v>
      </c>
      <c r="P879" s="2" t="n">
        <v>0</v>
      </c>
      <c r="Q879" s="2" t="n">
        <v>27</v>
      </c>
      <c r="R879" s="2" t="n">
        <v>2</v>
      </c>
      <c r="S879" s="2" t="n">
        <v>26</v>
      </c>
      <c r="T879" s="2" t="n">
        <v>0</v>
      </c>
      <c r="U879" s="2" t="n">
        <v>12</v>
      </c>
      <c r="V879" s="2" t="n">
        <v>4</v>
      </c>
      <c r="W879" s="2" t="n">
        <v>1</v>
      </c>
      <c r="X879" s="2" t="n">
        <v>1</v>
      </c>
      <c r="Y879" s="2" t="n">
        <v>3</v>
      </c>
      <c r="Z879" s="2" t="n">
        <v>3</v>
      </c>
    </row>
    <row r="880" customFormat="false" ht="15" hidden="false" customHeight="true" outlineLevel="0" collapsed="false">
      <c r="A880" s="2" t="n">
        <v>28</v>
      </c>
      <c r="B880" s="2" t="s">
        <v>33</v>
      </c>
      <c r="C880" s="2" t="s">
        <v>27</v>
      </c>
      <c r="D880" s="2" t="s">
        <v>42</v>
      </c>
      <c r="E880" s="2" t="n">
        <v>1</v>
      </c>
      <c r="F880" s="2" t="n">
        <v>3</v>
      </c>
      <c r="G880" s="2" t="s">
        <v>43</v>
      </c>
      <c r="H880" s="2" t="n">
        <v>879</v>
      </c>
      <c r="I880" s="2" t="s">
        <v>30</v>
      </c>
      <c r="J880" s="2" t="n">
        <v>2</v>
      </c>
      <c r="K880" s="2" t="s">
        <v>45</v>
      </c>
      <c r="L880" s="2" t="s">
        <v>32</v>
      </c>
      <c r="M880" s="2" t="n">
        <v>24130</v>
      </c>
      <c r="N880" s="2" t="n">
        <v>1</v>
      </c>
      <c r="O880" s="2" t="n">
        <v>16</v>
      </c>
      <c r="P880" s="2" t="n">
        <v>1</v>
      </c>
      <c r="Q880" s="2" t="n">
        <v>1</v>
      </c>
      <c r="R880" s="2" t="n">
        <v>2</v>
      </c>
      <c r="S880" s="2" t="n">
        <v>1</v>
      </c>
      <c r="T880" s="2" t="n">
        <v>0</v>
      </c>
      <c r="U880" s="2" t="n">
        <v>0</v>
      </c>
      <c r="V880" s="2" t="n">
        <v>3</v>
      </c>
      <c r="W880" s="2" t="n">
        <v>2</v>
      </c>
      <c r="X880" s="2" t="n">
        <v>3</v>
      </c>
      <c r="Y880" s="2" t="n">
        <v>3</v>
      </c>
      <c r="Z880" s="2" t="n">
        <v>3</v>
      </c>
    </row>
    <row r="881" customFormat="false" ht="15" hidden="false" customHeight="true" outlineLevel="0" collapsed="false">
      <c r="A881" s="2" t="n">
        <v>22</v>
      </c>
      <c r="B881" s="2" t="s">
        <v>26</v>
      </c>
      <c r="C881" s="2" t="s">
        <v>41</v>
      </c>
      <c r="D881" s="2" t="s">
        <v>28</v>
      </c>
      <c r="E881" s="2" t="n">
        <v>17</v>
      </c>
      <c r="F881" s="2" t="n">
        <v>2</v>
      </c>
      <c r="G881" s="2" t="s">
        <v>50</v>
      </c>
      <c r="H881" s="2" t="n">
        <v>880</v>
      </c>
      <c r="I881" s="2" t="s">
        <v>39</v>
      </c>
      <c r="J881" s="2" t="n">
        <v>3</v>
      </c>
      <c r="K881" s="2" t="s">
        <v>40</v>
      </c>
      <c r="L881" s="2" t="s">
        <v>32</v>
      </c>
      <c r="M881" s="2" t="n">
        <v>97050</v>
      </c>
      <c r="N881" s="2" t="n">
        <v>1</v>
      </c>
      <c r="O881" s="2" t="n">
        <v>18</v>
      </c>
      <c r="P881" s="2" t="n">
        <v>2</v>
      </c>
      <c r="Q881" s="2" t="n">
        <v>4</v>
      </c>
      <c r="R881" s="2" t="n">
        <v>3</v>
      </c>
      <c r="S881" s="2" t="n">
        <v>4</v>
      </c>
      <c r="T881" s="2" t="n">
        <v>1</v>
      </c>
      <c r="U881" s="2" t="n">
        <v>3</v>
      </c>
      <c r="V881" s="2" t="n">
        <v>2</v>
      </c>
      <c r="W881" s="2" t="n">
        <v>3</v>
      </c>
      <c r="X881" s="2" t="n">
        <v>2</v>
      </c>
      <c r="Y881" s="2" t="n">
        <v>2</v>
      </c>
      <c r="Z881" s="2" t="n">
        <v>3</v>
      </c>
    </row>
    <row r="882" customFormat="false" ht="15" hidden="false" customHeight="true" outlineLevel="0" collapsed="false">
      <c r="A882" s="2" t="n">
        <v>50</v>
      </c>
      <c r="B882" s="2" t="s">
        <v>26</v>
      </c>
      <c r="C882" s="2" t="s">
        <v>34</v>
      </c>
      <c r="D882" s="2" t="s">
        <v>35</v>
      </c>
      <c r="E882" s="2" t="n">
        <v>3</v>
      </c>
      <c r="F882" s="2" t="n">
        <v>3</v>
      </c>
      <c r="G882" s="2" t="s">
        <v>38</v>
      </c>
      <c r="H882" s="2" t="n">
        <v>881</v>
      </c>
      <c r="I882" s="2" t="s">
        <v>39</v>
      </c>
      <c r="J882" s="2" t="n">
        <v>2</v>
      </c>
      <c r="K882" s="2" t="s">
        <v>36</v>
      </c>
      <c r="L882" s="2" t="s">
        <v>32</v>
      </c>
      <c r="M882" s="2" t="n">
        <v>42940</v>
      </c>
      <c r="N882" s="2" t="n">
        <v>2</v>
      </c>
      <c r="O882" s="2" t="n">
        <v>20</v>
      </c>
      <c r="P882" s="2" t="n">
        <v>0</v>
      </c>
      <c r="Q882" s="2" t="n">
        <v>32</v>
      </c>
      <c r="R882" s="2" t="n">
        <v>2</v>
      </c>
      <c r="S882" s="2" t="n">
        <v>30</v>
      </c>
      <c r="T882" s="2" t="n">
        <v>12</v>
      </c>
      <c r="U882" s="2" t="n">
        <v>13</v>
      </c>
      <c r="V882" s="2" t="n">
        <v>2</v>
      </c>
      <c r="W882" s="2" t="n">
        <v>3</v>
      </c>
      <c r="X882" s="2" t="n">
        <v>3</v>
      </c>
      <c r="Y882" s="2" t="n">
        <v>2</v>
      </c>
      <c r="Z882" s="2" t="n">
        <v>4</v>
      </c>
    </row>
    <row r="883" customFormat="false" ht="15" hidden="false" customHeight="true" outlineLevel="0" collapsed="false">
      <c r="A883" s="2" t="n">
        <v>32</v>
      </c>
      <c r="B883" s="2" t="s">
        <v>26</v>
      </c>
      <c r="C883" s="2" t="s">
        <v>27</v>
      </c>
      <c r="D883" s="2" t="s">
        <v>35</v>
      </c>
      <c r="E883" s="2" t="n">
        <v>3</v>
      </c>
      <c r="F883" s="2" t="n">
        <v>2</v>
      </c>
      <c r="G883" s="2" t="s">
        <v>29</v>
      </c>
      <c r="H883" s="2" t="n">
        <v>882</v>
      </c>
      <c r="I883" s="2" t="s">
        <v>39</v>
      </c>
      <c r="J883" s="2" t="n">
        <v>3</v>
      </c>
      <c r="K883" s="2" t="s">
        <v>36</v>
      </c>
      <c r="L883" s="2" t="s">
        <v>32</v>
      </c>
      <c r="M883" s="2" t="n">
        <v>47210</v>
      </c>
      <c r="N883" s="2" t="n">
        <v>3</v>
      </c>
      <c r="O883" s="2" t="n">
        <v>14</v>
      </c>
      <c r="P883" s="2" t="n">
        <v>1</v>
      </c>
      <c r="Q883" s="2" t="n">
        <v>6</v>
      </c>
      <c r="R883" s="2" t="n">
        <v>3</v>
      </c>
      <c r="S883" s="2" t="n">
        <v>3</v>
      </c>
      <c r="T883" s="2" t="n">
        <v>0</v>
      </c>
      <c r="U883" s="2" t="n">
        <v>2</v>
      </c>
      <c r="V883" s="2" t="n">
        <v>2</v>
      </c>
      <c r="W883" s="2" t="n">
        <v>4</v>
      </c>
      <c r="X883" s="2" t="n">
        <v>3</v>
      </c>
      <c r="Y883" s="2" t="n">
        <v>3</v>
      </c>
      <c r="Z883" s="2" t="n">
        <v>3</v>
      </c>
    </row>
    <row r="884" customFormat="false" ht="15" hidden="false" customHeight="true" outlineLevel="0" collapsed="false">
      <c r="A884" s="2" t="n">
        <v>44</v>
      </c>
      <c r="B884" s="2" t="s">
        <v>26</v>
      </c>
      <c r="C884" s="2" t="s">
        <v>27</v>
      </c>
      <c r="D884" s="2" t="s">
        <v>35</v>
      </c>
      <c r="E884" s="2" t="n">
        <v>10</v>
      </c>
      <c r="F884" s="2" t="n">
        <v>3</v>
      </c>
      <c r="G884" s="2" t="s">
        <v>51</v>
      </c>
      <c r="H884" s="2" t="n">
        <v>883</v>
      </c>
      <c r="I884" s="2" t="s">
        <v>39</v>
      </c>
      <c r="J884" s="2" t="n">
        <v>3</v>
      </c>
      <c r="K884" s="2" t="s">
        <v>49</v>
      </c>
      <c r="L884" s="2" t="s">
        <v>46</v>
      </c>
      <c r="M884" s="2" t="n">
        <v>25190</v>
      </c>
      <c r="N884" s="2" t="n">
        <v>0</v>
      </c>
      <c r="O884" s="2" t="n">
        <v>21</v>
      </c>
      <c r="P884" s="2" t="n">
        <v>2</v>
      </c>
      <c r="Q884" s="2" t="n">
        <v>23</v>
      </c>
      <c r="R884" s="2" t="n">
        <v>2</v>
      </c>
      <c r="S884" s="2" t="n">
        <v>22</v>
      </c>
      <c r="T884" s="2" t="n">
        <v>1</v>
      </c>
      <c r="U884" s="2" t="n">
        <v>10</v>
      </c>
      <c r="V884" s="2" t="n">
        <v>2</v>
      </c>
      <c r="W884" s="2" t="n">
        <v>4</v>
      </c>
      <c r="X884" s="2" t="n">
        <v>2</v>
      </c>
      <c r="Y884" s="2" t="n">
        <v>3</v>
      </c>
      <c r="Z884" s="2" t="n">
        <v>4</v>
      </c>
    </row>
    <row r="885" customFormat="false" ht="15" hidden="false" customHeight="true" outlineLevel="0" collapsed="false">
      <c r="A885" s="2" t="n">
        <v>30</v>
      </c>
      <c r="B885" s="2" t="s">
        <v>26</v>
      </c>
      <c r="C885" s="2" t="s">
        <v>27</v>
      </c>
      <c r="D885" s="2" t="s">
        <v>35</v>
      </c>
      <c r="E885" s="2" t="n">
        <v>4</v>
      </c>
      <c r="F885" s="2" t="n">
        <v>3</v>
      </c>
      <c r="G885" s="2" t="s">
        <v>43</v>
      </c>
      <c r="H885" s="2" t="n">
        <v>884</v>
      </c>
      <c r="I885" s="2" t="s">
        <v>30</v>
      </c>
      <c r="J885" s="2" t="n">
        <v>1</v>
      </c>
      <c r="K885" s="2" t="s">
        <v>44</v>
      </c>
      <c r="L885" s="2" t="s">
        <v>32</v>
      </c>
      <c r="M885" s="2" t="n">
        <v>21210</v>
      </c>
      <c r="N885" s="2" t="n">
        <v>1</v>
      </c>
      <c r="O885" s="2" t="n">
        <v>13</v>
      </c>
      <c r="P885" s="2" t="n">
        <v>1</v>
      </c>
      <c r="Q885" s="2" t="n">
        <v>6</v>
      </c>
      <c r="R885" s="2" t="n">
        <v>2</v>
      </c>
      <c r="S885" s="2" t="n">
        <v>6</v>
      </c>
      <c r="T885" s="2" t="n">
        <v>1</v>
      </c>
      <c r="U885" s="2" t="n">
        <v>1</v>
      </c>
      <c r="V885" s="2" t="n">
        <v>2</v>
      </c>
      <c r="W885" s="2" t="n">
        <v>2</v>
      </c>
      <c r="X885" s="2" t="n">
        <v>2</v>
      </c>
      <c r="Y885" s="2" t="n">
        <v>3</v>
      </c>
      <c r="Z885" s="2" t="n">
        <v>3</v>
      </c>
    </row>
    <row r="886" customFormat="false" ht="15" hidden="false" customHeight="true" outlineLevel="0" collapsed="false">
      <c r="A886" s="2" t="n">
        <v>45</v>
      </c>
      <c r="B886" s="2" t="s">
        <v>26</v>
      </c>
      <c r="C886" s="2" t="s">
        <v>27</v>
      </c>
      <c r="D886" s="2" t="s">
        <v>28</v>
      </c>
      <c r="E886" s="2" t="n">
        <v>29</v>
      </c>
      <c r="F886" s="2" t="n">
        <v>2</v>
      </c>
      <c r="G886" s="2" t="s">
        <v>51</v>
      </c>
      <c r="H886" s="2" t="n">
        <v>885</v>
      </c>
      <c r="I886" s="2" t="s">
        <v>30</v>
      </c>
      <c r="J886" s="2" t="n">
        <v>2</v>
      </c>
      <c r="K886" s="2" t="s">
        <v>36</v>
      </c>
      <c r="L886" s="2" t="s">
        <v>37</v>
      </c>
      <c r="M886" s="2" t="n">
        <v>29730</v>
      </c>
      <c r="N886" s="2" t="n">
        <v>1</v>
      </c>
      <c r="O886" s="2" t="n">
        <v>12</v>
      </c>
      <c r="P886" s="2" t="n">
        <v>0</v>
      </c>
      <c r="Q886" s="2" t="n">
        <v>10</v>
      </c>
      <c r="R886" s="2" t="n">
        <v>2</v>
      </c>
      <c r="S886" s="2" t="n">
        <v>10</v>
      </c>
      <c r="T886" s="2" t="n">
        <v>1</v>
      </c>
      <c r="U886" s="2" t="n">
        <v>4</v>
      </c>
      <c r="V886" s="2" t="n">
        <v>3</v>
      </c>
      <c r="W886" s="2" t="n">
        <v>1</v>
      </c>
      <c r="X886" s="2" t="n">
        <v>3</v>
      </c>
      <c r="Y886" s="2" t="n">
        <v>3</v>
      </c>
      <c r="Z886" s="2" t="n">
        <v>3</v>
      </c>
    </row>
    <row r="887" customFormat="false" ht="15" hidden="false" customHeight="true" outlineLevel="0" collapsed="false">
      <c r="A887" s="2" t="n">
        <v>45</v>
      </c>
      <c r="B887" s="2" t="s">
        <v>26</v>
      </c>
      <c r="C887" s="2" t="s">
        <v>41</v>
      </c>
      <c r="D887" s="2" t="s">
        <v>28</v>
      </c>
      <c r="E887" s="2" t="n">
        <v>2</v>
      </c>
      <c r="F887" s="2" t="n">
        <v>4</v>
      </c>
      <c r="G887" s="2" t="s">
        <v>29</v>
      </c>
      <c r="H887" s="2" t="n">
        <v>886</v>
      </c>
      <c r="I887" s="2" t="s">
        <v>39</v>
      </c>
      <c r="J887" s="2" t="n">
        <v>2</v>
      </c>
      <c r="K887" s="2" t="s">
        <v>47</v>
      </c>
      <c r="L887" s="2" t="s">
        <v>32</v>
      </c>
      <c r="M887" s="2" t="n">
        <v>58550</v>
      </c>
      <c r="N887" s="2" t="n">
        <v>1</v>
      </c>
      <c r="O887" s="2" t="n">
        <v>14</v>
      </c>
      <c r="P887" s="2" t="n">
        <v>1</v>
      </c>
      <c r="Q887" s="2" t="n">
        <v>10</v>
      </c>
      <c r="R887" s="2" t="n">
        <v>3</v>
      </c>
      <c r="S887" s="2" t="n">
        <v>10</v>
      </c>
      <c r="T887" s="2" t="n">
        <v>4</v>
      </c>
      <c r="U887" s="2" t="n">
        <v>5</v>
      </c>
      <c r="V887" s="2" t="n">
        <v>1</v>
      </c>
      <c r="W887" s="2" t="n">
        <v>1</v>
      </c>
      <c r="X887" s="2" t="n">
        <v>3</v>
      </c>
      <c r="Y887" s="2" t="n">
        <v>2</v>
      </c>
      <c r="Z887" s="2" t="n">
        <v>3</v>
      </c>
    </row>
    <row r="888" customFormat="false" ht="15" hidden="false" customHeight="true" outlineLevel="0" collapsed="false">
      <c r="A888" s="2" t="n">
        <v>31</v>
      </c>
      <c r="B888" s="2" t="s">
        <v>26</v>
      </c>
      <c r="C888" s="2" t="s">
        <v>34</v>
      </c>
      <c r="D888" s="2" t="s">
        <v>35</v>
      </c>
      <c r="E888" s="2" t="n">
        <v>7</v>
      </c>
      <c r="F888" s="2" t="n">
        <v>3</v>
      </c>
      <c r="G888" s="2" t="s">
        <v>43</v>
      </c>
      <c r="H888" s="2" t="n">
        <v>887</v>
      </c>
      <c r="I888" s="2" t="s">
        <v>39</v>
      </c>
      <c r="J888" s="2" t="n">
        <v>2</v>
      </c>
      <c r="K888" s="2" t="s">
        <v>36</v>
      </c>
      <c r="L888" s="2" t="s">
        <v>37</v>
      </c>
      <c r="M888" s="2" t="n">
        <v>36170</v>
      </c>
      <c r="N888" s="2" t="n">
        <v>7</v>
      </c>
      <c r="O888" s="2" t="n">
        <v>21</v>
      </c>
      <c r="P888" s="2" t="n">
        <v>1</v>
      </c>
      <c r="Q888" s="2" t="n">
        <v>10</v>
      </c>
      <c r="R888" s="2" t="n">
        <v>5</v>
      </c>
      <c r="S888" s="2" t="n">
        <v>5</v>
      </c>
      <c r="T888" s="2" t="n">
        <v>0</v>
      </c>
      <c r="U888" s="2" t="n">
        <v>3</v>
      </c>
      <c r="V888" s="2" t="n">
        <v>4</v>
      </c>
      <c r="W888" s="2" t="n">
        <v>1</v>
      </c>
      <c r="X888" s="2" t="n">
        <v>3</v>
      </c>
      <c r="Y888" s="2" t="n">
        <v>3</v>
      </c>
      <c r="Z888" s="2" t="n">
        <v>4</v>
      </c>
    </row>
    <row r="889" customFormat="false" ht="15" hidden="false" customHeight="true" outlineLevel="0" collapsed="false">
      <c r="A889" s="2" t="n">
        <v>36</v>
      </c>
      <c r="B889" s="2" t="s">
        <v>26</v>
      </c>
      <c r="C889" s="2" t="s">
        <v>27</v>
      </c>
      <c r="D889" s="2" t="s">
        <v>35</v>
      </c>
      <c r="E889" s="2" t="n">
        <v>18</v>
      </c>
      <c r="F889" s="2" t="n">
        <v>1</v>
      </c>
      <c r="G889" s="2" t="s">
        <v>43</v>
      </c>
      <c r="H889" s="2" t="n">
        <v>888</v>
      </c>
      <c r="I889" s="2" t="s">
        <v>39</v>
      </c>
      <c r="J889" s="2" t="n">
        <v>2</v>
      </c>
      <c r="K889" s="2" t="s">
        <v>47</v>
      </c>
      <c r="L889" s="2" t="s">
        <v>32</v>
      </c>
      <c r="M889" s="2" t="n">
        <v>67250</v>
      </c>
      <c r="N889" s="2" t="n">
        <v>9</v>
      </c>
      <c r="O889" s="2" t="n">
        <v>17</v>
      </c>
      <c r="P889" s="2" t="n">
        <v>1</v>
      </c>
      <c r="Q889" s="2" t="n">
        <v>7</v>
      </c>
      <c r="R889" s="2" t="n">
        <v>3</v>
      </c>
      <c r="S889" s="2" t="n">
        <v>3</v>
      </c>
      <c r="T889" s="2" t="n">
        <v>1</v>
      </c>
      <c r="U889" s="2" t="n">
        <v>1</v>
      </c>
      <c r="V889" s="2" t="n">
        <v>3</v>
      </c>
      <c r="W889" s="2" t="n">
        <v>3</v>
      </c>
      <c r="X889" s="2" t="n">
        <v>3</v>
      </c>
      <c r="Y889" s="2" t="n">
        <v>3</v>
      </c>
      <c r="Z889" s="2" t="n">
        <v>3</v>
      </c>
    </row>
    <row r="890" customFormat="false" ht="15" hidden="false" customHeight="true" outlineLevel="0" collapsed="false">
      <c r="A890" s="2" t="n">
        <v>34</v>
      </c>
      <c r="B890" s="2" t="s">
        <v>26</v>
      </c>
      <c r="C890" s="2" t="s">
        <v>34</v>
      </c>
      <c r="D890" s="2" t="s">
        <v>28</v>
      </c>
      <c r="E890" s="2" t="n">
        <v>28</v>
      </c>
      <c r="F890" s="2" t="n">
        <v>4</v>
      </c>
      <c r="G890" s="2" t="s">
        <v>50</v>
      </c>
      <c r="H890" s="2" t="n">
        <v>889</v>
      </c>
      <c r="I890" s="2" t="s">
        <v>39</v>
      </c>
      <c r="J890" s="2" t="n">
        <v>5</v>
      </c>
      <c r="K890" s="2" t="s">
        <v>47</v>
      </c>
      <c r="L890" s="2" t="s">
        <v>46</v>
      </c>
      <c r="M890" s="2" t="n">
        <v>103250</v>
      </c>
      <c r="N890" s="2" t="n">
        <v>1</v>
      </c>
      <c r="O890" s="2" t="n">
        <v>11</v>
      </c>
      <c r="P890" s="2" t="n">
        <v>1</v>
      </c>
      <c r="Q890" s="2" t="n">
        <v>9</v>
      </c>
      <c r="R890" s="2" t="n">
        <v>3</v>
      </c>
      <c r="S890" s="2" t="n">
        <v>9</v>
      </c>
      <c r="T890" s="2" t="n">
        <v>7</v>
      </c>
      <c r="U890" s="2" t="n">
        <v>2</v>
      </c>
      <c r="V890" s="2" t="n">
        <v>3</v>
      </c>
      <c r="W890" s="2" t="n">
        <v>4</v>
      </c>
      <c r="X890" s="2" t="n">
        <v>3</v>
      </c>
      <c r="Y890" s="2" t="n">
        <v>2</v>
      </c>
      <c r="Z890" s="2" t="n">
        <v>3</v>
      </c>
    </row>
    <row r="891" customFormat="false" ht="15" hidden="false" customHeight="true" outlineLevel="0" collapsed="false">
      <c r="A891" s="2" t="n">
        <v>49</v>
      </c>
      <c r="B891" s="2" t="s">
        <v>26</v>
      </c>
      <c r="C891" s="2" t="s">
        <v>27</v>
      </c>
      <c r="D891" s="2" t="s">
        <v>35</v>
      </c>
      <c r="E891" s="2" t="n">
        <v>1</v>
      </c>
      <c r="F891" s="2" t="n">
        <v>4</v>
      </c>
      <c r="G891" s="2" t="s">
        <v>29</v>
      </c>
      <c r="H891" s="2" t="n">
        <v>890</v>
      </c>
      <c r="I891" s="2" t="s">
        <v>39</v>
      </c>
      <c r="J891" s="2" t="n">
        <v>3</v>
      </c>
      <c r="K891" s="2" t="s">
        <v>31</v>
      </c>
      <c r="L891" s="2" t="s">
        <v>32</v>
      </c>
      <c r="M891" s="2" t="n">
        <v>69490</v>
      </c>
      <c r="N891" s="2" t="n">
        <v>1</v>
      </c>
      <c r="O891" s="2" t="n">
        <v>14</v>
      </c>
      <c r="P891" s="2" t="n">
        <v>1</v>
      </c>
      <c r="Q891" s="2" t="n">
        <v>10</v>
      </c>
      <c r="R891" s="2" t="n">
        <v>2</v>
      </c>
      <c r="S891" s="2" t="n">
        <v>9</v>
      </c>
      <c r="T891" s="2" t="n">
        <v>1</v>
      </c>
      <c r="U891" s="2" t="n">
        <v>4</v>
      </c>
      <c r="V891" s="2" t="n">
        <v>3</v>
      </c>
      <c r="W891" s="2" t="n">
        <v>1</v>
      </c>
      <c r="X891" s="2" t="n">
        <v>2</v>
      </c>
      <c r="Y891" s="2" t="n">
        <v>3</v>
      </c>
      <c r="Z891" s="2" t="n">
        <v>3</v>
      </c>
    </row>
    <row r="892" customFormat="false" ht="15" hidden="false" customHeight="true" outlineLevel="0" collapsed="false">
      <c r="A892" s="2" t="n">
        <v>39</v>
      </c>
      <c r="B892" s="2" t="s">
        <v>26</v>
      </c>
      <c r="C892" s="2" t="s">
        <v>27</v>
      </c>
      <c r="D892" s="2" t="s">
        <v>35</v>
      </c>
      <c r="E892" s="2" t="n">
        <v>6</v>
      </c>
      <c r="F892" s="2" t="n">
        <v>2</v>
      </c>
      <c r="G892" s="2" t="s">
        <v>29</v>
      </c>
      <c r="H892" s="2" t="n">
        <v>891</v>
      </c>
      <c r="I892" s="2" t="s">
        <v>39</v>
      </c>
      <c r="J892" s="2" t="n">
        <v>3</v>
      </c>
      <c r="K892" s="2" t="s">
        <v>36</v>
      </c>
      <c r="L892" s="2" t="s">
        <v>32</v>
      </c>
      <c r="M892" s="2" t="n">
        <v>106090</v>
      </c>
      <c r="N892" s="2" t="n">
        <v>2</v>
      </c>
      <c r="O892" s="2" t="n">
        <v>17</v>
      </c>
      <c r="P892" s="2" t="n">
        <v>1</v>
      </c>
      <c r="Q892" s="2" t="n">
        <v>10</v>
      </c>
      <c r="R892" s="2" t="n">
        <v>2</v>
      </c>
      <c r="S892" s="2" t="n">
        <v>7</v>
      </c>
      <c r="T892" s="2" t="n">
        <v>7</v>
      </c>
      <c r="U892" s="2" t="n">
        <v>7</v>
      </c>
      <c r="V892" s="2" t="n">
        <v>2</v>
      </c>
      <c r="W892" s="2" t="n">
        <v>1</v>
      </c>
      <c r="X892" s="2" t="n">
        <v>3</v>
      </c>
      <c r="Y892" s="2" t="n">
        <v>3</v>
      </c>
      <c r="Z892" s="2" t="n">
        <v>3</v>
      </c>
    </row>
    <row r="893" customFormat="false" ht="15" hidden="false" customHeight="true" outlineLevel="0" collapsed="false">
      <c r="A893" s="2" t="n">
        <v>27</v>
      </c>
      <c r="B893" s="2" t="s">
        <v>26</v>
      </c>
      <c r="C893" s="2" t="s">
        <v>27</v>
      </c>
      <c r="D893" s="2" t="s">
        <v>35</v>
      </c>
      <c r="E893" s="2" t="n">
        <v>2</v>
      </c>
      <c r="F893" s="2" t="n">
        <v>1</v>
      </c>
      <c r="G893" s="2" t="s">
        <v>29</v>
      </c>
      <c r="H893" s="2" t="n">
        <v>892</v>
      </c>
      <c r="I893" s="2" t="s">
        <v>39</v>
      </c>
      <c r="J893" s="2" t="n">
        <v>4</v>
      </c>
      <c r="K893" s="2" t="s">
        <v>36</v>
      </c>
      <c r="L893" s="2" t="s">
        <v>46</v>
      </c>
      <c r="M893" s="2" t="n">
        <v>44470</v>
      </c>
      <c r="N893" s="2" t="n">
        <v>1</v>
      </c>
      <c r="O893" s="2" t="n">
        <v>13</v>
      </c>
      <c r="P893" s="2" t="n">
        <v>0</v>
      </c>
      <c r="Q893" s="2" t="n">
        <v>7</v>
      </c>
      <c r="R893" s="2" t="n">
        <v>4</v>
      </c>
      <c r="S893" s="2" t="n">
        <v>7</v>
      </c>
      <c r="T893" s="2" t="n">
        <v>0</v>
      </c>
      <c r="U893" s="2" t="n">
        <v>7</v>
      </c>
      <c r="V893" s="2" t="n">
        <v>4</v>
      </c>
      <c r="W893" s="2" t="n">
        <v>1</v>
      </c>
      <c r="X893" s="2" t="n">
        <v>3</v>
      </c>
      <c r="Y893" s="2" t="n">
        <v>3</v>
      </c>
      <c r="Z893" s="2" t="n">
        <v>3</v>
      </c>
    </row>
    <row r="894" customFormat="false" ht="15" hidden="false" customHeight="true" outlineLevel="0" collapsed="false">
      <c r="A894" s="2" t="n">
        <v>35</v>
      </c>
      <c r="B894" s="2" t="s">
        <v>26</v>
      </c>
      <c r="C894" s="2" t="s">
        <v>27</v>
      </c>
      <c r="D894" s="2" t="s">
        <v>35</v>
      </c>
      <c r="E894" s="2" t="n">
        <v>2</v>
      </c>
      <c r="F894" s="2" t="n">
        <v>3</v>
      </c>
      <c r="G894" s="2" t="s">
        <v>43</v>
      </c>
      <c r="H894" s="2" t="n">
        <v>893</v>
      </c>
      <c r="I894" s="2" t="s">
        <v>30</v>
      </c>
      <c r="J894" s="2" t="n">
        <v>2</v>
      </c>
      <c r="K894" s="2" t="s">
        <v>40</v>
      </c>
      <c r="L894" s="2" t="s">
        <v>32</v>
      </c>
      <c r="M894" s="2" t="n">
        <v>21570</v>
      </c>
      <c r="N894" s="2" t="n">
        <v>1</v>
      </c>
      <c r="O894" s="2" t="n">
        <v>25</v>
      </c>
      <c r="P894" s="2" t="n">
        <v>0</v>
      </c>
      <c r="Q894" s="2" t="n">
        <v>16</v>
      </c>
      <c r="R894" s="2" t="n">
        <v>1</v>
      </c>
      <c r="S894" s="2" t="n">
        <v>16</v>
      </c>
      <c r="T894" s="2" t="n">
        <v>1</v>
      </c>
      <c r="U894" s="2" t="n">
        <v>10</v>
      </c>
      <c r="V894" s="2" t="n">
        <v>2</v>
      </c>
      <c r="W894" s="2" t="n">
        <v>1</v>
      </c>
      <c r="X894" s="2" t="n">
        <v>3</v>
      </c>
      <c r="Y894" s="2" t="n">
        <v>2</v>
      </c>
      <c r="Z894" s="2" t="n">
        <v>4</v>
      </c>
    </row>
    <row r="895" customFormat="false" ht="15" hidden="false" customHeight="true" outlineLevel="0" collapsed="false">
      <c r="A895" s="2" t="n">
        <v>28</v>
      </c>
      <c r="B895" s="2" t="s">
        <v>26</v>
      </c>
      <c r="C895" s="2" t="s">
        <v>27</v>
      </c>
      <c r="D895" s="2" t="s">
        <v>35</v>
      </c>
      <c r="E895" s="2" t="n">
        <v>23</v>
      </c>
      <c r="F895" s="2" t="n">
        <v>3</v>
      </c>
      <c r="G895" s="2" t="s">
        <v>29</v>
      </c>
      <c r="H895" s="2" t="n">
        <v>894</v>
      </c>
      <c r="I895" s="2" t="s">
        <v>39</v>
      </c>
      <c r="J895" s="2" t="n">
        <v>3</v>
      </c>
      <c r="K895" s="2" t="s">
        <v>47</v>
      </c>
      <c r="L895" s="2" t="s">
        <v>46</v>
      </c>
      <c r="M895" s="2" t="n">
        <v>46010</v>
      </c>
      <c r="N895" s="2" t="n">
        <v>0</v>
      </c>
      <c r="O895" s="2" t="n">
        <v>15</v>
      </c>
      <c r="P895" s="2" t="n">
        <v>2</v>
      </c>
      <c r="Q895" s="2" t="n">
        <v>6</v>
      </c>
      <c r="R895" s="2" t="n">
        <v>2</v>
      </c>
      <c r="S895" s="2" t="n">
        <v>5</v>
      </c>
      <c r="T895" s="2" t="n">
        <v>0</v>
      </c>
      <c r="U895" s="2" t="n">
        <v>0</v>
      </c>
      <c r="V895" s="2" t="n">
        <v>2</v>
      </c>
      <c r="W895" s="2" t="n">
        <v>1</v>
      </c>
      <c r="X895" s="2" t="n">
        <v>2</v>
      </c>
      <c r="Y895" s="2" t="n">
        <v>3</v>
      </c>
      <c r="Z895" s="2" t="n">
        <v>3</v>
      </c>
    </row>
    <row r="896" customFormat="false" ht="15" hidden="false" customHeight="true" outlineLevel="0" collapsed="false">
      <c r="A896" s="2" t="n">
        <v>21</v>
      </c>
      <c r="B896" s="2" t="s">
        <v>26</v>
      </c>
      <c r="C896" s="2" t="s">
        <v>27</v>
      </c>
      <c r="D896" s="2" t="s">
        <v>35</v>
      </c>
      <c r="E896" s="2" t="n">
        <v>3</v>
      </c>
      <c r="F896" s="2" t="n">
        <v>1</v>
      </c>
      <c r="G896" s="2" t="s">
        <v>29</v>
      </c>
      <c r="H896" s="2" t="n">
        <v>895</v>
      </c>
      <c r="I896" s="2" t="s">
        <v>30</v>
      </c>
      <c r="J896" s="2" t="n">
        <v>1</v>
      </c>
      <c r="K896" s="2" t="s">
        <v>45</v>
      </c>
      <c r="L896" s="2" t="s">
        <v>37</v>
      </c>
      <c r="M896" s="2" t="n">
        <v>170990</v>
      </c>
      <c r="N896" s="2" t="n">
        <v>1</v>
      </c>
      <c r="O896" s="2" t="n">
        <v>14</v>
      </c>
      <c r="P896" s="2" t="n">
        <v>1</v>
      </c>
      <c r="Q896" s="2" t="n">
        <v>3</v>
      </c>
      <c r="R896" s="2" t="n">
        <v>2</v>
      </c>
      <c r="S896" s="2" t="n">
        <v>2</v>
      </c>
      <c r="T896" s="2" t="n">
        <v>2</v>
      </c>
      <c r="U896" s="2" t="n">
        <v>2</v>
      </c>
      <c r="V896" s="2" t="n">
        <v>3</v>
      </c>
      <c r="W896" s="2" t="n">
        <v>4</v>
      </c>
      <c r="X896" s="2" t="n">
        <v>3</v>
      </c>
      <c r="Y896" s="2" t="n">
        <v>3</v>
      </c>
      <c r="Z896" s="2" t="n">
        <v>3</v>
      </c>
    </row>
    <row r="897" customFormat="false" ht="15" hidden="false" customHeight="true" outlineLevel="0" collapsed="false">
      <c r="A897" s="2" t="n">
        <v>18</v>
      </c>
      <c r="B897" s="2" t="s">
        <v>33</v>
      </c>
      <c r="C897" s="2" t="s">
        <v>34</v>
      </c>
      <c r="D897" s="2" t="s">
        <v>35</v>
      </c>
      <c r="E897" s="2" t="n">
        <v>3</v>
      </c>
      <c r="F897" s="2" t="n">
        <v>5</v>
      </c>
      <c r="G897" s="2" t="s">
        <v>43</v>
      </c>
      <c r="H897" s="2" t="n">
        <v>896</v>
      </c>
      <c r="I897" s="2" t="s">
        <v>39</v>
      </c>
      <c r="J897" s="2" t="n">
        <v>1</v>
      </c>
      <c r="K897" s="2" t="s">
        <v>44</v>
      </c>
      <c r="L897" s="2" t="s">
        <v>37</v>
      </c>
      <c r="M897" s="2" t="n">
        <v>24790</v>
      </c>
      <c r="N897" s="2" t="n">
        <v>1</v>
      </c>
      <c r="O897" s="2" t="n">
        <v>12</v>
      </c>
      <c r="P897" s="2" t="n">
        <v>1</v>
      </c>
      <c r="Q897" s="2" t="n">
        <v>0</v>
      </c>
      <c r="R897" s="2" t="n">
        <v>2</v>
      </c>
      <c r="S897" s="2" t="n">
        <v>0</v>
      </c>
      <c r="T897" s="2" t="n">
        <v>0</v>
      </c>
      <c r="U897" s="2" t="n">
        <v>0</v>
      </c>
      <c r="V897" s="2" t="n">
        <v>2</v>
      </c>
      <c r="W897" s="2" t="n">
        <v>4</v>
      </c>
      <c r="X897" s="2" t="n">
        <v>4</v>
      </c>
      <c r="Y897" s="2" t="n">
        <v>2</v>
      </c>
      <c r="Z897" s="2" t="n">
        <v>3</v>
      </c>
    </row>
    <row r="898" customFormat="false" ht="15" hidden="false" customHeight="true" outlineLevel="0" collapsed="false">
      <c r="A898" s="2" t="n">
        <v>47</v>
      </c>
      <c r="B898" s="2" t="s">
        <v>26</v>
      </c>
      <c r="C898" s="2" t="s">
        <v>27</v>
      </c>
      <c r="D898" s="2" t="s">
        <v>35</v>
      </c>
      <c r="E898" s="2" t="n">
        <v>25</v>
      </c>
      <c r="F898" s="2" t="n">
        <v>4</v>
      </c>
      <c r="G898" s="2" t="s">
        <v>43</v>
      </c>
      <c r="H898" s="2" t="n">
        <v>897</v>
      </c>
      <c r="I898" s="2" t="s">
        <v>39</v>
      </c>
      <c r="J898" s="2" t="n">
        <v>2</v>
      </c>
      <c r="K898" s="2" t="s">
        <v>36</v>
      </c>
      <c r="L898" s="2" t="s">
        <v>32</v>
      </c>
      <c r="M898" s="2" t="n">
        <v>148520</v>
      </c>
      <c r="N898" s="2" t="n">
        <v>3</v>
      </c>
      <c r="O898" s="2" t="n">
        <v>19</v>
      </c>
      <c r="P898" s="2" t="n">
        <v>3</v>
      </c>
      <c r="Q898" s="2" t="n">
        <v>27</v>
      </c>
      <c r="R898" s="2" t="n">
        <v>3</v>
      </c>
      <c r="S898" s="2" t="n">
        <v>5</v>
      </c>
      <c r="T898" s="2" t="n">
        <v>1</v>
      </c>
      <c r="U898" s="2" t="n">
        <v>0</v>
      </c>
      <c r="V898" s="2" t="n">
        <v>4</v>
      </c>
      <c r="W898" s="2" t="n">
        <v>3</v>
      </c>
      <c r="X898" s="2" t="n">
        <v>3</v>
      </c>
      <c r="Y898" s="2" t="n">
        <v>2</v>
      </c>
      <c r="Z898" s="2" t="n">
        <v>3</v>
      </c>
    </row>
    <row r="899" customFormat="false" ht="15" hidden="false" customHeight="true" outlineLevel="0" collapsed="false">
      <c r="A899" s="2" t="n">
        <v>39</v>
      </c>
      <c r="B899" s="2" t="s">
        <v>26</v>
      </c>
      <c r="C899" s="2" t="s">
        <v>27</v>
      </c>
      <c r="D899" s="2" t="s">
        <v>28</v>
      </c>
      <c r="E899" s="2" t="n">
        <v>2</v>
      </c>
      <c r="F899" s="2" t="n">
        <v>4</v>
      </c>
      <c r="G899" s="2" t="s">
        <v>29</v>
      </c>
      <c r="H899" s="2" t="n">
        <v>898</v>
      </c>
      <c r="I899" s="2" t="s">
        <v>39</v>
      </c>
      <c r="J899" s="2" t="n">
        <v>1</v>
      </c>
      <c r="K899" s="2" t="s">
        <v>45</v>
      </c>
      <c r="L899" s="2" t="s">
        <v>46</v>
      </c>
      <c r="M899" s="2" t="n">
        <v>72640</v>
      </c>
      <c r="N899" s="2" t="n">
        <v>0</v>
      </c>
      <c r="O899" s="2" t="n">
        <v>17</v>
      </c>
      <c r="P899" s="2" t="n">
        <v>0</v>
      </c>
      <c r="Q899" s="2" t="n">
        <v>11</v>
      </c>
      <c r="R899" s="2" t="n">
        <v>5</v>
      </c>
      <c r="S899" s="2" t="n">
        <v>10</v>
      </c>
      <c r="T899" s="2" t="n">
        <v>0</v>
      </c>
      <c r="U899" s="2" t="n">
        <v>7</v>
      </c>
      <c r="V899" s="2" t="n">
        <v>3</v>
      </c>
      <c r="W899" s="2" t="n">
        <v>3</v>
      </c>
      <c r="X899" s="2" t="n">
        <v>3</v>
      </c>
      <c r="Y899" s="2" t="n">
        <v>3</v>
      </c>
      <c r="Z899" s="2" t="n">
        <v>3</v>
      </c>
    </row>
    <row r="900" customFormat="false" ht="15" hidden="false" customHeight="true" outlineLevel="0" collapsed="false">
      <c r="A900" s="2" t="n">
        <v>40</v>
      </c>
      <c r="B900" s="2" t="s">
        <v>26</v>
      </c>
      <c r="C900" s="2" t="s">
        <v>27</v>
      </c>
      <c r="D900" s="2" t="s">
        <v>35</v>
      </c>
      <c r="E900" s="2" t="n">
        <v>22</v>
      </c>
      <c r="F900" s="2" t="n">
        <v>1</v>
      </c>
      <c r="G900" s="2" t="s">
        <v>29</v>
      </c>
      <c r="H900" s="2" t="n">
        <v>899</v>
      </c>
      <c r="I900" s="2" t="s">
        <v>39</v>
      </c>
      <c r="J900" s="2" t="n">
        <v>1</v>
      </c>
      <c r="K900" s="2" t="s">
        <v>45</v>
      </c>
      <c r="L900" s="2" t="s">
        <v>32</v>
      </c>
      <c r="M900" s="2" t="n">
        <v>56660</v>
      </c>
      <c r="N900" s="2" t="n">
        <v>1</v>
      </c>
      <c r="O900" s="2" t="n">
        <v>14</v>
      </c>
      <c r="P900" s="2" t="n">
        <v>1</v>
      </c>
      <c r="Q900" s="2" t="n">
        <v>18</v>
      </c>
      <c r="R900" s="2" t="n">
        <v>2</v>
      </c>
      <c r="S900" s="2" t="n">
        <v>18</v>
      </c>
      <c r="T900" s="2" t="n">
        <v>14</v>
      </c>
      <c r="U900" s="2" t="n">
        <v>12</v>
      </c>
      <c r="V900" s="2" t="n">
        <v>1</v>
      </c>
      <c r="W900" s="2" t="n">
        <v>3</v>
      </c>
      <c r="X900" s="2" t="n">
        <v>3</v>
      </c>
      <c r="Y900" s="2" t="n">
        <v>3</v>
      </c>
      <c r="Z900" s="2" t="n">
        <v>3</v>
      </c>
    </row>
    <row r="901" customFormat="false" ht="15" hidden="false" customHeight="true" outlineLevel="0" collapsed="false">
      <c r="A901" s="2" t="n">
        <v>35</v>
      </c>
      <c r="B901" s="2" t="s">
        <v>26</v>
      </c>
      <c r="C901" s="2" t="s">
        <v>41</v>
      </c>
      <c r="D901" s="2" t="s">
        <v>35</v>
      </c>
      <c r="E901" s="2" t="n">
        <v>29</v>
      </c>
      <c r="F901" s="2" t="n">
        <v>3</v>
      </c>
      <c r="G901" s="2" t="s">
        <v>43</v>
      </c>
      <c r="H901" s="2" t="n">
        <v>900</v>
      </c>
      <c r="I901" s="2" t="s">
        <v>30</v>
      </c>
      <c r="J901" s="2" t="n">
        <v>2</v>
      </c>
      <c r="K901" s="2" t="s">
        <v>40</v>
      </c>
      <c r="L901" s="2" t="s">
        <v>32</v>
      </c>
      <c r="M901" s="2" t="n">
        <v>78230</v>
      </c>
      <c r="N901" s="2" t="n">
        <v>1</v>
      </c>
      <c r="O901" s="2" t="n">
        <v>13</v>
      </c>
      <c r="P901" s="2" t="n">
        <v>1</v>
      </c>
      <c r="Q901" s="2" t="n">
        <v>15</v>
      </c>
      <c r="R901" s="2" t="n">
        <v>3</v>
      </c>
      <c r="S901" s="2" t="n">
        <v>14</v>
      </c>
      <c r="T901" s="2" t="n">
        <v>2</v>
      </c>
      <c r="U901" s="2" t="n">
        <v>9</v>
      </c>
      <c r="V901" s="2" t="n">
        <v>3</v>
      </c>
      <c r="W901" s="2" t="n">
        <v>3</v>
      </c>
      <c r="X901" s="2" t="n">
        <v>3</v>
      </c>
      <c r="Y901" s="2" t="n">
        <v>3</v>
      </c>
      <c r="Z901" s="2" t="n">
        <v>3</v>
      </c>
    </row>
    <row r="902" customFormat="false" ht="15" hidden="false" customHeight="true" outlineLevel="0" collapsed="false">
      <c r="A902" s="2" t="n">
        <v>37</v>
      </c>
      <c r="B902" s="2" t="s">
        <v>26</v>
      </c>
      <c r="C902" s="2" t="s">
        <v>27</v>
      </c>
      <c r="D902" s="2" t="s">
        <v>35</v>
      </c>
      <c r="E902" s="2" t="n">
        <v>29</v>
      </c>
      <c r="F902" s="2" t="n">
        <v>4</v>
      </c>
      <c r="G902" s="2" t="s">
        <v>51</v>
      </c>
      <c r="H902" s="2" t="n">
        <v>901</v>
      </c>
      <c r="I902" s="2" t="s">
        <v>39</v>
      </c>
      <c r="J902" s="2" t="n">
        <v>1</v>
      </c>
      <c r="K902" s="2" t="s">
        <v>45</v>
      </c>
      <c r="L902" s="2" t="s">
        <v>32</v>
      </c>
      <c r="M902" s="2" t="n">
        <v>78800</v>
      </c>
      <c r="N902" s="2" t="n">
        <v>3</v>
      </c>
      <c r="O902" s="2" t="n">
        <v>12</v>
      </c>
      <c r="P902" s="2" t="n">
        <v>1</v>
      </c>
      <c r="Q902" s="2" t="n">
        <v>9</v>
      </c>
      <c r="R902" s="2" t="n">
        <v>2</v>
      </c>
      <c r="S902" s="2" t="n">
        <v>4</v>
      </c>
      <c r="T902" s="2" t="n">
        <v>0</v>
      </c>
      <c r="U902" s="2" t="n">
        <v>2</v>
      </c>
      <c r="V902" s="2" t="n">
        <v>3</v>
      </c>
      <c r="W902" s="2" t="n">
        <v>3</v>
      </c>
      <c r="X902" s="2" t="n">
        <v>2</v>
      </c>
      <c r="Y902" s="2" t="n">
        <v>4</v>
      </c>
      <c r="Z902" s="2" t="n">
        <v>3</v>
      </c>
    </row>
    <row r="903" customFormat="false" ht="15" hidden="false" customHeight="true" outlineLevel="0" collapsed="false">
      <c r="A903" s="2" t="n">
        <v>39</v>
      </c>
      <c r="B903" s="2" t="s">
        <v>26</v>
      </c>
      <c r="C903" s="2" t="s">
        <v>34</v>
      </c>
      <c r="D903" s="2" t="s">
        <v>35</v>
      </c>
      <c r="E903" s="2" t="n">
        <v>2</v>
      </c>
      <c r="F903" s="2" t="n">
        <v>3</v>
      </c>
      <c r="G903" s="2" t="s">
        <v>51</v>
      </c>
      <c r="H903" s="2" t="n">
        <v>902</v>
      </c>
      <c r="I903" s="2" t="s">
        <v>30</v>
      </c>
      <c r="J903" s="2" t="n">
        <v>2</v>
      </c>
      <c r="K903" s="2" t="s">
        <v>49</v>
      </c>
      <c r="L903" s="2" t="s">
        <v>37</v>
      </c>
      <c r="M903" s="2" t="n">
        <v>131940</v>
      </c>
      <c r="N903" s="2" t="n">
        <v>0</v>
      </c>
      <c r="O903" s="2" t="n">
        <v>11</v>
      </c>
      <c r="P903" s="2" t="n">
        <v>0</v>
      </c>
      <c r="Q903" s="2" t="n">
        <v>10</v>
      </c>
      <c r="R903" s="2" t="n">
        <v>2</v>
      </c>
      <c r="S903" s="2" t="n">
        <v>9</v>
      </c>
      <c r="T903" s="2" t="n">
        <v>3</v>
      </c>
      <c r="U903" s="2" t="n">
        <v>8</v>
      </c>
      <c r="V903" s="2" t="n">
        <v>1</v>
      </c>
      <c r="W903" s="2" t="n">
        <v>3</v>
      </c>
      <c r="X903" s="2" t="n">
        <v>1</v>
      </c>
      <c r="Y903" s="2" t="n">
        <v>3</v>
      </c>
      <c r="Z903" s="2" t="n">
        <v>3</v>
      </c>
    </row>
    <row r="904" customFormat="false" ht="15" hidden="false" customHeight="true" outlineLevel="0" collapsed="false">
      <c r="A904" s="2" t="n">
        <v>45</v>
      </c>
      <c r="B904" s="2" t="s">
        <v>26</v>
      </c>
      <c r="C904" s="2" t="s">
        <v>27</v>
      </c>
      <c r="D904" s="2" t="s">
        <v>35</v>
      </c>
      <c r="E904" s="2" t="n">
        <v>28</v>
      </c>
      <c r="F904" s="2" t="n">
        <v>3</v>
      </c>
      <c r="G904" s="2" t="s">
        <v>29</v>
      </c>
      <c r="H904" s="2" t="n">
        <v>903</v>
      </c>
      <c r="I904" s="2" t="s">
        <v>30</v>
      </c>
      <c r="J904" s="2" t="n">
        <v>2</v>
      </c>
      <c r="K904" s="2" t="s">
        <v>45</v>
      </c>
      <c r="L904" s="2" t="s">
        <v>46</v>
      </c>
      <c r="M904" s="2" t="n">
        <v>50670</v>
      </c>
      <c r="N904" s="2" t="n">
        <v>1</v>
      </c>
      <c r="O904" s="2" t="n">
        <v>11</v>
      </c>
      <c r="P904" s="2" t="n">
        <v>2</v>
      </c>
      <c r="Q904" s="2" t="n">
        <v>10</v>
      </c>
      <c r="R904" s="2" t="n">
        <v>3</v>
      </c>
      <c r="S904" s="2" t="n">
        <v>10</v>
      </c>
      <c r="T904" s="2" t="n">
        <v>3</v>
      </c>
      <c r="U904" s="2" t="n">
        <v>9</v>
      </c>
      <c r="V904" s="2" t="n">
        <v>4</v>
      </c>
      <c r="W904" s="2" t="n">
        <v>4</v>
      </c>
      <c r="X904" s="2" t="n">
        <v>3</v>
      </c>
      <c r="Y904" s="2" t="n">
        <v>2</v>
      </c>
      <c r="Z904" s="2" t="n">
        <v>3</v>
      </c>
    </row>
    <row r="905" customFormat="false" ht="15" hidden="false" customHeight="true" outlineLevel="0" collapsed="false">
      <c r="A905" s="2" t="n">
        <v>38</v>
      </c>
      <c r="B905" s="2" t="s">
        <v>26</v>
      </c>
      <c r="C905" s="2" t="s">
        <v>27</v>
      </c>
      <c r="D905" s="2" t="s">
        <v>35</v>
      </c>
      <c r="E905" s="2" t="n">
        <v>2</v>
      </c>
      <c r="F905" s="2" t="n">
        <v>4</v>
      </c>
      <c r="G905" s="2" t="s">
        <v>29</v>
      </c>
      <c r="H905" s="2" t="n">
        <v>904</v>
      </c>
      <c r="I905" s="2" t="s">
        <v>30</v>
      </c>
      <c r="J905" s="2" t="n">
        <v>3</v>
      </c>
      <c r="K905" s="2" t="s">
        <v>40</v>
      </c>
      <c r="L905" s="2" t="s">
        <v>32</v>
      </c>
      <c r="M905" s="2" t="n">
        <v>50790</v>
      </c>
      <c r="N905" s="2" t="n">
        <v>3</v>
      </c>
      <c r="O905" s="2" t="n">
        <v>11</v>
      </c>
      <c r="P905" s="2" t="n">
        <v>0</v>
      </c>
      <c r="Q905" s="2" t="n">
        <v>10</v>
      </c>
      <c r="R905" s="2" t="n">
        <v>3</v>
      </c>
      <c r="S905" s="2" t="n">
        <v>5</v>
      </c>
      <c r="T905" s="2" t="n">
        <v>0</v>
      </c>
      <c r="U905" s="2" t="n">
        <v>2</v>
      </c>
      <c r="V905" s="2" t="n">
        <v>4</v>
      </c>
      <c r="W905" s="2" t="n">
        <v>3</v>
      </c>
      <c r="X905" s="2" t="n">
        <v>4</v>
      </c>
      <c r="Y905" s="2" t="n">
        <v>3</v>
      </c>
      <c r="Z905" s="2" t="n">
        <v>3</v>
      </c>
    </row>
    <row r="906" customFormat="false" ht="15" hidden="false" customHeight="true" outlineLevel="0" collapsed="false">
      <c r="A906" s="2" t="n">
        <v>35</v>
      </c>
      <c r="B906" s="2" t="s">
        <v>33</v>
      </c>
      <c r="C906" s="2" t="s">
        <v>27</v>
      </c>
      <c r="D906" s="2" t="s">
        <v>35</v>
      </c>
      <c r="E906" s="2" t="n">
        <v>2</v>
      </c>
      <c r="F906" s="2" t="n">
        <v>3</v>
      </c>
      <c r="G906" s="2" t="s">
        <v>29</v>
      </c>
      <c r="H906" s="2" t="n">
        <v>905</v>
      </c>
      <c r="I906" s="2" t="s">
        <v>39</v>
      </c>
      <c r="J906" s="2" t="n">
        <v>3</v>
      </c>
      <c r="K906" s="2" t="s">
        <v>31</v>
      </c>
      <c r="L906" s="2" t="s">
        <v>32</v>
      </c>
      <c r="M906" s="2" t="n">
        <v>23210</v>
      </c>
      <c r="N906" s="2" t="n">
        <v>9</v>
      </c>
      <c r="O906" s="2" t="n">
        <v>12</v>
      </c>
      <c r="P906" s="2" t="n">
        <v>1</v>
      </c>
      <c r="Q906" s="2" t="n">
        <v>15</v>
      </c>
      <c r="R906" s="2" t="n">
        <v>0</v>
      </c>
      <c r="S906" s="2" t="n">
        <v>13</v>
      </c>
      <c r="T906" s="2" t="n">
        <v>6</v>
      </c>
      <c r="U906" s="2" t="n">
        <v>0</v>
      </c>
      <c r="V906" s="2" t="n">
        <v>4</v>
      </c>
      <c r="W906" s="2" t="n">
        <v>1</v>
      </c>
      <c r="X906" s="2" t="n">
        <v>3</v>
      </c>
      <c r="Y906" s="2" t="n">
        <v>3</v>
      </c>
      <c r="Z906" s="2" t="n">
        <v>3</v>
      </c>
    </row>
    <row r="907" customFormat="false" ht="15" hidden="false" customHeight="true" outlineLevel="0" collapsed="false">
      <c r="A907" s="2" t="n">
        <v>37</v>
      </c>
      <c r="B907" s="2" t="s">
        <v>26</v>
      </c>
      <c r="C907" s="2" t="s">
        <v>27</v>
      </c>
      <c r="D907" s="2" t="s">
        <v>35</v>
      </c>
      <c r="E907" s="2" t="n">
        <v>22</v>
      </c>
      <c r="F907" s="2" t="n">
        <v>3</v>
      </c>
      <c r="G907" s="2" t="s">
        <v>29</v>
      </c>
      <c r="H907" s="2" t="n">
        <v>906</v>
      </c>
      <c r="I907" s="2" t="s">
        <v>30</v>
      </c>
      <c r="J907" s="2" t="n">
        <v>2</v>
      </c>
      <c r="K907" s="2" t="s">
        <v>31</v>
      </c>
      <c r="L907" s="2" t="s">
        <v>32</v>
      </c>
      <c r="M907" s="2" t="n">
        <v>174440</v>
      </c>
      <c r="N907" s="2" t="n">
        <v>1</v>
      </c>
      <c r="O907" s="2" t="n">
        <v>14</v>
      </c>
      <c r="P907" s="2" t="n">
        <v>0</v>
      </c>
      <c r="Q907" s="2" t="n">
        <v>8</v>
      </c>
      <c r="R907" s="2" t="n">
        <v>4</v>
      </c>
      <c r="S907" s="2" t="n">
        <v>8</v>
      </c>
      <c r="T907" s="2" t="n">
        <v>7</v>
      </c>
      <c r="U907" s="2" t="n">
        <v>7</v>
      </c>
      <c r="V907" s="2" t="n">
        <v>2</v>
      </c>
      <c r="W907" s="2" t="n">
        <v>2</v>
      </c>
      <c r="X907" s="2" t="n">
        <v>1</v>
      </c>
      <c r="Y907" s="2" t="n">
        <v>3</v>
      </c>
      <c r="Z907" s="2" t="n">
        <v>3</v>
      </c>
    </row>
    <row r="908" customFormat="false" ht="15" hidden="false" customHeight="true" outlineLevel="0" collapsed="false">
      <c r="A908" s="2" t="n">
        <v>40</v>
      </c>
      <c r="B908" s="2" t="s">
        <v>26</v>
      </c>
      <c r="C908" s="2" t="s">
        <v>27</v>
      </c>
      <c r="D908" s="2" t="s">
        <v>35</v>
      </c>
      <c r="E908" s="2" t="n">
        <v>8</v>
      </c>
      <c r="F908" s="2" t="n">
        <v>3</v>
      </c>
      <c r="G908" s="2" t="s">
        <v>51</v>
      </c>
      <c r="H908" s="2" t="n">
        <v>907</v>
      </c>
      <c r="I908" s="2" t="s">
        <v>30</v>
      </c>
      <c r="J908" s="2" t="n">
        <v>2</v>
      </c>
      <c r="K908" s="2" t="s">
        <v>31</v>
      </c>
      <c r="L908" s="2" t="s">
        <v>37</v>
      </c>
      <c r="M908" s="2" t="n">
        <v>24040</v>
      </c>
      <c r="N908" s="2" t="n">
        <v>6</v>
      </c>
      <c r="O908" s="2" t="n">
        <v>17</v>
      </c>
      <c r="P908" s="2" t="n">
        <v>0</v>
      </c>
      <c r="Q908" s="2" t="n">
        <v>18</v>
      </c>
      <c r="R908" s="2" t="n">
        <v>2</v>
      </c>
      <c r="S908" s="2" t="n">
        <v>4</v>
      </c>
      <c r="T908" s="2" t="n">
        <v>3</v>
      </c>
      <c r="U908" s="2" t="n">
        <v>3</v>
      </c>
      <c r="V908" s="2" t="n">
        <v>3</v>
      </c>
      <c r="W908" s="2" t="n">
        <v>4</v>
      </c>
      <c r="X908" s="2" t="n">
        <v>2</v>
      </c>
      <c r="Y908" s="2" t="n">
        <v>2</v>
      </c>
      <c r="Z908" s="2" t="n">
        <v>3</v>
      </c>
    </row>
    <row r="909" customFormat="false" ht="15" hidden="false" customHeight="true" outlineLevel="0" collapsed="false">
      <c r="A909" s="2" t="n">
        <v>44</v>
      </c>
      <c r="B909" s="2" t="s">
        <v>26</v>
      </c>
      <c r="C909" s="2" t="s">
        <v>34</v>
      </c>
      <c r="D909" s="2" t="s">
        <v>28</v>
      </c>
      <c r="E909" s="2" t="n">
        <v>2</v>
      </c>
      <c r="F909" s="2" t="n">
        <v>2</v>
      </c>
      <c r="G909" s="2" t="s">
        <v>50</v>
      </c>
      <c r="H909" s="2" t="n">
        <v>908</v>
      </c>
      <c r="I909" s="2" t="s">
        <v>39</v>
      </c>
      <c r="J909" s="2" t="n">
        <v>1</v>
      </c>
      <c r="K909" s="2" t="s">
        <v>45</v>
      </c>
      <c r="L909" s="2" t="s">
        <v>32</v>
      </c>
      <c r="M909" s="2" t="n">
        <v>34520</v>
      </c>
      <c r="N909" s="2" t="n">
        <v>4</v>
      </c>
      <c r="O909" s="2" t="n">
        <v>11</v>
      </c>
      <c r="P909" s="2" t="n">
        <v>1</v>
      </c>
      <c r="Q909" s="2" t="n">
        <v>14</v>
      </c>
      <c r="R909" s="2" t="n">
        <v>2</v>
      </c>
      <c r="S909" s="2" t="n">
        <v>10</v>
      </c>
      <c r="T909" s="2" t="n">
        <v>0</v>
      </c>
      <c r="U909" s="2" t="n">
        <v>2</v>
      </c>
      <c r="V909" s="2" t="n">
        <v>1</v>
      </c>
      <c r="W909" s="2" t="n">
        <v>4</v>
      </c>
      <c r="X909" s="2" t="n">
        <v>3</v>
      </c>
      <c r="Y909" s="2" t="n">
        <v>2</v>
      </c>
      <c r="Z909" s="2" t="n">
        <v>3</v>
      </c>
    </row>
    <row r="910" customFormat="false" ht="15" hidden="false" customHeight="true" outlineLevel="0" collapsed="false">
      <c r="A910" s="2" t="n">
        <v>48</v>
      </c>
      <c r="B910" s="2" t="s">
        <v>26</v>
      </c>
      <c r="C910" s="2" t="s">
        <v>34</v>
      </c>
      <c r="D910" s="2" t="s">
        <v>28</v>
      </c>
      <c r="E910" s="2" t="n">
        <v>10</v>
      </c>
      <c r="F910" s="2" t="n">
        <v>4</v>
      </c>
      <c r="G910" s="2" t="s">
        <v>50</v>
      </c>
      <c r="H910" s="2" t="n">
        <v>909</v>
      </c>
      <c r="I910" s="2" t="s">
        <v>30</v>
      </c>
      <c r="J910" s="2" t="n">
        <v>3</v>
      </c>
      <c r="K910" s="2" t="s">
        <v>49</v>
      </c>
      <c r="L910" s="2" t="s">
        <v>32</v>
      </c>
      <c r="M910" s="2" t="n">
        <v>22700</v>
      </c>
      <c r="N910" s="2" t="n">
        <v>2</v>
      </c>
      <c r="O910" s="2" t="n">
        <v>14</v>
      </c>
      <c r="P910" s="2" t="n">
        <v>3</v>
      </c>
      <c r="Q910" s="2" t="n">
        <v>23</v>
      </c>
      <c r="R910" s="2" t="n">
        <v>2</v>
      </c>
      <c r="S910" s="2" t="n">
        <v>2</v>
      </c>
      <c r="T910" s="2" t="n">
        <v>2</v>
      </c>
      <c r="U910" s="2" t="n">
        <v>2</v>
      </c>
      <c r="V910" s="2" t="n">
        <v>3</v>
      </c>
      <c r="W910" s="2" t="n">
        <v>4</v>
      </c>
      <c r="X910" s="2" t="n">
        <v>3</v>
      </c>
      <c r="Y910" s="2" t="n">
        <v>3</v>
      </c>
      <c r="Z910" s="2" t="n">
        <v>3</v>
      </c>
    </row>
    <row r="911" customFormat="false" ht="15" hidden="false" customHeight="true" outlineLevel="0" collapsed="false">
      <c r="A911" s="2" t="n">
        <v>35</v>
      </c>
      <c r="B911" s="2" t="s">
        <v>33</v>
      </c>
      <c r="C911" s="2" t="s">
        <v>27</v>
      </c>
      <c r="D911" s="2" t="s">
        <v>35</v>
      </c>
      <c r="E911" s="2" t="n">
        <v>9</v>
      </c>
      <c r="F911" s="2" t="n">
        <v>3</v>
      </c>
      <c r="G911" s="2" t="s">
        <v>29</v>
      </c>
      <c r="H911" s="2" t="n">
        <v>910</v>
      </c>
      <c r="I911" s="2" t="s">
        <v>39</v>
      </c>
      <c r="J911" s="2" t="n">
        <v>2</v>
      </c>
      <c r="K911" s="2" t="s">
        <v>49</v>
      </c>
      <c r="L911" s="2" t="s">
        <v>46</v>
      </c>
      <c r="M911" s="2" t="n">
        <v>173990</v>
      </c>
      <c r="N911" s="2" t="n">
        <v>6</v>
      </c>
      <c r="O911" s="2" t="n">
        <v>12</v>
      </c>
      <c r="P911" s="2" t="n">
        <v>0</v>
      </c>
      <c r="Q911" s="2" t="n">
        <v>7</v>
      </c>
      <c r="R911" s="2" t="n">
        <v>3</v>
      </c>
      <c r="S911" s="2" t="n">
        <v>2</v>
      </c>
      <c r="T911" s="2" t="n">
        <v>2</v>
      </c>
      <c r="U911" s="2" t="n">
        <v>2</v>
      </c>
      <c r="V911" s="2"/>
      <c r="W911" s="2" t="n">
        <v>4</v>
      </c>
      <c r="X911" s="2" t="n">
        <v>2</v>
      </c>
      <c r="Y911" s="2" t="n">
        <v>1</v>
      </c>
      <c r="Z911" s="2" t="n">
        <v>3</v>
      </c>
    </row>
    <row r="912" customFormat="false" ht="15" hidden="false" customHeight="true" outlineLevel="0" collapsed="false">
      <c r="A912" s="2" t="n">
        <v>24</v>
      </c>
      <c r="B912" s="2" t="s">
        <v>26</v>
      </c>
      <c r="C912" s="2" t="s">
        <v>34</v>
      </c>
      <c r="D912" s="2" t="s">
        <v>35</v>
      </c>
      <c r="E912" s="2" t="n">
        <v>15</v>
      </c>
      <c r="F912" s="2" t="n">
        <v>3</v>
      </c>
      <c r="G912" s="2" t="s">
        <v>29</v>
      </c>
      <c r="H912" s="2" t="n">
        <v>911</v>
      </c>
      <c r="I912" s="2" t="s">
        <v>39</v>
      </c>
      <c r="J912" s="2" t="n">
        <v>2</v>
      </c>
      <c r="K912" s="2" t="s">
        <v>36</v>
      </c>
      <c r="L912" s="2" t="s">
        <v>37</v>
      </c>
      <c r="M912" s="2" t="n">
        <v>54880</v>
      </c>
      <c r="N912" s="2" t="n">
        <v>1</v>
      </c>
      <c r="O912" s="2" t="n">
        <v>22</v>
      </c>
      <c r="P912" s="2" t="n">
        <v>1</v>
      </c>
      <c r="Q912" s="2" t="n">
        <v>6</v>
      </c>
      <c r="R912" s="2" t="n">
        <v>6</v>
      </c>
      <c r="S912" s="2" t="n">
        <v>6</v>
      </c>
      <c r="T912" s="2" t="n">
        <v>1</v>
      </c>
      <c r="U912" s="2" t="n">
        <v>3</v>
      </c>
      <c r="V912" s="2" t="n">
        <v>1</v>
      </c>
      <c r="W912" s="2" t="n">
        <v>4</v>
      </c>
      <c r="X912" s="2" t="n">
        <v>3</v>
      </c>
      <c r="Y912" s="2" t="n">
        <v>3</v>
      </c>
      <c r="Z912" s="2" t="n">
        <v>4</v>
      </c>
    </row>
    <row r="913" customFormat="false" ht="15" hidden="false" customHeight="true" outlineLevel="0" collapsed="false">
      <c r="A913" s="2" t="n">
        <v>27</v>
      </c>
      <c r="B913" s="2" t="s">
        <v>26</v>
      </c>
      <c r="C913" s="2" t="s">
        <v>27</v>
      </c>
      <c r="D913" s="2" t="s">
        <v>28</v>
      </c>
      <c r="E913" s="2" t="n">
        <v>10</v>
      </c>
      <c r="F913" s="2" t="n">
        <v>4</v>
      </c>
      <c r="G913" s="2" t="s">
        <v>29</v>
      </c>
      <c r="H913" s="2" t="n">
        <v>912</v>
      </c>
      <c r="I913" s="2" t="s">
        <v>39</v>
      </c>
      <c r="J913" s="2" t="n">
        <v>3</v>
      </c>
      <c r="K913" s="2" t="s">
        <v>40</v>
      </c>
      <c r="L913" s="2" t="s">
        <v>32</v>
      </c>
      <c r="M913" s="2" t="n">
        <v>194190</v>
      </c>
      <c r="N913" s="2" t="n">
        <v>7</v>
      </c>
      <c r="O913" s="2" t="n">
        <v>14</v>
      </c>
      <c r="P913" s="2" t="n">
        <v>1</v>
      </c>
      <c r="Q913" s="2" t="n">
        <v>5</v>
      </c>
      <c r="R913" s="2" t="n">
        <v>2</v>
      </c>
      <c r="S913" s="2" t="n">
        <v>3</v>
      </c>
      <c r="T913" s="2" t="n">
        <v>0</v>
      </c>
      <c r="U913" s="2" t="n">
        <v>2</v>
      </c>
      <c r="V913" s="2" t="n">
        <v>2</v>
      </c>
      <c r="W913" s="2" t="n">
        <v>3</v>
      </c>
      <c r="X913" s="2" t="n">
        <v>3</v>
      </c>
      <c r="Y913" s="2" t="n">
        <v>1</v>
      </c>
      <c r="Z913" s="2" t="n">
        <v>3</v>
      </c>
    </row>
    <row r="914" customFormat="false" ht="15" hidden="false" customHeight="true" outlineLevel="0" collapsed="false">
      <c r="A914" s="2" t="n">
        <v>27</v>
      </c>
      <c r="B914" s="2" t="s">
        <v>26</v>
      </c>
      <c r="C914" s="2" t="s">
        <v>34</v>
      </c>
      <c r="D914" s="2" t="s">
        <v>35</v>
      </c>
      <c r="E914" s="2" t="n">
        <v>7</v>
      </c>
      <c r="F914" s="2" t="n">
        <v>3</v>
      </c>
      <c r="G914" s="2" t="s">
        <v>29</v>
      </c>
      <c r="H914" s="2" t="n">
        <v>913</v>
      </c>
      <c r="I914" s="2" t="s">
        <v>39</v>
      </c>
      <c r="J914" s="2" t="n">
        <v>1</v>
      </c>
      <c r="K914" s="2" t="s">
        <v>36</v>
      </c>
      <c r="L914" s="2" t="s">
        <v>37</v>
      </c>
      <c r="M914" s="2" t="n">
        <v>28110</v>
      </c>
      <c r="N914" s="2" t="n">
        <v>2</v>
      </c>
      <c r="O914" s="2" t="n">
        <v>20</v>
      </c>
      <c r="P914" s="2" t="n">
        <v>0</v>
      </c>
      <c r="Q914" s="2" t="n">
        <v>6</v>
      </c>
      <c r="R914" s="2" t="n">
        <v>3</v>
      </c>
      <c r="S914" s="2" t="n">
        <v>4</v>
      </c>
      <c r="T914" s="2" t="n">
        <v>1</v>
      </c>
      <c r="U914" s="2" t="n">
        <v>2</v>
      </c>
      <c r="V914" s="2" t="n">
        <v>4</v>
      </c>
      <c r="W914" s="2" t="n">
        <v>4</v>
      </c>
      <c r="X914" s="2" t="n">
        <v>2</v>
      </c>
      <c r="Y914" s="2" t="n">
        <v>3</v>
      </c>
      <c r="Z914" s="2" t="n">
        <v>4</v>
      </c>
    </row>
    <row r="915" customFormat="false" ht="15" hidden="false" customHeight="true" outlineLevel="0" collapsed="false">
      <c r="A915" s="2" t="n">
        <v>40</v>
      </c>
      <c r="B915" s="2" t="s">
        <v>33</v>
      </c>
      <c r="C915" s="2" t="s">
        <v>27</v>
      </c>
      <c r="D915" s="2" t="s">
        <v>28</v>
      </c>
      <c r="E915" s="2" t="n">
        <v>16</v>
      </c>
      <c r="F915" s="2" t="n">
        <v>4</v>
      </c>
      <c r="G915" s="2" t="s">
        <v>50</v>
      </c>
      <c r="H915" s="2" t="n">
        <v>914</v>
      </c>
      <c r="I915" s="2" t="s">
        <v>39</v>
      </c>
      <c r="J915" s="2" t="n">
        <v>1</v>
      </c>
      <c r="K915" s="2" t="s">
        <v>44</v>
      </c>
      <c r="L915" s="2" t="s">
        <v>37</v>
      </c>
      <c r="M915" s="2" t="n">
        <v>36330</v>
      </c>
      <c r="N915" s="2" t="n">
        <v>3</v>
      </c>
      <c r="O915" s="2" t="n">
        <v>16</v>
      </c>
      <c r="P915" s="2" t="n">
        <v>2</v>
      </c>
      <c r="Q915" s="2" t="n">
        <v>10</v>
      </c>
      <c r="R915" s="2" t="n">
        <v>0</v>
      </c>
      <c r="S915" s="2" t="n">
        <v>4</v>
      </c>
      <c r="T915" s="2" t="n">
        <v>0</v>
      </c>
      <c r="U915" s="2" t="n">
        <v>3</v>
      </c>
      <c r="V915" s="2" t="n">
        <v>1</v>
      </c>
      <c r="W915" s="2" t="n">
        <v>1</v>
      </c>
      <c r="X915" s="2" t="n">
        <v>1</v>
      </c>
      <c r="Y915" s="2" t="n">
        <v>3</v>
      </c>
      <c r="Z915" s="2" t="n">
        <v>3</v>
      </c>
    </row>
    <row r="916" customFormat="false" ht="15" hidden="false" customHeight="true" outlineLevel="0" collapsed="false">
      <c r="A916" s="2" t="n">
        <v>29</v>
      </c>
      <c r="B916" s="2" t="s">
        <v>26</v>
      </c>
      <c r="C916" s="2" t="s">
        <v>27</v>
      </c>
      <c r="D916" s="2" t="s">
        <v>35</v>
      </c>
      <c r="E916" s="2" t="n">
        <v>20</v>
      </c>
      <c r="F916" s="2" t="n">
        <v>1</v>
      </c>
      <c r="G916" s="2" t="s">
        <v>43</v>
      </c>
      <c r="H916" s="2" t="n">
        <v>915</v>
      </c>
      <c r="I916" s="2" t="s">
        <v>30</v>
      </c>
      <c r="J916" s="2" t="n">
        <v>2</v>
      </c>
      <c r="K916" s="2" t="s">
        <v>49</v>
      </c>
      <c r="L916" s="2" t="s">
        <v>37</v>
      </c>
      <c r="M916" s="2" t="n">
        <v>41630</v>
      </c>
      <c r="N916" s="2" t="n">
        <v>9</v>
      </c>
      <c r="O916" s="2" t="n">
        <v>15</v>
      </c>
      <c r="P916" s="2" t="n">
        <v>1</v>
      </c>
      <c r="Q916" s="2" t="n">
        <v>8</v>
      </c>
      <c r="R916" s="2" t="n">
        <v>4</v>
      </c>
      <c r="S916" s="2" t="n">
        <v>5</v>
      </c>
      <c r="T916" s="2" t="n">
        <v>1</v>
      </c>
      <c r="U916" s="2" t="n">
        <v>4</v>
      </c>
      <c r="V916" s="2" t="n">
        <v>3</v>
      </c>
      <c r="W916" s="2" t="n">
        <v>3</v>
      </c>
      <c r="X916" s="2" t="n">
        <v>3</v>
      </c>
      <c r="Y916" s="2" t="n">
        <v>2</v>
      </c>
      <c r="Z916" s="2" t="n">
        <v>3</v>
      </c>
    </row>
    <row r="917" customFormat="false" ht="15" hidden="false" customHeight="true" outlineLevel="0" collapsed="false">
      <c r="A917" s="2" t="n">
        <v>36</v>
      </c>
      <c r="B917" s="2" t="s">
        <v>26</v>
      </c>
      <c r="C917" s="2" t="s">
        <v>27</v>
      </c>
      <c r="D917" s="2" t="s">
        <v>35</v>
      </c>
      <c r="E917" s="2" t="n">
        <v>23</v>
      </c>
      <c r="F917" s="2" t="n">
        <v>3</v>
      </c>
      <c r="G917" s="2" t="s">
        <v>29</v>
      </c>
      <c r="H917" s="2" t="n">
        <v>916</v>
      </c>
      <c r="I917" s="2" t="s">
        <v>30</v>
      </c>
      <c r="J917" s="2" t="n">
        <v>3</v>
      </c>
      <c r="K917" s="2" t="s">
        <v>40</v>
      </c>
      <c r="L917" s="2" t="s">
        <v>32</v>
      </c>
      <c r="M917" s="2" t="n">
        <v>21320</v>
      </c>
      <c r="N917" s="2" t="n">
        <v>4</v>
      </c>
      <c r="O917" s="2" t="n">
        <v>20</v>
      </c>
      <c r="P917" s="2" t="n">
        <v>0</v>
      </c>
      <c r="Q917" s="2" t="n">
        <v>9</v>
      </c>
      <c r="R917" s="2" t="n">
        <v>1</v>
      </c>
      <c r="S917" s="2" t="n">
        <v>3</v>
      </c>
      <c r="T917" s="2" t="n">
        <v>0</v>
      </c>
      <c r="U917" s="2" t="n">
        <v>2</v>
      </c>
      <c r="V917" s="2" t="n">
        <v>2</v>
      </c>
      <c r="W917" s="2" t="n">
        <v>1</v>
      </c>
      <c r="X917" s="2" t="n">
        <v>3</v>
      </c>
      <c r="Y917" s="2" t="n">
        <v>2</v>
      </c>
      <c r="Z917" s="2" t="n">
        <v>4</v>
      </c>
    </row>
    <row r="918" customFormat="false" ht="15" hidden="false" customHeight="true" outlineLevel="0" collapsed="false">
      <c r="A918" s="2" t="n">
        <v>25</v>
      </c>
      <c r="B918" s="2" t="s">
        <v>26</v>
      </c>
      <c r="C918" s="2" t="s">
        <v>34</v>
      </c>
      <c r="D918" s="2" t="s">
        <v>28</v>
      </c>
      <c r="E918" s="2" t="n">
        <v>5</v>
      </c>
      <c r="F918" s="2" t="n">
        <v>1</v>
      </c>
      <c r="G918" s="2" t="s">
        <v>50</v>
      </c>
      <c r="H918" s="2" t="n">
        <v>917</v>
      </c>
      <c r="I918" s="2" t="s">
        <v>39</v>
      </c>
      <c r="J918" s="2" t="n">
        <v>4</v>
      </c>
      <c r="K918" s="2" t="s">
        <v>47</v>
      </c>
      <c r="L918" s="2" t="s">
        <v>46</v>
      </c>
      <c r="M918" s="2" t="n">
        <v>139730</v>
      </c>
      <c r="N918" s="2" t="n">
        <v>1</v>
      </c>
      <c r="O918" s="2" t="n">
        <v>14</v>
      </c>
      <c r="P918" s="2" t="n">
        <v>0</v>
      </c>
      <c r="Q918" s="2" t="n">
        <v>7</v>
      </c>
      <c r="R918" s="2" t="n">
        <v>3</v>
      </c>
      <c r="S918" s="2" t="n">
        <v>7</v>
      </c>
      <c r="T918" s="2" t="n">
        <v>0</v>
      </c>
      <c r="U918" s="2" t="n">
        <v>7</v>
      </c>
      <c r="V918" s="2" t="n">
        <v>4</v>
      </c>
      <c r="W918" s="2" t="n">
        <v>3</v>
      </c>
      <c r="X918" s="2" t="n">
        <v>3</v>
      </c>
      <c r="Y918" s="2" t="n">
        <v>2</v>
      </c>
      <c r="Z918" s="2" t="n">
        <v>3</v>
      </c>
    </row>
    <row r="919" customFormat="false" ht="15" hidden="false" customHeight="true" outlineLevel="0" collapsed="false">
      <c r="A919" s="2" t="n">
        <v>39</v>
      </c>
      <c r="B919" s="2" t="s">
        <v>26</v>
      </c>
      <c r="C919" s="2" t="s">
        <v>27</v>
      </c>
      <c r="D919" s="2" t="s">
        <v>28</v>
      </c>
      <c r="E919" s="2" t="n">
        <v>10</v>
      </c>
      <c r="F919" s="2" t="n">
        <v>3</v>
      </c>
      <c r="G919" s="2" t="s">
        <v>50</v>
      </c>
      <c r="H919" s="2" t="n">
        <v>918</v>
      </c>
      <c r="I919" s="2" t="s">
        <v>30</v>
      </c>
      <c r="J919" s="2" t="n">
        <v>2</v>
      </c>
      <c r="K919" s="2" t="s">
        <v>44</v>
      </c>
      <c r="L919" s="2" t="s">
        <v>32</v>
      </c>
      <c r="M919" s="2" t="n">
        <v>26840</v>
      </c>
      <c r="N919" s="2" t="n">
        <v>4</v>
      </c>
      <c r="O919" s="2" t="n">
        <v>12</v>
      </c>
      <c r="P919" s="2" t="n">
        <v>0</v>
      </c>
      <c r="Q919" s="2" t="n">
        <v>7</v>
      </c>
      <c r="R919" s="2" t="n">
        <v>2</v>
      </c>
      <c r="S919" s="2" t="n">
        <v>5</v>
      </c>
      <c r="T919" s="2" t="n">
        <v>1</v>
      </c>
      <c r="U919" s="2" t="n">
        <v>0</v>
      </c>
      <c r="V919" s="2" t="n">
        <v>4</v>
      </c>
      <c r="W919" s="2" t="n">
        <v>2</v>
      </c>
      <c r="X919" s="2" t="n">
        <v>3</v>
      </c>
      <c r="Y919" s="2" t="n">
        <v>3</v>
      </c>
      <c r="Z919" s="2" t="n">
        <v>3</v>
      </c>
    </row>
    <row r="920" customFormat="false" ht="15" hidden="false" customHeight="true" outlineLevel="0" collapsed="false">
      <c r="A920" s="2" t="n">
        <v>49</v>
      </c>
      <c r="B920" s="2" t="s">
        <v>26</v>
      </c>
      <c r="C920" s="2" t="s">
        <v>27</v>
      </c>
      <c r="D920" s="2" t="s">
        <v>28</v>
      </c>
      <c r="E920" s="2" t="n">
        <v>4</v>
      </c>
      <c r="F920" s="2" t="n">
        <v>2</v>
      </c>
      <c r="G920" s="2" t="s">
        <v>29</v>
      </c>
      <c r="H920" s="2" t="n">
        <v>919</v>
      </c>
      <c r="I920" s="2" t="s">
        <v>39</v>
      </c>
      <c r="J920" s="2" t="n">
        <v>2</v>
      </c>
      <c r="K920" s="2" t="s">
        <v>44</v>
      </c>
      <c r="L920" s="2" t="s">
        <v>32</v>
      </c>
      <c r="M920" s="2" t="n">
        <v>108450</v>
      </c>
      <c r="N920" s="2" t="n">
        <v>3</v>
      </c>
      <c r="O920" s="2" t="n">
        <v>24</v>
      </c>
      <c r="P920" s="2" t="n">
        <v>0</v>
      </c>
      <c r="Q920" s="2" t="n">
        <v>27</v>
      </c>
      <c r="R920" s="2" t="n">
        <v>4</v>
      </c>
      <c r="S920" s="2" t="n">
        <v>4</v>
      </c>
      <c r="T920" s="2" t="n">
        <v>1</v>
      </c>
      <c r="U920" s="2" t="n">
        <v>2</v>
      </c>
      <c r="V920" s="2" t="n">
        <v>1</v>
      </c>
      <c r="W920" s="2" t="n">
        <v>2</v>
      </c>
      <c r="X920" s="2" t="n">
        <v>3</v>
      </c>
      <c r="Y920" s="2" t="n">
        <v>2</v>
      </c>
      <c r="Z920" s="2" t="n">
        <v>4</v>
      </c>
    </row>
    <row r="921" customFormat="false" ht="15" hidden="false" customHeight="true" outlineLevel="0" collapsed="false">
      <c r="A921" s="2" t="n">
        <v>50</v>
      </c>
      <c r="B921" s="2" t="s">
        <v>26</v>
      </c>
      <c r="C921" s="2" t="s">
        <v>27</v>
      </c>
      <c r="D921" s="2" t="s">
        <v>35</v>
      </c>
      <c r="E921" s="2" t="n">
        <v>2</v>
      </c>
      <c r="F921" s="2" t="n">
        <v>2</v>
      </c>
      <c r="G921" s="2" t="s">
        <v>43</v>
      </c>
      <c r="H921" s="2" t="n">
        <v>920</v>
      </c>
      <c r="I921" s="2" t="s">
        <v>39</v>
      </c>
      <c r="J921" s="2" t="n">
        <v>3</v>
      </c>
      <c r="K921" s="2" t="s">
        <v>40</v>
      </c>
      <c r="L921" s="2" t="s">
        <v>46</v>
      </c>
      <c r="M921" s="2" t="n">
        <v>43770</v>
      </c>
      <c r="N921" s="2" t="n">
        <v>5</v>
      </c>
      <c r="O921" s="2" t="n">
        <v>12</v>
      </c>
      <c r="P921" s="2" t="n">
        <v>1</v>
      </c>
      <c r="Q921" s="2" t="n">
        <v>19</v>
      </c>
      <c r="R921" s="2" t="n">
        <v>2</v>
      </c>
      <c r="S921" s="2" t="n">
        <v>14</v>
      </c>
      <c r="T921" s="2" t="n">
        <v>1</v>
      </c>
      <c r="U921" s="2" t="n">
        <v>11</v>
      </c>
      <c r="V921" s="2" t="n">
        <v>4</v>
      </c>
      <c r="W921" s="2" t="n">
        <v>1</v>
      </c>
      <c r="X921" s="2" t="n">
        <v>3</v>
      </c>
      <c r="Y921" s="2" t="n">
        <v>2</v>
      </c>
      <c r="Z921" s="2" t="n">
        <v>3</v>
      </c>
    </row>
    <row r="922" customFormat="false" ht="15" hidden="false" customHeight="true" outlineLevel="0" collapsed="false">
      <c r="A922" s="2" t="n">
        <v>20</v>
      </c>
      <c r="B922" s="2" t="s">
        <v>26</v>
      </c>
      <c r="C922" s="2" t="s">
        <v>27</v>
      </c>
      <c r="D922" s="2" t="s">
        <v>35</v>
      </c>
      <c r="E922" s="2" t="n">
        <v>18</v>
      </c>
      <c r="F922" s="2" t="n">
        <v>4</v>
      </c>
      <c r="G922" s="2" t="s">
        <v>43</v>
      </c>
      <c r="H922" s="2" t="n">
        <v>921</v>
      </c>
      <c r="I922" s="2" t="s">
        <v>30</v>
      </c>
      <c r="J922" s="2" t="n">
        <v>2</v>
      </c>
      <c r="K922" s="2" t="s">
        <v>40</v>
      </c>
      <c r="L922" s="2" t="s">
        <v>37</v>
      </c>
      <c r="M922" s="2" t="n">
        <v>37430</v>
      </c>
      <c r="N922" s="2" t="n">
        <v>1</v>
      </c>
      <c r="O922" s="2" t="n">
        <v>13</v>
      </c>
      <c r="P922" s="2" t="n">
        <v>1</v>
      </c>
      <c r="Q922" s="2" t="n">
        <v>2</v>
      </c>
      <c r="R922" s="2" t="n">
        <v>2</v>
      </c>
      <c r="S922" s="2" t="n">
        <v>2</v>
      </c>
      <c r="T922" s="2" t="n">
        <v>2</v>
      </c>
      <c r="U922" s="2" t="n">
        <v>2</v>
      </c>
      <c r="V922" s="2" t="n">
        <v>3</v>
      </c>
      <c r="W922" s="2" t="n">
        <v>3</v>
      </c>
      <c r="X922" s="2" t="n">
        <v>3</v>
      </c>
      <c r="Y922" s="2" t="n">
        <v>3</v>
      </c>
      <c r="Z922" s="2" t="n">
        <v>3</v>
      </c>
    </row>
    <row r="923" customFormat="false" ht="15" hidden="false" customHeight="true" outlineLevel="0" collapsed="false">
      <c r="A923" s="2" t="n">
        <v>34</v>
      </c>
      <c r="B923" s="2" t="s">
        <v>26</v>
      </c>
      <c r="C923" s="2" t="s">
        <v>27</v>
      </c>
      <c r="D923" s="2" t="s">
        <v>35</v>
      </c>
      <c r="E923" s="2" t="n">
        <v>10</v>
      </c>
      <c r="F923" s="2" t="n">
        <v>3</v>
      </c>
      <c r="G923" s="2" t="s">
        <v>43</v>
      </c>
      <c r="H923" s="2" t="n">
        <v>922</v>
      </c>
      <c r="I923" s="2" t="s">
        <v>39</v>
      </c>
      <c r="J923" s="2" t="n">
        <v>3</v>
      </c>
      <c r="K923" s="2" t="s">
        <v>45</v>
      </c>
      <c r="L923" s="2" t="s">
        <v>46</v>
      </c>
      <c r="M923" s="2" t="n">
        <v>41480</v>
      </c>
      <c r="N923" s="2" t="n">
        <v>1</v>
      </c>
      <c r="O923" s="2" t="n">
        <v>11</v>
      </c>
      <c r="P923" s="2" t="n">
        <v>0</v>
      </c>
      <c r="Q923" s="2" t="n">
        <v>11</v>
      </c>
      <c r="R923" s="2" t="n">
        <v>3</v>
      </c>
      <c r="S923" s="2" t="n">
        <v>11</v>
      </c>
      <c r="T923" s="2" t="n">
        <v>7</v>
      </c>
      <c r="U923" s="2" t="n">
        <v>9</v>
      </c>
      <c r="V923" s="2" t="n">
        <v>4</v>
      </c>
      <c r="W923" s="2" t="n">
        <v>2</v>
      </c>
      <c r="X923" s="2" t="n">
        <v>3</v>
      </c>
      <c r="Y923" s="2" t="n">
        <v>3</v>
      </c>
      <c r="Z923" s="2" t="n">
        <v>3</v>
      </c>
    </row>
    <row r="924" customFormat="false" ht="15" hidden="false" customHeight="true" outlineLevel="0" collapsed="false">
      <c r="A924" s="2" t="n">
        <v>36</v>
      </c>
      <c r="B924" s="2" t="s">
        <v>26</v>
      </c>
      <c r="C924" s="2" t="s">
        <v>27</v>
      </c>
      <c r="D924" s="2" t="s">
        <v>35</v>
      </c>
      <c r="E924" s="2" t="n">
        <v>1</v>
      </c>
      <c r="F924" s="2" t="n">
        <v>3</v>
      </c>
      <c r="G924" s="2" t="s">
        <v>29</v>
      </c>
      <c r="H924" s="2" t="n">
        <v>923</v>
      </c>
      <c r="I924" s="2" t="s">
        <v>30</v>
      </c>
      <c r="J924" s="2" t="n">
        <v>2</v>
      </c>
      <c r="K924" s="2" t="s">
        <v>31</v>
      </c>
      <c r="L924" s="2" t="s">
        <v>37</v>
      </c>
      <c r="M924" s="2" t="n">
        <v>10510</v>
      </c>
      <c r="N924" s="2" t="n">
        <v>2</v>
      </c>
      <c r="O924" s="2" t="n">
        <v>14</v>
      </c>
      <c r="P924" s="2" t="n">
        <v>0</v>
      </c>
      <c r="Q924" s="2" t="n">
        <v>15</v>
      </c>
      <c r="R924" s="2" t="n">
        <v>2</v>
      </c>
      <c r="S924" s="2" t="n">
        <v>4</v>
      </c>
      <c r="T924" s="2" t="n">
        <v>1</v>
      </c>
      <c r="U924" s="2" t="n">
        <v>3</v>
      </c>
      <c r="V924" s="2" t="n">
        <v>1</v>
      </c>
      <c r="W924" s="2" t="n">
        <v>2</v>
      </c>
      <c r="X924" s="2" t="n">
        <v>3</v>
      </c>
      <c r="Y924" s="2" t="n">
        <v>3</v>
      </c>
      <c r="Z924" s="2" t="n">
        <v>3</v>
      </c>
    </row>
    <row r="925" customFormat="false" ht="15" hidden="false" customHeight="true" outlineLevel="0" collapsed="false">
      <c r="A925" s="2" t="n">
        <v>49</v>
      </c>
      <c r="B925" s="2" t="s">
        <v>26</v>
      </c>
      <c r="C925" s="2" t="s">
        <v>27</v>
      </c>
      <c r="D925" s="2" t="s">
        <v>42</v>
      </c>
      <c r="E925" s="2" t="n">
        <v>6</v>
      </c>
      <c r="F925" s="2" t="n">
        <v>2</v>
      </c>
      <c r="G925" s="2" t="s">
        <v>29</v>
      </c>
      <c r="H925" s="2" t="n">
        <v>924</v>
      </c>
      <c r="I925" s="2" t="s">
        <v>30</v>
      </c>
      <c r="J925" s="2" t="n">
        <v>2</v>
      </c>
      <c r="K925" s="2" t="s">
        <v>36</v>
      </c>
      <c r="L925" s="2" t="s">
        <v>32</v>
      </c>
      <c r="M925" s="2" t="n">
        <v>107390</v>
      </c>
      <c r="N925" s="2" t="n">
        <v>2</v>
      </c>
      <c r="O925" s="2" t="n">
        <v>11</v>
      </c>
      <c r="P925" s="2" t="n">
        <v>3</v>
      </c>
      <c r="Q925" s="2" t="n">
        <v>30</v>
      </c>
      <c r="R925" s="2" t="n">
        <v>3</v>
      </c>
      <c r="S925" s="2" t="n">
        <v>15</v>
      </c>
      <c r="T925" s="2" t="n">
        <v>2</v>
      </c>
      <c r="U925" s="2" t="n">
        <v>12</v>
      </c>
      <c r="V925" s="2" t="n">
        <v>3</v>
      </c>
      <c r="W925" s="2" t="n">
        <v>3</v>
      </c>
      <c r="X925" s="2" t="n">
        <v>3</v>
      </c>
      <c r="Y925" s="2" t="n">
        <v>3</v>
      </c>
      <c r="Z925" s="2" t="n">
        <v>3</v>
      </c>
    </row>
    <row r="926" customFormat="false" ht="15" hidden="false" customHeight="true" outlineLevel="0" collapsed="false">
      <c r="A926" s="2" t="n">
        <v>36</v>
      </c>
      <c r="B926" s="2" t="s">
        <v>26</v>
      </c>
      <c r="C926" s="2" t="s">
        <v>41</v>
      </c>
      <c r="D926" s="2" t="s">
        <v>35</v>
      </c>
      <c r="E926" s="2" t="n">
        <v>8</v>
      </c>
      <c r="F926" s="2" t="n">
        <v>4</v>
      </c>
      <c r="G926" s="2" t="s">
        <v>29</v>
      </c>
      <c r="H926" s="2" t="n">
        <v>925</v>
      </c>
      <c r="I926" s="2" t="s">
        <v>39</v>
      </c>
      <c r="J926" s="2" t="n">
        <v>4</v>
      </c>
      <c r="K926" s="2" t="s">
        <v>45</v>
      </c>
      <c r="L926" s="2" t="s">
        <v>32</v>
      </c>
      <c r="M926" s="2" t="n">
        <v>103880</v>
      </c>
      <c r="N926" s="2" t="n">
        <v>0</v>
      </c>
      <c r="O926" s="2" t="n">
        <v>14</v>
      </c>
      <c r="P926" s="2" t="n">
        <v>0</v>
      </c>
      <c r="Q926" s="2" t="n">
        <v>4</v>
      </c>
      <c r="R926" s="2" t="n">
        <v>2</v>
      </c>
      <c r="S926" s="2" t="n">
        <v>3</v>
      </c>
      <c r="T926" s="2" t="n">
        <v>1</v>
      </c>
      <c r="U926" s="2" t="n">
        <v>2</v>
      </c>
      <c r="V926" s="2" t="n">
        <v>4</v>
      </c>
      <c r="W926" s="2" t="n">
        <v>3</v>
      </c>
      <c r="X926" s="2" t="n">
        <v>3</v>
      </c>
      <c r="Y926" s="2" t="n">
        <v>3</v>
      </c>
      <c r="Z926" s="2" t="n">
        <v>3</v>
      </c>
    </row>
    <row r="927" customFormat="false" ht="15" hidden="false" customHeight="true" outlineLevel="0" collapsed="false">
      <c r="A927" s="2" t="n">
        <v>36</v>
      </c>
      <c r="B927" s="2" t="s">
        <v>26</v>
      </c>
      <c r="C927" s="2" t="s">
        <v>27</v>
      </c>
      <c r="D927" s="2" t="s">
        <v>35</v>
      </c>
      <c r="E927" s="2" t="n">
        <v>2</v>
      </c>
      <c r="F927" s="2" t="n">
        <v>2</v>
      </c>
      <c r="G927" s="2" t="s">
        <v>43</v>
      </c>
      <c r="H927" s="2" t="n">
        <v>926</v>
      </c>
      <c r="I927" s="2" t="s">
        <v>30</v>
      </c>
      <c r="J927" s="2" t="n">
        <v>2</v>
      </c>
      <c r="K927" s="2" t="s">
        <v>31</v>
      </c>
      <c r="L927" s="2" t="s">
        <v>46</v>
      </c>
      <c r="M927" s="2" t="n">
        <v>114160</v>
      </c>
      <c r="N927" s="2" t="n">
        <v>6</v>
      </c>
      <c r="O927" s="2" t="n">
        <v>16</v>
      </c>
      <c r="P927" s="2" t="n">
        <v>0</v>
      </c>
      <c r="Q927" s="2" t="n">
        <v>13</v>
      </c>
      <c r="R927" s="2" t="n">
        <v>2</v>
      </c>
      <c r="S927" s="2" t="n">
        <v>5</v>
      </c>
      <c r="T927" s="2" t="n">
        <v>0</v>
      </c>
      <c r="U927" s="2" t="n">
        <v>4</v>
      </c>
      <c r="V927" s="2" t="n">
        <v>4</v>
      </c>
      <c r="W927" s="2" t="n">
        <v>1</v>
      </c>
      <c r="X927" s="2" t="n">
        <v>3</v>
      </c>
      <c r="Y927" s="2" t="n">
        <v>3</v>
      </c>
      <c r="Z927" s="2" t="n">
        <v>3</v>
      </c>
    </row>
    <row r="928" customFormat="false" ht="15" hidden="false" customHeight="true" outlineLevel="0" collapsed="false">
      <c r="A928" s="2" t="n">
        <v>54</v>
      </c>
      <c r="B928" s="2" t="s">
        <v>26</v>
      </c>
      <c r="C928" s="2" t="s">
        <v>27</v>
      </c>
      <c r="D928" s="2" t="s">
        <v>28</v>
      </c>
      <c r="E928" s="2" t="n">
        <v>24</v>
      </c>
      <c r="F928" s="2" t="n">
        <v>3</v>
      </c>
      <c r="G928" s="2" t="s">
        <v>50</v>
      </c>
      <c r="H928" s="2" t="n">
        <v>927</v>
      </c>
      <c r="I928" s="2" t="s">
        <v>39</v>
      </c>
      <c r="J928" s="2" t="n">
        <v>1</v>
      </c>
      <c r="K928" s="2" t="s">
        <v>45</v>
      </c>
      <c r="L928" s="2" t="s">
        <v>32</v>
      </c>
      <c r="M928" s="2" t="n">
        <v>26000</v>
      </c>
      <c r="N928" s="2" t="n">
        <v>3</v>
      </c>
      <c r="O928" s="2" t="n">
        <v>14</v>
      </c>
      <c r="P928" s="2" t="n">
        <v>0</v>
      </c>
      <c r="Q928" s="2" t="n">
        <v>36</v>
      </c>
      <c r="R928" s="2" t="n">
        <v>5</v>
      </c>
      <c r="S928" s="2" t="n">
        <v>10</v>
      </c>
      <c r="T928" s="2" t="n">
        <v>4</v>
      </c>
      <c r="U928" s="2" t="n">
        <v>7</v>
      </c>
      <c r="V928" s="2" t="n">
        <v>2</v>
      </c>
      <c r="W928" s="2" t="n">
        <v>3</v>
      </c>
      <c r="X928" s="2" t="n">
        <v>3</v>
      </c>
      <c r="Y928" s="2" t="n">
        <v>3</v>
      </c>
      <c r="Z928" s="2" t="n">
        <v>3</v>
      </c>
    </row>
    <row r="929" customFormat="false" ht="15" hidden="false" customHeight="true" outlineLevel="0" collapsed="false">
      <c r="A929" s="2" t="n">
        <v>43</v>
      </c>
      <c r="B929" s="2" t="s">
        <v>26</v>
      </c>
      <c r="C929" s="2" t="s">
        <v>27</v>
      </c>
      <c r="D929" s="2" t="s">
        <v>35</v>
      </c>
      <c r="E929" s="2" t="n">
        <v>2</v>
      </c>
      <c r="F929" s="2" t="n">
        <v>4</v>
      </c>
      <c r="G929" s="2" t="s">
        <v>29</v>
      </c>
      <c r="H929" s="2" t="n">
        <v>928</v>
      </c>
      <c r="I929" s="2" t="s">
        <v>30</v>
      </c>
      <c r="J929" s="2" t="n">
        <v>1</v>
      </c>
      <c r="K929" s="2" t="s">
        <v>36</v>
      </c>
      <c r="L929" s="2" t="s">
        <v>32</v>
      </c>
      <c r="M929" s="2" t="n">
        <v>24220</v>
      </c>
      <c r="N929" s="2" t="n">
        <v>1</v>
      </c>
      <c r="O929" s="2" t="n">
        <v>11</v>
      </c>
      <c r="P929" s="2" t="n">
        <v>1</v>
      </c>
      <c r="Q929" s="2" t="n">
        <v>14</v>
      </c>
      <c r="R929" s="2" t="n">
        <v>2</v>
      </c>
      <c r="S929" s="2" t="n">
        <v>14</v>
      </c>
      <c r="T929" s="2" t="n">
        <v>6</v>
      </c>
      <c r="U929" s="2" t="n">
        <v>11</v>
      </c>
      <c r="V929" s="2" t="n">
        <v>3</v>
      </c>
      <c r="W929" s="2" t="n">
        <v>3</v>
      </c>
      <c r="X929" s="2" t="n">
        <v>3</v>
      </c>
      <c r="Y929" s="2" t="n">
        <v>3</v>
      </c>
      <c r="Z929" s="2" t="n">
        <v>3</v>
      </c>
    </row>
    <row r="930" customFormat="false" ht="15" hidden="false" customHeight="true" outlineLevel="0" collapsed="false">
      <c r="A930" s="2" t="n">
        <v>35</v>
      </c>
      <c r="B930" s="2" t="s">
        <v>33</v>
      </c>
      <c r="C930" s="2" t="s">
        <v>34</v>
      </c>
      <c r="D930" s="2" t="s">
        <v>35</v>
      </c>
      <c r="E930" s="2" t="n">
        <v>17</v>
      </c>
      <c r="F930" s="2" t="n">
        <v>4</v>
      </c>
      <c r="G930" s="2" t="s">
        <v>43</v>
      </c>
      <c r="H930" s="2" t="n">
        <v>929</v>
      </c>
      <c r="I930" s="2" t="s">
        <v>39</v>
      </c>
      <c r="J930" s="2" t="n">
        <v>1</v>
      </c>
      <c r="K930" s="2" t="s">
        <v>44</v>
      </c>
      <c r="L930" s="2" t="s">
        <v>37</v>
      </c>
      <c r="M930" s="2" t="n">
        <v>54720</v>
      </c>
      <c r="N930" s="2" t="n">
        <v>3</v>
      </c>
      <c r="O930" s="2" t="n">
        <v>11</v>
      </c>
      <c r="P930" s="2" t="n">
        <v>1</v>
      </c>
      <c r="Q930" s="2" t="n">
        <v>13</v>
      </c>
      <c r="R930" s="2" t="n">
        <v>3</v>
      </c>
      <c r="S930" s="2" t="n">
        <v>11</v>
      </c>
      <c r="T930" s="2" t="n">
        <v>6</v>
      </c>
      <c r="U930" s="2" t="n">
        <v>7</v>
      </c>
      <c r="V930" s="2" t="n">
        <v>4</v>
      </c>
      <c r="W930" s="2" t="n">
        <v>4</v>
      </c>
      <c r="X930" s="2" t="n">
        <v>4</v>
      </c>
      <c r="Y930" s="2" t="n">
        <v>2</v>
      </c>
      <c r="Z930" s="2" t="n">
        <v>3</v>
      </c>
    </row>
    <row r="931" customFormat="false" ht="15" hidden="false" customHeight="true" outlineLevel="0" collapsed="false">
      <c r="A931" s="2" t="n">
        <v>38</v>
      </c>
      <c r="B931" s="2" t="s">
        <v>26</v>
      </c>
      <c r="C931" s="2" t="s">
        <v>34</v>
      </c>
      <c r="D931" s="2" t="s">
        <v>35</v>
      </c>
      <c r="E931" s="2" t="n">
        <v>19</v>
      </c>
      <c r="F931" s="2" t="n">
        <v>2</v>
      </c>
      <c r="G931" s="2" t="s">
        <v>29</v>
      </c>
      <c r="H931" s="2" t="n">
        <v>930</v>
      </c>
      <c r="I931" s="2" t="s">
        <v>39</v>
      </c>
      <c r="J931" s="2" t="n">
        <v>2</v>
      </c>
      <c r="K931" s="2" t="s">
        <v>36</v>
      </c>
      <c r="L931" s="2" t="s">
        <v>32</v>
      </c>
      <c r="M931" s="2" t="n">
        <v>24510</v>
      </c>
      <c r="N931" s="2" t="n">
        <v>7</v>
      </c>
      <c r="O931" s="2" t="n">
        <v>12</v>
      </c>
      <c r="P931" s="2" t="n">
        <v>1</v>
      </c>
      <c r="Q931" s="2" t="n">
        <v>19</v>
      </c>
      <c r="R931" s="2" t="n">
        <v>3</v>
      </c>
      <c r="S931" s="2" t="n">
        <v>13</v>
      </c>
      <c r="T931" s="2" t="n">
        <v>2</v>
      </c>
      <c r="U931" s="2" t="n">
        <v>9</v>
      </c>
      <c r="V931" s="2" t="n">
        <v>4</v>
      </c>
      <c r="W931" s="2" t="n">
        <v>4</v>
      </c>
      <c r="X931" s="2" t="n">
        <v>4</v>
      </c>
      <c r="Y931" s="2" t="n">
        <v>3</v>
      </c>
      <c r="Z931" s="2" t="n">
        <v>3</v>
      </c>
    </row>
    <row r="932" customFormat="false" ht="15" hidden="false" customHeight="true" outlineLevel="0" collapsed="false">
      <c r="A932" s="2" t="n">
        <v>29</v>
      </c>
      <c r="B932" s="2" t="s">
        <v>26</v>
      </c>
      <c r="C932" s="2" t="s">
        <v>27</v>
      </c>
      <c r="D932" s="2" t="s">
        <v>35</v>
      </c>
      <c r="E932" s="2" t="n">
        <v>1</v>
      </c>
      <c r="F932" s="2" t="n">
        <v>2</v>
      </c>
      <c r="G932" s="2" t="s">
        <v>43</v>
      </c>
      <c r="H932" s="2" t="n">
        <v>931</v>
      </c>
      <c r="I932" s="2" t="s">
        <v>39</v>
      </c>
      <c r="J932" s="2" t="n">
        <v>2</v>
      </c>
      <c r="K932" s="2" t="s">
        <v>48</v>
      </c>
      <c r="L932" s="2" t="s">
        <v>46</v>
      </c>
      <c r="M932" s="2" t="n">
        <v>42400</v>
      </c>
      <c r="N932" s="2" t="n">
        <v>1</v>
      </c>
      <c r="O932" s="2" t="n">
        <v>14</v>
      </c>
      <c r="P932" s="2" t="n">
        <v>0</v>
      </c>
      <c r="Q932" s="2" t="n">
        <v>10</v>
      </c>
      <c r="R932" s="2" t="n">
        <v>2</v>
      </c>
      <c r="S932" s="2" t="n">
        <v>10</v>
      </c>
      <c r="T932" s="2" t="n">
        <v>0</v>
      </c>
      <c r="U932" s="2" t="n">
        <v>9</v>
      </c>
      <c r="V932" s="2" t="n">
        <v>1</v>
      </c>
      <c r="W932" s="2" t="n">
        <v>2</v>
      </c>
      <c r="X932" s="2" t="n">
        <v>2</v>
      </c>
      <c r="Y932" s="2" t="n">
        <v>2</v>
      </c>
      <c r="Z932" s="2" t="n">
        <v>3</v>
      </c>
    </row>
    <row r="933" customFormat="false" ht="15" hidden="false" customHeight="true" outlineLevel="0" collapsed="false">
      <c r="A933" s="2" t="n">
        <v>33</v>
      </c>
      <c r="B933" s="2" t="s">
        <v>26</v>
      </c>
      <c r="C933" s="2" t="s">
        <v>27</v>
      </c>
      <c r="D933" s="2" t="s">
        <v>35</v>
      </c>
      <c r="E933" s="2" t="n">
        <v>7</v>
      </c>
      <c r="F933" s="2" t="n">
        <v>3</v>
      </c>
      <c r="G933" s="2" t="s">
        <v>43</v>
      </c>
      <c r="H933" s="2" t="n">
        <v>932</v>
      </c>
      <c r="I933" s="2" t="s">
        <v>39</v>
      </c>
      <c r="J933" s="2" t="n">
        <v>5</v>
      </c>
      <c r="K933" s="2" t="s">
        <v>40</v>
      </c>
      <c r="L933" s="2" t="s">
        <v>46</v>
      </c>
      <c r="M933" s="2" t="n">
        <v>109990</v>
      </c>
      <c r="N933" s="2" t="n">
        <v>1</v>
      </c>
      <c r="O933" s="2" t="n">
        <v>18</v>
      </c>
      <c r="P933" s="2" t="n">
        <v>3</v>
      </c>
      <c r="Q933" s="2" t="n">
        <v>6</v>
      </c>
      <c r="R933" s="2" t="n">
        <v>3</v>
      </c>
      <c r="S933" s="2" t="n">
        <v>6</v>
      </c>
      <c r="T933" s="2" t="n">
        <v>0</v>
      </c>
      <c r="U933" s="2" t="n">
        <v>4</v>
      </c>
      <c r="V933" s="2" t="n">
        <v>4</v>
      </c>
      <c r="W933" s="2" t="n">
        <v>4</v>
      </c>
      <c r="X933" s="2" t="n">
        <v>3</v>
      </c>
      <c r="Y933" s="2" t="n">
        <v>2</v>
      </c>
      <c r="Z933" s="2" t="n">
        <v>3</v>
      </c>
    </row>
    <row r="934" customFormat="false" ht="15" hidden="false" customHeight="true" outlineLevel="0" collapsed="false">
      <c r="A934" s="2" t="n">
        <v>32</v>
      </c>
      <c r="B934" s="2" t="s">
        <v>26</v>
      </c>
      <c r="C934" s="2" t="s">
        <v>27</v>
      </c>
      <c r="D934" s="2" t="s">
        <v>35</v>
      </c>
      <c r="E934" s="2" t="n">
        <v>5</v>
      </c>
      <c r="F934" s="2" t="n">
        <v>4</v>
      </c>
      <c r="G934" s="2" t="s">
        <v>51</v>
      </c>
      <c r="H934" s="2" t="n">
        <v>933</v>
      </c>
      <c r="I934" s="2" t="s">
        <v>39</v>
      </c>
      <c r="J934" s="2" t="n">
        <v>5</v>
      </c>
      <c r="K934" s="2" t="s">
        <v>36</v>
      </c>
      <c r="L934" s="2" t="s">
        <v>46</v>
      </c>
      <c r="M934" s="2" t="n">
        <v>50030</v>
      </c>
      <c r="N934" s="2"/>
      <c r="O934" s="2" t="n">
        <v>13</v>
      </c>
      <c r="P934" s="2" t="n">
        <v>0</v>
      </c>
      <c r="Q934" s="2" t="n">
        <v>10</v>
      </c>
      <c r="R934" s="2" t="n">
        <v>5</v>
      </c>
      <c r="S934" s="2" t="n">
        <v>9</v>
      </c>
      <c r="T934" s="2" t="n">
        <v>1</v>
      </c>
      <c r="U934" s="2" t="n">
        <v>6</v>
      </c>
      <c r="V934" s="2" t="n">
        <v>4</v>
      </c>
      <c r="W934" s="2" t="n">
        <v>2</v>
      </c>
      <c r="X934" s="2" t="n">
        <v>2</v>
      </c>
      <c r="Y934" s="2" t="n">
        <v>3</v>
      </c>
      <c r="Z934" s="2" t="n">
        <v>3</v>
      </c>
    </row>
    <row r="935" customFormat="false" ht="15" hidden="false" customHeight="true" outlineLevel="0" collapsed="false">
      <c r="A935" s="2" t="n">
        <v>31</v>
      </c>
      <c r="B935" s="2" t="s">
        <v>26</v>
      </c>
      <c r="C935" s="2" t="s">
        <v>27</v>
      </c>
      <c r="D935" s="2" t="s">
        <v>35</v>
      </c>
      <c r="E935" s="2" t="n">
        <v>28</v>
      </c>
      <c r="F935" s="2" t="n">
        <v>4</v>
      </c>
      <c r="G935" s="2" t="s">
        <v>51</v>
      </c>
      <c r="H935" s="2" t="n">
        <v>934</v>
      </c>
      <c r="I935" s="2" t="s">
        <v>30</v>
      </c>
      <c r="J935" s="2" t="n">
        <v>2</v>
      </c>
      <c r="K935" s="2" t="s">
        <v>40</v>
      </c>
      <c r="L935" s="2" t="s">
        <v>32</v>
      </c>
      <c r="M935" s="2" t="n">
        <v>127420</v>
      </c>
      <c r="N935" s="2" t="n">
        <v>1</v>
      </c>
      <c r="O935" s="2" t="n">
        <v>11</v>
      </c>
      <c r="P935" s="2" t="n">
        <v>0</v>
      </c>
      <c r="Q935" s="2" t="n">
        <v>10</v>
      </c>
      <c r="R935" s="2" t="n">
        <v>4</v>
      </c>
      <c r="S935" s="2" t="n">
        <v>10</v>
      </c>
      <c r="T935" s="2" t="n">
        <v>0</v>
      </c>
      <c r="U935" s="2" t="n">
        <v>2</v>
      </c>
      <c r="V935" s="2" t="n">
        <v>1</v>
      </c>
      <c r="W935" s="2" t="n">
        <v>4</v>
      </c>
      <c r="X935" s="2" t="n">
        <v>3</v>
      </c>
      <c r="Y935" s="2" t="n">
        <v>2</v>
      </c>
      <c r="Z935" s="2" t="n">
        <v>3</v>
      </c>
    </row>
    <row r="936" customFormat="false" ht="15" hidden="false" customHeight="true" outlineLevel="0" collapsed="false">
      <c r="A936" s="2" t="n">
        <v>49</v>
      </c>
      <c r="B936" s="2" t="s">
        <v>26</v>
      </c>
      <c r="C936" s="2" t="s">
        <v>27</v>
      </c>
      <c r="D936" s="2" t="s">
        <v>35</v>
      </c>
      <c r="E936" s="2" t="n">
        <v>2</v>
      </c>
      <c r="F936" s="2" t="n">
        <v>4</v>
      </c>
      <c r="G936" s="2" t="s">
        <v>43</v>
      </c>
      <c r="H936" s="2" t="n">
        <v>935</v>
      </c>
      <c r="I936" s="2" t="s">
        <v>39</v>
      </c>
      <c r="J936" s="2" t="n">
        <v>1</v>
      </c>
      <c r="K936" s="2" t="s">
        <v>45</v>
      </c>
      <c r="L936" s="2" t="s">
        <v>46</v>
      </c>
      <c r="M936" s="2" t="n">
        <v>42270</v>
      </c>
      <c r="N936" s="2" t="n">
        <v>4</v>
      </c>
      <c r="O936" s="2" t="n">
        <v>18</v>
      </c>
      <c r="P936" s="2" t="n">
        <v>0</v>
      </c>
      <c r="Q936" s="2" t="n">
        <v>17</v>
      </c>
      <c r="R936" s="2" t="n">
        <v>3</v>
      </c>
      <c r="S936" s="2" t="n">
        <v>2</v>
      </c>
      <c r="T936" s="2" t="n">
        <v>2</v>
      </c>
      <c r="U936" s="2" t="n">
        <v>2</v>
      </c>
      <c r="V936" s="2" t="n">
        <v>4</v>
      </c>
      <c r="W936" s="2" t="n">
        <v>1</v>
      </c>
      <c r="X936" s="2" t="n">
        <v>2</v>
      </c>
      <c r="Y936" s="2" t="n">
        <v>2</v>
      </c>
      <c r="Z936" s="2" t="n">
        <v>3</v>
      </c>
    </row>
    <row r="937" customFormat="false" ht="15" hidden="false" customHeight="true" outlineLevel="0" collapsed="false">
      <c r="A937" s="2" t="n">
        <v>38</v>
      </c>
      <c r="B937" s="2" t="s">
        <v>26</v>
      </c>
      <c r="C937" s="2" t="s">
        <v>34</v>
      </c>
      <c r="D937" s="2" t="s">
        <v>28</v>
      </c>
      <c r="E937" s="2" t="n">
        <v>29</v>
      </c>
      <c r="F937" s="2" t="n">
        <v>2</v>
      </c>
      <c r="G937" s="2" t="s">
        <v>43</v>
      </c>
      <c r="H937" s="2" t="n">
        <v>936</v>
      </c>
      <c r="I937" s="2" t="s">
        <v>30</v>
      </c>
      <c r="J937" s="2" t="n">
        <v>1</v>
      </c>
      <c r="K937" s="2" t="s">
        <v>40</v>
      </c>
      <c r="L937" s="2" t="s">
        <v>37</v>
      </c>
      <c r="M937" s="2" t="n">
        <v>39170</v>
      </c>
      <c r="N937" s="2" t="n">
        <v>1</v>
      </c>
      <c r="O937" s="2" t="n">
        <v>15</v>
      </c>
      <c r="P937" s="2" t="n">
        <v>3</v>
      </c>
      <c r="Q937" s="2" t="n">
        <v>4</v>
      </c>
      <c r="R937" s="2" t="n">
        <v>2</v>
      </c>
      <c r="S937" s="2" t="n">
        <v>4</v>
      </c>
      <c r="T937" s="2" t="n">
        <v>3</v>
      </c>
      <c r="U937" s="2" t="n">
        <v>3</v>
      </c>
      <c r="V937" s="2" t="n">
        <v>4</v>
      </c>
      <c r="W937" s="2" t="n">
        <v>2</v>
      </c>
      <c r="X937" s="2" t="n">
        <v>3</v>
      </c>
      <c r="Y937" s="2" t="n">
        <v>3</v>
      </c>
      <c r="Z937" s="2" t="n">
        <v>3</v>
      </c>
    </row>
    <row r="938" customFormat="false" ht="15" hidden="false" customHeight="true" outlineLevel="0" collapsed="false">
      <c r="A938" s="2" t="n">
        <v>47</v>
      </c>
      <c r="B938" s="2" t="s">
        <v>26</v>
      </c>
      <c r="C938" s="2" t="s">
        <v>27</v>
      </c>
      <c r="D938" s="2" t="s">
        <v>35</v>
      </c>
      <c r="E938" s="2" t="n">
        <v>1</v>
      </c>
      <c r="F938" s="2" t="n">
        <v>4</v>
      </c>
      <c r="G938" s="2" t="s">
        <v>43</v>
      </c>
      <c r="H938" s="2" t="n">
        <v>937</v>
      </c>
      <c r="I938" s="2" t="s">
        <v>39</v>
      </c>
      <c r="J938" s="2" t="n">
        <v>3</v>
      </c>
      <c r="K938" s="2" t="s">
        <v>45</v>
      </c>
      <c r="L938" s="2" t="s">
        <v>46</v>
      </c>
      <c r="M938" s="2" t="n">
        <v>183030</v>
      </c>
      <c r="N938" s="2" t="n">
        <v>6</v>
      </c>
      <c r="O938" s="2" t="n">
        <v>22</v>
      </c>
      <c r="P938" s="2" t="n">
        <v>1</v>
      </c>
      <c r="Q938" s="2" t="n">
        <v>29</v>
      </c>
      <c r="R938" s="2" t="n">
        <v>2</v>
      </c>
      <c r="S938" s="2" t="n">
        <v>3</v>
      </c>
      <c r="T938" s="2" t="n">
        <v>1</v>
      </c>
      <c r="U938" s="2" t="n">
        <v>2</v>
      </c>
      <c r="V938" s="2" t="n">
        <v>2</v>
      </c>
      <c r="W938" s="2" t="n">
        <v>2</v>
      </c>
      <c r="X938" s="2" t="n">
        <v>3</v>
      </c>
      <c r="Y938" s="2" t="n">
        <v>2</v>
      </c>
      <c r="Z938" s="2" t="n">
        <v>4</v>
      </c>
    </row>
    <row r="939" customFormat="false" ht="15" hidden="false" customHeight="true" outlineLevel="0" collapsed="false">
      <c r="A939" s="2" t="n">
        <v>49</v>
      </c>
      <c r="B939" s="2" t="s">
        <v>26</v>
      </c>
      <c r="C939" s="2" t="s">
        <v>27</v>
      </c>
      <c r="D939" s="2" t="s">
        <v>35</v>
      </c>
      <c r="E939" s="2" t="n">
        <v>21</v>
      </c>
      <c r="F939" s="2" t="n">
        <v>3</v>
      </c>
      <c r="G939" s="2" t="s">
        <v>43</v>
      </c>
      <c r="H939" s="2" t="n">
        <v>938</v>
      </c>
      <c r="I939" s="2" t="s">
        <v>39</v>
      </c>
      <c r="J939" s="2" t="n">
        <v>2</v>
      </c>
      <c r="K939" s="2" t="s">
        <v>47</v>
      </c>
      <c r="L939" s="2" t="s">
        <v>37</v>
      </c>
      <c r="M939" s="2" t="n">
        <v>23800</v>
      </c>
      <c r="N939" s="2" t="n">
        <v>4</v>
      </c>
      <c r="O939" s="2" t="n">
        <v>13</v>
      </c>
      <c r="P939" s="2" t="n">
        <v>0</v>
      </c>
      <c r="Q939" s="2" t="n">
        <v>23</v>
      </c>
      <c r="R939" s="2" t="n">
        <v>3</v>
      </c>
      <c r="S939" s="2" t="n">
        <v>8</v>
      </c>
      <c r="T939" s="2" t="n">
        <v>0</v>
      </c>
      <c r="U939" s="2" t="n">
        <v>0</v>
      </c>
      <c r="V939" s="2" t="n">
        <v>3</v>
      </c>
      <c r="W939" s="2" t="n">
        <v>3</v>
      </c>
      <c r="X939" s="2" t="n">
        <v>3</v>
      </c>
      <c r="Y939" s="2" t="n">
        <v>1</v>
      </c>
      <c r="Z939" s="2" t="n">
        <v>3</v>
      </c>
    </row>
    <row r="940" customFormat="false" ht="15" hidden="false" customHeight="true" outlineLevel="0" collapsed="false">
      <c r="A940" s="2" t="n">
        <v>41</v>
      </c>
      <c r="B940" s="2" t="s">
        <v>26</v>
      </c>
      <c r="C940" s="2" t="s">
        <v>27</v>
      </c>
      <c r="D940" s="2" t="s">
        <v>35</v>
      </c>
      <c r="E940" s="2" t="n">
        <v>24</v>
      </c>
      <c r="F940" s="2" t="n">
        <v>4</v>
      </c>
      <c r="G940" s="2" t="s">
        <v>29</v>
      </c>
      <c r="H940" s="2" t="n">
        <v>939</v>
      </c>
      <c r="I940" s="2" t="s">
        <v>30</v>
      </c>
      <c r="J940" s="2" t="n">
        <v>4</v>
      </c>
      <c r="K940" s="2" t="s">
        <v>49</v>
      </c>
      <c r="L940" s="2" t="s">
        <v>37</v>
      </c>
      <c r="M940" s="2" t="n">
        <v>137260</v>
      </c>
      <c r="N940" s="2" t="n">
        <v>3</v>
      </c>
      <c r="O940" s="2" t="n">
        <v>12</v>
      </c>
      <c r="P940" s="2" t="n">
        <v>0</v>
      </c>
      <c r="Q940" s="2" t="n">
        <v>21</v>
      </c>
      <c r="R940" s="2" t="n">
        <v>6</v>
      </c>
      <c r="S940" s="2" t="n">
        <v>2</v>
      </c>
      <c r="T940" s="2" t="n">
        <v>0</v>
      </c>
      <c r="U940" s="2" t="n">
        <v>2</v>
      </c>
      <c r="V940" s="2" t="n">
        <v>4</v>
      </c>
      <c r="W940" s="2" t="n">
        <v>3</v>
      </c>
      <c r="X940" s="2" t="n">
        <v>3</v>
      </c>
      <c r="Y940" s="2" t="n">
        <v>4</v>
      </c>
      <c r="Z940" s="2" t="n">
        <v>3</v>
      </c>
    </row>
    <row r="941" customFormat="false" ht="15" hidden="false" customHeight="true" outlineLevel="0" collapsed="false">
      <c r="A941" s="2" t="n">
        <v>20</v>
      </c>
      <c r="B941" s="2" t="s">
        <v>26</v>
      </c>
      <c r="C941" s="2" t="s">
        <v>27</v>
      </c>
      <c r="D941" s="2" t="s">
        <v>35</v>
      </c>
      <c r="E941" s="2" t="n">
        <v>1</v>
      </c>
      <c r="F941" s="2" t="n">
        <v>3</v>
      </c>
      <c r="G941" s="2" t="s">
        <v>29</v>
      </c>
      <c r="H941" s="2" t="n">
        <v>940</v>
      </c>
      <c r="I941" s="2" t="s">
        <v>39</v>
      </c>
      <c r="J941" s="2" t="n">
        <v>1</v>
      </c>
      <c r="K941" s="2" t="s">
        <v>48</v>
      </c>
      <c r="L941" s="2" t="s">
        <v>37</v>
      </c>
      <c r="M941" s="2" t="n">
        <v>47770</v>
      </c>
      <c r="N941" s="2" t="n">
        <v>1</v>
      </c>
      <c r="O941" s="2" t="n">
        <v>18</v>
      </c>
      <c r="P941" s="2" t="n">
        <v>1</v>
      </c>
      <c r="Q941" s="2" t="n">
        <v>2</v>
      </c>
      <c r="R941" s="2" t="n">
        <v>3</v>
      </c>
      <c r="S941" s="2" t="n">
        <v>2</v>
      </c>
      <c r="T941" s="2" t="n">
        <v>0</v>
      </c>
      <c r="U941" s="2" t="n">
        <v>2</v>
      </c>
      <c r="V941" s="2" t="n">
        <v>4</v>
      </c>
      <c r="W941" s="2" t="n">
        <v>1</v>
      </c>
      <c r="X941" s="2" t="n">
        <v>3</v>
      </c>
      <c r="Y941" s="2" t="n">
        <v>3</v>
      </c>
      <c r="Z941" s="2" t="n">
        <v>3</v>
      </c>
    </row>
    <row r="942" customFormat="false" ht="15" hidden="false" customHeight="true" outlineLevel="0" collapsed="false">
      <c r="A942" s="2" t="n">
        <v>33</v>
      </c>
      <c r="B942" s="2" t="s">
        <v>26</v>
      </c>
      <c r="C942" s="2" t="s">
        <v>41</v>
      </c>
      <c r="D942" s="2" t="s">
        <v>35</v>
      </c>
      <c r="E942" s="2" t="n">
        <v>18</v>
      </c>
      <c r="F942" s="2" t="n">
        <v>2</v>
      </c>
      <c r="G942" s="2" t="s">
        <v>43</v>
      </c>
      <c r="H942" s="2" t="n">
        <v>941</v>
      </c>
      <c r="I942" s="2" t="s">
        <v>30</v>
      </c>
      <c r="J942" s="2" t="n">
        <v>2</v>
      </c>
      <c r="K942" s="2" t="s">
        <v>31</v>
      </c>
      <c r="L942" s="2" t="s">
        <v>46</v>
      </c>
      <c r="M942" s="2" t="n">
        <v>63850</v>
      </c>
      <c r="N942" s="2" t="n">
        <v>1</v>
      </c>
      <c r="O942" s="2" t="n">
        <v>13</v>
      </c>
      <c r="P942" s="2" t="n">
        <v>0</v>
      </c>
      <c r="Q942" s="2" t="n">
        <v>7</v>
      </c>
      <c r="R942" s="2" t="n">
        <v>6</v>
      </c>
      <c r="S942" s="2" t="n">
        <v>6</v>
      </c>
      <c r="T942" s="2" t="n">
        <v>1</v>
      </c>
      <c r="U942" s="2" t="n">
        <v>2</v>
      </c>
      <c r="V942" s="2" t="n">
        <v>3</v>
      </c>
      <c r="W942" s="2" t="n">
        <v>4</v>
      </c>
      <c r="X942" s="2" t="n">
        <v>3</v>
      </c>
      <c r="Y942" s="2" t="n">
        <v>2</v>
      </c>
      <c r="Z942" s="2" t="n">
        <v>3</v>
      </c>
    </row>
    <row r="943" customFormat="false" ht="15" hidden="false" customHeight="true" outlineLevel="0" collapsed="false">
      <c r="A943" s="2" t="n">
        <v>36</v>
      </c>
      <c r="B943" s="2" t="s">
        <v>26</v>
      </c>
      <c r="C943" s="2" t="s">
        <v>27</v>
      </c>
      <c r="D943" s="2" t="s">
        <v>35</v>
      </c>
      <c r="E943" s="2" t="n">
        <v>2</v>
      </c>
      <c r="F943" s="2" t="n">
        <v>2</v>
      </c>
      <c r="G943" s="2" t="s">
        <v>51</v>
      </c>
      <c r="H943" s="2" t="n">
        <v>942</v>
      </c>
      <c r="I943" s="2" t="s">
        <v>39</v>
      </c>
      <c r="J943" s="2" t="n">
        <v>3</v>
      </c>
      <c r="K943" s="2" t="s">
        <v>40</v>
      </c>
      <c r="L943" s="2" t="s">
        <v>32</v>
      </c>
      <c r="M943" s="2" t="n">
        <v>199730</v>
      </c>
      <c r="N943" s="2" t="n">
        <v>6</v>
      </c>
      <c r="O943" s="2" t="n">
        <v>12</v>
      </c>
      <c r="P943" s="2" t="n">
        <v>0</v>
      </c>
      <c r="Q943" s="2" t="n">
        <v>10</v>
      </c>
      <c r="R943" s="2" t="n">
        <v>2</v>
      </c>
      <c r="S943" s="2" t="n">
        <v>3</v>
      </c>
      <c r="T943" s="2" t="n">
        <v>0</v>
      </c>
      <c r="U943" s="2" t="n">
        <v>2</v>
      </c>
      <c r="V943" s="2" t="n">
        <v>1</v>
      </c>
      <c r="W943" s="2" t="n">
        <v>3</v>
      </c>
      <c r="X943" s="2" t="n">
        <v>2</v>
      </c>
      <c r="Y943" s="2" t="n">
        <v>3</v>
      </c>
      <c r="Z943" s="2" t="n">
        <v>3</v>
      </c>
    </row>
    <row r="944" customFormat="false" ht="15" hidden="false" customHeight="true" outlineLevel="0" collapsed="false">
      <c r="A944" s="2" t="n">
        <v>44</v>
      </c>
      <c r="B944" s="2" t="s">
        <v>26</v>
      </c>
      <c r="C944" s="2" t="s">
        <v>27</v>
      </c>
      <c r="D944" s="2" t="s">
        <v>35</v>
      </c>
      <c r="E944" s="2" t="n">
        <v>9</v>
      </c>
      <c r="F944" s="2" t="n">
        <v>3</v>
      </c>
      <c r="G944" s="2" t="s">
        <v>51</v>
      </c>
      <c r="H944" s="2" t="n">
        <v>943</v>
      </c>
      <c r="I944" s="2" t="s">
        <v>30</v>
      </c>
      <c r="J944" s="2" t="n">
        <v>3</v>
      </c>
      <c r="K944" s="2" t="s">
        <v>31</v>
      </c>
      <c r="L944" s="2" t="s">
        <v>46</v>
      </c>
      <c r="M944" s="2" t="n">
        <v>68610</v>
      </c>
      <c r="N944" s="2" t="n">
        <v>4</v>
      </c>
      <c r="O944" s="2" t="n">
        <v>12</v>
      </c>
      <c r="P944" s="2" t="n">
        <v>0</v>
      </c>
      <c r="Q944" s="2" t="n">
        <v>8</v>
      </c>
      <c r="R944" s="2" t="n">
        <v>2</v>
      </c>
      <c r="S944" s="2" t="n">
        <v>2</v>
      </c>
      <c r="T944" s="2" t="n">
        <v>2</v>
      </c>
      <c r="U944" s="2" t="n">
        <v>2</v>
      </c>
      <c r="V944" s="2" t="n">
        <v>3</v>
      </c>
      <c r="W944" s="2" t="n">
        <v>4</v>
      </c>
      <c r="X944" s="2" t="n">
        <v>3</v>
      </c>
      <c r="Y944" s="2" t="n">
        <v>2</v>
      </c>
      <c r="Z944" s="2" t="n">
        <v>3</v>
      </c>
    </row>
    <row r="945" customFormat="false" ht="15" hidden="false" customHeight="true" outlineLevel="0" collapsed="false">
      <c r="A945" s="2" t="n">
        <v>23</v>
      </c>
      <c r="B945" s="2" t="s">
        <v>33</v>
      </c>
      <c r="C945" s="2" t="s">
        <v>27</v>
      </c>
      <c r="D945" s="2" t="s">
        <v>42</v>
      </c>
      <c r="E945" s="2" t="n">
        <v>6</v>
      </c>
      <c r="F945" s="2" t="n">
        <v>3</v>
      </c>
      <c r="G945" s="2" t="s">
        <v>29</v>
      </c>
      <c r="H945" s="2" t="n">
        <v>944</v>
      </c>
      <c r="I945" s="2" t="s">
        <v>30</v>
      </c>
      <c r="J945" s="2" t="n">
        <v>3</v>
      </c>
      <c r="K945" s="2" t="s">
        <v>45</v>
      </c>
      <c r="L945" s="2" t="s">
        <v>37</v>
      </c>
      <c r="M945" s="2" t="n">
        <v>49690</v>
      </c>
      <c r="N945" s="2" t="n">
        <v>1</v>
      </c>
      <c r="O945" s="2" t="n">
        <v>12</v>
      </c>
      <c r="P945" s="2" t="n">
        <v>0</v>
      </c>
      <c r="Q945" s="2" t="n">
        <v>5</v>
      </c>
      <c r="R945" s="2" t="n">
        <v>3</v>
      </c>
      <c r="S945" s="2" t="n">
        <v>5</v>
      </c>
      <c r="T945" s="2" t="n">
        <v>1</v>
      </c>
      <c r="U945" s="2" t="n">
        <v>2</v>
      </c>
      <c r="V945" s="2" t="n">
        <v>4</v>
      </c>
      <c r="W945" s="2" t="n">
        <v>3</v>
      </c>
      <c r="X945" s="2" t="n">
        <v>3</v>
      </c>
      <c r="Y945" s="2" t="n">
        <v>3</v>
      </c>
      <c r="Z945" s="2" t="n">
        <v>3</v>
      </c>
    </row>
    <row r="946" customFormat="false" ht="15" hidden="false" customHeight="true" outlineLevel="0" collapsed="false">
      <c r="A946" s="2" t="n">
        <v>38</v>
      </c>
      <c r="B946" s="2" t="s">
        <v>26</v>
      </c>
      <c r="C946" s="2" t="s">
        <v>27</v>
      </c>
      <c r="D946" s="2" t="s">
        <v>35</v>
      </c>
      <c r="E946" s="2" t="n">
        <v>11</v>
      </c>
      <c r="F946" s="2" t="n">
        <v>2</v>
      </c>
      <c r="G946" s="2" t="s">
        <v>29</v>
      </c>
      <c r="H946" s="2" t="n">
        <v>945</v>
      </c>
      <c r="I946" s="2" t="s">
        <v>39</v>
      </c>
      <c r="J946" s="2" t="n">
        <v>1</v>
      </c>
      <c r="K946" s="2" t="s">
        <v>40</v>
      </c>
      <c r="L946" s="2" t="s">
        <v>32</v>
      </c>
      <c r="M946" s="2" t="n">
        <v>198450</v>
      </c>
      <c r="N946" s="2" t="n">
        <v>7</v>
      </c>
      <c r="O946" s="2" t="n">
        <v>11</v>
      </c>
      <c r="P946" s="2" t="n">
        <v>1</v>
      </c>
      <c r="Q946" s="2" t="n">
        <v>7</v>
      </c>
      <c r="R946" s="2" t="n">
        <v>3</v>
      </c>
      <c r="S946" s="2" t="n">
        <v>0</v>
      </c>
      <c r="T946" s="2" t="n">
        <v>0</v>
      </c>
      <c r="U946" s="2" t="n">
        <v>0</v>
      </c>
      <c r="V946" s="2" t="n">
        <v>4</v>
      </c>
      <c r="W946" s="2" t="n">
        <v>3</v>
      </c>
      <c r="X946" s="2" t="n">
        <v>2</v>
      </c>
      <c r="Y946" s="2" t="n">
        <v>3</v>
      </c>
      <c r="Z946" s="2" t="n">
        <v>3</v>
      </c>
    </row>
    <row r="947" customFormat="false" ht="15" hidden="false" customHeight="true" outlineLevel="0" collapsed="false">
      <c r="A947" s="2" t="n">
        <v>53</v>
      </c>
      <c r="B947" s="2" t="s">
        <v>26</v>
      </c>
      <c r="C947" s="2" t="s">
        <v>27</v>
      </c>
      <c r="D947" s="2" t="s">
        <v>35</v>
      </c>
      <c r="E947" s="2" t="n">
        <v>24</v>
      </c>
      <c r="F947" s="2" t="n">
        <v>3</v>
      </c>
      <c r="G947" s="2" t="s">
        <v>29</v>
      </c>
      <c r="H947" s="2" t="n">
        <v>946</v>
      </c>
      <c r="I947" s="2" t="s">
        <v>39</v>
      </c>
      <c r="J947" s="2" t="n">
        <v>4</v>
      </c>
      <c r="K947" s="2" t="s">
        <v>44</v>
      </c>
      <c r="L947" s="2" t="s">
        <v>32</v>
      </c>
      <c r="M947" s="2" t="n">
        <v>133200</v>
      </c>
      <c r="N947" s="2" t="n">
        <v>3</v>
      </c>
      <c r="O947" s="2" t="n">
        <v>11</v>
      </c>
      <c r="P947" s="2" t="n">
        <v>0</v>
      </c>
      <c r="Q947" s="2" t="n">
        <v>11</v>
      </c>
      <c r="R947" s="2" t="n">
        <v>2</v>
      </c>
      <c r="S947" s="2" t="n">
        <v>4</v>
      </c>
      <c r="T947" s="2" t="n">
        <v>1</v>
      </c>
      <c r="U947" s="2" t="n">
        <v>2</v>
      </c>
      <c r="V947" s="2" t="n">
        <v>2</v>
      </c>
      <c r="W947" s="2" t="n">
        <v>4</v>
      </c>
      <c r="X947" s="2" t="n">
        <v>3</v>
      </c>
      <c r="Y947" s="2" t="n">
        <v>3</v>
      </c>
      <c r="Z947" s="2" t="n">
        <v>3</v>
      </c>
    </row>
    <row r="948" customFormat="false" ht="15" hidden="false" customHeight="true" outlineLevel="0" collapsed="false">
      <c r="A948" s="2" t="n">
        <v>48</v>
      </c>
      <c r="B948" s="2" t="s">
        <v>33</v>
      </c>
      <c r="C948" s="2" t="s">
        <v>34</v>
      </c>
      <c r="D948" s="2" t="s">
        <v>28</v>
      </c>
      <c r="E948" s="2" t="n">
        <v>10</v>
      </c>
      <c r="F948" s="2" t="n">
        <v>2</v>
      </c>
      <c r="G948" s="2" t="s">
        <v>50</v>
      </c>
      <c r="H948" s="2" t="n">
        <v>947</v>
      </c>
      <c r="I948" s="2" t="s">
        <v>39</v>
      </c>
      <c r="J948" s="2" t="n">
        <v>1</v>
      </c>
      <c r="K948" s="2" t="s">
        <v>31</v>
      </c>
      <c r="L948" s="2" t="s">
        <v>32</v>
      </c>
      <c r="M948" s="2" t="n">
        <v>63470</v>
      </c>
      <c r="N948" s="2" t="n">
        <v>2</v>
      </c>
      <c r="O948" s="2" t="n">
        <v>12</v>
      </c>
      <c r="P948" s="2" t="n">
        <v>1</v>
      </c>
      <c r="Q948" s="2" t="n">
        <v>19</v>
      </c>
      <c r="R948" s="2" t="n">
        <v>3</v>
      </c>
      <c r="S948" s="2" t="n">
        <v>9</v>
      </c>
      <c r="T948" s="2" t="n">
        <v>7</v>
      </c>
      <c r="U948" s="2" t="n">
        <v>7</v>
      </c>
      <c r="V948" s="2" t="n">
        <v>4</v>
      </c>
      <c r="W948" s="2" t="n">
        <v>3</v>
      </c>
      <c r="X948" s="2" t="n">
        <v>3</v>
      </c>
      <c r="Y948" s="2" t="n">
        <v>1</v>
      </c>
      <c r="Z948" s="2" t="n">
        <v>3</v>
      </c>
    </row>
    <row r="949" customFormat="false" ht="15" hidden="false" customHeight="true" outlineLevel="0" collapsed="false">
      <c r="A949" s="2" t="n">
        <v>32</v>
      </c>
      <c r="B949" s="2" t="s">
        <v>33</v>
      </c>
      <c r="C949" s="2" t="s">
        <v>27</v>
      </c>
      <c r="D949" s="2" t="s">
        <v>28</v>
      </c>
      <c r="E949" s="2" t="n">
        <v>1</v>
      </c>
      <c r="F949" s="2" t="n">
        <v>3</v>
      </c>
      <c r="G949" s="2" t="s">
        <v>29</v>
      </c>
      <c r="H949" s="2" t="n">
        <v>948</v>
      </c>
      <c r="I949" s="2" t="s">
        <v>39</v>
      </c>
      <c r="J949" s="2" t="n">
        <v>2</v>
      </c>
      <c r="K949" s="2" t="s">
        <v>36</v>
      </c>
      <c r="L949" s="2" t="s">
        <v>37</v>
      </c>
      <c r="M949" s="2" t="n">
        <v>27430</v>
      </c>
      <c r="N949" s="2" t="n">
        <v>1</v>
      </c>
      <c r="O949" s="2" t="n">
        <v>19</v>
      </c>
      <c r="P949" s="2" t="n">
        <v>1</v>
      </c>
      <c r="Q949" s="2" t="n">
        <v>1</v>
      </c>
      <c r="R949" s="2" t="n">
        <v>2</v>
      </c>
      <c r="S949" s="2" t="n">
        <v>1</v>
      </c>
      <c r="T949" s="2" t="n">
        <v>0</v>
      </c>
      <c r="U949" s="2" t="n">
        <v>0</v>
      </c>
      <c r="V949" s="2" t="n">
        <v>4</v>
      </c>
      <c r="W949" s="2" t="n">
        <v>2</v>
      </c>
      <c r="X949" s="2" t="n">
        <v>3</v>
      </c>
      <c r="Y949" s="2" t="n">
        <v>3</v>
      </c>
      <c r="Z949" s="2" t="n">
        <v>3</v>
      </c>
    </row>
    <row r="950" customFormat="false" ht="15" hidden="false" customHeight="true" outlineLevel="0" collapsed="false">
      <c r="A950" s="2" t="n">
        <v>26</v>
      </c>
      <c r="B950" s="2" t="s">
        <v>26</v>
      </c>
      <c r="C950" s="2" t="s">
        <v>41</v>
      </c>
      <c r="D950" s="2" t="s">
        <v>35</v>
      </c>
      <c r="E950" s="2" t="n">
        <v>18</v>
      </c>
      <c r="F950" s="2" t="n">
        <v>2</v>
      </c>
      <c r="G950" s="2" t="s">
        <v>43</v>
      </c>
      <c r="H950" s="2" t="n">
        <v>949</v>
      </c>
      <c r="I950" s="2" t="s">
        <v>39</v>
      </c>
      <c r="J950" s="2" t="n">
        <v>1</v>
      </c>
      <c r="K950" s="2" t="s">
        <v>42</v>
      </c>
      <c r="L950" s="2" t="s">
        <v>37</v>
      </c>
      <c r="M950" s="2" t="n">
        <v>108800</v>
      </c>
      <c r="N950" s="2" t="n">
        <v>1</v>
      </c>
      <c r="O950" s="2" t="n">
        <v>23</v>
      </c>
      <c r="P950" s="2" t="n">
        <v>1</v>
      </c>
      <c r="Q950" s="2" t="n">
        <v>7</v>
      </c>
      <c r="R950" s="2" t="n">
        <v>5</v>
      </c>
      <c r="S950" s="2" t="n">
        <v>7</v>
      </c>
      <c r="T950" s="2" t="n">
        <v>5</v>
      </c>
      <c r="U950" s="2" t="n">
        <v>7</v>
      </c>
      <c r="V950" s="2" t="n">
        <v>4</v>
      </c>
      <c r="W950" s="2" t="n">
        <v>4</v>
      </c>
      <c r="X950" s="2" t="n">
        <v>3</v>
      </c>
      <c r="Y950" s="2" t="n">
        <v>3</v>
      </c>
      <c r="Z950" s="2" t="n">
        <v>4</v>
      </c>
    </row>
    <row r="951" customFormat="false" ht="15" hidden="false" customHeight="true" outlineLevel="0" collapsed="false">
      <c r="A951" s="2" t="n">
        <v>55</v>
      </c>
      <c r="B951" s="2" t="s">
        <v>26</v>
      </c>
      <c r="C951" s="2" t="s">
        <v>27</v>
      </c>
      <c r="D951" s="2" t="s">
        <v>35</v>
      </c>
      <c r="E951" s="2" t="n">
        <v>23</v>
      </c>
      <c r="F951" s="2" t="n">
        <v>1</v>
      </c>
      <c r="G951" s="2" t="s">
        <v>29</v>
      </c>
      <c r="H951" s="2" t="n">
        <v>950</v>
      </c>
      <c r="I951" s="2" t="s">
        <v>39</v>
      </c>
      <c r="J951" s="2" t="n">
        <v>5</v>
      </c>
      <c r="K951" s="2" t="s">
        <v>45</v>
      </c>
      <c r="L951" s="2" t="s">
        <v>46</v>
      </c>
      <c r="M951" s="2" t="n">
        <v>23420</v>
      </c>
      <c r="N951" s="2" t="n">
        <v>5</v>
      </c>
      <c r="O951" s="2" t="n">
        <v>11</v>
      </c>
      <c r="P951" s="2" t="n">
        <v>2</v>
      </c>
      <c r="Q951" s="2" t="n">
        <v>8</v>
      </c>
      <c r="R951" s="2" t="n">
        <v>2</v>
      </c>
      <c r="S951" s="2" t="n">
        <v>4</v>
      </c>
      <c r="T951" s="2" t="n">
        <v>1</v>
      </c>
      <c r="U951" s="2" t="n">
        <v>2</v>
      </c>
      <c r="V951" s="2" t="n">
        <v>1</v>
      </c>
      <c r="W951" s="2" t="n">
        <v>2</v>
      </c>
      <c r="X951" s="2" t="n">
        <v>3</v>
      </c>
      <c r="Y951" s="2" t="n">
        <v>3</v>
      </c>
      <c r="Z951" s="2" t="n">
        <v>3</v>
      </c>
    </row>
    <row r="952" customFormat="false" ht="15" hidden="false" customHeight="true" outlineLevel="0" collapsed="false">
      <c r="A952" s="2" t="n">
        <v>34</v>
      </c>
      <c r="B952" s="2" t="s">
        <v>26</v>
      </c>
      <c r="C952" s="2" t="s">
        <v>27</v>
      </c>
      <c r="D952" s="2" t="s">
        <v>28</v>
      </c>
      <c r="E952" s="2" t="n">
        <v>28</v>
      </c>
      <c r="F952" s="2" t="n">
        <v>3</v>
      </c>
      <c r="G952" s="2" t="s">
        <v>29</v>
      </c>
      <c r="H952" s="2" t="n">
        <v>951</v>
      </c>
      <c r="I952" s="2" t="s">
        <v>30</v>
      </c>
      <c r="J952" s="2" t="n">
        <v>2</v>
      </c>
      <c r="K952" s="2" t="s">
        <v>36</v>
      </c>
      <c r="L952" s="2" t="s">
        <v>32</v>
      </c>
      <c r="M952" s="2" t="n">
        <v>176500</v>
      </c>
      <c r="N952" s="2" t="n">
        <v>1</v>
      </c>
      <c r="O952" s="2" t="n">
        <v>19</v>
      </c>
      <c r="P952" s="2" t="n">
        <v>1</v>
      </c>
      <c r="Q952" s="2" t="n">
        <v>15</v>
      </c>
      <c r="R952" s="2" t="n">
        <v>6</v>
      </c>
      <c r="S952" s="2" t="n">
        <v>15</v>
      </c>
      <c r="T952" s="2" t="n">
        <v>4</v>
      </c>
      <c r="U952" s="2" t="n">
        <v>13</v>
      </c>
      <c r="V952" s="2" t="n">
        <v>2</v>
      </c>
      <c r="W952" s="2" t="n">
        <v>4</v>
      </c>
      <c r="X952" s="2" t="n">
        <v>4</v>
      </c>
      <c r="Y952" s="2" t="n">
        <v>1</v>
      </c>
      <c r="Z952" s="2" t="n">
        <v>3</v>
      </c>
    </row>
    <row r="953" customFormat="false" ht="15" hidden="false" customHeight="true" outlineLevel="0" collapsed="false">
      <c r="A953" s="2" t="n">
        <v>60</v>
      </c>
      <c r="B953" s="2" t="s">
        <v>26</v>
      </c>
      <c r="C953" s="2" t="s">
        <v>27</v>
      </c>
      <c r="D953" s="2" t="s">
        <v>28</v>
      </c>
      <c r="E953" s="2" t="n">
        <v>17</v>
      </c>
      <c r="F953" s="2" t="n">
        <v>4</v>
      </c>
      <c r="G953" s="2" t="s">
        <v>43</v>
      </c>
      <c r="H953" s="2" t="n">
        <v>952</v>
      </c>
      <c r="I953" s="2" t="s">
        <v>39</v>
      </c>
      <c r="J953" s="2" t="n">
        <v>1</v>
      </c>
      <c r="K953" s="2" t="s">
        <v>49</v>
      </c>
      <c r="L953" s="2" t="s">
        <v>46</v>
      </c>
      <c r="M953" s="2" t="n">
        <v>40250</v>
      </c>
      <c r="N953" s="2" t="n">
        <v>3</v>
      </c>
      <c r="O953" s="2" t="n">
        <v>13</v>
      </c>
      <c r="P953" s="2" t="n">
        <v>1</v>
      </c>
      <c r="Q953" s="2" t="n">
        <v>19</v>
      </c>
      <c r="R953" s="2" t="n">
        <v>5</v>
      </c>
      <c r="S953" s="2" t="n">
        <v>1</v>
      </c>
      <c r="T953" s="2" t="n">
        <v>0</v>
      </c>
      <c r="U953" s="2" t="n">
        <v>0</v>
      </c>
      <c r="V953" s="2" t="n">
        <v>3</v>
      </c>
      <c r="W953" s="2" t="n">
        <v>4</v>
      </c>
      <c r="X953" s="2" t="n">
        <v>4</v>
      </c>
      <c r="Y953" s="2" t="n">
        <v>2</v>
      </c>
      <c r="Z953" s="2" t="n">
        <v>3</v>
      </c>
    </row>
    <row r="954" customFormat="false" ht="15" hidden="false" customHeight="true" outlineLevel="0" collapsed="false">
      <c r="A954" s="2" t="n">
        <v>33</v>
      </c>
      <c r="B954" s="2" t="s">
        <v>26</v>
      </c>
      <c r="C954" s="2" t="s">
        <v>27</v>
      </c>
      <c r="D954" s="2" t="s">
        <v>28</v>
      </c>
      <c r="E954" s="2" t="n">
        <v>3</v>
      </c>
      <c r="F954" s="2" t="n">
        <v>3</v>
      </c>
      <c r="G954" s="2" t="s">
        <v>29</v>
      </c>
      <c r="H954" s="2" t="n">
        <v>953</v>
      </c>
      <c r="I954" s="2" t="s">
        <v>39</v>
      </c>
      <c r="J954" s="2" t="n">
        <v>3</v>
      </c>
      <c r="K954" s="2" t="s">
        <v>49</v>
      </c>
      <c r="L954" s="2" t="s">
        <v>32</v>
      </c>
      <c r="M954" s="2" t="n">
        <v>97250</v>
      </c>
      <c r="N954" s="2" t="n">
        <v>1</v>
      </c>
      <c r="O954" s="2" t="n">
        <v>11</v>
      </c>
      <c r="P954" s="2" t="n">
        <v>0</v>
      </c>
      <c r="Q954" s="2" t="n">
        <v>14</v>
      </c>
      <c r="R954" s="2" t="n">
        <v>0</v>
      </c>
      <c r="S954" s="2" t="n">
        <v>14</v>
      </c>
      <c r="T954" s="2" t="n">
        <v>2</v>
      </c>
      <c r="U954" s="2" t="n">
        <v>13</v>
      </c>
      <c r="V954" s="2" t="n">
        <v>2</v>
      </c>
      <c r="W954" s="2" t="n">
        <v>2</v>
      </c>
      <c r="X954" s="2" t="n">
        <v>3</v>
      </c>
      <c r="Y954" s="2" t="n">
        <v>3</v>
      </c>
      <c r="Z954" s="2" t="n">
        <v>3</v>
      </c>
    </row>
    <row r="955" customFormat="false" ht="15" hidden="false" customHeight="true" outlineLevel="0" collapsed="false">
      <c r="A955" s="2" t="n">
        <v>37</v>
      </c>
      <c r="B955" s="2" t="s">
        <v>26</v>
      </c>
      <c r="C955" s="2" t="s">
        <v>34</v>
      </c>
      <c r="D955" s="2" t="s">
        <v>35</v>
      </c>
      <c r="E955" s="2" t="n">
        <v>13</v>
      </c>
      <c r="F955" s="2" t="n">
        <v>3</v>
      </c>
      <c r="G955" s="2" t="s">
        <v>29</v>
      </c>
      <c r="H955" s="2" t="n">
        <v>954</v>
      </c>
      <c r="I955" s="2" t="s">
        <v>39</v>
      </c>
      <c r="J955" s="2" t="n">
        <v>1</v>
      </c>
      <c r="K955" s="2" t="s">
        <v>45</v>
      </c>
      <c r="L955" s="2" t="s">
        <v>46</v>
      </c>
      <c r="M955" s="2" t="n">
        <v>119040</v>
      </c>
      <c r="N955" s="2" t="n">
        <v>1</v>
      </c>
      <c r="O955" s="2" t="n">
        <v>12</v>
      </c>
      <c r="P955" s="2" t="n">
        <v>1</v>
      </c>
      <c r="Q955" s="2" t="n">
        <v>6</v>
      </c>
      <c r="R955" s="2" t="n">
        <v>4</v>
      </c>
      <c r="S955" s="2" t="n">
        <v>6</v>
      </c>
      <c r="T955" s="2" t="n">
        <v>1</v>
      </c>
      <c r="U955" s="2" t="n">
        <v>3</v>
      </c>
      <c r="V955" s="2" t="n">
        <v>3</v>
      </c>
      <c r="W955" s="2" t="n">
        <v>4</v>
      </c>
      <c r="X955" s="2" t="n">
        <v>2</v>
      </c>
      <c r="Y955" s="2" t="n">
        <v>3</v>
      </c>
      <c r="Z955" s="2" t="n">
        <v>3</v>
      </c>
    </row>
    <row r="956" customFormat="false" ht="15" hidden="false" customHeight="true" outlineLevel="0" collapsed="false">
      <c r="A956" s="2" t="n">
        <v>34</v>
      </c>
      <c r="B956" s="2" t="s">
        <v>26</v>
      </c>
      <c r="C956" s="2" t="s">
        <v>27</v>
      </c>
      <c r="D956" s="2" t="s">
        <v>35</v>
      </c>
      <c r="E956" s="2" t="n">
        <v>7</v>
      </c>
      <c r="F956" s="2" t="n">
        <v>2</v>
      </c>
      <c r="G956" s="2" t="s">
        <v>29</v>
      </c>
      <c r="H956" s="2" t="n">
        <v>955</v>
      </c>
      <c r="I956" s="2" t="s">
        <v>39</v>
      </c>
      <c r="J956" s="2" t="n">
        <v>1</v>
      </c>
      <c r="K956" s="2" t="s">
        <v>31</v>
      </c>
      <c r="L956" s="2" t="s">
        <v>32</v>
      </c>
      <c r="M956" s="2" t="n">
        <v>21770</v>
      </c>
      <c r="N956" s="2" t="n">
        <v>1</v>
      </c>
      <c r="O956" s="2" t="n">
        <v>13</v>
      </c>
      <c r="P956" s="2" t="n">
        <v>0</v>
      </c>
      <c r="Q956" s="2" t="n">
        <v>10</v>
      </c>
      <c r="R956" s="2" t="n">
        <v>5</v>
      </c>
      <c r="S956" s="2" t="n">
        <v>10</v>
      </c>
      <c r="T956" s="2" t="n">
        <v>8</v>
      </c>
      <c r="U956" s="2" t="n">
        <v>7</v>
      </c>
      <c r="V956" s="2" t="n">
        <v>2</v>
      </c>
      <c r="W956" s="2" t="n">
        <v>4</v>
      </c>
      <c r="X956" s="2" t="n">
        <v>3</v>
      </c>
      <c r="Y956" s="2" t="n">
        <v>3</v>
      </c>
      <c r="Z956" s="2" t="n">
        <v>3</v>
      </c>
    </row>
    <row r="957" customFormat="false" ht="15" hidden="false" customHeight="true" outlineLevel="0" collapsed="false">
      <c r="A957" s="2" t="n">
        <v>23</v>
      </c>
      <c r="B957" s="2" t="s">
        <v>33</v>
      </c>
      <c r="C957" s="2" t="s">
        <v>27</v>
      </c>
      <c r="D957" s="2" t="s">
        <v>35</v>
      </c>
      <c r="E957" s="2" t="n">
        <v>12</v>
      </c>
      <c r="F957" s="2" t="n">
        <v>2</v>
      </c>
      <c r="G957" s="2" t="s">
        <v>43</v>
      </c>
      <c r="H957" s="2" t="n">
        <v>956</v>
      </c>
      <c r="I957" s="2" t="s">
        <v>39</v>
      </c>
      <c r="J957" s="2" t="n">
        <v>2</v>
      </c>
      <c r="K957" s="2" t="s">
        <v>36</v>
      </c>
      <c r="L957" s="2" t="s">
        <v>46</v>
      </c>
      <c r="M957" s="2" t="n">
        <v>75250</v>
      </c>
      <c r="N957" s="2" t="n">
        <v>1</v>
      </c>
      <c r="O957" s="2" t="n">
        <v>14</v>
      </c>
      <c r="P957" s="2" t="n">
        <v>2</v>
      </c>
      <c r="Q957" s="2" t="n">
        <v>3</v>
      </c>
      <c r="R957" s="2" t="n">
        <v>2</v>
      </c>
      <c r="S957" s="2" t="n">
        <v>3</v>
      </c>
      <c r="T957" s="2" t="n">
        <v>0</v>
      </c>
      <c r="U957" s="2" t="n">
        <v>2</v>
      </c>
      <c r="V957" s="2" t="n">
        <v>3</v>
      </c>
      <c r="W957" s="2" t="n">
        <v>4</v>
      </c>
      <c r="X957" s="2" t="n">
        <v>3</v>
      </c>
      <c r="Y957" s="2" t="n">
        <v>3</v>
      </c>
      <c r="Z957" s="2" t="n">
        <v>3</v>
      </c>
    </row>
    <row r="958" customFormat="false" ht="15" hidden="false" customHeight="true" outlineLevel="0" collapsed="false">
      <c r="A958" s="2" t="n">
        <v>44</v>
      </c>
      <c r="B958" s="2" t="s">
        <v>26</v>
      </c>
      <c r="C958" s="2" t="s">
        <v>27</v>
      </c>
      <c r="D958" s="2" t="s">
        <v>42</v>
      </c>
      <c r="E958" s="2" t="n">
        <v>1</v>
      </c>
      <c r="F958" s="2" t="n">
        <v>3</v>
      </c>
      <c r="G958" s="2" t="s">
        <v>29</v>
      </c>
      <c r="H958" s="2" t="n">
        <v>957</v>
      </c>
      <c r="I958" s="2" t="s">
        <v>39</v>
      </c>
      <c r="J958" s="2" t="n">
        <v>1</v>
      </c>
      <c r="K958" s="2" t="s">
        <v>36</v>
      </c>
      <c r="L958" s="2" t="s">
        <v>32</v>
      </c>
      <c r="M958" s="2" t="n">
        <v>48340</v>
      </c>
      <c r="N958" s="2" t="n">
        <v>1</v>
      </c>
      <c r="O958" s="2" t="n">
        <v>14</v>
      </c>
      <c r="P958" s="2" t="n">
        <v>0</v>
      </c>
      <c r="Q958" s="2" t="n">
        <v>9</v>
      </c>
      <c r="R958" s="2" t="n">
        <v>1</v>
      </c>
      <c r="S958" s="2" t="n">
        <v>8</v>
      </c>
      <c r="T958" s="2" t="n">
        <v>6</v>
      </c>
      <c r="U958" s="2" t="n">
        <v>7</v>
      </c>
      <c r="V958" s="2" t="n">
        <v>3</v>
      </c>
      <c r="W958" s="2" t="n">
        <v>4</v>
      </c>
      <c r="X958" s="2" t="n">
        <v>3</v>
      </c>
      <c r="Y958" s="2" t="n">
        <v>4</v>
      </c>
      <c r="Z958" s="2" t="n">
        <v>3</v>
      </c>
    </row>
    <row r="959" customFormat="false" ht="15" hidden="false" customHeight="true" outlineLevel="0" collapsed="false">
      <c r="A959" s="2" t="n">
        <v>35</v>
      </c>
      <c r="B959" s="2" t="s">
        <v>26</v>
      </c>
      <c r="C959" s="2" t="s">
        <v>34</v>
      </c>
      <c r="D959" s="2" t="s">
        <v>35</v>
      </c>
      <c r="E959" s="2" t="n">
        <v>13</v>
      </c>
      <c r="F959" s="2" t="n">
        <v>3</v>
      </c>
      <c r="G959" s="2" t="s">
        <v>29</v>
      </c>
      <c r="H959" s="2" t="n">
        <v>958</v>
      </c>
      <c r="I959" s="2" t="s">
        <v>39</v>
      </c>
      <c r="J959" s="2" t="n">
        <v>3</v>
      </c>
      <c r="K959" s="2" t="s">
        <v>40</v>
      </c>
      <c r="L959" s="2" t="s">
        <v>37</v>
      </c>
      <c r="M959" s="2" t="n">
        <v>20420</v>
      </c>
      <c r="N959" s="2" t="n">
        <v>0</v>
      </c>
      <c r="O959" s="2" t="n">
        <v>16</v>
      </c>
      <c r="P959" s="2" t="n">
        <v>0</v>
      </c>
      <c r="Q959" s="2" t="n">
        <v>6</v>
      </c>
      <c r="R959" s="2" t="n">
        <v>2</v>
      </c>
      <c r="S959" s="2" t="n">
        <v>5</v>
      </c>
      <c r="T959" s="2" t="n">
        <v>1</v>
      </c>
      <c r="U959" s="2" t="n">
        <v>4</v>
      </c>
      <c r="V959" s="2" t="n">
        <v>1</v>
      </c>
      <c r="W959" s="2" t="n">
        <v>4</v>
      </c>
      <c r="X959" s="2" t="n">
        <v>4</v>
      </c>
      <c r="Y959" s="2" t="n">
        <v>3</v>
      </c>
      <c r="Z959" s="2" t="n">
        <v>3</v>
      </c>
    </row>
    <row r="960" customFormat="false" ht="15" hidden="false" customHeight="true" outlineLevel="0" collapsed="false">
      <c r="A960" s="2" t="n">
        <v>43</v>
      </c>
      <c r="B960" s="2" t="s">
        <v>26</v>
      </c>
      <c r="C960" s="2" t="s">
        <v>27</v>
      </c>
      <c r="D960" s="2" t="s">
        <v>35</v>
      </c>
      <c r="E960" s="2" t="n">
        <v>25</v>
      </c>
      <c r="F960" s="2" t="n">
        <v>4</v>
      </c>
      <c r="G960" s="2" t="s">
        <v>29</v>
      </c>
      <c r="H960" s="2" t="n">
        <v>959</v>
      </c>
      <c r="I960" s="2" t="s">
        <v>39</v>
      </c>
      <c r="J960" s="2" t="n">
        <v>2</v>
      </c>
      <c r="K960" s="2" t="s">
        <v>40</v>
      </c>
      <c r="L960" s="2" t="s">
        <v>32</v>
      </c>
      <c r="M960" s="2" t="n">
        <v>22200</v>
      </c>
      <c r="N960" s="2" t="n">
        <v>1</v>
      </c>
      <c r="O960" s="2" t="n">
        <v>11</v>
      </c>
      <c r="P960" s="2" t="n">
        <v>0</v>
      </c>
      <c r="Q960" s="2" t="n">
        <v>10</v>
      </c>
      <c r="R960" s="2" t="n">
        <v>2</v>
      </c>
      <c r="S960" s="2" t="n">
        <v>10</v>
      </c>
      <c r="T960" s="2" t="n">
        <v>8</v>
      </c>
      <c r="U960" s="2" t="n">
        <v>8</v>
      </c>
      <c r="V960" s="2" t="n">
        <v>4</v>
      </c>
      <c r="W960" s="2" t="n">
        <v>4</v>
      </c>
      <c r="X960" s="2" t="n">
        <v>3</v>
      </c>
      <c r="Y960" s="2" t="n">
        <v>1</v>
      </c>
      <c r="Z960" s="2" t="n">
        <v>3</v>
      </c>
    </row>
    <row r="961" customFormat="false" ht="15" hidden="false" customHeight="true" outlineLevel="0" collapsed="false">
      <c r="A961" s="2" t="n">
        <v>24</v>
      </c>
      <c r="B961" s="2" t="s">
        <v>26</v>
      </c>
      <c r="C961" s="2" t="s">
        <v>27</v>
      </c>
      <c r="D961" s="2" t="s">
        <v>35</v>
      </c>
      <c r="E961" s="2" t="n">
        <v>6</v>
      </c>
      <c r="F961" s="2" t="n">
        <v>3</v>
      </c>
      <c r="G961" s="2" t="s">
        <v>29</v>
      </c>
      <c r="H961" s="2" t="n">
        <v>960</v>
      </c>
      <c r="I961" s="2" t="s">
        <v>39</v>
      </c>
      <c r="J961" s="2" t="n">
        <v>3</v>
      </c>
      <c r="K961" s="2" t="s">
        <v>40</v>
      </c>
      <c r="L961" s="2" t="s">
        <v>32</v>
      </c>
      <c r="M961" s="2" t="n">
        <v>10520</v>
      </c>
      <c r="N961" s="2" t="n">
        <v>1</v>
      </c>
      <c r="O961" s="2" t="n">
        <v>13</v>
      </c>
      <c r="P961" s="2" t="n">
        <v>0</v>
      </c>
      <c r="Q961" s="2" t="n">
        <v>5</v>
      </c>
      <c r="R961" s="2" t="n">
        <v>3</v>
      </c>
      <c r="S961" s="2" t="n">
        <v>5</v>
      </c>
      <c r="T961" s="2" t="n">
        <v>0</v>
      </c>
      <c r="U961" s="2" t="n">
        <v>4</v>
      </c>
      <c r="V961" s="2" t="n">
        <v>3</v>
      </c>
      <c r="W961" s="2" t="n">
        <v>3</v>
      </c>
      <c r="X961" s="2" t="n">
        <v>3</v>
      </c>
      <c r="Y961" s="2" t="n">
        <v>3</v>
      </c>
      <c r="Z961" s="2" t="n">
        <v>3</v>
      </c>
    </row>
    <row r="962" customFormat="false" ht="15" hidden="false" customHeight="true" outlineLevel="0" collapsed="false">
      <c r="A962" s="2" t="n">
        <v>41</v>
      </c>
      <c r="B962" s="2" t="s">
        <v>26</v>
      </c>
      <c r="C962" s="2" t="s">
        <v>27</v>
      </c>
      <c r="D962" s="2" t="s">
        <v>28</v>
      </c>
      <c r="E962" s="2" t="n">
        <v>6</v>
      </c>
      <c r="F962" s="2" t="n">
        <v>4</v>
      </c>
      <c r="G962" s="2" t="s">
        <v>50</v>
      </c>
      <c r="H962" s="2" t="n">
        <v>961</v>
      </c>
      <c r="I962" s="2" t="s">
        <v>39</v>
      </c>
      <c r="J962" s="2" t="n">
        <v>1</v>
      </c>
      <c r="K962" s="2" t="s">
        <v>36</v>
      </c>
      <c r="L962" s="2" t="s">
        <v>37</v>
      </c>
      <c r="M962" s="2" t="n">
        <v>28210</v>
      </c>
      <c r="N962" s="2" t="n">
        <v>1</v>
      </c>
      <c r="O962" s="2" t="n">
        <v>17</v>
      </c>
      <c r="P962" s="2" t="n">
        <v>0</v>
      </c>
      <c r="Q962" s="2" t="n">
        <v>10</v>
      </c>
      <c r="R962" s="2" t="n">
        <v>3</v>
      </c>
      <c r="S962" s="2" t="n">
        <v>10</v>
      </c>
      <c r="T962" s="2" t="n">
        <v>8</v>
      </c>
      <c r="U962" s="2" t="n">
        <v>7</v>
      </c>
      <c r="V962" s="2" t="n">
        <v>4</v>
      </c>
      <c r="W962" s="2" t="n">
        <v>3</v>
      </c>
      <c r="X962" s="2" t="n">
        <v>3</v>
      </c>
      <c r="Y962" s="2" t="n">
        <v>3</v>
      </c>
      <c r="Z962" s="2" t="n">
        <v>3</v>
      </c>
    </row>
    <row r="963" customFormat="false" ht="15" hidden="false" customHeight="true" outlineLevel="0" collapsed="false">
      <c r="A963" s="2" t="n">
        <v>29</v>
      </c>
      <c r="B963" s="2" t="s">
        <v>26</v>
      </c>
      <c r="C963" s="2" t="s">
        <v>27</v>
      </c>
      <c r="D963" s="2" t="s">
        <v>35</v>
      </c>
      <c r="E963" s="2" t="n">
        <v>2</v>
      </c>
      <c r="F963" s="2" t="n">
        <v>2</v>
      </c>
      <c r="G963" s="2" t="s">
        <v>29</v>
      </c>
      <c r="H963" s="2" t="n">
        <v>962</v>
      </c>
      <c r="I963" s="2" t="s">
        <v>39</v>
      </c>
      <c r="J963" s="2" t="n">
        <v>2</v>
      </c>
      <c r="K963" s="2" t="s">
        <v>36</v>
      </c>
      <c r="L963" s="2" t="s">
        <v>32</v>
      </c>
      <c r="M963" s="2" t="n">
        <v>192370</v>
      </c>
      <c r="N963" s="2" t="n">
        <v>9</v>
      </c>
      <c r="O963" s="2" t="n">
        <v>11</v>
      </c>
      <c r="P963" s="2" t="n">
        <v>1</v>
      </c>
      <c r="Q963" s="2" t="n">
        <v>9</v>
      </c>
      <c r="R963" s="2" t="n">
        <v>2</v>
      </c>
      <c r="S963" s="2" t="n">
        <v>5</v>
      </c>
      <c r="T963" s="2" t="n">
        <v>1</v>
      </c>
      <c r="U963" s="2" t="n">
        <v>2</v>
      </c>
      <c r="V963" s="2" t="n">
        <v>4</v>
      </c>
      <c r="W963" s="2" t="n">
        <v>3</v>
      </c>
      <c r="X963" s="2" t="n">
        <v>3</v>
      </c>
      <c r="Y963" s="2" t="n">
        <v>3</v>
      </c>
      <c r="Z963" s="2" t="n">
        <v>3</v>
      </c>
    </row>
    <row r="964" customFormat="false" ht="15" hidden="false" customHeight="true" outlineLevel="0" collapsed="false">
      <c r="A964" s="2" t="n">
        <v>36</v>
      </c>
      <c r="B964" s="2" t="s">
        <v>26</v>
      </c>
      <c r="C964" s="2" t="s">
        <v>27</v>
      </c>
      <c r="D964" s="2" t="s">
        <v>42</v>
      </c>
      <c r="E964" s="2" t="n">
        <v>1</v>
      </c>
      <c r="F964" s="2" t="n">
        <v>4</v>
      </c>
      <c r="G964" s="2" t="s">
        <v>29</v>
      </c>
      <c r="H964" s="2" t="n">
        <v>963</v>
      </c>
      <c r="I964" s="2" t="s">
        <v>30</v>
      </c>
      <c r="J964" s="2" t="n">
        <v>3</v>
      </c>
      <c r="K964" s="2" t="s">
        <v>36</v>
      </c>
      <c r="L964" s="2" t="s">
        <v>37</v>
      </c>
      <c r="M964" s="2" t="n">
        <v>41070</v>
      </c>
      <c r="N964" s="2" t="n">
        <v>3</v>
      </c>
      <c r="O964" s="2" t="n">
        <v>11</v>
      </c>
      <c r="P964" s="2" t="n">
        <v>1</v>
      </c>
      <c r="Q964" s="2" t="n">
        <v>17</v>
      </c>
      <c r="R964" s="2" t="n">
        <v>2</v>
      </c>
      <c r="S964" s="2" t="n">
        <v>13</v>
      </c>
      <c r="T964" s="2" t="n">
        <v>6</v>
      </c>
      <c r="U964" s="2" t="n">
        <v>7</v>
      </c>
      <c r="V964" s="2" t="n">
        <v>3</v>
      </c>
      <c r="W964" s="2" t="n">
        <v>4</v>
      </c>
      <c r="X964" s="2" t="n">
        <v>2</v>
      </c>
      <c r="Y964" s="2" t="n">
        <v>1</v>
      </c>
      <c r="Z964" s="2" t="n">
        <v>3</v>
      </c>
    </row>
    <row r="965" customFormat="false" ht="15" hidden="false" customHeight="true" outlineLevel="0" collapsed="false">
      <c r="A965" s="2" t="n">
        <v>45</v>
      </c>
      <c r="B965" s="2" t="s">
        <v>26</v>
      </c>
      <c r="C965" s="2" t="s">
        <v>41</v>
      </c>
      <c r="D965" s="2" t="s">
        <v>28</v>
      </c>
      <c r="E965" s="2" t="n">
        <v>2</v>
      </c>
      <c r="F965" s="2" t="n">
        <v>3</v>
      </c>
      <c r="G965" s="2" t="s">
        <v>29</v>
      </c>
      <c r="H965" s="2" t="n">
        <v>964</v>
      </c>
      <c r="I965" s="2" t="s">
        <v>30</v>
      </c>
      <c r="J965" s="2" t="n">
        <v>2</v>
      </c>
      <c r="K965" s="2" t="s">
        <v>47</v>
      </c>
      <c r="L965" s="2" t="s">
        <v>32</v>
      </c>
      <c r="M965" s="2" t="n">
        <v>83960</v>
      </c>
      <c r="N965" s="2" t="n">
        <v>3</v>
      </c>
      <c r="O965" s="2" t="n">
        <v>15</v>
      </c>
      <c r="P965" s="2" t="n">
        <v>2</v>
      </c>
      <c r="Q965" s="2" t="n">
        <v>25</v>
      </c>
      <c r="R965" s="2" t="n">
        <v>3</v>
      </c>
      <c r="S965" s="2" t="n">
        <v>23</v>
      </c>
      <c r="T965" s="2" t="n">
        <v>14</v>
      </c>
      <c r="U965" s="2" t="n">
        <v>4</v>
      </c>
      <c r="V965" s="2" t="n">
        <v>3</v>
      </c>
      <c r="W965" s="2" t="n">
        <v>3</v>
      </c>
      <c r="X965" s="2" t="n">
        <v>2</v>
      </c>
      <c r="Y965" s="2" t="n">
        <v>2</v>
      </c>
      <c r="Z965" s="2" t="n">
        <v>3</v>
      </c>
    </row>
    <row r="966" customFormat="false" ht="15" hidden="false" customHeight="true" outlineLevel="0" collapsed="false">
      <c r="A966" s="2" t="n">
        <v>24</v>
      </c>
      <c r="B966" s="2" t="s">
        <v>33</v>
      </c>
      <c r="C966" s="2" t="s">
        <v>27</v>
      </c>
      <c r="D966" s="2" t="s">
        <v>28</v>
      </c>
      <c r="E966" s="2" t="n">
        <v>6</v>
      </c>
      <c r="F966" s="2" t="n">
        <v>2</v>
      </c>
      <c r="G966" s="2" t="s">
        <v>43</v>
      </c>
      <c r="H966" s="2" t="n">
        <v>965</v>
      </c>
      <c r="I966" s="2" t="s">
        <v>30</v>
      </c>
      <c r="J966" s="2" t="n">
        <v>2</v>
      </c>
      <c r="K966" s="2" t="s">
        <v>49</v>
      </c>
      <c r="L966" s="2" t="s">
        <v>32</v>
      </c>
      <c r="M966" s="2" t="n">
        <v>20070</v>
      </c>
      <c r="N966" s="2" t="n">
        <v>1</v>
      </c>
      <c r="O966" s="2" t="n">
        <v>12</v>
      </c>
      <c r="P966" s="2" t="n">
        <v>0</v>
      </c>
      <c r="Q966" s="2" t="n">
        <v>1</v>
      </c>
      <c r="R966" s="2" t="n">
        <v>2</v>
      </c>
      <c r="S966" s="2" t="n">
        <v>1</v>
      </c>
      <c r="T966" s="2" t="n">
        <v>0</v>
      </c>
      <c r="U966" s="2" t="n">
        <v>0</v>
      </c>
      <c r="V966" s="2" t="n">
        <v>4</v>
      </c>
      <c r="W966" s="2" t="n">
        <v>3</v>
      </c>
      <c r="X966" s="2" t="n">
        <v>3</v>
      </c>
      <c r="Y966" s="2" t="n">
        <v>2</v>
      </c>
      <c r="Z966" s="2" t="n">
        <v>3</v>
      </c>
    </row>
    <row r="967" customFormat="false" ht="15" hidden="false" customHeight="true" outlineLevel="0" collapsed="false">
      <c r="A967" s="2" t="n">
        <v>47</v>
      </c>
      <c r="B967" s="2" t="s">
        <v>33</v>
      </c>
      <c r="C967" s="2" t="s">
        <v>34</v>
      </c>
      <c r="D967" s="2" t="s">
        <v>35</v>
      </c>
      <c r="E967" s="2" t="n">
        <v>1</v>
      </c>
      <c r="F967" s="2" t="n">
        <v>3</v>
      </c>
      <c r="G967" s="2" t="s">
        <v>43</v>
      </c>
      <c r="H967" s="2" t="n">
        <v>966</v>
      </c>
      <c r="I967" s="2" t="s">
        <v>30</v>
      </c>
      <c r="J967" s="2" t="n">
        <v>2</v>
      </c>
      <c r="K967" s="2" t="s">
        <v>40</v>
      </c>
      <c r="L967" s="2" t="s">
        <v>32</v>
      </c>
      <c r="M967" s="2" t="n">
        <v>196270</v>
      </c>
      <c r="N967" s="2" t="n">
        <v>7</v>
      </c>
      <c r="O967" s="2" t="n">
        <v>11</v>
      </c>
      <c r="P967" s="2" t="n">
        <v>2</v>
      </c>
      <c r="Q967" s="2" t="n">
        <v>25</v>
      </c>
      <c r="R967" s="2" t="n">
        <v>1</v>
      </c>
      <c r="S967" s="2" t="n">
        <v>23</v>
      </c>
      <c r="T967" s="2" t="n">
        <v>14</v>
      </c>
      <c r="U967" s="2" t="n">
        <v>10</v>
      </c>
      <c r="V967" s="2" t="n">
        <v>3</v>
      </c>
      <c r="W967" s="2" t="n">
        <v>3</v>
      </c>
      <c r="X967" s="2" t="n">
        <v>1</v>
      </c>
      <c r="Y967" s="2" t="n">
        <v>3</v>
      </c>
      <c r="Z967" s="2" t="n">
        <v>3</v>
      </c>
    </row>
    <row r="968" customFormat="false" ht="15" hidden="false" customHeight="true" outlineLevel="0" collapsed="false">
      <c r="A968" s="2" t="n">
        <v>26</v>
      </c>
      <c r="B968" s="2" t="s">
        <v>26</v>
      </c>
      <c r="C968" s="2" t="s">
        <v>27</v>
      </c>
      <c r="D968" s="2" t="s">
        <v>35</v>
      </c>
      <c r="E968" s="2" t="n">
        <v>9</v>
      </c>
      <c r="F968" s="2" t="n">
        <v>1</v>
      </c>
      <c r="G968" s="2" t="s">
        <v>43</v>
      </c>
      <c r="H968" s="2" t="n">
        <v>967</v>
      </c>
      <c r="I968" s="2" t="s">
        <v>39</v>
      </c>
      <c r="J968" s="2" t="n">
        <v>1</v>
      </c>
      <c r="K968" s="2" t="s">
        <v>40</v>
      </c>
      <c r="L968" s="2" t="s">
        <v>32</v>
      </c>
      <c r="M968" s="2" t="n">
        <v>106860</v>
      </c>
      <c r="N968" s="2" t="n">
        <v>1</v>
      </c>
      <c r="O968" s="2" t="n">
        <v>14</v>
      </c>
      <c r="P968" s="2" t="n">
        <v>1</v>
      </c>
      <c r="Q968" s="2" t="n">
        <v>3</v>
      </c>
      <c r="R968" s="2" t="n">
        <v>2</v>
      </c>
      <c r="S968" s="2" t="n">
        <v>3</v>
      </c>
      <c r="T968" s="2" t="n">
        <v>0</v>
      </c>
      <c r="U968" s="2" t="n">
        <v>2</v>
      </c>
      <c r="V968" s="2" t="n">
        <v>4</v>
      </c>
      <c r="W968" s="2" t="n">
        <v>3</v>
      </c>
      <c r="X968" s="2" t="n">
        <v>4</v>
      </c>
      <c r="Y968" s="2" t="n">
        <v>3</v>
      </c>
      <c r="Z968" s="2" t="n">
        <v>3</v>
      </c>
    </row>
    <row r="969" customFormat="false" ht="15" hidden="false" customHeight="true" outlineLevel="0" collapsed="false">
      <c r="A969" s="2" t="n">
        <v>45</v>
      </c>
      <c r="B969" s="2" t="s">
        <v>26</v>
      </c>
      <c r="C969" s="2" t="s">
        <v>27</v>
      </c>
      <c r="D969" s="2" t="s">
        <v>35</v>
      </c>
      <c r="E969" s="2" t="n">
        <v>1</v>
      </c>
      <c r="F969" s="2" t="n">
        <v>4</v>
      </c>
      <c r="G969" s="2" t="s">
        <v>29</v>
      </c>
      <c r="H969" s="2" t="n">
        <v>968</v>
      </c>
      <c r="I969" s="2" t="s">
        <v>39</v>
      </c>
      <c r="J969" s="2" t="n">
        <v>1</v>
      </c>
      <c r="K969" s="2" t="s">
        <v>44</v>
      </c>
      <c r="L969" s="2" t="s">
        <v>37</v>
      </c>
      <c r="M969" s="2" t="n">
        <v>29420</v>
      </c>
      <c r="N969" s="2" t="n">
        <v>1</v>
      </c>
      <c r="O969" s="2" t="n">
        <v>22</v>
      </c>
      <c r="P969" s="2" t="n">
        <v>1</v>
      </c>
      <c r="Q969" s="2" t="n">
        <v>21</v>
      </c>
      <c r="R969" s="2" t="n">
        <v>4</v>
      </c>
      <c r="S969" s="2" t="n">
        <v>21</v>
      </c>
      <c r="T969" s="2" t="n">
        <v>8</v>
      </c>
      <c r="U969" s="2" t="n">
        <v>6</v>
      </c>
      <c r="V969" s="2" t="n">
        <v>4</v>
      </c>
      <c r="W969" s="2" t="n">
        <v>2</v>
      </c>
      <c r="X969" s="2" t="n">
        <v>3</v>
      </c>
      <c r="Y969" s="2" t="n">
        <v>3</v>
      </c>
      <c r="Z969" s="2" t="n">
        <v>4</v>
      </c>
    </row>
    <row r="970" customFormat="false" ht="15" hidden="false" customHeight="true" outlineLevel="0" collapsed="false">
      <c r="A970" s="2" t="n">
        <v>32</v>
      </c>
      <c r="B970" s="2" t="s">
        <v>26</v>
      </c>
      <c r="C970" s="2" t="s">
        <v>34</v>
      </c>
      <c r="D970" s="2" t="s">
        <v>28</v>
      </c>
      <c r="E970" s="2" t="n">
        <v>1</v>
      </c>
      <c r="F970" s="2" t="n">
        <v>1</v>
      </c>
      <c r="G970" s="2" t="s">
        <v>50</v>
      </c>
      <c r="H970" s="2" t="n">
        <v>969</v>
      </c>
      <c r="I970" s="2" t="s">
        <v>39</v>
      </c>
      <c r="J970" s="2" t="n">
        <v>2</v>
      </c>
      <c r="K970" s="2" t="s">
        <v>45</v>
      </c>
      <c r="L970" s="2" t="s">
        <v>32</v>
      </c>
      <c r="M970" s="2" t="n">
        <v>88580</v>
      </c>
      <c r="N970" s="2" t="n">
        <v>6</v>
      </c>
      <c r="O970" s="2" t="n">
        <v>16</v>
      </c>
      <c r="P970" s="2" t="n">
        <v>1</v>
      </c>
      <c r="Q970" s="2" t="n">
        <v>10</v>
      </c>
      <c r="R970" s="2" t="n">
        <v>2</v>
      </c>
      <c r="S970" s="2" t="n">
        <v>5</v>
      </c>
      <c r="T970" s="2" t="n">
        <v>1</v>
      </c>
      <c r="U970" s="2" t="n">
        <v>3</v>
      </c>
      <c r="V970" s="2" t="n">
        <v>1</v>
      </c>
      <c r="W970" s="2" t="n">
        <v>3</v>
      </c>
      <c r="X970" s="2" t="n">
        <v>2</v>
      </c>
      <c r="Y970" s="2" t="n">
        <v>3</v>
      </c>
      <c r="Z970" s="2" t="n">
        <v>3</v>
      </c>
    </row>
    <row r="971" customFormat="false" ht="15" hidden="false" customHeight="true" outlineLevel="0" collapsed="false">
      <c r="A971" s="2" t="n">
        <v>31</v>
      </c>
      <c r="B971" s="2" t="s">
        <v>26</v>
      </c>
      <c r="C971" s="2" t="s">
        <v>27</v>
      </c>
      <c r="D971" s="2" t="s">
        <v>35</v>
      </c>
      <c r="E971" s="2" t="n">
        <v>14</v>
      </c>
      <c r="F971" s="2" t="n">
        <v>2</v>
      </c>
      <c r="G971" s="2" t="s">
        <v>29</v>
      </c>
      <c r="H971" s="2" t="n">
        <v>970</v>
      </c>
      <c r="I971" s="2" t="s">
        <v>39</v>
      </c>
      <c r="J971" s="2" t="n">
        <v>1</v>
      </c>
      <c r="K971" s="2" t="s">
        <v>40</v>
      </c>
      <c r="L971" s="2" t="s">
        <v>32</v>
      </c>
      <c r="M971" s="2" t="n">
        <v>167560</v>
      </c>
      <c r="N971" s="2" t="n">
        <v>1</v>
      </c>
      <c r="O971" s="2" t="n">
        <v>11</v>
      </c>
      <c r="P971" s="2" t="n">
        <v>2</v>
      </c>
      <c r="Q971" s="2" t="n">
        <v>6</v>
      </c>
      <c r="R971" s="2" t="n">
        <v>5</v>
      </c>
      <c r="S971" s="2" t="n">
        <v>5</v>
      </c>
      <c r="T971" s="2" t="n">
        <v>0</v>
      </c>
      <c r="U971" s="2" t="n">
        <v>3</v>
      </c>
      <c r="V971" s="2" t="n">
        <v>2</v>
      </c>
      <c r="W971" s="2" t="n">
        <v>3</v>
      </c>
      <c r="X971" s="2" t="n">
        <v>4</v>
      </c>
      <c r="Y971" s="2" t="n">
        <v>3</v>
      </c>
      <c r="Z971" s="2" t="n">
        <v>3</v>
      </c>
    </row>
    <row r="972" customFormat="false" ht="15" hidden="false" customHeight="true" outlineLevel="0" collapsed="false">
      <c r="A972" s="2" t="n">
        <v>41</v>
      </c>
      <c r="B972" s="2" t="s">
        <v>26</v>
      </c>
      <c r="C972" s="2" t="s">
        <v>41</v>
      </c>
      <c r="D972" s="2" t="s">
        <v>28</v>
      </c>
      <c r="E972" s="2" t="n">
        <v>2</v>
      </c>
      <c r="F972" s="2" t="n">
        <v>2</v>
      </c>
      <c r="G972" s="2" t="s">
        <v>43</v>
      </c>
      <c r="H972" s="2" t="n">
        <v>971</v>
      </c>
      <c r="I972" s="2" t="s">
        <v>39</v>
      </c>
      <c r="J972" s="2" t="n">
        <v>2</v>
      </c>
      <c r="K972" s="2" t="s">
        <v>36</v>
      </c>
      <c r="L972" s="2" t="s">
        <v>32</v>
      </c>
      <c r="M972" s="2" t="n">
        <v>107980</v>
      </c>
      <c r="N972" s="2" t="n">
        <v>6</v>
      </c>
      <c r="O972" s="2" t="n">
        <v>14</v>
      </c>
      <c r="P972" s="2" t="n">
        <v>2</v>
      </c>
      <c r="Q972" s="2" t="n">
        <v>10</v>
      </c>
      <c r="R972" s="2" t="n">
        <v>5</v>
      </c>
      <c r="S972" s="2" t="n">
        <v>3</v>
      </c>
      <c r="T972" s="2" t="n">
        <v>1</v>
      </c>
      <c r="U972" s="2" t="n">
        <v>2</v>
      </c>
      <c r="V972" s="2" t="n">
        <v>3</v>
      </c>
      <c r="W972" s="2" t="n">
        <v>2</v>
      </c>
      <c r="X972" s="2" t="n">
        <v>3</v>
      </c>
      <c r="Y972" s="2" t="n">
        <v>1</v>
      </c>
      <c r="Z972" s="2" t="n">
        <v>3</v>
      </c>
    </row>
    <row r="973" customFormat="false" ht="15" hidden="false" customHeight="true" outlineLevel="0" collapsed="false">
      <c r="A973" s="2" t="n">
        <v>40</v>
      </c>
      <c r="B973" s="2" t="s">
        <v>26</v>
      </c>
      <c r="C973" s="2" t="s">
        <v>27</v>
      </c>
      <c r="D973" s="2" t="s">
        <v>35</v>
      </c>
      <c r="E973" s="2" t="n">
        <v>22</v>
      </c>
      <c r="F973" s="2" t="n">
        <v>2</v>
      </c>
      <c r="G973" s="2" t="s">
        <v>51</v>
      </c>
      <c r="H973" s="2" t="n">
        <v>972</v>
      </c>
      <c r="I973" s="2" t="s">
        <v>39</v>
      </c>
      <c r="J973" s="2" t="n">
        <v>1</v>
      </c>
      <c r="K973" s="2" t="s">
        <v>31</v>
      </c>
      <c r="L973" s="2" t="s">
        <v>32</v>
      </c>
      <c r="M973" s="2" t="n">
        <v>23230</v>
      </c>
      <c r="N973" s="2" t="n">
        <v>2</v>
      </c>
      <c r="O973" s="2" t="n">
        <v>16</v>
      </c>
      <c r="P973" s="2" t="n">
        <v>1</v>
      </c>
      <c r="Q973" s="2" t="n">
        <v>18</v>
      </c>
      <c r="R973" s="2" t="n">
        <v>2</v>
      </c>
      <c r="S973" s="2" t="n">
        <v>1</v>
      </c>
      <c r="T973" s="2" t="n">
        <v>0</v>
      </c>
      <c r="U973" s="2" t="n">
        <v>0</v>
      </c>
      <c r="V973" s="2" t="n">
        <v>2</v>
      </c>
      <c r="W973" s="2" t="n">
        <v>1</v>
      </c>
      <c r="X973" s="2" t="n">
        <v>3</v>
      </c>
      <c r="Y973" s="2" t="n">
        <v>3</v>
      </c>
      <c r="Z973" s="2" t="n">
        <v>3</v>
      </c>
    </row>
    <row r="974" customFormat="false" ht="15" hidden="false" customHeight="true" outlineLevel="0" collapsed="false">
      <c r="A974" s="2" t="n">
        <v>24</v>
      </c>
      <c r="B974" s="2" t="s">
        <v>26</v>
      </c>
      <c r="C974" s="2" t="s">
        <v>27</v>
      </c>
      <c r="D974" s="2" t="s">
        <v>35</v>
      </c>
      <c r="E974" s="2" t="n">
        <v>3</v>
      </c>
      <c r="F974" s="2" t="n">
        <v>3</v>
      </c>
      <c r="G974" s="2" t="s">
        <v>29</v>
      </c>
      <c r="H974" s="2" t="n">
        <v>973</v>
      </c>
      <c r="I974" s="2" t="s">
        <v>30</v>
      </c>
      <c r="J974" s="2" t="n">
        <v>1</v>
      </c>
      <c r="K974" s="2" t="s">
        <v>36</v>
      </c>
      <c r="L974" s="2" t="s">
        <v>46</v>
      </c>
      <c r="M974" s="2" t="n">
        <v>14160</v>
      </c>
      <c r="N974" s="2" t="n">
        <v>1</v>
      </c>
      <c r="O974" s="2" t="n">
        <v>15</v>
      </c>
      <c r="P974" s="2" t="n">
        <v>1</v>
      </c>
      <c r="Q974" s="2" t="n">
        <v>6</v>
      </c>
      <c r="R974" s="2" t="n">
        <v>3</v>
      </c>
      <c r="S974" s="2" t="n">
        <v>6</v>
      </c>
      <c r="T974" s="2" t="n">
        <v>1</v>
      </c>
      <c r="U974" s="2" t="n">
        <v>2</v>
      </c>
      <c r="V974" s="2" t="n">
        <v>2</v>
      </c>
      <c r="W974" s="2" t="n">
        <v>1</v>
      </c>
      <c r="X974" s="2" t="n">
        <v>4</v>
      </c>
      <c r="Y974" s="2" t="n">
        <v>2</v>
      </c>
      <c r="Z974" s="2" t="n">
        <v>3</v>
      </c>
    </row>
    <row r="975" customFormat="false" ht="15" hidden="false" customHeight="true" outlineLevel="0" collapsed="false">
      <c r="A975" s="2" t="n">
        <v>46</v>
      </c>
      <c r="B975" s="2" t="s">
        <v>26</v>
      </c>
      <c r="C975" s="2" t="s">
        <v>27</v>
      </c>
      <c r="D975" s="2" t="s">
        <v>35</v>
      </c>
      <c r="E975" s="2" t="n">
        <v>6</v>
      </c>
      <c r="F975" s="2" t="n">
        <v>3</v>
      </c>
      <c r="G975" s="2" t="s">
        <v>43</v>
      </c>
      <c r="H975" s="2" t="n">
        <v>974</v>
      </c>
      <c r="I975" s="2" t="s">
        <v>39</v>
      </c>
      <c r="J975" s="2" t="n">
        <v>4</v>
      </c>
      <c r="K975" s="2" t="s">
        <v>40</v>
      </c>
      <c r="L975" s="2" t="s">
        <v>37</v>
      </c>
      <c r="M975" s="2" t="n">
        <v>46150</v>
      </c>
      <c r="N975" s="2" t="n">
        <v>6</v>
      </c>
      <c r="O975" s="2" t="n">
        <v>12</v>
      </c>
      <c r="P975" s="2" t="n">
        <v>0</v>
      </c>
      <c r="Q975" s="2" t="n">
        <v>19</v>
      </c>
      <c r="R975" s="2" t="n">
        <v>3</v>
      </c>
      <c r="S975" s="2" t="n">
        <v>10</v>
      </c>
      <c r="T975" s="2" t="n">
        <v>0</v>
      </c>
      <c r="U975" s="2" t="n">
        <v>9</v>
      </c>
      <c r="V975" s="2" t="n">
        <v>3</v>
      </c>
      <c r="W975" s="2" t="n">
        <v>2</v>
      </c>
      <c r="X975" s="2" t="n">
        <v>3</v>
      </c>
      <c r="Y975" s="2" t="n">
        <v>2</v>
      </c>
      <c r="Z975" s="2" t="n">
        <v>3</v>
      </c>
    </row>
    <row r="976" customFormat="false" ht="15" hidden="false" customHeight="true" outlineLevel="0" collapsed="false">
      <c r="A976" s="2" t="n">
        <v>35</v>
      </c>
      <c r="B976" s="2" t="s">
        <v>26</v>
      </c>
      <c r="C976" s="2" t="s">
        <v>27</v>
      </c>
      <c r="D976" s="2" t="s">
        <v>28</v>
      </c>
      <c r="E976" s="2" t="n">
        <v>8</v>
      </c>
      <c r="F976" s="2" t="n">
        <v>4</v>
      </c>
      <c r="G976" s="2" t="s">
        <v>29</v>
      </c>
      <c r="H976" s="2" t="n">
        <v>975</v>
      </c>
      <c r="I976" s="2" t="s">
        <v>39</v>
      </c>
      <c r="J976" s="2" t="n">
        <v>1</v>
      </c>
      <c r="K976" s="2" t="s">
        <v>45</v>
      </c>
      <c r="L976" s="2" t="s">
        <v>32</v>
      </c>
      <c r="M976" s="2" t="n">
        <v>24610</v>
      </c>
      <c r="N976" s="2" t="n">
        <v>2</v>
      </c>
      <c r="O976" s="2" t="n">
        <v>20</v>
      </c>
      <c r="P976" s="2" t="n">
        <v>1</v>
      </c>
      <c r="Q976" s="2" t="n">
        <v>17</v>
      </c>
      <c r="R976" s="2" t="n">
        <v>4</v>
      </c>
      <c r="S976" s="2" t="n">
        <v>7</v>
      </c>
      <c r="T976" s="2" t="n">
        <v>0</v>
      </c>
      <c r="U976" s="2" t="n">
        <v>7</v>
      </c>
      <c r="V976" s="2" t="n">
        <v>4</v>
      </c>
      <c r="W976" s="2" t="n">
        <v>3</v>
      </c>
      <c r="X976" s="2" t="n">
        <v>3</v>
      </c>
      <c r="Y976" s="2" t="n">
        <v>3</v>
      </c>
      <c r="Z976" s="2" t="n">
        <v>4</v>
      </c>
    </row>
    <row r="977" customFormat="false" ht="15" hidden="false" customHeight="true" outlineLevel="0" collapsed="false">
      <c r="A977" s="2" t="n">
        <v>30</v>
      </c>
      <c r="B977" s="2" t="s">
        <v>26</v>
      </c>
      <c r="C977" s="2" t="s">
        <v>27</v>
      </c>
      <c r="D977" s="2" t="s">
        <v>28</v>
      </c>
      <c r="E977" s="2" t="n">
        <v>9</v>
      </c>
      <c r="F977" s="2" t="n">
        <v>4</v>
      </c>
      <c r="G977" s="2" t="s">
        <v>50</v>
      </c>
      <c r="H977" s="2" t="n">
        <v>976</v>
      </c>
      <c r="I977" s="2" t="s">
        <v>39</v>
      </c>
      <c r="J977" s="2" t="n">
        <v>1</v>
      </c>
      <c r="K977" s="2" t="s">
        <v>45</v>
      </c>
      <c r="L977" s="2" t="s">
        <v>32</v>
      </c>
      <c r="M977" s="2" t="n">
        <v>87220</v>
      </c>
      <c r="N977" s="2" t="n">
        <v>1</v>
      </c>
      <c r="O977" s="2" t="n">
        <v>17</v>
      </c>
      <c r="P977" s="2" t="n">
        <v>1</v>
      </c>
      <c r="Q977" s="2" t="n">
        <v>10</v>
      </c>
      <c r="R977" s="2" t="n">
        <v>3</v>
      </c>
      <c r="S977" s="2" t="n">
        <v>10</v>
      </c>
      <c r="T977" s="2" t="n">
        <v>0</v>
      </c>
      <c r="U977" s="2" t="n">
        <v>8</v>
      </c>
      <c r="V977" s="2" t="n">
        <v>2</v>
      </c>
      <c r="W977" s="2" t="n">
        <v>4</v>
      </c>
      <c r="X977" s="2" t="n">
        <v>2</v>
      </c>
      <c r="Y977" s="2" t="n">
        <v>3</v>
      </c>
      <c r="Z977" s="2" t="n">
        <v>3</v>
      </c>
    </row>
    <row r="978" customFormat="false" ht="15" hidden="false" customHeight="true" outlineLevel="0" collapsed="false">
      <c r="A978" s="2" t="n">
        <v>47</v>
      </c>
      <c r="B978" s="2" t="s">
        <v>26</v>
      </c>
      <c r="C978" s="2" t="s">
        <v>41</v>
      </c>
      <c r="D978" s="2" t="s">
        <v>35</v>
      </c>
      <c r="E978" s="2" t="n">
        <v>3</v>
      </c>
      <c r="F978" s="2" t="n">
        <v>2</v>
      </c>
      <c r="G978" s="2" t="s">
        <v>29</v>
      </c>
      <c r="H978" s="2" t="n">
        <v>977</v>
      </c>
      <c r="I978" s="2" t="s">
        <v>30</v>
      </c>
      <c r="J978" s="2" t="n">
        <v>2</v>
      </c>
      <c r="K978" s="2" t="s">
        <v>40</v>
      </c>
      <c r="L978" s="2" t="s">
        <v>32</v>
      </c>
      <c r="M978" s="2" t="n">
        <v>39550</v>
      </c>
      <c r="N978" s="2" t="n">
        <v>7</v>
      </c>
      <c r="O978" s="2" t="n">
        <v>12</v>
      </c>
      <c r="P978" s="2" t="n">
        <v>1</v>
      </c>
      <c r="Q978" s="2" t="n">
        <v>4</v>
      </c>
      <c r="R978" s="2" t="n">
        <v>5</v>
      </c>
      <c r="S978" s="2" t="n">
        <v>1</v>
      </c>
      <c r="T978" s="2" t="n">
        <v>0</v>
      </c>
      <c r="U978" s="2" t="n">
        <v>0</v>
      </c>
      <c r="V978" s="2" t="n">
        <v>3</v>
      </c>
      <c r="W978" s="2" t="n">
        <v>2</v>
      </c>
      <c r="X978" s="2" t="n">
        <v>1</v>
      </c>
      <c r="Y978" s="2" t="n">
        <v>3</v>
      </c>
      <c r="Z978" s="2" t="n">
        <v>3</v>
      </c>
    </row>
    <row r="979" customFormat="false" ht="15" hidden="false" customHeight="true" outlineLevel="0" collapsed="false">
      <c r="A979" s="2" t="n">
        <v>46</v>
      </c>
      <c r="B979" s="2" t="s">
        <v>26</v>
      </c>
      <c r="C979" s="2" t="s">
        <v>27</v>
      </c>
      <c r="D979" s="2" t="s">
        <v>35</v>
      </c>
      <c r="E979" s="2" t="n">
        <v>1</v>
      </c>
      <c r="F979" s="2" t="n">
        <v>4</v>
      </c>
      <c r="G979" s="2" t="s">
        <v>51</v>
      </c>
      <c r="H979" s="2" t="n">
        <v>978</v>
      </c>
      <c r="I979" s="2" t="s">
        <v>30</v>
      </c>
      <c r="J979" s="2" t="n">
        <v>3</v>
      </c>
      <c r="K979" s="2" t="s">
        <v>40</v>
      </c>
      <c r="L979" s="2" t="s">
        <v>46</v>
      </c>
      <c r="M979" s="2" t="n">
        <v>99570</v>
      </c>
      <c r="N979" s="2" t="n">
        <v>4</v>
      </c>
      <c r="O979" s="2" t="n">
        <v>20</v>
      </c>
      <c r="P979" s="2" t="n">
        <v>0</v>
      </c>
      <c r="Q979" s="2" t="n">
        <v>13</v>
      </c>
      <c r="R979" s="2" t="n">
        <v>1</v>
      </c>
      <c r="S979" s="2" t="n">
        <v>10</v>
      </c>
      <c r="T979" s="2" t="n">
        <v>0</v>
      </c>
      <c r="U979" s="2" t="n">
        <v>3</v>
      </c>
      <c r="V979" s="2" t="n">
        <v>3</v>
      </c>
      <c r="W979" s="2" t="n">
        <v>4</v>
      </c>
      <c r="X979" s="2" t="n">
        <v>2</v>
      </c>
      <c r="Y979" s="2" t="n">
        <v>3</v>
      </c>
      <c r="Z979" s="2" t="n">
        <v>4</v>
      </c>
    </row>
    <row r="980" customFormat="false" ht="15" hidden="false" customHeight="true" outlineLevel="0" collapsed="false">
      <c r="A980" s="2" t="n">
        <v>36</v>
      </c>
      <c r="B980" s="2" t="s">
        <v>33</v>
      </c>
      <c r="C980" s="2" t="s">
        <v>27</v>
      </c>
      <c r="D980" s="2" t="s">
        <v>35</v>
      </c>
      <c r="E980" s="2" t="n">
        <v>1</v>
      </c>
      <c r="F980" s="2" t="n">
        <v>3</v>
      </c>
      <c r="G980" s="2" t="s">
        <v>43</v>
      </c>
      <c r="H980" s="2" t="n">
        <v>979</v>
      </c>
      <c r="I980" s="2" t="s">
        <v>39</v>
      </c>
      <c r="J980" s="2" t="n">
        <v>2</v>
      </c>
      <c r="K980" s="2" t="s">
        <v>47</v>
      </c>
      <c r="L980" s="2" t="s">
        <v>46</v>
      </c>
      <c r="M980" s="2" t="n">
        <v>33760</v>
      </c>
      <c r="N980" s="2" t="n">
        <v>5</v>
      </c>
      <c r="O980" s="2" t="n">
        <v>20</v>
      </c>
      <c r="P980" s="2" t="n">
        <v>0</v>
      </c>
      <c r="Q980" s="2" t="n">
        <v>16</v>
      </c>
      <c r="R980" s="2" t="n">
        <v>3</v>
      </c>
      <c r="S980" s="2" t="n">
        <v>2</v>
      </c>
      <c r="T980" s="2" t="n">
        <v>2</v>
      </c>
      <c r="U980" s="2" t="n">
        <v>2</v>
      </c>
      <c r="V980" s="2" t="n">
        <v>2</v>
      </c>
      <c r="W980" s="2" t="n">
        <v>1</v>
      </c>
      <c r="X980" s="2" t="n">
        <v>3</v>
      </c>
      <c r="Y980" s="2" t="n">
        <v>3</v>
      </c>
      <c r="Z980" s="2" t="n">
        <v>4</v>
      </c>
    </row>
    <row r="981" customFormat="false" ht="15" hidden="false" customHeight="true" outlineLevel="0" collapsed="false">
      <c r="A981" s="2" t="n">
        <v>32</v>
      </c>
      <c r="B981" s="2" t="s">
        <v>33</v>
      </c>
      <c r="C981" s="2" t="s">
        <v>27</v>
      </c>
      <c r="D981" s="2" t="s">
        <v>35</v>
      </c>
      <c r="E981" s="2" t="n">
        <v>26</v>
      </c>
      <c r="F981" s="2" t="n">
        <v>3</v>
      </c>
      <c r="G981" s="2" t="s">
        <v>43</v>
      </c>
      <c r="H981" s="2" t="n">
        <v>980</v>
      </c>
      <c r="I981" s="2" t="s">
        <v>30</v>
      </c>
      <c r="J981" s="2" t="n">
        <v>2</v>
      </c>
      <c r="K981" s="2" t="s">
        <v>44</v>
      </c>
      <c r="L981" s="2" t="s">
        <v>37</v>
      </c>
      <c r="M981" s="2" t="n">
        <v>88230</v>
      </c>
      <c r="N981" s="2" t="n">
        <v>6</v>
      </c>
      <c r="O981" s="2" t="n">
        <v>13</v>
      </c>
      <c r="P981" s="2" t="n">
        <v>2</v>
      </c>
      <c r="Q981" s="2" t="n">
        <v>10</v>
      </c>
      <c r="R981" s="2" t="n">
        <v>3</v>
      </c>
      <c r="S981" s="2" t="n">
        <v>0</v>
      </c>
      <c r="T981" s="2" t="n">
        <v>0</v>
      </c>
      <c r="U981" s="2" t="n">
        <v>0</v>
      </c>
      <c r="V981" s="2" t="n">
        <v>1</v>
      </c>
      <c r="W981" s="2" t="n">
        <v>2</v>
      </c>
      <c r="X981" s="2" t="n">
        <v>3</v>
      </c>
      <c r="Y981" s="2" t="n">
        <v>3</v>
      </c>
      <c r="Z981" s="2" t="n">
        <v>3</v>
      </c>
    </row>
    <row r="982" customFormat="false" ht="15" hidden="false" customHeight="true" outlineLevel="0" collapsed="false">
      <c r="A982" s="2" t="n">
        <v>23</v>
      </c>
      <c r="B982" s="2" t="s">
        <v>26</v>
      </c>
      <c r="C982" s="2" t="s">
        <v>27</v>
      </c>
      <c r="D982" s="2" t="s">
        <v>28</v>
      </c>
      <c r="E982" s="2" t="n">
        <v>6</v>
      </c>
      <c r="F982" s="2" t="n">
        <v>4</v>
      </c>
      <c r="G982" s="2" t="s">
        <v>29</v>
      </c>
      <c r="H982" s="2" t="n">
        <v>981</v>
      </c>
      <c r="I982" s="2" t="s">
        <v>39</v>
      </c>
      <c r="J982" s="2" t="n">
        <v>3</v>
      </c>
      <c r="K982" s="2" t="s">
        <v>47</v>
      </c>
      <c r="L982" s="2" t="s">
        <v>37</v>
      </c>
      <c r="M982" s="2" t="n">
        <v>103220</v>
      </c>
      <c r="N982" s="2" t="n">
        <v>1</v>
      </c>
      <c r="O982" s="2" t="n">
        <v>14</v>
      </c>
      <c r="P982" s="2" t="n">
        <v>2</v>
      </c>
      <c r="Q982" s="2" t="n">
        <v>3</v>
      </c>
      <c r="R982" s="2" t="n">
        <v>2</v>
      </c>
      <c r="S982" s="2" t="n">
        <v>3</v>
      </c>
      <c r="T982" s="2" t="n">
        <v>1</v>
      </c>
      <c r="U982" s="2" t="n">
        <v>2</v>
      </c>
      <c r="V982" s="2" t="n">
        <v>3</v>
      </c>
      <c r="W982" s="2" t="n">
        <v>2</v>
      </c>
      <c r="X982" s="2" t="n">
        <v>1</v>
      </c>
      <c r="Y982" s="2" t="n">
        <v>3</v>
      </c>
      <c r="Z982" s="2" t="n">
        <v>3</v>
      </c>
    </row>
    <row r="983" customFormat="false" ht="15" hidden="false" customHeight="true" outlineLevel="0" collapsed="false">
      <c r="A983" s="2" t="n">
        <v>31</v>
      </c>
      <c r="B983" s="2" t="s">
        <v>26</v>
      </c>
      <c r="C983" s="2" t="s">
        <v>34</v>
      </c>
      <c r="D983" s="2" t="s">
        <v>28</v>
      </c>
      <c r="E983" s="2" t="n">
        <v>3</v>
      </c>
      <c r="F983" s="2" t="n">
        <v>3</v>
      </c>
      <c r="G983" s="2" t="s">
        <v>50</v>
      </c>
      <c r="H983" s="2" t="n">
        <v>982</v>
      </c>
      <c r="I983" s="2" t="s">
        <v>39</v>
      </c>
      <c r="J983" s="2" t="n">
        <v>2</v>
      </c>
      <c r="K983" s="2" t="s">
        <v>40</v>
      </c>
      <c r="L983" s="2" t="s">
        <v>37</v>
      </c>
      <c r="M983" s="2" t="n">
        <v>46210</v>
      </c>
      <c r="N983" s="2" t="n">
        <v>2</v>
      </c>
      <c r="O983" s="2" t="n">
        <v>18</v>
      </c>
      <c r="P983" s="2" t="n">
        <v>1</v>
      </c>
      <c r="Q983" s="2" t="n">
        <v>9</v>
      </c>
      <c r="R983" s="2" t="n">
        <v>3</v>
      </c>
      <c r="S983" s="2" t="n">
        <v>5</v>
      </c>
      <c r="T983" s="2" t="n">
        <v>1</v>
      </c>
      <c r="U983" s="2" t="n">
        <v>4</v>
      </c>
      <c r="V983" s="2" t="n">
        <v>4</v>
      </c>
      <c r="W983" s="2" t="n">
        <v>4</v>
      </c>
      <c r="X983" s="2" t="n">
        <v>2</v>
      </c>
      <c r="Y983" s="2" t="n">
        <v>3</v>
      </c>
      <c r="Z983" s="2" t="n">
        <v>3</v>
      </c>
    </row>
    <row r="984" customFormat="false" ht="15" hidden="false" customHeight="true" outlineLevel="0" collapsed="false">
      <c r="A984" s="2" t="n">
        <v>39</v>
      </c>
      <c r="B984" s="2" t="s">
        <v>26</v>
      </c>
      <c r="C984" s="2" t="s">
        <v>41</v>
      </c>
      <c r="D984" s="2" t="s">
        <v>35</v>
      </c>
      <c r="E984" s="2" t="n">
        <v>3</v>
      </c>
      <c r="F984" s="2" t="n">
        <v>3</v>
      </c>
      <c r="G984" s="2" t="s">
        <v>29</v>
      </c>
      <c r="H984" s="2" t="n">
        <v>983</v>
      </c>
      <c r="I984" s="2" t="s">
        <v>30</v>
      </c>
      <c r="J984" s="2" t="n">
        <v>2</v>
      </c>
      <c r="K984" s="2" t="s">
        <v>47</v>
      </c>
      <c r="L984" s="2" t="s">
        <v>32</v>
      </c>
      <c r="M984" s="2" t="n">
        <v>109760</v>
      </c>
      <c r="N984" s="2" t="n">
        <v>1</v>
      </c>
      <c r="O984" s="2" t="n">
        <v>11</v>
      </c>
      <c r="P984" s="2" t="n">
        <v>0</v>
      </c>
      <c r="Q984" s="2" t="n">
        <v>9</v>
      </c>
      <c r="R984" s="2" t="n">
        <v>3</v>
      </c>
      <c r="S984" s="2" t="n">
        <v>9</v>
      </c>
      <c r="T984" s="2" t="n">
        <v>5</v>
      </c>
      <c r="U984" s="2" t="n">
        <v>8</v>
      </c>
      <c r="V984" s="2" t="n">
        <v>4</v>
      </c>
      <c r="W984" s="2" t="n">
        <v>4</v>
      </c>
      <c r="X984" s="2" t="n">
        <v>3</v>
      </c>
      <c r="Y984" s="2" t="n">
        <v>2</v>
      </c>
      <c r="Z984" s="2" t="n">
        <v>3</v>
      </c>
    </row>
    <row r="985" customFormat="false" ht="15" hidden="false" customHeight="true" outlineLevel="0" collapsed="false">
      <c r="A985" s="2" t="n">
        <v>32</v>
      </c>
      <c r="B985" s="2" t="s">
        <v>26</v>
      </c>
      <c r="C985" s="2" t="s">
        <v>27</v>
      </c>
      <c r="D985" s="2" t="s">
        <v>35</v>
      </c>
      <c r="E985" s="2" t="n">
        <v>6</v>
      </c>
      <c r="F985" s="2" t="n">
        <v>3</v>
      </c>
      <c r="G985" s="2" t="s">
        <v>51</v>
      </c>
      <c r="H985" s="2" t="n">
        <v>984</v>
      </c>
      <c r="I985" s="2" t="s">
        <v>39</v>
      </c>
      <c r="J985" s="2" t="n">
        <v>1</v>
      </c>
      <c r="K985" s="2" t="s">
        <v>36</v>
      </c>
      <c r="L985" s="2" t="s">
        <v>32</v>
      </c>
      <c r="M985" s="2" t="n">
        <v>36600</v>
      </c>
      <c r="N985" s="2" t="n">
        <v>3</v>
      </c>
      <c r="O985" s="2" t="n">
        <v>11</v>
      </c>
      <c r="P985" s="2" t="n">
        <v>2</v>
      </c>
      <c r="Q985" s="2" t="n">
        <v>10</v>
      </c>
      <c r="R985" s="2" t="n">
        <v>0</v>
      </c>
      <c r="S985" s="2" t="n">
        <v>4</v>
      </c>
      <c r="T985" s="2" t="n">
        <v>0</v>
      </c>
      <c r="U985" s="2" t="n">
        <v>2</v>
      </c>
      <c r="V985" s="2" t="n">
        <v>4</v>
      </c>
      <c r="W985" s="2" t="n">
        <v>3</v>
      </c>
      <c r="X985" s="2" t="n">
        <v>1</v>
      </c>
      <c r="Y985" s="2" t="n">
        <v>2</v>
      </c>
      <c r="Z985" s="2" t="n">
        <v>3</v>
      </c>
    </row>
    <row r="986" customFormat="false" ht="15" hidden="false" customHeight="true" outlineLevel="0" collapsed="false">
      <c r="A986" s="2" t="n">
        <v>40</v>
      </c>
      <c r="B986" s="2" t="s">
        <v>26</v>
      </c>
      <c r="C986" s="2" t="s">
        <v>27</v>
      </c>
      <c r="D986" s="2" t="s">
        <v>28</v>
      </c>
      <c r="E986" s="2" t="n">
        <v>6</v>
      </c>
      <c r="F986" s="2" t="n">
        <v>3</v>
      </c>
      <c r="G986" s="2" t="s">
        <v>29</v>
      </c>
      <c r="H986" s="2" t="n">
        <v>985</v>
      </c>
      <c r="I986" s="2" t="s">
        <v>39</v>
      </c>
      <c r="J986" s="2" t="n">
        <v>3</v>
      </c>
      <c r="K986" s="2" t="s">
        <v>47</v>
      </c>
      <c r="L986" s="2" t="s">
        <v>37</v>
      </c>
      <c r="M986" s="2" t="n">
        <v>104820</v>
      </c>
      <c r="N986" s="2" t="n">
        <v>1</v>
      </c>
      <c r="O986" s="2" t="n">
        <v>11</v>
      </c>
      <c r="P986" s="2" t="n">
        <v>1</v>
      </c>
      <c r="Q986" s="2" t="n">
        <v>21</v>
      </c>
      <c r="R986" s="2" t="n">
        <v>6</v>
      </c>
      <c r="S986" s="2" t="n">
        <v>21</v>
      </c>
      <c r="T986" s="2" t="n">
        <v>12</v>
      </c>
      <c r="U986" s="2" t="n">
        <v>8</v>
      </c>
      <c r="V986" s="2" t="n">
        <v>2</v>
      </c>
      <c r="W986" s="2" t="n">
        <v>2</v>
      </c>
      <c r="X986" s="2" t="n">
        <v>2</v>
      </c>
      <c r="Y986" s="2" t="n">
        <v>2</v>
      </c>
      <c r="Z986" s="2" t="n">
        <v>3</v>
      </c>
    </row>
    <row r="987" customFormat="false" ht="15" hidden="false" customHeight="true" outlineLevel="0" collapsed="false">
      <c r="A987" s="2" t="n">
        <v>45</v>
      </c>
      <c r="B987" s="2" t="s">
        <v>26</v>
      </c>
      <c r="C987" s="2" t="s">
        <v>27</v>
      </c>
      <c r="D987" s="2" t="s">
        <v>35</v>
      </c>
      <c r="E987" s="2" t="n">
        <v>19</v>
      </c>
      <c r="F987" s="2" t="n">
        <v>4</v>
      </c>
      <c r="G987" s="2" t="s">
        <v>43</v>
      </c>
      <c r="H987" s="2" t="n">
        <v>986</v>
      </c>
      <c r="I987" s="2" t="s">
        <v>39</v>
      </c>
      <c r="J987" s="2" t="n">
        <v>1</v>
      </c>
      <c r="K987" s="2" t="s">
        <v>48</v>
      </c>
      <c r="L987" s="2" t="s">
        <v>32</v>
      </c>
      <c r="M987" s="2" t="n">
        <v>71190</v>
      </c>
      <c r="N987" s="2" t="n">
        <v>4</v>
      </c>
      <c r="O987" s="2" t="n">
        <v>15</v>
      </c>
      <c r="P987" s="2" t="n">
        <v>0</v>
      </c>
      <c r="Q987" s="2" t="n">
        <v>9</v>
      </c>
      <c r="R987" s="2" t="n">
        <v>2</v>
      </c>
      <c r="S987" s="2" t="n">
        <v>5</v>
      </c>
      <c r="T987" s="2" t="n">
        <v>0</v>
      </c>
      <c r="U987" s="2" t="n">
        <v>3</v>
      </c>
      <c r="V987" s="2" t="n">
        <v>3</v>
      </c>
      <c r="W987" s="2" t="n">
        <v>3</v>
      </c>
      <c r="X987" s="2" t="n">
        <v>4</v>
      </c>
      <c r="Y987" s="2" t="n">
        <v>3</v>
      </c>
      <c r="Z987" s="2" t="n">
        <v>3</v>
      </c>
    </row>
    <row r="988" customFormat="false" ht="15" hidden="false" customHeight="true" outlineLevel="0" collapsed="false">
      <c r="A988" s="2" t="n">
        <v>30</v>
      </c>
      <c r="B988" s="2" t="s">
        <v>26</v>
      </c>
      <c r="C988" s="2" t="s">
        <v>34</v>
      </c>
      <c r="D988" s="2" t="s">
        <v>28</v>
      </c>
      <c r="E988" s="2" t="n">
        <v>9</v>
      </c>
      <c r="F988" s="2" t="n">
        <v>3</v>
      </c>
      <c r="G988" s="2" t="s">
        <v>29</v>
      </c>
      <c r="H988" s="2" t="n">
        <v>987</v>
      </c>
      <c r="I988" s="2" t="s">
        <v>39</v>
      </c>
      <c r="J988" s="2" t="n">
        <v>1</v>
      </c>
      <c r="K988" s="2" t="s">
        <v>44</v>
      </c>
      <c r="L988" s="2" t="s">
        <v>37</v>
      </c>
      <c r="M988" s="2" t="n">
        <v>95820</v>
      </c>
      <c r="N988" s="2" t="n">
        <v>0</v>
      </c>
      <c r="O988" s="2" t="n">
        <v>12</v>
      </c>
      <c r="P988" s="2" t="n">
        <v>1</v>
      </c>
      <c r="Q988" s="2" t="n">
        <v>10</v>
      </c>
      <c r="R988" s="2" t="n">
        <v>2</v>
      </c>
      <c r="S988" s="2" t="n">
        <v>9</v>
      </c>
      <c r="T988" s="2" t="n">
        <v>0</v>
      </c>
      <c r="U988" s="2" t="n">
        <v>7</v>
      </c>
      <c r="V988" s="2" t="n">
        <v>4</v>
      </c>
      <c r="W988" s="2" t="n">
        <v>1</v>
      </c>
      <c r="X988" s="2" t="n">
        <v>3</v>
      </c>
      <c r="Y988" s="2" t="n">
        <v>3</v>
      </c>
      <c r="Z988" s="2" t="n">
        <v>3</v>
      </c>
    </row>
    <row r="989" customFormat="false" ht="15" hidden="false" customHeight="true" outlineLevel="0" collapsed="false">
      <c r="A989" s="2" t="n">
        <v>24</v>
      </c>
      <c r="B989" s="2" t="s">
        <v>26</v>
      </c>
      <c r="C989" s="2" t="s">
        <v>34</v>
      </c>
      <c r="D989" s="2" t="s">
        <v>28</v>
      </c>
      <c r="E989" s="2" t="n">
        <v>3</v>
      </c>
      <c r="F989" s="2" t="n">
        <v>4</v>
      </c>
      <c r="G989" s="2" t="s">
        <v>50</v>
      </c>
      <c r="H989" s="2" t="n">
        <v>988</v>
      </c>
      <c r="I989" s="2" t="s">
        <v>39</v>
      </c>
      <c r="J989" s="2" t="n">
        <v>1</v>
      </c>
      <c r="K989" s="2" t="s">
        <v>40</v>
      </c>
      <c r="L989" s="2" t="s">
        <v>32</v>
      </c>
      <c r="M989" s="2" t="n">
        <v>45080</v>
      </c>
      <c r="N989" s="2" t="n">
        <v>0</v>
      </c>
      <c r="O989" s="2" t="n">
        <v>11</v>
      </c>
      <c r="P989" s="2" t="n">
        <v>1</v>
      </c>
      <c r="Q989" s="2" t="n">
        <v>3</v>
      </c>
      <c r="R989" s="2" t="n">
        <v>5</v>
      </c>
      <c r="S989" s="2" t="n">
        <v>2</v>
      </c>
      <c r="T989" s="2" t="n">
        <v>2</v>
      </c>
      <c r="U989" s="2" t="n">
        <v>1</v>
      </c>
      <c r="V989" s="2" t="n">
        <v>1</v>
      </c>
      <c r="W989" s="2" t="n">
        <v>4</v>
      </c>
      <c r="X989" s="2"/>
      <c r="Y989" s="2" t="n">
        <v>3</v>
      </c>
      <c r="Z989" s="2" t="n">
        <v>3</v>
      </c>
    </row>
    <row r="990" customFormat="false" ht="15" hidden="false" customHeight="true" outlineLevel="0" collapsed="false">
      <c r="A990" s="2" t="n">
        <v>30</v>
      </c>
      <c r="B990" s="2" t="s">
        <v>33</v>
      </c>
      <c r="C990" s="2" t="s">
        <v>34</v>
      </c>
      <c r="D990" s="2" t="s">
        <v>35</v>
      </c>
      <c r="E990" s="2" t="n">
        <v>10</v>
      </c>
      <c r="F990" s="2" t="n">
        <v>3</v>
      </c>
      <c r="G990" s="2" t="s">
        <v>29</v>
      </c>
      <c r="H990" s="2" t="n">
        <v>989</v>
      </c>
      <c r="I990" s="2" t="s">
        <v>30</v>
      </c>
      <c r="J990" s="2" t="n">
        <v>1</v>
      </c>
      <c r="K990" s="2" t="s">
        <v>42</v>
      </c>
      <c r="L990" s="2" t="s">
        <v>46</v>
      </c>
      <c r="M990" s="2" t="n">
        <v>22070</v>
      </c>
      <c r="N990" s="2" t="n">
        <v>6</v>
      </c>
      <c r="O990" s="2" t="n">
        <v>14</v>
      </c>
      <c r="P990" s="2" t="n">
        <v>0</v>
      </c>
      <c r="Q990" s="2" t="n">
        <v>6</v>
      </c>
      <c r="R990" s="2" t="n">
        <v>4</v>
      </c>
      <c r="S990" s="2" t="n">
        <v>4</v>
      </c>
      <c r="T990" s="2" t="n">
        <v>1</v>
      </c>
      <c r="U990" s="2" t="n">
        <v>2</v>
      </c>
      <c r="V990" s="2" t="n">
        <v>3</v>
      </c>
      <c r="W990" s="2" t="n">
        <v>4</v>
      </c>
      <c r="X990" s="2" t="n">
        <v>2</v>
      </c>
      <c r="Y990" s="2" t="n">
        <v>3</v>
      </c>
      <c r="Z990" s="2" t="n">
        <v>3</v>
      </c>
    </row>
    <row r="991" customFormat="false" ht="15" hidden="false" customHeight="true" outlineLevel="0" collapsed="false">
      <c r="A991" s="2" t="n">
        <v>31</v>
      </c>
      <c r="B991" s="2" t="s">
        <v>26</v>
      </c>
      <c r="C991" s="2" t="s">
        <v>27</v>
      </c>
      <c r="D991" s="2" t="s">
        <v>35</v>
      </c>
      <c r="E991" s="2" t="n">
        <v>3</v>
      </c>
      <c r="F991" s="2" t="n">
        <v>2</v>
      </c>
      <c r="G991" s="2" t="s">
        <v>29</v>
      </c>
      <c r="H991" s="2" t="n">
        <v>990</v>
      </c>
      <c r="I991" s="2" t="s">
        <v>39</v>
      </c>
      <c r="J991" s="2" t="n">
        <v>3</v>
      </c>
      <c r="K991" s="2" t="s">
        <v>45</v>
      </c>
      <c r="L991" s="2" t="s">
        <v>32</v>
      </c>
      <c r="M991" s="2" t="n">
        <v>77560</v>
      </c>
      <c r="N991" s="2" t="n">
        <v>1</v>
      </c>
      <c r="O991" s="2" t="n">
        <v>15</v>
      </c>
      <c r="P991" s="2" t="n">
        <v>2</v>
      </c>
      <c r="Q991" s="2" t="n">
        <v>6</v>
      </c>
      <c r="R991" s="2" t="n">
        <v>3</v>
      </c>
      <c r="S991" s="2" t="n">
        <v>5</v>
      </c>
      <c r="T991" s="2" t="n">
        <v>0</v>
      </c>
      <c r="U991" s="2" t="n">
        <v>2</v>
      </c>
      <c r="V991" s="2" t="n">
        <v>1</v>
      </c>
      <c r="W991" s="2" t="n">
        <v>3</v>
      </c>
      <c r="X991" s="2" t="n">
        <v>3</v>
      </c>
      <c r="Y991" s="2" t="n">
        <v>4</v>
      </c>
      <c r="Z991" s="2" t="n">
        <v>3</v>
      </c>
    </row>
    <row r="992" customFormat="false" ht="15" hidden="false" customHeight="true" outlineLevel="0" collapsed="false">
      <c r="A992" s="2" t="n">
        <v>27</v>
      </c>
      <c r="B992" s="2" t="s">
        <v>26</v>
      </c>
      <c r="C992" s="2" t="s">
        <v>27</v>
      </c>
      <c r="D992" s="2" t="s">
        <v>28</v>
      </c>
      <c r="E992" s="2" t="n">
        <v>3</v>
      </c>
      <c r="F992" s="2" t="n">
        <v>3</v>
      </c>
      <c r="G992" s="2" t="s">
        <v>29</v>
      </c>
      <c r="H992" s="2" t="n">
        <v>991</v>
      </c>
      <c r="I992" s="2" t="s">
        <v>39</v>
      </c>
      <c r="J992" s="2" t="n">
        <v>1</v>
      </c>
      <c r="K992" s="2" t="s">
        <v>49</v>
      </c>
      <c r="L992" s="2" t="s">
        <v>37</v>
      </c>
      <c r="M992" s="2" t="n">
        <v>66940</v>
      </c>
      <c r="N992" s="2" t="n">
        <v>1</v>
      </c>
      <c r="O992" s="2" t="n">
        <v>13</v>
      </c>
      <c r="P992" s="2" t="n">
        <v>1</v>
      </c>
      <c r="Q992" s="2" t="n">
        <v>6</v>
      </c>
      <c r="R992" s="2" t="n">
        <v>2</v>
      </c>
      <c r="S992" s="2" t="n">
        <v>6</v>
      </c>
      <c r="T992" s="2" t="n">
        <v>1</v>
      </c>
      <c r="U992" s="2" t="n">
        <v>4</v>
      </c>
      <c r="V992" s="2" t="n">
        <v>3</v>
      </c>
      <c r="W992" s="2" t="n">
        <v>4</v>
      </c>
      <c r="X992" s="2" t="n">
        <v>2</v>
      </c>
      <c r="Y992" s="2" t="n">
        <v>2</v>
      </c>
      <c r="Z992" s="2" t="n">
        <v>3</v>
      </c>
    </row>
    <row r="993" customFormat="false" ht="15" hidden="false" customHeight="true" outlineLevel="0" collapsed="false">
      <c r="A993" s="2" t="n">
        <v>29</v>
      </c>
      <c r="B993" s="2" t="s">
        <v>33</v>
      </c>
      <c r="C993" s="2" t="s">
        <v>27</v>
      </c>
      <c r="D993" s="2" t="s">
        <v>28</v>
      </c>
      <c r="E993" s="2" t="n">
        <v>4</v>
      </c>
      <c r="F993" s="2" t="n">
        <v>3</v>
      </c>
      <c r="G993" s="2" t="s">
        <v>50</v>
      </c>
      <c r="H993" s="2" t="n">
        <v>992</v>
      </c>
      <c r="I993" s="2" t="s">
        <v>39</v>
      </c>
      <c r="J993" s="2" t="n">
        <v>5</v>
      </c>
      <c r="K993" s="2" t="s">
        <v>36</v>
      </c>
      <c r="L993" s="2" t="s">
        <v>37</v>
      </c>
      <c r="M993" s="2" t="n">
        <v>36910</v>
      </c>
      <c r="N993" s="2" t="n">
        <v>1</v>
      </c>
      <c r="O993" s="2" t="n">
        <v>13</v>
      </c>
      <c r="P993" s="2" t="n">
        <v>0</v>
      </c>
      <c r="Q993" s="2" t="n">
        <v>2</v>
      </c>
      <c r="R993" s="2" t="n">
        <v>3</v>
      </c>
      <c r="S993" s="2" t="n">
        <v>2</v>
      </c>
      <c r="T993" s="2" t="n">
        <v>2</v>
      </c>
      <c r="U993" s="2" t="n">
        <v>2</v>
      </c>
      <c r="V993" s="2" t="n">
        <v>2</v>
      </c>
      <c r="W993" s="2" t="n">
        <v>2</v>
      </c>
      <c r="X993" s="2" t="n">
        <v>3</v>
      </c>
      <c r="Y993" s="2" t="n">
        <v>3</v>
      </c>
      <c r="Z993" s="2" t="n">
        <v>3</v>
      </c>
    </row>
    <row r="994" customFormat="false" ht="15" hidden="false" customHeight="true" outlineLevel="0" collapsed="false">
      <c r="A994" s="2" t="n">
        <v>29</v>
      </c>
      <c r="B994" s="2" t="s">
        <v>26</v>
      </c>
      <c r="C994" s="2" t="s">
        <v>34</v>
      </c>
      <c r="D994" s="2" t="s">
        <v>35</v>
      </c>
      <c r="E994" s="2" t="n">
        <v>8</v>
      </c>
      <c r="F994" s="2" t="n">
        <v>4</v>
      </c>
      <c r="G994" s="2" t="s">
        <v>29</v>
      </c>
      <c r="H994" s="2" t="n">
        <v>993</v>
      </c>
      <c r="I994" s="2" t="s">
        <v>30</v>
      </c>
      <c r="J994" s="2" t="n">
        <v>1</v>
      </c>
      <c r="K994" s="2" t="s">
        <v>40</v>
      </c>
      <c r="L994" s="2" t="s">
        <v>37</v>
      </c>
      <c r="M994" s="2" t="n">
        <v>23770</v>
      </c>
      <c r="N994" s="2" t="n">
        <v>8</v>
      </c>
      <c r="O994" s="2" t="n">
        <v>21</v>
      </c>
      <c r="P994" s="2" t="n">
        <v>1</v>
      </c>
      <c r="Q994" s="2" t="n">
        <v>10</v>
      </c>
      <c r="R994" s="2" t="n">
        <v>2</v>
      </c>
      <c r="S994" s="2" t="n">
        <v>3</v>
      </c>
      <c r="T994" s="2" t="n">
        <v>0</v>
      </c>
      <c r="U994" s="2" t="n">
        <v>2</v>
      </c>
      <c r="V994" s="2" t="n">
        <v>4</v>
      </c>
      <c r="W994" s="2" t="n">
        <v>3</v>
      </c>
      <c r="X994" s="2" t="n">
        <v>4</v>
      </c>
      <c r="Y994" s="2" t="n">
        <v>3</v>
      </c>
      <c r="Z994" s="2" t="n">
        <v>4</v>
      </c>
    </row>
    <row r="995" customFormat="false" ht="15" hidden="false" customHeight="true" outlineLevel="0" collapsed="false">
      <c r="A995" s="2" t="n">
        <v>30</v>
      </c>
      <c r="B995" s="2" t="s">
        <v>26</v>
      </c>
      <c r="C995" s="2" t="s">
        <v>27</v>
      </c>
      <c r="D995" s="2" t="s">
        <v>28</v>
      </c>
      <c r="E995" s="2" t="n">
        <v>7</v>
      </c>
      <c r="F995" s="2" t="n">
        <v>3</v>
      </c>
      <c r="G995" s="2" t="s">
        <v>29</v>
      </c>
      <c r="H995" s="2" t="n">
        <v>994</v>
      </c>
      <c r="I995" s="2" t="s">
        <v>39</v>
      </c>
      <c r="J995" s="2" t="n">
        <v>3</v>
      </c>
      <c r="K995" s="2" t="s">
        <v>40</v>
      </c>
      <c r="L995" s="2" t="s">
        <v>46</v>
      </c>
      <c r="M995" s="2" t="n">
        <v>23130</v>
      </c>
      <c r="N995" s="2" t="n">
        <v>2</v>
      </c>
      <c r="O995" s="2" t="n">
        <v>11</v>
      </c>
      <c r="P995" s="2" t="n">
        <v>0</v>
      </c>
      <c r="Q995" s="2" t="n">
        <v>12</v>
      </c>
      <c r="R995" s="2" t="n">
        <v>5</v>
      </c>
      <c r="S995" s="2" t="n">
        <v>7</v>
      </c>
      <c r="T995" s="2" t="n">
        <v>1</v>
      </c>
      <c r="U995" s="2" t="n">
        <v>7</v>
      </c>
      <c r="V995" s="2" t="n">
        <v>3</v>
      </c>
      <c r="W995" s="2" t="n">
        <v>1</v>
      </c>
      <c r="X995" s="2" t="n">
        <v>3</v>
      </c>
      <c r="Y995" s="2" t="n">
        <v>3</v>
      </c>
      <c r="Z995" s="2" t="n">
        <v>3</v>
      </c>
    </row>
    <row r="996" customFormat="false" ht="15" hidden="false" customHeight="true" outlineLevel="0" collapsed="false">
      <c r="A996" s="2" t="n">
        <v>34</v>
      </c>
      <c r="B996" s="2" t="s">
        <v>26</v>
      </c>
      <c r="C996" s="2" t="s">
        <v>27</v>
      </c>
      <c r="D996" s="2" t="s">
        <v>35</v>
      </c>
      <c r="E996" s="2" t="n">
        <v>1</v>
      </c>
      <c r="F996" s="2" t="n">
        <v>2</v>
      </c>
      <c r="G996" s="2" t="s">
        <v>43</v>
      </c>
      <c r="H996" s="2" t="n">
        <v>995</v>
      </c>
      <c r="I996" s="2" t="s">
        <v>30</v>
      </c>
      <c r="J996" s="2" t="n">
        <v>2</v>
      </c>
      <c r="K996" s="2" t="s">
        <v>31</v>
      </c>
      <c r="L996" s="2" t="s">
        <v>32</v>
      </c>
      <c r="M996" s="2" t="n">
        <v>176650</v>
      </c>
      <c r="N996" s="2" t="n">
        <v>0</v>
      </c>
      <c r="O996" s="2" t="n">
        <v>11</v>
      </c>
      <c r="P996" s="2" t="n">
        <v>0</v>
      </c>
      <c r="Q996" s="2" t="n">
        <v>6</v>
      </c>
      <c r="R996" s="2" t="n">
        <v>5</v>
      </c>
      <c r="S996" s="2" t="n">
        <v>5</v>
      </c>
      <c r="T996" s="2" t="n">
        <v>1</v>
      </c>
      <c r="U996" s="2" t="n">
        <v>2</v>
      </c>
      <c r="V996" s="2" t="n">
        <v>4</v>
      </c>
      <c r="W996" s="2" t="n">
        <v>4</v>
      </c>
      <c r="X996" s="2" t="n">
        <v>3</v>
      </c>
      <c r="Y996" s="2" t="n">
        <v>2</v>
      </c>
      <c r="Z996" s="2" t="n">
        <v>3</v>
      </c>
    </row>
    <row r="997" customFormat="false" ht="15" hidden="false" customHeight="true" outlineLevel="0" collapsed="false">
      <c r="A997" s="2" t="n">
        <v>33</v>
      </c>
      <c r="B997" s="2" t="s">
        <v>26</v>
      </c>
      <c r="C997" s="2" t="s">
        <v>41</v>
      </c>
      <c r="D997" s="2" t="s">
        <v>35</v>
      </c>
      <c r="E997" s="2" t="n">
        <v>2</v>
      </c>
      <c r="F997" s="2" t="n">
        <v>4</v>
      </c>
      <c r="G997" s="2" t="s">
        <v>43</v>
      </c>
      <c r="H997" s="2" t="n">
        <v>996</v>
      </c>
      <c r="I997" s="2" t="s">
        <v>39</v>
      </c>
      <c r="J997" s="2" t="n">
        <v>1</v>
      </c>
      <c r="K997" s="2" t="s">
        <v>48</v>
      </c>
      <c r="L997" s="2" t="s">
        <v>37</v>
      </c>
      <c r="M997" s="2" t="n">
        <v>25960</v>
      </c>
      <c r="N997" s="2" t="n">
        <v>8</v>
      </c>
      <c r="O997" s="2" t="n">
        <v>14</v>
      </c>
      <c r="P997" s="2" t="n">
        <v>1</v>
      </c>
      <c r="Q997" s="2" t="n">
        <v>13</v>
      </c>
      <c r="R997" s="2" t="n">
        <v>4</v>
      </c>
      <c r="S997" s="2" t="n">
        <v>11</v>
      </c>
      <c r="T997" s="2" t="n">
        <v>1</v>
      </c>
      <c r="U997" s="2" t="n">
        <v>7</v>
      </c>
      <c r="V997" s="2" t="n">
        <v>4</v>
      </c>
      <c r="W997" s="2" t="n">
        <v>2</v>
      </c>
      <c r="X997" s="2" t="n">
        <v>2</v>
      </c>
      <c r="Y997" s="2" t="n">
        <v>3</v>
      </c>
      <c r="Z997" s="2" t="n">
        <v>3</v>
      </c>
    </row>
    <row r="998" customFormat="false" ht="15" hidden="false" customHeight="true" outlineLevel="0" collapsed="false">
      <c r="A998" s="2" t="n">
        <v>49</v>
      </c>
      <c r="B998" s="2" t="s">
        <v>26</v>
      </c>
      <c r="C998" s="2" t="s">
        <v>27</v>
      </c>
      <c r="D998" s="2" t="s">
        <v>28</v>
      </c>
      <c r="E998" s="2" t="n">
        <v>3</v>
      </c>
      <c r="F998" s="2" t="n">
        <v>4</v>
      </c>
      <c r="G998" s="2" t="s">
        <v>50</v>
      </c>
      <c r="H998" s="2" t="n">
        <v>997</v>
      </c>
      <c r="I998" s="2" t="s">
        <v>39</v>
      </c>
      <c r="J998" s="2" t="n">
        <v>1</v>
      </c>
      <c r="K998" s="2" t="s">
        <v>40</v>
      </c>
      <c r="L998" s="2" t="s">
        <v>37</v>
      </c>
      <c r="M998" s="2" t="n">
        <v>47280</v>
      </c>
      <c r="N998" s="2" t="n">
        <v>3</v>
      </c>
      <c r="O998" s="2" t="n">
        <v>11</v>
      </c>
      <c r="P998" s="2" t="n">
        <v>1</v>
      </c>
      <c r="Q998" s="2" t="n">
        <v>8</v>
      </c>
      <c r="R998" s="2" t="n">
        <v>4</v>
      </c>
      <c r="S998" s="2" t="n">
        <v>5</v>
      </c>
      <c r="T998" s="2" t="n">
        <v>0</v>
      </c>
      <c r="U998" s="2" t="n">
        <v>4</v>
      </c>
      <c r="V998" s="2" t="n">
        <v>4</v>
      </c>
      <c r="W998" s="2" t="n">
        <v>4</v>
      </c>
      <c r="X998" s="2" t="n">
        <v>4</v>
      </c>
      <c r="Y998" s="2" t="n">
        <v>3</v>
      </c>
      <c r="Z998" s="2" t="n">
        <v>3</v>
      </c>
    </row>
    <row r="999" customFormat="false" ht="15" hidden="false" customHeight="true" outlineLevel="0" collapsed="false">
      <c r="A999" s="2" t="n">
        <v>33</v>
      </c>
      <c r="B999" s="2" t="s">
        <v>33</v>
      </c>
      <c r="C999" s="2" t="s">
        <v>27</v>
      </c>
      <c r="D999" s="2" t="s">
        <v>35</v>
      </c>
      <c r="E999" s="2" t="n">
        <v>10</v>
      </c>
      <c r="F999" s="2" t="n">
        <v>3</v>
      </c>
      <c r="G999" s="2" t="s">
        <v>29</v>
      </c>
      <c r="H999" s="2" t="n">
        <v>998</v>
      </c>
      <c r="I999" s="2" t="s">
        <v>39</v>
      </c>
      <c r="J999" s="2" t="n">
        <v>1</v>
      </c>
      <c r="K999" s="2" t="s">
        <v>40</v>
      </c>
      <c r="L999" s="2" t="s">
        <v>37</v>
      </c>
      <c r="M999" s="2" t="n">
        <v>43020</v>
      </c>
      <c r="N999" s="2" t="n">
        <v>2</v>
      </c>
      <c r="O999" s="2" t="n">
        <v>13</v>
      </c>
      <c r="P999" s="2" t="n">
        <v>0</v>
      </c>
      <c r="Q999" s="2" t="n">
        <v>11</v>
      </c>
      <c r="R999" s="2" t="n">
        <v>3</v>
      </c>
      <c r="S999" s="2" t="n">
        <v>0</v>
      </c>
      <c r="T999" s="2" t="n">
        <v>0</v>
      </c>
      <c r="U999" s="2" t="n">
        <v>0</v>
      </c>
      <c r="V999" s="2" t="n">
        <v>1</v>
      </c>
      <c r="W999" s="2" t="n">
        <v>1</v>
      </c>
      <c r="X999" s="2" t="n">
        <v>2</v>
      </c>
      <c r="Y999" s="2" t="n">
        <v>1</v>
      </c>
      <c r="Z999" s="2" t="n">
        <v>3</v>
      </c>
    </row>
    <row r="1000" customFormat="false" ht="15" hidden="false" customHeight="true" outlineLevel="0" collapsed="false">
      <c r="A1000" s="2" t="n">
        <v>38</v>
      </c>
      <c r="B1000" s="2" t="s">
        <v>26</v>
      </c>
      <c r="C1000" s="2" t="s">
        <v>34</v>
      </c>
      <c r="D1000" s="2" t="s">
        <v>35</v>
      </c>
      <c r="E1000" s="2" t="n">
        <v>28</v>
      </c>
      <c r="F1000" s="2" t="n">
        <v>3</v>
      </c>
      <c r="G1000" s="2" t="s">
        <v>43</v>
      </c>
      <c r="H1000" s="2" t="n">
        <v>999</v>
      </c>
      <c r="I1000" s="2" t="s">
        <v>39</v>
      </c>
      <c r="J1000" s="2" t="n">
        <v>1</v>
      </c>
      <c r="K1000" s="2" t="s">
        <v>31</v>
      </c>
      <c r="L1000" s="2" t="s">
        <v>32</v>
      </c>
      <c r="M1000" s="2" t="n">
        <v>29790</v>
      </c>
      <c r="N1000" s="2" t="n">
        <v>4</v>
      </c>
      <c r="O1000" s="2" t="n">
        <v>12</v>
      </c>
      <c r="P1000" s="2" t="n">
        <v>1</v>
      </c>
      <c r="Q1000" s="2" t="n">
        <v>9</v>
      </c>
      <c r="R1000" s="2" t="n">
        <v>3</v>
      </c>
      <c r="S1000" s="2" t="n">
        <v>6</v>
      </c>
      <c r="T1000" s="2" t="n">
        <v>0</v>
      </c>
      <c r="U1000" s="2" t="n">
        <v>5</v>
      </c>
      <c r="V1000" s="2" t="n">
        <v>3</v>
      </c>
      <c r="W1000" s="2" t="n">
        <v>2</v>
      </c>
      <c r="X1000" s="2" t="n">
        <v>2</v>
      </c>
      <c r="Y1000" s="2" t="n">
        <v>3</v>
      </c>
      <c r="Z1000" s="2" t="n">
        <v>3</v>
      </c>
    </row>
    <row r="1001" customFormat="false" ht="15" hidden="false" customHeight="true" outlineLevel="0" collapsed="false">
      <c r="A1001" s="2" t="n">
        <v>31</v>
      </c>
      <c r="B1001" s="2" t="s">
        <v>33</v>
      </c>
      <c r="C1001" s="2" t="s">
        <v>27</v>
      </c>
      <c r="D1001" s="2" t="s">
        <v>42</v>
      </c>
      <c r="E1001" s="2" t="n">
        <v>9</v>
      </c>
      <c r="F1001" s="2" t="n">
        <v>4</v>
      </c>
      <c r="G1001" s="2" t="s">
        <v>42</v>
      </c>
      <c r="H1001" s="2" t="n">
        <v>1000</v>
      </c>
      <c r="I1001" s="2" t="s">
        <v>39</v>
      </c>
      <c r="J1001" s="2" t="n">
        <v>2</v>
      </c>
      <c r="K1001" s="2" t="s">
        <v>45</v>
      </c>
      <c r="L1001" s="2" t="s">
        <v>32</v>
      </c>
      <c r="M1001" s="2" t="n">
        <v>168850</v>
      </c>
      <c r="N1001" s="2" t="n">
        <v>2</v>
      </c>
      <c r="O1001" s="2" t="n">
        <v>14</v>
      </c>
      <c r="P1001" s="2" t="n">
        <v>2</v>
      </c>
      <c r="Q1001" s="2" t="n">
        <v>10</v>
      </c>
      <c r="R1001" s="2" t="n">
        <v>2</v>
      </c>
      <c r="S1001" s="2" t="n">
        <v>1</v>
      </c>
      <c r="T1001" s="2" t="n">
        <v>0</v>
      </c>
      <c r="U1001" s="2" t="n">
        <v>0</v>
      </c>
      <c r="V1001" s="2" t="n">
        <v>1</v>
      </c>
      <c r="W1001" s="2" t="n">
        <v>3</v>
      </c>
      <c r="X1001" s="2" t="n">
        <v>3</v>
      </c>
      <c r="Y1001" s="2" t="n">
        <v>3</v>
      </c>
      <c r="Z1001" s="2" t="n">
        <v>3</v>
      </c>
    </row>
    <row r="1002" customFormat="false" ht="15" hidden="false" customHeight="true" outlineLevel="0" collapsed="false">
      <c r="A1002" s="2" t="n">
        <v>29</v>
      </c>
      <c r="B1002" s="2" t="s">
        <v>26</v>
      </c>
      <c r="C1002" s="2" t="s">
        <v>27</v>
      </c>
      <c r="D1002" s="2" t="s">
        <v>35</v>
      </c>
      <c r="E1002" s="2" t="n">
        <v>3</v>
      </c>
      <c r="F1002" s="2" t="n">
        <v>4</v>
      </c>
      <c r="G1002" s="2" t="s">
        <v>38</v>
      </c>
      <c r="H1002" s="2" t="n">
        <v>1001</v>
      </c>
      <c r="I1002" s="2" t="s">
        <v>30</v>
      </c>
      <c r="J1002" s="2" t="n">
        <v>2</v>
      </c>
      <c r="K1002" s="2" t="s">
        <v>48</v>
      </c>
      <c r="L1002" s="2" t="s">
        <v>46</v>
      </c>
      <c r="M1002" s="2" t="n">
        <v>55930</v>
      </c>
      <c r="N1002" s="2" t="n">
        <v>1</v>
      </c>
      <c r="O1002" s="2" t="n">
        <v>13</v>
      </c>
      <c r="P1002" s="2" t="n">
        <v>1</v>
      </c>
      <c r="Q1002" s="2" t="n">
        <v>1</v>
      </c>
      <c r="R1002" s="2" t="n">
        <v>3</v>
      </c>
      <c r="S1002" s="2" t="n">
        <v>1</v>
      </c>
      <c r="T1002" s="2" t="n">
        <v>0</v>
      </c>
      <c r="U1002" s="2" t="n">
        <v>0</v>
      </c>
      <c r="V1002" s="2" t="n">
        <v>4</v>
      </c>
      <c r="W1002" s="2" t="n">
        <v>1</v>
      </c>
      <c r="X1002" s="2" t="n">
        <v>3</v>
      </c>
      <c r="Y1002" s="2" t="n">
        <v>3</v>
      </c>
      <c r="Z1002" s="2" t="n">
        <v>3</v>
      </c>
    </row>
    <row r="1003" customFormat="false" ht="15" hidden="false" customHeight="true" outlineLevel="0" collapsed="false">
      <c r="A1003" s="2" t="n">
        <v>30</v>
      </c>
      <c r="B1003" s="2" t="s">
        <v>26</v>
      </c>
      <c r="C1003" s="2" t="s">
        <v>27</v>
      </c>
      <c r="D1003" s="2" t="s">
        <v>35</v>
      </c>
      <c r="E1003" s="2" t="n">
        <v>2</v>
      </c>
      <c r="F1003" s="2" t="n">
        <v>1</v>
      </c>
      <c r="G1003" s="2" t="s">
        <v>43</v>
      </c>
      <c r="H1003" s="2" t="n">
        <v>1002</v>
      </c>
      <c r="I1003" s="2" t="s">
        <v>39</v>
      </c>
      <c r="J1003" s="2" t="n">
        <v>1</v>
      </c>
      <c r="K1003" s="2" t="s">
        <v>48</v>
      </c>
      <c r="L1003" s="2" t="s">
        <v>32</v>
      </c>
      <c r="M1003" s="2" t="n">
        <v>104450</v>
      </c>
      <c r="N1003" s="2" t="n">
        <v>3</v>
      </c>
      <c r="O1003" s="2" t="n">
        <v>18</v>
      </c>
      <c r="P1003" s="2" t="n">
        <v>1</v>
      </c>
      <c r="Q1003" s="2" t="n">
        <v>10</v>
      </c>
      <c r="R1003" s="2" t="n">
        <v>3</v>
      </c>
      <c r="S1003" s="2" t="n">
        <v>7</v>
      </c>
      <c r="T1003" s="2" t="n">
        <v>1</v>
      </c>
      <c r="U1003" s="2" t="n">
        <v>7</v>
      </c>
      <c r="V1003" s="2" t="n">
        <v>3</v>
      </c>
      <c r="W1003" s="2" t="n">
        <v>3</v>
      </c>
      <c r="X1003" s="2" t="n">
        <v>3</v>
      </c>
      <c r="Y1003" s="2" t="n">
        <v>3</v>
      </c>
      <c r="Z1003" s="2" t="n">
        <v>3</v>
      </c>
    </row>
    <row r="1004" customFormat="false" ht="15" hidden="false" customHeight="true" outlineLevel="0" collapsed="false">
      <c r="A1004" s="2" t="n">
        <v>32</v>
      </c>
      <c r="B1004" s="2" t="s">
        <v>26</v>
      </c>
      <c r="C1004" s="2" t="s">
        <v>41</v>
      </c>
      <c r="D1004" s="2" t="s">
        <v>35</v>
      </c>
      <c r="E1004" s="2" t="n">
        <v>10</v>
      </c>
      <c r="F1004" s="2" t="n">
        <v>4</v>
      </c>
      <c r="G1004" s="2" t="s">
        <v>29</v>
      </c>
      <c r="H1004" s="2" t="n">
        <v>1003</v>
      </c>
      <c r="I1004" s="2" t="s">
        <v>30</v>
      </c>
      <c r="J1004" s="2" t="n">
        <v>1</v>
      </c>
      <c r="K1004" s="2" t="s">
        <v>45</v>
      </c>
      <c r="L1004" s="2" t="s">
        <v>37</v>
      </c>
      <c r="M1004" s="2" t="n">
        <v>87400</v>
      </c>
      <c r="N1004" s="2" t="n">
        <v>2</v>
      </c>
      <c r="O1004" s="2" t="n">
        <v>11</v>
      </c>
      <c r="P1004" s="2" t="n">
        <v>1</v>
      </c>
      <c r="Q1004" s="2" t="n">
        <v>12</v>
      </c>
      <c r="R1004" s="2" t="n">
        <v>2</v>
      </c>
      <c r="S1004" s="2" t="n">
        <v>7</v>
      </c>
      <c r="T1004" s="2" t="n">
        <v>0</v>
      </c>
      <c r="U1004" s="2" t="n">
        <v>7</v>
      </c>
      <c r="V1004" s="2" t="n">
        <v>2</v>
      </c>
      <c r="W1004" s="2" t="n">
        <v>2</v>
      </c>
      <c r="X1004" s="2" t="n">
        <v>3</v>
      </c>
      <c r="Y1004" s="2" t="n">
        <v>3</v>
      </c>
      <c r="Z1004" s="2" t="n">
        <v>3</v>
      </c>
    </row>
    <row r="1005" customFormat="false" ht="15" hidden="false" customHeight="true" outlineLevel="0" collapsed="false">
      <c r="A1005" s="2" t="n">
        <v>38</v>
      </c>
      <c r="B1005" s="2" t="s">
        <v>26</v>
      </c>
      <c r="C1005" s="2" t="s">
        <v>27</v>
      </c>
      <c r="D1005" s="2" t="s">
        <v>35</v>
      </c>
      <c r="E1005" s="2" t="n">
        <v>8</v>
      </c>
      <c r="F1005" s="2" t="n">
        <v>2</v>
      </c>
      <c r="G1005" s="2" t="s">
        <v>51</v>
      </c>
      <c r="H1005" s="2" t="n">
        <v>1004</v>
      </c>
      <c r="I1005" s="2" t="s">
        <v>30</v>
      </c>
      <c r="J1005" s="2" t="n">
        <v>1</v>
      </c>
      <c r="K1005" s="2" t="s">
        <v>47</v>
      </c>
      <c r="L1005" s="2" t="s">
        <v>32</v>
      </c>
      <c r="M1005" s="2" t="n">
        <v>25140</v>
      </c>
      <c r="N1005" s="2" t="n">
        <v>3</v>
      </c>
      <c r="O1005" s="2" t="n">
        <v>11</v>
      </c>
      <c r="P1005" s="2" t="n">
        <v>0</v>
      </c>
      <c r="Q1005" s="2" t="n">
        <v>15</v>
      </c>
      <c r="R1005" s="2" t="n">
        <v>2</v>
      </c>
      <c r="S1005" s="2" t="n">
        <v>1</v>
      </c>
      <c r="T1005" s="2" t="n">
        <v>1</v>
      </c>
      <c r="U1005" s="2" t="n">
        <v>0</v>
      </c>
      <c r="V1005" s="2" t="n">
        <v>2</v>
      </c>
      <c r="W1005" s="2" t="n">
        <v>4</v>
      </c>
      <c r="X1005" s="2" t="n">
        <v>3</v>
      </c>
      <c r="Y1005" s="2" t="n">
        <v>2</v>
      </c>
      <c r="Z1005" s="2" t="n">
        <v>3</v>
      </c>
    </row>
    <row r="1006" customFormat="false" ht="15" hidden="false" customHeight="true" outlineLevel="0" collapsed="false">
      <c r="A1006" s="2" t="n">
        <v>43</v>
      </c>
      <c r="B1006" s="2" t="s">
        <v>33</v>
      </c>
      <c r="C1006" s="2" t="s">
        <v>34</v>
      </c>
      <c r="D1006" s="2" t="s">
        <v>35</v>
      </c>
      <c r="E1006" s="2" t="n">
        <v>1</v>
      </c>
      <c r="F1006" s="2" t="n">
        <v>4</v>
      </c>
      <c r="G1006" s="2" t="s">
        <v>38</v>
      </c>
      <c r="H1006" s="2" t="n">
        <v>1005</v>
      </c>
      <c r="I1006" s="2" t="s">
        <v>39</v>
      </c>
      <c r="J1006" s="2" t="n">
        <v>3</v>
      </c>
      <c r="K1006" s="2" t="s">
        <v>40</v>
      </c>
      <c r="L1006" s="2" t="s">
        <v>32</v>
      </c>
      <c r="M1006" s="2" t="n">
        <v>76550</v>
      </c>
      <c r="N1006" s="2" t="n">
        <v>9</v>
      </c>
      <c r="O1006" s="2" t="n">
        <v>12</v>
      </c>
      <c r="P1006" s="2" t="n">
        <v>1</v>
      </c>
      <c r="Q1006" s="2" t="n">
        <v>6</v>
      </c>
      <c r="R1006" s="2" t="n">
        <v>3</v>
      </c>
      <c r="S1006" s="2" t="n">
        <v>1</v>
      </c>
      <c r="T1006" s="2" t="n">
        <v>0</v>
      </c>
      <c r="U1006" s="2" t="n">
        <v>0</v>
      </c>
      <c r="V1006" s="2" t="n">
        <v>3</v>
      </c>
      <c r="W1006" s="2" t="n">
        <v>3</v>
      </c>
      <c r="X1006" s="2" t="n">
        <v>3</v>
      </c>
      <c r="Y1006" s="2" t="n">
        <v>3</v>
      </c>
      <c r="Z1006" s="2" t="n">
        <v>3</v>
      </c>
    </row>
    <row r="1007" customFormat="false" ht="15" hidden="false" customHeight="true" outlineLevel="0" collapsed="false">
      <c r="A1007" s="2" t="n">
        <v>42</v>
      </c>
      <c r="B1007" s="2" t="s">
        <v>26</v>
      </c>
      <c r="C1007" s="2" t="s">
        <v>27</v>
      </c>
      <c r="D1007" s="2" t="s">
        <v>42</v>
      </c>
      <c r="E1007" s="2" t="n">
        <v>1</v>
      </c>
      <c r="F1007" s="2" t="n">
        <v>3</v>
      </c>
      <c r="G1007" s="2" t="s">
        <v>38</v>
      </c>
      <c r="H1007" s="2" t="n">
        <v>1006</v>
      </c>
      <c r="I1007" s="2" t="s">
        <v>30</v>
      </c>
      <c r="J1007" s="2" t="n">
        <v>1</v>
      </c>
      <c r="K1007" s="2" t="s">
        <v>31</v>
      </c>
      <c r="L1007" s="2" t="s">
        <v>46</v>
      </c>
      <c r="M1007" s="2" t="n">
        <v>174650</v>
      </c>
      <c r="N1007" s="2" t="n">
        <v>8</v>
      </c>
      <c r="O1007" s="2" t="n">
        <v>13</v>
      </c>
      <c r="P1007" s="2" t="n">
        <v>1</v>
      </c>
      <c r="Q1007" s="2" t="n">
        <v>7</v>
      </c>
      <c r="R1007" s="2" t="n">
        <v>3</v>
      </c>
      <c r="S1007" s="2" t="n">
        <v>5</v>
      </c>
      <c r="T1007" s="2" t="n">
        <v>0</v>
      </c>
      <c r="U1007" s="2" t="n">
        <v>4</v>
      </c>
      <c r="V1007" s="2" t="n">
        <v>2</v>
      </c>
      <c r="W1007" s="2" t="n">
        <v>2</v>
      </c>
      <c r="X1007" s="2" t="n">
        <v>2</v>
      </c>
      <c r="Y1007" s="2" t="n">
        <v>3</v>
      </c>
      <c r="Z1007" s="2" t="n">
        <v>3</v>
      </c>
    </row>
    <row r="1008" customFormat="false" ht="15" hidden="false" customHeight="true" outlineLevel="0" collapsed="false">
      <c r="A1008" s="2" t="n">
        <v>55</v>
      </c>
      <c r="B1008" s="2" t="s">
        <v>26</v>
      </c>
      <c r="C1008" s="2" t="s">
        <v>27</v>
      </c>
      <c r="D1008" s="2" t="s">
        <v>35</v>
      </c>
      <c r="E1008" s="2" t="n">
        <v>3</v>
      </c>
      <c r="F1008" s="2" t="n">
        <v>2</v>
      </c>
      <c r="G1008" s="2" t="s">
        <v>29</v>
      </c>
      <c r="H1008" s="2" t="n">
        <v>1007</v>
      </c>
      <c r="I1008" s="2" t="s">
        <v>30</v>
      </c>
      <c r="J1008" s="2" t="n">
        <v>1</v>
      </c>
      <c r="K1008" s="2" t="s">
        <v>40</v>
      </c>
      <c r="L1008" s="2" t="s">
        <v>32</v>
      </c>
      <c r="M1008" s="2" t="n">
        <v>73510</v>
      </c>
      <c r="N1008" s="2" t="n">
        <v>8</v>
      </c>
      <c r="O1008" s="2" t="n">
        <v>20</v>
      </c>
      <c r="P1008" s="2" t="n">
        <v>1</v>
      </c>
      <c r="Q1008" s="2" t="n">
        <v>34</v>
      </c>
      <c r="R1008" s="2" t="n">
        <v>3</v>
      </c>
      <c r="S1008" s="2" t="n">
        <v>1</v>
      </c>
      <c r="T1008" s="2" t="n">
        <v>0</v>
      </c>
      <c r="U1008" s="2" t="n">
        <v>0</v>
      </c>
      <c r="V1008" s="2" t="n">
        <v>3</v>
      </c>
      <c r="W1008" s="2" t="n">
        <v>1</v>
      </c>
      <c r="X1008" s="2" t="n">
        <v>3</v>
      </c>
      <c r="Y1008" s="2" t="n">
        <v>3</v>
      </c>
      <c r="Z1008" s="2" t="n">
        <v>4</v>
      </c>
    </row>
    <row r="1009" customFormat="false" ht="15" hidden="false" customHeight="true" outlineLevel="0" collapsed="false">
      <c r="A1009" s="2" t="n">
        <v>33</v>
      </c>
      <c r="B1009" s="2" t="s">
        <v>26</v>
      </c>
      <c r="C1009" s="2" t="s">
        <v>41</v>
      </c>
      <c r="D1009" s="2" t="s">
        <v>35</v>
      </c>
      <c r="E1009" s="2" t="n">
        <v>14</v>
      </c>
      <c r="F1009" s="2" t="n">
        <v>3</v>
      </c>
      <c r="G1009" s="2" t="s">
        <v>38</v>
      </c>
      <c r="H1009" s="2" t="n">
        <v>1008</v>
      </c>
      <c r="I1009" s="2" t="s">
        <v>39</v>
      </c>
      <c r="J1009" s="2" t="n">
        <v>1</v>
      </c>
      <c r="K1009" s="2" t="s">
        <v>36</v>
      </c>
      <c r="L1009" s="2" t="s">
        <v>46</v>
      </c>
      <c r="M1009" s="2" t="n">
        <v>108200</v>
      </c>
      <c r="N1009" s="2" t="n">
        <v>5</v>
      </c>
      <c r="O1009" s="2" t="n">
        <v>12</v>
      </c>
      <c r="P1009" s="2" t="n">
        <v>0</v>
      </c>
      <c r="Q1009" s="2" t="n">
        <v>11</v>
      </c>
      <c r="R1009" s="2" t="n">
        <v>2</v>
      </c>
      <c r="S1009" s="2" t="n">
        <v>9</v>
      </c>
      <c r="T1009" s="2" t="n">
        <v>1</v>
      </c>
      <c r="U1009" s="2" t="n">
        <v>7</v>
      </c>
      <c r="V1009" s="2" t="n">
        <v>4</v>
      </c>
      <c r="W1009" s="2" t="n">
        <v>2</v>
      </c>
      <c r="X1009" s="2" t="n">
        <v>2</v>
      </c>
      <c r="Y1009" s="2" t="n">
        <v>3</v>
      </c>
      <c r="Z1009" s="2" t="n">
        <v>3</v>
      </c>
    </row>
    <row r="1010" customFormat="false" ht="15" hidden="false" customHeight="true" outlineLevel="0" collapsed="false">
      <c r="A1010" s="2" t="n">
        <v>41</v>
      </c>
      <c r="B1010" s="2" t="s">
        <v>26</v>
      </c>
      <c r="C1010" s="2" t="s">
        <v>27</v>
      </c>
      <c r="D1010" s="2" t="s">
        <v>35</v>
      </c>
      <c r="E1010" s="2" t="n">
        <v>5</v>
      </c>
      <c r="F1010" s="2" t="n">
        <v>3</v>
      </c>
      <c r="G1010" s="2" t="s">
        <v>43</v>
      </c>
      <c r="H1010" s="2" t="n">
        <v>1009</v>
      </c>
      <c r="I1010" s="2" t="s">
        <v>39</v>
      </c>
      <c r="J1010" s="2" t="n">
        <v>1</v>
      </c>
      <c r="K1010" s="2" t="s">
        <v>48</v>
      </c>
      <c r="L1010" s="2" t="s">
        <v>46</v>
      </c>
      <c r="M1010" s="2" t="n">
        <v>121690</v>
      </c>
      <c r="N1010" s="2" t="n">
        <v>1</v>
      </c>
      <c r="O1010" s="2" t="n">
        <v>19</v>
      </c>
      <c r="P1010" s="2" t="n">
        <v>0</v>
      </c>
      <c r="Q1010" s="2" t="n">
        <v>5</v>
      </c>
      <c r="R1010" s="2" t="n">
        <v>2</v>
      </c>
      <c r="S1010" s="2" t="n">
        <v>5</v>
      </c>
      <c r="T1010" s="2" t="n">
        <v>0</v>
      </c>
      <c r="U1010" s="2" t="n">
        <v>4</v>
      </c>
      <c r="V1010" s="2" t="n">
        <v>3</v>
      </c>
      <c r="W1010" s="2" t="n">
        <v>1</v>
      </c>
      <c r="X1010" s="2" t="n">
        <v>3</v>
      </c>
      <c r="Y1010" s="2" t="n">
        <v>3</v>
      </c>
      <c r="Z1010" s="2" t="n">
        <v>3</v>
      </c>
    </row>
    <row r="1011" customFormat="false" ht="15" hidden="false" customHeight="true" outlineLevel="0" collapsed="false">
      <c r="A1011" s="2" t="n">
        <v>34</v>
      </c>
      <c r="B1011" s="2" t="s">
        <v>26</v>
      </c>
      <c r="C1011" s="2" t="s">
        <v>41</v>
      </c>
      <c r="D1011" s="2" t="s">
        <v>35</v>
      </c>
      <c r="E1011" s="2" t="n">
        <v>7</v>
      </c>
      <c r="F1011" s="2" t="n">
        <v>4</v>
      </c>
      <c r="G1011" s="2" t="s">
        <v>43</v>
      </c>
      <c r="H1011" s="2" t="n">
        <v>1010</v>
      </c>
      <c r="I1011" s="2" t="s">
        <v>30</v>
      </c>
      <c r="J1011" s="2" t="n">
        <v>1</v>
      </c>
      <c r="K1011" s="2" t="s">
        <v>36</v>
      </c>
      <c r="L1011" s="2" t="s">
        <v>46</v>
      </c>
      <c r="M1011" s="2" t="n">
        <v>196260</v>
      </c>
      <c r="N1011" s="2" t="n">
        <v>1</v>
      </c>
      <c r="O1011" s="2" t="n">
        <v>21</v>
      </c>
      <c r="P1011" s="2" t="n">
        <v>0</v>
      </c>
      <c r="Q1011" s="2" t="n">
        <v>15</v>
      </c>
      <c r="R1011" s="2" t="n">
        <v>5</v>
      </c>
      <c r="S1011" s="2" t="n">
        <v>15</v>
      </c>
      <c r="T1011" s="2" t="n">
        <v>0</v>
      </c>
      <c r="U1011" s="2" t="n">
        <v>7</v>
      </c>
      <c r="V1011" s="2" t="n">
        <v>4</v>
      </c>
      <c r="W1011" s="2" t="n">
        <v>3</v>
      </c>
      <c r="X1011" s="2" t="n">
        <v>3</v>
      </c>
      <c r="Y1011" s="2" t="n">
        <v>2</v>
      </c>
      <c r="Z1011" s="2" t="n">
        <v>4</v>
      </c>
    </row>
    <row r="1012" customFormat="false" ht="15" hidden="false" customHeight="true" outlineLevel="0" collapsed="false">
      <c r="A1012" s="2" t="n">
        <v>53</v>
      </c>
      <c r="B1012" s="2" t="s">
        <v>26</v>
      </c>
      <c r="C1012" s="2" t="s">
        <v>41</v>
      </c>
      <c r="D1012" s="2" t="s">
        <v>35</v>
      </c>
      <c r="E1012" s="2" t="n">
        <v>10</v>
      </c>
      <c r="F1012" s="2" t="n">
        <v>4</v>
      </c>
      <c r="G1012" s="2" t="s">
        <v>43</v>
      </c>
      <c r="H1012" s="2" t="n">
        <v>1011</v>
      </c>
      <c r="I1012" s="2" t="s">
        <v>39</v>
      </c>
      <c r="J1012" s="2" t="n">
        <v>2</v>
      </c>
      <c r="K1012" s="2" t="s">
        <v>31</v>
      </c>
      <c r="L1012" s="2" t="s">
        <v>32</v>
      </c>
      <c r="M1012" s="2" t="n">
        <v>20700</v>
      </c>
      <c r="N1012" s="2" t="n">
        <v>4</v>
      </c>
      <c r="O1012" s="2" t="n">
        <v>13</v>
      </c>
      <c r="P1012" s="2" t="n">
        <v>2</v>
      </c>
      <c r="Q1012" s="2" t="n">
        <v>27</v>
      </c>
      <c r="R1012" s="2" t="n">
        <v>2</v>
      </c>
      <c r="S1012" s="2" t="n">
        <v>3</v>
      </c>
      <c r="T1012" s="2" t="n">
        <v>0</v>
      </c>
      <c r="U1012" s="2" t="n">
        <v>2</v>
      </c>
      <c r="V1012" s="2" t="n">
        <v>1</v>
      </c>
      <c r="W1012" s="2" t="n">
        <v>3</v>
      </c>
      <c r="X1012" s="2" t="n">
        <v>2</v>
      </c>
      <c r="Y1012" s="2" t="n">
        <v>4</v>
      </c>
      <c r="Z1012" s="2" t="n">
        <v>3</v>
      </c>
    </row>
    <row r="1013" customFormat="false" ht="15" hidden="false" customHeight="true" outlineLevel="0" collapsed="false">
      <c r="A1013" s="2" t="n">
        <v>43</v>
      </c>
      <c r="B1013" s="2" t="s">
        <v>26</v>
      </c>
      <c r="C1013" s="2" t="s">
        <v>27</v>
      </c>
      <c r="D1013" s="2" t="s">
        <v>28</v>
      </c>
      <c r="E1013" s="2" t="n">
        <v>16</v>
      </c>
      <c r="F1013" s="2" t="n">
        <v>2</v>
      </c>
      <c r="G1013" s="2" t="s">
        <v>50</v>
      </c>
      <c r="H1013" s="2" t="n">
        <v>1012</v>
      </c>
      <c r="I1013" s="2" t="s">
        <v>30</v>
      </c>
      <c r="J1013" s="2" t="n">
        <v>1</v>
      </c>
      <c r="K1013" s="2" t="s">
        <v>45</v>
      </c>
      <c r="L1013" s="2" t="s">
        <v>37</v>
      </c>
      <c r="M1013" s="2" t="n">
        <v>67820</v>
      </c>
      <c r="N1013" s="2" t="n">
        <v>0</v>
      </c>
      <c r="O1013" s="2" t="n">
        <v>16</v>
      </c>
      <c r="P1013" s="2" t="n">
        <v>1</v>
      </c>
      <c r="Q1013" s="2" t="n">
        <v>10</v>
      </c>
      <c r="R1013" s="2" t="n">
        <v>2</v>
      </c>
      <c r="S1013" s="2" t="n">
        <v>9</v>
      </c>
      <c r="T1013" s="2" t="n">
        <v>1</v>
      </c>
      <c r="U1013" s="2" t="n">
        <v>8</v>
      </c>
      <c r="V1013" s="2" t="n">
        <v>2</v>
      </c>
      <c r="W1013" s="2" t="n">
        <v>4</v>
      </c>
      <c r="X1013" s="2" t="n">
        <v>3</v>
      </c>
      <c r="Y1013" s="2" t="n">
        <v>3</v>
      </c>
      <c r="Z1013" s="2" t="n">
        <v>3</v>
      </c>
    </row>
    <row r="1014" customFormat="false" ht="15" hidden="false" customHeight="true" outlineLevel="0" collapsed="false">
      <c r="A1014" s="2" t="n">
        <v>34</v>
      </c>
      <c r="B1014" s="2" t="s">
        <v>26</v>
      </c>
      <c r="C1014" s="2" t="s">
        <v>27</v>
      </c>
      <c r="D1014" s="2" t="s">
        <v>28</v>
      </c>
      <c r="E1014" s="2" t="n">
        <v>10</v>
      </c>
      <c r="F1014" s="2" t="n">
        <v>2</v>
      </c>
      <c r="G1014" s="2" t="s">
        <v>29</v>
      </c>
      <c r="H1014" s="2" t="n">
        <v>1013</v>
      </c>
      <c r="I1014" s="2" t="s">
        <v>30</v>
      </c>
      <c r="J1014" s="2" t="n">
        <v>5</v>
      </c>
      <c r="K1014" s="2" t="s">
        <v>40</v>
      </c>
      <c r="L1014" s="2" t="s">
        <v>37</v>
      </c>
      <c r="M1014" s="2" t="n">
        <v>77790</v>
      </c>
      <c r="N1014" s="2" t="n">
        <v>5</v>
      </c>
      <c r="O1014" s="2" t="n">
        <v>12</v>
      </c>
      <c r="P1014" s="2" t="n">
        <v>1</v>
      </c>
      <c r="Q1014" s="2" t="n">
        <v>6</v>
      </c>
      <c r="R1014" s="2" t="n">
        <v>2</v>
      </c>
      <c r="S1014" s="2" t="n">
        <v>2</v>
      </c>
      <c r="T1014" s="2" t="n">
        <v>2</v>
      </c>
      <c r="U1014" s="2" t="n">
        <v>2</v>
      </c>
      <c r="V1014" s="2" t="n">
        <v>4</v>
      </c>
      <c r="W1014" s="2" t="n">
        <v>4</v>
      </c>
      <c r="X1014" s="2" t="n">
        <v>3</v>
      </c>
      <c r="Y1014" s="2" t="n">
        <v>3</v>
      </c>
      <c r="Z1014" s="2" t="n">
        <v>3</v>
      </c>
    </row>
    <row r="1015" customFormat="false" ht="15" hidden="false" customHeight="true" outlineLevel="0" collapsed="false">
      <c r="A1015" s="2" t="n">
        <v>21</v>
      </c>
      <c r="B1015" s="2" t="s">
        <v>33</v>
      </c>
      <c r="C1015" s="2" t="s">
        <v>27</v>
      </c>
      <c r="D1015" s="2" t="s">
        <v>28</v>
      </c>
      <c r="E1015" s="2" t="n">
        <v>1</v>
      </c>
      <c r="F1015" s="2" t="n">
        <v>2</v>
      </c>
      <c r="G1015" s="2" t="s">
        <v>50</v>
      </c>
      <c r="H1015" s="2" t="n">
        <v>1014</v>
      </c>
      <c r="I1015" s="2" t="s">
        <v>39</v>
      </c>
      <c r="J1015" s="2" t="n">
        <v>5</v>
      </c>
      <c r="K1015" s="2" t="s">
        <v>31</v>
      </c>
      <c r="L1015" s="2" t="s">
        <v>37</v>
      </c>
      <c r="M1015" s="2" t="n">
        <v>27910</v>
      </c>
      <c r="N1015" s="2" t="n">
        <v>1</v>
      </c>
      <c r="O1015" s="2" t="n">
        <v>14</v>
      </c>
      <c r="P1015" s="2" t="n">
        <v>0</v>
      </c>
      <c r="Q1015" s="2" t="n">
        <v>1</v>
      </c>
      <c r="R1015" s="2" t="n">
        <v>3</v>
      </c>
      <c r="S1015" s="2" t="n">
        <v>1</v>
      </c>
      <c r="T1015" s="2" t="n">
        <v>1</v>
      </c>
      <c r="U1015" s="2" t="n">
        <v>0</v>
      </c>
      <c r="V1015" s="2" t="n">
        <v>2</v>
      </c>
      <c r="W1015" s="2" t="n">
        <v>2</v>
      </c>
      <c r="X1015" s="2" t="n">
        <v>3</v>
      </c>
      <c r="Y1015" s="2" t="n">
        <v>4</v>
      </c>
      <c r="Z1015" s="2" t="n">
        <v>3</v>
      </c>
    </row>
    <row r="1016" customFormat="false" ht="15" hidden="false" customHeight="true" outlineLevel="0" collapsed="false">
      <c r="A1016" s="2" t="n">
        <v>38</v>
      </c>
      <c r="B1016" s="2" t="s">
        <v>26</v>
      </c>
      <c r="C1016" s="2" t="s">
        <v>27</v>
      </c>
      <c r="D1016" s="2" t="s">
        <v>35</v>
      </c>
      <c r="E1016" s="2" t="n">
        <v>8</v>
      </c>
      <c r="F1016" s="2" t="n">
        <v>2</v>
      </c>
      <c r="G1016" s="2" t="s">
        <v>29</v>
      </c>
      <c r="H1016" s="2" t="n">
        <v>1015</v>
      </c>
      <c r="I1016" s="2" t="s">
        <v>30</v>
      </c>
      <c r="J1016" s="2" t="n">
        <v>2</v>
      </c>
      <c r="K1016" s="2" t="s">
        <v>40</v>
      </c>
      <c r="L1016" s="2" t="s">
        <v>32</v>
      </c>
      <c r="M1016" s="2" t="n">
        <v>32010</v>
      </c>
      <c r="N1016" s="2" t="n">
        <v>1</v>
      </c>
      <c r="O1016" s="2" t="n">
        <v>11</v>
      </c>
      <c r="P1016" s="2" t="n">
        <v>1</v>
      </c>
      <c r="Q1016" s="2" t="n">
        <v>5</v>
      </c>
      <c r="R1016" s="2" t="n">
        <v>3</v>
      </c>
      <c r="S1016" s="2" t="n">
        <v>5</v>
      </c>
      <c r="T1016" s="2" t="n">
        <v>0</v>
      </c>
      <c r="U1016" s="2" t="n">
        <v>4</v>
      </c>
      <c r="V1016" s="2" t="n">
        <v>4</v>
      </c>
      <c r="W1016" s="2" t="n">
        <v>3</v>
      </c>
      <c r="X1016" s="2" t="n">
        <v>3</v>
      </c>
      <c r="Y1016" s="2" t="n">
        <v>2</v>
      </c>
      <c r="Z1016" s="2" t="n">
        <v>3</v>
      </c>
    </row>
    <row r="1017" customFormat="false" ht="15" hidden="false" customHeight="true" outlineLevel="0" collapsed="false">
      <c r="A1017" s="2" t="n">
        <v>22</v>
      </c>
      <c r="B1017" s="2" t="s">
        <v>33</v>
      </c>
      <c r="C1017" s="2" t="s">
        <v>27</v>
      </c>
      <c r="D1017" s="2" t="s">
        <v>35</v>
      </c>
      <c r="E1017" s="2" t="n">
        <v>1</v>
      </c>
      <c r="F1017" s="2" t="n">
        <v>3</v>
      </c>
      <c r="G1017" s="2" t="s">
        <v>38</v>
      </c>
      <c r="H1017" s="2" t="n">
        <v>1016</v>
      </c>
      <c r="I1017" s="2" t="s">
        <v>39</v>
      </c>
      <c r="J1017" s="2" t="n">
        <v>4</v>
      </c>
      <c r="K1017" s="2" t="s">
        <v>36</v>
      </c>
      <c r="L1017" s="2" t="s">
        <v>32</v>
      </c>
      <c r="M1017" s="2" t="n">
        <v>49680</v>
      </c>
      <c r="N1017" s="2" t="n">
        <v>1</v>
      </c>
      <c r="O1017" s="2" t="n">
        <v>14</v>
      </c>
      <c r="P1017" s="2" t="n">
        <v>0</v>
      </c>
      <c r="Q1017" s="2" t="n">
        <v>1</v>
      </c>
      <c r="R1017" s="2" t="n">
        <v>3</v>
      </c>
      <c r="S1017" s="2" t="n">
        <v>1</v>
      </c>
      <c r="T1017" s="2" t="n">
        <v>0</v>
      </c>
      <c r="U1017" s="2" t="n">
        <v>0</v>
      </c>
      <c r="V1017" s="2" t="n">
        <v>3</v>
      </c>
      <c r="W1017" s="2" t="n">
        <v>1</v>
      </c>
      <c r="X1017" s="2" t="n">
        <v>3</v>
      </c>
      <c r="Y1017" s="2" t="n">
        <v>3</v>
      </c>
      <c r="Z1017" s="2" t="n">
        <v>3</v>
      </c>
    </row>
    <row r="1018" customFormat="false" ht="15" hidden="false" customHeight="true" outlineLevel="0" collapsed="false">
      <c r="A1018" s="2" t="n">
        <v>31</v>
      </c>
      <c r="B1018" s="2" t="s">
        <v>26</v>
      </c>
      <c r="C1018" s="2" t="s">
        <v>27</v>
      </c>
      <c r="D1018" s="2" t="s">
        <v>35</v>
      </c>
      <c r="E1018" s="2" t="n">
        <v>8</v>
      </c>
      <c r="F1018" s="2" t="n">
        <v>5</v>
      </c>
      <c r="G1018" s="2" t="s">
        <v>29</v>
      </c>
      <c r="H1018" s="2" t="n">
        <v>1017</v>
      </c>
      <c r="I1018" s="2" t="s">
        <v>39</v>
      </c>
      <c r="J1018" s="2" t="n">
        <v>5</v>
      </c>
      <c r="K1018" s="2" t="s">
        <v>40</v>
      </c>
      <c r="L1018" s="2" t="s">
        <v>32</v>
      </c>
      <c r="M1018" s="2" t="n">
        <v>131200</v>
      </c>
      <c r="N1018" s="2" t="n">
        <v>1</v>
      </c>
      <c r="O1018" s="2" t="n">
        <v>12</v>
      </c>
      <c r="P1018" s="2" t="n">
        <v>2</v>
      </c>
      <c r="Q1018" s="2" t="n">
        <v>13</v>
      </c>
      <c r="R1018" s="2" t="n">
        <v>6</v>
      </c>
      <c r="S1018" s="2" t="n">
        <v>12</v>
      </c>
      <c r="T1018" s="2" t="n">
        <v>5</v>
      </c>
      <c r="U1018" s="2" t="n">
        <v>7</v>
      </c>
      <c r="V1018" s="2" t="n">
        <v>1</v>
      </c>
      <c r="W1018" s="2" t="n">
        <v>4</v>
      </c>
      <c r="X1018" s="2" t="n">
        <v>3</v>
      </c>
      <c r="Y1018" s="2" t="n">
        <v>2</v>
      </c>
      <c r="Z1018" s="2" t="n">
        <v>3</v>
      </c>
    </row>
    <row r="1019" customFormat="false" ht="15" hidden="false" customHeight="true" outlineLevel="0" collapsed="false">
      <c r="A1019" s="2" t="n">
        <v>51</v>
      </c>
      <c r="B1019" s="2" t="s">
        <v>26</v>
      </c>
      <c r="C1019" s="2" t="s">
        <v>27</v>
      </c>
      <c r="D1019" s="2" t="s">
        <v>35</v>
      </c>
      <c r="E1019" s="2" t="n">
        <v>1</v>
      </c>
      <c r="F1019" s="2" t="n">
        <v>4</v>
      </c>
      <c r="G1019" s="2" t="s">
        <v>29</v>
      </c>
      <c r="H1019" s="2" t="n">
        <v>1018</v>
      </c>
      <c r="I1019" s="2" t="s">
        <v>30</v>
      </c>
      <c r="J1019" s="2" t="n">
        <v>1</v>
      </c>
      <c r="K1019" s="2" t="s">
        <v>49</v>
      </c>
      <c r="L1019" s="2" t="s">
        <v>32</v>
      </c>
      <c r="M1019" s="2" t="n">
        <v>40330</v>
      </c>
      <c r="N1019" s="2" t="n">
        <v>2</v>
      </c>
      <c r="O1019" s="2" t="n">
        <v>14</v>
      </c>
      <c r="P1019" s="2" t="n">
        <v>0</v>
      </c>
      <c r="Q1019" s="2" t="n">
        <v>15</v>
      </c>
      <c r="R1019" s="2" t="n">
        <v>2</v>
      </c>
      <c r="S1019" s="2" t="n">
        <v>2</v>
      </c>
      <c r="T1019" s="2" t="n">
        <v>2</v>
      </c>
      <c r="U1019" s="2" t="n">
        <v>2</v>
      </c>
      <c r="V1019" s="2" t="n">
        <v>1</v>
      </c>
      <c r="W1019" s="2" t="n">
        <v>3</v>
      </c>
      <c r="X1019" s="2" t="n">
        <v>3</v>
      </c>
      <c r="Y1019" s="2" t="n">
        <v>3</v>
      </c>
      <c r="Z1019" s="2" t="n">
        <v>3</v>
      </c>
    </row>
    <row r="1020" customFormat="false" ht="15" hidden="false" customHeight="true" outlineLevel="0" collapsed="false">
      <c r="A1020" s="2" t="n">
        <v>37</v>
      </c>
      <c r="B1020" s="2" t="s">
        <v>26</v>
      </c>
      <c r="C1020" s="2" t="s">
        <v>27</v>
      </c>
      <c r="D1020" s="2" t="s">
        <v>35</v>
      </c>
      <c r="E1020" s="2" t="n">
        <v>24</v>
      </c>
      <c r="F1020" s="2" t="n">
        <v>1</v>
      </c>
      <c r="G1020" s="2" t="s">
        <v>29</v>
      </c>
      <c r="H1020" s="2" t="n">
        <v>1019</v>
      </c>
      <c r="I1020" s="2" t="s">
        <v>39</v>
      </c>
      <c r="J1020" s="2" t="n">
        <v>2</v>
      </c>
      <c r="K1020" s="2" t="s">
        <v>40</v>
      </c>
      <c r="L1020" s="2" t="s">
        <v>32</v>
      </c>
      <c r="M1020" s="2" t="n">
        <v>32910</v>
      </c>
      <c r="N1020" s="2" t="n">
        <v>1</v>
      </c>
      <c r="O1020" s="2" t="n">
        <v>16</v>
      </c>
      <c r="P1020" s="2" t="n">
        <v>3</v>
      </c>
      <c r="Q1020" s="2" t="n">
        <v>5</v>
      </c>
      <c r="R1020" s="2" t="n">
        <v>2</v>
      </c>
      <c r="S1020" s="2" t="n">
        <v>5</v>
      </c>
      <c r="T1020" s="2" t="n">
        <v>0</v>
      </c>
      <c r="U1020" s="2" t="n">
        <v>3</v>
      </c>
      <c r="V1020" s="2" t="n">
        <v>2</v>
      </c>
      <c r="W1020" s="2" t="n">
        <v>2</v>
      </c>
      <c r="X1020" s="2" t="n">
        <v>3</v>
      </c>
      <c r="Y1020" s="2" t="n">
        <v>2</v>
      </c>
      <c r="Z1020" s="2" t="n">
        <v>3</v>
      </c>
    </row>
    <row r="1021" customFormat="false" ht="15" hidden="false" customHeight="true" outlineLevel="0" collapsed="false">
      <c r="A1021" s="2" t="n">
        <v>46</v>
      </c>
      <c r="B1021" s="2" t="s">
        <v>26</v>
      </c>
      <c r="C1021" s="2" t="s">
        <v>27</v>
      </c>
      <c r="D1021" s="2" t="s">
        <v>28</v>
      </c>
      <c r="E1021" s="2" t="n">
        <v>3</v>
      </c>
      <c r="F1021" s="2" t="n">
        <v>4</v>
      </c>
      <c r="G1021" s="2" t="s">
        <v>50</v>
      </c>
      <c r="H1021" s="2" t="n">
        <v>1020</v>
      </c>
      <c r="I1021" s="2" t="s">
        <v>30</v>
      </c>
      <c r="J1021" s="2" t="n">
        <v>1</v>
      </c>
      <c r="K1021" s="2" t="s">
        <v>48</v>
      </c>
      <c r="L1021" s="2" t="s">
        <v>46</v>
      </c>
      <c r="M1021" s="2" t="n">
        <v>42720</v>
      </c>
      <c r="N1021" s="2" t="n">
        <v>7</v>
      </c>
      <c r="O1021" s="2" t="n">
        <v>13</v>
      </c>
      <c r="P1021" s="2" t="n">
        <v>0</v>
      </c>
      <c r="Q1021" s="2" t="n">
        <v>24</v>
      </c>
      <c r="R1021" s="2" t="n">
        <v>3</v>
      </c>
      <c r="S1021" s="2" t="n">
        <v>2</v>
      </c>
      <c r="T1021" s="2" t="n">
        <v>2</v>
      </c>
      <c r="U1021" s="2" t="n">
        <v>2</v>
      </c>
      <c r="V1021" s="2" t="n">
        <v>3</v>
      </c>
      <c r="W1021" s="2" t="n">
        <v>4</v>
      </c>
      <c r="X1021" s="2" t="n">
        <v>3</v>
      </c>
      <c r="Y1021" s="2" t="n">
        <v>4</v>
      </c>
      <c r="Z1021" s="2" t="n">
        <v>3</v>
      </c>
    </row>
    <row r="1022" customFormat="false" ht="15" hidden="false" customHeight="true" outlineLevel="0" collapsed="false">
      <c r="A1022" s="2" t="n">
        <v>36</v>
      </c>
      <c r="B1022" s="2" t="s">
        <v>26</v>
      </c>
      <c r="C1022" s="2" t="s">
        <v>27</v>
      </c>
      <c r="D1022" s="2" t="s">
        <v>35</v>
      </c>
      <c r="E1022" s="2" t="n">
        <v>27</v>
      </c>
      <c r="F1022" s="2" t="n">
        <v>3</v>
      </c>
      <c r="G1022" s="2" t="s">
        <v>51</v>
      </c>
      <c r="H1022" s="2" t="n">
        <v>1021</v>
      </c>
      <c r="I1022" s="2" t="s">
        <v>30</v>
      </c>
      <c r="J1022" s="2" t="n">
        <v>4</v>
      </c>
      <c r="K1022" s="2" t="s">
        <v>36</v>
      </c>
      <c r="L1022" s="2" t="s">
        <v>32</v>
      </c>
      <c r="M1022" s="2" t="n">
        <v>50560</v>
      </c>
      <c r="N1022" s="2" t="n">
        <v>7</v>
      </c>
      <c r="O1022" s="2" t="n">
        <v>12</v>
      </c>
      <c r="P1022" s="2" t="n">
        <v>0</v>
      </c>
      <c r="Q1022" s="2" t="n">
        <v>15</v>
      </c>
      <c r="R1022" s="2" t="n">
        <v>2</v>
      </c>
      <c r="S1022" s="2" t="n">
        <v>12</v>
      </c>
      <c r="T1022" s="2" t="n">
        <v>5</v>
      </c>
      <c r="U1022" s="2" t="n">
        <v>7</v>
      </c>
      <c r="V1022" s="2" t="n">
        <v>4</v>
      </c>
      <c r="W1022" s="2" t="n">
        <v>1</v>
      </c>
      <c r="X1022" s="2" t="n">
        <v>3</v>
      </c>
      <c r="Y1022" s="2" t="n">
        <v>2</v>
      </c>
      <c r="Z1022" s="2" t="n">
        <v>3</v>
      </c>
    </row>
    <row r="1023" customFormat="false" ht="15" hidden="false" customHeight="true" outlineLevel="0" collapsed="false">
      <c r="A1023" s="2" t="n">
        <v>44</v>
      </c>
      <c r="B1023" s="2" t="s">
        <v>33</v>
      </c>
      <c r="C1023" s="2" t="s">
        <v>34</v>
      </c>
      <c r="D1023" s="2" t="s">
        <v>28</v>
      </c>
      <c r="E1023" s="2" t="n">
        <v>10</v>
      </c>
      <c r="F1023" s="2" t="n">
        <v>4</v>
      </c>
      <c r="G1023" s="2" t="s">
        <v>29</v>
      </c>
      <c r="H1023" s="2" t="n">
        <v>1022</v>
      </c>
      <c r="I1023" s="2" t="s">
        <v>39</v>
      </c>
      <c r="J1023" s="2" t="n">
        <v>1</v>
      </c>
      <c r="K1023" s="2" t="s">
        <v>36</v>
      </c>
      <c r="L1023" s="2" t="s">
        <v>46</v>
      </c>
      <c r="M1023" s="2" t="n">
        <v>28440</v>
      </c>
      <c r="N1023" s="2" t="n">
        <v>1</v>
      </c>
      <c r="O1023" s="2" t="n">
        <v>12</v>
      </c>
      <c r="P1023" s="2" t="n">
        <v>0</v>
      </c>
      <c r="Q1023" s="2" t="n">
        <v>6</v>
      </c>
      <c r="R1023" s="2" t="n">
        <v>2</v>
      </c>
      <c r="S1023" s="2" t="n">
        <v>5</v>
      </c>
      <c r="T1023" s="2" t="n">
        <v>2</v>
      </c>
      <c r="U1023" s="2" t="n">
        <v>3</v>
      </c>
      <c r="V1023" s="2" t="n">
        <v>3</v>
      </c>
      <c r="W1023" s="2" t="n">
        <v>2</v>
      </c>
      <c r="X1023" s="2" t="n">
        <v>2</v>
      </c>
      <c r="Y1023" s="2" t="n">
        <v>4</v>
      </c>
      <c r="Z1023" s="2" t="n">
        <v>3</v>
      </c>
    </row>
    <row r="1024" customFormat="false" ht="15" hidden="false" customHeight="true" outlineLevel="0" collapsed="false">
      <c r="A1024" s="2" t="n">
        <v>37</v>
      </c>
      <c r="B1024" s="2" t="s">
        <v>26</v>
      </c>
      <c r="C1024" s="2" t="s">
        <v>27</v>
      </c>
      <c r="D1024" s="2" t="s">
        <v>35</v>
      </c>
      <c r="E1024" s="2" t="n">
        <v>19</v>
      </c>
      <c r="F1024" s="2" t="n">
        <v>2</v>
      </c>
      <c r="G1024" s="2" t="s">
        <v>51</v>
      </c>
      <c r="H1024" s="2" t="n">
        <v>1023</v>
      </c>
      <c r="I1024" s="2" t="s">
        <v>39</v>
      </c>
      <c r="J1024" s="2" t="n">
        <v>2</v>
      </c>
      <c r="K1024" s="2" t="s">
        <v>40</v>
      </c>
      <c r="L1024" s="2" t="s">
        <v>46</v>
      </c>
      <c r="M1024" s="2" t="n">
        <v>27030</v>
      </c>
      <c r="N1024" s="2" t="n">
        <v>2</v>
      </c>
      <c r="O1024" s="2" t="n">
        <v>14</v>
      </c>
      <c r="P1024" s="2" t="n">
        <v>0</v>
      </c>
      <c r="Q1024" s="2" t="n">
        <v>19</v>
      </c>
      <c r="R1024" s="2" t="n">
        <v>2</v>
      </c>
      <c r="S1024" s="2" t="n">
        <v>10</v>
      </c>
      <c r="T1024" s="2" t="n">
        <v>4</v>
      </c>
      <c r="U1024" s="2" t="n">
        <v>7</v>
      </c>
      <c r="V1024" s="2" t="n">
        <v>3</v>
      </c>
      <c r="W1024" s="2" t="n">
        <v>2</v>
      </c>
      <c r="X1024" s="2" t="n">
        <v>2</v>
      </c>
      <c r="Y1024" s="2" t="n">
        <v>3</v>
      </c>
      <c r="Z1024" s="2" t="n">
        <v>3</v>
      </c>
    </row>
    <row r="1025" customFormat="false" ht="15" hidden="false" customHeight="true" outlineLevel="0" collapsed="false">
      <c r="A1025" s="2" t="n">
        <v>35</v>
      </c>
      <c r="B1025" s="2" t="s">
        <v>33</v>
      </c>
      <c r="C1025" s="2" t="s">
        <v>27</v>
      </c>
      <c r="D1025" s="2" t="s">
        <v>35</v>
      </c>
      <c r="E1025" s="2" t="n">
        <v>15</v>
      </c>
      <c r="F1025" s="2" t="n">
        <v>4</v>
      </c>
      <c r="G1025" s="2" t="s">
        <v>29</v>
      </c>
      <c r="H1025" s="2" t="n">
        <v>1024</v>
      </c>
      <c r="I1025" s="2" t="s">
        <v>39</v>
      </c>
      <c r="J1025" s="2" t="n">
        <v>2</v>
      </c>
      <c r="K1025" s="2" t="s">
        <v>36</v>
      </c>
      <c r="L1025" s="2" t="s">
        <v>37</v>
      </c>
      <c r="M1025" s="2" t="n">
        <v>19040</v>
      </c>
      <c r="N1025" s="2" t="n">
        <v>1</v>
      </c>
      <c r="O1025" s="2" t="n">
        <v>22</v>
      </c>
      <c r="P1025" s="2" t="n">
        <v>1</v>
      </c>
      <c r="Q1025" s="2" t="n">
        <v>10</v>
      </c>
      <c r="R1025" s="2" t="n">
        <v>4</v>
      </c>
      <c r="S1025" s="2" t="n">
        <v>10</v>
      </c>
      <c r="T1025" s="2" t="n">
        <v>7</v>
      </c>
      <c r="U1025" s="2" t="n">
        <v>7</v>
      </c>
      <c r="V1025" s="2" t="n">
        <v>3</v>
      </c>
      <c r="W1025" s="2" t="n">
        <v>4</v>
      </c>
      <c r="X1025" s="2" t="n">
        <v>3</v>
      </c>
      <c r="Y1025" s="2" t="n">
        <v>3</v>
      </c>
      <c r="Z1025" s="2" t="n">
        <v>4</v>
      </c>
    </row>
    <row r="1026" customFormat="false" ht="15" hidden="false" customHeight="true" outlineLevel="0" collapsed="false">
      <c r="A1026" s="2" t="n">
        <v>33</v>
      </c>
      <c r="B1026" s="2" t="s">
        <v>26</v>
      </c>
      <c r="C1026" s="2" t="s">
        <v>27</v>
      </c>
      <c r="D1026" s="2" t="s">
        <v>35</v>
      </c>
      <c r="E1026" s="2" t="n">
        <v>8</v>
      </c>
      <c r="F1026" s="2" t="n">
        <v>5</v>
      </c>
      <c r="G1026" s="2" t="s">
        <v>43</v>
      </c>
      <c r="H1026" s="2" t="n">
        <v>1025</v>
      </c>
      <c r="I1026" s="2" t="s">
        <v>39</v>
      </c>
      <c r="J1026" s="2" t="n">
        <v>2</v>
      </c>
      <c r="K1026" s="2" t="s">
        <v>45</v>
      </c>
      <c r="L1026" s="2" t="s">
        <v>32</v>
      </c>
      <c r="M1026" s="2" t="n">
        <v>82240</v>
      </c>
      <c r="N1026" s="2" t="n">
        <v>6</v>
      </c>
      <c r="O1026" s="2" t="n">
        <v>19</v>
      </c>
      <c r="P1026" s="2" t="n">
        <v>0</v>
      </c>
      <c r="Q1026" s="2" t="n">
        <v>14</v>
      </c>
      <c r="R1026" s="2" t="n">
        <v>3</v>
      </c>
      <c r="S1026" s="2" t="n">
        <v>10</v>
      </c>
      <c r="T1026" s="2" t="n">
        <v>7</v>
      </c>
      <c r="U1026" s="2" t="n">
        <v>6</v>
      </c>
      <c r="V1026" s="2" t="n">
        <v>4</v>
      </c>
      <c r="W1026" s="2" t="n">
        <v>1</v>
      </c>
      <c r="X1026" s="2" t="n">
        <v>3</v>
      </c>
      <c r="Y1026" s="2" t="n">
        <v>3</v>
      </c>
      <c r="Z1026" s="2" t="n">
        <v>3</v>
      </c>
    </row>
    <row r="1027" customFormat="false" ht="15" hidden="false" customHeight="true" outlineLevel="0" collapsed="false">
      <c r="A1027" s="2" t="n">
        <v>28</v>
      </c>
      <c r="B1027" s="2" t="s">
        <v>26</v>
      </c>
      <c r="C1027" s="2" t="s">
        <v>27</v>
      </c>
      <c r="D1027" s="2" t="s">
        <v>28</v>
      </c>
      <c r="E1027" s="2" t="n">
        <v>9</v>
      </c>
      <c r="F1027" s="2" t="n">
        <v>3</v>
      </c>
      <c r="G1027" s="2" t="s">
        <v>43</v>
      </c>
      <c r="H1027" s="2" t="n">
        <v>1026</v>
      </c>
      <c r="I1027" s="2" t="s">
        <v>30</v>
      </c>
      <c r="J1027" s="2" t="n">
        <v>2</v>
      </c>
      <c r="K1027" s="2" t="s">
        <v>40</v>
      </c>
      <c r="L1027" s="2" t="s">
        <v>32</v>
      </c>
      <c r="M1027" s="2" t="n">
        <v>47660</v>
      </c>
      <c r="N1027" s="2" t="n">
        <v>1</v>
      </c>
      <c r="O1027" s="2" t="n">
        <v>12</v>
      </c>
      <c r="P1027" s="2" t="n">
        <v>0</v>
      </c>
      <c r="Q1027" s="2" t="n">
        <v>5</v>
      </c>
      <c r="R1027" s="2" t="n">
        <v>3</v>
      </c>
      <c r="S1027" s="2" t="n">
        <v>5</v>
      </c>
      <c r="T1027" s="2" t="n">
        <v>0</v>
      </c>
      <c r="U1027" s="2" t="n">
        <v>3</v>
      </c>
      <c r="V1027" s="2" t="n">
        <v>3</v>
      </c>
      <c r="W1027" s="2" t="n">
        <v>4</v>
      </c>
      <c r="X1027" s="2" t="n">
        <v>4</v>
      </c>
      <c r="Y1027" s="2" t="n">
        <v>3</v>
      </c>
      <c r="Z1027" s="2" t="n">
        <v>3</v>
      </c>
    </row>
    <row r="1028" customFormat="false" ht="15" hidden="false" customHeight="true" outlineLevel="0" collapsed="false">
      <c r="A1028" s="2" t="n">
        <v>39</v>
      </c>
      <c r="B1028" s="2" t="s">
        <v>26</v>
      </c>
      <c r="C1028" s="2" t="s">
        <v>27</v>
      </c>
      <c r="D1028" s="2" t="s">
        <v>28</v>
      </c>
      <c r="E1028" s="2" t="n">
        <v>3</v>
      </c>
      <c r="F1028" s="2" t="n">
        <v>4</v>
      </c>
      <c r="G1028" s="2" t="s">
        <v>50</v>
      </c>
      <c r="H1028" s="2" t="n">
        <v>1027</v>
      </c>
      <c r="I1028" s="2" t="s">
        <v>30</v>
      </c>
      <c r="J1028" s="2" t="n">
        <v>2</v>
      </c>
      <c r="K1028" s="2" t="s">
        <v>45</v>
      </c>
      <c r="L1028" s="2" t="s">
        <v>37</v>
      </c>
      <c r="M1028" s="2" t="n">
        <v>26100</v>
      </c>
      <c r="N1028" s="2" t="n">
        <v>7</v>
      </c>
      <c r="O1028" s="2" t="n">
        <v>12</v>
      </c>
      <c r="P1028" s="2" t="n">
        <v>0</v>
      </c>
      <c r="Q1028" s="2" t="n">
        <v>9</v>
      </c>
      <c r="R1028" s="2" t="n">
        <v>2</v>
      </c>
      <c r="S1028" s="2" t="n">
        <v>4</v>
      </c>
      <c r="T1028" s="2" t="n">
        <v>2</v>
      </c>
      <c r="U1028" s="2" t="n">
        <v>2</v>
      </c>
      <c r="V1028" s="2" t="n">
        <v>3</v>
      </c>
      <c r="W1028" s="2" t="n">
        <v>3</v>
      </c>
      <c r="X1028" s="2" t="n">
        <v>3</v>
      </c>
      <c r="Y1028" s="2" t="n">
        <v>2</v>
      </c>
      <c r="Z1028" s="2" t="n">
        <v>3</v>
      </c>
    </row>
    <row r="1029" customFormat="false" ht="15" hidden="false" customHeight="true" outlineLevel="0" collapsed="false">
      <c r="A1029" s="2" t="n">
        <v>46</v>
      </c>
      <c r="B1029" s="2" t="s">
        <v>26</v>
      </c>
      <c r="C1029" s="2" t="s">
        <v>41</v>
      </c>
      <c r="D1029" s="2" t="s">
        <v>35</v>
      </c>
      <c r="E1029" s="2" t="n">
        <v>9</v>
      </c>
      <c r="F1029" s="2" t="n">
        <v>2</v>
      </c>
      <c r="G1029" s="2" t="s">
        <v>29</v>
      </c>
      <c r="H1029" s="2" t="n">
        <v>1028</v>
      </c>
      <c r="I1029" s="2" t="s">
        <v>39</v>
      </c>
      <c r="J1029" s="2" t="n">
        <v>2</v>
      </c>
      <c r="K1029" s="2" t="s">
        <v>47</v>
      </c>
      <c r="L1029" s="2" t="s">
        <v>37</v>
      </c>
      <c r="M1029" s="2" t="n">
        <v>57310</v>
      </c>
      <c r="N1029" s="2" t="n">
        <v>8</v>
      </c>
      <c r="O1029" s="2" t="n">
        <v>17</v>
      </c>
      <c r="P1029" s="2" t="n">
        <v>0</v>
      </c>
      <c r="Q1029" s="2" t="n">
        <v>6</v>
      </c>
      <c r="R1029" s="2" t="n">
        <v>2</v>
      </c>
      <c r="S1029" s="2" t="n">
        <v>2</v>
      </c>
      <c r="T1029" s="2" t="n">
        <v>2</v>
      </c>
      <c r="U1029" s="2" t="n">
        <v>2</v>
      </c>
      <c r="V1029" s="2" t="n">
        <v>2</v>
      </c>
      <c r="W1029" s="2" t="n">
        <v>2</v>
      </c>
      <c r="X1029" s="2" t="n">
        <v>3</v>
      </c>
      <c r="Y1029" s="2" t="n">
        <v>3</v>
      </c>
      <c r="Z1029" s="2" t="n">
        <v>3</v>
      </c>
    </row>
    <row r="1030" customFormat="false" ht="15" hidden="false" customHeight="true" outlineLevel="0" collapsed="false">
      <c r="A1030" s="2" t="n">
        <v>40</v>
      </c>
      <c r="B1030" s="2" t="s">
        <v>26</v>
      </c>
      <c r="C1030" s="2" t="s">
        <v>27</v>
      </c>
      <c r="D1030" s="2" t="s">
        <v>35</v>
      </c>
      <c r="E1030" s="2" t="n">
        <v>2</v>
      </c>
      <c r="F1030" s="2" t="n">
        <v>2</v>
      </c>
      <c r="G1030" s="2" t="s">
        <v>43</v>
      </c>
      <c r="H1030" s="2" t="n">
        <v>1029</v>
      </c>
      <c r="I1030" s="2" t="s">
        <v>39</v>
      </c>
      <c r="J1030" s="2" t="n">
        <v>1</v>
      </c>
      <c r="K1030" s="2" t="s">
        <v>44</v>
      </c>
      <c r="L1030" s="2" t="s">
        <v>32</v>
      </c>
      <c r="M1030" s="2" t="n">
        <v>25390</v>
      </c>
      <c r="N1030" s="2" t="n">
        <v>4</v>
      </c>
      <c r="O1030" s="2" t="n">
        <v>12</v>
      </c>
      <c r="P1030" s="2" t="n">
        <v>1</v>
      </c>
      <c r="Q1030" s="2" t="n">
        <v>7</v>
      </c>
      <c r="R1030" s="2" t="n">
        <v>3</v>
      </c>
      <c r="S1030" s="2" t="n">
        <v>4</v>
      </c>
      <c r="T1030" s="2" t="n">
        <v>0</v>
      </c>
      <c r="U1030" s="2" t="n">
        <v>2</v>
      </c>
      <c r="V1030" s="2" t="n">
        <v>3</v>
      </c>
      <c r="W1030" s="2" t="n">
        <v>1</v>
      </c>
      <c r="X1030" s="2" t="n">
        <v>2</v>
      </c>
      <c r="Y1030" s="2" t="n">
        <v>3</v>
      </c>
      <c r="Z1030" s="2" t="n">
        <v>3</v>
      </c>
    </row>
    <row r="1031" customFormat="false" ht="15" hidden="false" customHeight="true" outlineLevel="0" collapsed="false">
      <c r="A1031" s="2" t="n">
        <v>42</v>
      </c>
      <c r="B1031" s="2" t="s">
        <v>26</v>
      </c>
      <c r="C1031" s="2" t="s">
        <v>27</v>
      </c>
      <c r="D1031" s="2" t="s">
        <v>35</v>
      </c>
      <c r="E1031" s="2" t="n">
        <v>7</v>
      </c>
      <c r="F1031" s="2" t="n">
        <v>4</v>
      </c>
      <c r="G1031" s="2" t="s">
        <v>38</v>
      </c>
      <c r="H1031" s="2" t="n">
        <v>1030</v>
      </c>
      <c r="I1031" s="2" t="s">
        <v>30</v>
      </c>
      <c r="J1031" s="2" t="n">
        <v>2</v>
      </c>
      <c r="K1031" s="2" t="s">
        <v>45</v>
      </c>
      <c r="L1031" s="2" t="s">
        <v>32</v>
      </c>
      <c r="M1031" s="2" t="n">
        <v>57140</v>
      </c>
      <c r="N1031" s="2" t="n">
        <v>5</v>
      </c>
      <c r="O1031" s="2" t="n">
        <v>11</v>
      </c>
      <c r="P1031" s="2" t="n">
        <v>0</v>
      </c>
      <c r="Q1031" s="2" t="n">
        <v>10</v>
      </c>
      <c r="R1031" s="2" t="n">
        <v>2</v>
      </c>
      <c r="S1031" s="2" t="n">
        <v>0</v>
      </c>
      <c r="T1031" s="2" t="n">
        <v>0</v>
      </c>
      <c r="U1031" s="2" t="n">
        <v>0</v>
      </c>
      <c r="V1031" s="2" t="n">
        <v>2</v>
      </c>
      <c r="W1031" s="2" t="n">
        <v>1</v>
      </c>
      <c r="X1031" s="2" t="n">
        <v>2</v>
      </c>
      <c r="Y1031" s="2" t="n">
        <v>3</v>
      </c>
      <c r="Z1031" s="2" t="n">
        <v>3</v>
      </c>
    </row>
    <row r="1032" customFormat="false" ht="15" hidden="false" customHeight="true" outlineLevel="0" collapsed="false">
      <c r="A1032" s="2" t="n">
        <v>35</v>
      </c>
      <c r="B1032" s="2" t="s">
        <v>26</v>
      </c>
      <c r="C1032" s="2" t="s">
        <v>41</v>
      </c>
      <c r="D1032" s="2" t="s">
        <v>28</v>
      </c>
      <c r="E1032" s="2" t="n">
        <v>10</v>
      </c>
      <c r="F1032" s="2" t="n">
        <v>1</v>
      </c>
      <c r="G1032" s="2" t="s">
        <v>29</v>
      </c>
      <c r="H1032" s="2" t="n">
        <v>1031</v>
      </c>
      <c r="I1032" s="2" t="s">
        <v>30</v>
      </c>
      <c r="J1032" s="2" t="n">
        <v>2</v>
      </c>
      <c r="K1032" s="2" t="s">
        <v>44</v>
      </c>
      <c r="L1032" s="2" t="s">
        <v>46</v>
      </c>
      <c r="M1032" s="2" t="n">
        <v>43230</v>
      </c>
      <c r="N1032" s="2" t="n">
        <v>2</v>
      </c>
      <c r="O1032" s="2" t="n">
        <v>18</v>
      </c>
      <c r="P1032" s="2" t="n">
        <v>3</v>
      </c>
      <c r="Q1032" s="2" t="n">
        <v>15</v>
      </c>
      <c r="R1032" s="2" t="n">
        <v>3</v>
      </c>
      <c r="S1032" s="2" t="n">
        <v>7</v>
      </c>
      <c r="T1032" s="2" t="n">
        <v>1</v>
      </c>
      <c r="U1032" s="2" t="n">
        <v>7</v>
      </c>
      <c r="V1032" s="2" t="n">
        <v>2</v>
      </c>
      <c r="W1032" s="2" t="n">
        <v>4</v>
      </c>
      <c r="X1032" s="2" t="n">
        <v>3</v>
      </c>
      <c r="Y1032" s="2" t="n">
        <v>3</v>
      </c>
      <c r="Z1032" s="2" t="n">
        <v>3</v>
      </c>
    </row>
    <row r="1033" customFormat="false" ht="15" hidden="false" customHeight="true" outlineLevel="0" collapsed="false">
      <c r="A1033" s="2" t="n">
        <v>38</v>
      </c>
      <c r="B1033" s="2" t="s">
        <v>26</v>
      </c>
      <c r="C1033" s="2" t="s">
        <v>41</v>
      </c>
      <c r="D1033" s="2" t="s">
        <v>28</v>
      </c>
      <c r="E1033" s="2" t="n">
        <v>6</v>
      </c>
      <c r="F1033" s="2" t="n">
        <v>4</v>
      </c>
      <c r="G1033" s="2" t="s">
        <v>50</v>
      </c>
      <c r="H1033" s="2" t="n">
        <v>1032</v>
      </c>
      <c r="I1033" s="2" t="s">
        <v>39</v>
      </c>
      <c r="J1033" s="2" t="n">
        <v>3</v>
      </c>
      <c r="K1033" s="2" t="s">
        <v>40</v>
      </c>
      <c r="L1033" s="2" t="s">
        <v>46</v>
      </c>
      <c r="M1033" s="2" t="n">
        <v>73360</v>
      </c>
      <c r="N1033" s="2" t="n">
        <v>5</v>
      </c>
      <c r="O1033" s="2" t="n">
        <v>11</v>
      </c>
      <c r="P1033" s="2" t="n">
        <v>0</v>
      </c>
      <c r="Q1033" s="2" t="n">
        <v>13</v>
      </c>
      <c r="R1033" s="2" t="n">
        <v>3</v>
      </c>
      <c r="S1033" s="2" t="n">
        <v>11</v>
      </c>
      <c r="T1033" s="2" t="n">
        <v>3</v>
      </c>
      <c r="U1033" s="2" t="n">
        <v>8</v>
      </c>
      <c r="V1033" s="2" t="n">
        <v>1</v>
      </c>
      <c r="W1033" s="2" t="n">
        <v>2</v>
      </c>
      <c r="X1033" s="2" t="n">
        <v>3</v>
      </c>
      <c r="Y1033" s="2" t="n">
        <v>3</v>
      </c>
      <c r="Z1033" s="2" t="n">
        <v>3</v>
      </c>
    </row>
    <row r="1034" customFormat="false" ht="15" hidden="false" customHeight="true" outlineLevel="0" collapsed="false">
      <c r="A1034" s="2" t="n">
        <v>34</v>
      </c>
      <c r="B1034" s="2" t="s">
        <v>33</v>
      </c>
      <c r="C1034" s="2" t="s">
        <v>34</v>
      </c>
      <c r="D1034" s="2" t="s">
        <v>35</v>
      </c>
      <c r="E1034" s="2" t="n">
        <v>2</v>
      </c>
      <c r="F1034" s="2" t="n">
        <v>1</v>
      </c>
      <c r="G1034" s="2" t="s">
        <v>29</v>
      </c>
      <c r="H1034" s="2" t="n">
        <v>1033</v>
      </c>
      <c r="I1034" s="2" t="s">
        <v>39</v>
      </c>
      <c r="J1034" s="2" t="n">
        <v>1</v>
      </c>
      <c r="K1034" s="2" t="s">
        <v>47</v>
      </c>
      <c r="L1034" s="2" t="s">
        <v>32</v>
      </c>
      <c r="M1034" s="2" t="n">
        <v>134990</v>
      </c>
      <c r="N1034" s="2" t="n">
        <v>4</v>
      </c>
      <c r="O1034" s="2" t="n">
        <v>23</v>
      </c>
      <c r="P1034" s="2" t="n">
        <v>2</v>
      </c>
      <c r="Q1034" s="2" t="n">
        <v>11</v>
      </c>
      <c r="R1034" s="2" t="n">
        <v>2</v>
      </c>
      <c r="S1034" s="2" t="n">
        <v>7</v>
      </c>
      <c r="T1034" s="2" t="n">
        <v>0</v>
      </c>
      <c r="U1034" s="2" t="n">
        <v>7</v>
      </c>
      <c r="V1034" s="2" t="n">
        <v>4</v>
      </c>
      <c r="W1034" s="2" t="n">
        <v>1</v>
      </c>
      <c r="X1034" s="2" t="n">
        <v>2</v>
      </c>
      <c r="Y1034" s="2" t="n">
        <v>4</v>
      </c>
      <c r="Z1034" s="2" t="n">
        <v>4</v>
      </c>
    </row>
    <row r="1035" customFormat="false" ht="15" hidden="false" customHeight="true" outlineLevel="0" collapsed="false">
      <c r="A1035" s="2" t="n">
        <v>37</v>
      </c>
      <c r="B1035" s="2" t="s">
        <v>33</v>
      </c>
      <c r="C1035" s="2" t="s">
        <v>27</v>
      </c>
      <c r="D1035" s="2" t="s">
        <v>35</v>
      </c>
      <c r="E1035" s="2" t="n">
        <v>24</v>
      </c>
      <c r="F1035" s="2" t="n">
        <v>3</v>
      </c>
      <c r="G1035" s="2" t="s">
        <v>29</v>
      </c>
      <c r="H1035" s="2" t="n">
        <v>1034</v>
      </c>
      <c r="I1035" s="2" t="s">
        <v>39</v>
      </c>
      <c r="J1035" s="2" t="n">
        <v>1</v>
      </c>
      <c r="K1035" s="2" t="s">
        <v>45</v>
      </c>
      <c r="L1035" s="2" t="s">
        <v>37</v>
      </c>
      <c r="M1035" s="2" t="n">
        <v>137580</v>
      </c>
      <c r="N1035" s="2" t="n">
        <v>1</v>
      </c>
      <c r="O1035" s="2" t="n">
        <v>11</v>
      </c>
      <c r="P1035" s="2" t="n">
        <v>1</v>
      </c>
      <c r="Q1035" s="2" t="n">
        <v>10</v>
      </c>
      <c r="R1035" s="2" t="n">
        <v>5</v>
      </c>
      <c r="S1035" s="2" t="n">
        <v>10</v>
      </c>
      <c r="T1035" s="2" t="n">
        <v>0</v>
      </c>
      <c r="U1035" s="2" t="n">
        <v>8</v>
      </c>
      <c r="V1035" s="2" t="n">
        <v>4</v>
      </c>
      <c r="W1035" s="2" t="n">
        <v>1</v>
      </c>
      <c r="X1035" s="2" t="n">
        <v>1</v>
      </c>
      <c r="Y1035" s="2" t="n">
        <v>3</v>
      </c>
      <c r="Z1035" s="2" t="n">
        <v>3</v>
      </c>
    </row>
    <row r="1036" customFormat="false" ht="15" hidden="false" customHeight="true" outlineLevel="0" collapsed="false">
      <c r="A1036" s="2" t="n">
        <v>39</v>
      </c>
      <c r="B1036" s="2" t="s">
        <v>26</v>
      </c>
      <c r="C1036" s="2" t="s">
        <v>34</v>
      </c>
      <c r="D1036" s="2" t="s">
        <v>35</v>
      </c>
      <c r="E1036" s="2" t="n">
        <v>2</v>
      </c>
      <c r="F1036" s="2" t="n">
        <v>1</v>
      </c>
      <c r="G1036" s="2" t="s">
        <v>43</v>
      </c>
      <c r="H1036" s="2" t="n">
        <v>1035</v>
      </c>
      <c r="I1036" s="2" t="s">
        <v>39</v>
      </c>
      <c r="J1036" s="2" t="n">
        <v>2</v>
      </c>
      <c r="K1036" s="2" t="s">
        <v>31</v>
      </c>
      <c r="L1036" s="2" t="s">
        <v>46</v>
      </c>
      <c r="M1036" s="2" t="n">
        <v>51550</v>
      </c>
      <c r="N1036" s="2" t="n">
        <v>2</v>
      </c>
      <c r="O1036" s="2" t="n">
        <v>18</v>
      </c>
      <c r="P1036" s="2" t="n">
        <v>1</v>
      </c>
      <c r="Q1036" s="2" t="n">
        <v>7</v>
      </c>
      <c r="R1036" s="2" t="n">
        <v>3</v>
      </c>
      <c r="S1036" s="2" t="n">
        <v>2</v>
      </c>
      <c r="T1036" s="2" t="n">
        <v>2</v>
      </c>
      <c r="U1036" s="2" t="n">
        <v>2</v>
      </c>
      <c r="V1036" s="2" t="n">
        <v>3</v>
      </c>
      <c r="W1036" s="2" t="n">
        <v>4</v>
      </c>
      <c r="X1036" s="2" t="n">
        <v>3</v>
      </c>
      <c r="Y1036" s="2" t="n">
        <v>2</v>
      </c>
      <c r="Z1036" s="2" t="n">
        <v>3</v>
      </c>
    </row>
    <row r="1037" customFormat="false" ht="15" hidden="false" customHeight="true" outlineLevel="0" collapsed="false">
      <c r="A1037" s="2" t="n">
        <v>43</v>
      </c>
      <c r="B1037" s="2" t="s">
        <v>26</v>
      </c>
      <c r="C1037" s="2" t="s">
        <v>41</v>
      </c>
      <c r="D1037" s="2" t="s">
        <v>42</v>
      </c>
      <c r="E1037" s="2" t="n">
        <v>8</v>
      </c>
      <c r="F1037" s="2" t="n">
        <v>5</v>
      </c>
      <c r="G1037" s="2" t="s">
        <v>43</v>
      </c>
      <c r="H1037" s="2" t="n">
        <v>1036</v>
      </c>
      <c r="I1037" s="2" t="s">
        <v>30</v>
      </c>
      <c r="J1037" s="2" t="n">
        <v>3</v>
      </c>
      <c r="K1037" s="2" t="s">
        <v>40</v>
      </c>
      <c r="L1037" s="2" t="s">
        <v>37</v>
      </c>
      <c r="M1037" s="2" t="n">
        <v>22580</v>
      </c>
      <c r="N1037" s="2" t="n">
        <v>4</v>
      </c>
      <c r="O1037" s="2" t="n">
        <v>18</v>
      </c>
      <c r="P1037" s="2" t="n">
        <v>0</v>
      </c>
      <c r="Q1037" s="2" t="n">
        <v>7</v>
      </c>
      <c r="R1037" s="2" t="n">
        <v>2</v>
      </c>
      <c r="S1037" s="2" t="n">
        <v>3</v>
      </c>
      <c r="T1037" s="2" t="n">
        <v>1</v>
      </c>
      <c r="U1037" s="2" t="n">
        <v>2</v>
      </c>
      <c r="V1037" s="2" t="n">
        <v>1</v>
      </c>
      <c r="W1037" s="2" t="n">
        <v>3</v>
      </c>
      <c r="X1037" s="2" t="n">
        <v>2</v>
      </c>
      <c r="Y1037" s="2" t="n">
        <v>3</v>
      </c>
      <c r="Z1037" s="2" t="n">
        <v>3</v>
      </c>
    </row>
    <row r="1038" customFormat="false" ht="15" hidden="false" customHeight="true" outlineLevel="0" collapsed="false">
      <c r="A1038" s="2" t="n">
        <v>41</v>
      </c>
      <c r="B1038" s="2" t="s">
        <v>26</v>
      </c>
      <c r="C1038" s="2" t="s">
        <v>27</v>
      </c>
      <c r="D1038" s="2" t="s">
        <v>35</v>
      </c>
      <c r="E1038" s="2" t="n">
        <v>3</v>
      </c>
      <c r="F1038" s="2" t="n">
        <v>3</v>
      </c>
      <c r="G1038" s="2" t="s">
        <v>29</v>
      </c>
      <c r="H1038" s="2" t="n">
        <v>1037</v>
      </c>
      <c r="I1038" s="2" t="s">
        <v>39</v>
      </c>
      <c r="J1038" s="2" t="n">
        <v>3</v>
      </c>
      <c r="K1038" s="2" t="s">
        <v>36</v>
      </c>
      <c r="L1038" s="2" t="s">
        <v>37</v>
      </c>
      <c r="M1038" s="2" t="n">
        <v>35970</v>
      </c>
      <c r="N1038" s="2" t="n">
        <v>3</v>
      </c>
      <c r="O1038" s="2" t="n">
        <v>13</v>
      </c>
      <c r="P1038" s="2" t="n">
        <v>1</v>
      </c>
      <c r="Q1038" s="2" t="n">
        <v>11</v>
      </c>
      <c r="R1038" s="2" t="n">
        <v>2</v>
      </c>
      <c r="S1038" s="2" t="n">
        <v>3</v>
      </c>
      <c r="T1038" s="2" t="n">
        <v>1</v>
      </c>
      <c r="U1038" s="2" t="n">
        <v>2</v>
      </c>
      <c r="V1038" s="2" t="n">
        <v>2</v>
      </c>
      <c r="W1038" s="2" t="n">
        <v>2</v>
      </c>
      <c r="X1038" s="2" t="n">
        <v>1</v>
      </c>
      <c r="Y1038" s="2" t="n">
        <v>1</v>
      </c>
      <c r="Z1038" s="2" t="n">
        <v>3</v>
      </c>
    </row>
    <row r="1039" customFormat="false" ht="15" hidden="false" customHeight="true" outlineLevel="0" collapsed="false">
      <c r="A1039" s="2" t="n">
        <v>41</v>
      </c>
      <c r="B1039" s="2" t="s">
        <v>26</v>
      </c>
      <c r="C1039" s="2" t="s">
        <v>27</v>
      </c>
      <c r="D1039" s="2" t="s">
        <v>35</v>
      </c>
      <c r="E1039" s="2" t="n">
        <v>1</v>
      </c>
      <c r="F1039" s="2" t="n">
        <v>1</v>
      </c>
      <c r="G1039" s="2" t="s">
        <v>51</v>
      </c>
      <c r="H1039" s="2" t="n">
        <v>1038</v>
      </c>
      <c r="I1039" s="2" t="s">
        <v>39</v>
      </c>
      <c r="J1039" s="2" t="n">
        <v>3</v>
      </c>
      <c r="K1039" s="2" t="s">
        <v>45</v>
      </c>
      <c r="L1039" s="2" t="s">
        <v>46</v>
      </c>
      <c r="M1039" s="2" t="n">
        <v>25150</v>
      </c>
      <c r="N1039" s="2" t="n">
        <v>0</v>
      </c>
      <c r="O1039" s="2" t="n">
        <v>18</v>
      </c>
      <c r="P1039" s="2" t="n">
        <v>0</v>
      </c>
      <c r="Q1039" s="2" t="n">
        <v>23</v>
      </c>
      <c r="R1039" s="2" t="n">
        <v>2</v>
      </c>
      <c r="S1039" s="2" t="n">
        <v>22</v>
      </c>
      <c r="T1039" s="2" t="n">
        <v>13</v>
      </c>
      <c r="U1039" s="2" t="n">
        <v>5</v>
      </c>
      <c r="V1039" s="2" t="n">
        <v>3</v>
      </c>
      <c r="W1039" s="2" t="n">
        <v>3</v>
      </c>
      <c r="X1039" s="2" t="n">
        <v>4</v>
      </c>
      <c r="Y1039" s="2" t="n">
        <v>2</v>
      </c>
      <c r="Z1039" s="2" t="n">
        <v>3</v>
      </c>
    </row>
    <row r="1040" customFormat="false" ht="15" hidden="false" customHeight="true" outlineLevel="0" collapsed="false">
      <c r="A1040" s="2" t="n">
        <v>30</v>
      </c>
      <c r="B1040" s="2" t="s">
        <v>26</v>
      </c>
      <c r="C1040" s="2" t="s">
        <v>27</v>
      </c>
      <c r="D1040" s="2" t="s">
        <v>28</v>
      </c>
      <c r="E1040" s="2" t="n">
        <v>26</v>
      </c>
      <c r="F1040" s="2" t="n">
        <v>3</v>
      </c>
      <c r="G1040" s="2" t="s">
        <v>50</v>
      </c>
      <c r="H1040" s="2" t="n">
        <v>1039</v>
      </c>
      <c r="I1040" s="2" t="s">
        <v>30</v>
      </c>
      <c r="J1040" s="2" t="n">
        <v>2</v>
      </c>
      <c r="K1040" s="2" t="s">
        <v>49</v>
      </c>
      <c r="L1040" s="2" t="s">
        <v>37</v>
      </c>
      <c r="M1040" s="2" t="n">
        <v>44200</v>
      </c>
      <c r="N1040" s="2" t="n">
        <v>9</v>
      </c>
      <c r="O1040" s="2" t="n">
        <v>11</v>
      </c>
      <c r="P1040" s="2" t="n">
        <v>0</v>
      </c>
      <c r="Q1040" s="2" t="n">
        <v>9</v>
      </c>
      <c r="R1040" s="2" t="n">
        <v>3</v>
      </c>
      <c r="S1040" s="2" t="n">
        <v>7</v>
      </c>
      <c r="T1040" s="2" t="n">
        <v>0</v>
      </c>
      <c r="U1040" s="2" t="n">
        <v>2</v>
      </c>
      <c r="V1040" s="2" t="n">
        <v>1</v>
      </c>
      <c r="W1040" s="2" t="n">
        <v>3</v>
      </c>
      <c r="X1040" s="2" t="n">
        <v>3</v>
      </c>
      <c r="Y1040" s="2" t="n">
        <v>3</v>
      </c>
      <c r="Z1040" s="2" t="n">
        <v>3</v>
      </c>
    </row>
    <row r="1041" customFormat="false" ht="15" hidden="false" customHeight="true" outlineLevel="0" collapsed="false">
      <c r="A1041" s="2" t="n">
        <v>26</v>
      </c>
      <c r="B1041" s="2" t="s">
        <v>33</v>
      </c>
      <c r="C1041" s="2" t="s">
        <v>27</v>
      </c>
      <c r="D1041" s="2" t="s">
        <v>42</v>
      </c>
      <c r="E1041" s="2" t="n">
        <v>2</v>
      </c>
      <c r="F1041" s="2" t="n">
        <v>1</v>
      </c>
      <c r="G1041" s="2" t="s">
        <v>51</v>
      </c>
      <c r="H1041" s="2" t="n">
        <v>1040</v>
      </c>
      <c r="I1041" s="2" t="s">
        <v>30</v>
      </c>
      <c r="J1041" s="2" t="n">
        <v>3</v>
      </c>
      <c r="K1041" s="2" t="s">
        <v>40</v>
      </c>
      <c r="L1041" s="2" t="s">
        <v>32</v>
      </c>
      <c r="M1041" s="2" t="n">
        <v>65780</v>
      </c>
      <c r="N1041" s="2" t="n">
        <v>0</v>
      </c>
      <c r="O1041" s="2" t="n">
        <v>15</v>
      </c>
      <c r="P1041" s="2" t="n">
        <v>2</v>
      </c>
      <c r="Q1041" s="2" t="n">
        <v>6</v>
      </c>
      <c r="R1041" s="2" t="n">
        <v>3</v>
      </c>
      <c r="S1041" s="2" t="n">
        <v>5</v>
      </c>
      <c r="T1041" s="2" t="n">
        <v>1</v>
      </c>
      <c r="U1041" s="2" t="n">
        <v>4</v>
      </c>
      <c r="V1041" s="2" t="n">
        <v>4</v>
      </c>
      <c r="W1041" s="2" t="n">
        <v>2</v>
      </c>
      <c r="X1041" s="2" t="n">
        <v>3</v>
      </c>
      <c r="Y1041" s="2" t="n">
        <v>2</v>
      </c>
      <c r="Z1041" s="2" t="n">
        <v>3</v>
      </c>
    </row>
    <row r="1042" customFormat="false" ht="15" hidden="false" customHeight="true" outlineLevel="0" collapsed="false">
      <c r="A1042" s="2" t="n">
        <v>46</v>
      </c>
      <c r="B1042" s="2" t="s">
        <v>33</v>
      </c>
      <c r="C1042" s="2" t="s">
        <v>27</v>
      </c>
      <c r="D1042" s="2" t="s">
        <v>35</v>
      </c>
      <c r="E1042" s="2" t="n">
        <v>10</v>
      </c>
      <c r="F1042" s="2" t="n">
        <v>3</v>
      </c>
      <c r="G1042" s="2" t="s">
        <v>43</v>
      </c>
      <c r="H1042" s="2" t="n">
        <v>1041</v>
      </c>
      <c r="I1042" s="2" t="s">
        <v>39</v>
      </c>
      <c r="J1042" s="2" t="n">
        <v>1</v>
      </c>
      <c r="K1042" s="2" t="s">
        <v>40</v>
      </c>
      <c r="L1042" s="2" t="s">
        <v>32</v>
      </c>
      <c r="M1042" s="2" t="n">
        <v>44220</v>
      </c>
      <c r="N1042" s="2" t="n">
        <v>4</v>
      </c>
      <c r="O1042" s="2" t="n">
        <v>11</v>
      </c>
      <c r="P1042" s="2" t="n">
        <v>1</v>
      </c>
      <c r="Q1042" s="2" t="n">
        <v>13</v>
      </c>
      <c r="R1042" s="2" t="n">
        <v>2</v>
      </c>
      <c r="S1042" s="2" t="n">
        <v>9</v>
      </c>
      <c r="T1042" s="2" t="n">
        <v>3</v>
      </c>
      <c r="U1042" s="2" t="n">
        <v>7</v>
      </c>
      <c r="V1042" s="2" t="n">
        <v>4</v>
      </c>
      <c r="W1042" s="2" t="n">
        <v>2</v>
      </c>
      <c r="X1042" s="2" t="n">
        <v>4</v>
      </c>
      <c r="Y1042" s="2" t="n">
        <v>3</v>
      </c>
      <c r="Z1042" s="2" t="n">
        <v>3</v>
      </c>
    </row>
    <row r="1043" customFormat="false" ht="15" hidden="false" customHeight="true" outlineLevel="0" collapsed="false">
      <c r="A1043" s="2" t="n">
        <v>40</v>
      </c>
      <c r="B1043" s="2" t="s">
        <v>26</v>
      </c>
      <c r="C1043" s="2" t="s">
        <v>27</v>
      </c>
      <c r="D1043" s="2" t="s">
        <v>28</v>
      </c>
      <c r="E1043" s="2" t="n">
        <v>27</v>
      </c>
      <c r="F1043" s="2" t="n">
        <v>2</v>
      </c>
      <c r="G1043" s="2" t="s">
        <v>43</v>
      </c>
      <c r="H1043" s="2" t="n">
        <v>1042</v>
      </c>
      <c r="I1043" s="2" t="s">
        <v>30</v>
      </c>
      <c r="J1043" s="2" t="n">
        <v>3</v>
      </c>
      <c r="K1043" s="2" t="s">
        <v>40</v>
      </c>
      <c r="L1043" s="2" t="s">
        <v>46</v>
      </c>
      <c r="M1043" s="2" t="n">
        <v>102740</v>
      </c>
      <c r="N1043" s="2" t="n">
        <v>4</v>
      </c>
      <c r="O1043" s="2" t="n">
        <v>18</v>
      </c>
      <c r="P1043" s="2" t="n">
        <v>0</v>
      </c>
      <c r="Q1043" s="2" t="n">
        <v>12</v>
      </c>
      <c r="R1043" s="2" t="n">
        <v>3</v>
      </c>
      <c r="S1043" s="2" t="n">
        <v>5</v>
      </c>
      <c r="T1043" s="2" t="n">
        <v>0</v>
      </c>
      <c r="U1043" s="2" t="n">
        <v>3</v>
      </c>
      <c r="V1043" s="2" t="n">
        <v>3</v>
      </c>
      <c r="W1043" s="2" t="n">
        <v>4</v>
      </c>
      <c r="X1043" s="2" t="n">
        <v>3</v>
      </c>
      <c r="Y1043" s="2" t="n">
        <v>3</v>
      </c>
      <c r="Z1043" s="2" t="n">
        <v>3</v>
      </c>
    </row>
    <row r="1044" customFormat="false" ht="15" hidden="false" customHeight="true" outlineLevel="0" collapsed="false">
      <c r="A1044" s="2" t="n">
        <v>34</v>
      </c>
      <c r="B1044" s="2" t="s">
        <v>26</v>
      </c>
      <c r="C1044" s="2" t="s">
        <v>27</v>
      </c>
      <c r="D1044" s="2" t="s">
        <v>35</v>
      </c>
      <c r="E1044" s="2" t="n">
        <v>2</v>
      </c>
      <c r="F1044" s="2" t="n">
        <v>3</v>
      </c>
      <c r="G1044" s="2" t="s">
        <v>29</v>
      </c>
      <c r="H1044" s="2" t="n">
        <v>1043</v>
      </c>
      <c r="I1044" s="2" t="s">
        <v>39</v>
      </c>
      <c r="J1044" s="2" t="n">
        <v>2</v>
      </c>
      <c r="K1044" s="2" t="s">
        <v>45</v>
      </c>
      <c r="L1044" s="2" t="s">
        <v>32</v>
      </c>
      <c r="M1044" s="2" t="n">
        <v>53430</v>
      </c>
      <c r="N1044" s="2" t="n">
        <v>1</v>
      </c>
      <c r="O1044" s="2" t="n">
        <v>14</v>
      </c>
      <c r="P1044" s="2" t="n">
        <v>0</v>
      </c>
      <c r="Q1044" s="2" t="n">
        <v>10</v>
      </c>
      <c r="R1044" s="2" t="n">
        <v>5</v>
      </c>
      <c r="S1044" s="2" t="n">
        <v>10</v>
      </c>
      <c r="T1044" s="2" t="n">
        <v>4</v>
      </c>
      <c r="U1044" s="2" t="n">
        <v>8</v>
      </c>
      <c r="V1044" s="2" t="n">
        <v>2</v>
      </c>
      <c r="W1044" s="2" t="n">
        <v>3</v>
      </c>
      <c r="X1044" s="2" t="n">
        <v>3</v>
      </c>
      <c r="Y1044" s="2" t="n">
        <v>2</v>
      </c>
      <c r="Z1044" s="2" t="n">
        <v>3</v>
      </c>
    </row>
    <row r="1045" customFormat="false" ht="15" hidden="false" customHeight="true" outlineLevel="0" collapsed="false">
      <c r="A1045" s="2" t="n">
        <v>58</v>
      </c>
      <c r="B1045" s="2" t="s">
        <v>26</v>
      </c>
      <c r="C1045" s="2" t="s">
        <v>41</v>
      </c>
      <c r="D1045" s="2" t="s">
        <v>35</v>
      </c>
      <c r="E1045" s="2" t="n">
        <v>2</v>
      </c>
      <c r="F1045" s="2" t="n">
        <v>4</v>
      </c>
      <c r="G1045" s="2" t="s">
        <v>43</v>
      </c>
      <c r="H1045" s="2" t="n">
        <v>1044</v>
      </c>
      <c r="I1045" s="2" t="s">
        <v>39</v>
      </c>
      <c r="J1045" s="2" t="n">
        <v>1</v>
      </c>
      <c r="K1045" s="2" t="s">
        <v>45</v>
      </c>
      <c r="L1045" s="2" t="s">
        <v>46</v>
      </c>
      <c r="M1045" s="2" t="n">
        <v>23760</v>
      </c>
      <c r="N1045" s="2" t="n">
        <v>4</v>
      </c>
      <c r="O1045" s="2" t="n">
        <v>12</v>
      </c>
      <c r="P1045" s="2" t="n">
        <v>1</v>
      </c>
      <c r="Q1045" s="2" t="n">
        <v>37</v>
      </c>
      <c r="R1045" s="2" t="n">
        <v>3</v>
      </c>
      <c r="S1045" s="2" t="n">
        <v>16</v>
      </c>
      <c r="T1045" s="2" t="n">
        <v>14</v>
      </c>
      <c r="U1045" s="2" t="n">
        <v>14</v>
      </c>
      <c r="V1045" s="2" t="n">
        <v>2</v>
      </c>
      <c r="W1045" s="2" t="n">
        <v>2</v>
      </c>
      <c r="X1045" s="2" t="n">
        <v>2</v>
      </c>
      <c r="Y1045" s="2" t="n">
        <v>3</v>
      </c>
      <c r="Z1045" s="2" t="n">
        <v>3</v>
      </c>
    </row>
    <row r="1046" customFormat="false" ht="15" hidden="false" customHeight="true" outlineLevel="0" collapsed="false">
      <c r="A1046" s="2" t="n">
        <v>35</v>
      </c>
      <c r="B1046" s="2" t="s">
        <v>26</v>
      </c>
      <c r="C1046" s="2" t="s">
        <v>27</v>
      </c>
      <c r="D1046" s="2" t="s">
        <v>35</v>
      </c>
      <c r="E1046" s="2" t="n">
        <v>8</v>
      </c>
      <c r="F1046" s="2" t="n">
        <v>1</v>
      </c>
      <c r="G1046" s="2" t="s">
        <v>51</v>
      </c>
      <c r="H1046" s="2" t="n">
        <v>1045</v>
      </c>
      <c r="I1046" s="2" t="s">
        <v>30</v>
      </c>
      <c r="J1046" s="2" t="n">
        <v>3</v>
      </c>
      <c r="K1046" s="2" t="s">
        <v>47</v>
      </c>
      <c r="L1046" s="2" t="s">
        <v>32</v>
      </c>
      <c r="M1046" s="2" t="n">
        <v>53460</v>
      </c>
      <c r="N1046" s="2" t="n">
        <v>0</v>
      </c>
      <c r="O1046" s="2" t="n">
        <v>14</v>
      </c>
      <c r="P1046" s="2" t="n">
        <v>0</v>
      </c>
      <c r="Q1046" s="2" t="n">
        <v>6</v>
      </c>
      <c r="R1046" s="2" t="n">
        <v>3</v>
      </c>
      <c r="S1046" s="2" t="n">
        <v>5</v>
      </c>
      <c r="T1046" s="2" t="n">
        <v>0</v>
      </c>
      <c r="U1046" s="2" t="n">
        <v>3</v>
      </c>
      <c r="V1046" s="2" t="n">
        <v>2</v>
      </c>
      <c r="W1046" s="2" t="n">
        <v>3</v>
      </c>
      <c r="X1046" s="2" t="n">
        <v>4</v>
      </c>
      <c r="Y1046" s="2" t="n">
        <v>2</v>
      </c>
      <c r="Z1046" s="2" t="n">
        <v>3</v>
      </c>
    </row>
    <row r="1047" customFormat="false" ht="15" hidden="false" customHeight="true" outlineLevel="0" collapsed="false">
      <c r="A1047" s="2" t="n">
        <v>47</v>
      </c>
      <c r="B1047" s="2" t="s">
        <v>26</v>
      </c>
      <c r="C1047" s="2" t="s">
        <v>27</v>
      </c>
      <c r="D1047" s="2" t="s">
        <v>35</v>
      </c>
      <c r="E1047" s="2" t="n">
        <v>19</v>
      </c>
      <c r="F1047" s="2" t="n">
        <v>5</v>
      </c>
      <c r="G1047" s="2" t="s">
        <v>43</v>
      </c>
      <c r="H1047" s="2" t="n">
        <v>1046</v>
      </c>
      <c r="I1047" s="2" t="s">
        <v>30</v>
      </c>
      <c r="J1047" s="2" t="n">
        <v>2</v>
      </c>
      <c r="K1047" s="2" t="s">
        <v>36</v>
      </c>
      <c r="L1047" s="2" t="s">
        <v>46</v>
      </c>
      <c r="M1047" s="2" t="n">
        <v>28270</v>
      </c>
      <c r="N1047" s="2" t="n">
        <v>8</v>
      </c>
      <c r="O1047" s="2" t="n">
        <v>14</v>
      </c>
      <c r="P1047" s="2" t="n">
        <v>1</v>
      </c>
      <c r="Q1047" s="2" t="n">
        <v>28</v>
      </c>
      <c r="R1047" s="2" t="n">
        <v>3</v>
      </c>
      <c r="S1047" s="2" t="n">
        <v>22</v>
      </c>
      <c r="T1047" s="2" t="n">
        <v>14</v>
      </c>
      <c r="U1047" s="2" t="n">
        <v>10</v>
      </c>
      <c r="V1047" s="2" t="n">
        <v>3</v>
      </c>
      <c r="W1047" s="2" t="n">
        <v>2</v>
      </c>
      <c r="X1047" s="2" t="n">
        <v>3</v>
      </c>
      <c r="Y1047" s="2" t="n">
        <v>3</v>
      </c>
      <c r="Z1047" s="2" t="n">
        <v>3</v>
      </c>
    </row>
    <row r="1048" customFormat="false" ht="15" hidden="false" customHeight="true" outlineLevel="0" collapsed="false">
      <c r="A1048" s="2" t="n">
        <v>40</v>
      </c>
      <c r="B1048" s="2" t="s">
        <v>26</v>
      </c>
      <c r="C1048" s="2" t="s">
        <v>27</v>
      </c>
      <c r="D1048" s="2" t="s">
        <v>35</v>
      </c>
      <c r="E1048" s="2" t="n">
        <v>1</v>
      </c>
      <c r="F1048" s="2" t="n">
        <v>4</v>
      </c>
      <c r="G1048" s="2" t="s">
        <v>29</v>
      </c>
      <c r="H1048" s="2" t="n">
        <v>1047</v>
      </c>
      <c r="I1048" s="2" t="s">
        <v>39</v>
      </c>
      <c r="J1048" s="2" t="n">
        <v>2</v>
      </c>
      <c r="K1048" s="2" t="s">
        <v>49</v>
      </c>
      <c r="L1048" s="2" t="s">
        <v>46</v>
      </c>
      <c r="M1048" s="2" t="n">
        <v>199430</v>
      </c>
      <c r="N1048" s="2" t="n">
        <v>2</v>
      </c>
      <c r="O1048" s="2" t="n">
        <v>13</v>
      </c>
      <c r="P1048" s="2" t="n">
        <v>1</v>
      </c>
      <c r="Q1048" s="2" t="n">
        <v>15</v>
      </c>
      <c r="R1048" s="2" t="n">
        <v>3</v>
      </c>
      <c r="S1048" s="2" t="n">
        <v>7</v>
      </c>
      <c r="T1048" s="2" t="n">
        <v>7</v>
      </c>
      <c r="U1048" s="2" t="n">
        <v>7</v>
      </c>
      <c r="V1048" s="2" t="n">
        <v>2</v>
      </c>
      <c r="W1048" s="2" t="n">
        <v>1</v>
      </c>
      <c r="X1048" s="2" t="n">
        <v>3</v>
      </c>
      <c r="Y1048" s="2" t="n">
        <v>3</v>
      </c>
      <c r="Z1048" s="2" t="n">
        <v>3</v>
      </c>
    </row>
    <row r="1049" customFormat="false" ht="15" hidden="false" customHeight="true" outlineLevel="0" collapsed="false">
      <c r="A1049" s="2" t="n">
        <v>54</v>
      </c>
      <c r="B1049" s="2" t="s">
        <v>26</v>
      </c>
      <c r="C1049" s="2" t="s">
        <v>27</v>
      </c>
      <c r="D1049" s="2" t="s">
        <v>28</v>
      </c>
      <c r="E1049" s="2" t="n">
        <v>27</v>
      </c>
      <c r="F1049" s="2" t="n">
        <v>4</v>
      </c>
      <c r="G1049" s="2" t="s">
        <v>43</v>
      </c>
      <c r="H1049" s="2" t="n">
        <v>1048</v>
      </c>
      <c r="I1049" s="2" t="s">
        <v>39</v>
      </c>
      <c r="J1049" s="2" t="n">
        <v>1</v>
      </c>
      <c r="K1049" s="2" t="s">
        <v>36</v>
      </c>
      <c r="L1049" s="2" t="s">
        <v>32</v>
      </c>
      <c r="M1049" s="2" t="n">
        <v>31310</v>
      </c>
      <c r="N1049" s="2" t="n">
        <v>4</v>
      </c>
      <c r="O1049" s="2" t="n">
        <v>14</v>
      </c>
      <c r="P1049" s="2" t="n">
        <v>0</v>
      </c>
      <c r="Q1049" s="2" t="n">
        <v>14</v>
      </c>
      <c r="R1049" s="2" t="n">
        <v>3</v>
      </c>
      <c r="S1049" s="2" t="n">
        <v>7</v>
      </c>
      <c r="T1049" s="2" t="n">
        <v>1</v>
      </c>
      <c r="U1049" s="2" t="n">
        <v>7</v>
      </c>
      <c r="V1049" s="2" t="n">
        <v>4</v>
      </c>
      <c r="W1049" s="2" t="n">
        <v>4</v>
      </c>
      <c r="X1049" s="2" t="n">
        <v>2</v>
      </c>
      <c r="Y1049" s="2" t="n">
        <v>2</v>
      </c>
      <c r="Z1049" s="2" t="n">
        <v>3</v>
      </c>
    </row>
    <row r="1050" customFormat="false" ht="15" hidden="false" customHeight="true" outlineLevel="0" collapsed="false">
      <c r="A1050" s="2" t="n">
        <v>31</v>
      </c>
      <c r="B1050" s="2" t="s">
        <v>26</v>
      </c>
      <c r="C1050" s="2" t="s">
        <v>34</v>
      </c>
      <c r="D1050" s="2" t="s">
        <v>28</v>
      </c>
      <c r="E1050" s="2" t="n">
        <v>8</v>
      </c>
      <c r="F1050" s="2" t="n">
        <v>4</v>
      </c>
      <c r="G1050" s="2" t="s">
        <v>38</v>
      </c>
      <c r="H1050" s="2" t="n">
        <v>1049</v>
      </c>
      <c r="I1050" s="2" t="s">
        <v>30</v>
      </c>
      <c r="J1050" s="2" t="n">
        <v>3</v>
      </c>
      <c r="K1050" s="2" t="s">
        <v>47</v>
      </c>
      <c r="L1050" s="2" t="s">
        <v>32</v>
      </c>
      <c r="M1050" s="2" t="n">
        <v>25520</v>
      </c>
      <c r="N1050" s="2" t="n">
        <v>2</v>
      </c>
      <c r="O1050" s="2" t="n">
        <v>18</v>
      </c>
      <c r="P1050" s="2" t="n">
        <v>0</v>
      </c>
      <c r="Q1050" s="2" t="n">
        <v>9</v>
      </c>
      <c r="R1050" s="2" t="n">
        <v>2</v>
      </c>
      <c r="S1050" s="2" t="n">
        <v>3</v>
      </c>
      <c r="T1050" s="2" t="n">
        <v>2</v>
      </c>
      <c r="U1050" s="2" t="n">
        <v>2</v>
      </c>
      <c r="V1050" s="2" t="n">
        <v>1</v>
      </c>
      <c r="W1050" s="2" t="n">
        <v>1</v>
      </c>
      <c r="X1050" s="2" t="n">
        <v>3</v>
      </c>
      <c r="Y1050" s="2" t="n">
        <v>3</v>
      </c>
      <c r="Z1050" s="2" t="n">
        <v>3</v>
      </c>
    </row>
    <row r="1051" customFormat="false" ht="15" hidden="false" customHeight="true" outlineLevel="0" collapsed="false">
      <c r="A1051" s="2" t="n">
        <v>28</v>
      </c>
      <c r="B1051" s="2" t="s">
        <v>26</v>
      </c>
      <c r="C1051" s="2" t="s">
        <v>27</v>
      </c>
      <c r="D1051" s="2" t="s">
        <v>28</v>
      </c>
      <c r="E1051" s="2" t="n">
        <v>1</v>
      </c>
      <c r="F1051" s="2" t="n">
        <v>2</v>
      </c>
      <c r="G1051" s="2" t="s">
        <v>29</v>
      </c>
      <c r="H1051" s="2" t="n">
        <v>1050</v>
      </c>
      <c r="I1051" s="2" t="s">
        <v>39</v>
      </c>
      <c r="J1051" s="2" t="n">
        <v>3</v>
      </c>
      <c r="K1051" s="2" t="s">
        <v>49</v>
      </c>
      <c r="L1051" s="2" t="s">
        <v>32</v>
      </c>
      <c r="M1051" s="2" t="n">
        <v>44770</v>
      </c>
      <c r="N1051" s="2" t="n">
        <v>1</v>
      </c>
      <c r="O1051" s="2" t="n">
        <v>15</v>
      </c>
      <c r="P1051" s="2" t="n">
        <v>0</v>
      </c>
      <c r="Q1051" s="2" t="n">
        <v>3</v>
      </c>
      <c r="R1051" s="2" t="n">
        <v>6</v>
      </c>
      <c r="S1051" s="2" t="n">
        <v>3</v>
      </c>
      <c r="T1051" s="2" t="n">
        <v>1</v>
      </c>
      <c r="U1051" s="2" t="n">
        <v>2</v>
      </c>
      <c r="V1051" s="2" t="n">
        <v>3</v>
      </c>
      <c r="W1051" s="2" t="n">
        <v>1</v>
      </c>
      <c r="X1051" s="2" t="n">
        <v>3</v>
      </c>
      <c r="Y1051" s="2" t="n">
        <v>3</v>
      </c>
      <c r="Z1051" s="2" t="n">
        <v>3</v>
      </c>
    </row>
    <row r="1052" customFormat="false" ht="15" hidden="false" customHeight="true" outlineLevel="0" collapsed="false">
      <c r="A1052" s="2" t="n">
        <v>38</v>
      </c>
      <c r="B1052" s="2" t="s">
        <v>26</v>
      </c>
      <c r="C1052" s="2" t="s">
        <v>27</v>
      </c>
      <c r="D1052" s="2" t="s">
        <v>35</v>
      </c>
      <c r="E1052" s="2" t="n">
        <v>19</v>
      </c>
      <c r="F1052" s="2" t="n">
        <v>3</v>
      </c>
      <c r="G1052" s="2" t="s">
        <v>43</v>
      </c>
      <c r="H1052" s="2" t="n">
        <v>1051</v>
      </c>
      <c r="I1052" s="2" t="s">
        <v>30</v>
      </c>
      <c r="J1052" s="2" t="n">
        <v>2</v>
      </c>
      <c r="K1052" s="2" t="s">
        <v>47</v>
      </c>
      <c r="L1052" s="2" t="s">
        <v>32</v>
      </c>
      <c r="M1052" s="2" t="n">
        <v>64740</v>
      </c>
      <c r="N1052" s="2" t="n">
        <v>2</v>
      </c>
      <c r="O1052" s="2" t="n">
        <v>13</v>
      </c>
      <c r="P1052" s="2" t="n">
        <v>2</v>
      </c>
      <c r="Q1052" s="2" t="n">
        <v>20</v>
      </c>
      <c r="R1052" s="2" t="n">
        <v>3</v>
      </c>
      <c r="S1052" s="2" t="n">
        <v>4</v>
      </c>
      <c r="T1052" s="2" t="n">
        <v>0</v>
      </c>
      <c r="U1052" s="2" t="n">
        <v>3</v>
      </c>
      <c r="V1052" s="2" t="n">
        <v>2</v>
      </c>
      <c r="W1052" s="2" t="n">
        <v>4</v>
      </c>
      <c r="X1052" s="2" t="n">
        <v>2</v>
      </c>
      <c r="Y1052" s="2" t="n">
        <v>1</v>
      </c>
      <c r="Z1052" s="2" t="n">
        <v>3</v>
      </c>
    </row>
    <row r="1053" customFormat="false" ht="15" hidden="false" customHeight="true" outlineLevel="0" collapsed="false">
      <c r="A1053" s="2" t="n">
        <v>26</v>
      </c>
      <c r="B1053" s="2" t="s">
        <v>26</v>
      </c>
      <c r="C1053" s="2" t="s">
        <v>27</v>
      </c>
      <c r="D1053" s="2" t="s">
        <v>28</v>
      </c>
      <c r="E1053" s="2" t="n">
        <v>8</v>
      </c>
      <c r="F1053" s="2" t="n">
        <v>3</v>
      </c>
      <c r="G1053" s="2" t="s">
        <v>50</v>
      </c>
      <c r="H1053" s="2" t="n">
        <v>1052</v>
      </c>
      <c r="I1053" s="2" t="s">
        <v>30</v>
      </c>
      <c r="J1053" s="2" t="n">
        <v>1</v>
      </c>
      <c r="K1053" s="2" t="s">
        <v>31</v>
      </c>
      <c r="L1053" s="2" t="s">
        <v>37</v>
      </c>
      <c r="M1053" s="2" t="n">
        <v>30330</v>
      </c>
      <c r="N1053" s="2" t="n">
        <v>1</v>
      </c>
      <c r="O1053" s="2" t="n">
        <v>12</v>
      </c>
      <c r="P1053" s="2" t="n">
        <v>0</v>
      </c>
      <c r="Q1053" s="2" t="n">
        <v>5</v>
      </c>
      <c r="R1053" s="2" t="n">
        <v>2</v>
      </c>
      <c r="S1053" s="2" t="n">
        <v>5</v>
      </c>
      <c r="T1053" s="2" t="n">
        <v>1</v>
      </c>
      <c r="U1053" s="2" t="n">
        <v>2</v>
      </c>
      <c r="V1053" s="2" t="n">
        <v>3</v>
      </c>
      <c r="W1053" s="2" t="n">
        <v>4</v>
      </c>
      <c r="X1053" s="2" t="n">
        <v>3</v>
      </c>
      <c r="Y1053" s="2" t="n">
        <v>2</v>
      </c>
      <c r="Z1053" s="2" t="n">
        <v>3</v>
      </c>
    </row>
    <row r="1054" customFormat="false" ht="15" hidden="false" customHeight="true" outlineLevel="0" collapsed="false">
      <c r="A1054" s="2" t="n">
        <v>58</v>
      </c>
      <c r="B1054" s="2" t="s">
        <v>26</v>
      </c>
      <c r="C1054" s="2" t="s">
        <v>34</v>
      </c>
      <c r="D1054" s="2" t="s">
        <v>35</v>
      </c>
      <c r="E1054" s="2" t="n">
        <v>10</v>
      </c>
      <c r="F1054" s="2" t="n">
        <v>4</v>
      </c>
      <c r="G1054" s="2" t="s">
        <v>51</v>
      </c>
      <c r="H1054" s="2" t="n">
        <v>1053</v>
      </c>
      <c r="I1054" s="2" t="s">
        <v>30</v>
      </c>
      <c r="J1054" s="2" t="n">
        <v>1</v>
      </c>
      <c r="K1054" s="2" t="s">
        <v>48</v>
      </c>
      <c r="L1054" s="2" t="s">
        <v>32</v>
      </c>
      <c r="M1054" s="2" t="n">
        <v>29360</v>
      </c>
      <c r="N1054" s="2" t="n">
        <v>2</v>
      </c>
      <c r="O1054" s="2" t="n">
        <v>13</v>
      </c>
      <c r="P1054" s="2" t="n">
        <v>1</v>
      </c>
      <c r="Q1054" s="2" t="n">
        <v>23</v>
      </c>
      <c r="R1054" s="2" t="n">
        <v>3</v>
      </c>
      <c r="S1054" s="2" t="n">
        <v>2</v>
      </c>
      <c r="T1054" s="2" t="n">
        <v>2</v>
      </c>
      <c r="U1054" s="2" t="n">
        <v>2</v>
      </c>
      <c r="V1054" s="2" t="n">
        <v>1</v>
      </c>
      <c r="W1054" s="2" t="n">
        <v>3</v>
      </c>
      <c r="X1054" s="2" t="n">
        <v>3</v>
      </c>
      <c r="Y1054" s="2" t="n">
        <v>3</v>
      </c>
      <c r="Z1054" s="2" t="n">
        <v>3</v>
      </c>
    </row>
    <row r="1055" customFormat="false" ht="15" hidden="false" customHeight="true" outlineLevel="0" collapsed="false">
      <c r="A1055" s="2" t="n">
        <v>18</v>
      </c>
      <c r="B1055" s="2" t="s">
        <v>26</v>
      </c>
      <c r="C1055" s="2" t="s">
        <v>41</v>
      </c>
      <c r="D1055" s="2" t="s">
        <v>35</v>
      </c>
      <c r="E1055" s="2" t="n">
        <v>2</v>
      </c>
      <c r="F1055" s="2" t="n">
        <v>3</v>
      </c>
      <c r="G1055" s="2" t="s">
        <v>29</v>
      </c>
      <c r="H1055" s="2" t="n">
        <v>1054</v>
      </c>
      <c r="I1055" s="2" t="s">
        <v>39</v>
      </c>
      <c r="J1055" s="2" t="n">
        <v>3</v>
      </c>
      <c r="K1055" s="2" t="s">
        <v>48</v>
      </c>
      <c r="L1055" s="2" t="s">
        <v>37</v>
      </c>
      <c r="M1055" s="2" t="n">
        <v>186060</v>
      </c>
      <c r="N1055" s="2" t="n">
        <v>1</v>
      </c>
      <c r="O1055" s="2" t="n">
        <v>24</v>
      </c>
      <c r="P1055" s="2" t="n">
        <v>2</v>
      </c>
      <c r="Q1055" s="2" t="n">
        <v>0</v>
      </c>
      <c r="R1055" s="2" t="n">
        <v>4</v>
      </c>
      <c r="S1055" s="2" t="n">
        <v>0</v>
      </c>
      <c r="T1055" s="2" t="n">
        <v>0</v>
      </c>
      <c r="U1055" s="2" t="n">
        <v>0</v>
      </c>
      <c r="V1055" s="2" t="n">
        <v>2</v>
      </c>
      <c r="W1055" s="2" t="n">
        <v>3</v>
      </c>
      <c r="X1055" s="2" t="n">
        <v>1</v>
      </c>
      <c r="Y1055" s="2" t="n">
        <v>3</v>
      </c>
      <c r="Z1055" s="2" t="n">
        <v>4</v>
      </c>
    </row>
    <row r="1056" customFormat="false" ht="15" hidden="false" customHeight="true" outlineLevel="0" collapsed="false">
      <c r="A1056" s="2" t="n">
        <v>31</v>
      </c>
      <c r="B1056" s="2" t="s">
        <v>33</v>
      </c>
      <c r="C1056" s="2" t="s">
        <v>27</v>
      </c>
      <c r="D1056" s="2" t="s">
        <v>35</v>
      </c>
      <c r="E1056" s="2" t="n">
        <v>2</v>
      </c>
      <c r="F1056" s="2" t="n">
        <v>3</v>
      </c>
      <c r="G1056" s="2" t="s">
        <v>29</v>
      </c>
      <c r="H1056" s="2" t="n">
        <v>1055</v>
      </c>
      <c r="I1056" s="2" t="s">
        <v>39</v>
      </c>
      <c r="J1056" s="2" t="n">
        <v>3</v>
      </c>
      <c r="K1056" s="2" t="s">
        <v>45</v>
      </c>
      <c r="L1056" s="2" t="s">
        <v>32</v>
      </c>
      <c r="M1056" s="2" t="n">
        <v>21680</v>
      </c>
      <c r="N1056" s="2" t="n">
        <v>0</v>
      </c>
      <c r="O1056" s="2" t="n">
        <v>14</v>
      </c>
      <c r="P1056" s="2" t="n">
        <v>1</v>
      </c>
      <c r="Q1056" s="2" t="n">
        <v>2</v>
      </c>
      <c r="R1056" s="2" t="n">
        <v>2</v>
      </c>
      <c r="S1056" s="2" t="n">
        <v>1</v>
      </c>
      <c r="T1056" s="2" t="n">
        <v>0</v>
      </c>
      <c r="U1056" s="2" t="n">
        <v>0</v>
      </c>
      <c r="V1056" s="2" t="n">
        <v>4</v>
      </c>
      <c r="W1056" s="2" t="n">
        <v>1</v>
      </c>
      <c r="X1056" s="2" t="n">
        <v>3</v>
      </c>
      <c r="Y1056" s="2" t="n">
        <v>3</v>
      </c>
      <c r="Z1056" s="2" t="n">
        <v>3</v>
      </c>
    </row>
    <row r="1057" customFormat="false" ht="15" hidden="false" customHeight="true" outlineLevel="0" collapsed="false">
      <c r="A1057" s="2" t="n">
        <v>29</v>
      </c>
      <c r="B1057" s="2" t="s">
        <v>33</v>
      </c>
      <c r="C1057" s="2" t="s">
        <v>27</v>
      </c>
      <c r="D1057" s="2" t="s">
        <v>35</v>
      </c>
      <c r="E1057" s="2" t="n">
        <v>8</v>
      </c>
      <c r="F1057" s="2" t="n">
        <v>2</v>
      </c>
      <c r="G1057" s="2" t="s">
        <v>43</v>
      </c>
      <c r="H1057" s="2" t="n">
        <v>1056</v>
      </c>
      <c r="I1057" s="2" t="s">
        <v>39</v>
      </c>
      <c r="J1057" s="2" t="n">
        <v>1</v>
      </c>
      <c r="K1057" s="2" t="s">
        <v>49</v>
      </c>
      <c r="L1057" s="2" t="s">
        <v>46</v>
      </c>
      <c r="M1057" s="2" t="n">
        <v>28530</v>
      </c>
      <c r="N1057" s="2" t="n">
        <v>4</v>
      </c>
      <c r="O1057" s="2" t="n">
        <v>14</v>
      </c>
      <c r="P1057" s="2" t="n">
        <v>1</v>
      </c>
      <c r="Q1057" s="2" t="n">
        <v>4</v>
      </c>
      <c r="R1057" s="2" t="n">
        <v>5</v>
      </c>
      <c r="S1057" s="2" t="n">
        <v>2</v>
      </c>
      <c r="T1057" s="2" t="n">
        <v>2</v>
      </c>
      <c r="U1057" s="2" t="n">
        <v>0</v>
      </c>
      <c r="V1057" s="2" t="n">
        <v>1</v>
      </c>
      <c r="W1057" s="2" t="n">
        <v>1</v>
      </c>
      <c r="X1057" s="2" t="n">
        <v>3</v>
      </c>
      <c r="Y1057" s="2" t="n">
        <v>2</v>
      </c>
      <c r="Z1057" s="2" t="n">
        <v>3</v>
      </c>
    </row>
    <row r="1058" customFormat="false" ht="15" hidden="false" customHeight="true" outlineLevel="0" collapsed="false">
      <c r="A1058" s="2" t="n">
        <v>45</v>
      </c>
      <c r="B1058" s="2" t="s">
        <v>26</v>
      </c>
      <c r="C1058" s="2" t="s">
        <v>41</v>
      </c>
      <c r="D1058" s="2" t="s">
        <v>28</v>
      </c>
      <c r="E1058" s="2" t="n">
        <v>1</v>
      </c>
      <c r="F1058" s="2" t="n">
        <v>4</v>
      </c>
      <c r="G1058" s="2" t="s">
        <v>51</v>
      </c>
      <c r="H1058" s="2" t="n">
        <v>1057</v>
      </c>
      <c r="I1058" s="2" t="s">
        <v>39</v>
      </c>
      <c r="J1058" s="2" t="n">
        <v>1</v>
      </c>
      <c r="K1058" s="2" t="s">
        <v>36</v>
      </c>
      <c r="L1058" s="2" t="s">
        <v>32</v>
      </c>
      <c r="M1058" s="2" t="n">
        <v>170480</v>
      </c>
      <c r="N1058" s="2" t="n">
        <v>4</v>
      </c>
      <c r="O1058" s="2" t="n">
        <v>15</v>
      </c>
      <c r="P1058" s="2" t="n">
        <v>0</v>
      </c>
      <c r="Q1058" s="2" t="n">
        <v>10</v>
      </c>
      <c r="R1058" s="2" t="n">
        <v>3</v>
      </c>
      <c r="S1058" s="2" t="n">
        <v>8</v>
      </c>
      <c r="T1058" s="2" t="n">
        <v>5</v>
      </c>
      <c r="U1058" s="2" t="n">
        <v>7</v>
      </c>
      <c r="V1058" s="2" t="n">
        <v>3</v>
      </c>
      <c r="W1058" s="2" t="n">
        <v>3</v>
      </c>
      <c r="X1058" s="2" t="n">
        <v>4</v>
      </c>
      <c r="Y1058" s="2" t="n">
        <v>2</v>
      </c>
      <c r="Z1058" s="2" t="n">
        <v>3</v>
      </c>
    </row>
    <row r="1059" customFormat="false" ht="15" hidden="false" customHeight="true" outlineLevel="0" collapsed="false">
      <c r="A1059" s="2" t="n">
        <v>36</v>
      </c>
      <c r="B1059" s="2" t="s">
        <v>26</v>
      </c>
      <c r="C1059" s="2" t="s">
        <v>27</v>
      </c>
      <c r="D1059" s="2" t="s">
        <v>28</v>
      </c>
      <c r="E1059" s="2" t="n">
        <v>2</v>
      </c>
      <c r="F1059" s="2" t="n">
        <v>3</v>
      </c>
      <c r="G1059" s="2" t="s">
        <v>51</v>
      </c>
      <c r="H1059" s="2" t="n">
        <v>1058</v>
      </c>
      <c r="I1059" s="2" t="s">
        <v>30</v>
      </c>
      <c r="J1059" s="2" t="n">
        <v>5</v>
      </c>
      <c r="K1059" s="2" t="s">
        <v>45</v>
      </c>
      <c r="L1059" s="2" t="s">
        <v>32</v>
      </c>
      <c r="M1059" s="2" t="n">
        <v>22900</v>
      </c>
      <c r="N1059" s="2" t="n">
        <v>4</v>
      </c>
      <c r="O1059" s="2" t="n">
        <v>11</v>
      </c>
      <c r="P1059" s="2" t="n">
        <v>0</v>
      </c>
      <c r="Q1059" s="2" t="n">
        <v>15</v>
      </c>
      <c r="R1059" s="2" t="n">
        <v>5</v>
      </c>
      <c r="S1059" s="2" t="n">
        <v>1</v>
      </c>
      <c r="T1059" s="2" t="n">
        <v>0</v>
      </c>
      <c r="U1059" s="2" t="n">
        <v>0</v>
      </c>
      <c r="V1059" s="2" t="n">
        <v>4</v>
      </c>
      <c r="W1059" s="2" t="n">
        <v>2</v>
      </c>
      <c r="X1059" s="2" t="n">
        <v>3</v>
      </c>
      <c r="Y1059" s="2" t="n">
        <v>3</v>
      </c>
      <c r="Z1059" s="2" t="n">
        <v>3</v>
      </c>
    </row>
    <row r="1060" customFormat="false" ht="15" hidden="false" customHeight="true" outlineLevel="0" collapsed="false">
      <c r="A1060" s="2" t="n">
        <v>43</v>
      </c>
      <c r="B1060" s="2" t="s">
        <v>26</v>
      </c>
      <c r="C1060" s="2" t="s">
        <v>34</v>
      </c>
      <c r="D1060" s="2" t="s">
        <v>28</v>
      </c>
      <c r="E1060" s="2" t="n">
        <v>8</v>
      </c>
      <c r="F1060" s="2" t="n">
        <v>3</v>
      </c>
      <c r="G1060" s="2" t="s">
        <v>43</v>
      </c>
      <c r="H1060" s="2" t="n">
        <v>1059</v>
      </c>
      <c r="I1060" s="2" t="s">
        <v>39</v>
      </c>
      <c r="J1060" s="2" t="n">
        <v>1</v>
      </c>
      <c r="K1060" s="2" t="s">
        <v>44</v>
      </c>
      <c r="L1060" s="2" t="s">
        <v>32</v>
      </c>
      <c r="M1060" s="2" t="n">
        <v>36000</v>
      </c>
      <c r="N1060" s="2" t="n">
        <v>1</v>
      </c>
      <c r="O1060" s="2" t="n">
        <v>23</v>
      </c>
      <c r="P1060" s="2" t="n">
        <v>0</v>
      </c>
      <c r="Q1060" s="2" t="n">
        <v>7</v>
      </c>
      <c r="R1060" s="2" t="n">
        <v>2</v>
      </c>
      <c r="S1060" s="2" t="n">
        <v>7</v>
      </c>
      <c r="T1060" s="2" t="n">
        <v>7</v>
      </c>
      <c r="U1060" s="2" t="n">
        <v>7</v>
      </c>
      <c r="V1060" s="2" t="n">
        <v>1</v>
      </c>
      <c r="W1060" s="2" t="n">
        <v>4</v>
      </c>
      <c r="X1060" s="2" t="n">
        <v>3</v>
      </c>
      <c r="Y1060" s="2" t="n">
        <v>3</v>
      </c>
      <c r="Z1060" s="2" t="n">
        <v>4</v>
      </c>
    </row>
    <row r="1061" customFormat="false" ht="15" hidden="false" customHeight="true" outlineLevel="0" collapsed="false">
      <c r="A1061" s="2" t="n">
        <v>27</v>
      </c>
      <c r="B1061" s="2" t="s">
        <v>26</v>
      </c>
      <c r="C1061" s="2" t="s">
        <v>34</v>
      </c>
      <c r="D1061" s="2" t="s">
        <v>28</v>
      </c>
      <c r="E1061" s="2" t="n">
        <v>8</v>
      </c>
      <c r="F1061" s="2" t="n">
        <v>4</v>
      </c>
      <c r="G1061" s="2" t="s">
        <v>29</v>
      </c>
      <c r="H1061" s="2" t="n">
        <v>1060</v>
      </c>
      <c r="I1061" s="2" t="s">
        <v>39</v>
      </c>
      <c r="J1061" s="2" t="n">
        <v>5</v>
      </c>
      <c r="K1061" s="2" t="s">
        <v>36</v>
      </c>
      <c r="L1061" s="2" t="s">
        <v>37</v>
      </c>
      <c r="M1061" s="2" t="n">
        <v>21070</v>
      </c>
      <c r="N1061" s="2" t="n">
        <v>0</v>
      </c>
      <c r="O1061" s="2" t="n">
        <v>13</v>
      </c>
      <c r="P1061" s="2" t="n">
        <v>0</v>
      </c>
      <c r="Q1061" s="2" t="n">
        <v>6</v>
      </c>
      <c r="R1061" s="2" t="n">
        <v>2</v>
      </c>
      <c r="S1061" s="2" t="n">
        <v>5</v>
      </c>
      <c r="T1061" s="2" t="n">
        <v>0</v>
      </c>
      <c r="U1061" s="2" t="n">
        <v>2</v>
      </c>
      <c r="V1061" s="2" t="n">
        <v>4</v>
      </c>
      <c r="W1061" s="2" t="n">
        <v>4</v>
      </c>
      <c r="X1061" s="2" t="n">
        <v>2</v>
      </c>
      <c r="Y1061" s="2" t="n">
        <v>3</v>
      </c>
      <c r="Z1061" s="2" t="n">
        <v>3</v>
      </c>
    </row>
    <row r="1062" customFormat="false" ht="15" hidden="false" customHeight="true" outlineLevel="0" collapsed="false">
      <c r="A1062" s="2" t="n">
        <v>29</v>
      </c>
      <c r="B1062" s="2" t="s">
        <v>26</v>
      </c>
      <c r="C1062" s="2" t="s">
        <v>34</v>
      </c>
      <c r="D1062" s="2" t="s">
        <v>35</v>
      </c>
      <c r="E1062" s="2" t="n">
        <v>6</v>
      </c>
      <c r="F1062" s="2" t="n">
        <v>2</v>
      </c>
      <c r="G1062" s="2" t="s">
        <v>43</v>
      </c>
      <c r="H1062" s="2" t="n">
        <v>1061</v>
      </c>
      <c r="I1062" s="2" t="s">
        <v>39</v>
      </c>
      <c r="J1062" s="2" t="n">
        <v>1</v>
      </c>
      <c r="K1062" s="2" t="s">
        <v>42</v>
      </c>
      <c r="L1062" s="2" t="s">
        <v>32</v>
      </c>
      <c r="M1062" s="2" t="n">
        <v>41150</v>
      </c>
      <c r="N1062" s="2" t="n">
        <v>1</v>
      </c>
      <c r="O1062" s="2" t="n">
        <v>11</v>
      </c>
      <c r="P1062" s="2" t="n">
        <v>0</v>
      </c>
      <c r="Q1062" s="2" t="n">
        <v>11</v>
      </c>
      <c r="R1062" s="2" t="n">
        <v>1</v>
      </c>
      <c r="S1062" s="2" t="n">
        <v>11</v>
      </c>
      <c r="T1062" s="2" t="n">
        <v>3</v>
      </c>
      <c r="U1062" s="2" t="n">
        <v>10</v>
      </c>
      <c r="V1062" s="2" t="n">
        <v>4</v>
      </c>
      <c r="W1062" s="2" t="n">
        <v>4</v>
      </c>
      <c r="X1062" s="2" t="n">
        <v>4</v>
      </c>
      <c r="Y1062" s="2" t="n">
        <v>3</v>
      </c>
      <c r="Z1062" s="2" t="n">
        <v>3</v>
      </c>
    </row>
    <row r="1063" customFormat="false" ht="15" hidden="false" customHeight="true" outlineLevel="0" collapsed="false">
      <c r="A1063" s="2" t="n">
        <v>32</v>
      </c>
      <c r="B1063" s="2" t="s">
        <v>26</v>
      </c>
      <c r="C1063" s="2" t="s">
        <v>34</v>
      </c>
      <c r="D1063" s="2" t="s">
        <v>28</v>
      </c>
      <c r="E1063" s="2" t="n">
        <v>9</v>
      </c>
      <c r="F1063" s="2" t="n">
        <v>4</v>
      </c>
      <c r="G1063" s="2" t="s">
        <v>29</v>
      </c>
      <c r="H1063" s="2" t="n">
        <v>1062</v>
      </c>
      <c r="I1063" s="2" t="s">
        <v>39</v>
      </c>
      <c r="J1063" s="2" t="n">
        <v>4</v>
      </c>
      <c r="K1063" s="2" t="s">
        <v>40</v>
      </c>
      <c r="L1063" s="2" t="s">
        <v>37</v>
      </c>
      <c r="M1063" s="2" t="n">
        <v>43270</v>
      </c>
      <c r="N1063" s="2" t="n">
        <v>8</v>
      </c>
      <c r="O1063" s="2" t="n">
        <v>13</v>
      </c>
      <c r="P1063" s="2" t="n">
        <v>0</v>
      </c>
      <c r="Q1063" s="2" t="n">
        <v>4</v>
      </c>
      <c r="R1063" s="2" t="n">
        <v>4</v>
      </c>
      <c r="S1063" s="2" t="n">
        <v>0</v>
      </c>
      <c r="T1063" s="2" t="n">
        <v>0</v>
      </c>
      <c r="U1063" s="2" t="n">
        <v>0</v>
      </c>
      <c r="V1063" s="2" t="n">
        <v>4</v>
      </c>
      <c r="W1063" s="2" t="n">
        <v>4</v>
      </c>
      <c r="X1063" s="2" t="n">
        <v>4</v>
      </c>
      <c r="Y1063" s="2" t="n">
        <v>3</v>
      </c>
      <c r="Z1063" s="2" t="n">
        <v>3</v>
      </c>
    </row>
    <row r="1064" customFormat="false" ht="15" hidden="false" customHeight="true" outlineLevel="0" collapsed="false">
      <c r="A1064" s="2" t="n">
        <v>42</v>
      </c>
      <c r="B1064" s="2" t="s">
        <v>26</v>
      </c>
      <c r="C1064" s="2" t="s">
        <v>41</v>
      </c>
      <c r="D1064" s="2" t="s">
        <v>35</v>
      </c>
      <c r="E1064" s="2" t="n">
        <v>11</v>
      </c>
      <c r="F1064" s="2" t="n">
        <v>3</v>
      </c>
      <c r="G1064" s="2" t="s">
        <v>43</v>
      </c>
      <c r="H1064" s="2" t="n">
        <v>1063</v>
      </c>
      <c r="I1064" s="2" t="s">
        <v>39</v>
      </c>
      <c r="J1064" s="2" t="n">
        <v>1</v>
      </c>
      <c r="K1064" s="2" t="s">
        <v>49</v>
      </c>
      <c r="L1064" s="2" t="s">
        <v>32</v>
      </c>
      <c r="M1064" s="2" t="n">
        <v>178560</v>
      </c>
      <c r="N1064" s="2" t="n">
        <v>3</v>
      </c>
      <c r="O1064" s="2" t="n">
        <v>18</v>
      </c>
      <c r="P1064" s="2" t="n">
        <v>0</v>
      </c>
      <c r="Q1064" s="2" t="n">
        <v>10</v>
      </c>
      <c r="R1064" s="2" t="n">
        <v>2</v>
      </c>
      <c r="S1064" s="2" t="n">
        <v>6</v>
      </c>
      <c r="T1064" s="2" t="n">
        <v>3</v>
      </c>
      <c r="U1064" s="2" t="n">
        <v>3</v>
      </c>
      <c r="V1064" s="2" t="n">
        <v>3</v>
      </c>
      <c r="W1064" s="2" t="n">
        <v>3</v>
      </c>
      <c r="X1064" s="2" t="n">
        <v>2</v>
      </c>
      <c r="Y1064" s="2" t="n">
        <v>3</v>
      </c>
      <c r="Z1064" s="2" t="n">
        <v>3</v>
      </c>
    </row>
    <row r="1065" customFormat="false" ht="15" hidden="false" customHeight="true" outlineLevel="0" collapsed="false">
      <c r="A1065" s="2" t="n">
        <v>47</v>
      </c>
      <c r="B1065" s="2" t="s">
        <v>26</v>
      </c>
      <c r="C1065" s="2" t="s">
        <v>27</v>
      </c>
      <c r="D1065" s="2" t="s">
        <v>28</v>
      </c>
      <c r="E1065" s="2" t="n">
        <v>2</v>
      </c>
      <c r="F1065" s="2" t="n">
        <v>2</v>
      </c>
      <c r="G1065" s="2" t="s">
        <v>29</v>
      </c>
      <c r="H1065" s="2" t="n">
        <v>1064</v>
      </c>
      <c r="I1065" s="2" t="s">
        <v>30</v>
      </c>
      <c r="J1065" s="2" t="n">
        <v>5</v>
      </c>
      <c r="K1065" s="2" t="s">
        <v>49</v>
      </c>
      <c r="L1065" s="2" t="s">
        <v>37</v>
      </c>
      <c r="M1065" s="2" t="n">
        <v>31960</v>
      </c>
      <c r="N1065" s="2" t="n">
        <v>4</v>
      </c>
      <c r="O1065" s="2" t="n">
        <v>14</v>
      </c>
      <c r="P1065" s="2" t="n">
        <v>1</v>
      </c>
      <c r="Q1065" s="2" t="n">
        <v>7</v>
      </c>
      <c r="R1065" s="2" t="n">
        <v>3</v>
      </c>
      <c r="S1065" s="2" t="n">
        <v>2</v>
      </c>
      <c r="T1065" s="2" t="n">
        <v>2</v>
      </c>
      <c r="U1065" s="2" t="n">
        <v>0</v>
      </c>
      <c r="V1065" s="2" t="n">
        <v>2</v>
      </c>
      <c r="W1065" s="2" t="n">
        <v>3</v>
      </c>
      <c r="X1065" s="2" t="n">
        <v>3</v>
      </c>
      <c r="Y1065" s="2" t="n">
        <v>2</v>
      </c>
      <c r="Z1065" s="2" t="n">
        <v>3</v>
      </c>
    </row>
    <row r="1066" customFormat="false" ht="15" hidden="false" customHeight="true" outlineLevel="0" collapsed="false">
      <c r="A1066" s="2" t="n">
        <v>46</v>
      </c>
      <c r="B1066" s="2" t="s">
        <v>26</v>
      </c>
      <c r="C1066" s="2" t="s">
        <v>27</v>
      </c>
      <c r="D1066" s="2" t="s">
        <v>42</v>
      </c>
      <c r="E1066" s="2" t="n">
        <v>1</v>
      </c>
      <c r="F1066" s="2" t="n">
        <v>3</v>
      </c>
      <c r="G1066" s="2" t="s">
        <v>29</v>
      </c>
      <c r="H1066" s="2" t="n">
        <v>1065</v>
      </c>
      <c r="I1066" s="2" t="s">
        <v>30</v>
      </c>
      <c r="J1066" s="2" t="n">
        <v>1</v>
      </c>
      <c r="K1066" s="2" t="s">
        <v>45</v>
      </c>
      <c r="L1066" s="2" t="s">
        <v>46</v>
      </c>
      <c r="M1066" s="2" t="n">
        <v>190810</v>
      </c>
      <c r="N1066" s="2" t="n">
        <v>3</v>
      </c>
      <c r="O1066" s="2" t="n">
        <v>21</v>
      </c>
      <c r="P1066" s="2" t="n">
        <v>0</v>
      </c>
      <c r="Q1066" s="2" t="n">
        <v>12</v>
      </c>
      <c r="R1066" s="2" t="n">
        <v>2</v>
      </c>
      <c r="S1066" s="2" t="n">
        <v>9</v>
      </c>
      <c r="T1066" s="2" t="n">
        <v>4</v>
      </c>
      <c r="U1066" s="2" t="n">
        <v>7</v>
      </c>
      <c r="V1066" s="2" t="n">
        <v>4</v>
      </c>
      <c r="W1066" s="2" t="n">
        <v>4</v>
      </c>
      <c r="X1066" s="2" t="n">
        <v>2</v>
      </c>
      <c r="Y1066" s="2" t="n">
        <v>3</v>
      </c>
      <c r="Z1066" s="2" t="n">
        <v>4</v>
      </c>
    </row>
    <row r="1067" customFormat="false" ht="15" hidden="false" customHeight="true" outlineLevel="0" collapsed="false">
      <c r="A1067" s="2" t="n">
        <v>28</v>
      </c>
      <c r="B1067" s="2" t="s">
        <v>26</v>
      </c>
      <c r="C1067" s="2" t="s">
        <v>41</v>
      </c>
      <c r="D1067" s="2" t="s">
        <v>35</v>
      </c>
      <c r="E1067" s="2" t="n">
        <v>7</v>
      </c>
      <c r="F1067" s="2" t="n">
        <v>3</v>
      </c>
      <c r="G1067" s="2" t="s">
        <v>29</v>
      </c>
      <c r="H1067" s="2" t="n">
        <v>1066</v>
      </c>
      <c r="I1067" s="2" t="s">
        <v>39</v>
      </c>
      <c r="J1067" s="2" t="n">
        <v>1</v>
      </c>
      <c r="K1067" s="2" t="s">
        <v>40</v>
      </c>
      <c r="L1067" s="2" t="s">
        <v>46</v>
      </c>
      <c r="M1067" s="2" t="n">
        <v>89660</v>
      </c>
      <c r="N1067" s="2" t="n">
        <v>1</v>
      </c>
      <c r="O1067" s="2" t="n">
        <v>16</v>
      </c>
      <c r="P1067" s="2" t="n">
        <v>1</v>
      </c>
      <c r="Q1067" s="2" t="n">
        <v>3</v>
      </c>
      <c r="R1067" s="2" t="n">
        <v>3</v>
      </c>
      <c r="S1067" s="2" t="n">
        <v>3</v>
      </c>
      <c r="T1067" s="2" t="n">
        <v>2</v>
      </c>
      <c r="U1067" s="2" t="n">
        <v>2</v>
      </c>
      <c r="V1067" s="2" t="n">
        <v>3</v>
      </c>
      <c r="W1067" s="2" t="n">
        <v>4</v>
      </c>
      <c r="X1067" s="2" t="n">
        <v>3</v>
      </c>
      <c r="Y1067" s="2" t="n">
        <v>2</v>
      </c>
      <c r="Z1067" s="2" t="n">
        <v>3</v>
      </c>
    </row>
    <row r="1068" customFormat="false" ht="15" hidden="false" customHeight="true" outlineLevel="0" collapsed="false">
      <c r="A1068" s="2" t="n">
        <v>29</v>
      </c>
      <c r="B1068" s="2" t="s">
        <v>26</v>
      </c>
      <c r="C1068" s="2" t="s">
        <v>27</v>
      </c>
      <c r="D1068" s="2" t="s">
        <v>35</v>
      </c>
      <c r="E1068" s="2" t="n">
        <v>16</v>
      </c>
      <c r="F1068" s="2" t="n">
        <v>3</v>
      </c>
      <c r="G1068" s="2" t="s">
        <v>43</v>
      </c>
      <c r="H1068" s="2" t="n">
        <v>1067</v>
      </c>
      <c r="I1068" s="2" t="s">
        <v>30</v>
      </c>
      <c r="J1068" s="2" t="n">
        <v>1</v>
      </c>
      <c r="K1068" s="2" t="s">
        <v>47</v>
      </c>
      <c r="L1068" s="2" t="s">
        <v>46</v>
      </c>
      <c r="M1068" s="2" t="n">
        <v>22100</v>
      </c>
      <c r="N1068" s="2" t="n">
        <v>8</v>
      </c>
      <c r="O1068" s="2" t="n">
        <v>11</v>
      </c>
      <c r="P1068" s="2" t="n">
        <v>1</v>
      </c>
      <c r="Q1068" s="2" t="n">
        <v>11</v>
      </c>
      <c r="R1068" s="2" t="n">
        <v>4</v>
      </c>
      <c r="S1068" s="2" t="n">
        <v>7</v>
      </c>
      <c r="T1068" s="2" t="n">
        <v>1</v>
      </c>
      <c r="U1068" s="2" t="n">
        <v>6</v>
      </c>
      <c r="V1068" s="2" t="n">
        <v>4</v>
      </c>
      <c r="W1068" s="2" t="n">
        <v>3</v>
      </c>
      <c r="X1068" s="2" t="n">
        <v>3</v>
      </c>
      <c r="Y1068" s="2" t="n">
        <v>3</v>
      </c>
      <c r="Z1068" s="2" t="n">
        <v>3</v>
      </c>
    </row>
    <row r="1069" customFormat="false" ht="15" hidden="false" customHeight="true" outlineLevel="0" collapsed="false">
      <c r="A1069" s="2" t="n">
        <v>42</v>
      </c>
      <c r="B1069" s="2" t="s">
        <v>26</v>
      </c>
      <c r="C1069" s="2" t="s">
        <v>27</v>
      </c>
      <c r="D1069" s="2" t="s">
        <v>28</v>
      </c>
      <c r="E1069" s="2" t="n">
        <v>2</v>
      </c>
      <c r="F1069" s="2" t="n">
        <v>4</v>
      </c>
      <c r="G1069" s="2" t="s">
        <v>43</v>
      </c>
      <c r="H1069" s="2" t="n">
        <v>1068</v>
      </c>
      <c r="I1069" s="2" t="s">
        <v>30</v>
      </c>
      <c r="J1069" s="2" t="n">
        <v>2</v>
      </c>
      <c r="K1069" s="2" t="s">
        <v>44</v>
      </c>
      <c r="L1069" s="2" t="s">
        <v>37</v>
      </c>
      <c r="M1069" s="2" t="n">
        <v>45390</v>
      </c>
      <c r="N1069" s="2" t="n">
        <v>4</v>
      </c>
      <c r="O1069" s="2" t="n">
        <v>17</v>
      </c>
      <c r="P1069" s="2" t="n">
        <v>1</v>
      </c>
      <c r="Q1069" s="2" t="n">
        <v>8</v>
      </c>
      <c r="R1069" s="2" t="n">
        <v>5</v>
      </c>
      <c r="S1069" s="2" t="n">
        <v>0</v>
      </c>
      <c r="T1069" s="2" t="n">
        <v>0</v>
      </c>
      <c r="U1069" s="2" t="n">
        <v>0</v>
      </c>
      <c r="V1069" s="2" t="n">
        <v>4</v>
      </c>
      <c r="W1069" s="2" t="n">
        <v>3</v>
      </c>
      <c r="X1069" s="2" t="n">
        <v>3</v>
      </c>
      <c r="Y1069" s="2" t="n">
        <v>3</v>
      </c>
      <c r="Z1069" s="2" t="n">
        <v>3</v>
      </c>
    </row>
    <row r="1070" customFormat="false" ht="15" hidden="false" customHeight="true" outlineLevel="0" collapsed="false">
      <c r="A1070" s="2" t="n">
        <v>32</v>
      </c>
      <c r="B1070" s="2" t="s">
        <v>33</v>
      </c>
      <c r="C1070" s="2" t="s">
        <v>27</v>
      </c>
      <c r="D1070" s="2" t="s">
        <v>35</v>
      </c>
      <c r="E1070" s="2" t="n">
        <v>1</v>
      </c>
      <c r="F1070" s="2" t="n">
        <v>1</v>
      </c>
      <c r="G1070" s="2" t="s">
        <v>43</v>
      </c>
      <c r="H1070" s="2" t="n">
        <v>1069</v>
      </c>
      <c r="I1070" s="2" t="s">
        <v>39</v>
      </c>
      <c r="J1070" s="2" t="n">
        <v>2</v>
      </c>
      <c r="K1070" s="2" t="s">
        <v>45</v>
      </c>
      <c r="L1070" s="2" t="s">
        <v>37</v>
      </c>
      <c r="M1070" s="2" t="n">
        <v>27410</v>
      </c>
      <c r="N1070" s="2" t="n">
        <v>7</v>
      </c>
      <c r="O1070" s="2" t="n">
        <v>11</v>
      </c>
      <c r="P1070" s="2" t="n">
        <v>0</v>
      </c>
      <c r="Q1070" s="2" t="n">
        <v>7</v>
      </c>
      <c r="R1070" s="2" t="n">
        <v>3</v>
      </c>
      <c r="S1070" s="2" t="n">
        <v>2</v>
      </c>
      <c r="T1070" s="2" t="n">
        <v>2</v>
      </c>
      <c r="U1070" s="2" t="n">
        <v>2</v>
      </c>
      <c r="V1070" s="2" t="n">
        <v>3</v>
      </c>
      <c r="W1070" s="2" t="n">
        <v>2</v>
      </c>
      <c r="X1070" s="2" t="n">
        <v>2</v>
      </c>
      <c r="Y1070" s="2" t="n">
        <v>3</v>
      </c>
      <c r="Z1070" s="2" t="n">
        <v>3</v>
      </c>
    </row>
    <row r="1071" customFormat="false" ht="15" hidden="false" customHeight="true" outlineLevel="0" collapsed="false">
      <c r="A1071" s="2" t="n">
        <v>46</v>
      </c>
      <c r="B1071" s="2" t="s">
        <v>26</v>
      </c>
      <c r="C1071" s="2" t="s">
        <v>27</v>
      </c>
      <c r="D1071" s="2" t="s">
        <v>35</v>
      </c>
      <c r="E1071" s="2" t="n">
        <v>23</v>
      </c>
      <c r="F1071" s="2" t="n">
        <v>1</v>
      </c>
      <c r="G1071" s="2" t="s">
        <v>29</v>
      </c>
      <c r="H1071" s="2" t="n">
        <v>1070</v>
      </c>
      <c r="I1071" s="2" t="s">
        <v>39</v>
      </c>
      <c r="J1071" s="2" t="n">
        <v>2</v>
      </c>
      <c r="K1071" s="2" t="s">
        <v>45</v>
      </c>
      <c r="L1071" s="2" t="s">
        <v>46</v>
      </c>
      <c r="M1071" s="2" t="n">
        <v>34910</v>
      </c>
      <c r="N1071" s="2" t="n">
        <v>2</v>
      </c>
      <c r="O1071" s="2" t="n">
        <v>14</v>
      </c>
      <c r="P1071" s="2" t="n">
        <v>0</v>
      </c>
      <c r="Q1071" s="2" t="n">
        <v>25</v>
      </c>
      <c r="R1071" s="2" t="n">
        <v>0</v>
      </c>
      <c r="S1071" s="2" t="n">
        <v>19</v>
      </c>
      <c r="T1071" s="2" t="n">
        <v>2</v>
      </c>
      <c r="U1071" s="2" t="n">
        <v>8</v>
      </c>
      <c r="V1071" s="2" t="n">
        <v>1</v>
      </c>
      <c r="W1071" s="2" t="n">
        <v>1</v>
      </c>
      <c r="X1071" s="2" t="n">
        <v>3</v>
      </c>
      <c r="Y1071" s="2" t="n">
        <v>3</v>
      </c>
      <c r="Z1071" s="2" t="n">
        <v>3</v>
      </c>
    </row>
    <row r="1072" customFormat="false" ht="15" hidden="false" customHeight="true" outlineLevel="0" collapsed="false">
      <c r="A1072" s="2" t="n">
        <v>27</v>
      </c>
      <c r="B1072" s="2" t="s">
        <v>26</v>
      </c>
      <c r="C1072" s="2" t="s">
        <v>27</v>
      </c>
      <c r="D1072" s="2" t="s">
        <v>28</v>
      </c>
      <c r="E1072" s="2" t="n">
        <v>2</v>
      </c>
      <c r="F1072" s="2" t="n">
        <v>3</v>
      </c>
      <c r="G1072" s="2" t="s">
        <v>29</v>
      </c>
      <c r="H1072" s="2" t="n">
        <v>1071</v>
      </c>
      <c r="I1072" s="2" t="s">
        <v>30</v>
      </c>
      <c r="J1072" s="2" t="n">
        <v>5</v>
      </c>
      <c r="K1072" s="2" t="s">
        <v>36</v>
      </c>
      <c r="L1072" s="2" t="s">
        <v>32</v>
      </c>
      <c r="M1072" s="2" t="n">
        <v>45410</v>
      </c>
      <c r="N1072" s="2" t="n">
        <v>1</v>
      </c>
      <c r="O1072" s="2" t="n">
        <v>14</v>
      </c>
      <c r="P1072" s="2" t="n">
        <v>2</v>
      </c>
      <c r="Q1072" s="2" t="n">
        <v>9</v>
      </c>
      <c r="R1072" s="2" t="n">
        <v>4</v>
      </c>
      <c r="S1072" s="2" t="n">
        <v>9</v>
      </c>
      <c r="T1072" s="2" t="n">
        <v>5</v>
      </c>
      <c r="U1072" s="2" t="n">
        <v>8</v>
      </c>
      <c r="V1072" s="2" t="n">
        <v>2</v>
      </c>
      <c r="W1072" s="2" t="n">
        <v>3</v>
      </c>
      <c r="X1072" s="2" t="n">
        <v>3</v>
      </c>
      <c r="Y1072" s="2" t="n">
        <v>4</v>
      </c>
      <c r="Z1072" s="2" t="n">
        <v>3</v>
      </c>
    </row>
    <row r="1073" customFormat="false" ht="15" hidden="false" customHeight="true" outlineLevel="0" collapsed="false">
      <c r="A1073" s="2" t="n">
        <v>29</v>
      </c>
      <c r="B1073" s="2" t="s">
        <v>26</v>
      </c>
      <c r="C1073" s="2" t="s">
        <v>27</v>
      </c>
      <c r="D1073" s="2" t="s">
        <v>35</v>
      </c>
      <c r="E1073" s="2" t="n">
        <v>1</v>
      </c>
      <c r="F1073" s="2" t="n">
        <v>2</v>
      </c>
      <c r="G1073" s="2" t="s">
        <v>43</v>
      </c>
      <c r="H1073" s="2" t="n">
        <v>1072</v>
      </c>
      <c r="I1073" s="2" t="s">
        <v>39</v>
      </c>
      <c r="J1073" s="2" t="n">
        <v>3</v>
      </c>
      <c r="K1073" s="2" t="s">
        <v>40</v>
      </c>
      <c r="L1073" s="2" t="s">
        <v>32</v>
      </c>
      <c r="M1073" s="2" t="n">
        <v>26780</v>
      </c>
      <c r="N1073" s="2" t="n">
        <v>1</v>
      </c>
      <c r="O1073" s="2" t="n">
        <v>25</v>
      </c>
      <c r="P1073" s="2" t="n">
        <v>1</v>
      </c>
      <c r="Q1073" s="2" t="n">
        <v>1</v>
      </c>
      <c r="R1073" s="2" t="n">
        <v>3</v>
      </c>
      <c r="S1073" s="2" t="n">
        <v>1</v>
      </c>
      <c r="T1073" s="2" t="n">
        <v>0</v>
      </c>
      <c r="U1073" s="2" t="n">
        <v>0</v>
      </c>
      <c r="V1073" s="2" t="n">
        <v>4</v>
      </c>
      <c r="W1073" s="2" t="n">
        <v>2</v>
      </c>
      <c r="X1073" s="2" t="n">
        <v>3</v>
      </c>
      <c r="Y1073" s="2" t="n">
        <v>3</v>
      </c>
      <c r="Z1073" s="2" t="n">
        <v>4</v>
      </c>
    </row>
    <row r="1074" customFormat="false" ht="15" hidden="false" customHeight="true" outlineLevel="0" collapsed="false">
      <c r="A1074" s="2" t="n">
        <v>43</v>
      </c>
      <c r="B1074" s="2" t="s">
        <v>26</v>
      </c>
      <c r="C1074" s="2" t="s">
        <v>27</v>
      </c>
      <c r="D1074" s="2" t="s">
        <v>35</v>
      </c>
      <c r="E1074" s="2" t="n">
        <v>1</v>
      </c>
      <c r="F1074" s="2" t="n">
        <v>3</v>
      </c>
      <c r="G1074" s="2" t="s">
        <v>29</v>
      </c>
      <c r="H1074" s="2" t="n">
        <v>1073</v>
      </c>
      <c r="I1074" s="2" t="s">
        <v>39</v>
      </c>
      <c r="J1074" s="2" t="n">
        <v>1</v>
      </c>
      <c r="K1074" s="2" t="s">
        <v>47</v>
      </c>
      <c r="L1074" s="2" t="s">
        <v>32</v>
      </c>
      <c r="M1074" s="2" t="n">
        <v>73790</v>
      </c>
      <c r="N1074" s="2" t="n">
        <v>7</v>
      </c>
      <c r="O1074" s="2" t="n">
        <v>13</v>
      </c>
      <c r="P1074" s="2" t="n">
        <v>2</v>
      </c>
      <c r="Q1074" s="2" t="n">
        <v>21</v>
      </c>
      <c r="R1074" s="2" t="n">
        <v>3</v>
      </c>
      <c r="S1074" s="2" t="n">
        <v>16</v>
      </c>
      <c r="T1074" s="2" t="n">
        <v>6</v>
      </c>
      <c r="U1074" s="2" t="n">
        <v>14</v>
      </c>
      <c r="V1074" s="2" t="n">
        <v>1</v>
      </c>
      <c r="W1074" s="2" t="n">
        <v>3</v>
      </c>
      <c r="X1074" s="2" t="n">
        <v>3</v>
      </c>
      <c r="Y1074" s="2" t="n">
        <v>2</v>
      </c>
      <c r="Z1074" s="2" t="n">
        <v>3</v>
      </c>
    </row>
    <row r="1075" customFormat="false" ht="15" hidden="false" customHeight="true" outlineLevel="0" collapsed="false">
      <c r="A1075" s="2" t="n">
        <v>48</v>
      </c>
      <c r="B1075" s="2" t="s">
        <v>26</v>
      </c>
      <c r="C1075" s="2" t="s">
        <v>27</v>
      </c>
      <c r="D1075" s="2" t="s">
        <v>35</v>
      </c>
      <c r="E1075" s="2" t="n">
        <v>2</v>
      </c>
      <c r="F1075" s="2" t="n">
        <v>3</v>
      </c>
      <c r="G1075" s="2" t="s">
        <v>29</v>
      </c>
      <c r="H1075" s="2" t="n">
        <v>1074</v>
      </c>
      <c r="I1075" s="2" t="s">
        <v>30</v>
      </c>
      <c r="J1075" s="2" t="n">
        <v>2</v>
      </c>
      <c r="K1075" s="2" t="s">
        <v>49</v>
      </c>
      <c r="L1075" s="2" t="s">
        <v>32</v>
      </c>
      <c r="M1075" s="2" t="n">
        <v>62720</v>
      </c>
      <c r="N1075" s="2" t="n">
        <v>4</v>
      </c>
      <c r="O1075" s="2" t="n">
        <v>14</v>
      </c>
      <c r="P1075" s="2" t="n">
        <v>0</v>
      </c>
      <c r="Q1075" s="2" t="n">
        <v>29</v>
      </c>
      <c r="R1075" s="2" t="n">
        <v>3</v>
      </c>
      <c r="S1075" s="2" t="n">
        <v>22</v>
      </c>
      <c r="T1075" s="2" t="n">
        <v>12</v>
      </c>
      <c r="U1075" s="2" t="n">
        <v>9</v>
      </c>
      <c r="V1075" s="2" t="n">
        <v>4</v>
      </c>
      <c r="W1075" s="2" t="n">
        <v>2</v>
      </c>
      <c r="X1075" s="2" t="n">
        <v>3</v>
      </c>
      <c r="Y1075" s="2" t="n">
        <v>2</v>
      </c>
      <c r="Z1075" s="2" t="n">
        <v>3</v>
      </c>
    </row>
    <row r="1076" customFormat="false" ht="15" hidden="false" customHeight="true" outlineLevel="0" collapsed="false">
      <c r="A1076" s="2" t="n">
        <v>29</v>
      </c>
      <c r="B1076" s="2" t="s">
        <v>33</v>
      </c>
      <c r="C1076" s="2" t="s">
        <v>34</v>
      </c>
      <c r="D1076" s="2" t="s">
        <v>35</v>
      </c>
      <c r="E1076" s="2" t="n">
        <v>13</v>
      </c>
      <c r="F1076" s="2" t="n">
        <v>2</v>
      </c>
      <c r="G1076" s="2" t="s">
        <v>29</v>
      </c>
      <c r="H1076" s="2" t="n">
        <v>1075</v>
      </c>
      <c r="I1076" s="2" t="s">
        <v>30</v>
      </c>
      <c r="J1076" s="2" t="n">
        <v>1</v>
      </c>
      <c r="K1076" s="2" t="s">
        <v>45</v>
      </c>
      <c r="L1076" s="2" t="s">
        <v>37</v>
      </c>
      <c r="M1076" s="2" t="n">
        <v>52200</v>
      </c>
      <c r="N1076" s="2" t="n">
        <v>1</v>
      </c>
      <c r="O1076" s="2" t="n">
        <v>17</v>
      </c>
      <c r="P1076" s="2" t="n">
        <v>0</v>
      </c>
      <c r="Q1076" s="2" t="n">
        <v>1</v>
      </c>
      <c r="R1076" s="2" t="n">
        <v>3</v>
      </c>
      <c r="S1076" s="2" t="n">
        <v>1</v>
      </c>
      <c r="T1076" s="2" t="n">
        <v>1</v>
      </c>
      <c r="U1076" s="2" t="n">
        <v>0</v>
      </c>
      <c r="V1076" s="2" t="n">
        <v>4</v>
      </c>
      <c r="W1076" s="2" t="n">
        <v>4</v>
      </c>
      <c r="X1076" s="2" t="n">
        <v>2</v>
      </c>
      <c r="Y1076" s="2" t="n">
        <v>2</v>
      </c>
      <c r="Z1076" s="2" t="n">
        <v>3</v>
      </c>
    </row>
    <row r="1077" customFormat="false" ht="15" hidden="false" customHeight="true" outlineLevel="0" collapsed="false">
      <c r="A1077" s="2" t="n">
        <v>46</v>
      </c>
      <c r="B1077" s="2" t="s">
        <v>33</v>
      </c>
      <c r="C1077" s="2" t="s">
        <v>27</v>
      </c>
      <c r="D1077" s="2" t="s">
        <v>35</v>
      </c>
      <c r="E1077" s="2" t="n">
        <v>4</v>
      </c>
      <c r="F1077" s="2" t="n">
        <v>4</v>
      </c>
      <c r="G1077" s="2" t="s">
        <v>43</v>
      </c>
      <c r="H1077" s="2" t="n">
        <v>1076</v>
      </c>
      <c r="I1077" s="2" t="s">
        <v>30</v>
      </c>
      <c r="J1077" s="2" t="n">
        <v>2</v>
      </c>
      <c r="K1077" s="2" t="s">
        <v>48</v>
      </c>
      <c r="L1077" s="2" t="s">
        <v>32</v>
      </c>
      <c r="M1077" s="2" t="n">
        <v>27430</v>
      </c>
      <c r="N1077" s="2" t="n">
        <v>5</v>
      </c>
      <c r="O1077" s="2" t="n">
        <v>25</v>
      </c>
      <c r="P1077" s="2" t="n">
        <v>1</v>
      </c>
      <c r="Q1077" s="2" t="n">
        <v>14</v>
      </c>
      <c r="R1077" s="2" t="n">
        <v>1</v>
      </c>
      <c r="S1077" s="2" t="n">
        <v>8</v>
      </c>
      <c r="T1077" s="2" t="n">
        <v>0</v>
      </c>
      <c r="U1077" s="2" t="n">
        <v>7</v>
      </c>
      <c r="V1077" s="2" t="n">
        <v>3</v>
      </c>
      <c r="W1077" s="2" t="n">
        <v>2</v>
      </c>
      <c r="X1077" s="2" t="n">
        <v>3</v>
      </c>
      <c r="Y1077" s="2" t="n">
        <v>4</v>
      </c>
      <c r="Z1077" s="2" t="n">
        <v>4</v>
      </c>
    </row>
    <row r="1078" customFormat="false" ht="15" hidden="false" customHeight="true" outlineLevel="0" collapsed="false">
      <c r="A1078" s="2" t="n">
        <v>27</v>
      </c>
      <c r="B1078" s="2" t="s">
        <v>26</v>
      </c>
      <c r="C1078" s="2" t="s">
        <v>34</v>
      </c>
      <c r="D1078" s="2" t="s">
        <v>35</v>
      </c>
      <c r="E1078" s="2" t="n">
        <v>16</v>
      </c>
      <c r="F1078" s="2" t="n">
        <v>4</v>
      </c>
      <c r="G1078" s="2" t="s">
        <v>43</v>
      </c>
      <c r="H1078" s="2" t="n">
        <v>1077</v>
      </c>
      <c r="I1078" s="2" t="s">
        <v>39</v>
      </c>
      <c r="J1078" s="2" t="n">
        <v>3</v>
      </c>
      <c r="K1078" s="2" t="s">
        <v>31</v>
      </c>
      <c r="L1078" s="2" t="s">
        <v>32</v>
      </c>
      <c r="M1078" s="2" t="n">
        <v>49980</v>
      </c>
      <c r="N1078" s="2" t="n">
        <v>0</v>
      </c>
      <c r="O1078" s="2" t="n">
        <v>20</v>
      </c>
      <c r="P1078" s="2" t="n">
        <v>2</v>
      </c>
      <c r="Q1078" s="2" t="n">
        <v>8</v>
      </c>
      <c r="R1078" s="2" t="n">
        <v>3</v>
      </c>
      <c r="S1078" s="2" t="n">
        <v>7</v>
      </c>
      <c r="T1078" s="2" t="n">
        <v>7</v>
      </c>
      <c r="U1078" s="2" t="n">
        <v>3</v>
      </c>
      <c r="V1078" s="2" t="n">
        <v>4</v>
      </c>
      <c r="W1078" s="2" t="n">
        <v>1</v>
      </c>
      <c r="X1078" s="2" t="n">
        <v>2</v>
      </c>
      <c r="Y1078" s="2" t="n">
        <v>3</v>
      </c>
      <c r="Z1078" s="2" t="n">
        <v>4</v>
      </c>
    </row>
    <row r="1079" customFormat="false" ht="15" hidden="false" customHeight="true" outlineLevel="0" collapsed="false">
      <c r="A1079" s="2" t="n">
        <v>39</v>
      </c>
      <c r="B1079" s="2" t="s">
        <v>26</v>
      </c>
      <c r="C1079" s="2" t="s">
        <v>27</v>
      </c>
      <c r="D1079" s="2" t="s">
        <v>35</v>
      </c>
      <c r="E1079" s="2" t="n">
        <v>2</v>
      </c>
      <c r="F1079" s="2" t="n">
        <v>3</v>
      </c>
      <c r="G1079" s="2" t="s">
        <v>51</v>
      </c>
      <c r="H1079" s="2" t="n">
        <v>1078</v>
      </c>
      <c r="I1079" s="2" t="s">
        <v>39</v>
      </c>
      <c r="J1079" s="2" t="n">
        <v>3</v>
      </c>
      <c r="K1079" s="2" t="s">
        <v>31</v>
      </c>
      <c r="L1079" s="2" t="s">
        <v>46</v>
      </c>
      <c r="M1079" s="2" t="n">
        <v>102520</v>
      </c>
      <c r="N1079" s="2" t="n">
        <v>8</v>
      </c>
      <c r="O1079" s="2" t="n">
        <v>13</v>
      </c>
      <c r="P1079" s="2" t="n">
        <v>1</v>
      </c>
      <c r="Q1079" s="2" t="n">
        <v>7</v>
      </c>
      <c r="R1079" s="2" t="n">
        <v>3</v>
      </c>
      <c r="S1079" s="2" t="n">
        <v>2</v>
      </c>
      <c r="T1079" s="2" t="n">
        <v>2</v>
      </c>
      <c r="U1079" s="2" t="n">
        <v>2</v>
      </c>
      <c r="V1079" s="2"/>
      <c r="W1079" s="2" t="n">
        <v>4</v>
      </c>
      <c r="X1079" s="2" t="n">
        <v>3</v>
      </c>
      <c r="Y1079" s="2" t="n">
        <v>3</v>
      </c>
      <c r="Z1079" s="2" t="n">
        <v>3</v>
      </c>
    </row>
    <row r="1080" customFormat="false" ht="15" hidden="false" customHeight="true" outlineLevel="0" collapsed="false">
      <c r="A1080" s="2" t="n">
        <v>55</v>
      </c>
      <c r="B1080" s="2" t="s">
        <v>26</v>
      </c>
      <c r="C1080" s="2" t="s">
        <v>27</v>
      </c>
      <c r="D1080" s="2" t="s">
        <v>35</v>
      </c>
      <c r="E1080" s="2" t="n">
        <v>2</v>
      </c>
      <c r="F1080" s="2" t="n">
        <v>3</v>
      </c>
      <c r="G1080" s="2" t="s">
        <v>29</v>
      </c>
      <c r="H1080" s="2" t="n">
        <v>1079</v>
      </c>
      <c r="I1080" s="2" t="s">
        <v>30</v>
      </c>
      <c r="J1080" s="2" t="n">
        <v>1</v>
      </c>
      <c r="K1080" s="2" t="s">
        <v>42</v>
      </c>
      <c r="L1080" s="2" t="s">
        <v>32</v>
      </c>
      <c r="M1080" s="2" t="n">
        <v>27810</v>
      </c>
      <c r="N1080" s="2" t="n">
        <v>8</v>
      </c>
      <c r="O1080" s="2" t="n">
        <v>13</v>
      </c>
      <c r="P1080" s="2" t="n">
        <v>1</v>
      </c>
      <c r="Q1080" s="2" t="n">
        <v>19</v>
      </c>
      <c r="R1080" s="2" t="n">
        <v>2</v>
      </c>
      <c r="S1080" s="2" t="n">
        <v>5</v>
      </c>
      <c r="T1080" s="2" t="n">
        <v>0</v>
      </c>
      <c r="U1080" s="2" t="n">
        <v>4</v>
      </c>
      <c r="V1080" s="2" t="n">
        <v>2</v>
      </c>
      <c r="W1080" s="2" t="n">
        <v>4</v>
      </c>
      <c r="X1080" s="2" t="n">
        <v>4</v>
      </c>
      <c r="Y1080" s="2" t="n">
        <v>3</v>
      </c>
      <c r="Z1080" s="2" t="n">
        <v>3</v>
      </c>
    </row>
    <row r="1081" customFormat="false" ht="15" hidden="false" customHeight="true" outlineLevel="0" collapsed="false">
      <c r="A1081" s="2" t="n">
        <v>28</v>
      </c>
      <c r="B1081" s="2" t="s">
        <v>26</v>
      </c>
      <c r="C1081" s="2" t="s">
        <v>27</v>
      </c>
      <c r="D1081" s="2" t="s">
        <v>35</v>
      </c>
      <c r="E1081" s="2" t="n">
        <v>29</v>
      </c>
      <c r="F1081" s="2" t="n">
        <v>2</v>
      </c>
      <c r="G1081" s="2" t="s">
        <v>29</v>
      </c>
      <c r="H1081" s="2" t="n">
        <v>1080</v>
      </c>
      <c r="I1081" s="2" t="s">
        <v>39</v>
      </c>
      <c r="J1081" s="2" t="n">
        <v>2</v>
      </c>
      <c r="K1081" s="2" t="s">
        <v>45</v>
      </c>
      <c r="L1081" s="2" t="s">
        <v>32</v>
      </c>
      <c r="M1081" s="2" t="n">
        <v>68520</v>
      </c>
      <c r="N1081" s="2" t="n">
        <v>1</v>
      </c>
      <c r="O1081" s="2" t="n">
        <v>18</v>
      </c>
      <c r="P1081" s="2" t="n">
        <v>1</v>
      </c>
      <c r="Q1081" s="2" t="n">
        <v>1</v>
      </c>
      <c r="R1081" s="2" t="n">
        <v>2</v>
      </c>
      <c r="S1081" s="2" t="n">
        <v>1</v>
      </c>
      <c r="T1081" s="2" t="n">
        <v>0</v>
      </c>
      <c r="U1081" s="2" t="n">
        <v>0</v>
      </c>
      <c r="V1081" s="2" t="n">
        <v>2</v>
      </c>
      <c r="W1081" s="2" t="n">
        <v>2</v>
      </c>
      <c r="X1081" s="2" t="n">
        <v>3</v>
      </c>
      <c r="Y1081" s="2" t="n">
        <v>4</v>
      </c>
      <c r="Z1081" s="2" t="n">
        <v>3</v>
      </c>
    </row>
    <row r="1082" customFormat="false" ht="15" hidden="false" customHeight="true" outlineLevel="0" collapsed="false">
      <c r="A1082" s="2" t="n">
        <v>30</v>
      </c>
      <c r="B1082" s="2" t="s">
        <v>33</v>
      </c>
      <c r="C1082" s="2" t="s">
        <v>27</v>
      </c>
      <c r="D1082" s="2" t="s">
        <v>28</v>
      </c>
      <c r="E1082" s="2" t="n">
        <v>12</v>
      </c>
      <c r="F1082" s="2" t="n">
        <v>4</v>
      </c>
      <c r="G1082" s="2" t="s">
        <v>29</v>
      </c>
      <c r="H1082" s="2" t="n">
        <v>1081</v>
      </c>
      <c r="I1082" s="2" t="s">
        <v>30</v>
      </c>
      <c r="J1082" s="2" t="n">
        <v>2</v>
      </c>
      <c r="K1082" s="2" t="s">
        <v>40</v>
      </c>
      <c r="L1082" s="2" t="s">
        <v>37</v>
      </c>
      <c r="M1082" s="2" t="n">
        <v>49500</v>
      </c>
      <c r="N1082" s="2" t="n">
        <v>1</v>
      </c>
      <c r="O1082" s="2" t="n">
        <v>12</v>
      </c>
      <c r="P1082" s="2" t="n">
        <v>2</v>
      </c>
      <c r="Q1082" s="2" t="n">
        <v>1</v>
      </c>
      <c r="R1082" s="2" t="n">
        <v>3</v>
      </c>
      <c r="S1082" s="2" t="n">
        <v>1</v>
      </c>
      <c r="T1082" s="2" t="n">
        <v>0</v>
      </c>
      <c r="U1082" s="2" t="n">
        <v>0</v>
      </c>
      <c r="V1082" s="2" t="n">
        <v>2</v>
      </c>
      <c r="W1082" s="2" t="n">
        <v>4</v>
      </c>
      <c r="X1082" s="2" t="n">
        <v>2</v>
      </c>
      <c r="Y1082" s="2" t="n">
        <v>3</v>
      </c>
      <c r="Z1082" s="2" t="n">
        <v>3</v>
      </c>
    </row>
    <row r="1083" customFormat="false" ht="15" hidden="false" customHeight="true" outlineLevel="0" collapsed="false">
      <c r="A1083" s="2" t="n">
        <v>22</v>
      </c>
      <c r="B1083" s="2" t="s">
        <v>33</v>
      </c>
      <c r="C1083" s="2" t="s">
        <v>27</v>
      </c>
      <c r="D1083" s="2" t="s">
        <v>35</v>
      </c>
      <c r="E1083" s="2" t="n">
        <v>16</v>
      </c>
      <c r="F1083" s="2" t="n">
        <v>2</v>
      </c>
      <c r="G1083" s="2" t="s">
        <v>29</v>
      </c>
      <c r="H1083" s="2" t="n">
        <v>1082</v>
      </c>
      <c r="I1083" s="2" t="s">
        <v>30</v>
      </c>
      <c r="J1083" s="2" t="n">
        <v>2</v>
      </c>
      <c r="K1083" s="2" t="s">
        <v>45</v>
      </c>
      <c r="L1083" s="2" t="s">
        <v>37</v>
      </c>
      <c r="M1083" s="2" t="n">
        <v>35790</v>
      </c>
      <c r="N1083" s="2" t="n">
        <v>1</v>
      </c>
      <c r="O1083" s="2" t="n">
        <v>19</v>
      </c>
      <c r="P1083" s="2" t="n">
        <v>3</v>
      </c>
      <c r="Q1083" s="2" t="n">
        <v>1</v>
      </c>
      <c r="R1083" s="2" t="n">
        <v>3</v>
      </c>
      <c r="S1083" s="2" t="n">
        <v>1</v>
      </c>
      <c r="T1083" s="2" t="n">
        <v>0</v>
      </c>
      <c r="U1083" s="2" t="n">
        <v>0</v>
      </c>
      <c r="V1083" s="2" t="n">
        <v>4</v>
      </c>
      <c r="W1083" s="2" t="n">
        <v>2</v>
      </c>
      <c r="X1083" s="2" t="n">
        <v>3</v>
      </c>
      <c r="Y1083" s="2" t="n">
        <v>3</v>
      </c>
      <c r="Z1083" s="2" t="n">
        <v>3</v>
      </c>
    </row>
    <row r="1084" customFormat="false" ht="15" hidden="false" customHeight="true" outlineLevel="0" collapsed="false">
      <c r="A1084" s="2" t="n">
        <v>36</v>
      </c>
      <c r="B1084" s="2" t="s">
        <v>26</v>
      </c>
      <c r="C1084" s="2" t="s">
        <v>27</v>
      </c>
      <c r="D1084" s="2" t="s">
        <v>35</v>
      </c>
      <c r="E1084" s="2" t="n">
        <v>11</v>
      </c>
      <c r="F1084" s="2" t="n">
        <v>3</v>
      </c>
      <c r="G1084" s="2" t="s">
        <v>29</v>
      </c>
      <c r="H1084" s="2" t="n">
        <v>1083</v>
      </c>
      <c r="I1084" s="2" t="s">
        <v>39</v>
      </c>
      <c r="J1084" s="2" t="n">
        <v>1</v>
      </c>
      <c r="K1084" s="2" t="s">
        <v>40</v>
      </c>
      <c r="L1084" s="2" t="s">
        <v>32</v>
      </c>
      <c r="M1084" s="2" t="n">
        <v>131910</v>
      </c>
      <c r="N1084" s="2" t="n">
        <v>1</v>
      </c>
      <c r="O1084" s="2" t="n">
        <v>14</v>
      </c>
      <c r="P1084" s="2" t="n">
        <v>1</v>
      </c>
      <c r="Q1084" s="2" t="n">
        <v>10</v>
      </c>
      <c r="R1084" s="2" t="n">
        <v>2</v>
      </c>
      <c r="S1084" s="2" t="n">
        <v>10</v>
      </c>
      <c r="T1084" s="2" t="n">
        <v>1</v>
      </c>
      <c r="U1084" s="2" t="n">
        <v>7</v>
      </c>
      <c r="V1084" s="2" t="n">
        <v>2</v>
      </c>
      <c r="W1084" s="2" t="n">
        <v>3</v>
      </c>
      <c r="X1084" s="2" t="n">
        <v>3</v>
      </c>
      <c r="Y1084" s="2" t="n">
        <v>2</v>
      </c>
      <c r="Z1084" s="2" t="n">
        <v>3</v>
      </c>
    </row>
    <row r="1085" customFormat="false" ht="15" hidden="false" customHeight="true" outlineLevel="0" collapsed="false">
      <c r="A1085" s="2" t="n">
        <v>31</v>
      </c>
      <c r="B1085" s="2" t="s">
        <v>26</v>
      </c>
      <c r="C1085" s="2" t="s">
        <v>27</v>
      </c>
      <c r="D1085" s="2" t="s">
        <v>35</v>
      </c>
      <c r="E1085" s="2" t="n">
        <v>2</v>
      </c>
      <c r="F1085" s="2" t="n">
        <v>4</v>
      </c>
      <c r="G1085" s="2" t="s">
        <v>29</v>
      </c>
      <c r="H1085" s="2" t="n">
        <v>1084</v>
      </c>
      <c r="I1085" s="2" t="s">
        <v>30</v>
      </c>
      <c r="J1085" s="2" t="n">
        <v>5</v>
      </c>
      <c r="K1085" s="2" t="s">
        <v>49</v>
      </c>
      <c r="L1085" s="2" t="s">
        <v>46</v>
      </c>
      <c r="M1085" s="2" t="n">
        <v>103770</v>
      </c>
      <c r="N1085" s="2" t="n">
        <v>1</v>
      </c>
      <c r="O1085" s="2" t="n">
        <v>14</v>
      </c>
      <c r="P1085" s="2" t="n">
        <v>0</v>
      </c>
      <c r="Q1085" s="2" t="n">
        <v>10</v>
      </c>
      <c r="R1085" s="2" t="n">
        <v>2</v>
      </c>
      <c r="S1085" s="2" t="n">
        <v>10</v>
      </c>
      <c r="T1085" s="2" t="n">
        <v>0</v>
      </c>
      <c r="U1085" s="2" t="n">
        <v>2</v>
      </c>
      <c r="V1085" s="2" t="n">
        <v>2</v>
      </c>
      <c r="W1085" s="2" t="n">
        <v>3</v>
      </c>
      <c r="X1085" s="2" t="n">
        <v>3</v>
      </c>
      <c r="Y1085" s="2" t="n">
        <v>3</v>
      </c>
      <c r="Z1085" s="2" t="n">
        <v>3</v>
      </c>
    </row>
    <row r="1086" customFormat="false" ht="15" hidden="false" customHeight="true" outlineLevel="0" collapsed="false">
      <c r="A1086" s="2" t="n">
        <v>34</v>
      </c>
      <c r="B1086" s="2" t="s">
        <v>26</v>
      </c>
      <c r="C1086" s="2" t="s">
        <v>27</v>
      </c>
      <c r="D1086" s="2" t="s">
        <v>28</v>
      </c>
      <c r="E1086" s="2" t="n">
        <v>14</v>
      </c>
      <c r="F1086" s="2" t="n">
        <v>2</v>
      </c>
      <c r="G1086" s="2" t="s">
        <v>51</v>
      </c>
      <c r="H1086" s="2" t="n">
        <v>1085</v>
      </c>
      <c r="I1086" s="2" t="s">
        <v>30</v>
      </c>
      <c r="J1086" s="2" t="n">
        <v>1</v>
      </c>
      <c r="K1086" s="2" t="s">
        <v>40</v>
      </c>
      <c r="L1086" s="2" t="s">
        <v>32</v>
      </c>
      <c r="M1086" s="2" t="n">
        <v>22350</v>
      </c>
      <c r="N1086" s="2" t="n">
        <v>2</v>
      </c>
      <c r="O1086" s="2" t="n">
        <v>14</v>
      </c>
      <c r="P1086" s="2" t="n">
        <v>1</v>
      </c>
      <c r="Q1086" s="2" t="n">
        <v>9</v>
      </c>
      <c r="R1086" s="2" t="n">
        <v>2</v>
      </c>
      <c r="S1086" s="2" t="n">
        <v>5</v>
      </c>
      <c r="T1086" s="2" t="n">
        <v>1</v>
      </c>
      <c r="U1086" s="2" t="n">
        <v>0</v>
      </c>
      <c r="V1086" s="2" t="n">
        <v>3</v>
      </c>
      <c r="W1086" s="2" t="n">
        <v>4</v>
      </c>
      <c r="X1086" s="2" t="n">
        <v>3</v>
      </c>
      <c r="Y1086" s="2" t="n">
        <v>3</v>
      </c>
      <c r="Z1086" s="2" t="n">
        <v>3</v>
      </c>
    </row>
    <row r="1087" customFormat="false" ht="15" hidden="false" customHeight="true" outlineLevel="0" collapsed="false">
      <c r="A1087" s="2" t="n">
        <v>29</v>
      </c>
      <c r="B1087" s="2" t="s">
        <v>26</v>
      </c>
      <c r="C1087" s="2" t="s">
        <v>27</v>
      </c>
      <c r="D1087" s="2" t="s">
        <v>35</v>
      </c>
      <c r="E1087" s="2" t="n">
        <v>5</v>
      </c>
      <c r="F1087" s="2" t="n">
        <v>5</v>
      </c>
      <c r="G1087" s="2" t="s">
        <v>29</v>
      </c>
      <c r="H1087" s="2" t="n">
        <v>1086</v>
      </c>
      <c r="I1087" s="2" t="s">
        <v>30</v>
      </c>
      <c r="J1087" s="2" t="n">
        <v>1</v>
      </c>
      <c r="K1087" s="2" t="s">
        <v>40</v>
      </c>
      <c r="L1087" s="2" t="s">
        <v>37</v>
      </c>
      <c r="M1087" s="2" t="n">
        <v>105020</v>
      </c>
      <c r="N1087" s="2" t="n">
        <v>3</v>
      </c>
      <c r="O1087" s="2" t="n">
        <v>12</v>
      </c>
      <c r="P1087" s="2" t="n">
        <v>0</v>
      </c>
      <c r="Q1087" s="2" t="n">
        <v>11</v>
      </c>
      <c r="R1087" s="2" t="n">
        <v>4</v>
      </c>
      <c r="S1087" s="2" t="n">
        <v>3</v>
      </c>
      <c r="T1087" s="2" t="n">
        <v>1</v>
      </c>
      <c r="U1087" s="2" t="n">
        <v>2</v>
      </c>
      <c r="V1087" s="2" t="n">
        <v>4</v>
      </c>
      <c r="W1087" s="2" t="n">
        <v>1</v>
      </c>
      <c r="X1087" s="2" t="n">
        <v>3</v>
      </c>
      <c r="Y1087" s="2" t="n">
        <v>2</v>
      </c>
      <c r="Z1087" s="2" t="n">
        <v>3</v>
      </c>
    </row>
    <row r="1088" customFormat="false" ht="15" hidden="false" customHeight="true" outlineLevel="0" collapsed="false">
      <c r="A1088" s="2" t="n">
        <v>37</v>
      </c>
      <c r="B1088" s="2" t="s">
        <v>26</v>
      </c>
      <c r="C1088" s="2" t="s">
        <v>27</v>
      </c>
      <c r="D1088" s="2" t="s">
        <v>35</v>
      </c>
      <c r="E1088" s="2" t="n">
        <v>7</v>
      </c>
      <c r="F1088" s="2" t="n">
        <v>2</v>
      </c>
      <c r="G1088" s="2" t="s">
        <v>43</v>
      </c>
      <c r="H1088" s="2" t="n">
        <v>1087</v>
      </c>
      <c r="I1088" s="2" t="s">
        <v>39</v>
      </c>
      <c r="J1088" s="2" t="n">
        <v>1</v>
      </c>
      <c r="K1088" s="2" t="s">
        <v>47</v>
      </c>
      <c r="L1088" s="2" t="s">
        <v>32</v>
      </c>
      <c r="M1088" s="2" t="n">
        <v>20110</v>
      </c>
      <c r="N1088" s="2" t="n">
        <v>5</v>
      </c>
      <c r="O1088" s="2" t="n">
        <v>13</v>
      </c>
      <c r="P1088" s="2" t="n">
        <v>0</v>
      </c>
      <c r="Q1088" s="2" t="n">
        <v>16</v>
      </c>
      <c r="R1088" s="2" t="n">
        <v>4</v>
      </c>
      <c r="S1088" s="2" t="n">
        <v>5</v>
      </c>
      <c r="T1088" s="2" t="n">
        <v>0</v>
      </c>
      <c r="U1088" s="2" t="n">
        <v>4</v>
      </c>
      <c r="V1088" s="2" t="n">
        <v>4</v>
      </c>
      <c r="W1088" s="2" t="n">
        <v>1</v>
      </c>
      <c r="X1088" s="2" t="n">
        <v>3</v>
      </c>
      <c r="Y1088" s="2" t="n">
        <v>4</v>
      </c>
      <c r="Z1088" s="2" t="n">
        <v>3</v>
      </c>
    </row>
    <row r="1089" customFormat="false" ht="15" hidden="false" customHeight="true" outlineLevel="0" collapsed="false">
      <c r="A1089" s="2" t="n">
        <v>35</v>
      </c>
      <c r="B1089" s="2" t="s">
        <v>26</v>
      </c>
      <c r="C1089" s="2" t="s">
        <v>27</v>
      </c>
      <c r="D1089" s="2" t="s">
        <v>28</v>
      </c>
      <c r="E1089" s="2" t="n">
        <v>2</v>
      </c>
      <c r="F1089" s="2" t="n">
        <v>1</v>
      </c>
      <c r="G1089" s="2" t="s">
        <v>51</v>
      </c>
      <c r="H1089" s="2" t="n">
        <v>1088</v>
      </c>
      <c r="I1089" s="2" t="s">
        <v>39</v>
      </c>
      <c r="J1089" s="2" t="n">
        <v>2</v>
      </c>
      <c r="K1089" s="2" t="s">
        <v>45</v>
      </c>
      <c r="L1089" s="2" t="s">
        <v>32</v>
      </c>
      <c r="M1089" s="2" t="n">
        <v>18590</v>
      </c>
      <c r="N1089" s="2" t="n">
        <v>0</v>
      </c>
      <c r="O1089" s="2" t="n">
        <v>25</v>
      </c>
      <c r="P1089" s="2" t="n">
        <v>1</v>
      </c>
      <c r="Q1089" s="2" t="n">
        <v>4</v>
      </c>
      <c r="R1089" s="2" t="n">
        <v>2</v>
      </c>
      <c r="S1089" s="2" t="n">
        <v>3</v>
      </c>
      <c r="T1089" s="2" t="n">
        <v>0</v>
      </c>
      <c r="U1089" s="2" t="n">
        <v>2</v>
      </c>
      <c r="V1089" s="2" t="n">
        <v>4</v>
      </c>
      <c r="W1089" s="2" t="n">
        <v>2</v>
      </c>
      <c r="X1089" s="2" t="n">
        <v>3</v>
      </c>
      <c r="Y1089" s="2" t="n">
        <v>2</v>
      </c>
      <c r="Z1089" s="2" t="n">
        <v>4</v>
      </c>
    </row>
    <row r="1090" customFormat="false" ht="15" hidden="false" customHeight="true" outlineLevel="0" collapsed="false">
      <c r="A1090" s="2" t="n">
        <v>45</v>
      </c>
      <c r="B1090" s="2" t="s">
        <v>26</v>
      </c>
      <c r="C1090" s="2" t="s">
        <v>27</v>
      </c>
      <c r="D1090" s="2" t="s">
        <v>35</v>
      </c>
      <c r="E1090" s="2" t="n">
        <v>3</v>
      </c>
      <c r="F1090" s="2" t="n">
        <v>3</v>
      </c>
      <c r="G1090" s="2" t="s">
        <v>43</v>
      </c>
      <c r="H1090" s="2" t="n">
        <v>1089</v>
      </c>
      <c r="I1090" s="2" t="s">
        <v>30</v>
      </c>
      <c r="J1090" s="2" t="n">
        <v>2</v>
      </c>
      <c r="K1090" s="2" t="s">
        <v>40</v>
      </c>
      <c r="L1090" s="2" t="s">
        <v>32</v>
      </c>
      <c r="M1090" s="2" t="n">
        <v>37600</v>
      </c>
      <c r="N1090" s="2" t="n">
        <v>0</v>
      </c>
      <c r="O1090" s="2" t="n">
        <v>14</v>
      </c>
      <c r="P1090" s="2" t="n">
        <v>1</v>
      </c>
      <c r="Q1090" s="2" t="n">
        <v>10</v>
      </c>
      <c r="R1090" s="2" t="n">
        <v>2</v>
      </c>
      <c r="S1090" s="2" t="n">
        <v>9</v>
      </c>
      <c r="T1090" s="2" t="n">
        <v>3</v>
      </c>
      <c r="U1090" s="2" t="n">
        <v>8</v>
      </c>
      <c r="V1090" s="2" t="n">
        <v>2</v>
      </c>
      <c r="W1090" s="2" t="n">
        <v>4</v>
      </c>
      <c r="X1090" s="2" t="n">
        <v>2</v>
      </c>
      <c r="Y1090" s="2" t="n">
        <v>2</v>
      </c>
      <c r="Z1090" s="2" t="n">
        <v>3</v>
      </c>
    </row>
    <row r="1091" customFormat="false" ht="15" hidden="false" customHeight="true" outlineLevel="0" collapsed="false">
      <c r="A1091" s="2" t="n">
        <v>36</v>
      </c>
      <c r="B1091" s="2" t="s">
        <v>26</v>
      </c>
      <c r="C1091" s="2" t="s">
        <v>34</v>
      </c>
      <c r="D1091" s="2" t="s">
        <v>35</v>
      </c>
      <c r="E1091" s="2" t="n">
        <v>5</v>
      </c>
      <c r="F1091" s="2" t="n">
        <v>3</v>
      </c>
      <c r="G1091" s="2" t="s">
        <v>43</v>
      </c>
      <c r="H1091" s="2" t="n">
        <v>1090</v>
      </c>
      <c r="I1091" s="2" t="s">
        <v>30</v>
      </c>
      <c r="J1091" s="2" t="n">
        <v>4</v>
      </c>
      <c r="K1091" s="2" t="s">
        <v>47</v>
      </c>
      <c r="L1091" s="2" t="s">
        <v>37</v>
      </c>
      <c r="M1091" s="2" t="n">
        <v>177790</v>
      </c>
      <c r="N1091" s="2" t="n">
        <v>1</v>
      </c>
      <c r="O1091" s="2" t="n">
        <v>17</v>
      </c>
      <c r="P1091" s="2" t="n">
        <v>1</v>
      </c>
      <c r="Q1091" s="2" t="n">
        <v>10</v>
      </c>
      <c r="R1091" s="2" t="n">
        <v>5</v>
      </c>
      <c r="S1091" s="2" t="n">
        <v>10</v>
      </c>
      <c r="T1091" s="2" t="n">
        <v>0</v>
      </c>
      <c r="U1091" s="2" t="n">
        <v>8</v>
      </c>
      <c r="V1091" s="2" t="n">
        <v>2</v>
      </c>
      <c r="W1091" s="2" t="n">
        <v>4</v>
      </c>
      <c r="X1091" s="2" t="n">
        <v>2</v>
      </c>
      <c r="Y1091" s="2" t="n">
        <v>1</v>
      </c>
      <c r="Z1091" s="2" t="n">
        <v>3</v>
      </c>
    </row>
    <row r="1092" customFormat="false" ht="15" hidden="false" customHeight="true" outlineLevel="0" collapsed="false">
      <c r="A1092" s="2" t="n">
        <v>40</v>
      </c>
      <c r="B1092" s="2" t="s">
        <v>26</v>
      </c>
      <c r="C1092" s="2" t="s">
        <v>27</v>
      </c>
      <c r="D1092" s="2" t="s">
        <v>35</v>
      </c>
      <c r="E1092" s="2" t="n">
        <v>3</v>
      </c>
      <c r="F1092" s="2" t="n">
        <v>3</v>
      </c>
      <c r="G1092" s="2" t="s">
        <v>38</v>
      </c>
      <c r="H1092" s="2" t="n">
        <v>1091</v>
      </c>
      <c r="I1092" s="2" t="s">
        <v>39</v>
      </c>
      <c r="J1092" s="2" t="n">
        <v>1</v>
      </c>
      <c r="K1092" s="2" t="s">
        <v>40</v>
      </c>
      <c r="L1092" s="2" t="s">
        <v>46</v>
      </c>
      <c r="M1092" s="2" t="n">
        <v>68330</v>
      </c>
      <c r="N1092" s="2" t="n">
        <v>2</v>
      </c>
      <c r="O1092" s="2" t="n">
        <v>13</v>
      </c>
      <c r="P1092" s="2" t="n">
        <v>0</v>
      </c>
      <c r="Q1092" s="2" t="n">
        <v>22</v>
      </c>
      <c r="R1092" s="2" t="n">
        <v>3</v>
      </c>
      <c r="S1092" s="2" t="n">
        <v>19</v>
      </c>
      <c r="T1092" s="2" t="n">
        <v>11</v>
      </c>
      <c r="U1092" s="2" t="n">
        <v>16</v>
      </c>
      <c r="V1092" s="2" t="n">
        <v>1</v>
      </c>
      <c r="W1092" s="2" t="n">
        <v>1</v>
      </c>
      <c r="X1092" s="2" t="n">
        <v>3</v>
      </c>
      <c r="Y1092" s="2" t="n">
        <v>3</v>
      </c>
      <c r="Z1092" s="2" t="n">
        <v>3</v>
      </c>
    </row>
    <row r="1093" customFormat="false" ht="15" hidden="false" customHeight="true" outlineLevel="0" collapsed="false">
      <c r="A1093" s="2" t="n">
        <v>26</v>
      </c>
      <c r="B1093" s="2" t="s">
        <v>26</v>
      </c>
      <c r="C1093" s="2" t="s">
        <v>27</v>
      </c>
      <c r="D1093" s="2" t="s">
        <v>35</v>
      </c>
      <c r="E1093" s="2" t="n">
        <v>26</v>
      </c>
      <c r="F1093" s="2" t="n">
        <v>2</v>
      </c>
      <c r="G1093" s="2" t="s">
        <v>29</v>
      </c>
      <c r="H1093" s="2" t="n">
        <v>1092</v>
      </c>
      <c r="I1093" s="2" t="s">
        <v>39</v>
      </c>
      <c r="J1093" s="2" t="n">
        <v>2</v>
      </c>
      <c r="K1093" s="2" t="s">
        <v>42</v>
      </c>
      <c r="L1093" s="2" t="s">
        <v>32</v>
      </c>
      <c r="M1093" s="2" t="n">
        <v>68120</v>
      </c>
      <c r="N1093" s="2" t="n">
        <v>1</v>
      </c>
      <c r="O1093" s="2" t="n">
        <v>13</v>
      </c>
      <c r="P1093" s="2" t="n">
        <v>0</v>
      </c>
      <c r="Q1093" s="2" t="n">
        <v>1</v>
      </c>
      <c r="R1093" s="2" t="n">
        <v>2</v>
      </c>
      <c r="S1093" s="2" t="n">
        <v>1</v>
      </c>
      <c r="T1093" s="2" t="n">
        <v>1</v>
      </c>
      <c r="U1093" s="2" t="n">
        <v>0</v>
      </c>
      <c r="V1093" s="2" t="n">
        <v>2</v>
      </c>
      <c r="W1093" s="2" t="n">
        <v>3</v>
      </c>
      <c r="X1093" s="2" t="n">
        <v>2</v>
      </c>
      <c r="Y1093" s="2" t="n">
        <v>2</v>
      </c>
      <c r="Z1093" s="2" t="n">
        <v>3</v>
      </c>
    </row>
    <row r="1094" customFormat="false" ht="15" hidden="false" customHeight="true" outlineLevel="0" collapsed="false">
      <c r="A1094" s="2" t="n">
        <v>27</v>
      </c>
      <c r="B1094" s="2" t="s">
        <v>26</v>
      </c>
      <c r="C1094" s="2" t="s">
        <v>27</v>
      </c>
      <c r="D1094" s="2" t="s">
        <v>35</v>
      </c>
      <c r="E1094" s="2" t="n">
        <v>4</v>
      </c>
      <c r="F1094" s="2" t="n">
        <v>3</v>
      </c>
      <c r="G1094" s="2" t="s">
        <v>51</v>
      </c>
      <c r="H1094" s="2" t="n">
        <v>1093</v>
      </c>
      <c r="I1094" s="2" t="s">
        <v>39</v>
      </c>
      <c r="J1094" s="2" t="n">
        <v>2</v>
      </c>
      <c r="K1094" s="2" t="s">
        <v>47</v>
      </c>
      <c r="L1094" s="2" t="s">
        <v>37</v>
      </c>
      <c r="M1094" s="2" t="n">
        <v>51710</v>
      </c>
      <c r="N1094" s="2" t="n">
        <v>0</v>
      </c>
      <c r="O1094" s="2" t="n">
        <v>20</v>
      </c>
      <c r="P1094" s="2" t="n">
        <v>1</v>
      </c>
      <c r="Q1094" s="2" t="n">
        <v>9</v>
      </c>
      <c r="R1094" s="2" t="n">
        <v>1</v>
      </c>
      <c r="S1094" s="2" t="n">
        <v>8</v>
      </c>
      <c r="T1094" s="2" t="n">
        <v>0</v>
      </c>
      <c r="U1094" s="2" t="n">
        <v>7</v>
      </c>
      <c r="V1094" s="2" t="n">
        <v>1</v>
      </c>
      <c r="W1094" s="2" t="n">
        <v>3</v>
      </c>
      <c r="X1094" s="2"/>
      <c r="Y1094" s="2" t="n">
        <v>2</v>
      </c>
      <c r="Z1094" s="2" t="n">
        <v>4</v>
      </c>
    </row>
    <row r="1095" customFormat="false" ht="15" hidden="false" customHeight="true" outlineLevel="0" collapsed="false">
      <c r="A1095" s="2" t="n">
        <v>48</v>
      </c>
      <c r="B1095" s="2" t="s">
        <v>26</v>
      </c>
      <c r="C1095" s="2" t="s">
        <v>34</v>
      </c>
      <c r="D1095" s="2" t="s">
        <v>35</v>
      </c>
      <c r="E1095" s="2" t="n">
        <v>2</v>
      </c>
      <c r="F1095" s="2" t="n">
        <v>3</v>
      </c>
      <c r="G1095" s="2" t="s">
        <v>29</v>
      </c>
      <c r="H1095" s="2" t="n">
        <v>1094</v>
      </c>
      <c r="I1095" s="2" t="s">
        <v>39</v>
      </c>
      <c r="J1095" s="2" t="n">
        <v>2</v>
      </c>
      <c r="K1095" s="2" t="s">
        <v>44</v>
      </c>
      <c r="L1095" s="2" t="s">
        <v>46</v>
      </c>
      <c r="M1095" s="2" t="n">
        <v>197400</v>
      </c>
      <c r="N1095" s="2" t="n">
        <v>3</v>
      </c>
      <c r="O1095" s="2" t="n">
        <v>14</v>
      </c>
      <c r="P1095" s="2" t="n">
        <v>0</v>
      </c>
      <c r="Q1095" s="2" t="n">
        <v>24</v>
      </c>
      <c r="R1095" s="2" t="n">
        <v>2</v>
      </c>
      <c r="S1095" s="2" t="n">
        <v>22</v>
      </c>
      <c r="T1095" s="2" t="n">
        <v>4</v>
      </c>
      <c r="U1095" s="2" t="n">
        <v>7</v>
      </c>
      <c r="V1095" s="2" t="n">
        <v>4</v>
      </c>
      <c r="W1095" s="2" t="n">
        <v>4</v>
      </c>
      <c r="X1095" s="2" t="n">
        <v>3</v>
      </c>
      <c r="Y1095" s="2" t="n">
        <v>4</v>
      </c>
      <c r="Z1095" s="2" t="n">
        <v>3</v>
      </c>
    </row>
    <row r="1096" customFormat="false" ht="15" hidden="false" customHeight="true" outlineLevel="0" collapsed="false">
      <c r="A1096" s="2" t="n">
        <v>44</v>
      </c>
      <c r="B1096" s="2" t="s">
        <v>26</v>
      </c>
      <c r="C1096" s="2" t="s">
        <v>27</v>
      </c>
      <c r="D1096" s="2" t="s">
        <v>28</v>
      </c>
      <c r="E1096" s="2" t="n">
        <v>1</v>
      </c>
      <c r="F1096" s="2" t="n">
        <v>2</v>
      </c>
      <c r="G1096" s="2" t="s">
        <v>43</v>
      </c>
      <c r="H1096" s="2" t="n">
        <v>1095</v>
      </c>
      <c r="I1096" s="2" t="s">
        <v>39</v>
      </c>
      <c r="J1096" s="2" t="n">
        <v>4</v>
      </c>
      <c r="K1096" s="2" t="s">
        <v>49</v>
      </c>
      <c r="L1096" s="2" t="s">
        <v>32</v>
      </c>
      <c r="M1096" s="2" t="n">
        <v>187110</v>
      </c>
      <c r="N1096" s="2" t="n">
        <v>2</v>
      </c>
      <c r="O1096" s="2" t="n">
        <v>12</v>
      </c>
      <c r="P1096" s="2" t="n">
        <v>1</v>
      </c>
      <c r="Q1096" s="2" t="n">
        <v>10</v>
      </c>
      <c r="R1096" s="2" t="n">
        <v>0</v>
      </c>
      <c r="S1096" s="2" t="n">
        <v>2</v>
      </c>
      <c r="T1096" s="2" t="n">
        <v>2</v>
      </c>
      <c r="U1096" s="2" t="n">
        <v>2</v>
      </c>
      <c r="V1096" s="2" t="n">
        <v>2</v>
      </c>
      <c r="W1096" s="2" t="n">
        <v>1</v>
      </c>
      <c r="X1096" s="2" t="n">
        <v>3</v>
      </c>
      <c r="Y1096" s="2" t="n">
        <v>3</v>
      </c>
      <c r="Z1096" s="2" t="n">
        <v>3</v>
      </c>
    </row>
    <row r="1097" customFormat="false" ht="15" hidden="false" customHeight="true" outlineLevel="0" collapsed="false">
      <c r="A1097" s="2" t="n">
        <v>34</v>
      </c>
      <c r="B1097" s="2" t="s">
        <v>33</v>
      </c>
      <c r="C1097" s="2" t="s">
        <v>41</v>
      </c>
      <c r="D1097" s="2" t="s">
        <v>35</v>
      </c>
      <c r="E1097" s="2" t="n">
        <v>27</v>
      </c>
      <c r="F1097" s="2" t="n">
        <v>2</v>
      </c>
      <c r="G1097" s="2" t="s">
        <v>29</v>
      </c>
      <c r="H1097" s="2" t="n">
        <v>1096</v>
      </c>
      <c r="I1097" s="2" t="s">
        <v>30</v>
      </c>
      <c r="J1097" s="2" t="n">
        <v>1</v>
      </c>
      <c r="K1097" s="2" t="s">
        <v>48</v>
      </c>
      <c r="L1097" s="2" t="s">
        <v>32</v>
      </c>
      <c r="M1097" s="2" t="n">
        <v>36920</v>
      </c>
      <c r="N1097" s="2" t="n">
        <v>1</v>
      </c>
      <c r="O1097" s="2" t="n">
        <v>12</v>
      </c>
      <c r="P1097" s="2" t="n">
        <v>1</v>
      </c>
      <c r="Q1097" s="2" t="n">
        <v>5</v>
      </c>
      <c r="R1097" s="2" t="n">
        <v>5</v>
      </c>
      <c r="S1097" s="2" t="n">
        <v>5</v>
      </c>
      <c r="T1097" s="2" t="n">
        <v>3</v>
      </c>
      <c r="U1097" s="2" t="n">
        <v>0</v>
      </c>
      <c r="V1097" s="2" t="n">
        <v>4</v>
      </c>
      <c r="W1097" s="2" t="n">
        <v>1</v>
      </c>
      <c r="X1097" s="2" t="n">
        <v>3</v>
      </c>
      <c r="Y1097" s="2" t="n">
        <v>3</v>
      </c>
      <c r="Z1097" s="2" t="n">
        <v>3</v>
      </c>
    </row>
    <row r="1098" customFormat="false" ht="15" hidden="false" customHeight="true" outlineLevel="0" collapsed="false">
      <c r="A1098" s="2" t="n">
        <v>56</v>
      </c>
      <c r="B1098" s="2" t="s">
        <v>33</v>
      </c>
      <c r="C1098" s="2" t="s">
        <v>27</v>
      </c>
      <c r="D1098" s="2" t="s">
        <v>42</v>
      </c>
      <c r="E1098" s="2" t="n">
        <v>1</v>
      </c>
      <c r="F1098" s="2" t="n">
        <v>2</v>
      </c>
      <c r="G1098" s="2" t="s">
        <v>43</v>
      </c>
      <c r="H1098" s="2" t="n">
        <v>1097</v>
      </c>
      <c r="I1098" s="2" t="s">
        <v>30</v>
      </c>
      <c r="J1098" s="2" t="n">
        <v>5</v>
      </c>
      <c r="K1098" s="2" t="s">
        <v>40</v>
      </c>
      <c r="L1098" s="2" t="s">
        <v>37</v>
      </c>
      <c r="M1098" s="2" t="n">
        <v>25590</v>
      </c>
      <c r="N1098" s="2" t="n">
        <v>1</v>
      </c>
      <c r="O1098" s="2" t="n">
        <v>21</v>
      </c>
      <c r="P1098" s="2" t="n">
        <v>0</v>
      </c>
      <c r="Q1098" s="2" t="n">
        <v>5</v>
      </c>
      <c r="R1098" s="2" t="n">
        <v>3</v>
      </c>
      <c r="S1098" s="2" t="n">
        <v>4</v>
      </c>
      <c r="T1098" s="2" t="n">
        <v>1</v>
      </c>
      <c r="U1098" s="2" t="n">
        <v>0</v>
      </c>
      <c r="V1098" s="2" t="n">
        <v>1</v>
      </c>
      <c r="W1098" s="2" t="n">
        <v>4</v>
      </c>
      <c r="X1098" s="2" t="n">
        <v>3</v>
      </c>
      <c r="Y1098" s="2" t="n">
        <v>3</v>
      </c>
      <c r="Z1098" s="2" t="n">
        <v>4</v>
      </c>
    </row>
    <row r="1099" customFormat="false" ht="15" hidden="false" customHeight="true" outlineLevel="0" collapsed="false">
      <c r="A1099" s="2" t="n">
        <v>36</v>
      </c>
      <c r="B1099" s="2" t="s">
        <v>26</v>
      </c>
      <c r="C1099" s="2" t="s">
        <v>27</v>
      </c>
      <c r="D1099" s="2" t="s">
        <v>35</v>
      </c>
      <c r="E1099" s="2" t="n">
        <v>13</v>
      </c>
      <c r="F1099" s="2" t="n">
        <v>3</v>
      </c>
      <c r="G1099" s="2" t="s">
        <v>51</v>
      </c>
      <c r="H1099" s="2" t="n">
        <v>1098</v>
      </c>
      <c r="I1099" s="2" t="s">
        <v>30</v>
      </c>
      <c r="J1099" s="2" t="n">
        <v>3</v>
      </c>
      <c r="K1099" s="2" t="s">
        <v>31</v>
      </c>
      <c r="L1099" s="2" t="s">
        <v>32</v>
      </c>
      <c r="M1099" s="2" t="n">
        <v>25170</v>
      </c>
      <c r="N1099" s="2" t="n">
        <v>2</v>
      </c>
      <c r="O1099" s="2" t="n">
        <v>14</v>
      </c>
      <c r="P1099" s="2" t="n">
        <v>0</v>
      </c>
      <c r="Q1099" s="2" t="n">
        <v>12</v>
      </c>
      <c r="R1099" s="2" t="n">
        <v>3</v>
      </c>
      <c r="S1099" s="2" t="n">
        <v>4</v>
      </c>
      <c r="T1099" s="2" t="n">
        <v>1</v>
      </c>
      <c r="U1099" s="2" t="n">
        <v>3</v>
      </c>
      <c r="V1099" s="2" t="n">
        <v>3</v>
      </c>
      <c r="W1099" s="2" t="n">
        <v>2</v>
      </c>
      <c r="X1099" s="2" t="n">
        <v>1</v>
      </c>
      <c r="Y1099" s="2" t="n">
        <v>3</v>
      </c>
      <c r="Z1099" s="2" t="n">
        <v>3</v>
      </c>
    </row>
    <row r="1100" customFormat="false" ht="15" hidden="false" customHeight="true" outlineLevel="0" collapsed="false">
      <c r="A1100" s="2" t="n">
        <v>41</v>
      </c>
      <c r="B1100" s="2" t="s">
        <v>26</v>
      </c>
      <c r="C1100" s="2" t="s">
        <v>27</v>
      </c>
      <c r="D1100" s="2" t="s">
        <v>35</v>
      </c>
      <c r="E1100" s="2" t="n">
        <v>5</v>
      </c>
      <c r="F1100" s="2" t="n">
        <v>3</v>
      </c>
      <c r="G1100" s="2" t="s">
        <v>29</v>
      </c>
      <c r="H1100" s="2" t="n">
        <v>1099</v>
      </c>
      <c r="I1100" s="2" t="s">
        <v>30</v>
      </c>
      <c r="J1100" s="2" t="n">
        <v>1</v>
      </c>
      <c r="K1100" s="2" t="s">
        <v>40</v>
      </c>
      <c r="L1100" s="2" t="s">
        <v>32</v>
      </c>
      <c r="M1100" s="2" t="n">
        <v>66230</v>
      </c>
      <c r="N1100" s="2" t="n">
        <v>5</v>
      </c>
      <c r="O1100" s="2" t="n">
        <v>18</v>
      </c>
      <c r="P1100" s="2" t="n">
        <v>0</v>
      </c>
      <c r="Q1100" s="2" t="n">
        <v>14</v>
      </c>
      <c r="R1100" s="2" t="n">
        <v>3</v>
      </c>
      <c r="S1100" s="2" t="n">
        <v>5</v>
      </c>
      <c r="T1100" s="2" t="n">
        <v>1</v>
      </c>
      <c r="U1100" s="2" t="n">
        <v>4</v>
      </c>
      <c r="V1100" s="2" t="n">
        <v>3</v>
      </c>
      <c r="W1100" s="2" t="n">
        <v>2</v>
      </c>
      <c r="X1100" s="2" t="n">
        <v>3</v>
      </c>
      <c r="Y1100" s="2" t="n">
        <v>3</v>
      </c>
      <c r="Z1100" s="2" t="n">
        <v>3</v>
      </c>
    </row>
    <row r="1101" customFormat="false" ht="15" hidden="false" customHeight="true" outlineLevel="0" collapsed="false">
      <c r="A1101" s="2" t="n">
        <v>42</v>
      </c>
      <c r="B1101" s="2" t="s">
        <v>26</v>
      </c>
      <c r="C1101" s="2" t="s">
        <v>27</v>
      </c>
      <c r="D1101" s="2" t="s">
        <v>35</v>
      </c>
      <c r="E1101" s="2" t="n">
        <v>7</v>
      </c>
      <c r="F1101" s="2" t="n">
        <v>3</v>
      </c>
      <c r="G1101" s="2" t="s">
        <v>51</v>
      </c>
      <c r="H1101" s="2" t="n">
        <v>1100</v>
      </c>
      <c r="I1101" s="2" t="s">
        <v>30</v>
      </c>
      <c r="J1101" s="2" t="n">
        <v>2</v>
      </c>
      <c r="K1101" s="2" t="s">
        <v>40</v>
      </c>
      <c r="L1101" s="2" t="s">
        <v>32</v>
      </c>
      <c r="M1101" s="2" t="n">
        <v>182650</v>
      </c>
      <c r="N1101" s="2" t="n">
        <v>9</v>
      </c>
      <c r="O1101" s="2" t="n">
        <v>12</v>
      </c>
      <c r="P1101" s="2" t="n">
        <v>1</v>
      </c>
      <c r="Q1101" s="2" t="n">
        <v>18</v>
      </c>
      <c r="R1101" s="2" t="n">
        <v>4</v>
      </c>
      <c r="S1101" s="2" t="n">
        <v>13</v>
      </c>
      <c r="T1101" s="2" t="n">
        <v>5</v>
      </c>
      <c r="U1101" s="2" t="n">
        <v>7</v>
      </c>
      <c r="V1101" s="2" t="n">
        <v>3</v>
      </c>
      <c r="W1101" s="2" t="n">
        <v>1</v>
      </c>
      <c r="X1101" s="2" t="n">
        <v>4</v>
      </c>
      <c r="Y1101" s="2" t="n">
        <v>3</v>
      </c>
      <c r="Z1101" s="2" t="n">
        <v>3</v>
      </c>
    </row>
    <row r="1102" customFormat="false" ht="15" hidden="false" customHeight="true" outlineLevel="0" collapsed="false">
      <c r="A1102" s="2" t="n">
        <v>31</v>
      </c>
      <c r="B1102" s="2" t="s">
        <v>26</v>
      </c>
      <c r="C1102" s="2" t="s">
        <v>27</v>
      </c>
      <c r="D1102" s="2" t="s">
        <v>28</v>
      </c>
      <c r="E1102" s="2" t="n">
        <v>9</v>
      </c>
      <c r="F1102" s="2" t="n">
        <v>4</v>
      </c>
      <c r="G1102" s="2" t="s">
        <v>29</v>
      </c>
      <c r="H1102" s="2" t="n">
        <v>1101</v>
      </c>
      <c r="I1102" s="2" t="s">
        <v>30</v>
      </c>
      <c r="J1102" s="2" t="n">
        <v>1</v>
      </c>
      <c r="K1102" s="2" t="s">
        <v>40</v>
      </c>
      <c r="L1102" s="2" t="s">
        <v>46</v>
      </c>
      <c r="M1102" s="2" t="n">
        <v>161240</v>
      </c>
      <c r="N1102" s="2" t="n">
        <v>2</v>
      </c>
      <c r="O1102" s="2" t="n">
        <v>23</v>
      </c>
      <c r="P1102" s="2" t="n">
        <v>1</v>
      </c>
      <c r="Q1102" s="2" t="n">
        <v>8</v>
      </c>
      <c r="R1102" s="2" t="n">
        <v>2</v>
      </c>
      <c r="S1102" s="2" t="n">
        <v>5</v>
      </c>
      <c r="T1102" s="2" t="n">
        <v>1</v>
      </c>
      <c r="U1102" s="2" t="n">
        <v>4</v>
      </c>
      <c r="V1102" s="2" t="n">
        <v>3</v>
      </c>
      <c r="W1102" s="2" t="n">
        <v>4</v>
      </c>
      <c r="X1102" s="2" t="n">
        <v>3</v>
      </c>
      <c r="Y1102" s="2" t="n">
        <v>2</v>
      </c>
      <c r="Z1102" s="2" t="n">
        <v>4</v>
      </c>
    </row>
    <row r="1103" customFormat="false" ht="15" hidden="false" customHeight="true" outlineLevel="0" collapsed="false">
      <c r="A1103" s="2" t="n">
        <v>34</v>
      </c>
      <c r="B1103" s="2" t="s">
        <v>26</v>
      </c>
      <c r="C1103" s="2" t="s">
        <v>27</v>
      </c>
      <c r="D1103" s="2" t="s">
        <v>35</v>
      </c>
      <c r="E1103" s="2" t="n">
        <v>8</v>
      </c>
      <c r="F1103" s="2" t="n">
        <v>1</v>
      </c>
      <c r="G1103" s="2" t="s">
        <v>29</v>
      </c>
      <c r="H1103" s="2" t="n">
        <v>1102</v>
      </c>
      <c r="I1103" s="2" t="s">
        <v>30</v>
      </c>
      <c r="J1103" s="2" t="n">
        <v>3</v>
      </c>
      <c r="K1103" s="2" t="s">
        <v>45</v>
      </c>
      <c r="L1103" s="2" t="s">
        <v>32</v>
      </c>
      <c r="M1103" s="2" t="n">
        <v>25850</v>
      </c>
      <c r="N1103" s="2" t="n">
        <v>3</v>
      </c>
      <c r="O1103" s="2" t="n">
        <v>12</v>
      </c>
      <c r="P1103" s="2" t="n">
        <v>0</v>
      </c>
      <c r="Q1103" s="2" t="n">
        <v>9</v>
      </c>
      <c r="R1103" s="2" t="n">
        <v>5</v>
      </c>
      <c r="S1103" s="2" t="n">
        <v>4</v>
      </c>
      <c r="T1103" s="2" t="n">
        <v>0</v>
      </c>
      <c r="U1103" s="2" t="n">
        <v>1</v>
      </c>
      <c r="V1103" s="2" t="n">
        <v>4</v>
      </c>
      <c r="W1103" s="2" t="n">
        <v>4</v>
      </c>
      <c r="X1103" s="2" t="n">
        <v>2</v>
      </c>
      <c r="Y1103" s="2" t="n">
        <v>3</v>
      </c>
      <c r="Z1103" s="2" t="n">
        <v>3</v>
      </c>
    </row>
    <row r="1104" customFormat="false" ht="15" hidden="false" customHeight="true" outlineLevel="0" collapsed="false">
      <c r="A1104" s="2" t="n">
        <v>31</v>
      </c>
      <c r="B1104" s="2" t="s">
        <v>26</v>
      </c>
      <c r="C1104" s="2" t="s">
        <v>27</v>
      </c>
      <c r="D1104" s="2" t="s">
        <v>28</v>
      </c>
      <c r="E1104" s="2" t="n">
        <v>25</v>
      </c>
      <c r="F1104" s="2" t="n">
        <v>2</v>
      </c>
      <c r="G1104" s="2" t="s">
        <v>29</v>
      </c>
      <c r="H1104" s="2" t="n">
        <v>1103</v>
      </c>
      <c r="I1104" s="2" t="s">
        <v>30</v>
      </c>
      <c r="J1104" s="2" t="n">
        <v>3</v>
      </c>
      <c r="K1104" s="2" t="s">
        <v>47</v>
      </c>
      <c r="L1104" s="2" t="s">
        <v>46</v>
      </c>
      <c r="M1104" s="2" t="n">
        <v>182130</v>
      </c>
      <c r="N1104" s="2" t="n">
        <v>8</v>
      </c>
      <c r="O1104" s="2" t="n">
        <v>21</v>
      </c>
      <c r="P1104" s="2" t="n">
        <v>2</v>
      </c>
      <c r="Q1104" s="2" t="n">
        <v>4</v>
      </c>
      <c r="R1104" s="2" t="n">
        <v>3</v>
      </c>
      <c r="S1104" s="2" t="n">
        <v>2</v>
      </c>
      <c r="T1104" s="2" t="n">
        <v>2</v>
      </c>
      <c r="U1104" s="2" t="n">
        <v>2</v>
      </c>
      <c r="V1104" s="2" t="n">
        <v>1</v>
      </c>
      <c r="W1104" s="2" t="n">
        <v>3</v>
      </c>
      <c r="X1104" s="2" t="n">
        <v>2</v>
      </c>
      <c r="Y1104" s="2" t="n">
        <v>4</v>
      </c>
      <c r="Z1104" s="2" t="n">
        <v>4</v>
      </c>
    </row>
    <row r="1105" customFormat="false" ht="15" hidden="false" customHeight="true" outlineLevel="0" collapsed="false">
      <c r="A1105" s="2" t="n">
        <v>26</v>
      </c>
      <c r="B1105" s="2" t="s">
        <v>26</v>
      </c>
      <c r="C1105" s="2" t="s">
        <v>34</v>
      </c>
      <c r="D1105" s="2" t="s">
        <v>28</v>
      </c>
      <c r="E1105" s="2" t="n">
        <v>16</v>
      </c>
      <c r="F1105" s="2" t="n">
        <v>2</v>
      </c>
      <c r="G1105" s="2" t="s">
        <v>29</v>
      </c>
      <c r="H1105" s="2" t="n">
        <v>1104</v>
      </c>
      <c r="I1105" s="2" t="s">
        <v>39</v>
      </c>
      <c r="J1105" s="2" t="n">
        <v>2</v>
      </c>
      <c r="K1105" s="2" t="s">
        <v>31</v>
      </c>
      <c r="L1105" s="2" t="s">
        <v>32</v>
      </c>
      <c r="M1105" s="2" t="n">
        <v>83800</v>
      </c>
      <c r="N1105" s="2"/>
      <c r="O1105" s="2" t="n">
        <v>14</v>
      </c>
      <c r="P1105" s="2" t="n">
        <v>0</v>
      </c>
      <c r="Q1105" s="2" t="n">
        <v>8</v>
      </c>
      <c r="R1105" s="2" t="n">
        <v>3</v>
      </c>
      <c r="S1105" s="2" t="n">
        <v>7</v>
      </c>
      <c r="T1105" s="2" t="n">
        <v>7</v>
      </c>
      <c r="U1105" s="2" t="n">
        <v>7</v>
      </c>
      <c r="V1105" s="2" t="n">
        <v>3</v>
      </c>
      <c r="W1105" s="2" t="n">
        <v>4</v>
      </c>
      <c r="X1105" s="2" t="n">
        <v>3</v>
      </c>
      <c r="Y1105" s="2" t="n">
        <v>4</v>
      </c>
      <c r="Z1105" s="2" t="n">
        <v>3</v>
      </c>
    </row>
    <row r="1106" customFormat="false" ht="15" hidden="false" customHeight="true" outlineLevel="0" collapsed="false">
      <c r="A1106" s="2" t="n">
        <v>45</v>
      </c>
      <c r="B1106" s="2" t="s">
        <v>26</v>
      </c>
      <c r="C1106" s="2" t="s">
        <v>34</v>
      </c>
      <c r="D1106" s="2" t="s">
        <v>35</v>
      </c>
      <c r="E1106" s="2" t="n">
        <v>8</v>
      </c>
      <c r="F1106" s="2" t="n">
        <v>4</v>
      </c>
      <c r="G1106" s="2" t="s">
        <v>29</v>
      </c>
      <c r="H1106" s="2" t="n">
        <v>1105</v>
      </c>
      <c r="I1106" s="2" t="s">
        <v>30</v>
      </c>
      <c r="J1106" s="2" t="n">
        <v>2</v>
      </c>
      <c r="K1106" s="2" t="s">
        <v>49</v>
      </c>
      <c r="L1106" s="2" t="s">
        <v>37</v>
      </c>
      <c r="M1106" s="2" t="n">
        <v>29940</v>
      </c>
      <c r="N1106" s="2" t="n">
        <v>4</v>
      </c>
      <c r="O1106" s="2" t="n">
        <v>18</v>
      </c>
      <c r="P1106" s="2" t="n">
        <v>1</v>
      </c>
      <c r="Q1106" s="2" t="n">
        <v>12</v>
      </c>
      <c r="R1106" s="2" t="n">
        <v>2</v>
      </c>
      <c r="S1106" s="2" t="n">
        <v>4</v>
      </c>
      <c r="T1106" s="2" t="n">
        <v>0</v>
      </c>
      <c r="U1106" s="2" t="n">
        <v>3</v>
      </c>
      <c r="V1106" s="2" t="n">
        <v>2</v>
      </c>
      <c r="W1106" s="2" t="n">
        <v>3</v>
      </c>
      <c r="X1106" s="2" t="n">
        <v>3</v>
      </c>
      <c r="Y1106" s="2" t="n">
        <v>3</v>
      </c>
      <c r="Z1106" s="2" t="n">
        <v>3</v>
      </c>
    </row>
    <row r="1107" customFormat="false" ht="15" hidden="false" customHeight="true" outlineLevel="0" collapsed="false">
      <c r="A1107" s="2" t="n">
        <v>33</v>
      </c>
      <c r="B1107" s="2" t="s">
        <v>26</v>
      </c>
      <c r="C1107" s="2" t="s">
        <v>27</v>
      </c>
      <c r="D1107" s="2" t="s">
        <v>28</v>
      </c>
      <c r="E1107" s="2" t="n">
        <v>1</v>
      </c>
      <c r="F1107" s="2" t="n">
        <v>3</v>
      </c>
      <c r="G1107" s="2" t="s">
        <v>29</v>
      </c>
      <c r="H1107" s="2" t="n">
        <v>1106</v>
      </c>
      <c r="I1107" s="2" t="s">
        <v>30</v>
      </c>
      <c r="J1107" s="2" t="n">
        <v>5</v>
      </c>
      <c r="K1107" s="2" t="s">
        <v>40</v>
      </c>
      <c r="L1107" s="2" t="s">
        <v>37</v>
      </c>
      <c r="M1107" s="2" t="n">
        <v>12230</v>
      </c>
      <c r="N1107" s="2" t="n">
        <v>1</v>
      </c>
      <c r="O1107" s="2" t="n">
        <v>13</v>
      </c>
      <c r="P1107" s="2" t="n">
        <v>1</v>
      </c>
      <c r="Q1107" s="2" t="n">
        <v>10</v>
      </c>
      <c r="R1107" s="2" t="n">
        <v>3</v>
      </c>
      <c r="S1107" s="2" t="n">
        <v>10</v>
      </c>
      <c r="T1107" s="2" t="n">
        <v>0</v>
      </c>
      <c r="U1107" s="2" t="n">
        <v>9</v>
      </c>
      <c r="V1107" s="2" t="n">
        <v>2</v>
      </c>
      <c r="W1107" s="2" t="n">
        <v>3</v>
      </c>
      <c r="X1107" s="2" t="n">
        <v>2</v>
      </c>
      <c r="Y1107" s="2" t="n">
        <v>3</v>
      </c>
      <c r="Z1107" s="2" t="n">
        <v>3</v>
      </c>
    </row>
    <row r="1108" customFormat="false" ht="15" hidden="false" customHeight="true" outlineLevel="0" collapsed="false">
      <c r="A1108" s="2" t="n">
        <v>28</v>
      </c>
      <c r="B1108" s="2" t="s">
        <v>26</v>
      </c>
      <c r="C1108" s="2" t="s">
        <v>34</v>
      </c>
      <c r="D1108" s="2" t="s">
        <v>28</v>
      </c>
      <c r="E1108" s="2" t="n">
        <v>8</v>
      </c>
      <c r="F1108" s="2" t="n">
        <v>3</v>
      </c>
      <c r="G1108" s="2" t="s">
        <v>29</v>
      </c>
      <c r="H1108" s="2" t="n">
        <v>1107</v>
      </c>
      <c r="I1108" s="2" t="s">
        <v>39</v>
      </c>
      <c r="J1108" s="2" t="n">
        <v>4</v>
      </c>
      <c r="K1108" s="2" t="s">
        <v>36</v>
      </c>
      <c r="L1108" s="2" t="s">
        <v>32</v>
      </c>
      <c r="M1108" s="2" t="n">
        <v>11180</v>
      </c>
      <c r="N1108" s="2" t="n">
        <v>1</v>
      </c>
      <c r="O1108" s="2" t="n">
        <v>11</v>
      </c>
      <c r="P1108" s="2" t="n">
        <v>0</v>
      </c>
      <c r="Q1108" s="2" t="n">
        <v>7</v>
      </c>
      <c r="R1108" s="2" t="n">
        <v>3</v>
      </c>
      <c r="S1108" s="2" t="n">
        <v>7</v>
      </c>
      <c r="T1108" s="2" t="n">
        <v>0</v>
      </c>
      <c r="U1108" s="2" t="n">
        <v>7</v>
      </c>
      <c r="V1108" s="2" t="n">
        <v>3</v>
      </c>
      <c r="W1108" s="2" t="n">
        <v>4</v>
      </c>
      <c r="X1108" s="2" t="n">
        <v>3</v>
      </c>
      <c r="Y1108" s="2" t="n">
        <v>3</v>
      </c>
      <c r="Z1108" s="2" t="n">
        <v>3</v>
      </c>
    </row>
    <row r="1109" customFormat="false" ht="15" hidden="false" customHeight="true" outlineLevel="0" collapsed="false">
      <c r="A1109" s="2" t="n">
        <v>29</v>
      </c>
      <c r="B1109" s="2" t="s">
        <v>33</v>
      </c>
      <c r="C1109" s="2" t="s">
        <v>34</v>
      </c>
      <c r="D1109" s="2" t="s">
        <v>42</v>
      </c>
      <c r="E1109" s="2" t="n">
        <v>2</v>
      </c>
      <c r="F1109" s="2" t="n">
        <v>4</v>
      </c>
      <c r="G1109" s="2" t="s">
        <v>42</v>
      </c>
      <c r="H1109" s="2" t="n">
        <v>1108</v>
      </c>
      <c r="I1109" s="2" t="s">
        <v>39</v>
      </c>
      <c r="J1109" s="2" t="n">
        <v>2</v>
      </c>
      <c r="K1109" s="2" t="s">
        <v>40</v>
      </c>
      <c r="L1109" s="2" t="s">
        <v>37</v>
      </c>
      <c r="M1109" s="2" t="n">
        <v>28750</v>
      </c>
      <c r="N1109" s="2" t="n">
        <v>1</v>
      </c>
      <c r="O1109" s="2" t="n">
        <v>11</v>
      </c>
      <c r="P1109" s="2" t="n">
        <v>0</v>
      </c>
      <c r="Q1109" s="2" t="n">
        <v>1</v>
      </c>
      <c r="R1109" s="2" t="n">
        <v>3</v>
      </c>
      <c r="S1109" s="2" t="n">
        <v>1</v>
      </c>
      <c r="T1109" s="2" t="n">
        <v>0</v>
      </c>
      <c r="U1109" s="2" t="n">
        <v>0</v>
      </c>
      <c r="V1109" s="2" t="n">
        <v>3</v>
      </c>
      <c r="W1109" s="2" t="n">
        <v>1</v>
      </c>
      <c r="X1109" s="2" t="n">
        <v>3</v>
      </c>
      <c r="Y1109" s="2" t="n">
        <v>3</v>
      </c>
      <c r="Z1109" s="2" t="n">
        <v>3</v>
      </c>
    </row>
    <row r="1110" customFormat="false" ht="15" hidden="false" customHeight="true" outlineLevel="0" collapsed="false">
      <c r="A1110" s="2" t="n">
        <v>39</v>
      </c>
      <c r="B1110" s="2" t="s">
        <v>26</v>
      </c>
      <c r="C1110" s="2" t="s">
        <v>41</v>
      </c>
      <c r="D1110" s="2" t="s">
        <v>35</v>
      </c>
      <c r="E1110" s="2" t="n">
        <v>8</v>
      </c>
      <c r="F1110" s="2" t="n">
        <v>5</v>
      </c>
      <c r="G1110" s="2" t="s">
        <v>43</v>
      </c>
      <c r="H1110" s="2" t="n">
        <v>1109</v>
      </c>
      <c r="I1110" s="2" t="s">
        <v>30</v>
      </c>
      <c r="J1110" s="2" t="n">
        <v>2</v>
      </c>
      <c r="K1110" s="2" t="s">
        <v>48</v>
      </c>
      <c r="L1110" s="2" t="s">
        <v>32</v>
      </c>
      <c r="M1110" s="2" t="n">
        <v>188240</v>
      </c>
      <c r="N1110" s="2" t="n">
        <v>6</v>
      </c>
      <c r="O1110" s="2" t="n">
        <v>19</v>
      </c>
      <c r="P1110" s="2" t="n">
        <v>1</v>
      </c>
      <c r="Q1110" s="2" t="n">
        <v>10</v>
      </c>
      <c r="R1110" s="2" t="n">
        <v>4</v>
      </c>
      <c r="S1110" s="2" t="n">
        <v>3</v>
      </c>
      <c r="T1110" s="2" t="n">
        <v>1</v>
      </c>
      <c r="U1110" s="2" t="n">
        <v>2</v>
      </c>
      <c r="V1110" s="2" t="n">
        <v>1</v>
      </c>
      <c r="W1110" s="2" t="n">
        <v>3</v>
      </c>
      <c r="X1110" s="2" t="n">
        <v>3</v>
      </c>
      <c r="Y1110" s="2" t="n">
        <v>3</v>
      </c>
      <c r="Z1110" s="2" t="n">
        <v>3</v>
      </c>
    </row>
    <row r="1111" customFormat="false" ht="15" hidden="false" customHeight="true" outlineLevel="0" collapsed="false">
      <c r="A1111" s="2" t="n">
        <v>27</v>
      </c>
      <c r="B1111" s="2" t="s">
        <v>26</v>
      </c>
      <c r="C1111" s="2" t="s">
        <v>27</v>
      </c>
      <c r="D1111" s="2" t="s">
        <v>28</v>
      </c>
      <c r="E1111" s="2" t="n">
        <v>3</v>
      </c>
      <c r="F1111" s="2" t="n">
        <v>2</v>
      </c>
      <c r="G1111" s="2" t="s">
        <v>51</v>
      </c>
      <c r="H1111" s="2" t="n">
        <v>1110</v>
      </c>
      <c r="I1111" s="2" t="s">
        <v>39</v>
      </c>
      <c r="J1111" s="2" t="n">
        <v>2</v>
      </c>
      <c r="K1111" s="2" t="s">
        <v>31</v>
      </c>
      <c r="L1111" s="2" t="s">
        <v>32</v>
      </c>
      <c r="M1111" s="2" t="n">
        <v>135770</v>
      </c>
      <c r="N1111" s="2" t="n">
        <v>1</v>
      </c>
      <c r="O1111" s="2" t="n">
        <v>12</v>
      </c>
      <c r="P1111" s="2" t="n">
        <v>1</v>
      </c>
      <c r="Q1111" s="2" t="n">
        <v>6</v>
      </c>
      <c r="R1111" s="2" t="n">
        <v>2</v>
      </c>
      <c r="S1111" s="2" t="n">
        <v>5</v>
      </c>
      <c r="T1111" s="2" t="n">
        <v>1</v>
      </c>
      <c r="U1111" s="2" t="n">
        <v>2</v>
      </c>
      <c r="V1111" s="2" t="n">
        <v>2</v>
      </c>
      <c r="W1111" s="2" t="n">
        <v>2</v>
      </c>
      <c r="X1111" s="2" t="n">
        <v>2</v>
      </c>
      <c r="Y1111" s="2" t="n">
        <v>3</v>
      </c>
      <c r="Z1111" s="2" t="n">
        <v>3</v>
      </c>
    </row>
    <row r="1112" customFormat="false" ht="15" hidden="false" customHeight="true" outlineLevel="0" collapsed="false">
      <c r="A1112" s="2" t="n">
        <v>34</v>
      </c>
      <c r="B1112" s="2" t="s">
        <v>26</v>
      </c>
      <c r="C1112" s="2" t="s">
        <v>34</v>
      </c>
      <c r="D1112" s="2" t="s">
        <v>35</v>
      </c>
      <c r="E1112" s="2" t="n">
        <v>9</v>
      </c>
      <c r="F1112" s="2" t="n">
        <v>4</v>
      </c>
      <c r="G1112" s="2" t="s">
        <v>29</v>
      </c>
      <c r="H1112" s="2" t="n">
        <v>1111</v>
      </c>
      <c r="I1112" s="2" t="s">
        <v>30</v>
      </c>
      <c r="J1112" s="2" t="n">
        <v>2</v>
      </c>
      <c r="K1112" s="2" t="s">
        <v>47</v>
      </c>
      <c r="L1112" s="2" t="s">
        <v>32</v>
      </c>
      <c r="M1112" s="2" t="n">
        <v>26250</v>
      </c>
      <c r="N1112" s="2" t="n">
        <v>1</v>
      </c>
      <c r="O1112" s="2" t="n">
        <v>12</v>
      </c>
      <c r="P1112" s="2" t="n">
        <v>3</v>
      </c>
      <c r="Q1112" s="2" t="n">
        <v>16</v>
      </c>
      <c r="R1112" s="2" t="n">
        <v>4</v>
      </c>
      <c r="S1112" s="2" t="n">
        <v>15</v>
      </c>
      <c r="T1112" s="2" t="n">
        <v>6</v>
      </c>
      <c r="U1112" s="2" t="n">
        <v>11</v>
      </c>
      <c r="V1112" s="2" t="n">
        <v>3</v>
      </c>
      <c r="W1112" s="2" t="n">
        <v>4</v>
      </c>
      <c r="X1112" s="2" t="n">
        <v>3</v>
      </c>
      <c r="Y1112" s="2" t="n">
        <v>3</v>
      </c>
      <c r="Z1112" s="2" t="n">
        <v>3</v>
      </c>
    </row>
    <row r="1113" customFormat="false" ht="15" hidden="false" customHeight="true" outlineLevel="0" collapsed="false">
      <c r="A1113" s="2" t="n">
        <v>28</v>
      </c>
      <c r="B1113" s="2" t="s">
        <v>33</v>
      </c>
      <c r="C1113" s="2" t="s">
        <v>27</v>
      </c>
      <c r="D1113" s="2" t="s">
        <v>35</v>
      </c>
      <c r="E1113" s="2" t="n">
        <v>25</v>
      </c>
      <c r="F1113" s="2" t="n">
        <v>3</v>
      </c>
      <c r="G1113" s="2" t="s">
        <v>51</v>
      </c>
      <c r="H1113" s="2" t="n">
        <v>1112</v>
      </c>
      <c r="I1113" s="2" t="s">
        <v>39</v>
      </c>
      <c r="J1113" s="2" t="n">
        <v>1</v>
      </c>
      <c r="K1113" s="2" t="s">
        <v>44</v>
      </c>
      <c r="L1113" s="2" t="s">
        <v>37</v>
      </c>
      <c r="M1113" s="2" t="n">
        <v>187890</v>
      </c>
      <c r="N1113" s="2" t="n">
        <v>3</v>
      </c>
      <c r="O1113" s="2" t="n">
        <v>16</v>
      </c>
      <c r="P1113" s="2" t="n">
        <v>1</v>
      </c>
      <c r="Q1113" s="2" t="n">
        <v>6</v>
      </c>
      <c r="R1113" s="2" t="n">
        <v>4</v>
      </c>
      <c r="S1113" s="2" t="n">
        <v>2</v>
      </c>
      <c r="T1113" s="2" t="n">
        <v>2</v>
      </c>
      <c r="U1113" s="2" t="n">
        <v>2</v>
      </c>
      <c r="V1113" s="2" t="n">
        <v>4</v>
      </c>
      <c r="W1113" s="2" t="n">
        <v>3</v>
      </c>
      <c r="X1113" s="2" t="n">
        <v>3</v>
      </c>
      <c r="Y1113" s="2" t="n">
        <v>3</v>
      </c>
      <c r="Z1113" s="2" t="n">
        <v>3</v>
      </c>
    </row>
    <row r="1114" customFormat="false" ht="15" hidden="false" customHeight="true" outlineLevel="0" collapsed="false">
      <c r="A1114" s="2" t="n">
        <v>47</v>
      </c>
      <c r="B1114" s="2" t="s">
        <v>26</v>
      </c>
      <c r="C1114" s="2" t="s">
        <v>41</v>
      </c>
      <c r="D1114" s="2" t="s">
        <v>35</v>
      </c>
      <c r="E1114" s="2" t="n">
        <v>1</v>
      </c>
      <c r="F1114" s="2" t="n">
        <v>4</v>
      </c>
      <c r="G1114" s="2" t="s">
        <v>43</v>
      </c>
      <c r="H1114" s="2" t="n">
        <v>1113</v>
      </c>
      <c r="I1114" s="2" t="s">
        <v>39</v>
      </c>
      <c r="J1114" s="2" t="n">
        <v>1</v>
      </c>
      <c r="K1114" s="2" t="s">
        <v>36</v>
      </c>
      <c r="L1114" s="2" t="s">
        <v>32</v>
      </c>
      <c r="M1114" s="2" t="n">
        <v>45380</v>
      </c>
      <c r="N1114" s="2" t="n">
        <v>8</v>
      </c>
      <c r="O1114" s="2" t="n">
        <v>11</v>
      </c>
      <c r="P1114" s="2" t="n">
        <v>0</v>
      </c>
      <c r="Q1114" s="2" t="n">
        <v>16</v>
      </c>
      <c r="R1114" s="2" t="n">
        <v>3</v>
      </c>
      <c r="S1114" s="2" t="n">
        <v>8</v>
      </c>
      <c r="T1114" s="2" t="n">
        <v>1</v>
      </c>
      <c r="U1114" s="2" t="n">
        <v>7</v>
      </c>
      <c r="V1114" s="2" t="n">
        <v>3</v>
      </c>
      <c r="W1114" s="2" t="n">
        <v>2</v>
      </c>
      <c r="X1114" s="2" t="n">
        <v>4</v>
      </c>
      <c r="Y1114" s="2" t="n">
        <v>3</v>
      </c>
      <c r="Z1114" s="2" t="n">
        <v>3</v>
      </c>
    </row>
    <row r="1115" customFormat="false" ht="15" hidden="false" customHeight="true" outlineLevel="0" collapsed="false">
      <c r="A1115" s="2" t="n">
        <v>56</v>
      </c>
      <c r="B1115" s="2" t="s">
        <v>26</v>
      </c>
      <c r="C1115" s="2" t="s">
        <v>27</v>
      </c>
      <c r="D1115" s="2" t="s">
        <v>35</v>
      </c>
      <c r="E1115" s="2" t="n">
        <v>4</v>
      </c>
      <c r="F1115" s="2" t="n">
        <v>3</v>
      </c>
      <c r="G1115" s="2" t="s">
        <v>51</v>
      </c>
      <c r="H1115" s="2" t="n">
        <v>1114</v>
      </c>
      <c r="I1115" s="2" t="s">
        <v>30</v>
      </c>
      <c r="J1115" s="2" t="n">
        <v>2</v>
      </c>
      <c r="K1115" s="2" t="s">
        <v>40</v>
      </c>
      <c r="L1115" s="2" t="s">
        <v>32</v>
      </c>
      <c r="M1115" s="2" t="n">
        <v>198470</v>
      </c>
      <c r="N1115" s="2" t="n">
        <v>4</v>
      </c>
      <c r="O1115" s="2" t="n">
        <v>14</v>
      </c>
      <c r="P1115" s="2" t="n">
        <v>0</v>
      </c>
      <c r="Q1115" s="2" t="n">
        <v>6</v>
      </c>
      <c r="R1115" s="2" t="n">
        <v>6</v>
      </c>
      <c r="S1115" s="2" t="n">
        <v>0</v>
      </c>
      <c r="T1115" s="2" t="n">
        <v>0</v>
      </c>
      <c r="U1115" s="2" t="n">
        <v>0</v>
      </c>
      <c r="V1115" s="2" t="n">
        <v>4</v>
      </c>
      <c r="W1115" s="2" t="n">
        <v>1</v>
      </c>
      <c r="X1115" s="2" t="n">
        <v>3</v>
      </c>
      <c r="Y1115" s="2" t="n">
        <v>3</v>
      </c>
      <c r="Z1115" s="2" t="n">
        <v>3</v>
      </c>
    </row>
    <row r="1116" customFormat="false" ht="15" hidden="false" customHeight="true" outlineLevel="0" collapsed="false">
      <c r="A1116" s="2" t="n">
        <v>39</v>
      </c>
      <c r="B1116" s="2" t="s">
        <v>26</v>
      </c>
      <c r="C1116" s="2" t="s">
        <v>27</v>
      </c>
      <c r="D1116" s="2" t="s">
        <v>35</v>
      </c>
      <c r="E1116" s="2" t="n">
        <v>1</v>
      </c>
      <c r="F1116" s="2" t="n">
        <v>3</v>
      </c>
      <c r="G1116" s="2" t="s">
        <v>38</v>
      </c>
      <c r="H1116" s="2" t="n">
        <v>1115</v>
      </c>
      <c r="I1116" s="2" t="s">
        <v>30</v>
      </c>
      <c r="J1116" s="2" t="n">
        <v>1</v>
      </c>
      <c r="K1116" s="2" t="s">
        <v>45</v>
      </c>
      <c r="L1116" s="2" t="s">
        <v>32</v>
      </c>
      <c r="M1116" s="2" t="n">
        <v>105120</v>
      </c>
      <c r="N1116" s="2" t="n">
        <v>1</v>
      </c>
      <c r="O1116" s="2" t="n">
        <v>12</v>
      </c>
      <c r="P1116" s="2" t="n">
        <v>1</v>
      </c>
      <c r="Q1116" s="2" t="n">
        <v>10</v>
      </c>
      <c r="R1116" s="2" t="n">
        <v>2</v>
      </c>
      <c r="S1116" s="2" t="n">
        <v>10</v>
      </c>
      <c r="T1116" s="2" t="n">
        <v>7</v>
      </c>
      <c r="U1116" s="2" t="n">
        <v>9</v>
      </c>
      <c r="V1116" s="2" t="n">
        <v>1</v>
      </c>
      <c r="W1116" s="2" t="n">
        <v>1</v>
      </c>
      <c r="X1116" s="2" t="n">
        <v>3</v>
      </c>
      <c r="Y1116" s="2" t="n">
        <v>3</v>
      </c>
      <c r="Z1116" s="2" t="n">
        <v>3</v>
      </c>
    </row>
    <row r="1117" customFormat="false" ht="15" hidden="false" customHeight="true" outlineLevel="0" collapsed="false">
      <c r="A1117" s="2" t="n">
        <v>38</v>
      </c>
      <c r="B1117" s="2" t="s">
        <v>26</v>
      </c>
      <c r="C1117" s="2" t="s">
        <v>34</v>
      </c>
      <c r="D1117" s="2" t="s">
        <v>35</v>
      </c>
      <c r="E1117" s="2" t="n">
        <v>4</v>
      </c>
      <c r="F1117" s="2" t="n">
        <v>2</v>
      </c>
      <c r="G1117" s="2" t="s">
        <v>43</v>
      </c>
      <c r="H1117" s="2" t="n">
        <v>1116</v>
      </c>
      <c r="I1117" s="2" t="s">
        <v>30</v>
      </c>
      <c r="J1117" s="2" t="n">
        <v>1</v>
      </c>
      <c r="K1117" s="2" t="s">
        <v>49</v>
      </c>
      <c r="L1117" s="2" t="s">
        <v>46</v>
      </c>
      <c r="M1117" s="2" t="n">
        <v>44440</v>
      </c>
      <c r="N1117" s="2" t="n">
        <v>1</v>
      </c>
      <c r="O1117" s="2" t="n">
        <v>13</v>
      </c>
      <c r="P1117" s="2" t="n">
        <v>0</v>
      </c>
      <c r="Q1117" s="2" t="n">
        <v>20</v>
      </c>
      <c r="R1117" s="2" t="n">
        <v>2</v>
      </c>
      <c r="S1117" s="2" t="n">
        <v>20</v>
      </c>
      <c r="T1117" s="2" t="n">
        <v>0</v>
      </c>
      <c r="U1117" s="2" t="n">
        <v>7</v>
      </c>
      <c r="V1117" s="2" t="n">
        <v>4</v>
      </c>
      <c r="W1117" s="2" t="n">
        <v>2</v>
      </c>
      <c r="X1117" s="2" t="n">
        <v>3</v>
      </c>
      <c r="Y1117" s="2" t="n">
        <v>3</v>
      </c>
      <c r="Z1117" s="2" t="n">
        <v>3</v>
      </c>
    </row>
    <row r="1118" customFormat="false" ht="15" hidden="false" customHeight="true" outlineLevel="0" collapsed="false">
      <c r="A1118" s="2" t="n">
        <v>58</v>
      </c>
      <c r="B1118" s="2" t="s">
        <v>26</v>
      </c>
      <c r="C1118" s="2" t="s">
        <v>27</v>
      </c>
      <c r="D1118" s="2" t="s">
        <v>28</v>
      </c>
      <c r="E1118" s="2" t="n">
        <v>5</v>
      </c>
      <c r="F1118" s="2" t="n">
        <v>3</v>
      </c>
      <c r="G1118" s="2" t="s">
        <v>50</v>
      </c>
      <c r="H1118" s="2" t="n">
        <v>1117</v>
      </c>
      <c r="I1118" s="2" t="s">
        <v>39</v>
      </c>
      <c r="J1118" s="2" t="n">
        <v>5</v>
      </c>
      <c r="K1118" s="2" t="s">
        <v>48</v>
      </c>
      <c r="L1118" s="2" t="s">
        <v>32</v>
      </c>
      <c r="M1118" s="2" t="n">
        <v>21540</v>
      </c>
      <c r="N1118" s="2" t="n">
        <v>4</v>
      </c>
      <c r="O1118" s="2" t="n">
        <v>21</v>
      </c>
      <c r="P1118" s="2" t="n">
        <v>1</v>
      </c>
      <c r="Q1118" s="2" t="n">
        <v>29</v>
      </c>
      <c r="R1118" s="2" t="n">
        <v>3</v>
      </c>
      <c r="S1118" s="2" t="n">
        <v>1</v>
      </c>
      <c r="T1118" s="2" t="n">
        <v>0</v>
      </c>
      <c r="U1118" s="2" t="n">
        <v>0</v>
      </c>
      <c r="V1118" s="2" t="n">
        <v>4</v>
      </c>
      <c r="W1118" s="2" t="n">
        <v>4</v>
      </c>
      <c r="X1118" s="2" t="n">
        <v>2</v>
      </c>
      <c r="Y1118" s="2" t="n">
        <v>3</v>
      </c>
      <c r="Z1118" s="2" t="n">
        <v>4</v>
      </c>
    </row>
    <row r="1119" customFormat="false" ht="15" hidden="false" customHeight="true" outlineLevel="0" collapsed="false">
      <c r="A1119" s="2" t="n">
        <v>32</v>
      </c>
      <c r="B1119" s="2" t="s">
        <v>33</v>
      </c>
      <c r="C1119" s="2" t="s">
        <v>34</v>
      </c>
      <c r="D1119" s="2" t="s">
        <v>35</v>
      </c>
      <c r="E1119" s="2" t="n">
        <v>9</v>
      </c>
      <c r="F1119" s="2" t="n">
        <v>3</v>
      </c>
      <c r="G1119" s="2" t="s">
        <v>29</v>
      </c>
      <c r="H1119" s="2" t="n">
        <v>1118</v>
      </c>
      <c r="I1119" s="2" t="s">
        <v>39</v>
      </c>
      <c r="J1119" s="2" t="n">
        <v>2</v>
      </c>
      <c r="K1119" s="2" t="s">
        <v>45</v>
      </c>
      <c r="L1119" s="2" t="s">
        <v>37</v>
      </c>
      <c r="M1119" s="2" t="n">
        <v>191900</v>
      </c>
      <c r="N1119" s="2" t="n">
        <v>3</v>
      </c>
      <c r="O1119" s="2" t="n">
        <v>17</v>
      </c>
      <c r="P1119" s="2" t="n">
        <v>1</v>
      </c>
      <c r="Q1119" s="2" t="n">
        <v>8</v>
      </c>
      <c r="R1119" s="2" t="n">
        <v>2</v>
      </c>
      <c r="S1119" s="2" t="n">
        <v>4</v>
      </c>
      <c r="T1119" s="2" t="n">
        <v>0</v>
      </c>
      <c r="U1119" s="2" t="n">
        <v>3</v>
      </c>
      <c r="V1119" s="2" t="n">
        <v>1</v>
      </c>
      <c r="W1119" s="2" t="n">
        <v>3</v>
      </c>
      <c r="X1119" s="2" t="n">
        <v>3</v>
      </c>
      <c r="Y1119" s="2" t="n">
        <v>3</v>
      </c>
      <c r="Z1119" s="2" t="n">
        <v>3</v>
      </c>
    </row>
    <row r="1120" customFormat="false" ht="15" hidden="false" customHeight="true" outlineLevel="0" collapsed="false">
      <c r="A1120" s="2" t="n">
        <v>38</v>
      </c>
      <c r="B1120" s="2" t="s">
        <v>26</v>
      </c>
      <c r="C1120" s="2" t="s">
        <v>27</v>
      </c>
      <c r="D1120" s="2" t="s">
        <v>35</v>
      </c>
      <c r="E1120" s="2" t="n">
        <v>3</v>
      </c>
      <c r="F1120" s="2" t="n">
        <v>4</v>
      </c>
      <c r="G1120" s="2" t="s">
        <v>29</v>
      </c>
      <c r="H1120" s="2" t="n">
        <v>1119</v>
      </c>
      <c r="I1120" s="2" t="s">
        <v>30</v>
      </c>
      <c r="J1120" s="2" t="n">
        <v>1</v>
      </c>
      <c r="K1120" s="2" t="s">
        <v>48</v>
      </c>
      <c r="L1120" s="2" t="s">
        <v>46</v>
      </c>
      <c r="M1120" s="2" t="n">
        <v>44900</v>
      </c>
      <c r="N1120" s="2" t="n">
        <v>2</v>
      </c>
      <c r="O1120" s="2" t="n">
        <v>21</v>
      </c>
      <c r="P1120" s="2" t="n">
        <v>1</v>
      </c>
      <c r="Q1120" s="2" t="n">
        <v>10</v>
      </c>
      <c r="R1120" s="2" t="n">
        <v>1</v>
      </c>
      <c r="S1120" s="2" t="n">
        <v>5</v>
      </c>
      <c r="T1120" s="2" t="n">
        <v>0</v>
      </c>
      <c r="U1120" s="2" t="n">
        <v>3</v>
      </c>
      <c r="V1120" s="2" t="n">
        <v>2</v>
      </c>
      <c r="W1120" s="2" t="n">
        <v>4</v>
      </c>
      <c r="X1120" s="2" t="n">
        <v>4</v>
      </c>
      <c r="Y1120" s="2" t="n">
        <v>3</v>
      </c>
      <c r="Z1120" s="2" t="n">
        <v>4</v>
      </c>
    </row>
    <row r="1121" customFormat="false" ht="15" hidden="false" customHeight="true" outlineLevel="0" collapsed="false">
      <c r="A1121" s="2" t="n">
        <v>49</v>
      </c>
      <c r="B1121" s="2" t="s">
        <v>26</v>
      </c>
      <c r="C1121" s="2" t="s">
        <v>34</v>
      </c>
      <c r="D1121" s="2" t="s">
        <v>28</v>
      </c>
      <c r="E1121" s="2" t="n">
        <v>11</v>
      </c>
      <c r="F1121" s="2" t="n">
        <v>4</v>
      </c>
      <c r="G1121" s="2" t="s">
        <v>29</v>
      </c>
      <c r="H1121" s="2" t="n">
        <v>1120</v>
      </c>
      <c r="I1121" s="2" t="s">
        <v>39</v>
      </c>
      <c r="J1121" s="2" t="n">
        <v>2</v>
      </c>
      <c r="K1121" s="2" t="s">
        <v>36</v>
      </c>
      <c r="L1121" s="2" t="s">
        <v>32</v>
      </c>
      <c r="M1121" s="2" t="n">
        <v>35060</v>
      </c>
      <c r="N1121" s="2" t="n">
        <v>3</v>
      </c>
      <c r="O1121" s="2" t="n">
        <v>11</v>
      </c>
      <c r="P1121" s="2" t="n">
        <v>1</v>
      </c>
      <c r="Q1121" s="2" t="n">
        <v>28</v>
      </c>
      <c r="R1121" s="2" t="n">
        <v>4</v>
      </c>
      <c r="S1121" s="2" t="n">
        <v>5</v>
      </c>
      <c r="T1121" s="2" t="n">
        <v>4</v>
      </c>
      <c r="U1121" s="2" t="n">
        <v>3</v>
      </c>
      <c r="V1121" s="2" t="n">
        <v>2</v>
      </c>
      <c r="W1121" s="2" t="n">
        <v>4</v>
      </c>
      <c r="X1121" s="2" t="n">
        <v>3</v>
      </c>
      <c r="Y1121" s="2" t="n">
        <v>2</v>
      </c>
      <c r="Z1121" s="2" t="n">
        <v>3</v>
      </c>
    </row>
    <row r="1122" customFormat="false" ht="15" hidden="false" customHeight="true" outlineLevel="0" collapsed="false">
      <c r="A1122" s="2" t="n">
        <v>42</v>
      </c>
      <c r="B1122" s="2" t="s">
        <v>26</v>
      </c>
      <c r="C1122" s="2" t="s">
        <v>27</v>
      </c>
      <c r="D1122" s="2" t="s">
        <v>28</v>
      </c>
      <c r="E1122" s="2" t="n">
        <v>1</v>
      </c>
      <c r="F1122" s="2" t="n">
        <v>3</v>
      </c>
      <c r="G1122" s="2" t="s">
        <v>29</v>
      </c>
      <c r="H1122" s="2" t="n">
        <v>1121</v>
      </c>
      <c r="I1122" s="2" t="s">
        <v>30</v>
      </c>
      <c r="J1122" s="2" t="n">
        <v>1</v>
      </c>
      <c r="K1122" s="2" t="s">
        <v>40</v>
      </c>
      <c r="L1122" s="2" t="s">
        <v>46</v>
      </c>
      <c r="M1122" s="2" t="n">
        <v>23720</v>
      </c>
      <c r="N1122" s="2" t="n">
        <v>3</v>
      </c>
      <c r="O1122" s="2" t="n">
        <v>12</v>
      </c>
      <c r="P1122" s="2" t="n">
        <v>1</v>
      </c>
      <c r="Q1122" s="2" t="n">
        <v>14</v>
      </c>
      <c r="R1122" s="2" t="n">
        <v>3</v>
      </c>
      <c r="S1122" s="2" t="n">
        <v>0</v>
      </c>
      <c r="T1122" s="2" t="n">
        <v>0</v>
      </c>
      <c r="U1122" s="2" t="n">
        <v>0</v>
      </c>
      <c r="V1122" s="2" t="n">
        <v>2</v>
      </c>
      <c r="W1122" s="2" t="n">
        <v>4</v>
      </c>
      <c r="X1122" s="2" t="n">
        <v>3</v>
      </c>
      <c r="Y1122" s="2" t="n">
        <v>3</v>
      </c>
      <c r="Z1122" s="2" t="n">
        <v>3</v>
      </c>
    </row>
    <row r="1123" customFormat="false" ht="15" hidden="false" customHeight="true" outlineLevel="0" collapsed="false">
      <c r="A1123" s="2" t="n">
        <v>27</v>
      </c>
      <c r="B1123" s="2" t="s">
        <v>33</v>
      </c>
      <c r="C1123" s="2" t="s">
        <v>34</v>
      </c>
      <c r="D1123" s="2" t="s">
        <v>28</v>
      </c>
      <c r="E1123" s="2" t="n">
        <v>8</v>
      </c>
      <c r="F1123" s="2" t="n">
        <v>1</v>
      </c>
      <c r="G1123" s="2" t="s">
        <v>29</v>
      </c>
      <c r="H1123" s="2" t="n">
        <v>1122</v>
      </c>
      <c r="I1123" s="2" t="s">
        <v>39</v>
      </c>
      <c r="J1123" s="2" t="n">
        <v>4</v>
      </c>
      <c r="K1123" s="2" t="s">
        <v>45</v>
      </c>
      <c r="L1123" s="2" t="s">
        <v>32</v>
      </c>
      <c r="M1123" s="2" t="n">
        <v>102310</v>
      </c>
      <c r="N1123" s="2" t="n">
        <v>1</v>
      </c>
      <c r="O1123" s="2" t="n">
        <v>13</v>
      </c>
      <c r="P1123" s="2" t="n">
        <v>1</v>
      </c>
      <c r="Q1123" s="2" t="n">
        <v>1</v>
      </c>
      <c r="R1123" s="2" t="n">
        <v>2</v>
      </c>
      <c r="S1123" s="2" t="n">
        <v>1</v>
      </c>
      <c r="T1123" s="2" t="n">
        <v>0</v>
      </c>
      <c r="U1123" s="2" t="n">
        <v>0</v>
      </c>
      <c r="V1123" s="2" t="n">
        <v>1</v>
      </c>
      <c r="W1123" s="2" t="n">
        <v>2</v>
      </c>
      <c r="X1123" s="2" t="n">
        <v>3</v>
      </c>
      <c r="Y1123" s="2" t="n">
        <v>3</v>
      </c>
      <c r="Z1123" s="2" t="n">
        <v>3</v>
      </c>
    </row>
    <row r="1124" customFormat="false" ht="15" hidden="false" customHeight="true" outlineLevel="0" collapsed="false">
      <c r="A1124" s="2" t="n">
        <v>35</v>
      </c>
      <c r="B1124" s="2" t="s">
        <v>26</v>
      </c>
      <c r="C1124" s="2" t="s">
        <v>27</v>
      </c>
      <c r="D1124" s="2" t="s">
        <v>35</v>
      </c>
      <c r="E1124" s="2" t="n">
        <v>25</v>
      </c>
      <c r="F1124" s="2" t="n">
        <v>1</v>
      </c>
      <c r="G1124" s="2" t="s">
        <v>43</v>
      </c>
      <c r="H1124" s="2" t="n">
        <v>1123</v>
      </c>
      <c r="I1124" s="2" t="s">
        <v>39</v>
      </c>
      <c r="J1124" s="2" t="n">
        <v>1</v>
      </c>
      <c r="K1124" s="2" t="s">
        <v>40</v>
      </c>
      <c r="L1124" s="2" t="s">
        <v>32</v>
      </c>
      <c r="M1124" s="2" t="n">
        <v>54100</v>
      </c>
      <c r="N1124" s="2" t="n">
        <v>0</v>
      </c>
      <c r="O1124" s="2" t="n">
        <v>18</v>
      </c>
      <c r="P1124" s="2" t="n">
        <v>0</v>
      </c>
      <c r="Q1124" s="2" t="n">
        <v>6</v>
      </c>
      <c r="R1124" s="2" t="n">
        <v>4</v>
      </c>
      <c r="S1124" s="2" t="n">
        <v>5</v>
      </c>
      <c r="T1124" s="2" t="n">
        <v>0</v>
      </c>
      <c r="U1124" s="2" t="n">
        <v>4</v>
      </c>
      <c r="V1124" s="2" t="n">
        <v>2</v>
      </c>
      <c r="W1124" s="2" t="n">
        <v>1</v>
      </c>
      <c r="X1124" s="2" t="n">
        <v>1</v>
      </c>
      <c r="Y1124" s="2" t="n">
        <v>3</v>
      </c>
      <c r="Z1124" s="2" t="n">
        <v>3</v>
      </c>
    </row>
    <row r="1125" customFormat="false" ht="15" hidden="false" customHeight="true" outlineLevel="0" collapsed="false">
      <c r="A1125" s="2" t="n">
        <v>28</v>
      </c>
      <c r="B1125" s="2" t="s">
        <v>26</v>
      </c>
      <c r="C1125" s="2" t="s">
        <v>41</v>
      </c>
      <c r="D1125" s="2" t="s">
        <v>35</v>
      </c>
      <c r="E1125" s="2" t="n">
        <v>21</v>
      </c>
      <c r="F1125" s="2" t="n">
        <v>1</v>
      </c>
      <c r="G1125" s="2" t="s">
        <v>43</v>
      </c>
      <c r="H1125" s="2" t="n">
        <v>1124</v>
      </c>
      <c r="I1125" s="2" t="s">
        <v>39</v>
      </c>
      <c r="J1125" s="2" t="n">
        <v>3</v>
      </c>
      <c r="K1125" s="2" t="s">
        <v>36</v>
      </c>
      <c r="L1125" s="2" t="s">
        <v>37</v>
      </c>
      <c r="M1125" s="2" t="n">
        <v>79780</v>
      </c>
      <c r="N1125" s="2" t="n">
        <v>1</v>
      </c>
      <c r="O1125" s="2" t="n">
        <v>16</v>
      </c>
      <c r="P1125" s="2" t="n">
        <v>2</v>
      </c>
      <c r="Q1125" s="2" t="n">
        <v>5</v>
      </c>
      <c r="R1125" s="2" t="n">
        <v>2</v>
      </c>
      <c r="S1125" s="2" t="n">
        <v>5</v>
      </c>
      <c r="T1125" s="2" t="n">
        <v>1</v>
      </c>
      <c r="U1125" s="2" t="n">
        <v>4</v>
      </c>
      <c r="V1125" s="2" t="n">
        <v>3</v>
      </c>
      <c r="W1125" s="2" t="n">
        <v>3</v>
      </c>
      <c r="X1125" s="2" t="n">
        <v>2</v>
      </c>
      <c r="Y1125" s="2" t="n">
        <v>3</v>
      </c>
      <c r="Z1125" s="2" t="n">
        <v>3</v>
      </c>
    </row>
    <row r="1126" customFormat="false" ht="15" hidden="false" customHeight="true" outlineLevel="0" collapsed="false">
      <c r="A1126" s="2" t="n">
        <v>31</v>
      </c>
      <c r="B1126" s="2" t="s">
        <v>26</v>
      </c>
      <c r="C1126" s="2" t="s">
        <v>41</v>
      </c>
      <c r="D1126" s="2" t="s">
        <v>28</v>
      </c>
      <c r="E1126" s="2" t="n">
        <v>23</v>
      </c>
      <c r="F1126" s="2" t="n">
        <v>1</v>
      </c>
      <c r="G1126" s="2" t="s">
        <v>43</v>
      </c>
      <c r="H1126" s="2" t="n">
        <v>1125</v>
      </c>
      <c r="I1126" s="2" t="s">
        <v>39</v>
      </c>
      <c r="J1126" s="2" t="n">
        <v>1</v>
      </c>
      <c r="K1126" s="2" t="s">
        <v>40</v>
      </c>
      <c r="L1126" s="2" t="s">
        <v>46</v>
      </c>
      <c r="M1126" s="2" t="n">
        <v>38670</v>
      </c>
      <c r="N1126" s="2" t="n">
        <v>1</v>
      </c>
      <c r="O1126" s="2" t="n">
        <v>11</v>
      </c>
      <c r="P1126" s="2" t="n">
        <v>1</v>
      </c>
      <c r="Q1126" s="2" t="n">
        <v>4</v>
      </c>
      <c r="R1126" s="2" t="n">
        <v>4</v>
      </c>
      <c r="S1126" s="2" t="n">
        <v>4</v>
      </c>
      <c r="T1126" s="2" t="n">
        <v>2</v>
      </c>
      <c r="U1126" s="2" t="n">
        <v>3</v>
      </c>
      <c r="V1126" s="2" t="n">
        <v>3</v>
      </c>
      <c r="W1126" s="2" t="n">
        <v>1</v>
      </c>
      <c r="X1126" s="2" t="n">
        <v>4</v>
      </c>
      <c r="Y1126" s="2" t="n">
        <v>4</v>
      </c>
      <c r="Z1126" s="2" t="n">
        <v>3</v>
      </c>
    </row>
    <row r="1127" customFormat="false" ht="15" hidden="false" customHeight="true" outlineLevel="0" collapsed="false">
      <c r="A1127" s="2" t="n">
        <v>36</v>
      </c>
      <c r="B1127" s="2" t="s">
        <v>26</v>
      </c>
      <c r="C1127" s="2" t="s">
        <v>41</v>
      </c>
      <c r="D1127" s="2" t="s">
        <v>35</v>
      </c>
      <c r="E1127" s="2" t="n">
        <v>1</v>
      </c>
      <c r="F1127" s="2" t="n">
        <v>3</v>
      </c>
      <c r="G1127" s="2" t="s">
        <v>29</v>
      </c>
      <c r="H1127" s="2" t="n">
        <v>1126</v>
      </c>
      <c r="I1127" s="2" t="s">
        <v>39</v>
      </c>
      <c r="J1127" s="2" t="n">
        <v>2</v>
      </c>
      <c r="K1127" s="2" t="s">
        <v>36</v>
      </c>
      <c r="L1127" s="2" t="s">
        <v>32</v>
      </c>
      <c r="M1127" s="2" t="n">
        <v>28380</v>
      </c>
      <c r="N1127" s="2" t="n">
        <v>1</v>
      </c>
      <c r="O1127" s="2" t="n">
        <v>19</v>
      </c>
      <c r="P1127" s="2" t="n">
        <v>2</v>
      </c>
      <c r="Q1127" s="2" t="n">
        <v>5</v>
      </c>
      <c r="R1127" s="2" t="n">
        <v>5</v>
      </c>
      <c r="S1127" s="2" t="n">
        <v>5</v>
      </c>
      <c r="T1127" s="2" t="n">
        <v>0</v>
      </c>
      <c r="U1127" s="2" t="n">
        <v>2</v>
      </c>
      <c r="V1127" s="2" t="n">
        <v>1</v>
      </c>
      <c r="W1127" s="2" t="n">
        <v>2</v>
      </c>
      <c r="X1127" s="2" t="n">
        <v>3</v>
      </c>
      <c r="Y1127" s="2" t="n">
        <v>1</v>
      </c>
      <c r="Z1127" s="2" t="n">
        <v>3</v>
      </c>
    </row>
    <row r="1128" customFormat="false" ht="15" hidden="false" customHeight="true" outlineLevel="0" collapsed="false">
      <c r="A1128" s="2" t="n">
        <v>34</v>
      </c>
      <c r="B1128" s="2" t="s">
        <v>26</v>
      </c>
      <c r="C1128" s="2" t="s">
        <v>27</v>
      </c>
      <c r="D1128" s="2" t="s">
        <v>28</v>
      </c>
      <c r="E1128" s="2" t="n">
        <v>2</v>
      </c>
      <c r="F1128" s="2" t="n">
        <v>3</v>
      </c>
      <c r="G1128" s="2" t="s">
        <v>50</v>
      </c>
      <c r="H1128" s="2" t="n">
        <v>1127</v>
      </c>
      <c r="I1128" s="2" t="s">
        <v>39</v>
      </c>
      <c r="J1128" s="2" t="n">
        <v>4</v>
      </c>
      <c r="K1128" s="2" t="s">
        <v>31</v>
      </c>
      <c r="L1128" s="2" t="s">
        <v>37</v>
      </c>
      <c r="M1128" s="2" t="n">
        <v>46950</v>
      </c>
      <c r="N1128" s="2" t="n">
        <v>1</v>
      </c>
      <c r="O1128" s="2" t="n">
        <v>16</v>
      </c>
      <c r="P1128" s="2" t="n">
        <v>1</v>
      </c>
      <c r="Q1128" s="2" t="n">
        <v>14</v>
      </c>
      <c r="R1128" s="2" t="n">
        <v>2</v>
      </c>
      <c r="S1128" s="2" t="n">
        <v>14</v>
      </c>
      <c r="T1128" s="2" t="n">
        <v>2</v>
      </c>
      <c r="U1128" s="2" t="n">
        <v>1</v>
      </c>
      <c r="V1128" s="2" t="n">
        <v>1</v>
      </c>
      <c r="W1128" s="2" t="n">
        <v>4</v>
      </c>
      <c r="X1128" s="2" t="n">
        <v>2</v>
      </c>
      <c r="Y1128" s="2" t="n">
        <v>3</v>
      </c>
      <c r="Z1128" s="2" t="n">
        <v>3</v>
      </c>
    </row>
    <row r="1129" customFormat="false" ht="15" hidden="false" customHeight="true" outlineLevel="0" collapsed="false">
      <c r="A1129" s="2" t="n">
        <v>34</v>
      </c>
      <c r="B1129" s="2" t="s">
        <v>26</v>
      </c>
      <c r="C1129" s="2" t="s">
        <v>27</v>
      </c>
      <c r="D1129" s="2" t="s">
        <v>35</v>
      </c>
      <c r="E1129" s="2" t="n">
        <v>19</v>
      </c>
      <c r="F1129" s="2" t="n">
        <v>3</v>
      </c>
      <c r="G1129" s="2" t="s">
        <v>51</v>
      </c>
      <c r="H1129" s="2" t="n">
        <v>1128</v>
      </c>
      <c r="I1129" s="2" t="s">
        <v>30</v>
      </c>
      <c r="J1129" s="2" t="n">
        <v>1</v>
      </c>
      <c r="K1129" s="2" t="s">
        <v>44</v>
      </c>
      <c r="L1129" s="2" t="s">
        <v>46</v>
      </c>
      <c r="M1129" s="2" t="n">
        <v>33390</v>
      </c>
      <c r="N1129" s="2" t="n">
        <v>1</v>
      </c>
      <c r="O1129" s="2" t="n">
        <v>16</v>
      </c>
      <c r="P1129" s="2" t="n">
        <v>0</v>
      </c>
      <c r="Q1129" s="2" t="n">
        <v>9</v>
      </c>
      <c r="R1129" s="2" t="n">
        <v>2</v>
      </c>
      <c r="S1129" s="2" t="n">
        <v>8</v>
      </c>
      <c r="T1129" s="2" t="n">
        <v>1</v>
      </c>
      <c r="U1129" s="2" t="n">
        <v>1</v>
      </c>
      <c r="V1129" s="2" t="n">
        <v>4</v>
      </c>
      <c r="W1129" s="2" t="n">
        <v>3</v>
      </c>
      <c r="X1129" s="2" t="n">
        <v>2</v>
      </c>
      <c r="Y1129" s="2" t="n">
        <v>2</v>
      </c>
      <c r="Z1129" s="2" t="n">
        <v>3</v>
      </c>
    </row>
    <row r="1130" customFormat="false" ht="15" hidden="false" customHeight="true" outlineLevel="0" collapsed="false">
      <c r="A1130" s="2" t="n">
        <v>26</v>
      </c>
      <c r="B1130" s="2" t="s">
        <v>26</v>
      </c>
      <c r="C1130" s="2" t="s">
        <v>27</v>
      </c>
      <c r="D1130" s="2" t="s">
        <v>35</v>
      </c>
      <c r="E1130" s="2" t="n">
        <v>2</v>
      </c>
      <c r="F1130" s="2" t="n">
        <v>2</v>
      </c>
      <c r="G1130" s="2" t="s">
        <v>29</v>
      </c>
      <c r="H1130" s="2" t="n">
        <v>1129</v>
      </c>
      <c r="I1130" s="2" t="s">
        <v>39</v>
      </c>
      <c r="J1130" s="2" t="n">
        <v>2</v>
      </c>
      <c r="K1130" s="2" t="s">
        <v>36</v>
      </c>
      <c r="L1130" s="2" t="s">
        <v>37</v>
      </c>
      <c r="M1130" s="2" t="n">
        <v>20800</v>
      </c>
      <c r="N1130" s="2" t="n">
        <v>0</v>
      </c>
      <c r="O1130" s="2" t="n">
        <v>13</v>
      </c>
      <c r="P1130" s="2" t="n">
        <v>0</v>
      </c>
      <c r="Q1130" s="2" t="n">
        <v>8</v>
      </c>
      <c r="R1130" s="2" t="n">
        <v>6</v>
      </c>
      <c r="S1130" s="2" t="n">
        <v>7</v>
      </c>
      <c r="T1130" s="2" t="n">
        <v>7</v>
      </c>
      <c r="U1130" s="2" t="n">
        <v>6</v>
      </c>
      <c r="V1130" s="2" t="n">
        <v>3</v>
      </c>
      <c r="W1130" s="2" t="n">
        <v>1</v>
      </c>
      <c r="X1130" s="2" t="n">
        <v>2</v>
      </c>
      <c r="Y1130" s="2" t="n">
        <v>4</v>
      </c>
      <c r="Z1130" s="2" t="n">
        <v>3</v>
      </c>
    </row>
    <row r="1131" customFormat="false" ht="15" hidden="false" customHeight="true" outlineLevel="0" collapsed="false">
      <c r="A1131" s="2" t="n">
        <v>29</v>
      </c>
      <c r="B1131" s="2" t="s">
        <v>26</v>
      </c>
      <c r="C1131" s="2" t="s">
        <v>27</v>
      </c>
      <c r="D1131" s="2" t="s">
        <v>35</v>
      </c>
      <c r="E1131" s="2" t="n">
        <v>2</v>
      </c>
      <c r="F1131" s="2" t="n">
        <v>4</v>
      </c>
      <c r="G1131" s="2" t="s">
        <v>38</v>
      </c>
      <c r="H1131" s="2" t="n">
        <v>1130</v>
      </c>
      <c r="I1131" s="2" t="s">
        <v>39</v>
      </c>
      <c r="J1131" s="2" t="n">
        <v>2</v>
      </c>
      <c r="K1131" s="2" t="s">
        <v>45</v>
      </c>
      <c r="L1131" s="2" t="s">
        <v>32</v>
      </c>
      <c r="M1131" s="2" t="n">
        <v>20960</v>
      </c>
      <c r="N1131" s="2" t="n">
        <v>0</v>
      </c>
      <c r="O1131" s="2" t="n">
        <v>22</v>
      </c>
      <c r="P1131" s="2" t="n">
        <v>0</v>
      </c>
      <c r="Q1131" s="2" t="n">
        <v>6</v>
      </c>
      <c r="R1131" s="2" t="n">
        <v>2</v>
      </c>
      <c r="S1131" s="2" t="n">
        <v>5</v>
      </c>
      <c r="T1131" s="2" t="n">
        <v>0</v>
      </c>
      <c r="U1131" s="2" t="n">
        <v>2</v>
      </c>
      <c r="V1131" s="2" t="n">
        <v>1</v>
      </c>
      <c r="W1131" s="2" t="n">
        <v>1</v>
      </c>
      <c r="X1131" s="2" t="n">
        <v>2</v>
      </c>
      <c r="Y1131" s="2" t="n">
        <v>4</v>
      </c>
      <c r="Z1131" s="2" t="n">
        <v>4</v>
      </c>
    </row>
    <row r="1132" customFormat="false" ht="15" hidden="false" customHeight="true" outlineLevel="0" collapsed="false">
      <c r="A1132" s="2" t="n">
        <v>32</v>
      </c>
      <c r="B1132" s="2" t="s">
        <v>26</v>
      </c>
      <c r="C1132" s="2" t="s">
        <v>41</v>
      </c>
      <c r="D1132" s="2" t="s">
        <v>35</v>
      </c>
      <c r="E1132" s="2" t="n">
        <v>3</v>
      </c>
      <c r="F1132" s="2" t="n">
        <v>1</v>
      </c>
      <c r="G1132" s="2" t="s">
        <v>29</v>
      </c>
      <c r="H1132" s="2" t="n">
        <v>1131</v>
      </c>
      <c r="I1132" s="2" t="s">
        <v>39</v>
      </c>
      <c r="J1132" s="2" t="n">
        <v>3</v>
      </c>
      <c r="K1132" s="2" t="s">
        <v>49</v>
      </c>
      <c r="L1132" s="2" t="s">
        <v>46</v>
      </c>
      <c r="M1132" s="2" t="n">
        <v>62090</v>
      </c>
      <c r="N1132" s="2" t="n">
        <v>5</v>
      </c>
      <c r="O1132" s="2" t="n">
        <v>17</v>
      </c>
      <c r="P1132" s="2" t="n">
        <v>1</v>
      </c>
      <c r="Q1132" s="2" t="n">
        <v>9</v>
      </c>
      <c r="R1132" s="2" t="n">
        <v>5</v>
      </c>
      <c r="S1132" s="2" t="n">
        <v>5</v>
      </c>
      <c r="T1132" s="2" t="n">
        <v>1</v>
      </c>
      <c r="U1132" s="2" t="n">
        <v>2</v>
      </c>
      <c r="V1132" s="2" t="n">
        <v>3</v>
      </c>
      <c r="W1132" s="2" t="n">
        <v>4</v>
      </c>
      <c r="X1132" s="2" t="n">
        <v>3</v>
      </c>
      <c r="Y1132" s="2" t="n">
        <v>4</v>
      </c>
      <c r="Z1132" s="2" t="n">
        <v>3</v>
      </c>
    </row>
    <row r="1133" customFormat="false" ht="15" hidden="false" customHeight="true" outlineLevel="0" collapsed="false">
      <c r="A1133" s="2" t="n">
        <v>31</v>
      </c>
      <c r="B1133" s="2" t="s">
        <v>26</v>
      </c>
      <c r="C1133" s="2" t="s">
        <v>34</v>
      </c>
      <c r="D1133" s="2" t="s">
        <v>35</v>
      </c>
      <c r="E1133" s="2" t="n">
        <v>25</v>
      </c>
      <c r="F1133" s="2" t="n">
        <v>5</v>
      </c>
      <c r="G1133" s="2" t="s">
        <v>51</v>
      </c>
      <c r="H1133" s="2" t="n">
        <v>1132</v>
      </c>
      <c r="I1133" s="2" t="s">
        <v>30</v>
      </c>
      <c r="J1133" s="2" t="n">
        <v>2</v>
      </c>
      <c r="K1133" s="2" t="s">
        <v>42</v>
      </c>
      <c r="L1133" s="2" t="s">
        <v>32</v>
      </c>
      <c r="M1133" s="2" t="n">
        <v>180610</v>
      </c>
      <c r="N1133" s="2" t="n">
        <v>1</v>
      </c>
      <c r="O1133" s="2" t="n">
        <v>14</v>
      </c>
      <c r="P1133" s="2" t="n">
        <v>1</v>
      </c>
      <c r="Q1133" s="2" t="n">
        <v>10</v>
      </c>
      <c r="R1133" s="2" t="n">
        <v>2</v>
      </c>
      <c r="S1133" s="2" t="n">
        <v>10</v>
      </c>
      <c r="T1133" s="2" t="n">
        <v>8</v>
      </c>
      <c r="U1133" s="2" t="n">
        <v>7</v>
      </c>
      <c r="V1133" s="2" t="n">
        <v>4</v>
      </c>
      <c r="W1133" s="2" t="n">
        <v>1</v>
      </c>
      <c r="X1133" s="2" t="n">
        <v>3</v>
      </c>
      <c r="Y1133" s="2" t="n">
        <v>3</v>
      </c>
      <c r="Z1133" s="2" t="n">
        <v>3</v>
      </c>
    </row>
    <row r="1134" customFormat="false" ht="15" hidden="false" customHeight="true" outlineLevel="0" collapsed="false">
      <c r="A1134" s="2" t="n">
        <v>28</v>
      </c>
      <c r="B1134" s="2" t="s">
        <v>33</v>
      </c>
      <c r="C1134" s="2" t="s">
        <v>27</v>
      </c>
      <c r="D1134" s="2" t="s">
        <v>28</v>
      </c>
      <c r="E1134" s="2" t="n">
        <v>7</v>
      </c>
      <c r="F1134" s="2" t="n">
        <v>5</v>
      </c>
      <c r="G1134" s="2" t="s">
        <v>29</v>
      </c>
      <c r="H1134" s="2" t="n">
        <v>1133</v>
      </c>
      <c r="I1134" s="2" t="s">
        <v>30</v>
      </c>
      <c r="J1134" s="2" t="n">
        <v>2</v>
      </c>
      <c r="K1134" s="2" t="s">
        <v>48</v>
      </c>
      <c r="L1134" s="2" t="s">
        <v>46</v>
      </c>
      <c r="M1134" s="2" t="n">
        <v>171230</v>
      </c>
      <c r="N1134" s="2" t="n">
        <v>5</v>
      </c>
      <c r="O1134" s="2" t="n">
        <v>15</v>
      </c>
      <c r="P1134" s="2" t="n">
        <v>1</v>
      </c>
      <c r="Q1134" s="2" t="n">
        <v>6</v>
      </c>
      <c r="R1134" s="2" t="n">
        <v>2</v>
      </c>
      <c r="S1134" s="2" t="n">
        <v>4</v>
      </c>
      <c r="T1134" s="2" t="n">
        <v>0</v>
      </c>
      <c r="U1134" s="2" t="n">
        <v>3</v>
      </c>
      <c r="V1134" s="2" t="n">
        <v>3</v>
      </c>
      <c r="W1134" s="2" t="n">
        <v>4</v>
      </c>
      <c r="X1134" s="2" t="n">
        <v>2</v>
      </c>
      <c r="Y1134" s="2" t="n">
        <v>2</v>
      </c>
      <c r="Z1134" s="2" t="n">
        <v>3</v>
      </c>
    </row>
    <row r="1135" customFormat="false" ht="15" hidden="false" customHeight="true" outlineLevel="0" collapsed="false">
      <c r="A1135" s="2" t="n">
        <v>38</v>
      </c>
      <c r="B1135" s="2" t="s">
        <v>26</v>
      </c>
      <c r="C1135" s="2" t="s">
        <v>27</v>
      </c>
      <c r="D1135" s="2" t="s">
        <v>35</v>
      </c>
      <c r="E1135" s="2" t="n">
        <v>9</v>
      </c>
      <c r="F1135" s="2" t="n">
        <v>2</v>
      </c>
      <c r="G1135" s="2" t="s">
        <v>51</v>
      </c>
      <c r="H1135" s="2" t="n">
        <v>1134</v>
      </c>
      <c r="I1135" s="2" t="s">
        <v>39</v>
      </c>
      <c r="J1135" s="2" t="n">
        <v>3</v>
      </c>
      <c r="K1135" s="2" t="s">
        <v>48</v>
      </c>
      <c r="L1135" s="2" t="s">
        <v>37</v>
      </c>
      <c r="M1135" s="2" t="n">
        <v>23720</v>
      </c>
      <c r="N1135" s="2" t="n">
        <v>4</v>
      </c>
      <c r="O1135" s="2" t="n">
        <v>12</v>
      </c>
      <c r="P1135" s="2" t="n">
        <v>0</v>
      </c>
      <c r="Q1135" s="2" t="n">
        <v>20</v>
      </c>
      <c r="R1135" s="2" t="n">
        <v>3</v>
      </c>
      <c r="S1135" s="2" t="n">
        <v>1</v>
      </c>
      <c r="T1135" s="2" t="n">
        <v>0</v>
      </c>
      <c r="U1135" s="2" t="n">
        <v>0</v>
      </c>
      <c r="V1135" s="2" t="n">
        <v>1</v>
      </c>
      <c r="W1135" s="2" t="n">
        <v>1</v>
      </c>
      <c r="X1135" s="2" t="n">
        <v>2</v>
      </c>
      <c r="Y1135" s="2" t="n">
        <v>2</v>
      </c>
      <c r="Z1135" s="2" t="n">
        <v>3</v>
      </c>
    </row>
    <row r="1136" customFormat="false" ht="15" hidden="false" customHeight="true" outlineLevel="0" collapsed="false">
      <c r="A1136" s="2" t="n">
        <v>35</v>
      </c>
      <c r="B1136" s="2" t="s">
        <v>26</v>
      </c>
      <c r="C1136" s="2" t="s">
        <v>27</v>
      </c>
      <c r="D1136" s="2" t="s">
        <v>35</v>
      </c>
      <c r="E1136" s="2" t="n">
        <v>5</v>
      </c>
      <c r="F1136" s="2" t="n">
        <v>3</v>
      </c>
      <c r="G1136" s="2" t="s">
        <v>29</v>
      </c>
      <c r="H1136" s="2" t="n">
        <v>1135</v>
      </c>
      <c r="I1136" s="2" t="s">
        <v>39</v>
      </c>
      <c r="J1136" s="2" t="n">
        <v>2</v>
      </c>
      <c r="K1136" s="2" t="s">
        <v>48</v>
      </c>
      <c r="L1136" s="2" t="s">
        <v>32</v>
      </c>
      <c r="M1136" s="2" t="n">
        <v>48830</v>
      </c>
      <c r="N1136" s="2" t="n">
        <v>1</v>
      </c>
      <c r="O1136" s="2" t="n">
        <v>18</v>
      </c>
      <c r="P1136" s="2" t="n">
        <v>1</v>
      </c>
      <c r="Q1136" s="2" t="n">
        <v>10</v>
      </c>
      <c r="R1136" s="2" t="n">
        <v>1</v>
      </c>
      <c r="S1136" s="2" t="n">
        <v>10</v>
      </c>
      <c r="T1136" s="2" t="n">
        <v>0</v>
      </c>
      <c r="U1136" s="2" t="n">
        <v>9</v>
      </c>
      <c r="V1136" s="2" t="n">
        <v>3</v>
      </c>
      <c r="W1136" s="2" t="n">
        <v>4</v>
      </c>
      <c r="X1136" s="2" t="n">
        <v>3</v>
      </c>
      <c r="Y1136" s="2" t="n">
        <v>1</v>
      </c>
      <c r="Z1136" s="2" t="n">
        <v>3</v>
      </c>
    </row>
    <row r="1137" customFormat="false" ht="15" hidden="false" customHeight="true" outlineLevel="0" collapsed="false">
      <c r="A1137" s="2" t="n">
        <v>27</v>
      </c>
      <c r="B1137" s="2" t="s">
        <v>26</v>
      </c>
      <c r="C1137" s="2" t="s">
        <v>27</v>
      </c>
      <c r="D1137" s="2" t="s">
        <v>28</v>
      </c>
      <c r="E1137" s="2" t="n">
        <v>2</v>
      </c>
      <c r="F1137" s="2" t="n">
        <v>3</v>
      </c>
      <c r="G1137" s="2" t="s">
        <v>29</v>
      </c>
      <c r="H1137" s="2" t="n">
        <v>1136</v>
      </c>
      <c r="I1137" s="2" t="s">
        <v>30</v>
      </c>
      <c r="J1137" s="2" t="n">
        <v>1</v>
      </c>
      <c r="K1137" s="2" t="s">
        <v>49</v>
      </c>
      <c r="L1137" s="2" t="s">
        <v>37</v>
      </c>
      <c r="M1137" s="2" t="n">
        <v>39040</v>
      </c>
      <c r="N1137" s="2" t="n">
        <v>1</v>
      </c>
      <c r="O1137" s="2" t="n">
        <v>15</v>
      </c>
      <c r="P1137" s="2" t="n">
        <v>0</v>
      </c>
      <c r="Q1137" s="2" t="n">
        <v>7</v>
      </c>
      <c r="R1137" s="2" t="n">
        <v>2</v>
      </c>
      <c r="S1137" s="2" t="n">
        <v>7</v>
      </c>
      <c r="T1137" s="2" t="n">
        <v>0</v>
      </c>
      <c r="U1137" s="2" t="n">
        <v>7</v>
      </c>
      <c r="V1137" s="2" t="n">
        <v>4</v>
      </c>
      <c r="W1137" s="2" t="n">
        <v>4</v>
      </c>
      <c r="X1137" s="2" t="n">
        <v>3</v>
      </c>
      <c r="Y1137" s="2" t="n">
        <v>3</v>
      </c>
      <c r="Z1137" s="2" t="n">
        <v>3</v>
      </c>
    </row>
    <row r="1138" customFormat="false" ht="15" hidden="false" customHeight="true" outlineLevel="0" collapsed="false">
      <c r="A1138" s="2" t="n">
        <v>32</v>
      </c>
      <c r="B1138" s="2" t="s">
        <v>26</v>
      </c>
      <c r="C1138" s="2" t="s">
        <v>27</v>
      </c>
      <c r="D1138" s="2" t="s">
        <v>35</v>
      </c>
      <c r="E1138" s="2" t="n">
        <v>8</v>
      </c>
      <c r="F1138" s="2" t="n">
        <v>1</v>
      </c>
      <c r="G1138" s="2" t="s">
        <v>43</v>
      </c>
      <c r="H1138" s="2" t="n">
        <v>1137</v>
      </c>
      <c r="I1138" s="2" t="s">
        <v>30</v>
      </c>
      <c r="J1138" s="2" t="n">
        <v>2</v>
      </c>
      <c r="K1138" s="2" t="s">
        <v>36</v>
      </c>
      <c r="L1138" s="2" t="s">
        <v>37</v>
      </c>
      <c r="M1138" s="2" t="n">
        <v>46270</v>
      </c>
      <c r="N1138" s="2" t="n">
        <v>8</v>
      </c>
      <c r="O1138" s="2" t="n">
        <v>17</v>
      </c>
      <c r="P1138" s="2" t="n">
        <v>1</v>
      </c>
      <c r="Q1138" s="2" t="n">
        <v>8</v>
      </c>
      <c r="R1138" s="2" t="n">
        <v>2</v>
      </c>
      <c r="S1138" s="2" t="n">
        <v>1</v>
      </c>
      <c r="T1138" s="2" t="n">
        <v>0</v>
      </c>
      <c r="U1138" s="2" t="n">
        <v>0</v>
      </c>
      <c r="V1138" s="2" t="n">
        <v>4</v>
      </c>
      <c r="W1138" s="2" t="n">
        <v>4</v>
      </c>
      <c r="X1138" s="2" t="n">
        <v>3</v>
      </c>
      <c r="Y1138" s="2" t="n">
        <v>2</v>
      </c>
      <c r="Z1138" s="2" t="n">
        <v>3</v>
      </c>
    </row>
    <row r="1139" customFormat="false" ht="15" hidden="false" customHeight="true" outlineLevel="0" collapsed="false">
      <c r="A1139" s="2" t="n">
        <v>31</v>
      </c>
      <c r="B1139" s="2" t="s">
        <v>33</v>
      </c>
      <c r="C1139" s="2" t="s">
        <v>34</v>
      </c>
      <c r="D1139" s="2" t="s">
        <v>35</v>
      </c>
      <c r="E1139" s="2" t="n">
        <v>2</v>
      </c>
      <c r="F1139" s="2" t="n">
        <v>1</v>
      </c>
      <c r="G1139" s="2" t="s">
        <v>38</v>
      </c>
      <c r="H1139" s="2" t="n">
        <v>1138</v>
      </c>
      <c r="I1139" s="2" t="s">
        <v>39</v>
      </c>
      <c r="J1139" s="2" t="n">
        <v>3</v>
      </c>
      <c r="K1139" s="2" t="s">
        <v>40</v>
      </c>
      <c r="L1139" s="2" t="s">
        <v>32</v>
      </c>
      <c r="M1139" s="2" t="n">
        <v>70940</v>
      </c>
      <c r="N1139" s="2" t="n">
        <v>1</v>
      </c>
      <c r="O1139" s="2" t="n">
        <v>14</v>
      </c>
      <c r="P1139" s="2" t="n">
        <v>1</v>
      </c>
      <c r="Q1139" s="2" t="n">
        <v>10</v>
      </c>
      <c r="R1139" s="2" t="n">
        <v>2</v>
      </c>
      <c r="S1139" s="2" t="n">
        <v>10</v>
      </c>
      <c r="T1139" s="2" t="n">
        <v>0</v>
      </c>
      <c r="U1139" s="2" t="n">
        <v>8</v>
      </c>
      <c r="V1139" s="2" t="n">
        <v>1</v>
      </c>
      <c r="W1139" s="2" t="n">
        <v>4</v>
      </c>
      <c r="X1139" s="2" t="n">
        <v>3</v>
      </c>
      <c r="Y1139" s="2" t="n">
        <v>3</v>
      </c>
      <c r="Z1139" s="2" t="n">
        <v>3</v>
      </c>
    </row>
    <row r="1140" customFormat="false" ht="15" hidden="false" customHeight="true" outlineLevel="0" collapsed="false">
      <c r="A1140" s="2" t="n">
        <v>53</v>
      </c>
      <c r="B1140" s="2" t="s">
        <v>33</v>
      </c>
      <c r="C1140" s="2" t="s">
        <v>27</v>
      </c>
      <c r="D1140" s="2" t="s">
        <v>35</v>
      </c>
      <c r="E1140" s="2" t="n">
        <v>18</v>
      </c>
      <c r="F1140" s="2" t="n">
        <v>3</v>
      </c>
      <c r="G1140" s="2" t="s">
        <v>43</v>
      </c>
      <c r="H1140" s="2" t="n">
        <v>1139</v>
      </c>
      <c r="I1140" s="2" t="s">
        <v>39</v>
      </c>
      <c r="J1140" s="2" t="n">
        <v>1</v>
      </c>
      <c r="K1140" s="2" t="s">
        <v>36</v>
      </c>
      <c r="L1140" s="2" t="s">
        <v>37</v>
      </c>
      <c r="M1140" s="2" t="n">
        <v>34230</v>
      </c>
      <c r="N1140" s="2" t="n">
        <v>6</v>
      </c>
      <c r="O1140" s="2" t="n">
        <v>15</v>
      </c>
      <c r="P1140" s="2" t="n">
        <v>1</v>
      </c>
      <c r="Q1140" s="2" t="n">
        <v>15</v>
      </c>
      <c r="R1140" s="2" t="n">
        <v>4</v>
      </c>
      <c r="S1140" s="2" t="n">
        <v>2</v>
      </c>
      <c r="T1140" s="2" t="n">
        <v>2</v>
      </c>
      <c r="U1140" s="2" t="n">
        <v>2</v>
      </c>
      <c r="V1140" s="2" t="n">
        <v>1</v>
      </c>
      <c r="W1140" s="2" t="n">
        <v>1</v>
      </c>
      <c r="X1140" s="2" t="n">
        <v>2</v>
      </c>
      <c r="Y1140" s="2" t="n">
        <v>3</v>
      </c>
      <c r="Z1140" s="2" t="n">
        <v>3</v>
      </c>
    </row>
    <row r="1141" customFormat="false" ht="15" hidden="false" customHeight="true" outlineLevel="0" collapsed="false">
      <c r="A1141" s="2" t="n">
        <v>54</v>
      </c>
      <c r="B1141" s="2" t="s">
        <v>26</v>
      </c>
      <c r="C1141" s="2" t="s">
        <v>27</v>
      </c>
      <c r="D1141" s="2" t="s">
        <v>35</v>
      </c>
      <c r="E1141" s="2" t="n">
        <v>14</v>
      </c>
      <c r="F1141" s="2" t="n">
        <v>3</v>
      </c>
      <c r="G1141" s="2" t="s">
        <v>38</v>
      </c>
      <c r="H1141" s="2" t="n">
        <v>1140</v>
      </c>
      <c r="I1141" s="2" t="s">
        <v>39</v>
      </c>
      <c r="J1141" s="2" t="n">
        <v>3</v>
      </c>
      <c r="K1141" s="2" t="s">
        <v>36</v>
      </c>
      <c r="L1141" s="2" t="s">
        <v>32</v>
      </c>
      <c r="M1141" s="2" t="n">
        <v>66740</v>
      </c>
      <c r="N1141" s="2" t="n">
        <v>3</v>
      </c>
      <c r="O1141" s="2" t="n">
        <v>17</v>
      </c>
      <c r="P1141" s="2" t="n">
        <v>1</v>
      </c>
      <c r="Q1141" s="2" t="n">
        <v>9</v>
      </c>
      <c r="R1141" s="2" t="n">
        <v>2</v>
      </c>
      <c r="S1141" s="2" t="n">
        <v>4</v>
      </c>
      <c r="T1141" s="2" t="n">
        <v>2</v>
      </c>
      <c r="U1141" s="2" t="n">
        <v>3</v>
      </c>
      <c r="V1141" s="2" t="n">
        <v>1</v>
      </c>
      <c r="W1141" s="2" t="n">
        <v>3</v>
      </c>
      <c r="X1141" s="2" t="n">
        <v>2</v>
      </c>
      <c r="Y1141" s="2" t="n">
        <v>3</v>
      </c>
      <c r="Z1141" s="2" t="n">
        <v>3</v>
      </c>
    </row>
    <row r="1142" customFormat="false" ht="15" hidden="false" customHeight="true" outlineLevel="0" collapsed="false">
      <c r="A1142" s="2" t="n">
        <v>33</v>
      </c>
      <c r="B1142" s="2" t="s">
        <v>26</v>
      </c>
      <c r="C1142" s="2" t="s">
        <v>34</v>
      </c>
      <c r="D1142" s="2" t="s">
        <v>35</v>
      </c>
      <c r="E1142" s="2" t="n">
        <v>2</v>
      </c>
      <c r="F1142" s="2" t="n">
        <v>4</v>
      </c>
      <c r="G1142" s="2" t="s">
        <v>43</v>
      </c>
      <c r="H1142" s="2" t="n">
        <v>1141</v>
      </c>
      <c r="I1142" s="2" t="s">
        <v>30</v>
      </c>
      <c r="J1142" s="2" t="n">
        <v>4</v>
      </c>
      <c r="K1142" s="2" t="s">
        <v>40</v>
      </c>
      <c r="L1142" s="2" t="s">
        <v>46</v>
      </c>
      <c r="M1142" s="2" t="n">
        <v>168800</v>
      </c>
      <c r="N1142" s="2" t="n">
        <v>1</v>
      </c>
      <c r="O1142" s="2" t="n">
        <v>14</v>
      </c>
      <c r="P1142" s="2" t="n">
        <v>3</v>
      </c>
      <c r="Q1142" s="2" t="n">
        <v>9</v>
      </c>
      <c r="R1142" s="2" t="n">
        <v>2</v>
      </c>
      <c r="S1142" s="2" t="n">
        <v>9</v>
      </c>
      <c r="T1142" s="2" t="n">
        <v>2</v>
      </c>
      <c r="U1142" s="2" t="n">
        <v>8</v>
      </c>
      <c r="V1142" s="2" t="n">
        <v>4</v>
      </c>
      <c r="W1142" s="2" t="n">
        <v>3</v>
      </c>
      <c r="X1142" s="2" t="n">
        <v>3</v>
      </c>
      <c r="Y1142" s="2" t="n">
        <v>3</v>
      </c>
      <c r="Z1142" s="2" t="n">
        <v>3</v>
      </c>
    </row>
    <row r="1143" customFormat="false" ht="15" hidden="false" customHeight="true" outlineLevel="0" collapsed="false">
      <c r="A1143" s="2" t="n">
        <v>43</v>
      </c>
      <c r="B1143" s="2" t="s">
        <v>26</v>
      </c>
      <c r="C1143" s="2" t="s">
        <v>27</v>
      </c>
      <c r="D1143" s="2" t="s">
        <v>35</v>
      </c>
      <c r="E1143" s="2" t="n">
        <v>3</v>
      </c>
      <c r="F1143" s="2" t="n">
        <v>3</v>
      </c>
      <c r="G1143" s="2" t="s">
        <v>43</v>
      </c>
      <c r="H1143" s="2" t="n">
        <v>1142</v>
      </c>
      <c r="I1143" s="2" t="s">
        <v>39</v>
      </c>
      <c r="J1143" s="2" t="n">
        <v>1</v>
      </c>
      <c r="K1143" s="2" t="s">
        <v>36</v>
      </c>
      <c r="L1143" s="2" t="s">
        <v>32</v>
      </c>
      <c r="M1143" s="2" t="n">
        <v>90940</v>
      </c>
      <c r="N1143" s="2" t="n">
        <v>1</v>
      </c>
      <c r="O1143" s="2" t="n">
        <v>12</v>
      </c>
      <c r="P1143" s="2" t="n">
        <v>1</v>
      </c>
      <c r="Q1143" s="2" t="n">
        <v>10</v>
      </c>
      <c r="R1143" s="2" t="n">
        <v>0</v>
      </c>
      <c r="S1143" s="2" t="n">
        <v>10</v>
      </c>
      <c r="T1143" s="2" t="n">
        <v>0</v>
      </c>
      <c r="U1143" s="2" t="n">
        <v>9</v>
      </c>
      <c r="V1143" s="2" t="n">
        <v>1</v>
      </c>
      <c r="W1143" s="2" t="n">
        <v>3</v>
      </c>
      <c r="X1143" s="2" t="n">
        <v>3</v>
      </c>
      <c r="Y1143" s="2" t="n">
        <v>3</v>
      </c>
      <c r="Z1143" s="2" t="n">
        <v>3</v>
      </c>
    </row>
    <row r="1144" customFormat="false" ht="15" hidden="false" customHeight="true" outlineLevel="0" collapsed="false">
      <c r="A1144" s="2" t="n">
        <v>38</v>
      </c>
      <c r="B1144" s="2" t="s">
        <v>26</v>
      </c>
      <c r="C1144" s="2" t="s">
        <v>34</v>
      </c>
      <c r="D1144" s="2" t="s">
        <v>35</v>
      </c>
      <c r="E1144" s="2" t="n">
        <v>2</v>
      </c>
      <c r="F1144" s="2" t="n">
        <v>5</v>
      </c>
      <c r="G1144" s="2" t="s">
        <v>43</v>
      </c>
      <c r="H1144" s="2" t="n">
        <v>1143</v>
      </c>
      <c r="I1144" s="2" t="s">
        <v>30</v>
      </c>
      <c r="J1144" s="2" t="n">
        <v>4</v>
      </c>
      <c r="K1144" s="2" t="s">
        <v>40</v>
      </c>
      <c r="L1144" s="2" t="s">
        <v>32</v>
      </c>
      <c r="M1144" s="2" t="n">
        <v>84460</v>
      </c>
      <c r="N1144" s="2" t="n">
        <v>0</v>
      </c>
      <c r="O1144" s="2" t="n">
        <v>14</v>
      </c>
      <c r="P1144" s="2" t="n">
        <v>0</v>
      </c>
      <c r="Q1144" s="2" t="n">
        <v>7</v>
      </c>
      <c r="R1144" s="2" t="n">
        <v>3</v>
      </c>
      <c r="S1144" s="2" t="n">
        <v>6</v>
      </c>
      <c r="T1144" s="2" t="n">
        <v>1</v>
      </c>
      <c r="U1144" s="2" t="n">
        <v>2</v>
      </c>
      <c r="V1144" s="2" t="n">
        <v>4</v>
      </c>
      <c r="W1144" s="2" t="n">
        <v>2</v>
      </c>
      <c r="X1144" s="2" t="n">
        <v>3</v>
      </c>
      <c r="Y1144" s="2" t="n">
        <v>2</v>
      </c>
      <c r="Z1144" s="2" t="n">
        <v>3</v>
      </c>
    </row>
    <row r="1145" customFormat="false" ht="15" hidden="false" customHeight="true" outlineLevel="0" collapsed="false">
      <c r="A1145" s="2" t="n">
        <v>55</v>
      </c>
      <c r="B1145" s="2" t="s">
        <v>26</v>
      </c>
      <c r="C1145" s="2" t="s">
        <v>27</v>
      </c>
      <c r="D1145" s="2" t="s">
        <v>28</v>
      </c>
      <c r="E1145" s="2" t="n">
        <v>9</v>
      </c>
      <c r="F1145" s="2" t="n">
        <v>3</v>
      </c>
      <c r="G1145" s="2" t="s">
        <v>50</v>
      </c>
      <c r="H1145" s="2" t="n">
        <v>1144</v>
      </c>
      <c r="I1145" s="2" t="s">
        <v>39</v>
      </c>
      <c r="J1145" s="2" t="n">
        <v>2</v>
      </c>
      <c r="K1145" s="2" t="s">
        <v>45</v>
      </c>
      <c r="L1145" s="2" t="s">
        <v>32</v>
      </c>
      <c r="M1145" s="2" t="n">
        <v>119160</v>
      </c>
      <c r="N1145" s="2" t="n">
        <v>4</v>
      </c>
      <c r="O1145" s="2" t="n">
        <v>15</v>
      </c>
      <c r="P1145" s="2" t="n">
        <v>1</v>
      </c>
      <c r="Q1145" s="2" t="n">
        <v>35</v>
      </c>
      <c r="R1145" s="2" t="n">
        <v>3</v>
      </c>
      <c r="S1145" s="2" t="n">
        <v>10</v>
      </c>
      <c r="T1145" s="2" t="n">
        <v>1</v>
      </c>
      <c r="U1145" s="2" t="n">
        <v>4</v>
      </c>
      <c r="V1145" s="2" t="n">
        <v>3</v>
      </c>
      <c r="W1145" s="2" t="n">
        <v>2</v>
      </c>
      <c r="X1145" s="2" t="n">
        <v>3</v>
      </c>
      <c r="Y1145" s="2" t="n">
        <v>2</v>
      </c>
      <c r="Z1145" s="2" t="n">
        <v>3</v>
      </c>
    </row>
    <row r="1146" customFormat="false" ht="15" hidden="false" customHeight="true" outlineLevel="0" collapsed="false">
      <c r="A1146" s="2" t="n">
        <v>31</v>
      </c>
      <c r="B1146" s="2" t="s">
        <v>26</v>
      </c>
      <c r="C1146" s="2" t="s">
        <v>27</v>
      </c>
      <c r="D1146" s="2" t="s">
        <v>28</v>
      </c>
      <c r="E1146" s="2" t="n">
        <v>6</v>
      </c>
      <c r="F1146" s="2" t="n">
        <v>3</v>
      </c>
      <c r="G1146" s="2" t="s">
        <v>38</v>
      </c>
      <c r="H1146" s="2" t="n">
        <v>1145</v>
      </c>
      <c r="I1146" s="2" t="s">
        <v>39</v>
      </c>
      <c r="J1146" s="2" t="n">
        <v>1</v>
      </c>
      <c r="K1146" s="2" t="s">
        <v>47</v>
      </c>
      <c r="L1146" s="2" t="s">
        <v>46</v>
      </c>
      <c r="M1146" s="2" t="n">
        <v>45340</v>
      </c>
      <c r="N1146" s="2" t="n">
        <v>1</v>
      </c>
      <c r="O1146" s="2" t="n">
        <v>13</v>
      </c>
      <c r="P1146" s="2" t="n">
        <v>0</v>
      </c>
      <c r="Q1146" s="2" t="n">
        <v>1</v>
      </c>
      <c r="R1146" s="2" t="n">
        <v>2</v>
      </c>
      <c r="S1146" s="2" t="n">
        <v>1</v>
      </c>
      <c r="T1146" s="2" t="n">
        <v>0</v>
      </c>
      <c r="U1146" s="2" t="n">
        <v>0</v>
      </c>
      <c r="V1146" s="2" t="n">
        <v>4</v>
      </c>
      <c r="W1146" s="2" t="n">
        <v>4</v>
      </c>
      <c r="X1146" s="2" t="n">
        <v>3</v>
      </c>
      <c r="Y1146" s="2" t="n">
        <v>3</v>
      </c>
      <c r="Z1146" s="2" t="n">
        <v>3</v>
      </c>
    </row>
    <row r="1147" customFormat="false" ht="15" hidden="false" customHeight="true" outlineLevel="0" collapsed="false">
      <c r="A1147" s="2" t="n">
        <v>39</v>
      </c>
      <c r="B1147" s="2" t="s">
        <v>26</v>
      </c>
      <c r="C1147" s="2" t="s">
        <v>27</v>
      </c>
      <c r="D1147" s="2" t="s">
        <v>35</v>
      </c>
      <c r="E1147" s="2" t="n">
        <v>4</v>
      </c>
      <c r="F1147" s="2" t="n">
        <v>3</v>
      </c>
      <c r="G1147" s="2" t="s">
        <v>29</v>
      </c>
      <c r="H1147" s="2" t="n">
        <v>1146</v>
      </c>
      <c r="I1147" s="2" t="s">
        <v>39</v>
      </c>
      <c r="J1147" s="2" t="n">
        <v>2</v>
      </c>
      <c r="K1147" s="2" t="s">
        <v>40</v>
      </c>
      <c r="L1147" s="2" t="s">
        <v>37</v>
      </c>
      <c r="M1147" s="2" t="n">
        <v>98520</v>
      </c>
      <c r="N1147" s="2" t="n">
        <v>0</v>
      </c>
      <c r="O1147" s="2" t="n">
        <v>12</v>
      </c>
      <c r="P1147" s="2" t="n">
        <v>1</v>
      </c>
      <c r="Q1147" s="2" t="n">
        <v>21</v>
      </c>
      <c r="R1147" s="2" t="n">
        <v>5</v>
      </c>
      <c r="S1147" s="2" t="n">
        <v>20</v>
      </c>
      <c r="T1147" s="2" t="n">
        <v>11</v>
      </c>
      <c r="U1147" s="2" t="n">
        <v>10</v>
      </c>
      <c r="V1147" s="2" t="n">
        <v>2</v>
      </c>
      <c r="W1147" s="2" t="n">
        <v>1</v>
      </c>
      <c r="X1147" s="2" t="n">
        <v>3</v>
      </c>
      <c r="Y1147" s="2" t="n">
        <v>2</v>
      </c>
      <c r="Z1147" s="2" t="n">
        <v>3</v>
      </c>
    </row>
    <row r="1148" customFormat="false" ht="15" hidden="false" customHeight="true" outlineLevel="0" collapsed="false">
      <c r="A1148" s="2" t="n">
        <v>42</v>
      </c>
      <c r="B1148" s="2" t="s">
        <v>26</v>
      </c>
      <c r="C1148" s="2" t="s">
        <v>41</v>
      </c>
      <c r="D1148" s="2" t="s">
        <v>35</v>
      </c>
      <c r="E1148" s="2" t="n">
        <v>10</v>
      </c>
      <c r="F1148" s="2" t="n">
        <v>4</v>
      </c>
      <c r="G1148" s="2" t="s">
        <v>29</v>
      </c>
      <c r="H1148" s="2" t="n">
        <v>1147</v>
      </c>
      <c r="I1148" s="2" t="s">
        <v>30</v>
      </c>
      <c r="J1148" s="2" t="n">
        <v>2</v>
      </c>
      <c r="K1148" s="2" t="s">
        <v>36</v>
      </c>
      <c r="L1148" s="2" t="s">
        <v>37</v>
      </c>
      <c r="M1148" s="2" t="n">
        <v>61510</v>
      </c>
      <c r="N1148" s="2" t="n">
        <v>1</v>
      </c>
      <c r="O1148" s="2" t="n">
        <v>13</v>
      </c>
      <c r="P1148" s="2" t="n">
        <v>1</v>
      </c>
      <c r="Q1148" s="2" t="n">
        <v>20</v>
      </c>
      <c r="R1148" s="2" t="n">
        <v>3</v>
      </c>
      <c r="S1148" s="2" t="n">
        <v>20</v>
      </c>
      <c r="T1148" s="2" t="n">
        <v>3</v>
      </c>
      <c r="U1148" s="2" t="n">
        <v>7</v>
      </c>
      <c r="V1148" s="2" t="n">
        <v>4</v>
      </c>
      <c r="W1148" s="2" t="n">
        <v>3</v>
      </c>
      <c r="X1148" s="2" t="n">
        <v>3</v>
      </c>
      <c r="Y1148" s="2" t="n">
        <v>3</v>
      </c>
      <c r="Z1148" s="2" t="n">
        <v>3</v>
      </c>
    </row>
    <row r="1149" customFormat="false" ht="15" hidden="false" customHeight="true" outlineLevel="0" collapsed="false">
      <c r="A1149" s="2" t="n">
        <v>31</v>
      </c>
      <c r="B1149" s="2" t="s">
        <v>26</v>
      </c>
      <c r="C1149" s="2" t="s">
        <v>41</v>
      </c>
      <c r="D1149" s="2" t="s">
        <v>35</v>
      </c>
      <c r="E1149" s="2" t="n">
        <v>14</v>
      </c>
      <c r="F1149" s="2" t="n">
        <v>2</v>
      </c>
      <c r="G1149" s="2" t="s">
        <v>29</v>
      </c>
      <c r="H1149" s="2" t="n">
        <v>1148</v>
      </c>
      <c r="I1149" s="2" t="s">
        <v>39</v>
      </c>
      <c r="J1149" s="2" t="n">
        <v>2</v>
      </c>
      <c r="K1149" s="2" t="s">
        <v>31</v>
      </c>
      <c r="L1149" s="2" t="s">
        <v>32</v>
      </c>
      <c r="M1149" s="2" t="n">
        <v>23020</v>
      </c>
      <c r="N1149" s="2" t="n">
        <v>4</v>
      </c>
      <c r="O1149" s="2" t="n">
        <v>14</v>
      </c>
      <c r="P1149" s="2" t="n">
        <v>0</v>
      </c>
      <c r="Q1149" s="2" t="n">
        <v>13</v>
      </c>
      <c r="R1149" s="2" t="n">
        <v>3</v>
      </c>
      <c r="S1149" s="2" t="n">
        <v>11</v>
      </c>
      <c r="T1149" s="2" t="n">
        <v>4</v>
      </c>
      <c r="U1149" s="2" t="n">
        <v>8</v>
      </c>
      <c r="V1149" s="2" t="n">
        <v>3</v>
      </c>
      <c r="W1149" s="2" t="n">
        <v>3</v>
      </c>
      <c r="X1149" s="2" t="n">
        <v>4</v>
      </c>
      <c r="Y1149" s="2" t="n">
        <v>3</v>
      </c>
      <c r="Z1149" s="2" t="n">
        <v>3</v>
      </c>
    </row>
    <row r="1150" customFormat="false" ht="15" hidden="false" customHeight="true" outlineLevel="0" collapsed="false">
      <c r="A1150" s="2" t="n">
        <v>54</v>
      </c>
      <c r="B1150" s="2" t="s">
        <v>26</v>
      </c>
      <c r="C1150" s="2" t="s">
        <v>27</v>
      </c>
      <c r="D1150" s="2" t="s">
        <v>35</v>
      </c>
      <c r="E1150" s="2" t="n">
        <v>1</v>
      </c>
      <c r="F1150" s="2" t="n">
        <v>3</v>
      </c>
      <c r="G1150" s="2" t="s">
        <v>43</v>
      </c>
      <c r="H1150" s="2" t="n">
        <v>1149</v>
      </c>
      <c r="I1150" s="2" t="s">
        <v>30</v>
      </c>
      <c r="J1150" s="2" t="n">
        <v>2</v>
      </c>
      <c r="K1150" s="2" t="s">
        <v>42</v>
      </c>
      <c r="L1150" s="2" t="s">
        <v>37</v>
      </c>
      <c r="M1150" s="2" t="n">
        <v>23620</v>
      </c>
      <c r="N1150" s="2" t="n">
        <v>6</v>
      </c>
      <c r="O1150" s="2" t="n">
        <v>13</v>
      </c>
      <c r="P1150" s="2" t="n">
        <v>1</v>
      </c>
      <c r="Q1150" s="2" t="n">
        <v>9</v>
      </c>
      <c r="R1150" s="2" t="n">
        <v>2</v>
      </c>
      <c r="S1150" s="2" t="n">
        <v>5</v>
      </c>
      <c r="T1150" s="2" t="n">
        <v>1</v>
      </c>
      <c r="U1150" s="2" t="n">
        <v>4</v>
      </c>
      <c r="V1150" s="2" t="n">
        <v>3</v>
      </c>
      <c r="W1150" s="2" t="n">
        <v>1</v>
      </c>
      <c r="X1150" s="2" t="n">
        <v>3</v>
      </c>
      <c r="Y1150" s="2" t="n">
        <v>4</v>
      </c>
      <c r="Z1150" s="2" t="n">
        <v>3</v>
      </c>
    </row>
    <row r="1151" customFormat="false" ht="15" hidden="false" customHeight="true" outlineLevel="0" collapsed="false">
      <c r="A1151" s="2" t="n">
        <v>24</v>
      </c>
      <c r="B1151" s="2" t="s">
        <v>26</v>
      </c>
      <c r="C1151" s="2" t="s">
        <v>27</v>
      </c>
      <c r="D1151" s="2" t="s">
        <v>35</v>
      </c>
      <c r="E1151" s="2" t="n">
        <v>5</v>
      </c>
      <c r="F1151" s="2" t="n">
        <v>4</v>
      </c>
      <c r="G1151" s="2" t="s">
        <v>38</v>
      </c>
      <c r="H1151" s="2" t="n">
        <v>1150</v>
      </c>
      <c r="I1151" s="2" t="s">
        <v>39</v>
      </c>
      <c r="J1151" s="2" t="n">
        <v>1</v>
      </c>
      <c r="K1151" s="2" t="s">
        <v>47</v>
      </c>
      <c r="L1151" s="2" t="s">
        <v>37</v>
      </c>
      <c r="M1151" s="2" t="n">
        <v>178610</v>
      </c>
      <c r="N1151" s="2" t="n">
        <v>1</v>
      </c>
      <c r="O1151" s="2" t="n">
        <v>11</v>
      </c>
      <c r="P1151" s="2" t="n">
        <v>2</v>
      </c>
      <c r="Q1151" s="2" t="n">
        <v>4</v>
      </c>
      <c r="R1151" s="2" t="n">
        <v>5</v>
      </c>
      <c r="S1151" s="2" t="n">
        <v>4</v>
      </c>
      <c r="T1151" s="2" t="n">
        <v>1</v>
      </c>
      <c r="U1151" s="2" t="n">
        <v>2</v>
      </c>
      <c r="V1151" s="2" t="n">
        <v>2</v>
      </c>
      <c r="W1151" s="2" t="n">
        <v>3</v>
      </c>
      <c r="X1151" s="2" t="n">
        <v>2</v>
      </c>
      <c r="Y1151" s="2" t="n">
        <v>1</v>
      </c>
      <c r="Z1151" s="2" t="n">
        <v>3</v>
      </c>
    </row>
    <row r="1152" customFormat="false" ht="15" hidden="false" customHeight="true" outlineLevel="0" collapsed="false">
      <c r="A1152" s="2" t="n">
        <v>23</v>
      </c>
      <c r="B1152" s="2" t="s">
        <v>26</v>
      </c>
      <c r="C1152" s="2" t="s">
        <v>27</v>
      </c>
      <c r="D1152" s="2" t="s">
        <v>35</v>
      </c>
      <c r="E1152" s="2" t="n">
        <v>7</v>
      </c>
      <c r="F1152" s="2" t="n">
        <v>3</v>
      </c>
      <c r="G1152" s="2" t="s">
        <v>29</v>
      </c>
      <c r="H1152" s="2" t="n">
        <v>1151</v>
      </c>
      <c r="I1152" s="2" t="s">
        <v>39</v>
      </c>
      <c r="J1152" s="2" t="n">
        <v>2</v>
      </c>
      <c r="K1152" s="2" t="s">
        <v>36</v>
      </c>
      <c r="L1152" s="2" t="s">
        <v>37</v>
      </c>
      <c r="M1152" s="2" t="n">
        <v>191870</v>
      </c>
      <c r="N1152" s="2" t="n">
        <v>1</v>
      </c>
      <c r="O1152" s="2" t="n">
        <v>11</v>
      </c>
      <c r="P1152" s="2" t="n">
        <v>1</v>
      </c>
      <c r="Q1152" s="2" t="n">
        <v>5</v>
      </c>
      <c r="R1152" s="2" t="n">
        <v>2</v>
      </c>
      <c r="S1152" s="2" t="n">
        <v>5</v>
      </c>
      <c r="T1152" s="2" t="n">
        <v>1</v>
      </c>
      <c r="U1152" s="2" t="n">
        <v>4</v>
      </c>
      <c r="V1152" s="2" t="n">
        <v>4</v>
      </c>
      <c r="W1152" s="2" t="n">
        <v>4</v>
      </c>
      <c r="X1152" s="2" t="n">
        <v>4</v>
      </c>
      <c r="Y1152" s="2" t="n">
        <v>3</v>
      </c>
      <c r="Z1152" s="2" t="n">
        <v>3</v>
      </c>
    </row>
    <row r="1153" customFormat="false" ht="15" hidden="false" customHeight="true" outlineLevel="0" collapsed="false">
      <c r="A1153" s="2" t="n">
        <v>40</v>
      </c>
      <c r="B1153" s="2" t="s">
        <v>26</v>
      </c>
      <c r="C1153" s="2" t="s">
        <v>34</v>
      </c>
      <c r="D1153" s="2" t="s">
        <v>35</v>
      </c>
      <c r="E1153" s="2" t="n">
        <v>21</v>
      </c>
      <c r="F1153" s="2" t="n">
        <v>3</v>
      </c>
      <c r="G1153" s="2" t="s">
        <v>43</v>
      </c>
      <c r="H1153" s="2" t="n">
        <v>1152</v>
      </c>
      <c r="I1153" s="2" t="s">
        <v>30</v>
      </c>
      <c r="J1153" s="2" t="n">
        <v>3</v>
      </c>
      <c r="K1153" s="2" t="s">
        <v>36</v>
      </c>
      <c r="L1153" s="2" t="s">
        <v>32</v>
      </c>
      <c r="M1153" s="2" t="n">
        <v>197170</v>
      </c>
      <c r="N1153" s="2" t="n">
        <v>1</v>
      </c>
      <c r="O1153" s="2" t="n">
        <v>21</v>
      </c>
      <c r="P1153" s="2" t="n">
        <v>0</v>
      </c>
      <c r="Q1153" s="2" t="n">
        <v>10</v>
      </c>
      <c r="R1153" s="2" t="n">
        <v>1</v>
      </c>
      <c r="S1153" s="2" t="n">
        <v>10</v>
      </c>
      <c r="T1153" s="2" t="n">
        <v>9</v>
      </c>
      <c r="U1153" s="2" t="n">
        <v>4</v>
      </c>
      <c r="V1153" s="2" t="n">
        <v>4</v>
      </c>
      <c r="W1153" s="2" t="n">
        <v>3</v>
      </c>
      <c r="X1153" s="2" t="n">
        <v>4</v>
      </c>
      <c r="Y1153" s="2" t="n">
        <v>2</v>
      </c>
      <c r="Z1153" s="2" t="n">
        <v>4</v>
      </c>
    </row>
    <row r="1154" customFormat="false" ht="15" hidden="false" customHeight="true" outlineLevel="0" collapsed="false">
      <c r="A1154" s="2" t="n">
        <v>40</v>
      </c>
      <c r="B1154" s="2" t="s">
        <v>26</v>
      </c>
      <c r="C1154" s="2" t="s">
        <v>27</v>
      </c>
      <c r="D1154" s="2" t="s">
        <v>35</v>
      </c>
      <c r="E1154" s="2" t="n">
        <v>8</v>
      </c>
      <c r="F1154" s="2" t="n">
        <v>1</v>
      </c>
      <c r="G1154" s="2" t="s">
        <v>43</v>
      </c>
      <c r="H1154" s="2" t="n">
        <v>1153</v>
      </c>
      <c r="I1154" s="2" t="s">
        <v>30</v>
      </c>
      <c r="J1154" s="2" t="n">
        <v>5</v>
      </c>
      <c r="K1154" s="2" t="s">
        <v>36</v>
      </c>
      <c r="L1154" s="2" t="s">
        <v>32</v>
      </c>
      <c r="M1154" s="2" t="n">
        <v>35440</v>
      </c>
      <c r="N1154" s="2" t="n">
        <v>3</v>
      </c>
      <c r="O1154" s="2" t="n">
        <v>18</v>
      </c>
      <c r="P1154" s="2" t="n">
        <v>3</v>
      </c>
      <c r="Q1154" s="2" t="n">
        <v>15</v>
      </c>
      <c r="R1154" s="2" t="n">
        <v>3</v>
      </c>
      <c r="S1154" s="2" t="n">
        <v>11</v>
      </c>
      <c r="T1154" s="2" t="n">
        <v>5</v>
      </c>
      <c r="U1154" s="2" t="n">
        <v>10</v>
      </c>
      <c r="V1154" s="2" t="n">
        <v>2</v>
      </c>
      <c r="W1154" s="2" t="n">
        <v>2</v>
      </c>
      <c r="X1154" s="2" t="n">
        <v>3</v>
      </c>
      <c r="Y1154" s="2" t="n">
        <v>2</v>
      </c>
      <c r="Z1154" s="2" t="n">
        <v>3</v>
      </c>
    </row>
    <row r="1155" customFormat="false" ht="15" hidden="false" customHeight="true" outlineLevel="0" collapsed="false">
      <c r="A1155" s="2" t="n">
        <v>25</v>
      </c>
      <c r="B1155" s="2" t="s">
        <v>26</v>
      </c>
      <c r="C1155" s="2" t="s">
        <v>27</v>
      </c>
      <c r="D1155" s="2" t="s">
        <v>28</v>
      </c>
      <c r="E1155" s="2" t="n">
        <v>20</v>
      </c>
      <c r="F1155" s="2" t="n">
        <v>5</v>
      </c>
      <c r="G1155" s="2" t="s">
        <v>43</v>
      </c>
      <c r="H1155" s="2" t="n">
        <v>1154</v>
      </c>
      <c r="I1155" s="2" t="s">
        <v>30</v>
      </c>
      <c r="J1155" s="2" t="n">
        <v>2</v>
      </c>
      <c r="K1155" s="2" t="s">
        <v>45</v>
      </c>
      <c r="L1155" s="2" t="s">
        <v>32</v>
      </c>
      <c r="M1155" s="2" t="n">
        <v>85000</v>
      </c>
      <c r="N1155" s="2" t="n">
        <v>4</v>
      </c>
      <c r="O1155" s="2" t="n">
        <v>12</v>
      </c>
      <c r="P1155" s="2" t="n">
        <v>0</v>
      </c>
      <c r="Q1155" s="2" t="n">
        <v>6</v>
      </c>
      <c r="R1155" s="2" t="n">
        <v>2</v>
      </c>
      <c r="S1155" s="2" t="n">
        <v>2</v>
      </c>
      <c r="T1155" s="2" t="n">
        <v>1</v>
      </c>
      <c r="U1155" s="2" t="n">
        <v>2</v>
      </c>
      <c r="V1155" s="2" t="n">
        <v>3</v>
      </c>
      <c r="W1155" s="2" t="n">
        <v>2</v>
      </c>
      <c r="X1155" s="2" t="n">
        <v>3</v>
      </c>
      <c r="Y1155" s="2" t="n">
        <v>3</v>
      </c>
      <c r="Z1155" s="2" t="n">
        <v>3</v>
      </c>
    </row>
    <row r="1156" customFormat="false" ht="15" hidden="false" customHeight="true" outlineLevel="0" collapsed="false">
      <c r="A1156" s="2" t="n">
        <v>30</v>
      </c>
      <c r="B1156" s="2" t="s">
        <v>26</v>
      </c>
      <c r="C1156" s="2" t="s">
        <v>27</v>
      </c>
      <c r="D1156" s="2" t="s">
        <v>42</v>
      </c>
      <c r="E1156" s="2" t="n">
        <v>20</v>
      </c>
      <c r="F1156" s="2" t="n">
        <v>4</v>
      </c>
      <c r="G1156" s="2" t="s">
        <v>29</v>
      </c>
      <c r="H1156" s="2" t="n">
        <v>1155</v>
      </c>
      <c r="I1156" s="2" t="s">
        <v>39</v>
      </c>
      <c r="J1156" s="2" t="n">
        <v>2</v>
      </c>
      <c r="K1156" s="2" t="s">
        <v>36</v>
      </c>
      <c r="L1156" s="2" t="s">
        <v>32</v>
      </c>
      <c r="M1156" s="2" t="n">
        <v>46610</v>
      </c>
      <c r="N1156" s="2" t="n">
        <v>1</v>
      </c>
      <c r="O1156" s="2" t="n">
        <v>11</v>
      </c>
      <c r="P1156" s="2" t="n">
        <v>0</v>
      </c>
      <c r="Q1156" s="2" t="n">
        <v>12</v>
      </c>
      <c r="R1156" s="2" t="n">
        <v>3</v>
      </c>
      <c r="S1156" s="2" t="n">
        <v>12</v>
      </c>
      <c r="T1156" s="2" t="n">
        <v>1</v>
      </c>
      <c r="U1156" s="2" t="n">
        <v>7</v>
      </c>
      <c r="V1156" s="2" t="n">
        <v>4</v>
      </c>
      <c r="W1156" s="2" t="n">
        <v>2</v>
      </c>
      <c r="X1156" s="2" t="n">
        <v>2</v>
      </c>
      <c r="Y1156" s="2" t="n">
        <v>2</v>
      </c>
      <c r="Z1156" s="2" t="n">
        <v>3</v>
      </c>
    </row>
    <row r="1157" customFormat="false" ht="15" hidden="false" customHeight="true" outlineLevel="0" collapsed="false">
      <c r="A1157" s="2" t="n">
        <v>25</v>
      </c>
      <c r="B1157" s="2" t="s">
        <v>26</v>
      </c>
      <c r="C1157" s="2" t="s">
        <v>27</v>
      </c>
      <c r="D1157" s="2" t="s">
        <v>35</v>
      </c>
      <c r="E1157" s="2" t="n">
        <v>7</v>
      </c>
      <c r="F1157" s="2" t="n">
        <v>2</v>
      </c>
      <c r="G1157" s="2" t="s">
        <v>43</v>
      </c>
      <c r="H1157" s="2" t="n">
        <v>1156</v>
      </c>
      <c r="I1157" s="2" t="s">
        <v>39</v>
      </c>
      <c r="J1157" s="2" t="n">
        <v>5</v>
      </c>
      <c r="K1157" s="2" t="s">
        <v>40</v>
      </c>
      <c r="L1157" s="2" t="s">
        <v>46</v>
      </c>
      <c r="M1157" s="2" t="n">
        <v>41030</v>
      </c>
      <c r="N1157" s="2" t="n">
        <v>6</v>
      </c>
      <c r="O1157" s="2" t="n">
        <v>15</v>
      </c>
      <c r="P1157" s="2" t="n">
        <v>1</v>
      </c>
      <c r="Q1157" s="2" t="n">
        <v>7</v>
      </c>
      <c r="R1157" s="2" t="n">
        <v>2</v>
      </c>
      <c r="S1157" s="2" t="n">
        <v>2</v>
      </c>
      <c r="T1157" s="2" t="n">
        <v>0</v>
      </c>
      <c r="U1157" s="2" t="n">
        <v>2</v>
      </c>
      <c r="V1157" s="2" t="n">
        <v>4</v>
      </c>
      <c r="W1157" s="2" t="n">
        <v>3</v>
      </c>
      <c r="X1157" s="2" t="n">
        <v>2</v>
      </c>
      <c r="Y1157" s="2" t="n">
        <v>3</v>
      </c>
      <c r="Z1157" s="2" t="n">
        <v>3</v>
      </c>
    </row>
    <row r="1158" customFormat="false" ht="15" hidden="false" customHeight="true" outlineLevel="0" collapsed="false">
      <c r="A1158" s="2" t="n">
        <v>47</v>
      </c>
      <c r="B1158" s="2" t="s">
        <v>26</v>
      </c>
      <c r="C1158" s="2" t="s">
        <v>27</v>
      </c>
      <c r="D1158" s="2" t="s">
        <v>35</v>
      </c>
      <c r="E1158" s="2" t="n">
        <v>1</v>
      </c>
      <c r="F1158" s="2" t="n">
        <v>4</v>
      </c>
      <c r="G1158" s="2" t="s">
        <v>29</v>
      </c>
      <c r="H1158" s="2" t="n">
        <v>1157</v>
      </c>
      <c r="I1158" s="2" t="s">
        <v>39</v>
      </c>
      <c r="J1158" s="2" t="n">
        <v>2</v>
      </c>
      <c r="K1158" s="2" t="s">
        <v>40</v>
      </c>
      <c r="L1158" s="2" t="s">
        <v>37</v>
      </c>
      <c r="M1158" s="2" t="n">
        <v>42490</v>
      </c>
      <c r="N1158" s="2" t="n">
        <v>2</v>
      </c>
      <c r="O1158" s="2" t="n">
        <v>13</v>
      </c>
      <c r="P1158" s="2" t="n">
        <v>1</v>
      </c>
      <c r="Q1158" s="2" t="n">
        <v>25</v>
      </c>
      <c r="R1158" s="2" t="n">
        <v>2</v>
      </c>
      <c r="S1158" s="2" t="n">
        <v>17</v>
      </c>
      <c r="T1158" s="2" t="n">
        <v>12</v>
      </c>
      <c r="U1158" s="2" t="n">
        <v>11</v>
      </c>
      <c r="V1158" s="2" t="n">
        <v>1</v>
      </c>
      <c r="W1158" s="2" t="n">
        <v>3</v>
      </c>
      <c r="X1158" s="2" t="n">
        <v>3</v>
      </c>
      <c r="Y1158" s="2" t="n">
        <v>2</v>
      </c>
      <c r="Z1158" s="2" t="n">
        <v>3</v>
      </c>
    </row>
    <row r="1159" customFormat="false" ht="15" hidden="false" customHeight="true" outlineLevel="0" collapsed="false">
      <c r="A1159" s="2" t="n">
        <v>33</v>
      </c>
      <c r="B1159" s="2" t="s">
        <v>26</v>
      </c>
      <c r="C1159" s="2" t="s">
        <v>41</v>
      </c>
      <c r="D1159" s="2" t="s">
        <v>35</v>
      </c>
      <c r="E1159" s="2" t="n">
        <v>1</v>
      </c>
      <c r="F1159" s="2" t="n">
        <v>3</v>
      </c>
      <c r="G1159" s="2" t="s">
        <v>29</v>
      </c>
      <c r="H1159" s="2" t="n">
        <v>1158</v>
      </c>
      <c r="I1159" s="2" t="s">
        <v>39</v>
      </c>
      <c r="J1159" s="2" t="n">
        <v>2</v>
      </c>
      <c r="K1159" s="2" t="s">
        <v>36</v>
      </c>
      <c r="L1159" s="2" t="s">
        <v>46</v>
      </c>
      <c r="M1159" s="2" t="n">
        <v>140260</v>
      </c>
      <c r="N1159" s="2" t="n">
        <v>1</v>
      </c>
      <c r="O1159" s="2" t="n">
        <v>12</v>
      </c>
      <c r="P1159" s="2" t="n">
        <v>0</v>
      </c>
      <c r="Q1159" s="2" t="n">
        <v>1</v>
      </c>
      <c r="R1159" s="2" t="n">
        <v>4</v>
      </c>
      <c r="S1159" s="2" t="n">
        <v>1</v>
      </c>
      <c r="T1159" s="2" t="n">
        <v>0</v>
      </c>
      <c r="U1159" s="2" t="n">
        <v>0</v>
      </c>
      <c r="V1159" s="2" t="n">
        <v>2</v>
      </c>
      <c r="W1159" s="2" t="n">
        <v>3</v>
      </c>
      <c r="X1159" s="2" t="n">
        <v>2</v>
      </c>
      <c r="Y1159" s="2" t="n">
        <v>3</v>
      </c>
      <c r="Z1159" s="2" t="n">
        <v>3</v>
      </c>
    </row>
    <row r="1160" customFormat="false" ht="15" hidden="false" customHeight="true" outlineLevel="0" collapsed="false">
      <c r="A1160" s="2" t="n">
        <v>38</v>
      </c>
      <c r="B1160" s="2" t="s">
        <v>26</v>
      </c>
      <c r="C1160" s="2" t="s">
        <v>27</v>
      </c>
      <c r="D1160" s="2" t="s">
        <v>35</v>
      </c>
      <c r="E1160" s="2" t="n">
        <v>19</v>
      </c>
      <c r="F1160" s="2" t="n">
        <v>3</v>
      </c>
      <c r="G1160" s="2" t="s">
        <v>29</v>
      </c>
      <c r="H1160" s="2" t="n">
        <v>1159</v>
      </c>
      <c r="I1160" s="2" t="s">
        <v>30</v>
      </c>
      <c r="J1160" s="2" t="n">
        <v>2</v>
      </c>
      <c r="K1160" s="2" t="s">
        <v>40</v>
      </c>
      <c r="L1160" s="2" t="s">
        <v>32</v>
      </c>
      <c r="M1160" s="2" t="n">
        <v>68930</v>
      </c>
      <c r="N1160" s="2" t="n">
        <v>0</v>
      </c>
      <c r="O1160" s="2" t="n">
        <v>17</v>
      </c>
      <c r="P1160" s="2" t="n">
        <v>0</v>
      </c>
      <c r="Q1160" s="2" t="n">
        <v>16</v>
      </c>
      <c r="R1160" s="2" t="n">
        <v>3</v>
      </c>
      <c r="S1160" s="2" t="n">
        <v>15</v>
      </c>
      <c r="T1160" s="2" t="n">
        <v>5</v>
      </c>
      <c r="U1160" s="2" t="n">
        <v>8</v>
      </c>
      <c r="V1160" s="2" t="n">
        <v>4</v>
      </c>
      <c r="W1160" s="2" t="n">
        <v>2</v>
      </c>
      <c r="X1160" s="2" t="n">
        <v>3</v>
      </c>
      <c r="Y1160" s="2" t="n">
        <v>3</v>
      </c>
      <c r="Z1160" s="2" t="n">
        <v>3</v>
      </c>
    </row>
    <row r="1161" customFormat="false" ht="15" hidden="false" customHeight="true" outlineLevel="0" collapsed="false">
      <c r="A1161" s="2" t="n">
        <v>31</v>
      </c>
      <c r="B1161" s="2" t="s">
        <v>26</v>
      </c>
      <c r="C1161" s="2" t="s">
        <v>27</v>
      </c>
      <c r="D1161" s="2" t="s">
        <v>35</v>
      </c>
      <c r="E1161" s="2" t="n">
        <v>10</v>
      </c>
      <c r="F1161" s="2" t="n">
        <v>4</v>
      </c>
      <c r="G1161" s="2" t="s">
        <v>43</v>
      </c>
      <c r="H1161" s="2" t="n">
        <v>1160</v>
      </c>
      <c r="I1161" s="2" t="s">
        <v>30</v>
      </c>
      <c r="J1161" s="2" t="n">
        <v>3</v>
      </c>
      <c r="K1161" s="2" t="s">
        <v>40</v>
      </c>
      <c r="L1161" s="2" t="s">
        <v>32</v>
      </c>
      <c r="M1161" s="2" t="n">
        <v>61250</v>
      </c>
      <c r="N1161" s="2" t="n">
        <v>0</v>
      </c>
      <c r="O1161" s="2" t="n">
        <v>13</v>
      </c>
      <c r="P1161" s="2" t="n">
        <v>1</v>
      </c>
      <c r="Q1161" s="2" t="n">
        <v>3</v>
      </c>
      <c r="R1161" s="2" t="n">
        <v>3</v>
      </c>
      <c r="S1161" s="2" t="n">
        <v>2</v>
      </c>
      <c r="T1161" s="2" t="n">
        <v>1</v>
      </c>
      <c r="U1161" s="2" t="n">
        <v>2</v>
      </c>
      <c r="V1161" s="2" t="n">
        <v>1</v>
      </c>
      <c r="W1161" s="2" t="n">
        <v>3</v>
      </c>
      <c r="X1161" s="2" t="n">
        <v>3</v>
      </c>
      <c r="Y1161" s="2" t="n">
        <v>3</v>
      </c>
      <c r="Z1161" s="2" t="n">
        <v>3</v>
      </c>
    </row>
    <row r="1162" customFormat="false" ht="15" hidden="false" customHeight="true" outlineLevel="0" collapsed="false">
      <c r="A1162" s="2" t="n">
        <v>38</v>
      </c>
      <c r="B1162" s="2" t="s">
        <v>26</v>
      </c>
      <c r="C1162" s="2" t="s">
        <v>34</v>
      </c>
      <c r="D1162" s="2" t="s">
        <v>35</v>
      </c>
      <c r="E1162" s="2" t="n">
        <v>1</v>
      </c>
      <c r="F1162" s="2" t="n">
        <v>4</v>
      </c>
      <c r="G1162" s="2" t="s">
        <v>38</v>
      </c>
      <c r="H1162" s="2" t="n">
        <v>1161</v>
      </c>
      <c r="I1162" s="2" t="s">
        <v>39</v>
      </c>
      <c r="J1162" s="2" t="n">
        <v>2</v>
      </c>
      <c r="K1162" s="2" t="s">
        <v>36</v>
      </c>
      <c r="L1162" s="2" t="s">
        <v>32</v>
      </c>
      <c r="M1162" s="2" t="n">
        <v>36690</v>
      </c>
      <c r="N1162" s="2" t="n">
        <v>2</v>
      </c>
      <c r="O1162" s="2" t="n">
        <v>19</v>
      </c>
      <c r="P1162" s="2" t="n">
        <v>0</v>
      </c>
      <c r="Q1162" s="2" t="n">
        <v>10</v>
      </c>
      <c r="R1162" s="2" t="n">
        <v>2</v>
      </c>
      <c r="S1162" s="2" t="n">
        <v>8</v>
      </c>
      <c r="T1162" s="2" t="n">
        <v>7</v>
      </c>
      <c r="U1162" s="2" t="n">
        <v>7</v>
      </c>
      <c r="V1162" s="2" t="n">
        <v>1</v>
      </c>
      <c r="W1162" s="2" t="n">
        <v>3</v>
      </c>
      <c r="X1162" s="2" t="n">
        <v>3</v>
      </c>
      <c r="Y1162" s="2" t="n">
        <v>3</v>
      </c>
      <c r="Z1162" s="2" t="n">
        <v>3</v>
      </c>
    </row>
    <row r="1163" customFormat="false" ht="15" hidden="false" customHeight="true" outlineLevel="0" collapsed="false">
      <c r="A1163" s="2" t="n">
        <v>42</v>
      </c>
      <c r="B1163" s="2" t="s">
        <v>26</v>
      </c>
      <c r="C1163" s="2" t="s">
        <v>27</v>
      </c>
      <c r="D1163" s="2" t="s">
        <v>35</v>
      </c>
      <c r="E1163" s="2" t="n">
        <v>6</v>
      </c>
      <c r="F1163" s="2" t="n">
        <v>3</v>
      </c>
      <c r="G1163" s="2" t="s">
        <v>43</v>
      </c>
      <c r="H1163" s="2" t="n">
        <v>1162</v>
      </c>
      <c r="I1163" s="2" t="s">
        <v>39</v>
      </c>
      <c r="J1163" s="2" t="n">
        <v>2</v>
      </c>
      <c r="K1163" s="2" t="s">
        <v>45</v>
      </c>
      <c r="L1163" s="2" t="s">
        <v>46</v>
      </c>
      <c r="M1163" s="2" t="n">
        <v>100080</v>
      </c>
      <c r="N1163" s="2" t="n">
        <v>6</v>
      </c>
      <c r="O1163" s="2" t="n">
        <v>19</v>
      </c>
      <c r="P1163" s="2" t="n">
        <v>1</v>
      </c>
      <c r="Q1163" s="2" t="n">
        <v>9</v>
      </c>
      <c r="R1163" s="2" t="n">
        <v>3</v>
      </c>
      <c r="S1163" s="2" t="n">
        <v>4</v>
      </c>
      <c r="T1163" s="2" t="n">
        <v>1</v>
      </c>
      <c r="U1163" s="2" t="n">
        <v>2</v>
      </c>
      <c r="V1163" s="2" t="n">
        <v>4</v>
      </c>
      <c r="W1163" s="2" t="n">
        <v>1</v>
      </c>
      <c r="X1163" s="2" t="n">
        <v>2</v>
      </c>
      <c r="Y1163" s="2" t="n">
        <v>1</v>
      </c>
      <c r="Z1163" s="2" t="n">
        <v>3</v>
      </c>
    </row>
    <row r="1164" customFormat="false" ht="15" hidden="false" customHeight="true" outlineLevel="0" collapsed="false">
      <c r="A1164" s="2" t="n">
        <v>41</v>
      </c>
      <c r="B1164" s="2" t="s">
        <v>26</v>
      </c>
      <c r="C1164" s="2" t="s">
        <v>27</v>
      </c>
      <c r="D1164" s="2" t="s">
        <v>28</v>
      </c>
      <c r="E1164" s="2" t="n">
        <v>2</v>
      </c>
      <c r="F1164" s="2" t="n">
        <v>2</v>
      </c>
      <c r="G1164" s="2" t="s">
        <v>43</v>
      </c>
      <c r="H1164" s="2" t="n">
        <v>1163</v>
      </c>
      <c r="I1164" s="2" t="s">
        <v>39</v>
      </c>
      <c r="J1164" s="2" t="n">
        <v>1</v>
      </c>
      <c r="K1164" s="2" t="s">
        <v>31</v>
      </c>
      <c r="L1164" s="2" t="s">
        <v>32</v>
      </c>
      <c r="M1164" s="2" t="n">
        <v>23870</v>
      </c>
      <c r="N1164" s="2" t="n">
        <v>3</v>
      </c>
      <c r="O1164" s="2" t="n">
        <v>17</v>
      </c>
      <c r="P1164" s="2" t="n">
        <v>1</v>
      </c>
      <c r="Q1164" s="2" t="n">
        <v>12</v>
      </c>
      <c r="R1164" s="2" t="n">
        <v>1</v>
      </c>
      <c r="S1164" s="2" t="n">
        <v>5</v>
      </c>
      <c r="T1164" s="2" t="n">
        <v>1</v>
      </c>
      <c r="U1164" s="2" t="n">
        <v>0</v>
      </c>
      <c r="V1164" s="2" t="n">
        <v>4</v>
      </c>
      <c r="W1164" s="2" t="n">
        <v>4</v>
      </c>
      <c r="X1164" s="2" t="n">
        <v>3</v>
      </c>
      <c r="Y1164" s="2" t="n">
        <v>1</v>
      </c>
      <c r="Z1164" s="2" t="n">
        <v>3</v>
      </c>
    </row>
    <row r="1165" customFormat="false" ht="15" hidden="false" customHeight="true" outlineLevel="0" collapsed="false">
      <c r="A1165" s="2" t="n">
        <v>47</v>
      </c>
      <c r="B1165" s="2" t="s">
        <v>26</v>
      </c>
      <c r="C1165" s="2" t="s">
        <v>41</v>
      </c>
      <c r="D1165" s="2" t="s">
        <v>35</v>
      </c>
      <c r="E1165" s="2" t="n">
        <v>21</v>
      </c>
      <c r="F1165" s="2" t="n">
        <v>2</v>
      </c>
      <c r="G1165" s="2" t="s">
        <v>43</v>
      </c>
      <c r="H1165" s="2" t="n">
        <v>1164</v>
      </c>
      <c r="I1165" s="2" t="s">
        <v>39</v>
      </c>
      <c r="J1165" s="2" t="n">
        <v>1</v>
      </c>
      <c r="K1165" s="2" t="s">
        <v>40</v>
      </c>
      <c r="L1165" s="2" t="s">
        <v>32</v>
      </c>
      <c r="M1165" s="2" t="n">
        <v>46390</v>
      </c>
      <c r="N1165" s="2" t="n">
        <v>0</v>
      </c>
      <c r="O1165" s="2" t="n">
        <v>11</v>
      </c>
      <c r="P1165" s="2" t="n">
        <v>1</v>
      </c>
      <c r="Q1165" s="2" t="n">
        <v>14</v>
      </c>
      <c r="R1165" s="2" t="n">
        <v>2</v>
      </c>
      <c r="S1165" s="2" t="n">
        <v>13</v>
      </c>
      <c r="T1165" s="2" t="n">
        <v>5</v>
      </c>
      <c r="U1165" s="2" t="n">
        <v>12</v>
      </c>
      <c r="V1165" s="2" t="n">
        <v>3</v>
      </c>
      <c r="W1165" s="2" t="n">
        <v>2</v>
      </c>
      <c r="X1165" s="2" t="n">
        <v>1</v>
      </c>
      <c r="Y1165" s="2" t="n">
        <v>2</v>
      </c>
      <c r="Z1165" s="2" t="n">
        <v>3</v>
      </c>
    </row>
    <row r="1166" customFormat="false" ht="15" hidden="false" customHeight="true" outlineLevel="0" collapsed="false">
      <c r="A1166" s="2" t="n">
        <v>35</v>
      </c>
      <c r="B1166" s="2" t="s">
        <v>26</v>
      </c>
      <c r="C1166" s="2" t="s">
        <v>27</v>
      </c>
      <c r="D1166" s="2" t="s">
        <v>35</v>
      </c>
      <c r="E1166" s="2" t="n">
        <v>4</v>
      </c>
      <c r="F1166" s="2" t="n">
        <v>3</v>
      </c>
      <c r="G1166" s="2" t="s">
        <v>29</v>
      </c>
      <c r="H1166" s="2" t="n">
        <v>1165</v>
      </c>
      <c r="I1166" s="2" t="s">
        <v>39</v>
      </c>
      <c r="J1166" s="2" t="n">
        <v>2</v>
      </c>
      <c r="K1166" s="2" t="s">
        <v>31</v>
      </c>
      <c r="L1166" s="2" t="s">
        <v>32</v>
      </c>
      <c r="M1166" s="2" t="n">
        <v>78980</v>
      </c>
      <c r="N1166" s="2" t="n">
        <v>7</v>
      </c>
      <c r="O1166" s="2" t="n">
        <v>15</v>
      </c>
      <c r="P1166" s="2" t="n">
        <v>0</v>
      </c>
      <c r="Q1166" s="2" t="n">
        <v>5</v>
      </c>
      <c r="R1166" s="2" t="n">
        <v>2</v>
      </c>
      <c r="S1166" s="2" t="n">
        <v>2</v>
      </c>
      <c r="T1166" s="2" t="n">
        <v>2</v>
      </c>
      <c r="U1166" s="2" t="n">
        <v>2</v>
      </c>
      <c r="V1166" s="2" t="n">
        <v>4</v>
      </c>
      <c r="W1166" s="2" t="n">
        <v>3</v>
      </c>
      <c r="X1166" s="2" t="n">
        <v>3</v>
      </c>
      <c r="Y1166" s="2" t="n">
        <v>2</v>
      </c>
      <c r="Z1166" s="2" t="n">
        <v>3</v>
      </c>
    </row>
    <row r="1167" customFormat="false" ht="15" hidden="false" customHeight="true" outlineLevel="0" collapsed="false">
      <c r="A1167" s="2" t="n">
        <v>22</v>
      </c>
      <c r="B1167" s="2" t="s">
        <v>26</v>
      </c>
      <c r="C1167" s="2" t="s">
        <v>27</v>
      </c>
      <c r="D1167" s="2" t="s">
        <v>42</v>
      </c>
      <c r="E1167" s="2" t="n">
        <v>12</v>
      </c>
      <c r="F1167" s="2" t="n">
        <v>1</v>
      </c>
      <c r="G1167" s="2" t="s">
        <v>42</v>
      </c>
      <c r="H1167" s="2" t="n">
        <v>1166</v>
      </c>
      <c r="I1167" s="2" t="s">
        <v>39</v>
      </c>
      <c r="J1167" s="2" t="n">
        <v>2</v>
      </c>
      <c r="K1167" s="2" t="s">
        <v>40</v>
      </c>
      <c r="L1167" s="2" t="s">
        <v>37</v>
      </c>
      <c r="M1167" s="2" t="n">
        <v>25340</v>
      </c>
      <c r="N1167" s="2" t="n">
        <v>0</v>
      </c>
      <c r="O1167" s="2" t="n">
        <v>11</v>
      </c>
      <c r="P1167" s="2" t="n">
        <v>0</v>
      </c>
      <c r="Q1167" s="2" t="n">
        <v>4</v>
      </c>
      <c r="R1167" s="2" t="n">
        <v>1</v>
      </c>
      <c r="S1167" s="2" t="n">
        <v>3</v>
      </c>
      <c r="T1167" s="2" t="n">
        <v>1</v>
      </c>
      <c r="U1167" s="2" t="n">
        <v>2</v>
      </c>
      <c r="V1167" s="2" t="n">
        <v>4</v>
      </c>
      <c r="W1167" s="2" t="n">
        <v>3</v>
      </c>
      <c r="X1167" s="2" t="n">
        <v>4</v>
      </c>
      <c r="Y1167" s="2" t="n">
        <v>3</v>
      </c>
      <c r="Z1167" s="2" t="n">
        <v>3</v>
      </c>
    </row>
    <row r="1168" customFormat="false" ht="15" hidden="false" customHeight="true" outlineLevel="0" collapsed="false">
      <c r="A1168" s="2" t="n">
        <v>35</v>
      </c>
      <c r="B1168" s="2" t="s">
        <v>26</v>
      </c>
      <c r="C1168" s="2" t="s">
        <v>27</v>
      </c>
      <c r="D1168" s="2" t="s">
        <v>35</v>
      </c>
      <c r="E1168" s="2" t="n">
        <v>9</v>
      </c>
      <c r="F1168" s="2" t="n">
        <v>3</v>
      </c>
      <c r="G1168" s="2" t="s">
        <v>43</v>
      </c>
      <c r="H1168" s="2" t="n">
        <v>1167</v>
      </c>
      <c r="I1168" s="2" t="s">
        <v>30</v>
      </c>
      <c r="J1168" s="2" t="n">
        <v>2</v>
      </c>
      <c r="K1168" s="2" t="s">
        <v>40</v>
      </c>
      <c r="L1168" s="2" t="s">
        <v>37</v>
      </c>
      <c r="M1168" s="2" t="n">
        <v>131420</v>
      </c>
      <c r="N1168" s="2" t="n">
        <v>1</v>
      </c>
      <c r="O1168" s="2" t="n">
        <v>25</v>
      </c>
      <c r="P1168" s="2" t="n">
        <v>2</v>
      </c>
      <c r="Q1168" s="2" t="n">
        <v>10</v>
      </c>
      <c r="R1168" s="2" t="n">
        <v>4</v>
      </c>
      <c r="S1168" s="2" t="n">
        <v>10</v>
      </c>
      <c r="T1168" s="2" t="n">
        <v>0</v>
      </c>
      <c r="U1168" s="2" t="n">
        <v>8</v>
      </c>
      <c r="V1168" s="2" t="n">
        <v>2</v>
      </c>
      <c r="W1168" s="2" t="n">
        <v>3</v>
      </c>
      <c r="X1168" s="2" t="n">
        <v>3</v>
      </c>
      <c r="Y1168" s="2" t="n">
        <v>3</v>
      </c>
      <c r="Z1168" s="2" t="n">
        <v>4</v>
      </c>
    </row>
    <row r="1169" customFormat="false" ht="15" hidden="false" customHeight="true" outlineLevel="0" collapsed="false">
      <c r="A1169" s="2" t="n">
        <v>33</v>
      </c>
      <c r="B1169" s="2" t="s">
        <v>26</v>
      </c>
      <c r="C1169" s="2" t="s">
        <v>27</v>
      </c>
      <c r="D1169" s="2" t="s">
        <v>28</v>
      </c>
      <c r="E1169" s="2" t="n">
        <v>3</v>
      </c>
      <c r="F1169" s="2" t="n">
        <v>4</v>
      </c>
      <c r="G1169" s="2" t="s">
        <v>43</v>
      </c>
      <c r="H1169" s="2" t="n">
        <v>1168</v>
      </c>
      <c r="I1169" s="2" t="s">
        <v>39</v>
      </c>
      <c r="J1169" s="2" t="n">
        <v>3</v>
      </c>
      <c r="K1169" s="2" t="s">
        <v>31</v>
      </c>
      <c r="L1169" s="2" t="s">
        <v>32</v>
      </c>
      <c r="M1169" s="2" t="n">
        <v>16110</v>
      </c>
      <c r="N1169" s="2" t="n">
        <v>0</v>
      </c>
      <c r="O1169" s="2" t="n">
        <v>14</v>
      </c>
      <c r="P1169" s="2" t="n">
        <v>0</v>
      </c>
      <c r="Q1169" s="2" t="n">
        <v>10</v>
      </c>
      <c r="R1169" s="2" t="n">
        <v>2</v>
      </c>
      <c r="S1169" s="2" t="n">
        <v>9</v>
      </c>
      <c r="T1169" s="2" t="n">
        <v>8</v>
      </c>
      <c r="U1169" s="2" t="n">
        <v>1</v>
      </c>
      <c r="V1169" s="2" t="n">
        <v>2</v>
      </c>
      <c r="W1169" s="2" t="n">
        <v>4</v>
      </c>
      <c r="X1169" s="2" t="n">
        <v>3</v>
      </c>
      <c r="Y1169" s="2" t="n">
        <v>2</v>
      </c>
      <c r="Z1169" s="2" t="n">
        <v>3</v>
      </c>
    </row>
    <row r="1170" customFormat="false" ht="15" hidden="false" customHeight="true" outlineLevel="0" collapsed="false">
      <c r="A1170" s="2" t="n">
        <v>32</v>
      </c>
      <c r="B1170" s="2" t="s">
        <v>26</v>
      </c>
      <c r="C1170" s="2" t="s">
        <v>27</v>
      </c>
      <c r="D1170" s="2" t="s">
        <v>35</v>
      </c>
      <c r="E1170" s="2" t="n">
        <v>3</v>
      </c>
      <c r="F1170" s="2" t="n">
        <v>2</v>
      </c>
      <c r="G1170" s="2" t="s">
        <v>51</v>
      </c>
      <c r="H1170" s="2" t="n">
        <v>1169</v>
      </c>
      <c r="I1170" s="2" t="s">
        <v>39</v>
      </c>
      <c r="J1170" s="2" t="n">
        <v>3</v>
      </c>
      <c r="K1170" s="2" t="s">
        <v>47</v>
      </c>
      <c r="L1170" s="2" t="s">
        <v>37</v>
      </c>
      <c r="M1170" s="2" t="n">
        <v>53630</v>
      </c>
      <c r="N1170" s="2" t="n">
        <v>1</v>
      </c>
      <c r="O1170" s="2" t="n">
        <v>13</v>
      </c>
      <c r="P1170" s="2" t="n">
        <v>0</v>
      </c>
      <c r="Q1170" s="2" t="n">
        <v>6</v>
      </c>
      <c r="R1170" s="2" t="n">
        <v>4</v>
      </c>
      <c r="S1170" s="2" t="n">
        <v>6</v>
      </c>
      <c r="T1170" s="2" t="n">
        <v>4</v>
      </c>
      <c r="U1170" s="2" t="n">
        <v>1</v>
      </c>
      <c r="V1170" s="2" t="n">
        <v>3</v>
      </c>
      <c r="W1170" s="2" t="n">
        <v>2</v>
      </c>
      <c r="X1170" s="2" t="n">
        <v>3</v>
      </c>
      <c r="Y1170" s="2" t="n">
        <v>3</v>
      </c>
      <c r="Z1170" s="2" t="n">
        <v>3</v>
      </c>
    </row>
    <row r="1171" customFormat="false" ht="15" hidden="false" customHeight="true" outlineLevel="0" collapsed="false">
      <c r="A1171" s="2" t="n">
        <v>40</v>
      </c>
      <c r="B1171" s="2" t="s">
        <v>26</v>
      </c>
      <c r="C1171" s="2" t="s">
        <v>27</v>
      </c>
      <c r="D1171" s="2" t="s">
        <v>35</v>
      </c>
      <c r="E1171" s="2" t="n">
        <v>1</v>
      </c>
      <c r="F1171" s="2" t="n">
        <v>4</v>
      </c>
      <c r="G1171" s="2" t="s">
        <v>43</v>
      </c>
      <c r="H1171" s="2" t="n">
        <v>1170</v>
      </c>
      <c r="I1171" s="2" t="s">
        <v>39</v>
      </c>
      <c r="J1171" s="2" t="n">
        <v>2</v>
      </c>
      <c r="K1171" s="2" t="s">
        <v>44</v>
      </c>
      <c r="L1171" s="2" t="s">
        <v>32</v>
      </c>
      <c r="M1171" s="2" t="n">
        <v>50710</v>
      </c>
      <c r="N1171" s="2" t="n">
        <v>8</v>
      </c>
      <c r="O1171" s="2" t="n">
        <v>17</v>
      </c>
      <c r="P1171" s="2" t="n">
        <v>1</v>
      </c>
      <c r="Q1171" s="2" t="n">
        <v>8</v>
      </c>
      <c r="R1171" s="2" t="n">
        <v>3</v>
      </c>
      <c r="S1171" s="2" t="n">
        <v>1</v>
      </c>
      <c r="T1171" s="2" t="n">
        <v>0</v>
      </c>
      <c r="U1171" s="2" t="n">
        <v>0</v>
      </c>
      <c r="V1171" s="2" t="n">
        <v>1</v>
      </c>
      <c r="W1171" s="2" t="n">
        <v>4</v>
      </c>
      <c r="X1171" s="2" t="n">
        <v>2</v>
      </c>
      <c r="Y1171" s="2" t="n">
        <v>2</v>
      </c>
      <c r="Z1171" s="2" t="n">
        <v>3</v>
      </c>
    </row>
    <row r="1172" customFormat="false" ht="15" hidden="false" customHeight="true" outlineLevel="0" collapsed="false">
      <c r="A1172" s="2" t="n">
        <v>32</v>
      </c>
      <c r="B1172" s="2" t="s">
        <v>26</v>
      </c>
      <c r="C1172" s="2" t="s">
        <v>27</v>
      </c>
      <c r="D1172" s="2" t="s">
        <v>35</v>
      </c>
      <c r="E1172" s="2" t="n">
        <v>1</v>
      </c>
      <c r="F1172" s="2" t="n">
        <v>2</v>
      </c>
      <c r="G1172" s="2" t="s">
        <v>43</v>
      </c>
      <c r="H1172" s="2" t="n">
        <v>1171</v>
      </c>
      <c r="I1172" s="2" t="s">
        <v>39</v>
      </c>
      <c r="J1172" s="2" t="n">
        <v>3</v>
      </c>
      <c r="K1172" s="2" t="s">
        <v>40</v>
      </c>
      <c r="L1172" s="2" t="s">
        <v>32</v>
      </c>
      <c r="M1172" s="2" t="n">
        <v>136950</v>
      </c>
      <c r="N1172" s="2" t="n">
        <v>0</v>
      </c>
      <c r="O1172" s="2" t="n">
        <v>13</v>
      </c>
      <c r="P1172" s="2" t="n">
        <v>0</v>
      </c>
      <c r="Q1172" s="2" t="n">
        <v>3</v>
      </c>
      <c r="R1172" s="2" t="n">
        <v>3</v>
      </c>
      <c r="S1172" s="2" t="n">
        <v>2</v>
      </c>
      <c r="T1172" s="2" t="n">
        <v>2</v>
      </c>
      <c r="U1172" s="2" t="n">
        <v>2</v>
      </c>
      <c r="V1172" s="2" t="n">
        <v>2</v>
      </c>
      <c r="W1172" s="2" t="n">
        <v>2</v>
      </c>
      <c r="X1172" s="2" t="n">
        <v>3</v>
      </c>
      <c r="Y1172" s="2" t="n">
        <v>3</v>
      </c>
      <c r="Z1172" s="2" t="n">
        <v>3</v>
      </c>
    </row>
    <row r="1173" customFormat="false" ht="15" hidden="false" customHeight="true" outlineLevel="0" collapsed="false">
      <c r="A1173" s="2" t="n">
        <v>39</v>
      </c>
      <c r="B1173" s="2" t="s">
        <v>26</v>
      </c>
      <c r="C1173" s="2" t="s">
        <v>27</v>
      </c>
      <c r="D1173" s="2" t="s">
        <v>35</v>
      </c>
      <c r="E1173" s="2" t="n">
        <v>4</v>
      </c>
      <c r="F1173" s="2" t="n">
        <v>4</v>
      </c>
      <c r="G1173" s="2" t="s">
        <v>29</v>
      </c>
      <c r="H1173" s="2" t="n">
        <v>1172</v>
      </c>
      <c r="I1173" s="2" t="s">
        <v>39</v>
      </c>
      <c r="J1173" s="2" t="n">
        <v>1</v>
      </c>
      <c r="K1173" s="2" t="s">
        <v>40</v>
      </c>
      <c r="L1173" s="2" t="s">
        <v>37</v>
      </c>
      <c r="M1173" s="2" t="n">
        <v>134020</v>
      </c>
      <c r="N1173" s="2" t="n">
        <v>7</v>
      </c>
      <c r="O1173" s="2" t="n">
        <v>14</v>
      </c>
      <c r="P1173" s="2" t="n">
        <v>1</v>
      </c>
      <c r="Q1173" s="2" t="n">
        <v>18</v>
      </c>
      <c r="R1173" s="2" t="n">
        <v>1</v>
      </c>
      <c r="S1173" s="2" t="n">
        <v>7</v>
      </c>
      <c r="T1173" s="2" t="n">
        <v>1</v>
      </c>
      <c r="U1173" s="2" t="n">
        <v>7</v>
      </c>
      <c r="V1173" s="2" t="n">
        <v>1</v>
      </c>
      <c r="W1173" s="2" t="n">
        <v>4</v>
      </c>
      <c r="X1173" s="2" t="n">
        <v>3</v>
      </c>
      <c r="Y1173" s="2" t="n">
        <v>3</v>
      </c>
      <c r="Z1173" s="2" t="n">
        <v>3</v>
      </c>
    </row>
    <row r="1174" customFormat="false" ht="15" hidden="false" customHeight="true" outlineLevel="0" collapsed="false">
      <c r="A1174" s="2" t="n">
        <v>38</v>
      </c>
      <c r="B1174" s="2" t="s">
        <v>26</v>
      </c>
      <c r="C1174" s="2" t="s">
        <v>27</v>
      </c>
      <c r="D1174" s="2" t="s">
        <v>28</v>
      </c>
      <c r="E1174" s="2" t="n">
        <v>20</v>
      </c>
      <c r="F1174" s="2" t="n">
        <v>4</v>
      </c>
      <c r="G1174" s="2" t="s">
        <v>43</v>
      </c>
      <c r="H1174" s="2" t="n">
        <v>1173</v>
      </c>
      <c r="I1174" s="2" t="s">
        <v>30</v>
      </c>
      <c r="J1174" s="2" t="n">
        <v>2</v>
      </c>
      <c r="K1174" s="2" t="s">
        <v>44</v>
      </c>
      <c r="L1174" s="2" t="s">
        <v>32</v>
      </c>
      <c r="M1174" s="2" t="n">
        <v>20290</v>
      </c>
      <c r="N1174" s="2" t="n">
        <v>3</v>
      </c>
      <c r="O1174" s="2" t="n">
        <v>11</v>
      </c>
      <c r="P1174" s="2" t="n">
        <v>1</v>
      </c>
      <c r="Q1174" s="2" t="n">
        <v>20</v>
      </c>
      <c r="R1174" s="2" t="n">
        <v>3</v>
      </c>
      <c r="S1174" s="2" t="n">
        <v>18</v>
      </c>
      <c r="T1174" s="2" t="n">
        <v>1</v>
      </c>
      <c r="U1174" s="2" t="n">
        <v>11</v>
      </c>
      <c r="V1174" s="2" t="n">
        <v>2</v>
      </c>
      <c r="W1174" s="2" t="n">
        <v>3</v>
      </c>
      <c r="X1174" s="2" t="n">
        <v>3</v>
      </c>
      <c r="Y1174" s="2" t="n">
        <v>2</v>
      </c>
      <c r="Z1174" s="2" t="n">
        <v>3</v>
      </c>
    </row>
    <row r="1175" customFormat="false" ht="15" hidden="false" customHeight="true" outlineLevel="0" collapsed="false">
      <c r="A1175" s="2" t="n">
        <v>32</v>
      </c>
      <c r="B1175" s="2" t="s">
        <v>26</v>
      </c>
      <c r="C1175" s="2" t="s">
        <v>27</v>
      </c>
      <c r="D1175" s="2" t="s">
        <v>35</v>
      </c>
      <c r="E1175" s="2" t="n">
        <v>18</v>
      </c>
      <c r="F1175" s="2" t="n">
        <v>3</v>
      </c>
      <c r="G1175" s="2" t="s">
        <v>29</v>
      </c>
      <c r="H1175" s="2" t="n">
        <v>1174</v>
      </c>
      <c r="I1175" s="2" t="s">
        <v>39</v>
      </c>
      <c r="J1175" s="2" t="n">
        <v>2</v>
      </c>
      <c r="K1175" s="2" t="s">
        <v>49</v>
      </c>
      <c r="L1175" s="2" t="s">
        <v>32</v>
      </c>
      <c r="M1175" s="2" t="n">
        <v>63770</v>
      </c>
      <c r="N1175" s="2" t="n">
        <v>1</v>
      </c>
      <c r="O1175" s="2" t="n">
        <v>12</v>
      </c>
      <c r="P1175" s="2" t="n">
        <v>2</v>
      </c>
      <c r="Q1175" s="2" t="n">
        <v>14</v>
      </c>
      <c r="R1175" s="2" t="n">
        <v>3</v>
      </c>
      <c r="S1175" s="2" t="n">
        <v>14</v>
      </c>
      <c r="T1175" s="2" t="n">
        <v>5</v>
      </c>
      <c r="U1175" s="2" t="n">
        <v>7</v>
      </c>
      <c r="V1175" s="2" t="n">
        <v>3</v>
      </c>
      <c r="W1175" s="2" t="n">
        <v>4</v>
      </c>
      <c r="X1175" s="2" t="n">
        <v>3</v>
      </c>
      <c r="Y1175" s="2" t="n">
        <v>3</v>
      </c>
      <c r="Z1175" s="2" t="n">
        <v>3</v>
      </c>
    </row>
    <row r="1176" customFormat="false" ht="15" hidden="false" customHeight="true" outlineLevel="0" collapsed="false">
      <c r="A1176" s="2" t="n">
        <v>37</v>
      </c>
      <c r="B1176" s="2" t="s">
        <v>26</v>
      </c>
      <c r="C1176" s="2" t="s">
        <v>27</v>
      </c>
      <c r="D1176" s="2" t="s">
        <v>35</v>
      </c>
      <c r="E1176" s="2" t="n">
        <v>1</v>
      </c>
      <c r="F1176" s="2" t="n">
        <v>3</v>
      </c>
      <c r="G1176" s="2" t="s">
        <v>29</v>
      </c>
      <c r="H1176" s="2" t="n">
        <v>1175</v>
      </c>
      <c r="I1176" s="2" t="s">
        <v>30</v>
      </c>
      <c r="J1176" s="2" t="n">
        <v>4</v>
      </c>
      <c r="K1176" s="2" t="s">
        <v>40</v>
      </c>
      <c r="L1176" s="2" t="s">
        <v>32</v>
      </c>
      <c r="M1176" s="2" t="n">
        <v>54290</v>
      </c>
      <c r="N1176" s="2" t="n">
        <v>1</v>
      </c>
      <c r="O1176" s="2" t="n">
        <v>17</v>
      </c>
      <c r="P1176" s="2" t="n">
        <v>1</v>
      </c>
      <c r="Q1176" s="2" t="n">
        <v>16</v>
      </c>
      <c r="R1176" s="2" t="n">
        <v>3</v>
      </c>
      <c r="S1176" s="2" t="n">
        <v>16</v>
      </c>
      <c r="T1176" s="2" t="n">
        <v>6</v>
      </c>
      <c r="U1176" s="2" t="n">
        <v>8</v>
      </c>
      <c r="V1176" s="2" t="n">
        <v>3</v>
      </c>
      <c r="W1176" s="2" t="n">
        <v>4</v>
      </c>
      <c r="X1176" s="2" t="n">
        <v>3</v>
      </c>
      <c r="Y1176" s="2" t="n">
        <v>3</v>
      </c>
      <c r="Z1176" s="2" t="n">
        <v>3</v>
      </c>
    </row>
    <row r="1177" customFormat="false" ht="15" hidden="false" customHeight="true" outlineLevel="0" collapsed="false">
      <c r="A1177" s="2" t="n">
        <v>25</v>
      </c>
      <c r="B1177" s="2" t="s">
        <v>26</v>
      </c>
      <c r="C1177" s="2" t="s">
        <v>27</v>
      </c>
      <c r="D1177" s="2" t="s">
        <v>35</v>
      </c>
      <c r="E1177" s="2" t="n">
        <v>2</v>
      </c>
      <c r="F1177" s="2" t="n">
        <v>4</v>
      </c>
      <c r="G1177" s="2" t="s">
        <v>43</v>
      </c>
      <c r="H1177" s="2" t="n">
        <v>1176</v>
      </c>
      <c r="I1177" s="2" t="s">
        <v>30</v>
      </c>
      <c r="J1177" s="2" t="n">
        <v>2</v>
      </c>
      <c r="K1177" s="2" t="s">
        <v>47</v>
      </c>
      <c r="L1177" s="2" t="s">
        <v>46</v>
      </c>
      <c r="M1177" s="2" t="n">
        <v>27850</v>
      </c>
      <c r="N1177" s="2" t="n">
        <v>0</v>
      </c>
      <c r="O1177" s="2" t="n">
        <v>21</v>
      </c>
      <c r="P1177" s="2" t="n">
        <v>0</v>
      </c>
      <c r="Q1177" s="2" t="n">
        <v>6</v>
      </c>
      <c r="R1177" s="2" t="n">
        <v>2</v>
      </c>
      <c r="S1177" s="2" t="n">
        <v>5</v>
      </c>
      <c r="T1177" s="2" t="n">
        <v>0</v>
      </c>
      <c r="U1177" s="2" t="n">
        <v>4</v>
      </c>
      <c r="V1177" s="2" t="n">
        <v>1</v>
      </c>
      <c r="W1177" s="2" t="n">
        <v>3</v>
      </c>
      <c r="X1177" s="2" t="n">
        <v>2</v>
      </c>
      <c r="Y1177" s="2" t="n">
        <v>3</v>
      </c>
      <c r="Z1177" s="2" t="n">
        <v>4</v>
      </c>
    </row>
    <row r="1178" customFormat="false" ht="15" hidden="false" customHeight="true" outlineLevel="0" collapsed="false">
      <c r="A1178" s="2" t="n">
        <v>52</v>
      </c>
      <c r="B1178" s="2" t="s">
        <v>26</v>
      </c>
      <c r="C1178" s="2" t="s">
        <v>41</v>
      </c>
      <c r="D1178" s="2" t="s">
        <v>35</v>
      </c>
      <c r="E1178" s="2" t="n">
        <v>2</v>
      </c>
      <c r="F1178" s="2" t="n">
        <v>4</v>
      </c>
      <c r="G1178" s="2" t="s">
        <v>38</v>
      </c>
      <c r="H1178" s="2" t="n">
        <v>1177</v>
      </c>
      <c r="I1178" s="2" t="s">
        <v>39</v>
      </c>
      <c r="J1178" s="2" t="n">
        <v>1</v>
      </c>
      <c r="K1178" s="2" t="s">
        <v>49</v>
      </c>
      <c r="L1178" s="2" t="s">
        <v>46</v>
      </c>
      <c r="M1178" s="2" t="n">
        <v>46140</v>
      </c>
      <c r="N1178" s="2" t="n">
        <v>2</v>
      </c>
      <c r="O1178" s="2" t="n">
        <v>16</v>
      </c>
      <c r="P1178" s="2" t="n">
        <v>1</v>
      </c>
      <c r="Q1178" s="2" t="n">
        <v>16</v>
      </c>
      <c r="R1178" s="2" t="n">
        <v>3</v>
      </c>
      <c r="S1178" s="2" t="n">
        <v>9</v>
      </c>
      <c r="T1178" s="2" t="n">
        <v>0</v>
      </c>
      <c r="U1178" s="2" t="n">
        <v>0</v>
      </c>
      <c r="V1178" s="2" t="n">
        <v>1</v>
      </c>
      <c r="W1178" s="2" t="n">
        <v>4</v>
      </c>
      <c r="X1178" s="2" t="n">
        <v>2</v>
      </c>
      <c r="Y1178" s="2" t="n">
        <v>3</v>
      </c>
      <c r="Z1178" s="2" t="n">
        <v>3</v>
      </c>
    </row>
    <row r="1179" customFormat="false" ht="15" hidden="false" customHeight="true" outlineLevel="0" collapsed="false">
      <c r="A1179" s="2" t="n">
        <v>44</v>
      </c>
      <c r="B1179" s="2" t="s">
        <v>26</v>
      </c>
      <c r="C1179" s="2" t="s">
        <v>27</v>
      </c>
      <c r="D1179" s="2" t="s">
        <v>35</v>
      </c>
      <c r="E1179" s="2" t="n">
        <v>8</v>
      </c>
      <c r="F1179" s="2" t="n">
        <v>1</v>
      </c>
      <c r="G1179" s="2" t="s">
        <v>29</v>
      </c>
      <c r="H1179" s="2" t="n">
        <v>1178</v>
      </c>
      <c r="I1179" s="2" t="s">
        <v>30</v>
      </c>
      <c r="J1179" s="2" t="n">
        <v>1</v>
      </c>
      <c r="K1179" s="2" t="s">
        <v>48</v>
      </c>
      <c r="L1179" s="2" t="s">
        <v>37</v>
      </c>
      <c r="M1179" s="2" t="n">
        <v>26100</v>
      </c>
      <c r="N1179" s="2" t="n">
        <v>6</v>
      </c>
      <c r="O1179" s="2" t="n">
        <v>15</v>
      </c>
      <c r="P1179" s="2" t="n">
        <v>0</v>
      </c>
      <c r="Q1179" s="2" t="n">
        <v>6</v>
      </c>
      <c r="R1179" s="2" t="n">
        <v>2</v>
      </c>
      <c r="S1179" s="2" t="n">
        <v>4</v>
      </c>
      <c r="T1179" s="2" t="n">
        <v>1</v>
      </c>
      <c r="U1179" s="2" t="n">
        <v>2</v>
      </c>
      <c r="V1179" s="2" t="n">
        <v>2</v>
      </c>
      <c r="W1179" s="2" t="n">
        <v>4</v>
      </c>
      <c r="X1179" s="2" t="n">
        <v>3</v>
      </c>
      <c r="Y1179" s="2" t="n">
        <v>3</v>
      </c>
      <c r="Z1179" s="2" t="n">
        <v>3</v>
      </c>
    </row>
    <row r="1180" customFormat="false" ht="15" hidden="false" customHeight="true" outlineLevel="0" collapsed="false">
      <c r="A1180" s="2" t="n">
        <v>21</v>
      </c>
      <c r="B1180" s="2" t="s">
        <v>26</v>
      </c>
      <c r="C1180" s="2" t="s">
        <v>27</v>
      </c>
      <c r="D1180" s="2" t="s">
        <v>28</v>
      </c>
      <c r="E1180" s="2" t="n">
        <v>10</v>
      </c>
      <c r="F1180" s="2" t="n">
        <v>5</v>
      </c>
      <c r="G1180" s="2" t="s">
        <v>43</v>
      </c>
      <c r="H1180" s="2" t="n">
        <v>1179</v>
      </c>
      <c r="I1180" s="2" t="s">
        <v>39</v>
      </c>
      <c r="J1180" s="2" t="n">
        <v>3</v>
      </c>
      <c r="K1180" s="2" t="s">
        <v>36</v>
      </c>
      <c r="L1180" s="2" t="s">
        <v>37</v>
      </c>
      <c r="M1180" s="2" t="n">
        <v>66870</v>
      </c>
      <c r="N1180" s="2" t="n">
        <v>1</v>
      </c>
      <c r="O1180" s="2" t="n">
        <v>19</v>
      </c>
      <c r="P1180" s="2" t="n">
        <v>3</v>
      </c>
      <c r="Q1180" s="2" t="n">
        <v>2</v>
      </c>
      <c r="R1180" s="2" t="n">
        <v>0</v>
      </c>
      <c r="S1180" s="2" t="n">
        <v>2</v>
      </c>
      <c r="T1180" s="2" t="n">
        <v>1</v>
      </c>
      <c r="U1180" s="2" t="n">
        <v>2</v>
      </c>
      <c r="V1180" s="2" t="n">
        <v>3</v>
      </c>
      <c r="W1180" s="2" t="n">
        <v>1</v>
      </c>
      <c r="X1180" s="2" t="n">
        <v>3</v>
      </c>
      <c r="Y1180" s="2" t="n">
        <v>3</v>
      </c>
      <c r="Z1180" s="2" t="n">
        <v>3</v>
      </c>
    </row>
    <row r="1181" customFormat="false" ht="15" hidden="false" customHeight="true" outlineLevel="0" collapsed="false">
      <c r="A1181" s="2" t="n">
        <v>39</v>
      </c>
      <c r="B1181" s="2" t="s">
        <v>26</v>
      </c>
      <c r="C1181" s="2" t="s">
        <v>41</v>
      </c>
      <c r="D1181" s="2" t="s">
        <v>35</v>
      </c>
      <c r="E1181" s="2" t="n">
        <v>3</v>
      </c>
      <c r="F1181" s="2" t="n">
        <v>4</v>
      </c>
      <c r="G1181" s="2" t="s">
        <v>29</v>
      </c>
      <c r="H1181" s="2" t="n">
        <v>1180</v>
      </c>
      <c r="I1181" s="2" t="s">
        <v>30</v>
      </c>
      <c r="J1181" s="2" t="n">
        <v>2</v>
      </c>
      <c r="K1181" s="2" t="s">
        <v>44</v>
      </c>
      <c r="L1181" s="2" t="s">
        <v>37</v>
      </c>
      <c r="M1181" s="2" t="n">
        <v>47240</v>
      </c>
      <c r="N1181" s="2" t="n">
        <v>2</v>
      </c>
      <c r="O1181" s="2" t="n">
        <v>12</v>
      </c>
      <c r="P1181" s="2" t="n">
        <v>1</v>
      </c>
      <c r="Q1181" s="2" t="n">
        <v>21</v>
      </c>
      <c r="R1181" s="2" t="n">
        <v>4</v>
      </c>
      <c r="S1181" s="2" t="n">
        <v>6</v>
      </c>
      <c r="T1181" s="2" t="n">
        <v>1</v>
      </c>
      <c r="U1181" s="2" t="n">
        <v>3</v>
      </c>
      <c r="V1181" s="2" t="n">
        <v>4</v>
      </c>
      <c r="W1181" s="2" t="n">
        <v>4</v>
      </c>
      <c r="X1181" s="2" t="n">
        <v>2</v>
      </c>
      <c r="Y1181" s="2" t="n">
        <v>4</v>
      </c>
      <c r="Z1181" s="2" t="n">
        <v>3</v>
      </c>
    </row>
    <row r="1182" customFormat="false" ht="15" hidden="false" customHeight="true" outlineLevel="0" collapsed="false">
      <c r="A1182" s="2" t="n">
        <v>23</v>
      </c>
      <c r="B1182" s="2" t="s">
        <v>33</v>
      </c>
      <c r="C1182" s="2" t="s">
        <v>34</v>
      </c>
      <c r="D1182" s="2" t="s">
        <v>35</v>
      </c>
      <c r="E1182" s="2" t="n">
        <v>2</v>
      </c>
      <c r="F1182" s="2" t="n">
        <v>4</v>
      </c>
      <c r="G1182" s="2" t="s">
        <v>29</v>
      </c>
      <c r="H1182" s="2" t="n">
        <v>1181</v>
      </c>
      <c r="I1182" s="2" t="s">
        <v>30</v>
      </c>
      <c r="J1182" s="2" t="n">
        <v>2</v>
      </c>
      <c r="K1182" s="2" t="s">
        <v>47</v>
      </c>
      <c r="L1182" s="2" t="s">
        <v>32</v>
      </c>
      <c r="M1182" s="2" t="n">
        <v>61790</v>
      </c>
      <c r="N1182" s="2" t="n">
        <v>1</v>
      </c>
      <c r="O1182" s="2" t="n">
        <v>11</v>
      </c>
      <c r="P1182" s="2" t="n">
        <v>0</v>
      </c>
      <c r="Q1182" s="2" t="n">
        <v>1</v>
      </c>
      <c r="R1182" s="2" t="n">
        <v>3</v>
      </c>
      <c r="S1182" s="2" t="n">
        <v>1</v>
      </c>
      <c r="T1182" s="2" t="n">
        <v>1</v>
      </c>
      <c r="U1182" s="2" t="n">
        <v>0</v>
      </c>
      <c r="V1182" s="2" t="n">
        <v>4</v>
      </c>
      <c r="W1182" s="2" t="n">
        <v>1</v>
      </c>
      <c r="X1182" s="2" t="n">
        <v>2</v>
      </c>
      <c r="Y1182" s="2" t="n">
        <v>3</v>
      </c>
      <c r="Z1182" s="2" t="n">
        <v>3</v>
      </c>
    </row>
    <row r="1183" customFormat="false" ht="15" hidden="false" customHeight="true" outlineLevel="0" collapsed="false">
      <c r="A1183" s="2" t="n">
        <v>36</v>
      </c>
      <c r="B1183" s="2" t="s">
        <v>26</v>
      </c>
      <c r="C1183" s="2" t="s">
        <v>27</v>
      </c>
      <c r="D1183" s="2" t="s">
        <v>35</v>
      </c>
      <c r="E1183" s="2" t="n">
        <v>24</v>
      </c>
      <c r="F1183" s="2" t="n">
        <v>3</v>
      </c>
      <c r="G1183" s="2" t="s">
        <v>29</v>
      </c>
      <c r="H1183" s="2" t="n">
        <v>1182</v>
      </c>
      <c r="I1183" s="2" t="s">
        <v>30</v>
      </c>
      <c r="J1183" s="2" t="n">
        <v>2</v>
      </c>
      <c r="K1183" s="2" t="s">
        <v>45</v>
      </c>
      <c r="L1183" s="2" t="s">
        <v>32</v>
      </c>
      <c r="M1183" s="2" t="n">
        <v>61200</v>
      </c>
      <c r="N1183" s="2" t="n">
        <v>0</v>
      </c>
      <c r="O1183" s="2" t="n">
        <v>19</v>
      </c>
      <c r="P1183" s="2" t="n">
        <v>0</v>
      </c>
      <c r="Q1183" s="2" t="n">
        <v>10</v>
      </c>
      <c r="R1183" s="2" t="n">
        <v>2</v>
      </c>
      <c r="S1183" s="2" t="n">
        <v>9</v>
      </c>
      <c r="T1183" s="2" t="n">
        <v>3</v>
      </c>
      <c r="U1183" s="2" t="n">
        <v>4</v>
      </c>
      <c r="V1183" s="2" t="n">
        <v>1</v>
      </c>
      <c r="W1183" s="2" t="n">
        <v>4</v>
      </c>
      <c r="X1183" s="2" t="n">
        <v>3</v>
      </c>
      <c r="Y1183" s="2" t="n">
        <v>3</v>
      </c>
      <c r="Z1183" s="2" t="n">
        <v>3</v>
      </c>
    </row>
    <row r="1184" customFormat="false" ht="15" hidden="false" customHeight="true" outlineLevel="0" collapsed="false">
      <c r="A1184" s="2" t="n">
        <v>36</v>
      </c>
      <c r="B1184" s="2" t="s">
        <v>26</v>
      </c>
      <c r="C1184" s="2" t="s">
        <v>34</v>
      </c>
      <c r="D1184" s="2" t="s">
        <v>35</v>
      </c>
      <c r="E1184" s="2" t="n">
        <v>16</v>
      </c>
      <c r="F1184" s="2" t="n">
        <v>1</v>
      </c>
      <c r="G1184" s="2" t="s">
        <v>43</v>
      </c>
      <c r="H1184" s="2" t="n">
        <v>1183</v>
      </c>
      <c r="I1184" s="2" t="s">
        <v>39</v>
      </c>
      <c r="J1184" s="2" t="n">
        <v>2</v>
      </c>
      <c r="K1184" s="2" t="s">
        <v>40</v>
      </c>
      <c r="L1184" s="2" t="s">
        <v>46</v>
      </c>
      <c r="M1184" s="2" t="n">
        <v>105960</v>
      </c>
      <c r="N1184" s="2" t="n">
        <v>7</v>
      </c>
      <c r="O1184" s="2" t="n">
        <v>15</v>
      </c>
      <c r="P1184" s="2" t="n">
        <v>0</v>
      </c>
      <c r="Q1184" s="2" t="n">
        <v>18</v>
      </c>
      <c r="R1184" s="2" t="n">
        <v>3</v>
      </c>
      <c r="S1184" s="2" t="n">
        <v>4</v>
      </c>
      <c r="T1184" s="2" t="n">
        <v>0</v>
      </c>
      <c r="U1184" s="2" t="n">
        <v>2</v>
      </c>
      <c r="V1184" s="2" t="n">
        <v>4</v>
      </c>
      <c r="W1184" s="2" t="n">
        <v>2</v>
      </c>
      <c r="X1184" s="2" t="n">
        <v>3</v>
      </c>
      <c r="Y1184" s="2" t="n">
        <v>2</v>
      </c>
      <c r="Z1184" s="2" t="n">
        <v>3</v>
      </c>
    </row>
    <row r="1185" customFormat="false" ht="15" hidden="false" customHeight="true" outlineLevel="0" collapsed="false">
      <c r="A1185" s="2" t="n">
        <v>56</v>
      </c>
      <c r="B1185" s="2" t="s">
        <v>26</v>
      </c>
      <c r="C1185" s="2" t="s">
        <v>41</v>
      </c>
      <c r="D1185" s="2" t="s">
        <v>35</v>
      </c>
      <c r="E1185" s="2" t="n">
        <v>8</v>
      </c>
      <c r="F1185" s="2" t="n">
        <v>1</v>
      </c>
      <c r="G1185" s="2" t="s">
        <v>29</v>
      </c>
      <c r="H1185" s="2" t="n">
        <v>1184</v>
      </c>
      <c r="I1185" s="2" t="s">
        <v>39</v>
      </c>
      <c r="J1185" s="2" t="n">
        <v>1</v>
      </c>
      <c r="K1185" s="2" t="s">
        <v>40</v>
      </c>
      <c r="L1185" s="2" t="s">
        <v>46</v>
      </c>
      <c r="M1185" s="2" t="n">
        <v>54670</v>
      </c>
      <c r="N1185" s="2" t="n">
        <v>1</v>
      </c>
      <c r="O1185" s="2" t="n">
        <v>20</v>
      </c>
      <c r="P1185" s="2" t="n">
        <v>0</v>
      </c>
      <c r="Q1185" s="2" t="n">
        <v>13</v>
      </c>
      <c r="R1185" s="2" t="n">
        <v>6</v>
      </c>
      <c r="S1185" s="2" t="n">
        <v>13</v>
      </c>
      <c r="T1185" s="2" t="n">
        <v>1</v>
      </c>
      <c r="U1185" s="2" t="n">
        <v>9</v>
      </c>
      <c r="V1185" s="2" t="n">
        <v>3</v>
      </c>
      <c r="W1185" s="2" t="n">
        <v>3</v>
      </c>
      <c r="X1185" s="2" t="n">
        <v>2</v>
      </c>
      <c r="Y1185" s="2" t="n">
        <v>2</v>
      </c>
      <c r="Z1185" s="2" t="n">
        <v>4</v>
      </c>
    </row>
    <row r="1186" customFormat="false" ht="15" hidden="false" customHeight="true" outlineLevel="0" collapsed="false">
      <c r="A1186" s="2" t="n">
        <v>29</v>
      </c>
      <c r="B1186" s="2" t="s">
        <v>33</v>
      </c>
      <c r="C1186" s="2" t="s">
        <v>27</v>
      </c>
      <c r="D1186" s="2" t="s">
        <v>35</v>
      </c>
      <c r="E1186" s="2" t="n">
        <v>9</v>
      </c>
      <c r="F1186" s="2" t="n">
        <v>4</v>
      </c>
      <c r="G1186" s="2" t="s">
        <v>43</v>
      </c>
      <c r="H1186" s="2" t="n">
        <v>1185</v>
      </c>
      <c r="I1186" s="2" t="s">
        <v>39</v>
      </c>
      <c r="J1186" s="2" t="n">
        <v>2</v>
      </c>
      <c r="K1186" s="2" t="s">
        <v>48</v>
      </c>
      <c r="L1186" s="2" t="s">
        <v>32</v>
      </c>
      <c r="M1186" s="2" t="n">
        <v>29960</v>
      </c>
      <c r="N1186" s="2" t="n">
        <v>9</v>
      </c>
      <c r="O1186" s="2" t="n">
        <v>25</v>
      </c>
      <c r="P1186" s="2" t="n">
        <v>0</v>
      </c>
      <c r="Q1186" s="2" t="n">
        <v>4</v>
      </c>
      <c r="R1186" s="2" t="n">
        <v>4</v>
      </c>
      <c r="S1186" s="2" t="n">
        <v>2</v>
      </c>
      <c r="T1186" s="2" t="n">
        <v>2</v>
      </c>
      <c r="U1186" s="2" t="n">
        <v>2</v>
      </c>
      <c r="V1186" s="2" t="n">
        <v>1</v>
      </c>
      <c r="W1186" s="2" t="n">
        <v>4</v>
      </c>
      <c r="X1186" s="2" t="n">
        <v>4</v>
      </c>
      <c r="Y1186" s="2" t="n">
        <v>3</v>
      </c>
      <c r="Z1186" s="2" t="n">
        <v>4</v>
      </c>
    </row>
    <row r="1187" customFormat="false" ht="15" hidden="false" customHeight="true" outlineLevel="0" collapsed="false">
      <c r="A1187" s="2" t="n">
        <v>42</v>
      </c>
      <c r="B1187" s="2" t="s">
        <v>26</v>
      </c>
      <c r="C1187" s="2" t="s">
        <v>27</v>
      </c>
      <c r="D1187" s="2" t="s">
        <v>35</v>
      </c>
      <c r="E1187" s="2" t="n">
        <v>17</v>
      </c>
      <c r="F1187" s="2" t="n">
        <v>1</v>
      </c>
      <c r="G1187" s="2" t="s">
        <v>29</v>
      </c>
      <c r="H1187" s="2" t="n">
        <v>1186</v>
      </c>
      <c r="I1187" s="2" t="s">
        <v>39</v>
      </c>
      <c r="J1187" s="2" t="n">
        <v>3</v>
      </c>
      <c r="K1187" s="2" t="s">
        <v>36</v>
      </c>
      <c r="L1187" s="2" t="s">
        <v>32</v>
      </c>
      <c r="M1187" s="2" t="n">
        <v>99980</v>
      </c>
      <c r="N1187" s="2" t="n">
        <v>5</v>
      </c>
      <c r="O1187" s="2" t="n">
        <v>24</v>
      </c>
      <c r="P1187" s="2" t="n">
        <v>2</v>
      </c>
      <c r="Q1187" s="2" t="n">
        <v>24</v>
      </c>
      <c r="R1187" s="2" t="n">
        <v>3</v>
      </c>
      <c r="S1187" s="2" t="n">
        <v>22</v>
      </c>
      <c r="T1187" s="2" t="n">
        <v>4</v>
      </c>
      <c r="U1187" s="2" t="n">
        <v>14</v>
      </c>
      <c r="V1187" s="2" t="n">
        <v>1</v>
      </c>
      <c r="W1187" s="2" t="n">
        <v>3</v>
      </c>
      <c r="X1187" s="2" t="n">
        <v>2</v>
      </c>
      <c r="Y1187" s="2" t="n">
        <v>2</v>
      </c>
      <c r="Z1187" s="2" t="n">
        <v>4</v>
      </c>
    </row>
    <row r="1188" customFormat="false" ht="15" hidden="false" customHeight="true" outlineLevel="0" collapsed="false">
      <c r="A1188" s="2" t="n">
        <v>56</v>
      </c>
      <c r="B1188" s="2" t="s">
        <v>33</v>
      </c>
      <c r="C1188" s="2" t="s">
        <v>27</v>
      </c>
      <c r="D1188" s="2" t="s">
        <v>28</v>
      </c>
      <c r="E1188" s="2" t="n">
        <v>10</v>
      </c>
      <c r="F1188" s="2" t="n">
        <v>4</v>
      </c>
      <c r="G1188" s="2" t="s">
        <v>38</v>
      </c>
      <c r="H1188" s="2" t="n">
        <v>1187</v>
      </c>
      <c r="I1188" s="2" t="s">
        <v>39</v>
      </c>
      <c r="J1188" s="2" t="n">
        <v>2</v>
      </c>
      <c r="K1188" s="2" t="s">
        <v>40</v>
      </c>
      <c r="L1188" s="2" t="s">
        <v>32</v>
      </c>
      <c r="M1188" s="2" t="n">
        <v>40780</v>
      </c>
      <c r="N1188" s="2" t="n">
        <v>8</v>
      </c>
      <c r="O1188" s="2" t="n">
        <v>24</v>
      </c>
      <c r="P1188" s="2" t="n">
        <v>1</v>
      </c>
      <c r="Q1188" s="2" t="n">
        <v>14</v>
      </c>
      <c r="R1188" s="2" t="n">
        <v>3</v>
      </c>
      <c r="S1188" s="2" t="n">
        <v>10</v>
      </c>
      <c r="T1188" s="2" t="n">
        <v>9</v>
      </c>
      <c r="U1188" s="2" t="n">
        <v>8</v>
      </c>
      <c r="V1188" s="2" t="n">
        <v>4</v>
      </c>
      <c r="W1188" s="2" t="n">
        <v>3</v>
      </c>
      <c r="X1188" s="2" t="n">
        <v>1</v>
      </c>
      <c r="Y1188" s="2" t="n">
        <v>3</v>
      </c>
      <c r="Z1188" s="2" t="n">
        <v>4</v>
      </c>
    </row>
    <row r="1189" customFormat="false" ht="15" hidden="false" customHeight="true" outlineLevel="0" collapsed="false">
      <c r="A1189" s="2" t="n">
        <v>41</v>
      </c>
      <c r="B1189" s="2" t="s">
        <v>26</v>
      </c>
      <c r="C1189" s="2" t="s">
        <v>27</v>
      </c>
      <c r="D1189" s="2" t="s">
        <v>35</v>
      </c>
      <c r="E1189" s="2" t="n">
        <v>13</v>
      </c>
      <c r="F1189" s="2" t="n">
        <v>4</v>
      </c>
      <c r="G1189" s="2" t="s">
        <v>29</v>
      </c>
      <c r="H1189" s="2" t="n">
        <v>1188</v>
      </c>
      <c r="I1189" s="2" t="s">
        <v>30</v>
      </c>
      <c r="J1189" s="2" t="n">
        <v>1</v>
      </c>
      <c r="K1189" s="2" t="s">
        <v>31</v>
      </c>
      <c r="L1189" s="2" t="s">
        <v>32</v>
      </c>
      <c r="M1189" s="2" t="n">
        <v>109200</v>
      </c>
      <c r="N1189" s="2" t="n">
        <v>0</v>
      </c>
      <c r="O1189" s="2" t="n">
        <v>15</v>
      </c>
      <c r="P1189" s="2" t="n">
        <v>1</v>
      </c>
      <c r="Q1189" s="2" t="n">
        <v>21</v>
      </c>
      <c r="R1189" s="2" t="n">
        <v>3</v>
      </c>
      <c r="S1189" s="2" t="n">
        <v>20</v>
      </c>
      <c r="T1189" s="2" t="n">
        <v>0</v>
      </c>
      <c r="U1189" s="2" t="n">
        <v>10</v>
      </c>
      <c r="V1189" s="2" t="n">
        <v>1</v>
      </c>
      <c r="W1189" s="2" t="n">
        <v>2</v>
      </c>
      <c r="X1189" s="2" t="n">
        <v>3</v>
      </c>
      <c r="Y1189" s="2" t="n">
        <v>4</v>
      </c>
      <c r="Z1189" s="2" t="n">
        <v>3</v>
      </c>
    </row>
    <row r="1190" customFormat="false" ht="15" hidden="false" customHeight="true" outlineLevel="0" collapsed="false">
      <c r="A1190" s="2" t="n">
        <v>34</v>
      </c>
      <c r="B1190" s="2" t="s">
        <v>26</v>
      </c>
      <c r="C1190" s="2" t="s">
        <v>27</v>
      </c>
      <c r="D1190" s="2" t="s">
        <v>28</v>
      </c>
      <c r="E1190" s="2" t="n">
        <v>1</v>
      </c>
      <c r="F1190" s="2" t="n">
        <v>3</v>
      </c>
      <c r="G1190" s="2" t="s">
        <v>43</v>
      </c>
      <c r="H1190" s="2" t="n">
        <v>1189</v>
      </c>
      <c r="I1190" s="2" t="s">
        <v>30</v>
      </c>
      <c r="J1190" s="2" t="n">
        <v>1</v>
      </c>
      <c r="K1190" s="2" t="s">
        <v>45</v>
      </c>
      <c r="L1190" s="2" t="s">
        <v>32</v>
      </c>
      <c r="M1190" s="2" t="n">
        <v>62320</v>
      </c>
      <c r="N1190" s="2" t="n">
        <v>1</v>
      </c>
      <c r="O1190" s="2" t="n">
        <v>13</v>
      </c>
      <c r="P1190" s="2" t="n">
        <v>1</v>
      </c>
      <c r="Q1190" s="2" t="n">
        <v>8</v>
      </c>
      <c r="R1190" s="2" t="n">
        <v>3</v>
      </c>
      <c r="S1190" s="2" t="n">
        <v>8</v>
      </c>
      <c r="T1190" s="2" t="n">
        <v>1</v>
      </c>
      <c r="U1190" s="2" t="n">
        <v>7</v>
      </c>
      <c r="V1190" s="2" t="n">
        <v>4</v>
      </c>
      <c r="W1190" s="2" t="n">
        <v>3</v>
      </c>
      <c r="X1190" s="2" t="n">
        <v>3</v>
      </c>
      <c r="Y1190" s="2" t="n">
        <v>3</v>
      </c>
      <c r="Z1190" s="2" t="n">
        <v>3</v>
      </c>
    </row>
    <row r="1191" customFormat="false" ht="15" hidden="false" customHeight="true" outlineLevel="0" collapsed="false">
      <c r="A1191" s="2" t="n">
        <v>36</v>
      </c>
      <c r="B1191" s="2" t="s">
        <v>26</v>
      </c>
      <c r="C1191" s="2" t="s">
        <v>41</v>
      </c>
      <c r="D1191" s="2" t="s">
        <v>28</v>
      </c>
      <c r="E1191" s="2" t="n">
        <v>1</v>
      </c>
      <c r="F1191" s="2" t="n">
        <v>1</v>
      </c>
      <c r="G1191" s="2" t="s">
        <v>43</v>
      </c>
      <c r="H1191" s="2" t="n">
        <v>1190</v>
      </c>
      <c r="I1191" s="2" t="s">
        <v>30</v>
      </c>
      <c r="J1191" s="2" t="n">
        <v>1</v>
      </c>
      <c r="K1191" s="2" t="s">
        <v>42</v>
      </c>
      <c r="L1191" s="2" t="s">
        <v>46</v>
      </c>
      <c r="M1191" s="2" t="n">
        <v>132470</v>
      </c>
      <c r="N1191" s="2" t="n">
        <v>1</v>
      </c>
      <c r="O1191" s="2" t="n">
        <v>14</v>
      </c>
      <c r="P1191" s="2" t="n">
        <v>0</v>
      </c>
      <c r="Q1191" s="2" t="n">
        <v>15</v>
      </c>
      <c r="R1191" s="2" t="n">
        <v>3</v>
      </c>
      <c r="S1191" s="2" t="n">
        <v>15</v>
      </c>
      <c r="T1191" s="2" t="n">
        <v>11</v>
      </c>
      <c r="U1191" s="2" t="n">
        <v>11</v>
      </c>
      <c r="V1191" s="2" t="n">
        <v>4</v>
      </c>
      <c r="W1191" s="2" t="n">
        <v>4</v>
      </c>
      <c r="X1191" s="2" t="n">
        <v>2</v>
      </c>
      <c r="Y1191" s="2" t="n">
        <v>3</v>
      </c>
      <c r="Z1191" s="2" t="n">
        <v>3</v>
      </c>
    </row>
    <row r="1192" customFormat="false" ht="15" hidden="false" customHeight="true" outlineLevel="0" collapsed="false">
      <c r="A1192" s="2" t="n">
        <v>41</v>
      </c>
      <c r="B1192" s="2" t="s">
        <v>26</v>
      </c>
      <c r="C1192" s="2" t="s">
        <v>27</v>
      </c>
      <c r="D1192" s="2" t="s">
        <v>35</v>
      </c>
      <c r="E1192" s="2" t="n">
        <v>1</v>
      </c>
      <c r="F1192" s="2" t="n">
        <v>5</v>
      </c>
      <c r="G1192" s="2" t="s">
        <v>43</v>
      </c>
      <c r="H1192" s="2" t="n">
        <v>1191</v>
      </c>
      <c r="I1192" s="2" t="s">
        <v>39</v>
      </c>
      <c r="J1192" s="2" t="n">
        <v>1</v>
      </c>
      <c r="K1192" s="2" t="s">
        <v>31</v>
      </c>
      <c r="L1192" s="2" t="s">
        <v>46</v>
      </c>
      <c r="M1192" s="2" t="n">
        <v>40810</v>
      </c>
      <c r="N1192" s="2" t="n">
        <v>2</v>
      </c>
      <c r="O1192" s="2" t="n">
        <v>13</v>
      </c>
      <c r="P1192" s="2" t="n">
        <v>0</v>
      </c>
      <c r="Q1192" s="2" t="n">
        <v>14</v>
      </c>
      <c r="R1192" s="2" t="n">
        <v>3</v>
      </c>
      <c r="S1192" s="2" t="n">
        <v>5</v>
      </c>
      <c r="T1192" s="2" t="n">
        <v>0</v>
      </c>
      <c r="U1192" s="2" t="n">
        <v>4</v>
      </c>
      <c r="V1192" s="2" t="n">
        <v>3</v>
      </c>
      <c r="W1192" s="2" t="n">
        <v>2</v>
      </c>
      <c r="X1192" s="2" t="n">
        <v>3</v>
      </c>
      <c r="Y1192" s="2" t="n">
        <v>3</v>
      </c>
      <c r="Z1192" s="2" t="n">
        <v>3</v>
      </c>
    </row>
    <row r="1193" customFormat="false" ht="15" hidden="false" customHeight="true" outlineLevel="0" collapsed="false">
      <c r="A1193" s="2" t="n">
        <v>32</v>
      </c>
      <c r="B1193" s="2" t="s">
        <v>26</v>
      </c>
      <c r="C1193" s="2" t="s">
        <v>27</v>
      </c>
      <c r="D1193" s="2" t="s">
        <v>28</v>
      </c>
      <c r="E1193" s="2" t="n">
        <v>9</v>
      </c>
      <c r="F1193" s="2" t="n">
        <v>4</v>
      </c>
      <c r="G1193" s="2" t="s">
        <v>29</v>
      </c>
      <c r="H1193" s="2" t="n">
        <v>1192</v>
      </c>
      <c r="I1193" s="2" t="s">
        <v>30</v>
      </c>
      <c r="J1193" s="2" t="n">
        <v>2</v>
      </c>
      <c r="K1193" s="2" t="s">
        <v>36</v>
      </c>
      <c r="L1193" s="2" t="s">
        <v>37</v>
      </c>
      <c r="M1193" s="2" t="n">
        <v>57690</v>
      </c>
      <c r="N1193" s="2" t="n">
        <v>1</v>
      </c>
      <c r="O1193" s="2" t="n">
        <v>11</v>
      </c>
      <c r="P1193" s="2" t="n">
        <v>0</v>
      </c>
      <c r="Q1193" s="2" t="n">
        <v>4</v>
      </c>
      <c r="R1193" s="2" t="n">
        <v>3</v>
      </c>
      <c r="S1193" s="2" t="n">
        <v>4</v>
      </c>
      <c r="T1193" s="2" t="n">
        <v>1</v>
      </c>
      <c r="U1193" s="2" t="n">
        <v>2</v>
      </c>
      <c r="V1193" s="2" t="n">
        <v>4</v>
      </c>
      <c r="W1193" s="2" t="n">
        <v>1</v>
      </c>
      <c r="X1193" s="2" t="n">
        <v>3</v>
      </c>
      <c r="Y1193" s="2" t="n">
        <v>3</v>
      </c>
      <c r="Z1193" s="2" t="n">
        <v>3</v>
      </c>
    </row>
    <row r="1194" customFormat="false" ht="15" hidden="false" customHeight="true" outlineLevel="0" collapsed="false">
      <c r="A1194" s="2" t="n">
        <v>35</v>
      </c>
      <c r="B1194" s="2" t="s">
        <v>26</v>
      </c>
      <c r="C1194" s="2" t="s">
        <v>27</v>
      </c>
      <c r="D1194" s="2" t="s">
        <v>35</v>
      </c>
      <c r="E1194" s="2" t="n">
        <v>16</v>
      </c>
      <c r="F1194" s="2" t="n">
        <v>3</v>
      </c>
      <c r="G1194" s="2" t="s">
        <v>43</v>
      </c>
      <c r="H1194" s="2" t="n">
        <v>1193</v>
      </c>
      <c r="I1194" s="2" t="s">
        <v>30</v>
      </c>
      <c r="J1194" s="2" t="n">
        <v>2</v>
      </c>
      <c r="K1194" s="2" t="s">
        <v>31</v>
      </c>
      <c r="L1194" s="2" t="s">
        <v>37</v>
      </c>
      <c r="M1194" s="2" t="n">
        <v>23940</v>
      </c>
      <c r="N1194" s="2" t="n">
        <v>1</v>
      </c>
      <c r="O1194" s="2" t="n">
        <v>16</v>
      </c>
      <c r="P1194" s="2" t="n">
        <v>1</v>
      </c>
      <c r="Q1194" s="2" t="n">
        <v>9</v>
      </c>
      <c r="R1194" s="2" t="n">
        <v>3</v>
      </c>
      <c r="S1194" s="2" t="n">
        <v>9</v>
      </c>
      <c r="T1194" s="2" t="n">
        <v>1</v>
      </c>
      <c r="U1194" s="2" t="n">
        <v>7</v>
      </c>
      <c r="V1194" s="2" t="n">
        <v>3</v>
      </c>
      <c r="W1194" s="2" t="n">
        <v>4</v>
      </c>
      <c r="X1194" s="2" t="n">
        <v>3</v>
      </c>
      <c r="Y1194" s="2" t="n">
        <v>3</v>
      </c>
      <c r="Z1194" s="2" t="n">
        <v>3</v>
      </c>
    </row>
    <row r="1195" customFormat="false" ht="15" hidden="false" customHeight="true" outlineLevel="0" collapsed="false">
      <c r="A1195" s="2" t="n">
        <v>38</v>
      </c>
      <c r="B1195" s="2" t="s">
        <v>26</v>
      </c>
      <c r="C1195" s="2" t="s">
        <v>27</v>
      </c>
      <c r="D1195" s="2" t="s">
        <v>35</v>
      </c>
      <c r="E1195" s="2" t="n">
        <v>23</v>
      </c>
      <c r="F1195" s="2" t="n">
        <v>3</v>
      </c>
      <c r="G1195" s="2" t="s">
        <v>43</v>
      </c>
      <c r="H1195" s="2" t="n">
        <v>1194</v>
      </c>
      <c r="I1195" s="2" t="s">
        <v>39</v>
      </c>
      <c r="J1195" s="2" t="n">
        <v>3</v>
      </c>
      <c r="K1195" s="2" t="s">
        <v>48</v>
      </c>
      <c r="L1195" s="2" t="s">
        <v>32</v>
      </c>
      <c r="M1195" s="2" t="n">
        <v>39040</v>
      </c>
      <c r="N1195" s="2" t="n">
        <v>1</v>
      </c>
      <c r="O1195" s="2" t="n">
        <v>22</v>
      </c>
      <c r="P1195" s="2" t="n">
        <v>0</v>
      </c>
      <c r="Q1195" s="2" t="n">
        <v>10</v>
      </c>
      <c r="R1195" s="2" t="n">
        <v>3</v>
      </c>
      <c r="S1195" s="2" t="n">
        <v>10</v>
      </c>
      <c r="T1195" s="2" t="n">
        <v>1</v>
      </c>
      <c r="U1195" s="2" t="n">
        <v>9</v>
      </c>
      <c r="V1195" s="2" t="n">
        <v>1</v>
      </c>
      <c r="W1195" s="2" t="n">
        <v>4</v>
      </c>
      <c r="X1195" s="2" t="n">
        <v>3</v>
      </c>
      <c r="Y1195" s="2" t="n">
        <v>2</v>
      </c>
      <c r="Z1195" s="2" t="n">
        <v>4</v>
      </c>
    </row>
    <row r="1196" customFormat="false" ht="15" hidden="false" customHeight="true" outlineLevel="0" collapsed="false">
      <c r="A1196" s="2" t="n">
        <v>50</v>
      </c>
      <c r="B1196" s="2" t="s">
        <v>33</v>
      </c>
      <c r="C1196" s="2" t="s">
        <v>34</v>
      </c>
      <c r="D1196" s="2" t="s">
        <v>28</v>
      </c>
      <c r="E1196" s="2" t="n">
        <v>4</v>
      </c>
      <c r="F1196" s="2" t="n">
        <v>2</v>
      </c>
      <c r="G1196" s="2" t="s">
        <v>29</v>
      </c>
      <c r="H1196" s="2" t="n">
        <v>1195</v>
      </c>
      <c r="I1196" s="2" t="s">
        <v>30</v>
      </c>
      <c r="J1196" s="2" t="n">
        <v>2</v>
      </c>
      <c r="K1196" s="2" t="s">
        <v>45</v>
      </c>
      <c r="L1196" s="2" t="s">
        <v>46</v>
      </c>
      <c r="M1196" s="2" t="n">
        <v>167990</v>
      </c>
      <c r="N1196" s="2" t="n">
        <v>7</v>
      </c>
      <c r="O1196" s="2" t="n">
        <v>14</v>
      </c>
      <c r="P1196" s="2" t="n">
        <v>1</v>
      </c>
      <c r="Q1196" s="2" t="n">
        <v>12</v>
      </c>
      <c r="R1196" s="2" t="n">
        <v>2</v>
      </c>
      <c r="S1196" s="2" t="n">
        <v>6</v>
      </c>
      <c r="T1196" s="2" t="n">
        <v>0</v>
      </c>
      <c r="U1196" s="2" t="n">
        <v>1</v>
      </c>
      <c r="V1196" s="2" t="n">
        <v>2</v>
      </c>
      <c r="W1196" s="2" t="n">
        <v>3</v>
      </c>
      <c r="X1196" s="2" t="n">
        <v>3</v>
      </c>
      <c r="Y1196" s="2" t="n">
        <v>2</v>
      </c>
      <c r="Z1196" s="2" t="n">
        <v>3</v>
      </c>
    </row>
    <row r="1197" customFormat="false" ht="15" hidden="false" customHeight="true" outlineLevel="0" collapsed="false">
      <c r="A1197" s="2" t="n">
        <v>36</v>
      </c>
      <c r="B1197" s="2" t="s">
        <v>26</v>
      </c>
      <c r="C1197" s="2" t="s">
        <v>27</v>
      </c>
      <c r="D1197" s="2" t="s">
        <v>35</v>
      </c>
      <c r="E1197" s="2" t="n">
        <v>22</v>
      </c>
      <c r="F1197" s="2" t="n">
        <v>4</v>
      </c>
      <c r="G1197" s="2" t="s">
        <v>29</v>
      </c>
      <c r="H1197" s="2" t="n">
        <v>1196</v>
      </c>
      <c r="I1197" s="2" t="s">
        <v>39</v>
      </c>
      <c r="J1197" s="2" t="n">
        <v>1</v>
      </c>
      <c r="K1197" s="2" t="s">
        <v>31</v>
      </c>
      <c r="L1197" s="2" t="s">
        <v>32</v>
      </c>
      <c r="M1197" s="2" t="n">
        <v>29500</v>
      </c>
      <c r="N1197" s="2" t="n">
        <v>4</v>
      </c>
      <c r="O1197" s="2" t="n">
        <v>14</v>
      </c>
      <c r="P1197" s="2" t="n">
        <v>0</v>
      </c>
      <c r="Q1197" s="2" t="n">
        <v>8</v>
      </c>
      <c r="R1197" s="2" t="n">
        <v>1</v>
      </c>
      <c r="S1197" s="2" t="n">
        <v>6</v>
      </c>
      <c r="T1197" s="2" t="n">
        <v>0</v>
      </c>
      <c r="U1197" s="2" t="n">
        <v>0</v>
      </c>
      <c r="V1197" s="2" t="n">
        <v>2</v>
      </c>
      <c r="W1197" s="2"/>
      <c r="X1197" s="2" t="n">
        <v>2</v>
      </c>
      <c r="Y1197" s="2" t="n">
        <v>2</v>
      </c>
      <c r="Z1197" s="2" t="n">
        <v>3</v>
      </c>
    </row>
    <row r="1198" customFormat="false" ht="15" hidden="false" customHeight="true" outlineLevel="0" collapsed="false">
      <c r="A1198" s="2" t="n">
        <v>45</v>
      </c>
      <c r="B1198" s="2" t="s">
        <v>26</v>
      </c>
      <c r="C1198" s="2" t="s">
        <v>27</v>
      </c>
      <c r="D1198" s="2" t="s">
        <v>28</v>
      </c>
      <c r="E1198" s="2" t="n">
        <v>24</v>
      </c>
      <c r="F1198" s="2" t="n">
        <v>3</v>
      </c>
      <c r="G1198" s="2" t="s">
        <v>29</v>
      </c>
      <c r="H1198" s="2" t="n">
        <v>1197</v>
      </c>
      <c r="I1198" s="2" t="s">
        <v>39</v>
      </c>
      <c r="J1198" s="2" t="n">
        <v>1</v>
      </c>
      <c r="K1198" s="2" t="s">
        <v>45</v>
      </c>
      <c r="L1198" s="2" t="s">
        <v>37</v>
      </c>
      <c r="M1198" s="2" t="n">
        <v>36290</v>
      </c>
      <c r="N1198" s="2" t="n">
        <v>8</v>
      </c>
      <c r="O1198" s="2" t="n">
        <v>16</v>
      </c>
      <c r="P1198" s="2" t="n">
        <v>1</v>
      </c>
      <c r="Q1198" s="2" t="n">
        <v>8</v>
      </c>
      <c r="R1198" s="2" t="n">
        <v>2</v>
      </c>
      <c r="S1198" s="2" t="n">
        <v>5</v>
      </c>
      <c r="T1198" s="2" t="n">
        <v>0</v>
      </c>
      <c r="U1198" s="2" t="n">
        <v>1</v>
      </c>
      <c r="V1198" s="2" t="n">
        <v>4</v>
      </c>
      <c r="W1198" s="2" t="n">
        <v>3</v>
      </c>
      <c r="X1198" s="2" t="n">
        <v>3</v>
      </c>
      <c r="Y1198" s="2" t="n">
        <v>4</v>
      </c>
      <c r="Z1198" s="2" t="n">
        <v>3</v>
      </c>
    </row>
    <row r="1199" customFormat="false" ht="15" hidden="false" customHeight="true" outlineLevel="0" collapsed="false">
      <c r="A1199" s="2" t="n">
        <v>40</v>
      </c>
      <c r="B1199" s="2" t="s">
        <v>26</v>
      </c>
      <c r="C1199" s="2" t="s">
        <v>27</v>
      </c>
      <c r="D1199" s="2" t="s">
        <v>28</v>
      </c>
      <c r="E1199" s="2" t="n">
        <v>10</v>
      </c>
      <c r="F1199" s="2" t="n">
        <v>4</v>
      </c>
      <c r="G1199" s="2" t="s">
        <v>29</v>
      </c>
      <c r="H1199" s="2" t="n">
        <v>1198</v>
      </c>
      <c r="I1199" s="2" t="s">
        <v>39</v>
      </c>
      <c r="J1199" s="2" t="n">
        <v>1</v>
      </c>
      <c r="K1199" s="2" t="s">
        <v>36</v>
      </c>
      <c r="L1199" s="2" t="s">
        <v>37</v>
      </c>
      <c r="M1199" s="2" t="n">
        <v>93620</v>
      </c>
      <c r="N1199" s="2" t="n">
        <v>2</v>
      </c>
      <c r="O1199" s="2" t="n">
        <v>11</v>
      </c>
      <c r="P1199" s="2" t="n">
        <v>1</v>
      </c>
      <c r="Q1199" s="2" t="n">
        <v>8</v>
      </c>
      <c r="R1199" s="2" t="n">
        <v>6</v>
      </c>
      <c r="S1199" s="2" t="n">
        <v>2</v>
      </c>
      <c r="T1199" s="2" t="n">
        <v>2</v>
      </c>
      <c r="U1199" s="2" t="n">
        <v>2</v>
      </c>
      <c r="V1199" s="2" t="n">
        <v>3</v>
      </c>
      <c r="W1199" s="2" t="n">
        <v>3</v>
      </c>
      <c r="X1199" s="2"/>
      <c r="Y1199" s="2" t="n">
        <v>3</v>
      </c>
      <c r="Z1199" s="2" t="n">
        <v>3</v>
      </c>
    </row>
    <row r="1200" customFormat="false" ht="15" hidden="false" customHeight="true" outlineLevel="0" collapsed="false">
      <c r="A1200" s="2" t="n">
        <v>35</v>
      </c>
      <c r="B1200" s="2" t="s">
        <v>26</v>
      </c>
      <c r="C1200" s="2" t="s">
        <v>34</v>
      </c>
      <c r="D1200" s="2" t="s">
        <v>28</v>
      </c>
      <c r="E1200" s="2" t="n">
        <v>7</v>
      </c>
      <c r="F1200" s="2" t="n">
        <v>2</v>
      </c>
      <c r="G1200" s="2" t="s">
        <v>29</v>
      </c>
      <c r="H1200" s="2" t="n">
        <v>1199</v>
      </c>
      <c r="I1200" s="2" t="s">
        <v>39</v>
      </c>
      <c r="J1200" s="2" t="n">
        <v>2</v>
      </c>
      <c r="K1200" s="2" t="s">
        <v>47</v>
      </c>
      <c r="L1200" s="2" t="s">
        <v>32</v>
      </c>
      <c r="M1200" s="2" t="n">
        <v>32290</v>
      </c>
      <c r="N1200" s="2" t="n">
        <v>1</v>
      </c>
      <c r="O1200" s="2" t="n">
        <v>25</v>
      </c>
      <c r="P1200" s="2" t="n">
        <v>0</v>
      </c>
      <c r="Q1200" s="2" t="n">
        <v>10</v>
      </c>
      <c r="R1200" s="2" t="n">
        <v>2</v>
      </c>
      <c r="S1200" s="2" t="n">
        <v>10</v>
      </c>
      <c r="T1200" s="2" t="n">
        <v>0</v>
      </c>
      <c r="U1200" s="2" t="n">
        <v>2</v>
      </c>
      <c r="V1200" s="2" t="n">
        <v>3</v>
      </c>
      <c r="W1200" s="2" t="n">
        <v>3</v>
      </c>
      <c r="X1200" s="2" t="n">
        <v>4</v>
      </c>
      <c r="Y1200" s="2" t="n">
        <v>2</v>
      </c>
      <c r="Z1200" s="2" t="n">
        <v>4</v>
      </c>
    </row>
    <row r="1201" customFormat="false" ht="15" hidden="false" customHeight="true" outlineLevel="0" collapsed="false">
      <c r="A1201" s="2" t="n">
        <v>40</v>
      </c>
      <c r="B1201" s="2" t="s">
        <v>26</v>
      </c>
      <c r="C1201" s="2" t="s">
        <v>27</v>
      </c>
      <c r="D1201" s="2" t="s">
        <v>35</v>
      </c>
      <c r="E1201" s="2" t="n">
        <v>17</v>
      </c>
      <c r="F1201" s="2" t="n">
        <v>4</v>
      </c>
      <c r="G1201" s="2" t="s">
        <v>29</v>
      </c>
      <c r="H1201" s="2" t="n">
        <v>1200</v>
      </c>
      <c r="I1201" s="2" t="s">
        <v>39</v>
      </c>
      <c r="J1201" s="2" t="n">
        <v>1</v>
      </c>
      <c r="K1201" s="2" t="s">
        <v>49</v>
      </c>
      <c r="L1201" s="2" t="s">
        <v>32</v>
      </c>
      <c r="M1201" s="2" t="n">
        <v>35780</v>
      </c>
      <c r="N1201" s="2" t="n">
        <v>2</v>
      </c>
      <c r="O1201" s="2" t="n">
        <v>14</v>
      </c>
      <c r="P1201" s="2" t="n">
        <v>1</v>
      </c>
      <c r="Q1201" s="2" t="n">
        <v>20</v>
      </c>
      <c r="R1201" s="2" t="n">
        <v>2</v>
      </c>
      <c r="S1201" s="2" t="n">
        <v>5</v>
      </c>
      <c r="T1201" s="2" t="n">
        <v>0</v>
      </c>
      <c r="U1201" s="2" t="n">
        <v>2</v>
      </c>
      <c r="V1201" s="2" t="n">
        <v>3</v>
      </c>
      <c r="W1201" s="2" t="n">
        <v>3</v>
      </c>
      <c r="X1201" s="2" t="n">
        <v>3</v>
      </c>
      <c r="Y1201" s="2" t="n">
        <v>3</v>
      </c>
      <c r="Z1201" s="2" t="n">
        <v>3</v>
      </c>
    </row>
    <row r="1202" customFormat="false" ht="15" hidden="false" customHeight="true" outlineLevel="0" collapsed="false">
      <c r="A1202" s="2" t="n">
        <v>35</v>
      </c>
      <c r="B1202" s="2" t="s">
        <v>26</v>
      </c>
      <c r="C1202" s="2" t="s">
        <v>27</v>
      </c>
      <c r="D1202" s="2" t="s">
        <v>42</v>
      </c>
      <c r="E1202" s="2" t="n">
        <v>14</v>
      </c>
      <c r="F1202" s="2" t="n">
        <v>1</v>
      </c>
      <c r="G1202" s="2" t="s">
        <v>29</v>
      </c>
      <c r="H1202" s="2" t="n">
        <v>1201</v>
      </c>
      <c r="I1202" s="2" t="s">
        <v>39</v>
      </c>
      <c r="J1202" s="2" t="n">
        <v>2</v>
      </c>
      <c r="K1202" s="2" t="s">
        <v>36</v>
      </c>
      <c r="L1202" s="2" t="s">
        <v>32</v>
      </c>
      <c r="M1202" s="2" t="n">
        <v>79880</v>
      </c>
      <c r="N1202" s="2" t="n">
        <v>1</v>
      </c>
      <c r="O1202" s="2" t="n">
        <v>18</v>
      </c>
      <c r="P1202" s="2" t="n">
        <v>0</v>
      </c>
      <c r="Q1202" s="2" t="n">
        <v>4</v>
      </c>
      <c r="R1202" s="2" t="n">
        <v>3</v>
      </c>
      <c r="S1202" s="2" t="n">
        <v>4</v>
      </c>
      <c r="T1202" s="2" t="n">
        <v>1</v>
      </c>
      <c r="U1202" s="2" t="n">
        <v>1</v>
      </c>
      <c r="V1202" s="2" t="n">
        <v>3</v>
      </c>
      <c r="W1202" s="2" t="n">
        <v>4</v>
      </c>
      <c r="X1202" s="2" t="n">
        <v>3</v>
      </c>
      <c r="Y1202" s="2" t="n">
        <v>3</v>
      </c>
      <c r="Z1202" s="2" t="n">
        <v>3</v>
      </c>
    </row>
    <row r="1203" customFormat="false" ht="15" hidden="false" customHeight="true" outlineLevel="0" collapsed="false">
      <c r="A1203" s="2" t="n">
        <v>29</v>
      </c>
      <c r="B1203" s="2" t="s">
        <v>26</v>
      </c>
      <c r="C1203" s="2" t="s">
        <v>27</v>
      </c>
      <c r="D1203" s="2" t="s">
        <v>35</v>
      </c>
      <c r="E1203" s="2" t="n">
        <v>1</v>
      </c>
      <c r="F1203" s="2" t="n">
        <v>3</v>
      </c>
      <c r="G1203" s="2" t="s">
        <v>43</v>
      </c>
      <c r="H1203" s="2" t="n">
        <v>1202</v>
      </c>
      <c r="I1203" s="2" t="s">
        <v>39</v>
      </c>
      <c r="J1203" s="2" t="n">
        <v>3</v>
      </c>
      <c r="K1203" s="2" t="s">
        <v>40</v>
      </c>
      <c r="L1203" s="2" t="s">
        <v>32</v>
      </c>
      <c r="M1203" s="2" t="n">
        <v>42840</v>
      </c>
      <c r="N1203" s="2" t="n">
        <v>4</v>
      </c>
      <c r="O1203" s="2" t="n">
        <v>11</v>
      </c>
      <c r="P1203" s="2" t="n">
        <v>0</v>
      </c>
      <c r="Q1203" s="2" t="n">
        <v>10</v>
      </c>
      <c r="R1203" s="2" t="n">
        <v>5</v>
      </c>
      <c r="S1203" s="2" t="n">
        <v>4</v>
      </c>
      <c r="T1203" s="2" t="n">
        <v>0</v>
      </c>
      <c r="U1203" s="2" t="n">
        <v>3</v>
      </c>
      <c r="V1203" s="2" t="n">
        <v>4</v>
      </c>
      <c r="W1203" s="2" t="n">
        <v>2</v>
      </c>
      <c r="X1203" s="2" t="n">
        <v>3</v>
      </c>
      <c r="Y1203" s="2" t="n">
        <v>2</v>
      </c>
      <c r="Z1203" s="2" t="n">
        <v>3</v>
      </c>
    </row>
    <row r="1204" customFormat="false" ht="15" hidden="false" customHeight="true" outlineLevel="0" collapsed="false">
      <c r="A1204" s="2" t="n">
        <v>29</v>
      </c>
      <c r="B1204" s="2" t="s">
        <v>26</v>
      </c>
      <c r="C1204" s="2" t="s">
        <v>27</v>
      </c>
      <c r="D1204" s="2" t="s">
        <v>35</v>
      </c>
      <c r="E1204" s="2" t="n">
        <v>5</v>
      </c>
      <c r="F1204" s="2" t="n">
        <v>3</v>
      </c>
      <c r="G1204" s="2" t="s">
        <v>43</v>
      </c>
      <c r="H1204" s="2" t="n">
        <v>1203</v>
      </c>
      <c r="I1204" s="2" t="s">
        <v>39</v>
      </c>
      <c r="J1204" s="2" t="n">
        <v>2</v>
      </c>
      <c r="K1204" s="2" t="s">
        <v>48</v>
      </c>
      <c r="L1204" s="2" t="s">
        <v>37</v>
      </c>
      <c r="M1204" s="2" t="n">
        <v>75530</v>
      </c>
      <c r="N1204" s="2" t="n">
        <v>1</v>
      </c>
      <c r="O1204" s="2" t="n">
        <v>19</v>
      </c>
      <c r="P1204" s="2" t="n">
        <v>0</v>
      </c>
      <c r="Q1204" s="2" t="n">
        <v>5</v>
      </c>
      <c r="R1204" s="2" t="n">
        <v>3</v>
      </c>
      <c r="S1204" s="2" t="n">
        <v>5</v>
      </c>
      <c r="T1204" s="2" t="n">
        <v>0</v>
      </c>
      <c r="U1204" s="2" t="n">
        <v>4</v>
      </c>
      <c r="V1204" s="2" t="n">
        <v>4</v>
      </c>
      <c r="W1204" s="2" t="n">
        <v>1</v>
      </c>
      <c r="X1204" s="2" t="n">
        <v>1</v>
      </c>
      <c r="Y1204" s="2" t="n">
        <v>3</v>
      </c>
      <c r="Z1204" s="2" t="n">
        <v>3</v>
      </c>
    </row>
    <row r="1205" customFormat="false" ht="15" hidden="false" customHeight="true" outlineLevel="0" collapsed="false">
      <c r="A1205" s="2" t="n">
        <v>50</v>
      </c>
      <c r="B1205" s="2" t="s">
        <v>33</v>
      </c>
      <c r="C1205" s="2" t="s">
        <v>27</v>
      </c>
      <c r="D1205" s="2" t="s">
        <v>35</v>
      </c>
      <c r="E1205" s="2" t="n">
        <v>17</v>
      </c>
      <c r="F1205" s="2" t="n">
        <v>3</v>
      </c>
      <c r="G1205" s="2" t="s">
        <v>43</v>
      </c>
      <c r="H1205" s="2" t="n">
        <v>1204</v>
      </c>
      <c r="I1205" s="2" t="s">
        <v>39</v>
      </c>
      <c r="J1205" s="2" t="n">
        <v>1</v>
      </c>
      <c r="K1205" s="2" t="s">
        <v>36</v>
      </c>
      <c r="L1205" s="2" t="s">
        <v>46</v>
      </c>
      <c r="M1205" s="2" t="n">
        <v>173280</v>
      </c>
      <c r="N1205" s="2" t="n">
        <v>4</v>
      </c>
      <c r="O1205" s="2" t="n">
        <v>15</v>
      </c>
      <c r="P1205" s="2" t="n">
        <v>2</v>
      </c>
      <c r="Q1205" s="2" t="n">
        <v>20</v>
      </c>
      <c r="R1205" s="2" t="n">
        <v>1</v>
      </c>
      <c r="S1205" s="2" t="n">
        <v>3</v>
      </c>
      <c r="T1205" s="2" t="n">
        <v>2</v>
      </c>
      <c r="U1205" s="2" t="n">
        <v>0</v>
      </c>
      <c r="V1205" s="2" t="n">
        <v>4</v>
      </c>
      <c r="W1205" s="2" t="n">
        <v>1</v>
      </c>
      <c r="X1205" s="2" t="n">
        <v>3</v>
      </c>
      <c r="Y1205" s="2" t="n">
        <v>3</v>
      </c>
      <c r="Z1205" s="2" t="n">
        <v>3</v>
      </c>
    </row>
    <row r="1206" customFormat="false" ht="15" hidden="false" customHeight="true" outlineLevel="0" collapsed="false">
      <c r="A1206" s="2" t="n">
        <v>39</v>
      </c>
      <c r="B1206" s="2" t="s">
        <v>26</v>
      </c>
      <c r="C1206" s="2" t="s">
        <v>27</v>
      </c>
      <c r="D1206" s="2" t="s">
        <v>28</v>
      </c>
      <c r="E1206" s="2" t="n">
        <v>25</v>
      </c>
      <c r="F1206" s="2" t="n">
        <v>3</v>
      </c>
      <c r="G1206" s="2" t="s">
        <v>43</v>
      </c>
      <c r="H1206" s="2" t="n">
        <v>1205</v>
      </c>
      <c r="I1206" s="2" t="s">
        <v>39</v>
      </c>
      <c r="J1206" s="2" t="n">
        <v>2</v>
      </c>
      <c r="K1206" s="2" t="s">
        <v>40</v>
      </c>
      <c r="L1206" s="2" t="s">
        <v>32</v>
      </c>
      <c r="M1206" s="2" t="n">
        <v>197010</v>
      </c>
      <c r="N1206" s="2" t="n">
        <v>0</v>
      </c>
      <c r="O1206" s="2" t="n">
        <v>11</v>
      </c>
      <c r="P1206" s="2" t="n">
        <v>0</v>
      </c>
      <c r="Q1206" s="2" t="n">
        <v>21</v>
      </c>
      <c r="R1206" s="2" t="n">
        <v>3</v>
      </c>
      <c r="S1206" s="2" t="n">
        <v>20</v>
      </c>
      <c r="T1206" s="2" t="n">
        <v>9</v>
      </c>
      <c r="U1206" s="2" t="n">
        <v>6</v>
      </c>
      <c r="V1206" s="2" t="n">
        <v>2</v>
      </c>
      <c r="W1206" s="2" t="n">
        <v>4</v>
      </c>
      <c r="X1206" s="2" t="n">
        <v>2</v>
      </c>
      <c r="Y1206" s="2" t="n">
        <v>4</v>
      </c>
      <c r="Z1206" s="2" t="n">
        <v>3</v>
      </c>
    </row>
    <row r="1207" customFormat="false" ht="15" hidden="false" customHeight="true" outlineLevel="0" collapsed="false">
      <c r="A1207" s="2" t="n">
        <v>31</v>
      </c>
      <c r="B1207" s="2" t="s">
        <v>26</v>
      </c>
      <c r="C1207" s="2" t="s">
        <v>41</v>
      </c>
      <c r="D1207" s="2" t="s">
        <v>35</v>
      </c>
      <c r="E1207" s="2" t="n">
        <v>8</v>
      </c>
      <c r="F1207" s="2" t="n">
        <v>4</v>
      </c>
      <c r="G1207" s="2" t="s">
        <v>29</v>
      </c>
      <c r="H1207" s="2" t="n">
        <v>1206</v>
      </c>
      <c r="I1207" s="2" t="s">
        <v>30</v>
      </c>
      <c r="J1207" s="2" t="n">
        <v>4</v>
      </c>
      <c r="K1207" s="2" t="s">
        <v>40</v>
      </c>
      <c r="L1207" s="2" t="s">
        <v>37</v>
      </c>
      <c r="M1207" s="2" t="n">
        <v>147320</v>
      </c>
      <c r="N1207" s="2" t="n">
        <v>0</v>
      </c>
      <c r="O1207" s="2" t="n">
        <v>12</v>
      </c>
      <c r="P1207" s="2" t="n">
        <v>0</v>
      </c>
      <c r="Q1207" s="2" t="n">
        <v>10</v>
      </c>
      <c r="R1207" s="2" t="n">
        <v>3</v>
      </c>
      <c r="S1207" s="2" t="n">
        <v>9</v>
      </c>
      <c r="T1207" s="2" t="n">
        <v>1</v>
      </c>
      <c r="U1207" s="2" t="n">
        <v>7</v>
      </c>
      <c r="V1207" s="2" t="n">
        <v>2</v>
      </c>
      <c r="W1207" s="2" t="n">
        <v>1</v>
      </c>
      <c r="X1207" s="2" t="n">
        <v>3</v>
      </c>
      <c r="Y1207" s="2" t="n">
        <v>3</v>
      </c>
      <c r="Z1207" s="2" t="n">
        <v>3</v>
      </c>
    </row>
    <row r="1208" customFormat="false" ht="15" hidden="false" customHeight="true" outlineLevel="0" collapsed="false">
      <c r="A1208" s="2" t="n">
        <v>26</v>
      </c>
      <c r="B1208" s="2" t="s">
        <v>26</v>
      </c>
      <c r="C1208" s="2" t="s">
        <v>27</v>
      </c>
      <c r="D1208" s="2" t="s">
        <v>35</v>
      </c>
      <c r="E1208" s="2" t="n">
        <v>11</v>
      </c>
      <c r="F1208" s="2" t="n">
        <v>4</v>
      </c>
      <c r="G1208" s="2" t="s">
        <v>43</v>
      </c>
      <c r="H1208" s="2" t="n">
        <v>1207</v>
      </c>
      <c r="I1208" s="2" t="s">
        <v>39</v>
      </c>
      <c r="J1208" s="2" t="n">
        <v>2</v>
      </c>
      <c r="K1208" s="2" t="s">
        <v>49</v>
      </c>
      <c r="L1208" s="2" t="s">
        <v>37</v>
      </c>
      <c r="M1208" s="2" t="n">
        <v>92780</v>
      </c>
      <c r="N1208" s="2" t="n">
        <v>0</v>
      </c>
      <c r="O1208" s="2" t="n">
        <v>20</v>
      </c>
      <c r="P1208" s="2" t="n">
        <v>0</v>
      </c>
      <c r="Q1208" s="2" t="n">
        <v>5</v>
      </c>
      <c r="R1208" s="2" t="n">
        <v>3</v>
      </c>
      <c r="S1208" s="2" t="n">
        <v>4</v>
      </c>
      <c r="T1208" s="2" t="n">
        <v>0</v>
      </c>
      <c r="U1208" s="2" t="n">
        <v>0</v>
      </c>
      <c r="V1208" s="2" t="n">
        <v>4</v>
      </c>
      <c r="W1208" s="2" t="n">
        <v>3</v>
      </c>
      <c r="X1208" s="2" t="n">
        <v>3</v>
      </c>
      <c r="Y1208" s="2" t="n">
        <v>3</v>
      </c>
      <c r="Z1208" s="2" t="n">
        <v>4</v>
      </c>
    </row>
    <row r="1209" customFormat="false" ht="15" hidden="false" customHeight="true" outlineLevel="0" collapsed="false">
      <c r="A1209" s="2" t="n">
        <v>36</v>
      </c>
      <c r="B1209" s="2" t="s">
        <v>26</v>
      </c>
      <c r="C1209" s="2" t="s">
        <v>34</v>
      </c>
      <c r="D1209" s="2" t="s">
        <v>35</v>
      </c>
      <c r="E1209" s="2" t="n">
        <v>5</v>
      </c>
      <c r="F1209" s="2" t="n">
        <v>1</v>
      </c>
      <c r="G1209" s="2" t="s">
        <v>51</v>
      </c>
      <c r="H1209" s="2" t="n">
        <v>1208</v>
      </c>
      <c r="I1209" s="2" t="s">
        <v>39</v>
      </c>
      <c r="J1209" s="2" t="n">
        <v>1</v>
      </c>
      <c r="K1209" s="2" t="s">
        <v>40</v>
      </c>
      <c r="L1209" s="2" t="s">
        <v>32</v>
      </c>
      <c r="M1209" s="2" t="n">
        <v>13590</v>
      </c>
      <c r="N1209" s="2" t="n">
        <v>4</v>
      </c>
      <c r="O1209" s="2" t="n">
        <v>12</v>
      </c>
      <c r="P1209" s="2" t="n">
        <v>0</v>
      </c>
      <c r="Q1209" s="2" t="n">
        <v>17</v>
      </c>
      <c r="R1209" s="2" t="n">
        <v>2</v>
      </c>
      <c r="S1209" s="2" t="n">
        <v>5</v>
      </c>
      <c r="T1209" s="2" t="n">
        <v>0</v>
      </c>
      <c r="U1209" s="2" t="n">
        <v>3</v>
      </c>
      <c r="V1209" s="2" t="n">
        <v>3</v>
      </c>
      <c r="W1209" s="2" t="n">
        <v>4</v>
      </c>
      <c r="X1209" s="2" t="n">
        <v>3</v>
      </c>
      <c r="Y1209" s="2" t="n">
        <v>3</v>
      </c>
      <c r="Z1209" s="2" t="n">
        <v>3</v>
      </c>
    </row>
    <row r="1210" customFormat="false" ht="15" hidden="false" customHeight="true" outlineLevel="0" collapsed="false">
      <c r="A1210" s="2" t="n">
        <v>39</v>
      </c>
      <c r="B1210" s="2" t="s">
        <v>26</v>
      </c>
      <c r="C1210" s="2" t="s">
        <v>27</v>
      </c>
      <c r="D1210" s="2" t="s">
        <v>35</v>
      </c>
      <c r="E1210" s="2" t="n">
        <v>2</v>
      </c>
      <c r="F1210" s="2" t="n">
        <v>1</v>
      </c>
      <c r="G1210" s="2" t="s">
        <v>43</v>
      </c>
      <c r="H1210" s="2" t="n">
        <v>1209</v>
      </c>
      <c r="I1210" s="2" t="s">
        <v>30</v>
      </c>
      <c r="J1210" s="2" t="n">
        <v>1</v>
      </c>
      <c r="K1210" s="2" t="s">
        <v>36</v>
      </c>
      <c r="L1210" s="2" t="s">
        <v>32</v>
      </c>
      <c r="M1210" s="2" t="n">
        <v>47790</v>
      </c>
      <c r="N1210" s="2" t="n">
        <v>4</v>
      </c>
      <c r="O1210" s="2" t="n">
        <v>14</v>
      </c>
      <c r="P1210" s="2" t="n">
        <v>2</v>
      </c>
      <c r="Q1210" s="2" t="n">
        <v>9</v>
      </c>
      <c r="R1210" s="2" t="n">
        <v>3</v>
      </c>
      <c r="S1210" s="2" t="n">
        <v>7</v>
      </c>
      <c r="T1210" s="2" t="n">
        <v>1</v>
      </c>
      <c r="U1210" s="2" t="n">
        <v>7</v>
      </c>
      <c r="V1210" s="2" t="n">
        <v>4</v>
      </c>
      <c r="W1210" s="2" t="n">
        <v>1</v>
      </c>
      <c r="X1210" s="2" t="n">
        <v>3</v>
      </c>
      <c r="Y1210" s="2" t="n">
        <v>3</v>
      </c>
      <c r="Z1210" s="2" t="n">
        <v>3</v>
      </c>
    </row>
    <row r="1211" customFormat="false" ht="15" hidden="false" customHeight="true" outlineLevel="0" collapsed="false">
      <c r="A1211" s="2" t="n">
        <v>27</v>
      </c>
      <c r="B1211" s="2" t="s">
        <v>26</v>
      </c>
      <c r="C1211" s="2" t="s">
        <v>27</v>
      </c>
      <c r="D1211" s="2" t="s">
        <v>35</v>
      </c>
      <c r="E1211" s="2" t="n">
        <v>8</v>
      </c>
      <c r="F1211" s="2" t="n">
        <v>2</v>
      </c>
      <c r="G1211" s="2" t="s">
        <v>43</v>
      </c>
      <c r="H1211" s="2" t="n">
        <v>1210</v>
      </c>
      <c r="I1211" s="2" t="s">
        <v>39</v>
      </c>
      <c r="J1211" s="2" t="n">
        <v>1</v>
      </c>
      <c r="K1211" s="2" t="s">
        <v>45</v>
      </c>
      <c r="L1211" s="2" t="s">
        <v>32</v>
      </c>
      <c r="M1211" s="2" t="n">
        <v>164220</v>
      </c>
      <c r="N1211" s="2" t="n">
        <v>1</v>
      </c>
      <c r="O1211" s="2" t="n">
        <v>20</v>
      </c>
      <c r="P1211" s="2" t="n">
        <v>1</v>
      </c>
      <c r="Q1211" s="2" t="n">
        <v>6</v>
      </c>
      <c r="R1211" s="2" t="n">
        <v>3</v>
      </c>
      <c r="S1211" s="2" t="n">
        <v>6</v>
      </c>
      <c r="T1211" s="2" t="n">
        <v>0</v>
      </c>
      <c r="U1211" s="2" t="n">
        <v>3</v>
      </c>
      <c r="V1211" s="2" t="n">
        <v>2</v>
      </c>
      <c r="W1211" s="2" t="n">
        <v>2</v>
      </c>
      <c r="X1211" s="2" t="n">
        <v>3</v>
      </c>
      <c r="Y1211" s="2" t="n">
        <v>3</v>
      </c>
      <c r="Z1211" s="2" t="n">
        <v>4</v>
      </c>
    </row>
    <row r="1212" customFormat="false" ht="15" hidden="false" customHeight="true" outlineLevel="0" collapsed="false">
      <c r="A1212" s="2" t="n">
        <v>49</v>
      </c>
      <c r="B1212" s="2" t="s">
        <v>26</v>
      </c>
      <c r="C1212" s="2" t="s">
        <v>34</v>
      </c>
      <c r="D1212" s="2" t="s">
        <v>35</v>
      </c>
      <c r="E1212" s="2" t="n">
        <v>6</v>
      </c>
      <c r="F1212" s="2" t="n">
        <v>1</v>
      </c>
      <c r="G1212" s="2" t="s">
        <v>43</v>
      </c>
      <c r="H1212" s="2" t="n">
        <v>1211</v>
      </c>
      <c r="I1212" s="2" t="s">
        <v>39</v>
      </c>
      <c r="J1212" s="2" t="n">
        <v>3</v>
      </c>
      <c r="K1212" s="2" t="s">
        <v>31</v>
      </c>
      <c r="L1212" s="2" t="s">
        <v>32</v>
      </c>
      <c r="M1212" s="2" t="n">
        <v>29960</v>
      </c>
      <c r="N1212" s="2" t="n">
        <v>2</v>
      </c>
      <c r="O1212" s="2" t="n">
        <v>18</v>
      </c>
      <c r="P1212" s="2" t="n">
        <v>1</v>
      </c>
      <c r="Q1212" s="2" t="n">
        <v>17</v>
      </c>
      <c r="R1212" s="2" t="n">
        <v>2</v>
      </c>
      <c r="S1212" s="2" t="n">
        <v>9</v>
      </c>
      <c r="T1212" s="2" t="n">
        <v>0</v>
      </c>
      <c r="U1212" s="2" t="n">
        <v>8</v>
      </c>
      <c r="V1212" s="2" t="n">
        <v>4</v>
      </c>
      <c r="W1212" s="2" t="n">
        <v>2</v>
      </c>
      <c r="X1212" s="2" t="n">
        <v>2</v>
      </c>
      <c r="Y1212" s="2" t="n">
        <v>2</v>
      </c>
      <c r="Z1212" s="2" t="n">
        <v>3</v>
      </c>
    </row>
    <row r="1213" customFormat="false" ht="15" hidden="false" customHeight="true" outlineLevel="0" collapsed="false">
      <c r="A1213" s="2" t="n">
        <v>34</v>
      </c>
      <c r="B1213" s="2" t="s">
        <v>26</v>
      </c>
      <c r="C1213" s="2" t="s">
        <v>27</v>
      </c>
      <c r="D1213" s="2" t="s">
        <v>28</v>
      </c>
      <c r="E1213" s="2" t="n">
        <v>4</v>
      </c>
      <c r="F1213" s="2" t="n">
        <v>3</v>
      </c>
      <c r="G1213" s="2" t="s">
        <v>43</v>
      </c>
      <c r="H1213" s="2" t="n">
        <v>1212</v>
      </c>
      <c r="I1213" s="2" t="s">
        <v>30</v>
      </c>
      <c r="J1213" s="2" t="n">
        <v>1</v>
      </c>
      <c r="K1213" s="2" t="s">
        <v>40</v>
      </c>
      <c r="L1213" s="2" t="s">
        <v>32</v>
      </c>
      <c r="M1213" s="2" t="n">
        <v>12610</v>
      </c>
      <c r="N1213" s="2" t="n">
        <v>2</v>
      </c>
      <c r="O1213" s="2" t="n">
        <v>14</v>
      </c>
      <c r="P1213" s="2" t="n">
        <v>1</v>
      </c>
      <c r="Q1213" s="2" t="n">
        <v>6</v>
      </c>
      <c r="R1213" s="2" t="n">
        <v>6</v>
      </c>
      <c r="S1213" s="2" t="n">
        <v>4</v>
      </c>
      <c r="T1213" s="2" t="n">
        <v>1</v>
      </c>
      <c r="U1213" s="2" t="n">
        <v>2</v>
      </c>
      <c r="V1213" s="2" t="n">
        <v>2</v>
      </c>
      <c r="W1213" s="2" t="n">
        <v>3</v>
      </c>
      <c r="X1213" s="2" t="n">
        <v>4</v>
      </c>
      <c r="Y1213" s="2" t="n">
        <v>3</v>
      </c>
      <c r="Z1213" s="2" t="n">
        <v>3</v>
      </c>
    </row>
    <row r="1214" customFormat="false" ht="15" hidden="false" customHeight="true" outlineLevel="0" collapsed="false">
      <c r="A1214" s="2" t="n">
        <v>41</v>
      </c>
      <c r="B1214" s="2" t="s">
        <v>33</v>
      </c>
      <c r="C1214" s="2" t="s">
        <v>27</v>
      </c>
      <c r="D1214" s="2" t="s">
        <v>35</v>
      </c>
      <c r="E1214" s="2" t="n">
        <v>7</v>
      </c>
      <c r="F1214" s="2" t="n">
        <v>2</v>
      </c>
      <c r="G1214" s="2" t="s">
        <v>29</v>
      </c>
      <c r="H1214" s="2" t="n">
        <v>1213</v>
      </c>
      <c r="I1214" s="2" t="s">
        <v>30</v>
      </c>
      <c r="J1214" s="2" t="n">
        <v>1</v>
      </c>
      <c r="K1214" s="2" t="s">
        <v>36</v>
      </c>
      <c r="L1214" s="2" t="s">
        <v>37</v>
      </c>
      <c r="M1214" s="2" t="n">
        <v>20990</v>
      </c>
      <c r="N1214" s="2" t="n">
        <v>8</v>
      </c>
      <c r="O1214" s="2" t="n">
        <v>12</v>
      </c>
      <c r="P1214" s="2" t="n">
        <v>1</v>
      </c>
      <c r="Q1214" s="2" t="n">
        <v>8</v>
      </c>
      <c r="R1214" s="2" t="n">
        <v>2</v>
      </c>
      <c r="S1214" s="2" t="n">
        <v>6</v>
      </c>
      <c r="T1214" s="2" t="n">
        <v>0</v>
      </c>
      <c r="U1214" s="2" t="n">
        <v>5</v>
      </c>
      <c r="V1214" s="2" t="n">
        <v>2</v>
      </c>
      <c r="W1214" s="2" t="n">
        <v>4</v>
      </c>
      <c r="X1214" s="2" t="n">
        <v>1</v>
      </c>
      <c r="Y1214" s="2" t="n">
        <v>3</v>
      </c>
      <c r="Z1214" s="2" t="n">
        <v>3</v>
      </c>
    </row>
    <row r="1215" customFormat="false" ht="15" hidden="false" customHeight="true" outlineLevel="0" collapsed="false">
      <c r="A1215" s="2" t="n">
        <v>49</v>
      </c>
      <c r="B1215" s="2" t="s">
        <v>26</v>
      </c>
      <c r="C1215" s="2" t="s">
        <v>34</v>
      </c>
      <c r="D1215" s="2" t="s">
        <v>28</v>
      </c>
      <c r="E1215" s="2" t="n">
        <v>1</v>
      </c>
      <c r="F1215" s="2" t="n">
        <v>4</v>
      </c>
      <c r="G1215" s="2" t="s">
        <v>29</v>
      </c>
      <c r="H1215" s="2" t="n">
        <v>1214</v>
      </c>
      <c r="I1215" s="2" t="s">
        <v>30</v>
      </c>
      <c r="J1215" s="2" t="n">
        <v>2</v>
      </c>
      <c r="K1215" s="2" t="s">
        <v>47</v>
      </c>
      <c r="L1215" s="2" t="s">
        <v>32</v>
      </c>
      <c r="M1215" s="2" t="n">
        <v>58100</v>
      </c>
      <c r="N1215" s="2" t="n">
        <v>1</v>
      </c>
      <c r="O1215" s="2" t="n">
        <v>21</v>
      </c>
      <c r="P1215" s="2" t="n">
        <v>1</v>
      </c>
      <c r="Q1215" s="2" t="n">
        <v>10</v>
      </c>
      <c r="R1215" s="2" t="n">
        <v>2</v>
      </c>
      <c r="S1215" s="2" t="n">
        <v>10</v>
      </c>
      <c r="T1215" s="2" t="n">
        <v>1</v>
      </c>
      <c r="U1215" s="2" t="n">
        <v>7</v>
      </c>
      <c r="V1215" s="2" t="n">
        <v>3</v>
      </c>
      <c r="W1215" s="2" t="n">
        <v>2</v>
      </c>
      <c r="X1215" s="2" t="n">
        <v>3</v>
      </c>
      <c r="Y1215" s="2" t="n">
        <v>3</v>
      </c>
      <c r="Z1215" s="2" t="n">
        <v>4</v>
      </c>
    </row>
    <row r="1216" customFormat="false" ht="15" hidden="false" customHeight="true" outlineLevel="0" collapsed="false">
      <c r="A1216" s="2" t="n">
        <v>37</v>
      </c>
      <c r="B1216" s="2" t="s">
        <v>33</v>
      </c>
      <c r="C1216" s="2" t="s">
        <v>27</v>
      </c>
      <c r="D1216" s="2" t="s">
        <v>35</v>
      </c>
      <c r="E1216" s="2" t="n">
        <v>2</v>
      </c>
      <c r="F1216" s="2" t="n">
        <v>3</v>
      </c>
      <c r="G1216" s="2" t="s">
        <v>29</v>
      </c>
      <c r="H1216" s="2" t="n">
        <v>1215</v>
      </c>
      <c r="I1216" s="2" t="s">
        <v>39</v>
      </c>
      <c r="J1216" s="2" t="n">
        <v>1</v>
      </c>
      <c r="K1216" s="2" t="s">
        <v>40</v>
      </c>
      <c r="L1216" s="2" t="s">
        <v>37</v>
      </c>
      <c r="M1216" s="2" t="n">
        <v>56470</v>
      </c>
      <c r="N1216" s="2" t="n">
        <v>6</v>
      </c>
      <c r="O1216" s="2" t="n">
        <v>19</v>
      </c>
      <c r="P1216" s="2" t="n">
        <v>0</v>
      </c>
      <c r="Q1216" s="2" t="n">
        <v>7</v>
      </c>
      <c r="R1216" s="2" t="n">
        <v>2</v>
      </c>
      <c r="S1216" s="2" t="n">
        <v>0</v>
      </c>
      <c r="T1216" s="2" t="n">
        <v>0</v>
      </c>
      <c r="U1216" s="2" t="n">
        <v>0</v>
      </c>
      <c r="V1216" s="2" t="n">
        <v>4</v>
      </c>
      <c r="W1216" s="2" t="n">
        <v>3</v>
      </c>
      <c r="X1216" s="2" t="n">
        <v>3</v>
      </c>
      <c r="Y1216" s="2" t="n">
        <v>3</v>
      </c>
      <c r="Z1216" s="2" t="n">
        <v>3</v>
      </c>
    </row>
    <row r="1217" customFormat="false" ht="15" hidden="false" customHeight="true" outlineLevel="0" collapsed="false">
      <c r="A1217" s="2" t="n">
        <v>33</v>
      </c>
      <c r="B1217" s="2" t="s">
        <v>26</v>
      </c>
      <c r="C1217" s="2" t="s">
        <v>34</v>
      </c>
      <c r="D1217" s="2" t="s">
        <v>35</v>
      </c>
      <c r="E1217" s="2" t="n">
        <v>10</v>
      </c>
      <c r="F1217" s="2" t="n">
        <v>2</v>
      </c>
      <c r="G1217" s="2" t="s">
        <v>43</v>
      </c>
      <c r="H1217" s="2" t="n">
        <v>1216</v>
      </c>
      <c r="I1217" s="2" t="s">
        <v>39</v>
      </c>
      <c r="J1217" s="2" t="n">
        <v>2</v>
      </c>
      <c r="K1217" s="2" t="s">
        <v>36</v>
      </c>
      <c r="L1217" s="2" t="s">
        <v>32</v>
      </c>
      <c r="M1217" s="2" t="n">
        <v>34200</v>
      </c>
      <c r="N1217" s="2" t="n">
        <v>1</v>
      </c>
      <c r="O1217" s="2" t="n">
        <v>14</v>
      </c>
      <c r="P1217" s="2" t="n">
        <v>0</v>
      </c>
      <c r="Q1217" s="2" t="n">
        <v>8</v>
      </c>
      <c r="R1217" s="2" t="n">
        <v>3</v>
      </c>
      <c r="S1217" s="2" t="n">
        <v>8</v>
      </c>
      <c r="T1217" s="2" t="n">
        <v>3</v>
      </c>
      <c r="U1217" s="2" t="n">
        <v>0</v>
      </c>
      <c r="V1217" s="2" t="n">
        <v>4</v>
      </c>
      <c r="W1217" s="2" t="n">
        <v>3</v>
      </c>
      <c r="X1217" s="2" t="n">
        <v>3</v>
      </c>
      <c r="Y1217" s="2" t="n">
        <v>3</v>
      </c>
      <c r="Z1217" s="2" t="n">
        <v>3</v>
      </c>
    </row>
    <row r="1218" customFormat="false" ht="15" hidden="false" customHeight="true" outlineLevel="0" collapsed="false">
      <c r="A1218" s="2" t="n">
        <v>27</v>
      </c>
      <c r="B1218" s="2" t="s">
        <v>26</v>
      </c>
      <c r="C1218" s="2" t="s">
        <v>27</v>
      </c>
      <c r="D1218" s="2" t="s">
        <v>28</v>
      </c>
      <c r="E1218" s="2" t="n">
        <v>5</v>
      </c>
      <c r="F1218" s="2" t="n">
        <v>4</v>
      </c>
      <c r="G1218" s="2" t="s">
        <v>43</v>
      </c>
      <c r="H1218" s="2" t="n">
        <v>1217</v>
      </c>
      <c r="I1218" s="2" t="s">
        <v>30</v>
      </c>
      <c r="J1218" s="2" t="n">
        <v>4</v>
      </c>
      <c r="K1218" s="2" t="s">
        <v>47</v>
      </c>
      <c r="L1218" s="2" t="s">
        <v>32</v>
      </c>
      <c r="M1218" s="2" t="n">
        <v>44000</v>
      </c>
      <c r="N1218" s="2" t="n">
        <v>9</v>
      </c>
      <c r="O1218" s="2" t="n">
        <v>17</v>
      </c>
      <c r="P1218" s="2" t="n">
        <v>1</v>
      </c>
      <c r="Q1218" s="2" t="n">
        <v>6</v>
      </c>
      <c r="R1218" s="2" t="n">
        <v>3</v>
      </c>
      <c r="S1218" s="2" t="n">
        <v>2</v>
      </c>
      <c r="T1218" s="2" t="n">
        <v>2</v>
      </c>
      <c r="U1218" s="2" t="n">
        <v>2</v>
      </c>
      <c r="V1218" s="2" t="n">
        <v>1</v>
      </c>
      <c r="W1218" s="2" t="n">
        <v>2</v>
      </c>
      <c r="X1218" s="2" t="n">
        <v>3</v>
      </c>
      <c r="Y1218" s="2" t="n">
        <v>2</v>
      </c>
      <c r="Z1218" s="2" t="n">
        <v>3</v>
      </c>
    </row>
    <row r="1219" customFormat="false" ht="15" hidden="false" customHeight="true" outlineLevel="0" collapsed="false">
      <c r="A1219" s="2" t="n">
        <v>32</v>
      </c>
      <c r="B1219" s="2" t="s">
        <v>26</v>
      </c>
      <c r="C1219" s="2" t="s">
        <v>34</v>
      </c>
      <c r="D1219" s="2" t="s">
        <v>35</v>
      </c>
      <c r="E1219" s="2" t="n">
        <v>9</v>
      </c>
      <c r="F1219" s="2" t="n">
        <v>2</v>
      </c>
      <c r="G1219" s="2" t="s">
        <v>43</v>
      </c>
      <c r="H1219" s="2" t="n">
        <v>1218</v>
      </c>
      <c r="I1219" s="2" t="s">
        <v>30</v>
      </c>
      <c r="J1219" s="2" t="n">
        <v>2</v>
      </c>
      <c r="K1219" s="2" t="s">
        <v>36</v>
      </c>
      <c r="L1219" s="2" t="s">
        <v>37</v>
      </c>
      <c r="M1219" s="2" t="n">
        <v>35000</v>
      </c>
      <c r="N1219" s="2" t="n">
        <v>0</v>
      </c>
      <c r="O1219" s="2" t="n">
        <v>16</v>
      </c>
      <c r="P1219" s="2" t="n">
        <v>1</v>
      </c>
      <c r="Q1219" s="2" t="n">
        <v>8</v>
      </c>
      <c r="R1219" s="2" t="n">
        <v>2</v>
      </c>
      <c r="S1219" s="2" t="n">
        <v>7</v>
      </c>
      <c r="T1219" s="2" t="n">
        <v>3</v>
      </c>
      <c r="U1219" s="2" t="n">
        <v>6</v>
      </c>
      <c r="V1219" s="2" t="n">
        <v>4</v>
      </c>
      <c r="W1219" s="2" t="n">
        <v>4</v>
      </c>
      <c r="X1219" s="2" t="n">
        <v>2</v>
      </c>
      <c r="Y1219" s="2" t="n">
        <v>2</v>
      </c>
      <c r="Z1219" s="2" t="n">
        <v>3</v>
      </c>
    </row>
    <row r="1220" customFormat="false" ht="15" hidden="false" customHeight="true" outlineLevel="0" collapsed="false">
      <c r="A1220" s="2" t="n">
        <v>59</v>
      </c>
      <c r="B1220" s="2" t="s">
        <v>26</v>
      </c>
      <c r="C1220" s="2" t="s">
        <v>27</v>
      </c>
      <c r="D1220" s="2" t="s">
        <v>28</v>
      </c>
      <c r="E1220" s="2" t="n">
        <v>2</v>
      </c>
      <c r="F1220" s="2" t="n">
        <v>2</v>
      </c>
      <c r="G1220" s="2" t="s">
        <v>50</v>
      </c>
      <c r="H1220" s="2" t="n">
        <v>1219</v>
      </c>
      <c r="I1220" s="2" t="s">
        <v>30</v>
      </c>
      <c r="J1220" s="2" t="n">
        <v>5</v>
      </c>
      <c r="K1220" s="2" t="s">
        <v>48</v>
      </c>
      <c r="L1220" s="2" t="s">
        <v>32</v>
      </c>
      <c r="M1220" s="2" t="n">
        <v>20660</v>
      </c>
      <c r="N1220" s="2" t="n">
        <v>4</v>
      </c>
      <c r="O1220" s="2" t="n">
        <v>12</v>
      </c>
      <c r="P1220" s="2" t="n">
        <v>1</v>
      </c>
      <c r="Q1220" s="2" t="n">
        <v>12</v>
      </c>
      <c r="R1220" s="2" t="n">
        <v>3</v>
      </c>
      <c r="S1220" s="2" t="n">
        <v>1</v>
      </c>
      <c r="T1220" s="2" t="n">
        <v>0</v>
      </c>
      <c r="U1220" s="2" t="n">
        <v>0</v>
      </c>
      <c r="V1220" s="2" t="n">
        <v>3</v>
      </c>
      <c r="W1220" s="2" t="n">
        <v>1</v>
      </c>
      <c r="X1220" s="2" t="n">
        <v>2</v>
      </c>
      <c r="Y1220" s="2" t="n">
        <v>3</v>
      </c>
      <c r="Z1220" s="2" t="n">
        <v>3</v>
      </c>
    </row>
    <row r="1221" customFormat="false" ht="15" hidden="false" customHeight="true" outlineLevel="0" collapsed="false">
      <c r="A1221" s="2" t="n">
        <v>30</v>
      </c>
      <c r="B1221" s="2" t="s">
        <v>26</v>
      </c>
      <c r="C1221" s="2" t="s">
        <v>27</v>
      </c>
      <c r="D1221" s="2" t="s">
        <v>35</v>
      </c>
      <c r="E1221" s="2" t="n">
        <v>11</v>
      </c>
      <c r="F1221" s="2" t="n">
        <v>4</v>
      </c>
      <c r="G1221" s="2" t="s">
        <v>43</v>
      </c>
      <c r="H1221" s="2" t="n">
        <v>1220</v>
      </c>
      <c r="I1221" s="2" t="s">
        <v>39</v>
      </c>
      <c r="J1221" s="2" t="n">
        <v>2</v>
      </c>
      <c r="K1221" s="2" t="s">
        <v>45</v>
      </c>
      <c r="L1221" s="2" t="s">
        <v>46</v>
      </c>
      <c r="M1221" s="2" t="n">
        <v>171690</v>
      </c>
      <c r="N1221" s="2" t="n">
        <v>1</v>
      </c>
      <c r="O1221" s="2" t="n">
        <v>17</v>
      </c>
      <c r="P1221" s="2" t="n">
        <v>2</v>
      </c>
      <c r="Q1221" s="2" t="n">
        <v>1</v>
      </c>
      <c r="R1221" s="2" t="n">
        <v>2</v>
      </c>
      <c r="S1221" s="2" t="n">
        <v>1</v>
      </c>
      <c r="T1221" s="2" t="n">
        <v>0</v>
      </c>
      <c r="U1221" s="2" t="n">
        <v>0</v>
      </c>
      <c r="V1221" s="2" t="n">
        <v>4</v>
      </c>
      <c r="W1221" s="2" t="n">
        <v>3</v>
      </c>
      <c r="X1221" s="2" t="n">
        <v>3</v>
      </c>
      <c r="Y1221" s="2" t="n">
        <v>3</v>
      </c>
      <c r="Z1221" s="2" t="n">
        <v>3</v>
      </c>
    </row>
    <row r="1222" customFormat="false" ht="15" hidden="false" customHeight="true" outlineLevel="0" collapsed="false">
      <c r="A1222" s="2" t="n">
        <v>38</v>
      </c>
      <c r="B1222" s="2" t="s">
        <v>26</v>
      </c>
      <c r="C1222" s="2" t="s">
        <v>34</v>
      </c>
      <c r="D1222" s="2" t="s">
        <v>28</v>
      </c>
      <c r="E1222" s="2" t="n">
        <v>18</v>
      </c>
      <c r="F1222" s="2" t="n">
        <v>4</v>
      </c>
      <c r="G1222" s="2" t="s">
        <v>29</v>
      </c>
      <c r="H1222" s="2" t="n">
        <v>1221</v>
      </c>
      <c r="I1222" s="2" t="s">
        <v>39</v>
      </c>
      <c r="J1222" s="2" t="n">
        <v>2</v>
      </c>
      <c r="K1222" s="2" t="s">
        <v>31</v>
      </c>
      <c r="L1222" s="2" t="s">
        <v>37</v>
      </c>
      <c r="M1222" s="2" t="n">
        <v>41620</v>
      </c>
      <c r="N1222" s="2" t="n">
        <v>0</v>
      </c>
      <c r="O1222" s="2" t="n">
        <v>15</v>
      </c>
      <c r="P1222" s="2" t="n">
        <v>1</v>
      </c>
      <c r="Q1222" s="2" t="n">
        <v>10</v>
      </c>
      <c r="R1222" s="2" t="n">
        <v>1</v>
      </c>
      <c r="S1222" s="2" t="n">
        <v>9</v>
      </c>
      <c r="T1222" s="2" t="n">
        <v>1</v>
      </c>
      <c r="U1222" s="2" t="n">
        <v>8</v>
      </c>
      <c r="V1222" s="2" t="n">
        <v>4</v>
      </c>
      <c r="W1222" s="2" t="n">
        <v>3</v>
      </c>
      <c r="X1222" s="2" t="n">
        <v>3</v>
      </c>
      <c r="Y1222" s="2" t="n">
        <v>3</v>
      </c>
      <c r="Z1222" s="2" t="n">
        <v>3</v>
      </c>
    </row>
    <row r="1223" customFormat="false" ht="15" hidden="false" customHeight="true" outlineLevel="0" collapsed="false">
      <c r="A1223" s="2" t="n">
        <v>36</v>
      </c>
      <c r="B1223" s="2" t="s">
        <v>26</v>
      </c>
      <c r="C1223" s="2" t="s">
        <v>27</v>
      </c>
      <c r="D1223" s="2" t="s">
        <v>35</v>
      </c>
      <c r="E1223" s="2" t="n">
        <v>7</v>
      </c>
      <c r="F1223" s="2" t="n">
        <v>3</v>
      </c>
      <c r="G1223" s="2" t="s">
        <v>29</v>
      </c>
      <c r="H1223" s="2" t="n">
        <v>1222</v>
      </c>
      <c r="I1223" s="2" t="s">
        <v>39</v>
      </c>
      <c r="J1223" s="2" t="n">
        <v>1</v>
      </c>
      <c r="K1223" s="2" t="s">
        <v>40</v>
      </c>
      <c r="L1223" s="2" t="s">
        <v>32</v>
      </c>
      <c r="M1223" s="2" t="n">
        <v>92040</v>
      </c>
      <c r="N1223" s="2" t="n">
        <v>6</v>
      </c>
      <c r="O1223" s="2" t="n">
        <v>23</v>
      </c>
      <c r="P1223" s="2" t="n">
        <v>1</v>
      </c>
      <c r="Q1223" s="2" t="n">
        <v>17</v>
      </c>
      <c r="R1223" s="2" t="n">
        <v>2</v>
      </c>
      <c r="S1223" s="2" t="n">
        <v>7</v>
      </c>
      <c r="T1223" s="2" t="n">
        <v>7</v>
      </c>
      <c r="U1223" s="2" t="n">
        <v>7</v>
      </c>
      <c r="V1223" s="2" t="n">
        <v>3</v>
      </c>
      <c r="W1223" s="2" t="n">
        <v>3</v>
      </c>
      <c r="X1223" s="2" t="n">
        <v>2</v>
      </c>
      <c r="Y1223" s="2" t="n">
        <v>3</v>
      </c>
      <c r="Z1223" s="2" t="n">
        <v>4</v>
      </c>
    </row>
    <row r="1224" customFormat="false" ht="15" hidden="false" customHeight="true" outlineLevel="0" collapsed="false">
      <c r="A1224" s="2" t="n">
        <v>35</v>
      </c>
      <c r="B1224" s="2" t="s">
        <v>26</v>
      </c>
      <c r="C1224" s="2" t="s">
        <v>27</v>
      </c>
      <c r="D1224" s="2" t="s">
        <v>42</v>
      </c>
      <c r="E1224" s="2" t="n">
        <v>3</v>
      </c>
      <c r="F1224" s="2" t="n">
        <v>4</v>
      </c>
      <c r="G1224" s="2" t="s">
        <v>42</v>
      </c>
      <c r="H1224" s="2" t="n">
        <v>1223</v>
      </c>
      <c r="I1224" s="2" t="s">
        <v>39</v>
      </c>
      <c r="J1224" s="2" t="n">
        <v>2</v>
      </c>
      <c r="K1224" s="2" t="s">
        <v>49</v>
      </c>
      <c r="L1224" s="2" t="s">
        <v>32</v>
      </c>
      <c r="M1224" s="2" t="n">
        <v>32940</v>
      </c>
      <c r="N1224" s="2" t="n">
        <v>0</v>
      </c>
      <c r="O1224" s="2" t="n">
        <v>11</v>
      </c>
      <c r="P1224" s="2" t="n">
        <v>0</v>
      </c>
      <c r="Q1224" s="2" t="n">
        <v>6</v>
      </c>
      <c r="R1224" s="2" t="n">
        <v>2</v>
      </c>
      <c r="S1224" s="2" t="n">
        <v>5</v>
      </c>
      <c r="T1224" s="2" t="n">
        <v>0</v>
      </c>
      <c r="U1224" s="2" t="n">
        <v>3</v>
      </c>
      <c r="V1224" s="2" t="n">
        <v>1</v>
      </c>
      <c r="W1224" s="2" t="n">
        <v>2</v>
      </c>
      <c r="X1224" s="2" t="n">
        <v>3</v>
      </c>
      <c r="Y1224" s="2" t="n">
        <v>3</v>
      </c>
      <c r="Z1224" s="2" t="n">
        <v>3</v>
      </c>
    </row>
    <row r="1225" customFormat="false" ht="15" hidden="false" customHeight="true" outlineLevel="0" collapsed="false">
      <c r="A1225" s="2" t="n">
        <v>29</v>
      </c>
      <c r="B1225" s="2" t="s">
        <v>26</v>
      </c>
      <c r="C1225" s="2" t="s">
        <v>27</v>
      </c>
      <c r="D1225" s="2" t="s">
        <v>28</v>
      </c>
      <c r="E1225" s="2" t="n">
        <v>29</v>
      </c>
      <c r="F1225" s="2" t="n">
        <v>4</v>
      </c>
      <c r="G1225" s="2" t="s">
        <v>29</v>
      </c>
      <c r="H1225" s="2" t="n">
        <v>1224</v>
      </c>
      <c r="I1225" s="2" t="s">
        <v>39</v>
      </c>
      <c r="J1225" s="2" t="n">
        <v>2</v>
      </c>
      <c r="K1225" s="2" t="s">
        <v>45</v>
      </c>
      <c r="L1225" s="2" t="s">
        <v>37</v>
      </c>
      <c r="M1225" s="2" t="n">
        <v>21270</v>
      </c>
      <c r="N1225" s="2" t="n">
        <v>0</v>
      </c>
      <c r="O1225" s="2" t="n">
        <v>11</v>
      </c>
      <c r="P1225" s="2" t="n">
        <v>1</v>
      </c>
      <c r="Q1225" s="2" t="n">
        <v>10</v>
      </c>
      <c r="R1225" s="2" t="n">
        <v>3</v>
      </c>
      <c r="S1225" s="2" t="n">
        <v>9</v>
      </c>
      <c r="T1225" s="2" t="n">
        <v>0</v>
      </c>
      <c r="U1225" s="2" t="n">
        <v>8</v>
      </c>
      <c r="V1225" s="2" t="n">
        <v>4</v>
      </c>
      <c r="W1225" s="2" t="n">
        <v>3</v>
      </c>
      <c r="X1225" s="2" t="n">
        <v>3</v>
      </c>
      <c r="Y1225" s="2" t="n">
        <v>2</v>
      </c>
      <c r="Z1225" s="2" t="n">
        <v>3</v>
      </c>
    </row>
    <row r="1226" customFormat="false" ht="15" hidden="false" customHeight="true" outlineLevel="0" collapsed="false">
      <c r="A1226" s="2" t="n">
        <v>31</v>
      </c>
      <c r="B1226" s="2" t="s">
        <v>26</v>
      </c>
      <c r="C1226" s="2" t="s">
        <v>27</v>
      </c>
      <c r="D1226" s="2" t="s">
        <v>35</v>
      </c>
      <c r="E1226" s="2" t="n">
        <v>2</v>
      </c>
      <c r="F1226" s="2" t="n">
        <v>2</v>
      </c>
      <c r="G1226" s="2" t="s">
        <v>43</v>
      </c>
      <c r="H1226" s="2" t="n">
        <v>1225</v>
      </c>
      <c r="I1226" s="2" t="s">
        <v>39</v>
      </c>
      <c r="J1226" s="2" t="n">
        <v>2</v>
      </c>
      <c r="K1226" s="2" t="s">
        <v>45</v>
      </c>
      <c r="L1226" s="2" t="s">
        <v>46</v>
      </c>
      <c r="M1226" s="2" t="n">
        <v>39750</v>
      </c>
      <c r="N1226" s="2" t="n">
        <v>1</v>
      </c>
      <c r="O1226" s="2" t="n">
        <v>15</v>
      </c>
      <c r="P1226" s="2" t="n">
        <v>1</v>
      </c>
      <c r="Q1226" s="2" t="n">
        <v>5</v>
      </c>
      <c r="R1226" s="2" t="n">
        <v>3</v>
      </c>
      <c r="S1226" s="2" t="n">
        <v>5</v>
      </c>
      <c r="T1226" s="2" t="n">
        <v>4</v>
      </c>
      <c r="U1226" s="2" t="n">
        <v>3</v>
      </c>
      <c r="V1226" s="2"/>
      <c r="W1226" s="2" t="n">
        <v>3</v>
      </c>
      <c r="X1226" s="2" t="n">
        <v>2</v>
      </c>
      <c r="Y1226" s="2" t="n">
        <v>3</v>
      </c>
      <c r="Z1226" s="2" t="n">
        <v>3</v>
      </c>
    </row>
    <row r="1227" customFormat="false" ht="15" hidden="false" customHeight="true" outlineLevel="0" collapsed="false">
      <c r="A1227" s="2" t="n">
        <v>34</v>
      </c>
      <c r="B1227" s="2" t="s">
        <v>26</v>
      </c>
      <c r="C1227" s="2" t="s">
        <v>27</v>
      </c>
      <c r="D1227" s="2" t="s">
        <v>35</v>
      </c>
      <c r="E1227" s="2" t="n">
        <v>28</v>
      </c>
      <c r="F1227" s="2" t="n">
        <v>3</v>
      </c>
      <c r="G1227" s="2" t="s">
        <v>51</v>
      </c>
      <c r="H1227" s="2" t="n">
        <v>1226</v>
      </c>
      <c r="I1227" s="2" t="s">
        <v>39</v>
      </c>
      <c r="J1227" s="2" t="n">
        <v>1</v>
      </c>
      <c r="K1227" s="2" t="s">
        <v>45</v>
      </c>
      <c r="L1227" s="2" t="s">
        <v>46</v>
      </c>
      <c r="M1227" s="2" t="n">
        <v>107930</v>
      </c>
      <c r="N1227" s="2" t="n">
        <v>0</v>
      </c>
      <c r="O1227" s="2" t="n">
        <v>11</v>
      </c>
      <c r="P1227" s="2" t="n">
        <v>3</v>
      </c>
      <c r="Q1227" s="2" t="n">
        <v>3</v>
      </c>
      <c r="R1227" s="2" t="n">
        <v>1</v>
      </c>
      <c r="S1227" s="2" t="n">
        <v>2</v>
      </c>
      <c r="T1227" s="2" t="n">
        <v>1</v>
      </c>
      <c r="U1227" s="2" t="n">
        <v>2</v>
      </c>
      <c r="V1227" s="2" t="n">
        <v>2</v>
      </c>
      <c r="W1227" s="2" t="n">
        <v>4</v>
      </c>
      <c r="X1227" s="2" t="n">
        <v>3</v>
      </c>
      <c r="Y1227" s="2" t="n">
        <v>2</v>
      </c>
      <c r="Z1227" s="2" t="n">
        <v>3</v>
      </c>
    </row>
    <row r="1228" customFormat="false" ht="15" hidden="false" customHeight="true" outlineLevel="0" collapsed="false">
      <c r="A1228" s="2" t="n">
        <v>28</v>
      </c>
      <c r="B1228" s="2" t="s">
        <v>33</v>
      </c>
      <c r="C1228" s="2" t="s">
        <v>27</v>
      </c>
      <c r="D1228" s="2" t="s">
        <v>35</v>
      </c>
      <c r="E1228" s="2" t="n">
        <v>1</v>
      </c>
      <c r="F1228" s="2" t="n">
        <v>4</v>
      </c>
      <c r="G1228" s="2" t="s">
        <v>29</v>
      </c>
      <c r="H1228" s="2" t="n">
        <v>1227</v>
      </c>
      <c r="I1228" s="2" t="s">
        <v>39</v>
      </c>
      <c r="J1228" s="2" t="n">
        <v>5</v>
      </c>
      <c r="K1228" s="2" t="s">
        <v>44</v>
      </c>
      <c r="L1228" s="2" t="s">
        <v>37</v>
      </c>
      <c r="M1228" s="2" t="n">
        <v>100960</v>
      </c>
      <c r="N1228" s="2" t="n">
        <v>5</v>
      </c>
      <c r="O1228" s="2" t="n">
        <v>13</v>
      </c>
      <c r="P1228" s="2" t="n">
        <v>0</v>
      </c>
      <c r="Q1228" s="2" t="n">
        <v>6</v>
      </c>
      <c r="R1228" s="2" t="n">
        <v>2</v>
      </c>
      <c r="S1228" s="2" t="n">
        <v>4</v>
      </c>
      <c r="T1228" s="2" t="n">
        <v>0</v>
      </c>
      <c r="U1228" s="2" t="n">
        <v>3</v>
      </c>
      <c r="V1228" s="2" t="n">
        <v>3</v>
      </c>
      <c r="W1228" s="2" t="n">
        <v>3</v>
      </c>
      <c r="X1228" s="2" t="n">
        <v>3</v>
      </c>
      <c r="Y1228" s="2" t="n">
        <v>3</v>
      </c>
      <c r="Z1228" s="2" t="n">
        <v>3</v>
      </c>
    </row>
    <row r="1229" customFormat="false" ht="15" hidden="false" customHeight="true" outlineLevel="0" collapsed="false">
      <c r="A1229" s="2" t="n">
        <v>29</v>
      </c>
      <c r="B1229" s="2" t="s">
        <v>26</v>
      </c>
      <c r="C1229" s="2" t="s">
        <v>27</v>
      </c>
      <c r="D1229" s="2" t="s">
        <v>35</v>
      </c>
      <c r="E1229" s="2" t="n">
        <v>16</v>
      </c>
      <c r="F1229" s="2" t="n">
        <v>2</v>
      </c>
      <c r="G1229" s="2" t="s">
        <v>29</v>
      </c>
      <c r="H1229" s="2" t="n">
        <v>1228</v>
      </c>
      <c r="I1229" s="2" t="s">
        <v>30</v>
      </c>
      <c r="J1229" s="2" t="n">
        <v>4</v>
      </c>
      <c r="K1229" s="2" t="s">
        <v>45</v>
      </c>
      <c r="L1229" s="2" t="s">
        <v>46</v>
      </c>
      <c r="M1229" s="2" t="n">
        <v>36460</v>
      </c>
      <c r="N1229" s="2" t="n">
        <v>1</v>
      </c>
      <c r="O1229" s="2" t="n">
        <v>14</v>
      </c>
      <c r="P1229" s="2" t="n">
        <v>0</v>
      </c>
      <c r="Q1229" s="2" t="n">
        <v>10</v>
      </c>
      <c r="R1229" s="2" t="n">
        <v>3</v>
      </c>
      <c r="S1229" s="2" t="n">
        <v>10</v>
      </c>
      <c r="T1229" s="2" t="n">
        <v>8</v>
      </c>
      <c r="U1229" s="2" t="n">
        <v>8</v>
      </c>
      <c r="V1229" s="2" t="n">
        <v>2</v>
      </c>
      <c r="W1229" s="2" t="n">
        <v>1</v>
      </c>
      <c r="X1229" s="2" t="n">
        <v>3</v>
      </c>
      <c r="Y1229" s="2" t="n">
        <v>4</v>
      </c>
      <c r="Z1229" s="2" t="n">
        <v>3</v>
      </c>
    </row>
    <row r="1230" customFormat="false" ht="15" hidden="false" customHeight="true" outlineLevel="0" collapsed="false">
      <c r="A1230" s="2" t="n">
        <v>32</v>
      </c>
      <c r="B1230" s="2" t="s">
        <v>26</v>
      </c>
      <c r="C1230" s="2" t="s">
        <v>27</v>
      </c>
      <c r="D1230" s="2" t="s">
        <v>42</v>
      </c>
      <c r="E1230" s="2" t="n">
        <v>22</v>
      </c>
      <c r="F1230" s="2" t="n">
        <v>3</v>
      </c>
      <c r="G1230" s="2" t="s">
        <v>42</v>
      </c>
      <c r="H1230" s="2" t="n">
        <v>1229</v>
      </c>
      <c r="I1230" s="2" t="s">
        <v>30</v>
      </c>
      <c r="J1230" s="2" t="n">
        <v>2</v>
      </c>
      <c r="K1230" s="2" t="s">
        <v>44</v>
      </c>
      <c r="L1230" s="2" t="s">
        <v>46</v>
      </c>
      <c r="M1230" s="2" t="n">
        <v>74460</v>
      </c>
      <c r="N1230" s="2" t="n">
        <v>0</v>
      </c>
      <c r="O1230" s="2" t="n">
        <v>19</v>
      </c>
      <c r="P1230" s="2" t="n">
        <v>0</v>
      </c>
      <c r="Q1230" s="2" t="n">
        <v>7</v>
      </c>
      <c r="R1230" s="2" t="n">
        <v>3</v>
      </c>
      <c r="S1230" s="2" t="n">
        <v>6</v>
      </c>
      <c r="T1230" s="2" t="n">
        <v>0</v>
      </c>
      <c r="U1230" s="2" t="n">
        <v>5</v>
      </c>
      <c r="V1230" s="2" t="n">
        <v>1</v>
      </c>
      <c r="W1230" s="2" t="n">
        <v>2</v>
      </c>
      <c r="X1230" s="2" t="n">
        <v>2</v>
      </c>
      <c r="Y1230" s="2" t="n">
        <v>3</v>
      </c>
      <c r="Z1230" s="2" t="n">
        <v>3</v>
      </c>
    </row>
    <row r="1231" customFormat="false" ht="15" hidden="false" customHeight="true" outlineLevel="0" collapsed="false">
      <c r="A1231" s="2" t="n">
        <v>22</v>
      </c>
      <c r="B1231" s="2" t="s">
        <v>26</v>
      </c>
      <c r="C1231" s="2" t="s">
        <v>41</v>
      </c>
      <c r="D1231" s="2" t="s">
        <v>35</v>
      </c>
      <c r="E1231" s="2" t="n">
        <v>8</v>
      </c>
      <c r="F1231" s="2" t="n">
        <v>3</v>
      </c>
      <c r="G1231" s="2" t="s">
        <v>29</v>
      </c>
      <c r="H1231" s="2" t="n">
        <v>1230</v>
      </c>
      <c r="I1231" s="2" t="s">
        <v>30</v>
      </c>
      <c r="J1231" s="2" t="n">
        <v>3</v>
      </c>
      <c r="K1231" s="2" t="s">
        <v>40</v>
      </c>
      <c r="L1231" s="2" t="s">
        <v>46</v>
      </c>
      <c r="M1231" s="2" t="n">
        <v>108510</v>
      </c>
      <c r="N1231" s="2" t="n">
        <v>1</v>
      </c>
      <c r="O1231" s="2" t="n">
        <v>16</v>
      </c>
      <c r="P1231" s="2" t="n">
        <v>1</v>
      </c>
      <c r="Q1231" s="2" t="n">
        <v>1</v>
      </c>
      <c r="R1231" s="2" t="n">
        <v>2</v>
      </c>
      <c r="S1231" s="2" t="n">
        <v>1</v>
      </c>
      <c r="T1231" s="2" t="n">
        <v>0</v>
      </c>
      <c r="U1231" s="2" t="n">
        <v>0</v>
      </c>
      <c r="V1231" s="2" t="n">
        <v>4</v>
      </c>
      <c r="W1231" s="2" t="n">
        <v>4</v>
      </c>
      <c r="X1231" s="2" t="n">
        <v>2</v>
      </c>
      <c r="Y1231" s="2" t="n">
        <v>4</v>
      </c>
      <c r="Z1231" s="2" t="n">
        <v>3</v>
      </c>
    </row>
    <row r="1232" customFormat="false" ht="15" hidden="false" customHeight="true" outlineLevel="0" collapsed="false">
      <c r="A1232" s="2" t="n">
        <v>53</v>
      </c>
      <c r="B1232" s="2" t="s">
        <v>26</v>
      </c>
      <c r="C1232" s="2" t="s">
        <v>27</v>
      </c>
      <c r="D1232" s="2" t="s">
        <v>35</v>
      </c>
      <c r="E1232" s="2" t="n">
        <v>11</v>
      </c>
      <c r="F1232" s="2" t="n">
        <v>3</v>
      </c>
      <c r="G1232" s="2" t="s">
        <v>43</v>
      </c>
      <c r="H1232" s="2" t="n">
        <v>1231</v>
      </c>
      <c r="I1232" s="2" t="s">
        <v>39</v>
      </c>
      <c r="J1232" s="2" t="n">
        <v>2</v>
      </c>
      <c r="K1232" s="2" t="s">
        <v>49</v>
      </c>
      <c r="L1232" s="2" t="s">
        <v>32</v>
      </c>
      <c r="M1232" s="2" t="n">
        <v>21090</v>
      </c>
      <c r="N1232" s="2" t="n">
        <v>2</v>
      </c>
      <c r="O1232" s="2" t="n">
        <v>13</v>
      </c>
      <c r="P1232" s="2" t="n">
        <v>0</v>
      </c>
      <c r="Q1232" s="2" t="n">
        <v>31</v>
      </c>
      <c r="R1232" s="2" t="n">
        <v>3</v>
      </c>
      <c r="S1232" s="2" t="n">
        <v>25</v>
      </c>
      <c r="T1232" s="2" t="n">
        <v>3</v>
      </c>
      <c r="U1232" s="2" t="n">
        <v>7</v>
      </c>
      <c r="V1232" s="2" t="n">
        <v>1</v>
      </c>
      <c r="W1232" s="2" t="n">
        <v>4</v>
      </c>
      <c r="X1232" s="2" t="n">
        <v>3</v>
      </c>
      <c r="Y1232" s="2" t="n">
        <v>3</v>
      </c>
      <c r="Z1232" s="2" t="n">
        <v>3</v>
      </c>
    </row>
    <row r="1233" customFormat="false" ht="15" hidden="false" customHeight="true" outlineLevel="0" collapsed="false">
      <c r="A1233" s="2" t="n">
        <v>38</v>
      </c>
      <c r="B1233" s="2" t="s">
        <v>26</v>
      </c>
      <c r="C1233" s="2" t="s">
        <v>27</v>
      </c>
      <c r="D1233" s="2" t="s">
        <v>35</v>
      </c>
      <c r="E1233" s="2" t="n">
        <v>29</v>
      </c>
      <c r="F1233" s="2" t="n">
        <v>3</v>
      </c>
      <c r="G1233" s="2" t="s">
        <v>29</v>
      </c>
      <c r="H1233" s="2" t="n">
        <v>1232</v>
      </c>
      <c r="I1233" s="2" t="s">
        <v>30</v>
      </c>
      <c r="J1233" s="2" t="n">
        <v>1</v>
      </c>
      <c r="K1233" s="2" t="s">
        <v>47</v>
      </c>
      <c r="L1233" s="2" t="s">
        <v>37</v>
      </c>
      <c r="M1233" s="2" t="n">
        <v>37220</v>
      </c>
      <c r="N1233" s="2" t="n">
        <v>5</v>
      </c>
      <c r="O1233" s="2" t="n">
        <v>14</v>
      </c>
      <c r="P1233" s="2" t="n">
        <v>0</v>
      </c>
      <c r="Q1233" s="2" t="n">
        <v>6</v>
      </c>
      <c r="R1233" s="2" t="n">
        <v>0</v>
      </c>
      <c r="S1233" s="2" t="n">
        <v>3</v>
      </c>
      <c r="T1233" s="2" t="n">
        <v>1</v>
      </c>
      <c r="U1233" s="2" t="n">
        <v>2</v>
      </c>
      <c r="V1233" s="2" t="n">
        <v>4</v>
      </c>
      <c r="W1233" s="2" t="n">
        <v>4</v>
      </c>
      <c r="X1233" s="2" t="n">
        <v>3</v>
      </c>
      <c r="Y1233" s="2" t="n">
        <v>3</v>
      </c>
      <c r="Z1233" s="2" t="n">
        <v>3</v>
      </c>
    </row>
    <row r="1234" customFormat="false" ht="15" hidden="false" customHeight="true" outlineLevel="0" collapsed="false">
      <c r="A1234" s="2" t="n">
        <v>24</v>
      </c>
      <c r="B1234" s="2" t="s">
        <v>26</v>
      </c>
      <c r="C1234" s="2" t="s">
        <v>41</v>
      </c>
      <c r="D1234" s="2" t="s">
        <v>35</v>
      </c>
      <c r="E1234" s="2" t="n">
        <v>1</v>
      </c>
      <c r="F1234" s="2" t="n">
        <v>5</v>
      </c>
      <c r="G1234" s="2" t="s">
        <v>29</v>
      </c>
      <c r="H1234" s="2" t="n">
        <v>1233</v>
      </c>
      <c r="I1234" s="2" t="s">
        <v>39</v>
      </c>
      <c r="J1234" s="2" t="n">
        <v>3</v>
      </c>
      <c r="K1234" s="2" t="s">
        <v>36</v>
      </c>
      <c r="L1234" s="2" t="s">
        <v>46</v>
      </c>
      <c r="M1234" s="2" t="n">
        <v>93800</v>
      </c>
      <c r="N1234" s="2" t="n">
        <v>0</v>
      </c>
      <c r="O1234" s="2" t="n">
        <v>16</v>
      </c>
      <c r="P1234" s="2" t="n">
        <v>0</v>
      </c>
      <c r="Q1234" s="2" t="n">
        <v>5</v>
      </c>
      <c r="R1234" s="2" t="n">
        <v>2</v>
      </c>
      <c r="S1234" s="2" t="n">
        <v>4</v>
      </c>
      <c r="T1234" s="2" t="n">
        <v>1</v>
      </c>
      <c r="U1234" s="2" t="n">
        <v>3</v>
      </c>
      <c r="V1234" s="2" t="n">
        <v>1</v>
      </c>
      <c r="W1234" s="2" t="n">
        <v>3</v>
      </c>
      <c r="X1234" s="2" t="n">
        <v>2</v>
      </c>
      <c r="Y1234" s="2" t="n">
        <v>2</v>
      </c>
      <c r="Z1234" s="2" t="n">
        <v>3</v>
      </c>
    </row>
    <row r="1235" customFormat="false" ht="15" hidden="false" customHeight="true" outlineLevel="0" collapsed="false">
      <c r="A1235" s="2" t="n">
        <v>36</v>
      </c>
      <c r="B1235" s="2" t="s">
        <v>33</v>
      </c>
      <c r="C1235" s="2" t="s">
        <v>27</v>
      </c>
      <c r="D1235" s="2" t="s">
        <v>35</v>
      </c>
      <c r="E1235" s="2" t="n">
        <v>1</v>
      </c>
      <c r="F1235" s="2" t="n">
        <v>3</v>
      </c>
      <c r="G1235" s="2" t="s">
        <v>29</v>
      </c>
      <c r="H1235" s="2" t="n">
        <v>1234</v>
      </c>
      <c r="I1235" s="2" t="s">
        <v>39</v>
      </c>
      <c r="J1235" s="2" t="n">
        <v>1</v>
      </c>
      <c r="K1235" s="2" t="s">
        <v>44</v>
      </c>
      <c r="L1235" s="2" t="s">
        <v>37</v>
      </c>
      <c r="M1235" s="2" t="n">
        <v>54860</v>
      </c>
      <c r="N1235" s="2" t="n">
        <v>7</v>
      </c>
      <c r="O1235" s="2" t="n">
        <v>12</v>
      </c>
      <c r="P1235" s="2" t="n">
        <v>1</v>
      </c>
      <c r="Q1235" s="2" t="n">
        <v>10</v>
      </c>
      <c r="R1235" s="2" t="n">
        <v>2</v>
      </c>
      <c r="S1235" s="2" t="n">
        <v>5</v>
      </c>
      <c r="T1235" s="2" t="n">
        <v>0</v>
      </c>
      <c r="U1235" s="2" t="n">
        <v>3</v>
      </c>
      <c r="V1235" s="2" t="n">
        <v>3</v>
      </c>
      <c r="W1235" s="2" t="n">
        <v>1</v>
      </c>
      <c r="X1235" s="2" t="n">
        <v>3</v>
      </c>
      <c r="Y1235" s="2" t="n">
        <v>3</v>
      </c>
      <c r="Z1235" s="2" t="n">
        <v>3</v>
      </c>
    </row>
    <row r="1236" customFormat="false" ht="15" hidden="false" customHeight="true" outlineLevel="0" collapsed="false">
      <c r="A1236" s="2" t="n">
        <v>34</v>
      </c>
      <c r="B1236" s="2" t="s">
        <v>26</v>
      </c>
      <c r="C1236" s="2" t="s">
        <v>27</v>
      </c>
      <c r="D1236" s="2" t="s">
        <v>28</v>
      </c>
      <c r="E1236" s="2" t="n">
        <v>24</v>
      </c>
      <c r="F1236" s="2" t="n">
        <v>3</v>
      </c>
      <c r="G1236" s="2" t="s">
        <v>50</v>
      </c>
      <c r="H1236" s="2" t="n">
        <v>1235</v>
      </c>
      <c r="I1236" s="2" t="s">
        <v>39</v>
      </c>
      <c r="J1236" s="2" t="n">
        <v>4</v>
      </c>
      <c r="K1236" s="2" t="s">
        <v>36</v>
      </c>
      <c r="L1236" s="2" t="s">
        <v>37</v>
      </c>
      <c r="M1236" s="2" t="n">
        <v>27420</v>
      </c>
      <c r="N1236" s="2" t="n">
        <v>0</v>
      </c>
      <c r="O1236" s="2" t="n">
        <v>11</v>
      </c>
      <c r="P1236" s="2" t="n">
        <v>1</v>
      </c>
      <c r="Q1236" s="2" t="n">
        <v>13</v>
      </c>
      <c r="R1236" s="2" t="n">
        <v>2</v>
      </c>
      <c r="S1236" s="2" t="n">
        <v>12</v>
      </c>
      <c r="T1236" s="2" t="n">
        <v>2</v>
      </c>
      <c r="U1236" s="2" t="n">
        <v>11</v>
      </c>
      <c r="V1236" s="2" t="n">
        <v>1</v>
      </c>
      <c r="W1236" s="2" t="n">
        <v>2</v>
      </c>
      <c r="X1236" s="2" t="n">
        <v>3</v>
      </c>
      <c r="Y1236" s="2" t="n">
        <v>3</v>
      </c>
      <c r="Z1236" s="2" t="n">
        <v>3</v>
      </c>
    </row>
    <row r="1237" customFormat="false" ht="15" hidden="false" customHeight="true" outlineLevel="0" collapsed="false">
      <c r="A1237" s="2" t="n">
        <v>21</v>
      </c>
      <c r="B1237" s="2" t="s">
        <v>26</v>
      </c>
      <c r="C1237" s="2" t="s">
        <v>27</v>
      </c>
      <c r="D1237" s="2" t="s">
        <v>28</v>
      </c>
      <c r="E1237" s="2" t="n">
        <v>2</v>
      </c>
      <c r="F1237" s="2" t="n">
        <v>3</v>
      </c>
      <c r="G1237" s="2" t="s">
        <v>29</v>
      </c>
      <c r="H1237" s="2" t="n">
        <v>1236</v>
      </c>
      <c r="I1237" s="2" t="s">
        <v>39</v>
      </c>
      <c r="J1237" s="2" t="n">
        <v>2</v>
      </c>
      <c r="K1237" s="2" t="s">
        <v>47</v>
      </c>
      <c r="L1237" s="2" t="s">
        <v>37</v>
      </c>
      <c r="M1237" s="2" t="n">
        <v>137570</v>
      </c>
      <c r="N1237" s="2" t="n">
        <v>1</v>
      </c>
      <c r="O1237" s="2" t="n">
        <v>12</v>
      </c>
      <c r="P1237" s="2" t="n">
        <v>1</v>
      </c>
      <c r="Q1237" s="2" t="n">
        <v>0</v>
      </c>
      <c r="R1237" s="2" t="n">
        <v>3</v>
      </c>
      <c r="S1237" s="2" t="n">
        <v>0</v>
      </c>
      <c r="T1237" s="2" t="n">
        <v>0</v>
      </c>
      <c r="U1237" s="2" t="n">
        <v>0</v>
      </c>
      <c r="V1237" s="2" t="n">
        <v>3</v>
      </c>
      <c r="W1237" s="2" t="n">
        <v>4</v>
      </c>
      <c r="X1237" s="2" t="n">
        <v>3</v>
      </c>
      <c r="Y1237" s="2" t="n">
        <v>3</v>
      </c>
      <c r="Z1237" s="2" t="n">
        <v>3</v>
      </c>
    </row>
    <row r="1238" customFormat="false" ht="15" hidden="false" customHeight="true" outlineLevel="0" collapsed="false">
      <c r="A1238" s="2" t="n">
        <v>34</v>
      </c>
      <c r="B1238" s="2" t="s">
        <v>33</v>
      </c>
      <c r="C1238" s="2" t="s">
        <v>27</v>
      </c>
      <c r="D1238" s="2" t="s">
        <v>28</v>
      </c>
      <c r="E1238" s="2" t="n">
        <v>15</v>
      </c>
      <c r="F1238" s="2" t="n">
        <v>2</v>
      </c>
      <c r="G1238" s="2" t="s">
        <v>50</v>
      </c>
      <c r="H1238" s="2" t="n">
        <v>1237</v>
      </c>
      <c r="I1238" s="2" t="s">
        <v>30</v>
      </c>
      <c r="J1238" s="2" t="n">
        <v>2</v>
      </c>
      <c r="K1238" s="2" t="s">
        <v>36</v>
      </c>
      <c r="L1238" s="2" t="s">
        <v>37</v>
      </c>
      <c r="M1238" s="2" t="n">
        <v>84630</v>
      </c>
      <c r="N1238" s="2" t="n">
        <v>2</v>
      </c>
      <c r="O1238" s="2" t="n">
        <v>13</v>
      </c>
      <c r="P1238" s="2" t="n">
        <v>0</v>
      </c>
      <c r="Q1238" s="2" t="n">
        <v>8</v>
      </c>
      <c r="R1238" s="2" t="n">
        <v>2</v>
      </c>
      <c r="S1238" s="2" t="n">
        <v>4</v>
      </c>
      <c r="T1238" s="2" t="n">
        <v>1</v>
      </c>
      <c r="U1238" s="2" t="n">
        <v>3</v>
      </c>
      <c r="V1238" s="2" t="n">
        <v>2</v>
      </c>
      <c r="W1238" s="2" t="n">
        <v>1</v>
      </c>
      <c r="X1238" s="2" t="n">
        <v>3</v>
      </c>
      <c r="Y1238" s="2" t="n">
        <v>1</v>
      </c>
      <c r="Z1238" s="2" t="n">
        <v>3</v>
      </c>
    </row>
    <row r="1239" customFormat="false" ht="15" hidden="false" customHeight="true" outlineLevel="0" collapsed="false">
      <c r="A1239" s="2" t="n">
        <v>53</v>
      </c>
      <c r="B1239" s="2" t="s">
        <v>26</v>
      </c>
      <c r="C1239" s="2" t="s">
        <v>27</v>
      </c>
      <c r="D1239" s="2" t="s">
        <v>28</v>
      </c>
      <c r="E1239" s="2" t="n">
        <v>2</v>
      </c>
      <c r="F1239" s="2" t="n">
        <v>1</v>
      </c>
      <c r="G1239" s="2" t="s">
        <v>29</v>
      </c>
      <c r="H1239" s="2" t="n">
        <v>1238</v>
      </c>
      <c r="I1239" s="2" t="s">
        <v>39</v>
      </c>
      <c r="J1239" s="2" t="n">
        <v>5</v>
      </c>
      <c r="K1239" s="2" t="s">
        <v>42</v>
      </c>
      <c r="L1239" s="2" t="s">
        <v>46</v>
      </c>
      <c r="M1239" s="2" t="n">
        <v>31620</v>
      </c>
      <c r="N1239" s="2" t="n">
        <v>4</v>
      </c>
      <c r="O1239" s="2" t="n">
        <v>15</v>
      </c>
      <c r="P1239" s="2" t="n">
        <v>0</v>
      </c>
      <c r="Q1239" s="2" t="n">
        <v>26</v>
      </c>
      <c r="R1239" s="2" t="n">
        <v>4</v>
      </c>
      <c r="S1239" s="2" t="n">
        <v>14</v>
      </c>
      <c r="T1239" s="2" t="n">
        <v>4</v>
      </c>
      <c r="U1239" s="2" t="n">
        <v>8</v>
      </c>
      <c r="V1239" s="2" t="n">
        <v>3</v>
      </c>
      <c r="W1239" s="2" t="n">
        <v>3</v>
      </c>
      <c r="X1239" s="2" t="n">
        <v>2</v>
      </c>
      <c r="Y1239" s="2" t="n">
        <v>3</v>
      </c>
      <c r="Z1239" s="2" t="n">
        <v>3</v>
      </c>
    </row>
    <row r="1240" customFormat="false" ht="15" hidden="false" customHeight="true" outlineLevel="0" collapsed="false">
      <c r="A1240" s="2" t="n">
        <v>32</v>
      </c>
      <c r="B1240" s="2" t="s">
        <v>33</v>
      </c>
      <c r="C1240" s="2" t="s">
        <v>34</v>
      </c>
      <c r="D1240" s="2" t="s">
        <v>35</v>
      </c>
      <c r="E1240" s="2" t="n">
        <v>10</v>
      </c>
      <c r="F1240" s="2" t="n">
        <v>3</v>
      </c>
      <c r="G1240" s="2" t="s">
        <v>43</v>
      </c>
      <c r="H1240" s="2" t="n">
        <v>1239</v>
      </c>
      <c r="I1240" s="2" t="s">
        <v>30</v>
      </c>
      <c r="J1240" s="2" t="n">
        <v>2</v>
      </c>
      <c r="K1240" s="2" t="s">
        <v>47</v>
      </c>
      <c r="L1240" s="2" t="s">
        <v>37</v>
      </c>
      <c r="M1240" s="2" t="n">
        <v>165980</v>
      </c>
      <c r="N1240" s="2" t="n">
        <v>1</v>
      </c>
      <c r="O1240" s="2" t="n">
        <v>13</v>
      </c>
      <c r="P1240" s="2" t="n">
        <v>0</v>
      </c>
      <c r="Q1240" s="2" t="n">
        <v>10</v>
      </c>
      <c r="R1240" s="2" t="n">
        <v>2</v>
      </c>
      <c r="S1240" s="2" t="n">
        <v>10</v>
      </c>
      <c r="T1240" s="2" t="n">
        <v>6</v>
      </c>
      <c r="U1240" s="2" t="n">
        <v>7</v>
      </c>
      <c r="V1240" s="2" t="n">
        <v>2</v>
      </c>
      <c r="W1240" s="2" t="n">
        <v>1</v>
      </c>
      <c r="X1240" s="2" t="n">
        <v>3</v>
      </c>
      <c r="Y1240" s="2" t="n">
        <v>3</v>
      </c>
      <c r="Z1240" s="2" t="n">
        <v>3</v>
      </c>
    </row>
    <row r="1241" customFormat="false" ht="15" hidden="false" customHeight="true" outlineLevel="0" collapsed="false">
      <c r="A1241" s="2" t="n">
        <v>42</v>
      </c>
      <c r="B1241" s="2" t="s">
        <v>26</v>
      </c>
      <c r="C1241" s="2" t="s">
        <v>27</v>
      </c>
      <c r="D1241" s="2" t="s">
        <v>35</v>
      </c>
      <c r="E1241" s="2" t="n">
        <v>10</v>
      </c>
      <c r="F1241" s="2" t="n">
        <v>3</v>
      </c>
      <c r="G1241" s="2" t="s">
        <v>51</v>
      </c>
      <c r="H1241" s="2" t="n">
        <v>1240</v>
      </c>
      <c r="I1241" s="2" t="s">
        <v>39</v>
      </c>
      <c r="J1241" s="2" t="n">
        <v>2</v>
      </c>
      <c r="K1241" s="2" t="s">
        <v>45</v>
      </c>
      <c r="L1241" s="2" t="s">
        <v>32</v>
      </c>
      <c r="M1241" s="2" t="n">
        <v>66510</v>
      </c>
      <c r="N1241" s="2" t="n">
        <v>0</v>
      </c>
      <c r="O1241" s="2" t="n">
        <v>20</v>
      </c>
      <c r="P1241" s="2" t="n">
        <v>0</v>
      </c>
      <c r="Q1241" s="2" t="n">
        <v>10</v>
      </c>
      <c r="R1241" s="2" t="n">
        <v>5</v>
      </c>
      <c r="S1241" s="2" t="n">
        <v>9</v>
      </c>
      <c r="T1241" s="2" t="n">
        <v>4</v>
      </c>
      <c r="U1241" s="2" t="n">
        <v>2</v>
      </c>
      <c r="V1241" s="2" t="n">
        <v>3</v>
      </c>
      <c r="W1241" s="2" t="n">
        <v>2</v>
      </c>
      <c r="X1241" s="2" t="n">
        <v>3</v>
      </c>
      <c r="Y1241" s="2" t="n">
        <v>2</v>
      </c>
      <c r="Z1241" s="2" t="n">
        <v>4</v>
      </c>
    </row>
    <row r="1242" customFormat="false" ht="15" hidden="false" customHeight="true" outlineLevel="0" collapsed="false">
      <c r="A1242" s="2" t="n">
        <v>44</v>
      </c>
      <c r="B1242" s="2" t="s">
        <v>26</v>
      </c>
      <c r="C1242" s="2" t="s">
        <v>27</v>
      </c>
      <c r="D1242" s="2" t="s">
        <v>35</v>
      </c>
      <c r="E1242" s="2" t="n">
        <v>3</v>
      </c>
      <c r="F1242" s="2" t="n">
        <v>1</v>
      </c>
      <c r="G1242" s="2" t="s">
        <v>29</v>
      </c>
      <c r="H1242" s="2" t="n">
        <v>1241</v>
      </c>
      <c r="I1242" s="2" t="s">
        <v>30</v>
      </c>
      <c r="J1242" s="2" t="n">
        <v>1</v>
      </c>
      <c r="K1242" s="2" t="s">
        <v>47</v>
      </c>
      <c r="L1242" s="2" t="s">
        <v>32</v>
      </c>
      <c r="M1242" s="2" t="n">
        <v>23450</v>
      </c>
      <c r="N1242" s="2" t="n">
        <v>3</v>
      </c>
      <c r="O1242" s="2" t="n">
        <v>15</v>
      </c>
      <c r="P1242" s="2" t="n">
        <v>2</v>
      </c>
      <c r="Q1242" s="2" t="n">
        <v>24</v>
      </c>
      <c r="R1242" s="2" t="n">
        <v>0</v>
      </c>
      <c r="S1242" s="2" t="n">
        <v>22</v>
      </c>
      <c r="T1242" s="2" t="n">
        <v>5</v>
      </c>
      <c r="U1242" s="2" t="n">
        <v>17</v>
      </c>
      <c r="V1242" s="2" t="n">
        <v>1</v>
      </c>
      <c r="W1242" s="2" t="n">
        <v>4</v>
      </c>
      <c r="X1242" s="2" t="n">
        <v>3</v>
      </c>
      <c r="Y1242" s="2" t="n">
        <v>3</v>
      </c>
      <c r="Z1242" s="2" t="n">
        <v>3</v>
      </c>
    </row>
    <row r="1243" customFormat="false" ht="15" hidden="false" customHeight="true" outlineLevel="0" collapsed="false">
      <c r="A1243" s="2" t="n">
        <v>46</v>
      </c>
      <c r="B1243" s="2" t="s">
        <v>26</v>
      </c>
      <c r="C1243" s="2" t="s">
        <v>27</v>
      </c>
      <c r="D1243" s="2" t="s">
        <v>28</v>
      </c>
      <c r="E1243" s="2" t="n">
        <v>2</v>
      </c>
      <c r="F1243" s="2" t="n">
        <v>3</v>
      </c>
      <c r="G1243" s="2" t="s">
        <v>29</v>
      </c>
      <c r="H1243" s="2" t="n">
        <v>1242</v>
      </c>
      <c r="I1243" s="2" t="s">
        <v>30</v>
      </c>
      <c r="J1243" s="2" t="n">
        <v>1</v>
      </c>
      <c r="K1243" s="2" t="s">
        <v>36</v>
      </c>
      <c r="L1243" s="2" t="s">
        <v>37</v>
      </c>
      <c r="M1243" s="2" t="n">
        <v>34200</v>
      </c>
      <c r="N1243" s="2" t="n">
        <v>3</v>
      </c>
      <c r="O1243" s="2" t="n">
        <v>13</v>
      </c>
      <c r="P1243" s="2" t="n">
        <v>2</v>
      </c>
      <c r="Q1243" s="2" t="n">
        <v>22</v>
      </c>
      <c r="R1243" s="2" t="n">
        <v>3</v>
      </c>
      <c r="S1243" s="2" t="n">
        <v>2</v>
      </c>
      <c r="T1243" s="2" t="n">
        <v>2</v>
      </c>
      <c r="U1243" s="2" t="n">
        <v>1</v>
      </c>
      <c r="V1243" s="2" t="n">
        <v>2</v>
      </c>
      <c r="W1243" s="2" t="n">
        <v>1</v>
      </c>
      <c r="X1243" s="2" t="n">
        <v>2</v>
      </c>
      <c r="Y1243" s="2" t="n">
        <v>1</v>
      </c>
      <c r="Z1243" s="2" t="n">
        <v>3</v>
      </c>
    </row>
    <row r="1244" customFormat="false" ht="15" hidden="false" customHeight="true" outlineLevel="0" collapsed="false">
      <c r="A1244" s="2" t="n">
        <v>33</v>
      </c>
      <c r="B1244" s="2" t="s">
        <v>26</v>
      </c>
      <c r="C1244" s="2" t="s">
        <v>27</v>
      </c>
      <c r="D1244" s="2" t="s">
        <v>28</v>
      </c>
      <c r="E1244" s="2" t="n">
        <v>3</v>
      </c>
      <c r="F1244" s="2" t="n">
        <v>3</v>
      </c>
      <c r="G1244" s="2" t="s">
        <v>43</v>
      </c>
      <c r="H1244" s="2" t="n">
        <v>1243</v>
      </c>
      <c r="I1244" s="2" t="s">
        <v>39</v>
      </c>
      <c r="J1244" s="2" t="n">
        <v>1</v>
      </c>
      <c r="K1244" s="2" t="s">
        <v>47</v>
      </c>
      <c r="L1244" s="2" t="s">
        <v>37</v>
      </c>
      <c r="M1244" s="2" t="n">
        <v>43730</v>
      </c>
      <c r="N1244" s="2" t="n">
        <v>4</v>
      </c>
      <c r="O1244" s="2" t="n">
        <v>14</v>
      </c>
      <c r="P1244" s="2" t="n">
        <v>0</v>
      </c>
      <c r="Q1244" s="2" t="n">
        <v>7</v>
      </c>
      <c r="R1244" s="2" t="n">
        <v>3</v>
      </c>
      <c r="S1244" s="2" t="n">
        <v>1</v>
      </c>
      <c r="T1244" s="2" t="n">
        <v>0</v>
      </c>
      <c r="U1244" s="2" t="n">
        <v>0</v>
      </c>
      <c r="V1244" s="2" t="n">
        <v>3</v>
      </c>
      <c r="W1244" s="2" t="n">
        <v>4</v>
      </c>
      <c r="X1244" s="2" t="n">
        <v>3</v>
      </c>
      <c r="Y1244" s="2" t="n">
        <v>3</v>
      </c>
      <c r="Z1244" s="2" t="n">
        <v>3</v>
      </c>
    </row>
    <row r="1245" customFormat="false" ht="15" hidden="false" customHeight="true" outlineLevel="0" collapsed="false">
      <c r="A1245" s="2" t="n">
        <v>44</v>
      </c>
      <c r="B1245" s="2" t="s">
        <v>26</v>
      </c>
      <c r="C1245" s="2" t="s">
        <v>27</v>
      </c>
      <c r="D1245" s="2" t="s">
        <v>42</v>
      </c>
      <c r="E1245" s="2" t="n">
        <v>26</v>
      </c>
      <c r="F1245" s="2" t="n">
        <v>3</v>
      </c>
      <c r="G1245" s="2" t="s">
        <v>29</v>
      </c>
      <c r="H1245" s="2" t="n">
        <v>1244</v>
      </c>
      <c r="I1245" s="2" t="s">
        <v>39</v>
      </c>
      <c r="J1245" s="2" t="n">
        <v>5</v>
      </c>
      <c r="K1245" s="2" t="s">
        <v>31</v>
      </c>
      <c r="L1245" s="2" t="s">
        <v>32</v>
      </c>
      <c r="M1245" s="2" t="n">
        <v>47590</v>
      </c>
      <c r="N1245" s="2" t="n">
        <v>2</v>
      </c>
      <c r="O1245" s="2" t="n">
        <v>21</v>
      </c>
      <c r="P1245" s="2" t="n">
        <v>0</v>
      </c>
      <c r="Q1245" s="2" t="n">
        <v>9</v>
      </c>
      <c r="R1245" s="2" t="n">
        <v>2</v>
      </c>
      <c r="S1245" s="2" t="n">
        <v>4</v>
      </c>
      <c r="T1245" s="2" t="n">
        <v>1</v>
      </c>
      <c r="U1245" s="2" t="n">
        <v>3</v>
      </c>
      <c r="V1245" s="2" t="n">
        <v>4</v>
      </c>
      <c r="W1245" s="2" t="n">
        <v>4</v>
      </c>
      <c r="X1245" s="2" t="n">
        <v>4</v>
      </c>
      <c r="Y1245" s="2" t="n">
        <v>3</v>
      </c>
      <c r="Z1245" s="2" t="n">
        <v>4</v>
      </c>
    </row>
    <row r="1246" customFormat="false" ht="15" hidden="false" customHeight="true" outlineLevel="0" collapsed="false">
      <c r="A1246" s="2" t="n">
        <v>30</v>
      </c>
      <c r="B1246" s="2" t="s">
        <v>26</v>
      </c>
      <c r="C1246" s="2" t="s">
        <v>27</v>
      </c>
      <c r="D1246" s="2" t="s">
        <v>35</v>
      </c>
      <c r="E1246" s="2" t="n">
        <v>1</v>
      </c>
      <c r="F1246" s="2" t="n">
        <v>4</v>
      </c>
      <c r="G1246" s="2" t="s">
        <v>51</v>
      </c>
      <c r="H1246" s="2" t="n">
        <v>1245</v>
      </c>
      <c r="I1246" s="2" t="s">
        <v>30</v>
      </c>
      <c r="J1246" s="2" t="n">
        <v>1</v>
      </c>
      <c r="K1246" s="2" t="s">
        <v>36</v>
      </c>
      <c r="L1246" s="2" t="s">
        <v>37</v>
      </c>
      <c r="M1246" s="2" t="n">
        <v>53010</v>
      </c>
      <c r="N1246" s="2" t="n">
        <v>1</v>
      </c>
      <c r="O1246" s="2" t="n">
        <v>16</v>
      </c>
      <c r="P1246" s="2" t="n">
        <v>1</v>
      </c>
      <c r="Q1246" s="2" t="n">
        <v>10</v>
      </c>
      <c r="R1246" s="2" t="n">
        <v>3</v>
      </c>
      <c r="S1246" s="2" t="n">
        <v>10</v>
      </c>
      <c r="T1246" s="2" t="n">
        <v>1</v>
      </c>
      <c r="U1246" s="2" t="n">
        <v>8</v>
      </c>
      <c r="V1246" s="2" t="n">
        <v>4</v>
      </c>
      <c r="W1246" s="2" t="n">
        <v>3</v>
      </c>
      <c r="X1246" s="2" t="n">
        <v>3</v>
      </c>
      <c r="Y1246" s="2" t="n">
        <v>3</v>
      </c>
      <c r="Z1246" s="2" t="n">
        <v>3</v>
      </c>
    </row>
    <row r="1247" customFormat="false" ht="15" hidden="false" customHeight="true" outlineLevel="0" collapsed="false">
      <c r="A1247" s="2" t="n">
        <v>39</v>
      </c>
      <c r="B1247" s="2" t="s">
        <v>33</v>
      </c>
      <c r="C1247" s="2" t="s">
        <v>27</v>
      </c>
      <c r="D1247" s="2" t="s">
        <v>42</v>
      </c>
      <c r="E1247" s="2" t="n">
        <v>1</v>
      </c>
      <c r="F1247" s="2" t="n">
        <v>4</v>
      </c>
      <c r="G1247" s="2" t="s">
        <v>43</v>
      </c>
      <c r="H1247" s="2" t="n">
        <v>1246</v>
      </c>
      <c r="I1247" s="2" t="s">
        <v>39</v>
      </c>
      <c r="J1247" s="2" t="n">
        <v>1</v>
      </c>
      <c r="K1247" s="2" t="s">
        <v>40</v>
      </c>
      <c r="L1247" s="2" t="s">
        <v>32</v>
      </c>
      <c r="M1247" s="2" t="n">
        <v>36730</v>
      </c>
      <c r="N1247" s="2" t="n">
        <v>3</v>
      </c>
      <c r="O1247" s="2" t="n">
        <v>14</v>
      </c>
      <c r="P1247" s="2" t="n">
        <v>1</v>
      </c>
      <c r="Q1247" s="2" t="n">
        <v>19</v>
      </c>
      <c r="R1247" s="2" t="n">
        <v>3</v>
      </c>
      <c r="S1247" s="2" t="n">
        <v>1</v>
      </c>
      <c r="T1247" s="2" t="n">
        <v>0</v>
      </c>
      <c r="U1247" s="2" t="n">
        <v>0</v>
      </c>
      <c r="V1247" s="2" t="n">
        <v>4</v>
      </c>
      <c r="W1247" s="2" t="n">
        <v>4</v>
      </c>
      <c r="X1247" s="2" t="n">
        <v>4</v>
      </c>
      <c r="Y1247" s="2" t="n">
        <v>3</v>
      </c>
      <c r="Z1247" s="2" t="n">
        <v>3</v>
      </c>
    </row>
    <row r="1248" customFormat="false" ht="15" hidden="false" customHeight="true" outlineLevel="0" collapsed="false">
      <c r="A1248" s="2" t="n">
        <v>24</v>
      </c>
      <c r="B1248" s="2" t="s">
        <v>33</v>
      </c>
      <c r="C1248" s="2" t="s">
        <v>27</v>
      </c>
      <c r="D1248" s="2" t="s">
        <v>42</v>
      </c>
      <c r="E1248" s="2" t="n">
        <v>2</v>
      </c>
      <c r="F1248" s="2" t="n">
        <v>5</v>
      </c>
      <c r="G1248" s="2" t="s">
        <v>42</v>
      </c>
      <c r="H1248" s="2" t="n">
        <v>1247</v>
      </c>
      <c r="I1248" s="2" t="s">
        <v>39</v>
      </c>
      <c r="J1248" s="2" t="n">
        <v>3</v>
      </c>
      <c r="K1248" s="2" t="s">
        <v>40</v>
      </c>
      <c r="L1248" s="2" t="s">
        <v>32</v>
      </c>
      <c r="M1248" s="2" t="n">
        <v>47680</v>
      </c>
      <c r="N1248" s="2" t="n">
        <v>2</v>
      </c>
      <c r="O1248" s="2" t="n">
        <v>11</v>
      </c>
      <c r="P1248" s="2" t="n">
        <v>1</v>
      </c>
      <c r="Q1248" s="2" t="n">
        <v>6</v>
      </c>
      <c r="R1248" s="2" t="n">
        <v>2</v>
      </c>
      <c r="S1248" s="2" t="n">
        <v>2</v>
      </c>
      <c r="T1248" s="2" t="n">
        <v>2</v>
      </c>
      <c r="U1248" s="2" t="n">
        <v>0</v>
      </c>
      <c r="V1248" s="2" t="n">
        <v>2</v>
      </c>
      <c r="W1248" s="2" t="n">
        <v>4</v>
      </c>
      <c r="X1248" s="2" t="n">
        <v>2</v>
      </c>
      <c r="Y1248" s="2" t="n">
        <v>2</v>
      </c>
      <c r="Z1248" s="2" t="n">
        <v>3</v>
      </c>
    </row>
    <row r="1249" customFormat="false" ht="15" hidden="false" customHeight="true" outlineLevel="0" collapsed="false">
      <c r="A1249" s="2" t="n">
        <v>43</v>
      </c>
      <c r="B1249" s="2" t="s">
        <v>26</v>
      </c>
      <c r="C1249" s="2" t="s">
        <v>27</v>
      </c>
      <c r="D1249" s="2" t="s">
        <v>28</v>
      </c>
      <c r="E1249" s="2" t="n">
        <v>9</v>
      </c>
      <c r="F1249" s="2" t="n">
        <v>5</v>
      </c>
      <c r="G1249" s="2" t="s">
        <v>51</v>
      </c>
      <c r="H1249" s="2" t="n">
        <v>1248</v>
      </c>
      <c r="I1249" s="2" t="s">
        <v>30</v>
      </c>
      <c r="J1249" s="2" t="n">
        <v>1</v>
      </c>
      <c r="K1249" s="2" t="s">
        <v>44</v>
      </c>
      <c r="L1249" s="2" t="s">
        <v>46</v>
      </c>
      <c r="M1249" s="2" t="n">
        <v>12740</v>
      </c>
      <c r="N1249" s="2" t="n">
        <v>1</v>
      </c>
      <c r="O1249" s="2" t="n">
        <v>19</v>
      </c>
      <c r="P1249" s="2" t="n">
        <v>0</v>
      </c>
      <c r="Q1249" s="2" t="n">
        <v>6</v>
      </c>
      <c r="R1249" s="2" t="n">
        <v>3</v>
      </c>
      <c r="S1249" s="2" t="n">
        <v>5</v>
      </c>
      <c r="T1249" s="2" t="n">
        <v>1</v>
      </c>
      <c r="U1249" s="2" t="n">
        <v>4</v>
      </c>
      <c r="V1249" s="2" t="n">
        <v>4</v>
      </c>
      <c r="W1249" s="2" t="n">
        <v>3</v>
      </c>
      <c r="X1249" s="2" t="n">
        <v>2</v>
      </c>
      <c r="Y1249" s="2" t="n">
        <v>2</v>
      </c>
      <c r="Z1249" s="2" t="n">
        <v>3</v>
      </c>
    </row>
    <row r="1250" customFormat="false" ht="15" hidden="false" customHeight="true" outlineLevel="0" collapsed="false">
      <c r="A1250" s="2" t="n">
        <v>50</v>
      </c>
      <c r="B1250" s="2" t="s">
        <v>33</v>
      </c>
      <c r="C1250" s="2" t="s">
        <v>27</v>
      </c>
      <c r="D1250" s="2" t="s">
        <v>35</v>
      </c>
      <c r="E1250" s="2" t="n">
        <v>12</v>
      </c>
      <c r="F1250" s="2" t="n">
        <v>4</v>
      </c>
      <c r="G1250" s="2" t="s">
        <v>43</v>
      </c>
      <c r="H1250" s="2" t="n">
        <v>1249</v>
      </c>
      <c r="I1250" s="2" t="s">
        <v>39</v>
      </c>
      <c r="J1250" s="2" t="n">
        <v>1</v>
      </c>
      <c r="K1250" s="2" t="s">
        <v>44</v>
      </c>
      <c r="L1250" s="2" t="s">
        <v>32</v>
      </c>
      <c r="M1250" s="2" t="n">
        <v>49000</v>
      </c>
      <c r="N1250" s="2" t="n">
        <v>1</v>
      </c>
      <c r="O1250" s="2" t="n">
        <v>11</v>
      </c>
      <c r="P1250" s="2" t="n">
        <v>0</v>
      </c>
      <c r="Q1250" s="2" t="n">
        <v>3</v>
      </c>
      <c r="R1250" s="2" t="n">
        <v>3</v>
      </c>
      <c r="S1250" s="2" t="n">
        <v>3</v>
      </c>
      <c r="T1250" s="2" t="n">
        <v>0</v>
      </c>
      <c r="U1250" s="2" t="n">
        <v>2</v>
      </c>
      <c r="V1250" s="2" t="n">
        <v>1</v>
      </c>
      <c r="W1250" s="2" t="n">
        <v>3</v>
      </c>
      <c r="X1250" s="2" t="n">
        <v>3</v>
      </c>
      <c r="Y1250" s="2" t="n">
        <v>2</v>
      </c>
      <c r="Z1250" s="2" t="n">
        <v>3</v>
      </c>
    </row>
    <row r="1251" customFormat="false" ht="15" hidden="false" customHeight="true" outlineLevel="0" collapsed="false">
      <c r="A1251" s="2" t="n">
        <v>35</v>
      </c>
      <c r="B1251" s="2" t="s">
        <v>26</v>
      </c>
      <c r="C1251" s="2" t="s">
        <v>27</v>
      </c>
      <c r="D1251" s="2" t="s">
        <v>28</v>
      </c>
      <c r="E1251" s="2" t="n">
        <v>2</v>
      </c>
      <c r="F1251" s="2" t="n">
        <v>4</v>
      </c>
      <c r="G1251" s="2" t="s">
        <v>50</v>
      </c>
      <c r="H1251" s="2" t="n">
        <v>1250</v>
      </c>
      <c r="I1251" s="2" t="s">
        <v>39</v>
      </c>
      <c r="J1251" s="2" t="n">
        <v>3</v>
      </c>
      <c r="K1251" s="2" t="s">
        <v>47</v>
      </c>
      <c r="L1251" s="2" t="s">
        <v>32</v>
      </c>
      <c r="M1251" s="2" t="n">
        <v>104660</v>
      </c>
      <c r="N1251" s="2" t="n">
        <v>1</v>
      </c>
      <c r="O1251" s="2" t="n">
        <v>13</v>
      </c>
      <c r="P1251" s="2" t="n">
        <v>0</v>
      </c>
      <c r="Q1251" s="2" t="n">
        <v>2</v>
      </c>
      <c r="R1251" s="2" t="n">
        <v>1</v>
      </c>
      <c r="S1251" s="2" t="n">
        <v>2</v>
      </c>
      <c r="T1251" s="2" t="n">
        <v>2</v>
      </c>
      <c r="U1251" s="2" t="n">
        <v>2</v>
      </c>
      <c r="V1251" s="2" t="n">
        <v>4</v>
      </c>
      <c r="W1251" s="2" t="n">
        <v>4</v>
      </c>
      <c r="X1251" s="2" t="n">
        <v>3</v>
      </c>
      <c r="Y1251" s="2" t="n">
        <v>3</v>
      </c>
      <c r="Z1251" s="2" t="n">
        <v>3</v>
      </c>
    </row>
    <row r="1252" customFormat="false" ht="15" hidden="false" customHeight="true" outlineLevel="0" collapsed="false">
      <c r="A1252" s="2" t="n">
        <v>36</v>
      </c>
      <c r="B1252" s="2" t="s">
        <v>26</v>
      </c>
      <c r="C1252" s="2" t="s">
        <v>27</v>
      </c>
      <c r="D1252" s="2" t="s">
        <v>35</v>
      </c>
      <c r="E1252" s="2" t="n">
        <v>25</v>
      </c>
      <c r="F1252" s="2" t="n">
        <v>1</v>
      </c>
      <c r="G1252" s="2" t="s">
        <v>29</v>
      </c>
      <c r="H1252" s="2" t="n">
        <v>1251</v>
      </c>
      <c r="I1252" s="2" t="s">
        <v>30</v>
      </c>
      <c r="J1252" s="2" t="n">
        <v>4</v>
      </c>
      <c r="K1252" s="2" t="s">
        <v>40</v>
      </c>
      <c r="L1252" s="2" t="s">
        <v>32</v>
      </c>
      <c r="M1252" s="2" t="n">
        <v>170070</v>
      </c>
      <c r="N1252" s="2" t="n">
        <v>9</v>
      </c>
      <c r="O1252" s="2" t="n">
        <v>12</v>
      </c>
      <c r="P1252" s="2" t="n">
        <v>1</v>
      </c>
      <c r="Q1252" s="2" t="n">
        <v>6</v>
      </c>
      <c r="R1252" s="2" t="n">
        <v>2</v>
      </c>
      <c r="S1252" s="2" t="n">
        <v>1</v>
      </c>
      <c r="T1252" s="2" t="n">
        <v>0</v>
      </c>
      <c r="U1252" s="2" t="n">
        <v>0</v>
      </c>
      <c r="V1252" s="2" t="n">
        <v>2</v>
      </c>
      <c r="W1252" s="2" t="n">
        <v>1</v>
      </c>
      <c r="X1252" s="2" t="n">
        <v>4</v>
      </c>
      <c r="Y1252" s="2" t="n">
        <v>2</v>
      </c>
      <c r="Z1252" s="2" t="n">
        <v>3</v>
      </c>
    </row>
    <row r="1253" customFormat="false" ht="15" hidden="false" customHeight="true" outlineLevel="0" collapsed="false">
      <c r="A1253" s="2" t="n">
        <v>33</v>
      </c>
      <c r="B1253" s="2" t="s">
        <v>26</v>
      </c>
      <c r="C1253" s="2" t="s">
        <v>34</v>
      </c>
      <c r="D1253" s="2" t="s">
        <v>28</v>
      </c>
      <c r="E1253" s="2" t="n">
        <v>9</v>
      </c>
      <c r="F1253" s="2" t="n">
        <v>2</v>
      </c>
      <c r="G1253" s="2" t="s">
        <v>50</v>
      </c>
      <c r="H1253" s="2" t="n">
        <v>1252</v>
      </c>
      <c r="I1253" s="2" t="s">
        <v>39</v>
      </c>
      <c r="J1253" s="2" t="n">
        <v>4</v>
      </c>
      <c r="K1253" s="2" t="s">
        <v>42</v>
      </c>
      <c r="L1253" s="2" t="s">
        <v>32</v>
      </c>
      <c r="M1253" s="2" t="n">
        <v>29090</v>
      </c>
      <c r="N1253" s="2" t="n">
        <v>2</v>
      </c>
      <c r="O1253" s="2" t="n">
        <v>11</v>
      </c>
      <c r="P1253" s="2" t="n">
        <v>0</v>
      </c>
      <c r="Q1253" s="2" t="n">
        <v>10</v>
      </c>
      <c r="R1253" s="2" t="n">
        <v>2</v>
      </c>
      <c r="S1253" s="2" t="n">
        <v>5</v>
      </c>
      <c r="T1253" s="2" t="n">
        <v>1</v>
      </c>
      <c r="U1253" s="2" t="n">
        <v>3</v>
      </c>
      <c r="V1253" s="2" t="n">
        <v>3</v>
      </c>
      <c r="W1253" s="2" t="n">
        <v>1</v>
      </c>
      <c r="X1253" s="2" t="n">
        <v>3</v>
      </c>
      <c r="Y1253" s="2" t="n">
        <v>2</v>
      </c>
      <c r="Z1253" s="2" t="n">
        <v>3</v>
      </c>
    </row>
    <row r="1254" customFormat="false" ht="15" hidden="false" customHeight="true" outlineLevel="0" collapsed="false">
      <c r="A1254" s="2" t="n">
        <v>35</v>
      </c>
      <c r="B1254" s="2" t="s">
        <v>26</v>
      </c>
      <c r="C1254" s="2" t="s">
        <v>27</v>
      </c>
      <c r="D1254" s="2" t="s">
        <v>35</v>
      </c>
      <c r="E1254" s="2" t="n">
        <v>10</v>
      </c>
      <c r="F1254" s="2" t="n">
        <v>1</v>
      </c>
      <c r="G1254" s="2" t="s">
        <v>43</v>
      </c>
      <c r="H1254" s="2" t="n">
        <v>1253</v>
      </c>
      <c r="I1254" s="2" t="s">
        <v>39</v>
      </c>
      <c r="J1254" s="2" t="n">
        <v>1</v>
      </c>
      <c r="K1254" s="2" t="s">
        <v>36</v>
      </c>
      <c r="L1254" s="2" t="s">
        <v>46</v>
      </c>
      <c r="M1254" s="2" t="n">
        <v>57650</v>
      </c>
      <c r="N1254" s="2" t="n">
        <v>1</v>
      </c>
      <c r="O1254" s="2" t="n">
        <v>14</v>
      </c>
      <c r="P1254" s="2" t="n">
        <v>1</v>
      </c>
      <c r="Q1254" s="2" t="n">
        <v>1</v>
      </c>
      <c r="R1254" s="2" t="n">
        <v>2</v>
      </c>
      <c r="S1254" s="2" t="n">
        <v>1</v>
      </c>
      <c r="T1254" s="2" t="n">
        <v>0</v>
      </c>
      <c r="U1254" s="2" t="n">
        <v>0</v>
      </c>
      <c r="V1254" s="2" t="n">
        <v>3</v>
      </c>
      <c r="W1254" s="2" t="n">
        <v>4</v>
      </c>
      <c r="X1254" s="2" t="n">
        <v>3</v>
      </c>
      <c r="Y1254" s="2" t="n">
        <v>3</v>
      </c>
      <c r="Z1254" s="2" t="n">
        <v>3</v>
      </c>
    </row>
    <row r="1255" customFormat="false" ht="15" hidden="false" customHeight="true" outlineLevel="0" collapsed="false">
      <c r="A1255" s="2" t="n">
        <v>27</v>
      </c>
      <c r="B1255" s="2" t="s">
        <v>26</v>
      </c>
      <c r="C1255" s="2" t="s">
        <v>27</v>
      </c>
      <c r="D1255" s="2" t="s">
        <v>28</v>
      </c>
      <c r="E1255" s="2" t="n">
        <v>8</v>
      </c>
      <c r="F1255" s="2" t="n">
        <v>2</v>
      </c>
      <c r="G1255" s="2" t="s">
        <v>50</v>
      </c>
      <c r="H1255" s="2" t="n">
        <v>1254</v>
      </c>
      <c r="I1255" s="2" t="s">
        <v>30</v>
      </c>
      <c r="J1255" s="2" t="n">
        <v>3</v>
      </c>
      <c r="K1255" s="2" t="s">
        <v>36</v>
      </c>
      <c r="L1255" s="2" t="s">
        <v>46</v>
      </c>
      <c r="M1255" s="2" t="n">
        <v>45990</v>
      </c>
      <c r="N1255" s="2" t="n">
        <v>1</v>
      </c>
      <c r="O1255" s="2" t="n">
        <v>15</v>
      </c>
      <c r="P1255" s="2" t="n">
        <v>1</v>
      </c>
      <c r="Q1255" s="2" t="n">
        <v>1</v>
      </c>
      <c r="R1255" s="2" t="n">
        <v>3</v>
      </c>
      <c r="S1255" s="2" t="n">
        <v>1</v>
      </c>
      <c r="T1255" s="2" t="n">
        <v>0</v>
      </c>
      <c r="U1255" s="2" t="n">
        <v>0</v>
      </c>
      <c r="V1255" s="2" t="n">
        <v>4</v>
      </c>
      <c r="W1255" s="2" t="n">
        <v>1</v>
      </c>
      <c r="X1255" s="2" t="n">
        <v>3</v>
      </c>
      <c r="Y1255" s="2" t="n">
        <v>2</v>
      </c>
      <c r="Z1255" s="2" t="n">
        <v>3</v>
      </c>
    </row>
    <row r="1256" customFormat="false" ht="15" hidden="false" customHeight="true" outlineLevel="0" collapsed="false">
      <c r="A1256" s="2" t="n">
        <v>26</v>
      </c>
      <c r="B1256" s="2" t="s">
        <v>33</v>
      </c>
      <c r="C1256" s="2" t="s">
        <v>27</v>
      </c>
      <c r="D1256" s="2" t="s">
        <v>28</v>
      </c>
      <c r="E1256" s="2" t="n">
        <v>4</v>
      </c>
      <c r="F1256" s="2" t="n">
        <v>3</v>
      </c>
      <c r="G1256" s="2" t="s">
        <v>50</v>
      </c>
      <c r="H1256" s="2" t="n">
        <v>1255</v>
      </c>
      <c r="I1256" s="2" t="s">
        <v>39</v>
      </c>
      <c r="J1256" s="2" t="n">
        <v>2</v>
      </c>
      <c r="K1256" s="2" t="s">
        <v>49</v>
      </c>
      <c r="L1256" s="2" t="s">
        <v>37</v>
      </c>
      <c r="M1256" s="2" t="n">
        <v>24040</v>
      </c>
      <c r="N1256" s="2" t="n">
        <v>1</v>
      </c>
      <c r="O1256" s="2" t="n">
        <v>12</v>
      </c>
      <c r="P1256" s="2" t="n">
        <v>0</v>
      </c>
      <c r="Q1256" s="2" t="n">
        <v>1</v>
      </c>
      <c r="R1256" s="2" t="n">
        <v>6</v>
      </c>
      <c r="S1256" s="2" t="n">
        <v>1</v>
      </c>
      <c r="T1256" s="2" t="n">
        <v>0</v>
      </c>
      <c r="U1256" s="2" t="n">
        <v>1</v>
      </c>
      <c r="V1256" s="2" t="n">
        <v>1</v>
      </c>
      <c r="W1256" s="2" t="n">
        <v>3</v>
      </c>
      <c r="X1256" s="2" t="n">
        <v>2</v>
      </c>
      <c r="Y1256" s="2" t="n">
        <v>3</v>
      </c>
      <c r="Z1256" s="2" t="n">
        <v>3</v>
      </c>
    </row>
    <row r="1257" customFormat="false" ht="15" hidden="false" customHeight="true" outlineLevel="0" collapsed="false">
      <c r="A1257" s="2" t="n">
        <v>27</v>
      </c>
      <c r="B1257" s="2" t="s">
        <v>26</v>
      </c>
      <c r="C1257" s="2" t="s">
        <v>34</v>
      </c>
      <c r="D1257" s="2" t="s">
        <v>28</v>
      </c>
      <c r="E1257" s="2" t="n">
        <v>24</v>
      </c>
      <c r="F1257" s="2" t="n">
        <v>3</v>
      </c>
      <c r="G1257" s="2" t="s">
        <v>29</v>
      </c>
      <c r="H1257" s="2" t="n">
        <v>1256</v>
      </c>
      <c r="I1257" s="2" t="s">
        <v>39</v>
      </c>
      <c r="J1257" s="2" t="n">
        <v>4</v>
      </c>
      <c r="K1257" s="2" t="s">
        <v>31</v>
      </c>
      <c r="L1257" s="2" t="s">
        <v>37</v>
      </c>
      <c r="M1257" s="2" t="n">
        <v>31720</v>
      </c>
      <c r="N1257" s="2" t="n">
        <v>1</v>
      </c>
      <c r="O1257" s="2" t="n">
        <v>20</v>
      </c>
      <c r="P1257" s="2" t="n">
        <v>1</v>
      </c>
      <c r="Q1257" s="2" t="n">
        <v>9</v>
      </c>
      <c r="R1257" s="2" t="n">
        <v>1</v>
      </c>
      <c r="S1257" s="2" t="n">
        <v>9</v>
      </c>
      <c r="T1257" s="2" t="n">
        <v>1</v>
      </c>
      <c r="U1257" s="2" t="n">
        <v>7</v>
      </c>
      <c r="V1257" s="2" t="n">
        <v>4</v>
      </c>
      <c r="W1257" s="2" t="n">
        <v>3</v>
      </c>
      <c r="X1257" s="2" t="n">
        <v>3</v>
      </c>
      <c r="Y1257" s="2" t="n">
        <v>3</v>
      </c>
      <c r="Z1257" s="2" t="n">
        <v>4</v>
      </c>
    </row>
    <row r="1258" customFormat="false" ht="15" hidden="false" customHeight="true" outlineLevel="0" collapsed="false">
      <c r="A1258" s="2" t="n">
        <v>30</v>
      </c>
      <c r="B1258" s="2" t="s">
        <v>26</v>
      </c>
      <c r="C1258" s="2" t="s">
        <v>34</v>
      </c>
      <c r="D1258" s="2" t="s">
        <v>35</v>
      </c>
      <c r="E1258" s="2" t="n">
        <v>1</v>
      </c>
      <c r="F1258" s="2" t="n">
        <v>4</v>
      </c>
      <c r="G1258" s="2" t="s">
        <v>43</v>
      </c>
      <c r="H1258" s="2" t="n">
        <v>1257</v>
      </c>
      <c r="I1258" s="2" t="s">
        <v>39</v>
      </c>
      <c r="J1258" s="2" t="n">
        <v>1</v>
      </c>
      <c r="K1258" s="2" t="s">
        <v>36</v>
      </c>
      <c r="L1258" s="2" t="s">
        <v>37</v>
      </c>
      <c r="M1258" s="2" t="n">
        <v>20330</v>
      </c>
      <c r="N1258" s="2" t="n">
        <v>1</v>
      </c>
      <c r="O1258" s="2" t="n">
        <v>14</v>
      </c>
      <c r="P1258" s="2" t="n">
        <v>1</v>
      </c>
      <c r="Q1258" s="2" t="n">
        <v>12</v>
      </c>
      <c r="R1258" s="2" t="n">
        <v>3</v>
      </c>
      <c r="S1258" s="2" t="n">
        <v>12</v>
      </c>
      <c r="T1258" s="2" t="n">
        <v>3</v>
      </c>
      <c r="U1258" s="2" t="n">
        <v>7</v>
      </c>
      <c r="V1258" s="2" t="n">
        <v>3</v>
      </c>
      <c r="W1258" s="2" t="n">
        <v>4</v>
      </c>
      <c r="X1258" s="2" t="n">
        <v>3</v>
      </c>
      <c r="Y1258" s="2" t="n">
        <v>1</v>
      </c>
      <c r="Z1258" s="2" t="n">
        <v>3</v>
      </c>
    </row>
    <row r="1259" customFormat="false" ht="15" hidden="false" customHeight="true" outlineLevel="0" collapsed="false">
      <c r="A1259" s="2" t="n">
        <v>41</v>
      </c>
      <c r="B1259" s="2" t="s">
        <v>33</v>
      </c>
      <c r="C1259" s="2" t="s">
        <v>27</v>
      </c>
      <c r="D1259" s="2" t="s">
        <v>28</v>
      </c>
      <c r="E1259" s="2" t="n">
        <v>20</v>
      </c>
      <c r="F1259" s="2" t="n">
        <v>4</v>
      </c>
      <c r="G1259" s="2" t="s">
        <v>50</v>
      </c>
      <c r="H1259" s="2" t="n">
        <v>1258</v>
      </c>
      <c r="I1259" s="2" t="s">
        <v>39</v>
      </c>
      <c r="J1259" s="2" t="n">
        <v>2</v>
      </c>
      <c r="K1259" s="2" t="s">
        <v>40</v>
      </c>
      <c r="L1259" s="2" t="s">
        <v>32</v>
      </c>
      <c r="M1259" s="2" t="n">
        <v>102090</v>
      </c>
      <c r="N1259" s="2" t="n">
        <v>1</v>
      </c>
      <c r="O1259" s="2" t="n">
        <v>13</v>
      </c>
      <c r="P1259" s="2" t="n">
        <v>1</v>
      </c>
      <c r="Q1259" s="2" t="n">
        <v>23</v>
      </c>
      <c r="R1259" s="2" t="n">
        <v>2</v>
      </c>
      <c r="S1259" s="2" t="n">
        <v>22</v>
      </c>
      <c r="T1259" s="2" t="n">
        <v>15</v>
      </c>
      <c r="U1259" s="2" t="n">
        <v>8</v>
      </c>
      <c r="V1259" s="2" t="n">
        <v>2</v>
      </c>
      <c r="W1259" s="2" t="n">
        <v>3</v>
      </c>
      <c r="X1259" s="2" t="n">
        <v>3</v>
      </c>
      <c r="Y1259" s="2" t="n">
        <v>3</v>
      </c>
      <c r="Z1259" s="2" t="n">
        <v>3</v>
      </c>
    </row>
    <row r="1260" customFormat="false" ht="15" hidden="false" customHeight="true" outlineLevel="0" collapsed="false">
      <c r="A1260" s="2" t="n">
        <v>34</v>
      </c>
      <c r="B1260" s="2" t="s">
        <v>26</v>
      </c>
      <c r="C1260" s="2" t="s">
        <v>41</v>
      </c>
      <c r="D1260" s="2" t="s">
        <v>35</v>
      </c>
      <c r="E1260" s="2" t="n">
        <v>7</v>
      </c>
      <c r="F1260" s="2" t="n">
        <v>2</v>
      </c>
      <c r="G1260" s="2" t="s">
        <v>51</v>
      </c>
      <c r="H1260" s="2" t="n">
        <v>1259</v>
      </c>
      <c r="I1260" s="2" t="s">
        <v>30</v>
      </c>
      <c r="J1260" s="2" t="n">
        <v>1</v>
      </c>
      <c r="K1260" s="2" t="s">
        <v>36</v>
      </c>
      <c r="L1260" s="2" t="s">
        <v>37</v>
      </c>
      <c r="M1260" s="2" t="n">
        <v>86200</v>
      </c>
      <c r="N1260" s="2" t="n">
        <v>0</v>
      </c>
      <c r="O1260" s="2" t="n">
        <v>13</v>
      </c>
      <c r="P1260" s="2" t="n">
        <v>1</v>
      </c>
      <c r="Q1260" s="2" t="n">
        <v>10</v>
      </c>
      <c r="R1260" s="2" t="n">
        <v>2</v>
      </c>
      <c r="S1260" s="2" t="n">
        <v>9</v>
      </c>
      <c r="T1260" s="2" t="n">
        <v>8</v>
      </c>
      <c r="U1260" s="2" t="n">
        <v>7</v>
      </c>
      <c r="V1260" s="2" t="n">
        <v>2</v>
      </c>
      <c r="W1260" s="2" t="n">
        <v>3</v>
      </c>
      <c r="X1260" s="2" t="n">
        <v>3</v>
      </c>
      <c r="Y1260" s="2" t="n">
        <v>2</v>
      </c>
      <c r="Z1260" s="2" t="n">
        <v>3</v>
      </c>
    </row>
    <row r="1261" customFormat="false" ht="15" hidden="false" customHeight="true" outlineLevel="0" collapsed="false">
      <c r="A1261" s="2" t="n">
        <v>37</v>
      </c>
      <c r="B1261" s="2" t="s">
        <v>26</v>
      </c>
      <c r="C1261" s="2" t="s">
        <v>27</v>
      </c>
      <c r="D1261" s="2" t="s">
        <v>35</v>
      </c>
      <c r="E1261" s="2" t="n">
        <v>17</v>
      </c>
      <c r="F1261" s="2" t="n">
        <v>3</v>
      </c>
      <c r="G1261" s="2" t="s">
        <v>29</v>
      </c>
      <c r="H1261" s="2" t="n">
        <v>1260</v>
      </c>
      <c r="I1261" s="2" t="s">
        <v>30</v>
      </c>
      <c r="J1261" s="2" t="n">
        <v>3</v>
      </c>
      <c r="K1261" s="2" t="s">
        <v>40</v>
      </c>
      <c r="L1261" s="2" t="s">
        <v>32</v>
      </c>
      <c r="M1261" s="2" t="n">
        <v>20640</v>
      </c>
      <c r="N1261" s="2" t="n">
        <v>4</v>
      </c>
      <c r="O1261" s="2" t="n">
        <v>16</v>
      </c>
      <c r="P1261" s="2" t="n">
        <v>0</v>
      </c>
      <c r="Q1261" s="2" t="n">
        <v>8</v>
      </c>
      <c r="R1261" s="2" t="n">
        <v>3</v>
      </c>
      <c r="S1261" s="2" t="n">
        <v>1</v>
      </c>
      <c r="T1261" s="2" t="n">
        <v>0</v>
      </c>
      <c r="U1261" s="2" t="n">
        <v>0</v>
      </c>
      <c r="V1261" s="2" t="n">
        <v>2</v>
      </c>
      <c r="W1261" s="2" t="n">
        <v>2</v>
      </c>
      <c r="X1261" s="2" t="n">
        <v>3</v>
      </c>
      <c r="Y1261" s="2" t="n">
        <v>2</v>
      </c>
      <c r="Z1261" s="2" t="n">
        <v>3</v>
      </c>
    </row>
    <row r="1262" customFormat="false" ht="15" hidden="false" customHeight="true" outlineLevel="0" collapsed="false">
      <c r="A1262" s="2" t="n">
        <v>46</v>
      </c>
      <c r="B1262" s="2" t="s">
        <v>26</v>
      </c>
      <c r="C1262" s="2" t="s">
        <v>34</v>
      </c>
      <c r="D1262" s="2" t="s">
        <v>35</v>
      </c>
      <c r="E1262" s="2" t="n">
        <v>20</v>
      </c>
      <c r="F1262" s="2" t="n">
        <v>3</v>
      </c>
      <c r="G1262" s="2" t="s">
        <v>51</v>
      </c>
      <c r="H1262" s="2" t="n">
        <v>1261</v>
      </c>
      <c r="I1262" s="2" t="s">
        <v>39</v>
      </c>
      <c r="J1262" s="2" t="n">
        <v>3</v>
      </c>
      <c r="K1262" s="2" t="s">
        <v>40</v>
      </c>
      <c r="L1262" s="2" t="s">
        <v>37</v>
      </c>
      <c r="M1262" s="2" t="n">
        <v>40350</v>
      </c>
      <c r="N1262" s="2" t="n">
        <v>4</v>
      </c>
      <c r="O1262" s="2" t="n">
        <v>14</v>
      </c>
      <c r="P1262" s="2" t="n">
        <v>1</v>
      </c>
      <c r="Q1262" s="2" t="n">
        <v>14</v>
      </c>
      <c r="R1262" s="2" t="n">
        <v>2</v>
      </c>
      <c r="S1262" s="2" t="n">
        <v>9</v>
      </c>
      <c r="T1262" s="2" t="n">
        <v>0</v>
      </c>
      <c r="U1262" s="2" t="n">
        <v>8</v>
      </c>
      <c r="V1262" s="2" t="n">
        <v>1</v>
      </c>
      <c r="W1262" s="2" t="n">
        <v>4</v>
      </c>
      <c r="X1262" s="2"/>
      <c r="Y1262" s="2" t="n">
        <v>3</v>
      </c>
      <c r="Z1262" s="2" t="n">
        <v>3</v>
      </c>
    </row>
    <row r="1263" customFormat="false" ht="15" hidden="false" customHeight="true" outlineLevel="0" collapsed="false">
      <c r="A1263" s="2" t="n">
        <v>35</v>
      </c>
      <c r="B1263" s="2" t="s">
        <v>26</v>
      </c>
      <c r="C1263" s="2" t="s">
        <v>27</v>
      </c>
      <c r="D1263" s="2" t="s">
        <v>35</v>
      </c>
      <c r="E1263" s="2" t="n">
        <v>8</v>
      </c>
      <c r="F1263" s="2" t="n">
        <v>4</v>
      </c>
      <c r="G1263" s="2" t="s">
        <v>43</v>
      </c>
      <c r="H1263" s="2" t="n">
        <v>1262</v>
      </c>
      <c r="I1263" s="2" t="s">
        <v>30</v>
      </c>
      <c r="J1263" s="2" t="n">
        <v>3</v>
      </c>
      <c r="K1263" s="2" t="s">
        <v>36</v>
      </c>
      <c r="L1263" s="2" t="s">
        <v>32</v>
      </c>
      <c r="M1263" s="2" t="n">
        <v>38380</v>
      </c>
      <c r="N1263" s="2" t="n">
        <v>1</v>
      </c>
      <c r="O1263" s="2" t="n">
        <v>16</v>
      </c>
      <c r="P1263" s="2" t="n">
        <v>1</v>
      </c>
      <c r="Q1263" s="2" t="n">
        <v>1</v>
      </c>
      <c r="R1263" s="2" t="n">
        <v>2</v>
      </c>
      <c r="S1263" s="2" t="n">
        <v>1</v>
      </c>
      <c r="T1263" s="2" t="n">
        <v>0</v>
      </c>
      <c r="U1263" s="2" t="n">
        <v>1</v>
      </c>
      <c r="V1263" s="2" t="n">
        <v>4</v>
      </c>
      <c r="W1263" s="2" t="n">
        <v>4</v>
      </c>
      <c r="X1263" s="2" t="n">
        <v>3</v>
      </c>
      <c r="Y1263" s="2" t="n">
        <v>3</v>
      </c>
      <c r="Z1263" s="2" t="n">
        <v>3</v>
      </c>
    </row>
    <row r="1264" customFormat="false" ht="15" hidden="false" customHeight="true" outlineLevel="0" collapsed="false">
      <c r="A1264" s="2" t="n">
        <v>48</v>
      </c>
      <c r="B1264" s="2" t="s">
        <v>33</v>
      </c>
      <c r="C1264" s="2" t="s">
        <v>27</v>
      </c>
      <c r="D1264" s="2" t="s">
        <v>35</v>
      </c>
      <c r="E1264" s="2" t="n">
        <v>2</v>
      </c>
      <c r="F1264" s="2" t="n">
        <v>4</v>
      </c>
      <c r="G1264" s="2" t="s">
        <v>51</v>
      </c>
      <c r="H1264" s="2" t="n">
        <v>1263</v>
      </c>
      <c r="I1264" s="2" t="s">
        <v>30</v>
      </c>
      <c r="J1264" s="2" t="n">
        <v>1</v>
      </c>
      <c r="K1264" s="2" t="s">
        <v>40</v>
      </c>
      <c r="L1264" s="2" t="s">
        <v>37</v>
      </c>
      <c r="M1264" s="2" t="n">
        <v>45910</v>
      </c>
      <c r="N1264" s="2" t="n">
        <v>9</v>
      </c>
      <c r="O1264" s="2" t="n">
        <v>16</v>
      </c>
      <c r="P1264" s="2" t="n">
        <v>0</v>
      </c>
      <c r="Q1264" s="2" t="n">
        <v>23</v>
      </c>
      <c r="R1264" s="2" t="n">
        <v>6</v>
      </c>
      <c r="S1264" s="2" t="n">
        <v>1</v>
      </c>
      <c r="T1264" s="2" t="n">
        <v>0</v>
      </c>
      <c r="U1264" s="2" t="n">
        <v>0</v>
      </c>
      <c r="V1264" s="2" t="n">
        <v>1</v>
      </c>
      <c r="W1264" s="2" t="n">
        <v>3</v>
      </c>
      <c r="X1264" s="2" t="n">
        <v>3</v>
      </c>
      <c r="Y1264" s="2" t="n">
        <v>1</v>
      </c>
      <c r="Z1264" s="2" t="n">
        <v>3</v>
      </c>
    </row>
    <row r="1265" customFormat="false" ht="15" hidden="false" customHeight="true" outlineLevel="0" collapsed="false">
      <c r="A1265" s="2" t="n">
        <v>28</v>
      </c>
      <c r="B1265" s="2" t="s">
        <v>33</v>
      </c>
      <c r="C1265" s="2" t="s">
        <v>27</v>
      </c>
      <c r="D1265" s="2" t="s">
        <v>35</v>
      </c>
      <c r="E1265" s="2" t="n">
        <v>10</v>
      </c>
      <c r="F1265" s="2" t="n">
        <v>1</v>
      </c>
      <c r="G1265" s="2" t="s">
        <v>43</v>
      </c>
      <c r="H1265" s="2" t="n">
        <v>1264</v>
      </c>
      <c r="I1265" s="2" t="s">
        <v>39</v>
      </c>
      <c r="J1265" s="2" t="n">
        <v>1</v>
      </c>
      <c r="K1265" s="2" t="s">
        <v>40</v>
      </c>
      <c r="L1265" s="2" t="s">
        <v>37</v>
      </c>
      <c r="M1265" s="2" t="n">
        <v>25610</v>
      </c>
      <c r="N1265" s="2" t="n">
        <v>1</v>
      </c>
      <c r="O1265" s="2" t="n">
        <v>22</v>
      </c>
      <c r="P1265" s="2" t="n">
        <v>1</v>
      </c>
      <c r="Q1265" s="2" t="n">
        <v>2</v>
      </c>
      <c r="R1265" s="2" t="n">
        <v>3</v>
      </c>
      <c r="S1265" s="2" t="n">
        <v>2</v>
      </c>
      <c r="T1265" s="2" t="n">
        <v>2</v>
      </c>
      <c r="U1265" s="2" t="n">
        <v>2</v>
      </c>
      <c r="V1265" s="2" t="n">
        <v>3</v>
      </c>
      <c r="W1265" s="2" t="n">
        <v>3</v>
      </c>
      <c r="X1265" s="2" t="n">
        <v>2</v>
      </c>
      <c r="Y1265" s="2" t="n">
        <v>3</v>
      </c>
      <c r="Z1265" s="2" t="n">
        <v>4</v>
      </c>
    </row>
    <row r="1266" customFormat="false" ht="15" hidden="false" customHeight="true" outlineLevel="0" collapsed="false">
      <c r="A1266" s="2" t="n">
        <v>44</v>
      </c>
      <c r="B1266" s="2" t="s">
        <v>26</v>
      </c>
      <c r="C1266" s="2" t="s">
        <v>27</v>
      </c>
      <c r="D1266" s="2" t="s">
        <v>35</v>
      </c>
      <c r="E1266" s="2" t="n">
        <v>1</v>
      </c>
      <c r="F1266" s="2" t="n">
        <v>1</v>
      </c>
      <c r="G1266" s="2" t="s">
        <v>43</v>
      </c>
      <c r="H1266" s="2" t="n">
        <v>1265</v>
      </c>
      <c r="I1266" s="2" t="s">
        <v>30</v>
      </c>
      <c r="J1266" s="2" t="n">
        <v>3</v>
      </c>
      <c r="K1266" s="2" t="s">
        <v>36</v>
      </c>
      <c r="L1266" s="2" t="s">
        <v>46</v>
      </c>
      <c r="M1266" s="2" t="n">
        <v>15630</v>
      </c>
      <c r="N1266" s="2" t="n">
        <v>5</v>
      </c>
      <c r="O1266" s="2" t="n">
        <v>12</v>
      </c>
      <c r="P1266" s="2" t="n">
        <v>2</v>
      </c>
      <c r="Q1266" s="2" t="n">
        <v>9</v>
      </c>
      <c r="R1266" s="2" t="n">
        <v>3</v>
      </c>
      <c r="S1266" s="2" t="n">
        <v>4</v>
      </c>
      <c r="T1266" s="2" t="n">
        <v>1</v>
      </c>
      <c r="U1266" s="2" t="n">
        <v>3</v>
      </c>
      <c r="V1266" s="2" t="n">
        <v>2</v>
      </c>
      <c r="W1266" s="2" t="n">
        <v>1</v>
      </c>
      <c r="X1266" s="2" t="n">
        <v>2</v>
      </c>
      <c r="Y1266" s="2" t="n">
        <v>3</v>
      </c>
      <c r="Z1266" s="2" t="n">
        <v>3</v>
      </c>
    </row>
    <row r="1267" customFormat="false" ht="15" hidden="false" customHeight="true" outlineLevel="0" collapsed="false">
      <c r="A1267" s="2" t="n">
        <v>35</v>
      </c>
      <c r="B1267" s="2" t="s">
        <v>26</v>
      </c>
      <c r="C1267" s="2" t="s">
        <v>41</v>
      </c>
      <c r="D1267" s="2" t="s">
        <v>35</v>
      </c>
      <c r="E1267" s="2" t="n">
        <v>5</v>
      </c>
      <c r="F1267" s="2" t="n">
        <v>4</v>
      </c>
      <c r="G1267" s="2" t="s">
        <v>51</v>
      </c>
      <c r="H1267" s="2" t="n">
        <v>1266</v>
      </c>
      <c r="I1267" s="2" t="s">
        <v>30</v>
      </c>
      <c r="J1267" s="2" t="n">
        <v>3</v>
      </c>
      <c r="K1267" s="2" t="s">
        <v>47</v>
      </c>
      <c r="L1267" s="2" t="s">
        <v>32</v>
      </c>
      <c r="M1267" s="2" t="n">
        <v>48980</v>
      </c>
      <c r="N1267" s="2" t="n">
        <v>2</v>
      </c>
      <c r="O1267" s="2" t="n">
        <v>15</v>
      </c>
      <c r="P1267" s="2" t="n">
        <v>2</v>
      </c>
      <c r="Q1267" s="2" t="n">
        <v>10</v>
      </c>
      <c r="R1267" s="2" t="n">
        <v>2</v>
      </c>
      <c r="S1267" s="2" t="n">
        <v>4</v>
      </c>
      <c r="T1267" s="2" t="n">
        <v>2</v>
      </c>
      <c r="U1267" s="2" t="n">
        <v>3</v>
      </c>
      <c r="V1267" s="2" t="n">
        <v>3</v>
      </c>
      <c r="W1267" s="2" t="n">
        <v>1</v>
      </c>
      <c r="X1267" s="2" t="n">
        <v>3</v>
      </c>
      <c r="Y1267" s="2" t="n">
        <v>3</v>
      </c>
      <c r="Z1267" s="2" t="n">
        <v>3</v>
      </c>
    </row>
    <row r="1268" customFormat="false" ht="15" hidden="false" customHeight="true" outlineLevel="0" collapsed="false">
      <c r="A1268" s="2" t="n">
        <v>26</v>
      </c>
      <c r="B1268" s="2" t="s">
        <v>26</v>
      </c>
      <c r="C1268" s="2" t="s">
        <v>27</v>
      </c>
      <c r="D1268" s="2" t="s">
        <v>35</v>
      </c>
      <c r="E1268" s="2" t="n">
        <v>4</v>
      </c>
      <c r="F1268" s="2" t="n">
        <v>4</v>
      </c>
      <c r="G1268" s="2" t="s">
        <v>29</v>
      </c>
      <c r="H1268" s="2" t="n">
        <v>1267</v>
      </c>
      <c r="I1268" s="2" t="s">
        <v>30</v>
      </c>
      <c r="J1268" s="2" t="n">
        <v>3</v>
      </c>
      <c r="K1268" s="2" t="s">
        <v>40</v>
      </c>
      <c r="L1268" s="2" t="s">
        <v>32</v>
      </c>
      <c r="M1268" s="2" t="n">
        <v>47890</v>
      </c>
      <c r="N1268" s="2" t="n">
        <v>7</v>
      </c>
      <c r="O1268" s="2" t="n">
        <v>20</v>
      </c>
      <c r="P1268" s="2" t="n">
        <v>1</v>
      </c>
      <c r="Q1268" s="2" t="n">
        <v>5</v>
      </c>
      <c r="R1268" s="2" t="n">
        <v>2</v>
      </c>
      <c r="S1268" s="2" t="n">
        <v>2</v>
      </c>
      <c r="T1268" s="2" t="n">
        <v>0</v>
      </c>
      <c r="U1268" s="2" t="n">
        <v>0</v>
      </c>
      <c r="V1268" s="2" t="n">
        <v>3</v>
      </c>
      <c r="W1268" s="2" t="n">
        <v>4</v>
      </c>
      <c r="X1268" s="2" t="n">
        <v>2</v>
      </c>
      <c r="Y1268" s="2" t="n">
        <v>3</v>
      </c>
      <c r="Z1268" s="2" t="n">
        <v>4</v>
      </c>
    </row>
    <row r="1269" customFormat="false" ht="15" hidden="false" customHeight="true" outlineLevel="0" collapsed="false">
      <c r="A1269" s="2" t="n">
        <v>33</v>
      </c>
      <c r="B1269" s="2" t="s">
        <v>26</v>
      </c>
      <c r="C1269" s="2" t="s">
        <v>34</v>
      </c>
      <c r="D1269" s="2" t="s">
        <v>28</v>
      </c>
      <c r="E1269" s="2" t="n">
        <v>29</v>
      </c>
      <c r="F1269" s="2" t="n">
        <v>4</v>
      </c>
      <c r="G1269" s="2" t="s">
        <v>29</v>
      </c>
      <c r="H1269" s="2" t="n">
        <v>1268</v>
      </c>
      <c r="I1269" s="2" t="s">
        <v>30</v>
      </c>
      <c r="J1269" s="2" t="n">
        <v>1</v>
      </c>
      <c r="K1269" s="2" t="s">
        <v>42</v>
      </c>
      <c r="L1269" s="2" t="s">
        <v>37</v>
      </c>
      <c r="M1269" s="2" t="n">
        <v>31800</v>
      </c>
      <c r="N1269" s="2" t="n">
        <v>1</v>
      </c>
      <c r="O1269" s="2" t="n">
        <v>14</v>
      </c>
      <c r="P1269" s="2" t="n">
        <v>1</v>
      </c>
      <c r="Q1269" s="2" t="n">
        <v>15</v>
      </c>
      <c r="R1269" s="2" t="n">
        <v>2</v>
      </c>
      <c r="S1269" s="2" t="n">
        <v>15</v>
      </c>
      <c r="T1269" s="2" t="n">
        <v>8</v>
      </c>
      <c r="U1269" s="2" t="n">
        <v>12</v>
      </c>
      <c r="V1269" s="2" t="n">
        <v>1</v>
      </c>
      <c r="W1269" s="2" t="n">
        <v>4</v>
      </c>
      <c r="X1269" s="2" t="n">
        <v>3</v>
      </c>
      <c r="Y1269" s="2" t="n">
        <v>3</v>
      </c>
      <c r="Z1269" s="2" t="n">
        <v>3</v>
      </c>
    </row>
    <row r="1270" customFormat="false" ht="15" hidden="false" customHeight="true" outlineLevel="0" collapsed="false">
      <c r="A1270" s="2" t="n">
        <v>35</v>
      </c>
      <c r="B1270" s="2" t="s">
        <v>26</v>
      </c>
      <c r="C1270" s="2" t="s">
        <v>34</v>
      </c>
      <c r="D1270" s="2" t="s">
        <v>35</v>
      </c>
      <c r="E1270" s="2" t="n">
        <v>15</v>
      </c>
      <c r="F1270" s="2" t="n">
        <v>3</v>
      </c>
      <c r="G1270" s="2" t="s">
        <v>43</v>
      </c>
      <c r="H1270" s="2" t="n">
        <v>1269</v>
      </c>
      <c r="I1270" s="2" t="s">
        <v>39</v>
      </c>
      <c r="J1270" s="2" t="n">
        <v>3</v>
      </c>
      <c r="K1270" s="2" t="s">
        <v>47</v>
      </c>
      <c r="L1270" s="2" t="s">
        <v>32</v>
      </c>
      <c r="M1270" s="2" t="n">
        <v>65490</v>
      </c>
      <c r="N1270" s="2" t="n">
        <v>1</v>
      </c>
      <c r="O1270" s="2" t="n">
        <v>20</v>
      </c>
      <c r="P1270" s="2" t="n">
        <v>0</v>
      </c>
      <c r="Q1270" s="2" t="n">
        <v>9</v>
      </c>
      <c r="R1270" s="2" t="n">
        <v>3</v>
      </c>
      <c r="S1270" s="2" t="n">
        <v>9</v>
      </c>
      <c r="T1270" s="2" t="n">
        <v>1</v>
      </c>
      <c r="U1270" s="2" t="n">
        <v>8</v>
      </c>
      <c r="V1270" s="2" t="n">
        <v>2</v>
      </c>
      <c r="W1270" s="2" t="n">
        <v>1</v>
      </c>
      <c r="X1270" s="2" t="n">
        <v>2</v>
      </c>
      <c r="Y1270" s="2" t="n">
        <v>3</v>
      </c>
      <c r="Z1270" s="2" t="n">
        <v>4</v>
      </c>
    </row>
    <row r="1271" customFormat="false" ht="15" hidden="false" customHeight="true" outlineLevel="0" collapsed="false">
      <c r="A1271" s="2" t="n">
        <v>35</v>
      </c>
      <c r="B1271" s="2" t="s">
        <v>26</v>
      </c>
      <c r="C1271" s="2" t="s">
        <v>27</v>
      </c>
      <c r="D1271" s="2" t="s">
        <v>42</v>
      </c>
      <c r="E1271" s="2" t="n">
        <v>3</v>
      </c>
      <c r="F1271" s="2" t="n">
        <v>2</v>
      </c>
      <c r="G1271" s="2" t="s">
        <v>29</v>
      </c>
      <c r="H1271" s="2" t="n">
        <v>1270</v>
      </c>
      <c r="I1271" s="2" t="s">
        <v>30</v>
      </c>
      <c r="J1271" s="2" t="n">
        <v>1</v>
      </c>
      <c r="K1271" s="2" t="s">
        <v>45</v>
      </c>
      <c r="L1271" s="2" t="s">
        <v>32</v>
      </c>
      <c r="M1271" s="2" t="n">
        <v>63880</v>
      </c>
      <c r="N1271" s="2" t="n">
        <v>3</v>
      </c>
      <c r="O1271" s="2" t="n">
        <v>13</v>
      </c>
      <c r="P1271" s="2" t="n">
        <v>0</v>
      </c>
      <c r="Q1271" s="2" t="n">
        <v>4</v>
      </c>
      <c r="R1271" s="2" t="n">
        <v>6</v>
      </c>
      <c r="S1271" s="2" t="n">
        <v>2</v>
      </c>
      <c r="T1271" s="2" t="n">
        <v>2</v>
      </c>
      <c r="U1271" s="2" t="n">
        <v>2</v>
      </c>
      <c r="V1271" s="2" t="n">
        <v>3</v>
      </c>
      <c r="W1271" s="2" t="n">
        <v>1</v>
      </c>
      <c r="X1271" s="2" t="n">
        <v>3</v>
      </c>
      <c r="Y1271" s="2" t="n">
        <v>2</v>
      </c>
      <c r="Z1271" s="2" t="n">
        <v>3</v>
      </c>
    </row>
    <row r="1272" customFormat="false" ht="15" hidden="false" customHeight="true" outlineLevel="0" collapsed="false">
      <c r="A1272" s="2" t="n">
        <v>31</v>
      </c>
      <c r="B1272" s="2" t="s">
        <v>26</v>
      </c>
      <c r="C1272" s="2" t="s">
        <v>27</v>
      </c>
      <c r="D1272" s="2" t="s">
        <v>28</v>
      </c>
      <c r="E1272" s="2" t="n">
        <v>10</v>
      </c>
      <c r="F1272" s="2" t="n">
        <v>2</v>
      </c>
      <c r="G1272" s="2" t="s">
        <v>29</v>
      </c>
      <c r="H1272" s="2" t="n">
        <v>1271</v>
      </c>
      <c r="I1272" s="2" t="s">
        <v>30</v>
      </c>
      <c r="J1272" s="2" t="n">
        <v>2</v>
      </c>
      <c r="K1272" s="2" t="s">
        <v>36</v>
      </c>
      <c r="L1272" s="2" t="s">
        <v>46</v>
      </c>
      <c r="M1272" s="2" t="n">
        <v>112440</v>
      </c>
      <c r="N1272" s="2" t="n">
        <v>3</v>
      </c>
      <c r="O1272" s="2" t="n">
        <v>12</v>
      </c>
      <c r="P1272" s="2" t="n">
        <v>1</v>
      </c>
      <c r="Q1272" s="2" t="n">
        <v>10</v>
      </c>
      <c r="R1272" s="2" t="n">
        <v>3</v>
      </c>
      <c r="S1272" s="2" t="n">
        <v>7</v>
      </c>
      <c r="T1272" s="2" t="n">
        <v>1</v>
      </c>
      <c r="U1272" s="2" t="n">
        <v>7</v>
      </c>
      <c r="V1272" s="2" t="n">
        <v>4</v>
      </c>
      <c r="W1272" s="2" t="n">
        <v>4</v>
      </c>
      <c r="X1272" s="2" t="n">
        <v>2</v>
      </c>
      <c r="Y1272" s="2" t="n">
        <v>3</v>
      </c>
      <c r="Z1272" s="2" t="n">
        <v>3</v>
      </c>
    </row>
    <row r="1273" customFormat="false" ht="15" hidden="false" customHeight="true" outlineLevel="0" collapsed="false">
      <c r="A1273" s="2" t="n">
        <v>37</v>
      </c>
      <c r="B1273" s="2" t="s">
        <v>26</v>
      </c>
      <c r="C1273" s="2" t="s">
        <v>27</v>
      </c>
      <c r="D1273" s="2" t="s">
        <v>28</v>
      </c>
      <c r="E1273" s="2" t="n">
        <v>4</v>
      </c>
      <c r="F1273" s="2" t="n">
        <v>3</v>
      </c>
      <c r="G1273" s="2" t="s">
        <v>50</v>
      </c>
      <c r="H1273" s="2" t="n">
        <v>1272</v>
      </c>
      <c r="I1273" s="2" t="s">
        <v>39</v>
      </c>
      <c r="J1273" s="2" t="n">
        <v>4</v>
      </c>
      <c r="K1273" s="2" t="s">
        <v>42</v>
      </c>
      <c r="L1273" s="2" t="s">
        <v>46</v>
      </c>
      <c r="M1273" s="2" t="n">
        <v>160320</v>
      </c>
      <c r="N1273" s="2" t="n">
        <v>1</v>
      </c>
      <c r="O1273" s="2" t="n">
        <v>13</v>
      </c>
      <c r="P1273" s="2" t="n">
        <v>0</v>
      </c>
      <c r="Q1273" s="2" t="n">
        <v>7</v>
      </c>
      <c r="R1273" s="2" t="n">
        <v>2</v>
      </c>
      <c r="S1273" s="2" t="n">
        <v>7</v>
      </c>
      <c r="T1273" s="2" t="n">
        <v>0</v>
      </c>
      <c r="U1273" s="2" t="n">
        <v>7</v>
      </c>
      <c r="V1273" s="2" t="n">
        <v>1</v>
      </c>
      <c r="W1273" s="2" t="n">
        <v>3</v>
      </c>
      <c r="X1273" s="2" t="n">
        <v>4</v>
      </c>
      <c r="Y1273" s="2" t="n">
        <v>3</v>
      </c>
      <c r="Z1273" s="2" t="n">
        <v>3</v>
      </c>
    </row>
    <row r="1274" customFormat="false" ht="15" hidden="false" customHeight="true" outlineLevel="0" collapsed="false">
      <c r="A1274" s="2" t="n">
        <v>32</v>
      </c>
      <c r="B1274" s="2" t="s">
        <v>26</v>
      </c>
      <c r="C1274" s="2" t="s">
        <v>27</v>
      </c>
      <c r="D1274" s="2" t="s">
        <v>35</v>
      </c>
      <c r="E1274" s="2" t="n">
        <v>21</v>
      </c>
      <c r="F1274" s="2" t="n">
        <v>3</v>
      </c>
      <c r="G1274" s="2" t="s">
        <v>38</v>
      </c>
      <c r="H1274" s="2" t="n">
        <v>1273</v>
      </c>
      <c r="I1274" s="2" t="s">
        <v>39</v>
      </c>
      <c r="J1274" s="2" t="n">
        <v>2</v>
      </c>
      <c r="K1274" s="2" t="s">
        <v>40</v>
      </c>
      <c r="L1274" s="2" t="s">
        <v>32</v>
      </c>
      <c r="M1274" s="2" t="n">
        <v>23620</v>
      </c>
      <c r="N1274" s="2" t="n">
        <v>1</v>
      </c>
      <c r="O1274" s="2" t="n">
        <v>11</v>
      </c>
      <c r="P1274" s="2" t="n">
        <v>0</v>
      </c>
      <c r="Q1274" s="2" t="n">
        <v>9</v>
      </c>
      <c r="R1274" s="2" t="n">
        <v>2</v>
      </c>
      <c r="S1274" s="2" t="n">
        <v>9</v>
      </c>
      <c r="T1274" s="2" t="n">
        <v>7</v>
      </c>
      <c r="U1274" s="2" t="n">
        <v>8</v>
      </c>
      <c r="V1274" s="2" t="n">
        <v>1</v>
      </c>
      <c r="W1274" s="2" t="n">
        <v>4</v>
      </c>
      <c r="X1274" s="2" t="n">
        <v>3</v>
      </c>
      <c r="Y1274" s="2" t="n">
        <v>3</v>
      </c>
      <c r="Z1274" s="2" t="n">
        <v>3</v>
      </c>
    </row>
    <row r="1275" customFormat="false" ht="15" hidden="false" customHeight="true" outlineLevel="0" collapsed="false">
      <c r="A1275" s="2" t="n">
        <v>38</v>
      </c>
      <c r="B1275" s="2" t="s">
        <v>26</v>
      </c>
      <c r="C1275" s="2" t="s">
        <v>34</v>
      </c>
      <c r="D1275" s="2" t="s">
        <v>35</v>
      </c>
      <c r="E1275" s="2" t="n">
        <v>25</v>
      </c>
      <c r="F1275" s="2" t="n">
        <v>3</v>
      </c>
      <c r="G1275" s="2" t="s">
        <v>43</v>
      </c>
      <c r="H1275" s="2" t="n">
        <v>1274</v>
      </c>
      <c r="I1275" s="2" t="s">
        <v>39</v>
      </c>
      <c r="J1275" s="2" t="n">
        <v>2</v>
      </c>
      <c r="K1275" s="2" t="s">
        <v>47</v>
      </c>
      <c r="L1275" s="2" t="s">
        <v>37</v>
      </c>
      <c r="M1275" s="2" t="n">
        <v>163280</v>
      </c>
      <c r="N1275" s="2" t="n">
        <v>1</v>
      </c>
      <c r="O1275" s="2" t="n">
        <v>17</v>
      </c>
      <c r="P1275" s="2" t="n">
        <v>3</v>
      </c>
      <c r="Q1275" s="2" t="n">
        <v>10</v>
      </c>
      <c r="R1275" s="2" t="n">
        <v>2</v>
      </c>
      <c r="S1275" s="2" t="n">
        <v>10</v>
      </c>
      <c r="T1275" s="2" t="n">
        <v>9</v>
      </c>
      <c r="U1275" s="2" t="n">
        <v>9</v>
      </c>
      <c r="V1275" s="2" t="n">
        <v>4</v>
      </c>
      <c r="W1275" s="2" t="n">
        <v>4</v>
      </c>
      <c r="X1275" s="2" t="n">
        <v>3</v>
      </c>
      <c r="Y1275" s="2" t="n">
        <v>3</v>
      </c>
      <c r="Z1275" s="2" t="n">
        <v>3</v>
      </c>
    </row>
    <row r="1276" customFormat="false" ht="15" hidden="false" customHeight="true" outlineLevel="0" collapsed="false">
      <c r="A1276" s="2" t="n">
        <v>50</v>
      </c>
      <c r="B1276" s="2" t="s">
        <v>26</v>
      </c>
      <c r="C1276" s="2" t="s">
        <v>27</v>
      </c>
      <c r="D1276" s="2" t="s">
        <v>28</v>
      </c>
      <c r="E1276" s="2" t="n">
        <v>2</v>
      </c>
      <c r="F1276" s="2" t="n">
        <v>4</v>
      </c>
      <c r="G1276" s="2" t="s">
        <v>50</v>
      </c>
      <c r="H1276" s="2" t="n">
        <v>1275</v>
      </c>
      <c r="I1276" s="2" t="s">
        <v>30</v>
      </c>
      <c r="J1276" s="2" t="n">
        <v>4</v>
      </c>
      <c r="K1276" s="2" t="s">
        <v>36</v>
      </c>
      <c r="L1276" s="2" t="s">
        <v>46</v>
      </c>
      <c r="M1276" s="2" t="n">
        <v>83760</v>
      </c>
      <c r="N1276" s="2" t="n">
        <v>5</v>
      </c>
      <c r="O1276" s="2" t="n">
        <v>14</v>
      </c>
      <c r="P1276" s="2" t="n">
        <v>3</v>
      </c>
      <c r="Q1276" s="2" t="n">
        <v>29</v>
      </c>
      <c r="R1276" s="2" t="n">
        <v>2</v>
      </c>
      <c r="S1276" s="2" t="n">
        <v>27</v>
      </c>
      <c r="T1276" s="2" t="n">
        <v>13</v>
      </c>
      <c r="U1276" s="2" t="n">
        <v>8</v>
      </c>
      <c r="V1276" s="2" t="n">
        <v>2</v>
      </c>
      <c r="W1276" s="2" t="n">
        <v>3</v>
      </c>
      <c r="X1276" s="2" t="n">
        <v>2</v>
      </c>
      <c r="Y1276" s="2" t="n">
        <v>3</v>
      </c>
      <c r="Z1276" s="2" t="n">
        <v>3</v>
      </c>
    </row>
    <row r="1277" customFormat="false" ht="15" hidden="false" customHeight="true" outlineLevel="0" collapsed="false">
      <c r="A1277" s="2" t="n">
        <v>59</v>
      </c>
      <c r="B1277" s="2" t="s">
        <v>26</v>
      </c>
      <c r="C1277" s="2" t="s">
        <v>27</v>
      </c>
      <c r="D1277" s="2" t="s">
        <v>35</v>
      </c>
      <c r="E1277" s="2" t="n">
        <v>1</v>
      </c>
      <c r="F1277" s="2" t="n">
        <v>3</v>
      </c>
      <c r="G1277" s="2" t="s">
        <v>51</v>
      </c>
      <c r="H1277" s="2" t="n">
        <v>1276</v>
      </c>
      <c r="I1277" s="2" t="s">
        <v>39</v>
      </c>
      <c r="J1277" s="2" t="n">
        <v>1</v>
      </c>
      <c r="K1277" s="2" t="s">
        <v>45</v>
      </c>
      <c r="L1277" s="2" t="s">
        <v>37</v>
      </c>
      <c r="M1277" s="2" t="n">
        <v>166060</v>
      </c>
      <c r="N1277" s="2" t="n">
        <v>7</v>
      </c>
      <c r="O1277" s="2" t="n">
        <v>11</v>
      </c>
      <c r="P1277" s="2" t="n">
        <v>0</v>
      </c>
      <c r="Q1277" s="2" t="n">
        <v>28</v>
      </c>
      <c r="R1277" s="2" t="n">
        <v>6</v>
      </c>
      <c r="S1277" s="2" t="n">
        <v>21</v>
      </c>
      <c r="T1277" s="2" t="n">
        <v>7</v>
      </c>
      <c r="U1277" s="2" t="n">
        <v>9</v>
      </c>
      <c r="V1277" s="2" t="n">
        <v>1</v>
      </c>
      <c r="W1277" s="2" t="n">
        <v>1</v>
      </c>
      <c r="X1277" s="2" t="n">
        <v>2</v>
      </c>
      <c r="Y1277" s="2" t="n">
        <v>3</v>
      </c>
      <c r="Z1277" s="2" t="n">
        <v>3</v>
      </c>
    </row>
    <row r="1278" customFormat="false" ht="15" hidden="false" customHeight="true" outlineLevel="0" collapsed="false">
      <c r="A1278" s="2" t="n">
        <v>36</v>
      </c>
      <c r="B1278" s="2" t="s">
        <v>26</v>
      </c>
      <c r="C1278" s="2" t="s">
        <v>27</v>
      </c>
      <c r="D1278" s="2" t="s">
        <v>28</v>
      </c>
      <c r="E1278" s="2" t="n">
        <v>1</v>
      </c>
      <c r="F1278" s="2" t="n">
        <v>2</v>
      </c>
      <c r="G1278" s="2" t="s">
        <v>50</v>
      </c>
      <c r="H1278" s="2" t="n">
        <v>1277</v>
      </c>
      <c r="I1278" s="2" t="s">
        <v>30</v>
      </c>
      <c r="J1278" s="2" t="n">
        <v>2</v>
      </c>
      <c r="K1278" s="2" t="s">
        <v>40</v>
      </c>
      <c r="L1278" s="2" t="s">
        <v>46</v>
      </c>
      <c r="M1278" s="2" t="n">
        <v>86060</v>
      </c>
      <c r="N1278" s="2" t="n">
        <v>1</v>
      </c>
      <c r="O1278" s="2" t="n">
        <v>14</v>
      </c>
      <c r="P1278" s="2" t="n">
        <v>2</v>
      </c>
      <c r="Q1278" s="2" t="n">
        <v>17</v>
      </c>
      <c r="R1278" s="2" t="n">
        <v>3</v>
      </c>
      <c r="S1278" s="2" t="n">
        <v>17</v>
      </c>
      <c r="T1278" s="2" t="n">
        <v>12</v>
      </c>
      <c r="U1278" s="2" t="n">
        <v>8</v>
      </c>
      <c r="V1278" s="2" t="n">
        <v>3</v>
      </c>
      <c r="W1278" s="2" t="n">
        <v>3</v>
      </c>
      <c r="X1278" s="2" t="n">
        <v>3</v>
      </c>
      <c r="Y1278" s="2" t="n">
        <v>3</v>
      </c>
      <c r="Z1278" s="2" t="n">
        <v>3</v>
      </c>
    </row>
    <row r="1279" customFormat="false" ht="15" hidden="false" customHeight="true" outlineLevel="0" collapsed="false">
      <c r="A1279" s="2" t="n">
        <v>55</v>
      </c>
      <c r="B1279" s="2" t="s">
        <v>26</v>
      </c>
      <c r="C1279" s="2" t="s">
        <v>27</v>
      </c>
      <c r="D1279" s="2" t="s">
        <v>35</v>
      </c>
      <c r="E1279" s="2" t="n">
        <v>7</v>
      </c>
      <c r="F1279" s="2" t="n">
        <v>3</v>
      </c>
      <c r="G1279" s="2" t="s">
        <v>43</v>
      </c>
      <c r="H1279" s="2" t="n">
        <v>1278</v>
      </c>
      <c r="I1279" s="2" t="s">
        <v>39</v>
      </c>
      <c r="J1279" s="2" t="n">
        <v>3</v>
      </c>
      <c r="K1279" s="2" t="s">
        <v>36</v>
      </c>
      <c r="L1279" s="2" t="s">
        <v>46</v>
      </c>
      <c r="M1279" s="2" t="n">
        <v>22720</v>
      </c>
      <c r="N1279" s="2" t="n">
        <v>2</v>
      </c>
      <c r="O1279" s="2" t="n">
        <v>17</v>
      </c>
      <c r="P1279" s="2" t="n">
        <v>1</v>
      </c>
      <c r="Q1279" s="2" t="n">
        <v>21</v>
      </c>
      <c r="R1279" s="2" t="n">
        <v>2</v>
      </c>
      <c r="S1279" s="2" t="n">
        <v>5</v>
      </c>
      <c r="T1279" s="2" t="n">
        <v>0</v>
      </c>
      <c r="U1279" s="2" t="n">
        <v>2</v>
      </c>
      <c r="V1279" s="2" t="n">
        <v>4</v>
      </c>
      <c r="W1279" s="2" t="n">
        <v>3</v>
      </c>
      <c r="X1279" s="2" t="n">
        <v>3</v>
      </c>
      <c r="Y1279" s="2" t="n">
        <v>3</v>
      </c>
      <c r="Z1279" s="2" t="n">
        <v>3</v>
      </c>
    </row>
    <row r="1280" customFormat="false" ht="15" hidden="false" customHeight="true" outlineLevel="0" collapsed="false">
      <c r="A1280" s="2" t="n">
        <v>36</v>
      </c>
      <c r="B1280" s="2" t="s">
        <v>26</v>
      </c>
      <c r="C1280" s="2" t="s">
        <v>34</v>
      </c>
      <c r="D1280" s="2" t="s">
        <v>35</v>
      </c>
      <c r="E1280" s="2" t="n">
        <v>3</v>
      </c>
      <c r="F1280" s="2" t="n">
        <v>3</v>
      </c>
      <c r="G1280" s="2" t="s">
        <v>29</v>
      </c>
      <c r="H1280" s="2" t="n">
        <v>1279</v>
      </c>
      <c r="I1280" s="2" t="s">
        <v>30</v>
      </c>
      <c r="J1280" s="2" t="n">
        <v>2</v>
      </c>
      <c r="K1280" s="2" t="s">
        <v>45</v>
      </c>
      <c r="L1280" s="2" t="s">
        <v>37</v>
      </c>
      <c r="M1280" s="2" t="n">
        <v>20180</v>
      </c>
      <c r="N1280" s="2" t="n">
        <v>1</v>
      </c>
      <c r="O1280" s="2" t="n">
        <v>13</v>
      </c>
      <c r="P1280" s="2" t="n">
        <v>0</v>
      </c>
      <c r="Q1280" s="2" t="n">
        <v>6</v>
      </c>
      <c r="R1280" s="2" t="n">
        <v>5</v>
      </c>
      <c r="S1280" s="2" t="n">
        <v>6</v>
      </c>
      <c r="T1280" s="2" t="n">
        <v>0</v>
      </c>
      <c r="U1280" s="2" t="n">
        <v>3</v>
      </c>
      <c r="V1280" s="2" t="n">
        <v>2</v>
      </c>
      <c r="W1280" s="2" t="n">
        <v>2</v>
      </c>
      <c r="X1280" s="2" t="n">
        <v>3</v>
      </c>
      <c r="Y1280" s="2" t="n">
        <v>3</v>
      </c>
      <c r="Z1280" s="2" t="n">
        <v>3</v>
      </c>
    </row>
    <row r="1281" customFormat="false" ht="15" hidden="false" customHeight="true" outlineLevel="0" collapsed="false">
      <c r="A1281" s="2" t="n">
        <v>45</v>
      </c>
      <c r="B1281" s="2" t="s">
        <v>26</v>
      </c>
      <c r="C1281" s="2" t="s">
        <v>27</v>
      </c>
      <c r="D1281" s="2" t="s">
        <v>35</v>
      </c>
      <c r="E1281" s="2" t="n">
        <v>1</v>
      </c>
      <c r="F1281" s="2" t="n">
        <v>2</v>
      </c>
      <c r="G1281" s="2" t="s">
        <v>43</v>
      </c>
      <c r="H1281" s="2" t="n">
        <v>1280</v>
      </c>
      <c r="I1281" s="2" t="s">
        <v>30</v>
      </c>
      <c r="J1281" s="2" t="n">
        <v>1</v>
      </c>
      <c r="K1281" s="2" t="s">
        <v>40</v>
      </c>
      <c r="L1281" s="2" t="s">
        <v>46</v>
      </c>
      <c r="M1281" s="2" t="n">
        <v>70830</v>
      </c>
      <c r="N1281" s="2" t="n">
        <v>2</v>
      </c>
      <c r="O1281" s="2" t="n">
        <v>12</v>
      </c>
      <c r="P1281" s="2" t="n">
        <v>1</v>
      </c>
      <c r="Q1281" s="2" t="n">
        <v>25</v>
      </c>
      <c r="R1281" s="2" t="n">
        <v>5</v>
      </c>
      <c r="S1281" s="2" t="n">
        <v>1</v>
      </c>
      <c r="T1281" s="2" t="n">
        <v>0</v>
      </c>
      <c r="U1281" s="2" t="n">
        <v>0</v>
      </c>
      <c r="V1281" s="2" t="n">
        <v>2</v>
      </c>
      <c r="W1281" s="2" t="n">
        <v>1</v>
      </c>
      <c r="X1281" s="2" t="n">
        <v>3</v>
      </c>
      <c r="Y1281" s="2" t="n">
        <v>3</v>
      </c>
      <c r="Z1281" s="2" t="n">
        <v>3</v>
      </c>
    </row>
    <row r="1282" customFormat="false" ht="15" hidden="false" customHeight="true" outlineLevel="0" collapsed="false">
      <c r="A1282" s="2" t="n">
        <v>35</v>
      </c>
      <c r="B1282" s="2" t="s">
        <v>26</v>
      </c>
      <c r="C1282" s="2" t="s">
        <v>34</v>
      </c>
      <c r="D1282" s="2" t="s">
        <v>42</v>
      </c>
      <c r="E1282" s="2" t="n">
        <v>9</v>
      </c>
      <c r="F1282" s="2" t="n">
        <v>3</v>
      </c>
      <c r="G1282" s="2" t="s">
        <v>38</v>
      </c>
      <c r="H1282" s="2" t="n">
        <v>1281</v>
      </c>
      <c r="I1282" s="2" t="s">
        <v>30</v>
      </c>
      <c r="J1282" s="2" t="n">
        <v>2</v>
      </c>
      <c r="K1282" s="2" t="s">
        <v>48</v>
      </c>
      <c r="L1282" s="2" t="s">
        <v>32</v>
      </c>
      <c r="M1282" s="2" t="n">
        <v>40840</v>
      </c>
      <c r="N1282" s="2" t="n">
        <v>4</v>
      </c>
      <c r="O1282" s="2" t="n">
        <v>13</v>
      </c>
      <c r="P1282" s="2" t="n">
        <v>1</v>
      </c>
      <c r="Q1282" s="2" t="n">
        <v>5</v>
      </c>
      <c r="R1282" s="2" t="n">
        <v>3</v>
      </c>
      <c r="S1282" s="2" t="n">
        <v>3</v>
      </c>
      <c r="T1282" s="2" t="n">
        <v>1</v>
      </c>
      <c r="U1282" s="2" t="n">
        <v>2</v>
      </c>
      <c r="V1282" s="2" t="n">
        <v>2</v>
      </c>
      <c r="W1282" s="2" t="n">
        <v>1</v>
      </c>
      <c r="X1282" s="2" t="n">
        <v>2</v>
      </c>
      <c r="Y1282" s="2" t="n">
        <v>3</v>
      </c>
      <c r="Z1282" s="2" t="n">
        <v>3</v>
      </c>
    </row>
    <row r="1283" customFormat="false" ht="15" hidden="false" customHeight="true" outlineLevel="0" collapsed="false">
      <c r="A1283" s="2" t="n">
        <v>36</v>
      </c>
      <c r="B1283" s="2" t="s">
        <v>33</v>
      </c>
      <c r="C1283" s="2" t="s">
        <v>27</v>
      </c>
      <c r="D1283" s="2" t="s">
        <v>28</v>
      </c>
      <c r="E1283" s="2" t="n">
        <v>7</v>
      </c>
      <c r="F1283" s="2" t="n">
        <v>2</v>
      </c>
      <c r="G1283" s="2" t="s">
        <v>29</v>
      </c>
      <c r="H1283" s="2" t="n">
        <v>1282</v>
      </c>
      <c r="I1283" s="2" t="s">
        <v>39</v>
      </c>
      <c r="J1283" s="2" t="n">
        <v>4</v>
      </c>
      <c r="K1283" s="2" t="s">
        <v>45</v>
      </c>
      <c r="L1283" s="2" t="s">
        <v>32</v>
      </c>
      <c r="M1283" s="2" t="n">
        <v>144110</v>
      </c>
      <c r="N1283" s="2" t="n">
        <v>0</v>
      </c>
      <c r="O1283" s="2" t="n">
        <v>18</v>
      </c>
      <c r="P1283" s="2" t="n">
        <v>3</v>
      </c>
      <c r="Q1283" s="2" t="n">
        <v>2</v>
      </c>
      <c r="R1283" s="2" t="n">
        <v>2</v>
      </c>
      <c r="S1283" s="2" t="n">
        <v>1</v>
      </c>
      <c r="T1283" s="2" t="n">
        <v>0</v>
      </c>
      <c r="U1283" s="2" t="n">
        <v>0</v>
      </c>
      <c r="V1283" s="2" t="n">
        <v>4</v>
      </c>
      <c r="W1283" s="2" t="n">
        <v>3</v>
      </c>
      <c r="X1283" s="2" t="n">
        <v>2</v>
      </c>
      <c r="Y1283" s="2" t="n">
        <v>4</v>
      </c>
      <c r="Z1283" s="2" t="n">
        <v>3</v>
      </c>
    </row>
    <row r="1284" customFormat="false" ht="15" hidden="false" customHeight="true" outlineLevel="0" collapsed="false">
      <c r="A1284" s="2" t="n">
        <v>59</v>
      </c>
      <c r="B1284" s="2" t="s">
        <v>26</v>
      </c>
      <c r="C1284" s="2" t="s">
        <v>34</v>
      </c>
      <c r="D1284" s="2" t="s">
        <v>35</v>
      </c>
      <c r="E1284" s="2" t="n">
        <v>10</v>
      </c>
      <c r="F1284" s="2" t="n">
        <v>4</v>
      </c>
      <c r="G1284" s="2" t="s">
        <v>29</v>
      </c>
      <c r="H1284" s="2" t="n">
        <v>1283</v>
      </c>
      <c r="I1284" s="2" t="s">
        <v>39</v>
      </c>
      <c r="J1284" s="2" t="n">
        <v>3</v>
      </c>
      <c r="K1284" s="2" t="s">
        <v>36</v>
      </c>
      <c r="L1284" s="2" t="s">
        <v>37</v>
      </c>
      <c r="M1284" s="2" t="n">
        <v>23080</v>
      </c>
      <c r="N1284" s="2" t="n">
        <v>7</v>
      </c>
      <c r="O1284" s="2" t="n">
        <v>19</v>
      </c>
      <c r="P1284" s="2" t="n">
        <v>1</v>
      </c>
      <c r="Q1284" s="2" t="n">
        <v>20</v>
      </c>
      <c r="R1284" s="2" t="n">
        <v>4</v>
      </c>
      <c r="S1284" s="2" t="n">
        <v>4</v>
      </c>
      <c r="T1284" s="2" t="n">
        <v>1</v>
      </c>
      <c r="U1284" s="2" t="n">
        <v>3</v>
      </c>
      <c r="V1284" s="2" t="n">
        <v>1</v>
      </c>
      <c r="W1284" s="2" t="n">
        <v>3</v>
      </c>
      <c r="X1284" s="2" t="n">
        <v>2</v>
      </c>
      <c r="Y1284" s="2" t="n">
        <v>2</v>
      </c>
      <c r="Z1284" s="2" t="n">
        <v>3</v>
      </c>
    </row>
    <row r="1285" customFormat="false" ht="15" hidden="false" customHeight="true" outlineLevel="0" collapsed="false">
      <c r="A1285" s="2" t="n">
        <v>29</v>
      </c>
      <c r="B1285" s="2" t="s">
        <v>26</v>
      </c>
      <c r="C1285" s="2" t="s">
        <v>27</v>
      </c>
      <c r="D1285" s="2" t="s">
        <v>35</v>
      </c>
      <c r="E1285" s="2" t="n">
        <v>28</v>
      </c>
      <c r="F1285" s="2" t="n">
        <v>4</v>
      </c>
      <c r="G1285" s="2" t="s">
        <v>29</v>
      </c>
      <c r="H1285" s="2" t="n">
        <v>1284</v>
      </c>
      <c r="I1285" s="2" t="s">
        <v>30</v>
      </c>
      <c r="J1285" s="2" t="n">
        <v>1</v>
      </c>
      <c r="K1285" s="2" t="s">
        <v>48</v>
      </c>
      <c r="L1285" s="2" t="s">
        <v>32</v>
      </c>
      <c r="M1285" s="2" t="n">
        <v>48410</v>
      </c>
      <c r="N1285" s="2" t="n">
        <v>0</v>
      </c>
      <c r="O1285" s="2" t="n">
        <v>11</v>
      </c>
      <c r="P1285" s="2" t="n">
        <v>0</v>
      </c>
      <c r="Q1285" s="2" t="n">
        <v>6</v>
      </c>
      <c r="R1285" s="2" t="n">
        <v>3</v>
      </c>
      <c r="S1285" s="2" t="n">
        <v>5</v>
      </c>
      <c r="T1285" s="2" t="n">
        <v>0</v>
      </c>
      <c r="U1285" s="2" t="n">
        <v>4</v>
      </c>
      <c r="V1285" s="2" t="n">
        <v>3</v>
      </c>
      <c r="W1285" s="2" t="n">
        <v>2</v>
      </c>
      <c r="X1285" s="2" t="n">
        <v>3</v>
      </c>
      <c r="Y1285" s="2" t="n">
        <v>3</v>
      </c>
      <c r="Z1285" s="2" t="n">
        <v>3</v>
      </c>
    </row>
    <row r="1286" customFormat="false" ht="15" hidden="false" customHeight="true" outlineLevel="0" collapsed="false">
      <c r="A1286" s="2" t="n">
        <v>31</v>
      </c>
      <c r="B1286" s="2" t="s">
        <v>26</v>
      </c>
      <c r="C1286" s="2" t="s">
        <v>27</v>
      </c>
      <c r="D1286" s="2" t="s">
        <v>35</v>
      </c>
      <c r="E1286" s="2" t="n">
        <v>3</v>
      </c>
      <c r="F1286" s="2" t="n">
        <v>2</v>
      </c>
      <c r="G1286" s="2" t="s">
        <v>43</v>
      </c>
      <c r="H1286" s="2" t="n">
        <v>1285</v>
      </c>
      <c r="I1286" s="2" t="s">
        <v>30</v>
      </c>
      <c r="J1286" s="2" t="n">
        <v>3</v>
      </c>
      <c r="K1286" s="2" t="s">
        <v>40</v>
      </c>
      <c r="L1286" s="2" t="s">
        <v>37</v>
      </c>
      <c r="M1286" s="2" t="n">
        <v>42850</v>
      </c>
      <c r="N1286" s="2" t="n">
        <v>1</v>
      </c>
      <c r="O1286" s="2" t="n">
        <v>21</v>
      </c>
      <c r="P1286" s="2" t="n">
        <v>1</v>
      </c>
      <c r="Q1286" s="2" t="n">
        <v>1</v>
      </c>
      <c r="R1286" s="2" t="n">
        <v>2</v>
      </c>
      <c r="S1286" s="2" t="n">
        <v>1</v>
      </c>
      <c r="T1286" s="2" t="n">
        <v>1</v>
      </c>
      <c r="U1286" s="2" t="n">
        <v>0</v>
      </c>
      <c r="V1286" s="2" t="n">
        <v>3</v>
      </c>
      <c r="W1286" s="2" t="n">
        <v>2</v>
      </c>
      <c r="X1286" s="2" t="n">
        <v>3</v>
      </c>
      <c r="Y1286" s="2" t="n">
        <v>1</v>
      </c>
      <c r="Z1286" s="2" t="n">
        <v>4</v>
      </c>
    </row>
    <row r="1287" customFormat="false" ht="15" hidden="false" customHeight="true" outlineLevel="0" collapsed="false">
      <c r="A1287" s="2" t="n">
        <v>32</v>
      </c>
      <c r="B1287" s="2" t="s">
        <v>26</v>
      </c>
      <c r="C1287" s="2" t="s">
        <v>27</v>
      </c>
      <c r="D1287" s="2" t="s">
        <v>28</v>
      </c>
      <c r="E1287" s="2" t="n">
        <v>3</v>
      </c>
      <c r="F1287" s="2" t="n">
        <v>4</v>
      </c>
      <c r="G1287" s="2" t="s">
        <v>29</v>
      </c>
      <c r="H1287" s="2" t="n">
        <v>1286</v>
      </c>
      <c r="I1287" s="2" t="s">
        <v>39</v>
      </c>
      <c r="J1287" s="2" t="n">
        <v>2</v>
      </c>
      <c r="K1287" s="2" t="s">
        <v>47</v>
      </c>
      <c r="L1287" s="2" t="s">
        <v>32</v>
      </c>
      <c r="M1287" s="2" t="n">
        <v>97150</v>
      </c>
      <c r="N1287" s="2" t="n">
        <v>1</v>
      </c>
      <c r="O1287" s="2" t="n">
        <v>15</v>
      </c>
      <c r="P1287" s="2" t="n">
        <v>1</v>
      </c>
      <c r="Q1287" s="2" t="n">
        <v>10</v>
      </c>
      <c r="R1287" s="2" t="n">
        <v>1</v>
      </c>
      <c r="S1287" s="2" t="n">
        <v>10</v>
      </c>
      <c r="T1287" s="2" t="n">
        <v>0</v>
      </c>
      <c r="U1287" s="2" t="n">
        <v>9</v>
      </c>
      <c r="V1287" s="2" t="n">
        <v>2</v>
      </c>
      <c r="W1287" s="2" t="n">
        <v>2</v>
      </c>
      <c r="X1287" s="2" t="n">
        <v>3</v>
      </c>
      <c r="Y1287" s="2" t="n">
        <v>2</v>
      </c>
      <c r="Z1287" s="2" t="n">
        <v>3</v>
      </c>
    </row>
    <row r="1288" customFormat="false" ht="15" hidden="false" customHeight="true" outlineLevel="0" collapsed="false">
      <c r="A1288" s="2" t="n">
        <v>36</v>
      </c>
      <c r="B1288" s="2" t="s">
        <v>26</v>
      </c>
      <c r="C1288" s="2" t="s">
        <v>27</v>
      </c>
      <c r="D1288" s="2" t="s">
        <v>35</v>
      </c>
      <c r="E1288" s="2" t="n">
        <v>2</v>
      </c>
      <c r="F1288" s="2" t="n">
        <v>3</v>
      </c>
      <c r="G1288" s="2" t="s">
        <v>29</v>
      </c>
      <c r="H1288" s="2" t="n">
        <v>1287</v>
      </c>
      <c r="I1288" s="2" t="s">
        <v>39</v>
      </c>
      <c r="J1288" s="2" t="n">
        <v>2</v>
      </c>
      <c r="K1288" s="2" t="s">
        <v>48</v>
      </c>
      <c r="L1288" s="2" t="s">
        <v>32</v>
      </c>
      <c r="M1288" s="2" t="n">
        <v>43200</v>
      </c>
      <c r="N1288" s="2" t="n">
        <v>3</v>
      </c>
      <c r="O1288" s="2" t="n">
        <v>17</v>
      </c>
      <c r="P1288" s="2" t="n">
        <v>0</v>
      </c>
      <c r="Q1288" s="2" t="n">
        <v>5</v>
      </c>
      <c r="R1288" s="2" t="n">
        <v>2</v>
      </c>
      <c r="S1288" s="2" t="n">
        <v>1</v>
      </c>
      <c r="T1288" s="2" t="n">
        <v>0</v>
      </c>
      <c r="U1288" s="2" t="n">
        <v>0</v>
      </c>
      <c r="V1288" s="2" t="n">
        <v>2</v>
      </c>
      <c r="W1288" s="2" t="n">
        <v>4</v>
      </c>
      <c r="X1288" s="2" t="n">
        <v>3</v>
      </c>
      <c r="Y1288" s="2" t="n">
        <v>3</v>
      </c>
      <c r="Z1288" s="2" t="n">
        <v>3</v>
      </c>
    </row>
    <row r="1289" customFormat="false" ht="15" hidden="false" customHeight="true" outlineLevel="0" collapsed="false">
      <c r="A1289" s="2" t="n">
        <v>31</v>
      </c>
      <c r="B1289" s="2" t="s">
        <v>26</v>
      </c>
      <c r="C1289" s="2" t="s">
        <v>27</v>
      </c>
      <c r="D1289" s="2" t="s">
        <v>35</v>
      </c>
      <c r="E1289" s="2" t="n">
        <v>27</v>
      </c>
      <c r="F1289" s="2" t="n">
        <v>3</v>
      </c>
      <c r="G1289" s="2" t="s">
        <v>43</v>
      </c>
      <c r="H1289" s="2" t="n">
        <v>1288</v>
      </c>
      <c r="I1289" s="2" t="s">
        <v>30</v>
      </c>
      <c r="J1289" s="2" t="n">
        <v>2</v>
      </c>
      <c r="K1289" s="2" t="s">
        <v>44</v>
      </c>
      <c r="L1289" s="2" t="s">
        <v>37</v>
      </c>
      <c r="M1289" s="2" t="n">
        <v>21320</v>
      </c>
      <c r="N1289" s="2" t="n">
        <v>1</v>
      </c>
      <c r="O1289" s="2" t="n">
        <v>18</v>
      </c>
      <c r="P1289" s="2" t="n">
        <v>0</v>
      </c>
      <c r="Q1289" s="2" t="n">
        <v>11</v>
      </c>
      <c r="R1289" s="2" t="n">
        <v>3</v>
      </c>
      <c r="S1289" s="2" t="n">
        <v>11</v>
      </c>
      <c r="T1289" s="2" t="n">
        <v>1</v>
      </c>
      <c r="U1289" s="2" t="n">
        <v>8</v>
      </c>
      <c r="V1289" s="2" t="n">
        <v>3</v>
      </c>
      <c r="W1289" s="2" t="n">
        <v>4</v>
      </c>
      <c r="X1289" s="2" t="n">
        <v>3</v>
      </c>
      <c r="Y1289" s="2" t="n">
        <v>3</v>
      </c>
      <c r="Z1289" s="2" t="n">
        <v>3</v>
      </c>
    </row>
    <row r="1290" customFormat="false" ht="15" hidden="false" customHeight="true" outlineLevel="0" collapsed="false">
      <c r="A1290" s="2" t="n">
        <v>35</v>
      </c>
      <c r="B1290" s="2" t="s">
        <v>26</v>
      </c>
      <c r="C1290" s="2" t="s">
        <v>27</v>
      </c>
      <c r="D1290" s="2" t="s">
        <v>35</v>
      </c>
      <c r="E1290" s="2" t="n">
        <v>2</v>
      </c>
      <c r="F1290" s="2" t="n">
        <v>4</v>
      </c>
      <c r="G1290" s="2" t="s">
        <v>43</v>
      </c>
      <c r="H1290" s="2" t="n">
        <v>1289</v>
      </c>
      <c r="I1290" s="2" t="s">
        <v>39</v>
      </c>
      <c r="J1290" s="2" t="n">
        <v>2</v>
      </c>
      <c r="K1290" s="2" t="s">
        <v>31</v>
      </c>
      <c r="L1290" s="2" t="s">
        <v>37</v>
      </c>
      <c r="M1290" s="2" t="n">
        <v>101240</v>
      </c>
      <c r="N1290" s="2" t="n">
        <v>0</v>
      </c>
      <c r="O1290" s="2" t="n">
        <v>14</v>
      </c>
      <c r="P1290" s="2" t="n">
        <v>1</v>
      </c>
      <c r="Q1290" s="2" t="n">
        <v>16</v>
      </c>
      <c r="R1290" s="2" t="n">
        <v>2</v>
      </c>
      <c r="S1290" s="2" t="n">
        <v>15</v>
      </c>
      <c r="T1290" s="2" t="n">
        <v>2</v>
      </c>
      <c r="U1290" s="2" t="n">
        <v>8</v>
      </c>
      <c r="V1290" s="2" t="n">
        <v>3</v>
      </c>
      <c r="W1290" s="2" t="n">
        <v>1</v>
      </c>
      <c r="X1290" s="2" t="n">
        <v>3</v>
      </c>
      <c r="Y1290" s="2" t="n">
        <v>4</v>
      </c>
      <c r="Z1290" s="2" t="n">
        <v>3</v>
      </c>
    </row>
    <row r="1291" customFormat="false" ht="15" hidden="false" customHeight="true" outlineLevel="0" collapsed="false">
      <c r="A1291" s="2" t="n">
        <v>45</v>
      </c>
      <c r="B1291" s="2" t="s">
        <v>26</v>
      </c>
      <c r="C1291" s="2" t="s">
        <v>27</v>
      </c>
      <c r="D1291" s="2" t="s">
        <v>42</v>
      </c>
      <c r="E1291" s="2" t="n">
        <v>14</v>
      </c>
      <c r="F1291" s="2" t="n">
        <v>3</v>
      </c>
      <c r="G1291" s="2" t="s">
        <v>42</v>
      </c>
      <c r="H1291" s="2" t="n">
        <v>1290</v>
      </c>
      <c r="I1291" s="2" t="s">
        <v>30</v>
      </c>
      <c r="J1291" s="2" t="n">
        <v>1</v>
      </c>
      <c r="K1291" s="2" t="s">
        <v>40</v>
      </c>
      <c r="L1291" s="2" t="s">
        <v>32</v>
      </c>
      <c r="M1291" s="2" t="n">
        <v>54730</v>
      </c>
      <c r="N1291" s="2" t="n">
        <v>4</v>
      </c>
      <c r="O1291" s="2" t="n">
        <v>13</v>
      </c>
      <c r="P1291" s="2" t="n">
        <v>0</v>
      </c>
      <c r="Q1291" s="2" t="n">
        <v>17</v>
      </c>
      <c r="R1291" s="2" t="n">
        <v>3</v>
      </c>
      <c r="S1291" s="2" t="n">
        <v>0</v>
      </c>
      <c r="T1291" s="2" t="n">
        <v>0</v>
      </c>
      <c r="U1291" s="2" t="n">
        <v>0</v>
      </c>
      <c r="V1291" s="2" t="n">
        <v>4</v>
      </c>
      <c r="W1291" s="2" t="n">
        <v>1</v>
      </c>
      <c r="X1291" s="2" t="n">
        <v>4</v>
      </c>
      <c r="Y1291" s="2" t="n">
        <v>1</v>
      </c>
      <c r="Z1291" s="2" t="n">
        <v>3</v>
      </c>
    </row>
    <row r="1292" customFormat="false" ht="15" hidden="false" customHeight="true" outlineLevel="0" collapsed="false">
      <c r="A1292" s="2" t="n">
        <v>37</v>
      </c>
      <c r="B1292" s="2" t="s">
        <v>26</v>
      </c>
      <c r="C1292" s="2" t="s">
        <v>27</v>
      </c>
      <c r="D1292" s="2" t="s">
        <v>35</v>
      </c>
      <c r="E1292" s="2" t="n">
        <v>1</v>
      </c>
      <c r="F1292" s="2" t="n">
        <v>3</v>
      </c>
      <c r="G1292" s="2" t="s">
        <v>29</v>
      </c>
      <c r="H1292" s="2" t="n">
        <v>1291</v>
      </c>
      <c r="I1292" s="2" t="s">
        <v>30</v>
      </c>
      <c r="J1292" s="2" t="n">
        <v>3</v>
      </c>
      <c r="K1292" s="2" t="s">
        <v>40</v>
      </c>
      <c r="L1292" s="2" t="s">
        <v>37</v>
      </c>
      <c r="M1292" s="2" t="n">
        <v>52070</v>
      </c>
      <c r="N1292" s="2" t="n">
        <v>4</v>
      </c>
      <c r="O1292" s="2" t="n">
        <v>17</v>
      </c>
      <c r="P1292" s="2" t="n">
        <v>3</v>
      </c>
      <c r="Q1292" s="2" t="n">
        <v>16</v>
      </c>
      <c r="R1292" s="2" t="n">
        <v>3</v>
      </c>
      <c r="S1292" s="2" t="n">
        <v>5</v>
      </c>
      <c r="T1292" s="2" t="n">
        <v>0</v>
      </c>
      <c r="U1292" s="2" t="n">
        <v>2</v>
      </c>
      <c r="V1292" s="2" t="n">
        <v>1</v>
      </c>
      <c r="W1292" s="2" t="n">
        <v>3</v>
      </c>
      <c r="X1292" s="2" t="n">
        <v>4</v>
      </c>
      <c r="Y1292" s="2" t="n">
        <v>3</v>
      </c>
      <c r="Z1292" s="2" t="n">
        <v>3</v>
      </c>
    </row>
    <row r="1293" customFormat="false" ht="15" hidden="false" customHeight="true" outlineLevel="0" collapsed="false">
      <c r="A1293" s="2" t="n">
        <v>46</v>
      </c>
      <c r="B1293" s="2" t="s">
        <v>26</v>
      </c>
      <c r="C1293" s="2" t="s">
        <v>27</v>
      </c>
      <c r="D1293" s="2" t="s">
        <v>35</v>
      </c>
      <c r="E1293" s="2" t="n">
        <v>9</v>
      </c>
      <c r="F1293" s="2" t="n">
        <v>3</v>
      </c>
      <c r="G1293" s="2" t="s">
        <v>43</v>
      </c>
      <c r="H1293" s="2" t="n">
        <v>1292</v>
      </c>
      <c r="I1293" s="2" t="s">
        <v>39</v>
      </c>
      <c r="J1293" s="2" t="n">
        <v>3</v>
      </c>
      <c r="K1293" s="2" t="s">
        <v>49</v>
      </c>
      <c r="L1293" s="2" t="s">
        <v>46</v>
      </c>
      <c r="M1293" s="2" t="n">
        <v>164370</v>
      </c>
      <c r="N1293" s="2" t="n">
        <v>8</v>
      </c>
      <c r="O1293" s="2" t="n">
        <v>15</v>
      </c>
      <c r="P1293" s="2" t="n">
        <v>1</v>
      </c>
      <c r="Q1293" s="2" t="n">
        <v>16</v>
      </c>
      <c r="R1293" s="2" t="n">
        <v>0</v>
      </c>
      <c r="S1293" s="2" t="n">
        <v>4</v>
      </c>
      <c r="T1293" s="2" t="n">
        <v>0</v>
      </c>
      <c r="U1293" s="2" t="n">
        <v>2</v>
      </c>
      <c r="V1293" s="2" t="n">
        <v>2</v>
      </c>
      <c r="W1293" s="2" t="n">
        <v>2</v>
      </c>
      <c r="X1293" s="2" t="n">
        <v>3</v>
      </c>
      <c r="Y1293" s="2" t="n">
        <v>3</v>
      </c>
      <c r="Z1293" s="2" t="n">
        <v>3</v>
      </c>
    </row>
    <row r="1294" customFormat="false" ht="15" hidden="false" customHeight="true" outlineLevel="0" collapsed="false">
      <c r="A1294" s="2" t="n">
        <v>30</v>
      </c>
      <c r="B1294" s="2" t="s">
        <v>26</v>
      </c>
      <c r="C1294" s="2" t="s">
        <v>27</v>
      </c>
      <c r="D1294" s="2" t="s">
        <v>28</v>
      </c>
      <c r="E1294" s="2" t="n">
        <v>18</v>
      </c>
      <c r="F1294" s="2" t="n">
        <v>3</v>
      </c>
      <c r="G1294" s="2" t="s">
        <v>29</v>
      </c>
      <c r="H1294" s="2" t="n">
        <v>1293</v>
      </c>
      <c r="I1294" s="2" t="s">
        <v>39</v>
      </c>
      <c r="J1294" s="2" t="n">
        <v>4</v>
      </c>
      <c r="K1294" s="2" t="s">
        <v>42</v>
      </c>
      <c r="L1294" s="2" t="s">
        <v>32</v>
      </c>
      <c r="M1294" s="2" t="n">
        <v>22960</v>
      </c>
      <c r="N1294" s="2" t="n">
        <v>1</v>
      </c>
      <c r="O1294" s="2" t="n">
        <v>18</v>
      </c>
      <c r="P1294" s="2" t="n">
        <v>1</v>
      </c>
      <c r="Q1294" s="2" t="n">
        <v>10</v>
      </c>
      <c r="R1294" s="2" t="n">
        <v>2</v>
      </c>
      <c r="S1294" s="2" t="n">
        <v>10</v>
      </c>
      <c r="T1294" s="2" t="n">
        <v>3</v>
      </c>
      <c r="U1294" s="2" t="n">
        <v>0</v>
      </c>
      <c r="V1294" s="2" t="n">
        <v>4</v>
      </c>
      <c r="W1294" s="2" t="n">
        <v>4</v>
      </c>
      <c r="X1294" s="2" t="n">
        <v>2</v>
      </c>
      <c r="Y1294" s="2" t="n">
        <v>3</v>
      </c>
      <c r="Z1294" s="2" t="n">
        <v>3</v>
      </c>
    </row>
    <row r="1295" customFormat="false" ht="15" hidden="false" customHeight="true" outlineLevel="0" collapsed="false">
      <c r="A1295" s="2" t="n">
        <v>35</v>
      </c>
      <c r="B1295" s="2" t="s">
        <v>26</v>
      </c>
      <c r="C1295" s="2" t="s">
        <v>27</v>
      </c>
      <c r="D1295" s="2" t="s">
        <v>35</v>
      </c>
      <c r="E1295" s="2" t="n">
        <v>20</v>
      </c>
      <c r="F1295" s="2" t="n">
        <v>4</v>
      </c>
      <c r="G1295" s="2" t="s">
        <v>29</v>
      </c>
      <c r="H1295" s="2" t="n">
        <v>1294</v>
      </c>
      <c r="I1295" s="2" t="s">
        <v>30</v>
      </c>
      <c r="J1295" s="2" t="n">
        <v>3</v>
      </c>
      <c r="K1295" s="2" t="s">
        <v>42</v>
      </c>
      <c r="L1295" s="2" t="s">
        <v>37</v>
      </c>
      <c r="M1295" s="2" t="n">
        <v>40690</v>
      </c>
      <c r="N1295" s="2" t="n">
        <v>1</v>
      </c>
      <c r="O1295" s="2" t="n">
        <v>13</v>
      </c>
      <c r="P1295" s="2" t="n">
        <v>0</v>
      </c>
      <c r="Q1295" s="2" t="n">
        <v>6</v>
      </c>
      <c r="R1295" s="2" t="n">
        <v>5</v>
      </c>
      <c r="S1295" s="2" t="n">
        <v>6</v>
      </c>
      <c r="T1295" s="2" t="n">
        <v>0</v>
      </c>
      <c r="U1295" s="2" t="n">
        <v>4</v>
      </c>
      <c r="V1295" s="2" t="n">
        <v>2</v>
      </c>
      <c r="W1295" s="2" t="n">
        <v>3</v>
      </c>
      <c r="X1295" s="2" t="n">
        <v>3</v>
      </c>
      <c r="Y1295" s="2" t="n">
        <v>3</v>
      </c>
      <c r="Z1295" s="2" t="n">
        <v>3</v>
      </c>
    </row>
    <row r="1296" customFormat="false" ht="15" hidden="false" customHeight="true" outlineLevel="0" collapsed="false">
      <c r="A1296" s="2" t="n">
        <v>55</v>
      </c>
      <c r="B1296" s="2" t="s">
        <v>26</v>
      </c>
      <c r="C1296" s="2" t="s">
        <v>27</v>
      </c>
      <c r="D1296" s="2" t="s">
        <v>35</v>
      </c>
      <c r="E1296" s="2" t="n">
        <v>2</v>
      </c>
      <c r="F1296" s="2" t="n">
        <v>3</v>
      </c>
      <c r="G1296" s="2" t="s">
        <v>29</v>
      </c>
      <c r="H1296" s="2" t="n">
        <v>1295</v>
      </c>
      <c r="I1296" s="2" t="s">
        <v>30</v>
      </c>
      <c r="J1296" s="2" t="n">
        <v>2</v>
      </c>
      <c r="K1296" s="2" t="s">
        <v>45</v>
      </c>
      <c r="L1296" s="2" t="s">
        <v>32</v>
      </c>
      <c r="M1296" s="2" t="n">
        <v>74410</v>
      </c>
      <c r="N1296" s="2" t="n">
        <v>3</v>
      </c>
      <c r="O1296" s="2" t="n">
        <v>12</v>
      </c>
      <c r="P1296" s="2" t="n">
        <v>1</v>
      </c>
      <c r="Q1296" s="2" t="n">
        <v>24</v>
      </c>
      <c r="R1296" s="2" t="n">
        <v>4</v>
      </c>
      <c r="S1296" s="2" t="n">
        <v>1</v>
      </c>
      <c r="T1296" s="2" t="n">
        <v>1</v>
      </c>
      <c r="U1296" s="2" t="n">
        <v>0</v>
      </c>
      <c r="V1296" s="2" t="n">
        <v>1</v>
      </c>
      <c r="W1296" s="2" t="n">
        <v>4</v>
      </c>
      <c r="X1296" s="2" t="n">
        <v>3</v>
      </c>
      <c r="Y1296" s="2" t="n">
        <v>3</v>
      </c>
      <c r="Z1296" s="2" t="n">
        <v>3</v>
      </c>
    </row>
    <row r="1297" customFormat="false" ht="15" hidden="false" customHeight="true" outlineLevel="0" collapsed="false">
      <c r="A1297" s="2" t="n">
        <v>38</v>
      </c>
      <c r="B1297" s="2" t="s">
        <v>26</v>
      </c>
      <c r="C1297" s="2" t="s">
        <v>41</v>
      </c>
      <c r="D1297" s="2" t="s">
        <v>28</v>
      </c>
      <c r="E1297" s="2" t="n">
        <v>11</v>
      </c>
      <c r="F1297" s="2" t="n">
        <v>1</v>
      </c>
      <c r="G1297" s="2" t="s">
        <v>50</v>
      </c>
      <c r="H1297" s="2" t="n">
        <v>1296</v>
      </c>
      <c r="I1297" s="2" t="s">
        <v>39</v>
      </c>
      <c r="J1297" s="2" t="n">
        <v>2</v>
      </c>
      <c r="K1297" s="2" t="s">
        <v>45</v>
      </c>
      <c r="L1297" s="2" t="s">
        <v>46</v>
      </c>
      <c r="M1297" s="2" t="n">
        <v>24300</v>
      </c>
      <c r="N1297" s="2" t="n">
        <v>7</v>
      </c>
      <c r="O1297" s="2" t="n">
        <v>13</v>
      </c>
      <c r="P1297" s="2" t="n">
        <v>2</v>
      </c>
      <c r="Q1297" s="2" t="n">
        <v>17</v>
      </c>
      <c r="R1297" s="2" t="n">
        <v>2</v>
      </c>
      <c r="S1297" s="2" t="n">
        <v>13</v>
      </c>
      <c r="T1297" s="2" t="n">
        <v>1</v>
      </c>
      <c r="U1297" s="2" t="n">
        <v>9</v>
      </c>
      <c r="V1297" s="2" t="n">
        <v>2</v>
      </c>
      <c r="W1297" s="2" t="n">
        <v>4</v>
      </c>
      <c r="X1297" s="2" t="n">
        <v>3</v>
      </c>
      <c r="Y1297" s="2" t="n">
        <v>4</v>
      </c>
      <c r="Z1297" s="2" t="n">
        <v>3</v>
      </c>
    </row>
    <row r="1298" customFormat="false" ht="15" hidden="false" customHeight="true" outlineLevel="0" collapsed="false">
      <c r="A1298" s="2" t="n">
        <v>34</v>
      </c>
      <c r="B1298" s="2" t="s">
        <v>26</v>
      </c>
      <c r="C1298" s="2" t="s">
        <v>27</v>
      </c>
      <c r="D1298" s="2" t="s">
        <v>35</v>
      </c>
      <c r="E1298" s="2" t="n">
        <v>8</v>
      </c>
      <c r="F1298" s="2" t="n">
        <v>2</v>
      </c>
      <c r="G1298" s="2" t="s">
        <v>43</v>
      </c>
      <c r="H1298" s="2" t="n">
        <v>1297</v>
      </c>
      <c r="I1298" s="2" t="s">
        <v>39</v>
      </c>
      <c r="J1298" s="2" t="n">
        <v>1</v>
      </c>
      <c r="K1298" s="2" t="s">
        <v>36</v>
      </c>
      <c r="L1298" s="2" t="s">
        <v>32</v>
      </c>
      <c r="M1298" s="2" t="n">
        <v>58780</v>
      </c>
      <c r="N1298" s="2" t="n">
        <v>1</v>
      </c>
      <c r="O1298" s="2" t="n">
        <v>14</v>
      </c>
      <c r="P1298" s="2" t="n">
        <v>0</v>
      </c>
      <c r="Q1298" s="2" t="n">
        <v>5</v>
      </c>
      <c r="R1298" s="2" t="n">
        <v>1</v>
      </c>
      <c r="S1298" s="2" t="n">
        <v>5</v>
      </c>
      <c r="T1298" s="2" t="n">
        <v>1</v>
      </c>
      <c r="U1298" s="2" t="n">
        <v>3</v>
      </c>
      <c r="V1298" s="2" t="n">
        <v>1</v>
      </c>
      <c r="W1298" s="2" t="n">
        <v>2</v>
      </c>
      <c r="X1298" s="2" t="n">
        <v>3</v>
      </c>
      <c r="Y1298" s="2" t="n">
        <v>3</v>
      </c>
      <c r="Z1298" s="2" t="n">
        <v>3</v>
      </c>
    </row>
    <row r="1299" customFormat="false" ht="15" hidden="false" customHeight="true" outlineLevel="0" collapsed="false">
      <c r="A1299" s="2" t="n">
        <v>56</v>
      </c>
      <c r="B1299" s="2" t="s">
        <v>26</v>
      </c>
      <c r="C1299" s="2" t="s">
        <v>27</v>
      </c>
      <c r="D1299" s="2" t="s">
        <v>42</v>
      </c>
      <c r="E1299" s="2" t="n">
        <v>2</v>
      </c>
      <c r="F1299" s="2" t="n">
        <v>1</v>
      </c>
      <c r="G1299" s="2" t="s">
        <v>43</v>
      </c>
      <c r="H1299" s="2" t="n">
        <v>1298</v>
      </c>
      <c r="I1299" s="2" t="s">
        <v>39</v>
      </c>
      <c r="J1299" s="2" t="n">
        <v>2</v>
      </c>
      <c r="K1299" s="2" t="s">
        <v>40</v>
      </c>
      <c r="L1299" s="2" t="s">
        <v>37</v>
      </c>
      <c r="M1299" s="2" t="n">
        <v>26440</v>
      </c>
      <c r="N1299" s="2" t="n">
        <v>4</v>
      </c>
      <c r="O1299" s="2" t="n">
        <v>11</v>
      </c>
      <c r="P1299" s="2" t="n">
        <v>1</v>
      </c>
      <c r="Q1299" s="2" t="n">
        <v>37</v>
      </c>
      <c r="R1299" s="2" t="n">
        <v>2</v>
      </c>
      <c r="S1299" s="2" t="n">
        <v>6</v>
      </c>
      <c r="T1299" s="2" t="n">
        <v>0</v>
      </c>
      <c r="U1299" s="2" t="n">
        <v>2</v>
      </c>
      <c r="V1299" s="2" t="n">
        <v>4</v>
      </c>
      <c r="W1299" s="2" t="n">
        <v>4</v>
      </c>
      <c r="X1299" s="2" t="n">
        <v>2</v>
      </c>
      <c r="Y1299" s="2" t="n">
        <v>3</v>
      </c>
      <c r="Z1299" s="2" t="n">
        <v>3</v>
      </c>
    </row>
    <row r="1300" customFormat="false" ht="15" hidden="false" customHeight="true" outlineLevel="0" collapsed="false">
      <c r="A1300" s="2" t="n">
        <v>23</v>
      </c>
      <c r="B1300" s="2" t="s">
        <v>26</v>
      </c>
      <c r="C1300" s="2" t="s">
        <v>27</v>
      </c>
      <c r="D1300" s="2" t="s">
        <v>35</v>
      </c>
      <c r="E1300" s="2" t="n">
        <v>10</v>
      </c>
      <c r="F1300" s="2" t="n">
        <v>3</v>
      </c>
      <c r="G1300" s="2" t="s">
        <v>43</v>
      </c>
      <c r="H1300" s="2" t="n">
        <v>1299</v>
      </c>
      <c r="I1300" s="2" t="s">
        <v>39</v>
      </c>
      <c r="J1300" s="2" t="n">
        <v>2</v>
      </c>
      <c r="K1300" s="2" t="s">
        <v>45</v>
      </c>
      <c r="L1300" s="2" t="s">
        <v>46</v>
      </c>
      <c r="M1300" s="2" t="n">
        <v>64390</v>
      </c>
      <c r="N1300" s="2" t="n">
        <v>3</v>
      </c>
      <c r="O1300" s="2" t="n">
        <v>22</v>
      </c>
      <c r="P1300" s="2" t="n">
        <v>3</v>
      </c>
      <c r="Q1300" s="2" t="n">
        <v>3</v>
      </c>
      <c r="R1300" s="2" t="n">
        <v>2</v>
      </c>
      <c r="S1300" s="2" t="n">
        <v>0</v>
      </c>
      <c r="T1300" s="2" t="n">
        <v>0</v>
      </c>
      <c r="U1300" s="2" t="n">
        <v>0</v>
      </c>
      <c r="V1300" s="2" t="n">
        <v>3</v>
      </c>
      <c r="W1300" s="2" t="n">
        <v>1</v>
      </c>
      <c r="X1300" s="2" t="n">
        <v>3</v>
      </c>
      <c r="Y1300" s="2" t="n">
        <v>3</v>
      </c>
      <c r="Z1300" s="2" t="n">
        <v>4</v>
      </c>
    </row>
    <row r="1301" customFormat="false" ht="15" hidden="false" customHeight="true" outlineLevel="0" collapsed="false">
      <c r="A1301" s="2" t="n">
        <v>51</v>
      </c>
      <c r="B1301" s="2" t="s">
        <v>26</v>
      </c>
      <c r="C1301" s="2" t="s">
        <v>27</v>
      </c>
      <c r="D1301" s="2" t="s">
        <v>35</v>
      </c>
      <c r="E1301" s="2" t="n">
        <v>29</v>
      </c>
      <c r="F1301" s="2" t="n">
        <v>4</v>
      </c>
      <c r="G1301" s="2" t="s">
        <v>29</v>
      </c>
      <c r="H1301" s="2" t="n">
        <v>1300</v>
      </c>
      <c r="I1301" s="2" t="s">
        <v>30</v>
      </c>
      <c r="J1301" s="2" t="n">
        <v>5</v>
      </c>
      <c r="K1301" s="2" t="s">
        <v>47</v>
      </c>
      <c r="L1301" s="2" t="s">
        <v>32</v>
      </c>
      <c r="M1301" s="2" t="n">
        <v>24510</v>
      </c>
      <c r="N1301" s="2" t="n">
        <v>3</v>
      </c>
      <c r="O1301" s="2" t="n">
        <v>17</v>
      </c>
      <c r="P1301" s="2" t="n">
        <v>0</v>
      </c>
      <c r="Q1301" s="2" t="n">
        <v>10</v>
      </c>
      <c r="R1301" s="2" t="n">
        <v>2</v>
      </c>
      <c r="S1301" s="2" t="n">
        <v>4</v>
      </c>
      <c r="T1301" s="2" t="n">
        <v>0</v>
      </c>
      <c r="U1301" s="2" t="n">
        <v>3</v>
      </c>
      <c r="V1301" s="2" t="n">
        <v>4</v>
      </c>
      <c r="W1301" s="2" t="n">
        <v>4</v>
      </c>
      <c r="X1301" s="2" t="n">
        <v>3</v>
      </c>
      <c r="Y1301" s="2" t="n">
        <v>2</v>
      </c>
      <c r="Z1301" s="2" t="n">
        <v>3</v>
      </c>
    </row>
    <row r="1302" customFormat="false" ht="15" hidden="false" customHeight="true" outlineLevel="0" collapsed="false">
      <c r="A1302" s="2" t="n">
        <v>30</v>
      </c>
      <c r="B1302" s="2" t="s">
        <v>26</v>
      </c>
      <c r="C1302" s="2" t="s">
        <v>27</v>
      </c>
      <c r="D1302" s="2" t="s">
        <v>28</v>
      </c>
      <c r="E1302" s="2" t="n">
        <v>8</v>
      </c>
      <c r="F1302" s="2" t="n">
        <v>2</v>
      </c>
      <c r="G1302" s="2" t="s">
        <v>51</v>
      </c>
      <c r="H1302" s="2" t="n">
        <v>1301</v>
      </c>
      <c r="I1302" s="2" t="s">
        <v>39</v>
      </c>
      <c r="J1302" s="2" t="n">
        <v>1</v>
      </c>
      <c r="K1302" s="2" t="s">
        <v>48</v>
      </c>
      <c r="L1302" s="2" t="s">
        <v>32</v>
      </c>
      <c r="M1302" s="2" t="n">
        <v>63920</v>
      </c>
      <c r="N1302" s="2" t="n">
        <v>1</v>
      </c>
      <c r="O1302" s="2" t="n">
        <v>21</v>
      </c>
      <c r="P1302" s="2" t="n">
        <v>1</v>
      </c>
      <c r="Q1302" s="2" t="n">
        <v>11</v>
      </c>
      <c r="R1302" s="2" t="n">
        <v>2</v>
      </c>
      <c r="S1302" s="2" t="n">
        <v>11</v>
      </c>
      <c r="T1302" s="2" t="n">
        <v>10</v>
      </c>
      <c r="U1302" s="2" t="n">
        <v>8</v>
      </c>
      <c r="V1302" s="2" t="n">
        <v>3</v>
      </c>
      <c r="W1302" s="2" t="n">
        <v>4</v>
      </c>
      <c r="X1302" s="2" t="n">
        <v>3</v>
      </c>
      <c r="Y1302" s="2" t="n">
        <v>4</v>
      </c>
      <c r="Z1302" s="2" t="n">
        <v>4</v>
      </c>
    </row>
    <row r="1303" customFormat="false" ht="15" hidden="false" customHeight="true" outlineLevel="0" collapsed="false">
      <c r="A1303" s="2" t="n">
        <v>46</v>
      </c>
      <c r="B1303" s="2" t="s">
        <v>33</v>
      </c>
      <c r="C1303" s="2" t="s">
        <v>27</v>
      </c>
      <c r="D1303" s="2" t="s">
        <v>28</v>
      </c>
      <c r="E1303" s="2" t="n">
        <v>1</v>
      </c>
      <c r="F1303" s="2" t="n">
        <v>2</v>
      </c>
      <c r="G1303" s="2" t="s">
        <v>43</v>
      </c>
      <c r="H1303" s="2" t="n">
        <v>1302</v>
      </c>
      <c r="I1303" s="2" t="s">
        <v>30</v>
      </c>
      <c r="J1303" s="2" t="n">
        <v>2</v>
      </c>
      <c r="K1303" s="2" t="s">
        <v>36</v>
      </c>
      <c r="L1303" s="2" t="s">
        <v>37</v>
      </c>
      <c r="M1303" s="2" t="n">
        <v>97140</v>
      </c>
      <c r="N1303" s="2" t="n">
        <v>1</v>
      </c>
      <c r="O1303" s="2" t="n">
        <v>22</v>
      </c>
      <c r="P1303" s="2" t="n">
        <v>0</v>
      </c>
      <c r="Q1303" s="2" t="n">
        <v>9</v>
      </c>
      <c r="R1303" s="2" t="n">
        <v>0</v>
      </c>
      <c r="S1303" s="2" t="n">
        <v>9</v>
      </c>
      <c r="T1303" s="2" t="n">
        <v>4</v>
      </c>
      <c r="U1303" s="2" t="n">
        <v>7</v>
      </c>
      <c r="V1303" s="2" t="n">
        <v>3</v>
      </c>
      <c r="W1303" s="2" t="n">
        <v>4</v>
      </c>
      <c r="X1303" s="2" t="n">
        <v>3</v>
      </c>
      <c r="Y1303" s="2" t="n">
        <v>3</v>
      </c>
      <c r="Z1303" s="2" t="n">
        <v>4</v>
      </c>
    </row>
    <row r="1304" customFormat="false" ht="15" hidden="false" customHeight="true" outlineLevel="0" collapsed="false">
      <c r="A1304" s="2" t="n">
        <v>40</v>
      </c>
      <c r="B1304" s="2" t="s">
        <v>26</v>
      </c>
      <c r="C1304" s="2" t="s">
        <v>34</v>
      </c>
      <c r="D1304" s="2" t="s">
        <v>35</v>
      </c>
      <c r="E1304" s="2" t="n">
        <v>6</v>
      </c>
      <c r="F1304" s="2" t="n">
        <v>3</v>
      </c>
      <c r="G1304" s="2" t="s">
        <v>43</v>
      </c>
      <c r="H1304" s="2" t="n">
        <v>1303</v>
      </c>
      <c r="I1304" s="2" t="s">
        <v>39</v>
      </c>
      <c r="J1304" s="2" t="n">
        <v>1</v>
      </c>
      <c r="K1304" s="2" t="s">
        <v>31</v>
      </c>
      <c r="L1304" s="2" t="s">
        <v>32</v>
      </c>
      <c r="M1304" s="2" t="n">
        <v>60770</v>
      </c>
      <c r="N1304" s="2" t="n">
        <v>1</v>
      </c>
      <c r="O1304" s="2" t="n">
        <v>16</v>
      </c>
      <c r="P1304" s="2" t="n">
        <v>2</v>
      </c>
      <c r="Q1304" s="2" t="n">
        <v>22</v>
      </c>
      <c r="R1304" s="2" t="n">
        <v>2</v>
      </c>
      <c r="S1304" s="2" t="n">
        <v>22</v>
      </c>
      <c r="T1304" s="2" t="n">
        <v>11</v>
      </c>
      <c r="U1304" s="2" t="n">
        <v>11</v>
      </c>
      <c r="V1304" s="2" t="n">
        <v>3</v>
      </c>
      <c r="W1304" s="2" t="n">
        <v>2</v>
      </c>
      <c r="X1304" s="2" t="n">
        <v>2</v>
      </c>
      <c r="Y1304" s="2" t="n">
        <v>2</v>
      </c>
      <c r="Z1304" s="2" t="n">
        <v>3</v>
      </c>
    </row>
    <row r="1305" customFormat="false" ht="15" hidden="false" customHeight="true" outlineLevel="0" collapsed="false">
      <c r="A1305" s="2" t="n">
        <v>51</v>
      </c>
      <c r="B1305" s="2" t="s">
        <v>26</v>
      </c>
      <c r="C1305" s="2" t="s">
        <v>27</v>
      </c>
      <c r="D1305" s="2" t="s">
        <v>35</v>
      </c>
      <c r="E1305" s="2" t="n">
        <v>8</v>
      </c>
      <c r="F1305" s="2" t="n">
        <v>4</v>
      </c>
      <c r="G1305" s="2" t="s">
        <v>29</v>
      </c>
      <c r="H1305" s="2" t="n">
        <v>1304</v>
      </c>
      <c r="I1305" s="2" t="s">
        <v>30</v>
      </c>
      <c r="J1305" s="2" t="n">
        <v>5</v>
      </c>
      <c r="K1305" s="2" t="s">
        <v>48</v>
      </c>
      <c r="L1305" s="2" t="s">
        <v>37</v>
      </c>
      <c r="M1305" s="2" t="n">
        <v>24500</v>
      </c>
      <c r="N1305" s="2" t="n">
        <v>0</v>
      </c>
      <c r="O1305" s="2" t="n">
        <v>12</v>
      </c>
      <c r="P1305" s="2" t="n">
        <v>1</v>
      </c>
      <c r="Q1305" s="2" t="n">
        <v>11</v>
      </c>
      <c r="R1305" s="2" t="n">
        <v>2</v>
      </c>
      <c r="S1305" s="2" t="n">
        <v>10</v>
      </c>
      <c r="T1305" s="2" t="n">
        <v>1</v>
      </c>
      <c r="U1305" s="2" t="n">
        <v>0</v>
      </c>
      <c r="V1305" s="2" t="n">
        <v>3</v>
      </c>
      <c r="W1305" s="2" t="n">
        <v>4</v>
      </c>
      <c r="X1305" s="2" t="n">
        <v>1</v>
      </c>
      <c r="Y1305" s="2" t="n">
        <v>3</v>
      </c>
      <c r="Z1305" s="2" t="n">
        <v>3</v>
      </c>
    </row>
    <row r="1306" customFormat="false" ht="15" hidden="false" customHeight="true" outlineLevel="0" collapsed="false">
      <c r="A1306" s="2" t="n">
        <v>30</v>
      </c>
      <c r="B1306" s="2" t="s">
        <v>26</v>
      </c>
      <c r="C1306" s="2" t="s">
        <v>27</v>
      </c>
      <c r="D1306" s="2" t="s">
        <v>35</v>
      </c>
      <c r="E1306" s="2" t="n">
        <v>9</v>
      </c>
      <c r="F1306" s="2" t="n">
        <v>3</v>
      </c>
      <c r="G1306" s="2" t="s">
        <v>29</v>
      </c>
      <c r="H1306" s="2" t="n">
        <v>1305</v>
      </c>
      <c r="I1306" s="2" t="s">
        <v>39</v>
      </c>
      <c r="J1306" s="2" t="n">
        <v>1</v>
      </c>
      <c r="K1306" s="2" t="s">
        <v>47</v>
      </c>
      <c r="L1306" s="2" t="s">
        <v>46</v>
      </c>
      <c r="M1306" s="2" t="n">
        <v>92500</v>
      </c>
      <c r="N1306" s="2" t="n">
        <v>1</v>
      </c>
      <c r="O1306" s="2" t="n">
        <v>12</v>
      </c>
      <c r="P1306" s="2" t="n">
        <v>3</v>
      </c>
      <c r="Q1306" s="2" t="n">
        <v>11</v>
      </c>
      <c r="R1306" s="2" t="n">
        <v>0</v>
      </c>
      <c r="S1306" s="2" t="n">
        <v>11</v>
      </c>
      <c r="T1306" s="2" t="n">
        <v>2</v>
      </c>
      <c r="U1306" s="2" t="n">
        <v>7</v>
      </c>
      <c r="V1306" s="2" t="n">
        <v>3</v>
      </c>
      <c r="W1306" s="2" t="n">
        <v>2</v>
      </c>
      <c r="X1306" s="2" t="n">
        <v>2</v>
      </c>
      <c r="Y1306" s="2" t="n">
        <v>3</v>
      </c>
      <c r="Z1306" s="2" t="n">
        <v>3</v>
      </c>
    </row>
    <row r="1307" customFormat="false" ht="15" hidden="false" customHeight="true" outlineLevel="0" collapsed="false">
      <c r="A1307" s="2" t="n">
        <v>46</v>
      </c>
      <c r="B1307" s="2" t="s">
        <v>26</v>
      </c>
      <c r="C1307" s="2" t="s">
        <v>34</v>
      </c>
      <c r="D1307" s="2" t="s">
        <v>35</v>
      </c>
      <c r="E1307" s="2" t="n">
        <v>12</v>
      </c>
      <c r="F1307" s="2" t="n">
        <v>1</v>
      </c>
      <c r="G1307" s="2" t="s">
        <v>43</v>
      </c>
      <c r="H1307" s="2" t="n">
        <v>1306</v>
      </c>
      <c r="I1307" s="2" t="s">
        <v>39</v>
      </c>
      <c r="J1307" s="2" t="n">
        <v>1</v>
      </c>
      <c r="K1307" s="2" t="s">
        <v>45</v>
      </c>
      <c r="L1307" s="2" t="s">
        <v>32</v>
      </c>
      <c r="M1307" s="2" t="n">
        <v>20740</v>
      </c>
      <c r="N1307" s="2" t="n">
        <v>2</v>
      </c>
      <c r="O1307" s="2" t="n">
        <v>15</v>
      </c>
      <c r="P1307" s="2" t="n">
        <v>1</v>
      </c>
      <c r="Q1307" s="2" t="n">
        <v>21</v>
      </c>
      <c r="R1307" s="2" t="n">
        <v>3</v>
      </c>
      <c r="S1307" s="2" t="n">
        <v>10</v>
      </c>
      <c r="T1307" s="2" t="n">
        <v>9</v>
      </c>
      <c r="U1307" s="2" t="n">
        <v>5</v>
      </c>
      <c r="V1307" s="2" t="n">
        <v>3</v>
      </c>
      <c r="W1307" s="2" t="n">
        <v>1</v>
      </c>
      <c r="X1307" s="2" t="n">
        <v>2</v>
      </c>
      <c r="Y1307" s="2" t="n">
        <v>3</v>
      </c>
      <c r="Z1307" s="2" t="n">
        <v>3</v>
      </c>
    </row>
    <row r="1308" customFormat="false" ht="15" hidden="false" customHeight="true" outlineLevel="0" collapsed="false">
      <c r="A1308" s="2" t="n">
        <v>32</v>
      </c>
      <c r="B1308" s="2" t="s">
        <v>26</v>
      </c>
      <c r="C1308" s="2" t="s">
        <v>27</v>
      </c>
      <c r="D1308" s="2" t="s">
        <v>28</v>
      </c>
      <c r="E1308" s="2" t="n">
        <v>15</v>
      </c>
      <c r="F1308" s="2" t="n">
        <v>3</v>
      </c>
      <c r="G1308" s="2" t="s">
        <v>50</v>
      </c>
      <c r="H1308" s="2" t="n">
        <v>1307</v>
      </c>
      <c r="I1308" s="2" t="s">
        <v>39</v>
      </c>
      <c r="J1308" s="2" t="n">
        <v>1</v>
      </c>
      <c r="K1308" s="2" t="s">
        <v>36</v>
      </c>
      <c r="L1308" s="2" t="s">
        <v>37</v>
      </c>
      <c r="M1308" s="2" t="n">
        <v>101690</v>
      </c>
      <c r="N1308" s="2" t="n">
        <v>1</v>
      </c>
      <c r="O1308" s="2" t="n">
        <v>14</v>
      </c>
      <c r="P1308" s="2" t="n">
        <v>0</v>
      </c>
      <c r="Q1308" s="2" t="n">
        <v>12</v>
      </c>
      <c r="R1308" s="2" t="n">
        <v>6</v>
      </c>
      <c r="S1308" s="2" t="n">
        <v>11</v>
      </c>
      <c r="T1308" s="2" t="n">
        <v>5</v>
      </c>
      <c r="U1308" s="2" t="n">
        <v>7</v>
      </c>
      <c r="V1308" s="2" t="n">
        <v>2</v>
      </c>
      <c r="W1308" s="2" t="n">
        <v>3</v>
      </c>
      <c r="X1308" s="2" t="n">
        <v>3</v>
      </c>
      <c r="Y1308" s="2" t="n">
        <v>2</v>
      </c>
      <c r="Z1308" s="2" t="n">
        <v>3</v>
      </c>
    </row>
    <row r="1309" customFormat="false" ht="15" hidden="false" customHeight="true" outlineLevel="0" collapsed="false">
      <c r="A1309" s="2" t="n">
        <v>54</v>
      </c>
      <c r="B1309" s="2" t="s">
        <v>26</v>
      </c>
      <c r="C1309" s="2" t="s">
        <v>27</v>
      </c>
      <c r="D1309" s="2" t="s">
        <v>35</v>
      </c>
      <c r="E1309" s="2" t="n">
        <v>25</v>
      </c>
      <c r="F1309" s="2" t="n">
        <v>1</v>
      </c>
      <c r="G1309" s="2" t="s">
        <v>43</v>
      </c>
      <c r="H1309" s="2" t="n">
        <v>1308</v>
      </c>
      <c r="I1309" s="2" t="s">
        <v>30</v>
      </c>
      <c r="J1309" s="2" t="n">
        <v>1</v>
      </c>
      <c r="K1309" s="2" t="s">
        <v>45</v>
      </c>
      <c r="L1309" s="2" t="s">
        <v>32</v>
      </c>
      <c r="M1309" s="2" t="n">
        <v>48550</v>
      </c>
      <c r="N1309" s="2" t="n">
        <v>9</v>
      </c>
      <c r="O1309" s="2" t="n">
        <v>25</v>
      </c>
      <c r="P1309" s="2" t="n">
        <v>1</v>
      </c>
      <c r="Q1309" s="2" t="n">
        <v>16</v>
      </c>
      <c r="R1309" s="2" t="n">
        <v>2</v>
      </c>
      <c r="S1309" s="2" t="n">
        <v>4</v>
      </c>
      <c r="T1309" s="2" t="n">
        <v>0</v>
      </c>
      <c r="U1309" s="2" t="n">
        <v>3</v>
      </c>
      <c r="V1309" s="2" t="n">
        <v>1</v>
      </c>
      <c r="W1309" s="2" t="n">
        <v>3</v>
      </c>
      <c r="X1309" s="2" t="n">
        <v>1</v>
      </c>
      <c r="Y1309" s="2" t="n">
        <v>2</v>
      </c>
      <c r="Z1309" s="2" t="n">
        <v>4</v>
      </c>
    </row>
    <row r="1310" customFormat="false" ht="15" hidden="false" customHeight="true" outlineLevel="0" collapsed="false">
      <c r="A1310" s="2" t="n">
        <v>24</v>
      </c>
      <c r="B1310" s="2" t="s">
        <v>26</v>
      </c>
      <c r="C1310" s="2" t="s">
        <v>27</v>
      </c>
      <c r="D1310" s="2" t="s">
        <v>28</v>
      </c>
      <c r="E1310" s="2" t="n">
        <v>6</v>
      </c>
      <c r="F1310" s="2" t="n">
        <v>2</v>
      </c>
      <c r="G1310" s="2" t="s">
        <v>50</v>
      </c>
      <c r="H1310" s="2" t="n">
        <v>1309</v>
      </c>
      <c r="I1310" s="2" t="s">
        <v>39</v>
      </c>
      <c r="J1310" s="2" t="n">
        <v>2</v>
      </c>
      <c r="K1310" s="2" t="s">
        <v>36</v>
      </c>
      <c r="L1310" s="2" t="s">
        <v>32</v>
      </c>
      <c r="M1310" s="2" t="n">
        <v>40870</v>
      </c>
      <c r="N1310" s="2" t="n">
        <v>0</v>
      </c>
      <c r="O1310" s="2" t="n">
        <v>20</v>
      </c>
      <c r="P1310" s="2" t="n">
        <v>3</v>
      </c>
      <c r="Q1310" s="2" t="n">
        <v>4</v>
      </c>
      <c r="R1310" s="2" t="n">
        <v>1</v>
      </c>
      <c r="S1310" s="2" t="n">
        <v>3</v>
      </c>
      <c r="T1310" s="2" t="n">
        <v>0</v>
      </c>
      <c r="U1310" s="2" t="n">
        <v>2</v>
      </c>
      <c r="V1310" s="2" t="n">
        <v>1</v>
      </c>
      <c r="W1310" s="2" t="n">
        <v>3</v>
      </c>
      <c r="X1310" s="2" t="n">
        <v>2</v>
      </c>
      <c r="Y1310" s="2" t="n">
        <v>3</v>
      </c>
      <c r="Z1310" s="2" t="n">
        <v>4</v>
      </c>
    </row>
    <row r="1311" customFormat="false" ht="15" hidden="false" customHeight="true" outlineLevel="0" collapsed="false">
      <c r="A1311" s="2" t="n">
        <v>28</v>
      </c>
      <c r="B1311" s="2" t="s">
        <v>26</v>
      </c>
      <c r="C1311" s="2" t="s">
        <v>41</v>
      </c>
      <c r="D1311" s="2" t="s">
        <v>28</v>
      </c>
      <c r="E1311" s="2" t="n">
        <v>9</v>
      </c>
      <c r="F1311" s="2" t="n">
        <v>4</v>
      </c>
      <c r="G1311" s="2" t="s">
        <v>43</v>
      </c>
      <c r="H1311" s="2" t="n">
        <v>1310</v>
      </c>
      <c r="I1311" s="2" t="s">
        <v>39</v>
      </c>
      <c r="J1311" s="2" t="n">
        <v>2</v>
      </c>
      <c r="K1311" s="2" t="s">
        <v>45</v>
      </c>
      <c r="L1311" s="2" t="s">
        <v>32</v>
      </c>
      <c r="M1311" s="2" t="n">
        <v>23670</v>
      </c>
      <c r="N1311" s="2" t="n">
        <v>1</v>
      </c>
      <c r="O1311" s="2" t="n">
        <v>13</v>
      </c>
      <c r="P1311" s="2" t="n">
        <v>0</v>
      </c>
      <c r="Q1311" s="2" t="n">
        <v>5</v>
      </c>
      <c r="R1311" s="2" t="n">
        <v>2</v>
      </c>
      <c r="S1311" s="2" t="n">
        <v>5</v>
      </c>
      <c r="T1311" s="2" t="n">
        <v>0</v>
      </c>
      <c r="U1311" s="2" t="n">
        <v>4</v>
      </c>
      <c r="V1311" s="2" t="n">
        <v>2</v>
      </c>
      <c r="W1311" s="2" t="n">
        <v>3</v>
      </c>
      <c r="X1311" s="2" t="n">
        <v>4</v>
      </c>
      <c r="Y1311" s="2" t="n">
        <v>2</v>
      </c>
      <c r="Z1311" s="2" t="n">
        <v>3</v>
      </c>
    </row>
    <row r="1312" customFormat="false" ht="15" hidden="false" customHeight="true" outlineLevel="0" collapsed="false">
      <c r="A1312" s="2" t="n">
        <v>58</v>
      </c>
      <c r="B1312" s="2" t="s">
        <v>26</v>
      </c>
      <c r="C1312" s="2" t="s">
        <v>27</v>
      </c>
      <c r="D1312" s="2" t="s">
        <v>35</v>
      </c>
      <c r="E1312" s="2" t="n">
        <v>8</v>
      </c>
      <c r="F1312" s="2" t="n">
        <v>4</v>
      </c>
      <c r="G1312" s="2" t="s">
        <v>29</v>
      </c>
      <c r="H1312" s="2" t="n">
        <v>1311</v>
      </c>
      <c r="I1312" s="2" t="s">
        <v>39</v>
      </c>
      <c r="J1312" s="2" t="n">
        <v>2</v>
      </c>
      <c r="K1312" s="2" t="s">
        <v>40</v>
      </c>
      <c r="L1312" s="2" t="s">
        <v>37</v>
      </c>
      <c r="M1312" s="2" t="n">
        <v>29720</v>
      </c>
      <c r="N1312" s="2" t="n">
        <v>0</v>
      </c>
      <c r="O1312" s="2" t="n">
        <v>14</v>
      </c>
      <c r="P1312" s="2" t="n">
        <v>0</v>
      </c>
      <c r="Q1312" s="2" t="n">
        <v>38</v>
      </c>
      <c r="R1312" s="2" t="n">
        <v>2</v>
      </c>
      <c r="S1312" s="2" t="n">
        <v>37</v>
      </c>
      <c r="T1312" s="2" t="n">
        <v>1</v>
      </c>
      <c r="U1312" s="2" t="n">
        <v>8</v>
      </c>
      <c r="V1312" s="2" t="n">
        <v>4</v>
      </c>
      <c r="W1312" s="2" t="n">
        <v>3</v>
      </c>
      <c r="X1312" s="2" t="n">
        <v>2</v>
      </c>
      <c r="Y1312" s="2" t="n">
        <v>4</v>
      </c>
      <c r="Z1312" s="2" t="n">
        <v>3</v>
      </c>
    </row>
    <row r="1313" customFormat="false" ht="15" hidden="false" customHeight="true" outlineLevel="0" collapsed="false">
      <c r="A1313" s="2" t="n">
        <v>44</v>
      </c>
      <c r="B1313" s="2" t="s">
        <v>26</v>
      </c>
      <c r="C1313" s="2" t="s">
        <v>41</v>
      </c>
      <c r="D1313" s="2" t="s">
        <v>35</v>
      </c>
      <c r="E1313" s="2" t="n">
        <v>23</v>
      </c>
      <c r="F1313" s="2" t="n">
        <v>2</v>
      </c>
      <c r="G1313" s="2" t="s">
        <v>43</v>
      </c>
      <c r="H1313" s="2" t="n">
        <v>1312</v>
      </c>
      <c r="I1313" s="2" t="s">
        <v>30</v>
      </c>
      <c r="J1313" s="2" t="n">
        <v>1</v>
      </c>
      <c r="K1313" s="2" t="s">
        <v>36</v>
      </c>
      <c r="L1313" s="2" t="s">
        <v>32</v>
      </c>
      <c r="M1313" s="2" t="n">
        <v>195860</v>
      </c>
      <c r="N1313" s="2" t="n">
        <v>4</v>
      </c>
      <c r="O1313" s="2" t="n">
        <v>16</v>
      </c>
      <c r="P1313" s="2" t="n">
        <v>0</v>
      </c>
      <c r="Q1313" s="2" t="n">
        <v>17</v>
      </c>
      <c r="R1313" s="2" t="n">
        <v>3</v>
      </c>
      <c r="S1313" s="2" t="n">
        <v>3</v>
      </c>
      <c r="T1313" s="2" t="n">
        <v>1</v>
      </c>
      <c r="U1313" s="2" t="n">
        <v>2</v>
      </c>
      <c r="V1313" s="2" t="n">
        <v>2</v>
      </c>
      <c r="W1313" s="2" t="n">
        <v>2</v>
      </c>
      <c r="X1313" s="2" t="n">
        <v>4</v>
      </c>
      <c r="Y1313" s="2" t="n">
        <v>2</v>
      </c>
      <c r="Z1313" s="2" t="n">
        <v>3</v>
      </c>
    </row>
    <row r="1314" customFormat="false" ht="15" hidden="false" customHeight="true" outlineLevel="0" collapsed="false">
      <c r="A1314" s="2" t="n">
        <v>37</v>
      </c>
      <c r="B1314" s="2" t="s">
        <v>33</v>
      </c>
      <c r="C1314" s="2" t="s">
        <v>27</v>
      </c>
      <c r="D1314" s="2" t="s">
        <v>42</v>
      </c>
      <c r="E1314" s="2" t="n">
        <v>9</v>
      </c>
      <c r="F1314" s="2" t="n">
        <v>3</v>
      </c>
      <c r="G1314" s="2" t="s">
        <v>42</v>
      </c>
      <c r="H1314" s="2" t="n">
        <v>1313</v>
      </c>
      <c r="I1314" s="2" t="s">
        <v>39</v>
      </c>
      <c r="J1314" s="2" t="n">
        <v>2</v>
      </c>
      <c r="K1314" s="2" t="s">
        <v>31</v>
      </c>
      <c r="L1314" s="2" t="s">
        <v>46</v>
      </c>
      <c r="M1314" s="2" t="n">
        <v>54840</v>
      </c>
      <c r="N1314" s="2"/>
      <c r="O1314" s="2" t="n">
        <v>17</v>
      </c>
      <c r="P1314" s="2" t="n">
        <v>0</v>
      </c>
      <c r="Q1314" s="2" t="n">
        <v>7</v>
      </c>
      <c r="R1314" s="2" t="n">
        <v>4</v>
      </c>
      <c r="S1314" s="2" t="n">
        <v>3</v>
      </c>
      <c r="T1314" s="2" t="n">
        <v>0</v>
      </c>
      <c r="U1314" s="2" t="n">
        <v>2</v>
      </c>
      <c r="V1314" s="2" t="n">
        <v>3</v>
      </c>
      <c r="W1314" s="2" t="n">
        <v>1</v>
      </c>
      <c r="X1314" s="2" t="n">
        <v>3</v>
      </c>
      <c r="Y1314" s="2" t="n">
        <v>3</v>
      </c>
      <c r="Z1314" s="2" t="n">
        <v>3</v>
      </c>
    </row>
    <row r="1315" customFormat="false" ht="15" hidden="false" customHeight="true" outlineLevel="0" collapsed="false">
      <c r="A1315" s="2" t="n">
        <v>32</v>
      </c>
      <c r="B1315" s="2" t="s">
        <v>26</v>
      </c>
      <c r="C1315" s="2" t="s">
        <v>27</v>
      </c>
      <c r="D1315" s="2" t="s">
        <v>42</v>
      </c>
      <c r="E1315" s="2" t="n">
        <v>12</v>
      </c>
      <c r="F1315" s="2" t="n">
        <v>2</v>
      </c>
      <c r="G1315" s="2" t="s">
        <v>42</v>
      </c>
      <c r="H1315" s="2" t="n">
        <v>1314</v>
      </c>
      <c r="I1315" s="2" t="s">
        <v>30</v>
      </c>
      <c r="J1315" s="2" t="n">
        <v>1</v>
      </c>
      <c r="K1315" s="2" t="s">
        <v>48</v>
      </c>
      <c r="L1315" s="2" t="s">
        <v>37</v>
      </c>
      <c r="M1315" s="2" t="n">
        <v>20610</v>
      </c>
      <c r="N1315" s="2" t="n">
        <v>1</v>
      </c>
      <c r="O1315" s="2" t="n">
        <v>15</v>
      </c>
      <c r="P1315" s="2" t="n">
        <v>1</v>
      </c>
      <c r="Q1315" s="2" t="n">
        <v>1</v>
      </c>
      <c r="R1315" s="2" t="n">
        <v>2</v>
      </c>
      <c r="S1315" s="2" t="n">
        <v>1</v>
      </c>
      <c r="T1315" s="2" t="n">
        <v>0</v>
      </c>
      <c r="U1315" s="2" t="n">
        <v>0</v>
      </c>
      <c r="V1315" s="2" t="n">
        <v>4</v>
      </c>
      <c r="W1315" s="2" t="n">
        <v>1</v>
      </c>
      <c r="X1315" s="2" t="n">
        <v>3</v>
      </c>
      <c r="Y1315" s="2" t="n">
        <v>2</v>
      </c>
      <c r="Z1315" s="2" t="n">
        <v>3</v>
      </c>
    </row>
    <row r="1316" customFormat="false" ht="15" hidden="false" customHeight="true" outlineLevel="0" collapsed="false">
      <c r="A1316" s="2" t="n">
        <v>20</v>
      </c>
      <c r="B1316" s="2" t="s">
        <v>33</v>
      </c>
      <c r="C1316" s="2" t="s">
        <v>34</v>
      </c>
      <c r="D1316" s="2" t="s">
        <v>28</v>
      </c>
      <c r="E1316" s="2" t="n">
        <v>4</v>
      </c>
      <c r="F1316" s="2" t="n">
        <v>4</v>
      </c>
      <c r="G1316" s="2" t="s">
        <v>29</v>
      </c>
      <c r="H1316" s="2" t="n">
        <v>1315</v>
      </c>
      <c r="I1316" s="2" t="s">
        <v>30</v>
      </c>
      <c r="J1316" s="2" t="n">
        <v>2</v>
      </c>
      <c r="K1316" s="2" t="s">
        <v>31</v>
      </c>
      <c r="L1316" s="2" t="s">
        <v>37</v>
      </c>
      <c r="M1316" s="2" t="n">
        <v>99240</v>
      </c>
      <c r="N1316" s="2" t="n">
        <v>1</v>
      </c>
      <c r="O1316" s="2" t="n">
        <v>22</v>
      </c>
      <c r="P1316" s="2" t="n">
        <v>0</v>
      </c>
      <c r="Q1316" s="2" t="n">
        <v>1</v>
      </c>
      <c r="R1316" s="2" t="n">
        <v>3</v>
      </c>
      <c r="S1316" s="2" t="n">
        <v>1</v>
      </c>
      <c r="T1316" s="2" t="n">
        <v>1</v>
      </c>
      <c r="U1316" s="2" t="n">
        <v>0</v>
      </c>
      <c r="V1316" s="2" t="n">
        <v>4</v>
      </c>
      <c r="W1316" s="2" t="n">
        <v>4</v>
      </c>
      <c r="X1316" s="2" t="n">
        <v>3</v>
      </c>
      <c r="Y1316" s="2" t="n">
        <v>3</v>
      </c>
      <c r="Z1316" s="2" t="n">
        <v>4</v>
      </c>
    </row>
    <row r="1317" customFormat="false" ht="15" hidden="false" customHeight="true" outlineLevel="0" collapsed="false">
      <c r="A1317" s="2" t="n">
        <v>34</v>
      </c>
      <c r="B1317" s="2" t="s">
        <v>26</v>
      </c>
      <c r="C1317" s="2" t="s">
        <v>27</v>
      </c>
      <c r="D1317" s="2" t="s">
        <v>35</v>
      </c>
      <c r="E1317" s="2" t="n">
        <v>1</v>
      </c>
      <c r="F1317" s="2" t="n">
        <v>4</v>
      </c>
      <c r="G1317" s="2" t="s">
        <v>38</v>
      </c>
      <c r="H1317" s="2" t="n">
        <v>1316</v>
      </c>
      <c r="I1317" s="2" t="s">
        <v>39</v>
      </c>
      <c r="J1317" s="2" t="n">
        <v>4</v>
      </c>
      <c r="K1317" s="2" t="s">
        <v>45</v>
      </c>
      <c r="L1317" s="2" t="s">
        <v>37</v>
      </c>
      <c r="M1317" s="2" t="n">
        <v>41980</v>
      </c>
      <c r="N1317" s="2" t="n">
        <v>1</v>
      </c>
      <c r="O1317" s="2" t="n">
        <v>22</v>
      </c>
      <c r="P1317" s="2" t="n">
        <v>1</v>
      </c>
      <c r="Q1317" s="2" t="n">
        <v>16</v>
      </c>
      <c r="R1317" s="2" t="n">
        <v>2</v>
      </c>
      <c r="S1317" s="2" t="n">
        <v>16</v>
      </c>
      <c r="T1317" s="2" t="n">
        <v>2</v>
      </c>
      <c r="U1317" s="2" t="n">
        <v>10</v>
      </c>
      <c r="V1317" s="2" t="n">
        <v>1</v>
      </c>
      <c r="W1317" s="2" t="n">
        <v>3</v>
      </c>
      <c r="X1317" s="2" t="n">
        <v>3</v>
      </c>
      <c r="Y1317" s="2" t="n">
        <v>2</v>
      </c>
      <c r="Z1317" s="2" t="n">
        <v>4</v>
      </c>
    </row>
    <row r="1318" customFormat="false" ht="15" hidden="false" customHeight="true" outlineLevel="0" collapsed="false">
      <c r="A1318" s="2" t="n">
        <v>37</v>
      </c>
      <c r="B1318" s="2" t="s">
        <v>26</v>
      </c>
      <c r="C1318" s="2" t="s">
        <v>41</v>
      </c>
      <c r="D1318" s="2" t="s">
        <v>28</v>
      </c>
      <c r="E1318" s="2" t="n">
        <v>24</v>
      </c>
      <c r="F1318" s="2" t="n">
        <v>2</v>
      </c>
      <c r="G1318" s="2" t="s">
        <v>29</v>
      </c>
      <c r="H1318" s="2" t="n">
        <v>1317</v>
      </c>
      <c r="I1318" s="2" t="s">
        <v>39</v>
      </c>
      <c r="J1318" s="2" t="n">
        <v>1</v>
      </c>
      <c r="K1318" s="2" t="s">
        <v>36</v>
      </c>
      <c r="L1318" s="2" t="s">
        <v>46</v>
      </c>
      <c r="M1318" s="2" t="n">
        <v>68150</v>
      </c>
      <c r="N1318" s="2" t="n">
        <v>5</v>
      </c>
      <c r="O1318" s="2" t="n">
        <v>20</v>
      </c>
      <c r="P1318" s="2" t="n">
        <v>1</v>
      </c>
      <c r="Q1318" s="2" t="n">
        <v>17</v>
      </c>
      <c r="R1318" s="2" t="n">
        <v>3</v>
      </c>
      <c r="S1318" s="2" t="n">
        <v>1</v>
      </c>
      <c r="T1318" s="2" t="n">
        <v>0</v>
      </c>
      <c r="U1318" s="2" t="n">
        <v>0</v>
      </c>
      <c r="V1318" s="2" t="n">
        <v>3</v>
      </c>
      <c r="W1318" s="2" t="n">
        <v>4</v>
      </c>
      <c r="X1318" s="2" t="n">
        <v>4</v>
      </c>
      <c r="Y1318" s="2" t="n">
        <v>3</v>
      </c>
      <c r="Z1318" s="2" t="n">
        <v>4</v>
      </c>
    </row>
    <row r="1319" customFormat="false" ht="15" hidden="false" customHeight="true" outlineLevel="0" collapsed="false">
      <c r="A1319" s="2" t="n">
        <v>59</v>
      </c>
      <c r="B1319" s="2" t="s">
        <v>26</v>
      </c>
      <c r="C1319" s="2" t="s">
        <v>41</v>
      </c>
      <c r="D1319" s="2" t="s">
        <v>35</v>
      </c>
      <c r="E1319" s="2" t="n">
        <v>12</v>
      </c>
      <c r="F1319" s="2" t="n">
        <v>2</v>
      </c>
      <c r="G1319" s="2" t="s">
        <v>29</v>
      </c>
      <c r="H1319" s="2" t="n">
        <v>1318</v>
      </c>
      <c r="I1319" s="2" t="s">
        <v>39</v>
      </c>
      <c r="J1319" s="2" t="n">
        <v>2</v>
      </c>
      <c r="K1319" s="2" t="s">
        <v>40</v>
      </c>
      <c r="L1319" s="2" t="s">
        <v>32</v>
      </c>
      <c r="M1319" s="2" t="n">
        <v>47230</v>
      </c>
      <c r="N1319" s="2" t="n">
        <v>9</v>
      </c>
      <c r="O1319" s="2" t="n">
        <v>14</v>
      </c>
      <c r="P1319" s="2" t="n">
        <v>0</v>
      </c>
      <c r="Q1319" s="2" t="n">
        <v>30</v>
      </c>
      <c r="R1319" s="2" t="n">
        <v>0</v>
      </c>
      <c r="S1319" s="2" t="n">
        <v>3</v>
      </c>
      <c r="T1319" s="2" t="n">
        <v>2</v>
      </c>
      <c r="U1319" s="2" t="n">
        <v>2</v>
      </c>
      <c r="V1319" s="2" t="n">
        <v>3</v>
      </c>
      <c r="W1319" s="2" t="n">
        <v>4</v>
      </c>
      <c r="X1319" s="2" t="n">
        <v>3</v>
      </c>
      <c r="Y1319" s="2" t="n">
        <v>3</v>
      </c>
      <c r="Z1319" s="2" t="n">
        <v>3</v>
      </c>
    </row>
    <row r="1320" customFormat="false" ht="15" hidden="false" customHeight="true" outlineLevel="0" collapsed="false">
      <c r="A1320" s="2" t="n">
        <v>50</v>
      </c>
      <c r="B1320" s="2" t="s">
        <v>26</v>
      </c>
      <c r="C1320" s="2" t="s">
        <v>34</v>
      </c>
      <c r="D1320" s="2" t="s">
        <v>35</v>
      </c>
      <c r="E1320" s="2" t="n">
        <v>3</v>
      </c>
      <c r="F1320" s="2" t="n">
        <v>4</v>
      </c>
      <c r="G1320" s="2" t="s">
        <v>43</v>
      </c>
      <c r="H1320" s="2" t="n">
        <v>1319</v>
      </c>
      <c r="I1320" s="2" t="s">
        <v>39</v>
      </c>
      <c r="J1320" s="2" t="n">
        <v>4</v>
      </c>
      <c r="K1320" s="2" t="s">
        <v>36</v>
      </c>
      <c r="L1320" s="2" t="s">
        <v>32</v>
      </c>
      <c r="M1320" s="2" t="n">
        <v>61420</v>
      </c>
      <c r="N1320" s="2" t="n">
        <v>3</v>
      </c>
      <c r="O1320" s="2" t="n">
        <v>13</v>
      </c>
      <c r="P1320" s="2" t="n">
        <v>2</v>
      </c>
      <c r="Q1320" s="2" t="n">
        <v>28</v>
      </c>
      <c r="R1320" s="2" t="n">
        <v>3</v>
      </c>
      <c r="S1320" s="2" t="n">
        <v>8</v>
      </c>
      <c r="T1320" s="2" t="n">
        <v>0</v>
      </c>
      <c r="U1320" s="2" t="n">
        <v>7</v>
      </c>
      <c r="V1320" s="2" t="n">
        <v>1</v>
      </c>
      <c r="W1320" s="2" t="n">
        <v>2</v>
      </c>
      <c r="X1320" s="2" t="n">
        <v>2</v>
      </c>
      <c r="Y1320" s="2" t="n">
        <v>2</v>
      </c>
      <c r="Z1320" s="2" t="n">
        <v>3</v>
      </c>
    </row>
    <row r="1321" customFormat="false" ht="15" hidden="false" customHeight="true" outlineLevel="0" collapsed="false">
      <c r="A1321" s="2" t="n">
        <v>25</v>
      </c>
      <c r="B1321" s="2" t="s">
        <v>33</v>
      </c>
      <c r="C1321" s="2" t="s">
        <v>27</v>
      </c>
      <c r="D1321" s="2" t="s">
        <v>28</v>
      </c>
      <c r="E1321" s="2" t="n">
        <v>10</v>
      </c>
      <c r="F1321" s="2" t="n">
        <v>1</v>
      </c>
      <c r="G1321" s="2" t="s">
        <v>50</v>
      </c>
      <c r="H1321" s="2" t="n">
        <v>1320</v>
      </c>
      <c r="I1321" s="2" t="s">
        <v>39</v>
      </c>
      <c r="J1321" s="2" t="n">
        <v>2</v>
      </c>
      <c r="K1321" s="2" t="s">
        <v>44</v>
      </c>
      <c r="L1321" s="2" t="s">
        <v>37</v>
      </c>
      <c r="M1321" s="2" t="n">
        <v>82370</v>
      </c>
      <c r="N1321" s="2" t="n">
        <v>1</v>
      </c>
      <c r="O1321" s="2" t="n">
        <v>13</v>
      </c>
      <c r="P1321" s="2" t="n">
        <v>0</v>
      </c>
      <c r="Q1321" s="2" t="n">
        <v>6</v>
      </c>
      <c r="R1321" s="2" t="n">
        <v>6</v>
      </c>
      <c r="S1321" s="2" t="n">
        <v>6</v>
      </c>
      <c r="T1321" s="2" t="n">
        <v>0</v>
      </c>
      <c r="U1321" s="2" t="n">
        <v>3</v>
      </c>
      <c r="V1321" s="2" t="n">
        <v>3</v>
      </c>
      <c r="W1321" s="2" t="n">
        <v>3</v>
      </c>
      <c r="X1321" s="2" t="n">
        <v>3</v>
      </c>
      <c r="Y1321" s="2" t="n">
        <v>2</v>
      </c>
      <c r="Z1321" s="2" t="n">
        <v>3</v>
      </c>
    </row>
    <row r="1322" customFormat="false" ht="15" hidden="false" customHeight="true" outlineLevel="0" collapsed="false">
      <c r="A1322" s="2" t="n">
        <v>25</v>
      </c>
      <c r="B1322" s="2" t="s">
        <v>26</v>
      </c>
      <c r="C1322" s="2" t="s">
        <v>27</v>
      </c>
      <c r="D1322" s="2" t="s">
        <v>35</v>
      </c>
      <c r="E1322" s="2" t="n">
        <v>26</v>
      </c>
      <c r="F1322" s="2" t="n">
        <v>3</v>
      </c>
      <c r="G1322" s="2" t="s">
        <v>51</v>
      </c>
      <c r="H1322" s="2" t="n">
        <v>1321</v>
      </c>
      <c r="I1322" s="2" t="s">
        <v>39</v>
      </c>
      <c r="J1322" s="2" t="n">
        <v>1</v>
      </c>
      <c r="K1322" s="2" t="s">
        <v>45</v>
      </c>
      <c r="L1322" s="2" t="s">
        <v>32</v>
      </c>
      <c r="M1322" s="2" t="n">
        <v>88530</v>
      </c>
      <c r="N1322" s="2" t="n">
        <v>1</v>
      </c>
      <c r="O1322" s="2" t="n">
        <v>22</v>
      </c>
      <c r="P1322" s="2" t="n">
        <v>1</v>
      </c>
      <c r="Q1322" s="2" t="n">
        <v>2</v>
      </c>
      <c r="R1322" s="2" t="n">
        <v>3</v>
      </c>
      <c r="S1322" s="2" t="n">
        <v>2</v>
      </c>
      <c r="T1322" s="2" t="n">
        <v>2</v>
      </c>
      <c r="U1322" s="2" t="n">
        <v>1</v>
      </c>
      <c r="V1322" s="2" t="n">
        <v>4</v>
      </c>
      <c r="W1322" s="2" t="n">
        <v>4</v>
      </c>
      <c r="X1322" s="2" t="n">
        <v>3</v>
      </c>
      <c r="Y1322" s="2" t="n">
        <v>3</v>
      </c>
      <c r="Z1322" s="2" t="n">
        <v>4</v>
      </c>
    </row>
    <row r="1323" customFormat="false" ht="15" hidden="false" customHeight="true" outlineLevel="0" collapsed="false">
      <c r="A1323" s="2" t="n">
        <v>22</v>
      </c>
      <c r="B1323" s="2" t="s">
        <v>26</v>
      </c>
      <c r="C1323" s="2" t="s">
        <v>27</v>
      </c>
      <c r="D1323" s="2" t="s">
        <v>35</v>
      </c>
      <c r="E1323" s="2" t="n">
        <v>2</v>
      </c>
      <c r="F1323" s="2" t="n">
        <v>1</v>
      </c>
      <c r="G1323" s="2" t="s">
        <v>29</v>
      </c>
      <c r="H1323" s="2" t="n">
        <v>1322</v>
      </c>
      <c r="I1323" s="2" t="s">
        <v>39</v>
      </c>
      <c r="J1323" s="2" t="n">
        <v>1</v>
      </c>
      <c r="K1323" s="2" t="s">
        <v>48</v>
      </c>
      <c r="L1323" s="2" t="s">
        <v>37</v>
      </c>
      <c r="M1323" s="2" t="n">
        <v>193310</v>
      </c>
      <c r="N1323" s="2" t="n">
        <v>1</v>
      </c>
      <c r="O1323" s="2" t="n">
        <v>12</v>
      </c>
      <c r="P1323" s="2" t="n">
        <v>1</v>
      </c>
      <c r="Q1323" s="2" t="n">
        <v>1</v>
      </c>
      <c r="R1323" s="2" t="n">
        <v>2</v>
      </c>
      <c r="S1323" s="2" t="n">
        <v>0</v>
      </c>
      <c r="T1323" s="2" t="n">
        <v>0</v>
      </c>
      <c r="U1323" s="2" t="n">
        <v>0</v>
      </c>
      <c r="V1323" s="2" t="n">
        <v>2</v>
      </c>
      <c r="W1323" s="2" t="n">
        <v>4</v>
      </c>
      <c r="X1323" s="2" t="n">
        <v>3</v>
      </c>
      <c r="Y1323" s="2" t="n">
        <v>3</v>
      </c>
      <c r="Z1323" s="2" t="n">
        <v>3</v>
      </c>
    </row>
    <row r="1324" customFormat="false" ht="15" hidden="false" customHeight="true" outlineLevel="0" collapsed="false">
      <c r="A1324" s="2" t="n">
        <v>51</v>
      </c>
      <c r="B1324" s="2" t="s">
        <v>26</v>
      </c>
      <c r="C1324" s="2" t="s">
        <v>34</v>
      </c>
      <c r="D1324" s="2" t="s">
        <v>35</v>
      </c>
      <c r="E1324" s="2" t="n">
        <v>1</v>
      </c>
      <c r="F1324" s="2" t="n">
        <v>3</v>
      </c>
      <c r="G1324" s="2" t="s">
        <v>29</v>
      </c>
      <c r="H1324" s="2" t="n">
        <v>1323</v>
      </c>
      <c r="I1324" s="2" t="s">
        <v>30</v>
      </c>
      <c r="J1324" s="2" t="n">
        <v>1</v>
      </c>
      <c r="K1324" s="2" t="s">
        <v>40</v>
      </c>
      <c r="L1324" s="2" t="s">
        <v>37</v>
      </c>
      <c r="M1324" s="2" t="n">
        <v>20730</v>
      </c>
      <c r="N1324" s="2" t="n">
        <v>3</v>
      </c>
      <c r="O1324" s="2" t="n">
        <v>14</v>
      </c>
      <c r="P1324" s="2" t="n">
        <v>1</v>
      </c>
      <c r="Q1324" s="2" t="n">
        <v>23</v>
      </c>
      <c r="R1324" s="2" t="n">
        <v>4</v>
      </c>
      <c r="S1324" s="2" t="n">
        <v>13</v>
      </c>
      <c r="T1324" s="2" t="n">
        <v>12</v>
      </c>
      <c r="U1324" s="2" t="n">
        <v>8</v>
      </c>
      <c r="V1324" s="2" t="n">
        <v>1</v>
      </c>
      <c r="W1324" s="2" t="n">
        <v>1</v>
      </c>
      <c r="X1324" s="2" t="n">
        <v>2</v>
      </c>
      <c r="Y1324" s="2" t="n">
        <v>3</v>
      </c>
      <c r="Z1324" s="2" t="n">
        <v>3</v>
      </c>
    </row>
    <row r="1325" customFormat="false" ht="15" hidden="false" customHeight="true" outlineLevel="0" collapsed="false">
      <c r="A1325" s="2" t="n">
        <v>34</v>
      </c>
      <c r="B1325" s="2" t="s">
        <v>33</v>
      </c>
      <c r="C1325" s="2" t="s">
        <v>34</v>
      </c>
      <c r="D1325" s="2" t="s">
        <v>42</v>
      </c>
      <c r="E1325" s="2" t="n">
        <v>4</v>
      </c>
      <c r="F1325" s="2" t="n">
        <v>4</v>
      </c>
      <c r="G1325" s="2" t="s">
        <v>29</v>
      </c>
      <c r="H1325" s="2" t="n">
        <v>1324</v>
      </c>
      <c r="I1325" s="2" t="s">
        <v>30</v>
      </c>
      <c r="J1325" s="2" t="n">
        <v>5</v>
      </c>
      <c r="K1325" s="2" t="s">
        <v>40</v>
      </c>
      <c r="L1325" s="2" t="s">
        <v>37</v>
      </c>
      <c r="M1325" s="2" t="n">
        <v>55620</v>
      </c>
      <c r="N1325" s="2" t="n">
        <v>1</v>
      </c>
      <c r="O1325" s="2" t="n">
        <v>15</v>
      </c>
      <c r="P1325" s="2" t="n">
        <v>0</v>
      </c>
      <c r="Q1325" s="2" t="n">
        <v>9</v>
      </c>
      <c r="R1325" s="2" t="n">
        <v>3</v>
      </c>
      <c r="S1325" s="2" t="n">
        <v>9</v>
      </c>
      <c r="T1325" s="2" t="n">
        <v>0</v>
      </c>
      <c r="U1325" s="2" t="n">
        <v>6</v>
      </c>
      <c r="V1325" s="2" t="n">
        <v>1</v>
      </c>
      <c r="W1325" s="2" t="n">
        <v>3</v>
      </c>
      <c r="X1325" s="2"/>
      <c r="Y1325" s="2" t="n">
        <v>3</v>
      </c>
      <c r="Z1325" s="2" t="n">
        <v>3</v>
      </c>
    </row>
    <row r="1326" customFormat="false" ht="15" hidden="false" customHeight="true" outlineLevel="0" collapsed="false">
      <c r="A1326" s="2" t="n">
        <v>54</v>
      </c>
      <c r="B1326" s="2" t="s">
        <v>26</v>
      </c>
      <c r="C1326" s="2" t="s">
        <v>41</v>
      </c>
      <c r="D1326" s="2" t="s">
        <v>35</v>
      </c>
      <c r="E1326" s="2" t="n">
        <v>9</v>
      </c>
      <c r="F1326" s="2" t="n">
        <v>3</v>
      </c>
      <c r="G1326" s="2" t="s">
        <v>29</v>
      </c>
      <c r="H1326" s="2" t="n">
        <v>1325</v>
      </c>
      <c r="I1326" s="2" t="s">
        <v>39</v>
      </c>
      <c r="J1326" s="2" t="n">
        <v>1</v>
      </c>
      <c r="K1326" s="2" t="s">
        <v>45</v>
      </c>
      <c r="L1326" s="2" t="s">
        <v>37</v>
      </c>
      <c r="M1326" s="2" t="n">
        <v>196130</v>
      </c>
      <c r="N1326" s="2" t="n">
        <v>2</v>
      </c>
      <c r="O1326" s="2" t="n">
        <v>17</v>
      </c>
      <c r="P1326" s="2" t="n">
        <v>0</v>
      </c>
      <c r="Q1326" s="2" t="n">
        <v>23</v>
      </c>
      <c r="R1326" s="2" t="n">
        <v>5</v>
      </c>
      <c r="S1326" s="2" t="n">
        <v>5</v>
      </c>
      <c r="T1326" s="2" t="n">
        <v>4</v>
      </c>
      <c r="U1326" s="2" t="n">
        <v>4</v>
      </c>
      <c r="V1326" s="2" t="n">
        <v>4</v>
      </c>
      <c r="W1326" s="2" t="n">
        <v>4</v>
      </c>
      <c r="X1326" s="2" t="n">
        <v>3</v>
      </c>
      <c r="Y1326" s="2" t="n">
        <v>3</v>
      </c>
      <c r="Z1326" s="2" t="n">
        <v>3</v>
      </c>
    </row>
    <row r="1327" customFormat="false" ht="15" hidden="false" customHeight="true" outlineLevel="0" collapsed="false">
      <c r="A1327" s="2" t="n">
        <v>24</v>
      </c>
      <c r="B1327" s="2" t="s">
        <v>26</v>
      </c>
      <c r="C1327" s="2" t="s">
        <v>27</v>
      </c>
      <c r="D1327" s="2" t="s">
        <v>35</v>
      </c>
      <c r="E1327" s="2" t="n">
        <v>2</v>
      </c>
      <c r="F1327" s="2" t="n">
        <v>1</v>
      </c>
      <c r="G1327" s="2" t="s">
        <v>29</v>
      </c>
      <c r="H1327" s="2" t="n">
        <v>1326</v>
      </c>
      <c r="I1327" s="2" t="s">
        <v>39</v>
      </c>
      <c r="J1327" s="2" t="n">
        <v>2</v>
      </c>
      <c r="K1327" s="2" t="s">
        <v>45</v>
      </c>
      <c r="L1327" s="2" t="s">
        <v>32</v>
      </c>
      <c r="M1327" s="2" t="n">
        <v>34070</v>
      </c>
      <c r="N1327" s="2" t="n">
        <v>0</v>
      </c>
      <c r="O1327" s="2" t="n">
        <v>13</v>
      </c>
      <c r="P1327" s="2" t="n">
        <v>1</v>
      </c>
      <c r="Q1327" s="2" t="n">
        <v>6</v>
      </c>
      <c r="R1327" s="2" t="n">
        <v>4</v>
      </c>
      <c r="S1327" s="2" t="n">
        <v>5</v>
      </c>
      <c r="T1327" s="2" t="n">
        <v>1</v>
      </c>
      <c r="U1327" s="2" t="n">
        <v>2</v>
      </c>
      <c r="V1327" s="2" t="n">
        <v>2</v>
      </c>
      <c r="W1327" s="2" t="n">
        <v>3</v>
      </c>
      <c r="X1327" s="2" t="n">
        <v>3</v>
      </c>
      <c r="Y1327" s="2" t="n">
        <v>3</v>
      </c>
      <c r="Z1327" s="2" t="n">
        <v>3</v>
      </c>
    </row>
    <row r="1328" customFormat="false" ht="15" hidden="false" customHeight="true" outlineLevel="0" collapsed="false">
      <c r="A1328" s="2" t="n">
        <v>34</v>
      </c>
      <c r="B1328" s="2" t="s">
        <v>26</v>
      </c>
      <c r="C1328" s="2" t="s">
        <v>27</v>
      </c>
      <c r="D1328" s="2" t="s">
        <v>28</v>
      </c>
      <c r="E1328" s="2" t="n">
        <v>4</v>
      </c>
      <c r="F1328" s="2" t="n">
        <v>3</v>
      </c>
      <c r="G1328" s="2" t="s">
        <v>50</v>
      </c>
      <c r="H1328" s="2" t="n">
        <v>1327</v>
      </c>
      <c r="I1328" s="2" t="s">
        <v>30</v>
      </c>
      <c r="J1328" s="2" t="n">
        <v>2</v>
      </c>
      <c r="K1328" s="2" t="s">
        <v>48</v>
      </c>
      <c r="L1328" s="2" t="s">
        <v>46</v>
      </c>
      <c r="M1328" s="2" t="n">
        <v>50630</v>
      </c>
      <c r="N1328" s="2" t="n">
        <v>6</v>
      </c>
      <c r="O1328" s="2" t="n">
        <v>12</v>
      </c>
      <c r="P1328" s="2" t="n">
        <v>1</v>
      </c>
      <c r="Q1328" s="2" t="n">
        <v>12</v>
      </c>
      <c r="R1328" s="2" t="n">
        <v>2</v>
      </c>
      <c r="S1328" s="2" t="n">
        <v>1</v>
      </c>
      <c r="T1328" s="2" t="n">
        <v>0</v>
      </c>
      <c r="U1328" s="2" t="n">
        <v>0</v>
      </c>
      <c r="V1328" s="2" t="n">
        <v>3</v>
      </c>
      <c r="W1328" s="2" t="n">
        <v>2</v>
      </c>
      <c r="X1328" s="2" t="n">
        <v>3</v>
      </c>
      <c r="Y1328" s="2" t="n">
        <v>3</v>
      </c>
      <c r="Z1328" s="2" t="n">
        <v>3</v>
      </c>
    </row>
    <row r="1329" customFormat="false" ht="15" hidden="false" customHeight="true" outlineLevel="0" collapsed="false">
      <c r="A1329" s="2" t="n">
        <v>37</v>
      </c>
      <c r="B1329" s="2" t="s">
        <v>26</v>
      </c>
      <c r="C1329" s="2" t="s">
        <v>27</v>
      </c>
      <c r="D1329" s="2" t="s">
        <v>28</v>
      </c>
      <c r="E1329" s="2" t="n">
        <v>6</v>
      </c>
      <c r="F1329" s="2" t="n">
        <v>1</v>
      </c>
      <c r="G1329" s="2" t="s">
        <v>51</v>
      </c>
      <c r="H1329" s="2" t="n">
        <v>1328</v>
      </c>
      <c r="I1329" s="2" t="s">
        <v>39</v>
      </c>
      <c r="J1329" s="2" t="n">
        <v>1</v>
      </c>
      <c r="K1329" s="2" t="s">
        <v>45</v>
      </c>
      <c r="L1329" s="2" t="s">
        <v>37</v>
      </c>
      <c r="M1329" s="2" t="n">
        <v>46390</v>
      </c>
      <c r="N1329" s="2" t="n">
        <v>2</v>
      </c>
      <c r="O1329" s="2" t="n">
        <v>12</v>
      </c>
      <c r="P1329" s="2" t="n">
        <v>2</v>
      </c>
      <c r="Q1329" s="2" t="n">
        <v>12</v>
      </c>
      <c r="R1329" s="2" t="n">
        <v>3</v>
      </c>
      <c r="S1329" s="2" t="n">
        <v>5</v>
      </c>
      <c r="T1329" s="2" t="n">
        <v>1</v>
      </c>
      <c r="U1329" s="2" t="n">
        <v>3</v>
      </c>
      <c r="V1329" s="2" t="n">
        <v>3</v>
      </c>
      <c r="W1329" s="2" t="n">
        <v>4</v>
      </c>
      <c r="X1329" s="2" t="n">
        <v>3</v>
      </c>
      <c r="Y1329" s="2" t="n">
        <v>3</v>
      </c>
      <c r="Z1329" s="2" t="n">
        <v>3</v>
      </c>
    </row>
    <row r="1330" customFormat="false" ht="15" hidden="false" customHeight="true" outlineLevel="0" collapsed="false">
      <c r="A1330" s="2" t="n">
        <v>34</v>
      </c>
      <c r="B1330" s="2" t="s">
        <v>26</v>
      </c>
      <c r="C1330" s="2" t="s">
        <v>27</v>
      </c>
      <c r="D1330" s="2" t="s">
        <v>28</v>
      </c>
      <c r="E1330" s="2" t="n">
        <v>9</v>
      </c>
      <c r="F1330" s="2" t="n">
        <v>2</v>
      </c>
      <c r="G1330" s="2" t="s">
        <v>43</v>
      </c>
      <c r="H1330" s="2" t="n">
        <v>1329</v>
      </c>
      <c r="I1330" s="2" t="s">
        <v>39</v>
      </c>
      <c r="J1330" s="2" t="n">
        <v>2</v>
      </c>
      <c r="K1330" s="2" t="s">
        <v>31</v>
      </c>
      <c r="L1330" s="2" t="s">
        <v>37</v>
      </c>
      <c r="M1330" s="2" t="n">
        <v>48760</v>
      </c>
      <c r="N1330" s="2" t="n">
        <v>2</v>
      </c>
      <c r="O1330" s="2" t="n">
        <v>21</v>
      </c>
      <c r="P1330" s="2" t="n">
        <v>1</v>
      </c>
      <c r="Q1330" s="2" t="n">
        <v>14</v>
      </c>
      <c r="R1330" s="2" t="n">
        <v>3</v>
      </c>
      <c r="S1330" s="2" t="n">
        <v>11</v>
      </c>
      <c r="T1330" s="2" t="n">
        <v>5</v>
      </c>
      <c r="U1330" s="2" t="n">
        <v>8</v>
      </c>
      <c r="V1330" s="2" t="n">
        <v>3</v>
      </c>
      <c r="W1330" s="2" t="n">
        <v>1</v>
      </c>
      <c r="X1330" s="2" t="n">
        <v>3</v>
      </c>
      <c r="Y1330" s="2" t="n">
        <v>3</v>
      </c>
      <c r="Z1330" s="2" t="n">
        <v>4</v>
      </c>
    </row>
    <row r="1331" customFormat="false" ht="15" hidden="false" customHeight="true" outlineLevel="0" collapsed="false">
      <c r="A1331" s="2" t="n">
        <v>36</v>
      </c>
      <c r="B1331" s="2" t="s">
        <v>26</v>
      </c>
      <c r="C1331" s="2" t="s">
        <v>34</v>
      </c>
      <c r="D1331" s="2" t="s">
        <v>42</v>
      </c>
      <c r="E1331" s="2" t="n">
        <v>7</v>
      </c>
      <c r="F1331" s="2" t="n">
        <v>3</v>
      </c>
      <c r="G1331" s="2" t="s">
        <v>43</v>
      </c>
      <c r="H1331" s="2" t="n">
        <v>1330</v>
      </c>
      <c r="I1331" s="2" t="s">
        <v>39</v>
      </c>
      <c r="J1331" s="2" t="n">
        <v>1</v>
      </c>
      <c r="K1331" s="2" t="s">
        <v>36</v>
      </c>
      <c r="L1331" s="2" t="s">
        <v>32</v>
      </c>
      <c r="M1331" s="2" t="n">
        <v>26900</v>
      </c>
      <c r="N1331" s="2" t="n">
        <v>0</v>
      </c>
      <c r="O1331" s="2" t="n">
        <v>11</v>
      </c>
      <c r="P1331" s="2" t="n">
        <v>0</v>
      </c>
      <c r="Q1331" s="2" t="n">
        <v>10</v>
      </c>
      <c r="R1331" s="2" t="n">
        <v>1</v>
      </c>
      <c r="S1331" s="2" t="n">
        <v>9</v>
      </c>
      <c r="T1331" s="2" t="n">
        <v>2</v>
      </c>
      <c r="U1331" s="2" t="n">
        <v>8</v>
      </c>
      <c r="V1331" s="2" t="n">
        <v>2</v>
      </c>
      <c r="W1331" s="2" t="n">
        <v>4</v>
      </c>
      <c r="X1331" s="2" t="n">
        <v>3</v>
      </c>
      <c r="Y1331" s="2" t="n">
        <v>3</v>
      </c>
      <c r="Z1331" s="2" t="n">
        <v>3</v>
      </c>
    </row>
    <row r="1332" customFormat="false" ht="15" hidden="false" customHeight="true" outlineLevel="0" collapsed="false">
      <c r="A1332" s="2" t="n">
        <v>36</v>
      </c>
      <c r="B1332" s="2" t="s">
        <v>26</v>
      </c>
      <c r="C1332" s="2" t="s">
        <v>27</v>
      </c>
      <c r="D1332" s="2" t="s">
        <v>35</v>
      </c>
      <c r="E1332" s="2" t="n">
        <v>1</v>
      </c>
      <c r="F1332" s="2" t="n">
        <v>3</v>
      </c>
      <c r="G1332" s="2" t="s">
        <v>43</v>
      </c>
      <c r="H1332" s="2" t="n">
        <v>1331</v>
      </c>
      <c r="I1332" s="2" t="s">
        <v>30</v>
      </c>
      <c r="J1332" s="2" t="n">
        <v>2</v>
      </c>
      <c r="K1332" s="2" t="s">
        <v>47</v>
      </c>
      <c r="L1332" s="2" t="s">
        <v>46</v>
      </c>
      <c r="M1332" s="2" t="n">
        <v>175670</v>
      </c>
      <c r="N1332" s="2" t="n">
        <v>5</v>
      </c>
      <c r="O1332" s="2" t="n">
        <v>13</v>
      </c>
      <c r="P1332" s="2" t="n">
        <v>0</v>
      </c>
      <c r="Q1332" s="2" t="n">
        <v>7</v>
      </c>
      <c r="R1332" s="2" t="n">
        <v>6</v>
      </c>
      <c r="S1332" s="2" t="n">
        <v>1</v>
      </c>
      <c r="T1332" s="2" t="n">
        <v>0</v>
      </c>
      <c r="U1332" s="2" t="n">
        <v>0</v>
      </c>
      <c r="V1332" s="2" t="n">
        <v>1</v>
      </c>
      <c r="W1332" s="2" t="n">
        <v>4</v>
      </c>
      <c r="X1332" s="2" t="n">
        <v>3</v>
      </c>
      <c r="Y1332" s="2" t="n">
        <v>3</v>
      </c>
      <c r="Z1332" s="2" t="n">
        <v>3</v>
      </c>
    </row>
    <row r="1333" customFormat="false" ht="15" hidden="false" customHeight="true" outlineLevel="0" collapsed="false">
      <c r="A1333" s="2" t="n">
        <v>43</v>
      </c>
      <c r="B1333" s="2" t="s">
        <v>26</v>
      </c>
      <c r="C1333" s="2" t="s">
        <v>34</v>
      </c>
      <c r="D1333" s="2" t="s">
        <v>35</v>
      </c>
      <c r="E1333" s="2" t="n">
        <v>3</v>
      </c>
      <c r="F1333" s="2" t="n">
        <v>4</v>
      </c>
      <c r="G1333" s="2" t="s">
        <v>29</v>
      </c>
      <c r="H1333" s="2" t="n">
        <v>1332</v>
      </c>
      <c r="I1333" s="2" t="s">
        <v>39</v>
      </c>
      <c r="J1333" s="2" t="n">
        <v>1</v>
      </c>
      <c r="K1333" s="2" t="s">
        <v>40</v>
      </c>
      <c r="L1333" s="2" t="s">
        <v>32</v>
      </c>
      <c r="M1333" s="2" t="n">
        <v>24080</v>
      </c>
      <c r="N1333" s="2" t="n">
        <v>1</v>
      </c>
      <c r="O1333" s="2" t="n">
        <v>12</v>
      </c>
      <c r="P1333" s="2" t="n">
        <v>1</v>
      </c>
      <c r="Q1333" s="2" t="n">
        <v>25</v>
      </c>
      <c r="R1333" s="2" t="n">
        <v>3</v>
      </c>
      <c r="S1333" s="2" t="n">
        <v>25</v>
      </c>
      <c r="T1333" s="2" t="n">
        <v>4</v>
      </c>
      <c r="U1333" s="2" t="n">
        <v>12</v>
      </c>
      <c r="V1333" s="2" t="n">
        <v>3</v>
      </c>
      <c r="W1333" s="2" t="n">
        <v>4</v>
      </c>
      <c r="X1333" s="2" t="n">
        <v>4</v>
      </c>
      <c r="Y1333" s="2" t="n">
        <v>3</v>
      </c>
      <c r="Z1333" s="2" t="n">
        <v>3</v>
      </c>
    </row>
    <row r="1334" customFormat="false" ht="15" hidden="false" customHeight="true" outlineLevel="0" collapsed="false">
      <c r="A1334" s="2" t="n">
        <v>30</v>
      </c>
      <c r="B1334" s="2" t="s">
        <v>26</v>
      </c>
      <c r="C1334" s="2" t="s">
        <v>34</v>
      </c>
      <c r="D1334" s="2" t="s">
        <v>35</v>
      </c>
      <c r="E1334" s="2" t="n">
        <v>10</v>
      </c>
      <c r="F1334" s="2" t="n">
        <v>3</v>
      </c>
      <c r="G1334" s="2" t="s">
        <v>29</v>
      </c>
      <c r="H1334" s="2" t="n">
        <v>1333</v>
      </c>
      <c r="I1334" s="2" t="s">
        <v>30</v>
      </c>
      <c r="J1334" s="2" t="n">
        <v>3</v>
      </c>
      <c r="K1334" s="2" t="s">
        <v>31</v>
      </c>
      <c r="L1334" s="2" t="s">
        <v>46</v>
      </c>
      <c r="M1334" s="2" t="n">
        <v>28140</v>
      </c>
      <c r="N1334" s="2" t="n">
        <v>1</v>
      </c>
      <c r="O1334" s="2" t="n">
        <v>24</v>
      </c>
      <c r="P1334" s="2" t="n">
        <v>0</v>
      </c>
      <c r="Q1334" s="2" t="n">
        <v>10</v>
      </c>
      <c r="R1334" s="2" t="n">
        <v>2</v>
      </c>
      <c r="S1334" s="2" t="n">
        <v>10</v>
      </c>
      <c r="T1334" s="2" t="n">
        <v>0</v>
      </c>
      <c r="U1334" s="2" t="n">
        <v>9</v>
      </c>
      <c r="V1334" s="2" t="n">
        <v>1</v>
      </c>
      <c r="W1334" s="2" t="n">
        <v>3</v>
      </c>
      <c r="X1334" s="2" t="n">
        <v>2</v>
      </c>
      <c r="Y1334" s="2" t="n">
        <v>3</v>
      </c>
      <c r="Z1334" s="2" t="n">
        <v>4</v>
      </c>
    </row>
    <row r="1335" customFormat="false" ht="15" hidden="false" customHeight="true" outlineLevel="0" collapsed="false">
      <c r="A1335" s="2" t="n">
        <v>33</v>
      </c>
      <c r="B1335" s="2" t="s">
        <v>26</v>
      </c>
      <c r="C1335" s="2" t="s">
        <v>41</v>
      </c>
      <c r="D1335" s="2" t="s">
        <v>28</v>
      </c>
      <c r="E1335" s="2" t="n">
        <v>7</v>
      </c>
      <c r="F1335" s="2" t="n">
        <v>3</v>
      </c>
      <c r="G1335" s="2" t="s">
        <v>29</v>
      </c>
      <c r="H1335" s="2" t="n">
        <v>1334</v>
      </c>
      <c r="I1335" s="2" t="s">
        <v>39</v>
      </c>
      <c r="J1335" s="2" t="n">
        <v>2</v>
      </c>
      <c r="K1335" s="2" t="s">
        <v>40</v>
      </c>
      <c r="L1335" s="2" t="s">
        <v>32</v>
      </c>
      <c r="M1335" s="2" t="n">
        <v>112450</v>
      </c>
      <c r="N1335" s="2" t="n">
        <v>0</v>
      </c>
      <c r="O1335" s="2" t="n">
        <v>21</v>
      </c>
      <c r="P1335" s="2" t="n">
        <v>0</v>
      </c>
      <c r="Q1335" s="2" t="n">
        <v>8</v>
      </c>
      <c r="R1335" s="2" t="n">
        <v>3</v>
      </c>
      <c r="S1335" s="2" t="n">
        <v>7</v>
      </c>
      <c r="T1335" s="2" t="n">
        <v>0</v>
      </c>
      <c r="U1335" s="2" t="n">
        <v>7</v>
      </c>
      <c r="V1335" s="2" t="n">
        <v>3</v>
      </c>
      <c r="W1335" s="2" t="n">
        <v>2</v>
      </c>
      <c r="X1335" s="2" t="n">
        <v>4</v>
      </c>
      <c r="Y1335" s="2" t="n">
        <v>3</v>
      </c>
      <c r="Z1335" s="2" t="n">
        <v>4</v>
      </c>
    </row>
    <row r="1336" customFormat="false" ht="15" hidden="false" customHeight="true" outlineLevel="0" collapsed="false">
      <c r="A1336" s="2" t="n">
        <v>56</v>
      </c>
      <c r="B1336" s="2" t="s">
        <v>33</v>
      </c>
      <c r="C1336" s="2" t="s">
        <v>27</v>
      </c>
      <c r="D1336" s="2" t="s">
        <v>35</v>
      </c>
      <c r="E1336" s="2" t="n">
        <v>15</v>
      </c>
      <c r="F1336" s="2" t="n">
        <v>3</v>
      </c>
      <c r="G1336" s="2" t="s">
        <v>29</v>
      </c>
      <c r="H1336" s="2" t="n">
        <v>1335</v>
      </c>
      <c r="I1336" s="2" t="s">
        <v>39</v>
      </c>
      <c r="J1336" s="2" t="n">
        <v>2</v>
      </c>
      <c r="K1336" s="2" t="s">
        <v>45</v>
      </c>
      <c r="L1336" s="2" t="s">
        <v>32</v>
      </c>
      <c r="M1336" s="2" t="n">
        <v>33120</v>
      </c>
      <c r="N1336" s="2" t="n">
        <v>9</v>
      </c>
      <c r="O1336" s="2" t="n">
        <v>19</v>
      </c>
      <c r="P1336" s="2" t="n">
        <v>0</v>
      </c>
      <c r="Q1336" s="2" t="n">
        <v>7</v>
      </c>
      <c r="R1336" s="2" t="n">
        <v>1</v>
      </c>
      <c r="S1336" s="2" t="n">
        <v>5</v>
      </c>
      <c r="T1336" s="2" t="n">
        <v>4</v>
      </c>
      <c r="U1336" s="2" t="n">
        <v>3</v>
      </c>
      <c r="V1336" s="2" t="n">
        <v>2</v>
      </c>
      <c r="W1336" s="2" t="n">
        <v>2</v>
      </c>
      <c r="X1336" s="2" t="n">
        <v>3</v>
      </c>
      <c r="Y1336" s="2" t="n">
        <v>1</v>
      </c>
      <c r="Z1336" s="2" t="n">
        <v>3</v>
      </c>
    </row>
    <row r="1337" customFormat="false" ht="15" hidden="false" customHeight="true" outlineLevel="0" collapsed="false">
      <c r="A1337" s="2" t="n">
        <v>51</v>
      </c>
      <c r="B1337" s="2" t="s">
        <v>26</v>
      </c>
      <c r="C1337" s="2" t="s">
        <v>27</v>
      </c>
      <c r="D1337" s="2" t="s">
        <v>35</v>
      </c>
      <c r="E1337" s="2" t="n">
        <v>3</v>
      </c>
      <c r="F1337" s="2" t="n">
        <v>2</v>
      </c>
      <c r="G1337" s="2" t="s">
        <v>38</v>
      </c>
      <c r="H1337" s="2" t="n">
        <v>1336</v>
      </c>
      <c r="I1337" s="2" t="s">
        <v>30</v>
      </c>
      <c r="J1337" s="2" t="n">
        <v>2</v>
      </c>
      <c r="K1337" s="2" t="s">
        <v>48</v>
      </c>
      <c r="L1337" s="2" t="s">
        <v>37</v>
      </c>
      <c r="M1337" s="2" t="n">
        <v>190490</v>
      </c>
      <c r="N1337" s="2" t="n">
        <v>7</v>
      </c>
      <c r="O1337" s="2" t="n">
        <v>14</v>
      </c>
      <c r="P1337" s="2" t="n">
        <v>1</v>
      </c>
      <c r="Q1337" s="2" t="n">
        <v>23</v>
      </c>
      <c r="R1337" s="2" t="n">
        <v>2</v>
      </c>
      <c r="S1337" s="2" t="n">
        <v>20</v>
      </c>
      <c r="T1337" s="2" t="n">
        <v>15</v>
      </c>
      <c r="U1337" s="2" t="n">
        <v>15</v>
      </c>
      <c r="V1337" s="2" t="n">
        <v>1</v>
      </c>
      <c r="W1337" s="2" t="n">
        <v>3</v>
      </c>
      <c r="X1337" s="2" t="n">
        <v>3</v>
      </c>
      <c r="Y1337" s="2" t="n">
        <v>3</v>
      </c>
      <c r="Z1337" s="2" t="n">
        <v>3</v>
      </c>
    </row>
    <row r="1338" customFormat="false" ht="15" hidden="false" customHeight="true" outlineLevel="0" collapsed="false">
      <c r="A1338" s="2" t="n">
        <v>31</v>
      </c>
      <c r="B1338" s="2" t="s">
        <v>33</v>
      </c>
      <c r="C1338" s="2" t="s">
        <v>27</v>
      </c>
      <c r="D1338" s="2" t="s">
        <v>35</v>
      </c>
      <c r="E1338" s="2" t="n">
        <v>2</v>
      </c>
      <c r="F1338" s="2" t="n">
        <v>4</v>
      </c>
      <c r="G1338" s="2" t="s">
        <v>51</v>
      </c>
      <c r="H1338" s="2" t="n">
        <v>1337</v>
      </c>
      <c r="I1338" s="2" t="s">
        <v>30</v>
      </c>
      <c r="J1338" s="2" t="n">
        <v>3</v>
      </c>
      <c r="K1338" s="2" t="s">
        <v>40</v>
      </c>
      <c r="L1338" s="2" t="s">
        <v>32</v>
      </c>
      <c r="M1338" s="2" t="n">
        <v>21410</v>
      </c>
      <c r="N1338" s="2" t="n">
        <v>4</v>
      </c>
      <c r="O1338" s="2" t="n">
        <v>20</v>
      </c>
      <c r="P1338" s="2" t="n">
        <v>0</v>
      </c>
      <c r="Q1338" s="2" t="n">
        <v>12</v>
      </c>
      <c r="R1338" s="2" t="n">
        <v>2</v>
      </c>
      <c r="S1338" s="2" t="n">
        <v>7</v>
      </c>
      <c r="T1338" s="2" t="n">
        <v>7</v>
      </c>
      <c r="U1338" s="2" t="n">
        <v>7</v>
      </c>
      <c r="V1338" s="2" t="n">
        <v>2</v>
      </c>
      <c r="W1338" s="2" t="n">
        <v>3</v>
      </c>
      <c r="X1338" s="2" t="n">
        <v>2</v>
      </c>
      <c r="Y1338" s="2" t="n">
        <v>3</v>
      </c>
      <c r="Z1338" s="2" t="n">
        <v>4</v>
      </c>
    </row>
    <row r="1339" customFormat="false" ht="15" hidden="false" customHeight="true" outlineLevel="0" collapsed="false">
      <c r="A1339" s="2" t="n">
        <v>26</v>
      </c>
      <c r="B1339" s="2" t="s">
        <v>26</v>
      </c>
      <c r="C1339" s="2" t="s">
        <v>27</v>
      </c>
      <c r="D1339" s="2" t="s">
        <v>28</v>
      </c>
      <c r="E1339" s="2" t="n">
        <v>17</v>
      </c>
      <c r="F1339" s="2" t="n">
        <v>3</v>
      </c>
      <c r="G1339" s="2" t="s">
        <v>43</v>
      </c>
      <c r="H1339" s="2" t="n">
        <v>1338</v>
      </c>
      <c r="I1339" s="2" t="s">
        <v>30</v>
      </c>
      <c r="J1339" s="2" t="n">
        <v>2</v>
      </c>
      <c r="K1339" s="2" t="s">
        <v>49</v>
      </c>
      <c r="L1339" s="2" t="s">
        <v>32</v>
      </c>
      <c r="M1339" s="2" t="n">
        <v>57690</v>
      </c>
      <c r="N1339" s="2" t="n">
        <v>1</v>
      </c>
      <c r="O1339" s="2" t="n">
        <v>19</v>
      </c>
      <c r="P1339" s="2" t="n">
        <v>0</v>
      </c>
      <c r="Q1339" s="2" t="n">
        <v>5</v>
      </c>
      <c r="R1339" s="2" t="n">
        <v>4</v>
      </c>
      <c r="S1339" s="2" t="n">
        <v>5</v>
      </c>
      <c r="T1339" s="2" t="n">
        <v>4</v>
      </c>
      <c r="U1339" s="2" t="n">
        <v>3</v>
      </c>
      <c r="V1339" s="2" t="n">
        <v>3</v>
      </c>
      <c r="W1339" s="2" t="n">
        <v>2</v>
      </c>
      <c r="X1339" s="2" t="n">
        <v>2</v>
      </c>
      <c r="Y1339" s="2" t="n">
        <v>2</v>
      </c>
      <c r="Z1339" s="2" t="n">
        <v>3</v>
      </c>
    </row>
    <row r="1340" customFormat="false" ht="15" hidden="false" customHeight="true" outlineLevel="0" collapsed="false">
      <c r="A1340" s="2" t="n">
        <v>58</v>
      </c>
      <c r="B1340" s="2" t="s">
        <v>33</v>
      </c>
      <c r="C1340" s="2" t="s">
        <v>27</v>
      </c>
      <c r="D1340" s="2" t="s">
        <v>28</v>
      </c>
      <c r="E1340" s="2" t="n">
        <v>2</v>
      </c>
      <c r="F1340" s="2" t="n">
        <v>2</v>
      </c>
      <c r="G1340" s="2" t="s">
        <v>43</v>
      </c>
      <c r="H1340" s="2" t="n">
        <v>1339</v>
      </c>
      <c r="I1340" s="2" t="s">
        <v>30</v>
      </c>
      <c r="J1340" s="2" t="n">
        <v>1</v>
      </c>
      <c r="K1340" s="2" t="s">
        <v>36</v>
      </c>
      <c r="L1340" s="2" t="s">
        <v>32</v>
      </c>
      <c r="M1340" s="2" t="n">
        <v>43850</v>
      </c>
      <c r="N1340" s="2" t="n">
        <v>1</v>
      </c>
      <c r="O1340" s="2" t="n">
        <v>13</v>
      </c>
      <c r="P1340" s="2" t="n">
        <v>1</v>
      </c>
      <c r="Q1340" s="2" t="n">
        <v>40</v>
      </c>
      <c r="R1340" s="2" t="n">
        <v>2</v>
      </c>
      <c r="S1340" s="2" t="n">
        <v>40</v>
      </c>
      <c r="T1340" s="2" t="n">
        <v>15</v>
      </c>
      <c r="U1340" s="2" t="n">
        <v>6</v>
      </c>
      <c r="V1340" s="2" t="n">
        <v>4</v>
      </c>
      <c r="W1340" s="2" t="n">
        <v>4</v>
      </c>
      <c r="X1340" s="2" t="n">
        <v>2</v>
      </c>
      <c r="Y1340" s="2" t="n">
        <v>2</v>
      </c>
      <c r="Z1340" s="2" t="n">
        <v>3</v>
      </c>
    </row>
    <row r="1341" customFormat="false" ht="15" hidden="false" customHeight="true" outlineLevel="0" collapsed="false">
      <c r="A1341" s="2" t="n">
        <v>19</v>
      </c>
      <c r="B1341" s="2" t="s">
        <v>33</v>
      </c>
      <c r="C1341" s="2" t="s">
        <v>27</v>
      </c>
      <c r="D1341" s="2" t="s">
        <v>35</v>
      </c>
      <c r="E1341" s="2" t="n">
        <v>5</v>
      </c>
      <c r="F1341" s="2" t="n">
        <v>2</v>
      </c>
      <c r="G1341" s="2" t="s">
        <v>29</v>
      </c>
      <c r="H1341" s="2" t="n">
        <v>1340</v>
      </c>
      <c r="I1341" s="2" t="s">
        <v>39</v>
      </c>
      <c r="J1341" s="2" t="n">
        <v>1</v>
      </c>
      <c r="K1341" s="2" t="s">
        <v>49</v>
      </c>
      <c r="L1341" s="2" t="s">
        <v>37</v>
      </c>
      <c r="M1341" s="2" t="n">
        <v>53320</v>
      </c>
      <c r="N1341" s="2" t="n">
        <v>1</v>
      </c>
      <c r="O1341" s="2" t="n">
        <v>23</v>
      </c>
      <c r="P1341" s="2" t="n">
        <v>1</v>
      </c>
      <c r="Q1341" s="2" t="n">
        <v>0</v>
      </c>
      <c r="R1341" s="2" t="n">
        <v>2</v>
      </c>
      <c r="S1341" s="2" t="n">
        <v>0</v>
      </c>
      <c r="T1341" s="2" t="n">
        <v>0</v>
      </c>
      <c r="U1341" s="2" t="n">
        <v>0</v>
      </c>
      <c r="V1341" s="2" t="n">
        <v>4</v>
      </c>
      <c r="W1341" s="2" t="n">
        <v>3</v>
      </c>
      <c r="X1341" s="2" t="n">
        <v>2</v>
      </c>
      <c r="Y1341" s="2" t="n">
        <v>3</v>
      </c>
      <c r="Z1341" s="2" t="n">
        <v>4</v>
      </c>
    </row>
    <row r="1342" customFormat="false" ht="15" hidden="false" customHeight="true" outlineLevel="0" collapsed="false">
      <c r="A1342" s="2" t="n">
        <v>22</v>
      </c>
      <c r="B1342" s="2" t="s">
        <v>26</v>
      </c>
      <c r="C1342" s="2" t="s">
        <v>27</v>
      </c>
      <c r="D1342" s="2" t="s">
        <v>28</v>
      </c>
      <c r="E1342" s="2" t="n">
        <v>29</v>
      </c>
      <c r="F1342" s="2" t="n">
        <v>4</v>
      </c>
      <c r="G1342" s="2" t="s">
        <v>51</v>
      </c>
      <c r="H1342" s="2" t="n">
        <v>1341</v>
      </c>
      <c r="I1342" s="2" t="s">
        <v>39</v>
      </c>
      <c r="J1342" s="2" t="n">
        <v>1</v>
      </c>
      <c r="K1342" s="2" t="s">
        <v>40</v>
      </c>
      <c r="L1342" s="2" t="s">
        <v>32</v>
      </c>
      <c r="M1342" s="2" t="n">
        <v>46630</v>
      </c>
      <c r="N1342" s="2" t="n">
        <v>0</v>
      </c>
      <c r="O1342" s="2" t="n">
        <v>13</v>
      </c>
      <c r="P1342" s="2" t="n">
        <v>1</v>
      </c>
      <c r="Q1342" s="2" t="n">
        <v>3</v>
      </c>
      <c r="R1342" s="2" t="n">
        <v>1</v>
      </c>
      <c r="S1342" s="2" t="n">
        <v>2</v>
      </c>
      <c r="T1342" s="2" t="n">
        <v>2</v>
      </c>
      <c r="U1342" s="2" t="n">
        <v>1</v>
      </c>
      <c r="V1342" s="2" t="n">
        <v>3</v>
      </c>
      <c r="W1342" s="2" t="n">
        <v>4</v>
      </c>
      <c r="X1342" s="2" t="n">
        <v>3</v>
      </c>
      <c r="Y1342" s="2" t="n">
        <v>3</v>
      </c>
      <c r="Z1342" s="2" t="n">
        <v>3</v>
      </c>
    </row>
    <row r="1343" customFormat="false" ht="15" hidden="false" customHeight="true" outlineLevel="0" collapsed="false">
      <c r="A1343" s="2" t="n">
        <v>49</v>
      </c>
      <c r="B1343" s="2" t="s">
        <v>26</v>
      </c>
      <c r="C1343" s="2" t="s">
        <v>27</v>
      </c>
      <c r="D1343" s="2" t="s">
        <v>35</v>
      </c>
      <c r="E1343" s="2" t="n">
        <v>2</v>
      </c>
      <c r="F1343" s="2" t="n">
        <v>3</v>
      </c>
      <c r="G1343" s="2" t="s">
        <v>29</v>
      </c>
      <c r="H1343" s="2" t="n">
        <v>1342</v>
      </c>
      <c r="I1343" s="2" t="s">
        <v>30</v>
      </c>
      <c r="J1343" s="2" t="n">
        <v>1</v>
      </c>
      <c r="K1343" s="2" t="s">
        <v>40</v>
      </c>
      <c r="L1343" s="2" t="s">
        <v>32</v>
      </c>
      <c r="M1343" s="2" t="n">
        <v>47240</v>
      </c>
      <c r="N1343" s="2" t="n">
        <v>1</v>
      </c>
      <c r="O1343" s="2" t="n">
        <v>11</v>
      </c>
      <c r="P1343" s="2" t="n">
        <v>1</v>
      </c>
      <c r="Q1343" s="2" t="n">
        <v>16</v>
      </c>
      <c r="R1343" s="2" t="n">
        <v>3</v>
      </c>
      <c r="S1343" s="2" t="n">
        <v>15</v>
      </c>
      <c r="T1343" s="2" t="n">
        <v>5</v>
      </c>
      <c r="U1343" s="2" t="n">
        <v>11</v>
      </c>
      <c r="V1343" s="2" t="n">
        <v>3</v>
      </c>
      <c r="W1343" s="2" t="n">
        <v>1</v>
      </c>
      <c r="X1343" s="2" t="n">
        <v>2</v>
      </c>
      <c r="Y1343" s="2" t="n">
        <v>2</v>
      </c>
      <c r="Z1343" s="2" t="n">
        <v>3</v>
      </c>
    </row>
    <row r="1344" customFormat="false" ht="15" hidden="false" customHeight="true" outlineLevel="0" collapsed="false">
      <c r="A1344" s="2" t="n">
        <v>43</v>
      </c>
      <c r="B1344" s="2" t="s">
        <v>26</v>
      </c>
      <c r="C1344" s="2" t="s">
        <v>34</v>
      </c>
      <c r="D1344" s="2" t="s">
        <v>28</v>
      </c>
      <c r="E1344" s="2" t="n">
        <v>2</v>
      </c>
      <c r="F1344" s="2" t="n">
        <v>2</v>
      </c>
      <c r="G1344" s="2" t="s">
        <v>29</v>
      </c>
      <c r="H1344" s="2" t="n">
        <v>1343</v>
      </c>
      <c r="I1344" s="2" t="s">
        <v>39</v>
      </c>
      <c r="J1344" s="2" t="n">
        <v>1</v>
      </c>
      <c r="K1344" s="2" t="s">
        <v>40</v>
      </c>
      <c r="L1344" s="2" t="s">
        <v>37</v>
      </c>
      <c r="M1344" s="2" t="n">
        <v>32110</v>
      </c>
      <c r="N1344" s="2" t="n">
        <v>4</v>
      </c>
      <c r="O1344" s="2" t="n">
        <v>13</v>
      </c>
      <c r="P1344" s="2" t="n">
        <v>0</v>
      </c>
      <c r="Q1344" s="2" t="n">
        <v>18</v>
      </c>
      <c r="R1344" s="2" t="n">
        <v>2</v>
      </c>
      <c r="S1344" s="2" t="n">
        <v>3</v>
      </c>
      <c r="T1344" s="2" t="n">
        <v>1</v>
      </c>
      <c r="U1344" s="2" t="n">
        <v>2</v>
      </c>
      <c r="V1344" s="2" t="n">
        <v>2</v>
      </c>
      <c r="W1344" s="2" t="n">
        <v>3</v>
      </c>
      <c r="X1344" s="2" t="n">
        <v>3</v>
      </c>
      <c r="Y1344" s="2" t="n">
        <v>4</v>
      </c>
      <c r="Z1344" s="2" t="n">
        <v>3</v>
      </c>
    </row>
    <row r="1345" customFormat="false" ht="15" hidden="false" customHeight="true" outlineLevel="0" collapsed="false">
      <c r="A1345" s="2" t="n">
        <v>50</v>
      </c>
      <c r="B1345" s="2" t="s">
        <v>26</v>
      </c>
      <c r="C1345" s="2" t="s">
        <v>34</v>
      </c>
      <c r="D1345" s="2" t="s">
        <v>35</v>
      </c>
      <c r="E1345" s="2" t="n">
        <v>19</v>
      </c>
      <c r="F1345" s="2" t="n">
        <v>4</v>
      </c>
      <c r="G1345" s="2" t="s">
        <v>29</v>
      </c>
      <c r="H1345" s="2" t="n">
        <v>1344</v>
      </c>
      <c r="I1345" s="2" t="s">
        <v>39</v>
      </c>
      <c r="J1345" s="2" t="n">
        <v>2</v>
      </c>
      <c r="K1345" s="2" t="s">
        <v>40</v>
      </c>
      <c r="L1345" s="2" t="s">
        <v>37</v>
      </c>
      <c r="M1345" s="2" t="n">
        <v>53770</v>
      </c>
      <c r="N1345" s="2" t="n">
        <v>4</v>
      </c>
      <c r="O1345" s="2" t="n">
        <v>14</v>
      </c>
      <c r="P1345" s="2" t="n">
        <v>1</v>
      </c>
      <c r="Q1345" s="2" t="n">
        <v>16</v>
      </c>
      <c r="R1345" s="2" t="n">
        <v>3</v>
      </c>
      <c r="S1345" s="2" t="n">
        <v>2</v>
      </c>
      <c r="T1345" s="2" t="n">
        <v>2</v>
      </c>
      <c r="U1345" s="2" t="n">
        <v>1</v>
      </c>
      <c r="V1345" s="2" t="n">
        <v>3</v>
      </c>
      <c r="W1345" s="2" t="n">
        <v>4</v>
      </c>
      <c r="X1345" s="2" t="n">
        <v>3</v>
      </c>
      <c r="Y1345" s="2" t="n">
        <v>4</v>
      </c>
      <c r="Z1345" s="2" t="n">
        <v>3</v>
      </c>
    </row>
    <row r="1346" customFormat="false" ht="15" hidden="false" customHeight="true" outlineLevel="0" collapsed="false">
      <c r="A1346" s="2" t="n">
        <v>31</v>
      </c>
      <c r="B1346" s="2" t="s">
        <v>33</v>
      </c>
      <c r="C1346" s="2" t="s">
        <v>27</v>
      </c>
      <c r="D1346" s="2" t="s">
        <v>35</v>
      </c>
      <c r="E1346" s="2" t="n">
        <v>15</v>
      </c>
      <c r="F1346" s="2" t="n">
        <v>1</v>
      </c>
      <c r="G1346" s="2" t="s">
        <v>43</v>
      </c>
      <c r="H1346" s="2" t="n">
        <v>1345</v>
      </c>
      <c r="I1346" s="2" t="s">
        <v>30</v>
      </c>
      <c r="J1346" s="2" t="n">
        <v>2</v>
      </c>
      <c r="K1346" s="2" t="s">
        <v>40</v>
      </c>
      <c r="L1346" s="2" t="s">
        <v>32</v>
      </c>
      <c r="M1346" s="2" t="n">
        <v>40660</v>
      </c>
      <c r="N1346" s="2" t="n">
        <v>3</v>
      </c>
      <c r="O1346" s="2" t="n">
        <v>22</v>
      </c>
      <c r="P1346" s="2" t="n">
        <v>0</v>
      </c>
      <c r="Q1346" s="2" t="n">
        <v>4</v>
      </c>
      <c r="R1346" s="2" t="n">
        <v>2</v>
      </c>
      <c r="S1346" s="2" t="n">
        <v>2</v>
      </c>
      <c r="T1346" s="2" t="n">
        <v>2</v>
      </c>
      <c r="U1346" s="2" t="n">
        <v>2</v>
      </c>
      <c r="V1346" s="2" t="n">
        <v>2</v>
      </c>
      <c r="W1346" s="2" t="n">
        <v>3</v>
      </c>
      <c r="X1346" s="2" t="n">
        <v>3</v>
      </c>
      <c r="Y1346" s="2" t="n">
        <v>2</v>
      </c>
      <c r="Z1346" s="2" t="n">
        <v>4</v>
      </c>
    </row>
    <row r="1347" customFormat="false" ht="15" hidden="false" customHeight="true" outlineLevel="0" collapsed="false">
      <c r="A1347" s="2" t="n">
        <v>41</v>
      </c>
      <c r="B1347" s="2" t="s">
        <v>26</v>
      </c>
      <c r="C1347" s="2" t="s">
        <v>27</v>
      </c>
      <c r="D1347" s="2" t="s">
        <v>35</v>
      </c>
      <c r="E1347" s="2" t="n">
        <v>17</v>
      </c>
      <c r="F1347" s="2" t="n">
        <v>2</v>
      </c>
      <c r="G1347" s="2" t="s">
        <v>38</v>
      </c>
      <c r="H1347" s="2" t="n">
        <v>1346</v>
      </c>
      <c r="I1347" s="2" t="s">
        <v>39</v>
      </c>
      <c r="J1347" s="2" t="n">
        <v>1</v>
      </c>
      <c r="K1347" s="2" t="s">
        <v>47</v>
      </c>
      <c r="L1347" s="2" t="s">
        <v>46</v>
      </c>
      <c r="M1347" s="2" t="n">
        <v>52080</v>
      </c>
      <c r="N1347" s="2" t="n">
        <v>3</v>
      </c>
      <c r="O1347" s="2" t="n">
        <v>11</v>
      </c>
      <c r="P1347" s="2" t="n">
        <v>3</v>
      </c>
      <c r="Q1347" s="2" t="n">
        <v>12</v>
      </c>
      <c r="R1347" s="2" t="n">
        <v>2</v>
      </c>
      <c r="S1347" s="2" t="n">
        <v>9</v>
      </c>
      <c r="T1347" s="2" t="n">
        <v>0</v>
      </c>
      <c r="U1347" s="2" t="n">
        <v>7</v>
      </c>
      <c r="V1347" s="2" t="n">
        <v>3</v>
      </c>
      <c r="W1347" s="2" t="n">
        <v>3</v>
      </c>
      <c r="X1347" s="2" t="n">
        <v>3</v>
      </c>
      <c r="Y1347" s="2" t="n">
        <v>1</v>
      </c>
      <c r="Z1347" s="2" t="n">
        <v>3</v>
      </c>
    </row>
    <row r="1348" customFormat="false" ht="15" hidden="false" customHeight="true" outlineLevel="0" collapsed="false">
      <c r="A1348" s="2" t="n">
        <v>26</v>
      </c>
      <c r="B1348" s="2" t="s">
        <v>26</v>
      </c>
      <c r="C1348" s="2" t="s">
        <v>27</v>
      </c>
      <c r="D1348" s="2" t="s">
        <v>35</v>
      </c>
      <c r="E1348" s="2" t="n">
        <v>17</v>
      </c>
      <c r="F1348" s="2" t="n">
        <v>4</v>
      </c>
      <c r="G1348" s="2" t="s">
        <v>29</v>
      </c>
      <c r="H1348" s="2" t="n">
        <v>1347</v>
      </c>
      <c r="I1348" s="2" t="s">
        <v>39</v>
      </c>
      <c r="J1348" s="2" t="n">
        <v>2</v>
      </c>
      <c r="K1348" s="2" t="s">
        <v>40</v>
      </c>
      <c r="L1348" s="2" t="s">
        <v>32</v>
      </c>
      <c r="M1348" s="2" t="n">
        <v>48770</v>
      </c>
      <c r="N1348" s="2" t="n">
        <v>1</v>
      </c>
      <c r="O1348" s="2" t="n">
        <v>13</v>
      </c>
      <c r="P1348" s="2" t="n">
        <v>1</v>
      </c>
      <c r="Q1348" s="2" t="n">
        <v>8</v>
      </c>
      <c r="R1348" s="2" t="n">
        <v>5</v>
      </c>
      <c r="S1348" s="2" t="n">
        <v>8</v>
      </c>
      <c r="T1348" s="2" t="n">
        <v>5</v>
      </c>
      <c r="U1348" s="2" t="n">
        <v>7</v>
      </c>
      <c r="V1348" s="2" t="n">
        <v>3</v>
      </c>
      <c r="W1348" s="2" t="n">
        <v>3</v>
      </c>
      <c r="X1348" s="2" t="n">
        <v>3</v>
      </c>
      <c r="Y1348" s="2" t="n">
        <v>4</v>
      </c>
      <c r="Z1348" s="2" t="n">
        <v>3</v>
      </c>
    </row>
    <row r="1349" customFormat="false" ht="15" hidden="false" customHeight="true" outlineLevel="0" collapsed="false">
      <c r="A1349" s="2" t="n">
        <v>36</v>
      </c>
      <c r="B1349" s="2" t="s">
        <v>26</v>
      </c>
      <c r="C1349" s="2" t="s">
        <v>27</v>
      </c>
      <c r="D1349" s="2" t="s">
        <v>42</v>
      </c>
      <c r="E1349" s="2" t="n">
        <v>25</v>
      </c>
      <c r="F1349" s="2" t="n">
        <v>1</v>
      </c>
      <c r="G1349" s="2" t="s">
        <v>42</v>
      </c>
      <c r="H1349" s="2" t="n">
        <v>1348</v>
      </c>
      <c r="I1349" s="2" t="s">
        <v>39</v>
      </c>
      <c r="J1349" s="2" t="n">
        <v>2</v>
      </c>
      <c r="K1349" s="2" t="s">
        <v>36</v>
      </c>
      <c r="L1349" s="2" t="s">
        <v>46</v>
      </c>
      <c r="M1349" s="2" t="n">
        <v>31170</v>
      </c>
      <c r="N1349" s="2" t="n">
        <v>6</v>
      </c>
      <c r="O1349" s="2" t="n">
        <v>21</v>
      </c>
      <c r="P1349" s="2" t="n">
        <v>1</v>
      </c>
      <c r="Q1349" s="2" t="n">
        <v>7</v>
      </c>
      <c r="R1349" s="2" t="n">
        <v>2</v>
      </c>
      <c r="S1349" s="2" t="n">
        <v>3</v>
      </c>
      <c r="T1349" s="2" t="n">
        <v>0</v>
      </c>
      <c r="U1349" s="2" t="n">
        <v>1</v>
      </c>
      <c r="V1349" s="2" t="n">
        <v>2</v>
      </c>
      <c r="W1349" s="2" t="n">
        <v>2</v>
      </c>
      <c r="X1349" s="2" t="n">
        <v>3</v>
      </c>
      <c r="Y1349" s="2" t="n">
        <v>4</v>
      </c>
      <c r="Z1349" s="2" t="n">
        <v>4</v>
      </c>
    </row>
    <row r="1350" customFormat="false" ht="15" hidden="false" customHeight="true" outlineLevel="0" collapsed="false">
      <c r="A1350" s="2" t="n">
        <v>51</v>
      </c>
      <c r="B1350" s="2" t="s">
        <v>33</v>
      </c>
      <c r="C1350" s="2" t="s">
        <v>34</v>
      </c>
      <c r="D1350" s="2" t="s">
        <v>35</v>
      </c>
      <c r="E1350" s="2" t="n">
        <v>6</v>
      </c>
      <c r="F1350" s="2" t="n">
        <v>3</v>
      </c>
      <c r="G1350" s="2" t="s">
        <v>29</v>
      </c>
      <c r="H1350" s="2" t="n">
        <v>1349</v>
      </c>
      <c r="I1350" s="2" t="s">
        <v>30</v>
      </c>
      <c r="J1350" s="2" t="n">
        <v>1</v>
      </c>
      <c r="K1350" s="2" t="s">
        <v>49</v>
      </c>
      <c r="L1350" s="2" t="s">
        <v>37</v>
      </c>
      <c r="M1350" s="2" t="n">
        <v>15690</v>
      </c>
      <c r="N1350" s="2" t="n">
        <v>2</v>
      </c>
      <c r="O1350" s="2" t="n">
        <v>11</v>
      </c>
      <c r="P1350" s="2" t="n">
        <v>0</v>
      </c>
      <c r="Q1350" s="2" t="n">
        <v>18</v>
      </c>
      <c r="R1350" s="2" t="n">
        <v>2</v>
      </c>
      <c r="S1350" s="2" t="n">
        <v>4</v>
      </c>
      <c r="T1350" s="2" t="n">
        <v>0</v>
      </c>
      <c r="U1350" s="2" t="n">
        <v>3</v>
      </c>
      <c r="V1350" s="2" t="n">
        <v>1</v>
      </c>
      <c r="W1350" s="2" t="n">
        <v>4</v>
      </c>
      <c r="X1350" s="2" t="n">
        <v>3</v>
      </c>
      <c r="Y1350" s="2" t="n">
        <v>4</v>
      </c>
      <c r="Z1350" s="2" t="n">
        <v>3</v>
      </c>
    </row>
    <row r="1351" customFormat="false" ht="15" hidden="false" customHeight="true" outlineLevel="0" collapsed="false">
      <c r="A1351" s="2" t="n">
        <v>39</v>
      </c>
      <c r="B1351" s="2" t="s">
        <v>26</v>
      </c>
      <c r="C1351" s="2" t="s">
        <v>27</v>
      </c>
      <c r="D1351" s="2" t="s">
        <v>35</v>
      </c>
      <c r="E1351" s="2" t="n">
        <v>7</v>
      </c>
      <c r="F1351" s="2" t="n">
        <v>3</v>
      </c>
      <c r="G1351" s="2" t="s">
        <v>29</v>
      </c>
      <c r="H1351" s="2" t="n">
        <v>1350</v>
      </c>
      <c r="I1351" s="2" t="s">
        <v>30</v>
      </c>
      <c r="J1351" s="2" t="n">
        <v>1</v>
      </c>
      <c r="K1351" s="2" t="s">
        <v>36</v>
      </c>
      <c r="L1351" s="2" t="s">
        <v>32</v>
      </c>
      <c r="M1351" s="2" t="n">
        <v>196580</v>
      </c>
      <c r="N1351" s="2" t="n">
        <v>4</v>
      </c>
      <c r="O1351" s="2" t="n">
        <v>13</v>
      </c>
      <c r="P1351" s="2" t="n">
        <v>1</v>
      </c>
      <c r="Q1351" s="2" t="n">
        <v>17</v>
      </c>
      <c r="R1351" s="2" t="n">
        <v>3</v>
      </c>
      <c r="S1351" s="2" t="n">
        <v>15</v>
      </c>
      <c r="T1351" s="2" t="n">
        <v>5</v>
      </c>
      <c r="U1351" s="2" t="n">
        <v>9</v>
      </c>
      <c r="V1351" s="2" t="n">
        <v>4</v>
      </c>
      <c r="W1351" s="2" t="n">
        <v>3</v>
      </c>
      <c r="X1351" s="2" t="n">
        <v>4</v>
      </c>
      <c r="Y1351" s="2" t="n">
        <v>4</v>
      </c>
      <c r="Z1351" s="2" t="n">
        <v>3</v>
      </c>
    </row>
    <row r="1352" customFormat="false" ht="15" hidden="false" customHeight="true" outlineLevel="0" collapsed="false">
      <c r="A1352" s="2" t="n">
        <v>25</v>
      </c>
      <c r="B1352" s="2" t="s">
        <v>26</v>
      </c>
      <c r="C1352" s="2" t="s">
        <v>27</v>
      </c>
      <c r="D1352" s="2" t="s">
        <v>28</v>
      </c>
      <c r="E1352" s="2" t="n">
        <v>29</v>
      </c>
      <c r="F1352" s="2" t="n">
        <v>1</v>
      </c>
      <c r="G1352" s="2" t="s">
        <v>43</v>
      </c>
      <c r="H1352" s="2" t="n">
        <v>1351</v>
      </c>
      <c r="I1352" s="2" t="s">
        <v>30</v>
      </c>
      <c r="J1352" s="2" t="n">
        <v>3</v>
      </c>
      <c r="K1352" s="2" t="s">
        <v>36</v>
      </c>
      <c r="L1352" s="2" t="s">
        <v>32</v>
      </c>
      <c r="M1352" s="2" t="n">
        <v>30690</v>
      </c>
      <c r="N1352" s="2" t="n">
        <v>2</v>
      </c>
      <c r="O1352" s="2" t="n">
        <v>14</v>
      </c>
      <c r="P1352" s="2" t="n">
        <v>1</v>
      </c>
      <c r="Q1352" s="2" t="n">
        <v>6</v>
      </c>
      <c r="R1352" s="2" t="n">
        <v>3</v>
      </c>
      <c r="S1352" s="2" t="n">
        <v>2</v>
      </c>
      <c r="T1352" s="2" t="n">
        <v>2</v>
      </c>
      <c r="U1352" s="2" t="n">
        <v>2</v>
      </c>
      <c r="V1352" s="2" t="n">
        <v>1</v>
      </c>
      <c r="W1352" s="2" t="n">
        <v>3</v>
      </c>
      <c r="X1352" s="2" t="n">
        <v>3</v>
      </c>
      <c r="Y1352" s="2" t="n">
        <v>2</v>
      </c>
      <c r="Z1352" s="2" t="n">
        <v>3</v>
      </c>
    </row>
    <row r="1353" customFormat="false" ht="15" hidden="false" customHeight="true" outlineLevel="0" collapsed="false">
      <c r="A1353" s="2" t="n">
        <v>30</v>
      </c>
      <c r="B1353" s="2" t="s">
        <v>26</v>
      </c>
      <c r="C1353" s="2" t="s">
        <v>27</v>
      </c>
      <c r="D1353" s="2" t="s">
        <v>35</v>
      </c>
      <c r="E1353" s="2" t="n">
        <v>21</v>
      </c>
      <c r="F1353" s="2" t="n">
        <v>1</v>
      </c>
      <c r="G1353" s="2" t="s">
        <v>43</v>
      </c>
      <c r="H1353" s="2" t="n">
        <v>1352</v>
      </c>
      <c r="I1353" s="2" t="s">
        <v>39</v>
      </c>
      <c r="J1353" s="2" t="n">
        <v>2</v>
      </c>
      <c r="K1353" s="2" t="s">
        <v>45</v>
      </c>
      <c r="L1353" s="2" t="s">
        <v>32</v>
      </c>
      <c r="M1353" s="2" t="n">
        <v>104350</v>
      </c>
      <c r="N1353" s="2" t="n">
        <v>0</v>
      </c>
      <c r="O1353" s="2" t="n">
        <v>11</v>
      </c>
      <c r="P1353" s="2" t="n">
        <v>0</v>
      </c>
      <c r="Q1353" s="2" t="n">
        <v>12</v>
      </c>
      <c r="R1353" s="2" t="n">
        <v>5</v>
      </c>
      <c r="S1353" s="2" t="n">
        <v>11</v>
      </c>
      <c r="T1353" s="2" t="n">
        <v>4</v>
      </c>
      <c r="U1353" s="2" t="n">
        <v>7</v>
      </c>
      <c r="V1353" s="2" t="n">
        <v>3</v>
      </c>
      <c r="W1353" s="2" t="n">
        <v>4</v>
      </c>
      <c r="X1353" s="2" t="n">
        <v>1</v>
      </c>
      <c r="Y1353" s="2" t="n">
        <v>3</v>
      </c>
      <c r="Z1353" s="2" t="n">
        <v>3</v>
      </c>
    </row>
    <row r="1354" customFormat="false" ht="15" hidden="false" customHeight="true" outlineLevel="0" collapsed="false">
      <c r="A1354" s="2" t="n">
        <v>32</v>
      </c>
      <c r="B1354" s="2" t="s">
        <v>33</v>
      </c>
      <c r="C1354" s="2" t="s">
        <v>27</v>
      </c>
      <c r="D1354" s="2" t="s">
        <v>35</v>
      </c>
      <c r="E1354" s="2" t="n">
        <v>2</v>
      </c>
      <c r="F1354" s="2" t="n">
        <v>4</v>
      </c>
      <c r="G1354" s="2" t="s">
        <v>29</v>
      </c>
      <c r="H1354" s="2" t="n">
        <v>1353</v>
      </c>
      <c r="I1354" s="2" t="s">
        <v>30</v>
      </c>
      <c r="J1354" s="2" t="n">
        <v>2</v>
      </c>
      <c r="K1354" s="2" t="s">
        <v>44</v>
      </c>
      <c r="L1354" s="2" t="s">
        <v>37</v>
      </c>
      <c r="M1354" s="2" t="n">
        <v>41480</v>
      </c>
      <c r="N1354" s="2" t="n">
        <v>7</v>
      </c>
      <c r="O1354" s="2" t="n">
        <v>15</v>
      </c>
      <c r="P1354" s="2" t="n">
        <v>0</v>
      </c>
      <c r="Q1354" s="2" t="n">
        <v>10</v>
      </c>
      <c r="R1354" s="2" t="n">
        <v>0</v>
      </c>
      <c r="S1354" s="2" t="n">
        <v>5</v>
      </c>
      <c r="T1354" s="2" t="n">
        <v>0</v>
      </c>
      <c r="U1354" s="2" t="n">
        <v>4</v>
      </c>
      <c r="V1354" s="2" t="n">
        <v>1</v>
      </c>
      <c r="W1354" s="2" t="n">
        <v>1</v>
      </c>
      <c r="X1354" s="2" t="n">
        <v>4</v>
      </c>
      <c r="Y1354" s="2" t="n">
        <v>2</v>
      </c>
      <c r="Z1354" s="2" t="n">
        <v>3</v>
      </c>
    </row>
    <row r="1355" customFormat="false" ht="15" hidden="false" customHeight="true" outlineLevel="0" collapsed="false">
      <c r="A1355" s="2" t="n">
        <v>45</v>
      </c>
      <c r="B1355" s="2" t="s">
        <v>26</v>
      </c>
      <c r="C1355" s="2" t="s">
        <v>27</v>
      </c>
      <c r="D1355" s="2" t="s">
        <v>35</v>
      </c>
      <c r="E1355" s="2" t="n">
        <v>2</v>
      </c>
      <c r="F1355" s="2" t="n">
        <v>1</v>
      </c>
      <c r="G1355" s="2" t="s">
        <v>51</v>
      </c>
      <c r="H1355" s="2" t="n">
        <v>1354</v>
      </c>
      <c r="I1355" s="2" t="s">
        <v>30</v>
      </c>
      <c r="J1355" s="2" t="n">
        <v>2</v>
      </c>
      <c r="K1355" s="2" t="s">
        <v>31</v>
      </c>
      <c r="L1355" s="2" t="s">
        <v>37</v>
      </c>
      <c r="M1355" s="2" t="n">
        <v>57680</v>
      </c>
      <c r="N1355" s="2" t="n">
        <v>5</v>
      </c>
      <c r="O1355" s="2" t="n">
        <v>23</v>
      </c>
      <c r="P1355" s="2" t="n">
        <v>1</v>
      </c>
      <c r="Q1355" s="2" t="n">
        <v>9</v>
      </c>
      <c r="R1355" s="2" t="n">
        <v>4</v>
      </c>
      <c r="S1355" s="2" t="n">
        <v>6</v>
      </c>
      <c r="T1355" s="2" t="n">
        <v>0</v>
      </c>
      <c r="U1355" s="2" t="n">
        <v>3</v>
      </c>
      <c r="V1355" s="2" t="n">
        <v>3</v>
      </c>
      <c r="W1355" s="2" t="n">
        <v>4</v>
      </c>
      <c r="X1355" s="2" t="n">
        <v>2</v>
      </c>
      <c r="Y1355" s="2" t="n">
        <v>3</v>
      </c>
      <c r="Z1355" s="2" t="n">
        <v>4</v>
      </c>
    </row>
    <row r="1356" customFormat="false" ht="15" hidden="false" customHeight="true" outlineLevel="0" collapsed="false">
      <c r="A1356" s="2" t="n">
        <v>38</v>
      </c>
      <c r="B1356" s="2" t="s">
        <v>26</v>
      </c>
      <c r="C1356" s="2" t="s">
        <v>27</v>
      </c>
      <c r="D1356" s="2" t="s">
        <v>35</v>
      </c>
      <c r="E1356" s="2" t="n">
        <v>7</v>
      </c>
      <c r="F1356" s="2" t="n">
        <v>4</v>
      </c>
      <c r="G1356" s="2" t="s">
        <v>29</v>
      </c>
      <c r="H1356" s="2" t="n">
        <v>1355</v>
      </c>
      <c r="I1356" s="2" t="s">
        <v>30</v>
      </c>
      <c r="J1356" s="2" t="n">
        <v>2</v>
      </c>
      <c r="K1356" s="2" t="s">
        <v>44</v>
      </c>
      <c r="L1356" s="2" t="s">
        <v>37</v>
      </c>
      <c r="M1356" s="2" t="n">
        <v>50420</v>
      </c>
      <c r="N1356" s="2" t="n">
        <v>3</v>
      </c>
      <c r="O1356" s="2" t="n">
        <v>16</v>
      </c>
      <c r="P1356" s="2" t="n">
        <v>1</v>
      </c>
      <c r="Q1356" s="2" t="n">
        <v>19</v>
      </c>
      <c r="R1356" s="2" t="n">
        <v>4</v>
      </c>
      <c r="S1356" s="2" t="n">
        <v>3</v>
      </c>
      <c r="T1356" s="2" t="n">
        <v>2</v>
      </c>
      <c r="U1356" s="2" t="n">
        <v>2</v>
      </c>
      <c r="V1356" s="2" t="n">
        <v>4</v>
      </c>
      <c r="W1356" s="2" t="n">
        <v>3</v>
      </c>
      <c r="X1356" s="2" t="n">
        <v>3</v>
      </c>
      <c r="Y1356" s="2" t="n">
        <v>3</v>
      </c>
      <c r="Z1356" s="2" t="n">
        <v>3</v>
      </c>
    </row>
    <row r="1357" customFormat="false" ht="15" hidden="false" customHeight="true" outlineLevel="0" collapsed="false">
      <c r="A1357" s="2" t="n">
        <v>30</v>
      </c>
      <c r="B1357" s="2" t="s">
        <v>26</v>
      </c>
      <c r="C1357" s="2" t="s">
        <v>27</v>
      </c>
      <c r="D1357" s="2" t="s">
        <v>28</v>
      </c>
      <c r="E1357" s="2" t="n">
        <v>13</v>
      </c>
      <c r="F1357" s="2" t="n">
        <v>3</v>
      </c>
      <c r="G1357" s="2" t="s">
        <v>50</v>
      </c>
      <c r="H1357" s="2" t="n">
        <v>1356</v>
      </c>
      <c r="I1357" s="2" t="s">
        <v>30</v>
      </c>
      <c r="J1357" s="2" t="n">
        <v>2</v>
      </c>
      <c r="K1357" s="2" t="s">
        <v>45</v>
      </c>
      <c r="L1357" s="2" t="s">
        <v>37</v>
      </c>
      <c r="M1357" s="2" t="n">
        <v>57700</v>
      </c>
      <c r="N1357" s="2" t="n">
        <v>1</v>
      </c>
      <c r="O1357" s="2" t="n">
        <v>16</v>
      </c>
      <c r="P1357" s="2" t="n">
        <v>1</v>
      </c>
      <c r="Q1357" s="2" t="n">
        <v>5</v>
      </c>
      <c r="R1357" s="2" t="n">
        <v>2</v>
      </c>
      <c r="S1357" s="2" t="n">
        <v>5</v>
      </c>
      <c r="T1357" s="2" t="n">
        <v>0</v>
      </c>
      <c r="U1357" s="2" t="n">
        <v>4</v>
      </c>
      <c r="V1357" s="2" t="n">
        <v>1</v>
      </c>
      <c r="W1357" s="2" t="n">
        <v>3</v>
      </c>
      <c r="X1357" s="2" t="n">
        <v>2</v>
      </c>
      <c r="Y1357" s="2" t="n">
        <v>4</v>
      </c>
      <c r="Z1357" s="2" t="n">
        <v>3</v>
      </c>
    </row>
    <row r="1358" customFormat="false" ht="15" hidden="false" customHeight="true" outlineLevel="0" collapsed="false">
      <c r="A1358" s="2" t="n">
        <v>32</v>
      </c>
      <c r="B1358" s="2" t="s">
        <v>26</v>
      </c>
      <c r="C1358" s="2" t="s">
        <v>34</v>
      </c>
      <c r="D1358" s="2" t="s">
        <v>28</v>
      </c>
      <c r="E1358" s="2" t="n">
        <v>2</v>
      </c>
      <c r="F1358" s="2" t="n">
        <v>3</v>
      </c>
      <c r="G1358" s="2" t="s">
        <v>50</v>
      </c>
      <c r="H1358" s="2" t="n">
        <v>1357</v>
      </c>
      <c r="I1358" s="2" t="s">
        <v>39</v>
      </c>
      <c r="J1358" s="2" t="n">
        <v>3</v>
      </c>
      <c r="K1358" s="2" t="s">
        <v>45</v>
      </c>
      <c r="L1358" s="2" t="s">
        <v>46</v>
      </c>
      <c r="M1358" s="2" t="n">
        <v>77560</v>
      </c>
      <c r="N1358" s="2" t="n">
        <v>0</v>
      </c>
      <c r="O1358" s="2" t="n">
        <v>21</v>
      </c>
      <c r="P1358" s="2" t="n">
        <v>0</v>
      </c>
      <c r="Q1358" s="2" t="n">
        <v>9</v>
      </c>
      <c r="R1358" s="2" t="n">
        <v>3</v>
      </c>
      <c r="S1358" s="2" t="n">
        <v>8</v>
      </c>
      <c r="T1358" s="2" t="n">
        <v>0</v>
      </c>
      <c r="U1358" s="2" t="n">
        <v>7</v>
      </c>
      <c r="V1358" s="2" t="n">
        <v>4</v>
      </c>
      <c r="W1358" s="2" t="n">
        <v>4</v>
      </c>
      <c r="X1358" s="2" t="n">
        <v>4</v>
      </c>
      <c r="Y1358" s="2" t="n">
        <v>3</v>
      </c>
      <c r="Z1358" s="2" t="n">
        <v>4</v>
      </c>
    </row>
    <row r="1359" customFormat="false" ht="15" hidden="false" customHeight="true" outlineLevel="0" collapsed="false">
      <c r="A1359" s="2" t="n">
        <v>30</v>
      </c>
      <c r="B1359" s="2" t="s">
        <v>26</v>
      </c>
      <c r="C1359" s="2" t="s">
        <v>27</v>
      </c>
      <c r="D1359" s="2" t="s">
        <v>35</v>
      </c>
      <c r="E1359" s="2" t="n">
        <v>1</v>
      </c>
      <c r="F1359" s="2" t="n">
        <v>3</v>
      </c>
      <c r="G1359" s="2" t="s">
        <v>43</v>
      </c>
      <c r="H1359" s="2" t="n">
        <v>1358</v>
      </c>
      <c r="I1359" s="2" t="s">
        <v>30</v>
      </c>
      <c r="J1359" s="2" t="n">
        <v>3</v>
      </c>
      <c r="K1359" s="2" t="s">
        <v>40</v>
      </c>
      <c r="L1359" s="2" t="s">
        <v>46</v>
      </c>
      <c r="M1359" s="2" t="n">
        <v>103060</v>
      </c>
      <c r="N1359" s="2" t="n">
        <v>5</v>
      </c>
      <c r="O1359" s="2" t="n">
        <v>13</v>
      </c>
      <c r="P1359" s="2" t="n">
        <v>0</v>
      </c>
      <c r="Q1359" s="2" t="n">
        <v>8</v>
      </c>
      <c r="R1359" s="2" t="n">
        <v>5</v>
      </c>
      <c r="S1359" s="2" t="n">
        <v>3</v>
      </c>
      <c r="T1359" s="2" t="n">
        <v>2</v>
      </c>
      <c r="U1359" s="2" t="n">
        <v>2</v>
      </c>
      <c r="V1359" s="2" t="n">
        <v>4</v>
      </c>
      <c r="W1359" s="2" t="n">
        <v>1</v>
      </c>
      <c r="X1359" s="2" t="n">
        <v>3</v>
      </c>
      <c r="Y1359" s="2" t="n">
        <v>3</v>
      </c>
      <c r="Z1359" s="2" t="n">
        <v>3</v>
      </c>
    </row>
    <row r="1360" customFormat="false" ht="15" hidden="false" customHeight="true" outlineLevel="0" collapsed="false">
      <c r="A1360" s="2" t="n">
        <v>30</v>
      </c>
      <c r="B1360" s="2" t="s">
        <v>26</v>
      </c>
      <c r="C1360" s="2" t="s">
        <v>27</v>
      </c>
      <c r="D1360" s="2" t="s">
        <v>28</v>
      </c>
      <c r="E1360" s="2" t="n">
        <v>9</v>
      </c>
      <c r="F1360" s="2" t="n">
        <v>3</v>
      </c>
      <c r="G1360" s="2" t="s">
        <v>43</v>
      </c>
      <c r="H1360" s="2" t="n">
        <v>1359</v>
      </c>
      <c r="I1360" s="2" t="s">
        <v>39</v>
      </c>
      <c r="J1360" s="2" t="n">
        <v>2</v>
      </c>
      <c r="K1360" s="2" t="s">
        <v>36</v>
      </c>
      <c r="L1360" s="2" t="s">
        <v>37</v>
      </c>
      <c r="M1360" s="2" t="n">
        <v>39360</v>
      </c>
      <c r="N1360" s="2" t="n">
        <v>0</v>
      </c>
      <c r="O1360" s="2" t="n">
        <v>11</v>
      </c>
      <c r="P1360" s="2" t="n">
        <v>1</v>
      </c>
      <c r="Q1360" s="2" t="n">
        <v>6</v>
      </c>
      <c r="R1360" s="2" t="n">
        <v>3</v>
      </c>
      <c r="S1360" s="2" t="n">
        <v>5</v>
      </c>
      <c r="T1360" s="2" t="n">
        <v>1</v>
      </c>
      <c r="U1360" s="2" t="n">
        <v>2</v>
      </c>
      <c r="V1360" s="2" t="n">
        <v>2</v>
      </c>
      <c r="W1360" s="2" t="n">
        <v>4</v>
      </c>
      <c r="X1360" s="2" t="n">
        <v>3</v>
      </c>
      <c r="Y1360" s="2" t="n">
        <v>3</v>
      </c>
      <c r="Z1360" s="2" t="n">
        <v>3</v>
      </c>
    </row>
    <row r="1361" customFormat="false" ht="15" hidden="false" customHeight="true" outlineLevel="0" collapsed="false">
      <c r="A1361" s="2" t="n">
        <v>41</v>
      </c>
      <c r="B1361" s="2" t="s">
        <v>26</v>
      </c>
      <c r="C1361" s="2" t="s">
        <v>34</v>
      </c>
      <c r="D1361" s="2" t="s">
        <v>28</v>
      </c>
      <c r="E1361" s="2" t="n">
        <v>10</v>
      </c>
      <c r="F1361" s="2" t="n">
        <v>2</v>
      </c>
      <c r="G1361" s="2" t="s">
        <v>43</v>
      </c>
      <c r="H1361" s="2" t="n">
        <v>1360</v>
      </c>
      <c r="I1361" s="2" t="s">
        <v>30</v>
      </c>
      <c r="J1361" s="2" t="n">
        <v>3</v>
      </c>
      <c r="K1361" s="2" t="s">
        <v>47</v>
      </c>
      <c r="L1361" s="2" t="s">
        <v>46</v>
      </c>
      <c r="M1361" s="2" t="n">
        <v>79450</v>
      </c>
      <c r="N1361" s="2" t="n">
        <v>4</v>
      </c>
      <c r="O1361" s="2" t="n">
        <v>12</v>
      </c>
      <c r="P1361" s="2" t="n">
        <v>1</v>
      </c>
      <c r="Q1361" s="2" t="n">
        <v>21</v>
      </c>
      <c r="R1361" s="2" t="n">
        <v>6</v>
      </c>
      <c r="S1361" s="2" t="n">
        <v>7</v>
      </c>
      <c r="T1361" s="2" t="n">
        <v>7</v>
      </c>
      <c r="U1361" s="2" t="n">
        <v>7</v>
      </c>
      <c r="V1361" s="2" t="n">
        <v>4</v>
      </c>
      <c r="W1361" s="2" t="n">
        <v>1</v>
      </c>
      <c r="X1361" s="2" t="n">
        <v>2</v>
      </c>
      <c r="Y1361" s="2" t="n">
        <v>2</v>
      </c>
      <c r="Z1361" s="2" t="n">
        <v>3</v>
      </c>
    </row>
    <row r="1362" customFormat="false" ht="15" hidden="false" customHeight="true" outlineLevel="0" collapsed="false">
      <c r="A1362" s="2" t="n">
        <v>41</v>
      </c>
      <c r="B1362" s="2" t="s">
        <v>26</v>
      </c>
      <c r="C1362" s="2" t="s">
        <v>27</v>
      </c>
      <c r="D1362" s="2" t="s">
        <v>35</v>
      </c>
      <c r="E1362" s="2" t="n">
        <v>10</v>
      </c>
      <c r="F1362" s="2" t="n">
        <v>4</v>
      </c>
      <c r="G1362" s="2" t="s">
        <v>43</v>
      </c>
      <c r="H1362" s="2" t="n">
        <v>1361</v>
      </c>
      <c r="I1362" s="2" t="s">
        <v>39</v>
      </c>
      <c r="J1362" s="2" t="n">
        <v>4</v>
      </c>
      <c r="K1362" s="2" t="s">
        <v>36</v>
      </c>
      <c r="L1362" s="2" t="s">
        <v>32</v>
      </c>
      <c r="M1362" s="2" t="n">
        <v>57430</v>
      </c>
      <c r="N1362" s="2" t="n">
        <v>2</v>
      </c>
      <c r="O1362" s="2" t="n">
        <v>12</v>
      </c>
      <c r="P1362" s="2" t="n">
        <v>3</v>
      </c>
      <c r="Q1362" s="2" t="n">
        <v>7</v>
      </c>
      <c r="R1362" s="2" t="n">
        <v>2</v>
      </c>
      <c r="S1362" s="2" t="n">
        <v>5</v>
      </c>
      <c r="T1362" s="2" t="n">
        <v>1</v>
      </c>
      <c r="U1362" s="2" t="n">
        <v>4</v>
      </c>
      <c r="V1362" s="2" t="n">
        <v>3</v>
      </c>
      <c r="W1362" s="2" t="n">
        <v>1</v>
      </c>
      <c r="X1362" s="2" t="n">
        <v>3</v>
      </c>
      <c r="Y1362" s="2" t="n">
        <v>4</v>
      </c>
      <c r="Z1362" s="2" t="n">
        <v>3</v>
      </c>
    </row>
    <row r="1363" customFormat="false" ht="15" hidden="false" customHeight="true" outlineLevel="0" collapsed="false">
      <c r="A1363" s="2" t="n">
        <v>19</v>
      </c>
      <c r="B1363" s="2" t="s">
        <v>26</v>
      </c>
      <c r="C1363" s="2" t="s">
        <v>27</v>
      </c>
      <c r="D1363" s="2" t="s">
        <v>35</v>
      </c>
      <c r="E1363" s="2" t="n">
        <v>1</v>
      </c>
      <c r="F1363" s="2" t="n">
        <v>3</v>
      </c>
      <c r="G1363" s="2" t="s">
        <v>38</v>
      </c>
      <c r="H1363" s="2" t="n">
        <v>1362</v>
      </c>
      <c r="I1363" s="2" t="s">
        <v>30</v>
      </c>
      <c r="J1363" s="2" t="n">
        <v>5</v>
      </c>
      <c r="K1363" s="2" t="s">
        <v>47</v>
      </c>
      <c r="L1363" s="2" t="s">
        <v>37</v>
      </c>
      <c r="M1363" s="2" t="n">
        <v>152020</v>
      </c>
      <c r="N1363" s="2" t="n">
        <v>1</v>
      </c>
      <c r="O1363" s="2" t="n">
        <v>18</v>
      </c>
      <c r="P1363" s="2" t="n">
        <v>3</v>
      </c>
      <c r="Q1363" s="2" t="n">
        <v>1</v>
      </c>
      <c r="R1363" s="2" t="n">
        <v>2</v>
      </c>
      <c r="S1363" s="2" t="n">
        <v>1</v>
      </c>
      <c r="T1363" s="2" t="n">
        <v>0</v>
      </c>
      <c r="U1363" s="2" t="n">
        <v>0</v>
      </c>
      <c r="V1363" s="2" t="n">
        <v>2</v>
      </c>
      <c r="W1363" s="2" t="n">
        <v>2</v>
      </c>
      <c r="X1363" s="2" t="n">
        <v>3</v>
      </c>
      <c r="Y1363" s="2" t="n">
        <v>2</v>
      </c>
      <c r="Z1363" s="2" t="n">
        <v>3</v>
      </c>
    </row>
    <row r="1364" customFormat="false" ht="15" hidden="false" customHeight="true" outlineLevel="0" collapsed="false">
      <c r="A1364" s="2" t="n">
        <v>40</v>
      </c>
      <c r="B1364" s="2" t="s">
        <v>26</v>
      </c>
      <c r="C1364" s="2" t="s">
        <v>34</v>
      </c>
      <c r="D1364" s="2" t="s">
        <v>35</v>
      </c>
      <c r="E1364" s="2" t="n">
        <v>26</v>
      </c>
      <c r="F1364" s="2" t="n">
        <v>4</v>
      </c>
      <c r="G1364" s="2" t="s">
        <v>43</v>
      </c>
      <c r="H1364" s="2" t="n">
        <v>1363</v>
      </c>
      <c r="I1364" s="2" t="s">
        <v>39</v>
      </c>
      <c r="J1364" s="2" t="n">
        <v>2</v>
      </c>
      <c r="K1364" s="2" t="s">
        <v>47</v>
      </c>
      <c r="L1364" s="2" t="s">
        <v>46</v>
      </c>
      <c r="M1364" s="2" t="n">
        <v>54400</v>
      </c>
      <c r="N1364" s="2" t="n">
        <v>1</v>
      </c>
      <c r="O1364" s="2" t="n">
        <v>12</v>
      </c>
      <c r="P1364" s="2" t="n">
        <v>1</v>
      </c>
      <c r="Q1364" s="2" t="n">
        <v>20</v>
      </c>
      <c r="R1364" s="2" t="n">
        <v>2</v>
      </c>
      <c r="S1364" s="2" t="n">
        <v>20</v>
      </c>
      <c r="T1364" s="2" t="n">
        <v>2</v>
      </c>
      <c r="U1364" s="2" t="n">
        <v>13</v>
      </c>
      <c r="V1364" s="2" t="n">
        <v>2</v>
      </c>
      <c r="W1364" s="2" t="n">
        <v>2</v>
      </c>
      <c r="X1364" s="2" t="n">
        <v>3</v>
      </c>
      <c r="Y1364" s="2" t="n">
        <v>3</v>
      </c>
      <c r="Z1364" s="2" t="n">
        <v>3</v>
      </c>
    </row>
    <row r="1365" customFormat="false" ht="15" hidden="false" customHeight="true" outlineLevel="0" collapsed="false">
      <c r="A1365" s="2" t="n">
        <v>35</v>
      </c>
      <c r="B1365" s="2" t="s">
        <v>26</v>
      </c>
      <c r="C1365" s="2" t="s">
        <v>27</v>
      </c>
      <c r="D1365" s="2" t="s">
        <v>28</v>
      </c>
      <c r="E1365" s="2" t="n">
        <v>8</v>
      </c>
      <c r="F1365" s="2" t="n">
        <v>1</v>
      </c>
      <c r="G1365" s="2" t="s">
        <v>50</v>
      </c>
      <c r="H1365" s="2" t="n">
        <v>1364</v>
      </c>
      <c r="I1365" s="2" t="s">
        <v>30</v>
      </c>
      <c r="J1365" s="2" t="n">
        <v>3</v>
      </c>
      <c r="K1365" s="2" t="s">
        <v>45</v>
      </c>
      <c r="L1365" s="2" t="s">
        <v>32</v>
      </c>
      <c r="M1365" s="2" t="n">
        <v>37600</v>
      </c>
      <c r="N1365" s="2" t="n">
        <v>1</v>
      </c>
      <c r="O1365" s="2" t="n">
        <v>14</v>
      </c>
      <c r="P1365" s="2" t="n">
        <v>3</v>
      </c>
      <c r="Q1365" s="2" t="n">
        <v>10</v>
      </c>
      <c r="R1365" s="2" t="n">
        <v>2</v>
      </c>
      <c r="S1365" s="2" t="n">
        <v>10</v>
      </c>
      <c r="T1365" s="2" t="n">
        <v>0</v>
      </c>
      <c r="U1365" s="2" t="n">
        <v>6</v>
      </c>
      <c r="V1365" s="2" t="n">
        <v>3</v>
      </c>
      <c r="W1365" s="2" t="n">
        <v>2</v>
      </c>
      <c r="X1365" s="2" t="n">
        <v>3</v>
      </c>
      <c r="Y1365" s="2" t="n">
        <v>3</v>
      </c>
      <c r="Z1365" s="2" t="n">
        <v>3</v>
      </c>
    </row>
    <row r="1366" customFormat="false" ht="15" hidden="false" customHeight="true" outlineLevel="0" collapsed="false">
      <c r="A1366" s="2" t="n">
        <v>53</v>
      </c>
      <c r="B1366" s="2" t="s">
        <v>26</v>
      </c>
      <c r="C1366" s="2" t="s">
        <v>27</v>
      </c>
      <c r="D1366" s="2" t="s">
        <v>28</v>
      </c>
      <c r="E1366" s="2" t="n">
        <v>14</v>
      </c>
      <c r="F1366" s="2" t="n">
        <v>2</v>
      </c>
      <c r="G1366" s="2" t="s">
        <v>29</v>
      </c>
      <c r="H1366" s="2" t="n">
        <v>1365</v>
      </c>
      <c r="I1366" s="2" t="s">
        <v>30</v>
      </c>
      <c r="J1366" s="2" t="n">
        <v>5</v>
      </c>
      <c r="K1366" s="2" t="s">
        <v>47</v>
      </c>
      <c r="L1366" s="2" t="s">
        <v>32</v>
      </c>
      <c r="M1366" s="2" t="n">
        <v>35170</v>
      </c>
      <c r="N1366" s="2" t="n">
        <v>2</v>
      </c>
      <c r="O1366" s="2" t="n">
        <v>12</v>
      </c>
      <c r="P1366" s="2" t="n">
        <v>1</v>
      </c>
      <c r="Q1366" s="2" t="n">
        <v>13</v>
      </c>
      <c r="R1366" s="2" t="n">
        <v>1</v>
      </c>
      <c r="S1366" s="2" t="n">
        <v>7</v>
      </c>
      <c r="T1366" s="2" t="n">
        <v>4</v>
      </c>
      <c r="U1366" s="2" t="n">
        <v>5</v>
      </c>
      <c r="V1366" s="2" t="n">
        <v>2</v>
      </c>
      <c r="W1366" s="2" t="n">
        <v>3</v>
      </c>
      <c r="X1366" s="2" t="n">
        <v>1</v>
      </c>
      <c r="Y1366" s="2" t="n">
        <v>2</v>
      </c>
      <c r="Z1366" s="2" t="n">
        <v>3</v>
      </c>
    </row>
    <row r="1367" customFormat="false" ht="15" hidden="false" customHeight="true" outlineLevel="0" collapsed="false">
      <c r="A1367" s="2" t="n">
        <v>45</v>
      </c>
      <c r="B1367" s="2" t="s">
        <v>26</v>
      </c>
      <c r="C1367" s="2" t="s">
        <v>27</v>
      </c>
      <c r="D1367" s="2" t="s">
        <v>28</v>
      </c>
      <c r="E1367" s="2" t="n">
        <v>1</v>
      </c>
      <c r="F1367" s="2" t="n">
        <v>4</v>
      </c>
      <c r="G1367" s="2" t="s">
        <v>51</v>
      </c>
      <c r="H1367" s="2" t="n">
        <v>1366</v>
      </c>
      <c r="I1367" s="2" t="s">
        <v>39</v>
      </c>
      <c r="J1367" s="2" t="n">
        <v>1</v>
      </c>
      <c r="K1367" s="2" t="s">
        <v>36</v>
      </c>
      <c r="L1367" s="2" t="s">
        <v>46</v>
      </c>
      <c r="M1367" s="2" t="n">
        <v>25800</v>
      </c>
      <c r="N1367" s="2" t="n">
        <v>8</v>
      </c>
      <c r="O1367" s="2" t="n">
        <v>17</v>
      </c>
      <c r="P1367" s="2" t="n">
        <v>3</v>
      </c>
      <c r="Q1367" s="2" t="n">
        <v>20</v>
      </c>
      <c r="R1367" s="2" t="n">
        <v>3</v>
      </c>
      <c r="S1367" s="2" t="n">
        <v>17</v>
      </c>
      <c r="T1367" s="2" t="n">
        <v>0</v>
      </c>
      <c r="U1367" s="2" t="n">
        <v>15</v>
      </c>
      <c r="V1367" s="2" t="n">
        <v>2</v>
      </c>
      <c r="W1367" s="2" t="n">
        <v>2</v>
      </c>
      <c r="X1367" s="2" t="n">
        <v>1</v>
      </c>
      <c r="Y1367" s="2" t="n">
        <v>3</v>
      </c>
      <c r="Z1367" s="2" t="n">
        <v>3</v>
      </c>
    </row>
    <row r="1368" customFormat="false" ht="15" hidden="false" customHeight="true" outlineLevel="0" collapsed="false">
      <c r="A1368" s="2" t="n">
        <v>32</v>
      </c>
      <c r="B1368" s="2" t="s">
        <v>26</v>
      </c>
      <c r="C1368" s="2" t="s">
        <v>34</v>
      </c>
      <c r="D1368" s="2" t="s">
        <v>28</v>
      </c>
      <c r="E1368" s="2" t="n">
        <v>2</v>
      </c>
      <c r="F1368" s="2" t="n">
        <v>2</v>
      </c>
      <c r="G1368" s="2" t="s">
        <v>29</v>
      </c>
      <c r="H1368" s="2" t="n">
        <v>1367</v>
      </c>
      <c r="I1368" s="2" t="s">
        <v>30</v>
      </c>
      <c r="J1368" s="2" t="n">
        <v>1</v>
      </c>
      <c r="K1368" s="2" t="s">
        <v>47</v>
      </c>
      <c r="L1368" s="2" t="s">
        <v>37</v>
      </c>
      <c r="M1368" s="2" t="n">
        <v>21660</v>
      </c>
      <c r="N1368" s="2" t="n">
        <v>1</v>
      </c>
      <c r="O1368" s="2" t="n">
        <v>19</v>
      </c>
      <c r="P1368" s="2" t="n">
        <v>1</v>
      </c>
      <c r="Q1368" s="2" t="n">
        <v>9</v>
      </c>
      <c r="R1368" s="2" t="n">
        <v>4</v>
      </c>
      <c r="S1368" s="2" t="n">
        <v>9</v>
      </c>
      <c r="T1368" s="2" t="n">
        <v>3</v>
      </c>
      <c r="U1368" s="2" t="n">
        <v>7</v>
      </c>
      <c r="V1368" s="2" t="n">
        <v>2</v>
      </c>
      <c r="W1368" s="2" t="n">
        <v>4</v>
      </c>
      <c r="X1368" s="2" t="n">
        <v>3</v>
      </c>
      <c r="Y1368" s="2" t="n">
        <v>1</v>
      </c>
      <c r="Z1368" s="2" t="n">
        <v>3</v>
      </c>
    </row>
    <row r="1369" customFormat="false" ht="15" hidden="false" customHeight="true" outlineLevel="0" collapsed="false">
      <c r="A1369" s="2" t="n">
        <v>29</v>
      </c>
      <c r="B1369" s="2" t="s">
        <v>26</v>
      </c>
      <c r="C1369" s="2" t="s">
        <v>41</v>
      </c>
      <c r="D1369" s="2" t="s">
        <v>35</v>
      </c>
      <c r="E1369" s="2" t="n">
        <v>10</v>
      </c>
      <c r="F1369" s="2" t="n">
        <v>4</v>
      </c>
      <c r="G1369" s="2" t="s">
        <v>51</v>
      </c>
      <c r="H1369" s="2" t="n">
        <v>1368</v>
      </c>
      <c r="I1369" s="2" t="s">
        <v>39</v>
      </c>
      <c r="J1369" s="2" t="n">
        <v>3</v>
      </c>
      <c r="K1369" s="2" t="s">
        <v>31</v>
      </c>
      <c r="L1369" s="2" t="s">
        <v>32</v>
      </c>
      <c r="M1369" s="2" t="n">
        <v>58690</v>
      </c>
      <c r="N1369" s="2" t="n">
        <v>1</v>
      </c>
      <c r="O1369" s="2" t="n">
        <v>11</v>
      </c>
      <c r="P1369" s="2" t="n">
        <v>1</v>
      </c>
      <c r="Q1369" s="2" t="n">
        <v>10</v>
      </c>
      <c r="R1369" s="2" t="n">
        <v>6</v>
      </c>
      <c r="S1369" s="2" t="n">
        <v>10</v>
      </c>
      <c r="T1369" s="2" t="n">
        <v>0</v>
      </c>
      <c r="U1369" s="2" t="n">
        <v>9</v>
      </c>
      <c r="V1369" s="2" t="n">
        <v>4</v>
      </c>
      <c r="W1369" s="2" t="n">
        <v>3</v>
      </c>
      <c r="X1369" s="2" t="n">
        <v>3</v>
      </c>
      <c r="Y1369" s="2" t="n">
        <v>4</v>
      </c>
      <c r="Z1369" s="2" t="n">
        <v>3</v>
      </c>
    </row>
    <row r="1370" customFormat="false" ht="15" hidden="false" customHeight="true" outlineLevel="0" collapsed="false">
      <c r="A1370" s="2" t="n">
        <v>51</v>
      </c>
      <c r="B1370" s="2" t="s">
        <v>26</v>
      </c>
      <c r="C1370" s="2" t="s">
        <v>27</v>
      </c>
      <c r="D1370" s="2" t="s">
        <v>35</v>
      </c>
      <c r="E1370" s="2" t="n">
        <v>1</v>
      </c>
      <c r="F1370" s="2" t="n">
        <v>3</v>
      </c>
      <c r="G1370" s="2" t="s">
        <v>38</v>
      </c>
      <c r="H1370" s="2" t="n">
        <v>1369</v>
      </c>
      <c r="I1370" s="2" t="s">
        <v>30</v>
      </c>
      <c r="J1370" s="2" t="n">
        <v>3</v>
      </c>
      <c r="K1370" s="2" t="s">
        <v>44</v>
      </c>
      <c r="L1370" s="2" t="s">
        <v>32</v>
      </c>
      <c r="M1370" s="2" t="n">
        <v>80080</v>
      </c>
      <c r="N1370" s="2" t="n">
        <v>2</v>
      </c>
      <c r="O1370" s="2" t="n">
        <v>15</v>
      </c>
      <c r="P1370" s="2" t="n">
        <v>1</v>
      </c>
      <c r="Q1370" s="2" t="n">
        <v>10</v>
      </c>
      <c r="R1370" s="2" t="n">
        <v>4</v>
      </c>
      <c r="S1370" s="2" t="n">
        <v>1</v>
      </c>
      <c r="T1370" s="2" t="n">
        <v>0</v>
      </c>
      <c r="U1370" s="2" t="n">
        <v>0</v>
      </c>
      <c r="V1370" s="2" t="n">
        <v>2</v>
      </c>
      <c r="W1370" s="2" t="n">
        <v>3</v>
      </c>
      <c r="X1370" s="2" t="n">
        <v>3</v>
      </c>
      <c r="Y1370" s="2" t="n">
        <v>3</v>
      </c>
      <c r="Z1370" s="2" t="n">
        <v>3</v>
      </c>
    </row>
    <row r="1371" customFormat="false" ht="15" hidden="false" customHeight="true" outlineLevel="0" collapsed="false">
      <c r="A1371" s="2" t="n">
        <v>58</v>
      </c>
      <c r="B1371" s="2" t="s">
        <v>26</v>
      </c>
      <c r="C1371" s="2" t="s">
        <v>27</v>
      </c>
      <c r="D1371" s="2" t="s">
        <v>28</v>
      </c>
      <c r="E1371" s="2" t="n">
        <v>3</v>
      </c>
      <c r="F1371" s="2" t="n">
        <v>3</v>
      </c>
      <c r="G1371" s="2" t="s">
        <v>50</v>
      </c>
      <c r="H1371" s="2" t="n">
        <v>1370</v>
      </c>
      <c r="I1371" s="2" t="s">
        <v>30</v>
      </c>
      <c r="J1371" s="2" t="n">
        <v>1</v>
      </c>
      <c r="K1371" s="2" t="s">
        <v>36</v>
      </c>
      <c r="L1371" s="2" t="s">
        <v>32</v>
      </c>
      <c r="M1371" s="2" t="n">
        <v>52060</v>
      </c>
      <c r="N1371" s="2" t="n">
        <v>4</v>
      </c>
      <c r="O1371" s="2" t="n">
        <v>11</v>
      </c>
      <c r="P1371" s="2" t="n">
        <v>3</v>
      </c>
      <c r="Q1371" s="2" t="n">
        <v>9</v>
      </c>
      <c r="R1371" s="2" t="n">
        <v>4</v>
      </c>
      <c r="S1371" s="2" t="n">
        <v>1</v>
      </c>
      <c r="T1371" s="2" t="n">
        <v>0</v>
      </c>
      <c r="U1371" s="2" t="n">
        <v>0</v>
      </c>
      <c r="V1371" s="2" t="n">
        <v>2</v>
      </c>
      <c r="W1371" s="2" t="n">
        <v>2</v>
      </c>
      <c r="X1371" s="2" t="n">
        <v>2</v>
      </c>
      <c r="Y1371" s="2" t="n">
        <v>1</v>
      </c>
      <c r="Z1371" s="2" t="n">
        <v>3</v>
      </c>
    </row>
    <row r="1372" customFormat="false" ht="15" hidden="false" customHeight="true" outlineLevel="0" collapsed="false">
      <c r="A1372" s="2" t="n">
        <v>40</v>
      </c>
      <c r="B1372" s="2" t="s">
        <v>26</v>
      </c>
      <c r="C1372" s="2" t="s">
        <v>27</v>
      </c>
      <c r="D1372" s="2" t="s">
        <v>35</v>
      </c>
      <c r="E1372" s="2" t="n">
        <v>11</v>
      </c>
      <c r="F1372" s="2" t="n">
        <v>2</v>
      </c>
      <c r="G1372" s="2" t="s">
        <v>51</v>
      </c>
      <c r="H1372" s="2" t="n">
        <v>1371</v>
      </c>
      <c r="I1372" s="2" t="s">
        <v>39</v>
      </c>
      <c r="J1372" s="2" t="n">
        <v>4</v>
      </c>
      <c r="K1372" s="2" t="s">
        <v>45</v>
      </c>
      <c r="L1372" s="2" t="s">
        <v>32</v>
      </c>
      <c r="M1372" s="2" t="n">
        <v>52950</v>
      </c>
      <c r="N1372" s="2" t="n">
        <v>7</v>
      </c>
      <c r="O1372" s="2" t="n">
        <v>18</v>
      </c>
      <c r="P1372" s="2" t="n">
        <v>0</v>
      </c>
      <c r="Q1372" s="2" t="n">
        <v>15</v>
      </c>
      <c r="R1372" s="2" t="n">
        <v>4</v>
      </c>
      <c r="S1372" s="2" t="n">
        <v>12</v>
      </c>
      <c r="T1372" s="2" t="n">
        <v>2</v>
      </c>
      <c r="U1372" s="2" t="n">
        <v>11</v>
      </c>
      <c r="V1372" s="2" t="n">
        <v>3</v>
      </c>
      <c r="W1372" s="2" t="n">
        <v>4</v>
      </c>
      <c r="X1372" s="2" t="n">
        <v>2</v>
      </c>
      <c r="Y1372" s="2" t="n">
        <v>3</v>
      </c>
      <c r="Z1372" s="2" t="n">
        <v>3</v>
      </c>
    </row>
    <row r="1373" customFormat="false" ht="15" hidden="false" customHeight="true" outlineLevel="0" collapsed="false">
      <c r="A1373" s="2" t="n">
        <v>34</v>
      </c>
      <c r="B1373" s="2" t="s">
        <v>26</v>
      </c>
      <c r="C1373" s="2" t="s">
        <v>34</v>
      </c>
      <c r="D1373" s="2" t="s">
        <v>28</v>
      </c>
      <c r="E1373" s="2" t="n">
        <v>24</v>
      </c>
      <c r="F1373" s="2" t="n">
        <v>4</v>
      </c>
      <c r="G1373" s="2" t="s">
        <v>50</v>
      </c>
      <c r="H1373" s="2" t="n">
        <v>1372</v>
      </c>
      <c r="I1373" s="2" t="s">
        <v>39</v>
      </c>
      <c r="J1373" s="2" t="n">
        <v>2</v>
      </c>
      <c r="K1373" s="2" t="s">
        <v>47</v>
      </c>
      <c r="L1373" s="2" t="s">
        <v>32</v>
      </c>
      <c r="M1373" s="2" t="n">
        <v>164130</v>
      </c>
      <c r="N1373" s="2" t="n">
        <v>6</v>
      </c>
      <c r="O1373" s="2" t="n">
        <v>16</v>
      </c>
      <c r="P1373" s="2" t="n">
        <v>0</v>
      </c>
      <c r="Q1373" s="2" t="n">
        <v>6</v>
      </c>
      <c r="R1373" s="2" t="n">
        <v>1</v>
      </c>
      <c r="S1373" s="2" t="n">
        <v>4</v>
      </c>
      <c r="T1373" s="2" t="n">
        <v>1</v>
      </c>
      <c r="U1373" s="2" t="n">
        <v>2</v>
      </c>
      <c r="V1373" s="2" t="n">
        <v>3</v>
      </c>
      <c r="W1373" s="2" t="n">
        <v>3</v>
      </c>
      <c r="X1373" s="2" t="n">
        <v>3</v>
      </c>
      <c r="Y1373" s="2" t="n">
        <v>3</v>
      </c>
      <c r="Z1373" s="2" t="n">
        <v>3</v>
      </c>
    </row>
    <row r="1374" customFormat="false" ht="15" hidden="false" customHeight="true" outlineLevel="0" collapsed="false">
      <c r="A1374" s="2" t="n">
        <v>22</v>
      </c>
      <c r="B1374" s="2" t="s">
        <v>26</v>
      </c>
      <c r="C1374" s="2" t="s">
        <v>27</v>
      </c>
      <c r="D1374" s="2" t="s">
        <v>35</v>
      </c>
      <c r="E1374" s="2" t="n">
        <v>3</v>
      </c>
      <c r="F1374" s="2" t="n">
        <v>3</v>
      </c>
      <c r="G1374" s="2" t="s">
        <v>43</v>
      </c>
      <c r="H1374" s="2" t="n">
        <v>1373</v>
      </c>
      <c r="I1374" s="2" t="s">
        <v>39</v>
      </c>
      <c r="J1374" s="2" t="n">
        <v>1</v>
      </c>
      <c r="K1374" s="2" t="s">
        <v>45</v>
      </c>
      <c r="L1374" s="2" t="s">
        <v>32</v>
      </c>
      <c r="M1374" s="2" t="n">
        <v>132690</v>
      </c>
      <c r="N1374" s="2" t="n">
        <v>1</v>
      </c>
      <c r="O1374" s="2" t="n">
        <v>25</v>
      </c>
      <c r="P1374" s="2" t="n">
        <v>1</v>
      </c>
      <c r="Q1374" s="2" t="n">
        <v>2</v>
      </c>
      <c r="R1374" s="2" t="n">
        <v>2</v>
      </c>
      <c r="S1374" s="2" t="n">
        <v>2</v>
      </c>
      <c r="T1374" s="2" t="n">
        <v>2</v>
      </c>
      <c r="U1374" s="2" t="n">
        <v>2</v>
      </c>
      <c r="V1374" s="2" t="n">
        <v>3</v>
      </c>
      <c r="W1374" s="2" t="n">
        <v>4</v>
      </c>
      <c r="X1374" s="2" t="n">
        <v>3</v>
      </c>
      <c r="Y1374" s="2" t="n">
        <v>3</v>
      </c>
      <c r="Z1374" s="2" t="n">
        <v>4</v>
      </c>
    </row>
    <row r="1375" customFormat="false" ht="15" hidden="false" customHeight="true" outlineLevel="0" collapsed="false">
      <c r="A1375" s="2" t="n">
        <v>27</v>
      </c>
      <c r="B1375" s="2" t="s">
        <v>26</v>
      </c>
      <c r="C1375" s="2" t="s">
        <v>41</v>
      </c>
      <c r="D1375" s="2" t="s">
        <v>35</v>
      </c>
      <c r="E1375" s="2" t="n">
        <v>3</v>
      </c>
      <c r="F1375" s="2" t="n">
        <v>3</v>
      </c>
      <c r="G1375" s="2" t="s">
        <v>43</v>
      </c>
      <c r="H1375" s="2" t="n">
        <v>1374</v>
      </c>
      <c r="I1375" s="2" t="s">
        <v>39</v>
      </c>
      <c r="J1375" s="2" t="n">
        <v>1</v>
      </c>
      <c r="K1375" s="2" t="s">
        <v>31</v>
      </c>
      <c r="L1375" s="2" t="s">
        <v>46</v>
      </c>
      <c r="M1375" s="2" t="n">
        <v>27830</v>
      </c>
      <c r="N1375" s="2" t="n">
        <v>6</v>
      </c>
      <c r="O1375" s="2" t="n">
        <v>16</v>
      </c>
      <c r="P1375" s="2" t="n">
        <v>1</v>
      </c>
      <c r="Q1375" s="2" t="n">
        <v>6</v>
      </c>
      <c r="R1375" s="2" t="n">
        <v>2</v>
      </c>
      <c r="S1375" s="2" t="n">
        <v>2</v>
      </c>
      <c r="T1375" s="2" t="n">
        <v>2</v>
      </c>
      <c r="U1375" s="2" t="n">
        <v>2</v>
      </c>
      <c r="V1375" s="2" t="n">
        <v>4</v>
      </c>
      <c r="W1375" s="2" t="n">
        <v>2</v>
      </c>
      <c r="X1375" s="2" t="n">
        <v>1</v>
      </c>
      <c r="Y1375" s="2" t="n">
        <v>4</v>
      </c>
      <c r="Z1375" s="2" t="n">
        <v>3</v>
      </c>
    </row>
    <row r="1376" customFormat="false" ht="15" hidden="false" customHeight="true" outlineLevel="0" collapsed="false">
      <c r="A1376" s="2" t="n">
        <v>28</v>
      </c>
      <c r="B1376" s="2" t="s">
        <v>26</v>
      </c>
      <c r="C1376" s="2" t="s">
        <v>27</v>
      </c>
      <c r="D1376" s="2" t="s">
        <v>28</v>
      </c>
      <c r="E1376" s="2" t="n">
        <v>4</v>
      </c>
      <c r="F1376" s="2" t="n">
        <v>4</v>
      </c>
      <c r="G1376" s="2" t="s">
        <v>29</v>
      </c>
      <c r="H1376" s="2" t="n">
        <v>1375</v>
      </c>
      <c r="I1376" s="2" t="s">
        <v>39</v>
      </c>
      <c r="J1376" s="2" t="n">
        <v>2</v>
      </c>
      <c r="K1376" s="2" t="s">
        <v>31</v>
      </c>
      <c r="L1376" s="2" t="s">
        <v>32</v>
      </c>
      <c r="M1376" s="2" t="n">
        <v>54330</v>
      </c>
      <c r="N1376" s="2" t="n">
        <v>1</v>
      </c>
      <c r="O1376" s="2" t="n">
        <v>13</v>
      </c>
      <c r="P1376" s="2" t="n">
        <v>1</v>
      </c>
      <c r="Q1376" s="2" t="n">
        <v>5</v>
      </c>
      <c r="R1376" s="2" t="n">
        <v>4</v>
      </c>
      <c r="S1376" s="2" t="n">
        <v>5</v>
      </c>
      <c r="T1376" s="2" t="n">
        <v>0</v>
      </c>
      <c r="U1376" s="2" t="n">
        <v>2</v>
      </c>
      <c r="V1376" s="2" t="n">
        <v>3</v>
      </c>
      <c r="W1376" s="2" t="n">
        <v>4</v>
      </c>
      <c r="X1376" s="2" t="n">
        <v>1</v>
      </c>
      <c r="Y1376" s="2" t="n">
        <v>2</v>
      </c>
      <c r="Z1376" s="2" t="n">
        <v>3</v>
      </c>
    </row>
    <row r="1377" customFormat="false" ht="15" hidden="false" customHeight="true" outlineLevel="0" collapsed="false">
      <c r="A1377" s="2" t="n">
        <v>57</v>
      </c>
      <c r="B1377" s="2" t="s">
        <v>26</v>
      </c>
      <c r="C1377" s="2" t="s">
        <v>27</v>
      </c>
      <c r="D1377" s="2" t="s">
        <v>35</v>
      </c>
      <c r="E1377" s="2" t="n">
        <v>3</v>
      </c>
      <c r="F1377" s="2" t="n">
        <v>3</v>
      </c>
      <c r="G1377" s="2" t="s">
        <v>29</v>
      </c>
      <c r="H1377" s="2" t="n">
        <v>1376</v>
      </c>
      <c r="I1377" s="2" t="s">
        <v>39</v>
      </c>
      <c r="J1377" s="2" t="n">
        <v>2</v>
      </c>
      <c r="K1377" s="2" t="s">
        <v>47</v>
      </c>
      <c r="L1377" s="2" t="s">
        <v>46</v>
      </c>
      <c r="M1377" s="2" t="n">
        <v>20130</v>
      </c>
      <c r="N1377" s="2" t="n">
        <v>3</v>
      </c>
      <c r="O1377" s="2" t="n">
        <v>14</v>
      </c>
      <c r="P1377" s="2" t="n">
        <v>1</v>
      </c>
      <c r="Q1377" s="2" t="n">
        <v>12</v>
      </c>
      <c r="R1377" s="2" t="n">
        <v>5</v>
      </c>
      <c r="S1377" s="2" t="n">
        <v>5</v>
      </c>
      <c r="T1377" s="2" t="n">
        <v>1</v>
      </c>
      <c r="U1377" s="2" t="n">
        <v>4</v>
      </c>
      <c r="V1377" s="2" t="n">
        <v>3</v>
      </c>
      <c r="W1377" s="2" t="n">
        <v>4</v>
      </c>
      <c r="X1377" s="2" t="n">
        <v>1</v>
      </c>
      <c r="Y1377" s="2" t="n">
        <v>3</v>
      </c>
      <c r="Z1377" s="2" t="n">
        <v>3</v>
      </c>
    </row>
    <row r="1378" customFormat="false" ht="15" hidden="false" customHeight="true" outlineLevel="0" collapsed="false">
      <c r="A1378" s="2" t="n">
        <v>27</v>
      </c>
      <c r="B1378" s="2" t="s">
        <v>26</v>
      </c>
      <c r="C1378" s="2" t="s">
        <v>41</v>
      </c>
      <c r="D1378" s="2" t="s">
        <v>35</v>
      </c>
      <c r="E1378" s="2" t="n">
        <v>2</v>
      </c>
      <c r="F1378" s="2" t="n">
        <v>3</v>
      </c>
      <c r="G1378" s="2" t="s">
        <v>29</v>
      </c>
      <c r="H1378" s="2" t="n">
        <v>1377</v>
      </c>
      <c r="I1378" s="2" t="s">
        <v>39</v>
      </c>
      <c r="J1378" s="2" t="n">
        <v>1</v>
      </c>
      <c r="K1378" s="2" t="s">
        <v>47</v>
      </c>
      <c r="L1378" s="2" t="s">
        <v>46</v>
      </c>
      <c r="M1378" s="2" t="n">
        <v>139660</v>
      </c>
      <c r="N1378" s="2" t="n">
        <v>1</v>
      </c>
      <c r="O1378" s="2" t="n">
        <v>19</v>
      </c>
      <c r="P1378" s="2" t="n">
        <v>0</v>
      </c>
      <c r="Q1378" s="2" t="n">
        <v>1</v>
      </c>
      <c r="R1378" s="2" t="n">
        <v>1</v>
      </c>
      <c r="S1378" s="2" t="n">
        <v>1</v>
      </c>
      <c r="T1378" s="2" t="n">
        <v>0</v>
      </c>
      <c r="U1378" s="2" t="n">
        <v>1</v>
      </c>
      <c r="V1378" s="2" t="n">
        <v>3</v>
      </c>
      <c r="W1378" s="2" t="n">
        <v>3</v>
      </c>
      <c r="X1378" s="2" t="n">
        <v>2</v>
      </c>
      <c r="Y1378" s="2" t="n">
        <v>3</v>
      </c>
      <c r="Z1378" s="2" t="n">
        <v>3</v>
      </c>
    </row>
    <row r="1379" customFormat="false" ht="15" hidden="false" customHeight="true" outlineLevel="0" collapsed="false">
      <c r="A1379" s="2" t="n">
        <v>50</v>
      </c>
      <c r="B1379" s="2" t="s">
        <v>26</v>
      </c>
      <c r="C1379" s="2" t="s">
        <v>27</v>
      </c>
      <c r="D1379" s="2" t="s">
        <v>35</v>
      </c>
      <c r="E1379" s="2" t="n">
        <v>4</v>
      </c>
      <c r="F1379" s="2" t="n">
        <v>3</v>
      </c>
      <c r="G1379" s="2" t="s">
        <v>29</v>
      </c>
      <c r="H1379" s="2" t="n">
        <v>1378</v>
      </c>
      <c r="I1379" s="2" t="s">
        <v>30</v>
      </c>
      <c r="J1379" s="2" t="n">
        <v>2</v>
      </c>
      <c r="K1379" s="2" t="s">
        <v>47</v>
      </c>
      <c r="L1379" s="2" t="s">
        <v>37</v>
      </c>
      <c r="M1379" s="2" t="n">
        <v>43740</v>
      </c>
      <c r="N1379" s="2" t="n">
        <v>3</v>
      </c>
      <c r="O1379" s="2" t="n">
        <v>15</v>
      </c>
      <c r="P1379" s="2" t="n">
        <v>1</v>
      </c>
      <c r="Q1379" s="2" t="n">
        <v>21</v>
      </c>
      <c r="R1379" s="2" t="n">
        <v>5</v>
      </c>
      <c r="S1379" s="2" t="n">
        <v>5</v>
      </c>
      <c r="T1379" s="2" t="n">
        <v>4</v>
      </c>
      <c r="U1379" s="2" t="n">
        <v>4</v>
      </c>
      <c r="V1379" s="2" t="n">
        <v>3</v>
      </c>
      <c r="W1379" s="2" t="n">
        <v>2</v>
      </c>
      <c r="X1379" s="2" t="n">
        <v>3</v>
      </c>
      <c r="Y1379" s="2" t="n">
        <v>4</v>
      </c>
      <c r="Z1379" s="2" t="n">
        <v>3</v>
      </c>
    </row>
    <row r="1380" customFormat="false" ht="15" hidden="false" customHeight="true" outlineLevel="0" collapsed="false">
      <c r="A1380" s="2" t="n">
        <v>41</v>
      </c>
      <c r="B1380" s="2" t="s">
        <v>26</v>
      </c>
      <c r="C1380" s="2" t="s">
        <v>27</v>
      </c>
      <c r="D1380" s="2" t="s">
        <v>28</v>
      </c>
      <c r="E1380" s="2" t="n">
        <v>7</v>
      </c>
      <c r="F1380" s="2" t="n">
        <v>4</v>
      </c>
      <c r="G1380" s="2" t="s">
        <v>50</v>
      </c>
      <c r="H1380" s="2" t="n">
        <v>1379</v>
      </c>
      <c r="I1380" s="2" t="s">
        <v>39</v>
      </c>
      <c r="J1380" s="2" t="n">
        <v>4</v>
      </c>
      <c r="K1380" s="2" t="s">
        <v>45</v>
      </c>
      <c r="L1380" s="2" t="s">
        <v>46</v>
      </c>
      <c r="M1380" s="2" t="n">
        <v>68420</v>
      </c>
      <c r="N1380" s="2" t="n">
        <v>4</v>
      </c>
      <c r="O1380" s="2" t="n">
        <v>12</v>
      </c>
      <c r="P1380" s="2" t="n">
        <v>1</v>
      </c>
      <c r="Q1380" s="2" t="n">
        <v>13</v>
      </c>
      <c r="R1380" s="2" t="n">
        <v>3</v>
      </c>
      <c r="S1380" s="2" t="n">
        <v>9</v>
      </c>
      <c r="T1380" s="2" t="n">
        <v>1</v>
      </c>
      <c r="U1380" s="2" t="n">
        <v>8</v>
      </c>
      <c r="V1380" s="2" t="n">
        <v>1</v>
      </c>
      <c r="W1380" s="2" t="n">
        <v>3</v>
      </c>
      <c r="X1380" s="2" t="n">
        <v>3</v>
      </c>
      <c r="Y1380" s="2" t="n">
        <v>3</v>
      </c>
      <c r="Z1380" s="2" t="n">
        <v>3</v>
      </c>
    </row>
    <row r="1381" customFormat="false" ht="15" hidden="false" customHeight="true" outlineLevel="0" collapsed="false">
      <c r="A1381" s="2" t="n">
        <v>30</v>
      </c>
      <c r="B1381" s="2" t="s">
        <v>26</v>
      </c>
      <c r="C1381" s="2" t="s">
        <v>27</v>
      </c>
      <c r="D1381" s="2" t="s">
        <v>42</v>
      </c>
      <c r="E1381" s="2" t="n">
        <v>1</v>
      </c>
      <c r="F1381" s="2" t="n">
        <v>4</v>
      </c>
      <c r="G1381" s="2" t="s">
        <v>42</v>
      </c>
      <c r="H1381" s="2" t="n">
        <v>1380</v>
      </c>
      <c r="I1381" s="2" t="s">
        <v>30</v>
      </c>
      <c r="J1381" s="2" t="n">
        <v>1</v>
      </c>
      <c r="K1381" s="2" t="s">
        <v>49</v>
      </c>
      <c r="L1381" s="2" t="s">
        <v>32</v>
      </c>
      <c r="M1381" s="2" t="n">
        <v>174260</v>
      </c>
      <c r="N1381" s="2" t="n">
        <v>2</v>
      </c>
      <c r="O1381" s="2" t="n">
        <v>12</v>
      </c>
      <c r="P1381" s="2" t="n">
        <v>1</v>
      </c>
      <c r="Q1381" s="2" t="n">
        <v>12</v>
      </c>
      <c r="R1381" s="2" t="n">
        <v>0</v>
      </c>
      <c r="S1381" s="2" t="n">
        <v>10</v>
      </c>
      <c r="T1381" s="2" t="n">
        <v>7</v>
      </c>
      <c r="U1381" s="2" t="n">
        <v>4</v>
      </c>
      <c r="V1381" s="2" t="n">
        <v>2</v>
      </c>
      <c r="W1381" s="2" t="n">
        <v>4</v>
      </c>
      <c r="X1381" s="2" t="n">
        <v>3</v>
      </c>
      <c r="Y1381" s="2" t="n">
        <v>2</v>
      </c>
      <c r="Z1381" s="2" t="n">
        <v>3</v>
      </c>
    </row>
    <row r="1382" customFormat="false" ht="15" hidden="false" customHeight="true" outlineLevel="0" collapsed="false">
      <c r="A1382" s="2" t="n">
        <v>38</v>
      </c>
      <c r="B1382" s="2" t="s">
        <v>26</v>
      </c>
      <c r="C1382" s="2" t="s">
        <v>27</v>
      </c>
      <c r="D1382" s="2" t="s">
        <v>28</v>
      </c>
      <c r="E1382" s="2" t="n">
        <v>1</v>
      </c>
      <c r="F1382" s="2" t="n">
        <v>1</v>
      </c>
      <c r="G1382" s="2" t="s">
        <v>43</v>
      </c>
      <c r="H1382" s="2" t="n">
        <v>1381</v>
      </c>
      <c r="I1382" s="2" t="s">
        <v>39</v>
      </c>
      <c r="J1382" s="2" t="n">
        <v>2</v>
      </c>
      <c r="K1382" s="2" t="s">
        <v>45</v>
      </c>
      <c r="L1382" s="2" t="s">
        <v>37</v>
      </c>
      <c r="M1382" s="2" t="n">
        <v>176030</v>
      </c>
      <c r="N1382" s="2" t="n">
        <v>4</v>
      </c>
      <c r="O1382" s="2" t="n">
        <v>16</v>
      </c>
      <c r="P1382" s="2" t="n">
        <v>0</v>
      </c>
      <c r="Q1382" s="2" t="n">
        <v>12</v>
      </c>
      <c r="R1382" s="2" t="n">
        <v>0</v>
      </c>
      <c r="S1382" s="2" t="n">
        <v>8</v>
      </c>
      <c r="T1382" s="2" t="n">
        <v>0</v>
      </c>
      <c r="U1382" s="2" t="n">
        <v>7</v>
      </c>
      <c r="V1382" s="2" t="n">
        <v>1</v>
      </c>
      <c r="W1382" s="2" t="n">
        <v>4</v>
      </c>
      <c r="X1382" s="2" t="n">
        <v>4</v>
      </c>
      <c r="Y1382" s="2" t="n">
        <v>2</v>
      </c>
      <c r="Z1382" s="2" t="n">
        <v>3</v>
      </c>
    </row>
    <row r="1383" customFormat="false" ht="15" hidden="false" customHeight="true" outlineLevel="0" collapsed="false">
      <c r="A1383" s="2" t="n">
        <v>32</v>
      </c>
      <c r="B1383" s="2" t="s">
        <v>26</v>
      </c>
      <c r="C1383" s="2" t="s">
        <v>27</v>
      </c>
      <c r="D1383" s="2" t="s">
        <v>35</v>
      </c>
      <c r="E1383" s="2" t="n">
        <v>20</v>
      </c>
      <c r="F1383" s="2" t="n">
        <v>3</v>
      </c>
      <c r="G1383" s="2" t="s">
        <v>43</v>
      </c>
      <c r="H1383" s="2" t="n">
        <v>1382</v>
      </c>
      <c r="I1383" s="2" t="s">
        <v>30</v>
      </c>
      <c r="J1383" s="2" t="n">
        <v>1</v>
      </c>
      <c r="K1383" s="2" t="s">
        <v>47</v>
      </c>
      <c r="L1383" s="2" t="s">
        <v>37</v>
      </c>
      <c r="M1383" s="2" t="n">
        <v>45810</v>
      </c>
      <c r="N1383" s="2" t="n">
        <v>3</v>
      </c>
      <c r="O1383" s="2" t="n">
        <v>14</v>
      </c>
      <c r="P1383" s="2" t="n">
        <v>1</v>
      </c>
      <c r="Q1383" s="2" t="n">
        <v>8</v>
      </c>
      <c r="R1383" s="2" t="n">
        <v>3</v>
      </c>
      <c r="S1383" s="2" t="n">
        <v>5</v>
      </c>
      <c r="T1383" s="2" t="n">
        <v>1</v>
      </c>
      <c r="U1383" s="2" t="n">
        <v>4</v>
      </c>
      <c r="V1383" s="2" t="n">
        <v>3</v>
      </c>
      <c r="W1383" s="2" t="n">
        <v>3</v>
      </c>
      <c r="X1383" s="2" t="n">
        <v>3</v>
      </c>
      <c r="Y1383" s="2" t="n">
        <v>3</v>
      </c>
      <c r="Z1383" s="2" t="n">
        <v>3</v>
      </c>
    </row>
    <row r="1384" customFormat="false" ht="15" hidden="false" customHeight="true" outlineLevel="0" collapsed="false">
      <c r="A1384" s="2" t="n">
        <v>27</v>
      </c>
      <c r="B1384" s="2" t="s">
        <v>26</v>
      </c>
      <c r="C1384" s="2" t="s">
        <v>27</v>
      </c>
      <c r="D1384" s="2" t="s">
        <v>35</v>
      </c>
      <c r="E1384" s="2" t="n">
        <v>5</v>
      </c>
      <c r="F1384" s="2" t="n">
        <v>4</v>
      </c>
      <c r="G1384" s="2" t="s">
        <v>43</v>
      </c>
      <c r="H1384" s="2" t="n">
        <v>1383</v>
      </c>
      <c r="I1384" s="2" t="s">
        <v>39</v>
      </c>
      <c r="J1384" s="2" t="n">
        <v>2</v>
      </c>
      <c r="K1384" s="2" t="s">
        <v>31</v>
      </c>
      <c r="L1384" s="2" t="s">
        <v>32</v>
      </c>
      <c r="M1384" s="2" t="n">
        <v>47350</v>
      </c>
      <c r="N1384" s="2" t="n">
        <v>0</v>
      </c>
      <c r="O1384" s="2" t="n">
        <v>13</v>
      </c>
      <c r="P1384" s="2" t="n">
        <v>0</v>
      </c>
      <c r="Q1384" s="2" t="n">
        <v>6</v>
      </c>
      <c r="R1384" s="2" t="n">
        <v>2</v>
      </c>
      <c r="S1384" s="2" t="n">
        <v>5</v>
      </c>
      <c r="T1384" s="2" t="n">
        <v>1</v>
      </c>
      <c r="U1384" s="2" t="n">
        <v>1</v>
      </c>
      <c r="V1384" s="2" t="n">
        <v>3</v>
      </c>
      <c r="W1384" s="2" t="n">
        <v>2</v>
      </c>
      <c r="X1384" s="2" t="n">
        <v>2</v>
      </c>
      <c r="Y1384" s="2" t="n">
        <v>3</v>
      </c>
      <c r="Z1384" s="2" t="n">
        <v>3</v>
      </c>
    </row>
    <row r="1385" customFormat="false" ht="15" hidden="false" customHeight="true" outlineLevel="0" collapsed="false">
      <c r="A1385" s="2" t="n">
        <v>19</v>
      </c>
      <c r="B1385" s="2" t="s">
        <v>33</v>
      </c>
      <c r="C1385" s="2" t="s">
        <v>34</v>
      </c>
      <c r="D1385" s="2" t="s">
        <v>35</v>
      </c>
      <c r="E1385" s="2" t="n">
        <v>10</v>
      </c>
      <c r="F1385" s="2" t="n">
        <v>2</v>
      </c>
      <c r="G1385" s="2" t="s">
        <v>29</v>
      </c>
      <c r="H1385" s="2" t="n">
        <v>1384</v>
      </c>
      <c r="I1385" s="2" t="s">
        <v>39</v>
      </c>
      <c r="J1385" s="2" t="n">
        <v>2</v>
      </c>
      <c r="K1385" s="2" t="s">
        <v>31</v>
      </c>
      <c r="L1385" s="2" t="s">
        <v>37</v>
      </c>
      <c r="M1385" s="2" t="n">
        <v>41870</v>
      </c>
      <c r="N1385" s="2" t="n">
        <v>0</v>
      </c>
      <c r="O1385" s="2" t="n">
        <v>22</v>
      </c>
      <c r="P1385" s="2" t="n">
        <v>1</v>
      </c>
      <c r="Q1385" s="2" t="n">
        <v>1</v>
      </c>
      <c r="R1385" s="2" t="n">
        <v>4</v>
      </c>
      <c r="S1385" s="2" t="n">
        <v>0</v>
      </c>
      <c r="T1385" s="2" t="n">
        <v>0</v>
      </c>
      <c r="U1385" s="2" t="n">
        <v>0</v>
      </c>
      <c r="V1385" s="2" t="n">
        <v>3</v>
      </c>
      <c r="W1385" s="2" t="n">
        <v>1</v>
      </c>
      <c r="X1385" s="2" t="n">
        <v>4</v>
      </c>
      <c r="Y1385" s="2" t="n">
        <v>3</v>
      </c>
      <c r="Z1385" s="2" t="n">
        <v>4</v>
      </c>
    </row>
    <row r="1386" customFormat="false" ht="15" hidden="false" customHeight="true" outlineLevel="0" collapsed="false">
      <c r="A1386" s="2" t="n">
        <v>36</v>
      </c>
      <c r="B1386" s="2" t="s">
        <v>26</v>
      </c>
      <c r="C1386" s="2" t="s">
        <v>34</v>
      </c>
      <c r="D1386" s="2" t="s">
        <v>28</v>
      </c>
      <c r="E1386" s="2" t="n">
        <v>25</v>
      </c>
      <c r="F1386" s="2" t="n">
        <v>3</v>
      </c>
      <c r="G1386" s="2" t="s">
        <v>50</v>
      </c>
      <c r="H1386" s="2" t="n">
        <v>1385</v>
      </c>
      <c r="I1386" s="2" t="s">
        <v>30</v>
      </c>
      <c r="J1386" s="2" t="n">
        <v>2</v>
      </c>
      <c r="K1386" s="2" t="s">
        <v>44</v>
      </c>
      <c r="L1386" s="2" t="s">
        <v>37</v>
      </c>
      <c r="M1386" s="2" t="n">
        <v>55050</v>
      </c>
      <c r="N1386" s="2" t="n">
        <v>4</v>
      </c>
      <c r="O1386" s="2" t="n">
        <v>21</v>
      </c>
      <c r="P1386" s="2" t="n">
        <v>2</v>
      </c>
      <c r="Q1386" s="2" t="n">
        <v>13</v>
      </c>
      <c r="R1386" s="2" t="n">
        <v>3</v>
      </c>
      <c r="S1386" s="2" t="n">
        <v>8</v>
      </c>
      <c r="T1386" s="2" t="n">
        <v>7</v>
      </c>
      <c r="U1386" s="2" t="n">
        <v>2</v>
      </c>
      <c r="V1386" s="2" t="n">
        <v>4</v>
      </c>
      <c r="W1386" s="2" t="n">
        <v>2</v>
      </c>
      <c r="X1386" s="2" t="n">
        <v>2</v>
      </c>
      <c r="Y1386" s="2" t="n">
        <v>3</v>
      </c>
      <c r="Z1386" s="2" t="n">
        <v>4</v>
      </c>
    </row>
    <row r="1387" customFormat="false" ht="15" hidden="false" customHeight="true" outlineLevel="0" collapsed="false">
      <c r="A1387" s="2" t="n">
        <v>30</v>
      </c>
      <c r="B1387" s="2" t="s">
        <v>26</v>
      </c>
      <c r="C1387" s="2" t="s">
        <v>41</v>
      </c>
      <c r="D1387" s="2" t="s">
        <v>28</v>
      </c>
      <c r="E1387" s="2" t="n">
        <v>1</v>
      </c>
      <c r="F1387" s="2" t="n">
        <v>3</v>
      </c>
      <c r="G1387" s="2" t="s">
        <v>43</v>
      </c>
      <c r="H1387" s="2" t="n">
        <v>1386</v>
      </c>
      <c r="I1387" s="2" t="s">
        <v>30</v>
      </c>
      <c r="J1387" s="2" t="n">
        <v>1</v>
      </c>
      <c r="K1387" s="2" t="s">
        <v>40</v>
      </c>
      <c r="L1387" s="2" t="s">
        <v>46</v>
      </c>
      <c r="M1387" s="2" t="n">
        <v>54700</v>
      </c>
      <c r="N1387" s="2" t="n">
        <v>1</v>
      </c>
      <c r="O1387" s="2" t="n">
        <v>18</v>
      </c>
      <c r="P1387" s="2" t="n">
        <v>1</v>
      </c>
      <c r="Q1387" s="2" t="n">
        <v>12</v>
      </c>
      <c r="R1387" s="2" t="n">
        <v>2</v>
      </c>
      <c r="S1387" s="2" t="n">
        <v>12</v>
      </c>
      <c r="T1387" s="2" t="n">
        <v>6</v>
      </c>
      <c r="U1387" s="2" t="n">
        <v>10</v>
      </c>
      <c r="V1387" s="2" t="n">
        <v>3</v>
      </c>
      <c r="W1387" s="2" t="n">
        <v>1</v>
      </c>
      <c r="X1387" s="2" t="n">
        <v>3</v>
      </c>
      <c r="Y1387" s="2" t="n">
        <v>3</v>
      </c>
      <c r="Z1387" s="2" t="n">
        <v>3</v>
      </c>
    </row>
    <row r="1388" customFormat="false" ht="15" hidden="false" customHeight="true" outlineLevel="0" collapsed="false">
      <c r="A1388" s="2" t="n">
        <v>45</v>
      </c>
      <c r="B1388" s="2" t="s">
        <v>26</v>
      </c>
      <c r="C1388" s="2" t="s">
        <v>27</v>
      </c>
      <c r="D1388" s="2" t="s">
        <v>35</v>
      </c>
      <c r="E1388" s="2" t="n">
        <v>24</v>
      </c>
      <c r="F1388" s="2" t="n">
        <v>2</v>
      </c>
      <c r="G1388" s="2" t="s">
        <v>43</v>
      </c>
      <c r="H1388" s="2" t="n">
        <v>1387</v>
      </c>
      <c r="I1388" s="2" t="s">
        <v>39</v>
      </c>
      <c r="J1388" s="2" t="n">
        <v>2</v>
      </c>
      <c r="K1388" s="2" t="s">
        <v>40</v>
      </c>
      <c r="L1388" s="2" t="s">
        <v>46</v>
      </c>
      <c r="M1388" s="2" t="n">
        <v>54760</v>
      </c>
      <c r="N1388" s="2" t="n">
        <v>4</v>
      </c>
      <c r="O1388" s="2" t="n">
        <v>13</v>
      </c>
      <c r="P1388" s="2" t="n">
        <v>1</v>
      </c>
      <c r="Q1388" s="2" t="n">
        <v>9</v>
      </c>
      <c r="R1388" s="2" t="n">
        <v>3</v>
      </c>
      <c r="S1388" s="2" t="n">
        <v>5</v>
      </c>
      <c r="T1388" s="2" t="n">
        <v>0</v>
      </c>
      <c r="U1388" s="2" t="n">
        <v>3</v>
      </c>
      <c r="V1388" s="2" t="n">
        <v>3</v>
      </c>
      <c r="W1388" s="2" t="n">
        <v>1</v>
      </c>
      <c r="X1388" s="2" t="n">
        <v>4</v>
      </c>
      <c r="Y1388" s="2" t="n">
        <v>3</v>
      </c>
      <c r="Z1388" s="2" t="n">
        <v>3</v>
      </c>
    </row>
    <row r="1389" customFormat="false" ht="15" hidden="false" customHeight="true" outlineLevel="0" collapsed="false">
      <c r="A1389" s="2" t="n">
        <v>56</v>
      </c>
      <c r="B1389" s="2" t="s">
        <v>26</v>
      </c>
      <c r="C1389" s="2" t="s">
        <v>27</v>
      </c>
      <c r="D1389" s="2" t="s">
        <v>35</v>
      </c>
      <c r="E1389" s="2" t="n">
        <v>4</v>
      </c>
      <c r="F1389" s="2" t="n">
        <v>3</v>
      </c>
      <c r="G1389" s="2" t="s">
        <v>29</v>
      </c>
      <c r="H1389" s="2" t="n">
        <v>1388</v>
      </c>
      <c r="I1389" s="2" t="s">
        <v>39</v>
      </c>
      <c r="J1389" s="2" t="n">
        <v>4</v>
      </c>
      <c r="K1389" s="2" t="s">
        <v>49</v>
      </c>
      <c r="L1389" s="2" t="s">
        <v>46</v>
      </c>
      <c r="M1389" s="2" t="n">
        <v>25870</v>
      </c>
      <c r="N1389" s="2" t="n">
        <v>4</v>
      </c>
      <c r="O1389" s="2" t="n">
        <v>12</v>
      </c>
      <c r="P1389" s="2" t="n">
        <v>0</v>
      </c>
      <c r="Q1389" s="2" t="n">
        <v>19</v>
      </c>
      <c r="R1389" s="2" t="n">
        <v>2</v>
      </c>
      <c r="S1389" s="2" t="n">
        <v>2</v>
      </c>
      <c r="T1389" s="2" t="n">
        <v>2</v>
      </c>
      <c r="U1389" s="2" t="n">
        <v>2</v>
      </c>
      <c r="V1389" s="2" t="n">
        <v>3</v>
      </c>
      <c r="W1389" s="2" t="n">
        <v>1</v>
      </c>
      <c r="X1389" s="2" t="n">
        <v>3</v>
      </c>
      <c r="Y1389" s="2" t="n">
        <v>2</v>
      </c>
      <c r="Z1389" s="2" t="n">
        <v>3</v>
      </c>
    </row>
    <row r="1390" customFormat="false" ht="15" hidden="false" customHeight="true" outlineLevel="0" collapsed="false">
      <c r="A1390" s="2" t="n">
        <v>33</v>
      </c>
      <c r="B1390" s="2" t="s">
        <v>26</v>
      </c>
      <c r="C1390" s="2" t="s">
        <v>27</v>
      </c>
      <c r="D1390" s="2" t="s">
        <v>35</v>
      </c>
      <c r="E1390" s="2" t="n">
        <v>2</v>
      </c>
      <c r="F1390" s="2" t="n">
        <v>2</v>
      </c>
      <c r="G1390" s="2" t="s">
        <v>43</v>
      </c>
      <c r="H1390" s="2" t="n">
        <v>1389</v>
      </c>
      <c r="I1390" s="2" t="s">
        <v>39</v>
      </c>
      <c r="J1390" s="2" t="n">
        <v>1</v>
      </c>
      <c r="K1390" s="2" t="s">
        <v>40</v>
      </c>
      <c r="L1390" s="2" t="s">
        <v>37</v>
      </c>
      <c r="M1390" s="2" t="n">
        <v>24400</v>
      </c>
      <c r="N1390" s="2" t="n">
        <v>0</v>
      </c>
      <c r="O1390" s="2" t="n">
        <v>18</v>
      </c>
      <c r="P1390" s="2" t="n">
        <v>3</v>
      </c>
      <c r="Q1390" s="2" t="n">
        <v>4</v>
      </c>
      <c r="R1390" s="2" t="n">
        <v>4</v>
      </c>
      <c r="S1390" s="2" t="n">
        <v>3</v>
      </c>
      <c r="T1390" s="2" t="n">
        <v>0</v>
      </c>
      <c r="U1390" s="2" t="n">
        <v>2</v>
      </c>
      <c r="V1390" s="2" t="n">
        <v>3</v>
      </c>
      <c r="W1390" s="2" t="n">
        <v>4</v>
      </c>
      <c r="X1390" s="2" t="n">
        <v>4</v>
      </c>
      <c r="Y1390" s="2" t="n">
        <v>3</v>
      </c>
      <c r="Z1390" s="2" t="n">
        <v>3</v>
      </c>
    </row>
    <row r="1391" customFormat="false" ht="15" hidden="false" customHeight="true" outlineLevel="0" collapsed="false">
      <c r="A1391" s="2" t="n">
        <v>19</v>
      </c>
      <c r="B1391" s="2" t="s">
        <v>33</v>
      </c>
      <c r="C1391" s="2" t="s">
        <v>27</v>
      </c>
      <c r="D1391" s="2" t="s">
        <v>35</v>
      </c>
      <c r="E1391" s="2" t="n">
        <v>8</v>
      </c>
      <c r="F1391" s="2" t="n">
        <v>2</v>
      </c>
      <c r="G1391" s="2" t="s">
        <v>29</v>
      </c>
      <c r="H1391" s="2" t="n">
        <v>1390</v>
      </c>
      <c r="I1391" s="2" t="s">
        <v>39</v>
      </c>
      <c r="J1391" s="2" t="n">
        <v>2</v>
      </c>
      <c r="K1391" s="2" t="s">
        <v>40</v>
      </c>
      <c r="L1391" s="2" t="s">
        <v>37</v>
      </c>
      <c r="M1391" s="2" t="n">
        <v>159720</v>
      </c>
      <c r="N1391" s="2" t="n">
        <v>1</v>
      </c>
      <c r="O1391" s="2" t="n">
        <v>21</v>
      </c>
      <c r="P1391" s="2" t="n">
        <v>0</v>
      </c>
      <c r="Q1391" s="2" t="n">
        <v>1</v>
      </c>
      <c r="R1391" s="2" t="n">
        <v>2</v>
      </c>
      <c r="S1391" s="2" t="n">
        <v>1</v>
      </c>
      <c r="T1391" s="2" t="n">
        <v>1</v>
      </c>
      <c r="U1391" s="2" t="n">
        <v>0</v>
      </c>
      <c r="V1391" s="2" t="n">
        <v>2</v>
      </c>
      <c r="W1391" s="2" t="n">
        <v>4</v>
      </c>
      <c r="X1391" s="2" t="n">
        <v>2</v>
      </c>
      <c r="Y1391" s="2" t="n">
        <v>3</v>
      </c>
      <c r="Z1391" s="2" t="n">
        <v>4</v>
      </c>
    </row>
    <row r="1392" customFormat="false" ht="15" hidden="false" customHeight="true" outlineLevel="0" collapsed="false">
      <c r="A1392" s="2" t="n">
        <v>46</v>
      </c>
      <c r="B1392" s="2" t="s">
        <v>26</v>
      </c>
      <c r="C1392" s="2" t="s">
        <v>27</v>
      </c>
      <c r="D1392" s="2" t="s">
        <v>35</v>
      </c>
      <c r="E1392" s="2" t="n">
        <v>10</v>
      </c>
      <c r="F1392" s="2" t="n">
        <v>3</v>
      </c>
      <c r="G1392" s="2" t="s">
        <v>51</v>
      </c>
      <c r="H1392" s="2" t="n">
        <v>1391</v>
      </c>
      <c r="I1392" s="2" t="s">
        <v>30</v>
      </c>
      <c r="J1392" s="2" t="n">
        <v>2</v>
      </c>
      <c r="K1392" s="2" t="s">
        <v>45</v>
      </c>
      <c r="L1392" s="2" t="s">
        <v>46</v>
      </c>
      <c r="M1392" s="2" t="n">
        <v>153790</v>
      </c>
      <c r="N1392" s="2" t="n">
        <v>1</v>
      </c>
      <c r="O1392" s="2" t="n">
        <v>12</v>
      </c>
      <c r="P1392" s="2" t="n">
        <v>0</v>
      </c>
      <c r="Q1392" s="2" t="n">
        <v>24</v>
      </c>
      <c r="R1392" s="2" t="n">
        <v>1</v>
      </c>
      <c r="S1392" s="2" t="n">
        <v>24</v>
      </c>
      <c r="T1392" s="2" t="n">
        <v>15</v>
      </c>
      <c r="U1392" s="2" t="n">
        <v>7</v>
      </c>
      <c r="V1392" s="2" t="n">
        <v>2</v>
      </c>
      <c r="W1392" s="2" t="n">
        <v>1</v>
      </c>
      <c r="X1392" s="2" t="n">
        <v>3</v>
      </c>
      <c r="Y1392" s="2" t="n">
        <v>1</v>
      </c>
      <c r="Z1392" s="2" t="n">
        <v>3</v>
      </c>
    </row>
    <row r="1393" customFormat="false" ht="15" hidden="false" customHeight="true" outlineLevel="0" collapsed="false">
      <c r="A1393" s="2" t="n">
        <v>38</v>
      </c>
      <c r="B1393" s="2" t="s">
        <v>26</v>
      </c>
      <c r="C1393" s="2" t="s">
        <v>27</v>
      </c>
      <c r="D1393" s="2" t="s">
        <v>28</v>
      </c>
      <c r="E1393" s="2" t="n">
        <v>4</v>
      </c>
      <c r="F1393" s="2" t="n">
        <v>4</v>
      </c>
      <c r="G1393" s="2" t="s">
        <v>29</v>
      </c>
      <c r="H1393" s="2" t="n">
        <v>1392</v>
      </c>
      <c r="I1393" s="2" t="s">
        <v>39</v>
      </c>
      <c r="J1393" s="2" t="n">
        <v>1</v>
      </c>
      <c r="K1393" s="2" t="s">
        <v>47</v>
      </c>
      <c r="L1393" s="2" t="s">
        <v>37</v>
      </c>
      <c r="M1393" s="2" t="n">
        <v>70820</v>
      </c>
      <c r="N1393" s="2" t="n">
        <v>1</v>
      </c>
      <c r="O1393" s="2" t="n">
        <v>14</v>
      </c>
      <c r="P1393" s="2" t="n">
        <v>0</v>
      </c>
      <c r="Q1393" s="2" t="n">
        <v>2</v>
      </c>
      <c r="R1393" s="2" t="n">
        <v>3</v>
      </c>
      <c r="S1393" s="2" t="n">
        <v>2</v>
      </c>
      <c r="T1393" s="2" t="n">
        <v>2</v>
      </c>
      <c r="U1393" s="2" t="n">
        <v>1</v>
      </c>
      <c r="V1393" s="2" t="n">
        <v>3</v>
      </c>
      <c r="W1393" s="2" t="n">
        <v>4</v>
      </c>
      <c r="X1393" s="2" t="n">
        <v>3</v>
      </c>
      <c r="Y1393" s="2" t="n">
        <v>4</v>
      </c>
      <c r="Z1393" s="2" t="n">
        <v>3</v>
      </c>
    </row>
    <row r="1394" customFormat="false" ht="15" hidden="false" customHeight="true" outlineLevel="0" collapsed="false">
      <c r="A1394" s="2" t="n">
        <v>31</v>
      </c>
      <c r="B1394" s="2" t="s">
        <v>26</v>
      </c>
      <c r="C1394" s="2" t="s">
        <v>27</v>
      </c>
      <c r="D1394" s="2" t="s">
        <v>28</v>
      </c>
      <c r="E1394" s="2" t="n">
        <v>2</v>
      </c>
      <c r="F1394" s="2" t="n">
        <v>5</v>
      </c>
      <c r="G1394" s="2" t="s">
        <v>29</v>
      </c>
      <c r="H1394" s="2" t="n">
        <v>1393</v>
      </c>
      <c r="I1394" s="2" t="s">
        <v>39</v>
      </c>
      <c r="J1394" s="2" t="n">
        <v>2</v>
      </c>
      <c r="K1394" s="2" t="s">
        <v>48</v>
      </c>
      <c r="L1394" s="2" t="s">
        <v>32</v>
      </c>
      <c r="M1394" s="2" t="n">
        <v>27280</v>
      </c>
      <c r="N1394" s="2" t="n">
        <v>8</v>
      </c>
      <c r="O1394" s="2" t="n">
        <v>11</v>
      </c>
      <c r="P1394" s="2" t="n">
        <v>0</v>
      </c>
      <c r="Q1394" s="2" t="n">
        <v>7</v>
      </c>
      <c r="R1394" s="2" t="n">
        <v>3</v>
      </c>
      <c r="S1394" s="2" t="n">
        <v>4</v>
      </c>
      <c r="T1394" s="2" t="n">
        <v>0</v>
      </c>
      <c r="U1394" s="2" t="n">
        <v>2</v>
      </c>
      <c r="V1394" s="2" t="n">
        <v>3</v>
      </c>
      <c r="W1394" s="2" t="n">
        <v>4</v>
      </c>
      <c r="X1394" s="2" t="n">
        <v>3</v>
      </c>
      <c r="Y1394" s="2" t="n">
        <v>4</v>
      </c>
      <c r="Z1394" s="2" t="n">
        <v>3</v>
      </c>
    </row>
    <row r="1395" customFormat="false" ht="15" hidden="false" customHeight="true" outlineLevel="0" collapsed="false">
      <c r="A1395" s="2" t="n">
        <v>34</v>
      </c>
      <c r="B1395" s="2" t="s">
        <v>26</v>
      </c>
      <c r="C1395" s="2" t="s">
        <v>27</v>
      </c>
      <c r="D1395" s="2" t="s">
        <v>28</v>
      </c>
      <c r="E1395" s="2" t="n">
        <v>9</v>
      </c>
      <c r="F1395" s="2" t="n">
        <v>3</v>
      </c>
      <c r="G1395" s="2" t="s">
        <v>50</v>
      </c>
      <c r="H1395" s="2" t="n">
        <v>1394</v>
      </c>
      <c r="I1395" s="2" t="s">
        <v>30</v>
      </c>
      <c r="J1395" s="2" t="n">
        <v>2</v>
      </c>
      <c r="K1395" s="2" t="s">
        <v>49</v>
      </c>
      <c r="L1395" s="2" t="s">
        <v>37</v>
      </c>
      <c r="M1395" s="2" t="n">
        <v>53680</v>
      </c>
      <c r="N1395" s="2" t="n">
        <v>2</v>
      </c>
      <c r="O1395" s="2" t="n">
        <v>14</v>
      </c>
      <c r="P1395" s="2" t="n">
        <v>1</v>
      </c>
      <c r="Q1395" s="2" t="n">
        <v>9</v>
      </c>
      <c r="R1395" s="2" t="n">
        <v>2</v>
      </c>
      <c r="S1395" s="2" t="n">
        <v>3</v>
      </c>
      <c r="T1395" s="2" t="n">
        <v>1</v>
      </c>
      <c r="U1395" s="2" t="n">
        <v>2</v>
      </c>
      <c r="V1395" s="2" t="n">
        <v>4</v>
      </c>
      <c r="W1395" s="2" t="n">
        <v>2</v>
      </c>
      <c r="X1395" s="2" t="n">
        <v>3</v>
      </c>
      <c r="Y1395" s="2" t="n">
        <v>3</v>
      </c>
      <c r="Z1395" s="2" t="n">
        <v>3</v>
      </c>
    </row>
    <row r="1396" customFormat="false" ht="15" hidden="false" customHeight="true" outlineLevel="0" collapsed="false">
      <c r="A1396" s="2" t="n">
        <v>41</v>
      </c>
      <c r="B1396" s="2" t="s">
        <v>33</v>
      </c>
      <c r="C1396" s="2" t="s">
        <v>27</v>
      </c>
      <c r="D1396" s="2" t="s">
        <v>35</v>
      </c>
      <c r="E1396" s="2" t="n">
        <v>18</v>
      </c>
      <c r="F1396" s="2" t="n">
        <v>4</v>
      </c>
      <c r="G1396" s="2" t="s">
        <v>29</v>
      </c>
      <c r="H1396" s="2" t="n">
        <v>1395</v>
      </c>
      <c r="I1396" s="2" t="s">
        <v>39</v>
      </c>
      <c r="J1396" s="2" t="n">
        <v>5</v>
      </c>
      <c r="K1396" s="2" t="s">
        <v>45</v>
      </c>
      <c r="L1396" s="2" t="s">
        <v>37</v>
      </c>
      <c r="M1396" s="2" t="n">
        <v>53470</v>
      </c>
      <c r="N1396" s="2" t="n">
        <v>1</v>
      </c>
      <c r="O1396" s="2" t="n">
        <v>24</v>
      </c>
      <c r="P1396" s="2" t="n">
        <v>1</v>
      </c>
      <c r="Q1396" s="2" t="n">
        <v>4</v>
      </c>
      <c r="R1396" s="2" t="n">
        <v>1</v>
      </c>
      <c r="S1396" s="2" t="n">
        <v>4</v>
      </c>
      <c r="T1396" s="2" t="n">
        <v>0</v>
      </c>
      <c r="U1396" s="2" t="n">
        <v>2</v>
      </c>
      <c r="V1396" s="2" t="n">
        <v>2</v>
      </c>
      <c r="W1396" s="2" t="n">
        <v>2</v>
      </c>
      <c r="X1396" s="2" t="n">
        <v>2</v>
      </c>
      <c r="Y1396" s="2" t="n">
        <v>3</v>
      </c>
      <c r="Z1396" s="2" t="n">
        <v>4</v>
      </c>
    </row>
    <row r="1397" customFormat="false" ht="15" hidden="false" customHeight="true" outlineLevel="0" collapsed="false">
      <c r="A1397" s="2" t="n">
        <v>50</v>
      </c>
      <c r="B1397" s="2" t="s">
        <v>26</v>
      </c>
      <c r="C1397" s="2" t="s">
        <v>27</v>
      </c>
      <c r="D1397" s="2" t="s">
        <v>28</v>
      </c>
      <c r="E1397" s="2" t="n">
        <v>19</v>
      </c>
      <c r="F1397" s="2" t="n">
        <v>4</v>
      </c>
      <c r="G1397" s="2" t="s">
        <v>50</v>
      </c>
      <c r="H1397" s="2" t="n">
        <v>1396</v>
      </c>
      <c r="I1397" s="2" t="s">
        <v>39</v>
      </c>
      <c r="J1397" s="2" t="n">
        <v>3</v>
      </c>
      <c r="K1397" s="2" t="s">
        <v>40</v>
      </c>
      <c r="L1397" s="2" t="s">
        <v>32</v>
      </c>
      <c r="M1397" s="2" t="n">
        <v>31950</v>
      </c>
      <c r="N1397" s="2" t="n">
        <v>2</v>
      </c>
      <c r="O1397" s="2" t="n">
        <v>11</v>
      </c>
      <c r="P1397" s="2" t="n">
        <v>0</v>
      </c>
      <c r="Q1397" s="2" t="n">
        <v>5</v>
      </c>
      <c r="R1397" s="2" t="n">
        <v>4</v>
      </c>
      <c r="S1397" s="2" t="n">
        <v>3</v>
      </c>
      <c r="T1397" s="2" t="n">
        <v>0</v>
      </c>
      <c r="U1397" s="2" t="n">
        <v>2</v>
      </c>
      <c r="V1397" s="2" t="n">
        <v>3</v>
      </c>
      <c r="W1397" s="2" t="n">
        <v>3</v>
      </c>
      <c r="X1397" s="2" t="n">
        <v>2</v>
      </c>
      <c r="Y1397" s="2" t="n">
        <v>2</v>
      </c>
      <c r="Z1397" s="2" t="n">
        <v>3</v>
      </c>
    </row>
    <row r="1398" customFormat="false" ht="15" hidden="false" customHeight="true" outlineLevel="0" collapsed="false">
      <c r="A1398" s="2" t="n">
        <v>53</v>
      </c>
      <c r="B1398" s="2" t="s">
        <v>26</v>
      </c>
      <c r="C1398" s="2" t="s">
        <v>27</v>
      </c>
      <c r="D1398" s="2" t="s">
        <v>28</v>
      </c>
      <c r="E1398" s="2" t="n">
        <v>1</v>
      </c>
      <c r="F1398" s="2" t="n">
        <v>2</v>
      </c>
      <c r="G1398" s="2" t="s">
        <v>29</v>
      </c>
      <c r="H1398" s="2" t="n">
        <v>1397</v>
      </c>
      <c r="I1398" s="2" t="s">
        <v>39</v>
      </c>
      <c r="J1398" s="2" t="n">
        <v>1</v>
      </c>
      <c r="K1398" s="2" t="s">
        <v>49</v>
      </c>
      <c r="L1398" s="2" t="s">
        <v>46</v>
      </c>
      <c r="M1398" s="2" t="n">
        <v>39890</v>
      </c>
      <c r="N1398" s="2" t="n">
        <v>1</v>
      </c>
      <c r="O1398" s="2" t="n">
        <v>13</v>
      </c>
      <c r="P1398" s="2" t="n">
        <v>0</v>
      </c>
      <c r="Q1398" s="2" t="n">
        <v>5</v>
      </c>
      <c r="R1398" s="2" t="n">
        <v>2</v>
      </c>
      <c r="S1398" s="2" t="n">
        <v>4</v>
      </c>
      <c r="T1398" s="2" t="n">
        <v>1</v>
      </c>
      <c r="U1398" s="2" t="n">
        <v>3</v>
      </c>
      <c r="V1398" s="2" t="n">
        <v>4</v>
      </c>
      <c r="W1398" s="2" t="n">
        <v>1</v>
      </c>
      <c r="X1398" s="2" t="n">
        <v>3</v>
      </c>
      <c r="Y1398" s="2" t="n">
        <v>3</v>
      </c>
      <c r="Z1398" s="2" t="n">
        <v>3</v>
      </c>
    </row>
    <row r="1399" customFormat="false" ht="15" hidden="false" customHeight="true" outlineLevel="0" collapsed="false">
      <c r="A1399" s="2" t="n">
        <v>33</v>
      </c>
      <c r="B1399" s="2" t="s">
        <v>26</v>
      </c>
      <c r="C1399" s="2" t="s">
        <v>27</v>
      </c>
      <c r="D1399" s="2" t="s">
        <v>35</v>
      </c>
      <c r="E1399" s="2" t="n">
        <v>4</v>
      </c>
      <c r="F1399" s="2" t="n">
        <v>3</v>
      </c>
      <c r="G1399" s="2" t="s">
        <v>29</v>
      </c>
      <c r="H1399" s="2" t="n">
        <v>1398</v>
      </c>
      <c r="I1399" s="2" t="s">
        <v>39</v>
      </c>
      <c r="J1399" s="2" t="n">
        <v>1</v>
      </c>
      <c r="K1399" s="2" t="s">
        <v>42</v>
      </c>
      <c r="L1399" s="2" t="s">
        <v>32</v>
      </c>
      <c r="M1399" s="2" t="n">
        <v>33060</v>
      </c>
      <c r="N1399" s="2" t="n">
        <v>1</v>
      </c>
      <c r="O1399" s="2" t="n">
        <v>11</v>
      </c>
      <c r="P1399" s="2" t="n">
        <v>3</v>
      </c>
      <c r="Q1399" s="2" t="n">
        <v>8</v>
      </c>
      <c r="R1399" s="2" t="n">
        <v>6</v>
      </c>
      <c r="S1399" s="2" t="n">
        <v>8</v>
      </c>
      <c r="T1399" s="2" t="n">
        <v>1</v>
      </c>
      <c r="U1399" s="2" t="n">
        <v>6</v>
      </c>
      <c r="V1399" s="2" t="n">
        <v>4</v>
      </c>
      <c r="W1399" s="2" t="n">
        <v>2</v>
      </c>
      <c r="X1399" s="2" t="n">
        <v>3</v>
      </c>
      <c r="Y1399" s="2" t="n">
        <v>1</v>
      </c>
      <c r="Z1399" s="2" t="n">
        <v>3</v>
      </c>
    </row>
    <row r="1400" customFormat="false" ht="15" hidden="false" customHeight="true" outlineLevel="0" collapsed="false">
      <c r="A1400" s="2" t="n">
        <v>40</v>
      </c>
      <c r="B1400" s="2" t="s">
        <v>26</v>
      </c>
      <c r="C1400" s="2" t="s">
        <v>27</v>
      </c>
      <c r="D1400" s="2" t="s">
        <v>35</v>
      </c>
      <c r="E1400" s="2" t="n">
        <v>11</v>
      </c>
      <c r="F1400" s="2" t="n">
        <v>3</v>
      </c>
      <c r="G1400" s="2" t="s">
        <v>29</v>
      </c>
      <c r="H1400" s="2" t="n">
        <v>1399</v>
      </c>
      <c r="I1400" s="2" t="s">
        <v>30</v>
      </c>
      <c r="J1400" s="2" t="n">
        <v>2</v>
      </c>
      <c r="K1400" s="2" t="s">
        <v>40</v>
      </c>
      <c r="L1400" s="2" t="s">
        <v>32</v>
      </c>
      <c r="M1400" s="2" t="n">
        <v>70050</v>
      </c>
      <c r="N1400" s="2" t="n">
        <v>1</v>
      </c>
      <c r="O1400" s="2" t="n">
        <v>20</v>
      </c>
      <c r="P1400" s="2" t="n">
        <v>2</v>
      </c>
      <c r="Q1400" s="2" t="n">
        <v>21</v>
      </c>
      <c r="R1400" s="2" t="n">
        <v>2</v>
      </c>
      <c r="S1400" s="2" t="n">
        <v>20</v>
      </c>
      <c r="T1400" s="2" t="n">
        <v>9</v>
      </c>
      <c r="U1400" s="2" t="n">
        <v>9</v>
      </c>
      <c r="V1400" s="2" t="n">
        <v>4</v>
      </c>
      <c r="W1400" s="2" t="n">
        <v>3</v>
      </c>
      <c r="X1400" s="2" t="n">
        <v>3</v>
      </c>
      <c r="Y1400" s="2" t="n">
        <v>3</v>
      </c>
      <c r="Z1400" s="2" t="n">
        <v>4</v>
      </c>
    </row>
    <row r="1401" customFormat="false" ht="15" hidden="false" customHeight="true" outlineLevel="0" collapsed="false">
      <c r="A1401" s="2" t="n">
        <v>55</v>
      </c>
      <c r="B1401" s="2" t="s">
        <v>26</v>
      </c>
      <c r="C1401" s="2" t="s">
        <v>27</v>
      </c>
      <c r="D1401" s="2" t="s">
        <v>35</v>
      </c>
      <c r="E1401" s="2" t="n">
        <v>6</v>
      </c>
      <c r="F1401" s="2" t="n">
        <v>1</v>
      </c>
      <c r="G1401" s="2" t="s">
        <v>29</v>
      </c>
      <c r="H1401" s="2" t="n">
        <v>1400</v>
      </c>
      <c r="I1401" s="2" t="s">
        <v>30</v>
      </c>
      <c r="J1401" s="2" t="n">
        <v>2</v>
      </c>
      <c r="K1401" s="2" t="s">
        <v>45</v>
      </c>
      <c r="L1401" s="2" t="s">
        <v>37</v>
      </c>
      <c r="M1401" s="2" t="n">
        <v>26550</v>
      </c>
      <c r="N1401" s="2" t="n">
        <v>8</v>
      </c>
      <c r="O1401" s="2" t="n">
        <v>17</v>
      </c>
      <c r="P1401" s="2" t="n">
        <v>0</v>
      </c>
      <c r="Q1401" s="2" t="n">
        <v>36</v>
      </c>
      <c r="R1401" s="2" t="n">
        <v>0</v>
      </c>
      <c r="S1401" s="2" t="n">
        <v>24</v>
      </c>
      <c r="T1401" s="2" t="n">
        <v>2</v>
      </c>
      <c r="U1401" s="2" t="n">
        <v>15</v>
      </c>
      <c r="V1401" s="2" t="n">
        <v>3</v>
      </c>
      <c r="W1401" s="2" t="n">
        <v>2</v>
      </c>
      <c r="X1401" s="2" t="n">
        <v>3</v>
      </c>
      <c r="Y1401" s="2" t="n">
        <v>2</v>
      </c>
      <c r="Z1401" s="2" t="n">
        <v>3</v>
      </c>
    </row>
    <row r="1402" customFormat="false" ht="15" hidden="false" customHeight="true" outlineLevel="0" collapsed="false">
      <c r="A1402" s="2" t="n">
        <v>34</v>
      </c>
      <c r="B1402" s="2" t="s">
        <v>26</v>
      </c>
      <c r="C1402" s="2" t="s">
        <v>34</v>
      </c>
      <c r="D1402" s="2" t="s">
        <v>42</v>
      </c>
      <c r="E1402" s="2" t="n">
        <v>7</v>
      </c>
      <c r="F1402" s="2" t="n">
        <v>4</v>
      </c>
      <c r="G1402" s="2" t="s">
        <v>38</v>
      </c>
      <c r="H1402" s="2" t="n">
        <v>1401</v>
      </c>
      <c r="I1402" s="2" t="s">
        <v>30</v>
      </c>
      <c r="J1402" s="2" t="n">
        <v>1</v>
      </c>
      <c r="K1402" s="2" t="s">
        <v>36</v>
      </c>
      <c r="L1402" s="2" t="s">
        <v>32</v>
      </c>
      <c r="M1402" s="2" t="n">
        <v>13930</v>
      </c>
      <c r="N1402" s="2" t="n">
        <v>1</v>
      </c>
      <c r="O1402" s="2" t="n">
        <v>11</v>
      </c>
      <c r="P1402" s="2" t="n">
        <v>2</v>
      </c>
      <c r="Q1402" s="2" t="n">
        <v>10</v>
      </c>
      <c r="R1402" s="2" t="n">
        <v>4</v>
      </c>
      <c r="S1402" s="2" t="n">
        <v>10</v>
      </c>
      <c r="T1402" s="2" t="n">
        <v>1</v>
      </c>
      <c r="U1402" s="2" t="n">
        <v>9</v>
      </c>
      <c r="V1402" s="2" t="n">
        <v>4</v>
      </c>
      <c r="W1402" s="2" t="n">
        <v>3</v>
      </c>
      <c r="X1402" s="2" t="n">
        <v>2</v>
      </c>
      <c r="Y1402" s="2" t="n">
        <v>4</v>
      </c>
      <c r="Z1402" s="2" t="n">
        <v>3</v>
      </c>
    </row>
    <row r="1403" customFormat="false" ht="15" hidden="false" customHeight="true" outlineLevel="0" collapsed="false">
      <c r="A1403" s="2" t="n">
        <v>51</v>
      </c>
      <c r="B1403" s="2" t="s">
        <v>26</v>
      </c>
      <c r="C1403" s="2" t="s">
        <v>27</v>
      </c>
      <c r="D1403" s="2" t="s">
        <v>42</v>
      </c>
      <c r="E1403" s="2" t="n">
        <v>4</v>
      </c>
      <c r="F1403" s="2" t="n">
        <v>2</v>
      </c>
      <c r="G1403" s="2" t="s">
        <v>42</v>
      </c>
      <c r="H1403" s="2" t="n">
        <v>1402</v>
      </c>
      <c r="I1403" s="2" t="s">
        <v>39</v>
      </c>
      <c r="J1403" s="2" t="n">
        <v>2</v>
      </c>
      <c r="K1403" s="2" t="s">
        <v>48</v>
      </c>
      <c r="L1403" s="2" t="s">
        <v>37</v>
      </c>
      <c r="M1403" s="2" t="n">
        <v>25700</v>
      </c>
      <c r="N1403" s="2" t="n">
        <v>3</v>
      </c>
      <c r="O1403" s="2" t="n">
        <v>18</v>
      </c>
      <c r="P1403" s="2" t="n">
        <v>0</v>
      </c>
      <c r="Q1403" s="2" t="n">
        <v>21</v>
      </c>
      <c r="R1403" s="2" t="n">
        <v>2</v>
      </c>
      <c r="S1403" s="2" t="n">
        <v>7</v>
      </c>
      <c r="T1403" s="2" t="n">
        <v>1</v>
      </c>
      <c r="U1403" s="2" t="n">
        <v>0</v>
      </c>
      <c r="V1403" s="2" t="n">
        <v>4</v>
      </c>
      <c r="W1403" s="2" t="n">
        <v>2</v>
      </c>
      <c r="X1403" s="2" t="n">
        <v>3</v>
      </c>
      <c r="Y1403" s="2" t="n">
        <v>3</v>
      </c>
      <c r="Z1403" s="2" t="n">
        <v>3</v>
      </c>
    </row>
    <row r="1404" customFormat="false" ht="15" hidden="false" customHeight="true" outlineLevel="0" collapsed="false">
      <c r="A1404" s="2" t="n">
        <v>52</v>
      </c>
      <c r="B1404" s="2" t="s">
        <v>26</v>
      </c>
      <c r="C1404" s="2" t="s">
        <v>27</v>
      </c>
      <c r="D1404" s="2" t="s">
        <v>35</v>
      </c>
      <c r="E1404" s="2" t="n">
        <v>2</v>
      </c>
      <c r="F1404" s="2" t="n">
        <v>4</v>
      </c>
      <c r="G1404" s="2" t="s">
        <v>43</v>
      </c>
      <c r="H1404" s="2" t="n">
        <v>1403</v>
      </c>
      <c r="I1404" s="2" t="s">
        <v>30</v>
      </c>
      <c r="J1404" s="2" t="n">
        <v>2</v>
      </c>
      <c r="K1404" s="2" t="s">
        <v>48</v>
      </c>
      <c r="L1404" s="2" t="s">
        <v>32</v>
      </c>
      <c r="M1404" s="2" t="n">
        <v>35370</v>
      </c>
      <c r="N1404" s="2" t="n">
        <v>0</v>
      </c>
      <c r="O1404" s="2" t="n">
        <v>11</v>
      </c>
      <c r="P1404" s="2" t="n">
        <v>1</v>
      </c>
      <c r="Q1404" s="2" t="n">
        <v>34</v>
      </c>
      <c r="R1404" s="2" t="n">
        <v>3</v>
      </c>
      <c r="S1404" s="2" t="n">
        <v>33</v>
      </c>
      <c r="T1404" s="2" t="n">
        <v>11</v>
      </c>
      <c r="U1404" s="2" t="n">
        <v>9</v>
      </c>
      <c r="V1404" s="2" t="n">
        <v>3</v>
      </c>
      <c r="W1404" s="2" t="n">
        <v>3</v>
      </c>
      <c r="X1404" s="2" t="n">
        <v>3</v>
      </c>
      <c r="Y1404" s="2" t="n">
        <v>3</v>
      </c>
      <c r="Z1404" s="2" t="n">
        <v>3</v>
      </c>
    </row>
    <row r="1405" customFormat="false" ht="15" hidden="false" customHeight="true" outlineLevel="0" collapsed="false">
      <c r="A1405" s="2" t="n">
        <v>27</v>
      </c>
      <c r="B1405" s="2" t="s">
        <v>26</v>
      </c>
      <c r="C1405" s="2" t="s">
        <v>27</v>
      </c>
      <c r="D1405" s="2" t="s">
        <v>28</v>
      </c>
      <c r="E1405" s="2" t="n">
        <v>15</v>
      </c>
      <c r="F1405" s="2" t="n">
        <v>3</v>
      </c>
      <c r="G1405" s="2" t="s">
        <v>50</v>
      </c>
      <c r="H1405" s="2" t="n">
        <v>1404</v>
      </c>
      <c r="I1405" s="2" t="s">
        <v>39</v>
      </c>
      <c r="J1405" s="2" t="n">
        <v>1</v>
      </c>
      <c r="K1405" s="2" t="s">
        <v>36</v>
      </c>
      <c r="L1405" s="2" t="s">
        <v>37</v>
      </c>
      <c r="M1405" s="2" t="n">
        <v>39860</v>
      </c>
      <c r="N1405" s="2" t="n">
        <v>1</v>
      </c>
      <c r="O1405" s="2" t="n">
        <v>12</v>
      </c>
      <c r="P1405" s="2" t="n">
        <v>2</v>
      </c>
      <c r="Q1405" s="2" t="n">
        <v>7</v>
      </c>
      <c r="R1405" s="2" t="n">
        <v>3</v>
      </c>
      <c r="S1405" s="2" t="n">
        <v>7</v>
      </c>
      <c r="T1405" s="2" t="n">
        <v>0</v>
      </c>
      <c r="U1405" s="2" t="n">
        <v>3</v>
      </c>
      <c r="V1405" s="2" t="n">
        <v>4</v>
      </c>
      <c r="W1405" s="2" t="n">
        <v>2</v>
      </c>
      <c r="X1405" s="2" t="n">
        <v>2</v>
      </c>
      <c r="Y1405" s="2" t="n">
        <v>3</v>
      </c>
      <c r="Z1405" s="2" t="n">
        <v>3</v>
      </c>
    </row>
    <row r="1406" customFormat="false" ht="15" hidden="false" customHeight="true" outlineLevel="0" collapsed="false">
      <c r="A1406" s="2" t="n">
        <v>35</v>
      </c>
      <c r="B1406" s="2" t="s">
        <v>33</v>
      </c>
      <c r="C1406" s="2" t="s">
        <v>27</v>
      </c>
      <c r="D1406" s="2" t="s">
        <v>35</v>
      </c>
      <c r="E1406" s="2" t="n">
        <v>2</v>
      </c>
      <c r="F1406" s="2" t="n">
        <v>4</v>
      </c>
      <c r="G1406" s="2" t="s">
        <v>29</v>
      </c>
      <c r="H1406" s="2" t="n">
        <v>1405</v>
      </c>
      <c r="I1406" s="2" t="s">
        <v>30</v>
      </c>
      <c r="J1406" s="2" t="n">
        <v>2</v>
      </c>
      <c r="K1406" s="2" t="s">
        <v>44</v>
      </c>
      <c r="L1406" s="2" t="s">
        <v>32</v>
      </c>
      <c r="M1406" s="2" t="n">
        <v>108830</v>
      </c>
      <c r="N1406" s="2" t="n">
        <v>3</v>
      </c>
      <c r="O1406" s="2" t="n">
        <v>12</v>
      </c>
      <c r="P1406" s="2" t="n">
        <v>0</v>
      </c>
      <c r="Q1406" s="2" t="n">
        <v>8</v>
      </c>
      <c r="R1406" s="2" t="n">
        <v>3</v>
      </c>
      <c r="S1406" s="2" t="n">
        <v>1</v>
      </c>
      <c r="T1406" s="2" t="n">
        <v>0</v>
      </c>
      <c r="U1406" s="2" t="n">
        <v>1</v>
      </c>
      <c r="V1406" s="2" t="n">
        <v>2</v>
      </c>
      <c r="W1406" s="2" t="n">
        <v>3</v>
      </c>
      <c r="X1406" s="2" t="n">
        <v>3</v>
      </c>
      <c r="Y1406" s="2" t="n">
        <v>4</v>
      </c>
      <c r="Z1406" s="2" t="n">
        <v>3</v>
      </c>
    </row>
    <row r="1407" customFormat="false" ht="15" hidden="false" customHeight="true" outlineLevel="0" collapsed="false">
      <c r="A1407" s="2" t="n">
        <v>43</v>
      </c>
      <c r="B1407" s="2" t="s">
        <v>26</v>
      </c>
      <c r="C1407" s="2" t="s">
        <v>41</v>
      </c>
      <c r="D1407" s="2" t="s">
        <v>35</v>
      </c>
      <c r="E1407" s="2" t="n">
        <v>6</v>
      </c>
      <c r="F1407" s="2" t="n">
        <v>2</v>
      </c>
      <c r="G1407" s="2" t="s">
        <v>43</v>
      </c>
      <c r="H1407" s="2" t="n">
        <v>1406</v>
      </c>
      <c r="I1407" s="2" t="s">
        <v>39</v>
      </c>
      <c r="J1407" s="2" t="n">
        <v>1</v>
      </c>
      <c r="K1407" s="2" t="s">
        <v>31</v>
      </c>
      <c r="L1407" s="2" t="s">
        <v>46</v>
      </c>
      <c r="M1407" s="2" t="n">
        <v>20280</v>
      </c>
      <c r="N1407" s="2" t="n">
        <v>4</v>
      </c>
      <c r="O1407" s="2" t="n">
        <v>20</v>
      </c>
      <c r="P1407" s="2" t="n">
        <v>1</v>
      </c>
      <c r="Q1407" s="2" t="n">
        <v>7</v>
      </c>
      <c r="R1407" s="2" t="n">
        <v>2</v>
      </c>
      <c r="S1407" s="2" t="n">
        <v>5</v>
      </c>
      <c r="T1407" s="2" t="n">
        <v>2</v>
      </c>
      <c r="U1407" s="2" t="n">
        <v>2</v>
      </c>
      <c r="V1407" s="2" t="n">
        <v>4</v>
      </c>
      <c r="W1407" s="2" t="n">
        <v>4</v>
      </c>
      <c r="X1407" s="2" t="n">
        <v>4</v>
      </c>
      <c r="Y1407" s="2" t="n">
        <v>2</v>
      </c>
      <c r="Z1407" s="2" t="n">
        <v>4</v>
      </c>
    </row>
    <row r="1408" customFormat="false" ht="15" hidden="false" customHeight="true" outlineLevel="0" collapsed="false">
      <c r="A1408" s="2" t="n">
        <v>45</v>
      </c>
      <c r="B1408" s="2" t="s">
        <v>26</v>
      </c>
      <c r="C1408" s="2" t="s">
        <v>41</v>
      </c>
      <c r="D1408" s="2" t="s">
        <v>35</v>
      </c>
      <c r="E1408" s="2" t="n">
        <v>9</v>
      </c>
      <c r="F1408" s="2" t="n">
        <v>2</v>
      </c>
      <c r="G1408" s="2" t="s">
        <v>43</v>
      </c>
      <c r="H1408" s="2" t="n">
        <v>1407</v>
      </c>
      <c r="I1408" s="2" t="s">
        <v>30</v>
      </c>
      <c r="J1408" s="2" t="n">
        <v>1</v>
      </c>
      <c r="K1408" s="2" t="s">
        <v>40</v>
      </c>
      <c r="L1408" s="2" t="s">
        <v>32</v>
      </c>
      <c r="M1408" s="2" t="n">
        <v>95250</v>
      </c>
      <c r="N1408" s="2" t="n">
        <v>9</v>
      </c>
      <c r="O1408" s="2" t="n">
        <v>19</v>
      </c>
      <c r="P1408" s="2" t="n">
        <v>0</v>
      </c>
      <c r="Q1408" s="2" t="n">
        <v>22</v>
      </c>
      <c r="R1408" s="2" t="n">
        <v>3</v>
      </c>
      <c r="S1408" s="2" t="n">
        <v>20</v>
      </c>
      <c r="T1408" s="2" t="n">
        <v>11</v>
      </c>
      <c r="U1408" s="2" t="n">
        <v>8</v>
      </c>
      <c r="V1408" s="2" t="n">
        <v>1</v>
      </c>
      <c r="W1408" s="2" t="n">
        <v>4</v>
      </c>
      <c r="X1408" s="2" t="n">
        <v>3</v>
      </c>
      <c r="Y1408" s="2" t="n">
        <v>3</v>
      </c>
      <c r="Z1408" s="2" t="n">
        <v>3</v>
      </c>
    </row>
    <row r="1409" customFormat="false" ht="15" hidden="false" customHeight="true" outlineLevel="0" collapsed="false">
      <c r="A1409" s="2" t="n">
        <v>37</v>
      </c>
      <c r="B1409" s="2" t="s">
        <v>26</v>
      </c>
      <c r="C1409" s="2" t="s">
        <v>27</v>
      </c>
      <c r="D1409" s="2" t="s">
        <v>35</v>
      </c>
      <c r="E1409" s="2" t="n">
        <v>7</v>
      </c>
      <c r="F1409" s="2" t="n">
        <v>3</v>
      </c>
      <c r="G1409" s="2" t="s">
        <v>29</v>
      </c>
      <c r="H1409" s="2" t="n">
        <v>1408</v>
      </c>
      <c r="I1409" s="2" t="s">
        <v>30</v>
      </c>
      <c r="J1409" s="2" t="n">
        <v>1</v>
      </c>
      <c r="K1409" s="2" t="s">
        <v>36</v>
      </c>
      <c r="L1409" s="2" t="s">
        <v>32</v>
      </c>
      <c r="M1409" s="2" t="n">
        <v>29290</v>
      </c>
      <c r="N1409" s="2" t="n">
        <v>1</v>
      </c>
      <c r="O1409" s="2" t="n">
        <v>12</v>
      </c>
      <c r="P1409" s="2" t="n">
        <v>0</v>
      </c>
      <c r="Q1409" s="2" t="n">
        <v>8</v>
      </c>
      <c r="R1409" s="2" t="n">
        <v>2</v>
      </c>
      <c r="S1409" s="2" t="n">
        <v>8</v>
      </c>
      <c r="T1409" s="2" t="n">
        <v>1</v>
      </c>
      <c r="U1409" s="2" t="n">
        <v>7</v>
      </c>
      <c r="V1409" s="2" t="n">
        <v>2</v>
      </c>
      <c r="W1409" s="2" t="n">
        <v>1</v>
      </c>
      <c r="X1409" s="2"/>
      <c r="Y1409" s="2" t="n">
        <v>1</v>
      </c>
      <c r="Z1409" s="2" t="n">
        <v>3</v>
      </c>
    </row>
    <row r="1410" customFormat="false" ht="15" hidden="false" customHeight="true" outlineLevel="0" collapsed="false">
      <c r="A1410" s="2" t="n">
        <v>35</v>
      </c>
      <c r="B1410" s="2" t="s">
        <v>26</v>
      </c>
      <c r="C1410" s="2" t="s">
        <v>34</v>
      </c>
      <c r="D1410" s="2" t="s">
        <v>35</v>
      </c>
      <c r="E1410" s="2" t="n">
        <v>1</v>
      </c>
      <c r="F1410" s="2" t="n">
        <v>3</v>
      </c>
      <c r="G1410" s="2" t="s">
        <v>38</v>
      </c>
      <c r="H1410" s="2" t="n">
        <v>1409</v>
      </c>
      <c r="I1410" s="2" t="s">
        <v>39</v>
      </c>
      <c r="J1410" s="2" t="n">
        <v>2</v>
      </c>
      <c r="K1410" s="2" t="s">
        <v>44</v>
      </c>
      <c r="L1410" s="2" t="s">
        <v>37</v>
      </c>
      <c r="M1410" s="2" t="n">
        <v>22750</v>
      </c>
      <c r="N1410" s="2" t="n">
        <v>5</v>
      </c>
      <c r="O1410" s="2" t="n">
        <v>13</v>
      </c>
      <c r="P1410" s="2" t="n">
        <v>0</v>
      </c>
      <c r="Q1410" s="2" t="n">
        <v>10</v>
      </c>
      <c r="R1410" s="2" t="n">
        <v>2</v>
      </c>
      <c r="S1410" s="2" t="n">
        <v>6</v>
      </c>
      <c r="T1410" s="2" t="n">
        <v>1</v>
      </c>
      <c r="U1410" s="2" t="n">
        <v>2</v>
      </c>
      <c r="V1410" s="2" t="n">
        <v>2</v>
      </c>
      <c r="W1410" s="2" t="n">
        <v>2</v>
      </c>
      <c r="X1410" s="2" t="n">
        <v>3</v>
      </c>
      <c r="Y1410" s="2" t="n">
        <v>4</v>
      </c>
      <c r="Z1410" s="2" t="n">
        <v>3</v>
      </c>
    </row>
    <row r="1411" customFormat="false" ht="15" hidden="false" customHeight="true" outlineLevel="0" collapsed="false">
      <c r="A1411" s="2" t="n">
        <v>42</v>
      </c>
      <c r="B1411" s="2" t="s">
        <v>26</v>
      </c>
      <c r="C1411" s="2" t="s">
        <v>41</v>
      </c>
      <c r="D1411" s="2" t="s">
        <v>35</v>
      </c>
      <c r="E1411" s="2" t="n">
        <v>1</v>
      </c>
      <c r="F1411" s="2" t="n">
        <v>1</v>
      </c>
      <c r="G1411" s="2" t="s">
        <v>51</v>
      </c>
      <c r="H1411" s="2" t="n">
        <v>1410</v>
      </c>
      <c r="I1411" s="2" t="s">
        <v>39</v>
      </c>
      <c r="J1411" s="2" t="n">
        <v>2</v>
      </c>
      <c r="K1411" s="2" t="s">
        <v>40</v>
      </c>
      <c r="L1411" s="2" t="s">
        <v>46</v>
      </c>
      <c r="M1411" s="2" t="n">
        <v>78790</v>
      </c>
      <c r="N1411" s="2" t="n">
        <v>2</v>
      </c>
      <c r="O1411" s="2" t="n">
        <v>11</v>
      </c>
      <c r="P1411" s="2" t="n">
        <v>1</v>
      </c>
      <c r="Q1411" s="2" t="n">
        <v>11</v>
      </c>
      <c r="R1411" s="2" t="n">
        <v>2</v>
      </c>
      <c r="S1411" s="2" t="n">
        <v>5</v>
      </c>
      <c r="T1411" s="2" t="n">
        <v>0</v>
      </c>
      <c r="U1411" s="2" t="n">
        <v>2</v>
      </c>
      <c r="V1411" s="2" t="n">
        <v>3</v>
      </c>
      <c r="W1411" s="2" t="n">
        <v>3</v>
      </c>
      <c r="X1411" s="2" t="n">
        <v>3</v>
      </c>
      <c r="Y1411" s="2" t="n">
        <v>3</v>
      </c>
      <c r="Z1411" s="2" t="n">
        <v>3</v>
      </c>
    </row>
    <row r="1412" customFormat="false" ht="15" hidden="false" customHeight="true" outlineLevel="0" collapsed="false">
      <c r="A1412" s="2" t="n">
        <v>38</v>
      </c>
      <c r="B1412" s="2" t="s">
        <v>26</v>
      </c>
      <c r="C1412" s="2" t="s">
        <v>27</v>
      </c>
      <c r="D1412" s="2" t="s">
        <v>28</v>
      </c>
      <c r="E1412" s="2" t="n">
        <v>8</v>
      </c>
      <c r="F1412" s="2" t="n">
        <v>2</v>
      </c>
      <c r="G1412" s="2" t="s">
        <v>50</v>
      </c>
      <c r="H1412" s="2" t="n">
        <v>1411</v>
      </c>
      <c r="I1412" s="2" t="s">
        <v>39</v>
      </c>
      <c r="J1412" s="2" t="n">
        <v>5</v>
      </c>
      <c r="K1412" s="2" t="s">
        <v>36</v>
      </c>
      <c r="L1412" s="2" t="s">
        <v>32</v>
      </c>
      <c r="M1412" s="2" t="n">
        <v>49300</v>
      </c>
      <c r="N1412" s="2" t="n">
        <v>9</v>
      </c>
      <c r="O1412" s="2" t="n">
        <v>14</v>
      </c>
      <c r="P1412" s="2" t="n">
        <v>0</v>
      </c>
      <c r="Q1412" s="2" t="n">
        <v>14</v>
      </c>
      <c r="R1412" s="2" t="n">
        <v>0</v>
      </c>
      <c r="S1412" s="2" t="n">
        <v>1</v>
      </c>
      <c r="T1412" s="2" t="n">
        <v>0</v>
      </c>
      <c r="U1412" s="2" t="n">
        <v>0</v>
      </c>
      <c r="V1412" s="2" t="n">
        <v>4</v>
      </c>
      <c r="W1412" s="2" t="n">
        <v>3</v>
      </c>
      <c r="X1412" s="2" t="n">
        <v>3</v>
      </c>
      <c r="Y1412" s="2" t="n">
        <v>3</v>
      </c>
      <c r="Z1412" s="2" t="n">
        <v>3</v>
      </c>
    </row>
    <row r="1413" customFormat="false" ht="15" hidden="false" customHeight="true" outlineLevel="0" collapsed="false">
      <c r="A1413" s="2" t="n">
        <v>38</v>
      </c>
      <c r="B1413" s="2" t="s">
        <v>26</v>
      </c>
      <c r="C1413" s="2" t="s">
        <v>27</v>
      </c>
      <c r="D1413" s="2" t="s">
        <v>42</v>
      </c>
      <c r="E1413" s="2" t="n">
        <v>25</v>
      </c>
      <c r="F1413" s="2" t="n">
        <v>1</v>
      </c>
      <c r="G1413" s="2" t="s">
        <v>42</v>
      </c>
      <c r="H1413" s="2" t="n">
        <v>1412</v>
      </c>
      <c r="I1413" s="2" t="s">
        <v>30</v>
      </c>
      <c r="J1413" s="2" t="n">
        <v>1</v>
      </c>
      <c r="K1413" s="2" t="s">
        <v>47</v>
      </c>
      <c r="L1413" s="2" t="s">
        <v>32</v>
      </c>
      <c r="M1413" s="2" t="n">
        <v>78470</v>
      </c>
      <c r="N1413" s="2" t="n">
        <v>3</v>
      </c>
      <c r="O1413" s="2" t="n">
        <v>14</v>
      </c>
      <c r="P1413" s="2" t="n">
        <v>1</v>
      </c>
      <c r="Q1413" s="2" t="n">
        <v>9</v>
      </c>
      <c r="R1413" s="2" t="n">
        <v>3</v>
      </c>
      <c r="S1413" s="2" t="n">
        <v>7</v>
      </c>
      <c r="T1413" s="2" t="n">
        <v>1</v>
      </c>
      <c r="U1413" s="2" t="n">
        <v>7</v>
      </c>
      <c r="V1413" s="2" t="n">
        <v>4</v>
      </c>
      <c r="W1413" s="2" t="n">
        <v>4</v>
      </c>
      <c r="X1413" s="2" t="n">
        <v>1</v>
      </c>
      <c r="Y1413" s="2" t="n">
        <v>4</v>
      </c>
      <c r="Z1413" s="2" t="n">
        <v>3</v>
      </c>
    </row>
    <row r="1414" customFormat="false" ht="15" hidden="false" customHeight="true" outlineLevel="0" collapsed="false">
      <c r="A1414" s="2" t="n">
        <v>27</v>
      </c>
      <c r="B1414" s="2" t="s">
        <v>26</v>
      </c>
      <c r="C1414" s="2" t="s">
        <v>34</v>
      </c>
      <c r="D1414" s="2" t="s">
        <v>35</v>
      </c>
      <c r="E1414" s="2" t="n">
        <v>13</v>
      </c>
      <c r="F1414" s="2" t="n">
        <v>4</v>
      </c>
      <c r="G1414" s="2" t="s">
        <v>43</v>
      </c>
      <c r="H1414" s="2" t="n">
        <v>1413</v>
      </c>
      <c r="I1414" s="2" t="s">
        <v>39</v>
      </c>
      <c r="J1414" s="2" t="n">
        <v>1</v>
      </c>
      <c r="K1414" s="2" t="s">
        <v>49</v>
      </c>
      <c r="L1414" s="2" t="s">
        <v>32</v>
      </c>
      <c r="M1414" s="2" t="n">
        <v>44010</v>
      </c>
      <c r="N1414" s="2" t="n">
        <v>5</v>
      </c>
      <c r="O1414" s="2" t="n">
        <v>13</v>
      </c>
      <c r="P1414" s="2" t="n">
        <v>0</v>
      </c>
      <c r="Q1414" s="2" t="n">
        <v>6</v>
      </c>
      <c r="R1414" s="2" t="n">
        <v>4</v>
      </c>
      <c r="S1414" s="2" t="n">
        <v>2</v>
      </c>
      <c r="T1414" s="2" t="n">
        <v>2</v>
      </c>
      <c r="U1414" s="2" t="n">
        <v>0</v>
      </c>
      <c r="V1414" s="2" t="n">
        <v>3</v>
      </c>
      <c r="W1414" s="2" t="n">
        <v>1</v>
      </c>
      <c r="X1414" s="2" t="n">
        <v>3</v>
      </c>
      <c r="Y1414" s="2" t="n">
        <v>2</v>
      </c>
      <c r="Z1414" s="2" t="n">
        <v>3</v>
      </c>
    </row>
    <row r="1415" customFormat="false" ht="15" hidden="false" customHeight="true" outlineLevel="0" collapsed="false">
      <c r="A1415" s="2" t="n">
        <v>49</v>
      </c>
      <c r="B1415" s="2" t="s">
        <v>26</v>
      </c>
      <c r="C1415" s="2" t="s">
        <v>41</v>
      </c>
      <c r="D1415" s="2" t="s">
        <v>35</v>
      </c>
      <c r="E1415" s="2" t="n">
        <v>23</v>
      </c>
      <c r="F1415" s="2" t="n">
        <v>1</v>
      </c>
      <c r="G1415" s="2" t="s">
        <v>38</v>
      </c>
      <c r="H1415" s="2" t="n">
        <v>1414</v>
      </c>
      <c r="I1415" s="2" t="s">
        <v>30</v>
      </c>
      <c r="J1415" s="2" t="n">
        <v>2</v>
      </c>
      <c r="K1415" s="2" t="s">
        <v>40</v>
      </c>
      <c r="L1415" s="2" t="s">
        <v>46</v>
      </c>
      <c r="M1415" s="2" t="n">
        <v>92410</v>
      </c>
      <c r="N1415" s="2" t="n">
        <v>1</v>
      </c>
      <c r="O1415" s="2" t="n">
        <v>19</v>
      </c>
      <c r="P1415" s="2" t="n">
        <v>1</v>
      </c>
      <c r="Q1415" s="2" t="n">
        <v>7</v>
      </c>
      <c r="R1415" s="2" t="n">
        <v>5</v>
      </c>
      <c r="S1415" s="2" t="n">
        <v>7</v>
      </c>
      <c r="T1415" s="2" t="n">
        <v>1</v>
      </c>
      <c r="U1415" s="2" t="n">
        <v>7</v>
      </c>
      <c r="V1415" s="2" t="n">
        <v>4</v>
      </c>
      <c r="W1415" s="2" t="n">
        <v>4</v>
      </c>
      <c r="X1415" s="2" t="n">
        <v>3</v>
      </c>
      <c r="Y1415" s="2" t="n">
        <v>3</v>
      </c>
      <c r="Z1415" s="2" t="n">
        <v>3</v>
      </c>
    </row>
    <row r="1416" customFormat="false" ht="15" hidden="false" customHeight="true" outlineLevel="0" collapsed="false">
      <c r="A1416" s="2" t="n">
        <v>34</v>
      </c>
      <c r="B1416" s="2" t="s">
        <v>26</v>
      </c>
      <c r="C1416" s="2" t="s">
        <v>34</v>
      </c>
      <c r="D1416" s="2" t="s">
        <v>35</v>
      </c>
      <c r="E1416" s="2" t="n">
        <v>7</v>
      </c>
      <c r="F1416" s="2" t="n">
        <v>2</v>
      </c>
      <c r="G1416" s="2" t="s">
        <v>43</v>
      </c>
      <c r="H1416" s="2" t="n">
        <v>1415</v>
      </c>
      <c r="I1416" s="2" t="s">
        <v>39</v>
      </c>
      <c r="J1416" s="2" t="n">
        <v>4</v>
      </c>
      <c r="K1416" s="2" t="s">
        <v>48</v>
      </c>
      <c r="L1416" s="2" t="s">
        <v>46</v>
      </c>
      <c r="M1416" s="2" t="n">
        <v>29740</v>
      </c>
      <c r="N1416" s="2" t="n">
        <v>1</v>
      </c>
      <c r="O1416" s="2" t="n">
        <v>23</v>
      </c>
      <c r="P1416" s="2" t="n">
        <v>0</v>
      </c>
      <c r="Q1416" s="2" t="n">
        <v>5</v>
      </c>
      <c r="R1416" s="2" t="n">
        <v>2</v>
      </c>
      <c r="S1416" s="2" t="n">
        <v>5</v>
      </c>
      <c r="T1416" s="2" t="n">
        <v>2</v>
      </c>
      <c r="U1416" s="2" t="n">
        <v>0</v>
      </c>
      <c r="V1416" s="2" t="n">
        <v>4</v>
      </c>
      <c r="W1416" s="2" t="n">
        <v>3</v>
      </c>
      <c r="X1416" s="2" t="n">
        <v>4</v>
      </c>
      <c r="Y1416" s="2" t="n">
        <v>3</v>
      </c>
      <c r="Z1416" s="2" t="n">
        <v>4</v>
      </c>
    </row>
    <row r="1417" customFormat="false" ht="15" hidden="false" customHeight="true" outlineLevel="0" collapsed="false">
      <c r="A1417" s="2" t="n">
        <v>40</v>
      </c>
      <c r="B1417" s="2" t="s">
        <v>26</v>
      </c>
      <c r="C1417" s="2" t="s">
        <v>27</v>
      </c>
      <c r="D1417" s="2" t="s">
        <v>35</v>
      </c>
      <c r="E1417" s="2" t="n">
        <v>23</v>
      </c>
      <c r="F1417" s="2" t="n">
        <v>3</v>
      </c>
      <c r="G1417" s="2" t="s">
        <v>43</v>
      </c>
      <c r="H1417" s="2" t="n">
        <v>1416</v>
      </c>
      <c r="I1417" s="2" t="s">
        <v>30</v>
      </c>
      <c r="J1417" s="2" t="n">
        <v>1</v>
      </c>
      <c r="K1417" s="2" t="s">
        <v>45</v>
      </c>
      <c r="L1417" s="2" t="s">
        <v>32</v>
      </c>
      <c r="M1417" s="2" t="n">
        <v>45020</v>
      </c>
      <c r="N1417" s="2" t="n">
        <v>8</v>
      </c>
      <c r="O1417" s="2" t="n">
        <v>12</v>
      </c>
      <c r="P1417" s="2" t="n">
        <v>2</v>
      </c>
      <c r="Q1417" s="2" t="n">
        <v>15</v>
      </c>
      <c r="R1417" s="2" t="n">
        <v>0</v>
      </c>
      <c r="S1417" s="2" t="n">
        <v>7</v>
      </c>
      <c r="T1417" s="2" t="n">
        <v>3</v>
      </c>
      <c r="U1417" s="2" t="n">
        <v>7</v>
      </c>
      <c r="V1417" s="2" t="n">
        <v>3</v>
      </c>
      <c r="W1417" s="2" t="n">
        <v>4</v>
      </c>
      <c r="X1417" s="2" t="n">
        <v>4</v>
      </c>
      <c r="Y1417" s="2" t="n">
        <v>2</v>
      </c>
      <c r="Z1417" s="2" t="n">
        <v>3</v>
      </c>
    </row>
    <row r="1418" customFormat="false" ht="15" hidden="false" customHeight="true" outlineLevel="0" collapsed="false">
      <c r="A1418" s="2" t="n">
        <v>38</v>
      </c>
      <c r="B1418" s="2" t="s">
        <v>33</v>
      </c>
      <c r="C1418" s="2" t="s">
        <v>27</v>
      </c>
      <c r="D1418" s="2" t="s">
        <v>28</v>
      </c>
      <c r="E1418" s="2" t="n">
        <v>6</v>
      </c>
      <c r="F1418" s="2" t="n">
        <v>4</v>
      </c>
      <c r="G1418" s="2" t="s">
        <v>29</v>
      </c>
      <c r="H1418" s="2" t="n">
        <v>1417</v>
      </c>
      <c r="I1418" s="2" t="s">
        <v>30</v>
      </c>
      <c r="J1418" s="2" t="n">
        <v>3</v>
      </c>
      <c r="K1418" s="2" t="s">
        <v>36</v>
      </c>
      <c r="L1418" s="2" t="s">
        <v>32</v>
      </c>
      <c r="M1418" s="2" t="n">
        <v>107480</v>
      </c>
      <c r="N1418" s="2" t="n">
        <v>7</v>
      </c>
      <c r="O1418" s="2" t="n">
        <v>15</v>
      </c>
      <c r="P1418" s="2" t="n">
        <v>0</v>
      </c>
      <c r="Q1418" s="2" t="n">
        <v>17</v>
      </c>
      <c r="R1418" s="2" t="n">
        <v>3</v>
      </c>
      <c r="S1418" s="2" t="n">
        <v>1</v>
      </c>
      <c r="T1418" s="2" t="n">
        <v>0</v>
      </c>
      <c r="U1418" s="2" t="n">
        <v>0</v>
      </c>
      <c r="V1418" s="2" t="n">
        <v>2</v>
      </c>
      <c r="W1418" s="2" t="n">
        <v>1</v>
      </c>
      <c r="X1418" s="2" t="n">
        <v>3</v>
      </c>
      <c r="Y1418" s="2" t="n">
        <v>3</v>
      </c>
      <c r="Z1418" s="2" t="n">
        <v>3</v>
      </c>
    </row>
    <row r="1419" customFormat="false" ht="15" hidden="false" customHeight="true" outlineLevel="0" collapsed="false">
      <c r="A1419" s="2" t="n">
        <v>29</v>
      </c>
      <c r="B1419" s="2" t="s">
        <v>33</v>
      </c>
      <c r="C1419" s="2" t="s">
        <v>27</v>
      </c>
      <c r="D1419" s="2" t="s">
        <v>28</v>
      </c>
      <c r="E1419" s="2" t="n">
        <v>10</v>
      </c>
      <c r="F1419" s="2" t="n">
        <v>2</v>
      </c>
      <c r="G1419" s="2" t="s">
        <v>29</v>
      </c>
      <c r="H1419" s="2" t="n">
        <v>1418</v>
      </c>
      <c r="I1419" s="2" t="s">
        <v>30</v>
      </c>
      <c r="J1419" s="2" t="n">
        <v>2</v>
      </c>
      <c r="K1419" s="2" t="s">
        <v>36</v>
      </c>
      <c r="L1419" s="2" t="s">
        <v>32</v>
      </c>
      <c r="M1419" s="2" t="n">
        <v>15550</v>
      </c>
      <c r="N1419" s="2" t="n">
        <v>1</v>
      </c>
      <c r="O1419" s="2" t="n">
        <v>19</v>
      </c>
      <c r="P1419" s="2" t="n">
        <v>2</v>
      </c>
      <c r="Q1419" s="2" t="n">
        <v>10</v>
      </c>
      <c r="R1419" s="2" t="n">
        <v>2</v>
      </c>
      <c r="S1419" s="2" t="n">
        <v>10</v>
      </c>
      <c r="T1419" s="2" t="n">
        <v>1</v>
      </c>
      <c r="U1419" s="2" t="n">
        <v>9</v>
      </c>
      <c r="V1419" s="2" t="n">
        <v>2</v>
      </c>
      <c r="W1419" s="2" t="n">
        <v>4</v>
      </c>
      <c r="X1419" s="2" t="n">
        <v>2</v>
      </c>
      <c r="Y1419" s="2" t="n">
        <v>3</v>
      </c>
      <c r="Z1419" s="2" t="n">
        <v>3</v>
      </c>
    </row>
    <row r="1420" customFormat="false" ht="15" hidden="false" customHeight="true" outlineLevel="0" collapsed="false">
      <c r="A1420" s="2" t="n">
        <v>22</v>
      </c>
      <c r="B1420" s="2" t="s">
        <v>26</v>
      </c>
      <c r="C1420" s="2" t="s">
        <v>27</v>
      </c>
      <c r="D1420" s="2" t="s">
        <v>35</v>
      </c>
      <c r="E1420" s="2" t="n">
        <v>1</v>
      </c>
      <c r="F1420" s="2" t="n">
        <v>3</v>
      </c>
      <c r="G1420" s="2" t="s">
        <v>29</v>
      </c>
      <c r="H1420" s="2" t="n">
        <v>1419</v>
      </c>
      <c r="I1420" s="2" t="s">
        <v>30</v>
      </c>
      <c r="J1420" s="2" t="n">
        <v>4</v>
      </c>
      <c r="K1420" s="2" t="s">
        <v>31</v>
      </c>
      <c r="L1420" s="2" t="s">
        <v>46</v>
      </c>
      <c r="M1420" s="2" t="n">
        <v>129360</v>
      </c>
      <c r="N1420" s="2" t="n">
        <v>1</v>
      </c>
      <c r="O1420" s="2" t="n">
        <v>11</v>
      </c>
      <c r="P1420" s="2" t="n">
        <v>2</v>
      </c>
      <c r="Q1420" s="2" t="n">
        <v>4</v>
      </c>
      <c r="R1420" s="2" t="n">
        <v>3</v>
      </c>
      <c r="S1420" s="2" t="n">
        <v>4</v>
      </c>
      <c r="T1420" s="2" t="n">
        <v>2</v>
      </c>
      <c r="U1420" s="2" t="n">
        <v>2</v>
      </c>
      <c r="V1420" s="2" t="n">
        <v>4</v>
      </c>
      <c r="W1420" s="2" t="n">
        <v>2</v>
      </c>
      <c r="X1420" s="2" t="n">
        <v>2</v>
      </c>
      <c r="Y1420" s="2" t="n">
        <v>3</v>
      </c>
      <c r="Z1420" s="2" t="n">
        <v>3</v>
      </c>
    </row>
    <row r="1421" customFormat="false" ht="15" hidden="false" customHeight="true" outlineLevel="0" collapsed="false">
      <c r="A1421" s="2" t="n">
        <v>36</v>
      </c>
      <c r="B1421" s="2" t="s">
        <v>26</v>
      </c>
      <c r="C1421" s="2" t="s">
        <v>34</v>
      </c>
      <c r="D1421" s="2" t="s">
        <v>35</v>
      </c>
      <c r="E1421" s="2" t="n">
        <v>1</v>
      </c>
      <c r="F1421" s="2" t="n">
        <v>3</v>
      </c>
      <c r="G1421" s="2" t="s">
        <v>29</v>
      </c>
      <c r="H1421" s="2" t="n">
        <v>1420</v>
      </c>
      <c r="I1421" s="2" t="s">
        <v>30</v>
      </c>
      <c r="J1421" s="2" t="n">
        <v>2</v>
      </c>
      <c r="K1421" s="2" t="s">
        <v>45</v>
      </c>
      <c r="L1421" s="2" t="s">
        <v>37</v>
      </c>
      <c r="M1421" s="2" t="n">
        <v>23050</v>
      </c>
      <c r="N1421" s="2" t="n">
        <v>1</v>
      </c>
      <c r="O1421" s="2" t="n">
        <v>17</v>
      </c>
      <c r="P1421" s="2" t="n">
        <v>0</v>
      </c>
      <c r="Q1421" s="2" t="n">
        <v>8</v>
      </c>
      <c r="R1421" s="2" t="n">
        <v>3</v>
      </c>
      <c r="S1421" s="2" t="n">
        <v>8</v>
      </c>
      <c r="T1421" s="2" t="n">
        <v>1</v>
      </c>
      <c r="U1421" s="2" t="n">
        <v>7</v>
      </c>
      <c r="V1421" s="2" t="n">
        <v>2</v>
      </c>
      <c r="W1421" s="2" t="n">
        <v>4</v>
      </c>
      <c r="X1421" s="2" t="n">
        <v>3</v>
      </c>
      <c r="Y1421" s="2" t="n">
        <v>3</v>
      </c>
      <c r="Z1421" s="2" t="n">
        <v>3</v>
      </c>
    </row>
    <row r="1422" customFormat="false" ht="15" hidden="false" customHeight="true" outlineLevel="0" collapsed="false">
      <c r="A1422" s="2" t="n">
        <v>40</v>
      </c>
      <c r="B1422" s="2" t="s">
        <v>26</v>
      </c>
      <c r="C1422" s="2" t="s">
        <v>41</v>
      </c>
      <c r="D1422" s="2" t="s">
        <v>35</v>
      </c>
      <c r="E1422" s="2" t="n">
        <v>28</v>
      </c>
      <c r="F1422" s="2" t="n">
        <v>2</v>
      </c>
      <c r="G1422" s="2" t="s">
        <v>29</v>
      </c>
      <c r="H1422" s="2" t="n">
        <v>1421</v>
      </c>
      <c r="I1422" s="2" t="s">
        <v>39</v>
      </c>
      <c r="J1422" s="2" t="n">
        <v>1</v>
      </c>
      <c r="K1422" s="2" t="s">
        <v>47</v>
      </c>
      <c r="L1422" s="2" t="s">
        <v>32</v>
      </c>
      <c r="M1422" s="2" t="n">
        <v>167040</v>
      </c>
      <c r="N1422" s="2" t="n">
        <v>9</v>
      </c>
      <c r="O1422" s="2" t="n">
        <v>22</v>
      </c>
      <c r="P1422" s="2" t="n">
        <v>0</v>
      </c>
      <c r="Q1422" s="2" t="n">
        <v>5</v>
      </c>
      <c r="R1422" s="2" t="n">
        <v>2</v>
      </c>
      <c r="S1422" s="2" t="n">
        <v>3</v>
      </c>
      <c r="T1422" s="2" t="n">
        <v>0</v>
      </c>
      <c r="U1422" s="2" t="n">
        <v>2</v>
      </c>
      <c r="V1422" s="2" t="n">
        <v>4</v>
      </c>
      <c r="W1422" s="2" t="n">
        <v>4</v>
      </c>
      <c r="X1422" s="2" t="n">
        <v>1</v>
      </c>
      <c r="Y1422" s="2" t="n">
        <v>4</v>
      </c>
      <c r="Z1422" s="2" t="n">
        <v>4</v>
      </c>
    </row>
    <row r="1423" customFormat="false" ht="15" hidden="false" customHeight="true" outlineLevel="0" collapsed="false">
      <c r="A1423" s="2" t="n">
        <v>46</v>
      </c>
      <c r="B1423" s="2" t="s">
        <v>26</v>
      </c>
      <c r="C1423" s="2" t="s">
        <v>27</v>
      </c>
      <c r="D1423" s="2" t="s">
        <v>35</v>
      </c>
      <c r="E1423" s="2" t="n">
        <v>25</v>
      </c>
      <c r="F1423" s="2" t="n">
        <v>1</v>
      </c>
      <c r="G1423" s="2" t="s">
        <v>43</v>
      </c>
      <c r="H1423" s="2" t="n">
        <v>1422</v>
      </c>
      <c r="I1423" s="2" t="s">
        <v>39</v>
      </c>
      <c r="J1423" s="2" t="n">
        <v>5</v>
      </c>
      <c r="K1423" s="2" t="s">
        <v>36</v>
      </c>
      <c r="L1423" s="2" t="s">
        <v>46</v>
      </c>
      <c r="M1423" s="2" t="n">
        <v>34330</v>
      </c>
      <c r="N1423" s="2" t="n">
        <v>7</v>
      </c>
      <c r="O1423" s="2" t="n">
        <v>18</v>
      </c>
      <c r="P1423" s="2" t="n">
        <v>0</v>
      </c>
      <c r="Q1423" s="2" t="n">
        <v>17</v>
      </c>
      <c r="R1423" s="2" t="n">
        <v>3</v>
      </c>
      <c r="S1423" s="2" t="n">
        <v>4</v>
      </c>
      <c r="T1423" s="2" t="n">
        <v>0</v>
      </c>
      <c r="U1423" s="2" t="n">
        <v>3</v>
      </c>
      <c r="V1423" s="2" t="n">
        <v>4</v>
      </c>
      <c r="W1423" s="2" t="n">
        <v>1</v>
      </c>
      <c r="X1423" s="2" t="n">
        <v>3</v>
      </c>
      <c r="Y1423" s="2" t="n">
        <v>3</v>
      </c>
      <c r="Z1423" s="2" t="n">
        <v>3</v>
      </c>
    </row>
    <row r="1424" customFormat="false" ht="15" hidden="false" customHeight="true" outlineLevel="0" collapsed="false">
      <c r="A1424" s="2" t="n">
        <v>32</v>
      </c>
      <c r="B1424" s="2" t="s">
        <v>33</v>
      </c>
      <c r="C1424" s="2" t="s">
        <v>27</v>
      </c>
      <c r="D1424" s="2" t="s">
        <v>35</v>
      </c>
      <c r="E1424" s="2" t="n">
        <v>5</v>
      </c>
      <c r="F1424" s="2" t="n">
        <v>3</v>
      </c>
      <c r="G1424" s="2" t="s">
        <v>43</v>
      </c>
      <c r="H1424" s="2" t="n">
        <v>1423</v>
      </c>
      <c r="I1424" s="2" t="s">
        <v>39</v>
      </c>
      <c r="J1424" s="2" t="n">
        <v>1</v>
      </c>
      <c r="K1424" s="2" t="s">
        <v>31</v>
      </c>
      <c r="L1424" s="2" t="s">
        <v>32</v>
      </c>
      <c r="M1424" s="2" t="n">
        <v>34770</v>
      </c>
      <c r="N1424" s="2" t="n">
        <v>1</v>
      </c>
      <c r="O1424" s="2" t="n">
        <v>11</v>
      </c>
      <c r="P1424" s="2" t="n">
        <v>0</v>
      </c>
      <c r="Q1424" s="2" t="n">
        <v>14</v>
      </c>
      <c r="R1424" s="2" t="n">
        <v>2</v>
      </c>
      <c r="S1424" s="2" t="n">
        <v>14</v>
      </c>
      <c r="T1424" s="2" t="n">
        <v>9</v>
      </c>
      <c r="U1424" s="2" t="n">
        <v>8</v>
      </c>
      <c r="V1424" s="2" t="n">
        <v>4</v>
      </c>
      <c r="W1424" s="2" t="n">
        <v>4</v>
      </c>
      <c r="X1424" s="2" t="n">
        <v>2</v>
      </c>
      <c r="Y1424" s="2" t="n">
        <v>4</v>
      </c>
      <c r="Z1424" s="2" t="n">
        <v>3</v>
      </c>
    </row>
    <row r="1425" customFormat="false" ht="15" hidden="false" customHeight="true" outlineLevel="0" collapsed="false">
      <c r="A1425" s="2" t="n">
        <v>30</v>
      </c>
      <c r="B1425" s="2" t="s">
        <v>26</v>
      </c>
      <c r="C1425" s="2" t="s">
        <v>41</v>
      </c>
      <c r="D1425" s="2" t="s">
        <v>35</v>
      </c>
      <c r="E1425" s="2" t="n">
        <v>17</v>
      </c>
      <c r="F1425" s="2" t="n">
        <v>4</v>
      </c>
      <c r="G1425" s="2" t="s">
        <v>29</v>
      </c>
      <c r="H1425" s="2" t="n">
        <v>1424</v>
      </c>
      <c r="I1425" s="2" t="s">
        <v>39</v>
      </c>
      <c r="J1425" s="2" t="n">
        <v>2</v>
      </c>
      <c r="K1425" s="2" t="s">
        <v>31</v>
      </c>
      <c r="L1425" s="2" t="s">
        <v>37</v>
      </c>
      <c r="M1425" s="2" t="n">
        <v>64300</v>
      </c>
      <c r="N1425" s="2" t="n">
        <v>1</v>
      </c>
      <c r="O1425" s="2" t="n">
        <v>12</v>
      </c>
      <c r="P1425" s="2" t="n">
        <v>1</v>
      </c>
      <c r="Q1425" s="2" t="n">
        <v>12</v>
      </c>
      <c r="R1425" s="2" t="n">
        <v>2</v>
      </c>
      <c r="S1425" s="2" t="n">
        <v>11</v>
      </c>
      <c r="T1425" s="2" t="n">
        <v>5</v>
      </c>
      <c r="U1425" s="2" t="n">
        <v>8</v>
      </c>
      <c r="V1425" s="2" t="n">
        <v>3</v>
      </c>
      <c r="W1425" s="2" t="n">
        <v>3</v>
      </c>
      <c r="X1425" s="2" t="n">
        <v>3</v>
      </c>
      <c r="Y1425" s="2" t="n">
        <v>2</v>
      </c>
      <c r="Z1425" s="2" t="n">
        <v>3</v>
      </c>
    </row>
    <row r="1426" customFormat="false" ht="15" hidden="false" customHeight="true" outlineLevel="0" collapsed="false">
      <c r="A1426" s="2" t="n">
        <v>27</v>
      </c>
      <c r="B1426" s="2" t="s">
        <v>26</v>
      </c>
      <c r="C1426" s="2" t="s">
        <v>34</v>
      </c>
      <c r="D1426" s="2" t="s">
        <v>35</v>
      </c>
      <c r="E1426" s="2" t="n">
        <v>18</v>
      </c>
      <c r="F1426" s="2" t="n">
        <v>2</v>
      </c>
      <c r="G1426" s="2" t="s">
        <v>43</v>
      </c>
      <c r="H1426" s="2" t="n">
        <v>1425</v>
      </c>
      <c r="I1426" s="2" t="s">
        <v>30</v>
      </c>
      <c r="J1426" s="2" t="n">
        <v>1</v>
      </c>
      <c r="K1426" s="2" t="s">
        <v>45</v>
      </c>
      <c r="L1426" s="2" t="s">
        <v>37</v>
      </c>
      <c r="M1426" s="2" t="n">
        <v>65160</v>
      </c>
      <c r="N1426" s="2" t="n">
        <v>1</v>
      </c>
      <c r="O1426" s="2" t="n">
        <v>19</v>
      </c>
      <c r="P1426" s="2" t="n">
        <v>1</v>
      </c>
      <c r="Q1426" s="2" t="n">
        <v>7</v>
      </c>
      <c r="R1426" s="2" t="n">
        <v>4</v>
      </c>
      <c r="S1426" s="2" t="n">
        <v>7</v>
      </c>
      <c r="T1426" s="2" t="n">
        <v>0</v>
      </c>
      <c r="U1426" s="2" t="n">
        <v>7</v>
      </c>
      <c r="V1426" s="2" t="n">
        <v>4</v>
      </c>
      <c r="W1426" s="2" t="n">
        <v>3</v>
      </c>
      <c r="X1426" s="2" t="n">
        <v>3</v>
      </c>
      <c r="Y1426" s="2" t="n">
        <v>3</v>
      </c>
      <c r="Z1426" s="2" t="n">
        <v>3</v>
      </c>
    </row>
    <row r="1427" customFormat="false" ht="15" hidden="false" customHeight="true" outlineLevel="0" collapsed="false">
      <c r="A1427" s="2" t="n">
        <v>51</v>
      </c>
      <c r="B1427" s="2" t="s">
        <v>26</v>
      </c>
      <c r="C1427" s="2" t="s">
        <v>27</v>
      </c>
      <c r="D1427" s="2" t="s">
        <v>35</v>
      </c>
      <c r="E1427" s="2" t="n">
        <v>2</v>
      </c>
      <c r="F1427" s="2" t="n">
        <v>1</v>
      </c>
      <c r="G1427" s="2" t="s">
        <v>43</v>
      </c>
      <c r="H1427" s="2" t="n">
        <v>1426</v>
      </c>
      <c r="I1427" s="2" t="s">
        <v>30</v>
      </c>
      <c r="J1427" s="2" t="n">
        <v>1</v>
      </c>
      <c r="K1427" s="2" t="s">
        <v>47</v>
      </c>
      <c r="L1427" s="2" t="s">
        <v>32</v>
      </c>
      <c r="M1427" s="2" t="n">
        <v>39070</v>
      </c>
      <c r="N1427" s="2" t="n">
        <v>5</v>
      </c>
      <c r="O1427" s="2" t="n">
        <v>13</v>
      </c>
      <c r="P1427" s="2" t="n">
        <v>0</v>
      </c>
      <c r="Q1427" s="2" t="n">
        <v>16</v>
      </c>
      <c r="R1427" s="2" t="n">
        <v>2</v>
      </c>
      <c r="S1427" s="2" t="n">
        <v>10</v>
      </c>
      <c r="T1427" s="2" t="n">
        <v>4</v>
      </c>
      <c r="U1427" s="2" t="n">
        <v>7</v>
      </c>
      <c r="V1427" s="2" t="n">
        <v>2</v>
      </c>
      <c r="W1427" s="2" t="n">
        <v>2</v>
      </c>
      <c r="X1427" s="2" t="n">
        <v>1</v>
      </c>
      <c r="Y1427" s="2" t="n">
        <v>3</v>
      </c>
      <c r="Z1427" s="2" t="n">
        <v>3</v>
      </c>
    </row>
    <row r="1428" customFormat="false" ht="15" hidden="false" customHeight="true" outlineLevel="0" collapsed="false">
      <c r="A1428" s="2" t="n">
        <v>30</v>
      </c>
      <c r="B1428" s="2" t="s">
        <v>33</v>
      </c>
      <c r="C1428" s="2" t="s">
        <v>27</v>
      </c>
      <c r="D1428" s="2" t="s">
        <v>35</v>
      </c>
      <c r="E1428" s="2" t="n">
        <v>10</v>
      </c>
      <c r="F1428" s="2" t="n">
        <v>4</v>
      </c>
      <c r="G1428" s="2" t="s">
        <v>29</v>
      </c>
      <c r="H1428" s="2" t="n">
        <v>1427</v>
      </c>
      <c r="I1428" s="2" t="s">
        <v>30</v>
      </c>
      <c r="J1428" s="2" t="n">
        <v>2</v>
      </c>
      <c r="K1428" s="2" t="s">
        <v>36</v>
      </c>
      <c r="L1428" s="2" t="s">
        <v>37</v>
      </c>
      <c r="M1428" s="2" t="n">
        <v>55620</v>
      </c>
      <c r="N1428" s="2" t="n">
        <v>5</v>
      </c>
      <c r="O1428" s="2" t="n">
        <v>13</v>
      </c>
      <c r="P1428" s="2" t="n">
        <v>0</v>
      </c>
      <c r="Q1428" s="2" t="n">
        <v>8</v>
      </c>
      <c r="R1428" s="2" t="n">
        <v>3</v>
      </c>
      <c r="S1428" s="2" t="n">
        <v>5</v>
      </c>
      <c r="T1428" s="2" t="n">
        <v>0</v>
      </c>
      <c r="U1428" s="2" t="n">
        <v>4</v>
      </c>
      <c r="V1428" s="2" t="n">
        <v>4</v>
      </c>
      <c r="W1428" s="2" t="n">
        <v>1</v>
      </c>
      <c r="X1428" s="2" t="n">
        <v>3</v>
      </c>
      <c r="Y1428" s="2" t="n">
        <v>2</v>
      </c>
      <c r="Z1428" s="2" t="n">
        <v>3</v>
      </c>
    </row>
    <row r="1429" customFormat="false" ht="15" hidden="false" customHeight="true" outlineLevel="0" collapsed="false">
      <c r="A1429" s="2" t="n">
        <v>41</v>
      </c>
      <c r="B1429" s="2" t="s">
        <v>26</v>
      </c>
      <c r="C1429" s="2" t="s">
        <v>27</v>
      </c>
      <c r="D1429" s="2" t="s">
        <v>35</v>
      </c>
      <c r="E1429" s="2" t="n">
        <v>1</v>
      </c>
      <c r="F1429" s="2" t="n">
        <v>3</v>
      </c>
      <c r="G1429" s="2" t="s">
        <v>29</v>
      </c>
      <c r="H1429" s="2" t="n">
        <v>1428</v>
      </c>
      <c r="I1429" s="2" t="s">
        <v>39</v>
      </c>
      <c r="J1429" s="2" t="n">
        <v>2</v>
      </c>
      <c r="K1429" s="2" t="s">
        <v>42</v>
      </c>
      <c r="L1429" s="2" t="s">
        <v>37</v>
      </c>
      <c r="M1429" s="2" t="n">
        <v>68830</v>
      </c>
      <c r="N1429" s="2" t="n">
        <v>3</v>
      </c>
      <c r="O1429" s="2" t="n">
        <v>19</v>
      </c>
      <c r="P1429" s="2" t="n">
        <v>2</v>
      </c>
      <c r="Q1429" s="2" t="n">
        <v>16</v>
      </c>
      <c r="R1429" s="2" t="n">
        <v>3</v>
      </c>
      <c r="S1429" s="2" t="n">
        <v>1</v>
      </c>
      <c r="T1429" s="2" t="n">
        <v>0</v>
      </c>
      <c r="U1429" s="2" t="n">
        <v>0</v>
      </c>
      <c r="V1429" s="2" t="n">
        <v>4</v>
      </c>
      <c r="W1429" s="2" t="n">
        <v>4</v>
      </c>
      <c r="X1429" s="2" t="n">
        <v>3</v>
      </c>
      <c r="Y1429" s="2" t="n">
        <v>2</v>
      </c>
      <c r="Z1429" s="2" t="n">
        <v>3</v>
      </c>
    </row>
    <row r="1430" customFormat="false" ht="15" hidden="false" customHeight="true" outlineLevel="0" collapsed="false">
      <c r="A1430" s="2" t="n">
        <v>30</v>
      </c>
      <c r="B1430" s="2" t="s">
        <v>33</v>
      </c>
      <c r="C1430" s="2" t="s">
        <v>34</v>
      </c>
      <c r="D1430" s="2" t="s">
        <v>28</v>
      </c>
      <c r="E1430" s="2" t="n">
        <v>3</v>
      </c>
      <c r="F1430" s="2" t="n">
        <v>2</v>
      </c>
      <c r="G1430" s="2" t="s">
        <v>43</v>
      </c>
      <c r="H1430" s="2" t="n">
        <v>1429</v>
      </c>
      <c r="I1430" s="2" t="s">
        <v>39</v>
      </c>
      <c r="J1430" s="2" t="n">
        <v>2</v>
      </c>
      <c r="K1430" s="2" t="s">
        <v>31</v>
      </c>
      <c r="L1430" s="2" t="s">
        <v>37</v>
      </c>
      <c r="M1430" s="2" t="n">
        <v>28620</v>
      </c>
      <c r="N1430" s="2" t="n">
        <v>5</v>
      </c>
      <c r="O1430" s="2" t="n">
        <v>14</v>
      </c>
      <c r="P1430" s="2" t="n">
        <v>0</v>
      </c>
      <c r="Q1430" s="2" t="n">
        <v>9</v>
      </c>
      <c r="R1430" s="2" t="n">
        <v>2</v>
      </c>
      <c r="S1430" s="2" t="n">
        <v>6</v>
      </c>
      <c r="T1430" s="2" t="n">
        <v>0</v>
      </c>
      <c r="U1430" s="2" t="n">
        <v>1</v>
      </c>
      <c r="V1430" s="2" t="n">
        <v>3</v>
      </c>
      <c r="W1430" s="2" t="n">
        <v>1</v>
      </c>
      <c r="X1430" s="2" t="n">
        <v>2</v>
      </c>
      <c r="Y1430" s="2" t="n">
        <v>2</v>
      </c>
      <c r="Z1430" s="2" t="n">
        <v>3</v>
      </c>
    </row>
    <row r="1431" customFormat="false" ht="15" hidden="false" customHeight="true" outlineLevel="0" collapsed="false">
      <c r="A1431" s="2" t="n">
        <v>29</v>
      </c>
      <c r="B1431" s="2" t="s">
        <v>33</v>
      </c>
      <c r="C1431" s="2" t="s">
        <v>27</v>
      </c>
      <c r="D1431" s="2" t="s">
        <v>35</v>
      </c>
      <c r="E1431" s="2" t="n">
        <v>2</v>
      </c>
      <c r="F1431" s="2" t="n">
        <v>3</v>
      </c>
      <c r="G1431" s="2" t="s">
        <v>29</v>
      </c>
      <c r="H1431" s="2" t="n">
        <v>1430</v>
      </c>
      <c r="I1431" s="2" t="s">
        <v>39</v>
      </c>
      <c r="J1431" s="2" t="n">
        <v>1</v>
      </c>
      <c r="K1431" s="2" t="s">
        <v>40</v>
      </c>
      <c r="L1431" s="2" t="s">
        <v>37</v>
      </c>
      <c r="M1431" s="2" t="n">
        <v>49780</v>
      </c>
      <c r="N1431" s="2" t="n">
        <v>0</v>
      </c>
      <c r="O1431" s="2" t="n">
        <v>13</v>
      </c>
      <c r="P1431" s="2" t="n">
        <v>0</v>
      </c>
      <c r="Q1431" s="2" t="n">
        <v>7</v>
      </c>
      <c r="R1431" s="2" t="n">
        <v>3</v>
      </c>
      <c r="S1431" s="2" t="n">
        <v>6</v>
      </c>
      <c r="T1431" s="2" t="n">
        <v>1</v>
      </c>
      <c r="U1431" s="2" t="n">
        <v>5</v>
      </c>
      <c r="V1431" s="2" t="n">
        <v>3</v>
      </c>
      <c r="W1431" s="2" t="n">
        <v>3</v>
      </c>
      <c r="X1431" s="2" t="n">
        <v>2</v>
      </c>
      <c r="Y1431" s="2" t="n">
        <v>2</v>
      </c>
      <c r="Z1431" s="2" t="n">
        <v>3</v>
      </c>
    </row>
    <row r="1432" customFormat="false" ht="15" hidden="false" customHeight="true" outlineLevel="0" collapsed="false">
      <c r="A1432" s="2" t="n">
        <v>45</v>
      </c>
      <c r="B1432" s="2" t="s">
        <v>26</v>
      </c>
      <c r="C1432" s="2" t="s">
        <v>41</v>
      </c>
      <c r="D1432" s="2" t="s">
        <v>35</v>
      </c>
      <c r="E1432" s="2" t="n">
        <v>2</v>
      </c>
      <c r="F1432" s="2" t="n">
        <v>3</v>
      </c>
      <c r="G1432" s="2" t="s">
        <v>43</v>
      </c>
      <c r="H1432" s="2" t="n">
        <v>1431</v>
      </c>
      <c r="I1432" s="2" t="s">
        <v>30</v>
      </c>
      <c r="J1432" s="2" t="n">
        <v>2</v>
      </c>
      <c r="K1432" s="2" t="s">
        <v>36</v>
      </c>
      <c r="L1432" s="2" t="s">
        <v>37</v>
      </c>
      <c r="M1432" s="2" t="n">
        <v>103680</v>
      </c>
      <c r="N1432" s="2" t="n">
        <v>6</v>
      </c>
      <c r="O1432" s="2" t="n">
        <v>12</v>
      </c>
      <c r="P1432" s="2" t="n">
        <v>2</v>
      </c>
      <c r="Q1432" s="2" t="n">
        <v>23</v>
      </c>
      <c r="R1432" s="2" t="n">
        <v>2</v>
      </c>
      <c r="S1432" s="2" t="n">
        <v>19</v>
      </c>
      <c r="T1432" s="2" t="n">
        <v>12</v>
      </c>
      <c r="U1432" s="2" t="n">
        <v>8</v>
      </c>
      <c r="V1432" s="2" t="n">
        <v>4</v>
      </c>
      <c r="W1432" s="2" t="n">
        <v>4</v>
      </c>
      <c r="X1432" s="2" t="n">
        <v>3</v>
      </c>
      <c r="Y1432" s="2" t="n">
        <v>3</v>
      </c>
      <c r="Z1432" s="2" t="n">
        <v>3</v>
      </c>
    </row>
    <row r="1433" customFormat="false" ht="15" hidden="false" customHeight="true" outlineLevel="0" collapsed="false">
      <c r="A1433" s="2" t="n">
        <v>54</v>
      </c>
      <c r="B1433" s="2" t="s">
        <v>26</v>
      </c>
      <c r="C1433" s="2" t="s">
        <v>27</v>
      </c>
      <c r="D1433" s="2" t="s">
        <v>28</v>
      </c>
      <c r="E1433" s="2" t="n">
        <v>8</v>
      </c>
      <c r="F1433" s="2" t="n">
        <v>2</v>
      </c>
      <c r="G1433" s="2" t="s">
        <v>50</v>
      </c>
      <c r="H1433" s="2" t="n">
        <v>1432</v>
      </c>
      <c r="I1433" s="2" t="s">
        <v>30</v>
      </c>
      <c r="J1433" s="2" t="n">
        <v>2</v>
      </c>
      <c r="K1433" s="2" t="s">
        <v>45</v>
      </c>
      <c r="L1433" s="2" t="s">
        <v>32</v>
      </c>
      <c r="M1433" s="2" t="n">
        <v>61340</v>
      </c>
      <c r="N1433" s="2" t="n">
        <v>2</v>
      </c>
      <c r="O1433" s="2" t="n">
        <v>19</v>
      </c>
      <c r="P1433" s="2" t="n">
        <v>0</v>
      </c>
      <c r="Q1433" s="2" t="n">
        <v>16</v>
      </c>
      <c r="R1433" s="2" t="n">
        <v>2</v>
      </c>
      <c r="S1433" s="2" t="n">
        <v>6</v>
      </c>
      <c r="T1433" s="2" t="n">
        <v>0</v>
      </c>
      <c r="U1433" s="2" t="n">
        <v>5</v>
      </c>
      <c r="V1433" s="2" t="n">
        <v>4</v>
      </c>
      <c r="W1433" s="2" t="n">
        <v>1</v>
      </c>
      <c r="X1433" s="2" t="n">
        <v>3</v>
      </c>
      <c r="Y1433" s="2" t="n">
        <v>2</v>
      </c>
      <c r="Z1433" s="2" t="n">
        <v>3</v>
      </c>
    </row>
    <row r="1434" customFormat="false" ht="15" hidden="false" customHeight="true" outlineLevel="0" collapsed="false">
      <c r="A1434" s="2" t="n">
        <v>36</v>
      </c>
      <c r="B1434" s="2" t="s">
        <v>26</v>
      </c>
      <c r="C1434" s="2" t="s">
        <v>27</v>
      </c>
      <c r="D1434" s="2" t="s">
        <v>35</v>
      </c>
      <c r="E1434" s="2" t="n">
        <v>16</v>
      </c>
      <c r="F1434" s="2" t="n">
        <v>4</v>
      </c>
      <c r="G1434" s="2" t="s">
        <v>29</v>
      </c>
      <c r="H1434" s="2" t="n">
        <v>1433</v>
      </c>
      <c r="I1434" s="2" t="s">
        <v>39</v>
      </c>
      <c r="J1434" s="2" t="n">
        <v>1</v>
      </c>
      <c r="K1434" s="2" t="s">
        <v>31</v>
      </c>
      <c r="L1434" s="2" t="s">
        <v>37</v>
      </c>
      <c r="M1434" s="2" t="n">
        <v>67350</v>
      </c>
      <c r="N1434" s="2" t="n">
        <v>8</v>
      </c>
      <c r="O1434" s="2" t="n">
        <v>25</v>
      </c>
      <c r="P1434" s="2" t="n">
        <v>2</v>
      </c>
      <c r="Q1434" s="2" t="n">
        <v>16</v>
      </c>
      <c r="R1434" s="2" t="n">
        <v>3</v>
      </c>
      <c r="S1434" s="2" t="n">
        <v>13</v>
      </c>
      <c r="T1434" s="2" t="n">
        <v>3</v>
      </c>
      <c r="U1434" s="2" t="n">
        <v>7</v>
      </c>
      <c r="V1434" s="2" t="n">
        <v>4</v>
      </c>
      <c r="W1434" s="2" t="n">
        <v>2</v>
      </c>
      <c r="X1434" s="2" t="n">
        <v>4</v>
      </c>
      <c r="Y1434" s="2" t="n">
        <v>2</v>
      </c>
      <c r="Z1434" s="2" t="n">
        <v>4</v>
      </c>
    </row>
    <row r="1435" customFormat="false" ht="15" hidden="false" customHeight="true" outlineLevel="0" collapsed="false">
      <c r="A1435" s="2" t="n">
        <v>33</v>
      </c>
      <c r="B1435" s="2" t="s">
        <v>26</v>
      </c>
      <c r="C1435" s="2" t="s">
        <v>27</v>
      </c>
      <c r="D1435" s="2" t="s">
        <v>28</v>
      </c>
      <c r="E1435" s="2" t="n">
        <v>9</v>
      </c>
      <c r="F1435" s="2" t="n">
        <v>1</v>
      </c>
      <c r="G1435" s="2" t="s">
        <v>38</v>
      </c>
      <c r="H1435" s="2" t="n">
        <v>1434</v>
      </c>
      <c r="I1435" s="2" t="s">
        <v>30</v>
      </c>
      <c r="J1435" s="2" t="n">
        <v>3</v>
      </c>
      <c r="K1435" s="2" t="s">
        <v>40</v>
      </c>
      <c r="L1435" s="2" t="s">
        <v>32</v>
      </c>
      <c r="M1435" s="2" t="n">
        <v>32950</v>
      </c>
      <c r="N1435" s="2" t="n">
        <v>6</v>
      </c>
      <c r="O1435" s="2" t="n">
        <v>22</v>
      </c>
      <c r="P1435" s="2" t="n">
        <v>2</v>
      </c>
      <c r="Q1435" s="2" t="n">
        <v>7</v>
      </c>
      <c r="R1435" s="2" t="n">
        <v>2</v>
      </c>
      <c r="S1435" s="2" t="n">
        <v>3</v>
      </c>
      <c r="T1435" s="2" t="n">
        <v>1</v>
      </c>
      <c r="U1435" s="2" t="n">
        <v>1</v>
      </c>
      <c r="V1435" s="2" t="n">
        <v>3</v>
      </c>
      <c r="W1435" s="2" t="n">
        <v>2</v>
      </c>
      <c r="X1435" s="2" t="n">
        <v>3</v>
      </c>
      <c r="Y1435" s="2" t="n">
        <v>3</v>
      </c>
      <c r="Z1435" s="2" t="n">
        <v>4</v>
      </c>
    </row>
    <row r="1436" customFormat="false" ht="15" hidden="false" customHeight="true" outlineLevel="0" collapsed="false">
      <c r="A1436" s="2" t="n">
        <v>37</v>
      </c>
      <c r="B1436" s="2" t="s">
        <v>26</v>
      </c>
      <c r="C1436" s="2" t="s">
        <v>34</v>
      </c>
      <c r="D1436" s="2" t="s">
        <v>28</v>
      </c>
      <c r="E1436" s="2" t="n">
        <v>2</v>
      </c>
      <c r="F1436" s="2" t="n">
        <v>4</v>
      </c>
      <c r="G1436" s="2" t="s">
        <v>29</v>
      </c>
      <c r="H1436" s="2" t="n">
        <v>1435</v>
      </c>
      <c r="I1436" s="2" t="s">
        <v>39</v>
      </c>
      <c r="J1436" s="2" t="n">
        <v>2</v>
      </c>
      <c r="K1436" s="2" t="s">
        <v>45</v>
      </c>
      <c r="L1436" s="2" t="s">
        <v>46</v>
      </c>
      <c r="M1436" s="2" t="n">
        <v>52380</v>
      </c>
      <c r="N1436" s="2" t="n">
        <v>1</v>
      </c>
      <c r="O1436" s="2" t="n">
        <v>15</v>
      </c>
      <c r="P1436" s="2" t="n">
        <v>1</v>
      </c>
      <c r="Q1436" s="2" t="n">
        <v>10</v>
      </c>
      <c r="R1436" s="2" t="n">
        <v>5</v>
      </c>
      <c r="S1436" s="2" t="n">
        <v>10</v>
      </c>
      <c r="T1436" s="2" t="n">
        <v>0</v>
      </c>
      <c r="U1436" s="2" t="n">
        <v>7</v>
      </c>
      <c r="V1436" s="2" t="n">
        <v>2</v>
      </c>
      <c r="W1436" s="2" t="n">
        <v>4</v>
      </c>
      <c r="X1436" s="2" t="n">
        <v>3</v>
      </c>
      <c r="Y1436" s="2" t="n">
        <v>3</v>
      </c>
      <c r="Z1436" s="2" t="n">
        <v>3</v>
      </c>
    </row>
    <row r="1437" customFormat="false" ht="15" hidden="false" customHeight="true" outlineLevel="0" collapsed="false">
      <c r="A1437" s="2" t="n">
        <v>38</v>
      </c>
      <c r="B1437" s="2" t="s">
        <v>26</v>
      </c>
      <c r="C1437" s="2" t="s">
        <v>27</v>
      </c>
      <c r="D1437" s="2" t="s">
        <v>35</v>
      </c>
      <c r="E1437" s="2" t="n">
        <v>1</v>
      </c>
      <c r="F1437" s="2" t="n">
        <v>2</v>
      </c>
      <c r="G1437" s="2" t="s">
        <v>43</v>
      </c>
      <c r="H1437" s="2" t="n">
        <v>1436</v>
      </c>
      <c r="I1437" s="2" t="s">
        <v>39</v>
      </c>
      <c r="J1437" s="2" t="n">
        <v>4</v>
      </c>
      <c r="K1437" s="2" t="s">
        <v>45</v>
      </c>
      <c r="L1437" s="2" t="s">
        <v>46</v>
      </c>
      <c r="M1437" s="2" t="n">
        <v>64720</v>
      </c>
      <c r="N1437" s="2" t="n">
        <v>0</v>
      </c>
      <c r="O1437" s="2" t="n">
        <v>12</v>
      </c>
      <c r="P1437" s="2" t="n">
        <v>0</v>
      </c>
      <c r="Q1437" s="2" t="n">
        <v>17</v>
      </c>
      <c r="R1437" s="2" t="n">
        <v>4</v>
      </c>
      <c r="S1437" s="2" t="n">
        <v>16</v>
      </c>
      <c r="T1437" s="2" t="n">
        <v>5</v>
      </c>
      <c r="U1437" s="2" t="n">
        <v>13</v>
      </c>
      <c r="V1437" s="2" t="n">
        <v>1</v>
      </c>
      <c r="W1437" s="2" t="n">
        <v>3</v>
      </c>
      <c r="X1437" s="2" t="n">
        <v>2</v>
      </c>
      <c r="Y1437" s="2" t="n">
        <v>3</v>
      </c>
      <c r="Z1437" s="2" t="n">
        <v>3</v>
      </c>
    </row>
    <row r="1438" customFormat="false" ht="15" hidden="false" customHeight="true" outlineLevel="0" collapsed="false">
      <c r="A1438" s="2" t="n">
        <v>31</v>
      </c>
      <c r="B1438" s="2" t="s">
        <v>26</v>
      </c>
      <c r="C1438" s="2" t="s">
        <v>41</v>
      </c>
      <c r="D1438" s="2" t="s">
        <v>28</v>
      </c>
      <c r="E1438" s="2" t="n">
        <v>4</v>
      </c>
      <c r="F1438" s="2" t="n">
        <v>1</v>
      </c>
      <c r="G1438" s="2" t="s">
        <v>43</v>
      </c>
      <c r="H1438" s="2" t="n">
        <v>1437</v>
      </c>
      <c r="I1438" s="2" t="s">
        <v>30</v>
      </c>
      <c r="J1438" s="2" t="n">
        <v>3</v>
      </c>
      <c r="K1438" s="2" t="s">
        <v>36</v>
      </c>
      <c r="L1438" s="2" t="s">
        <v>32</v>
      </c>
      <c r="M1438" s="2" t="n">
        <v>96100</v>
      </c>
      <c r="N1438" s="2" t="n">
        <v>0</v>
      </c>
      <c r="O1438" s="2" t="n">
        <v>11</v>
      </c>
      <c r="P1438" s="2" t="n">
        <v>1</v>
      </c>
      <c r="Q1438" s="2" t="n">
        <v>6</v>
      </c>
      <c r="R1438" s="2" t="n">
        <v>2</v>
      </c>
      <c r="S1438" s="2" t="n">
        <v>5</v>
      </c>
      <c r="T1438" s="2" t="n">
        <v>1</v>
      </c>
      <c r="U1438" s="2" t="n">
        <v>4</v>
      </c>
      <c r="V1438" s="2" t="n">
        <v>3</v>
      </c>
      <c r="W1438" s="2" t="n">
        <v>3</v>
      </c>
      <c r="X1438" s="2" t="n">
        <v>3</v>
      </c>
      <c r="Y1438" s="2" t="n">
        <v>2</v>
      </c>
      <c r="Z1438" s="2" t="n">
        <v>3</v>
      </c>
    </row>
    <row r="1439" customFormat="false" ht="15" hidden="false" customHeight="true" outlineLevel="0" collapsed="false">
      <c r="A1439" s="2" t="n">
        <v>59</v>
      </c>
      <c r="B1439" s="2" t="s">
        <v>26</v>
      </c>
      <c r="C1439" s="2" t="s">
        <v>27</v>
      </c>
      <c r="D1439" s="2" t="s">
        <v>35</v>
      </c>
      <c r="E1439" s="2" t="n">
        <v>5</v>
      </c>
      <c r="F1439" s="2" t="n">
        <v>3</v>
      </c>
      <c r="G1439" s="2" t="s">
        <v>29</v>
      </c>
      <c r="H1439" s="2" t="n">
        <v>1438</v>
      </c>
      <c r="I1439" s="2" t="s">
        <v>30</v>
      </c>
      <c r="J1439" s="2" t="n">
        <v>3</v>
      </c>
      <c r="K1439" s="2" t="s">
        <v>49</v>
      </c>
      <c r="L1439" s="2" t="s">
        <v>32</v>
      </c>
      <c r="M1439" s="2" t="n">
        <v>198330</v>
      </c>
      <c r="N1439" s="2" t="n">
        <v>3</v>
      </c>
      <c r="O1439" s="2" t="n">
        <v>13</v>
      </c>
      <c r="P1439" s="2" t="n">
        <v>0</v>
      </c>
      <c r="Q1439" s="2" t="n">
        <v>7</v>
      </c>
      <c r="R1439" s="2" t="n">
        <v>2</v>
      </c>
      <c r="S1439" s="2" t="n">
        <v>1</v>
      </c>
      <c r="T1439" s="2" t="n">
        <v>0</v>
      </c>
      <c r="U1439" s="2" t="n">
        <v>0</v>
      </c>
      <c r="V1439" s="2" t="n">
        <v>3</v>
      </c>
      <c r="W1439" s="2" t="n">
        <v>4</v>
      </c>
      <c r="X1439" s="2" t="n">
        <v>3</v>
      </c>
      <c r="Y1439" s="2" t="n">
        <v>3</v>
      </c>
      <c r="Z1439" s="2" t="n">
        <v>3</v>
      </c>
    </row>
    <row r="1440" customFormat="false" ht="15" hidden="false" customHeight="true" outlineLevel="0" collapsed="false">
      <c r="A1440" s="2" t="n">
        <v>37</v>
      </c>
      <c r="B1440" s="2" t="s">
        <v>26</v>
      </c>
      <c r="C1440" s="2" t="s">
        <v>34</v>
      </c>
      <c r="D1440" s="2" t="s">
        <v>28</v>
      </c>
      <c r="E1440" s="2" t="n">
        <v>2</v>
      </c>
      <c r="F1440" s="2" t="n">
        <v>3</v>
      </c>
      <c r="G1440" s="2" t="s">
        <v>50</v>
      </c>
      <c r="H1440" s="2" t="n">
        <v>1439</v>
      </c>
      <c r="I1440" s="2" t="s">
        <v>30</v>
      </c>
      <c r="J1440" s="2" t="n">
        <v>2</v>
      </c>
      <c r="K1440" s="2" t="s">
        <v>45</v>
      </c>
      <c r="L1440" s="2" t="s">
        <v>46</v>
      </c>
      <c r="M1440" s="2" t="n">
        <v>97560</v>
      </c>
      <c r="N1440" s="2" t="n">
        <v>4</v>
      </c>
      <c r="O1440" s="2" t="n">
        <v>19</v>
      </c>
      <c r="P1440" s="2" t="n">
        <v>0</v>
      </c>
      <c r="Q1440" s="2" t="n">
        <v>13</v>
      </c>
      <c r="R1440" s="2" t="n">
        <v>2</v>
      </c>
      <c r="S1440" s="2" t="n">
        <v>9</v>
      </c>
      <c r="T1440" s="2" t="n">
        <v>5</v>
      </c>
      <c r="U1440" s="2" t="n">
        <v>8</v>
      </c>
      <c r="V1440" s="2" t="n">
        <v>1</v>
      </c>
      <c r="W1440" s="2" t="n">
        <v>4</v>
      </c>
      <c r="X1440" s="2" t="n">
        <v>3</v>
      </c>
      <c r="Y1440" s="2" t="n">
        <v>3</v>
      </c>
      <c r="Z1440" s="2" t="n">
        <v>3</v>
      </c>
    </row>
    <row r="1441" customFormat="false" ht="15" hidden="false" customHeight="true" outlineLevel="0" collapsed="false">
      <c r="A1441" s="2" t="n">
        <v>29</v>
      </c>
      <c r="B1441" s="2" t="s">
        <v>26</v>
      </c>
      <c r="C1441" s="2" t="s">
        <v>34</v>
      </c>
      <c r="D1441" s="2" t="s">
        <v>28</v>
      </c>
      <c r="E1441" s="2" t="n">
        <v>15</v>
      </c>
      <c r="F1441" s="2" t="n">
        <v>4</v>
      </c>
      <c r="G1441" s="2" t="s">
        <v>43</v>
      </c>
      <c r="H1441" s="2" t="n">
        <v>1440</v>
      </c>
      <c r="I1441" s="2" t="s">
        <v>30</v>
      </c>
      <c r="J1441" s="2" t="n">
        <v>1</v>
      </c>
      <c r="K1441" s="2" t="s">
        <v>40</v>
      </c>
      <c r="L1441" s="2" t="s">
        <v>32</v>
      </c>
      <c r="M1441" s="2" t="n">
        <v>49680</v>
      </c>
      <c r="N1441" s="2" t="n">
        <v>1</v>
      </c>
      <c r="O1441" s="2" t="n">
        <v>19</v>
      </c>
      <c r="P1441" s="2" t="n">
        <v>3</v>
      </c>
      <c r="Q1441" s="2" t="n">
        <v>11</v>
      </c>
      <c r="R1441" s="2" t="n">
        <v>4</v>
      </c>
      <c r="S1441" s="2" t="n">
        <v>11</v>
      </c>
      <c r="T1441" s="2" t="n">
        <v>4</v>
      </c>
      <c r="U1441" s="2" t="n">
        <v>1</v>
      </c>
      <c r="V1441" s="2" t="n">
        <v>2</v>
      </c>
      <c r="W1441" s="2" t="n">
        <v>4</v>
      </c>
      <c r="X1441" s="2" t="n">
        <v>3</v>
      </c>
      <c r="Y1441" s="2" t="n">
        <v>3</v>
      </c>
      <c r="Z1441" s="2" t="n">
        <v>3</v>
      </c>
    </row>
    <row r="1442" customFormat="false" ht="15" hidden="false" customHeight="true" outlineLevel="0" collapsed="false">
      <c r="A1442" s="2" t="n">
        <v>35</v>
      </c>
      <c r="B1442" s="2" t="s">
        <v>26</v>
      </c>
      <c r="C1442" s="2" t="s">
        <v>34</v>
      </c>
      <c r="D1442" s="2" t="s">
        <v>35</v>
      </c>
      <c r="E1442" s="2" t="n">
        <v>19</v>
      </c>
      <c r="F1442" s="2" t="n">
        <v>3</v>
      </c>
      <c r="G1442" s="2" t="s">
        <v>29</v>
      </c>
      <c r="H1442" s="2" t="n">
        <v>1441</v>
      </c>
      <c r="I1442" s="2" t="s">
        <v>30</v>
      </c>
      <c r="J1442" s="2" t="n">
        <v>1</v>
      </c>
      <c r="K1442" s="2" t="s">
        <v>40</v>
      </c>
      <c r="L1442" s="2" t="s">
        <v>37</v>
      </c>
      <c r="M1442" s="2" t="n">
        <v>21450</v>
      </c>
      <c r="N1442" s="2" t="n">
        <v>1</v>
      </c>
      <c r="O1442" s="2" t="n">
        <v>13</v>
      </c>
      <c r="P1442" s="2" t="n">
        <v>0</v>
      </c>
      <c r="Q1442" s="2" t="n">
        <v>10</v>
      </c>
      <c r="R1442" s="2" t="n">
        <v>6</v>
      </c>
      <c r="S1442" s="2" t="n">
        <v>10</v>
      </c>
      <c r="T1442" s="2" t="n">
        <v>0</v>
      </c>
      <c r="U1442" s="2" t="n">
        <v>8</v>
      </c>
      <c r="V1442" s="2" t="n">
        <v>3</v>
      </c>
      <c r="W1442" s="2" t="n">
        <v>3</v>
      </c>
      <c r="X1442" s="2" t="n">
        <v>4</v>
      </c>
      <c r="Y1442" s="2" t="n">
        <v>2</v>
      </c>
      <c r="Z1442" s="2" t="n">
        <v>3</v>
      </c>
    </row>
    <row r="1443" customFormat="false" ht="15" hidden="false" customHeight="true" outlineLevel="0" collapsed="false">
      <c r="A1443" s="2" t="n">
        <v>29</v>
      </c>
      <c r="B1443" s="2" t="s">
        <v>33</v>
      </c>
      <c r="C1443" s="2" t="s">
        <v>27</v>
      </c>
      <c r="D1443" s="2" t="s">
        <v>35</v>
      </c>
      <c r="E1443" s="2" t="n">
        <v>7</v>
      </c>
      <c r="F1443" s="2" t="n">
        <v>1</v>
      </c>
      <c r="G1443" s="2" t="s">
        <v>29</v>
      </c>
      <c r="H1443" s="2" t="n">
        <v>1442</v>
      </c>
      <c r="I1443" s="2" t="s">
        <v>30</v>
      </c>
      <c r="J1443" s="2" t="n">
        <v>1</v>
      </c>
      <c r="K1443" s="2" t="s">
        <v>36</v>
      </c>
      <c r="L1443" s="2" t="s">
        <v>37</v>
      </c>
      <c r="M1443" s="2" t="n">
        <v>21800</v>
      </c>
      <c r="N1443" s="2" t="n">
        <v>1</v>
      </c>
      <c r="O1443" s="2" t="n">
        <v>21</v>
      </c>
      <c r="P1443" s="2" t="n">
        <v>0</v>
      </c>
      <c r="Q1443" s="2" t="n">
        <v>4</v>
      </c>
      <c r="R1443" s="2" t="n">
        <v>2</v>
      </c>
      <c r="S1443" s="2" t="n">
        <v>4</v>
      </c>
      <c r="T1443" s="2" t="n">
        <v>0</v>
      </c>
      <c r="U1443" s="2" t="n">
        <v>1</v>
      </c>
      <c r="V1443" s="2" t="n">
        <v>3</v>
      </c>
      <c r="W1443" s="2" t="n">
        <v>4</v>
      </c>
      <c r="X1443" s="2" t="n">
        <v>2</v>
      </c>
      <c r="Y1443" s="2" t="n">
        <v>3</v>
      </c>
      <c r="Z1443" s="2" t="n">
        <v>4</v>
      </c>
    </row>
    <row r="1444" customFormat="false" ht="15" hidden="false" customHeight="true" outlineLevel="0" collapsed="false">
      <c r="A1444" s="2" t="n">
        <v>52</v>
      </c>
      <c r="B1444" s="2" t="s">
        <v>26</v>
      </c>
      <c r="C1444" s="2" t="s">
        <v>27</v>
      </c>
      <c r="D1444" s="2" t="s">
        <v>35</v>
      </c>
      <c r="E1444" s="2" t="n">
        <v>1</v>
      </c>
      <c r="F1444" s="2" t="n">
        <v>2</v>
      </c>
      <c r="G1444" s="2" t="s">
        <v>43</v>
      </c>
      <c r="H1444" s="2" t="n">
        <v>1443</v>
      </c>
      <c r="I1444" s="2" t="s">
        <v>30</v>
      </c>
      <c r="J1444" s="2" t="n">
        <v>4</v>
      </c>
      <c r="K1444" s="2" t="s">
        <v>49</v>
      </c>
      <c r="L1444" s="2" t="s">
        <v>37</v>
      </c>
      <c r="M1444" s="2" t="n">
        <v>83460</v>
      </c>
      <c r="N1444" s="2" t="n">
        <v>7</v>
      </c>
      <c r="O1444" s="2" t="n">
        <v>14</v>
      </c>
      <c r="P1444" s="2" t="n">
        <v>0</v>
      </c>
      <c r="Q1444" s="2" t="n">
        <v>6</v>
      </c>
      <c r="R1444" s="2" t="n">
        <v>5</v>
      </c>
      <c r="S1444" s="2" t="n">
        <v>2</v>
      </c>
      <c r="T1444" s="2" t="n">
        <v>2</v>
      </c>
      <c r="U1444" s="2" t="n">
        <v>2</v>
      </c>
      <c r="V1444" s="2" t="n">
        <v>3</v>
      </c>
      <c r="W1444" s="2" t="n">
        <v>4</v>
      </c>
      <c r="X1444" s="2" t="n">
        <v>2</v>
      </c>
      <c r="Y1444" s="2" t="n">
        <v>3</v>
      </c>
      <c r="Z1444" s="2" t="n">
        <v>3</v>
      </c>
    </row>
    <row r="1445" customFormat="false" ht="15" hidden="false" customHeight="true" outlineLevel="0" collapsed="false">
      <c r="A1445" s="2" t="n">
        <v>42</v>
      </c>
      <c r="B1445" s="2" t="s">
        <v>26</v>
      </c>
      <c r="C1445" s="2" t="s">
        <v>27</v>
      </c>
      <c r="D1445" s="2" t="s">
        <v>35</v>
      </c>
      <c r="E1445" s="2" t="n">
        <v>7</v>
      </c>
      <c r="F1445" s="2" t="n">
        <v>4</v>
      </c>
      <c r="G1445" s="2" t="s">
        <v>29</v>
      </c>
      <c r="H1445" s="2" t="n">
        <v>1444</v>
      </c>
      <c r="I1445" s="2" t="s">
        <v>30</v>
      </c>
      <c r="J1445" s="2" t="n">
        <v>2</v>
      </c>
      <c r="K1445" s="2" t="s">
        <v>40</v>
      </c>
      <c r="L1445" s="2" t="s">
        <v>32</v>
      </c>
      <c r="M1445" s="2" t="n">
        <v>34450</v>
      </c>
      <c r="N1445" s="2" t="n">
        <v>1</v>
      </c>
      <c r="O1445" s="2" t="n">
        <v>11</v>
      </c>
      <c r="P1445" s="2" t="n">
        <v>2</v>
      </c>
      <c r="Q1445" s="2" t="n">
        <v>22</v>
      </c>
      <c r="R1445" s="2" t="n">
        <v>2</v>
      </c>
      <c r="S1445" s="2" t="n">
        <v>22</v>
      </c>
      <c r="T1445" s="2" t="n">
        <v>11</v>
      </c>
      <c r="U1445" s="2" t="n">
        <v>15</v>
      </c>
      <c r="V1445" s="2" t="n">
        <v>3</v>
      </c>
      <c r="W1445" s="2" t="n">
        <v>4</v>
      </c>
      <c r="X1445" s="2" t="n">
        <v>3</v>
      </c>
      <c r="Y1445" s="2" t="n">
        <v>3</v>
      </c>
      <c r="Z1445" s="2" t="n">
        <v>3</v>
      </c>
    </row>
    <row r="1446" customFormat="false" ht="15" hidden="false" customHeight="true" outlineLevel="0" collapsed="false">
      <c r="A1446" s="2" t="n">
        <v>59</v>
      </c>
      <c r="B1446" s="2" t="s">
        <v>26</v>
      </c>
      <c r="C1446" s="2" t="s">
        <v>27</v>
      </c>
      <c r="D1446" s="2" t="s">
        <v>35</v>
      </c>
      <c r="E1446" s="2" t="n">
        <v>4</v>
      </c>
      <c r="F1446" s="2" t="n">
        <v>4</v>
      </c>
      <c r="G1446" s="2" t="s">
        <v>51</v>
      </c>
      <c r="H1446" s="2" t="n">
        <v>1445</v>
      </c>
      <c r="I1446" s="2" t="s">
        <v>39</v>
      </c>
      <c r="J1446" s="2" t="n">
        <v>1</v>
      </c>
      <c r="K1446" s="2" t="s">
        <v>31</v>
      </c>
      <c r="L1446" s="2" t="s">
        <v>32</v>
      </c>
      <c r="M1446" s="2" t="n">
        <v>27600</v>
      </c>
      <c r="N1446" s="2" t="n">
        <v>8</v>
      </c>
      <c r="O1446" s="2" t="n">
        <v>11</v>
      </c>
      <c r="P1446" s="2" t="n">
        <v>0</v>
      </c>
      <c r="Q1446" s="2" t="n">
        <v>7</v>
      </c>
      <c r="R1446" s="2" t="n">
        <v>3</v>
      </c>
      <c r="S1446" s="2" t="n">
        <v>2</v>
      </c>
      <c r="T1446" s="2" t="n">
        <v>2</v>
      </c>
      <c r="U1446" s="2" t="n">
        <v>2</v>
      </c>
      <c r="V1446" s="2" t="n">
        <v>2</v>
      </c>
      <c r="W1446" s="2" t="n">
        <v>3</v>
      </c>
      <c r="X1446" s="2" t="n">
        <v>2</v>
      </c>
      <c r="Y1446" s="2" t="n">
        <v>4</v>
      </c>
      <c r="Z1446" s="2" t="n">
        <v>3</v>
      </c>
    </row>
    <row r="1447" customFormat="false" ht="15" hidden="false" customHeight="true" outlineLevel="0" collapsed="false">
      <c r="A1447" s="2" t="n">
        <v>50</v>
      </c>
      <c r="B1447" s="2" t="s">
        <v>26</v>
      </c>
      <c r="C1447" s="2" t="s">
        <v>27</v>
      </c>
      <c r="D1447" s="2" t="s">
        <v>35</v>
      </c>
      <c r="E1447" s="2" t="n">
        <v>11</v>
      </c>
      <c r="F1447" s="2" t="n">
        <v>2</v>
      </c>
      <c r="G1447" s="2" t="s">
        <v>29</v>
      </c>
      <c r="H1447" s="2" t="n">
        <v>1446</v>
      </c>
      <c r="I1447" s="2" t="s">
        <v>39</v>
      </c>
      <c r="J1447" s="2" t="n">
        <v>2</v>
      </c>
      <c r="K1447" s="2" t="s">
        <v>40</v>
      </c>
      <c r="L1447" s="2" t="s">
        <v>46</v>
      </c>
      <c r="M1447" s="2" t="n">
        <v>62940</v>
      </c>
      <c r="N1447" s="2" t="n">
        <v>3</v>
      </c>
      <c r="O1447" s="2" t="n">
        <v>23</v>
      </c>
      <c r="P1447" s="2" t="n">
        <v>1</v>
      </c>
      <c r="Q1447" s="2" t="n">
        <v>32</v>
      </c>
      <c r="R1447" s="2" t="n">
        <v>2</v>
      </c>
      <c r="S1447" s="2" t="n">
        <v>7</v>
      </c>
      <c r="T1447" s="2" t="n">
        <v>0</v>
      </c>
      <c r="U1447" s="2" t="n">
        <v>6</v>
      </c>
      <c r="V1447" s="2" t="n">
        <v>4</v>
      </c>
      <c r="W1447" s="2" t="n">
        <v>4</v>
      </c>
      <c r="X1447" s="2" t="n">
        <v>2</v>
      </c>
      <c r="Y1447" s="2" t="n">
        <v>4</v>
      </c>
      <c r="Z1447" s="2" t="n">
        <v>4</v>
      </c>
    </row>
    <row r="1448" customFormat="false" ht="15" hidden="false" customHeight="true" outlineLevel="0" collapsed="false">
      <c r="A1448" s="2" t="n">
        <v>33</v>
      </c>
      <c r="B1448" s="2" t="s">
        <v>33</v>
      </c>
      <c r="C1448" s="2" t="s">
        <v>27</v>
      </c>
      <c r="D1448" s="2" t="s">
        <v>28</v>
      </c>
      <c r="E1448" s="2" t="n">
        <v>11</v>
      </c>
      <c r="F1448" s="2" t="n">
        <v>4</v>
      </c>
      <c r="G1448" s="2" t="s">
        <v>50</v>
      </c>
      <c r="H1448" s="2" t="n">
        <v>1447</v>
      </c>
      <c r="I1448" s="2" t="s">
        <v>39</v>
      </c>
      <c r="J1448" s="2" t="n">
        <v>1</v>
      </c>
      <c r="K1448" s="2" t="s">
        <v>36</v>
      </c>
      <c r="L1448" s="2" t="s">
        <v>32</v>
      </c>
      <c r="M1448" s="2" t="n">
        <v>71400</v>
      </c>
      <c r="N1448" s="2" t="n">
        <v>5</v>
      </c>
      <c r="O1448" s="2" t="n">
        <v>21</v>
      </c>
      <c r="P1448" s="2" t="n">
        <v>0</v>
      </c>
      <c r="Q1448" s="2" t="n">
        <v>8</v>
      </c>
      <c r="R1448" s="2" t="n">
        <v>2</v>
      </c>
      <c r="S1448" s="2" t="n">
        <v>5</v>
      </c>
      <c r="T1448" s="2" t="n">
        <v>0</v>
      </c>
      <c r="U1448" s="2" t="n">
        <v>4</v>
      </c>
      <c r="V1448" s="2" t="n">
        <v>3</v>
      </c>
      <c r="W1448" s="2" t="n">
        <v>4</v>
      </c>
      <c r="X1448" s="2" t="n">
        <v>1</v>
      </c>
      <c r="Y1448" s="2" t="n">
        <v>2</v>
      </c>
      <c r="Z1448" s="2" t="n">
        <v>4</v>
      </c>
    </row>
    <row r="1449" customFormat="false" ht="15" hidden="false" customHeight="true" outlineLevel="0" collapsed="false">
      <c r="A1449" s="2" t="n">
        <v>43</v>
      </c>
      <c r="B1449" s="2" t="s">
        <v>26</v>
      </c>
      <c r="C1449" s="2" t="s">
        <v>27</v>
      </c>
      <c r="D1449" s="2" t="s">
        <v>28</v>
      </c>
      <c r="E1449" s="2" t="n">
        <v>1</v>
      </c>
      <c r="F1449" s="2" t="n">
        <v>3</v>
      </c>
      <c r="G1449" s="2" t="s">
        <v>50</v>
      </c>
      <c r="H1449" s="2" t="n">
        <v>1448</v>
      </c>
      <c r="I1449" s="2" t="s">
        <v>30</v>
      </c>
      <c r="J1449" s="2" t="n">
        <v>2</v>
      </c>
      <c r="K1449" s="2" t="s">
        <v>47</v>
      </c>
      <c r="L1449" s="2" t="s">
        <v>32</v>
      </c>
      <c r="M1449" s="2" t="n">
        <v>29320</v>
      </c>
      <c r="N1449" s="2" t="n">
        <v>5</v>
      </c>
      <c r="O1449" s="2" t="n">
        <v>24</v>
      </c>
      <c r="P1449" s="2" t="n">
        <v>0</v>
      </c>
      <c r="Q1449" s="2" t="n">
        <v>22</v>
      </c>
      <c r="R1449" s="2" t="n">
        <v>3</v>
      </c>
      <c r="S1449" s="2" t="n">
        <v>17</v>
      </c>
      <c r="T1449" s="2" t="n">
        <v>1</v>
      </c>
      <c r="U1449" s="2" t="n">
        <v>9</v>
      </c>
      <c r="V1449" s="2" t="n">
        <v>4</v>
      </c>
      <c r="W1449" s="2" t="n">
        <v>4</v>
      </c>
      <c r="X1449" s="2" t="n">
        <v>3</v>
      </c>
      <c r="Y1449" s="2" t="n">
        <v>3</v>
      </c>
      <c r="Z1449" s="2" t="n">
        <v>4</v>
      </c>
    </row>
    <row r="1450" customFormat="false" ht="15" hidden="false" customHeight="true" outlineLevel="0" collapsed="false">
      <c r="A1450" s="2" t="n">
        <v>33</v>
      </c>
      <c r="B1450" s="2" t="s">
        <v>33</v>
      </c>
      <c r="C1450" s="2" t="s">
        <v>27</v>
      </c>
      <c r="D1450" s="2" t="s">
        <v>28</v>
      </c>
      <c r="E1450" s="2" t="n">
        <v>1</v>
      </c>
      <c r="F1450" s="2" t="n">
        <v>3</v>
      </c>
      <c r="G1450" s="2" t="s">
        <v>29</v>
      </c>
      <c r="H1450" s="2" t="n">
        <v>1449</v>
      </c>
      <c r="I1450" s="2" t="s">
        <v>39</v>
      </c>
      <c r="J1450" s="2" t="n">
        <v>2</v>
      </c>
      <c r="K1450" s="2" t="s">
        <v>49</v>
      </c>
      <c r="L1450" s="2" t="s">
        <v>32</v>
      </c>
      <c r="M1450" s="2" t="n">
        <v>51470</v>
      </c>
      <c r="N1450" s="2" t="n">
        <v>7</v>
      </c>
      <c r="O1450" s="2" t="n">
        <v>11</v>
      </c>
      <c r="P1450" s="2" t="n">
        <v>0</v>
      </c>
      <c r="Q1450" s="2" t="n">
        <v>13</v>
      </c>
      <c r="R1450" s="2" t="n">
        <v>2</v>
      </c>
      <c r="S1450" s="2" t="n">
        <v>9</v>
      </c>
      <c r="T1450" s="2" t="n">
        <v>1</v>
      </c>
      <c r="U1450" s="2" t="n">
        <v>7</v>
      </c>
      <c r="V1450" s="2" t="n">
        <v>1</v>
      </c>
      <c r="W1450" s="2" t="n">
        <v>1</v>
      </c>
      <c r="X1450" s="2" t="n">
        <v>4</v>
      </c>
      <c r="Y1450" s="2" t="n">
        <v>3</v>
      </c>
      <c r="Z1450" s="2" t="n">
        <v>3</v>
      </c>
    </row>
    <row r="1451" customFormat="false" ht="15" hidden="false" customHeight="true" outlineLevel="0" collapsed="false">
      <c r="A1451" s="2" t="n">
        <v>52</v>
      </c>
      <c r="B1451" s="2" t="s">
        <v>26</v>
      </c>
      <c r="C1451" s="2" t="s">
        <v>41</v>
      </c>
      <c r="D1451" s="2" t="s">
        <v>35</v>
      </c>
      <c r="E1451" s="2" t="n">
        <v>2</v>
      </c>
      <c r="F1451" s="2" t="n">
        <v>3</v>
      </c>
      <c r="G1451" s="2" t="s">
        <v>51</v>
      </c>
      <c r="H1451" s="2" t="n">
        <v>1450</v>
      </c>
      <c r="I1451" s="2" t="s">
        <v>39</v>
      </c>
      <c r="J1451" s="2" t="n">
        <v>1</v>
      </c>
      <c r="K1451" s="2" t="s">
        <v>40</v>
      </c>
      <c r="L1451" s="2" t="s">
        <v>37</v>
      </c>
      <c r="M1451" s="2" t="n">
        <v>45070</v>
      </c>
      <c r="N1451" s="2" t="n">
        <v>1</v>
      </c>
      <c r="O1451" s="2" t="n">
        <v>14</v>
      </c>
      <c r="P1451" s="2" t="n">
        <v>0</v>
      </c>
      <c r="Q1451" s="2" t="n">
        <v>33</v>
      </c>
      <c r="R1451" s="2" t="n">
        <v>3</v>
      </c>
      <c r="S1451" s="2" t="n">
        <v>33</v>
      </c>
      <c r="T1451" s="2" t="n">
        <v>15</v>
      </c>
      <c r="U1451" s="2" t="n">
        <v>12</v>
      </c>
      <c r="V1451" s="2" t="n">
        <v>1</v>
      </c>
      <c r="W1451" s="2" t="n">
        <v>3</v>
      </c>
      <c r="X1451" s="2" t="n">
        <v>4</v>
      </c>
      <c r="Y1451" s="2" t="n">
        <v>2</v>
      </c>
      <c r="Z1451" s="2" t="n">
        <v>3</v>
      </c>
    </row>
    <row r="1452" customFormat="false" ht="15" hidden="false" customHeight="true" outlineLevel="0" collapsed="false">
      <c r="A1452" s="2" t="n">
        <v>32</v>
      </c>
      <c r="B1452" s="2" t="s">
        <v>26</v>
      </c>
      <c r="C1452" s="2" t="s">
        <v>27</v>
      </c>
      <c r="D1452" s="2" t="s">
        <v>42</v>
      </c>
      <c r="E1452" s="2" t="n">
        <v>13</v>
      </c>
      <c r="F1452" s="2" t="n">
        <v>4</v>
      </c>
      <c r="G1452" s="2" t="s">
        <v>29</v>
      </c>
      <c r="H1452" s="2" t="n">
        <v>1451</v>
      </c>
      <c r="I1452" s="2" t="s">
        <v>30</v>
      </c>
      <c r="J1452" s="2" t="n">
        <v>3</v>
      </c>
      <c r="K1452" s="2" t="s">
        <v>47</v>
      </c>
      <c r="L1452" s="2" t="s">
        <v>32</v>
      </c>
      <c r="M1452" s="2" t="n">
        <v>85640</v>
      </c>
      <c r="N1452" s="2" t="n">
        <v>2</v>
      </c>
      <c r="O1452" s="2" t="n">
        <v>16</v>
      </c>
      <c r="P1452" s="2" t="n">
        <v>1</v>
      </c>
      <c r="Q1452" s="2" t="n">
        <v>6</v>
      </c>
      <c r="R1452" s="2" t="n">
        <v>2</v>
      </c>
      <c r="S1452" s="2" t="n">
        <v>4</v>
      </c>
      <c r="T1452" s="2" t="n">
        <v>1</v>
      </c>
      <c r="U1452" s="2" t="n">
        <v>2</v>
      </c>
      <c r="V1452" s="2" t="n">
        <v>3</v>
      </c>
      <c r="W1452" s="2" t="n">
        <v>2</v>
      </c>
      <c r="X1452" s="2" t="n">
        <v>3</v>
      </c>
      <c r="Y1452" s="2" t="n">
        <v>2</v>
      </c>
      <c r="Z1452" s="2" t="n">
        <v>3</v>
      </c>
    </row>
    <row r="1453" customFormat="false" ht="15" hidden="false" customHeight="true" outlineLevel="0" collapsed="false">
      <c r="A1453" s="2" t="n">
        <v>32</v>
      </c>
      <c r="B1453" s="2" t="s">
        <v>33</v>
      </c>
      <c r="C1453" s="2" t="s">
        <v>27</v>
      </c>
      <c r="D1453" s="2" t="s">
        <v>28</v>
      </c>
      <c r="E1453" s="2" t="n">
        <v>23</v>
      </c>
      <c r="F1453" s="2" t="n">
        <v>1</v>
      </c>
      <c r="G1453" s="2" t="s">
        <v>29</v>
      </c>
      <c r="H1453" s="2" t="n">
        <v>1452</v>
      </c>
      <c r="I1453" s="2" t="s">
        <v>39</v>
      </c>
      <c r="J1453" s="2" t="n">
        <v>3</v>
      </c>
      <c r="K1453" s="2" t="s">
        <v>31</v>
      </c>
      <c r="L1453" s="2" t="s">
        <v>37</v>
      </c>
      <c r="M1453" s="2" t="n">
        <v>24680</v>
      </c>
      <c r="N1453" s="2" t="n">
        <v>0</v>
      </c>
      <c r="O1453" s="2" t="n">
        <v>11</v>
      </c>
      <c r="P1453" s="2" t="n">
        <v>0</v>
      </c>
      <c r="Q1453" s="2" t="n">
        <v>4</v>
      </c>
      <c r="R1453" s="2" t="n">
        <v>2</v>
      </c>
      <c r="S1453" s="2" t="n">
        <v>3</v>
      </c>
      <c r="T1453" s="2" t="n">
        <v>1</v>
      </c>
      <c r="U1453" s="2" t="n">
        <v>2</v>
      </c>
      <c r="V1453" s="2" t="n">
        <v>4</v>
      </c>
      <c r="W1453" s="2" t="n">
        <v>3</v>
      </c>
      <c r="X1453" s="2" t="n">
        <v>1</v>
      </c>
      <c r="Y1453" s="2" t="n">
        <v>3</v>
      </c>
      <c r="Z1453" s="2" t="n">
        <v>3</v>
      </c>
    </row>
    <row r="1454" customFormat="false" ht="15" hidden="false" customHeight="true" outlineLevel="0" collapsed="false">
      <c r="A1454" s="2" t="n">
        <v>39</v>
      </c>
      <c r="B1454" s="2" t="s">
        <v>26</v>
      </c>
      <c r="C1454" s="2" t="s">
        <v>27</v>
      </c>
      <c r="D1454" s="2" t="s">
        <v>28</v>
      </c>
      <c r="E1454" s="2" t="n">
        <v>26</v>
      </c>
      <c r="F1454" s="2" t="n">
        <v>4</v>
      </c>
      <c r="G1454" s="2" t="s">
        <v>29</v>
      </c>
      <c r="H1454" s="2" t="n">
        <v>1453</v>
      </c>
      <c r="I1454" s="2" t="s">
        <v>39</v>
      </c>
      <c r="J1454" s="2" t="n">
        <v>2</v>
      </c>
      <c r="K1454" s="2" t="s">
        <v>44</v>
      </c>
      <c r="L1454" s="2" t="s">
        <v>46</v>
      </c>
      <c r="M1454" s="2" t="n">
        <v>81610</v>
      </c>
      <c r="N1454" s="2" t="n">
        <v>7</v>
      </c>
      <c r="O1454" s="2" t="n">
        <v>12</v>
      </c>
      <c r="P1454" s="2" t="n">
        <v>1</v>
      </c>
      <c r="Q1454" s="2" t="n">
        <v>7</v>
      </c>
      <c r="R1454" s="2" t="n">
        <v>2</v>
      </c>
      <c r="S1454" s="2" t="n">
        <v>3</v>
      </c>
      <c r="T1454" s="2" t="n">
        <v>1</v>
      </c>
      <c r="U1454" s="2" t="n">
        <v>2</v>
      </c>
      <c r="V1454" s="2" t="n">
        <v>3</v>
      </c>
      <c r="W1454" s="2" t="n">
        <v>3</v>
      </c>
      <c r="X1454" s="2" t="n">
        <v>3</v>
      </c>
      <c r="Y1454" s="2" t="n">
        <v>4</v>
      </c>
      <c r="Z1454" s="2" t="n">
        <v>3</v>
      </c>
    </row>
    <row r="1455" customFormat="false" ht="15" hidden="false" customHeight="true" outlineLevel="0" collapsed="false">
      <c r="A1455" s="2" t="n">
        <v>32</v>
      </c>
      <c r="B1455" s="2" t="s">
        <v>26</v>
      </c>
      <c r="C1455" s="2" t="s">
        <v>41</v>
      </c>
      <c r="D1455" s="2" t="s">
        <v>28</v>
      </c>
      <c r="E1455" s="2" t="n">
        <v>2</v>
      </c>
      <c r="F1455" s="2" t="n">
        <v>4</v>
      </c>
      <c r="G1455" s="2" t="s">
        <v>50</v>
      </c>
      <c r="H1455" s="2" t="n">
        <v>1454</v>
      </c>
      <c r="I1455" s="2" t="s">
        <v>39</v>
      </c>
      <c r="J1455" s="2" t="n">
        <v>4</v>
      </c>
      <c r="K1455" s="2" t="s">
        <v>36</v>
      </c>
      <c r="L1455" s="2" t="s">
        <v>32</v>
      </c>
      <c r="M1455" s="2" t="n">
        <v>21090</v>
      </c>
      <c r="N1455" s="2" t="n">
        <v>0</v>
      </c>
      <c r="O1455" s="2" t="n">
        <v>13</v>
      </c>
      <c r="P1455" s="2" t="n">
        <v>1</v>
      </c>
      <c r="Q1455" s="2" t="n">
        <v>4</v>
      </c>
      <c r="R1455" s="2" t="n">
        <v>3</v>
      </c>
      <c r="S1455" s="2" t="n">
        <v>3</v>
      </c>
      <c r="T1455" s="2" t="n">
        <v>2</v>
      </c>
      <c r="U1455" s="2" t="n">
        <v>2</v>
      </c>
      <c r="V1455" s="2" t="n">
        <v>3</v>
      </c>
      <c r="W1455" s="2" t="n">
        <v>4</v>
      </c>
      <c r="X1455" s="2" t="n">
        <v>3</v>
      </c>
      <c r="Y1455" s="2" t="n">
        <v>2</v>
      </c>
      <c r="Z1455" s="2" t="n">
        <v>3</v>
      </c>
    </row>
    <row r="1456" customFormat="false" ht="15" hidden="false" customHeight="true" outlineLevel="0" collapsed="false">
      <c r="A1456" s="2" t="n">
        <v>41</v>
      </c>
      <c r="B1456" s="2" t="s">
        <v>26</v>
      </c>
      <c r="C1456" s="2" t="s">
        <v>27</v>
      </c>
      <c r="D1456" s="2" t="s">
        <v>28</v>
      </c>
      <c r="E1456" s="2" t="n">
        <v>29</v>
      </c>
      <c r="F1456" s="2" t="n">
        <v>3</v>
      </c>
      <c r="G1456" s="2" t="s">
        <v>29</v>
      </c>
      <c r="H1456" s="2" t="n">
        <v>1455</v>
      </c>
      <c r="I1456" s="2" t="s">
        <v>30</v>
      </c>
      <c r="J1456" s="2" t="n">
        <v>2</v>
      </c>
      <c r="K1456" s="2" t="s">
        <v>45</v>
      </c>
      <c r="L1456" s="2" t="s">
        <v>46</v>
      </c>
      <c r="M1456" s="2" t="n">
        <v>52940</v>
      </c>
      <c r="N1456" s="2" t="n">
        <v>2</v>
      </c>
      <c r="O1456" s="2" t="n">
        <v>15</v>
      </c>
      <c r="P1456" s="2" t="n">
        <v>0</v>
      </c>
      <c r="Q1456" s="2" t="n">
        <v>17</v>
      </c>
      <c r="R1456" s="2" t="n">
        <v>3</v>
      </c>
      <c r="S1456" s="2" t="n">
        <v>1</v>
      </c>
      <c r="T1456" s="2" t="n">
        <v>0</v>
      </c>
      <c r="U1456" s="2" t="n">
        <v>0</v>
      </c>
      <c r="V1456" s="2" t="n">
        <v>3</v>
      </c>
      <c r="W1456" s="2" t="n">
        <v>1</v>
      </c>
      <c r="X1456" s="2" t="n">
        <v>2</v>
      </c>
      <c r="Y1456" s="2" t="n">
        <v>2</v>
      </c>
      <c r="Z1456" s="2" t="n">
        <v>3</v>
      </c>
    </row>
    <row r="1457" customFormat="false" ht="15" hidden="false" customHeight="true" outlineLevel="0" collapsed="false">
      <c r="A1457" s="2" t="n">
        <v>40</v>
      </c>
      <c r="B1457" s="2" t="s">
        <v>26</v>
      </c>
      <c r="C1457" s="2" t="s">
        <v>27</v>
      </c>
      <c r="D1457" s="2" t="s">
        <v>35</v>
      </c>
      <c r="E1457" s="2" t="n">
        <v>2</v>
      </c>
      <c r="F1457" s="2" t="n">
        <v>3</v>
      </c>
      <c r="G1457" s="2" t="s">
        <v>29</v>
      </c>
      <c r="H1457" s="2" t="n">
        <v>1456</v>
      </c>
      <c r="I1457" s="2" t="s">
        <v>39</v>
      </c>
      <c r="J1457" s="2" t="n">
        <v>1</v>
      </c>
      <c r="K1457" s="2" t="s">
        <v>47</v>
      </c>
      <c r="L1457" s="2" t="s">
        <v>46</v>
      </c>
      <c r="M1457" s="2" t="n">
        <v>27180</v>
      </c>
      <c r="N1457" s="2" t="n">
        <v>1</v>
      </c>
      <c r="O1457" s="2" t="n">
        <v>14</v>
      </c>
      <c r="P1457" s="2" t="n">
        <v>1</v>
      </c>
      <c r="Q1457" s="2" t="n">
        <v>9</v>
      </c>
      <c r="R1457" s="2" t="n">
        <v>4</v>
      </c>
      <c r="S1457" s="2" t="n">
        <v>9</v>
      </c>
      <c r="T1457" s="2" t="n">
        <v>4</v>
      </c>
      <c r="U1457" s="2" t="n">
        <v>7</v>
      </c>
      <c r="V1457" s="2" t="n">
        <v>1</v>
      </c>
      <c r="W1457" s="2" t="n">
        <v>4</v>
      </c>
      <c r="X1457" s="2" t="n">
        <v>3</v>
      </c>
      <c r="Y1457" s="2" t="n">
        <v>2</v>
      </c>
      <c r="Z1457" s="2" t="n">
        <v>3</v>
      </c>
    </row>
    <row r="1458" customFormat="false" ht="15" hidden="false" customHeight="true" outlineLevel="0" collapsed="false">
      <c r="A1458" s="2" t="n">
        <v>45</v>
      </c>
      <c r="B1458" s="2" t="s">
        <v>26</v>
      </c>
      <c r="C1458" s="2" t="s">
        <v>27</v>
      </c>
      <c r="D1458" s="2" t="s">
        <v>35</v>
      </c>
      <c r="E1458" s="2" t="n">
        <v>18</v>
      </c>
      <c r="F1458" s="2" t="n">
        <v>1</v>
      </c>
      <c r="G1458" s="2" t="s">
        <v>29</v>
      </c>
      <c r="H1458" s="2" t="n">
        <v>1457</v>
      </c>
      <c r="I1458" s="2" t="s">
        <v>30</v>
      </c>
      <c r="J1458" s="2" t="n">
        <v>2</v>
      </c>
      <c r="K1458" s="2" t="s">
        <v>48</v>
      </c>
      <c r="L1458" s="2" t="s">
        <v>32</v>
      </c>
      <c r="M1458" s="2" t="n">
        <v>58110</v>
      </c>
      <c r="N1458" s="2" t="n">
        <v>0</v>
      </c>
      <c r="O1458" s="2" t="n">
        <v>14</v>
      </c>
      <c r="P1458" s="2" t="n">
        <v>0</v>
      </c>
      <c r="Q1458" s="2" t="n">
        <v>25</v>
      </c>
      <c r="R1458" s="2" t="n">
        <v>4</v>
      </c>
      <c r="S1458" s="2" t="n">
        <v>24</v>
      </c>
      <c r="T1458" s="2" t="n">
        <v>1</v>
      </c>
      <c r="U1458" s="2" t="n">
        <v>7</v>
      </c>
      <c r="V1458" s="2" t="n">
        <v>3</v>
      </c>
      <c r="W1458" s="2" t="n">
        <v>4</v>
      </c>
      <c r="X1458" s="2" t="n">
        <v>3</v>
      </c>
      <c r="Y1458" s="2" t="n">
        <v>2</v>
      </c>
      <c r="Z1458" s="2" t="n">
        <v>3</v>
      </c>
    </row>
    <row r="1459" customFormat="false" ht="15" hidden="false" customHeight="true" outlineLevel="0" collapsed="false">
      <c r="A1459" s="2" t="n">
        <v>31</v>
      </c>
      <c r="B1459" s="2" t="s">
        <v>26</v>
      </c>
      <c r="C1459" s="2" t="s">
        <v>34</v>
      </c>
      <c r="D1459" s="2" t="s">
        <v>35</v>
      </c>
      <c r="E1459" s="2" t="n">
        <v>7</v>
      </c>
      <c r="F1459" s="2" t="n">
        <v>4</v>
      </c>
      <c r="G1459" s="2" t="s">
        <v>43</v>
      </c>
      <c r="H1459" s="2" t="n">
        <v>1458</v>
      </c>
      <c r="I1459" s="2" t="s">
        <v>39</v>
      </c>
      <c r="J1459" s="2" t="n">
        <v>1</v>
      </c>
      <c r="K1459" s="2" t="s">
        <v>36</v>
      </c>
      <c r="L1459" s="2" t="s">
        <v>46</v>
      </c>
      <c r="M1459" s="2" t="n">
        <v>24370</v>
      </c>
      <c r="N1459" s="2" t="n">
        <v>9</v>
      </c>
      <c r="O1459" s="2" t="n">
        <v>14</v>
      </c>
      <c r="P1459" s="2" t="n">
        <v>1</v>
      </c>
      <c r="Q1459" s="2" t="n">
        <v>9</v>
      </c>
      <c r="R1459" s="2" t="n">
        <v>3</v>
      </c>
      <c r="S1459" s="2" t="n">
        <v>2</v>
      </c>
      <c r="T1459" s="2" t="n">
        <v>2</v>
      </c>
      <c r="U1459" s="2" t="n">
        <v>2</v>
      </c>
      <c r="V1459" s="2" t="n">
        <v>2</v>
      </c>
      <c r="W1459" s="2" t="n">
        <v>3</v>
      </c>
      <c r="X1459" s="2" t="n">
        <v>3</v>
      </c>
      <c r="Y1459" s="2" t="n">
        <v>4</v>
      </c>
      <c r="Z1459" s="2" t="n">
        <v>3</v>
      </c>
    </row>
    <row r="1460" customFormat="false" ht="15" hidden="false" customHeight="true" outlineLevel="0" collapsed="false">
      <c r="A1460" s="2" t="n">
        <v>33</v>
      </c>
      <c r="B1460" s="2" t="s">
        <v>26</v>
      </c>
      <c r="C1460" s="2" t="s">
        <v>27</v>
      </c>
      <c r="D1460" s="2" t="s">
        <v>35</v>
      </c>
      <c r="E1460" s="2" t="n">
        <v>2</v>
      </c>
      <c r="F1460" s="2" t="n">
        <v>4</v>
      </c>
      <c r="G1460" s="2" t="s">
        <v>29</v>
      </c>
      <c r="H1460" s="2" t="n">
        <v>1459</v>
      </c>
      <c r="I1460" s="2" t="s">
        <v>30</v>
      </c>
      <c r="J1460" s="2" t="n">
        <v>1</v>
      </c>
      <c r="K1460" s="2" t="s">
        <v>40</v>
      </c>
      <c r="L1460" s="2" t="s">
        <v>32</v>
      </c>
      <c r="M1460" s="2" t="n">
        <v>27660</v>
      </c>
      <c r="N1460" s="2" t="n">
        <v>1</v>
      </c>
      <c r="O1460" s="2" t="n">
        <v>12</v>
      </c>
      <c r="P1460" s="2" t="n">
        <v>1</v>
      </c>
      <c r="Q1460" s="2" t="n">
        <v>2</v>
      </c>
      <c r="R1460" s="2" t="n">
        <v>2</v>
      </c>
      <c r="S1460" s="2" t="n">
        <v>2</v>
      </c>
      <c r="T1460" s="2" t="n">
        <v>0</v>
      </c>
      <c r="U1460" s="2" t="n">
        <v>2</v>
      </c>
      <c r="V1460" s="2" t="n">
        <v>3</v>
      </c>
      <c r="W1460" s="2" t="n">
        <v>4</v>
      </c>
      <c r="X1460" s="2" t="n">
        <v>2</v>
      </c>
      <c r="Y1460" s="2" t="n">
        <v>3</v>
      </c>
      <c r="Z1460" s="2" t="n">
        <v>3</v>
      </c>
    </row>
    <row r="1461" customFormat="false" ht="15" hidden="false" customHeight="true" outlineLevel="0" collapsed="false">
      <c r="A1461" s="2" t="n">
        <v>34</v>
      </c>
      <c r="B1461" s="2" t="s">
        <v>26</v>
      </c>
      <c r="C1461" s="2" t="s">
        <v>27</v>
      </c>
      <c r="D1461" s="2" t="s">
        <v>35</v>
      </c>
      <c r="E1461" s="2" t="n">
        <v>26</v>
      </c>
      <c r="F1461" s="2" t="n">
        <v>3</v>
      </c>
      <c r="G1461" s="2" t="s">
        <v>38</v>
      </c>
      <c r="H1461" s="2" t="n">
        <v>1460</v>
      </c>
      <c r="I1461" s="2" t="s">
        <v>30</v>
      </c>
      <c r="J1461" s="2" t="n">
        <v>1</v>
      </c>
      <c r="K1461" s="2" t="s">
        <v>40</v>
      </c>
      <c r="L1461" s="2" t="s">
        <v>32</v>
      </c>
      <c r="M1461" s="2" t="n">
        <v>190380</v>
      </c>
      <c r="N1461" s="2" t="n">
        <v>6</v>
      </c>
      <c r="O1461" s="2" t="n">
        <v>13</v>
      </c>
      <c r="P1461" s="2" t="n">
        <v>0</v>
      </c>
      <c r="Q1461" s="2" t="n">
        <v>13</v>
      </c>
      <c r="R1461" s="2" t="n">
        <v>3</v>
      </c>
      <c r="S1461" s="2" t="n">
        <v>11</v>
      </c>
      <c r="T1461" s="2" t="n">
        <v>5</v>
      </c>
      <c r="U1461" s="2" t="n">
        <v>9</v>
      </c>
      <c r="V1461" s="2" t="n">
        <v>4</v>
      </c>
      <c r="W1461" s="2" t="n">
        <v>1</v>
      </c>
      <c r="X1461" s="2" t="n">
        <v>3</v>
      </c>
      <c r="Y1461" s="2" t="n">
        <v>2</v>
      </c>
      <c r="Z1461" s="2" t="n">
        <v>3</v>
      </c>
    </row>
    <row r="1462" customFormat="false" ht="15" hidden="false" customHeight="true" outlineLevel="0" collapsed="false">
      <c r="A1462" s="2" t="n">
        <v>37</v>
      </c>
      <c r="B1462" s="2" t="s">
        <v>26</v>
      </c>
      <c r="C1462" s="2" t="s">
        <v>27</v>
      </c>
      <c r="D1462" s="2" t="s">
        <v>35</v>
      </c>
      <c r="E1462" s="2" t="n">
        <v>22</v>
      </c>
      <c r="F1462" s="2" t="n">
        <v>5</v>
      </c>
      <c r="G1462" s="2" t="s">
        <v>43</v>
      </c>
      <c r="H1462" s="2" t="n">
        <v>1461</v>
      </c>
      <c r="I1462" s="2" t="s">
        <v>30</v>
      </c>
      <c r="J1462" s="2" t="n">
        <v>2</v>
      </c>
      <c r="K1462" s="2" t="s">
        <v>47</v>
      </c>
      <c r="L1462" s="2" t="s">
        <v>32</v>
      </c>
      <c r="M1462" s="2" t="n">
        <v>30550</v>
      </c>
      <c r="N1462" s="2" t="n">
        <v>2</v>
      </c>
      <c r="O1462" s="2" t="n">
        <v>14</v>
      </c>
      <c r="P1462" s="2" t="n">
        <v>3</v>
      </c>
      <c r="Q1462" s="2" t="n">
        <v>17</v>
      </c>
      <c r="R1462" s="2" t="n">
        <v>3</v>
      </c>
      <c r="S1462" s="2" t="n">
        <v>3</v>
      </c>
      <c r="T1462" s="2" t="n">
        <v>0</v>
      </c>
      <c r="U1462" s="2" t="n">
        <v>2</v>
      </c>
      <c r="V1462" s="2" t="n">
        <v>3</v>
      </c>
      <c r="W1462" s="2" t="n">
        <v>1</v>
      </c>
      <c r="X1462" s="2" t="n">
        <v>2</v>
      </c>
      <c r="Y1462" s="2" t="n">
        <v>3</v>
      </c>
      <c r="Z1462" s="2" t="n">
        <v>3</v>
      </c>
    </row>
    <row r="1463" customFormat="false" ht="15" hidden="false" customHeight="true" outlineLevel="0" collapsed="false">
      <c r="A1463" s="2" t="n">
        <v>45</v>
      </c>
      <c r="B1463" s="2" t="s">
        <v>26</v>
      </c>
      <c r="C1463" s="2" t="s">
        <v>34</v>
      </c>
      <c r="D1463" s="2" t="s">
        <v>28</v>
      </c>
      <c r="E1463" s="2" t="n">
        <v>21</v>
      </c>
      <c r="F1463" s="2" t="n">
        <v>1</v>
      </c>
      <c r="G1463" s="2" t="s">
        <v>50</v>
      </c>
      <c r="H1463" s="2" t="n">
        <v>1462</v>
      </c>
      <c r="I1463" s="2" t="s">
        <v>39</v>
      </c>
      <c r="J1463" s="2" t="n">
        <v>3</v>
      </c>
      <c r="K1463" s="2" t="s">
        <v>36</v>
      </c>
      <c r="L1463" s="2" t="s">
        <v>32</v>
      </c>
      <c r="M1463" s="2" t="n">
        <v>22890</v>
      </c>
      <c r="N1463" s="2" t="n">
        <v>4</v>
      </c>
      <c r="O1463" s="2" t="n">
        <v>13</v>
      </c>
      <c r="P1463" s="2" t="n">
        <v>0</v>
      </c>
      <c r="Q1463" s="2" t="n">
        <v>9</v>
      </c>
      <c r="R1463" s="2" t="n">
        <v>3</v>
      </c>
      <c r="S1463" s="2" t="n">
        <v>3</v>
      </c>
      <c r="T1463" s="2" t="n">
        <v>0</v>
      </c>
      <c r="U1463" s="2" t="n">
        <v>2</v>
      </c>
      <c r="V1463" s="2" t="n">
        <v>1</v>
      </c>
      <c r="W1463" s="2" t="n">
        <v>3</v>
      </c>
      <c r="X1463" s="2" t="n">
        <v>3</v>
      </c>
      <c r="Y1463" s="2" t="n">
        <v>2</v>
      </c>
      <c r="Z1463" s="2" t="n">
        <v>3</v>
      </c>
    </row>
    <row r="1464" customFormat="false" ht="15" hidden="false" customHeight="true" outlineLevel="0" collapsed="false">
      <c r="A1464" s="2" t="n">
        <v>37</v>
      </c>
      <c r="B1464" s="2" t="s">
        <v>33</v>
      </c>
      <c r="C1464" s="2" t="s">
        <v>34</v>
      </c>
      <c r="D1464" s="2" t="s">
        <v>28</v>
      </c>
      <c r="E1464" s="2" t="n">
        <v>2</v>
      </c>
      <c r="F1464" s="2" t="n">
        <v>3</v>
      </c>
      <c r="G1464" s="2" t="s">
        <v>50</v>
      </c>
      <c r="H1464" s="2" t="n">
        <v>1463</v>
      </c>
      <c r="I1464" s="2" t="s">
        <v>39</v>
      </c>
      <c r="J1464" s="2" t="n">
        <v>1</v>
      </c>
      <c r="K1464" s="2" t="s">
        <v>45</v>
      </c>
      <c r="L1464" s="2" t="s">
        <v>46</v>
      </c>
      <c r="M1464" s="2" t="n">
        <v>40010</v>
      </c>
      <c r="N1464" s="2" t="n">
        <v>6</v>
      </c>
      <c r="O1464" s="2" t="n">
        <v>11</v>
      </c>
      <c r="P1464" s="2" t="n">
        <v>1</v>
      </c>
      <c r="Q1464" s="2" t="n">
        <v>17</v>
      </c>
      <c r="R1464" s="2" t="n">
        <v>2</v>
      </c>
      <c r="S1464" s="2" t="n">
        <v>1</v>
      </c>
      <c r="T1464" s="2" t="n">
        <v>0</v>
      </c>
      <c r="U1464" s="2" t="n">
        <v>0</v>
      </c>
      <c r="V1464" s="2" t="n">
        <v>1</v>
      </c>
      <c r="W1464" s="2" t="n">
        <v>3</v>
      </c>
      <c r="X1464" s="2" t="n">
        <v>3</v>
      </c>
      <c r="Y1464" s="2" t="n">
        <v>3</v>
      </c>
      <c r="Z1464" s="2" t="n">
        <v>3</v>
      </c>
    </row>
    <row r="1465" customFormat="false" ht="15" hidden="false" customHeight="true" outlineLevel="0" collapsed="false">
      <c r="A1465" s="2" t="n">
        <v>39</v>
      </c>
      <c r="B1465" s="2" t="s">
        <v>26</v>
      </c>
      <c r="C1465" s="2" t="s">
        <v>34</v>
      </c>
      <c r="D1465" s="2" t="s">
        <v>35</v>
      </c>
      <c r="E1465" s="2" t="n">
        <v>22</v>
      </c>
      <c r="F1465" s="2" t="n">
        <v>3</v>
      </c>
      <c r="G1465" s="2" t="s">
        <v>43</v>
      </c>
      <c r="H1465" s="2" t="n">
        <v>1464</v>
      </c>
      <c r="I1465" s="2" t="s">
        <v>30</v>
      </c>
      <c r="J1465" s="2" t="n">
        <v>1</v>
      </c>
      <c r="K1465" s="2" t="s">
        <v>47</v>
      </c>
      <c r="L1465" s="2" t="s">
        <v>37</v>
      </c>
      <c r="M1465" s="2" t="n">
        <v>129650</v>
      </c>
      <c r="N1465" s="2" t="n">
        <v>0</v>
      </c>
      <c r="O1465" s="2" t="n">
        <v>19</v>
      </c>
      <c r="P1465" s="2" t="n">
        <v>1</v>
      </c>
      <c r="Q1465" s="2" t="n">
        <v>20</v>
      </c>
      <c r="R1465" s="2" t="n">
        <v>2</v>
      </c>
      <c r="S1465" s="2" t="n">
        <v>19</v>
      </c>
      <c r="T1465" s="2" t="n">
        <v>11</v>
      </c>
      <c r="U1465" s="2" t="n">
        <v>8</v>
      </c>
      <c r="V1465" s="2" t="n">
        <v>3</v>
      </c>
      <c r="W1465" s="2" t="n">
        <v>3</v>
      </c>
      <c r="X1465" s="2" t="n">
        <v>3</v>
      </c>
      <c r="Y1465" s="2" t="n">
        <v>3</v>
      </c>
      <c r="Z1465" s="2" t="n">
        <v>3</v>
      </c>
    </row>
    <row r="1466" customFormat="false" ht="15" hidden="false" customHeight="true" outlineLevel="0" collapsed="false">
      <c r="A1466" s="2" t="n">
        <v>29</v>
      </c>
      <c r="B1466" s="2" t="s">
        <v>26</v>
      </c>
      <c r="C1466" s="2" t="s">
        <v>27</v>
      </c>
      <c r="D1466" s="2" t="s">
        <v>28</v>
      </c>
      <c r="E1466" s="2" t="n">
        <v>4</v>
      </c>
      <c r="F1466" s="2" t="n">
        <v>3</v>
      </c>
      <c r="G1466" s="2" t="s">
        <v>38</v>
      </c>
      <c r="H1466" s="2" t="n">
        <v>1465</v>
      </c>
      <c r="I1466" s="2" t="s">
        <v>30</v>
      </c>
      <c r="J1466" s="2" t="n">
        <v>2</v>
      </c>
      <c r="K1466" s="2" t="s">
        <v>42</v>
      </c>
      <c r="L1466" s="2" t="s">
        <v>37</v>
      </c>
      <c r="M1466" s="2" t="n">
        <v>35390</v>
      </c>
      <c r="N1466" s="2" t="n">
        <v>1</v>
      </c>
      <c r="O1466" s="2" t="n">
        <v>18</v>
      </c>
      <c r="P1466" s="2" t="n">
        <v>0</v>
      </c>
      <c r="Q1466" s="2" t="n">
        <v>6</v>
      </c>
      <c r="R1466" s="2" t="n">
        <v>2</v>
      </c>
      <c r="S1466" s="2" t="n">
        <v>6</v>
      </c>
      <c r="T1466" s="2" t="n">
        <v>1</v>
      </c>
      <c r="U1466" s="2" t="n">
        <v>5</v>
      </c>
      <c r="V1466" s="2" t="n">
        <v>3</v>
      </c>
      <c r="W1466" s="2" t="n">
        <v>4</v>
      </c>
      <c r="X1466" s="2" t="n">
        <v>3</v>
      </c>
      <c r="Y1466" s="2" t="n">
        <v>2</v>
      </c>
      <c r="Z1466" s="2" t="n">
        <v>3</v>
      </c>
    </row>
    <row r="1467" customFormat="false" ht="15" hidden="false" customHeight="true" outlineLevel="0" collapsed="false">
      <c r="A1467" s="2" t="n">
        <v>42</v>
      </c>
      <c r="B1467" s="2" t="s">
        <v>26</v>
      </c>
      <c r="C1467" s="2" t="s">
        <v>27</v>
      </c>
      <c r="D1467" s="2" t="s">
        <v>35</v>
      </c>
      <c r="E1467" s="2" t="n">
        <v>5</v>
      </c>
      <c r="F1467" s="2" t="n">
        <v>4</v>
      </c>
      <c r="G1467" s="2" t="s">
        <v>43</v>
      </c>
      <c r="H1467" s="2" t="n">
        <v>1466</v>
      </c>
      <c r="I1467" s="2" t="s">
        <v>30</v>
      </c>
      <c r="J1467" s="2" t="n">
        <v>1</v>
      </c>
      <c r="K1467" s="2" t="s">
        <v>36</v>
      </c>
      <c r="L1467" s="2" t="s">
        <v>37</v>
      </c>
      <c r="M1467" s="2" t="n">
        <v>60290</v>
      </c>
      <c r="N1467" s="2" t="n">
        <v>3</v>
      </c>
      <c r="O1467" s="2" t="n">
        <v>17</v>
      </c>
      <c r="P1467" s="2" t="n">
        <v>1</v>
      </c>
      <c r="Q1467" s="2" t="n">
        <v>10</v>
      </c>
      <c r="R1467" s="2" t="n">
        <v>5</v>
      </c>
      <c r="S1467" s="2" t="n">
        <v>3</v>
      </c>
      <c r="T1467" s="2" t="n">
        <v>0</v>
      </c>
      <c r="U1467" s="2" t="n">
        <v>2</v>
      </c>
      <c r="V1467" s="2" t="n">
        <v>4</v>
      </c>
      <c r="W1467" s="2" t="n">
        <v>1</v>
      </c>
      <c r="X1467" s="2" t="n">
        <v>3</v>
      </c>
      <c r="Y1467" s="2" t="n">
        <v>3</v>
      </c>
      <c r="Z1467" s="2" t="n">
        <v>3</v>
      </c>
    </row>
    <row r="1468" customFormat="false" ht="15" hidden="false" customHeight="true" outlineLevel="0" collapsed="false">
      <c r="A1468" s="2" t="n">
        <v>29</v>
      </c>
      <c r="B1468" s="2" t="s">
        <v>26</v>
      </c>
      <c r="C1468" s="2" t="s">
        <v>27</v>
      </c>
      <c r="D1468" s="2" t="s">
        <v>35</v>
      </c>
      <c r="E1468" s="2" t="n">
        <v>2</v>
      </c>
      <c r="F1468" s="2" t="n">
        <v>4</v>
      </c>
      <c r="G1468" s="2" t="s">
        <v>43</v>
      </c>
      <c r="H1468" s="2" t="n">
        <v>1467</v>
      </c>
      <c r="I1468" s="2" t="s">
        <v>39</v>
      </c>
      <c r="J1468" s="2" t="n">
        <v>1</v>
      </c>
      <c r="K1468" s="2" t="s">
        <v>45</v>
      </c>
      <c r="L1468" s="2" t="s">
        <v>46</v>
      </c>
      <c r="M1468" s="2" t="n">
        <v>26790</v>
      </c>
      <c r="N1468" s="2" t="n">
        <v>2</v>
      </c>
      <c r="O1468" s="2" t="n">
        <v>15</v>
      </c>
      <c r="P1468" s="2" t="n">
        <v>0</v>
      </c>
      <c r="Q1468" s="2" t="n">
        <v>10</v>
      </c>
      <c r="R1468" s="2" t="n">
        <v>2</v>
      </c>
      <c r="S1468" s="2" t="n">
        <v>3</v>
      </c>
      <c r="T1468" s="2" t="n">
        <v>0</v>
      </c>
      <c r="U1468" s="2" t="n">
        <v>2</v>
      </c>
      <c r="V1468" s="2" t="n">
        <v>4</v>
      </c>
      <c r="W1468" s="2" t="n">
        <v>4</v>
      </c>
      <c r="X1468" s="2" t="n">
        <v>3</v>
      </c>
      <c r="Y1468" s="2" t="n">
        <v>2</v>
      </c>
      <c r="Z1468" s="2" t="n">
        <v>3</v>
      </c>
    </row>
    <row r="1469" customFormat="false" ht="15" hidden="false" customHeight="true" outlineLevel="0" collapsed="false">
      <c r="A1469" s="2" t="n">
        <v>25</v>
      </c>
      <c r="B1469" s="2" t="s">
        <v>26</v>
      </c>
      <c r="C1469" s="2" t="s">
        <v>27</v>
      </c>
      <c r="D1469" s="2" t="s">
        <v>35</v>
      </c>
      <c r="E1469" s="2" t="n">
        <v>25</v>
      </c>
      <c r="F1469" s="2" t="n">
        <v>2</v>
      </c>
      <c r="G1469" s="2" t="s">
        <v>29</v>
      </c>
      <c r="H1469" s="2" t="n">
        <v>1468</v>
      </c>
      <c r="I1469" s="2" t="s">
        <v>39</v>
      </c>
      <c r="J1469" s="2" t="n">
        <v>2</v>
      </c>
      <c r="K1469" s="2" t="s">
        <v>40</v>
      </c>
      <c r="L1469" s="2" t="s">
        <v>32</v>
      </c>
      <c r="M1469" s="2" t="n">
        <v>37020</v>
      </c>
      <c r="N1469" s="2" t="n">
        <v>0</v>
      </c>
      <c r="O1469" s="2" t="n">
        <v>20</v>
      </c>
      <c r="P1469" s="2" t="n">
        <v>0</v>
      </c>
      <c r="Q1469" s="2" t="n">
        <v>5</v>
      </c>
      <c r="R1469" s="2" t="n">
        <v>4</v>
      </c>
      <c r="S1469" s="2" t="n">
        <v>4</v>
      </c>
      <c r="T1469" s="2" t="n">
        <v>1</v>
      </c>
      <c r="U1469" s="2" t="n">
        <v>2</v>
      </c>
      <c r="V1469" s="2" t="n">
        <v>1</v>
      </c>
      <c r="W1469" s="2" t="n">
        <v>3</v>
      </c>
      <c r="X1469" s="2" t="n">
        <v>3</v>
      </c>
      <c r="Y1469" s="2" t="n">
        <v>3</v>
      </c>
      <c r="Z1469" s="2" t="n">
        <v>4</v>
      </c>
    </row>
    <row r="1470" customFormat="false" ht="15" hidden="false" customHeight="true" outlineLevel="0" collapsed="false">
      <c r="A1470" s="2" t="n">
        <v>42</v>
      </c>
      <c r="B1470" s="2" t="s">
        <v>26</v>
      </c>
      <c r="C1470" s="2" t="s">
        <v>27</v>
      </c>
      <c r="D1470" s="2" t="s">
        <v>28</v>
      </c>
      <c r="E1470" s="2" t="n">
        <v>18</v>
      </c>
      <c r="F1470" s="2" t="n">
        <v>2</v>
      </c>
      <c r="G1470" s="2" t="s">
        <v>43</v>
      </c>
      <c r="H1470" s="2" t="n">
        <v>1469</v>
      </c>
      <c r="I1470" s="2" t="s">
        <v>39</v>
      </c>
      <c r="J1470" s="2" t="n">
        <v>1</v>
      </c>
      <c r="K1470" s="2" t="s">
        <v>45</v>
      </c>
      <c r="L1470" s="2" t="s">
        <v>46</v>
      </c>
      <c r="M1470" s="2" t="n">
        <v>23980</v>
      </c>
      <c r="N1470" s="2" t="n">
        <v>0</v>
      </c>
      <c r="O1470" s="2" t="n">
        <v>14</v>
      </c>
      <c r="P1470" s="2" t="n">
        <v>1</v>
      </c>
      <c r="Q1470" s="2" t="n">
        <v>10</v>
      </c>
      <c r="R1470" s="2" t="n">
        <v>2</v>
      </c>
      <c r="S1470" s="2" t="n">
        <v>9</v>
      </c>
      <c r="T1470" s="2" t="n">
        <v>7</v>
      </c>
      <c r="U1470" s="2" t="n">
        <v>8</v>
      </c>
      <c r="V1470" s="2" t="n">
        <v>4</v>
      </c>
      <c r="W1470" s="2"/>
      <c r="X1470" s="2" t="n">
        <v>3</v>
      </c>
      <c r="Y1470" s="2" t="n">
        <v>2</v>
      </c>
      <c r="Z1470" s="2" t="n">
        <v>3</v>
      </c>
    </row>
    <row r="1471" customFormat="false" ht="15" hidden="false" customHeight="true" outlineLevel="0" collapsed="false">
      <c r="A1471" s="2" t="n">
        <v>40</v>
      </c>
      <c r="B1471" s="2" t="s">
        <v>26</v>
      </c>
      <c r="C1471" s="2" t="s">
        <v>27</v>
      </c>
      <c r="D1471" s="2" t="s">
        <v>35</v>
      </c>
      <c r="E1471" s="2" t="n">
        <v>28</v>
      </c>
      <c r="F1471" s="2" t="n">
        <v>3</v>
      </c>
      <c r="G1471" s="2" t="s">
        <v>43</v>
      </c>
      <c r="H1471" s="2" t="n">
        <v>1470</v>
      </c>
      <c r="I1471" s="2" t="s">
        <v>39</v>
      </c>
      <c r="J1471" s="2" t="n">
        <v>2</v>
      </c>
      <c r="K1471" s="2" t="s">
        <v>45</v>
      </c>
      <c r="L1471" s="2" t="s">
        <v>46</v>
      </c>
      <c r="M1471" s="2" t="n">
        <v>54680</v>
      </c>
      <c r="N1471" s="2" t="n">
        <v>0</v>
      </c>
      <c r="O1471" s="2" t="n">
        <v>12</v>
      </c>
      <c r="P1471" s="2" t="n">
        <v>0</v>
      </c>
      <c r="Q1471" s="2" t="n">
        <v>22</v>
      </c>
      <c r="R1471" s="2" t="n">
        <v>6</v>
      </c>
      <c r="S1471" s="2" t="n">
        <v>21</v>
      </c>
      <c r="T1471" s="2" t="n">
        <v>3</v>
      </c>
      <c r="U1471" s="2" t="n">
        <v>9</v>
      </c>
      <c r="V1471" s="2" t="n">
        <v>1</v>
      </c>
      <c r="W1471" s="2" t="n">
        <v>3</v>
      </c>
      <c r="X1471" s="2" t="n">
        <v>3</v>
      </c>
      <c r="Y1471" s="2" t="n">
        <v>4</v>
      </c>
      <c r="Z1471" s="2" t="n">
        <v>3</v>
      </c>
    </row>
    <row r="1472" customFormat="false" ht="15" hidden="false" customHeight="true" outlineLevel="0" collapsed="false">
      <c r="A1472" s="2" t="n">
        <v>51</v>
      </c>
      <c r="B1472" s="2" t="s">
        <v>26</v>
      </c>
      <c r="C1472" s="2" t="s">
        <v>27</v>
      </c>
      <c r="D1472" s="2" t="s">
        <v>28</v>
      </c>
      <c r="E1472" s="2" t="n">
        <v>6</v>
      </c>
      <c r="F1472" s="2" t="n">
        <v>2</v>
      </c>
      <c r="G1472" s="2" t="s">
        <v>29</v>
      </c>
      <c r="H1472" s="2" t="n">
        <v>1471</v>
      </c>
      <c r="I1472" s="2" t="s">
        <v>30</v>
      </c>
      <c r="J1472" s="2" t="n">
        <v>1</v>
      </c>
      <c r="K1472" s="2" t="s">
        <v>31</v>
      </c>
      <c r="L1472" s="2" t="s">
        <v>32</v>
      </c>
      <c r="M1472" s="2" t="n">
        <v>131160</v>
      </c>
      <c r="N1472" s="2" t="n">
        <v>1</v>
      </c>
      <c r="O1472" s="2" t="n">
        <v>11</v>
      </c>
      <c r="P1472" s="2" t="n">
        <v>0</v>
      </c>
      <c r="Q1472" s="2" t="n">
        <v>1</v>
      </c>
      <c r="R1472" s="2" t="n">
        <v>6</v>
      </c>
      <c r="S1472" s="2" t="n">
        <v>1</v>
      </c>
      <c r="T1472" s="2" t="n">
        <v>0</v>
      </c>
      <c r="U1472" s="2" t="n">
        <v>0</v>
      </c>
      <c r="V1472" s="2" t="n">
        <v>3</v>
      </c>
      <c r="W1472" s="2" t="n">
        <v>4</v>
      </c>
      <c r="X1472" s="2"/>
      <c r="Y1472" s="2" t="n">
        <v>3</v>
      </c>
      <c r="Z1472" s="2" t="n">
        <v>3</v>
      </c>
    </row>
    <row r="1473" customFormat="false" ht="15" hidden="false" customHeight="true" outlineLevel="0" collapsed="false">
      <c r="A1473" s="2" t="n">
        <v>31</v>
      </c>
      <c r="B1473" s="2" t="s">
        <v>33</v>
      </c>
      <c r="C1473" s="2" t="s">
        <v>34</v>
      </c>
      <c r="D1473" s="2" t="s">
        <v>35</v>
      </c>
      <c r="E1473" s="2" t="n">
        <v>10</v>
      </c>
      <c r="F1473" s="2" t="n">
        <v>1</v>
      </c>
      <c r="G1473" s="2" t="s">
        <v>29</v>
      </c>
      <c r="H1473" s="2" t="n">
        <v>1472</v>
      </c>
      <c r="I1473" s="2" t="s">
        <v>30</v>
      </c>
      <c r="J1473" s="2" t="n">
        <v>1</v>
      </c>
      <c r="K1473" s="2" t="s">
        <v>36</v>
      </c>
      <c r="L1473" s="2" t="s">
        <v>37</v>
      </c>
      <c r="M1473" s="2" t="n">
        <v>41890</v>
      </c>
      <c r="N1473" s="2" t="n">
        <v>0</v>
      </c>
      <c r="O1473" s="2" t="n">
        <v>23</v>
      </c>
      <c r="P1473" s="2" t="n">
        <v>1</v>
      </c>
      <c r="Q1473" s="2" t="n">
        <v>6</v>
      </c>
      <c r="R1473" s="2" t="n">
        <v>3</v>
      </c>
      <c r="S1473" s="2" t="n">
        <v>5</v>
      </c>
      <c r="T1473" s="2" t="n">
        <v>1</v>
      </c>
      <c r="U1473" s="2" t="n">
        <v>4</v>
      </c>
      <c r="V1473" s="2" t="n">
        <v>3</v>
      </c>
      <c r="W1473" s="2" t="n">
        <v>2</v>
      </c>
      <c r="X1473" s="2" t="n">
        <v>4</v>
      </c>
      <c r="Y1473" s="2" t="n">
        <v>2</v>
      </c>
      <c r="Z1473" s="2" t="n">
        <v>4</v>
      </c>
    </row>
    <row r="1474" customFormat="false" ht="15" hidden="false" customHeight="true" outlineLevel="0" collapsed="false">
      <c r="A1474" s="2" t="n">
        <v>32</v>
      </c>
      <c r="B1474" s="2" t="s">
        <v>26</v>
      </c>
      <c r="C1474" s="2" t="s">
        <v>34</v>
      </c>
      <c r="D1474" s="2" t="s">
        <v>35</v>
      </c>
      <c r="E1474" s="2" t="n">
        <v>17</v>
      </c>
      <c r="F1474" s="2" t="n">
        <v>4</v>
      </c>
      <c r="G1474" s="2" t="s">
        <v>38</v>
      </c>
      <c r="H1474" s="2" t="n">
        <v>1473</v>
      </c>
      <c r="I1474" s="2" t="s">
        <v>39</v>
      </c>
      <c r="J1474" s="2" t="n">
        <v>4</v>
      </c>
      <c r="K1474" s="2" t="s">
        <v>40</v>
      </c>
      <c r="L1474" s="2" t="s">
        <v>32</v>
      </c>
      <c r="M1474" s="2" t="n">
        <v>193280</v>
      </c>
      <c r="N1474" s="2" t="n">
        <v>1</v>
      </c>
      <c r="O1474" s="2" t="n">
        <v>15</v>
      </c>
      <c r="P1474" s="2" t="n">
        <v>3</v>
      </c>
      <c r="Q1474" s="2" t="n">
        <v>5</v>
      </c>
      <c r="R1474" s="2" t="n">
        <v>2</v>
      </c>
      <c r="S1474" s="2" t="n">
        <v>5</v>
      </c>
      <c r="T1474" s="2" t="n">
        <v>0</v>
      </c>
      <c r="U1474" s="2" t="n">
        <v>3</v>
      </c>
      <c r="V1474" s="2" t="n">
        <v>2</v>
      </c>
      <c r="W1474" s="2" t="n">
        <v>2</v>
      </c>
      <c r="X1474" s="2" t="n">
        <v>1</v>
      </c>
      <c r="Y1474" s="2" t="n">
        <v>3</v>
      </c>
      <c r="Z1474" s="2" t="n">
        <v>3</v>
      </c>
    </row>
    <row r="1475" customFormat="false" ht="15" hidden="false" customHeight="true" outlineLevel="0" collapsed="false">
      <c r="A1475" s="2" t="n">
        <v>38</v>
      </c>
      <c r="B1475" s="2" t="s">
        <v>26</v>
      </c>
      <c r="C1475" s="2" t="s">
        <v>41</v>
      </c>
      <c r="D1475" s="2" t="s">
        <v>35</v>
      </c>
      <c r="E1475" s="2" t="n">
        <v>2</v>
      </c>
      <c r="F1475" s="2" t="n">
        <v>5</v>
      </c>
      <c r="G1475" s="2" t="s">
        <v>29</v>
      </c>
      <c r="H1475" s="2" t="n">
        <v>1474</v>
      </c>
      <c r="I1475" s="2" t="s">
        <v>39</v>
      </c>
      <c r="J1475" s="2" t="n">
        <v>3</v>
      </c>
      <c r="K1475" s="2" t="s">
        <v>42</v>
      </c>
      <c r="L1475" s="2" t="s">
        <v>32</v>
      </c>
      <c r="M1475" s="2" t="n">
        <v>83210</v>
      </c>
      <c r="N1475" s="2" t="n">
        <v>3</v>
      </c>
      <c r="O1475" s="2" t="n">
        <v>11</v>
      </c>
      <c r="P1475" s="2" t="n">
        <v>3</v>
      </c>
      <c r="Q1475" s="2" t="n">
        <v>13</v>
      </c>
      <c r="R1475" s="2" t="n">
        <v>5</v>
      </c>
      <c r="S1475" s="2" t="n">
        <v>8</v>
      </c>
      <c r="T1475" s="2" t="n">
        <v>7</v>
      </c>
      <c r="U1475" s="2" t="n">
        <v>5</v>
      </c>
      <c r="V1475" s="2" t="n">
        <v>4</v>
      </c>
      <c r="W1475" s="2" t="n">
        <v>4</v>
      </c>
      <c r="X1475" s="2" t="n">
        <v>3</v>
      </c>
      <c r="Y1475" s="2" t="n">
        <v>2</v>
      </c>
      <c r="Z1475" s="2" t="n">
        <v>3</v>
      </c>
    </row>
    <row r="1476" customFormat="false" ht="15" hidden="false" customHeight="true" outlineLevel="0" collapsed="false">
      <c r="A1476" s="2" t="n">
        <v>32</v>
      </c>
      <c r="B1476" s="2" t="s">
        <v>26</v>
      </c>
      <c r="C1476" s="2" t="s">
        <v>27</v>
      </c>
      <c r="D1476" s="2" t="s">
        <v>35</v>
      </c>
      <c r="E1476" s="2" t="n">
        <v>10</v>
      </c>
      <c r="F1476" s="2" t="n">
        <v>1</v>
      </c>
      <c r="G1476" s="2" t="s">
        <v>43</v>
      </c>
      <c r="H1476" s="2" t="n">
        <v>1475</v>
      </c>
      <c r="I1476" s="2" t="s">
        <v>39</v>
      </c>
      <c r="J1476" s="2" t="n">
        <v>1</v>
      </c>
      <c r="K1476" s="2" t="s">
        <v>40</v>
      </c>
      <c r="L1476" s="2" t="s">
        <v>37</v>
      </c>
      <c r="M1476" s="2" t="n">
        <v>23420</v>
      </c>
      <c r="N1476" s="2" t="n">
        <v>4</v>
      </c>
      <c r="O1476" s="2" t="n">
        <v>12</v>
      </c>
      <c r="P1476" s="2" t="n">
        <v>2</v>
      </c>
      <c r="Q1476" s="2" t="n">
        <v>9</v>
      </c>
      <c r="R1476" s="2" t="n">
        <v>2</v>
      </c>
      <c r="S1476" s="2" t="n">
        <v>6</v>
      </c>
      <c r="T1476" s="2" t="n">
        <v>0</v>
      </c>
      <c r="U1476" s="2" t="n">
        <v>4</v>
      </c>
      <c r="V1476" s="2" t="n">
        <v>4</v>
      </c>
      <c r="W1476" s="2" t="n">
        <v>1</v>
      </c>
      <c r="X1476" s="2" t="n">
        <v>3</v>
      </c>
      <c r="Y1476" s="2" t="n">
        <v>3</v>
      </c>
      <c r="Z1476" s="2" t="n">
        <v>3</v>
      </c>
    </row>
    <row r="1477" customFormat="false" ht="15" hidden="false" customHeight="true" outlineLevel="0" collapsed="false">
      <c r="A1477" s="2" t="n">
        <v>46</v>
      </c>
      <c r="B1477" s="2" t="s">
        <v>26</v>
      </c>
      <c r="C1477" s="2" t="s">
        <v>27</v>
      </c>
      <c r="D1477" s="2" t="s">
        <v>35</v>
      </c>
      <c r="E1477" s="2" t="n">
        <v>8</v>
      </c>
      <c r="F1477" s="2" t="n">
        <v>3</v>
      </c>
      <c r="G1477" s="2" t="s">
        <v>29</v>
      </c>
      <c r="H1477" s="2" t="n">
        <v>1476</v>
      </c>
      <c r="I1477" s="2" t="s">
        <v>30</v>
      </c>
      <c r="J1477" s="2" t="n">
        <v>4</v>
      </c>
      <c r="K1477" s="2" t="s">
        <v>44</v>
      </c>
      <c r="L1477" s="2" t="s">
        <v>32</v>
      </c>
      <c r="M1477" s="2" t="n">
        <v>40710</v>
      </c>
      <c r="N1477" s="2" t="n">
        <v>3</v>
      </c>
      <c r="O1477" s="2" t="n">
        <v>13</v>
      </c>
      <c r="P1477" s="2" t="n">
        <v>0</v>
      </c>
      <c r="Q1477" s="2" t="n">
        <v>28</v>
      </c>
      <c r="R1477" s="2" t="n">
        <v>5</v>
      </c>
      <c r="S1477" s="2" t="n">
        <v>7</v>
      </c>
      <c r="T1477" s="2" t="n">
        <v>7</v>
      </c>
      <c r="U1477" s="2" t="n">
        <v>7</v>
      </c>
      <c r="V1477" s="2" t="n">
        <v>3</v>
      </c>
      <c r="W1477" s="2" t="n">
        <v>2</v>
      </c>
      <c r="X1477" s="2" t="n">
        <v>2</v>
      </c>
      <c r="Y1477" s="2" t="n">
        <v>3</v>
      </c>
      <c r="Z1477" s="2" t="n">
        <v>3</v>
      </c>
    </row>
    <row r="1478" customFormat="false" ht="15" hidden="false" customHeight="true" outlineLevel="0" collapsed="false">
      <c r="A1478" s="2" t="n">
        <v>28</v>
      </c>
      <c r="B1478" s="2" t="s">
        <v>33</v>
      </c>
      <c r="C1478" s="2" t="s">
        <v>27</v>
      </c>
      <c r="D1478" s="2" t="s">
        <v>35</v>
      </c>
      <c r="E1478" s="2" t="n">
        <v>11</v>
      </c>
      <c r="F1478" s="2" t="n">
        <v>2</v>
      </c>
      <c r="G1478" s="2" t="s">
        <v>43</v>
      </c>
      <c r="H1478" s="2" t="n">
        <v>1477</v>
      </c>
      <c r="I1478" s="2" t="s">
        <v>39</v>
      </c>
      <c r="J1478" s="2" t="n">
        <v>2</v>
      </c>
      <c r="K1478" s="2" t="s">
        <v>40</v>
      </c>
      <c r="L1478" s="2" t="s">
        <v>37</v>
      </c>
      <c r="M1478" s="2" t="n">
        <v>58130</v>
      </c>
      <c r="N1478" s="2" t="n">
        <v>2</v>
      </c>
      <c r="O1478" s="2" t="n">
        <v>20</v>
      </c>
      <c r="P1478" s="2" t="n">
        <v>1</v>
      </c>
      <c r="Q1478" s="2" t="n">
        <v>5</v>
      </c>
      <c r="R1478" s="2" t="n">
        <v>2</v>
      </c>
      <c r="S1478" s="2" t="n">
        <v>0</v>
      </c>
      <c r="T1478" s="2" t="n">
        <v>0</v>
      </c>
      <c r="U1478" s="2" t="n">
        <v>0</v>
      </c>
      <c r="V1478" s="2"/>
      <c r="W1478" s="2" t="n">
        <v>3</v>
      </c>
      <c r="X1478" s="2" t="n">
        <v>1</v>
      </c>
      <c r="Y1478" s="2" t="n">
        <v>3</v>
      </c>
      <c r="Z1478" s="2" t="n">
        <v>4</v>
      </c>
    </row>
    <row r="1479" customFormat="false" ht="15" hidden="false" customHeight="true" outlineLevel="0" collapsed="false">
      <c r="A1479" s="2" t="n">
        <v>29</v>
      </c>
      <c r="B1479" s="2" t="s">
        <v>26</v>
      </c>
      <c r="C1479" s="2" t="s">
        <v>27</v>
      </c>
      <c r="D1479" s="2" t="s">
        <v>35</v>
      </c>
      <c r="E1479" s="2" t="n">
        <v>18</v>
      </c>
      <c r="F1479" s="2" t="n">
        <v>3</v>
      </c>
      <c r="G1479" s="2" t="s">
        <v>29</v>
      </c>
      <c r="H1479" s="2" t="n">
        <v>1478</v>
      </c>
      <c r="I1479" s="2" t="s">
        <v>39</v>
      </c>
      <c r="J1479" s="2" t="n">
        <v>2</v>
      </c>
      <c r="K1479" s="2" t="s">
        <v>40</v>
      </c>
      <c r="L1479" s="2" t="s">
        <v>32</v>
      </c>
      <c r="M1479" s="2" t="n">
        <v>31430</v>
      </c>
      <c r="N1479" s="2" t="n">
        <v>2</v>
      </c>
      <c r="O1479" s="2" t="n">
        <v>22</v>
      </c>
      <c r="P1479" s="2" t="n">
        <v>3</v>
      </c>
      <c r="Q1479" s="2" t="n">
        <v>10</v>
      </c>
      <c r="R1479" s="2" t="n">
        <v>2</v>
      </c>
      <c r="S1479" s="2" t="n">
        <v>0</v>
      </c>
      <c r="T1479" s="2" t="n">
        <v>0</v>
      </c>
      <c r="U1479" s="2" t="n">
        <v>0</v>
      </c>
      <c r="V1479" s="2" t="n">
        <v>1</v>
      </c>
      <c r="W1479" s="2" t="n">
        <v>2</v>
      </c>
      <c r="X1479" s="2" t="n">
        <v>3</v>
      </c>
      <c r="Y1479" s="2" t="n">
        <v>3</v>
      </c>
      <c r="Z1479" s="2" t="n">
        <v>4</v>
      </c>
    </row>
    <row r="1480" customFormat="false" ht="15" hidden="false" customHeight="true" outlineLevel="0" collapsed="false">
      <c r="A1480" s="2" t="n">
        <v>31</v>
      </c>
      <c r="B1480" s="2" t="s">
        <v>26</v>
      </c>
      <c r="C1480" s="2" t="s">
        <v>27</v>
      </c>
      <c r="D1480" s="2" t="s">
        <v>35</v>
      </c>
      <c r="E1480" s="2" t="n">
        <v>1</v>
      </c>
      <c r="F1480" s="2" t="n">
        <v>3</v>
      </c>
      <c r="G1480" s="2" t="s">
        <v>29</v>
      </c>
      <c r="H1480" s="2" t="n">
        <v>1479</v>
      </c>
      <c r="I1480" s="2" t="s">
        <v>39</v>
      </c>
      <c r="J1480" s="2" t="n">
        <v>3</v>
      </c>
      <c r="K1480" s="2" t="s">
        <v>45</v>
      </c>
      <c r="L1480" s="2" t="s">
        <v>32</v>
      </c>
      <c r="M1480" s="2" t="n">
        <v>20440</v>
      </c>
      <c r="N1480" s="2" t="n">
        <v>0</v>
      </c>
      <c r="O1480" s="2" t="n">
        <v>21</v>
      </c>
      <c r="P1480" s="2" t="n">
        <v>0</v>
      </c>
      <c r="Q1480" s="2" t="n">
        <v>10</v>
      </c>
      <c r="R1480" s="2" t="n">
        <v>2</v>
      </c>
      <c r="S1480" s="2" t="n">
        <v>9</v>
      </c>
      <c r="T1480" s="2" t="n">
        <v>7</v>
      </c>
      <c r="U1480" s="2" t="n">
        <v>8</v>
      </c>
      <c r="V1480" s="2" t="n">
        <v>2</v>
      </c>
      <c r="W1480" s="2" t="n">
        <v>4</v>
      </c>
      <c r="X1480" s="2" t="n">
        <v>3</v>
      </c>
      <c r="Y1480" s="2" t="n">
        <v>3</v>
      </c>
      <c r="Z1480" s="2" t="n">
        <v>4</v>
      </c>
    </row>
    <row r="1481" customFormat="false" ht="15" hidden="false" customHeight="true" outlineLevel="0" collapsed="false">
      <c r="A1481" s="2" t="n">
        <v>25</v>
      </c>
      <c r="B1481" s="2" t="s">
        <v>26</v>
      </c>
      <c r="C1481" s="2" t="s">
        <v>41</v>
      </c>
      <c r="D1481" s="2" t="s">
        <v>35</v>
      </c>
      <c r="E1481" s="2" t="n">
        <v>7</v>
      </c>
      <c r="F1481" s="2" t="n">
        <v>4</v>
      </c>
      <c r="G1481" s="2" t="s">
        <v>43</v>
      </c>
      <c r="H1481" s="2" t="n">
        <v>1480</v>
      </c>
      <c r="I1481" s="2" t="s">
        <v>30</v>
      </c>
      <c r="J1481" s="2" t="n">
        <v>4</v>
      </c>
      <c r="K1481" s="2" t="s">
        <v>45</v>
      </c>
      <c r="L1481" s="2" t="s">
        <v>46</v>
      </c>
      <c r="M1481" s="2" t="n">
        <v>134640</v>
      </c>
      <c r="N1481" s="2" t="n">
        <v>1</v>
      </c>
      <c r="O1481" s="2" t="n">
        <v>13</v>
      </c>
      <c r="P1481" s="2" t="n">
        <v>1</v>
      </c>
      <c r="Q1481" s="2" t="n">
        <v>6</v>
      </c>
      <c r="R1481" s="2" t="n">
        <v>2</v>
      </c>
      <c r="S1481" s="2" t="n">
        <v>6</v>
      </c>
      <c r="T1481" s="2" t="n">
        <v>1</v>
      </c>
      <c r="U1481" s="2" t="n">
        <v>5</v>
      </c>
      <c r="V1481" s="2" t="n">
        <v>2</v>
      </c>
      <c r="W1481" s="2" t="n">
        <v>1</v>
      </c>
      <c r="X1481" s="2" t="n">
        <v>3</v>
      </c>
      <c r="Y1481" s="2" t="n">
        <v>3</v>
      </c>
      <c r="Z1481" s="2" t="n">
        <v>3</v>
      </c>
    </row>
    <row r="1482" customFormat="false" ht="15" hidden="false" customHeight="true" outlineLevel="0" collapsed="false">
      <c r="A1482" s="2" t="n">
        <v>45</v>
      </c>
      <c r="B1482" s="2" t="s">
        <v>26</v>
      </c>
      <c r="C1482" s="2" t="s">
        <v>27</v>
      </c>
      <c r="D1482" s="2" t="s">
        <v>35</v>
      </c>
      <c r="E1482" s="2" t="n">
        <v>17</v>
      </c>
      <c r="F1482" s="2" t="n">
        <v>2</v>
      </c>
      <c r="G1482" s="2" t="s">
        <v>43</v>
      </c>
      <c r="H1482" s="2" t="n">
        <v>1481</v>
      </c>
      <c r="I1482" s="2" t="s">
        <v>39</v>
      </c>
      <c r="J1482" s="2" t="n">
        <v>2</v>
      </c>
      <c r="K1482" s="2" t="s">
        <v>45</v>
      </c>
      <c r="L1482" s="2" t="s">
        <v>32</v>
      </c>
      <c r="M1482" s="2" t="n">
        <v>79910</v>
      </c>
      <c r="N1482" s="2" t="n">
        <v>0</v>
      </c>
      <c r="O1482" s="2" t="n">
        <v>13</v>
      </c>
      <c r="P1482" s="2" t="n">
        <v>2</v>
      </c>
      <c r="Q1482" s="2" t="n">
        <v>21</v>
      </c>
      <c r="R1482" s="2" t="n">
        <v>2</v>
      </c>
      <c r="S1482" s="2" t="n">
        <v>20</v>
      </c>
      <c r="T1482" s="2" t="n">
        <v>4</v>
      </c>
      <c r="U1482" s="2" t="n">
        <v>10</v>
      </c>
      <c r="V1482" s="2" t="n">
        <v>3</v>
      </c>
      <c r="W1482" s="2" t="n">
        <v>4</v>
      </c>
      <c r="X1482" s="2" t="n">
        <v>3</v>
      </c>
      <c r="Y1482" s="2" t="n">
        <v>2</v>
      </c>
      <c r="Z1482" s="2" t="n">
        <v>3</v>
      </c>
    </row>
    <row r="1483" customFormat="false" ht="15" hidden="false" customHeight="true" outlineLevel="0" collapsed="false">
      <c r="A1483" s="2" t="n">
        <v>36</v>
      </c>
      <c r="B1483" s="2" t="s">
        <v>26</v>
      </c>
      <c r="C1483" s="2" t="s">
        <v>27</v>
      </c>
      <c r="D1483" s="2" t="s">
        <v>35</v>
      </c>
      <c r="E1483" s="2" t="n">
        <v>28</v>
      </c>
      <c r="F1483" s="2" t="n">
        <v>1</v>
      </c>
      <c r="G1483" s="2" t="s">
        <v>29</v>
      </c>
      <c r="H1483" s="2" t="n">
        <v>1482</v>
      </c>
      <c r="I1483" s="2" t="s">
        <v>39</v>
      </c>
      <c r="J1483" s="2" t="n">
        <v>1</v>
      </c>
      <c r="K1483" s="2" t="s">
        <v>45</v>
      </c>
      <c r="L1483" s="2" t="s">
        <v>32</v>
      </c>
      <c r="M1483" s="2" t="n">
        <v>33770</v>
      </c>
      <c r="N1483" s="2" t="n">
        <v>0</v>
      </c>
      <c r="O1483" s="2" t="n">
        <v>12</v>
      </c>
      <c r="P1483" s="2" t="n">
        <v>2</v>
      </c>
      <c r="Q1483" s="2" t="n">
        <v>16</v>
      </c>
      <c r="R1483" s="2" t="n">
        <v>2</v>
      </c>
      <c r="S1483" s="2" t="n">
        <v>15</v>
      </c>
      <c r="T1483" s="2" t="n">
        <v>10</v>
      </c>
      <c r="U1483" s="2" t="n">
        <v>11</v>
      </c>
      <c r="V1483" s="2" t="n">
        <v>4</v>
      </c>
      <c r="W1483" s="2" t="n">
        <v>4</v>
      </c>
      <c r="X1483" s="2" t="n">
        <v>3</v>
      </c>
      <c r="Y1483" s="2" t="n">
        <v>3</v>
      </c>
      <c r="Z1483" s="2" t="n">
        <v>3</v>
      </c>
    </row>
    <row r="1484" customFormat="false" ht="15" hidden="false" customHeight="true" outlineLevel="0" collapsed="false">
      <c r="A1484" s="2" t="n">
        <v>55</v>
      </c>
      <c r="B1484" s="2" t="s">
        <v>26</v>
      </c>
      <c r="C1484" s="2" t="s">
        <v>27</v>
      </c>
      <c r="D1484" s="2" t="s">
        <v>35</v>
      </c>
      <c r="E1484" s="2" t="n">
        <v>14</v>
      </c>
      <c r="F1484" s="2" t="n">
        <v>4</v>
      </c>
      <c r="G1484" s="2" t="s">
        <v>29</v>
      </c>
      <c r="H1484" s="2" t="n">
        <v>1483</v>
      </c>
      <c r="I1484" s="2" t="s">
        <v>30</v>
      </c>
      <c r="J1484" s="2" t="n">
        <v>1</v>
      </c>
      <c r="K1484" s="2" t="s">
        <v>40</v>
      </c>
      <c r="L1484" s="2" t="s">
        <v>37</v>
      </c>
      <c r="M1484" s="2" t="n">
        <v>55380</v>
      </c>
      <c r="N1484" s="2" t="n">
        <v>0</v>
      </c>
      <c r="O1484" s="2" t="n">
        <v>17</v>
      </c>
      <c r="P1484" s="2" t="n">
        <v>0</v>
      </c>
      <c r="Q1484" s="2" t="n">
        <v>37</v>
      </c>
      <c r="R1484" s="2" t="n">
        <v>2</v>
      </c>
      <c r="S1484" s="2" t="n">
        <v>36</v>
      </c>
      <c r="T1484" s="2" t="n">
        <v>4</v>
      </c>
      <c r="U1484" s="2" t="n">
        <v>13</v>
      </c>
      <c r="V1484" s="2" t="n">
        <v>4</v>
      </c>
      <c r="W1484" s="2" t="n">
        <v>1</v>
      </c>
      <c r="X1484" s="2" t="n">
        <v>3</v>
      </c>
      <c r="Y1484" s="2" t="n">
        <v>3</v>
      </c>
      <c r="Z1484" s="2" t="n">
        <v>3</v>
      </c>
    </row>
    <row r="1485" customFormat="false" ht="15" hidden="false" customHeight="true" outlineLevel="0" collapsed="false">
      <c r="A1485" s="2" t="n">
        <v>47</v>
      </c>
      <c r="B1485" s="2" t="s">
        <v>33</v>
      </c>
      <c r="C1485" s="2" t="s">
        <v>41</v>
      </c>
      <c r="D1485" s="2" t="s">
        <v>35</v>
      </c>
      <c r="E1485" s="2" t="n">
        <v>1</v>
      </c>
      <c r="F1485" s="2" t="n">
        <v>1</v>
      </c>
      <c r="G1485" s="2" t="s">
        <v>43</v>
      </c>
      <c r="H1485" s="2" t="n">
        <v>1484</v>
      </c>
      <c r="I1485" s="2" t="s">
        <v>39</v>
      </c>
      <c r="J1485" s="2" t="n">
        <v>1</v>
      </c>
      <c r="K1485" s="2" t="s">
        <v>36</v>
      </c>
      <c r="L1485" s="2" t="s">
        <v>32</v>
      </c>
      <c r="M1485" s="2" t="n">
        <v>57620</v>
      </c>
      <c r="N1485" s="2" t="n">
        <v>1</v>
      </c>
      <c r="O1485" s="2" t="n">
        <v>11</v>
      </c>
      <c r="P1485" s="2" t="n">
        <v>2</v>
      </c>
      <c r="Q1485" s="2" t="n">
        <v>10</v>
      </c>
      <c r="R1485" s="2" t="n">
        <v>4</v>
      </c>
      <c r="S1485" s="2" t="n">
        <v>10</v>
      </c>
      <c r="T1485" s="2" t="n">
        <v>9</v>
      </c>
      <c r="U1485" s="2" t="n">
        <v>9</v>
      </c>
      <c r="V1485" s="2" t="n">
        <v>1</v>
      </c>
      <c r="W1485" s="2" t="n">
        <v>2</v>
      </c>
      <c r="X1485" s="2" t="n">
        <v>2</v>
      </c>
      <c r="Y1485" s="2" t="n">
        <v>2</v>
      </c>
      <c r="Z1485" s="2" t="n">
        <v>3</v>
      </c>
    </row>
    <row r="1486" customFormat="false" ht="15" hidden="false" customHeight="true" outlineLevel="0" collapsed="false">
      <c r="A1486" s="2" t="n">
        <v>28</v>
      </c>
      <c r="B1486" s="2" t="s">
        <v>26</v>
      </c>
      <c r="C1486" s="2" t="s">
        <v>27</v>
      </c>
      <c r="D1486" s="2" t="s">
        <v>35</v>
      </c>
      <c r="E1486" s="2" t="n">
        <v>1</v>
      </c>
      <c r="F1486" s="2" t="n">
        <v>3</v>
      </c>
      <c r="G1486" s="2" t="s">
        <v>29</v>
      </c>
      <c r="H1486" s="2" t="n">
        <v>1485</v>
      </c>
      <c r="I1486" s="2" t="s">
        <v>39</v>
      </c>
      <c r="J1486" s="2" t="n">
        <v>1</v>
      </c>
      <c r="K1486" s="2" t="s">
        <v>47</v>
      </c>
      <c r="L1486" s="2" t="s">
        <v>32</v>
      </c>
      <c r="M1486" s="2" t="n">
        <v>25920</v>
      </c>
      <c r="N1486" s="2" t="n">
        <v>1</v>
      </c>
      <c r="O1486" s="2" t="n">
        <v>14</v>
      </c>
      <c r="P1486" s="2" t="n">
        <v>0</v>
      </c>
      <c r="Q1486" s="2" t="n">
        <v>5</v>
      </c>
      <c r="R1486" s="2" t="n">
        <v>2</v>
      </c>
      <c r="S1486" s="2" t="n">
        <v>5</v>
      </c>
      <c r="T1486" s="2" t="n">
        <v>0</v>
      </c>
      <c r="U1486" s="2" t="n">
        <v>4</v>
      </c>
      <c r="V1486" s="2" t="n">
        <v>4</v>
      </c>
      <c r="W1486" s="2" t="n">
        <v>4</v>
      </c>
      <c r="X1486" s="2" t="n">
        <v>2</v>
      </c>
      <c r="Y1486" s="2" t="n">
        <v>3</v>
      </c>
      <c r="Z1486" s="2" t="n">
        <v>3</v>
      </c>
    </row>
    <row r="1487" customFormat="false" ht="15" hidden="false" customHeight="true" outlineLevel="0" collapsed="false">
      <c r="A1487" s="2" t="n">
        <v>37</v>
      </c>
      <c r="B1487" s="2" t="s">
        <v>26</v>
      </c>
      <c r="C1487" s="2" t="s">
        <v>27</v>
      </c>
      <c r="D1487" s="2" t="s">
        <v>35</v>
      </c>
      <c r="E1487" s="2" t="n">
        <v>1</v>
      </c>
      <c r="F1487" s="2" t="n">
        <v>3</v>
      </c>
      <c r="G1487" s="2" t="s">
        <v>29</v>
      </c>
      <c r="H1487" s="2" t="n">
        <v>1486</v>
      </c>
      <c r="I1487" s="2" t="s">
        <v>39</v>
      </c>
      <c r="J1487" s="2" t="n">
        <v>2</v>
      </c>
      <c r="K1487" s="2" t="s">
        <v>31</v>
      </c>
      <c r="L1487" s="2" t="s">
        <v>32</v>
      </c>
      <c r="M1487" s="2" t="n">
        <v>53460</v>
      </c>
      <c r="N1487" s="2" t="n">
        <v>4</v>
      </c>
      <c r="O1487" s="2" t="n">
        <v>11</v>
      </c>
      <c r="P1487" s="2" t="n">
        <v>0</v>
      </c>
      <c r="Q1487" s="2" t="n">
        <v>7</v>
      </c>
      <c r="R1487" s="2" t="n">
        <v>2</v>
      </c>
      <c r="S1487" s="2" t="n">
        <v>5</v>
      </c>
      <c r="T1487" s="2" t="n">
        <v>0</v>
      </c>
      <c r="U1487" s="2" t="n">
        <v>1</v>
      </c>
      <c r="V1487" s="2" t="n">
        <v>3</v>
      </c>
      <c r="W1487" s="2" t="n">
        <v>4</v>
      </c>
      <c r="X1487" s="2" t="n">
        <v>4</v>
      </c>
      <c r="Y1487" s="2" t="n">
        <v>3</v>
      </c>
      <c r="Z1487" s="2" t="n">
        <v>3</v>
      </c>
    </row>
    <row r="1488" customFormat="false" ht="15" hidden="false" customHeight="true" outlineLevel="0" collapsed="false">
      <c r="A1488" s="2" t="n">
        <v>21</v>
      </c>
      <c r="B1488" s="2" t="s">
        <v>26</v>
      </c>
      <c r="C1488" s="2" t="s">
        <v>27</v>
      </c>
      <c r="D1488" s="2" t="s">
        <v>35</v>
      </c>
      <c r="E1488" s="2" t="n">
        <v>3</v>
      </c>
      <c r="F1488" s="2" t="n">
        <v>2</v>
      </c>
      <c r="G1488" s="2" t="s">
        <v>29</v>
      </c>
      <c r="H1488" s="2" t="n">
        <v>1487</v>
      </c>
      <c r="I1488" s="2" t="s">
        <v>39</v>
      </c>
      <c r="J1488" s="2" t="n">
        <v>1</v>
      </c>
      <c r="K1488" s="2" t="s">
        <v>45</v>
      </c>
      <c r="L1488" s="2" t="s">
        <v>37</v>
      </c>
      <c r="M1488" s="2" t="n">
        <v>42130</v>
      </c>
      <c r="N1488" s="2" t="n">
        <v>1</v>
      </c>
      <c r="O1488" s="2" t="n">
        <v>12</v>
      </c>
      <c r="P1488" s="2" t="n">
        <v>3</v>
      </c>
      <c r="Q1488" s="2" t="n">
        <v>3</v>
      </c>
      <c r="R1488" s="2" t="n">
        <v>3</v>
      </c>
      <c r="S1488" s="2" t="n">
        <v>3</v>
      </c>
      <c r="T1488" s="2" t="n">
        <v>1</v>
      </c>
      <c r="U1488" s="2" t="n">
        <v>0</v>
      </c>
      <c r="V1488" s="2" t="n">
        <v>4</v>
      </c>
      <c r="W1488" s="2" t="n">
        <v>3</v>
      </c>
      <c r="X1488" s="2" t="n">
        <v>4</v>
      </c>
      <c r="Y1488" s="2" t="n">
        <v>2</v>
      </c>
      <c r="Z1488" s="2" t="n">
        <v>3</v>
      </c>
    </row>
    <row r="1489" customFormat="false" ht="15" hidden="false" customHeight="true" outlineLevel="0" collapsed="false">
      <c r="A1489" s="2" t="n">
        <v>37</v>
      </c>
      <c r="B1489" s="2" t="s">
        <v>26</v>
      </c>
      <c r="C1489" s="2" t="s">
        <v>41</v>
      </c>
      <c r="D1489" s="2" t="s">
        <v>35</v>
      </c>
      <c r="E1489" s="2" t="n">
        <v>1</v>
      </c>
      <c r="F1489" s="2" t="n">
        <v>3</v>
      </c>
      <c r="G1489" s="2" t="s">
        <v>43</v>
      </c>
      <c r="H1489" s="2" t="n">
        <v>1488</v>
      </c>
      <c r="I1489" s="2" t="s">
        <v>39</v>
      </c>
      <c r="J1489" s="2" t="n">
        <v>2</v>
      </c>
      <c r="K1489" s="2" t="s">
        <v>40</v>
      </c>
      <c r="L1489" s="2" t="s">
        <v>46</v>
      </c>
      <c r="M1489" s="2" t="n">
        <v>41270</v>
      </c>
      <c r="N1489" s="2" t="n">
        <v>2</v>
      </c>
      <c r="O1489" s="2" t="n">
        <v>13</v>
      </c>
      <c r="P1489" s="2" t="n">
        <v>1</v>
      </c>
      <c r="Q1489" s="2" t="n">
        <v>15</v>
      </c>
      <c r="R1489" s="2" t="n">
        <v>2</v>
      </c>
      <c r="S1489" s="2" t="n">
        <v>5</v>
      </c>
      <c r="T1489" s="2" t="n">
        <v>0</v>
      </c>
      <c r="U1489" s="2" t="n">
        <v>2</v>
      </c>
      <c r="V1489" s="2" t="n">
        <v>1</v>
      </c>
      <c r="W1489" s="2" t="n">
        <v>4</v>
      </c>
      <c r="X1489" s="2" t="n">
        <v>3</v>
      </c>
      <c r="Y1489" s="2" t="n">
        <v>3</v>
      </c>
      <c r="Z1489" s="2" t="n">
        <v>3</v>
      </c>
    </row>
    <row r="1490" customFormat="false" ht="15" hidden="false" customHeight="true" outlineLevel="0" collapsed="false">
      <c r="A1490" s="2" t="n">
        <v>35</v>
      </c>
      <c r="B1490" s="2" t="s">
        <v>26</v>
      </c>
      <c r="C1490" s="2" t="s">
        <v>27</v>
      </c>
      <c r="D1490" s="2" t="s">
        <v>28</v>
      </c>
      <c r="E1490" s="2" t="n">
        <v>7</v>
      </c>
      <c r="F1490" s="2" t="n">
        <v>4</v>
      </c>
      <c r="G1490" s="2" t="s">
        <v>29</v>
      </c>
      <c r="H1490" s="2" t="n">
        <v>1489</v>
      </c>
      <c r="I1490" s="2" t="s">
        <v>39</v>
      </c>
      <c r="J1490" s="2" t="n">
        <v>1</v>
      </c>
      <c r="K1490" s="2" t="s">
        <v>48</v>
      </c>
      <c r="L1490" s="2" t="s">
        <v>46</v>
      </c>
      <c r="M1490" s="2" t="n">
        <v>24380</v>
      </c>
      <c r="N1490" s="2" t="n">
        <v>7</v>
      </c>
      <c r="O1490" s="2" t="n">
        <v>16</v>
      </c>
      <c r="P1490" s="2" t="n">
        <v>0</v>
      </c>
      <c r="Q1490" s="2" t="n">
        <v>10</v>
      </c>
      <c r="R1490" s="2" t="n">
        <v>5</v>
      </c>
      <c r="S1490" s="2" t="n">
        <v>7</v>
      </c>
      <c r="T1490" s="2" t="n">
        <v>6</v>
      </c>
      <c r="U1490" s="2" t="n">
        <v>2</v>
      </c>
      <c r="V1490" s="2" t="n">
        <v>2</v>
      </c>
      <c r="W1490" s="2" t="n">
        <v>2</v>
      </c>
      <c r="X1490" s="2" t="n">
        <v>2</v>
      </c>
      <c r="Y1490" s="2" t="n">
        <v>2</v>
      </c>
      <c r="Z1490" s="2" t="n">
        <v>3</v>
      </c>
    </row>
    <row r="1491" customFormat="false" ht="15" hidden="false" customHeight="true" outlineLevel="0" collapsed="false">
      <c r="A1491" s="2" t="n">
        <v>38</v>
      </c>
      <c r="B1491" s="2" t="s">
        <v>26</v>
      </c>
      <c r="C1491" s="2" t="s">
        <v>27</v>
      </c>
      <c r="D1491" s="2" t="s">
        <v>35</v>
      </c>
      <c r="E1491" s="2" t="n">
        <v>8</v>
      </c>
      <c r="F1491" s="2" t="n">
        <v>3</v>
      </c>
      <c r="G1491" s="2" t="s">
        <v>29</v>
      </c>
      <c r="H1491" s="2" t="n">
        <v>1490</v>
      </c>
      <c r="I1491" s="2" t="s">
        <v>30</v>
      </c>
      <c r="J1491" s="2" t="n">
        <v>1</v>
      </c>
      <c r="K1491" s="2" t="s">
        <v>49</v>
      </c>
      <c r="L1491" s="2" t="s">
        <v>46</v>
      </c>
      <c r="M1491" s="2" t="n">
        <v>68700</v>
      </c>
      <c r="N1491" s="2" t="n">
        <v>1</v>
      </c>
      <c r="O1491" s="2" t="n">
        <v>11</v>
      </c>
      <c r="P1491" s="2" t="n">
        <v>1</v>
      </c>
      <c r="Q1491" s="2" t="n">
        <v>8</v>
      </c>
      <c r="R1491" s="2" t="n">
        <v>5</v>
      </c>
      <c r="S1491" s="2" t="n">
        <v>8</v>
      </c>
      <c r="T1491" s="2" t="n">
        <v>7</v>
      </c>
      <c r="U1491" s="2" t="n">
        <v>7</v>
      </c>
      <c r="V1491" s="2" t="n">
        <v>1</v>
      </c>
      <c r="W1491" s="2" t="n">
        <v>1</v>
      </c>
      <c r="X1491" s="2" t="n">
        <v>3</v>
      </c>
      <c r="Y1491" s="2" t="n">
        <v>3</v>
      </c>
      <c r="Z1491" s="2" t="n">
        <v>3</v>
      </c>
    </row>
    <row r="1492" customFormat="false" ht="15" hidden="false" customHeight="true" outlineLevel="0" collapsed="false">
      <c r="A1492" s="2" t="n">
        <v>26</v>
      </c>
      <c r="B1492" s="2" t="s">
        <v>26</v>
      </c>
      <c r="C1492" s="2" t="s">
        <v>34</v>
      </c>
      <c r="D1492" s="2" t="s">
        <v>35</v>
      </c>
      <c r="E1492" s="2" t="n">
        <v>1</v>
      </c>
      <c r="F1492" s="2" t="n">
        <v>4</v>
      </c>
      <c r="G1492" s="2" t="s">
        <v>38</v>
      </c>
      <c r="H1492" s="2" t="n">
        <v>1491</v>
      </c>
      <c r="I1492" s="2" t="s">
        <v>39</v>
      </c>
      <c r="J1492" s="2" t="n">
        <v>2</v>
      </c>
      <c r="K1492" s="2" t="s">
        <v>45</v>
      </c>
      <c r="L1492" s="2" t="s">
        <v>46</v>
      </c>
      <c r="M1492" s="2" t="n">
        <v>104470</v>
      </c>
      <c r="N1492" s="2" t="n">
        <v>1</v>
      </c>
      <c r="O1492" s="2" t="n">
        <v>18</v>
      </c>
      <c r="P1492" s="2" t="n">
        <v>0</v>
      </c>
      <c r="Q1492" s="2" t="n">
        <v>6</v>
      </c>
      <c r="R1492" s="2" t="n">
        <v>3</v>
      </c>
      <c r="S1492" s="2" t="n">
        <v>6</v>
      </c>
      <c r="T1492" s="2" t="n">
        <v>1</v>
      </c>
      <c r="U1492" s="2" t="n">
        <v>4</v>
      </c>
      <c r="V1492" s="2" t="n">
        <v>3</v>
      </c>
      <c r="W1492" s="2" t="n">
        <v>2</v>
      </c>
      <c r="X1492" s="2" t="n">
        <v>1</v>
      </c>
      <c r="Y1492" s="2" t="n">
        <v>3</v>
      </c>
      <c r="Z1492" s="2" t="n">
        <v>3</v>
      </c>
    </row>
    <row r="1493" customFormat="false" ht="15" hidden="false" customHeight="true" outlineLevel="0" collapsed="false">
      <c r="A1493" s="2" t="n">
        <v>50</v>
      </c>
      <c r="B1493" s="2" t="s">
        <v>26</v>
      </c>
      <c r="C1493" s="2" t="s">
        <v>27</v>
      </c>
      <c r="D1493" s="2" t="s">
        <v>28</v>
      </c>
      <c r="E1493" s="2" t="n">
        <v>8</v>
      </c>
      <c r="F1493" s="2" t="n">
        <v>4</v>
      </c>
      <c r="G1493" s="2" t="s">
        <v>29</v>
      </c>
      <c r="H1493" s="2" t="n">
        <v>1492</v>
      </c>
      <c r="I1493" s="2" t="s">
        <v>39</v>
      </c>
      <c r="J1493" s="2" t="n">
        <v>1</v>
      </c>
      <c r="K1493" s="2" t="s">
        <v>36</v>
      </c>
      <c r="L1493" s="2" t="s">
        <v>46</v>
      </c>
      <c r="M1493" s="2" t="n">
        <v>96670</v>
      </c>
      <c r="N1493" s="2" t="n">
        <v>3</v>
      </c>
      <c r="O1493" s="2" t="n">
        <v>23</v>
      </c>
      <c r="P1493" s="2" t="n">
        <v>0</v>
      </c>
      <c r="Q1493" s="2" t="n">
        <v>28</v>
      </c>
      <c r="R1493" s="2" t="n">
        <v>2</v>
      </c>
      <c r="S1493" s="2" t="n">
        <v>10</v>
      </c>
      <c r="T1493" s="2" t="n">
        <v>1</v>
      </c>
      <c r="U1493" s="2" t="n">
        <v>6</v>
      </c>
      <c r="V1493" s="2" t="n">
        <v>1</v>
      </c>
      <c r="W1493" s="2" t="n">
        <v>2</v>
      </c>
      <c r="X1493" s="2" t="n">
        <v>2</v>
      </c>
      <c r="Y1493" s="2" t="n">
        <v>2</v>
      </c>
      <c r="Z1493" s="2" t="n">
        <v>4</v>
      </c>
    </row>
    <row r="1494" customFormat="false" ht="15" hidden="false" customHeight="true" outlineLevel="0" collapsed="false">
      <c r="A1494" s="2" t="n">
        <v>53</v>
      </c>
      <c r="B1494" s="2" t="s">
        <v>26</v>
      </c>
      <c r="C1494" s="2" t="s">
        <v>27</v>
      </c>
      <c r="D1494" s="2" t="s">
        <v>35</v>
      </c>
      <c r="E1494" s="2" t="n">
        <v>11</v>
      </c>
      <c r="F1494" s="2" t="n">
        <v>4</v>
      </c>
      <c r="G1494" s="2" t="s">
        <v>29</v>
      </c>
      <c r="H1494" s="2" t="n">
        <v>1493</v>
      </c>
      <c r="I1494" s="2" t="s">
        <v>30</v>
      </c>
      <c r="J1494" s="2" t="n">
        <v>2</v>
      </c>
      <c r="K1494" s="2" t="s">
        <v>36</v>
      </c>
      <c r="L1494" s="2" t="s">
        <v>32</v>
      </c>
      <c r="M1494" s="2" t="n">
        <v>21480</v>
      </c>
      <c r="N1494" s="2" t="n">
        <v>3</v>
      </c>
      <c r="O1494" s="2" t="n">
        <v>11</v>
      </c>
      <c r="P1494" s="2" t="n">
        <v>0</v>
      </c>
      <c r="Q1494" s="2" t="n">
        <v>21</v>
      </c>
      <c r="R1494" s="2" t="n">
        <v>2</v>
      </c>
      <c r="S1494" s="2" t="n">
        <v>5</v>
      </c>
      <c r="T1494" s="2" t="n">
        <v>1</v>
      </c>
      <c r="U1494" s="2" t="n">
        <v>3</v>
      </c>
      <c r="V1494" s="2" t="n">
        <v>3</v>
      </c>
      <c r="W1494" s="2" t="n">
        <v>3</v>
      </c>
      <c r="X1494" s="2" t="n">
        <v>2</v>
      </c>
      <c r="Y1494" s="2" t="n">
        <v>3</v>
      </c>
      <c r="Z1494" s="2" t="n">
        <v>3</v>
      </c>
    </row>
    <row r="1495" customFormat="false" ht="15" hidden="false" customHeight="true" outlineLevel="0" collapsed="false">
      <c r="A1495" s="2" t="n">
        <v>42</v>
      </c>
      <c r="B1495" s="2" t="s">
        <v>26</v>
      </c>
      <c r="C1495" s="2" t="s">
        <v>27</v>
      </c>
      <c r="D1495" s="2" t="s">
        <v>35</v>
      </c>
      <c r="E1495" s="2" t="n">
        <v>4</v>
      </c>
      <c r="F1495" s="2" t="n">
        <v>4</v>
      </c>
      <c r="G1495" s="2" t="s">
        <v>29</v>
      </c>
      <c r="H1495" s="2" t="n">
        <v>1494</v>
      </c>
      <c r="I1495" s="2" t="s">
        <v>39</v>
      </c>
      <c r="J1495" s="2" t="n">
        <v>1</v>
      </c>
      <c r="K1495" s="2" t="s">
        <v>47</v>
      </c>
      <c r="L1495" s="2" t="s">
        <v>32</v>
      </c>
      <c r="M1495" s="2" t="n">
        <v>89260</v>
      </c>
      <c r="N1495" s="2" t="n">
        <v>1</v>
      </c>
      <c r="O1495" s="2" t="n">
        <v>14</v>
      </c>
      <c r="P1495" s="2" t="n">
        <v>0</v>
      </c>
      <c r="Q1495" s="2" t="n">
        <v>20</v>
      </c>
      <c r="R1495" s="2" t="n">
        <v>4</v>
      </c>
      <c r="S1495" s="2" t="n">
        <v>20</v>
      </c>
      <c r="T1495" s="2" t="n">
        <v>11</v>
      </c>
      <c r="U1495" s="2" t="n">
        <v>6</v>
      </c>
      <c r="V1495" s="2" t="n">
        <v>2</v>
      </c>
      <c r="W1495" s="2" t="n">
        <v>3</v>
      </c>
      <c r="X1495" s="2" t="n">
        <v>3</v>
      </c>
      <c r="Y1495" s="2" t="n">
        <v>1</v>
      </c>
      <c r="Z1495" s="2" t="n">
        <v>3</v>
      </c>
    </row>
    <row r="1496" customFormat="false" ht="15" hidden="false" customHeight="true" outlineLevel="0" collapsed="false">
      <c r="A1496" s="2" t="n">
        <v>29</v>
      </c>
      <c r="B1496" s="2" t="s">
        <v>26</v>
      </c>
      <c r="C1496" s="2" t="s">
        <v>34</v>
      </c>
      <c r="D1496" s="2" t="s">
        <v>35</v>
      </c>
      <c r="E1496" s="2" t="n">
        <v>16</v>
      </c>
      <c r="F1496" s="2" t="n">
        <v>4</v>
      </c>
      <c r="G1496" s="2" t="s">
        <v>43</v>
      </c>
      <c r="H1496" s="2" t="n">
        <v>1495</v>
      </c>
      <c r="I1496" s="2" t="s">
        <v>39</v>
      </c>
      <c r="J1496" s="2" t="n">
        <v>1</v>
      </c>
      <c r="K1496" s="2" t="s">
        <v>45</v>
      </c>
      <c r="L1496" s="2" t="s">
        <v>37</v>
      </c>
      <c r="M1496" s="2" t="n">
        <v>65130</v>
      </c>
      <c r="N1496" s="2" t="n">
        <v>1</v>
      </c>
      <c r="O1496" s="2" t="n">
        <v>11</v>
      </c>
      <c r="P1496" s="2" t="n">
        <v>1</v>
      </c>
      <c r="Q1496" s="2" t="n">
        <v>10</v>
      </c>
      <c r="R1496" s="2" t="n">
        <v>2</v>
      </c>
      <c r="S1496" s="2" t="n">
        <v>10</v>
      </c>
      <c r="T1496" s="2" t="n">
        <v>0</v>
      </c>
      <c r="U1496" s="2" t="n">
        <v>9</v>
      </c>
      <c r="V1496" s="2" t="n">
        <v>2</v>
      </c>
      <c r="W1496" s="2" t="n">
        <v>4</v>
      </c>
      <c r="X1496" s="2" t="n">
        <v>2</v>
      </c>
      <c r="Y1496" s="2" t="n">
        <v>3</v>
      </c>
      <c r="Z1496" s="2" t="n">
        <v>3</v>
      </c>
    </row>
    <row r="1497" customFormat="false" ht="15" hidden="false" customHeight="true" outlineLevel="0" collapsed="false">
      <c r="A1497" s="2" t="n">
        <v>55</v>
      </c>
      <c r="B1497" s="2" t="s">
        <v>26</v>
      </c>
      <c r="C1497" s="2" t="s">
        <v>27</v>
      </c>
      <c r="D1497" s="2" t="s">
        <v>35</v>
      </c>
      <c r="E1497" s="2" t="n">
        <v>1</v>
      </c>
      <c r="F1497" s="2" t="n">
        <v>4</v>
      </c>
      <c r="G1497" s="2" t="s">
        <v>38</v>
      </c>
      <c r="H1497" s="2" t="n">
        <v>1496</v>
      </c>
      <c r="I1497" s="2" t="s">
        <v>30</v>
      </c>
      <c r="J1497" s="2" t="n">
        <v>1</v>
      </c>
      <c r="K1497" s="2" t="s">
        <v>36</v>
      </c>
      <c r="L1497" s="2" t="s">
        <v>32</v>
      </c>
      <c r="M1497" s="2" t="n">
        <v>67990</v>
      </c>
      <c r="N1497" s="2" t="n">
        <v>3</v>
      </c>
      <c r="O1497" s="2" t="n">
        <v>11</v>
      </c>
      <c r="P1497" s="2" t="n">
        <v>0</v>
      </c>
      <c r="Q1497" s="2" t="n">
        <v>12</v>
      </c>
      <c r="R1497" s="2" t="n">
        <v>2</v>
      </c>
      <c r="S1497" s="2" t="n">
        <v>10</v>
      </c>
      <c r="T1497" s="2" t="n">
        <v>0</v>
      </c>
      <c r="U1497" s="2" t="n">
        <v>8</v>
      </c>
      <c r="V1497" s="2" t="n">
        <v>2</v>
      </c>
      <c r="W1497" s="2" t="n">
        <v>4</v>
      </c>
      <c r="X1497" s="2" t="n">
        <v>3</v>
      </c>
      <c r="Y1497" s="2" t="n">
        <v>3</v>
      </c>
      <c r="Z1497" s="2" t="n">
        <v>3</v>
      </c>
    </row>
    <row r="1498" customFormat="false" ht="15" hidden="false" customHeight="true" outlineLevel="0" collapsed="false">
      <c r="A1498" s="2" t="n">
        <v>26</v>
      </c>
      <c r="B1498" s="2" t="s">
        <v>26</v>
      </c>
      <c r="C1498" s="2" t="s">
        <v>34</v>
      </c>
      <c r="D1498" s="2" t="s">
        <v>35</v>
      </c>
      <c r="E1498" s="2" t="n">
        <v>9</v>
      </c>
      <c r="F1498" s="2" t="n">
        <v>3</v>
      </c>
      <c r="G1498" s="2" t="s">
        <v>29</v>
      </c>
      <c r="H1498" s="2" t="n">
        <v>1497</v>
      </c>
      <c r="I1498" s="2" t="s">
        <v>30</v>
      </c>
      <c r="J1498" s="2" t="n">
        <v>1</v>
      </c>
      <c r="K1498" s="2" t="s">
        <v>49</v>
      </c>
      <c r="L1498" s="2" t="s">
        <v>32</v>
      </c>
      <c r="M1498" s="2" t="n">
        <v>162910</v>
      </c>
      <c r="N1498" s="2" t="n">
        <v>1</v>
      </c>
      <c r="O1498" s="2" t="n">
        <v>22</v>
      </c>
      <c r="P1498" s="2" t="n">
        <v>0</v>
      </c>
      <c r="Q1498" s="2" t="n">
        <v>5</v>
      </c>
      <c r="R1498" s="2" t="n">
        <v>3</v>
      </c>
      <c r="S1498" s="2" t="n">
        <v>5</v>
      </c>
      <c r="T1498" s="2" t="n">
        <v>3</v>
      </c>
      <c r="U1498" s="2" t="n">
        <v>3</v>
      </c>
      <c r="V1498" s="2" t="n">
        <v>1</v>
      </c>
      <c r="W1498" s="2" t="n">
        <v>1</v>
      </c>
      <c r="X1498" s="2" t="n">
        <v>3</v>
      </c>
      <c r="Y1498" s="2" t="n">
        <v>3</v>
      </c>
      <c r="Z1498" s="2" t="n">
        <v>4</v>
      </c>
    </row>
    <row r="1499" customFormat="false" ht="15" hidden="false" customHeight="true" outlineLevel="0" collapsed="false">
      <c r="A1499" s="2" t="n">
        <v>37</v>
      </c>
      <c r="B1499" s="2" t="s">
        <v>26</v>
      </c>
      <c r="C1499" s="2" t="s">
        <v>27</v>
      </c>
      <c r="D1499" s="2" t="s">
        <v>28</v>
      </c>
      <c r="E1499" s="2" t="n">
        <v>5</v>
      </c>
      <c r="F1499" s="2" t="n">
        <v>1</v>
      </c>
      <c r="G1499" s="2" t="s">
        <v>50</v>
      </c>
      <c r="H1499" s="2" t="n">
        <v>1498</v>
      </c>
      <c r="I1499" s="2" t="s">
        <v>39</v>
      </c>
      <c r="J1499" s="2" t="n">
        <v>1</v>
      </c>
      <c r="K1499" s="2" t="s">
        <v>36</v>
      </c>
      <c r="L1499" s="2" t="s">
        <v>37</v>
      </c>
      <c r="M1499" s="2" t="n">
        <v>27050</v>
      </c>
      <c r="N1499" s="2" t="n">
        <v>1</v>
      </c>
      <c r="O1499" s="2" t="n">
        <v>11</v>
      </c>
      <c r="P1499" s="2" t="n">
        <v>0</v>
      </c>
      <c r="Q1499" s="2" t="n">
        <v>17</v>
      </c>
      <c r="R1499" s="2" t="n">
        <v>2</v>
      </c>
      <c r="S1499" s="2" t="n">
        <v>17</v>
      </c>
      <c r="T1499" s="2" t="n">
        <v>5</v>
      </c>
      <c r="U1499" s="2" t="n">
        <v>7</v>
      </c>
      <c r="V1499" s="2" t="n">
        <v>4</v>
      </c>
      <c r="W1499" s="2" t="n">
        <v>4</v>
      </c>
      <c r="X1499" s="2" t="n">
        <v>3</v>
      </c>
      <c r="Y1499" s="2" t="n">
        <v>3</v>
      </c>
      <c r="Z1499" s="2" t="n">
        <v>3</v>
      </c>
    </row>
    <row r="1500" customFormat="false" ht="15" hidden="false" customHeight="true" outlineLevel="0" collapsed="false">
      <c r="A1500" s="2" t="n">
        <v>44</v>
      </c>
      <c r="B1500" s="2" t="s">
        <v>33</v>
      </c>
      <c r="C1500" s="2" t="s">
        <v>34</v>
      </c>
      <c r="D1500" s="2" t="s">
        <v>35</v>
      </c>
      <c r="E1500" s="2" t="n">
        <v>1</v>
      </c>
      <c r="F1500" s="2" t="n">
        <v>2</v>
      </c>
      <c r="G1500" s="2" t="s">
        <v>43</v>
      </c>
      <c r="H1500" s="2" t="n">
        <v>1499</v>
      </c>
      <c r="I1500" s="2" t="s">
        <v>39</v>
      </c>
      <c r="J1500" s="2" t="n">
        <v>2</v>
      </c>
      <c r="K1500" s="2" t="s">
        <v>36</v>
      </c>
      <c r="L1500" s="2" t="s">
        <v>46</v>
      </c>
      <c r="M1500" s="2" t="n">
        <v>103330</v>
      </c>
      <c r="N1500" s="2" t="n">
        <v>3</v>
      </c>
      <c r="O1500" s="2" t="n">
        <v>14</v>
      </c>
      <c r="P1500" s="2" t="n">
        <v>1</v>
      </c>
      <c r="Q1500" s="2" t="n">
        <v>19</v>
      </c>
      <c r="R1500" s="2" t="n">
        <v>2</v>
      </c>
      <c r="S1500" s="2" t="n">
        <v>1</v>
      </c>
      <c r="T1500" s="2" t="n">
        <v>0</v>
      </c>
      <c r="U1500" s="2" t="n">
        <v>0</v>
      </c>
      <c r="V1500" s="2" t="n">
        <v>4</v>
      </c>
      <c r="W1500" s="2" t="n">
        <v>3</v>
      </c>
      <c r="X1500" s="2" t="n">
        <v>1</v>
      </c>
      <c r="Y1500" s="2" t="n">
        <v>2</v>
      </c>
      <c r="Z1500" s="2" t="n">
        <v>3</v>
      </c>
    </row>
    <row r="1501" customFormat="false" ht="15" hidden="false" customHeight="true" outlineLevel="0" collapsed="false">
      <c r="A1501" s="2" t="n">
        <v>38</v>
      </c>
      <c r="B1501" s="2" t="s">
        <v>26</v>
      </c>
      <c r="C1501" s="2" t="s">
        <v>27</v>
      </c>
      <c r="D1501" s="2" t="s">
        <v>28</v>
      </c>
      <c r="E1501" s="2" t="n">
        <v>2</v>
      </c>
      <c r="F1501" s="2" t="n">
        <v>3</v>
      </c>
      <c r="G1501" s="2" t="s">
        <v>50</v>
      </c>
      <c r="H1501" s="2" t="n">
        <v>1500</v>
      </c>
      <c r="I1501" s="2" t="s">
        <v>30</v>
      </c>
      <c r="J1501" s="2" t="n">
        <v>1</v>
      </c>
      <c r="K1501" s="2" t="s">
        <v>49</v>
      </c>
      <c r="L1501" s="2" t="s">
        <v>46</v>
      </c>
      <c r="M1501" s="2" t="n">
        <v>44480</v>
      </c>
      <c r="N1501" s="2" t="n">
        <v>9</v>
      </c>
      <c r="O1501" s="2" t="n">
        <v>12</v>
      </c>
      <c r="P1501" s="2" t="n">
        <v>0</v>
      </c>
      <c r="Q1501" s="2" t="n">
        <v>10</v>
      </c>
      <c r="R1501" s="2" t="n">
        <v>3</v>
      </c>
      <c r="S1501" s="2" t="n">
        <v>2</v>
      </c>
      <c r="T1501" s="2" t="n">
        <v>1</v>
      </c>
      <c r="U1501" s="2" t="n">
        <v>2</v>
      </c>
      <c r="V1501" s="2" t="n">
        <v>4</v>
      </c>
      <c r="W1501" s="2" t="n">
        <v>4</v>
      </c>
      <c r="X1501" s="2" t="n">
        <v>3</v>
      </c>
      <c r="Y1501" s="2" t="n">
        <v>2</v>
      </c>
      <c r="Z1501" s="2" t="n">
        <v>3</v>
      </c>
    </row>
    <row r="1502" customFormat="false" ht="15" hidden="false" customHeight="true" outlineLevel="0" collapsed="false">
      <c r="A1502" s="2" t="n">
        <v>26</v>
      </c>
      <c r="B1502" s="2" t="s">
        <v>33</v>
      </c>
      <c r="C1502" s="2" t="s">
        <v>27</v>
      </c>
      <c r="D1502" s="2" t="s">
        <v>35</v>
      </c>
      <c r="E1502" s="2" t="n">
        <v>4</v>
      </c>
      <c r="F1502" s="2" t="n">
        <v>3</v>
      </c>
      <c r="G1502" s="2" t="s">
        <v>43</v>
      </c>
      <c r="H1502" s="2" t="n">
        <v>1501</v>
      </c>
      <c r="I1502" s="2" t="s">
        <v>39</v>
      </c>
      <c r="J1502" s="2" t="n">
        <v>3</v>
      </c>
      <c r="K1502" s="2" t="s">
        <v>36</v>
      </c>
      <c r="L1502" s="2" t="s">
        <v>46</v>
      </c>
      <c r="M1502" s="2" t="n">
        <v>68540</v>
      </c>
      <c r="N1502" s="2" t="n">
        <v>2</v>
      </c>
      <c r="O1502" s="2" t="n">
        <v>11</v>
      </c>
      <c r="P1502" s="2" t="n">
        <v>0</v>
      </c>
      <c r="Q1502" s="2" t="n">
        <v>5</v>
      </c>
      <c r="R1502" s="2" t="n">
        <v>5</v>
      </c>
      <c r="S1502" s="2" t="n">
        <v>3</v>
      </c>
      <c r="T1502" s="2" t="n">
        <v>0</v>
      </c>
      <c r="U1502" s="2" t="n">
        <v>2</v>
      </c>
      <c r="V1502" s="2" t="n">
        <v>1</v>
      </c>
      <c r="W1502" s="2" t="n">
        <v>2</v>
      </c>
      <c r="X1502" s="2" t="n">
        <v>3</v>
      </c>
      <c r="Y1502" s="2" t="n">
        <v>2</v>
      </c>
      <c r="Z1502" s="2" t="n">
        <v>3</v>
      </c>
    </row>
    <row r="1503" customFormat="false" ht="15" hidden="false" customHeight="true" outlineLevel="0" collapsed="false">
      <c r="A1503" s="2" t="n">
        <v>28</v>
      </c>
      <c r="B1503" s="2" t="s">
        <v>26</v>
      </c>
      <c r="C1503" s="2" t="s">
        <v>27</v>
      </c>
      <c r="D1503" s="2" t="s">
        <v>35</v>
      </c>
      <c r="E1503" s="2" t="n">
        <v>7</v>
      </c>
      <c r="F1503" s="2" t="n">
        <v>3</v>
      </c>
      <c r="G1503" s="2" t="s">
        <v>38</v>
      </c>
      <c r="H1503" s="2" t="n">
        <v>1502</v>
      </c>
      <c r="I1503" s="2" t="s">
        <v>39</v>
      </c>
      <c r="J1503" s="2" t="n">
        <v>1</v>
      </c>
      <c r="K1503" s="2" t="s">
        <v>42</v>
      </c>
      <c r="L1503" s="2" t="s">
        <v>37</v>
      </c>
      <c r="M1503" s="2" t="n">
        <v>96370</v>
      </c>
      <c r="N1503" s="2" t="n">
        <v>1</v>
      </c>
      <c r="O1503" s="2" t="n">
        <v>13</v>
      </c>
      <c r="P1503" s="2" t="n">
        <v>0</v>
      </c>
      <c r="Q1503" s="2" t="n">
        <v>5</v>
      </c>
      <c r="R1503" s="2" t="n">
        <v>6</v>
      </c>
      <c r="S1503" s="2" t="n">
        <v>5</v>
      </c>
      <c r="T1503" s="2" t="n">
        <v>0</v>
      </c>
      <c r="U1503" s="2" t="n">
        <v>2</v>
      </c>
      <c r="V1503" s="2" t="n">
        <v>4</v>
      </c>
      <c r="W1503" s="2" t="n">
        <v>4</v>
      </c>
      <c r="X1503" s="2" t="n">
        <v>3</v>
      </c>
      <c r="Y1503" s="2" t="n">
        <v>2</v>
      </c>
      <c r="Z1503" s="2" t="n">
        <v>3</v>
      </c>
    </row>
    <row r="1504" customFormat="false" ht="15" hidden="false" customHeight="true" outlineLevel="0" collapsed="false">
      <c r="A1504" s="2" t="n">
        <v>49</v>
      </c>
      <c r="B1504" s="2" t="s">
        <v>26</v>
      </c>
      <c r="C1504" s="2" t="s">
        <v>34</v>
      </c>
      <c r="D1504" s="2" t="s">
        <v>35</v>
      </c>
      <c r="E1504" s="2" t="n">
        <v>1</v>
      </c>
      <c r="F1504" s="2" t="n">
        <v>1</v>
      </c>
      <c r="G1504" s="2" t="s">
        <v>43</v>
      </c>
      <c r="H1504" s="2" t="n">
        <v>1503</v>
      </c>
      <c r="I1504" s="2" t="s">
        <v>30</v>
      </c>
      <c r="J1504" s="2" t="n">
        <v>2</v>
      </c>
      <c r="K1504" s="2" t="s">
        <v>36</v>
      </c>
      <c r="L1504" s="2" t="s">
        <v>37</v>
      </c>
      <c r="M1504" s="2" t="n">
        <v>35910</v>
      </c>
      <c r="N1504" s="2" t="n">
        <v>9</v>
      </c>
      <c r="O1504" s="2" t="n">
        <v>13</v>
      </c>
      <c r="P1504" s="2" t="n">
        <v>0</v>
      </c>
      <c r="Q1504" s="2" t="n">
        <v>22</v>
      </c>
      <c r="R1504" s="2" t="n">
        <v>2</v>
      </c>
      <c r="S1504" s="2" t="n">
        <v>3</v>
      </c>
      <c r="T1504" s="2" t="n">
        <v>1</v>
      </c>
      <c r="U1504" s="2" t="n">
        <v>2</v>
      </c>
      <c r="V1504" s="2" t="n">
        <v>3</v>
      </c>
      <c r="W1504" s="2" t="n">
        <v>1</v>
      </c>
      <c r="X1504" s="2" t="n">
        <v>3</v>
      </c>
      <c r="Y1504" s="2" t="n">
        <v>3</v>
      </c>
      <c r="Z1504" s="2" t="n">
        <v>3</v>
      </c>
    </row>
    <row r="1505" customFormat="false" ht="15" hidden="false" customHeight="true" outlineLevel="0" collapsed="false">
      <c r="A1505" s="2" t="n">
        <v>36</v>
      </c>
      <c r="B1505" s="2" t="s">
        <v>26</v>
      </c>
      <c r="C1505" s="2" t="s">
        <v>27</v>
      </c>
      <c r="D1505" s="2" t="s">
        <v>28</v>
      </c>
      <c r="E1505" s="2" t="n">
        <v>5</v>
      </c>
      <c r="F1505" s="2" t="n">
        <v>3</v>
      </c>
      <c r="G1505" s="2" t="s">
        <v>51</v>
      </c>
      <c r="H1505" s="2" t="n">
        <v>1504</v>
      </c>
      <c r="I1505" s="2" t="s">
        <v>39</v>
      </c>
      <c r="J1505" s="2" t="n">
        <v>3</v>
      </c>
      <c r="K1505" s="2" t="s">
        <v>40</v>
      </c>
      <c r="L1505" s="2" t="s">
        <v>37</v>
      </c>
      <c r="M1505" s="2" t="n">
        <v>54050</v>
      </c>
      <c r="N1505" s="2" t="n">
        <v>4</v>
      </c>
      <c r="O1505" s="2" t="n">
        <v>14</v>
      </c>
      <c r="P1505" s="2" t="n">
        <v>0</v>
      </c>
      <c r="Q1505" s="2" t="n">
        <v>10</v>
      </c>
      <c r="R1505" s="2" t="n">
        <v>2</v>
      </c>
      <c r="S1505" s="2" t="n">
        <v>8</v>
      </c>
      <c r="T1505" s="2" t="n">
        <v>7</v>
      </c>
      <c r="U1505" s="2" t="n">
        <v>7</v>
      </c>
      <c r="V1505" s="2" t="n">
        <v>3</v>
      </c>
      <c r="W1505" s="2" t="n">
        <v>2</v>
      </c>
      <c r="X1505" s="2" t="n">
        <v>3</v>
      </c>
      <c r="Y1505" s="2" t="n">
        <v>3</v>
      </c>
      <c r="Z1505" s="2" t="n">
        <v>3</v>
      </c>
    </row>
    <row r="1506" customFormat="false" ht="15" hidden="false" customHeight="true" outlineLevel="0" collapsed="false">
      <c r="A1506" s="2" t="n">
        <v>31</v>
      </c>
      <c r="B1506" s="2" t="s">
        <v>26</v>
      </c>
      <c r="C1506" s="2" t="s">
        <v>34</v>
      </c>
      <c r="D1506" s="2" t="s">
        <v>35</v>
      </c>
      <c r="E1506" s="2" t="n">
        <v>9</v>
      </c>
      <c r="F1506" s="2" t="n">
        <v>4</v>
      </c>
      <c r="G1506" s="2" t="s">
        <v>43</v>
      </c>
      <c r="H1506" s="2" t="n">
        <v>1505</v>
      </c>
      <c r="I1506" s="2" t="s">
        <v>39</v>
      </c>
      <c r="J1506" s="2" t="n">
        <v>1</v>
      </c>
      <c r="K1506" s="2" t="s">
        <v>40</v>
      </c>
      <c r="L1506" s="2" t="s">
        <v>46</v>
      </c>
      <c r="M1506" s="2" t="n">
        <v>46840</v>
      </c>
      <c r="N1506" s="2" t="n">
        <v>1</v>
      </c>
      <c r="O1506" s="2" t="n">
        <v>16</v>
      </c>
      <c r="P1506" s="2" t="n">
        <v>1</v>
      </c>
      <c r="Q1506" s="2" t="n">
        <v>2</v>
      </c>
      <c r="R1506" s="2" t="n">
        <v>4</v>
      </c>
      <c r="S1506" s="2" t="n">
        <v>2</v>
      </c>
      <c r="T1506" s="2" t="n">
        <v>2</v>
      </c>
      <c r="U1506" s="2" t="n">
        <v>2</v>
      </c>
      <c r="V1506" s="2" t="n">
        <v>4</v>
      </c>
      <c r="W1506" s="2" t="n">
        <v>2</v>
      </c>
      <c r="X1506" s="2" t="n">
        <v>2</v>
      </c>
      <c r="Y1506" s="2" t="n">
        <v>3</v>
      </c>
      <c r="Z1506" s="2" t="n">
        <v>3</v>
      </c>
    </row>
    <row r="1507" customFormat="false" ht="15" hidden="false" customHeight="true" outlineLevel="0" collapsed="false">
      <c r="A1507" s="2" t="n">
        <v>26</v>
      </c>
      <c r="B1507" s="2" t="s">
        <v>33</v>
      </c>
      <c r="C1507" s="2" t="s">
        <v>27</v>
      </c>
      <c r="D1507" s="2" t="s">
        <v>35</v>
      </c>
      <c r="E1507" s="2" t="n">
        <v>8</v>
      </c>
      <c r="F1507" s="2" t="n">
        <v>3</v>
      </c>
      <c r="G1507" s="2" t="s">
        <v>43</v>
      </c>
      <c r="H1507" s="2" t="n">
        <v>1506</v>
      </c>
      <c r="I1507" s="2" t="s">
        <v>39</v>
      </c>
      <c r="J1507" s="2" t="n">
        <v>2</v>
      </c>
      <c r="K1507" s="2" t="s">
        <v>49</v>
      </c>
      <c r="L1507" s="2" t="s">
        <v>37</v>
      </c>
      <c r="M1507" s="2" t="n">
        <v>157870</v>
      </c>
      <c r="N1507" s="2" t="n">
        <v>1</v>
      </c>
      <c r="O1507" s="2" t="n">
        <v>12</v>
      </c>
      <c r="P1507" s="2" t="n">
        <v>2</v>
      </c>
      <c r="Q1507" s="2" t="n">
        <v>8</v>
      </c>
      <c r="R1507" s="2" t="n">
        <v>5</v>
      </c>
      <c r="S1507" s="2" t="n">
        <v>8</v>
      </c>
      <c r="T1507" s="2" t="n">
        <v>7</v>
      </c>
      <c r="U1507" s="2" t="n">
        <v>4</v>
      </c>
      <c r="V1507" s="2" t="n">
        <v>4</v>
      </c>
      <c r="W1507" s="2" t="n">
        <v>4</v>
      </c>
      <c r="X1507" s="2" t="n">
        <v>3</v>
      </c>
      <c r="Y1507" s="2" t="n">
        <v>3</v>
      </c>
      <c r="Z1507" s="2" t="n">
        <v>3</v>
      </c>
    </row>
    <row r="1508" customFormat="false" ht="15" hidden="false" customHeight="true" outlineLevel="0" collapsed="false">
      <c r="A1508" s="2" t="n">
        <v>37</v>
      </c>
      <c r="B1508" s="2" t="s">
        <v>26</v>
      </c>
      <c r="C1508" s="2" t="s">
        <v>34</v>
      </c>
      <c r="D1508" s="2" t="s">
        <v>28</v>
      </c>
      <c r="E1508" s="2" t="n">
        <v>9</v>
      </c>
      <c r="F1508" s="2" t="n">
        <v>1</v>
      </c>
      <c r="G1508" s="2" t="s">
        <v>50</v>
      </c>
      <c r="H1508" s="2" t="n">
        <v>1507</v>
      </c>
      <c r="I1508" s="2" t="s">
        <v>39</v>
      </c>
      <c r="J1508" s="2" t="n">
        <v>1</v>
      </c>
      <c r="K1508" s="2" t="s">
        <v>45</v>
      </c>
      <c r="L1508" s="2" t="s">
        <v>32</v>
      </c>
      <c r="M1508" s="2" t="n">
        <v>15140</v>
      </c>
      <c r="N1508" s="2" t="n">
        <v>1</v>
      </c>
      <c r="O1508" s="2" t="n">
        <v>14</v>
      </c>
      <c r="P1508" s="2" t="n">
        <v>0</v>
      </c>
      <c r="Q1508" s="2" t="n">
        <v>4</v>
      </c>
      <c r="R1508" s="2" t="n">
        <v>3</v>
      </c>
      <c r="S1508" s="2" t="n">
        <v>4</v>
      </c>
      <c r="T1508" s="2" t="n">
        <v>1</v>
      </c>
      <c r="U1508" s="2" t="n">
        <v>2</v>
      </c>
      <c r="V1508" s="2" t="n">
        <v>2</v>
      </c>
      <c r="W1508" s="2" t="n">
        <v>4</v>
      </c>
      <c r="X1508" s="2" t="n">
        <v>2</v>
      </c>
      <c r="Y1508" s="2" t="n">
        <v>3</v>
      </c>
      <c r="Z1508" s="2" t="n">
        <v>3</v>
      </c>
    </row>
    <row r="1509" customFormat="false" ht="15" hidden="false" customHeight="true" outlineLevel="0" collapsed="false">
      <c r="A1509" s="2" t="n">
        <v>42</v>
      </c>
      <c r="B1509" s="2" t="s">
        <v>26</v>
      </c>
      <c r="C1509" s="2" t="s">
        <v>34</v>
      </c>
      <c r="D1509" s="2" t="s">
        <v>28</v>
      </c>
      <c r="E1509" s="2" t="n">
        <v>2</v>
      </c>
      <c r="F1509" s="2" t="n">
        <v>2</v>
      </c>
      <c r="G1509" s="2" t="s">
        <v>50</v>
      </c>
      <c r="H1509" s="2" t="n">
        <v>1508</v>
      </c>
      <c r="I1509" s="2" t="s">
        <v>39</v>
      </c>
      <c r="J1509" s="2" t="n">
        <v>3</v>
      </c>
      <c r="K1509" s="2" t="s">
        <v>44</v>
      </c>
      <c r="L1509" s="2" t="s">
        <v>32</v>
      </c>
      <c r="M1509" s="2" t="n">
        <v>29560</v>
      </c>
      <c r="N1509" s="2" t="n">
        <v>5</v>
      </c>
      <c r="O1509" s="2" t="n">
        <v>13</v>
      </c>
      <c r="P1509" s="2" t="n">
        <v>0</v>
      </c>
      <c r="Q1509" s="2" t="n">
        <v>23</v>
      </c>
      <c r="R1509" s="2" t="n">
        <v>2</v>
      </c>
      <c r="S1509" s="2" t="n">
        <v>20</v>
      </c>
      <c r="T1509" s="2" t="n">
        <v>4</v>
      </c>
      <c r="U1509" s="2" t="n">
        <v>8</v>
      </c>
      <c r="V1509" s="2" t="n">
        <v>3</v>
      </c>
      <c r="W1509" s="2" t="n">
        <v>2</v>
      </c>
      <c r="X1509" s="2" t="n">
        <v>4</v>
      </c>
      <c r="Y1509" s="2" t="n">
        <v>3</v>
      </c>
      <c r="Z1509" s="2" t="n">
        <v>3</v>
      </c>
    </row>
    <row r="1510" customFormat="false" ht="15" hidden="false" customHeight="true" outlineLevel="0" collapsed="false">
      <c r="A1510" s="2" t="n">
        <v>18</v>
      </c>
      <c r="B1510" s="2" t="s">
        <v>33</v>
      </c>
      <c r="C1510" s="2" t="s">
        <v>27</v>
      </c>
      <c r="D1510" s="2" t="s">
        <v>35</v>
      </c>
      <c r="E1510" s="2" t="n">
        <v>1</v>
      </c>
      <c r="F1510" s="2" t="n">
        <v>4</v>
      </c>
      <c r="G1510" s="2" t="s">
        <v>29</v>
      </c>
      <c r="H1510" s="2" t="n">
        <v>1509</v>
      </c>
      <c r="I1510" s="2" t="s">
        <v>39</v>
      </c>
      <c r="J1510" s="2" t="n">
        <v>1</v>
      </c>
      <c r="K1510" s="2" t="s">
        <v>40</v>
      </c>
      <c r="L1510" s="2" t="s">
        <v>37</v>
      </c>
      <c r="M1510" s="2" t="n">
        <v>23350</v>
      </c>
      <c r="N1510" s="2" t="n">
        <v>1</v>
      </c>
      <c r="O1510" s="2" t="n">
        <v>14</v>
      </c>
      <c r="P1510" s="2" t="n">
        <v>2</v>
      </c>
      <c r="Q1510" s="2" t="n">
        <v>0</v>
      </c>
      <c r="R1510" s="2" t="n">
        <v>3</v>
      </c>
      <c r="S1510" s="2" t="n">
        <v>0</v>
      </c>
      <c r="T1510" s="2" t="n">
        <v>0</v>
      </c>
      <c r="U1510" s="2" t="n">
        <v>0</v>
      </c>
      <c r="V1510" s="2" t="n">
        <v>3</v>
      </c>
      <c r="W1510" s="2" t="n">
        <v>3</v>
      </c>
      <c r="X1510" s="2" t="n">
        <v>3</v>
      </c>
      <c r="Y1510" s="2" t="n">
        <v>2</v>
      </c>
      <c r="Z1510" s="2" t="n">
        <v>3</v>
      </c>
    </row>
    <row r="1511" customFormat="false" ht="15" hidden="false" customHeight="true" outlineLevel="0" collapsed="false">
      <c r="A1511" s="2" t="n">
        <v>35</v>
      </c>
      <c r="B1511" s="2" t="s">
        <v>26</v>
      </c>
      <c r="C1511" s="2" t="s">
        <v>27</v>
      </c>
      <c r="D1511" s="2" t="s">
        <v>28</v>
      </c>
      <c r="E1511" s="2" t="n">
        <v>20</v>
      </c>
      <c r="F1511" s="2" t="n">
        <v>2</v>
      </c>
      <c r="G1511" s="2" t="s">
        <v>29</v>
      </c>
      <c r="H1511" s="2" t="n">
        <v>1510</v>
      </c>
      <c r="I1511" s="2" t="s">
        <v>39</v>
      </c>
      <c r="J1511" s="2" t="n">
        <v>1</v>
      </c>
      <c r="K1511" s="2" t="s">
        <v>45</v>
      </c>
      <c r="L1511" s="2" t="s">
        <v>32</v>
      </c>
      <c r="M1511" s="2" t="n">
        <v>51540</v>
      </c>
      <c r="N1511" s="2" t="n">
        <v>0</v>
      </c>
      <c r="O1511" s="2" t="n">
        <v>19</v>
      </c>
      <c r="P1511" s="2" t="n">
        <v>0</v>
      </c>
      <c r="Q1511" s="2" t="n">
        <v>12</v>
      </c>
      <c r="R1511" s="2" t="n">
        <v>2</v>
      </c>
      <c r="S1511" s="2" t="n">
        <v>11</v>
      </c>
      <c r="T1511" s="2" t="n">
        <v>6</v>
      </c>
      <c r="U1511" s="2" t="n">
        <v>9</v>
      </c>
      <c r="V1511" s="2" t="n">
        <v>3</v>
      </c>
      <c r="W1511" s="2" t="n">
        <v>2</v>
      </c>
      <c r="X1511" s="2" t="n">
        <v>2</v>
      </c>
      <c r="Y1511" s="2" t="n">
        <v>2</v>
      </c>
      <c r="Z1511" s="2" t="n">
        <v>3</v>
      </c>
    </row>
    <row r="1512" customFormat="false" ht="15" hidden="false" customHeight="true" outlineLevel="0" collapsed="false">
      <c r="A1512" s="2" t="n">
        <v>36</v>
      </c>
      <c r="B1512" s="2" t="s">
        <v>26</v>
      </c>
      <c r="C1512" s="2" t="s">
        <v>34</v>
      </c>
      <c r="D1512" s="2" t="s">
        <v>35</v>
      </c>
      <c r="E1512" s="2" t="n">
        <v>8</v>
      </c>
      <c r="F1512" s="2" t="n">
        <v>3</v>
      </c>
      <c r="G1512" s="2" t="s">
        <v>38</v>
      </c>
      <c r="H1512" s="2" t="n">
        <v>1511</v>
      </c>
      <c r="I1512" s="2" t="s">
        <v>30</v>
      </c>
      <c r="J1512" s="2" t="n">
        <v>3</v>
      </c>
      <c r="K1512" s="2" t="s">
        <v>40</v>
      </c>
      <c r="L1512" s="2" t="s">
        <v>32</v>
      </c>
      <c r="M1512" s="2" t="n">
        <v>69620</v>
      </c>
      <c r="N1512" s="2" t="n">
        <v>4</v>
      </c>
      <c r="O1512" s="2" t="n">
        <v>12</v>
      </c>
      <c r="P1512" s="2" t="n">
        <v>2</v>
      </c>
      <c r="Q1512" s="2" t="n">
        <v>4</v>
      </c>
      <c r="R1512" s="2" t="n">
        <v>2</v>
      </c>
      <c r="S1512" s="2" t="n">
        <v>1</v>
      </c>
      <c r="T1512" s="2" t="n">
        <v>0</v>
      </c>
      <c r="U1512" s="2" t="n">
        <v>0</v>
      </c>
      <c r="V1512" s="2" t="n">
        <v>3</v>
      </c>
      <c r="W1512" s="2" t="n">
        <v>4</v>
      </c>
      <c r="X1512" s="2" t="n">
        <v>3</v>
      </c>
      <c r="Y1512" s="2" t="n">
        <v>2</v>
      </c>
      <c r="Z1512" s="2" t="n">
        <v>3</v>
      </c>
    </row>
    <row r="1513" customFormat="false" ht="15" hidden="false" customHeight="true" outlineLevel="0" collapsed="false">
      <c r="A1513" s="2" t="n">
        <v>51</v>
      </c>
      <c r="B1513" s="2" t="s">
        <v>26</v>
      </c>
      <c r="C1513" s="2" t="s">
        <v>27</v>
      </c>
      <c r="D1513" s="2" t="s">
        <v>35</v>
      </c>
      <c r="E1513" s="2" t="n">
        <v>2</v>
      </c>
      <c r="F1513" s="2" t="n">
        <v>3</v>
      </c>
      <c r="G1513" s="2" t="s">
        <v>29</v>
      </c>
      <c r="H1513" s="2" t="n">
        <v>1512</v>
      </c>
      <c r="I1513" s="2" t="s">
        <v>39</v>
      </c>
      <c r="J1513" s="2" t="n">
        <v>2</v>
      </c>
      <c r="K1513" s="2" t="s">
        <v>45</v>
      </c>
      <c r="L1513" s="2" t="s">
        <v>46</v>
      </c>
      <c r="M1513" s="2" t="n">
        <v>56750</v>
      </c>
      <c r="N1513" s="2" t="n">
        <v>5</v>
      </c>
      <c r="O1513" s="2" t="n">
        <v>13</v>
      </c>
      <c r="P1513" s="2" t="n">
        <v>0</v>
      </c>
      <c r="Q1513" s="2" t="n">
        <v>13</v>
      </c>
      <c r="R1513" s="2" t="n">
        <v>2</v>
      </c>
      <c r="S1513" s="2" t="n">
        <v>4</v>
      </c>
      <c r="T1513" s="2" t="n">
        <v>1</v>
      </c>
      <c r="U1513" s="2" t="n">
        <v>2</v>
      </c>
      <c r="V1513" s="2" t="n">
        <v>4</v>
      </c>
      <c r="W1513" s="2" t="n">
        <v>2</v>
      </c>
      <c r="X1513" s="2" t="n">
        <v>3</v>
      </c>
      <c r="Y1513" s="2" t="n">
        <v>2</v>
      </c>
      <c r="Z1513" s="2" t="n">
        <v>3</v>
      </c>
    </row>
    <row r="1514" customFormat="false" ht="15" hidden="false" customHeight="true" outlineLevel="0" collapsed="false">
      <c r="A1514" s="2" t="n">
        <v>41</v>
      </c>
      <c r="B1514" s="2" t="s">
        <v>26</v>
      </c>
      <c r="C1514" s="2" t="s">
        <v>27</v>
      </c>
      <c r="D1514" s="2" t="s">
        <v>35</v>
      </c>
      <c r="E1514" s="2" t="n">
        <v>29</v>
      </c>
      <c r="F1514" s="2" t="n">
        <v>1</v>
      </c>
      <c r="G1514" s="2" t="s">
        <v>29</v>
      </c>
      <c r="H1514" s="2" t="n">
        <v>1513</v>
      </c>
      <c r="I1514" s="2" t="s">
        <v>39</v>
      </c>
      <c r="J1514" s="2" t="n">
        <v>1</v>
      </c>
      <c r="K1514" s="2" t="s">
        <v>45</v>
      </c>
      <c r="L1514" s="2" t="s">
        <v>37</v>
      </c>
      <c r="M1514" s="2" t="n">
        <v>23790</v>
      </c>
      <c r="N1514" s="2" t="n">
        <v>1</v>
      </c>
      <c r="O1514" s="2" t="n">
        <v>12</v>
      </c>
      <c r="P1514" s="2" t="n">
        <v>0</v>
      </c>
      <c r="Q1514" s="2" t="n">
        <v>22</v>
      </c>
      <c r="R1514" s="2" t="n">
        <v>6</v>
      </c>
      <c r="S1514" s="2" t="n">
        <v>22</v>
      </c>
      <c r="T1514" s="2" t="n">
        <v>0</v>
      </c>
      <c r="U1514" s="2" t="n">
        <v>4</v>
      </c>
      <c r="V1514" s="2" t="n">
        <v>4</v>
      </c>
      <c r="W1514" s="2" t="n">
        <v>2</v>
      </c>
      <c r="X1514" s="2" t="n">
        <v>3</v>
      </c>
      <c r="Y1514" s="2" t="n">
        <v>3</v>
      </c>
      <c r="Z1514" s="2" t="n">
        <v>3</v>
      </c>
    </row>
    <row r="1515" customFormat="false" ht="15" hidden="false" customHeight="true" outlineLevel="0" collapsed="false">
      <c r="A1515" s="2" t="n">
        <v>18</v>
      </c>
      <c r="B1515" s="2" t="s">
        <v>26</v>
      </c>
      <c r="C1515" s="2" t="s">
        <v>27</v>
      </c>
      <c r="D1515" s="2" t="s">
        <v>28</v>
      </c>
      <c r="E1515" s="2" t="n">
        <v>7</v>
      </c>
      <c r="F1515" s="2" t="n">
        <v>3</v>
      </c>
      <c r="G1515" s="2" t="s">
        <v>29</v>
      </c>
      <c r="H1515" s="2" t="n">
        <v>1514</v>
      </c>
      <c r="I1515" s="2" t="s">
        <v>39</v>
      </c>
      <c r="J1515" s="2" t="n">
        <v>1</v>
      </c>
      <c r="K1515" s="2" t="s">
        <v>36</v>
      </c>
      <c r="L1515" s="2" t="s">
        <v>37</v>
      </c>
      <c r="M1515" s="2" t="n">
        <v>38120</v>
      </c>
      <c r="N1515" s="2" t="n">
        <v>1</v>
      </c>
      <c r="O1515" s="2" t="n">
        <v>15</v>
      </c>
      <c r="P1515" s="2" t="n">
        <v>0</v>
      </c>
      <c r="Q1515" s="2" t="n">
        <v>0</v>
      </c>
      <c r="R1515" s="2" t="n">
        <v>3</v>
      </c>
      <c r="S1515" s="2" t="n">
        <v>0</v>
      </c>
      <c r="T1515" s="2" t="n">
        <v>0</v>
      </c>
      <c r="U1515" s="2" t="n">
        <v>0</v>
      </c>
      <c r="V1515" s="2" t="n">
        <v>4</v>
      </c>
      <c r="W1515" s="2" t="n">
        <v>3</v>
      </c>
      <c r="X1515" s="2" t="n">
        <v>3</v>
      </c>
      <c r="Y1515" s="2" t="n">
        <v>3</v>
      </c>
      <c r="Z1515" s="2" t="n">
        <v>3</v>
      </c>
    </row>
    <row r="1516" customFormat="false" ht="15" hidden="false" customHeight="true" outlineLevel="0" collapsed="false">
      <c r="A1516" s="2" t="n">
        <v>28</v>
      </c>
      <c r="B1516" s="2" t="s">
        <v>26</v>
      </c>
      <c r="C1516" s="2" t="s">
        <v>27</v>
      </c>
      <c r="D1516" s="2" t="s">
        <v>35</v>
      </c>
      <c r="E1516" s="2" t="n">
        <v>9</v>
      </c>
      <c r="F1516" s="2" t="n">
        <v>3</v>
      </c>
      <c r="G1516" s="2" t="s">
        <v>43</v>
      </c>
      <c r="H1516" s="2" t="n">
        <v>1515</v>
      </c>
      <c r="I1516" s="2" t="s">
        <v>39</v>
      </c>
      <c r="J1516" s="2" t="n">
        <v>1</v>
      </c>
      <c r="K1516" s="2" t="s">
        <v>48</v>
      </c>
      <c r="L1516" s="2" t="s">
        <v>37</v>
      </c>
      <c r="M1516" s="2" t="n">
        <v>46480</v>
      </c>
      <c r="N1516" s="2" t="n">
        <v>0</v>
      </c>
      <c r="O1516" s="2" t="n">
        <v>23</v>
      </c>
      <c r="P1516" s="2" t="n">
        <v>2</v>
      </c>
      <c r="Q1516" s="2" t="n">
        <v>9</v>
      </c>
      <c r="R1516" s="2" t="n">
        <v>2</v>
      </c>
      <c r="S1516" s="2" t="n">
        <v>8</v>
      </c>
      <c r="T1516" s="2" t="n">
        <v>0</v>
      </c>
      <c r="U1516" s="2" t="n">
        <v>7</v>
      </c>
      <c r="V1516" s="2" t="n">
        <v>2</v>
      </c>
      <c r="W1516" s="2" t="n">
        <v>1</v>
      </c>
      <c r="X1516" s="2" t="n">
        <v>3</v>
      </c>
      <c r="Y1516" s="2" t="n">
        <v>2</v>
      </c>
      <c r="Z1516" s="2" t="n">
        <v>4</v>
      </c>
    </row>
    <row r="1517" customFormat="false" ht="15" hidden="false" customHeight="true" outlineLevel="0" collapsed="false">
      <c r="A1517" s="2" t="n">
        <v>31</v>
      </c>
      <c r="B1517" s="2" t="s">
        <v>26</v>
      </c>
      <c r="C1517" s="2" t="s">
        <v>27</v>
      </c>
      <c r="D1517" s="2" t="s">
        <v>35</v>
      </c>
      <c r="E1517" s="2" t="n">
        <v>8</v>
      </c>
      <c r="F1517" s="2" t="n">
        <v>1</v>
      </c>
      <c r="G1517" s="2" t="s">
        <v>51</v>
      </c>
      <c r="H1517" s="2" t="n">
        <v>1516</v>
      </c>
      <c r="I1517" s="2" t="s">
        <v>39</v>
      </c>
      <c r="J1517" s="2" t="n">
        <v>1</v>
      </c>
      <c r="K1517" s="2" t="s">
        <v>47</v>
      </c>
      <c r="L1517" s="2" t="s">
        <v>32</v>
      </c>
      <c r="M1517" s="2" t="n">
        <v>29360</v>
      </c>
      <c r="N1517" s="2" t="n">
        <v>4</v>
      </c>
      <c r="O1517" s="2" t="n">
        <v>12</v>
      </c>
      <c r="P1517" s="2" t="n">
        <v>1</v>
      </c>
      <c r="Q1517" s="2" t="n">
        <v>10</v>
      </c>
      <c r="R1517" s="2" t="n">
        <v>2</v>
      </c>
      <c r="S1517" s="2" t="n">
        <v>8</v>
      </c>
      <c r="T1517" s="2" t="n">
        <v>7</v>
      </c>
      <c r="U1517" s="2" t="n">
        <v>7</v>
      </c>
      <c r="V1517" s="2" t="n">
        <v>2</v>
      </c>
      <c r="W1517" s="2" t="n">
        <v>4</v>
      </c>
      <c r="X1517" s="2" t="n">
        <v>2</v>
      </c>
      <c r="Y1517" s="2" t="n">
        <v>3</v>
      </c>
      <c r="Z1517" s="2" t="n">
        <v>3</v>
      </c>
    </row>
    <row r="1518" customFormat="false" ht="15" hidden="false" customHeight="true" outlineLevel="0" collapsed="false">
      <c r="A1518" s="2" t="n">
        <v>39</v>
      </c>
      <c r="B1518" s="2" t="s">
        <v>26</v>
      </c>
      <c r="C1518" s="2" t="s">
        <v>27</v>
      </c>
      <c r="D1518" s="2" t="s">
        <v>28</v>
      </c>
      <c r="E1518" s="2" t="n">
        <v>5</v>
      </c>
      <c r="F1518" s="2" t="n">
        <v>4</v>
      </c>
      <c r="G1518" s="2" t="s">
        <v>50</v>
      </c>
      <c r="H1518" s="2" t="n">
        <v>1517</v>
      </c>
      <c r="I1518" s="2" t="s">
        <v>30</v>
      </c>
      <c r="J1518" s="2" t="n">
        <v>2</v>
      </c>
      <c r="K1518" s="2" t="s">
        <v>42</v>
      </c>
      <c r="L1518" s="2" t="s">
        <v>46</v>
      </c>
      <c r="M1518" s="2" t="n">
        <v>21050</v>
      </c>
      <c r="N1518" s="2" t="n">
        <v>0</v>
      </c>
      <c r="O1518" s="2" t="n">
        <v>20</v>
      </c>
      <c r="P1518" s="2" t="n">
        <v>0</v>
      </c>
      <c r="Q1518" s="2" t="n">
        <v>19</v>
      </c>
      <c r="R1518" s="2" t="n">
        <v>3</v>
      </c>
      <c r="S1518" s="2" t="n">
        <v>18</v>
      </c>
      <c r="T1518" s="2" t="n">
        <v>3</v>
      </c>
      <c r="U1518" s="2" t="n">
        <v>7</v>
      </c>
      <c r="V1518" s="2" t="n">
        <v>3</v>
      </c>
      <c r="W1518" s="2" t="n">
        <v>4</v>
      </c>
      <c r="X1518" s="2" t="n">
        <v>2</v>
      </c>
      <c r="Y1518" s="2" t="n">
        <v>3</v>
      </c>
      <c r="Z1518" s="2" t="n">
        <v>4</v>
      </c>
    </row>
    <row r="1519" customFormat="false" ht="15" hidden="false" customHeight="true" outlineLevel="0" collapsed="false">
      <c r="A1519" s="2" t="n">
        <v>36</v>
      </c>
      <c r="B1519" s="2" t="s">
        <v>26</v>
      </c>
      <c r="C1519" s="2" t="s">
        <v>41</v>
      </c>
      <c r="D1519" s="2" t="s">
        <v>35</v>
      </c>
      <c r="E1519" s="2" t="n">
        <v>5</v>
      </c>
      <c r="F1519" s="2" t="n">
        <v>4</v>
      </c>
      <c r="G1519" s="2" t="s">
        <v>29</v>
      </c>
      <c r="H1519" s="2" t="n">
        <v>1518</v>
      </c>
      <c r="I1519" s="2" t="s">
        <v>39</v>
      </c>
      <c r="J1519" s="2" t="n">
        <v>1</v>
      </c>
      <c r="K1519" s="2" t="s">
        <v>40</v>
      </c>
      <c r="L1519" s="2" t="s">
        <v>32</v>
      </c>
      <c r="M1519" s="2" t="n">
        <v>85780</v>
      </c>
      <c r="N1519" s="2" t="n">
        <v>7</v>
      </c>
      <c r="O1519" s="2" t="n">
        <v>21</v>
      </c>
      <c r="P1519" s="2" t="n">
        <v>0</v>
      </c>
      <c r="Q1519" s="2"/>
      <c r="R1519" s="2" t="n">
        <v>4</v>
      </c>
      <c r="S1519" s="2" t="n">
        <v>9</v>
      </c>
      <c r="T1519" s="2" t="n">
        <v>0</v>
      </c>
      <c r="U1519" s="2" t="n">
        <v>8</v>
      </c>
      <c r="V1519" s="2" t="n">
        <v>2</v>
      </c>
      <c r="W1519" s="2" t="n">
        <v>2</v>
      </c>
      <c r="X1519" s="2" t="n">
        <v>3</v>
      </c>
      <c r="Y1519" s="2" t="n">
        <v>3</v>
      </c>
      <c r="Z1519" s="2" t="n">
        <v>4</v>
      </c>
    </row>
    <row r="1520" customFormat="false" ht="15" hidden="false" customHeight="true" outlineLevel="0" collapsed="false">
      <c r="A1520" s="2" t="n">
        <v>32</v>
      </c>
      <c r="B1520" s="2" t="s">
        <v>26</v>
      </c>
      <c r="C1520" s="2" t="s">
        <v>27</v>
      </c>
      <c r="D1520" s="2" t="s">
        <v>28</v>
      </c>
      <c r="E1520" s="2" t="n">
        <v>2</v>
      </c>
      <c r="F1520" s="2" t="n">
        <v>3</v>
      </c>
      <c r="G1520" s="2" t="s">
        <v>50</v>
      </c>
      <c r="H1520" s="2" t="n">
        <v>1519</v>
      </c>
      <c r="I1520" s="2" t="s">
        <v>39</v>
      </c>
      <c r="J1520" s="2" t="n">
        <v>2</v>
      </c>
      <c r="K1520" s="2" t="s">
        <v>45</v>
      </c>
      <c r="L1520" s="2" t="s">
        <v>32</v>
      </c>
      <c r="M1520" s="2" t="n">
        <v>27060</v>
      </c>
      <c r="N1520" s="2" t="n">
        <v>1</v>
      </c>
      <c r="O1520" s="2" t="n">
        <v>21</v>
      </c>
      <c r="P1520" s="2" t="n">
        <v>1</v>
      </c>
      <c r="Q1520" s="2" t="n">
        <v>13</v>
      </c>
      <c r="R1520" s="2" t="n">
        <v>4</v>
      </c>
      <c r="S1520" s="2" t="n">
        <v>13</v>
      </c>
      <c r="T1520" s="2" t="n">
        <v>4</v>
      </c>
      <c r="U1520" s="2" t="n">
        <v>8</v>
      </c>
      <c r="V1520" s="2" t="n">
        <v>4</v>
      </c>
      <c r="W1520" s="2" t="n">
        <v>3</v>
      </c>
      <c r="X1520" s="2" t="n">
        <v>2</v>
      </c>
      <c r="Y1520" s="2" t="n">
        <v>3</v>
      </c>
      <c r="Z1520" s="2" t="n">
        <v>4</v>
      </c>
    </row>
    <row r="1521" customFormat="false" ht="15" hidden="false" customHeight="true" outlineLevel="0" collapsed="false">
      <c r="A1521" s="2" t="n">
        <v>38</v>
      </c>
      <c r="B1521" s="2" t="s">
        <v>26</v>
      </c>
      <c r="C1521" s="2" t="s">
        <v>27</v>
      </c>
      <c r="D1521" s="2" t="s">
        <v>35</v>
      </c>
      <c r="E1521" s="2" t="n">
        <v>5</v>
      </c>
      <c r="F1521" s="2" t="n">
        <v>2</v>
      </c>
      <c r="G1521" s="2" t="s">
        <v>29</v>
      </c>
      <c r="H1521" s="2" t="n">
        <v>1520</v>
      </c>
      <c r="I1521" s="2" t="s">
        <v>30</v>
      </c>
      <c r="J1521" s="2" t="n">
        <v>3</v>
      </c>
      <c r="K1521" s="2" t="s">
        <v>36</v>
      </c>
      <c r="L1521" s="2" t="s">
        <v>32</v>
      </c>
      <c r="M1521" s="2" t="n">
        <v>63840</v>
      </c>
      <c r="N1521" s="2" t="n">
        <v>3</v>
      </c>
      <c r="O1521" s="2" t="n">
        <v>19</v>
      </c>
      <c r="P1521" s="2" t="n">
        <v>2</v>
      </c>
      <c r="Q1521" s="2" t="n">
        <v>19</v>
      </c>
      <c r="R1521" s="2" t="n">
        <v>4</v>
      </c>
      <c r="S1521" s="2" t="n">
        <v>10</v>
      </c>
      <c r="T1521" s="2" t="n">
        <v>0</v>
      </c>
      <c r="U1521" s="2" t="n">
        <v>1</v>
      </c>
      <c r="V1521" s="2" t="n">
        <v>1</v>
      </c>
      <c r="W1521" s="2" t="n">
        <v>2</v>
      </c>
      <c r="X1521" s="2" t="n">
        <v>3</v>
      </c>
      <c r="Y1521" s="2" t="n">
        <v>2</v>
      </c>
      <c r="Z1521" s="2" t="n">
        <v>3</v>
      </c>
    </row>
    <row r="1522" customFormat="false" ht="15" hidden="false" customHeight="true" outlineLevel="0" collapsed="false">
      <c r="A1522" s="2" t="n">
        <v>58</v>
      </c>
      <c r="B1522" s="2" t="s">
        <v>26</v>
      </c>
      <c r="C1522" s="2" t="s">
        <v>41</v>
      </c>
      <c r="D1522" s="2" t="s">
        <v>35</v>
      </c>
      <c r="E1522" s="2" t="n">
        <v>2</v>
      </c>
      <c r="F1522" s="2" t="n">
        <v>3</v>
      </c>
      <c r="G1522" s="2" t="s">
        <v>29</v>
      </c>
      <c r="H1522" s="2" t="n">
        <v>1521</v>
      </c>
      <c r="I1522" s="2" t="s">
        <v>39</v>
      </c>
      <c r="J1522" s="2" t="n">
        <v>2</v>
      </c>
      <c r="K1522" s="2" t="s">
        <v>47</v>
      </c>
      <c r="L1522" s="2" t="s">
        <v>46</v>
      </c>
      <c r="M1522" s="2" t="n">
        <v>39680</v>
      </c>
      <c r="N1522" s="2" t="n">
        <v>2</v>
      </c>
      <c r="O1522" s="2" t="n">
        <v>13</v>
      </c>
      <c r="P1522" s="2" t="n">
        <v>2</v>
      </c>
      <c r="Q1522" s="2" t="n">
        <v>12</v>
      </c>
      <c r="R1522" s="2" t="n">
        <v>3</v>
      </c>
      <c r="S1522" s="2" t="n">
        <v>5</v>
      </c>
      <c r="T1522" s="2" t="n">
        <v>1</v>
      </c>
      <c r="U1522" s="2" t="n">
        <v>2</v>
      </c>
      <c r="V1522" s="2" t="n">
        <v>4</v>
      </c>
      <c r="W1522" s="2" t="n">
        <v>3</v>
      </c>
      <c r="X1522" s="2" t="n">
        <v>3</v>
      </c>
      <c r="Y1522" s="2" t="n">
        <v>2</v>
      </c>
      <c r="Z1522" s="2" t="n">
        <v>3</v>
      </c>
    </row>
    <row r="1523" customFormat="false" ht="15" hidden="false" customHeight="true" outlineLevel="0" collapsed="false">
      <c r="A1523" s="2" t="n">
        <v>31</v>
      </c>
      <c r="B1523" s="2" t="s">
        <v>26</v>
      </c>
      <c r="C1523" s="2" t="s">
        <v>27</v>
      </c>
      <c r="D1523" s="2" t="s">
        <v>35</v>
      </c>
      <c r="E1523" s="2" t="n">
        <v>20</v>
      </c>
      <c r="F1523" s="2" t="n">
        <v>1</v>
      </c>
      <c r="G1523" s="2" t="s">
        <v>51</v>
      </c>
      <c r="H1523" s="2" t="n">
        <v>1522</v>
      </c>
      <c r="I1523" s="2" t="s">
        <v>30</v>
      </c>
      <c r="J1523" s="2" t="n">
        <v>3</v>
      </c>
      <c r="K1523" s="2" t="s">
        <v>36</v>
      </c>
      <c r="L1523" s="2" t="s">
        <v>32</v>
      </c>
      <c r="M1523" s="2" t="n">
        <v>99070</v>
      </c>
      <c r="N1523" s="2"/>
      <c r="O1523" s="2" t="n">
        <v>13</v>
      </c>
      <c r="P1523" s="2" t="n">
        <v>1</v>
      </c>
      <c r="Q1523" s="2" t="n">
        <v>6</v>
      </c>
      <c r="R1523" s="2" t="n">
        <v>3</v>
      </c>
      <c r="S1523" s="2" t="n">
        <v>5</v>
      </c>
      <c r="T1523" s="2" t="n">
        <v>0</v>
      </c>
      <c r="U1523" s="2" t="n">
        <v>3</v>
      </c>
      <c r="V1523" s="2" t="n">
        <v>3</v>
      </c>
      <c r="W1523" s="2" t="n">
        <v>4</v>
      </c>
      <c r="X1523" s="2" t="n">
        <v>3</v>
      </c>
      <c r="Y1523" s="2" t="n">
        <v>2</v>
      </c>
      <c r="Z1523" s="2" t="n">
        <v>3</v>
      </c>
    </row>
    <row r="1524" customFormat="false" ht="15" hidden="false" customHeight="true" outlineLevel="0" collapsed="false">
      <c r="A1524" s="2" t="n">
        <v>31</v>
      </c>
      <c r="B1524" s="2" t="s">
        <v>26</v>
      </c>
      <c r="C1524" s="2" t="s">
        <v>27</v>
      </c>
      <c r="D1524" s="2" t="s">
        <v>28</v>
      </c>
      <c r="E1524" s="2" t="n">
        <v>7</v>
      </c>
      <c r="F1524" s="2" t="n">
        <v>4</v>
      </c>
      <c r="G1524" s="2" t="s">
        <v>50</v>
      </c>
      <c r="H1524" s="2" t="n">
        <v>1523</v>
      </c>
      <c r="I1524" s="2" t="s">
        <v>39</v>
      </c>
      <c r="J1524" s="2" t="n">
        <v>2</v>
      </c>
      <c r="K1524" s="2" t="s">
        <v>40</v>
      </c>
      <c r="L1524" s="2" t="s">
        <v>32</v>
      </c>
      <c r="M1524" s="2" t="n">
        <v>132250</v>
      </c>
      <c r="N1524" s="2" t="n">
        <v>3</v>
      </c>
      <c r="O1524" s="2" t="n">
        <v>21</v>
      </c>
      <c r="P1524" s="2" t="n">
        <v>1</v>
      </c>
      <c r="Q1524" s="2" t="n">
        <v>9</v>
      </c>
      <c r="R1524" s="2" t="n">
        <v>2</v>
      </c>
      <c r="S1524" s="2" t="n">
        <v>2</v>
      </c>
      <c r="T1524" s="2" t="n">
        <v>1</v>
      </c>
      <c r="U1524" s="2" t="n">
        <v>0</v>
      </c>
      <c r="V1524" s="2" t="n">
        <v>1</v>
      </c>
      <c r="W1524" s="2" t="n">
        <v>1</v>
      </c>
      <c r="X1524" s="2" t="n">
        <v>3</v>
      </c>
      <c r="Y1524" s="2" t="n">
        <v>3</v>
      </c>
      <c r="Z1524" s="2" t="n">
        <v>4</v>
      </c>
    </row>
    <row r="1525" customFormat="false" ht="15" hidden="false" customHeight="true" outlineLevel="0" collapsed="false">
      <c r="A1525" s="2" t="n">
        <v>45</v>
      </c>
      <c r="B1525" s="2" t="s">
        <v>26</v>
      </c>
      <c r="C1525" s="2" t="s">
        <v>34</v>
      </c>
      <c r="D1525" s="2" t="s">
        <v>35</v>
      </c>
      <c r="E1525" s="2" t="n">
        <v>3</v>
      </c>
      <c r="F1525" s="2" t="n">
        <v>1</v>
      </c>
      <c r="G1525" s="2" t="s">
        <v>43</v>
      </c>
      <c r="H1525" s="2" t="n">
        <v>1524</v>
      </c>
      <c r="I1525" s="2" t="s">
        <v>30</v>
      </c>
      <c r="J1525" s="2" t="n">
        <v>1</v>
      </c>
      <c r="K1525" s="2" t="s">
        <v>40</v>
      </c>
      <c r="L1525" s="2" t="s">
        <v>46</v>
      </c>
      <c r="M1525" s="2" t="n">
        <v>35400</v>
      </c>
      <c r="N1525" s="2" t="n">
        <v>1</v>
      </c>
      <c r="O1525" s="2" t="n">
        <v>13</v>
      </c>
      <c r="P1525" s="2" t="n">
        <v>0</v>
      </c>
      <c r="Q1525" s="2" t="n">
        <v>24</v>
      </c>
      <c r="R1525" s="2" t="n">
        <v>6</v>
      </c>
      <c r="S1525" s="2" t="n">
        <v>24</v>
      </c>
      <c r="T1525" s="2" t="n">
        <v>9</v>
      </c>
      <c r="U1525" s="2" t="n">
        <v>11</v>
      </c>
      <c r="V1525" s="2" t="n">
        <v>1</v>
      </c>
      <c r="W1525" s="2" t="n">
        <v>1</v>
      </c>
      <c r="X1525" s="2" t="n">
        <v>3</v>
      </c>
      <c r="Y1525" s="2" t="n">
        <v>3</v>
      </c>
      <c r="Z1525" s="2" t="n">
        <v>3</v>
      </c>
    </row>
    <row r="1526" customFormat="false" ht="15" hidden="false" customHeight="true" outlineLevel="0" collapsed="false">
      <c r="A1526" s="2" t="n">
        <v>31</v>
      </c>
      <c r="B1526" s="2" t="s">
        <v>26</v>
      </c>
      <c r="C1526" s="2" t="s">
        <v>27</v>
      </c>
      <c r="D1526" s="2" t="s">
        <v>28</v>
      </c>
      <c r="E1526" s="2" t="n">
        <v>16</v>
      </c>
      <c r="F1526" s="2" t="n">
        <v>4</v>
      </c>
      <c r="G1526" s="2" t="s">
        <v>50</v>
      </c>
      <c r="H1526" s="2" t="n">
        <v>1525</v>
      </c>
      <c r="I1526" s="2" t="s">
        <v>30</v>
      </c>
      <c r="J1526" s="2" t="n">
        <v>2</v>
      </c>
      <c r="K1526" s="2" t="s">
        <v>36</v>
      </c>
      <c r="L1526" s="2" t="s">
        <v>46</v>
      </c>
      <c r="M1526" s="2" t="n">
        <v>28040</v>
      </c>
      <c r="N1526" s="2" t="n">
        <v>0</v>
      </c>
      <c r="O1526" s="2" t="n">
        <v>19</v>
      </c>
      <c r="P1526" s="2" t="n">
        <v>2</v>
      </c>
      <c r="Q1526" s="2" t="n">
        <v>3</v>
      </c>
      <c r="R1526" s="2" t="n">
        <v>0</v>
      </c>
      <c r="S1526" s="2" t="n">
        <v>2</v>
      </c>
      <c r="T1526" s="2" t="n">
        <v>2</v>
      </c>
      <c r="U1526" s="2" t="n">
        <v>2</v>
      </c>
      <c r="V1526" s="2" t="n">
        <v>3</v>
      </c>
      <c r="W1526" s="2" t="n">
        <v>4</v>
      </c>
      <c r="X1526" s="2" t="n">
        <v>1</v>
      </c>
      <c r="Y1526" s="2" t="n">
        <v>3</v>
      </c>
      <c r="Z1526" s="2" t="n">
        <v>3</v>
      </c>
    </row>
    <row r="1527" customFormat="false" ht="15" hidden="false" customHeight="true" outlineLevel="0" collapsed="false">
      <c r="A1527" s="2" t="n">
        <v>33</v>
      </c>
      <c r="B1527" s="2" t="s">
        <v>26</v>
      </c>
      <c r="C1527" s="2" t="s">
        <v>34</v>
      </c>
      <c r="D1527" s="2" t="s">
        <v>35</v>
      </c>
      <c r="E1527" s="2" t="n">
        <v>9</v>
      </c>
      <c r="F1527" s="2" t="n">
        <v>3</v>
      </c>
      <c r="G1527" s="2" t="s">
        <v>29</v>
      </c>
      <c r="H1527" s="2" t="n">
        <v>1526</v>
      </c>
      <c r="I1527" s="2" t="s">
        <v>39</v>
      </c>
      <c r="J1527" s="2" t="n">
        <v>4</v>
      </c>
      <c r="K1527" s="2" t="s">
        <v>44</v>
      </c>
      <c r="L1527" s="2" t="s">
        <v>32</v>
      </c>
      <c r="M1527" s="2" t="n">
        <v>193920</v>
      </c>
      <c r="N1527" s="2" t="n">
        <v>6</v>
      </c>
      <c r="O1527" s="2" t="n">
        <v>12</v>
      </c>
      <c r="P1527" s="2" t="n">
        <v>1</v>
      </c>
      <c r="Q1527" s="2" t="n">
        <v>12</v>
      </c>
      <c r="R1527" s="2" t="n">
        <v>3</v>
      </c>
      <c r="S1527" s="2" t="n">
        <v>10</v>
      </c>
      <c r="T1527" s="2" t="n">
        <v>8</v>
      </c>
      <c r="U1527" s="2" t="n">
        <v>8</v>
      </c>
      <c r="V1527" s="2" t="n">
        <v>4</v>
      </c>
      <c r="W1527" s="2" t="n">
        <v>2</v>
      </c>
      <c r="X1527" s="2" t="n">
        <v>3</v>
      </c>
      <c r="Y1527" s="2" t="n">
        <v>3</v>
      </c>
      <c r="Z1527" s="2" t="n">
        <v>3</v>
      </c>
    </row>
    <row r="1528" customFormat="false" ht="15" hidden="false" customHeight="true" outlineLevel="0" collapsed="false">
      <c r="A1528" s="2" t="n">
        <v>39</v>
      </c>
      <c r="B1528" s="2" t="s">
        <v>26</v>
      </c>
      <c r="C1528" s="2" t="s">
        <v>27</v>
      </c>
      <c r="D1528" s="2" t="s">
        <v>28</v>
      </c>
      <c r="E1528" s="2" t="n">
        <v>1</v>
      </c>
      <c r="F1528" s="2" t="n">
        <v>4</v>
      </c>
      <c r="G1528" s="2" t="s">
        <v>29</v>
      </c>
      <c r="H1528" s="2" t="n">
        <v>1527</v>
      </c>
      <c r="I1528" s="2" t="s">
        <v>39</v>
      </c>
      <c r="J1528" s="2" t="n">
        <v>1</v>
      </c>
      <c r="K1528" s="2" t="s">
        <v>40</v>
      </c>
      <c r="L1528" s="2" t="s">
        <v>32</v>
      </c>
      <c r="M1528" s="2" t="n">
        <v>196650</v>
      </c>
      <c r="N1528" s="2" t="n">
        <v>1</v>
      </c>
      <c r="O1528" s="2" t="n">
        <v>22</v>
      </c>
      <c r="P1528" s="2" t="n">
        <v>1</v>
      </c>
      <c r="Q1528" s="2" t="n">
        <v>21</v>
      </c>
      <c r="R1528" s="2" t="n">
        <v>6</v>
      </c>
      <c r="S1528" s="2" t="n">
        <v>21</v>
      </c>
      <c r="T1528" s="2" t="n">
        <v>11</v>
      </c>
      <c r="U1528" s="2" t="n">
        <v>10</v>
      </c>
      <c r="V1528" s="2" t="n">
        <v>3</v>
      </c>
      <c r="W1528" s="2" t="n">
        <v>1</v>
      </c>
      <c r="X1528" s="2" t="n">
        <v>3</v>
      </c>
      <c r="Y1528" s="2" t="n">
        <v>3</v>
      </c>
      <c r="Z1528" s="2" t="n">
        <v>4</v>
      </c>
    </row>
    <row r="1529" customFormat="false" ht="15" hidden="false" customHeight="true" outlineLevel="0" collapsed="false">
      <c r="A1529" s="2" t="n">
        <v>43</v>
      </c>
      <c r="B1529" s="2" t="s">
        <v>26</v>
      </c>
      <c r="C1529" s="2" t="s">
        <v>34</v>
      </c>
      <c r="D1529" s="2" t="s">
        <v>35</v>
      </c>
      <c r="E1529" s="2" t="n">
        <v>7</v>
      </c>
      <c r="F1529" s="2" t="n">
        <v>4</v>
      </c>
      <c r="G1529" s="2" t="s">
        <v>43</v>
      </c>
      <c r="H1529" s="2" t="n">
        <v>1528</v>
      </c>
      <c r="I1529" s="2" t="s">
        <v>39</v>
      </c>
      <c r="J1529" s="2" t="n">
        <v>4</v>
      </c>
      <c r="K1529" s="2" t="s">
        <v>36</v>
      </c>
      <c r="L1529" s="2" t="s">
        <v>37</v>
      </c>
      <c r="M1529" s="2" t="n">
        <v>24390</v>
      </c>
      <c r="N1529" s="2" t="n">
        <v>0</v>
      </c>
      <c r="O1529" s="2" t="n">
        <v>15</v>
      </c>
      <c r="P1529" s="2" t="n">
        <v>0</v>
      </c>
      <c r="Q1529" s="2" t="n">
        <v>9</v>
      </c>
      <c r="R1529" s="2" t="n">
        <v>2</v>
      </c>
      <c r="S1529" s="2" t="n">
        <v>8</v>
      </c>
      <c r="T1529" s="2" t="n">
        <v>1</v>
      </c>
      <c r="U1529" s="2" t="n">
        <v>7</v>
      </c>
      <c r="V1529" s="2" t="n">
        <v>3</v>
      </c>
      <c r="W1529" s="2" t="n">
        <v>4</v>
      </c>
      <c r="X1529" s="2" t="n">
        <v>3</v>
      </c>
      <c r="Y1529" s="2" t="n">
        <v>3</v>
      </c>
      <c r="Z1529" s="2" t="n">
        <v>3</v>
      </c>
    </row>
    <row r="1530" customFormat="false" ht="15" hidden="false" customHeight="true" outlineLevel="0" collapsed="false">
      <c r="A1530" s="2" t="n">
        <v>49</v>
      </c>
      <c r="B1530" s="2" t="s">
        <v>26</v>
      </c>
      <c r="C1530" s="2" t="s">
        <v>27</v>
      </c>
      <c r="D1530" s="2" t="s">
        <v>35</v>
      </c>
      <c r="E1530" s="2" t="n">
        <v>1</v>
      </c>
      <c r="F1530" s="2" t="n">
        <v>3</v>
      </c>
      <c r="G1530" s="2" t="s">
        <v>29</v>
      </c>
      <c r="H1530" s="2" t="n">
        <v>1529</v>
      </c>
      <c r="I1530" s="2" t="s">
        <v>39</v>
      </c>
      <c r="J1530" s="2" t="n">
        <v>3</v>
      </c>
      <c r="K1530" s="2" t="s">
        <v>47</v>
      </c>
      <c r="L1530" s="2" t="s">
        <v>37</v>
      </c>
      <c r="M1530" s="2" t="n">
        <v>73140</v>
      </c>
      <c r="N1530" s="2" t="n">
        <v>7</v>
      </c>
      <c r="O1530" s="2" t="n">
        <v>22</v>
      </c>
      <c r="P1530" s="2" t="n">
        <v>0</v>
      </c>
      <c r="Q1530" s="2" t="n">
        <v>25</v>
      </c>
      <c r="R1530" s="2" t="n">
        <v>2</v>
      </c>
      <c r="S1530" s="2" t="n">
        <v>7</v>
      </c>
      <c r="T1530" s="2" t="n">
        <v>0</v>
      </c>
      <c r="U1530" s="2" t="n">
        <v>7</v>
      </c>
      <c r="V1530" s="2" t="n">
        <v>3</v>
      </c>
      <c r="W1530" s="2" t="n">
        <v>3</v>
      </c>
      <c r="X1530" s="2" t="n">
        <v>3</v>
      </c>
      <c r="Y1530" s="2" t="n">
        <v>3</v>
      </c>
      <c r="Z1530" s="2" t="n">
        <v>4</v>
      </c>
    </row>
    <row r="1531" customFormat="false" ht="15" hidden="false" customHeight="true" outlineLevel="0" collapsed="false">
      <c r="A1531" s="2" t="n">
        <v>52</v>
      </c>
      <c r="B1531" s="2" t="s">
        <v>33</v>
      </c>
      <c r="C1531" s="2" t="s">
        <v>27</v>
      </c>
      <c r="D1531" s="2" t="s">
        <v>35</v>
      </c>
      <c r="E1531" s="2" t="n">
        <v>7</v>
      </c>
      <c r="F1531" s="2" t="n">
        <v>1</v>
      </c>
      <c r="G1531" s="2" t="s">
        <v>29</v>
      </c>
      <c r="H1531" s="2" t="n">
        <v>1530</v>
      </c>
      <c r="I1531" s="2" t="s">
        <v>30</v>
      </c>
      <c r="J1531" s="2" t="n">
        <v>2</v>
      </c>
      <c r="K1531" s="2" t="s">
        <v>36</v>
      </c>
      <c r="L1531" s="2" t="s">
        <v>32</v>
      </c>
      <c r="M1531" s="2" t="n">
        <v>47740</v>
      </c>
      <c r="N1531" s="2" t="n">
        <v>2</v>
      </c>
      <c r="O1531" s="2" t="n">
        <v>18</v>
      </c>
      <c r="P1531" s="2" t="n">
        <v>1</v>
      </c>
      <c r="Q1531" s="2" t="n">
        <v>11</v>
      </c>
      <c r="R1531" s="2" t="n">
        <v>2</v>
      </c>
      <c r="S1531" s="2" t="n">
        <v>8</v>
      </c>
      <c r="T1531" s="2" t="n">
        <v>7</v>
      </c>
      <c r="U1531" s="2" t="n">
        <v>7</v>
      </c>
      <c r="V1531" s="2" t="n">
        <v>3</v>
      </c>
      <c r="W1531" s="2" t="n">
        <v>2</v>
      </c>
      <c r="X1531" s="2" t="n">
        <v>2</v>
      </c>
      <c r="Y1531" s="2" t="n">
        <v>3</v>
      </c>
      <c r="Z1531" s="2" t="n">
        <v>3</v>
      </c>
    </row>
    <row r="1532" customFormat="false" ht="15" hidden="false" customHeight="true" outlineLevel="0" collapsed="false">
      <c r="A1532" s="2" t="n">
        <v>27</v>
      </c>
      <c r="B1532" s="2" t="s">
        <v>26</v>
      </c>
      <c r="C1532" s="2" t="s">
        <v>27</v>
      </c>
      <c r="D1532" s="2" t="s">
        <v>35</v>
      </c>
      <c r="E1532" s="2" t="n">
        <v>15</v>
      </c>
      <c r="F1532" s="2" t="n">
        <v>4</v>
      </c>
      <c r="G1532" s="2" t="s">
        <v>43</v>
      </c>
      <c r="H1532" s="2" t="n">
        <v>1531</v>
      </c>
      <c r="I1532" s="2" t="s">
        <v>39</v>
      </c>
      <c r="J1532" s="2" t="n">
        <v>3</v>
      </c>
      <c r="K1532" s="2" t="s">
        <v>36</v>
      </c>
      <c r="L1532" s="2" t="s">
        <v>37</v>
      </c>
      <c r="M1532" s="2" t="n">
        <v>39020</v>
      </c>
      <c r="N1532" s="2" t="n">
        <v>1</v>
      </c>
      <c r="O1532" s="2" t="n">
        <v>22</v>
      </c>
      <c r="P1532" s="2" t="n">
        <v>0</v>
      </c>
      <c r="Q1532" s="2" t="n">
        <v>4</v>
      </c>
      <c r="R1532" s="2" t="n">
        <v>2</v>
      </c>
      <c r="S1532" s="2" t="n">
        <v>4</v>
      </c>
      <c r="T1532" s="2" t="n">
        <v>1</v>
      </c>
      <c r="U1532" s="2" t="n">
        <v>2</v>
      </c>
      <c r="V1532" s="2" t="n">
        <v>3</v>
      </c>
      <c r="W1532" s="2" t="n">
        <v>2</v>
      </c>
      <c r="X1532" s="2" t="n">
        <v>2</v>
      </c>
      <c r="Y1532" s="2" t="n">
        <v>3</v>
      </c>
      <c r="Z1532" s="2" t="n">
        <v>4</v>
      </c>
    </row>
    <row r="1533" customFormat="false" ht="15" hidden="false" customHeight="true" outlineLevel="0" collapsed="false">
      <c r="A1533" s="2" t="n">
        <v>32</v>
      </c>
      <c r="B1533" s="2" t="s">
        <v>26</v>
      </c>
      <c r="C1533" s="2" t="s">
        <v>27</v>
      </c>
      <c r="D1533" s="2" t="s">
        <v>35</v>
      </c>
      <c r="E1533" s="2" t="n">
        <v>1</v>
      </c>
      <c r="F1533" s="2" t="n">
        <v>3</v>
      </c>
      <c r="G1533" s="2" t="s">
        <v>29</v>
      </c>
      <c r="H1533" s="2" t="n">
        <v>1532</v>
      </c>
      <c r="I1533" s="2" t="s">
        <v>39</v>
      </c>
      <c r="J1533" s="2" t="n">
        <v>3</v>
      </c>
      <c r="K1533" s="2" t="s">
        <v>36</v>
      </c>
      <c r="L1533" s="2" t="s">
        <v>32</v>
      </c>
      <c r="M1533" s="2" t="n">
        <v>26620</v>
      </c>
      <c r="N1533" s="2" t="n">
        <v>1</v>
      </c>
      <c r="O1533" s="2" t="n">
        <v>11</v>
      </c>
      <c r="P1533" s="2" t="n">
        <v>1</v>
      </c>
      <c r="Q1533" s="2" t="n">
        <v>13</v>
      </c>
      <c r="R1533" s="2" t="n">
        <v>6</v>
      </c>
      <c r="S1533" s="2" t="n">
        <v>13</v>
      </c>
      <c r="T1533" s="2" t="n">
        <v>11</v>
      </c>
      <c r="U1533" s="2" t="n">
        <v>9</v>
      </c>
      <c r="V1533" s="2" t="n">
        <v>3</v>
      </c>
      <c r="W1533" s="2" t="n">
        <v>2</v>
      </c>
      <c r="X1533" s="2" t="n">
        <v>3</v>
      </c>
      <c r="Y1533" s="2" t="n">
        <v>4</v>
      </c>
      <c r="Z1533" s="2" t="n">
        <v>3</v>
      </c>
    </row>
    <row r="1534" customFormat="false" ht="15" hidden="false" customHeight="true" outlineLevel="0" collapsed="false">
      <c r="A1534" s="2" t="n">
        <v>27</v>
      </c>
      <c r="B1534" s="2" t="s">
        <v>26</v>
      </c>
      <c r="C1534" s="2" t="s">
        <v>27</v>
      </c>
      <c r="D1534" s="2" t="s">
        <v>35</v>
      </c>
      <c r="E1534" s="2" t="n">
        <v>13</v>
      </c>
      <c r="F1534" s="2" t="n">
        <v>2</v>
      </c>
      <c r="G1534" s="2" t="s">
        <v>43</v>
      </c>
      <c r="H1534" s="2" t="n">
        <v>1533</v>
      </c>
      <c r="I1534" s="2" t="s">
        <v>30</v>
      </c>
      <c r="J1534" s="2" t="n">
        <v>4</v>
      </c>
      <c r="K1534" s="2" t="s">
        <v>44</v>
      </c>
      <c r="L1534" s="2" t="s">
        <v>37</v>
      </c>
      <c r="M1534" s="2" t="n">
        <v>28560</v>
      </c>
      <c r="N1534" s="2" t="n">
        <v>1</v>
      </c>
      <c r="O1534" s="2" t="n">
        <v>12</v>
      </c>
      <c r="P1534" s="2" t="n">
        <v>2</v>
      </c>
      <c r="Q1534" s="2" t="n">
        <v>5</v>
      </c>
      <c r="R1534" s="2" t="n">
        <v>5</v>
      </c>
      <c r="S1534" s="2" t="n">
        <v>5</v>
      </c>
      <c r="T1534" s="2" t="n">
        <v>0</v>
      </c>
      <c r="U1534" s="2" t="n">
        <v>4</v>
      </c>
      <c r="V1534" s="2" t="n">
        <v>4</v>
      </c>
      <c r="W1534" s="2" t="n">
        <v>3</v>
      </c>
      <c r="X1534" s="2" t="n">
        <v>3</v>
      </c>
      <c r="Y1534" s="2" t="n">
        <v>4</v>
      </c>
      <c r="Z1534" s="2" t="n">
        <v>3</v>
      </c>
    </row>
    <row r="1535" customFormat="false" ht="15" hidden="false" customHeight="true" outlineLevel="0" collapsed="false">
      <c r="A1535" s="2" t="n">
        <v>31</v>
      </c>
      <c r="B1535" s="2" t="s">
        <v>26</v>
      </c>
      <c r="C1535" s="2" t="s">
        <v>27</v>
      </c>
      <c r="D1535" s="2" t="s">
        <v>28</v>
      </c>
      <c r="E1535" s="2" t="n">
        <v>24</v>
      </c>
      <c r="F1535" s="2" t="n">
        <v>3</v>
      </c>
      <c r="G1535" s="2" t="s">
        <v>29</v>
      </c>
      <c r="H1535" s="2" t="n">
        <v>1534</v>
      </c>
      <c r="I1535" s="2" t="s">
        <v>39</v>
      </c>
      <c r="J1535" s="2" t="n">
        <v>2</v>
      </c>
      <c r="K1535" s="2" t="s">
        <v>31</v>
      </c>
      <c r="L1535" s="2" t="s">
        <v>46</v>
      </c>
      <c r="M1535" s="2" t="n">
        <v>10810</v>
      </c>
      <c r="N1535" s="2" t="n">
        <v>4</v>
      </c>
      <c r="O1535" s="2" t="n">
        <v>11</v>
      </c>
      <c r="P1535" s="2" t="n">
        <v>3</v>
      </c>
      <c r="Q1535" s="2" t="n">
        <v>13</v>
      </c>
      <c r="R1535" s="2" t="n">
        <v>4</v>
      </c>
      <c r="S1535" s="2" t="n">
        <v>7</v>
      </c>
      <c r="T1535" s="2" t="n">
        <v>1</v>
      </c>
      <c r="U1535" s="2" t="n">
        <v>7</v>
      </c>
      <c r="V1535" s="2" t="n">
        <v>4</v>
      </c>
      <c r="W1535" s="2" t="n">
        <v>4</v>
      </c>
      <c r="X1535" s="2"/>
      <c r="Y1535" s="2" t="n">
        <v>4</v>
      </c>
      <c r="Z1535" s="2" t="n">
        <v>3</v>
      </c>
    </row>
    <row r="1536" customFormat="false" ht="15" hidden="false" customHeight="true" outlineLevel="0" collapsed="false">
      <c r="A1536" s="2" t="n">
        <v>32</v>
      </c>
      <c r="B1536" s="2" t="s">
        <v>26</v>
      </c>
      <c r="C1536" s="2" t="s">
        <v>27</v>
      </c>
      <c r="D1536" s="2" t="s">
        <v>35</v>
      </c>
      <c r="E1536" s="2" t="n">
        <v>7</v>
      </c>
      <c r="F1536" s="2" t="n">
        <v>3</v>
      </c>
      <c r="G1536" s="2" t="s">
        <v>51</v>
      </c>
      <c r="H1536" s="2" t="n">
        <v>1535</v>
      </c>
      <c r="I1536" s="2" t="s">
        <v>39</v>
      </c>
      <c r="J1536" s="2" t="n">
        <v>2</v>
      </c>
      <c r="K1536" s="2" t="s">
        <v>31</v>
      </c>
      <c r="L1536" s="2" t="s">
        <v>37</v>
      </c>
      <c r="M1536" s="2" t="n">
        <v>24720</v>
      </c>
      <c r="N1536" s="2" t="n">
        <v>7</v>
      </c>
      <c r="O1536" s="2" t="n">
        <v>13</v>
      </c>
      <c r="P1536" s="2" t="n">
        <v>0</v>
      </c>
      <c r="Q1536" s="2" t="n">
        <v>10</v>
      </c>
      <c r="R1536" s="2" t="n">
        <v>2</v>
      </c>
      <c r="S1536" s="2" t="n">
        <v>7</v>
      </c>
      <c r="T1536" s="2" t="n">
        <v>0</v>
      </c>
      <c r="U1536" s="2" t="n">
        <v>7</v>
      </c>
      <c r="V1536" s="2" t="n">
        <v>1</v>
      </c>
      <c r="W1536" s="2" t="n">
        <v>4</v>
      </c>
      <c r="X1536" s="2" t="n">
        <v>2</v>
      </c>
      <c r="Y1536" s="2" t="n">
        <v>3</v>
      </c>
      <c r="Z1536" s="2" t="n">
        <v>3</v>
      </c>
    </row>
    <row r="1537" customFormat="false" ht="15" hidden="false" customHeight="true" outlineLevel="0" collapsed="false">
      <c r="A1537" s="2" t="n">
        <v>28</v>
      </c>
      <c r="B1537" s="2" t="s">
        <v>33</v>
      </c>
      <c r="C1537" s="2" t="s">
        <v>27</v>
      </c>
      <c r="D1537" s="2" t="s">
        <v>35</v>
      </c>
      <c r="E1537" s="2" t="n">
        <v>9</v>
      </c>
      <c r="F1537" s="2" t="n">
        <v>4</v>
      </c>
      <c r="G1537" s="2" t="s">
        <v>43</v>
      </c>
      <c r="H1537" s="2" t="n">
        <v>1536</v>
      </c>
      <c r="I1537" s="2" t="s">
        <v>39</v>
      </c>
      <c r="J1537" s="2" t="n">
        <v>1</v>
      </c>
      <c r="K1537" s="2" t="s">
        <v>40</v>
      </c>
      <c r="L1537" s="2" t="s">
        <v>32</v>
      </c>
      <c r="M1537" s="2" t="n">
        <v>56730</v>
      </c>
      <c r="N1537" s="2" t="n">
        <v>5</v>
      </c>
      <c r="O1537" s="2" t="n">
        <v>14</v>
      </c>
      <c r="P1537" s="2" t="n">
        <v>1</v>
      </c>
      <c r="Q1537" s="2" t="n">
        <v>5</v>
      </c>
      <c r="R1537" s="2" t="n">
        <v>4</v>
      </c>
      <c r="S1537" s="2" t="n">
        <v>3</v>
      </c>
      <c r="T1537" s="2" t="n">
        <v>2</v>
      </c>
      <c r="U1537" s="2" t="n">
        <v>2</v>
      </c>
      <c r="V1537" s="2" t="n">
        <v>1</v>
      </c>
      <c r="W1537" s="2" t="n">
        <v>4</v>
      </c>
      <c r="X1537" s="2" t="n">
        <v>2</v>
      </c>
      <c r="Y1537" s="2" t="n">
        <v>2</v>
      </c>
      <c r="Z1537" s="2" t="n">
        <v>3</v>
      </c>
    </row>
    <row r="1538" customFormat="false" ht="15" hidden="false" customHeight="true" outlineLevel="0" collapsed="false">
      <c r="A1538" s="2" t="n">
        <v>30</v>
      </c>
      <c r="B1538" s="2" t="s">
        <v>26</v>
      </c>
      <c r="C1538" s="2" t="s">
        <v>27</v>
      </c>
      <c r="D1538" s="2" t="s">
        <v>35</v>
      </c>
      <c r="E1538" s="2" t="n">
        <v>13</v>
      </c>
      <c r="F1538" s="2" t="n">
        <v>3</v>
      </c>
      <c r="G1538" s="2" t="s">
        <v>29</v>
      </c>
      <c r="H1538" s="2" t="n">
        <v>1537</v>
      </c>
      <c r="I1538" s="2" t="s">
        <v>30</v>
      </c>
      <c r="J1538" s="2" t="n">
        <v>4</v>
      </c>
      <c r="K1538" s="2" t="s">
        <v>44</v>
      </c>
      <c r="L1538" s="2" t="s">
        <v>32</v>
      </c>
      <c r="M1538" s="2" t="n">
        <v>41970</v>
      </c>
      <c r="N1538" s="2" t="n">
        <v>1</v>
      </c>
      <c r="O1538" s="2" t="n">
        <v>13</v>
      </c>
      <c r="P1538" s="2" t="n">
        <v>0</v>
      </c>
      <c r="Q1538" s="2" t="n">
        <v>11</v>
      </c>
      <c r="R1538" s="2" t="n">
        <v>3</v>
      </c>
      <c r="S1538" s="2" t="n">
        <v>10</v>
      </c>
      <c r="T1538" s="2" t="n">
        <v>1</v>
      </c>
      <c r="U1538" s="2" t="n">
        <v>9</v>
      </c>
      <c r="V1538" s="2" t="n">
        <v>4</v>
      </c>
      <c r="W1538" s="2" t="n">
        <v>4</v>
      </c>
      <c r="X1538" s="2" t="n">
        <v>3</v>
      </c>
      <c r="Y1538" s="2" t="n">
        <v>3</v>
      </c>
      <c r="Z1538" s="2" t="n">
        <v>3</v>
      </c>
    </row>
    <row r="1539" customFormat="false" ht="15" hidden="false" customHeight="true" outlineLevel="0" collapsed="false">
      <c r="A1539" s="2" t="n">
        <v>31</v>
      </c>
      <c r="B1539" s="2" t="s">
        <v>26</v>
      </c>
      <c r="C1539" s="2" t="s">
        <v>34</v>
      </c>
      <c r="D1539" s="2" t="s">
        <v>35</v>
      </c>
      <c r="E1539" s="2" t="n">
        <v>2</v>
      </c>
      <c r="F1539" s="2" t="n">
        <v>1</v>
      </c>
      <c r="G1539" s="2" t="s">
        <v>29</v>
      </c>
      <c r="H1539" s="2" t="n">
        <v>1538</v>
      </c>
      <c r="I1539" s="2" t="s">
        <v>30</v>
      </c>
      <c r="J1539" s="2" t="n">
        <v>1</v>
      </c>
      <c r="K1539" s="2" t="s">
        <v>49</v>
      </c>
      <c r="L1539" s="2" t="s">
        <v>32</v>
      </c>
      <c r="M1539" s="2" t="n">
        <v>97130</v>
      </c>
      <c r="N1539" s="2" t="n">
        <v>1</v>
      </c>
      <c r="O1539" s="2" t="n">
        <v>17</v>
      </c>
      <c r="P1539" s="2" t="n">
        <v>0</v>
      </c>
      <c r="Q1539" s="2" t="n">
        <v>10</v>
      </c>
      <c r="R1539" s="2" t="n">
        <v>5</v>
      </c>
      <c r="S1539" s="2" t="n">
        <v>10</v>
      </c>
      <c r="T1539" s="2" t="n">
        <v>8</v>
      </c>
      <c r="U1539" s="2" t="n">
        <v>9</v>
      </c>
      <c r="V1539" s="2" t="n">
        <v>3</v>
      </c>
      <c r="W1539" s="2" t="n">
        <v>3</v>
      </c>
      <c r="X1539" s="2" t="n">
        <v>3</v>
      </c>
      <c r="Y1539" s="2" t="n">
        <v>2</v>
      </c>
      <c r="Z1539" s="2" t="n">
        <v>3</v>
      </c>
    </row>
    <row r="1540" customFormat="false" ht="15" hidden="false" customHeight="true" outlineLevel="0" collapsed="false">
      <c r="A1540" s="2" t="n">
        <v>39</v>
      </c>
      <c r="B1540" s="2" t="s">
        <v>26</v>
      </c>
      <c r="C1540" s="2" t="s">
        <v>34</v>
      </c>
      <c r="D1540" s="2" t="s">
        <v>35</v>
      </c>
      <c r="E1540" s="2" t="n">
        <v>19</v>
      </c>
      <c r="F1540" s="2" t="n">
        <v>4</v>
      </c>
      <c r="G1540" s="2" t="s">
        <v>43</v>
      </c>
      <c r="H1540" s="2" t="n">
        <v>1539</v>
      </c>
      <c r="I1540" s="2" t="s">
        <v>30</v>
      </c>
      <c r="J1540" s="2" t="n">
        <v>1</v>
      </c>
      <c r="K1540" s="2" t="s">
        <v>36</v>
      </c>
      <c r="L1540" s="2" t="s">
        <v>32</v>
      </c>
      <c r="M1540" s="2" t="n">
        <v>20620</v>
      </c>
      <c r="N1540" s="2" t="n">
        <v>1</v>
      </c>
      <c r="O1540" s="2" t="n">
        <v>13</v>
      </c>
      <c r="P1540" s="2" t="n">
        <v>0</v>
      </c>
      <c r="Q1540" s="2" t="n">
        <v>21</v>
      </c>
      <c r="R1540" s="2" t="n">
        <v>4</v>
      </c>
      <c r="S1540" s="2" t="n">
        <v>21</v>
      </c>
      <c r="T1540" s="2" t="n">
        <v>13</v>
      </c>
      <c r="U1540" s="2" t="n">
        <v>3</v>
      </c>
      <c r="V1540" s="2" t="n">
        <v>3</v>
      </c>
      <c r="W1540" s="2" t="n">
        <v>4</v>
      </c>
      <c r="X1540" s="2" t="n">
        <v>3</v>
      </c>
      <c r="Y1540" s="2" t="n">
        <v>3</v>
      </c>
      <c r="Z1540" s="2" t="n">
        <v>3</v>
      </c>
    </row>
    <row r="1541" customFormat="false" ht="15" hidden="false" customHeight="true" outlineLevel="0" collapsed="false">
      <c r="A1541" s="2" t="n">
        <v>39</v>
      </c>
      <c r="B1541" s="2" t="s">
        <v>33</v>
      </c>
      <c r="C1541" s="2" t="s">
        <v>27</v>
      </c>
      <c r="D1541" s="2" t="s">
        <v>35</v>
      </c>
      <c r="E1541" s="2" t="n">
        <v>1</v>
      </c>
      <c r="F1541" s="2" t="n">
        <v>1</v>
      </c>
      <c r="G1541" s="2" t="s">
        <v>43</v>
      </c>
      <c r="H1541" s="2" t="n">
        <v>1540</v>
      </c>
      <c r="I1541" s="2" t="s">
        <v>30</v>
      </c>
      <c r="J1541" s="2" t="n">
        <v>1</v>
      </c>
      <c r="K1541" s="2" t="s">
        <v>45</v>
      </c>
      <c r="L1541" s="2" t="s">
        <v>32</v>
      </c>
      <c r="M1541" s="2" t="n">
        <v>42840</v>
      </c>
      <c r="N1541" s="2" t="n">
        <v>4</v>
      </c>
      <c r="O1541" s="2" t="n">
        <v>17</v>
      </c>
      <c r="P1541" s="2" t="n">
        <v>1</v>
      </c>
      <c r="Q1541" s="2" t="n">
        <v>12</v>
      </c>
      <c r="R1541" s="2" t="n">
        <v>0</v>
      </c>
      <c r="S1541" s="2" t="n">
        <v>1</v>
      </c>
      <c r="T1541" s="2" t="n">
        <v>0</v>
      </c>
      <c r="U1541" s="2" t="n">
        <v>0</v>
      </c>
      <c r="V1541" s="2" t="n">
        <v>4</v>
      </c>
      <c r="W1541" s="2" t="n">
        <v>3</v>
      </c>
      <c r="X1541" s="2" t="n">
        <v>2</v>
      </c>
      <c r="Y1541" s="2" t="n">
        <v>3</v>
      </c>
      <c r="Z1541" s="2" t="n">
        <v>3</v>
      </c>
    </row>
    <row r="1542" customFormat="false" ht="15" hidden="false" customHeight="true" outlineLevel="0" collapsed="false">
      <c r="A1542" s="2" t="n">
        <v>33</v>
      </c>
      <c r="B1542" s="2" t="s">
        <v>26</v>
      </c>
      <c r="C1542" s="2" t="s">
        <v>34</v>
      </c>
      <c r="D1542" s="2" t="s">
        <v>28</v>
      </c>
      <c r="E1542" s="2" t="n">
        <v>4</v>
      </c>
      <c r="F1542" s="2" t="n">
        <v>2</v>
      </c>
      <c r="G1542" s="2" t="s">
        <v>29</v>
      </c>
      <c r="H1542" s="2" t="n">
        <v>1541</v>
      </c>
      <c r="I1542" s="2" t="s">
        <v>39</v>
      </c>
      <c r="J1542" s="2" t="n">
        <v>4</v>
      </c>
      <c r="K1542" s="2" t="s">
        <v>36</v>
      </c>
      <c r="L1542" s="2" t="s">
        <v>37</v>
      </c>
      <c r="M1542" s="2" t="n">
        <v>47880</v>
      </c>
      <c r="N1542" s="2" t="n">
        <v>3</v>
      </c>
      <c r="O1542" s="2" t="n">
        <v>11</v>
      </c>
      <c r="P1542" s="2" t="n">
        <v>1</v>
      </c>
      <c r="Q1542" s="2" t="n">
        <v>9</v>
      </c>
      <c r="R1542" s="2" t="n">
        <v>0</v>
      </c>
      <c r="S1542" s="2" t="n">
        <v>7</v>
      </c>
      <c r="T1542" s="2" t="n">
        <v>0</v>
      </c>
      <c r="U1542" s="2" t="n">
        <v>1</v>
      </c>
      <c r="V1542" s="2" t="n">
        <v>2</v>
      </c>
      <c r="W1542" s="2" t="n">
        <v>4</v>
      </c>
      <c r="X1542" s="2" t="n">
        <v>2</v>
      </c>
      <c r="Y1542" s="2" t="n">
        <v>3</v>
      </c>
      <c r="Z1542" s="2" t="n">
        <v>3</v>
      </c>
    </row>
    <row r="1543" customFormat="false" ht="15" hidden="false" customHeight="true" outlineLevel="0" collapsed="false">
      <c r="A1543" s="2" t="n">
        <v>47</v>
      </c>
      <c r="B1543" s="2" t="s">
        <v>26</v>
      </c>
      <c r="C1543" s="2" t="s">
        <v>27</v>
      </c>
      <c r="D1543" s="2" t="s">
        <v>35</v>
      </c>
      <c r="E1543" s="2" t="n">
        <v>4</v>
      </c>
      <c r="F1543" s="2" t="n">
        <v>3</v>
      </c>
      <c r="G1543" s="2" t="s">
        <v>29</v>
      </c>
      <c r="H1543" s="2" t="n">
        <v>1542</v>
      </c>
      <c r="I1543" s="2" t="s">
        <v>30</v>
      </c>
      <c r="J1543" s="2" t="n">
        <v>2</v>
      </c>
      <c r="K1543" s="2" t="s">
        <v>31</v>
      </c>
      <c r="L1543" s="2" t="s">
        <v>32</v>
      </c>
      <c r="M1543" s="2" t="n">
        <v>59060</v>
      </c>
      <c r="N1543" s="2" t="n">
        <v>4</v>
      </c>
      <c r="O1543" s="2" t="n">
        <v>23</v>
      </c>
      <c r="P1543" s="2" t="n">
        <v>0</v>
      </c>
      <c r="Q1543" s="2" t="n">
        <v>21</v>
      </c>
      <c r="R1543" s="2" t="n">
        <v>4</v>
      </c>
      <c r="S1543" s="2" t="n">
        <v>3</v>
      </c>
      <c r="T1543" s="2" t="n">
        <v>1</v>
      </c>
      <c r="U1543" s="2" t="n">
        <v>1</v>
      </c>
      <c r="V1543" s="2" t="n">
        <v>4</v>
      </c>
      <c r="W1543" s="2" t="n">
        <v>3</v>
      </c>
      <c r="X1543" s="2" t="n">
        <v>3</v>
      </c>
      <c r="Y1543" s="2" t="n">
        <v>4</v>
      </c>
      <c r="Z1543" s="2" t="n">
        <v>4</v>
      </c>
    </row>
    <row r="1544" customFormat="false" ht="15" hidden="false" customHeight="true" outlineLevel="0" collapsed="false">
      <c r="A1544" s="2" t="n">
        <v>43</v>
      </c>
      <c r="B1544" s="2" t="s">
        <v>26</v>
      </c>
      <c r="C1544" s="2" t="s">
        <v>34</v>
      </c>
      <c r="D1544" s="2" t="s">
        <v>35</v>
      </c>
      <c r="E1544" s="2" t="n">
        <v>14</v>
      </c>
      <c r="F1544" s="2" t="n">
        <v>3</v>
      </c>
      <c r="G1544" s="2" t="s">
        <v>43</v>
      </c>
      <c r="H1544" s="2" t="n">
        <v>1543</v>
      </c>
      <c r="I1544" s="2" t="s">
        <v>30</v>
      </c>
      <c r="J1544" s="2" t="n">
        <v>5</v>
      </c>
      <c r="K1544" s="2" t="s">
        <v>44</v>
      </c>
      <c r="L1544" s="2" t="s">
        <v>46</v>
      </c>
      <c r="M1544" s="2" t="n">
        <v>38860</v>
      </c>
      <c r="N1544" s="2" t="n">
        <v>1</v>
      </c>
      <c r="O1544" s="2" t="n">
        <v>17</v>
      </c>
      <c r="P1544" s="2" t="n">
        <v>2</v>
      </c>
      <c r="Q1544" s="2" t="n">
        <v>9</v>
      </c>
      <c r="R1544" s="2" t="n">
        <v>2</v>
      </c>
      <c r="S1544" s="2" t="n">
        <v>9</v>
      </c>
      <c r="T1544" s="2" t="n">
        <v>0</v>
      </c>
      <c r="U1544" s="2" t="n">
        <v>0</v>
      </c>
      <c r="V1544" s="2" t="n">
        <v>3</v>
      </c>
      <c r="W1544" s="2" t="n">
        <v>3</v>
      </c>
      <c r="X1544" s="2" t="n">
        <v>4</v>
      </c>
      <c r="Y1544" s="2" t="n">
        <v>3</v>
      </c>
      <c r="Z1544" s="2" t="n">
        <v>3</v>
      </c>
    </row>
    <row r="1545" customFormat="false" ht="15" hidden="false" customHeight="true" outlineLevel="0" collapsed="false">
      <c r="A1545" s="2" t="n">
        <v>27</v>
      </c>
      <c r="B1545" s="2" t="s">
        <v>26</v>
      </c>
      <c r="C1545" s="2" t="s">
        <v>41</v>
      </c>
      <c r="D1545" s="2" t="s">
        <v>35</v>
      </c>
      <c r="E1545" s="2" t="n">
        <v>2</v>
      </c>
      <c r="F1545" s="2" t="n">
        <v>3</v>
      </c>
      <c r="G1545" s="2" t="s">
        <v>29</v>
      </c>
      <c r="H1545" s="2" t="n">
        <v>1544</v>
      </c>
      <c r="I1545" s="2" t="s">
        <v>39</v>
      </c>
      <c r="J1545" s="2" t="n">
        <v>1</v>
      </c>
      <c r="K1545" s="2" t="s">
        <v>44</v>
      </c>
      <c r="L1545" s="2" t="s">
        <v>32</v>
      </c>
      <c r="M1545" s="2" t="n">
        <v>168230</v>
      </c>
      <c r="N1545" s="2" t="n">
        <v>0</v>
      </c>
      <c r="O1545" s="2" t="n">
        <v>17</v>
      </c>
      <c r="P1545" s="2" t="n">
        <v>0</v>
      </c>
      <c r="Q1545" s="2" t="n">
        <v>6</v>
      </c>
      <c r="R1545" s="2" t="n">
        <v>3</v>
      </c>
      <c r="S1545" s="2" t="n">
        <v>5</v>
      </c>
      <c r="T1545" s="2" t="n">
        <v>1</v>
      </c>
      <c r="U1545" s="2" t="n">
        <v>4</v>
      </c>
      <c r="V1545" s="2" t="n">
        <v>3</v>
      </c>
      <c r="W1545" s="2" t="n">
        <v>2</v>
      </c>
      <c r="X1545" s="2" t="n">
        <v>3</v>
      </c>
      <c r="Y1545" s="2" t="n">
        <v>3</v>
      </c>
      <c r="Z1545" s="2" t="n">
        <v>3</v>
      </c>
    </row>
    <row r="1546" customFormat="false" ht="15" hidden="false" customHeight="true" outlineLevel="0" collapsed="false">
      <c r="A1546" s="2" t="n">
        <v>54</v>
      </c>
      <c r="B1546" s="2" t="s">
        <v>26</v>
      </c>
      <c r="C1546" s="2" t="s">
        <v>34</v>
      </c>
      <c r="D1546" s="2" t="s">
        <v>35</v>
      </c>
      <c r="E1546" s="2" t="n">
        <v>1</v>
      </c>
      <c r="F1546" s="2" t="n">
        <v>4</v>
      </c>
      <c r="G1546" s="2" t="s">
        <v>29</v>
      </c>
      <c r="H1546" s="2" t="n">
        <v>1545</v>
      </c>
      <c r="I1546" s="2" t="s">
        <v>39</v>
      </c>
      <c r="J1546" s="2" t="n">
        <v>2</v>
      </c>
      <c r="K1546" s="2" t="s">
        <v>36</v>
      </c>
      <c r="L1546" s="2" t="s">
        <v>37</v>
      </c>
      <c r="M1546" s="2" t="n">
        <v>29330</v>
      </c>
      <c r="N1546" s="2" t="n">
        <v>3</v>
      </c>
      <c r="O1546" s="2" t="n">
        <v>12</v>
      </c>
      <c r="P1546" s="2" t="n">
        <v>2</v>
      </c>
      <c r="Q1546" s="2" t="n">
        <v>20</v>
      </c>
      <c r="R1546" s="2" t="n">
        <v>2</v>
      </c>
      <c r="S1546" s="2" t="n">
        <v>4</v>
      </c>
      <c r="T1546" s="2" t="n">
        <v>0</v>
      </c>
      <c r="U1546" s="2" t="n">
        <v>3</v>
      </c>
      <c r="V1546" s="2" t="n">
        <v>4</v>
      </c>
      <c r="W1546" s="2" t="n">
        <v>3</v>
      </c>
      <c r="X1546" s="2" t="n">
        <v>2</v>
      </c>
      <c r="Y1546" s="2" t="n">
        <v>3</v>
      </c>
      <c r="Z1546" s="2" t="n">
        <v>3</v>
      </c>
    </row>
    <row r="1547" customFormat="false" ht="15" hidden="false" customHeight="true" outlineLevel="0" collapsed="false">
      <c r="A1547" s="2" t="n">
        <v>43</v>
      </c>
      <c r="B1547" s="2" t="s">
        <v>26</v>
      </c>
      <c r="C1547" s="2" t="s">
        <v>27</v>
      </c>
      <c r="D1547" s="2" t="s">
        <v>35</v>
      </c>
      <c r="E1547" s="2" t="n">
        <v>7</v>
      </c>
      <c r="F1547" s="2" t="n">
        <v>2</v>
      </c>
      <c r="G1547" s="2" t="s">
        <v>29</v>
      </c>
      <c r="H1547" s="2" t="n">
        <v>1546</v>
      </c>
      <c r="I1547" s="2" t="s">
        <v>30</v>
      </c>
      <c r="J1547" s="2" t="n">
        <v>2</v>
      </c>
      <c r="K1547" s="2" t="s">
        <v>49</v>
      </c>
      <c r="L1547" s="2" t="s">
        <v>32</v>
      </c>
      <c r="M1547" s="2" t="n">
        <v>65000</v>
      </c>
      <c r="N1547" s="2" t="n">
        <v>8</v>
      </c>
      <c r="O1547" s="2" t="n">
        <v>23</v>
      </c>
      <c r="P1547" s="2" t="n">
        <v>0</v>
      </c>
      <c r="Q1547" s="2" t="n">
        <v>10</v>
      </c>
      <c r="R1547" s="2" t="n">
        <v>3</v>
      </c>
      <c r="S1547" s="2" t="n">
        <v>1</v>
      </c>
      <c r="T1547" s="2" t="n">
        <v>0</v>
      </c>
      <c r="U1547" s="2" t="n">
        <v>0</v>
      </c>
      <c r="V1547" s="2" t="n">
        <v>3</v>
      </c>
      <c r="W1547" s="2" t="n">
        <v>1</v>
      </c>
      <c r="X1547" s="2" t="n">
        <v>2</v>
      </c>
      <c r="Y1547" s="2" t="n">
        <v>3</v>
      </c>
      <c r="Z1547" s="2" t="n">
        <v>4</v>
      </c>
    </row>
    <row r="1548" customFormat="false" ht="15" hidden="false" customHeight="true" outlineLevel="0" collapsed="false">
      <c r="A1548" s="2" t="n">
        <v>45</v>
      </c>
      <c r="B1548" s="2" t="s">
        <v>26</v>
      </c>
      <c r="C1548" s="2" t="s">
        <v>27</v>
      </c>
      <c r="D1548" s="2" t="s">
        <v>28</v>
      </c>
      <c r="E1548" s="2" t="n">
        <v>3</v>
      </c>
      <c r="F1548" s="2" t="n">
        <v>1</v>
      </c>
      <c r="G1548" s="2" t="s">
        <v>50</v>
      </c>
      <c r="H1548" s="2" t="n">
        <v>1547</v>
      </c>
      <c r="I1548" s="2" t="s">
        <v>30</v>
      </c>
      <c r="J1548" s="2" t="n">
        <v>1</v>
      </c>
      <c r="K1548" s="2" t="s">
        <v>40</v>
      </c>
      <c r="L1548" s="2" t="s">
        <v>32</v>
      </c>
      <c r="M1548" s="2" t="n">
        <v>171740</v>
      </c>
      <c r="N1548" s="2" t="n">
        <v>9</v>
      </c>
      <c r="O1548" s="2" t="n">
        <v>14</v>
      </c>
      <c r="P1548" s="2" t="n">
        <v>1</v>
      </c>
      <c r="Q1548" s="2" t="n">
        <v>12</v>
      </c>
      <c r="R1548" s="2" t="n">
        <v>6</v>
      </c>
      <c r="S1548" s="2" t="n">
        <v>10</v>
      </c>
      <c r="T1548" s="2" t="n">
        <v>9</v>
      </c>
      <c r="U1548" s="2" t="n">
        <v>8</v>
      </c>
      <c r="V1548" s="2" t="n">
        <v>4</v>
      </c>
      <c r="W1548" s="2" t="n">
        <v>4</v>
      </c>
      <c r="X1548" s="2" t="n">
        <v>3</v>
      </c>
      <c r="Y1548" s="2" t="n">
        <v>3</v>
      </c>
      <c r="Z1548" s="2" t="n">
        <v>3</v>
      </c>
    </row>
    <row r="1549" customFormat="false" ht="15" hidden="false" customHeight="true" outlineLevel="0" collapsed="false">
      <c r="A1549" s="2" t="n">
        <v>40</v>
      </c>
      <c r="B1549" s="2" t="s">
        <v>26</v>
      </c>
      <c r="C1549" s="2" t="s">
        <v>27</v>
      </c>
      <c r="D1549" s="2" t="s">
        <v>35</v>
      </c>
      <c r="E1549" s="2" t="n">
        <v>2</v>
      </c>
      <c r="F1549" s="2" t="n">
        <v>4</v>
      </c>
      <c r="G1549" s="2" t="s">
        <v>38</v>
      </c>
      <c r="H1549" s="2" t="n">
        <v>1548</v>
      </c>
      <c r="I1549" s="2" t="s">
        <v>39</v>
      </c>
      <c r="J1549" s="2" t="n">
        <v>4</v>
      </c>
      <c r="K1549" s="2" t="s">
        <v>36</v>
      </c>
      <c r="L1549" s="2" t="s">
        <v>32</v>
      </c>
      <c r="M1549" s="2" t="n">
        <v>50330</v>
      </c>
      <c r="N1549" s="2" t="n">
        <v>2</v>
      </c>
      <c r="O1549" s="2" t="n">
        <v>14</v>
      </c>
      <c r="P1549" s="2" t="n">
        <v>2</v>
      </c>
      <c r="Q1549" s="2" t="n">
        <v>6</v>
      </c>
      <c r="R1549" s="2" t="n">
        <v>6</v>
      </c>
      <c r="S1549" s="2" t="n">
        <v>4</v>
      </c>
      <c r="T1549" s="2" t="n">
        <v>0</v>
      </c>
      <c r="U1549" s="2" t="n">
        <v>2</v>
      </c>
      <c r="V1549" s="2" t="n">
        <v>2</v>
      </c>
      <c r="W1549" s="2" t="n">
        <v>4</v>
      </c>
      <c r="X1549" s="2" t="n">
        <v>2</v>
      </c>
      <c r="Y1549" s="2" t="n">
        <v>3</v>
      </c>
      <c r="Z1549" s="2" t="n">
        <v>3</v>
      </c>
    </row>
    <row r="1550" customFormat="false" ht="15" hidden="false" customHeight="true" outlineLevel="0" collapsed="false">
      <c r="A1550" s="2" t="n">
        <v>29</v>
      </c>
      <c r="B1550" s="2" t="s">
        <v>33</v>
      </c>
      <c r="C1550" s="2" t="s">
        <v>27</v>
      </c>
      <c r="D1550" s="2" t="s">
        <v>35</v>
      </c>
      <c r="E1550" s="2" t="n">
        <v>29</v>
      </c>
      <c r="F1550" s="2" t="n">
        <v>3</v>
      </c>
      <c r="G1550" s="2" t="s">
        <v>43</v>
      </c>
      <c r="H1550" s="2" t="n">
        <v>1549</v>
      </c>
      <c r="I1550" s="2" t="s">
        <v>30</v>
      </c>
      <c r="J1550" s="2" t="n">
        <v>1</v>
      </c>
      <c r="K1550" s="2" t="s">
        <v>36</v>
      </c>
      <c r="L1550" s="2" t="s">
        <v>32</v>
      </c>
      <c r="M1550" s="2" t="n">
        <v>23070</v>
      </c>
      <c r="N1550" s="2" t="n">
        <v>1</v>
      </c>
      <c r="O1550" s="2" t="n">
        <v>13</v>
      </c>
      <c r="P1550" s="2" t="n">
        <v>1</v>
      </c>
      <c r="Q1550" s="2" t="n">
        <v>7</v>
      </c>
      <c r="R1550" s="2" t="n">
        <v>0</v>
      </c>
      <c r="S1550" s="2" t="n">
        <v>7</v>
      </c>
      <c r="T1550" s="2" t="n">
        <v>0</v>
      </c>
      <c r="U1550" s="2" t="n">
        <v>7</v>
      </c>
      <c r="V1550" s="2" t="n">
        <v>2</v>
      </c>
      <c r="W1550" s="2" t="n">
        <v>1</v>
      </c>
      <c r="X1550" s="2" t="n">
        <v>2</v>
      </c>
      <c r="Y1550" s="2" t="n">
        <v>3</v>
      </c>
      <c r="Z1550" s="2" t="n">
        <v>3</v>
      </c>
    </row>
    <row r="1551" customFormat="false" ht="15" hidden="false" customHeight="true" outlineLevel="0" collapsed="false">
      <c r="A1551" s="2" t="n">
        <v>29</v>
      </c>
      <c r="B1551" s="2" t="s">
        <v>26</v>
      </c>
      <c r="C1551" s="2" t="s">
        <v>27</v>
      </c>
      <c r="D1551" s="2" t="s">
        <v>42</v>
      </c>
      <c r="E1551" s="2" t="n">
        <v>8</v>
      </c>
      <c r="F1551" s="2" t="n">
        <v>3</v>
      </c>
      <c r="G1551" s="2" t="s">
        <v>43</v>
      </c>
      <c r="H1551" s="2" t="n">
        <v>1550</v>
      </c>
      <c r="I1551" s="2" t="s">
        <v>39</v>
      </c>
      <c r="J1551" s="2" t="n">
        <v>3</v>
      </c>
      <c r="K1551" s="2" t="s">
        <v>48</v>
      </c>
      <c r="L1551" s="2" t="s">
        <v>37</v>
      </c>
      <c r="M1551" s="2" t="n">
        <v>25870</v>
      </c>
      <c r="N1551" s="2" t="n">
        <v>0</v>
      </c>
      <c r="O1551" s="2" t="n">
        <v>22</v>
      </c>
      <c r="P1551" s="2" t="n">
        <v>2</v>
      </c>
      <c r="Q1551" s="2" t="n">
        <v>4</v>
      </c>
      <c r="R1551" s="2" t="n">
        <v>3</v>
      </c>
      <c r="S1551" s="2" t="n">
        <v>3</v>
      </c>
      <c r="T1551" s="2" t="n">
        <v>2</v>
      </c>
      <c r="U1551" s="2" t="n">
        <v>2</v>
      </c>
      <c r="V1551" s="2" t="n">
        <v>2</v>
      </c>
      <c r="W1551" s="2" t="n">
        <v>4</v>
      </c>
      <c r="X1551" s="2" t="n">
        <v>3</v>
      </c>
      <c r="Y1551" s="2" t="n">
        <v>3</v>
      </c>
      <c r="Z1551" s="2" t="n">
        <v>4</v>
      </c>
    </row>
    <row r="1552" customFormat="false" ht="15" hidden="false" customHeight="true" outlineLevel="0" collapsed="false">
      <c r="A1552" s="2" t="n">
        <v>30</v>
      </c>
      <c r="B1552" s="2" t="s">
        <v>26</v>
      </c>
      <c r="C1552" s="2" t="s">
        <v>27</v>
      </c>
      <c r="D1552" s="2" t="s">
        <v>35</v>
      </c>
      <c r="E1552" s="2" t="n">
        <v>10</v>
      </c>
      <c r="F1552" s="2" t="n">
        <v>3</v>
      </c>
      <c r="G1552" s="2" t="s">
        <v>29</v>
      </c>
      <c r="H1552" s="2" t="n">
        <v>1551</v>
      </c>
      <c r="I1552" s="2" t="s">
        <v>39</v>
      </c>
      <c r="J1552" s="2" t="n">
        <v>2</v>
      </c>
      <c r="K1552" s="2" t="s">
        <v>36</v>
      </c>
      <c r="L1552" s="2" t="s">
        <v>46</v>
      </c>
      <c r="M1552" s="2" t="n">
        <v>55070</v>
      </c>
      <c r="N1552" s="2" t="n">
        <v>1</v>
      </c>
      <c r="O1552" s="2" t="n">
        <v>12</v>
      </c>
      <c r="P1552" s="2" t="n">
        <v>2</v>
      </c>
      <c r="Q1552" s="2" t="n">
        <v>10</v>
      </c>
      <c r="R1552" s="2" t="n">
        <v>2</v>
      </c>
      <c r="S1552" s="2" t="n">
        <v>10</v>
      </c>
      <c r="T1552" s="2" t="n">
        <v>1</v>
      </c>
      <c r="U1552" s="2" t="n">
        <v>2</v>
      </c>
      <c r="V1552" s="2" t="n">
        <v>4</v>
      </c>
      <c r="W1552" s="2" t="n">
        <v>3</v>
      </c>
      <c r="X1552" s="2" t="n">
        <v>3</v>
      </c>
      <c r="Y1552" s="2" t="n">
        <v>2</v>
      </c>
      <c r="Z1552" s="2" t="n">
        <v>3</v>
      </c>
    </row>
    <row r="1553" customFormat="false" ht="15" hidden="false" customHeight="true" outlineLevel="0" collapsed="false">
      <c r="A1553" s="2" t="n">
        <v>27</v>
      </c>
      <c r="B1553" s="2" t="s">
        <v>26</v>
      </c>
      <c r="C1553" s="2" t="s">
        <v>27</v>
      </c>
      <c r="D1553" s="2" t="s">
        <v>35</v>
      </c>
      <c r="E1553" s="2" t="n">
        <v>11</v>
      </c>
      <c r="F1553" s="2" t="n">
        <v>2</v>
      </c>
      <c r="G1553" s="2" t="s">
        <v>43</v>
      </c>
      <c r="H1553" s="2" t="n">
        <v>1552</v>
      </c>
      <c r="I1553" s="2" t="s">
        <v>39</v>
      </c>
      <c r="J1553" s="2" t="n">
        <v>1</v>
      </c>
      <c r="K1553" s="2" t="s">
        <v>49</v>
      </c>
      <c r="L1553" s="2" t="s">
        <v>32</v>
      </c>
      <c r="M1553" s="2" t="n">
        <v>43930</v>
      </c>
      <c r="N1553" s="2" t="n">
        <v>1</v>
      </c>
      <c r="O1553" s="2" t="n">
        <v>18</v>
      </c>
      <c r="P1553" s="2" t="n">
        <v>1</v>
      </c>
      <c r="Q1553" s="2" t="n">
        <v>8</v>
      </c>
      <c r="R1553" s="2" t="n">
        <v>2</v>
      </c>
      <c r="S1553" s="2" t="n">
        <v>8</v>
      </c>
      <c r="T1553" s="2" t="n">
        <v>0</v>
      </c>
      <c r="U1553" s="2" t="n">
        <v>7</v>
      </c>
      <c r="V1553" s="2" t="n">
        <v>2</v>
      </c>
      <c r="W1553" s="2" t="n">
        <v>2</v>
      </c>
      <c r="X1553" s="2" t="n">
        <v>3</v>
      </c>
      <c r="Y1553" s="2" t="n">
        <v>2</v>
      </c>
      <c r="Z1553" s="2" t="n">
        <v>3</v>
      </c>
    </row>
    <row r="1554" customFormat="false" ht="15" hidden="false" customHeight="true" outlineLevel="0" collapsed="false">
      <c r="A1554" s="2" t="n">
        <v>37</v>
      </c>
      <c r="B1554" s="2" t="s">
        <v>26</v>
      </c>
      <c r="C1554" s="2" t="s">
        <v>27</v>
      </c>
      <c r="D1554" s="2" t="s">
        <v>28</v>
      </c>
      <c r="E1554" s="2" t="n">
        <v>1</v>
      </c>
      <c r="F1554" s="2" t="n">
        <v>4</v>
      </c>
      <c r="G1554" s="2" t="s">
        <v>29</v>
      </c>
      <c r="H1554" s="2" t="n">
        <v>1553</v>
      </c>
      <c r="I1554" s="2" t="s">
        <v>39</v>
      </c>
      <c r="J1554" s="2" t="n">
        <v>2</v>
      </c>
      <c r="K1554" s="2" t="s">
        <v>31</v>
      </c>
      <c r="L1554" s="2" t="s">
        <v>46</v>
      </c>
      <c r="M1554" s="2" t="n">
        <v>133480</v>
      </c>
      <c r="N1554" s="2" t="n">
        <v>7</v>
      </c>
      <c r="O1554" s="2" t="n">
        <v>14</v>
      </c>
      <c r="P1554" s="2" t="n">
        <v>0</v>
      </c>
      <c r="Q1554" s="2" t="n">
        <v>8</v>
      </c>
      <c r="R1554" s="2" t="n">
        <v>4</v>
      </c>
      <c r="S1554" s="2" t="n">
        <v>6</v>
      </c>
      <c r="T1554" s="2" t="n">
        <v>0</v>
      </c>
      <c r="U1554" s="2" t="n">
        <v>4</v>
      </c>
      <c r="V1554" s="2" t="n">
        <v>4</v>
      </c>
      <c r="W1554" s="2" t="n">
        <v>4</v>
      </c>
      <c r="X1554" s="2" t="n">
        <v>2</v>
      </c>
      <c r="Y1554" s="2" t="n">
        <v>3</v>
      </c>
      <c r="Z1554" s="2" t="n">
        <v>3</v>
      </c>
    </row>
    <row r="1555" customFormat="false" ht="15" hidden="false" customHeight="true" outlineLevel="0" collapsed="false">
      <c r="A1555" s="2" t="n">
        <v>38</v>
      </c>
      <c r="B1555" s="2" t="s">
        <v>26</v>
      </c>
      <c r="C1555" s="2" t="s">
        <v>27</v>
      </c>
      <c r="D1555" s="2" t="s">
        <v>35</v>
      </c>
      <c r="E1555" s="2" t="n">
        <v>28</v>
      </c>
      <c r="F1555" s="2" t="n">
        <v>4</v>
      </c>
      <c r="G1555" s="2" t="s">
        <v>43</v>
      </c>
      <c r="H1555" s="2" t="n">
        <v>1554</v>
      </c>
      <c r="I1555" s="2" t="s">
        <v>39</v>
      </c>
      <c r="J1555" s="2" t="n">
        <v>1</v>
      </c>
      <c r="K1555" s="2" t="s">
        <v>45</v>
      </c>
      <c r="L1555" s="2" t="s">
        <v>46</v>
      </c>
      <c r="M1555" s="2" t="n">
        <v>65830</v>
      </c>
      <c r="N1555" s="2" t="n">
        <v>0</v>
      </c>
      <c r="O1555" s="2" t="n">
        <v>12</v>
      </c>
      <c r="P1555" s="2" t="n">
        <v>0</v>
      </c>
      <c r="Q1555" s="2" t="n">
        <v>12</v>
      </c>
      <c r="R1555" s="2" t="n">
        <v>1</v>
      </c>
      <c r="S1555" s="2" t="n">
        <v>11</v>
      </c>
      <c r="T1555" s="2" t="n">
        <v>2</v>
      </c>
      <c r="U1555" s="2" t="n">
        <v>9</v>
      </c>
      <c r="V1555" s="2" t="n">
        <v>3</v>
      </c>
      <c r="W1555" s="2" t="n">
        <v>4</v>
      </c>
      <c r="X1555" s="2" t="n">
        <v>3</v>
      </c>
      <c r="Y1555" s="2" t="n">
        <v>3</v>
      </c>
      <c r="Z1555" s="2" t="n">
        <v>3</v>
      </c>
    </row>
    <row r="1556" customFormat="false" ht="15" hidden="false" customHeight="true" outlineLevel="0" collapsed="false">
      <c r="A1556" s="2" t="n">
        <v>31</v>
      </c>
      <c r="B1556" s="2" t="s">
        <v>26</v>
      </c>
      <c r="C1556" s="2" t="s">
        <v>27</v>
      </c>
      <c r="D1556" s="2" t="s">
        <v>35</v>
      </c>
      <c r="E1556" s="2" t="n">
        <v>6</v>
      </c>
      <c r="F1556" s="2" t="n">
        <v>3</v>
      </c>
      <c r="G1556" s="2" t="s">
        <v>43</v>
      </c>
      <c r="H1556" s="2" t="n">
        <v>1555</v>
      </c>
      <c r="I1556" s="2" t="s">
        <v>30</v>
      </c>
      <c r="J1556" s="2" t="n">
        <v>3</v>
      </c>
      <c r="K1556" s="2" t="s">
        <v>49</v>
      </c>
      <c r="L1556" s="2" t="s">
        <v>37</v>
      </c>
      <c r="M1556" s="2" t="n">
        <v>81030</v>
      </c>
      <c r="N1556" s="2" t="n">
        <v>1</v>
      </c>
      <c r="O1556" s="2" t="n">
        <v>15</v>
      </c>
      <c r="P1556" s="2" t="n">
        <v>1</v>
      </c>
      <c r="Q1556" s="2" t="n">
        <v>11</v>
      </c>
      <c r="R1556" s="2" t="n">
        <v>5</v>
      </c>
      <c r="S1556" s="2" t="n">
        <v>11</v>
      </c>
      <c r="T1556" s="2" t="n">
        <v>4</v>
      </c>
      <c r="U1556" s="2" t="n">
        <v>10</v>
      </c>
      <c r="V1556" s="2" t="n">
        <v>3</v>
      </c>
      <c r="W1556" s="2" t="n">
        <v>4</v>
      </c>
      <c r="X1556" s="2" t="n">
        <v>2</v>
      </c>
      <c r="Y1556" s="2" t="n">
        <v>3</v>
      </c>
      <c r="Z1556" s="2" t="n">
        <v>3</v>
      </c>
    </row>
    <row r="1557" customFormat="false" ht="15" hidden="false" customHeight="true" outlineLevel="0" collapsed="false">
      <c r="A1557" s="2" t="n">
        <v>29</v>
      </c>
      <c r="B1557" s="2" t="s">
        <v>26</v>
      </c>
      <c r="C1557" s="2" t="s">
        <v>27</v>
      </c>
      <c r="D1557" s="2" t="s">
        <v>35</v>
      </c>
      <c r="E1557" s="2" t="n">
        <v>3</v>
      </c>
      <c r="F1557" s="2" t="n">
        <v>4</v>
      </c>
      <c r="G1557" s="2" t="s">
        <v>29</v>
      </c>
      <c r="H1557" s="2" t="n">
        <v>1556</v>
      </c>
      <c r="I1557" s="2" t="s">
        <v>39</v>
      </c>
      <c r="J1557" s="2" t="n">
        <v>3</v>
      </c>
      <c r="K1557" s="2" t="s">
        <v>40</v>
      </c>
      <c r="L1557" s="2" t="s">
        <v>46</v>
      </c>
      <c r="M1557" s="2" t="n">
        <v>39780</v>
      </c>
      <c r="N1557" s="2" t="n">
        <v>1</v>
      </c>
      <c r="O1557" s="2" t="n">
        <v>11</v>
      </c>
      <c r="P1557" s="2" t="n">
        <v>0</v>
      </c>
      <c r="Q1557" s="2" t="n">
        <v>7</v>
      </c>
      <c r="R1557" s="2" t="n">
        <v>0</v>
      </c>
      <c r="S1557" s="2" t="n">
        <v>7</v>
      </c>
      <c r="T1557" s="2" t="n">
        <v>1</v>
      </c>
      <c r="U1557" s="2" t="n">
        <v>7</v>
      </c>
      <c r="V1557" s="2" t="n">
        <v>4</v>
      </c>
      <c r="W1557" s="2" t="n">
        <v>2</v>
      </c>
      <c r="X1557" s="2" t="n">
        <v>3</v>
      </c>
      <c r="Y1557" s="2" t="n">
        <v>3</v>
      </c>
      <c r="Z1557" s="2" t="n">
        <v>3</v>
      </c>
    </row>
    <row r="1558" customFormat="false" ht="15" hidden="false" customHeight="true" outlineLevel="0" collapsed="false">
      <c r="A1558" s="2" t="n">
        <v>35</v>
      </c>
      <c r="B1558" s="2" t="s">
        <v>26</v>
      </c>
      <c r="C1558" s="2" t="s">
        <v>27</v>
      </c>
      <c r="D1558" s="2" t="s">
        <v>28</v>
      </c>
      <c r="E1558" s="2" t="n">
        <v>16</v>
      </c>
      <c r="F1558" s="2" t="n">
        <v>2</v>
      </c>
      <c r="G1558" s="2" t="s">
        <v>51</v>
      </c>
      <c r="H1558" s="2" t="n">
        <v>1557</v>
      </c>
      <c r="I1558" s="2" t="s">
        <v>39</v>
      </c>
      <c r="J1558" s="2" t="n">
        <v>3</v>
      </c>
      <c r="K1558" s="2" t="s">
        <v>49</v>
      </c>
      <c r="L1558" s="2" t="s">
        <v>37</v>
      </c>
      <c r="M1558" s="2" t="n">
        <v>25440</v>
      </c>
      <c r="N1558" s="2" t="n">
        <v>0</v>
      </c>
      <c r="O1558" s="2" t="n">
        <v>13</v>
      </c>
      <c r="P1558" s="2" t="n">
        <v>1</v>
      </c>
      <c r="Q1558" s="2" t="n">
        <v>17</v>
      </c>
      <c r="R1558" s="2" t="n">
        <v>3</v>
      </c>
      <c r="S1558" s="2" t="n">
        <v>16</v>
      </c>
      <c r="T1558" s="2" t="n">
        <v>0</v>
      </c>
      <c r="U1558" s="2" t="n">
        <v>13</v>
      </c>
      <c r="V1558" s="2" t="n">
        <v>3</v>
      </c>
      <c r="W1558" s="2" t="n">
        <v>2</v>
      </c>
      <c r="X1558" s="2" t="n">
        <v>3</v>
      </c>
      <c r="Y1558" s="2" t="n">
        <v>4</v>
      </c>
      <c r="Z1558" s="2" t="n">
        <v>3</v>
      </c>
    </row>
    <row r="1559" customFormat="false" ht="15" hidden="false" customHeight="true" outlineLevel="0" collapsed="false">
      <c r="A1559" s="2" t="n">
        <v>23</v>
      </c>
      <c r="B1559" s="2" t="s">
        <v>26</v>
      </c>
      <c r="C1559" s="2" t="s">
        <v>27</v>
      </c>
      <c r="D1559" s="2" t="s">
        <v>35</v>
      </c>
      <c r="E1559" s="2" t="n">
        <v>20</v>
      </c>
      <c r="F1559" s="2" t="n">
        <v>4</v>
      </c>
      <c r="G1559" s="2" t="s">
        <v>29</v>
      </c>
      <c r="H1559" s="2" t="n">
        <v>1558</v>
      </c>
      <c r="I1559" s="2" t="s">
        <v>39</v>
      </c>
      <c r="J1559" s="2" t="n">
        <v>1</v>
      </c>
      <c r="K1559" s="2" t="s">
        <v>47</v>
      </c>
      <c r="L1559" s="2" t="s">
        <v>46</v>
      </c>
      <c r="M1559" s="2" t="n">
        <v>53990</v>
      </c>
      <c r="N1559" s="2" t="n">
        <v>1</v>
      </c>
      <c r="O1559" s="2" t="n">
        <v>23</v>
      </c>
      <c r="P1559" s="2" t="n">
        <v>0</v>
      </c>
      <c r="Q1559" s="2" t="n">
        <v>4</v>
      </c>
      <c r="R1559" s="2" t="n">
        <v>2</v>
      </c>
      <c r="S1559" s="2" t="n">
        <v>4</v>
      </c>
      <c r="T1559" s="2" t="n">
        <v>0</v>
      </c>
      <c r="U1559" s="2" t="n">
        <v>2</v>
      </c>
      <c r="V1559" s="2" t="n">
        <v>3</v>
      </c>
      <c r="W1559" s="2" t="n">
        <v>4</v>
      </c>
      <c r="X1559" s="2" t="n">
        <v>2</v>
      </c>
      <c r="Y1559" s="2" t="n">
        <v>2</v>
      </c>
      <c r="Z1559" s="2" t="n">
        <v>4</v>
      </c>
    </row>
    <row r="1560" customFormat="false" ht="15" hidden="false" customHeight="true" outlineLevel="0" collapsed="false">
      <c r="A1560" s="2" t="n">
        <v>41</v>
      </c>
      <c r="B1560" s="2" t="s">
        <v>26</v>
      </c>
      <c r="C1560" s="2" t="s">
        <v>27</v>
      </c>
      <c r="D1560" s="2" t="s">
        <v>35</v>
      </c>
      <c r="E1560" s="2" t="n">
        <v>9</v>
      </c>
      <c r="F1560" s="2" t="n">
        <v>2</v>
      </c>
      <c r="G1560" s="2" t="s">
        <v>29</v>
      </c>
      <c r="H1560" s="2" t="n">
        <v>1559</v>
      </c>
      <c r="I1560" s="2" t="s">
        <v>30</v>
      </c>
      <c r="J1560" s="2" t="n">
        <v>1</v>
      </c>
      <c r="K1560" s="2" t="s">
        <v>45</v>
      </c>
      <c r="L1560" s="2" t="s">
        <v>37</v>
      </c>
      <c r="M1560" s="2" t="n">
        <v>54870</v>
      </c>
      <c r="N1560" s="2" t="n">
        <v>6</v>
      </c>
      <c r="O1560" s="2" t="n">
        <v>19</v>
      </c>
      <c r="P1560" s="2" t="n">
        <v>2</v>
      </c>
      <c r="Q1560" s="2" t="n">
        <v>8</v>
      </c>
      <c r="R1560" s="2" t="n">
        <v>0</v>
      </c>
      <c r="S1560" s="2" t="n">
        <v>5</v>
      </c>
      <c r="T1560" s="2" t="n">
        <v>1</v>
      </c>
      <c r="U1560" s="2" t="n">
        <v>2</v>
      </c>
      <c r="V1560" s="2" t="n">
        <v>4</v>
      </c>
      <c r="W1560" s="2" t="n">
        <v>2</v>
      </c>
      <c r="X1560" s="2" t="n">
        <v>3</v>
      </c>
      <c r="Y1560" s="2" t="n">
        <v>3</v>
      </c>
      <c r="Z1560" s="2" t="n">
        <v>3</v>
      </c>
    </row>
    <row r="1561" customFormat="false" ht="15" hidden="false" customHeight="true" outlineLevel="0" collapsed="false">
      <c r="A1561" s="2" t="n">
        <v>47</v>
      </c>
      <c r="B1561" s="2" t="s">
        <v>26</v>
      </c>
      <c r="C1561" s="2" t="s">
        <v>34</v>
      </c>
      <c r="D1561" s="2" t="s">
        <v>28</v>
      </c>
      <c r="E1561" s="2" t="n">
        <v>1</v>
      </c>
      <c r="F1561" s="2" t="n">
        <v>3</v>
      </c>
      <c r="G1561" s="2" t="s">
        <v>43</v>
      </c>
      <c r="H1561" s="2" t="n">
        <v>1560</v>
      </c>
      <c r="I1561" s="2" t="s">
        <v>30</v>
      </c>
      <c r="J1561" s="2" t="n">
        <v>2</v>
      </c>
      <c r="K1561" s="2" t="s">
        <v>45</v>
      </c>
      <c r="L1561" s="2" t="s">
        <v>37</v>
      </c>
      <c r="M1561" s="2" t="n">
        <v>68340</v>
      </c>
      <c r="N1561" s="2" t="n">
        <v>3</v>
      </c>
      <c r="O1561" s="2" t="n">
        <v>16</v>
      </c>
      <c r="P1561" s="2" t="n">
        <v>1</v>
      </c>
      <c r="Q1561" s="2" t="n">
        <v>5</v>
      </c>
      <c r="R1561" s="2" t="n">
        <v>2</v>
      </c>
      <c r="S1561" s="2" t="n">
        <v>0</v>
      </c>
      <c r="T1561" s="2" t="n">
        <v>0</v>
      </c>
      <c r="U1561" s="2" t="n">
        <v>0</v>
      </c>
      <c r="V1561" s="2" t="n">
        <v>2</v>
      </c>
      <c r="W1561" s="2" t="n">
        <v>3</v>
      </c>
      <c r="X1561" s="2" t="n">
        <v>3</v>
      </c>
      <c r="Y1561" s="2" t="n">
        <v>4</v>
      </c>
      <c r="Z1561" s="2" t="n">
        <v>3</v>
      </c>
    </row>
    <row r="1562" customFormat="false" ht="15" hidden="false" customHeight="true" outlineLevel="0" collapsed="false">
      <c r="A1562" s="2" t="n">
        <v>42</v>
      </c>
      <c r="B1562" s="2" t="s">
        <v>26</v>
      </c>
      <c r="C1562" s="2" t="s">
        <v>27</v>
      </c>
      <c r="D1562" s="2" t="s">
        <v>35</v>
      </c>
      <c r="E1562" s="2" t="n">
        <v>3</v>
      </c>
      <c r="F1562" s="2" t="n">
        <v>4</v>
      </c>
      <c r="G1562" s="2" t="s">
        <v>29</v>
      </c>
      <c r="H1562" s="2" t="n">
        <v>1561</v>
      </c>
      <c r="I1562" s="2" t="s">
        <v>39</v>
      </c>
      <c r="J1562" s="2" t="n">
        <v>1</v>
      </c>
      <c r="K1562" s="2" t="s">
        <v>49</v>
      </c>
      <c r="L1562" s="2" t="s">
        <v>37</v>
      </c>
      <c r="M1562" s="2" t="n">
        <v>10910</v>
      </c>
      <c r="N1562" s="2" t="n">
        <v>2</v>
      </c>
      <c r="O1562" s="2" t="n">
        <v>22</v>
      </c>
      <c r="P1562" s="2" t="n">
        <v>0</v>
      </c>
      <c r="Q1562" s="2" t="n">
        <v>16</v>
      </c>
      <c r="R1562" s="2" t="n">
        <v>0</v>
      </c>
      <c r="S1562" s="2" t="n">
        <v>1</v>
      </c>
      <c r="T1562" s="2" t="n">
        <v>0</v>
      </c>
      <c r="U1562" s="2" t="n">
        <v>0</v>
      </c>
      <c r="V1562" s="2" t="n">
        <v>1</v>
      </c>
      <c r="W1562" s="2" t="n">
        <v>4</v>
      </c>
      <c r="X1562" s="2" t="n">
        <v>3</v>
      </c>
      <c r="Y1562" s="2" t="n">
        <v>1</v>
      </c>
      <c r="Z1562" s="2" t="n">
        <v>4</v>
      </c>
    </row>
    <row r="1563" customFormat="false" ht="15" hidden="false" customHeight="true" outlineLevel="0" collapsed="false">
      <c r="A1563" s="2" t="n">
        <v>29</v>
      </c>
      <c r="B1563" s="2" t="s">
        <v>26</v>
      </c>
      <c r="C1563" s="2" t="s">
        <v>41</v>
      </c>
      <c r="D1563" s="2" t="s">
        <v>28</v>
      </c>
      <c r="E1563" s="2" t="n">
        <v>22</v>
      </c>
      <c r="F1563" s="2" t="n">
        <v>4</v>
      </c>
      <c r="G1563" s="2" t="s">
        <v>50</v>
      </c>
      <c r="H1563" s="2" t="n">
        <v>1562</v>
      </c>
      <c r="I1563" s="2" t="s">
        <v>39</v>
      </c>
      <c r="J1563" s="2" t="n">
        <v>2</v>
      </c>
      <c r="K1563" s="2" t="s">
        <v>42</v>
      </c>
      <c r="L1563" s="2" t="s">
        <v>32</v>
      </c>
      <c r="M1563" s="2" t="n">
        <v>57360</v>
      </c>
      <c r="N1563" s="2" t="n">
        <v>1</v>
      </c>
      <c r="O1563" s="2" t="n">
        <v>22</v>
      </c>
      <c r="P1563" s="2" t="n">
        <v>0</v>
      </c>
      <c r="Q1563" s="2" t="n">
        <v>4</v>
      </c>
      <c r="R1563" s="2" t="n">
        <v>1</v>
      </c>
      <c r="S1563" s="2" t="n">
        <v>4</v>
      </c>
      <c r="T1563" s="2" t="n">
        <v>0</v>
      </c>
      <c r="U1563" s="2" t="n">
        <v>2</v>
      </c>
      <c r="V1563" s="2" t="n">
        <v>4</v>
      </c>
      <c r="W1563" s="2" t="n">
        <v>3</v>
      </c>
      <c r="X1563" s="2" t="n">
        <v>2</v>
      </c>
      <c r="Y1563" s="2" t="n">
        <v>2</v>
      </c>
      <c r="Z1563" s="2" t="n">
        <v>4</v>
      </c>
    </row>
    <row r="1564" customFormat="false" ht="15" hidden="false" customHeight="true" outlineLevel="0" collapsed="false">
      <c r="A1564" s="2" t="n">
        <v>42</v>
      </c>
      <c r="B1564" s="2" t="s">
        <v>26</v>
      </c>
      <c r="C1564" s="2" t="s">
        <v>27</v>
      </c>
      <c r="D1564" s="2" t="s">
        <v>28</v>
      </c>
      <c r="E1564" s="2" t="n">
        <v>7</v>
      </c>
      <c r="F1564" s="2" t="n">
        <v>4</v>
      </c>
      <c r="G1564" s="2" t="s">
        <v>43</v>
      </c>
      <c r="H1564" s="2" t="n">
        <v>1563</v>
      </c>
      <c r="I1564" s="2" t="s">
        <v>39</v>
      </c>
      <c r="J1564" s="2" t="n">
        <v>3</v>
      </c>
      <c r="K1564" s="2" t="s">
        <v>36</v>
      </c>
      <c r="L1564" s="2" t="s">
        <v>46</v>
      </c>
      <c r="M1564" s="2" t="n">
        <v>22260</v>
      </c>
      <c r="N1564" s="2" t="n">
        <v>0</v>
      </c>
      <c r="O1564" s="2" t="n">
        <v>12</v>
      </c>
      <c r="P1564" s="2" t="n">
        <v>1</v>
      </c>
      <c r="Q1564" s="2" t="n">
        <v>4</v>
      </c>
      <c r="R1564" s="2" t="n">
        <v>3</v>
      </c>
      <c r="S1564" s="2" t="n">
        <v>3</v>
      </c>
      <c r="T1564" s="2" t="n">
        <v>1</v>
      </c>
      <c r="U1564" s="2" t="n">
        <v>0</v>
      </c>
      <c r="V1564" s="2" t="n">
        <v>3</v>
      </c>
      <c r="W1564" s="2" t="n">
        <v>3</v>
      </c>
      <c r="X1564" s="2" t="n">
        <v>3</v>
      </c>
      <c r="Y1564" s="2" t="n">
        <v>2</v>
      </c>
      <c r="Z1564" s="2" t="n">
        <v>3</v>
      </c>
    </row>
    <row r="1565" customFormat="false" ht="15" hidden="false" customHeight="true" outlineLevel="0" collapsed="false">
      <c r="A1565" s="2" t="n">
        <v>32</v>
      </c>
      <c r="B1565" s="2" t="s">
        <v>26</v>
      </c>
      <c r="C1565" s="2" t="s">
        <v>27</v>
      </c>
      <c r="D1565" s="2" t="s">
        <v>35</v>
      </c>
      <c r="E1565" s="2" t="n">
        <v>2</v>
      </c>
      <c r="F1565" s="2" t="n">
        <v>3</v>
      </c>
      <c r="G1565" s="2" t="s">
        <v>43</v>
      </c>
      <c r="H1565" s="2" t="n">
        <v>1564</v>
      </c>
      <c r="I1565" s="2" t="s">
        <v>39</v>
      </c>
      <c r="J1565" s="2" t="n">
        <v>2</v>
      </c>
      <c r="K1565" s="2" t="s">
        <v>36</v>
      </c>
      <c r="L1565" s="2" t="s">
        <v>32</v>
      </c>
      <c r="M1565" s="2" t="n">
        <v>57470</v>
      </c>
      <c r="N1565" s="2" t="n">
        <v>1</v>
      </c>
      <c r="O1565" s="2" t="n">
        <v>13</v>
      </c>
      <c r="P1565" s="2" t="n">
        <v>0</v>
      </c>
      <c r="Q1565" s="2" t="n">
        <v>8</v>
      </c>
      <c r="R1565" s="2" t="n">
        <v>0</v>
      </c>
      <c r="S1565" s="2" t="n">
        <v>8</v>
      </c>
      <c r="T1565" s="2" t="n">
        <v>0</v>
      </c>
      <c r="U1565" s="2" t="n">
        <v>7</v>
      </c>
      <c r="V1565" s="2" t="n">
        <v>3</v>
      </c>
      <c r="W1565" s="2" t="n">
        <v>2</v>
      </c>
      <c r="X1565" s="2" t="n">
        <v>3</v>
      </c>
      <c r="Y1565" s="2" t="n">
        <v>3</v>
      </c>
      <c r="Z1565" s="2" t="n">
        <v>3</v>
      </c>
    </row>
    <row r="1566" customFormat="false" ht="15" hidden="false" customHeight="true" outlineLevel="0" collapsed="false">
      <c r="A1566" s="2" t="n">
        <v>48</v>
      </c>
      <c r="B1566" s="2" t="s">
        <v>26</v>
      </c>
      <c r="C1566" s="2" t="s">
        <v>27</v>
      </c>
      <c r="D1566" s="2" t="s">
        <v>28</v>
      </c>
      <c r="E1566" s="2" t="n">
        <v>13</v>
      </c>
      <c r="F1566" s="2" t="n">
        <v>4</v>
      </c>
      <c r="G1566" s="2" t="s">
        <v>43</v>
      </c>
      <c r="H1566" s="2" t="n">
        <v>1565</v>
      </c>
      <c r="I1566" s="2" t="s">
        <v>39</v>
      </c>
      <c r="J1566" s="2" t="n">
        <v>4</v>
      </c>
      <c r="K1566" s="2" t="s">
        <v>40</v>
      </c>
      <c r="L1566" s="2" t="s">
        <v>32</v>
      </c>
      <c r="M1566" s="2" t="n">
        <v>98540</v>
      </c>
      <c r="N1566" s="2" t="n">
        <v>3</v>
      </c>
      <c r="O1566" s="2" t="n">
        <v>16</v>
      </c>
      <c r="P1566" s="2" t="n">
        <v>1</v>
      </c>
      <c r="Q1566" s="2" t="n">
        <v>15</v>
      </c>
      <c r="R1566" s="2" t="n">
        <v>2</v>
      </c>
      <c r="S1566" s="2" t="n">
        <v>0</v>
      </c>
      <c r="T1566" s="2" t="n">
        <v>0</v>
      </c>
      <c r="U1566" s="2" t="n">
        <v>0</v>
      </c>
      <c r="V1566" s="2" t="n">
        <v>1</v>
      </c>
      <c r="W1566" s="2" t="n">
        <v>3</v>
      </c>
      <c r="X1566" s="2" t="n">
        <v>1</v>
      </c>
      <c r="Y1566" s="2" t="n">
        <v>2</v>
      </c>
      <c r="Z1566" s="2" t="n">
        <v>3</v>
      </c>
    </row>
    <row r="1567" customFormat="false" ht="15" hidden="false" customHeight="true" outlineLevel="0" collapsed="false">
      <c r="A1567" s="2" t="n">
        <v>37</v>
      </c>
      <c r="B1567" s="2" t="s">
        <v>26</v>
      </c>
      <c r="C1567" s="2" t="s">
        <v>27</v>
      </c>
      <c r="D1567" s="2" t="s">
        <v>35</v>
      </c>
      <c r="E1567" s="2" t="n">
        <v>8</v>
      </c>
      <c r="F1567" s="2" t="n">
        <v>5</v>
      </c>
      <c r="G1567" s="2" t="s">
        <v>51</v>
      </c>
      <c r="H1567" s="2" t="n">
        <v>1566</v>
      </c>
      <c r="I1567" s="2" t="s">
        <v>39</v>
      </c>
      <c r="J1567" s="2" t="n">
        <v>2</v>
      </c>
      <c r="K1567" s="2" t="s">
        <v>47</v>
      </c>
      <c r="L1567" s="2" t="s">
        <v>46</v>
      </c>
      <c r="M1567" s="2" t="n">
        <v>54670</v>
      </c>
      <c r="N1567" s="2" t="n">
        <v>4</v>
      </c>
      <c r="O1567" s="2" t="n">
        <v>12</v>
      </c>
      <c r="P1567" s="2" t="n">
        <v>0</v>
      </c>
      <c r="Q1567" s="2" t="n">
        <v>13</v>
      </c>
      <c r="R1567" s="2" t="n">
        <v>2</v>
      </c>
      <c r="S1567" s="2" t="n">
        <v>7</v>
      </c>
      <c r="T1567" s="2" t="n">
        <v>6</v>
      </c>
      <c r="U1567" s="2" t="n">
        <v>7</v>
      </c>
      <c r="V1567" s="2" t="n">
        <v>3</v>
      </c>
      <c r="W1567" s="2" t="n">
        <v>1</v>
      </c>
      <c r="X1567" s="2" t="n">
        <v>3</v>
      </c>
      <c r="Y1567" s="2" t="n">
        <v>3</v>
      </c>
      <c r="Z1567" s="2" t="n">
        <v>3</v>
      </c>
    </row>
    <row r="1568" customFormat="false" ht="15" hidden="false" customHeight="true" outlineLevel="0" collapsed="false">
      <c r="A1568" s="2" t="n">
        <v>30</v>
      </c>
      <c r="B1568" s="2" t="s">
        <v>26</v>
      </c>
      <c r="C1568" s="2" t="s">
        <v>41</v>
      </c>
      <c r="D1568" s="2" t="s">
        <v>28</v>
      </c>
      <c r="E1568" s="2" t="n">
        <v>25</v>
      </c>
      <c r="F1568" s="2" t="n">
        <v>4</v>
      </c>
      <c r="G1568" s="2" t="s">
        <v>38</v>
      </c>
      <c r="H1568" s="2" t="n">
        <v>1567</v>
      </c>
      <c r="I1568" s="2" t="s">
        <v>39</v>
      </c>
      <c r="J1568" s="2" t="n">
        <v>1</v>
      </c>
      <c r="K1568" s="2" t="s">
        <v>31</v>
      </c>
      <c r="L1568" s="2" t="s">
        <v>32</v>
      </c>
      <c r="M1568" s="2" t="n">
        <v>53800</v>
      </c>
      <c r="N1568" s="2" t="n">
        <v>7</v>
      </c>
      <c r="O1568" s="2" t="n">
        <v>21</v>
      </c>
      <c r="P1568" s="2" t="n">
        <v>1</v>
      </c>
      <c r="Q1568" s="2" t="n">
        <v>4</v>
      </c>
      <c r="R1568" s="2" t="n">
        <v>0</v>
      </c>
      <c r="S1568" s="2" t="n">
        <v>2</v>
      </c>
      <c r="T1568" s="2" t="n">
        <v>2</v>
      </c>
      <c r="U1568" s="2" t="n">
        <v>2</v>
      </c>
      <c r="V1568" s="2" t="n">
        <v>4</v>
      </c>
      <c r="W1568" s="2" t="n">
        <v>3</v>
      </c>
      <c r="X1568" s="2" t="n">
        <v>4</v>
      </c>
      <c r="Y1568" s="2" t="n">
        <v>3</v>
      </c>
      <c r="Z1568" s="2" t="n">
        <v>4</v>
      </c>
    </row>
    <row r="1569" customFormat="false" ht="15" hidden="false" customHeight="true" outlineLevel="0" collapsed="false">
      <c r="A1569" s="2" t="n">
        <v>26</v>
      </c>
      <c r="B1569" s="2" t="s">
        <v>26</v>
      </c>
      <c r="C1569" s="2" t="s">
        <v>27</v>
      </c>
      <c r="D1569" s="2" t="s">
        <v>28</v>
      </c>
      <c r="E1569" s="2" t="n">
        <v>28</v>
      </c>
      <c r="F1569" s="2" t="n">
        <v>3</v>
      </c>
      <c r="G1569" s="2" t="s">
        <v>43</v>
      </c>
      <c r="H1569" s="2" t="n">
        <v>1568</v>
      </c>
      <c r="I1569" s="2" t="s">
        <v>30</v>
      </c>
      <c r="J1569" s="2" t="n">
        <v>5</v>
      </c>
      <c r="K1569" s="2" t="s">
        <v>45</v>
      </c>
      <c r="L1569" s="2" t="s">
        <v>32</v>
      </c>
      <c r="M1569" s="2" t="n">
        <v>51510</v>
      </c>
      <c r="N1569" s="2" t="n">
        <v>1</v>
      </c>
      <c r="O1569" s="2" t="n">
        <v>15</v>
      </c>
      <c r="P1569" s="2" t="n">
        <v>3</v>
      </c>
      <c r="Q1569" s="2" t="n">
        <v>8</v>
      </c>
      <c r="R1569" s="2" t="n">
        <v>3</v>
      </c>
      <c r="S1569" s="2" t="n">
        <v>8</v>
      </c>
      <c r="T1569" s="2" t="n">
        <v>7</v>
      </c>
      <c r="U1569" s="2" t="n">
        <v>7</v>
      </c>
      <c r="V1569" s="2" t="n">
        <v>3</v>
      </c>
      <c r="W1569" s="2" t="n">
        <v>3</v>
      </c>
      <c r="X1569" s="2" t="n">
        <v>3</v>
      </c>
      <c r="Y1569" s="2" t="n">
        <v>3</v>
      </c>
      <c r="Z1569" s="2" t="n">
        <v>3</v>
      </c>
    </row>
    <row r="1570" customFormat="false" ht="15" hidden="false" customHeight="true" outlineLevel="0" collapsed="false">
      <c r="A1570" s="2" t="n">
        <v>42</v>
      </c>
      <c r="B1570" s="2" t="s">
        <v>26</v>
      </c>
      <c r="C1570" s="2" t="s">
        <v>27</v>
      </c>
      <c r="D1570" s="2" t="s">
        <v>28</v>
      </c>
      <c r="E1570" s="2" t="n">
        <v>2</v>
      </c>
      <c r="F1570" s="2" t="n">
        <v>2</v>
      </c>
      <c r="G1570" s="2" t="s">
        <v>43</v>
      </c>
      <c r="H1570" s="2" t="n">
        <v>1569</v>
      </c>
      <c r="I1570" s="2" t="s">
        <v>30</v>
      </c>
      <c r="J1570" s="2" t="n">
        <v>1</v>
      </c>
      <c r="K1570" s="2" t="s">
        <v>45</v>
      </c>
      <c r="L1570" s="2" t="s">
        <v>37</v>
      </c>
      <c r="M1570" s="2" t="n">
        <v>21330</v>
      </c>
      <c r="N1570" s="2" t="n">
        <v>3</v>
      </c>
      <c r="O1570" s="2" t="n">
        <v>13</v>
      </c>
      <c r="P1570" s="2" t="n">
        <v>2</v>
      </c>
      <c r="Q1570" s="2" t="n">
        <v>14</v>
      </c>
      <c r="R1570" s="2" t="n">
        <v>2</v>
      </c>
      <c r="S1570" s="2" t="n">
        <v>1</v>
      </c>
      <c r="T1570" s="2" t="n">
        <v>0</v>
      </c>
      <c r="U1570" s="2" t="n">
        <v>0</v>
      </c>
      <c r="V1570" s="2" t="n">
        <v>1</v>
      </c>
      <c r="W1570" s="2" t="n">
        <v>4</v>
      </c>
      <c r="X1570" s="2" t="n">
        <v>3</v>
      </c>
      <c r="Y1570" s="2" t="n">
        <v>3</v>
      </c>
      <c r="Z1570" s="2" t="n">
        <v>3</v>
      </c>
    </row>
    <row r="1571" customFormat="false" ht="15" hidden="false" customHeight="true" outlineLevel="0" collapsed="false">
      <c r="A1571" s="2" t="n">
        <v>21</v>
      </c>
      <c r="B1571" s="2" t="s">
        <v>33</v>
      </c>
      <c r="C1571" s="2" t="s">
        <v>34</v>
      </c>
      <c r="D1571" s="2" t="s">
        <v>35</v>
      </c>
      <c r="E1571" s="2" t="n">
        <v>9</v>
      </c>
      <c r="F1571" s="2" t="n">
        <v>3</v>
      </c>
      <c r="G1571" s="2" t="s">
        <v>43</v>
      </c>
      <c r="H1571" s="2" t="n">
        <v>1570</v>
      </c>
      <c r="I1571" s="2" t="s">
        <v>30</v>
      </c>
      <c r="J1571" s="2" t="n">
        <v>4</v>
      </c>
      <c r="K1571" s="2" t="s">
        <v>47</v>
      </c>
      <c r="L1571" s="2" t="s">
        <v>37</v>
      </c>
      <c r="M1571" s="2" t="n">
        <v>178750</v>
      </c>
      <c r="N1571" s="2" t="n">
        <v>1</v>
      </c>
      <c r="O1571" s="2" t="n">
        <v>12</v>
      </c>
      <c r="P1571" s="2" t="n">
        <v>0</v>
      </c>
      <c r="Q1571" s="2" t="n">
        <v>3</v>
      </c>
      <c r="R1571" s="2" t="n">
        <v>5</v>
      </c>
      <c r="S1571" s="2" t="n">
        <v>3</v>
      </c>
      <c r="T1571" s="2" t="n">
        <v>1</v>
      </c>
      <c r="U1571" s="2" t="n">
        <v>2</v>
      </c>
      <c r="V1571" s="2" t="n">
        <v>1</v>
      </c>
      <c r="W1571" s="2" t="n">
        <v>2</v>
      </c>
      <c r="X1571" s="2" t="n">
        <v>3</v>
      </c>
      <c r="Y1571" s="2" t="n">
        <v>2</v>
      </c>
      <c r="Z1571" s="2" t="n">
        <v>3</v>
      </c>
    </row>
    <row r="1572" customFormat="false" ht="15" hidden="false" customHeight="true" outlineLevel="0" collapsed="false">
      <c r="A1572" s="2" t="n">
        <v>36</v>
      </c>
      <c r="B1572" s="2" t="s">
        <v>26</v>
      </c>
      <c r="C1572" s="2" t="s">
        <v>41</v>
      </c>
      <c r="D1572" s="2" t="s">
        <v>42</v>
      </c>
      <c r="E1572" s="2" t="n">
        <v>28</v>
      </c>
      <c r="F1572" s="2" t="n">
        <v>3</v>
      </c>
      <c r="G1572" s="2" t="s">
        <v>42</v>
      </c>
      <c r="H1572" s="2" t="n">
        <v>1571</v>
      </c>
      <c r="I1572" s="2" t="s">
        <v>39</v>
      </c>
      <c r="J1572" s="2" t="n">
        <v>2</v>
      </c>
      <c r="K1572" s="2" t="s">
        <v>45</v>
      </c>
      <c r="L1572" s="2" t="s">
        <v>37</v>
      </c>
      <c r="M1572" s="2" t="n">
        <v>24320</v>
      </c>
      <c r="N1572" s="2" t="n">
        <v>4</v>
      </c>
      <c r="O1572" s="2" t="n">
        <v>22</v>
      </c>
      <c r="P1572" s="2" t="n">
        <v>0</v>
      </c>
      <c r="Q1572" s="2" t="n">
        <v>7</v>
      </c>
      <c r="R1572" s="2" t="n">
        <v>4</v>
      </c>
      <c r="S1572" s="2" t="n">
        <v>1</v>
      </c>
      <c r="T1572" s="2" t="n">
        <v>0</v>
      </c>
      <c r="U1572" s="2" t="n">
        <v>0</v>
      </c>
      <c r="V1572" s="2" t="n">
        <v>4</v>
      </c>
      <c r="W1572" s="2" t="n">
        <v>4</v>
      </c>
      <c r="X1572" s="2" t="n">
        <v>3</v>
      </c>
      <c r="Y1572" s="2" t="n">
        <v>1</v>
      </c>
      <c r="Z1572" s="2" t="n">
        <v>4</v>
      </c>
    </row>
    <row r="1573" customFormat="false" ht="15" hidden="false" customHeight="true" outlineLevel="0" collapsed="false">
      <c r="A1573" s="2" t="n">
        <v>36</v>
      </c>
      <c r="B1573" s="2" t="s">
        <v>26</v>
      </c>
      <c r="C1573" s="2" t="s">
        <v>34</v>
      </c>
      <c r="D1573" s="2" t="s">
        <v>35</v>
      </c>
      <c r="E1573" s="2" t="n">
        <v>6</v>
      </c>
      <c r="F1573" s="2" t="n">
        <v>3</v>
      </c>
      <c r="G1573" s="2" t="s">
        <v>29</v>
      </c>
      <c r="H1573" s="2" t="n">
        <v>1572</v>
      </c>
      <c r="I1573" s="2" t="s">
        <v>30</v>
      </c>
      <c r="J1573" s="2" t="n">
        <v>2</v>
      </c>
      <c r="K1573" s="2" t="s">
        <v>36</v>
      </c>
      <c r="L1573" s="2" t="s">
        <v>32</v>
      </c>
      <c r="M1573" s="2" t="n">
        <v>47710</v>
      </c>
      <c r="N1573" s="2" t="n">
        <v>4</v>
      </c>
      <c r="O1573" s="2" t="n">
        <v>13</v>
      </c>
      <c r="P1573" s="2" t="n">
        <v>1</v>
      </c>
      <c r="Q1573" s="2" t="n">
        <v>16</v>
      </c>
      <c r="R1573" s="2" t="n">
        <v>2</v>
      </c>
      <c r="S1573" s="2" t="n">
        <v>13</v>
      </c>
      <c r="T1573" s="2" t="n">
        <v>1</v>
      </c>
      <c r="U1573" s="2" t="n">
        <v>12</v>
      </c>
      <c r="V1573" s="2" t="n">
        <v>1</v>
      </c>
      <c r="W1573" s="2" t="n">
        <v>4</v>
      </c>
      <c r="X1573" s="2" t="n">
        <v>3</v>
      </c>
      <c r="Y1573" s="2" t="n">
        <v>3</v>
      </c>
      <c r="Z1573" s="2" t="n">
        <v>3</v>
      </c>
    </row>
    <row r="1574" customFormat="false" ht="15" hidden="false" customHeight="true" outlineLevel="0" collapsed="false">
      <c r="A1574" s="2" t="n">
        <v>57</v>
      </c>
      <c r="B1574" s="2" t="s">
        <v>26</v>
      </c>
      <c r="C1574" s="2" t="s">
        <v>27</v>
      </c>
      <c r="D1574" s="2" t="s">
        <v>35</v>
      </c>
      <c r="E1574" s="2" t="n">
        <v>21</v>
      </c>
      <c r="F1574" s="2" t="n">
        <v>4</v>
      </c>
      <c r="G1574" s="2" t="s">
        <v>29</v>
      </c>
      <c r="H1574" s="2" t="n">
        <v>1573</v>
      </c>
      <c r="I1574" s="2" t="s">
        <v>39</v>
      </c>
      <c r="J1574" s="2" t="n">
        <v>5</v>
      </c>
      <c r="K1574" s="2" t="s">
        <v>36</v>
      </c>
      <c r="L1574" s="2" t="s">
        <v>32</v>
      </c>
      <c r="M1574" s="2" t="n">
        <v>191610</v>
      </c>
      <c r="N1574" s="2" t="n">
        <v>2</v>
      </c>
      <c r="O1574" s="2" t="n">
        <v>18</v>
      </c>
      <c r="P1574" s="2" t="n">
        <v>0</v>
      </c>
      <c r="Q1574" s="2" t="n">
        <v>15</v>
      </c>
      <c r="R1574" s="2" t="n">
        <v>2</v>
      </c>
      <c r="S1574" s="2" t="n">
        <v>3</v>
      </c>
      <c r="T1574" s="2" t="n">
        <v>1</v>
      </c>
      <c r="U1574" s="2" t="n">
        <v>2</v>
      </c>
      <c r="V1574" s="2" t="n">
        <v>4</v>
      </c>
      <c r="W1574" s="2" t="n">
        <v>3</v>
      </c>
      <c r="X1574" s="2" t="n">
        <v>3</v>
      </c>
      <c r="Y1574" s="2" t="n">
        <v>1</v>
      </c>
      <c r="Z1574" s="2" t="n">
        <v>3</v>
      </c>
    </row>
    <row r="1575" customFormat="false" ht="15" hidden="false" customHeight="true" outlineLevel="0" collapsed="false">
      <c r="A1575" s="2" t="n">
        <v>40</v>
      </c>
      <c r="B1575" s="2" t="s">
        <v>26</v>
      </c>
      <c r="C1575" s="2" t="s">
        <v>27</v>
      </c>
      <c r="D1575" s="2" t="s">
        <v>35</v>
      </c>
      <c r="E1575" s="2" t="n">
        <v>8</v>
      </c>
      <c r="F1575" s="2" t="n">
        <v>3</v>
      </c>
      <c r="G1575" s="2" t="s">
        <v>38</v>
      </c>
      <c r="H1575" s="2" t="n">
        <v>1574</v>
      </c>
      <c r="I1575" s="2" t="s">
        <v>39</v>
      </c>
      <c r="J1575" s="2" t="n">
        <v>2</v>
      </c>
      <c r="K1575" s="2" t="s">
        <v>40</v>
      </c>
      <c r="L1575" s="2" t="s">
        <v>32</v>
      </c>
      <c r="M1575" s="2" t="n">
        <v>50870</v>
      </c>
      <c r="N1575" s="2" t="n">
        <v>3</v>
      </c>
      <c r="O1575" s="2" t="n">
        <v>14</v>
      </c>
      <c r="P1575" s="2" t="n">
        <v>1</v>
      </c>
      <c r="Q1575" s="2" t="n">
        <v>10</v>
      </c>
      <c r="R1575" s="2" t="n">
        <v>3</v>
      </c>
      <c r="S1575" s="2" t="n">
        <v>7</v>
      </c>
      <c r="T1575" s="2" t="n">
        <v>1</v>
      </c>
      <c r="U1575" s="2" t="n">
        <v>7</v>
      </c>
      <c r="V1575" s="2" t="n">
        <v>4</v>
      </c>
      <c r="W1575" s="2" t="n">
        <v>3</v>
      </c>
      <c r="X1575" s="2" t="n">
        <v>3</v>
      </c>
      <c r="Y1575" s="2" t="n">
        <v>3</v>
      </c>
      <c r="Z1575" s="2" t="n">
        <v>3</v>
      </c>
    </row>
    <row r="1576" customFormat="false" ht="15" hidden="false" customHeight="true" outlineLevel="0" collapsed="false">
      <c r="A1576" s="2" t="n">
        <v>21</v>
      </c>
      <c r="B1576" s="2" t="s">
        <v>26</v>
      </c>
      <c r="C1576" s="2" t="s">
        <v>41</v>
      </c>
      <c r="D1576" s="2" t="s">
        <v>35</v>
      </c>
      <c r="E1576" s="2" t="n">
        <v>1</v>
      </c>
      <c r="F1576" s="2" t="n">
        <v>5</v>
      </c>
      <c r="G1576" s="2" t="s">
        <v>29</v>
      </c>
      <c r="H1576" s="2" t="n">
        <v>1575</v>
      </c>
      <c r="I1576" s="2" t="s">
        <v>30</v>
      </c>
      <c r="J1576" s="2" t="n">
        <v>2</v>
      </c>
      <c r="K1576" s="2" t="s">
        <v>49</v>
      </c>
      <c r="L1576" s="2" t="s">
        <v>37</v>
      </c>
      <c r="M1576" s="2" t="n">
        <v>28630</v>
      </c>
      <c r="N1576" s="2" t="n">
        <v>1</v>
      </c>
      <c r="O1576" s="2" t="n">
        <v>14</v>
      </c>
      <c r="P1576" s="2" t="n">
        <v>0</v>
      </c>
      <c r="Q1576" s="2" t="n">
        <v>3</v>
      </c>
      <c r="R1576" s="2" t="n">
        <v>2</v>
      </c>
      <c r="S1576" s="2" t="n">
        <v>3</v>
      </c>
      <c r="T1576" s="2" t="n">
        <v>2</v>
      </c>
      <c r="U1576" s="2" t="n">
        <v>2</v>
      </c>
      <c r="V1576" s="2" t="n">
        <v>1</v>
      </c>
      <c r="W1576" s="2" t="n">
        <v>4</v>
      </c>
      <c r="X1576" s="2" t="n">
        <v>2</v>
      </c>
      <c r="Y1576" s="2" t="n">
        <v>1</v>
      </c>
      <c r="Z1576" s="2" t="n">
        <v>3</v>
      </c>
    </row>
    <row r="1577" customFormat="false" ht="15" hidden="false" customHeight="true" outlineLevel="0" collapsed="false">
      <c r="A1577" s="2" t="n">
        <v>33</v>
      </c>
      <c r="B1577" s="2" t="s">
        <v>33</v>
      </c>
      <c r="C1577" s="2" t="s">
        <v>27</v>
      </c>
      <c r="D1577" s="2" t="s">
        <v>42</v>
      </c>
      <c r="E1577" s="2" t="n">
        <v>28</v>
      </c>
      <c r="F1577" s="2" t="n">
        <v>2</v>
      </c>
      <c r="G1577" s="2" t="s">
        <v>42</v>
      </c>
      <c r="H1577" s="2" t="n">
        <v>1576</v>
      </c>
      <c r="I1577" s="2" t="s">
        <v>30</v>
      </c>
      <c r="J1577" s="2" t="n">
        <v>5</v>
      </c>
      <c r="K1577" s="2" t="s">
        <v>49</v>
      </c>
      <c r="L1577" s="2" t="s">
        <v>37</v>
      </c>
      <c r="M1577" s="2" t="n">
        <v>55610</v>
      </c>
      <c r="N1577" s="2" t="n">
        <v>1</v>
      </c>
      <c r="O1577" s="2" t="n">
        <v>21</v>
      </c>
      <c r="P1577" s="2" t="n">
        <v>1</v>
      </c>
      <c r="Q1577" s="2" t="n">
        <v>1</v>
      </c>
      <c r="R1577" s="2" t="n">
        <v>3</v>
      </c>
      <c r="S1577" s="2" t="n">
        <v>1</v>
      </c>
      <c r="T1577" s="2" t="n">
        <v>0</v>
      </c>
      <c r="U1577" s="2" t="n">
        <v>0</v>
      </c>
      <c r="V1577" s="2" t="n">
        <v>4</v>
      </c>
      <c r="W1577" s="2" t="n">
        <v>3</v>
      </c>
      <c r="X1577" s="2" t="n">
        <v>3</v>
      </c>
      <c r="Y1577" s="2" t="n">
        <v>1</v>
      </c>
      <c r="Z1577" s="2" t="n">
        <v>4</v>
      </c>
    </row>
    <row r="1578" customFormat="false" ht="15" hidden="false" customHeight="true" outlineLevel="0" collapsed="false">
      <c r="A1578" s="2" t="n">
        <v>37</v>
      </c>
      <c r="B1578" s="2" t="s">
        <v>26</v>
      </c>
      <c r="C1578" s="2" t="s">
        <v>27</v>
      </c>
      <c r="D1578" s="2" t="s">
        <v>35</v>
      </c>
      <c r="E1578" s="2" t="n">
        <v>5</v>
      </c>
      <c r="F1578" s="2" t="n">
        <v>3</v>
      </c>
      <c r="G1578" s="2" t="s">
        <v>29</v>
      </c>
      <c r="H1578" s="2" t="n">
        <v>1577</v>
      </c>
      <c r="I1578" s="2" t="s">
        <v>39</v>
      </c>
      <c r="J1578" s="2" t="n">
        <v>4</v>
      </c>
      <c r="K1578" s="2" t="s">
        <v>36</v>
      </c>
      <c r="L1578" s="2" t="s">
        <v>32</v>
      </c>
      <c r="M1578" s="2" t="n">
        <v>21440</v>
      </c>
      <c r="N1578" s="2" t="n">
        <v>6</v>
      </c>
      <c r="O1578" s="2" t="n">
        <v>19</v>
      </c>
      <c r="P1578" s="2" t="n">
        <v>0</v>
      </c>
      <c r="Q1578" s="2" t="n">
        <v>17</v>
      </c>
      <c r="R1578" s="2" t="n">
        <v>3</v>
      </c>
      <c r="S1578" s="2" t="n">
        <v>5</v>
      </c>
      <c r="T1578" s="2" t="n">
        <v>0</v>
      </c>
      <c r="U1578" s="2" t="n">
        <v>3</v>
      </c>
      <c r="V1578" s="2" t="n">
        <v>3</v>
      </c>
      <c r="W1578" s="2" t="n">
        <v>1</v>
      </c>
      <c r="X1578" s="2" t="n">
        <v>3</v>
      </c>
      <c r="Y1578" s="2" t="n">
        <v>4</v>
      </c>
      <c r="Z1578" s="2" t="n">
        <v>3</v>
      </c>
    </row>
    <row r="1579" customFormat="false" ht="15" hidden="false" customHeight="true" outlineLevel="0" collapsed="false">
      <c r="A1579" s="2" t="n">
        <v>46</v>
      </c>
      <c r="B1579" s="2" t="s">
        <v>26</v>
      </c>
      <c r="C1579" s="2" t="s">
        <v>41</v>
      </c>
      <c r="D1579" s="2" t="s">
        <v>28</v>
      </c>
      <c r="E1579" s="2" t="n">
        <v>2</v>
      </c>
      <c r="F1579" s="2" t="n">
        <v>4</v>
      </c>
      <c r="G1579" s="2" t="s">
        <v>50</v>
      </c>
      <c r="H1579" s="2" t="n">
        <v>1578</v>
      </c>
      <c r="I1579" s="2" t="s">
        <v>30</v>
      </c>
      <c r="J1579" s="2" t="n">
        <v>2</v>
      </c>
      <c r="K1579" s="2" t="s">
        <v>45</v>
      </c>
      <c r="L1579" s="2" t="s">
        <v>32</v>
      </c>
      <c r="M1579" s="2" t="n">
        <v>30650</v>
      </c>
      <c r="N1579" s="2" t="n">
        <v>2</v>
      </c>
      <c r="O1579" s="2" t="n">
        <v>11</v>
      </c>
      <c r="P1579" s="2" t="n">
        <v>0</v>
      </c>
      <c r="Q1579" s="2" t="n">
        <v>7</v>
      </c>
      <c r="R1579" s="2" t="n">
        <v>3</v>
      </c>
      <c r="S1579" s="2" t="n">
        <v>1</v>
      </c>
      <c r="T1579" s="2" t="n">
        <v>0</v>
      </c>
      <c r="U1579" s="2" t="n">
        <v>0</v>
      </c>
      <c r="V1579" s="2" t="n">
        <v>3</v>
      </c>
      <c r="W1579" s="2" t="n">
        <v>3</v>
      </c>
      <c r="X1579" s="2" t="n">
        <v>4</v>
      </c>
      <c r="Y1579" s="2" t="n">
        <v>3</v>
      </c>
      <c r="Z1579" s="2" t="n">
        <v>3</v>
      </c>
    </row>
    <row r="1580" customFormat="false" ht="15" hidden="false" customHeight="true" outlineLevel="0" collapsed="false">
      <c r="A1580" s="2" t="n">
        <v>41</v>
      </c>
      <c r="B1580" s="2" t="s">
        <v>33</v>
      </c>
      <c r="C1580" s="2" t="s">
        <v>34</v>
      </c>
      <c r="D1580" s="2" t="s">
        <v>35</v>
      </c>
      <c r="E1580" s="2" t="n">
        <v>16</v>
      </c>
      <c r="F1580" s="2" t="n">
        <v>1</v>
      </c>
      <c r="G1580" s="2" t="s">
        <v>43</v>
      </c>
      <c r="H1580" s="2" t="n">
        <v>1579</v>
      </c>
      <c r="I1580" s="2" t="s">
        <v>30</v>
      </c>
      <c r="J1580" s="2" t="n">
        <v>1</v>
      </c>
      <c r="K1580" s="2" t="s">
        <v>36</v>
      </c>
      <c r="L1580" s="2" t="s">
        <v>37</v>
      </c>
      <c r="M1580" s="2" t="n">
        <v>28100</v>
      </c>
      <c r="N1580" s="2" t="n">
        <v>1</v>
      </c>
      <c r="O1580" s="2" t="n">
        <v>11</v>
      </c>
      <c r="P1580" s="2" t="n">
        <v>0</v>
      </c>
      <c r="Q1580" s="2" t="n">
        <v>8</v>
      </c>
      <c r="R1580" s="2" t="n">
        <v>3</v>
      </c>
      <c r="S1580" s="2" t="n">
        <v>8</v>
      </c>
      <c r="T1580" s="2" t="n">
        <v>7</v>
      </c>
      <c r="U1580" s="2" t="n">
        <v>7</v>
      </c>
      <c r="V1580" s="2" t="n">
        <v>1</v>
      </c>
      <c r="W1580" s="2" t="n">
        <v>2</v>
      </c>
      <c r="X1580" s="2" t="n">
        <v>3</v>
      </c>
      <c r="Y1580" s="2" t="n">
        <v>4</v>
      </c>
      <c r="Z1580" s="2" t="n">
        <v>3</v>
      </c>
    </row>
    <row r="1581" customFormat="false" ht="15" hidden="false" customHeight="true" outlineLevel="0" collapsed="false">
      <c r="A1581" s="2" t="n">
        <v>50</v>
      </c>
      <c r="B1581" s="2" t="s">
        <v>26</v>
      </c>
      <c r="C1581" s="2" t="s">
        <v>27</v>
      </c>
      <c r="D1581" s="2" t="s">
        <v>35</v>
      </c>
      <c r="E1581" s="2" t="n">
        <v>9</v>
      </c>
      <c r="F1581" s="2" t="n">
        <v>3</v>
      </c>
      <c r="G1581" s="2" t="s">
        <v>43</v>
      </c>
      <c r="H1581" s="2" t="n">
        <v>1580</v>
      </c>
      <c r="I1581" s="2" t="s">
        <v>30</v>
      </c>
      <c r="J1581" s="2" t="n">
        <v>3</v>
      </c>
      <c r="K1581" s="2" t="s">
        <v>45</v>
      </c>
      <c r="L1581" s="2" t="s">
        <v>37</v>
      </c>
      <c r="M1581" s="2" t="n">
        <v>98880</v>
      </c>
      <c r="N1581" s="2" t="n">
        <v>6</v>
      </c>
      <c r="O1581" s="2" t="n">
        <v>15</v>
      </c>
      <c r="P1581" s="2" t="n">
        <v>0</v>
      </c>
      <c r="Q1581" s="2" t="n">
        <v>20</v>
      </c>
      <c r="R1581" s="2" t="n">
        <v>2</v>
      </c>
      <c r="S1581" s="2" t="n">
        <v>4</v>
      </c>
      <c r="T1581" s="2" t="n">
        <v>1</v>
      </c>
      <c r="U1581" s="2" t="n">
        <v>3</v>
      </c>
      <c r="V1581" s="2" t="n">
        <v>4</v>
      </c>
      <c r="W1581" s="2" t="n">
        <v>4</v>
      </c>
      <c r="X1581" s="2" t="n">
        <v>3</v>
      </c>
      <c r="Y1581" s="2" t="n">
        <v>3</v>
      </c>
      <c r="Z1581" s="2" t="n">
        <v>3</v>
      </c>
    </row>
    <row r="1582" customFormat="false" ht="15" hidden="false" customHeight="true" outlineLevel="0" collapsed="false">
      <c r="A1582" s="2" t="n">
        <v>40</v>
      </c>
      <c r="B1582" s="2" t="s">
        <v>33</v>
      </c>
      <c r="C1582" s="2" t="s">
        <v>27</v>
      </c>
      <c r="D1582" s="2" t="s">
        <v>35</v>
      </c>
      <c r="E1582" s="2" t="n">
        <v>8</v>
      </c>
      <c r="F1582" s="2" t="n">
        <v>3</v>
      </c>
      <c r="G1582" s="2" t="s">
        <v>43</v>
      </c>
      <c r="H1582" s="2" t="n">
        <v>1581</v>
      </c>
      <c r="I1582" s="2" t="s">
        <v>30</v>
      </c>
      <c r="J1582" s="2" t="n">
        <v>1</v>
      </c>
      <c r="K1582" s="2" t="s">
        <v>31</v>
      </c>
      <c r="L1582" s="2" t="s">
        <v>32</v>
      </c>
      <c r="M1582" s="2" t="n">
        <v>86280</v>
      </c>
      <c r="N1582" s="2" t="n">
        <v>2</v>
      </c>
      <c r="O1582" s="2" t="n">
        <v>20</v>
      </c>
      <c r="P1582" s="2" t="n">
        <v>0</v>
      </c>
      <c r="Q1582" s="2" t="n">
        <v>8</v>
      </c>
      <c r="R1582" s="2" t="n">
        <v>2</v>
      </c>
      <c r="S1582" s="2" t="n">
        <v>6</v>
      </c>
      <c r="T1582" s="2" t="n">
        <v>1</v>
      </c>
      <c r="U1582" s="2" t="n">
        <v>0</v>
      </c>
      <c r="V1582" s="2" t="n">
        <v>3</v>
      </c>
      <c r="W1582" s="2" t="n">
        <v>3</v>
      </c>
      <c r="X1582" s="2" t="n">
        <v>3</v>
      </c>
      <c r="Y1582" s="2" t="n">
        <v>2</v>
      </c>
      <c r="Z1582" s="2" t="n">
        <v>4</v>
      </c>
    </row>
    <row r="1583" customFormat="false" ht="15" hidden="false" customHeight="true" outlineLevel="0" collapsed="false">
      <c r="A1583" s="2" t="n">
        <v>31</v>
      </c>
      <c r="B1583" s="2" t="s">
        <v>26</v>
      </c>
      <c r="C1583" s="2" t="s">
        <v>27</v>
      </c>
      <c r="D1583" s="2" t="s">
        <v>35</v>
      </c>
      <c r="E1583" s="2" t="n">
        <v>1</v>
      </c>
      <c r="F1583" s="2" t="n">
        <v>3</v>
      </c>
      <c r="G1583" s="2" t="s">
        <v>29</v>
      </c>
      <c r="H1583" s="2" t="n">
        <v>1582</v>
      </c>
      <c r="I1583" s="2" t="s">
        <v>39</v>
      </c>
      <c r="J1583" s="2" t="n">
        <v>4</v>
      </c>
      <c r="K1583" s="2" t="s">
        <v>42</v>
      </c>
      <c r="L1583" s="2" t="s">
        <v>37</v>
      </c>
      <c r="M1583" s="2" t="n">
        <v>28670</v>
      </c>
      <c r="N1583" s="2" t="n">
        <v>0</v>
      </c>
      <c r="O1583" s="2" t="n">
        <v>24</v>
      </c>
      <c r="P1583" s="2" t="n">
        <v>0</v>
      </c>
      <c r="Q1583" s="2" t="n">
        <v>3</v>
      </c>
      <c r="R1583" s="2" t="n">
        <v>5</v>
      </c>
      <c r="S1583" s="2" t="n">
        <v>2</v>
      </c>
      <c r="T1583" s="2" t="n">
        <v>2</v>
      </c>
      <c r="U1583" s="2" t="n">
        <v>2</v>
      </c>
      <c r="V1583" s="2" t="n">
        <v>3</v>
      </c>
      <c r="W1583" s="2" t="n">
        <v>2</v>
      </c>
      <c r="X1583" s="2" t="n">
        <v>3</v>
      </c>
      <c r="Y1583" s="2" t="n">
        <v>3</v>
      </c>
      <c r="Z1583" s="2" t="n">
        <v>4</v>
      </c>
    </row>
    <row r="1584" customFormat="false" ht="15" hidden="false" customHeight="true" outlineLevel="0" collapsed="false">
      <c r="A1584" s="2" t="n">
        <v>21</v>
      </c>
      <c r="B1584" s="2" t="s">
        <v>33</v>
      </c>
      <c r="C1584" s="2" t="s">
        <v>27</v>
      </c>
      <c r="D1584" s="2" t="s">
        <v>42</v>
      </c>
      <c r="E1584" s="2" t="n">
        <v>10</v>
      </c>
      <c r="F1584" s="2" t="n">
        <v>2</v>
      </c>
      <c r="G1584" s="2" t="s">
        <v>42</v>
      </c>
      <c r="H1584" s="2" t="n">
        <v>1583</v>
      </c>
      <c r="I1584" s="2" t="s">
        <v>39</v>
      </c>
      <c r="J1584" s="2" t="n">
        <v>1</v>
      </c>
      <c r="K1584" s="2" t="s">
        <v>45</v>
      </c>
      <c r="L1584" s="2" t="s">
        <v>37</v>
      </c>
      <c r="M1584" s="2" t="n">
        <v>53730</v>
      </c>
      <c r="N1584" s="2" t="n">
        <v>1</v>
      </c>
      <c r="O1584" s="2" t="n">
        <v>12</v>
      </c>
      <c r="P1584" s="2" t="n">
        <v>1</v>
      </c>
      <c r="Q1584" s="2" t="n">
        <v>1</v>
      </c>
      <c r="R1584" s="2" t="n">
        <v>2</v>
      </c>
      <c r="S1584" s="2" t="n">
        <v>1</v>
      </c>
      <c r="T1584" s="2" t="n">
        <v>0</v>
      </c>
      <c r="U1584" s="2" t="n">
        <v>0</v>
      </c>
      <c r="V1584" s="2" t="n">
        <v>3</v>
      </c>
      <c r="W1584" s="2" t="n">
        <v>2</v>
      </c>
      <c r="X1584" s="2" t="n">
        <v>3</v>
      </c>
      <c r="Y1584" s="2" t="n">
        <v>3</v>
      </c>
      <c r="Z1584" s="2" t="n">
        <v>3</v>
      </c>
    </row>
    <row r="1585" customFormat="false" ht="15" hidden="false" customHeight="true" outlineLevel="0" collapsed="false">
      <c r="A1585" s="2" t="n">
        <v>29</v>
      </c>
      <c r="B1585" s="2" t="s">
        <v>26</v>
      </c>
      <c r="C1585" s="2" t="s">
        <v>27</v>
      </c>
      <c r="D1585" s="2" t="s">
        <v>35</v>
      </c>
      <c r="E1585" s="2" t="n">
        <v>1</v>
      </c>
      <c r="F1585" s="2" t="n">
        <v>3</v>
      </c>
      <c r="G1585" s="2" t="s">
        <v>29</v>
      </c>
      <c r="H1585" s="2" t="n">
        <v>1584</v>
      </c>
      <c r="I1585" s="2" t="s">
        <v>30</v>
      </c>
      <c r="J1585" s="2" t="n">
        <v>2</v>
      </c>
      <c r="K1585" s="2" t="s">
        <v>44</v>
      </c>
      <c r="L1585" s="2" t="s">
        <v>37</v>
      </c>
      <c r="M1585" s="2" t="n">
        <v>66670</v>
      </c>
      <c r="N1585" s="2" t="n">
        <v>9</v>
      </c>
      <c r="O1585" s="2" t="n">
        <v>12</v>
      </c>
      <c r="P1585" s="2" t="n">
        <v>1</v>
      </c>
      <c r="Q1585" s="2" t="n">
        <v>6</v>
      </c>
      <c r="R1585" s="2" t="n">
        <v>6</v>
      </c>
      <c r="S1585" s="2" t="n">
        <v>3</v>
      </c>
      <c r="T1585" s="2" t="n">
        <v>1</v>
      </c>
      <c r="U1585" s="2" t="n">
        <v>2</v>
      </c>
      <c r="V1585" s="2" t="n">
        <v>4</v>
      </c>
      <c r="W1585" s="2" t="n">
        <v>4</v>
      </c>
      <c r="X1585" s="2" t="n">
        <v>3</v>
      </c>
      <c r="Y1585" s="2" t="n">
        <v>4</v>
      </c>
      <c r="Z1585" s="2" t="n">
        <v>3</v>
      </c>
    </row>
    <row r="1586" customFormat="false" ht="15" hidden="false" customHeight="true" outlineLevel="0" collapsed="false">
      <c r="A1586" s="2" t="n">
        <v>35</v>
      </c>
      <c r="B1586" s="2" t="s">
        <v>26</v>
      </c>
      <c r="C1586" s="2" t="s">
        <v>27</v>
      </c>
      <c r="D1586" s="2" t="s">
        <v>35</v>
      </c>
      <c r="E1586" s="2" t="n">
        <v>29</v>
      </c>
      <c r="F1586" s="2" t="n">
        <v>3</v>
      </c>
      <c r="G1586" s="2" t="s">
        <v>29</v>
      </c>
      <c r="H1586" s="2" t="n">
        <v>1585</v>
      </c>
      <c r="I1586" s="2" t="s">
        <v>30</v>
      </c>
      <c r="J1586" s="2" t="n">
        <v>3</v>
      </c>
      <c r="K1586" s="2" t="s">
        <v>40</v>
      </c>
      <c r="L1586" s="2" t="s">
        <v>37</v>
      </c>
      <c r="M1586" s="2" t="n">
        <v>50030</v>
      </c>
      <c r="N1586" s="2" t="n">
        <v>9</v>
      </c>
      <c r="O1586" s="2" t="n">
        <v>15</v>
      </c>
      <c r="P1586" s="2" t="n">
        <v>0</v>
      </c>
      <c r="Q1586" s="2" t="n">
        <v>10</v>
      </c>
      <c r="R1586" s="2" t="n">
        <v>2</v>
      </c>
      <c r="S1586" s="2" t="n">
        <v>1</v>
      </c>
      <c r="T1586" s="2" t="n">
        <v>0</v>
      </c>
      <c r="U1586" s="2" t="n">
        <v>0</v>
      </c>
      <c r="V1586" s="2" t="n">
        <v>3</v>
      </c>
      <c r="W1586" s="2" t="n">
        <v>2</v>
      </c>
      <c r="X1586" s="2" t="n">
        <v>3</v>
      </c>
      <c r="Y1586" s="2" t="n">
        <v>3</v>
      </c>
      <c r="Z1586" s="2" t="n">
        <v>3</v>
      </c>
    </row>
    <row r="1587" customFormat="false" ht="15" hidden="false" customHeight="true" outlineLevel="0" collapsed="false">
      <c r="A1587" s="2" t="n">
        <v>27</v>
      </c>
      <c r="B1587" s="2" t="s">
        <v>26</v>
      </c>
      <c r="C1587" s="2" t="s">
        <v>27</v>
      </c>
      <c r="D1587" s="2" t="s">
        <v>28</v>
      </c>
      <c r="E1587" s="2" t="n">
        <v>2</v>
      </c>
      <c r="F1587" s="2" t="n">
        <v>3</v>
      </c>
      <c r="G1587" s="2" t="s">
        <v>29</v>
      </c>
      <c r="H1587" s="2" t="n">
        <v>1586</v>
      </c>
      <c r="I1587" s="2" t="s">
        <v>39</v>
      </c>
      <c r="J1587" s="2" t="n">
        <v>1</v>
      </c>
      <c r="K1587" s="2" t="s">
        <v>40</v>
      </c>
      <c r="L1587" s="2" t="s">
        <v>46</v>
      </c>
      <c r="M1587" s="2" t="n">
        <v>23670</v>
      </c>
      <c r="N1587" s="2" t="n">
        <v>1</v>
      </c>
      <c r="O1587" s="2" t="n">
        <v>12</v>
      </c>
      <c r="P1587" s="2" t="n">
        <v>1</v>
      </c>
      <c r="Q1587" s="2" t="n">
        <v>5</v>
      </c>
      <c r="R1587" s="2" t="n">
        <v>2</v>
      </c>
      <c r="S1587" s="2" t="n">
        <v>5</v>
      </c>
      <c r="T1587" s="2" t="n">
        <v>0</v>
      </c>
      <c r="U1587" s="2" t="n">
        <v>4</v>
      </c>
      <c r="V1587" s="2" t="n">
        <v>4</v>
      </c>
      <c r="W1587" s="2" t="n">
        <v>2</v>
      </c>
      <c r="X1587" s="2" t="n">
        <v>3</v>
      </c>
      <c r="Y1587" s="2" t="n">
        <v>3</v>
      </c>
      <c r="Z1587" s="2" t="n">
        <v>3</v>
      </c>
    </row>
    <row r="1588" customFormat="false" ht="15" hidden="false" customHeight="true" outlineLevel="0" collapsed="false">
      <c r="A1588" s="2" t="n">
        <v>28</v>
      </c>
      <c r="B1588" s="2" t="s">
        <v>26</v>
      </c>
      <c r="C1588" s="2" t="s">
        <v>27</v>
      </c>
      <c r="D1588" s="2" t="s">
        <v>35</v>
      </c>
      <c r="E1588" s="2" t="n">
        <v>2</v>
      </c>
      <c r="F1588" s="2" t="n">
        <v>2</v>
      </c>
      <c r="G1588" s="2" t="s">
        <v>43</v>
      </c>
      <c r="H1588" s="2" t="n">
        <v>1587</v>
      </c>
      <c r="I1588" s="2" t="s">
        <v>39</v>
      </c>
      <c r="J1588" s="2" t="n">
        <v>3</v>
      </c>
      <c r="K1588" s="2" t="s">
        <v>49</v>
      </c>
      <c r="L1588" s="2" t="s">
        <v>37</v>
      </c>
      <c r="M1588" s="2" t="n">
        <v>28580</v>
      </c>
      <c r="N1588" s="2" t="n">
        <v>1</v>
      </c>
      <c r="O1588" s="2" t="n">
        <v>12</v>
      </c>
      <c r="P1588" s="2" t="n">
        <v>0</v>
      </c>
      <c r="Q1588" s="2" t="n">
        <v>7</v>
      </c>
      <c r="R1588" s="2" t="n">
        <v>2</v>
      </c>
      <c r="S1588" s="2" t="n">
        <v>7</v>
      </c>
      <c r="T1588" s="2" t="n">
        <v>0</v>
      </c>
      <c r="U1588" s="2" t="n">
        <v>7</v>
      </c>
      <c r="V1588" s="2" t="n">
        <v>2</v>
      </c>
      <c r="W1588" s="2" t="n">
        <v>4</v>
      </c>
      <c r="X1588" s="2" t="n">
        <v>3</v>
      </c>
      <c r="Y1588" s="2" t="n">
        <v>2</v>
      </c>
      <c r="Z1588" s="2" t="n">
        <v>3</v>
      </c>
    </row>
    <row r="1589" customFormat="false" ht="15" hidden="false" customHeight="true" outlineLevel="0" collapsed="false">
      <c r="A1589" s="2" t="n">
        <v>49</v>
      </c>
      <c r="B1589" s="2" t="s">
        <v>26</v>
      </c>
      <c r="C1589" s="2" t="s">
        <v>27</v>
      </c>
      <c r="D1589" s="2" t="s">
        <v>28</v>
      </c>
      <c r="E1589" s="2" t="n">
        <v>2</v>
      </c>
      <c r="F1589" s="2" t="n">
        <v>3</v>
      </c>
      <c r="G1589" s="2" t="s">
        <v>51</v>
      </c>
      <c r="H1589" s="2" t="n">
        <v>1588</v>
      </c>
      <c r="I1589" s="2" t="s">
        <v>39</v>
      </c>
      <c r="J1589" s="2" t="n">
        <v>2</v>
      </c>
      <c r="K1589" s="2" t="s">
        <v>47</v>
      </c>
      <c r="L1589" s="2" t="s">
        <v>37</v>
      </c>
      <c r="M1589" s="2" t="n">
        <v>52040</v>
      </c>
      <c r="N1589" s="2" t="n">
        <v>8</v>
      </c>
      <c r="O1589" s="2" t="n">
        <v>14</v>
      </c>
      <c r="P1589" s="2" t="n">
        <v>1</v>
      </c>
      <c r="Q1589" s="2" t="n">
        <v>26</v>
      </c>
      <c r="R1589" s="2" t="n">
        <v>3</v>
      </c>
      <c r="S1589" s="2" t="n">
        <v>5</v>
      </c>
      <c r="T1589" s="2" t="n">
        <v>0</v>
      </c>
      <c r="U1589" s="2" t="n">
        <v>0</v>
      </c>
      <c r="V1589" s="2" t="n">
        <v>2</v>
      </c>
      <c r="W1589" s="2" t="n">
        <v>3</v>
      </c>
      <c r="X1589" s="2" t="n">
        <v>3</v>
      </c>
      <c r="Y1589" s="2" t="n">
        <v>3</v>
      </c>
      <c r="Z1589" s="2" t="n">
        <v>3</v>
      </c>
    </row>
    <row r="1590" customFormat="false" ht="15" hidden="false" customHeight="true" outlineLevel="0" collapsed="false">
      <c r="A1590" s="2" t="n">
        <v>51</v>
      </c>
      <c r="B1590" s="2" t="s">
        <v>26</v>
      </c>
      <c r="C1590" s="2" t="s">
        <v>27</v>
      </c>
      <c r="D1590" s="2" t="s">
        <v>35</v>
      </c>
      <c r="E1590" s="2" t="n">
        <v>1</v>
      </c>
      <c r="F1590" s="2" t="n">
        <v>2</v>
      </c>
      <c r="G1590" s="2" t="s">
        <v>29</v>
      </c>
      <c r="H1590" s="2" t="n">
        <v>1589</v>
      </c>
      <c r="I1590" s="2" t="s">
        <v>39</v>
      </c>
      <c r="J1590" s="2" t="n">
        <v>1</v>
      </c>
      <c r="K1590" s="2" t="s">
        <v>40</v>
      </c>
      <c r="L1590" s="2" t="s">
        <v>32</v>
      </c>
      <c r="M1590" s="2" t="n">
        <v>41050</v>
      </c>
      <c r="N1590" s="2" t="n">
        <v>4</v>
      </c>
      <c r="O1590" s="2" t="n">
        <v>22</v>
      </c>
      <c r="P1590" s="2" t="n">
        <v>1</v>
      </c>
      <c r="Q1590" s="2" t="n">
        <v>18</v>
      </c>
      <c r="R1590" s="2" t="n">
        <v>2</v>
      </c>
      <c r="S1590" s="2" t="n">
        <v>7</v>
      </c>
      <c r="T1590" s="2" t="n">
        <v>0</v>
      </c>
      <c r="U1590" s="2" t="n">
        <v>7</v>
      </c>
      <c r="V1590" s="2" t="n">
        <v>3</v>
      </c>
      <c r="W1590" s="2" t="n">
        <v>4</v>
      </c>
      <c r="X1590" s="2" t="n">
        <v>2</v>
      </c>
      <c r="Y1590" s="2" t="n">
        <v>3</v>
      </c>
      <c r="Z1590" s="2" t="n">
        <v>4</v>
      </c>
    </row>
    <row r="1591" customFormat="false" ht="15" hidden="false" customHeight="true" outlineLevel="0" collapsed="false">
      <c r="A1591" s="2" t="n">
        <v>36</v>
      </c>
      <c r="B1591" s="2" t="s">
        <v>26</v>
      </c>
      <c r="C1591" s="2" t="s">
        <v>27</v>
      </c>
      <c r="D1591" s="2" t="s">
        <v>28</v>
      </c>
      <c r="E1591" s="2" t="n">
        <v>15</v>
      </c>
      <c r="F1591" s="2" t="n">
        <v>2</v>
      </c>
      <c r="G1591" s="2" t="s">
        <v>29</v>
      </c>
      <c r="H1591" s="2" t="n">
        <v>1590</v>
      </c>
      <c r="I1591" s="2" t="s">
        <v>39</v>
      </c>
      <c r="J1591" s="2" t="n">
        <v>1</v>
      </c>
      <c r="K1591" s="2" t="s">
        <v>40</v>
      </c>
      <c r="L1591" s="2" t="s">
        <v>32</v>
      </c>
      <c r="M1591" s="2" t="n">
        <v>96790</v>
      </c>
      <c r="N1591" s="2" t="n">
        <v>4</v>
      </c>
      <c r="O1591" s="2" t="n">
        <v>12</v>
      </c>
      <c r="P1591" s="2" t="n">
        <v>0</v>
      </c>
      <c r="Q1591" s="2" t="n">
        <v>6</v>
      </c>
      <c r="R1591" s="2" t="n">
        <v>1</v>
      </c>
      <c r="S1591" s="2" t="n">
        <v>2</v>
      </c>
      <c r="T1591" s="2" t="n">
        <v>2</v>
      </c>
      <c r="U1591" s="2" t="n">
        <v>2</v>
      </c>
      <c r="V1591" s="2" t="n">
        <v>4</v>
      </c>
      <c r="W1591" s="2" t="n">
        <v>3</v>
      </c>
      <c r="X1591" s="2" t="n">
        <v>3</v>
      </c>
      <c r="Y1591" s="2" t="n">
        <v>3</v>
      </c>
      <c r="Z1591" s="2" t="n">
        <v>3</v>
      </c>
    </row>
    <row r="1592" customFormat="false" ht="15" hidden="false" customHeight="true" outlineLevel="0" collapsed="false">
      <c r="A1592" s="2" t="n">
        <v>34</v>
      </c>
      <c r="B1592" s="2" t="s">
        <v>33</v>
      </c>
      <c r="C1592" s="2" t="s">
        <v>41</v>
      </c>
      <c r="D1592" s="2" t="s">
        <v>35</v>
      </c>
      <c r="E1592" s="2" t="n">
        <v>7</v>
      </c>
      <c r="F1592" s="2" t="n">
        <v>3</v>
      </c>
      <c r="G1592" s="2" t="s">
        <v>29</v>
      </c>
      <c r="H1592" s="2" t="n">
        <v>1591</v>
      </c>
      <c r="I1592" s="2" t="s">
        <v>39</v>
      </c>
      <c r="J1592" s="2" t="n">
        <v>1</v>
      </c>
      <c r="K1592" s="2" t="s">
        <v>48</v>
      </c>
      <c r="L1592" s="2" t="s">
        <v>37</v>
      </c>
      <c r="M1592" s="2" t="n">
        <v>56170</v>
      </c>
      <c r="N1592" s="2" t="n">
        <v>8</v>
      </c>
      <c r="O1592" s="2" t="n">
        <v>25</v>
      </c>
      <c r="P1592" s="2" t="n">
        <v>1</v>
      </c>
      <c r="Q1592" s="2" t="n">
        <v>9</v>
      </c>
      <c r="R1592" s="2" t="n">
        <v>3</v>
      </c>
      <c r="S1592" s="2" t="n">
        <v>5</v>
      </c>
      <c r="T1592" s="2" t="n">
        <v>0</v>
      </c>
      <c r="U1592" s="2" t="n">
        <v>4</v>
      </c>
      <c r="V1592" s="2" t="n">
        <v>1</v>
      </c>
      <c r="W1592" s="2" t="n">
        <v>4</v>
      </c>
      <c r="X1592" s="2" t="n">
        <v>2</v>
      </c>
      <c r="Y1592" s="2" t="n">
        <v>3</v>
      </c>
      <c r="Z1592" s="2" t="n">
        <v>4</v>
      </c>
    </row>
    <row r="1593" customFormat="false" ht="15" hidden="false" customHeight="true" outlineLevel="0" collapsed="false">
      <c r="A1593" s="2" t="n">
        <v>55</v>
      </c>
      <c r="B1593" s="2" t="s">
        <v>26</v>
      </c>
      <c r="C1593" s="2" t="s">
        <v>27</v>
      </c>
      <c r="D1593" s="2" t="s">
        <v>28</v>
      </c>
      <c r="E1593" s="2" t="n">
        <v>26</v>
      </c>
      <c r="F1593" s="2" t="n">
        <v>3</v>
      </c>
      <c r="G1593" s="2" t="s">
        <v>50</v>
      </c>
      <c r="H1593" s="2" t="n">
        <v>1592</v>
      </c>
      <c r="I1593" s="2" t="s">
        <v>39</v>
      </c>
      <c r="J1593" s="2" t="n">
        <v>1</v>
      </c>
      <c r="K1593" s="2" t="s">
        <v>45</v>
      </c>
      <c r="L1593" s="2" t="s">
        <v>37</v>
      </c>
      <c r="M1593" s="2" t="n">
        <v>104480</v>
      </c>
      <c r="N1593" s="2" t="n">
        <v>2</v>
      </c>
      <c r="O1593" s="2" t="n">
        <v>13</v>
      </c>
      <c r="P1593" s="2" t="n">
        <v>0</v>
      </c>
      <c r="Q1593" s="2" t="n">
        <v>30</v>
      </c>
      <c r="R1593" s="2" t="n">
        <v>3</v>
      </c>
      <c r="S1593" s="2" t="n">
        <v>5</v>
      </c>
      <c r="T1593" s="2" t="n">
        <v>1</v>
      </c>
      <c r="U1593" s="2" t="n">
        <v>2</v>
      </c>
      <c r="V1593" s="2" t="n">
        <v>3</v>
      </c>
      <c r="W1593" s="2" t="n">
        <v>4</v>
      </c>
      <c r="X1593" s="2" t="n">
        <v>3</v>
      </c>
      <c r="Y1593" s="2" t="n">
        <v>3</v>
      </c>
      <c r="Z1593" s="2" t="n">
        <v>3</v>
      </c>
    </row>
    <row r="1594" customFormat="false" ht="15" hidden="false" customHeight="true" outlineLevel="0" collapsed="false">
      <c r="A1594" s="2" t="n">
        <v>24</v>
      </c>
      <c r="B1594" s="2" t="s">
        <v>26</v>
      </c>
      <c r="C1594" s="2" t="s">
        <v>27</v>
      </c>
      <c r="D1594" s="2" t="s">
        <v>35</v>
      </c>
      <c r="E1594" s="2" t="n">
        <v>1</v>
      </c>
      <c r="F1594" s="2" t="n">
        <v>3</v>
      </c>
      <c r="G1594" s="2" t="s">
        <v>29</v>
      </c>
      <c r="H1594" s="2" t="n">
        <v>1593</v>
      </c>
      <c r="I1594" s="2" t="s">
        <v>30</v>
      </c>
      <c r="J1594" s="2" t="n">
        <v>5</v>
      </c>
      <c r="K1594" s="2" t="s">
        <v>49</v>
      </c>
      <c r="L1594" s="2" t="s">
        <v>46</v>
      </c>
      <c r="M1594" s="2" t="n">
        <v>28970</v>
      </c>
      <c r="N1594" s="2" t="n">
        <v>1</v>
      </c>
      <c r="O1594" s="2" t="n">
        <v>18</v>
      </c>
      <c r="P1594" s="2" t="n">
        <v>3</v>
      </c>
      <c r="Q1594" s="2" t="n">
        <v>5</v>
      </c>
      <c r="R1594" s="2" t="n">
        <v>4</v>
      </c>
      <c r="S1594" s="2" t="n">
        <v>5</v>
      </c>
      <c r="T1594" s="2" t="n">
        <v>0</v>
      </c>
      <c r="U1594" s="2" t="n">
        <v>3</v>
      </c>
      <c r="V1594" s="2" t="n">
        <v>4</v>
      </c>
      <c r="W1594" s="2" t="n">
        <v>3</v>
      </c>
      <c r="X1594" s="2" t="n">
        <v>4</v>
      </c>
      <c r="Y1594" s="2" t="n">
        <v>3</v>
      </c>
      <c r="Z1594" s="2" t="n">
        <v>3</v>
      </c>
    </row>
    <row r="1595" customFormat="false" ht="15" hidden="false" customHeight="true" outlineLevel="0" collapsed="false">
      <c r="A1595" s="2" t="n">
        <v>30</v>
      </c>
      <c r="B1595" s="2" t="s">
        <v>26</v>
      </c>
      <c r="C1595" s="2" t="s">
        <v>27</v>
      </c>
      <c r="D1595" s="2" t="s">
        <v>35</v>
      </c>
      <c r="E1595" s="2" t="n">
        <v>3</v>
      </c>
      <c r="F1595" s="2" t="n">
        <v>3</v>
      </c>
      <c r="G1595" s="2" t="s">
        <v>29</v>
      </c>
      <c r="H1595" s="2" t="n">
        <v>1594</v>
      </c>
      <c r="I1595" s="2" t="s">
        <v>30</v>
      </c>
      <c r="J1595" s="2" t="n">
        <v>2</v>
      </c>
      <c r="K1595" s="2" t="s">
        <v>49</v>
      </c>
      <c r="L1595" s="2" t="s">
        <v>32</v>
      </c>
      <c r="M1595" s="2" t="n">
        <v>59680</v>
      </c>
      <c r="N1595" s="2" t="n">
        <v>1</v>
      </c>
      <c r="O1595" s="2" t="n">
        <v>13</v>
      </c>
      <c r="P1595" s="2" t="n">
        <v>0</v>
      </c>
      <c r="Q1595" s="2" t="n">
        <v>1</v>
      </c>
      <c r="R1595" s="2" t="n">
        <v>3</v>
      </c>
      <c r="S1595" s="2" t="n">
        <v>1</v>
      </c>
      <c r="T1595" s="2" t="n">
        <v>0</v>
      </c>
      <c r="U1595" s="2" t="n">
        <v>0</v>
      </c>
      <c r="V1595" s="2" t="n">
        <v>3</v>
      </c>
      <c r="W1595" s="2" t="n">
        <v>2</v>
      </c>
      <c r="X1595" s="2" t="n">
        <v>3</v>
      </c>
      <c r="Y1595" s="2" t="n">
        <v>3</v>
      </c>
      <c r="Z1595" s="2" t="n">
        <v>3</v>
      </c>
    </row>
    <row r="1596" customFormat="false" ht="15" hidden="false" customHeight="true" outlineLevel="0" collapsed="false">
      <c r="A1596" s="2" t="n">
        <v>26</v>
      </c>
      <c r="B1596" s="2" t="s">
        <v>33</v>
      </c>
      <c r="C1596" s="2" t="s">
        <v>34</v>
      </c>
      <c r="D1596" s="2" t="s">
        <v>28</v>
      </c>
      <c r="E1596" s="2" t="n">
        <v>14</v>
      </c>
      <c r="F1596" s="2" t="n">
        <v>3</v>
      </c>
      <c r="G1596" s="2" t="s">
        <v>29</v>
      </c>
      <c r="H1596" s="2" t="n">
        <v>1595</v>
      </c>
      <c r="I1596" s="2" t="s">
        <v>39</v>
      </c>
      <c r="J1596" s="2" t="n">
        <v>2</v>
      </c>
      <c r="K1596" s="2" t="s">
        <v>49</v>
      </c>
      <c r="L1596" s="2" t="s">
        <v>37</v>
      </c>
      <c r="M1596" s="2" t="n">
        <v>75100</v>
      </c>
      <c r="N1596" s="2" t="n">
        <v>0</v>
      </c>
      <c r="O1596" s="2" t="n">
        <v>18</v>
      </c>
      <c r="P1596" s="2" t="n">
        <v>3</v>
      </c>
      <c r="Q1596" s="2" t="n">
        <v>7</v>
      </c>
      <c r="R1596" s="2" t="n">
        <v>3</v>
      </c>
      <c r="S1596" s="2" t="n">
        <v>6</v>
      </c>
      <c r="T1596" s="2" t="n">
        <v>0</v>
      </c>
      <c r="U1596" s="2" t="n">
        <v>4</v>
      </c>
      <c r="V1596" s="2" t="n">
        <v>3</v>
      </c>
      <c r="W1596" s="2" t="n">
        <v>1</v>
      </c>
      <c r="X1596" s="2" t="n">
        <v>3</v>
      </c>
      <c r="Y1596" s="2" t="n">
        <v>3</v>
      </c>
      <c r="Z1596" s="2" t="n">
        <v>3</v>
      </c>
    </row>
    <row r="1597" customFormat="false" ht="15" hidden="false" customHeight="true" outlineLevel="0" collapsed="false">
      <c r="A1597" s="2" t="n">
        <v>22</v>
      </c>
      <c r="B1597" s="2" t="s">
        <v>26</v>
      </c>
      <c r="C1597" s="2" t="s">
        <v>27</v>
      </c>
      <c r="D1597" s="2" t="s">
        <v>35</v>
      </c>
      <c r="E1597" s="2" t="n">
        <v>16</v>
      </c>
      <c r="F1597" s="2" t="n">
        <v>5</v>
      </c>
      <c r="G1597" s="2" t="s">
        <v>38</v>
      </c>
      <c r="H1597" s="2" t="n">
        <v>1596</v>
      </c>
      <c r="I1597" s="2" t="s">
        <v>39</v>
      </c>
      <c r="J1597" s="2" t="n">
        <v>1</v>
      </c>
      <c r="K1597" s="2" t="s">
        <v>36</v>
      </c>
      <c r="L1597" s="2" t="s">
        <v>32</v>
      </c>
      <c r="M1597" s="2" t="n">
        <v>29910</v>
      </c>
      <c r="N1597" s="2" t="n">
        <v>1</v>
      </c>
      <c r="O1597" s="2" t="n">
        <v>19</v>
      </c>
      <c r="P1597" s="2" t="n">
        <v>2</v>
      </c>
      <c r="Q1597" s="2" t="n">
        <v>2</v>
      </c>
      <c r="R1597" s="2" t="n">
        <v>3</v>
      </c>
      <c r="S1597" s="2" t="n">
        <v>2</v>
      </c>
      <c r="T1597" s="2" t="n">
        <v>1</v>
      </c>
      <c r="U1597" s="2" t="n">
        <v>2</v>
      </c>
      <c r="V1597" s="2" t="n">
        <v>1</v>
      </c>
      <c r="W1597" s="2" t="n">
        <v>2</v>
      </c>
      <c r="X1597" s="2" t="n">
        <v>3</v>
      </c>
      <c r="Y1597" s="2" t="n">
        <v>2</v>
      </c>
      <c r="Z1597" s="2" t="n">
        <v>3</v>
      </c>
    </row>
    <row r="1598" customFormat="false" ht="15" hidden="false" customHeight="true" outlineLevel="0" collapsed="false">
      <c r="A1598" s="2" t="n">
        <v>36</v>
      </c>
      <c r="B1598" s="2" t="s">
        <v>26</v>
      </c>
      <c r="C1598" s="2" t="s">
        <v>27</v>
      </c>
      <c r="D1598" s="2" t="s">
        <v>35</v>
      </c>
      <c r="E1598" s="2" t="n">
        <v>1</v>
      </c>
      <c r="F1598" s="2" t="n">
        <v>3</v>
      </c>
      <c r="G1598" s="2" t="s">
        <v>43</v>
      </c>
      <c r="H1598" s="2" t="n">
        <v>1597</v>
      </c>
      <c r="I1598" s="2" t="s">
        <v>30</v>
      </c>
      <c r="J1598" s="2" t="n">
        <v>5</v>
      </c>
      <c r="K1598" s="2" t="s">
        <v>31</v>
      </c>
      <c r="L1598" s="2" t="s">
        <v>32</v>
      </c>
      <c r="M1598" s="2" t="n">
        <v>196360</v>
      </c>
      <c r="N1598" s="2" t="n">
        <v>1</v>
      </c>
      <c r="O1598" s="2" t="n">
        <v>12</v>
      </c>
      <c r="P1598" s="2" t="n">
        <v>1</v>
      </c>
      <c r="Q1598" s="2" t="n">
        <v>10</v>
      </c>
      <c r="R1598" s="2" t="n">
        <v>3</v>
      </c>
      <c r="S1598" s="2" t="n">
        <v>10</v>
      </c>
      <c r="T1598" s="2" t="n">
        <v>9</v>
      </c>
      <c r="U1598" s="2" t="n">
        <v>0</v>
      </c>
      <c r="V1598" s="2" t="n">
        <v>2</v>
      </c>
      <c r="W1598" s="2" t="n">
        <v>3</v>
      </c>
      <c r="X1598" s="2"/>
      <c r="Y1598" s="2" t="n">
        <v>3</v>
      </c>
      <c r="Z1598" s="2" t="n">
        <v>3</v>
      </c>
    </row>
    <row r="1599" customFormat="false" ht="15" hidden="false" customHeight="true" outlineLevel="0" collapsed="false">
      <c r="A1599" s="2" t="n">
        <v>30</v>
      </c>
      <c r="B1599" s="2" t="s">
        <v>33</v>
      </c>
      <c r="C1599" s="2" t="s">
        <v>34</v>
      </c>
      <c r="D1599" s="2" t="s">
        <v>28</v>
      </c>
      <c r="E1599" s="2" t="n">
        <v>3</v>
      </c>
      <c r="F1599" s="2" t="n">
        <v>2</v>
      </c>
      <c r="G1599" s="2" t="s">
        <v>50</v>
      </c>
      <c r="H1599" s="2" t="n">
        <v>1598</v>
      </c>
      <c r="I1599" s="2" t="s">
        <v>39</v>
      </c>
      <c r="J1599" s="2" t="n">
        <v>3</v>
      </c>
      <c r="K1599" s="2" t="s">
        <v>36</v>
      </c>
      <c r="L1599" s="2" t="s">
        <v>37</v>
      </c>
      <c r="M1599" s="2" t="n">
        <v>11290</v>
      </c>
      <c r="N1599" s="2" t="n">
        <v>9</v>
      </c>
      <c r="O1599" s="2" t="n">
        <v>19</v>
      </c>
      <c r="P1599" s="2" t="n">
        <v>0</v>
      </c>
      <c r="Q1599" s="2" t="n">
        <v>3</v>
      </c>
      <c r="R1599" s="2" t="n">
        <v>2</v>
      </c>
      <c r="S1599" s="2" t="n">
        <v>1</v>
      </c>
      <c r="T1599" s="2" t="n">
        <v>0</v>
      </c>
      <c r="U1599" s="2" t="n">
        <v>0</v>
      </c>
      <c r="V1599" s="2" t="n">
        <v>3</v>
      </c>
      <c r="W1599" s="2" t="n">
        <v>4</v>
      </c>
      <c r="X1599" s="2" t="n">
        <v>3</v>
      </c>
      <c r="Y1599" s="2" t="n">
        <v>2</v>
      </c>
      <c r="Z1599" s="2" t="n">
        <v>3</v>
      </c>
    </row>
    <row r="1600" customFormat="false" ht="15" hidden="false" customHeight="true" outlineLevel="0" collapsed="false">
      <c r="A1600" s="2" t="n">
        <v>37</v>
      </c>
      <c r="B1600" s="2" t="s">
        <v>26</v>
      </c>
      <c r="C1600" s="2" t="s">
        <v>27</v>
      </c>
      <c r="D1600" s="2" t="s">
        <v>35</v>
      </c>
      <c r="E1600" s="2" t="n">
        <v>10</v>
      </c>
      <c r="F1600" s="2" t="n">
        <v>1</v>
      </c>
      <c r="G1600" s="2" t="s">
        <v>51</v>
      </c>
      <c r="H1600" s="2" t="n">
        <v>1599</v>
      </c>
      <c r="I1600" s="2" t="s">
        <v>39</v>
      </c>
      <c r="J1600" s="2" t="n">
        <v>1</v>
      </c>
      <c r="K1600" s="2" t="s">
        <v>40</v>
      </c>
      <c r="L1600" s="2" t="s">
        <v>46</v>
      </c>
      <c r="M1600" s="2" t="n">
        <v>133410</v>
      </c>
      <c r="N1600" s="2" t="n">
        <v>1</v>
      </c>
      <c r="O1600" s="2" t="n">
        <v>14</v>
      </c>
      <c r="P1600" s="2" t="n">
        <v>1</v>
      </c>
      <c r="Q1600" s="2" t="n">
        <v>18</v>
      </c>
      <c r="R1600" s="2" t="n">
        <v>3</v>
      </c>
      <c r="S1600" s="2" t="n">
        <v>18</v>
      </c>
      <c r="T1600" s="2" t="n">
        <v>12</v>
      </c>
      <c r="U1600" s="2" t="n">
        <v>17</v>
      </c>
      <c r="V1600" s="2" t="n">
        <v>4</v>
      </c>
      <c r="W1600" s="2" t="n">
        <v>1</v>
      </c>
      <c r="X1600" s="2" t="n">
        <v>2</v>
      </c>
      <c r="Y1600" s="2" t="n">
        <v>3</v>
      </c>
      <c r="Z1600" s="2" t="n">
        <v>3</v>
      </c>
    </row>
    <row r="1601" customFormat="false" ht="15" hidden="false" customHeight="true" outlineLevel="0" collapsed="false">
      <c r="A1601" s="2" t="n">
        <v>40</v>
      </c>
      <c r="B1601" s="2" t="s">
        <v>26</v>
      </c>
      <c r="C1601" s="2" t="s">
        <v>27</v>
      </c>
      <c r="D1601" s="2" t="s">
        <v>35</v>
      </c>
      <c r="E1601" s="2" t="n">
        <v>6</v>
      </c>
      <c r="F1601" s="2" t="n">
        <v>2</v>
      </c>
      <c r="G1601" s="2" t="s">
        <v>43</v>
      </c>
      <c r="H1601" s="2" t="n">
        <v>1600</v>
      </c>
      <c r="I1601" s="2" t="s">
        <v>39</v>
      </c>
      <c r="J1601" s="2" t="n">
        <v>3</v>
      </c>
      <c r="K1601" s="2" t="s">
        <v>36</v>
      </c>
      <c r="L1601" s="2" t="s">
        <v>46</v>
      </c>
      <c r="M1601" s="2" t="n">
        <v>43320</v>
      </c>
      <c r="N1601" s="2" t="n">
        <v>7</v>
      </c>
      <c r="O1601" s="2" t="n">
        <v>14</v>
      </c>
      <c r="P1601" s="2" t="n">
        <v>2</v>
      </c>
      <c r="Q1601" s="2" t="n">
        <v>8</v>
      </c>
      <c r="R1601" s="2" t="n">
        <v>3</v>
      </c>
      <c r="S1601" s="2" t="n">
        <v>5</v>
      </c>
      <c r="T1601" s="2" t="n">
        <v>1</v>
      </c>
      <c r="U1601" s="2" t="n">
        <v>3</v>
      </c>
      <c r="V1601" s="2" t="n">
        <v>4</v>
      </c>
      <c r="W1601" s="2" t="n">
        <v>2</v>
      </c>
      <c r="X1601" s="2" t="n">
        <v>3</v>
      </c>
      <c r="Y1601" s="2" t="n">
        <v>2</v>
      </c>
      <c r="Z1601" s="2" t="n">
        <v>3</v>
      </c>
    </row>
    <row r="1602" customFormat="false" ht="15" hidden="false" customHeight="true" outlineLevel="0" collapsed="false">
      <c r="A1602" s="2" t="n">
        <v>42</v>
      </c>
      <c r="B1602" s="2" t="s">
        <v>26</v>
      </c>
      <c r="C1602" s="2" t="s">
        <v>27</v>
      </c>
      <c r="D1602" s="2" t="s">
        <v>35</v>
      </c>
      <c r="E1602" s="2" t="n">
        <v>2</v>
      </c>
      <c r="F1602" s="2" t="n">
        <v>3</v>
      </c>
      <c r="G1602" s="2" t="s">
        <v>43</v>
      </c>
      <c r="H1602" s="2" t="n">
        <v>1601</v>
      </c>
      <c r="I1602" s="2" t="s">
        <v>30</v>
      </c>
      <c r="J1602" s="2" t="n">
        <v>4</v>
      </c>
      <c r="K1602" s="2" t="s">
        <v>49</v>
      </c>
      <c r="L1602" s="2" t="s">
        <v>46</v>
      </c>
      <c r="M1602" s="2" t="n">
        <v>110310</v>
      </c>
      <c r="N1602" s="2" t="n">
        <v>3</v>
      </c>
      <c r="O1602" s="2" t="n">
        <v>12</v>
      </c>
      <c r="P1602" s="2" t="n">
        <v>1</v>
      </c>
      <c r="Q1602" s="2" t="n">
        <v>8</v>
      </c>
      <c r="R1602" s="2" t="n">
        <v>2</v>
      </c>
      <c r="S1602" s="2" t="n">
        <v>5</v>
      </c>
      <c r="T1602" s="2" t="n">
        <v>1</v>
      </c>
      <c r="U1602" s="2" t="n">
        <v>2</v>
      </c>
      <c r="V1602" s="2" t="n">
        <v>2</v>
      </c>
      <c r="W1602" s="2" t="n">
        <v>1</v>
      </c>
      <c r="X1602" s="2" t="n">
        <v>3</v>
      </c>
      <c r="Y1602" s="2" t="n">
        <v>2</v>
      </c>
      <c r="Z1602" s="2" t="n">
        <v>3</v>
      </c>
    </row>
    <row r="1603" customFormat="false" ht="15" hidden="false" customHeight="true" outlineLevel="0" collapsed="false">
      <c r="A1603" s="2" t="n">
        <v>37</v>
      </c>
      <c r="B1603" s="2" t="s">
        <v>26</v>
      </c>
      <c r="C1603" s="2" t="s">
        <v>27</v>
      </c>
      <c r="D1603" s="2" t="s">
        <v>28</v>
      </c>
      <c r="E1603" s="2" t="n">
        <v>9</v>
      </c>
      <c r="F1603" s="2" t="n">
        <v>1</v>
      </c>
      <c r="G1603" s="2" t="s">
        <v>50</v>
      </c>
      <c r="H1603" s="2" t="n">
        <v>1602</v>
      </c>
      <c r="I1603" s="2" t="s">
        <v>39</v>
      </c>
      <c r="J1603" s="2" t="n">
        <v>3</v>
      </c>
      <c r="K1603" s="2" t="s">
        <v>40</v>
      </c>
      <c r="L1603" s="2" t="s">
        <v>37</v>
      </c>
      <c r="M1603" s="2" t="n">
        <v>44400</v>
      </c>
      <c r="N1603" s="2" t="n">
        <v>2</v>
      </c>
      <c r="O1603" s="2" t="n">
        <v>11</v>
      </c>
      <c r="P1603" s="2" t="n">
        <v>1</v>
      </c>
      <c r="Q1603" s="2" t="n">
        <v>18</v>
      </c>
      <c r="R1603" s="2" t="n">
        <v>3</v>
      </c>
      <c r="S1603" s="2" t="n">
        <v>1</v>
      </c>
      <c r="T1603" s="2" t="n">
        <v>0</v>
      </c>
      <c r="U1603" s="2" t="n">
        <v>1</v>
      </c>
      <c r="V1603" s="2" t="n">
        <v>3</v>
      </c>
      <c r="W1603" s="2" t="n">
        <v>2</v>
      </c>
      <c r="X1603" s="2" t="n">
        <v>2</v>
      </c>
      <c r="Y1603" s="2" t="n">
        <v>2</v>
      </c>
      <c r="Z1603" s="2" t="n">
        <v>3</v>
      </c>
    </row>
    <row r="1604" customFormat="false" ht="15" hidden="false" customHeight="true" outlineLevel="0" collapsed="false">
      <c r="A1604" s="2" t="n">
        <v>43</v>
      </c>
      <c r="B1604" s="2" t="s">
        <v>26</v>
      </c>
      <c r="C1604" s="2" t="s">
        <v>27</v>
      </c>
      <c r="D1604" s="2" t="s">
        <v>28</v>
      </c>
      <c r="E1604" s="2" t="n">
        <v>10</v>
      </c>
      <c r="F1604" s="2" t="n">
        <v>2</v>
      </c>
      <c r="G1604" s="2" t="s">
        <v>29</v>
      </c>
      <c r="H1604" s="2" t="n">
        <v>1603</v>
      </c>
      <c r="I1604" s="2" t="s">
        <v>30</v>
      </c>
      <c r="J1604" s="2" t="n">
        <v>1</v>
      </c>
      <c r="K1604" s="2" t="s">
        <v>40</v>
      </c>
      <c r="L1604" s="2" t="s">
        <v>46</v>
      </c>
      <c r="M1604" s="2" t="n">
        <v>46170</v>
      </c>
      <c r="N1604" s="2" t="n">
        <v>1</v>
      </c>
      <c r="O1604" s="2" t="n">
        <v>11</v>
      </c>
      <c r="P1604" s="2" t="n">
        <v>0</v>
      </c>
      <c r="Q1604" s="2" t="n">
        <v>25</v>
      </c>
      <c r="R1604" s="2" t="n">
        <v>2</v>
      </c>
      <c r="S1604" s="2" t="n">
        <v>25</v>
      </c>
      <c r="T1604" s="2" t="n">
        <v>3</v>
      </c>
      <c r="U1604" s="2" t="n">
        <v>9</v>
      </c>
      <c r="V1604" s="2" t="n">
        <v>1</v>
      </c>
      <c r="W1604" s="2" t="n">
        <v>2</v>
      </c>
      <c r="X1604" s="2" t="n">
        <v>3</v>
      </c>
      <c r="Y1604" s="2" t="n">
        <v>3</v>
      </c>
      <c r="Z1604" s="2" t="n">
        <v>3</v>
      </c>
    </row>
    <row r="1605" customFormat="false" ht="15" hidden="false" customHeight="true" outlineLevel="0" collapsed="false">
      <c r="A1605" s="2" t="n">
        <v>40</v>
      </c>
      <c r="B1605" s="2" t="s">
        <v>26</v>
      </c>
      <c r="C1605" s="2" t="s">
        <v>27</v>
      </c>
      <c r="D1605" s="2" t="s">
        <v>28</v>
      </c>
      <c r="E1605" s="2" t="n">
        <v>6</v>
      </c>
      <c r="F1605" s="2" t="n">
        <v>2</v>
      </c>
      <c r="G1605" s="2" t="s">
        <v>29</v>
      </c>
      <c r="H1605" s="2" t="n">
        <v>1604</v>
      </c>
      <c r="I1605" s="2" t="s">
        <v>30</v>
      </c>
      <c r="J1605" s="2" t="n">
        <v>1</v>
      </c>
      <c r="K1605" s="2" t="s">
        <v>45</v>
      </c>
      <c r="L1605" s="2" t="s">
        <v>32</v>
      </c>
      <c r="M1605" s="2" t="n">
        <v>26470</v>
      </c>
      <c r="N1605" s="2" t="n">
        <v>6</v>
      </c>
      <c r="O1605" s="2" t="n">
        <v>13</v>
      </c>
      <c r="P1605" s="2" t="n">
        <v>0</v>
      </c>
      <c r="Q1605" s="2" t="n">
        <v>20</v>
      </c>
      <c r="R1605" s="2" t="n">
        <v>2</v>
      </c>
      <c r="S1605" s="2" t="n">
        <v>1</v>
      </c>
      <c r="T1605" s="2" t="n">
        <v>0</v>
      </c>
      <c r="U1605" s="2" t="n">
        <v>0</v>
      </c>
      <c r="V1605" s="2" t="n">
        <v>2</v>
      </c>
      <c r="W1605" s="2" t="n">
        <v>3</v>
      </c>
      <c r="X1605" s="2" t="n">
        <v>3</v>
      </c>
      <c r="Y1605" s="2" t="n">
        <v>2</v>
      </c>
      <c r="Z1605" s="2" t="n">
        <v>3</v>
      </c>
    </row>
    <row r="1606" customFormat="false" ht="15" hidden="false" customHeight="true" outlineLevel="0" collapsed="false">
      <c r="A1606" s="2" t="n">
        <v>54</v>
      </c>
      <c r="B1606" s="2" t="s">
        <v>26</v>
      </c>
      <c r="C1606" s="2" t="s">
        <v>27</v>
      </c>
      <c r="D1606" s="2" t="s">
        <v>42</v>
      </c>
      <c r="E1606" s="2" t="n">
        <v>9</v>
      </c>
      <c r="F1606" s="2" t="n">
        <v>3</v>
      </c>
      <c r="G1606" s="2" t="s">
        <v>29</v>
      </c>
      <c r="H1606" s="2" t="n">
        <v>1605</v>
      </c>
      <c r="I1606" s="2" t="s">
        <v>30</v>
      </c>
      <c r="J1606" s="2" t="n">
        <v>2</v>
      </c>
      <c r="K1606" s="2" t="s">
        <v>47</v>
      </c>
      <c r="L1606" s="2" t="s">
        <v>32</v>
      </c>
      <c r="M1606" s="2" t="n">
        <v>63230</v>
      </c>
      <c r="N1606" s="2" t="n">
        <v>4</v>
      </c>
      <c r="O1606" s="2" t="n">
        <v>23</v>
      </c>
      <c r="P1606" s="2" t="n">
        <v>1</v>
      </c>
      <c r="Q1606" s="2" t="n">
        <v>24</v>
      </c>
      <c r="R1606" s="2" t="n">
        <v>2</v>
      </c>
      <c r="S1606" s="2" t="n">
        <v>4</v>
      </c>
      <c r="T1606" s="2" t="n">
        <v>1</v>
      </c>
      <c r="U1606" s="2" t="n">
        <v>2</v>
      </c>
      <c r="V1606" s="2" t="n">
        <v>1</v>
      </c>
      <c r="W1606" s="2" t="n">
        <v>1</v>
      </c>
      <c r="X1606" s="2" t="n">
        <v>2</v>
      </c>
      <c r="Y1606" s="2" t="n">
        <v>2</v>
      </c>
      <c r="Z1606" s="2" t="n">
        <v>4</v>
      </c>
    </row>
    <row r="1607" customFormat="false" ht="15" hidden="false" customHeight="true" outlineLevel="0" collapsed="false">
      <c r="A1607" s="2" t="n">
        <v>34</v>
      </c>
      <c r="B1607" s="2" t="s">
        <v>26</v>
      </c>
      <c r="C1607" s="2" t="s">
        <v>41</v>
      </c>
      <c r="D1607" s="2" t="s">
        <v>35</v>
      </c>
      <c r="E1607" s="2" t="n">
        <v>28</v>
      </c>
      <c r="F1607" s="2" t="n">
        <v>3</v>
      </c>
      <c r="G1607" s="2" t="s">
        <v>43</v>
      </c>
      <c r="H1607" s="2" t="n">
        <v>1606</v>
      </c>
      <c r="I1607" s="2" t="s">
        <v>39</v>
      </c>
      <c r="J1607" s="2" t="n">
        <v>1</v>
      </c>
      <c r="K1607" s="2" t="s">
        <v>45</v>
      </c>
      <c r="L1607" s="2" t="s">
        <v>32</v>
      </c>
      <c r="M1607" s="2" t="n">
        <v>56770</v>
      </c>
      <c r="N1607" s="2" t="n">
        <v>9</v>
      </c>
      <c r="O1607" s="2" t="n">
        <v>20</v>
      </c>
      <c r="P1607" s="2" t="n">
        <v>1</v>
      </c>
      <c r="Q1607" s="2" t="n">
        <v>6</v>
      </c>
      <c r="R1607" s="2" t="n">
        <v>3</v>
      </c>
      <c r="S1607" s="2" t="n">
        <v>3</v>
      </c>
      <c r="T1607" s="2" t="n">
        <v>1</v>
      </c>
      <c r="U1607" s="2" t="n">
        <v>2</v>
      </c>
      <c r="V1607" s="2" t="n">
        <v>3</v>
      </c>
      <c r="W1607" s="2" t="n">
        <v>3</v>
      </c>
      <c r="X1607" s="2" t="n">
        <v>3</v>
      </c>
      <c r="Y1607" s="2" t="n">
        <v>3</v>
      </c>
      <c r="Z1607" s="2" t="n">
        <v>4</v>
      </c>
    </row>
    <row r="1608" customFormat="false" ht="15" hidden="false" customHeight="true" outlineLevel="0" collapsed="false">
      <c r="A1608" s="2" t="n">
        <v>31</v>
      </c>
      <c r="B1608" s="2" t="s">
        <v>26</v>
      </c>
      <c r="C1608" s="2" t="s">
        <v>27</v>
      </c>
      <c r="D1608" s="2" t="s">
        <v>35</v>
      </c>
      <c r="E1608" s="2" t="n">
        <v>10</v>
      </c>
      <c r="F1608" s="2" t="n">
        <v>4</v>
      </c>
      <c r="G1608" s="2" t="s">
        <v>29</v>
      </c>
      <c r="H1608" s="2" t="n">
        <v>1607</v>
      </c>
      <c r="I1608" s="2" t="s">
        <v>39</v>
      </c>
      <c r="J1608" s="2" t="n">
        <v>3</v>
      </c>
      <c r="K1608" s="2" t="s">
        <v>40</v>
      </c>
      <c r="L1608" s="2" t="s">
        <v>32</v>
      </c>
      <c r="M1608" s="2" t="n">
        <v>21870</v>
      </c>
      <c r="N1608" s="2" t="n">
        <v>1</v>
      </c>
      <c r="O1608" s="2" t="n">
        <v>15</v>
      </c>
      <c r="P1608" s="2" t="n">
        <v>1</v>
      </c>
      <c r="Q1608" s="2" t="n">
        <v>13</v>
      </c>
      <c r="R1608" s="2" t="n">
        <v>2</v>
      </c>
      <c r="S1608" s="2" t="n">
        <v>13</v>
      </c>
      <c r="T1608" s="2" t="n">
        <v>3</v>
      </c>
      <c r="U1608" s="2" t="n">
        <v>12</v>
      </c>
      <c r="V1608" s="2" t="n">
        <v>2</v>
      </c>
      <c r="W1608" s="2" t="n">
        <v>1</v>
      </c>
      <c r="X1608" s="2" t="n">
        <v>1</v>
      </c>
      <c r="Y1608" s="2" t="n">
        <v>2</v>
      </c>
      <c r="Z1608" s="2" t="n">
        <v>3</v>
      </c>
    </row>
    <row r="1609" customFormat="false" ht="15" hidden="false" customHeight="true" outlineLevel="0" collapsed="false">
      <c r="A1609" s="2" t="n">
        <v>43</v>
      </c>
      <c r="B1609" s="2" t="s">
        <v>26</v>
      </c>
      <c r="C1609" s="2" t="s">
        <v>34</v>
      </c>
      <c r="D1609" s="2" t="s">
        <v>28</v>
      </c>
      <c r="E1609" s="2" t="n">
        <v>14</v>
      </c>
      <c r="F1609" s="2" t="n">
        <v>3</v>
      </c>
      <c r="G1609" s="2" t="s">
        <v>29</v>
      </c>
      <c r="H1609" s="2" t="n">
        <v>1608</v>
      </c>
      <c r="I1609" s="2" t="s">
        <v>30</v>
      </c>
      <c r="J1609" s="2" t="n">
        <v>1</v>
      </c>
      <c r="K1609" s="2" t="s">
        <v>47</v>
      </c>
      <c r="L1609" s="2" t="s">
        <v>32</v>
      </c>
      <c r="M1609" s="2" t="n">
        <v>37480</v>
      </c>
      <c r="N1609" s="2" t="n">
        <v>7</v>
      </c>
      <c r="O1609" s="2" t="n">
        <v>14</v>
      </c>
      <c r="P1609" s="2" t="n">
        <v>2</v>
      </c>
      <c r="Q1609" s="2" t="n">
        <v>8</v>
      </c>
      <c r="R1609" s="2" t="n">
        <v>3</v>
      </c>
      <c r="S1609" s="2" t="n">
        <v>3</v>
      </c>
      <c r="T1609" s="2" t="n">
        <v>1</v>
      </c>
      <c r="U1609" s="2" t="n">
        <v>2</v>
      </c>
      <c r="V1609" s="2" t="n">
        <v>4</v>
      </c>
      <c r="W1609" s="2" t="n">
        <v>4</v>
      </c>
      <c r="X1609" s="2" t="n">
        <v>3</v>
      </c>
      <c r="Y1609" s="2" t="n">
        <v>2</v>
      </c>
      <c r="Z1609" s="2" t="n">
        <v>3</v>
      </c>
    </row>
    <row r="1610" customFormat="false" ht="15" hidden="false" customHeight="true" outlineLevel="0" collapsed="false">
      <c r="A1610" s="2" t="n">
        <v>43</v>
      </c>
      <c r="B1610" s="2" t="s">
        <v>26</v>
      </c>
      <c r="C1610" s="2" t="s">
        <v>27</v>
      </c>
      <c r="D1610" s="2" t="s">
        <v>28</v>
      </c>
      <c r="E1610" s="2" t="n">
        <v>27</v>
      </c>
      <c r="F1610" s="2" t="n">
        <v>4</v>
      </c>
      <c r="G1610" s="2" t="s">
        <v>29</v>
      </c>
      <c r="H1610" s="2" t="n">
        <v>1609</v>
      </c>
      <c r="I1610" s="2" t="s">
        <v>39</v>
      </c>
      <c r="J1610" s="2" t="n">
        <v>2</v>
      </c>
      <c r="K1610" s="2" t="s">
        <v>48</v>
      </c>
      <c r="L1610" s="2" t="s">
        <v>46</v>
      </c>
      <c r="M1610" s="2" t="n">
        <v>39770</v>
      </c>
      <c r="N1610" s="2" t="n">
        <v>4</v>
      </c>
      <c r="O1610" s="2" t="n">
        <v>18</v>
      </c>
      <c r="P1610" s="2" t="n">
        <v>1</v>
      </c>
      <c r="Q1610" s="2" t="n">
        <v>8</v>
      </c>
      <c r="R1610" s="2" t="n">
        <v>3</v>
      </c>
      <c r="S1610" s="2" t="n">
        <v>5</v>
      </c>
      <c r="T1610" s="2" t="n">
        <v>0</v>
      </c>
      <c r="U1610" s="2" t="n">
        <v>2</v>
      </c>
      <c r="V1610" s="2" t="n">
        <v>3</v>
      </c>
      <c r="W1610" s="2" t="n">
        <v>3</v>
      </c>
      <c r="X1610" s="2" t="n">
        <v>3</v>
      </c>
      <c r="Y1610" s="2" t="n">
        <v>3</v>
      </c>
      <c r="Z1610" s="2" t="n">
        <v>3</v>
      </c>
    </row>
    <row r="1611" customFormat="false" ht="15" hidden="false" customHeight="true" outlineLevel="0" collapsed="false">
      <c r="A1611" s="2" t="n">
        <v>25</v>
      </c>
      <c r="B1611" s="2" t="s">
        <v>26</v>
      </c>
      <c r="C1611" s="2" t="s">
        <v>27</v>
      </c>
      <c r="D1611" s="2" t="s">
        <v>42</v>
      </c>
      <c r="E1611" s="2" t="n">
        <v>7</v>
      </c>
      <c r="F1611" s="2" t="n">
        <v>2</v>
      </c>
      <c r="G1611" s="2" t="s">
        <v>42</v>
      </c>
      <c r="H1611" s="2" t="n">
        <v>1610</v>
      </c>
      <c r="I1611" s="2" t="s">
        <v>39</v>
      </c>
      <c r="J1611" s="2" t="n">
        <v>1</v>
      </c>
      <c r="K1611" s="2" t="s">
        <v>47</v>
      </c>
      <c r="L1611" s="2" t="s">
        <v>37</v>
      </c>
      <c r="M1611" s="2" t="n">
        <v>86330</v>
      </c>
      <c r="N1611" s="2" t="n">
        <v>1</v>
      </c>
      <c r="O1611" s="2" t="n">
        <v>19</v>
      </c>
      <c r="P1611" s="2" t="n">
        <v>1</v>
      </c>
      <c r="Q1611" s="2" t="n">
        <v>5</v>
      </c>
      <c r="R1611" s="2" t="n">
        <v>2</v>
      </c>
      <c r="S1611" s="2" t="n">
        <v>5</v>
      </c>
      <c r="T1611" s="2" t="n">
        <v>1</v>
      </c>
      <c r="U1611" s="2" t="n">
        <v>3</v>
      </c>
      <c r="V1611" s="2" t="n">
        <v>2</v>
      </c>
      <c r="W1611" s="2" t="n">
        <v>4</v>
      </c>
      <c r="X1611" s="2" t="n">
        <v>3</v>
      </c>
      <c r="Y1611" s="2" t="n">
        <v>4</v>
      </c>
      <c r="Z1611" s="2" t="n">
        <v>3</v>
      </c>
    </row>
    <row r="1612" customFormat="false" ht="15" hidden="false" customHeight="true" outlineLevel="0" collapsed="false">
      <c r="A1612" s="2" t="n">
        <v>37</v>
      </c>
      <c r="B1612" s="2" t="s">
        <v>26</v>
      </c>
      <c r="C1612" s="2" t="s">
        <v>41</v>
      </c>
      <c r="D1612" s="2" t="s">
        <v>35</v>
      </c>
      <c r="E1612" s="2" t="n">
        <v>1</v>
      </c>
      <c r="F1612" s="2" t="n">
        <v>3</v>
      </c>
      <c r="G1612" s="2" t="s">
        <v>43</v>
      </c>
      <c r="H1612" s="2" t="n">
        <v>1611</v>
      </c>
      <c r="I1612" s="2" t="s">
        <v>39</v>
      </c>
      <c r="J1612" s="2" t="n">
        <v>3</v>
      </c>
      <c r="K1612" s="2" t="s">
        <v>45</v>
      </c>
      <c r="L1612" s="2" t="s">
        <v>32</v>
      </c>
      <c r="M1612" s="2" t="n">
        <v>20080</v>
      </c>
      <c r="N1612" s="2" t="n">
        <v>3</v>
      </c>
      <c r="O1612" s="2" t="n">
        <v>22</v>
      </c>
      <c r="P1612" s="2" t="n">
        <v>0</v>
      </c>
      <c r="Q1612" s="2" t="n">
        <v>15</v>
      </c>
      <c r="R1612" s="2" t="n">
        <v>5</v>
      </c>
      <c r="S1612" s="2" t="n">
        <v>13</v>
      </c>
      <c r="T1612" s="2" t="n">
        <v>10</v>
      </c>
      <c r="U1612" s="2" t="n">
        <v>7</v>
      </c>
      <c r="V1612" s="2" t="n">
        <v>2</v>
      </c>
      <c r="W1612" s="2" t="n">
        <v>3</v>
      </c>
      <c r="X1612" s="2" t="n">
        <v>3</v>
      </c>
      <c r="Y1612" s="2" t="n">
        <v>2</v>
      </c>
      <c r="Z1612" s="2" t="n">
        <v>4</v>
      </c>
    </row>
    <row r="1613" customFormat="false" ht="15" hidden="false" customHeight="true" outlineLevel="0" collapsed="false">
      <c r="A1613" s="2" t="n">
        <v>31</v>
      </c>
      <c r="B1613" s="2" t="s">
        <v>26</v>
      </c>
      <c r="C1613" s="2" t="s">
        <v>27</v>
      </c>
      <c r="D1613" s="2" t="s">
        <v>35</v>
      </c>
      <c r="E1613" s="2" t="n">
        <v>24</v>
      </c>
      <c r="F1613" s="2" t="n">
        <v>1</v>
      </c>
      <c r="G1613" s="2" t="s">
        <v>43</v>
      </c>
      <c r="H1613" s="2" t="n">
        <v>1612</v>
      </c>
      <c r="I1613" s="2" t="s">
        <v>39</v>
      </c>
      <c r="J1613" s="2" t="n">
        <v>3</v>
      </c>
      <c r="K1613" s="2" t="s">
        <v>45</v>
      </c>
      <c r="L1613" s="2" t="s">
        <v>32</v>
      </c>
      <c r="M1613" s="2" t="n">
        <v>44400</v>
      </c>
      <c r="N1613" s="2" t="n">
        <v>1</v>
      </c>
      <c r="O1613" s="2" t="n">
        <v>13</v>
      </c>
      <c r="P1613" s="2" t="n">
        <v>1</v>
      </c>
      <c r="Q1613" s="2" t="n">
        <v>4</v>
      </c>
      <c r="R1613" s="2" t="n">
        <v>2</v>
      </c>
      <c r="S1613" s="2" t="n">
        <v>4</v>
      </c>
      <c r="T1613" s="2" t="n">
        <v>3</v>
      </c>
      <c r="U1613" s="2" t="n">
        <v>2</v>
      </c>
      <c r="V1613" s="2" t="n">
        <v>4</v>
      </c>
      <c r="W1613" s="2" t="n">
        <v>1</v>
      </c>
      <c r="X1613" s="2" t="n">
        <v>3</v>
      </c>
      <c r="Y1613" s="2" t="n">
        <v>3</v>
      </c>
      <c r="Z1613" s="2" t="n">
        <v>3</v>
      </c>
    </row>
    <row r="1614" customFormat="false" ht="15" hidden="false" customHeight="true" outlineLevel="0" collapsed="false">
      <c r="A1614" s="2" t="n">
        <v>39</v>
      </c>
      <c r="B1614" s="2" t="s">
        <v>26</v>
      </c>
      <c r="C1614" s="2" t="s">
        <v>34</v>
      </c>
      <c r="D1614" s="2" t="s">
        <v>35</v>
      </c>
      <c r="E1614" s="2" t="n">
        <v>26</v>
      </c>
      <c r="F1614" s="2" t="n">
        <v>4</v>
      </c>
      <c r="G1614" s="2" t="s">
        <v>51</v>
      </c>
      <c r="H1614" s="2" t="n">
        <v>1613</v>
      </c>
      <c r="I1614" s="2" t="s">
        <v>30</v>
      </c>
      <c r="J1614" s="2" t="n">
        <v>1</v>
      </c>
      <c r="K1614" s="2" t="s">
        <v>40</v>
      </c>
      <c r="L1614" s="2" t="s">
        <v>46</v>
      </c>
      <c r="M1614" s="2" t="n">
        <v>30670</v>
      </c>
      <c r="N1614" s="2" t="n">
        <v>1</v>
      </c>
      <c r="O1614" s="2" t="n">
        <v>20</v>
      </c>
      <c r="P1614" s="2" t="n">
        <v>1</v>
      </c>
      <c r="Q1614" s="2" t="n">
        <v>21</v>
      </c>
      <c r="R1614" s="2" t="n">
        <v>5</v>
      </c>
      <c r="S1614" s="2" t="n">
        <v>21</v>
      </c>
      <c r="T1614" s="2" t="n">
        <v>1</v>
      </c>
      <c r="U1614" s="2" t="n">
        <v>6</v>
      </c>
      <c r="V1614" s="2" t="n">
        <v>2</v>
      </c>
      <c r="W1614" s="2" t="n">
        <v>3</v>
      </c>
      <c r="X1614" s="2" t="n">
        <v>3</v>
      </c>
      <c r="Y1614" s="2" t="n">
        <v>1</v>
      </c>
      <c r="Z1614" s="2" t="n">
        <v>4</v>
      </c>
    </row>
    <row r="1615" customFormat="false" ht="15" hidden="false" customHeight="true" outlineLevel="0" collapsed="false">
      <c r="A1615" s="2" t="n">
        <v>56</v>
      </c>
      <c r="B1615" s="2" t="s">
        <v>26</v>
      </c>
      <c r="C1615" s="2" t="s">
        <v>34</v>
      </c>
      <c r="D1615" s="2" t="s">
        <v>35</v>
      </c>
      <c r="E1615" s="2" t="n">
        <v>20</v>
      </c>
      <c r="F1615" s="2" t="n">
        <v>4</v>
      </c>
      <c r="G1615" s="2" t="s">
        <v>29</v>
      </c>
      <c r="H1615" s="2" t="n">
        <v>1614</v>
      </c>
      <c r="I1615" s="2" t="s">
        <v>30</v>
      </c>
      <c r="J1615" s="2" t="n">
        <v>3</v>
      </c>
      <c r="K1615" s="2" t="s">
        <v>40</v>
      </c>
      <c r="L1615" s="2" t="s">
        <v>32</v>
      </c>
      <c r="M1615" s="2" t="n">
        <v>53210</v>
      </c>
      <c r="N1615" s="2" t="n">
        <v>9</v>
      </c>
      <c r="O1615" s="2" t="n">
        <v>14</v>
      </c>
      <c r="P1615" s="2" t="n">
        <v>0</v>
      </c>
      <c r="Q1615" s="2" t="n">
        <v>36</v>
      </c>
      <c r="R1615" s="2" t="n">
        <v>1</v>
      </c>
      <c r="S1615" s="2" t="n">
        <v>7</v>
      </c>
      <c r="T1615" s="2" t="n">
        <v>7</v>
      </c>
      <c r="U1615" s="2" t="n">
        <v>7</v>
      </c>
      <c r="V1615" s="2" t="n">
        <v>3</v>
      </c>
      <c r="W1615" s="2" t="n">
        <v>1</v>
      </c>
      <c r="X1615" s="2" t="n">
        <v>2</v>
      </c>
      <c r="Y1615" s="2" t="n">
        <v>3</v>
      </c>
      <c r="Z1615" s="2" t="n">
        <v>3</v>
      </c>
    </row>
    <row r="1616" customFormat="false" ht="15" hidden="false" customHeight="true" outlineLevel="0" collapsed="false">
      <c r="A1616" s="2" t="n">
        <v>30</v>
      </c>
      <c r="B1616" s="2" t="s">
        <v>26</v>
      </c>
      <c r="C1616" s="2" t="s">
        <v>27</v>
      </c>
      <c r="D1616" s="2" t="s">
        <v>28</v>
      </c>
      <c r="E1616" s="2" t="n">
        <v>5</v>
      </c>
      <c r="F1616" s="2" t="n">
        <v>4</v>
      </c>
      <c r="G1616" s="2" t="s">
        <v>43</v>
      </c>
      <c r="H1616" s="2" t="n">
        <v>1615</v>
      </c>
      <c r="I1616" s="2" t="s">
        <v>30</v>
      </c>
      <c r="J1616" s="2" t="n">
        <v>2</v>
      </c>
      <c r="K1616" s="2" t="s">
        <v>47</v>
      </c>
      <c r="L1616" s="2" t="s">
        <v>37</v>
      </c>
      <c r="M1616" s="2" t="n">
        <v>54100</v>
      </c>
      <c r="N1616" s="2" t="n">
        <v>0</v>
      </c>
      <c r="O1616" s="2" t="n">
        <v>17</v>
      </c>
      <c r="P1616" s="2" t="n">
        <v>1</v>
      </c>
      <c r="Q1616" s="2" t="n">
        <v>6</v>
      </c>
      <c r="R1616" s="2" t="n">
        <v>2</v>
      </c>
      <c r="S1616" s="2" t="n">
        <v>5</v>
      </c>
      <c r="T1616" s="2" t="n">
        <v>4</v>
      </c>
      <c r="U1616" s="2" t="n">
        <v>4</v>
      </c>
      <c r="V1616" s="2" t="n">
        <v>2</v>
      </c>
      <c r="W1616" s="2" t="n">
        <v>3</v>
      </c>
      <c r="X1616" s="2" t="n">
        <v>3</v>
      </c>
      <c r="Y1616" s="2" t="n">
        <v>3</v>
      </c>
      <c r="Z1616" s="2" t="n">
        <v>3</v>
      </c>
    </row>
    <row r="1617" customFormat="false" ht="15" hidden="false" customHeight="true" outlineLevel="0" collapsed="false">
      <c r="A1617" s="2" t="n">
        <v>41</v>
      </c>
      <c r="B1617" s="2" t="s">
        <v>26</v>
      </c>
      <c r="C1617" s="2" t="s">
        <v>27</v>
      </c>
      <c r="D1617" s="2" t="s">
        <v>35</v>
      </c>
      <c r="E1617" s="2" t="n">
        <v>7</v>
      </c>
      <c r="F1617" s="2" t="n">
        <v>3</v>
      </c>
      <c r="G1617" s="2" t="s">
        <v>51</v>
      </c>
      <c r="H1617" s="2" t="n">
        <v>1616</v>
      </c>
      <c r="I1617" s="2" t="s">
        <v>30</v>
      </c>
      <c r="J1617" s="2" t="n">
        <v>3</v>
      </c>
      <c r="K1617" s="2" t="s">
        <v>36</v>
      </c>
      <c r="L1617" s="2" t="s">
        <v>32</v>
      </c>
      <c r="M1617" s="2" t="n">
        <v>27820</v>
      </c>
      <c r="N1617" s="2" t="n">
        <v>1</v>
      </c>
      <c r="O1617" s="2" t="n">
        <v>14</v>
      </c>
      <c r="P1617" s="2" t="n">
        <v>0</v>
      </c>
      <c r="Q1617" s="2" t="n">
        <v>10</v>
      </c>
      <c r="R1617" s="2" t="n">
        <v>2</v>
      </c>
      <c r="S1617" s="2" t="n">
        <v>10</v>
      </c>
      <c r="T1617" s="2" t="n">
        <v>0</v>
      </c>
      <c r="U1617" s="2" t="n">
        <v>7</v>
      </c>
      <c r="V1617" s="2" t="n">
        <v>2</v>
      </c>
      <c r="W1617" s="2" t="n">
        <v>1</v>
      </c>
      <c r="X1617" s="2" t="n">
        <v>3</v>
      </c>
      <c r="Y1617" s="2" t="n">
        <v>2</v>
      </c>
      <c r="Z1617" s="2" t="n">
        <v>3</v>
      </c>
    </row>
    <row r="1618" customFormat="false" ht="15" hidden="false" customHeight="true" outlineLevel="0" collapsed="false">
      <c r="A1618" s="2" t="n">
        <v>28</v>
      </c>
      <c r="B1618" s="2" t="s">
        <v>26</v>
      </c>
      <c r="C1618" s="2" t="s">
        <v>27</v>
      </c>
      <c r="D1618" s="2" t="s">
        <v>35</v>
      </c>
      <c r="E1618" s="2" t="n">
        <v>7</v>
      </c>
      <c r="F1618" s="2" t="n">
        <v>3</v>
      </c>
      <c r="G1618" s="2" t="s">
        <v>43</v>
      </c>
      <c r="H1618" s="2" t="n">
        <v>1617</v>
      </c>
      <c r="I1618" s="2" t="s">
        <v>39</v>
      </c>
      <c r="J1618" s="2" t="n">
        <v>3</v>
      </c>
      <c r="K1618" s="2" t="s">
        <v>31</v>
      </c>
      <c r="L1618" s="2" t="s">
        <v>46</v>
      </c>
      <c r="M1618" s="2" t="n">
        <v>119570</v>
      </c>
      <c r="N1618" s="2" t="n">
        <v>1</v>
      </c>
      <c r="O1618" s="2" t="n">
        <v>13</v>
      </c>
      <c r="P1618" s="2" t="n">
        <v>0</v>
      </c>
      <c r="Q1618" s="2" t="n">
        <v>10</v>
      </c>
      <c r="R1618" s="2" t="n">
        <v>2</v>
      </c>
      <c r="S1618" s="2" t="n">
        <v>10</v>
      </c>
      <c r="T1618" s="2" t="n">
        <v>1</v>
      </c>
      <c r="U1618" s="2" t="n">
        <v>8</v>
      </c>
      <c r="V1618" s="2" t="n">
        <v>3</v>
      </c>
      <c r="W1618" s="2" t="n">
        <v>1</v>
      </c>
      <c r="X1618" s="2" t="n">
        <v>3</v>
      </c>
      <c r="Y1618" s="2" t="n">
        <v>2</v>
      </c>
      <c r="Z1618" s="2" t="n">
        <v>3</v>
      </c>
    </row>
    <row r="1619" customFormat="false" ht="15" hidden="false" customHeight="true" outlineLevel="0" collapsed="false">
      <c r="A1619" s="2" t="n">
        <v>25</v>
      </c>
      <c r="B1619" s="2" t="s">
        <v>33</v>
      </c>
      <c r="C1619" s="2" t="s">
        <v>27</v>
      </c>
      <c r="D1619" s="2" t="s">
        <v>35</v>
      </c>
      <c r="E1619" s="2" t="n">
        <v>5</v>
      </c>
      <c r="F1619" s="2" t="n">
        <v>2</v>
      </c>
      <c r="G1619" s="2" t="s">
        <v>29</v>
      </c>
      <c r="H1619" s="2" t="n">
        <v>1618</v>
      </c>
      <c r="I1619" s="2" t="s">
        <v>30</v>
      </c>
      <c r="J1619" s="2" t="n">
        <v>3</v>
      </c>
      <c r="K1619" s="2" t="s">
        <v>45</v>
      </c>
      <c r="L1619" s="2" t="s">
        <v>32</v>
      </c>
      <c r="M1619" s="2" t="n">
        <v>26600</v>
      </c>
      <c r="N1619" s="2" t="n">
        <v>5</v>
      </c>
      <c r="O1619" s="2" t="n">
        <v>13</v>
      </c>
      <c r="P1619" s="2" t="n">
        <v>0</v>
      </c>
      <c r="Q1619" s="2" t="n">
        <v>6</v>
      </c>
      <c r="R1619" s="2" t="n">
        <v>3</v>
      </c>
      <c r="S1619" s="2" t="n">
        <v>2</v>
      </c>
      <c r="T1619" s="2" t="n">
        <v>0</v>
      </c>
      <c r="U1619" s="2" t="n">
        <v>2</v>
      </c>
      <c r="V1619" s="2" t="n">
        <v>1</v>
      </c>
      <c r="W1619" s="2" t="n">
        <v>1</v>
      </c>
      <c r="X1619" s="2" t="n">
        <v>3</v>
      </c>
      <c r="Y1619" s="2" t="n">
        <v>3</v>
      </c>
      <c r="Z1619" s="2" t="n">
        <v>3</v>
      </c>
    </row>
    <row r="1620" customFormat="false" ht="15" hidden="false" customHeight="true" outlineLevel="0" collapsed="false">
      <c r="A1620" s="2" t="n">
        <v>52</v>
      </c>
      <c r="B1620" s="2" t="s">
        <v>26</v>
      </c>
      <c r="C1620" s="2" t="s">
        <v>27</v>
      </c>
      <c r="D1620" s="2" t="s">
        <v>35</v>
      </c>
      <c r="E1620" s="2" t="n">
        <v>26</v>
      </c>
      <c r="F1620" s="2" t="n">
        <v>2</v>
      </c>
      <c r="G1620" s="2" t="s">
        <v>29</v>
      </c>
      <c r="H1620" s="2" t="n">
        <v>1619</v>
      </c>
      <c r="I1620" s="2" t="s">
        <v>30</v>
      </c>
      <c r="J1620" s="2" t="n">
        <v>2</v>
      </c>
      <c r="K1620" s="2" t="s">
        <v>48</v>
      </c>
      <c r="L1620" s="2" t="s">
        <v>32</v>
      </c>
      <c r="M1620" s="2" t="n">
        <v>33750</v>
      </c>
      <c r="N1620" s="2" t="n">
        <v>2</v>
      </c>
      <c r="O1620" s="2" t="n">
        <v>21</v>
      </c>
      <c r="P1620" s="2" t="n">
        <v>0</v>
      </c>
      <c r="Q1620" s="2" t="n">
        <v>28</v>
      </c>
      <c r="R1620" s="2" t="n">
        <v>2</v>
      </c>
      <c r="S1620" s="2" t="n">
        <v>5</v>
      </c>
      <c r="T1620" s="2" t="n">
        <v>0</v>
      </c>
      <c r="U1620" s="2" t="n">
        <v>4</v>
      </c>
      <c r="V1620" s="2" t="n">
        <v>4</v>
      </c>
      <c r="W1620" s="2" t="n">
        <v>3</v>
      </c>
      <c r="X1620" s="2" t="n">
        <v>3</v>
      </c>
      <c r="Y1620" s="2" t="n">
        <v>2</v>
      </c>
      <c r="Z1620" s="2" t="n">
        <v>4</v>
      </c>
    </row>
    <row r="1621" customFormat="false" ht="15" hidden="false" customHeight="true" outlineLevel="0" collapsed="false">
      <c r="A1621" s="2" t="n">
        <v>45</v>
      </c>
      <c r="B1621" s="2" t="s">
        <v>26</v>
      </c>
      <c r="C1621" s="2" t="s">
        <v>27</v>
      </c>
      <c r="D1621" s="2" t="s">
        <v>35</v>
      </c>
      <c r="E1621" s="2" t="n">
        <v>2</v>
      </c>
      <c r="F1621" s="2" t="n">
        <v>3</v>
      </c>
      <c r="G1621" s="2" t="s">
        <v>43</v>
      </c>
      <c r="H1621" s="2" t="n">
        <v>1620</v>
      </c>
      <c r="I1621" s="2" t="s">
        <v>30</v>
      </c>
      <c r="J1621" s="2" t="n">
        <v>1</v>
      </c>
      <c r="K1621" s="2" t="s">
        <v>40</v>
      </c>
      <c r="L1621" s="2" t="s">
        <v>32</v>
      </c>
      <c r="M1621" s="2" t="n">
        <v>50980</v>
      </c>
      <c r="N1621" s="2" t="n">
        <v>3</v>
      </c>
      <c r="O1621" s="2" t="n">
        <v>14</v>
      </c>
      <c r="P1621" s="2" t="n">
        <v>1</v>
      </c>
      <c r="Q1621" s="2" t="n">
        <v>8</v>
      </c>
      <c r="R1621" s="2" t="n">
        <v>4</v>
      </c>
      <c r="S1621" s="2" t="n">
        <v>2</v>
      </c>
      <c r="T1621" s="2" t="n">
        <v>0</v>
      </c>
      <c r="U1621" s="2" t="n">
        <v>2</v>
      </c>
      <c r="V1621" s="2" t="n">
        <v>1</v>
      </c>
      <c r="W1621" s="2" t="n">
        <v>4</v>
      </c>
      <c r="X1621" s="2" t="n">
        <v>2</v>
      </c>
      <c r="Y1621" s="2" t="n">
        <v>3</v>
      </c>
      <c r="Z1621" s="2" t="n">
        <v>3</v>
      </c>
    </row>
    <row r="1622" customFormat="false" ht="15" hidden="false" customHeight="true" outlineLevel="0" collapsed="false">
      <c r="A1622" s="2" t="n">
        <v>52</v>
      </c>
      <c r="B1622" s="2" t="s">
        <v>26</v>
      </c>
      <c r="C1622" s="2" t="s">
        <v>27</v>
      </c>
      <c r="D1622" s="2" t="s">
        <v>35</v>
      </c>
      <c r="E1622" s="2" t="n">
        <v>12</v>
      </c>
      <c r="F1622" s="2" t="n">
        <v>3</v>
      </c>
      <c r="G1622" s="2" t="s">
        <v>43</v>
      </c>
      <c r="H1622" s="2" t="n">
        <v>1621</v>
      </c>
      <c r="I1622" s="2" t="s">
        <v>39</v>
      </c>
      <c r="J1622" s="2" t="n">
        <v>2</v>
      </c>
      <c r="K1622" s="2" t="s">
        <v>36</v>
      </c>
      <c r="L1622" s="2" t="s">
        <v>32</v>
      </c>
      <c r="M1622" s="2" t="n">
        <v>48780</v>
      </c>
      <c r="N1622" s="2" t="n">
        <v>2</v>
      </c>
      <c r="O1622" s="2" t="n">
        <v>11</v>
      </c>
      <c r="P1622" s="2" t="n">
        <v>1</v>
      </c>
      <c r="Q1622" s="2" t="n">
        <v>31</v>
      </c>
      <c r="R1622" s="2" t="n">
        <v>3</v>
      </c>
      <c r="S1622" s="2" t="n">
        <v>5</v>
      </c>
      <c r="T1622" s="2" t="n">
        <v>1</v>
      </c>
      <c r="U1622" s="2" t="n">
        <v>4</v>
      </c>
      <c r="V1622" s="2" t="n">
        <v>4</v>
      </c>
      <c r="W1622" s="2" t="n">
        <v>4</v>
      </c>
      <c r="X1622" s="2" t="n">
        <v>1</v>
      </c>
      <c r="Y1622" s="2" t="n">
        <v>3</v>
      </c>
      <c r="Z1622" s="2" t="n">
        <v>3</v>
      </c>
    </row>
    <row r="1623" customFormat="false" ht="15" hidden="false" customHeight="true" outlineLevel="0" collapsed="false">
      <c r="A1623" s="2" t="n">
        <v>42</v>
      </c>
      <c r="B1623" s="2" t="s">
        <v>26</v>
      </c>
      <c r="C1623" s="2" t="s">
        <v>34</v>
      </c>
      <c r="D1623" s="2" t="s">
        <v>28</v>
      </c>
      <c r="E1623" s="2" t="n">
        <v>10</v>
      </c>
      <c r="F1623" s="2" t="n">
        <v>3</v>
      </c>
      <c r="G1623" s="2" t="s">
        <v>50</v>
      </c>
      <c r="H1623" s="2" t="n">
        <v>1622</v>
      </c>
      <c r="I1623" s="2" t="s">
        <v>30</v>
      </c>
      <c r="J1623" s="2" t="n">
        <v>2</v>
      </c>
      <c r="K1623" s="2" t="s">
        <v>31</v>
      </c>
      <c r="L1623" s="2" t="s">
        <v>46</v>
      </c>
      <c r="M1623" s="2" t="n">
        <v>28370</v>
      </c>
      <c r="N1623" s="2" t="n">
        <v>2</v>
      </c>
      <c r="O1623" s="2" t="n">
        <v>13</v>
      </c>
      <c r="P1623" s="2" t="n">
        <v>1</v>
      </c>
      <c r="Q1623" s="2" t="n">
        <v>19</v>
      </c>
      <c r="R1623" s="2" t="n">
        <v>0</v>
      </c>
      <c r="S1623" s="2" t="n">
        <v>5</v>
      </c>
      <c r="T1623" s="2" t="n">
        <v>0</v>
      </c>
      <c r="U1623" s="2" t="n">
        <v>2</v>
      </c>
      <c r="V1623" s="2" t="n">
        <v>1</v>
      </c>
      <c r="W1623" s="2" t="n">
        <v>3</v>
      </c>
      <c r="X1623" s="2" t="n">
        <v>3</v>
      </c>
      <c r="Y1623" s="2" t="n">
        <v>2</v>
      </c>
      <c r="Z1623" s="2" t="n">
        <v>3</v>
      </c>
    </row>
    <row r="1624" customFormat="false" ht="15" hidden="false" customHeight="true" outlineLevel="0" collapsed="false">
      <c r="A1624" s="2" t="n">
        <v>30</v>
      </c>
      <c r="B1624" s="2" t="s">
        <v>26</v>
      </c>
      <c r="C1624" s="2" t="s">
        <v>27</v>
      </c>
      <c r="D1624" s="2" t="s">
        <v>28</v>
      </c>
      <c r="E1624" s="2" t="n">
        <v>25</v>
      </c>
      <c r="F1624" s="2" t="n">
        <v>3</v>
      </c>
      <c r="G1624" s="2" t="s">
        <v>50</v>
      </c>
      <c r="H1624" s="2" t="n">
        <v>1623</v>
      </c>
      <c r="I1624" s="2" t="s">
        <v>39</v>
      </c>
      <c r="J1624" s="2" t="n">
        <v>1</v>
      </c>
      <c r="K1624" s="2" t="s">
        <v>40</v>
      </c>
      <c r="L1624" s="2" t="s">
        <v>37</v>
      </c>
      <c r="M1624" s="2" t="n">
        <v>24060</v>
      </c>
      <c r="N1624" s="2" t="n">
        <v>2</v>
      </c>
      <c r="O1624" s="2" t="n">
        <v>20</v>
      </c>
      <c r="P1624" s="2" t="n">
        <v>1</v>
      </c>
      <c r="Q1624" s="2" t="n">
        <v>11</v>
      </c>
      <c r="R1624" s="2" t="n">
        <v>5</v>
      </c>
      <c r="S1624" s="2" t="n">
        <v>5</v>
      </c>
      <c r="T1624" s="2" t="n">
        <v>0</v>
      </c>
      <c r="U1624" s="2" t="n">
        <v>2</v>
      </c>
      <c r="V1624" s="2" t="n">
        <v>3</v>
      </c>
      <c r="W1624" s="2" t="n">
        <v>4</v>
      </c>
      <c r="X1624" s="2" t="n">
        <v>3</v>
      </c>
      <c r="Y1624" s="2" t="n">
        <v>3</v>
      </c>
      <c r="Z1624" s="2" t="n">
        <v>4</v>
      </c>
    </row>
    <row r="1625" customFormat="false" ht="15" hidden="false" customHeight="true" outlineLevel="0" collapsed="false">
      <c r="A1625" s="2" t="n">
        <v>60</v>
      </c>
      <c r="B1625" s="2" t="s">
        <v>26</v>
      </c>
      <c r="C1625" s="2" t="s">
        <v>27</v>
      </c>
      <c r="D1625" s="2" t="s">
        <v>35</v>
      </c>
      <c r="E1625" s="2" t="n">
        <v>10</v>
      </c>
      <c r="F1625" s="2" t="n">
        <v>3</v>
      </c>
      <c r="G1625" s="2" t="s">
        <v>29</v>
      </c>
      <c r="H1625" s="2" t="n">
        <v>1624</v>
      </c>
      <c r="I1625" s="2" t="s">
        <v>30</v>
      </c>
      <c r="J1625" s="2" t="n">
        <v>1</v>
      </c>
      <c r="K1625" s="2" t="s">
        <v>47</v>
      </c>
      <c r="L1625" s="2" t="s">
        <v>32</v>
      </c>
      <c r="M1625" s="2" t="n">
        <v>22690</v>
      </c>
      <c r="N1625" s="2" t="n">
        <v>5</v>
      </c>
      <c r="O1625" s="2" t="n">
        <v>18</v>
      </c>
      <c r="P1625" s="2" t="n">
        <v>1</v>
      </c>
      <c r="Q1625" s="2" t="n">
        <v>33</v>
      </c>
      <c r="R1625" s="2" t="n">
        <v>4</v>
      </c>
      <c r="S1625" s="2" t="n">
        <v>29</v>
      </c>
      <c r="T1625" s="2" t="n">
        <v>11</v>
      </c>
      <c r="U1625" s="2" t="n">
        <v>10</v>
      </c>
      <c r="V1625" s="2" t="n">
        <v>1</v>
      </c>
      <c r="W1625" s="2" t="n">
        <v>1</v>
      </c>
      <c r="X1625" s="2" t="n">
        <v>1</v>
      </c>
      <c r="Y1625" s="2" t="n">
        <v>3</v>
      </c>
      <c r="Z1625" s="2" t="n">
        <v>3</v>
      </c>
    </row>
    <row r="1626" customFormat="false" ht="15" hidden="false" customHeight="true" outlineLevel="0" collapsed="false">
      <c r="A1626" s="2" t="n">
        <v>46</v>
      </c>
      <c r="B1626" s="2" t="s">
        <v>26</v>
      </c>
      <c r="C1626" s="2" t="s">
        <v>27</v>
      </c>
      <c r="D1626" s="2" t="s">
        <v>28</v>
      </c>
      <c r="E1626" s="2" t="n">
        <v>19</v>
      </c>
      <c r="F1626" s="2" t="n">
        <v>4</v>
      </c>
      <c r="G1626" s="2" t="s">
        <v>50</v>
      </c>
      <c r="H1626" s="2" t="n">
        <v>1625</v>
      </c>
      <c r="I1626" s="2" t="s">
        <v>30</v>
      </c>
      <c r="J1626" s="2" t="n">
        <v>1</v>
      </c>
      <c r="K1626" s="2" t="s">
        <v>40</v>
      </c>
      <c r="L1626" s="2" t="s">
        <v>46</v>
      </c>
      <c r="M1626" s="2" t="n">
        <v>41080</v>
      </c>
      <c r="N1626" s="2" t="n">
        <v>2</v>
      </c>
      <c r="O1626" s="2" t="n">
        <v>14</v>
      </c>
      <c r="P1626" s="2" t="n">
        <v>0</v>
      </c>
      <c r="Q1626" s="2" t="n">
        <v>19</v>
      </c>
      <c r="R1626" s="2" t="n">
        <v>5</v>
      </c>
      <c r="S1626" s="2" t="n">
        <v>10</v>
      </c>
      <c r="T1626" s="2" t="n">
        <v>0</v>
      </c>
      <c r="U1626" s="2" t="n">
        <v>8</v>
      </c>
      <c r="V1626" s="2" t="n">
        <v>3</v>
      </c>
      <c r="W1626" s="2" t="n">
        <v>3</v>
      </c>
      <c r="X1626" s="2" t="n">
        <v>2</v>
      </c>
      <c r="Y1626" s="2" t="n">
        <v>2</v>
      </c>
      <c r="Z1626" s="2" t="n">
        <v>3</v>
      </c>
    </row>
    <row r="1627" customFormat="false" ht="15" hidden="false" customHeight="true" outlineLevel="0" collapsed="false">
      <c r="A1627" s="2" t="n">
        <v>42</v>
      </c>
      <c r="B1627" s="2" t="s">
        <v>26</v>
      </c>
      <c r="C1627" s="2" t="s">
        <v>34</v>
      </c>
      <c r="D1627" s="2" t="s">
        <v>35</v>
      </c>
      <c r="E1627" s="2" t="n">
        <v>18</v>
      </c>
      <c r="F1627" s="2" t="n">
        <v>4</v>
      </c>
      <c r="G1627" s="2" t="s">
        <v>51</v>
      </c>
      <c r="H1627" s="2" t="n">
        <v>1626</v>
      </c>
      <c r="I1627" s="2" t="s">
        <v>39</v>
      </c>
      <c r="J1627" s="2" t="n">
        <v>4</v>
      </c>
      <c r="K1627" s="2" t="s">
        <v>40</v>
      </c>
      <c r="L1627" s="2" t="s">
        <v>32</v>
      </c>
      <c r="M1627" s="2" t="n">
        <v>132060</v>
      </c>
      <c r="N1627" s="2" t="n">
        <v>0</v>
      </c>
      <c r="O1627" s="2" t="n">
        <v>13</v>
      </c>
      <c r="P1627" s="2" t="n">
        <v>2</v>
      </c>
      <c r="Q1627" s="2" t="n">
        <v>7</v>
      </c>
      <c r="R1627" s="2" t="n">
        <v>2</v>
      </c>
      <c r="S1627" s="2" t="n">
        <v>6</v>
      </c>
      <c r="T1627" s="2" t="n">
        <v>0</v>
      </c>
      <c r="U1627" s="2" t="n">
        <v>4</v>
      </c>
      <c r="V1627" s="2" t="n">
        <v>4</v>
      </c>
      <c r="W1627" s="2" t="n">
        <v>4</v>
      </c>
      <c r="X1627" s="2" t="n">
        <v>4</v>
      </c>
      <c r="Y1627" s="2" t="n">
        <v>3</v>
      </c>
      <c r="Z1627" s="2" t="n">
        <v>3</v>
      </c>
    </row>
    <row r="1628" customFormat="false" ht="15" hidden="false" customHeight="true" outlineLevel="0" collapsed="false">
      <c r="A1628" s="2" t="n">
        <v>24</v>
      </c>
      <c r="B1628" s="2" t="s">
        <v>33</v>
      </c>
      <c r="C1628" s="2" t="s">
        <v>27</v>
      </c>
      <c r="D1628" s="2" t="s">
        <v>35</v>
      </c>
      <c r="E1628" s="2" t="n">
        <v>27</v>
      </c>
      <c r="F1628" s="2" t="n">
        <v>2</v>
      </c>
      <c r="G1628" s="2" t="s">
        <v>43</v>
      </c>
      <c r="H1628" s="2" t="n">
        <v>1627</v>
      </c>
      <c r="I1628" s="2" t="s">
        <v>39</v>
      </c>
      <c r="J1628" s="2" t="n">
        <v>1</v>
      </c>
      <c r="K1628" s="2" t="s">
        <v>36</v>
      </c>
      <c r="L1628" s="2" t="s">
        <v>37</v>
      </c>
      <c r="M1628" s="2" t="n">
        <v>104220</v>
      </c>
      <c r="N1628" s="2" t="n">
        <v>1</v>
      </c>
      <c r="O1628" s="2" t="n">
        <v>17</v>
      </c>
      <c r="P1628" s="2" t="n">
        <v>1</v>
      </c>
      <c r="Q1628" s="2" t="n">
        <v>6</v>
      </c>
      <c r="R1628" s="2" t="n">
        <v>0</v>
      </c>
      <c r="S1628" s="2" t="n">
        <v>5</v>
      </c>
      <c r="T1628" s="2" t="n">
        <v>1</v>
      </c>
      <c r="U1628" s="2" t="n">
        <v>4</v>
      </c>
      <c r="V1628" s="2" t="n">
        <v>1</v>
      </c>
      <c r="W1628" s="2" t="n">
        <v>2</v>
      </c>
      <c r="X1628" s="2" t="n">
        <v>3</v>
      </c>
      <c r="Y1628" s="2" t="n">
        <v>2</v>
      </c>
      <c r="Z1628" s="2" t="n">
        <v>3</v>
      </c>
    </row>
    <row r="1629" customFormat="false" ht="15" hidden="false" customHeight="true" outlineLevel="0" collapsed="false">
      <c r="A1629" s="2" t="n">
        <v>34</v>
      </c>
      <c r="B1629" s="2" t="s">
        <v>33</v>
      </c>
      <c r="C1629" s="2" t="s">
        <v>34</v>
      </c>
      <c r="D1629" s="2" t="s">
        <v>35</v>
      </c>
      <c r="E1629" s="2" t="n">
        <v>5</v>
      </c>
      <c r="F1629" s="2" t="n">
        <v>3</v>
      </c>
      <c r="G1629" s="2" t="s">
        <v>43</v>
      </c>
      <c r="H1629" s="2" t="n">
        <v>1628</v>
      </c>
      <c r="I1629" s="2" t="s">
        <v>39</v>
      </c>
      <c r="J1629" s="2" t="n">
        <v>2</v>
      </c>
      <c r="K1629" s="2" t="s">
        <v>36</v>
      </c>
      <c r="L1629" s="2" t="s">
        <v>46</v>
      </c>
      <c r="M1629" s="2" t="n">
        <v>137440</v>
      </c>
      <c r="N1629" s="2" t="n">
        <v>0</v>
      </c>
      <c r="O1629" s="2" t="n">
        <v>20</v>
      </c>
      <c r="P1629" s="2" t="n">
        <v>1</v>
      </c>
      <c r="Q1629" s="2" t="n">
        <v>3</v>
      </c>
      <c r="R1629" s="2" t="n">
        <v>3</v>
      </c>
      <c r="S1629" s="2" t="n">
        <v>2</v>
      </c>
      <c r="T1629" s="2" t="n">
        <v>1</v>
      </c>
      <c r="U1629" s="2" t="n">
        <v>0</v>
      </c>
      <c r="V1629" s="2" t="n">
        <v>4</v>
      </c>
      <c r="W1629" s="2" t="n">
        <v>3</v>
      </c>
      <c r="X1629" s="2" t="n">
        <v>2</v>
      </c>
      <c r="Y1629" s="2" t="n">
        <v>3</v>
      </c>
      <c r="Z1629" s="2" t="n">
        <v>4</v>
      </c>
    </row>
    <row r="1630" customFormat="false" ht="15" hidden="false" customHeight="true" outlineLevel="0" collapsed="false">
      <c r="A1630" s="2" t="n">
        <v>38</v>
      </c>
      <c r="B1630" s="2" t="s">
        <v>26</v>
      </c>
      <c r="C1630" s="2" t="s">
        <v>34</v>
      </c>
      <c r="D1630" s="2" t="s">
        <v>28</v>
      </c>
      <c r="E1630" s="2" t="n">
        <v>3</v>
      </c>
      <c r="F1630" s="2" t="n">
        <v>3</v>
      </c>
      <c r="G1630" s="2" t="s">
        <v>50</v>
      </c>
      <c r="H1630" s="2" t="n">
        <v>1629</v>
      </c>
      <c r="I1630" s="2" t="s">
        <v>30</v>
      </c>
      <c r="J1630" s="2" t="n">
        <v>2</v>
      </c>
      <c r="K1630" s="2" t="s">
        <v>40</v>
      </c>
      <c r="L1630" s="2" t="s">
        <v>32</v>
      </c>
      <c r="M1630" s="2" t="n">
        <v>49070</v>
      </c>
      <c r="N1630" s="2" t="n">
        <v>1</v>
      </c>
      <c r="O1630" s="2" t="n">
        <v>11</v>
      </c>
      <c r="P1630" s="2" t="n">
        <v>1</v>
      </c>
      <c r="Q1630" s="2" t="n">
        <v>1</v>
      </c>
      <c r="R1630" s="2" t="n">
        <v>3</v>
      </c>
      <c r="S1630" s="2" t="n">
        <v>1</v>
      </c>
      <c r="T1630" s="2" t="n">
        <v>0</v>
      </c>
      <c r="U1630" s="2" t="n">
        <v>0</v>
      </c>
      <c r="V1630" s="2" t="n">
        <v>4</v>
      </c>
      <c r="W1630" s="2" t="n">
        <v>4</v>
      </c>
      <c r="X1630" s="2" t="n">
        <v>3</v>
      </c>
      <c r="Y1630" s="2" t="n">
        <v>3</v>
      </c>
      <c r="Z1630" s="2" t="n">
        <v>3</v>
      </c>
    </row>
    <row r="1631" customFormat="false" ht="15" hidden="false" customHeight="true" outlineLevel="0" collapsed="false">
      <c r="A1631" s="2" t="n">
        <v>40</v>
      </c>
      <c r="B1631" s="2" t="s">
        <v>26</v>
      </c>
      <c r="C1631" s="2" t="s">
        <v>27</v>
      </c>
      <c r="D1631" s="2" t="s">
        <v>28</v>
      </c>
      <c r="E1631" s="2" t="n">
        <v>26</v>
      </c>
      <c r="F1631" s="2" t="n">
        <v>4</v>
      </c>
      <c r="G1631" s="2" t="s">
        <v>50</v>
      </c>
      <c r="H1631" s="2" t="n">
        <v>1630</v>
      </c>
      <c r="I1631" s="2" t="s">
        <v>30</v>
      </c>
      <c r="J1631" s="2" t="n">
        <v>1</v>
      </c>
      <c r="K1631" s="2" t="s">
        <v>40</v>
      </c>
      <c r="L1631" s="2" t="s">
        <v>32</v>
      </c>
      <c r="M1631" s="2" t="n">
        <v>34820</v>
      </c>
      <c r="N1631" s="2" t="n">
        <v>0</v>
      </c>
      <c r="O1631" s="2" t="n">
        <v>18</v>
      </c>
      <c r="P1631" s="2" t="n">
        <v>1</v>
      </c>
      <c r="Q1631" s="2" t="n">
        <v>21</v>
      </c>
      <c r="R1631" s="2" t="n">
        <v>2</v>
      </c>
      <c r="S1631" s="2" t="n">
        <v>20</v>
      </c>
      <c r="T1631" s="2" t="n">
        <v>1</v>
      </c>
      <c r="U1631" s="2" t="n">
        <v>12</v>
      </c>
      <c r="V1631" s="2" t="n">
        <v>3</v>
      </c>
      <c r="W1631" s="2" t="n">
        <v>3</v>
      </c>
      <c r="X1631" s="2" t="n">
        <v>3</v>
      </c>
      <c r="Y1631" s="2" t="n">
        <v>2</v>
      </c>
      <c r="Z1631" s="2" t="n">
        <v>3</v>
      </c>
    </row>
    <row r="1632" customFormat="false" ht="15" hidden="false" customHeight="true" outlineLevel="0" collapsed="false">
      <c r="A1632" s="2" t="n">
        <v>26</v>
      </c>
      <c r="B1632" s="2" t="s">
        <v>26</v>
      </c>
      <c r="C1632" s="2" t="s">
        <v>27</v>
      </c>
      <c r="D1632" s="2" t="s">
        <v>35</v>
      </c>
      <c r="E1632" s="2" t="n">
        <v>3</v>
      </c>
      <c r="F1632" s="2" t="n">
        <v>2</v>
      </c>
      <c r="G1632" s="2" t="s">
        <v>43</v>
      </c>
      <c r="H1632" s="2" t="n">
        <v>1631</v>
      </c>
      <c r="I1632" s="2" t="s">
        <v>30</v>
      </c>
      <c r="J1632" s="2" t="n">
        <v>4</v>
      </c>
      <c r="K1632" s="2" t="s">
        <v>31</v>
      </c>
      <c r="L1632" s="2" t="s">
        <v>46</v>
      </c>
      <c r="M1632" s="2" t="n">
        <v>24360</v>
      </c>
      <c r="N1632" s="2" t="n">
        <v>1</v>
      </c>
      <c r="O1632" s="2" t="n">
        <v>24</v>
      </c>
      <c r="P1632" s="2" t="n">
        <v>0</v>
      </c>
      <c r="Q1632" s="2" t="n">
        <v>3</v>
      </c>
      <c r="R1632" s="2" t="n">
        <v>2</v>
      </c>
      <c r="S1632" s="2" t="n">
        <v>3</v>
      </c>
      <c r="T1632" s="2" t="n">
        <v>0</v>
      </c>
      <c r="U1632" s="2" t="n">
        <v>2</v>
      </c>
      <c r="V1632" s="2" t="n">
        <v>1</v>
      </c>
      <c r="W1632" s="2" t="n">
        <v>4</v>
      </c>
      <c r="X1632" s="2" t="n">
        <v>1</v>
      </c>
      <c r="Y1632" s="2" t="n">
        <v>4</v>
      </c>
      <c r="Z1632" s="2" t="n">
        <v>4</v>
      </c>
    </row>
    <row r="1633" customFormat="false" ht="15" hidden="false" customHeight="true" outlineLevel="0" collapsed="false">
      <c r="A1633" s="2" t="n">
        <v>30</v>
      </c>
      <c r="B1633" s="2" t="s">
        <v>26</v>
      </c>
      <c r="C1633" s="2" t="s">
        <v>41</v>
      </c>
      <c r="D1633" s="2" t="s">
        <v>35</v>
      </c>
      <c r="E1633" s="2" t="n">
        <v>15</v>
      </c>
      <c r="F1633" s="2" t="n">
        <v>3</v>
      </c>
      <c r="G1633" s="2" t="s">
        <v>43</v>
      </c>
      <c r="H1633" s="2" t="n">
        <v>1632</v>
      </c>
      <c r="I1633" s="2" t="s">
        <v>30</v>
      </c>
      <c r="J1633" s="2" t="n">
        <v>2</v>
      </c>
      <c r="K1633" s="2" t="s">
        <v>40</v>
      </c>
      <c r="L1633" s="2" t="s">
        <v>32</v>
      </c>
      <c r="M1633" s="2" t="n">
        <v>23800</v>
      </c>
      <c r="N1633" s="2" t="n">
        <v>4</v>
      </c>
      <c r="O1633" s="2" t="n">
        <v>18</v>
      </c>
      <c r="P1633" s="2" t="n">
        <v>3</v>
      </c>
      <c r="Q1633" s="2" t="n">
        <v>9</v>
      </c>
      <c r="R1633" s="2" t="n">
        <v>2</v>
      </c>
      <c r="S1633" s="2" t="n">
        <v>5</v>
      </c>
      <c r="T1633" s="2" t="n">
        <v>1</v>
      </c>
      <c r="U1633" s="2" t="n">
        <v>4</v>
      </c>
      <c r="V1633" s="2" t="n">
        <v>3</v>
      </c>
      <c r="W1633" s="2" t="n">
        <v>4</v>
      </c>
      <c r="X1633" s="2" t="n">
        <v>1</v>
      </c>
      <c r="Y1633" s="2" t="n">
        <v>2</v>
      </c>
      <c r="Z1633" s="2" t="n">
        <v>3</v>
      </c>
    </row>
    <row r="1634" customFormat="false" ht="15" hidden="false" customHeight="true" outlineLevel="0" collapsed="false">
      <c r="A1634" s="2" t="n">
        <v>29</v>
      </c>
      <c r="B1634" s="2" t="s">
        <v>26</v>
      </c>
      <c r="C1634" s="2" t="s">
        <v>27</v>
      </c>
      <c r="D1634" s="2" t="s">
        <v>35</v>
      </c>
      <c r="E1634" s="2" t="n">
        <v>8</v>
      </c>
      <c r="F1634" s="2" t="n">
        <v>3</v>
      </c>
      <c r="G1634" s="2" t="s">
        <v>43</v>
      </c>
      <c r="H1634" s="2" t="n">
        <v>1633</v>
      </c>
      <c r="I1634" s="2" t="s">
        <v>30</v>
      </c>
      <c r="J1634" s="2" t="n">
        <v>3</v>
      </c>
      <c r="K1634" s="2" t="s">
        <v>47</v>
      </c>
      <c r="L1634" s="2" t="s">
        <v>32</v>
      </c>
      <c r="M1634" s="2" t="n">
        <v>194310</v>
      </c>
      <c r="N1634" s="2" t="n">
        <v>1</v>
      </c>
      <c r="O1634" s="2" t="n">
        <v>11</v>
      </c>
      <c r="P1634" s="2" t="n">
        <v>0</v>
      </c>
      <c r="Q1634" s="2" t="n">
        <v>10</v>
      </c>
      <c r="R1634" s="2" t="n">
        <v>3</v>
      </c>
      <c r="S1634" s="2" t="n">
        <v>10</v>
      </c>
      <c r="T1634" s="2" t="n">
        <v>0</v>
      </c>
      <c r="U1634" s="2" t="n">
        <v>7</v>
      </c>
      <c r="V1634" s="2" t="n">
        <v>2</v>
      </c>
      <c r="W1634" s="2" t="n">
        <v>3</v>
      </c>
      <c r="X1634" s="2" t="n">
        <v>3</v>
      </c>
      <c r="Y1634" s="2" t="n">
        <v>3</v>
      </c>
      <c r="Z1634" s="2" t="n">
        <v>3</v>
      </c>
    </row>
    <row r="1635" customFormat="false" ht="15" hidden="false" customHeight="true" outlineLevel="0" collapsed="false">
      <c r="A1635" s="2" t="n">
        <v>29</v>
      </c>
      <c r="B1635" s="2" t="s">
        <v>33</v>
      </c>
      <c r="C1635" s="2" t="s">
        <v>27</v>
      </c>
      <c r="D1635" s="2" t="s">
        <v>35</v>
      </c>
      <c r="E1635" s="2" t="n">
        <v>19</v>
      </c>
      <c r="F1635" s="2" t="n">
        <v>4</v>
      </c>
      <c r="G1635" s="2" t="s">
        <v>29</v>
      </c>
      <c r="H1635" s="2" t="n">
        <v>1634</v>
      </c>
      <c r="I1635" s="2" t="s">
        <v>39</v>
      </c>
      <c r="J1635" s="2" t="n">
        <v>3</v>
      </c>
      <c r="K1635" s="2" t="s">
        <v>36</v>
      </c>
      <c r="L1635" s="2" t="s">
        <v>32</v>
      </c>
      <c r="M1635" s="2" t="n">
        <v>17900</v>
      </c>
      <c r="N1635" s="2" t="n">
        <v>5</v>
      </c>
      <c r="O1635" s="2" t="n">
        <v>16</v>
      </c>
      <c r="P1635" s="2" t="n">
        <v>1</v>
      </c>
      <c r="Q1635" s="2" t="n">
        <v>6</v>
      </c>
      <c r="R1635" s="2" t="n">
        <v>4</v>
      </c>
      <c r="S1635" s="2" t="n">
        <v>2</v>
      </c>
      <c r="T1635" s="2" t="n">
        <v>1</v>
      </c>
      <c r="U1635" s="2" t="n">
        <v>1</v>
      </c>
      <c r="V1635" s="2" t="n">
        <v>3</v>
      </c>
      <c r="W1635" s="2" t="n">
        <v>2</v>
      </c>
      <c r="X1635" s="2" t="n">
        <v>4</v>
      </c>
      <c r="Y1635" s="2" t="n">
        <v>2</v>
      </c>
      <c r="Z1635" s="2" t="n">
        <v>3</v>
      </c>
    </row>
    <row r="1636" customFormat="false" ht="15" hidden="false" customHeight="true" outlineLevel="0" collapsed="false">
      <c r="A1636" s="2" t="n">
        <v>19</v>
      </c>
      <c r="B1636" s="2" t="s">
        <v>33</v>
      </c>
      <c r="C1636" s="2" t="s">
        <v>27</v>
      </c>
      <c r="D1636" s="2" t="s">
        <v>35</v>
      </c>
      <c r="E1636" s="2" t="n">
        <v>4</v>
      </c>
      <c r="F1636" s="2" t="n">
        <v>3</v>
      </c>
      <c r="G1636" s="2" t="s">
        <v>43</v>
      </c>
      <c r="H1636" s="2" t="n">
        <v>1635</v>
      </c>
      <c r="I1636" s="2" t="s">
        <v>39</v>
      </c>
      <c r="J1636" s="2" t="n">
        <v>1</v>
      </c>
      <c r="K1636" s="2" t="s">
        <v>40</v>
      </c>
      <c r="L1636" s="2" t="s">
        <v>37</v>
      </c>
      <c r="M1636" s="2" t="n">
        <v>76440</v>
      </c>
      <c r="N1636" s="2" t="n">
        <v>1</v>
      </c>
      <c r="O1636" s="2" t="n">
        <v>15</v>
      </c>
      <c r="P1636" s="2" t="n">
        <v>2</v>
      </c>
      <c r="Q1636" s="2" t="n">
        <v>1</v>
      </c>
      <c r="R1636" s="2" t="n">
        <v>2</v>
      </c>
      <c r="S1636" s="2" t="n">
        <v>1</v>
      </c>
      <c r="T1636" s="2" t="n">
        <v>0</v>
      </c>
      <c r="U1636" s="2" t="n">
        <v>0</v>
      </c>
      <c r="V1636" s="2" t="n">
        <v>1</v>
      </c>
      <c r="W1636" s="2" t="n">
        <v>4</v>
      </c>
      <c r="X1636" s="2" t="n">
        <v>4</v>
      </c>
      <c r="Y1636" s="2" t="n">
        <v>3</v>
      </c>
      <c r="Z1636" s="2" t="n">
        <v>3</v>
      </c>
    </row>
    <row r="1637" customFormat="false" ht="15" hidden="false" customHeight="true" outlineLevel="0" collapsed="false">
      <c r="A1637" s="2" t="n">
        <v>30</v>
      </c>
      <c r="B1637" s="2" t="s">
        <v>26</v>
      </c>
      <c r="C1637" s="2" t="s">
        <v>41</v>
      </c>
      <c r="D1637" s="2" t="s">
        <v>35</v>
      </c>
      <c r="E1637" s="2" t="n">
        <v>2</v>
      </c>
      <c r="F1637" s="2" t="n">
        <v>4</v>
      </c>
      <c r="G1637" s="2" t="s">
        <v>29</v>
      </c>
      <c r="H1637" s="2" t="n">
        <v>1636</v>
      </c>
      <c r="I1637" s="2" t="s">
        <v>30</v>
      </c>
      <c r="J1637" s="2" t="n">
        <v>3</v>
      </c>
      <c r="K1637" s="2" t="s">
        <v>36</v>
      </c>
      <c r="L1637" s="2" t="s">
        <v>32</v>
      </c>
      <c r="M1637" s="2" t="n">
        <v>51310</v>
      </c>
      <c r="N1637" s="2" t="n">
        <v>0</v>
      </c>
      <c r="O1637" s="2" t="n">
        <v>15</v>
      </c>
      <c r="P1637" s="2" t="n">
        <v>1</v>
      </c>
      <c r="Q1637" s="2" t="n">
        <v>10</v>
      </c>
      <c r="R1637" s="2" t="n">
        <v>2</v>
      </c>
      <c r="S1637" s="2" t="n">
        <v>9</v>
      </c>
      <c r="T1637" s="2" t="n">
        <v>7</v>
      </c>
      <c r="U1637" s="2" t="n">
        <v>8</v>
      </c>
      <c r="V1637" s="2" t="n">
        <v>3</v>
      </c>
      <c r="W1637" s="2" t="n">
        <v>1</v>
      </c>
      <c r="X1637" s="2" t="n">
        <v>3</v>
      </c>
      <c r="Y1637" s="2" t="n">
        <v>3</v>
      </c>
      <c r="Z1637" s="2" t="n">
        <v>3</v>
      </c>
    </row>
    <row r="1638" customFormat="false" ht="15" hidden="false" customHeight="true" outlineLevel="0" collapsed="false">
      <c r="A1638" s="2" t="n">
        <v>57</v>
      </c>
      <c r="B1638" s="2" t="s">
        <v>26</v>
      </c>
      <c r="C1638" s="2" t="s">
        <v>27</v>
      </c>
      <c r="D1638" s="2" t="s">
        <v>35</v>
      </c>
      <c r="E1638" s="2" t="n">
        <v>2</v>
      </c>
      <c r="F1638" s="2" t="n">
        <v>2</v>
      </c>
      <c r="G1638" s="2" t="s">
        <v>29</v>
      </c>
      <c r="H1638" s="2" t="n">
        <v>1637</v>
      </c>
      <c r="I1638" s="2" t="s">
        <v>39</v>
      </c>
      <c r="J1638" s="2" t="n">
        <v>4</v>
      </c>
      <c r="K1638" s="2" t="s">
        <v>36</v>
      </c>
      <c r="L1638" s="2" t="s">
        <v>46</v>
      </c>
      <c r="M1638" s="2" t="n">
        <v>63060</v>
      </c>
      <c r="N1638" s="2" t="n">
        <v>3</v>
      </c>
      <c r="O1638" s="2" t="n">
        <v>12</v>
      </c>
      <c r="P1638" s="2" t="n">
        <v>1</v>
      </c>
      <c r="Q1638" s="2" t="n">
        <v>32</v>
      </c>
      <c r="R1638" s="2" t="n">
        <v>3</v>
      </c>
      <c r="S1638" s="2" t="n">
        <v>1</v>
      </c>
      <c r="T1638" s="2" t="n">
        <v>0</v>
      </c>
      <c r="U1638" s="2" t="n">
        <v>0</v>
      </c>
      <c r="V1638" s="2" t="n">
        <v>1</v>
      </c>
      <c r="W1638" s="2" t="n">
        <v>4</v>
      </c>
      <c r="X1638" s="2" t="n">
        <v>2</v>
      </c>
      <c r="Y1638" s="2" t="n">
        <v>3</v>
      </c>
      <c r="Z1638" s="2" t="n">
        <v>3</v>
      </c>
    </row>
    <row r="1639" customFormat="false" ht="15" hidden="false" customHeight="true" outlineLevel="0" collapsed="false">
      <c r="A1639" s="2" t="n">
        <v>50</v>
      </c>
      <c r="B1639" s="2" t="s">
        <v>26</v>
      </c>
      <c r="C1639" s="2" t="s">
        <v>27</v>
      </c>
      <c r="D1639" s="2" t="s">
        <v>28</v>
      </c>
      <c r="E1639" s="2" t="n">
        <v>10</v>
      </c>
      <c r="F1639" s="2" t="n">
        <v>4</v>
      </c>
      <c r="G1639" s="2" t="s">
        <v>29</v>
      </c>
      <c r="H1639" s="2" t="n">
        <v>1638</v>
      </c>
      <c r="I1639" s="2" t="s">
        <v>30</v>
      </c>
      <c r="J1639" s="2" t="n">
        <v>3</v>
      </c>
      <c r="K1639" s="2" t="s">
        <v>49</v>
      </c>
      <c r="L1639" s="2" t="s">
        <v>32</v>
      </c>
      <c r="M1639" s="2" t="n">
        <v>47870</v>
      </c>
      <c r="N1639" s="2" t="n">
        <v>0</v>
      </c>
      <c r="O1639" s="2" t="n">
        <v>12</v>
      </c>
      <c r="P1639" s="2" t="n">
        <v>0</v>
      </c>
      <c r="Q1639" s="2" t="n">
        <v>28</v>
      </c>
      <c r="R1639" s="2" t="n">
        <v>3</v>
      </c>
      <c r="S1639" s="2" t="n">
        <v>27</v>
      </c>
      <c r="T1639" s="2" t="n">
        <v>15</v>
      </c>
      <c r="U1639" s="2" t="n">
        <v>7</v>
      </c>
      <c r="V1639" s="2" t="n">
        <v>2</v>
      </c>
      <c r="W1639" s="2" t="n">
        <v>3</v>
      </c>
      <c r="X1639" s="2" t="n">
        <v>3</v>
      </c>
      <c r="Y1639" s="2" t="n">
        <v>3</v>
      </c>
      <c r="Z1639" s="2" t="n">
        <v>3</v>
      </c>
    </row>
    <row r="1640" customFormat="false" ht="15" hidden="false" customHeight="true" outlineLevel="0" collapsed="false">
      <c r="A1640" s="2" t="n">
        <v>30</v>
      </c>
      <c r="B1640" s="2" t="s">
        <v>26</v>
      </c>
      <c r="C1640" s="2" t="s">
        <v>41</v>
      </c>
      <c r="D1640" s="2" t="s">
        <v>28</v>
      </c>
      <c r="E1640" s="2" t="n">
        <v>10</v>
      </c>
      <c r="F1640" s="2" t="n">
        <v>2</v>
      </c>
      <c r="G1640" s="2" t="s">
        <v>29</v>
      </c>
      <c r="H1640" s="2" t="n">
        <v>1639</v>
      </c>
      <c r="I1640" s="2" t="s">
        <v>39</v>
      </c>
      <c r="J1640" s="2" t="n">
        <v>3</v>
      </c>
      <c r="K1640" s="2" t="s">
        <v>45</v>
      </c>
      <c r="L1640" s="2" t="s">
        <v>37</v>
      </c>
      <c r="M1640" s="2" t="n">
        <v>188800</v>
      </c>
      <c r="N1640" s="2" t="n">
        <v>0</v>
      </c>
      <c r="O1640" s="2" t="n">
        <v>22</v>
      </c>
      <c r="P1640" s="2" t="n">
        <v>1</v>
      </c>
      <c r="Q1640" s="2" t="n">
        <v>12</v>
      </c>
      <c r="R1640" s="2" t="n">
        <v>3</v>
      </c>
      <c r="S1640" s="2" t="n">
        <v>11</v>
      </c>
      <c r="T1640" s="2" t="n">
        <v>6</v>
      </c>
      <c r="U1640" s="2" t="n">
        <v>7</v>
      </c>
      <c r="V1640" s="2" t="n">
        <v>3</v>
      </c>
      <c r="W1640" s="2" t="n">
        <v>4</v>
      </c>
      <c r="X1640" s="2" t="n">
        <v>2</v>
      </c>
      <c r="Y1640" s="2" t="n">
        <v>3</v>
      </c>
      <c r="Z1640" s="2" t="n">
        <v>4</v>
      </c>
    </row>
    <row r="1641" customFormat="false" ht="15" hidden="false" customHeight="true" outlineLevel="0" collapsed="false">
      <c r="A1641" s="2" t="n">
        <v>60</v>
      </c>
      <c r="B1641" s="2" t="s">
        <v>26</v>
      </c>
      <c r="C1641" s="2" t="s">
        <v>34</v>
      </c>
      <c r="D1641" s="2" t="s">
        <v>35</v>
      </c>
      <c r="E1641" s="2" t="n">
        <v>16</v>
      </c>
      <c r="F1641" s="2" t="n">
        <v>3</v>
      </c>
      <c r="G1641" s="2" t="s">
        <v>29</v>
      </c>
      <c r="H1641" s="2" t="n">
        <v>1640</v>
      </c>
      <c r="I1641" s="2" t="s">
        <v>30</v>
      </c>
      <c r="J1641" s="2" t="n">
        <v>4</v>
      </c>
      <c r="K1641" s="2" t="s">
        <v>45</v>
      </c>
      <c r="L1641" s="2" t="s">
        <v>32</v>
      </c>
      <c r="M1641" s="2" t="n">
        <v>23390</v>
      </c>
      <c r="N1641" s="2" t="n">
        <v>4</v>
      </c>
      <c r="O1641" s="2" t="n">
        <v>20</v>
      </c>
      <c r="P1641" s="2" t="n">
        <v>0</v>
      </c>
      <c r="Q1641" s="2" t="n">
        <v>22</v>
      </c>
      <c r="R1641" s="2" t="n">
        <v>4</v>
      </c>
      <c r="S1641" s="2" t="n">
        <v>18</v>
      </c>
      <c r="T1641" s="2" t="n">
        <v>13</v>
      </c>
      <c r="U1641" s="2" t="n">
        <v>11</v>
      </c>
      <c r="V1641" s="2" t="n">
        <v>3</v>
      </c>
      <c r="W1641" s="2" t="n">
        <v>1</v>
      </c>
      <c r="X1641" s="2" t="n">
        <v>4</v>
      </c>
      <c r="Y1641" s="2" t="n">
        <v>3</v>
      </c>
      <c r="Z1641" s="2" t="n">
        <v>4</v>
      </c>
    </row>
    <row r="1642" customFormat="false" ht="15" hidden="false" customHeight="true" outlineLevel="0" collapsed="false">
      <c r="A1642" s="2" t="n">
        <v>47</v>
      </c>
      <c r="B1642" s="2" t="s">
        <v>26</v>
      </c>
      <c r="C1642" s="2" t="s">
        <v>27</v>
      </c>
      <c r="D1642" s="2" t="s">
        <v>35</v>
      </c>
      <c r="E1642" s="2" t="n">
        <v>1</v>
      </c>
      <c r="F1642" s="2" t="n">
        <v>3</v>
      </c>
      <c r="G1642" s="2" t="s">
        <v>51</v>
      </c>
      <c r="H1642" s="2" t="n">
        <v>1641</v>
      </c>
      <c r="I1642" s="2" t="s">
        <v>39</v>
      </c>
      <c r="J1642" s="2" t="n">
        <v>5</v>
      </c>
      <c r="K1642" s="2" t="s">
        <v>47</v>
      </c>
      <c r="L1642" s="2" t="s">
        <v>46</v>
      </c>
      <c r="M1642" s="2" t="n">
        <v>135700</v>
      </c>
      <c r="N1642" s="2" t="n">
        <v>5</v>
      </c>
      <c r="O1642" s="2" t="n">
        <v>16</v>
      </c>
      <c r="P1642" s="2" t="n">
        <v>2</v>
      </c>
      <c r="Q1642" s="2" t="n">
        <v>20</v>
      </c>
      <c r="R1642" s="2" t="n">
        <v>2</v>
      </c>
      <c r="S1642" s="2" t="n">
        <v>5</v>
      </c>
      <c r="T1642" s="2" t="n">
        <v>0</v>
      </c>
      <c r="U1642" s="2" t="n">
        <v>4</v>
      </c>
      <c r="V1642" s="2" t="n">
        <v>1</v>
      </c>
      <c r="W1642" s="2" t="n">
        <v>4</v>
      </c>
      <c r="X1642" s="2" t="n">
        <v>3</v>
      </c>
      <c r="Y1642" s="2" t="n">
        <v>2</v>
      </c>
      <c r="Z1642" s="2" t="n">
        <v>3</v>
      </c>
    </row>
    <row r="1643" customFormat="false" ht="15" hidden="false" customHeight="true" outlineLevel="0" collapsed="false">
      <c r="A1643" s="2" t="n">
        <v>46</v>
      </c>
      <c r="B1643" s="2" t="s">
        <v>26</v>
      </c>
      <c r="C1643" s="2" t="s">
        <v>27</v>
      </c>
      <c r="D1643" s="2" t="s">
        <v>28</v>
      </c>
      <c r="E1643" s="2" t="n">
        <v>4</v>
      </c>
      <c r="F1643" s="2" t="n">
        <v>1</v>
      </c>
      <c r="G1643" s="2" t="s">
        <v>51</v>
      </c>
      <c r="H1643" s="2" t="n">
        <v>1642</v>
      </c>
      <c r="I1643" s="2" t="s">
        <v>39</v>
      </c>
      <c r="J1643" s="2" t="n">
        <v>1</v>
      </c>
      <c r="K1643" s="2" t="s">
        <v>45</v>
      </c>
      <c r="L1643" s="2" t="s">
        <v>32</v>
      </c>
      <c r="M1643" s="2" t="n">
        <v>67120</v>
      </c>
      <c r="N1643" s="2" t="n">
        <v>6</v>
      </c>
      <c r="O1643" s="2" t="n">
        <v>21</v>
      </c>
      <c r="P1643" s="2" t="n">
        <v>1</v>
      </c>
      <c r="Q1643" s="2" t="n">
        <v>26</v>
      </c>
      <c r="R1643" s="2" t="n">
        <v>3</v>
      </c>
      <c r="S1643" s="2" t="n">
        <v>3</v>
      </c>
      <c r="T1643" s="2" t="n">
        <v>0</v>
      </c>
      <c r="U1643" s="2" t="n">
        <v>1</v>
      </c>
      <c r="V1643" s="2" t="n">
        <v>1</v>
      </c>
      <c r="W1643" s="2" t="n">
        <v>3</v>
      </c>
      <c r="X1643" s="2" t="n">
        <v>1</v>
      </c>
      <c r="Y1643" s="2" t="n">
        <v>2</v>
      </c>
      <c r="Z1643" s="2" t="n">
        <v>4</v>
      </c>
    </row>
    <row r="1644" customFormat="false" ht="15" hidden="false" customHeight="true" outlineLevel="0" collapsed="false">
      <c r="A1644" s="2" t="n">
        <v>35</v>
      </c>
      <c r="B1644" s="2" t="s">
        <v>26</v>
      </c>
      <c r="C1644" s="2" t="s">
        <v>27</v>
      </c>
      <c r="D1644" s="2" t="s">
        <v>35</v>
      </c>
      <c r="E1644" s="2" t="n">
        <v>15</v>
      </c>
      <c r="F1644" s="2" t="n">
        <v>2</v>
      </c>
      <c r="G1644" s="2" t="s">
        <v>43</v>
      </c>
      <c r="H1644" s="2" t="n">
        <v>1643</v>
      </c>
      <c r="I1644" s="2" t="s">
        <v>30</v>
      </c>
      <c r="J1644" s="2" t="n">
        <v>2</v>
      </c>
      <c r="K1644" s="2" t="s">
        <v>45</v>
      </c>
      <c r="L1644" s="2" t="s">
        <v>37</v>
      </c>
      <c r="M1644" s="2" t="n">
        <v>54060</v>
      </c>
      <c r="N1644" s="2" t="n">
        <v>0</v>
      </c>
      <c r="O1644" s="2" t="n">
        <v>12</v>
      </c>
      <c r="P1644" s="2" t="n">
        <v>1</v>
      </c>
      <c r="Q1644" s="2" t="n">
        <v>6</v>
      </c>
      <c r="R1644" s="2" t="n">
        <v>2</v>
      </c>
      <c r="S1644" s="2" t="n">
        <v>5</v>
      </c>
      <c r="T1644" s="2" t="n">
        <v>4</v>
      </c>
      <c r="U1644" s="2" t="n">
        <v>3</v>
      </c>
      <c r="V1644" s="2" t="n">
        <v>4</v>
      </c>
      <c r="W1644" s="2" t="n">
        <v>3</v>
      </c>
      <c r="X1644" s="2" t="n">
        <v>3</v>
      </c>
      <c r="Y1644" s="2" t="n">
        <v>3</v>
      </c>
      <c r="Z1644" s="2" t="n">
        <v>3</v>
      </c>
    </row>
    <row r="1645" customFormat="false" ht="15" hidden="false" customHeight="true" outlineLevel="0" collapsed="false">
      <c r="A1645" s="2" t="n">
        <v>54</v>
      </c>
      <c r="B1645" s="2" t="s">
        <v>26</v>
      </c>
      <c r="C1645" s="2" t="s">
        <v>27</v>
      </c>
      <c r="D1645" s="2" t="s">
        <v>35</v>
      </c>
      <c r="E1645" s="2" t="n">
        <v>2</v>
      </c>
      <c r="F1645" s="2" t="n">
        <v>4</v>
      </c>
      <c r="G1645" s="2" t="s">
        <v>43</v>
      </c>
      <c r="H1645" s="2" t="n">
        <v>1644</v>
      </c>
      <c r="I1645" s="2" t="s">
        <v>39</v>
      </c>
      <c r="J1645" s="2" t="n">
        <v>2</v>
      </c>
      <c r="K1645" s="2" t="s">
        <v>42</v>
      </c>
      <c r="L1645" s="2" t="s">
        <v>37</v>
      </c>
      <c r="M1645" s="2" t="n">
        <v>89380</v>
      </c>
      <c r="N1645" s="2" t="n">
        <v>7</v>
      </c>
      <c r="O1645" s="2" t="n">
        <v>11</v>
      </c>
      <c r="P1645" s="2" t="n">
        <v>3</v>
      </c>
      <c r="Q1645" s="2" t="n">
        <v>19</v>
      </c>
      <c r="R1645" s="2" t="n">
        <v>2</v>
      </c>
      <c r="S1645" s="2" t="n">
        <v>1</v>
      </c>
      <c r="T1645" s="2" t="n">
        <v>0</v>
      </c>
      <c r="U1645" s="2" t="n">
        <v>0</v>
      </c>
      <c r="V1645" s="2" t="n">
        <v>3</v>
      </c>
      <c r="W1645" s="2" t="n">
        <v>3</v>
      </c>
      <c r="X1645" s="2" t="n">
        <v>3</v>
      </c>
      <c r="Y1645" s="2" t="n">
        <v>3</v>
      </c>
      <c r="Z1645" s="2" t="n">
        <v>3</v>
      </c>
    </row>
    <row r="1646" customFormat="false" ht="15" hidden="false" customHeight="true" outlineLevel="0" collapsed="false">
      <c r="A1646" s="2" t="n">
        <v>34</v>
      </c>
      <c r="B1646" s="2" t="s">
        <v>26</v>
      </c>
      <c r="C1646" s="2" t="s">
        <v>27</v>
      </c>
      <c r="D1646" s="2" t="s">
        <v>28</v>
      </c>
      <c r="E1646" s="2" t="n">
        <v>8</v>
      </c>
      <c r="F1646" s="2" t="n">
        <v>2</v>
      </c>
      <c r="G1646" s="2" t="s">
        <v>29</v>
      </c>
      <c r="H1646" s="2" t="n">
        <v>1645</v>
      </c>
      <c r="I1646" s="2" t="s">
        <v>39</v>
      </c>
      <c r="J1646" s="2" t="n">
        <v>1</v>
      </c>
      <c r="K1646" s="2" t="s">
        <v>45</v>
      </c>
      <c r="L1646" s="2" t="s">
        <v>46</v>
      </c>
      <c r="M1646" s="2" t="n">
        <v>24390</v>
      </c>
      <c r="N1646" s="2" t="n">
        <v>3</v>
      </c>
      <c r="O1646" s="2" t="n">
        <v>11</v>
      </c>
      <c r="P1646" s="2" t="n">
        <v>2</v>
      </c>
      <c r="Q1646" s="2" t="n">
        <v>14</v>
      </c>
      <c r="R1646" s="2" t="n">
        <v>2</v>
      </c>
      <c r="S1646" s="2" t="n">
        <v>7</v>
      </c>
      <c r="T1646" s="2" t="n">
        <v>5</v>
      </c>
      <c r="U1646" s="2" t="n">
        <v>7</v>
      </c>
      <c r="V1646" s="2" t="n">
        <v>4</v>
      </c>
      <c r="W1646" s="2" t="n">
        <v>3</v>
      </c>
      <c r="X1646" s="2" t="n">
        <v>3</v>
      </c>
      <c r="Y1646" s="2" t="n">
        <v>4</v>
      </c>
      <c r="Z1646" s="2" t="n">
        <v>3</v>
      </c>
    </row>
    <row r="1647" customFormat="false" ht="15" hidden="false" customHeight="true" outlineLevel="0" collapsed="false">
      <c r="A1647" s="2" t="n">
        <v>46</v>
      </c>
      <c r="B1647" s="2" t="s">
        <v>26</v>
      </c>
      <c r="C1647" s="2" t="s">
        <v>27</v>
      </c>
      <c r="D1647" s="2" t="s">
        <v>35</v>
      </c>
      <c r="E1647" s="2" t="n">
        <v>2</v>
      </c>
      <c r="F1647" s="2" t="n">
        <v>3</v>
      </c>
      <c r="G1647" s="2" t="s">
        <v>29</v>
      </c>
      <c r="H1647" s="2" t="n">
        <v>1646</v>
      </c>
      <c r="I1647" s="2" t="s">
        <v>39</v>
      </c>
      <c r="J1647" s="2" t="n">
        <v>1</v>
      </c>
      <c r="K1647" s="2" t="s">
        <v>31</v>
      </c>
      <c r="L1647" s="2" t="s">
        <v>32</v>
      </c>
      <c r="M1647" s="2" t="n">
        <v>88370</v>
      </c>
      <c r="N1647" s="2" t="n">
        <v>2</v>
      </c>
      <c r="O1647" s="2" t="n">
        <v>18</v>
      </c>
      <c r="P1647" s="2" t="n">
        <v>0</v>
      </c>
      <c r="Q1647" s="2" t="n">
        <v>15</v>
      </c>
      <c r="R1647" s="2" t="n">
        <v>3</v>
      </c>
      <c r="S1647" s="2" t="n">
        <v>3</v>
      </c>
      <c r="T1647" s="2" t="n">
        <v>1</v>
      </c>
      <c r="U1647" s="2" t="n">
        <v>2</v>
      </c>
      <c r="V1647" s="2" t="n">
        <v>3</v>
      </c>
      <c r="W1647" s="2" t="n">
        <v>4</v>
      </c>
      <c r="X1647" s="2" t="n">
        <v>3</v>
      </c>
      <c r="Y1647" s="2" t="n">
        <v>2</v>
      </c>
      <c r="Z1647" s="2" t="n">
        <v>3</v>
      </c>
    </row>
    <row r="1648" customFormat="false" ht="15" hidden="false" customHeight="true" outlineLevel="0" collapsed="false">
      <c r="A1648" s="2" t="n">
        <v>31</v>
      </c>
      <c r="B1648" s="2" t="s">
        <v>26</v>
      </c>
      <c r="C1648" s="2" t="s">
        <v>27</v>
      </c>
      <c r="D1648" s="2" t="s">
        <v>35</v>
      </c>
      <c r="E1648" s="2" t="n">
        <v>7</v>
      </c>
      <c r="F1648" s="2" t="n">
        <v>3</v>
      </c>
      <c r="G1648" s="2" t="s">
        <v>29</v>
      </c>
      <c r="H1648" s="2" t="n">
        <v>1647</v>
      </c>
      <c r="I1648" s="2" t="s">
        <v>39</v>
      </c>
      <c r="J1648" s="2" t="n">
        <v>2</v>
      </c>
      <c r="K1648" s="2" t="s">
        <v>44</v>
      </c>
      <c r="L1648" s="2" t="s">
        <v>46</v>
      </c>
      <c r="M1648" s="2" t="n">
        <v>53430</v>
      </c>
      <c r="N1648" s="2" t="n">
        <v>1</v>
      </c>
      <c r="O1648" s="2" t="n">
        <v>14</v>
      </c>
      <c r="P1648" s="2" t="n">
        <v>1</v>
      </c>
      <c r="Q1648" s="2" t="n">
        <v>13</v>
      </c>
      <c r="R1648" s="2" t="n">
        <v>3</v>
      </c>
      <c r="S1648" s="2" t="n">
        <v>13</v>
      </c>
      <c r="T1648" s="2" t="n">
        <v>0</v>
      </c>
      <c r="U1648" s="2" t="n">
        <v>8</v>
      </c>
      <c r="V1648" s="2" t="n">
        <v>3</v>
      </c>
      <c r="W1648" s="2" t="n">
        <v>2</v>
      </c>
      <c r="X1648" s="2" t="n">
        <v>4</v>
      </c>
      <c r="Y1648" s="2" t="n">
        <v>3</v>
      </c>
      <c r="Z1648" s="2" t="n">
        <v>3</v>
      </c>
    </row>
    <row r="1649" customFormat="false" ht="15" hidden="false" customHeight="true" outlineLevel="0" collapsed="false">
      <c r="A1649" s="2" t="n">
        <v>33</v>
      </c>
      <c r="B1649" s="2" t="s">
        <v>33</v>
      </c>
      <c r="C1649" s="2" t="s">
        <v>27</v>
      </c>
      <c r="D1649" s="2" t="s">
        <v>35</v>
      </c>
      <c r="E1649" s="2" t="n">
        <v>10</v>
      </c>
      <c r="F1649" s="2" t="n">
        <v>3</v>
      </c>
      <c r="G1649" s="2" t="s">
        <v>29</v>
      </c>
      <c r="H1649" s="2" t="n">
        <v>1648</v>
      </c>
      <c r="I1649" s="2" t="s">
        <v>30</v>
      </c>
      <c r="J1649" s="2" t="n">
        <v>4</v>
      </c>
      <c r="K1649" s="2" t="s">
        <v>44</v>
      </c>
      <c r="L1649" s="2" t="s">
        <v>32</v>
      </c>
      <c r="M1649" s="2" t="n">
        <v>67280</v>
      </c>
      <c r="N1649" s="2" t="n">
        <v>7</v>
      </c>
      <c r="O1649" s="2" t="n">
        <v>22</v>
      </c>
      <c r="P1649" s="2" t="n">
        <v>0</v>
      </c>
      <c r="Q1649" s="2" t="n">
        <v>15</v>
      </c>
      <c r="R1649" s="2" t="n">
        <v>2</v>
      </c>
      <c r="S1649" s="2" t="n">
        <v>7</v>
      </c>
      <c r="T1649" s="2" t="n">
        <v>7</v>
      </c>
      <c r="U1649" s="2" t="n">
        <v>7</v>
      </c>
      <c r="V1649" s="2" t="n">
        <v>2</v>
      </c>
      <c r="W1649" s="2" t="n">
        <v>3</v>
      </c>
      <c r="X1649" s="2" t="n">
        <v>4</v>
      </c>
      <c r="Y1649" s="2" t="n">
        <v>2</v>
      </c>
      <c r="Z1649" s="2" t="n">
        <v>4</v>
      </c>
    </row>
    <row r="1650" customFormat="false" ht="15" hidden="false" customHeight="true" outlineLevel="0" collapsed="false">
      <c r="A1650" s="2" t="n">
        <v>33</v>
      </c>
      <c r="B1650" s="2" t="s">
        <v>33</v>
      </c>
      <c r="C1650" s="2" t="s">
        <v>27</v>
      </c>
      <c r="D1650" s="2" t="s">
        <v>28</v>
      </c>
      <c r="E1650" s="2" t="n">
        <v>5</v>
      </c>
      <c r="F1650" s="2" t="n">
        <v>4</v>
      </c>
      <c r="G1650" s="2" t="s">
        <v>50</v>
      </c>
      <c r="H1650" s="2" t="n">
        <v>1649</v>
      </c>
      <c r="I1650" s="2" t="s">
        <v>39</v>
      </c>
      <c r="J1650" s="2" t="n">
        <v>2</v>
      </c>
      <c r="K1650" s="2" t="s">
        <v>44</v>
      </c>
      <c r="L1650" s="2" t="s">
        <v>46</v>
      </c>
      <c r="M1650" s="2" t="n">
        <v>66520</v>
      </c>
      <c r="N1650" s="2" t="n">
        <v>7</v>
      </c>
      <c r="O1650" s="2" t="n">
        <v>25</v>
      </c>
      <c r="P1650" s="2" t="n">
        <v>0</v>
      </c>
      <c r="Q1650" s="2" t="n">
        <v>8</v>
      </c>
      <c r="R1650" s="2" t="n">
        <v>5</v>
      </c>
      <c r="S1650" s="2" t="n">
        <v>4</v>
      </c>
      <c r="T1650" s="2" t="n">
        <v>1</v>
      </c>
      <c r="U1650" s="2" t="n">
        <v>3</v>
      </c>
      <c r="V1650" s="2" t="n">
        <v>1</v>
      </c>
      <c r="W1650" s="2" t="n">
        <v>4</v>
      </c>
      <c r="X1650" s="2" t="n">
        <v>3</v>
      </c>
      <c r="Y1650" s="2" t="n">
        <v>3</v>
      </c>
      <c r="Z1650" s="2" t="n">
        <v>4</v>
      </c>
    </row>
    <row r="1651" customFormat="false" ht="15" hidden="false" customHeight="true" outlineLevel="0" collapsed="false">
      <c r="A1651" s="2" t="n">
        <v>30</v>
      </c>
      <c r="B1651" s="2" t="s">
        <v>26</v>
      </c>
      <c r="C1651" s="2" t="s">
        <v>27</v>
      </c>
      <c r="D1651" s="2" t="s">
        <v>35</v>
      </c>
      <c r="E1651" s="2" t="n">
        <v>2</v>
      </c>
      <c r="F1651" s="2" t="n">
        <v>3</v>
      </c>
      <c r="G1651" s="2" t="s">
        <v>29</v>
      </c>
      <c r="H1651" s="2" t="n">
        <v>1650</v>
      </c>
      <c r="I1651" s="2" t="s">
        <v>39</v>
      </c>
      <c r="J1651" s="2" t="n">
        <v>1</v>
      </c>
      <c r="K1651" s="2" t="s">
        <v>40</v>
      </c>
      <c r="L1651" s="2" t="s">
        <v>37</v>
      </c>
      <c r="M1651" s="2" t="n">
        <v>48500</v>
      </c>
      <c r="N1651" s="2" t="n">
        <v>0</v>
      </c>
      <c r="O1651" s="2" t="n">
        <v>12</v>
      </c>
      <c r="P1651" s="2" t="n">
        <v>1</v>
      </c>
      <c r="Q1651" s="2" t="n">
        <v>4</v>
      </c>
      <c r="R1651" s="2" t="n">
        <v>4</v>
      </c>
      <c r="S1651" s="2" t="n">
        <v>3</v>
      </c>
      <c r="T1651" s="2" t="n">
        <v>1</v>
      </c>
      <c r="U1651" s="2" t="n">
        <v>2</v>
      </c>
      <c r="V1651" s="2" t="n">
        <v>4</v>
      </c>
      <c r="W1651" s="2" t="n">
        <v>2</v>
      </c>
      <c r="X1651" s="2" t="n">
        <v>3</v>
      </c>
      <c r="Y1651" s="2" t="n">
        <v>3</v>
      </c>
      <c r="Z1651" s="2" t="n">
        <v>3</v>
      </c>
    </row>
    <row r="1652" customFormat="false" ht="15" hidden="false" customHeight="true" outlineLevel="0" collapsed="false">
      <c r="A1652" s="2" t="n">
        <v>35</v>
      </c>
      <c r="B1652" s="2" t="s">
        <v>26</v>
      </c>
      <c r="C1652" s="2" t="s">
        <v>27</v>
      </c>
      <c r="D1652" s="2" t="s">
        <v>35</v>
      </c>
      <c r="E1652" s="2" t="n">
        <v>12</v>
      </c>
      <c r="F1652" s="2" t="n">
        <v>2</v>
      </c>
      <c r="G1652" s="2" t="s">
        <v>43</v>
      </c>
      <c r="H1652" s="2" t="n">
        <v>1651</v>
      </c>
      <c r="I1652" s="2" t="s">
        <v>30</v>
      </c>
      <c r="J1652" s="2" t="n">
        <v>2</v>
      </c>
      <c r="K1652" s="2" t="s">
        <v>48</v>
      </c>
      <c r="L1652" s="2" t="s">
        <v>32</v>
      </c>
      <c r="M1652" s="2" t="n">
        <v>28090</v>
      </c>
      <c r="N1652" s="2" t="n">
        <v>4</v>
      </c>
      <c r="O1652" s="2" t="n">
        <v>23</v>
      </c>
      <c r="P1652" s="2" t="n">
        <v>1</v>
      </c>
      <c r="Q1652" s="2" t="n">
        <v>10</v>
      </c>
      <c r="R1652" s="2" t="n">
        <v>2</v>
      </c>
      <c r="S1652" s="2" t="n">
        <v>8</v>
      </c>
      <c r="T1652" s="2" t="n">
        <v>0</v>
      </c>
      <c r="U1652" s="2" t="n">
        <v>0</v>
      </c>
      <c r="V1652" s="2" t="n">
        <v>4</v>
      </c>
      <c r="W1652" s="2" t="n">
        <v>3</v>
      </c>
      <c r="X1652" s="2" t="n">
        <v>3</v>
      </c>
      <c r="Y1652" s="2" t="n">
        <v>1</v>
      </c>
      <c r="Z1652" s="2" t="n">
        <v>4</v>
      </c>
    </row>
    <row r="1653" customFormat="false" ht="15" hidden="false" customHeight="true" outlineLevel="0" collapsed="false">
      <c r="A1653" s="2" t="n">
        <v>31</v>
      </c>
      <c r="B1653" s="2" t="s">
        <v>33</v>
      </c>
      <c r="C1653" s="2" t="s">
        <v>34</v>
      </c>
      <c r="D1653" s="2" t="s">
        <v>35</v>
      </c>
      <c r="E1653" s="2" t="n">
        <v>22</v>
      </c>
      <c r="F1653" s="2" t="n">
        <v>2</v>
      </c>
      <c r="G1653" s="2" t="s">
        <v>43</v>
      </c>
      <c r="H1653" s="2" t="n">
        <v>1652</v>
      </c>
      <c r="I1653" s="2" t="s">
        <v>30</v>
      </c>
      <c r="J1653" s="2" t="n">
        <v>2</v>
      </c>
      <c r="K1653" s="2" t="s">
        <v>40</v>
      </c>
      <c r="L1653" s="2" t="s">
        <v>32</v>
      </c>
      <c r="M1653" s="2" t="n">
        <v>56890</v>
      </c>
      <c r="N1653" s="2" t="n">
        <v>3</v>
      </c>
      <c r="O1653" s="2" t="n">
        <v>15</v>
      </c>
      <c r="P1653" s="2" t="n">
        <v>2</v>
      </c>
      <c r="Q1653" s="2" t="n">
        <v>12</v>
      </c>
      <c r="R1653" s="2" t="n">
        <v>2</v>
      </c>
      <c r="S1653" s="2" t="n">
        <v>1</v>
      </c>
      <c r="T1653" s="2" t="n">
        <v>0</v>
      </c>
      <c r="U1653" s="2" t="n">
        <v>0</v>
      </c>
      <c r="V1653" s="2" t="n">
        <v>1</v>
      </c>
      <c r="W1653" s="2" t="n">
        <v>3</v>
      </c>
      <c r="X1653" s="2" t="n">
        <v>3</v>
      </c>
      <c r="Y1653" s="2" t="n">
        <v>2</v>
      </c>
      <c r="Z1653" s="2" t="n">
        <v>3</v>
      </c>
    </row>
    <row r="1654" customFormat="false" ht="15" hidden="false" customHeight="true" outlineLevel="0" collapsed="false">
      <c r="A1654" s="2" t="n">
        <v>34</v>
      </c>
      <c r="B1654" s="2" t="s">
        <v>33</v>
      </c>
      <c r="C1654" s="2" t="s">
        <v>34</v>
      </c>
      <c r="D1654" s="2" t="s">
        <v>28</v>
      </c>
      <c r="E1654" s="2" t="n">
        <v>17</v>
      </c>
      <c r="F1654" s="2" t="n">
        <v>1</v>
      </c>
      <c r="G1654" s="2" t="s">
        <v>50</v>
      </c>
      <c r="H1654" s="2" t="n">
        <v>1653</v>
      </c>
      <c r="I1654" s="2" t="s">
        <v>39</v>
      </c>
      <c r="J1654" s="2" t="n">
        <v>1</v>
      </c>
      <c r="K1654" s="2" t="s">
        <v>44</v>
      </c>
      <c r="L1654" s="2" t="s">
        <v>46</v>
      </c>
      <c r="M1654" s="2" t="n">
        <v>20010</v>
      </c>
      <c r="N1654" s="2" t="n">
        <v>9</v>
      </c>
      <c r="O1654" s="2" t="n">
        <v>22</v>
      </c>
      <c r="P1654" s="2" t="n">
        <v>1</v>
      </c>
      <c r="Q1654" s="2" t="n">
        <v>11</v>
      </c>
      <c r="R1654" s="2" t="n">
        <v>5</v>
      </c>
      <c r="S1654" s="2" t="n">
        <v>3</v>
      </c>
      <c r="T1654" s="2" t="n">
        <v>0</v>
      </c>
      <c r="U1654" s="2" t="n">
        <v>2</v>
      </c>
      <c r="V1654" s="2" t="n">
        <v>2</v>
      </c>
      <c r="W1654" s="2" t="n">
        <v>1</v>
      </c>
      <c r="X1654" s="2" t="n">
        <v>3</v>
      </c>
      <c r="Y1654" s="2" t="n">
        <v>4</v>
      </c>
      <c r="Z1654" s="2" t="n">
        <v>4</v>
      </c>
    </row>
    <row r="1655" customFormat="false" ht="15" hidden="false" customHeight="true" outlineLevel="0" collapsed="false">
      <c r="A1655" s="2" t="n">
        <v>42</v>
      </c>
      <c r="B1655" s="2" t="s">
        <v>26</v>
      </c>
      <c r="C1655" s="2" t="s">
        <v>34</v>
      </c>
      <c r="D1655" s="2" t="s">
        <v>35</v>
      </c>
      <c r="E1655" s="2" t="n">
        <v>2</v>
      </c>
      <c r="F1655" s="2" t="n">
        <v>4</v>
      </c>
      <c r="G1655" s="2" t="s">
        <v>43</v>
      </c>
      <c r="H1655" s="2" t="n">
        <v>1654</v>
      </c>
      <c r="I1655" s="2" t="s">
        <v>30</v>
      </c>
      <c r="J1655" s="2" t="n">
        <v>1</v>
      </c>
      <c r="K1655" s="2" t="s">
        <v>36</v>
      </c>
      <c r="L1655" s="2" t="s">
        <v>32</v>
      </c>
      <c r="M1655" s="2" t="n">
        <v>29770</v>
      </c>
      <c r="N1655" s="2" t="n">
        <v>4</v>
      </c>
      <c r="O1655" s="2" t="n">
        <v>15</v>
      </c>
      <c r="P1655" s="2" t="n">
        <v>3</v>
      </c>
      <c r="Q1655" s="2" t="n">
        <v>8</v>
      </c>
      <c r="R1655" s="2" t="n">
        <v>3</v>
      </c>
      <c r="S1655" s="2" t="n">
        <v>2</v>
      </c>
      <c r="T1655" s="2" t="n">
        <v>2</v>
      </c>
      <c r="U1655" s="2" t="n">
        <v>0</v>
      </c>
      <c r="V1655" s="2" t="n">
        <v>2</v>
      </c>
      <c r="W1655" s="2" t="n">
        <v>3</v>
      </c>
      <c r="X1655" s="2" t="n">
        <v>3</v>
      </c>
      <c r="Y1655" s="2" t="n">
        <v>2</v>
      </c>
      <c r="Z1655" s="2" t="n">
        <v>3</v>
      </c>
    </row>
    <row r="1656" customFormat="false" ht="15" hidden="false" customHeight="true" outlineLevel="0" collapsed="false">
      <c r="A1656" s="2" t="n">
        <v>36</v>
      </c>
      <c r="B1656" s="2" t="s">
        <v>26</v>
      </c>
      <c r="C1656" s="2" t="s">
        <v>41</v>
      </c>
      <c r="D1656" s="2" t="s">
        <v>35</v>
      </c>
      <c r="E1656" s="2" t="n">
        <v>3</v>
      </c>
      <c r="F1656" s="2" t="n">
        <v>4</v>
      </c>
      <c r="G1656" s="2" t="s">
        <v>43</v>
      </c>
      <c r="H1656" s="2" t="n">
        <v>1655</v>
      </c>
      <c r="I1656" s="2" t="s">
        <v>39</v>
      </c>
      <c r="J1656" s="2" t="n">
        <v>1</v>
      </c>
      <c r="K1656" s="2" t="s">
        <v>36</v>
      </c>
      <c r="L1656" s="2" t="s">
        <v>37</v>
      </c>
      <c r="M1656" s="2" t="n">
        <v>40250</v>
      </c>
      <c r="N1656" s="2" t="n">
        <v>1</v>
      </c>
      <c r="O1656" s="2" t="n">
        <v>11</v>
      </c>
      <c r="P1656" s="2" t="n">
        <v>0</v>
      </c>
      <c r="Q1656" s="2" t="n">
        <v>10</v>
      </c>
      <c r="R1656" s="2" t="n">
        <v>3</v>
      </c>
      <c r="S1656" s="2" t="n">
        <v>10</v>
      </c>
      <c r="T1656" s="2" t="n">
        <v>9</v>
      </c>
      <c r="U1656" s="2" t="n">
        <v>7</v>
      </c>
      <c r="V1656" s="2" t="n">
        <v>2</v>
      </c>
      <c r="W1656" s="2" t="n">
        <v>4</v>
      </c>
      <c r="X1656" s="2" t="n">
        <v>2</v>
      </c>
      <c r="Y1656" s="2" t="n">
        <v>3</v>
      </c>
      <c r="Z1656" s="2" t="n">
        <v>3</v>
      </c>
    </row>
    <row r="1657" customFormat="false" ht="15" hidden="false" customHeight="true" outlineLevel="0" collapsed="false">
      <c r="A1657" s="2" t="n">
        <v>22</v>
      </c>
      <c r="B1657" s="2" t="s">
        <v>33</v>
      </c>
      <c r="C1657" s="2" t="s">
        <v>34</v>
      </c>
      <c r="D1657" s="2" t="s">
        <v>35</v>
      </c>
      <c r="E1657" s="2" t="n">
        <v>7</v>
      </c>
      <c r="F1657" s="2" t="n">
        <v>3</v>
      </c>
      <c r="G1657" s="2" t="s">
        <v>43</v>
      </c>
      <c r="H1657" s="2" t="n">
        <v>1656</v>
      </c>
      <c r="I1657" s="2" t="s">
        <v>30</v>
      </c>
      <c r="J1657" s="2" t="n">
        <v>2</v>
      </c>
      <c r="K1657" s="2" t="s">
        <v>45</v>
      </c>
      <c r="L1657" s="2" t="s">
        <v>37</v>
      </c>
      <c r="M1657" s="2" t="n">
        <v>37850</v>
      </c>
      <c r="N1657" s="2" t="n">
        <v>5</v>
      </c>
      <c r="O1657" s="2" t="n">
        <v>13</v>
      </c>
      <c r="P1657" s="2" t="n">
        <v>2</v>
      </c>
      <c r="Q1657" s="2" t="n">
        <v>4</v>
      </c>
      <c r="R1657" s="2" t="n">
        <v>2</v>
      </c>
      <c r="S1657" s="2" t="n">
        <v>2</v>
      </c>
      <c r="T1657" s="2" t="n">
        <v>1</v>
      </c>
      <c r="U1657" s="2" t="n">
        <v>2</v>
      </c>
      <c r="V1657" s="2" t="n">
        <v>3</v>
      </c>
      <c r="W1657" s="2" t="n">
        <v>3</v>
      </c>
      <c r="X1657" s="2" t="n">
        <v>3</v>
      </c>
      <c r="Y1657" s="2" t="n">
        <v>3</v>
      </c>
      <c r="Z1657" s="2" t="n">
        <v>3</v>
      </c>
    </row>
    <row r="1658" customFormat="false" ht="15" hidden="false" customHeight="true" outlineLevel="0" collapsed="false">
      <c r="A1658" s="2" t="n">
        <v>48</v>
      </c>
      <c r="B1658" s="2" t="s">
        <v>26</v>
      </c>
      <c r="C1658" s="2" t="s">
        <v>27</v>
      </c>
      <c r="D1658" s="2" t="s">
        <v>35</v>
      </c>
      <c r="E1658" s="2" t="n">
        <v>6</v>
      </c>
      <c r="F1658" s="2" t="n">
        <v>3</v>
      </c>
      <c r="G1658" s="2" t="s">
        <v>43</v>
      </c>
      <c r="H1658" s="2" t="n">
        <v>1657</v>
      </c>
      <c r="I1658" s="2" t="s">
        <v>39</v>
      </c>
      <c r="J1658" s="2" t="n">
        <v>1</v>
      </c>
      <c r="K1658" s="2" t="s">
        <v>45</v>
      </c>
      <c r="L1658" s="2" t="s">
        <v>32</v>
      </c>
      <c r="M1658" s="2" t="n">
        <v>108540</v>
      </c>
      <c r="N1658" s="2" t="n">
        <v>2</v>
      </c>
      <c r="O1658" s="2" t="n">
        <v>14</v>
      </c>
      <c r="P1658" s="2" t="n">
        <v>1</v>
      </c>
      <c r="Q1658" s="2" t="n">
        <v>14</v>
      </c>
      <c r="R1658" s="2" t="n">
        <v>6</v>
      </c>
      <c r="S1658" s="2" t="n">
        <v>9</v>
      </c>
      <c r="T1658" s="2" t="n">
        <v>6</v>
      </c>
      <c r="U1658" s="2" t="n">
        <v>7</v>
      </c>
      <c r="V1658" s="2" t="n">
        <v>2</v>
      </c>
      <c r="W1658" s="2" t="n">
        <v>4</v>
      </c>
      <c r="X1658" s="2" t="n">
        <v>3</v>
      </c>
      <c r="Y1658" s="2" t="n">
        <v>3</v>
      </c>
      <c r="Z1658" s="2" t="n">
        <v>3</v>
      </c>
    </row>
    <row r="1659" customFormat="false" ht="15" hidden="false" customHeight="true" outlineLevel="0" collapsed="false">
      <c r="A1659" s="2" t="n">
        <v>55</v>
      </c>
      <c r="B1659" s="2" t="s">
        <v>26</v>
      </c>
      <c r="C1659" s="2" t="s">
        <v>27</v>
      </c>
      <c r="D1659" s="2" t="s">
        <v>35</v>
      </c>
      <c r="E1659" s="2" t="n">
        <v>1</v>
      </c>
      <c r="F1659" s="2" t="n">
        <v>3</v>
      </c>
      <c r="G1659" s="2" t="s">
        <v>43</v>
      </c>
      <c r="H1659" s="2" t="n">
        <v>1658</v>
      </c>
      <c r="I1659" s="2" t="s">
        <v>30</v>
      </c>
      <c r="J1659" s="2" t="n">
        <v>1</v>
      </c>
      <c r="K1659" s="2" t="s">
        <v>40</v>
      </c>
      <c r="L1659" s="2" t="s">
        <v>37</v>
      </c>
      <c r="M1659" s="2" t="n">
        <v>120310</v>
      </c>
      <c r="N1659" s="2" t="n">
        <v>3</v>
      </c>
      <c r="O1659" s="2" t="n">
        <v>11</v>
      </c>
      <c r="P1659" s="2" t="n">
        <v>0</v>
      </c>
      <c r="Q1659" s="2" t="n">
        <v>37</v>
      </c>
      <c r="R1659" s="2" t="n">
        <v>5</v>
      </c>
      <c r="S1659" s="2" t="n">
        <v>10</v>
      </c>
      <c r="T1659" s="2" t="n">
        <v>7</v>
      </c>
      <c r="U1659" s="2" t="n">
        <v>7</v>
      </c>
      <c r="V1659" s="2" t="n">
        <v>1</v>
      </c>
      <c r="W1659" s="2" t="n">
        <v>2</v>
      </c>
      <c r="X1659" s="2" t="n">
        <v>3</v>
      </c>
      <c r="Y1659" s="2" t="n">
        <v>3</v>
      </c>
      <c r="Z1659" s="2" t="n">
        <v>3</v>
      </c>
    </row>
    <row r="1660" customFormat="false" ht="15" hidden="false" customHeight="true" outlineLevel="0" collapsed="false">
      <c r="A1660" s="2" t="n">
        <v>41</v>
      </c>
      <c r="B1660" s="2" t="s">
        <v>26</v>
      </c>
      <c r="C1660" s="2" t="s">
        <v>41</v>
      </c>
      <c r="D1660" s="2" t="s">
        <v>35</v>
      </c>
      <c r="E1660" s="2" t="n">
        <v>3</v>
      </c>
      <c r="F1660" s="2" t="n">
        <v>2</v>
      </c>
      <c r="G1660" s="2" t="s">
        <v>29</v>
      </c>
      <c r="H1660" s="2" t="n">
        <v>1659</v>
      </c>
      <c r="I1660" s="2" t="s">
        <v>30</v>
      </c>
      <c r="J1660" s="2" t="n">
        <v>2</v>
      </c>
      <c r="K1660" s="2" t="s">
        <v>36</v>
      </c>
      <c r="L1660" s="2" t="s">
        <v>37</v>
      </c>
      <c r="M1660" s="2" t="n">
        <v>99360</v>
      </c>
      <c r="N1660" s="2" t="n">
        <v>7</v>
      </c>
      <c r="O1660" s="2" t="n">
        <v>17</v>
      </c>
      <c r="P1660" s="2" t="n">
        <v>1</v>
      </c>
      <c r="Q1660" s="2" t="n">
        <v>16</v>
      </c>
      <c r="R1660" s="2" t="n">
        <v>2</v>
      </c>
      <c r="S1660" s="2" t="n">
        <v>14</v>
      </c>
      <c r="T1660" s="2" t="n">
        <v>1</v>
      </c>
      <c r="U1660" s="2" t="n">
        <v>10</v>
      </c>
      <c r="V1660" s="2" t="n">
        <v>4</v>
      </c>
      <c r="W1660" s="2" t="n">
        <v>4</v>
      </c>
      <c r="X1660" s="2" t="n">
        <v>3</v>
      </c>
      <c r="Y1660" s="2" t="n">
        <v>2</v>
      </c>
      <c r="Z1660" s="2" t="n">
        <v>3</v>
      </c>
    </row>
    <row r="1661" customFormat="false" ht="15" hidden="false" customHeight="true" outlineLevel="0" collapsed="false">
      <c r="A1661" s="2" t="n">
        <v>35</v>
      </c>
      <c r="B1661" s="2" t="s">
        <v>26</v>
      </c>
      <c r="C1661" s="2" t="s">
        <v>27</v>
      </c>
      <c r="D1661" s="2" t="s">
        <v>35</v>
      </c>
      <c r="E1661" s="2" t="n">
        <v>22</v>
      </c>
      <c r="F1661" s="2" t="n">
        <v>3</v>
      </c>
      <c r="G1661" s="2" t="s">
        <v>43</v>
      </c>
      <c r="H1661" s="2" t="n">
        <v>1660</v>
      </c>
      <c r="I1661" s="2" t="s">
        <v>30</v>
      </c>
      <c r="J1661" s="2" t="n">
        <v>1</v>
      </c>
      <c r="K1661" s="2" t="s">
        <v>48</v>
      </c>
      <c r="L1661" s="2" t="s">
        <v>32</v>
      </c>
      <c r="M1661" s="2" t="n">
        <v>29660</v>
      </c>
      <c r="N1661" s="2" t="n">
        <v>9</v>
      </c>
      <c r="O1661" s="2" t="n">
        <v>18</v>
      </c>
      <c r="P1661" s="2" t="n">
        <v>0</v>
      </c>
      <c r="Q1661" s="2" t="n">
        <v>15</v>
      </c>
      <c r="R1661" s="2" t="n">
        <v>2</v>
      </c>
      <c r="S1661" s="2" t="n">
        <v>11</v>
      </c>
      <c r="T1661" s="2" t="n">
        <v>6</v>
      </c>
      <c r="U1661" s="2" t="n">
        <v>9</v>
      </c>
      <c r="V1661" s="2" t="n">
        <v>2</v>
      </c>
      <c r="W1661" s="2" t="n">
        <v>3</v>
      </c>
      <c r="X1661" s="2"/>
      <c r="Y1661" s="2" t="n">
        <v>2</v>
      </c>
      <c r="Z1661" s="2" t="n">
        <v>3</v>
      </c>
    </row>
    <row r="1662" customFormat="false" ht="15" hidden="false" customHeight="true" outlineLevel="0" collapsed="false">
      <c r="A1662" s="2" t="n">
        <v>40</v>
      </c>
      <c r="B1662" s="2" t="s">
        <v>26</v>
      </c>
      <c r="C1662" s="2" t="s">
        <v>27</v>
      </c>
      <c r="D1662" s="2" t="s">
        <v>35</v>
      </c>
      <c r="E1662" s="2" t="n">
        <v>15</v>
      </c>
      <c r="F1662" s="2" t="n">
        <v>3</v>
      </c>
      <c r="G1662" s="2" t="s">
        <v>29</v>
      </c>
      <c r="H1662" s="2" t="n">
        <v>1661</v>
      </c>
      <c r="I1662" s="2" t="s">
        <v>30</v>
      </c>
      <c r="J1662" s="2" t="n">
        <v>2</v>
      </c>
      <c r="K1662" s="2" t="s">
        <v>45</v>
      </c>
      <c r="L1662" s="2" t="s">
        <v>37</v>
      </c>
      <c r="M1662" s="2" t="n">
        <v>25710</v>
      </c>
      <c r="N1662" s="2" t="n">
        <v>7</v>
      </c>
      <c r="O1662" s="2" t="n">
        <v>14</v>
      </c>
      <c r="P1662" s="2" t="n">
        <v>0</v>
      </c>
      <c r="Q1662" s="2" t="n">
        <v>22</v>
      </c>
      <c r="R1662" s="2" t="n">
        <v>1</v>
      </c>
      <c r="S1662" s="2" t="n">
        <v>20</v>
      </c>
      <c r="T1662" s="2" t="n">
        <v>5</v>
      </c>
      <c r="U1662" s="2" t="n">
        <v>13</v>
      </c>
      <c r="V1662" s="2" t="n">
        <v>2</v>
      </c>
      <c r="W1662" s="2" t="n">
        <v>3</v>
      </c>
      <c r="X1662" s="2" t="n">
        <v>3</v>
      </c>
      <c r="Y1662" s="2" t="n">
        <v>3</v>
      </c>
      <c r="Z1662" s="2" t="n">
        <v>3</v>
      </c>
    </row>
    <row r="1663" customFormat="false" ht="15" hidden="false" customHeight="true" outlineLevel="0" collapsed="false">
      <c r="A1663" s="2" t="n">
        <v>39</v>
      </c>
      <c r="B1663" s="2" t="s">
        <v>26</v>
      </c>
      <c r="C1663" s="2" t="s">
        <v>34</v>
      </c>
      <c r="D1663" s="2" t="s">
        <v>35</v>
      </c>
      <c r="E1663" s="2" t="n">
        <v>12</v>
      </c>
      <c r="F1663" s="2" t="n">
        <v>1</v>
      </c>
      <c r="G1663" s="2" t="s">
        <v>43</v>
      </c>
      <c r="H1663" s="2" t="n">
        <v>1662</v>
      </c>
      <c r="I1663" s="2" t="s">
        <v>39</v>
      </c>
      <c r="J1663" s="2" t="n">
        <v>1</v>
      </c>
      <c r="K1663" s="2" t="s">
        <v>36</v>
      </c>
      <c r="L1663" s="2" t="s">
        <v>32</v>
      </c>
      <c r="M1663" s="2" t="n">
        <v>99910</v>
      </c>
      <c r="N1663" s="2" t="n">
        <v>1</v>
      </c>
      <c r="O1663" s="2" t="n">
        <v>16</v>
      </c>
      <c r="P1663" s="2" t="n">
        <v>1</v>
      </c>
      <c r="Q1663" s="2" t="n">
        <v>8</v>
      </c>
      <c r="R1663" s="2" t="n">
        <v>3</v>
      </c>
      <c r="S1663" s="2" t="n">
        <v>8</v>
      </c>
      <c r="T1663" s="2" t="n">
        <v>0</v>
      </c>
      <c r="U1663" s="2" t="n">
        <v>7</v>
      </c>
      <c r="V1663" s="2" t="n">
        <v>3</v>
      </c>
      <c r="W1663" s="2" t="n">
        <v>3</v>
      </c>
      <c r="X1663" s="2" t="n">
        <v>3</v>
      </c>
      <c r="Y1663" s="2" t="n">
        <v>3</v>
      </c>
      <c r="Z1663" s="2" t="n">
        <v>3</v>
      </c>
    </row>
    <row r="1664" customFormat="false" ht="15" hidden="false" customHeight="true" outlineLevel="0" collapsed="false">
      <c r="A1664" s="2" t="n">
        <v>31</v>
      </c>
      <c r="B1664" s="2" t="s">
        <v>26</v>
      </c>
      <c r="C1664" s="2" t="s">
        <v>27</v>
      </c>
      <c r="D1664" s="2" t="s">
        <v>35</v>
      </c>
      <c r="E1664" s="2" t="n">
        <v>1</v>
      </c>
      <c r="F1664" s="2" t="n">
        <v>4</v>
      </c>
      <c r="G1664" s="2" t="s">
        <v>29</v>
      </c>
      <c r="H1664" s="2" t="n">
        <v>1663</v>
      </c>
      <c r="I1664" s="2" t="s">
        <v>39</v>
      </c>
      <c r="J1664" s="2" t="n">
        <v>3</v>
      </c>
      <c r="K1664" s="2" t="s">
        <v>44</v>
      </c>
      <c r="L1664" s="2" t="s">
        <v>37</v>
      </c>
      <c r="M1664" s="2" t="n">
        <v>61420</v>
      </c>
      <c r="N1664" s="2" t="n">
        <v>4</v>
      </c>
      <c r="O1664" s="2" t="n">
        <v>13</v>
      </c>
      <c r="P1664" s="2" t="n">
        <v>2</v>
      </c>
      <c r="Q1664" s="2" t="n">
        <v>10</v>
      </c>
      <c r="R1664" s="2" t="n">
        <v>2</v>
      </c>
      <c r="S1664" s="2" t="n">
        <v>6</v>
      </c>
      <c r="T1664" s="2" t="n">
        <v>0</v>
      </c>
      <c r="U1664" s="2" t="n">
        <v>5</v>
      </c>
      <c r="V1664" s="2" t="n">
        <v>2</v>
      </c>
      <c r="W1664" s="2" t="n">
        <v>4</v>
      </c>
      <c r="X1664" s="2" t="n">
        <v>4</v>
      </c>
      <c r="Y1664" s="2" t="n">
        <v>2</v>
      </c>
      <c r="Z1664" s="2" t="n">
        <v>3</v>
      </c>
    </row>
    <row r="1665" customFormat="false" ht="15" hidden="false" customHeight="true" outlineLevel="0" collapsed="false">
      <c r="A1665" s="2" t="n">
        <v>42</v>
      </c>
      <c r="B1665" s="2" t="s">
        <v>26</v>
      </c>
      <c r="C1665" s="2" t="s">
        <v>27</v>
      </c>
      <c r="D1665" s="2" t="s">
        <v>35</v>
      </c>
      <c r="E1665" s="2" t="n">
        <v>5</v>
      </c>
      <c r="F1665" s="2" t="n">
        <v>3</v>
      </c>
      <c r="G1665" s="2" t="s">
        <v>43</v>
      </c>
      <c r="H1665" s="2" t="n">
        <v>1664</v>
      </c>
      <c r="I1665" s="2" t="s">
        <v>39</v>
      </c>
      <c r="J1665" s="2" t="n">
        <v>3</v>
      </c>
      <c r="K1665" s="2" t="s">
        <v>40</v>
      </c>
      <c r="L1665" s="2" t="s">
        <v>32</v>
      </c>
      <c r="M1665" s="2" t="n">
        <v>53900</v>
      </c>
      <c r="N1665" s="2" t="n">
        <v>1</v>
      </c>
      <c r="O1665" s="2" t="n">
        <v>14</v>
      </c>
      <c r="P1665" s="2" t="n">
        <v>0</v>
      </c>
      <c r="Q1665" s="2" t="n">
        <v>10</v>
      </c>
      <c r="R1665" s="2" t="n">
        <v>3</v>
      </c>
      <c r="S1665" s="2" t="n">
        <v>10</v>
      </c>
      <c r="T1665" s="2" t="n">
        <v>5</v>
      </c>
      <c r="U1665" s="2" t="n">
        <v>8</v>
      </c>
      <c r="V1665" s="2" t="n">
        <v>4</v>
      </c>
      <c r="W1665" s="2" t="n">
        <v>1</v>
      </c>
      <c r="X1665" s="2" t="n">
        <v>2</v>
      </c>
      <c r="Y1665" s="2" t="n">
        <v>3</v>
      </c>
      <c r="Z1665" s="2" t="n">
        <v>3</v>
      </c>
    </row>
    <row r="1666" customFormat="false" ht="15" hidden="false" customHeight="true" outlineLevel="0" collapsed="false">
      <c r="A1666" s="2" t="n">
        <v>45</v>
      </c>
      <c r="B1666" s="2" t="s">
        <v>26</v>
      </c>
      <c r="C1666" s="2" t="s">
        <v>27</v>
      </c>
      <c r="D1666" s="2" t="s">
        <v>35</v>
      </c>
      <c r="E1666" s="2" t="n">
        <v>2</v>
      </c>
      <c r="F1666" s="2" t="n">
        <v>1</v>
      </c>
      <c r="G1666" s="2" t="s">
        <v>43</v>
      </c>
      <c r="H1666" s="2" t="n">
        <v>1665</v>
      </c>
      <c r="I1666" s="2" t="s">
        <v>30</v>
      </c>
      <c r="J1666" s="2" t="n">
        <v>4</v>
      </c>
      <c r="K1666" s="2" t="s">
        <v>40</v>
      </c>
      <c r="L1666" s="2" t="s">
        <v>32</v>
      </c>
      <c r="M1666" s="2" t="n">
        <v>44040</v>
      </c>
      <c r="N1666" s="2" t="n">
        <v>0</v>
      </c>
      <c r="O1666" s="2" t="n">
        <v>23</v>
      </c>
      <c r="P1666" s="2" t="n">
        <v>0</v>
      </c>
      <c r="Q1666" s="2" t="n">
        <v>9</v>
      </c>
      <c r="R1666" s="2" t="n">
        <v>2</v>
      </c>
      <c r="S1666" s="2" t="n">
        <v>8</v>
      </c>
      <c r="T1666" s="2" t="n">
        <v>3</v>
      </c>
      <c r="U1666" s="2" t="n">
        <v>7</v>
      </c>
      <c r="V1666" s="2" t="n">
        <v>4</v>
      </c>
      <c r="W1666" s="2" t="n">
        <v>2</v>
      </c>
      <c r="X1666" s="2" t="n">
        <v>4</v>
      </c>
      <c r="Y1666" s="2" t="n">
        <v>3</v>
      </c>
      <c r="Z1666" s="2" t="n">
        <v>4</v>
      </c>
    </row>
    <row r="1667" customFormat="false" ht="15" hidden="false" customHeight="true" outlineLevel="0" collapsed="false">
      <c r="A1667" s="2" t="n">
        <v>26</v>
      </c>
      <c r="B1667" s="2" t="s">
        <v>33</v>
      </c>
      <c r="C1667" s="2" t="s">
        <v>34</v>
      </c>
      <c r="D1667" s="2" t="s">
        <v>35</v>
      </c>
      <c r="E1667" s="2" t="n">
        <v>2</v>
      </c>
      <c r="F1667" s="2" t="n">
        <v>1</v>
      </c>
      <c r="G1667" s="2" t="s">
        <v>29</v>
      </c>
      <c r="H1667" s="2" t="n">
        <v>1666</v>
      </c>
      <c r="I1667" s="2" t="s">
        <v>30</v>
      </c>
      <c r="J1667" s="2" t="n">
        <v>2</v>
      </c>
      <c r="K1667" s="2" t="s">
        <v>45</v>
      </c>
      <c r="L1667" s="2" t="s">
        <v>46</v>
      </c>
      <c r="M1667" s="2" t="n">
        <v>59930</v>
      </c>
      <c r="N1667" s="2" t="n">
        <v>0</v>
      </c>
      <c r="O1667" s="2" t="n">
        <v>12</v>
      </c>
      <c r="P1667" s="2" t="n">
        <v>0</v>
      </c>
      <c r="Q1667" s="2" t="n">
        <v>8</v>
      </c>
      <c r="R1667" s="2" t="n">
        <v>3</v>
      </c>
      <c r="S1667" s="2" t="n">
        <v>7</v>
      </c>
      <c r="T1667" s="2" t="n">
        <v>1</v>
      </c>
      <c r="U1667" s="2" t="n">
        <v>0</v>
      </c>
      <c r="V1667" s="2" t="n">
        <v>2</v>
      </c>
      <c r="W1667" s="2" t="n">
        <v>3</v>
      </c>
      <c r="X1667" s="2" t="n">
        <v>2</v>
      </c>
      <c r="Y1667" s="2" t="n">
        <v>3</v>
      </c>
      <c r="Z1667" s="2" t="n">
        <v>3</v>
      </c>
    </row>
    <row r="1668" customFormat="false" ht="15" hidden="false" customHeight="true" outlineLevel="0" collapsed="false">
      <c r="A1668" s="2" t="n">
        <v>29</v>
      </c>
      <c r="B1668" s="2" t="s">
        <v>26</v>
      </c>
      <c r="C1668" s="2" t="s">
        <v>27</v>
      </c>
      <c r="D1668" s="2" t="s">
        <v>35</v>
      </c>
      <c r="E1668" s="2" t="n">
        <v>5</v>
      </c>
      <c r="F1668" s="2" t="n">
        <v>3</v>
      </c>
      <c r="G1668" s="2" t="s">
        <v>43</v>
      </c>
      <c r="H1668" s="2" t="n">
        <v>1667</v>
      </c>
      <c r="I1668" s="2" t="s">
        <v>39</v>
      </c>
      <c r="J1668" s="2" t="n">
        <v>1</v>
      </c>
      <c r="K1668" s="2" t="s">
        <v>36</v>
      </c>
      <c r="L1668" s="2" t="s">
        <v>46</v>
      </c>
      <c r="M1668" s="2" t="n">
        <v>51300</v>
      </c>
      <c r="N1668" s="2" t="n">
        <v>4</v>
      </c>
      <c r="O1668" s="2" t="n">
        <v>11</v>
      </c>
      <c r="P1668" s="2" t="n">
        <v>0</v>
      </c>
      <c r="Q1668" s="2" t="n">
        <v>8</v>
      </c>
      <c r="R1668" s="2" t="n">
        <v>3</v>
      </c>
      <c r="S1668" s="2" t="n">
        <v>3</v>
      </c>
      <c r="T1668" s="2" t="n">
        <v>1</v>
      </c>
      <c r="U1668" s="2" t="n">
        <v>2</v>
      </c>
      <c r="V1668" s="2" t="n">
        <v>4</v>
      </c>
      <c r="W1668" s="2" t="n">
        <v>4</v>
      </c>
      <c r="X1668" s="2" t="n">
        <v>4</v>
      </c>
      <c r="Y1668" s="2" t="n">
        <v>2</v>
      </c>
      <c r="Z1668" s="2" t="n">
        <v>3</v>
      </c>
    </row>
    <row r="1669" customFormat="false" ht="15" hidden="false" customHeight="true" outlineLevel="0" collapsed="false">
      <c r="A1669" s="2" t="n">
        <v>33</v>
      </c>
      <c r="B1669" s="2" t="s">
        <v>26</v>
      </c>
      <c r="C1669" s="2" t="s">
        <v>27</v>
      </c>
      <c r="D1669" s="2" t="s">
        <v>35</v>
      </c>
      <c r="E1669" s="2" t="n">
        <v>16</v>
      </c>
      <c r="F1669" s="2" t="n">
        <v>3</v>
      </c>
      <c r="G1669" s="2" t="s">
        <v>43</v>
      </c>
      <c r="H1669" s="2" t="n">
        <v>1668</v>
      </c>
      <c r="I1669" s="2" t="s">
        <v>30</v>
      </c>
      <c r="J1669" s="2" t="n">
        <v>1</v>
      </c>
      <c r="K1669" s="2" t="s">
        <v>45</v>
      </c>
      <c r="L1669" s="2" t="s">
        <v>46</v>
      </c>
      <c r="M1669" s="2" t="n">
        <v>20900</v>
      </c>
      <c r="N1669" s="2" t="n">
        <v>4</v>
      </c>
      <c r="O1669" s="2" t="n">
        <v>16</v>
      </c>
      <c r="P1669" s="2" t="n">
        <v>0</v>
      </c>
      <c r="Q1669" s="2" t="n">
        <v>10</v>
      </c>
      <c r="R1669" s="2" t="n">
        <v>2</v>
      </c>
      <c r="S1669" s="2" t="n">
        <v>6</v>
      </c>
      <c r="T1669" s="2" t="n">
        <v>0</v>
      </c>
      <c r="U1669" s="2" t="n">
        <v>5</v>
      </c>
      <c r="V1669" s="2" t="n">
        <v>1</v>
      </c>
      <c r="W1669" s="2" t="n">
        <v>3</v>
      </c>
      <c r="X1669" s="2" t="n">
        <v>3</v>
      </c>
      <c r="Y1669" s="2" t="n">
        <v>3</v>
      </c>
      <c r="Z1669" s="2" t="n">
        <v>3</v>
      </c>
    </row>
    <row r="1670" customFormat="false" ht="15" hidden="false" customHeight="true" outlineLevel="0" collapsed="false">
      <c r="A1670" s="2" t="n">
        <v>31</v>
      </c>
      <c r="B1670" s="2" t="s">
        <v>26</v>
      </c>
      <c r="C1670" s="2" t="s">
        <v>27</v>
      </c>
      <c r="D1670" s="2" t="s">
        <v>35</v>
      </c>
      <c r="E1670" s="2" t="n">
        <v>2</v>
      </c>
      <c r="F1670" s="2" t="n">
        <v>4</v>
      </c>
      <c r="G1670" s="2" t="s">
        <v>29</v>
      </c>
      <c r="H1670" s="2" t="n">
        <v>1669</v>
      </c>
      <c r="I1670" s="2" t="s">
        <v>30</v>
      </c>
      <c r="J1670" s="2" t="n">
        <v>1</v>
      </c>
      <c r="K1670" s="2" t="s">
        <v>40</v>
      </c>
      <c r="L1670" s="2" t="s">
        <v>46</v>
      </c>
      <c r="M1670" s="2" t="n">
        <v>29090</v>
      </c>
      <c r="N1670" s="2" t="n">
        <v>9</v>
      </c>
      <c r="O1670" s="2" t="n">
        <v>14</v>
      </c>
      <c r="P1670" s="2" t="n">
        <v>2</v>
      </c>
      <c r="Q1670" s="2" t="n">
        <v>10</v>
      </c>
      <c r="R1670" s="2" t="n">
        <v>2</v>
      </c>
      <c r="S1670" s="2" t="n">
        <v>5</v>
      </c>
      <c r="T1670" s="2" t="n">
        <v>0</v>
      </c>
      <c r="U1670" s="2" t="n">
        <v>1</v>
      </c>
      <c r="V1670" s="2" t="n">
        <v>3</v>
      </c>
      <c r="W1670" s="2" t="n">
        <v>4</v>
      </c>
      <c r="X1670" s="2" t="n">
        <v>2</v>
      </c>
      <c r="Y1670" s="2" t="n">
        <v>3</v>
      </c>
      <c r="Z1670" s="2" t="n">
        <v>3</v>
      </c>
    </row>
    <row r="1671" customFormat="false" ht="15" hidden="false" customHeight="true" outlineLevel="0" collapsed="false">
      <c r="A1671" s="2" t="n">
        <v>18</v>
      </c>
      <c r="B1671" s="2" t="s">
        <v>33</v>
      </c>
      <c r="C1671" s="2" t="s">
        <v>34</v>
      </c>
      <c r="D1671" s="2" t="s">
        <v>35</v>
      </c>
      <c r="E1671" s="2" t="n">
        <v>2</v>
      </c>
      <c r="F1671" s="2" t="n">
        <v>3</v>
      </c>
      <c r="G1671" s="2" t="s">
        <v>51</v>
      </c>
      <c r="H1671" s="2" t="n">
        <v>1670</v>
      </c>
      <c r="I1671" s="2" t="s">
        <v>39</v>
      </c>
      <c r="J1671" s="2" t="n">
        <v>1</v>
      </c>
      <c r="K1671" s="2" t="s">
        <v>40</v>
      </c>
      <c r="L1671" s="2" t="s">
        <v>37</v>
      </c>
      <c r="M1671" s="2" t="n">
        <v>34680</v>
      </c>
      <c r="N1671" s="2" t="n">
        <v>1</v>
      </c>
      <c r="O1671" s="2" t="n">
        <v>18</v>
      </c>
      <c r="P1671" s="2" t="n">
        <v>2</v>
      </c>
      <c r="Q1671" s="2" t="n">
        <v>0</v>
      </c>
      <c r="R1671" s="2" t="n">
        <v>4</v>
      </c>
      <c r="S1671" s="2" t="n">
        <v>0</v>
      </c>
      <c r="T1671" s="2" t="n">
        <v>0</v>
      </c>
      <c r="U1671" s="2" t="n">
        <v>0</v>
      </c>
      <c r="V1671" s="2" t="n">
        <v>2</v>
      </c>
      <c r="W1671" s="2" t="n">
        <v>2</v>
      </c>
      <c r="X1671" s="2" t="n">
        <v>3</v>
      </c>
      <c r="Y1671" s="2" t="n">
        <v>4</v>
      </c>
      <c r="Z1671" s="2" t="n">
        <v>3</v>
      </c>
    </row>
    <row r="1672" customFormat="false" ht="15" hidden="false" customHeight="true" outlineLevel="0" collapsed="false">
      <c r="A1672" s="2" t="n">
        <v>40</v>
      </c>
      <c r="B1672" s="2" t="s">
        <v>26</v>
      </c>
      <c r="C1672" s="2" t="s">
        <v>41</v>
      </c>
      <c r="D1672" s="2" t="s">
        <v>35</v>
      </c>
      <c r="E1672" s="2" t="n">
        <v>1</v>
      </c>
      <c r="F1672" s="2" t="n">
        <v>4</v>
      </c>
      <c r="G1672" s="2" t="s">
        <v>51</v>
      </c>
      <c r="H1672" s="2" t="n">
        <v>1671</v>
      </c>
      <c r="I1672" s="2" t="s">
        <v>30</v>
      </c>
      <c r="J1672" s="2" t="n">
        <v>2</v>
      </c>
      <c r="K1672" s="2" t="s">
        <v>45</v>
      </c>
      <c r="L1672" s="2" t="s">
        <v>46</v>
      </c>
      <c r="M1672" s="2" t="n">
        <v>30680</v>
      </c>
      <c r="N1672" s="2" t="n">
        <v>3</v>
      </c>
      <c r="O1672" s="2" t="n">
        <v>19</v>
      </c>
      <c r="P1672" s="2" t="n">
        <v>0</v>
      </c>
      <c r="Q1672" s="2" t="n">
        <v>20</v>
      </c>
      <c r="R1672" s="2" t="n">
        <v>3</v>
      </c>
      <c r="S1672" s="2" t="n">
        <v>1</v>
      </c>
      <c r="T1672" s="2" t="n">
        <v>0</v>
      </c>
      <c r="U1672" s="2" t="n">
        <v>1</v>
      </c>
      <c r="V1672" s="2" t="n">
        <v>3</v>
      </c>
      <c r="W1672" s="2" t="n">
        <v>1</v>
      </c>
      <c r="X1672" s="2" t="n">
        <v>3</v>
      </c>
      <c r="Y1672" s="2" t="n">
        <v>2</v>
      </c>
      <c r="Z1672" s="2" t="n">
        <v>3</v>
      </c>
    </row>
    <row r="1673" customFormat="false" ht="15" hidden="false" customHeight="true" outlineLevel="0" collapsed="false">
      <c r="A1673" s="2" t="n">
        <v>41</v>
      </c>
      <c r="B1673" s="2" t="s">
        <v>26</v>
      </c>
      <c r="C1673" s="2" t="s">
        <v>41</v>
      </c>
      <c r="D1673" s="2" t="s">
        <v>35</v>
      </c>
      <c r="E1673" s="2" t="n">
        <v>23</v>
      </c>
      <c r="F1673" s="2" t="n">
        <v>3</v>
      </c>
      <c r="G1673" s="2" t="s">
        <v>29</v>
      </c>
      <c r="H1673" s="2" t="n">
        <v>1672</v>
      </c>
      <c r="I1673" s="2" t="s">
        <v>39</v>
      </c>
      <c r="J1673" s="2" t="n">
        <v>2</v>
      </c>
      <c r="K1673" s="2" t="s">
        <v>47</v>
      </c>
      <c r="L1673" s="2" t="s">
        <v>37</v>
      </c>
      <c r="M1673" s="2" t="n">
        <v>26700</v>
      </c>
      <c r="N1673" s="2" t="n">
        <v>2</v>
      </c>
      <c r="O1673" s="2" t="n">
        <v>15</v>
      </c>
      <c r="P1673" s="2" t="n">
        <v>2</v>
      </c>
      <c r="Q1673" s="2" t="n">
        <v>10</v>
      </c>
      <c r="R1673" s="2" t="n">
        <v>2</v>
      </c>
      <c r="S1673" s="2" t="n">
        <v>8</v>
      </c>
      <c r="T1673" s="2" t="n">
        <v>0</v>
      </c>
      <c r="U1673" s="2" t="n">
        <v>7</v>
      </c>
      <c r="V1673" s="2" t="n">
        <v>1</v>
      </c>
      <c r="W1673" s="2" t="n">
        <v>3</v>
      </c>
      <c r="X1673" s="2" t="n">
        <v>3</v>
      </c>
      <c r="Y1673" s="2" t="n">
        <v>2</v>
      </c>
      <c r="Z1673" s="2" t="n">
        <v>3</v>
      </c>
    </row>
    <row r="1674" customFormat="false" ht="15" hidden="false" customHeight="true" outlineLevel="0" collapsed="false">
      <c r="A1674" s="2" t="n">
        <v>26</v>
      </c>
      <c r="B1674" s="2" t="s">
        <v>26</v>
      </c>
      <c r="C1674" s="2" t="s">
        <v>27</v>
      </c>
      <c r="D1674" s="2" t="s">
        <v>35</v>
      </c>
      <c r="E1674" s="2" t="n">
        <v>9</v>
      </c>
      <c r="F1674" s="2" t="n">
        <v>4</v>
      </c>
      <c r="G1674" s="2" t="s">
        <v>43</v>
      </c>
      <c r="H1674" s="2" t="n">
        <v>1673</v>
      </c>
      <c r="I1674" s="2" t="s">
        <v>39</v>
      </c>
      <c r="J1674" s="2" t="n">
        <v>3</v>
      </c>
      <c r="K1674" s="2" t="s">
        <v>31</v>
      </c>
      <c r="L1674" s="2" t="s">
        <v>46</v>
      </c>
      <c r="M1674" s="2" t="n">
        <v>26930</v>
      </c>
      <c r="N1674" s="2" t="n">
        <v>5</v>
      </c>
      <c r="O1674" s="2" t="n">
        <v>17</v>
      </c>
      <c r="P1674" s="2" t="n">
        <v>3</v>
      </c>
      <c r="Q1674" s="2" t="n">
        <v>8</v>
      </c>
      <c r="R1674" s="2" t="n">
        <v>3</v>
      </c>
      <c r="S1674" s="2" t="n">
        <v>0</v>
      </c>
      <c r="T1674" s="2" t="n">
        <v>0</v>
      </c>
      <c r="U1674" s="2" t="n">
        <v>0</v>
      </c>
      <c r="V1674" s="2" t="n">
        <v>1</v>
      </c>
      <c r="W1674" s="2" t="n">
        <v>3</v>
      </c>
      <c r="X1674" s="2" t="n">
        <v>3</v>
      </c>
      <c r="Y1674" s="2" t="n">
        <v>2</v>
      </c>
      <c r="Z1674" s="2" t="n">
        <v>3</v>
      </c>
    </row>
    <row r="1675" customFormat="false" ht="15" hidden="false" customHeight="true" outlineLevel="0" collapsed="false">
      <c r="A1675" s="2" t="n">
        <v>35</v>
      </c>
      <c r="B1675" s="2" t="s">
        <v>26</v>
      </c>
      <c r="C1675" s="2" t="s">
        <v>27</v>
      </c>
      <c r="D1675" s="2" t="s">
        <v>35</v>
      </c>
      <c r="E1675" s="2" t="n">
        <v>16</v>
      </c>
      <c r="F1675" s="2" t="n">
        <v>4</v>
      </c>
      <c r="G1675" s="2" t="s">
        <v>43</v>
      </c>
      <c r="H1675" s="2" t="n">
        <v>1674</v>
      </c>
      <c r="I1675" s="2" t="s">
        <v>39</v>
      </c>
      <c r="J1675" s="2" t="n">
        <v>2</v>
      </c>
      <c r="K1675" s="2" t="s">
        <v>42</v>
      </c>
      <c r="L1675" s="2" t="s">
        <v>37</v>
      </c>
      <c r="M1675" s="2" t="n">
        <v>95260</v>
      </c>
      <c r="N1675" s="2" t="n">
        <v>1</v>
      </c>
      <c r="O1675" s="2" t="n">
        <v>15</v>
      </c>
      <c r="P1675" s="2" t="n">
        <v>0</v>
      </c>
      <c r="Q1675" s="2" t="n">
        <v>5</v>
      </c>
      <c r="R1675" s="2" t="n">
        <v>2</v>
      </c>
      <c r="S1675" s="2" t="n">
        <v>5</v>
      </c>
      <c r="T1675" s="2" t="n">
        <v>0</v>
      </c>
      <c r="U1675" s="2" t="n">
        <v>3</v>
      </c>
      <c r="V1675" s="2" t="n">
        <v>1</v>
      </c>
      <c r="W1675" s="2" t="n">
        <v>3</v>
      </c>
      <c r="X1675" s="2" t="n">
        <v>3</v>
      </c>
      <c r="Y1675" s="2" t="n">
        <v>2</v>
      </c>
      <c r="Z1675" s="2" t="n">
        <v>3</v>
      </c>
    </row>
    <row r="1676" customFormat="false" ht="15" hidden="false" customHeight="true" outlineLevel="0" collapsed="false">
      <c r="A1676" s="2" t="n">
        <v>34</v>
      </c>
      <c r="B1676" s="2" t="s">
        <v>26</v>
      </c>
      <c r="C1676" s="2" t="s">
        <v>27</v>
      </c>
      <c r="D1676" s="2" t="s">
        <v>35</v>
      </c>
      <c r="E1676" s="2" t="n">
        <v>26</v>
      </c>
      <c r="F1676" s="2" t="n">
        <v>3</v>
      </c>
      <c r="G1676" s="2" t="s">
        <v>43</v>
      </c>
      <c r="H1676" s="2" t="n">
        <v>1675</v>
      </c>
      <c r="I1676" s="2" t="s">
        <v>39</v>
      </c>
      <c r="J1676" s="2" t="n">
        <v>1</v>
      </c>
      <c r="K1676" s="2" t="s">
        <v>45</v>
      </c>
      <c r="L1676" s="2" t="s">
        <v>37</v>
      </c>
      <c r="M1676" s="2" t="n">
        <v>52370</v>
      </c>
      <c r="N1676" s="2" t="n">
        <v>1</v>
      </c>
      <c r="O1676" s="2" t="n">
        <v>19</v>
      </c>
      <c r="P1676" s="2" t="n">
        <v>1</v>
      </c>
      <c r="Q1676" s="2" t="n">
        <v>10</v>
      </c>
      <c r="R1676" s="2" t="n">
        <v>3</v>
      </c>
      <c r="S1676" s="2" t="n">
        <v>10</v>
      </c>
      <c r="T1676" s="2" t="n">
        <v>5</v>
      </c>
      <c r="U1676" s="2" t="n">
        <v>7</v>
      </c>
      <c r="V1676" s="2" t="n">
        <v>4</v>
      </c>
      <c r="W1676" s="2" t="n">
        <v>4</v>
      </c>
      <c r="X1676" s="2" t="n">
        <v>3</v>
      </c>
      <c r="Y1676" s="2" t="n">
        <v>2</v>
      </c>
      <c r="Z1676" s="2" t="n">
        <v>3</v>
      </c>
    </row>
    <row r="1677" customFormat="false" ht="15" hidden="false" customHeight="true" outlineLevel="0" collapsed="false">
      <c r="A1677" s="2" t="n">
        <v>26</v>
      </c>
      <c r="B1677" s="2" t="s">
        <v>33</v>
      </c>
      <c r="C1677" s="2" t="s">
        <v>27</v>
      </c>
      <c r="D1677" s="2" t="s">
        <v>28</v>
      </c>
      <c r="E1677" s="2" t="n">
        <v>1</v>
      </c>
      <c r="F1677" s="2" t="n">
        <v>3</v>
      </c>
      <c r="G1677" s="2" t="s">
        <v>50</v>
      </c>
      <c r="H1677" s="2" t="n">
        <v>1676</v>
      </c>
      <c r="I1677" s="2" t="s">
        <v>30</v>
      </c>
      <c r="J1677" s="2" t="n">
        <v>2</v>
      </c>
      <c r="K1677" s="2" t="s">
        <v>47</v>
      </c>
      <c r="L1677" s="2" t="s">
        <v>37</v>
      </c>
      <c r="M1677" s="2" t="n">
        <v>24260</v>
      </c>
      <c r="N1677" s="2" t="n">
        <v>1</v>
      </c>
      <c r="O1677" s="2" t="n">
        <v>22</v>
      </c>
      <c r="P1677" s="2" t="n">
        <v>0</v>
      </c>
      <c r="Q1677" s="2" t="n">
        <v>1</v>
      </c>
      <c r="R1677" s="2" t="n">
        <v>3</v>
      </c>
      <c r="S1677" s="2" t="n">
        <v>1</v>
      </c>
      <c r="T1677" s="2" t="n">
        <v>0</v>
      </c>
      <c r="U1677" s="2" t="n">
        <v>0</v>
      </c>
      <c r="V1677" s="2" t="n">
        <v>3</v>
      </c>
      <c r="W1677" s="2" t="n">
        <v>4</v>
      </c>
      <c r="X1677" s="2" t="n">
        <v>1</v>
      </c>
      <c r="Y1677" s="2" t="n">
        <v>1</v>
      </c>
      <c r="Z1677" s="2" t="n">
        <v>4</v>
      </c>
    </row>
    <row r="1678" customFormat="false" ht="15" hidden="false" customHeight="true" outlineLevel="0" collapsed="false">
      <c r="A1678" s="2" t="n">
        <v>37</v>
      </c>
      <c r="B1678" s="2" t="s">
        <v>26</v>
      </c>
      <c r="C1678" s="2" t="s">
        <v>27</v>
      </c>
      <c r="D1678" s="2" t="s">
        <v>35</v>
      </c>
      <c r="E1678" s="2" t="n">
        <v>8</v>
      </c>
      <c r="F1678" s="2" t="n">
        <v>1</v>
      </c>
      <c r="G1678" s="2" t="s">
        <v>29</v>
      </c>
      <c r="H1678" s="2" t="n">
        <v>1677</v>
      </c>
      <c r="I1678" s="2" t="s">
        <v>39</v>
      </c>
      <c r="J1678" s="2" t="n">
        <v>1</v>
      </c>
      <c r="K1678" s="2" t="s">
        <v>40</v>
      </c>
      <c r="L1678" s="2" t="s">
        <v>37</v>
      </c>
      <c r="M1678" s="2" t="n">
        <v>41930</v>
      </c>
      <c r="N1678" s="2" t="n">
        <v>4</v>
      </c>
      <c r="O1678" s="2" t="n">
        <v>16</v>
      </c>
      <c r="P1678" s="2" t="n">
        <v>1</v>
      </c>
      <c r="Q1678" s="2" t="n">
        <v>12</v>
      </c>
      <c r="R1678" s="2" t="n">
        <v>5</v>
      </c>
      <c r="S1678" s="2" t="n">
        <v>6</v>
      </c>
      <c r="T1678" s="2" t="n">
        <v>1</v>
      </c>
      <c r="U1678" s="2" t="n">
        <v>2</v>
      </c>
      <c r="V1678" s="2" t="n">
        <v>2</v>
      </c>
      <c r="W1678" s="2" t="n">
        <v>4</v>
      </c>
      <c r="X1678" s="2" t="n">
        <v>4</v>
      </c>
      <c r="Y1678" s="2" t="n">
        <v>3</v>
      </c>
      <c r="Z1678" s="2" t="n">
        <v>3</v>
      </c>
    </row>
    <row r="1679" customFormat="false" ht="15" hidden="false" customHeight="true" outlineLevel="0" collapsed="false">
      <c r="A1679" s="2" t="n">
        <v>46</v>
      </c>
      <c r="B1679" s="2" t="s">
        <v>26</v>
      </c>
      <c r="C1679" s="2" t="s">
        <v>34</v>
      </c>
      <c r="D1679" s="2" t="s">
        <v>35</v>
      </c>
      <c r="E1679" s="2" t="n">
        <v>4</v>
      </c>
      <c r="F1679" s="2" t="n">
        <v>1</v>
      </c>
      <c r="G1679" s="2" t="s">
        <v>43</v>
      </c>
      <c r="H1679" s="2" t="n">
        <v>1678</v>
      </c>
      <c r="I1679" s="2" t="s">
        <v>39</v>
      </c>
      <c r="J1679" s="2" t="n">
        <v>5</v>
      </c>
      <c r="K1679" s="2" t="s">
        <v>42</v>
      </c>
      <c r="L1679" s="2" t="s">
        <v>32</v>
      </c>
      <c r="M1679" s="2" t="n">
        <v>29110</v>
      </c>
      <c r="N1679" s="2" t="n">
        <v>5</v>
      </c>
      <c r="O1679" s="2" t="n">
        <v>13</v>
      </c>
      <c r="P1679" s="2" t="n">
        <v>0</v>
      </c>
      <c r="Q1679" s="2" t="n">
        <v>28</v>
      </c>
      <c r="R1679" s="2" t="n">
        <v>3</v>
      </c>
      <c r="S1679" s="2" t="n">
        <v>2</v>
      </c>
      <c r="T1679" s="2" t="n">
        <v>1</v>
      </c>
      <c r="U1679" s="2" t="n">
        <v>2</v>
      </c>
      <c r="V1679" s="2" t="n">
        <v>1</v>
      </c>
      <c r="W1679" s="2" t="n">
        <v>3</v>
      </c>
      <c r="X1679" s="2" t="n">
        <v>2</v>
      </c>
      <c r="Y1679" s="2" t="n">
        <v>3</v>
      </c>
      <c r="Z1679" s="2" t="n">
        <v>3</v>
      </c>
    </row>
    <row r="1680" customFormat="false" ht="15" hidden="false" customHeight="true" outlineLevel="0" collapsed="false">
      <c r="A1680" s="2" t="n">
        <v>41</v>
      </c>
      <c r="B1680" s="2" t="s">
        <v>26</v>
      </c>
      <c r="C1680" s="2" t="s">
        <v>27</v>
      </c>
      <c r="D1680" s="2" t="s">
        <v>35</v>
      </c>
      <c r="E1680" s="2" t="n">
        <v>24</v>
      </c>
      <c r="F1680" s="2" t="n">
        <v>1</v>
      </c>
      <c r="G1680" s="2" t="s">
        <v>29</v>
      </c>
      <c r="H1680" s="2" t="n">
        <v>1679</v>
      </c>
      <c r="I1680" s="2" t="s">
        <v>39</v>
      </c>
      <c r="J1680" s="2" t="n">
        <v>1</v>
      </c>
      <c r="K1680" s="2" t="s">
        <v>44</v>
      </c>
      <c r="L1680" s="2" t="s">
        <v>32</v>
      </c>
      <c r="M1680" s="2" t="n">
        <v>26610</v>
      </c>
      <c r="N1680" s="2" t="n">
        <v>7</v>
      </c>
      <c r="O1680" s="2" t="n">
        <v>14</v>
      </c>
      <c r="P1680" s="2" t="n">
        <v>1</v>
      </c>
      <c r="Q1680" s="2" t="n">
        <v>22</v>
      </c>
      <c r="R1680" s="2" t="n">
        <v>2</v>
      </c>
      <c r="S1680" s="2" t="n">
        <v>18</v>
      </c>
      <c r="T1680" s="2" t="n">
        <v>11</v>
      </c>
      <c r="U1680" s="2" t="n">
        <v>8</v>
      </c>
      <c r="V1680" s="2" t="n">
        <v>2</v>
      </c>
      <c r="W1680" s="2"/>
      <c r="X1680" s="2" t="n">
        <v>3</v>
      </c>
      <c r="Y1680" s="2" t="n">
        <v>3</v>
      </c>
      <c r="Z1680" s="2" t="n">
        <v>3</v>
      </c>
    </row>
    <row r="1681" customFormat="false" ht="15" hidden="false" customHeight="true" outlineLevel="0" collapsed="false">
      <c r="A1681" s="2" t="n">
        <v>37</v>
      </c>
      <c r="B1681" s="2" t="s">
        <v>26</v>
      </c>
      <c r="C1681" s="2" t="s">
        <v>41</v>
      </c>
      <c r="D1681" s="2" t="s">
        <v>35</v>
      </c>
      <c r="E1681" s="2" t="n">
        <v>7</v>
      </c>
      <c r="F1681" s="2" t="n">
        <v>2</v>
      </c>
      <c r="G1681" s="2" t="s">
        <v>43</v>
      </c>
      <c r="H1681" s="2" t="n">
        <v>1680</v>
      </c>
      <c r="I1681" s="2" t="s">
        <v>39</v>
      </c>
      <c r="J1681" s="2" t="n">
        <v>1</v>
      </c>
      <c r="K1681" s="2" t="s">
        <v>40</v>
      </c>
      <c r="L1681" s="2" t="s">
        <v>46</v>
      </c>
      <c r="M1681" s="2" t="n">
        <v>20280</v>
      </c>
      <c r="N1681" s="2" t="n">
        <v>1</v>
      </c>
      <c r="O1681" s="2" t="n">
        <v>16</v>
      </c>
      <c r="P1681" s="2" t="n">
        <v>1</v>
      </c>
      <c r="Q1681" s="2" t="n">
        <v>9</v>
      </c>
      <c r="R1681" s="2" t="n">
        <v>3</v>
      </c>
      <c r="S1681" s="2" t="n">
        <v>9</v>
      </c>
      <c r="T1681" s="2" t="n">
        <v>7</v>
      </c>
      <c r="U1681" s="2" t="n">
        <v>7</v>
      </c>
      <c r="V1681" s="2" t="n">
        <v>1</v>
      </c>
      <c r="W1681" s="2" t="n">
        <v>2</v>
      </c>
      <c r="X1681" s="2" t="n">
        <v>3</v>
      </c>
      <c r="Y1681" s="2" t="n">
        <v>3</v>
      </c>
      <c r="Z1681" s="2" t="n">
        <v>3</v>
      </c>
    </row>
    <row r="1682" customFormat="false" ht="15" hidden="false" customHeight="true" outlineLevel="0" collapsed="false">
      <c r="A1682" s="2" t="n">
        <v>52</v>
      </c>
      <c r="B1682" s="2" t="s">
        <v>26</v>
      </c>
      <c r="C1682" s="2" t="s">
        <v>27</v>
      </c>
      <c r="D1682" s="2" t="s">
        <v>28</v>
      </c>
      <c r="E1682" s="2" t="n">
        <v>2</v>
      </c>
      <c r="F1682" s="2" t="n">
        <v>1</v>
      </c>
      <c r="G1682" s="2" t="s">
        <v>43</v>
      </c>
      <c r="H1682" s="2" t="n">
        <v>1681</v>
      </c>
      <c r="I1682" s="2" t="s">
        <v>39</v>
      </c>
      <c r="J1682" s="2" t="n">
        <v>1</v>
      </c>
      <c r="K1682" s="2" t="s">
        <v>45</v>
      </c>
      <c r="L1682" s="2" t="s">
        <v>46</v>
      </c>
      <c r="M1682" s="2" t="n">
        <v>99800</v>
      </c>
      <c r="N1682" s="2" t="n">
        <v>3</v>
      </c>
      <c r="O1682" s="2" t="n">
        <v>11</v>
      </c>
      <c r="P1682" s="2" t="n">
        <v>1</v>
      </c>
      <c r="Q1682" s="2" t="n">
        <v>18</v>
      </c>
      <c r="R1682" s="2" t="n">
        <v>2</v>
      </c>
      <c r="S1682" s="2" t="n">
        <v>10</v>
      </c>
      <c r="T1682" s="2" t="n">
        <v>6</v>
      </c>
      <c r="U1682" s="2" t="n">
        <v>9</v>
      </c>
      <c r="V1682" s="2" t="n">
        <v>4</v>
      </c>
      <c r="W1682" s="2" t="n">
        <v>1</v>
      </c>
      <c r="X1682" s="2" t="n">
        <v>3</v>
      </c>
      <c r="Y1682" s="2" t="n">
        <v>3</v>
      </c>
      <c r="Z1682" s="2" t="n">
        <v>3</v>
      </c>
    </row>
    <row r="1683" customFormat="false" ht="15" hidden="false" customHeight="true" outlineLevel="0" collapsed="false">
      <c r="A1683" s="2" t="n">
        <v>32</v>
      </c>
      <c r="B1683" s="2" t="s">
        <v>33</v>
      </c>
      <c r="C1683" s="2" t="s">
        <v>41</v>
      </c>
      <c r="D1683" s="2" t="s">
        <v>35</v>
      </c>
      <c r="E1683" s="2" t="n">
        <v>7</v>
      </c>
      <c r="F1683" s="2" t="n">
        <v>2</v>
      </c>
      <c r="G1683" s="2" t="s">
        <v>29</v>
      </c>
      <c r="H1683" s="2" t="n">
        <v>1682</v>
      </c>
      <c r="I1683" s="2" t="s">
        <v>30</v>
      </c>
      <c r="J1683" s="2" t="n">
        <v>2</v>
      </c>
      <c r="K1683" s="2" t="s">
        <v>44</v>
      </c>
      <c r="L1683" s="2" t="s">
        <v>32</v>
      </c>
      <c r="M1683" s="2" t="n">
        <v>32980</v>
      </c>
      <c r="N1683" s="2" t="n">
        <v>8</v>
      </c>
      <c r="O1683" s="2" t="n">
        <v>22</v>
      </c>
      <c r="P1683" s="2" t="n">
        <v>0</v>
      </c>
      <c r="Q1683" s="2" t="n">
        <v>6</v>
      </c>
      <c r="R1683" s="2" t="n">
        <v>4</v>
      </c>
      <c r="S1683" s="2" t="n">
        <v>4</v>
      </c>
      <c r="T1683" s="2" t="n">
        <v>1</v>
      </c>
      <c r="U1683" s="2" t="n">
        <v>2</v>
      </c>
      <c r="V1683" s="2" t="n">
        <v>4</v>
      </c>
      <c r="W1683" s="2" t="n">
        <v>3</v>
      </c>
      <c r="X1683" s="2" t="n">
        <v>3</v>
      </c>
      <c r="Y1683" s="2" t="n">
        <v>2</v>
      </c>
      <c r="Z1683" s="2" t="n">
        <v>4</v>
      </c>
    </row>
    <row r="1684" customFormat="false" ht="15" hidden="false" customHeight="true" outlineLevel="0" collapsed="false">
      <c r="A1684" s="2" t="n">
        <v>24</v>
      </c>
      <c r="B1684" s="2" t="s">
        <v>26</v>
      </c>
      <c r="C1684" s="2" t="s">
        <v>34</v>
      </c>
      <c r="D1684" s="2" t="s">
        <v>28</v>
      </c>
      <c r="E1684" s="2" t="n">
        <v>22</v>
      </c>
      <c r="F1684" s="2" t="n">
        <v>3</v>
      </c>
      <c r="G1684" s="2" t="s">
        <v>29</v>
      </c>
      <c r="H1684" s="2" t="n">
        <v>1683</v>
      </c>
      <c r="I1684" s="2" t="s">
        <v>30</v>
      </c>
      <c r="J1684" s="2" t="n">
        <v>1</v>
      </c>
      <c r="K1684" s="2" t="s">
        <v>31</v>
      </c>
      <c r="L1684" s="2" t="s">
        <v>32</v>
      </c>
      <c r="M1684" s="2" t="n">
        <v>29350</v>
      </c>
      <c r="N1684" s="2" t="n">
        <v>0</v>
      </c>
      <c r="O1684" s="2" t="n">
        <v>14</v>
      </c>
      <c r="P1684" s="2" t="n">
        <v>2</v>
      </c>
      <c r="Q1684" s="2" t="n">
        <v>3</v>
      </c>
      <c r="R1684" s="2" t="n">
        <v>5</v>
      </c>
      <c r="S1684" s="2" t="n">
        <v>2</v>
      </c>
      <c r="T1684" s="2" t="n">
        <v>2</v>
      </c>
      <c r="U1684" s="2" t="n">
        <v>1</v>
      </c>
      <c r="V1684" s="2" t="n">
        <v>4</v>
      </c>
      <c r="W1684" s="2" t="n">
        <v>4</v>
      </c>
      <c r="X1684" s="2" t="n">
        <v>3</v>
      </c>
      <c r="Y1684" s="2" t="n">
        <v>2</v>
      </c>
      <c r="Z1684" s="2" t="n">
        <v>3</v>
      </c>
    </row>
    <row r="1685" customFormat="false" ht="15" hidden="false" customHeight="true" outlineLevel="0" collapsed="false">
      <c r="A1685" s="2" t="n">
        <v>38</v>
      </c>
      <c r="B1685" s="2" t="s">
        <v>26</v>
      </c>
      <c r="C1685" s="2" t="s">
        <v>27</v>
      </c>
      <c r="D1685" s="2" t="s">
        <v>35</v>
      </c>
      <c r="E1685" s="2" t="n">
        <v>5</v>
      </c>
      <c r="F1685" s="2" t="n">
        <v>3</v>
      </c>
      <c r="G1685" s="2" t="s">
        <v>29</v>
      </c>
      <c r="H1685" s="2" t="n">
        <v>1684</v>
      </c>
      <c r="I1685" s="2" t="s">
        <v>30</v>
      </c>
      <c r="J1685" s="2" t="n">
        <v>1</v>
      </c>
      <c r="K1685" s="2" t="s">
        <v>36</v>
      </c>
      <c r="L1685" s="2" t="s">
        <v>32</v>
      </c>
      <c r="M1685" s="2" t="n">
        <v>154270</v>
      </c>
      <c r="N1685" s="2" t="n">
        <v>3</v>
      </c>
      <c r="O1685" s="2" t="n">
        <v>16</v>
      </c>
      <c r="P1685" s="2" t="n">
        <v>1</v>
      </c>
      <c r="Q1685" s="2" t="n">
        <v>18</v>
      </c>
      <c r="R1685" s="2" t="n">
        <v>2</v>
      </c>
      <c r="S1685" s="2" t="n">
        <v>1</v>
      </c>
      <c r="T1685" s="2" t="n">
        <v>0</v>
      </c>
      <c r="U1685" s="2" t="n">
        <v>0</v>
      </c>
      <c r="V1685" s="2" t="n">
        <v>3</v>
      </c>
      <c r="W1685" s="2" t="n">
        <v>3</v>
      </c>
      <c r="X1685" s="2" t="n">
        <v>3</v>
      </c>
      <c r="Y1685" s="2" t="n">
        <v>3</v>
      </c>
      <c r="Z1685" s="2" t="n">
        <v>3</v>
      </c>
    </row>
    <row r="1686" customFormat="false" ht="15" hidden="false" customHeight="true" outlineLevel="0" collapsed="false">
      <c r="A1686" s="2" t="n">
        <v>37</v>
      </c>
      <c r="B1686" s="2" t="s">
        <v>26</v>
      </c>
      <c r="C1686" s="2" t="s">
        <v>27</v>
      </c>
      <c r="D1686" s="2" t="s">
        <v>35</v>
      </c>
      <c r="E1686" s="2" t="n">
        <v>1</v>
      </c>
      <c r="F1686" s="2" t="n">
        <v>4</v>
      </c>
      <c r="G1686" s="2" t="s">
        <v>51</v>
      </c>
      <c r="H1686" s="2" t="n">
        <v>1685</v>
      </c>
      <c r="I1686" s="2" t="s">
        <v>30</v>
      </c>
      <c r="J1686" s="2" t="n">
        <v>5</v>
      </c>
      <c r="K1686" s="2" t="s">
        <v>36</v>
      </c>
      <c r="L1686" s="2" t="s">
        <v>32</v>
      </c>
      <c r="M1686" s="2" t="n">
        <v>39440</v>
      </c>
      <c r="N1686" s="2" t="n">
        <v>6</v>
      </c>
      <c r="O1686" s="2" t="n">
        <v>11</v>
      </c>
      <c r="P1686" s="2" t="n">
        <v>2</v>
      </c>
      <c r="Q1686" s="2" t="n">
        <v>8</v>
      </c>
      <c r="R1686" s="2" t="n">
        <v>3</v>
      </c>
      <c r="S1686" s="2" t="n">
        <v>6</v>
      </c>
      <c r="T1686" s="2" t="n">
        <v>4</v>
      </c>
      <c r="U1686" s="2" t="n">
        <v>3</v>
      </c>
      <c r="V1686" s="2" t="n">
        <v>2</v>
      </c>
      <c r="W1686" s="2" t="n">
        <v>2</v>
      </c>
      <c r="X1686" s="2" t="n">
        <v>2</v>
      </c>
      <c r="Y1686" s="2" t="n">
        <v>3</v>
      </c>
      <c r="Z1686" s="2" t="n">
        <v>3</v>
      </c>
    </row>
    <row r="1687" customFormat="false" ht="15" hidden="false" customHeight="true" outlineLevel="0" collapsed="false">
      <c r="A1687" s="2" t="n">
        <v>49</v>
      </c>
      <c r="B1687" s="2" t="s">
        <v>26</v>
      </c>
      <c r="C1687" s="2" t="s">
        <v>27</v>
      </c>
      <c r="D1687" s="2" t="s">
        <v>28</v>
      </c>
      <c r="E1687" s="2" t="n">
        <v>21</v>
      </c>
      <c r="F1687" s="2" t="n">
        <v>1</v>
      </c>
      <c r="G1687" s="2" t="s">
        <v>29</v>
      </c>
      <c r="H1687" s="2" t="n">
        <v>1686</v>
      </c>
      <c r="I1687" s="2" t="s">
        <v>39</v>
      </c>
      <c r="J1687" s="2" t="n">
        <v>1</v>
      </c>
      <c r="K1687" s="2" t="s">
        <v>40</v>
      </c>
      <c r="L1687" s="2" t="s">
        <v>46</v>
      </c>
      <c r="M1687" s="2" t="n">
        <v>40110</v>
      </c>
      <c r="N1687" s="2" t="n">
        <v>1</v>
      </c>
      <c r="O1687" s="2" t="n">
        <v>18</v>
      </c>
      <c r="P1687" s="2" t="n">
        <v>2</v>
      </c>
      <c r="Q1687" s="2" t="n">
        <v>31</v>
      </c>
      <c r="R1687" s="2" t="n">
        <v>2</v>
      </c>
      <c r="S1687" s="2" t="n">
        <v>31</v>
      </c>
      <c r="T1687" s="2" t="n">
        <v>0</v>
      </c>
      <c r="U1687" s="2" t="n">
        <v>9</v>
      </c>
      <c r="V1687" s="2" t="n">
        <v>4</v>
      </c>
      <c r="W1687" s="2" t="n">
        <v>3</v>
      </c>
      <c r="X1687" s="2" t="n">
        <v>3</v>
      </c>
      <c r="Y1687" s="2" t="n">
        <v>1</v>
      </c>
      <c r="Z1687" s="2" t="n">
        <v>3</v>
      </c>
    </row>
    <row r="1688" customFormat="false" ht="15" hidden="false" customHeight="true" outlineLevel="0" collapsed="false">
      <c r="A1688" s="2" t="n">
        <v>24</v>
      </c>
      <c r="B1688" s="2" t="s">
        <v>26</v>
      </c>
      <c r="C1688" s="2" t="s">
        <v>27</v>
      </c>
      <c r="D1688" s="2" t="s">
        <v>28</v>
      </c>
      <c r="E1688" s="2" t="n">
        <v>1</v>
      </c>
      <c r="F1688" s="2" t="n">
        <v>3</v>
      </c>
      <c r="G1688" s="2" t="s">
        <v>50</v>
      </c>
      <c r="H1688" s="2" t="n">
        <v>1687</v>
      </c>
      <c r="I1688" s="2" t="s">
        <v>30</v>
      </c>
      <c r="J1688" s="2" t="n">
        <v>1</v>
      </c>
      <c r="K1688" s="2" t="s">
        <v>40</v>
      </c>
      <c r="L1688" s="2" t="s">
        <v>32</v>
      </c>
      <c r="M1688" s="2" t="n">
        <v>34070</v>
      </c>
      <c r="N1688" s="2" t="n">
        <v>1</v>
      </c>
      <c r="O1688" s="2" t="n">
        <v>15</v>
      </c>
      <c r="P1688" s="2" t="n">
        <v>2</v>
      </c>
      <c r="Q1688" s="2" t="n">
        <v>6</v>
      </c>
      <c r="R1688" s="2" t="n">
        <v>2</v>
      </c>
      <c r="S1688" s="2" t="n">
        <v>6</v>
      </c>
      <c r="T1688" s="2" t="n">
        <v>1</v>
      </c>
      <c r="U1688" s="2" t="n">
        <v>4</v>
      </c>
      <c r="V1688" s="2" t="n">
        <v>2</v>
      </c>
      <c r="W1688" s="2" t="n">
        <v>4</v>
      </c>
      <c r="X1688" s="2" t="n">
        <v>3</v>
      </c>
      <c r="Y1688" s="2" t="n">
        <v>2</v>
      </c>
      <c r="Z1688" s="2" t="n">
        <v>3</v>
      </c>
    </row>
    <row r="1689" customFormat="false" ht="15" hidden="false" customHeight="true" outlineLevel="0" collapsed="false">
      <c r="A1689" s="2" t="n">
        <v>26</v>
      </c>
      <c r="B1689" s="2" t="s">
        <v>26</v>
      </c>
      <c r="C1689" s="2" t="s">
        <v>27</v>
      </c>
      <c r="D1689" s="2" t="s">
        <v>35</v>
      </c>
      <c r="E1689" s="2" t="n">
        <v>19</v>
      </c>
      <c r="F1689" s="2" t="n">
        <v>4</v>
      </c>
      <c r="G1689" s="2" t="s">
        <v>51</v>
      </c>
      <c r="H1689" s="2" t="n">
        <v>1688</v>
      </c>
      <c r="I1689" s="2" t="s">
        <v>30</v>
      </c>
      <c r="J1689" s="2" t="n">
        <v>4</v>
      </c>
      <c r="K1689" s="2" t="s">
        <v>40</v>
      </c>
      <c r="L1689" s="2" t="s">
        <v>32</v>
      </c>
      <c r="M1689" s="2" t="n">
        <v>119940</v>
      </c>
      <c r="N1689" s="2" t="n">
        <v>1</v>
      </c>
      <c r="O1689" s="2" t="n">
        <v>14</v>
      </c>
      <c r="P1689" s="2" t="n">
        <v>1</v>
      </c>
      <c r="Q1689" s="2" t="n">
        <v>6</v>
      </c>
      <c r="R1689" s="2" t="n">
        <v>6</v>
      </c>
      <c r="S1689" s="2" t="n">
        <v>5</v>
      </c>
      <c r="T1689" s="2" t="n">
        <v>1</v>
      </c>
      <c r="U1689" s="2" t="n">
        <v>4</v>
      </c>
      <c r="V1689" s="2" t="n">
        <v>1</v>
      </c>
      <c r="W1689" s="2" t="n">
        <v>2</v>
      </c>
      <c r="X1689" s="2" t="n">
        <v>4</v>
      </c>
      <c r="Y1689" s="2" t="n">
        <v>3</v>
      </c>
      <c r="Z1689" s="2" t="n">
        <v>3</v>
      </c>
    </row>
    <row r="1690" customFormat="false" ht="15" hidden="false" customHeight="true" outlineLevel="0" collapsed="false">
      <c r="A1690" s="2" t="n">
        <v>24</v>
      </c>
      <c r="B1690" s="2" t="s">
        <v>26</v>
      </c>
      <c r="C1690" s="2" t="s">
        <v>27</v>
      </c>
      <c r="D1690" s="2" t="s">
        <v>28</v>
      </c>
      <c r="E1690" s="2" t="n">
        <v>7</v>
      </c>
      <c r="F1690" s="2" t="n">
        <v>3</v>
      </c>
      <c r="G1690" s="2" t="s">
        <v>43</v>
      </c>
      <c r="H1690" s="2" t="n">
        <v>1689</v>
      </c>
      <c r="I1690" s="2" t="s">
        <v>30</v>
      </c>
      <c r="J1690" s="2" t="n">
        <v>1</v>
      </c>
      <c r="K1690" s="2" t="s">
        <v>45</v>
      </c>
      <c r="L1690" s="2" t="s">
        <v>32</v>
      </c>
      <c r="M1690" s="2" t="n">
        <v>12320</v>
      </c>
      <c r="N1690" s="2" t="n">
        <v>1</v>
      </c>
      <c r="O1690" s="2" t="n">
        <v>12</v>
      </c>
      <c r="P1690" s="2" t="n">
        <v>0</v>
      </c>
      <c r="Q1690" s="2" t="n">
        <v>1</v>
      </c>
      <c r="R1690" s="2" t="n">
        <v>4</v>
      </c>
      <c r="S1690" s="2" t="n">
        <v>1</v>
      </c>
      <c r="T1690" s="2" t="n">
        <v>0</v>
      </c>
      <c r="U1690" s="2" t="n">
        <v>0</v>
      </c>
      <c r="V1690" s="2" t="n">
        <v>4</v>
      </c>
      <c r="W1690" s="2" t="n">
        <v>2</v>
      </c>
      <c r="X1690" s="2" t="n">
        <v>3</v>
      </c>
      <c r="Y1690" s="2" t="n">
        <v>1</v>
      </c>
      <c r="Z1690" s="2" t="n">
        <v>3</v>
      </c>
    </row>
    <row r="1691" customFormat="false" ht="15" hidden="false" customHeight="true" outlineLevel="0" collapsed="false">
      <c r="A1691" s="2" t="n">
        <v>50</v>
      </c>
      <c r="B1691" s="2" t="s">
        <v>26</v>
      </c>
      <c r="C1691" s="2" t="s">
        <v>34</v>
      </c>
      <c r="D1691" s="2" t="s">
        <v>28</v>
      </c>
      <c r="E1691" s="2" t="n">
        <v>2</v>
      </c>
      <c r="F1691" s="2" t="n">
        <v>2</v>
      </c>
      <c r="G1691" s="2" t="s">
        <v>50</v>
      </c>
      <c r="H1691" s="2" t="n">
        <v>1690</v>
      </c>
      <c r="I1691" s="2" t="s">
        <v>39</v>
      </c>
      <c r="J1691" s="2" t="n">
        <v>1</v>
      </c>
      <c r="K1691" s="2" t="s">
        <v>40</v>
      </c>
      <c r="L1691" s="2" t="s">
        <v>32</v>
      </c>
      <c r="M1691" s="2" t="n">
        <v>29600</v>
      </c>
      <c r="N1691" s="2" t="n">
        <v>1</v>
      </c>
      <c r="O1691" s="2" t="n">
        <v>14</v>
      </c>
      <c r="P1691" s="2" t="n">
        <v>3</v>
      </c>
      <c r="Q1691" s="2" t="n">
        <v>32</v>
      </c>
      <c r="R1691" s="2" t="n">
        <v>2</v>
      </c>
      <c r="S1691" s="2" t="n">
        <v>32</v>
      </c>
      <c r="T1691" s="2" t="n">
        <v>10</v>
      </c>
      <c r="U1691" s="2" t="n">
        <v>7</v>
      </c>
      <c r="V1691" s="2" t="n">
        <v>1</v>
      </c>
      <c r="W1691" s="2" t="n">
        <v>2</v>
      </c>
      <c r="X1691" s="2" t="n">
        <v>3</v>
      </c>
      <c r="Y1691" s="2" t="n">
        <v>3</v>
      </c>
      <c r="Z1691" s="2" t="n">
        <v>3</v>
      </c>
    </row>
    <row r="1692" customFormat="false" ht="15" hidden="false" customHeight="true" outlineLevel="0" collapsed="false">
      <c r="A1692" s="2" t="n">
        <v>25</v>
      </c>
      <c r="B1692" s="2" t="s">
        <v>26</v>
      </c>
      <c r="C1692" s="2" t="s">
        <v>27</v>
      </c>
      <c r="D1692" s="2" t="s">
        <v>35</v>
      </c>
      <c r="E1692" s="2" t="n">
        <v>2</v>
      </c>
      <c r="F1692" s="2" t="n">
        <v>3</v>
      </c>
      <c r="G1692" s="2" t="s">
        <v>29</v>
      </c>
      <c r="H1692" s="2" t="n">
        <v>1691</v>
      </c>
      <c r="I1692" s="2" t="s">
        <v>39</v>
      </c>
      <c r="J1692" s="2" t="n">
        <v>1</v>
      </c>
      <c r="K1692" s="2" t="s">
        <v>36</v>
      </c>
      <c r="L1692" s="2" t="s">
        <v>32</v>
      </c>
      <c r="M1692" s="2" t="n">
        <v>190940</v>
      </c>
      <c r="N1692" s="2" t="n">
        <v>1</v>
      </c>
      <c r="O1692" s="2" t="n">
        <v>16</v>
      </c>
      <c r="P1692" s="2" t="n">
        <v>0</v>
      </c>
      <c r="Q1692" s="2" t="n">
        <v>7</v>
      </c>
      <c r="R1692" s="2" t="n">
        <v>3</v>
      </c>
      <c r="S1692" s="2" t="n">
        <v>7</v>
      </c>
      <c r="T1692" s="2" t="n">
        <v>0</v>
      </c>
      <c r="U1692" s="2" t="n">
        <v>6</v>
      </c>
      <c r="V1692" s="2" t="n">
        <v>2</v>
      </c>
      <c r="W1692" s="2" t="n">
        <v>3</v>
      </c>
      <c r="X1692" s="2" t="n">
        <v>3</v>
      </c>
      <c r="Y1692" s="2" t="n">
        <v>2</v>
      </c>
      <c r="Z1692" s="2" t="n">
        <v>3</v>
      </c>
    </row>
    <row r="1693" customFormat="false" ht="15" hidden="false" customHeight="true" outlineLevel="0" collapsed="false">
      <c r="A1693" s="2" t="n">
        <v>24</v>
      </c>
      <c r="B1693" s="2" t="s">
        <v>33</v>
      </c>
      <c r="C1693" s="2" t="s">
        <v>34</v>
      </c>
      <c r="D1693" s="2" t="s">
        <v>35</v>
      </c>
      <c r="E1693" s="2" t="n">
        <v>2</v>
      </c>
      <c r="F1693" s="2" t="n">
        <v>3</v>
      </c>
      <c r="G1693" s="2" t="s">
        <v>43</v>
      </c>
      <c r="H1693" s="2" t="n">
        <v>1692</v>
      </c>
      <c r="I1693" s="2" t="s">
        <v>39</v>
      </c>
      <c r="J1693" s="2" t="n">
        <v>2</v>
      </c>
      <c r="K1693" s="2" t="s">
        <v>36</v>
      </c>
      <c r="L1693" s="2" t="s">
        <v>32</v>
      </c>
      <c r="M1693" s="2" t="n">
        <v>39190</v>
      </c>
      <c r="N1693" s="2" t="n">
        <v>1</v>
      </c>
      <c r="O1693" s="2" t="n">
        <v>21</v>
      </c>
      <c r="P1693" s="2" t="n">
        <v>0</v>
      </c>
      <c r="Q1693" s="2" t="n">
        <v>6</v>
      </c>
      <c r="R1693" s="2" t="n">
        <v>3</v>
      </c>
      <c r="S1693" s="2" t="n">
        <v>6</v>
      </c>
      <c r="T1693" s="2" t="n">
        <v>1</v>
      </c>
      <c r="U1693" s="2" t="n">
        <v>2</v>
      </c>
      <c r="V1693" s="2" t="n">
        <v>1</v>
      </c>
      <c r="W1693" s="2" t="n">
        <v>3</v>
      </c>
      <c r="X1693" s="2" t="n">
        <v>3</v>
      </c>
      <c r="Y1693" s="2" t="n">
        <v>3</v>
      </c>
      <c r="Z1693" s="2" t="n">
        <v>4</v>
      </c>
    </row>
    <row r="1694" customFormat="false" ht="15" hidden="false" customHeight="true" outlineLevel="0" collapsed="false">
      <c r="A1694" s="2" t="n">
        <v>30</v>
      </c>
      <c r="B1694" s="2" t="s">
        <v>33</v>
      </c>
      <c r="C1694" s="2" t="s">
        <v>34</v>
      </c>
      <c r="D1694" s="2" t="s">
        <v>35</v>
      </c>
      <c r="E1694" s="2" t="n">
        <v>9</v>
      </c>
      <c r="F1694" s="2" t="n">
        <v>3</v>
      </c>
      <c r="G1694" s="2" t="s">
        <v>38</v>
      </c>
      <c r="H1694" s="2" t="n">
        <v>1693</v>
      </c>
      <c r="I1694" s="2" t="s">
        <v>39</v>
      </c>
      <c r="J1694" s="2" t="n">
        <v>2</v>
      </c>
      <c r="K1694" s="2" t="s">
        <v>31</v>
      </c>
      <c r="L1694" s="2" t="s">
        <v>32</v>
      </c>
      <c r="M1694" s="2" t="n">
        <v>68250</v>
      </c>
      <c r="N1694" s="2" t="n">
        <v>1</v>
      </c>
      <c r="O1694" s="2" t="n">
        <v>14</v>
      </c>
      <c r="P1694" s="2" t="n">
        <v>0</v>
      </c>
      <c r="Q1694" s="2" t="n">
        <v>1</v>
      </c>
      <c r="R1694" s="2" t="n">
        <v>2</v>
      </c>
      <c r="S1694" s="2" t="n">
        <v>1</v>
      </c>
      <c r="T1694" s="2" t="n">
        <v>0</v>
      </c>
      <c r="U1694" s="2" t="n">
        <v>0</v>
      </c>
      <c r="V1694" s="2" t="n">
        <v>2</v>
      </c>
      <c r="W1694" s="2" t="n">
        <v>1</v>
      </c>
      <c r="X1694" s="2" t="n">
        <v>4</v>
      </c>
      <c r="Y1694" s="2" t="n">
        <v>3</v>
      </c>
      <c r="Z1694" s="2" t="n">
        <v>3</v>
      </c>
    </row>
    <row r="1695" customFormat="false" ht="15" hidden="false" customHeight="true" outlineLevel="0" collapsed="false">
      <c r="A1695" s="2" t="n">
        <v>34</v>
      </c>
      <c r="B1695" s="2" t="s">
        <v>26</v>
      </c>
      <c r="C1695" s="2" t="s">
        <v>27</v>
      </c>
      <c r="D1695" s="2" t="s">
        <v>28</v>
      </c>
      <c r="E1695" s="2" t="n">
        <v>6</v>
      </c>
      <c r="F1695" s="2" t="n">
        <v>2</v>
      </c>
      <c r="G1695" s="2" t="s">
        <v>29</v>
      </c>
      <c r="H1695" s="2" t="n">
        <v>1694</v>
      </c>
      <c r="I1695" s="2" t="s">
        <v>39</v>
      </c>
      <c r="J1695" s="2" t="n">
        <v>4</v>
      </c>
      <c r="K1695" s="2" t="s">
        <v>44</v>
      </c>
      <c r="L1695" s="2" t="s">
        <v>32</v>
      </c>
      <c r="M1695" s="2" t="n">
        <v>102480</v>
      </c>
      <c r="N1695" s="2" t="n">
        <v>1</v>
      </c>
      <c r="O1695" s="2" t="n">
        <v>12</v>
      </c>
      <c r="P1695" s="2" t="n">
        <v>1</v>
      </c>
      <c r="Q1695" s="2" t="n">
        <v>6</v>
      </c>
      <c r="R1695" s="2" t="n">
        <v>4</v>
      </c>
      <c r="S1695" s="2" t="n">
        <v>6</v>
      </c>
      <c r="T1695" s="2" t="n">
        <v>1</v>
      </c>
      <c r="U1695" s="2" t="n">
        <v>3</v>
      </c>
      <c r="V1695" s="2" t="n">
        <v>2</v>
      </c>
      <c r="W1695" s="2" t="n">
        <v>4</v>
      </c>
      <c r="X1695" s="2" t="n">
        <v>3</v>
      </c>
      <c r="Y1695" s="2" t="n">
        <v>3</v>
      </c>
      <c r="Z1695" s="2" t="n">
        <v>3</v>
      </c>
    </row>
    <row r="1696" customFormat="false" ht="15" hidden="false" customHeight="true" outlineLevel="0" collapsed="false">
      <c r="A1696" s="2" t="n">
        <v>31</v>
      </c>
      <c r="B1696" s="2" t="s">
        <v>33</v>
      </c>
      <c r="C1696" s="2" t="s">
        <v>27</v>
      </c>
      <c r="D1696" s="2" t="s">
        <v>35</v>
      </c>
      <c r="E1696" s="2" t="n">
        <v>9</v>
      </c>
      <c r="F1696" s="2" t="n">
        <v>1</v>
      </c>
      <c r="G1696" s="2" t="s">
        <v>43</v>
      </c>
      <c r="H1696" s="2" t="n">
        <v>1695</v>
      </c>
      <c r="I1696" s="2" t="s">
        <v>30</v>
      </c>
      <c r="J1696" s="2" t="n">
        <v>1</v>
      </c>
      <c r="K1696" s="2" t="s">
        <v>48</v>
      </c>
      <c r="L1696" s="2" t="s">
        <v>46</v>
      </c>
      <c r="M1696" s="2" t="n">
        <v>189470</v>
      </c>
      <c r="N1696" s="2" t="n">
        <v>2</v>
      </c>
      <c r="O1696" s="2" t="n">
        <v>12</v>
      </c>
      <c r="P1696" s="2" t="n">
        <v>2</v>
      </c>
      <c r="Q1696" s="2" t="n">
        <v>9</v>
      </c>
      <c r="R1696" s="2" t="n">
        <v>2</v>
      </c>
      <c r="S1696" s="2" t="n">
        <v>3</v>
      </c>
      <c r="T1696" s="2" t="n">
        <v>1</v>
      </c>
      <c r="U1696" s="2" t="n">
        <v>2</v>
      </c>
      <c r="V1696" s="2" t="n">
        <v>2</v>
      </c>
      <c r="W1696" s="2" t="n">
        <v>1</v>
      </c>
      <c r="X1696" s="2" t="n">
        <v>1</v>
      </c>
      <c r="Y1696" s="2" t="n">
        <v>2</v>
      </c>
      <c r="Z1696" s="2" t="n">
        <v>3</v>
      </c>
    </row>
    <row r="1697" customFormat="false" ht="15" hidden="false" customHeight="true" outlineLevel="0" collapsed="false">
      <c r="A1697" s="2" t="n">
        <v>35</v>
      </c>
      <c r="B1697" s="2" t="s">
        <v>26</v>
      </c>
      <c r="C1697" s="2" t="s">
        <v>27</v>
      </c>
      <c r="D1697" s="2" t="s">
        <v>35</v>
      </c>
      <c r="E1697" s="2" t="n">
        <v>2</v>
      </c>
      <c r="F1697" s="2" t="n">
        <v>3</v>
      </c>
      <c r="G1697" s="2" t="s">
        <v>29</v>
      </c>
      <c r="H1697" s="2" t="n">
        <v>1696</v>
      </c>
      <c r="I1697" s="2" t="s">
        <v>30</v>
      </c>
      <c r="J1697" s="2" t="n">
        <v>5</v>
      </c>
      <c r="K1697" s="2" t="s">
        <v>40</v>
      </c>
      <c r="L1697" s="2" t="s">
        <v>37</v>
      </c>
      <c r="M1697" s="2" t="n">
        <v>24960</v>
      </c>
      <c r="N1697" s="2" t="n">
        <v>4</v>
      </c>
      <c r="O1697" s="2" t="n">
        <v>17</v>
      </c>
      <c r="P1697" s="2" t="n">
        <v>3</v>
      </c>
      <c r="Q1697" s="2" t="n">
        <v>9</v>
      </c>
      <c r="R1697" s="2" t="n">
        <v>3</v>
      </c>
      <c r="S1697" s="2" t="n">
        <v>3</v>
      </c>
      <c r="T1697" s="2" t="n">
        <v>0</v>
      </c>
      <c r="U1697" s="2" t="n">
        <v>2</v>
      </c>
      <c r="V1697" s="2" t="n">
        <v>1</v>
      </c>
      <c r="W1697" s="2" t="n">
        <v>4</v>
      </c>
      <c r="X1697" s="2" t="n">
        <v>3</v>
      </c>
      <c r="Y1697" s="2" t="n">
        <v>3</v>
      </c>
      <c r="Z1697" s="2" t="n">
        <v>3</v>
      </c>
    </row>
    <row r="1698" customFormat="false" ht="15" hidden="false" customHeight="true" outlineLevel="0" collapsed="false">
      <c r="A1698" s="2" t="n">
        <v>31</v>
      </c>
      <c r="B1698" s="2" t="s">
        <v>26</v>
      </c>
      <c r="C1698" s="2" t="s">
        <v>27</v>
      </c>
      <c r="D1698" s="2" t="s">
        <v>28</v>
      </c>
      <c r="E1698" s="2" t="n">
        <v>1</v>
      </c>
      <c r="F1698" s="2" t="n">
        <v>3</v>
      </c>
      <c r="G1698" s="2" t="s">
        <v>50</v>
      </c>
      <c r="H1698" s="2" t="n">
        <v>1697</v>
      </c>
      <c r="I1698" s="2" t="s">
        <v>30</v>
      </c>
      <c r="J1698" s="2" t="n">
        <v>2</v>
      </c>
      <c r="K1698" s="2" t="s">
        <v>40</v>
      </c>
      <c r="L1698" s="2" t="s">
        <v>46</v>
      </c>
      <c r="M1698" s="2" t="n">
        <v>64650</v>
      </c>
      <c r="N1698" s="2" t="n">
        <v>4</v>
      </c>
      <c r="O1698" s="2" t="n">
        <v>17</v>
      </c>
      <c r="P1698" s="2" t="n">
        <v>0</v>
      </c>
      <c r="Q1698" s="2" t="n">
        <v>13</v>
      </c>
      <c r="R1698" s="2" t="n">
        <v>3</v>
      </c>
      <c r="S1698" s="2" t="n">
        <v>7</v>
      </c>
      <c r="T1698" s="2" t="n">
        <v>5</v>
      </c>
      <c r="U1698" s="2" t="n">
        <v>7</v>
      </c>
      <c r="V1698" s="2" t="n">
        <v>1</v>
      </c>
      <c r="W1698" s="2" t="n">
        <v>4</v>
      </c>
      <c r="X1698" s="2" t="n">
        <v>4</v>
      </c>
      <c r="Y1698" s="2" t="n">
        <v>3</v>
      </c>
      <c r="Z1698" s="2" t="n">
        <v>3</v>
      </c>
    </row>
    <row r="1699" customFormat="false" ht="15" hidden="false" customHeight="true" outlineLevel="0" collapsed="false">
      <c r="A1699" s="2" t="n">
        <v>27</v>
      </c>
      <c r="B1699" s="2" t="s">
        <v>26</v>
      </c>
      <c r="C1699" s="2" t="s">
        <v>27</v>
      </c>
      <c r="D1699" s="2" t="s">
        <v>28</v>
      </c>
      <c r="E1699" s="2" t="n">
        <v>22</v>
      </c>
      <c r="F1699" s="2" t="n">
        <v>4</v>
      </c>
      <c r="G1699" s="2" t="s">
        <v>43</v>
      </c>
      <c r="H1699" s="2" t="n">
        <v>1698</v>
      </c>
      <c r="I1699" s="2" t="s">
        <v>39</v>
      </c>
      <c r="J1699" s="2" t="n">
        <v>1</v>
      </c>
      <c r="K1699" s="2" t="s">
        <v>48</v>
      </c>
      <c r="L1699" s="2" t="s">
        <v>46</v>
      </c>
      <c r="M1699" s="2" t="n">
        <v>22060</v>
      </c>
      <c r="N1699" s="2" t="n">
        <v>0</v>
      </c>
      <c r="O1699" s="2" t="n">
        <v>14</v>
      </c>
      <c r="P1699" s="2" t="n">
        <v>1</v>
      </c>
      <c r="Q1699" s="2" t="n">
        <v>6</v>
      </c>
      <c r="R1699" s="2" t="n">
        <v>4</v>
      </c>
      <c r="S1699" s="2" t="n">
        <v>5</v>
      </c>
      <c r="T1699" s="2" t="n">
        <v>0</v>
      </c>
      <c r="U1699" s="2" t="n">
        <v>3</v>
      </c>
      <c r="V1699" s="2" t="n">
        <v>1</v>
      </c>
      <c r="W1699" s="2" t="n">
        <v>3</v>
      </c>
      <c r="X1699" s="2" t="n">
        <v>2</v>
      </c>
      <c r="Y1699" s="2" t="n">
        <v>3</v>
      </c>
      <c r="Z1699" s="2" t="n">
        <v>3</v>
      </c>
    </row>
    <row r="1700" customFormat="false" ht="15" hidden="false" customHeight="true" outlineLevel="0" collapsed="false">
      <c r="A1700" s="2" t="n">
        <v>37</v>
      </c>
      <c r="B1700" s="2" t="s">
        <v>26</v>
      </c>
      <c r="C1700" s="2" t="s">
        <v>27</v>
      </c>
      <c r="D1700" s="2" t="s">
        <v>28</v>
      </c>
      <c r="E1700" s="2" t="n">
        <v>9</v>
      </c>
      <c r="F1700" s="2" t="n">
        <v>4</v>
      </c>
      <c r="G1700" s="2" t="s">
        <v>50</v>
      </c>
      <c r="H1700" s="2" t="n">
        <v>1699</v>
      </c>
      <c r="I1700" s="2" t="s">
        <v>30</v>
      </c>
      <c r="J1700" s="2" t="n">
        <v>2</v>
      </c>
      <c r="K1700" s="2" t="s">
        <v>45</v>
      </c>
      <c r="L1700" s="2" t="s">
        <v>32</v>
      </c>
      <c r="M1700" s="2" t="n">
        <v>20860</v>
      </c>
      <c r="N1700" s="2" t="n">
        <v>4</v>
      </c>
      <c r="O1700" s="2" t="n">
        <v>14</v>
      </c>
      <c r="P1700" s="2" t="n">
        <v>0</v>
      </c>
      <c r="Q1700" s="2" t="n">
        <v>17</v>
      </c>
      <c r="R1700" s="2" t="n">
        <v>3</v>
      </c>
      <c r="S1700" s="2" t="n">
        <v>3</v>
      </c>
      <c r="T1700" s="2" t="n">
        <v>1</v>
      </c>
      <c r="U1700" s="2" t="n">
        <v>0</v>
      </c>
      <c r="V1700" s="2" t="n">
        <v>4</v>
      </c>
      <c r="W1700" s="2" t="n">
        <v>3</v>
      </c>
      <c r="X1700" s="2" t="n">
        <v>2</v>
      </c>
      <c r="Y1700" s="2" t="n">
        <v>3</v>
      </c>
      <c r="Z1700" s="2" t="n">
        <v>3</v>
      </c>
    </row>
    <row r="1701" customFormat="false" ht="15" hidden="false" customHeight="true" outlineLevel="0" collapsed="false">
      <c r="A1701" s="2" t="n">
        <v>20</v>
      </c>
      <c r="B1701" s="2" t="s">
        <v>26</v>
      </c>
      <c r="C1701" s="2" t="s">
        <v>27</v>
      </c>
      <c r="D1701" s="2" t="s">
        <v>35</v>
      </c>
      <c r="E1701" s="2" t="n">
        <v>17</v>
      </c>
      <c r="F1701" s="2" t="n">
        <v>4</v>
      </c>
      <c r="G1701" s="2" t="s">
        <v>43</v>
      </c>
      <c r="H1701" s="2" t="n">
        <v>1700</v>
      </c>
      <c r="I1701" s="2" t="s">
        <v>30</v>
      </c>
      <c r="J1701" s="2" t="n">
        <v>1</v>
      </c>
      <c r="K1701" s="2" t="s">
        <v>48</v>
      </c>
      <c r="L1701" s="2" t="s">
        <v>37</v>
      </c>
      <c r="M1701" s="2" t="n">
        <v>22930</v>
      </c>
      <c r="N1701" s="2" t="n">
        <v>1</v>
      </c>
      <c r="O1701" s="2" t="n">
        <v>13</v>
      </c>
      <c r="P1701" s="2" t="n">
        <v>2</v>
      </c>
      <c r="Q1701" s="2" t="n">
        <v>1</v>
      </c>
      <c r="R1701" s="2" t="n">
        <v>3</v>
      </c>
      <c r="S1701" s="2" t="n">
        <v>1</v>
      </c>
      <c r="T1701" s="2" t="n">
        <v>0</v>
      </c>
      <c r="U1701" s="2" t="n">
        <v>0</v>
      </c>
      <c r="V1701" s="2" t="n">
        <v>4</v>
      </c>
      <c r="W1701" s="2" t="n">
        <v>2</v>
      </c>
      <c r="X1701" s="2" t="n">
        <v>4</v>
      </c>
      <c r="Y1701" s="2" t="n">
        <v>1</v>
      </c>
      <c r="Z1701" s="2" t="n">
        <v>3</v>
      </c>
    </row>
    <row r="1702" customFormat="false" ht="15" hidden="false" customHeight="true" outlineLevel="0" collapsed="false">
      <c r="A1702" s="2" t="n">
        <v>42</v>
      </c>
      <c r="B1702" s="2" t="s">
        <v>26</v>
      </c>
      <c r="C1702" s="2" t="s">
        <v>27</v>
      </c>
      <c r="D1702" s="2" t="s">
        <v>35</v>
      </c>
      <c r="E1702" s="2" t="n">
        <v>28</v>
      </c>
      <c r="F1702" s="2" t="n">
        <v>4</v>
      </c>
      <c r="G1702" s="2" t="s">
        <v>29</v>
      </c>
      <c r="H1702" s="2" t="n">
        <v>1701</v>
      </c>
      <c r="I1702" s="2" t="s">
        <v>30</v>
      </c>
      <c r="J1702" s="2" t="n">
        <v>2</v>
      </c>
      <c r="K1702" s="2" t="s">
        <v>47</v>
      </c>
      <c r="L1702" s="2" t="s">
        <v>32</v>
      </c>
      <c r="M1702" s="2" t="n">
        <v>26450</v>
      </c>
      <c r="N1702" s="2" t="n">
        <v>1</v>
      </c>
      <c r="O1702" s="2" t="n">
        <v>15</v>
      </c>
      <c r="P1702" s="2" t="n">
        <v>0</v>
      </c>
      <c r="Q1702" s="2" t="n">
        <v>10</v>
      </c>
      <c r="R1702" s="2" t="n">
        <v>5</v>
      </c>
      <c r="S1702" s="2" t="n">
        <v>10</v>
      </c>
      <c r="T1702" s="2" t="n">
        <v>2</v>
      </c>
      <c r="U1702" s="2" t="n">
        <v>2</v>
      </c>
      <c r="V1702" s="2" t="n">
        <v>3</v>
      </c>
      <c r="W1702" s="2" t="n">
        <v>4</v>
      </c>
      <c r="X1702" s="2" t="n">
        <v>3</v>
      </c>
      <c r="Y1702" s="2" t="n">
        <v>3</v>
      </c>
      <c r="Z1702" s="2" t="n">
        <v>3</v>
      </c>
    </row>
    <row r="1703" customFormat="false" ht="15" hidden="false" customHeight="true" outlineLevel="0" collapsed="false">
      <c r="A1703" s="2" t="n">
        <v>43</v>
      </c>
      <c r="B1703" s="2" t="s">
        <v>26</v>
      </c>
      <c r="C1703" s="2" t="s">
        <v>27</v>
      </c>
      <c r="D1703" s="2" t="s">
        <v>35</v>
      </c>
      <c r="E1703" s="2" t="n">
        <v>10</v>
      </c>
      <c r="F1703" s="2" t="n">
        <v>5</v>
      </c>
      <c r="G1703" s="2" t="s">
        <v>51</v>
      </c>
      <c r="H1703" s="2" t="n">
        <v>1702</v>
      </c>
      <c r="I1703" s="2" t="s">
        <v>30</v>
      </c>
      <c r="J1703" s="2" t="n">
        <v>2</v>
      </c>
      <c r="K1703" s="2" t="s">
        <v>40</v>
      </c>
      <c r="L1703" s="2" t="s">
        <v>46</v>
      </c>
      <c r="M1703" s="2" t="n">
        <v>26830</v>
      </c>
      <c r="N1703" s="2" t="n">
        <v>4</v>
      </c>
      <c r="O1703" s="2" t="n">
        <v>11</v>
      </c>
      <c r="P1703" s="2" t="n">
        <v>0</v>
      </c>
      <c r="Q1703" s="2" t="n">
        <v>21</v>
      </c>
      <c r="R1703" s="2" t="n">
        <v>3</v>
      </c>
      <c r="S1703" s="2" t="n">
        <v>1</v>
      </c>
      <c r="T1703" s="2" t="n">
        <v>0</v>
      </c>
      <c r="U1703" s="2" t="n">
        <v>0</v>
      </c>
      <c r="V1703" s="2" t="n">
        <v>2</v>
      </c>
      <c r="W1703" s="2" t="n">
        <v>4</v>
      </c>
      <c r="X1703" s="2" t="n">
        <v>2</v>
      </c>
      <c r="Y1703" s="2" t="n">
        <v>3</v>
      </c>
      <c r="Z1703" s="2" t="n">
        <v>3</v>
      </c>
    </row>
    <row r="1704" customFormat="false" ht="15" hidden="false" customHeight="true" outlineLevel="0" collapsed="false">
      <c r="A1704" s="2" t="n">
        <v>38</v>
      </c>
      <c r="B1704" s="2" t="s">
        <v>26</v>
      </c>
      <c r="C1704" s="2" t="s">
        <v>27</v>
      </c>
      <c r="D1704" s="2" t="s">
        <v>42</v>
      </c>
      <c r="E1704" s="2" t="n">
        <v>2</v>
      </c>
      <c r="F1704" s="2" t="n">
        <v>4</v>
      </c>
      <c r="G1704" s="2" t="s">
        <v>43</v>
      </c>
      <c r="H1704" s="2" t="n">
        <v>1703</v>
      </c>
      <c r="I1704" s="2" t="s">
        <v>39</v>
      </c>
      <c r="J1704" s="2" t="n">
        <v>1</v>
      </c>
      <c r="K1704" s="2" t="s">
        <v>42</v>
      </c>
      <c r="L1704" s="2" t="s">
        <v>37</v>
      </c>
      <c r="M1704" s="2" t="n">
        <v>20140</v>
      </c>
      <c r="N1704" s="2" t="n">
        <v>3</v>
      </c>
      <c r="O1704" s="2" t="n">
        <v>17</v>
      </c>
      <c r="P1704" s="2" t="n">
        <v>1</v>
      </c>
      <c r="Q1704" s="2" t="n">
        <v>8</v>
      </c>
      <c r="R1704" s="2" t="n">
        <v>5</v>
      </c>
      <c r="S1704" s="2" t="n">
        <v>0</v>
      </c>
      <c r="T1704" s="2" t="n">
        <v>0</v>
      </c>
      <c r="U1704" s="2" t="n">
        <v>0</v>
      </c>
      <c r="V1704" s="2" t="n">
        <v>3</v>
      </c>
      <c r="W1704" s="2" t="n">
        <v>1</v>
      </c>
      <c r="X1704" s="2" t="n">
        <v>2</v>
      </c>
      <c r="Y1704" s="2" t="n">
        <v>4</v>
      </c>
      <c r="Z1704" s="2" t="n">
        <v>3</v>
      </c>
    </row>
    <row r="1705" customFormat="false" ht="15" hidden="false" customHeight="true" outlineLevel="0" collapsed="false">
      <c r="A1705" s="2" t="n">
        <v>43</v>
      </c>
      <c r="B1705" s="2" t="s">
        <v>26</v>
      </c>
      <c r="C1705" s="2" t="s">
        <v>34</v>
      </c>
      <c r="D1705" s="2" t="s">
        <v>28</v>
      </c>
      <c r="E1705" s="2" t="n">
        <v>4</v>
      </c>
      <c r="F1705" s="2" t="n">
        <v>3</v>
      </c>
      <c r="G1705" s="2" t="s">
        <v>43</v>
      </c>
      <c r="H1705" s="2" t="n">
        <v>1704</v>
      </c>
      <c r="I1705" s="2" t="s">
        <v>30</v>
      </c>
      <c r="J1705" s="2" t="n">
        <v>2</v>
      </c>
      <c r="K1705" s="2" t="s">
        <v>31</v>
      </c>
      <c r="L1705" s="2" t="s">
        <v>46</v>
      </c>
      <c r="M1705" s="2" t="n">
        <v>34190</v>
      </c>
      <c r="N1705" s="2" t="n">
        <v>3</v>
      </c>
      <c r="O1705" s="2" t="n">
        <v>11</v>
      </c>
      <c r="P1705" s="2" t="n">
        <v>1</v>
      </c>
      <c r="Q1705" s="2" t="n">
        <v>10</v>
      </c>
      <c r="R1705" s="2" t="n">
        <v>5</v>
      </c>
      <c r="S1705" s="2" t="n">
        <v>8</v>
      </c>
      <c r="T1705" s="2" t="n">
        <v>4</v>
      </c>
      <c r="U1705" s="2" t="n">
        <v>7</v>
      </c>
      <c r="V1705" s="2" t="n">
        <v>4</v>
      </c>
      <c r="W1705" s="2" t="n">
        <v>3</v>
      </c>
      <c r="X1705" s="2" t="n">
        <v>3</v>
      </c>
      <c r="Y1705" s="2" t="n">
        <v>3</v>
      </c>
      <c r="Z1705" s="2" t="n">
        <v>3</v>
      </c>
    </row>
    <row r="1706" customFormat="false" ht="15" hidden="false" customHeight="true" outlineLevel="0" collapsed="false">
      <c r="A1706" s="2" t="n">
        <v>48</v>
      </c>
      <c r="B1706" s="2" t="s">
        <v>26</v>
      </c>
      <c r="C1706" s="2" t="s">
        <v>27</v>
      </c>
      <c r="D1706" s="2" t="s">
        <v>35</v>
      </c>
      <c r="E1706" s="2" t="n">
        <v>8</v>
      </c>
      <c r="F1706" s="2" t="n">
        <v>1</v>
      </c>
      <c r="G1706" s="2" t="s">
        <v>43</v>
      </c>
      <c r="H1706" s="2" t="n">
        <v>1705</v>
      </c>
      <c r="I1706" s="2" t="s">
        <v>39</v>
      </c>
      <c r="J1706" s="2" t="n">
        <v>2</v>
      </c>
      <c r="K1706" s="2" t="s">
        <v>45</v>
      </c>
      <c r="L1706" s="2" t="s">
        <v>32</v>
      </c>
      <c r="M1706" s="2" t="n">
        <v>53760</v>
      </c>
      <c r="N1706" s="2" t="n">
        <v>7</v>
      </c>
      <c r="O1706" s="2" t="n">
        <v>13</v>
      </c>
      <c r="P1706" s="2" t="n">
        <v>1</v>
      </c>
      <c r="Q1706" s="2" t="n">
        <v>21</v>
      </c>
      <c r="R1706" s="2" t="n">
        <v>3</v>
      </c>
      <c r="S1706" s="2" t="n">
        <v>3</v>
      </c>
      <c r="T1706" s="2" t="n">
        <v>0</v>
      </c>
      <c r="U1706" s="2" t="n">
        <v>2</v>
      </c>
      <c r="V1706" s="2" t="n">
        <v>4</v>
      </c>
      <c r="W1706" s="2" t="n">
        <v>1</v>
      </c>
      <c r="X1706" s="2" t="n">
        <v>1</v>
      </c>
      <c r="Y1706" s="2" t="n">
        <v>4</v>
      </c>
      <c r="Z1706" s="2" t="n">
        <v>3</v>
      </c>
    </row>
    <row r="1707" customFormat="false" ht="15" hidden="false" customHeight="true" outlineLevel="0" collapsed="false">
      <c r="A1707" s="2" t="n">
        <v>44</v>
      </c>
      <c r="B1707" s="2" t="s">
        <v>26</v>
      </c>
      <c r="C1707" s="2" t="s">
        <v>27</v>
      </c>
      <c r="D1707" s="2" t="s">
        <v>28</v>
      </c>
      <c r="E1707" s="2" t="n">
        <v>29</v>
      </c>
      <c r="F1707" s="2" t="n">
        <v>4</v>
      </c>
      <c r="G1707" s="2" t="s">
        <v>50</v>
      </c>
      <c r="H1707" s="2" t="n">
        <v>1706</v>
      </c>
      <c r="I1707" s="2" t="s">
        <v>39</v>
      </c>
      <c r="J1707" s="2" t="n">
        <v>2</v>
      </c>
      <c r="K1707" s="2" t="s">
        <v>40</v>
      </c>
      <c r="L1707" s="2" t="s">
        <v>37</v>
      </c>
      <c r="M1707" s="2" t="n">
        <v>19510</v>
      </c>
      <c r="N1707" s="2" t="n">
        <v>4</v>
      </c>
      <c r="O1707" s="2" t="n">
        <v>22</v>
      </c>
      <c r="P1707" s="2" t="n">
        <v>3</v>
      </c>
      <c r="Q1707" s="2" t="n">
        <v>10</v>
      </c>
      <c r="R1707" s="2" t="n">
        <v>4</v>
      </c>
      <c r="S1707" s="2" t="n">
        <v>2</v>
      </c>
      <c r="T1707" s="2" t="n">
        <v>0</v>
      </c>
      <c r="U1707" s="2" t="n">
        <v>2</v>
      </c>
      <c r="V1707" s="2" t="n">
        <v>1</v>
      </c>
      <c r="W1707" s="2" t="n">
        <v>3</v>
      </c>
      <c r="X1707" s="2" t="n">
        <v>4</v>
      </c>
      <c r="Y1707" s="2" t="n">
        <v>4</v>
      </c>
      <c r="Z1707" s="2" t="n">
        <v>4</v>
      </c>
    </row>
    <row r="1708" customFormat="false" ht="15" hidden="false" customHeight="true" outlineLevel="0" collapsed="false">
      <c r="A1708" s="2" t="n">
        <v>34</v>
      </c>
      <c r="B1708" s="2" t="s">
        <v>26</v>
      </c>
      <c r="C1708" s="2" t="s">
        <v>27</v>
      </c>
      <c r="D1708" s="2" t="s">
        <v>35</v>
      </c>
      <c r="E1708" s="2" t="n">
        <v>13</v>
      </c>
      <c r="F1708" s="2" t="n">
        <v>4</v>
      </c>
      <c r="G1708" s="2" t="s">
        <v>29</v>
      </c>
      <c r="H1708" s="2" t="n">
        <v>1707</v>
      </c>
      <c r="I1708" s="2" t="s">
        <v>30</v>
      </c>
      <c r="J1708" s="2" t="n">
        <v>1</v>
      </c>
      <c r="K1708" s="2" t="s">
        <v>45</v>
      </c>
      <c r="L1708" s="2" t="s">
        <v>46</v>
      </c>
      <c r="M1708" s="2" t="n">
        <v>23410</v>
      </c>
      <c r="N1708" s="2" t="n">
        <v>1</v>
      </c>
      <c r="O1708" s="2" t="n">
        <v>20</v>
      </c>
      <c r="P1708" s="2" t="n">
        <v>2</v>
      </c>
      <c r="Q1708" s="2" t="n">
        <v>8</v>
      </c>
      <c r="R1708" s="2" t="n">
        <v>3</v>
      </c>
      <c r="S1708" s="2" t="n">
        <v>8</v>
      </c>
      <c r="T1708" s="2" t="n">
        <v>0</v>
      </c>
      <c r="U1708" s="2" t="n">
        <v>6</v>
      </c>
      <c r="V1708" s="2" t="n">
        <v>3</v>
      </c>
      <c r="W1708" s="2" t="n">
        <v>3</v>
      </c>
      <c r="X1708" s="2" t="n">
        <v>3</v>
      </c>
      <c r="Y1708" s="2" t="n">
        <v>2</v>
      </c>
      <c r="Z1708" s="2" t="n">
        <v>4</v>
      </c>
    </row>
    <row r="1709" customFormat="false" ht="15" hidden="false" customHeight="true" outlineLevel="0" collapsed="false">
      <c r="A1709" s="2" t="n">
        <v>27</v>
      </c>
      <c r="B1709" s="2" t="s">
        <v>33</v>
      </c>
      <c r="C1709" s="2" t="s">
        <v>27</v>
      </c>
      <c r="D1709" s="2" t="s">
        <v>28</v>
      </c>
      <c r="E1709" s="2" t="n">
        <v>27</v>
      </c>
      <c r="F1709" s="2" t="n">
        <v>3</v>
      </c>
      <c r="G1709" s="2" t="s">
        <v>29</v>
      </c>
      <c r="H1709" s="2" t="n">
        <v>1708</v>
      </c>
      <c r="I1709" s="2" t="s">
        <v>39</v>
      </c>
      <c r="J1709" s="2" t="n">
        <v>2</v>
      </c>
      <c r="K1709" s="2" t="s">
        <v>36</v>
      </c>
      <c r="L1709" s="2" t="s">
        <v>46</v>
      </c>
      <c r="M1709" s="2" t="n">
        <v>22930</v>
      </c>
      <c r="N1709" s="2" t="n">
        <v>0</v>
      </c>
      <c r="O1709" s="2" t="n">
        <v>18</v>
      </c>
      <c r="P1709" s="2" t="n">
        <v>0</v>
      </c>
      <c r="Q1709" s="2" t="n">
        <v>5</v>
      </c>
      <c r="R1709" s="2" t="n">
        <v>0</v>
      </c>
      <c r="S1709" s="2" t="n">
        <v>4</v>
      </c>
      <c r="T1709" s="2" t="n">
        <v>0</v>
      </c>
      <c r="U1709" s="2" t="n">
        <v>2</v>
      </c>
      <c r="V1709" s="2" t="n">
        <v>3</v>
      </c>
      <c r="W1709" s="2" t="n">
        <v>1</v>
      </c>
      <c r="X1709" s="2" t="n">
        <v>3</v>
      </c>
      <c r="Y1709" s="2" t="n">
        <v>3</v>
      </c>
      <c r="Z1709" s="2" t="n">
        <v>3</v>
      </c>
    </row>
    <row r="1710" customFormat="false" ht="15" hidden="false" customHeight="true" outlineLevel="0" collapsed="false">
      <c r="A1710" s="2" t="n">
        <v>21</v>
      </c>
      <c r="B1710" s="2" t="s">
        <v>26</v>
      </c>
      <c r="C1710" s="2" t="s">
        <v>27</v>
      </c>
      <c r="D1710" s="2" t="s">
        <v>28</v>
      </c>
      <c r="E1710" s="2" t="n">
        <v>16</v>
      </c>
      <c r="F1710" s="2" t="n">
        <v>2</v>
      </c>
      <c r="G1710" s="2" t="s">
        <v>29</v>
      </c>
      <c r="H1710" s="2" t="n">
        <v>1709</v>
      </c>
      <c r="I1710" s="2" t="s">
        <v>39</v>
      </c>
      <c r="J1710" s="2" t="n">
        <v>3</v>
      </c>
      <c r="K1710" s="2" t="s">
        <v>40</v>
      </c>
      <c r="L1710" s="2" t="s">
        <v>37</v>
      </c>
      <c r="M1710" s="2" t="n">
        <v>87260</v>
      </c>
      <c r="N1710" s="2" t="n">
        <v>1</v>
      </c>
      <c r="O1710" s="2" t="n">
        <v>11</v>
      </c>
      <c r="P1710" s="2" t="n">
        <v>1</v>
      </c>
      <c r="Q1710" s="2" t="n">
        <v>3</v>
      </c>
      <c r="R1710" s="2" t="n">
        <v>2</v>
      </c>
      <c r="S1710" s="2" t="n">
        <v>3</v>
      </c>
      <c r="T1710" s="2" t="n">
        <v>1</v>
      </c>
      <c r="U1710" s="2" t="n">
        <v>2</v>
      </c>
      <c r="V1710" s="2" t="n">
        <v>3</v>
      </c>
      <c r="W1710" s="2" t="n">
        <v>3</v>
      </c>
      <c r="X1710" s="2" t="n">
        <v>3</v>
      </c>
      <c r="Y1710" s="2" t="n">
        <v>1</v>
      </c>
      <c r="Z1710" s="2" t="n">
        <v>3</v>
      </c>
    </row>
    <row r="1711" customFormat="false" ht="15" hidden="false" customHeight="true" outlineLevel="0" collapsed="false">
      <c r="A1711" s="2" t="n">
        <v>44</v>
      </c>
      <c r="B1711" s="2" t="s">
        <v>26</v>
      </c>
      <c r="C1711" s="2" t="s">
        <v>27</v>
      </c>
      <c r="D1711" s="2" t="s">
        <v>35</v>
      </c>
      <c r="E1711" s="2" t="n">
        <v>2</v>
      </c>
      <c r="F1711" s="2" t="n">
        <v>2</v>
      </c>
      <c r="G1711" s="2" t="s">
        <v>29</v>
      </c>
      <c r="H1711" s="2" t="n">
        <v>1710</v>
      </c>
      <c r="I1711" s="2" t="s">
        <v>39</v>
      </c>
      <c r="J1711" s="2" t="n">
        <v>1</v>
      </c>
      <c r="K1711" s="2" t="s">
        <v>45</v>
      </c>
      <c r="L1711" s="2" t="s">
        <v>32</v>
      </c>
      <c r="M1711" s="2" t="n">
        <v>40110</v>
      </c>
      <c r="N1711" s="2" t="n">
        <v>4</v>
      </c>
      <c r="O1711" s="2" t="n">
        <v>14</v>
      </c>
      <c r="P1711" s="2" t="n">
        <v>1</v>
      </c>
      <c r="Q1711" s="2" t="n">
        <v>26</v>
      </c>
      <c r="R1711" s="2" t="n">
        <v>2</v>
      </c>
      <c r="S1711" s="2" t="n">
        <v>2</v>
      </c>
      <c r="T1711" s="2" t="n">
        <v>0</v>
      </c>
      <c r="U1711" s="2" t="n">
        <v>1</v>
      </c>
      <c r="V1711" s="2" t="n">
        <v>4</v>
      </c>
      <c r="W1711" s="2" t="n">
        <v>4</v>
      </c>
      <c r="X1711" s="2" t="n">
        <v>4</v>
      </c>
      <c r="Y1711" s="2" t="n">
        <v>3</v>
      </c>
      <c r="Z1711" s="2" t="n">
        <v>3</v>
      </c>
    </row>
    <row r="1712" customFormat="false" ht="15" hidden="false" customHeight="true" outlineLevel="0" collapsed="false">
      <c r="A1712" s="2" t="n">
        <v>22</v>
      </c>
      <c r="B1712" s="2" t="s">
        <v>26</v>
      </c>
      <c r="C1712" s="2" t="s">
        <v>27</v>
      </c>
      <c r="D1712" s="2" t="s">
        <v>35</v>
      </c>
      <c r="E1712" s="2" t="n">
        <v>2</v>
      </c>
      <c r="F1712" s="2" t="n">
        <v>2</v>
      </c>
      <c r="G1712" s="2" t="s">
        <v>43</v>
      </c>
      <c r="H1712" s="2" t="n">
        <v>1711</v>
      </c>
      <c r="I1712" s="2" t="s">
        <v>30</v>
      </c>
      <c r="J1712" s="2" t="n">
        <v>2</v>
      </c>
      <c r="K1712" s="2" t="s">
        <v>45</v>
      </c>
      <c r="L1712" s="2" t="s">
        <v>32</v>
      </c>
      <c r="M1712" s="2" t="n">
        <v>195450</v>
      </c>
      <c r="N1712" s="2" t="n">
        <v>0</v>
      </c>
      <c r="O1712" s="2" t="n">
        <v>14</v>
      </c>
      <c r="P1712" s="2" t="n">
        <v>0</v>
      </c>
      <c r="Q1712" s="2" t="n">
        <v>3</v>
      </c>
      <c r="R1712" s="2" t="n">
        <v>3</v>
      </c>
      <c r="S1712" s="2" t="n">
        <v>2</v>
      </c>
      <c r="T1712" s="2" t="n">
        <v>2</v>
      </c>
      <c r="U1712" s="2" t="n">
        <v>2</v>
      </c>
      <c r="V1712" s="2" t="n">
        <v>1</v>
      </c>
      <c r="W1712" s="2" t="n">
        <v>3</v>
      </c>
      <c r="X1712" s="2" t="n">
        <v>3</v>
      </c>
      <c r="Y1712" s="2" t="n">
        <v>2</v>
      </c>
      <c r="Z1712" s="2" t="n">
        <v>3</v>
      </c>
    </row>
    <row r="1713" customFormat="false" ht="15" hidden="false" customHeight="true" outlineLevel="0" collapsed="false">
      <c r="A1713" s="2" t="n">
        <v>33</v>
      </c>
      <c r="B1713" s="2" t="s">
        <v>26</v>
      </c>
      <c r="C1713" s="2" t="s">
        <v>27</v>
      </c>
      <c r="D1713" s="2" t="s">
        <v>28</v>
      </c>
      <c r="E1713" s="2" t="n">
        <v>13</v>
      </c>
      <c r="F1713" s="2" t="n">
        <v>4</v>
      </c>
      <c r="G1713" s="2" t="s">
        <v>50</v>
      </c>
      <c r="H1713" s="2" t="n">
        <v>1712</v>
      </c>
      <c r="I1713" s="2" t="s">
        <v>30</v>
      </c>
      <c r="J1713" s="2" t="n">
        <v>2</v>
      </c>
      <c r="K1713" s="2" t="s">
        <v>47</v>
      </c>
      <c r="L1713" s="2" t="s">
        <v>46</v>
      </c>
      <c r="M1713" s="2" t="n">
        <v>45680</v>
      </c>
      <c r="N1713" s="2"/>
      <c r="O1713" s="2" t="n">
        <v>18</v>
      </c>
      <c r="P1713" s="2" t="n">
        <v>1</v>
      </c>
      <c r="Q1713" s="2" t="n">
        <v>6</v>
      </c>
      <c r="R1713" s="2" t="n">
        <v>2</v>
      </c>
      <c r="S1713" s="2" t="n">
        <v>5</v>
      </c>
      <c r="T1713" s="2" t="n">
        <v>1</v>
      </c>
      <c r="U1713" s="2" t="n">
        <v>2</v>
      </c>
      <c r="V1713" s="2" t="n">
        <v>3</v>
      </c>
      <c r="W1713" s="2" t="n">
        <v>3</v>
      </c>
      <c r="X1713" s="2" t="n">
        <v>3</v>
      </c>
      <c r="Y1713" s="2" t="n">
        <v>3</v>
      </c>
      <c r="Z1713" s="2" t="n">
        <v>3</v>
      </c>
    </row>
    <row r="1714" customFormat="false" ht="15" hidden="false" customHeight="true" outlineLevel="0" collapsed="false">
      <c r="A1714" s="2" t="n">
        <v>32</v>
      </c>
      <c r="B1714" s="2" t="s">
        <v>26</v>
      </c>
      <c r="C1714" s="2" t="s">
        <v>27</v>
      </c>
      <c r="D1714" s="2" t="s">
        <v>35</v>
      </c>
      <c r="E1714" s="2" t="n">
        <v>1</v>
      </c>
      <c r="F1714" s="2" t="n">
        <v>1</v>
      </c>
      <c r="G1714" s="2" t="s">
        <v>29</v>
      </c>
      <c r="H1714" s="2" t="n">
        <v>1713</v>
      </c>
      <c r="I1714" s="2" t="s">
        <v>30</v>
      </c>
      <c r="J1714" s="2" t="n">
        <v>1</v>
      </c>
      <c r="K1714" s="2" t="s">
        <v>31</v>
      </c>
      <c r="L1714" s="2" t="s">
        <v>32</v>
      </c>
      <c r="M1714" s="2" t="n">
        <v>30220</v>
      </c>
      <c r="N1714" s="2" t="n">
        <v>1</v>
      </c>
      <c r="O1714" s="2" t="n">
        <v>16</v>
      </c>
      <c r="P1714" s="2" t="n">
        <v>1</v>
      </c>
      <c r="Q1714" s="2" t="n">
        <v>6</v>
      </c>
      <c r="R1714" s="2" t="n">
        <v>3</v>
      </c>
      <c r="S1714" s="2" t="n">
        <v>6</v>
      </c>
      <c r="T1714" s="2" t="n">
        <v>0</v>
      </c>
      <c r="U1714" s="2" t="n">
        <v>5</v>
      </c>
      <c r="V1714" s="2" t="n">
        <v>1</v>
      </c>
      <c r="W1714" s="2" t="n">
        <v>4</v>
      </c>
      <c r="X1714" s="2" t="n">
        <v>2</v>
      </c>
      <c r="Y1714" s="2" t="n">
        <v>3</v>
      </c>
      <c r="Z1714" s="2" t="n">
        <v>3</v>
      </c>
    </row>
    <row r="1715" customFormat="false" ht="15" hidden="false" customHeight="true" outlineLevel="0" collapsed="false">
      <c r="A1715" s="2" t="n">
        <v>30</v>
      </c>
      <c r="B1715" s="2" t="s">
        <v>26</v>
      </c>
      <c r="C1715" s="2" t="s">
        <v>34</v>
      </c>
      <c r="D1715" s="2" t="s">
        <v>35</v>
      </c>
      <c r="E1715" s="2" t="n">
        <v>4</v>
      </c>
      <c r="F1715" s="2" t="n">
        <v>5</v>
      </c>
      <c r="G1715" s="2" t="s">
        <v>51</v>
      </c>
      <c r="H1715" s="2" t="n">
        <v>1714</v>
      </c>
      <c r="I1715" s="2" t="s">
        <v>39</v>
      </c>
      <c r="J1715" s="2" t="n">
        <v>3</v>
      </c>
      <c r="K1715" s="2" t="s">
        <v>49</v>
      </c>
      <c r="L1715" s="2" t="s">
        <v>46</v>
      </c>
      <c r="M1715" s="2" t="n">
        <v>57720</v>
      </c>
      <c r="N1715" s="2" t="n">
        <v>1</v>
      </c>
      <c r="O1715" s="2" t="n">
        <v>17</v>
      </c>
      <c r="P1715" s="2" t="n">
        <v>0</v>
      </c>
      <c r="Q1715" s="2" t="n">
        <v>1</v>
      </c>
      <c r="R1715" s="2" t="n">
        <v>3</v>
      </c>
      <c r="S1715" s="2" t="n">
        <v>1</v>
      </c>
      <c r="T1715" s="2" t="n">
        <v>0</v>
      </c>
      <c r="U1715" s="2" t="n">
        <v>0</v>
      </c>
      <c r="V1715" s="2" t="n">
        <v>3</v>
      </c>
      <c r="W1715" s="2" t="n">
        <v>3</v>
      </c>
      <c r="X1715" s="2" t="n">
        <v>3</v>
      </c>
      <c r="Y1715" s="2" t="n">
        <v>3</v>
      </c>
      <c r="Z1715" s="2" t="n">
        <v>3</v>
      </c>
    </row>
    <row r="1716" customFormat="false" ht="15" hidden="false" customHeight="true" outlineLevel="0" collapsed="false">
      <c r="A1716" s="2" t="n">
        <v>53</v>
      </c>
      <c r="B1716" s="2" t="s">
        <v>26</v>
      </c>
      <c r="C1716" s="2" t="s">
        <v>27</v>
      </c>
      <c r="D1716" s="2" t="s">
        <v>35</v>
      </c>
      <c r="E1716" s="2" t="n">
        <v>24</v>
      </c>
      <c r="F1716" s="2" t="n">
        <v>3</v>
      </c>
      <c r="G1716" s="2" t="s">
        <v>38</v>
      </c>
      <c r="H1716" s="2" t="n">
        <v>1715</v>
      </c>
      <c r="I1716" s="2" t="s">
        <v>30</v>
      </c>
      <c r="J1716" s="2" t="n">
        <v>3</v>
      </c>
      <c r="K1716" s="2" t="s">
        <v>49</v>
      </c>
      <c r="L1716" s="2" t="s">
        <v>37</v>
      </c>
      <c r="M1716" s="2" t="n">
        <v>22690</v>
      </c>
      <c r="N1716" s="2" t="n">
        <v>7</v>
      </c>
      <c r="O1716" s="2" t="n">
        <v>11</v>
      </c>
      <c r="P1716" s="2" t="n">
        <v>1</v>
      </c>
      <c r="Q1716" s="2" t="n">
        <v>18</v>
      </c>
      <c r="R1716" s="2" t="n">
        <v>2</v>
      </c>
      <c r="S1716" s="2" t="n">
        <v>14</v>
      </c>
      <c r="T1716" s="2" t="n">
        <v>8</v>
      </c>
      <c r="U1716" s="2" t="n">
        <v>10</v>
      </c>
      <c r="V1716" s="2" t="n">
        <v>4</v>
      </c>
      <c r="W1716" s="2" t="n">
        <v>1</v>
      </c>
      <c r="X1716" s="2" t="n">
        <v>4</v>
      </c>
      <c r="Y1716" s="2" t="n">
        <v>2</v>
      </c>
      <c r="Z1716" s="2" t="n">
        <v>3</v>
      </c>
    </row>
    <row r="1717" customFormat="false" ht="15" hidden="false" customHeight="true" outlineLevel="0" collapsed="false">
      <c r="A1717" s="2" t="n">
        <v>34</v>
      </c>
      <c r="B1717" s="2" t="s">
        <v>26</v>
      </c>
      <c r="C1717" s="2" t="s">
        <v>27</v>
      </c>
      <c r="D1717" s="2" t="s">
        <v>35</v>
      </c>
      <c r="E1717" s="2" t="n">
        <v>1</v>
      </c>
      <c r="F1717" s="2" t="n">
        <v>5</v>
      </c>
      <c r="G1717" s="2" t="s">
        <v>43</v>
      </c>
      <c r="H1717" s="2" t="n">
        <v>1716</v>
      </c>
      <c r="I1717" s="2" t="s">
        <v>39</v>
      </c>
      <c r="J1717" s="2" t="n">
        <v>1</v>
      </c>
      <c r="K1717" s="2" t="s">
        <v>36</v>
      </c>
      <c r="L1717" s="2" t="s">
        <v>32</v>
      </c>
      <c r="M1717" s="2" t="n">
        <v>53810</v>
      </c>
      <c r="N1717" s="2" t="n">
        <v>1</v>
      </c>
      <c r="O1717" s="2" t="n">
        <v>12</v>
      </c>
      <c r="P1717" s="2" t="n">
        <v>0</v>
      </c>
      <c r="Q1717" s="2" t="n">
        <v>10</v>
      </c>
      <c r="R1717" s="2" t="n">
        <v>0</v>
      </c>
      <c r="S1717" s="2" t="n">
        <v>10</v>
      </c>
      <c r="T1717" s="2" t="n">
        <v>8</v>
      </c>
      <c r="U1717" s="2" t="n">
        <v>8</v>
      </c>
      <c r="V1717" s="2" t="n">
        <v>2</v>
      </c>
      <c r="W1717" s="2" t="n">
        <v>4</v>
      </c>
      <c r="X1717" s="2" t="n">
        <v>2</v>
      </c>
      <c r="Y1717" s="2" t="n">
        <v>3</v>
      </c>
      <c r="Z1717" s="2" t="n">
        <v>3</v>
      </c>
    </row>
    <row r="1718" customFormat="false" ht="15" hidden="false" customHeight="true" outlineLevel="0" collapsed="false">
      <c r="A1718" s="2" t="n">
        <v>45</v>
      </c>
      <c r="B1718" s="2" t="s">
        <v>33</v>
      </c>
      <c r="C1718" s="2" t="s">
        <v>34</v>
      </c>
      <c r="D1718" s="2" t="s">
        <v>35</v>
      </c>
      <c r="E1718" s="2" t="n">
        <v>19</v>
      </c>
      <c r="F1718" s="2" t="n">
        <v>4</v>
      </c>
      <c r="G1718" s="2" t="s">
        <v>29</v>
      </c>
      <c r="H1718" s="2" t="n">
        <v>1717</v>
      </c>
      <c r="I1718" s="2" t="s">
        <v>39</v>
      </c>
      <c r="J1718" s="2" t="n">
        <v>3</v>
      </c>
      <c r="K1718" s="2" t="s">
        <v>44</v>
      </c>
      <c r="L1718" s="2" t="s">
        <v>32</v>
      </c>
      <c r="M1718" s="2" t="n">
        <v>34410</v>
      </c>
      <c r="N1718" s="2" t="n">
        <v>2</v>
      </c>
      <c r="O1718" s="2" t="n">
        <v>13</v>
      </c>
      <c r="P1718" s="2" t="n">
        <v>1</v>
      </c>
      <c r="Q1718" s="2" t="n">
        <v>5</v>
      </c>
      <c r="R1718" s="2" t="n">
        <v>5</v>
      </c>
      <c r="S1718" s="2" t="n">
        <v>1</v>
      </c>
      <c r="T1718" s="2" t="n">
        <v>0</v>
      </c>
      <c r="U1718" s="2" t="n">
        <v>0</v>
      </c>
      <c r="V1718" s="2" t="n">
        <v>1</v>
      </c>
      <c r="W1718" s="2" t="n">
        <v>1</v>
      </c>
      <c r="X1718" s="2" t="n">
        <v>3</v>
      </c>
      <c r="Y1718" s="2" t="n">
        <v>3</v>
      </c>
      <c r="Z1718" s="2" t="n">
        <v>3</v>
      </c>
    </row>
    <row r="1719" customFormat="false" ht="15" hidden="false" customHeight="true" outlineLevel="0" collapsed="false">
      <c r="A1719" s="2" t="n">
        <v>26</v>
      </c>
      <c r="B1719" s="2" t="s">
        <v>26</v>
      </c>
      <c r="C1719" s="2" t="s">
        <v>27</v>
      </c>
      <c r="D1719" s="2" t="s">
        <v>35</v>
      </c>
      <c r="E1719" s="2" t="n">
        <v>7</v>
      </c>
      <c r="F1719" s="2" t="n">
        <v>2</v>
      </c>
      <c r="G1719" s="2" t="s">
        <v>29</v>
      </c>
      <c r="H1719" s="2" t="n">
        <v>1718</v>
      </c>
      <c r="I1719" s="2" t="s">
        <v>39</v>
      </c>
      <c r="J1719" s="2" t="n">
        <v>1</v>
      </c>
      <c r="K1719" s="2" t="s">
        <v>47</v>
      </c>
      <c r="L1719" s="2" t="s">
        <v>32</v>
      </c>
      <c r="M1719" s="2" t="n">
        <v>54540</v>
      </c>
      <c r="N1719" s="2" t="n">
        <v>1</v>
      </c>
      <c r="O1719" s="2" t="n">
        <v>13</v>
      </c>
      <c r="P1719" s="2" t="n">
        <v>1</v>
      </c>
      <c r="Q1719" s="2" t="n">
        <v>3</v>
      </c>
      <c r="R1719" s="2" t="n">
        <v>5</v>
      </c>
      <c r="S1719" s="2" t="n">
        <v>3</v>
      </c>
      <c r="T1719" s="2" t="n">
        <v>0</v>
      </c>
      <c r="U1719" s="2" t="n">
        <v>2</v>
      </c>
      <c r="V1719" s="2" t="n">
        <v>3</v>
      </c>
      <c r="W1719" s="2" t="n">
        <v>4</v>
      </c>
      <c r="X1719" s="2" t="n">
        <v>3</v>
      </c>
      <c r="Y1719" s="2" t="n">
        <v>4</v>
      </c>
      <c r="Z1719" s="2" t="n">
        <v>3</v>
      </c>
    </row>
    <row r="1720" customFormat="false" ht="15" hidden="false" customHeight="true" outlineLevel="0" collapsed="false">
      <c r="A1720" s="2" t="n">
        <v>37</v>
      </c>
      <c r="B1720" s="2" t="s">
        <v>26</v>
      </c>
      <c r="C1720" s="2" t="s">
        <v>27</v>
      </c>
      <c r="D1720" s="2" t="s">
        <v>35</v>
      </c>
      <c r="E1720" s="2" t="n">
        <v>4</v>
      </c>
      <c r="F1720" s="2" t="n">
        <v>3</v>
      </c>
      <c r="G1720" s="2" t="s">
        <v>43</v>
      </c>
      <c r="H1720" s="2" t="n">
        <v>1719</v>
      </c>
      <c r="I1720" s="2" t="s">
        <v>39</v>
      </c>
      <c r="J1720" s="2" t="n">
        <v>1</v>
      </c>
      <c r="K1720" s="2" t="s">
        <v>49</v>
      </c>
      <c r="L1720" s="2" t="s">
        <v>32</v>
      </c>
      <c r="M1720" s="2" t="n">
        <v>98840</v>
      </c>
      <c r="N1720" s="2" t="n">
        <v>1</v>
      </c>
      <c r="O1720" s="2" t="n">
        <v>14</v>
      </c>
      <c r="P1720" s="2" t="n">
        <v>0</v>
      </c>
      <c r="Q1720" s="2" t="n">
        <v>10</v>
      </c>
      <c r="R1720" s="2" t="n">
        <v>3</v>
      </c>
      <c r="S1720" s="2" t="n">
        <v>10</v>
      </c>
      <c r="T1720" s="2" t="n">
        <v>7</v>
      </c>
      <c r="U1720" s="2" t="n">
        <v>8</v>
      </c>
      <c r="V1720" s="2" t="n">
        <v>3</v>
      </c>
      <c r="W1720" s="2" t="n">
        <v>3</v>
      </c>
      <c r="X1720" s="2" t="n">
        <v>3</v>
      </c>
      <c r="Y1720" s="2" t="n">
        <v>2</v>
      </c>
      <c r="Z1720" s="2" t="n">
        <v>3</v>
      </c>
    </row>
    <row r="1721" customFormat="false" ht="15" hidden="false" customHeight="true" outlineLevel="0" collapsed="false">
      <c r="A1721" s="2" t="n">
        <v>29</v>
      </c>
      <c r="B1721" s="2" t="s">
        <v>26</v>
      </c>
      <c r="C1721" s="2" t="s">
        <v>27</v>
      </c>
      <c r="D1721" s="2" t="s">
        <v>35</v>
      </c>
      <c r="E1721" s="2" t="n">
        <v>2</v>
      </c>
      <c r="F1721" s="2" t="n">
        <v>3</v>
      </c>
      <c r="G1721" s="2" t="s">
        <v>29</v>
      </c>
      <c r="H1721" s="2" t="n">
        <v>1720</v>
      </c>
      <c r="I1721" s="2" t="s">
        <v>30</v>
      </c>
      <c r="J1721" s="2" t="n">
        <v>1</v>
      </c>
      <c r="K1721" s="2" t="s">
        <v>31</v>
      </c>
      <c r="L1721" s="2" t="s">
        <v>32</v>
      </c>
      <c r="M1721" s="2" t="n">
        <v>41570</v>
      </c>
      <c r="N1721" s="2" t="n">
        <v>1</v>
      </c>
      <c r="O1721" s="2" t="n">
        <v>17</v>
      </c>
      <c r="P1721" s="2" t="n">
        <v>3</v>
      </c>
      <c r="Q1721" s="2" t="n">
        <v>6</v>
      </c>
      <c r="R1721" s="2" t="n">
        <v>2</v>
      </c>
      <c r="S1721" s="2" t="n">
        <v>6</v>
      </c>
      <c r="T1721" s="2" t="n">
        <v>1</v>
      </c>
      <c r="U1721" s="2" t="n">
        <v>2</v>
      </c>
      <c r="V1721" s="2" t="n">
        <v>2</v>
      </c>
      <c r="W1721" s="2" t="n">
        <v>3</v>
      </c>
      <c r="X1721" s="2" t="n">
        <v>2</v>
      </c>
      <c r="Y1721" s="2" t="n">
        <v>3</v>
      </c>
      <c r="Z1721" s="2" t="n">
        <v>3</v>
      </c>
    </row>
    <row r="1722" customFormat="false" ht="15" hidden="false" customHeight="true" outlineLevel="0" collapsed="false">
      <c r="A1722" s="2" t="n">
        <v>35</v>
      </c>
      <c r="B1722" s="2" t="s">
        <v>26</v>
      </c>
      <c r="C1722" s="2" t="s">
        <v>27</v>
      </c>
      <c r="D1722" s="2" t="s">
        <v>35</v>
      </c>
      <c r="E1722" s="2" t="n">
        <v>10</v>
      </c>
      <c r="F1722" s="2" t="n">
        <v>5</v>
      </c>
      <c r="G1722" s="2" t="s">
        <v>43</v>
      </c>
      <c r="H1722" s="2" t="n">
        <v>1721</v>
      </c>
      <c r="I1722" s="2" t="s">
        <v>30</v>
      </c>
      <c r="J1722" s="2" t="n">
        <v>4</v>
      </c>
      <c r="K1722" s="2" t="s">
        <v>45</v>
      </c>
      <c r="L1722" s="2" t="s">
        <v>37</v>
      </c>
      <c r="M1722" s="2" t="n">
        <v>134580</v>
      </c>
      <c r="N1722" s="2" t="n">
        <v>1</v>
      </c>
      <c r="O1722" s="2" t="n">
        <v>11</v>
      </c>
      <c r="P1722" s="2" t="n">
        <v>0</v>
      </c>
      <c r="Q1722" s="2" t="n">
        <v>17</v>
      </c>
      <c r="R1722" s="2" t="n">
        <v>3</v>
      </c>
      <c r="S1722" s="2" t="n">
        <v>17</v>
      </c>
      <c r="T1722" s="2" t="n">
        <v>11</v>
      </c>
      <c r="U1722" s="2" t="n">
        <v>8</v>
      </c>
      <c r="V1722" s="2" t="n">
        <v>2</v>
      </c>
      <c r="W1722" s="2" t="n">
        <v>4</v>
      </c>
      <c r="X1722" s="2" t="n">
        <v>3</v>
      </c>
      <c r="Y1722" s="2" t="n">
        <v>3</v>
      </c>
      <c r="Z1722" s="2" t="n">
        <v>3</v>
      </c>
    </row>
    <row r="1723" customFormat="false" ht="15" hidden="false" customHeight="true" outlineLevel="0" collapsed="false">
      <c r="A1723" s="2" t="n">
        <v>33</v>
      </c>
      <c r="B1723" s="2" t="s">
        <v>26</v>
      </c>
      <c r="C1723" s="2" t="s">
        <v>34</v>
      </c>
      <c r="D1723" s="2" t="s">
        <v>35</v>
      </c>
      <c r="E1723" s="2" t="n">
        <v>8</v>
      </c>
      <c r="F1723" s="2" t="n">
        <v>3</v>
      </c>
      <c r="G1723" s="2" t="s">
        <v>51</v>
      </c>
      <c r="H1723" s="2" t="n">
        <v>1722</v>
      </c>
      <c r="I1723" s="2" t="s">
        <v>39</v>
      </c>
      <c r="J1723" s="2" t="n">
        <v>2</v>
      </c>
      <c r="K1723" s="2" t="s">
        <v>45</v>
      </c>
      <c r="L1723" s="2" t="s">
        <v>46</v>
      </c>
      <c r="M1723" s="2" t="n">
        <v>90690</v>
      </c>
      <c r="N1723" s="2" t="n">
        <v>3</v>
      </c>
      <c r="O1723" s="2" t="n">
        <v>25</v>
      </c>
      <c r="P1723" s="2" t="n">
        <v>1</v>
      </c>
      <c r="Q1723" s="2" t="n">
        <v>15</v>
      </c>
      <c r="R1723" s="2" t="n">
        <v>3</v>
      </c>
      <c r="S1723" s="2" t="n">
        <v>13</v>
      </c>
      <c r="T1723" s="2" t="n">
        <v>4</v>
      </c>
      <c r="U1723" s="2" t="n">
        <v>7</v>
      </c>
      <c r="V1723" s="2" t="n">
        <v>3</v>
      </c>
      <c r="W1723" s="2" t="n">
        <v>4</v>
      </c>
      <c r="X1723" s="2" t="n">
        <v>1</v>
      </c>
      <c r="Y1723" s="2" t="n">
        <v>3</v>
      </c>
      <c r="Z1723" s="2" t="n">
        <v>4</v>
      </c>
    </row>
    <row r="1724" customFormat="false" ht="15" hidden="false" customHeight="true" outlineLevel="0" collapsed="false">
      <c r="A1724" s="2" t="n">
        <v>54</v>
      </c>
      <c r="B1724" s="2" t="s">
        <v>26</v>
      </c>
      <c r="C1724" s="2" t="s">
        <v>27</v>
      </c>
      <c r="D1724" s="2" t="s">
        <v>35</v>
      </c>
      <c r="E1724" s="2" t="n">
        <v>5</v>
      </c>
      <c r="F1724" s="2" t="n">
        <v>2</v>
      </c>
      <c r="G1724" s="2" t="s">
        <v>29</v>
      </c>
      <c r="H1724" s="2" t="n">
        <v>1723</v>
      </c>
      <c r="I1724" s="2" t="s">
        <v>30</v>
      </c>
      <c r="J1724" s="2" t="n">
        <v>2</v>
      </c>
      <c r="K1724" s="2" t="s">
        <v>40</v>
      </c>
      <c r="L1724" s="2" t="s">
        <v>32</v>
      </c>
      <c r="M1724" s="2" t="n">
        <v>40140</v>
      </c>
      <c r="N1724" s="2" t="n">
        <v>2</v>
      </c>
      <c r="O1724" s="2" t="n">
        <v>19</v>
      </c>
      <c r="P1724" s="2" t="n">
        <v>1</v>
      </c>
      <c r="Q1724" s="2" t="n">
        <v>16</v>
      </c>
      <c r="R1724" s="2" t="n">
        <v>4</v>
      </c>
      <c r="S1724" s="2" t="n">
        <v>9</v>
      </c>
      <c r="T1724" s="2" t="n">
        <v>7</v>
      </c>
      <c r="U1724" s="2" t="n">
        <v>1</v>
      </c>
      <c r="V1724" s="2" t="n">
        <v>3</v>
      </c>
      <c r="W1724" s="2" t="n">
        <v>2</v>
      </c>
      <c r="X1724" s="2"/>
      <c r="Y1724" s="2" t="n">
        <v>2</v>
      </c>
      <c r="Z1724" s="2" t="n">
        <v>3</v>
      </c>
    </row>
    <row r="1725" customFormat="false" ht="15" hidden="false" customHeight="true" outlineLevel="0" collapsed="false">
      <c r="A1725" s="2" t="n">
        <v>36</v>
      </c>
      <c r="B1725" s="2" t="s">
        <v>26</v>
      </c>
      <c r="C1725" s="2" t="s">
        <v>27</v>
      </c>
      <c r="D1725" s="2" t="s">
        <v>35</v>
      </c>
      <c r="E1725" s="2" t="n">
        <v>8</v>
      </c>
      <c r="F1725" s="2" t="n">
        <v>3</v>
      </c>
      <c r="G1725" s="2" t="s">
        <v>29</v>
      </c>
      <c r="H1725" s="2" t="n">
        <v>1724</v>
      </c>
      <c r="I1725" s="2" t="s">
        <v>39</v>
      </c>
      <c r="J1725" s="2" t="n">
        <v>2</v>
      </c>
      <c r="K1725" s="2" t="s">
        <v>36</v>
      </c>
      <c r="L1725" s="2" t="s">
        <v>46</v>
      </c>
      <c r="M1725" s="2" t="n">
        <v>59150</v>
      </c>
      <c r="N1725" s="2" t="n">
        <v>2</v>
      </c>
      <c r="O1725" s="2" t="n">
        <v>13</v>
      </c>
      <c r="P1725" s="2" t="n">
        <v>1</v>
      </c>
      <c r="Q1725" s="2" t="n">
        <v>13</v>
      </c>
      <c r="R1725" s="2" t="n">
        <v>3</v>
      </c>
      <c r="S1725" s="2" t="n">
        <v>3</v>
      </c>
      <c r="T1725" s="2" t="n">
        <v>0</v>
      </c>
      <c r="U1725" s="2" t="n">
        <v>2</v>
      </c>
      <c r="V1725" s="2" t="n">
        <v>2</v>
      </c>
      <c r="W1725" s="2" t="n">
        <v>2</v>
      </c>
      <c r="X1725" s="2" t="n">
        <v>3</v>
      </c>
      <c r="Y1725" s="2" t="n">
        <v>2</v>
      </c>
      <c r="Z1725" s="2" t="n">
        <v>3</v>
      </c>
    </row>
    <row r="1726" customFormat="false" ht="15" hidden="false" customHeight="true" outlineLevel="0" collapsed="false">
      <c r="A1726" s="2" t="n">
        <v>27</v>
      </c>
      <c r="B1726" s="2" t="s">
        <v>26</v>
      </c>
      <c r="C1726" s="2" t="s">
        <v>27</v>
      </c>
      <c r="D1726" s="2" t="s">
        <v>28</v>
      </c>
      <c r="E1726" s="2" t="n">
        <v>9</v>
      </c>
      <c r="F1726" s="2" t="n">
        <v>3</v>
      </c>
      <c r="G1726" s="2" t="s">
        <v>50</v>
      </c>
      <c r="H1726" s="2" t="n">
        <v>1725</v>
      </c>
      <c r="I1726" s="2" t="s">
        <v>39</v>
      </c>
      <c r="J1726" s="2" t="n">
        <v>5</v>
      </c>
      <c r="K1726" s="2" t="s">
        <v>44</v>
      </c>
      <c r="L1726" s="2" t="s">
        <v>37</v>
      </c>
      <c r="M1726" s="2" t="n">
        <v>59930</v>
      </c>
      <c r="N1726" s="2" t="n">
        <v>0</v>
      </c>
      <c r="O1726" s="2" t="n">
        <v>14</v>
      </c>
      <c r="P1726" s="2" t="n">
        <v>1</v>
      </c>
      <c r="Q1726" s="2" t="n">
        <v>5</v>
      </c>
      <c r="R1726" s="2" t="n">
        <v>3</v>
      </c>
      <c r="S1726" s="2" t="n">
        <v>4</v>
      </c>
      <c r="T1726" s="2" t="n">
        <v>1</v>
      </c>
      <c r="U1726" s="2" t="n">
        <v>1</v>
      </c>
      <c r="V1726" s="2" t="n">
        <v>1</v>
      </c>
      <c r="W1726" s="2" t="n">
        <v>4</v>
      </c>
      <c r="X1726" s="2" t="n">
        <v>3</v>
      </c>
      <c r="Y1726" s="2" t="n">
        <v>1</v>
      </c>
      <c r="Z1726" s="2" t="n">
        <v>3</v>
      </c>
    </row>
    <row r="1727" customFormat="false" ht="15" hidden="false" customHeight="true" outlineLevel="0" collapsed="false">
      <c r="A1727" s="2" t="n">
        <v>20</v>
      </c>
      <c r="B1727" s="2" t="s">
        <v>33</v>
      </c>
      <c r="C1727" s="2" t="s">
        <v>27</v>
      </c>
      <c r="D1727" s="2" t="s">
        <v>35</v>
      </c>
      <c r="E1727" s="2" t="n">
        <v>1</v>
      </c>
      <c r="F1727" s="2" t="n">
        <v>3</v>
      </c>
      <c r="G1727" s="2" t="s">
        <v>29</v>
      </c>
      <c r="H1727" s="2" t="n">
        <v>1726</v>
      </c>
      <c r="I1727" s="2" t="s">
        <v>39</v>
      </c>
      <c r="J1727" s="2" t="n">
        <v>5</v>
      </c>
      <c r="K1727" s="2" t="s">
        <v>48</v>
      </c>
      <c r="L1727" s="2" t="s">
        <v>37</v>
      </c>
      <c r="M1727" s="2" t="n">
        <v>61620</v>
      </c>
      <c r="N1727" s="2" t="n">
        <v>1</v>
      </c>
      <c r="O1727" s="2" t="n">
        <v>12</v>
      </c>
      <c r="P1727" s="2" t="n">
        <v>3</v>
      </c>
      <c r="Q1727" s="2" t="n">
        <v>1</v>
      </c>
      <c r="R1727" s="2" t="n">
        <v>2</v>
      </c>
      <c r="S1727" s="2" t="n">
        <v>1</v>
      </c>
      <c r="T1727" s="2" t="n">
        <v>1</v>
      </c>
      <c r="U1727" s="2" t="n">
        <v>1</v>
      </c>
      <c r="V1727" s="2" t="n">
        <v>4</v>
      </c>
      <c r="W1727" s="2" t="n">
        <v>3</v>
      </c>
      <c r="X1727" s="2" t="n">
        <v>3</v>
      </c>
      <c r="Y1727" s="2" t="n">
        <v>2</v>
      </c>
      <c r="Z1727" s="2" t="n">
        <v>3</v>
      </c>
    </row>
    <row r="1728" customFormat="false" ht="15" hidden="false" customHeight="true" outlineLevel="0" collapsed="false">
      <c r="A1728" s="2" t="n">
        <v>33</v>
      </c>
      <c r="B1728" s="2" t="s">
        <v>33</v>
      </c>
      <c r="C1728" s="2" t="s">
        <v>34</v>
      </c>
      <c r="D1728" s="2" t="s">
        <v>35</v>
      </c>
      <c r="E1728" s="2" t="n">
        <v>15</v>
      </c>
      <c r="F1728" s="2" t="n">
        <v>4</v>
      </c>
      <c r="G1728" s="2" t="s">
        <v>43</v>
      </c>
      <c r="H1728" s="2" t="n">
        <v>1727</v>
      </c>
      <c r="I1728" s="2" t="s">
        <v>30</v>
      </c>
      <c r="J1728" s="2" t="n">
        <v>1</v>
      </c>
      <c r="K1728" s="2" t="s">
        <v>45</v>
      </c>
      <c r="L1728" s="2" t="s">
        <v>37</v>
      </c>
      <c r="M1728" s="2" t="n">
        <v>24060</v>
      </c>
      <c r="N1728" s="2" t="n">
        <v>1</v>
      </c>
      <c r="O1728" s="2" t="n">
        <v>11</v>
      </c>
      <c r="P1728" s="2" t="n">
        <v>0</v>
      </c>
      <c r="Q1728" s="2" t="n">
        <v>10</v>
      </c>
      <c r="R1728" s="2" t="n">
        <v>3</v>
      </c>
      <c r="S1728" s="2" t="n">
        <v>10</v>
      </c>
      <c r="T1728" s="2" t="n">
        <v>9</v>
      </c>
      <c r="U1728" s="2" t="n">
        <v>7</v>
      </c>
      <c r="V1728" s="2" t="n">
        <v>1</v>
      </c>
      <c r="W1728" s="2" t="n">
        <v>1</v>
      </c>
      <c r="X1728" s="2" t="n">
        <v>3</v>
      </c>
      <c r="Y1728" s="2" t="n">
        <v>3</v>
      </c>
      <c r="Z1728" s="2" t="n">
        <v>3</v>
      </c>
    </row>
    <row r="1729" customFormat="false" ht="15" hidden="false" customHeight="true" outlineLevel="0" collapsed="false">
      <c r="A1729" s="2" t="n">
        <v>35</v>
      </c>
      <c r="B1729" s="2" t="s">
        <v>26</v>
      </c>
      <c r="C1729" s="2" t="s">
        <v>41</v>
      </c>
      <c r="D1729" s="2" t="s">
        <v>35</v>
      </c>
      <c r="E1729" s="2" t="n">
        <v>2</v>
      </c>
      <c r="F1729" s="2" t="n">
        <v>1</v>
      </c>
      <c r="G1729" s="2" t="s">
        <v>43</v>
      </c>
      <c r="H1729" s="2" t="n">
        <v>1728</v>
      </c>
      <c r="I1729" s="2" t="s">
        <v>39</v>
      </c>
      <c r="J1729" s="2" t="n">
        <v>1</v>
      </c>
      <c r="K1729" s="2" t="s">
        <v>36</v>
      </c>
      <c r="L1729" s="2" t="s">
        <v>32</v>
      </c>
      <c r="M1729" s="2" t="n">
        <v>187400</v>
      </c>
      <c r="N1729" s="2" t="n">
        <v>1</v>
      </c>
      <c r="O1729" s="2" t="n">
        <v>19</v>
      </c>
      <c r="P1729" s="2" t="n">
        <v>1</v>
      </c>
      <c r="Q1729" s="2" t="n">
        <v>1</v>
      </c>
      <c r="R1729" s="2" t="n">
        <v>2</v>
      </c>
      <c r="S1729" s="2" t="n">
        <v>1</v>
      </c>
      <c r="T1729" s="2" t="n">
        <v>0</v>
      </c>
      <c r="U1729" s="2" t="n">
        <v>0</v>
      </c>
      <c r="V1729" s="2" t="n">
        <v>3</v>
      </c>
      <c r="W1729" s="2" t="n">
        <v>3</v>
      </c>
      <c r="X1729" s="2" t="n">
        <v>3</v>
      </c>
      <c r="Y1729" s="2" t="n">
        <v>4</v>
      </c>
      <c r="Z1729" s="2" t="n">
        <v>3</v>
      </c>
    </row>
    <row r="1730" customFormat="false" ht="15" hidden="false" customHeight="true" outlineLevel="0" collapsed="false">
      <c r="A1730" s="2" t="n">
        <v>23</v>
      </c>
      <c r="B1730" s="2" t="s">
        <v>26</v>
      </c>
      <c r="C1730" s="2" t="s">
        <v>27</v>
      </c>
      <c r="D1730" s="2" t="s">
        <v>35</v>
      </c>
      <c r="E1730" s="2" t="n">
        <v>2</v>
      </c>
      <c r="F1730" s="2" t="n">
        <v>3</v>
      </c>
      <c r="G1730" s="2" t="s">
        <v>29</v>
      </c>
      <c r="H1730" s="2" t="n">
        <v>1729</v>
      </c>
      <c r="I1730" s="2" t="s">
        <v>39</v>
      </c>
      <c r="J1730" s="2" t="n">
        <v>1</v>
      </c>
      <c r="K1730" s="2" t="s">
        <v>31</v>
      </c>
      <c r="L1730" s="2" t="s">
        <v>32</v>
      </c>
      <c r="M1730" s="2" t="n">
        <v>76370</v>
      </c>
      <c r="N1730" s="2" t="n">
        <v>2</v>
      </c>
      <c r="O1730" s="2" t="n">
        <v>11</v>
      </c>
      <c r="P1730" s="2" t="n">
        <v>1</v>
      </c>
      <c r="Q1730" s="2" t="n">
        <v>5</v>
      </c>
      <c r="R1730" s="2" t="n">
        <v>3</v>
      </c>
      <c r="S1730" s="2" t="n">
        <v>3</v>
      </c>
      <c r="T1730" s="2" t="n">
        <v>0</v>
      </c>
      <c r="U1730" s="2" t="n">
        <v>2</v>
      </c>
      <c r="V1730" s="2" t="n">
        <v>1</v>
      </c>
      <c r="W1730" s="2" t="n">
        <v>1</v>
      </c>
      <c r="X1730" s="2" t="n">
        <v>4</v>
      </c>
      <c r="Y1730" s="2" t="n">
        <v>3</v>
      </c>
      <c r="Z1730" s="2" t="n">
        <v>3</v>
      </c>
    </row>
    <row r="1731" customFormat="false" ht="15" hidden="false" customHeight="true" outlineLevel="0" collapsed="false">
      <c r="A1731" s="2" t="n">
        <v>25</v>
      </c>
      <c r="B1731" s="2" t="s">
        <v>26</v>
      </c>
      <c r="C1731" s="2" t="s">
        <v>27</v>
      </c>
      <c r="D1731" s="2" t="s">
        <v>35</v>
      </c>
      <c r="E1731" s="2" t="n">
        <v>11</v>
      </c>
      <c r="F1731" s="2" t="n">
        <v>3</v>
      </c>
      <c r="G1731" s="2" t="s">
        <v>43</v>
      </c>
      <c r="H1731" s="2" t="n">
        <v>1730</v>
      </c>
      <c r="I1731" s="2" t="s">
        <v>39</v>
      </c>
      <c r="J1731" s="2" t="n">
        <v>2</v>
      </c>
      <c r="K1731" s="2" t="s">
        <v>47</v>
      </c>
      <c r="L1731" s="2" t="s">
        <v>32</v>
      </c>
      <c r="M1731" s="2" t="n">
        <v>100960</v>
      </c>
      <c r="N1731" s="2" t="n">
        <v>0</v>
      </c>
      <c r="O1731" s="2" t="n">
        <v>11</v>
      </c>
      <c r="P1731" s="2" t="n">
        <v>1</v>
      </c>
      <c r="Q1731" s="2" t="n">
        <v>4</v>
      </c>
      <c r="R1731" s="2" t="n">
        <v>3</v>
      </c>
      <c r="S1731" s="2" t="n">
        <v>3</v>
      </c>
      <c r="T1731" s="2" t="n">
        <v>1</v>
      </c>
      <c r="U1731" s="2" t="n">
        <v>2</v>
      </c>
      <c r="V1731" s="2" t="n">
        <v>4</v>
      </c>
      <c r="W1731" s="2" t="n">
        <v>2</v>
      </c>
      <c r="X1731" s="2" t="n">
        <v>3</v>
      </c>
      <c r="Y1731" s="2" t="n">
        <v>3</v>
      </c>
      <c r="Z1731" s="2" t="n">
        <v>3</v>
      </c>
    </row>
    <row r="1732" customFormat="false" ht="15" hidden="false" customHeight="true" outlineLevel="0" collapsed="false">
      <c r="A1732" s="2" t="n">
        <v>38</v>
      </c>
      <c r="B1732" s="2" t="s">
        <v>26</v>
      </c>
      <c r="C1732" s="2" t="s">
        <v>27</v>
      </c>
      <c r="D1732" s="2" t="s">
        <v>35</v>
      </c>
      <c r="E1732" s="2" t="n">
        <v>16</v>
      </c>
      <c r="F1732" s="2" t="n">
        <v>3</v>
      </c>
      <c r="G1732" s="2" t="s">
        <v>29</v>
      </c>
      <c r="H1732" s="2" t="n">
        <v>1731</v>
      </c>
      <c r="I1732" s="2" t="s">
        <v>39</v>
      </c>
      <c r="J1732" s="2" t="n">
        <v>5</v>
      </c>
      <c r="K1732" s="2" t="s">
        <v>36</v>
      </c>
      <c r="L1732" s="2" t="s">
        <v>37</v>
      </c>
      <c r="M1732" s="2" t="n">
        <v>147560</v>
      </c>
      <c r="N1732" s="2" t="n">
        <v>0</v>
      </c>
      <c r="O1732" s="2" t="n">
        <v>20</v>
      </c>
      <c r="P1732" s="2" t="n">
        <v>1</v>
      </c>
      <c r="Q1732" s="2" t="n">
        <v>8</v>
      </c>
      <c r="R1732" s="2" t="n">
        <v>3</v>
      </c>
      <c r="S1732" s="2" t="n">
        <v>7</v>
      </c>
      <c r="T1732" s="2" t="n">
        <v>0</v>
      </c>
      <c r="U1732" s="2" t="n">
        <v>5</v>
      </c>
      <c r="V1732" s="2" t="n">
        <v>4</v>
      </c>
      <c r="W1732" s="2" t="n">
        <v>4</v>
      </c>
      <c r="X1732" s="2" t="n">
        <v>3</v>
      </c>
      <c r="Y1732" s="2" t="n">
        <v>2</v>
      </c>
      <c r="Z1732" s="2" t="n">
        <v>4</v>
      </c>
    </row>
    <row r="1733" customFormat="false" ht="15" hidden="false" customHeight="true" outlineLevel="0" collapsed="false">
      <c r="A1733" s="2" t="n">
        <v>29</v>
      </c>
      <c r="B1733" s="2" t="s">
        <v>26</v>
      </c>
      <c r="C1733" s="2" t="s">
        <v>34</v>
      </c>
      <c r="D1733" s="2" t="s">
        <v>28</v>
      </c>
      <c r="E1733" s="2" t="n">
        <v>2</v>
      </c>
      <c r="F1733" s="2" t="n">
        <v>4</v>
      </c>
      <c r="G1733" s="2" t="s">
        <v>29</v>
      </c>
      <c r="H1733" s="2" t="n">
        <v>1732</v>
      </c>
      <c r="I1733" s="2" t="s">
        <v>39</v>
      </c>
      <c r="J1733" s="2" t="n">
        <v>4</v>
      </c>
      <c r="K1733" s="2" t="s">
        <v>31</v>
      </c>
      <c r="L1733" s="2" t="s">
        <v>46</v>
      </c>
      <c r="M1733" s="2" t="n">
        <v>64990</v>
      </c>
      <c r="N1733" s="2" t="n">
        <v>1</v>
      </c>
      <c r="O1733" s="2" t="n">
        <v>18</v>
      </c>
      <c r="P1733" s="2" t="n">
        <v>3</v>
      </c>
      <c r="Q1733" s="2" t="n">
        <v>10</v>
      </c>
      <c r="R1733" s="2" t="n">
        <v>3</v>
      </c>
      <c r="S1733" s="2" t="n">
        <v>10</v>
      </c>
      <c r="T1733" s="2" t="n">
        <v>2</v>
      </c>
      <c r="U1733" s="2" t="n">
        <v>8</v>
      </c>
      <c r="V1733" s="2" t="n">
        <v>2</v>
      </c>
      <c r="W1733" s="2" t="n">
        <v>4</v>
      </c>
      <c r="X1733" s="2" t="n">
        <v>3</v>
      </c>
      <c r="Y1733" s="2" t="n">
        <v>2</v>
      </c>
      <c r="Z1733" s="2" t="n">
        <v>3</v>
      </c>
    </row>
    <row r="1734" customFormat="false" ht="15" hidden="false" customHeight="true" outlineLevel="0" collapsed="false">
      <c r="A1734" s="2" t="n">
        <v>48</v>
      </c>
      <c r="B1734" s="2" t="s">
        <v>26</v>
      </c>
      <c r="C1734" s="2" t="s">
        <v>27</v>
      </c>
      <c r="D1734" s="2" t="s">
        <v>35</v>
      </c>
      <c r="E1734" s="2" t="n">
        <v>16</v>
      </c>
      <c r="F1734" s="2" t="n">
        <v>3</v>
      </c>
      <c r="G1734" s="2" t="s">
        <v>51</v>
      </c>
      <c r="H1734" s="2" t="n">
        <v>1733</v>
      </c>
      <c r="I1734" s="2" t="s">
        <v>39</v>
      </c>
      <c r="J1734" s="2" t="n">
        <v>1</v>
      </c>
      <c r="K1734" s="2" t="s">
        <v>40</v>
      </c>
      <c r="L1734" s="2" t="s">
        <v>32</v>
      </c>
      <c r="M1734" s="2" t="n">
        <v>97240</v>
      </c>
      <c r="N1734" s="2" t="n">
        <v>3</v>
      </c>
      <c r="O1734" s="2" t="n">
        <v>13</v>
      </c>
      <c r="P1734" s="2" t="n">
        <v>0</v>
      </c>
      <c r="Q1734" s="2" t="n">
        <v>12</v>
      </c>
      <c r="R1734" s="2" t="n">
        <v>2</v>
      </c>
      <c r="S1734" s="2" t="n">
        <v>2</v>
      </c>
      <c r="T1734" s="2" t="n">
        <v>2</v>
      </c>
      <c r="U1734" s="2" t="n">
        <v>2</v>
      </c>
      <c r="V1734" s="2" t="n">
        <v>2</v>
      </c>
      <c r="W1734" s="2" t="n">
        <v>2</v>
      </c>
      <c r="X1734" s="2" t="n">
        <v>3</v>
      </c>
      <c r="Y1734" s="2" t="n">
        <v>4</v>
      </c>
      <c r="Z1734" s="2" t="n">
        <v>3</v>
      </c>
    </row>
    <row r="1735" customFormat="false" ht="15" hidden="false" customHeight="true" outlineLevel="0" collapsed="false">
      <c r="A1735" s="2" t="n">
        <v>27</v>
      </c>
      <c r="B1735" s="2" t="s">
        <v>26</v>
      </c>
      <c r="C1735" s="2" t="s">
        <v>34</v>
      </c>
      <c r="D1735" s="2" t="s">
        <v>28</v>
      </c>
      <c r="E1735" s="2" t="n">
        <v>4</v>
      </c>
      <c r="F1735" s="2" t="n">
        <v>3</v>
      </c>
      <c r="G1735" s="2" t="s">
        <v>51</v>
      </c>
      <c r="H1735" s="2" t="n">
        <v>1734</v>
      </c>
      <c r="I1735" s="2" t="s">
        <v>39</v>
      </c>
      <c r="J1735" s="2" t="n">
        <v>5</v>
      </c>
      <c r="K1735" s="2" t="s">
        <v>45</v>
      </c>
      <c r="L1735" s="2" t="s">
        <v>46</v>
      </c>
      <c r="M1735" s="2" t="n">
        <v>21940</v>
      </c>
      <c r="N1735" s="2" t="n">
        <v>1</v>
      </c>
      <c r="O1735" s="2" t="n">
        <v>12</v>
      </c>
      <c r="P1735" s="2" t="n">
        <v>0</v>
      </c>
      <c r="Q1735" s="2" t="n">
        <v>6</v>
      </c>
      <c r="R1735" s="2" t="n">
        <v>5</v>
      </c>
      <c r="S1735" s="2" t="n">
        <v>6</v>
      </c>
      <c r="T1735" s="2" t="n">
        <v>0</v>
      </c>
      <c r="U1735" s="2" t="n">
        <v>4</v>
      </c>
      <c r="V1735" s="2" t="n">
        <v>4</v>
      </c>
      <c r="W1735" s="2" t="n">
        <v>4</v>
      </c>
      <c r="X1735" s="2" t="n">
        <v>3</v>
      </c>
      <c r="Y1735" s="2" t="n">
        <v>3</v>
      </c>
      <c r="Z1735" s="2" t="n">
        <v>3</v>
      </c>
    </row>
    <row r="1736" customFormat="false" ht="15" hidden="false" customHeight="true" outlineLevel="0" collapsed="false">
      <c r="A1736" s="2" t="n">
        <v>37</v>
      </c>
      <c r="B1736" s="2" t="s">
        <v>26</v>
      </c>
      <c r="C1736" s="2" t="s">
        <v>27</v>
      </c>
      <c r="D1736" s="2" t="s">
        <v>35</v>
      </c>
      <c r="E1736" s="2" t="n">
        <v>16</v>
      </c>
      <c r="F1736" s="2" t="n">
        <v>3</v>
      </c>
      <c r="G1736" s="2" t="s">
        <v>29</v>
      </c>
      <c r="H1736" s="2" t="n">
        <v>1735</v>
      </c>
      <c r="I1736" s="2" t="s">
        <v>39</v>
      </c>
      <c r="J1736" s="2" t="n">
        <v>3</v>
      </c>
      <c r="K1736" s="2" t="s">
        <v>49</v>
      </c>
      <c r="L1736" s="2" t="s">
        <v>37</v>
      </c>
      <c r="M1736" s="2" t="n">
        <v>33880</v>
      </c>
      <c r="N1736" s="2" t="n">
        <v>3</v>
      </c>
      <c r="O1736" s="2" t="n">
        <v>11</v>
      </c>
      <c r="P1736" s="2" t="n">
        <v>0</v>
      </c>
      <c r="Q1736" s="2" t="n">
        <v>4</v>
      </c>
      <c r="R1736" s="2" t="n">
        <v>2</v>
      </c>
      <c r="S1736" s="2" t="n">
        <v>1</v>
      </c>
      <c r="T1736" s="2" t="n">
        <v>0</v>
      </c>
      <c r="U1736" s="2" t="n">
        <v>0</v>
      </c>
      <c r="V1736" s="2" t="n">
        <v>4</v>
      </c>
      <c r="W1736" s="2" t="n">
        <v>4</v>
      </c>
      <c r="X1736" s="2" t="n">
        <v>3</v>
      </c>
      <c r="Y1736" s="2" t="n">
        <v>4</v>
      </c>
      <c r="Z1736" s="2" t="n">
        <v>3</v>
      </c>
    </row>
    <row r="1737" customFormat="false" ht="15" hidden="false" customHeight="true" outlineLevel="0" collapsed="false">
      <c r="A1737" s="2" t="n">
        <v>50</v>
      </c>
      <c r="B1737" s="2" t="s">
        <v>26</v>
      </c>
      <c r="C1737" s="2" t="s">
        <v>27</v>
      </c>
      <c r="D1737" s="2" t="s">
        <v>28</v>
      </c>
      <c r="E1737" s="2" t="n">
        <v>5</v>
      </c>
      <c r="F1737" s="2" t="n">
        <v>3</v>
      </c>
      <c r="G1737" s="2" t="s">
        <v>43</v>
      </c>
      <c r="H1737" s="2" t="n">
        <v>1736</v>
      </c>
      <c r="I1737" s="2" t="s">
        <v>39</v>
      </c>
      <c r="J1737" s="2" t="n">
        <v>1</v>
      </c>
      <c r="K1737" s="2" t="s">
        <v>45</v>
      </c>
      <c r="L1737" s="2" t="s">
        <v>32</v>
      </c>
      <c r="M1737" s="2" t="n">
        <v>54730</v>
      </c>
      <c r="N1737" s="2" t="n">
        <v>1</v>
      </c>
      <c r="O1737" s="2" t="n">
        <v>19</v>
      </c>
      <c r="P1737" s="2" t="n">
        <v>1</v>
      </c>
      <c r="Q1737" s="2" t="n">
        <v>20</v>
      </c>
      <c r="R1737" s="2" t="n">
        <v>2</v>
      </c>
      <c r="S1737" s="2" t="n">
        <v>20</v>
      </c>
      <c r="T1737" s="2" t="n">
        <v>3</v>
      </c>
      <c r="U1737" s="2" t="n">
        <v>8</v>
      </c>
      <c r="V1737" s="2" t="n">
        <v>4</v>
      </c>
      <c r="W1737" s="2" t="n">
        <v>3</v>
      </c>
      <c r="X1737" s="2" t="n">
        <v>3</v>
      </c>
      <c r="Y1737" s="2" t="n">
        <v>4</v>
      </c>
      <c r="Z1737" s="2" t="n">
        <v>3</v>
      </c>
    </row>
    <row r="1738" customFormat="false" ht="15" hidden="false" customHeight="true" outlineLevel="0" collapsed="false">
      <c r="A1738" s="2" t="n">
        <v>34</v>
      </c>
      <c r="B1738" s="2" t="s">
        <v>26</v>
      </c>
      <c r="C1738" s="2" t="s">
        <v>27</v>
      </c>
      <c r="D1738" s="2" t="s">
        <v>35</v>
      </c>
      <c r="E1738" s="2" t="n">
        <v>18</v>
      </c>
      <c r="F1738" s="2" t="n">
        <v>1</v>
      </c>
      <c r="G1738" s="2" t="s">
        <v>43</v>
      </c>
      <c r="H1738" s="2" t="n">
        <v>1737</v>
      </c>
      <c r="I1738" s="2" t="s">
        <v>39</v>
      </c>
      <c r="J1738" s="2" t="n">
        <v>1</v>
      </c>
      <c r="K1738" s="2" t="s">
        <v>31</v>
      </c>
      <c r="L1738" s="2" t="s">
        <v>37</v>
      </c>
      <c r="M1738" s="2" t="n">
        <v>27030</v>
      </c>
      <c r="N1738" s="2" t="n">
        <v>1</v>
      </c>
      <c r="O1738" s="2" t="n">
        <v>21</v>
      </c>
      <c r="P1738" s="2" t="n">
        <v>1</v>
      </c>
      <c r="Q1738" s="2" t="n">
        <v>9</v>
      </c>
      <c r="R1738" s="2" t="n">
        <v>2</v>
      </c>
      <c r="S1738" s="2" t="n">
        <v>8</v>
      </c>
      <c r="T1738" s="2" t="n">
        <v>7</v>
      </c>
      <c r="U1738" s="2" t="n">
        <v>7</v>
      </c>
      <c r="V1738" s="2" t="n">
        <v>4</v>
      </c>
      <c r="W1738" s="2" t="n">
        <v>2</v>
      </c>
      <c r="X1738" s="2" t="n">
        <v>4</v>
      </c>
      <c r="Y1738" s="2" t="n">
        <v>3</v>
      </c>
      <c r="Z1738" s="2" t="n">
        <v>4</v>
      </c>
    </row>
    <row r="1739" customFormat="false" ht="15" hidden="false" customHeight="true" outlineLevel="0" collapsed="false">
      <c r="A1739" s="2" t="n">
        <v>24</v>
      </c>
      <c r="B1739" s="2" t="s">
        <v>33</v>
      </c>
      <c r="C1739" s="2" t="s">
        <v>27</v>
      </c>
      <c r="D1739" s="2" t="s">
        <v>35</v>
      </c>
      <c r="E1739" s="2" t="n">
        <v>17</v>
      </c>
      <c r="F1739" s="2" t="n">
        <v>2</v>
      </c>
      <c r="G1739" s="2" t="s">
        <v>29</v>
      </c>
      <c r="H1739" s="2" t="n">
        <v>1738</v>
      </c>
      <c r="I1739" s="2" t="s">
        <v>30</v>
      </c>
      <c r="J1739" s="2" t="n">
        <v>1</v>
      </c>
      <c r="K1739" s="2" t="s">
        <v>31</v>
      </c>
      <c r="L1739" s="2" t="s">
        <v>37</v>
      </c>
      <c r="M1739" s="2" t="n">
        <v>25010</v>
      </c>
      <c r="N1739" s="2" t="n">
        <v>9</v>
      </c>
      <c r="O1739" s="2" t="n">
        <v>12</v>
      </c>
      <c r="P1739" s="2" t="n">
        <v>0</v>
      </c>
      <c r="Q1739" s="2" t="n">
        <v>4</v>
      </c>
      <c r="R1739" s="2" t="n">
        <v>3</v>
      </c>
      <c r="S1739" s="2" t="n">
        <v>2</v>
      </c>
      <c r="T1739" s="2" t="n">
        <v>2</v>
      </c>
      <c r="U1739" s="2" t="n">
        <v>0</v>
      </c>
      <c r="V1739" s="2" t="n">
        <v>1</v>
      </c>
      <c r="W1739" s="2" t="n">
        <v>3</v>
      </c>
      <c r="X1739" s="2" t="n">
        <v>3</v>
      </c>
      <c r="Y1739" s="2" t="n">
        <v>1</v>
      </c>
      <c r="Z1739" s="2" t="n">
        <v>3</v>
      </c>
    </row>
    <row r="1740" customFormat="false" ht="15" hidden="false" customHeight="true" outlineLevel="0" collapsed="false">
      <c r="A1740" s="2" t="n">
        <v>39</v>
      </c>
      <c r="B1740" s="2" t="s">
        <v>26</v>
      </c>
      <c r="C1740" s="2" t="s">
        <v>27</v>
      </c>
      <c r="D1740" s="2" t="s">
        <v>35</v>
      </c>
      <c r="E1740" s="2" t="n">
        <v>12</v>
      </c>
      <c r="F1740" s="2" t="n">
        <v>5</v>
      </c>
      <c r="G1740" s="2" t="s">
        <v>43</v>
      </c>
      <c r="H1740" s="2" t="n">
        <v>1739</v>
      </c>
      <c r="I1740" s="2" t="s">
        <v>30</v>
      </c>
      <c r="J1740" s="2" t="n">
        <v>1</v>
      </c>
      <c r="K1740" s="2" t="s">
        <v>48</v>
      </c>
      <c r="L1740" s="2" t="s">
        <v>37</v>
      </c>
      <c r="M1740" s="2" t="n">
        <v>62200</v>
      </c>
      <c r="N1740" s="2" t="n">
        <v>1</v>
      </c>
      <c r="O1740" s="2" t="n">
        <v>14</v>
      </c>
      <c r="P1740" s="2" t="n">
        <v>2</v>
      </c>
      <c r="Q1740" s="2" t="n">
        <v>20</v>
      </c>
      <c r="R1740" s="2" t="n">
        <v>2</v>
      </c>
      <c r="S1740" s="2" t="n">
        <v>20</v>
      </c>
      <c r="T1740" s="2" t="n">
        <v>11</v>
      </c>
      <c r="U1740" s="2" t="n">
        <v>10</v>
      </c>
      <c r="V1740" s="2" t="n">
        <v>4</v>
      </c>
      <c r="W1740" s="2" t="n">
        <v>3</v>
      </c>
      <c r="X1740" s="2" t="n">
        <v>3</v>
      </c>
      <c r="Y1740" s="2" t="n">
        <v>3</v>
      </c>
      <c r="Z1740" s="2" t="n">
        <v>3</v>
      </c>
    </row>
    <row r="1741" customFormat="false" ht="15" hidden="false" customHeight="true" outlineLevel="0" collapsed="false">
      <c r="A1741" s="2" t="n">
        <v>32</v>
      </c>
      <c r="B1741" s="2" t="s">
        <v>26</v>
      </c>
      <c r="C1741" s="2" t="s">
        <v>27</v>
      </c>
      <c r="D1741" s="2" t="s">
        <v>35</v>
      </c>
      <c r="E1741" s="2" t="n">
        <v>2</v>
      </c>
      <c r="F1741" s="2" t="n">
        <v>3</v>
      </c>
      <c r="G1741" s="2" t="s">
        <v>29</v>
      </c>
      <c r="H1741" s="2" t="n">
        <v>1740</v>
      </c>
      <c r="I1741" s="2" t="s">
        <v>39</v>
      </c>
      <c r="J1741" s="2" t="n">
        <v>5</v>
      </c>
      <c r="K1741" s="2" t="s">
        <v>36</v>
      </c>
      <c r="L1741" s="2" t="s">
        <v>37</v>
      </c>
      <c r="M1741" s="2" t="n">
        <v>30380</v>
      </c>
      <c r="N1741" s="2" t="n">
        <v>1</v>
      </c>
      <c r="O1741" s="2" t="n">
        <v>11</v>
      </c>
      <c r="P1741" s="2" t="n">
        <v>0</v>
      </c>
      <c r="Q1741" s="2" t="n">
        <v>10</v>
      </c>
      <c r="R1741" s="2" t="n">
        <v>5</v>
      </c>
      <c r="S1741" s="2" t="n">
        <v>10</v>
      </c>
      <c r="T1741" s="2" t="n">
        <v>0</v>
      </c>
      <c r="U1741" s="2" t="n">
        <v>8</v>
      </c>
      <c r="V1741" s="2" t="n">
        <v>4</v>
      </c>
      <c r="W1741" s="2" t="n">
        <v>4</v>
      </c>
      <c r="X1741" s="2" t="n">
        <v>2</v>
      </c>
      <c r="Y1741" s="2" t="n">
        <v>1</v>
      </c>
      <c r="Z1741" s="2" t="n">
        <v>3</v>
      </c>
    </row>
    <row r="1742" customFormat="false" ht="15" hidden="false" customHeight="true" outlineLevel="0" collapsed="false">
      <c r="A1742" s="2" t="n">
        <v>50</v>
      </c>
      <c r="B1742" s="2" t="s">
        <v>33</v>
      </c>
      <c r="C1742" s="2" t="s">
        <v>34</v>
      </c>
      <c r="D1742" s="2" t="s">
        <v>35</v>
      </c>
      <c r="E1742" s="2" t="n">
        <v>4</v>
      </c>
      <c r="F1742" s="2" t="n">
        <v>2</v>
      </c>
      <c r="G1742" s="2" t="s">
        <v>43</v>
      </c>
      <c r="H1742" s="2" t="n">
        <v>1741</v>
      </c>
      <c r="I1742" s="2" t="s">
        <v>39</v>
      </c>
      <c r="J1742" s="2" t="n">
        <v>4</v>
      </c>
      <c r="K1742" s="2" t="s">
        <v>48</v>
      </c>
      <c r="L1742" s="2" t="s">
        <v>32</v>
      </c>
      <c r="M1742" s="2" t="n">
        <v>44240</v>
      </c>
      <c r="N1742" s="2" t="n">
        <v>3</v>
      </c>
      <c r="O1742" s="2" t="n">
        <v>14</v>
      </c>
      <c r="P1742" s="2" t="n">
        <v>1</v>
      </c>
      <c r="Q1742" s="2" t="n">
        <v>18</v>
      </c>
      <c r="R1742" s="2" t="n">
        <v>2</v>
      </c>
      <c r="S1742" s="2" t="n">
        <v>4</v>
      </c>
      <c r="T1742" s="2" t="n">
        <v>1</v>
      </c>
      <c r="U1742" s="2" t="n">
        <v>3</v>
      </c>
      <c r="V1742" s="2" t="n">
        <v>2</v>
      </c>
      <c r="W1742" s="2" t="n">
        <v>3</v>
      </c>
      <c r="X1742" s="2" t="n">
        <v>3</v>
      </c>
      <c r="Y1742" s="2" t="n">
        <v>2</v>
      </c>
      <c r="Z1742" s="2" t="n">
        <v>3</v>
      </c>
    </row>
    <row r="1743" customFormat="false" ht="15" hidden="false" customHeight="true" outlineLevel="0" collapsed="false">
      <c r="A1743" s="2" t="n">
        <v>38</v>
      </c>
      <c r="B1743" s="2" t="s">
        <v>26</v>
      </c>
      <c r="C1743" s="2" t="s">
        <v>27</v>
      </c>
      <c r="D1743" s="2" t="s">
        <v>35</v>
      </c>
      <c r="E1743" s="2" t="n">
        <v>9</v>
      </c>
      <c r="F1743" s="2" t="n">
        <v>4</v>
      </c>
      <c r="G1743" s="2" t="s">
        <v>29</v>
      </c>
      <c r="H1743" s="2" t="n">
        <v>1742</v>
      </c>
      <c r="I1743" s="2" t="s">
        <v>39</v>
      </c>
      <c r="J1743" s="2" t="n">
        <v>1</v>
      </c>
      <c r="K1743" s="2" t="s">
        <v>40</v>
      </c>
      <c r="L1743" s="2" t="s">
        <v>37</v>
      </c>
      <c r="M1743" s="2" t="n">
        <v>43120</v>
      </c>
      <c r="N1743" s="2" t="n">
        <v>0</v>
      </c>
      <c r="O1743" s="2" t="n">
        <v>12</v>
      </c>
      <c r="P1743" s="2" t="n">
        <v>1</v>
      </c>
      <c r="Q1743" s="2" t="n">
        <v>10</v>
      </c>
      <c r="R1743" s="2" t="n">
        <v>2</v>
      </c>
      <c r="S1743" s="2" t="n">
        <v>9</v>
      </c>
      <c r="T1743" s="2" t="n">
        <v>1</v>
      </c>
      <c r="U1743" s="2" t="n">
        <v>8</v>
      </c>
      <c r="V1743" s="2" t="n">
        <v>2</v>
      </c>
      <c r="W1743" s="2" t="n">
        <v>4</v>
      </c>
      <c r="X1743" s="2" t="n">
        <v>2</v>
      </c>
      <c r="Y1743" s="2" t="n">
        <v>2</v>
      </c>
      <c r="Z1743" s="2" t="n">
        <v>3</v>
      </c>
    </row>
    <row r="1744" customFormat="false" ht="15" hidden="false" customHeight="true" outlineLevel="0" collapsed="false">
      <c r="A1744" s="2" t="n">
        <v>27</v>
      </c>
      <c r="B1744" s="2" t="s">
        <v>26</v>
      </c>
      <c r="C1744" s="2" t="s">
        <v>27</v>
      </c>
      <c r="D1744" s="2" t="s">
        <v>35</v>
      </c>
      <c r="E1744" s="2" t="n">
        <v>10</v>
      </c>
      <c r="F1744" s="2" t="n">
        <v>3</v>
      </c>
      <c r="G1744" s="2" t="s">
        <v>43</v>
      </c>
      <c r="H1744" s="2" t="n">
        <v>1743</v>
      </c>
      <c r="I1744" s="2" t="s">
        <v>39</v>
      </c>
      <c r="J1744" s="2" t="n">
        <v>5</v>
      </c>
      <c r="K1744" s="2" t="s">
        <v>36</v>
      </c>
      <c r="L1744" s="2" t="s">
        <v>32</v>
      </c>
      <c r="M1744" s="2" t="n">
        <v>132450</v>
      </c>
      <c r="N1744" s="2" t="n">
        <v>1</v>
      </c>
      <c r="O1744" s="2" t="n">
        <v>23</v>
      </c>
      <c r="P1744" s="2" t="n">
        <v>1</v>
      </c>
      <c r="Q1744" s="2" t="n">
        <v>9</v>
      </c>
      <c r="R1744" s="2" t="n">
        <v>3</v>
      </c>
      <c r="S1744" s="2" t="n">
        <v>9</v>
      </c>
      <c r="T1744" s="2" t="n">
        <v>0</v>
      </c>
      <c r="U1744" s="2" t="n">
        <v>7</v>
      </c>
      <c r="V1744" s="2" t="n">
        <v>3</v>
      </c>
      <c r="W1744" s="2" t="n">
        <v>1</v>
      </c>
      <c r="X1744" s="2" t="n">
        <v>3</v>
      </c>
      <c r="Y1744" s="2" t="n">
        <v>2</v>
      </c>
      <c r="Z1744" s="2" t="n">
        <v>4</v>
      </c>
    </row>
    <row r="1745" customFormat="false" ht="15" hidden="false" customHeight="true" outlineLevel="0" collapsed="false">
      <c r="A1745" s="2" t="n">
        <v>32</v>
      </c>
      <c r="B1745" s="2" t="s">
        <v>26</v>
      </c>
      <c r="C1745" s="2" t="s">
        <v>27</v>
      </c>
      <c r="D1745" s="2" t="s">
        <v>28</v>
      </c>
      <c r="E1745" s="2" t="n">
        <v>1</v>
      </c>
      <c r="F1745" s="2" t="n">
        <v>3</v>
      </c>
      <c r="G1745" s="2" t="s">
        <v>43</v>
      </c>
      <c r="H1745" s="2" t="n">
        <v>1744</v>
      </c>
      <c r="I1745" s="2" t="s">
        <v>39</v>
      </c>
      <c r="J1745" s="2" t="n">
        <v>2</v>
      </c>
      <c r="K1745" s="2" t="s">
        <v>40</v>
      </c>
      <c r="L1745" s="2" t="s">
        <v>37</v>
      </c>
      <c r="M1745" s="2" t="n">
        <v>136640</v>
      </c>
      <c r="N1745" s="2" t="n">
        <v>3</v>
      </c>
      <c r="O1745" s="2" t="n">
        <v>14</v>
      </c>
      <c r="P1745" s="2" t="n">
        <v>0</v>
      </c>
      <c r="Q1745" s="2" t="n">
        <v>10</v>
      </c>
      <c r="R1745" s="2" t="n">
        <v>6</v>
      </c>
      <c r="S1745" s="2" t="n">
        <v>7</v>
      </c>
      <c r="T1745" s="2" t="n">
        <v>7</v>
      </c>
      <c r="U1745" s="2" t="n">
        <v>7</v>
      </c>
      <c r="V1745" s="2" t="n">
        <v>3</v>
      </c>
      <c r="W1745" s="2" t="n">
        <v>4</v>
      </c>
      <c r="X1745" s="2" t="n">
        <v>3</v>
      </c>
      <c r="Y1745" s="2" t="n">
        <v>3</v>
      </c>
      <c r="Z1745" s="2" t="n">
        <v>3</v>
      </c>
    </row>
    <row r="1746" customFormat="false" ht="15" hidden="false" customHeight="true" outlineLevel="0" collapsed="false">
      <c r="A1746" s="2" t="n">
        <v>47</v>
      </c>
      <c r="B1746" s="2" t="s">
        <v>26</v>
      </c>
      <c r="C1746" s="2" t="s">
        <v>27</v>
      </c>
      <c r="D1746" s="2" t="s">
        <v>35</v>
      </c>
      <c r="E1746" s="2" t="n">
        <v>2</v>
      </c>
      <c r="F1746" s="2" t="n">
        <v>3</v>
      </c>
      <c r="G1746" s="2" t="s">
        <v>43</v>
      </c>
      <c r="H1746" s="2" t="n">
        <v>1745</v>
      </c>
      <c r="I1746" s="2" t="s">
        <v>30</v>
      </c>
      <c r="J1746" s="2" t="n">
        <v>5</v>
      </c>
      <c r="K1746" s="2" t="s">
        <v>40</v>
      </c>
      <c r="L1746" s="2" t="s">
        <v>37</v>
      </c>
      <c r="M1746" s="2" t="n">
        <v>50210</v>
      </c>
      <c r="N1746" s="2" t="n">
        <v>2</v>
      </c>
      <c r="O1746" s="2" t="n">
        <v>17</v>
      </c>
      <c r="P1746" s="2" t="n">
        <v>0</v>
      </c>
      <c r="Q1746" s="2" t="n">
        <v>20</v>
      </c>
      <c r="R1746" s="2" t="n">
        <v>3</v>
      </c>
      <c r="S1746" s="2" t="n">
        <v>7</v>
      </c>
      <c r="T1746" s="2" t="n">
        <v>1</v>
      </c>
      <c r="U1746" s="2" t="n">
        <v>7</v>
      </c>
      <c r="V1746" s="2" t="n">
        <v>4</v>
      </c>
      <c r="W1746" s="2" t="n">
        <v>1</v>
      </c>
      <c r="X1746" s="2" t="n">
        <v>3</v>
      </c>
      <c r="Y1746" s="2" t="n">
        <v>3</v>
      </c>
      <c r="Z1746" s="2" t="n">
        <v>3</v>
      </c>
    </row>
    <row r="1747" customFormat="false" ht="15" hidden="false" customHeight="true" outlineLevel="0" collapsed="false">
      <c r="A1747" s="2" t="n">
        <v>40</v>
      </c>
      <c r="B1747" s="2" t="s">
        <v>26</v>
      </c>
      <c r="C1747" s="2" t="s">
        <v>34</v>
      </c>
      <c r="D1747" s="2" t="s">
        <v>35</v>
      </c>
      <c r="E1747" s="2" t="n">
        <v>3</v>
      </c>
      <c r="F1747" s="2" t="n">
        <v>4</v>
      </c>
      <c r="G1747" s="2" t="s">
        <v>43</v>
      </c>
      <c r="H1747" s="2" t="n">
        <v>1746</v>
      </c>
      <c r="I1747" s="2" t="s">
        <v>30</v>
      </c>
      <c r="J1747" s="2" t="n">
        <v>3</v>
      </c>
      <c r="K1747" s="2" t="s">
        <v>42</v>
      </c>
      <c r="L1747" s="2" t="s">
        <v>32</v>
      </c>
      <c r="M1747" s="2" t="n">
        <v>51260</v>
      </c>
      <c r="N1747" s="2" t="n">
        <v>5</v>
      </c>
      <c r="O1747" s="2" t="n">
        <v>18</v>
      </c>
      <c r="P1747" s="2" t="n">
        <v>0</v>
      </c>
      <c r="Q1747" s="2" t="n">
        <v>20</v>
      </c>
      <c r="R1747" s="2" t="n">
        <v>2</v>
      </c>
      <c r="S1747" s="2" t="n">
        <v>18</v>
      </c>
      <c r="T1747" s="2" t="n">
        <v>1</v>
      </c>
      <c r="U1747" s="2" t="n">
        <v>12</v>
      </c>
      <c r="V1747" s="2" t="n">
        <v>4</v>
      </c>
      <c r="W1747" s="2" t="n">
        <v>1</v>
      </c>
      <c r="X1747" s="2" t="n">
        <v>3</v>
      </c>
      <c r="Y1747" s="2" t="n">
        <v>3</v>
      </c>
      <c r="Z1747" s="2" t="n">
        <v>3</v>
      </c>
    </row>
    <row r="1748" customFormat="false" ht="15" hidden="false" customHeight="true" outlineLevel="0" collapsed="false">
      <c r="A1748" s="2" t="n">
        <v>53</v>
      </c>
      <c r="B1748" s="2" t="s">
        <v>26</v>
      </c>
      <c r="C1748" s="2" t="s">
        <v>27</v>
      </c>
      <c r="D1748" s="2" t="s">
        <v>35</v>
      </c>
      <c r="E1748" s="2" t="n">
        <v>7</v>
      </c>
      <c r="F1748" s="2" t="n">
        <v>1</v>
      </c>
      <c r="G1748" s="2" t="s">
        <v>29</v>
      </c>
      <c r="H1748" s="2" t="n">
        <v>1747</v>
      </c>
      <c r="I1748" s="2" t="s">
        <v>39</v>
      </c>
      <c r="J1748" s="2" t="n">
        <v>2</v>
      </c>
      <c r="K1748" s="2" t="s">
        <v>45</v>
      </c>
      <c r="L1748" s="2" t="s">
        <v>32</v>
      </c>
      <c r="M1748" s="2" t="n">
        <v>28590</v>
      </c>
      <c r="N1748" s="2" t="n">
        <v>3</v>
      </c>
      <c r="O1748" s="2" t="n">
        <v>18</v>
      </c>
      <c r="P1748" s="2" t="n">
        <v>1</v>
      </c>
      <c r="Q1748" s="2" t="n">
        <v>32</v>
      </c>
      <c r="R1748" s="2" t="n">
        <v>2</v>
      </c>
      <c r="S1748" s="2" t="n">
        <v>5</v>
      </c>
      <c r="T1748" s="2" t="n">
        <v>1</v>
      </c>
      <c r="U1748" s="2" t="n">
        <v>3</v>
      </c>
      <c r="V1748" s="2" t="n">
        <v>3</v>
      </c>
      <c r="W1748" s="2" t="n">
        <v>3</v>
      </c>
      <c r="X1748" s="2" t="n">
        <v>3</v>
      </c>
      <c r="Y1748" s="2" t="n">
        <v>3</v>
      </c>
      <c r="Z1748" s="2" t="n">
        <v>3</v>
      </c>
    </row>
    <row r="1749" customFormat="false" ht="15" hidden="false" customHeight="true" outlineLevel="0" collapsed="false">
      <c r="A1749" s="2" t="n">
        <v>41</v>
      </c>
      <c r="B1749" s="2" t="s">
        <v>26</v>
      </c>
      <c r="C1749" s="2" t="s">
        <v>27</v>
      </c>
      <c r="D1749" s="2" t="s">
        <v>28</v>
      </c>
      <c r="E1749" s="2" t="n">
        <v>6</v>
      </c>
      <c r="F1749" s="2" t="n">
        <v>3</v>
      </c>
      <c r="G1749" s="2" t="s">
        <v>43</v>
      </c>
      <c r="H1749" s="2" t="n">
        <v>1748</v>
      </c>
      <c r="I1749" s="2" t="s">
        <v>39</v>
      </c>
      <c r="J1749" s="2" t="n">
        <v>1</v>
      </c>
      <c r="K1749" s="2" t="s">
        <v>40</v>
      </c>
      <c r="L1749" s="2" t="s">
        <v>46</v>
      </c>
      <c r="M1749" s="2" t="n">
        <v>102390</v>
      </c>
      <c r="N1749" s="2" t="n">
        <v>3</v>
      </c>
      <c r="O1749" s="2" t="n">
        <v>24</v>
      </c>
      <c r="P1749" s="2" t="n">
        <v>3</v>
      </c>
      <c r="Q1749" s="2" t="n">
        <v>23</v>
      </c>
      <c r="R1749" s="2" t="n">
        <v>3</v>
      </c>
      <c r="S1749" s="2" t="n">
        <v>21</v>
      </c>
      <c r="T1749" s="2" t="n">
        <v>12</v>
      </c>
      <c r="U1749" s="2" t="n">
        <v>6</v>
      </c>
      <c r="V1749" s="2" t="n">
        <v>2</v>
      </c>
      <c r="W1749" s="2" t="n">
        <v>4</v>
      </c>
      <c r="X1749" s="2" t="n">
        <v>2</v>
      </c>
      <c r="Y1749" s="2" t="n">
        <v>3</v>
      </c>
      <c r="Z1749" s="2" t="n">
        <v>4</v>
      </c>
    </row>
    <row r="1750" customFormat="false" ht="15" hidden="false" customHeight="true" outlineLevel="0" collapsed="false">
      <c r="A1750" s="2" t="n">
        <v>60</v>
      </c>
      <c r="B1750" s="2" t="s">
        <v>26</v>
      </c>
      <c r="C1750" s="2" t="s">
        <v>27</v>
      </c>
      <c r="D1750" s="2" t="s">
        <v>35</v>
      </c>
      <c r="E1750" s="2" t="n">
        <v>8</v>
      </c>
      <c r="F1750" s="2" t="n">
        <v>2</v>
      </c>
      <c r="G1750" s="2" t="s">
        <v>29</v>
      </c>
      <c r="H1750" s="2" t="n">
        <v>1749</v>
      </c>
      <c r="I1750" s="2" t="s">
        <v>30</v>
      </c>
      <c r="J1750" s="2" t="n">
        <v>5</v>
      </c>
      <c r="K1750" s="2" t="s">
        <v>45</v>
      </c>
      <c r="L1750" s="2" t="s">
        <v>37</v>
      </c>
      <c r="M1750" s="2" t="n">
        <v>53290</v>
      </c>
      <c r="N1750" s="2" t="n">
        <v>8</v>
      </c>
      <c r="O1750" s="2" t="n">
        <v>20</v>
      </c>
      <c r="P1750" s="2" t="n">
        <v>0</v>
      </c>
      <c r="Q1750" s="2" t="n">
        <v>10</v>
      </c>
      <c r="R1750" s="2" t="n">
        <v>3</v>
      </c>
      <c r="S1750" s="2" t="n">
        <v>2</v>
      </c>
      <c r="T1750" s="2" t="n">
        <v>2</v>
      </c>
      <c r="U1750" s="2" t="n">
        <v>2</v>
      </c>
      <c r="V1750" s="2" t="n">
        <v>1</v>
      </c>
      <c r="W1750" s="2" t="n">
        <v>1</v>
      </c>
      <c r="X1750" s="2" t="n">
        <v>3</v>
      </c>
      <c r="Y1750" s="2" t="n">
        <v>4</v>
      </c>
      <c r="Z1750" s="2" t="n">
        <v>4</v>
      </c>
    </row>
    <row r="1751" customFormat="false" ht="15" hidden="false" customHeight="true" outlineLevel="0" collapsed="false">
      <c r="A1751" s="2" t="n">
        <v>27</v>
      </c>
      <c r="B1751" s="2" t="s">
        <v>26</v>
      </c>
      <c r="C1751" s="2" t="s">
        <v>34</v>
      </c>
      <c r="D1751" s="2" t="s">
        <v>35</v>
      </c>
      <c r="E1751" s="2" t="n">
        <v>29</v>
      </c>
      <c r="F1751" s="2" t="n">
        <v>1</v>
      </c>
      <c r="G1751" s="2" t="s">
        <v>29</v>
      </c>
      <c r="H1751" s="2" t="n">
        <v>1750</v>
      </c>
      <c r="I1751" s="2" t="s">
        <v>39</v>
      </c>
      <c r="J1751" s="2" t="n">
        <v>2</v>
      </c>
      <c r="K1751" s="2" t="s">
        <v>47</v>
      </c>
      <c r="L1751" s="2" t="s">
        <v>46</v>
      </c>
      <c r="M1751" s="2" t="n">
        <v>43250</v>
      </c>
      <c r="N1751" s="2" t="n">
        <v>1</v>
      </c>
      <c r="O1751" s="2" t="n">
        <v>14</v>
      </c>
      <c r="P1751" s="2" t="n">
        <v>0</v>
      </c>
      <c r="Q1751" s="2" t="n">
        <v>9</v>
      </c>
      <c r="R1751" s="2" t="n">
        <v>2</v>
      </c>
      <c r="S1751" s="2" t="n">
        <v>9</v>
      </c>
      <c r="T1751" s="2" t="n">
        <v>1</v>
      </c>
      <c r="U1751" s="2" t="n">
        <v>7</v>
      </c>
      <c r="V1751" s="2" t="n">
        <v>4</v>
      </c>
      <c r="W1751" s="2" t="n">
        <v>1</v>
      </c>
      <c r="X1751" s="2" t="n">
        <v>2</v>
      </c>
      <c r="Y1751" s="2" t="n">
        <v>2</v>
      </c>
      <c r="Z1751" s="2" t="n">
        <v>3</v>
      </c>
    </row>
    <row r="1752" customFormat="false" ht="15" hidden="false" customHeight="true" outlineLevel="0" collapsed="false">
      <c r="A1752" s="2" t="n">
        <v>41</v>
      </c>
      <c r="B1752" s="2" t="s">
        <v>26</v>
      </c>
      <c r="C1752" s="2" t="s">
        <v>27</v>
      </c>
      <c r="D1752" s="2" t="s">
        <v>35</v>
      </c>
      <c r="E1752" s="2" t="n">
        <v>3</v>
      </c>
      <c r="F1752" s="2" t="n">
        <v>3</v>
      </c>
      <c r="G1752" s="2" t="s">
        <v>43</v>
      </c>
      <c r="H1752" s="2" t="n">
        <v>1751</v>
      </c>
      <c r="I1752" s="2" t="s">
        <v>39</v>
      </c>
      <c r="J1752" s="2" t="n">
        <v>1</v>
      </c>
      <c r="K1752" s="2" t="s">
        <v>47</v>
      </c>
      <c r="L1752" s="2" t="s">
        <v>32</v>
      </c>
      <c r="M1752" s="2" t="n">
        <v>72600</v>
      </c>
      <c r="N1752" s="2" t="n">
        <v>1</v>
      </c>
      <c r="O1752" s="2" t="n">
        <v>16</v>
      </c>
      <c r="P1752" s="2" t="n">
        <v>0</v>
      </c>
      <c r="Q1752" s="2" t="n">
        <v>22</v>
      </c>
      <c r="R1752" s="2" t="n">
        <v>2</v>
      </c>
      <c r="S1752" s="2" t="n">
        <v>22</v>
      </c>
      <c r="T1752" s="2" t="n">
        <v>2</v>
      </c>
      <c r="U1752" s="2" t="n">
        <v>10</v>
      </c>
      <c r="V1752" s="2" t="n">
        <v>4</v>
      </c>
      <c r="W1752" s="2" t="n">
        <v>3</v>
      </c>
      <c r="X1752" s="2" t="n">
        <v>3</v>
      </c>
      <c r="Y1752" s="2" t="n">
        <v>3</v>
      </c>
      <c r="Z1752" s="2" t="n">
        <v>3</v>
      </c>
    </row>
    <row r="1753" customFormat="false" ht="15" hidden="false" customHeight="true" outlineLevel="0" collapsed="false">
      <c r="A1753" s="2" t="n">
        <v>50</v>
      </c>
      <c r="B1753" s="2" t="s">
        <v>26</v>
      </c>
      <c r="C1753" s="2" t="s">
        <v>27</v>
      </c>
      <c r="D1753" s="2" t="s">
        <v>28</v>
      </c>
      <c r="E1753" s="2" t="n">
        <v>9</v>
      </c>
      <c r="F1753" s="2" t="n">
        <v>3</v>
      </c>
      <c r="G1753" s="2" t="s">
        <v>29</v>
      </c>
      <c r="H1753" s="2" t="n">
        <v>1752</v>
      </c>
      <c r="I1753" s="2" t="s">
        <v>39</v>
      </c>
      <c r="J1753" s="2" t="n">
        <v>2</v>
      </c>
      <c r="K1753" s="2" t="s">
        <v>36</v>
      </c>
      <c r="L1753" s="2" t="s">
        <v>32</v>
      </c>
      <c r="M1753" s="2" t="n">
        <v>23220</v>
      </c>
      <c r="N1753" s="2" t="n">
        <v>7</v>
      </c>
      <c r="O1753" s="2" t="n">
        <v>25</v>
      </c>
      <c r="P1753" s="2" t="n">
        <v>1</v>
      </c>
      <c r="Q1753" s="2" t="n">
        <v>4</v>
      </c>
      <c r="R1753" s="2" t="n">
        <v>0</v>
      </c>
      <c r="S1753" s="2" t="n">
        <v>2</v>
      </c>
      <c r="T1753" s="2" t="n">
        <v>2</v>
      </c>
      <c r="U1753" s="2" t="n">
        <v>2</v>
      </c>
      <c r="V1753" s="2" t="n">
        <v>4</v>
      </c>
      <c r="W1753" s="2" t="n">
        <v>2</v>
      </c>
      <c r="X1753" s="2" t="n">
        <v>3</v>
      </c>
      <c r="Y1753" s="2" t="n">
        <v>4</v>
      </c>
      <c r="Z1753" s="2" t="n">
        <v>4</v>
      </c>
    </row>
    <row r="1754" customFormat="false" ht="15" hidden="false" customHeight="true" outlineLevel="0" collapsed="false">
      <c r="A1754" s="2" t="n">
        <v>28</v>
      </c>
      <c r="B1754" s="2" t="s">
        <v>33</v>
      </c>
      <c r="C1754" s="2" t="s">
        <v>27</v>
      </c>
      <c r="D1754" s="2" t="s">
        <v>28</v>
      </c>
      <c r="E1754" s="2" t="n">
        <v>2</v>
      </c>
      <c r="F1754" s="2" t="n">
        <v>4</v>
      </c>
      <c r="G1754" s="2" t="s">
        <v>29</v>
      </c>
      <c r="H1754" s="2" t="n">
        <v>1753</v>
      </c>
      <c r="I1754" s="2" t="s">
        <v>39</v>
      </c>
      <c r="J1754" s="2" t="n">
        <v>3</v>
      </c>
      <c r="K1754" s="2" t="s">
        <v>36</v>
      </c>
      <c r="L1754" s="2" t="s">
        <v>37</v>
      </c>
      <c r="M1754" s="2" t="n">
        <v>20750</v>
      </c>
      <c r="N1754" s="2" t="n">
        <v>7</v>
      </c>
      <c r="O1754" s="2" t="n">
        <v>18</v>
      </c>
      <c r="P1754" s="2" t="n">
        <v>3</v>
      </c>
      <c r="Q1754" s="2" t="n">
        <v>10</v>
      </c>
      <c r="R1754" s="2" t="n">
        <v>0</v>
      </c>
      <c r="S1754" s="2" t="n">
        <v>7</v>
      </c>
      <c r="T1754" s="2" t="n">
        <v>3</v>
      </c>
      <c r="U1754" s="2" t="n">
        <v>7</v>
      </c>
      <c r="V1754" s="2" t="n">
        <v>1</v>
      </c>
      <c r="W1754" s="2" t="n">
        <v>2</v>
      </c>
      <c r="X1754" s="2" t="n">
        <v>3</v>
      </c>
      <c r="Y1754" s="2" t="n">
        <v>2</v>
      </c>
      <c r="Z1754" s="2" t="n">
        <v>3</v>
      </c>
    </row>
    <row r="1755" customFormat="false" ht="15" hidden="false" customHeight="true" outlineLevel="0" collapsed="false">
      <c r="A1755" s="2" t="n">
        <v>36</v>
      </c>
      <c r="B1755" s="2" t="s">
        <v>26</v>
      </c>
      <c r="C1755" s="2" t="s">
        <v>41</v>
      </c>
      <c r="D1755" s="2" t="s">
        <v>35</v>
      </c>
      <c r="E1755" s="2" t="n">
        <v>10</v>
      </c>
      <c r="F1755" s="2" t="n">
        <v>4</v>
      </c>
      <c r="G1755" s="2" t="s">
        <v>51</v>
      </c>
      <c r="H1755" s="2" t="n">
        <v>1754</v>
      </c>
      <c r="I1755" s="2" t="s">
        <v>30</v>
      </c>
      <c r="J1755" s="2" t="n">
        <v>2</v>
      </c>
      <c r="K1755" s="2" t="s">
        <v>36</v>
      </c>
      <c r="L1755" s="2" t="s">
        <v>32</v>
      </c>
      <c r="M1755" s="2" t="n">
        <v>41520</v>
      </c>
      <c r="N1755" s="2" t="n">
        <v>9</v>
      </c>
      <c r="O1755" s="2" t="n">
        <v>19</v>
      </c>
      <c r="P1755" s="2" t="n">
        <v>1</v>
      </c>
      <c r="Q1755" s="2" t="n">
        <v>10</v>
      </c>
      <c r="R1755" s="2" t="n">
        <v>3</v>
      </c>
      <c r="S1755" s="2" t="n">
        <v>8</v>
      </c>
      <c r="T1755" s="2" t="n">
        <v>0</v>
      </c>
      <c r="U1755" s="2" t="n">
        <v>5</v>
      </c>
      <c r="V1755" s="2" t="n">
        <v>1</v>
      </c>
      <c r="W1755" s="2" t="n">
        <v>1</v>
      </c>
      <c r="X1755" s="2" t="n">
        <v>3</v>
      </c>
      <c r="Y1755" s="2" t="n">
        <v>3</v>
      </c>
      <c r="Z1755" s="2" t="n">
        <v>3</v>
      </c>
    </row>
    <row r="1756" customFormat="false" ht="15" hidden="false" customHeight="true" outlineLevel="0" collapsed="false">
      <c r="A1756" s="2" t="n">
        <v>38</v>
      </c>
      <c r="B1756" s="2" t="s">
        <v>26</v>
      </c>
      <c r="C1756" s="2" t="s">
        <v>27</v>
      </c>
      <c r="D1756" s="2" t="s">
        <v>35</v>
      </c>
      <c r="E1756" s="2" t="n">
        <v>1</v>
      </c>
      <c r="F1756" s="2" t="n">
        <v>3</v>
      </c>
      <c r="G1756" s="2" t="s">
        <v>43</v>
      </c>
      <c r="H1756" s="2" t="n">
        <v>1755</v>
      </c>
      <c r="I1756" s="2" t="s">
        <v>30</v>
      </c>
      <c r="J1756" s="2" t="n">
        <v>3</v>
      </c>
      <c r="K1756" s="2" t="s">
        <v>49</v>
      </c>
      <c r="L1756" s="2" t="s">
        <v>37</v>
      </c>
      <c r="M1756" s="2" t="n">
        <v>96190</v>
      </c>
      <c r="N1756" s="2" t="n">
        <v>4</v>
      </c>
      <c r="O1756" s="2" t="n">
        <v>13</v>
      </c>
      <c r="P1756" s="2" t="n">
        <v>1</v>
      </c>
      <c r="Q1756" s="2" t="n">
        <v>10</v>
      </c>
      <c r="R1756" s="2" t="n">
        <v>2</v>
      </c>
      <c r="S1756" s="2" t="n">
        <v>1</v>
      </c>
      <c r="T1756" s="2" t="n">
        <v>0</v>
      </c>
      <c r="U1756" s="2" t="n">
        <v>0</v>
      </c>
      <c r="V1756" s="2" t="n">
        <v>3</v>
      </c>
      <c r="W1756" s="2" t="n">
        <v>3</v>
      </c>
      <c r="X1756" s="2" t="n">
        <v>4</v>
      </c>
      <c r="Y1756" s="2" t="n">
        <v>3</v>
      </c>
      <c r="Z1756" s="2" t="n">
        <v>3</v>
      </c>
    </row>
    <row r="1757" customFormat="false" ht="15" hidden="false" customHeight="true" outlineLevel="0" collapsed="false">
      <c r="A1757" s="2" t="n">
        <v>44</v>
      </c>
      <c r="B1757" s="2" t="s">
        <v>26</v>
      </c>
      <c r="C1757" s="2" t="s">
        <v>41</v>
      </c>
      <c r="D1757" s="2" t="s">
        <v>35</v>
      </c>
      <c r="E1757" s="2" t="n">
        <v>8</v>
      </c>
      <c r="F1757" s="2" t="n">
        <v>2</v>
      </c>
      <c r="G1757" s="2" t="s">
        <v>29</v>
      </c>
      <c r="H1757" s="2" t="n">
        <v>1756</v>
      </c>
      <c r="I1757" s="2" t="s">
        <v>39</v>
      </c>
      <c r="J1757" s="2" t="n">
        <v>1</v>
      </c>
      <c r="K1757" s="2" t="s">
        <v>36</v>
      </c>
      <c r="L1757" s="2" t="s">
        <v>37</v>
      </c>
      <c r="M1757" s="2" t="n">
        <v>135030</v>
      </c>
      <c r="N1757" s="2" t="n">
        <v>2</v>
      </c>
      <c r="O1757" s="2" t="n">
        <v>12</v>
      </c>
      <c r="P1757" s="2" t="n">
        <v>0</v>
      </c>
      <c r="Q1757" s="2" t="n">
        <v>9</v>
      </c>
      <c r="R1757" s="2" t="n">
        <v>6</v>
      </c>
      <c r="S1757" s="2" t="n">
        <v>5</v>
      </c>
      <c r="T1757" s="2" t="n">
        <v>1</v>
      </c>
      <c r="U1757" s="2" t="n">
        <v>4</v>
      </c>
      <c r="V1757" s="2" t="n">
        <v>1</v>
      </c>
      <c r="W1757" s="2" t="n">
        <v>3</v>
      </c>
      <c r="X1757" s="2" t="n">
        <v>3</v>
      </c>
      <c r="Y1757" s="2" t="n">
        <v>2</v>
      </c>
      <c r="Z1757" s="2" t="n">
        <v>3</v>
      </c>
    </row>
    <row r="1758" customFormat="false" ht="15" hidden="false" customHeight="true" outlineLevel="0" collapsed="false">
      <c r="A1758" s="2" t="n">
        <v>47</v>
      </c>
      <c r="B1758" s="2" t="s">
        <v>26</v>
      </c>
      <c r="C1758" s="2" t="s">
        <v>34</v>
      </c>
      <c r="D1758" s="2" t="s">
        <v>35</v>
      </c>
      <c r="E1758" s="2" t="n">
        <v>27</v>
      </c>
      <c r="F1758" s="2" t="n">
        <v>3</v>
      </c>
      <c r="G1758" s="2" t="s">
        <v>29</v>
      </c>
      <c r="H1758" s="2" t="n">
        <v>1757</v>
      </c>
      <c r="I1758" s="2" t="s">
        <v>39</v>
      </c>
      <c r="J1758" s="2" t="n">
        <v>1</v>
      </c>
      <c r="K1758" s="2" t="s">
        <v>36</v>
      </c>
      <c r="L1758" s="2" t="s">
        <v>46</v>
      </c>
      <c r="M1758" s="2" t="n">
        <v>54410</v>
      </c>
      <c r="N1758" s="2" t="n">
        <v>9</v>
      </c>
      <c r="O1758" s="2" t="n">
        <v>22</v>
      </c>
      <c r="P1758" s="2" t="n">
        <v>1</v>
      </c>
      <c r="Q1758" s="2" t="n">
        <v>28</v>
      </c>
      <c r="R1758" s="2" t="n">
        <v>6</v>
      </c>
      <c r="S1758" s="2" t="n">
        <v>22</v>
      </c>
      <c r="T1758" s="2" t="n">
        <v>11</v>
      </c>
      <c r="U1758" s="2" t="n">
        <v>13</v>
      </c>
      <c r="V1758" s="2" t="n">
        <v>4</v>
      </c>
      <c r="W1758" s="2" t="n">
        <v>3</v>
      </c>
      <c r="X1758" s="2" t="n">
        <v>2</v>
      </c>
      <c r="Y1758" s="2" t="n">
        <v>2</v>
      </c>
      <c r="Z1758" s="2" t="n">
        <v>4</v>
      </c>
    </row>
    <row r="1759" customFormat="false" ht="15" hidden="false" customHeight="true" outlineLevel="0" collapsed="false">
      <c r="A1759" s="2" t="n">
        <v>30</v>
      </c>
      <c r="B1759" s="2" t="s">
        <v>26</v>
      </c>
      <c r="C1759" s="2" t="s">
        <v>27</v>
      </c>
      <c r="D1759" s="2" t="s">
        <v>35</v>
      </c>
      <c r="E1759" s="2" t="n">
        <v>8</v>
      </c>
      <c r="F1759" s="2" t="n">
        <v>3</v>
      </c>
      <c r="G1759" s="2" t="s">
        <v>29</v>
      </c>
      <c r="H1759" s="2" t="n">
        <v>1758</v>
      </c>
      <c r="I1759" s="2" t="s">
        <v>39</v>
      </c>
      <c r="J1759" s="2" t="n">
        <v>2</v>
      </c>
      <c r="K1759" s="2" t="s">
        <v>40</v>
      </c>
      <c r="L1759" s="2" t="s">
        <v>46</v>
      </c>
      <c r="M1759" s="2" t="n">
        <v>52090</v>
      </c>
      <c r="N1759" s="2" t="n">
        <v>7</v>
      </c>
      <c r="O1759" s="2" t="n">
        <v>14</v>
      </c>
      <c r="P1759" s="2" t="n">
        <v>1</v>
      </c>
      <c r="Q1759" s="2" t="n">
        <v>10</v>
      </c>
      <c r="R1759" s="2" t="n">
        <v>3</v>
      </c>
      <c r="S1759" s="2" t="n">
        <v>8</v>
      </c>
      <c r="T1759" s="2" t="n">
        <v>7</v>
      </c>
      <c r="U1759" s="2" t="n">
        <v>7</v>
      </c>
      <c r="V1759" s="2" t="n">
        <v>3</v>
      </c>
      <c r="W1759" s="2" t="n">
        <v>4</v>
      </c>
      <c r="X1759" s="2" t="n">
        <v>2</v>
      </c>
      <c r="Y1759" s="2" t="n">
        <v>3</v>
      </c>
      <c r="Z1759" s="2" t="n">
        <v>3</v>
      </c>
    </row>
    <row r="1760" customFormat="false" ht="15" hidden="false" customHeight="true" outlineLevel="0" collapsed="false">
      <c r="A1760" s="2" t="n">
        <v>29</v>
      </c>
      <c r="B1760" s="2" t="s">
        <v>26</v>
      </c>
      <c r="C1760" s="2" t="s">
        <v>27</v>
      </c>
      <c r="D1760" s="2" t="s">
        <v>35</v>
      </c>
      <c r="E1760" s="2" t="n">
        <v>1</v>
      </c>
      <c r="F1760" s="2" t="n">
        <v>2</v>
      </c>
      <c r="G1760" s="2" t="s">
        <v>43</v>
      </c>
      <c r="H1760" s="2" t="n">
        <v>1759</v>
      </c>
      <c r="I1760" s="2" t="s">
        <v>30</v>
      </c>
      <c r="J1760" s="2" t="n">
        <v>1</v>
      </c>
      <c r="K1760" s="2" t="s">
        <v>40</v>
      </c>
      <c r="L1760" s="2" t="s">
        <v>37</v>
      </c>
      <c r="M1760" s="2" t="n">
        <v>106730</v>
      </c>
      <c r="N1760" s="2" t="n">
        <v>1</v>
      </c>
      <c r="O1760" s="2" t="n">
        <v>13</v>
      </c>
      <c r="P1760" s="2" t="n">
        <v>3</v>
      </c>
      <c r="Q1760" s="2" t="n">
        <v>1</v>
      </c>
      <c r="R1760" s="2" t="n">
        <v>2</v>
      </c>
      <c r="S1760" s="2" t="n">
        <v>1</v>
      </c>
      <c r="T1760" s="2" t="n">
        <v>0</v>
      </c>
      <c r="U1760" s="2" t="n">
        <v>0</v>
      </c>
      <c r="V1760" s="2" t="n">
        <v>3</v>
      </c>
      <c r="W1760" s="2" t="n">
        <v>3</v>
      </c>
      <c r="X1760" s="2" t="n">
        <v>3</v>
      </c>
      <c r="Y1760" s="2" t="n">
        <v>3</v>
      </c>
      <c r="Z1760" s="2" t="n">
        <v>3</v>
      </c>
    </row>
    <row r="1761" customFormat="false" ht="15" hidden="false" customHeight="true" outlineLevel="0" collapsed="false">
      <c r="A1761" s="2" t="n">
        <v>42</v>
      </c>
      <c r="B1761" s="2" t="s">
        <v>33</v>
      </c>
      <c r="C1761" s="2" t="s">
        <v>34</v>
      </c>
      <c r="D1761" s="2" t="s">
        <v>35</v>
      </c>
      <c r="E1761" s="2" t="n">
        <v>10</v>
      </c>
      <c r="F1761" s="2" t="n">
        <v>1</v>
      </c>
      <c r="G1761" s="2" t="s">
        <v>29</v>
      </c>
      <c r="H1761" s="2" t="n">
        <v>1760</v>
      </c>
      <c r="I1761" s="2" t="s">
        <v>30</v>
      </c>
      <c r="J1761" s="2" t="n">
        <v>1</v>
      </c>
      <c r="K1761" s="2" t="s">
        <v>40</v>
      </c>
      <c r="L1761" s="2" t="s">
        <v>46</v>
      </c>
      <c r="M1761" s="2" t="n">
        <v>50100</v>
      </c>
      <c r="N1761" s="2" t="n">
        <v>6</v>
      </c>
      <c r="O1761" s="2" t="n">
        <v>21</v>
      </c>
      <c r="P1761" s="2" t="n">
        <v>3</v>
      </c>
      <c r="Q1761" s="2" t="n">
        <v>7</v>
      </c>
      <c r="R1761" s="2" t="n">
        <v>3</v>
      </c>
      <c r="S1761" s="2" t="n">
        <v>2</v>
      </c>
      <c r="T1761" s="2" t="n">
        <v>2</v>
      </c>
      <c r="U1761" s="2" t="n">
        <v>2</v>
      </c>
      <c r="V1761" s="2" t="n">
        <v>3</v>
      </c>
      <c r="W1761" s="2" t="n">
        <v>3</v>
      </c>
      <c r="X1761" s="2" t="n">
        <v>3</v>
      </c>
      <c r="Y1761" s="2" t="n">
        <v>3</v>
      </c>
      <c r="Z1761" s="2" t="n">
        <v>4</v>
      </c>
    </row>
    <row r="1762" customFormat="false" ht="15" hidden="false" customHeight="true" outlineLevel="0" collapsed="false">
      <c r="A1762" s="2" t="n">
        <v>43</v>
      </c>
      <c r="B1762" s="2" t="s">
        <v>26</v>
      </c>
      <c r="C1762" s="2" t="s">
        <v>34</v>
      </c>
      <c r="D1762" s="2" t="s">
        <v>35</v>
      </c>
      <c r="E1762" s="2" t="n">
        <v>26</v>
      </c>
      <c r="F1762" s="2" t="n">
        <v>1</v>
      </c>
      <c r="G1762" s="2" t="s">
        <v>29</v>
      </c>
      <c r="H1762" s="2" t="n">
        <v>1761</v>
      </c>
      <c r="I1762" s="2" t="s">
        <v>39</v>
      </c>
      <c r="J1762" s="2" t="n">
        <v>1</v>
      </c>
      <c r="K1762" s="2" t="s">
        <v>45</v>
      </c>
      <c r="L1762" s="2" t="s">
        <v>32</v>
      </c>
      <c r="M1762" s="2" t="n">
        <v>135490</v>
      </c>
      <c r="N1762" s="2" t="n">
        <v>3</v>
      </c>
      <c r="O1762" s="2" t="n">
        <v>11</v>
      </c>
      <c r="P1762" s="2" t="n">
        <v>2</v>
      </c>
      <c r="Q1762" s="2" t="n">
        <v>7</v>
      </c>
      <c r="R1762" s="2" t="n">
        <v>3</v>
      </c>
      <c r="S1762" s="2" t="n">
        <v>2</v>
      </c>
      <c r="T1762" s="2" t="n">
        <v>2</v>
      </c>
      <c r="U1762" s="2" t="n">
        <v>2</v>
      </c>
      <c r="V1762" s="2" t="n">
        <v>4</v>
      </c>
      <c r="W1762" s="2" t="n">
        <v>4</v>
      </c>
      <c r="X1762" s="2" t="n">
        <v>3</v>
      </c>
      <c r="Y1762" s="2" t="n">
        <v>3</v>
      </c>
      <c r="Z1762" s="2" t="n">
        <v>3</v>
      </c>
    </row>
    <row r="1763" customFormat="false" ht="15" hidden="false" customHeight="true" outlineLevel="0" collapsed="false">
      <c r="A1763" s="2" t="n">
        <v>34</v>
      </c>
      <c r="B1763" s="2" t="s">
        <v>26</v>
      </c>
      <c r="C1763" s="2" t="s">
        <v>27</v>
      </c>
      <c r="D1763" s="2" t="s">
        <v>35</v>
      </c>
      <c r="E1763" s="2" t="n">
        <v>2</v>
      </c>
      <c r="F1763" s="2" t="n">
        <v>5</v>
      </c>
      <c r="G1763" s="2" t="s">
        <v>51</v>
      </c>
      <c r="H1763" s="2" t="n">
        <v>1762</v>
      </c>
      <c r="I1763" s="2" t="s">
        <v>39</v>
      </c>
      <c r="J1763" s="2" t="n">
        <v>2</v>
      </c>
      <c r="K1763" s="2" t="s">
        <v>31</v>
      </c>
      <c r="L1763" s="2" t="s">
        <v>37</v>
      </c>
      <c r="M1763" s="2" t="n">
        <v>49990</v>
      </c>
      <c r="N1763" s="2" t="n">
        <v>3</v>
      </c>
      <c r="O1763" s="2" t="n">
        <v>12</v>
      </c>
      <c r="P1763" s="2" t="n">
        <v>2</v>
      </c>
      <c r="Q1763" s="2" t="n">
        <v>10</v>
      </c>
      <c r="R1763" s="2" t="n">
        <v>2</v>
      </c>
      <c r="S1763" s="2" t="n">
        <v>5</v>
      </c>
      <c r="T1763" s="2" t="n">
        <v>4</v>
      </c>
      <c r="U1763" s="2" t="n">
        <v>3</v>
      </c>
      <c r="V1763" s="2" t="n">
        <v>2</v>
      </c>
      <c r="W1763" s="2" t="n">
        <v>3</v>
      </c>
      <c r="X1763" s="2" t="n">
        <v>3</v>
      </c>
      <c r="Y1763" s="2" t="n">
        <v>4</v>
      </c>
      <c r="Z1763" s="2" t="n">
        <v>3</v>
      </c>
    </row>
    <row r="1764" customFormat="false" ht="15" hidden="false" customHeight="true" outlineLevel="0" collapsed="false">
      <c r="A1764" s="2" t="n">
        <v>23</v>
      </c>
      <c r="B1764" s="2" t="s">
        <v>26</v>
      </c>
      <c r="C1764" s="2" t="s">
        <v>27</v>
      </c>
      <c r="D1764" s="2" t="s">
        <v>28</v>
      </c>
      <c r="E1764" s="2" t="n">
        <v>13</v>
      </c>
      <c r="F1764" s="2" t="n">
        <v>3</v>
      </c>
      <c r="G1764" s="2" t="s">
        <v>50</v>
      </c>
      <c r="H1764" s="2" t="n">
        <v>1763</v>
      </c>
      <c r="I1764" s="2" t="s">
        <v>39</v>
      </c>
      <c r="J1764" s="2" t="n">
        <v>5</v>
      </c>
      <c r="K1764" s="2" t="s">
        <v>40</v>
      </c>
      <c r="L1764" s="2" t="s">
        <v>32</v>
      </c>
      <c r="M1764" s="2" t="n">
        <v>42210</v>
      </c>
      <c r="N1764" s="2" t="n">
        <v>1</v>
      </c>
      <c r="O1764" s="2" t="n">
        <v>11</v>
      </c>
      <c r="P1764" s="2" t="n">
        <v>1</v>
      </c>
      <c r="Q1764" s="2" t="n">
        <v>5</v>
      </c>
      <c r="R1764" s="2" t="n">
        <v>4</v>
      </c>
      <c r="S1764" s="2" t="n">
        <v>4</v>
      </c>
      <c r="T1764" s="2" t="n">
        <v>0</v>
      </c>
      <c r="U1764" s="2" t="n">
        <v>2</v>
      </c>
      <c r="V1764" s="2" t="n">
        <v>2</v>
      </c>
      <c r="W1764" s="2" t="n">
        <v>1</v>
      </c>
      <c r="X1764" s="2" t="n">
        <v>4</v>
      </c>
      <c r="Y1764" s="2" t="n">
        <v>3</v>
      </c>
      <c r="Z1764" s="2" t="n">
        <v>3</v>
      </c>
    </row>
    <row r="1765" customFormat="false" ht="15" hidden="false" customHeight="true" outlineLevel="0" collapsed="false">
      <c r="A1765" s="2" t="n">
        <v>39</v>
      </c>
      <c r="B1765" s="2" t="s">
        <v>26</v>
      </c>
      <c r="C1765" s="2" t="s">
        <v>27</v>
      </c>
      <c r="D1765" s="2" t="s">
        <v>28</v>
      </c>
      <c r="E1765" s="2" t="n">
        <v>2</v>
      </c>
      <c r="F1765" s="2" t="n">
        <v>4</v>
      </c>
      <c r="G1765" s="2" t="s">
        <v>50</v>
      </c>
      <c r="H1765" s="2" t="n">
        <v>1764</v>
      </c>
      <c r="I1765" s="2" t="s">
        <v>30</v>
      </c>
      <c r="J1765" s="2" t="n">
        <v>4</v>
      </c>
      <c r="K1765" s="2" t="s">
        <v>31</v>
      </c>
      <c r="L1765" s="2" t="s">
        <v>32</v>
      </c>
      <c r="M1765" s="2" t="n">
        <v>138720</v>
      </c>
      <c r="N1765" s="2" t="n">
        <v>9</v>
      </c>
      <c r="O1765" s="2" t="n">
        <v>12</v>
      </c>
      <c r="P1765" s="2" t="n">
        <v>3</v>
      </c>
      <c r="Q1765" s="2" t="n">
        <v>12</v>
      </c>
      <c r="R1765" s="2" t="n">
        <v>3</v>
      </c>
      <c r="S1765" s="2" t="n">
        <v>8</v>
      </c>
      <c r="T1765" s="2" t="n">
        <v>3</v>
      </c>
      <c r="U1765" s="2" t="n">
        <v>6</v>
      </c>
      <c r="V1765" s="2" t="n">
        <v>3</v>
      </c>
      <c r="W1765" s="2" t="n">
        <v>2</v>
      </c>
      <c r="X1765" s="2" t="n">
        <v>1</v>
      </c>
      <c r="Y1765" s="2" t="n">
        <v>2</v>
      </c>
      <c r="Z1765" s="2" t="n">
        <v>3</v>
      </c>
    </row>
    <row r="1766" customFormat="false" ht="15" hidden="false" customHeight="true" outlineLevel="0" collapsed="false">
      <c r="A1766" s="2" t="n">
        <v>56</v>
      </c>
      <c r="B1766" s="2" t="s">
        <v>26</v>
      </c>
      <c r="C1766" s="2" t="s">
        <v>27</v>
      </c>
      <c r="D1766" s="2" t="s">
        <v>35</v>
      </c>
      <c r="E1766" s="2" t="n">
        <v>2</v>
      </c>
      <c r="F1766" s="2" t="n">
        <v>4</v>
      </c>
      <c r="G1766" s="2" t="s">
        <v>43</v>
      </c>
      <c r="H1766" s="2" t="n">
        <v>1765</v>
      </c>
      <c r="I1766" s="2" t="s">
        <v>39</v>
      </c>
      <c r="J1766" s="2" t="n">
        <v>1</v>
      </c>
      <c r="K1766" s="2" t="s">
        <v>49</v>
      </c>
      <c r="L1766" s="2" t="s">
        <v>32</v>
      </c>
      <c r="M1766" s="2" t="n">
        <v>20420</v>
      </c>
      <c r="N1766" s="2" t="n">
        <v>7</v>
      </c>
      <c r="O1766" s="2" t="n">
        <v>12</v>
      </c>
      <c r="P1766" s="2" t="n">
        <v>0</v>
      </c>
      <c r="Q1766" s="2" t="n">
        <v>30</v>
      </c>
      <c r="R1766" s="2" t="n">
        <v>6</v>
      </c>
      <c r="S1766" s="2" t="n">
        <v>10</v>
      </c>
      <c r="T1766" s="2" t="n">
        <v>1</v>
      </c>
      <c r="U1766" s="2" t="n">
        <v>1</v>
      </c>
      <c r="V1766" s="2" t="n">
        <v>3</v>
      </c>
      <c r="W1766" s="2" t="n">
        <v>4</v>
      </c>
      <c r="X1766" s="2" t="n">
        <v>2</v>
      </c>
      <c r="Y1766" s="2" t="n">
        <v>3</v>
      </c>
      <c r="Z1766" s="2" t="n">
        <v>3</v>
      </c>
    </row>
    <row r="1767" customFormat="false" ht="15" hidden="false" customHeight="true" outlineLevel="0" collapsed="false">
      <c r="A1767" s="2" t="n">
        <v>40</v>
      </c>
      <c r="B1767" s="2" t="s">
        <v>26</v>
      </c>
      <c r="C1767" s="2" t="s">
        <v>27</v>
      </c>
      <c r="D1767" s="2" t="s">
        <v>28</v>
      </c>
      <c r="E1767" s="2" t="n">
        <v>9</v>
      </c>
      <c r="F1767" s="2" t="n">
        <v>3</v>
      </c>
      <c r="G1767" s="2" t="s">
        <v>50</v>
      </c>
      <c r="H1767" s="2" t="n">
        <v>1766</v>
      </c>
      <c r="I1767" s="2" t="s">
        <v>39</v>
      </c>
      <c r="J1767" s="2" t="n">
        <v>2</v>
      </c>
      <c r="K1767" s="2" t="s">
        <v>36</v>
      </c>
      <c r="L1767" s="2" t="s">
        <v>37</v>
      </c>
      <c r="M1767" s="2" t="n">
        <v>20730</v>
      </c>
      <c r="N1767" s="2" t="n">
        <v>0</v>
      </c>
      <c r="O1767" s="2" t="n">
        <v>14</v>
      </c>
      <c r="P1767" s="2" t="n">
        <v>0</v>
      </c>
      <c r="Q1767" s="2" t="n">
        <v>5</v>
      </c>
      <c r="R1767" s="2" t="n">
        <v>3</v>
      </c>
      <c r="S1767" s="2" t="n">
        <v>4</v>
      </c>
      <c r="T1767" s="2" t="n">
        <v>2</v>
      </c>
      <c r="U1767" s="2" t="n">
        <v>3</v>
      </c>
      <c r="V1767" s="2" t="n">
        <v>4</v>
      </c>
      <c r="W1767" s="2" t="n">
        <v>4</v>
      </c>
      <c r="X1767" s="2" t="n">
        <v>2</v>
      </c>
      <c r="Y1767" s="2" t="n">
        <v>3</v>
      </c>
      <c r="Z1767" s="2" t="n">
        <v>3</v>
      </c>
    </row>
    <row r="1768" customFormat="false" ht="15" hidden="false" customHeight="true" outlineLevel="0" collapsed="false">
      <c r="A1768" s="2" t="n">
        <v>27</v>
      </c>
      <c r="B1768" s="2" t="s">
        <v>26</v>
      </c>
      <c r="C1768" s="2" t="s">
        <v>27</v>
      </c>
      <c r="D1768" s="2" t="s">
        <v>35</v>
      </c>
      <c r="E1768" s="2" t="n">
        <v>10</v>
      </c>
      <c r="F1768" s="2" t="n">
        <v>3</v>
      </c>
      <c r="G1768" s="2" t="s">
        <v>29</v>
      </c>
      <c r="H1768" s="2" t="n">
        <v>1767</v>
      </c>
      <c r="I1768" s="2" t="s">
        <v>30</v>
      </c>
      <c r="J1768" s="2" t="n">
        <v>1</v>
      </c>
      <c r="K1768" s="2" t="s">
        <v>45</v>
      </c>
      <c r="L1768" s="2" t="s">
        <v>37</v>
      </c>
      <c r="M1768" s="2" t="n">
        <v>29560</v>
      </c>
      <c r="N1768" s="2" t="n">
        <v>8</v>
      </c>
      <c r="O1768" s="2" t="n">
        <v>13</v>
      </c>
      <c r="P1768" s="2" t="n">
        <v>0</v>
      </c>
      <c r="Q1768" s="2" t="n">
        <v>9</v>
      </c>
      <c r="R1768" s="2" t="n">
        <v>6</v>
      </c>
      <c r="S1768" s="2" t="n">
        <v>7</v>
      </c>
      <c r="T1768" s="2" t="n">
        <v>0</v>
      </c>
      <c r="U1768" s="2" t="n">
        <v>7</v>
      </c>
      <c r="V1768" s="2" t="n">
        <v>4</v>
      </c>
      <c r="W1768" s="2" t="n">
        <v>1</v>
      </c>
      <c r="X1768" s="2" t="n">
        <v>1</v>
      </c>
      <c r="Y1768" s="2" t="n">
        <v>3</v>
      </c>
      <c r="Z1768" s="2" t="n">
        <v>3</v>
      </c>
    </row>
    <row r="1769" customFormat="false" ht="15" hidden="false" customHeight="true" outlineLevel="0" collapsed="false">
      <c r="A1769" s="2" t="n">
        <v>29</v>
      </c>
      <c r="B1769" s="2" t="s">
        <v>26</v>
      </c>
      <c r="C1769" s="2" t="s">
        <v>27</v>
      </c>
      <c r="D1769" s="2" t="s">
        <v>28</v>
      </c>
      <c r="E1769" s="2" t="n">
        <v>20</v>
      </c>
      <c r="F1769" s="2" t="n">
        <v>3</v>
      </c>
      <c r="G1769" s="2" t="s">
        <v>50</v>
      </c>
      <c r="H1769" s="2" t="n">
        <v>1768</v>
      </c>
      <c r="I1769" s="2" t="s">
        <v>30</v>
      </c>
      <c r="J1769" s="2" t="n">
        <v>2</v>
      </c>
      <c r="K1769" s="2" t="s">
        <v>49</v>
      </c>
      <c r="L1769" s="2" t="s">
        <v>46</v>
      </c>
      <c r="M1769" s="2" t="n">
        <v>29260</v>
      </c>
      <c r="N1769" s="2" t="n">
        <v>1</v>
      </c>
      <c r="O1769" s="2" t="n">
        <v>15</v>
      </c>
      <c r="P1769" s="2" t="n">
        <v>1</v>
      </c>
      <c r="Q1769" s="2" t="n">
        <v>2</v>
      </c>
      <c r="R1769" s="2" t="n">
        <v>3</v>
      </c>
      <c r="S1769" s="2" t="n">
        <v>2</v>
      </c>
      <c r="T1769" s="2" t="n">
        <v>2</v>
      </c>
      <c r="U1769" s="2" t="n">
        <v>2</v>
      </c>
      <c r="V1769" s="2" t="n">
        <v>4</v>
      </c>
      <c r="W1769" s="2" t="n">
        <v>2</v>
      </c>
      <c r="X1769" s="2" t="n">
        <v>3</v>
      </c>
      <c r="Y1769" s="2" t="n">
        <v>2</v>
      </c>
      <c r="Z1769" s="2" t="n">
        <v>3</v>
      </c>
    </row>
    <row r="1770" customFormat="false" ht="15" hidden="false" customHeight="true" outlineLevel="0" collapsed="false">
      <c r="A1770" s="2" t="n">
        <v>53</v>
      </c>
      <c r="B1770" s="2" t="s">
        <v>26</v>
      </c>
      <c r="C1770" s="2" t="s">
        <v>27</v>
      </c>
      <c r="D1770" s="2" t="s">
        <v>35</v>
      </c>
      <c r="E1770" s="2" t="n">
        <v>9</v>
      </c>
      <c r="F1770" s="2" t="n">
        <v>3</v>
      </c>
      <c r="G1770" s="2" t="s">
        <v>29</v>
      </c>
      <c r="H1770" s="2" t="n">
        <v>1769</v>
      </c>
      <c r="I1770" s="2" t="s">
        <v>30</v>
      </c>
      <c r="J1770" s="2" t="n">
        <v>3</v>
      </c>
      <c r="K1770" s="2" t="s">
        <v>45</v>
      </c>
      <c r="L1770" s="2" t="s">
        <v>37</v>
      </c>
      <c r="M1770" s="2" t="n">
        <v>48090</v>
      </c>
      <c r="N1770" s="2" t="n">
        <v>2</v>
      </c>
      <c r="O1770" s="2" t="n">
        <v>18</v>
      </c>
      <c r="P1770" s="2" t="n">
        <v>0</v>
      </c>
      <c r="Q1770" s="2" t="n">
        <v>19</v>
      </c>
      <c r="R1770" s="2" t="n">
        <v>2</v>
      </c>
      <c r="S1770" s="2" t="n">
        <v>2</v>
      </c>
      <c r="T1770" s="2" t="n">
        <v>2</v>
      </c>
      <c r="U1770" s="2" t="n">
        <v>2</v>
      </c>
      <c r="V1770" s="2" t="n">
        <v>4</v>
      </c>
      <c r="W1770" s="2" t="n">
        <v>4</v>
      </c>
      <c r="X1770" s="2" t="n">
        <v>3</v>
      </c>
      <c r="Y1770" s="2" t="n">
        <v>3</v>
      </c>
      <c r="Z1770" s="2" t="n">
        <v>3</v>
      </c>
    </row>
    <row r="1771" customFormat="false" ht="15" hidden="false" customHeight="true" outlineLevel="0" collapsed="false">
      <c r="A1771" s="2" t="n">
        <v>35</v>
      </c>
      <c r="B1771" s="2" t="s">
        <v>26</v>
      </c>
      <c r="C1771" s="2" t="s">
        <v>41</v>
      </c>
      <c r="D1771" s="2" t="s">
        <v>35</v>
      </c>
      <c r="E1771" s="2" t="n">
        <v>5</v>
      </c>
      <c r="F1771" s="2" t="n">
        <v>1</v>
      </c>
      <c r="G1771" s="2" t="s">
        <v>43</v>
      </c>
      <c r="H1771" s="2" t="n">
        <v>1770</v>
      </c>
      <c r="I1771" s="2" t="s">
        <v>39</v>
      </c>
      <c r="J1771" s="2" t="n">
        <v>1</v>
      </c>
      <c r="K1771" s="2" t="s">
        <v>31</v>
      </c>
      <c r="L1771" s="2" t="s">
        <v>46</v>
      </c>
      <c r="M1771" s="2" t="n">
        <v>51630</v>
      </c>
      <c r="N1771" s="2" t="n">
        <v>2</v>
      </c>
      <c r="O1771" s="2" t="n">
        <v>18</v>
      </c>
      <c r="P1771" s="2" t="n">
        <v>2</v>
      </c>
      <c r="Q1771" s="2" t="n">
        <v>16</v>
      </c>
      <c r="R1771" s="2" t="n">
        <v>4</v>
      </c>
      <c r="S1771" s="2" t="n">
        <v>1</v>
      </c>
      <c r="T1771" s="2" t="n">
        <v>0</v>
      </c>
      <c r="U1771" s="2" t="n">
        <v>0</v>
      </c>
      <c r="V1771" s="2" t="n">
        <v>4</v>
      </c>
      <c r="W1771" s="2" t="n">
        <v>1</v>
      </c>
      <c r="X1771" s="2" t="n">
        <v>4</v>
      </c>
      <c r="Y1771" s="2" t="n">
        <v>3</v>
      </c>
      <c r="Z1771" s="2" t="n">
        <v>3</v>
      </c>
    </row>
    <row r="1772" customFormat="false" ht="15" hidden="false" customHeight="true" outlineLevel="0" collapsed="false">
      <c r="A1772" s="2" t="n">
        <v>32</v>
      </c>
      <c r="B1772" s="2" t="s">
        <v>26</v>
      </c>
      <c r="C1772" s="2" t="s">
        <v>34</v>
      </c>
      <c r="D1772" s="2" t="s">
        <v>28</v>
      </c>
      <c r="E1772" s="2" t="n">
        <v>4</v>
      </c>
      <c r="F1772" s="2" t="n">
        <v>4</v>
      </c>
      <c r="G1772" s="2" t="s">
        <v>29</v>
      </c>
      <c r="H1772" s="2" t="n">
        <v>1771</v>
      </c>
      <c r="I1772" s="2" t="s">
        <v>39</v>
      </c>
      <c r="J1772" s="2" t="n">
        <v>2</v>
      </c>
      <c r="K1772" s="2" t="s">
        <v>40</v>
      </c>
      <c r="L1772" s="2" t="s">
        <v>32</v>
      </c>
      <c r="M1772" s="2" t="n">
        <v>188440</v>
      </c>
      <c r="N1772" s="2" t="n">
        <v>1</v>
      </c>
      <c r="O1772" s="2" t="n">
        <v>19</v>
      </c>
      <c r="P1772" s="2" t="n">
        <v>0</v>
      </c>
      <c r="Q1772" s="2" t="n">
        <v>10</v>
      </c>
      <c r="R1772" s="2" t="n">
        <v>3</v>
      </c>
      <c r="S1772" s="2" t="n">
        <v>10</v>
      </c>
      <c r="T1772" s="2" t="n">
        <v>4</v>
      </c>
      <c r="U1772" s="2" t="n">
        <v>7</v>
      </c>
      <c r="V1772" s="2" t="n">
        <v>1</v>
      </c>
      <c r="W1772" s="2" t="n">
        <v>4</v>
      </c>
      <c r="X1772" s="2" t="n">
        <v>3</v>
      </c>
      <c r="Y1772" s="2" t="n">
        <v>1</v>
      </c>
      <c r="Z1772" s="2" t="n">
        <v>3</v>
      </c>
    </row>
    <row r="1773" customFormat="false" ht="15" hidden="false" customHeight="true" outlineLevel="0" collapsed="false">
      <c r="A1773" s="2" t="n">
        <v>38</v>
      </c>
      <c r="B1773" s="2" t="s">
        <v>26</v>
      </c>
      <c r="C1773" s="2" t="s">
        <v>27</v>
      </c>
      <c r="D1773" s="2" t="s">
        <v>28</v>
      </c>
      <c r="E1773" s="2" t="n">
        <v>10</v>
      </c>
      <c r="F1773" s="2" t="n">
        <v>3</v>
      </c>
      <c r="G1773" s="2" t="s">
        <v>43</v>
      </c>
      <c r="H1773" s="2" t="n">
        <v>1772</v>
      </c>
      <c r="I1773" s="2" t="s">
        <v>39</v>
      </c>
      <c r="J1773" s="2" t="n">
        <v>4</v>
      </c>
      <c r="K1773" s="2" t="s">
        <v>45</v>
      </c>
      <c r="L1773" s="2" t="s">
        <v>32</v>
      </c>
      <c r="M1773" s="2" t="n">
        <v>181720</v>
      </c>
      <c r="N1773" s="2" t="n">
        <v>6</v>
      </c>
      <c r="O1773" s="2" t="n">
        <v>12</v>
      </c>
      <c r="P1773" s="2" t="n">
        <v>2</v>
      </c>
      <c r="Q1773" s="2" t="n">
        <v>6</v>
      </c>
      <c r="R1773" s="2" t="n">
        <v>5</v>
      </c>
      <c r="S1773" s="2" t="n">
        <v>1</v>
      </c>
      <c r="T1773" s="2" t="n">
        <v>0</v>
      </c>
      <c r="U1773" s="2" t="n">
        <v>1</v>
      </c>
      <c r="V1773" s="2" t="n">
        <v>4</v>
      </c>
      <c r="W1773" s="2" t="n">
        <v>3</v>
      </c>
      <c r="X1773" s="2" t="n">
        <v>1</v>
      </c>
      <c r="Y1773" s="2" t="n">
        <v>3</v>
      </c>
      <c r="Z1773" s="2" t="n">
        <v>3</v>
      </c>
    </row>
    <row r="1774" customFormat="false" ht="15" hidden="false" customHeight="true" outlineLevel="0" collapsed="false">
      <c r="A1774" s="2" t="n">
        <v>34</v>
      </c>
      <c r="B1774" s="2" t="s">
        <v>26</v>
      </c>
      <c r="C1774" s="2" t="s">
        <v>27</v>
      </c>
      <c r="D1774" s="2" t="s">
        <v>35</v>
      </c>
      <c r="E1774" s="2" t="n">
        <v>20</v>
      </c>
      <c r="F1774" s="2" t="n">
        <v>3</v>
      </c>
      <c r="G1774" s="2" t="s">
        <v>43</v>
      </c>
      <c r="H1774" s="2" t="n">
        <v>1773</v>
      </c>
      <c r="I1774" s="2" t="s">
        <v>30</v>
      </c>
      <c r="J1774" s="2" t="n">
        <v>3</v>
      </c>
      <c r="K1774" s="2" t="s">
        <v>45</v>
      </c>
      <c r="L1774" s="2" t="s">
        <v>46</v>
      </c>
      <c r="M1774" s="2" t="n">
        <v>57440</v>
      </c>
      <c r="N1774" s="2" t="n">
        <v>3</v>
      </c>
      <c r="O1774" s="2" t="n">
        <v>19</v>
      </c>
      <c r="P1774" s="2" t="n">
        <v>1</v>
      </c>
      <c r="Q1774" s="2" t="n">
        <v>7</v>
      </c>
      <c r="R1774" s="2" t="n">
        <v>4</v>
      </c>
      <c r="S1774" s="2" t="n">
        <v>0</v>
      </c>
      <c r="T1774" s="2" t="n">
        <v>0</v>
      </c>
      <c r="U1774" s="2" t="n">
        <v>0</v>
      </c>
      <c r="V1774" s="2" t="n">
        <v>2</v>
      </c>
      <c r="W1774" s="2" t="n">
        <v>1</v>
      </c>
      <c r="X1774" s="2" t="n">
        <v>3</v>
      </c>
      <c r="Y1774" s="2" t="n">
        <v>2</v>
      </c>
      <c r="Z1774" s="2" t="n">
        <v>3</v>
      </c>
    </row>
    <row r="1775" customFormat="false" ht="15" hidden="false" customHeight="true" outlineLevel="0" collapsed="false">
      <c r="A1775" s="2" t="n">
        <v>52</v>
      </c>
      <c r="B1775" s="2" t="s">
        <v>26</v>
      </c>
      <c r="C1775" s="2" t="s">
        <v>27</v>
      </c>
      <c r="D1775" s="2" t="s">
        <v>28</v>
      </c>
      <c r="E1775" s="2" t="n">
        <v>21</v>
      </c>
      <c r="F1775" s="2" t="n">
        <v>5</v>
      </c>
      <c r="G1775" s="2" t="s">
        <v>51</v>
      </c>
      <c r="H1775" s="2" t="n">
        <v>1774</v>
      </c>
      <c r="I1775" s="2" t="s">
        <v>39</v>
      </c>
      <c r="J1775" s="2" t="n">
        <v>3</v>
      </c>
      <c r="K1775" s="2" t="s">
        <v>49</v>
      </c>
      <c r="L1775" s="2" t="s">
        <v>32</v>
      </c>
      <c r="M1775" s="2" t="n">
        <v>28890</v>
      </c>
      <c r="N1775" s="2" t="n">
        <v>1</v>
      </c>
      <c r="O1775" s="2" t="n">
        <v>11</v>
      </c>
      <c r="P1775" s="2" t="n">
        <v>1</v>
      </c>
      <c r="Q1775" s="2" t="n">
        <v>34</v>
      </c>
      <c r="R1775" s="2" t="n">
        <v>2</v>
      </c>
      <c r="S1775" s="2" t="n">
        <v>34</v>
      </c>
      <c r="T1775" s="2" t="n">
        <v>1</v>
      </c>
      <c r="U1775" s="2" t="n">
        <v>16</v>
      </c>
      <c r="V1775" s="2" t="n">
        <v>3</v>
      </c>
      <c r="W1775" s="2" t="n">
        <v>1</v>
      </c>
      <c r="X1775" s="2" t="n">
        <v>4</v>
      </c>
      <c r="Y1775" s="2" t="n">
        <v>3</v>
      </c>
      <c r="Z1775" s="2" t="n">
        <v>3</v>
      </c>
    </row>
    <row r="1776" customFormat="false" ht="15" hidden="false" customHeight="true" outlineLevel="0" collapsed="false">
      <c r="A1776" s="2" t="n">
        <v>33</v>
      </c>
      <c r="B1776" s="2" t="s">
        <v>33</v>
      </c>
      <c r="C1776" s="2" t="s">
        <v>27</v>
      </c>
      <c r="D1776" s="2" t="s">
        <v>35</v>
      </c>
      <c r="E1776" s="2" t="n">
        <v>1</v>
      </c>
      <c r="F1776" s="2" t="n">
        <v>2</v>
      </c>
      <c r="G1776" s="2" t="s">
        <v>43</v>
      </c>
      <c r="H1776" s="2" t="n">
        <v>1775</v>
      </c>
      <c r="I1776" s="2" t="s">
        <v>39</v>
      </c>
      <c r="J1776" s="2" t="n">
        <v>3</v>
      </c>
      <c r="K1776" s="2" t="s">
        <v>45</v>
      </c>
      <c r="L1776" s="2" t="s">
        <v>37</v>
      </c>
      <c r="M1776" s="2" t="n">
        <v>28710</v>
      </c>
      <c r="N1776" s="2" t="n">
        <v>1</v>
      </c>
      <c r="O1776" s="2" t="n">
        <v>17</v>
      </c>
      <c r="P1776" s="2" t="n">
        <v>3</v>
      </c>
      <c r="Q1776" s="2" t="n">
        <v>10</v>
      </c>
      <c r="R1776" s="2" t="n">
        <v>2</v>
      </c>
      <c r="S1776" s="2" t="n">
        <v>10</v>
      </c>
      <c r="T1776" s="2" t="n">
        <v>7</v>
      </c>
      <c r="U1776" s="2" t="n">
        <v>8</v>
      </c>
      <c r="V1776" s="2" t="n">
        <v>4</v>
      </c>
      <c r="W1776" s="2" t="n">
        <v>4</v>
      </c>
      <c r="X1776" s="2" t="n">
        <v>2</v>
      </c>
      <c r="Y1776" s="2" t="n">
        <v>3</v>
      </c>
      <c r="Z1776" s="2" t="n">
        <v>3</v>
      </c>
    </row>
    <row r="1777" customFormat="false" ht="15" hidden="false" customHeight="true" outlineLevel="0" collapsed="false">
      <c r="A1777" s="2" t="n">
        <v>25</v>
      </c>
      <c r="B1777" s="2" t="s">
        <v>26</v>
      </c>
      <c r="C1777" s="2" t="s">
        <v>27</v>
      </c>
      <c r="D1777" s="2" t="s">
        <v>35</v>
      </c>
      <c r="E1777" s="2" t="n">
        <v>8</v>
      </c>
      <c r="F1777" s="2" t="n">
        <v>3</v>
      </c>
      <c r="G1777" s="2" t="s">
        <v>29</v>
      </c>
      <c r="H1777" s="2" t="n">
        <v>1776</v>
      </c>
      <c r="I1777" s="2" t="s">
        <v>39</v>
      </c>
      <c r="J1777" s="2" t="n">
        <v>2</v>
      </c>
      <c r="K1777" s="2" t="s">
        <v>36</v>
      </c>
      <c r="L1777" s="2" t="s">
        <v>37</v>
      </c>
      <c r="M1777" s="2" t="n">
        <v>74840</v>
      </c>
      <c r="N1777" s="2" t="n">
        <v>1</v>
      </c>
      <c r="O1777" s="2" t="n">
        <v>15</v>
      </c>
      <c r="P1777" s="2" t="n">
        <v>0</v>
      </c>
      <c r="Q1777" s="2" t="n">
        <v>6</v>
      </c>
      <c r="R1777" s="2" t="n">
        <v>3</v>
      </c>
      <c r="S1777" s="2" t="n">
        <v>6</v>
      </c>
      <c r="T1777" s="2" t="n">
        <v>1</v>
      </c>
      <c r="U1777" s="2" t="n">
        <v>4</v>
      </c>
      <c r="V1777" s="2" t="n">
        <v>3</v>
      </c>
      <c r="W1777" s="2" t="n">
        <v>4</v>
      </c>
      <c r="X1777" s="2" t="n">
        <v>2</v>
      </c>
      <c r="Y1777" s="2" t="n">
        <v>3</v>
      </c>
      <c r="Z1777" s="2" t="n">
        <v>3</v>
      </c>
    </row>
    <row r="1778" customFormat="false" ht="15" hidden="false" customHeight="true" outlineLevel="0" collapsed="false">
      <c r="A1778" s="2" t="n">
        <v>45</v>
      </c>
      <c r="B1778" s="2" t="s">
        <v>26</v>
      </c>
      <c r="C1778" s="2" t="s">
        <v>27</v>
      </c>
      <c r="D1778" s="2" t="s">
        <v>28</v>
      </c>
      <c r="E1778" s="2" t="n">
        <v>2</v>
      </c>
      <c r="F1778" s="2" t="n">
        <v>3</v>
      </c>
      <c r="G1778" s="2" t="s">
        <v>29</v>
      </c>
      <c r="H1778" s="2" t="n">
        <v>1777</v>
      </c>
      <c r="I1778" s="2" t="s">
        <v>39</v>
      </c>
      <c r="J1778" s="2" t="n">
        <v>3</v>
      </c>
      <c r="K1778" s="2" t="s">
        <v>31</v>
      </c>
      <c r="L1778" s="2" t="s">
        <v>37</v>
      </c>
      <c r="M1778" s="2" t="n">
        <v>60740</v>
      </c>
      <c r="N1778" s="2" t="n">
        <v>0</v>
      </c>
      <c r="O1778" s="2" t="n">
        <v>14</v>
      </c>
      <c r="P1778" s="2" t="n">
        <v>0</v>
      </c>
      <c r="Q1778" s="2" t="n">
        <v>9</v>
      </c>
      <c r="R1778" s="2" t="n">
        <v>2</v>
      </c>
      <c r="S1778" s="2" t="n">
        <v>8</v>
      </c>
      <c r="T1778" s="2" t="n">
        <v>3</v>
      </c>
      <c r="U1778" s="2" t="n">
        <v>1</v>
      </c>
      <c r="V1778" s="2" t="n">
        <v>2</v>
      </c>
      <c r="W1778" s="2" t="n">
        <v>3</v>
      </c>
      <c r="X1778" s="2" t="n">
        <v>3</v>
      </c>
      <c r="Y1778" s="2" t="n">
        <v>3</v>
      </c>
      <c r="Z1778" s="2" t="n">
        <v>3</v>
      </c>
    </row>
    <row r="1779" customFormat="false" ht="15" hidden="false" customHeight="true" outlineLevel="0" collapsed="false">
      <c r="A1779" s="2" t="n">
        <v>23</v>
      </c>
      <c r="B1779" s="2" t="s">
        <v>26</v>
      </c>
      <c r="C1779" s="2" t="s">
        <v>27</v>
      </c>
      <c r="D1779" s="2" t="s">
        <v>35</v>
      </c>
      <c r="E1779" s="2" t="n">
        <v>23</v>
      </c>
      <c r="F1779" s="2" t="n">
        <v>1</v>
      </c>
      <c r="G1779" s="2" t="s">
        <v>29</v>
      </c>
      <c r="H1779" s="2" t="n">
        <v>1778</v>
      </c>
      <c r="I1779" s="2" t="s">
        <v>30</v>
      </c>
      <c r="J1779" s="2" t="n">
        <v>2</v>
      </c>
      <c r="K1779" s="2" t="s">
        <v>36</v>
      </c>
      <c r="L1779" s="2" t="s">
        <v>37</v>
      </c>
      <c r="M1779" s="2" t="n">
        <v>173280</v>
      </c>
      <c r="N1779" s="2" t="n">
        <v>1</v>
      </c>
      <c r="O1779" s="2" t="n">
        <v>17</v>
      </c>
      <c r="P1779" s="2" t="n">
        <v>1</v>
      </c>
      <c r="Q1779" s="2" t="n">
        <v>2</v>
      </c>
      <c r="R1779" s="2" t="n">
        <v>2</v>
      </c>
      <c r="S1779" s="2" t="n">
        <v>2</v>
      </c>
      <c r="T1779" s="2" t="n">
        <v>0</v>
      </c>
      <c r="U1779" s="2" t="n">
        <v>2</v>
      </c>
      <c r="V1779" s="2" t="n">
        <v>1</v>
      </c>
      <c r="W1779" s="2" t="n">
        <v>3</v>
      </c>
      <c r="X1779" s="2" t="n">
        <v>3</v>
      </c>
      <c r="Y1779" s="2" t="n">
        <v>1</v>
      </c>
      <c r="Z1779" s="2" t="n">
        <v>3</v>
      </c>
    </row>
    <row r="1780" customFormat="false" ht="15" hidden="false" customHeight="true" outlineLevel="0" collapsed="false">
      <c r="A1780" s="2" t="n">
        <v>47</v>
      </c>
      <c r="B1780" s="2" t="s">
        <v>33</v>
      </c>
      <c r="C1780" s="2" t="s">
        <v>34</v>
      </c>
      <c r="D1780" s="2" t="s">
        <v>35</v>
      </c>
      <c r="E1780" s="2" t="n">
        <v>4</v>
      </c>
      <c r="F1780" s="2" t="n">
        <v>3</v>
      </c>
      <c r="G1780" s="2" t="s">
        <v>29</v>
      </c>
      <c r="H1780" s="2" t="n">
        <v>1779</v>
      </c>
      <c r="I1780" s="2" t="s">
        <v>39</v>
      </c>
      <c r="J1780" s="2" t="n">
        <v>1</v>
      </c>
      <c r="K1780" s="2" t="s">
        <v>44</v>
      </c>
      <c r="L1780" s="2" t="s">
        <v>37</v>
      </c>
      <c r="M1780" s="2" t="n">
        <v>27740</v>
      </c>
      <c r="N1780" s="2" t="n">
        <v>4</v>
      </c>
      <c r="O1780" s="2" t="n">
        <v>13</v>
      </c>
      <c r="P1780" s="2" t="n">
        <v>1</v>
      </c>
      <c r="Q1780" s="2" t="n">
        <v>8</v>
      </c>
      <c r="R1780" s="2" t="n">
        <v>2</v>
      </c>
      <c r="S1780" s="2" t="n">
        <v>5</v>
      </c>
      <c r="T1780" s="2" t="n">
        <v>1</v>
      </c>
      <c r="U1780" s="2" t="n">
        <v>3</v>
      </c>
      <c r="V1780" s="2" t="n">
        <v>2</v>
      </c>
      <c r="W1780" s="2" t="n">
        <v>3</v>
      </c>
      <c r="X1780" s="2" t="n">
        <v>3</v>
      </c>
      <c r="Y1780" s="2" t="n">
        <v>3</v>
      </c>
      <c r="Z1780" s="2" t="n">
        <v>3</v>
      </c>
    </row>
    <row r="1781" customFormat="false" ht="15" hidden="false" customHeight="true" outlineLevel="0" collapsed="false">
      <c r="A1781" s="2" t="n">
        <v>34</v>
      </c>
      <c r="B1781" s="2" t="s">
        <v>26</v>
      </c>
      <c r="C1781" s="2" t="s">
        <v>27</v>
      </c>
      <c r="D1781" s="2" t="s">
        <v>35</v>
      </c>
      <c r="E1781" s="2" t="n">
        <v>12</v>
      </c>
      <c r="F1781" s="2" t="n">
        <v>3</v>
      </c>
      <c r="G1781" s="2" t="s">
        <v>51</v>
      </c>
      <c r="H1781" s="2" t="n">
        <v>1780</v>
      </c>
      <c r="I1781" s="2" t="s">
        <v>39</v>
      </c>
      <c r="J1781" s="2" t="n">
        <v>1</v>
      </c>
      <c r="K1781" s="2" t="s">
        <v>36</v>
      </c>
      <c r="L1781" s="2" t="s">
        <v>37</v>
      </c>
      <c r="M1781" s="2" t="n">
        <v>45050</v>
      </c>
      <c r="N1781" s="2" t="n">
        <v>1</v>
      </c>
      <c r="O1781" s="2" t="n">
        <v>12</v>
      </c>
      <c r="P1781" s="2" t="n">
        <v>0</v>
      </c>
      <c r="Q1781" s="2" t="n">
        <v>6</v>
      </c>
      <c r="R1781" s="2" t="n">
        <v>3</v>
      </c>
      <c r="S1781" s="2" t="n">
        <v>6</v>
      </c>
      <c r="T1781" s="2" t="n">
        <v>1</v>
      </c>
      <c r="U1781" s="2" t="n">
        <v>4</v>
      </c>
      <c r="V1781" s="2" t="n">
        <v>4</v>
      </c>
      <c r="W1781" s="2" t="n">
        <v>4</v>
      </c>
      <c r="X1781" s="2" t="n">
        <v>3</v>
      </c>
      <c r="Y1781" s="2" t="n">
        <v>3</v>
      </c>
      <c r="Z1781" s="2" t="n">
        <v>3</v>
      </c>
    </row>
    <row r="1782" customFormat="false" ht="15" hidden="false" customHeight="true" outlineLevel="0" collapsed="false">
      <c r="A1782" s="2" t="n">
        <v>55</v>
      </c>
      <c r="B1782" s="2" t="s">
        <v>33</v>
      </c>
      <c r="C1782" s="2" t="s">
        <v>27</v>
      </c>
      <c r="D1782" s="2" t="s">
        <v>42</v>
      </c>
      <c r="E1782" s="2" t="n">
        <v>7</v>
      </c>
      <c r="F1782" s="2" t="n">
        <v>3</v>
      </c>
      <c r="G1782" s="2" t="s">
        <v>42</v>
      </c>
      <c r="H1782" s="2" t="n">
        <v>1781</v>
      </c>
      <c r="I1782" s="2" t="s">
        <v>39</v>
      </c>
      <c r="J1782" s="2" t="n">
        <v>4</v>
      </c>
      <c r="K1782" s="2" t="s">
        <v>45</v>
      </c>
      <c r="L1782" s="2" t="s">
        <v>32</v>
      </c>
      <c r="M1782" s="2" t="n">
        <v>74280</v>
      </c>
      <c r="N1782" s="2" t="n">
        <v>5</v>
      </c>
      <c r="O1782" s="2" t="n">
        <v>12</v>
      </c>
      <c r="P1782" s="2" t="n">
        <v>0</v>
      </c>
      <c r="Q1782" s="2" t="n">
        <v>24</v>
      </c>
      <c r="R1782" s="2" t="n">
        <v>2</v>
      </c>
      <c r="S1782" s="2" t="n">
        <v>5</v>
      </c>
      <c r="T1782" s="2" t="n">
        <v>1</v>
      </c>
      <c r="U1782" s="2" t="n">
        <v>4</v>
      </c>
      <c r="V1782" s="2" t="n">
        <v>4</v>
      </c>
      <c r="W1782" s="2" t="n">
        <v>1</v>
      </c>
      <c r="X1782" s="2" t="n">
        <v>3</v>
      </c>
      <c r="Y1782" s="2" t="n">
        <v>3</v>
      </c>
      <c r="Z1782" s="2" t="n">
        <v>3</v>
      </c>
    </row>
    <row r="1783" customFormat="false" ht="15" hidden="false" customHeight="true" outlineLevel="0" collapsed="false">
      <c r="A1783" s="2" t="n">
        <v>36</v>
      </c>
      <c r="B1783" s="2" t="s">
        <v>26</v>
      </c>
      <c r="C1783" s="2" t="s">
        <v>41</v>
      </c>
      <c r="D1783" s="2" t="s">
        <v>35</v>
      </c>
      <c r="E1783" s="2" t="n">
        <v>7</v>
      </c>
      <c r="F1783" s="2" t="n">
        <v>2</v>
      </c>
      <c r="G1783" s="2" t="s">
        <v>29</v>
      </c>
      <c r="H1783" s="2" t="n">
        <v>1782</v>
      </c>
      <c r="I1783" s="2" t="s">
        <v>39</v>
      </c>
      <c r="J1783" s="2" t="n">
        <v>5</v>
      </c>
      <c r="K1783" s="2" t="s">
        <v>40</v>
      </c>
      <c r="L1783" s="2" t="s">
        <v>37</v>
      </c>
      <c r="M1783" s="2" t="n">
        <v>116310</v>
      </c>
      <c r="N1783" s="2" t="n">
        <v>1</v>
      </c>
      <c r="O1783" s="2" t="n">
        <v>18</v>
      </c>
      <c r="P1783" s="2" t="n">
        <v>1</v>
      </c>
      <c r="Q1783" s="2" t="n">
        <v>10</v>
      </c>
      <c r="R1783" s="2" t="n">
        <v>2</v>
      </c>
      <c r="S1783" s="2" t="n">
        <v>10</v>
      </c>
      <c r="T1783" s="2" t="n">
        <v>0</v>
      </c>
      <c r="U1783" s="2" t="n">
        <v>9</v>
      </c>
      <c r="V1783" s="2" t="n">
        <v>1</v>
      </c>
      <c r="W1783" s="2" t="n">
        <v>1</v>
      </c>
      <c r="X1783" s="2" t="n">
        <v>3</v>
      </c>
      <c r="Y1783" s="2" t="n">
        <v>1</v>
      </c>
      <c r="Z1783" s="2" t="n">
        <v>3</v>
      </c>
    </row>
    <row r="1784" customFormat="false" ht="15" hidden="false" customHeight="true" outlineLevel="0" collapsed="false">
      <c r="A1784" s="2" t="n">
        <v>52</v>
      </c>
      <c r="B1784" s="2" t="s">
        <v>26</v>
      </c>
      <c r="C1784" s="2" t="s">
        <v>41</v>
      </c>
      <c r="D1784" s="2" t="s">
        <v>35</v>
      </c>
      <c r="E1784" s="2" t="n">
        <v>1</v>
      </c>
      <c r="F1784" s="2" t="n">
        <v>4</v>
      </c>
      <c r="G1784" s="2" t="s">
        <v>29</v>
      </c>
      <c r="H1784" s="2" t="n">
        <v>1783</v>
      </c>
      <c r="I1784" s="2" t="s">
        <v>39</v>
      </c>
      <c r="J1784" s="2" t="n">
        <v>5</v>
      </c>
      <c r="K1784" s="2" t="s">
        <v>40</v>
      </c>
      <c r="L1784" s="2" t="s">
        <v>32</v>
      </c>
      <c r="M1784" s="2" t="n">
        <v>97380</v>
      </c>
      <c r="N1784" s="2" t="n">
        <v>0</v>
      </c>
      <c r="O1784" s="2" t="n">
        <v>18</v>
      </c>
      <c r="P1784" s="2" t="n">
        <v>2</v>
      </c>
      <c r="Q1784" s="2" t="n">
        <v>5</v>
      </c>
      <c r="R1784" s="2" t="n">
        <v>2</v>
      </c>
      <c r="S1784" s="2" t="n">
        <v>4</v>
      </c>
      <c r="T1784" s="2" t="n">
        <v>1</v>
      </c>
      <c r="U1784" s="2" t="n">
        <v>2</v>
      </c>
      <c r="V1784" s="2" t="n">
        <v>4</v>
      </c>
      <c r="W1784" s="2" t="n">
        <v>4</v>
      </c>
      <c r="X1784" s="2" t="n">
        <v>3</v>
      </c>
      <c r="Y1784" s="2" t="n">
        <v>3</v>
      </c>
      <c r="Z1784" s="2" t="n">
        <v>3</v>
      </c>
    </row>
    <row r="1785" customFormat="false" ht="15" hidden="false" customHeight="true" outlineLevel="0" collapsed="false">
      <c r="A1785" s="2" t="n">
        <v>26</v>
      </c>
      <c r="B1785" s="2" t="s">
        <v>26</v>
      </c>
      <c r="C1785" s="2" t="s">
        <v>34</v>
      </c>
      <c r="D1785" s="2" t="s">
        <v>35</v>
      </c>
      <c r="E1785" s="2" t="n">
        <v>2</v>
      </c>
      <c r="F1785" s="2" t="n">
        <v>2</v>
      </c>
      <c r="G1785" s="2" t="s">
        <v>29</v>
      </c>
      <c r="H1785" s="2" t="n">
        <v>1784</v>
      </c>
      <c r="I1785" s="2" t="s">
        <v>39</v>
      </c>
      <c r="J1785" s="2" t="n">
        <v>1</v>
      </c>
      <c r="K1785" s="2" t="s">
        <v>47</v>
      </c>
      <c r="L1785" s="2" t="s">
        <v>46</v>
      </c>
      <c r="M1785" s="2" t="n">
        <v>28350</v>
      </c>
      <c r="N1785" s="2" t="n">
        <v>3</v>
      </c>
      <c r="O1785" s="2" t="n">
        <v>11</v>
      </c>
      <c r="P1785" s="2" t="n">
        <v>1</v>
      </c>
      <c r="Q1785" s="2" t="n">
        <v>5</v>
      </c>
      <c r="R1785" s="2" t="n">
        <v>2</v>
      </c>
      <c r="S1785" s="2" t="n">
        <v>2</v>
      </c>
      <c r="T1785" s="2" t="n">
        <v>2</v>
      </c>
      <c r="U1785" s="2" t="n">
        <v>0</v>
      </c>
      <c r="V1785" s="2" t="n">
        <v>1</v>
      </c>
      <c r="W1785" s="2" t="n">
        <v>4</v>
      </c>
      <c r="X1785" s="2" t="n">
        <v>3</v>
      </c>
      <c r="Y1785" s="2" t="n">
        <v>3</v>
      </c>
      <c r="Z1785" s="2" t="n">
        <v>3</v>
      </c>
    </row>
    <row r="1786" customFormat="false" ht="15" hidden="false" customHeight="true" outlineLevel="0" collapsed="false">
      <c r="A1786" s="2" t="n">
        <v>29</v>
      </c>
      <c r="B1786" s="2" t="s">
        <v>26</v>
      </c>
      <c r="C1786" s="2" t="s">
        <v>27</v>
      </c>
      <c r="D1786" s="2" t="s">
        <v>35</v>
      </c>
      <c r="E1786" s="2" t="n">
        <v>10</v>
      </c>
      <c r="F1786" s="2" t="n">
        <v>2</v>
      </c>
      <c r="G1786" s="2" t="s">
        <v>43</v>
      </c>
      <c r="H1786" s="2" t="n">
        <v>1785</v>
      </c>
      <c r="I1786" s="2" t="s">
        <v>39</v>
      </c>
      <c r="J1786" s="2" t="n">
        <v>3</v>
      </c>
      <c r="K1786" s="2" t="s">
        <v>47</v>
      </c>
      <c r="L1786" s="2" t="s">
        <v>32</v>
      </c>
      <c r="M1786" s="2" t="n">
        <v>169590</v>
      </c>
      <c r="N1786" s="2" t="n">
        <v>4</v>
      </c>
      <c r="O1786" s="2" t="n">
        <v>14</v>
      </c>
      <c r="P1786" s="2" t="n">
        <v>3</v>
      </c>
      <c r="Q1786" s="2" t="n">
        <v>11</v>
      </c>
      <c r="R1786" s="2" t="n">
        <v>5</v>
      </c>
      <c r="S1786" s="2" t="n">
        <v>8</v>
      </c>
      <c r="T1786" s="2" t="n">
        <v>1</v>
      </c>
      <c r="U1786" s="2" t="n">
        <v>1</v>
      </c>
      <c r="V1786" s="2" t="n">
        <v>2</v>
      </c>
      <c r="W1786" s="2" t="n">
        <v>3</v>
      </c>
      <c r="X1786" s="2" t="n">
        <v>2</v>
      </c>
      <c r="Y1786" s="2" t="n">
        <v>3</v>
      </c>
      <c r="Z1786" s="2" t="n">
        <v>3</v>
      </c>
    </row>
    <row r="1787" customFormat="false" ht="15" hidden="false" customHeight="true" outlineLevel="0" collapsed="false">
      <c r="A1787" s="2" t="n">
        <v>26</v>
      </c>
      <c r="B1787" s="2" t="s">
        <v>33</v>
      </c>
      <c r="C1787" s="2" t="s">
        <v>27</v>
      </c>
      <c r="D1787" s="2" t="s">
        <v>35</v>
      </c>
      <c r="E1787" s="2" t="n">
        <v>15</v>
      </c>
      <c r="F1787" s="2" t="n">
        <v>2</v>
      </c>
      <c r="G1787" s="2" t="s">
        <v>29</v>
      </c>
      <c r="H1787" s="2" t="n">
        <v>1786</v>
      </c>
      <c r="I1787" s="2" t="s">
        <v>39</v>
      </c>
      <c r="J1787" s="2" t="n">
        <v>2</v>
      </c>
      <c r="K1787" s="2" t="s">
        <v>45</v>
      </c>
      <c r="L1787" s="2" t="s">
        <v>37</v>
      </c>
      <c r="M1787" s="2" t="n">
        <v>26130</v>
      </c>
      <c r="N1787" s="2" t="n">
        <v>6</v>
      </c>
      <c r="O1787" s="2" t="n">
        <v>19</v>
      </c>
      <c r="P1787" s="2" t="n">
        <v>1</v>
      </c>
      <c r="Q1787" s="2" t="n">
        <v>6</v>
      </c>
      <c r="R1787" s="2" t="n">
        <v>2</v>
      </c>
      <c r="S1787" s="2" t="n">
        <v>4</v>
      </c>
      <c r="T1787" s="2" t="n">
        <v>1</v>
      </c>
      <c r="U1787" s="2" t="n">
        <v>2</v>
      </c>
      <c r="V1787" s="2" t="n">
        <v>4</v>
      </c>
      <c r="W1787" s="2" t="n">
        <v>1</v>
      </c>
      <c r="X1787" s="2"/>
      <c r="Y1787" s="2" t="n">
        <v>3</v>
      </c>
      <c r="Z1787" s="2" t="n">
        <v>3</v>
      </c>
    </row>
    <row r="1788" customFormat="false" ht="15" hidden="false" customHeight="true" outlineLevel="0" collapsed="false">
      <c r="A1788" s="2" t="n">
        <v>34</v>
      </c>
      <c r="B1788" s="2" t="s">
        <v>26</v>
      </c>
      <c r="C1788" s="2" t="s">
        <v>27</v>
      </c>
      <c r="D1788" s="2" t="s">
        <v>35</v>
      </c>
      <c r="E1788" s="2" t="n">
        <v>14</v>
      </c>
      <c r="F1788" s="2" t="n">
        <v>4</v>
      </c>
      <c r="G1788" s="2" t="s">
        <v>51</v>
      </c>
      <c r="H1788" s="2" t="n">
        <v>1787</v>
      </c>
      <c r="I1788" s="2" t="s">
        <v>39</v>
      </c>
      <c r="J1788" s="2" t="n">
        <v>2</v>
      </c>
      <c r="K1788" s="2" t="s">
        <v>47</v>
      </c>
      <c r="L1788" s="2" t="s">
        <v>37</v>
      </c>
      <c r="M1788" s="2" t="n">
        <v>61460</v>
      </c>
      <c r="N1788" s="2" t="n">
        <v>2</v>
      </c>
      <c r="O1788" s="2" t="n">
        <v>12</v>
      </c>
      <c r="P1788" s="2" t="n">
        <v>0</v>
      </c>
      <c r="Q1788" s="2" t="n">
        <v>10</v>
      </c>
      <c r="R1788" s="2" t="n">
        <v>3</v>
      </c>
      <c r="S1788" s="2" t="n">
        <v>4</v>
      </c>
      <c r="T1788" s="2" t="n">
        <v>1</v>
      </c>
      <c r="U1788" s="2" t="n">
        <v>3</v>
      </c>
      <c r="V1788" s="2" t="n">
        <v>2</v>
      </c>
      <c r="W1788" s="2" t="n">
        <v>4</v>
      </c>
      <c r="X1788" s="2" t="n">
        <v>3</v>
      </c>
      <c r="Y1788" s="2" t="n">
        <v>3</v>
      </c>
      <c r="Z1788" s="2" t="n">
        <v>3</v>
      </c>
    </row>
    <row r="1789" customFormat="false" ht="15" hidden="false" customHeight="true" outlineLevel="0" collapsed="false">
      <c r="A1789" s="2" t="n">
        <v>54</v>
      </c>
      <c r="B1789" s="2" t="s">
        <v>26</v>
      </c>
      <c r="C1789" s="2" t="s">
        <v>27</v>
      </c>
      <c r="D1789" s="2" t="s">
        <v>35</v>
      </c>
      <c r="E1789" s="2" t="n">
        <v>18</v>
      </c>
      <c r="F1789" s="2" t="n">
        <v>4</v>
      </c>
      <c r="G1789" s="2" t="s">
        <v>43</v>
      </c>
      <c r="H1789" s="2" t="n">
        <v>1788</v>
      </c>
      <c r="I1789" s="2" t="s">
        <v>30</v>
      </c>
      <c r="J1789" s="2" t="n">
        <v>2</v>
      </c>
      <c r="K1789" s="2" t="s">
        <v>45</v>
      </c>
      <c r="L1789" s="2" t="s">
        <v>46</v>
      </c>
      <c r="M1789" s="2" t="n">
        <v>49630</v>
      </c>
      <c r="N1789" s="2" t="n">
        <v>9</v>
      </c>
      <c r="O1789" s="2" t="n">
        <v>15</v>
      </c>
      <c r="P1789" s="2" t="n">
        <v>1</v>
      </c>
      <c r="Q1789" s="2" t="n">
        <v>9</v>
      </c>
      <c r="R1789" s="2" t="n">
        <v>2</v>
      </c>
      <c r="S1789" s="2" t="n">
        <v>5</v>
      </c>
      <c r="T1789" s="2" t="n">
        <v>1</v>
      </c>
      <c r="U1789" s="2" t="n">
        <v>4</v>
      </c>
      <c r="V1789" s="2" t="n">
        <v>4</v>
      </c>
      <c r="W1789" s="2" t="n">
        <v>1</v>
      </c>
      <c r="X1789" s="2" t="n">
        <v>3</v>
      </c>
      <c r="Y1789" s="2" t="n">
        <v>3</v>
      </c>
      <c r="Z1789" s="2" t="n">
        <v>3</v>
      </c>
    </row>
    <row r="1790" customFormat="false" ht="15" hidden="false" customHeight="true" outlineLevel="0" collapsed="false">
      <c r="A1790" s="2" t="n">
        <v>27</v>
      </c>
      <c r="B1790" s="2" t="s">
        <v>26</v>
      </c>
      <c r="C1790" s="2" t="s">
        <v>34</v>
      </c>
      <c r="D1790" s="2" t="s">
        <v>35</v>
      </c>
      <c r="E1790" s="2" t="n">
        <v>13</v>
      </c>
      <c r="F1790" s="2" t="n">
        <v>2</v>
      </c>
      <c r="G1790" s="2" t="s">
        <v>29</v>
      </c>
      <c r="H1790" s="2" t="n">
        <v>1789</v>
      </c>
      <c r="I1790" s="2" t="s">
        <v>30</v>
      </c>
      <c r="J1790" s="2" t="n">
        <v>4</v>
      </c>
      <c r="K1790" s="2" t="s">
        <v>36</v>
      </c>
      <c r="L1790" s="2" t="s">
        <v>32</v>
      </c>
      <c r="M1790" s="2" t="n">
        <v>195370</v>
      </c>
      <c r="N1790" s="2" t="n">
        <v>0</v>
      </c>
      <c r="O1790" s="2" t="n">
        <v>12</v>
      </c>
      <c r="P1790" s="2" t="n">
        <v>0</v>
      </c>
      <c r="Q1790" s="2" t="n">
        <v>5</v>
      </c>
      <c r="R1790" s="2" t="n">
        <v>5</v>
      </c>
      <c r="S1790" s="2" t="n">
        <v>4</v>
      </c>
      <c r="T1790" s="2" t="n">
        <v>1</v>
      </c>
      <c r="U1790" s="2" t="n">
        <v>1</v>
      </c>
      <c r="V1790" s="2" t="n">
        <v>3</v>
      </c>
      <c r="W1790" s="2" t="n">
        <v>4</v>
      </c>
      <c r="X1790" s="2" t="n">
        <v>3</v>
      </c>
      <c r="Y1790" s="2" t="n">
        <v>3</v>
      </c>
      <c r="Z1790" s="2" t="n">
        <v>3</v>
      </c>
    </row>
    <row r="1791" customFormat="false" ht="15" hidden="false" customHeight="true" outlineLevel="0" collapsed="false">
      <c r="A1791" s="2" t="n">
        <v>37</v>
      </c>
      <c r="B1791" s="2" t="s">
        <v>26</v>
      </c>
      <c r="C1791" s="2" t="s">
        <v>27</v>
      </c>
      <c r="D1791" s="2" t="s">
        <v>28</v>
      </c>
      <c r="E1791" s="2" t="n">
        <v>2</v>
      </c>
      <c r="F1791" s="2" t="n">
        <v>4</v>
      </c>
      <c r="G1791" s="2" t="s">
        <v>51</v>
      </c>
      <c r="H1791" s="2" t="n">
        <v>1790</v>
      </c>
      <c r="I1791" s="2" t="s">
        <v>39</v>
      </c>
      <c r="J1791" s="2" t="n">
        <v>2</v>
      </c>
      <c r="K1791" s="2" t="s">
        <v>47</v>
      </c>
      <c r="L1791" s="2" t="s">
        <v>46</v>
      </c>
      <c r="M1791" s="2" t="n">
        <v>61720</v>
      </c>
      <c r="N1791" s="2" t="n">
        <v>0</v>
      </c>
      <c r="O1791" s="2" t="n">
        <v>11</v>
      </c>
      <c r="P1791" s="2" t="n">
        <v>0</v>
      </c>
      <c r="Q1791" s="2" t="n">
        <v>6</v>
      </c>
      <c r="R1791" s="2" t="n">
        <v>1</v>
      </c>
      <c r="S1791" s="2" t="n">
        <v>5</v>
      </c>
      <c r="T1791" s="2" t="n">
        <v>4</v>
      </c>
      <c r="U1791" s="2" t="n">
        <v>3</v>
      </c>
      <c r="V1791" s="2" t="n">
        <v>4</v>
      </c>
      <c r="W1791" s="2" t="n">
        <v>1</v>
      </c>
      <c r="X1791" s="2" t="n">
        <v>2</v>
      </c>
      <c r="Y1791" s="2" t="n">
        <v>3</v>
      </c>
      <c r="Z1791" s="2" t="n">
        <v>3</v>
      </c>
    </row>
    <row r="1792" customFormat="false" ht="15" hidden="false" customHeight="true" outlineLevel="0" collapsed="false">
      <c r="A1792" s="2" t="n">
        <v>38</v>
      </c>
      <c r="B1792" s="2" t="s">
        <v>26</v>
      </c>
      <c r="C1792" s="2" t="s">
        <v>34</v>
      </c>
      <c r="D1792" s="2" t="s">
        <v>28</v>
      </c>
      <c r="E1792" s="2" t="n">
        <v>2</v>
      </c>
      <c r="F1792" s="2" t="n">
        <v>4</v>
      </c>
      <c r="G1792" s="2" t="s">
        <v>29</v>
      </c>
      <c r="H1792" s="2" t="n">
        <v>1791</v>
      </c>
      <c r="I1792" s="2" t="s">
        <v>30</v>
      </c>
      <c r="J1792" s="2" t="n">
        <v>2</v>
      </c>
      <c r="K1792" s="2" t="s">
        <v>36</v>
      </c>
      <c r="L1792" s="2" t="s">
        <v>37</v>
      </c>
      <c r="M1792" s="2" t="n">
        <v>23680</v>
      </c>
      <c r="N1792" s="2" t="n">
        <v>6</v>
      </c>
      <c r="O1792" s="2" t="n">
        <v>11</v>
      </c>
      <c r="P1792" s="2" t="n">
        <v>1</v>
      </c>
      <c r="Q1792" s="2" t="n">
        <v>17</v>
      </c>
      <c r="R1792" s="2" t="n">
        <v>3</v>
      </c>
      <c r="S1792" s="2" t="n">
        <v>15</v>
      </c>
      <c r="T1792" s="2" t="n">
        <v>4</v>
      </c>
      <c r="U1792" s="2" t="n">
        <v>12</v>
      </c>
      <c r="V1792" s="2" t="n">
        <v>1</v>
      </c>
      <c r="W1792" s="2" t="n">
        <v>1</v>
      </c>
      <c r="X1792" s="2" t="n">
        <v>3</v>
      </c>
      <c r="Y1792" s="2" t="n">
        <v>3</v>
      </c>
      <c r="Z1792" s="2" t="n">
        <v>3</v>
      </c>
    </row>
    <row r="1793" customFormat="false" ht="15" hidden="false" customHeight="true" outlineLevel="0" collapsed="false">
      <c r="A1793" s="2" t="n">
        <v>34</v>
      </c>
      <c r="B1793" s="2" t="s">
        <v>26</v>
      </c>
      <c r="C1793" s="2" t="s">
        <v>27</v>
      </c>
      <c r="D1793" s="2" t="s">
        <v>28</v>
      </c>
      <c r="E1793" s="2" t="n">
        <v>2</v>
      </c>
      <c r="F1793" s="2" t="n">
        <v>3</v>
      </c>
      <c r="G1793" s="2" t="s">
        <v>50</v>
      </c>
      <c r="H1793" s="2" t="n">
        <v>1792</v>
      </c>
      <c r="I1793" s="2" t="s">
        <v>39</v>
      </c>
      <c r="J1793" s="2" t="n">
        <v>1</v>
      </c>
      <c r="K1793" s="2" t="s">
        <v>48</v>
      </c>
      <c r="L1793" s="2" t="s">
        <v>37</v>
      </c>
      <c r="M1793" s="2" t="n">
        <v>103120</v>
      </c>
      <c r="N1793" s="2" t="n">
        <v>1</v>
      </c>
      <c r="O1793" s="2" t="n">
        <v>12</v>
      </c>
      <c r="P1793" s="2" t="n">
        <v>0</v>
      </c>
      <c r="Q1793" s="2" t="n">
        <v>6</v>
      </c>
      <c r="R1793" s="2" t="n">
        <v>2</v>
      </c>
      <c r="S1793" s="2" t="n">
        <v>6</v>
      </c>
      <c r="T1793" s="2" t="n">
        <v>1</v>
      </c>
      <c r="U1793" s="2" t="n">
        <v>3</v>
      </c>
      <c r="V1793" s="2" t="n">
        <v>3</v>
      </c>
      <c r="W1793" s="2" t="n">
        <v>1</v>
      </c>
      <c r="X1793" s="2" t="n">
        <v>3</v>
      </c>
      <c r="Y1793" s="2" t="n">
        <v>3</v>
      </c>
      <c r="Z1793" s="2" t="n">
        <v>3</v>
      </c>
    </row>
    <row r="1794" customFormat="false" ht="15" hidden="false" customHeight="true" outlineLevel="0" collapsed="false">
      <c r="A1794" s="2" t="n">
        <v>35</v>
      </c>
      <c r="B1794" s="2" t="s">
        <v>26</v>
      </c>
      <c r="C1794" s="2" t="s">
        <v>27</v>
      </c>
      <c r="D1794" s="2" t="s">
        <v>35</v>
      </c>
      <c r="E1794" s="2" t="n">
        <v>5</v>
      </c>
      <c r="F1794" s="2" t="n">
        <v>4</v>
      </c>
      <c r="G1794" s="2" t="s">
        <v>43</v>
      </c>
      <c r="H1794" s="2" t="n">
        <v>1793</v>
      </c>
      <c r="I1794" s="2" t="s">
        <v>39</v>
      </c>
      <c r="J1794" s="2" t="n">
        <v>3</v>
      </c>
      <c r="K1794" s="2" t="s">
        <v>49</v>
      </c>
      <c r="L1794" s="2" t="s">
        <v>32</v>
      </c>
      <c r="M1794" s="2" t="n">
        <v>16750</v>
      </c>
      <c r="N1794" s="2" t="n">
        <v>1</v>
      </c>
      <c r="O1794" s="2" t="n">
        <v>16</v>
      </c>
      <c r="P1794" s="2" t="n">
        <v>0</v>
      </c>
      <c r="Q1794" s="2" t="n">
        <v>3</v>
      </c>
      <c r="R1794" s="2" t="n">
        <v>6</v>
      </c>
      <c r="S1794" s="2" t="n">
        <v>3</v>
      </c>
      <c r="T1794" s="2" t="n">
        <v>0</v>
      </c>
      <c r="U1794" s="2" t="n">
        <v>2</v>
      </c>
      <c r="V1794" s="2" t="n">
        <v>1</v>
      </c>
      <c r="W1794" s="2" t="n">
        <v>4</v>
      </c>
      <c r="X1794" s="2" t="n">
        <v>2</v>
      </c>
      <c r="Y1794" s="2" t="n">
        <v>2</v>
      </c>
      <c r="Z1794" s="2" t="n">
        <v>3</v>
      </c>
    </row>
    <row r="1795" customFormat="false" ht="15" hidden="false" customHeight="true" outlineLevel="0" collapsed="false">
      <c r="A1795" s="2" t="n">
        <v>30</v>
      </c>
      <c r="B1795" s="2" t="s">
        <v>26</v>
      </c>
      <c r="C1795" s="2" t="s">
        <v>27</v>
      </c>
      <c r="D1795" s="2" t="s">
        <v>35</v>
      </c>
      <c r="E1795" s="2" t="n">
        <v>20</v>
      </c>
      <c r="F1795" s="2" t="n">
        <v>3</v>
      </c>
      <c r="G1795" s="2" t="s">
        <v>43</v>
      </c>
      <c r="H1795" s="2" t="n">
        <v>1794</v>
      </c>
      <c r="I1795" s="2" t="s">
        <v>39</v>
      </c>
      <c r="J1795" s="2" t="n">
        <v>1</v>
      </c>
      <c r="K1795" s="2" t="s">
        <v>45</v>
      </c>
      <c r="L1795" s="2" t="s">
        <v>32</v>
      </c>
      <c r="M1795" s="2" t="n">
        <v>25230</v>
      </c>
      <c r="N1795" s="2" t="n">
        <v>3</v>
      </c>
      <c r="O1795" s="2" t="n">
        <v>13</v>
      </c>
      <c r="P1795" s="2" t="n">
        <v>1</v>
      </c>
      <c r="Q1795" s="2" t="n">
        <v>7</v>
      </c>
      <c r="R1795" s="2" t="n">
        <v>2</v>
      </c>
      <c r="S1795" s="2" t="n">
        <v>2</v>
      </c>
      <c r="T1795" s="2" t="n">
        <v>0</v>
      </c>
      <c r="U1795" s="2" t="n">
        <v>2</v>
      </c>
      <c r="V1795" s="2" t="n">
        <v>4</v>
      </c>
      <c r="W1795" s="2" t="n">
        <v>3</v>
      </c>
      <c r="X1795" s="2" t="n">
        <v>3</v>
      </c>
      <c r="Y1795" s="2" t="n">
        <v>3</v>
      </c>
      <c r="Z1795" s="2" t="n">
        <v>3</v>
      </c>
    </row>
    <row r="1796" customFormat="false" ht="15" hidden="false" customHeight="true" outlineLevel="0" collapsed="false">
      <c r="A1796" s="2" t="n">
        <v>40</v>
      </c>
      <c r="B1796" s="2" t="s">
        <v>26</v>
      </c>
      <c r="C1796" s="2" t="s">
        <v>34</v>
      </c>
      <c r="D1796" s="2" t="s">
        <v>35</v>
      </c>
      <c r="E1796" s="2" t="n">
        <v>10</v>
      </c>
      <c r="F1796" s="2" t="n">
        <v>4</v>
      </c>
      <c r="G1796" s="2" t="s">
        <v>43</v>
      </c>
      <c r="H1796" s="2" t="n">
        <v>1795</v>
      </c>
      <c r="I1796" s="2" t="s">
        <v>39</v>
      </c>
      <c r="J1796" s="2" t="n">
        <v>2</v>
      </c>
      <c r="K1796" s="2" t="s">
        <v>47</v>
      </c>
      <c r="L1796" s="2" t="s">
        <v>32</v>
      </c>
      <c r="M1796" s="2" t="n">
        <v>65670</v>
      </c>
      <c r="N1796" s="2" t="n">
        <v>1</v>
      </c>
      <c r="O1796" s="2" t="n">
        <v>13</v>
      </c>
      <c r="P1796" s="2" t="n">
        <v>1</v>
      </c>
      <c r="Q1796" s="2" t="n">
        <v>8</v>
      </c>
      <c r="R1796" s="2" t="n">
        <v>3</v>
      </c>
      <c r="S1796" s="2" t="n">
        <v>8</v>
      </c>
      <c r="T1796" s="2" t="n">
        <v>3</v>
      </c>
      <c r="U1796" s="2" t="n">
        <v>7</v>
      </c>
      <c r="V1796" s="2" t="n">
        <v>3</v>
      </c>
      <c r="W1796" s="2" t="n">
        <v>2</v>
      </c>
      <c r="X1796" s="2" t="n">
        <v>3</v>
      </c>
      <c r="Y1796" s="2" t="n">
        <v>4</v>
      </c>
      <c r="Z1796" s="2" t="n">
        <v>3</v>
      </c>
    </row>
    <row r="1797" customFormat="false" ht="15" hidden="false" customHeight="true" outlineLevel="0" collapsed="false">
      <c r="A1797" s="2" t="n">
        <v>34</v>
      </c>
      <c r="B1797" s="2" t="s">
        <v>26</v>
      </c>
      <c r="C1797" s="2" t="s">
        <v>27</v>
      </c>
      <c r="D1797" s="2" t="s">
        <v>35</v>
      </c>
      <c r="E1797" s="2" t="n">
        <v>10</v>
      </c>
      <c r="F1797" s="2" t="n">
        <v>3</v>
      </c>
      <c r="G1797" s="2" t="s">
        <v>29</v>
      </c>
      <c r="H1797" s="2" t="n">
        <v>1796</v>
      </c>
      <c r="I1797" s="2" t="s">
        <v>39</v>
      </c>
      <c r="J1797" s="2" t="n">
        <v>3</v>
      </c>
      <c r="K1797" s="2" t="s">
        <v>31</v>
      </c>
      <c r="L1797" s="2" t="s">
        <v>32</v>
      </c>
      <c r="M1797" s="2" t="n">
        <v>47390</v>
      </c>
      <c r="N1797" s="2" t="n">
        <v>5</v>
      </c>
      <c r="O1797" s="2" t="n">
        <v>24</v>
      </c>
      <c r="P1797" s="2" t="n">
        <v>2</v>
      </c>
      <c r="Q1797" s="2" t="n">
        <v>6</v>
      </c>
      <c r="R1797" s="2" t="n">
        <v>2</v>
      </c>
      <c r="S1797" s="2" t="n">
        <v>3</v>
      </c>
      <c r="T1797" s="2" t="n">
        <v>1</v>
      </c>
      <c r="U1797" s="2" t="n">
        <v>2</v>
      </c>
      <c r="V1797" s="2" t="n">
        <v>3</v>
      </c>
      <c r="W1797" s="2" t="n">
        <v>1</v>
      </c>
      <c r="X1797" s="2" t="n">
        <v>3</v>
      </c>
      <c r="Y1797" s="2" t="n">
        <v>3</v>
      </c>
      <c r="Z1797" s="2" t="n">
        <v>4</v>
      </c>
    </row>
    <row r="1798" customFormat="false" ht="15" hidden="false" customHeight="true" outlineLevel="0" collapsed="false">
      <c r="A1798" s="2" t="n">
        <v>42</v>
      </c>
      <c r="B1798" s="2" t="s">
        <v>26</v>
      </c>
      <c r="C1798" s="2" t="s">
        <v>34</v>
      </c>
      <c r="D1798" s="2" t="s">
        <v>35</v>
      </c>
      <c r="E1798" s="2" t="n">
        <v>9</v>
      </c>
      <c r="F1798" s="2" t="n">
        <v>4</v>
      </c>
      <c r="G1798" s="2" t="s">
        <v>43</v>
      </c>
      <c r="H1798" s="2" t="n">
        <v>1797</v>
      </c>
      <c r="I1798" s="2" t="s">
        <v>39</v>
      </c>
      <c r="J1798" s="2" t="n">
        <v>1</v>
      </c>
      <c r="K1798" s="2" t="s">
        <v>47</v>
      </c>
      <c r="L1798" s="2" t="s">
        <v>46</v>
      </c>
      <c r="M1798" s="2" t="n">
        <v>92080</v>
      </c>
      <c r="N1798" s="2" t="n">
        <v>1</v>
      </c>
      <c r="O1798" s="2" t="n">
        <v>15</v>
      </c>
      <c r="P1798" s="2" t="n">
        <v>1</v>
      </c>
      <c r="Q1798" s="2" t="n">
        <v>24</v>
      </c>
      <c r="R1798" s="2" t="n">
        <v>2</v>
      </c>
      <c r="S1798" s="2" t="n">
        <v>24</v>
      </c>
      <c r="T1798" s="2" t="n">
        <v>14</v>
      </c>
      <c r="U1798" s="2" t="n">
        <v>9</v>
      </c>
      <c r="V1798" s="2" t="n">
        <v>2</v>
      </c>
      <c r="W1798" s="2" t="n">
        <v>4</v>
      </c>
      <c r="X1798" s="2" t="n">
        <v>2</v>
      </c>
      <c r="Y1798" s="2" t="n">
        <v>4</v>
      </c>
      <c r="Z1798" s="2" t="n">
        <v>3</v>
      </c>
    </row>
    <row r="1799" customFormat="false" ht="15" hidden="false" customHeight="true" outlineLevel="0" collapsed="false">
      <c r="A1799" s="2" t="n">
        <v>23</v>
      </c>
      <c r="B1799" s="2" t="s">
        <v>33</v>
      </c>
      <c r="C1799" s="2" t="s">
        <v>27</v>
      </c>
      <c r="D1799" s="2" t="s">
        <v>28</v>
      </c>
      <c r="E1799" s="2" t="n">
        <v>2</v>
      </c>
      <c r="F1799" s="2" t="n">
        <v>3</v>
      </c>
      <c r="G1799" s="2" t="s">
        <v>43</v>
      </c>
      <c r="H1799" s="2" t="n">
        <v>1798</v>
      </c>
      <c r="I1799" s="2" t="s">
        <v>30</v>
      </c>
      <c r="J1799" s="2" t="n">
        <v>4</v>
      </c>
      <c r="K1799" s="2" t="s">
        <v>47</v>
      </c>
      <c r="L1799" s="2" t="s">
        <v>32</v>
      </c>
      <c r="M1799" s="2" t="n">
        <v>45590</v>
      </c>
      <c r="N1799" s="2" t="n">
        <v>1</v>
      </c>
      <c r="O1799" s="2" t="n">
        <v>18</v>
      </c>
      <c r="P1799" s="2" t="n">
        <v>1</v>
      </c>
      <c r="Q1799" s="2" t="n">
        <v>1</v>
      </c>
      <c r="R1799" s="2" t="n">
        <v>2</v>
      </c>
      <c r="S1799" s="2" t="n">
        <v>0</v>
      </c>
      <c r="T1799" s="2" t="n">
        <v>0</v>
      </c>
      <c r="U1799" s="2" t="n">
        <v>0</v>
      </c>
      <c r="V1799" s="2" t="n">
        <v>3</v>
      </c>
      <c r="W1799" s="2" t="n">
        <v>1</v>
      </c>
      <c r="X1799" s="2" t="n">
        <v>3</v>
      </c>
      <c r="Y1799" s="2" t="n">
        <v>2</v>
      </c>
      <c r="Z1799" s="2" t="n">
        <v>3</v>
      </c>
    </row>
    <row r="1800" customFormat="false" ht="15" hidden="false" customHeight="true" outlineLevel="0" collapsed="false">
      <c r="A1800" s="2" t="n">
        <v>24</v>
      </c>
      <c r="B1800" s="2" t="s">
        <v>26</v>
      </c>
      <c r="C1800" s="2" t="s">
        <v>41</v>
      </c>
      <c r="D1800" s="2" t="s">
        <v>28</v>
      </c>
      <c r="E1800" s="2" t="n">
        <v>1</v>
      </c>
      <c r="F1800" s="2" t="n">
        <v>5</v>
      </c>
      <c r="G1800" s="2" t="s">
        <v>50</v>
      </c>
      <c r="H1800" s="2" t="n">
        <v>1799</v>
      </c>
      <c r="I1800" s="2" t="s">
        <v>30</v>
      </c>
      <c r="J1800" s="2" t="n">
        <v>1</v>
      </c>
      <c r="K1800" s="2" t="s">
        <v>47</v>
      </c>
      <c r="L1800" s="2" t="s">
        <v>46</v>
      </c>
      <c r="M1800" s="2" t="n">
        <v>81890</v>
      </c>
      <c r="N1800" s="2" t="n">
        <v>1</v>
      </c>
      <c r="O1800" s="2" t="n">
        <v>14</v>
      </c>
      <c r="P1800" s="2" t="n">
        <v>1</v>
      </c>
      <c r="Q1800" s="2" t="n">
        <v>1</v>
      </c>
      <c r="R1800" s="2" t="n">
        <v>3</v>
      </c>
      <c r="S1800" s="2" t="n">
        <v>1</v>
      </c>
      <c r="T1800" s="2" t="n">
        <v>0</v>
      </c>
      <c r="U1800" s="2" t="n">
        <v>0</v>
      </c>
      <c r="V1800" s="2" t="n">
        <v>3</v>
      </c>
      <c r="W1800" s="2" t="n">
        <v>2</v>
      </c>
      <c r="X1800" s="2" t="n">
        <v>3</v>
      </c>
      <c r="Y1800" s="2" t="n">
        <v>3</v>
      </c>
      <c r="Z1800" s="2" t="n">
        <v>3</v>
      </c>
    </row>
    <row r="1801" customFormat="false" ht="15" hidden="false" customHeight="true" outlineLevel="0" collapsed="false">
      <c r="A1801" s="2" t="n">
        <v>52</v>
      </c>
      <c r="B1801" s="2" t="s">
        <v>26</v>
      </c>
      <c r="C1801" s="2" t="s">
        <v>27</v>
      </c>
      <c r="D1801" s="2" t="s">
        <v>35</v>
      </c>
      <c r="E1801" s="2" t="n">
        <v>29</v>
      </c>
      <c r="F1801" s="2" t="n">
        <v>3</v>
      </c>
      <c r="G1801" s="2" t="s">
        <v>29</v>
      </c>
      <c r="H1801" s="2" t="n">
        <v>1800</v>
      </c>
      <c r="I1801" s="2" t="s">
        <v>39</v>
      </c>
      <c r="J1801" s="2" t="n">
        <v>2</v>
      </c>
      <c r="K1801" s="2" t="s">
        <v>47</v>
      </c>
      <c r="L1801" s="2" t="s">
        <v>32</v>
      </c>
      <c r="M1801" s="2" t="n">
        <v>29420</v>
      </c>
      <c r="N1801" s="2" t="n">
        <v>8</v>
      </c>
      <c r="O1801" s="2" t="n">
        <v>11</v>
      </c>
      <c r="P1801" s="2" t="n">
        <v>1</v>
      </c>
      <c r="Q1801" s="2" t="n">
        <v>9</v>
      </c>
      <c r="R1801" s="2" t="n">
        <v>1</v>
      </c>
      <c r="S1801" s="2" t="n">
        <v>5</v>
      </c>
      <c r="T1801" s="2" t="n">
        <v>1</v>
      </c>
      <c r="U1801" s="2" t="n">
        <v>4</v>
      </c>
      <c r="V1801" s="2" t="n">
        <v>4</v>
      </c>
      <c r="W1801" s="2" t="n">
        <v>3</v>
      </c>
      <c r="X1801" s="2" t="n">
        <v>3</v>
      </c>
      <c r="Y1801" s="2" t="n">
        <v>2</v>
      </c>
      <c r="Z1801" s="2" t="n">
        <v>3</v>
      </c>
    </row>
    <row r="1802" customFormat="false" ht="15" hidden="false" customHeight="true" outlineLevel="0" collapsed="false">
      <c r="A1802" s="2" t="n">
        <v>50</v>
      </c>
      <c r="B1802" s="2" t="s">
        <v>26</v>
      </c>
      <c r="C1802" s="2" t="s">
        <v>27</v>
      </c>
      <c r="D1802" s="2" t="s">
        <v>35</v>
      </c>
      <c r="E1802" s="2" t="n">
        <v>8</v>
      </c>
      <c r="F1802" s="2" t="n">
        <v>4</v>
      </c>
      <c r="G1802" s="2" t="s">
        <v>29</v>
      </c>
      <c r="H1802" s="2" t="n">
        <v>1801</v>
      </c>
      <c r="I1802" s="2" t="s">
        <v>39</v>
      </c>
      <c r="J1802" s="2" t="n">
        <v>2</v>
      </c>
      <c r="K1802" s="2" t="s">
        <v>40</v>
      </c>
      <c r="L1802" s="2" t="s">
        <v>32</v>
      </c>
      <c r="M1802" s="2" t="n">
        <v>49410</v>
      </c>
      <c r="N1802" s="2" t="n">
        <v>5</v>
      </c>
      <c r="O1802" s="2" t="n">
        <v>11</v>
      </c>
      <c r="P1802" s="2" t="n">
        <v>1</v>
      </c>
      <c r="Q1802" s="2" t="n">
        <v>30</v>
      </c>
      <c r="R1802" s="2" t="n">
        <v>3</v>
      </c>
      <c r="S1802" s="2" t="n">
        <v>4</v>
      </c>
      <c r="T1802" s="2" t="n">
        <v>0</v>
      </c>
      <c r="U1802" s="2" t="n">
        <v>3</v>
      </c>
      <c r="V1802" s="2" t="n">
        <v>3</v>
      </c>
      <c r="W1802" s="2" t="n">
        <v>3</v>
      </c>
      <c r="X1802" s="2" t="n">
        <v>3</v>
      </c>
      <c r="Y1802" s="2" t="n">
        <v>1</v>
      </c>
      <c r="Z1802" s="2" t="n">
        <v>3</v>
      </c>
    </row>
    <row r="1803" customFormat="false" ht="15" hidden="false" customHeight="true" outlineLevel="0" collapsed="false">
      <c r="A1803" s="2" t="n">
        <v>29</v>
      </c>
      <c r="B1803" s="2" t="s">
        <v>33</v>
      </c>
      <c r="C1803" s="2" t="s">
        <v>27</v>
      </c>
      <c r="D1803" s="2" t="s">
        <v>28</v>
      </c>
      <c r="E1803" s="2" t="n">
        <v>2</v>
      </c>
      <c r="F1803" s="2" t="n">
        <v>4</v>
      </c>
      <c r="G1803" s="2" t="s">
        <v>50</v>
      </c>
      <c r="H1803" s="2" t="n">
        <v>1802</v>
      </c>
      <c r="I1803" s="2" t="s">
        <v>30</v>
      </c>
      <c r="J1803" s="2" t="n">
        <v>4</v>
      </c>
      <c r="K1803" s="2" t="s">
        <v>36</v>
      </c>
      <c r="L1803" s="2" t="s">
        <v>32</v>
      </c>
      <c r="M1803" s="2" t="n">
        <v>106500</v>
      </c>
      <c r="N1803" s="2" t="n">
        <v>1</v>
      </c>
      <c r="O1803" s="2" t="n">
        <v>13</v>
      </c>
      <c r="P1803" s="2" t="n">
        <v>2</v>
      </c>
      <c r="Q1803" s="2" t="n">
        <v>1</v>
      </c>
      <c r="R1803" s="2" t="n">
        <v>2</v>
      </c>
      <c r="S1803" s="2" t="n">
        <v>1</v>
      </c>
      <c r="T1803" s="2" t="n">
        <v>0</v>
      </c>
      <c r="U1803" s="2" t="n">
        <v>0</v>
      </c>
      <c r="V1803" s="2" t="n">
        <v>2</v>
      </c>
      <c r="W1803" s="2" t="n">
        <v>1</v>
      </c>
      <c r="X1803" s="2" t="n">
        <v>3</v>
      </c>
      <c r="Y1803" s="2" t="n">
        <v>4</v>
      </c>
      <c r="Z1803" s="2" t="n">
        <v>3</v>
      </c>
    </row>
    <row r="1804" customFormat="false" ht="15" hidden="false" customHeight="true" outlineLevel="0" collapsed="false">
      <c r="A1804" s="2" t="n">
        <v>33</v>
      </c>
      <c r="B1804" s="2" t="s">
        <v>26</v>
      </c>
      <c r="C1804" s="2" t="s">
        <v>27</v>
      </c>
      <c r="D1804" s="2" t="s">
        <v>35</v>
      </c>
      <c r="E1804" s="2" t="n">
        <v>3</v>
      </c>
      <c r="F1804" s="2" t="n">
        <v>4</v>
      </c>
      <c r="G1804" s="2" t="s">
        <v>29</v>
      </c>
      <c r="H1804" s="2" t="n">
        <v>1803</v>
      </c>
      <c r="I1804" s="2" t="s">
        <v>39</v>
      </c>
      <c r="J1804" s="2" t="n">
        <v>4</v>
      </c>
      <c r="K1804" s="2" t="s">
        <v>47</v>
      </c>
      <c r="L1804" s="2" t="s">
        <v>32</v>
      </c>
      <c r="M1804" s="2" t="n">
        <v>59020</v>
      </c>
      <c r="N1804" s="2" t="n">
        <v>0</v>
      </c>
      <c r="O1804" s="2" t="n">
        <v>12</v>
      </c>
      <c r="P1804" s="2" t="n">
        <v>1</v>
      </c>
      <c r="Q1804" s="2" t="n">
        <v>14</v>
      </c>
      <c r="R1804" s="2" t="n">
        <v>2</v>
      </c>
      <c r="S1804" s="2" t="n">
        <v>13</v>
      </c>
      <c r="T1804" s="2" t="n">
        <v>3</v>
      </c>
      <c r="U1804" s="2" t="n">
        <v>7</v>
      </c>
      <c r="V1804" s="2" t="n">
        <v>3</v>
      </c>
      <c r="W1804" s="2" t="n">
        <v>3</v>
      </c>
      <c r="X1804" s="2" t="n">
        <v>4</v>
      </c>
      <c r="Y1804" s="2" t="n">
        <v>3</v>
      </c>
      <c r="Z1804" s="2" t="n">
        <v>3</v>
      </c>
    </row>
    <row r="1805" customFormat="false" ht="15" hidden="false" customHeight="true" outlineLevel="0" collapsed="false">
      <c r="A1805" s="2" t="n">
        <v>33</v>
      </c>
      <c r="B1805" s="2" t="s">
        <v>33</v>
      </c>
      <c r="C1805" s="2" t="s">
        <v>27</v>
      </c>
      <c r="D1805" s="2" t="s">
        <v>35</v>
      </c>
      <c r="E1805" s="2" t="n">
        <v>23</v>
      </c>
      <c r="F1805" s="2" t="n">
        <v>5</v>
      </c>
      <c r="G1805" s="2" t="s">
        <v>29</v>
      </c>
      <c r="H1805" s="2" t="n">
        <v>1804</v>
      </c>
      <c r="I1805" s="2" t="s">
        <v>39</v>
      </c>
      <c r="J1805" s="2" t="n">
        <v>1</v>
      </c>
      <c r="K1805" s="2" t="s">
        <v>42</v>
      </c>
      <c r="L1805" s="2" t="s">
        <v>37</v>
      </c>
      <c r="M1805" s="2" t="n">
        <v>86390</v>
      </c>
      <c r="N1805" s="2" t="n">
        <v>5</v>
      </c>
      <c r="O1805" s="2" t="n">
        <v>16</v>
      </c>
      <c r="P1805" s="2" t="n">
        <v>2</v>
      </c>
      <c r="Q1805" s="2" t="n">
        <v>6</v>
      </c>
      <c r="R1805" s="2" t="n">
        <v>3</v>
      </c>
      <c r="S1805" s="2" t="n">
        <v>3</v>
      </c>
      <c r="T1805" s="2" t="n">
        <v>0</v>
      </c>
      <c r="U1805" s="2" t="n">
        <v>2</v>
      </c>
      <c r="V1805" s="2" t="n">
        <v>1</v>
      </c>
      <c r="W1805" s="2" t="n">
        <v>1</v>
      </c>
      <c r="X1805" s="2" t="n">
        <v>3</v>
      </c>
      <c r="Y1805" s="2" t="n">
        <v>2</v>
      </c>
      <c r="Z1805" s="2" t="n">
        <v>3</v>
      </c>
    </row>
    <row r="1806" customFormat="false" ht="15" hidden="false" customHeight="true" outlineLevel="0" collapsed="false">
      <c r="A1806" s="2" t="n">
        <v>47</v>
      </c>
      <c r="B1806" s="2" t="s">
        <v>26</v>
      </c>
      <c r="C1806" s="2" t="s">
        <v>27</v>
      </c>
      <c r="D1806" s="2" t="s">
        <v>35</v>
      </c>
      <c r="E1806" s="2" t="n">
        <v>6</v>
      </c>
      <c r="F1806" s="2" t="n">
        <v>4</v>
      </c>
      <c r="G1806" s="2" t="s">
        <v>38</v>
      </c>
      <c r="H1806" s="2" t="n">
        <v>1805</v>
      </c>
      <c r="I1806" s="2" t="s">
        <v>39</v>
      </c>
      <c r="J1806" s="2" t="n">
        <v>2</v>
      </c>
      <c r="K1806" s="2" t="s">
        <v>49</v>
      </c>
      <c r="L1806" s="2" t="s">
        <v>32</v>
      </c>
      <c r="M1806" s="2" t="n">
        <v>63470</v>
      </c>
      <c r="N1806" s="2" t="n">
        <v>1</v>
      </c>
      <c r="O1806" s="2" t="n">
        <v>14</v>
      </c>
      <c r="P1806" s="2" t="n">
        <v>0</v>
      </c>
      <c r="Q1806" s="2" t="n">
        <v>26</v>
      </c>
      <c r="R1806" s="2" t="n">
        <v>2</v>
      </c>
      <c r="S1806" s="2" t="n">
        <v>26</v>
      </c>
      <c r="T1806" s="2" t="n">
        <v>3</v>
      </c>
      <c r="U1806" s="2" t="n">
        <v>0</v>
      </c>
      <c r="V1806" s="2" t="n">
        <v>3</v>
      </c>
      <c r="W1806" s="2" t="n">
        <v>4</v>
      </c>
      <c r="X1806" s="2" t="n">
        <v>2</v>
      </c>
      <c r="Y1806" s="2" t="n">
        <v>4</v>
      </c>
      <c r="Z1806" s="2" t="n">
        <v>3</v>
      </c>
    </row>
    <row r="1807" customFormat="false" ht="15" hidden="false" customHeight="true" outlineLevel="0" collapsed="false">
      <c r="A1807" s="2" t="n">
        <v>36</v>
      </c>
      <c r="B1807" s="2" t="s">
        <v>26</v>
      </c>
      <c r="C1807" s="2" t="s">
        <v>27</v>
      </c>
      <c r="D1807" s="2" t="s">
        <v>28</v>
      </c>
      <c r="E1807" s="2" t="n">
        <v>6</v>
      </c>
      <c r="F1807" s="2" t="n">
        <v>3</v>
      </c>
      <c r="G1807" s="2" t="s">
        <v>43</v>
      </c>
      <c r="H1807" s="2" t="n">
        <v>1806</v>
      </c>
      <c r="I1807" s="2" t="s">
        <v>30</v>
      </c>
      <c r="J1807" s="2" t="n">
        <v>2</v>
      </c>
      <c r="K1807" s="2" t="s">
        <v>40</v>
      </c>
      <c r="L1807" s="2" t="s">
        <v>32</v>
      </c>
      <c r="M1807" s="2" t="n">
        <v>42000</v>
      </c>
      <c r="N1807" s="2" t="n">
        <v>0</v>
      </c>
      <c r="O1807" s="2" t="n">
        <v>22</v>
      </c>
      <c r="P1807" s="2" t="n">
        <v>0</v>
      </c>
      <c r="Q1807" s="2" t="n">
        <v>10</v>
      </c>
      <c r="R1807" s="2" t="n">
        <v>3</v>
      </c>
      <c r="S1807" s="2" t="n">
        <v>9</v>
      </c>
      <c r="T1807" s="2" t="n">
        <v>0</v>
      </c>
      <c r="U1807" s="2" t="n">
        <v>5</v>
      </c>
      <c r="V1807" s="2" t="n">
        <v>3</v>
      </c>
      <c r="W1807" s="2" t="n">
        <v>2</v>
      </c>
      <c r="X1807" s="2" t="n">
        <v>3</v>
      </c>
      <c r="Y1807" s="2" t="n">
        <v>3</v>
      </c>
      <c r="Z1807" s="2" t="n">
        <v>4</v>
      </c>
    </row>
    <row r="1808" customFormat="false" ht="15" hidden="false" customHeight="true" outlineLevel="0" collapsed="false">
      <c r="A1808" s="2" t="n">
        <v>29</v>
      </c>
      <c r="B1808" s="2" t="s">
        <v>26</v>
      </c>
      <c r="C1808" s="2" t="s">
        <v>27</v>
      </c>
      <c r="D1808" s="2" t="s">
        <v>35</v>
      </c>
      <c r="E1808" s="2" t="n">
        <v>10</v>
      </c>
      <c r="F1808" s="2" t="n">
        <v>3</v>
      </c>
      <c r="G1808" s="2" t="s">
        <v>38</v>
      </c>
      <c r="H1808" s="2" t="n">
        <v>1807</v>
      </c>
      <c r="I1808" s="2" t="s">
        <v>39</v>
      </c>
      <c r="J1808" s="2" t="n">
        <v>1</v>
      </c>
      <c r="K1808" s="2" t="s">
        <v>36</v>
      </c>
      <c r="L1808" s="2" t="s">
        <v>32</v>
      </c>
      <c r="M1808" s="2" t="n">
        <v>34520</v>
      </c>
      <c r="N1808" s="2" t="n">
        <v>1</v>
      </c>
      <c r="O1808" s="2" t="n">
        <v>11</v>
      </c>
      <c r="P1808" s="2" t="n">
        <v>0</v>
      </c>
      <c r="Q1808" s="2" t="n">
        <v>10</v>
      </c>
      <c r="R1808" s="2" t="n">
        <v>3</v>
      </c>
      <c r="S1808" s="2" t="n">
        <v>10</v>
      </c>
      <c r="T1808" s="2" t="n">
        <v>0</v>
      </c>
      <c r="U1808" s="2" t="n">
        <v>7</v>
      </c>
      <c r="V1808" s="2" t="n">
        <v>3</v>
      </c>
      <c r="W1808" s="2" t="n">
        <v>3</v>
      </c>
      <c r="X1808" s="2" t="n">
        <v>3</v>
      </c>
      <c r="Y1808" s="2" t="n">
        <v>2</v>
      </c>
      <c r="Z1808" s="2" t="n">
        <v>3</v>
      </c>
    </row>
    <row r="1809" customFormat="false" ht="15" hidden="false" customHeight="true" outlineLevel="0" collapsed="false">
      <c r="A1809" s="2" t="n">
        <v>58</v>
      </c>
      <c r="B1809" s="2" t="s">
        <v>33</v>
      </c>
      <c r="C1809" s="2" t="s">
        <v>27</v>
      </c>
      <c r="D1809" s="2" t="s">
        <v>35</v>
      </c>
      <c r="E1809" s="2" t="n">
        <v>24</v>
      </c>
      <c r="F1809" s="2" t="n">
        <v>3</v>
      </c>
      <c r="G1809" s="2" t="s">
        <v>38</v>
      </c>
      <c r="H1809" s="2" t="n">
        <v>1808</v>
      </c>
      <c r="I1809" s="2" t="s">
        <v>30</v>
      </c>
      <c r="J1809" s="2" t="n">
        <v>2</v>
      </c>
      <c r="K1809" s="2" t="s">
        <v>36</v>
      </c>
      <c r="L1809" s="2" t="s">
        <v>37</v>
      </c>
      <c r="M1809" s="2" t="n">
        <v>43170</v>
      </c>
      <c r="N1809" s="2" t="n">
        <v>7</v>
      </c>
      <c r="O1809" s="2" t="n">
        <v>17</v>
      </c>
      <c r="P1809" s="2" t="n">
        <v>0</v>
      </c>
      <c r="Q1809" s="2" t="n">
        <v>40</v>
      </c>
      <c r="R1809" s="2" t="n">
        <v>2</v>
      </c>
      <c r="S1809" s="2" t="n">
        <v>31</v>
      </c>
      <c r="T1809" s="2" t="n">
        <v>13</v>
      </c>
      <c r="U1809" s="2" t="n">
        <v>8</v>
      </c>
      <c r="V1809" s="2" t="n">
        <v>4</v>
      </c>
      <c r="W1809" s="2" t="n">
        <v>2</v>
      </c>
      <c r="X1809" s="2" t="n">
        <v>3</v>
      </c>
      <c r="Y1809" s="2" t="n">
        <v>3</v>
      </c>
      <c r="Z1809" s="2" t="n">
        <v>3</v>
      </c>
    </row>
    <row r="1810" customFormat="false" ht="15" hidden="false" customHeight="true" outlineLevel="0" collapsed="false">
      <c r="A1810" s="2" t="n">
        <v>35</v>
      </c>
      <c r="B1810" s="2" t="s">
        <v>26</v>
      </c>
      <c r="C1810" s="2" t="s">
        <v>27</v>
      </c>
      <c r="D1810" s="2" t="s">
        <v>28</v>
      </c>
      <c r="E1810" s="2" t="n">
        <v>10</v>
      </c>
      <c r="F1810" s="2" t="n">
        <v>4</v>
      </c>
      <c r="G1810" s="2" t="s">
        <v>50</v>
      </c>
      <c r="H1810" s="2" t="n">
        <v>1809</v>
      </c>
      <c r="I1810" s="2" t="s">
        <v>30</v>
      </c>
      <c r="J1810" s="2" t="n">
        <v>1</v>
      </c>
      <c r="K1810" s="2" t="s">
        <v>36</v>
      </c>
      <c r="L1810" s="2" t="s">
        <v>37</v>
      </c>
      <c r="M1810" s="2" t="n">
        <v>26320</v>
      </c>
      <c r="N1810" s="2" t="n">
        <v>3</v>
      </c>
      <c r="O1810" s="2" t="n">
        <v>13</v>
      </c>
      <c r="P1810" s="2" t="n">
        <v>3</v>
      </c>
      <c r="Q1810" s="2" t="n">
        <v>7</v>
      </c>
      <c r="R1810" s="2" t="n">
        <v>3</v>
      </c>
      <c r="S1810" s="2" t="n">
        <v>2</v>
      </c>
      <c r="T1810" s="2" t="n">
        <v>2</v>
      </c>
      <c r="U1810" s="2" t="n">
        <v>2</v>
      </c>
      <c r="V1810" s="2" t="n">
        <v>4</v>
      </c>
      <c r="W1810" s="2" t="n">
        <v>3</v>
      </c>
      <c r="X1810" s="2" t="n">
        <v>3</v>
      </c>
      <c r="Y1810" s="2" t="n">
        <v>4</v>
      </c>
      <c r="Z1810" s="2" t="n">
        <v>3</v>
      </c>
    </row>
    <row r="1811" customFormat="false" ht="15" hidden="false" customHeight="true" outlineLevel="0" collapsed="false">
      <c r="A1811" s="2" t="n">
        <v>42</v>
      </c>
      <c r="B1811" s="2" t="s">
        <v>26</v>
      </c>
      <c r="C1811" s="2" t="s">
        <v>27</v>
      </c>
      <c r="D1811" s="2" t="s">
        <v>28</v>
      </c>
      <c r="E1811" s="2" t="n">
        <v>15</v>
      </c>
      <c r="F1811" s="2" t="n">
        <v>1</v>
      </c>
      <c r="G1811" s="2" t="s">
        <v>50</v>
      </c>
      <c r="H1811" s="2" t="n">
        <v>1810</v>
      </c>
      <c r="I1811" s="2" t="s">
        <v>39</v>
      </c>
      <c r="J1811" s="2" t="n">
        <v>2</v>
      </c>
      <c r="K1811" s="2" t="s">
        <v>45</v>
      </c>
      <c r="L1811" s="2" t="s">
        <v>32</v>
      </c>
      <c r="M1811" s="2" t="n">
        <v>46680</v>
      </c>
      <c r="N1811" s="2" t="n">
        <v>9</v>
      </c>
      <c r="O1811" s="2" t="n">
        <v>18</v>
      </c>
      <c r="P1811" s="2" t="n">
        <v>2</v>
      </c>
      <c r="Q1811" s="2" t="n">
        <v>8</v>
      </c>
      <c r="R1811" s="2" t="n">
        <v>2</v>
      </c>
      <c r="S1811" s="2" t="n">
        <v>4</v>
      </c>
      <c r="T1811" s="2" t="n">
        <v>0</v>
      </c>
      <c r="U1811" s="2" t="n">
        <v>2</v>
      </c>
      <c r="V1811" s="2" t="n">
        <v>4</v>
      </c>
      <c r="W1811" s="2" t="n">
        <v>4</v>
      </c>
      <c r="X1811" s="2" t="n">
        <v>3</v>
      </c>
      <c r="Y1811" s="2" t="n">
        <v>3</v>
      </c>
      <c r="Z1811" s="2" t="n">
        <v>3</v>
      </c>
    </row>
    <row r="1812" customFormat="false" ht="15" hidden="false" customHeight="true" outlineLevel="0" collapsed="false">
      <c r="A1812" s="2" t="n">
        <v>28</v>
      </c>
      <c r="B1812" s="2" t="s">
        <v>33</v>
      </c>
      <c r="C1812" s="2" t="s">
        <v>27</v>
      </c>
      <c r="D1812" s="2" t="s">
        <v>35</v>
      </c>
      <c r="E1812" s="2" t="n">
        <v>19</v>
      </c>
      <c r="F1812" s="2" t="n">
        <v>4</v>
      </c>
      <c r="G1812" s="2" t="s">
        <v>43</v>
      </c>
      <c r="H1812" s="2" t="n">
        <v>1811</v>
      </c>
      <c r="I1812" s="2" t="s">
        <v>30</v>
      </c>
      <c r="J1812" s="2" t="n">
        <v>2</v>
      </c>
      <c r="K1812" s="2" t="s">
        <v>40</v>
      </c>
      <c r="L1812" s="2" t="s">
        <v>37</v>
      </c>
      <c r="M1812" s="2" t="n">
        <v>32040</v>
      </c>
      <c r="N1812" s="2" t="n">
        <v>6</v>
      </c>
      <c r="O1812" s="2" t="n">
        <v>16</v>
      </c>
      <c r="P1812" s="2" t="n">
        <v>1</v>
      </c>
      <c r="Q1812" s="2" t="n">
        <v>5</v>
      </c>
      <c r="R1812" s="2" t="n">
        <v>4</v>
      </c>
      <c r="S1812" s="2" t="n">
        <v>2</v>
      </c>
      <c r="T1812" s="2" t="n">
        <v>2</v>
      </c>
      <c r="U1812" s="2" t="n">
        <v>1</v>
      </c>
      <c r="V1812" s="2" t="n">
        <v>3</v>
      </c>
      <c r="W1812" s="2" t="n">
        <v>3</v>
      </c>
      <c r="X1812" s="2" t="n">
        <v>2</v>
      </c>
      <c r="Y1812" s="2" t="n">
        <v>2</v>
      </c>
      <c r="Z1812" s="2" t="n">
        <v>3</v>
      </c>
    </row>
    <row r="1813" customFormat="false" ht="15" hidden="false" customHeight="true" outlineLevel="0" collapsed="false">
      <c r="A1813" s="2" t="n">
        <v>36</v>
      </c>
      <c r="B1813" s="2" t="s">
        <v>26</v>
      </c>
      <c r="C1813" s="2" t="s">
        <v>27</v>
      </c>
      <c r="D1813" s="2" t="s">
        <v>35</v>
      </c>
      <c r="E1813" s="2" t="n">
        <v>2</v>
      </c>
      <c r="F1813" s="2" t="n">
        <v>3</v>
      </c>
      <c r="G1813" s="2" t="s">
        <v>29</v>
      </c>
      <c r="H1813" s="2" t="n">
        <v>1812</v>
      </c>
      <c r="I1813" s="2" t="s">
        <v>39</v>
      </c>
      <c r="J1813" s="2" t="n">
        <v>2</v>
      </c>
      <c r="K1813" s="2" t="s">
        <v>31</v>
      </c>
      <c r="L1813" s="2" t="s">
        <v>32</v>
      </c>
      <c r="M1813" s="2" t="n">
        <v>27200</v>
      </c>
      <c r="N1813" s="2" t="n">
        <v>4</v>
      </c>
      <c r="O1813" s="2" t="n">
        <v>14</v>
      </c>
      <c r="P1813" s="2" t="n">
        <v>1</v>
      </c>
      <c r="Q1813" s="2" t="n">
        <v>8</v>
      </c>
      <c r="R1813" s="2" t="n">
        <v>3</v>
      </c>
      <c r="S1813" s="2" t="n">
        <v>5</v>
      </c>
      <c r="T1813" s="2" t="n">
        <v>0</v>
      </c>
      <c r="U1813" s="2" t="n">
        <v>4</v>
      </c>
      <c r="V1813" s="2" t="n">
        <v>3</v>
      </c>
      <c r="W1813" s="2" t="n">
        <v>2</v>
      </c>
      <c r="X1813" s="2" t="n">
        <v>3</v>
      </c>
      <c r="Y1813" s="2" t="n">
        <v>3</v>
      </c>
      <c r="Z1813" s="2" t="n">
        <v>3</v>
      </c>
    </row>
    <row r="1814" customFormat="false" ht="15" hidden="false" customHeight="true" outlineLevel="0" collapsed="false">
      <c r="A1814" s="2" t="n">
        <v>32</v>
      </c>
      <c r="B1814" s="2" t="s">
        <v>26</v>
      </c>
      <c r="C1814" s="2" t="s">
        <v>27</v>
      </c>
      <c r="D1814" s="2" t="s">
        <v>35</v>
      </c>
      <c r="E1814" s="2" t="n">
        <v>3</v>
      </c>
      <c r="F1814" s="2" t="n">
        <v>1</v>
      </c>
      <c r="G1814" s="2" t="s">
        <v>43</v>
      </c>
      <c r="H1814" s="2" t="n">
        <v>1813</v>
      </c>
      <c r="I1814" s="2" t="s">
        <v>39</v>
      </c>
      <c r="J1814" s="2" t="n">
        <v>2</v>
      </c>
      <c r="K1814" s="2" t="s">
        <v>47</v>
      </c>
      <c r="L1814" s="2" t="s">
        <v>32</v>
      </c>
      <c r="M1814" s="2" t="n">
        <v>171810</v>
      </c>
      <c r="N1814" s="2" t="n">
        <v>1</v>
      </c>
      <c r="O1814" s="2" t="n">
        <v>14</v>
      </c>
      <c r="P1814" s="2" t="n">
        <v>0</v>
      </c>
      <c r="Q1814" s="2" t="n">
        <v>14</v>
      </c>
      <c r="R1814" s="2" t="n">
        <v>2</v>
      </c>
      <c r="S1814" s="2" t="n">
        <v>14</v>
      </c>
      <c r="T1814" s="2" t="n">
        <v>6</v>
      </c>
      <c r="U1814" s="2" t="n">
        <v>8</v>
      </c>
      <c r="V1814" s="2"/>
      <c r="W1814" s="2" t="n">
        <v>3</v>
      </c>
      <c r="X1814" s="2" t="n">
        <v>3</v>
      </c>
      <c r="Y1814" s="2" t="n">
        <v>2</v>
      </c>
      <c r="Z1814" s="2" t="n">
        <v>3</v>
      </c>
    </row>
    <row r="1815" customFormat="false" ht="15" hidden="false" customHeight="true" outlineLevel="0" collapsed="false">
      <c r="A1815" s="2" t="n">
        <v>40</v>
      </c>
      <c r="B1815" s="2" t="s">
        <v>26</v>
      </c>
      <c r="C1815" s="2" t="s">
        <v>34</v>
      </c>
      <c r="D1815" s="2" t="s">
        <v>28</v>
      </c>
      <c r="E1815" s="2" t="n">
        <v>9</v>
      </c>
      <c r="F1815" s="2" t="n">
        <v>3</v>
      </c>
      <c r="G1815" s="2" t="s">
        <v>50</v>
      </c>
      <c r="H1815" s="2" t="n">
        <v>1814</v>
      </c>
      <c r="I1815" s="2" t="s">
        <v>39</v>
      </c>
      <c r="J1815" s="2" t="n">
        <v>3</v>
      </c>
      <c r="K1815" s="2" t="s">
        <v>47</v>
      </c>
      <c r="L1815" s="2" t="s">
        <v>37</v>
      </c>
      <c r="M1815" s="2" t="n">
        <v>22380</v>
      </c>
      <c r="N1815" s="2" t="n">
        <v>6</v>
      </c>
      <c r="O1815" s="2" t="n">
        <v>14</v>
      </c>
      <c r="P1815" s="2" t="n">
        <v>0</v>
      </c>
      <c r="Q1815" s="2" t="n">
        <v>10</v>
      </c>
      <c r="R1815" s="2" t="n">
        <v>3</v>
      </c>
      <c r="S1815" s="2" t="n">
        <v>1</v>
      </c>
      <c r="T1815" s="2" t="n">
        <v>0</v>
      </c>
      <c r="U1815" s="2" t="n">
        <v>0</v>
      </c>
      <c r="V1815" s="2" t="n">
        <v>1</v>
      </c>
      <c r="W1815" s="2" t="n">
        <v>3</v>
      </c>
      <c r="X1815" s="2" t="n">
        <v>3</v>
      </c>
      <c r="Y1815" s="2" t="n">
        <v>3</v>
      </c>
      <c r="Z1815" s="2" t="n">
        <v>3</v>
      </c>
    </row>
    <row r="1816" customFormat="false" ht="15" hidden="false" customHeight="true" outlineLevel="0" collapsed="false">
      <c r="A1816" s="2" t="n">
        <v>30</v>
      </c>
      <c r="B1816" s="2" t="s">
        <v>26</v>
      </c>
      <c r="C1816" s="2" t="s">
        <v>27</v>
      </c>
      <c r="D1816" s="2" t="s">
        <v>35</v>
      </c>
      <c r="E1816" s="2" t="n">
        <v>7</v>
      </c>
      <c r="F1816" s="2" t="n">
        <v>3</v>
      </c>
      <c r="G1816" s="2" t="s">
        <v>51</v>
      </c>
      <c r="H1816" s="2" t="n">
        <v>1815</v>
      </c>
      <c r="I1816" s="2" t="s">
        <v>39</v>
      </c>
      <c r="J1816" s="2" t="n">
        <v>2</v>
      </c>
      <c r="K1816" s="2" t="s">
        <v>44</v>
      </c>
      <c r="L1816" s="2" t="s">
        <v>37</v>
      </c>
      <c r="M1816" s="2" t="n">
        <v>14830</v>
      </c>
      <c r="N1816" s="2" t="n">
        <v>5</v>
      </c>
      <c r="O1816" s="2" t="n">
        <v>13</v>
      </c>
      <c r="P1816" s="2" t="n">
        <v>0</v>
      </c>
      <c r="Q1816" s="2" t="n">
        <v>12</v>
      </c>
      <c r="R1816" s="2" t="n">
        <v>3</v>
      </c>
      <c r="S1816" s="2" t="n">
        <v>0</v>
      </c>
      <c r="T1816" s="2" t="n">
        <v>0</v>
      </c>
      <c r="U1816" s="2" t="n">
        <v>0</v>
      </c>
      <c r="V1816" s="2" t="n">
        <v>3</v>
      </c>
      <c r="W1816" s="2" t="n">
        <v>4</v>
      </c>
      <c r="X1816" s="2" t="n">
        <v>2</v>
      </c>
      <c r="Y1816" s="2" t="n">
        <v>3</v>
      </c>
      <c r="Z1816" s="2" t="n">
        <v>3</v>
      </c>
    </row>
    <row r="1817" customFormat="false" ht="15" hidden="false" customHeight="true" outlineLevel="0" collapsed="false">
      <c r="A1817" s="2" t="n">
        <v>45</v>
      </c>
      <c r="B1817" s="2" t="s">
        <v>26</v>
      </c>
      <c r="C1817" s="2" t="s">
        <v>27</v>
      </c>
      <c r="D1817" s="2" t="s">
        <v>35</v>
      </c>
      <c r="E1817" s="2" t="n">
        <v>10</v>
      </c>
      <c r="F1817" s="2" t="n">
        <v>4</v>
      </c>
      <c r="G1817" s="2" t="s">
        <v>29</v>
      </c>
      <c r="H1817" s="2" t="n">
        <v>1816</v>
      </c>
      <c r="I1817" s="2" t="s">
        <v>39</v>
      </c>
      <c r="J1817" s="2" t="n">
        <v>1</v>
      </c>
      <c r="K1817" s="2" t="s">
        <v>44</v>
      </c>
      <c r="L1817" s="2" t="s">
        <v>37</v>
      </c>
      <c r="M1817" s="2" t="n">
        <v>56050</v>
      </c>
      <c r="N1817" s="2" t="n">
        <v>1</v>
      </c>
      <c r="O1817" s="2" t="n">
        <v>12</v>
      </c>
      <c r="P1817" s="2" t="n">
        <v>2</v>
      </c>
      <c r="Q1817" s="2" t="n">
        <v>1</v>
      </c>
      <c r="R1817" s="2" t="n">
        <v>2</v>
      </c>
      <c r="S1817" s="2" t="n">
        <v>1</v>
      </c>
      <c r="T1817" s="2" t="n">
        <v>0</v>
      </c>
      <c r="U1817" s="2" t="n">
        <v>0</v>
      </c>
      <c r="V1817" s="2" t="n">
        <v>2</v>
      </c>
      <c r="W1817" s="2" t="n">
        <v>3</v>
      </c>
      <c r="X1817" s="2" t="n">
        <v>3</v>
      </c>
      <c r="Y1817" s="2" t="n">
        <v>3</v>
      </c>
      <c r="Z1817" s="2" t="n">
        <v>3</v>
      </c>
    </row>
    <row r="1818" customFormat="false" ht="15" hidden="false" customHeight="true" outlineLevel="0" collapsed="false">
      <c r="A1818" s="2" t="n">
        <v>42</v>
      </c>
      <c r="B1818" s="2" t="s">
        <v>26</v>
      </c>
      <c r="C1818" s="2" t="s">
        <v>27</v>
      </c>
      <c r="D1818" s="2" t="s">
        <v>35</v>
      </c>
      <c r="E1818" s="2" t="n">
        <v>20</v>
      </c>
      <c r="F1818" s="2" t="n">
        <v>2</v>
      </c>
      <c r="G1818" s="2" t="s">
        <v>43</v>
      </c>
      <c r="H1818" s="2" t="n">
        <v>1817</v>
      </c>
      <c r="I1818" s="2" t="s">
        <v>39</v>
      </c>
      <c r="J1818" s="2" t="n">
        <v>2</v>
      </c>
      <c r="K1818" s="2" t="s">
        <v>48</v>
      </c>
      <c r="L1818" s="2" t="s">
        <v>32</v>
      </c>
      <c r="M1818" s="2" t="n">
        <v>72950</v>
      </c>
      <c r="N1818" s="2" t="n">
        <v>1</v>
      </c>
      <c r="O1818" s="2" t="n">
        <v>15</v>
      </c>
      <c r="P1818" s="2" t="n">
        <v>0</v>
      </c>
      <c r="Q1818" s="2" t="n">
        <v>10</v>
      </c>
      <c r="R1818" s="2" t="n">
        <v>3</v>
      </c>
      <c r="S1818" s="2" t="n">
        <v>9</v>
      </c>
      <c r="T1818" s="2" t="n">
        <v>7</v>
      </c>
      <c r="U1818" s="2" t="n">
        <v>8</v>
      </c>
      <c r="V1818" s="2" t="n">
        <v>2</v>
      </c>
      <c r="W1818" s="2" t="n">
        <v>2</v>
      </c>
      <c r="X1818" s="2" t="n">
        <v>2</v>
      </c>
      <c r="Y1818" s="2" t="n">
        <v>3</v>
      </c>
      <c r="Z1818" s="2" t="n">
        <v>3</v>
      </c>
    </row>
    <row r="1819" customFormat="false" ht="15" hidden="false" customHeight="true" outlineLevel="0" collapsed="false">
      <c r="A1819" s="2" t="n">
        <v>38</v>
      </c>
      <c r="B1819" s="2" t="s">
        <v>26</v>
      </c>
      <c r="C1819" s="2" t="s">
        <v>34</v>
      </c>
      <c r="D1819" s="2" t="s">
        <v>28</v>
      </c>
      <c r="E1819" s="2" t="n">
        <v>4</v>
      </c>
      <c r="F1819" s="2" t="n">
        <v>3</v>
      </c>
      <c r="G1819" s="2" t="s">
        <v>43</v>
      </c>
      <c r="H1819" s="2" t="n">
        <v>1818</v>
      </c>
      <c r="I1819" s="2" t="s">
        <v>39</v>
      </c>
      <c r="J1819" s="2" t="n">
        <v>2</v>
      </c>
      <c r="K1819" s="2" t="s">
        <v>36</v>
      </c>
      <c r="L1819" s="2" t="s">
        <v>46</v>
      </c>
      <c r="M1819" s="2" t="n">
        <v>23060</v>
      </c>
      <c r="N1819" s="2" t="n">
        <v>2</v>
      </c>
      <c r="O1819" s="2" t="n">
        <v>19</v>
      </c>
      <c r="P1819" s="2" t="n">
        <v>1</v>
      </c>
      <c r="Q1819" s="2" t="n">
        <v>13</v>
      </c>
      <c r="R1819" s="2" t="n">
        <v>5</v>
      </c>
      <c r="S1819" s="2" t="n">
        <v>4</v>
      </c>
      <c r="T1819" s="2" t="n">
        <v>1</v>
      </c>
      <c r="U1819" s="2" t="n">
        <v>2</v>
      </c>
      <c r="V1819" s="2" t="n">
        <v>1</v>
      </c>
      <c r="W1819" s="2" t="n">
        <v>1</v>
      </c>
      <c r="X1819" s="2" t="n">
        <v>2</v>
      </c>
      <c r="Y1819" s="2" t="n">
        <v>3</v>
      </c>
      <c r="Z1819" s="2" t="n">
        <v>3</v>
      </c>
    </row>
    <row r="1820" customFormat="false" ht="15" hidden="false" customHeight="true" outlineLevel="0" collapsed="false">
      <c r="A1820" s="2" t="n">
        <v>34</v>
      </c>
      <c r="B1820" s="2" t="s">
        <v>26</v>
      </c>
      <c r="C1820" s="2" t="s">
        <v>34</v>
      </c>
      <c r="D1820" s="2" t="s">
        <v>35</v>
      </c>
      <c r="E1820" s="2" t="n">
        <v>7</v>
      </c>
      <c r="F1820" s="2" t="n">
        <v>4</v>
      </c>
      <c r="G1820" s="2" t="s">
        <v>29</v>
      </c>
      <c r="H1820" s="2" t="n">
        <v>1819</v>
      </c>
      <c r="I1820" s="2" t="s">
        <v>39</v>
      </c>
      <c r="J1820" s="2" t="n">
        <v>3</v>
      </c>
      <c r="K1820" s="2" t="s">
        <v>45</v>
      </c>
      <c r="L1820" s="2" t="s">
        <v>37</v>
      </c>
      <c r="M1820" s="2" t="n">
        <v>23480</v>
      </c>
      <c r="N1820" s="2" t="n">
        <v>1</v>
      </c>
      <c r="O1820" s="2" t="n">
        <v>14</v>
      </c>
      <c r="P1820" s="2" t="n">
        <v>1</v>
      </c>
      <c r="Q1820" s="2" t="n">
        <v>6</v>
      </c>
      <c r="R1820" s="2" t="n">
        <v>3</v>
      </c>
      <c r="S1820" s="2" t="n">
        <v>5</v>
      </c>
      <c r="T1820" s="2" t="n">
        <v>1</v>
      </c>
      <c r="U1820" s="2" t="n">
        <v>3</v>
      </c>
      <c r="V1820" s="2" t="n">
        <v>3</v>
      </c>
      <c r="W1820" s="2" t="n">
        <v>4</v>
      </c>
      <c r="X1820" s="2" t="n">
        <v>3</v>
      </c>
      <c r="Y1820" s="2" t="n">
        <v>3</v>
      </c>
      <c r="Z1820" s="2" t="n">
        <v>3</v>
      </c>
    </row>
    <row r="1821" customFormat="false" ht="15" hidden="false" customHeight="true" outlineLevel="0" collapsed="false">
      <c r="A1821" s="2" t="n">
        <v>49</v>
      </c>
      <c r="B1821" s="2" t="s">
        <v>33</v>
      </c>
      <c r="C1821" s="2" t="s">
        <v>27</v>
      </c>
      <c r="D1821" s="2" t="s">
        <v>28</v>
      </c>
      <c r="E1821" s="2" t="n">
        <v>7</v>
      </c>
      <c r="F1821" s="2" t="n">
        <v>2</v>
      </c>
      <c r="G1821" s="2" t="s">
        <v>29</v>
      </c>
      <c r="H1821" s="2" t="n">
        <v>1820</v>
      </c>
      <c r="I1821" s="2" t="s">
        <v>30</v>
      </c>
      <c r="J1821" s="2" t="n">
        <v>2</v>
      </c>
      <c r="K1821" s="2" t="s">
        <v>31</v>
      </c>
      <c r="L1821" s="2" t="s">
        <v>32</v>
      </c>
      <c r="M1821" s="2" t="n">
        <v>89980</v>
      </c>
      <c r="N1821" s="2" t="n">
        <v>1</v>
      </c>
      <c r="O1821" s="2" t="n">
        <v>14</v>
      </c>
      <c r="P1821" s="2" t="n">
        <v>2</v>
      </c>
      <c r="Q1821" s="2" t="n">
        <v>9</v>
      </c>
      <c r="R1821" s="2" t="n">
        <v>2</v>
      </c>
      <c r="S1821" s="2" t="n">
        <v>9</v>
      </c>
      <c r="T1821" s="2" t="n">
        <v>7</v>
      </c>
      <c r="U1821" s="2" t="n">
        <v>7</v>
      </c>
      <c r="V1821" s="2" t="n">
        <v>3</v>
      </c>
      <c r="W1821" s="2" t="n">
        <v>4</v>
      </c>
      <c r="X1821" s="2" t="n">
        <v>4</v>
      </c>
      <c r="Y1821" s="2" t="n">
        <v>4</v>
      </c>
      <c r="Z1821" s="2" t="n">
        <v>3</v>
      </c>
    </row>
    <row r="1822" customFormat="false" ht="15" hidden="false" customHeight="true" outlineLevel="0" collapsed="false">
      <c r="A1822" s="2" t="n">
        <v>55</v>
      </c>
      <c r="B1822" s="2" t="s">
        <v>33</v>
      </c>
      <c r="C1822" s="2" t="s">
        <v>27</v>
      </c>
      <c r="D1822" s="2" t="s">
        <v>42</v>
      </c>
      <c r="E1822" s="2" t="n">
        <v>16</v>
      </c>
      <c r="F1822" s="2" t="n">
        <v>3</v>
      </c>
      <c r="G1822" s="2" t="s">
        <v>51</v>
      </c>
      <c r="H1822" s="2" t="n">
        <v>1821</v>
      </c>
      <c r="I1822" s="2" t="s">
        <v>39</v>
      </c>
      <c r="J1822" s="2" t="n">
        <v>4</v>
      </c>
      <c r="K1822" s="2" t="s">
        <v>47</v>
      </c>
      <c r="L1822" s="2" t="s">
        <v>37</v>
      </c>
      <c r="M1822" s="2" t="n">
        <v>43190</v>
      </c>
      <c r="N1822" s="2" t="n">
        <v>4</v>
      </c>
      <c r="O1822" s="2" t="n">
        <v>11</v>
      </c>
      <c r="P1822" s="2" t="n">
        <v>0</v>
      </c>
      <c r="Q1822" s="2" t="n">
        <v>12</v>
      </c>
      <c r="R1822" s="2" t="n">
        <v>3</v>
      </c>
      <c r="S1822" s="2" t="n">
        <v>9</v>
      </c>
      <c r="T1822" s="2" t="n">
        <v>7</v>
      </c>
      <c r="U1822" s="2" t="n">
        <v>3</v>
      </c>
      <c r="V1822" s="2" t="n">
        <v>3</v>
      </c>
      <c r="W1822" s="2" t="n">
        <v>4</v>
      </c>
      <c r="X1822" s="2" t="n">
        <v>2</v>
      </c>
      <c r="Y1822" s="2" t="n">
        <v>4</v>
      </c>
      <c r="Z1822" s="2" t="n">
        <v>3</v>
      </c>
    </row>
    <row r="1823" customFormat="false" ht="15" hidden="false" customHeight="true" outlineLevel="0" collapsed="false">
      <c r="A1823" s="2" t="n">
        <v>43</v>
      </c>
      <c r="B1823" s="2" t="s">
        <v>26</v>
      </c>
      <c r="C1823" s="2" t="s">
        <v>27</v>
      </c>
      <c r="D1823" s="2" t="s">
        <v>35</v>
      </c>
      <c r="E1823" s="2" t="n">
        <v>25</v>
      </c>
      <c r="F1823" s="2" t="n">
        <v>2</v>
      </c>
      <c r="G1823" s="2" t="s">
        <v>43</v>
      </c>
      <c r="H1823" s="2" t="n">
        <v>1822</v>
      </c>
      <c r="I1823" s="2" t="s">
        <v>39</v>
      </c>
      <c r="J1823" s="2" t="n">
        <v>2</v>
      </c>
      <c r="K1823" s="2" t="s">
        <v>31</v>
      </c>
      <c r="L1823" s="2" t="s">
        <v>32</v>
      </c>
      <c r="M1823" s="2" t="n">
        <v>61320</v>
      </c>
      <c r="N1823" s="2" t="n">
        <v>6</v>
      </c>
      <c r="O1823" s="2" t="n">
        <v>13</v>
      </c>
      <c r="P1823" s="2" t="n">
        <v>0</v>
      </c>
      <c r="Q1823" s="2" t="n">
        <v>22</v>
      </c>
      <c r="R1823" s="2" t="n">
        <v>3</v>
      </c>
      <c r="S1823" s="2" t="n">
        <v>4</v>
      </c>
      <c r="T1823" s="2" t="n">
        <v>1</v>
      </c>
      <c r="U1823" s="2" t="n">
        <v>0</v>
      </c>
      <c r="V1823" s="2" t="n">
        <v>2</v>
      </c>
      <c r="W1823" s="2" t="n">
        <v>1</v>
      </c>
      <c r="X1823" s="2" t="n">
        <v>3</v>
      </c>
      <c r="Y1823" s="2" t="n">
        <v>2</v>
      </c>
      <c r="Z1823" s="2" t="n">
        <v>3</v>
      </c>
    </row>
    <row r="1824" customFormat="false" ht="15" hidden="false" customHeight="true" outlineLevel="0" collapsed="false">
      <c r="A1824" s="2" t="n">
        <v>27</v>
      </c>
      <c r="B1824" s="2" t="s">
        <v>26</v>
      </c>
      <c r="C1824" s="2" t="s">
        <v>27</v>
      </c>
      <c r="D1824" s="2" t="s">
        <v>28</v>
      </c>
      <c r="E1824" s="2" t="n">
        <v>2</v>
      </c>
      <c r="F1824" s="2" t="n">
        <v>4</v>
      </c>
      <c r="G1824" s="2" t="s">
        <v>43</v>
      </c>
      <c r="H1824" s="2" t="n">
        <v>1823</v>
      </c>
      <c r="I1824" s="2" t="s">
        <v>39</v>
      </c>
      <c r="J1824" s="2" t="n">
        <v>2</v>
      </c>
      <c r="K1824" s="2" t="s">
        <v>49</v>
      </c>
      <c r="L1824" s="2" t="s">
        <v>46</v>
      </c>
      <c r="M1824" s="2" t="n">
        <v>33460</v>
      </c>
      <c r="N1824" s="2" t="n">
        <v>1</v>
      </c>
      <c r="O1824" s="2" t="n">
        <v>21</v>
      </c>
      <c r="P1824" s="2" t="n">
        <v>1</v>
      </c>
      <c r="Q1824" s="2" t="n">
        <v>9</v>
      </c>
      <c r="R1824" s="2" t="n">
        <v>2</v>
      </c>
      <c r="S1824" s="2" t="n">
        <v>9</v>
      </c>
      <c r="T1824" s="2" t="n">
        <v>0</v>
      </c>
      <c r="U1824" s="2" t="n">
        <v>8</v>
      </c>
      <c r="V1824" s="2" t="n">
        <v>3</v>
      </c>
      <c r="W1824" s="2" t="n">
        <v>4</v>
      </c>
      <c r="X1824" s="2" t="n">
        <v>3</v>
      </c>
      <c r="Y1824" s="2" t="n">
        <v>2</v>
      </c>
      <c r="Z1824" s="2" t="n">
        <v>4</v>
      </c>
    </row>
    <row r="1825" customFormat="false" ht="15" hidden="false" customHeight="true" outlineLevel="0" collapsed="false">
      <c r="A1825" s="2" t="n">
        <v>35</v>
      </c>
      <c r="B1825" s="2" t="s">
        <v>26</v>
      </c>
      <c r="C1825" s="2" t="s">
        <v>27</v>
      </c>
      <c r="D1825" s="2" t="s">
        <v>35</v>
      </c>
      <c r="E1825" s="2" t="n">
        <v>1</v>
      </c>
      <c r="F1825" s="2" t="n">
        <v>3</v>
      </c>
      <c r="G1825" s="2" t="s">
        <v>43</v>
      </c>
      <c r="H1825" s="2" t="n">
        <v>1824</v>
      </c>
      <c r="I1825" s="2" t="s">
        <v>39</v>
      </c>
      <c r="J1825" s="2" t="n">
        <v>1</v>
      </c>
      <c r="K1825" s="2" t="s">
        <v>44</v>
      </c>
      <c r="L1825" s="2" t="s">
        <v>37</v>
      </c>
      <c r="M1825" s="2" t="n">
        <v>108550</v>
      </c>
      <c r="N1825" s="2" t="n">
        <v>3</v>
      </c>
      <c r="O1825" s="2" t="n">
        <v>13</v>
      </c>
      <c r="P1825" s="2" t="n">
        <v>1</v>
      </c>
      <c r="Q1825" s="2" t="n">
        <v>17</v>
      </c>
      <c r="R1825" s="2" t="n">
        <v>2</v>
      </c>
      <c r="S1825" s="2" t="n">
        <v>8</v>
      </c>
      <c r="T1825" s="2" t="n">
        <v>1</v>
      </c>
      <c r="U1825" s="2" t="n">
        <v>6</v>
      </c>
      <c r="V1825" s="2" t="n">
        <v>3</v>
      </c>
      <c r="W1825" s="2" t="n">
        <v>3</v>
      </c>
      <c r="X1825" s="2" t="n">
        <v>4</v>
      </c>
      <c r="Y1825" s="2" t="n">
        <v>3</v>
      </c>
      <c r="Z1825" s="2" t="n">
        <v>3</v>
      </c>
    </row>
    <row r="1826" customFormat="false" ht="15" hidden="false" customHeight="true" outlineLevel="0" collapsed="false">
      <c r="A1826" s="2" t="n">
        <v>28</v>
      </c>
      <c r="B1826" s="2" t="s">
        <v>26</v>
      </c>
      <c r="C1826" s="2" t="s">
        <v>27</v>
      </c>
      <c r="D1826" s="2" t="s">
        <v>28</v>
      </c>
      <c r="E1826" s="2" t="n">
        <v>1</v>
      </c>
      <c r="F1826" s="2" t="n">
        <v>2</v>
      </c>
      <c r="G1826" s="2" t="s">
        <v>51</v>
      </c>
      <c r="H1826" s="2" t="n">
        <v>1825</v>
      </c>
      <c r="I1826" s="2" t="s">
        <v>30</v>
      </c>
      <c r="J1826" s="2" t="n">
        <v>1</v>
      </c>
      <c r="K1826" s="2" t="s">
        <v>40</v>
      </c>
      <c r="L1826" s="2" t="s">
        <v>32</v>
      </c>
      <c r="M1826" s="2" t="n">
        <v>22310</v>
      </c>
      <c r="N1826" s="2" t="n">
        <v>1</v>
      </c>
      <c r="O1826" s="2" t="n">
        <v>12</v>
      </c>
      <c r="P1826" s="2" t="n">
        <v>0</v>
      </c>
      <c r="Q1826" s="2" t="n">
        <v>8</v>
      </c>
      <c r="R1826" s="2" t="n">
        <v>3</v>
      </c>
      <c r="S1826" s="2" t="n">
        <v>8</v>
      </c>
      <c r="T1826" s="2" t="n">
        <v>7</v>
      </c>
      <c r="U1826" s="2" t="n">
        <v>5</v>
      </c>
      <c r="V1826" s="2" t="n">
        <v>2</v>
      </c>
      <c r="W1826" s="2" t="n">
        <v>2</v>
      </c>
      <c r="X1826" s="2" t="n">
        <v>3</v>
      </c>
      <c r="Y1826" s="2" t="n">
        <v>2</v>
      </c>
      <c r="Z1826" s="2" t="n">
        <v>3</v>
      </c>
    </row>
    <row r="1827" customFormat="false" ht="15" hidden="false" customHeight="true" outlineLevel="0" collapsed="false">
      <c r="A1827" s="2" t="n">
        <v>34</v>
      </c>
      <c r="B1827" s="2" t="s">
        <v>26</v>
      </c>
      <c r="C1827" s="2" t="s">
        <v>27</v>
      </c>
      <c r="D1827" s="2" t="s">
        <v>28</v>
      </c>
      <c r="E1827" s="2" t="n">
        <v>2</v>
      </c>
      <c r="F1827" s="2" t="n">
        <v>5</v>
      </c>
      <c r="G1827" s="2" t="s">
        <v>29</v>
      </c>
      <c r="H1827" s="2" t="n">
        <v>1826</v>
      </c>
      <c r="I1827" s="2" t="s">
        <v>39</v>
      </c>
      <c r="J1827" s="2" t="n">
        <v>4</v>
      </c>
      <c r="K1827" s="2" t="s">
        <v>36</v>
      </c>
      <c r="L1827" s="2" t="s">
        <v>32</v>
      </c>
      <c r="M1827" s="2" t="n">
        <v>23230</v>
      </c>
      <c r="N1827" s="2" t="n">
        <v>0</v>
      </c>
      <c r="O1827" s="2" t="n">
        <v>17</v>
      </c>
      <c r="P1827" s="2" t="n">
        <v>0</v>
      </c>
      <c r="Q1827" s="2" t="n">
        <v>4</v>
      </c>
      <c r="R1827" s="2" t="n">
        <v>2</v>
      </c>
      <c r="S1827" s="2" t="n">
        <v>3</v>
      </c>
      <c r="T1827" s="2" t="n">
        <v>0</v>
      </c>
      <c r="U1827" s="2" t="n">
        <v>2</v>
      </c>
      <c r="V1827" s="2" t="n">
        <v>3</v>
      </c>
      <c r="W1827" s="2" t="n">
        <v>4</v>
      </c>
      <c r="X1827" s="2" t="n">
        <v>1</v>
      </c>
      <c r="Y1827" s="2" t="n">
        <v>3</v>
      </c>
      <c r="Z1827" s="2" t="n">
        <v>3</v>
      </c>
    </row>
    <row r="1828" customFormat="false" ht="15" hidden="false" customHeight="true" outlineLevel="0" collapsed="false">
      <c r="A1828" s="2" t="n">
        <v>26</v>
      </c>
      <c r="B1828" s="2" t="s">
        <v>33</v>
      </c>
      <c r="C1828" s="2" t="s">
        <v>34</v>
      </c>
      <c r="D1828" s="2" t="s">
        <v>35</v>
      </c>
      <c r="E1828" s="2" t="n">
        <v>22</v>
      </c>
      <c r="F1828" s="2" t="n">
        <v>4</v>
      </c>
      <c r="G1828" s="2" t="s">
        <v>38</v>
      </c>
      <c r="H1828" s="2" t="n">
        <v>1827</v>
      </c>
      <c r="I1828" s="2" t="s">
        <v>30</v>
      </c>
      <c r="J1828" s="2" t="n">
        <v>1</v>
      </c>
      <c r="K1828" s="2" t="s">
        <v>40</v>
      </c>
      <c r="L1828" s="2" t="s">
        <v>32</v>
      </c>
      <c r="M1828" s="2" t="n">
        <v>20240</v>
      </c>
      <c r="N1828" s="2" t="n">
        <v>1</v>
      </c>
      <c r="O1828" s="2" t="n">
        <v>23</v>
      </c>
      <c r="P1828" s="2" t="n">
        <v>0</v>
      </c>
      <c r="Q1828" s="2" t="n">
        <v>8</v>
      </c>
      <c r="R1828" s="2" t="n">
        <v>2</v>
      </c>
      <c r="S1828" s="2" t="n">
        <v>8</v>
      </c>
      <c r="T1828" s="2" t="n">
        <v>1</v>
      </c>
      <c r="U1828" s="2" t="n">
        <v>7</v>
      </c>
      <c r="V1828" s="2" t="n">
        <v>3</v>
      </c>
      <c r="W1828" s="2" t="n">
        <v>3</v>
      </c>
      <c r="X1828" s="2" t="n">
        <v>3</v>
      </c>
      <c r="Y1828" s="2" t="n">
        <v>3</v>
      </c>
      <c r="Z1828" s="2" t="n">
        <v>4</v>
      </c>
    </row>
    <row r="1829" customFormat="false" ht="15" hidden="false" customHeight="true" outlineLevel="0" collapsed="false">
      <c r="A1829" s="2" t="n">
        <v>27</v>
      </c>
      <c r="B1829" s="2" t="s">
        <v>26</v>
      </c>
      <c r="C1829" s="2" t="s">
        <v>41</v>
      </c>
      <c r="D1829" s="2" t="s">
        <v>28</v>
      </c>
      <c r="E1829" s="2" t="n">
        <v>1</v>
      </c>
      <c r="F1829" s="2" t="n">
        <v>3</v>
      </c>
      <c r="G1829" s="2" t="s">
        <v>51</v>
      </c>
      <c r="H1829" s="2" t="n">
        <v>1828</v>
      </c>
      <c r="I1829" s="2" t="s">
        <v>30</v>
      </c>
      <c r="J1829" s="2" t="n">
        <v>1</v>
      </c>
      <c r="K1829" s="2" t="s">
        <v>40</v>
      </c>
      <c r="L1829" s="2" t="s">
        <v>32</v>
      </c>
      <c r="M1829" s="2" t="n">
        <v>27130</v>
      </c>
      <c r="N1829" s="2" t="n">
        <v>1</v>
      </c>
      <c r="O1829" s="2" t="n">
        <v>11</v>
      </c>
      <c r="P1829" s="2" t="n">
        <v>0</v>
      </c>
      <c r="Q1829" s="2" t="n">
        <v>0</v>
      </c>
      <c r="R1829" s="2" t="n">
        <v>2</v>
      </c>
      <c r="S1829" s="2" t="n">
        <v>0</v>
      </c>
      <c r="T1829" s="2" t="n">
        <v>0</v>
      </c>
      <c r="U1829" s="2" t="n">
        <v>0</v>
      </c>
      <c r="V1829" s="2" t="n">
        <v>4</v>
      </c>
      <c r="W1829" s="2" t="n">
        <v>4</v>
      </c>
      <c r="X1829" s="2" t="n">
        <v>2</v>
      </c>
      <c r="Y1829" s="2" t="n">
        <v>3</v>
      </c>
      <c r="Z1829" s="2" t="n">
        <v>3</v>
      </c>
    </row>
    <row r="1830" customFormat="false" ht="15" hidden="false" customHeight="true" outlineLevel="0" collapsed="false">
      <c r="A1830" s="2" t="n">
        <v>51</v>
      </c>
      <c r="B1830" s="2" t="s">
        <v>26</v>
      </c>
      <c r="C1830" s="2" t="s">
        <v>27</v>
      </c>
      <c r="D1830" s="2" t="s">
        <v>28</v>
      </c>
      <c r="E1830" s="2" t="n">
        <v>16</v>
      </c>
      <c r="F1830" s="2" t="n">
        <v>3</v>
      </c>
      <c r="G1830" s="2" t="s">
        <v>43</v>
      </c>
      <c r="H1830" s="2" t="n">
        <v>1829</v>
      </c>
      <c r="I1830" s="2" t="s">
        <v>39</v>
      </c>
      <c r="J1830" s="2" t="n">
        <v>3</v>
      </c>
      <c r="K1830" s="2" t="s">
        <v>36</v>
      </c>
      <c r="L1830" s="2" t="s">
        <v>32</v>
      </c>
      <c r="M1830" s="2" t="n">
        <v>94390</v>
      </c>
      <c r="N1830" s="2" t="n">
        <v>2</v>
      </c>
      <c r="O1830" s="2" t="n">
        <v>15</v>
      </c>
      <c r="P1830" s="2" t="n">
        <v>3</v>
      </c>
      <c r="Q1830" s="2" t="n">
        <v>29</v>
      </c>
      <c r="R1830" s="2" t="n">
        <v>0</v>
      </c>
      <c r="S1830" s="2" t="n">
        <v>20</v>
      </c>
      <c r="T1830" s="2" t="n">
        <v>4</v>
      </c>
      <c r="U1830" s="2" t="n">
        <v>17</v>
      </c>
      <c r="V1830" s="2" t="n">
        <v>1</v>
      </c>
      <c r="W1830" s="2" t="n">
        <v>3</v>
      </c>
      <c r="X1830" s="2" t="n">
        <v>2</v>
      </c>
      <c r="Y1830" s="2" t="n">
        <v>3</v>
      </c>
      <c r="Z1830" s="2" t="n">
        <v>3</v>
      </c>
    </row>
    <row r="1831" customFormat="false" ht="15" hidden="false" customHeight="true" outlineLevel="0" collapsed="false">
      <c r="A1831" s="2" t="n">
        <v>44</v>
      </c>
      <c r="B1831" s="2" t="s">
        <v>26</v>
      </c>
      <c r="C1831" s="2" t="s">
        <v>27</v>
      </c>
      <c r="D1831" s="2" t="s">
        <v>28</v>
      </c>
      <c r="E1831" s="2" t="n">
        <v>24</v>
      </c>
      <c r="F1831" s="2" t="n">
        <v>5</v>
      </c>
      <c r="G1831" s="2" t="s">
        <v>43</v>
      </c>
      <c r="H1831" s="2" t="n">
        <v>1830</v>
      </c>
      <c r="I1831" s="2" t="s">
        <v>30</v>
      </c>
      <c r="J1831" s="2" t="n">
        <v>1</v>
      </c>
      <c r="K1831" s="2" t="s">
        <v>40</v>
      </c>
      <c r="L1831" s="2" t="s">
        <v>37</v>
      </c>
      <c r="M1831" s="2" t="n">
        <v>25660</v>
      </c>
      <c r="N1831" s="2" t="n">
        <v>9</v>
      </c>
      <c r="O1831" s="2" t="n">
        <v>11</v>
      </c>
      <c r="P1831" s="2" t="n">
        <v>1</v>
      </c>
      <c r="Q1831" s="2" t="n">
        <v>10</v>
      </c>
      <c r="R1831" s="2" t="n">
        <v>3</v>
      </c>
      <c r="S1831" s="2" t="n">
        <v>5</v>
      </c>
      <c r="T1831" s="2" t="n">
        <v>2</v>
      </c>
      <c r="U1831" s="2" t="n">
        <v>3</v>
      </c>
      <c r="V1831" s="2" t="n">
        <v>4</v>
      </c>
      <c r="W1831" s="2" t="n">
        <v>2</v>
      </c>
      <c r="X1831" s="2" t="n">
        <v>2</v>
      </c>
      <c r="Y1831" s="2" t="n">
        <v>3</v>
      </c>
      <c r="Z1831" s="2" t="n">
        <v>3</v>
      </c>
    </row>
    <row r="1832" customFormat="false" ht="15" hidden="false" customHeight="true" outlineLevel="0" collapsed="false">
      <c r="A1832" s="2" t="n">
        <v>25</v>
      </c>
      <c r="B1832" s="2" t="s">
        <v>26</v>
      </c>
      <c r="C1832" s="2" t="s">
        <v>27</v>
      </c>
      <c r="D1832" s="2" t="s">
        <v>35</v>
      </c>
      <c r="E1832" s="2" t="n">
        <v>17</v>
      </c>
      <c r="F1832" s="2" t="n">
        <v>3</v>
      </c>
      <c r="G1832" s="2" t="s">
        <v>43</v>
      </c>
      <c r="H1832" s="2" t="n">
        <v>1831</v>
      </c>
      <c r="I1832" s="2" t="s">
        <v>39</v>
      </c>
      <c r="J1832" s="2" t="n">
        <v>1</v>
      </c>
      <c r="K1832" s="2" t="s">
        <v>45</v>
      </c>
      <c r="L1832" s="2" t="s">
        <v>37</v>
      </c>
      <c r="M1832" s="2" t="n">
        <v>199260</v>
      </c>
      <c r="N1832" s="2" t="n">
        <v>7</v>
      </c>
      <c r="O1832" s="2" t="n">
        <v>11</v>
      </c>
      <c r="P1832" s="2" t="n">
        <v>3</v>
      </c>
      <c r="Q1832" s="2" t="n">
        <v>6</v>
      </c>
      <c r="R1832" s="2" t="n">
        <v>5</v>
      </c>
      <c r="S1832" s="2" t="n">
        <v>4</v>
      </c>
      <c r="T1832" s="2" t="n">
        <v>0</v>
      </c>
      <c r="U1832" s="2" t="n">
        <v>1</v>
      </c>
      <c r="V1832" s="2" t="n">
        <v>1</v>
      </c>
      <c r="W1832" s="2" t="n">
        <v>1</v>
      </c>
      <c r="X1832" s="2" t="n">
        <v>2</v>
      </c>
      <c r="Y1832" s="2" t="n">
        <v>4</v>
      </c>
      <c r="Z1832" s="2" t="n">
        <v>3</v>
      </c>
    </row>
    <row r="1833" customFormat="false" ht="15" hidden="false" customHeight="true" outlineLevel="0" collapsed="false">
      <c r="A1833" s="2" t="n">
        <v>33</v>
      </c>
      <c r="B1833" s="2" t="s">
        <v>26</v>
      </c>
      <c r="C1833" s="2" t="s">
        <v>27</v>
      </c>
      <c r="D1833" s="2" t="s">
        <v>35</v>
      </c>
      <c r="E1833" s="2" t="n">
        <v>8</v>
      </c>
      <c r="F1833" s="2" t="n">
        <v>4</v>
      </c>
      <c r="G1833" s="2" t="s">
        <v>29</v>
      </c>
      <c r="H1833" s="2" t="n">
        <v>1832</v>
      </c>
      <c r="I1833" s="2" t="s">
        <v>39</v>
      </c>
      <c r="J1833" s="2" t="n">
        <v>3</v>
      </c>
      <c r="K1833" s="2" t="s">
        <v>45</v>
      </c>
      <c r="L1833" s="2" t="s">
        <v>46</v>
      </c>
      <c r="M1833" s="2" t="n">
        <v>24510</v>
      </c>
      <c r="N1833" s="2" t="n">
        <v>1</v>
      </c>
      <c r="O1833" s="2" t="n">
        <v>13</v>
      </c>
      <c r="P1833" s="2" t="n">
        <v>1</v>
      </c>
      <c r="Q1833" s="2" t="n">
        <v>9</v>
      </c>
      <c r="R1833" s="2" t="n">
        <v>3</v>
      </c>
      <c r="S1833" s="2" t="n">
        <v>9</v>
      </c>
      <c r="T1833" s="2" t="n">
        <v>0</v>
      </c>
      <c r="U1833" s="2" t="n">
        <v>8</v>
      </c>
      <c r="V1833" s="2" t="n">
        <v>1</v>
      </c>
      <c r="W1833" s="2" t="n">
        <v>1</v>
      </c>
      <c r="X1833" s="2" t="n">
        <v>3</v>
      </c>
      <c r="Y1833" s="2" t="n">
        <v>2</v>
      </c>
      <c r="Z1833" s="2" t="n">
        <v>3</v>
      </c>
    </row>
    <row r="1834" customFormat="false" ht="15" hidden="false" customHeight="true" outlineLevel="0" collapsed="false">
      <c r="A1834" s="2" t="n">
        <v>35</v>
      </c>
      <c r="B1834" s="2" t="s">
        <v>26</v>
      </c>
      <c r="C1834" s="2" t="s">
        <v>27</v>
      </c>
      <c r="D1834" s="2" t="s">
        <v>28</v>
      </c>
      <c r="E1834" s="2" t="n">
        <v>6</v>
      </c>
      <c r="F1834" s="2" t="n">
        <v>4</v>
      </c>
      <c r="G1834" s="2" t="s">
        <v>43</v>
      </c>
      <c r="H1834" s="2" t="n">
        <v>1833</v>
      </c>
      <c r="I1834" s="2" t="s">
        <v>30</v>
      </c>
      <c r="J1834" s="2" t="n">
        <v>2</v>
      </c>
      <c r="K1834" s="2" t="s">
        <v>49</v>
      </c>
      <c r="L1834" s="2" t="s">
        <v>37</v>
      </c>
      <c r="M1834" s="2" t="n">
        <v>94190</v>
      </c>
      <c r="N1834" s="2" t="n">
        <v>1</v>
      </c>
      <c r="O1834" s="2" t="n">
        <v>24</v>
      </c>
      <c r="P1834" s="2" t="n">
        <v>1</v>
      </c>
      <c r="Q1834" s="2" t="n">
        <v>6</v>
      </c>
      <c r="R1834" s="2" t="n">
        <v>5</v>
      </c>
      <c r="S1834" s="2" t="n">
        <v>6</v>
      </c>
      <c r="T1834" s="2" t="n">
        <v>1</v>
      </c>
      <c r="U1834" s="2" t="n">
        <v>1</v>
      </c>
      <c r="V1834" s="2" t="n">
        <v>3</v>
      </c>
      <c r="W1834" s="2" t="n">
        <v>1</v>
      </c>
      <c r="X1834" s="2" t="n">
        <v>2</v>
      </c>
      <c r="Y1834" s="2" t="n">
        <v>2</v>
      </c>
      <c r="Z1834" s="2" t="n">
        <v>4</v>
      </c>
    </row>
    <row r="1835" customFormat="false" ht="15" hidden="false" customHeight="true" outlineLevel="0" collapsed="false">
      <c r="A1835" s="2" t="n">
        <v>36</v>
      </c>
      <c r="B1835" s="2" t="s">
        <v>26</v>
      </c>
      <c r="C1835" s="2" t="s">
        <v>27</v>
      </c>
      <c r="D1835" s="2" t="s">
        <v>28</v>
      </c>
      <c r="E1835" s="2" t="n">
        <v>10</v>
      </c>
      <c r="F1835" s="2" t="n">
        <v>4</v>
      </c>
      <c r="G1835" s="2" t="s">
        <v>50</v>
      </c>
      <c r="H1835" s="2" t="n">
        <v>1834</v>
      </c>
      <c r="I1835" s="2" t="s">
        <v>39</v>
      </c>
      <c r="J1835" s="2" t="n">
        <v>3</v>
      </c>
      <c r="K1835" s="2" t="s">
        <v>49</v>
      </c>
      <c r="L1835" s="2" t="s">
        <v>32</v>
      </c>
      <c r="M1835" s="2" t="n">
        <v>86860</v>
      </c>
      <c r="N1835" s="2" t="n">
        <v>1</v>
      </c>
      <c r="O1835" s="2" t="n">
        <v>13</v>
      </c>
      <c r="P1835" s="2" t="n">
        <v>0</v>
      </c>
      <c r="Q1835" s="2" t="n">
        <v>18</v>
      </c>
      <c r="R1835" s="2" t="n">
        <v>2</v>
      </c>
      <c r="S1835" s="2" t="n">
        <v>18</v>
      </c>
      <c r="T1835" s="2" t="n">
        <v>4</v>
      </c>
      <c r="U1835" s="2" t="n">
        <v>11</v>
      </c>
      <c r="V1835" s="2" t="n">
        <v>2</v>
      </c>
      <c r="W1835" s="2" t="n">
        <v>4</v>
      </c>
      <c r="X1835" s="2" t="n">
        <v>2</v>
      </c>
      <c r="Y1835" s="2" t="n">
        <v>3</v>
      </c>
      <c r="Z1835" s="2" t="n">
        <v>3</v>
      </c>
    </row>
    <row r="1836" customFormat="false" ht="15" hidden="false" customHeight="true" outlineLevel="0" collapsed="false">
      <c r="A1836" s="2" t="n">
        <v>32</v>
      </c>
      <c r="B1836" s="2" t="s">
        <v>26</v>
      </c>
      <c r="C1836" s="2" t="s">
        <v>27</v>
      </c>
      <c r="D1836" s="2" t="s">
        <v>35</v>
      </c>
      <c r="E1836" s="2" t="n">
        <v>3</v>
      </c>
      <c r="F1836" s="2" t="n">
        <v>4</v>
      </c>
      <c r="G1836" s="2" t="s">
        <v>43</v>
      </c>
      <c r="H1836" s="2" t="n">
        <v>1835</v>
      </c>
      <c r="I1836" s="2" t="s">
        <v>30</v>
      </c>
      <c r="J1836" s="2" t="n">
        <v>4</v>
      </c>
      <c r="K1836" s="2" t="s">
        <v>40</v>
      </c>
      <c r="L1836" s="2" t="s">
        <v>46</v>
      </c>
      <c r="M1836" s="2" t="n">
        <v>30380</v>
      </c>
      <c r="N1836" s="2" t="n">
        <v>2</v>
      </c>
      <c r="O1836" s="2" t="n">
        <v>20</v>
      </c>
      <c r="P1836" s="2" t="n">
        <v>0</v>
      </c>
      <c r="Q1836" s="2" t="n">
        <v>8</v>
      </c>
      <c r="R1836" s="2" t="n">
        <v>3</v>
      </c>
      <c r="S1836" s="2" t="n">
        <v>5</v>
      </c>
      <c r="T1836" s="2" t="n">
        <v>0</v>
      </c>
      <c r="U1836" s="2" t="n">
        <v>3</v>
      </c>
      <c r="V1836" s="2" t="n">
        <v>2</v>
      </c>
      <c r="W1836" s="2" t="n">
        <v>4</v>
      </c>
      <c r="X1836" s="2" t="n">
        <v>2</v>
      </c>
      <c r="Y1836" s="2" t="n">
        <v>3</v>
      </c>
      <c r="Z1836" s="2" t="n">
        <v>4</v>
      </c>
    </row>
    <row r="1837" customFormat="false" ht="15" hidden="false" customHeight="true" outlineLevel="0" collapsed="false">
      <c r="A1837" s="2" t="n">
        <v>30</v>
      </c>
      <c r="B1837" s="2" t="s">
        <v>26</v>
      </c>
      <c r="C1837" s="2" t="s">
        <v>34</v>
      </c>
      <c r="D1837" s="2" t="s">
        <v>35</v>
      </c>
      <c r="E1837" s="2" t="n">
        <v>4</v>
      </c>
      <c r="F1837" s="2" t="n">
        <v>5</v>
      </c>
      <c r="G1837" s="2" t="s">
        <v>43</v>
      </c>
      <c r="H1837" s="2" t="n">
        <v>1836</v>
      </c>
      <c r="I1837" s="2" t="s">
        <v>39</v>
      </c>
      <c r="J1837" s="2" t="n">
        <v>5</v>
      </c>
      <c r="K1837" s="2" t="s">
        <v>48</v>
      </c>
      <c r="L1837" s="2" t="s">
        <v>46</v>
      </c>
      <c r="M1837" s="2" t="n">
        <v>30580</v>
      </c>
      <c r="N1837" s="2" t="n">
        <v>9</v>
      </c>
      <c r="O1837" s="2" t="n">
        <v>14</v>
      </c>
      <c r="P1837" s="2" t="n">
        <v>1</v>
      </c>
      <c r="Q1837" s="2" t="n">
        <v>10</v>
      </c>
      <c r="R1837" s="2" t="n">
        <v>2</v>
      </c>
      <c r="S1837" s="2" t="n">
        <v>5</v>
      </c>
      <c r="T1837" s="2" t="n">
        <v>0</v>
      </c>
      <c r="U1837" s="2" t="n">
        <v>3</v>
      </c>
      <c r="V1837" s="2" t="n">
        <v>2</v>
      </c>
      <c r="W1837" s="2" t="n">
        <v>4</v>
      </c>
      <c r="X1837" s="2" t="n">
        <v>2</v>
      </c>
      <c r="Y1837" s="2" t="n">
        <v>3</v>
      </c>
      <c r="Z1837" s="2" t="n">
        <v>3</v>
      </c>
    </row>
    <row r="1838" customFormat="false" ht="15" hidden="false" customHeight="true" outlineLevel="0" collapsed="false">
      <c r="A1838" s="2" t="n">
        <v>53</v>
      </c>
      <c r="B1838" s="2" t="s">
        <v>26</v>
      </c>
      <c r="C1838" s="2" t="s">
        <v>27</v>
      </c>
      <c r="D1838" s="2" t="s">
        <v>28</v>
      </c>
      <c r="E1838" s="2" t="n">
        <v>6</v>
      </c>
      <c r="F1838" s="2" t="n">
        <v>3</v>
      </c>
      <c r="G1838" s="2" t="s">
        <v>50</v>
      </c>
      <c r="H1838" s="2" t="n">
        <v>1837</v>
      </c>
      <c r="I1838" s="2" t="s">
        <v>39</v>
      </c>
      <c r="J1838" s="2" t="n">
        <v>4</v>
      </c>
      <c r="K1838" s="2" t="s">
        <v>40</v>
      </c>
      <c r="L1838" s="2" t="s">
        <v>32</v>
      </c>
      <c r="M1838" s="2" t="n">
        <v>23250</v>
      </c>
      <c r="N1838" s="2" t="n">
        <v>7</v>
      </c>
      <c r="O1838" s="2" t="n">
        <v>18</v>
      </c>
      <c r="P1838" s="2" t="n">
        <v>1</v>
      </c>
      <c r="Q1838" s="2" t="n">
        <v>35</v>
      </c>
      <c r="R1838" s="2" t="n">
        <v>1</v>
      </c>
      <c r="S1838" s="2" t="n">
        <v>5</v>
      </c>
      <c r="T1838" s="2" t="n">
        <v>0</v>
      </c>
      <c r="U1838" s="2" t="n">
        <v>4</v>
      </c>
      <c r="V1838" s="2" t="n">
        <v>1</v>
      </c>
      <c r="W1838" s="2" t="n">
        <v>4</v>
      </c>
      <c r="X1838" s="2" t="n">
        <v>3</v>
      </c>
      <c r="Y1838" s="2" t="n">
        <v>4</v>
      </c>
      <c r="Z1838" s="2" t="n">
        <v>3</v>
      </c>
    </row>
    <row r="1839" customFormat="false" ht="15" hidden="false" customHeight="true" outlineLevel="0" collapsed="false">
      <c r="A1839" s="2" t="n">
        <v>45</v>
      </c>
      <c r="B1839" s="2" t="s">
        <v>26</v>
      </c>
      <c r="C1839" s="2" t="s">
        <v>27</v>
      </c>
      <c r="D1839" s="2" t="s">
        <v>35</v>
      </c>
      <c r="E1839" s="2" t="n">
        <v>1</v>
      </c>
      <c r="F1839" s="2" t="n">
        <v>5</v>
      </c>
      <c r="G1839" s="2" t="s">
        <v>51</v>
      </c>
      <c r="H1839" s="2" t="n">
        <v>1838</v>
      </c>
      <c r="I1839" s="2" t="s">
        <v>39</v>
      </c>
      <c r="J1839" s="2" t="n">
        <v>2</v>
      </c>
      <c r="K1839" s="2" t="s">
        <v>31</v>
      </c>
      <c r="L1839" s="2" t="s">
        <v>46</v>
      </c>
      <c r="M1839" s="2" t="n">
        <v>20880</v>
      </c>
      <c r="N1839" s="2" t="n">
        <v>4</v>
      </c>
      <c r="O1839" s="2" t="n">
        <v>15</v>
      </c>
      <c r="P1839" s="2" t="n">
        <v>3</v>
      </c>
      <c r="Q1839" s="2" t="n">
        <v>18</v>
      </c>
      <c r="R1839" s="2" t="n">
        <v>2</v>
      </c>
      <c r="S1839" s="2" t="n">
        <v>5</v>
      </c>
      <c r="T1839" s="2" t="n">
        <v>0</v>
      </c>
      <c r="U1839" s="2" t="n">
        <v>2</v>
      </c>
      <c r="V1839" s="2" t="n">
        <v>4</v>
      </c>
      <c r="W1839" s="2" t="n">
        <v>1</v>
      </c>
      <c r="X1839" s="2" t="n">
        <v>3</v>
      </c>
      <c r="Y1839" s="2" t="n">
        <v>3</v>
      </c>
      <c r="Z1839" s="2" t="n">
        <v>3</v>
      </c>
    </row>
    <row r="1840" customFormat="false" ht="15" hidden="false" customHeight="true" outlineLevel="0" collapsed="false">
      <c r="A1840" s="2" t="n">
        <v>32</v>
      </c>
      <c r="B1840" s="2" t="s">
        <v>26</v>
      </c>
      <c r="C1840" s="2" t="s">
        <v>27</v>
      </c>
      <c r="D1840" s="2" t="s">
        <v>28</v>
      </c>
      <c r="E1840" s="2" t="n">
        <v>10</v>
      </c>
      <c r="F1840" s="2" t="n">
        <v>3</v>
      </c>
      <c r="G1840" s="2" t="s">
        <v>50</v>
      </c>
      <c r="H1840" s="2" t="n">
        <v>1839</v>
      </c>
      <c r="I1840" s="2" t="s">
        <v>30</v>
      </c>
      <c r="J1840" s="2" t="n">
        <v>1</v>
      </c>
      <c r="K1840" s="2" t="s">
        <v>42</v>
      </c>
      <c r="L1840" s="2" t="s">
        <v>32</v>
      </c>
      <c r="M1840" s="2" t="n">
        <v>30720</v>
      </c>
      <c r="N1840" s="2" t="n">
        <v>5</v>
      </c>
      <c r="O1840" s="2" t="n">
        <v>12</v>
      </c>
      <c r="P1840" s="2" t="n">
        <v>0</v>
      </c>
      <c r="Q1840" s="2" t="n">
        <v>9</v>
      </c>
      <c r="R1840" s="2" t="n">
        <v>4</v>
      </c>
      <c r="S1840" s="2" t="n">
        <v>5</v>
      </c>
      <c r="T1840" s="2" t="n">
        <v>1</v>
      </c>
      <c r="U1840" s="2" t="n">
        <v>3</v>
      </c>
      <c r="V1840" s="2" t="n">
        <v>3</v>
      </c>
      <c r="W1840" s="2" t="n">
        <v>3</v>
      </c>
      <c r="X1840" s="2" t="n">
        <v>2</v>
      </c>
      <c r="Y1840" s="2" t="n">
        <v>1</v>
      </c>
      <c r="Z1840" s="2" t="n">
        <v>3</v>
      </c>
    </row>
    <row r="1841" customFormat="false" ht="15" hidden="false" customHeight="true" outlineLevel="0" collapsed="false">
      <c r="A1841" s="2" t="n">
        <v>52</v>
      </c>
      <c r="B1841" s="2" t="s">
        <v>26</v>
      </c>
      <c r="C1841" s="2" t="s">
        <v>34</v>
      </c>
      <c r="D1841" s="2" t="s">
        <v>35</v>
      </c>
      <c r="E1841" s="2" t="n">
        <v>1</v>
      </c>
      <c r="F1841" s="2" t="n">
        <v>1</v>
      </c>
      <c r="G1841" s="2" t="s">
        <v>29</v>
      </c>
      <c r="H1841" s="2" t="n">
        <v>1840</v>
      </c>
      <c r="I1841" s="2" t="s">
        <v>39</v>
      </c>
      <c r="J1841" s="2" t="n">
        <v>2</v>
      </c>
      <c r="K1841" s="2" t="s">
        <v>45</v>
      </c>
      <c r="L1841" s="2" t="s">
        <v>32</v>
      </c>
      <c r="M1841" s="2" t="n">
        <v>50060</v>
      </c>
      <c r="N1841" s="2" t="n">
        <v>3</v>
      </c>
      <c r="O1841" s="2" t="n">
        <v>16</v>
      </c>
      <c r="P1841" s="2" t="n">
        <v>1</v>
      </c>
      <c r="Q1841" s="2" t="n">
        <v>31</v>
      </c>
      <c r="R1841" s="2" t="n">
        <v>2</v>
      </c>
      <c r="S1841" s="2" t="n">
        <v>9</v>
      </c>
      <c r="T1841" s="2" t="n">
        <v>0</v>
      </c>
      <c r="U1841" s="2" t="n">
        <v>0</v>
      </c>
      <c r="V1841" s="2" t="n">
        <v>3</v>
      </c>
      <c r="W1841" s="2" t="n">
        <v>4</v>
      </c>
      <c r="X1841" s="2" t="n">
        <v>3</v>
      </c>
      <c r="Y1841" s="2" t="n">
        <v>3</v>
      </c>
      <c r="Z1841" s="2" t="n">
        <v>3</v>
      </c>
    </row>
    <row r="1842" customFormat="false" ht="15" hidden="false" customHeight="true" outlineLevel="0" collapsed="false">
      <c r="A1842" s="2" t="n">
        <v>37</v>
      </c>
      <c r="B1842" s="2" t="s">
        <v>26</v>
      </c>
      <c r="C1842" s="2" t="s">
        <v>27</v>
      </c>
      <c r="D1842" s="2" t="s">
        <v>28</v>
      </c>
      <c r="E1842" s="2" t="n">
        <v>24</v>
      </c>
      <c r="F1842" s="2" t="n">
        <v>2</v>
      </c>
      <c r="G1842" s="2" t="s">
        <v>29</v>
      </c>
      <c r="H1842" s="2" t="n">
        <v>1841</v>
      </c>
      <c r="I1842" s="2" t="s">
        <v>30</v>
      </c>
      <c r="J1842" s="2" t="n">
        <v>4</v>
      </c>
      <c r="K1842" s="2" t="s">
        <v>45</v>
      </c>
      <c r="L1842" s="2" t="s">
        <v>46</v>
      </c>
      <c r="M1842" s="2" t="n">
        <v>42570</v>
      </c>
      <c r="N1842" s="2" t="n">
        <v>4</v>
      </c>
      <c r="O1842" s="2" t="n">
        <v>15</v>
      </c>
      <c r="P1842" s="2" t="n">
        <v>0</v>
      </c>
      <c r="Q1842" s="2" t="n">
        <v>9</v>
      </c>
      <c r="R1842" s="2" t="n">
        <v>2</v>
      </c>
      <c r="S1842" s="2" t="n">
        <v>1</v>
      </c>
      <c r="T1842" s="2" t="n">
        <v>0</v>
      </c>
      <c r="U1842" s="2" t="n">
        <v>0</v>
      </c>
      <c r="V1842" s="2" t="n">
        <v>4</v>
      </c>
      <c r="W1842" s="2" t="n">
        <v>3</v>
      </c>
      <c r="X1842" s="2" t="n">
        <v>3</v>
      </c>
      <c r="Y1842" s="2" t="n">
        <v>3</v>
      </c>
      <c r="Z1842" s="2" t="n">
        <v>3</v>
      </c>
    </row>
    <row r="1843" customFormat="false" ht="15" hidden="false" customHeight="true" outlineLevel="0" collapsed="false">
      <c r="A1843" s="2" t="n">
        <v>28</v>
      </c>
      <c r="B1843" s="2" t="s">
        <v>26</v>
      </c>
      <c r="C1843" s="2" t="s">
        <v>27</v>
      </c>
      <c r="D1843" s="2" t="s">
        <v>35</v>
      </c>
      <c r="E1843" s="2" t="n">
        <v>21</v>
      </c>
      <c r="F1843" s="2" t="n">
        <v>4</v>
      </c>
      <c r="G1843" s="2" t="s">
        <v>29</v>
      </c>
      <c r="H1843" s="2" t="n">
        <v>1842</v>
      </c>
      <c r="I1843" s="2" t="s">
        <v>30</v>
      </c>
      <c r="J1843" s="2" t="n">
        <v>1</v>
      </c>
      <c r="K1843" s="2" t="s">
        <v>31</v>
      </c>
      <c r="L1843" s="2" t="s">
        <v>46</v>
      </c>
      <c r="M1843" s="2" t="n">
        <v>25000</v>
      </c>
      <c r="N1843" s="2" t="n">
        <v>1</v>
      </c>
      <c r="O1843" s="2" t="n">
        <v>16</v>
      </c>
      <c r="P1843" s="2" t="n">
        <v>2</v>
      </c>
      <c r="Q1843" s="2" t="n">
        <v>6</v>
      </c>
      <c r="R1843" s="2" t="n">
        <v>3</v>
      </c>
      <c r="S1843" s="2" t="n">
        <v>5</v>
      </c>
      <c r="T1843" s="2" t="n">
        <v>0</v>
      </c>
      <c r="U1843" s="2" t="n">
        <v>4</v>
      </c>
      <c r="V1843" s="2" t="n">
        <v>2</v>
      </c>
      <c r="W1843" s="2" t="n">
        <v>4</v>
      </c>
      <c r="X1843" s="2" t="n">
        <v>3</v>
      </c>
      <c r="Y1843" s="2" t="n">
        <v>3</v>
      </c>
      <c r="Z1843" s="2" t="n">
        <v>3</v>
      </c>
    </row>
    <row r="1844" customFormat="false" ht="15" hidden="false" customHeight="true" outlineLevel="0" collapsed="false">
      <c r="A1844" s="2" t="n">
        <v>22</v>
      </c>
      <c r="B1844" s="2" t="s">
        <v>26</v>
      </c>
      <c r="C1844" s="2" t="s">
        <v>27</v>
      </c>
      <c r="D1844" s="2" t="s">
        <v>35</v>
      </c>
      <c r="E1844" s="2" t="n">
        <v>2</v>
      </c>
      <c r="F1844" s="2" t="n">
        <v>2</v>
      </c>
      <c r="G1844" s="2" t="s">
        <v>29</v>
      </c>
      <c r="H1844" s="2" t="n">
        <v>1843</v>
      </c>
      <c r="I1844" s="2" t="s">
        <v>39</v>
      </c>
      <c r="J1844" s="2" t="n">
        <v>1</v>
      </c>
      <c r="K1844" s="2" t="s">
        <v>48</v>
      </c>
      <c r="L1844" s="2" t="s">
        <v>32</v>
      </c>
      <c r="M1844" s="2" t="n">
        <v>11020</v>
      </c>
      <c r="N1844" s="2" t="n">
        <v>6</v>
      </c>
      <c r="O1844" s="2" t="n">
        <v>19</v>
      </c>
      <c r="P1844" s="2" t="n">
        <v>0</v>
      </c>
      <c r="Q1844" s="2" t="n">
        <v>4</v>
      </c>
      <c r="R1844" s="2" t="n">
        <v>3</v>
      </c>
      <c r="S1844" s="2" t="n">
        <v>2</v>
      </c>
      <c r="T1844" s="2" t="n">
        <v>2</v>
      </c>
      <c r="U1844" s="2" t="n">
        <v>2</v>
      </c>
      <c r="V1844" s="2" t="n">
        <v>4</v>
      </c>
      <c r="W1844" s="2" t="n">
        <v>4</v>
      </c>
      <c r="X1844" s="2" t="n">
        <v>1</v>
      </c>
      <c r="Y1844" s="2" t="n">
        <v>2</v>
      </c>
      <c r="Z1844" s="2" t="n">
        <v>3</v>
      </c>
    </row>
    <row r="1845" customFormat="false" ht="15" hidden="false" customHeight="true" outlineLevel="0" collapsed="false">
      <c r="A1845" s="2" t="n">
        <v>44</v>
      </c>
      <c r="B1845" s="2" t="s">
        <v>26</v>
      </c>
      <c r="C1845" s="2" t="s">
        <v>27</v>
      </c>
      <c r="D1845" s="2" t="s">
        <v>35</v>
      </c>
      <c r="E1845" s="2" t="n">
        <v>22</v>
      </c>
      <c r="F1845" s="2" t="n">
        <v>3</v>
      </c>
      <c r="G1845" s="2" t="s">
        <v>43</v>
      </c>
      <c r="H1845" s="2" t="n">
        <v>1844</v>
      </c>
      <c r="I1845" s="2" t="s">
        <v>30</v>
      </c>
      <c r="J1845" s="2" t="n">
        <v>1</v>
      </c>
      <c r="K1845" s="2" t="s">
        <v>45</v>
      </c>
      <c r="L1845" s="2" t="s">
        <v>32</v>
      </c>
      <c r="M1845" s="2" t="n">
        <v>104530</v>
      </c>
      <c r="N1845" s="2" t="n">
        <v>2</v>
      </c>
      <c r="O1845" s="2" t="n">
        <v>11</v>
      </c>
      <c r="P1845" s="2" t="n">
        <v>1</v>
      </c>
      <c r="Q1845" s="2" t="n">
        <v>10</v>
      </c>
      <c r="R1845" s="2" t="n">
        <v>2</v>
      </c>
      <c r="S1845" s="2" t="n">
        <v>3</v>
      </c>
      <c r="T1845" s="2" t="n">
        <v>0</v>
      </c>
      <c r="U1845" s="2" t="n">
        <v>2</v>
      </c>
      <c r="V1845" s="2" t="n">
        <v>1</v>
      </c>
      <c r="W1845" s="2" t="n">
        <v>4</v>
      </c>
      <c r="X1845" s="2" t="n">
        <v>2</v>
      </c>
      <c r="Y1845" s="2" t="n">
        <v>3</v>
      </c>
      <c r="Z1845" s="2" t="n">
        <v>3</v>
      </c>
    </row>
    <row r="1846" customFormat="false" ht="15" hidden="false" customHeight="true" outlineLevel="0" collapsed="false">
      <c r="A1846" s="2" t="n">
        <v>42</v>
      </c>
      <c r="B1846" s="2" t="s">
        <v>26</v>
      </c>
      <c r="C1846" s="2" t="s">
        <v>34</v>
      </c>
      <c r="D1846" s="2" t="s">
        <v>28</v>
      </c>
      <c r="E1846" s="2" t="n">
        <v>13</v>
      </c>
      <c r="F1846" s="2" t="n">
        <v>4</v>
      </c>
      <c r="G1846" s="2" t="s">
        <v>29</v>
      </c>
      <c r="H1846" s="2" t="n">
        <v>1845</v>
      </c>
      <c r="I1846" s="2" t="s">
        <v>30</v>
      </c>
      <c r="J1846" s="2" t="n">
        <v>2</v>
      </c>
      <c r="K1846" s="2" t="s">
        <v>45</v>
      </c>
      <c r="L1846" s="2" t="s">
        <v>37</v>
      </c>
      <c r="M1846" s="2" t="n">
        <v>22880</v>
      </c>
      <c r="N1846" s="2" t="n">
        <v>5</v>
      </c>
      <c r="O1846" s="2" t="n">
        <v>16</v>
      </c>
      <c r="P1846" s="2" t="n">
        <v>1</v>
      </c>
      <c r="Q1846" s="2" t="n">
        <v>8</v>
      </c>
      <c r="R1846" s="2" t="n">
        <v>4</v>
      </c>
      <c r="S1846" s="2" t="n">
        <v>2</v>
      </c>
      <c r="T1846" s="2" t="n">
        <v>2</v>
      </c>
      <c r="U1846" s="2" t="n">
        <v>2</v>
      </c>
      <c r="V1846" s="2" t="n">
        <v>2</v>
      </c>
      <c r="W1846" s="2" t="n">
        <v>4</v>
      </c>
      <c r="X1846" s="2" t="n">
        <v>3</v>
      </c>
      <c r="Y1846" s="2" t="n">
        <v>2</v>
      </c>
      <c r="Z1846" s="2" t="n">
        <v>3</v>
      </c>
    </row>
    <row r="1847" customFormat="false" ht="15" hidden="false" customHeight="true" outlineLevel="0" collapsed="false">
      <c r="A1847" s="2" t="n">
        <v>36</v>
      </c>
      <c r="B1847" s="2" t="s">
        <v>26</v>
      </c>
      <c r="C1847" s="2" t="s">
        <v>27</v>
      </c>
      <c r="D1847" s="2" t="s">
        <v>35</v>
      </c>
      <c r="E1847" s="2" t="n">
        <v>14</v>
      </c>
      <c r="F1847" s="2" t="n">
        <v>3</v>
      </c>
      <c r="G1847" s="2" t="s">
        <v>38</v>
      </c>
      <c r="H1847" s="2" t="n">
        <v>1846</v>
      </c>
      <c r="I1847" s="2" t="s">
        <v>39</v>
      </c>
      <c r="J1847" s="2" t="n">
        <v>2</v>
      </c>
      <c r="K1847" s="2" t="s">
        <v>36</v>
      </c>
      <c r="L1847" s="2" t="s">
        <v>32</v>
      </c>
      <c r="M1847" s="2" t="n">
        <v>39290</v>
      </c>
      <c r="N1847" s="2" t="n">
        <v>0</v>
      </c>
      <c r="O1847" s="2" t="n">
        <v>24</v>
      </c>
      <c r="P1847" s="2" t="n">
        <v>0</v>
      </c>
      <c r="Q1847" s="2" t="n">
        <v>6</v>
      </c>
      <c r="R1847" s="2" t="n">
        <v>6</v>
      </c>
      <c r="S1847" s="2" t="n">
        <v>5</v>
      </c>
      <c r="T1847" s="2" t="n">
        <v>0</v>
      </c>
      <c r="U1847" s="2" t="n">
        <v>3</v>
      </c>
      <c r="V1847" s="2" t="n">
        <v>1</v>
      </c>
      <c r="W1847" s="2" t="n">
        <v>1</v>
      </c>
      <c r="X1847" s="2" t="n">
        <v>3</v>
      </c>
      <c r="Y1847" s="2" t="n">
        <v>2</v>
      </c>
      <c r="Z1847" s="2" t="n">
        <v>4</v>
      </c>
    </row>
    <row r="1848" customFormat="false" ht="15" hidden="false" customHeight="true" outlineLevel="0" collapsed="false">
      <c r="A1848" s="2" t="n">
        <v>25</v>
      </c>
      <c r="B1848" s="2" t="s">
        <v>26</v>
      </c>
      <c r="C1848" s="2" t="s">
        <v>27</v>
      </c>
      <c r="D1848" s="2" t="s">
        <v>28</v>
      </c>
      <c r="E1848" s="2" t="n">
        <v>11</v>
      </c>
      <c r="F1848" s="2" t="n">
        <v>3</v>
      </c>
      <c r="G1848" s="2" t="s">
        <v>29</v>
      </c>
      <c r="H1848" s="2" t="n">
        <v>1847</v>
      </c>
      <c r="I1848" s="2" t="s">
        <v>30</v>
      </c>
      <c r="J1848" s="2" t="n">
        <v>1</v>
      </c>
      <c r="K1848" s="2" t="s">
        <v>45</v>
      </c>
      <c r="L1848" s="2" t="s">
        <v>32</v>
      </c>
      <c r="M1848" s="2" t="n">
        <v>23110</v>
      </c>
      <c r="N1848" s="2" t="n">
        <v>1</v>
      </c>
      <c r="O1848" s="2" t="n">
        <v>11</v>
      </c>
      <c r="P1848" s="2" t="n">
        <v>1</v>
      </c>
      <c r="Q1848" s="2" t="n">
        <v>5</v>
      </c>
      <c r="R1848" s="2" t="n">
        <v>2</v>
      </c>
      <c r="S1848" s="2" t="n">
        <v>5</v>
      </c>
      <c r="T1848" s="2" t="n">
        <v>0</v>
      </c>
      <c r="U1848" s="2" t="n">
        <v>3</v>
      </c>
      <c r="V1848" s="2" t="n">
        <v>3</v>
      </c>
      <c r="W1848" s="2" t="n">
        <v>1</v>
      </c>
      <c r="X1848" s="2" t="n">
        <v>3</v>
      </c>
      <c r="Y1848" s="2" t="n">
        <v>3</v>
      </c>
      <c r="Z1848" s="2" t="n">
        <v>3</v>
      </c>
    </row>
    <row r="1849" customFormat="false" ht="15" hidden="false" customHeight="true" outlineLevel="0" collapsed="false">
      <c r="A1849" s="2" t="n">
        <v>35</v>
      </c>
      <c r="B1849" s="2" t="s">
        <v>26</v>
      </c>
      <c r="C1849" s="2" t="s">
        <v>27</v>
      </c>
      <c r="D1849" s="2" t="s">
        <v>35</v>
      </c>
      <c r="E1849" s="2" t="n">
        <v>9</v>
      </c>
      <c r="F1849" s="2" t="n">
        <v>2</v>
      </c>
      <c r="G1849" s="2" t="s">
        <v>29</v>
      </c>
      <c r="H1849" s="2" t="n">
        <v>1848</v>
      </c>
      <c r="I1849" s="2" t="s">
        <v>30</v>
      </c>
      <c r="J1849" s="2" t="n">
        <v>1</v>
      </c>
      <c r="K1849" s="2" t="s">
        <v>31</v>
      </c>
      <c r="L1849" s="2" t="s">
        <v>32</v>
      </c>
      <c r="M1849" s="2" t="n">
        <v>31400</v>
      </c>
      <c r="N1849" s="2" t="n">
        <v>1</v>
      </c>
      <c r="O1849" s="2" t="n">
        <v>13</v>
      </c>
      <c r="P1849" s="2" t="n">
        <v>1</v>
      </c>
      <c r="Q1849" s="2" t="n">
        <v>17</v>
      </c>
      <c r="R1849" s="2" t="n">
        <v>2</v>
      </c>
      <c r="S1849" s="2" t="n">
        <v>17</v>
      </c>
      <c r="T1849" s="2" t="n">
        <v>5</v>
      </c>
      <c r="U1849" s="2" t="n">
        <v>15</v>
      </c>
      <c r="V1849" s="2" t="n">
        <v>4</v>
      </c>
      <c r="W1849" s="2" t="n">
        <v>3</v>
      </c>
      <c r="X1849" s="2" t="n">
        <v>3</v>
      </c>
      <c r="Y1849" s="2" t="n">
        <v>2</v>
      </c>
      <c r="Z1849" s="2" t="n">
        <v>3</v>
      </c>
    </row>
    <row r="1850" customFormat="false" ht="15" hidden="false" customHeight="true" outlineLevel="0" collapsed="false">
      <c r="A1850" s="2" t="n">
        <v>35</v>
      </c>
      <c r="B1850" s="2" t="s">
        <v>33</v>
      </c>
      <c r="C1850" s="2" t="s">
        <v>34</v>
      </c>
      <c r="D1850" s="2" t="s">
        <v>28</v>
      </c>
      <c r="E1850" s="2" t="n">
        <v>8</v>
      </c>
      <c r="F1850" s="2" t="n">
        <v>2</v>
      </c>
      <c r="G1850" s="2" t="s">
        <v>50</v>
      </c>
      <c r="H1850" s="2" t="n">
        <v>1849</v>
      </c>
      <c r="I1850" s="2" t="s">
        <v>30</v>
      </c>
      <c r="J1850" s="2" t="n">
        <v>1</v>
      </c>
      <c r="K1850" s="2" t="s">
        <v>45</v>
      </c>
      <c r="L1850" s="2" t="s">
        <v>46</v>
      </c>
      <c r="M1850" s="2" t="n">
        <v>36900</v>
      </c>
      <c r="N1850" s="2" t="n">
        <v>1</v>
      </c>
      <c r="O1850" s="2" t="n">
        <v>13</v>
      </c>
      <c r="P1850" s="2" t="n">
        <v>1</v>
      </c>
      <c r="Q1850" s="2" t="n">
        <v>10</v>
      </c>
      <c r="R1850" s="2" t="n">
        <v>2</v>
      </c>
      <c r="S1850" s="2" t="n">
        <v>10</v>
      </c>
      <c r="T1850" s="2" t="n">
        <v>7</v>
      </c>
      <c r="U1850" s="2" t="n">
        <v>8</v>
      </c>
      <c r="V1850" s="2" t="n">
        <v>4</v>
      </c>
      <c r="W1850" s="2" t="n">
        <v>2</v>
      </c>
      <c r="X1850" s="2"/>
      <c r="Y1850" s="2" t="n">
        <v>4</v>
      </c>
      <c r="Z1850" s="2" t="n">
        <v>3</v>
      </c>
    </row>
    <row r="1851" customFormat="false" ht="15" hidden="false" customHeight="true" outlineLevel="0" collapsed="false">
      <c r="A1851" s="2" t="n">
        <v>32</v>
      </c>
      <c r="B1851" s="2" t="s">
        <v>26</v>
      </c>
      <c r="C1851" s="2" t="s">
        <v>41</v>
      </c>
      <c r="D1851" s="2" t="s">
        <v>35</v>
      </c>
      <c r="E1851" s="2" t="n">
        <v>21</v>
      </c>
      <c r="F1851" s="2" t="n">
        <v>3</v>
      </c>
      <c r="G1851" s="2" t="s">
        <v>29</v>
      </c>
      <c r="H1851" s="2" t="n">
        <v>1850</v>
      </c>
      <c r="I1851" s="2" t="s">
        <v>39</v>
      </c>
      <c r="J1851" s="2" t="n">
        <v>1</v>
      </c>
      <c r="K1851" s="2" t="s">
        <v>40</v>
      </c>
      <c r="L1851" s="2" t="s">
        <v>46</v>
      </c>
      <c r="M1851" s="2" t="n">
        <v>44500</v>
      </c>
      <c r="N1851" s="2" t="n">
        <v>0</v>
      </c>
      <c r="O1851" s="2" t="n">
        <v>13</v>
      </c>
      <c r="P1851" s="2" t="n">
        <v>0</v>
      </c>
      <c r="Q1851" s="2" t="n">
        <v>4</v>
      </c>
      <c r="R1851" s="2" t="n">
        <v>3</v>
      </c>
      <c r="S1851" s="2" t="n">
        <v>3</v>
      </c>
      <c r="T1851" s="2" t="n">
        <v>0</v>
      </c>
      <c r="U1851" s="2" t="n">
        <v>2</v>
      </c>
      <c r="V1851" s="2" t="n">
        <v>4</v>
      </c>
      <c r="W1851" s="2" t="n">
        <v>4</v>
      </c>
      <c r="X1851" s="2" t="n">
        <v>3</v>
      </c>
      <c r="Y1851" s="2" t="n">
        <v>3</v>
      </c>
      <c r="Z1851" s="2" t="n">
        <v>3</v>
      </c>
    </row>
    <row r="1852" customFormat="false" ht="15" hidden="false" customHeight="true" outlineLevel="0" collapsed="false">
      <c r="A1852" s="2" t="n">
        <v>25</v>
      </c>
      <c r="B1852" s="2" t="s">
        <v>26</v>
      </c>
      <c r="C1852" s="2" t="s">
        <v>27</v>
      </c>
      <c r="D1852" s="2" t="s">
        <v>28</v>
      </c>
      <c r="E1852" s="2" t="n">
        <v>5</v>
      </c>
      <c r="F1852" s="2" t="n">
        <v>3</v>
      </c>
      <c r="G1852" s="2" t="s">
        <v>50</v>
      </c>
      <c r="H1852" s="2" t="n">
        <v>1851</v>
      </c>
      <c r="I1852" s="2" t="s">
        <v>30</v>
      </c>
      <c r="J1852" s="2" t="n">
        <v>4</v>
      </c>
      <c r="K1852" s="2" t="s">
        <v>36</v>
      </c>
      <c r="L1852" s="2" t="s">
        <v>32</v>
      </c>
      <c r="M1852" s="2" t="n">
        <v>27560</v>
      </c>
      <c r="N1852" s="2" t="n">
        <v>1</v>
      </c>
      <c r="O1852" s="2" t="n">
        <v>12</v>
      </c>
      <c r="P1852" s="2" t="n">
        <v>2</v>
      </c>
      <c r="Q1852" s="2" t="n">
        <v>5</v>
      </c>
      <c r="R1852" s="2" t="n">
        <v>2</v>
      </c>
      <c r="S1852" s="2" t="n">
        <v>5</v>
      </c>
      <c r="T1852" s="2" t="n">
        <v>0</v>
      </c>
      <c r="U1852" s="2" t="n">
        <v>3</v>
      </c>
      <c r="V1852" s="2" t="n">
        <v>3</v>
      </c>
      <c r="W1852" s="2" t="n">
        <v>1</v>
      </c>
      <c r="X1852" s="2" t="n">
        <v>4</v>
      </c>
      <c r="Y1852" s="2" t="n">
        <v>3</v>
      </c>
      <c r="Z1852" s="2" t="n">
        <v>3</v>
      </c>
    </row>
    <row r="1853" customFormat="false" ht="15" hidden="false" customHeight="true" outlineLevel="0" collapsed="false">
      <c r="A1853" s="2" t="n">
        <v>49</v>
      </c>
      <c r="B1853" s="2" t="s">
        <v>26</v>
      </c>
      <c r="C1853" s="2" t="s">
        <v>27</v>
      </c>
      <c r="D1853" s="2" t="s">
        <v>28</v>
      </c>
      <c r="E1853" s="2" t="n">
        <v>9</v>
      </c>
      <c r="F1853" s="2" t="n">
        <v>3</v>
      </c>
      <c r="G1853" s="2" t="s">
        <v>51</v>
      </c>
      <c r="H1853" s="2" t="n">
        <v>1852</v>
      </c>
      <c r="I1853" s="2" t="s">
        <v>30</v>
      </c>
      <c r="J1853" s="2" t="n">
        <v>2</v>
      </c>
      <c r="K1853" s="2" t="s">
        <v>48</v>
      </c>
      <c r="L1853" s="2" t="s">
        <v>32</v>
      </c>
      <c r="M1853" s="2" t="n">
        <v>190330</v>
      </c>
      <c r="N1853" s="2" t="n">
        <v>2</v>
      </c>
      <c r="O1853" s="2" t="n">
        <v>18</v>
      </c>
      <c r="P1853" s="2" t="n">
        <v>1</v>
      </c>
      <c r="Q1853" s="2" t="n">
        <v>7</v>
      </c>
      <c r="R1853" s="2" t="n">
        <v>5</v>
      </c>
      <c r="S1853" s="2" t="n">
        <v>4</v>
      </c>
      <c r="T1853" s="2" t="n">
        <v>0</v>
      </c>
      <c r="U1853" s="2" t="n">
        <v>2</v>
      </c>
      <c r="V1853" s="2" t="n">
        <v>3</v>
      </c>
      <c r="W1853" s="2" t="n">
        <v>1</v>
      </c>
      <c r="X1853" s="2" t="n">
        <v>3</v>
      </c>
      <c r="Y1853" s="2" t="n">
        <v>3</v>
      </c>
      <c r="Z1853" s="2" t="n">
        <v>3</v>
      </c>
    </row>
    <row r="1854" customFormat="false" ht="15" hidden="false" customHeight="true" outlineLevel="0" collapsed="false">
      <c r="A1854" s="2" t="n">
        <v>24</v>
      </c>
      <c r="B1854" s="2" t="s">
        <v>26</v>
      </c>
      <c r="C1854" s="2" t="s">
        <v>41</v>
      </c>
      <c r="D1854" s="2" t="s">
        <v>35</v>
      </c>
      <c r="E1854" s="2" t="n">
        <v>2</v>
      </c>
      <c r="F1854" s="2" t="n">
        <v>5</v>
      </c>
      <c r="G1854" s="2" t="s">
        <v>51</v>
      </c>
      <c r="H1854" s="2" t="n">
        <v>1853</v>
      </c>
      <c r="I1854" s="2" t="s">
        <v>39</v>
      </c>
      <c r="J1854" s="2" t="n">
        <v>2</v>
      </c>
      <c r="K1854" s="2" t="s">
        <v>31</v>
      </c>
      <c r="L1854" s="2" t="s">
        <v>32</v>
      </c>
      <c r="M1854" s="2" t="n">
        <v>187220</v>
      </c>
      <c r="N1854" s="2" t="n">
        <v>0</v>
      </c>
      <c r="O1854" s="2" t="n">
        <v>22</v>
      </c>
      <c r="P1854" s="2" t="n">
        <v>1</v>
      </c>
      <c r="Q1854" s="2" t="n">
        <v>6</v>
      </c>
      <c r="R1854" s="2" t="n">
        <v>3</v>
      </c>
      <c r="S1854" s="2" t="n">
        <v>5</v>
      </c>
      <c r="T1854" s="2" t="n">
        <v>3</v>
      </c>
      <c r="U1854" s="2" t="n">
        <v>4</v>
      </c>
      <c r="V1854" s="2" t="n">
        <v>1</v>
      </c>
      <c r="W1854" s="2" t="n">
        <v>4</v>
      </c>
      <c r="X1854" s="2" t="n">
        <v>2</v>
      </c>
      <c r="Y1854" s="2" t="n">
        <v>3</v>
      </c>
      <c r="Z1854" s="2" t="n">
        <v>4</v>
      </c>
    </row>
    <row r="1855" customFormat="false" ht="15" hidden="false" customHeight="true" outlineLevel="0" collapsed="false">
      <c r="A1855" s="2" t="n">
        <v>32</v>
      </c>
      <c r="B1855" s="2" t="s">
        <v>26</v>
      </c>
      <c r="C1855" s="2" t="s">
        <v>34</v>
      </c>
      <c r="D1855" s="2" t="s">
        <v>35</v>
      </c>
      <c r="E1855" s="2" t="n">
        <v>12</v>
      </c>
      <c r="F1855" s="2" t="n">
        <v>5</v>
      </c>
      <c r="G1855" s="2" t="s">
        <v>43</v>
      </c>
      <c r="H1855" s="2" t="n">
        <v>1854</v>
      </c>
      <c r="I1855" s="2" t="s">
        <v>39</v>
      </c>
      <c r="J1855" s="2" t="n">
        <v>1</v>
      </c>
      <c r="K1855" s="2" t="s">
        <v>36</v>
      </c>
      <c r="L1855" s="2" t="s">
        <v>32</v>
      </c>
      <c r="M1855" s="2" t="n">
        <v>95470</v>
      </c>
      <c r="N1855" s="2" t="n">
        <v>1</v>
      </c>
      <c r="O1855" s="2" t="n">
        <v>13</v>
      </c>
      <c r="P1855" s="2" t="n">
        <v>1</v>
      </c>
      <c r="Q1855" s="2" t="n">
        <v>10</v>
      </c>
      <c r="R1855" s="2" t="n">
        <v>3</v>
      </c>
      <c r="S1855" s="2" t="n">
        <v>10</v>
      </c>
      <c r="T1855" s="2" t="n">
        <v>5</v>
      </c>
      <c r="U1855" s="2" t="n">
        <v>3</v>
      </c>
      <c r="V1855" s="2" t="n">
        <v>2</v>
      </c>
      <c r="W1855" s="2" t="n">
        <v>2</v>
      </c>
      <c r="X1855" s="2" t="n">
        <v>3</v>
      </c>
      <c r="Y1855" s="2" t="n">
        <v>2</v>
      </c>
      <c r="Z1855" s="2" t="n">
        <v>3</v>
      </c>
    </row>
    <row r="1856" customFormat="false" ht="15" hidden="false" customHeight="true" outlineLevel="0" collapsed="false">
      <c r="A1856" s="2" t="n">
        <v>38</v>
      </c>
      <c r="B1856" s="2" t="s">
        <v>26</v>
      </c>
      <c r="C1856" s="2" t="s">
        <v>27</v>
      </c>
      <c r="D1856" s="2" t="s">
        <v>28</v>
      </c>
      <c r="E1856" s="2" t="n">
        <v>22</v>
      </c>
      <c r="F1856" s="2" t="n">
        <v>2</v>
      </c>
      <c r="G1856" s="2" t="s">
        <v>43</v>
      </c>
      <c r="H1856" s="2" t="n">
        <v>1855</v>
      </c>
      <c r="I1856" s="2" t="s">
        <v>39</v>
      </c>
      <c r="J1856" s="2" t="n">
        <v>1</v>
      </c>
      <c r="K1856" s="2" t="s">
        <v>40</v>
      </c>
      <c r="L1856" s="2" t="s">
        <v>32</v>
      </c>
      <c r="M1856" s="2" t="n">
        <v>137340</v>
      </c>
      <c r="N1856" s="2" t="n">
        <v>0</v>
      </c>
      <c r="O1856" s="2" t="n">
        <v>13</v>
      </c>
      <c r="P1856" s="2" t="n">
        <v>0</v>
      </c>
      <c r="Q1856" s="2" t="n">
        <v>3</v>
      </c>
      <c r="R1856" s="2" t="n">
        <v>3</v>
      </c>
      <c r="S1856" s="2" t="n">
        <v>2</v>
      </c>
      <c r="T1856" s="2" t="n">
        <v>1</v>
      </c>
      <c r="U1856" s="2" t="n">
        <v>2</v>
      </c>
      <c r="V1856" s="2" t="n">
        <v>2</v>
      </c>
      <c r="W1856" s="2" t="n">
        <v>2</v>
      </c>
      <c r="X1856" s="2" t="n">
        <v>3</v>
      </c>
      <c r="Y1856" s="2" t="n">
        <v>4</v>
      </c>
      <c r="Z1856" s="2" t="n">
        <v>3</v>
      </c>
    </row>
    <row r="1857" customFormat="false" ht="15" hidden="false" customHeight="true" outlineLevel="0" collapsed="false">
      <c r="A1857" s="2" t="n">
        <v>42</v>
      </c>
      <c r="B1857" s="2" t="s">
        <v>26</v>
      </c>
      <c r="C1857" s="2" t="s">
        <v>27</v>
      </c>
      <c r="D1857" s="2" t="s">
        <v>35</v>
      </c>
      <c r="E1857" s="2" t="n">
        <v>18</v>
      </c>
      <c r="F1857" s="2" t="n">
        <v>1</v>
      </c>
      <c r="G1857" s="2" t="s">
        <v>51</v>
      </c>
      <c r="H1857" s="2" t="n">
        <v>1856</v>
      </c>
      <c r="I1857" s="2" t="s">
        <v>30</v>
      </c>
      <c r="J1857" s="2" t="n">
        <v>2</v>
      </c>
      <c r="K1857" s="2" t="s">
        <v>36</v>
      </c>
      <c r="L1857" s="2" t="s">
        <v>32</v>
      </c>
      <c r="M1857" s="2" t="n">
        <v>199990</v>
      </c>
      <c r="N1857" s="2" t="n">
        <v>2</v>
      </c>
      <c r="O1857" s="2" t="n">
        <v>23</v>
      </c>
      <c r="P1857" s="2" t="n">
        <v>1</v>
      </c>
      <c r="Q1857" s="2" t="n">
        <v>17</v>
      </c>
      <c r="R1857" s="2" t="n">
        <v>6</v>
      </c>
      <c r="S1857" s="2" t="n">
        <v>5</v>
      </c>
      <c r="T1857" s="2" t="n">
        <v>1</v>
      </c>
      <c r="U1857" s="2" t="n">
        <v>3</v>
      </c>
      <c r="V1857" s="2" t="n">
        <v>3</v>
      </c>
      <c r="W1857" s="2" t="n">
        <v>4</v>
      </c>
      <c r="X1857" s="2" t="n">
        <v>2</v>
      </c>
      <c r="Y1857" s="2" t="n">
        <v>3</v>
      </c>
      <c r="Z1857" s="2" t="n">
        <v>4</v>
      </c>
    </row>
    <row r="1858" customFormat="false" ht="15" hidden="false" customHeight="true" outlineLevel="0" collapsed="false">
      <c r="A1858" s="2" t="n">
        <v>31</v>
      </c>
      <c r="B1858" s="2" t="s">
        <v>26</v>
      </c>
      <c r="C1858" s="2" t="s">
        <v>27</v>
      </c>
      <c r="D1858" s="2" t="s">
        <v>35</v>
      </c>
      <c r="E1858" s="2" t="n">
        <v>16</v>
      </c>
      <c r="F1858" s="2" t="n">
        <v>3</v>
      </c>
      <c r="G1858" s="2" t="s">
        <v>29</v>
      </c>
      <c r="H1858" s="2" t="n">
        <v>1857</v>
      </c>
      <c r="I1858" s="2" t="s">
        <v>30</v>
      </c>
      <c r="J1858" s="2" t="n">
        <v>3</v>
      </c>
      <c r="K1858" s="2" t="s">
        <v>40</v>
      </c>
      <c r="L1858" s="2" t="s">
        <v>32</v>
      </c>
      <c r="M1858" s="2" t="n">
        <v>22790</v>
      </c>
      <c r="N1858" s="2" t="n">
        <v>3</v>
      </c>
      <c r="O1858" s="2" t="n">
        <v>12</v>
      </c>
      <c r="P1858" s="2" t="n">
        <v>1</v>
      </c>
      <c r="Q1858" s="2" t="n">
        <v>8</v>
      </c>
      <c r="R1858" s="2" t="n">
        <v>3</v>
      </c>
      <c r="S1858" s="2" t="n">
        <v>6</v>
      </c>
      <c r="T1858" s="2" t="n">
        <v>0</v>
      </c>
      <c r="U1858" s="2" t="n">
        <v>2</v>
      </c>
      <c r="V1858" s="2" t="n">
        <v>4</v>
      </c>
      <c r="W1858" s="2" t="n">
        <v>4</v>
      </c>
      <c r="X1858" s="2" t="n">
        <v>3</v>
      </c>
      <c r="Y1858" s="2" t="n">
        <v>3</v>
      </c>
      <c r="Z1858" s="2" t="n">
        <v>3</v>
      </c>
    </row>
    <row r="1859" customFormat="false" ht="15" hidden="false" customHeight="true" outlineLevel="0" collapsed="false">
      <c r="A1859" s="2" t="n">
        <v>29</v>
      </c>
      <c r="B1859" s="2" t="s">
        <v>33</v>
      </c>
      <c r="C1859" s="2" t="s">
        <v>27</v>
      </c>
      <c r="D1859" s="2" t="s">
        <v>28</v>
      </c>
      <c r="E1859" s="2" t="n">
        <v>3</v>
      </c>
      <c r="F1859" s="2" t="n">
        <v>3</v>
      </c>
      <c r="G1859" s="2" t="s">
        <v>50</v>
      </c>
      <c r="H1859" s="2" t="n">
        <v>1858</v>
      </c>
      <c r="I1859" s="2" t="s">
        <v>39</v>
      </c>
      <c r="J1859" s="2" t="n">
        <v>3</v>
      </c>
      <c r="K1859" s="2" t="s">
        <v>45</v>
      </c>
      <c r="L1859" s="2" t="s">
        <v>46</v>
      </c>
      <c r="M1859" s="2" t="n">
        <v>59160</v>
      </c>
      <c r="N1859" s="2" t="n">
        <v>6</v>
      </c>
      <c r="O1859" s="2" t="n">
        <v>12</v>
      </c>
      <c r="P1859" s="2" t="n">
        <v>0</v>
      </c>
      <c r="Q1859" s="2" t="n">
        <v>5</v>
      </c>
      <c r="R1859" s="2" t="n">
        <v>2</v>
      </c>
      <c r="S1859" s="2" t="n">
        <v>3</v>
      </c>
      <c r="T1859" s="2" t="n">
        <v>0</v>
      </c>
      <c r="U1859" s="2" t="n">
        <v>2</v>
      </c>
      <c r="V1859" s="2" t="n">
        <v>2</v>
      </c>
      <c r="W1859" s="2" t="n">
        <v>3</v>
      </c>
      <c r="X1859" s="2" t="n">
        <v>3</v>
      </c>
      <c r="Y1859" s="2" t="n">
        <v>3</v>
      </c>
      <c r="Z1859" s="2" t="n">
        <v>3</v>
      </c>
    </row>
    <row r="1860" customFormat="false" ht="15" hidden="false" customHeight="true" outlineLevel="0" collapsed="false">
      <c r="A1860" s="2" t="n">
        <v>53</v>
      </c>
      <c r="B1860" s="2" t="s">
        <v>26</v>
      </c>
      <c r="C1860" s="2" t="s">
        <v>27</v>
      </c>
      <c r="D1860" s="2" t="s">
        <v>35</v>
      </c>
      <c r="E1860" s="2" t="n">
        <v>9</v>
      </c>
      <c r="F1860" s="2" t="n">
        <v>3</v>
      </c>
      <c r="G1860" s="2" t="s">
        <v>29</v>
      </c>
      <c r="H1860" s="2" t="n">
        <v>1859</v>
      </c>
      <c r="I1860" s="2" t="s">
        <v>39</v>
      </c>
      <c r="J1860" s="2" t="n">
        <v>1</v>
      </c>
      <c r="K1860" s="2" t="s">
        <v>48</v>
      </c>
      <c r="L1860" s="2" t="s">
        <v>32</v>
      </c>
      <c r="M1860" s="2" t="n">
        <v>20890</v>
      </c>
      <c r="N1860" s="2" t="n">
        <v>5</v>
      </c>
      <c r="O1860" s="2" t="n">
        <v>16</v>
      </c>
      <c r="P1860" s="2" t="n">
        <v>0</v>
      </c>
      <c r="Q1860" s="2" t="n">
        <v>28</v>
      </c>
      <c r="R1860" s="2" t="n">
        <v>2</v>
      </c>
      <c r="S1860" s="2" t="n">
        <v>2</v>
      </c>
      <c r="T1860" s="2" t="n">
        <v>2</v>
      </c>
      <c r="U1860" s="2" t="n">
        <v>2</v>
      </c>
      <c r="V1860" s="2" t="n">
        <v>1</v>
      </c>
      <c r="W1860" s="2" t="n">
        <v>4</v>
      </c>
      <c r="X1860" s="2" t="n">
        <v>3</v>
      </c>
      <c r="Y1860" s="2" t="n">
        <v>2</v>
      </c>
      <c r="Z1860" s="2" t="n">
        <v>3</v>
      </c>
    </row>
    <row r="1861" customFormat="false" ht="15" hidden="false" customHeight="true" outlineLevel="0" collapsed="false">
      <c r="A1861" s="2" t="n">
        <v>35</v>
      </c>
      <c r="B1861" s="2" t="s">
        <v>26</v>
      </c>
      <c r="C1861" s="2" t="s">
        <v>27</v>
      </c>
      <c r="D1861" s="2" t="s">
        <v>35</v>
      </c>
      <c r="E1861" s="2" t="n">
        <v>1</v>
      </c>
      <c r="F1861" s="2" t="n">
        <v>3</v>
      </c>
      <c r="G1861" s="2" t="s">
        <v>29</v>
      </c>
      <c r="H1861" s="2" t="n">
        <v>1860</v>
      </c>
      <c r="I1861" s="2" t="s">
        <v>39</v>
      </c>
      <c r="J1861" s="2" t="n">
        <v>3</v>
      </c>
      <c r="K1861" s="2" t="s">
        <v>31</v>
      </c>
      <c r="L1861" s="2" t="s">
        <v>32</v>
      </c>
      <c r="M1861" s="2" t="n">
        <v>167920</v>
      </c>
      <c r="N1861" s="2" t="n">
        <v>3</v>
      </c>
      <c r="O1861" s="2" t="n">
        <v>12</v>
      </c>
      <c r="P1861" s="2" t="n">
        <v>1</v>
      </c>
      <c r="Q1861" s="2" t="n">
        <v>16</v>
      </c>
      <c r="R1861" s="2" t="n">
        <v>3</v>
      </c>
      <c r="S1861" s="2" t="n">
        <v>13</v>
      </c>
      <c r="T1861" s="2" t="n">
        <v>4</v>
      </c>
      <c r="U1861" s="2" t="n">
        <v>8</v>
      </c>
      <c r="V1861" s="2" t="n">
        <v>4</v>
      </c>
      <c r="W1861" s="2" t="n">
        <v>2</v>
      </c>
      <c r="X1861" s="2" t="n">
        <v>3</v>
      </c>
      <c r="Y1861" s="2" t="n">
        <v>4</v>
      </c>
      <c r="Z1861" s="2" t="n">
        <v>3</v>
      </c>
    </row>
    <row r="1862" customFormat="false" ht="15" hidden="false" customHeight="true" outlineLevel="0" collapsed="false">
      <c r="A1862" s="2" t="n">
        <v>37</v>
      </c>
      <c r="B1862" s="2" t="s">
        <v>26</v>
      </c>
      <c r="C1862" s="2" t="s">
        <v>34</v>
      </c>
      <c r="D1862" s="2" t="s">
        <v>35</v>
      </c>
      <c r="E1862" s="2" t="n">
        <v>13</v>
      </c>
      <c r="F1862" s="2" t="n">
        <v>4</v>
      </c>
      <c r="G1862" s="2" t="s">
        <v>29</v>
      </c>
      <c r="H1862" s="2" t="n">
        <v>1861</v>
      </c>
      <c r="I1862" s="2" t="s">
        <v>30</v>
      </c>
      <c r="J1862" s="2" t="n">
        <v>3</v>
      </c>
      <c r="K1862" s="2" t="s">
        <v>42</v>
      </c>
      <c r="L1862" s="2" t="s">
        <v>32</v>
      </c>
      <c r="M1862" s="2" t="n">
        <v>35640</v>
      </c>
      <c r="N1862" s="2" t="n">
        <v>5</v>
      </c>
      <c r="O1862" s="2" t="n">
        <v>11</v>
      </c>
      <c r="P1862" s="2" t="n">
        <v>0</v>
      </c>
      <c r="Q1862" s="2" t="n">
        <v>10</v>
      </c>
      <c r="R1862" s="2" t="n">
        <v>1</v>
      </c>
      <c r="S1862" s="2" t="n">
        <v>5</v>
      </c>
      <c r="T1862" s="2" t="n">
        <v>0</v>
      </c>
      <c r="U1862" s="2" t="n">
        <v>0</v>
      </c>
      <c r="V1862" s="2" t="n">
        <v>3</v>
      </c>
      <c r="W1862" s="2" t="n">
        <v>4</v>
      </c>
      <c r="X1862" s="2" t="n">
        <v>3</v>
      </c>
      <c r="Y1862" s="2" t="n">
        <v>1</v>
      </c>
      <c r="Z1862" s="2" t="n">
        <v>3</v>
      </c>
    </row>
    <row r="1863" customFormat="false" ht="15" hidden="false" customHeight="true" outlineLevel="0" collapsed="false">
      <c r="A1863" s="2" t="n">
        <v>53</v>
      </c>
      <c r="B1863" s="2" t="s">
        <v>26</v>
      </c>
      <c r="C1863" s="2" t="s">
        <v>27</v>
      </c>
      <c r="D1863" s="2" t="s">
        <v>35</v>
      </c>
      <c r="E1863" s="2" t="n">
        <v>1</v>
      </c>
      <c r="F1863" s="2" t="n">
        <v>1</v>
      </c>
      <c r="G1863" s="2" t="s">
        <v>43</v>
      </c>
      <c r="H1863" s="2" t="n">
        <v>1862</v>
      </c>
      <c r="I1863" s="2" t="s">
        <v>39</v>
      </c>
      <c r="J1863" s="2" t="n">
        <v>1</v>
      </c>
      <c r="K1863" s="2" t="s">
        <v>40</v>
      </c>
      <c r="L1863" s="2" t="s">
        <v>37</v>
      </c>
      <c r="M1863" s="2" t="n">
        <v>44250</v>
      </c>
      <c r="N1863" s="2" t="n">
        <v>6</v>
      </c>
      <c r="O1863" s="2" t="n">
        <v>22</v>
      </c>
      <c r="P1863" s="2" t="n">
        <v>1</v>
      </c>
      <c r="Q1863" s="2" t="n">
        <v>33</v>
      </c>
      <c r="R1863" s="2" t="n">
        <v>2</v>
      </c>
      <c r="S1863" s="2" t="n">
        <v>12</v>
      </c>
      <c r="T1863" s="2" t="n">
        <v>3</v>
      </c>
      <c r="U1863" s="2" t="n">
        <v>8</v>
      </c>
      <c r="V1863" s="2" t="n">
        <v>4</v>
      </c>
      <c r="W1863" s="2" t="n">
        <v>4</v>
      </c>
      <c r="X1863" s="2" t="n">
        <v>3</v>
      </c>
      <c r="Y1863" s="2" t="n">
        <v>4</v>
      </c>
      <c r="Z1863" s="2" t="n">
        <v>4</v>
      </c>
    </row>
    <row r="1864" customFormat="false" ht="15" hidden="false" customHeight="true" outlineLevel="0" collapsed="false">
      <c r="A1864" s="2" t="n">
        <v>43</v>
      </c>
      <c r="B1864" s="2" t="s">
        <v>26</v>
      </c>
      <c r="C1864" s="2" t="s">
        <v>34</v>
      </c>
      <c r="D1864" s="2" t="s">
        <v>35</v>
      </c>
      <c r="E1864" s="2" t="n">
        <v>1</v>
      </c>
      <c r="F1864" s="2" t="n">
        <v>3</v>
      </c>
      <c r="G1864" s="2" t="s">
        <v>43</v>
      </c>
      <c r="H1864" s="2" t="n">
        <v>1863</v>
      </c>
      <c r="I1864" s="2" t="s">
        <v>39</v>
      </c>
      <c r="J1864" s="2" t="n">
        <v>1</v>
      </c>
      <c r="K1864" s="2" t="s">
        <v>45</v>
      </c>
      <c r="L1864" s="2" t="s">
        <v>32</v>
      </c>
      <c r="M1864" s="2" t="n">
        <v>52650</v>
      </c>
      <c r="N1864" s="2" t="n">
        <v>4</v>
      </c>
      <c r="O1864" s="2" t="n">
        <v>11</v>
      </c>
      <c r="P1864" s="2" t="n">
        <v>1</v>
      </c>
      <c r="Q1864" s="2" t="n">
        <v>12</v>
      </c>
      <c r="R1864" s="2" t="n">
        <v>4</v>
      </c>
      <c r="S1864" s="2" t="n">
        <v>5</v>
      </c>
      <c r="T1864" s="2" t="n">
        <v>2</v>
      </c>
      <c r="U1864" s="2" t="n">
        <v>2</v>
      </c>
      <c r="V1864" s="2" t="n">
        <v>4</v>
      </c>
      <c r="W1864" s="2" t="n">
        <v>4</v>
      </c>
      <c r="X1864" s="2" t="n">
        <v>2</v>
      </c>
      <c r="Y1864" s="2" t="n">
        <v>3</v>
      </c>
      <c r="Z1864" s="2" t="n">
        <v>3</v>
      </c>
    </row>
    <row r="1865" customFormat="false" ht="15" hidden="false" customHeight="true" outlineLevel="0" collapsed="false">
      <c r="A1865" s="2" t="n">
        <v>47</v>
      </c>
      <c r="B1865" s="2" t="s">
        <v>26</v>
      </c>
      <c r="C1865" s="2" t="s">
        <v>27</v>
      </c>
      <c r="D1865" s="2" t="s">
        <v>28</v>
      </c>
      <c r="E1865" s="2" t="n">
        <v>15</v>
      </c>
      <c r="F1865" s="2" t="n">
        <v>4</v>
      </c>
      <c r="G1865" s="2" t="s">
        <v>50</v>
      </c>
      <c r="H1865" s="2" t="n">
        <v>1864</v>
      </c>
      <c r="I1865" s="2" t="s">
        <v>30</v>
      </c>
      <c r="J1865" s="2" t="n">
        <v>3</v>
      </c>
      <c r="K1865" s="2" t="s">
        <v>44</v>
      </c>
      <c r="L1865" s="2" t="s">
        <v>32</v>
      </c>
      <c r="M1865" s="2" t="n">
        <v>65530</v>
      </c>
      <c r="N1865" s="2" t="n">
        <v>0</v>
      </c>
      <c r="O1865" s="2" t="n">
        <v>15</v>
      </c>
      <c r="P1865" s="2" t="n">
        <v>0</v>
      </c>
      <c r="Q1865" s="2" t="n">
        <v>8</v>
      </c>
      <c r="R1865" s="2" t="n">
        <v>2</v>
      </c>
      <c r="S1865" s="2" t="n">
        <v>7</v>
      </c>
      <c r="T1865" s="2" t="n">
        <v>7</v>
      </c>
      <c r="U1865" s="2" t="n">
        <v>7</v>
      </c>
      <c r="V1865" s="2" t="n">
        <v>3</v>
      </c>
      <c r="W1865" s="2" t="n">
        <v>4</v>
      </c>
      <c r="X1865" s="2" t="n">
        <v>3</v>
      </c>
      <c r="Y1865" s="2" t="n">
        <v>3</v>
      </c>
      <c r="Z1865" s="2" t="n">
        <v>3</v>
      </c>
    </row>
    <row r="1866" customFormat="false" ht="15" hidden="false" customHeight="true" outlineLevel="0" collapsed="false">
      <c r="A1866" s="2" t="n">
        <v>37</v>
      </c>
      <c r="B1866" s="2" t="s">
        <v>26</v>
      </c>
      <c r="C1866" s="2" t="s">
        <v>41</v>
      </c>
      <c r="D1866" s="2" t="s">
        <v>35</v>
      </c>
      <c r="E1866" s="2" t="n">
        <v>1</v>
      </c>
      <c r="F1866" s="2" t="n">
        <v>5</v>
      </c>
      <c r="G1866" s="2" t="s">
        <v>43</v>
      </c>
      <c r="H1866" s="2" t="n">
        <v>1865</v>
      </c>
      <c r="I1866" s="2" t="s">
        <v>30</v>
      </c>
      <c r="J1866" s="2" t="n">
        <v>2</v>
      </c>
      <c r="K1866" s="2" t="s">
        <v>36</v>
      </c>
      <c r="L1866" s="2" t="s">
        <v>37</v>
      </c>
      <c r="M1866" s="2" t="n">
        <v>62610</v>
      </c>
      <c r="N1866" s="2" t="n">
        <v>1</v>
      </c>
      <c r="O1866" s="2" t="n">
        <v>12</v>
      </c>
      <c r="P1866" s="2" t="n">
        <v>0</v>
      </c>
      <c r="Q1866" s="2" t="n">
        <v>10</v>
      </c>
      <c r="R1866" s="2" t="n">
        <v>1</v>
      </c>
      <c r="S1866" s="2" t="n">
        <v>10</v>
      </c>
      <c r="T1866" s="2" t="n">
        <v>0</v>
      </c>
      <c r="U1866" s="2" t="n">
        <v>9</v>
      </c>
      <c r="V1866" s="2" t="n">
        <v>1</v>
      </c>
      <c r="W1866" s="2" t="n">
        <v>2</v>
      </c>
      <c r="X1866" s="2" t="n">
        <v>3</v>
      </c>
      <c r="Y1866" s="2" t="n">
        <v>3</v>
      </c>
      <c r="Z1866" s="2" t="n">
        <v>3</v>
      </c>
    </row>
    <row r="1867" customFormat="false" ht="15" hidden="false" customHeight="true" outlineLevel="0" collapsed="false">
      <c r="A1867" s="2" t="n">
        <v>50</v>
      </c>
      <c r="B1867" s="2" t="s">
        <v>26</v>
      </c>
      <c r="C1867" s="2" t="s">
        <v>41</v>
      </c>
      <c r="D1867" s="2" t="s">
        <v>35</v>
      </c>
      <c r="E1867" s="2" t="n">
        <v>17</v>
      </c>
      <c r="F1867" s="2" t="n">
        <v>3</v>
      </c>
      <c r="G1867" s="2" t="s">
        <v>43</v>
      </c>
      <c r="H1867" s="2" t="n">
        <v>1866</v>
      </c>
      <c r="I1867" s="2" t="s">
        <v>30</v>
      </c>
      <c r="J1867" s="2" t="n">
        <v>1</v>
      </c>
      <c r="K1867" s="2" t="s">
        <v>45</v>
      </c>
      <c r="L1867" s="2" t="s">
        <v>46</v>
      </c>
      <c r="M1867" s="2" t="n">
        <v>42980</v>
      </c>
      <c r="N1867" s="2" t="n">
        <v>1</v>
      </c>
      <c r="O1867" s="2" t="n">
        <v>20</v>
      </c>
      <c r="P1867" s="2" t="n">
        <v>1</v>
      </c>
      <c r="Q1867" s="2" t="n">
        <v>31</v>
      </c>
      <c r="R1867" s="2" t="n">
        <v>6</v>
      </c>
      <c r="S1867" s="2" t="n">
        <v>31</v>
      </c>
      <c r="T1867" s="2" t="n">
        <v>14</v>
      </c>
      <c r="U1867" s="2" t="n">
        <v>7</v>
      </c>
      <c r="V1867" s="2" t="n">
        <v>1</v>
      </c>
      <c r="W1867" s="2" t="n">
        <v>1</v>
      </c>
      <c r="X1867" s="2" t="n">
        <v>3</v>
      </c>
      <c r="Y1867" s="2" t="n">
        <v>3</v>
      </c>
      <c r="Z1867" s="2" t="n">
        <v>4</v>
      </c>
    </row>
    <row r="1868" customFormat="false" ht="15" hidden="false" customHeight="true" outlineLevel="0" collapsed="false">
      <c r="A1868" s="2" t="n">
        <v>39</v>
      </c>
      <c r="B1868" s="2" t="s">
        <v>26</v>
      </c>
      <c r="C1868" s="2" t="s">
        <v>27</v>
      </c>
      <c r="D1868" s="2" t="s">
        <v>35</v>
      </c>
      <c r="E1868" s="2" t="n">
        <v>1</v>
      </c>
      <c r="F1868" s="2" t="n">
        <v>3</v>
      </c>
      <c r="G1868" s="2" t="s">
        <v>38</v>
      </c>
      <c r="H1868" s="2" t="n">
        <v>1867</v>
      </c>
      <c r="I1868" s="2" t="s">
        <v>30</v>
      </c>
      <c r="J1868" s="2" t="n">
        <v>3</v>
      </c>
      <c r="K1868" s="2" t="s">
        <v>42</v>
      </c>
      <c r="L1868" s="2" t="s">
        <v>32</v>
      </c>
      <c r="M1868" s="2" t="n">
        <v>68040</v>
      </c>
      <c r="N1868" s="2" t="n">
        <v>8</v>
      </c>
      <c r="O1868" s="2" t="n">
        <v>14</v>
      </c>
      <c r="P1868" s="2" t="n">
        <v>1</v>
      </c>
      <c r="Q1868" s="2" t="n">
        <v>13</v>
      </c>
      <c r="R1868" s="2" t="n">
        <v>3</v>
      </c>
      <c r="S1868" s="2" t="n">
        <v>5</v>
      </c>
      <c r="T1868" s="2" t="n">
        <v>0</v>
      </c>
      <c r="U1868" s="2" t="n">
        <v>4</v>
      </c>
      <c r="V1868" s="2" t="n">
        <v>4</v>
      </c>
      <c r="W1868" s="2" t="n">
        <v>4</v>
      </c>
      <c r="X1868" s="2" t="n">
        <v>3</v>
      </c>
      <c r="Y1868" s="2" t="n">
        <v>2</v>
      </c>
      <c r="Z1868" s="2" t="n">
        <v>3</v>
      </c>
    </row>
    <row r="1869" customFormat="false" ht="15" hidden="false" customHeight="true" outlineLevel="0" collapsed="false">
      <c r="A1869" s="2" t="n">
        <v>33</v>
      </c>
      <c r="B1869" s="2" t="s">
        <v>26</v>
      </c>
      <c r="C1869" s="2" t="s">
        <v>27</v>
      </c>
      <c r="D1869" s="2" t="s">
        <v>28</v>
      </c>
      <c r="E1869" s="2" t="n">
        <v>7</v>
      </c>
      <c r="F1869" s="2" t="n">
        <v>3</v>
      </c>
      <c r="G1869" s="2" t="s">
        <v>29</v>
      </c>
      <c r="H1869" s="2" t="n">
        <v>1868</v>
      </c>
      <c r="I1869" s="2" t="s">
        <v>39</v>
      </c>
      <c r="J1869" s="2" t="n">
        <v>2</v>
      </c>
      <c r="K1869" s="2" t="s">
        <v>47</v>
      </c>
      <c r="L1869" s="2" t="s">
        <v>46</v>
      </c>
      <c r="M1869" s="2" t="n">
        <v>38150</v>
      </c>
      <c r="N1869" s="2" t="n">
        <v>3</v>
      </c>
      <c r="O1869" s="2" t="n">
        <v>11</v>
      </c>
      <c r="P1869" s="2" t="n">
        <v>1</v>
      </c>
      <c r="Q1869" s="2" t="n">
        <v>7</v>
      </c>
      <c r="R1869" s="2" t="n">
        <v>3</v>
      </c>
      <c r="S1869" s="2" t="n">
        <v>4</v>
      </c>
      <c r="T1869" s="2" t="n">
        <v>0</v>
      </c>
      <c r="U1869" s="2" t="n">
        <v>3</v>
      </c>
      <c r="V1869" s="2" t="n">
        <v>4</v>
      </c>
      <c r="W1869" s="2" t="n">
        <v>2</v>
      </c>
      <c r="X1869" s="2" t="n">
        <v>4</v>
      </c>
      <c r="Y1869" s="2" t="n">
        <v>3</v>
      </c>
      <c r="Z1869" s="2" t="n">
        <v>3</v>
      </c>
    </row>
    <row r="1870" customFormat="false" ht="15" hidden="false" customHeight="true" outlineLevel="0" collapsed="false">
      <c r="A1870" s="2" t="n">
        <v>32</v>
      </c>
      <c r="B1870" s="2" t="s">
        <v>33</v>
      </c>
      <c r="C1870" s="2" t="s">
        <v>27</v>
      </c>
      <c r="D1870" s="2" t="s">
        <v>35</v>
      </c>
      <c r="E1870" s="2" t="n">
        <v>9</v>
      </c>
      <c r="F1870" s="2" t="n">
        <v>1</v>
      </c>
      <c r="G1870" s="2" t="s">
        <v>43</v>
      </c>
      <c r="H1870" s="2" t="n">
        <v>1869</v>
      </c>
      <c r="I1870" s="2" t="s">
        <v>30</v>
      </c>
      <c r="J1870" s="2" t="n">
        <v>1</v>
      </c>
      <c r="K1870" s="2" t="s">
        <v>45</v>
      </c>
      <c r="L1870" s="2" t="s">
        <v>37</v>
      </c>
      <c r="M1870" s="2" t="n">
        <v>27410</v>
      </c>
      <c r="N1870" s="2" t="n">
        <v>1</v>
      </c>
      <c r="O1870" s="2" t="n">
        <v>15</v>
      </c>
      <c r="P1870" s="2" t="n">
        <v>1</v>
      </c>
      <c r="Q1870" s="2" t="n">
        <v>1</v>
      </c>
      <c r="R1870" s="2" t="n">
        <v>5</v>
      </c>
      <c r="S1870" s="2" t="n">
        <v>1</v>
      </c>
      <c r="T1870" s="2" t="n">
        <v>0</v>
      </c>
      <c r="U1870" s="2" t="n">
        <v>1</v>
      </c>
      <c r="V1870" s="2" t="n">
        <v>1</v>
      </c>
      <c r="W1870" s="2" t="n">
        <v>4</v>
      </c>
      <c r="X1870" s="2" t="n">
        <v>1</v>
      </c>
      <c r="Y1870" s="2" t="n">
        <v>2</v>
      </c>
      <c r="Z1870" s="2" t="n">
        <v>3</v>
      </c>
    </row>
    <row r="1871" customFormat="false" ht="15" hidden="false" customHeight="true" outlineLevel="0" collapsed="false">
      <c r="A1871" s="2" t="n">
        <v>29</v>
      </c>
      <c r="B1871" s="2" t="s">
        <v>26</v>
      </c>
      <c r="C1871" s="2" t="s">
        <v>27</v>
      </c>
      <c r="D1871" s="2" t="s">
        <v>35</v>
      </c>
      <c r="E1871" s="2" t="n">
        <v>5</v>
      </c>
      <c r="F1871" s="2" t="n">
        <v>4</v>
      </c>
      <c r="G1871" s="2" t="s">
        <v>29</v>
      </c>
      <c r="H1871" s="2" t="n">
        <v>1870</v>
      </c>
      <c r="I1871" s="2" t="s">
        <v>30</v>
      </c>
      <c r="J1871" s="2" t="n">
        <v>4</v>
      </c>
      <c r="K1871" s="2" t="s">
        <v>31</v>
      </c>
      <c r="L1871" s="2" t="s">
        <v>46</v>
      </c>
      <c r="M1871" s="2" t="n">
        <v>66730</v>
      </c>
      <c r="N1871" s="2" t="n">
        <v>6</v>
      </c>
      <c r="O1871" s="2" t="n">
        <v>12</v>
      </c>
      <c r="P1871" s="2" t="n">
        <v>1</v>
      </c>
      <c r="Q1871" s="2" t="n">
        <v>8</v>
      </c>
      <c r="R1871" s="2" t="n">
        <v>2</v>
      </c>
      <c r="S1871" s="2" t="n">
        <v>4</v>
      </c>
      <c r="T1871" s="2" t="n">
        <v>0</v>
      </c>
      <c r="U1871" s="2" t="n">
        <v>3</v>
      </c>
      <c r="V1871" s="2" t="n">
        <v>1</v>
      </c>
      <c r="W1871" s="2" t="n">
        <v>4</v>
      </c>
      <c r="X1871" s="2" t="n">
        <v>3</v>
      </c>
      <c r="Y1871" s="2" t="n">
        <v>4</v>
      </c>
      <c r="Z1871" s="2" t="n">
        <v>3</v>
      </c>
    </row>
    <row r="1872" customFormat="false" ht="15" hidden="false" customHeight="true" outlineLevel="0" collapsed="false">
      <c r="A1872" s="2" t="n">
        <v>44</v>
      </c>
      <c r="B1872" s="2" t="s">
        <v>26</v>
      </c>
      <c r="C1872" s="2" t="s">
        <v>27</v>
      </c>
      <c r="D1872" s="2" t="s">
        <v>35</v>
      </c>
      <c r="E1872" s="2" t="n">
        <v>26</v>
      </c>
      <c r="F1872" s="2" t="n">
        <v>2</v>
      </c>
      <c r="G1872" s="2" t="s">
        <v>29</v>
      </c>
      <c r="H1872" s="2" t="n">
        <v>1871</v>
      </c>
      <c r="I1872" s="2" t="s">
        <v>39</v>
      </c>
      <c r="J1872" s="2" t="n">
        <v>2</v>
      </c>
      <c r="K1872" s="2" t="s">
        <v>47</v>
      </c>
      <c r="L1872" s="2" t="s">
        <v>32</v>
      </c>
      <c r="M1872" s="2" t="n">
        <v>76390</v>
      </c>
      <c r="N1872" s="2" t="n">
        <v>1</v>
      </c>
      <c r="O1872" s="2" t="n">
        <v>14</v>
      </c>
      <c r="P1872" s="2" t="n">
        <v>0</v>
      </c>
      <c r="Q1872" s="2" t="n">
        <v>8</v>
      </c>
      <c r="R1872" s="2" t="n">
        <v>6</v>
      </c>
      <c r="S1872" s="2" t="n">
        <v>8</v>
      </c>
      <c r="T1872" s="2" t="n">
        <v>7</v>
      </c>
      <c r="U1872" s="2" t="n">
        <v>1</v>
      </c>
      <c r="V1872" s="2" t="n">
        <v>2</v>
      </c>
      <c r="W1872" s="2" t="n">
        <v>1</v>
      </c>
      <c r="X1872" s="2" t="n">
        <v>3</v>
      </c>
      <c r="Y1872" s="2" t="n">
        <v>3</v>
      </c>
      <c r="Z1872" s="2" t="n">
        <v>3</v>
      </c>
    </row>
    <row r="1873" customFormat="false" ht="15" hidden="false" customHeight="true" outlineLevel="0" collapsed="false">
      <c r="A1873" s="2" t="n">
        <v>28</v>
      </c>
      <c r="B1873" s="2" t="s">
        <v>26</v>
      </c>
      <c r="C1873" s="2" t="s">
        <v>27</v>
      </c>
      <c r="D1873" s="2" t="s">
        <v>28</v>
      </c>
      <c r="E1873" s="2" t="n">
        <v>24</v>
      </c>
      <c r="F1873" s="2" t="n">
        <v>5</v>
      </c>
      <c r="G1873" s="2" t="s">
        <v>29</v>
      </c>
      <c r="H1873" s="2" t="n">
        <v>1872</v>
      </c>
      <c r="I1873" s="2" t="s">
        <v>30</v>
      </c>
      <c r="J1873" s="2" t="n">
        <v>1</v>
      </c>
      <c r="K1873" s="2" t="s">
        <v>36</v>
      </c>
      <c r="L1873" s="2" t="s">
        <v>37</v>
      </c>
      <c r="M1873" s="2" t="n">
        <v>23280</v>
      </c>
      <c r="N1873" s="2" t="n">
        <v>1</v>
      </c>
      <c r="O1873" s="2" t="n">
        <v>11</v>
      </c>
      <c r="P1873" s="2" t="n">
        <v>2</v>
      </c>
      <c r="Q1873" s="2" t="n">
        <v>4</v>
      </c>
      <c r="R1873" s="2" t="n">
        <v>3</v>
      </c>
      <c r="S1873" s="2" t="n">
        <v>4</v>
      </c>
      <c r="T1873" s="2" t="n">
        <v>0</v>
      </c>
      <c r="U1873" s="2" t="n">
        <v>2</v>
      </c>
      <c r="V1873" s="2" t="n">
        <v>1</v>
      </c>
      <c r="W1873" s="2" t="n">
        <v>4</v>
      </c>
      <c r="X1873" s="2" t="n">
        <v>3</v>
      </c>
      <c r="Y1873" s="2" t="n">
        <v>3</v>
      </c>
      <c r="Z1873" s="2" t="n">
        <v>3</v>
      </c>
    </row>
    <row r="1874" customFormat="false" ht="15" hidden="false" customHeight="true" outlineLevel="0" collapsed="false">
      <c r="A1874" s="2" t="n">
        <v>58</v>
      </c>
      <c r="B1874" s="2" t="s">
        <v>33</v>
      </c>
      <c r="C1874" s="2" t="s">
        <v>34</v>
      </c>
      <c r="D1874" s="2" t="s">
        <v>28</v>
      </c>
      <c r="E1874" s="2" t="n">
        <v>9</v>
      </c>
      <c r="F1874" s="2" t="n">
        <v>2</v>
      </c>
      <c r="G1874" s="2" t="s">
        <v>51</v>
      </c>
      <c r="H1874" s="2" t="n">
        <v>1873</v>
      </c>
      <c r="I1874" s="2" t="s">
        <v>39</v>
      </c>
      <c r="J1874" s="2" t="n">
        <v>1</v>
      </c>
      <c r="K1874" s="2" t="s">
        <v>40</v>
      </c>
      <c r="L1874" s="2" t="s">
        <v>46</v>
      </c>
      <c r="M1874" s="2" t="n">
        <v>21530</v>
      </c>
      <c r="N1874" s="2" t="n">
        <v>9</v>
      </c>
      <c r="O1874" s="2" t="n">
        <v>11</v>
      </c>
      <c r="P1874" s="2" t="n">
        <v>0</v>
      </c>
      <c r="Q1874" s="2" t="n">
        <v>3</v>
      </c>
      <c r="R1874" s="2" t="n">
        <v>3</v>
      </c>
      <c r="S1874" s="2" t="n">
        <v>1</v>
      </c>
      <c r="T1874" s="2" t="n">
        <v>0</v>
      </c>
      <c r="U1874" s="2" t="n">
        <v>0</v>
      </c>
      <c r="V1874" s="2" t="n">
        <v>4</v>
      </c>
      <c r="W1874" s="2" t="n">
        <v>4</v>
      </c>
      <c r="X1874" s="2" t="n">
        <v>2</v>
      </c>
      <c r="Y1874" s="2" t="n">
        <v>3</v>
      </c>
      <c r="Z1874" s="2" t="n">
        <v>3</v>
      </c>
    </row>
    <row r="1875" customFormat="false" ht="15" hidden="false" customHeight="true" outlineLevel="0" collapsed="false">
      <c r="A1875" s="2" t="n">
        <v>43</v>
      </c>
      <c r="B1875" s="2" t="s">
        <v>26</v>
      </c>
      <c r="C1875" s="2" t="s">
        <v>27</v>
      </c>
      <c r="D1875" s="2" t="s">
        <v>28</v>
      </c>
      <c r="E1875" s="2" t="n">
        <v>7</v>
      </c>
      <c r="F1875" s="2" t="n">
        <v>4</v>
      </c>
      <c r="G1875" s="2" t="s">
        <v>50</v>
      </c>
      <c r="H1875" s="2" t="n">
        <v>1874</v>
      </c>
      <c r="I1875" s="2" t="s">
        <v>39</v>
      </c>
      <c r="J1875" s="2" t="n">
        <v>2</v>
      </c>
      <c r="K1875" s="2" t="s">
        <v>40</v>
      </c>
      <c r="L1875" s="2" t="s">
        <v>46</v>
      </c>
      <c r="M1875" s="2" t="n">
        <v>48760</v>
      </c>
      <c r="N1875" s="2" t="n">
        <v>4</v>
      </c>
      <c r="O1875" s="2" t="n">
        <v>16</v>
      </c>
      <c r="P1875" s="2" t="n">
        <v>2</v>
      </c>
      <c r="Q1875" s="2" t="n">
        <v>4</v>
      </c>
      <c r="R1875" s="2" t="n">
        <v>4</v>
      </c>
      <c r="S1875" s="2" t="n">
        <v>1</v>
      </c>
      <c r="T1875" s="2" t="n">
        <v>0</v>
      </c>
      <c r="U1875" s="2" t="n">
        <v>0</v>
      </c>
      <c r="V1875" s="2" t="n">
        <v>1</v>
      </c>
      <c r="W1875" s="2" t="n">
        <v>2</v>
      </c>
      <c r="X1875" s="2" t="n">
        <v>4</v>
      </c>
      <c r="Y1875" s="2" t="n">
        <v>3</v>
      </c>
      <c r="Z1875" s="2" t="n">
        <v>3</v>
      </c>
    </row>
    <row r="1876" customFormat="false" ht="15" hidden="false" customHeight="true" outlineLevel="0" collapsed="false">
      <c r="A1876" s="2" t="n">
        <v>20</v>
      </c>
      <c r="B1876" s="2" t="s">
        <v>33</v>
      </c>
      <c r="C1876" s="2" t="s">
        <v>27</v>
      </c>
      <c r="D1876" s="2" t="s">
        <v>35</v>
      </c>
      <c r="E1876" s="2" t="n">
        <v>11</v>
      </c>
      <c r="F1876" s="2" t="n">
        <v>3</v>
      </c>
      <c r="G1876" s="2" t="s">
        <v>43</v>
      </c>
      <c r="H1876" s="2" t="n">
        <v>1875</v>
      </c>
      <c r="I1876" s="2" t="s">
        <v>39</v>
      </c>
      <c r="J1876" s="2" t="n">
        <v>2</v>
      </c>
      <c r="K1876" s="2" t="s">
        <v>40</v>
      </c>
      <c r="L1876" s="2" t="s">
        <v>37</v>
      </c>
      <c r="M1876" s="2" t="n">
        <v>93960</v>
      </c>
      <c r="N1876" s="2" t="n">
        <v>1</v>
      </c>
      <c r="O1876" s="2" t="n">
        <v>12</v>
      </c>
      <c r="P1876" s="2" t="n">
        <v>0</v>
      </c>
      <c r="Q1876" s="2" t="n">
        <v>2</v>
      </c>
      <c r="R1876" s="2" t="n">
        <v>6</v>
      </c>
      <c r="S1876" s="2" t="n">
        <v>2</v>
      </c>
      <c r="T1876" s="2" t="n">
        <v>0</v>
      </c>
      <c r="U1876" s="2" t="n">
        <v>2</v>
      </c>
      <c r="V1876" s="2" t="n">
        <v>3</v>
      </c>
      <c r="W1876" s="2" t="n">
        <v>3</v>
      </c>
      <c r="X1876" s="2" t="n">
        <v>2</v>
      </c>
      <c r="Y1876" s="2" t="n">
        <v>1</v>
      </c>
      <c r="Z1876" s="2" t="n">
        <v>3</v>
      </c>
    </row>
    <row r="1877" customFormat="false" ht="15" hidden="false" customHeight="true" outlineLevel="0" collapsed="false">
      <c r="A1877" s="2" t="n">
        <v>21</v>
      </c>
      <c r="B1877" s="2" t="s">
        <v>33</v>
      </c>
      <c r="C1877" s="2" t="s">
        <v>27</v>
      </c>
      <c r="D1877" s="2" t="s">
        <v>35</v>
      </c>
      <c r="E1877" s="2" t="n">
        <v>1</v>
      </c>
      <c r="F1877" s="2" t="n">
        <v>3</v>
      </c>
      <c r="G1877" s="2" t="s">
        <v>43</v>
      </c>
      <c r="H1877" s="2" t="n">
        <v>1876</v>
      </c>
      <c r="I1877" s="2" t="s">
        <v>39</v>
      </c>
      <c r="J1877" s="2" t="n">
        <v>2</v>
      </c>
      <c r="K1877" s="2" t="s">
        <v>40</v>
      </c>
      <c r="L1877" s="2" t="s">
        <v>37</v>
      </c>
      <c r="M1877" s="2" t="n">
        <v>104000</v>
      </c>
      <c r="N1877" s="2" t="n">
        <v>1</v>
      </c>
      <c r="O1877" s="2" t="n">
        <v>13</v>
      </c>
      <c r="P1877" s="2" t="n">
        <v>1</v>
      </c>
      <c r="Q1877" s="2" t="n">
        <v>1</v>
      </c>
      <c r="R1877" s="2" t="n">
        <v>2</v>
      </c>
      <c r="S1877" s="2" t="n">
        <v>1</v>
      </c>
      <c r="T1877" s="2" t="n">
        <v>0</v>
      </c>
      <c r="U1877" s="2" t="n">
        <v>0</v>
      </c>
      <c r="V1877" s="2" t="n">
        <v>4</v>
      </c>
      <c r="W1877" s="2" t="n">
        <v>4</v>
      </c>
      <c r="X1877" s="2" t="n">
        <v>2</v>
      </c>
      <c r="Y1877" s="2" t="n">
        <v>3</v>
      </c>
      <c r="Z1877" s="2" t="n">
        <v>3</v>
      </c>
    </row>
    <row r="1878" customFormat="false" ht="15" hidden="false" customHeight="true" outlineLevel="0" collapsed="false">
      <c r="A1878" s="2" t="n">
        <v>36</v>
      </c>
      <c r="B1878" s="2" t="s">
        <v>26</v>
      </c>
      <c r="C1878" s="2" t="s">
        <v>27</v>
      </c>
      <c r="D1878" s="2" t="s">
        <v>35</v>
      </c>
      <c r="E1878" s="2" t="n">
        <v>26</v>
      </c>
      <c r="F1878" s="2" t="n">
        <v>4</v>
      </c>
      <c r="G1878" s="2" t="s">
        <v>43</v>
      </c>
      <c r="H1878" s="2" t="n">
        <v>1877</v>
      </c>
      <c r="I1878" s="2" t="s">
        <v>39</v>
      </c>
      <c r="J1878" s="2" t="n">
        <v>1</v>
      </c>
      <c r="K1878" s="2" t="s">
        <v>45</v>
      </c>
      <c r="L1878" s="2" t="s">
        <v>32</v>
      </c>
      <c r="M1878" s="2" t="n">
        <v>84740</v>
      </c>
      <c r="N1878" s="2" t="n">
        <v>0</v>
      </c>
      <c r="O1878" s="2" t="n">
        <v>14</v>
      </c>
      <c r="P1878" s="2" t="n">
        <v>0</v>
      </c>
      <c r="Q1878" s="2" t="n">
        <v>17</v>
      </c>
      <c r="R1878" s="2" t="n">
        <v>3</v>
      </c>
      <c r="S1878" s="2" t="n">
        <v>16</v>
      </c>
      <c r="T1878" s="2" t="n">
        <v>4</v>
      </c>
      <c r="U1878" s="2" t="n">
        <v>11</v>
      </c>
      <c r="V1878" s="2" t="n">
        <v>3</v>
      </c>
      <c r="W1878" s="2" t="n">
        <v>4</v>
      </c>
      <c r="X1878" s="2" t="n">
        <v>2</v>
      </c>
      <c r="Y1878" s="2" t="n">
        <v>3</v>
      </c>
      <c r="Z1878" s="2" t="n">
        <v>3</v>
      </c>
    </row>
    <row r="1879" customFormat="false" ht="15" hidden="false" customHeight="true" outlineLevel="0" collapsed="false">
      <c r="A1879" s="2" t="n">
        <v>47</v>
      </c>
      <c r="B1879" s="2" t="s">
        <v>26</v>
      </c>
      <c r="C1879" s="2" t="s">
        <v>27</v>
      </c>
      <c r="D1879" s="2" t="s">
        <v>35</v>
      </c>
      <c r="E1879" s="2" t="n">
        <v>2</v>
      </c>
      <c r="F1879" s="2" t="n">
        <v>3</v>
      </c>
      <c r="G1879" s="2" t="s">
        <v>29</v>
      </c>
      <c r="H1879" s="2" t="n">
        <v>1878</v>
      </c>
      <c r="I1879" s="2" t="s">
        <v>39</v>
      </c>
      <c r="J1879" s="2" t="n">
        <v>2</v>
      </c>
      <c r="K1879" s="2" t="s">
        <v>47</v>
      </c>
      <c r="L1879" s="2" t="s">
        <v>37</v>
      </c>
      <c r="M1879" s="2" t="n">
        <v>99810</v>
      </c>
      <c r="N1879" s="2" t="n">
        <v>1</v>
      </c>
      <c r="O1879" s="2" t="n">
        <v>21</v>
      </c>
      <c r="P1879" s="2" t="n">
        <v>1</v>
      </c>
      <c r="Q1879" s="2" t="n">
        <v>3</v>
      </c>
      <c r="R1879" s="2" t="n">
        <v>3</v>
      </c>
      <c r="S1879" s="2" t="n">
        <v>3</v>
      </c>
      <c r="T1879" s="2" t="n">
        <v>1</v>
      </c>
      <c r="U1879" s="2" t="n">
        <v>2</v>
      </c>
      <c r="V1879" s="2" t="n">
        <v>4</v>
      </c>
      <c r="W1879" s="2" t="n">
        <v>4</v>
      </c>
      <c r="X1879" s="2" t="n">
        <v>2</v>
      </c>
      <c r="Y1879" s="2" t="n">
        <v>3</v>
      </c>
      <c r="Z1879" s="2" t="n">
        <v>4</v>
      </c>
    </row>
    <row r="1880" customFormat="false" ht="15" hidden="false" customHeight="true" outlineLevel="0" collapsed="false">
      <c r="A1880" s="2" t="n">
        <v>22</v>
      </c>
      <c r="B1880" s="2" t="s">
        <v>33</v>
      </c>
      <c r="C1880" s="2" t="s">
        <v>27</v>
      </c>
      <c r="D1880" s="2" t="s">
        <v>35</v>
      </c>
      <c r="E1880" s="2" t="n">
        <v>15</v>
      </c>
      <c r="F1880" s="2" t="n">
        <v>4</v>
      </c>
      <c r="G1880" s="2" t="s">
        <v>29</v>
      </c>
      <c r="H1880" s="2" t="n">
        <v>1879</v>
      </c>
      <c r="I1880" s="2" t="s">
        <v>30</v>
      </c>
      <c r="J1880" s="2" t="n">
        <v>1</v>
      </c>
      <c r="K1880" s="2" t="s">
        <v>45</v>
      </c>
      <c r="L1880" s="2" t="s">
        <v>32</v>
      </c>
      <c r="M1880" s="2" t="n">
        <v>124900</v>
      </c>
      <c r="N1880" s="2" t="n">
        <v>0</v>
      </c>
      <c r="O1880" s="2" t="n">
        <v>13</v>
      </c>
      <c r="P1880" s="2" t="n">
        <v>0</v>
      </c>
      <c r="Q1880" s="2" t="n">
        <v>4</v>
      </c>
      <c r="R1880" s="2" t="n">
        <v>3</v>
      </c>
      <c r="S1880" s="2" t="n">
        <v>3</v>
      </c>
      <c r="T1880" s="2" t="n">
        <v>0</v>
      </c>
      <c r="U1880" s="2" t="n">
        <v>2</v>
      </c>
      <c r="V1880" s="2" t="n">
        <v>2</v>
      </c>
      <c r="W1880" s="2" t="n">
        <v>3</v>
      </c>
      <c r="X1880" s="2" t="n">
        <v>4</v>
      </c>
      <c r="Y1880" s="2" t="n">
        <v>3</v>
      </c>
      <c r="Z1880" s="2" t="n">
        <v>3</v>
      </c>
    </row>
    <row r="1881" customFormat="false" ht="15" hidden="false" customHeight="true" outlineLevel="0" collapsed="false">
      <c r="A1881" s="2" t="n">
        <v>41</v>
      </c>
      <c r="B1881" s="2" t="s">
        <v>33</v>
      </c>
      <c r="C1881" s="2" t="s">
        <v>27</v>
      </c>
      <c r="D1881" s="2" t="s">
        <v>35</v>
      </c>
      <c r="E1881" s="2" t="n">
        <v>23</v>
      </c>
      <c r="F1881" s="2" t="n">
        <v>3</v>
      </c>
      <c r="G1881" s="2" t="s">
        <v>29</v>
      </c>
      <c r="H1881" s="2" t="n">
        <v>1880</v>
      </c>
      <c r="I1881" s="2" t="s">
        <v>30</v>
      </c>
      <c r="J1881" s="2" t="n">
        <v>2</v>
      </c>
      <c r="K1881" s="2" t="s">
        <v>40</v>
      </c>
      <c r="L1881" s="2" t="s">
        <v>46</v>
      </c>
      <c r="M1881" s="2" t="n">
        <v>26570</v>
      </c>
      <c r="N1881" s="2" t="n">
        <v>4</v>
      </c>
      <c r="O1881" s="2" t="n">
        <v>11</v>
      </c>
      <c r="P1881" s="2" t="n">
        <v>0</v>
      </c>
      <c r="Q1881" s="2" t="n">
        <v>10</v>
      </c>
      <c r="R1881" s="2" t="n">
        <v>3</v>
      </c>
      <c r="S1881" s="2" t="n">
        <v>7</v>
      </c>
      <c r="T1881" s="2" t="n">
        <v>1</v>
      </c>
      <c r="U1881" s="2" t="n">
        <v>0</v>
      </c>
      <c r="V1881" s="2" t="n">
        <v>2</v>
      </c>
      <c r="W1881" s="2" t="n">
        <v>4</v>
      </c>
      <c r="X1881" s="2" t="n">
        <v>2</v>
      </c>
      <c r="Y1881" s="2" t="n">
        <v>4</v>
      </c>
      <c r="Z1881" s="2" t="n">
        <v>3</v>
      </c>
    </row>
    <row r="1882" customFormat="false" ht="15" hidden="false" customHeight="true" outlineLevel="0" collapsed="false">
      <c r="A1882" s="2" t="n">
        <v>28</v>
      </c>
      <c r="B1882" s="2" t="s">
        <v>26</v>
      </c>
      <c r="C1882" s="2" t="s">
        <v>27</v>
      </c>
      <c r="D1882" s="2" t="s">
        <v>35</v>
      </c>
      <c r="E1882" s="2" t="n">
        <v>10</v>
      </c>
      <c r="F1882" s="2" t="n">
        <v>3</v>
      </c>
      <c r="G1882" s="2" t="s">
        <v>29</v>
      </c>
      <c r="H1882" s="2" t="n">
        <v>1881</v>
      </c>
      <c r="I1882" s="2" t="s">
        <v>30</v>
      </c>
      <c r="J1882" s="2" t="n">
        <v>3</v>
      </c>
      <c r="K1882" s="2" t="s">
        <v>49</v>
      </c>
      <c r="L1882" s="2" t="s">
        <v>46</v>
      </c>
      <c r="M1882" s="2" t="n">
        <v>135910</v>
      </c>
      <c r="N1882" s="2" t="n">
        <v>5</v>
      </c>
      <c r="O1882" s="2" t="n">
        <v>20</v>
      </c>
      <c r="P1882" s="2" t="n">
        <v>1</v>
      </c>
      <c r="Q1882" s="2" t="n">
        <v>6</v>
      </c>
      <c r="R1882" s="2" t="n">
        <v>2</v>
      </c>
      <c r="S1882" s="2" t="n">
        <v>2</v>
      </c>
      <c r="T1882" s="2" t="n">
        <v>2</v>
      </c>
      <c r="U1882" s="2" t="n">
        <v>2</v>
      </c>
      <c r="V1882" s="2" t="n">
        <v>3</v>
      </c>
      <c r="W1882" s="2" t="n">
        <v>3</v>
      </c>
      <c r="X1882" s="2" t="n">
        <v>3</v>
      </c>
      <c r="Y1882" s="2" t="n">
        <v>3</v>
      </c>
      <c r="Z1882" s="2" t="n">
        <v>4</v>
      </c>
    </row>
    <row r="1883" customFormat="false" ht="15" hidden="false" customHeight="true" outlineLevel="0" collapsed="false">
      <c r="A1883" s="2" t="n">
        <v>39</v>
      </c>
      <c r="B1883" s="2" t="s">
        <v>33</v>
      </c>
      <c r="C1883" s="2" t="s">
        <v>27</v>
      </c>
      <c r="D1883" s="2" t="s">
        <v>35</v>
      </c>
      <c r="E1883" s="2" t="n">
        <v>10</v>
      </c>
      <c r="F1883" s="2" t="n">
        <v>4</v>
      </c>
      <c r="G1883" s="2" t="s">
        <v>29</v>
      </c>
      <c r="H1883" s="2" t="n">
        <v>1882</v>
      </c>
      <c r="I1883" s="2" t="s">
        <v>30</v>
      </c>
      <c r="J1883" s="2" t="n">
        <v>4</v>
      </c>
      <c r="K1883" s="2" t="s">
        <v>42</v>
      </c>
      <c r="L1883" s="2" t="s">
        <v>32</v>
      </c>
      <c r="M1883" s="2" t="n">
        <v>66960</v>
      </c>
      <c r="N1883" s="2" t="n">
        <v>7</v>
      </c>
      <c r="O1883" s="2" t="n">
        <v>11</v>
      </c>
      <c r="P1883" s="2" t="n">
        <v>0</v>
      </c>
      <c r="Q1883" s="2" t="n">
        <v>8</v>
      </c>
      <c r="R1883" s="2" t="n">
        <v>3</v>
      </c>
      <c r="S1883" s="2" t="n">
        <v>2</v>
      </c>
      <c r="T1883" s="2" t="n">
        <v>2</v>
      </c>
      <c r="U1883" s="2" t="n">
        <v>2</v>
      </c>
      <c r="V1883" s="2" t="n">
        <v>4</v>
      </c>
      <c r="W1883" s="2" t="n">
        <v>1</v>
      </c>
      <c r="X1883" s="2" t="n">
        <v>1</v>
      </c>
      <c r="Y1883" s="2" t="n">
        <v>3</v>
      </c>
      <c r="Z1883" s="2" t="n">
        <v>3</v>
      </c>
    </row>
    <row r="1884" customFormat="false" ht="15" hidden="false" customHeight="true" outlineLevel="0" collapsed="false">
      <c r="A1884" s="2" t="n">
        <v>27</v>
      </c>
      <c r="B1884" s="2" t="s">
        <v>26</v>
      </c>
      <c r="C1884" s="2" t="s">
        <v>27</v>
      </c>
      <c r="D1884" s="2" t="s">
        <v>35</v>
      </c>
      <c r="E1884" s="2" t="n">
        <v>1</v>
      </c>
      <c r="F1884" s="2" t="n">
        <v>3</v>
      </c>
      <c r="G1884" s="2" t="s">
        <v>43</v>
      </c>
      <c r="H1884" s="2" t="n">
        <v>1883</v>
      </c>
      <c r="I1884" s="2" t="s">
        <v>39</v>
      </c>
      <c r="J1884" s="2" t="n">
        <v>1</v>
      </c>
      <c r="K1884" s="2" t="s">
        <v>36</v>
      </c>
      <c r="L1884" s="2" t="s">
        <v>37</v>
      </c>
      <c r="M1884" s="2" t="n">
        <v>20580</v>
      </c>
      <c r="N1884" s="2" t="n">
        <v>1</v>
      </c>
      <c r="O1884" s="2" t="n">
        <v>14</v>
      </c>
      <c r="P1884" s="2" t="n">
        <v>1</v>
      </c>
      <c r="Q1884" s="2" t="n">
        <v>1</v>
      </c>
      <c r="R1884" s="2" t="n">
        <v>5</v>
      </c>
      <c r="S1884" s="2" t="n">
        <v>1</v>
      </c>
      <c r="T1884" s="2" t="n">
        <v>0</v>
      </c>
      <c r="U1884" s="2" t="n">
        <v>0</v>
      </c>
      <c r="V1884" s="2" t="n">
        <v>2</v>
      </c>
      <c r="W1884" s="2" t="n">
        <v>3</v>
      </c>
      <c r="X1884" s="2" t="n">
        <v>3</v>
      </c>
      <c r="Y1884" s="2" t="n">
        <v>3</v>
      </c>
      <c r="Z1884" s="2" t="n">
        <v>3</v>
      </c>
    </row>
    <row r="1885" customFormat="false" ht="15" hidden="false" customHeight="true" outlineLevel="0" collapsed="false">
      <c r="A1885" s="2" t="n">
        <v>34</v>
      </c>
      <c r="B1885" s="2" t="s">
        <v>26</v>
      </c>
      <c r="C1885" s="2" t="s">
        <v>27</v>
      </c>
      <c r="D1885" s="2" t="s">
        <v>35</v>
      </c>
      <c r="E1885" s="2" t="n">
        <v>12</v>
      </c>
      <c r="F1885" s="2" t="n">
        <v>2</v>
      </c>
      <c r="G1885" s="2" t="s">
        <v>51</v>
      </c>
      <c r="H1885" s="2" t="n">
        <v>1884</v>
      </c>
      <c r="I1885" s="2" t="s">
        <v>39</v>
      </c>
      <c r="J1885" s="2" t="n">
        <v>2</v>
      </c>
      <c r="K1885" s="2" t="s">
        <v>42</v>
      </c>
      <c r="L1885" s="2" t="s">
        <v>46</v>
      </c>
      <c r="M1885" s="2" t="n">
        <v>88650</v>
      </c>
      <c r="N1885" s="2" t="n">
        <v>1</v>
      </c>
      <c r="O1885" s="2" t="n">
        <v>11</v>
      </c>
      <c r="P1885" s="2" t="n">
        <v>1</v>
      </c>
      <c r="Q1885" s="2" t="n">
        <v>1</v>
      </c>
      <c r="R1885" s="2" t="n">
        <v>0</v>
      </c>
      <c r="S1885" s="2" t="n">
        <v>1</v>
      </c>
      <c r="T1885" s="2" t="n">
        <v>1</v>
      </c>
      <c r="U1885" s="2" t="n">
        <v>0</v>
      </c>
      <c r="V1885" s="2" t="n">
        <v>2</v>
      </c>
      <c r="W1885" s="2" t="n">
        <v>2</v>
      </c>
      <c r="X1885" s="2" t="n">
        <v>3</v>
      </c>
      <c r="Y1885" s="2" t="n">
        <v>3</v>
      </c>
      <c r="Z1885" s="2" t="n">
        <v>3</v>
      </c>
    </row>
    <row r="1886" customFormat="false" ht="15" hidden="false" customHeight="true" outlineLevel="0" collapsed="false">
      <c r="A1886" s="2" t="n">
        <v>42</v>
      </c>
      <c r="B1886" s="2" t="s">
        <v>26</v>
      </c>
      <c r="C1886" s="2" t="s">
        <v>27</v>
      </c>
      <c r="D1886" s="2" t="s">
        <v>28</v>
      </c>
      <c r="E1886" s="2" t="n">
        <v>11</v>
      </c>
      <c r="F1886" s="2" t="n">
        <v>1</v>
      </c>
      <c r="G1886" s="2" t="s">
        <v>51</v>
      </c>
      <c r="H1886" s="2" t="n">
        <v>1885</v>
      </c>
      <c r="I1886" s="2" t="s">
        <v>39</v>
      </c>
      <c r="J1886" s="2" t="n">
        <v>2</v>
      </c>
      <c r="K1886" s="2" t="s">
        <v>42</v>
      </c>
      <c r="L1886" s="2" t="s">
        <v>37</v>
      </c>
      <c r="M1886" s="2" t="n">
        <v>59400</v>
      </c>
      <c r="N1886" s="2" t="n">
        <v>7</v>
      </c>
      <c r="O1886" s="2" t="n">
        <v>16</v>
      </c>
      <c r="P1886" s="2" t="n">
        <v>0</v>
      </c>
      <c r="Q1886" s="2" t="n">
        <v>10</v>
      </c>
      <c r="R1886" s="2" t="n">
        <v>2</v>
      </c>
      <c r="S1886" s="2" t="n">
        <v>5</v>
      </c>
      <c r="T1886" s="2" t="n">
        <v>0</v>
      </c>
      <c r="U1886" s="2" t="n">
        <v>3</v>
      </c>
      <c r="V1886" s="2" t="n">
        <v>3</v>
      </c>
      <c r="W1886" s="2" t="n">
        <v>3</v>
      </c>
      <c r="X1886" s="2" t="n">
        <v>3</v>
      </c>
      <c r="Y1886" s="2" t="n">
        <v>2</v>
      </c>
      <c r="Z1886" s="2" t="n">
        <v>3</v>
      </c>
    </row>
    <row r="1887" customFormat="false" ht="15" hidden="false" customHeight="true" outlineLevel="0" collapsed="false">
      <c r="A1887" s="2" t="n">
        <v>33</v>
      </c>
      <c r="B1887" s="2" t="s">
        <v>26</v>
      </c>
      <c r="C1887" s="2" t="s">
        <v>27</v>
      </c>
      <c r="D1887" s="2" t="s">
        <v>28</v>
      </c>
      <c r="E1887" s="2" t="n">
        <v>2</v>
      </c>
      <c r="F1887" s="2" t="n">
        <v>3</v>
      </c>
      <c r="G1887" s="2" t="s">
        <v>50</v>
      </c>
      <c r="H1887" s="2" t="n">
        <v>1886</v>
      </c>
      <c r="I1887" s="2" t="s">
        <v>30</v>
      </c>
      <c r="J1887" s="2" t="n">
        <v>1</v>
      </c>
      <c r="K1887" s="2" t="s">
        <v>40</v>
      </c>
      <c r="L1887" s="2" t="s">
        <v>37</v>
      </c>
      <c r="M1887" s="2" t="n">
        <v>59140</v>
      </c>
      <c r="N1887" s="2" t="n">
        <v>3</v>
      </c>
      <c r="O1887" s="2" t="n">
        <v>16</v>
      </c>
      <c r="P1887" s="2" t="n">
        <v>1</v>
      </c>
      <c r="Q1887" s="2" t="n">
        <v>6</v>
      </c>
      <c r="R1887" s="2" t="n">
        <v>4</v>
      </c>
      <c r="S1887" s="2" t="n">
        <v>3</v>
      </c>
      <c r="T1887" s="2" t="n">
        <v>0</v>
      </c>
      <c r="U1887" s="2" t="n">
        <v>2</v>
      </c>
      <c r="V1887" s="2" t="n">
        <v>3</v>
      </c>
      <c r="W1887" s="2" t="n">
        <v>1</v>
      </c>
      <c r="X1887" s="2" t="n">
        <v>3</v>
      </c>
      <c r="Y1887" s="2" t="n">
        <v>3</v>
      </c>
      <c r="Z1887" s="2" t="n">
        <v>3</v>
      </c>
    </row>
    <row r="1888" customFormat="false" ht="15" hidden="false" customHeight="true" outlineLevel="0" collapsed="false">
      <c r="A1888" s="2" t="n">
        <v>58</v>
      </c>
      <c r="B1888" s="2" t="s">
        <v>26</v>
      </c>
      <c r="C1888" s="2" t="s">
        <v>27</v>
      </c>
      <c r="D1888" s="2" t="s">
        <v>35</v>
      </c>
      <c r="E1888" s="2" t="n">
        <v>2</v>
      </c>
      <c r="F1888" s="2" t="n">
        <v>4</v>
      </c>
      <c r="G1888" s="2" t="s">
        <v>29</v>
      </c>
      <c r="H1888" s="2" t="n">
        <v>1887</v>
      </c>
      <c r="I1888" s="2" t="s">
        <v>39</v>
      </c>
      <c r="J1888" s="2" t="n">
        <v>1</v>
      </c>
      <c r="K1888" s="2" t="s">
        <v>36</v>
      </c>
      <c r="L1888" s="2" t="s">
        <v>46</v>
      </c>
      <c r="M1888" s="2" t="n">
        <v>26220</v>
      </c>
      <c r="N1888" s="2" t="n">
        <v>2</v>
      </c>
      <c r="O1888" s="2" t="n">
        <v>23</v>
      </c>
      <c r="P1888" s="2" t="n">
        <v>0</v>
      </c>
      <c r="Q1888" s="2" t="n">
        <v>24</v>
      </c>
      <c r="R1888" s="2" t="n">
        <v>3</v>
      </c>
      <c r="S1888" s="2" t="n">
        <v>6</v>
      </c>
      <c r="T1888" s="2" t="n">
        <v>0</v>
      </c>
      <c r="U1888" s="2" t="n">
        <v>4</v>
      </c>
      <c r="V1888" s="2" t="n">
        <v>3</v>
      </c>
      <c r="W1888" s="2" t="n">
        <v>2</v>
      </c>
      <c r="X1888" s="2" t="n">
        <v>3</v>
      </c>
      <c r="Y1888" s="2" t="n">
        <v>3</v>
      </c>
      <c r="Z1888" s="2" t="n">
        <v>4</v>
      </c>
    </row>
    <row r="1889" customFormat="false" ht="15" hidden="false" customHeight="true" outlineLevel="0" collapsed="false">
      <c r="A1889" s="2" t="n">
        <v>31</v>
      </c>
      <c r="B1889" s="2" t="s">
        <v>26</v>
      </c>
      <c r="C1889" s="2" t="s">
        <v>27</v>
      </c>
      <c r="D1889" s="2" t="s">
        <v>28</v>
      </c>
      <c r="E1889" s="2" t="n">
        <v>1</v>
      </c>
      <c r="F1889" s="2" t="n">
        <v>3</v>
      </c>
      <c r="G1889" s="2" t="s">
        <v>29</v>
      </c>
      <c r="H1889" s="2" t="n">
        <v>1888</v>
      </c>
      <c r="I1889" s="2" t="s">
        <v>30</v>
      </c>
      <c r="J1889" s="2" t="n">
        <v>1</v>
      </c>
      <c r="K1889" s="2" t="s">
        <v>48</v>
      </c>
      <c r="L1889" s="2" t="s">
        <v>32</v>
      </c>
      <c r="M1889" s="2" t="n">
        <v>121850</v>
      </c>
      <c r="N1889" s="2" t="n">
        <v>3</v>
      </c>
      <c r="O1889" s="2" t="n">
        <v>14</v>
      </c>
      <c r="P1889" s="2" t="n">
        <v>0</v>
      </c>
      <c r="Q1889" s="2" t="n">
        <v>13</v>
      </c>
      <c r="R1889" s="2" t="n">
        <v>2</v>
      </c>
      <c r="S1889" s="2" t="n">
        <v>7</v>
      </c>
      <c r="T1889" s="2" t="n">
        <v>5</v>
      </c>
      <c r="U1889" s="2" t="n">
        <v>2</v>
      </c>
      <c r="V1889" s="2" t="n">
        <v>2</v>
      </c>
      <c r="W1889" s="2" t="n">
        <v>3</v>
      </c>
      <c r="X1889" s="2" t="n">
        <v>4</v>
      </c>
      <c r="Y1889" s="2" t="n">
        <v>3</v>
      </c>
      <c r="Z1889" s="2" t="n">
        <v>3</v>
      </c>
    </row>
    <row r="1890" customFormat="false" ht="15" hidden="false" customHeight="true" outlineLevel="0" collapsed="false">
      <c r="A1890" s="2" t="n">
        <v>35</v>
      </c>
      <c r="B1890" s="2" t="s">
        <v>26</v>
      </c>
      <c r="C1890" s="2" t="s">
        <v>27</v>
      </c>
      <c r="D1890" s="2" t="s">
        <v>35</v>
      </c>
      <c r="E1890" s="2" t="n">
        <v>2</v>
      </c>
      <c r="F1890" s="2" t="n">
        <v>1</v>
      </c>
      <c r="G1890" s="2" t="s">
        <v>29</v>
      </c>
      <c r="H1890" s="2" t="n">
        <v>1889</v>
      </c>
      <c r="I1890" s="2" t="s">
        <v>39</v>
      </c>
      <c r="J1890" s="2" t="n">
        <v>3</v>
      </c>
      <c r="K1890" s="2" t="s">
        <v>31</v>
      </c>
      <c r="L1890" s="2" t="s">
        <v>32</v>
      </c>
      <c r="M1890" s="2" t="n">
        <v>106090</v>
      </c>
      <c r="N1890" s="2" t="n">
        <v>1</v>
      </c>
      <c r="O1890" s="2" t="n">
        <v>22</v>
      </c>
      <c r="P1890" s="2" t="n">
        <v>0</v>
      </c>
      <c r="Q1890" s="2" t="n">
        <v>10</v>
      </c>
      <c r="R1890" s="2" t="n">
        <v>3</v>
      </c>
      <c r="S1890" s="2" t="n">
        <v>10</v>
      </c>
      <c r="T1890" s="2" t="n">
        <v>0</v>
      </c>
      <c r="U1890" s="2" t="n">
        <v>7</v>
      </c>
      <c r="V1890" s="2" t="n">
        <v>4</v>
      </c>
      <c r="W1890" s="2" t="n">
        <v>4</v>
      </c>
      <c r="X1890" s="2" t="n">
        <v>1</v>
      </c>
      <c r="Y1890" s="2" t="n">
        <v>3</v>
      </c>
      <c r="Z1890" s="2" t="n">
        <v>4</v>
      </c>
    </row>
    <row r="1891" customFormat="false" ht="15" hidden="false" customHeight="true" outlineLevel="0" collapsed="false">
      <c r="A1891" s="2" t="n">
        <v>49</v>
      </c>
      <c r="B1891" s="2" t="s">
        <v>26</v>
      </c>
      <c r="C1891" s="2" t="s">
        <v>27</v>
      </c>
      <c r="D1891" s="2" t="s">
        <v>35</v>
      </c>
      <c r="E1891" s="2" t="n">
        <v>25</v>
      </c>
      <c r="F1891" s="2" t="n">
        <v>2</v>
      </c>
      <c r="G1891" s="2" t="s">
        <v>29</v>
      </c>
      <c r="H1891" s="2" t="n">
        <v>1890</v>
      </c>
      <c r="I1891" s="2" t="s">
        <v>30</v>
      </c>
      <c r="J1891" s="2" t="n">
        <v>2</v>
      </c>
      <c r="K1891" s="2" t="s">
        <v>40</v>
      </c>
      <c r="L1891" s="2" t="s">
        <v>32</v>
      </c>
      <c r="M1891" s="2" t="n">
        <v>43450</v>
      </c>
      <c r="N1891" s="2" t="n">
        <v>4</v>
      </c>
      <c r="O1891" s="2" t="n">
        <v>15</v>
      </c>
      <c r="P1891" s="2" t="n">
        <v>0</v>
      </c>
      <c r="Q1891" s="2" t="n">
        <v>29</v>
      </c>
      <c r="R1891" s="2" t="n">
        <v>3</v>
      </c>
      <c r="S1891" s="2" t="n">
        <v>26</v>
      </c>
      <c r="T1891" s="2" t="n">
        <v>1</v>
      </c>
      <c r="U1891" s="2" t="n">
        <v>7</v>
      </c>
      <c r="V1891" s="2" t="n">
        <v>1</v>
      </c>
      <c r="W1891" s="2" t="n">
        <v>2</v>
      </c>
      <c r="X1891" s="2" t="n">
        <v>2</v>
      </c>
      <c r="Y1891" s="2" t="n">
        <v>2</v>
      </c>
      <c r="Z1891" s="2" t="n">
        <v>3</v>
      </c>
    </row>
    <row r="1892" customFormat="false" ht="15" hidden="false" customHeight="true" outlineLevel="0" collapsed="false">
      <c r="A1892" s="2" t="n">
        <v>48</v>
      </c>
      <c r="B1892" s="2" t="s">
        <v>26</v>
      </c>
      <c r="C1892" s="2" t="s">
        <v>27</v>
      </c>
      <c r="D1892" s="2" t="s">
        <v>35</v>
      </c>
      <c r="E1892" s="2" t="n">
        <v>1</v>
      </c>
      <c r="F1892" s="2" t="n">
        <v>4</v>
      </c>
      <c r="G1892" s="2" t="s">
        <v>43</v>
      </c>
      <c r="H1892" s="2" t="n">
        <v>1891</v>
      </c>
      <c r="I1892" s="2" t="s">
        <v>39</v>
      </c>
      <c r="J1892" s="2" t="n">
        <v>1</v>
      </c>
      <c r="K1892" s="2" t="s">
        <v>36</v>
      </c>
      <c r="L1892" s="2" t="s">
        <v>32</v>
      </c>
      <c r="M1892" s="2" t="n">
        <v>21770</v>
      </c>
      <c r="N1892" s="2" t="n">
        <v>4</v>
      </c>
      <c r="O1892" s="2" t="n">
        <v>18</v>
      </c>
      <c r="P1892" s="2" t="n">
        <v>0</v>
      </c>
      <c r="Q1892" s="2" t="n">
        <v>13</v>
      </c>
      <c r="R1892" s="2" t="n">
        <v>4</v>
      </c>
      <c r="S1892" s="2" t="n">
        <v>0</v>
      </c>
      <c r="T1892" s="2" t="n">
        <v>0</v>
      </c>
      <c r="U1892" s="2" t="n">
        <v>0</v>
      </c>
      <c r="V1892" s="2" t="n">
        <v>4</v>
      </c>
      <c r="W1892" s="2" t="n">
        <v>3</v>
      </c>
      <c r="X1892" s="2" t="n">
        <v>2</v>
      </c>
      <c r="Y1892" s="2" t="n">
        <v>3</v>
      </c>
      <c r="Z1892" s="2" t="n">
        <v>3</v>
      </c>
    </row>
    <row r="1893" customFormat="false" ht="15" hidden="false" customHeight="true" outlineLevel="0" collapsed="false">
      <c r="A1893" s="2" t="n">
        <v>31</v>
      </c>
      <c r="B1893" s="2" t="s">
        <v>26</v>
      </c>
      <c r="C1893" s="2" t="s">
        <v>41</v>
      </c>
      <c r="D1893" s="2" t="s">
        <v>35</v>
      </c>
      <c r="E1893" s="2" t="n">
        <v>1</v>
      </c>
      <c r="F1893" s="2" t="n">
        <v>2</v>
      </c>
      <c r="G1893" s="2" t="s">
        <v>51</v>
      </c>
      <c r="H1893" s="2" t="n">
        <v>1892</v>
      </c>
      <c r="I1893" s="2" t="s">
        <v>30</v>
      </c>
      <c r="J1893" s="2" t="n">
        <v>2</v>
      </c>
      <c r="K1893" s="2" t="s">
        <v>40</v>
      </c>
      <c r="L1893" s="2" t="s">
        <v>32</v>
      </c>
      <c r="M1893" s="2" t="n">
        <v>27930</v>
      </c>
      <c r="N1893" s="2" t="n">
        <v>1</v>
      </c>
      <c r="O1893" s="2" t="n">
        <v>16</v>
      </c>
      <c r="P1893" s="2" t="n">
        <v>0</v>
      </c>
      <c r="Q1893" s="2" t="n">
        <v>9</v>
      </c>
      <c r="R1893" s="2" t="n">
        <v>4</v>
      </c>
      <c r="S1893" s="2" t="n">
        <v>9</v>
      </c>
      <c r="T1893" s="2" t="n">
        <v>0</v>
      </c>
      <c r="U1893" s="2" t="n">
        <v>0</v>
      </c>
      <c r="V1893" s="2" t="n">
        <v>4</v>
      </c>
      <c r="W1893" s="2" t="n">
        <v>3</v>
      </c>
      <c r="X1893" s="2" t="n">
        <v>2</v>
      </c>
      <c r="Y1893" s="2" t="n">
        <v>3</v>
      </c>
      <c r="Z1893" s="2" t="n">
        <v>3</v>
      </c>
    </row>
    <row r="1894" customFormat="false" ht="15" hidden="false" customHeight="true" outlineLevel="0" collapsed="false">
      <c r="A1894" s="2" t="n">
        <v>36</v>
      </c>
      <c r="B1894" s="2" t="s">
        <v>26</v>
      </c>
      <c r="C1894" s="2" t="s">
        <v>27</v>
      </c>
      <c r="D1894" s="2" t="s">
        <v>42</v>
      </c>
      <c r="E1894" s="2" t="n">
        <v>2</v>
      </c>
      <c r="F1894" s="2" t="n">
        <v>4</v>
      </c>
      <c r="G1894" s="2" t="s">
        <v>51</v>
      </c>
      <c r="H1894" s="2" t="n">
        <v>1893</v>
      </c>
      <c r="I1894" s="2" t="s">
        <v>39</v>
      </c>
      <c r="J1894" s="2" t="n">
        <v>1</v>
      </c>
      <c r="K1894" s="2" t="s">
        <v>40</v>
      </c>
      <c r="L1894" s="2" t="s">
        <v>37</v>
      </c>
      <c r="M1894" s="2" t="n">
        <v>79180</v>
      </c>
      <c r="N1894" s="2" t="n">
        <v>2</v>
      </c>
      <c r="O1894" s="2" t="n">
        <v>12</v>
      </c>
      <c r="P1894" s="2" t="n">
        <v>2</v>
      </c>
      <c r="Q1894" s="2" t="n">
        <v>8</v>
      </c>
      <c r="R1894" s="2" t="n">
        <v>3</v>
      </c>
      <c r="S1894" s="2" t="n">
        <v>6</v>
      </c>
      <c r="T1894" s="2" t="n">
        <v>0</v>
      </c>
      <c r="U1894" s="2" t="n">
        <v>1</v>
      </c>
      <c r="V1894" s="2" t="n">
        <v>2</v>
      </c>
      <c r="W1894" s="2" t="n">
        <v>4</v>
      </c>
      <c r="X1894" s="2" t="n">
        <v>3</v>
      </c>
      <c r="Y1894" s="2" t="n">
        <v>2</v>
      </c>
      <c r="Z1894" s="2" t="n">
        <v>3</v>
      </c>
    </row>
    <row r="1895" customFormat="false" ht="15" hidden="false" customHeight="true" outlineLevel="0" collapsed="false">
      <c r="A1895" s="2" t="n">
        <v>38</v>
      </c>
      <c r="B1895" s="2" t="s">
        <v>26</v>
      </c>
      <c r="C1895" s="2" t="s">
        <v>27</v>
      </c>
      <c r="D1895" s="2" t="s">
        <v>28</v>
      </c>
      <c r="E1895" s="2" t="n">
        <v>6</v>
      </c>
      <c r="F1895" s="2" t="n">
        <v>3</v>
      </c>
      <c r="G1895" s="2" t="s">
        <v>38</v>
      </c>
      <c r="H1895" s="2" t="n">
        <v>1894</v>
      </c>
      <c r="I1895" s="2" t="s">
        <v>39</v>
      </c>
      <c r="J1895" s="2" t="n">
        <v>2</v>
      </c>
      <c r="K1895" s="2" t="s">
        <v>40</v>
      </c>
      <c r="L1895" s="2" t="s">
        <v>32</v>
      </c>
      <c r="M1895" s="2" t="n">
        <v>87890</v>
      </c>
      <c r="N1895" s="2" t="n">
        <v>1</v>
      </c>
      <c r="O1895" s="2" t="n">
        <v>11</v>
      </c>
      <c r="P1895" s="2" t="n">
        <v>3</v>
      </c>
      <c r="Q1895" s="2" t="n">
        <v>15</v>
      </c>
      <c r="R1895" s="2" t="n">
        <v>4</v>
      </c>
      <c r="S1895" s="2" t="n">
        <v>15</v>
      </c>
      <c r="T1895" s="2" t="n">
        <v>5</v>
      </c>
      <c r="U1895" s="2" t="n">
        <v>11</v>
      </c>
      <c r="V1895" s="2" t="n">
        <v>4</v>
      </c>
      <c r="W1895" s="2" t="n">
        <v>1</v>
      </c>
      <c r="X1895" s="2" t="n">
        <v>3</v>
      </c>
      <c r="Y1895" s="2" t="n">
        <v>3</v>
      </c>
      <c r="Z1895" s="2" t="n">
        <v>3</v>
      </c>
    </row>
    <row r="1896" customFormat="false" ht="15" hidden="false" customHeight="true" outlineLevel="0" collapsed="false">
      <c r="A1896" s="2" t="n">
        <v>32</v>
      </c>
      <c r="B1896" s="2" t="s">
        <v>26</v>
      </c>
      <c r="C1896" s="2" t="s">
        <v>41</v>
      </c>
      <c r="D1896" s="2" t="s">
        <v>28</v>
      </c>
      <c r="E1896" s="2" t="n">
        <v>18</v>
      </c>
      <c r="F1896" s="2" t="n">
        <v>3</v>
      </c>
      <c r="G1896" s="2" t="s">
        <v>50</v>
      </c>
      <c r="H1896" s="2" t="n">
        <v>1895</v>
      </c>
      <c r="I1896" s="2" t="s">
        <v>39</v>
      </c>
      <c r="J1896" s="2" t="n">
        <v>1</v>
      </c>
      <c r="K1896" s="2" t="s">
        <v>45</v>
      </c>
      <c r="L1896" s="2" t="s">
        <v>32</v>
      </c>
      <c r="M1896" s="2" t="n">
        <v>23890</v>
      </c>
      <c r="N1896" s="2" t="n">
        <v>6</v>
      </c>
      <c r="O1896" s="2" t="n">
        <v>12</v>
      </c>
      <c r="P1896" s="2" t="n">
        <v>1</v>
      </c>
      <c r="Q1896" s="2" t="n">
        <v>5</v>
      </c>
      <c r="R1896" s="2" t="n">
        <v>4</v>
      </c>
      <c r="S1896" s="2" t="n">
        <v>3</v>
      </c>
      <c r="T1896" s="2" t="n">
        <v>0</v>
      </c>
      <c r="U1896" s="2" t="n">
        <v>2</v>
      </c>
      <c r="V1896" s="2" t="n">
        <v>3</v>
      </c>
      <c r="W1896" s="2" t="n">
        <v>2</v>
      </c>
      <c r="X1896" s="2" t="n">
        <v>3</v>
      </c>
      <c r="Y1896" s="2" t="n">
        <v>2</v>
      </c>
      <c r="Z1896" s="2" t="n">
        <v>3</v>
      </c>
    </row>
    <row r="1897" customFormat="false" ht="15" hidden="false" customHeight="true" outlineLevel="0" collapsed="false">
      <c r="A1897" s="2" t="n">
        <v>25</v>
      </c>
      <c r="B1897" s="2" t="s">
        <v>33</v>
      </c>
      <c r="C1897" s="2" t="s">
        <v>27</v>
      </c>
      <c r="D1897" s="2" t="s">
        <v>35</v>
      </c>
      <c r="E1897" s="2" t="n">
        <v>1</v>
      </c>
      <c r="F1897" s="2" t="n">
        <v>2</v>
      </c>
      <c r="G1897" s="2" t="s">
        <v>29</v>
      </c>
      <c r="H1897" s="2" t="n">
        <v>1896</v>
      </c>
      <c r="I1897" s="2" t="s">
        <v>39</v>
      </c>
      <c r="J1897" s="2" t="n">
        <v>1</v>
      </c>
      <c r="K1897" s="2" t="s">
        <v>40</v>
      </c>
      <c r="L1897" s="2" t="s">
        <v>32</v>
      </c>
      <c r="M1897" s="2" t="n">
        <v>32120</v>
      </c>
      <c r="N1897" s="2" t="n">
        <v>1</v>
      </c>
      <c r="O1897" s="2" t="n">
        <v>15</v>
      </c>
      <c r="P1897" s="2" t="n">
        <v>1</v>
      </c>
      <c r="Q1897" s="2" t="n">
        <v>1</v>
      </c>
      <c r="R1897" s="2" t="n">
        <v>3</v>
      </c>
      <c r="S1897" s="2" t="n">
        <v>1</v>
      </c>
      <c r="T1897" s="2" t="n">
        <v>0</v>
      </c>
      <c r="U1897" s="2" t="n">
        <v>0</v>
      </c>
      <c r="V1897" s="2" t="n">
        <v>3</v>
      </c>
      <c r="W1897" s="2" t="n">
        <v>2</v>
      </c>
      <c r="X1897" s="2" t="n">
        <v>3</v>
      </c>
      <c r="Y1897" s="2" t="n">
        <v>2</v>
      </c>
      <c r="Z1897" s="2" t="n">
        <v>3</v>
      </c>
    </row>
    <row r="1898" customFormat="false" ht="15" hidden="false" customHeight="true" outlineLevel="0" collapsed="false">
      <c r="A1898" s="2" t="n">
        <v>40</v>
      </c>
      <c r="B1898" s="2" t="s">
        <v>26</v>
      </c>
      <c r="C1898" s="2" t="s">
        <v>27</v>
      </c>
      <c r="D1898" s="2" t="s">
        <v>35</v>
      </c>
      <c r="E1898" s="2" t="n">
        <v>1</v>
      </c>
      <c r="F1898" s="2" t="n">
        <v>4</v>
      </c>
      <c r="G1898" s="2" t="s">
        <v>43</v>
      </c>
      <c r="H1898" s="2" t="n">
        <v>1897</v>
      </c>
      <c r="I1898" s="2" t="s">
        <v>39</v>
      </c>
      <c r="J1898" s="2" t="n">
        <v>2</v>
      </c>
      <c r="K1898" s="2" t="s">
        <v>36</v>
      </c>
      <c r="L1898" s="2" t="s">
        <v>46</v>
      </c>
      <c r="M1898" s="2" t="n">
        <v>192320</v>
      </c>
      <c r="N1898" s="2" t="n">
        <v>2</v>
      </c>
      <c r="O1898" s="2" t="n">
        <v>14</v>
      </c>
      <c r="P1898" s="2" t="n">
        <v>1</v>
      </c>
      <c r="Q1898" s="2" t="n">
        <v>11</v>
      </c>
      <c r="R1898" s="2" t="n">
        <v>3</v>
      </c>
      <c r="S1898" s="2" t="n">
        <v>1</v>
      </c>
      <c r="T1898" s="2" t="n">
        <v>0</v>
      </c>
      <c r="U1898" s="2" t="n">
        <v>0</v>
      </c>
      <c r="V1898" s="2" t="n">
        <v>1</v>
      </c>
      <c r="W1898" s="2" t="n">
        <v>2</v>
      </c>
      <c r="X1898" s="2" t="n">
        <v>2</v>
      </c>
      <c r="Y1898" s="2" t="n">
        <v>3</v>
      </c>
      <c r="Z1898" s="2" t="n">
        <v>3</v>
      </c>
    </row>
    <row r="1899" customFormat="false" ht="15" hidden="false" customHeight="true" outlineLevel="0" collapsed="false">
      <c r="A1899" s="2" t="n">
        <v>26</v>
      </c>
      <c r="B1899" s="2" t="s">
        <v>26</v>
      </c>
      <c r="C1899" s="2" t="s">
        <v>34</v>
      </c>
      <c r="D1899" s="2" t="s">
        <v>28</v>
      </c>
      <c r="E1899" s="2" t="n">
        <v>11</v>
      </c>
      <c r="F1899" s="2" t="n">
        <v>3</v>
      </c>
      <c r="G1899" s="2" t="s">
        <v>50</v>
      </c>
      <c r="H1899" s="2" t="n">
        <v>1898</v>
      </c>
      <c r="I1899" s="2" t="s">
        <v>39</v>
      </c>
      <c r="J1899" s="2" t="n">
        <v>2</v>
      </c>
      <c r="K1899" s="2" t="s">
        <v>31</v>
      </c>
      <c r="L1899" s="2" t="s">
        <v>37</v>
      </c>
      <c r="M1899" s="2" t="n">
        <v>22670</v>
      </c>
      <c r="N1899" s="2" t="n">
        <v>1</v>
      </c>
      <c r="O1899" s="2" t="n">
        <v>19</v>
      </c>
      <c r="P1899" s="2" t="n">
        <v>3</v>
      </c>
      <c r="Q1899" s="2" t="n">
        <v>7</v>
      </c>
      <c r="R1899" s="2" t="n">
        <v>2</v>
      </c>
      <c r="S1899" s="2" t="n">
        <v>7</v>
      </c>
      <c r="T1899" s="2" t="n">
        <v>0</v>
      </c>
      <c r="U1899" s="2" t="n">
        <v>7</v>
      </c>
      <c r="V1899" s="2" t="n">
        <v>3</v>
      </c>
      <c r="W1899" s="2" t="n">
        <v>1</v>
      </c>
      <c r="X1899" s="2" t="n">
        <v>3</v>
      </c>
      <c r="Y1899" s="2" t="n">
        <v>2</v>
      </c>
      <c r="Z1899" s="2" t="n">
        <v>3</v>
      </c>
    </row>
    <row r="1900" customFormat="false" ht="15" hidden="false" customHeight="true" outlineLevel="0" collapsed="false">
      <c r="A1900" s="2" t="n">
        <v>41</v>
      </c>
      <c r="B1900" s="2" t="s">
        <v>26</v>
      </c>
      <c r="C1900" s="2" t="s">
        <v>27</v>
      </c>
      <c r="D1900" s="2" t="s">
        <v>35</v>
      </c>
      <c r="E1900" s="2" t="n">
        <v>1</v>
      </c>
      <c r="F1900" s="2" t="n">
        <v>4</v>
      </c>
      <c r="G1900" s="2" t="s">
        <v>43</v>
      </c>
      <c r="H1900" s="2" t="n">
        <v>1899</v>
      </c>
      <c r="I1900" s="2" t="s">
        <v>39</v>
      </c>
      <c r="J1900" s="2" t="n">
        <v>1</v>
      </c>
      <c r="K1900" s="2" t="s">
        <v>36</v>
      </c>
      <c r="L1900" s="2" t="s">
        <v>37</v>
      </c>
      <c r="M1900" s="2" t="n">
        <v>195170</v>
      </c>
      <c r="N1900" s="2" t="n">
        <v>2</v>
      </c>
      <c r="O1900" s="2" t="n">
        <v>13</v>
      </c>
      <c r="P1900" s="2" t="n">
        <v>0</v>
      </c>
      <c r="Q1900" s="2" t="n">
        <v>20</v>
      </c>
      <c r="R1900" s="2" t="n">
        <v>5</v>
      </c>
      <c r="S1900" s="2" t="n">
        <v>18</v>
      </c>
      <c r="T1900" s="2" t="n">
        <v>2</v>
      </c>
      <c r="U1900" s="2" t="n">
        <v>17</v>
      </c>
      <c r="V1900" s="2" t="n">
        <v>4</v>
      </c>
      <c r="W1900" s="2" t="n">
        <v>1</v>
      </c>
      <c r="X1900" s="2" t="n">
        <v>3</v>
      </c>
      <c r="Y1900" s="2" t="n">
        <v>3</v>
      </c>
      <c r="Z1900" s="2" t="n">
        <v>3</v>
      </c>
    </row>
    <row r="1901" customFormat="false" ht="15" hidden="false" customHeight="true" outlineLevel="0" collapsed="false">
      <c r="A1901" s="2" t="n">
        <v>36</v>
      </c>
      <c r="B1901" s="2" t="s">
        <v>26</v>
      </c>
      <c r="C1901" s="2" t="s">
        <v>27</v>
      </c>
      <c r="D1901" s="2" t="s">
        <v>35</v>
      </c>
      <c r="E1901" s="2" t="n">
        <v>9</v>
      </c>
      <c r="F1901" s="2" t="n">
        <v>3</v>
      </c>
      <c r="G1901" s="2" t="s">
        <v>29</v>
      </c>
      <c r="H1901" s="2" t="n">
        <v>1900</v>
      </c>
      <c r="I1901" s="2" t="s">
        <v>30</v>
      </c>
      <c r="J1901" s="2" t="n">
        <v>2</v>
      </c>
      <c r="K1901" s="2" t="s">
        <v>31</v>
      </c>
      <c r="L1901" s="2" t="s">
        <v>37</v>
      </c>
      <c r="M1901" s="2" t="n">
        <v>24360</v>
      </c>
      <c r="N1901" s="2" t="n">
        <v>4</v>
      </c>
      <c r="O1901" s="2" t="n">
        <v>13</v>
      </c>
      <c r="P1901" s="2" t="n">
        <v>0</v>
      </c>
      <c r="Q1901" s="2" t="n">
        <v>16</v>
      </c>
      <c r="R1901" s="2" t="n">
        <v>3</v>
      </c>
      <c r="S1901" s="2" t="n">
        <v>11</v>
      </c>
      <c r="T1901" s="2" t="n">
        <v>3</v>
      </c>
      <c r="U1901" s="2" t="n">
        <v>9</v>
      </c>
      <c r="V1901" s="2" t="n">
        <v>3</v>
      </c>
      <c r="W1901" s="2" t="n">
        <v>3</v>
      </c>
      <c r="X1901" s="2" t="n">
        <v>3</v>
      </c>
      <c r="Y1901" s="2" t="n">
        <v>1</v>
      </c>
      <c r="Z1901" s="2" t="n">
        <v>3</v>
      </c>
    </row>
    <row r="1902" customFormat="false" ht="15" hidden="false" customHeight="true" outlineLevel="0" collapsed="false">
      <c r="A1902" s="2" t="n">
        <v>19</v>
      </c>
      <c r="B1902" s="2" t="s">
        <v>33</v>
      </c>
      <c r="C1902" s="2" t="s">
        <v>27</v>
      </c>
      <c r="D1902" s="2" t="s">
        <v>35</v>
      </c>
      <c r="E1902" s="2" t="n">
        <v>15</v>
      </c>
      <c r="F1902" s="2" t="n">
        <v>3</v>
      </c>
      <c r="G1902" s="2" t="s">
        <v>29</v>
      </c>
      <c r="H1902" s="2" t="n">
        <v>1901</v>
      </c>
      <c r="I1902" s="2" t="s">
        <v>39</v>
      </c>
      <c r="J1902" s="2" t="n">
        <v>2</v>
      </c>
      <c r="K1902" s="2" t="s">
        <v>36</v>
      </c>
      <c r="L1902" s="2" t="s">
        <v>37</v>
      </c>
      <c r="M1902" s="2" t="n">
        <v>160640</v>
      </c>
      <c r="N1902" s="2" t="n">
        <v>1</v>
      </c>
      <c r="O1902" s="2" t="n">
        <v>15</v>
      </c>
      <c r="P1902" s="2" t="n">
        <v>1</v>
      </c>
      <c r="Q1902" s="2" t="n">
        <v>1</v>
      </c>
      <c r="R1902" s="2" t="n">
        <v>3</v>
      </c>
      <c r="S1902" s="2" t="n">
        <v>1</v>
      </c>
      <c r="T1902" s="2" t="n">
        <v>0</v>
      </c>
      <c r="U1902" s="2" t="n">
        <v>0</v>
      </c>
      <c r="V1902" s="2" t="n">
        <v>4</v>
      </c>
      <c r="W1902" s="2" t="n">
        <v>2</v>
      </c>
      <c r="X1902" s="2" t="n">
        <v>4</v>
      </c>
      <c r="Y1902" s="2" t="n">
        <v>3</v>
      </c>
      <c r="Z1902" s="2" t="n">
        <v>3</v>
      </c>
    </row>
    <row r="1903" customFormat="false" ht="15" hidden="false" customHeight="true" outlineLevel="0" collapsed="false">
      <c r="A1903" s="2" t="n">
        <v>20</v>
      </c>
      <c r="B1903" s="2" t="s">
        <v>33</v>
      </c>
      <c r="C1903" s="2" t="s">
        <v>27</v>
      </c>
      <c r="D1903" s="2" t="s">
        <v>35</v>
      </c>
      <c r="E1903" s="2" t="n">
        <v>29</v>
      </c>
      <c r="F1903" s="2" t="n">
        <v>3</v>
      </c>
      <c r="G1903" s="2" t="s">
        <v>29</v>
      </c>
      <c r="H1903" s="2" t="n">
        <v>1902</v>
      </c>
      <c r="I1903" s="2" t="s">
        <v>30</v>
      </c>
      <c r="J1903" s="2" t="n">
        <v>3</v>
      </c>
      <c r="K1903" s="2" t="s">
        <v>45</v>
      </c>
      <c r="L1903" s="2" t="s">
        <v>37</v>
      </c>
      <c r="M1903" s="2" t="n">
        <v>27070</v>
      </c>
      <c r="N1903" s="2" t="n">
        <v>1</v>
      </c>
      <c r="O1903" s="2" t="n">
        <v>11</v>
      </c>
      <c r="P1903" s="2" t="n">
        <v>0</v>
      </c>
      <c r="Q1903" s="2" t="n">
        <v>1</v>
      </c>
      <c r="R1903" s="2" t="n">
        <v>2</v>
      </c>
      <c r="S1903" s="2" t="n">
        <v>1</v>
      </c>
      <c r="T1903" s="2" t="n">
        <v>0</v>
      </c>
      <c r="U1903" s="2" t="n">
        <v>0</v>
      </c>
      <c r="V1903" s="2" t="n">
        <v>1</v>
      </c>
      <c r="W1903" s="2" t="n">
        <v>1</v>
      </c>
      <c r="X1903" s="2" t="n">
        <v>3</v>
      </c>
      <c r="Y1903" s="2" t="n">
        <v>3</v>
      </c>
      <c r="Z1903" s="2" t="n">
        <v>3</v>
      </c>
    </row>
    <row r="1904" customFormat="false" ht="15" hidden="false" customHeight="true" outlineLevel="0" collapsed="false">
      <c r="A1904" s="2" t="n">
        <v>31</v>
      </c>
      <c r="B1904" s="2" t="s">
        <v>26</v>
      </c>
      <c r="C1904" s="2" t="s">
        <v>27</v>
      </c>
      <c r="D1904" s="2" t="s">
        <v>35</v>
      </c>
      <c r="E1904" s="2" t="n">
        <v>1</v>
      </c>
      <c r="F1904" s="2" t="n">
        <v>4</v>
      </c>
      <c r="G1904" s="2" t="s">
        <v>29</v>
      </c>
      <c r="H1904" s="2" t="n">
        <v>1903</v>
      </c>
      <c r="I1904" s="2" t="s">
        <v>39</v>
      </c>
      <c r="J1904" s="2" t="n">
        <v>4</v>
      </c>
      <c r="K1904" s="2" t="s">
        <v>44</v>
      </c>
      <c r="L1904" s="2" t="s">
        <v>32</v>
      </c>
      <c r="M1904" s="2" t="n">
        <v>190680</v>
      </c>
      <c r="N1904" s="2" t="n">
        <v>0</v>
      </c>
      <c r="O1904" s="2" t="n">
        <v>12</v>
      </c>
      <c r="P1904" s="2" t="n">
        <v>0</v>
      </c>
      <c r="Q1904" s="2" t="n">
        <v>10</v>
      </c>
      <c r="R1904" s="2" t="n">
        <v>1</v>
      </c>
      <c r="S1904" s="2" t="n">
        <v>9</v>
      </c>
      <c r="T1904" s="2" t="n">
        <v>8</v>
      </c>
      <c r="U1904" s="2" t="n">
        <v>5</v>
      </c>
      <c r="V1904" s="2" t="n">
        <v>4</v>
      </c>
      <c r="W1904" s="2" t="n">
        <v>4</v>
      </c>
      <c r="X1904" s="2" t="n">
        <v>1</v>
      </c>
      <c r="Y1904" s="2" t="n">
        <v>3</v>
      </c>
      <c r="Z1904" s="2" t="n">
        <v>3</v>
      </c>
    </row>
    <row r="1905" customFormat="false" ht="15" hidden="false" customHeight="true" outlineLevel="0" collapsed="false">
      <c r="A1905" s="2" t="n">
        <v>40</v>
      </c>
      <c r="B1905" s="2" t="s">
        <v>26</v>
      </c>
      <c r="C1905" s="2" t="s">
        <v>34</v>
      </c>
      <c r="D1905" s="2" t="s">
        <v>28</v>
      </c>
      <c r="E1905" s="2" t="n">
        <v>1</v>
      </c>
      <c r="F1905" s="2" t="n">
        <v>3</v>
      </c>
      <c r="G1905" s="2" t="s">
        <v>50</v>
      </c>
      <c r="H1905" s="2" t="n">
        <v>1904</v>
      </c>
      <c r="I1905" s="2" t="s">
        <v>39</v>
      </c>
      <c r="J1905" s="2" t="n">
        <v>1</v>
      </c>
      <c r="K1905" s="2" t="s">
        <v>36</v>
      </c>
      <c r="L1905" s="2" t="s">
        <v>46</v>
      </c>
      <c r="M1905" s="2" t="n">
        <v>39310</v>
      </c>
      <c r="N1905" s="2" t="n">
        <v>8</v>
      </c>
      <c r="O1905" s="2" t="n">
        <v>19</v>
      </c>
      <c r="P1905" s="2" t="n">
        <v>0</v>
      </c>
      <c r="Q1905" s="2" t="n">
        <v>3</v>
      </c>
      <c r="R1905" s="2" t="n">
        <v>2</v>
      </c>
      <c r="S1905" s="2" t="n">
        <v>1</v>
      </c>
      <c r="T1905" s="2" t="n">
        <v>0</v>
      </c>
      <c r="U1905" s="2" t="n">
        <v>0</v>
      </c>
      <c r="V1905" s="2" t="n">
        <v>4</v>
      </c>
      <c r="W1905" s="2" t="n">
        <v>2</v>
      </c>
      <c r="X1905" s="2" t="n">
        <v>3</v>
      </c>
      <c r="Y1905" s="2" t="n">
        <v>2</v>
      </c>
      <c r="Z1905" s="2" t="n">
        <v>3</v>
      </c>
    </row>
    <row r="1906" customFormat="false" ht="15" hidden="false" customHeight="true" outlineLevel="0" collapsed="false">
      <c r="A1906" s="2" t="n">
        <v>32</v>
      </c>
      <c r="B1906" s="2" t="s">
        <v>26</v>
      </c>
      <c r="C1906" s="2" t="s">
        <v>27</v>
      </c>
      <c r="D1906" s="2" t="s">
        <v>35</v>
      </c>
      <c r="E1906" s="2" t="n">
        <v>24</v>
      </c>
      <c r="F1906" s="2" t="n">
        <v>3</v>
      </c>
      <c r="G1906" s="2" t="s">
        <v>29</v>
      </c>
      <c r="H1906" s="2" t="n">
        <v>1905</v>
      </c>
      <c r="I1906" s="2" t="s">
        <v>39</v>
      </c>
      <c r="J1906" s="2" t="n">
        <v>4</v>
      </c>
      <c r="K1906" s="2" t="s">
        <v>45</v>
      </c>
      <c r="L1906" s="2" t="s">
        <v>32</v>
      </c>
      <c r="M1906" s="2" t="n">
        <v>37300</v>
      </c>
      <c r="N1906" s="2" t="n">
        <v>1</v>
      </c>
      <c r="O1906" s="2" t="n">
        <v>25</v>
      </c>
      <c r="P1906" s="2" t="n">
        <v>1</v>
      </c>
      <c r="Q1906" s="2" t="n">
        <v>8</v>
      </c>
      <c r="R1906" s="2" t="n">
        <v>4</v>
      </c>
      <c r="S1906" s="2" t="n">
        <v>8</v>
      </c>
      <c r="T1906" s="2" t="n">
        <v>6</v>
      </c>
      <c r="U1906" s="2" t="n">
        <v>3</v>
      </c>
      <c r="V1906" s="2" t="n">
        <v>3</v>
      </c>
      <c r="W1906" s="2" t="n">
        <v>1</v>
      </c>
      <c r="X1906" s="2" t="n">
        <v>4</v>
      </c>
      <c r="Y1906" s="2" t="n">
        <v>3</v>
      </c>
      <c r="Z1906" s="2" t="n">
        <v>4</v>
      </c>
    </row>
    <row r="1907" customFormat="false" ht="15" hidden="false" customHeight="true" outlineLevel="0" collapsed="false">
      <c r="A1907" s="2" t="n">
        <v>36</v>
      </c>
      <c r="B1907" s="2" t="s">
        <v>33</v>
      </c>
      <c r="C1907" s="2" t="s">
        <v>27</v>
      </c>
      <c r="D1907" s="2" t="s">
        <v>35</v>
      </c>
      <c r="E1907" s="2" t="n">
        <v>10</v>
      </c>
      <c r="F1907" s="2" t="n">
        <v>3</v>
      </c>
      <c r="G1907" s="2" t="s">
        <v>43</v>
      </c>
      <c r="H1907" s="2" t="n">
        <v>1906</v>
      </c>
      <c r="I1907" s="2" t="s">
        <v>39</v>
      </c>
      <c r="J1907" s="2" t="n">
        <v>3</v>
      </c>
      <c r="K1907" s="2" t="s">
        <v>40</v>
      </c>
      <c r="L1907" s="2" t="s">
        <v>32</v>
      </c>
      <c r="M1907" s="2" t="n">
        <v>22320</v>
      </c>
      <c r="N1907" s="2" t="n">
        <v>1</v>
      </c>
      <c r="O1907" s="2" t="n">
        <v>12</v>
      </c>
      <c r="P1907" s="2" t="n">
        <v>1</v>
      </c>
      <c r="Q1907" s="2" t="n">
        <v>16</v>
      </c>
      <c r="R1907" s="2" t="n">
        <v>2</v>
      </c>
      <c r="S1907" s="2" t="n">
        <v>16</v>
      </c>
      <c r="T1907" s="2" t="n">
        <v>3</v>
      </c>
      <c r="U1907" s="2" t="n">
        <v>7</v>
      </c>
      <c r="V1907" s="2" t="n">
        <v>3</v>
      </c>
      <c r="W1907" s="2" t="n">
        <v>4</v>
      </c>
      <c r="X1907" s="2" t="n">
        <v>3</v>
      </c>
      <c r="Y1907" s="2" t="n">
        <v>3</v>
      </c>
      <c r="Z1907" s="2" t="n">
        <v>3</v>
      </c>
    </row>
    <row r="1908" customFormat="false" ht="15" hidden="false" customHeight="true" outlineLevel="0" collapsed="false">
      <c r="A1908" s="2" t="n">
        <v>33</v>
      </c>
      <c r="B1908" s="2" t="s">
        <v>26</v>
      </c>
      <c r="C1908" s="2" t="s">
        <v>27</v>
      </c>
      <c r="D1908" s="2" t="s">
        <v>35</v>
      </c>
      <c r="E1908" s="2" t="n">
        <v>1</v>
      </c>
      <c r="F1908" s="2" t="n">
        <v>4</v>
      </c>
      <c r="G1908" s="2" t="s">
        <v>43</v>
      </c>
      <c r="H1908" s="2" t="n">
        <v>1907</v>
      </c>
      <c r="I1908" s="2" t="s">
        <v>30</v>
      </c>
      <c r="J1908" s="2" t="n">
        <v>4</v>
      </c>
      <c r="K1908" s="2" t="s">
        <v>47</v>
      </c>
      <c r="L1908" s="2" t="s">
        <v>37</v>
      </c>
      <c r="M1908" s="2" t="n">
        <v>44650</v>
      </c>
      <c r="N1908" s="2" t="n">
        <v>0</v>
      </c>
      <c r="O1908" s="2" t="n">
        <v>13</v>
      </c>
      <c r="P1908" s="2" t="n">
        <v>0</v>
      </c>
      <c r="Q1908" s="2" t="n">
        <v>6</v>
      </c>
      <c r="R1908" s="2" t="n">
        <v>3</v>
      </c>
      <c r="S1908" s="2" t="n">
        <v>5</v>
      </c>
      <c r="T1908" s="2" t="n">
        <v>1</v>
      </c>
      <c r="U1908" s="2" t="n">
        <v>4</v>
      </c>
      <c r="V1908" s="2" t="n">
        <v>2</v>
      </c>
      <c r="W1908" s="2" t="n">
        <v>4</v>
      </c>
      <c r="X1908" s="2" t="n">
        <v>3</v>
      </c>
      <c r="Y1908" s="2" t="n">
        <v>3</v>
      </c>
      <c r="Z1908" s="2" t="n">
        <v>3</v>
      </c>
    </row>
    <row r="1909" customFormat="false" ht="15" hidden="false" customHeight="true" outlineLevel="0" collapsed="false">
      <c r="A1909" s="2" t="n">
        <v>37</v>
      </c>
      <c r="B1909" s="2" t="s">
        <v>33</v>
      </c>
      <c r="C1909" s="2" t="s">
        <v>27</v>
      </c>
      <c r="D1909" s="2" t="s">
        <v>28</v>
      </c>
      <c r="E1909" s="2" t="n">
        <v>10</v>
      </c>
      <c r="F1909" s="2" t="n">
        <v>4</v>
      </c>
      <c r="G1909" s="2" t="s">
        <v>50</v>
      </c>
      <c r="H1909" s="2" t="n">
        <v>1908</v>
      </c>
      <c r="I1909" s="2" t="s">
        <v>30</v>
      </c>
      <c r="J1909" s="2" t="n">
        <v>3</v>
      </c>
      <c r="K1909" s="2" t="s">
        <v>42</v>
      </c>
      <c r="L1909" s="2" t="s">
        <v>32</v>
      </c>
      <c r="M1909" s="2" t="n">
        <v>30720</v>
      </c>
      <c r="N1909" s="2" t="n">
        <v>5</v>
      </c>
      <c r="O1909" s="2" t="n">
        <v>14</v>
      </c>
      <c r="P1909" s="2" t="n">
        <v>0</v>
      </c>
      <c r="Q1909" s="2" t="n">
        <v>17</v>
      </c>
      <c r="R1909" s="2" t="n">
        <v>3</v>
      </c>
      <c r="S1909" s="2" t="n">
        <v>14</v>
      </c>
      <c r="T1909" s="2" t="n">
        <v>11</v>
      </c>
      <c r="U1909" s="2" t="n">
        <v>7</v>
      </c>
      <c r="V1909" s="2" t="n">
        <v>1</v>
      </c>
      <c r="W1909" s="2" t="n">
        <v>3</v>
      </c>
      <c r="X1909" s="2" t="n">
        <v>1</v>
      </c>
      <c r="Y1909" s="2" t="n">
        <v>2</v>
      </c>
      <c r="Z1909" s="2" t="n">
        <v>3</v>
      </c>
    </row>
    <row r="1910" customFormat="false" ht="15" hidden="false" customHeight="true" outlineLevel="0" collapsed="false">
      <c r="A1910" s="2" t="n">
        <v>45</v>
      </c>
      <c r="B1910" s="2" t="s">
        <v>26</v>
      </c>
      <c r="C1910" s="2" t="s">
        <v>41</v>
      </c>
      <c r="D1910" s="2" t="s">
        <v>35</v>
      </c>
      <c r="E1910" s="2" t="n">
        <v>8</v>
      </c>
      <c r="F1910" s="2" t="n">
        <v>1</v>
      </c>
      <c r="G1910" s="2" t="s">
        <v>29</v>
      </c>
      <c r="H1910" s="2" t="n">
        <v>1909</v>
      </c>
      <c r="I1910" s="2" t="s">
        <v>39</v>
      </c>
      <c r="J1910" s="2" t="n">
        <v>2</v>
      </c>
      <c r="K1910" s="2" t="s">
        <v>40</v>
      </c>
      <c r="L1910" s="2" t="s">
        <v>32</v>
      </c>
      <c r="M1910" s="2" t="n">
        <v>33190</v>
      </c>
      <c r="N1910" s="2" t="n">
        <v>1</v>
      </c>
      <c r="O1910" s="2" t="n">
        <v>12</v>
      </c>
      <c r="P1910" s="2" t="n">
        <v>1</v>
      </c>
      <c r="Q1910" s="2" t="n">
        <v>9</v>
      </c>
      <c r="R1910" s="2" t="n">
        <v>3</v>
      </c>
      <c r="S1910" s="2" t="n">
        <v>9</v>
      </c>
      <c r="T1910" s="2" t="n">
        <v>0</v>
      </c>
      <c r="U1910" s="2" t="n">
        <v>8</v>
      </c>
      <c r="V1910" s="2" t="n">
        <v>3</v>
      </c>
      <c r="W1910" s="2" t="n">
        <v>2</v>
      </c>
      <c r="X1910" s="2" t="n">
        <v>2</v>
      </c>
      <c r="Y1910" s="2" t="n">
        <v>3</v>
      </c>
      <c r="Z1910" s="2" t="n">
        <v>3</v>
      </c>
    </row>
    <row r="1911" customFormat="false" ht="15" hidden="false" customHeight="true" outlineLevel="0" collapsed="false">
      <c r="A1911" s="2" t="n">
        <v>29</v>
      </c>
      <c r="B1911" s="2" t="s">
        <v>26</v>
      </c>
      <c r="C1911" s="2" t="s">
        <v>34</v>
      </c>
      <c r="D1911" s="2" t="s">
        <v>35</v>
      </c>
      <c r="E1911" s="2" t="n">
        <v>29</v>
      </c>
      <c r="F1911" s="2" t="n">
        <v>1</v>
      </c>
      <c r="G1911" s="2" t="s">
        <v>29</v>
      </c>
      <c r="H1911" s="2" t="n">
        <v>1910</v>
      </c>
      <c r="I1911" s="2" t="s">
        <v>39</v>
      </c>
      <c r="J1911" s="2" t="n">
        <v>1</v>
      </c>
      <c r="K1911" s="2" t="s">
        <v>48</v>
      </c>
      <c r="L1911" s="2" t="s">
        <v>32</v>
      </c>
      <c r="M1911" s="2" t="n">
        <v>192020</v>
      </c>
      <c r="N1911" s="2" t="n">
        <v>1</v>
      </c>
      <c r="O1911" s="2" t="n">
        <v>12</v>
      </c>
      <c r="P1911" s="2" t="n">
        <v>0</v>
      </c>
      <c r="Q1911" s="2" t="n">
        <v>3</v>
      </c>
      <c r="R1911" s="2" t="n">
        <v>5</v>
      </c>
      <c r="S1911" s="2" t="n">
        <v>3</v>
      </c>
      <c r="T1911" s="2" t="n">
        <v>0</v>
      </c>
      <c r="U1911" s="2" t="n">
        <v>2</v>
      </c>
      <c r="V1911" s="2" t="n">
        <v>3</v>
      </c>
      <c r="W1911" s="2"/>
      <c r="X1911" s="2" t="n">
        <v>3</v>
      </c>
      <c r="Y1911" s="2" t="n">
        <v>3</v>
      </c>
      <c r="Z1911" s="2" t="n">
        <v>3</v>
      </c>
    </row>
    <row r="1912" customFormat="false" ht="15" hidden="false" customHeight="true" outlineLevel="0" collapsed="false">
      <c r="A1912" s="2" t="n">
        <v>35</v>
      </c>
      <c r="B1912" s="2" t="s">
        <v>26</v>
      </c>
      <c r="C1912" s="2" t="s">
        <v>27</v>
      </c>
      <c r="D1912" s="2" t="s">
        <v>42</v>
      </c>
      <c r="E1912" s="2" t="n">
        <v>1</v>
      </c>
      <c r="F1912" s="2" t="n">
        <v>3</v>
      </c>
      <c r="G1912" s="2" t="s">
        <v>42</v>
      </c>
      <c r="H1912" s="2" t="n">
        <v>1911</v>
      </c>
      <c r="I1912" s="2" t="s">
        <v>39</v>
      </c>
      <c r="J1912" s="2" t="n">
        <v>3</v>
      </c>
      <c r="K1912" s="2" t="s">
        <v>45</v>
      </c>
      <c r="L1912" s="2" t="s">
        <v>32</v>
      </c>
      <c r="M1912" s="2" t="n">
        <v>136750</v>
      </c>
      <c r="N1912" s="2" t="n">
        <v>1</v>
      </c>
      <c r="O1912" s="2" t="n">
        <v>15</v>
      </c>
      <c r="P1912" s="2" t="n">
        <v>3</v>
      </c>
      <c r="Q1912" s="2" t="n">
        <v>5</v>
      </c>
      <c r="R1912" s="2" t="n">
        <v>5</v>
      </c>
      <c r="S1912" s="2" t="n">
        <v>5</v>
      </c>
      <c r="T1912" s="2" t="n">
        <v>1</v>
      </c>
      <c r="U1912" s="2" t="n">
        <v>0</v>
      </c>
      <c r="V1912" s="2" t="n">
        <v>3</v>
      </c>
      <c r="W1912" s="2" t="n">
        <v>3</v>
      </c>
      <c r="X1912" s="2" t="n">
        <v>3</v>
      </c>
      <c r="Y1912" s="2" t="n">
        <v>2</v>
      </c>
      <c r="Z1912" s="2" t="n">
        <v>3</v>
      </c>
    </row>
    <row r="1913" customFormat="false" ht="15" hidden="false" customHeight="true" outlineLevel="0" collapsed="false">
      <c r="A1913" s="2" t="n">
        <v>52</v>
      </c>
      <c r="B1913" s="2" t="s">
        <v>26</v>
      </c>
      <c r="C1913" s="2" t="s">
        <v>27</v>
      </c>
      <c r="D1913" s="2" t="s">
        <v>35</v>
      </c>
      <c r="E1913" s="2" t="n">
        <v>5</v>
      </c>
      <c r="F1913" s="2" t="n">
        <v>4</v>
      </c>
      <c r="G1913" s="2" t="s">
        <v>38</v>
      </c>
      <c r="H1913" s="2" t="n">
        <v>1912</v>
      </c>
      <c r="I1913" s="2" t="s">
        <v>39</v>
      </c>
      <c r="J1913" s="2" t="n">
        <v>1</v>
      </c>
      <c r="K1913" s="2" t="s">
        <v>45</v>
      </c>
      <c r="L1913" s="2" t="s">
        <v>32</v>
      </c>
      <c r="M1913" s="2" t="n">
        <v>29110</v>
      </c>
      <c r="N1913" s="2" t="n">
        <v>2</v>
      </c>
      <c r="O1913" s="2" t="n">
        <v>17</v>
      </c>
      <c r="P1913" s="2" t="n">
        <v>2</v>
      </c>
      <c r="Q1913" s="2" t="n">
        <v>26</v>
      </c>
      <c r="R1913" s="2" t="n">
        <v>3</v>
      </c>
      <c r="S1913" s="2" t="n">
        <v>9</v>
      </c>
      <c r="T1913" s="2" t="n">
        <v>7</v>
      </c>
      <c r="U1913" s="2" t="n">
        <v>8</v>
      </c>
      <c r="V1913" s="2" t="n">
        <v>4</v>
      </c>
      <c r="W1913" s="2" t="n">
        <v>4</v>
      </c>
      <c r="X1913" s="2"/>
      <c r="Y1913" s="2" t="n">
        <v>3</v>
      </c>
      <c r="Z1913" s="2" t="n">
        <v>3</v>
      </c>
    </row>
    <row r="1914" customFormat="false" ht="15" hidden="false" customHeight="true" outlineLevel="0" collapsed="false">
      <c r="A1914" s="2" t="n">
        <v>58</v>
      </c>
      <c r="B1914" s="2" t="s">
        <v>33</v>
      </c>
      <c r="C1914" s="2" t="s">
        <v>27</v>
      </c>
      <c r="D1914" s="2" t="s">
        <v>28</v>
      </c>
      <c r="E1914" s="2" t="n">
        <v>9</v>
      </c>
      <c r="F1914" s="2" t="n">
        <v>2</v>
      </c>
      <c r="G1914" s="2" t="s">
        <v>43</v>
      </c>
      <c r="H1914" s="2" t="n">
        <v>1913</v>
      </c>
      <c r="I1914" s="2" t="s">
        <v>30</v>
      </c>
      <c r="J1914" s="2" t="n">
        <v>4</v>
      </c>
      <c r="K1914" s="2" t="s">
        <v>40</v>
      </c>
      <c r="L1914" s="2" t="s">
        <v>37</v>
      </c>
      <c r="M1914" s="2" t="n">
        <v>59570</v>
      </c>
      <c r="N1914" s="2" t="n">
        <v>4</v>
      </c>
      <c r="O1914" s="2" t="n">
        <v>14</v>
      </c>
      <c r="P1914" s="2" t="n">
        <v>1</v>
      </c>
      <c r="Q1914" s="2" t="n">
        <v>7</v>
      </c>
      <c r="R1914" s="2" t="n">
        <v>2</v>
      </c>
      <c r="S1914" s="2" t="n">
        <v>1</v>
      </c>
      <c r="T1914" s="2" t="n">
        <v>0</v>
      </c>
      <c r="U1914" s="2" t="n">
        <v>0</v>
      </c>
      <c r="V1914" s="2" t="n">
        <v>4</v>
      </c>
      <c r="W1914" s="2" t="n">
        <v>3</v>
      </c>
      <c r="X1914" s="2" t="n">
        <v>3</v>
      </c>
      <c r="Y1914" s="2" t="n">
        <v>1</v>
      </c>
      <c r="Z1914" s="2" t="n">
        <v>3</v>
      </c>
    </row>
    <row r="1915" customFormat="false" ht="15" hidden="false" customHeight="true" outlineLevel="0" collapsed="false">
      <c r="A1915" s="2" t="n">
        <v>53</v>
      </c>
      <c r="B1915" s="2" t="s">
        <v>26</v>
      </c>
      <c r="C1915" s="2" t="s">
        <v>27</v>
      </c>
      <c r="D1915" s="2" t="s">
        <v>35</v>
      </c>
      <c r="E1915" s="2" t="n">
        <v>9</v>
      </c>
      <c r="F1915" s="2" t="n">
        <v>3</v>
      </c>
      <c r="G1915" s="2" t="s">
        <v>51</v>
      </c>
      <c r="H1915" s="2" t="n">
        <v>1914</v>
      </c>
      <c r="I1915" s="2" t="s">
        <v>39</v>
      </c>
      <c r="J1915" s="2" t="n">
        <v>1</v>
      </c>
      <c r="K1915" s="2" t="s">
        <v>49</v>
      </c>
      <c r="L1915" s="2" t="s">
        <v>46</v>
      </c>
      <c r="M1915" s="2" t="n">
        <v>39200</v>
      </c>
      <c r="N1915" s="2" t="n">
        <v>6</v>
      </c>
      <c r="O1915" s="2" t="n">
        <v>16</v>
      </c>
      <c r="P1915" s="2" t="n">
        <v>1</v>
      </c>
      <c r="Q1915" s="2" t="n">
        <v>22</v>
      </c>
      <c r="R1915" s="2" t="n">
        <v>3</v>
      </c>
      <c r="S1915" s="2" t="n">
        <v>17</v>
      </c>
      <c r="T1915" s="2" t="n">
        <v>15</v>
      </c>
      <c r="U1915" s="2" t="n">
        <v>2</v>
      </c>
      <c r="V1915" s="2" t="n">
        <v>3</v>
      </c>
      <c r="W1915" s="2" t="n">
        <v>3</v>
      </c>
      <c r="X1915" s="2" t="n">
        <v>4</v>
      </c>
      <c r="Y1915" s="2" t="n">
        <v>3</v>
      </c>
      <c r="Z1915" s="2" t="n">
        <v>3</v>
      </c>
    </row>
    <row r="1916" customFormat="false" ht="15" hidden="false" customHeight="true" outlineLevel="0" collapsed="false">
      <c r="A1916" s="2" t="n">
        <v>30</v>
      </c>
      <c r="B1916" s="2" t="s">
        <v>26</v>
      </c>
      <c r="C1916" s="2" t="s">
        <v>27</v>
      </c>
      <c r="D1916" s="2" t="s">
        <v>28</v>
      </c>
      <c r="E1916" s="2" t="n">
        <v>3</v>
      </c>
      <c r="F1916" s="2" t="n">
        <v>4</v>
      </c>
      <c r="G1916" s="2" t="s">
        <v>50</v>
      </c>
      <c r="H1916" s="2" t="n">
        <v>1915</v>
      </c>
      <c r="I1916" s="2" t="s">
        <v>39</v>
      </c>
      <c r="J1916" s="2" t="n">
        <v>1</v>
      </c>
      <c r="K1916" s="2" t="s">
        <v>40</v>
      </c>
      <c r="L1916" s="2" t="s">
        <v>46</v>
      </c>
      <c r="M1916" s="2" t="n">
        <v>64340</v>
      </c>
      <c r="N1916" s="2" t="n">
        <v>5</v>
      </c>
      <c r="O1916" s="2" t="n">
        <v>14</v>
      </c>
      <c r="P1916" s="2" t="n">
        <v>1</v>
      </c>
      <c r="Q1916" s="2" t="n">
        <v>10</v>
      </c>
      <c r="R1916" s="2" t="n">
        <v>3</v>
      </c>
      <c r="S1916" s="2" t="n">
        <v>8</v>
      </c>
      <c r="T1916" s="2" t="n">
        <v>7</v>
      </c>
      <c r="U1916" s="2" t="n">
        <v>7</v>
      </c>
      <c r="V1916" s="2" t="n">
        <v>3</v>
      </c>
      <c r="W1916" s="2" t="n">
        <v>3</v>
      </c>
      <c r="X1916" s="2" t="n">
        <v>4</v>
      </c>
      <c r="Y1916" s="2" t="n">
        <v>2</v>
      </c>
      <c r="Z1916" s="2" t="n">
        <v>3</v>
      </c>
    </row>
    <row r="1917" customFormat="false" ht="15" hidden="false" customHeight="true" outlineLevel="0" collapsed="false">
      <c r="A1917" s="2" t="n">
        <v>38</v>
      </c>
      <c r="B1917" s="2" t="s">
        <v>26</v>
      </c>
      <c r="C1917" s="2" t="s">
        <v>41</v>
      </c>
      <c r="D1917" s="2" t="s">
        <v>28</v>
      </c>
      <c r="E1917" s="2" t="n">
        <v>4</v>
      </c>
      <c r="F1917" s="2" t="n">
        <v>3</v>
      </c>
      <c r="G1917" s="2" t="s">
        <v>29</v>
      </c>
      <c r="H1917" s="2" t="n">
        <v>1916</v>
      </c>
      <c r="I1917" s="2" t="s">
        <v>39</v>
      </c>
      <c r="J1917" s="2" t="n">
        <v>2</v>
      </c>
      <c r="K1917" s="2" t="s">
        <v>44</v>
      </c>
      <c r="L1917" s="2" t="s">
        <v>37</v>
      </c>
      <c r="M1917" s="2" t="n">
        <v>100480</v>
      </c>
      <c r="N1917" s="2" t="n">
        <v>1</v>
      </c>
      <c r="O1917" s="2" t="n">
        <v>23</v>
      </c>
      <c r="P1917" s="2" t="n">
        <v>1</v>
      </c>
      <c r="Q1917" s="2" t="n">
        <v>6</v>
      </c>
      <c r="R1917" s="2" t="n">
        <v>2</v>
      </c>
      <c r="S1917" s="2" t="n">
        <v>5</v>
      </c>
      <c r="T1917" s="2" t="n">
        <v>1</v>
      </c>
      <c r="U1917" s="2" t="n">
        <v>3</v>
      </c>
      <c r="V1917" s="2" t="n">
        <v>3</v>
      </c>
      <c r="W1917" s="2" t="n">
        <v>4</v>
      </c>
      <c r="X1917" s="2" t="n">
        <v>3</v>
      </c>
      <c r="Y1917" s="2" t="n">
        <v>3</v>
      </c>
      <c r="Z1917" s="2" t="n">
        <v>4</v>
      </c>
    </row>
    <row r="1918" customFormat="false" ht="15" hidden="false" customHeight="true" outlineLevel="0" collapsed="false">
      <c r="A1918" s="2" t="n">
        <v>35</v>
      </c>
      <c r="B1918" s="2" t="s">
        <v>26</v>
      </c>
      <c r="C1918" s="2" t="s">
        <v>27</v>
      </c>
      <c r="D1918" s="2" t="s">
        <v>28</v>
      </c>
      <c r="E1918" s="2" t="n">
        <v>1</v>
      </c>
      <c r="F1918" s="2" t="n">
        <v>2</v>
      </c>
      <c r="G1918" s="2" t="s">
        <v>29</v>
      </c>
      <c r="H1918" s="2" t="n">
        <v>1917</v>
      </c>
      <c r="I1918" s="2" t="s">
        <v>30</v>
      </c>
      <c r="J1918" s="2" t="n">
        <v>2</v>
      </c>
      <c r="K1918" s="2" t="s">
        <v>31</v>
      </c>
      <c r="L1918" s="2" t="s">
        <v>46</v>
      </c>
      <c r="M1918" s="2" t="n">
        <v>109380</v>
      </c>
      <c r="N1918" s="2" t="n">
        <v>6</v>
      </c>
      <c r="O1918" s="2" t="n">
        <v>14</v>
      </c>
      <c r="P1918" s="2" t="n">
        <v>2</v>
      </c>
      <c r="Q1918" s="2" t="n">
        <v>12</v>
      </c>
      <c r="R1918" s="2" t="n">
        <v>2</v>
      </c>
      <c r="S1918" s="2" t="n">
        <v>10</v>
      </c>
      <c r="T1918" s="2" t="n">
        <v>0</v>
      </c>
      <c r="U1918" s="2" t="n">
        <v>8</v>
      </c>
      <c r="V1918" s="2" t="n">
        <v>4</v>
      </c>
      <c r="W1918" s="2" t="n">
        <v>4</v>
      </c>
      <c r="X1918" s="2" t="n">
        <v>3</v>
      </c>
      <c r="Y1918" s="2" t="n">
        <v>1</v>
      </c>
      <c r="Z1918" s="2" t="n">
        <v>3</v>
      </c>
    </row>
    <row r="1919" customFormat="false" ht="15" hidden="false" customHeight="true" outlineLevel="0" collapsed="false">
      <c r="A1919" s="2" t="n">
        <v>39</v>
      </c>
      <c r="B1919" s="2" t="s">
        <v>26</v>
      </c>
      <c r="C1919" s="2" t="s">
        <v>27</v>
      </c>
      <c r="D1919" s="2" t="s">
        <v>28</v>
      </c>
      <c r="E1919" s="2" t="n">
        <v>1</v>
      </c>
      <c r="F1919" s="2" t="n">
        <v>1</v>
      </c>
      <c r="G1919" s="2" t="s">
        <v>50</v>
      </c>
      <c r="H1919" s="2" t="n">
        <v>1918</v>
      </c>
      <c r="I1919" s="2" t="s">
        <v>39</v>
      </c>
      <c r="J1919" s="2" t="n">
        <v>2</v>
      </c>
      <c r="K1919" s="2" t="s">
        <v>36</v>
      </c>
      <c r="L1919" s="2" t="s">
        <v>37</v>
      </c>
      <c r="M1919" s="2" t="n">
        <v>23400</v>
      </c>
      <c r="N1919" s="2" t="n">
        <v>0</v>
      </c>
      <c r="O1919" s="2" t="n">
        <v>11</v>
      </c>
      <c r="P1919" s="2" t="n">
        <v>1</v>
      </c>
      <c r="Q1919" s="2" t="n">
        <v>9</v>
      </c>
      <c r="R1919" s="2" t="n">
        <v>2</v>
      </c>
      <c r="S1919" s="2" t="n">
        <v>8</v>
      </c>
      <c r="T1919" s="2" t="n">
        <v>0</v>
      </c>
      <c r="U1919" s="2" t="n">
        <v>7</v>
      </c>
      <c r="V1919" s="2" t="n">
        <v>1</v>
      </c>
      <c r="W1919" s="2" t="n">
        <v>3</v>
      </c>
      <c r="X1919" s="2" t="n">
        <v>3</v>
      </c>
      <c r="Y1919" s="2" t="n">
        <v>2</v>
      </c>
      <c r="Z1919" s="2" t="n">
        <v>3</v>
      </c>
    </row>
    <row r="1920" customFormat="false" ht="15" hidden="false" customHeight="true" outlineLevel="0" collapsed="false">
      <c r="A1920" s="2" t="n">
        <v>40</v>
      </c>
      <c r="B1920" s="2" t="s">
        <v>33</v>
      </c>
      <c r="C1920" s="2" t="s">
        <v>41</v>
      </c>
      <c r="D1920" s="2" t="s">
        <v>35</v>
      </c>
      <c r="E1920" s="2" t="n">
        <v>2</v>
      </c>
      <c r="F1920" s="2" t="n">
        <v>4</v>
      </c>
      <c r="G1920" s="2" t="s">
        <v>29</v>
      </c>
      <c r="H1920" s="2" t="n">
        <v>1919</v>
      </c>
      <c r="I1920" s="2" t="s">
        <v>39</v>
      </c>
      <c r="J1920" s="2" t="n">
        <v>1</v>
      </c>
      <c r="K1920" s="2" t="s">
        <v>42</v>
      </c>
      <c r="L1920" s="2" t="s">
        <v>37</v>
      </c>
      <c r="M1920" s="2" t="n">
        <v>65450</v>
      </c>
      <c r="N1920" s="2" t="n">
        <v>4</v>
      </c>
      <c r="O1920" s="2" t="n">
        <v>15</v>
      </c>
      <c r="P1920" s="2" t="n">
        <v>0</v>
      </c>
      <c r="Q1920" s="2" t="n">
        <v>22</v>
      </c>
      <c r="R1920" s="2" t="n">
        <v>2</v>
      </c>
      <c r="S1920" s="2" t="n">
        <v>1</v>
      </c>
      <c r="T1920" s="2" t="n">
        <v>0</v>
      </c>
      <c r="U1920" s="2" t="n">
        <v>0</v>
      </c>
      <c r="V1920" s="2" t="n">
        <v>2</v>
      </c>
      <c r="W1920" s="2" t="n">
        <v>2</v>
      </c>
      <c r="X1920" s="2" t="n">
        <v>2</v>
      </c>
      <c r="Y1920" s="2" t="n">
        <v>3</v>
      </c>
      <c r="Z1920" s="2" t="n">
        <v>3</v>
      </c>
    </row>
    <row r="1921" customFormat="false" ht="15" hidden="false" customHeight="true" outlineLevel="0" collapsed="false">
      <c r="A1921" s="2" t="n">
        <v>47</v>
      </c>
      <c r="B1921" s="2" t="s">
        <v>26</v>
      </c>
      <c r="C1921" s="2" t="s">
        <v>34</v>
      </c>
      <c r="D1921" s="2" t="s">
        <v>35</v>
      </c>
      <c r="E1921" s="2" t="n">
        <v>7</v>
      </c>
      <c r="F1921" s="2" t="n">
        <v>4</v>
      </c>
      <c r="G1921" s="2" t="s">
        <v>29</v>
      </c>
      <c r="H1921" s="2" t="n">
        <v>1920</v>
      </c>
      <c r="I1921" s="2" t="s">
        <v>39</v>
      </c>
      <c r="J1921" s="2" t="n">
        <v>3</v>
      </c>
      <c r="K1921" s="2" t="s">
        <v>40</v>
      </c>
      <c r="L1921" s="2" t="s">
        <v>46</v>
      </c>
      <c r="M1921" s="2" t="n">
        <v>69310</v>
      </c>
      <c r="N1921" s="2" t="n">
        <v>1</v>
      </c>
      <c r="O1921" s="2" t="n">
        <v>11</v>
      </c>
      <c r="P1921" s="2" t="n">
        <v>0</v>
      </c>
      <c r="Q1921" s="2" t="n">
        <v>20</v>
      </c>
      <c r="R1921" s="2" t="n">
        <v>3</v>
      </c>
      <c r="S1921" s="2" t="n">
        <v>19</v>
      </c>
      <c r="T1921" s="2" t="n">
        <v>2</v>
      </c>
      <c r="U1921" s="2" t="n">
        <v>7</v>
      </c>
      <c r="V1921" s="2" t="n">
        <v>3</v>
      </c>
      <c r="W1921" s="2" t="n">
        <v>3</v>
      </c>
      <c r="X1921" s="2" t="n">
        <v>4</v>
      </c>
      <c r="Y1921" s="2" t="n">
        <v>3</v>
      </c>
      <c r="Z1921" s="2" t="n">
        <v>3</v>
      </c>
    </row>
    <row r="1922" customFormat="false" ht="15" hidden="false" customHeight="true" outlineLevel="0" collapsed="false">
      <c r="A1922" s="2" t="n">
        <v>36</v>
      </c>
      <c r="B1922" s="2" t="s">
        <v>26</v>
      </c>
      <c r="C1922" s="2" t="s">
        <v>41</v>
      </c>
      <c r="D1922" s="2" t="s">
        <v>28</v>
      </c>
      <c r="E1922" s="2" t="n">
        <v>28</v>
      </c>
      <c r="F1922" s="2" t="n">
        <v>1</v>
      </c>
      <c r="G1922" s="2" t="s">
        <v>29</v>
      </c>
      <c r="H1922" s="2" t="n">
        <v>1921</v>
      </c>
      <c r="I1922" s="2" t="s">
        <v>39</v>
      </c>
      <c r="J1922" s="2" t="n">
        <v>2</v>
      </c>
      <c r="K1922" s="2" t="s">
        <v>36</v>
      </c>
      <c r="L1922" s="2" t="s">
        <v>46</v>
      </c>
      <c r="M1922" s="2" t="n">
        <v>48980</v>
      </c>
      <c r="N1922" s="2" t="n">
        <v>4</v>
      </c>
      <c r="O1922" s="2" t="n">
        <v>13</v>
      </c>
      <c r="P1922" s="2" t="n">
        <v>1</v>
      </c>
      <c r="Q1922" s="2" t="n">
        <v>12</v>
      </c>
      <c r="R1922" s="2" t="n">
        <v>3</v>
      </c>
      <c r="S1922" s="2" t="n">
        <v>7</v>
      </c>
      <c r="T1922" s="2" t="n">
        <v>0</v>
      </c>
      <c r="U1922" s="2" t="n">
        <v>7</v>
      </c>
      <c r="V1922" s="2" t="n">
        <v>1</v>
      </c>
      <c r="W1922" s="2" t="n">
        <v>4</v>
      </c>
      <c r="X1922" s="2" t="n">
        <v>3</v>
      </c>
      <c r="Y1922" s="2" t="n">
        <v>3</v>
      </c>
      <c r="Z1922" s="2" t="n">
        <v>3</v>
      </c>
    </row>
    <row r="1923" customFormat="false" ht="15" hidden="false" customHeight="true" outlineLevel="0" collapsed="false">
      <c r="A1923" s="2" t="n">
        <v>31</v>
      </c>
      <c r="B1923" s="2" t="s">
        <v>33</v>
      </c>
      <c r="C1923" s="2" t="s">
        <v>41</v>
      </c>
      <c r="D1923" s="2" t="s">
        <v>35</v>
      </c>
      <c r="E1923" s="2" t="n">
        <v>28</v>
      </c>
      <c r="F1923" s="2" t="n">
        <v>4</v>
      </c>
      <c r="G1923" s="2" t="s">
        <v>43</v>
      </c>
      <c r="H1923" s="2" t="n">
        <v>1922</v>
      </c>
      <c r="I1923" s="2" t="s">
        <v>39</v>
      </c>
      <c r="J1923" s="2" t="n">
        <v>2</v>
      </c>
      <c r="K1923" s="2" t="s">
        <v>36</v>
      </c>
      <c r="L1923" s="2" t="s">
        <v>37</v>
      </c>
      <c r="M1923" s="2" t="n">
        <v>25930</v>
      </c>
      <c r="N1923" s="2" t="n">
        <v>0</v>
      </c>
      <c r="O1923" s="2" t="n">
        <v>21</v>
      </c>
      <c r="P1923" s="2" t="n">
        <v>0</v>
      </c>
      <c r="Q1923" s="2" t="n">
        <v>4</v>
      </c>
      <c r="R1923" s="2" t="n">
        <v>2</v>
      </c>
      <c r="S1923" s="2" t="n">
        <v>3</v>
      </c>
      <c r="T1923" s="2" t="n">
        <v>1</v>
      </c>
      <c r="U1923" s="2" t="n">
        <v>2</v>
      </c>
      <c r="V1923" s="2" t="n">
        <v>3</v>
      </c>
      <c r="W1923" s="2" t="n">
        <v>1</v>
      </c>
      <c r="X1923" s="2" t="n">
        <v>3</v>
      </c>
      <c r="Y1923" s="2" t="n">
        <v>3</v>
      </c>
      <c r="Z1923" s="2" t="n">
        <v>4</v>
      </c>
    </row>
    <row r="1924" customFormat="false" ht="15" hidden="false" customHeight="true" outlineLevel="0" collapsed="false">
      <c r="A1924" s="2" t="n">
        <v>33</v>
      </c>
      <c r="B1924" s="2" t="s">
        <v>26</v>
      </c>
      <c r="C1924" s="2" t="s">
        <v>41</v>
      </c>
      <c r="D1924" s="2" t="s">
        <v>28</v>
      </c>
      <c r="E1924" s="2" t="n">
        <v>15</v>
      </c>
      <c r="F1924" s="2" t="n">
        <v>3</v>
      </c>
      <c r="G1924" s="2" t="s">
        <v>38</v>
      </c>
      <c r="H1924" s="2" t="n">
        <v>1923</v>
      </c>
      <c r="I1924" s="2" t="s">
        <v>39</v>
      </c>
      <c r="J1924" s="2" t="n">
        <v>4</v>
      </c>
      <c r="K1924" s="2" t="s">
        <v>44</v>
      </c>
      <c r="L1924" s="2" t="s">
        <v>37</v>
      </c>
      <c r="M1924" s="2" t="n">
        <v>194360</v>
      </c>
      <c r="N1924" s="2" t="n">
        <v>1</v>
      </c>
      <c r="O1924" s="2" t="n">
        <v>19</v>
      </c>
      <c r="P1924" s="2" t="n">
        <v>2</v>
      </c>
      <c r="Q1924" s="2" t="n">
        <v>10</v>
      </c>
      <c r="R1924" s="2" t="n">
        <v>4</v>
      </c>
      <c r="S1924" s="2" t="n">
        <v>10</v>
      </c>
      <c r="T1924" s="2" t="n">
        <v>6</v>
      </c>
      <c r="U1924" s="2" t="n">
        <v>0</v>
      </c>
      <c r="V1924" s="2" t="n">
        <v>4</v>
      </c>
      <c r="W1924" s="2" t="n">
        <v>3</v>
      </c>
      <c r="X1924" s="2" t="n">
        <v>3</v>
      </c>
      <c r="Y1924" s="2" t="n">
        <v>3</v>
      </c>
      <c r="Z1924" s="2" t="n">
        <v>3</v>
      </c>
    </row>
    <row r="1925" customFormat="false" ht="15" hidden="false" customHeight="true" outlineLevel="0" collapsed="false">
      <c r="A1925" s="2" t="n">
        <v>29</v>
      </c>
      <c r="B1925" s="2" t="s">
        <v>33</v>
      </c>
      <c r="C1925" s="2" t="s">
        <v>27</v>
      </c>
      <c r="D1925" s="2" t="s">
        <v>42</v>
      </c>
      <c r="E1925" s="2" t="n">
        <v>3</v>
      </c>
      <c r="F1925" s="2" t="n">
        <v>5</v>
      </c>
      <c r="G1925" s="2" t="s">
        <v>29</v>
      </c>
      <c r="H1925" s="2" t="n">
        <v>1924</v>
      </c>
      <c r="I1925" s="2" t="s">
        <v>39</v>
      </c>
      <c r="J1925" s="2" t="n">
        <v>1</v>
      </c>
      <c r="K1925" s="2" t="s">
        <v>40</v>
      </c>
      <c r="L1925" s="2" t="s">
        <v>37</v>
      </c>
      <c r="M1925" s="2" t="n">
        <v>27230</v>
      </c>
      <c r="N1925" s="2" t="n">
        <v>6</v>
      </c>
      <c r="O1925" s="2" t="n">
        <v>11</v>
      </c>
      <c r="P1925" s="2" t="n">
        <v>1</v>
      </c>
      <c r="Q1925" s="2" t="n">
        <v>3</v>
      </c>
      <c r="R1925" s="2" t="n">
        <v>2</v>
      </c>
      <c r="S1925" s="2" t="n">
        <v>0</v>
      </c>
      <c r="T1925" s="2" t="n">
        <v>0</v>
      </c>
      <c r="U1925" s="2" t="n">
        <v>0</v>
      </c>
      <c r="V1925" s="2" t="n">
        <v>4</v>
      </c>
      <c r="W1925" s="2" t="n">
        <v>1</v>
      </c>
      <c r="X1925" s="2" t="n">
        <v>3</v>
      </c>
      <c r="Y1925" s="2" t="n">
        <v>2</v>
      </c>
      <c r="Z1925" s="2" t="n">
        <v>3</v>
      </c>
    </row>
    <row r="1926" customFormat="false" ht="15" hidden="false" customHeight="true" outlineLevel="0" collapsed="false">
      <c r="A1926" s="2" t="n">
        <v>33</v>
      </c>
      <c r="B1926" s="2" t="s">
        <v>26</v>
      </c>
      <c r="C1926" s="2" t="s">
        <v>27</v>
      </c>
      <c r="D1926" s="2" t="s">
        <v>35</v>
      </c>
      <c r="E1926" s="2" t="n">
        <v>2</v>
      </c>
      <c r="F1926" s="2" t="n">
        <v>2</v>
      </c>
      <c r="G1926" s="2" t="s">
        <v>51</v>
      </c>
      <c r="H1926" s="2" t="n">
        <v>1925</v>
      </c>
      <c r="I1926" s="2" t="s">
        <v>39</v>
      </c>
      <c r="J1926" s="2" t="n">
        <v>2</v>
      </c>
      <c r="K1926" s="2" t="s">
        <v>45</v>
      </c>
      <c r="L1926" s="2" t="s">
        <v>37</v>
      </c>
      <c r="M1926" s="2" t="n">
        <v>34790</v>
      </c>
      <c r="N1926" s="2" t="n">
        <v>3</v>
      </c>
      <c r="O1926" s="2" t="n">
        <v>12</v>
      </c>
      <c r="P1926" s="2" t="n">
        <v>0</v>
      </c>
      <c r="Q1926" s="2" t="n">
        <v>5</v>
      </c>
      <c r="R1926" s="2" t="n">
        <v>3</v>
      </c>
      <c r="S1926" s="2" t="n">
        <v>3</v>
      </c>
      <c r="T1926" s="2" t="n">
        <v>0</v>
      </c>
      <c r="U1926" s="2" t="n">
        <v>2</v>
      </c>
      <c r="V1926" s="2" t="n">
        <v>2</v>
      </c>
      <c r="W1926" s="2" t="n">
        <v>4</v>
      </c>
      <c r="X1926" s="2" t="n">
        <v>3</v>
      </c>
      <c r="Y1926" s="2" t="n">
        <v>3</v>
      </c>
      <c r="Z1926" s="2" t="n">
        <v>3</v>
      </c>
    </row>
    <row r="1927" customFormat="false" ht="15" hidden="false" customHeight="true" outlineLevel="0" collapsed="false">
      <c r="A1927" s="2" t="n">
        <v>45</v>
      </c>
      <c r="B1927" s="2" t="s">
        <v>26</v>
      </c>
      <c r="C1927" s="2" t="s">
        <v>27</v>
      </c>
      <c r="D1927" s="2" t="s">
        <v>35</v>
      </c>
      <c r="E1927" s="2" t="n">
        <v>26</v>
      </c>
      <c r="F1927" s="2" t="n">
        <v>1</v>
      </c>
      <c r="G1927" s="2" t="s">
        <v>43</v>
      </c>
      <c r="H1927" s="2" t="n">
        <v>1926</v>
      </c>
      <c r="I1927" s="2" t="s">
        <v>30</v>
      </c>
      <c r="J1927" s="2" t="n">
        <v>3</v>
      </c>
      <c r="K1927" s="2" t="s">
        <v>31</v>
      </c>
      <c r="L1927" s="2" t="s">
        <v>46</v>
      </c>
      <c r="M1927" s="2" t="n">
        <v>27940</v>
      </c>
      <c r="N1927" s="2" t="n">
        <v>3</v>
      </c>
      <c r="O1927" s="2" t="n">
        <v>19</v>
      </c>
      <c r="P1927" s="2" t="n">
        <v>1</v>
      </c>
      <c r="Q1927" s="2" t="n">
        <v>8</v>
      </c>
      <c r="R1927" s="2" t="n">
        <v>2</v>
      </c>
      <c r="S1927" s="2" t="n">
        <v>5</v>
      </c>
      <c r="T1927" s="2" t="n">
        <v>0</v>
      </c>
      <c r="U1927" s="2" t="n">
        <v>2</v>
      </c>
      <c r="V1927" s="2" t="n">
        <v>4</v>
      </c>
      <c r="W1927" s="2" t="n">
        <v>4</v>
      </c>
      <c r="X1927" s="2" t="n">
        <v>3</v>
      </c>
      <c r="Y1927" s="2" t="n">
        <v>3</v>
      </c>
      <c r="Z1927" s="2" t="n">
        <v>3</v>
      </c>
    </row>
    <row r="1928" customFormat="false" ht="15" hidden="false" customHeight="true" outlineLevel="0" collapsed="false">
      <c r="A1928" s="2" t="n">
        <v>50</v>
      </c>
      <c r="B1928" s="2" t="s">
        <v>26</v>
      </c>
      <c r="C1928" s="2" t="s">
        <v>27</v>
      </c>
      <c r="D1928" s="2" t="s">
        <v>28</v>
      </c>
      <c r="E1928" s="2" t="n">
        <v>10</v>
      </c>
      <c r="F1928" s="2" t="n">
        <v>1</v>
      </c>
      <c r="G1928" s="2" t="s">
        <v>29</v>
      </c>
      <c r="H1928" s="2" t="n">
        <v>1927</v>
      </c>
      <c r="I1928" s="2" t="s">
        <v>30</v>
      </c>
      <c r="J1928" s="2" t="n">
        <v>1</v>
      </c>
      <c r="K1928" s="2" t="s">
        <v>47</v>
      </c>
      <c r="L1928" s="2" t="s">
        <v>46</v>
      </c>
      <c r="M1928" s="2" t="n">
        <v>52490</v>
      </c>
      <c r="N1928" s="2" t="n">
        <v>9</v>
      </c>
      <c r="O1928" s="2" t="n">
        <v>21</v>
      </c>
      <c r="P1928" s="2" t="n">
        <v>2</v>
      </c>
      <c r="Q1928" s="2" t="n">
        <v>32</v>
      </c>
      <c r="R1928" s="2" t="n">
        <v>2</v>
      </c>
      <c r="S1928" s="2" t="n">
        <v>5</v>
      </c>
      <c r="T1928" s="2" t="n">
        <v>1</v>
      </c>
      <c r="U1928" s="2" t="n">
        <v>3</v>
      </c>
      <c r="V1928" s="2" t="n">
        <v>4</v>
      </c>
      <c r="W1928" s="2" t="n">
        <v>4</v>
      </c>
      <c r="X1928" s="2" t="n">
        <v>2</v>
      </c>
      <c r="Y1928" s="2" t="n">
        <v>2</v>
      </c>
      <c r="Z1928" s="2" t="n">
        <v>4</v>
      </c>
    </row>
    <row r="1929" customFormat="false" ht="15" hidden="false" customHeight="true" outlineLevel="0" collapsed="false">
      <c r="A1929" s="2" t="n">
        <v>33</v>
      </c>
      <c r="B1929" s="2" t="s">
        <v>26</v>
      </c>
      <c r="C1929" s="2" t="s">
        <v>34</v>
      </c>
      <c r="D1929" s="2" t="s">
        <v>28</v>
      </c>
      <c r="E1929" s="2" t="n">
        <v>1</v>
      </c>
      <c r="F1929" s="2" t="n">
        <v>3</v>
      </c>
      <c r="G1929" s="2" t="s">
        <v>50</v>
      </c>
      <c r="H1929" s="2" t="n">
        <v>1928</v>
      </c>
      <c r="I1929" s="2" t="s">
        <v>39</v>
      </c>
      <c r="J1929" s="2" t="n">
        <v>2</v>
      </c>
      <c r="K1929" s="2" t="s">
        <v>42</v>
      </c>
      <c r="L1929" s="2" t="s">
        <v>32</v>
      </c>
      <c r="M1929" s="2" t="n">
        <v>21760</v>
      </c>
      <c r="N1929" s="2" t="n">
        <v>1</v>
      </c>
      <c r="O1929" s="2" t="n">
        <v>14</v>
      </c>
      <c r="P1929" s="2" t="n">
        <v>1</v>
      </c>
      <c r="Q1929" s="2" t="n">
        <v>6</v>
      </c>
      <c r="R1929" s="2" t="n">
        <v>2</v>
      </c>
      <c r="S1929" s="2" t="n">
        <v>6</v>
      </c>
      <c r="T1929" s="2" t="n">
        <v>1</v>
      </c>
      <c r="U1929" s="2" t="n">
        <v>2</v>
      </c>
      <c r="V1929" s="2" t="n">
        <v>3</v>
      </c>
      <c r="W1929" s="2" t="n">
        <v>2</v>
      </c>
      <c r="X1929" s="2" t="n">
        <v>3</v>
      </c>
      <c r="Y1929" s="2" t="n">
        <v>2</v>
      </c>
      <c r="Z1929" s="2" t="n">
        <v>3</v>
      </c>
    </row>
    <row r="1930" customFormat="false" ht="15" hidden="false" customHeight="true" outlineLevel="0" collapsed="false">
      <c r="A1930" s="2" t="n">
        <v>41</v>
      </c>
      <c r="B1930" s="2" t="s">
        <v>26</v>
      </c>
      <c r="C1930" s="2" t="s">
        <v>34</v>
      </c>
      <c r="D1930" s="2" t="s">
        <v>28</v>
      </c>
      <c r="E1930" s="2" t="n">
        <v>11</v>
      </c>
      <c r="F1930" s="2" t="n">
        <v>3</v>
      </c>
      <c r="G1930" s="2" t="s">
        <v>38</v>
      </c>
      <c r="H1930" s="2" t="n">
        <v>1929</v>
      </c>
      <c r="I1930" s="2" t="s">
        <v>39</v>
      </c>
      <c r="J1930" s="2" t="n">
        <v>1</v>
      </c>
      <c r="K1930" s="2" t="s">
        <v>45</v>
      </c>
      <c r="L1930" s="2" t="s">
        <v>46</v>
      </c>
      <c r="M1930" s="2" t="n">
        <v>168720</v>
      </c>
      <c r="N1930" s="2" t="n">
        <v>2</v>
      </c>
      <c r="O1930" s="2" t="n">
        <v>15</v>
      </c>
      <c r="P1930" s="2" t="n">
        <v>1</v>
      </c>
      <c r="Q1930" s="2" t="n">
        <v>21</v>
      </c>
      <c r="R1930" s="2" t="n">
        <v>2</v>
      </c>
      <c r="S1930" s="2" t="n">
        <v>18</v>
      </c>
      <c r="T1930" s="2" t="n">
        <v>0</v>
      </c>
      <c r="U1930" s="2" t="n">
        <v>11</v>
      </c>
      <c r="V1930" s="2" t="n">
        <v>1</v>
      </c>
      <c r="W1930" s="2" t="n">
        <v>3</v>
      </c>
      <c r="X1930" s="2" t="n">
        <v>4</v>
      </c>
      <c r="Y1930" s="2" t="n">
        <v>3</v>
      </c>
      <c r="Z1930" s="2" t="n">
        <v>3</v>
      </c>
    </row>
    <row r="1931" customFormat="false" ht="15" hidden="false" customHeight="true" outlineLevel="0" collapsed="false">
      <c r="A1931" s="2" t="n">
        <v>27</v>
      </c>
      <c r="B1931" s="2" t="s">
        <v>26</v>
      </c>
      <c r="C1931" s="2" t="s">
        <v>27</v>
      </c>
      <c r="D1931" s="2" t="s">
        <v>35</v>
      </c>
      <c r="E1931" s="2" t="n">
        <v>20</v>
      </c>
      <c r="F1931" s="2" t="n">
        <v>4</v>
      </c>
      <c r="G1931" s="2" t="s">
        <v>38</v>
      </c>
      <c r="H1931" s="2" t="n">
        <v>1930</v>
      </c>
      <c r="I1931" s="2" t="s">
        <v>39</v>
      </c>
      <c r="J1931" s="2" t="n">
        <v>2</v>
      </c>
      <c r="K1931" s="2" t="s">
        <v>47</v>
      </c>
      <c r="L1931" s="2" t="s">
        <v>32</v>
      </c>
      <c r="M1931" s="2" t="n">
        <v>34850</v>
      </c>
      <c r="N1931" s="2" t="n">
        <v>9</v>
      </c>
      <c r="O1931" s="2" t="n">
        <v>17</v>
      </c>
      <c r="P1931" s="2" t="n">
        <v>2</v>
      </c>
      <c r="Q1931" s="2" t="n">
        <v>4</v>
      </c>
      <c r="R1931" s="2" t="n">
        <v>2</v>
      </c>
      <c r="S1931" s="2" t="n">
        <v>2</v>
      </c>
      <c r="T1931" s="2" t="n">
        <v>2</v>
      </c>
      <c r="U1931" s="2" t="n">
        <v>2</v>
      </c>
      <c r="V1931" s="2" t="n">
        <v>3</v>
      </c>
      <c r="W1931" s="2" t="n">
        <v>2</v>
      </c>
      <c r="X1931" s="2" t="n">
        <v>3</v>
      </c>
      <c r="Y1931" s="2" t="n">
        <v>3</v>
      </c>
      <c r="Z1931" s="2" t="n">
        <v>3</v>
      </c>
    </row>
    <row r="1932" customFormat="false" ht="15" hidden="false" customHeight="true" outlineLevel="0" collapsed="false">
      <c r="A1932" s="2" t="n">
        <v>45</v>
      </c>
      <c r="B1932" s="2" t="s">
        <v>26</v>
      </c>
      <c r="C1932" s="2" t="s">
        <v>41</v>
      </c>
      <c r="D1932" s="2" t="s">
        <v>28</v>
      </c>
      <c r="E1932" s="2" t="n">
        <v>2</v>
      </c>
      <c r="F1932" s="2" t="n">
        <v>3</v>
      </c>
      <c r="G1932" s="2" t="s">
        <v>43</v>
      </c>
      <c r="H1932" s="2" t="n">
        <v>1931</v>
      </c>
      <c r="I1932" s="2" t="s">
        <v>30</v>
      </c>
      <c r="J1932" s="2" t="n">
        <v>1</v>
      </c>
      <c r="K1932" s="2" t="s">
        <v>40</v>
      </c>
      <c r="L1932" s="2" t="s">
        <v>32</v>
      </c>
      <c r="M1932" s="2" t="n">
        <v>66440</v>
      </c>
      <c r="N1932" s="2" t="n">
        <v>1</v>
      </c>
      <c r="O1932" s="2" t="n">
        <v>12</v>
      </c>
      <c r="P1932" s="2" t="n">
        <v>0</v>
      </c>
      <c r="Q1932" s="2" t="n">
        <v>9</v>
      </c>
      <c r="R1932" s="2" t="n">
        <v>3</v>
      </c>
      <c r="S1932" s="2" t="n">
        <v>9</v>
      </c>
      <c r="T1932" s="2" t="n">
        <v>0</v>
      </c>
      <c r="U1932" s="2" t="n">
        <v>8</v>
      </c>
      <c r="V1932" s="2" t="n">
        <v>4</v>
      </c>
      <c r="W1932" s="2" t="n">
        <v>1</v>
      </c>
      <c r="X1932" s="2" t="n">
        <v>3</v>
      </c>
      <c r="Y1932" s="2" t="n">
        <v>4</v>
      </c>
      <c r="Z1932" s="2" t="n">
        <v>3</v>
      </c>
    </row>
    <row r="1933" customFormat="false" ht="15" hidden="false" customHeight="true" outlineLevel="0" collapsed="false">
      <c r="A1933" s="2" t="n">
        <v>47</v>
      </c>
      <c r="B1933" s="2" t="s">
        <v>26</v>
      </c>
      <c r="C1933" s="2" t="s">
        <v>27</v>
      </c>
      <c r="D1933" s="2" t="s">
        <v>28</v>
      </c>
      <c r="E1933" s="2" t="n">
        <v>18</v>
      </c>
      <c r="F1933" s="2" t="n">
        <v>4</v>
      </c>
      <c r="G1933" s="2" t="s">
        <v>43</v>
      </c>
      <c r="H1933" s="2" t="n">
        <v>1932</v>
      </c>
      <c r="I1933" s="2" t="s">
        <v>30</v>
      </c>
      <c r="J1933" s="2" t="n">
        <v>2</v>
      </c>
      <c r="K1933" s="2" t="s">
        <v>36</v>
      </c>
      <c r="L1933" s="2" t="s">
        <v>37</v>
      </c>
      <c r="M1933" s="2" t="n">
        <v>55820</v>
      </c>
      <c r="N1933" s="2" t="n">
        <v>1</v>
      </c>
      <c r="O1933" s="2" t="n">
        <v>16</v>
      </c>
      <c r="P1933" s="2" t="n">
        <v>0</v>
      </c>
      <c r="Q1933" s="2" t="n">
        <v>9</v>
      </c>
      <c r="R1933" s="2" t="n">
        <v>3</v>
      </c>
      <c r="S1933" s="2" t="n">
        <v>9</v>
      </c>
      <c r="T1933" s="2" t="n">
        <v>0</v>
      </c>
      <c r="U1933" s="2" t="n">
        <v>7</v>
      </c>
      <c r="V1933" s="2" t="n">
        <v>4</v>
      </c>
      <c r="W1933" s="2" t="n">
        <v>4</v>
      </c>
      <c r="X1933" s="2" t="n">
        <v>3</v>
      </c>
      <c r="Y1933" s="2" t="n">
        <v>3</v>
      </c>
      <c r="Z1933" s="2" t="n">
        <v>3</v>
      </c>
    </row>
    <row r="1934" customFormat="false" ht="15" hidden="false" customHeight="true" outlineLevel="0" collapsed="false">
      <c r="A1934" s="2" t="n">
        <v>30</v>
      </c>
      <c r="B1934" s="2" t="s">
        <v>33</v>
      </c>
      <c r="C1934" s="2" t="s">
        <v>27</v>
      </c>
      <c r="D1934" s="2" t="s">
        <v>28</v>
      </c>
      <c r="E1934" s="2" t="n">
        <v>2</v>
      </c>
      <c r="F1934" s="2" t="n">
        <v>3</v>
      </c>
      <c r="G1934" s="2" t="s">
        <v>29</v>
      </c>
      <c r="H1934" s="2" t="n">
        <v>1933</v>
      </c>
      <c r="I1934" s="2" t="s">
        <v>39</v>
      </c>
      <c r="J1934" s="2" t="n">
        <v>2</v>
      </c>
      <c r="K1934" s="2" t="s">
        <v>31</v>
      </c>
      <c r="L1934" s="2" t="s">
        <v>32</v>
      </c>
      <c r="M1934" s="2" t="n">
        <v>40000</v>
      </c>
      <c r="N1934" s="2" t="n">
        <v>4</v>
      </c>
      <c r="O1934" s="2" t="n">
        <v>12</v>
      </c>
      <c r="P1934" s="2" t="n">
        <v>0</v>
      </c>
      <c r="Q1934" s="2" t="n">
        <v>7</v>
      </c>
      <c r="R1934" s="2" t="n">
        <v>5</v>
      </c>
      <c r="S1934" s="2" t="n">
        <v>5</v>
      </c>
      <c r="T1934" s="2" t="n">
        <v>0</v>
      </c>
      <c r="U1934" s="2" t="n">
        <v>1</v>
      </c>
      <c r="V1934" s="2" t="n">
        <v>1</v>
      </c>
      <c r="W1934" s="2" t="n">
        <v>3</v>
      </c>
      <c r="X1934" s="2" t="n">
        <v>3</v>
      </c>
      <c r="Y1934" s="2" t="n">
        <v>2</v>
      </c>
      <c r="Z1934" s="2" t="n">
        <v>3</v>
      </c>
    </row>
    <row r="1935" customFormat="false" ht="15" hidden="false" customHeight="true" outlineLevel="0" collapsed="false">
      <c r="A1935" s="2" t="n">
        <v>50</v>
      </c>
      <c r="B1935" s="2" t="s">
        <v>26</v>
      </c>
      <c r="C1935" s="2" t="s">
        <v>27</v>
      </c>
      <c r="D1935" s="2" t="s">
        <v>35</v>
      </c>
      <c r="E1935" s="2" t="n">
        <v>1</v>
      </c>
      <c r="F1935" s="2" t="n">
        <v>3</v>
      </c>
      <c r="G1935" s="2" t="s">
        <v>51</v>
      </c>
      <c r="H1935" s="2" t="n">
        <v>1934</v>
      </c>
      <c r="I1935" s="2" t="s">
        <v>30</v>
      </c>
      <c r="J1935" s="2" t="n">
        <v>2</v>
      </c>
      <c r="K1935" s="2" t="s">
        <v>40</v>
      </c>
      <c r="L1935" s="2" t="s">
        <v>32</v>
      </c>
      <c r="M1935" s="2" t="n">
        <v>134960</v>
      </c>
      <c r="N1935" s="2" t="n">
        <v>3</v>
      </c>
      <c r="O1935" s="2" t="n">
        <v>18</v>
      </c>
      <c r="P1935" s="2" t="n">
        <v>1</v>
      </c>
      <c r="Q1935" s="2" t="n">
        <v>22</v>
      </c>
      <c r="R1935" s="2" t="n">
        <v>3</v>
      </c>
      <c r="S1935" s="2" t="n">
        <v>12</v>
      </c>
      <c r="T1935" s="2" t="n">
        <v>1</v>
      </c>
      <c r="U1935" s="2" t="n">
        <v>5</v>
      </c>
      <c r="V1935" s="2" t="n">
        <v>4</v>
      </c>
      <c r="W1935" s="2" t="n">
        <v>3</v>
      </c>
      <c r="X1935" s="2" t="n">
        <v>3</v>
      </c>
      <c r="Y1935" s="2" t="n">
        <v>3</v>
      </c>
      <c r="Z1935" s="2" t="n">
        <v>3</v>
      </c>
    </row>
    <row r="1936" customFormat="false" ht="15" hidden="false" customHeight="true" outlineLevel="0" collapsed="false">
      <c r="A1936" s="2" t="n">
        <v>38</v>
      </c>
      <c r="B1936" s="2" t="s">
        <v>26</v>
      </c>
      <c r="C1936" s="2" t="s">
        <v>34</v>
      </c>
      <c r="D1936" s="2" t="s">
        <v>35</v>
      </c>
      <c r="E1936" s="2" t="n">
        <v>13</v>
      </c>
      <c r="F1936" s="2" t="n">
        <v>3</v>
      </c>
      <c r="G1936" s="2" t="s">
        <v>51</v>
      </c>
      <c r="H1936" s="2" t="n">
        <v>1935</v>
      </c>
      <c r="I1936" s="2" t="s">
        <v>39</v>
      </c>
      <c r="J1936" s="2" t="n">
        <v>1</v>
      </c>
      <c r="K1936" s="2" t="s">
        <v>47</v>
      </c>
      <c r="L1936" s="2" t="s">
        <v>32</v>
      </c>
      <c r="M1936" s="2" t="n">
        <v>32100</v>
      </c>
      <c r="N1936" s="2" t="n">
        <v>0</v>
      </c>
      <c r="O1936" s="2" t="n">
        <v>17</v>
      </c>
      <c r="P1936" s="2" t="n">
        <v>2</v>
      </c>
      <c r="Q1936" s="2" t="n">
        <v>3</v>
      </c>
      <c r="R1936" s="2" t="n">
        <v>5</v>
      </c>
      <c r="S1936" s="2" t="n">
        <v>2</v>
      </c>
      <c r="T1936" s="2" t="n">
        <v>0</v>
      </c>
      <c r="U1936" s="2" t="n">
        <v>2</v>
      </c>
      <c r="V1936" s="2" t="n">
        <v>3</v>
      </c>
      <c r="W1936" s="2" t="n">
        <v>3</v>
      </c>
      <c r="X1936" s="2" t="n">
        <v>2</v>
      </c>
      <c r="Y1936" s="2" t="n">
        <v>2</v>
      </c>
      <c r="Z1936" s="2" t="n">
        <v>3</v>
      </c>
    </row>
    <row r="1937" customFormat="false" ht="15" hidden="false" customHeight="true" outlineLevel="0" collapsed="false">
      <c r="A1937" s="2" t="n">
        <v>46</v>
      </c>
      <c r="B1937" s="2" t="s">
        <v>26</v>
      </c>
      <c r="C1937" s="2" t="s">
        <v>27</v>
      </c>
      <c r="D1937" s="2" t="s">
        <v>35</v>
      </c>
      <c r="E1937" s="2" t="n">
        <v>28</v>
      </c>
      <c r="F1937" s="2" t="n">
        <v>3</v>
      </c>
      <c r="G1937" s="2" t="s">
        <v>43</v>
      </c>
      <c r="H1937" s="2" t="n">
        <v>1936</v>
      </c>
      <c r="I1937" s="2" t="s">
        <v>30</v>
      </c>
      <c r="J1937" s="2" t="n">
        <v>3</v>
      </c>
      <c r="K1937" s="2" t="s">
        <v>42</v>
      </c>
      <c r="L1937" s="2" t="s">
        <v>46</v>
      </c>
      <c r="M1937" s="2" t="n">
        <v>190450</v>
      </c>
      <c r="N1937" s="2" t="n">
        <v>6</v>
      </c>
      <c r="O1937" s="2" t="n">
        <v>11</v>
      </c>
      <c r="P1937" s="2" t="n">
        <v>3</v>
      </c>
      <c r="Q1937" s="2" t="n">
        <v>13</v>
      </c>
      <c r="R1937" s="2" t="n">
        <v>2</v>
      </c>
      <c r="S1937" s="2" t="n">
        <v>8</v>
      </c>
      <c r="T1937" s="2" t="n">
        <v>0</v>
      </c>
      <c r="U1937" s="2" t="n">
        <v>7</v>
      </c>
      <c r="V1937" s="2" t="n">
        <v>4</v>
      </c>
      <c r="W1937" s="2" t="n">
        <v>3</v>
      </c>
      <c r="X1937" s="2" t="n">
        <v>3</v>
      </c>
      <c r="Y1937" s="2" t="n">
        <v>3</v>
      </c>
      <c r="Z1937" s="2" t="n">
        <v>3</v>
      </c>
    </row>
    <row r="1938" customFormat="false" ht="15" hidden="false" customHeight="true" outlineLevel="0" collapsed="false">
      <c r="A1938" s="2" t="n">
        <v>24</v>
      </c>
      <c r="B1938" s="2" t="s">
        <v>26</v>
      </c>
      <c r="C1938" s="2" t="s">
        <v>27</v>
      </c>
      <c r="D1938" s="2" t="s">
        <v>28</v>
      </c>
      <c r="E1938" s="2" t="n">
        <v>28</v>
      </c>
      <c r="F1938" s="2" t="n">
        <v>3</v>
      </c>
      <c r="G1938" s="2" t="s">
        <v>29</v>
      </c>
      <c r="H1938" s="2" t="n">
        <v>1937</v>
      </c>
      <c r="I1938" s="2" t="s">
        <v>30</v>
      </c>
      <c r="J1938" s="2" t="n">
        <v>1</v>
      </c>
      <c r="K1938" s="2" t="s">
        <v>31</v>
      </c>
      <c r="L1938" s="2" t="s">
        <v>46</v>
      </c>
      <c r="M1938" s="2" t="n">
        <v>118490</v>
      </c>
      <c r="N1938" s="2" t="n">
        <v>1</v>
      </c>
      <c r="O1938" s="2" t="n">
        <v>16</v>
      </c>
      <c r="P1938" s="2" t="n">
        <v>1</v>
      </c>
      <c r="Q1938" s="2" t="n">
        <v>5</v>
      </c>
      <c r="R1938" s="2" t="n">
        <v>3</v>
      </c>
      <c r="S1938" s="2" t="n">
        <v>4</v>
      </c>
      <c r="T1938" s="2" t="n">
        <v>3</v>
      </c>
      <c r="U1938" s="2" t="n">
        <v>2</v>
      </c>
      <c r="V1938" s="2" t="n">
        <v>4</v>
      </c>
      <c r="W1938" s="2" t="n">
        <v>3</v>
      </c>
      <c r="X1938" s="2" t="n">
        <v>3</v>
      </c>
      <c r="Y1938" s="2" t="n">
        <v>3</v>
      </c>
      <c r="Z1938" s="2" t="n">
        <v>3</v>
      </c>
    </row>
    <row r="1939" customFormat="false" ht="15" hidden="false" customHeight="true" outlineLevel="0" collapsed="false">
      <c r="A1939" s="2" t="n">
        <v>35</v>
      </c>
      <c r="B1939" s="2" t="s">
        <v>33</v>
      </c>
      <c r="C1939" s="2" t="s">
        <v>27</v>
      </c>
      <c r="D1939" s="2" t="s">
        <v>28</v>
      </c>
      <c r="E1939" s="2" t="n">
        <v>24</v>
      </c>
      <c r="F1939" s="2" t="n">
        <v>3</v>
      </c>
      <c r="G1939" s="2" t="s">
        <v>43</v>
      </c>
      <c r="H1939" s="2" t="n">
        <v>1938</v>
      </c>
      <c r="I1939" s="2" t="s">
        <v>39</v>
      </c>
      <c r="J1939" s="2" t="n">
        <v>3</v>
      </c>
      <c r="K1939" s="2" t="s">
        <v>31</v>
      </c>
      <c r="L1939" s="2" t="s">
        <v>46</v>
      </c>
      <c r="M1939" s="2" t="n">
        <v>20700</v>
      </c>
      <c r="N1939" s="2" t="n">
        <v>1</v>
      </c>
      <c r="O1939" s="2" t="n">
        <v>13</v>
      </c>
      <c r="P1939" s="2" t="n">
        <v>3</v>
      </c>
      <c r="Q1939" s="2" t="n">
        <v>5</v>
      </c>
      <c r="R1939" s="2" t="n">
        <v>1</v>
      </c>
      <c r="S1939" s="2" t="n">
        <v>4</v>
      </c>
      <c r="T1939" s="2" t="n">
        <v>0</v>
      </c>
      <c r="U1939" s="2" t="n">
        <v>2</v>
      </c>
      <c r="V1939" s="2" t="n">
        <v>3</v>
      </c>
      <c r="W1939" s="2" t="n">
        <v>2</v>
      </c>
      <c r="X1939" s="2" t="n">
        <v>1</v>
      </c>
      <c r="Y1939" s="2" t="n">
        <v>2</v>
      </c>
      <c r="Z1939" s="2" t="n">
        <v>3</v>
      </c>
    </row>
    <row r="1940" customFormat="false" ht="15" hidden="false" customHeight="true" outlineLevel="0" collapsed="false">
      <c r="A1940" s="2" t="n">
        <v>31</v>
      </c>
      <c r="B1940" s="2" t="s">
        <v>26</v>
      </c>
      <c r="C1940" s="2" t="s">
        <v>34</v>
      </c>
      <c r="D1940" s="2" t="s">
        <v>35</v>
      </c>
      <c r="E1940" s="2" t="n">
        <v>5</v>
      </c>
      <c r="F1940" s="2" t="n">
        <v>2</v>
      </c>
      <c r="G1940" s="2" t="s">
        <v>51</v>
      </c>
      <c r="H1940" s="2" t="n">
        <v>1939</v>
      </c>
      <c r="I1940" s="2" t="s">
        <v>39</v>
      </c>
      <c r="J1940" s="2" t="n">
        <v>2</v>
      </c>
      <c r="K1940" s="2" t="s">
        <v>40</v>
      </c>
      <c r="L1940" s="2" t="s">
        <v>32</v>
      </c>
      <c r="M1940" s="2" t="n">
        <v>65020</v>
      </c>
      <c r="N1940" s="2" t="n">
        <v>1</v>
      </c>
      <c r="O1940" s="2" t="n">
        <v>12</v>
      </c>
      <c r="P1940" s="2" t="n">
        <v>0</v>
      </c>
      <c r="Q1940" s="2" t="n">
        <v>4</v>
      </c>
      <c r="R1940" s="2" t="n">
        <v>3</v>
      </c>
      <c r="S1940" s="2" t="n">
        <v>4</v>
      </c>
      <c r="T1940" s="2" t="n">
        <v>0</v>
      </c>
      <c r="U1940" s="2" t="n">
        <v>3</v>
      </c>
      <c r="V1940" s="2" t="n">
        <v>3</v>
      </c>
      <c r="W1940" s="2" t="n">
        <v>1</v>
      </c>
      <c r="X1940" s="2" t="n">
        <v>3</v>
      </c>
      <c r="Y1940" s="2" t="n">
        <v>3</v>
      </c>
      <c r="Z1940" s="2" t="n">
        <v>3</v>
      </c>
    </row>
    <row r="1941" customFormat="false" ht="15" hidden="false" customHeight="true" outlineLevel="0" collapsed="false">
      <c r="A1941" s="2" t="n">
        <v>18</v>
      </c>
      <c r="B1941" s="2" t="s">
        <v>26</v>
      </c>
      <c r="C1941" s="2" t="s">
        <v>41</v>
      </c>
      <c r="D1941" s="2" t="s">
        <v>28</v>
      </c>
      <c r="E1941" s="2" t="n">
        <v>5</v>
      </c>
      <c r="F1941" s="2" t="n">
        <v>4</v>
      </c>
      <c r="G1941" s="2" t="s">
        <v>38</v>
      </c>
      <c r="H1941" s="2" t="n">
        <v>1940</v>
      </c>
      <c r="I1941" s="2" t="s">
        <v>39</v>
      </c>
      <c r="J1941" s="2" t="n">
        <v>2</v>
      </c>
      <c r="K1941" s="2" t="s">
        <v>49</v>
      </c>
      <c r="L1941" s="2" t="s">
        <v>37</v>
      </c>
      <c r="M1941" s="2" t="n">
        <v>32300</v>
      </c>
      <c r="N1941" s="2" t="n">
        <v>1</v>
      </c>
      <c r="O1941" s="2" t="n">
        <v>12</v>
      </c>
      <c r="P1941" s="2" t="n">
        <v>1</v>
      </c>
      <c r="Q1941" s="2" t="n">
        <v>0</v>
      </c>
      <c r="R1941" s="2" t="n">
        <v>3</v>
      </c>
      <c r="S1941" s="2" t="n">
        <v>0</v>
      </c>
      <c r="T1941" s="2" t="n">
        <v>0</v>
      </c>
      <c r="U1941" s="2" t="n">
        <v>0</v>
      </c>
      <c r="V1941" s="2" t="n">
        <v>2</v>
      </c>
      <c r="W1941" s="2" t="n">
        <v>4</v>
      </c>
      <c r="X1941" s="2" t="n">
        <v>3</v>
      </c>
      <c r="Y1941" s="2" t="n">
        <v>3</v>
      </c>
      <c r="Z1941" s="2" t="n">
        <v>3</v>
      </c>
    </row>
    <row r="1942" customFormat="false" ht="15" hidden="false" customHeight="true" outlineLevel="0" collapsed="false">
      <c r="A1942" s="2" t="n">
        <v>54</v>
      </c>
      <c r="B1942" s="2" t="s">
        <v>26</v>
      </c>
      <c r="C1942" s="2" t="s">
        <v>27</v>
      </c>
      <c r="D1942" s="2" t="s">
        <v>28</v>
      </c>
      <c r="E1942" s="2" t="n">
        <v>23</v>
      </c>
      <c r="F1942" s="2" t="n">
        <v>3</v>
      </c>
      <c r="G1942" s="2" t="s">
        <v>43</v>
      </c>
      <c r="H1942" s="2" t="n">
        <v>1941</v>
      </c>
      <c r="I1942" s="2" t="s">
        <v>30</v>
      </c>
      <c r="J1942" s="2" t="n">
        <v>1</v>
      </c>
      <c r="K1942" s="2" t="s">
        <v>45</v>
      </c>
      <c r="L1942" s="2" t="s">
        <v>32</v>
      </c>
      <c r="M1942" s="2" t="n">
        <v>136030</v>
      </c>
      <c r="N1942" s="2" t="n">
        <v>8</v>
      </c>
      <c r="O1942" s="2" t="n">
        <v>13</v>
      </c>
      <c r="P1942" s="2" t="n">
        <v>1</v>
      </c>
      <c r="Q1942" s="2" t="n">
        <v>22</v>
      </c>
      <c r="R1942" s="2" t="n">
        <v>2</v>
      </c>
      <c r="S1942" s="2" t="n">
        <v>10</v>
      </c>
      <c r="T1942" s="2" t="n">
        <v>0</v>
      </c>
      <c r="U1942" s="2" t="n">
        <v>8</v>
      </c>
      <c r="V1942" s="2" t="n">
        <v>3</v>
      </c>
      <c r="W1942" s="2" t="n">
        <v>3</v>
      </c>
      <c r="X1942" s="2" t="n">
        <v>3</v>
      </c>
      <c r="Y1942" s="2" t="n">
        <v>3</v>
      </c>
      <c r="Z1942" s="2" t="n">
        <v>3</v>
      </c>
    </row>
    <row r="1943" customFormat="false" ht="15" hidden="false" customHeight="true" outlineLevel="0" collapsed="false">
      <c r="A1943" s="2" t="n">
        <v>35</v>
      </c>
      <c r="B1943" s="2" t="s">
        <v>26</v>
      </c>
      <c r="C1943" s="2" t="s">
        <v>27</v>
      </c>
      <c r="D1943" s="2" t="s">
        <v>35</v>
      </c>
      <c r="E1943" s="2" t="n">
        <v>6</v>
      </c>
      <c r="F1943" s="2" t="n">
        <v>4</v>
      </c>
      <c r="G1943" s="2" t="s">
        <v>43</v>
      </c>
      <c r="H1943" s="2" t="n">
        <v>1942</v>
      </c>
      <c r="I1943" s="2" t="s">
        <v>30</v>
      </c>
      <c r="J1943" s="2" t="n">
        <v>1</v>
      </c>
      <c r="K1943" s="2" t="s">
        <v>47</v>
      </c>
      <c r="L1943" s="2" t="s">
        <v>46</v>
      </c>
      <c r="M1943" s="2" t="n">
        <v>119960</v>
      </c>
      <c r="N1943" s="2" t="n">
        <v>1</v>
      </c>
      <c r="O1943" s="2" t="n">
        <v>19</v>
      </c>
      <c r="P1943" s="2" t="n">
        <v>2</v>
      </c>
      <c r="Q1943" s="2" t="n">
        <v>16</v>
      </c>
      <c r="R1943" s="2" t="n">
        <v>3</v>
      </c>
      <c r="S1943" s="2" t="n">
        <v>16</v>
      </c>
      <c r="T1943" s="2" t="n">
        <v>10</v>
      </c>
      <c r="U1943" s="2" t="n">
        <v>1</v>
      </c>
      <c r="V1943" s="2" t="n">
        <v>3</v>
      </c>
      <c r="W1943" s="2" t="n">
        <v>3</v>
      </c>
      <c r="X1943" s="2" t="n">
        <v>2</v>
      </c>
      <c r="Y1943" s="2" t="n">
        <v>3</v>
      </c>
      <c r="Z1943" s="2" t="n">
        <v>3</v>
      </c>
    </row>
    <row r="1944" customFormat="false" ht="15" hidden="false" customHeight="true" outlineLevel="0" collapsed="false">
      <c r="A1944" s="2" t="n">
        <v>30</v>
      </c>
      <c r="B1944" s="2" t="s">
        <v>26</v>
      </c>
      <c r="C1944" s="2" t="s">
        <v>27</v>
      </c>
      <c r="D1944" s="2" t="s">
        <v>35</v>
      </c>
      <c r="E1944" s="2" t="n">
        <v>4</v>
      </c>
      <c r="F1944" s="2" t="n">
        <v>3</v>
      </c>
      <c r="G1944" s="2" t="s">
        <v>29</v>
      </c>
      <c r="H1944" s="2" t="n">
        <v>1943</v>
      </c>
      <c r="I1944" s="2" t="s">
        <v>30</v>
      </c>
      <c r="J1944" s="2" t="n">
        <v>5</v>
      </c>
      <c r="K1944" s="2" t="s">
        <v>31</v>
      </c>
      <c r="L1944" s="2" t="s">
        <v>32</v>
      </c>
      <c r="M1944" s="2" t="n">
        <v>56050</v>
      </c>
      <c r="N1944" s="2" t="n">
        <v>0</v>
      </c>
      <c r="O1944" s="2" t="n">
        <v>12</v>
      </c>
      <c r="P1944" s="2" t="n">
        <v>1</v>
      </c>
      <c r="Q1944" s="2" t="n">
        <v>9</v>
      </c>
      <c r="R1944" s="2" t="n">
        <v>0</v>
      </c>
      <c r="S1944" s="2" t="n">
        <v>8</v>
      </c>
      <c r="T1944" s="2" t="n">
        <v>1</v>
      </c>
      <c r="U1944" s="2" t="n">
        <v>7</v>
      </c>
      <c r="V1944" s="2" t="n">
        <v>2</v>
      </c>
      <c r="W1944" s="2" t="n">
        <v>1</v>
      </c>
      <c r="X1944" s="2" t="n">
        <v>2</v>
      </c>
      <c r="Y1944" s="2" t="n">
        <v>2</v>
      </c>
      <c r="Z1944" s="2" t="n">
        <v>3</v>
      </c>
    </row>
    <row r="1945" customFormat="false" ht="15" hidden="false" customHeight="true" outlineLevel="0" collapsed="false">
      <c r="A1945" s="2" t="n">
        <v>20</v>
      </c>
      <c r="B1945" s="2" t="s">
        <v>33</v>
      </c>
      <c r="C1945" s="2" t="s">
        <v>27</v>
      </c>
      <c r="D1945" s="2" t="s">
        <v>35</v>
      </c>
      <c r="E1945" s="2" t="n">
        <v>2</v>
      </c>
      <c r="F1945" s="2" t="n">
        <v>2</v>
      </c>
      <c r="G1945" s="2" t="s">
        <v>29</v>
      </c>
      <c r="H1945" s="2" t="n">
        <v>1944</v>
      </c>
      <c r="I1945" s="2" t="s">
        <v>30</v>
      </c>
      <c r="J1945" s="2" t="n">
        <v>2</v>
      </c>
      <c r="K1945" s="2" t="s">
        <v>36</v>
      </c>
      <c r="L1945" s="2" t="s">
        <v>37</v>
      </c>
      <c r="M1945" s="2" t="n">
        <v>63970</v>
      </c>
      <c r="N1945" s="2" t="n">
        <v>1</v>
      </c>
      <c r="O1945" s="2" t="n">
        <v>17</v>
      </c>
      <c r="P1945" s="2" t="n">
        <v>1</v>
      </c>
      <c r="Q1945" s="2" t="n">
        <v>1</v>
      </c>
      <c r="R1945" s="2" t="n">
        <v>3</v>
      </c>
      <c r="S1945" s="2" t="n">
        <v>1</v>
      </c>
      <c r="T1945" s="2" t="n">
        <v>0</v>
      </c>
      <c r="U1945" s="2" t="n">
        <v>0</v>
      </c>
      <c r="V1945" s="2" t="n">
        <v>4</v>
      </c>
      <c r="W1945" s="2" t="n">
        <v>1</v>
      </c>
      <c r="X1945" s="2" t="n">
        <v>3</v>
      </c>
      <c r="Y1945" s="2" t="n">
        <v>3</v>
      </c>
      <c r="Z1945" s="2" t="n">
        <v>3</v>
      </c>
    </row>
    <row r="1946" customFormat="false" ht="15" hidden="false" customHeight="true" outlineLevel="0" collapsed="false">
      <c r="A1946" s="2" t="n">
        <v>30</v>
      </c>
      <c r="B1946" s="2" t="s">
        <v>33</v>
      </c>
      <c r="C1946" s="2" t="s">
        <v>34</v>
      </c>
      <c r="D1946" s="2" t="s">
        <v>35</v>
      </c>
      <c r="E1946" s="2" t="n">
        <v>8</v>
      </c>
      <c r="F1946" s="2" t="n">
        <v>4</v>
      </c>
      <c r="G1946" s="2" t="s">
        <v>43</v>
      </c>
      <c r="H1946" s="2" t="n">
        <v>1945</v>
      </c>
      <c r="I1946" s="2" t="s">
        <v>39</v>
      </c>
      <c r="J1946" s="2" t="n">
        <v>1</v>
      </c>
      <c r="K1946" s="2" t="s">
        <v>40</v>
      </c>
      <c r="L1946" s="2" t="s">
        <v>37</v>
      </c>
      <c r="M1946" s="2" t="n">
        <v>191440</v>
      </c>
      <c r="N1946" s="2" t="n">
        <v>0</v>
      </c>
      <c r="O1946" s="2" t="n">
        <v>11</v>
      </c>
      <c r="P1946" s="2" t="n">
        <v>0</v>
      </c>
      <c r="Q1946" s="2" t="n">
        <v>4</v>
      </c>
      <c r="R1946" s="2" t="n">
        <v>3</v>
      </c>
      <c r="S1946" s="2" t="n">
        <v>3</v>
      </c>
      <c r="T1946" s="2" t="n">
        <v>1</v>
      </c>
      <c r="U1946" s="2" t="n">
        <v>2</v>
      </c>
      <c r="V1946" s="2" t="n">
        <v>2</v>
      </c>
      <c r="W1946" s="2" t="n">
        <v>2</v>
      </c>
      <c r="X1946" s="2" t="n">
        <v>3</v>
      </c>
      <c r="Y1946" s="2" t="n">
        <v>3</v>
      </c>
      <c r="Z1946" s="2" t="n">
        <v>3</v>
      </c>
    </row>
    <row r="1947" customFormat="false" ht="15" hidden="false" customHeight="true" outlineLevel="0" collapsed="false">
      <c r="A1947" s="2" t="n">
        <v>26</v>
      </c>
      <c r="B1947" s="2" t="s">
        <v>26</v>
      </c>
      <c r="C1947" s="2" t="s">
        <v>27</v>
      </c>
      <c r="D1947" s="2" t="s">
        <v>28</v>
      </c>
      <c r="E1947" s="2" t="n">
        <v>1</v>
      </c>
      <c r="F1947" s="2" t="n">
        <v>3</v>
      </c>
      <c r="G1947" s="2" t="s">
        <v>50</v>
      </c>
      <c r="H1947" s="2" t="n">
        <v>1946</v>
      </c>
      <c r="I1947" s="2" t="s">
        <v>30</v>
      </c>
      <c r="J1947" s="2" t="n">
        <v>2</v>
      </c>
      <c r="K1947" s="2" t="s">
        <v>36</v>
      </c>
      <c r="L1947" s="2" t="s">
        <v>32</v>
      </c>
      <c r="M1947" s="2" t="n">
        <v>175840</v>
      </c>
      <c r="N1947" s="2" t="n">
        <v>1</v>
      </c>
      <c r="O1947" s="2" t="n">
        <v>20</v>
      </c>
      <c r="P1947" s="2" t="n">
        <v>0</v>
      </c>
      <c r="Q1947" s="2" t="n">
        <v>8</v>
      </c>
      <c r="R1947" s="2" t="n">
        <v>2</v>
      </c>
      <c r="S1947" s="2" t="n">
        <v>8</v>
      </c>
      <c r="T1947" s="2" t="n">
        <v>1</v>
      </c>
      <c r="U1947" s="2" t="n">
        <v>3</v>
      </c>
      <c r="V1947" s="2" t="n">
        <v>4</v>
      </c>
      <c r="W1947" s="2" t="n">
        <v>4</v>
      </c>
      <c r="X1947" s="2" t="n">
        <v>3</v>
      </c>
      <c r="Y1947" s="2" t="n">
        <v>3</v>
      </c>
      <c r="Z1947" s="2" t="n">
        <v>4</v>
      </c>
    </row>
    <row r="1948" customFormat="false" ht="15" hidden="false" customHeight="true" outlineLevel="0" collapsed="false">
      <c r="A1948" s="2" t="n">
        <v>22</v>
      </c>
      <c r="B1948" s="2" t="s">
        <v>26</v>
      </c>
      <c r="C1948" s="2" t="s">
        <v>27</v>
      </c>
      <c r="D1948" s="2" t="s">
        <v>35</v>
      </c>
      <c r="E1948" s="2" t="n">
        <v>8</v>
      </c>
      <c r="F1948" s="2" t="n">
        <v>3</v>
      </c>
      <c r="G1948" s="2" t="s">
        <v>38</v>
      </c>
      <c r="H1948" s="2" t="n">
        <v>1947</v>
      </c>
      <c r="I1948" s="2" t="s">
        <v>39</v>
      </c>
      <c r="J1948" s="2" t="n">
        <v>2</v>
      </c>
      <c r="K1948" s="2" t="s">
        <v>48</v>
      </c>
      <c r="L1948" s="2" t="s">
        <v>32</v>
      </c>
      <c r="M1948" s="2" t="n">
        <v>49070</v>
      </c>
      <c r="N1948" s="2" t="n">
        <v>1</v>
      </c>
      <c r="O1948" s="2" t="n">
        <v>21</v>
      </c>
      <c r="P1948" s="2" t="n">
        <v>1</v>
      </c>
      <c r="Q1948" s="2" t="n">
        <v>4</v>
      </c>
      <c r="R1948" s="2" t="n">
        <v>2</v>
      </c>
      <c r="S1948" s="2" t="n">
        <v>4</v>
      </c>
      <c r="T1948" s="2" t="n">
        <v>1</v>
      </c>
      <c r="U1948" s="2" t="n">
        <v>1</v>
      </c>
      <c r="V1948" s="2" t="n">
        <v>2</v>
      </c>
      <c r="W1948" s="2" t="n">
        <v>1</v>
      </c>
      <c r="X1948" s="2" t="n">
        <v>2</v>
      </c>
      <c r="Y1948" s="2" t="n">
        <v>3</v>
      </c>
      <c r="Z1948" s="2" t="n">
        <v>4</v>
      </c>
    </row>
    <row r="1949" customFormat="false" ht="15" hidden="false" customHeight="true" outlineLevel="0" collapsed="false">
      <c r="A1949" s="2" t="n">
        <v>48</v>
      </c>
      <c r="B1949" s="2" t="s">
        <v>26</v>
      </c>
      <c r="C1949" s="2" t="s">
        <v>27</v>
      </c>
      <c r="D1949" s="2" t="s">
        <v>42</v>
      </c>
      <c r="E1949" s="2" t="n">
        <v>2</v>
      </c>
      <c r="F1949" s="2" t="n">
        <v>4</v>
      </c>
      <c r="G1949" s="2" t="s">
        <v>43</v>
      </c>
      <c r="H1949" s="2" t="n">
        <v>1948</v>
      </c>
      <c r="I1949" s="2" t="s">
        <v>39</v>
      </c>
      <c r="J1949" s="2" t="n">
        <v>2</v>
      </c>
      <c r="K1949" s="2" t="s">
        <v>40</v>
      </c>
      <c r="L1949" s="2" t="s">
        <v>37</v>
      </c>
      <c r="M1949" s="2" t="n">
        <v>45540</v>
      </c>
      <c r="N1949" s="2" t="n">
        <v>2</v>
      </c>
      <c r="O1949" s="2" t="n">
        <v>11</v>
      </c>
      <c r="P1949" s="2" t="n">
        <v>2</v>
      </c>
      <c r="Q1949" s="2" t="n">
        <v>19</v>
      </c>
      <c r="R1949" s="2" t="n">
        <v>3</v>
      </c>
      <c r="S1949" s="2" t="n">
        <v>2</v>
      </c>
      <c r="T1949" s="2" t="n">
        <v>2</v>
      </c>
      <c r="U1949" s="2" t="n">
        <v>2</v>
      </c>
      <c r="V1949" s="2" t="n">
        <v>1</v>
      </c>
      <c r="W1949" s="2" t="n">
        <v>3</v>
      </c>
      <c r="X1949" s="2" t="n">
        <v>3</v>
      </c>
      <c r="Y1949" s="2" t="n">
        <v>3</v>
      </c>
      <c r="Z1949" s="2" t="n">
        <v>3</v>
      </c>
    </row>
    <row r="1950" customFormat="false" ht="15" hidden="false" customHeight="true" outlineLevel="0" collapsed="false">
      <c r="A1950" s="2" t="n">
        <v>48</v>
      </c>
      <c r="B1950" s="2" t="s">
        <v>26</v>
      </c>
      <c r="C1950" s="2" t="s">
        <v>27</v>
      </c>
      <c r="D1950" s="2" t="s">
        <v>28</v>
      </c>
      <c r="E1950" s="2" t="n">
        <v>3</v>
      </c>
      <c r="F1950" s="2" t="n">
        <v>3</v>
      </c>
      <c r="G1950" s="2" t="s">
        <v>43</v>
      </c>
      <c r="H1950" s="2" t="n">
        <v>1949</v>
      </c>
      <c r="I1950" s="2" t="s">
        <v>39</v>
      </c>
      <c r="J1950" s="2" t="n">
        <v>1</v>
      </c>
      <c r="K1950" s="2" t="s">
        <v>44</v>
      </c>
      <c r="L1950" s="2" t="s">
        <v>37</v>
      </c>
      <c r="M1950" s="2" t="n">
        <v>54150</v>
      </c>
      <c r="N1950" s="2" t="n">
        <v>7</v>
      </c>
      <c r="O1950" s="2" t="n">
        <v>11</v>
      </c>
      <c r="P1950" s="2" t="n">
        <v>1</v>
      </c>
      <c r="Q1950" s="2" t="n">
        <v>27</v>
      </c>
      <c r="R1950" s="2" t="n">
        <v>1</v>
      </c>
      <c r="S1950" s="2" t="n">
        <v>15</v>
      </c>
      <c r="T1950" s="2" t="n">
        <v>4</v>
      </c>
      <c r="U1950" s="2" t="n">
        <v>8</v>
      </c>
      <c r="V1950" s="2" t="n">
        <v>3</v>
      </c>
      <c r="W1950" s="2" t="n">
        <v>3</v>
      </c>
      <c r="X1950" s="2" t="n">
        <v>3</v>
      </c>
      <c r="Y1950" s="2" t="n">
        <v>3</v>
      </c>
      <c r="Z1950" s="2" t="n">
        <v>3</v>
      </c>
    </row>
    <row r="1951" customFormat="false" ht="15" hidden="false" customHeight="true" outlineLevel="0" collapsed="false">
      <c r="A1951" s="2" t="n">
        <v>41</v>
      </c>
      <c r="B1951" s="2" t="s">
        <v>26</v>
      </c>
      <c r="C1951" s="2" t="s">
        <v>27</v>
      </c>
      <c r="D1951" s="2" t="s">
        <v>35</v>
      </c>
      <c r="E1951" s="2" t="n">
        <v>2</v>
      </c>
      <c r="F1951" s="2" t="n">
        <v>3</v>
      </c>
      <c r="G1951" s="2" t="s">
        <v>29</v>
      </c>
      <c r="H1951" s="2" t="n">
        <v>1950</v>
      </c>
      <c r="I1951" s="2" t="s">
        <v>39</v>
      </c>
      <c r="J1951" s="2" t="n">
        <v>2</v>
      </c>
      <c r="K1951" s="2" t="s">
        <v>36</v>
      </c>
      <c r="L1951" s="2" t="s">
        <v>37</v>
      </c>
      <c r="M1951" s="2" t="n">
        <v>47410</v>
      </c>
      <c r="N1951" s="2" t="n">
        <v>6</v>
      </c>
      <c r="O1951" s="2" t="n">
        <v>16</v>
      </c>
      <c r="P1951" s="2" t="n">
        <v>0</v>
      </c>
      <c r="Q1951" s="2" t="n">
        <v>8</v>
      </c>
      <c r="R1951" s="2" t="n">
        <v>3</v>
      </c>
      <c r="S1951" s="2" t="n">
        <v>2</v>
      </c>
      <c r="T1951" s="2" t="n">
        <v>2</v>
      </c>
      <c r="U1951" s="2" t="n">
        <v>1</v>
      </c>
      <c r="V1951" s="2" t="n">
        <v>4</v>
      </c>
      <c r="W1951" s="2" t="n">
        <v>3</v>
      </c>
      <c r="X1951" s="2" t="n">
        <v>3</v>
      </c>
      <c r="Y1951" s="2" t="n">
        <v>3</v>
      </c>
      <c r="Z1951" s="2" t="n">
        <v>3</v>
      </c>
    </row>
    <row r="1952" customFormat="false" ht="15" hidden="false" customHeight="true" outlineLevel="0" collapsed="false">
      <c r="A1952" s="2" t="n">
        <v>39</v>
      </c>
      <c r="B1952" s="2" t="s">
        <v>26</v>
      </c>
      <c r="C1952" s="2" t="s">
        <v>27</v>
      </c>
      <c r="D1952" s="2" t="s">
        <v>28</v>
      </c>
      <c r="E1952" s="2" t="n">
        <v>2</v>
      </c>
      <c r="F1952" s="2" t="n">
        <v>3</v>
      </c>
      <c r="G1952" s="2" t="s">
        <v>29</v>
      </c>
      <c r="H1952" s="2" t="n">
        <v>1951</v>
      </c>
      <c r="I1952" s="2" t="s">
        <v>39</v>
      </c>
      <c r="J1952" s="2" t="n">
        <v>3</v>
      </c>
      <c r="K1952" s="2" t="s">
        <v>42</v>
      </c>
      <c r="L1952" s="2" t="s">
        <v>32</v>
      </c>
      <c r="M1952" s="2" t="n">
        <v>21150</v>
      </c>
      <c r="N1952" s="2" t="n">
        <v>1</v>
      </c>
      <c r="O1952" s="2" t="n">
        <v>18</v>
      </c>
      <c r="P1952" s="2" t="n">
        <v>0</v>
      </c>
      <c r="Q1952" s="2" t="n">
        <v>21</v>
      </c>
      <c r="R1952" s="2" t="n">
        <v>3</v>
      </c>
      <c r="S1952" s="2" t="n">
        <v>21</v>
      </c>
      <c r="T1952" s="2" t="n">
        <v>11</v>
      </c>
      <c r="U1952" s="2" t="n">
        <v>8</v>
      </c>
      <c r="V1952" s="2" t="n">
        <v>4</v>
      </c>
      <c r="W1952" s="2" t="n">
        <v>4</v>
      </c>
      <c r="X1952" s="2" t="n">
        <v>3</v>
      </c>
      <c r="Y1952" s="2" t="n">
        <v>4</v>
      </c>
      <c r="Z1952" s="2" t="n">
        <v>3</v>
      </c>
    </row>
    <row r="1953" customFormat="false" ht="15" hidden="false" customHeight="true" outlineLevel="0" collapsed="false">
      <c r="A1953" s="2" t="n">
        <v>27</v>
      </c>
      <c r="B1953" s="2" t="s">
        <v>26</v>
      </c>
      <c r="C1953" s="2" t="s">
        <v>27</v>
      </c>
      <c r="D1953" s="2" t="s">
        <v>35</v>
      </c>
      <c r="E1953" s="2" t="n">
        <v>3</v>
      </c>
      <c r="F1953" s="2" t="n">
        <v>3</v>
      </c>
      <c r="G1953" s="2" t="s">
        <v>29</v>
      </c>
      <c r="H1953" s="2" t="n">
        <v>1952</v>
      </c>
      <c r="I1953" s="2" t="s">
        <v>39</v>
      </c>
      <c r="J1953" s="2" t="n">
        <v>2</v>
      </c>
      <c r="K1953" s="2" t="s">
        <v>42</v>
      </c>
      <c r="L1953" s="2" t="s">
        <v>32</v>
      </c>
      <c r="M1953" s="2" t="n">
        <v>31610</v>
      </c>
      <c r="N1953" s="2" t="n">
        <v>0</v>
      </c>
      <c r="O1953" s="2" t="n">
        <v>13</v>
      </c>
      <c r="P1953" s="2" t="n">
        <v>2</v>
      </c>
      <c r="Q1953" s="2" t="n">
        <v>4</v>
      </c>
      <c r="R1953" s="2" t="n">
        <v>0</v>
      </c>
      <c r="S1953" s="2" t="n">
        <v>3</v>
      </c>
      <c r="T1953" s="2" t="n">
        <v>2</v>
      </c>
      <c r="U1953" s="2" t="n">
        <v>2</v>
      </c>
      <c r="V1953" s="2" t="n">
        <v>1</v>
      </c>
      <c r="W1953" s="2" t="n">
        <v>4</v>
      </c>
      <c r="X1953" s="2" t="n">
        <v>3</v>
      </c>
      <c r="Y1953" s="2" t="n">
        <v>3</v>
      </c>
      <c r="Z1953" s="2" t="n">
        <v>3</v>
      </c>
    </row>
    <row r="1954" customFormat="false" ht="15" hidden="false" customHeight="true" outlineLevel="0" collapsed="false">
      <c r="A1954" s="2" t="n">
        <v>35</v>
      </c>
      <c r="B1954" s="2" t="s">
        <v>26</v>
      </c>
      <c r="C1954" s="2" t="s">
        <v>27</v>
      </c>
      <c r="D1954" s="2" t="s">
        <v>28</v>
      </c>
      <c r="E1954" s="2" t="n">
        <v>24</v>
      </c>
      <c r="F1954" s="2" t="n">
        <v>3</v>
      </c>
      <c r="G1954" s="2" t="s">
        <v>43</v>
      </c>
      <c r="H1954" s="2" t="n">
        <v>1953</v>
      </c>
      <c r="I1954" s="2" t="s">
        <v>39</v>
      </c>
      <c r="J1954" s="2" t="n">
        <v>5</v>
      </c>
      <c r="K1954" s="2" t="s">
        <v>40</v>
      </c>
      <c r="L1954" s="2" t="s">
        <v>46</v>
      </c>
      <c r="M1954" s="2" t="n">
        <v>57450</v>
      </c>
      <c r="N1954" s="2" t="n">
        <v>1</v>
      </c>
      <c r="O1954" s="2" t="n">
        <v>17</v>
      </c>
      <c r="P1954" s="2" t="n">
        <v>3</v>
      </c>
      <c r="Q1954" s="2" t="n">
        <v>3</v>
      </c>
      <c r="R1954" s="2" t="n">
        <v>4</v>
      </c>
      <c r="S1954" s="2" t="n">
        <v>3</v>
      </c>
      <c r="T1954" s="2" t="n">
        <v>1</v>
      </c>
      <c r="U1954" s="2" t="n">
        <v>2</v>
      </c>
      <c r="V1954" s="2" t="n">
        <v>2</v>
      </c>
      <c r="W1954" s="2" t="n">
        <v>4</v>
      </c>
      <c r="X1954" s="2" t="n">
        <v>2</v>
      </c>
      <c r="Y1954" s="2" t="n">
        <v>3</v>
      </c>
      <c r="Z1954" s="2" t="n">
        <v>3</v>
      </c>
    </row>
    <row r="1955" customFormat="false" ht="15" hidden="false" customHeight="true" outlineLevel="0" collapsed="false">
      <c r="A1955" s="2" t="n">
        <v>42</v>
      </c>
      <c r="B1955" s="2" t="s">
        <v>26</v>
      </c>
      <c r="C1955" s="2" t="s">
        <v>27</v>
      </c>
      <c r="D1955" s="2" t="s">
        <v>35</v>
      </c>
      <c r="E1955" s="2" t="n">
        <v>23</v>
      </c>
      <c r="F1955" s="2" t="n">
        <v>4</v>
      </c>
      <c r="G1955" s="2" t="s">
        <v>38</v>
      </c>
      <c r="H1955" s="2" t="n">
        <v>1954</v>
      </c>
      <c r="I1955" s="2" t="s">
        <v>39</v>
      </c>
      <c r="J1955" s="2" t="n">
        <v>1</v>
      </c>
      <c r="K1955" s="2" t="s">
        <v>36</v>
      </c>
      <c r="L1955" s="2" t="s">
        <v>32</v>
      </c>
      <c r="M1955" s="2" t="n">
        <v>23730</v>
      </c>
      <c r="N1955" s="2" t="n">
        <v>6</v>
      </c>
      <c r="O1955" s="2" t="n">
        <v>14</v>
      </c>
      <c r="P1955" s="2" t="n">
        <v>1</v>
      </c>
      <c r="Q1955" s="2" t="n">
        <v>21</v>
      </c>
      <c r="R1955" s="2" t="n">
        <v>3</v>
      </c>
      <c r="S1955" s="2" t="n">
        <v>1</v>
      </c>
      <c r="T1955" s="2" t="n">
        <v>0</v>
      </c>
      <c r="U1955" s="2" t="n">
        <v>0</v>
      </c>
      <c r="V1955" s="2" t="n">
        <v>4</v>
      </c>
      <c r="W1955" s="2" t="n">
        <v>3</v>
      </c>
      <c r="X1955" s="2"/>
      <c r="Y1955" s="2" t="n">
        <v>4</v>
      </c>
      <c r="Z1955" s="2" t="n">
        <v>3</v>
      </c>
    </row>
    <row r="1956" customFormat="false" ht="15" hidden="false" customHeight="true" outlineLevel="0" collapsed="false">
      <c r="A1956" s="2" t="n">
        <v>50</v>
      </c>
      <c r="B1956" s="2" t="s">
        <v>26</v>
      </c>
      <c r="C1956" s="2" t="s">
        <v>27</v>
      </c>
      <c r="D1956" s="2" t="s">
        <v>28</v>
      </c>
      <c r="E1956" s="2" t="n">
        <v>27</v>
      </c>
      <c r="F1956" s="2" t="n">
        <v>3</v>
      </c>
      <c r="G1956" s="2" t="s">
        <v>43</v>
      </c>
      <c r="H1956" s="2" t="n">
        <v>1955</v>
      </c>
      <c r="I1956" s="2" t="s">
        <v>39</v>
      </c>
      <c r="J1956" s="2" t="n">
        <v>2</v>
      </c>
      <c r="K1956" s="2" t="s">
        <v>40</v>
      </c>
      <c r="L1956" s="2" t="s">
        <v>32</v>
      </c>
      <c r="M1956" s="2" t="n">
        <v>33100</v>
      </c>
      <c r="N1956" s="2" t="n">
        <v>4</v>
      </c>
      <c r="O1956" s="2" t="n">
        <v>22</v>
      </c>
      <c r="P1956" s="2" t="n">
        <v>1</v>
      </c>
      <c r="Q1956" s="2" t="n">
        <v>8</v>
      </c>
      <c r="R1956" s="2" t="n">
        <v>3</v>
      </c>
      <c r="S1956" s="2" t="n">
        <v>1</v>
      </c>
      <c r="T1956" s="2" t="n">
        <v>0</v>
      </c>
      <c r="U1956" s="2" t="n">
        <v>0</v>
      </c>
      <c r="V1956" s="2" t="n">
        <v>1</v>
      </c>
      <c r="W1956" s="2" t="n">
        <v>4</v>
      </c>
      <c r="X1956" s="2" t="n">
        <v>3</v>
      </c>
      <c r="Y1956" s="2" t="n">
        <v>4</v>
      </c>
      <c r="Z1956" s="2" t="n">
        <v>4</v>
      </c>
    </row>
    <row r="1957" customFormat="false" ht="15" hidden="false" customHeight="true" outlineLevel="0" collapsed="false">
      <c r="A1957" s="2" t="n">
        <v>59</v>
      </c>
      <c r="B1957" s="2" t="s">
        <v>26</v>
      </c>
      <c r="C1957" s="2" t="s">
        <v>27</v>
      </c>
      <c r="D1957" s="2" t="s">
        <v>35</v>
      </c>
      <c r="E1957" s="2" t="n">
        <v>16</v>
      </c>
      <c r="F1957" s="2" t="n">
        <v>4</v>
      </c>
      <c r="G1957" s="2" t="s">
        <v>43</v>
      </c>
      <c r="H1957" s="2" t="n">
        <v>1956</v>
      </c>
      <c r="I1957" s="2" t="s">
        <v>30</v>
      </c>
      <c r="J1957" s="2" t="n">
        <v>5</v>
      </c>
      <c r="K1957" s="2" t="s">
        <v>45</v>
      </c>
      <c r="L1957" s="2" t="s">
        <v>37</v>
      </c>
      <c r="M1957" s="2" t="n">
        <v>186650</v>
      </c>
      <c r="N1957" s="2" t="n">
        <v>3</v>
      </c>
      <c r="O1957" s="2" t="n">
        <v>12</v>
      </c>
      <c r="P1957" s="2" t="n">
        <v>0</v>
      </c>
      <c r="Q1957" s="2" t="n">
        <v>30</v>
      </c>
      <c r="R1957" s="2" t="n">
        <v>3</v>
      </c>
      <c r="S1957" s="2" t="n">
        <v>5</v>
      </c>
      <c r="T1957" s="2" t="n">
        <v>4</v>
      </c>
      <c r="U1957" s="2" t="n">
        <v>3</v>
      </c>
      <c r="V1957" s="2" t="n">
        <v>3</v>
      </c>
      <c r="W1957" s="2" t="n">
        <v>4</v>
      </c>
      <c r="X1957" s="2" t="n">
        <v>3</v>
      </c>
      <c r="Y1957" s="2" t="n">
        <v>2</v>
      </c>
      <c r="Z1957" s="2" t="n">
        <v>3</v>
      </c>
    </row>
    <row r="1958" customFormat="false" ht="15" hidden="false" customHeight="true" outlineLevel="0" collapsed="false">
      <c r="A1958" s="2" t="n">
        <v>37</v>
      </c>
      <c r="B1958" s="2" t="s">
        <v>33</v>
      </c>
      <c r="C1958" s="2" t="s">
        <v>27</v>
      </c>
      <c r="D1958" s="2" t="s">
        <v>28</v>
      </c>
      <c r="E1958" s="2" t="n">
        <v>15</v>
      </c>
      <c r="F1958" s="2" t="n">
        <v>3</v>
      </c>
      <c r="G1958" s="2" t="s">
        <v>50</v>
      </c>
      <c r="H1958" s="2" t="n">
        <v>1957</v>
      </c>
      <c r="I1958" s="2" t="s">
        <v>39</v>
      </c>
      <c r="J1958" s="2" t="n">
        <v>2</v>
      </c>
      <c r="K1958" s="2" t="s">
        <v>45</v>
      </c>
      <c r="L1958" s="2" t="s">
        <v>32</v>
      </c>
      <c r="M1958" s="2" t="n">
        <v>44850</v>
      </c>
      <c r="N1958" s="2" t="n">
        <v>5</v>
      </c>
      <c r="O1958" s="2" t="n">
        <v>11</v>
      </c>
      <c r="P1958" s="2" t="n">
        <v>1</v>
      </c>
      <c r="Q1958" s="2" t="n">
        <v>15</v>
      </c>
      <c r="R1958" s="2" t="n">
        <v>2</v>
      </c>
      <c r="S1958" s="2" t="n">
        <v>1</v>
      </c>
      <c r="T1958" s="2" t="n">
        <v>0</v>
      </c>
      <c r="U1958" s="2" t="n">
        <v>0</v>
      </c>
      <c r="V1958" s="2" t="n">
        <v>1</v>
      </c>
      <c r="W1958" s="2" t="n">
        <v>2</v>
      </c>
      <c r="X1958" s="2" t="n">
        <v>1</v>
      </c>
      <c r="Y1958" s="2" t="n">
        <v>4</v>
      </c>
      <c r="Z1958" s="2" t="n">
        <v>3</v>
      </c>
    </row>
    <row r="1959" customFormat="false" ht="15" hidden="false" customHeight="true" outlineLevel="0" collapsed="false">
      <c r="A1959" s="2" t="n">
        <v>55</v>
      </c>
      <c r="B1959" s="2" t="s">
        <v>26</v>
      </c>
      <c r="C1959" s="2" t="s">
        <v>34</v>
      </c>
      <c r="D1959" s="2" t="s">
        <v>35</v>
      </c>
      <c r="E1959" s="2" t="n">
        <v>26</v>
      </c>
      <c r="F1959" s="2" t="n">
        <v>2</v>
      </c>
      <c r="G1959" s="2" t="s">
        <v>29</v>
      </c>
      <c r="H1959" s="2" t="n">
        <v>1958</v>
      </c>
      <c r="I1959" s="2" t="s">
        <v>30</v>
      </c>
      <c r="J1959" s="2" t="n">
        <v>2</v>
      </c>
      <c r="K1959" s="2" t="s">
        <v>40</v>
      </c>
      <c r="L1959" s="2" t="s">
        <v>32</v>
      </c>
      <c r="M1959" s="2" t="n">
        <v>27890</v>
      </c>
      <c r="N1959" s="2" t="n">
        <v>3</v>
      </c>
      <c r="O1959" s="2" t="n">
        <v>13</v>
      </c>
      <c r="P1959" s="2" t="n">
        <v>1</v>
      </c>
      <c r="Q1959" s="2" t="n">
        <v>17</v>
      </c>
      <c r="R1959" s="2" t="n">
        <v>2</v>
      </c>
      <c r="S1959" s="2" t="n">
        <v>8</v>
      </c>
      <c r="T1959" s="2" t="n">
        <v>6</v>
      </c>
      <c r="U1959" s="2" t="n">
        <v>7</v>
      </c>
      <c r="V1959" s="2" t="n">
        <v>3</v>
      </c>
      <c r="W1959" s="2" t="n">
        <v>2</v>
      </c>
      <c r="X1959" s="2" t="n">
        <v>3</v>
      </c>
      <c r="Y1959" s="2" t="n">
        <v>2</v>
      </c>
      <c r="Z1959" s="2" t="n">
        <v>3</v>
      </c>
    </row>
    <row r="1960" customFormat="false" ht="15" hidden="false" customHeight="true" outlineLevel="0" collapsed="false">
      <c r="A1960" s="2" t="n">
        <v>41</v>
      </c>
      <c r="B1960" s="2" t="s">
        <v>26</v>
      </c>
      <c r="C1960" s="2" t="s">
        <v>41</v>
      </c>
      <c r="D1960" s="2" t="s">
        <v>35</v>
      </c>
      <c r="E1960" s="2" t="n">
        <v>19</v>
      </c>
      <c r="F1960" s="2" t="n">
        <v>1</v>
      </c>
      <c r="G1960" s="2" t="s">
        <v>29</v>
      </c>
      <c r="H1960" s="2" t="n">
        <v>1959</v>
      </c>
      <c r="I1960" s="2" t="s">
        <v>39</v>
      </c>
      <c r="J1960" s="2" t="n">
        <v>2</v>
      </c>
      <c r="K1960" s="2" t="s">
        <v>36</v>
      </c>
      <c r="L1960" s="2" t="s">
        <v>46</v>
      </c>
      <c r="M1960" s="2" t="n">
        <v>58280</v>
      </c>
      <c r="N1960" s="2" t="n">
        <v>1</v>
      </c>
      <c r="O1960" s="2" t="n">
        <v>13</v>
      </c>
      <c r="P1960" s="2" t="n">
        <v>0</v>
      </c>
      <c r="Q1960" s="2" t="n">
        <v>21</v>
      </c>
      <c r="R1960" s="2" t="n">
        <v>0</v>
      </c>
      <c r="S1960" s="2" t="n">
        <v>21</v>
      </c>
      <c r="T1960" s="2" t="n">
        <v>5</v>
      </c>
      <c r="U1960" s="2" t="n">
        <v>10</v>
      </c>
      <c r="V1960" s="2" t="n">
        <v>2</v>
      </c>
      <c r="W1960" s="2" t="n">
        <v>3</v>
      </c>
      <c r="X1960" s="2" t="n">
        <v>3</v>
      </c>
      <c r="Y1960" s="2" t="n">
        <v>3</v>
      </c>
      <c r="Z1960" s="2" t="n">
        <v>3</v>
      </c>
    </row>
    <row r="1961" customFormat="false" ht="15" hidden="false" customHeight="true" outlineLevel="0" collapsed="false">
      <c r="A1961" s="2" t="n">
        <v>38</v>
      </c>
      <c r="B1961" s="2" t="s">
        <v>26</v>
      </c>
      <c r="C1961" s="2" t="s">
        <v>27</v>
      </c>
      <c r="D1961" s="2" t="s">
        <v>35</v>
      </c>
      <c r="E1961" s="2" t="n">
        <v>24</v>
      </c>
      <c r="F1961" s="2" t="n">
        <v>2</v>
      </c>
      <c r="G1961" s="2" t="s">
        <v>38</v>
      </c>
      <c r="H1961" s="2" t="n">
        <v>1960</v>
      </c>
      <c r="I1961" s="2" t="s">
        <v>30</v>
      </c>
      <c r="J1961" s="2" t="n">
        <v>1</v>
      </c>
      <c r="K1961" s="2" t="s">
        <v>45</v>
      </c>
      <c r="L1961" s="2" t="s">
        <v>37</v>
      </c>
      <c r="M1961" s="2" t="n">
        <v>23260</v>
      </c>
      <c r="N1961" s="2" t="n">
        <v>8</v>
      </c>
      <c r="O1961" s="2" t="n">
        <v>14</v>
      </c>
      <c r="P1961" s="2" t="n">
        <v>0</v>
      </c>
      <c r="Q1961" s="2" t="n">
        <v>19</v>
      </c>
      <c r="R1961" s="2" t="n">
        <v>3</v>
      </c>
      <c r="S1961" s="2" t="n">
        <v>1</v>
      </c>
      <c r="T1961" s="2" t="n">
        <v>0</v>
      </c>
      <c r="U1961" s="2" t="n">
        <v>0</v>
      </c>
      <c r="V1961" s="2" t="n">
        <v>2</v>
      </c>
      <c r="W1961" s="2" t="n">
        <v>4</v>
      </c>
      <c r="X1961" s="2" t="n">
        <v>3</v>
      </c>
      <c r="Y1961" s="2" t="n">
        <v>4</v>
      </c>
      <c r="Z1961" s="2" t="n">
        <v>3</v>
      </c>
    </row>
    <row r="1962" customFormat="false" ht="15" hidden="false" customHeight="true" outlineLevel="0" collapsed="false">
      <c r="A1962" s="2" t="n">
        <v>26</v>
      </c>
      <c r="B1962" s="2" t="s">
        <v>33</v>
      </c>
      <c r="C1962" s="2" t="s">
        <v>41</v>
      </c>
      <c r="D1962" s="2" t="s">
        <v>35</v>
      </c>
      <c r="E1962" s="2" t="n">
        <v>21</v>
      </c>
      <c r="F1962" s="2" t="n">
        <v>1</v>
      </c>
      <c r="G1962" s="2" t="s">
        <v>29</v>
      </c>
      <c r="H1962" s="2" t="n">
        <v>1961</v>
      </c>
      <c r="I1962" s="2" t="s">
        <v>30</v>
      </c>
      <c r="J1962" s="2" t="n">
        <v>1</v>
      </c>
      <c r="K1962" s="2" t="s">
        <v>47</v>
      </c>
      <c r="L1962" s="2" t="s">
        <v>37</v>
      </c>
      <c r="M1962" s="2" t="n">
        <v>135250</v>
      </c>
      <c r="N1962" s="2" t="n">
        <v>8</v>
      </c>
      <c r="O1962" s="2" t="n">
        <v>17</v>
      </c>
      <c r="P1962" s="2" t="n">
        <v>1</v>
      </c>
      <c r="Q1962" s="2" t="n">
        <v>7</v>
      </c>
      <c r="R1962" s="2" t="n">
        <v>4</v>
      </c>
      <c r="S1962" s="2" t="n">
        <v>2</v>
      </c>
      <c r="T1962" s="2" t="n">
        <v>2</v>
      </c>
      <c r="U1962" s="2" t="n">
        <v>2</v>
      </c>
      <c r="V1962" s="2" t="n">
        <v>2</v>
      </c>
      <c r="W1962" s="2" t="n">
        <v>1</v>
      </c>
      <c r="X1962" s="2" t="n">
        <v>3</v>
      </c>
      <c r="Y1962" s="2" t="n">
        <v>2</v>
      </c>
      <c r="Z1962" s="2" t="n">
        <v>3</v>
      </c>
    </row>
    <row r="1963" customFormat="false" ht="15" hidden="false" customHeight="true" outlineLevel="0" collapsed="false">
      <c r="A1963" s="2" t="n">
        <v>52</v>
      </c>
      <c r="B1963" s="2" t="s">
        <v>33</v>
      </c>
      <c r="C1963" s="2" t="s">
        <v>27</v>
      </c>
      <c r="D1963" s="2" t="s">
        <v>35</v>
      </c>
      <c r="E1963" s="2" t="n">
        <v>5</v>
      </c>
      <c r="F1963" s="2" t="n">
        <v>4</v>
      </c>
      <c r="G1963" s="2" t="s">
        <v>43</v>
      </c>
      <c r="H1963" s="2" t="n">
        <v>1962</v>
      </c>
      <c r="I1963" s="2" t="s">
        <v>30</v>
      </c>
      <c r="J1963" s="2" t="n">
        <v>4</v>
      </c>
      <c r="K1963" s="2" t="s">
        <v>42</v>
      </c>
      <c r="L1963" s="2" t="s">
        <v>32</v>
      </c>
      <c r="M1963" s="2" t="n">
        <v>14200</v>
      </c>
      <c r="N1963" s="2" t="n">
        <v>1</v>
      </c>
      <c r="O1963" s="2" t="n">
        <v>13</v>
      </c>
      <c r="P1963" s="2" t="n">
        <v>1</v>
      </c>
      <c r="Q1963" s="2" t="n">
        <v>33</v>
      </c>
      <c r="R1963" s="2" t="n">
        <v>2</v>
      </c>
      <c r="S1963" s="2" t="n">
        <v>32</v>
      </c>
      <c r="T1963" s="2" t="n">
        <v>6</v>
      </c>
      <c r="U1963" s="2" t="n">
        <v>9</v>
      </c>
      <c r="V1963" s="2" t="n">
        <v>1</v>
      </c>
      <c r="W1963" s="2" t="n">
        <v>4</v>
      </c>
      <c r="X1963" s="2" t="n">
        <v>3</v>
      </c>
      <c r="Y1963" s="2" t="n">
        <v>4</v>
      </c>
      <c r="Z1963" s="2" t="n">
        <v>3</v>
      </c>
    </row>
    <row r="1964" customFormat="false" ht="15" hidden="false" customHeight="true" outlineLevel="0" collapsed="false">
      <c r="A1964" s="2" t="n">
        <v>44</v>
      </c>
      <c r="B1964" s="2" t="s">
        <v>26</v>
      </c>
      <c r="C1964" s="2" t="s">
        <v>27</v>
      </c>
      <c r="D1964" s="2" t="s">
        <v>35</v>
      </c>
      <c r="E1964" s="2" t="n">
        <v>16</v>
      </c>
      <c r="F1964" s="2" t="n">
        <v>3</v>
      </c>
      <c r="G1964" s="2" t="s">
        <v>29</v>
      </c>
      <c r="H1964" s="2" t="n">
        <v>1963</v>
      </c>
      <c r="I1964" s="2" t="s">
        <v>30</v>
      </c>
      <c r="J1964" s="2" t="n">
        <v>1</v>
      </c>
      <c r="K1964" s="2" t="s">
        <v>31</v>
      </c>
      <c r="L1964" s="2" t="s">
        <v>32</v>
      </c>
      <c r="M1964" s="2" t="n">
        <v>80200</v>
      </c>
      <c r="N1964" s="2" t="n">
        <v>3</v>
      </c>
      <c r="O1964" s="2" t="n">
        <v>11</v>
      </c>
      <c r="P1964" s="2" t="n">
        <v>1</v>
      </c>
      <c r="Q1964" s="2" t="n">
        <v>23</v>
      </c>
      <c r="R1964" s="2" t="n">
        <v>2</v>
      </c>
      <c r="S1964" s="2" t="n">
        <v>12</v>
      </c>
      <c r="T1964" s="2" t="n">
        <v>11</v>
      </c>
      <c r="U1964" s="2" t="n">
        <v>11</v>
      </c>
      <c r="V1964" s="2" t="n">
        <v>4</v>
      </c>
      <c r="W1964" s="2" t="n">
        <v>4</v>
      </c>
      <c r="X1964" s="2" t="n">
        <v>3</v>
      </c>
      <c r="Y1964" s="2" t="n">
        <v>3</v>
      </c>
      <c r="Z1964" s="2" t="n">
        <v>3</v>
      </c>
    </row>
    <row r="1965" customFormat="false" ht="15" hidden="false" customHeight="true" outlineLevel="0" collapsed="false">
      <c r="A1965" s="2" t="n">
        <v>50</v>
      </c>
      <c r="B1965" s="2" t="s">
        <v>26</v>
      </c>
      <c r="C1965" s="2" t="s">
        <v>41</v>
      </c>
      <c r="D1965" s="2" t="s">
        <v>42</v>
      </c>
      <c r="E1965" s="2" t="n">
        <v>2</v>
      </c>
      <c r="F1965" s="2" t="n">
        <v>2</v>
      </c>
      <c r="G1965" s="2" t="s">
        <v>29</v>
      </c>
      <c r="H1965" s="2" t="n">
        <v>1964</v>
      </c>
      <c r="I1965" s="2" t="s">
        <v>39</v>
      </c>
      <c r="J1965" s="2" t="n">
        <v>1</v>
      </c>
      <c r="K1965" s="2" t="s">
        <v>45</v>
      </c>
      <c r="L1965" s="2" t="s">
        <v>32</v>
      </c>
      <c r="M1965" s="2" t="n">
        <v>36880</v>
      </c>
      <c r="N1965" s="2" t="n">
        <v>0</v>
      </c>
      <c r="O1965" s="2" t="n">
        <v>11</v>
      </c>
      <c r="P1965" s="2" t="n">
        <v>0</v>
      </c>
      <c r="Q1965" s="2" t="n">
        <v>19</v>
      </c>
      <c r="R1965" s="2" t="n">
        <v>3</v>
      </c>
      <c r="S1965" s="2" t="n">
        <v>18</v>
      </c>
      <c r="T1965" s="2" t="n">
        <v>0</v>
      </c>
      <c r="U1965" s="2" t="n">
        <v>13</v>
      </c>
      <c r="V1965" s="2" t="n">
        <v>4</v>
      </c>
      <c r="W1965" s="2" t="n">
        <v>3</v>
      </c>
      <c r="X1965" s="2" t="n">
        <v>3</v>
      </c>
      <c r="Y1965" s="2" t="n">
        <v>2</v>
      </c>
      <c r="Z1965" s="2" t="n">
        <v>3</v>
      </c>
    </row>
    <row r="1966" customFormat="false" ht="15" hidden="false" customHeight="true" outlineLevel="0" collapsed="false">
      <c r="A1966" s="2" t="n">
        <v>36</v>
      </c>
      <c r="B1966" s="2" t="s">
        <v>33</v>
      </c>
      <c r="C1966" s="2" t="s">
        <v>27</v>
      </c>
      <c r="D1966" s="2" t="s">
        <v>28</v>
      </c>
      <c r="E1966" s="2" t="n">
        <v>2</v>
      </c>
      <c r="F1966" s="2" t="n">
        <v>4</v>
      </c>
      <c r="G1966" s="2" t="s">
        <v>51</v>
      </c>
      <c r="H1966" s="2" t="n">
        <v>1965</v>
      </c>
      <c r="I1966" s="2" t="s">
        <v>39</v>
      </c>
      <c r="J1966" s="2" t="n">
        <v>4</v>
      </c>
      <c r="K1966" s="2" t="s">
        <v>40</v>
      </c>
      <c r="L1966" s="2" t="s">
        <v>37</v>
      </c>
      <c r="M1966" s="2" t="n">
        <v>54820</v>
      </c>
      <c r="N1966" s="2" t="n">
        <v>1</v>
      </c>
      <c r="O1966" s="2" t="n">
        <v>18</v>
      </c>
      <c r="P1966" s="2" t="n">
        <v>0</v>
      </c>
      <c r="Q1966" s="2" t="n">
        <v>18</v>
      </c>
      <c r="R1966" s="2" t="n">
        <v>3</v>
      </c>
      <c r="S1966" s="2" t="n">
        <v>17</v>
      </c>
      <c r="T1966" s="2" t="n">
        <v>15</v>
      </c>
      <c r="U1966" s="2" t="n">
        <v>14</v>
      </c>
      <c r="V1966" s="2" t="n">
        <v>3</v>
      </c>
      <c r="W1966" s="2" t="n">
        <v>1</v>
      </c>
      <c r="X1966" s="2" t="n">
        <v>3</v>
      </c>
      <c r="Y1966" s="2" t="n">
        <v>3</v>
      </c>
      <c r="Z1966" s="2" t="n">
        <v>3</v>
      </c>
    </row>
    <row r="1967" customFormat="false" ht="15" hidden="false" customHeight="true" outlineLevel="0" collapsed="false">
      <c r="A1967" s="2" t="n">
        <v>39</v>
      </c>
      <c r="B1967" s="2" t="s">
        <v>26</v>
      </c>
      <c r="C1967" s="2" t="s">
        <v>34</v>
      </c>
      <c r="D1967" s="2" t="s">
        <v>28</v>
      </c>
      <c r="E1967" s="2" t="n">
        <v>11</v>
      </c>
      <c r="F1967" s="2" t="n">
        <v>3</v>
      </c>
      <c r="G1967" s="2" t="s">
        <v>50</v>
      </c>
      <c r="H1967" s="2" t="n">
        <v>1966</v>
      </c>
      <c r="I1967" s="2" t="s">
        <v>39</v>
      </c>
      <c r="J1967" s="2" t="n">
        <v>1</v>
      </c>
      <c r="K1967" s="2" t="s">
        <v>40</v>
      </c>
      <c r="L1967" s="2" t="s">
        <v>37</v>
      </c>
      <c r="M1967" s="2" t="n">
        <v>160150</v>
      </c>
      <c r="N1967" s="2" t="n">
        <v>1</v>
      </c>
      <c r="O1967" s="2" t="n">
        <v>11</v>
      </c>
      <c r="P1967" s="2" t="n">
        <v>0</v>
      </c>
      <c r="Q1967" s="2" t="n">
        <v>21</v>
      </c>
      <c r="R1967" s="2" t="n">
        <v>3</v>
      </c>
      <c r="S1967" s="2" t="n">
        <v>21</v>
      </c>
      <c r="T1967" s="2" t="n">
        <v>2</v>
      </c>
      <c r="U1967" s="2" t="n">
        <v>8</v>
      </c>
      <c r="V1967" s="2" t="n">
        <v>4</v>
      </c>
      <c r="W1967" s="2" t="n">
        <v>1</v>
      </c>
      <c r="X1967" s="2" t="n">
        <v>3</v>
      </c>
      <c r="Y1967" s="2" t="n">
        <v>4</v>
      </c>
      <c r="Z1967" s="2" t="n">
        <v>3</v>
      </c>
    </row>
    <row r="1968" customFormat="false" ht="15" hidden="false" customHeight="true" outlineLevel="0" collapsed="false">
      <c r="A1968" s="2" t="n">
        <v>33</v>
      </c>
      <c r="B1968" s="2" t="s">
        <v>26</v>
      </c>
      <c r="C1968" s="2" t="s">
        <v>41</v>
      </c>
      <c r="D1968" s="2" t="s">
        <v>28</v>
      </c>
      <c r="E1968" s="2" t="n">
        <v>9</v>
      </c>
      <c r="F1968" s="2" t="n">
        <v>2</v>
      </c>
      <c r="G1968" s="2" t="s">
        <v>51</v>
      </c>
      <c r="H1968" s="2" t="n">
        <v>1967</v>
      </c>
      <c r="I1968" s="2" t="s">
        <v>39</v>
      </c>
      <c r="J1968" s="2" t="n">
        <v>5</v>
      </c>
      <c r="K1968" s="2" t="s">
        <v>48</v>
      </c>
      <c r="L1968" s="2" t="s">
        <v>37</v>
      </c>
      <c r="M1968" s="2" t="n">
        <v>12000</v>
      </c>
      <c r="N1968" s="2" t="n">
        <v>0</v>
      </c>
      <c r="O1968" s="2" t="n">
        <v>11</v>
      </c>
      <c r="P1968" s="2" t="n">
        <v>1</v>
      </c>
      <c r="Q1968" s="2" t="n">
        <v>3</v>
      </c>
      <c r="R1968" s="2" t="n">
        <v>3</v>
      </c>
      <c r="S1968" s="2" t="n">
        <v>2</v>
      </c>
      <c r="T1968" s="2" t="n">
        <v>2</v>
      </c>
      <c r="U1968" s="2" t="n">
        <v>2</v>
      </c>
      <c r="V1968" s="2" t="n">
        <v>2</v>
      </c>
      <c r="W1968" s="2" t="n">
        <v>4</v>
      </c>
      <c r="X1968" s="2" t="n">
        <v>2</v>
      </c>
      <c r="Y1968" s="2" t="n">
        <v>3</v>
      </c>
      <c r="Z1968" s="2" t="n">
        <v>3</v>
      </c>
    </row>
    <row r="1969" customFormat="false" ht="15" hidden="false" customHeight="true" outlineLevel="0" collapsed="false">
      <c r="A1969" s="2" t="n">
        <v>45</v>
      </c>
      <c r="B1969" s="2" t="s">
        <v>26</v>
      </c>
      <c r="C1969" s="2" t="s">
        <v>27</v>
      </c>
      <c r="D1969" s="2" t="s">
        <v>35</v>
      </c>
      <c r="E1969" s="2" t="n">
        <v>7</v>
      </c>
      <c r="F1969" s="2" t="n">
        <v>2</v>
      </c>
      <c r="G1969" s="2" t="s">
        <v>38</v>
      </c>
      <c r="H1969" s="2" t="n">
        <v>1968</v>
      </c>
      <c r="I1969" s="2" t="s">
        <v>39</v>
      </c>
      <c r="J1969" s="2" t="n">
        <v>1</v>
      </c>
      <c r="K1969" s="2" t="s">
        <v>42</v>
      </c>
      <c r="L1969" s="2" t="s">
        <v>32</v>
      </c>
      <c r="M1969" s="2" t="n">
        <v>56610</v>
      </c>
      <c r="N1969" s="2" t="n">
        <v>3</v>
      </c>
      <c r="O1969" s="2" t="n">
        <v>12</v>
      </c>
      <c r="P1969" s="2" t="n">
        <v>0</v>
      </c>
      <c r="Q1969" s="2" t="n">
        <v>26</v>
      </c>
      <c r="R1969" s="2" t="n">
        <v>2</v>
      </c>
      <c r="S1969" s="2" t="n">
        <v>9</v>
      </c>
      <c r="T1969" s="2" t="n">
        <v>1</v>
      </c>
      <c r="U1969" s="2" t="n">
        <v>1</v>
      </c>
      <c r="V1969" s="2" t="n">
        <v>4</v>
      </c>
      <c r="W1969" s="2" t="n">
        <v>4</v>
      </c>
      <c r="X1969" s="2" t="n">
        <v>4</v>
      </c>
      <c r="Y1969" s="2" t="n">
        <v>2</v>
      </c>
      <c r="Z1969" s="2" t="n">
        <v>3</v>
      </c>
    </row>
    <row r="1970" customFormat="false" ht="15" hidden="false" customHeight="true" outlineLevel="0" collapsed="false">
      <c r="A1970" s="2" t="n">
        <v>32</v>
      </c>
      <c r="B1970" s="2" t="s">
        <v>26</v>
      </c>
      <c r="C1970" s="2" t="s">
        <v>41</v>
      </c>
      <c r="D1970" s="2" t="s">
        <v>35</v>
      </c>
      <c r="E1970" s="2" t="n">
        <v>15</v>
      </c>
      <c r="F1970" s="2" t="n">
        <v>3</v>
      </c>
      <c r="G1970" s="2" t="s">
        <v>43</v>
      </c>
      <c r="H1970" s="2" t="n">
        <v>1969</v>
      </c>
      <c r="I1970" s="2" t="s">
        <v>39</v>
      </c>
      <c r="J1970" s="2" t="n">
        <v>2</v>
      </c>
      <c r="K1970" s="2" t="s">
        <v>49</v>
      </c>
      <c r="L1970" s="2" t="s">
        <v>37</v>
      </c>
      <c r="M1970" s="2" t="n">
        <v>69290</v>
      </c>
      <c r="N1970" s="2" t="n">
        <v>9</v>
      </c>
      <c r="O1970" s="2" t="n">
        <v>20</v>
      </c>
      <c r="P1970" s="2" t="n">
        <v>0</v>
      </c>
      <c r="Q1970" s="2" t="n">
        <v>10</v>
      </c>
      <c r="R1970" s="2" t="n">
        <v>6</v>
      </c>
      <c r="S1970" s="2" t="n">
        <v>8</v>
      </c>
      <c r="T1970" s="2" t="n">
        <v>7</v>
      </c>
      <c r="U1970" s="2" t="n">
        <v>7</v>
      </c>
      <c r="V1970" s="2" t="n">
        <v>4</v>
      </c>
      <c r="W1970" s="2" t="n">
        <v>3</v>
      </c>
      <c r="X1970" s="2" t="n">
        <v>3</v>
      </c>
      <c r="Y1970" s="2" t="n">
        <v>1</v>
      </c>
      <c r="Z1970" s="2" t="n">
        <v>4</v>
      </c>
    </row>
    <row r="1971" customFormat="false" ht="15" hidden="false" customHeight="true" outlineLevel="0" collapsed="false">
      <c r="A1971" s="2" t="n">
        <v>34</v>
      </c>
      <c r="B1971" s="2" t="s">
        <v>26</v>
      </c>
      <c r="C1971" s="2" t="s">
        <v>27</v>
      </c>
      <c r="D1971" s="2" t="s">
        <v>28</v>
      </c>
      <c r="E1971" s="2" t="n">
        <v>6</v>
      </c>
      <c r="F1971" s="2" t="n">
        <v>4</v>
      </c>
      <c r="G1971" s="2" t="s">
        <v>50</v>
      </c>
      <c r="H1971" s="2" t="n">
        <v>1970</v>
      </c>
      <c r="I1971" s="2" t="s">
        <v>39</v>
      </c>
      <c r="J1971" s="2" t="n">
        <v>2</v>
      </c>
      <c r="K1971" s="2" t="s">
        <v>44</v>
      </c>
      <c r="L1971" s="2" t="s">
        <v>46</v>
      </c>
      <c r="M1971" s="2" t="n">
        <v>96130</v>
      </c>
      <c r="N1971" s="2" t="n">
        <v>0</v>
      </c>
      <c r="O1971" s="2" t="n">
        <v>12</v>
      </c>
      <c r="P1971" s="2" t="n">
        <v>1</v>
      </c>
      <c r="Q1971" s="2" t="n">
        <v>16</v>
      </c>
      <c r="R1971" s="2" t="n">
        <v>5</v>
      </c>
      <c r="S1971" s="2" t="n">
        <v>15</v>
      </c>
      <c r="T1971" s="2" t="n">
        <v>0</v>
      </c>
      <c r="U1971" s="2" t="n">
        <v>9</v>
      </c>
      <c r="V1971" s="2" t="n">
        <v>2</v>
      </c>
      <c r="W1971" s="2" t="n">
        <v>4</v>
      </c>
      <c r="X1971" s="2" t="n">
        <v>2</v>
      </c>
      <c r="Y1971" s="2" t="n">
        <v>2</v>
      </c>
      <c r="Z1971" s="2" t="n">
        <v>3</v>
      </c>
    </row>
    <row r="1972" customFormat="false" ht="15" hidden="false" customHeight="true" outlineLevel="0" collapsed="false">
      <c r="A1972" s="2" t="n">
        <v>59</v>
      </c>
      <c r="B1972" s="2" t="s">
        <v>26</v>
      </c>
      <c r="C1972" s="2" t="s">
        <v>27</v>
      </c>
      <c r="D1972" s="2" t="s">
        <v>35</v>
      </c>
      <c r="E1972" s="2" t="n">
        <v>5</v>
      </c>
      <c r="F1972" s="2" t="n">
        <v>3</v>
      </c>
      <c r="G1972" s="2" t="s">
        <v>29</v>
      </c>
      <c r="H1972" s="2" t="n">
        <v>1971</v>
      </c>
      <c r="I1972" s="2" t="s">
        <v>39</v>
      </c>
      <c r="J1972" s="2" t="n">
        <v>2</v>
      </c>
      <c r="K1972" s="2" t="s">
        <v>36</v>
      </c>
      <c r="L1972" s="2" t="s">
        <v>32</v>
      </c>
      <c r="M1972" s="2" t="n">
        <v>56740</v>
      </c>
      <c r="N1972" s="2" t="n">
        <v>3</v>
      </c>
      <c r="O1972" s="2" t="n">
        <v>12</v>
      </c>
      <c r="P1972" s="2" t="n">
        <v>0</v>
      </c>
      <c r="Q1972" s="2" t="n">
        <v>14</v>
      </c>
      <c r="R1972" s="2" t="n">
        <v>6</v>
      </c>
      <c r="S1972" s="2" t="n">
        <v>6</v>
      </c>
      <c r="T1972" s="2" t="n">
        <v>0</v>
      </c>
      <c r="U1972" s="2" t="n">
        <v>4</v>
      </c>
      <c r="V1972" s="2" t="n">
        <v>2</v>
      </c>
      <c r="W1972" s="2" t="n">
        <v>4</v>
      </c>
      <c r="X1972" s="2" t="n">
        <v>1</v>
      </c>
      <c r="Y1972" s="2" t="n">
        <v>3</v>
      </c>
      <c r="Z1972" s="2" t="n">
        <v>3</v>
      </c>
    </row>
    <row r="1973" customFormat="false" ht="15" hidden="false" customHeight="true" outlineLevel="0" collapsed="false">
      <c r="A1973" s="2" t="n">
        <v>45</v>
      </c>
      <c r="B1973" s="2" t="s">
        <v>26</v>
      </c>
      <c r="C1973" s="2" t="s">
        <v>27</v>
      </c>
      <c r="D1973" s="2" t="s">
        <v>35</v>
      </c>
      <c r="E1973" s="2" t="n">
        <v>16</v>
      </c>
      <c r="F1973" s="2" t="n">
        <v>1</v>
      </c>
      <c r="G1973" s="2" t="s">
        <v>43</v>
      </c>
      <c r="H1973" s="2" t="n">
        <v>1972</v>
      </c>
      <c r="I1973" s="2" t="s">
        <v>39</v>
      </c>
      <c r="J1973" s="2" t="n">
        <v>2</v>
      </c>
      <c r="K1973" s="2" t="s">
        <v>40</v>
      </c>
      <c r="L1973" s="2" t="s">
        <v>37</v>
      </c>
      <c r="M1973" s="2" t="n">
        <v>54840</v>
      </c>
      <c r="N1973" s="2" t="n">
        <v>1</v>
      </c>
      <c r="O1973" s="2" t="n">
        <v>20</v>
      </c>
      <c r="P1973" s="2" t="n">
        <v>3</v>
      </c>
      <c r="Q1973" s="2" t="n">
        <v>6</v>
      </c>
      <c r="R1973" s="2" t="n">
        <v>6</v>
      </c>
      <c r="S1973" s="2" t="n">
        <v>6</v>
      </c>
      <c r="T1973" s="2" t="n">
        <v>0</v>
      </c>
      <c r="U1973" s="2" t="n">
        <v>4</v>
      </c>
      <c r="V1973" s="2" t="n">
        <v>2</v>
      </c>
      <c r="W1973" s="2" t="n">
        <v>2</v>
      </c>
      <c r="X1973" s="2" t="n">
        <v>3</v>
      </c>
      <c r="Y1973" s="2" t="n">
        <v>3</v>
      </c>
      <c r="Z1973" s="2" t="n">
        <v>4</v>
      </c>
    </row>
    <row r="1974" customFormat="false" ht="15" hidden="false" customHeight="true" outlineLevel="0" collapsed="false">
      <c r="A1974" s="2" t="n">
        <v>53</v>
      </c>
      <c r="B1974" s="2" t="s">
        <v>26</v>
      </c>
      <c r="C1974" s="2" t="s">
        <v>34</v>
      </c>
      <c r="D1974" s="2" t="s">
        <v>28</v>
      </c>
      <c r="E1974" s="2" t="n">
        <v>8</v>
      </c>
      <c r="F1974" s="2" t="n">
        <v>2</v>
      </c>
      <c r="G1974" s="2" t="s">
        <v>43</v>
      </c>
      <c r="H1974" s="2" t="n">
        <v>1973</v>
      </c>
      <c r="I1974" s="2" t="s">
        <v>39</v>
      </c>
      <c r="J1974" s="2" t="n">
        <v>2</v>
      </c>
      <c r="K1974" s="2" t="s">
        <v>36</v>
      </c>
      <c r="L1974" s="2" t="s">
        <v>32</v>
      </c>
      <c r="M1974" s="2" t="n">
        <v>120610</v>
      </c>
      <c r="N1974" s="2" t="n">
        <v>2</v>
      </c>
      <c r="O1974" s="2" t="n">
        <v>20</v>
      </c>
      <c r="P1974" s="2" t="n">
        <v>1</v>
      </c>
      <c r="Q1974" s="2" t="n">
        <v>30</v>
      </c>
      <c r="R1974" s="2" t="n">
        <v>2</v>
      </c>
      <c r="S1974" s="2" t="n">
        <v>15</v>
      </c>
      <c r="T1974" s="2" t="n">
        <v>6</v>
      </c>
      <c r="U1974" s="2" t="n">
        <v>12</v>
      </c>
      <c r="V1974" s="2" t="n">
        <v>3</v>
      </c>
      <c r="W1974" s="2" t="n">
        <v>2</v>
      </c>
      <c r="X1974" s="2" t="n">
        <v>3</v>
      </c>
      <c r="Y1974" s="2" t="n">
        <v>4</v>
      </c>
      <c r="Z1974" s="2" t="n">
        <v>4</v>
      </c>
    </row>
    <row r="1975" customFormat="false" ht="15" hidden="false" customHeight="true" outlineLevel="0" collapsed="false">
      <c r="A1975" s="2" t="n">
        <v>36</v>
      </c>
      <c r="B1975" s="2" t="s">
        <v>33</v>
      </c>
      <c r="C1975" s="2" t="s">
        <v>27</v>
      </c>
      <c r="D1975" s="2" t="s">
        <v>35</v>
      </c>
      <c r="E1975" s="2" t="n">
        <v>7</v>
      </c>
      <c r="F1975" s="2" t="n">
        <v>2</v>
      </c>
      <c r="G1975" s="2" t="s">
        <v>29</v>
      </c>
      <c r="H1975" s="2" t="n">
        <v>1974</v>
      </c>
      <c r="I1975" s="2" t="s">
        <v>30</v>
      </c>
      <c r="J1975" s="2" t="n">
        <v>1</v>
      </c>
      <c r="K1975" s="2" t="s">
        <v>36</v>
      </c>
      <c r="L1975" s="2" t="s">
        <v>46</v>
      </c>
      <c r="M1975" s="2" t="n">
        <v>56600</v>
      </c>
      <c r="N1975" s="2" t="n">
        <v>7</v>
      </c>
      <c r="O1975" s="2" t="n">
        <v>12</v>
      </c>
      <c r="P1975" s="2" t="n">
        <v>0</v>
      </c>
      <c r="Q1975" s="2" t="n">
        <v>9</v>
      </c>
      <c r="R1975" s="2" t="n">
        <v>3</v>
      </c>
      <c r="S1975" s="2" t="n">
        <v>1</v>
      </c>
      <c r="T1975" s="2" t="n">
        <v>0</v>
      </c>
      <c r="U1975" s="2" t="n">
        <v>0</v>
      </c>
      <c r="V1975" s="2" t="n">
        <v>1</v>
      </c>
      <c r="W1975" s="2" t="n">
        <v>3</v>
      </c>
      <c r="X1975" s="2" t="n">
        <v>2</v>
      </c>
      <c r="Y1975" s="2" t="n">
        <v>3</v>
      </c>
      <c r="Z1975" s="2" t="n">
        <v>3</v>
      </c>
    </row>
    <row r="1976" customFormat="false" ht="15" hidden="false" customHeight="true" outlineLevel="0" collapsed="false">
      <c r="A1976" s="2" t="n">
        <v>26</v>
      </c>
      <c r="B1976" s="2" t="s">
        <v>33</v>
      </c>
      <c r="C1976" s="2" t="s">
        <v>34</v>
      </c>
      <c r="D1976" s="2" t="s">
        <v>28</v>
      </c>
      <c r="E1976" s="2" t="n">
        <v>2</v>
      </c>
      <c r="F1976" s="2" t="n">
        <v>3</v>
      </c>
      <c r="G1976" s="2" t="s">
        <v>29</v>
      </c>
      <c r="H1976" s="2" t="n">
        <v>1975</v>
      </c>
      <c r="I1976" s="2" t="s">
        <v>39</v>
      </c>
      <c r="J1976" s="2" t="n">
        <v>2</v>
      </c>
      <c r="K1976" s="2" t="s">
        <v>36</v>
      </c>
      <c r="L1976" s="2" t="s">
        <v>32</v>
      </c>
      <c r="M1976" s="2" t="n">
        <v>48210</v>
      </c>
      <c r="N1976" s="2" t="n">
        <v>6</v>
      </c>
      <c r="O1976" s="2" t="n">
        <v>14</v>
      </c>
      <c r="P1976" s="2" t="n">
        <v>2</v>
      </c>
      <c r="Q1976" s="2" t="n">
        <v>6</v>
      </c>
      <c r="R1976" s="2" t="n">
        <v>2</v>
      </c>
      <c r="S1976" s="2" t="n">
        <v>3</v>
      </c>
      <c r="T1976" s="2" t="n">
        <v>1</v>
      </c>
      <c r="U1976" s="2" t="n">
        <v>2</v>
      </c>
      <c r="V1976" s="2" t="n">
        <v>1</v>
      </c>
      <c r="W1976" s="2" t="n">
        <v>1</v>
      </c>
      <c r="X1976" s="2" t="n">
        <v>3</v>
      </c>
      <c r="Y1976" s="2" t="n">
        <v>3</v>
      </c>
      <c r="Z1976" s="2" t="n">
        <v>3</v>
      </c>
    </row>
    <row r="1977" customFormat="false" ht="15" hidden="false" customHeight="true" outlineLevel="0" collapsed="false">
      <c r="A1977" s="2" t="n">
        <v>34</v>
      </c>
      <c r="B1977" s="2" t="s">
        <v>26</v>
      </c>
      <c r="C1977" s="2" t="s">
        <v>27</v>
      </c>
      <c r="D1977" s="2" t="s">
        <v>35</v>
      </c>
      <c r="E1977" s="2" t="n">
        <v>2</v>
      </c>
      <c r="F1977" s="2" t="n">
        <v>2</v>
      </c>
      <c r="G1977" s="2" t="s">
        <v>29</v>
      </c>
      <c r="H1977" s="2" t="n">
        <v>1976</v>
      </c>
      <c r="I1977" s="2" t="s">
        <v>39</v>
      </c>
      <c r="J1977" s="2" t="n">
        <v>1</v>
      </c>
      <c r="K1977" s="2" t="s">
        <v>48</v>
      </c>
      <c r="L1977" s="2" t="s">
        <v>32</v>
      </c>
      <c r="M1977" s="2" t="n">
        <v>64100</v>
      </c>
      <c r="N1977" s="2" t="n">
        <v>1</v>
      </c>
      <c r="O1977" s="2" t="n">
        <v>13</v>
      </c>
      <c r="P1977" s="2" t="n">
        <v>1</v>
      </c>
      <c r="Q1977" s="2" t="n">
        <v>1</v>
      </c>
      <c r="R1977" s="2" t="n">
        <v>5</v>
      </c>
      <c r="S1977" s="2" t="n">
        <v>1</v>
      </c>
      <c r="T1977" s="2" t="n">
        <v>0</v>
      </c>
      <c r="U1977" s="2" t="n">
        <v>0</v>
      </c>
      <c r="V1977" s="2" t="n">
        <v>3</v>
      </c>
      <c r="W1977" s="2" t="n">
        <v>3</v>
      </c>
      <c r="X1977" s="2" t="n">
        <v>3</v>
      </c>
      <c r="Y1977" s="2" t="n">
        <v>2</v>
      </c>
      <c r="Z1977" s="2" t="n">
        <v>3</v>
      </c>
    </row>
    <row r="1978" customFormat="false" ht="15" hidden="false" customHeight="true" outlineLevel="0" collapsed="false">
      <c r="A1978" s="2" t="n">
        <v>28</v>
      </c>
      <c r="B1978" s="2" t="s">
        <v>26</v>
      </c>
      <c r="C1978" s="2" t="s">
        <v>27</v>
      </c>
      <c r="D1978" s="2" t="s">
        <v>35</v>
      </c>
      <c r="E1978" s="2" t="n">
        <v>10</v>
      </c>
      <c r="F1978" s="2" t="n">
        <v>3</v>
      </c>
      <c r="G1978" s="2" t="s">
        <v>38</v>
      </c>
      <c r="H1978" s="2" t="n">
        <v>1977</v>
      </c>
      <c r="I1978" s="2" t="s">
        <v>39</v>
      </c>
      <c r="J1978" s="2" t="n">
        <v>2</v>
      </c>
      <c r="K1978" s="2" t="s">
        <v>48</v>
      </c>
      <c r="L1978" s="2" t="s">
        <v>32</v>
      </c>
      <c r="M1978" s="2" t="n">
        <v>52100</v>
      </c>
      <c r="N1978" s="2" t="n">
        <v>1</v>
      </c>
      <c r="O1978" s="2" t="n">
        <v>15</v>
      </c>
      <c r="P1978" s="2" t="n">
        <v>0</v>
      </c>
      <c r="Q1978" s="2" t="n">
        <v>1</v>
      </c>
      <c r="R1978" s="2" t="n">
        <v>1</v>
      </c>
      <c r="S1978" s="2" t="n">
        <v>1</v>
      </c>
      <c r="T1978" s="2" t="n">
        <v>0</v>
      </c>
      <c r="U1978" s="2" t="n">
        <v>0</v>
      </c>
      <c r="V1978" s="2" t="n">
        <v>4</v>
      </c>
      <c r="W1978" s="2" t="n">
        <v>2</v>
      </c>
      <c r="X1978" s="2" t="n">
        <v>3</v>
      </c>
      <c r="Y1978" s="2" t="n">
        <v>4</v>
      </c>
      <c r="Z1978" s="2" t="n">
        <v>3</v>
      </c>
    </row>
    <row r="1979" customFormat="false" ht="15" hidden="false" customHeight="true" outlineLevel="0" collapsed="false">
      <c r="A1979" s="2" t="n">
        <v>38</v>
      </c>
      <c r="B1979" s="2" t="s">
        <v>26</v>
      </c>
      <c r="C1979" s="2" t="s">
        <v>34</v>
      </c>
      <c r="D1979" s="2" t="s">
        <v>28</v>
      </c>
      <c r="E1979" s="2" t="n">
        <v>9</v>
      </c>
      <c r="F1979" s="2" t="n">
        <v>4</v>
      </c>
      <c r="G1979" s="2" t="s">
        <v>43</v>
      </c>
      <c r="H1979" s="2" t="n">
        <v>1978</v>
      </c>
      <c r="I1979" s="2" t="s">
        <v>39</v>
      </c>
      <c r="J1979" s="2" t="n">
        <v>2</v>
      </c>
      <c r="K1979" s="2" t="s">
        <v>36</v>
      </c>
      <c r="L1979" s="2" t="s">
        <v>32</v>
      </c>
      <c r="M1979" s="2" t="n">
        <v>26950</v>
      </c>
      <c r="N1979" s="2" t="n">
        <v>3</v>
      </c>
      <c r="O1979" s="2" t="n">
        <v>14</v>
      </c>
      <c r="P1979" s="2" t="n">
        <v>1</v>
      </c>
      <c r="Q1979" s="2" t="n">
        <v>8</v>
      </c>
      <c r="R1979" s="2" t="n">
        <v>4</v>
      </c>
      <c r="S1979" s="2" t="n">
        <v>2</v>
      </c>
      <c r="T1979" s="2" t="n">
        <v>2</v>
      </c>
      <c r="U1979" s="2" t="n">
        <v>2</v>
      </c>
      <c r="V1979" s="2" t="n">
        <v>3</v>
      </c>
      <c r="W1979" s="2" t="n">
        <v>3</v>
      </c>
      <c r="X1979" s="2" t="n">
        <v>3</v>
      </c>
      <c r="Y1979" s="2" t="n">
        <v>1</v>
      </c>
      <c r="Z1979" s="2" t="n">
        <v>3</v>
      </c>
    </row>
    <row r="1980" customFormat="false" ht="15" hidden="false" customHeight="true" outlineLevel="0" collapsed="false">
      <c r="A1980" s="2" t="n">
        <v>50</v>
      </c>
      <c r="B1980" s="2" t="s">
        <v>26</v>
      </c>
      <c r="C1980" s="2" t="s">
        <v>27</v>
      </c>
      <c r="D1980" s="2" t="s">
        <v>35</v>
      </c>
      <c r="E1980" s="2" t="n">
        <v>5</v>
      </c>
      <c r="F1980" s="2" t="n">
        <v>4</v>
      </c>
      <c r="G1980" s="2" t="s">
        <v>29</v>
      </c>
      <c r="H1980" s="2" t="n">
        <v>1979</v>
      </c>
      <c r="I1980" s="2" t="s">
        <v>39</v>
      </c>
      <c r="J1980" s="2" t="n">
        <v>1</v>
      </c>
      <c r="K1980" s="2" t="s">
        <v>40</v>
      </c>
      <c r="L1980" s="2" t="s">
        <v>32</v>
      </c>
      <c r="M1980" s="2" t="n">
        <v>118780</v>
      </c>
      <c r="N1980" s="2" t="n">
        <v>2</v>
      </c>
      <c r="O1980" s="2" t="n">
        <v>13</v>
      </c>
      <c r="P1980" s="2" t="n">
        <v>1</v>
      </c>
      <c r="Q1980" s="2" t="n">
        <v>29</v>
      </c>
      <c r="R1980" s="2" t="n">
        <v>2</v>
      </c>
      <c r="S1980" s="2" t="n">
        <v>8</v>
      </c>
      <c r="T1980" s="2" t="n">
        <v>7</v>
      </c>
      <c r="U1980" s="2" t="n">
        <v>7</v>
      </c>
      <c r="V1980" s="2" t="n">
        <v>2</v>
      </c>
      <c r="W1980" s="2" t="n">
        <v>3</v>
      </c>
      <c r="X1980" s="2" t="n">
        <v>2</v>
      </c>
      <c r="Y1980" s="2" t="n">
        <v>3</v>
      </c>
      <c r="Z1980" s="2" t="n">
        <v>3</v>
      </c>
    </row>
    <row r="1981" customFormat="false" ht="15" hidden="false" customHeight="true" outlineLevel="0" collapsed="false">
      <c r="A1981" s="2" t="n">
        <v>37</v>
      </c>
      <c r="B1981" s="2" t="s">
        <v>26</v>
      </c>
      <c r="C1981" s="2" t="s">
        <v>27</v>
      </c>
      <c r="D1981" s="2" t="s">
        <v>35</v>
      </c>
      <c r="E1981" s="2" t="n">
        <v>1</v>
      </c>
      <c r="F1981" s="2" t="n">
        <v>3</v>
      </c>
      <c r="G1981" s="2" t="s">
        <v>29</v>
      </c>
      <c r="H1981" s="2" t="n">
        <v>1980</v>
      </c>
      <c r="I1981" s="2" t="s">
        <v>39</v>
      </c>
      <c r="J1981" s="2" t="n">
        <v>1</v>
      </c>
      <c r="K1981" s="2" t="s">
        <v>45</v>
      </c>
      <c r="L1981" s="2" t="s">
        <v>37</v>
      </c>
      <c r="M1981" s="2" t="n">
        <v>170680</v>
      </c>
      <c r="N1981" s="2" t="n">
        <v>3</v>
      </c>
      <c r="O1981" s="2" t="n">
        <v>23</v>
      </c>
      <c r="P1981" s="2" t="n">
        <v>0</v>
      </c>
      <c r="Q1981" s="2" t="n">
        <v>8</v>
      </c>
      <c r="R1981" s="2" t="n">
        <v>6</v>
      </c>
      <c r="S1981" s="2" t="n">
        <v>4</v>
      </c>
      <c r="T1981" s="2" t="n">
        <v>0</v>
      </c>
      <c r="U1981" s="2" t="n">
        <v>1</v>
      </c>
      <c r="V1981" s="2" t="n">
        <v>4</v>
      </c>
      <c r="W1981" s="2" t="n">
        <v>2</v>
      </c>
      <c r="X1981" s="2" t="n">
        <v>2</v>
      </c>
      <c r="Y1981" s="2" t="n">
        <v>3</v>
      </c>
      <c r="Z1981" s="2" t="n">
        <v>4</v>
      </c>
    </row>
    <row r="1982" customFormat="false" ht="15" hidden="false" customHeight="true" outlineLevel="0" collapsed="false">
      <c r="A1982" s="2" t="n">
        <v>40</v>
      </c>
      <c r="B1982" s="2" t="s">
        <v>26</v>
      </c>
      <c r="C1982" s="2" t="s">
        <v>27</v>
      </c>
      <c r="D1982" s="2" t="s">
        <v>42</v>
      </c>
      <c r="E1982" s="2" t="n">
        <v>2</v>
      </c>
      <c r="F1982" s="2" t="n">
        <v>3</v>
      </c>
      <c r="G1982" s="2" t="s">
        <v>43</v>
      </c>
      <c r="H1982" s="2" t="n">
        <v>1981</v>
      </c>
      <c r="I1982" s="2" t="s">
        <v>39</v>
      </c>
      <c r="J1982" s="2" t="n">
        <v>5</v>
      </c>
      <c r="K1982" s="2" t="s">
        <v>40</v>
      </c>
      <c r="L1982" s="2" t="s">
        <v>32</v>
      </c>
      <c r="M1982" s="2" t="n">
        <v>24550</v>
      </c>
      <c r="N1982" s="2" t="n">
        <v>1</v>
      </c>
      <c r="O1982" s="2" t="n">
        <v>15</v>
      </c>
      <c r="P1982" s="2" t="n">
        <v>1</v>
      </c>
      <c r="Q1982" s="2" t="n">
        <v>8</v>
      </c>
      <c r="R1982" s="2" t="n">
        <v>2</v>
      </c>
      <c r="S1982" s="2" t="n">
        <v>7</v>
      </c>
      <c r="T1982" s="2" t="n">
        <v>7</v>
      </c>
      <c r="U1982" s="2" t="n">
        <v>5</v>
      </c>
      <c r="V1982" s="2" t="n">
        <v>3</v>
      </c>
      <c r="W1982" s="2" t="n">
        <v>1</v>
      </c>
      <c r="X1982" s="2" t="n">
        <v>2</v>
      </c>
      <c r="Y1982" s="2" t="n">
        <v>3</v>
      </c>
      <c r="Z1982" s="2" t="n">
        <v>3</v>
      </c>
    </row>
    <row r="1983" customFormat="false" ht="15" hidden="false" customHeight="true" outlineLevel="0" collapsed="false">
      <c r="A1983" s="2" t="n">
        <v>26</v>
      </c>
      <c r="B1983" s="2" t="s">
        <v>26</v>
      </c>
      <c r="C1983" s="2" t="s">
        <v>34</v>
      </c>
      <c r="D1983" s="2" t="s">
        <v>35</v>
      </c>
      <c r="E1983" s="2" t="n">
        <v>3</v>
      </c>
      <c r="F1983" s="2" t="n">
        <v>3</v>
      </c>
      <c r="G1983" s="2" t="s">
        <v>43</v>
      </c>
      <c r="H1983" s="2" t="n">
        <v>1982</v>
      </c>
      <c r="I1983" s="2" t="s">
        <v>39</v>
      </c>
      <c r="J1983" s="2" t="n">
        <v>2</v>
      </c>
      <c r="K1983" s="2" t="s">
        <v>45</v>
      </c>
      <c r="L1983" s="2" t="s">
        <v>46</v>
      </c>
      <c r="M1983" s="2" t="n">
        <v>139640</v>
      </c>
      <c r="N1983" s="2" t="n">
        <v>1</v>
      </c>
      <c r="O1983" s="2" t="n">
        <v>11</v>
      </c>
      <c r="P1983" s="2" t="n">
        <v>2</v>
      </c>
      <c r="Q1983" s="2" t="n">
        <v>5</v>
      </c>
      <c r="R1983" s="2" t="n">
        <v>1</v>
      </c>
      <c r="S1983" s="2" t="n">
        <v>5</v>
      </c>
      <c r="T1983" s="2" t="n">
        <v>1</v>
      </c>
      <c r="U1983" s="2" t="n">
        <v>3</v>
      </c>
      <c r="V1983" s="2" t="n">
        <v>1</v>
      </c>
      <c r="W1983" s="2" t="n">
        <v>3</v>
      </c>
      <c r="X1983" s="2" t="n">
        <v>3</v>
      </c>
      <c r="Y1983" s="2" t="n">
        <v>2</v>
      </c>
      <c r="Z1983" s="2" t="n">
        <v>3</v>
      </c>
    </row>
    <row r="1984" customFormat="false" ht="15" hidden="false" customHeight="true" outlineLevel="0" collapsed="false">
      <c r="A1984" s="2" t="n">
        <v>46</v>
      </c>
      <c r="B1984" s="2" t="s">
        <v>26</v>
      </c>
      <c r="C1984" s="2" t="s">
        <v>27</v>
      </c>
      <c r="D1984" s="2" t="s">
        <v>35</v>
      </c>
      <c r="E1984" s="2" t="n">
        <v>2</v>
      </c>
      <c r="F1984" s="2" t="n">
        <v>1</v>
      </c>
      <c r="G1984" s="2" t="s">
        <v>43</v>
      </c>
      <c r="H1984" s="2" t="n">
        <v>1983</v>
      </c>
      <c r="I1984" s="2" t="s">
        <v>30</v>
      </c>
      <c r="J1984" s="2" t="n">
        <v>3</v>
      </c>
      <c r="K1984" s="2" t="s">
        <v>36</v>
      </c>
      <c r="L1984" s="2" t="s">
        <v>46</v>
      </c>
      <c r="M1984" s="2" t="n">
        <v>49410</v>
      </c>
      <c r="N1984" s="2" t="n">
        <v>9</v>
      </c>
      <c r="O1984" s="2" t="n">
        <v>13</v>
      </c>
      <c r="P1984" s="2" t="n">
        <v>2</v>
      </c>
      <c r="Q1984" s="2" t="n">
        <v>23</v>
      </c>
      <c r="R1984" s="2" t="n">
        <v>2</v>
      </c>
      <c r="S1984" s="2" t="n">
        <v>2</v>
      </c>
      <c r="T1984" s="2" t="n">
        <v>2</v>
      </c>
      <c r="U1984" s="2" t="n">
        <v>2</v>
      </c>
      <c r="V1984" s="2" t="n">
        <v>4</v>
      </c>
      <c r="W1984" s="2" t="n">
        <v>4</v>
      </c>
      <c r="X1984" s="2" t="n">
        <v>3</v>
      </c>
      <c r="Y1984" s="2" t="n">
        <v>2</v>
      </c>
      <c r="Z1984" s="2" t="n">
        <v>3</v>
      </c>
    </row>
    <row r="1985" customFormat="false" ht="15" hidden="false" customHeight="true" outlineLevel="0" collapsed="false">
      <c r="A1985" s="2" t="n">
        <v>54</v>
      </c>
      <c r="B1985" s="2" t="s">
        <v>26</v>
      </c>
      <c r="C1985" s="2" t="s">
        <v>27</v>
      </c>
      <c r="D1985" s="2" t="s">
        <v>35</v>
      </c>
      <c r="E1985" s="2" t="n">
        <v>5</v>
      </c>
      <c r="F1985" s="2" t="n">
        <v>3</v>
      </c>
      <c r="G1985" s="2" t="s">
        <v>43</v>
      </c>
      <c r="H1985" s="2" t="n">
        <v>1984</v>
      </c>
      <c r="I1985" s="2" t="s">
        <v>30</v>
      </c>
      <c r="J1985" s="2" t="n">
        <v>2</v>
      </c>
      <c r="K1985" s="2" t="s">
        <v>47</v>
      </c>
      <c r="L1985" s="2" t="s">
        <v>32</v>
      </c>
      <c r="M1985" s="2" t="n">
        <v>24780</v>
      </c>
      <c r="N1985" s="2" t="n">
        <v>6</v>
      </c>
      <c r="O1985" s="2" t="n">
        <v>11</v>
      </c>
      <c r="P1985" s="2" t="n">
        <v>0</v>
      </c>
      <c r="Q1985" s="2" t="n">
        <v>13</v>
      </c>
      <c r="R1985" s="2" t="n">
        <v>0</v>
      </c>
      <c r="S1985" s="2" t="n">
        <v>9</v>
      </c>
      <c r="T1985" s="2" t="n">
        <v>7</v>
      </c>
      <c r="U1985" s="2" t="n">
        <v>0</v>
      </c>
      <c r="V1985" s="2" t="n">
        <v>3</v>
      </c>
      <c r="W1985" s="2" t="n">
        <v>3</v>
      </c>
      <c r="X1985" s="2" t="n">
        <v>3</v>
      </c>
      <c r="Y1985" s="2" t="n">
        <v>3</v>
      </c>
      <c r="Z1985" s="2" t="n">
        <v>3</v>
      </c>
    </row>
    <row r="1986" customFormat="false" ht="15" hidden="false" customHeight="true" outlineLevel="0" collapsed="false">
      <c r="A1986" s="2" t="n">
        <v>56</v>
      </c>
      <c r="B1986" s="2" t="s">
        <v>26</v>
      </c>
      <c r="C1986" s="2" t="s">
        <v>34</v>
      </c>
      <c r="D1986" s="2" t="s">
        <v>35</v>
      </c>
      <c r="E1986" s="2" t="n">
        <v>1</v>
      </c>
      <c r="F1986" s="2" t="n">
        <v>2</v>
      </c>
      <c r="G1986" s="2" t="s">
        <v>29</v>
      </c>
      <c r="H1986" s="2" t="n">
        <v>1985</v>
      </c>
      <c r="I1986" s="2" t="s">
        <v>30</v>
      </c>
      <c r="J1986" s="2" t="n">
        <v>2</v>
      </c>
      <c r="K1986" s="2" t="s">
        <v>47</v>
      </c>
      <c r="L1986" s="2" t="s">
        <v>32</v>
      </c>
      <c r="M1986" s="2" t="n">
        <v>52280</v>
      </c>
      <c r="N1986" s="2" t="n">
        <v>2</v>
      </c>
      <c r="O1986" s="2" t="n">
        <v>11</v>
      </c>
      <c r="P1986" s="2" t="n">
        <v>0</v>
      </c>
      <c r="Q1986" s="2" t="n">
        <v>18</v>
      </c>
      <c r="R1986" s="2" t="n">
        <v>4</v>
      </c>
      <c r="S1986" s="2" t="n">
        <v>5</v>
      </c>
      <c r="T1986" s="2" t="n">
        <v>0</v>
      </c>
      <c r="U1986" s="2" t="n">
        <v>3</v>
      </c>
      <c r="V1986" s="2" t="n">
        <v>1</v>
      </c>
      <c r="W1986" s="2" t="n">
        <v>3</v>
      </c>
      <c r="X1986" s="2" t="n">
        <v>3</v>
      </c>
      <c r="Y1986" s="2" t="n">
        <v>3</v>
      </c>
      <c r="Z1986" s="2" t="n">
        <v>3</v>
      </c>
    </row>
    <row r="1987" customFormat="false" ht="15" hidden="false" customHeight="true" outlineLevel="0" collapsed="false">
      <c r="A1987" s="2" t="n">
        <v>36</v>
      </c>
      <c r="B1987" s="2" t="s">
        <v>26</v>
      </c>
      <c r="C1987" s="2" t="s">
        <v>27</v>
      </c>
      <c r="D1987" s="2" t="s">
        <v>35</v>
      </c>
      <c r="E1987" s="2" t="n">
        <v>4</v>
      </c>
      <c r="F1987" s="2" t="n">
        <v>2</v>
      </c>
      <c r="G1987" s="2" t="s">
        <v>29</v>
      </c>
      <c r="H1987" s="2" t="n">
        <v>1986</v>
      </c>
      <c r="I1987" s="2" t="s">
        <v>30</v>
      </c>
      <c r="J1987" s="2" t="n">
        <v>2</v>
      </c>
      <c r="K1987" s="2" t="s">
        <v>42</v>
      </c>
      <c r="L1987" s="2" t="s">
        <v>37</v>
      </c>
      <c r="M1987" s="2" t="n">
        <v>44780</v>
      </c>
      <c r="N1987" s="2" t="n">
        <v>0</v>
      </c>
      <c r="O1987" s="2" t="n">
        <v>18</v>
      </c>
      <c r="P1987" s="2" t="n">
        <v>1</v>
      </c>
      <c r="Q1987" s="2" t="n">
        <v>15</v>
      </c>
      <c r="R1987" s="2" t="n">
        <v>3</v>
      </c>
      <c r="S1987" s="2" t="n">
        <v>14</v>
      </c>
      <c r="T1987" s="2" t="n">
        <v>7</v>
      </c>
      <c r="U1987" s="2" t="n">
        <v>8</v>
      </c>
      <c r="V1987" s="2" t="n">
        <v>4</v>
      </c>
      <c r="W1987" s="2" t="n">
        <v>4</v>
      </c>
      <c r="X1987" s="2" t="n">
        <v>2</v>
      </c>
      <c r="Y1987" s="2" t="n">
        <v>3</v>
      </c>
      <c r="Z1987" s="2" t="n">
        <v>3</v>
      </c>
    </row>
    <row r="1988" customFormat="false" ht="15" hidden="false" customHeight="true" outlineLevel="0" collapsed="false">
      <c r="A1988" s="2" t="n">
        <v>55</v>
      </c>
      <c r="B1988" s="2" t="s">
        <v>26</v>
      </c>
      <c r="C1988" s="2" t="s">
        <v>41</v>
      </c>
      <c r="D1988" s="2" t="s">
        <v>35</v>
      </c>
      <c r="E1988" s="2" t="n">
        <v>2</v>
      </c>
      <c r="F1988" s="2" t="n">
        <v>3</v>
      </c>
      <c r="G1988" s="2" t="s">
        <v>43</v>
      </c>
      <c r="H1988" s="2" t="n">
        <v>1987</v>
      </c>
      <c r="I1988" s="2" t="s">
        <v>30</v>
      </c>
      <c r="J1988" s="2" t="n">
        <v>2</v>
      </c>
      <c r="K1988" s="2" t="s">
        <v>49</v>
      </c>
      <c r="L1988" s="2" t="s">
        <v>37</v>
      </c>
      <c r="M1988" s="2" t="n">
        <v>75470</v>
      </c>
      <c r="N1988" s="2" t="n">
        <v>7</v>
      </c>
      <c r="O1988" s="2" t="n">
        <v>16</v>
      </c>
      <c r="P1988" s="2" t="n">
        <v>0</v>
      </c>
      <c r="Q1988" s="2" t="n">
        <v>31</v>
      </c>
      <c r="R1988" s="2" t="n">
        <v>2</v>
      </c>
      <c r="S1988" s="2" t="n">
        <v>9</v>
      </c>
      <c r="T1988" s="2" t="n">
        <v>6</v>
      </c>
      <c r="U1988" s="2" t="n">
        <v>2</v>
      </c>
      <c r="V1988" s="2" t="n">
        <v>3</v>
      </c>
      <c r="W1988" s="2" t="n">
        <v>1</v>
      </c>
      <c r="X1988" s="2" t="n">
        <v>4</v>
      </c>
      <c r="Y1988" s="2" t="n">
        <v>2</v>
      </c>
      <c r="Z1988" s="2" t="n">
        <v>3</v>
      </c>
    </row>
    <row r="1989" customFormat="false" ht="15" hidden="false" customHeight="true" outlineLevel="0" collapsed="false">
      <c r="A1989" s="2" t="n">
        <v>43</v>
      </c>
      <c r="B1989" s="2" t="s">
        <v>26</v>
      </c>
      <c r="C1989" s="2" t="s">
        <v>27</v>
      </c>
      <c r="D1989" s="2" t="s">
        <v>28</v>
      </c>
      <c r="E1989" s="2" t="n">
        <v>25</v>
      </c>
      <c r="F1989" s="2" t="n">
        <v>2</v>
      </c>
      <c r="G1989" s="2" t="s">
        <v>29</v>
      </c>
      <c r="H1989" s="2" t="n">
        <v>1988</v>
      </c>
      <c r="I1989" s="2" t="s">
        <v>39</v>
      </c>
      <c r="J1989" s="2" t="n">
        <v>3</v>
      </c>
      <c r="K1989" s="2" t="s">
        <v>36</v>
      </c>
      <c r="L1989" s="2" t="s">
        <v>46</v>
      </c>
      <c r="M1989" s="2" t="n">
        <v>50550</v>
      </c>
      <c r="N1989" s="2" t="n">
        <v>5</v>
      </c>
      <c r="O1989" s="2" t="n">
        <v>22</v>
      </c>
      <c r="P1989" s="2" t="n">
        <v>0</v>
      </c>
      <c r="Q1989" s="2" t="n">
        <v>18</v>
      </c>
      <c r="R1989" s="2" t="n">
        <v>2</v>
      </c>
      <c r="S1989" s="2" t="n">
        <v>1</v>
      </c>
      <c r="T1989" s="2" t="n">
        <v>0</v>
      </c>
      <c r="U1989" s="2" t="n">
        <v>0</v>
      </c>
      <c r="V1989" s="2" t="n">
        <v>3</v>
      </c>
      <c r="W1989" s="2" t="n">
        <v>4</v>
      </c>
      <c r="X1989" s="2" t="n">
        <v>3</v>
      </c>
      <c r="Y1989" s="2" t="n">
        <v>2</v>
      </c>
      <c r="Z1989" s="2" t="n">
        <v>4</v>
      </c>
    </row>
    <row r="1990" customFormat="false" ht="15" hidden="false" customHeight="true" outlineLevel="0" collapsed="false">
      <c r="A1990" s="2" t="n">
        <v>20</v>
      </c>
      <c r="B1990" s="2" t="s">
        <v>33</v>
      </c>
      <c r="C1990" s="2" t="s">
        <v>34</v>
      </c>
      <c r="D1990" s="2" t="s">
        <v>28</v>
      </c>
      <c r="E1990" s="2" t="n">
        <v>8</v>
      </c>
      <c r="F1990" s="2" t="n">
        <v>3</v>
      </c>
      <c r="G1990" s="2" t="s">
        <v>50</v>
      </c>
      <c r="H1990" s="2" t="n">
        <v>1989</v>
      </c>
      <c r="I1990" s="2" t="s">
        <v>39</v>
      </c>
      <c r="J1990" s="2" t="n">
        <v>3</v>
      </c>
      <c r="K1990" s="2" t="s">
        <v>40</v>
      </c>
      <c r="L1990" s="2" t="s">
        <v>37</v>
      </c>
      <c r="M1990" s="2" t="n">
        <v>34640</v>
      </c>
      <c r="N1990" s="2" t="n">
        <v>1</v>
      </c>
      <c r="O1990" s="2" t="n">
        <v>20</v>
      </c>
      <c r="P1990" s="2" t="n">
        <v>0</v>
      </c>
      <c r="Q1990" s="2" t="n">
        <v>2</v>
      </c>
      <c r="R1990" s="2" t="n">
        <v>3</v>
      </c>
      <c r="S1990" s="2" t="n">
        <v>2</v>
      </c>
      <c r="T1990" s="2" t="n">
        <v>0</v>
      </c>
      <c r="U1990" s="2" t="n">
        <v>2</v>
      </c>
      <c r="V1990" s="2" t="n">
        <v>4</v>
      </c>
      <c r="W1990" s="2" t="n">
        <v>4</v>
      </c>
      <c r="X1990" s="2" t="n">
        <v>3</v>
      </c>
      <c r="Y1990" s="2" t="n">
        <v>2</v>
      </c>
      <c r="Z1990" s="2" t="n">
        <v>4</v>
      </c>
    </row>
    <row r="1991" customFormat="false" ht="15" hidden="false" customHeight="true" outlineLevel="0" collapsed="false">
      <c r="A1991" s="2" t="n">
        <v>21</v>
      </c>
      <c r="B1991" s="2" t="s">
        <v>33</v>
      </c>
      <c r="C1991" s="2" t="s">
        <v>27</v>
      </c>
      <c r="D1991" s="2" t="s">
        <v>35</v>
      </c>
      <c r="E1991" s="2" t="n">
        <v>1</v>
      </c>
      <c r="F1991" s="2" t="n">
        <v>4</v>
      </c>
      <c r="G1991" s="2" t="s">
        <v>29</v>
      </c>
      <c r="H1991" s="2" t="n">
        <v>1990</v>
      </c>
      <c r="I1991" s="2" t="s">
        <v>39</v>
      </c>
      <c r="J1991" s="2" t="n">
        <v>1</v>
      </c>
      <c r="K1991" s="2" t="s">
        <v>49</v>
      </c>
      <c r="L1991" s="2" t="s">
        <v>37</v>
      </c>
      <c r="M1991" s="2" t="n">
        <v>57750</v>
      </c>
      <c r="N1991" s="2" t="n">
        <v>1</v>
      </c>
      <c r="O1991" s="2" t="n">
        <v>18</v>
      </c>
      <c r="P1991" s="2" t="n">
        <v>0</v>
      </c>
      <c r="Q1991" s="2" t="n">
        <v>1</v>
      </c>
      <c r="R1991" s="2" t="n">
        <v>2</v>
      </c>
      <c r="S1991" s="2" t="n">
        <v>1</v>
      </c>
      <c r="T1991" s="2" t="n">
        <v>1</v>
      </c>
      <c r="U1991" s="2" t="n">
        <v>0</v>
      </c>
      <c r="V1991" s="2" t="n">
        <v>3</v>
      </c>
      <c r="W1991" s="2" t="n">
        <v>1</v>
      </c>
      <c r="X1991" s="2" t="n">
        <v>2</v>
      </c>
      <c r="Y1991" s="2" t="n">
        <v>3</v>
      </c>
      <c r="Z1991" s="2" t="n">
        <v>3</v>
      </c>
    </row>
    <row r="1992" customFormat="false" ht="15" hidden="false" customHeight="true" outlineLevel="0" collapsed="false">
      <c r="A1992" s="2" t="n">
        <v>46</v>
      </c>
      <c r="B1992" s="2" t="s">
        <v>26</v>
      </c>
      <c r="C1992" s="2" t="s">
        <v>27</v>
      </c>
      <c r="D1992" s="2" t="s">
        <v>28</v>
      </c>
      <c r="E1992" s="2" t="n">
        <v>12</v>
      </c>
      <c r="F1992" s="2" t="n">
        <v>3</v>
      </c>
      <c r="G1992" s="2" t="s">
        <v>50</v>
      </c>
      <c r="H1992" s="2" t="n">
        <v>1991</v>
      </c>
      <c r="I1992" s="2" t="s">
        <v>30</v>
      </c>
      <c r="J1992" s="2" t="n">
        <v>3</v>
      </c>
      <c r="K1992" s="2" t="s">
        <v>31</v>
      </c>
      <c r="L1992" s="2" t="s">
        <v>46</v>
      </c>
      <c r="M1992" s="2" t="n">
        <v>89430</v>
      </c>
      <c r="N1992" s="2" t="n">
        <v>8</v>
      </c>
      <c r="O1992" s="2" t="n">
        <v>12</v>
      </c>
      <c r="P1992" s="2" t="n">
        <v>1</v>
      </c>
      <c r="Q1992" s="2" t="n">
        <v>19</v>
      </c>
      <c r="R1992" s="2" t="n">
        <v>6</v>
      </c>
      <c r="S1992" s="2" t="n">
        <v>16</v>
      </c>
      <c r="T1992" s="2" t="n">
        <v>1</v>
      </c>
      <c r="U1992" s="2" t="n">
        <v>7</v>
      </c>
      <c r="V1992" s="2" t="n">
        <v>4</v>
      </c>
      <c r="W1992" s="2" t="n">
        <v>1</v>
      </c>
      <c r="X1992" s="2" t="n">
        <v>3</v>
      </c>
      <c r="Y1992" s="2" t="n">
        <v>3</v>
      </c>
      <c r="Z1992" s="2" t="n">
        <v>3</v>
      </c>
    </row>
    <row r="1993" customFormat="false" ht="15" hidden="false" customHeight="true" outlineLevel="0" collapsed="false">
      <c r="A1993" s="2" t="n">
        <v>51</v>
      </c>
      <c r="B1993" s="2" t="s">
        <v>33</v>
      </c>
      <c r="C1993" s="2" t="s">
        <v>27</v>
      </c>
      <c r="D1993" s="2" t="s">
        <v>28</v>
      </c>
      <c r="E1993" s="2" t="n">
        <v>23</v>
      </c>
      <c r="F1993" s="2" t="n">
        <v>3</v>
      </c>
      <c r="G1993" s="2" t="s">
        <v>43</v>
      </c>
      <c r="H1993" s="2" t="n">
        <v>1992</v>
      </c>
      <c r="I1993" s="2" t="s">
        <v>30</v>
      </c>
      <c r="J1993" s="2" t="n">
        <v>2</v>
      </c>
      <c r="K1993" s="2" t="s">
        <v>36</v>
      </c>
      <c r="L1993" s="2" t="s">
        <v>32</v>
      </c>
      <c r="M1993" s="2" t="n">
        <v>192720</v>
      </c>
      <c r="N1993" s="2" t="n">
        <v>9</v>
      </c>
      <c r="O1993" s="2" t="n">
        <v>20</v>
      </c>
      <c r="P1993" s="2" t="n">
        <v>0</v>
      </c>
      <c r="Q1993" s="2" t="n">
        <v>18</v>
      </c>
      <c r="R1993" s="2" t="n">
        <v>2</v>
      </c>
      <c r="S1993" s="2" t="n">
        <v>10</v>
      </c>
      <c r="T1993" s="2" t="n">
        <v>2</v>
      </c>
      <c r="U1993" s="2" t="n">
        <v>7</v>
      </c>
      <c r="V1993" s="2" t="n">
        <v>1</v>
      </c>
      <c r="W1993" s="2" t="n">
        <v>3</v>
      </c>
      <c r="X1993" s="2" t="n">
        <v>4</v>
      </c>
      <c r="Y1993" s="2" t="n">
        <v>3</v>
      </c>
      <c r="Z1993" s="2" t="n">
        <v>4</v>
      </c>
    </row>
    <row r="1994" customFormat="false" ht="15" hidden="false" customHeight="true" outlineLevel="0" collapsed="false">
      <c r="A1994" s="2" t="n">
        <v>28</v>
      </c>
      <c r="B1994" s="2" t="s">
        <v>33</v>
      </c>
      <c r="C1994" s="2" t="s">
        <v>41</v>
      </c>
      <c r="D1994" s="2" t="s">
        <v>35</v>
      </c>
      <c r="E1994" s="2" t="n">
        <v>19</v>
      </c>
      <c r="F1994" s="2" t="n">
        <v>4</v>
      </c>
      <c r="G1994" s="2" t="s">
        <v>29</v>
      </c>
      <c r="H1994" s="2" t="n">
        <v>1993</v>
      </c>
      <c r="I1994" s="2" t="s">
        <v>30</v>
      </c>
      <c r="J1994" s="2" t="n">
        <v>4</v>
      </c>
      <c r="K1994" s="2" t="s">
        <v>45</v>
      </c>
      <c r="L1994" s="2" t="s">
        <v>37</v>
      </c>
      <c r="M1994" s="2" t="n">
        <v>52380</v>
      </c>
      <c r="N1994" s="2" t="n">
        <v>1</v>
      </c>
      <c r="O1994" s="2" t="n">
        <v>17</v>
      </c>
      <c r="P1994" s="2" t="n">
        <v>1</v>
      </c>
      <c r="Q1994" s="2" t="n">
        <v>10</v>
      </c>
      <c r="R1994" s="2" t="n">
        <v>4</v>
      </c>
      <c r="S1994" s="2" t="n">
        <v>10</v>
      </c>
      <c r="T1994" s="2" t="n">
        <v>1</v>
      </c>
      <c r="U1994" s="2" t="n">
        <v>9</v>
      </c>
      <c r="V1994" s="2" t="n">
        <v>2</v>
      </c>
      <c r="W1994" s="2" t="n">
        <v>1</v>
      </c>
      <c r="X1994" s="2" t="n">
        <v>2</v>
      </c>
      <c r="Y1994" s="2" t="n">
        <v>2</v>
      </c>
      <c r="Z1994" s="2" t="n">
        <v>3</v>
      </c>
    </row>
    <row r="1995" customFormat="false" ht="15" hidden="false" customHeight="true" outlineLevel="0" collapsed="false">
      <c r="A1995" s="2" t="n">
        <v>26</v>
      </c>
      <c r="B1995" s="2" t="s">
        <v>26</v>
      </c>
      <c r="C1995" s="2" t="s">
        <v>27</v>
      </c>
      <c r="D1995" s="2" t="s">
        <v>35</v>
      </c>
      <c r="E1995" s="2" t="n">
        <v>5</v>
      </c>
      <c r="F1995" s="2" t="n">
        <v>4</v>
      </c>
      <c r="G1995" s="2" t="s">
        <v>43</v>
      </c>
      <c r="H1995" s="2" t="n">
        <v>1994</v>
      </c>
      <c r="I1995" s="2" t="s">
        <v>30</v>
      </c>
      <c r="J1995" s="2" t="n">
        <v>2</v>
      </c>
      <c r="K1995" s="2" t="s">
        <v>40</v>
      </c>
      <c r="L1995" s="2" t="s">
        <v>32</v>
      </c>
      <c r="M1995" s="2" t="n">
        <v>46820</v>
      </c>
      <c r="N1995" s="2" t="n">
        <v>1</v>
      </c>
      <c r="O1995" s="2" t="n">
        <v>11</v>
      </c>
      <c r="P1995" s="2" t="n">
        <v>1</v>
      </c>
      <c r="Q1995" s="2" t="n">
        <v>6</v>
      </c>
      <c r="R1995" s="2" t="n">
        <v>3</v>
      </c>
      <c r="S1995" s="2" t="n">
        <v>5</v>
      </c>
      <c r="T1995" s="2" t="n">
        <v>1</v>
      </c>
      <c r="U1995" s="2" t="n">
        <v>3</v>
      </c>
      <c r="V1995" s="2" t="n">
        <v>1</v>
      </c>
      <c r="W1995" s="2" t="n">
        <v>1</v>
      </c>
      <c r="X1995" s="2" t="n">
        <v>3</v>
      </c>
      <c r="Y1995" s="2" t="n">
        <v>1</v>
      </c>
      <c r="Z1995" s="2" t="n">
        <v>3</v>
      </c>
    </row>
    <row r="1996" customFormat="false" ht="15" hidden="false" customHeight="true" outlineLevel="0" collapsed="false">
      <c r="A1996" s="2" t="n">
        <v>30</v>
      </c>
      <c r="B1996" s="2" t="s">
        <v>26</v>
      </c>
      <c r="C1996" s="2" t="s">
        <v>27</v>
      </c>
      <c r="D1996" s="2" t="s">
        <v>35</v>
      </c>
      <c r="E1996" s="2" t="n">
        <v>8</v>
      </c>
      <c r="F1996" s="2" t="n">
        <v>3</v>
      </c>
      <c r="G1996" s="2" t="s">
        <v>43</v>
      </c>
      <c r="H1996" s="2" t="n">
        <v>1995</v>
      </c>
      <c r="I1996" s="2" t="s">
        <v>30</v>
      </c>
      <c r="J1996" s="2" t="n">
        <v>1</v>
      </c>
      <c r="K1996" s="2" t="s">
        <v>40</v>
      </c>
      <c r="L1996" s="2" t="s">
        <v>32</v>
      </c>
      <c r="M1996" s="2" t="n">
        <v>183000</v>
      </c>
      <c r="N1996" s="2" t="n">
        <v>0</v>
      </c>
      <c r="O1996" s="2" t="n">
        <v>14</v>
      </c>
      <c r="P1996" s="2" t="n">
        <v>0</v>
      </c>
      <c r="Q1996" s="2" t="n">
        <v>7</v>
      </c>
      <c r="R1996" s="2" t="n">
        <v>6</v>
      </c>
      <c r="S1996" s="2" t="n">
        <v>6</v>
      </c>
      <c r="T1996" s="2" t="n">
        <v>0</v>
      </c>
      <c r="U1996" s="2" t="n">
        <v>2</v>
      </c>
      <c r="V1996" s="2" t="n">
        <v>3</v>
      </c>
      <c r="W1996" s="2" t="n">
        <v>1</v>
      </c>
      <c r="X1996" s="2" t="n">
        <v>2</v>
      </c>
      <c r="Y1996" s="2" t="n">
        <v>3</v>
      </c>
      <c r="Z1996" s="2" t="n">
        <v>3</v>
      </c>
    </row>
    <row r="1997" customFormat="false" ht="15" hidden="false" customHeight="true" outlineLevel="0" collapsed="false">
      <c r="A1997" s="2" t="n">
        <v>41</v>
      </c>
      <c r="B1997" s="2" t="s">
        <v>26</v>
      </c>
      <c r="C1997" s="2" t="s">
        <v>27</v>
      </c>
      <c r="D1997" s="2" t="s">
        <v>28</v>
      </c>
      <c r="E1997" s="2" t="n">
        <v>1</v>
      </c>
      <c r="F1997" s="2" t="n">
        <v>4</v>
      </c>
      <c r="G1997" s="2" t="s">
        <v>29</v>
      </c>
      <c r="H1997" s="2" t="n">
        <v>1996</v>
      </c>
      <c r="I1997" s="2" t="s">
        <v>30</v>
      </c>
      <c r="J1997" s="2" t="n">
        <v>1</v>
      </c>
      <c r="K1997" s="2" t="s">
        <v>44</v>
      </c>
      <c r="L1997" s="2" t="s">
        <v>32</v>
      </c>
      <c r="M1997" s="2" t="n">
        <v>52570</v>
      </c>
      <c r="N1997" s="2" t="n">
        <v>1</v>
      </c>
      <c r="O1997" s="2" t="n">
        <v>14</v>
      </c>
      <c r="P1997" s="2" t="n">
        <v>0</v>
      </c>
      <c r="Q1997" s="2" t="n">
        <v>10</v>
      </c>
      <c r="R1997" s="2" t="n">
        <v>2</v>
      </c>
      <c r="S1997" s="2" t="n">
        <v>10</v>
      </c>
      <c r="T1997" s="2" t="n">
        <v>0</v>
      </c>
      <c r="U1997" s="2" t="n">
        <v>8</v>
      </c>
      <c r="V1997" s="2" t="n">
        <v>2</v>
      </c>
      <c r="W1997" s="2" t="n">
        <v>3</v>
      </c>
      <c r="X1997" s="2" t="n">
        <v>3</v>
      </c>
      <c r="Y1997" s="2" t="n">
        <v>4</v>
      </c>
      <c r="Z1997" s="2" t="n">
        <v>3</v>
      </c>
    </row>
    <row r="1998" customFormat="false" ht="15" hidden="false" customHeight="true" outlineLevel="0" collapsed="false">
      <c r="A1998" s="2" t="n">
        <v>38</v>
      </c>
      <c r="B1998" s="2" t="s">
        <v>26</v>
      </c>
      <c r="C1998" s="2" t="s">
        <v>27</v>
      </c>
      <c r="D1998" s="2" t="s">
        <v>35</v>
      </c>
      <c r="E1998" s="2" t="n">
        <v>5</v>
      </c>
      <c r="F1998" s="2" t="n">
        <v>3</v>
      </c>
      <c r="G1998" s="2" t="s">
        <v>51</v>
      </c>
      <c r="H1998" s="2" t="n">
        <v>1997</v>
      </c>
      <c r="I1998" s="2" t="s">
        <v>39</v>
      </c>
      <c r="J1998" s="2" t="n">
        <v>1</v>
      </c>
      <c r="K1998" s="2" t="s">
        <v>40</v>
      </c>
      <c r="L1998" s="2" t="s">
        <v>32</v>
      </c>
      <c r="M1998" s="2" t="n">
        <v>63490</v>
      </c>
      <c r="N1998" s="2"/>
      <c r="O1998" s="2" t="n">
        <v>11</v>
      </c>
      <c r="P1998" s="2" t="n">
        <v>0</v>
      </c>
      <c r="Q1998" s="2" t="n">
        <v>20</v>
      </c>
      <c r="R1998" s="2" t="n">
        <v>3</v>
      </c>
      <c r="S1998" s="2" t="n">
        <v>19</v>
      </c>
      <c r="T1998" s="2" t="n">
        <v>1</v>
      </c>
      <c r="U1998" s="2" t="n">
        <v>9</v>
      </c>
      <c r="V1998" s="2" t="n">
        <v>3</v>
      </c>
      <c r="W1998" s="2" t="n">
        <v>3</v>
      </c>
      <c r="X1998" s="2" t="n">
        <v>2</v>
      </c>
      <c r="Y1998" s="2" t="n">
        <v>3</v>
      </c>
      <c r="Z1998" s="2" t="n">
        <v>3</v>
      </c>
    </row>
    <row r="1999" customFormat="false" ht="15" hidden="false" customHeight="true" outlineLevel="0" collapsed="false">
      <c r="A1999" s="2" t="n">
        <v>40</v>
      </c>
      <c r="B1999" s="2" t="s">
        <v>26</v>
      </c>
      <c r="C1999" s="2" t="s">
        <v>27</v>
      </c>
      <c r="D1999" s="2" t="s">
        <v>28</v>
      </c>
      <c r="E1999" s="2" t="n">
        <v>1</v>
      </c>
      <c r="F1999" s="2" t="n">
        <v>4</v>
      </c>
      <c r="G1999" s="2" t="s">
        <v>50</v>
      </c>
      <c r="H1999" s="2" t="n">
        <v>1998</v>
      </c>
      <c r="I1999" s="2" t="s">
        <v>39</v>
      </c>
      <c r="J1999" s="2" t="n">
        <v>1</v>
      </c>
      <c r="K1999" s="2" t="s">
        <v>40</v>
      </c>
      <c r="L1999" s="2" t="s">
        <v>32</v>
      </c>
      <c r="M1999" s="2" t="n">
        <v>48690</v>
      </c>
      <c r="N1999" s="2" t="n">
        <v>4</v>
      </c>
      <c r="O1999" s="2" t="n">
        <v>12</v>
      </c>
      <c r="P1999" s="2" t="n">
        <v>0</v>
      </c>
      <c r="Q1999" s="2" t="n">
        <v>14</v>
      </c>
      <c r="R1999" s="2" t="n">
        <v>2</v>
      </c>
      <c r="S1999" s="2" t="n">
        <v>11</v>
      </c>
      <c r="T1999" s="2" t="n">
        <v>11</v>
      </c>
      <c r="U1999" s="2" t="n">
        <v>1</v>
      </c>
      <c r="V1999" s="2" t="n">
        <v>1</v>
      </c>
      <c r="W1999" s="2" t="n">
        <v>4</v>
      </c>
      <c r="X1999" s="2" t="n">
        <v>3</v>
      </c>
      <c r="Y1999" s="2" t="n">
        <v>3</v>
      </c>
      <c r="Z1999" s="2" t="n">
        <v>3</v>
      </c>
    </row>
    <row r="2000" customFormat="false" ht="15" hidden="false" customHeight="true" outlineLevel="0" collapsed="false">
      <c r="A2000" s="2" t="n">
        <v>27</v>
      </c>
      <c r="B2000" s="2" t="s">
        <v>26</v>
      </c>
      <c r="C2000" s="2" t="s">
        <v>41</v>
      </c>
      <c r="D2000" s="2" t="s">
        <v>28</v>
      </c>
      <c r="E2000" s="2" t="n">
        <v>11</v>
      </c>
      <c r="F2000" s="2" t="n">
        <v>3</v>
      </c>
      <c r="G2000" s="2" t="s">
        <v>51</v>
      </c>
      <c r="H2000" s="2" t="n">
        <v>1999</v>
      </c>
      <c r="I2000" s="2" t="s">
        <v>30</v>
      </c>
      <c r="J2000" s="2" t="n">
        <v>2</v>
      </c>
      <c r="K2000" s="2" t="s">
        <v>45</v>
      </c>
      <c r="L2000" s="2" t="s">
        <v>32</v>
      </c>
      <c r="M2000" s="2" t="n">
        <v>99850</v>
      </c>
      <c r="N2000" s="2" t="n">
        <v>1</v>
      </c>
      <c r="O2000" s="2" t="n">
        <v>14</v>
      </c>
      <c r="P2000" s="2" t="n">
        <v>1</v>
      </c>
      <c r="Q2000" s="2" t="n">
        <v>3</v>
      </c>
      <c r="R2000" s="2" t="n">
        <v>3</v>
      </c>
      <c r="S2000" s="2" t="n">
        <v>3</v>
      </c>
      <c r="T2000" s="2" t="n">
        <v>1</v>
      </c>
      <c r="U2000" s="2" t="n">
        <v>2</v>
      </c>
      <c r="V2000" s="2" t="n">
        <v>1</v>
      </c>
      <c r="W2000" s="2" t="n">
        <v>3</v>
      </c>
      <c r="X2000" s="2" t="n">
        <v>3</v>
      </c>
      <c r="Y2000" s="2" t="n">
        <v>2</v>
      </c>
      <c r="Z2000" s="2" t="n">
        <v>3</v>
      </c>
    </row>
    <row r="2001" customFormat="false" ht="15" hidden="false" customHeight="true" outlineLevel="0" collapsed="false">
      <c r="A2001" s="2" t="n">
        <v>55</v>
      </c>
      <c r="B2001" s="2" t="s">
        <v>26</v>
      </c>
      <c r="C2001" s="2" t="s">
        <v>34</v>
      </c>
      <c r="D2001" s="2" t="s">
        <v>35</v>
      </c>
      <c r="E2001" s="2" t="n">
        <v>23</v>
      </c>
      <c r="F2001" s="2" t="n">
        <v>5</v>
      </c>
      <c r="G2001" s="2" t="s">
        <v>29</v>
      </c>
      <c r="H2001" s="2" t="n">
        <v>2000</v>
      </c>
      <c r="I2001" s="2" t="s">
        <v>39</v>
      </c>
      <c r="J2001" s="2" t="n">
        <v>3</v>
      </c>
      <c r="K2001" s="2" t="s">
        <v>45</v>
      </c>
      <c r="L2001" s="2" t="s">
        <v>32</v>
      </c>
      <c r="M2001" s="2" t="n">
        <v>36970</v>
      </c>
      <c r="N2001" s="2" t="n">
        <v>3</v>
      </c>
      <c r="O2001" s="2" t="n">
        <v>13</v>
      </c>
      <c r="P2001" s="2" t="n">
        <v>1</v>
      </c>
      <c r="Q2001" s="2" t="n">
        <v>23</v>
      </c>
      <c r="R2001" s="2" t="n">
        <v>1</v>
      </c>
      <c r="S2001" s="2" t="n">
        <v>3</v>
      </c>
      <c r="T2001" s="2" t="n">
        <v>1</v>
      </c>
      <c r="U2001" s="2" t="n">
        <v>2</v>
      </c>
      <c r="V2001" s="2" t="n">
        <v>4</v>
      </c>
      <c r="W2001" s="2" t="n">
        <v>2</v>
      </c>
      <c r="X2001" s="2" t="n">
        <v>3</v>
      </c>
      <c r="Y2001" s="2" t="n">
        <v>3</v>
      </c>
      <c r="Z2001" s="2" t="n">
        <v>3</v>
      </c>
    </row>
    <row r="2002" customFormat="false" ht="15" hidden="false" customHeight="true" outlineLevel="0" collapsed="false">
      <c r="A2002" s="2" t="n">
        <v>28</v>
      </c>
      <c r="B2002" s="2" t="s">
        <v>26</v>
      </c>
      <c r="C2002" s="2" t="s">
        <v>27</v>
      </c>
      <c r="D2002" s="2" t="s">
        <v>35</v>
      </c>
      <c r="E2002" s="2" t="n">
        <v>1</v>
      </c>
      <c r="F2002" s="2" t="n">
        <v>3</v>
      </c>
      <c r="G2002" s="2" t="s">
        <v>29</v>
      </c>
      <c r="H2002" s="2" t="n">
        <v>2001</v>
      </c>
      <c r="I2002" s="2" t="s">
        <v>39</v>
      </c>
      <c r="J2002" s="2" t="n">
        <v>2</v>
      </c>
      <c r="K2002" s="2" t="s">
        <v>31</v>
      </c>
      <c r="L2002" s="2" t="s">
        <v>37</v>
      </c>
      <c r="M2002" s="2" t="n">
        <v>74570</v>
      </c>
      <c r="N2002" s="2" t="n">
        <v>3</v>
      </c>
      <c r="O2002" s="2" t="n">
        <v>11</v>
      </c>
      <c r="P2002" s="2" t="n">
        <v>2</v>
      </c>
      <c r="Q2002" s="2" t="n">
        <v>10</v>
      </c>
      <c r="R2002" s="2" t="n">
        <v>1</v>
      </c>
      <c r="S2002" s="2" t="n">
        <v>8</v>
      </c>
      <c r="T2002" s="2" t="n">
        <v>1</v>
      </c>
      <c r="U2002" s="2" t="n">
        <v>7</v>
      </c>
      <c r="V2002" s="2" t="n">
        <v>3</v>
      </c>
      <c r="W2002" s="2" t="n">
        <v>3</v>
      </c>
      <c r="X2002" s="2" t="n">
        <v>4</v>
      </c>
      <c r="Y2002" s="2" t="n">
        <v>4</v>
      </c>
      <c r="Z2002" s="2" t="n">
        <v>3</v>
      </c>
    </row>
    <row r="2003" customFormat="false" ht="15" hidden="false" customHeight="true" outlineLevel="0" collapsed="false">
      <c r="A2003" s="2" t="n">
        <v>44</v>
      </c>
      <c r="B2003" s="2" t="s">
        <v>33</v>
      </c>
      <c r="C2003" s="2" t="s">
        <v>27</v>
      </c>
      <c r="D2003" s="2" t="s">
        <v>35</v>
      </c>
      <c r="E2003" s="2" t="n">
        <v>18</v>
      </c>
      <c r="F2003" s="2" t="n">
        <v>4</v>
      </c>
      <c r="G2003" s="2" t="s">
        <v>29</v>
      </c>
      <c r="H2003" s="2" t="n">
        <v>2002</v>
      </c>
      <c r="I2003" s="2" t="s">
        <v>30</v>
      </c>
      <c r="J2003" s="2" t="n">
        <v>2</v>
      </c>
      <c r="K2003" s="2" t="s">
        <v>40</v>
      </c>
      <c r="L2003" s="2" t="s">
        <v>32</v>
      </c>
      <c r="M2003" s="2" t="n">
        <v>21190</v>
      </c>
      <c r="N2003" s="2" t="n">
        <v>9</v>
      </c>
      <c r="O2003" s="2" t="n">
        <v>15</v>
      </c>
      <c r="P2003" s="2" t="n">
        <v>0</v>
      </c>
      <c r="Q2003" s="2" t="n">
        <v>24</v>
      </c>
      <c r="R2003" s="2" t="n">
        <v>3</v>
      </c>
      <c r="S2003" s="2" t="n">
        <v>20</v>
      </c>
      <c r="T2003" s="2" t="n">
        <v>3</v>
      </c>
      <c r="U2003" s="2" t="n">
        <v>6</v>
      </c>
      <c r="V2003" s="2" t="n">
        <v>2</v>
      </c>
      <c r="W2003" s="2" t="n">
        <v>1</v>
      </c>
      <c r="X2003" s="2" t="n">
        <v>3</v>
      </c>
      <c r="Y2003" s="2" t="n">
        <v>3</v>
      </c>
      <c r="Z2003" s="2" t="n">
        <v>3</v>
      </c>
    </row>
    <row r="2004" customFormat="false" ht="15" hidden="false" customHeight="true" outlineLevel="0" collapsed="false">
      <c r="A2004" s="2" t="n">
        <v>33</v>
      </c>
      <c r="B2004" s="2" t="s">
        <v>26</v>
      </c>
      <c r="C2004" s="2" t="s">
        <v>27</v>
      </c>
      <c r="D2004" s="2" t="s">
        <v>28</v>
      </c>
      <c r="E2004" s="2" t="n">
        <v>23</v>
      </c>
      <c r="F2004" s="2" t="n">
        <v>4</v>
      </c>
      <c r="G2004" s="2" t="s">
        <v>50</v>
      </c>
      <c r="H2004" s="2" t="n">
        <v>2003</v>
      </c>
      <c r="I2004" s="2" t="s">
        <v>30</v>
      </c>
      <c r="J2004" s="2" t="n">
        <v>4</v>
      </c>
      <c r="K2004" s="2" t="s">
        <v>40</v>
      </c>
      <c r="L2004" s="2" t="s">
        <v>46</v>
      </c>
      <c r="M2004" s="2" t="n">
        <v>39830</v>
      </c>
      <c r="N2004" s="2" t="n">
        <v>4</v>
      </c>
      <c r="O2004" s="2" t="n">
        <v>12</v>
      </c>
      <c r="P2004" s="2" t="n">
        <v>0</v>
      </c>
      <c r="Q2004" s="2" t="n">
        <v>9</v>
      </c>
      <c r="R2004" s="2" t="n">
        <v>3</v>
      </c>
      <c r="S2004" s="2" t="n">
        <v>3</v>
      </c>
      <c r="T2004" s="2" t="n">
        <v>1</v>
      </c>
      <c r="U2004" s="2" t="n">
        <v>2</v>
      </c>
      <c r="V2004" s="2" t="n">
        <v>4</v>
      </c>
      <c r="W2004" s="2" t="n">
        <v>4</v>
      </c>
      <c r="X2004" s="2" t="n">
        <v>3</v>
      </c>
      <c r="Y2004" s="2" t="n">
        <v>3</v>
      </c>
      <c r="Z2004" s="2" t="n">
        <v>3</v>
      </c>
    </row>
    <row r="2005" customFormat="false" ht="15" hidden="false" customHeight="true" outlineLevel="0" collapsed="false">
      <c r="A2005" s="2" t="n">
        <v>35</v>
      </c>
      <c r="B2005" s="2" t="s">
        <v>33</v>
      </c>
      <c r="C2005" s="2" t="s">
        <v>27</v>
      </c>
      <c r="D2005" s="2" t="s">
        <v>28</v>
      </c>
      <c r="E2005" s="2" t="n">
        <v>7</v>
      </c>
      <c r="F2005" s="2" t="n">
        <v>4</v>
      </c>
      <c r="G2005" s="2" t="s">
        <v>29</v>
      </c>
      <c r="H2005" s="2" t="n">
        <v>2004</v>
      </c>
      <c r="I2005" s="2" t="s">
        <v>39</v>
      </c>
      <c r="J2005" s="2" t="n">
        <v>3</v>
      </c>
      <c r="K2005" s="2" t="s">
        <v>48</v>
      </c>
      <c r="L2005" s="2" t="s">
        <v>37</v>
      </c>
      <c r="M2005" s="2" t="n">
        <v>61180</v>
      </c>
      <c r="N2005" s="2" t="n">
        <v>0</v>
      </c>
      <c r="O2005" s="2" t="n">
        <v>21</v>
      </c>
      <c r="P2005" s="2" t="n">
        <v>1</v>
      </c>
      <c r="Q2005" s="2" t="n">
        <v>9</v>
      </c>
      <c r="R2005" s="2" t="n">
        <v>3</v>
      </c>
      <c r="S2005" s="2" t="n">
        <v>8</v>
      </c>
      <c r="T2005" s="2" t="n">
        <v>4</v>
      </c>
      <c r="U2005" s="2" t="n">
        <v>7</v>
      </c>
      <c r="V2005" s="2" t="n">
        <v>4</v>
      </c>
      <c r="W2005" s="2" t="n">
        <v>1</v>
      </c>
      <c r="X2005" s="2" t="n">
        <v>3</v>
      </c>
      <c r="Y2005" s="2" t="n">
        <v>2</v>
      </c>
      <c r="Z2005" s="2" t="n">
        <v>4</v>
      </c>
    </row>
    <row r="2006" customFormat="false" ht="15" hidden="false" customHeight="true" outlineLevel="0" collapsed="false">
      <c r="A2006" s="2" t="n">
        <v>33</v>
      </c>
      <c r="B2006" s="2" t="s">
        <v>33</v>
      </c>
      <c r="C2006" s="2" t="s">
        <v>34</v>
      </c>
      <c r="D2006" s="2" t="s">
        <v>35</v>
      </c>
      <c r="E2006" s="2" t="n">
        <v>1</v>
      </c>
      <c r="F2006" s="2" t="n">
        <v>2</v>
      </c>
      <c r="G2006" s="2" t="s">
        <v>29</v>
      </c>
      <c r="H2006" s="2" t="n">
        <v>2005</v>
      </c>
      <c r="I2006" s="2" t="s">
        <v>30</v>
      </c>
      <c r="J2006" s="2" t="n">
        <v>1</v>
      </c>
      <c r="K2006" s="2" t="s">
        <v>40</v>
      </c>
      <c r="L2006" s="2" t="s">
        <v>37</v>
      </c>
      <c r="M2006" s="2" t="n">
        <v>62140</v>
      </c>
      <c r="N2006" s="2" t="n">
        <v>1</v>
      </c>
      <c r="O2006" s="2" t="n">
        <v>19</v>
      </c>
      <c r="P2006" s="2" t="n">
        <v>2</v>
      </c>
      <c r="Q2006" s="2" t="n">
        <v>14</v>
      </c>
      <c r="R2006" s="2" t="n">
        <v>3</v>
      </c>
      <c r="S2006" s="2" t="n">
        <v>13</v>
      </c>
      <c r="T2006" s="2" t="n">
        <v>3</v>
      </c>
      <c r="U2006" s="2" t="n">
        <v>8</v>
      </c>
      <c r="V2006" s="2" t="n">
        <v>1</v>
      </c>
      <c r="W2006" s="2" t="n">
        <v>3</v>
      </c>
      <c r="X2006" s="2" t="n">
        <v>3</v>
      </c>
      <c r="Y2006" s="2" t="n">
        <v>3</v>
      </c>
      <c r="Z2006" s="2" t="n">
        <v>3</v>
      </c>
    </row>
    <row r="2007" customFormat="false" ht="15" hidden="false" customHeight="true" outlineLevel="0" collapsed="false">
      <c r="A2007" s="2" t="n">
        <v>28</v>
      </c>
      <c r="B2007" s="2" t="s">
        <v>26</v>
      </c>
      <c r="C2007" s="2" t="s">
        <v>27</v>
      </c>
      <c r="D2007" s="2" t="s">
        <v>42</v>
      </c>
      <c r="E2007" s="2" t="n">
        <v>1</v>
      </c>
      <c r="F2007" s="2" t="n">
        <v>1</v>
      </c>
      <c r="G2007" s="2" t="s">
        <v>42</v>
      </c>
      <c r="H2007" s="2" t="n">
        <v>2006</v>
      </c>
      <c r="I2007" s="2" t="s">
        <v>39</v>
      </c>
      <c r="J2007" s="2" t="n">
        <v>2</v>
      </c>
      <c r="K2007" s="2" t="s">
        <v>36</v>
      </c>
      <c r="L2007" s="2" t="s">
        <v>46</v>
      </c>
      <c r="M2007" s="2" t="n">
        <v>63470</v>
      </c>
      <c r="N2007" s="2" t="n">
        <v>1</v>
      </c>
      <c r="O2007" s="2" t="n">
        <v>15</v>
      </c>
      <c r="P2007" s="2" t="n">
        <v>1</v>
      </c>
      <c r="Q2007" s="2" t="n">
        <v>4</v>
      </c>
      <c r="R2007" s="2" t="n">
        <v>2</v>
      </c>
      <c r="S2007" s="2" t="n">
        <v>4</v>
      </c>
      <c r="T2007" s="2" t="n">
        <v>2</v>
      </c>
      <c r="U2007" s="2" t="n">
        <v>2</v>
      </c>
      <c r="V2007" s="2" t="n">
        <v>1</v>
      </c>
      <c r="W2007" s="2" t="n">
        <v>3</v>
      </c>
      <c r="X2007" s="2" t="n">
        <v>2</v>
      </c>
      <c r="Y2007" s="2" t="n">
        <v>3</v>
      </c>
      <c r="Z2007" s="2" t="n">
        <v>3</v>
      </c>
    </row>
    <row r="2008" customFormat="false" ht="15" hidden="false" customHeight="true" outlineLevel="0" collapsed="false">
      <c r="A2008" s="2" t="n">
        <v>34</v>
      </c>
      <c r="B2008" s="2" t="s">
        <v>26</v>
      </c>
      <c r="C2008" s="2" t="s">
        <v>34</v>
      </c>
      <c r="D2008" s="2" t="s">
        <v>28</v>
      </c>
      <c r="E2008" s="2" t="n">
        <v>29</v>
      </c>
      <c r="F2008" s="2" t="n">
        <v>4</v>
      </c>
      <c r="G2008" s="2" t="s">
        <v>50</v>
      </c>
      <c r="H2008" s="2" t="n">
        <v>2007</v>
      </c>
      <c r="I2008" s="2" t="s">
        <v>39</v>
      </c>
      <c r="J2008" s="2" t="n">
        <v>1</v>
      </c>
      <c r="K2008" s="2" t="s">
        <v>36</v>
      </c>
      <c r="L2008" s="2" t="s">
        <v>37</v>
      </c>
      <c r="M2008" s="2" t="n">
        <v>115100</v>
      </c>
      <c r="N2008" s="2" t="n">
        <v>0</v>
      </c>
      <c r="O2008" s="2" t="n">
        <v>14</v>
      </c>
      <c r="P2008" s="2" t="n">
        <v>1</v>
      </c>
      <c r="Q2008" s="2" t="n">
        <v>7</v>
      </c>
      <c r="R2008" s="2" t="n">
        <v>5</v>
      </c>
      <c r="S2008" s="2" t="n">
        <v>6</v>
      </c>
      <c r="T2008" s="2" t="n">
        <v>0</v>
      </c>
      <c r="U2008" s="2" t="n">
        <v>4</v>
      </c>
      <c r="V2008" s="2" t="n">
        <v>1</v>
      </c>
      <c r="W2008" s="2" t="n">
        <v>4</v>
      </c>
      <c r="X2008" s="2" t="n">
        <v>2</v>
      </c>
      <c r="Y2008" s="2" t="n">
        <v>3</v>
      </c>
      <c r="Z2008" s="2" t="n">
        <v>3</v>
      </c>
    </row>
    <row r="2009" customFormat="false" ht="15" hidden="false" customHeight="true" outlineLevel="0" collapsed="false">
      <c r="A2009" s="2" t="n">
        <v>37</v>
      </c>
      <c r="B2009" s="2" t="s">
        <v>26</v>
      </c>
      <c r="C2009" s="2" t="s">
        <v>27</v>
      </c>
      <c r="D2009" s="2" t="s">
        <v>35</v>
      </c>
      <c r="E2009" s="2" t="n">
        <v>7</v>
      </c>
      <c r="F2009" s="2" t="n">
        <v>4</v>
      </c>
      <c r="G2009" s="2" t="s">
        <v>29</v>
      </c>
      <c r="H2009" s="2" t="n">
        <v>2008</v>
      </c>
      <c r="I2009" s="2" t="s">
        <v>39</v>
      </c>
      <c r="J2009" s="2" t="n">
        <v>4</v>
      </c>
      <c r="K2009" s="2" t="s">
        <v>40</v>
      </c>
      <c r="L2009" s="2" t="s">
        <v>46</v>
      </c>
      <c r="M2009" s="2" t="n">
        <v>71430</v>
      </c>
      <c r="N2009" s="2" t="n">
        <v>2</v>
      </c>
      <c r="O2009" s="2" t="n">
        <v>21</v>
      </c>
      <c r="P2009" s="2" t="n">
        <v>0</v>
      </c>
      <c r="Q2009" s="2" t="n">
        <v>8</v>
      </c>
      <c r="R2009" s="2" t="n">
        <v>6</v>
      </c>
      <c r="S2009" s="2" t="n">
        <v>1</v>
      </c>
      <c r="T2009" s="2" t="n">
        <v>0</v>
      </c>
      <c r="U2009" s="2" t="n">
        <v>0</v>
      </c>
      <c r="V2009" s="2" t="n">
        <v>4</v>
      </c>
      <c r="W2009" s="2" t="n">
        <v>4</v>
      </c>
      <c r="X2009" s="2" t="n">
        <v>3</v>
      </c>
      <c r="Y2009" s="2" t="n">
        <v>2</v>
      </c>
      <c r="Z2009" s="2" t="n">
        <v>4</v>
      </c>
    </row>
    <row r="2010" customFormat="false" ht="15" hidden="false" customHeight="true" outlineLevel="0" collapsed="false">
      <c r="A2010" s="2" t="n">
        <v>25</v>
      </c>
      <c r="B2010" s="2" t="s">
        <v>33</v>
      </c>
      <c r="C2010" s="2" t="s">
        <v>27</v>
      </c>
      <c r="D2010" s="2" t="s">
        <v>42</v>
      </c>
      <c r="E2010" s="2" t="n">
        <v>25</v>
      </c>
      <c r="F2010" s="2" t="n">
        <v>4</v>
      </c>
      <c r="G2010" s="2" t="s">
        <v>42</v>
      </c>
      <c r="H2010" s="2" t="n">
        <v>2009</v>
      </c>
      <c r="I2010" s="2" t="s">
        <v>30</v>
      </c>
      <c r="J2010" s="2" t="n">
        <v>2</v>
      </c>
      <c r="K2010" s="2" t="s">
        <v>36</v>
      </c>
      <c r="L2010" s="2" t="s">
        <v>32</v>
      </c>
      <c r="M2010" s="2" t="n">
        <v>82680</v>
      </c>
      <c r="N2010" s="2" t="n">
        <v>1</v>
      </c>
      <c r="O2010" s="2" t="n">
        <v>12</v>
      </c>
      <c r="P2010" s="2" t="n">
        <v>0</v>
      </c>
      <c r="Q2010" s="2" t="n">
        <v>7</v>
      </c>
      <c r="R2010" s="2" t="n">
        <v>3</v>
      </c>
      <c r="S2010" s="2" t="n">
        <v>7</v>
      </c>
      <c r="T2010" s="2" t="n">
        <v>5</v>
      </c>
      <c r="U2010" s="2" t="n">
        <v>6</v>
      </c>
      <c r="V2010" s="2" t="n">
        <v>4</v>
      </c>
      <c r="W2010" s="2" t="n">
        <v>4</v>
      </c>
      <c r="X2010" s="2" t="n">
        <v>4</v>
      </c>
      <c r="Y2010" s="2" t="n">
        <v>2</v>
      </c>
      <c r="Z2010" s="2" t="n">
        <v>3</v>
      </c>
    </row>
    <row r="2011" customFormat="false" ht="15" hidden="false" customHeight="true" outlineLevel="0" collapsed="false">
      <c r="A2011" s="2" t="n">
        <v>26</v>
      </c>
      <c r="B2011" s="2" t="s">
        <v>33</v>
      </c>
      <c r="C2011" s="2" t="s">
        <v>27</v>
      </c>
      <c r="D2011" s="2" t="s">
        <v>28</v>
      </c>
      <c r="E2011" s="2" t="n">
        <v>8</v>
      </c>
      <c r="F2011" s="2" t="n">
        <v>2</v>
      </c>
      <c r="G2011" s="2" t="s">
        <v>50</v>
      </c>
      <c r="H2011" s="2" t="n">
        <v>2010</v>
      </c>
      <c r="I2011" s="2" t="s">
        <v>39</v>
      </c>
      <c r="J2011" s="2" t="n">
        <v>2</v>
      </c>
      <c r="K2011" s="2" t="s">
        <v>40</v>
      </c>
      <c r="L2011" s="2" t="s">
        <v>46</v>
      </c>
      <c r="M2011" s="2" t="n">
        <v>80950</v>
      </c>
      <c r="N2011" s="2" t="n">
        <v>1</v>
      </c>
      <c r="O2011" s="2" t="n">
        <v>15</v>
      </c>
      <c r="P2011" s="2" t="n">
        <v>0</v>
      </c>
      <c r="Q2011" s="2" t="n">
        <v>1</v>
      </c>
      <c r="R2011" s="2" t="n">
        <v>3</v>
      </c>
      <c r="S2011" s="2" t="n">
        <v>1</v>
      </c>
      <c r="T2011" s="2" t="n">
        <v>0</v>
      </c>
      <c r="U2011" s="2" t="n">
        <v>0</v>
      </c>
      <c r="V2011" s="2" t="n">
        <v>1</v>
      </c>
      <c r="W2011" s="2" t="n">
        <v>3</v>
      </c>
      <c r="X2011" s="2" t="n">
        <v>2</v>
      </c>
      <c r="Y2011" s="2" t="n">
        <v>4</v>
      </c>
      <c r="Z2011" s="2" t="n">
        <v>3</v>
      </c>
    </row>
    <row r="2012" customFormat="false" ht="15" hidden="false" customHeight="true" outlineLevel="0" collapsed="false">
      <c r="A2012" s="2" t="n">
        <v>33</v>
      </c>
      <c r="B2012" s="2" t="s">
        <v>33</v>
      </c>
      <c r="C2012" s="2" t="s">
        <v>27</v>
      </c>
      <c r="D2012" s="2" t="s">
        <v>35</v>
      </c>
      <c r="E2012" s="2" t="n">
        <v>8</v>
      </c>
      <c r="F2012" s="2" t="n">
        <v>2</v>
      </c>
      <c r="G2012" s="2" t="s">
        <v>29</v>
      </c>
      <c r="H2012" s="2" t="n">
        <v>2011</v>
      </c>
      <c r="I2012" s="2" t="s">
        <v>39</v>
      </c>
      <c r="J2012" s="2" t="n">
        <v>4</v>
      </c>
      <c r="K2012" s="2" t="s">
        <v>47</v>
      </c>
      <c r="L2012" s="2" t="s">
        <v>37</v>
      </c>
      <c r="M2012" s="2" t="n">
        <v>29040</v>
      </c>
      <c r="N2012" s="2" t="n">
        <v>4</v>
      </c>
      <c r="O2012" s="2" t="n">
        <v>13</v>
      </c>
      <c r="P2012" s="2" t="n">
        <v>0</v>
      </c>
      <c r="Q2012" s="2" t="n">
        <v>5</v>
      </c>
      <c r="R2012" s="2" t="n">
        <v>2</v>
      </c>
      <c r="S2012" s="2" t="n">
        <v>2</v>
      </c>
      <c r="T2012" s="2" t="n">
        <v>2</v>
      </c>
      <c r="U2012" s="2" t="n">
        <v>2</v>
      </c>
      <c r="V2012" s="2" t="n">
        <v>1</v>
      </c>
      <c r="W2012" s="2" t="n">
        <v>2</v>
      </c>
      <c r="X2012" s="2" t="n">
        <v>3</v>
      </c>
      <c r="Y2012" s="2" t="n">
        <v>3</v>
      </c>
      <c r="Z2012" s="2" t="n">
        <v>3</v>
      </c>
    </row>
    <row r="2013" customFormat="false" ht="15" hidden="false" customHeight="true" outlineLevel="0" collapsed="false">
      <c r="A2013" s="2" t="n">
        <v>42</v>
      </c>
      <c r="B2013" s="2" t="s">
        <v>26</v>
      </c>
      <c r="C2013" s="2" t="s">
        <v>27</v>
      </c>
      <c r="D2013" s="2" t="s">
        <v>35</v>
      </c>
      <c r="E2013" s="2" t="n">
        <v>11</v>
      </c>
      <c r="F2013" s="2" t="n">
        <v>1</v>
      </c>
      <c r="G2013" s="2" t="s">
        <v>29</v>
      </c>
      <c r="H2013" s="2" t="n">
        <v>2012</v>
      </c>
      <c r="I2013" s="2" t="s">
        <v>39</v>
      </c>
      <c r="J2013" s="2" t="n">
        <v>4</v>
      </c>
      <c r="K2013" s="2" t="s">
        <v>36</v>
      </c>
      <c r="L2013" s="2" t="s">
        <v>32</v>
      </c>
      <c r="M2013" s="2" t="n">
        <v>60320</v>
      </c>
      <c r="N2013" s="2" t="n">
        <v>0</v>
      </c>
      <c r="O2013" s="2" t="n">
        <v>14</v>
      </c>
      <c r="P2013" s="2" t="n">
        <v>0</v>
      </c>
      <c r="Q2013" s="2" t="n">
        <v>23</v>
      </c>
      <c r="R2013" s="2" t="n">
        <v>2</v>
      </c>
      <c r="S2013" s="2" t="n">
        <v>22</v>
      </c>
      <c r="T2013" s="2" t="n">
        <v>13</v>
      </c>
      <c r="U2013" s="2" t="n">
        <v>7</v>
      </c>
      <c r="V2013" s="2" t="n">
        <v>4</v>
      </c>
      <c r="W2013" s="2" t="n">
        <v>1</v>
      </c>
      <c r="X2013" s="2" t="n">
        <v>3</v>
      </c>
      <c r="Y2013" s="2" t="n">
        <v>2</v>
      </c>
      <c r="Z2013" s="2" t="n">
        <v>3</v>
      </c>
    </row>
    <row r="2014" customFormat="false" ht="15" hidden="false" customHeight="true" outlineLevel="0" collapsed="false">
      <c r="A2014" s="2" t="n">
        <v>28</v>
      </c>
      <c r="B2014" s="2" t="s">
        <v>33</v>
      </c>
      <c r="C2014" s="2" t="s">
        <v>34</v>
      </c>
      <c r="D2014" s="2" t="s">
        <v>35</v>
      </c>
      <c r="E2014" s="2" t="n">
        <v>7</v>
      </c>
      <c r="F2014" s="2" t="n">
        <v>3</v>
      </c>
      <c r="G2014" s="2" t="s">
        <v>29</v>
      </c>
      <c r="H2014" s="2" t="n">
        <v>2013</v>
      </c>
      <c r="I2014" s="2" t="s">
        <v>39</v>
      </c>
      <c r="J2014" s="2" t="n">
        <v>2</v>
      </c>
      <c r="K2014" s="2" t="s">
        <v>49</v>
      </c>
      <c r="L2014" s="2" t="s">
        <v>46</v>
      </c>
      <c r="M2014" s="2" t="n">
        <v>29760</v>
      </c>
      <c r="N2014" s="2" t="n">
        <v>1</v>
      </c>
      <c r="O2014" s="2" t="n">
        <v>14</v>
      </c>
      <c r="P2014" s="2" t="n">
        <v>0</v>
      </c>
      <c r="Q2014" s="2" t="n">
        <v>1</v>
      </c>
      <c r="R2014" s="2" t="n">
        <v>3</v>
      </c>
      <c r="S2014" s="2" t="n">
        <v>1</v>
      </c>
      <c r="T2014" s="2" t="n">
        <v>0</v>
      </c>
      <c r="U2014" s="2" t="n">
        <v>0</v>
      </c>
      <c r="V2014" s="2" t="n">
        <v>1</v>
      </c>
      <c r="W2014" s="2" t="n">
        <v>2</v>
      </c>
      <c r="X2014" s="2" t="n">
        <v>3</v>
      </c>
      <c r="Y2014" s="2" t="n">
        <v>3</v>
      </c>
      <c r="Z2014" s="2" t="n">
        <v>3</v>
      </c>
    </row>
    <row r="2015" customFormat="false" ht="15" hidden="false" customHeight="true" outlineLevel="0" collapsed="false">
      <c r="A2015" s="2" t="n">
        <v>50</v>
      </c>
      <c r="B2015" s="2" t="s">
        <v>33</v>
      </c>
      <c r="C2015" s="2" t="s">
        <v>34</v>
      </c>
      <c r="D2015" s="2" t="s">
        <v>35</v>
      </c>
      <c r="E2015" s="2" t="n">
        <v>1</v>
      </c>
      <c r="F2015" s="2" t="n">
        <v>4</v>
      </c>
      <c r="G2015" s="2" t="s">
        <v>43</v>
      </c>
      <c r="H2015" s="2" t="n">
        <v>2014</v>
      </c>
      <c r="I2015" s="2" t="s">
        <v>39</v>
      </c>
      <c r="J2015" s="2" t="n">
        <v>2</v>
      </c>
      <c r="K2015" s="2" t="s">
        <v>36</v>
      </c>
      <c r="L2015" s="2" t="s">
        <v>37</v>
      </c>
      <c r="M2015" s="2" t="n">
        <v>159920</v>
      </c>
      <c r="N2015" s="2" t="n">
        <v>3</v>
      </c>
      <c r="O2015" s="2" t="n">
        <v>14</v>
      </c>
      <c r="P2015" s="2" t="n">
        <v>0</v>
      </c>
      <c r="Q2015" s="2" t="n">
        <v>5</v>
      </c>
      <c r="R2015" s="2" t="n">
        <v>3</v>
      </c>
      <c r="S2015" s="2" t="n">
        <v>0</v>
      </c>
      <c r="T2015" s="2" t="n">
        <v>0</v>
      </c>
      <c r="U2015" s="2" t="n">
        <v>0</v>
      </c>
      <c r="V2015" s="2" t="n">
        <v>4</v>
      </c>
      <c r="W2015" s="2" t="n">
        <v>3</v>
      </c>
      <c r="X2015" s="2" t="n">
        <v>3</v>
      </c>
      <c r="Y2015" s="2" t="n">
        <v>3</v>
      </c>
      <c r="Z2015" s="2" t="n">
        <v>3</v>
      </c>
    </row>
    <row r="2016" customFormat="false" ht="15" hidden="false" customHeight="true" outlineLevel="0" collapsed="false">
      <c r="A2016" s="2" t="n">
        <v>33</v>
      </c>
      <c r="B2016" s="2" t="s">
        <v>26</v>
      </c>
      <c r="C2016" s="2" t="s">
        <v>34</v>
      </c>
      <c r="D2016" s="2" t="s">
        <v>28</v>
      </c>
      <c r="E2016" s="2" t="n">
        <v>9</v>
      </c>
      <c r="F2016" s="2" t="n">
        <v>3</v>
      </c>
      <c r="G2016" s="2" t="s">
        <v>43</v>
      </c>
      <c r="H2016" s="2" t="n">
        <v>2015</v>
      </c>
      <c r="I2016" s="2" t="s">
        <v>30</v>
      </c>
      <c r="J2016" s="2" t="n">
        <v>2</v>
      </c>
      <c r="K2016" s="2" t="s">
        <v>36</v>
      </c>
      <c r="L2016" s="2" t="s">
        <v>32</v>
      </c>
      <c r="M2016" s="2" t="n">
        <v>46490</v>
      </c>
      <c r="N2016" s="2" t="n">
        <v>0</v>
      </c>
      <c r="O2016" s="2" t="n">
        <v>12</v>
      </c>
      <c r="P2016" s="2" t="n">
        <v>0</v>
      </c>
      <c r="Q2016" s="2" t="n">
        <v>4</v>
      </c>
      <c r="R2016" s="2" t="n">
        <v>2</v>
      </c>
      <c r="S2016" s="2" t="n">
        <v>3</v>
      </c>
      <c r="T2016" s="2" t="n">
        <v>0</v>
      </c>
      <c r="U2016" s="2" t="n">
        <v>2</v>
      </c>
      <c r="V2016" s="2" t="n">
        <v>4</v>
      </c>
      <c r="W2016" s="2" t="n">
        <v>2</v>
      </c>
      <c r="X2016" s="2" t="n">
        <v>3</v>
      </c>
      <c r="Y2016" s="2" t="n">
        <v>2</v>
      </c>
      <c r="Z2016" s="2" t="n">
        <v>3</v>
      </c>
    </row>
    <row r="2017" customFormat="false" ht="15" hidden="false" customHeight="true" outlineLevel="0" collapsed="false">
      <c r="A2017" s="2" t="n">
        <v>34</v>
      </c>
      <c r="B2017" s="2" t="s">
        <v>26</v>
      </c>
      <c r="C2017" s="2" t="s">
        <v>41</v>
      </c>
      <c r="D2017" s="2" t="s">
        <v>28</v>
      </c>
      <c r="E2017" s="2" t="n">
        <v>1</v>
      </c>
      <c r="F2017" s="2" t="n">
        <v>1</v>
      </c>
      <c r="G2017" s="2" t="s">
        <v>50</v>
      </c>
      <c r="H2017" s="2" t="n">
        <v>2016</v>
      </c>
      <c r="I2017" s="2" t="s">
        <v>30</v>
      </c>
      <c r="J2017" s="2" t="n">
        <v>2</v>
      </c>
      <c r="K2017" s="2" t="s">
        <v>44</v>
      </c>
      <c r="L2017" s="2" t="s">
        <v>32</v>
      </c>
      <c r="M2017" s="2" t="n">
        <v>26960</v>
      </c>
      <c r="N2017" s="2" t="n">
        <v>3</v>
      </c>
      <c r="O2017" s="2" t="n">
        <v>23</v>
      </c>
      <c r="P2017" s="2" t="n">
        <v>0</v>
      </c>
      <c r="Q2017" s="2" t="n">
        <v>6</v>
      </c>
      <c r="R2017" s="2" t="n">
        <v>3</v>
      </c>
      <c r="S2017" s="2" t="n">
        <v>0</v>
      </c>
      <c r="T2017" s="2" t="n">
        <v>0</v>
      </c>
      <c r="U2017" s="2" t="n">
        <v>0</v>
      </c>
      <c r="V2017" s="2" t="n">
        <v>3</v>
      </c>
      <c r="W2017" s="2" t="n">
        <v>4</v>
      </c>
      <c r="X2017" s="2" t="n">
        <v>3</v>
      </c>
      <c r="Y2017" s="2" t="n">
        <v>3</v>
      </c>
      <c r="Z2017" s="2" t="n">
        <v>4</v>
      </c>
    </row>
    <row r="2018" customFormat="false" ht="15" hidden="false" customHeight="true" outlineLevel="0" collapsed="false">
      <c r="A2018" s="2" t="n">
        <v>48</v>
      </c>
      <c r="B2018" s="2" t="s">
        <v>26</v>
      </c>
      <c r="C2018" s="2" t="s">
        <v>41</v>
      </c>
      <c r="D2018" s="2" t="s">
        <v>28</v>
      </c>
      <c r="E2018" s="2" t="n">
        <v>2</v>
      </c>
      <c r="F2018" s="2" t="n">
        <v>1</v>
      </c>
      <c r="G2018" s="2" t="s">
        <v>29</v>
      </c>
      <c r="H2018" s="2" t="n">
        <v>2017</v>
      </c>
      <c r="I2018" s="2" t="s">
        <v>39</v>
      </c>
      <c r="J2018" s="2" t="n">
        <v>2</v>
      </c>
      <c r="K2018" s="2" t="s">
        <v>40</v>
      </c>
      <c r="L2018" s="2" t="s">
        <v>37</v>
      </c>
      <c r="M2018" s="2" t="n">
        <v>23700</v>
      </c>
      <c r="N2018" s="2" t="n">
        <v>2</v>
      </c>
      <c r="O2018" s="2" t="n">
        <v>11</v>
      </c>
      <c r="P2018" s="2" t="n">
        <v>0</v>
      </c>
      <c r="Q2018" s="2" t="n">
        <v>27</v>
      </c>
      <c r="R2018" s="2" t="n">
        <v>3</v>
      </c>
      <c r="S2018" s="2" t="n">
        <v>5</v>
      </c>
      <c r="T2018" s="2" t="n">
        <v>2</v>
      </c>
      <c r="U2018" s="2" t="n">
        <v>1</v>
      </c>
      <c r="V2018" s="2" t="n">
        <v>1</v>
      </c>
      <c r="W2018" s="2" t="n">
        <v>4</v>
      </c>
      <c r="X2018" s="2"/>
      <c r="Y2018" s="2" t="n">
        <v>3</v>
      </c>
      <c r="Z2018" s="2" t="n">
        <v>3</v>
      </c>
    </row>
    <row r="2019" customFormat="false" ht="15" hidden="false" customHeight="true" outlineLevel="0" collapsed="false">
      <c r="A2019" s="2" t="n">
        <v>45</v>
      </c>
      <c r="B2019" s="2" t="s">
        <v>26</v>
      </c>
      <c r="C2019" s="2" t="s">
        <v>41</v>
      </c>
      <c r="D2019" s="2" t="s">
        <v>35</v>
      </c>
      <c r="E2019" s="2" t="n">
        <v>1</v>
      </c>
      <c r="F2019" s="2" t="n">
        <v>3</v>
      </c>
      <c r="G2019" s="2" t="s">
        <v>43</v>
      </c>
      <c r="H2019" s="2" t="n">
        <v>2018</v>
      </c>
      <c r="I2019" s="2" t="s">
        <v>30</v>
      </c>
      <c r="J2019" s="2" t="n">
        <v>2</v>
      </c>
      <c r="K2019" s="2" t="s">
        <v>42</v>
      </c>
      <c r="L2019" s="2" t="s">
        <v>32</v>
      </c>
      <c r="M2019" s="2" t="n">
        <v>125040</v>
      </c>
      <c r="N2019" s="2" t="n">
        <v>1</v>
      </c>
      <c r="O2019" s="2" t="n">
        <v>12</v>
      </c>
      <c r="P2019" s="2" t="n">
        <v>1</v>
      </c>
      <c r="Q2019" s="2" t="n">
        <v>15</v>
      </c>
      <c r="R2019" s="2" t="n">
        <v>2</v>
      </c>
      <c r="S2019" s="2" t="n">
        <v>15</v>
      </c>
      <c r="T2019" s="2" t="n">
        <v>4</v>
      </c>
      <c r="U2019" s="2" t="n">
        <v>12</v>
      </c>
      <c r="V2019" s="2" t="n">
        <v>2</v>
      </c>
      <c r="W2019" s="2" t="n">
        <v>3</v>
      </c>
      <c r="X2019" s="2" t="n">
        <v>3</v>
      </c>
      <c r="Y2019" s="2" t="n">
        <v>3</v>
      </c>
      <c r="Z2019" s="2" t="n">
        <v>3</v>
      </c>
    </row>
    <row r="2020" customFormat="false" ht="15" hidden="false" customHeight="true" outlineLevel="0" collapsed="false">
      <c r="A2020" s="2" t="n">
        <v>52</v>
      </c>
      <c r="B2020" s="2" t="s">
        <v>26</v>
      </c>
      <c r="C2020" s="2" t="s">
        <v>27</v>
      </c>
      <c r="D2020" s="2" t="s">
        <v>28</v>
      </c>
      <c r="E2020" s="2" t="n">
        <v>1</v>
      </c>
      <c r="F2020" s="2" t="n">
        <v>3</v>
      </c>
      <c r="G2020" s="2" t="s">
        <v>29</v>
      </c>
      <c r="H2020" s="2" t="n">
        <v>2019</v>
      </c>
      <c r="I2020" s="2" t="s">
        <v>39</v>
      </c>
      <c r="J2020" s="2" t="n">
        <v>1</v>
      </c>
      <c r="K2020" s="2" t="s">
        <v>40</v>
      </c>
      <c r="L2020" s="2" t="s">
        <v>37</v>
      </c>
      <c r="M2020" s="2" t="n">
        <v>59740</v>
      </c>
      <c r="N2020" s="2" t="n">
        <v>7</v>
      </c>
      <c r="O2020" s="2" t="n">
        <v>18</v>
      </c>
      <c r="P2020" s="2" t="n">
        <v>1</v>
      </c>
      <c r="Q2020" s="2" t="n">
        <v>18</v>
      </c>
      <c r="R2020" s="2" t="n">
        <v>6</v>
      </c>
      <c r="S2020" s="2" t="n">
        <v>8</v>
      </c>
      <c r="T2020" s="2" t="n">
        <v>4</v>
      </c>
      <c r="U2020" s="2" t="n">
        <v>0</v>
      </c>
      <c r="V2020" s="2" t="n">
        <v>2</v>
      </c>
      <c r="W2020" s="2" t="n">
        <v>2</v>
      </c>
      <c r="X2020" s="2" t="n">
        <v>3</v>
      </c>
      <c r="Y2020" s="2" t="n">
        <v>3</v>
      </c>
      <c r="Z2020" s="2" t="n">
        <v>3</v>
      </c>
    </row>
    <row r="2021" customFormat="false" ht="15" hidden="false" customHeight="true" outlineLevel="0" collapsed="false">
      <c r="A2021" s="2" t="n">
        <v>38</v>
      </c>
      <c r="B2021" s="2" t="s">
        <v>26</v>
      </c>
      <c r="C2021" s="2" t="s">
        <v>27</v>
      </c>
      <c r="D2021" s="2" t="s">
        <v>35</v>
      </c>
      <c r="E2021" s="2" t="n">
        <v>6</v>
      </c>
      <c r="F2021" s="2" t="n">
        <v>2</v>
      </c>
      <c r="G2021" s="2" t="s">
        <v>43</v>
      </c>
      <c r="H2021" s="2" t="n">
        <v>2020</v>
      </c>
      <c r="I2021" s="2" t="s">
        <v>39</v>
      </c>
      <c r="J2021" s="2" t="n">
        <v>1</v>
      </c>
      <c r="K2021" s="2" t="s">
        <v>36</v>
      </c>
      <c r="L2021" s="2" t="s">
        <v>46</v>
      </c>
      <c r="M2021" s="2" t="n">
        <v>47360</v>
      </c>
      <c r="N2021" s="2" t="n">
        <v>0</v>
      </c>
      <c r="O2021" s="2" t="n">
        <v>11</v>
      </c>
      <c r="P2021" s="2" t="n">
        <v>1</v>
      </c>
      <c r="Q2021" s="2" t="n">
        <v>9</v>
      </c>
      <c r="R2021" s="2" t="n">
        <v>3</v>
      </c>
      <c r="S2021" s="2" t="n">
        <v>8</v>
      </c>
      <c r="T2021" s="2" t="n">
        <v>2</v>
      </c>
      <c r="U2021" s="2" t="n">
        <v>7</v>
      </c>
      <c r="V2021" s="2" t="n">
        <v>3</v>
      </c>
      <c r="W2021" s="2" t="n">
        <v>3</v>
      </c>
      <c r="X2021" s="2" t="n">
        <v>3</v>
      </c>
      <c r="Y2021" s="2" t="n">
        <v>2</v>
      </c>
      <c r="Z2021" s="2" t="n">
        <v>3</v>
      </c>
    </row>
    <row r="2022" customFormat="false" ht="15" hidden="false" customHeight="true" outlineLevel="0" collapsed="false">
      <c r="A2022" s="2" t="n">
        <v>29</v>
      </c>
      <c r="B2022" s="2" t="s">
        <v>26</v>
      </c>
      <c r="C2022" s="2" t="s">
        <v>27</v>
      </c>
      <c r="D2022" s="2" t="s">
        <v>35</v>
      </c>
      <c r="E2022" s="2" t="n">
        <v>8</v>
      </c>
      <c r="F2022" s="2" t="n">
        <v>3</v>
      </c>
      <c r="G2022" s="2" t="s">
        <v>43</v>
      </c>
      <c r="H2022" s="2" t="n">
        <v>2021</v>
      </c>
      <c r="I2022" s="2" t="s">
        <v>30</v>
      </c>
      <c r="J2022" s="2" t="n">
        <v>4</v>
      </c>
      <c r="K2022" s="2" t="s">
        <v>36</v>
      </c>
      <c r="L2022" s="2" t="s">
        <v>46</v>
      </c>
      <c r="M2022" s="2" t="n">
        <v>52960</v>
      </c>
      <c r="N2022" s="2" t="n">
        <v>4</v>
      </c>
      <c r="O2022" s="2" t="n">
        <v>14</v>
      </c>
      <c r="P2022" s="2" t="n">
        <v>0</v>
      </c>
      <c r="Q2022" s="2" t="n">
        <v>11</v>
      </c>
      <c r="R2022" s="2" t="n">
        <v>3</v>
      </c>
      <c r="S2022" s="2" t="n">
        <v>7</v>
      </c>
      <c r="T2022" s="2" t="n">
        <v>1</v>
      </c>
      <c r="U2022" s="2" t="n">
        <v>7</v>
      </c>
      <c r="V2022" s="2" t="n">
        <v>3</v>
      </c>
      <c r="W2022" s="2" t="n">
        <v>4</v>
      </c>
      <c r="X2022" s="2" t="n">
        <v>3</v>
      </c>
      <c r="Y2022" s="2" t="n">
        <v>4</v>
      </c>
      <c r="Z2022" s="2" t="n">
        <v>3</v>
      </c>
    </row>
    <row r="2023" customFormat="false" ht="15" hidden="false" customHeight="true" outlineLevel="0" collapsed="false">
      <c r="A2023" s="2" t="n">
        <v>28</v>
      </c>
      <c r="B2023" s="2" t="s">
        <v>26</v>
      </c>
      <c r="C2023" s="2" t="s">
        <v>27</v>
      </c>
      <c r="D2023" s="2" t="s">
        <v>42</v>
      </c>
      <c r="E2023" s="2" t="n">
        <v>1</v>
      </c>
      <c r="F2023" s="2" t="n">
        <v>3</v>
      </c>
      <c r="G2023" s="2" t="s">
        <v>42</v>
      </c>
      <c r="H2023" s="2" t="n">
        <v>2022</v>
      </c>
      <c r="I2023" s="2" t="s">
        <v>30</v>
      </c>
      <c r="J2023" s="2" t="n">
        <v>4</v>
      </c>
      <c r="K2023" s="2" t="s">
        <v>45</v>
      </c>
      <c r="L2023" s="2" t="s">
        <v>46</v>
      </c>
      <c r="M2023" s="2" t="n">
        <v>67810</v>
      </c>
      <c r="N2023" s="2" t="n">
        <v>0</v>
      </c>
      <c r="O2023" s="2" t="n">
        <v>15</v>
      </c>
      <c r="P2023" s="2" t="n">
        <v>1</v>
      </c>
      <c r="Q2023" s="2" t="n">
        <v>10</v>
      </c>
      <c r="R2023" s="2" t="n">
        <v>2</v>
      </c>
      <c r="S2023" s="2" t="n">
        <v>9</v>
      </c>
      <c r="T2023" s="2" t="n">
        <v>1</v>
      </c>
      <c r="U2023" s="2" t="n">
        <v>7</v>
      </c>
      <c r="V2023" s="2" t="n">
        <v>4</v>
      </c>
      <c r="W2023" s="2" t="n">
        <v>2</v>
      </c>
      <c r="X2023" s="2" t="n">
        <v>2</v>
      </c>
      <c r="Y2023" s="2" t="n">
        <v>3</v>
      </c>
      <c r="Z2023" s="2" t="n">
        <v>3</v>
      </c>
    </row>
    <row r="2024" customFormat="false" ht="15" hidden="false" customHeight="true" outlineLevel="0" collapsed="false">
      <c r="A2024" s="2" t="n">
        <v>46</v>
      </c>
      <c r="B2024" s="2" t="s">
        <v>26</v>
      </c>
      <c r="C2024" s="2" t="s">
        <v>27</v>
      </c>
      <c r="D2024" s="2" t="s">
        <v>35</v>
      </c>
      <c r="E2024" s="2" t="n">
        <v>6</v>
      </c>
      <c r="F2024" s="2" t="n">
        <v>4</v>
      </c>
      <c r="G2024" s="2" t="s">
        <v>43</v>
      </c>
      <c r="H2024" s="2" t="n">
        <v>2023</v>
      </c>
      <c r="I2024" s="2" t="s">
        <v>39</v>
      </c>
      <c r="J2024" s="2" t="n">
        <v>3</v>
      </c>
      <c r="K2024" s="2" t="s">
        <v>40</v>
      </c>
      <c r="L2024" s="2" t="s">
        <v>32</v>
      </c>
      <c r="M2024" s="2" t="n">
        <v>21740</v>
      </c>
      <c r="N2024" s="2" t="n">
        <v>3</v>
      </c>
      <c r="O2024" s="2" t="n">
        <v>11</v>
      </c>
      <c r="P2024" s="2" t="n">
        <v>1</v>
      </c>
      <c r="Q2024" s="2" t="n">
        <v>23</v>
      </c>
      <c r="R2024" s="2" t="n">
        <v>3</v>
      </c>
      <c r="S2024" s="2" t="n">
        <v>12</v>
      </c>
      <c r="T2024" s="2" t="n">
        <v>4</v>
      </c>
      <c r="U2024" s="2" t="n">
        <v>9</v>
      </c>
      <c r="V2024" s="2" t="n">
        <v>1</v>
      </c>
      <c r="W2024" s="2" t="n">
        <v>3</v>
      </c>
      <c r="X2024" s="2" t="n">
        <v>3</v>
      </c>
      <c r="Y2024" s="2" t="n">
        <v>3</v>
      </c>
      <c r="Z2024" s="2" t="n">
        <v>3</v>
      </c>
    </row>
    <row r="2025" customFormat="false" ht="15" hidden="false" customHeight="true" outlineLevel="0" collapsed="false">
      <c r="A2025" s="2" t="n">
        <v>38</v>
      </c>
      <c r="B2025" s="2" t="s">
        <v>26</v>
      </c>
      <c r="C2025" s="2" t="s">
        <v>27</v>
      </c>
      <c r="D2025" s="2" t="s">
        <v>35</v>
      </c>
      <c r="E2025" s="2" t="n">
        <v>7</v>
      </c>
      <c r="F2025" s="2" t="n">
        <v>4</v>
      </c>
      <c r="G2025" s="2" t="s">
        <v>43</v>
      </c>
      <c r="H2025" s="2" t="n">
        <v>2024</v>
      </c>
      <c r="I2025" s="2" t="s">
        <v>39</v>
      </c>
      <c r="J2025" s="2" t="n">
        <v>1</v>
      </c>
      <c r="K2025" s="2" t="s">
        <v>40</v>
      </c>
      <c r="L2025" s="2" t="s">
        <v>37</v>
      </c>
      <c r="M2025" s="2" t="n">
        <v>66530</v>
      </c>
      <c r="N2025" s="2" t="n">
        <v>7</v>
      </c>
      <c r="O2025" s="2" t="n">
        <v>20</v>
      </c>
      <c r="P2025" s="2" t="n">
        <v>1</v>
      </c>
      <c r="Q2025" s="2" t="n">
        <v>10</v>
      </c>
      <c r="R2025" s="2" t="n">
        <v>2</v>
      </c>
      <c r="S2025" s="2" t="n">
        <v>1</v>
      </c>
      <c r="T2025" s="2" t="n">
        <v>0</v>
      </c>
      <c r="U2025" s="2" t="n">
        <v>0</v>
      </c>
      <c r="V2025" s="2" t="n">
        <v>4</v>
      </c>
      <c r="W2025" s="2" t="n">
        <v>2</v>
      </c>
      <c r="X2025" s="2" t="n">
        <v>3</v>
      </c>
      <c r="Y2025" s="2" t="n">
        <v>3</v>
      </c>
      <c r="Z2025" s="2" t="n">
        <v>4</v>
      </c>
    </row>
    <row r="2026" customFormat="false" ht="15" hidden="false" customHeight="true" outlineLevel="0" collapsed="false">
      <c r="A2026" s="2" t="n">
        <v>43</v>
      </c>
      <c r="B2026" s="2" t="s">
        <v>26</v>
      </c>
      <c r="C2026" s="2" t="s">
        <v>34</v>
      </c>
      <c r="D2026" s="2" t="s">
        <v>35</v>
      </c>
      <c r="E2026" s="2" t="n">
        <v>5</v>
      </c>
      <c r="F2026" s="2" t="n">
        <v>3</v>
      </c>
      <c r="G2026" s="2" t="s">
        <v>43</v>
      </c>
      <c r="H2026" s="2" t="n">
        <v>2025</v>
      </c>
      <c r="I2026" s="2" t="s">
        <v>30</v>
      </c>
      <c r="J2026" s="2" t="n">
        <v>2</v>
      </c>
      <c r="K2026" s="2" t="s">
        <v>45</v>
      </c>
      <c r="L2026" s="2" t="s">
        <v>32</v>
      </c>
      <c r="M2026" s="2" t="n">
        <v>96990</v>
      </c>
      <c r="N2026" s="2" t="n">
        <v>8</v>
      </c>
      <c r="O2026" s="2" t="n">
        <v>19</v>
      </c>
      <c r="P2026" s="2" t="n">
        <v>1</v>
      </c>
      <c r="Q2026" s="2" t="n">
        <v>18</v>
      </c>
      <c r="R2026" s="2" t="n">
        <v>3</v>
      </c>
      <c r="S2026" s="2" t="n">
        <v>8</v>
      </c>
      <c r="T2026" s="2" t="n">
        <v>0</v>
      </c>
      <c r="U2026" s="2" t="n">
        <v>1</v>
      </c>
      <c r="V2026" s="2" t="n">
        <v>3</v>
      </c>
      <c r="W2026" s="2" t="n">
        <v>1</v>
      </c>
      <c r="X2026" s="2" t="n">
        <v>3</v>
      </c>
      <c r="Y2026" s="2" t="n">
        <v>3</v>
      </c>
      <c r="Z2026" s="2" t="n">
        <v>3</v>
      </c>
    </row>
    <row r="2027" customFormat="false" ht="15" hidden="false" customHeight="true" outlineLevel="0" collapsed="false">
      <c r="A2027" s="2" t="n">
        <v>39</v>
      </c>
      <c r="B2027" s="2" t="s">
        <v>33</v>
      </c>
      <c r="C2027" s="2" t="s">
        <v>34</v>
      </c>
      <c r="D2027" s="2" t="s">
        <v>28</v>
      </c>
      <c r="E2027" s="2" t="n">
        <v>1</v>
      </c>
      <c r="F2027" s="2" t="n">
        <v>3</v>
      </c>
      <c r="G2027" s="2" t="s">
        <v>50</v>
      </c>
      <c r="H2027" s="2" t="n">
        <v>2026</v>
      </c>
      <c r="I2027" s="2" t="s">
        <v>39</v>
      </c>
      <c r="J2027" s="2" t="n">
        <v>2</v>
      </c>
      <c r="K2027" s="2" t="s">
        <v>31</v>
      </c>
      <c r="L2027" s="2" t="s">
        <v>46</v>
      </c>
      <c r="M2027" s="2" t="n">
        <v>67550</v>
      </c>
      <c r="N2027" s="2" t="n">
        <v>7</v>
      </c>
      <c r="O2027" s="2" t="n">
        <v>14</v>
      </c>
      <c r="P2027" s="2" t="n">
        <v>1</v>
      </c>
      <c r="Q2027" s="2" t="n">
        <v>21</v>
      </c>
      <c r="R2027" s="2" t="n">
        <v>2</v>
      </c>
      <c r="S2027" s="2" t="n">
        <v>18</v>
      </c>
      <c r="T2027" s="2" t="n">
        <v>11</v>
      </c>
      <c r="U2027" s="2" t="n">
        <v>5</v>
      </c>
      <c r="V2027" s="2" t="n">
        <v>1</v>
      </c>
      <c r="W2027" s="2" t="n">
        <v>4</v>
      </c>
      <c r="X2027" s="2" t="n">
        <v>3</v>
      </c>
      <c r="Y2027" s="2" t="n">
        <v>3</v>
      </c>
      <c r="Z2027" s="2" t="n">
        <v>3</v>
      </c>
    </row>
    <row r="2028" customFormat="false" ht="15" hidden="false" customHeight="true" outlineLevel="0" collapsed="false">
      <c r="A2028" s="2" t="n">
        <v>40</v>
      </c>
      <c r="B2028" s="2" t="s">
        <v>26</v>
      </c>
      <c r="C2028" s="2" t="s">
        <v>27</v>
      </c>
      <c r="D2028" s="2" t="s">
        <v>35</v>
      </c>
      <c r="E2028" s="2" t="n">
        <v>1</v>
      </c>
      <c r="F2028" s="2" t="n">
        <v>1</v>
      </c>
      <c r="G2028" s="2" t="s">
        <v>29</v>
      </c>
      <c r="H2028" s="2" t="n">
        <v>2027</v>
      </c>
      <c r="I2028" s="2" t="s">
        <v>39</v>
      </c>
      <c r="J2028" s="2" t="n">
        <v>1</v>
      </c>
      <c r="K2028" s="2" t="s">
        <v>31</v>
      </c>
      <c r="L2028" s="2" t="s">
        <v>37</v>
      </c>
      <c r="M2028" s="2" t="n">
        <v>22130</v>
      </c>
      <c r="N2028" s="2" t="n">
        <v>1</v>
      </c>
      <c r="O2028" s="2" t="n">
        <v>17</v>
      </c>
      <c r="P2028" s="2" t="n">
        <v>0</v>
      </c>
      <c r="Q2028" s="2" t="n">
        <v>21</v>
      </c>
      <c r="R2028" s="2" t="n">
        <v>4</v>
      </c>
      <c r="S2028" s="2" t="n">
        <v>20</v>
      </c>
      <c r="T2028" s="2" t="n">
        <v>4</v>
      </c>
      <c r="U2028" s="2" t="n">
        <v>9</v>
      </c>
      <c r="V2028" s="2" t="n">
        <v>3</v>
      </c>
      <c r="W2028" s="2" t="n">
        <v>3</v>
      </c>
      <c r="X2028" s="2" t="n">
        <v>4</v>
      </c>
      <c r="Y2028" s="2" t="n">
        <v>3</v>
      </c>
      <c r="Z2028" s="2" t="n">
        <v>3</v>
      </c>
    </row>
    <row r="2029" customFormat="false" ht="15" hidden="false" customHeight="true" outlineLevel="0" collapsed="false">
      <c r="A2029" s="2" t="n">
        <v>21</v>
      </c>
      <c r="B2029" s="2" t="s">
        <v>26</v>
      </c>
      <c r="C2029" s="2" t="s">
        <v>27</v>
      </c>
      <c r="D2029" s="2" t="s">
        <v>35</v>
      </c>
      <c r="E2029" s="2" t="n">
        <v>1</v>
      </c>
      <c r="F2029" s="2" t="n">
        <v>4</v>
      </c>
      <c r="G2029" s="2" t="s">
        <v>29</v>
      </c>
      <c r="H2029" s="2" t="n">
        <v>2028</v>
      </c>
      <c r="I2029" s="2" t="s">
        <v>30</v>
      </c>
      <c r="J2029" s="2" t="n">
        <v>1</v>
      </c>
      <c r="K2029" s="2" t="s">
        <v>36</v>
      </c>
      <c r="L2029" s="2" t="s">
        <v>37</v>
      </c>
      <c r="M2029" s="2" t="n">
        <v>26100</v>
      </c>
      <c r="N2029" s="2" t="n">
        <v>1</v>
      </c>
      <c r="O2029" s="2" t="n">
        <v>11</v>
      </c>
      <c r="P2029" s="2" t="n">
        <v>1</v>
      </c>
      <c r="Q2029" s="2" t="n">
        <v>2</v>
      </c>
      <c r="R2029" s="2" t="n">
        <v>3</v>
      </c>
      <c r="S2029" s="2" t="n">
        <v>2</v>
      </c>
      <c r="T2029" s="2" t="n">
        <v>2</v>
      </c>
      <c r="U2029" s="2" t="n">
        <v>2</v>
      </c>
      <c r="V2029" s="2" t="n">
        <v>4</v>
      </c>
      <c r="W2029" s="2" t="n">
        <v>2</v>
      </c>
      <c r="X2029" s="2" t="n">
        <v>4</v>
      </c>
      <c r="Y2029" s="2" t="n">
        <v>2</v>
      </c>
      <c r="Z2029" s="2" t="n">
        <v>3</v>
      </c>
    </row>
    <row r="2030" customFormat="false" ht="15" hidden="false" customHeight="true" outlineLevel="0" collapsed="false">
      <c r="A2030" s="2" t="n">
        <v>39</v>
      </c>
      <c r="B2030" s="2" t="s">
        <v>26</v>
      </c>
      <c r="C2030" s="2" t="s">
        <v>41</v>
      </c>
      <c r="D2030" s="2" t="s">
        <v>35</v>
      </c>
      <c r="E2030" s="2" t="n">
        <v>6</v>
      </c>
      <c r="F2030" s="2" t="n">
        <v>3</v>
      </c>
      <c r="G2030" s="2" t="s">
        <v>29</v>
      </c>
      <c r="H2030" s="2" t="n">
        <v>2029</v>
      </c>
      <c r="I2030" s="2" t="s">
        <v>39</v>
      </c>
      <c r="J2030" s="2" t="n">
        <v>1</v>
      </c>
      <c r="K2030" s="2" t="s">
        <v>45</v>
      </c>
      <c r="L2030" s="2" t="s">
        <v>37</v>
      </c>
      <c r="M2030" s="2" t="n">
        <v>28510</v>
      </c>
      <c r="N2030" s="2" t="n">
        <v>9</v>
      </c>
      <c r="O2030" s="2" t="n">
        <v>15</v>
      </c>
      <c r="P2030" s="2" t="n">
        <v>0</v>
      </c>
      <c r="Q2030" s="2" t="n">
        <v>9</v>
      </c>
      <c r="R2030" s="2" t="n">
        <v>2</v>
      </c>
      <c r="S2030" s="2" t="n">
        <v>5</v>
      </c>
      <c r="T2030" s="2" t="n">
        <v>0</v>
      </c>
      <c r="U2030" s="2" t="n">
        <v>3</v>
      </c>
      <c r="V2030" s="2" t="n">
        <v>3</v>
      </c>
      <c r="W2030" s="2" t="n">
        <v>2</v>
      </c>
      <c r="X2030" s="2" t="n">
        <v>2</v>
      </c>
      <c r="Y2030" s="2" t="n">
        <v>3</v>
      </c>
      <c r="Z2030" s="2" t="n">
        <v>3</v>
      </c>
    </row>
    <row r="2031" customFormat="false" ht="15" hidden="false" customHeight="true" outlineLevel="0" collapsed="false">
      <c r="A2031" s="2" t="n">
        <v>36</v>
      </c>
      <c r="B2031" s="2" t="s">
        <v>26</v>
      </c>
      <c r="C2031" s="2" t="s">
        <v>41</v>
      </c>
      <c r="D2031" s="2" t="s">
        <v>35</v>
      </c>
      <c r="E2031" s="2" t="n">
        <v>1</v>
      </c>
      <c r="F2031" s="2" t="n">
        <v>3</v>
      </c>
      <c r="G2031" s="2" t="s">
        <v>43</v>
      </c>
      <c r="H2031" s="2" t="n">
        <v>2030</v>
      </c>
      <c r="I2031" s="2" t="s">
        <v>39</v>
      </c>
      <c r="J2031" s="2" t="n">
        <v>3</v>
      </c>
      <c r="K2031" s="2" t="s">
        <v>48</v>
      </c>
      <c r="L2031" s="2" t="s">
        <v>37</v>
      </c>
      <c r="M2031" s="2" t="n">
        <v>34520</v>
      </c>
      <c r="N2031" s="2" t="n">
        <v>2</v>
      </c>
      <c r="O2031" s="2" t="n">
        <v>13</v>
      </c>
      <c r="P2031" s="2" t="n">
        <v>3</v>
      </c>
      <c r="Q2031" s="2" t="n">
        <v>18</v>
      </c>
      <c r="R2031" s="2" t="n">
        <v>4</v>
      </c>
      <c r="S2031" s="2" t="n">
        <v>11</v>
      </c>
      <c r="T2031" s="2" t="n">
        <v>0</v>
      </c>
      <c r="U2031" s="2" t="n">
        <v>9</v>
      </c>
      <c r="V2031" s="2" t="n">
        <v>1</v>
      </c>
      <c r="W2031" s="2" t="n">
        <v>4</v>
      </c>
      <c r="X2031" s="2" t="n">
        <v>3</v>
      </c>
      <c r="Y2031" s="2" t="n">
        <v>4</v>
      </c>
      <c r="Z2031" s="2" t="n">
        <v>3</v>
      </c>
    </row>
    <row r="2032" customFormat="false" ht="15" hidden="false" customHeight="true" outlineLevel="0" collapsed="false">
      <c r="A2032" s="2" t="n">
        <v>31</v>
      </c>
      <c r="B2032" s="2" t="s">
        <v>26</v>
      </c>
      <c r="C2032" s="2" t="s">
        <v>34</v>
      </c>
      <c r="D2032" s="2" t="s">
        <v>35</v>
      </c>
      <c r="E2032" s="2" t="n">
        <v>7</v>
      </c>
      <c r="F2032" s="2" t="n">
        <v>3</v>
      </c>
      <c r="G2032" s="2" t="s">
        <v>29</v>
      </c>
      <c r="H2032" s="2" t="n">
        <v>2031</v>
      </c>
      <c r="I2032" s="2" t="s">
        <v>39</v>
      </c>
      <c r="J2032" s="2" t="n">
        <v>1</v>
      </c>
      <c r="K2032" s="2" t="s">
        <v>40</v>
      </c>
      <c r="L2032" s="2" t="s">
        <v>32</v>
      </c>
      <c r="M2032" s="2" t="n">
        <v>52580</v>
      </c>
      <c r="N2032" s="2" t="n">
        <v>0</v>
      </c>
      <c r="O2032" s="2" t="n">
        <v>14</v>
      </c>
      <c r="P2032" s="2" t="n">
        <v>3</v>
      </c>
      <c r="Q2032" s="2" t="n">
        <v>3</v>
      </c>
      <c r="R2032" s="2" t="n">
        <v>5</v>
      </c>
      <c r="S2032" s="2" t="n">
        <v>2</v>
      </c>
      <c r="T2032" s="2" t="n">
        <v>2</v>
      </c>
      <c r="U2032" s="2" t="n">
        <v>2</v>
      </c>
      <c r="V2032" s="2" t="n">
        <v>3</v>
      </c>
      <c r="W2032" s="2" t="n">
        <v>4</v>
      </c>
      <c r="X2032" s="2" t="n">
        <v>3</v>
      </c>
      <c r="Y2032" s="2" t="n">
        <v>3</v>
      </c>
      <c r="Z2032" s="2" t="n">
        <v>3</v>
      </c>
    </row>
    <row r="2033" customFormat="false" ht="15" hidden="false" customHeight="true" outlineLevel="0" collapsed="false">
      <c r="A2033" s="2" t="n">
        <v>28</v>
      </c>
      <c r="B2033" s="2" t="s">
        <v>26</v>
      </c>
      <c r="C2033" s="2" t="s">
        <v>27</v>
      </c>
      <c r="D2033" s="2" t="s">
        <v>28</v>
      </c>
      <c r="E2033" s="2" t="n">
        <v>2</v>
      </c>
      <c r="F2033" s="2" t="n">
        <v>4</v>
      </c>
      <c r="G2033" s="2" t="s">
        <v>50</v>
      </c>
      <c r="H2033" s="2" t="n">
        <v>2032</v>
      </c>
      <c r="I2033" s="2" t="s">
        <v>39</v>
      </c>
      <c r="J2033" s="2" t="n">
        <v>1</v>
      </c>
      <c r="K2033" s="2" t="s">
        <v>40</v>
      </c>
      <c r="L2033" s="2" t="s">
        <v>32</v>
      </c>
      <c r="M2033" s="2" t="n">
        <v>93550</v>
      </c>
      <c r="N2033" s="2" t="n">
        <v>0</v>
      </c>
      <c r="O2033" s="2" t="n">
        <v>11</v>
      </c>
      <c r="P2033" s="2" t="n">
        <v>0</v>
      </c>
      <c r="Q2033" s="2" t="n">
        <v>6</v>
      </c>
      <c r="R2033" s="2" t="n">
        <v>4</v>
      </c>
      <c r="S2033" s="2" t="n">
        <v>5</v>
      </c>
      <c r="T2033" s="2" t="n">
        <v>0</v>
      </c>
      <c r="U2033" s="2" t="n">
        <v>4</v>
      </c>
      <c r="V2033" s="2" t="n">
        <v>1</v>
      </c>
      <c r="W2033" s="2" t="n">
        <v>2</v>
      </c>
      <c r="X2033" s="2" t="n">
        <v>1</v>
      </c>
      <c r="Y2033" s="2" t="n">
        <v>3</v>
      </c>
      <c r="Z2033" s="2" t="n">
        <v>3</v>
      </c>
    </row>
    <row r="2034" customFormat="false" ht="15" hidden="false" customHeight="true" outlineLevel="0" collapsed="false">
      <c r="A2034" s="2" t="n">
        <v>35</v>
      </c>
      <c r="B2034" s="2" t="s">
        <v>26</v>
      </c>
      <c r="C2034" s="2" t="s">
        <v>34</v>
      </c>
      <c r="D2034" s="2" t="s">
        <v>35</v>
      </c>
      <c r="E2034" s="2" t="n">
        <v>9</v>
      </c>
      <c r="F2034" s="2" t="n">
        <v>2</v>
      </c>
      <c r="G2034" s="2" t="s">
        <v>38</v>
      </c>
      <c r="H2034" s="2" t="n">
        <v>2033</v>
      </c>
      <c r="I2034" s="2" t="s">
        <v>30</v>
      </c>
      <c r="J2034" s="2" t="n">
        <v>1</v>
      </c>
      <c r="K2034" s="2" t="s">
        <v>47</v>
      </c>
      <c r="L2034" s="2" t="s">
        <v>46</v>
      </c>
      <c r="M2034" s="2" t="n">
        <v>104960</v>
      </c>
      <c r="N2034" s="2" t="n">
        <v>1</v>
      </c>
      <c r="O2034" s="2" t="n">
        <v>13</v>
      </c>
      <c r="P2034" s="2" t="n">
        <v>1</v>
      </c>
      <c r="Q2034" s="2" t="n">
        <v>5</v>
      </c>
      <c r="R2034" s="2" t="n">
        <v>2</v>
      </c>
      <c r="S2034" s="2" t="n">
        <v>5</v>
      </c>
      <c r="T2034" s="2" t="n">
        <v>0</v>
      </c>
      <c r="U2034" s="2" t="n">
        <v>2</v>
      </c>
      <c r="V2034" s="2" t="n">
        <v>4</v>
      </c>
      <c r="W2034" s="2" t="n">
        <v>4</v>
      </c>
      <c r="X2034" s="2" t="n">
        <v>3</v>
      </c>
      <c r="Y2034" s="2" t="n">
        <v>3</v>
      </c>
      <c r="Z2034" s="2" t="n">
        <v>3</v>
      </c>
    </row>
    <row r="2035" customFormat="false" ht="15" hidden="false" customHeight="true" outlineLevel="0" collapsed="false">
      <c r="A2035" s="2" t="n">
        <v>49</v>
      </c>
      <c r="B2035" s="2" t="s">
        <v>26</v>
      </c>
      <c r="C2035" s="2" t="s">
        <v>27</v>
      </c>
      <c r="D2035" s="2" t="s">
        <v>28</v>
      </c>
      <c r="E2035" s="2" t="n">
        <v>2</v>
      </c>
      <c r="F2035" s="2" t="n">
        <v>2</v>
      </c>
      <c r="G2035" s="2" t="s">
        <v>43</v>
      </c>
      <c r="H2035" s="2" t="n">
        <v>2034</v>
      </c>
      <c r="I2035" s="2" t="s">
        <v>30</v>
      </c>
      <c r="J2035" s="2" t="n">
        <v>1</v>
      </c>
      <c r="K2035" s="2" t="s">
        <v>40</v>
      </c>
      <c r="L2035" s="2" t="s">
        <v>32</v>
      </c>
      <c r="M2035" s="2" t="n">
        <v>63800</v>
      </c>
      <c r="N2035" s="2" t="n">
        <v>6</v>
      </c>
      <c r="O2035" s="2" t="n">
        <v>23</v>
      </c>
      <c r="P2035" s="2" t="n">
        <v>1</v>
      </c>
      <c r="Q2035" s="2" t="n">
        <v>22</v>
      </c>
      <c r="R2035" s="2" t="n">
        <v>1</v>
      </c>
      <c r="S2035" s="2" t="n">
        <v>9</v>
      </c>
      <c r="T2035" s="2" t="n">
        <v>2</v>
      </c>
      <c r="U2035" s="2" t="n">
        <v>3</v>
      </c>
      <c r="V2035" s="2" t="n">
        <v>4</v>
      </c>
      <c r="W2035" s="2" t="n">
        <v>2</v>
      </c>
      <c r="X2035" s="2" t="n">
        <v>3</v>
      </c>
      <c r="Y2035" s="2" t="n">
        <v>2</v>
      </c>
      <c r="Z2035" s="2" t="n">
        <v>4</v>
      </c>
    </row>
    <row r="2036" customFormat="false" ht="15" hidden="false" customHeight="true" outlineLevel="0" collapsed="false">
      <c r="A2036" s="2" t="n">
        <v>34</v>
      </c>
      <c r="B2036" s="2" t="s">
        <v>26</v>
      </c>
      <c r="C2036" s="2" t="s">
        <v>34</v>
      </c>
      <c r="D2036" s="2" t="s">
        <v>28</v>
      </c>
      <c r="E2036" s="2" t="n">
        <v>9</v>
      </c>
      <c r="F2036" s="2" t="n">
        <v>1</v>
      </c>
      <c r="G2036" s="2" t="s">
        <v>51</v>
      </c>
      <c r="H2036" s="2" t="n">
        <v>2035</v>
      </c>
      <c r="I2036" s="2" t="s">
        <v>39</v>
      </c>
      <c r="J2036" s="2" t="n">
        <v>2</v>
      </c>
      <c r="K2036" s="2" t="s">
        <v>40</v>
      </c>
      <c r="L2036" s="2" t="s">
        <v>37</v>
      </c>
      <c r="M2036" s="2" t="n">
        <v>26570</v>
      </c>
      <c r="N2036" s="2" t="n">
        <v>2</v>
      </c>
      <c r="O2036" s="2" t="n">
        <v>13</v>
      </c>
      <c r="P2036" s="2" t="n">
        <v>1</v>
      </c>
      <c r="Q2036" s="2" t="n">
        <v>5</v>
      </c>
      <c r="R2036" s="2" t="n">
        <v>3</v>
      </c>
      <c r="S2036" s="2" t="n">
        <v>3</v>
      </c>
      <c r="T2036" s="2" t="n">
        <v>0</v>
      </c>
      <c r="U2036" s="2" t="n">
        <v>2</v>
      </c>
      <c r="V2036" s="2" t="n">
        <v>4</v>
      </c>
      <c r="W2036" s="2" t="n">
        <v>3</v>
      </c>
      <c r="X2036" s="2" t="n">
        <v>2</v>
      </c>
      <c r="Y2036" s="2" t="n">
        <v>2</v>
      </c>
      <c r="Z2036" s="2" t="n">
        <v>3</v>
      </c>
    </row>
    <row r="2037" customFormat="false" ht="15" hidden="false" customHeight="true" outlineLevel="0" collapsed="false">
      <c r="A2037" s="2" t="n">
        <v>29</v>
      </c>
      <c r="B2037" s="2" t="s">
        <v>26</v>
      </c>
      <c r="C2037" s="2" t="s">
        <v>34</v>
      </c>
      <c r="D2037" s="2" t="s">
        <v>35</v>
      </c>
      <c r="E2037" s="2" t="n">
        <v>1</v>
      </c>
      <c r="F2037" s="2" t="n">
        <v>4</v>
      </c>
      <c r="G2037" s="2" t="s">
        <v>43</v>
      </c>
      <c r="H2037" s="2" t="n">
        <v>2036</v>
      </c>
      <c r="I2037" s="2" t="s">
        <v>39</v>
      </c>
      <c r="J2037" s="2" t="n">
        <v>3</v>
      </c>
      <c r="K2037" s="2" t="s">
        <v>36</v>
      </c>
      <c r="L2037" s="2" t="s">
        <v>46</v>
      </c>
      <c r="M2037" s="2" t="n">
        <v>27160</v>
      </c>
      <c r="N2037" s="2" t="n">
        <v>0</v>
      </c>
      <c r="O2037" s="2" t="n">
        <v>18</v>
      </c>
      <c r="P2037" s="2" t="n">
        <v>0</v>
      </c>
      <c r="Q2037" s="2" t="n">
        <v>8</v>
      </c>
      <c r="R2037" s="2" t="n">
        <v>2</v>
      </c>
      <c r="S2037" s="2" t="n">
        <v>7</v>
      </c>
      <c r="T2037" s="2" t="n">
        <v>1</v>
      </c>
      <c r="U2037" s="2" t="n">
        <v>1</v>
      </c>
      <c r="V2037" s="2" t="n">
        <v>4</v>
      </c>
      <c r="W2037" s="2" t="n">
        <v>2</v>
      </c>
      <c r="X2037" s="2" t="n">
        <v>2</v>
      </c>
      <c r="Y2037" s="2" t="n">
        <v>1</v>
      </c>
      <c r="Z2037" s="2" t="n">
        <v>3</v>
      </c>
    </row>
    <row r="2038" customFormat="false" ht="15" hidden="false" customHeight="true" outlineLevel="0" collapsed="false">
      <c r="A2038" s="2" t="n">
        <v>42</v>
      </c>
      <c r="B2038" s="2" t="s">
        <v>26</v>
      </c>
      <c r="C2038" s="2" t="s">
        <v>27</v>
      </c>
      <c r="D2038" s="2" t="s">
        <v>28</v>
      </c>
      <c r="E2038" s="2" t="n">
        <v>21</v>
      </c>
      <c r="F2038" s="2" t="n">
        <v>2</v>
      </c>
      <c r="G2038" s="2" t="s">
        <v>29</v>
      </c>
      <c r="H2038" s="2" t="n">
        <v>2037</v>
      </c>
      <c r="I2038" s="2" t="s">
        <v>30</v>
      </c>
      <c r="J2038" s="2" t="n">
        <v>1</v>
      </c>
      <c r="K2038" s="2" t="s">
        <v>31</v>
      </c>
      <c r="L2038" s="2" t="s">
        <v>37</v>
      </c>
      <c r="M2038" s="2" t="n">
        <v>22010</v>
      </c>
      <c r="N2038" s="2" t="n">
        <v>4</v>
      </c>
      <c r="O2038" s="2" t="n">
        <v>12</v>
      </c>
      <c r="P2038" s="2" t="n">
        <v>1</v>
      </c>
      <c r="Q2038" s="2" t="n">
        <v>16</v>
      </c>
      <c r="R2038" s="2" t="n">
        <v>3</v>
      </c>
      <c r="S2038" s="2" t="n">
        <v>1</v>
      </c>
      <c r="T2038" s="2" t="n">
        <v>0</v>
      </c>
      <c r="U2038" s="2" t="n">
        <v>0</v>
      </c>
      <c r="V2038" s="2" t="n">
        <v>2</v>
      </c>
      <c r="W2038" s="2" t="n">
        <v>4</v>
      </c>
      <c r="X2038" s="2" t="n">
        <v>3</v>
      </c>
      <c r="Y2038" s="2" t="n">
        <v>4</v>
      </c>
      <c r="Z2038" s="2" t="n">
        <v>3</v>
      </c>
    </row>
    <row r="2039" customFormat="false" ht="15" hidden="false" customHeight="true" outlineLevel="0" collapsed="false">
      <c r="A2039" s="2" t="n">
        <v>29</v>
      </c>
      <c r="B2039" s="2" t="s">
        <v>26</v>
      </c>
      <c r="C2039" s="2" t="s">
        <v>27</v>
      </c>
      <c r="D2039" s="2" t="s">
        <v>28</v>
      </c>
      <c r="E2039" s="2" t="n">
        <v>4</v>
      </c>
      <c r="F2039" s="2" t="n">
        <v>2</v>
      </c>
      <c r="G2039" s="2" t="s">
        <v>38</v>
      </c>
      <c r="H2039" s="2" t="n">
        <v>2038</v>
      </c>
      <c r="I2039" s="2" t="s">
        <v>30</v>
      </c>
      <c r="J2039" s="2" t="n">
        <v>2</v>
      </c>
      <c r="K2039" s="2" t="s">
        <v>31</v>
      </c>
      <c r="L2039" s="2" t="s">
        <v>32</v>
      </c>
      <c r="M2039" s="2" t="n">
        <v>65400</v>
      </c>
      <c r="N2039" s="2" t="n">
        <v>1</v>
      </c>
      <c r="O2039" s="2" t="n">
        <v>22</v>
      </c>
      <c r="P2039" s="2" t="n">
        <v>0</v>
      </c>
      <c r="Q2039" s="2" t="n">
        <v>10</v>
      </c>
      <c r="R2039" s="2" t="n">
        <v>2</v>
      </c>
      <c r="S2039" s="2" t="n">
        <v>10</v>
      </c>
      <c r="T2039" s="2" t="n">
        <v>1</v>
      </c>
      <c r="U2039" s="2" t="n">
        <v>2</v>
      </c>
      <c r="V2039" s="2" t="n">
        <v>2</v>
      </c>
      <c r="W2039" s="2" t="n">
        <v>4</v>
      </c>
      <c r="X2039" s="2" t="n">
        <v>2</v>
      </c>
      <c r="Y2039" s="2" t="n">
        <v>1</v>
      </c>
      <c r="Z2039" s="2" t="n">
        <v>4</v>
      </c>
    </row>
    <row r="2040" customFormat="false" ht="15" hidden="false" customHeight="true" outlineLevel="0" collapsed="false">
      <c r="A2040" s="2" t="n">
        <v>38</v>
      </c>
      <c r="B2040" s="2" t="s">
        <v>26</v>
      </c>
      <c r="C2040" s="2" t="s">
        <v>27</v>
      </c>
      <c r="D2040" s="2" t="s">
        <v>35</v>
      </c>
      <c r="E2040" s="2" t="n">
        <v>1</v>
      </c>
      <c r="F2040" s="2" t="n">
        <v>3</v>
      </c>
      <c r="G2040" s="2" t="s">
        <v>43</v>
      </c>
      <c r="H2040" s="2" t="n">
        <v>2039</v>
      </c>
      <c r="I2040" s="2" t="s">
        <v>30</v>
      </c>
      <c r="J2040" s="2" t="n">
        <v>1</v>
      </c>
      <c r="K2040" s="2" t="s">
        <v>42</v>
      </c>
      <c r="L2040" s="2" t="s">
        <v>32</v>
      </c>
      <c r="M2040" s="2" t="n">
        <v>38160</v>
      </c>
      <c r="N2040" s="2" t="n">
        <v>1</v>
      </c>
      <c r="O2040" s="2" t="n">
        <v>13</v>
      </c>
      <c r="P2040" s="2" t="n">
        <v>2</v>
      </c>
      <c r="Q2040" s="2" t="n">
        <v>7</v>
      </c>
      <c r="R2040" s="2" t="n">
        <v>2</v>
      </c>
      <c r="S2040" s="2" t="n">
        <v>7</v>
      </c>
      <c r="T2040" s="2" t="n">
        <v>5</v>
      </c>
      <c r="U2040" s="2" t="n">
        <v>0</v>
      </c>
      <c r="V2040" s="2" t="n">
        <v>3</v>
      </c>
      <c r="W2040" s="2" t="n">
        <v>3</v>
      </c>
      <c r="X2040" s="2" t="n">
        <v>4</v>
      </c>
      <c r="Y2040" s="2" t="n">
        <v>2</v>
      </c>
      <c r="Z2040" s="2" t="n">
        <v>3</v>
      </c>
    </row>
    <row r="2041" customFormat="false" ht="15" hidden="false" customHeight="true" outlineLevel="0" collapsed="false">
      <c r="A2041" s="2" t="n">
        <v>28</v>
      </c>
      <c r="B2041" s="2" t="s">
        <v>26</v>
      </c>
      <c r="C2041" s="2" t="s">
        <v>34</v>
      </c>
      <c r="D2041" s="2" t="s">
        <v>28</v>
      </c>
      <c r="E2041" s="2" t="n">
        <v>6</v>
      </c>
      <c r="F2041" s="2" t="n">
        <v>4</v>
      </c>
      <c r="G2041" s="2" t="s">
        <v>29</v>
      </c>
      <c r="H2041" s="2" t="n">
        <v>2040</v>
      </c>
      <c r="I2041" s="2" t="s">
        <v>39</v>
      </c>
      <c r="J2041" s="2" t="n">
        <v>1</v>
      </c>
      <c r="K2041" s="2" t="s">
        <v>49</v>
      </c>
      <c r="L2041" s="2" t="s">
        <v>46</v>
      </c>
      <c r="M2041" s="2" t="n">
        <v>52530</v>
      </c>
      <c r="N2041" s="2" t="n">
        <v>1</v>
      </c>
      <c r="O2041" s="2" t="n">
        <v>15</v>
      </c>
      <c r="P2041" s="2" t="n">
        <v>0</v>
      </c>
      <c r="Q2041" s="2" t="n">
        <v>3</v>
      </c>
      <c r="R2041" s="2" t="n">
        <v>2</v>
      </c>
      <c r="S2041" s="2" t="n">
        <v>3</v>
      </c>
      <c r="T2041" s="2" t="n">
        <v>0</v>
      </c>
      <c r="U2041" s="2" t="n">
        <v>2</v>
      </c>
      <c r="V2041" s="2" t="n">
        <v>3</v>
      </c>
      <c r="W2041" s="2" t="n">
        <v>3</v>
      </c>
      <c r="X2041" s="2" t="n">
        <v>3</v>
      </c>
      <c r="Y2041" s="2" t="n">
        <v>3</v>
      </c>
      <c r="Z2041" s="2" t="n">
        <v>3</v>
      </c>
    </row>
    <row r="2042" customFormat="false" ht="15" hidden="false" customHeight="true" outlineLevel="0" collapsed="false">
      <c r="A2042" s="2" t="n">
        <v>18</v>
      </c>
      <c r="B2042" s="2" t="s">
        <v>33</v>
      </c>
      <c r="C2042" s="2" t="s">
        <v>41</v>
      </c>
      <c r="D2042" s="2" t="s">
        <v>35</v>
      </c>
      <c r="E2042" s="2" t="n">
        <v>2</v>
      </c>
      <c r="F2042" s="2" t="n">
        <v>4</v>
      </c>
      <c r="G2042" s="2" t="s">
        <v>43</v>
      </c>
      <c r="H2042" s="2" t="n">
        <v>2041</v>
      </c>
      <c r="I2042" s="2" t="s">
        <v>39</v>
      </c>
      <c r="J2042" s="2" t="n">
        <v>3</v>
      </c>
      <c r="K2042" s="2" t="s">
        <v>45</v>
      </c>
      <c r="L2042" s="2" t="s">
        <v>37</v>
      </c>
      <c r="M2042" s="2" t="n">
        <v>109650</v>
      </c>
      <c r="N2042" s="2" t="n">
        <v>1</v>
      </c>
      <c r="O2042" s="2" t="n">
        <v>18</v>
      </c>
      <c r="P2042" s="2" t="n">
        <v>0</v>
      </c>
      <c r="Q2042" s="2" t="n">
        <v>0</v>
      </c>
      <c r="R2042" s="2" t="n">
        <v>5</v>
      </c>
      <c r="S2042" s="2" t="n">
        <v>0</v>
      </c>
      <c r="T2042" s="2" t="n">
        <v>0</v>
      </c>
      <c r="U2042" s="2" t="n">
        <v>0</v>
      </c>
      <c r="V2042" s="2" t="n">
        <v>3</v>
      </c>
      <c r="W2042" s="2" t="n">
        <v>3</v>
      </c>
      <c r="X2042" s="2" t="n">
        <v>3</v>
      </c>
      <c r="Y2042" s="2" t="n">
        <v>4</v>
      </c>
      <c r="Z2042" s="2" t="n">
        <v>3</v>
      </c>
    </row>
    <row r="2043" customFormat="false" ht="15" hidden="false" customHeight="true" outlineLevel="0" collapsed="false">
      <c r="A2043" s="2" t="n">
        <v>33</v>
      </c>
      <c r="B2043" s="2" t="s">
        <v>33</v>
      </c>
      <c r="C2043" s="2" t="s">
        <v>27</v>
      </c>
      <c r="D2043" s="2" t="s">
        <v>35</v>
      </c>
      <c r="E2043" s="2" t="n">
        <v>3</v>
      </c>
      <c r="F2043" s="2" t="n">
        <v>2</v>
      </c>
      <c r="G2043" s="2" t="s">
        <v>29</v>
      </c>
      <c r="H2043" s="2" t="n">
        <v>2042</v>
      </c>
      <c r="I2043" s="2" t="s">
        <v>39</v>
      </c>
      <c r="J2043" s="2" t="n">
        <v>1</v>
      </c>
      <c r="K2043" s="2" t="s">
        <v>40</v>
      </c>
      <c r="L2043" s="2" t="s">
        <v>37</v>
      </c>
      <c r="M2043" s="2" t="n">
        <v>49360</v>
      </c>
      <c r="N2043" s="2" t="n">
        <v>0</v>
      </c>
      <c r="O2043" s="2" t="n">
        <v>14</v>
      </c>
      <c r="P2043" s="2" t="n">
        <v>0</v>
      </c>
      <c r="Q2043" s="2" t="n">
        <v>6</v>
      </c>
      <c r="R2043" s="2" t="n">
        <v>2</v>
      </c>
      <c r="S2043" s="2" t="n">
        <v>5</v>
      </c>
      <c r="T2043" s="2" t="n">
        <v>0</v>
      </c>
      <c r="U2043" s="2" t="n">
        <v>3</v>
      </c>
      <c r="V2043" s="2" t="n">
        <v>1</v>
      </c>
      <c r="W2043" s="2" t="n">
        <v>1</v>
      </c>
      <c r="X2043" s="2" t="n">
        <v>3</v>
      </c>
      <c r="Y2043" s="2" t="n">
        <v>2</v>
      </c>
      <c r="Z2043" s="2" t="n">
        <v>3</v>
      </c>
    </row>
    <row r="2044" customFormat="false" ht="15" hidden="false" customHeight="true" outlineLevel="0" collapsed="false">
      <c r="A2044" s="2" t="n">
        <v>41</v>
      </c>
      <c r="B2044" s="2" t="s">
        <v>26</v>
      </c>
      <c r="C2044" s="2" t="s">
        <v>27</v>
      </c>
      <c r="D2044" s="2" t="s">
        <v>35</v>
      </c>
      <c r="E2044" s="2" t="n">
        <v>4</v>
      </c>
      <c r="F2044" s="2" t="n">
        <v>2</v>
      </c>
      <c r="G2044" s="2" t="s">
        <v>43</v>
      </c>
      <c r="H2044" s="2" t="n">
        <v>2043</v>
      </c>
      <c r="I2044" s="2" t="s">
        <v>39</v>
      </c>
      <c r="J2044" s="2" t="n">
        <v>2</v>
      </c>
      <c r="K2044" s="2" t="s">
        <v>36</v>
      </c>
      <c r="L2044" s="2" t="s">
        <v>32</v>
      </c>
      <c r="M2044" s="2" t="n">
        <v>25430</v>
      </c>
      <c r="N2044" s="2" t="n">
        <v>3</v>
      </c>
      <c r="O2044" s="2" t="n">
        <v>12</v>
      </c>
      <c r="P2044" s="2" t="n">
        <v>0</v>
      </c>
      <c r="Q2044" s="2" t="n">
        <v>6</v>
      </c>
      <c r="R2044" s="2" t="n">
        <v>3</v>
      </c>
      <c r="S2044" s="2" t="n">
        <v>1</v>
      </c>
      <c r="T2044" s="2" t="n">
        <v>0</v>
      </c>
      <c r="U2044" s="2" t="n">
        <v>0</v>
      </c>
      <c r="V2044" s="2" t="n">
        <v>2</v>
      </c>
      <c r="W2044" s="2" t="n">
        <v>4</v>
      </c>
      <c r="X2044" s="2" t="n">
        <v>3</v>
      </c>
      <c r="Y2044" s="2" t="n">
        <v>3</v>
      </c>
      <c r="Z2044" s="2" t="n">
        <v>3</v>
      </c>
    </row>
    <row r="2045" customFormat="false" ht="15" hidden="false" customHeight="true" outlineLevel="0" collapsed="false">
      <c r="A2045" s="2" t="n">
        <v>31</v>
      </c>
      <c r="B2045" s="2" t="s">
        <v>33</v>
      </c>
      <c r="C2045" s="2" t="s">
        <v>34</v>
      </c>
      <c r="D2045" s="2" t="s">
        <v>28</v>
      </c>
      <c r="E2045" s="2" t="n">
        <v>10</v>
      </c>
      <c r="F2045" s="2" t="n">
        <v>3</v>
      </c>
      <c r="G2045" s="2" t="s">
        <v>51</v>
      </c>
      <c r="H2045" s="2" t="n">
        <v>2044</v>
      </c>
      <c r="I2045" s="2" t="s">
        <v>30</v>
      </c>
      <c r="J2045" s="2" t="n">
        <v>1</v>
      </c>
      <c r="K2045" s="2" t="s">
        <v>44</v>
      </c>
      <c r="L2045" s="2" t="s">
        <v>32</v>
      </c>
      <c r="M2045" s="2" t="n">
        <v>53040</v>
      </c>
      <c r="N2045" s="2" t="n">
        <v>1</v>
      </c>
      <c r="O2045" s="2" t="n">
        <v>17</v>
      </c>
      <c r="P2045" s="2" t="n">
        <v>0</v>
      </c>
      <c r="Q2045" s="2" t="n">
        <v>2</v>
      </c>
      <c r="R2045" s="2" t="n">
        <v>3</v>
      </c>
      <c r="S2045" s="2" t="n">
        <v>2</v>
      </c>
      <c r="T2045" s="2" t="n">
        <v>2</v>
      </c>
      <c r="U2045" s="2" t="n">
        <v>2</v>
      </c>
      <c r="V2045" s="2" t="n">
        <v>3</v>
      </c>
      <c r="W2045" s="2" t="n">
        <v>3</v>
      </c>
      <c r="X2045" s="2" t="n">
        <v>2</v>
      </c>
      <c r="Y2045" s="2" t="n">
        <v>4</v>
      </c>
      <c r="Z2045" s="2" t="n">
        <v>3</v>
      </c>
    </row>
    <row r="2046" customFormat="false" ht="15" hidden="false" customHeight="true" outlineLevel="0" collapsed="false">
      <c r="A2046" s="2" t="n">
        <v>37</v>
      </c>
      <c r="B2046" s="2" t="s">
        <v>26</v>
      </c>
      <c r="C2046" s="2" t="s">
        <v>27</v>
      </c>
      <c r="D2046" s="2" t="s">
        <v>35</v>
      </c>
      <c r="E2046" s="2" t="n">
        <v>23</v>
      </c>
      <c r="F2046" s="2" t="n">
        <v>3</v>
      </c>
      <c r="G2046" s="2" t="s">
        <v>29</v>
      </c>
      <c r="H2046" s="2" t="n">
        <v>2045</v>
      </c>
      <c r="I2046" s="2" t="s">
        <v>39</v>
      </c>
      <c r="J2046" s="2" t="n">
        <v>3</v>
      </c>
      <c r="K2046" s="2" t="s">
        <v>47</v>
      </c>
      <c r="L2046" s="2" t="s">
        <v>46</v>
      </c>
      <c r="M2046" s="2" t="n">
        <v>166590</v>
      </c>
      <c r="N2046" s="2" t="n">
        <v>7</v>
      </c>
      <c r="O2046" s="2" t="n">
        <v>16</v>
      </c>
      <c r="P2046" s="2" t="n">
        <v>1</v>
      </c>
      <c r="Q2046" s="2" t="n">
        <v>9</v>
      </c>
      <c r="R2046" s="2" t="n">
        <v>2</v>
      </c>
      <c r="S2046" s="2" t="n">
        <v>6</v>
      </c>
      <c r="T2046" s="2" t="n">
        <v>1</v>
      </c>
      <c r="U2046" s="2" t="n">
        <v>3</v>
      </c>
      <c r="V2046" s="2" t="n">
        <v>3</v>
      </c>
      <c r="W2046" s="2" t="n">
        <v>4</v>
      </c>
      <c r="X2046" s="2" t="n">
        <v>3</v>
      </c>
      <c r="Y2046" s="2" t="n">
        <v>3</v>
      </c>
      <c r="Z2046" s="2" t="n">
        <v>3</v>
      </c>
    </row>
    <row r="2047" customFormat="false" ht="15" hidden="false" customHeight="true" outlineLevel="0" collapsed="false">
      <c r="A2047" s="2" t="n">
        <v>27</v>
      </c>
      <c r="B2047" s="2" t="s">
        <v>26</v>
      </c>
      <c r="C2047" s="2" t="s">
        <v>27</v>
      </c>
      <c r="D2047" s="2" t="s">
        <v>35</v>
      </c>
      <c r="E2047" s="2" t="n">
        <v>6</v>
      </c>
      <c r="F2047" s="2" t="n">
        <v>2</v>
      </c>
      <c r="G2047" s="2" t="s">
        <v>43</v>
      </c>
      <c r="H2047" s="2" t="n">
        <v>2046</v>
      </c>
      <c r="I2047" s="2" t="s">
        <v>30</v>
      </c>
      <c r="J2047" s="2" t="n">
        <v>1</v>
      </c>
      <c r="K2047" s="2" t="s">
        <v>31</v>
      </c>
      <c r="L2047" s="2" t="s">
        <v>32</v>
      </c>
      <c r="M2047" s="2" t="n">
        <v>42600</v>
      </c>
      <c r="N2047" s="2" t="n">
        <v>1</v>
      </c>
      <c r="O2047" s="2" t="n">
        <v>11</v>
      </c>
      <c r="P2047" s="2" t="n">
        <v>2</v>
      </c>
      <c r="Q2047" s="2" t="n">
        <v>4</v>
      </c>
      <c r="R2047" s="2" t="n">
        <v>2</v>
      </c>
      <c r="S2047" s="2" t="n">
        <v>4</v>
      </c>
      <c r="T2047" s="2" t="n">
        <v>2</v>
      </c>
      <c r="U2047" s="2" t="n">
        <v>2</v>
      </c>
      <c r="V2047" s="2" t="n">
        <v>4</v>
      </c>
      <c r="W2047" s="2" t="n">
        <v>3</v>
      </c>
      <c r="X2047" s="2" t="n">
        <v>3</v>
      </c>
      <c r="Y2047" s="2" t="n">
        <v>3</v>
      </c>
      <c r="Z2047" s="2" t="n">
        <v>3</v>
      </c>
    </row>
    <row r="2048" customFormat="false" ht="15" hidden="false" customHeight="true" outlineLevel="0" collapsed="false">
      <c r="A2048" s="2" t="n">
        <v>34</v>
      </c>
      <c r="B2048" s="2" t="s">
        <v>26</v>
      </c>
      <c r="C2048" s="2" t="s">
        <v>27</v>
      </c>
      <c r="D2048" s="2" t="s">
        <v>28</v>
      </c>
      <c r="E2048" s="2" t="n">
        <v>1</v>
      </c>
      <c r="F2048" s="2" t="n">
        <v>1</v>
      </c>
      <c r="G2048" s="2" t="s">
        <v>50</v>
      </c>
      <c r="H2048" s="2" t="n">
        <v>2047</v>
      </c>
      <c r="I2048" s="2" t="s">
        <v>30</v>
      </c>
      <c r="J2048" s="2" t="n">
        <v>2</v>
      </c>
      <c r="K2048" s="2" t="s">
        <v>45</v>
      </c>
      <c r="L2048" s="2" t="s">
        <v>32</v>
      </c>
      <c r="M2048" s="2" t="n">
        <v>24760</v>
      </c>
      <c r="N2048" s="2" t="n">
        <v>1</v>
      </c>
      <c r="O2048" s="2" t="n">
        <v>19</v>
      </c>
      <c r="P2048" s="2" t="n">
        <v>0</v>
      </c>
      <c r="Q2048" s="2" t="n">
        <v>6</v>
      </c>
      <c r="R2048" s="2" t="n">
        <v>2</v>
      </c>
      <c r="S2048" s="2" t="n">
        <v>6</v>
      </c>
      <c r="T2048" s="2" t="n">
        <v>1</v>
      </c>
      <c r="U2048" s="2" t="n">
        <v>3</v>
      </c>
      <c r="V2048" s="2" t="n">
        <v>2</v>
      </c>
      <c r="W2048" s="2" t="n">
        <v>3</v>
      </c>
      <c r="X2048" s="2" t="n">
        <v>2</v>
      </c>
      <c r="Y2048" s="2" t="n">
        <v>3</v>
      </c>
      <c r="Z2048" s="2" t="n">
        <v>3</v>
      </c>
    </row>
    <row r="2049" customFormat="false" ht="15" hidden="false" customHeight="true" outlineLevel="0" collapsed="false">
      <c r="A2049" s="2" t="n">
        <v>35</v>
      </c>
      <c r="B2049" s="2" t="s">
        <v>26</v>
      </c>
      <c r="C2049" s="2" t="s">
        <v>27</v>
      </c>
      <c r="D2049" s="2" t="s">
        <v>35</v>
      </c>
      <c r="E2049" s="2" t="n">
        <v>6</v>
      </c>
      <c r="F2049" s="2" t="n">
        <v>3</v>
      </c>
      <c r="G2049" s="2" t="s">
        <v>29</v>
      </c>
      <c r="H2049" s="2" t="n">
        <v>2048</v>
      </c>
      <c r="I2049" s="2" t="s">
        <v>30</v>
      </c>
      <c r="J2049" s="2" t="n">
        <v>3</v>
      </c>
      <c r="K2049" s="2" t="s">
        <v>45</v>
      </c>
      <c r="L2049" s="2" t="s">
        <v>37</v>
      </c>
      <c r="M2049" s="2" t="n">
        <v>31020</v>
      </c>
      <c r="N2049" s="2" t="n">
        <v>1</v>
      </c>
      <c r="O2049" s="2" t="n">
        <v>13</v>
      </c>
      <c r="P2049" s="2" t="n">
        <v>1</v>
      </c>
      <c r="Q2049" s="2" t="n">
        <v>6</v>
      </c>
      <c r="R2049" s="2" t="n">
        <v>3</v>
      </c>
      <c r="S2049" s="2" t="n">
        <v>5</v>
      </c>
      <c r="T2049" s="2" t="n">
        <v>1</v>
      </c>
      <c r="U2049" s="2" t="n">
        <v>4</v>
      </c>
      <c r="V2049" s="2" t="n">
        <v>3</v>
      </c>
      <c r="W2049" s="2" t="n">
        <v>3</v>
      </c>
      <c r="X2049" s="2" t="n">
        <v>1</v>
      </c>
      <c r="Y2049" s="2" t="n">
        <v>2</v>
      </c>
      <c r="Z2049" s="2" t="n">
        <v>3</v>
      </c>
    </row>
    <row r="2050" customFormat="false" ht="15" hidden="false" customHeight="true" outlineLevel="0" collapsed="false">
      <c r="A2050" s="2" t="n">
        <v>29</v>
      </c>
      <c r="B2050" s="2" t="s">
        <v>33</v>
      </c>
      <c r="C2050" s="2" t="s">
        <v>27</v>
      </c>
      <c r="D2050" s="2" t="s">
        <v>35</v>
      </c>
      <c r="E2050" s="2" t="n">
        <v>6</v>
      </c>
      <c r="F2050" s="2" t="n">
        <v>3</v>
      </c>
      <c r="G2050" s="2" t="s">
        <v>29</v>
      </c>
      <c r="H2050" s="2" t="n">
        <v>2049</v>
      </c>
      <c r="I2050" s="2" t="s">
        <v>39</v>
      </c>
      <c r="J2050" s="2" t="n">
        <v>1</v>
      </c>
      <c r="K2050" s="2" t="s">
        <v>40</v>
      </c>
      <c r="L2050" s="2" t="s">
        <v>32</v>
      </c>
      <c r="M2050" s="2" t="n">
        <v>22440</v>
      </c>
      <c r="N2050" s="2" t="n">
        <v>1</v>
      </c>
      <c r="O2050" s="2" t="n">
        <v>12</v>
      </c>
      <c r="P2050" s="2" t="n">
        <v>3</v>
      </c>
      <c r="Q2050" s="2" t="n">
        <v>11</v>
      </c>
      <c r="R2050" s="2" t="n">
        <v>5</v>
      </c>
      <c r="S2050" s="2" t="n">
        <v>11</v>
      </c>
      <c r="T2050" s="2" t="n">
        <v>3</v>
      </c>
      <c r="U2050" s="2" t="n">
        <v>10</v>
      </c>
      <c r="V2050" s="2" t="n">
        <v>4</v>
      </c>
      <c r="W2050" s="2" t="n">
        <v>1</v>
      </c>
      <c r="X2050" s="2" t="n">
        <v>1</v>
      </c>
      <c r="Y2050" s="2" t="n">
        <v>1</v>
      </c>
      <c r="Z2050" s="2" t="n">
        <v>3</v>
      </c>
    </row>
    <row r="2051" customFormat="false" ht="15" hidden="false" customHeight="true" outlineLevel="0" collapsed="false">
      <c r="A2051" s="2" t="n">
        <v>40</v>
      </c>
      <c r="B2051" s="2" t="s">
        <v>26</v>
      </c>
      <c r="C2051" s="2" t="s">
        <v>34</v>
      </c>
      <c r="D2051" s="2" t="s">
        <v>35</v>
      </c>
      <c r="E2051" s="2" t="n">
        <v>2</v>
      </c>
      <c r="F2051" s="2" t="n">
        <v>4</v>
      </c>
      <c r="G2051" s="2" t="s">
        <v>43</v>
      </c>
      <c r="H2051" s="2" t="n">
        <v>2050</v>
      </c>
      <c r="I2051" s="2" t="s">
        <v>39</v>
      </c>
      <c r="J2051" s="2" t="n">
        <v>4</v>
      </c>
      <c r="K2051" s="2" t="s">
        <v>42</v>
      </c>
      <c r="L2051" s="2" t="s">
        <v>37</v>
      </c>
      <c r="M2051" s="2" t="n">
        <v>75960</v>
      </c>
      <c r="N2051" s="2" t="n">
        <v>9</v>
      </c>
      <c r="O2051" s="2" t="n">
        <v>11</v>
      </c>
      <c r="P2051" s="2" t="n">
        <v>0</v>
      </c>
      <c r="Q2051" s="2" t="n">
        <v>20</v>
      </c>
      <c r="R2051" s="2" t="n">
        <v>0</v>
      </c>
      <c r="S2051" s="2" t="n">
        <v>18</v>
      </c>
      <c r="T2051" s="2" t="n">
        <v>2</v>
      </c>
      <c r="U2051" s="2" t="n">
        <v>13</v>
      </c>
      <c r="V2051" s="2" t="n">
        <v>2</v>
      </c>
      <c r="W2051" s="2" t="n">
        <v>3</v>
      </c>
      <c r="X2051" s="2" t="n">
        <v>2</v>
      </c>
      <c r="Y2051" s="2" t="n">
        <v>1</v>
      </c>
      <c r="Z2051" s="2" t="n">
        <v>3</v>
      </c>
    </row>
    <row r="2052" customFormat="false" ht="15" hidden="false" customHeight="true" outlineLevel="0" collapsed="false">
      <c r="A2052" s="2" t="n">
        <v>42</v>
      </c>
      <c r="B2052" s="2" t="s">
        <v>33</v>
      </c>
      <c r="C2052" s="2" t="s">
        <v>34</v>
      </c>
      <c r="D2052" s="2" t="s">
        <v>28</v>
      </c>
      <c r="E2052" s="2" t="n">
        <v>2</v>
      </c>
      <c r="F2052" s="2" t="n">
        <v>4</v>
      </c>
      <c r="G2052" s="2" t="s">
        <v>29</v>
      </c>
      <c r="H2052" s="2" t="n">
        <v>2051</v>
      </c>
      <c r="I2052" s="2" t="s">
        <v>39</v>
      </c>
      <c r="J2052" s="2" t="n">
        <v>1</v>
      </c>
      <c r="K2052" s="2" t="s">
        <v>45</v>
      </c>
      <c r="L2052" s="2" t="s">
        <v>37</v>
      </c>
      <c r="M2052" s="2" t="n">
        <v>22850</v>
      </c>
      <c r="N2052" s="2" t="n">
        <v>0</v>
      </c>
      <c r="O2052" s="2" t="n">
        <v>16</v>
      </c>
      <c r="P2052" s="2" t="n">
        <v>0</v>
      </c>
      <c r="Q2052" s="2" t="n">
        <v>22</v>
      </c>
      <c r="R2052" s="2" t="n">
        <v>3</v>
      </c>
      <c r="S2052" s="2" t="n">
        <v>21</v>
      </c>
      <c r="T2052" s="2" t="n">
        <v>13</v>
      </c>
      <c r="U2052" s="2" t="n">
        <v>14</v>
      </c>
      <c r="V2052" s="2" t="n">
        <v>3</v>
      </c>
      <c r="W2052" s="2" t="n">
        <v>1</v>
      </c>
      <c r="X2052" s="2" t="n">
        <v>2</v>
      </c>
      <c r="Y2052" s="2" t="n">
        <v>1</v>
      </c>
      <c r="Z2052" s="2" t="n">
        <v>3</v>
      </c>
    </row>
    <row r="2053" customFormat="false" ht="15" hidden="false" customHeight="true" outlineLevel="0" collapsed="false">
      <c r="A2053" s="2" t="n">
        <v>42</v>
      </c>
      <c r="B2053" s="2" t="s">
        <v>26</v>
      </c>
      <c r="C2053" s="2" t="s">
        <v>27</v>
      </c>
      <c r="D2053" s="2" t="s">
        <v>35</v>
      </c>
      <c r="E2053" s="2" t="n">
        <v>1</v>
      </c>
      <c r="F2053" s="2" t="n">
        <v>2</v>
      </c>
      <c r="G2053" s="2" t="s">
        <v>29</v>
      </c>
      <c r="H2053" s="2" t="n">
        <v>2052</v>
      </c>
      <c r="I2053" s="2" t="s">
        <v>39</v>
      </c>
      <c r="J2053" s="2" t="n">
        <v>4</v>
      </c>
      <c r="K2053" s="2" t="s">
        <v>45</v>
      </c>
      <c r="L2053" s="2" t="s">
        <v>37</v>
      </c>
      <c r="M2053" s="2" t="n">
        <v>30340</v>
      </c>
      <c r="N2053" s="2" t="n">
        <v>7</v>
      </c>
      <c r="O2053" s="2" t="n">
        <v>21</v>
      </c>
      <c r="P2053" s="2" t="n">
        <v>1</v>
      </c>
      <c r="Q2053" s="2" t="n">
        <v>9</v>
      </c>
      <c r="R2053" s="2" t="n">
        <v>3</v>
      </c>
      <c r="S2053" s="2" t="n">
        <v>6</v>
      </c>
      <c r="T2053" s="2" t="n">
        <v>1</v>
      </c>
      <c r="U2053" s="2" t="n">
        <v>5</v>
      </c>
      <c r="V2053" s="2" t="n">
        <v>2</v>
      </c>
      <c r="W2053" s="2" t="n">
        <v>1</v>
      </c>
      <c r="X2053" s="2" t="n">
        <v>4</v>
      </c>
      <c r="Y2053" s="2" t="n">
        <v>2</v>
      </c>
      <c r="Z2053" s="2" t="n">
        <v>4</v>
      </c>
    </row>
    <row r="2054" customFormat="false" ht="15" hidden="false" customHeight="true" outlineLevel="0" collapsed="false">
      <c r="A2054" s="2" t="n">
        <v>35</v>
      </c>
      <c r="B2054" s="2" t="s">
        <v>26</v>
      </c>
      <c r="C2054" s="2" t="s">
        <v>27</v>
      </c>
      <c r="D2054" s="2" t="s">
        <v>35</v>
      </c>
      <c r="E2054" s="2" t="n">
        <v>5</v>
      </c>
      <c r="F2054" s="2" t="n">
        <v>3</v>
      </c>
      <c r="G2054" s="2" t="s">
        <v>43</v>
      </c>
      <c r="H2054" s="2" t="n">
        <v>2053</v>
      </c>
      <c r="I2054" s="2" t="s">
        <v>39</v>
      </c>
      <c r="J2054" s="2" t="n">
        <v>1</v>
      </c>
      <c r="K2054" s="2" t="s">
        <v>31</v>
      </c>
      <c r="L2054" s="2" t="s">
        <v>32</v>
      </c>
      <c r="M2054" s="2" t="n">
        <v>57150</v>
      </c>
      <c r="N2054" s="2" t="n">
        <v>6</v>
      </c>
      <c r="O2054" s="2" t="n">
        <v>24</v>
      </c>
      <c r="P2054" s="2" t="n">
        <v>2</v>
      </c>
      <c r="Q2054" s="2" t="n">
        <v>10</v>
      </c>
      <c r="R2054" s="2" t="n">
        <v>0</v>
      </c>
      <c r="S2054" s="2" t="n">
        <v>8</v>
      </c>
      <c r="T2054" s="2" t="n">
        <v>1</v>
      </c>
      <c r="U2054" s="2" t="n">
        <v>7</v>
      </c>
      <c r="V2054" s="2" t="n">
        <v>4</v>
      </c>
      <c r="W2054" s="2" t="n">
        <v>3</v>
      </c>
      <c r="X2054" s="2" t="n">
        <v>3</v>
      </c>
      <c r="Y2054" s="2" t="n">
        <v>3</v>
      </c>
      <c r="Z2054" s="2" t="n">
        <v>4</v>
      </c>
    </row>
    <row r="2055" customFormat="false" ht="15" hidden="false" customHeight="true" outlineLevel="0" collapsed="false">
      <c r="A2055" s="2" t="n">
        <v>24</v>
      </c>
      <c r="B2055" s="2" t="s">
        <v>26</v>
      </c>
      <c r="C2055" s="2" t="s">
        <v>27</v>
      </c>
      <c r="D2055" s="2" t="s">
        <v>28</v>
      </c>
      <c r="E2055" s="2" t="n">
        <v>7</v>
      </c>
      <c r="F2055" s="2" t="n">
        <v>4</v>
      </c>
      <c r="G2055" s="2" t="s">
        <v>29</v>
      </c>
      <c r="H2055" s="2" t="n">
        <v>2054</v>
      </c>
      <c r="I2055" s="2" t="s">
        <v>30</v>
      </c>
      <c r="J2055" s="2" t="n">
        <v>1</v>
      </c>
      <c r="K2055" s="2" t="s">
        <v>45</v>
      </c>
      <c r="L2055" s="2" t="s">
        <v>37</v>
      </c>
      <c r="M2055" s="2" t="n">
        <v>25760</v>
      </c>
      <c r="N2055" s="2" t="n">
        <v>8</v>
      </c>
      <c r="O2055" s="2" t="n">
        <v>17</v>
      </c>
      <c r="P2055" s="2" t="n">
        <v>3</v>
      </c>
      <c r="Q2055" s="2" t="n">
        <v>6</v>
      </c>
      <c r="R2055" s="2" t="n">
        <v>3</v>
      </c>
      <c r="S2055" s="2" t="n">
        <v>4</v>
      </c>
      <c r="T2055" s="2" t="n">
        <v>1</v>
      </c>
      <c r="U2055" s="2" t="n">
        <v>2</v>
      </c>
      <c r="V2055" s="2" t="n">
        <v>4</v>
      </c>
      <c r="W2055" s="2" t="n">
        <v>2</v>
      </c>
      <c r="X2055" s="2" t="n">
        <v>3</v>
      </c>
      <c r="Y2055" s="2" t="n">
        <v>3</v>
      </c>
      <c r="Z2055" s="2" t="n">
        <v>3</v>
      </c>
    </row>
    <row r="2056" customFormat="false" ht="15" hidden="false" customHeight="true" outlineLevel="0" collapsed="false">
      <c r="A2056" s="2" t="n">
        <v>28</v>
      </c>
      <c r="B2056" s="2" t="s">
        <v>33</v>
      </c>
      <c r="C2056" s="2" t="s">
        <v>27</v>
      </c>
      <c r="D2056" s="2" t="s">
        <v>35</v>
      </c>
      <c r="E2056" s="2" t="n">
        <v>15</v>
      </c>
      <c r="F2056" s="2" t="n">
        <v>4</v>
      </c>
      <c r="G2056" s="2" t="s">
        <v>29</v>
      </c>
      <c r="H2056" s="2" t="n">
        <v>2055</v>
      </c>
      <c r="I2056" s="2" t="s">
        <v>39</v>
      </c>
      <c r="J2056" s="2" t="n">
        <v>2</v>
      </c>
      <c r="K2056" s="2" t="s">
        <v>40</v>
      </c>
      <c r="L2056" s="2" t="s">
        <v>32</v>
      </c>
      <c r="M2056" s="2" t="n">
        <v>41970</v>
      </c>
      <c r="N2056" s="2" t="n">
        <v>1</v>
      </c>
      <c r="O2056" s="2" t="n">
        <v>13</v>
      </c>
      <c r="P2056" s="2" t="n">
        <v>0</v>
      </c>
      <c r="Q2056" s="2" t="n">
        <v>1</v>
      </c>
      <c r="R2056" s="2" t="n">
        <v>3</v>
      </c>
      <c r="S2056" s="2" t="n">
        <v>1</v>
      </c>
      <c r="T2056" s="2" t="n">
        <v>0</v>
      </c>
      <c r="U2056" s="2" t="n">
        <v>0</v>
      </c>
      <c r="V2056" s="2" t="n">
        <v>3</v>
      </c>
      <c r="W2056" s="2" t="n">
        <v>4</v>
      </c>
      <c r="X2056" s="2" t="n">
        <v>2</v>
      </c>
      <c r="Y2056" s="2" t="n">
        <v>1</v>
      </c>
      <c r="Z2056" s="2" t="n">
        <v>3</v>
      </c>
    </row>
    <row r="2057" customFormat="false" ht="15" hidden="false" customHeight="true" outlineLevel="0" collapsed="false">
      <c r="A2057" s="2" t="n">
        <v>26</v>
      </c>
      <c r="B2057" s="2" t="s">
        <v>26</v>
      </c>
      <c r="C2057" s="2" t="s">
        <v>27</v>
      </c>
      <c r="D2057" s="2" t="s">
        <v>35</v>
      </c>
      <c r="E2057" s="2" t="n">
        <v>1</v>
      </c>
      <c r="F2057" s="2" t="n">
        <v>4</v>
      </c>
      <c r="G2057" s="2" t="s">
        <v>29</v>
      </c>
      <c r="H2057" s="2" t="n">
        <v>2056</v>
      </c>
      <c r="I2057" s="2" t="s">
        <v>39</v>
      </c>
      <c r="J2057" s="2" t="n">
        <v>2</v>
      </c>
      <c r="K2057" s="2" t="s">
        <v>48</v>
      </c>
      <c r="L2057" s="2" t="s">
        <v>32</v>
      </c>
      <c r="M2057" s="2" t="n">
        <v>143360</v>
      </c>
      <c r="N2057" s="2" t="n">
        <v>1</v>
      </c>
      <c r="O2057" s="2" t="n">
        <v>21</v>
      </c>
      <c r="P2057" s="2" t="n">
        <v>1</v>
      </c>
      <c r="Q2057" s="2" t="n">
        <v>8</v>
      </c>
      <c r="R2057" s="2" t="n">
        <v>3</v>
      </c>
      <c r="S2057" s="2" t="n">
        <v>8</v>
      </c>
      <c r="T2057" s="2" t="n">
        <v>0</v>
      </c>
      <c r="U2057" s="2" t="n">
        <v>7</v>
      </c>
      <c r="V2057" s="2" t="n">
        <v>1</v>
      </c>
      <c r="W2057" s="2" t="n">
        <v>4</v>
      </c>
      <c r="X2057" s="2" t="n">
        <v>3</v>
      </c>
      <c r="Y2057" s="2" t="n">
        <v>3</v>
      </c>
      <c r="Z2057" s="2" t="n">
        <v>4</v>
      </c>
    </row>
    <row r="2058" customFormat="false" ht="15" hidden="false" customHeight="true" outlineLevel="0" collapsed="false">
      <c r="A2058" s="2" t="n">
        <v>30</v>
      </c>
      <c r="B2058" s="2" t="s">
        <v>26</v>
      </c>
      <c r="C2058" s="2" t="s">
        <v>27</v>
      </c>
      <c r="D2058" s="2" t="s">
        <v>35</v>
      </c>
      <c r="E2058" s="2" t="n">
        <v>7</v>
      </c>
      <c r="F2058" s="2" t="n">
        <v>2</v>
      </c>
      <c r="G2058" s="2" t="s">
        <v>29</v>
      </c>
      <c r="H2058" s="2" t="n">
        <v>2057</v>
      </c>
      <c r="I2058" s="2" t="s">
        <v>30</v>
      </c>
      <c r="J2058" s="2" t="n">
        <v>1</v>
      </c>
      <c r="K2058" s="2" t="s">
        <v>47</v>
      </c>
      <c r="L2058" s="2" t="s">
        <v>32</v>
      </c>
      <c r="M2058" s="2" t="n">
        <v>34480</v>
      </c>
      <c r="N2058" s="2" t="n">
        <v>1</v>
      </c>
      <c r="O2058" s="2" t="n">
        <v>11</v>
      </c>
      <c r="P2058" s="2" t="n">
        <v>0</v>
      </c>
      <c r="Q2058" s="2" t="n">
        <v>10</v>
      </c>
      <c r="R2058" s="2" t="n">
        <v>3</v>
      </c>
      <c r="S2058" s="2" t="n">
        <v>10</v>
      </c>
      <c r="T2058" s="2" t="n">
        <v>1</v>
      </c>
      <c r="U2058" s="2" t="n">
        <v>4</v>
      </c>
      <c r="V2058" s="2" t="n">
        <v>3</v>
      </c>
      <c r="W2058" s="2" t="n">
        <v>3</v>
      </c>
      <c r="X2058" s="2" t="n">
        <v>3</v>
      </c>
      <c r="Y2058" s="2" t="n">
        <v>3</v>
      </c>
      <c r="Z2058" s="2" t="n">
        <v>3</v>
      </c>
    </row>
    <row r="2059" customFormat="false" ht="15" hidden="false" customHeight="true" outlineLevel="0" collapsed="false">
      <c r="A2059" s="2" t="n">
        <v>40</v>
      </c>
      <c r="B2059" s="2" t="s">
        <v>26</v>
      </c>
      <c r="C2059" s="2" t="s">
        <v>34</v>
      </c>
      <c r="D2059" s="2" t="s">
        <v>35</v>
      </c>
      <c r="E2059" s="2" t="n">
        <v>26</v>
      </c>
      <c r="F2059" s="2" t="n">
        <v>4</v>
      </c>
      <c r="G2059" s="2" t="s">
        <v>29</v>
      </c>
      <c r="H2059" s="2" t="n">
        <v>2058</v>
      </c>
      <c r="I2059" s="2" t="s">
        <v>39</v>
      </c>
      <c r="J2059" s="2" t="n">
        <v>2</v>
      </c>
      <c r="K2059" s="2" t="s">
        <v>36</v>
      </c>
      <c r="L2059" s="2" t="s">
        <v>32</v>
      </c>
      <c r="M2059" s="2" t="n">
        <v>194060</v>
      </c>
      <c r="N2059" s="2" t="n">
        <v>3</v>
      </c>
      <c r="O2059" s="2" t="n">
        <v>20</v>
      </c>
      <c r="P2059" s="2" t="n">
        <v>3</v>
      </c>
      <c r="Q2059" s="2" t="n">
        <v>16</v>
      </c>
      <c r="R2059" s="2" t="n">
        <v>2</v>
      </c>
      <c r="S2059" s="2" t="n">
        <v>1</v>
      </c>
      <c r="T2059" s="2" t="n">
        <v>0</v>
      </c>
      <c r="U2059" s="2" t="n">
        <v>0</v>
      </c>
      <c r="V2059" s="2" t="n">
        <v>3</v>
      </c>
      <c r="W2059" s="2" t="n">
        <v>4</v>
      </c>
      <c r="X2059" s="2" t="n">
        <v>1</v>
      </c>
      <c r="Y2059" s="2" t="n">
        <v>3</v>
      </c>
      <c r="Z2059" s="2" t="n">
        <v>4</v>
      </c>
    </row>
    <row r="2060" customFormat="false" ht="15" hidden="false" customHeight="true" outlineLevel="0" collapsed="false">
      <c r="A2060" s="2" t="n">
        <v>35</v>
      </c>
      <c r="B2060" s="2" t="s">
        <v>26</v>
      </c>
      <c r="C2060" s="2" t="s">
        <v>27</v>
      </c>
      <c r="D2060" s="2" t="s">
        <v>35</v>
      </c>
      <c r="E2060" s="2" t="n">
        <v>18</v>
      </c>
      <c r="F2060" s="2" t="n">
        <v>5</v>
      </c>
      <c r="G2060" s="2" t="s">
        <v>43</v>
      </c>
      <c r="H2060" s="2" t="n">
        <v>2059</v>
      </c>
      <c r="I2060" s="2" t="s">
        <v>30</v>
      </c>
      <c r="J2060" s="2" t="n">
        <v>2</v>
      </c>
      <c r="K2060" s="2" t="s">
        <v>36</v>
      </c>
      <c r="L2060" s="2" t="s">
        <v>46</v>
      </c>
      <c r="M2060" s="2" t="n">
        <v>65380</v>
      </c>
      <c r="N2060" s="2" t="n">
        <v>2</v>
      </c>
      <c r="O2060" s="2" t="n">
        <v>16</v>
      </c>
      <c r="P2060" s="2" t="n">
        <v>1</v>
      </c>
      <c r="Q2060" s="2" t="n">
        <v>15</v>
      </c>
      <c r="R2060" s="2" t="n">
        <v>3</v>
      </c>
      <c r="S2060" s="2" t="n">
        <v>7</v>
      </c>
      <c r="T2060" s="2" t="n">
        <v>6</v>
      </c>
      <c r="U2060" s="2" t="n">
        <v>4</v>
      </c>
      <c r="V2060" s="2" t="n">
        <v>3</v>
      </c>
      <c r="W2060" s="2" t="n">
        <v>2</v>
      </c>
      <c r="X2060" s="2" t="n">
        <v>4</v>
      </c>
      <c r="Y2060" s="2" t="n">
        <v>3</v>
      </c>
      <c r="Z2060" s="2" t="n">
        <v>3</v>
      </c>
    </row>
    <row r="2061" customFormat="false" ht="15" hidden="false" customHeight="true" outlineLevel="0" collapsed="false">
      <c r="A2061" s="2" t="n">
        <v>34</v>
      </c>
      <c r="B2061" s="2" t="s">
        <v>26</v>
      </c>
      <c r="C2061" s="2" t="s">
        <v>34</v>
      </c>
      <c r="D2061" s="2" t="s">
        <v>35</v>
      </c>
      <c r="E2061" s="2" t="n">
        <v>6</v>
      </c>
      <c r="F2061" s="2" t="n">
        <v>2</v>
      </c>
      <c r="G2061" s="2" t="s">
        <v>29</v>
      </c>
      <c r="H2061" s="2" t="n">
        <v>2060</v>
      </c>
      <c r="I2061" s="2" t="s">
        <v>39</v>
      </c>
      <c r="J2061" s="2" t="n">
        <v>1</v>
      </c>
      <c r="K2061" s="2" t="s">
        <v>44</v>
      </c>
      <c r="L2061" s="2" t="s">
        <v>37</v>
      </c>
      <c r="M2061" s="2" t="n">
        <v>43060</v>
      </c>
      <c r="N2061" s="2" t="n">
        <v>0</v>
      </c>
      <c r="O2061" s="2" t="n">
        <v>11</v>
      </c>
      <c r="P2061" s="2" t="n">
        <v>0</v>
      </c>
      <c r="Q2061" s="2" t="n">
        <v>14</v>
      </c>
      <c r="R2061" s="2" t="n">
        <v>2</v>
      </c>
      <c r="S2061" s="2" t="n">
        <v>13</v>
      </c>
      <c r="T2061" s="2" t="n">
        <v>4</v>
      </c>
      <c r="U2061" s="2" t="n">
        <v>9</v>
      </c>
      <c r="V2061" s="2" t="n">
        <v>4</v>
      </c>
      <c r="W2061" s="2" t="n">
        <v>1</v>
      </c>
      <c r="X2061" s="2" t="n">
        <v>3</v>
      </c>
      <c r="Y2061" s="2" t="n">
        <v>3</v>
      </c>
      <c r="Z2061" s="2" t="n">
        <v>3</v>
      </c>
    </row>
    <row r="2062" customFormat="false" ht="15" hidden="false" customHeight="true" outlineLevel="0" collapsed="false">
      <c r="A2062" s="2" t="n">
        <v>35</v>
      </c>
      <c r="B2062" s="2" t="s">
        <v>26</v>
      </c>
      <c r="C2062" s="2" t="s">
        <v>34</v>
      </c>
      <c r="D2062" s="2" t="s">
        <v>35</v>
      </c>
      <c r="E2062" s="2" t="n">
        <v>3</v>
      </c>
      <c r="F2062" s="2" t="n">
        <v>3</v>
      </c>
      <c r="G2062" s="2" t="s">
        <v>43</v>
      </c>
      <c r="H2062" s="2" t="n">
        <v>2061</v>
      </c>
      <c r="I2062" s="2" t="s">
        <v>30</v>
      </c>
      <c r="J2062" s="2" t="n">
        <v>2</v>
      </c>
      <c r="K2062" s="2" t="s">
        <v>45</v>
      </c>
      <c r="L2062" s="2" t="s">
        <v>32</v>
      </c>
      <c r="M2062" s="2" t="n">
        <v>22580</v>
      </c>
      <c r="N2062" s="2" t="n">
        <v>1</v>
      </c>
      <c r="O2062" s="2" t="n">
        <v>11</v>
      </c>
      <c r="P2062" s="2" t="n">
        <v>1</v>
      </c>
      <c r="Q2062" s="2" t="n">
        <v>2</v>
      </c>
      <c r="R2062" s="2" t="n">
        <v>2</v>
      </c>
      <c r="S2062" s="2" t="n">
        <v>2</v>
      </c>
      <c r="T2062" s="2" t="n">
        <v>2</v>
      </c>
      <c r="U2062" s="2" t="n">
        <v>2</v>
      </c>
      <c r="V2062" s="2" t="n">
        <v>4</v>
      </c>
      <c r="W2062" s="2" t="n">
        <v>4</v>
      </c>
      <c r="X2062" s="2" t="n">
        <v>4</v>
      </c>
      <c r="Y2062" s="2" t="n">
        <v>3</v>
      </c>
      <c r="Z2062" s="2" t="n">
        <v>3</v>
      </c>
    </row>
    <row r="2063" customFormat="false" ht="15" hidden="false" customHeight="true" outlineLevel="0" collapsed="false">
      <c r="A2063" s="2" t="n">
        <v>43</v>
      </c>
      <c r="B2063" s="2" t="s">
        <v>33</v>
      </c>
      <c r="C2063" s="2" t="s">
        <v>27</v>
      </c>
      <c r="D2063" s="2" t="s">
        <v>28</v>
      </c>
      <c r="E2063" s="2" t="n">
        <v>5</v>
      </c>
      <c r="F2063" s="2" t="n">
        <v>3</v>
      </c>
      <c r="G2063" s="2" t="s">
        <v>50</v>
      </c>
      <c r="H2063" s="2" t="n">
        <v>2062</v>
      </c>
      <c r="I2063" s="2" t="s">
        <v>30</v>
      </c>
      <c r="J2063" s="2" t="n">
        <v>3</v>
      </c>
      <c r="K2063" s="2" t="s">
        <v>36</v>
      </c>
      <c r="L2063" s="2" t="s">
        <v>37</v>
      </c>
      <c r="M2063" s="2" t="n">
        <v>45220</v>
      </c>
      <c r="N2063" s="2" t="n">
        <v>8</v>
      </c>
      <c r="O2063" s="2" t="n">
        <v>15</v>
      </c>
      <c r="P2063" s="2" t="n">
        <v>1</v>
      </c>
      <c r="Q2063" s="2" t="n">
        <v>7</v>
      </c>
      <c r="R2063" s="2" t="n">
        <v>3</v>
      </c>
      <c r="S2063" s="2" t="n">
        <v>4</v>
      </c>
      <c r="T2063" s="2" t="n">
        <v>1</v>
      </c>
      <c r="U2063" s="2" t="n">
        <v>3</v>
      </c>
      <c r="V2063" s="2" t="n">
        <v>1</v>
      </c>
      <c r="W2063" s="2" t="n">
        <v>3</v>
      </c>
      <c r="X2063" s="2" t="n">
        <v>2</v>
      </c>
      <c r="Y2063" s="2" t="n">
        <v>3</v>
      </c>
      <c r="Z2063" s="2" t="n">
        <v>3</v>
      </c>
    </row>
    <row r="2064" customFormat="false" ht="15" hidden="false" customHeight="true" outlineLevel="0" collapsed="false">
      <c r="A2064" s="2" t="n">
        <v>32</v>
      </c>
      <c r="B2064" s="2" t="s">
        <v>26</v>
      </c>
      <c r="C2064" s="2" t="s">
        <v>41</v>
      </c>
      <c r="D2064" s="2" t="s">
        <v>35</v>
      </c>
      <c r="E2064" s="2" t="n">
        <v>11</v>
      </c>
      <c r="F2064" s="2" t="n">
        <v>2</v>
      </c>
      <c r="G2064" s="2" t="s">
        <v>38</v>
      </c>
      <c r="H2064" s="2" t="n">
        <v>2063</v>
      </c>
      <c r="I2064" s="2" t="s">
        <v>30</v>
      </c>
      <c r="J2064" s="2" t="n">
        <v>2</v>
      </c>
      <c r="K2064" s="2" t="s">
        <v>36</v>
      </c>
      <c r="L2064" s="2" t="s">
        <v>46</v>
      </c>
      <c r="M2064" s="2" t="n">
        <v>44870</v>
      </c>
      <c r="N2064" s="2" t="n">
        <v>1</v>
      </c>
      <c r="O2064" s="2" t="n">
        <v>11</v>
      </c>
      <c r="P2064" s="2" t="n">
        <v>0</v>
      </c>
      <c r="Q2064" s="2" t="n">
        <v>1</v>
      </c>
      <c r="R2064" s="2" t="n">
        <v>5</v>
      </c>
      <c r="S2064" s="2" t="n">
        <v>1</v>
      </c>
      <c r="T2064" s="2" t="n">
        <v>0</v>
      </c>
      <c r="U2064" s="2" t="n">
        <v>0</v>
      </c>
      <c r="V2064" s="2" t="n">
        <v>3</v>
      </c>
      <c r="W2064" s="2" t="n">
        <v>1</v>
      </c>
      <c r="X2064" s="2" t="n">
        <v>3</v>
      </c>
      <c r="Y2064" s="2" t="n">
        <v>2</v>
      </c>
      <c r="Z2064" s="2" t="n">
        <v>3</v>
      </c>
    </row>
    <row r="2065" customFormat="false" ht="15" hidden="false" customHeight="true" outlineLevel="0" collapsed="false">
      <c r="A2065" s="2" t="n">
        <v>56</v>
      </c>
      <c r="B2065" s="2" t="s">
        <v>26</v>
      </c>
      <c r="C2065" s="2" t="s">
        <v>27</v>
      </c>
      <c r="D2065" s="2" t="s">
        <v>35</v>
      </c>
      <c r="E2065" s="2" t="n">
        <v>3</v>
      </c>
      <c r="F2065" s="2" t="n">
        <v>2</v>
      </c>
      <c r="G2065" s="2" t="s">
        <v>38</v>
      </c>
      <c r="H2065" s="2" t="n">
        <v>2064</v>
      </c>
      <c r="I2065" s="2" t="s">
        <v>39</v>
      </c>
      <c r="J2065" s="2" t="n">
        <v>2</v>
      </c>
      <c r="K2065" s="2" t="s">
        <v>31</v>
      </c>
      <c r="L2065" s="2" t="s">
        <v>46</v>
      </c>
      <c r="M2065" s="2" t="n">
        <v>44490</v>
      </c>
      <c r="N2065" s="2" t="n">
        <v>4</v>
      </c>
      <c r="O2065" s="2" t="n">
        <v>15</v>
      </c>
      <c r="P2065" s="2" t="n">
        <v>0</v>
      </c>
      <c r="Q2065" s="2" t="n">
        <v>28</v>
      </c>
      <c r="R2065" s="2" t="n">
        <v>3</v>
      </c>
      <c r="S2065" s="2" t="n">
        <v>5</v>
      </c>
      <c r="T2065" s="2" t="n">
        <v>4</v>
      </c>
      <c r="U2065" s="2" t="n">
        <v>2</v>
      </c>
      <c r="V2065" s="2" t="n">
        <v>4</v>
      </c>
      <c r="W2065" s="2" t="n">
        <v>1</v>
      </c>
      <c r="X2065" s="2" t="n">
        <v>3</v>
      </c>
      <c r="Y2065" s="2" t="n">
        <v>1</v>
      </c>
      <c r="Z2065" s="2" t="n">
        <v>3</v>
      </c>
    </row>
    <row r="2066" customFormat="false" ht="15" hidden="false" customHeight="true" outlineLevel="0" collapsed="false">
      <c r="A2066" s="2" t="n">
        <v>29</v>
      </c>
      <c r="B2066" s="2" t="s">
        <v>26</v>
      </c>
      <c r="C2066" s="2" t="s">
        <v>27</v>
      </c>
      <c r="D2066" s="2" t="s">
        <v>35</v>
      </c>
      <c r="E2066" s="2" t="n">
        <v>26</v>
      </c>
      <c r="F2066" s="2" t="n">
        <v>1</v>
      </c>
      <c r="G2066" s="2" t="s">
        <v>29</v>
      </c>
      <c r="H2066" s="2" t="n">
        <v>2065</v>
      </c>
      <c r="I2066" s="2" t="s">
        <v>39</v>
      </c>
      <c r="J2066" s="2" t="n">
        <v>1</v>
      </c>
      <c r="K2066" s="2" t="s">
        <v>45</v>
      </c>
      <c r="L2066" s="2" t="s">
        <v>32</v>
      </c>
      <c r="M2066" s="2" t="n">
        <v>22180</v>
      </c>
      <c r="N2066" s="2" t="n">
        <v>1</v>
      </c>
      <c r="O2066" s="2" t="n">
        <v>24</v>
      </c>
      <c r="P2066" s="2" t="n">
        <v>1</v>
      </c>
      <c r="Q2066" s="2" t="n">
        <v>10</v>
      </c>
      <c r="R2066" s="2" t="n">
        <v>1</v>
      </c>
      <c r="S2066" s="2" t="n">
        <v>10</v>
      </c>
      <c r="T2066" s="2" t="n">
        <v>0</v>
      </c>
      <c r="U2066" s="2" t="n">
        <v>8</v>
      </c>
      <c r="V2066" s="2" t="n">
        <v>2</v>
      </c>
      <c r="W2066" s="2" t="n">
        <v>4</v>
      </c>
      <c r="X2066" s="2" t="n">
        <v>3</v>
      </c>
      <c r="Y2066" s="2" t="n">
        <v>3</v>
      </c>
      <c r="Z2066" s="2" t="n">
        <v>4</v>
      </c>
    </row>
    <row r="2067" customFormat="false" ht="15" hidden="false" customHeight="true" outlineLevel="0" collapsed="false">
      <c r="A2067" s="2" t="n">
        <v>19</v>
      </c>
      <c r="B2067" s="2" t="s">
        <v>26</v>
      </c>
      <c r="C2067" s="2" t="s">
        <v>27</v>
      </c>
      <c r="D2067" s="2" t="s">
        <v>35</v>
      </c>
      <c r="E2067" s="2" t="n">
        <v>23</v>
      </c>
      <c r="F2067" s="2" t="n">
        <v>4</v>
      </c>
      <c r="G2067" s="2" t="s">
        <v>29</v>
      </c>
      <c r="H2067" s="2" t="n">
        <v>2066</v>
      </c>
      <c r="I2067" s="2" t="s">
        <v>39</v>
      </c>
      <c r="J2067" s="2" t="n">
        <v>2</v>
      </c>
      <c r="K2067" s="2" t="s">
        <v>45</v>
      </c>
      <c r="L2067" s="2" t="s">
        <v>37</v>
      </c>
      <c r="M2067" s="2" t="n">
        <v>191970</v>
      </c>
      <c r="N2067" s="2" t="n">
        <v>1</v>
      </c>
      <c r="O2067" s="2" t="n">
        <v>12</v>
      </c>
      <c r="P2067" s="2" t="n">
        <v>0</v>
      </c>
      <c r="Q2067" s="2" t="n">
        <v>1</v>
      </c>
      <c r="R2067" s="2" t="n">
        <v>2</v>
      </c>
      <c r="S2067" s="2" t="n">
        <v>1</v>
      </c>
      <c r="T2067" s="2" t="n">
        <v>0</v>
      </c>
      <c r="U2067" s="2" t="n">
        <v>0</v>
      </c>
      <c r="V2067" s="2" t="n">
        <v>3</v>
      </c>
      <c r="W2067" s="2" t="n">
        <v>1</v>
      </c>
      <c r="X2067" s="2" t="n">
        <v>3</v>
      </c>
      <c r="Y2067" s="2" t="n">
        <v>3</v>
      </c>
      <c r="Z2067" s="2" t="n">
        <v>3</v>
      </c>
    </row>
    <row r="2068" customFormat="false" ht="15" hidden="false" customHeight="true" outlineLevel="0" collapsed="false">
      <c r="A2068" s="2" t="n">
        <v>45</v>
      </c>
      <c r="B2068" s="2" t="s">
        <v>26</v>
      </c>
      <c r="C2068" s="2" t="s">
        <v>27</v>
      </c>
      <c r="D2068" s="2" t="s">
        <v>35</v>
      </c>
      <c r="E2068" s="2" t="n">
        <v>22</v>
      </c>
      <c r="F2068" s="2" t="n">
        <v>3</v>
      </c>
      <c r="G2068" s="2" t="s">
        <v>29</v>
      </c>
      <c r="H2068" s="2" t="n">
        <v>2067</v>
      </c>
      <c r="I2068" s="2" t="s">
        <v>30</v>
      </c>
      <c r="J2068" s="2" t="n">
        <v>2</v>
      </c>
      <c r="K2068" s="2" t="s">
        <v>48</v>
      </c>
      <c r="L2068" s="2" t="s">
        <v>32</v>
      </c>
      <c r="M2068" s="2" t="n">
        <v>132120</v>
      </c>
      <c r="N2068" s="2" t="n">
        <v>4</v>
      </c>
      <c r="O2068" s="2" t="n">
        <v>13</v>
      </c>
      <c r="P2068" s="2" t="n">
        <v>0</v>
      </c>
      <c r="Q2068" s="2" t="n">
        <v>7</v>
      </c>
      <c r="R2068" s="2" t="n">
        <v>4</v>
      </c>
      <c r="S2068" s="2" t="n">
        <v>3</v>
      </c>
      <c r="T2068" s="2" t="n">
        <v>0</v>
      </c>
      <c r="U2068" s="2" t="n">
        <v>2</v>
      </c>
      <c r="V2068" s="2" t="n">
        <v>1</v>
      </c>
      <c r="W2068" s="2" t="n">
        <v>3</v>
      </c>
      <c r="X2068" s="2" t="n">
        <v>2</v>
      </c>
      <c r="Y2068" s="2" t="n">
        <v>3</v>
      </c>
      <c r="Z2068" s="2" t="n">
        <v>3</v>
      </c>
    </row>
    <row r="2069" customFormat="false" ht="15" hidden="false" customHeight="true" outlineLevel="0" collapsed="false">
      <c r="A2069" s="2" t="n">
        <v>37</v>
      </c>
      <c r="B2069" s="2" t="s">
        <v>26</v>
      </c>
      <c r="C2069" s="2" t="s">
        <v>27</v>
      </c>
      <c r="D2069" s="2" t="s">
        <v>35</v>
      </c>
      <c r="E2069" s="2" t="n">
        <v>14</v>
      </c>
      <c r="F2069" s="2" t="n">
        <v>4</v>
      </c>
      <c r="G2069" s="2" t="s">
        <v>29</v>
      </c>
      <c r="H2069" s="2" t="n">
        <v>2068</v>
      </c>
      <c r="I2069" s="2" t="s">
        <v>39</v>
      </c>
      <c r="J2069" s="2" t="n">
        <v>3</v>
      </c>
      <c r="K2069" s="2" t="s">
        <v>36</v>
      </c>
      <c r="L2069" s="2" t="s">
        <v>32</v>
      </c>
      <c r="M2069" s="2" t="n">
        <v>65770</v>
      </c>
      <c r="N2069" s="2" t="n">
        <v>1</v>
      </c>
      <c r="O2069" s="2" t="n">
        <v>13</v>
      </c>
      <c r="P2069" s="2" t="n">
        <v>0</v>
      </c>
      <c r="Q2069" s="2" t="n">
        <v>14</v>
      </c>
      <c r="R2069" s="2" t="n">
        <v>1</v>
      </c>
      <c r="S2069" s="2" t="n">
        <v>14</v>
      </c>
      <c r="T2069" s="2" t="n">
        <v>3</v>
      </c>
      <c r="U2069" s="2" t="n">
        <v>11</v>
      </c>
      <c r="V2069" s="2" t="n">
        <v>4</v>
      </c>
      <c r="W2069" s="2" t="n">
        <v>4</v>
      </c>
      <c r="X2069" s="2" t="n">
        <v>2</v>
      </c>
      <c r="Y2069" s="2" t="n">
        <v>1</v>
      </c>
      <c r="Z2069" s="2" t="n">
        <v>3</v>
      </c>
    </row>
    <row r="2070" customFormat="false" ht="15" hidden="false" customHeight="true" outlineLevel="0" collapsed="false">
      <c r="A2070" s="2" t="n">
        <v>20</v>
      </c>
      <c r="B2070" s="2" t="s">
        <v>26</v>
      </c>
      <c r="C2070" s="2" t="s">
        <v>27</v>
      </c>
      <c r="D2070" s="2" t="s">
        <v>35</v>
      </c>
      <c r="E2070" s="2" t="n">
        <v>6</v>
      </c>
      <c r="F2070" s="2" t="n">
        <v>3</v>
      </c>
      <c r="G2070" s="2" t="s">
        <v>43</v>
      </c>
      <c r="H2070" s="2" t="n">
        <v>2069</v>
      </c>
      <c r="I2070" s="2" t="s">
        <v>39</v>
      </c>
      <c r="J2070" s="2" t="n">
        <v>5</v>
      </c>
      <c r="K2070" s="2" t="s">
        <v>44</v>
      </c>
      <c r="L2070" s="2" t="s">
        <v>37</v>
      </c>
      <c r="M2070" s="2" t="n">
        <v>83920</v>
      </c>
      <c r="N2070" s="2" t="n">
        <v>1</v>
      </c>
      <c r="O2070" s="2" t="n">
        <v>17</v>
      </c>
      <c r="P2070" s="2" t="n">
        <v>0</v>
      </c>
      <c r="Q2070" s="2" t="n">
        <v>2</v>
      </c>
      <c r="R2070" s="2" t="n">
        <v>5</v>
      </c>
      <c r="S2070" s="2" t="n">
        <v>2</v>
      </c>
      <c r="T2070" s="2" t="n">
        <v>1</v>
      </c>
      <c r="U2070" s="2" t="n">
        <v>2</v>
      </c>
      <c r="V2070" s="2" t="n">
        <v>1</v>
      </c>
      <c r="W2070" s="2" t="n">
        <v>3</v>
      </c>
      <c r="X2070" s="2" t="n">
        <v>2</v>
      </c>
      <c r="Y2070" s="2" t="n">
        <v>3</v>
      </c>
      <c r="Z2070" s="2" t="n">
        <v>3</v>
      </c>
    </row>
    <row r="2071" customFormat="false" ht="15" hidden="false" customHeight="true" outlineLevel="0" collapsed="false">
      <c r="A2071" s="2" t="n">
        <v>44</v>
      </c>
      <c r="B2071" s="2" t="s">
        <v>33</v>
      </c>
      <c r="C2071" s="2" t="s">
        <v>27</v>
      </c>
      <c r="D2071" s="2" t="s">
        <v>42</v>
      </c>
      <c r="E2071" s="2" t="n">
        <v>6</v>
      </c>
      <c r="F2071" s="2" t="n">
        <v>2</v>
      </c>
      <c r="G2071" s="2" t="s">
        <v>42</v>
      </c>
      <c r="H2071" s="2" t="n">
        <v>2070</v>
      </c>
      <c r="I2071" s="2" t="s">
        <v>39</v>
      </c>
      <c r="J2071" s="2" t="n">
        <v>3</v>
      </c>
      <c r="K2071" s="2" t="s">
        <v>40</v>
      </c>
      <c r="L2071" s="2" t="s">
        <v>37</v>
      </c>
      <c r="M2071" s="2" t="n">
        <v>45580</v>
      </c>
      <c r="N2071" s="2" t="n">
        <v>1</v>
      </c>
      <c r="O2071" s="2" t="n">
        <v>13</v>
      </c>
      <c r="P2071" s="2" t="n">
        <v>1</v>
      </c>
      <c r="Q2071" s="2" t="n">
        <v>6</v>
      </c>
      <c r="R2071" s="2" t="n">
        <v>2</v>
      </c>
      <c r="S2071" s="2" t="n">
        <v>6</v>
      </c>
      <c r="T2071" s="2" t="n">
        <v>0</v>
      </c>
      <c r="U2071" s="2" t="n">
        <v>2</v>
      </c>
      <c r="V2071" s="2" t="n">
        <v>3</v>
      </c>
      <c r="W2071" s="2" t="n">
        <v>3</v>
      </c>
      <c r="X2071" s="2" t="n">
        <v>3</v>
      </c>
      <c r="Y2071" s="2" t="n">
        <v>1</v>
      </c>
      <c r="Z2071" s="2" t="n">
        <v>3</v>
      </c>
    </row>
    <row r="2072" customFormat="false" ht="15" hidden="false" customHeight="true" outlineLevel="0" collapsed="false">
      <c r="A2072" s="2" t="n">
        <v>53</v>
      </c>
      <c r="B2072" s="2" t="s">
        <v>26</v>
      </c>
      <c r="C2072" s="2" t="s">
        <v>27</v>
      </c>
      <c r="D2072" s="2" t="s">
        <v>35</v>
      </c>
      <c r="E2072" s="2" t="n">
        <v>6</v>
      </c>
      <c r="F2072" s="2" t="n">
        <v>4</v>
      </c>
      <c r="G2072" s="2" t="s">
        <v>29</v>
      </c>
      <c r="H2072" s="2" t="n">
        <v>2071</v>
      </c>
      <c r="I2072" s="2" t="s">
        <v>39</v>
      </c>
      <c r="J2072" s="2" t="n">
        <v>1</v>
      </c>
      <c r="K2072" s="2" t="s">
        <v>44</v>
      </c>
      <c r="L2072" s="2" t="s">
        <v>46</v>
      </c>
      <c r="M2072" s="2" t="n">
        <v>40310</v>
      </c>
      <c r="N2072" s="2" t="n">
        <v>3</v>
      </c>
      <c r="O2072" s="2" t="n">
        <v>12</v>
      </c>
      <c r="P2072" s="2" t="n">
        <v>1</v>
      </c>
      <c r="Q2072" s="2" t="n">
        <v>26</v>
      </c>
      <c r="R2072" s="2" t="n">
        <v>3</v>
      </c>
      <c r="S2072" s="2" t="n">
        <v>7</v>
      </c>
      <c r="T2072" s="2" t="n">
        <v>4</v>
      </c>
      <c r="U2072" s="2" t="n">
        <v>7</v>
      </c>
      <c r="V2072" s="2" t="n">
        <v>4</v>
      </c>
      <c r="W2072" s="2" t="n">
        <v>3</v>
      </c>
      <c r="X2072" s="2" t="n">
        <v>3</v>
      </c>
      <c r="Y2072" s="2" t="n">
        <v>2</v>
      </c>
      <c r="Z2072" s="2" t="n">
        <v>3</v>
      </c>
    </row>
    <row r="2073" customFormat="false" ht="15" hidden="false" customHeight="true" outlineLevel="0" collapsed="false">
      <c r="A2073" s="2" t="n">
        <v>29</v>
      </c>
      <c r="B2073" s="2" t="s">
        <v>26</v>
      </c>
      <c r="C2073" s="2" t="s">
        <v>27</v>
      </c>
      <c r="D2073" s="2" t="s">
        <v>35</v>
      </c>
      <c r="E2073" s="2" t="n">
        <v>23</v>
      </c>
      <c r="F2073" s="2" t="n">
        <v>3</v>
      </c>
      <c r="G2073" s="2" t="s">
        <v>43</v>
      </c>
      <c r="H2073" s="2" t="n">
        <v>2072</v>
      </c>
      <c r="I2073" s="2" t="s">
        <v>39</v>
      </c>
      <c r="J2073" s="2" t="n">
        <v>1</v>
      </c>
      <c r="K2073" s="2" t="s">
        <v>40</v>
      </c>
      <c r="L2073" s="2" t="s">
        <v>32</v>
      </c>
      <c r="M2073" s="2" t="n">
        <v>79690</v>
      </c>
      <c r="N2073" s="2" t="n">
        <v>0</v>
      </c>
      <c r="O2073" s="2" t="n">
        <v>14</v>
      </c>
      <c r="P2073" s="2" t="n">
        <v>0</v>
      </c>
      <c r="Q2073" s="2" t="n">
        <v>6</v>
      </c>
      <c r="R2073" s="2" t="n">
        <v>3</v>
      </c>
      <c r="S2073" s="2" t="n">
        <v>5</v>
      </c>
      <c r="T2073" s="2" t="n">
        <v>1</v>
      </c>
      <c r="U2073" s="2" t="n">
        <v>3</v>
      </c>
      <c r="V2073" s="2" t="n">
        <v>2</v>
      </c>
      <c r="W2073" s="2" t="n">
        <v>4</v>
      </c>
      <c r="X2073" s="2" t="n">
        <v>2</v>
      </c>
      <c r="Y2073" s="2" t="n">
        <v>3</v>
      </c>
      <c r="Z2073" s="2" t="n">
        <v>3</v>
      </c>
    </row>
    <row r="2074" customFormat="false" ht="15" hidden="false" customHeight="true" outlineLevel="0" collapsed="false">
      <c r="A2074" s="2" t="n">
        <v>22</v>
      </c>
      <c r="B2074" s="2" t="s">
        <v>33</v>
      </c>
      <c r="C2074" s="2" t="s">
        <v>34</v>
      </c>
      <c r="D2074" s="2" t="s">
        <v>35</v>
      </c>
      <c r="E2074" s="2" t="n">
        <v>22</v>
      </c>
      <c r="F2074" s="2" t="n">
        <v>4</v>
      </c>
      <c r="G2074" s="2" t="s">
        <v>43</v>
      </c>
      <c r="H2074" s="2" t="n">
        <v>2073</v>
      </c>
      <c r="I2074" s="2" t="s">
        <v>39</v>
      </c>
      <c r="J2074" s="2" t="n">
        <v>1</v>
      </c>
      <c r="K2074" s="2" t="s">
        <v>48</v>
      </c>
      <c r="L2074" s="2" t="s">
        <v>32</v>
      </c>
      <c r="M2074" s="2" t="n">
        <v>26540</v>
      </c>
      <c r="N2074" s="2" t="n">
        <v>0</v>
      </c>
      <c r="O2074" s="2" t="n">
        <v>24</v>
      </c>
      <c r="P2074" s="2" t="n">
        <v>0</v>
      </c>
      <c r="Q2074" s="2" t="n">
        <v>1</v>
      </c>
      <c r="R2074" s="2" t="n">
        <v>5</v>
      </c>
      <c r="S2074" s="2" t="n">
        <v>0</v>
      </c>
      <c r="T2074" s="2" t="n">
        <v>0</v>
      </c>
      <c r="U2074" s="2" t="n">
        <v>0</v>
      </c>
      <c r="V2074" s="2" t="n">
        <v>3</v>
      </c>
      <c r="W2074" s="2" t="n">
        <v>4</v>
      </c>
      <c r="X2074" s="2" t="n">
        <v>3</v>
      </c>
      <c r="Y2074" s="2" t="n">
        <v>2</v>
      </c>
      <c r="Z2074" s="2" t="n">
        <v>4</v>
      </c>
    </row>
    <row r="2075" customFormat="false" ht="15" hidden="false" customHeight="true" outlineLevel="0" collapsed="false">
      <c r="A2075" s="2" t="n">
        <v>46</v>
      </c>
      <c r="B2075" s="2" t="s">
        <v>26</v>
      </c>
      <c r="C2075" s="2" t="s">
        <v>27</v>
      </c>
      <c r="D2075" s="2" t="s">
        <v>35</v>
      </c>
      <c r="E2075" s="2" t="n">
        <v>2</v>
      </c>
      <c r="F2075" s="2" t="n">
        <v>3</v>
      </c>
      <c r="G2075" s="2" t="s">
        <v>29</v>
      </c>
      <c r="H2075" s="2" t="n">
        <v>2074</v>
      </c>
      <c r="I2075" s="2" t="s">
        <v>39</v>
      </c>
      <c r="J2075" s="2" t="n">
        <v>2</v>
      </c>
      <c r="K2075" s="2" t="s">
        <v>36</v>
      </c>
      <c r="L2075" s="2" t="s">
        <v>32</v>
      </c>
      <c r="M2075" s="2" t="n">
        <v>165550</v>
      </c>
      <c r="N2075" s="2" t="n">
        <v>8</v>
      </c>
      <c r="O2075" s="2" t="n">
        <v>14</v>
      </c>
      <c r="P2075" s="2" t="n">
        <v>2</v>
      </c>
      <c r="Q2075" s="2" t="n">
        <v>28</v>
      </c>
      <c r="R2075" s="2" t="n">
        <v>4</v>
      </c>
      <c r="S2075" s="2" t="n">
        <v>26</v>
      </c>
      <c r="T2075" s="2" t="n">
        <v>15</v>
      </c>
      <c r="U2075" s="2" t="n">
        <v>9</v>
      </c>
      <c r="V2075" s="2" t="n">
        <v>3</v>
      </c>
      <c r="W2075" s="2" t="n">
        <v>1</v>
      </c>
      <c r="X2075" s="2" t="n">
        <v>3</v>
      </c>
      <c r="Y2075" s="2" t="n">
        <v>3</v>
      </c>
      <c r="Z2075" s="2" t="n">
        <v>3</v>
      </c>
    </row>
    <row r="2076" customFormat="false" ht="15" hidden="false" customHeight="true" outlineLevel="0" collapsed="false">
      <c r="A2076" s="2" t="n">
        <v>44</v>
      </c>
      <c r="B2076" s="2" t="s">
        <v>26</v>
      </c>
      <c r="C2076" s="2" t="s">
        <v>41</v>
      </c>
      <c r="D2076" s="2" t="s">
        <v>35</v>
      </c>
      <c r="E2076" s="2" t="n">
        <v>20</v>
      </c>
      <c r="F2076" s="2" t="n">
        <v>3</v>
      </c>
      <c r="G2076" s="2" t="s">
        <v>29</v>
      </c>
      <c r="H2076" s="2" t="n">
        <v>2075</v>
      </c>
      <c r="I2076" s="2" t="s">
        <v>39</v>
      </c>
      <c r="J2076" s="2" t="n">
        <v>1</v>
      </c>
      <c r="K2076" s="2" t="s">
        <v>48</v>
      </c>
      <c r="L2076" s="2" t="s">
        <v>37</v>
      </c>
      <c r="M2076" s="2" t="n">
        <v>45560</v>
      </c>
      <c r="N2076" s="2" t="n">
        <v>2</v>
      </c>
      <c r="O2076" s="2" t="n">
        <v>13</v>
      </c>
      <c r="P2076" s="2" t="n">
        <v>0</v>
      </c>
      <c r="Q2076" s="2" t="n">
        <v>6</v>
      </c>
      <c r="R2076" s="2" t="n">
        <v>4</v>
      </c>
      <c r="S2076" s="2" t="n">
        <v>0</v>
      </c>
      <c r="T2076" s="2" t="n">
        <v>0</v>
      </c>
      <c r="U2076" s="2" t="n">
        <v>0</v>
      </c>
      <c r="V2076" s="2" t="n">
        <v>4</v>
      </c>
      <c r="W2076" s="2" t="n">
        <v>3</v>
      </c>
      <c r="X2076" s="2" t="n">
        <v>3</v>
      </c>
      <c r="Y2076" s="2" t="n">
        <v>3</v>
      </c>
      <c r="Z2076" s="2" t="n">
        <v>3</v>
      </c>
    </row>
    <row r="2077" customFormat="false" ht="15" hidden="false" customHeight="true" outlineLevel="0" collapsed="false">
      <c r="A2077" s="2" t="n">
        <v>33</v>
      </c>
      <c r="B2077" s="2" t="s">
        <v>26</v>
      </c>
      <c r="C2077" s="2" t="s">
        <v>27</v>
      </c>
      <c r="D2077" s="2" t="s">
        <v>35</v>
      </c>
      <c r="E2077" s="2" t="n">
        <v>28</v>
      </c>
      <c r="F2077" s="2" t="n">
        <v>4</v>
      </c>
      <c r="G2077" s="2" t="s">
        <v>29</v>
      </c>
      <c r="H2077" s="2" t="n">
        <v>2076</v>
      </c>
      <c r="I2077" s="2" t="s">
        <v>30</v>
      </c>
      <c r="J2077" s="2" t="n">
        <v>1</v>
      </c>
      <c r="K2077" s="2" t="s">
        <v>49</v>
      </c>
      <c r="L2077" s="2" t="s">
        <v>32</v>
      </c>
      <c r="M2077" s="2" t="n">
        <v>60910</v>
      </c>
      <c r="N2077" s="2" t="n">
        <v>1</v>
      </c>
      <c r="O2077" s="2" t="n">
        <v>15</v>
      </c>
      <c r="P2077" s="2" t="n">
        <v>0</v>
      </c>
      <c r="Q2077" s="2" t="n">
        <v>5</v>
      </c>
      <c r="R2077" s="2" t="n">
        <v>6</v>
      </c>
      <c r="S2077" s="2" t="n">
        <v>5</v>
      </c>
      <c r="T2077" s="2" t="n">
        <v>1</v>
      </c>
      <c r="U2077" s="2" t="n">
        <v>4</v>
      </c>
      <c r="V2077" s="2" t="n">
        <v>2</v>
      </c>
      <c r="W2077" s="2" t="n">
        <v>3</v>
      </c>
      <c r="X2077" s="2" t="n">
        <v>3</v>
      </c>
      <c r="Y2077" s="2" t="n">
        <v>1</v>
      </c>
      <c r="Z2077" s="2" t="n">
        <v>3</v>
      </c>
    </row>
    <row r="2078" customFormat="false" ht="15" hidden="false" customHeight="true" outlineLevel="0" collapsed="false">
      <c r="A2078" s="2" t="n">
        <v>41</v>
      </c>
      <c r="B2078" s="2" t="s">
        <v>33</v>
      </c>
      <c r="C2078" s="2" t="s">
        <v>41</v>
      </c>
      <c r="D2078" s="2" t="s">
        <v>35</v>
      </c>
      <c r="E2078" s="2" t="n">
        <v>12</v>
      </c>
      <c r="F2078" s="2" t="n">
        <v>3</v>
      </c>
      <c r="G2078" s="2" t="s">
        <v>29</v>
      </c>
      <c r="H2078" s="2" t="n">
        <v>2077</v>
      </c>
      <c r="I2078" s="2" t="s">
        <v>39</v>
      </c>
      <c r="J2078" s="2" t="n">
        <v>2</v>
      </c>
      <c r="K2078" s="2" t="s">
        <v>48</v>
      </c>
      <c r="L2078" s="2" t="s">
        <v>46</v>
      </c>
      <c r="M2078" s="2" t="n">
        <v>195660</v>
      </c>
      <c r="N2078" s="2" t="n">
        <v>6</v>
      </c>
      <c r="O2078" s="2" t="n">
        <v>16</v>
      </c>
      <c r="P2078" s="2" t="n">
        <v>0</v>
      </c>
      <c r="Q2078" s="2" t="n">
        <v>5</v>
      </c>
      <c r="R2078" s="2" t="n">
        <v>2</v>
      </c>
      <c r="S2078" s="2" t="n">
        <v>1</v>
      </c>
      <c r="T2078" s="2" t="n">
        <v>0</v>
      </c>
      <c r="U2078" s="2" t="n">
        <v>0</v>
      </c>
      <c r="V2078" s="2" t="n">
        <v>1</v>
      </c>
      <c r="W2078" s="2" t="n">
        <v>1</v>
      </c>
      <c r="X2078" s="2" t="n">
        <v>1</v>
      </c>
      <c r="Y2078" s="2" t="n">
        <v>4</v>
      </c>
      <c r="Z2078" s="2" t="n">
        <v>3</v>
      </c>
    </row>
    <row r="2079" customFormat="false" ht="15" hidden="false" customHeight="true" outlineLevel="0" collapsed="false">
      <c r="A2079" s="2" t="n">
        <v>30</v>
      </c>
      <c r="B2079" s="2" t="s">
        <v>26</v>
      </c>
      <c r="C2079" s="2" t="s">
        <v>27</v>
      </c>
      <c r="D2079" s="2" t="s">
        <v>28</v>
      </c>
      <c r="E2079" s="2" t="n">
        <v>20</v>
      </c>
      <c r="F2079" s="2" t="n">
        <v>3</v>
      </c>
      <c r="G2079" s="2" t="s">
        <v>50</v>
      </c>
      <c r="H2079" s="2" t="n">
        <v>2078</v>
      </c>
      <c r="I2079" s="2" t="s">
        <v>39</v>
      </c>
      <c r="J2079" s="2" t="n">
        <v>3</v>
      </c>
      <c r="K2079" s="2" t="s">
        <v>40</v>
      </c>
      <c r="L2079" s="2" t="s">
        <v>46</v>
      </c>
      <c r="M2079" s="2" t="n">
        <v>48100</v>
      </c>
      <c r="N2079" s="2" t="n">
        <v>8</v>
      </c>
      <c r="O2079" s="2" t="n">
        <v>18</v>
      </c>
      <c r="P2079" s="2" t="n">
        <v>0</v>
      </c>
      <c r="Q2079" s="2" t="n">
        <v>8</v>
      </c>
      <c r="R2079" s="2" t="n">
        <v>3</v>
      </c>
      <c r="S2079" s="2" t="n">
        <v>4</v>
      </c>
      <c r="T2079" s="2" t="n">
        <v>0</v>
      </c>
      <c r="U2079" s="2" t="n">
        <v>3</v>
      </c>
      <c r="V2079" s="2" t="n">
        <v>3</v>
      </c>
      <c r="W2079" s="2" t="n">
        <v>1</v>
      </c>
      <c r="X2079" s="2" t="n">
        <v>3</v>
      </c>
      <c r="Y2079" s="2" t="n">
        <v>2</v>
      </c>
      <c r="Z2079" s="2" t="n">
        <v>3</v>
      </c>
    </row>
    <row r="2080" customFormat="false" ht="15" hidden="false" customHeight="true" outlineLevel="0" collapsed="false">
      <c r="A2080" s="2" t="n">
        <v>40</v>
      </c>
      <c r="B2080" s="2" t="s">
        <v>26</v>
      </c>
      <c r="C2080" s="2" t="s">
        <v>34</v>
      </c>
      <c r="D2080" s="2" t="s">
        <v>28</v>
      </c>
      <c r="E2080" s="2" t="n">
        <v>9</v>
      </c>
      <c r="F2080" s="2" t="n">
        <v>3</v>
      </c>
      <c r="G2080" s="2" t="s">
        <v>43</v>
      </c>
      <c r="H2080" s="2" t="n">
        <v>2079</v>
      </c>
      <c r="I2080" s="2" t="s">
        <v>39</v>
      </c>
      <c r="J2080" s="2" t="n">
        <v>1</v>
      </c>
      <c r="K2080" s="2" t="s">
        <v>47</v>
      </c>
      <c r="L2080" s="2" t="s">
        <v>32</v>
      </c>
      <c r="M2080" s="2" t="n">
        <v>45230</v>
      </c>
      <c r="N2080" s="2" t="n">
        <v>5</v>
      </c>
      <c r="O2080" s="2" t="n">
        <v>16</v>
      </c>
      <c r="P2080" s="2" t="n">
        <v>1</v>
      </c>
      <c r="Q2080" s="2" t="n">
        <v>5</v>
      </c>
      <c r="R2080" s="2" t="n">
        <v>5</v>
      </c>
      <c r="S2080" s="2" t="n">
        <v>0</v>
      </c>
      <c r="T2080" s="2" t="n">
        <v>0</v>
      </c>
      <c r="U2080" s="2" t="n">
        <v>0</v>
      </c>
      <c r="V2080" s="2" t="n">
        <v>2</v>
      </c>
      <c r="W2080" s="2" t="n">
        <v>2</v>
      </c>
      <c r="X2080" s="2" t="n">
        <v>3</v>
      </c>
      <c r="Y2080" s="2" t="n">
        <v>4</v>
      </c>
      <c r="Z2080" s="2" t="n">
        <v>3</v>
      </c>
    </row>
    <row r="2081" customFormat="false" ht="15" hidden="false" customHeight="true" outlineLevel="0" collapsed="false">
      <c r="A2081" s="2" t="n">
        <v>50</v>
      </c>
      <c r="B2081" s="2" t="s">
        <v>26</v>
      </c>
      <c r="C2081" s="2" t="s">
        <v>34</v>
      </c>
      <c r="D2081" s="2" t="s">
        <v>35</v>
      </c>
      <c r="E2081" s="2" t="n">
        <v>25</v>
      </c>
      <c r="F2081" s="2" t="n">
        <v>4</v>
      </c>
      <c r="G2081" s="2" t="s">
        <v>29</v>
      </c>
      <c r="H2081" s="2" t="n">
        <v>2080</v>
      </c>
      <c r="I2081" s="2" t="s">
        <v>30</v>
      </c>
      <c r="J2081" s="2" t="n">
        <v>2</v>
      </c>
      <c r="K2081" s="2" t="s">
        <v>31</v>
      </c>
      <c r="L2081" s="2" t="s">
        <v>32</v>
      </c>
      <c r="M2081" s="2" t="n">
        <v>32020</v>
      </c>
      <c r="N2081" s="2" t="n">
        <v>2</v>
      </c>
      <c r="O2081" s="2" t="n">
        <v>24</v>
      </c>
      <c r="P2081" s="2" t="n">
        <v>1</v>
      </c>
      <c r="Q2081" s="2" t="n">
        <v>32</v>
      </c>
      <c r="R2081" s="2" t="n">
        <v>2</v>
      </c>
      <c r="S2081" s="2" t="n">
        <v>2</v>
      </c>
      <c r="T2081" s="2" t="n">
        <v>2</v>
      </c>
      <c r="U2081" s="2" t="n">
        <v>2</v>
      </c>
      <c r="V2081" s="2" t="n">
        <v>4</v>
      </c>
      <c r="W2081" s="2" t="n">
        <v>1</v>
      </c>
      <c r="X2081" s="2"/>
      <c r="Y2081" s="2" t="n">
        <v>3</v>
      </c>
      <c r="Z2081" s="2" t="n">
        <v>4</v>
      </c>
    </row>
    <row r="2082" customFormat="false" ht="15" hidden="false" customHeight="true" outlineLevel="0" collapsed="false">
      <c r="A2082" s="2" t="n">
        <v>28</v>
      </c>
      <c r="B2082" s="2" t="s">
        <v>26</v>
      </c>
      <c r="C2082" s="2" t="s">
        <v>27</v>
      </c>
      <c r="D2082" s="2" t="s">
        <v>35</v>
      </c>
      <c r="E2082" s="2" t="n">
        <v>6</v>
      </c>
      <c r="F2082" s="2" t="n">
        <v>3</v>
      </c>
      <c r="G2082" s="2" t="s">
        <v>51</v>
      </c>
      <c r="H2082" s="2" t="n">
        <v>2081</v>
      </c>
      <c r="I2082" s="2" t="s">
        <v>39</v>
      </c>
      <c r="J2082" s="2" t="n">
        <v>2</v>
      </c>
      <c r="K2082" s="2" t="s">
        <v>36</v>
      </c>
      <c r="L2082" s="2" t="s">
        <v>32</v>
      </c>
      <c r="M2082" s="2" t="n">
        <v>23510</v>
      </c>
      <c r="N2082" s="2" t="n">
        <v>1</v>
      </c>
      <c r="O2082" s="2" t="n">
        <v>16</v>
      </c>
      <c r="P2082" s="2" t="n">
        <v>0</v>
      </c>
      <c r="Q2082" s="2" t="n">
        <v>6</v>
      </c>
      <c r="R2082" s="2" t="n">
        <v>4</v>
      </c>
      <c r="S2082" s="2" t="n">
        <v>6</v>
      </c>
      <c r="T2082" s="2" t="n">
        <v>3</v>
      </c>
      <c r="U2082" s="2" t="n">
        <v>3</v>
      </c>
      <c r="V2082" s="2" t="n">
        <v>4</v>
      </c>
      <c r="W2082" s="2" t="n">
        <v>1</v>
      </c>
      <c r="X2082" s="2" t="n">
        <v>3</v>
      </c>
      <c r="Y2082" s="2" t="n">
        <v>3</v>
      </c>
      <c r="Z2082" s="2" t="n">
        <v>3</v>
      </c>
    </row>
    <row r="2083" customFormat="false" ht="15" hidden="false" customHeight="true" outlineLevel="0" collapsed="false">
      <c r="A2083" s="2" t="n">
        <v>46</v>
      </c>
      <c r="B2083" s="2" t="s">
        <v>26</v>
      </c>
      <c r="C2083" s="2" t="s">
        <v>27</v>
      </c>
      <c r="D2083" s="2" t="s">
        <v>35</v>
      </c>
      <c r="E2083" s="2" t="n">
        <v>8</v>
      </c>
      <c r="F2083" s="2" t="n">
        <v>4</v>
      </c>
      <c r="G2083" s="2" t="s">
        <v>38</v>
      </c>
      <c r="H2083" s="2" t="n">
        <v>2082</v>
      </c>
      <c r="I2083" s="2" t="s">
        <v>39</v>
      </c>
      <c r="J2083" s="2" t="n">
        <v>3</v>
      </c>
      <c r="K2083" s="2" t="s">
        <v>49</v>
      </c>
      <c r="L2083" s="2" t="s">
        <v>32</v>
      </c>
      <c r="M2083" s="2" t="n">
        <v>17020</v>
      </c>
      <c r="N2083" s="2" t="n">
        <v>5</v>
      </c>
      <c r="O2083" s="2" t="n">
        <v>21</v>
      </c>
      <c r="P2083" s="2" t="n">
        <v>0</v>
      </c>
      <c r="Q2083" s="2" t="n">
        <v>25</v>
      </c>
      <c r="R2083" s="2" t="n">
        <v>2</v>
      </c>
      <c r="S2083" s="2" t="n">
        <v>4</v>
      </c>
      <c r="T2083" s="2" t="n">
        <v>0</v>
      </c>
      <c r="U2083" s="2" t="n">
        <v>3</v>
      </c>
      <c r="V2083" s="2" t="n">
        <v>4</v>
      </c>
      <c r="W2083" s="2" t="n">
        <v>2</v>
      </c>
      <c r="X2083" s="2" t="n">
        <v>3</v>
      </c>
      <c r="Y2083" s="2" t="n">
        <v>3</v>
      </c>
      <c r="Z2083" s="2" t="n">
        <v>4</v>
      </c>
    </row>
    <row r="2084" customFormat="false" ht="15" hidden="false" customHeight="true" outlineLevel="0" collapsed="false">
      <c r="A2084" s="2" t="n">
        <v>35</v>
      </c>
      <c r="B2084" s="2" t="s">
        <v>26</v>
      </c>
      <c r="C2084" s="2" t="s">
        <v>27</v>
      </c>
      <c r="D2084" s="2" t="s">
        <v>28</v>
      </c>
      <c r="E2084" s="2" t="n">
        <v>4</v>
      </c>
      <c r="F2084" s="2" t="n">
        <v>4</v>
      </c>
      <c r="G2084" s="2" t="s">
        <v>50</v>
      </c>
      <c r="H2084" s="2" t="n">
        <v>2083</v>
      </c>
      <c r="I2084" s="2" t="s">
        <v>39</v>
      </c>
      <c r="J2084" s="2" t="n">
        <v>1</v>
      </c>
      <c r="K2084" s="2" t="s">
        <v>45</v>
      </c>
      <c r="L2084" s="2" t="s">
        <v>32</v>
      </c>
      <c r="M2084" s="2" t="n">
        <v>180410</v>
      </c>
      <c r="N2084" s="2" t="n">
        <v>3</v>
      </c>
      <c r="O2084" s="2" t="n">
        <v>20</v>
      </c>
      <c r="P2084" s="2" t="n">
        <v>1</v>
      </c>
      <c r="Q2084" s="2" t="n">
        <v>15</v>
      </c>
      <c r="R2084" s="2" t="n">
        <v>3</v>
      </c>
      <c r="S2084" s="2" t="n">
        <v>7</v>
      </c>
      <c r="T2084" s="2" t="n">
        <v>1</v>
      </c>
      <c r="U2084" s="2" t="n">
        <v>7</v>
      </c>
      <c r="V2084" s="2" t="n">
        <v>3</v>
      </c>
      <c r="W2084" s="2" t="n">
        <v>1</v>
      </c>
      <c r="X2084" s="2" t="n">
        <v>3</v>
      </c>
      <c r="Y2084" s="2" t="n">
        <v>2</v>
      </c>
      <c r="Z2084" s="2" t="n">
        <v>4</v>
      </c>
    </row>
    <row r="2085" customFormat="false" ht="15" hidden="false" customHeight="true" outlineLevel="0" collapsed="false">
      <c r="A2085" s="2" t="n">
        <v>24</v>
      </c>
      <c r="B2085" s="2" t="s">
        <v>33</v>
      </c>
      <c r="C2085" s="2" t="s">
        <v>27</v>
      </c>
      <c r="D2085" s="2" t="s">
        <v>42</v>
      </c>
      <c r="E2085" s="2" t="n">
        <v>28</v>
      </c>
      <c r="F2085" s="2" t="n">
        <v>4</v>
      </c>
      <c r="G2085" s="2" t="s">
        <v>42</v>
      </c>
      <c r="H2085" s="2" t="n">
        <v>2084</v>
      </c>
      <c r="I2085" s="2" t="s">
        <v>39</v>
      </c>
      <c r="J2085" s="2" t="n">
        <v>3</v>
      </c>
      <c r="K2085" s="2" t="s">
        <v>47</v>
      </c>
      <c r="L2085" s="2" t="s">
        <v>32</v>
      </c>
      <c r="M2085" s="2" t="n">
        <v>28860</v>
      </c>
      <c r="N2085" s="2" t="n">
        <v>1</v>
      </c>
      <c r="O2085" s="2" t="n">
        <v>19</v>
      </c>
      <c r="P2085" s="2" t="n">
        <v>1</v>
      </c>
      <c r="Q2085" s="2" t="n">
        <v>1</v>
      </c>
      <c r="R2085" s="2" t="n">
        <v>5</v>
      </c>
      <c r="S2085" s="2" t="n">
        <v>1</v>
      </c>
      <c r="T2085" s="2" t="n">
        <v>0</v>
      </c>
      <c r="U2085" s="2" t="n">
        <v>0</v>
      </c>
      <c r="V2085" s="2" t="n">
        <v>4</v>
      </c>
      <c r="W2085" s="2" t="n">
        <v>2</v>
      </c>
      <c r="X2085" s="2" t="n">
        <v>1</v>
      </c>
      <c r="Y2085" s="2" t="n">
        <v>3</v>
      </c>
      <c r="Z2085" s="2" t="n">
        <v>3</v>
      </c>
    </row>
    <row r="2086" customFormat="false" ht="15" hidden="false" customHeight="true" outlineLevel="0" collapsed="false">
      <c r="A2086" s="2" t="n">
        <v>33</v>
      </c>
      <c r="B2086" s="2" t="s">
        <v>26</v>
      </c>
      <c r="C2086" s="2" t="s">
        <v>34</v>
      </c>
      <c r="D2086" s="2" t="s">
        <v>35</v>
      </c>
      <c r="E2086" s="2" t="n">
        <v>9</v>
      </c>
      <c r="F2086" s="2" t="n">
        <v>2</v>
      </c>
      <c r="G2086" s="2" t="s">
        <v>43</v>
      </c>
      <c r="H2086" s="2" t="n">
        <v>2085</v>
      </c>
      <c r="I2086" s="2" t="s">
        <v>30</v>
      </c>
      <c r="J2086" s="2" t="n">
        <v>1</v>
      </c>
      <c r="K2086" s="2" t="s">
        <v>40</v>
      </c>
      <c r="L2086" s="2" t="s">
        <v>32</v>
      </c>
      <c r="M2086" s="2" t="n">
        <v>20970</v>
      </c>
      <c r="N2086" s="2" t="n">
        <v>1</v>
      </c>
      <c r="O2086" s="2" t="n">
        <v>14</v>
      </c>
      <c r="P2086" s="2" t="n">
        <v>2</v>
      </c>
      <c r="Q2086" s="2" t="n">
        <v>10</v>
      </c>
      <c r="R2086" s="2" t="n">
        <v>5</v>
      </c>
      <c r="S2086" s="2" t="n">
        <v>10</v>
      </c>
      <c r="T2086" s="2" t="n">
        <v>0</v>
      </c>
      <c r="U2086" s="2" t="n">
        <v>1</v>
      </c>
      <c r="V2086" s="2" t="n">
        <v>2</v>
      </c>
      <c r="W2086" s="2" t="n">
        <v>3</v>
      </c>
      <c r="X2086" s="2" t="n">
        <v>2</v>
      </c>
      <c r="Y2086" s="2" t="n">
        <v>2</v>
      </c>
      <c r="Z2086" s="2" t="n">
        <v>3</v>
      </c>
    </row>
    <row r="2087" customFormat="false" ht="15" hidden="false" customHeight="true" outlineLevel="0" collapsed="false">
      <c r="A2087" s="2" t="n">
        <v>36</v>
      </c>
      <c r="B2087" s="2" t="s">
        <v>26</v>
      </c>
      <c r="C2087" s="2" t="s">
        <v>27</v>
      </c>
      <c r="D2087" s="2" t="s">
        <v>35</v>
      </c>
      <c r="E2087" s="2" t="n">
        <v>9</v>
      </c>
      <c r="F2087" s="2" t="n">
        <v>2</v>
      </c>
      <c r="G2087" s="2" t="s">
        <v>43</v>
      </c>
      <c r="H2087" s="2" t="n">
        <v>2086</v>
      </c>
      <c r="I2087" s="2" t="s">
        <v>39</v>
      </c>
      <c r="J2087" s="2" t="n">
        <v>2</v>
      </c>
      <c r="K2087" s="2" t="s">
        <v>40</v>
      </c>
      <c r="L2087" s="2" t="s">
        <v>46</v>
      </c>
      <c r="M2087" s="2" t="n">
        <v>119350</v>
      </c>
      <c r="N2087" s="2" t="n">
        <v>1</v>
      </c>
      <c r="O2087" s="2" t="n">
        <v>11</v>
      </c>
      <c r="P2087" s="2" t="n">
        <v>3</v>
      </c>
      <c r="Q2087" s="2" t="n">
        <v>7</v>
      </c>
      <c r="R2087" s="2" t="n">
        <v>6</v>
      </c>
      <c r="S2087" s="2" t="n">
        <v>7</v>
      </c>
      <c r="T2087" s="2" t="n">
        <v>1</v>
      </c>
      <c r="U2087" s="2" t="n">
        <v>7</v>
      </c>
      <c r="V2087" s="2" t="n">
        <v>3</v>
      </c>
      <c r="W2087" s="2" t="n">
        <v>3</v>
      </c>
      <c r="X2087" s="2" t="n">
        <v>3</v>
      </c>
      <c r="Y2087" s="2" t="n">
        <v>4</v>
      </c>
      <c r="Z2087" s="2" t="n">
        <v>3</v>
      </c>
    </row>
    <row r="2088" customFormat="false" ht="15" hidden="false" customHeight="true" outlineLevel="0" collapsed="false">
      <c r="A2088" s="2" t="n">
        <v>30</v>
      </c>
      <c r="B2088" s="2" t="s">
        <v>26</v>
      </c>
      <c r="C2088" s="2" t="s">
        <v>27</v>
      </c>
      <c r="D2088" s="2" t="s">
        <v>28</v>
      </c>
      <c r="E2088" s="2" t="n">
        <v>29</v>
      </c>
      <c r="F2088" s="2" t="n">
        <v>3</v>
      </c>
      <c r="G2088" s="2" t="s">
        <v>50</v>
      </c>
      <c r="H2088" s="2" t="n">
        <v>2087</v>
      </c>
      <c r="I2088" s="2" t="s">
        <v>39</v>
      </c>
      <c r="J2088" s="2" t="n">
        <v>1</v>
      </c>
      <c r="K2088" s="2" t="s">
        <v>40</v>
      </c>
      <c r="L2088" s="2" t="s">
        <v>46</v>
      </c>
      <c r="M2088" s="2" t="n">
        <v>25460</v>
      </c>
      <c r="N2088" s="2" t="n">
        <v>1</v>
      </c>
      <c r="O2088" s="2" t="n">
        <v>14</v>
      </c>
      <c r="P2088" s="2" t="n">
        <v>1</v>
      </c>
      <c r="Q2088" s="2" t="n">
        <v>10</v>
      </c>
      <c r="R2088" s="2" t="n">
        <v>2</v>
      </c>
      <c r="S2088" s="2" t="n">
        <v>10</v>
      </c>
      <c r="T2088" s="2" t="n">
        <v>8</v>
      </c>
      <c r="U2088" s="2" t="n">
        <v>9</v>
      </c>
      <c r="V2088" s="2" t="n">
        <v>3</v>
      </c>
      <c r="W2088" s="2" t="n">
        <v>3</v>
      </c>
      <c r="X2088" s="2" t="n">
        <v>2</v>
      </c>
      <c r="Y2088" s="2" t="n">
        <v>3</v>
      </c>
      <c r="Z2088" s="2" t="n">
        <v>3</v>
      </c>
    </row>
    <row r="2089" customFormat="false" ht="15" hidden="false" customHeight="true" outlineLevel="0" collapsed="false">
      <c r="A2089" s="2" t="n">
        <v>44</v>
      </c>
      <c r="B2089" s="2" t="s">
        <v>26</v>
      </c>
      <c r="C2089" s="2" t="s">
        <v>27</v>
      </c>
      <c r="D2089" s="2" t="s">
        <v>35</v>
      </c>
      <c r="E2089" s="2" t="n">
        <v>3</v>
      </c>
      <c r="F2089" s="2" t="n">
        <v>4</v>
      </c>
      <c r="G2089" s="2" t="s">
        <v>43</v>
      </c>
      <c r="H2089" s="2" t="n">
        <v>2088</v>
      </c>
      <c r="I2089" s="2" t="s">
        <v>39</v>
      </c>
      <c r="J2089" s="2" t="n">
        <v>2</v>
      </c>
      <c r="K2089" s="2" t="s">
        <v>36</v>
      </c>
      <c r="L2089" s="2" t="s">
        <v>37</v>
      </c>
      <c r="M2089" s="2" t="n">
        <v>25640</v>
      </c>
      <c r="N2089" s="2" t="n">
        <v>1</v>
      </c>
      <c r="O2089" s="2" t="n">
        <v>12</v>
      </c>
      <c r="P2089" s="2" t="n">
        <v>3</v>
      </c>
      <c r="Q2089" s="2" t="n">
        <v>20</v>
      </c>
      <c r="R2089" s="2" t="n">
        <v>3</v>
      </c>
      <c r="S2089" s="2" t="n">
        <v>20</v>
      </c>
      <c r="T2089" s="2" t="n">
        <v>13</v>
      </c>
      <c r="U2089" s="2" t="n">
        <v>17</v>
      </c>
      <c r="V2089" s="2" t="n">
        <v>4</v>
      </c>
      <c r="W2089" s="2" t="n">
        <v>4</v>
      </c>
      <c r="X2089" s="2" t="n">
        <v>3</v>
      </c>
      <c r="Y2089" s="2" t="n">
        <v>1</v>
      </c>
      <c r="Z2089" s="2" t="n">
        <v>3</v>
      </c>
    </row>
    <row r="2090" customFormat="false" ht="15" hidden="false" customHeight="true" outlineLevel="0" collapsed="false">
      <c r="A2090" s="2" t="n">
        <v>20</v>
      </c>
      <c r="B2090" s="2" t="s">
        <v>26</v>
      </c>
      <c r="C2090" s="2" t="s">
        <v>27</v>
      </c>
      <c r="D2090" s="2" t="s">
        <v>35</v>
      </c>
      <c r="E2090" s="2" t="n">
        <v>18</v>
      </c>
      <c r="F2090" s="2" t="n">
        <v>4</v>
      </c>
      <c r="G2090" s="2" t="s">
        <v>43</v>
      </c>
      <c r="H2090" s="2" t="n">
        <v>2089</v>
      </c>
      <c r="I2090" s="2" t="s">
        <v>39</v>
      </c>
      <c r="J2090" s="2" t="n">
        <v>1</v>
      </c>
      <c r="K2090" s="2" t="s">
        <v>42</v>
      </c>
      <c r="L2090" s="2" t="s">
        <v>37</v>
      </c>
      <c r="M2090" s="2" t="n">
        <v>84120</v>
      </c>
      <c r="N2090" s="2" t="n">
        <v>1</v>
      </c>
      <c r="O2090" s="2" t="n">
        <v>13</v>
      </c>
      <c r="P2090" s="2" t="n">
        <v>0</v>
      </c>
      <c r="Q2090" s="2" t="n">
        <v>2</v>
      </c>
      <c r="R2090" s="2" t="n">
        <v>2</v>
      </c>
      <c r="S2090" s="2" t="n">
        <v>2</v>
      </c>
      <c r="T2090" s="2" t="n">
        <v>2</v>
      </c>
      <c r="U2090" s="2" t="n">
        <v>2</v>
      </c>
      <c r="V2090" s="2" t="n">
        <v>3</v>
      </c>
      <c r="W2090" s="2" t="n">
        <v>4</v>
      </c>
      <c r="X2090" s="2" t="n">
        <v>3</v>
      </c>
      <c r="Y2090" s="2" t="n">
        <v>2</v>
      </c>
      <c r="Z2090" s="2" t="n">
        <v>3</v>
      </c>
    </row>
    <row r="2091" customFormat="false" ht="15" hidden="false" customHeight="true" outlineLevel="0" collapsed="false">
      <c r="A2091" s="2" t="n">
        <v>46</v>
      </c>
      <c r="B2091" s="2" t="s">
        <v>26</v>
      </c>
      <c r="C2091" s="2" t="s">
        <v>27</v>
      </c>
      <c r="D2091" s="2" t="s">
        <v>28</v>
      </c>
      <c r="E2091" s="2" t="n">
        <v>9</v>
      </c>
      <c r="F2091" s="2" t="n">
        <v>1</v>
      </c>
      <c r="G2091" s="2" t="s">
        <v>43</v>
      </c>
      <c r="H2091" s="2" t="n">
        <v>2090</v>
      </c>
      <c r="I2091" s="2" t="s">
        <v>30</v>
      </c>
      <c r="J2091" s="2" t="n">
        <v>1</v>
      </c>
      <c r="K2091" s="2" t="s">
        <v>40</v>
      </c>
      <c r="L2091" s="2" t="s">
        <v>46</v>
      </c>
      <c r="M2091" s="2" t="n">
        <v>141180</v>
      </c>
      <c r="N2091" s="2" t="n">
        <v>2</v>
      </c>
      <c r="O2091" s="2" t="n">
        <v>22</v>
      </c>
      <c r="P2091" s="2" t="n">
        <v>0</v>
      </c>
      <c r="Q2091" s="2" t="n">
        <v>12</v>
      </c>
      <c r="R2091" s="2" t="n">
        <v>3</v>
      </c>
      <c r="S2091" s="2" t="n">
        <v>6</v>
      </c>
      <c r="T2091" s="2" t="n">
        <v>1</v>
      </c>
      <c r="U2091" s="2" t="n">
        <v>4</v>
      </c>
      <c r="V2091" s="2" t="n">
        <v>4</v>
      </c>
      <c r="W2091" s="2" t="n">
        <v>4</v>
      </c>
      <c r="X2091" s="2" t="n">
        <v>2</v>
      </c>
      <c r="Y2091" s="2" t="n">
        <v>3</v>
      </c>
      <c r="Z2091" s="2" t="n">
        <v>4</v>
      </c>
    </row>
    <row r="2092" customFormat="false" ht="15" hidden="false" customHeight="true" outlineLevel="0" collapsed="false">
      <c r="A2092" s="2" t="n">
        <v>42</v>
      </c>
      <c r="B2092" s="2" t="s">
        <v>26</v>
      </c>
      <c r="C2092" s="2" t="s">
        <v>41</v>
      </c>
      <c r="D2092" s="2" t="s">
        <v>35</v>
      </c>
      <c r="E2092" s="2" t="n">
        <v>5</v>
      </c>
      <c r="F2092" s="2" t="n">
        <v>4</v>
      </c>
      <c r="G2092" s="2" t="s">
        <v>43</v>
      </c>
      <c r="H2092" s="2" t="n">
        <v>2091</v>
      </c>
      <c r="I2092" s="2" t="s">
        <v>39</v>
      </c>
      <c r="J2092" s="2" t="n">
        <v>5</v>
      </c>
      <c r="K2092" s="2" t="s">
        <v>40</v>
      </c>
      <c r="L2092" s="2" t="s">
        <v>32</v>
      </c>
      <c r="M2092" s="2" t="n">
        <v>170460</v>
      </c>
      <c r="N2092" s="2" t="n">
        <v>7</v>
      </c>
      <c r="O2092" s="2" t="n">
        <v>11</v>
      </c>
      <c r="P2092" s="2" t="n">
        <v>0</v>
      </c>
      <c r="Q2092" s="2" t="n">
        <v>10</v>
      </c>
      <c r="R2092" s="2" t="n">
        <v>3</v>
      </c>
      <c r="S2092" s="2" t="n">
        <v>4</v>
      </c>
      <c r="T2092" s="2" t="n">
        <v>0</v>
      </c>
      <c r="U2092" s="2" t="n">
        <v>3</v>
      </c>
      <c r="V2092" s="2" t="n">
        <v>4</v>
      </c>
      <c r="W2092" s="2" t="n">
        <v>1</v>
      </c>
      <c r="X2092" s="2" t="n">
        <v>4</v>
      </c>
      <c r="Y2092" s="2" t="n">
        <v>2</v>
      </c>
      <c r="Z2092" s="2" t="n">
        <v>3</v>
      </c>
    </row>
    <row r="2093" customFormat="false" ht="15" hidden="false" customHeight="true" outlineLevel="0" collapsed="false">
      <c r="A2093" s="2" t="n">
        <v>60</v>
      </c>
      <c r="B2093" s="2" t="s">
        <v>26</v>
      </c>
      <c r="C2093" s="2" t="s">
        <v>27</v>
      </c>
      <c r="D2093" s="2" t="s">
        <v>28</v>
      </c>
      <c r="E2093" s="2" t="n">
        <v>2</v>
      </c>
      <c r="F2093" s="2" t="n">
        <v>2</v>
      </c>
      <c r="G2093" s="2" t="s">
        <v>29</v>
      </c>
      <c r="H2093" s="2" t="n">
        <v>2092</v>
      </c>
      <c r="I2093" s="2" t="s">
        <v>39</v>
      </c>
      <c r="J2093" s="2" t="n">
        <v>2</v>
      </c>
      <c r="K2093" s="2" t="s">
        <v>40</v>
      </c>
      <c r="L2093" s="2" t="s">
        <v>46</v>
      </c>
      <c r="M2093" s="2" t="n">
        <v>25640</v>
      </c>
      <c r="N2093" s="2" t="n">
        <v>0</v>
      </c>
      <c r="O2093" s="2" t="n">
        <v>14</v>
      </c>
      <c r="P2093" s="2" t="n">
        <v>1</v>
      </c>
      <c r="Q2093" s="2" t="n">
        <v>12</v>
      </c>
      <c r="R2093" s="2" t="n">
        <v>3</v>
      </c>
      <c r="S2093" s="2" t="n">
        <v>11</v>
      </c>
      <c r="T2093" s="2" t="n">
        <v>1</v>
      </c>
      <c r="U2093" s="2" t="n">
        <v>9</v>
      </c>
      <c r="V2093" s="2" t="n">
        <v>2</v>
      </c>
      <c r="W2093" s="2" t="n">
        <v>4</v>
      </c>
      <c r="X2093" s="2" t="n">
        <v>3</v>
      </c>
      <c r="Y2093" s="2" t="n">
        <v>3</v>
      </c>
      <c r="Z2093" s="2" t="n">
        <v>3</v>
      </c>
    </row>
    <row r="2094" customFormat="false" ht="15" hidden="false" customHeight="true" outlineLevel="0" collapsed="false">
      <c r="A2094" s="2" t="n">
        <v>32</v>
      </c>
      <c r="B2094" s="2" t="s">
        <v>26</v>
      </c>
      <c r="C2094" s="2" t="s">
        <v>34</v>
      </c>
      <c r="D2094" s="2" t="s">
        <v>28</v>
      </c>
      <c r="E2094" s="2" t="n">
        <v>10</v>
      </c>
      <c r="F2094" s="2" t="n">
        <v>3</v>
      </c>
      <c r="G2094" s="2" t="s">
        <v>29</v>
      </c>
      <c r="H2094" s="2" t="n">
        <v>2093</v>
      </c>
      <c r="I2094" s="2" t="s">
        <v>30</v>
      </c>
      <c r="J2094" s="2" t="n">
        <v>1</v>
      </c>
      <c r="K2094" s="2" t="s">
        <v>40</v>
      </c>
      <c r="L2094" s="2" t="s">
        <v>32</v>
      </c>
      <c r="M2094" s="2" t="n">
        <v>102660</v>
      </c>
      <c r="N2094" s="2" t="n">
        <v>1</v>
      </c>
      <c r="O2094" s="2" t="n">
        <v>11</v>
      </c>
      <c r="P2094" s="2" t="n">
        <v>0</v>
      </c>
      <c r="Q2094" s="2" t="n">
        <v>2</v>
      </c>
      <c r="R2094" s="2" t="n">
        <v>3</v>
      </c>
      <c r="S2094" s="2" t="n">
        <v>2</v>
      </c>
      <c r="T2094" s="2" t="n">
        <v>2</v>
      </c>
      <c r="U2094" s="2" t="n">
        <v>2</v>
      </c>
      <c r="V2094" s="2" t="n">
        <v>3</v>
      </c>
      <c r="W2094" s="2" t="n">
        <v>2</v>
      </c>
      <c r="X2094" s="2" t="n">
        <v>3</v>
      </c>
      <c r="Y2094" s="2" t="n">
        <v>3</v>
      </c>
      <c r="Z2094" s="2" t="n">
        <v>3</v>
      </c>
    </row>
    <row r="2095" customFormat="false" ht="15" hidden="false" customHeight="true" outlineLevel="0" collapsed="false">
      <c r="A2095" s="2" t="n">
        <v>32</v>
      </c>
      <c r="B2095" s="2" t="s">
        <v>26</v>
      </c>
      <c r="C2095" s="2" t="s">
        <v>34</v>
      </c>
      <c r="D2095" s="2" t="s">
        <v>35</v>
      </c>
      <c r="E2095" s="2" t="n">
        <v>9</v>
      </c>
      <c r="F2095" s="2" t="n">
        <v>3</v>
      </c>
      <c r="G2095" s="2" t="s">
        <v>29</v>
      </c>
      <c r="H2095" s="2" t="n">
        <v>2094</v>
      </c>
      <c r="I2095" s="2" t="s">
        <v>30</v>
      </c>
      <c r="J2095" s="2" t="n">
        <v>2</v>
      </c>
      <c r="K2095" s="2" t="s">
        <v>36</v>
      </c>
      <c r="L2095" s="2" t="s">
        <v>37</v>
      </c>
      <c r="M2095" s="2" t="n">
        <v>50700</v>
      </c>
      <c r="N2095" s="2" t="n">
        <v>4</v>
      </c>
      <c r="O2095" s="2" t="n">
        <v>12</v>
      </c>
      <c r="P2095" s="2" t="n">
        <v>1</v>
      </c>
      <c r="Q2095" s="2" t="n">
        <v>10</v>
      </c>
      <c r="R2095" s="2" t="n">
        <v>6</v>
      </c>
      <c r="S2095" s="2" t="n">
        <v>8</v>
      </c>
      <c r="T2095" s="2" t="n">
        <v>0</v>
      </c>
      <c r="U2095" s="2" t="n">
        <v>7</v>
      </c>
      <c r="V2095" s="2" t="n">
        <v>4</v>
      </c>
      <c r="W2095" s="2" t="n">
        <v>3</v>
      </c>
      <c r="X2095" s="2" t="n">
        <v>3</v>
      </c>
      <c r="Y2095" s="2" t="n">
        <v>3</v>
      </c>
      <c r="Z2095" s="2" t="n">
        <v>3</v>
      </c>
    </row>
    <row r="2096" customFormat="false" ht="15" hidden="false" customHeight="true" outlineLevel="0" collapsed="false">
      <c r="A2096" s="2" t="n">
        <v>36</v>
      </c>
      <c r="B2096" s="2" t="s">
        <v>26</v>
      </c>
      <c r="C2096" s="2" t="s">
        <v>27</v>
      </c>
      <c r="D2096" s="2" t="s">
        <v>28</v>
      </c>
      <c r="E2096" s="2" t="n">
        <v>3</v>
      </c>
      <c r="F2096" s="2" t="n">
        <v>2</v>
      </c>
      <c r="G2096" s="2" t="s">
        <v>50</v>
      </c>
      <c r="H2096" s="2" t="n">
        <v>2095</v>
      </c>
      <c r="I2096" s="2" t="s">
        <v>39</v>
      </c>
      <c r="J2096" s="2" t="n">
        <v>4</v>
      </c>
      <c r="K2096" s="2" t="s">
        <v>31</v>
      </c>
      <c r="L2096" s="2" t="s">
        <v>46</v>
      </c>
      <c r="M2096" s="2" t="n">
        <v>178610</v>
      </c>
      <c r="N2096" s="2" t="n">
        <v>2</v>
      </c>
      <c r="O2096" s="2" t="n">
        <v>18</v>
      </c>
      <c r="P2096" s="2" t="n">
        <v>0</v>
      </c>
      <c r="Q2096" s="2" t="n">
        <v>17</v>
      </c>
      <c r="R2096" s="2" t="n">
        <v>2</v>
      </c>
      <c r="S2096" s="2" t="n">
        <v>7</v>
      </c>
      <c r="T2096" s="2" t="n">
        <v>7</v>
      </c>
      <c r="U2096" s="2" t="n">
        <v>7</v>
      </c>
      <c r="V2096" s="2" t="n">
        <v>3</v>
      </c>
      <c r="W2096" s="2" t="n">
        <v>1</v>
      </c>
      <c r="X2096" s="2" t="n">
        <v>3</v>
      </c>
      <c r="Y2096" s="2" t="n">
        <v>2</v>
      </c>
      <c r="Z2096" s="2" t="n">
        <v>3</v>
      </c>
    </row>
    <row r="2097" customFormat="false" ht="15" hidden="false" customHeight="true" outlineLevel="0" collapsed="false">
      <c r="A2097" s="2" t="n">
        <v>33</v>
      </c>
      <c r="B2097" s="2" t="s">
        <v>26</v>
      </c>
      <c r="C2097" s="2" t="s">
        <v>27</v>
      </c>
      <c r="D2097" s="2" t="s">
        <v>28</v>
      </c>
      <c r="E2097" s="2" t="n">
        <v>26</v>
      </c>
      <c r="F2097" s="2" t="n">
        <v>2</v>
      </c>
      <c r="G2097" s="2" t="s">
        <v>50</v>
      </c>
      <c r="H2097" s="2" t="n">
        <v>2096</v>
      </c>
      <c r="I2097" s="2" t="s">
        <v>39</v>
      </c>
      <c r="J2097" s="2" t="n">
        <v>1</v>
      </c>
      <c r="K2097" s="2" t="s">
        <v>36</v>
      </c>
      <c r="L2097" s="2" t="s">
        <v>32</v>
      </c>
      <c r="M2097" s="2" t="n">
        <v>42300</v>
      </c>
      <c r="N2097" s="2" t="n">
        <v>0</v>
      </c>
      <c r="O2097" s="2" t="n">
        <v>12</v>
      </c>
      <c r="P2097" s="2" t="n">
        <v>0</v>
      </c>
      <c r="Q2097" s="2" t="n">
        <v>15</v>
      </c>
      <c r="R2097" s="2" t="n">
        <v>0</v>
      </c>
      <c r="S2097" s="2" t="n">
        <v>14</v>
      </c>
      <c r="T2097" s="2" t="n">
        <v>4</v>
      </c>
      <c r="U2097" s="2" t="n">
        <v>10</v>
      </c>
      <c r="V2097" s="2" t="n">
        <v>1</v>
      </c>
      <c r="W2097" s="2" t="n">
        <v>4</v>
      </c>
      <c r="X2097" s="2" t="n">
        <v>3</v>
      </c>
      <c r="Y2097" s="2" t="n">
        <v>3</v>
      </c>
      <c r="Z2097" s="2" t="n">
        <v>3</v>
      </c>
    </row>
    <row r="2098" customFormat="false" ht="15" hidden="false" customHeight="true" outlineLevel="0" collapsed="false">
      <c r="A2098" s="2" t="n">
        <v>40</v>
      </c>
      <c r="B2098" s="2" t="s">
        <v>26</v>
      </c>
      <c r="C2098" s="2" t="s">
        <v>27</v>
      </c>
      <c r="D2098" s="2" t="s">
        <v>35</v>
      </c>
      <c r="E2098" s="2" t="n">
        <v>1</v>
      </c>
      <c r="F2098" s="2" t="n">
        <v>3</v>
      </c>
      <c r="G2098" s="2" t="s">
        <v>43</v>
      </c>
      <c r="H2098" s="2" t="n">
        <v>2097</v>
      </c>
      <c r="I2098" s="2" t="s">
        <v>30</v>
      </c>
      <c r="J2098" s="2" t="n">
        <v>2</v>
      </c>
      <c r="K2098" s="2" t="s">
        <v>36</v>
      </c>
      <c r="L2098" s="2" t="s">
        <v>46</v>
      </c>
      <c r="M2098" s="2" t="n">
        <v>37800</v>
      </c>
      <c r="N2098" s="2" t="n">
        <v>7</v>
      </c>
      <c r="O2098" s="2" t="n">
        <v>12</v>
      </c>
      <c r="P2098" s="2" t="n">
        <v>0</v>
      </c>
      <c r="Q2098" s="2" t="n">
        <v>7</v>
      </c>
      <c r="R2098" s="2" t="n">
        <v>2</v>
      </c>
      <c r="S2098" s="2" t="n">
        <v>5</v>
      </c>
      <c r="T2098" s="2" t="n">
        <v>1</v>
      </c>
      <c r="U2098" s="2" t="n">
        <v>3</v>
      </c>
      <c r="V2098" s="2" t="n">
        <v>2</v>
      </c>
      <c r="W2098" s="2" t="n">
        <v>2</v>
      </c>
      <c r="X2098" s="2" t="n">
        <v>4</v>
      </c>
      <c r="Y2098" s="2" t="n">
        <v>1</v>
      </c>
      <c r="Z2098" s="2" t="n">
        <v>3</v>
      </c>
    </row>
    <row r="2099" customFormat="false" ht="15" hidden="false" customHeight="true" outlineLevel="0" collapsed="false">
      <c r="A2099" s="2" t="n">
        <v>25</v>
      </c>
      <c r="B2099" s="2" t="s">
        <v>26</v>
      </c>
      <c r="C2099" s="2" t="s">
        <v>27</v>
      </c>
      <c r="D2099" s="2" t="s">
        <v>35</v>
      </c>
      <c r="E2099" s="2" t="n">
        <v>6</v>
      </c>
      <c r="F2099" s="2" t="n">
        <v>2</v>
      </c>
      <c r="G2099" s="2" t="s">
        <v>43</v>
      </c>
      <c r="H2099" s="2" t="n">
        <v>2098</v>
      </c>
      <c r="I2099" s="2" t="s">
        <v>30</v>
      </c>
      <c r="J2099" s="2" t="n">
        <v>1</v>
      </c>
      <c r="K2099" s="2" t="s">
        <v>45</v>
      </c>
      <c r="L2099" s="2" t="s">
        <v>37</v>
      </c>
      <c r="M2099" s="2" t="n">
        <v>27680</v>
      </c>
      <c r="N2099" s="2" t="n">
        <v>0</v>
      </c>
      <c r="O2099" s="2" t="n">
        <v>22</v>
      </c>
      <c r="P2099" s="2" t="n">
        <v>1</v>
      </c>
      <c r="Q2099" s="2" t="n">
        <v>5</v>
      </c>
      <c r="R2099" s="2" t="n">
        <v>0</v>
      </c>
      <c r="S2099" s="2" t="n">
        <v>4</v>
      </c>
      <c r="T2099" s="2" t="n">
        <v>1</v>
      </c>
      <c r="U2099" s="2" t="n">
        <v>1</v>
      </c>
      <c r="V2099" s="2" t="n">
        <v>3</v>
      </c>
      <c r="W2099" s="2" t="n">
        <v>4</v>
      </c>
      <c r="X2099" s="2" t="n">
        <v>3</v>
      </c>
      <c r="Y2099" s="2" t="n">
        <v>3</v>
      </c>
      <c r="Z2099" s="2" t="n">
        <v>4</v>
      </c>
    </row>
    <row r="2100" customFormat="false" ht="15" hidden="false" customHeight="true" outlineLevel="0" collapsed="false">
      <c r="A2100" s="2" t="n">
        <v>30</v>
      </c>
      <c r="B2100" s="2" t="s">
        <v>26</v>
      </c>
      <c r="C2100" s="2" t="s">
        <v>27</v>
      </c>
      <c r="D2100" s="2" t="s">
        <v>28</v>
      </c>
      <c r="E2100" s="2" t="n">
        <v>9</v>
      </c>
      <c r="F2100" s="2" t="n">
        <v>3</v>
      </c>
      <c r="G2100" s="2" t="s">
        <v>50</v>
      </c>
      <c r="H2100" s="2" t="n">
        <v>2099</v>
      </c>
      <c r="I2100" s="2" t="s">
        <v>30</v>
      </c>
      <c r="J2100" s="2" t="n">
        <v>1</v>
      </c>
      <c r="K2100" s="2" t="s">
        <v>36</v>
      </c>
      <c r="L2100" s="2" t="s">
        <v>32</v>
      </c>
      <c r="M2100" s="2" t="n">
        <v>90710</v>
      </c>
      <c r="N2100" s="2" t="n">
        <v>0</v>
      </c>
      <c r="O2100" s="2" t="n">
        <v>19</v>
      </c>
      <c r="P2100" s="2" t="n">
        <v>1</v>
      </c>
      <c r="Q2100" s="2" t="n">
        <v>12</v>
      </c>
      <c r="R2100" s="2" t="n">
        <v>2</v>
      </c>
      <c r="S2100" s="2" t="n">
        <v>11</v>
      </c>
      <c r="T2100" s="2" t="n">
        <v>5</v>
      </c>
      <c r="U2100" s="2" t="n">
        <v>7</v>
      </c>
      <c r="V2100" s="2" t="n">
        <v>4</v>
      </c>
      <c r="W2100" s="2" t="n">
        <v>2</v>
      </c>
      <c r="X2100" s="2" t="n">
        <v>3</v>
      </c>
      <c r="Y2100" s="2" t="n">
        <v>2</v>
      </c>
      <c r="Z2100" s="2" t="n">
        <v>3</v>
      </c>
    </row>
    <row r="2101" customFormat="false" ht="15" hidden="false" customHeight="true" outlineLevel="0" collapsed="false">
      <c r="A2101" s="2" t="n">
        <v>42</v>
      </c>
      <c r="B2101" s="2" t="s">
        <v>26</v>
      </c>
      <c r="C2101" s="2" t="s">
        <v>34</v>
      </c>
      <c r="D2101" s="2" t="s">
        <v>42</v>
      </c>
      <c r="E2101" s="2" t="n">
        <v>8</v>
      </c>
      <c r="F2101" s="2" t="n">
        <v>2</v>
      </c>
      <c r="G2101" s="2" t="s">
        <v>43</v>
      </c>
      <c r="H2101" s="2" t="n">
        <v>2100</v>
      </c>
      <c r="I2101" s="2" t="s">
        <v>39</v>
      </c>
      <c r="J2101" s="2" t="n">
        <v>1</v>
      </c>
      <c r="K2101" s="2" t="s">
        <v>40</v>
      </c>
      <c r="L2101" s="2" t="s">
        <v>32</v>
      </c>
      <c r="M2101" s="2" t="n">
        <v>106480</v>
      </c>
      <c r="N2101" s="2" t="n">
        <v>3</v>
      </c>
      <c r="O2101" s="2" t="n">
        <v>13</v>
      </c>
      <c r="P2101" s="2" t="n">
        <v>1</v>
      </c>
      <c r="Q2101" s="2" t="n">
        <v>20</v>
      </c>
      <c r="R2101" s="2" t="n">
        <v>1</v>
      </c>
      <c r="S2101" s="2" t="n">
        <v>1</v>
      </c>
      <c r="T2101" s="2" t="n">
        <v>0</v>
      </c>
      <c r="U2101" s="2" t="n">
        <v>0</v>
      </c>
      <c r="V2101" s="2" t="n">
        <v>1</v>
      </c>
      <c r="W2101" s="2" t="n">
        <v>1</v>
      </c>
      <c r="X2101" s="2" t="n">
        <v>3</v>
      </c>
      <c r="Y2101" s="2" t="n">
        <v>3</v>
      </c>
      <c r="Z2101" s="2" t="n">
        <v>3</v>
      </c>
    </row>
    <row r="2102" customFormat="false" ht="15" hidden="false" customHeight="true" outlineLevel="0" collapsed="false">
      <c r="A2102" s="2" t="n">
        <v>35</v>
      </c>
      <c r="B2102" s="2" t="s">
        <v>26</v>
      </c>
      <c r="C2102" s="2" t="s">
        <v>41</v>
      </c>
      <c r="D2102" s="2" t="s">
        <v>35</v>
      </c>
      <c r="E2102" s="2" t="n">
        <v>1</v>
      </c>
      <c r="F2102" s="2" t="n">
        <v>1</v>
      </c>
      <c r="G2102" s="2" t="s">
        <v>29</v>
      </c>
      <c r="H2102" s="2" t="n">
        <v>2101</v>
      </c>
      <c r="I2102" s="2" t="s">
        <v>39</v>
      </c>
      <c r="J2102" s="2" t="n">
        <v>2</v>
      </c>
      <c r="K2102" s="2" t="s">
        <v>40</v>
      </c>
      <c r="L2102" s="2" t="s">
        <v>32</v>
      </c>
      <c r="M2102" s="2" t="n">
        <v>136100</v>
      </c>
      <c r="N2102" s="2" t="n">
        <v>4</v>
      </c>
      <c r="O2102" s="2" t="n">
        <v>22</v>
      </c>
      <c r="P2102" s="2" t="n">
        <v>2</v>
      </c>
      <c r="Q2102" s="2" t="n">
        <v>16</v>
      </c>
      <c r="R2102" s="2" t="n">
        <v>4</v>
      </c>
      <c r="S2102" s="2" t="n">
        <v>13</v>
      </c>
      <c r="T2102" s="2" t="n">
        <v>4</v>
      </c>
      <c r="U2102" s="2" t="n">
        <v>12</v>
      </c>
      <c r="V2102" s="2" t="n">
        <v>3</v>
      </c>
      <c r="W2102" s="2" t="n">
        <v>4</v>
      </c>
      <c r="X2102" s="2" t="n">
        <v>2</v>
      </c>
      <c r="Y2102" s="2" t="n">
        <v>2</v>
      </c>
      <c r="Z2102" s="2" t="n">
        <v>4</v>
      </c>
    </row>
    <row r="2103" customFormat="false" ht="15" hidden="false" customHeight="true" outlineLevel="0" collapsed="false">
      <c r="A2103" s="2" t="n">
        <v>27</v>
      </c>
      <c r="B2103" s="2" t="s">
        <v>26</v>
      </c>
      <c r="C2103" s="2" t="s">
        <v>27</v>
      </c>
      <c r="D2103" s="2" t="s">
        <v>35</v>
      </c>
      <c r="E2103" s="2" t="n">
        <v>7</v>
      </c>
      <c r="F2103" s="2" t="n">
        <v>3</v>
      </c>
      <c r="G2103" s="2" t="s">
        <v>29</v>
      </c>
      <c r="H2103" s="2" t="n">
        <v>2102</v>
      </c>
      <c r="I2103" s="2" t="s">
        <v>39</v>
      </c>
      <c r="J2103" s="2" t="n">
        <v>3</v>
      </c>
      <c r="K2103" s="2" t="s">
        <v>47</v>
      </c>
      <c r="L2103" s="2" t="s">
        <v>32</v>
      </c>
      <c r="M2103" s="2" t="n">
        <v>34080</v>
      </c>
      <c r="N2103" s="2" t="n">
        <v>1</v>
      </c>
      <c r="O2103" s="2" t="n">
        <v>24</v>
      </c>
      <c r="P2103" s="2" t="n">
        <v>0</v>
      </c>
      <c r="Q2103" s="2" t="n">
        <v>9</v>
      </c>
      <c r="R2103" s="2" t="n">
        <v>2</v>
      </c>
      <c r="S2103" s="2" t="n">
        <v>9</v>
      </c>
      <c r="T2103" s="2" t="n">
        <v>6</v>
      </c>
      <c r="U2103" s="2" t="n">
        <v>8</v>
      </c>
      <c r="V2103" s="2" t="n">
        <v>1</v>
      </c>
      <c r="W2103" s="2" t="n">
        <v>1</v>
      </c>
      <c r="X2103" s="2" t="n">
        <v>2</v>
      </c>
      <c r="Y2103" s="2" t="n">
        <v>3</v>
      </c>
      <c r="Z2103" s="2" t="n">
        <v>4</v>
      </c>
    </row>
    <row r="2104" customFormat="false" ht="15" hidden="false" customHeight="true" outlineLevel="0" collapsed="false">
      <c r="A2104" s="2" t="n">
        <v>54</v>
      </c>
      <c r="B2104" s="2" t="s">
        <v>26</v>
      </c>
      <c r="C2104" s="2" t="s">
        <v>34</v>
      </c>
      <c r="D2104" s="2" t="s">
        <v>35</v>
      </c>
      <c r="E2104" s="2" t="n">
        <v>9</v>
      </c>
      <c r="F2104" s="2" t="n">
        <v>2</v>
      </c>
      <c r="G2104" s="2" t="s">
        <v>43</v>
      </c>
      <c r="H2104" s="2" t="n">
        <v>2103</v>
      </c>
      <c r="I2104" s="2" t="s">
        <v>39</v>
      </c>
      <c r="J2104" s="2" t="n">
        <v>2</v>
      </c>
      <c r="K2104" s="2" t="s">
        <v>48</v>
      </c>
      <c r="L2104" s="2" t="s">
        <v>46</v>
      </c>
      <c r="M2104" s="2" t="n">
        <v>29830</v>
      </c>
      <c r="N2104" s="2" t="n">
        <v>7</v>
      </c>
      <c r="O2104" s="2" t="n">
        <v>14</v>
      </c>
      <c r="P2104" s="2" t="n">
        <v>1</v>
      </c>
      <c r="Q2104" s="2" t="n">
        <v>33</v>
      </c>
      <c r="R2104" s="2" t="n">
        <v>2</v>
      </c>
      <c r="S2104" s="2" t="n">
        <v>5</v>
      </c>
      <c r="T2104" s="2" t="n">
        <v>1</v>
      </c>
      <c r="U2104" s="2" t="n">
        <v>4</v>
      </c>
      <c r="V2104" s="2" t="n">
        <v>4</v>
      </c>
      <c r="W2104" s="2" t="n">
        <v>3</v>
      </c>
      <c r="X2104" s="2" t="n">
        <v>1</v>
      </c>
      <c r="Y2104" s="2" t="n">
        <v>2</v>
      </c>
      <c r="Z2104" s="2" t="n">
        <v>3</v>
      </c>
    </row>
    <row r="2105" customFormat="false" ht="15" hidden="false" customHeight="true" outlineLevel="0" collapsed="false">
      <c r="A2105" s="2" t="n">
        <v>44</v>
      </c>
      <c r="B2105" s="2" t="s">
        <v>26</v>
      </c>
      <c r="C2105" s="2" t="s">
        <v>27</v>
      </c>
      <c r="D2105" s="2" t="s">
        <v>42</v>
      </c>
      <c r="E2105" s="2" t="n">
        <v>4</v>
      </c>
      <c r="F2105" s="2" t="n">
        <v>4</v>
      </c>
      <c r="G2105" s="2" t="s">
        <v>29</v>
      </c>
      <c r="H2105" s="2" t="n">
        <v>2104</v>
      </c>
      <c r="I2105" s="2" t="s">
        <v>39</v>
      </c>
      <c r="J2105" s="2" t="n">
        <v>5</v>
      </c>
      <c r="K2105" s="2" t="s">
        <v>45</v>
      </c>
      <c r="L2105" s="2" t="s">
        <v>32</v>
      </c>
      <c r="M2105" s="2" t="n">
        <v>76320</v>
      </c>
      <c r="N2105" s="2" t="n">
        <v>1</v>
      </c>
      <c r="O2105" s="2" t="n">
        <v>21</v>
      </c>
      <c r="P2105" s="2" t="n">
        <v>0</v>
      </c>
      <c r="Q2105" s="2" t="n">
        <v>10</v>
      </c>
      <c r="R2105" s="2" t="n">
        <v>3</v>
      </c>
      <c r="S2105" s="2" t="n">
        <v>10</v>
      </c>
      <c r="T2105" s="2" t="n">
        <v>7</v>
      </c>
      <c r="U2105" s="2" t="n">
        <v>7</v>
      </c>
      <c r="V2105" s="2" t="n">
        <v>1</v>
      </c>
      <c r="W2105" s="2" t="n">
        <v>4</v>
      </c>
      <c r="X2105" s="2" t="n">
        <v>3</v>
      </c>
      <c r="Y2105" s="2" t="n">
        <v>3</v>
      </c>
      <c r="Z2105" s="2" t="n">
        <v>4</v>
      </c>
    </row>
    <row r="2106" customFormat="false" ht="15" hidden="false" customHeight="true" outlineLevel="0" collapsed="false">
      <c r="A2106" s="2" t="n">
        <v>19</v>
      </c>
      <c r="B2106" s="2" t="s">
        <v>33</v>
      </c>
      <c r="C2106" s="2" t="s">
        <v>41</v>
      </c>
      <c r="D2106" s="2" t="s">
        <v>28</v>
      </c>
      <c r="E2106" s="2" t="n">
        <v>2</v>
      </c>
      <c r="F2106" s="2" t="n">
        <v>2</v>
      </c>
      <c r="G2106" s="2" t="s">
        <v>38</v>
      </c>
      <c r="H2106" s="2" t="n">
        <v>2105</v>
      </c>
      <c r="I2106" s="2" t="s">
        <v>39</v>
      </c>
      <c r="J2106" s="2" t="n">
        <v>3</v>
      </c>
      <c r="K2106" s="2" t="s">
        <v>31</v>
      </c>
      <c r="L2106" s="2" t="s">
        <v>37</v>
      </c>
      <c r="M2106" s="2" t="n">
        <v>98240</v>
      </c>
      <c r="N2106" s="2" t="n">
        <v>1</v>
      </c>
      <c r="O2106" s="2" t="n">
        <v>18</v>
      </c>
      <c r="P2106" s="2" t="n">
        <v>0</v>
      </c>
      <c r="Q2106" s="2" t="n">
        <v>1</v>
      </c>
      <c r="R2106" s="2" t="n">
        <v>2</v>
      </c>
      <c r="S2106" s="2" t="n">
        <v>1</v>
      </c>
      <c r="T2106" s="2" t="n">
        <v>0</v>
      </c>
      <c r="U2106" s="2" t="n">
        <v>0</v>
      </c>
      <c r="V2106" s="2" t="n">
        <v>1</v>
      </c>
      <c r="W2106" s="2" t="n">
        <v>2</v>
      </c>
      <c r="X2106" s="2" t="n">
        <v>4</v>
      </c>
      <c r="Y2106" s="2" t="n">
        <v>3</v>
      </c>
      <c r="Z2106" s="2" t="n">
        <v>3</v>
      </c>
    </row>
    <row r="2107" customFormat="false" ht="15" hidden="false" customHeight="true" outlineLevel="0" collapsed="false">
      <c r="A2107" s="2" t="n">
        <v>29</v>
      </c>
      <c r="B2107" s="2" t="s">
        <v>26</v>
      </c>
      <c r="C2107" s="2" t="s">
        <v>27</v>
      </c>
      <c r="D2107" s="2" t="s">
        <v>35</v>
      </c>
      <c r="E2107" s="2" t="n">
        <v>19</v>
      </c>
      <c r="F2107" s="2" t="n">
        <v>4</v>
      </c>
      <c r="G2107" s="2" t="s">
        <v>29</v>
      </c>
      <c r="H2107" s="2" t="n">
        <v>2106</v>
      </c>
      <c r="I2107" s="2" t="s">
        <v>39</v>
      </c>
      <c r="J2107" s="2" t="n">
        <v>1</v>
      </c>
      <c r="K2107" s="2" t="s">
        <v>47</v>
      </c>
      <c r="L2107" s="2" t="s">
        <v>46</v>
      </c>
      <c r="M2107" s="2" t="n">
        <v>99500</v>
      </c>
      <c r="N2107" s="2" t="n">
        <v>1</v>
      </c>
      <c r="O2107" s="2" t="n">
        <v>20</v>
      </c>
      <c r="P2107" s="2" t="n">
        <v>0</v>
      </c>
      <c r="Q2107" s="2" t="n">
        <v>3</v>
      </c>
      <c r="R2107" s="2" t="n">
        <v>3</v>
      </c>
      <c r="S2107" s="2" t="n">
        <v>3</v>
      </c>
      <c r="T2107" s="2" t="n">
        <v>1</v>
      </c>
      <c r="U2107" s="2" t="n">
        <v>2</v>
      </c>
      <c r="V2107" s="2" t="n">
        <v>1</v>
      </c>
      <c r="W2107" s="2" t="n">
        <v>4</v>
      </c>
      <c r="X2107" s="2" t="n">
        <v>3</v>
      </c>
      <c r="Y2107" s="2" t="n">
        <v>3</v>
      </c>
      <c r="Z2107" s="2" t="n">
        <v>4</v>
      </c>
    </row>
    <row r="2108" customFormat="false" ht="15" hidden="false" customHeight="true" outlineLevel="0" collapsed="false">
      <c r="A2108" s="2" t="n">
        <v>54</v>
      </c>
      <c r="B2108" s="2" t="s">
        <v>26</v>
      </c>
      <c r="C2108" s="2" t="s">
        <v>27</v>
      </c>
      <c r="D2108" s="2" t="s">
        <v>35</v>
      </c>
      <c r="E2108" s="2" t="n">
        <v>9</v>
      </c>
      <c r="F2108" s="2" t="n">
        <v>4</v>
      </c>
      <c r="G2108" s="2" t="s">
        <v>29</v>
      </c>
      <c r="H2108" s="2" t="n">
        <v>2107</v>
      </c>
      <c r="I2108" s="2" t="s">
        <v>39</v>
      </c>
      <c r="J2108" s="2" t="n">
        <v>2</v>
      </c>
      <c r="K2108" s="2" t="s">
        <v>40</v>
      </c>
      <c r="L2108" s="2" t="s">
        <v>32</v>
      </c>
      <c r="M2108" s="2" t="n">
        <v>20930</v>
      </c>
      <c r="N2108" s="2" t="n">
        <v>3</v>
      </c>
      <c r="O2108" s="2" t="n">
        <v>19</v>
      </c>
      <c r="P2108" s="2" t="n">
        <v>0</v>
      </c>
      <c r="Q2108" s="2" t="n">
        <v>36</v>
      </c>
      <c r="R2108" s="2" t="n">
        <v>2</v>
      </c>
      <c r="S2108" s="2" t="n">
        <v>10</v>
      </c>
      <c r="T2108" s="2" t="n">
        <v>0</v>
      </c>
      <c r="U2108" s="2" t="n">
        <v>9</v>
      </c>
      <c r="V2108" s="2" t="n">
        <v>4</v>
      </c>
      <c r="W2108" s="2" t="n">
        <v>4</v>
      </c>
      <c r="X2108" s="2" t="n">
        <v>3</v>
      </c>
      <c r="Y2108" s="2" t="n">
        <v>3</v>
      </c>
      <c r="Z2108" s="2" t="n">
        <v>3</v>
      </c>
    </row>
    <row r="2109" customFormat="false" ht="15" hidden="false" customHeight="true" outlineLevel="0" collapsed="false">
      <c r="A2109" s="2" t="n">
        <v>31</v>
      </c>
      <c r="B2109" s="2" t="s">
        <v>26</v>
      </c>
      <c r="C2109" s="2" t="s">
        <v>27</v>
      </c>
      <c r="D2109" s="2" t="s">
        <v>35</v>
      </c>
      <c r="E2109" s="2" t="n">
        <v>21</v>
      </c>
      <c r="F2109" s="2" t="n">
        <v>3</v>
      </c>
      <c r="G2109" s="2" t="s">
        <v>29</v>
      </c>
      <c r="H2109" s="2" t="n">
        <v>2108</v>
      </c>
      <c r="I2109" s="2" t="s">
        <v>39</v>
      </c>
      <c r="J2109" s="2" t="n">
        <v>2</v>
      </c>
      <c r="K2109" s="2" t="s">
        <v>45</v>
      </c>
      <c r="L2109" s="2" t="s">
        <v>32</v>
      </c>
      <c r="M2109" s="2" t="n">
        <v>99800</v>
      </c>
      <c r="N2109" s="2" t="n">
        <v>1</v>
      </c>
      <c r="O2109" s="2" t="n">
        <v>12</v>
      </c>
      <c r="P2109" s="2" t="n">
        <v>0</v>
      </c>
      <c r="Q2109" s="2" t="n">
        <v>6</v>
      </c>
      <c r="R2109" s="2" t="n">
        <v>1</v>
      </c>
      <c r="S2109" s="2" t="n">
        <v>6</v>
      </c>
      <c r="T2109" s="2" t="n">
        <v>0</v>
      </c>
      <c r="U2109" s="2" t="n">
        <v>1</v>
      </c>
      <c r="V2109" s="2" t="n">
        <v>3</v>
      </c>
      <c r="W2109" s="2" t="n">
        <v>1</v>
      </c>
      <c r="X2109" s="2" t="n">
        <v>2</v>
      </c>
      <c r="Y2109" s="2" t="n">
        <v>3</v>
      </c>
      <c r="Z2109" s="2" t="n">
        <v>3</v>
      </c>
    </row>
    <row r="2110" customFormat="false" ht="15" hidden="false" customHeight="true" outlineLevel="0" collapsed="false">
      <c r="A2110" s="2" t="n">
        <v>31</v>
      </c>
      <c r="B2110" s="2" t="s">
        <v>26</v>
      </c>
      <c r="C2110" s="2" t="s">
        <v>27</v>
      </c>
      <c r="D2110" s="2" t="s">
        <v>28</v>
      </c>
      <c r="E2110" s="2" t="n">
        <v>24</v>
      </c>
      <c r="F2110" s="2" t="n">
        <v>1</v>
      </c>
      <c r="G2110" s="2" t="s">
        <v>50</v>
      </c>
      <c r="H2110" s="2" t="n">
        <v>2109</v>
      </c>
      <c r="I2110" s="2" t="s">
        <v>30</v>
      </c>
      <c r="J2110" s="2" t="n">
        <v>1</v>
      </c>
      <c r="K2110" s="2" t="s">
        <v>40</v>
      </c>
      <c r="L2110" s="2" t="s">
        <v>37</v>
      </c>
      <c r="M2110" s="2" t="n">
        <v>38940</v>
      </c>
      <c r="N2110" s="2" t="n">
        <v>1</v>
      </c>
      <c r="O2110" s="2" t="n">
        <v>12</v>
      </c>
      <c r="P2110" s="2" t="n">
        <v>0</v>
      </c>
      <c r="Q2110" s="2" t="n">
        <v>10</v>
      </c>
      <c r="R2110" s="2" t="n">
        <v>3</v>
      </c>
      <c r="S2110" s="2" t="n">
        <v>10</v>
      </c>
      <c r="T2110" s="2" t="n">
        <v>1</v>
      </c>
      <c r="U2110" s="2" t="n">
        <v>8</v>
      </c>
      <c r="V2110" s="2" t="n">
        <v>3</v>
      </c>
      <c r="W2110" s="2" t="n">
        <v>1</v>
      </c>
      <c r="X2110" s="2" t="n">
        <v>3</v>
      </c>
      <c r="Y2110" s="2" t="n">
        <v>4</v>
      </c>
      <c r="Z2110" s="2" t="n">
        <v>3</v>
      </c>
    </row>
    <row r="2111" customFormat="false" ht="15" hidden="false" customHeight="true" outlineLevel="0" collapsed="false">
      <c r="A2111" s="2" t="n">
        <v>59</v>
      </c>
      <c r="B2111" s="2" t="s">
        <v>26</v>
      </c>
      <c r="C2111" s="2" t="s">
        <v>27</v>
      </c>
      <c r="D2111" s="2" t="s">
        <v>35</v>
      </c>
      <c r="E2111" s="2" t="n">
        <v>3</v>
      </c>
      <c r="F2111" s="2" t="n">
        <v>4</v>
      </c>
      <c r="G2111" s="2" t="s">
        <v>51</v>
      </c>
      <c r="H2111" s="2" t="n">
        <v>2110</v>
      </c>
      <c r="I2111" s="2" t="s">
        <v>39</v>
      </c>
      <c r="J2111" s="2" t="n">
        <v>1</v>
      </c>
      <c r="K2111" s="2" t="s">
        <v>36</v>
      </c>
      <c r="L2111" s="2" t="s">
        <v>37</v>
      </c>
      <c r="M2111" s="2" t="n">
        <v>40510</v>
      </c>
      <c r="N2111" s="2" t="n">
        <v>5</v>
      </c>
      <c r="O2111" s="2" t="n">
        <v>16</v>
      </c>
      <c r="P2111" s="2" t="n">
        <v>3</v>
      </c>
      <c r="Q2111" s="2" t="n">
        <v>13</v>
      </c>
      <c r="R2111" s="2" t="n">
        <v>3</v>
      </c>
      <c r="S2111" s="2" t="n">
        <v>6</v>
      </c>
      <c r="T2111" s="2" t="n">
        <v>0</v>
      </c>
      <c r="U2111" s="2" t="n">
        <v>5</v>
      </c>
      <c r="V2111" s="2" t="n">
        <v>3</v>
      </c>
      <c r="W2111" s="2" t="n">
        <v>4</v>
      </c>
      <c r="X2111" s="2" t="n">
        <v>3</v>
      </c>
      <c r="Y2111" s="2" t="n">
        <v>3</v>
      </c>
      <c r="Z2111" s="2" t="n">
        <v>3</v>
      </c>
    </row>
    <row r="2112" customFormat="false" ht="15" hidden="false" customHeight="true" outlineLevel="0" collapsed="false">
      <c r="A2112" s="2" t="n">
        <v>43</v>
      </c>
      <c r="B2112" s="2" t="s">
        <v>26</v>
      </c>
      <c r="C2112" s="2" t="s">
        <v>27</v>
      </c>
      <c r="D2112" s="2" t="s">
        <v>35</v>
      </c>
      <c r="E2112" s="2" t="n">
        <v>11</v>
      </c>
      <c r="F2112" s="2" t="n">
        <v>2</v>
      </c>
      <c r="G2112" s="2" t="s">
        <v>29</v>
      </c>
      <c r="H2112" s="2" t="n">
        <v>2111</v>
      </c>
      <c r="I2112" s="2" t="s">
        <v>39</v>
      </c>
      <c r="J2112" s="2" t="n">
        <v>3</v>
      </c>
      <c r="K2112" s="2" t="s">
        <v>45</v>
      </c>
      <c r="L2112" s="2" t="s">
        <v>32</v>
      </c>
      <c r="M2112" s="2" t="n">
        <v>168350</v>
      </c>
      <c r="N2112" s="2" t="n">
        <v>3</v>
      </c>
      <c r="O2112" s="2" t="n">
        <v>17</v>
      </c>
      <c r="P2112" s="2" t="n">
        <v>1</v>
      </c>
      <c r="Q2112" s="2" t="n">
        <v>25</v>
      </c>
      <c r="R2112" s="2" t="n">
        <v>3</v>
      </c>
      <c r="S2112" s="2" t="n">
        <v>8</v>
      </c>
      <c r="T2112" s="2" t="n">
        <v>0</v>
      </c>
      <c r="U2112" s="2" t="n">
        <v>7</v>
      </c>
      <c r="V2112" s="2" t="n">
        <v>3</v>
      </c>
      <c r="W2112" s="2" t="n">
        <v>4</v>
      </c>
      <c r="X2112" s="2" t="n">
        <v>3</v>
      </c>
      <c r="Y2112" s="2" t="n">
        <v>3</v>
      </c>
      <c r="Z2112" s="2" t="n">
        <v>3</v>
      </c>
    </row>
    <row r="2113" customFormat="false" ht="15" hidden="false" customHeight="true" outlineLevel="0" collapsed="false">
      <c r="A2113" s="2" t="n">
        <v>49</v>
      </c>
      <c r="B2113" s="2" t="s">
        <v>26</v>
      </c>
      <c r="C2113" s="2" t="s">
        <v>27</v>
      </c>
      <c r="D2113" s="2" t="s">
        <v>28</v>
      </c>
      <c r="E2113" s="2" t="n">
        <v>14</v>
      </c>
      <c r="F2113" s="2" t="n">
        <v>4</v>
      </c>
      <c r="G2113" s="2" t="s">
        <v>29</v>
      </c>
      <c r="H2113" s="2" t="n">
        <v>2112</v>
      </c>
      <c r="I2113" s="2" t="s">
        <v>39</v>
      </c>
      <c r="J2113" s="2" t="n">
        <v>2</v>
      </c>
      <c r="K2113" s="2" t="s">
        <v>36</v>
      </c>
      <c r="L2113" s="2" t="s">
        <v>32</v>
      </c>
      <c r="M2113" s="2" t="n">
        <v>62300</v>
      </c>
      <c r="N2113" s="2" t="n">
        <v>2</v>
      </c>
      <c r="O2113" s="2" t="n">
        <v>14</v>
      </c>
      <c r="P2113" s="2" t="n">
        <v>0</v>
      </c>
      <c r="Q2113" s="2" t="n">
        <v>23</v>
      </c>
      <c r="R2113" s="2" t="n">
        <v>2</v>
      </c>
      <c r="S2113" s="2" t="n">
        <v>1</v>
      </c>
      <c r="T2113" s="2" t="n">
        <v>0</v>
      </c>
      <c r="U2113" s="2" t="n">
        <v>0</v>
      </c>
      <c r="V2113" s="2" t="n">
        <v>1</v>
      </c>
      <c r="W2113" s="2" t="n">
        <v>3</v>
      </c>
      <c r="X2113" s="2" t="n">
        <v>4</v>
      </c>
      <c r="Y2113" s="2" t="n">
        <v>2</v>
      </c>
      <c r="Z2113" s="2" t="n">
        <v>3</v>
      </c>
    </row>
    <row r="2114" customFormat="false" ht="15" hidden="false" customHeight="true" outlineLevel="0" collapsed="false">
      <c r="A2114" s="2" t="n">
        <v>36</v>
      </c>
      <c r="B2114" s="2" t="s">
        <v>26</v>
      </c>
      <c r="C2114" s="2" t="s">
        <v>34</v>
      </c>
      <c r="D2114" s="2" t="s">
        <v>28</v>
      </c>
      <c r="E2114" s="2" t="n">
        <v>5</v>
      </c>
      <c r="F2114" s="2" t="n">
        <v>2</v>
      </c>
      <c r="G2114" s="2" t="s">
        <v>50</v>
      </c>
      <c r="H2114" s="2" t="n">
        <v>2113</v>
      </c>
      <c r="I2114" s="2" t="s">
        <v>30</v>
      </c>
      <c r="J2114" s="2" t="n">
        <v>1</v>
      </c>
      <c r="K2114" s="2" t="s">
        <v>45</v>
      </c>
      <c r="L2114" s="2" t="s">
        <v>32</v>
      </c>
      <c r="M2114" s="2" t="n">
        <v>47170</v>
      </c>
      <c r="N2114" s="2" t="n">
        <v>1</v>
      </c>
      <c r="O2114" s="2" t="n">
        <v>19</v>
      </c>
      <c r="P2114" s="2" t="n">
        <v>1</v>
      </c>
      <c r="Q2114" s="2" t="n">
        <v>12</v>
      </c>
      <c r="R2114" s="2" t="n">
        <v>3</v>
      </c>
      <c r="S2114" s="2" t="n">
        <v>11</v>
      </c>
      <c r="T2114" s="2" t="n">
        <v>0</v>
      </c>
      <c r="U2114" s="2" t="n">
        <v>7</v>
      </c>
      <c r="V2114" s="2" t="n">
        <v>3</v>
      </c>
      <c r="W2114" s="2" t="n">
        <v>2</v>
      </c>
      <c r="X2114" s="2" t="n">
        <v>2</v>
      </c>
      <c r="Y2114" s="2" t="n">
        <v>3</v>
      </c>
      <c r="Z2114" s="2" t="n">
        <v>3</v>
      </c>
    </row>
    <row r="2115" customFormat="false" ht="15" hidden="false" customHeight="true" outlineLevel="0" collapsed="false">
      <c r="A2115" s="2" t="n">
        <v>48</v>
      </c>
      <c r="B2115" s="2" t="s">
        <v>26</v>
      </c>
      <c r="C2115" s="2" t="s">
        <v>27</v>
      </c>
      <c r="D2115" s="2" t="s">
        <v>35</v>
      </c>
      <c r="E2115" s="2" t="n">
        <v>1</v>
      </c>
      <c r="F2115" s="2" t="n">
        <v>4</v>
      </c>
      <c r="G2115" s="2" t="s">
        <v>29</v>
      </c>
      <c r="H2115" s="2" t="n">
        <v>2114</v>
      </c>
      <c r="I2115" s="2" t="s">
        <v>30</v>
      </c>
      <c r="J2115" s="2" t="n">
        <v>2</v>
      </c>
      <c r="K2115" s="2" t="s">
        <v>45</v>
      </c>
      <c r="L2115" s="2" t="s">
        <v>37</v>
      </c>
      <c r="M2115" s="2" t="n">
        <v>132370</v>
      </c>
      <c r="N2115" s="2" t="n">
        <v>5</v>
      </c>
      <c r="O2115" s="2" t="n">
        <v>13</v>
      </c>
      <c r="P2115" s="2" t="n">
        <v>1</v>
      </c>
      <c r="Q2115" s="2" t="n">
        <v>7</v>
      </c>
      <c r="R2115" s="2" t="n">
        <v>2</v>
      </c>
      <c r="S2115" s="2" t="n">
        <v>1</v>
      </c>
      <c r="T2115" s="2" t="n">
        <v>0</v>
      </c>
      <c r="U2115" s="2" t="n">
        <v>0</v>
      </c>
      <c r="V2115" s="2" t="n">
        <v>4</v>
      </c>
      <c r="W2115" s="2" t="n">
        <v>2</v>
      </c>
      <c r="X2115" s="2" t="n">
        <v>2</v>
      </c>
      <c r="Y2115" s="2" t="n">
        <v>4</v>
      </c>
      <c r="Z2115" s="2" t="n">
        <v>3</v>
      </c>
    </row>
    <row r="2116" customFormat="false" ht="15" hidden="false" customHeight="true" outlineLevel="0" collapsed="false">
      <c r="A2116" s="2" t="n">
        <v>27</v>
      </c>
      <c r="B2116" s="2" t="s">
        <v>26</v>
      </c>
      <c r="C2116" s="2" t="s">
        <v>27</v>
      </c>
      <c r="D2116" s="2" t="s">
        <v>35</v>
      </c>
      <c r="E2116" s="2" t="n">
        <v>6</v>
      </c>
      <c r="F2116" s="2" t="n">
        <v>4</v>
      </c>
      <c r="G2116" s="2" t="s">
        <v>29</v>
      </c>
      <c r="H2116" s="2" t="n">
        <v>2115</v>
      </c>
      <c r="I2116" s="2" t="s">
        <v>39</v>
      </c>
      <c r="J2116" s="2" t="n">
        <v>2</v>
      </c>
      <c r="K2116" s="2" t="s">
        <v>45</v>
      </c>
      <c r="L2116" s="2" t="s">
        <v>46</v>
      </c>
      <c r="M2116" s="2" t="n">
        <v>37550</v>
      </c>
      <c r="N2116" s="2" t="n">
        <v>1</v>
      </c>
      <c r="O2116" s="2" t="n">
        <v>19</v>
      </c>
      <c r="P2116" s="2" t="n">
        <v>0</v>
      </c>
      <c r="Q2116" s="2" t="n">
        <v>5</v>
      </c>
      <c r="R2116" s="2" t="n">
        <v>2</v>
      </c>
      <c r="S2116" s="2" t="n">
        <v>5</v>
      </c>
      <c r="T2116" s="2" t="n">
        <v>0</v>
      </c>
      <c r="U2116" s="2" t="n">
        <v>3</v>
      </c>
      <c r="V2116" s="2" t="n">
        <v>1</v>
      </c>
      <c r="W2116" s="2" t="n">
        <v>3</v>
      </c>
      <c r="X2116" s="2" t="n">
        <v>3</v>
      </c>
      <c r="Y2116" s="2" t="n">
        <v>3</v>
      </c>
      <c r="Z2116" s="2" t="n">
        <v>3</v>
      </c>
    </row>
    <row r="2117" customFormat="false" ht="15" hidden="false" customHeight="true" outlineLevel="0" collapsed="false">
      <c r="A2117" s="2" t="n">
        <v>29</v>
      </c>
      <c r="B2117" s="2" t="s">
        <v>26</v>
      </c>
      <c r="C2117" s="2" t="s">
        <v>27</v>
      </c>
      <c r="D2117" s="2" t="s">
        <v>28</v>
      </c>
      <c r="E2117" s="2" t="n">
        <v>17</v>
      </c>
      <c r="F2117" s="2" t="n">
        <v>4</v>
      </c>
      <c r="G2117" s="2" t="s">
        <v>43</v>
      </c>
      <c r="H2117" s="2" t="n">
        <v>2116</v>
      </c>
      <c r="I2117" s="2" t="s">
        <v>39</v>
      </c>
      <c r="J2117" s="2" t="n">
        <v>1</v>
      </c>
      <c r="K2117" s="2" t="s">
        <v>45</v>
      </c>
      <c r="L2117" s="2" t="s">
        <v>46</v>
      </c>
      <c r="M2117" s="2" t="n">
        <v>65820</v>
      </c>
      <c r="N2117" s="2" t="n">
        <v>1</v>
      </c>
      <c r="O2117" s="2" t="n">
        <v>19</v>
      </c>
      <c r="P2117" s="2" t="n">
        <v>1</v>
      </c>
      <c r="Q2117" s="2" t="n">
        <v>6</v>
      </c>
      <c r="R2117" s="2" t="n">
        <v>3</v>
      </c>
      <c r="S2117" s="2" t="n">
        <v>6</v>
      </c>
      <c r="T2117" s="2" t="n">
        <v>1</v>
      </c>
      <c r="U2117" s="2" t="n">
        <v>0</v>
      </c>
      <c r="V2117" s="2" t="n">
        <v>3</v>
      </c>
      <c r="W2117" s="2" t="n">
        <v>4</v>
      </c>
      <c r="X2117" s="2" t="n">
        <v>3</v>
      </c>
      <c r="Y2117" s="2" t="n">
        <v>3</v>
      </c>
      <c r="Z2117" s="2" t="n">
        <v>3</v>
      </c>
    </row>
    <row r="2118" customFormat="false" ht="15" hidden="false" customHeight="true" outlineLevel="0" collapsed="false">
      <c r="A2118" s="2" t="n">
        <v>48</v>
      </c>
      <c r="B2118" s="2" t="s">
        <v>26</v>
      </c>
      <c r="C2118" s="2" t="s">
        <v>27</v>
      </c>
      <c r="D2118" s="2" t="s">
        <v>28</v>
      </c>
      <c r="E2118" s="2" t="n">
        <v>1</v>
      </c>
      <c r="F2118" s="2" t="n">
        <v>1</v>
      </c>
      <c r="G2118" s="2" t="s">
        <v>50</v>
      </c>
      <c r="H2118" s="2" t="n">
        <v>2117</v>
      </c>
      <c r="I2118" s="2" t="s">
        <v>39</v>
      </c>
      <c r="J2118" s="2" t="n">
        <v>2</v>
      </c>
      <c r="K2118" s="2" t="s">
        <v>47</v>
      </c>
      <c r="L2118" s="2" t="s">
        <v>37</v>
      </c>
      <c r="M2118" s="2" t="n">
        <v>74060</v>
      </c>
      <c r="N2118" s="2" t="n">
        <v>6</v>
      </c>
      <c r="O2118" s="2" t="n">
        <v>14</v>
      </c>
      <c r="P2118" s="2" t="n">
        <v>2</v>
      </c>
      <c r="Q2118" s="2" t="n">
        <v>25</v>
      </c>
      <c r="R2118" s="2" t="n">
        <v>2</v>
      </c>
      <c r="S2118" s="2" t="n">
        <v>1</v>
      </c>
      <c r="T2118" s="2" t="n">
        <v>0</v>
      </c>
      <c r="U2118" s="2" t="n">
        <v>0</v>
      </c>
      <c r="V2118" s="2" t="n">
        <v>4</v>
      </c>
      <c r="W2118" s="2" t="n">
        <v>4</v>
      </c>
      <c r="X2118" s="2" t="n">
        <v>4</v>
      </c>
      <c r="Y2118" s="2" t="n">
        <v>3</v>
      </c>
      <c r="Z2118" s="2" t="n">
        <v>3</v>
      </c>
    </row>
    <row r="2119" customFormat="false" ht="15" hidden="false" customHeight="true" outlineLevel="0" collapsed="false">
      <c r="A2119" s="2" t="n">
        <v>29</v>
      </c>
      <c r="B2119" s="2" t="s">
        <v>26</v>
      </c>
      <c r="C2119" s="2" t="s">
        <v>27</v>
      </c>
      <c r="D2119" s="2" t="s">
        <v>35</v>
      </c>
      <c r="E2119" s="2" t="n">
        <v>3</v>
      </c>
      <c r="F2119" s="2" t="n">
        <v>3</v>
      </c>
      <c r="G2119" s="2" t="s">
        <v>51</v>
      </c>
      <c r="H2119" s="2" t="n">
        <v>2118</v>
      </c>
      <c r="I2119" s="2" t="s">
        <v>30</v>
      </c>
      <c r="J2119" s="2" t="n">
        <v>2</v>
      </c>
      <c r="K2119" s="2" t="s">
        <v>31</v>
      </c>
      <c r="L2119" s="2" t="s">
        <v>46</v>
      </c>
      <c r="M2119" s="2" t="n">
        <v>48050</v>
      </c>
      <c r="N2119" s="2" t="n">
        <v>3</v>
      </c>
      <c r="O2119" s="2" t="n">
        <v>16</v>
      </c>
      <c r="P2119" s="2" t="n">
        <v>1</v>
      </c>
      <c r="Q2119" s="2" t="n">
        <v>9</v>
      </c>
      <c r="R2119" s="2" t="n">
        <v>2</v>
      </c>
      <c r="S2119" s="2" t="n">
        <v>7</v>
      </c>
      <c r="T2119" s="2" t="n">
        <v>1</v>
      </c>
      <c r="U2119" s="2" t="n">
        <v>7</v>
      </c>
      <c r="V2119" s="2" t="n">
        <v>4</v>
      </c>
      <c r="W2119" s="2" t="n">
        <v>4</v>
      </c>
      <c r="X2119" s="2" t="n">
        <v>2</v>
      </c>
      <c r="Y2119" s="2" t="n">
        <v>3</v>
      </c>
      <c r="Z2119" s="2" t="n">
        <v>3</v>
      </c>
    </row>
    <row r="2120" customFormat="false" ht="15" hidden="false" customHeight="true" outlineLevel="0" collapsed="false">
      <c r="A2120" s="2" t="n">
        <v>34</v>
      </c>
      <c r="B2120" s="2" t="s">
        <v>26</v>
      </c>
      <c r="C2120" s="2" t="s">
        <v>27</v>
      </c>
      <c r="D2120" s="2" t="s">
        <v>28</v>
      </c>
      <c r="E2120" s="2" t="n">
        <v>9</v>
      </c>
      <c r="F2120" s="2" t="n">
        <v>4</v>
      </c>
      <c r="G2120" s="2" t="s">
        <v>43</v>
      </c>
      <c r="H2120" s="2" t="n">
        <v>2119</v>
      </c>
      <c r="I2120" s="2" t="s">
        <v>30</v>
      </c>
      <c r="J2120" s="2" t="n">
        <v>2</v>
      </c>
      <c r="K2120" s="2" t="s">
        <v>45</v>
      </c>
      <c r="L2120" s="2" t="s">
        <v>32</v>
      </c>
      <c r="M2120" s="2" t="n">
        <v>27410</v>
      </c>
      <c r="N2120" s="2" t="n">
        <v>0</v>
      </c>
      <c r="O2120" s="2" t="n">
        <v>15</v>
      </c>
      <c r="P2120" s="2" t="n">
        <v>1</v>
      </c>
      <c r="Q2120" s="2" t="n">
        <v>2</v>
      </c>
      <c r="R2120" s="2" t="n">
        <v>3</v>
      </c>
      <c r="S2120" s="2" t="n">
        <v>1</v>
      </c>
      <c r="T2120" s="2" t="n">
        <v>0</v>
      </c>
      <c r="U2120" s="2" t="n">
        <v>0</v>
      </c>
      <c r="V2120" s="2" t="n">
        <v>3</v>
      </c>
      <c r="W2120" s="2" t="n">
        <v>3</v>
      </c>
      <c r="X2120" s="2" t="n">
        <v>2</v>
      </c>
      <c r="Y2120" s="2" t="n">
        <v>3</v>
      </c>
      <c r="Z2120" s="2" t="n">
        <v>3</v>
      </c>
    </row>
    <row r="2121" customFormat="false" ht="15" hidden="false" customHeight="true" outlineLevel="0" collapsed="false">
      <c r="A2121" s="2" t="n">
        <v>44</v>
      </c>
      <c r="B2121" s="2" t="s">
        <v>26</v>
      </c>
      <c r="C2121" s="2" t="s">
        <v>27</v>
      </c>
      <c r="D2121" s="2" t="s">
        <v>35</v>
      </c>
      <c r="E2121" s="2" t="n">
        <v>4</v>
      </c>
      <c r="F2121" s="2" t="n">
        <v>3</v>
      </c>
      <c r="G2121" s="2" t="s">
        <v>29</v>
      </c>
      <c r="H2121" s="2" t="n">
        <v>2120</v>
      </c>
      <c r="I2121" s="2" t="s">
        <v>30</v>
      </c>
      <c r="J2121" s="2" t="n">
        <v>1</v>
      </c>
      <c r="K2121" s="2" t="s">
        <v>45</v>
      </c>
      <c r="L2121" s="2" t="s">
        <v>32</v>
      </c>
      <c r="M2121" s="2" t="n">
        <v>42620</v>
      </c>
      <c r="N2121" s="2" t="n">
        <v>7</v>
      </c>
      <c r="O2121" s="2" t="n">
        <v>18</v>
      </c>
      <c r="P2121" s="2" t="n">
        <v>0</v>
      </c>
      <c r="Q2121" s="2" t="n">
        <v>26</v>
      </c>
      <c r="R2121" s="2" t="n">
        <v>2</v>
      </c>
      <c r="S2121" s="2" t="n">
        <v>22</v>
      </c>
      <c r="T2121" s="2" t="n">
        <v>3</v>
      </c>
      <c r="U2121" s="2" t="n">
        <v>10</v>
      </c>
      <c r="V2121" s="2" t="n">
        <v>2</v>
      </c>
      <c r="W2121" s="2" t="n">
        <v>2</v>
      </c>
      <c r="X2121" s="2" t="n">
        <v>3</v>
      </c>
      <c r="Y2121" s="2" t="n">
        <v>3</v>
      </c>
      <c r="Z2121" s="2" t="n">
        <v>3</v>
      </c>
    </row>
    <row r="2122" customFormat="false" ht="15" hidden="false" customHeight="true" outlineLevel="0" collapsed="false">
      <c r="A2122" s="2" t="n">
        <v>33</v>
      </c>
      <c r="B2122" s="2" t="s">
        <v>26</v>
      </c>
      <c r="C2122" s="2" t="s">
        <v>27</v>
      </c>
      <c r="D2122" s="2" t="s">
        <v>35</v>
      </c>
      <c r="E2122" s="2" t="n">
        <v>8</v>
      </c>
      <c r="F2122" s="2" t="n">
        <v>2</v>
      </c>
      <c r="G2122" s="2" t="s">
        <v>29</v>
      </c>
      <c r="H2122" s="2" t="n">
        <v>2121</v>
      </c>
      <c r="I2122" s="2" t="s">
        <v>30</v>
      </c>
      <c r="J2122" s="2" t="n">
        <v>2</v>
      </c>
      <c r="K2122" s="2" t="s">
        <v>36</v>
      </c>
      <c r="L2122" s="2" t="s">
        <v>46</v>
      </c>
      <c r="M2122" s="2" t="n">
        <v>161840</v>
      </c>
      <c r="N2122" s="2" t="n">
        <v>0</v>
      </c>
      <c r="O2122" s="2" t="n">
        <v>13</v>
      </c>
      <c r="P2122" s="2" t="n">
        <v>1</v>
      </c>
      <c r="Q2122" s="2" t="n">
        <v>10</v>
      </c>
      <c r="R2122" s="2" t="n">
        <v>2</v>
      </c>
      <c r="S2122" s="2" t="n">
        <v>9</v>
      </c>
      <c r="T2122" s="2" t="n">
        <v>0</v>
      </c>
      <c r="U2122" s="2" t="n">
        <v>8</v>
      </c>
      <c r="V2122" s="2" t="n">
        <v>4</v>
      </c>
      <c r="W2122" s="2" t="n">
        <v>3</v>
      </c>
      <c r="X2122" s="2" t="n">
        <v>3</v>
      </c>
      <c r="Y2122" s="2" t="n">
        <v>4</v>
      </c>
      <c r="Z2122" s="2" t="n">
        <v>3</v>
      </c>
    </row>
    <row r="2123" customFormat="false" ht="15" hidden="false" customHeight="true" outlineLevel="0" collapsed="false">
      <c r="A2123" s="2" t="n">
        <v>19</v>
      </c>
      <c r="B2123" s="2" t="s">
        <v>26</v>
      </c>
      <c r="C2123" s="2" t="s">
        <v>27</v>
      </c>
      <c r="D2123" s="2" t="s">
        <v>28</v>
      </c>
      <c r="E2123" s="2" t="n">
        <v>2</v>
      </c>
      <c r="F2123" s="2" t="n">
        <v>4</v>
      </c>
      <c r="G2123" s="2" t="s">
        <v>50</v>
      </c>
      <c r="H2123" s="2" t="n">
        <v>2122</v>
      </c>
      <c r="I2123" s="2" t="s">
        <v>39</v>
      </c>
      <c r="J2123" s="2" t="n">
        <v>3</v>
      </c>
      <c r="K2123" s="2" t="s">
        <v>45</v>
      </c>
      <c r="L2123" s="2" t="s">
        <v>37</v>
      </c>
      <c r="M2123" s="2" t="n">
        <v>115570</v>
      </c>
      <c r="N2123" s="2" t="n">
        <v>1</v>
      </c>
      <c r="O2123" s="2" t="n">
        <v>22</v>
      </c>
      <c r="P2123" s="2" t="n">
        <v>0</v>
      </c>
      <c r="Q2123" s="2" t="n">
        <v>1</v>
      </c>
      <c r="R2123" s="2" t="n">
        <v>0</v>
      </c>
      <c r="S2123" s="2" t="n">
        <v>1</v>
      </c>
      <c r="T2123" s="2" t="n">
        <v>0</v>
      </c>
      <c r="U2123" s="2" t="n">
        <v>1</v>
      </c>
      <c r="V2123" s="2" t="n">
        <v>2</v>
      </c>
      <c r="W2123" s="2" t="n">
        <v>4</v>
      </c>
      <c r="X2123" s="2" t="n">
        <v>3</v>
      </c>
      <c r="Y2123" s="2" t="n">
        <v>3</v>
      </c>
      <c r="Z2123" s="2" t="n">
        <v>4</v>
      </c>
    </row>
    <row r="2124" customFormat="false" ht="15" hidden="false" customHeight="true" outlineLevel="0" collapsed="false">
      <c r="A2124" s="2" t="n">
        <v>23</v>
      </c>
      <c r="B2124" s="2" t="s">
        <v>26</v>
      </c>
      <c r="C2124" s="2" t="s">
        <v>27</v>
      </c>
      <c r="D2124" s="2" t="s">
        <v>28</v>
      </c>
      <c r="E2124" s="2" t="n">
        <v>2</v>
      </c>
      <c r="F2124" s="2" t="n">
        <v>3</v>
      </c>
      <c r="G2124" s="2" t="s">
        <v>43</v>
      </c>
      <c r="H2124" s="2" t="n">
        <v>2123</v>
      </c>
      <c r="I2124" s="2" t="s">
        <v>39</v>
      </c>
      <c r="J2124" s="2" t="n">
        <v>3</v>
      </c>
      <c r="K2124" s="2" t="s">
        <v>45</v>
      </c>
      <c r="L2124" s="2" t="s">
        <v>32</v>
      </c>
      <c r="M2124" s="2" t="n">
        <v>18780</v>
      </c>
      <c r="N2124" s="2" t="n">
        <v>1</v>
      </c>
      <c r="O2124" s="2" t="n">
        <v>13</v>
      </c>
      <c r="P2124" s="2" t="n">
        <v>1</v>
      </c>
      <c r="Q2124" s="2" t="n">
        <v>1</v>
      </c>
      <c r="R2124" s="2" t="n">
        <v>2</v>
      </c>
      <c r="S2124" s="2" t="n">
        <v>1</v>
      </c>
      <c r="T2124" s="2" t="n">
        <v>0</v>
      </c>
      <c r="U2124" s="2" t="n">
        <v>1</v>
      </c>
      <c r="V2124" s="2" t="n">
        <v>4</v>
      </c>
      <c r="W2124" s="2" t="n">
        <v>3</v>
      </c>
      <c r="X2124" s="2" t="n">
        <v>3</v>
      </c>
      <c r="Y2124" s="2" t="n">
        <v>3</v>
      </c>
      <c r="Z2124" s="2" t="n">
        <v>3</v>
      </c>
    </row>
    <row r="2125" customFormat="false" ht="15" hidden="false" customHeight="true" outlineLevel="0" collapsed="false">
      <c r="A2125" s="2" t="n">
        <v>25</v>
      </c>
      <c r="B2125" s="2" t="s">
        <v>33</v>
      </c>
      <c r="C2125" s="2" t="s">
        <v>34</v>
      </c>
      <c r="D2125" s="2" t="s">
        <v>35</v>
      </c>
      <c r="E2125" s="2" t="n">
        <v>1</v>
      </c>
      <c r="F2125" s="2" t="n">
        <v>1</v>
      </c>
      <c r="G2125" s="2" t="s">
        <v>29</v>
      </c>
      <c r="H2125" s="2" t="n">
        <v>2124</v>
      </c>
      <c r="I2125" s="2" t="s">
        <v>39</v>
      </c>
      <c r="J2125" s="2" t="n">
        <v>1</v>
      </c>
      <c r="K2125" s="2" t="s">
        <v>47</v>
      </c>
      <c r="L2125" s="2" t="s">
        <v>37</v>
      </c>
      <c r="M2125" s="2" t="n">
        <v>109320</v>
      </c>
      <c r="N2125" s="2" t="n">
        <v>1</v>
      </c>
      <c r="O2125" s="2" t="n">
        <v>11</v>
      </c>
      <c r="P2125" s="2" t="n">
        <v>1</v>
      </c>
      <c r="Q2125" s="2" t="n">
        <v>1</v>
      </c>
      <c r="R2125" s="2" t="n">
        <v>3</v>
      </c>
      <c r="S2125" s="2" t="n">
        <v>1</v>
      </c>
      <c r="T2125" s="2" t="n">
        <v>1</v>
      </c>
      <c r="U2125" s="2" t="n">
        <v>0</v>
      </c>
      <c r="V2125" s="2" t="n">
        <v>3</v>
      </c>
      <c r="W2125" s="2" t="n">
        <v>4</v>
      </c>
      <c r="X2125" s="2" t="n">
        <v>3</v>
      </c>
      <c r="Y2125" s="2" t="n">
        <v>3</v>
      </c>
      <c r="Z2125" s="2" t="n">
        <v>3</v>
      </c>
    </row>
    <row r="2126" customFormat="false" ht="15" hidden="false" customHeight="true" outlineLevel="0" collapsed="false">
      <c r="A2126" s="2" t="n">
        <v>26</v>
      </c>
      <c r="B2126" s="2" t="s">
        <v>26</v>
      </c>
      <c r="C2126" s="2" t="s">
        <v>27</v>
      </c>
      <c r="D2126" s="2" t="s">
        <v>42</v>
      </c>
      <c r="E2126" s="2" t="n">
        <v>9</v>
      </c>
      <c r="F2126" s="2" t="n">
        <v>3</v>
      </c>
      <c r="G2126" s="2" t="s">
        <v>29</v>
      </c>
      <c r="H2126" s="2" t="n">
        <v>2125</v>
      </c>
      <c r="I2126" s="2" t="s">
        <v>39</v>
      </c>
      <c r="J2126" s="2" t="n">
        <v>2</v>
      </c>
      <c r="K2126" s="2" t="s">
        <v>36</v>
      </c>
      <c r="L2126" s="2" t="s">
        <v>37</v>
      </c>
      <c r="M2126" s="2" t="n">
        <v>68110</v>
      </c>
      <c r="N2126" s="2" t="n">
        <v>1</v>
      </c>
      <c r="O2126" s="2" t="n">
        <v>11</v>
      </c>
      <c r="P2126" s="2" t="n">
        <v>1</v>
      </c>
      <c r="Q2126" s="2" t="n">
        <v>8</v>
      </c>
      <c r="R2126" s="2" t="n">
        <v>4</v>
      </c>
      <c r="S2126" s="2" t="n">
        <v>8</v>
      </c>
      <c r="T2126" s="2" t="n">
        <v>2</v>
      </c>
      <c r="U2126" s="2" t="n">
        <v>2</v>
      </c>
      <c r="V2126" s="2" t="n">
        <v>3</v>
      </c>
      <c r="W2126" s="2" t="n">
        <v>4</v>
      </c>
      <c r="X2126" s="2" t="n">
        <v>2</v>
      </c>
      <c r="Y2126" s="2" t="n">
        <v>3</v>
      </c>
      <c r="Z2126" s="2" t="n">
        <v>3</v>
      </c>
    </row>
    <row r="2127" customFormat="false" ht="15" hidden="false" customHeight="true" outlineLevel="0" collapsed="false">
      <c r="A2127" s="2" t="n">
        <v>45</v>
      </c>
      <c r="B2127" s="2" t="s">
        <v>33</v>
      </c>
      <c r="C2127" s="2" t="s">
        <v>27</v>
      </c>
      <c r="D2127" s="2" t="s">
        <v>42</v>
      </c>
      <c r="E2127" s="2" t="n">
        <v>12</v>
      </c>
      <c r="F2127" s="2" t="n">
        <v>3</v>
      </c>
      <c r="G2127" s="2" t="s">
        <v>42</v>
      </c>
      <c r="H2127" s="2" t="n">
        <v>2126</v>
      </c>
      <c r="I2127" s="2" t="s">
        <v>39</v>
      </c>
      <c r="J2127" s="2" t="n">
        <v>2</v>
      </c>
      <c r="K2127" s="2" t="s">
        <v>45</v>
      </c>
      <c r="L2127" s="2" t="s">
        <v>37</v>
      </c>
      <c r="M2127" s="2" t="n">
        <v>43060</v>
      </c>
      <c r="N2127" s="2" t="n">
        <v>2</v>
      </c>
      <c r="O2127" s="2" t="n">
        <v>11</v>
      </c>
      <c r="P2127" s="2" t="n">
        <v>2</v>
      </c>
      <c r="Q2127" s="2" t="n">
        <v>26</v>
      </c>
      <c r="R2127" s="2" t="n">
        <v>3</v>
      </c>
      <c r="S2127" s="2" t="n">
        <v>24</v>
      </c>
      <c r="T2127" s="2" t="n">
        <v>1</v>
      </c>
      <c r="U2127" s="2" t="n">
        <v>11</v>
      </c>
      <c r="V2127" s="2" t="n">
        <v>1</v>
      </c>
      <c r="W2127" s="2" t="n">
        <v>2</v>
      </c>
      <c r="X2127" s="2" t="n">
        <v>3</v>
      </c>
      <c r="Y2127" s="2" t="n">
        <v>3</v>
      </c>
      <c r="Z2127" s="2" t="n">
        <v>3</v>
      </c>
    </row>
    <row r="2128" customFormat="false" ht="15" hidden="false" customHeight="true" outlineLevel="0" collapsed="false">
      <c r="A2128" s="2" t="n">
        <v>55</v>
      </c>
      <c r="B2128" s="2" t="s">
        <v>26</v>
      </c>
      <c r="C2128" s="2" t="s">
        <v>41</v>
      </c>
      <c r="D2128" s="2" t="s">
        <v>35</v>
      </c>
      <c r="E2128" s="2" t="n">
        <v>27</v>
      </c>
      <c r="F2128" s="2" t="n">
        <v>3</v>
      </c>
      <c r="G2128" s="2" t="s">
        <v>29</v>
      </c>
      <c r="H2128" s="2" t="n">
        <v>2127</v>
      </c>
      <c r="I2128" s="2" t="s">
        <v>30</v>
      </c>
      <c r="J2128" s="2" t="n">
        <v>2</v>
      </c>
      <c r="K2128" s="2" t="s">
        <v>49</v>
      </c>
      <c r="L2128" s="2" t="s">
        <v>46</v>
      </c>
      <c r="M2128" s="2" t="n">
        <v>48590</v>
      </c>
      <c r="N2128" s="2" t="n">
        <v>1</v>
      </c>
      <c r="O2128" s="2" t="n">
        <v>24</v>
      </c>
      <c r="P2128" s="2" t="n">
        <v>1</v>
      </c>
      <c r="Q2128" s="2" t="n">
        <v>34</v>
      </c>
      <c r="R2128" s="2" t="n">
        <v>3</v>
      </c>
      <c r="S2128" s="2" t="n">
        <v>33</v>
      </c>
      <c r="T2128" s="2" t="n">
        <v>15</v>
      </c>
      <c r="U2128" s="2" t="n">
        <v>0</v>
      </c>
      <c r="V2128" s="2" t="n">
        <v>4</v>
      </c>
      <c r="W2128" s="2" t="n">
        <v>2</v>
      </c>
      <c r="X2128" s="2" t="n">
        <v>3</v>
      </c>
      <c r="Y2128" s="2" t="n">
        <v>4</v>
      </c>
      <c r="Z2128" s="2" t="n">
        <v>4</v>
      </c>
    </row>
    <row r="2129" customFormat="false" ht="15" hidden="false" customHeight="true" outlineLevel="0" collapsed="false">
      <c r="A2129" s="2" t="n">
        <v>21</v>
      </c>
      <c r="B2129" s="2" t="s">
        <v>33</v>
      </c>
      <c r="C2129" s="2" t="s">
        <v>34</v>
      </c>
      <c r="D2129" s="2" t="s">
        <v>35</v>
      </c>
      <c r="E2129" s="2" t="n">
        <v>20</v>
      </c>
      <c r="F2129" s="2" t="n">
        <v>2</v>
      </c>
      <c r="G2129" s="2" t="s">
        <v>43</v>
      </c>
      <c r="H2129" s="2" t="n">
        <v>2128</v>
      </c>
      <c r="I2129" s="2" t="s">
        <v>30</v>
      </c>
      <c r="J2129" s="2" t="n">
        <v>4</v>
      </c>
      <c r="K2129" s="2" t="s">
        <v>36</v>
      </c>
      <c r="L2129" s="2" t="s">
        <v>37</v>
      </c>
      <c r="M2129" s="2" t="n">
        <v>53370</v>
      </c>
      <c r="N2129" s="2" t="n">
        <v>1</v>
      </c>
      <c r="O2129" s="2" t="n">
        <v>14</v>
      </c>
      <c r="P2129" s="2" t="n">
        <v>1</v>
      </c>
      <c r="Q2129" s="2" t="n">
        <v>2</v>
      </c>
      <c r="R2129" s="2" t="n">
        <v>2</v>
      </c>
      <c r="S2129" s="2" t="n">
        <v>2</v>
      </c>
      <c r="T2129" s="2" t="n">
        <v>2</v>
      </c>
      <c r="U2129" s="2" t="n">
        <v>2</v>
      </c>
      <c r="V2129" s="2" t="n">
        <v>1</v>
      </c>
      <c r="W2129" s="2" t="n">
        <v>3</v>
      </c>
      <c r="X2129" s="2" t="n">
        <v>1</v>
      </c>
      <c r="Y2129" s="2" t="n">
        <v>3</v>
      </c>
      <c r="Z2129" s="2" t="n">
        <v>3</v>
      </c>
    </row>
    <row r="2130" customFormat="false" ht="15" hidden="false" customHeight="true" outlineLevel="0" collapsed="false">
      <c r="A2130" s="2" t="n">
        <v>46</v>
      </c>
      <c r="B2130" s="2" t="s">
        <v>26</v>
      </c>
      <c r="C2130" s="2" t="s">
        <v>27</v>
      </c>
      <c r="D2130" s="2" t="s">
        <v>35</v>
      </c>
      <c r="E2130" s="2" t="n">
        <v>1</v>
      </c>
      <c r="F2130" s="2" t="n">
        <v>4</v>
      </c>
      <c r="G2130" s="2" t="s">
        <v>29</v>
      </c>
      <c r="H2130" s="2" t="n">
        <v>2129</v>
      </c>
      <c r="I2130" s="2" t="s">
        <v>39</v>
      </c>
      <c r="J2130" s="2" t="n">
        <v>1</v>
      </c>
      <c r="K2130" s="2" t="s">
        <v>47</v>
      </c>
      <c r="L2130" s="2" t="s">
        <v>32</v>
      </c>
      <c r="M2130" s="2" t="n">
        <v>23400</v>
      </c>
      <c r="N2130" s="2" t="n">
        <v>2</v>
      </c>
      <c r="O2130" s="2" t="n">
        <v>13</v>
      </c>
      <c r="P2130" s="2" t="n">
        <v>1</v>
      </c>
      <c r="Q2130" s="2" t="n">
        <v>26</v>
      </c>
      <c r="R2130" s="2" t="n">
        <v>2</v>
      </c>
      <c r="S2130" s="2" t="n">
        <v>11</v>
      </c>
      <c r="T2130" s="2" t="n">
        <v>0</v>
      </c>
      <c r="U2130" s="2" t="n">
        <v>8</v>
      </c>
      <c r="V2130" s="2" t="n">
        <v>4</v>
      </c>
      <c r="W2130" s="2" t="n">
        <v>2</v>
      </c>
      <c r="X2130" s="2" t="n">
        <v>3</v>
      </c>
      <c r="Y2130" s="2" t="n">
        <v>1</v>
      </c>
      <c r="Z2130" s="2" t="n">
        <v>3</v>
      </c>
    </row>
    <row r="2131" customFormat="false" ht="15" hidden="false" customHeight="true" outlineLevel="0" collapsed="false">
      <c r="A2131" s="2" t="n">
        <v>34</v>
      </c>
      <c r="B2131" s="2" t="s">
        <v>26</v>
      </c>
      <c r="C2131" s="2" t="s">
        <v>27</v>
      </c>
      <c r="D2131" s="2" t="s">
        <v>28</v>
      </c>
      <c r="E2131" s="2" t="n">
        <v>13</v>
      </c>
      <c r="F2131" s="2" t="n">
        <v>4</v>
      </c>
      <c r="G2131" s="2" t="s">
        <v>43</v>
      </c>
      <c r="H2131" s="2" t="n">
        <v>2130</v>
      </c>
      <c r="I2131" s="2" t="s">
        <v>39</v>
      </c>
      <c r="J2131" s="2" t="n">
        <v>3</v>
      </c>
      <c r="K2131" s="2" t="s">
        <v>48</v>
      </c>
      <c r="L2131" s="2" t="s">
        <v>37</v>
      </c>
      <c r="M2131" s="2" t="n">
        <v>74910</v>
      </c>
      <c r="N2131" s="2" t="n">
        <v>0</v>
      </c>
      <c r="O2131" s="2" t="n">
        <v>14</v>
      </c>
      <c r="P2131" s="2" t="n">
        <v>1</v>
      </c>
      <c r="Q2131" s="2" t="n">
        <v>4</v>
      </c>
      <c r="R2131" s="2" t="n">
        <v>3</v>
      </c>
      <c r="S2131" s="2" t="n">
        <v>3</v>
      </c>
      <c r="T2131" s="2" t="n">
        <v>0</v>
      </c>
      <c r="U2131" s="2" t="n">
        <v>2</v>
      </c>
      <c r="V2131" s="2" t="n">
        <v>3</v>
      </c>
      <c r="W2131" s="2" t="n">
        <v>1</v>
      </c>
      <c r="X2131" s="2" t="n">
        <v>3</v>
      </c>
      <c r="Y2131" s="2" t="n">
        <v>2</v>
      </c>
      <c r="Z2131" s="2" t="n">
        <v>3</v>
      </c>
    </row>
    <row r="2132" customFormat="false" ht="15" hidden="false" customHeight="true" outlineLevel="0" collapsed="false">
      <c r="A2132" s="2" t="n">
        <v>51</v>
      </c>
      <c r="B2132" s="2" t="s">
        <v>26</v>
      </c>
      <c r="C2132" s="2" t="s">
        <v>34</v>
      </c>
      <c r="D2132" s="2" t="s">
        <v>35</v>
      </c>
      <c r="E2132" s="2" t="n">
        <v>14</v>
      </c>
      <c r="F2132" s="2" t="n">
        <v>3</v>
      </c>
      <c r="G2132" s="2" t="s">
        <v>29</v>
      </c>
      <c r="H2132" s="2" t="n">
        <v>2131</v>
      </c>
      <c r="I2132" s="2" t="s">
        <v>39</v>
      </c>
      <c r="J2132" s="2" t="n">
        <v>2</v>
      </c>
      <c r="K2132" s="2" t="s">
        <v>44</v>
      </c>
      <c r="L2132" s="2" t="s">
        <v>46</v>
      </c>
      <c r="M2132" s="2" t="n">
        <v>105270</v>
      </c>
      <c r="N2132" s="2" t="n">
        <v>4</v>
      </c>
      <c r="O2132" s="2" t="n">
        <v>14</v>
      </c>
      <c r="P2132" s="2" t="n">
        <v>0</v>
      </c>
      <c r="Q2132" s="2" t="n">
        <v>31</v>
      </c>
      <c r="R2132" s="2" t="n">
        <v>3</v>
      </c>
      <c r="S2132" s="2" t="n">
        <v>29</v>
      </c>
      <c r="T2132" s="2" t="n">
        <v>11</v>
      </c>
      <c r="U2132" s="2" t="n">
        <v>10</v>
      </c>
      <c r="V2132" s="2" t="n">
        <v>4</v>
      </c>
      <c r="W2132" s="2" t="n">
        <v>2</v>
      </c>
      <c r="X2132" s="2" t="n">
        <v>2</v>
      </c>
      <c r="Y2132" s="2" t="n">
        <v>3</v>
      </c>
      <c r="Z2132" s="2" t="n">
        <v>3</v>
      </c>
    </row>
    <row r="2133" customFormat="false" ht="15" hidden="false" customHeight="true" outlineLevel="0" collapsed="false">
      <c r="A2133" s="2" t="n">
        <v>59</v>
      </c>
      <c r="B2133" s="2" t="s">
        <v>26</v>
      </c>
      <c r="C2133" s="2" t="s">
        <v>27</v>
      </c>
      <c r="D2133" s="2" t="s">
        <v>35</v>
      </c>
      <c r="E2133" s="2" t="n">
        <v>4</v>
      </c>
      <c r="F2133" s="2" t="n">
        <v>2</v>
      </c>
      <c r="G2133" s="2" t="s">
        <v>29</v>
      </c>
      <c r="H2133" s="2" t="n">
        <v>2132</v>
      </c>
      <c r="I2133" s="2" t="s">
        <v>39</v>
      </c>
      <c r="J2133" s="2" t="n">
        <v>2</v>
      </c>
      <c r="K2133" s="2" t="s">
        <v>36</v>
      </c>
      <c r="L2133" s="2" t="s">
        <v>37</v>
      </c>
      <c r="M2133" s="2" t="n">
        <v>165950</v>
      </c>
      <c r="N2133" s="2" t="n">
        <v>6</v>
      </c>
      <c r="O2133" s="2" t="n">
        <v>21</v>
      </c>
      <c r="P2133" s="2" t="n">
        <v>1</v>
      </c>
      <c r="Q2133" s="2" t="n">
        <v>25</v>
      </c>
      <c r="R2133" s="2" t="n">
        <v>2</v>
      </c>
      <c r="S2133" s="2" t="n">
        <v>9</v>
      </c>
      <c r="T2133" s="2" t="n">
        <v>5</v>
      </c>
      <c r="U2133" s="2" t="n">
        <v>4</v>
      </c>
      <c r="V2133" s="2" t="n">
        <v>4</v>
      </c>
      <c r="W2133" s="2" t="n">
        <v>4</v>
      </c>
      <c r="X2133" s="2" t="n">
        <v>2</v>
      </c>
      <c r="Y2133" s="2" t="n">
        <v>3</v>
      </c>
      <c r="Z2133" s="2" t="n">
        <v>4</v>
      </c>
    </row>
    <row r="2134" customFormat="false" ht="15" hidden="false" customHeight="true" outlineLevel="0" collapsed="false">
      <c r="A2134" s="2" t="n">
        <v>34</v>
      </c>
      <c r="B2134" s="2" t="s">
        <v>26</v>
      </c>
      <c r="C2134" s="2" t="s">
        <v>34</v>
      </c>
      <c r="D2134" s="2" t="s">
        <v>28</v>
      </c>
      <c r="E2134" s="2" t="n">
        <v>14</v>
      </c>
      <c r="F2134" s="2" t="n">
        <v>4</v>
      </c>
      <c r="G2134" s="2" t="s">
        <v>43</v>
      </c>
      <c r="H2134" s="2" t="n">
        <v>2133</v>
      </c>
      <c r="I2134" s="2" t="s">
        <v>30</v>
      </c>
      <c r="J2134" s="2" t="n">
        <v>3</v>
      </c>
      <c r="K2134" s="2" t="s">
        <v>36</v>
      </c>
      <c r="L2134" s="2" t="s">
        <v>46</v>
      </c>
      <c r="M2134" s="2" t="n">
        <v>88340</v>
      </c>
      <c r="N2134" s="2" t="n">
        <v>4</v>
      </c>
      <c r="O2134" s="2" t="n">
        <v>13</v>
      </c>
      <c r="P2134" s="2" t="n">
        <v>1</v>
      </c>
      <c r="Q2134" s="2" t="n">
        <v>15</v>
      </c>
      <c r="R2134" s="2" t="n">
        <v>1</v>
      </c>
      <c r="S2134" s="2" t="n">
        <v>11</v>
      </c>
      <c r="T2134" s="2" t="n">
        <v>5</v>
      </c>
      <c r="U2134" s="2" t="n">
        <v>10</v>
      </c>
      <c r="V2134" s="2" t="n">
        <v>3</v>
      </c>
      <c r="W2134" s="2" t="n">
        <v>2</v>
      </c>
      <c r="X2134" s="2" t="n">
        <v>4</v>
      </c>
      <c r="Y2134" s="2" t="n">
        <v>3</v>
      </c>
      <c r="Z2134" s="2" t="n">
        <v>3</v>
      </c>
    </row>
    <row r="2135" customFormat="false" ht="15" hidden="false" customHeight="true" outlineLevel="0" collapsed="false">
      <c r="A2135" s="2" t="n">
        <v>28</v>
      </c>
      <c r="B2135" s="2" t="s">
        <v>26</v>
      </c>
      <c r="C2135" s="2" t="s">
        <v>34</v>
      </c>
      <c r="D2135" s="2" t="s">
        <v>35</v>
      </c>
      <c r="E2135" s="2" t="n">
        <v>2</v>
      </c>
      <c r="F2135" s="2" t="n">
        <v>3</v>
      </c>
      <c r="G2135" s="2" t="s">
        <v>38</v>
      </c>
      <c r="H2135" s="2" t="n">
        <v>2134</v>
      </c>
      <c r="I2135" s="2" t="s">
        <v>30</v>
      </c>
      <c r="J2135" s="2" t="n">
        <v>1</v>
      </c>
      <c r="K2135" s="2" t="s">
        <v>49</v>
      </c>
      <c r="L2135" s="2" t="s">
        <v>37</v>
      </c>
      <c r="M2135" s="2" t="n">
        <v>55770</v>
      </c>
      <c r="N2135" s="2" t="n">
        <v>0</v>
      </c>
      <c r="O2135" s="2" t="n">
        <v>19</v>
      </c>
      <c r="P2135" s="2" t="n">
        <v>0</v>
      </c>
      <c r="Q2135" s="2" t="n">
        <v>5</v>
      </c>
      <c r="R2135" s="2" t="n">
        <v>3</v>
      </c>
      <c r="S2135" s="2" t="n">
        <v>4</v>
      </c>
      <c r="T2135" s="2" t="n">
        <v>0</v>
      </c>
      <c r="U2135" s="2" t="n">
        <v>2</v>
      </c>
      <c r="V2135" s="2" t="n">
        <v>4</v>
      </c>
      <c r="W2135" s="2" t="n">
        <v>3</v>
      </c>
      <c r="X2135" s="2" t="n">
        <v>2</v>
      </c>
      <c r="Y2135" s="2" t="n">
        <v>3</v>
      </c>
      <c r="Z2135" s="2" t="n">
        <v>3</v>
      </c>
    </row>
    <row r="2136" customFormat="false" ht="15" hidden="false" customHeight="true" outlineLevel="0" collapsed="false">
      <c r="A2136" s="2" t="n">
        <v>44</v>
      </c>
      <c r="B2136" s="2" t="s">
        <v>26</v>
      </c>
      <c r="C2136" s="2" t="s">
        <v>27</v>
      </c>
      <c r="D2136" s="2" t="s">
        <v>35</v>
      </c>
      <c r="E2136" s="2" t="n">
        <v>3</v>
      </c>
      <c r="F2136" s="2" t="n">
        <v>4</v>
      </c>
      <c r="G2136" s="2" t="s">
        <v>29</v>
      </c>
      <c r="H2136" s="2" t="n">
        <v>2135</v>
      </c>
      <c r="I2136" s="2" t="s">
        <v>39</v>
      </c>
      <c r="J2136" s="2" t="n">
        <v>2</v>
      </c>
      <c r="K2136" s="2" t="s">
        <v>36</v>
      </c>
      <c r="L2136" s="2" t="s">
        <v>46</v>
      </c>
      <c r="M2136" s="2" t="n">
        <v>47070</v>
      </c>
      <c r="N2136" s="2" t="n">
        <v>1</v>
      </c>
      <c r="O2136" s="2" t="n">
        <v>17</v>
      </c>
      <c r="P2136" s="2" t="n">
        <v>0</v>
      </c>
      <c r="Q2136" s="2" t="n">
        <v>26</v>
      </c>
      <c r="R2136" s="2" t="n">
        <v>4</v>
      </c>
      <c r="S2136" s="2" t="n">
        <v>25</v>
      </c>
      <c r="T2136" s="2" t="n">
        <v>14</v>
      </c>
      <c r="U2136" s="2" t="n">
        <v>13</v>
      </c>
      <c r="V2136" s="2" t="n">
        <v>3</v>
      </c>
      <c r="W2136" s="2" t="n">
        <v>1</v>
      </c>
      <c r="X2136" s="2" t="n">
        <v>2</v>
      </c>
      <c r="Y2136" s="2" t="n">
        <v>1</v>
      </c>
      <c r="Z2136" s="2" t="n">
        <v>3</v>
      </c>
    </row>
    <row r="2137" customFormat="false" ht="15" hidden="false" customHeight="true" outlineLevel="0" collapsed="false">
      <c r="A2137" s="2" t="n">
        <v>34</v>
      </c>
      <c r="B2137" s="2" t="s">
        <v>26</v>
      </c>
      <c r="C2137" s="2" t="s">
        <v>34</v>
      </c>
      <c r="D2137" s="2" t="s">
        <v>28</v>
      </c>
      <c r="E2137" s="2" t="n">
        <v>1</v>
      </c>
      <c r="F2137" s="2" t="n">
        <v>3</v>
      </c>
      <c r="G2137" s="2" t="s">
        <v>29</v>
      </c>
      <c r="H2137" s="2" t="n">
        <v>2136</v>
      </c>
      <c r="I2137" s="2" t="s">
        <v>39</v>
      </c>
      <c r="J2137" s="2" t="n">
        <v>2</v>
      </c>
      <c r="K2137" s="2" t="s">
        <v>40</v>
      </c>
      <c r="L2137" s="2" t="s">
        <v>32</v>
      </c>
      <c r="M2137" s="2" t="n">
        <v>24000</v>
      </c>
      <c r="N2137" s="2" t="n">
        <v>4</v>
      </c>
      <c r="O2137" s="2" t="n">
        <v>18</v>
      </c>
      <c r="P2137" s="2" t="n">
        <v>1</v>
      </c>
      <c r="Q2137" s="2" t="n">
        <v>14</v>
      </c>
      <c r="R2137" s="2" t="n">
        <v>3</v>
      </c>
      <c r="S2137" s="2" t="n">
        <v>10</v>
      </c>
      <c r="T2137" s="2" t="n">
        <v>1</v>
      </c>
      <c r="U2137" s="2" t="n">
        <v>8</v>
      </c>
      <c r="V2137" s="2" t="n">
        <v>3</v>
      </c>
      <c r="W2137" s="2" t="n">
        <v>2</v>
      </c>
      <c r="X2137" s="2" t="n">
        <v>4</v>
      </c>
      <c r="Y2137" s="2" t="n">
        <v>3</v>
      </c>
      <c r="Z2137" s="2" t="n">
        <v>3</v>
      </c>
    </row>
    <row r="2138" customFormat="false" ht="15" hidden="false" customHeight="true" outlineLevel="0" collapsed="false">
      <c r="A2138" s="2" t="n">
        <v>35</v>
      </c>
      <c r="B2138" s="2" t="s">
        <v>26</v>
      </c>
      <c r="C2138" s="2" t="s">
        <v>27</v>
      </c>
      <c r="D2138" s="2" t="s">
        <v>35</v>
      </c>
      <c r="E2138" s="2" t="n">
        <v>9</v>
      </c>
      <c r="F2138" s="2" t="n">
        <v>3</v>
      </c>
      <c r="G2138" s="2" t="s">
        <v>29</v>
      </c>
      <c r="H2138" s="2" t="n">
        <v>2137</v>
      </c>
      <c r="I2138" s="2" t="s">
        <v>39</v>
      </c>
      <c r="J2138" s="2" t="n">
        <v>4</v>
      </c>
      <c r="K2138" s="2" t="s">
        <v>31</v>
      </c>
      <c r="L2138" s="2" t="s">
        <v>32</v>
      </c>
      <c r="M2138" s="2" t="n">
        <v>98240</v>
      </c>
      <c r="N2138" s="2" t="n">
        <v>0</v>
      </c>
      <c r="O2138" s="2" t="n">
        <v>19</v>
      </c>
      <c r="P2138" s="2" t="n">
        <v>0</v>
      </c>
      <c r="Q2138" s="2" t="n">
        <v>4</v>
      </c>
      <c r="R2138" s="2" t="n">
        <v>2</v>
      </c>
      <c r="S2138" s="2" t="n">
        <v>3</v>
      </c>
      <c r="T2138" s="2" t="n">
        <v>2</v>
      </c>
      <c r="U2138" s="2" t="n">
        <v>2</v>
      </c>
      <c r="V2138" s="2" t="n">
        <v>3</v>
      </c>
      <c r="W2138" s="2" t="n">
        <v>3</v>
      </c>
      <c r="X2138" s="2" t="n">
        <v>3</v>
      </c>
      <c r="Y2138" s="2" t="n">
        <v>3</v>
      </c>
      <c r="Z2138" s="2" t="n">
        <v>3</v>
      </c>
    </row>
    <row r="2139" customFormat="false" ht="15" hidden="false" customHeight="true" outlineLevel="0" collapsed="false">
      <c r="A2139" s="2" t="n">
        <v>42</v>
      </c>
      <c r="B2139" s="2" t="s">
        <v>26</v>
      </c>
      <c r="C2139" s="2" t="s">
        <v>27</v>
      </c>
      <c r="D2139" s="2" t="s">
        <v>35</v>
      </c>
      <c r="E2139" s="2" t="n">
        <v>23</v>
      </c>
      <c r="F2139" s="2" t="n">
        <v>4</v>
      </c>
      <c r="G2139" s="2" t="s">
        <v>29</v>
      </c>
      <c r="H2139" s="2" t="n">
        <v>2138</v>
      </c>
      <c r="I2139" s="2" t="s">
        <v>30</v>
      </c>
      <c r="J2139" s="2" t="n">
        <v>1</v>
      </c>
      <c r="K2139" s="2" t="s">
        <v>49</v>
      </c>
      <c r="L2139" s="2" t="s">
        <v>32</v>
      </c>
      <c r="M2139" s="2" t="n">
        <v>64470</v>
      </c>
      <c r="N2139" s="2" t="n">
        <v>6</v>
      </c>
      <c r="O2139" s="2" t="n">
        <v>13</v>
      </c>
      <c r="P2139" s="2" t="n">
        <v>0</v>
      </c>
      <c r="Q2139" s="2" t="n">
        <v>18</v>
      </c>
      <c r="R2139" s="2" t="n">
        <v>3</v>
      </c>
      <c r="S2139" s="2" t="n">
        <v>1</v>
      </c>
      <c r="T2139" s="2" t="n">
        <v>0</v>
      </c>
      <c r="U2139" s="2" t="n">
        <v>0</v>
      </c>
      <c r="V2139" s="2" t="n">
        <v>2</v>
      </c>
      <c r="W2139" s="2" t="n">
        <v>2</v>
      </c>
      <c r="X2139" s="2" t="n">
        <v>3</v>
      </c>
      <c r="Y2139" s="2" t="n">
        <v>3</v>
      </c>
      <c r="Z2139" s="2" t="n">
        <v>3</v>
      </c>
    </row>
    <row r="2140" customFormat="false" ht="15" hidden="false" customHeight="true" outlineLevel="0" collapsed="false">
      <c r="A2140" s="2" t="n">
        <v>43</v>
      </c>
      <c r="B2140" s="2" t="s">
        <v>26</v>
      </c>
      <c r="C2140" s="2" t="s">
        <v>27</v>
      </c>
      <c r="D2140" s="2" t="s">
        <v>35</v>
      </c>
      <c r="E2140" s="2" t="n">
        <v>7</v>
      </c>
      <c r="F2140" s="2" t="n">
        <v>2</v>
      </c>
      <c r="G2140" s="2" t="s">
        <v>43</v>
      </c>
      <c r="H2140" s="2" t="n">
        <v>2139</v>
      </c>
      <c r="I2140" s="2" t="s">
        <v>30</v>
      </c>
      <c r="J2140" s="2" t="n">
        <v>1</v>
      </c>
      <c r="K2140" s="2" t="s">
        <v>45</v>
      </c>
      <c r="L2140" s="2" t="s">
        <v>37</v>
      </c>
      <c r="M2140" s="2" t="n">
        <v>195020</v>
      </c>
      <c r="N2140" s="2" t="n">
        <v>3</v>
      </c>
      <c r="O2140" s="2" t="n">
        <v>18</v>
      </c>
      <c r="P2140" s="2" t="n">
        <v>2</v>
      </c>
      <c r="Q2140" s="2" t="n">
        <v>23</v>
      </c>
      <c r="R2140" s="2" t="n">
        <v>3</v>
      </c>
      <c r="S2140" s="2" t="n">
        <v>21</v>
      </c>
      <c r="T2140" s="2" t="n">
        <v>15</v>
      </c>
      <c r="U2140" s="2" t="n">
        <v>17</v>
      </c>
      <c r="V2140" s="2" t="n">
        <v>4</v>
      </c>
      <c r="W2140" s="2" t="n">
        <v>4</v>
      </c>
      <c r="X2140" s="2" t="n">
        <v>4</v>
      </c>
      <c r="Y2140" s="2" t="n">
        <v>4</v>
      </c>
      <c r="Z2140" s="2" t="n">
        <v>3</v>
      </c>
    </row>
    <row r="2141" customFormat="false" ht="15" hidden="false" customHeight="true" outlineLevel="0" collapsed="false">
      <c r="A2141" s="2" t="n">
        <v>36</v>
      </c>
      <c r="B2141" s="2" t="s">
        <v>26</v>
      </c>
      <c r="C2141" s="2" t="s">
        <v>27</v>
      </c>
      <c r="D2141" s="2" t="s">
        <v>35</v>
      </c>
      <c r="E2141" s="2" t="n">
        <v>2</v>
      </c>
      <c r="F2141" s="2" t="n">
        <v>4</v>
      </c>
      <c r="G2141" s="2" t="s">
        <v>43</v>
      </c>
      <c r="H2141" s="2" t="n">
        <v>2140</v>
      </c>
      <c r="I2141" s="2" t="s">
        <v>39</v>
      </c>
      <c r="J2141" s="2" t="n">
        <v>1</v>
      </c>
      <c r="K2141" s="2" t="s">
        <v>31</v>
      </c>
      <c r="L2141" s="2" t="s">
        <v>37</v>
      </c>
      <c r="M2141" s="2" t="n">
        <v>27250</v>
      </c>
      <c r="N2141" s="2" t="n">
        <v>9</v>
      </c>
      <c r="O2141" s="2" t="n">
        <v>21</v>
      </c>
      <c r="P2141" s="2" t="n">
        <v>1</v>
      </c>
      <c r="Q2141" s="2" t="n">
        <v>18</v>
      </c>
      <c r="R2141" s="2" t="n">
        <v>4</v>
      </c>
      <c r="S2141" s="2" t="n">
        <v>16</v>
      </c>
      <c r="T2141" s="2" t="n">
        <v>5</v>
      </c>
      <c r="U2141" s="2" t="n">
        <v>12</v>
      </c>
      <c r="V2141" s="2" t="n">
        <v>3</v>
      </c>
      <c r="W2141" s="2" t="n">
        <v>2</v>
      </c>
      <c r="X2141" s="2" t="n">
        <v>3</v>
      </c>
      <c r="Y2141" s="2" t="n">
        <v>2</v>
      </c>
      <c r="Z2141" s="2" t="n">
        <v>4</v>
      </c>
    </row>
    <row r="2142" customFormat="false" ht="15" hidden="false" customHeight="true" outlineLevel="0" collapsed="false">
      <c r="A2142" s="2" t="n">
        <v>44</v>
      </c>
      <c r="B2142" s="2" t="s">
        <v>33</v>
      </c>
      <c r="C2142" s="2" t="s">
        <v>27</v>
      </c>
      <c r="D2142" s="2" t="s">
        <v>35</v>
      </c>
      <c r="E2142" s="2" t="n">
        <v>21</v>
      </c>
      <c r="F2142" s="2" t="n">
        <v>4</v>
      </c>
      <c r="G2142" s="2" t="s">
        <v>29</v>
      </c>
      <c r="H2142" s="2" t="n">
        <v>2141</v>
      </c>
      <c r="I2142" s="2" t="s">
        <v>30</v>
      </c>
      <c r="J2142" s="2" t="n">
        <v>2</v>
      </c>
      <c r="K2142" s="2" t="s">
        <v>45</v>
      </c>
      <c r="L2142" s="2" t="s">
        <v>32</v>
      </c>
      <c r="M2142" s="2" t="n">
        <v>62720</v>
      </c>
      <c r="N2142" s="2" t="n">
        <v>1</v>
      </c>
      <c r="O2142" s="2" t="n">
        <v>19</v>
      </c>
      <c r="P2142" s="2" t="n">
        <v>1</v>
      </c>
      <c r="Q2142" s="2" t="n">
        <v>10</v>
      </c>
      <c r="R2142" s="2" t="n">
        <v>3</v>
      </c>
      <c r="S2142" s="2" t="n">
        <v>10</v>
      </c>
      <c r="T2142" s="2" t="n">
        <v>0</v>
      </c>
      <c r="U2142" s="2" t="n">
        <v>5</v>
      </c>
      <c r="V2142" s="2" t="n">
        <v>1</v>
      </c>
      <c r="W2142" s="2" t="n">
        <v>4</v>
      </c>
      <c r="X2142" s="2" t="n">
        <v>3</v>
      </c>
      <c r="Y2142" s="2" t="n">
        <v>3</v>
      </c>
      <c r="Z2142" s="2" t="n">
        <v>3</v>
      </c>
    </row>
    <row r="2143" customFormat="false" ht="15" hidden="false" customHeight="true" outlineLevel="0" collapsed="false">
      <c r="A2143" s="2" t="n">
        <v>28</v>
      </c>
      <c r="B2143" s="2" t="s">
        <v>26</v>
      </c>
      <c r="C2143" s="2" t="s">
        <v>34</v>
      </c>
      <c r="D2143" s="2" t="s">
        <v>35</v>
      </c>
      <c r="E2143" s="2" t="n">
        <v>2</v>
      </c>
      <c r="F2143" s="2" t="n">
        <v>3</v>
      </c>
      <c r="G2143" s="2" t="s">
        <v>29</v>
      </c>
      <c r="H2143" s="2" t="n">
        <v>2142</v>
      </c>
      <c r="I2143" s="2" t="s">
        <v>30</v>
      </c>
      <c r="J2143" s="2" t="n">
        <v>2</v>
      </c>
      <c r="K2143" s="2" t="s">
        <v>48</v>
      </c>
      <c r="L2143" s="2" t="s">
        <v>32</v>
      </c>
      <c r="M2143" s="2" t="n">
        <v>21270</v>
      </c>
      <c r="N2143" s="2" t="n">
        <v>1</v>
      </c>
      <c r="O2143" s="2" t="n">
        <v>14</v>
      </c>
      <c r="P2143" s="2" t="n">
        <v>0</v>
      </c>
      <c r="Q2143" s="2" t="n">
        <v>2</v>
      </c>
      <c r="R2143" s="2" t="n">
        <v>3</v>
      </c>
      <c r="S2143" s="2" t="n">
        <v>2</v>
      </c>
      <c r="T2143" s="2" t="n">
        <v>2</v>
      </c>
      <c r="U2143" s="2" t="n">
        <v>2</v>
      </c>
      <c r="V2143" s="2" t="n">
        <v>4</v>
      </c>
      <c r="W2143" s="2" t="n">
        <v>4</v>
      </c>
      <c r="X2143" s="2" t="n">
        <v>3</v>
      </c>
      <c r="Y2143" s="2" t="n">
        <v>3</v>
      </c>
      <c r="Z2143" s="2" t="n">
        <v>3</v>
      </c>
    </row>
    <row r="2144" customFormat="false" ht="15" hidden="false" customHeight="true" outlineLevel="0" collapsed="false">
      <c r="A2144" s="2" t="n">
        <v>51</v>
      </c>
      <c r="B2144" s="2" t="s">
        <v>26</v>
      </c>
      <c r="C2144" s="2" t="s">
        <v>34</v>
      </c>
      <c r="D2144" s="2" t="s">
        <v>28</v>
      </c>
      <c r="E2144" s="2" t="n">
        <v>21</v>
      </c>
      <c r="F2144" s="2" t="n">
        <v>4</v>
      </c>
      <c r="G2144" s="2" t="s">
        <v>43</v>
      </c>
      <c r="H2144" s="2" t="n">
        <v>2143</v>
      </c>
      <c r="I2144" s="2" t="s">
        <v>39</v>
      </c>
      <c r="J2144" s="2" t="n">
        <v>2</v>
      </c>
      <c r="K2144" s="2" t="s">
        <v>36</v>
      </c>
      <c r="L2144" s="2" t="s">
        <v>37</v>
      </c>
      <c r="M2144" s="2" t="n">
        <v>182000</v>
      </c>
      <c r="N2144" s="2" t="n">
        <v>0</v>
      </c>
      <c r="O2144" s="2" t="n">
        <v>17</v>
      </c>
      <c r="P2144" s="2" t="n">
        <v>0</v>
      </c>
      <c r="Q2144" s="2" t="n">
        <v>8</v>
      </c>
      <c r="R2144" s="2" t="n">
        <v>3</v>
      </c>
      <c r="S2144" s="2" t="n">
        <v>7</v>
      </c>
      <c r="T2144" s="2" t="n">
        <v>7</v>
      </c>
      <c r="U2144" s="2" t="n">
        <v>7</v>
      </c>
      <c r="V2144" s="2" t="n">
        <v>2</v>
      </c>
      <c r="W2144" s="2" t="n">
        <v>3</v>
      </c>
      <c r="X2144" s="2"/>
      <c r="Y2144" s="2" t="n">
        <v>3</v>
      </c>
      <c r="Z2144" s="2" t="n">
        <v>3</v>
      </c>
    </row>
    <row r="2145" customFormat="false" ht="15" hidden="false" customHeight="true" outlineLevel="0" collapsed="false">
      <c r="A2145" s="2" t="n">
        <v>30</v>
      </c>
      <c r="B2145" s="2" t="s">
        <v>26</v>
      </c>
      <c r="C2145" s="2" t="s">
        <v>41</v>
      </c>
      <c r="D2145" s="2" t="s">
        <v>35</v>
      </c>
      <c r="E2145" s="2" t="n">
        <v>2</v>
      </c>
      <c r="F2145" s="2" t="n">
        <v>4</v>
      </c>
      <c r="G2145" s="2" t="s">
        <v>38</v>
      </c>
      <c r="H2145" s="2" t="n">
        <v>2144</v>
      </c>
      <c r="I2145" s="2" t="s">
        <v>39</v>
      </c>
      <c r="J2145" s="2" t="n">
        <v>1</v>
      </c>
      <c r="K2145" s="2" t="s">
        <v>36</v>
      </c>
      <c r="L2145" s="2" t="s">
        <v>37</v>
      </c>
      <c r="M2145" s="2" t="n">
        <v>20960</v>
      </c>
      <c r="N2145" s="2" t="n">
        <v>7</v>
      </c>
      <c r="O2145" s="2" t="n">
        <v>11</v>
      </c>
      <c r="P2145" s="2" t="n">
        <v>3</v>
      </c>
      <c r="Q2145" s="2" t="n">
        <v>10</v>
      </c>
      <c r="R2145" s="2" t="n">
        <v>2</v>
      </c>
      <c r="S2145" s="2" t="n">
        <v>8</v>
      </c>
      <c r="T2145" s="2" t="n">
        <v>1</v>
      </c>
      <c r="U2145" s="2" t="n">
        <v>7</v>
      </c>
      <c r="V2145" s="2" t="n">
        <v>3</v>
      </c>
      <c r="W2145" s="2" t="n">
        <v>3</v>
      </c>
      <c r="X2145" s="2" t="n">
        <v>3</v>
      </c>
      <c r="Y2145" s="2" t="n">
        <v>3</v>
      </c>
      <c r="Z2145" s="2" t="n">
        <v>3</v>
      </c>
    </row>
    <row r="2146" customFormat="false" ht="15" hidden="false" customHeight="true" outlineLevel="0" collapsed="false">
      <c r="A2146" s="2" t="n">
        <v>29</v>
      </c>
      <c r="B2146" s="2" t="s">
        <v>33</v>
      </c>
      <c r="C2146" s="2" t="s">
        <v>27</v>
      </c>
      <c r="D2146" s="2" t="s">
        <v>35</v>
      </c>
      <c r="E2146" s="2" t="n">
        <v>29</v>
      </c>
      <c r="F2146" s="2" t="n">
        <v>4</v>
      </c>
      <c r="G2146" s="2" t="s">
        <v>51</v>
      </c>
      <c r="H2146" s="2" t="n">
        <v>2145</v>
      </c>
      <c r="I2146" s="2" t="s">
        <v>30</v>
      </c>
      <c r="J2146" s="2" t="n">
        <v>1</v>
      </c>
      <c r="K2146" s="2" t="s">
        <v>48</v>
      </c>
      <c r="L2146" s="2" t="s">
        <v>46</v>
      </c>
      <c r="M2146" s="2" t="n">
        <v>28860</v>
      </c>
      <c r="N2146" s="2" t="n">
        <v>3</v>
      </c>
      <c r="O2146" s="2" t="n">
        <v>13</v>
      </c>
      <c r="P2146" s="2" t="n">
        <v>0</v>
      </c>
      <c r="Q2146" s="2" t="n">
        <v>10</v>
      </c>
      <c r="R2146" s="2" t="n">
        <v>4</v>
      </c>
      <c r="S2146" s="2" t="n">
        <v>7</v>
      </c>
      <c r="T2146" s="2" t="n">
        <v>7</v>
      </c>
      <c r="U2146" s="2" t="n">
        <v>7</v>
      </c>
      <c r="V2146" s="2" t="n">
        <v>2</v>
      </c>
      <c r="W2146" s="2" t="n">
        <v>3</v>
      </c>
      <c r="X2146" s="2" t="n">
        <v>3</v>
      </c>
      <c r="Y2146" s="2" t="n">
        <v>3</v>
      </c>
      <c r="Z2146" s="2" t="n">
        <v>3</v>
      </c>
    </row>
    <row r="2147" customFormat="false" ht="15" hidden="false" customHeight="true" outlineLevel="0" collapsed="false">
      <c r="A2147" s="2" t="n">
        <v>28</v>
      </c>
      <c r="B2147" s="2" t="s">
        <v>26</v>
      </c>
      <c r="C2147" s="2" t="s">
        <v>27</v>
      </c>
      <c r="D2147" s="2" t="s">
        <v>28</v>
      </c>
      <c r="E2147" s="2" t="n">
        <v>1</v>
      </c>
      <c r="F2147" s="2" t="n">
        <v>4</v>
      </c>
      <c r="G2147" s="2" t="s">
        <v>29</v>
      </c>
      <c r="H2147" s="2" t="n">
        <v>2146</v>
      </c>
      <c r="I2147" s="2" t="s">
        <v>30</v>
      </c>
      <c r="J2147" s="2" t="n">
        <v>2</v>
      </c>
      <c r="K2147" s="2" t="s">
        <v>48</v>
      </c>
      <c r="L2147" s="2" t="s">
        <v>37</v>
      </c>
      <c r="M2147" s="2" t="n">
        <v>20330</v>
      </c>
      <c r="N2147" s="2" t="n">
        <v>2</v>
      </c>
      <c r="O2147" s="2" t="n">
        <v>15</v>
      </c>
      <c r="P2147" s="2" t="n">
        <v>1</v>
      </c>
      <c r="Q2147" s="2" t="n">
        <v>5</v>
      </c>
      <c r="R2147" s="2" t="n">
        <v>5</v>
      </c>
      <c r="S2147" s="2" t="n">
        <v>3</v>
      </c>
      <c r="T2147" s="2" t="n">
        <v>1</v>
      </c>
      <c r="U2147" s="2" t="n">
        <v>2</v>
      </c>
      <c r="V2147" s="2" t="n">
        <v>4</v>
      </c>
      <c r="W2147" s="2" t="n">
        <v>1</v>
      </c>
      <c r="X2147" s="2" t="n">
        <v>2</v>
      </c>
      <c r="Y2147" s="2" t="n">
        <v>3</v>
      </c>
      <c r="Z2147" s="2" t="n">
        <v>3</v>
      </c>
    </row>
    <row r="2148" customFormat="false" ht="15" hidden="false" customHeight="true" outlineLevel="0" collapsed="false">
      <c r="A2148" s="2" t="n">
        <v>25</v>
      </c>
      <c r="B2148" s="2" t="s">
        <v>26</v>
      </c>
      <c r="C2148" s="2" t="s">
        <v>27</v>
      </c>
      <c r="D2148" s="2" t="s">
        <v>35</v>
      </c>
      <c r="E2148" s="2" t="n">
        <v>18</v>
      </c>
      <c r="F2148" s="2" t="n">
        <v>2</v>
      </c>
      <c r="G2148" s="2" t="s">
        <v>29</v>
      </c>
      <c r="H2148" s="2" t="n">
        <v>2147</v>
      </c>
      <c r="I2148" s="2" t="s">
        <v>39</v>
      </c>
      <c r="J2148" s="2" t="n">
        <v>1</v>
      </c>
      <c r="K2148" s="2" t="s">
        <v>36</v>
      </c>
      <c r="L2148" s="2" t="s">
        <v>37</v>
      </c>
      <c r="M2148" s="2" t="n">
        <v>36220</v>
      </c>
      <c r="N2148" s="2" t="n">
        <v>1</v>
      </c>
      <c r="O2148" s="2" t="n">
        <v>25</v>
      </c>
      <c r="P2148" s="2" t="n">
        <v>0</v>
      </c>
      <c r="Q2148" s="2" t="n">
        <v>2</v>
      </c>
      <c r="R2148" s="2" t="n">
        <v>0</v>
      </c>
      <c r="S2148" s="2" t="n">
        <v>2</v>
      </c>
      <c r="T2148" s="2" t="n">
        <v>2</v>
      </c>
      <c r="U2148" s="2" t="n">
        <v>1</v>
      </c>
      <c r="V2148" s="2" t="n">
        <v>4</v>
      </c>
      <c r="W2148" s="2" t="n">
        <v>2</v>
      </c>
      <c r="X2148" s="2" t="n">
        <v>2</v>
      </c>
      <c r="Y2148" s="2" t="n">
        <v>3</v>
      </c>
      <c r="Z2148" s="2" t="n">
        <v>4</v>
      </c>
    </row>
    <row r="2149" customFormat="false" ht="15" hidden="false" customHeight="true" outlineLevel="0" collapsed="false">
      <c r="A2149" s="2" t="n">
        <v>32</v>
      </c>
      <c r="B2149" s="2" t="s">
        <v>26</v>
      </c>
      <c r="C2149" s="2" t="s">
        <v>27</v>
      </c>
      <c r="D2149" s="2" t="s">
        <v>35</v>
      </c>
      <c r="E2149" s="2" t="n">
        <v>10</v>
      </c>
      <c r="F2149" s="2" t="n">
        <v>4</v>
      </c>
      <c r="G2149" s="2" t="s">
        <v>38</v>
      </c>
      <c r="H2149" s="2" t="n">
        <v>2148</v>
      </c>
      <c r="I2149" s="2" t="s">
        <v>30</v>
      </c>
      <c r="J2149" s="2" t="n">
        <v>1</v>
      </c>
      <c r="K2149" s="2" t="s">
        <v>40</v>
      </c>
      <c r="L2149" s="2" t="s">
        <v>32</v>
      </c>
      <c r="M2149" s="2" t="n">
        <v>42330</v>
      </c>
      <c r="N2149" s="2" t="n">
        <v>1</v>
      </c>
      <c r="O2149" s="2" t="n">
        <v>11</v>
      </c>
      <c r="P2149" s="2" t="n">
        <v>0</v>
      </c>
      <c r="Q2149" s="2" t="n">
        <v>10</v>
      </c>
      <c r="R2149" s="2" t="n">
        <v>5</v>
      </c>
      <c r="S2149" s="2" t="n">
        <v>10</v>
      </c>
      <c r="T2149" s="2" t="n">
        <v>0</v>
      </c>
      <c r="U2149" s="2" t="n">
        <v>8</v>
      </c>
      <c r="V2149" s="2" t="n">
        <v>3</v>
      </c>
      <c r="W2149" s="2" t="n">
        <v>4</v>
      </c>
      <c r="X2149" s="2" t="n">
        <v>4</v>
      </c>
      <c r="Y2149" s="2" t="n">
        <v>3</v>
      </c>
      <c r="Z2149" s="2" t="n">
        <v>3</v>
      </c>
    </row>
    <row r="2150" customFormat="false" ht="15" hidden="false" customHeight="true" outlineLevel="0" collapsed="false">
      <c r="A2150" s="2" t="n">
        <v>45</v>
      </c>
      <c r="B2150" s="2" t="s">
        <v>26</v>
      </c>
      <c r="C2150" s="2" t="s">
        <v>34</v>
      </c>
      <c r="D2150" s="2" t="s">
        <v>35</v>
      </c>
      <c r="E2150" s="2" t="n">
        <v>19</v>
      </c>
      <c r="F2150" s="2" t="n">
        <v>3</v>
      </c>
      <c r="G2150" s="2" t="s">
        <v>43</v>
      </c>
      <c r="H2150" s="2" t="n">
        <v>2149</v>
      </c>
      <c r="I2150" s="2" t="s">
        <v>39</v>
      </c>
      <c r="J2150" s="2" t="n">
        <v>3</v>
      </c>
      <c r="K2150" s="2" t="s">
        <v>45</v>
      </c>
      <c r="L2150" s="2" t="s">
        <v>37</v>
      </c>
      <c r="M2150" s="2" t="n">
        <v>36810</v>
      </c>
      <c r="N2150" s="2" t="n">
        <v>3</v>
      </c>
      <c r="O2150" s="2" t="n">
        <v>17</v>
      </c>
      <c r="P2150" s="2" t="n">
        <v>1</v>
      </c>
      <c r="Q2150" s="2" t="n">
        <v>22</v>
      </c>
      <c r="R2150" s="2" t="n">
        <v>2</v>
      </c>
      <c r="S2150" s="2" t="n">
        <v>0</v>
      </c>
      <c r="T2150" s="2" t="n">
        <v>0</v>
      </c>
      <c r="U2150" s="2" t="n">
        <v>0</v>
      </c>
      <c r="V2150" s="2"/>
      <c r="W2150" s="2" t="n">
        <v>2</v>
      </c>
      <c r="X2150" s="2" t="n">
        <v>3</v>
      </c>
      <c r="Y2150" s="2" t="n">
        <v>3</v>
      </c>
      <c r="Z2150" s="2" t="n">
        <v>3</v>
      </c>
    </row>
    <row r="2151" customFormat="false" ht="15" hidden="false" customHeight="true" outlineLevel="0" collapsed="false">
      <c r="A2151" s="2" t="n">
        <v>39</v>
      </c>
      <c r="B2151" s="2" t="s">
        <v>26</v>
      </c>
      <c r="C2151" s="2" t="s">
        <v>27</v>
      </c>
      <c r="D2151" s="2" t="s">
        <v>28</v>
      </c>
      <c r="E2151" s="2" t="n">
        <v>29</v>
      </c>
      <c r="F2151" s="2" t="n">
        <v>1</v>
      </c>
      <c r="G2151" s="2" t="s">
        <v>50</v>
      </c>
      <c r="H2151" s="2" t="n">
        <v>2150</v>
      </c>
      <c r="I2151" s="2" t="s">
        <v>30</v>
      </c>
      <c r="J2151" s="2" t="n">
        <v>1</v>
      </c>
      <c r="K2151" s="2" t="s">
        <v>45</v>
      </c>
      <c r="L2151" s="2" t="s">
        <v>46</v>
      </c>
      <c r="M2151" s="2" t="n">
        <v>54600</v>
      </c>
      <c r="N2151" s="2" t="n">
        <v>6</v>
      </c>
      <c r="O2151" s="2" t="n">
        <v>13</v>
      </c>
      <c r="P2151" s="2" t="n">
        <v>2</v>
      </c>
      <c r="Q2151" s="2" t="n">
        <v>21</v>
      </c>
      <c r="R2151" s="2" t="n">
        <v>3</v>
      </c>
      <c r="S2151" s="2" t="n">
        <v>19</v>
      </c>
      <c r="T2151" s="2" t="n">
        <v>15</v>
      </c>
      <c r="U2151" s="2" t="n">
        <v>2</v>
      </c>
      <c r="V2151" s="2" t="n">
        <v>3</v>
      </c>
      <c r="W2151" s="2" t="n">
        <v>2</v>
      </c>
      <c r="X2151" s="2" t="n">
        <v>3</v>
      </c>
      <c r="Y2151" s="2" t="n">
        <v>3</v>
      </c>
      <c r="Z2151" s="2" t="n">
        <v>3</v>
      </c>
    </row>
    <row r="2152" customFormat="false" ht="15" hidden="false" customHeight="true" outlineLevel="0" collapsed="false">
      <c r="A2152" s="2" t="n">
        <v>58</v>
      </c>
      <c r="B2152" s="2" t="s">
        <v>26</v>
      </c>
      <c r="C2152" s="2" t="s">
        <v>27</v>
      </c>
      <c r="D2152" s="2" t="s">
        <v>35</v>
      </c>
      <c r="E2152" s="2" t="n">
        <v>27</v>
      </c>
      <c r="F2152" s="2" t="n">
        <v>3</v>
      </c>
      <c r="G2152" s="2" t="s">
        <v>38</v>
      </c>
      <c r="H2152" s="2" t="n">
        <v>2151</v>
      </c>
      <c r="I2152" s="2" t="s">
        <v>39</v>
      </c>
      <c r="J2152" s="2" t="n">
        <v>2</v>
      </c>
      <c r="K2152" s="2" t="s">
        <v>45</v>
      </c>
      <c r="L2152" s="2" t="s">
        <v>46</v>
      </c>
      <c r="M2152" s="2" t="n">
        <v>21870</v>
      </c>
      <c r="N2152" s="2" t="n">
        <v>1</v>
      </c>
      <c r="O2152" s="2" t="n">
        <v>18</v>
      </c>
      <c r="P2152" s="2" t="n">
        <v>1</v>
      </c>
      <c r="Q2152" s="2" t="n">
        <v>2</v>
      </c>
      <c r="R2152" s="2" t="n">
        <v>1</v>
      </c>
      <c r="S2152" s="2" t="n">
        <v>2</v>
      </c>
      <c r="T2152" s="2" t="n">
        <v>2</v>
      </c>
      <c r="U2152" s="2" t="n">
        <v>2</v>
      </c>
      <c r="V2152" s="2" t="n">
        <v>1</v>
      </c>
      <c r="W2152" s="2" t="n">
        <v>3</v>
      </c>
      <c r="X2152" s="2" t="n">
        <v>3</v>
      </c>
      <c r="Y2152" s="2" t="n">
        <v>1</v>
      </c>
      <c r="Z2152" s="2" t="n">
        <v>3</v>
      </c>
    </row>
    <row r="2153" customFormat="false" ht="15" hidden="false" customHeight="true" outlineLevel="0" collapsed="false">
      <c r="A2153" s="2" t="n">
        <v>32</v>
      </c>
      <c r="B2153" s="2" t="s">
        <v>33</v>
      </c>
      <c r="C2153" s="2" t="s">
        <v>27</v>
      </c>
      <c r="D2153" s="2" t="s">
        <v>35</v>
      </c>
      <c r="E2153" s="2" t="n">
        <v>5</v>
      </c>
      <c r="F2153" s="2" t="n">
        <v>3</v>
      </c>
      <c r="G2153" s="2" t="s">
        <v>51</v>
      </c>
      <c r="H2153" s="2" t="n">
        <v>2152</v>
      </c>
      <c r="I2153" s="2" t="s">
        <v>30</v>
      </c>
      <c r="J2153" s="2" t="n">
        <v>1</v>
      </c>
      <c r="K2153" s="2" t="s">
        <v>40</v>
      </c>
      <c r="L2153" s="2" t="s">
        <v>32</v>
      </c>
      <c r="M2153" s="2" t="n">
        <v>96020</v>
      </c>
      <c r="N2153" s="2" t="n">
        <v>1</v>
      </c>
      <c r="O2153" s="2" t="n">
        <v>13</v>
      </c>
      <c r="P2153" s="2" t="n">
        <v>1</v>
      </c>
      <c r="Q2153" s="2" t="n">
        <v>10</v>
      </c>
      <c r="R2153" s="2" t="n">
        <v>3</v>
      </c>
      <c r="S2153" s="2" t="n">
        <v>10</v>
      </c>
      <c r="T2153" s="2" t="n">
        <v>1</v>
      </c>
      <c r="U2153" s="2" t="n">
        <v>1</v>
      </c>
      <c r="V2153" s="2" t="n">
        <v>4</v>
      </c>
      <c r="W2153" s="2" t="n">
        <v>3</v>
      </c>
      <c r="X2153" s="2" t="n">
        <v>3</v>
      </c>
      <c r="Y2153" s="2" t="n">
        <v>3</v>
      </c>
      <c r="Z2153" s="2" t="n">
        <v>3</v>
      </c>
    </row>
    <row r="2154" customFormat="false" ht="15" hidden="false" customHeight="true" outlineLevel="0" collapsed="false">
      <c r="A2154" s="2" t="n">
        <v>39</v>
      </c>
      <c r="B2154" s="2" t="s">
        <v>33</v>
      </c>
      <c r="C2154" s="2" t="s">
        <v>27</v>
      </c>
      <c r="D2154" s="2" t="s">
        <v>35</v>
      </c>
      <c r="E2154" s="2" t="n">
        <v>18</v>
      </c>
      <c r="F2154" s="2" t="n">
        <v>2</v>
      </c>
      <c r="G2154" s="2" t="s">
        <v>29</v>
      </c>
      <c r="H2154" s="2" t="n">
        <v>2153</v>
      </c>
      <c r="I2154" s="2" t="s">
        <v>39</v>
      </c>
      <c r="J2154" s="2" t="n">
        <v>2</v>
      </c>
      <c r="K2154" s="2" t="s">
        <v>45</v>
      </c>
      <c r="L2154" s="2" t="s">
        <v>37</v>
      </c>
      <c r="M2154" s="2" t="n">
        <v>28360</v>
      </c>
      <c r="N2154" s="2" t="n">
        <v>0</v>
      </c>
      <c r="O2154" s="2" t="n">
        <v>20</v>
      </c>
      <c r="P2154" s="2" t="n">
        <v>0</v>
      </c>
      <c r="Q2154" s="2" t="n">
        <v>6</v>
      </c>
      <c r="R2154" s="2" t="n">
        <v>3</v>
      </c>
      <c r="S2154" s="2" t="n">
        <v>5</v>
      </c>
      <c r="T2154" s="2" t="n">
        <v>0</v>
      </c>
      <c r="U2154" s="2" t="n">
        <v>3</v>
      </c>
      <c r="V2154" s="2" t="n">
        <v>3</v>
      </c>
      <c r="W2154" s="2" t="n">
        <v>1</v>
      </c>
      <c r="X2154" s="2" t="n">
        <v>3</v>
      </c>
      <c r="Y2154" s="2" t="n">
        <v>2</v>
      </c>
      <c r="Z2154" s="2" t="n">
        <v>4</v>
      </c>
    </row>
    <row r="2155" customFormat="false" ht="15" hidden="false" customHeight="true" outlineLevel="0" collapsed="false">
      <c r="A2155" s="2" t="n">
        <v>30</v>
      </c>
      <c r="B2155" s="2" t="s">
        <v>26</v>
      </c>
      <c r="C2155" s="2" t="s">
        <v>27</v>
      </c>
      <c r="D2155" s="2" t="s">
        <v>28</v>
      </c>
      <c r="E2155" s="2" t="n">
        <v>9</v>
      </c>
      <c r="F2155" s="2" t="n">
        <v>1</v>
      </c>
      <c r="G2155" s="2" t="s">
        <v>50</v>
      </c>
      <c r="H2155" s="2" t="n">
        <v>2154</v>
      </c>
      <c r="I2155" s="2" t="s">
        <v>39</v>
      </c>
      <c r="J2155" s="2" t="n">
        <v>4</v>
      </c>
      <c r="K2155" s="2" t="s">
        <v>44</v>
      </c>
      <c r="L2155" s="2" t="s">
        <v>32</v>
      </c>
      <c r="M2155" s="2" t="n">
        <v>40890</v>
      </c>
      <c r="N2155" s="2" t="n">
        <v>0</v>
      </c>
      <c r="O2155" s="2" t="n">
        <v>18</v>
      </c>
      <c r="P2155" s="2" t="n">
        <v>0</v>
      </c>
      <c r="Q2155" s="2" t="n">
        <v>10</v>
      </c>
      <c r="R2155" s="2" t="n">
        <v>2</v>
      </c>
      <c r="S2155" s="2" t="n">
        <v>9</v>
      </c>
      <c r="T2155" s="2" t="n">
        <v>6</v>
      </c>
      <c r="U2155" s="2" t="n">
        <v>7</v>
      </c>
      <c r="V2155" s="2" t="n">
        <v>1</v>
      </c>
      <c r="W2155" s="2" t="n">
        <v>4</v>
      </c>
      <c r="X2155" s="2" t="n">
        <v>3</v>
      </c>
      <c r="Y2155" s="2" t="n">
        <v>4</v>
      </c>
      <c r="Z2155" s="2" t="n">
        <v>3</v>
      </c>
    </row>
    <row r="2156" customFormat="false" ht="15" hidden="false" customHeight="true" outlineLevel="0" collapsed="false">
      <c r="A2156" s="2" t="n">
        <v>36</v>
      </c>
      <c r="B2156" s="2" t="s">
        <v>26</v>
      </c>
      <c r="C2156" s="2" t="s">
        <v>27</v>
      </c>
      <c r="D2156" s="2" t="s">
        <v>28</v>
      </c>
      <c r="E2156" s="2" t="n">
        <v>1</v>
      </c>
      <c r="F2156" s="2" t="n">
        <v>3</v>
      </c>
      <c r="G2156" s="2" t="s">
        <v>50</v>
      </c>
      <c r="H2156" s="2" t="n">
        <v>2155</v>
      </c>
      <c r="I2156" s="2" t="s">
        <v>39</v>
      </c>
      <c r="J2156" s="2" t="n">
        <v>2</v>
      </c>
      <c r="K2156" s="2" t="s">
        <v>40</v>
      </c>
      <c r="L2156" s="2" t="s">
        <v>32</v>
      </c>
      <c r="M2156" s="2" t="n">
        <v>166270</v>
      </c>
      <c r="N2156" s="2" t="n">
        <v>3</v>
      </c>
      <c r="O2156" s="2" t="n">
        <v>12</v>
      </c>
      <c r="P2156" s="2" t="n">
        <v>0</v>
      </c>
      <c r="Q2156" s="2" t="n">
        <v>10</v>
      </c>
      <c r="R2156" s="2" t="n">
        <v>5</v>
      </c>
      <c r="S2156" s="2" t="n">
        <v>7</v>
      </c>
      <c r="T2156" s="2" t="n">
        <v>1</v>
      </c>
      <c r="U2156" s="2" t="n">
        <v>7</v>
      </c>
      <c r="V2156" s="2" t="n">
        <v>4</v>
      </c>
      <c r="W2156" s="2" t="n">
        <v>3</v>
      </c>
      <c r="X2156" s="2" t="n">
        <v>3</v>
      </c>
      <c r="Y2156" s="2" t="n">
        <v>2</v>
      </c>
      <c r="Z2156" s="2" t="n">
        <v>3</v>
      </c>
    </row>
    <row r="2157" customFormat="false" ht="15" hidden="false" customHeight="true" outlineLevel="0" collapsed="false">
      <c r="A2157" s="2" t="n">
        <v>46</v>
      </c>
      <c r="B2157" s="2" t="s">
        <v>26</v>
      </c>
      <c r="C2157" s="2" t="s">
        <v>27</v>
      </c>
      <c r="D2157" s="2" t="s">
        <v>28</v>
      </c>
      <c r="E2157" s="2" t="n">
        <v>4</v>
      </c>
      <c r="F2157" s="2" t="n">
        <v>3</v>
      </c>
      <c r="G2157" s="2" t="s">
        <v>43</v>
      </c>
      <c r="H2157" s="2" t="n">
        <v>2156</v>
      </c>
      <c r="I2157" s="2" t="s">
        <v>39</v>
      </c>
      <c r="J2157" s="2" t="n">
        <v>1</v>
      </c>
      <c r="K2157" s="2" t="s">
        <v>36</v>
      </c>
      <c r="L2157" s="2" t="s">
        <v>37</v>
      </c>
      <c r="M2157" s="2" t="n">
        <v>26190</v>
      </c>
      <c r="N2157" s="2" t="n">
        <v>6</v>
      </c>
      <c r="O2157" s="2" t="n">
        <v>12</v>
      </c>
      <c r="P2157" s="2" t="n">
        <v>1</v>
      </c>
      <c r="Q2157" s="2" t="n">
        <v>10</v>
      </c>
      <c r="R2157" s="2" t="n">
        <v>3</v>
      </c>
      <c r="S2157" s="2" t="n">
        <v>7</v>
      </c>
      <c r="T2157" s="2" t="n">
        <v>5</v>
      </c>
      <c r="U2157" s="2" t="n">
        <v>7</v>
      </c>
      <c r="V2157" s="2" t="n">
        <v>4</v>
      </c>
      <c r="W2157" s="2" t="n">
        <v>1</v>
      </c>
      <c r="X2157" s="2" t="n">
        <v>4</v>
      </c>
      <c r="Y2157" s="2" t="n">
        <v>2</v>
      </c>
      <c r="Z2157" s="2" t="n">
        <v>3</v>
      </c>
    </row>
    <row r="2158" customFormat="false" ht="15" hidden="false" customHeight="true" outlineLevel="0" collapsed="false">
      <c r="A2158" s="2" t="n">
        <v>28</v>
      </c>
      <c r="B2158" s="2" t="s">
        <v>26</v>
      </c>
      <c r="C2158" s="2" t="s">
        <v>41</v>
      </c>
      <c r="D2158" s="2" t="s">
        <v>35</v>
      </c>
      <c r="E2158" s="2" t="n">
        <v>1</v>
      </c>
      <c r="F2158" s="2" t="n">
        <v>3</v>
      </c>
      <c r="G2158" s="2" t="s">
        <v>43</v>
      </c>
      <c r="H2158" s="2" t="n">
        <v>2157</v>
      </c>
      <c r="I2158" s="2" t="s">
        <v>39</v>
      </c>
      <c r="J2158" s="2" t="n">
        <v>5</v>
      </c>
      <c r="K2158" s="2" t="s">
        <v>40</v>
      </c>
      <c r="L2158" s="2" t="s">
        <v>32</v>
      </c>
      <c r="M2158" s="2" t="n">
        <v>56790</v>
      </c>
      <c r="N2158" s="2" t="n">
        <v>0</v>
      </c>
      <c r="O2158" s="2" t="n">
        <v>13</v>
      </c>
      <c r="P2158" s="2" t="n">
        <v>0</v>
      </c>
      <c r="Q2158" s="2" t="n">
        <v>10</v>
      </c>
      <c r="R2158" s="2" t="n">
        <v>2</v>
      </c>
      <c r="S2158" s="2" t="n">
        <v>9</v>
      </c>
      <c r="T2158" s="2" t="n">
        <v>7</v>
      </c>
      <c r="U2158" s="2" t="n">
        <v>5</v>
      </c>
      <c r="V2158" s="2" t="n">
        <v>3</v>
      </c>
      <c r="W2158" s="2" t="n">
        <v>4</v>
      </c>
      <c r="X2158" s="2" t="n">
        <v>3</v>
      </c>
      <c r="Y2158" s="2" t="n">
        <v>2</v>
      </c>
      <c r="Z2158" s="2" t="n">
        <v>3</v>
      </c>
    </row>
    <row r="2159" customFormat="false" ht="15" hidden="false" customHeight="true" outlineLevel="0" collapsed="false">
      <c r="A2159" s="2" t="n">
        <v>50</v>
      </c>
      <c r="B2159" s="2" t="s">
        <v>26</v>
      </c>
      <c r="C2159" s="2" t="s">
        <v>27</v>
      </c>
      <c r="D2159" s="2" t="s">
        <v>35</v>
      </c>
      <c r="E2159" s="2" t="n">
        <v>20</v>
      </c>
      <c r="F2159" s="2" t="n">
        <v>2</v>
      </c>
      <c r="G2159" s="2" t="s">
        <v>43</v>
      </c>
      <c r="H2159" s="2" t="n">
        <v>2158</v>
      </c>
      <c r="I2159" s="2" t="s">
        <v>30</v>
      </c>
      <c r="J2159" s="2" t="n">
        <v>5</v>
      </c>
      <c r="K2159" s="2" t="s">
        <v>45</v>
      </c>
      <c r="L2159" s="2" t="s">
        <v>32</v>
      </c>
      <c r="M2159" s="2" t="n">
        <v>154020</v>
      </c>
      <c r="N2159" s="2" t="n">
        <v>4</v>
      </c>
      <c r="O2159" s="2" t="n">
        <v>21</v>
      </c>
      <c r="P2159" s="2" t="n">
        <v>0</v>
      </c>
      <c r="Q2159" s="2" t="n">
        <v>25</v>
      </c>
      <c r="R2159" s="2" t="n">
        <v>3</v>
      </c>
      <c r="S2159" s="2" t="n">
        <v>3</v>
      </c>
      <c r="T2159" s="2" t="n">
        <v>1</v>
      </c>
      <c r="U2159" s="2" t="n">
        <v>2</v>
      </c>
      <c r="V2159" s="2" t="n">
        <v>4</v>
      </c>
      <c r="W2159" s="2" t="n">
        <v>1</v>
      </c>
      <c r="X2159" s="2" t="n">
        <v>3</v>
      </c>
      <c r="Y2159" s="2" t="n">
        <v>2</v>
      </c>
      <c r="Z2159" s="2" t="n">
        <v>4</v>
      </c>
    </row>
    <row r="2160" customFormat="false" ht="15" hidden="false" customHeight="true" outlineLevel="0" collapsed="false">
      <c r="A2160" s="2" t="n">
        <v>40</v>
      </c>
      <c r="B2160" s="2" t="s">
        <v>33</v>
      </c>
      <c r="C2160" s="2" t="s">
        <v>27</v>
      </c>
      <c r="D2160" s="2" t="s">
        <v>28</v>
      </c>
      <c r="E2160" s="2" t="n">
        <v>8</v>
      </c>
      <c r="F2160" s="2" t="n">
        <v>1</v>
      </c>
      <c r="G2160" s="2" t="s">
        <v>38</v>
      </c>
      <c r="H2160" s="2" t="n">
        <v>2159</v>
      </c>
      <c r="I2160" s="2" t="s">
        <v>39</v>
      </c>
      <c r="J2160" s="2" t="n">
        <v>1</v>
      </c>
      <c r="K2160" s="2" t="s">
        <v>45</v>
      </c>
      <c r="L2160" s="2" t="s">
        <v>37</v>
      </c>
      <c r="M2160" s="2" t="n">
        <v>59850</v>
      </c>
      <c r="N2160" s="2" t="n">
        <v>2</v>
      </c>
      <c r="O2160" s="2" t="n">
        <v>13</v>
      </c>
      <c r="P2160" s="2" t="n">
        <v>3</v>
      </c>
      <c r="Q2160" s="2" t="n">
        <v>9</v>
      </c>
      <c r="R2160" s="2" t="n">
        <v>1</v>
      </c>
      <c r="S2160" s="2" t="n">
        <v>5</v>
      </c>
      <c r="T2160" s="2" t="n">
        <v>1</v>
      </c>
      <c r="U2160" s="2" t="n">
        <v>0</v>
      </c>
      <c r="V2160" s="2" t="n">
        <v>4</v>
      </c>
      <c r="W2160" s="2" t="n">
        <v>2</v>
      </c>
      <c r="X2160" s="2" t="n">
        <v>3</v>
      </c>
      <c r="Y2160" s="2" t="n">
        <v>2</v>
      </c>
      <c r="Z2160" s="2" t="n">
        <v>3</v>
      </c>
    </row>
    <row r="2161" customFormat="false" ht="15" hidden="false" customHeight="true" outlineLevel="0" collapsed="false">
      <c r="A2161" s="2" t="n">
        <v>52</v>
      </c>
      <c r="B2161" s="2" t="s">
        <v>33</v>
      </c>
      <c r="C2161" s="2" t="s">
        <v>27</v>
      </c>
      <c r="D2161" s="2" t="s">
        <v>35</v>
      </c>
      <c r="E2161" s="2" t="n">
        <v>3</v>
      </c>
      <c r="F2161" s="2" t="n">
        <v>2</v>
      </c>
      <c r="G2161" s="2" t="s">
        <v>51</v>
      </c>
      <c r="H2161" s="2" t="n">
        <v>2160</v>
      </c>
      <c r="I2161" s="2" t="s">
        <v>39</v>
      </c>
      <c r="J2161" s="2" t="n">
        <v>3</v>
      </c>
      <c r="K2161" s="2" t="s">
        <v>45</v>
      </c>
      <c r="L2161" s="2" t="s">
        <v>37</v>
      </c>
      <c r="M2161" s="2" t="n">
        <v>25790</v>
      </c>
      <c r="N2161" s="2" t="n">
        <v>9</v>
      </c>
      <c r="O2161" s="2" t="n">
        <v>19</v>
      </c>
      <c r="P2161" s="2" t="n">
        <v>1</v>
      </c>
      <c r="Q2161" s="2" t="n">
        <v>10</v>
      </c>
      <c r="R2161" s="2" t="n">
        <v>1</v>
      </c>
      <c r="S2161" s="2" t="n">
        <v>8</v>
      </c>
      <c r="T2161" s="2" t="n">
        <v>7</v>
      </c>
      <c r="U2161" s="2" t="n">
        <v>7</v>
      </c>
      <c r="V2161" s="2" t="n">
        <v>2</v>
      </c>
      <c r="W2161" s="2" t="n">
        <v>2</v>
      </c>
      <c r="X2161" s="2" t="n">
        <v>2</v>
      </c>
      <c r="Y2161" s="2" t="n">
        <v>3</v>
      </c>
      <c r="Z2161" s="2" t="n">
        <v>3</v>
      </c>
    </row>
    <row r="2162" customFormat="false" ht="15" hidden="false" customHeight="true" outlineLevel="0" collapsed="false">
      <c r="A2162" s="2" t="n">
        <v>30</v>
      </c>
      <c r="B2162" s="2" t="s">
        <v>26</v>
      </c>
      <c r="C2162" s="2" t="s">
        <v>27</v>
      </c>
      <c r="D2162" s="2" t="s">
        <v>35</v>
      </c>
      <c r="E2162" s="2" t="n">
        <v>6</v>
      </c>
      <c r="F2162" s="2" t="n">
        <v>4</v>
      </c>
      <c r="G2162" s="2" t="s">
        <v>43</v>
      </c>
      <c r="H2162" s="2" t="n">
        <v>2161</v>
      </c>
      <c r="I2162" s="2" t="s">
        <v>30</v>
      </c>
      <c r="J2162" s="2" t="n">
        <v>1</v>
      </c>
      <c r="K2162" s="2" t="s">
        <v>40</v>
      </c>
      <c r="L2162" s="2" t="s">
        <v>32</v>
      </c>
      <c r="M2162" s="2" t="n">
        <v>30410</v>
      </c>
      <c r="N2162" s="2" t="n">
        <v>1</v>
      </c>
      <c r="O2162" s="2" t="n">
        <v>11</v>
      </c>
      <c r="P2162" s="2" t="n">
        <v>1</v>
      </c>
      <c r="Q2162" s="2" t="n">
        <v>9</v>
      </c>
      <c r="R2162" s="2" t="n">
        <v>2</v>
      </c>
      <c r="S2162" s="2" t="n">
        <v>9</v>
      </c>
      <c r="T2162" s="2" t="n">
        <v>0</v>
      </c>
      <c r="U2162" s="2" t="n">
        <v>8</v>
      </c>
      <c r="V2162" s="2" t="n">
        <v>2</v>
      </c>
      <c r="W2162" s="2" t="n">
        <v>1</v>
      </c>
      <c r="X2162" s="2" t="n">
        <v>3</v>
      </c>
      <c r="Y2162" s="2" t="n">
        <v>2</v>
      </c>
      <c r="Z2162" s="2" t="n">
        <v>3</v>
      </c>
    </row>
    <row r="2163" customFormat="false" ht="15" hidden="false" customHeight="true" outlineLevel="0" collapsed="false">
      <c r="A2163" s="2" t="n">
        <v>39</v>
      </c>
      <c r="B2163" s="2" t="s">
        <v>26</v>
      </c>
      <c r="C2163" s="2" t="s">
        <v>27</v>
      </c>
      <c r="D2163" s="2" t="s">
        <v>35</v>
      </c>
      <c r="E2163" s="2" t="n">
        <v>26</v>
      </c>
      <c r="F2163" s="2" t="n">
        <v>1</v>
      </c>
      <c r="G2163" s="2" t="s">
        <v>43</v>
      </c>
      <c r="H2163" s="2" t="n">
        <v>2162</v>
      </c>
      <c r="I2163" s="2" t="s">
        <v>39</v>
      </c>
      <c r="J2163" s="2" t="n">
        <v>2</v>
      </c>
      <c r="K2163" s="2" t="s">
        <v>31</v>
      </c>
      <c r="L2163" s="2" t="s">
        <v>37</v>
      </c>
      <c r="M2163" s="2" t="n">
        <v>34470</v>
      </c>
      <c r="N2163" s="2" t="n">
        <v>0</v>
      </c>
      <c r="O2163" s="2" t="n">
        <v>14</v>
      </c>
      <c r="P2163" s="2" t="n">
        <v>0</v>
      </c>
      <c r="Q2163" s="2" t="n">
        <v>9</v>
      </c>
      <c r="R2163" s="2" t="n">
        <v>5</v>
      </c>
      <c r="S2163" s="2" t="n">
        <v>8</v>
      </c>
      <c r="T2163" s="2" t="n">
        <v>1</v>
      </c>
      <c r="U2163" s="2" t="n">
        <v>7</v>
      </c>
      <c r="V2163" s="2" t="n">
        <v>1</v>
      </c>
      <c r="W2163" s="2" t="n">
        <v>3</v>
      </c>
      <c r="X2163" s="2" t="n">
        <v>3</v>
      </c>
      <c r="Y2163" s="2" t="n">
        <v>3</v>
      </c>
      <c r="Z2163" s="2" t="n">
        <v>3</v>
      </c>
    </row>
    <row r="2164" customFormat="false" ht="15" hidden="false" customHeight="true" outlineLevel="0" collapsed="false">
      <c r="A2164" s="2" t="n">
        <v>31</v>
      </c>
      <c r="B2164" s="2" t="s">
        <v>26</v>
      </c>
      <c r="C2164" s="2" t="s">
        <v>41</v>
      </c>
      <c r="D2164" s="2" t="s">
        <v>35</v>
      </c>
      <c r="E2164" s="2" t="n">
        <v>1</v>
      </c>
      <c r="F2164" s="2" t="n">
        <v>2</v>
      </c>
      <c r="G2164" s="2" t="s">
        <v>43</v>
      </c>
      <c r="H2164" s="2" t="n">
        <v>2163</v>
      </c>
      <c r="I2164" s="2" t="s">
        <v>39</v>
      </c>
      <c r="J2164" s="2" t="n">
        <v>1</v>
      </c>
      <c r="K2164" s="2" t="s">
        <v>40</v>
      </c>
      <c r="L2164" s="2" t="s">
        <v>46</v>
      </c>
      <c r="M2164" s="2" t="n">
        <v>195130</v>
      </c>
      <c r="N2164" s="2" t="n">
        <v>1</v>
      </c>
      <c r="O2164" s="2" t="n">
        <v>12</v>
      </c>
      <c r="P2164" s="2" t="n">
        <v>1</v>
      </c>
      <c r="Q2164" s="2" t="n">
        <v>10</v>
      </c>
      <c r="R2164" s="2" t="n">
        <v>1</v>
      </c>
      <c r="S2164" s="2" t="n">
        <v>10</v>
      </c>
      <c r="T2164" s="2" t="n">
        <v>9</v>
      </c>
      <c r="U2164" s="2" t="n">
        <v>6</v>
      </c>
      <c r="V2164" s="2" t="n">
        <v>4</v>
      </c>
      <c r="W2164" s="2" t="n">
        <v>3</v>
      </c>
      <c r="X2164" s="2" t="n">
        <v>2</v>
      </c>
      <c r="Y2164" s="2" t="n">
        <v>2</v>
      </c>
      <c r="Z2164" s="2" t="n">
        <v>3</v>
      </c>
    </row>
    <row r="2165" customFormat="false" ht="15" hidden="false" customHeight="true" outlineLevel="0" collapsed="false">
      <c r="A2165" s="2" t="n">
        <v>41</v>
      </c>
      <c r="B2165" s="2" t="s">
        <v>26</v>
      </c>
      <c r="C2165" s="2" t="s">
        <v>41</v>
      </c>
      <c r="D2165" s="2" t="s">
        <v>28</v>
      </c>
      <c r="E2165" s="2" t="n">
        <v>6</v>
      </c>
      <c r="F2165" s="2" t="n">
        <v>3</v>
      </c>
      <c r="G2165" s="2" t="s">
        <v>29</v>
      </c>
      <c r="H2165" s="2" t="n">
        <v>2164</v>
      </c>
      <c r="I2165" s="2" t="s">
        <v>30</v>
      </c>
      <c r="J2165" s="2" t="n">
        <v>1</v>
      </c>
      <c r="K2165" s="2" t="s">
        <v>44</v>
      </c>
      <c r="L2165" s="2" t="s">
        <v>37</v>
      </c>
      <c r="M2165" s="2" t="n">
        <v>27730</v>
      </c>
      <c r="N2165" s="2" t="n">
        <v>1</v>
      </c>
      <c r="O2165" s="2" t="n">
        <v>11</v>
      </c>
      <c r="P2165" s="2" t="n">
        <v>0</v>
      </c>
      <c r="Q2165" s="2" t="n">
        <v>19</v>
      </c>
      <c r="R2165" s="2" t="n">
        <v>3</v>
      </c>
      <c r="S2165" s="2" t="n">
        <v>19</v>
      </c>
      <c r="T2165" s="2" t="n">
        <v>11</v>
      </c>
      <c r="U2165" s="2" t="n">
        <v>9</v>
      </c>
      <c r="V2165" s="2" t="n">
        <v>3</v>
      </c>
      <c r="W2165" s="2" t="n">
        <v>2</v>
      </c>
      <c r="X2165" s="2" t="n">
        <v>3</v>
      </c>
      <c r="Y2165" s="2" t="n">
        <v>3</v>
      </c>
      <c r="Z2165" s="2" t="n">
        <v>3</v>
      </c>
    </row>
    <row r="2166" customFormat="false" ht="15" hidden="false" customHeight="true" outlineLevel="0" collapsed="false">
      <c r="A2166" s="2" t="n">
        <v>31</v>
      </c>
      <c r="B2166" s="2" t="s">
        <v>33</v>
      </c>
      <c r="C2166" s="2" t="s">
        <v>34</v>
      </c>
      <c r="D2166" s="2" t="s">
        <v>35</v>
      </c>
      <c r="E2166" s="2" t="n">
        <v>3</v>
      </c>
      <c r="F2166" s="2" t="n">
        <v>1</v>
      </c>
      <c r="G2166" s="2" t="s">
        <v>29</v>
      </c>
      <c r="H2166" s="2" t="n">
        <v>2165</v>
      </c>
      <c r="I2166" s="2" t="s">
        <v>39</v>
      </c>
      <c r="J2166" s="2" t="n">
        <v>1</v>
      </c>
      <c r="K2166" s="2" t="s">
        <v>40</v>
      </c>
      <c r="L2166" s="2" t="s">
        <v>37</v>
      </c>
      <c r="M2166" s="2" t="n">
        <v>71040</v>
      </c>
      <c r="N2166" s="2" t="n">
        <v>1</v>
      </c>
      <c r="O2166" s="2" t="n">
        <v>14</v>
      </c>
      <c r="P2166" s="2" t="n">
        <v>1</v>
      </c>
      <c r="Q2166" s="2" t="n">
        <v>3</v>
      </c>
      <c r="R2166" s="2" t="n">
        <v>3</v>
      </c>
      <c r="S2166" s="2" t="n">
        <v>3</v>
      </c>
      <c r="T2166" s="2" t="n">
        <v>2</v>
      </c>
      <c r="U2166" s="2" t="n">
        <v>2</v>
      </c>
      <c r="V2166" s="2" t="n">
        <v>4</v>
      </c>
      <c r="W2166" s="2" t="n">
        <v>2</v>
      </c>
      <c r="X2166" s="2" t="n">
        <v>4</v>
      </c>
      <c r="Y2166" s="2" t="n">
        <v>3</v>
      </c>
      <c r="Z2166" s="2" t="n">
        <v>3</v>
      </c>
    </row>
    <row r="2167" customFormat="false" ht="15" hidden="false" customHeight="true" outlineLevel="0" collapsed="false">
      <c r="A2167" s="2" t="n">
        <v>44</v>
      </c>
      <c r="B2167" s="2" t="s">
        <v>33</v>
      </c>
      <c r="C2167" s="2" t="s">
        <v>27</v>
      </c>
      <c r="D2167" s="2" t="s">
        <v>28</v>
      </c>
      <c r="E2167" s="2" t="n">
        <v>5</v>
      </c>
      <c r="F2167" s="2" t="n">
        <v>3</v>
      </c>
      <c r="G2167" s="2" t="s">
        <v>29</v>
      </c>
      <c r="H2167" s="2" t="n">
        <v>2166</v>
      </c>
      <c r="I2167" s="2" t="s">
        <v>39</v>
      </c>
      <c r="J2167" s="2" t="n">
        <v>1</v>
      </c>
      <c r="K2167" s="2" t="s">
        <v>45</v>
      </c>
      <c r="L2167" s="2" t="s">
        <v>32</v>
      </c>
      <c r="M2167" s="2" t="n">
        <v>63220</v>
      </c>
      <c r="N2167" s="2" t="n">
        <v>4</v>
      </c>
      <c r="O2167" s="2" t="n">
        <v>11</v>
      </c>
      <c r="P2167" s="2" t="n">
        <v>1</v>
      </c>
      <c r="Q2167" s="2" t="n">
        <v>10</v>
      </c>
      <c r="R2167" s="2" t="n">
        <v>2</v>
      </c>
      <c r="S2167" s="2" t="n">
        <v>3</v>
      </c>
      <c r="T2167" s="2" t="n">
        <v>1</v>
      </c>
      <c r="U2167" s="2" t="n">
        <v>2</v>
      </c>
      <c r="V2167" s="2" t="n">
        <v>1</v>
      </c>
      <c r="W2167" s="2" t="n">
        <v>1</v>
      </c>
      <c r="X2167" s="2" t="n">
        <v>4</v>
      </c>
      <c r="Y2167" s="2" t="n">
        <v>3</v>
      </c>
      <c r="Z2167" s="2" t="n">
        <v>3</v>
      </c>
    </row>
    <row r="2168" customFormat="false" ht="15" hidden="false" customHeight="true" outlineLevel="0" collapsed="false">
      <c r="A2168" s="2" t="n">
        <v>42</v>
      </c>
      <c r="B2168" s="2" t="s">
        <v>26</v>
      </c>
      <c r="C2168" s="2" t="s">
        <v>41</v>
      </c>
      <c r="D2168" s="2" t="s">
        <v>35</v>
      </c>
      <c r="E2168" s="2" t="n">
        <v>4</v>
      </c>
      <c r="F2168" s="2" t="n">
        <v>3</v>
      </c>
      <c r="G2168" s="2" t="s">
        <v>29</v>
      </c>
      <c r="H2168" s="2" t="n">
        <v>2167</v>
      </c>
      <c r="I2168" s="2" t="s">
        <v>39</v>
      </c>
      <c r="J2168" s="2" t="n">
        <v>2</v>
      </c>
      <c r="K2168" s="2" t="s">
        <v>45</v>
      </c>
      <c r="L2168" s="2" t="s">
        <v>32</v>
      </c>
      <c r="M2168" s="2" t="n">
        <v>20830</v>
      </c>
      <c r="N2168" s="2" t="n">
        <v>0</v>
      </c>
      <c r="O2168" s="2" t="n">
        <v>12</v>
      </c>
      <c r="P2168" s="2" t="n">
        <v>2</v>
      </c>
      <c r="Q2168" s="2" t="n">
        <v>21</v>
      </c>
      <c r="R2168" s="2" t="n">
        <v>3</v>
      </c>
      <c r="S2168" s="2" t="n">
        <v>20</v>
      </c>
      <c r="T2168" s="2" t="n">
        <v>2</v>
      </c>
      <c r="U2168" s="2" t="n">
        <v>10</v>
      </c>
      <c r="V2168" s="2" t="n">
        <v>3</v>
      </c>
      <c r="W2168" s="2" t="n">
        <v>3</v>
      </c>
      <c r="X2168" s="2" t="n">
        <v>2</v>
      </c>
      <c r="Y2168" s="2" t="n">
        <v>2</v>
      </c>
      <c r="Z2168" s="2" t="n">
        <v>3</v>
      </c>
    </row>
    <row r="2169" customFormat="false" ht="15" hidden="false" customHeight="true" outlineLevel="0" collapsed="false">
      <c r="A2169" s="2" t="n">
        <v>55</v>
      </c>
      <c r="B2169" s="2" t="s">
        <v>26</v>
      </c>
      <c r="C2169" s="2" t="s">
        <v>27</v>
      </c>
      <c r="D2169" s="2" t="s">
        <v>28</v>
      </c>
      <c r="E2169" s="2" t="n">
        <v>11</v>
      </c>
      <c r="F2169" s="2" t="n">
        <v>3</v>
      </c>
      <c r="G2169" s="2" t="s">
        <v>51</v>
      </c>
      <c r="H2169" s="2" t="n">
        <v>2168</v>
      </c>
      <c r="I2169" s="2" t="s">
        <v>39</v>
      </c>
      <c r="J2169" s="2" t="n">
        <v>2</v>
      </c>
      <c r="K2169" s="2" t="s">
        <v>47</v>
      </c>
      <c r="L2169" s="2" t="s">
        <v>32</v>
      </c>
      <c r="M2169" s="2" t="n">
        <v>83810</v>
      </c>
      <c r="N2169" s="2" t="n">
        <v>4</v>
      </c>
      <c r="O2169" s="2" t="n">
        <v>15</v>
      </c>
      <c r="P2169" s="2" t="n">
        <v>1</v>
      </c>
      <c r="Q2169" s="2" t="n">
        <v>23</v>
      </c>
      <c r="R2169" s="2" t="n">
        <v>3</v>
      </c>
      <c r="S2169" s="2" t="n">
        <v>19</v>
      </c>
      <c r="T2169" s="2" t="n">
        <v>9</v>
      </c>
      <c r="U2169" s="2" t="n">
        <v>11</v>
      </c>
      <c r="V2169" s="2" t="n">
        <v>4</v>
      </c>
      <c r="W2169" s="2" t="n">
        <v>3</v>
      </c>
      <c r="X2169" s="2" t="n">
        <v>3</v>
      </c>
      <c r="Y2169" s="2" t="n">
        <v>3</v>
      </c>
      <c r="Z2169" s="2" t="n">
        <v>3</v>
      </c>
    </row>
    <row r="2170" customFormat="false" ht="15" hidden="false" customHeight="true" outlineLevel="0" collapsed="false">
      <c r="A2170" s="2" t="n">
        <v>56</v>
      </c>
      <c r="B2170" s="2" t="s">
        <v>26</v>
      </c>
      <c r="C2170" s="2" t="s">
        <v>27</v>
      </c>
      <c r="D2170" s="2" t="s">
        <v>28</v>
      </c>
      <c r="E2170" s="2" t="n">
        <v>3</v>
      </c>
      <c r="F2170" s="2" t="n">
        <v>2</v>
      </c>
      <c r="G2170" s="2" t="s">
        <v>43</v>
      </c>
      <c r="H2170" s="2" t="n">
        <v>2169</v>
      </c>
      <c r="I2170" s="2" t="s">
        <v>30</v>
      </c>
      <c r="J2170" s="2" t="n">
        <v>3</v>
      </c>
      <c r="K2170" s="2" t="s">
        <v>47</v>
      </c>
      <c r="L2170" s="2" t="s">
        <v>37</v>
      </c>
      <c r="M2170" s="2" t="n">
        <v>26910</v>
      </c>
      <c r="N2170" s="2" t="n">
        <v>6</v>
      </c>
      <c r="O2170" s="2" t="n">
        <v>16</v>
      </c>
      <c r="P2170" s="2" t="n">
        <v>1</v>
      </c>
      <c r="Q2170" s="2" t="n">
        <v>36</v>
      </c>
      <c r="R2170" s="2" t="n">
        <v>6</v>
      </c>
      <c r="S2170" s="2" t="n">
        <v>7</v>
      </c>
      <c r="T2170" s="2" t="n">
        <v>7</v>
      </c>
      <c r="U2170" s="2" t="n">
        <v>7</v>
      </c>
      <c r="V2170" s="2" t="n">
        <v>4</v>
      </c>
      <c r="W2170" s="2" t="n">
        <v>2</v>
      </c>
      <c r="X2170" s="2" t="n">
        <v>3</v>
      </c>
      <c r="Y2170" s="2" t="n">
        <v>3</v>
      </c>
      <c r="Z2170" s="2" t="n">
        <v>3</v>
      </c>
    </row>
    <row r="2171" customFormat="false" ht="15" hidden="false" customHeight="true" outlineLevel="0" collapsed="false">
      <c r="A2171" s="2" t="n">
        <v>40</v>
      </c>
      <c r="B2171" s="2" t="s">
        <v>26</v>
      </c>
      <c r="C2171" s="2" t="s">
        <v>41</v>
      </c>
      <c r="D2171" s="2" t="s">
        <v>35</v>
      </c>
      <c r="E2171" s="2" t="n">
        <v>1</v>
      </c>
      <c r="F2171" s="2" t="n">
        <v>1</v>
      </c>
      <c r="G2171" s="2" t="s">
        <v>29</v>
      </c>
      <c r="H2171" s="2" t="n">
        <v>2170</v>
      </c>
      <c r="I2171" s="2" t="s">
        <v>39</v>
      </c>
      <c r="J2171" s="2" t="n">
        <v>1</v>
      </c>
      <c r="K2171" s="2" t="s">
        <v>45</v>
      </c>
      <c r="L2171" s="2" t="s">
        <v>46</v>
      </c>
      <c r="M2171" s="2" t="n">
        <v>42860</v>
      </c>
      <c r="N2171" s="2" t="n">
        <v>9</v>
      </c>
      <c r="O2171" s="2" t="n">
        <v>15</v>
      </c>
      <c r="P2171" s="2" t="n">
        <v>0</v>
      </c>
      <c r="Q2171" s="2" t="n">
        <v>6</v>
      </c>
      <c r="R2171" s="2" t="n">
        <v>6</v>
      </c>
      <c r="S2171" s="2" t="n">
        <v>4</v>
      </c>
      <c r="T2171" s="2" t="n">
        <v>0</v>
      </c>
      <c r="U2171" s="2" t="n">
        <v>0</v>
      </c>
      <c r="V2171" s="2" t="n">
        <v>3</v>
      </c>
      <c r="W2171" s="2" t="n">
        <v>3</v>
      </c>
      <c r="X2171" s="2" t="n">
        <v>3</v>
      </c>
      <c r="Y2171" s="2" t="n">
        <v>3</v>
      </c>
      <c r="Z2171" s="2" t="n">
        <v>3</v>
      </c>
    </row>
    <row r="2172" customFormat="false" ht="15" hidden="false" customHeight="true" outlineLevel="0" collapsed="false">
      <c r="A2172" s="2" t="n">
        <v>34</v>
      </c>
      <c r="B2172" s="2" t="s">
        <v>26</v>
      </c>
      <c r="C2172" s="2" t="s">
        <v>27</v>
      </c>
      <c r="D2172" s="2" t="s">
        <v>35</v>
      </c>
      <c r="E2172" s="2" t="n">
        <v>3</v>
      </c>
      <c r="F2172" s="2" t="n">
        <v>2</v>
      </c>
      <c r="G2172" s="2" t="s">
        <v>51</v>
      </c>
      <c r="H2172" s="2" t="n">
        <v>2171</v>
      </c>
      <c r="I2172" s="2" t="s">
        <v>39</v>
      </c>
      <c r="J2172" s="2" t="n">
        <v>2</v>
      </c>
      <c r="K2172" s="2" t="s">
        <v>44</v>
      </c>
      <c r="L2172" s="2" t="s">
        <v>46</v>
      </c>
      <c r="M2172" s="2" t="n">
        <v>26590</v>
      </c>
      <c r="N2172" s="2" t="n">
        <v>0</v>
      </c>
      <c r="O2172" s="2" t="n">
        <v>24</v>
      </c>
      <c r="P2172" s="2" t="n">
        <v>3</v>
      </c>
      <c r="Q2172" s="2" t="n">
        <v>10</v>
      </c>
      <c r="R2172" s="2" t="n">
        <v>2</v>
      </c>
      <c r="S2172" s="2" t="n">
        <v>9</v>
      </c>
      <c r="T2172" s="2" t="n">
        <v>1</v>
      </c>
      <c r="U2172" s="2" t="n">
        <v>6</v>
      </c>
      <c r="V2172" s="2" t="n">
        <v>4</v>
      </c>
      <c r="W2172" s="2" t="n">
        <v>4</v>
      </c>
      <c r="X2172" s="2" t="n">
        <v>2</v>
      </c>
      <c r="Y2172" s="2" t="n">
        <v>3</v>
      </c>
      <c r="Z2172" s="2" t="n">
        <v>4</v>
      </c>
    </row>
    <row r="2173" customFormat="false" ht="15" hidden="false" customHeight="true" outlineLevel="0" collapsed="false">
      <c r="A2173" s="2" t="n">
        <v>40</v>
      </c>
      <c r="B2173" s="2" t="s">
        <v>26</v>
      </c>
      <c r="C2173" s="2" t="s">
        <v>27</v>
      </c>
      <c r="D2173" s="2" t="s">
        <v>28</v>
      </c>
      <c r="E2173" s="2" t="n">
        <v>4</v>
      </c>
      <c r="F2173" s="2" t="n">
        <v>3</v>
      </c>
      <c r="G2173" s="2" t="s">
        <v>43</v>
      </c>
      <c r="H2173" s="2" t="n">
        <v>2172</v>
      </c>
      <c r="I2173" s="2" t="s">
        <v>39</v>
      </c>
      <c r="J2173" s="2" t="n">
        <v>2</v>
      </c>
      <c r="K2173" s="2" t="s">
        <v>40</v>
      </c>
      <c r="L2173" s="2" t="s">
        <v>37</v>
      </c>
      <c r="M2173" s="2" t="n">
        <v>94340</v>
      </c>
      <c r="N2173" s="2" t="n">
        <v>1</v>
      </c>
      <c r="O2173" s="2" t="n">
        <v>13</v>
      </c>
      <c r="P2173" s="2" t="n">
        <v>1</v>
      </c>
      <c r="Q2173" s="2" t="n">
        <v>9</v>
      </c>
      <c r="R2173" s="2" t="n">
        <v>3</v>
      </c>
      <c r="S2173" s="2" t="n">
        <v>9</v>
      </c>
      <c r="T2173" s="2" t="n">
        <v>8</v>
      </c>
      <c r="U2173" s="2" t="n">
        <v>8</v>
      </c>
      <c r="V2173" s="2" t="n">
        <v>3</v>
      </c>
      <c r="W2173" s="2" t="n">
        <v>4</v>
      </c>
      <c r="X2173" s="2" t="n">
        <v>3</v>
      </c>
      <c r="Y2173" s="2" t="n">
        <v>2</v>
      </c>
      <c r="Z2173" s="2" t="n">
        <v>3</v>
      </c>
    </row>
    <row r="2174" customFormat="false" ht="15" hidden="false" customHeight="true" outlineLevel="0" collapsed="false">
      <c r="A2174" s="2" t="n">
        <v>41</v>
      </c>
      <c r="B2174" s="2" t="s">
        <v>26</v>
      </c>
      <c r="C2174" s="2" t="s">
        <v>34</v>
      </c>
      <c r="D2174" s="2" t="s">
        <v>28</v>
      </c>
      <c r="E2174" s="2" t="n">
        <v>1</v>
      </c>
      <c r="F2174" s="2" t="n">
        <v>4</v>
      </c>
      <c r="G2174" s="2" t="s">
        <v>38</v>
      </c>
      <c r="H2174" s="2" t="n">
        <v>2173</v>
      </c>
      <c r="I2174" s="2" t="s">
        <v>30</v>
      </c>
      <c r="J2174" s="2" t="n">
        <v>2</v>
      </c>
      <c r="K2174" s="2" t="s">
        <v>31</v>
      </c>
      <c r="L2174" s="2" t="s">
        <v>46</v>
      </c>
      <c r="M2174" s="2" t="n">
        <v>55610</v>
      </c>
      <c r="N2174" s="2" t="n">
        <v>0</v>
      </c>
      <c r="O2174" s="2" t="n">
        <v>11</v>
      </c>
      <c r="P2174" s="2" t="n">
        <v>0</v>
      </c>
      <c r="Q2174" s="2" t="n">
        <v>10</v>
      </c>
      <c r="R2174" s="2" t="n">
        <v>2</v>
      </c>
      <c r="S2174" s="2" t="n">
        <v>9</v>
      </c>
      <c r="T2174" s="2" t="n">
        <v>1</v>
      </c>
      <c r="U2174" s="2" t="n">
        <v>7</v>
      </c>
      <c r="V2174" s="2" t="n">
        <v>3</v>
      </c>
      <c r="W2174" s="2" t="n">
        <v>1</v>
      </c>
      <c r="X2174" s="2" t="n">
        <v>3</v>
      </c>
      <c r="Y2174" s="2" t="n">
        <v>2</v>
      </c>
      <c r="Z2174" s="2" t="n">
        <v>3</v>
      </c>
    </row>
    <row r="2175" customFormat="false" ht="15" hidden="false" customHeight="true" outlineLevel="0" collapsed="false">
      <c r="A2175" s="2" t="n">
        <v>35</v>
      </c>
      <c r="B2175" s="2" t="s">
        <v>26</v>
      </c>
      <c r="C2175" s="2" t="s">
        <v>34</v>
      </c>
      <c r="D2175" s="2" t="s">
        <v>28</v>
      </c>
      <c r="E2175" s="2" t="n">
        <v>1</v>
      </c>
      <c r="F2175" s="2" t="n">
        <v>2</v>
      </c>
      <c r="G2175" s="2" t="s">
        <v>51</v>
      </c>
      <c r="H2175" s="2" t="n">
        <v>2174</v>
      </c>
      <c r="I2175" s="2" t="s">
        <v>39</v>
      </c>
      <c r="J2175" s="2" t="n">
        <v>2</v>
      </c>
      <c r="K2175" s="2" t="s">
        <v>49</v>
      </c>
      <c r="L2175" s="2" t="s">
        <v>37</v>
      </c>
      <c r="M2175" s="2" t="n">
        <v>66460</v>
      </c>
      <c r="N2175" s="2" t="n">
        <v>1</v>
      </c>
      <c r="O2175" s="2" t="n">
        <v>13</v>
      </c>
      <c r="P2175" s="2" t="n">
        <v>1</v>
      </c>
      <c r="Q2175" s="2" t="n">
        <v>9</v>
      </c>
      <c r="R2175" s="2" t="n">
        <v>2</v>
      </c>
      <c r="S2175" s="2" t="n">
        <v>9</v>
      </c>
      <c r="T2175" s="2" t="n">
        <v>1</v>
      </c>
      <c r="U2175" s="2" t="n">
        <v>1</v>
      </c>
      <c r="V2175" s="2" t="n">
        <v>3</v>
      </c>
      <c r="W2175" s="2" t="n">
        <v>3</v>
      </c>
      <c r="X2175" s="2" t="n">
        <v>3</v>
      </c>
      <c r="Y2175" s="2" t="n">
        <v>2</v>
      </c>
      <c r="Z2175" s="2" t="n">
        <v>3</v>
      </c>
    </row>
    <row r="2176" customFormat="false" ht="15" hidden="false" customHeight="true" outlineLevel="0" collapsed="false">
      <c r="A2176" s="2" t="n">
        <v>51</v>
      </c>
      <c r="B2176" s="2" t="s">
        <v>26</v>
      </c>
      <c r="C2176" s="2" t="s">
        <v>27</v>
      </c>
      <c r="D2176" s="2" t="s">
        <v>28</v>
      </c>
      <c r="E2176" s="2" t="n">
        <v>18</v>
      </c>
      <c r="F2176" s="2" t="n">
        <v>2</v>
      </c>
      <c r="G2176" s="2" t="s">
        <v>29</v>
      </c>
      <c r="H2176" s="2" t="n">
        <v>2175</v>
      </c>
      <c r="I2176" s="2" t="s">
        <v>39</v>
      </c>
      <c r="J2176" s="2" t="n">
        <v>4</v>
      </c>
      <c r="K2176" s="2" t="s">
        <v>47</v>
      </c>
      <c r="L2176" s="2" t="s">
        <v>46</v>
      </c>
      <c r="M2176" s="2" t="n">
        <v>77250</v>
      </c>
      <c r="N2176" s="2" t="n">
        <v>1</v>
      </c>
      <c r="O2176" s="2" t="n">
        <v>13</v>
      </c>
      <c r="P2176" s="2" t="n">
        <v>1</v>
      </c>
      <c r="Q2176" s="2" t="n">
        <v>33</v>
      </c>
      <c r="R2176" s="2" t="n">
        <v>2</v>
      </c>
      <c r="S2176" s="2" t="n">
        <v>33</v>
      </c>
      <c r="T2176" s="2" t="n">
        <v>0</v>
      </c>
      <c r="U2176" s="2" t="n">
        <v>10</v>
      </c>
      <c r="V2176" s="2" t="n">
        <v>3</v>
      </c>
      <c r="W2176" s="2" t="n">
        <v>2</v>
      </c>
      <c r="X2176" s="2" t="n">
        <v>3</v>
      </c>
      <c r="Y2176" s="2" t="n">
        <v>3</v>
      </c>
      <c r="Z2176" s="2" t="n">
        <v>3</v>
      </c>
    </row>
    <row r="2177" customFormat="false" ht="15" hidden="false" customHeight="true" outlineLevel="0" collapsed="false">
      <c r="A2177" s="2" t="n">
        <v>38</v>
      </c>
      <c r="B2177" s="2" t="s">
        <v>26</v>
      </c>
      <c r="C2177" s="2" t="s">
        <v>27</v>
      </c>
      <c r="D2177" s="2" t="s">
        <v>28</v>
      </c>
      <c r="E2177" s="2" t="n">
        <v>2</v>
      </c>
      <c r="F2177" s="2" t="n">
        <v>4</v>
      </c>
      <c r="G2177" s="2" t="s">
        <v>29</v>
      </c>
      <c r="H2177" s="2" t="n">
        <v>2176</v>
      </c>
      <c r="I2177" s="2" t="s">
        <v>30</v>
      </c>
      <c r="J2177" s="2" t="n">
        <v>1</v>
      </c>
      <c r="K2177" s="2" t="s">
        <v>36</v>
      </c>
      <c r="L2177" s="2" t="s">
        <v>46</v>
      </c>
      <c r="M2177" s="2" t="n">
        <v>107250</v>
      </c>
      <c r="N2177" s="2" t="n">
        <v>3</v>
      </c>
      <c r="O2177" s="2" t="n">
        <v>18</v>
      </c>
      <c r="P2177" s="2" t="n">
        <v>0</v>
      </c>
      <c r="Q2177" s="2" t="n">
        <v>11</v>
      </c>
      <c r="R2177" s="2" t="n">
        <v>5</v>
      </c>
      <c r="S2177" s="2" t="n">
        <v>7</v>
      </c>
      <c r="T2177" s="2" t="n">
        <v>1</v>
      </c>
      <c r="U2177" s="2" t="n">
        <v>7</v>
      </c>
      <c r="V2177" s="2" t="n">
        <v>2</v>
      </c>
      <c r="W2177" s="2" t="n">
        <v>1</v>
      </c>
      <c r="X2177" s="2" t="n">
        <v>3</v>
      </c>
      <c r="Y2177" s="2" t="n">
        <v>2</v>
      </c>
      <c r="Z2177" s="2" t="n">
        <v>3</v>
      </c>
    </row>
    <row r="2178" customFormat="false" ht="15" hidden="false" customHeight="true" outlineLevel="0" collapsed="false">
      <c r="A2178" s="2" t="n">
        <v>34</v>
      </c>
      <c r="B2178" s="2" t="s">
        <v>26</v>
      </c>
      <c r="C2178" s="2" t="s">
        <v>27</v>
      </c>
      <c r="D2178" s="2" t="s">
        <v>28</v>
      </c>
      <c r="E2178" s="2" t="n">
        <v>4</v>
      </c>
      <c r="F2178" s="2" t="n">
        <v>3</v>
      </c>
      <c r="G2178" s="2" t="s">
        <v>29</v>
      </c>
      <c r="H2178" s="2" t="n">
        <v>2177</v>
      </c>
      <c r="I2178" s="2" t="s">
        <v>39</v>
      </c>
      <c r="J2178" s="2" t="n">
        <v>2</v>
      </c>
      <c r="K2178" s="2" t="s">
        <v>36</v>
      </c>
      <c r="L2178" s="2" t="s">
        <v>37</v>
      </c>
      <c r="M2178" s="2" t="n">
        <v>88470</v>
      </c>
      <c r="N2178" s="2" t="n">
        <v>1</v>
      </c>
      <c r="O2178" s="2" t="n">
        <v>16</v>
      </c>
      <c r="P2178" s="2" t="n">
        <v>0</v>
      </c>
      <c r="Q2178" s="2" t="n">
        <v>10</v>
      </c>
      <c r="R2178" s="2" t="n">
        <v>3</v>
      </c>
      <c r="S2178" s="2" t="n">
        <v>10</v>
      </c>
      <c r="T2178" s="2" t="n">
        <v>9</v>
      </c>
      <c r="U2178" s="2" t="n">
        <v>6</v>
      </c>
      <c r="V2178" s="2" t="n">
        <v>3</v>
      </c>
      <c r="W2178" s="2" t="n">
        <v>1</v>
      </c>
      <c r="X2178" s="2" t="n">
        <v>4</v>
      </c>
      <c r="Y2178" s="2" t="n">
        <v>4</v>
      </c>
      <c r="Z2178" s="2" t="n">
        <v>3</v>
      </c>
    </row>
    <row r="2179" customFormat="false" ht="15" hidden="false" customHeight="true" outlineLevel="0" collapsed="false">
      <c r="A2179" s="2" t="n">
        <v>25</v>
      </c>
      <c r="B2179" s="2" t="s">
        <v>26</v>
      </c>
      <c r="C2179" s="2" t="s">
        <v>27</v>
      </c>
      <c r="D2179" s="2" t="s">
        <v>35</v>
      </c>
      <c r="E2179" s="2" t="n">
        <v>6</v>
      </c>
      <c r="F2179" s="2" t="n">
        <v>2</v>
      </c>
      <c r="G2179" s="2" t="s">
        <v>43</v>
      </c>
      <c r="H2179" s="2" t="n">
        <v>2178</v>
      </c>
      <c r="I2179" s="2" t="s">
        <v>30</v>
      </c>
      <c r="J2179" s="2" t="n">
        <v>4</v>
      </c>
      <c r="K2179" s="2" t="s">
        <v>36</v>
      </c>
      <c r="L2179" s="2" t="s">
        <v>32</v>
      </c>
      <c r="M2179" s="2" t="n">
        <v>20450</v>
      </c>
      <c r="N2179" s="2" t="n">
        <v>3</v>
      </c>
      <c r="O2179" s="2" t="n">
        <v>19</v>
      </c>
      <c r="P2179" s="2" t="n">
        <v>0</v>
      </c>
      <c r="Q2179" s="2" t="n">
        <v>7</v>
      </c>
      <c r="R2179" s="2" t="n">
        <v>3</v>
      </c>
      <c r="S2179" s="2" t="n">
        <v>3</v>
      </c>
      <c r="T2179" s="2" t="n">
        <v>1</v>
      </c>
      <c r="U2179" s="2" t="n">
        <v>2</v>
      </c>
      <c r="V2179" s="2" t="n">
        <v>4</v>
      </c>
      <c r="W2179" s="2" t="n">
        <v>4</v>
      </c>
      <c r="X2179" s="2" t="n">
        <v>2</v>
      </c>
      <c r="Y2179" s="2" t="n">
        <v>3</v>
      </c>
      <c r="Z2179" s="2" t="n">
        <v>3</v>
      </c>
    </row>
    <row r="2180" customFormat="false" ht="15" hidden="false" customHeight="true" outlineLevel="0" collapsed="false">
      <c r="A2180" s="2" t="n">
        <v>58</v>
      </c>
      <c r="B2180" s="2" t="s">
        <v>33</v>
      </c>
      <c r="C2180" s="2" t="s">
        <v>27</v>
      </c>
      <c r="D2180" s="2" t="s">
        <v>28</v>
      </c>
      <c r="E2180" s="2" t="n">
        <v>1</v>
      </c>
      <c r="F2180" s="2" t="n">
        <v>4</v>
      </c>
      <c r="G2180" s="2" t="s">
        <v>51</v>
      </c>
      <c r="H2180" s="2" t="n">
        <v>2179</v>
      </c>
      <c r="I2180" s="2" t="s">
        <v>39</v>
      </c>
      <c r="J2180" s="2" t="n">
        <v>2</v>
      </c>
      <c r="K2180" s="2" t="s">
        <v>40</v>
      </c>
      <c r="L2180" s="2" t="s">
        <v>32</v>
      </c>
      <c r="M2180" s="2" t="n">
        <v>10090</v>
      </c>
      <c r="N2180" s="2" t="n">
        <v>7</v>
      </c>
      <c r="O2180" s="2" t="n">
        <v>13</v>
      </c>
      <c r="P2180" s="2" t="n">
        <v>2</v>
      </c>
      <c r="Q2180" s="2" t="n">
        <v>31</v>
      </c>
      <c r="R2180" s="2" t="n">
        <v>3</v>
      </c>
      <c r="S2180" s="2" t="n">
        <v>10</v>
      </c>
      <c r="T2180" s="2" t="n">
        <v>5</v>
      </c>
      <c r="U2180" s="2" t="n">
        <v>9</v>
      </c>
      <c r="V2180" s="2" t="n">
        <v>3</v>
      </c>
      <c r="W2180" s="2" t="n">
        <v>1</v>
      </c>
      <c r="X2180" s="2" t="n">
        <v>2</v>
      </c>
      <c r="Y2180" s="2" t="n">
        <v>4</v>
      </c>
      <c r="Z2180" s="2" t="n">
        <v>3</v>
      </c>
    </row>
    <row r="2181" customFormat="false" ht="15" hidden="false" customHeight="true" outlineLevel="0" collapsed="false">
      <c r="A2181" s="2" t="n">
        <v>40</v>
      </c>
      <c r="B2181" s="2" t="s">
        <v>26</v>
      </c>
      <c r="C2181" s="2" t="s">
        <v>27</v>
      </c>
      <c r="D2181" s="2" t="s">
        <v>35</v>
      </c>
      <c r="E2181" s="2" t="n">
        <v>14</v>
      </c>
      <c r="F2181" s="2" t="n">
        <v>4</v>
      </c>
      <c r="G2181" s="2" t="s">
        <v>43</v>
      </c>
      <c r="H2181" s="2" t="n">
        <v>2180</v>
      </c>
      <c r="I2181" s="2" t="s">
        <v>30</v>
      </c>
      <c r="J2181" s="2" t="n">
        <v>1</v>
      </c>
      <c r="K2181" s="2" t="s">
        <v>36</v>
      </c>
      <c r="L2181" s="2" t="s">
        <v>32</v>
      </c>
      <c r="M2181" s="2" t="n">
        <v>33480</v>
      </c>
      <c r="N2181" s="2" t="n">
        <v>3</v>
      </c>
      <c r="O2181" s="2" t="n">
        <v>22</v>
      </c>
      <c r="P2181" s="2" t="n">
        <v>0</v>
      </c>
      <c r="Q2181" s="2" t="n">
        <v>7</v>
      </c>
      <c r="R2181" s="2" t="n">
        <v>2</v>
      </c>
      <c r="S2181" s="2" t="n">
        <v>4</v>
      </c>
      <c r="T2181" s="2" t="n">
        <v>0</v>
      </c>
      <c r="U2181" s="2" t="n">
        <v>3</v>
      </c>
      <c r="V2181" s="2" t="n">
        <v>2</v>
      </c>
      <c r="W2181" s="2" t="n">
        <v>2</v>
      </c>
      <c r="X2181" s="2" t="n">
        <v>3</v>
      </c>
      <c r="Y2181" s="2" t="n">
        <v>1</v>
      </c>
      <c r="Z2181" s="2" t="n">
        <v>4</v>
      </c>
    </row>
    <row r="2182" customFormat="false" ht="15" hidden="false" customHeight="true" outlineLevel="0" collapsed="false">
      <c r="A2182" s="2" t="n">
        <v>36</v>
      </c>
      <c r="B2182" s="2" t="s">
        <v>26</v>
      </c>
      <c r="C2182" s="2" t="s">
        <v>34</v>
      </c>
      <c r="D2182" s="2" t="s">
        <v>28</v>
      </c>
      <c r="E2182" s="2" t="n">
        <v>16</v>
      </c>
      <c r="F2182" s="2" t="n">
        <v>2</v>
      </c>
      <c r="G2182" s="2" t="s">
        <v>29</v>
      </c>
      <c r="H2182" s="2" t="n">
        <v>2181</v>
      </c>
      <c r="I2182" s="2" t="s">
        <v>39</v>
      </c>
      <c r="J2182" s="2" t="n">
        <v>1</v>
      </c>
      <c r="K2182" s="2" t="s">
        <v>36</v>
      </c>
      <c r="L2182" s="2" t="s">
        <v>32</v>
      </c>
      <c r="M2182" s="2" t="n">
        <v>12810</v>
      </c>
      <c r="N2182" s="2" t="n">
        <v>2</v>
      </c>
      <c r="O2182" s="2" t="n">
        <v>11</v>
      </c>
      <c r="P2182" s="2" t="n">
        <v>0</v>
      </c>
      <c r="Q2182" s="2" t="n">
        <v>17</v>
      </c>
      <c r="R2182" s="2" t="n">
        <v>2</v>
      </c>
      <c r="S2182" s="2" t="n">
        <v>15</v>
      </c>
      <c r="T2182" s="2" t="n">
        <v>6</v>
      </c>
      <c r="U2182" s="2" t="n">
        <v>13</v>
      </c>
      <c r="V2182" s="2" t="n">
        <v>1</v>
      </c>
      <c r="W2182" s="2" t="n">
        <v>1</v>
      </c>
      <c r="X2182" s="2" t="n">
        <v>2</v>
      </c>
      <c r="Y2182" s="2" t="n">
        <v>3</v>
      </c>
      <c r="Z2182" s="2" t="n">
        <v>3</v>
      </c>
    </row>
    <row r="2183" customFormat="false" ht="15" hidden="false" customHeight="true" outlineLevel="0" collapsed="false">
      <c r="A2183" s="2" t="n">
        <v>48</v>
      </c>
      <c r="B2183" s="2" t="s">
        <v>26</v>
      </c>
      <c r="C2183" s="2" t="s">
        <v>27</v>
      </c>
      <c r="D2183" s="2" t="s">
        <v>35</v>
      </c>
      <c r="E2183" s="2" t="n">
        <v>2</v>
      </c>
      <c r="F2183" s="2" t="n">
        <v>1</v>
      </c>
      <c r="G2183" s="2" t="s">
        <v>29</v>
      </c>
      <c r="H2183" s="2" t="n">
        <v>2182</v>
      </c>
      <c r="I2183" s="2" t="s">
        <v>39</v>
      </c>
      <c r="J2183" s="2" t="n">
        <v>2</v>
      </c>
      <c r="K2183" s="2" t="s">
        <v>36</v>
      </c>
      <c r="L2183" s="2" t="s">
        <v>37</v>
      </c>
      <c r="M2183" s="2" t="n">
        <v>28190</v>
      </c>
      <c r="N2183" s="2" t="n">
        <v>1</v>
      </c>
      <c r="O2183" s="2" t="n">
        <v>20</v>
      </c>
      <c r="P2183" s="2" t="n">
        <v>0</v>
      </c>
      <c r="Q2183" s="2" t="n">
        <v>11</v>
      </c>
      <c r="R2183" s="2" t="n">
        <v>2</v>
      </c>
      <c r="S2183" s="2" t="n">
        <v>10</v>
      </c>
      <c r="T2183" s="2" t="n">
        <v>0</v>
      </c>
      <c r="U2183" s="2" t="n">
        <v>8</v>
      </c>
      <c r="V2183" s="2" t="n">
        <v>4</v>
      </c>
      <c r="W2183" s="2" t="n">
        <v>4</v>
      </c>
      <c r="X2183" s="2" t="n">
        <v>3</v>
      </c>
      <c r="Y2183" s="2" t="n">
        <v>2</v>
      </c>
      <c r="Z2183" s="2" t="n">
        <v>4</v>
      </c>
    </row>
    <row r="2184" customFormat="false" ht="15" hidden="false" customHeight="true" outlineLevel="0" collapsed="false">
      <c r="A2184" s="2" t="n">
        <v>27</v>
      </c>
      <c r="B2184" s="2" t="s">
        <v>26</v>
      </c>
      <c r="C2184" s="2" t="s">
        <v>27</v>
      </c>
      <c r="D2184" s="2" t="s">
        <v>35</v>
      </c>
      <c r="E2184" s="2" t="n">
        <v>2</v>
      </c>
      <c r="F2184" s="2" t="n">
        <v>3</v>
      </c>
      <c r="G2184" s="2" t="s">
        <v>29</v>
      </c>
      <c r="H2184" s="2" t="n">
        <v>2183</v>
      </c>
      <c r="I2184" s="2" t="s">
        <v>30</v>
      </c>
      <c r="J2184" s="2" t="n">
        <v>2</v>
      </c>
      <c r="K2184" s="2" t="s">
        <v>45</v>
      </c>
      <c r="L2184" s="2" t="s">
        <v>32</v>
      </c>
      <c r="M2184" s="2" t="n">
        <v>48510</v>
      </c>
      <c r="N2184" s="2" t="n">
        <v>8</v>
      </c>
      <c r="O2184" s="2" t="n">
        <v>18</v>
      </c>
      <c r="P2184" s="2" t="n">
        <v>0</v>
      </c>
      <c r="Q2184" s="2" t="n">
        <v>5</v>
      </c>
      <c r="R2184" s="2" t="n">
        <v>2</v>
      </c>
      <c r="S2184" s="2" t="n">
        <v>1</v>
      </c>
      <c r="T2184" s="2" t="n">
        <v>0</v>
      </c>
      <c r="U2184" s="2" t="n">
        <v>0</v>
      </c>
      <c r="V2184" s="2" t="n">
        <v>3</v>
      </c>
      <c r="W2184" s="2"/>
      <c r="X2184" s="2" t="n">
        <v>3</v>
      </c>
      <c r="Y2184" s="2" t="n">
        <v>3</v>
      </c>
      <c r="Z2184" s="2" t="n">
        <v>3</v>
      </c>
    </row>
    <row r="2185" customFormat="false" ht="15" hidden="false" customHeight="true" outlineLevel="0" collapsed="false">
      <c r="A2185" s="2" t="n">
        <v>51</v>
      </c>
      <c r="B2185" s="2" t="s">
        <v>26</v>
      </c>
      <c r="C2185" s="2" t="s">
        <v>27</v>
      </c>
      <c r="D2185" s="2" t="s">
        <v>35</v>
      </c>
      <c r="E2185" s="2" t="n">
        <v>4</v>
      </c>
      <c r="F2185" s="2" t="n">
        <v>1</v>
      </c>
      <c r="G2185" s="2" t="s">
        <v>43</v>
      </c>
      <c r="H2185" s="2" t="n">
        <v>2184</v>
      </c>
      <c r="I2185" s="2" t="s">
        <v>30</v>
      </c>
      <c r="J2185" s="2" t="n">
        <v>3</v>
      </c>
      <c r="K2185" s="2" t="s">
        <v>47</v>
      </c>
      <c r="L2185" s="2" t="s">
        <v>37</v>
      </c>
      <c r="M2185" s="2" t="n">
        <v>40280</v>
      </c>
      <c r="N2185" s="2" t="n">
        <v>3</v>
      </c>
      <c r="O2185" s="2" t="n">
        <v>14</v>
      </c>
      <c r="P2185" s="2" t="n">
        <v>0</v>
      </c>
      <c r="Q2185" s="2" t="n">
        <v>29</v>
      </c>
      <c r="R2185" s="2" t="n">
        <v>3</v>
      </c>
      <c r="S2185" s="2" t="n">
        <v>5</v>
      </c>
      <c r="T2185" s="2" t="n">
        <v>0</v>
      </c>
      <c r="U2185" s="2" t="n">
        <v>3</v>
      </c>
      <c r="V2185" s="2" t="n">
        <v>4</v>
      </c>
      <c r="W2185" s="2" t="n">
        <v>2</v>
      </c>
      <c r="X2185" s="2" t="n">
        <v>2</v>
      </c>
      <c r="Y2185" s="2" t="n">
        <v>3</v>
      </c>
      <c r="Z2185" s="2" t="n">
        <v>3</v>
      </c>
    </row>
    <row r="2186" customFormat="false" ht="15" hidden="false" customHeight="true" outlineLevel="0" collapsed="false">
      <c r="A2186" s="2" t="n">
        <v>18</v>
      </c>
      <c r="B2186" s="2" t="s">
        <v>26</v>
      </c>
      <c r="C2186" s="2" t="s">
        <v>41</v>
      </c>
      <c r="D2186" s="2" t="s">
        <v>35</v>
      </c>
      <c r="E2186" s="2" t="n">
        <v>1</v>
      </c>
      <c r="F2186" s="2" t="n">
        <v>4</v>
      </c>
      <c r="G2186" s="2" t="s">
        <v>43</v>
      </c>
      <c r="H2186" s="2" t="n">
        <v>2185</v>
      </c>
      <c r="I2186" s="2" t="s">
        <v>39</v>
      </c>
      <c r="J2186" s="2" t="n">
        <v>2</v>
      </c>
      <c r="K2186" s="2" t="s">
        <v>40</v>
      </c>
      <c r="L2186" s="2" t="s">
        <v>37</v>
      </c>
      <c r="M2186" s="2" t="n">
        <v>27200</v>
      </c>
      <c r="N2186" s="2" t="n">
        <v>1</v>
      </c>
      <c r="O2186" s="2" t="n">
        <v>22</v>
      </c>
      <c r="P2186" s="2" t="n">
        <v>1</v>
      </c>
      <c r="Q2186" s="2" t="n">
        <v>0</v>
      </c>
      <c r="R2186" s="2" t="n">
        <v>2</v>
      </c>
      <c r="S2186" s="2" t="n">
        <v>0</v>
      </c>
      <c r="T2186" s="2" t="n">
        <v>0</v>
      </c>
      <c r="U2186" s="2" t="n">
        <v>0</v>
      </c>
      <c r="V2186" s="2" t="n">
        <v>4</v>
      </c>
      <c r="W2186" s="2" t="n">
        <v>4</v>
      </c>
      <c r="X2186" s="2" t="n">
        <v>4</v>
      </c>
      <c r="Y2186" s="2" t="n">
        <v>3</v>
      </c>
      <c r="Z2186" s="2" t="n">
        <v>4</v>
      </c>
    </row>
    <row r="2187" customFormat="false" ht="15" hidden="false" customHeight="true" outlineLevel="0" collapsed="false">
      <c r="A2187" s="2" t="n">
        <v>35</v>
      </c>
      <c r="B2187" s="2" t="s">
        <v>26</v>
      </c>
      <c r="C2187" s="2" t="s">
        <v>27</v>
      </c>
      <c r="D2187" s="2" t="s">
        <v>35</v>
      </c>
      <c r="E2187" s="2" t="n">
        <v>1</v>
      </c>
      <c r="F2187" s="2" t="n">
        <v>4</v>
      </c>
      <c r="G2187" s="2" t="s">
        <v>38</v>
      </c>
      <c r="H2187" s="2" t="n">
        <v>2186</v>
      </c>
      <c r="I2187" s="2" t="s">
        <v>30</v>
      </c>
      <c r="J2187" s="2" t="n">
        <v>2</v>
      </c>
      <c r="K2187" s="2" t="s">
        <v>44</v>
      </c>
      <c r="L2187" s="2" t="s">
        <v>32</v>
      </c>
      <c r="M2187" s="2" t="n">
        <v>81200</v>
      </c>
      <c r="N2187" s="2" t="n">
        <v>0</v>
      </c>
      <c r="O2187" s="2" t="n">
        <v>13</v>
      </c>
      <c r="P2187" s="2" t="n">
        <v>0</v>
      </c>
      <c r="Q2187" s="2" t="n">
        <v>10</v>
      </c>
      <c r="R2187" s="2" t="n">
        <v>2</v>
      </c>
      <c r="S2187" s="2" t="n">
        <v>9</v>
      </c>
      <c r="T2187" s="2" t="n">
        <v>0</v>
      </c>
      <c r="U2187" s="2" t="n">
        <v>0</v>
      </c>
      <c r="V2187" s="2" t="n">
        <v>4</v>
      </c>
      <c r="W2187" s="2" t="n">
        <v>4</v>
      </c>
      <c r="X2187" s="2" t="n">
        <v>3</v>
      </c>
      <c r="Y2187" s="2" t="n">
        <v>2</v>
      </c>
      <c r="Z2187" s="2" t="n">
        <v>3</v>
      </c>
    </row>
    <row r="2188" customFormat="false" ht="15" hidden="false" customHeight="true" outlineLevel="0" collapsed="false">
      <c r="A2188" s="2" t="n">
        <v>27</v>
      </c>
      <c r="B2188" s="2" t="s">
        <v>26</v>
      </c>
      <c r="C2188" s="2" t="s">
        <v>34</v>
      </c>
      <c r="D2188" s="2" t="s">
        <v>35</v>
      </c>
      <c r="E2188" s="2" t="n">
        <v>26</v>
      </c>
      <c r="F2188" s="2" t="n">
        <v>4</v>
      </c>
      <c r="G2188" s="2" t="s">
        <v>43</v>
      </c>
      <c r="H2188" s="2" t="n">
        <v>2187</v>
      </c>
      <c r="I2188" s="2" t="s">
        <v>30</v>
      </c>
      <c r="J2188" s="2" t="n">
        <v>1</v>
      </c>
      <c r="K2188" s="2" t="s">
        <v>44</v>
      </c>
      <c r="L2188" s="2" t="s">
        <v>37</v>
      </c>
      <c r="M2188" s="2" t="n">
        <v>46470</v>
      </c>
      <c r="N2188" s="2" t="n">
        <v>3</v>
      </c>
      <c r="O2188" s="2" t="n">
        <v>17</v>
      </c>
      <c r="P2188" s="2" t="n">
        <v>0</v>
      </c>
      <c r="Q2188" s="2" t="n">
        <v>8</v>
      </c>
      <c r="R2188" s="2" t="n">
        <v>3</v>
      </c>
      <c r="S2188" s="2" t="n">
        <v>6</v>
      </c>
      <c r="T2188" s="2" t="n">
        <v>0</v>
      </c>
      <c r="U2188" s="2" t="n">
        <v>0</v>
      </c>
      <c r="V2188" s="2" t="n">
        <v>4</v>
      </c>
      <c r="W2188" s="2" t="n">
        <v>4</v>
      </c>
      <c r="X2188" s="2" t="n">
        <v>3</v>
      </c>
      <c r="Y2188" s="2" t="n">
        <v>4</v>
      </c>
      <c r="Z2188" s="2" t="n">
        <v>3</v>
      </c>
    </row>
    <row r="2189" customFormat="false" ht="15" hidden="false" customHeight="true" outlineLevel="0" collapsed="false">
      <c r="A2189" s="2" t="n">
        <v>55</v>
      </c>
      <c r="B2189" s="2" t="s">
        <v>33</v>
      </c>
      <c r="C2189" s="2" t="s">
        <v>27</v>
      </c>
      <c r="D2189" s="2" t="s">
        <v>35</v>
      </c>
      <c r="E2189" s="2" t="n">
        <v>19</v>
      </c>
      <c r="F2189" s="2" t="n">
        <v>3</v>
      </c>
      <c r="G2189" s="2" t="s">
        <v>51</v>
      </c>
      <c r="H2189" s="2" t="n">
        <v>2188</v>
      </c>
      <c r="I2189" s="2" t="s">
        <v>39</v>
      </c>
      <c r="J2189" s="2" t="n">
        <v>1</v>
      </c>
      <c r="K2189" s="2" t="s">
        <v>42</v>
      </c>
      <c r="L2189" s="2" t="s">
        <v>37</v>
      </c>
      <c r="M2189" s="2" t="n">
        <v>46800</v>
      </c>
      <c r="N2189" s="2" t="n">
        <v>6</v>
      </c>
      <c r="O2189" s="2" t="n">
        <v>14</v>
      </c>
      <c r="P2189" s="2" t="n">
        <v>3</v>
      </c>
      <c r="Q2189" s="2" t="n">
        <v>24</v>
      </c>
      <c r="R2189" s="2" t="n">
        <v>0</v>
      </c>
      <c r="S2189" s="2" t="n">
        <v>19</v>
      </c>
      <c r="T2189" s="2" t="n">
        <v>3</v>
      </c>
      <c r="U2189" s="2" t="n">
        <v>8</v>
      </c>
      <c r="V2189" s="2" t="n">
        <v>1</v>
      </c>
      <c r="W2189" s="2" t="n">
        <v>3</v>
      </c>
      <c r="X2189" s="2" t="n">
        <v>2</v>
      </c>
      <c r="Y2189" s="2" t="n">
        <v>4</v>
      </c>
      <c r="Z2189" s="2" t="n">
        <v>3</v>
      </c>
    </row>
    <row r="2190" customFormat="false" ht="15" hidden="false" customHeight="true" outlineLevel="0" collapsed="false">
      <c r="A2190" s="2" t="n">
        <v>56</v>
      </c>
      <c r="B2190" s="2" t="s">
        <v>26</v>
      </c>
      <c r="C2190" s="2" t="s">
        <v>27</v>
      </c>
      <c r="D2190" s="2" t="s">
        <v>35</v>
      </c>
      <c r="E2190" s="2" t="n">
        <v>24</v>
      </c>
      <c r="F2190" s="2" t="n">
        <v>4</v>
      </c>
      <c r="G2190" s="2" t="s">
        <v>29</v>
      </c>
      <c r="H2190" s="2" t="n">
        <v>2189</v>
      </c>
      <c r="I2190" s="2" t="s">
        <v>39</v>
      </c>
      <c r="J2190" s="2" t="n">
        <v>2</v>
      </c>
      <c r="K2190" s="2" t="s">
        <v>45</v>
      </c>
      <c r="L2190" s="2" t="s">
        <v>32</v>
      </c>
      <c r="M2190" s="2" t="n">
        <v>32210</v>
      </c>
      <c r="N2190" s="2" t="n">
        <v>4</v>
      </c>
      <c r="O2190" s="2" t="n">
        <v>15</v>
      </c>
      <c r="P2190" s="2" t="n">
        <v>2</v>
      </c>
      <c r="Q2190" s="2" t="n">
        <v>33</v>
      </c>
      <c r="R2190" s="2" t="n">
        <v>2</v>
      </c>
      <c r="S2190" s="2" t="n">
        <v>19</v>
      </c>
      <c r="T2190" s="2" t="n">
        <v>15</v>
      </c>
      <c r="U2190" s="2" t="n">
        <v>9</v>
      </c>
      <c r="V2190" s="2" t="n">
        <v>4</v>
      </c>
      <c r="W2190" s="2" t="n">
        <v>2</v>
      </c>
      <c r="X2190" s="2" t="n">
        <v>3</v>
      </c>
      <c r="Y2190" s="2" t="n">
        <v>3</v>
      </c>
      <c r="Z2190" s="2" t="n">
        <v>3</v>
      </c>
    </row>
    <row r="2191" customFormat="false" ht="15" hidden="false" customHeight="true" outlineLevel="0" collapsed="false">
      <c r="A2191" s="2" t="n">
        <v>34</v>
      </c>
      <c r="B2191" s="2" t="s">
        <v>26</v>
      </c>
      <c r="C2191" s="2" t="s">
        <v>41</v>
      </c>
      <c r="D2191" s="2" t="s">
        <v>28</v>
      </c>
      <c r="E2191" s="2" t="n">
        <v>1</v>
      </c>
      <c r="F2191" s="2" t="n">
        <v>2</v>
      </c>
      <c r="G2191" s="2" t="s">
        <v>29</v>
      </c>
      <c r="H2191" s="2" t="n">
        <v>2190</v>
      </c>
      <c r="I2191" s="2" t="s">
        <v>39</v>
      </c>
      <c r="J2191" s="2" t="n">
        <v>2</v>
      </c>
      <c r="K2191" s="2" t="s">
        <v>36</v>
      </c>
      <c r="L2191" s="2" t="s">
        <v>46</v>
      </c>
      <c r="M2191" s="2" t="n">
        <v>86210</v>
      </c>
      <c r="N2191" s="2" t="n">
        <v>1</v>
      </c>
      <c r="O2191" s="2" t="n">
        <v>17</v>
      </c>
      <c r="P2191" s="2" t="n">
        <v>1</v>
      </c>
      <c r="Q2191" s="2" t="n">
        <v>5</v>
      </c>
      <c r="R2191" s="2" t="n">
        <v>1</v>
      </c>
      <c r="S2191" s="2" t="n">
        <v>5</v>
      </c>
      <c r="T2191" s="2" t="n">
        <v>0</v>
      </c>
      <c r="U2191" s="2" t="n">
        <v>0</v>
      </c>
      <c r="V2191" s="2" t="n">
        <v>1</v>
      </c>
      <c r="W2191" s="2" t="n">
        <v>3</v>
      </c>
      <c r="X2191" s="2" t="n">
        <v>3</v>
      </c>
      <c r="Y2191" s="2" t="n">
        <v>3</v>
      </c>
      <c r="Z2191" s="2" t="n">
        <v>3</v>
      </c>
    </row>
    <row r="2192" customFormat="false" ht="15" hidden="false" customHeight="true" outlineLevel="0" collapsed="false">
      <c r="A2192" s="2" t="n">
        <v>40</v>
      </c>
      <c r="B2192" s="2" t="s">
        <v>26</v>
      </c>
      <c r="C2192" s="2" t="s">
        <v>27</v>
      </c>
      <c r="D2192" s="2" t="s">
        <v>35</v>
      </c>
      <c r="E2192" s="2" t="n">
        <v>3</v>
      </c>
      <c r="F2192" s="2" t="n">
        <v>3</v>
      </c>
      <c r="G2192" s="2" t="s">
        <v>29</v>
      </c>
      <c r="H2192" s="2" t="n">
        <v>2191</v>
      </c>
      <c r="I2192" s="2" t="s">
        <v>39</v>
      </c>
      <c r="J2192" s="2" t="n">
        <v>2</v>
      </c>
      <c r="K2192" s="2" t="s">
        <v>40</v>
      </c>
      <c r="L2192" s="2" t="s">
        <v>46</v>
      </c>
      <c r="M2192" s="2" t="n">
        <v>45770</v>
      </c>
      <c r="N2192" s="2" t="n">
        <v>5</v>
      </c>
      <c r="O2192" s="2" t="n">
        <v>11</v>
      </c>
      <c r="P2192" s="2" t="n">
        <v>1</v>
      </c>
      <c r="Q2192" s="2" t="n">
        <v>15</v>
      </c>
      <c r="R2192" s="2" t="n">
        <v>3</v>
      </c>
      <c r="S2192" s="2" t="n">
        <v>12</v>
      </c>
      <c r="T2192" s="2" t="n">
        <v>11</v>
      </c>
      <c r="U2192" s="2" t="n">
        <v>8</v>
      </c>
      <c r="V2192" s="2" t="n">
        <v>2</v>
      </c>
      <c r="W2192" s="2" t="n">
        <v>3</v>
      </c>
      <c r="X2192" s="2" t="n">
        <v>3</v>
      </c>
      <c r="Y2192" s="2" t="n">
        <v>2</v>
      </c>
      <c r="Z2192" s="2" t="n">
        <v>3</v>
      </c>
    </row>
    <row r="2193" customFormat="false" ht="15" hidden="false" customHeight="true" outlineLevel="0" collapsed="false">
      <c r="A2193" s="2" t="n">
        <v>34</v>
      </c>
      <c r="B2193" s="2" t="s">
        <v>26</v>
      </c>
      <c r="C2193" s="2" t="s">
        <v>27</v>
      </c>
      <c r="D2193" s="2" t="s">
        <v>35</v>
      </c>
      <c r="E2193" s="2" t="n">
        <v>5</v>
      </c>
      <c r="F2193" s="2" t="n">
        <v>3</v>
      </c>
      <c r="G2193" s="2" t="s">
        <v>29</v>
      </c>
      <c r="H2193" s="2" t="n">
        <v>2192</v>
      </c>
      <c r="I2193" s="2" t="s">
        <v>39</v>
      </c>
      <c r="J2193" s="2" t="n">
        <v>1</v>
      </c>
      <c r="K2193" s="2" t="s">
        <v>36</v>
      </c>
      <c r="L2193" s="2" t="s">
        <v>32</v>
      </c>
      <c r="M2193" s="2" t="n">
        <v>45530</v>
      </c>
      <c r="N2193" s="2" t="n">
        <v>4</v>
      </c>
      <c r="O2193" s="2" t="n">
        <v>18</v>
      </c>
      <c r="P2193" s="2" t="n">
        <v>1</v>
      </c>
      <c r="Q2193" s="2" t="n">
        <v>10</v>
      </c>
      <c r="R2193" s="2" t="n">
        <v>2</v>
      </c>
      <c r="S2193" s="2" t="n">
        <v>8</v>
      </c>
      <c r="T2193" s="2" t="n">
        <v>7</v>
      </c>
      <c r="U2193" s="2" t="n">
        <v>7</v>
      </c>
      <c r="V2193" s="2" t="n">
        <v>2</v>
      </c>
      <c r="W2193" s="2" t="n">
        <v>3</v>
      </c>
      <c r="X2193" s="2" t="n">
        <v>3</v>
      </c>
      <c r="Y2193" s="2" t="n">
        <v>4</v>
      </c>
      <c r="Z2193" s="2" t="n">
        <v>3</v>
      </c>
    </row>
    <row r="2194" customFormat="false" ht="15" hidden="false" customHeight="true" outlineLevel="0" collapsed="false">
      <c r="A2194" s="2" t="n">
        <v>31</v>
      </c>
      <c r="B2194" s="2" t="s">
        <v>33</v>
      </c>
      <c r="C2194" s="2" t="s">
        <v>34</v>
      </c>
      <c r="D2194" s="2" t="s">
        <v>35</v>
      </c>
      <c r="E2194" s="2" t="n">
        <v>2</v>
      </c>
      <c r="F2194" s="2" t="n">
        <v>2</v>
      </c>
      <c r="G2194" s="2" t="s">
        <v>43</v>
      </c>
      <c r="H2194" s="2" t="n">
        <v>2193</v>
      </c>
      <c r="I2194" s="2" t="s">
        <v>30</v>
      </c>
      <c r="J2194" s="2" t="n">
        <v>2</v>
      </c>
      <c r="K2194" s="2" t="s">
        <v>47</v>
      </c>
      <c r="L2194" s="2" t="s">
        <v>37</v>
      </c>
      <c r="M2194" s="2" t="n">
        <v>53960</v>
      </c>
      <c r="N2194" s="2" t="n">
        <v>7</v>
      </c>
      <c r="O2194" s="2" t="n">
        <v>17</v>
      </c>
      <c r="P2194" s="2" t="n">
        <v>1</v>
      </c>
      <c r="Q2194" s="2" t="n">
        <v>3</v>
      </c>
      <c r="R2194" s="2" t="n">
        <v>2</v>
      </c>
      <c r="S2194" s="2" t="n">
        <v>1</v>
      </c>
      <c r="T2194" s="2" t="n">
        <v>0</v>
      </c>
      <c r="U2194" s="2" t="n">
        <v>0</v>
      </c>
      <c r="V2194" s="2" t="n">
        <v>3</v>
      </c>
      <c r="W2194" s="2" t="n">
        <v>4</v>
      </c>
      <c r="X2194" s="2" t="n">
        <v>4</v>
      </c>
      <c r="Y2194" s="2" t="n">
        <v>1</v>
      </c>
      <c r="Z2194" s="2" t="n">
        <v>3</v>
      </c>
    </row>
    <row r="2195" customFormat="false" ht="15" hidden="false" customHeight="true" outlineLevel="0" collapsed="false">
      <c r="A2195" s="2" t="n">
        <v>35</v>
      </c>
      <c r="B2195" s="2" t="s">
        <v>33</v>
      </c>
      <c r="C2195" s="2" t="s">
        <v>34</v>
      </c>
      <c r="D2195" s="2" t="s">
        <v>35</v>
      </c>
      <c r="E2195" s="2" t="n">
        <v>1</v>
      </c>
      <c r="F2195" s="2" t="n">
        <v>2</v>
      </c>
      <c r="G2195" s="2" t="s">
        <v>43</v>
      </c>
      <c r="H2195" s="2" t="n">
        <v>2194</v>
      </c>
      <c r="I2195" s="2" t="s">
        <v>39</v>
      </c>
      <c r="J2195" s="2" t="n">
        <v>1</v>
      </c>
      <c r="K2195" s="2" t="s">
        <v>47</v>
      </c>
      <c r="L2195" s="2" t="s">
        <v>32</v>
      </c>
      <c r="M2195" s="2" t="n">
        <v>67960</v>
      </c>
      <c r="N2195" s="2" t="n">
        <v>0</v>
      </c>
      <c r="O2195" s="2" t="n">
        <v>13</v>
      </c>
      <c r="P2195" s="2" t="n">
        <v>0</v>
      </c>
      <c r="Q2195" s="2" t="n">
        <v>5</v>
      </c>
      <c r="R2195" s="2" t="n">
        <v>2</v>
      </c>
      <c r="S2195" s="2" t="n">
        <v>4</v>
      </c>
      <c r="T2195" s="2" t="n">
        <v>3</v>
      </c>
      <c r="U2195" s="2" t="n">
        <v>2</v>
      </c>
      <c r="V2195" s="2" t="n">
        <v>4</v>
      </c>
      <c r="W2195" s="2" t="n">
        <v>3</v>
      </c>
      <c r="X2195" s="2" t="n">
        <v>2</v>
      </c>
      <c r="Y2195" s="2" t="n">
        <v>3</v>
      </c>
      <c r="Z2195" s="2" t="n">
        <v>3</v>
      </c>
    </row>
    <row r="2196" customFormat="false" ht="15" hidden="false" customHeight="true" outlineLevel="0" collapsed="false">
      <c r="A2196" s="2" t="n">
        <v>38</v>
      </c>
      <c r="B2196" s="2" t="s">
        <v>26</v>
      </c>
      <c r="C2196" s="2" t="s">
        <v>34</v>
      </c>
      <c r="D2196" s="2" t="s">
        <v>35</v>
      </c>
      <c r="E2196" s="2" t="n">
        <v>7</v>
      </c>
      <c r="F2196" s="2" t="n">
        <v>3</v>
      </c>
      <c r="G2196" s="2" t="s">
        <v>43</v>
      </c>
      <c r="H2196" s="2" t="n">
        <v>2195</v>
      </c>
      <c r="I2196" s="2" t="s">
        <v>30</v>
      </c>
      <c r="J2196" s="2" t="n">
        <v>2</v>
      </c>
      <c r="K2196" s="2" t="s">
        <v>48</v>
      </c>
      <c r="L2196" s="2" t="s">
        <v>46</v>
      </c>
      <c r="M2196" s="2" t="n">
        <v>76250</v>
      </c>
      <c r="N2196" s="2" t="n">
        <v>1</v>
      </c>
      <c r="O2196" s="2" t="n">
        <v>15</v>
      </c>
      <c r="P2196" s="2" t="n">
        <v>0</v>
      </c>
      <c r="Q2196" s="2" t="n">
        <v>4</v>
      </c>
      <c r="R2196" s="2" t="n">
        <v>2</v>
      </c>
      <c r="S2196" s="2" t="n">
        <v>4</v>
      </c>
      <c r="T2196" s="2" t="n">
        <v>0</v>
      </c>
      <c r="U2196" s="2" t="n">
        <v>3</v>
      </c>
      <c r="V2196" s="2" t="n">
        <v>4</v>
      </c>
      <c r="W2196" s="2" t="n">
        <v>3</v>
      </c>
      <c r="X2196" s="2" t="n">
        <v>3</v>
      </c>
      <c r="Y2196" s="2" t="n">
        <v>2</v>
      </c>
      <c r="Z2196" s="2" t="n">
        <v>3</v>
      </c>
    </row>
    <row r="2197" customFormat="false" ht="15" hidden="false" customHeight="true" outlineLevel="0" collapsed="false">
      <c r="A2197" s="2" t="n">
        <v>34</v>
      </c>
      <c r="B2197" s="2" t="s">
        <v>26</v>
      </c>
      <c r="C2197" s="2" t="s">
        <v>27</v>
      </c>
      <c r="D2197" s="2" t="s">
        <v>35</v>
      </c>
      <c r="E2197" s="2" t="n">
        <v>10</v>
      </c>
      <c r="F2197" s="2" t="n">
        <v>4</v>
      </c>
      <c r="G2197" s="2" t="s">
        <v>38</v>
      </c>
      <c r="H2197" s="2" t="n">
        <v>2196</v>
      </c>
      <c r="I2197" s="2" t="s">
        <v>30</v>
      </c>
      <c r="J2197" s="2" t="n">
        <v>2</v>
      </c>
      <c r="K2197" s="2" t="s">
        <v>45</v>
      </c>
      <c r="L2197" s="2" t="s">
        <v>37</v>
      </c>
      <c r="M2197" s="2" t="n">
        <v>74120</v>
      </c>
      <c r="N2197" s="2" t="n">
        <v>1</v>
      </c>
      <c r="O2197" s="2" t="n">
        <v>24</v>
      </c>
      <c r="P2197" s="2" t="n">
        <v>0</v>
      </c>
      <c r="Q2197" s="2" t="n">
        <v>14</v>
      </c>
      <c r="R2197" s="2" t="n">
        <v>4</v>
      </c>
      <c r="S2197" s="2" t="n">
        <v>14</v>
      </c>
      <c r="T2197" s="2" t="n">
        <v>4</v>
      </c>
      <c r="U2197" s="2" t="n">
        <v>11</v>
      </c>
      <c r="V2197" s="2" t="n">
        <v>3</v>
      </c>
      <c r="W2197" s="2" t="n">
        <v>4</v>
      </c>
      <c r="X2197" s="2" t="n">
        <v>4</v>
      </c>
      <c r="Y2197" s="2" t="n">
        <v>3</v>
      </c>
      <c r="Z2197" s="2" t="n">
        <v>4</v>
      </c>
    </row>
    <row r="2198" customFormat="false" ht="15" hidden="false" customHeight="true" outlineLevel="0" collapsed="false">
      <c r="A2198" s="2" t="n">
        <v>28</v>
      </c>
      <c r="B2198" s="2" t="s">
        <v>26</v>
      </c>
      <c r="C2198" s="2" t="s">
        <v>27</v>
      </c>
      <c r="D2198" s="2" t="s">
        <v>35</v>
      </c>
      <c r="E2198" s="2" t="n">
        <v>2</v>
      </c>
      <c r="F2198" s="2" t="n">
        <v>3</v>
      </c>
      <c r="G2198" s="2" t="s">
        <v>29</v>
      </c>
      <c r="H2198" s="2" t="n">
        <v>2197</v>
      </c>
      <c r="I2198" s="2" t="s">
        <v>30</v>
      </c>
      <c r="J2198" s="2" t="n">
        <v>2</v>
      </c>
      <c r="K2198" s="2" t="s">
        <v>31</v>
      </c>
      <c r="L2198" s="2" t="s">
        <v>32</v>
      </c>
      <c r="M2198" s="2" t="n">
        <v>111590</v>
      </c>
      <c r="N2198" s="2" t="n">
        <v>1</v>
      </c>
      <c r="O2198" s="2" t="n">
        <v>12</v>
      </c>
      <c r="P2198" s="2" t="n">
        <v>0</v>
      </c>
      <c r="Q2198" s="2" t="n">
        <v>5</v>
      </c>
      <c r="R2198" s="2" t="n">
        <v>2</v>
      </c>
      <c r="S2198" s="2" t="n">
        <v>5</v>
      </c>
      <c r="T2198" s="2" t="n">
        <v>0</v>
      </c>
      <c r="U2198" s="2" t="n">
        <v>4</v>
      </c>
      <c r="V2198" s="2" t="n">
        <v>3</v>
      </c>
      <c r="W2198" s="2" t="n">
        <v>1</v>
      </c>
      <c r="X2198" s="2" t="n">
        <v>3</v>
      </c>
      <c r="Y2198" s="2" t="n">
        <v>3</v>
      </c>
      <c r="Z2198" s="2" t="n">
        <v>3</v>
      </c>
    </row>
    <row r="2199" customFormat="false" ht="15" hidden="false" customHeight="true" outlineLevel="0" collapsed="false">
      <c r="A2199" s="2" t="n">
        <v>31</v>
      </c>
      <c r="B2199" s="2" t="s">
        <v>33</v>
      </c>
      <c r="C2199" s="2" t="s">
        <v>27</v>
      </c>
      <c r="D2199" s="2" t="s">
        <v>35</v>
      </c>
      <c r="E2199" s="2" t="n">
        <v>15</v>
      </c>
      <c r="F2199" s="2" t="n">
        <v>2</v>
      </c>
      <c r="G2199" s="2" t="s">
        <v>29</v>
      </c>
      <c r="H2199" s="2" t="n">
        <v>2198</v>
      </c>
      <c r="I2199" s="2" t="s">
        <v>39</v>
      </c>
      <c r="J2199" s="2" t="n">
        <v>2</v>
      </c>
      <c r="K2199" s="2" t="s">
        <v>40</v>
      </c>
      <c r="L2199" s="2" t="s">
        <v>32</v>
      </c>
      <c r="M2199" s="2" t="n">
        <v>49600</v>
      </c>
      <c r="N2199" s="2" t="n">
        <v>1</v>
      </c>
      <c r="O2199" s="2" t="n">
        <v>15</v>
      </c>
      <c r="P2199" s="2" t="n">
        <v>0</v>
      </c>
      <c r="Q2199" s="2" t="n">
        <v>10</v>
      </c>
      <c r="R2199" s="2" t="n">
        <v>3</v>
      </c>
      <c r="S2199" s="2" t="n">
        <v>10</v>
      </c>
      <c r="T2199" s="2" t="n">
        <v>6</v>
      </c>
      <c r="U2199" s="2" t="n">
        <v>7</v>
      </c>
      <c r="V2199" s="2" t="n">
        <v>4</v>
      </c>
      <c r="W2199" s="2" t="n">
        <v>3</v>
      </c>
      <c r="X2199" s="2" t="n">
        <v>2</v>
      </c>
      <c r="Y2199" s="2" t="n">
        <v>2</v>
      </c>
      <c r="Z2199" s="2" t="n">
        <v>3</v>
      </c>
    </row>
    <row r="2200" customFormat="false" ht="15" hidden="false" customHeight="true" outlineLevel="0" collapsed="false">
      <c r="A2200" s="2" t="n">
        <v>39</v>
      </c>
      <c r="B2200" s="2" t="s">
        <v>26</v>
      </c>
      <c r="C2200" s="2" t="s">
        <v>27</v>
      </c>
      <c r="D2200" s="2" t="s">
        <v>35</v>
      </c>
      <c r="E2200" s="2" t="n">
        <v>17</v>
      </c>
      <c r="F2200" s="2" t="n">
        <v>4</v>
      </c>
      <c r="G2200" s="2" t="s">
        <v>51</v>
      </c>
      <c r="H2200" s="2" t="n">
        <v>2199</v>
      </c>
      <c r="I2200" s="2" t="s">
        <v>30</v>
      </c>
      <c r="J2200" s="2" t="n">
        <v>2</v>
      </c>
      <c r="K2200" s="2" t="s">
        <v>31</v>
      </c>
      <c r="L2200" s="2" t="s">
        <v>32</v>
      </c>
      <c r="M2200" s="2" t="n">
        <v>104750</v>
      </c>
      <c r="N2200" s="2" t="n">
        <v>3</v>
      </c>
      <c r="O2200" s="2" t="n">
        <v>11</v>
      </c>
      <c r="P2200" s="2" t="n">
        <v>1</v>
      </c>
      <c r="Q2200" s="2" t="n">
        <v>8</v>
      </c>
      <c r="R2200" s="2" t="n">
        <v>3</v>
      </c>
      <c r="S2200" s="2" t="n">
        <v>5</v>
      </c>
      <c r="T2200" s="2" t="n">
        <v>1</v>
      </c>
      <c r="U2200" s="2" t="n">
        <v>4</v>
      </c>
      <c r="V2200" s="2" t="n">
        <v>1</v>
      </c>
      <c r="W2200" s="2" t="n">
        <v>4</v>
      </c>
      <c r="X2200" s="2" t="n">
        <v>4</v>
      </c>
      <c r="Y2200" s="2" t="n">
        <v>3</v>
      </c>
      <c r="Z2200" s="2" t="n">
        <v>3</v>
      </c>
    </row>
    <row r="2201" customFormat="false" ht="15" hidden="false" customHeight="true" outlineLevel="0" collapsed="false">
      <c r="A2201" s="2" t="n">
        <v>51</v>
      </c>
      <c r="B2201" s="2" t="s">
        <v>26</v>
      </c>
      <c r="C2201" s="2" t="s">
        <v>34</v>
      </c>
      <c r="D2201" s="2" t="s">
        <v>35</v>
      </c>
      <c r="E2201" s="2" t="n">
        <v>20</v>
      </c>
      <c r="F2201" s="2" t="n">
        <v>3</v>
      </c>
      <c r="G2201" s="2" t="s">
        <v>43</v>
      </c>
      <c r="H2201" s="2" t="n">
        <v>2200</v>
      </c>
      <c r="I2201" s="2" t="s">
        <v>39</v>
      </c>
      <c r="J2201" s="2" t="n">
        <v>2</v>
      </c>
      <c r="K2201" s="2" t="s">
        <v>40</v>
      </c>
      <c r="L2201" s="2" t="s">
        <v>32</v>
      </c>
      <c r="M2201" s="2" t="n">
        <v>148140</v>
      </c>
      <c r="N2201" s="2" t="n">
        <v>2</v>
      </c>
      <c r="O2201" s="2" t="n">
        <v>11</v>
      </c>
      <c r="P2201" s="2" t="n">
        <v>1</v>
      </c>
      <c r="Q2201" s="2" t="n">
        <v>14</v>
      </c>
      <c r="R2201" s="2" t="n">
        <v>2</v>
      </c>
      <c r="S2201" s="2" t="n">
        <v>4</v>
      </c>
      <c r="T2201" s="2" t="n">
        <v>3</v>
      </c>
      <c r="U2201" s="2" t="n">
        <v>2</v>
      </c>
      <c r="V2201" s="2" t="n">
        <v>2</v>
      </c>
      <c r="W2201" s="2" t="n">
        <v>2</v>
      </c>
      <c r="X2201" s="2" t="n">
        <v>3</v>
      </c>
      <c r="Y2201" s="2" t="n">
        <v>2</v>
      </c>
      <c r="Z2201" s="2" t="n">
        <v>3</v>
      </c>
    </row>
    <row r="2202" customFormat="false" ht="15" hidden="false" customHeight="true" outlineLevel="0" collapsed="false">
      <c r="A2202" s="2" t="n">
        <v>41</v>
      </c>
      <c r="B2202" s="2" t="s">
        <v>26</v>
      </c>
      <c r="C2202" s="2" t="s">
        <v>34</v>
      </c>
      <c r="D2202" s="2" t="s">
        <v>35</v>
      </c>
      <c r="E2202" s="2" t="n">
        <v>1</v>
      </c>
      <c r="F2202" s="2" t="n">
        <v>3</v>
      </c>
      <c r="G2202" s="2" t="s">
        <v>29</v>
      </c>
      <c r="H2202" s="2" t="n">
        <v>2201</v>
      </c>
      <c r="I2202" s="2" t="s">
        <v>39</v>
      </c>
      <c r="J2202" s="2" t="n">
        <v>4</v>
      </c>
      <c r="K2202" s="2" t="s">
        <v>40</v>
      </c>
      <c r="L2202" s="2" t="s">
        <v>46</v>
      </c>
      <c r="M2202" s="2" t="n">
        <v>191410</v>
      </c>
      <c r="N2202" s="2" t="n">
        <v>3</v>
      </c>
      <c r="O2202" s="2" t="n">
        <v>12</v>
      </c>
      <c r="P2202" s="2" t="n">
        <v>1</v>
      </c>
      <c r="Q2202" s="2" t="n">
        <v>12</v>
      </c>
      <c r="R2202" s="2" t="n">
        <v>2</v>
      </c>
      <c r="S2202" s="2" t="n">
        <v>6</v>
      </c>
      <c r="T2202" s="2" t="n">
        <v>3</v>
      </c>
      <c r="U2202" s="2" t="n">
        <v>3</v>
      </c>
      <c r="V2202" s="2" t="n">
        <v>4</v>
      </c>
      <c r="W2202" s="2" t="n">
        <v>4</v>
      </c>
      <c r="X2202" s="2" t="n">
        <v>2</v>
      </c>
      <c r="Y2202" s="2" t="n">
        <v>3</v>
      </c>
      <c r="Z2202" s="2" t="n">
        <v>3</v>
      </c>
    </row>
    <row r="2203" customFormat="false" ht="15" hidden="false" customHeight="true" outlineLevel="0" collapsed="false">
      <c r="A2203" s="2" t="n">
        <v>37</v>
      </c>
      <c r="B2203" s="2" t="s">
        <v>26</v>
      </c>
      <c r="C2203" s="2" t="s">
        <v>27</v>
      </c>
      <c r="D2203" s="2" t="s">
        <v>35</v>
      </c>
      <c r="E2203" s="2" t="n">
        <v>2</v>
      </c>
      <c r="F2203" s="2" t="n">
        <v>2</v>
      </c>
      <c r="G2203" s="2" t="s">
        <v>43</v>
      </c>
      <c r="H2203" s="2" t="n">
        <v>2202</v>
      </c>
      <c r="I2203" s="2" t="s">
        <v>30</v>
      </c>
      <c r="J2203" s="2" t="n">
        <v>1</v>
      </c>
      <c r="K2203" s="2" t="s">
        <v>31</v>
      </c>
      <c r="L2203" s="2" t="s">
        <v>32</v>
      </c>
      <c r="M2203" s="2" t="n">
        <v>54050</v>
      </c>
      <c r="N2203" s="2" t="n">
        <v>7</v>
      </c>
      <c r="O2203" s="2" t="n">
        <v>15</v>
      </c>
      <c r="P2203" s="2" t="n">
        <v>0</v>
      </c>
      <c r="Q2203" s="2" t="n">
        <v>8</v>
      </c>
      <c r="R2203" s="2" t="n">
        <v>3</v>
      </c>
      <c r="S2203" s="2" t="n">
        <v>6</v>
      </c>
      <c r="T2203" s="2" t="n">
        <v>1</v>
      </c>
      <c r="U2203" s="2" t="n">
        <v>3</v>
      </c>
      <c r="V2203" s="2" t="n">
        <v>3</v>
      </c>
      <c r="W2203" s="2" t="n">
        <v>3</v>
      </c>
      <c r="X2203" s="2" t="n">
        <v>3</v>
      </c>
      <c r="Y2203" s="2" t="n">
        <v>4</v>
      </c>
      <c r="Z2203" s="2" t="n">
        <v>3</v>
      </c>
    </row>
    <row r="2204" customFormat="false" ht="15" hidden="false" customHeight="true" outlineLevel="0" collapsed="false">
      <c r="A2204" s="2" t="n">
        <v>33</v>
      </c>
      <c r="B2204" s="2" t="s">
        <v>26</v>
      </c>
      <c r="C2204" s="2" t="s">
        <v>34</v>
      </c>
      <c r="D2204" s="2" t="s">
        <v>35</v>
      </c>
      <c r="E2204" s="2" t="n">
        <v>2</v>
      </c>
      <c r="F2204" s="2" t="n">
        <v>3</v>
      </c>
      <c r="G2204" s="2" t="s">
        <v>43</v>
      </c>
      <c r="H2204" s="2" t="n">
        <v>2203</v>
      </c>
      <c r="I2204" s="2" t="s">
        <v>30</v>
      </c>
      <c r="J2204" s="2" t="n">
        <v>1</v>
      </c>
      <c r="K2204" s="2" t="s">
        <v>40</v>
      </c>
      <c r="L2204" s="2" t="s">
        <v>32</v>
      </c>
      <c r="M2204" s="2" t="n">
        <v>87930</v>
      </c>
      <c r="N2204" s="2" t="n">
        <v>6</v>
      </c>
      <c r="O2204" s="2" t="n">
        <v>17</v>
      </c>
      <c r="P2204" s="2" t="n">
        <v>0</v>
      </c>
      <c r="Q2204" s="2" t="n">
        <v>8</v>
      </c>
      <c r="R2204" s="2" t="n">
        <v>2</v>
      </c>
      <c r="S2204" s="2" t="n">
        <v>5</v>
      </c>
      <c r="T2204" s="2" t="n">
        <v>1</v>
      </c>
      <c r="U2204" s="2" t="n">
        <v>2</v>
      </c>
      <c r="V2204" s="2" t="n">
        <v>2</v>
      </c>
      <c r="W2204" s="2" t="n">
        <v>4</v>
      </c>
      <c r="X2204" s="2" t="n">
        <v>4</v>
      </c>
      <c r="Y2204" s="2" t="n">
        <v>3</v>
      </c>
      <c r="Z2204" s="2" t="n">
        <v>3</v>
      </c>
    </row>
    <row r="2205" customFormat="false" ht="15" hidden="false" customHeight="true" outlineLevel="0" collapsed="false">
      <c r="A2205" s="2" t="n">
        <v>32</v>
      </c>
      <c r="B2205" s="2" t="s">
        <v>26</v>
      </c>
      <c r="C2205" s="2" t="s">
        <v>27</v>
      </c>
      <c r="D2205" s="2" t="s">
        <v>35</v>
      </c>
      <c r="E2205" s="2" t="n">
        <v>1</v>
      </c>
      <c r="F2205" s="2" t="n">
        <v>4</v>
      </c>
      <c r="G2205" s="2" t="s">
        <v>43</v>
      </c>
      <c r="H2205" s="2" t="n">
        <v>2204</v>
      </c>
      <c r="I2205" s="2" t="s">
        <v>39</v>
      </c>
      <c r="J2205" s="2" t="n">
        <v>5</v>
      </c>
      <c r="K2205" s="2" t="s">
        <v>44</v>
      </c>
      <c r="L2205" s="2" t="s">
        <v>32</v>
      </c>
      <c r="M2205" s="2" t="n">
        <v>191890</v>
      </c>
      <c r="N2205" s="2" t="n">
        <v>0</v>
      </c>
      <c r="O2205" s="2" t="n">
        <v>12</v>
      </c>
      <c r="P2205" s="2" t="n">
        <v>1</v>
      </c>
      <c r="Q2205" s="2" t="n">
        <v>4</v>
      </c>
      <c r="R2205" s="2" t="n">
        <v>3</v>
      </c>
      <c r="S2205" s="2" t="n">
        <v>3</v>
      </c>
      <c r="T2205" s="2" t="n">
        <v>1</v>
      </c>
      <c r="U2205" s="2" t="n">
        <v>2</v>
      </c>
      <c r="V2205" s="2" t="n">
        <v>3</v>
      </c>
      <c r="W2205" s="2" t="n">
        <v>2</v>
      </c>
      <c r="X2205" s="2" t="n">
        <v>2</v>
      </c>
      <c r="Y2205" s="2" t="n">
        <v>3</v>
      </c>
      <c r="Z2205" s="2" t="n">
        <v>3</v>
      </c>
    </row>
    <row r="2206" customFormat="false" ht="15" hidden="false" customHeight="true" outlineLevel="0" collapsed="false">
      <c r="A2206" s="2" t="n">
        <v>39</v>
      </c>
      <c r="B2206" s="2" t="s">
        <v>26</v>
      </c>
      <c r="C2206" s="2" t="s">
        <v>41</v>
      </c>
      <c r="D2206" s="2" t="s">
        <v>35</v>
      </c>
      <c r="E2206" s="2" t="n">
        <v>29</v>
      </c>
      <c r="F2206" s="2" t="n">
        <v>2</v>
      </c>
      <c r="G2206" s="2" t="s">
        <v>29</v>
      </c>
      <c r="H2206" s="2" t="n">
        <v>2205</v>
      </c>
      <c r="I2206" s="2" t="s">
        <v>39</v>
      </c>
      <c r="J2206" s="2" t="n">
        <v>2</v>
      </c>
      <c r="K2206" s="2" t="s">
        <v>40</v>
      </c>
      <c r="L2206" s="2" t="s">
        <v>32</v>
      </c>
      <c r="M2206" s="2" t="n">
        <v>38750</v>
      </c>
      <c r="N2206" s="2" t="n">
        <v>3</v>
      </c>
      <c r="O2206" s="2" t="n">
        <v>15</v>
      </c>
      <c r="P2206" s="2" t="n">
        <v>0</v>
      </c>
      <c r="Q2206" s="2" t="n">
        <v>13</v>
      </c>
      <c r="R2206" s="2" t="n">
        <v>3</v>
      </c>
      <c r="S2206" s="2" t="n">
        <v>6</v>
      </c>
      <c r="T2206" s="2" t="n">
        <v>0</v>
      </c>
      <c r="U2206" s="2" t="n">
        <v>5</v>
      </c>
      <c r="V2206" s="2" t="n">
        <v>3</v>
      </c>
      <c r="W2206" s="2" t="n">
        <v>3</v>
      </c>
      <c r="X2206" s="2" t="n">
        <v>3</v>
      </c>
      <c r="Y2206" s="2" t="n">
        <v>3</v>
      </c>
      <c r="Z2206" s="2" t="n">
        <v>3</v>
      </c>
    </row>
    <row r="2207" customFormat="false" ht="15" hidden="false" customHeight="true" outlineLevel="0" collapsed="false">
      <c r="A2207" s="2" t="n">
        <v>25</v>
      </c>
      <c r="B2207" s="2" t="s">
        <v>26</v>
      </c>
      <c r="C2207" s="2" t="s">
        <v>27</v>
      </c>
      <c r="D2207" s="2" t="s">
        <v>35</v>
      </c>
      <c r="E2207" s="2" t="n">
        <v>7</v>
      </c>
      <c r="F2207" s="2" t="n">
        <v>4</v>
      </c>
      <c r="G2207" s="2" t="s">
        <v>29</v>
      </c>
      <c r="H2207" s="2" t="n">
        <v>2206</v>
      </c>
      <c r="I2207" s="2" t="s">
        <v>39</v>
      </c>
      <c r="J2207" s="2" t="n">
        <v>1</v>
      </c>
      <c r="K2207" s="2" t="s">
        <v>40</v>
      </c>
      <c r="L2207" s="2" t="s">
        <v>32</v>
      </c>
      <c r="M2207" s="2" t="n">
        <v>22160</v>
      </c>
      <c r="N2207" s="2" t="n">
        <v>2</v>
      </c>
      <c r="O2207" s="2" t="n">
        <v>13</v>
      </c>
      <c r="P2207" s="2" t="n">
        <v>3</v>
      </c>
      <c r="Q2207" s="2" t="n">
        <v>6</v>
      </c>
      <c r="R2207" s="2" t="n">
        <v>2</v>
      </c>
      <c r="S2207" s="2" t="n">
        <v>3</v>
      </c>
      <c r="T2207" s="2" t="n">
        <v>1</v>
      </c>
      <c r="U2207" s="2" t="n">
        <v>2</v>
      </c>
      <c r="V2207" s="2" t="n">
        <v>1</v>
      </c>
      <c r="W2207" s="2" t="n">
        <v>3</v>
      </c>
      <c r="X2207" s="2" t="n">
        <v>2</v>
      </c>
      <c r="Y2207" s="2" t="n">
        <v>2</v>
      </c>
      <c r="Z2207" s="2" t="n">
        <v>3</v>
      </c>
    </row>
    <row r="2208" customFormat="false" ht="15" hidden="false" customHeight="true" outlineLevel="0" collapsed="false">
      <c r="A2208" s="2" t="n">
        <v>52</v>
      </c>
      <c r="B2208" s="2" t="s">
        <v>26</v>
      </c>
      <c r="C2208" s="2" t="s">
        <v>34</v>
      </c>
      <c r="D2208" s="2" t="s">
        <v>35</v>
      </c>
      <c r="E2208" s="2" t="n">
        <v>2</v>
      </c>
      <c r="F2208" s="2" t="n">
        <v>1</v>
      </c>
      <c r="G2208" s="2" t="s">
        <v>29</v>
      </c>
      <c r="H2208" s="2" t="n">
        <v>2207</v>
      </c>
      <c r="I2208" s="2" t="s">
        <v>39</v>
      </c>
      <c r="J2208" s="2" t="n">
        <v>2</v>
      </c>
      <c r="K2208" s="2" t="s">
        <v>40</v>
      </c>
      <c r="L2208" s="2" t="s">
        <v>32</v>
      </c>
      <c r="M2208" s="2" t="n">
        <v>117130</v>
      </c>
      <c r="N2208" s="2" t="n">
        <v>2</v>
      </c>
      <c r="O2208" s="2" t="n">
        <v>14</v>
      </c>
      <c r="P2208" s="2" t="n">
        <v>0</v>
      </c>
      <c r="Q2208" s="2" t="n">
        <v>24</v>
      </c>
      <c r="R2208" s="2" t="n">
        <v>2</v>
      </c>
      <c r="S2208" s="2" t="n">
        <v>5</v>
      </c>
      <c r="T2208" s="2" t="n">
        <v>0</v>
      </c>
      <c r="U2208" s="2" t="n">
        <v>2</v>
      </c>
      <c r="V2208" s="2" t="n">
        <v>4</v>
      </c>
      <c r="W2208" s="2" t="n">
        <v>3</v>
      </c>
      <c r="X2208" s="2" t="n">
        <v>2</v>
      </c>
      <c r="Y2208" s="2" t="n">
        <v>3</v>
      </c>
      <c r="Z2208" s="2" t="n">
        <v>3</v>
      </c>
    </row>
    <row r="2209" customFormat="false" ht="15" hidden="false" customHeight="true" outlineLevel="0" collapsed="false">
      <c r="A2209" s="2" t="n">
        <v>43</v>
      </c>
      <c r="B2209" s="2" t="s">
        <v>26</v>
      </c>
      <c r="C2209" s="2" t="s">
        <v>27</v>
      </c>
      <c r="D2209" s="2" t="s">
        <v>35</v>
      </c>
      <c r="E2209" s="2" t="n">
        <v>2</v>
      </c>
      <c r="F2209" s="2" t="n">
        <v>2</v>
      </c>
      <c r="G2209" s="2" t="s">
        <v>43</v>
      </c>
      <c r="H2209" s="2" t="n">
        <v>2208</v>
      </c>
      <c r="I2209" s="2" t="s">
        <v>39</v>
      </c>
      <c r="J2209" s="2" t="n">
        <v>1</v>
      </c>
      <c r="K2209" s="2" t="s">
        <v>45</v>
      </c>
      <c r="L2209" s="2" t="s">
        <v>37</v>
      </c>
      <c r="M2209" s="2" t="n">
        <v>78610</v>
      </c>
      <c r="N2209" s="2" t="n">
        <v>1</v>
      </c>
      <c r="O2209" s="2" t="n">
        <v>14</v>
      </c>
      <c r="P2209" s="2" t="n">
        <v>2</v>
      </c>
      <c r="Q2209" s="2" t="n">
        <v>20</v>
      </c>
      <c r="R2209" s="2" t="n">
        <v>1</v>
      </c>
      <c r="S2209" s="2" t="n">
        <v>20</v>
      </c>
      <c r="T2209" s="2" t="n">
        <v>1</v>
      </c>
      <c r="U2209" s="2" t="n">
        <v>8</v>
      </c>
      <c r="V2209" s="2" t="n">
        <v>1</v>
      </c>
      <c r="W2209" s="2" t="n">
        <v>3</v>
      </c>
      <c r="X2209" s="2" t="n">
        <v>1</v>
      </c>
      <c r="Y2209" s="2" t="n">
        <v>3</v>
      </c>
      <c r="Z2209" s="2" t="n">
        <v>3</v>
      </c>
    </row>
    <row r="2210" customFormat="false" ht="15" hidden="false" customHeight="true" outlineLevel="0" collapsed="false">
      <c r="A2210" s="2" t="n">
        <v>27</v>
      </c>
      <c r="B2210" s="2" t="s">
        <v>26</v>
      </c>
      <c r="C2210" s="2" t="s">
        <v>27</v>
      </c>
      <c r="D2210" s="2" t="s">
        <v>35</v>
      </c>
      <c r="E2210" s="2" t="n">
        <v>2</v>
      </c>
      <c r="F2210" s="2" t="n">
        <v>4</v>
      </c>
      <c r="G2210" s="2" t="s">
        <v>29</v>
      </c>
      <c r="H2210" s="2" t="n">
        <v>2209</v>
      </c>
      <c r="I2210" s="2" t="s">
        <v>39</v>
      </c>
      <c r="J2210" s="2" t="n">
        <v>1</v>
      </c>
      <c r="K2210" s="2" t="s">
        <v>42</v>
      </c>
      <c r="L2210" s="2" t="s">
        <v>32</v>
      </c>
      <c r="M2210" s="2" t="n">
        <v>37080</v>
      </c>
      <c r="N2210" s="2" t="n">
        <v>1</v>
      </c>
      <c r="O2210" s="2" t="n">
        <v>16</v>
      </c>
      <c r="P2210" s="2" t="n">
        <v>2</v>
      </c>
      <c r="Q2210" s="2" t="n">
        <v>6</v>
      </c>
      <c r="R2210" s="2" t="n">
        <v>2</v>
      </c>
      <c r="S2210" s="2" t="n">
        <v>6</v>
      </c>
      <c r="T2210" s="2" t="n">
        <v>4</v>
      </c>
      <c r="U2210" s="2" t="n">
        <v>4</v>
      </c>
      <c r="V2210" s="2" t="n">
        <v>4</v>
      </c>
      <c r="W2210" s="2" t="n">
        <v>4</v>
      </c>
      <c r="X2210" s="2" t="n">
        <v>3</v>
      </c>
      <c r="Y2210" s="2" t="n">
        <v>3</v>
      </c>
      <c r="Z2210" s="2" t="n">
        <v>3</v>
      </c>
    </row>
    <row r="2211" customFormat="false" ht="15" hidden="false" customHeight="true" outlineLevel="0" collapsed="false">
      <c r="A2211" s="2" t="n">
        <v>27</v>
      </c>
      <c r="B2211" s="2" t="s">
        <v>33</v>
      </c>
      <c r="C2211" s="2" t="s">
        <v>27</v>
      </c>
      <c r="D2211" s="2" t="s">
        <v>35</v>
      </c>
      <c r="E2211" s="2" t="n">
        <v>2</v>
      </c>
      <c r="F2211" s="2" t="n">
        <v>5</v>
      </c>
      <c r="G2211" s="2" t="s">
        <v>29</v>
      </c>
      <c r="H2211" s="2" t="n">
        <v>2210</v>
      </c>
      <c r="I2211" s="2" t="s">
        <v>30</v>
      </c>
      <c r="J2211" s="2" t="n">
        <v>1</v>
      </c>
      <c r="K2211" s="2" t="s">
        <v>36</v>
      </c>
      <c r="L2211" s="2" t="s">
        <v>37</v>
      </c>
      <c r="M2211" s="2" t="n">
        <v>137700</v>
      </c>
      <c r="N2211" s="2" t="n">
        <v>1</v>
      </c>
      <c r="O2211" s="2" t="n">
        <v>18</v>
      </c>
      <c r="P2211" s="2" t="n">
        <v>1</v>
      </c>
      <c r="Q2211" s="2" t="n">
        <v>8</v>
      </c>
      <c r="R2211" s="2" t="n">
        <v>3</v>
      </c>
      <c r="S2211" s="2" t="n">
        <v>8</v>
      </c>
      <c r="T2211" s="2" t="n">
        <v>7</v>
      </c>
      <c r="U2211" s="2" t="n">
        <v>7</v>
      </c>
      <c r="V2211" s="2" t="n">
        <v>4</v>
      </c>
      <c r="W2211" s="2" t="n">
        <v>3</v>
      </c>
      <c r="X2211" s="2" t="n">
        <v>3</v>
      </c>
      <c r="Y2211" s="2" t="n">
        <v>4</v>
      </c>
      <c r="Z2211" s="2" t="n">
        <v>3</v>
      </c>
    </row>
    <row r="2212" customFormat="false" ht="15" hidden="false" customHeight="true" outlineLevel="0" collapsed="false">
      <c r="A2212" s="2" t="n">
        <v>26</v>
      </c>
      <c r="B2212" s="2" t="s">
        <v>26</v>
      </c>
      <c r="C2212" s="2" t="s">
        <v>27</v>
      </c>
      <c r="D2212" s="2" t="s">
        <v>35</v>
      </c>
      <c r="E2212" s="2" t="n">
        <v>2</v>
      </c>
      <c r="F2212" s="2" t="n">
        <v>2</v>
      </c>
      <c r="G2212" s="2" t="s">
        <v>38</v>
      </c>
      <c r="H2212" s="2" t="n">
        <v>2211</v>
      </c>
      <c r="I2212" s="2" t="s">
        <v>39</v>
      </c>
      <c r="J2212" s="2" t="n">
        <v>3</v>
      </c>
      <c r="K2212" s="2" t="s">
        <v>45</v>
      </c>
      <c r="L2212" s="2" t="s">
        <v>37</v>
      </c>
      <c r="M2212" s="2" t="n">
        <v>53040</v>
      </c>
      <c r="N2212" s="2" t="n">
        <v>0</v>
      </c>
      <c r="O2212" s="2" t="n">
        <v>20</v>
      </c>
      <c r="P2212" s="2" t="n">
        <v>1</v>
      </c>
      <c r="Q2212" s="2" t="n">
        <v>5</v>
      </c>
      <c r="R2212" s="2" t="n">
        <v>2</v>
      </c>
      <c r="S2212" s="2" t="n">
        <v>4</v>
      </c>
      <c r="T2212" s="2" t="n">
        <v>1</v>
      </c>
      <c r="U2212" s="2" t="n">
        <v>1</v>
      </c>
      <c r="V2212" s="2" t="n">
        <v>1</v>
      </c>
      <c r="W2212" s="2" t="n">
        <v>4</v>
      </c>
      <c r="X2212" s="2" t="n">
        <v>3</v>
      </c>
      <c r="Y2212" s="2" t="n">
        <v>3</v>
      </c>
      <c r="Z2212" s="2" t="n">
        <v>4</v>
      </c>
    </row>
    <row r="2213" customFormat="false" ht="15" hidden="false" customHeight="true" outlineLevel="0" collapsed="false">
      <c r="A2213" s="2" t="n">
        <v>42</v>
      </c>
      <c r="B2213" s="2" t="s">
        <v>26</v>
      </c>
      <c r="C2213" s="2" t="s">
        <v>27</v>
      </c>
      <c r="D2213" s="2" t="s">
        <v>28</v>
      </c>
      <c r="E2213" s="2" t="n">
        <v>23</v>
      </c>
      <c r="F2213" s="2" t="n">
        <v>3</v>
      </c>
      <c r="G2213" s="2" t="s">
        <v>50</v>
      </c>
      <c r="H2213" s="2" t="n">
        <v>2212</v>
      </c>
      <c r="I2213" s="2" t="s">
        <v>30</v>
      </c>
      <c r="J2213" s="2" t="n">
        <v>3</v>
      </c>
      <c r="K2213" s="2" t="s">
        <v>36</v>
      </c>
      <c r="L2213" s="2" t="s">
        <v>32</v>
      </c>
      <c r="M2213" s="2" t="n">
        <v>26420</v>
      </c>
      <c r="N2213" s="2" t="n">
        <v>0</v>
      </c>
      <c r="O2213" s="2" t="n">
        <v>13</v>
      </c>
      <c r="P2213" s="2" t="n">
        <v>1</v>
      </c>
      <c r="Q2213" s="2" t="n">
        <v>21</v>
      </c>
      <c r="R2213" s="2" t="n">
        <v>3</v>
      </c>
      <c r="S2213" s="2" t="n">
        <v>20</v>
      </c>
      <c r="T2213" s="2" t="n">
        <v>0</v>
      </c>
      <c r="U2213" s="2" t="n">
        <v>9</v>
      </c>
      <c r="V2213" s="2" t="n">
        <v>3</v>
      </c>
      <c r="W2213" s="2" t="n">
        <v>1</v>
      </c>
      <c r="X2213" s="2" t="n">
        <v>3</v>
      </c>
      <c r="Y2213" s="2" t="n">
        <v>3</v>
      </c>
      <c r="Z2213" s="2" t="n">
        <v>3</v>
      </c>
    </row>
    <row r="2214" customFormat="false" ht="15" hidden="false" customHeight="true" outlineLevel="0" collapsed="false">
      <c r="A2214" s="2" t="n">
        <v>52</v>
      </c>
      <c r="B2214" s="2" t="s">
        <v>26</v>
      </c>
      <c r="C2214" s="2" t="s">
        <v>27</v>
      </c>
      <c r="D2214" s="2" t="s">
        <v>35</v>
      </c>
      <c r="E2214" s="2" t="n">
        <v>5</v>
      </c>
      <c r="F2214" s="2" t="n">
        <v>2</v>
      </c>
      <c r="G2214" s="2" t="s">
        <v>29</v>
      </c>
      <c r="H2214" s="2" t="n">
        <v>2213</v>
      </c>
      <c r="I2214" s="2" t="s">
        <v>30</v>
      </c>
      <c r="J2214" s="2" t="n">
        <v>1</v>
      </c>
      <c r="K2214" s="2" t="s">
        <v>31</v>
      </c>
      <c r="L2214" s="2" t="s">
        <v>32</v>
      </c>
      <c r="M2214" s="2" t="n">
        <v>27590</v>
      </c>
      <c r="N2214" s="2" t="n">
        <v>9</v>
      </c>
      <c r="O2214" s="2" t="n">
        <v>18</v>
      </c>
      <c r="P2214" s="2" t="n">
        <v>1</v>
      </c>
      <c r="Q2214" s="2" t="n">
        <v>12</v>
      </c>
      <c r="R2214" s="2" t="n">
        <v>6</v>
      </c>
      <c r="S2214" s="2" t="n">
        <v>5</v>
      </c>
      <c r="T2214" s="2" t="n">
        <v>0</v>
      </c>
      <c r="U2214" s="2" t="n">
        <v>4</v>
      </c>
      <c r="V2214" s="2" t="n">
        <v>3</v>
      </c>
      <c r="W2214" s="2" t="n">
        <v>1</v>
      </c>
      <c r="X2214" s="2" t="n">
        <v>1</v>
      </c>
      <c r="Y2214" s="2" t="n">
        <v>3</v>
      </c>
      <c r="Z2214" s="2" t="n">
        <v>3</v>
      </c>
    </row>
    <row r="2215" customFormat="false" ht="15" hidden="false" customHeight="true" outlineLevel="0" collapsed="false">
      <c r="A2215" s="2" t="n">
        <v>37</v>
      </c>
      <c r="B2215" s="2" t="s">
        <v>26</v>
      </c>
      <c r="C2215" s="2" t="s">
        <v>27</v>
      </c>
      <c r="D2215" s="2" t="s">
        <v>35</v>
      </c>
      <c r="E2215" s="2" t="n">
        <v>20</v>
      </c>
      <c r="F2215" s="2" t="n">
        <v>5</v>
      </c>
      <c r="G2215" s="2" t="s">
        <v>29</v>
      </c>
      <c r="H2215" s="2" t="n">
        <v>2214</v>
      </c>
      <c r="I2215" s="2" t="s">
        <v>39</v>
      </c>
      <c r="J2215" s="2" t="n">
        <v>2</v>
      </c>
      <c r="K2215" s="2" t="s">
        <v>49</v>
      </c>
      <c r="L2215" s="2" t="s">
        <v>37</v>
      </c>
      <c r="M2215" s="2" t="n">
        <v>68040</v>
      </c>
      <c r="N2215" s="2" t="n">
        <v>4</v>
      </c>
      <c r="O2215" s="2" t="n">
        <v>13</v>
      </c>
      <c r="P2215" s="2" t="n">
        <v>1</v>
      </c>
      <c r="Q2215" s="2" t="n">
        <v>8</v>
      </c>
      <c r="R2215" s="2" t="n">
        <v>1</v>
      </c>
      <c r="S2215" s="2" t="n">
        <v>3</v>
      </c>
      <c r="T2215" s="2" t="n">
        <v>0</v>
      </c>
      <c r="U2215" s="2" t="n">
        <v>2</v>
      </c>
      <c r="V2215" s="2" t="n">
        <v>1</v>
      </c>
      <c r="W2215" s="2" t="n">
        <v>3</v>
      </c>
      <c r="X2215" s="2" t="n">
        <v>3</v>
      </c>
      <c r="Y2215" s="2" t="n">
        <v>3</v>
      </c>
      <c r="Z2215" s="2" t="n">
        <v>3</v>
      </c>
    </row>
    <row r="2216" customFormat="false" ht="15" hidden="false" customHeight="true" outlineLevel="0" collapsed="false">
      <c r="A2216" s="2" t="n">
        <v>35</v>
      </c>
      <c r="B2216" s="2" t="s">
        <v>26</v>
      </c>
      <c r="C2216" s="2" t="s">
        <v>34</v>
      </c>
      <c r="D2216" s="2" t="s">
        <v>35</v>
      </c>
      <c r="E2216" s="2" t="n">
        <v>6</v>
      </c>
      <c r="F2216" s="2" t="n">
        <v>4</v>
      </c>
      <c r="G2216" s="2" t="s">
        <v>43</v>
      </c>
      <c r="H2216" s="2" t="n">
        <v>2215</v>
      </c>
      <c r="I2216" s="2" t="s">
        <v>30</v>
      </c>
      <c r="J2216" s="2" t="n">
        <v>2</v>
      </c>
      <c r="K2216" s="2" t="s">
        <v>44</v>
      </c>
      <c r="L2216" s="2" t="s">
        <v>37</v>
      </c>
      <c r="M2216" s="2" t="n">
        <v>61420</v>
      </c>
      <c r="N2216" s="2" t="n">
        <v>2</v>
      </c>
      <c r="O2216" s="2" t="n">
        <v>15</v>
      </c>
      <c r="P2216" s="2" t="n">
        <v>1</v>
      </c>
      <c r="Q2216" s="2" t="n">
        <v>10</v>
      </c>
      <c r="R2216" s="2" t="n">
        <v>2</v>
      </c>
      <c r="S2216" s="2" t="n">
        <v>2</v>
      </c>
      <c r="T2216" s="2" t="n">
        <v>2</v>
      </c>
      <c r="U2216" s="2" t="n">
        <v>2</v>
      </c>
      <c r="V2216" s="2" t="n">
        <v>3</v>
      </c>
      <c r="W2216" s="2" t="n">
        <v>4</v>
      </c>
      <c r="X2216" s="2" t="n">
        <v>3</v>
      </c>
      <c r="Y2216" s="2" t="n">
        <v>3</v>
      </c>
      <c r="Z2216" s="2" t="n">
        <v>3</v>
      </c>
    </row>
    <row r="2217" customFormat="false" ht="15" hidden="false" customHeight="true" outlineLevel="0" collapsed="false">
      <c r="A2217" s="2" t="n">
        <v>25</v>
      </c>
      <c r="B2217" s="2" t="s">
        <v>26</v>
      </c>
      <c r="C2217" s="2" t="s">
        <v>27</v>
      </c>
      <c r="D2217" s="2" t="s">
        <v>35</v>
      </c>
      <c r="E2217" s="2" t="n">
        <v>1</v>
      </c>
      <c r="F2217" s="2" t="n">
        <v>4</v>
      </c>
      <c r="G2217" s="2" t="s">
        <v>43</v>
      </c>
      <c r="H2217" s="2" t="n">
        <v>2216</v>
      </c>
      <c r="I2217" s="2" t="s">
        <v>39</v>
      </c>
      <c r="J2217" s="2" t="n">
        <v>2</v>
      </c>
      <c r="K2217" s="2" t="s">
        <v>40</v>
      </c>
      <c r="L2217" s="2" t="s">
        <v>32</v>
      </c>
      <c r="M2217" s="2" t="n">
        <v>25000</v>
      </c>
      <c r="N2217" s="2" t="n">
        <v>4</v>
      </c>
      <c r="O2217" s="2" t="n">
        <v>14</v>
      </c>
      <c r="P2217" s="2" t="n">
        <v>2</v>
      </c>
      <c r="Q2217" s="2" t="n">
        <v>7</v>
      </c>
      <c r="R2217" s="2" t="n">
        <v>2</v>
      </c>
      <c r="S2217" s="2" t="n">
        <v>3</v>
      </c>
      <c r="T2217" s="2" t="n">
        <v>0</v>
      </c>
      <c r="U2217" s="2" t="n">
        <v>2</v>
      </c>
      <c r="V2217" s="2" t="n">
        <v>1</v>
      </c>
      <c r="W2217" s="2" t="n">
        <v>4</v>
      </c>
      <c r="X2217" s="2" t="n">
        <v>2</v>
      </c>
      <c r="Y2217" s="2" t="n">
        <v>1</v>
      </c>
      <c r="Z2217" s="2" t="n">
        <v>3</v>
      </c>
    </row>
    <row r="2218" customFormat="false" ht="15" hidden="false" customHeight="true" outlineLevel="0" collapsed="false">
      <c r="A2218" s="2" t="n">
        <v>26</v>
      </c>
      <c r="B2218" s="2" t="s">
        <v>26</v>
      </c>
      <c r="C2218" s="2" t="s">
        <v>27</v>
      </c>
      <c r="D2218" s="2" t="s">
        <v>35</v>
      </c>
      <c r="E2218" s="2" t="n">
        <v>29</v>
      </c>
      <c r="F2218" s="2" t="n">
        <v>4</v>
      </c>
      <c r="G2218" s="2" t="s">
        <v>29</v>
      </c>
      <c r="H2218" s="2" t="n">
        <v>2217</v>
      </c>
      <c r="I2218" s="2" t="s">
        <v>39</v>
      </c>
      <c r="J2218" s="2" t="n">
        <v>1</v>
      </c>
      <c r="K2218" s="2" t="s">
        <v>36</v>
      </c>
      <c r="L2218" s="2" t="s">
        <v>37</v>
      </c>
      <c r="M2218" s="2" t="n">
        <v>63890</v>
      </c>
      <c r="N2218" s="2" t="n">
        <v>0</v>
      </c>
      <c r="O2218" s="2" t="n">
        <v>22</v>
      </c>
      <c r="P2218" s="2" t="n">
        <v>0</v>
      </c>
      <c r="Q2218" s="2" t="n">
        <v>8</v>
      </c>
      <c r="R2218" s="2" t="n">
        <v>2</v>
      </c>
      <c r="S2218" s="2" t="n">
        <v>7</v>
      </c>
      <c r="T2218" s="2" t="n">
        <v>0</v>
      </c>
      <c r="U2218" s="2" t="n">
        <v>7</v>
      </c>
      <c r="V2218" s="2" t="n">
        <v>3</v>
      </c>
      <c r="W2218" s="2" t="n">
        <v>1</v>
      </c>
      <c r="X2218" s="2" t="n">
        <v>3</v>
      </c>
      <c r="Y2218" s="2" t="n">
        <v>2</v>
      </c>
      <c r="Z2218" s="2" t="n">
        <v>4</v>
      </c>
    </row>
    <row r="2219" customFormat="false" ht="15" hidden="false" customHeight="true" outlineLevel="0" collapsed="false">
      <c r="A2219" s="2" t="n">
        <v>29</v>
      </c>
      <c r="B2219" s="2" t="s">
        <v>26</v>
      </c>
      <c r="C2219" s="2" t="s">
        <v>27</v>
      </c>
      <c r="D2219" s="2" t="s">
        <v>28</v>
      </c>
      <c r="E2219" s="2" t="n">
        <v>9</v>
      </c>
      <c r="F2219" s="2" t="n">
        <v>3</v>
      </c>
      <c r="G2219" s="2" t="s">
        <v>29</v>
      </c>
      <c r="H2219" s="2" t="n">
        <v>2218</v>
      </c>
      <c r="I2219" s="2" t="s">
        <v>39</v>
      </c>
      <c r="J2219" s="2" t="n">
        <v>1</v>
      </c>
      <c r="K2219" s="2" t="s">
        <v>45</v>
      </c>
      <c r="L2219" s="2" t="s">
        <v>37</v>
      </c>
      <c r="M2219" s="2" t="n">
        <v>111030</v>
      </c>
      <c r="N2219" s="2" t="n">
        <v>1</v>
      </c>
      <c r="O2219" s="2" t="n">
        <v>12</v>
      </c>
      <c r="P2219" s="2" t="n">
        <v>0</v>
      </c>
      <c r="Q2219" s="2" t="n">
        <v>10</v>
      </c>
      <c r="R2219" s="2" t="n">
        <v>5</v>
      </c>
      <c r="S2219" s="2" t="n">
        <v>10</v>
      </c>
      <c r="T2219" s="2" t="n">
        <v>0</v>
      </c>
      <c r="U2219" s="2" t="n">
        <v>9</v>
      </c>
      <c r="V2219" s="2" t="n">
        <v>2</v>
      </c>
      <c r="W2219" s="2" t="n">
        <v>1</v>
      </c>
      <c r="X2219" s="2" t="n">
        <v>2</v>
      </c>
      <c r="Y2219" s="2" t="n">
        <v>2</v>
      </c>
      <c r="Z2219" s="2" t="n">
        <v>3</v>
      </c>
    </row>
    <row r="2220" customFormat="false" ht="15" hidden="false" customHeight="true" outlineLevel="0" collapsed="false">
      <c r="A2220" s="2" t="n">
        <v>49</v>
      </c>
      <c r="B2220" s="2" t="s">
        <v>33</v>
      </c>
      <c r="C2220" s="2" t="s">
        <v>34</v>
      </c>
      <c r="D2220" s="2" t="s">
        <v>28</v>
      </c>
      <c r="E2220" s="2" t="n">
        <v>6</v>
      </c>
      <c r="F2220" s="2" t="n">
        <v>5</v>
      </c>
      <c r="G2220" s="2" t="s">
        <v>43</v>
      </c>
      <c r="H2220" s="2" t="n">
        <v>2219</v>
      </c>
      <c r="I2220" s="2" t="s">
        <v>30</v>
      </c>
      <c r="J2220" s="2" t="n">
        <v>2</v>
      </c>
      <c r="K2220" s="2" t="s">
        <v>31</v>
      </c>
      <c r="L2220" s="2" t="s">
        <v>37</v>
      </c>
      <c r="M2220" s="2" t="n">
        <v>23420</v>
      </c>
      <c r="N2220" s="2" t="n">
        <v>3</v>
      </c>
      <c r="O2220" s="2" t="n">
        <v>18</v>
      </c>
      <c r="P2220" s="2" t="n">
        <v>0</v>
      </c>
      <c r="Q2220" s="2" t="n">
        <v>20</v>
      </c>
      <c r="R2220" s="2" t="n">
        <v>2</v>
      </c>
      <c r="S2220" s="2" t="n">
        <v>4</v>
      </c>
      <c r="T2220" s="2" t="n">
        <v>1</v>
      </c>
      <c r="U2220" s="2" t="n">
        <v>3</v>
      </c>
      <c r="V2220" s="2" t="n">
        <v>1</v>
      </c>
      <c r="W2220" s="2" t="n">
        <v>1</v>
      </c>
      <c r="X2220" s="2" t="n">
        <v>3</v>
      </c>
      <c r="Y2220" s="2" t="n">
        <v>3</v>
      </c>
      <c r="Z2220" s="2" t="n">
        <v>3</v>
      </c>
    </row>
    <row r="2221" customFormat="false" ht="15" hidden="false" customHeight="true" outlineLevel="0" collapsed="false">
      <c r="A2221" s="2" t="n">
        <v>29</v>
      </c>
      <c r="B2221" s="2" t="s">
        <v>33</v>
      </c>
      <c r="C2221" s="2" t="s">
        <v>34</v>
      </c>
      <c r="D2221" s="2" t="s">
        <v>28</v>
      </c>
      <c r="E2221" s="2" t="n">
        <v>3</v>
      </c>
      <c r="F2221" s="2" t="n">
        <v>2</v>
      </c>
      <c r="G2221" s="2" t="s">
        <v>50</v>
      </c>
      <c r="H2221" s="2" t="n">
        <v>2220</v>
      </c>
      <c r="I2221" s="2" t="s">
        <v>30</v>
      </c>
      <c r="J2221" s="2" t="n">
        <v>2</v>
      </c>
      <c r="K2221" s="2" t="s">
        <v>45</v>
      </c>
      <c r="L2221" s="2" t="s">
        <v>37</v>
      </c>
      <c r="M2221" s="2" t="n">
        <v>68110</v>
      </c>
      <c r="N2221" s="2" t="n">
        <v>0</v>
      </c>
      <c r="O2221" s="2" t="n">
        <v>15</v>
      </c>
      <c r="P2221" s="2" t="n">
        <v>1</v>
      </c>
      <c r="Q2221" s="2" t="n">
        <v>9</v>
      </c>
      <c r="R2221" s="2" t="n">
        <v>2</v>
      </c>
      <c r="S2221" s="2" t="n">
        <v>8</v>
      </c>
      <c r="T2221" s="2" t="n">
        <v>7</v>
      </c>
      <c r="U2221" s="2" t="n">
        <v>7</v>
      </c>
      <c r="V2221" s="2" t="n">
        <v>3</v>
      </c>
      <c r="W2221" s="2" t="n">
        <v>4</v>
      </c>
      <c r="X2221" s="2" t="n">
        <v>3</v>
      </c>
      <c r="Y2221" s="2" t="n">
        <v>3</v>
      </c>
      <c r="Z2221" s="2" t="n">
        <v>3</v>
      </c>
    </row>
    <row r="2222" customFormat="false" ht="15" hidden="false" customHeight="true" outlineLevel="0" collapsed="false">
      <c r="A2222" s="2" t="n">
        <v>54</v>
      </c>
      <c r="B2222" s="2" t="s">
        <v>26</v>
      </c>
      <c r="C2222" s="2" t="s">
        <v>27</v>
      </c>
      <c r="D2222" s="2" t="s">
        <v>28</v>
      </c>
      <c r="E2222" s="2" t="n">
        <v>1</v>
      </c>
      <c r="F2222" s="2" t="n">
        <v>3</v>
      </c>
      <c r="G2222" s="2" t="s">
        <v>43</v>
      </c>
      <c r="H2222" s="2" t="n">
        <v>2221</v>
      </c>
      <c r="I2222" s="2" t="s">
        <v>30</v>
      </c>
      <c r="J2222" s="2" t="n">
        <v>2</v>
      </c>
      <c r="K2222" s="2" t="s">
        <v>49</v>
      </c>
      <c r="L2222" s="2" t="s">
        <v>37</v>
      </c>
      <c r="M2222" s="2" t="n">
        <v>22970</v>
      </c>
      <c r="N2222" s="2" t="n">
        <v>6</v>
      </c>
      <c r="O2222" s="2" t="n">
        <v>18</v>
      </c>
      <c r="P2222" s="2" t="n">
        <v>2</v>
      </c>
      <c r="Q2222" s="2" t="n">
        <v>29</v>
      </c>
      <c r="R2222" s="2" t="n">
        <v>2</v>
      </c>
      <c r="S2222" s="2" t="n">
        <v>20</v>
      </c>
      <c r="T2222" s="2" t="n">
        <v>12</v>
      </c>
      <c r="U2222" s="2" t="n">
        <v>7</v>
      </c>
      <c r="V2222" s="2" t="n">
        <v>4</v>
      </c>
      <c r="W2222" s="2" t="n">
        <v>4</v>
      </c>
      <c r="X2222" s="2" t="n">
        <v>2</v>
      </c>
      <c r="Y2222" s="2" t="n">
        <v>2</v>
      </c>
      <c r="Z2222" s="2" t="n">
        <v>3</v>
      </c>
    </row>
    <row r="2223" customFormat="false" ht="15" hidden="false" customHeight="true" outlineLevel="0" collapsed="false">
      <c r="A2223" s="2" t="n">
        <v>58</v>
      </c>
      <c r="B2223" s="2" t="s">
        <v>26</v>
      </c>
      <c r="C2223" s="2" t="s">
        <v>27</v>
      </c>
      <c r="D2223" s="2" t="s">
        <v>28</v>
      </c>
      <c r="E2223" s="2" t="n">
        <v>22</v>
      </c>
      <c r="F2223" s="2" t="n">
        <v>3</v>
      </c>
      <c r="G2223" s="2" t="s">
        <v>29</v>
      </c>
      <c r="H2223" s="2" t="n">
        <v>2222</v>
      </c>
      <c r="I2223" s="2" t="s">
        <v>30</v>
      </c>
      <c r="J2223" s="2" t="n">
        <v>2</v>
      </c>
      <c r="K2223" s="2" t="s">
        <v>45</v>
      </c>
      <c r="L2223" s="2" t="s">
        <v>32</v>
      </c>
      <c r="M2223" s="2" t="n">
        <v>24500</v>
      </c>
      <c r="N2223" s="2" t="n">
        <v>3</v>
      </c>
      <c r="O2223" s="2" t="n">
        <v>12</v>
      </c>
      <c r="P2223" s="2" t="n">
        <v>1</v>
      </c>
      <c r="Q2223" s="2" t="n">
        <v>32</v>
      </c>
      <c r="R2223" s="2" t="n">
        <v>2</v>
      </c>
      <c r="S2223" s="2" t="n">
        <v>9</v>
      </c>
      <c r="T2223" s="2" t="n">
        <v>1</v>
      </c>
      <c r="U2223" s="2" t="n">
        <v>5</v>
      </c>
      <c r="V2223" s="2" t="n">
        <v>4</v>
      </c>
      <c r="W2223" s="2" t="n">
        <v>1</v>
      </c>
      <c r="X2223" s="2" t="n">
        <v>3</v>
      </c>
      <c r="Y2223" s="2" t="n">
        <v>3</v>
      </c>
      <c r="Z2223" s="2" t="n">
        <v>3</v>
      </c>
    </row>
    <row r="2224" customFormat="false" ht="15" hidden="false" customHeight="true" outlineLevel="0" collapsed="false">
      <c r="A2224" s="2" t="n">
        <v>55</v>
      </c>
      <c r="B2224" s="2" t="s">
        <v>26</v>
      </c>
      <c r="C2224" s="2" t="s">
        <v>27</v>
      </c>
      <c r="D2224" s="2" t="s">
        <v>35</v>
      </c>
      <c r="E2224" s="2" t="n">
        <v>7</v>
      </c>
      <c r="F2224" s="2" t="n">
        <v>3</v>
      </c>
      <c r="G2224" s="2" t="s">
        <v>29</v>
      </c>
      <c r="H2224" s="2" t="n">
        <v>2223</v>
      </c>
      <c r="I2224" s="2" t="s">
        <v>30</v>
      </c>
      <c r="J2224" s="2" t="n">
        <v>3</v>
      </c>
      <c r="K2224" s="2" t="s">
        <v>36</v>
      </c>
      <c r="L2224" s="2" t="s">
        <v>46</v>
      </c>
      <c r="M2224" s="2" t="n">
        <v>50930</v>
      </c>
      <c r="N2224" s="2" t="n">
        <v>2</v>
      </c>
      <c r="O2224" s="2" t="n">
        <v>16</v>
      </c>
      <c r="P2224" s="2" t="n">
        <v>1</v>
      </c>
      <c r="Q2224" s="2" t="n">
        <v>31</v>
      </c>
      <c r="R2224" s="2" t="n">
        <v>3</v>
      </c>
      <c r="S2224" s="2" t="n">
        <v>7</v>
      </c>
      <c r="T2224" s="2" t="n">
        <v>0</v>
      </c>
      <c r="U2224" s="2" t="n">
        <v>0</v>
      </c>
      <c r="V2224" s="2" t="n">
        <v>2</v>
      </c>
      <c r="W2224" s="2" t="n">
        <v>4</v>
      </c>
      <c r="X2224" s="2" t="n">
        <v>4</v>
      </c>
      <c r="Y2224" s="2" t="n">
        <v>3</v>
      </c>
      <c r="Z2224" s="2" t="n">
        <v>3</v>
      </c>
    </row>
    <row r="2225" customFormat="false" ht="15" hidden="false" customHeight="true" outlineLevel="0" collapsed="false">
      <c r="A2225" s="2" t="n">
        <v>36</v>
      </c>
      <c r="B2225" s="2" t="s">
        <v>26</v>
      </c>
      <c r="C2225" s="2" t="s">
        <v>27</v>
      </c>
      <c r="D2225" s="2" t="s">
        <v>35</v>
      </c>
      <c r="E2225" s="2" t="n">
        <v>1</v>
      </c>
      <c r="F2225" s="2" t="n">
        <v>3</v>
      </c>
      <c r="G2225" s="2" t="s">
        <v>43</v>
      </c>
      <c r="H2225" s="2" t="n">
        <v>2224</v>
      </c>
      <c r="I2225" s="2" t="s">
        <v>39</v>
      </c>
      <c r="J2225" s="2" t="n">
        <v>2</v>
      </c>
      <c r="K2225" s="2" t="s">
        <v>40</v>
      </c>
      <c r="L2225" s="2" t="s">
        <v>37</v>
      </c>
      <c r="M2225" s="2" t="n">
        <v>53090</v>
      </c>
      <c r="N2225" s="2" t="n">
        <v>3</v>
      </c>
      <c r="O2225" s="2" t="n">
        <v>13</v>
      </c>
      <c r="P2225" s="2" t="n">
        <v>0</v>
      </c>
      <c r="Q2225" s="2" t="n">
        <v>15</v>
      </c>
      <c r="R2225" s="2" t="n">
        <v>5</v>
      </c>
      <c r="S2225" s="2" t="n">
        <v>5</v>
      </c>
      <c r="T2225" s="2" t="n">
        <v>0</v>
      </c>
      <c r="U2225" s="2" t="n">
        <v>1</v>
      </c>
      <c r="V2225" s="2" t="n">
        <v>1</v>
      </c>
      <c r="W2225" s="2" t="n">
        <v>2</v>
      </c>
      <c r="X2225" s="2" t="n">
        <v>3</v>
      </c>
      <c r="Y2225" s="2" t="n">
        <v>3</v>
      </c>
      <c r="Z2225" s="2" t="n">
        <v>3</v>
      </c>
    </row>
    <row r="2226" customFormat="false" ht="15" hidden="false" customHeight="true" outlineLevel="0" collapsed="false">
      <c r="A2226" s="2" t="n">
        <v>31</v>
      </c>
      <c r="B2226" s="2" t="s">
        <v>33</v>
      </c>
      <c r="C2226" s="2" t="s">
        <v>34</v>
      </c>
      <c r="D2226" s="2" t="s">
        <v>28</v>
      </c>
      <c r="E2226" s="2" t="n">
        <v>4</v>
      </c>
      <c r="F2226" s="2" t="n">
        <v>3</v>
      </c>
      <c r="G2226" s="2" t="s">
        <v>29</v>
      </c>
      <c r="H2226" s="2" t="n">
        <v>2225</v>
      </c>
      <c r="I2226" s="2" t="s">
        <v>39</v>
      </c>
      <c r="J2226" s="2" t="n">
        <v>2</v>
      </c>
      <c r="K2226" s="2" t="s">
        <v>49</v>
      </c>
      <c r="L2226" s="2" t="s">
        <v>37</v>
      </c>
      <c r="M2226" s="2" t="n">
        <v>30570</v>
      </c>
      <c r="N2226" s="2" t="n">
        <v>1</v>
      </c>
      <c r="O2226" s="2" t="n">
        <v>19</v>
      </c>
      <c r="P2226" s="2" t="n">
        <v>0</v>
      </c>
      <c r="Q2226" s="2" t="n">
        <v>1</v>
      </c>
      <c r="R2226" s="2" t="n">
        <v>3</v>
      </c>
      <c r="S2226" s="2" t="n">
        <v>1</v>
      </c>
      <c r="T2226" s="2" t="n">
        <v>0</v>
      </c>
      <c r="U2226" s="2" t="n">
        <v>0</v>
      </c>
      <c r="V2226" s="2" t="n">
        <v>2</v>
      </c>
      <c r="W2226" s="2" t="n">
        <v>3</v>
      </c>
      <c r="X2226" s="2" t="n">
        <v>3</v>
      </c>
      <c r="Y2226" s="2" t="n">
        <v>3</v>
      </c>
      <c r="Z2226" s="2" t="n">
        <v>3</v>
      </c>
    </row>
    <row r="2227" customFormat="false" ht="15" hidden="false" customHeight="true" outlineLevel="0" collapsed="false">
      <c r="A2227" s="2" t="n">
        <v>30</v>
      </c>
      <c r="B2227" s="2" t="s">
        <v>26</v>
      </c>
      <c r="C2227" s="2" t="s">
        <v>27</v>
      </c>
      <c r="D2227" s="2" t="s">
        <v>28</v>
      </c>
      <c r="E2227" s="2" t="n">
        <v>3</v>
      </c>
      <c r="F2227" s="2" t="n">
        <v>3</v>
      </c>
      <c r="G2227" s="2" t="s">
        <v>29</v>
      </c>
      <c r="H2227" s="2" t="n">
        <v>2226</v>
      </c>
      <c r="I2227" s="2" t="s">
        <v>39</v>
      </c>
      <c r="J2227" s="2" t="n">
        <v>3</v>
      </c>
      <c r="K2227" s="2" t="s">
        <v>40</v>
      </c>
      <c r="L2227" s="2" t="s">
        <v>46</v>
      </c>
      <c r="M2227" s="2" t="n">
        <v>51210</v>
      </c>
      <c r="N2227" s="2" t="n">
        <v>7</v>
      </c>
      <c r="O2227" s="2" t="n">
        <v>13</v>
      </c>
      <c r="P2227" s="2" t="n">
        <v>0</v>
      </c>
      <c r="Q2227" s="2" t="n">
        <v>8</v>
      </c>
      <c r="R2227" s="2" t="n">
        <v>4</v>
      </c>
      <c r="S2227" s="2" t="n">
        <v>3</v>
      </c>
      <c r="T2227" s="2" t="n">
        <v>0</v>
      </c>
      <c r="U2227" s="2" t="n">
        <v>2</v>
      </c>
      <c r="V2227" s="2" t="n">
        <v>4</v>
      </c>
      <c r="W2227" s="2" t="n">
        <v>1</v>
      </c>
      <c r="X2227" s="2" t="n">
        <v>3</v>
      </c>
      <c r="Y2227" s="2" t="n">
        <v>3</v>
      </c>
      <c r="Z2227" s="2" t="n">
        <v>3</v>
      </c>
    </row>
    <row r="2228" customFormat="false" ht="15" hidden="false" customHeight="true" outlineLevel="0" collapsed="false">
      <c r="A2228" s="2" t="n">
        <v>31</v>
      </c>
      <c r="B2228" s="2" t="s">
        <v>26</v>
      </c>
      <c r="C2228" s="2" t="s">
        <v>27</v>
      </c>
      <c r="D2228" s="2" t="s">
        <v>35</v>
      </c>
      <c r="E2228" s="2" t="n">
        <v>1</v>
      </c>
      <c r="F2228" s="2" t="n">
        <v>3</v>
      </c>
      <c r="G2228" s="2" t="s">
        <v>43</v>
      </c>
      <c r="H2228" s="2" t="n">
        <v>2227</v>
      </c>
      <c r="I2228" s="2" t="s">
        <v>39</v>
      </c>
      <c r="J2228" s="2" t="n">
        <v>1</v>
      </c>
      <c r="K2228" s="2" t="s">
        <v>45</v>
      </c>
      <c r="L2228" s="2" t="s">
        <v>37</v>
      </c>
      <c r="M2228" s="2" t="n">
        <v>168560</v>
      </c>
      <c r="N2228" s="2" t="n">
        <v>3</v>
      </c>
      <c r="O2228" s="2" t="n">
        <v>12</v>
      </c>
      <c r="P2228" s="2" t="n">
        <v>1</v>
      </c>
      <c r="Q2228" s="2" t="n">
        <v>9</v>
      </c>
      <c r="R2228" s="2" t="n">
        <v>3</v>
      </c>
      <c r="S2228" s="2" t="n">
        <v>3</v>
      </c>
      <c r="T2228" s="2" t="n">
        <v>1</v>
      </c>
      <c r="U2228" s="2" t="n">
        <v>0</v>
      </c>
      <c r="V2228" s="2" t="n">
        <v>1</v>
      </c>
      <c r="W2228" s="2" t="n">
        <v>2</v>
      </c>
      <c r="X2228" s="2"/>
      <c r="Y2228" s="2" t="n">
        <v>3</v>
      </c>
      <c r="Z2228" s="2" t="n">
        <v>3</v>
      </c>
    </row>
    <row r="2229" customFormat="false" ht="15" hidden="false" customHeight="true" outlineLevel="0" collapsed="false">
      <c r="A2229" s="2" t="n">
        <v>34</v>
      </c>
      <c r="B2229" s="2" t="s">
        <v>26</v>
      </c>
      <c r="C2229" s="2" t="s">
        <v>34</v>
      </c>
      <c r="D2229" s="2" t="s">
        <v>28</v>
      </c>
      <c r="E2229" s="2" t="n">
        <v>2</v>
      </c>
      <c r="F2229" s="2" t="n">
        <v>1</v>
      </c>
      <c r="G2229" s="2" t="s">
        <v>50</v>
      </c>
      <c r="H2229" s="2" t="n">
        <v>2228</v>
      </c>
      <c r="I2229" s="2" t="s">
        <v>30</v>
      </c>
      <c r="J2229" s="2" t="n">
        <v>5</v>
      </c>
      <c r="K2229" s="2" t="s">
        <v>49</v>
      </c>
      <c r="L2229" s="2" t="s">
        <v>46</v>
      </c>
      <c r="M2229" s="2" t="n">
        <v>26860</v>
      </c>
      <c r="N2229" s="2" t="n">
        <v>5</v>
      </c>
      <c r="O2229" s="2" t="n">
        <v>11</v>
      </c>
      <c r="P2229" s="2" t="n">
        <v>0</v>
      </c>
      <c r="Q2229" s="2" t="n">
        <v>10</v>
      </c>
      <c r="R2229" s="2" t="n">
        <v>3</v>
      </c>
      <c r="S2229" s="2" t="n">
        <v>4</v>
      </c>
      <c r="T2229" s="2" t="n">
        <v>1</v>
      </c>
      <c r="U2229" s="2" t="n">
        <v>3</v>
      </c>
      <c r="V2229" s="2" t="n">
        <v>4</v>
      </c>
      <c r="W2229" s="2" t="n">
        <v>1</v>
      </c>
      <c r="X2229" s="2" t="n">
        <v>3</v>
      </c>
      <c r="Y2229" s="2" t="n">
        <v>4</v>
      </c>
      <c r="Z2229" s="2" t="n">
        <v>3</v>
      </c>
    </row>
    <row r="2230" customFormat="false" ht="15" hidden="false" customHeight="true" outlineLevel="0" collapsed="false">
      <c r="A2230" s="2" t="n">
        <v>31</v>
      </c>
      <c r="B2230" s="2" t="s">
        <v>33</v>
      </c>
      <c r="C2230" s="2" t="s">
        <v>27</v>
      </c>
      <c r="D2230" s="2" t="s">
        <v>28</v>
      </c>
      <c r="E2230" s="2" t="n">
        <v>20</v>
      </c>
      <c r="F2230" s="2" t="n">
        <v>3</v>
      </c>
      <c r="G2230" s="2" t="s">
        <v>51</v>
      </c>
      <c r="H2230" s="2" t="n">
        <v>2229</v>
      </c>
      <c r="I2230" s="2" t="s">
        <v>39</v>
      </c>
      <c r="J2230" s="2" t="n">
        <v>1</v>
      </c>
      <c r="K2230" s="2" t="s">
        <v>36</v>
      </c>
      <c r="L2230" s="2" t="s">
        <v>37</v>
      </c>
      <c r="M2230" s="2" t="n">
        <v>61800</v>
      </c>
      <c r="N2230" s="2" t="n">
        <v>1</v>
      </c>
      <c r="O2230" s="2" t="n">
        <v>14</v>
      </c>
      <c r="P2230" s="2" t="n">
        <v>1</v>
      </c>
      <c r="Q2230" s="2" t="n">
        <v>1</v>
      </c>
      <c r="R2230" s="2" t="n">
        <v>2</v>
      </c>
      <c r="S2230" s="2" t="n">
        <v>1</v>
      </c>
      <c r="T2230" s="2" t="n">
        <v>0</v>
      </c>
      <c r="U2230" s="2" t="n">
        <v>0</v>
      </c>
      <c r="V2230" s="2" t="n">
        <v>1</v>
      </c>
      <c r="W2230" s="2" t="n">
        <v>2</v>
      </c>
      <c r="X2230" s="2" t="n">
        <v>4</v>
      </c>
      <c r="Y2230" s="2" t="n">
        <v>1</v>
      </c>
      <c r="Z2230" s="2" t="n">
        <v>3</v>
      </c>
    </row>
    <row r="2231" customFormat="false" ht="15" hidden="false" customHeight="true" outlineLevel="0" collapsed="false">
      <c r="A2231" s="2" t="n">
        <v>27</v>
      </c>
      <c r="B2231" s="2" t="s">
        <v>26</v>
      </c>
      <c r="C2231" s="2" t="s">
        <v>27</v>
      </c>
      <c r="D2231" s="2" t="s">
        <v>42</v>
      </c>
      <c r="E2231" s="2" t="n">
        <v>11</v>
      </c>
      <c r="F2231" s="2" t="n">
        <v>4</v>
      </c>
      <c r="G2231" s="2" t="s">
        <v>43</v>
      </c>
      <c r="H2231" s="2" t="n">
        <v>2230</v>
      </c>
      <c r="I2231" s="2" t="s">
        <v>39</v>
      </c>
      <c r="J2231" s="2" t="n">
        <v>4</v>
      </c>
      <c r="K2231" s="2" t="s">
        <v>40</v>
      </c>
      <c r="L2231" s="2" t="s">
        <v>32</v>
      </c>
      <c r="M2231" s="2" t="n">
        <v>66320</v>
      </c>
      <c r="N2231" s="2" t="n">
        <v>0</v>
      </c>
      <c r="O2231" s="2" t="n">
        <v>16</v>
      </c>
      <c r="P2231" s="2" t="n">
        <v>0</v>
      </c>
      <c r="Q2231" s="2" t="n">
        <v>6</v>
      </c>
      <c r="R2231" s="2" t="n">
        <v>3</v>
      </c>
      <c r="S2231" s="2" t="n">
        <v>5</v>
      </c>
      <c r="T2231" s="2" t="n">
        <v>1</v>
      </c>
      <c r="U2231" s="2" t="n">
        <v>4</v>
      </c>
      <c r="V2231" s="2" t="n">
        <v>2</v>
      </c>
      <c r="W2231" s="2" t="n">
        <v>1</v>
      </c>
      <c r="X2231" s="2" t="n">
        <v>4</v>
      </c>
      <c r="Y2231" s="2" t="n">
        <v>3</v>
      </c>
      <c r="Z2231" s="2" t="n">
        <v>3</v>
      </c>
    </row>
    <row r="2232" customFormat="false" ht="15" hidden="false" customHeight="true" outlineLevel="0" collapsed="false">
      <c r="A2232" s="2" t="n">
        <v>36</v>
      </c>
      <c r="B2232" s="2" t="s">
        <v>26</v>
      </c>
      <c r="C2232" s="2" t="s">
        <v>27</v>
      </c>
      <c r="D2232" s="2" t="s">
        <v>28</v>
      </c>
      <c r="E2232" s="2" t="n">
        <v>1</v>
      </c>
      <c r="F2232" s="2" t="n">
        <v>3</v>
      </c>
      <c r="G2232" s="2" t="s">
        <v>50</v>
      </c>
      <c r="H2232" s="2" t="n">
        <v>2231</v>
      </c>
      <c r="I2232" s="2" t="s">
        <v>39</v>
      </c>
      <c r="J2232" s="2" t="n">
        <v>2</v>
      </c>
      <c r="K2232" s="2" t="s">
        <v>36</v>
      </c>
      <c r="L2232" s="2" t="s">
        <v>37</v>
      </c>
      <c r="M2232" s="2" t="n">
        <v>35050</v>
      </c>
      <c r="N2232" s="2" t="n">
        <v>1</v>
      </c>
      <c r="O2232" s="2" t="n">
        <v>12</v>
      </c>
      <c r="P2232" s="2" t="n">
        <v>2</v>
      </c>
      <c r="Q2232" s="2" t="n">
        <v>10</v>
      </c>
      <c r="R2232" s="2" t="n">
        <v>2</v>
      </c>
      <c r="S2232" s="2" t="n">
        <v>10</v>
      </c>
      <c r="T2232" s="2" t="n">
        <v>1</v>
      </c>
      <c r="U2232" s="2" t="n">
        <v>8</v>
      </c>
      <c r="V2232" s="2" t="n">
        <v>1</v>
      </c>
      <c r="W2232" s="2" t="n">
        <v>4</v>
      </c>
      <c r="X2232" s="2" t="n">
        <v>2</v>
      </c>
      <c r="Y2232" s="2" t="n">
        <v>2</v>
      </c>
      <c r="Z2232" s="2" t="n">
        <v>3</v>
      </c>
    </row>
    <row r="2233" customFormat="false" ht="15" hidden="false" customHeight="true" outlineLevel="0" collapsed="false">
      <c r="A2233" s="2" t="n">
        <v>36</v>
      </c>
      <c r="B2233" s="2" t="s">
        <v>26</v>
      </c>
      <c r="C2233" s="2" t="s">
        <v>27</v>
      </c>
      <c r="D2233" s="2" t="s">
        <v>35</v>
      </c>
      <c r="E2233" s="2" t="n">
        <v>24</v>
      </c>
      <c r="F2233" s="2" t="n">
        <v>3</v>
      </c>
      <c r="G2233" s="2" t="s">
        <v>38</v>
      </c>
      <c r="H2233" s="2" t="n">
        <v>2232</v>
      </c>
      <c r="I2233" s="2" t="s">
        <v>30</v>
      </c>
      <c r="J2233" s="2" t="n">
        <v>3</v>
      </c>
      <c r="K2233" s="2" t="s">
        <v>44</v>
      </c>
      <c r="L2233" s="2" t="s">
        <v>32</v>
      </c>
      <c r="M2233" s="2" t="n">
        <v>63970</v>
      </c>
      <c r="N2233" s="2" t="n">
        <v>4</v>
      </c>
      <c r="O2233" s="2" t="n">
        <v>14</v>
      </c>
      <c r="P2233" s="2" t="n">
        <v>1</v>
      </c>
      <c r="Q2233" s="2" t="n">
        <v>11</v>
      </c>
      <c r="R2233" s="2" t="n">
        <v>3</v>
      </c>
      <c r="S2233" s="2" t="n">
        <v>3</v>
      </c>
      <c r="T2233" s="2" t="n">
        <v>0</v>
      </c>
      <c r="U2233" s="2" t="n">
        <v>2</v>
      </c>
      <c r="V2233" s="2" t="n">
        <v>3</v>
      </c>
      <c r="W2233" s="2" t="n">
        <v>1</v>
      </c>
      <c r="X2233" s="2" t="n">
        <v>2</v>
      </c>
      <c r="Y2233" s="2" t="n">
        <v>3</v>
      </c>
      <c r="Z2233" s="2" t="n">
        <v>3</v>
      </c>
    </row>
    <row r="2234" customFormat="false" ht="15" hidden="false" customHeight="true" outlineLevel="0" collapsed="false">
      <c r="A2234" s="2" t="n">
        <v>47</v>
      </c>
      <c r="B2234" s="2" t="s">
        <v>26</v>
      </c>
      <c r="C2234" s="2" t="s">
        <v>27</v>
      </c>
      <c r="D2234" s="2" t="s">
        <v>35</v>
      </c>
      <c r="E2234" s="2" t="n">
        <v>23</v>
      </c>
      <c r="F2234" s="2" t="n">
        <v>4</v>
      </c>
      <c r="G2234" s="2" t="s">
        <v>29</v>
      </c>
      <c r="H2234" s="2" t="n">
        <v>2233</v>
      </c>
      <c r="I2234" s="2" t="s">
        <v>30</v>
      </c>
      <c r="J2234" s="2" t="n">
        <v>2</v>
      </c>
      <c r="K2234" s="2" t="s">
        <v>40</v>
      </c>
      <c r="L2234" s="2" t="s">
        <v>32</v>
      </c>
      <c r="M2234" s="2" t="n">
        <v>62740</v>
      </c>
      <c r="N2234" s="2" t="n">
        <v>7</v>
      </c>
      <c r="O2234" s="2" t="n">
        <v>14</v>
      </c>
      <c r="P2234" s="2" t="n">
        <v>2</v>
      </c>
      <c r="Q2234" s="2" t="n">
        <v>17</v>
      </c>
      <c r="R2234" s="2" t="n">
        <v>0</v>
      </c>
      <c r="S2234" s="2" t="n">
        <v>6</v>
      </c>
      <c r="T2234" s="2" t="n">
        <v>1</v>
      </c>
      <c r="U2234" s="2" t="n">
        <v>2</v>
      </c>
      <c r="V2234" s="2" t="n">
        <v>1</v>
      </c>
      <c r="W2234" s="2" t="n">
        <v>4</v>
      </c>
      <c r="X2234" s="2" t="n">
        <v>2</v>
      </c>
      <c r="Y2234" s="2" t="n">
        <v>3</v>
      </c>
      <c r="Z2234" s="2" t="n">
        <v>3</v>
      </c>
    </row>
    <row r="2235" customFormat="false" ht="15" hidden="false" customHeight="true" outlineLevel="0" collapsed="false">
      <c r="A2235" s="2" t="n">
        <v>25</v>
      </c>
      <c r="B2235" s="2" t="s">
        <v>33</v>
      </c>
      <c r="C2235" s="2" t="s">
        <v>27</v>
      </c>
      <c r="D2235" s="2" t="s">
        <v>28</v>
      </c>
      <c r="E2235" s="2" t="n">
        <v>16</v>
      </c>
      <c r="F2235" s="2" t="n">
        <v>4</v>
      </c>
      <c r="G2235" s="2" t="s">
        <v>29</v>
      </c>
      <c r="H2235" s="2" t="n">
        <v>2234</v>
      </c>
      <c r="I2235" s="2" t="s">
        <v>39</v>
      </c>
      <c r="J2235" s="2" t="n">
        <v>2</v>
      </c>
      <c r="K2235" s="2" t="s">
        <v>36</v>
      </c>
      <c r="L2235" s="2" t="s">
        <v>32</v>
      </c>
      <c r="M2235" s="2" t="n">
        <v>198590</v>
      </c>
      <c r="N2235" s="2" t="n">
        <v>3</v>
      </c>
      <c r="O2235" s="2" t="n">
        <v>19</v>
      </c>
      <c r="P2235" s="2" t="n">
        <v>0</v>
      </c>
      <c r="Q2235" s="2" t="n">
        <v>6</v>
      </c>
      <c r="R2235" s="2" t="n">
        <v>3</v>
      </c>
      <c r="S2235" s="2" t="n">
        <v>3</v>
      </c>
      <c r="T2235" s="2" t="n">
        <v>2</v>
      </c>
      <c r="U2235" s="2" t="n">
        <v>2</v>
      </c>
      <c r="V2235" s="2" t="n">
        <v>1</v>
      </c>
      <c r="W2235" s="2" t="n">
        <v>1</v>
      </c>
      <c r="X2235" s="2" t="n">
        <v>3</v>
      </c>
      <c r="Y2235" s="2" t="n">
        <v>2</v>
      </c>
      <c r="Z2235" s="2" t="n">
        <v>3</v>
      </c>
    </row>
    <row r="2236" customFormat="false" ht="15" hidden="false" customHeight="true" outlineLevel="0" collapsed="false">
      <c r="A2236" s="2" t="n">
        <v>37</v>
      </c>
      <c r="B2236" s="2" t="s">
        <v>26</v>
      </c>
      <c r="C2236" s="2" t="s">
        <v>41</v>
      </c>
      <c r="D2236" s="2" t="s">
        <v>28</v>
      </c>
      <c r="E2236" s="2" t="n">
        <v>8</v>
      </c>
      <c r="F2236" s="2" t="n">
        <v>4</v>
      </c>
      <c r="G2236" s="2" t="s">
        <v>43</v>
      </c>
      <c r="H2236" s="2" t="n">
        <v>2235</v>
      </c>
      <c r="I2236" s="2" t="s">
        <v>39</v>
      </c>
      <c r="J2236" s="2" t="n">
        <v>1</v>
      </c>
      <c r="K2236" s="2" t="s">
        <v>31</v>
      </c>
      <c r="L2236" s="2" t="s">
        <v>37</v>
      </c>
      <c r="M2236" s="2" t="n">
        <v>75870</v>
      </c>
      <c r="N2236" s="2" t="n">
        <v>0</v>
      </c>
      <c r="O2236" s="2" t="n">
        <v>22</v>
      </c>
      <c r="P2236" s="2" t="n">
        <v>1</v>
      </c>
      <c r="Q2236" s="2" t="n">
        <v>7</v>
      </c>
      <c r="R2236" s="2" t="n">
        <v>5</v>
      </c>
      <c r="S2236" s="2" t="n">
        <v>6</v>
      </c>
      <c r="T2236" s="2" t="n">
        <v>1</v>
      </c>
      <c r="U2236" s="2" t="n">
        <v>3</v>
      </c>
      <c r="V2236" s="2" t="n">
        <v>3</v>
      </c>
      <c r="W2236" s="2" t="n">
        <v>3</v>
      </c>
      <c r="X2236" s="2" t="n">
        <v>1</v>
      </c>
      <c r="Y2236" s="2" t="n">
        <v>3</v>
      </c>
      <c r="Z2236" s="2" t="n">
        <v>4</v>
      </c>
    </row>
    <row r="2237" customFormat="false" ht="15" hidden="false" customHeight="true" outlineLevel="0" collapsed="false">
      <c r="A2237" s="2" t="n">
        <v>56</v>
      </c>
      <c r="B2237" s="2" t="s">
        <v>26</v>
      </c>
      <c r="C2237" s="2" t="s">
        <v>27</v>
      </c>
      <c r="D2237" s="2" t="s">
        <v>35</v>
      </c>
      <c r="E2237" s="2" t="n">
        <v>10</v>
      </c>
      <c r="F2237" s="2" t="n">
        <v>4</v>
      </c>
      <c r="G2237" s="2" t="s">
        <v>38</v>
      </c>
      <c r="H2237" s="2" t="n">
        <v>2236</v>
      </c>
      <c r="I2237" s="2" t="s">
        <v>39</v>
      </c>
      <c r="J2237" s="2" t="n">
        <v>2</v>
      </c>
      <c r="K2237" s="2" t="s">
        <v>48</v>
      </c>
      <c r="L2237" s="2" t="s">
        <v>32</v>
      </c>
      <c r="M2237" s="2" t="n">
        <v>42580</v>
      </c>
      <c r="N2237" s="2" t="n">
        <v>2</v>
      </c>
      <c r="O2237" s="2" t="n">
        <v>16</v>
      </c>
      <c r="P2237" s="2" t="n">
        <v>0</v>
      </c>
      <c r="Q2237" s="2" t="n">
        <v>5</v>
      </c>
      <c r="R2237" s="2" t="n">
        <v>2</v>
      </c>
      <c r="S2237" s="2" t="n">
        <v>3</v>
      </c>
      <c r="T2237" s="2" t="n">
        <v>1</v>
      </c>
      <c r="U2237" s="2" t="n">
        <v>0</v>
      </c>
      <c r="V2237" s="2" t="n">
        <v>1</v>
      </c>
      <c r="W2237" s="2" t="n">
        <v>1</v>
      </c>
      <c r="X2237" s="2" t="n">
        <v>4</v>
      </c>
      <c r="Y2237" s="2" t="n">
        <v>3</v>
      </c>
      <c r="Z2237" s="2" t="n">
        <v>3</v>
      </c>
    </row>
    <row r="2238" customFormat="false" ht="15" hidden="false" customHeight="true" outlineLevel="0" collapsed="false">
      <c r="A2238" s="2" t="n">
        <v>47</v>
      </c>
      <c r="B2238" s="2" t="s">
        <v>26</v>
      </c>
      <c r="C2238" s="2" t="s">
        <v>27</v>
      </c>
      <c r="D2238" s="2" t="s">
        <v>35</v>
      </c>
      <c r="E2238" s="2" t="n">
        <v>3</v>
      </c>
      <c r="F2238" s="2" t="n">
        <v>2</v>
      </c>
      <c r="G2238" s="2" t="s">
        <v>43</v>
      </c>
      <c r="H2238" s="2" t="n">
        <v>2237</v>
      </c>
      <c r="I2238" s="2" t="s">
        <v>39</v>
      </c>
      <c r="J2238" s="2" t="n">
        <v>2</v>
      </c>
      <c r="K2238" s="2" t="s">
        <v>45</v>
      </c>
      <c r="L2238" s="2" t="s">
        <v>32</v>
      </c>
      <c r="M2238" s="2" t="n">
        <v>43640</v>
      </c>
      <c r="N2238" s="2" t="n">
        <v>3</v>
      </c>
      <c r="O2238" s="2" t="n">
        <v>11</v>
      </c>
      <c r="P2238" s="2" t="n">
        <v>1</v>
      </c>
      <c r="Q2238" s="2" t="n">
        <v>26</v>
      </c>
      <c r="R2238" s="2" t="n">
        <v>3</v>
      </c>
      <c r="S2238" s="2" t="n">
        <v>20</v>
      </c>
      <c r="T2238" s="2" t="n">
        <v>5</v>
      </c>
      <c r="U2238" s="2" t="n">
        <v>6</v>
      </c>
      <c r="V2238" s="2" t="n">
        <v>1</v>
      </c>
      <c r="W2238" s="2" t="n">
        <v>3</v>
      </c>
      <c r="X2238" s="2" t="n">
        <v>4</v>
      </c>
      <c r="Y2238" s="2" t="n">
        <v>3</v>
      </c>
      <c r="Z2238" s="2" t="n">
        <v>3</v>
      </c>
    </row>
    <row r="2239" customFormat="false" ht="15" hidden="false" customHeight="true" outlineLevel="0" collapsed="false">
      <c r="A2239" s="2" t="n">
        <v>24</v>
      </c>
      <c r="B2239" s="2" t="s">
        <v>26</v>
      </c>
      <c r="C2239" s="2" t="s">
        <v>27</v>
      </c>
      <c r="D2239" s="2" t="s">
        <v>35</v>
      </c>
      <c r="E2239" s="2" t="n">
        <v>5</v>
      </c>
      <c r="F2239" s="2" t="n">
        <v>1</v>
      </c>
      <c r="G2239" s="2" t="s">
        <v>38</v>
      </c>
      <c r="H2239" s="2" t="n">
        <v>2238</v>
      </c>
      <c r="I2239" s="2" t="s">
        <v>39</v>
      </c>
      <c r="J2239" s="2" t="n">
        <v>1</v>
      </c>
      <c r="K2239" s="2" t="s">
        <v>47</v>
      </c>
      <c r="L2239" s="2" t="s">
        <v>32</v>
      </c>
      <c r="M2239" s="2" t="n">
        <v>43350</v>
      </c>
      <c r="N2239" s="2" t="n">
        <v>1</v>
      </c>
      <c r="O2239" s="2" t="n">
        <v>15</v>
      </c>
      <c r="P2239" s="2" t="n">
        <v>1</v>
      </c>
      <c r="Q2239" s="2" t="n">
        <v>5</v>
      </c>
      <c r="R2239" s="2" t="n">
        <v>5</v>
      </c>
      <c r="S2239" s="2" t="n">
        <v>5</v>
      </c>
      <c r="T2239" s="2" t="n">
        <v>0</v>
      </c>
      <c r="U2239" s="2" t="n">
        <v>3</v>
      </c>
      <c r="V2239" s="2" t="n">
        <v>4</v>
      </c>
      <c r="W2239" s="2" t="n">
        <v>3</v>
      </c>
      <c r="X2239" s="2" t="n">
        <v>3</v>
      </c>
      <c r="Y2239" s="2" t="n">
        <v>3</v>
      </c>
      <c r="Z2239" s="2" t="n">
        <v>3</v>
      </c>
    </row>
    <row r="2240" customFormat="false" ht="15" hidden="false" customHeight="true" outlineLevel="0" collapsed="false">
      <c r="A2240" s="2" t="n">
        <v>32</v>
      </c>
      <c r="B2240" s="2" t="s">
        <v>26</v>
      </c>
      <c r="C2240" s="2" t="s">
        <v>27</v>
      </c>
      <c r="D2240" s="2" t="s">
        <v>28</v>
      </c>
      <c r="E2240" s="2" t="n">
        <v>4</v>
      </c>
      <c r="F2240" s="2" t="n">
        <v>3</v>
      </c>
      <c r="G2240" s="2" t="s">
        <v>50</v>
      </c>
      <c r="H2240" s="2" t="n">
        <v>2239</v>
      </c>
      <c r="I2240" s="2" t="s">
        <v>39</v>
      </c>
      <c r="J2240" s="2" t="n">
        <v>1</v>
      </c>
      <c r="K2240" s="2" t="s">
        <v>36</v>
      </c>
      <c r="L2240" s="2" t="s">
        <v>32</v>
      </c>
      <c r="M2240" s="2" t="n">
        <v>53260</v>
      </c>
      <c r="N2240" s="2" t="n">
        <v>4</v>
      </c>
      <c r="O2240" s="2" t="n">
        <v>14</v>
      </c>
      <c r="P2240" s="2" t="n">
        <v>1</v>
      </c>
      <c r="Q2240" s="2" t="n">
        <v>7</v>
      </c>
      <c r="R2240" s="2" t="n">
        <v>2</v>
      </c>
      <c r="S2240" s="2" t="n">
        <v>4</v>
      </c>
      <c r="T2240" s="2" t="n">
        <v>0</v>
      </c>
      <c r="U2240" s="2" t="n">
        <v>3</v>
      </c>
      <c r="V2240" s="2" t="n">
        <v>4</v>
      </c>
      <c r="W2240" s="2" t="n">
        <v>4</v>
      </c>
      <c r="X2240" s="2" t="n">
        <v>2</v>
      </c>
      <c r="Y2240" s="2" t="n">
        <v>3</v>
      </c>
      <c r="Z2240" s="2" t="n">
        <v>3</v>
      </c>
    </row>
    <row r="2241" customFormat="false" ht="15" hidden="false" customHeight="true" outlineLevel="0" collapsed="false">
      <c r="A2241" s="2" t="n">
        <v>34</v>
      </c>
      <c r="B2241" s="2" t="s">
        <v>26</v>
      </c>
      <c r="C2241" s="2" t="s">
        <v>27</v>
      </c>
      <c r="D2241" s="2" t="s">
        <v>35</v>
      </c>
      <c r="E2241" s="2" t="n">
        <v>9</v>
      </c>
      <c r="F2241" s="2" t="n">
        <v>2</v>
      </c>
      <c r="G2241" s="2" t="s">
        <v>43</v>
      </c>
      <c r="H2241" s="2" t="n">
        <v>2240</v>
      </c>
      <c r="I2241" s="2" t="s">
        <v>39</v>
      </c>
      <c r="J2241" s="2" t="n">
        <v>1</v>
      </c>
      <c r="K2241" s="2" t="s">
        <v>40</v>
      </c>
      <c r="L2241" s="2" t="s">
        <v>32</v>
      </c>
      <c r="M2241" s="2" t="n">
        <v>32800</v>
      </c>
      <c r="N2241" s="2" t="n">
        <v>5</v>
      </c>
      <c r="O2241" s="2" t="n">
        <v>13</v>
      </c>
      <c r="P2241" s="2" t="n">
        <v>0</v>
      </c>
      <c r="Q2241" s="2" t="n">
        <v>7</v>
      </c>
      <c r="R2241" s="2" t="n">
        <v>3</v>
      </c>
      <c r="S2241" s="2" t="n">
        <v>5</v>
      </c>
      <c r="T2241" s="2" t="n">
        <v>0</v>
      </c>
      <c r="U2241" s="2" t="n">
        <v>2</v>
      </c>
      <c r="V2241" s="2" t="n">
        <v>4</v>
      </c>
      <c r="W2241" s="2" t="n">
        <v>2</v>
      </c>
      <c r="X2241" s="2" t="n">
        <v>2</v>
      </c>
      <c r="Y2241" s="2" t="n">
        <v>3</v>
      </c>
      <c r="Z2241" s="2" t="n">
        <v>3</v>
      </c>
    </row>
    <row r="2242" customFormat="false" ht="15" hidden="false" customHeight="true" outlineLevel="0" collapsed="false">
      <c r="A2242" s="2" t="n">
        <v>41</v>
      </c>
      <c r="B2242" s="2" t="s">
        <v>26</v>
      </c>
      <c r="C2242" s="2" t="s">
        <v>27</v>
      </c>
      <c r="D2242" s="2" t="s">
        <v>35</v>
      </c>
      <c r="E2242" s="2" t="n">
        <v>26</v>
      </c>
      <c r="F2242" s="2" t="n">
        <v>3</v>
      </c>
      <c r="G2242" s="2" t="s">
        <v>43</v>
      </c>
      <c r="H2242" s="2" t="n">
        <v>2241</v>
      </c>
      <c r="I2242" s="2" t="s">
        <v>30</v>
      </c>
      <c r="J2242" s="2" t="n">
        <v>3</v>
      </c>
      <c r="K2242" s="2" t="s">
        <v>40</v>
      </c>
      <c r="L2242" s="2" t="s">
        <v>32</v>
      </c>
      <c r="M2242" s="2" t="n">
        <v>54850</v>
      </c>
      <c r="N2242" s="2" t="n">
        <v>2</v>
      </c>
      <c r="O2242" s="2" t="n">
        <v>17</v>
      </c>
      <c r="P2242" s="2" t="n">
        <v>2</v>
      </c>
      <c r="Q2242" s="2" t="n">
        <v>7</v>
      </c>
      <c r="R2242" s="2" t="n">
        <v>2</v>
      </c>
      <c r="S2242" s="2" t="n">
        <v>4</v>
      </c>
      <c r="T2242" s="2" t="n">
        <v>0</v>
      </c>
      <c r="U2242" s="2" t="n">
        <v>3</v>
      </c>
      <c r="V2242" s="2" t="n">
        <v>2</v>
      </c>
      <c r="W2242" s="2" t="n">
        <v>3</v>
      </c>
      <c r="X2242" s="2" t="n">
        <v>2</v>
      </c>
      <c r="Y2242" s="2" t="n">
        <v>3</v>
      </c>
      <c r="Z2242" s="2" t="n">
        <v>3</v>
      </c>
    </row>
    <row r="2243" customFormat="false" ht="15" hidden="false" customHeight="true" outlineLevel="0" collapsed="false">
      <c r="A2243" s="2" t="n">
        <v>40</v>
      </c>
      <c r="B2243" s="2" t="s">
        <v>26</v>
      </c>
      <c r="C2243" s="2" t="s">
        <v>41</v>
      </c>
      <c r="D2243" s="2" t="s">
        <v>28</v>
      </c>
      <c r="E2243" s="2" t="n">
        <v>3</v>
      </c>
      <c r="F2243" s="2" t="n">
        <v>2</v>
      </c>
      <c r="G2243" s="2" t="s">
        <v>29</v>
      </c>
      <c r="H2243" s="2" t="n">
        <v>2242</v>
      </c>
      <c r="I2243" s="2" t="s">
        <v>39</v>
      </c>
      <c r="J2243" s="2" t="n">
        <v>1</v>
      </c>
      <c r="K2243" s="2" t="s">
        <v>40</v>
      </c>
      <c r="L2243" s="2" t="s">
        <v>46</v>
      </c>
      <c r="M2243" s="2" t="n">
        <v>43420</v>
      </c>
      <c r="N2243" s="2" t="n">
        <v>3</v>
      </c>
      <c r="O2243" s="2" t="n">
        <v>11</v>
      </c>
      <c r="P2243" s="2" t="n">
        <v>1</v>
      </c>
      <c r="Q2243" s="2" t="n">
        <v>11</v>
      </c>
      <c r="R2243" s="2" t="n">
        <v>6</v>
      </c>
      <c r="S2243" s="2" t="n">
        <v>8</v>
      </c>
      <c r="T2243" s="2" t="n">
        <v>0</v>
      </c>
      <c r="U2243" s="2" t="n">
        <v>7</v>
      </c>
      <c r="V2243" s="2" t="n">
        <v>3</v>
      </c>
      <c r="W2243" s="2" t="n">
        <v>3</v>
      </c>
      <c r="X2243" s="2" t="n">
        <v>4</v>
      </c>
      <c r="Y2243" s="2" t="n">
        <v>2</v>
      </c>
      <c r="Z2243" s="2" t="n">
        <v>3</v>
      </c>
    </row>
    <row r="2244" customFormat="false" ht="15" hidden="false" customHeight="true" outlineLevel="0" collapsed="false">
      <c r="A2244" s="2" t="n">
        <v>31</v>
      </c>
      <c r="B2244" s="2" t="s">
        <v>26</v>
      </c>
      <c r="C2244" s="2" t="s">
        <v>27</v>
      </c>
      <c r="D2244" s="2" t="s">
        <v>35</v>
      </c>
      <c r="E2244" s="2" t="n">
        <v>16</v>
      </c>
      <c r="F2244" s="2" t="n">
        <v>3</v>
      </c>
      <c r="G2244" s="2" t="s">
        <v>43</v>
      </c>
      <c r="H2244" s="2" t="n">
        <v>2243</v>
      </c>
      <c r="I2244" s="2" t="s">
        <v>39</v>
      </c>
      <c r="J2244" s="2" t="n">
        <v>2</v>
      </c>
      <c r="K2244" s="2" t="s">
        <v>42</v>
      </c>
      <c r="L2244" s="2" t="s">
        <v>46</v>
      </c>
      <c r="M2244" s="2" t="n">
        <v>27820</v>
      </c>
      <c r="N2244" s="2" t="n">
        <v>1</v>
      </c>
      <c r="O2244" s="2" t="n">
        <v>19</v>
      </c>
      <c r="P2244" s="2" t="n">
        <v>1</v>
      </c>
      <c r="Q2244" s="2" t="n">
        <v>13</v>
      </c>
      <c r="R2244" s="2" t="n">
        <v>5</v>
      </c>
      <c r="S2244" s="2" t="n">
        <v>13</v>
      </c>
      <c r="T2244" s="2" t="n">
        <v>9</v>
      </c>
      <c r="U2244" s="2" t="n">
        <v>9</v>
      </c>
      <c r="V2244" s="2" t="n">
        <v>1</v>
      </c>
      <c r="W2244" s="2" t="n">
        <v>4</v>
      </c>
      <c r="X2244" s="2" t="n">
        <v>3</v>
      </c>
      <c r="Y2244" s="2" t="n">
        <v>3</v>
      </c>
      <c r="Z2244" s="2" t="n">
        <v>3</v>
      </c>
    </row>
    <row r="2245" customFormat="false" ht="15" hidden="false" customHeight="true" outlineLevel="0" collapsed="false">
      <c r="A2245" s="2" t="n">
        <v>46</v>
      </c>
      <c r="B2245" s="2" t="s">
        <v>33</v>
      </c>
      <c r="C2245" s="2" t="s">
        <v>27</v>
      </c>
      <c r="D2245" s="2" t="s">
        <v>35</v>
      </c>
      <c r="E2245" s="2" t="n">
        <v>18</v>
      </c>
      <c r="F2245" s="2" t="n">
        <v>1</v>
      </c>
      <c r="G2245" s="2" t="s">
        <v>43</v>
      </c>
      <c r="H2245" s="2" t="n">
        <v>2244</v>
      </c>
      <c r="I2245" s="2" t="s">
        <v>39</v>
      </c>
      <c r="J2245" s="2" t="n">
        <v>1</v>
      </c>
      <c r="K2245" s="2" t="s">
        <v>47</v>
      </c>
      <c r="L2245" s="2" t="s">
        <v>46</v>
      </c>
      <c r="M2245" s="2" t="n">
        <v>59800</v>
      </c>
      <c r="N2245" s="2" t="n">
        <v>4</v>
      </c>
      <c r="O2245" s="2" t="n">
        <v>11</v>
      </c>
      <c r="P2245" s="2" t="n">
        <v>1</v>
      </c>
      <c r="Q2245" s="2" t="n">
        <v>28</v>
      </c>
      <c r="R2245" s="2" t="n">
        <v>2</v>
      </c>
      <c r="S2245" s="2" t="n">
        <v>7</v>
      </c>
      <c r="T2245" s="2" t="n">
        <v>4</v>
      </c>
      <c r="U2245" s="2" t="n">
        <v>3</v>
      </c>
      <c r="V2245" s="2" t="n">
        <v>1</v>
      </c>
      <c r="W2245" s="2" t="n">
        <v>4</v>
      </c>
      <c r="X2245" s="2" t="n">
        <v>4</v>
      </c>
      <c r="Y2245" s="2" t="n">
        <v>3</v>
      </c>
      <c r="Z2245" s="2" t="n">
        <v>3</v>
      </c>
    </row>
    <row r="2246" customFormat="false" ht="15" hidden="false" customHeight="true" outlineLevel="0" collapsed="false">
      <c r="A2246" s="2" t="n">
        <v>39</v>
      </c>
      <c r="B2246" s="2" t="s">
        <v>33</v>
      </c>
      <c r="C2246" s="2" t="s">
        <v>41</v>
      </c>
      <c r="D2246" s="2" t="s">
        <v>35</v>
      </c>
      <c r="E2246" s="2" t="n">
        <v>2</v>
      </c>
      <c r="F2246" s="2" t="n">
        <v>4</v>
      </c>
      <c r="G2246" s="2" t="s">
        <v>43</v>
      </c>
      <c r="H2246" s="2" t="n">
        <v>2245</v>
      </c>
      <c r="I2246" s="2" t="s">
        <v>39</v>
      </c>
      <c r="J2246" s="2" t="n">
        <v>2</v>
      </c>
      <c r="K2246" s="2" t="s">
        <v>47</v>
      </c>
      <c r="L2246" s="2" t="s">
        <v>37</v>
      </c>
      <c r="M2246" s="2" t="n">
        <v>43810</v>
      </c>
      <c r="N2246" s="2" t="n">
        <v>2</v>
      </c>
      <c r="O2246" s="2" t="n">
        <v>15</v>
      </c>
      <c r="P2246" s="2" t="n">
        <v>2</v>
      </c>
      <c r="Q2246" s="2" t="n">
        <v>11</v>
      </c>
      <c r="R2246" s="2" t="n">
        <v>1</v>
      </c>
      <c r="S2246" s="2" t="n">
        <v>1</v>
      </c>
      <c r="T2246" s="2" t="n">
        <v>0</v>
      </c>
      <c r="U2246" s="2" t="n">
        <v>0</v>
      </c>
      <c r="V2246" s="2" t="n">
        <v>1</v>
      </c>
      <c r="W2246" s="2" t="n">
        <v>1</v>
      </c>
      <c r="X2246" s="2" t="n">
        <v>4</v>
      </c>
      <c r="Y2246" s="2" t="n">
        <v>2</v>
      </c>
      <c r="Z2246" s="2" t="n">
        <v>3</v>
      </c>
    </row>
    <row r="2247" customFormat="false" ht="15" hidden="false" customHeight="true" outlineLevel="0" collapsed="false">
      <c r="A2247" s="2" t="n">
        <v>31</v>
      </c>
      <c r="B2247" s="2" t="s">
        <v>33</v>
      </c>
      <c r="C2247" s="2" t="s">
        <v>34</v>
      </c>
      <c r="D2247" s="2" t="s">
        <v>28</v>
      </c>
      <c r="E2247" s="2" t="n">
        <v>2</v>
      </c>
      <c r="F2247" s="2" t="n">
        <v>3</v>
      </c>
      <c r="G2247" s="2" t="s">
        <v>43</v>
      </c>
      <c r="H2247" s="2" t="n">
        <v>2246</v>
      </c>
      <c r="I2247" s="2" t="s">
        <v>39</v>
      </c>
      <c r="J2247" s="2" t="n">
        <v>2</v>
      </c>
      <c r="K2247" s="2" t="s">
        <v>40</v>
      </c>
      <c r="L2247" s="2" t="s">
        <v>37</v>
      </c>
      <c r="M2247" s="2" t="n">
        <v>25720</v>
      </c>
      <c r="N2247" s="2" t="n">
        <v>1</v>
      </c>
      <c r="O2247" s="2" t="n">
        <v>13</v>
      </c>
      <c r="P2247" s="2" t="n">
        <v>3</v>
      </c>
      <c r="Q2247" s="2" t="n">
        <v>10</v>
      </c>
      <c r="R2247" s="2" t="n">
        <v>3</v>
      </c>
      <c r="S2247" s="2" t="n">
        <v>10</v>
      </c>
      <c r="T2247" s="2" t="n">
        <v>4</v>
      </c>
      <c r="U2247" s="2" t="n">
        <v>7</v>
      </c>
      <c r="V2247" s="2" t="n">
        <v>3</v>
      </c>
      <c r="W2247" s="2" t="n">
        <v>2</v>
      </c>
      <c r="X2247" s="2" t="n">
        <v>3</v>
      </c>
      <c r="Y2247" s="2" t="n">
        <v>3</v>
      </c>
      <c r="Z2247" s="2" t="n">
        <v>3</v>
      </c>
    </row>
    <row r="2248" customFormat="false" ht="15" hidden="false" customHeight="true" outlineLevel="0" collapsed="false">
      <c r="A2248" s="2" t="n">
        <v>45</v>
      </c>
      <c r="B2248" s="2" t="s">
        <v>26</v>
      </c>
      <c r="C2248" s="2" t="s">
        <v>27</v>
      </c>
      <c r="D2248" s="2" t="s">
        <v>28</v>
      </c>
      <c r="E2248" s="2" t="n">
        <v>10</v>
      </c>
      <c r="F2248" s="2" t="n">
        <v>2</v>
      </c>
      <c r="G2248" s="2" t="s">
        <v>50</v>
      </c>
      <c r="H2248" s="2" t="n">
        <v>2247</v>
      </c>
      <c r="I2248" s="2" t="s">
        <v>39</v>
      </c>
      <c r="J2248" s="2" t="n">
        <v>1</v>
      </c>
      <c r="K2248" s="2" t="s">
        <v>40</v>
      </c>
      <c r="L2248" s="2" t="s">
        <v>46</v>
      </c>
      <c r="M2248" s="2" t="n">
        <v>38330</v>
      </c>
      <c r="N2248" s="2" t="n">
        <v>2</v>
      </c>
      <c r="O2248" s="2" t="n">
        <v>14</v>
      </c>
      <c r="P2248" s="2" t="n">
        <v>0</v>
      </c>
      <c r="Q2248" s="2" t="n">
        <v>24</v>
      </c>
      <c r="R2248" s="2" t="n">
        <v>1</v>
      </c>
      <c r="S2248" s="2" t="n">
        <v>7</v>
      </c>
      <c r="T2248" s="2" t="n">
        <v>0</v>
      </c>
      <c r="U2248" s="2" t="n">
        <v>7</v>
      </c>
      <c r="V2248" s="2" t="n">
        <v>2</v>
      </c>
      <c r="W2248" s="2" t="n">
        <v>1</v>
      </c>
      <c r="X2248" s="2" t="n">
        <v>3</v>
      </c>
      <c r="Y2248" s="2" t="n">
        <v>3</v>
      </c>
      <c r="Z2248" s="2" t="n">
        <v>3</v>
      </c>
    </row>
    <row r="2249" customFormat="false" ht="15" hidden="false" customHeight="true" outlineLevel="0" collapsed="false">
      <c r="A2249" s="2" t="n">
        <v>31</v>
      </c>
      <c r="B2249" s="2" t="s">
        <v>26</v>
      </c>
      <c r="C2249" s="2" t="s">
        <v>27</v>
      </c>
      <c r="D2249" s="2" t="s">
        <v>35</v>
      </c>
      <c r="E2249" s="2" t="n">
        <v>16</v>
      </c>
      <c r="F2249" s="2" t="n">
        <v>4</v>
      </c>
      <c r="G2249" s="2" t="s">
        <v>29</v>
      </c>
      <c r="H2249" s="2" t="n">
        <v>2248</v>
      </c>
      <c r="I2249" s="2" t="s">
        <v>39</v>
      </c>
      <c r="J2249" s="2" t="n">
        <v>3</v>
      </c>
      <c r="K2249" s="2" t="s">
        <v>42</v>
      </c>
      <c r="L2249" s="2" t="s">
        <v>37</v>
      </c>
      <c r="M2249" s="2" t="n">
        <v>42440</v>
      </c>
      <c r="N2249" s="2" t="n">
        <v>9</v>
      </c>
      <c r="O2249" s="2" t="n">
        <v>13</v>
      </c>
      <c r="P2249" s="2" t="n">
        <v>0</v>
      </c>
      <c r="Q2249" s="2" t="n">
        <v>8</v>
      </c>
      <c r="R2249" s="2" t="n">
        <v>3</v>
      </c>
      <c r="S2249" s="2" t="n">
        <v>3</v>
      </c>
      <c r="T2249" s="2" t="n">
        <v>0</v>
      </c>
      <c r="U2249" s="2" t="n">
        <v>2</v>
      </c>
      <c r="V2249" s="2" t="n">
        <v>4</v>
      </c>
      <c r="W2249" s="2" t="n">
        <v>2</v>
      </c>
      <c r="X2249" s="2" t="n">
        <v>3</v>
      </c>
      <c r="Y2249" s="2" t="n">
        <v>3</v>
      </c>
      <c r="Z2249" s="2" t="n">
        <v>3</v>
      </c>
    </row>
    <row r="2250" customFormat="false" ht="15" hidden="false" customHeight="true" outlineLevel="0" collapsed="false">
      <c r="A2250" s="2" t="n">
        <v>31</v>
      </c>
      <c r="B2250" s="2" t="s">
        <v>33</v>
      </c>
      <c r="C2250" s="2" t="s">
        <v>34</v>
      </c>
      <c r="D2250" s="2" t="s">
        <v>35</v>
      </c>
      <c r="E2250" s="2" t="n">
        <v>7</v>
      </c>
      <c r="F2250" s="2" t="n">
        <v>4</v>
      </c>
      <c r="G2250" s="2" t="s">
        <v>29</v>
      </c>
      <c r="H2250" s="2" t="n">
        <v>2249</v>
      </c>
      <c r="I2250" s="2" t="s">
        <v>39</v>
      </c>
      <c r="J2250" s="2" t="n">
        <v>1</v>
      </c>
      <c r="K2250" s="2" t="s">
        <v>45</v>
      </c>
      <c r="L2250" s="2" t="s">
        <v>32</v>
      </c>
      <c r="M2250" s="2" t="n">
        <v>65000</v>
      </c>
      <c r="N2250" s="2" t="n">
        <v>6</v>
      </c>
      <c r="O2250" s="2" t="n">
        <v>23</v>
      </c>
      <c r="P2250" s="2" t="n">
        <v>1</v>
      </c>
      <c r="Q2250" s="2" t="n">
        <v>7</v>
      </c>
      <c r="R2250" s="2" t="n">
        <v>5</v>
      </c>
      <c r="S2250" s="2" t="n">
        <v>2</v>
      </c>
      <c r="T2250" s="2" t="n">
        <v>2</v>
      </c>
      <c r="U2250" s="2" t="n">
        <v>2</v>
      </c>
      <c r="V2250" s="2" t="n">
        <v>2</v>
      </c>
      <c r="W2250" s="2" t="n">
        <v>4</v>
      </c>
      <c r="X2250" s="2" t="n">
        <v>1</v>
      </c>
      <c r="Y2250" s="2" t="n">
        <v>3</v>
      </c>
      <c r="Z2250" s="2" t="n">
        <v>4</v>
      </c>
    </row>
    <row r="2251" customFormat="false" ht="15" hidden="false" customHeight="true" outlineLevel="0" collapsed="false">
      <c r="A2251" s="2" t="n">
        <v>45</v>
      </c>
      <c r="B2251" s="2" t="s">
        <v>26</v>
      </c>
      <c r="C2251" s="2" t="s">
        <v>27</v>
      </c>
      <c r="D2251" s="2" t="s">
        <v>35</v>
      </c>
      <c r="E2251" s="2" t="n">
        <v>1</v>
      </c>
      <c r="F2251" s="2" t="n">
        <v>2</v>
      </c>
      <c r="G2251" s="2" t="s">
        <v>29</v>
      </c>
      <c r="H2251" s="2" t="n">
        <v>2250</v>
      </c>
      <c r="I2251" s="2" t="s">
        <v>30</v>
      </c>
      <c r="J2251" s="2" t="n">
        <v>1</v>
      </c>
      <c r="K2251" s="2" t="s">
        <v>36</v>
      </c>
      <c r="L2251" s="2" t="s">
        <v>32</v>
      </c>
      <c r="M2251" s="2" t="n">
        <v>184300</v>
      </c>
      <c r="N2251" s="2" t="n">
        <v>4</v>
      </c>
      <c r="O2251" s="2" t="n">
        <v>12</v>
      </c>
      <c r="P2251" s="2" t="n">
        <v>1</v>
      </c>
      <c r="Q2251" s="2" t="n">
        <v>10</v>
      </c>
      <c r="R2251" s="2" t="n">
        <v>5</v>
      </c>
      <c r="S2251" s="2" t="n">
        <v>3</v>
      </c>
      <c r="T2251" s="2" t="n">
        <v>1</v>
      </c>
      <c r="U2251" s="2" t="n">
        <v>2</v>
      </c>
      <c r="V2251" s="2" t="n">
        <v>2</v>
      </c>
      <c r="W2251" s="2" t="n">
        <v>4</v>
      </c>
      <c r="X2251" s="2" t="n">
        <v>4</v>
      </c>
      <c r="Y2251" s="2" t="n">
        <v>3</v>
      </c>
      <c r="Z2251" s="2" t="n">
        <v>3</v>
      </c>
    </row>
    <row r="2252" customFormat="false" ht="15" hidden="false" customHeight="true" outlineLevel="0" collapsed="false">
      <c r="A2252" s="2" t="n">
        <v>48</v>
      </c>
      <c r="B2252" s="2" t="s">
        <v>26</v>
      </c>
      <c r="C2252" s="2" t="s">
        <v>27</v>
      </c>
      <c r="D2252" s="2" t="s">
        <v>35</v>
      </c>
      <c r="E2252" s="2" t="n">
        <v>24</v>
      </c>
      <c r="F2252" s="2" t="n">
        <v>3</v>
      </c>
      <c r="G2252" s="2" t="s">
        <v>51</v>
      </c>
      <c r="H2252" s="2" t="n">
        <v>2251</v>
      </c>
      <c r="I2252" s="2" t="s">
        <v>39</v>
      </c>
      <c r="J2252" s="2" t="n">
        <v>2</v>
      </c>
      <c r="K2252" s="2" t="s">
        <v>36</v>
      </c>
      <c r="L2252" s="2" t="s">
        <v>46</v>
      </c>
      <c r="M2252" s="2" t="n">
        <v>16010</v>
      </c>
      <c r="N2252" s="2" t="n">
        <v>4</v>
      </c>
      <c r="O2252" s="2" t="n">
        <v>12</v>
      </c>
      <c r="P2252" s="2" t="n">
        <v>0</v>
      </c>
      <c r="Q2252" s="2" t="n">
        <v>15</v>
      </c>
      <c r="R2252" s="2" t="n">
        <v>3</v>
      </c>
      <c r="S2252" s="2" t="n">
        <v>2</v>
      </c>
      <c r="T2252" s="2" t="n">
        <v>2</v>
      </c>
      <c r="U2252" s="2" t="n">
        <v>2</v>
      </c>
      <c r="V2252" s="2" t="n">
        <v>3</v>
      </c>
      <c r="W2252" s="2" t="n">
        <v>1</v>
      </c>
      <c r="X2252" s="2" t="n">
        <v>3</v>
      </c>
      <c r="Y2252" s="2" t="n">
        <v>3</v>
      </c>
      <c r="Z2252" s="2" t="n">
        <v>3</v>
      </c>
    </row>
    <row r="2253" customFormat="false" ht="15" hidden="false" customHeight="true" outlineLevel="0" collapsed="false">
      <c r="A2253" s="2" t="n">
        <v>34</v>
      </c>
      <c r="B2253" s="2" t="s">
        <v>33</v>
      </c>
      <c r="C2253" s="2" t="s">
        <v>27</v>
      </c>
      <c r="D2253" s="2" t="s">
        <v>35</v>
      </c>
      <c r="E2253" s="2" t="n">
        <v>7</v>
      </c>
      <c r="F2253" s="2" t="n">
        <v>4</v>
      </c>
      <c r="G2253" s="2" t="s">
        <v>43</v>
      </c>
      <c r="H2253" s="2" t="n">
        <v>2252</v>
      </c>
      <c r="I2253" s="2" t="s">
        <v>39</v>
      </c>
      <c r="J2253" s="2" t="n">
        <v>2</v>
      </c>
      <c r="K2253" s="2" t="s">
        <v>36</v>
      </c>
      <c r="L2253" s="2" t="s">
        <v>32</v>
      </c>
      <c r="M2253" s="2" t="n">
        <v>26940</v>
      </c>
      <c r="N2253" s="2" t="n">
        <v>1</v>
      </c>
      <c r="O2253" s="2" t="n">
        <v>16</v>
      </c>
      <c r="P2253" s="2" t="n">
        <v>1</v>
      </c>
      <c r="Q2253" s="2" t="n">
        <v>2</v>
      </c>
      <c r="R2253" s="2" t="n">
        <v>3</v>
      </c>
      <c r="S2253" s="2" t="n">
        <v>2</v>
      </c>
      <c r="T2253" s="2" t="n">
        <v>2</v>
      </c>
      <c r="U2253" s="2" t="n">
        <v>2</v>
      </c>
      <c r="V2253" s="2" t="n">
        <v>1</v>
      </c>
      <c r="W2253" s="2" t="n">
        <v>3</v>
      </c>
      <c r="X2253" s="2" t="n">
        <v>3</v>
      </c>
      <c r="Y2253" s="2" t="n">
        <v>3</v>
      </c>
      <c r="Z2253" s="2" t="n">
        <v>3</v>
      </c>
    </row>
    <row r="2254" customFormat="false" ht="15" hidden="false" customHeight="true" outlineLevel="0" collapsed="false">
      <c r="A2254" s="2" t="n">
        <v>40</v>
      </c>
      <c r="B2254" s="2" t="s">
        <v>26</v>
      </c>
      <c r="C2254" s="2" t="s">
        <v>41</v>
      </c>
      <c r="D2254" s="2" t="s">
        <v>35</v>
      </c>
      <c r="E2254" s="2" t="n">
        <v>25</v>
      </c>
      <c r="F2254" s="2" t="n">
        <v>4</v>
      </c>
      <c r="G2254" s="2" t="s">
        <v>38</v>
      </c>
      <c r="H2254" s="2" t="n">
        <v>2253</v>
      </c>
      <c r="I2254" s="2" t="s">
        <v>30</v>
      </c>
      <c r="J2254" s="2" t="n">
        <v>1</v>
      </c>
      <c r="K2254" s="2" t="s">
        <v>40</v>
      </c>
      <c r="L2254" s="2" t="s">
        <v>46</v>
      </c>
      <c r="M2254" s="2" t="n">
        <v>31490</v>
      </c>
      <c r="N2254" s="2" t="n">
        <v>2</v>
      </c>
      <c r="O2254" s="2" t="n">
        <v>15</v>
      </c>
      <c r="P2254" s="2" t="n">
        <v>1</v>
      </c>
      <c r="Q2254" s="2" t="n">
        <v>16</v>
      </c>
      <c r="R2254" s="2" t="n">
        <v>1</v>
      </c>
      <c r="S2254" s="2" t="n">
        <v>9</v>
      </c>
      <c r="T2254" s="2" t="n">
        <v>4</v>
      </c>
      <c r="U2254" s="2" t="n">
        <v>8</v>
      </c>
      <c r="V2254" s="2" t="n">
        <v>4</v>
      </c>
      <c r="W2254" s="2" t="n">
        <v>2</v>
      </c>
      <c r="X2254" s="2" t="n">
        <v>3</v>
      </c>
      <c r="Y2254" s="2" t="n">
        <v>2</v>
      </c>
      <c r="Z2254" s="2" t="n">
        <v>3</v>
      </c>
    </row>
    <row r="2255" customFormat="false" ht="15" hidden="false" customHeight="true" outlineLevel="0" collapsed="false">
      <c r="A2255" s="2" t="n">
        <v>28</v>
      </c>
      <c r="B2255" s="2" t="s">
        <v>26</v>
      </c>
      <c r="C2255" s="2" t="s">
        <v>27</v>
      </c>
      <c r="D2255" s="2" t="s">
        <v>35</v>
      </c>
      <c r="E2255" s="2" t="n">
        <v>1</v>
      </c>
      <c r="F2255" s="2" t="n">
        <v>2</v>
      </c>
      <c r="G2255" s="2" t="s">
        <v>51</v>
      </c>
      <c r="H2255" s="2" t="n">
        <v>2254</v>
      </c>
      <c r="I2255" s="2" t="s">
        <v>30</v>
      </c>
      <c r="J2255" s="2" t="n">
        <v>1</v>
      </c>
      <c r="K2255" s="2" t="s">
        <v>36</v>
      </c>
      <c r="L2255" s="2" t="s">
        <v>37</v>
      </c>
      <c r="M2255" s="2" t="n">
        <v>176390</v>
      </c>
      <c r="N2255" s="2" t="n">
        <v>0</v>
      </c>
      <c r="O2255" s="2" t="n">
        <v>13</v>
      </c>
      <c r="P2255" s="2" t="n">
        <v>1</v>
      </c>
      <c r="Q2255" s="2" t="n">
        <v>6</v>
      </c>
      <c r="R2255" s="2" t="n">
        <v>0</v>
      </c>
      <c r="S2255" s="2" t="n">
        <v>5</v>
      </c>
      <c r="T2255" s="2" t="n">
        <v>1</v>
      </c>
      <c r="U2255" s="2" t="n">
        <v>3</v>
      </c>
      <c r="V2255" s="2" t="n">
        <v>4</v>
      </c>
      <c r="W2255" s="2" t="n">
        <v>1</v>
      </c>
      <c r="X2255" s="2" t="n">
        <v>3</v>
      </c>
      <c r="Y2255" s="2" t="n">
        <v>3</v>
      </c>
      <c r="Z2255" s="2" t="n">
        <v>3</v>
      </c>
    </row>
    <row r="2256" customFormat="false" ht="15" hidden="false" customHeight="true" outlineLevel="0" collapsed="false">
      <c r="A2256" s="2" t="n">
        <v>44</v>
      </c>
      <c r="B2256" s="2" t="s">
        <v>26</v>
      </c>
      <c r="C2256" s="2" t="s">
        <v>41</v>
      </c>
      <c r="D2256" s="2" t="s">
        <v>35</v>
      </c>
      <c r="E2256" s="2" t="n">
        <v>5</v>
      </c>
      <c r="F2256" s="2" t="n">
        <v>3</v>
      </c>
      <c r="G2256" s="2" t="s">
        <v>29</v>
      </c>
      <c r="H2256" s="2" t="n">
        <v>2255</v>
      </c>
      <c r="I2256" s="2" t="s">
        <v>39</v>
      </c>
      <c r="J2256" s="2" t="n">
        <v>1</v>
      </c>
      <c r="K2256" s="2" t="s">
        <v>45</v>
      </c>
      <c r="L2256" s="2" t="s">
        <v>37</v>
      </c>
      <c r="M2256" s="2" t="n">
        <v>23190</v>
      </c>
      <c r="N2256" s="2" t="n">
        <v>3</v>
      </c>
      <c r="O2256" s="2" t="n">
        <v>18</v>
      </c>
      <c r="P2256" s="2" t="n">
        <v>0</v>
      </c>
      <c r="Q2256" s="2" t="n">
        <v>7</v>
      </c>
      <c r="R2256" s="2" t="n">
        <v>4</v>
      </c>
      <c r="S2256" s="2" t="n">
        <v>5</v>
      </c>
      <c r="T2256" s="2" t="n">
        <v>0</v>
      </c>
      <c r="U2256" s="2" t="n">
        <v>3</v>
      </c>
      <c r="V2256" s="2" t="n">
        <v>3</v>
      </c>
      <c r="W2256" s="2" t="n">
        <v>3</v>
      </c>
      <c r="X2256" s="2" t="n">
        <v>3</v>
      </c>
      <c r="Y2256" s="2" t="n">
        <v>2</v>
      </c>
      <c r="Z2256" s="2" t="n">
        <v>3</v>
      </c>
    </row>
    <row r="2257" customFormat="false" ht="15" hidden="false" customHeight="true" outlineLevel="0" collapsed="false">
      <c r="A2257" s="2" t="n">
        <v>53</v>
      </c>
      <c r="B2257" s="2" t="s">
        <v>26</v>
      </c>
      <c r="C2257" s="2" t="s">
        <v>27</v>
      </c>
      <c r="D2257" s="2" t="s">
        <v>35</v>
      </c>
      <c r="E2257" s="2" t="n">
        <v>2</v>
      </c>
      <c r="F2257" s="2" t="n">
        <v>4</v>
      </c>
      <c r="G2257" s="2" t="s">
        <v>51</v>
      </c>
      <c r="H2257" s="2" t="n">
        <v>2256</v>
      </c>
      <c r="I2257" s="2" t="s">
        <v>39</v>
      </c>
      <c r="J2257" s="2" t="n">
        <v>2</v>
      </c>
      <c r="K2257" s="2" t="s">
        <v>49</v>
      </c>
      <c r="L2257" s="2" t="s">
        <v>37</v>
      </c>
      <c r="M2257" s="2" t="n">
        <v>116910</v>
      </c>
      <c r="N2257" s="2" t="n">
        <v>4</v>
      </c>
      <c r="O2257" s="2" t="n">
        <v>20</v>
      </c>
      <c r="P2257" s="2" t="n">
        <v>0</v>
      </c>
      <c r="Q2257" s="2" t="n">
        <v>35</v>
      </c>
      <c r="R2257" s="2" t="n">
        <v>2</v>
      </c>
      <c r="S2257" s="2" t="n">
        <v>9</v>
      </c>
      <c r="T2257" s="2" t="n">
        <v>8</v>
      </c>
      <c r="U2257" s="2" t="n">
        <v>8</v>
      </c>
      <c r="V2257" s="2" t="n">
        <v>4</v>
      </c>
      <c r="W2257" s="2" t="n">
        <v>2</v>
      </c>
      <c r="X2257" s="2" t="n">
        <v>2</v>
      </c>
      <c r="Y2257" s="2" t="n">
        <v>3</v>
      </c>
      <c r="Z2257" s="2" t="n">
        <v>4</v>
      </c>
    </row>
    <row r="2258" customFormat="false" ht="15" hidden="false" customHeight="true" outlineLevel="0" collapsed="false">
      <c r="A2258" s="2" t="n">
        <v>49</v>
      </c>
      <c r="B2258" s="2" t="s">
        <v>26</v>
      </c>
      <c r="C2258" s="2" t="s">
        <v>27</v>
      </c>
      <c r="D2258" s="2" t="s">
        <v>35</v>
      </c>
      <c r="E2258" s="2" t="n">
        <v>7</v>
      </c>
      <c r="F2258" s="2" t="n">
        <v>3</v>
      </c>
      <c r="G2258" s="2" t="s">
        <v>29</v>
      </c>
      <c r="H2258" s="2" t="n">
        <v>2257</v>
      </c>
      <c r="I2258" s="2" t="s">
        <v>39</v>
      </c>
      <c r="J2258" s="2" t="n">
        <v>3</v>
      </c>
      <c r="K2258" s="2" t="s">
        <v>45</v>
      </c>
      <c r="L2258" s="2" t="s">
        <v>32</v>
      </c>
      <c r="M2258" s="2" t="n">
        <v>53240</v>
      </c>
      <c r="N2258" s="2" t="n">
        <v>2</v>
      </c>
      <c r="O2258" s="2" t="n">
        <v>19</v>
      </c>
      <c r="P2258" s="2" t="n">
        <v>0</v>
      </c>
      <c r="Q2258" s="2" t="n">
        <v>20</v>
      </c>
      <c r="R2258" s="2" t="n">
        <v>2</v>
      </c>
      <c r="S2258" s="2" t="n">
        <v>3</v>
      </c>
      <c r="T2258" s="2" t="n">
        <v>1</v>
      </c>
      <c r="U2258" s="2" t="n">
        <v>2</v>
      </c>
      <c r="V2258" s="2" t="n">
        <v>1</v>
      </c>
      <c r="W2258" s="2" t="n">
        <v>3</v>
      </c>
      <c r="X2258" s="2" t="n">
        <v>2</v>
      </c>
      <c r="Y2258" s="2" t="n">
        <v>1</v>
      </c>
      <c r="Z2258" s="2" t="n">
        <v>3</v>
      </c>
    </row>
    <row r="2259" customFormat="false" ht="15" hidden="false" customHeight="true" outlineLevel="0" collapsed="false">
      <c r="A2259" s="2" t="n">
        <v>40</v>
      </c>
      <c r="B2259" s="2" t="s">
        <v>26</v>
      </c>
      <c r="C2259" s="2" t="s">
        <v>27</v>
      </c>
      <c r="D2259" s="2" t="s">
        <v>35</v>
      </c>
      <c r="E2259" s="2" t="n">
        <v>2</v>
      </c>
      <c r="F2259" s="2" t="n">
        <v>4</v>
      </c>
      <c r="G2259" s="2" t="s">
        <v>29</v>
      </c>
      <c r="H2259" s="2" t="n">
        <v>2258</v>
      </c>
      <c r="I2259" s="2" t="s">
        <v>39</v>
      </c>
      <c r="J2259" s="2" t="n">
        <v>3</v>
      </c>
      <c r="K2259" s="2" t="s">
        <v>45</v>
      </c>
      <c r="L2259" s="2" t="s">
        <v>46</v>
      </c>
      <c r="M2259" s="2" t="n">
        <v>167520</v>
      </c>
      <c r="N2259" s="2" t="n">
        <v>2</v>
      </c>
      <c r="O2259" s="2" t="n">
        <v>18</v>
      </c>
      <c r="P2259" s="2" t="n">
        <v>1</v>
      </c>
      <c r="Q2259" s="2" t="n">
        <v>8</v>
      </c>
      <c r="R2259" s="2" t="n">
        <v>3</v>
      </c>
      <c r="S2259" s="2" t="n">
        <v>3</v>
      </c>
      <c r="T2259" s="2" t="n">
        <v>1</v>
      </c>
      <c r="U2259" s="2" t="n">
        <v>2</v>
      </c>
      <c r="V2259" s="2" t="n">
        <v>3</v>
      </c>
      <c r="W2259" s="2" t="n">
        <v>3</v>
      </c>
      <c r="X2259" s="2" t="n">
        <v>4</v>
      </c>
      <c r="Y2259" s="2" t="n">
        <v>3</v>
      </c>
      <c r="Z2259" s="2" t="n">
        <v>3</v>
      </c>
    </row>
    <row r="2260" customFormat="false" ht="15" hidden="false" customHeight="true" outlineLevel="0" collapsed="false">
      <c r="A2260" s="2" t="n">
        <v>44</v>
      </c>
      <c r="B2260" s="2" t="s">
        <v>26</v>
      </c>
      <c r="C2260" s="2" t="s">
        <v>27</v>
      </c>
      <c r="D2260" s="2" t="s">
        <v>35</v>
      </c>
      <c r="E2260" s="2" t="n">
        <v>5</v>
      </c>
      <c r="F2260" s="2" t="n">
        <v>1</v>
      </c>
      <c r="G2260" s="2" t="s">
        <v>38</v>
      </c>
      <c r="H2260" s="2" t="n">
        <v>2259</v>
      </c>
      <c r="I2260" s="2" t="s">
        <v>39</v>
      </c>
      <c r="J2260" s="2" t="n">
        <v>3</v>
      </c>
      <c r="K2260" s="2" t="s">
        <v>36</v>
      </c>
      <c r="L2260" s="2" t="s">
        <v>37</v>
      </c>
      <c r="M2260" s="2" t="n">
        <v>52280</v>
      </c>
      <c r="N2260" s="2" t="n">
        <v>1</v>
      </c>
      <c r="O2260" s="2" t="n">
        <v>13</v>
      </c>
      <c r="P2260" s="2" t="n">
        <v>0</v>
      </c>
      <c r="Q2260" s="2" t="n">
        <v>6</v>
      </c>
      <c r="R2260" s="2" t="n">
        <v>2</v>
      </c>
      <c r="S2260" s="2" t="n">
        <v>5</v>
      </c>
      <c r="T2260" s="2" t="n">
        <v>1</v>
      </c>
      <c r="U2260" s="2" t="n">
        <v>3</v>
      </c>
      <c r="V2260" s="2" t="n">
        <v>4</v>
      </c>
      <c r="W2260" s="2" t="n">
        <v>2</v>
      </c>
      <c r="X2260" s="2" t="n">
        <v>2</v>
      </c>
      <c r="Y2260" s="2" t="n">
        <v>4</v>
      </c>
      <c r="Z2260" s="2" t="n">
        <v>3</v>
      </c>
    </row>
    <row r="2261" customFormat="false" ht="15" hidden="false" customHeight="true" outlineLevel="0" collapsed="false">
      <c r="A2261" s="2" t="n">
        <v>33</v>
      </c>
      <c r="B2261" s="2" t="s">
        <v>26</v>
      </c>
      <c r="C2261" s="2" t="s">
        <v>34</v>
      </c>
      <c r="D2261" s="2" t="s">
        <v>42</v>
      </c>
      <c r="E2261" s="2" t="n">
        <v>10</v>
      </c>
      <c r="F2261" s="2" t="n">
        <v>3</v>
      </c>
      <c r="G2261" s="2" t="s">
        <v>43</v>
      </c>
      <c r="H2261" s="2" t="n">
        <v>2260</v>
      </c>
      <c r="I2261" s="2" t="s">
        <v>30</v>
      </c>
      <c r="J2261" s="2" t="n">
        <v>2</v>
      </c>
      <c r="K2261" s="2" t="s">
        <v>40</v>
      </c>
      <c r="L2261" s="2" t="s">
        <v>32</v>
      </c>
      <c r="M2261" s="2" t="n">
        <v>27000</v>
      </c>
      <c r="N2261" s="2" t="n">
        <v>0</v>
      </c>
      <c r="O2261" s="2" t="n">
        <v>14</v>
      </c>
      <c r="P2261" s="2" t="n">
        <v>3</v>
      </c>
      <c r="Q2261" s="2" t="n">
        <v>5</v>
      </c>
      <c r="R2261" s="2" t="n">
        <v>2</v>
      </c>
      <c r="S2261" s="2" t="n">
        <v>4</v>
      </c>
      <c r="T2261" s="2" t="n">
        <v>0</v>
      </c>
      <c r="U2261" s="2" t="n">
        <v>3</v>
      </c>
      <c r="V2261" s="2" t="n">
        <v>4</v>
      </c>
      <c r="W2261" s="2" t="n">
        <v>1</v>
      </c>
      <c r="X2261" s="2" t="n">
        <v>3</v>
      </c>
      <c r="Y2261" s="2" t="n">
        <v>3</v>
      </c>
      <c r="Z2261" s="2" t="n">
        <v>3</v>
      </c>
    </row>
    <row r="2262" customFormat="false" ht="15" hidden="false" customHeight="true" outlineLevel="0" collapsed="false">
      <c r="A2262" s="2" t="n">
        <v>34</v>
      </c>
      <c r="B2262" s="2" t="s">
        <v>26</v>
      </c>
      <c r="C2262" s="2" t="s">
        <v>27</v>
      </c>
      <c r="D2262" s="2" t="s">
        <v>35</v>
      </c>
      <c r="E2262" s="2" t="n">
        <v>10</v>
      </c>
      <c r="F2262" s="2" t="n">
        <v>4</v>
      </c>
      <c r="G2262" s="2" t="s">
        <v>29</v>
      </c>
      <c r="H2262" s="2" t="n">
        <v>2261</v>
      </c>
      <c r="I2262" s="2" t="s">
        <v>30</v>
      </c>
      <c r="J2262" s="2" t="n">
        <v>1</v>
      </c>
      <c r="K2262" s="2" t="s">
        <v>48</v>
      </c>
      <c r="L2262" s="2" t="s">
        <v>37</v>
      </c>
      <c r="M2262" s="2" t="n">
        <v>192460</v>
      </c>
      <c r="N2262" s="2" t="n">
        <v>3</v>
      </c>
      <c r="O2262" s="2" t="n">
        <v>15</v>
      </c>
      <c r="P2262" s="2" t="n">
        <v>1</v>
      </c>
      <c r="Q2262" s="2" t="n">
        <v>15</v>
      </c>
      <c r="R2262" s="2" t="n">
        <v>5</v>
      </c>
      <c r="S2262" s="2" t="n">
        <v>13</v>
      </c>
      <c r="T2262" s="2" t="n">
        <v>3</v>
      </c>
      <c r="U2262" s="2" t="n">
        <v>12</v>
      </c>
      <c r="V2262" s="2" t="n">
        <v>4</v>
      </c>
      <c r="W2262" s="2" t="n">
        <v>1</v>
      </c>
      <c r="X2262" s="2" t="n">
        <v>3</v>
      </c>
      <c r="Y2262" s="2" t="n">
        <v>3</v>
      </c>
      <c r="Z2262" s="2" t="n">
        <v>3</v>
      </c>
    </row>
    <row r="2263" customFormat="false" ht="15" hidden="false" customHeight="true" outlineLevel="0" collapsed="false">
      <c r="A2263" s="2" t="n">
        <v>30</v>
      </c>
      <c r="B2263" s="2" t="s">
        <v>26</v>
      </c>
      <c r="C2263" s="2" t="s">
        <v>27</v>
      </c>
      <c r="D2263" s="2" t="s">
        <v>28</v>
      </c>
      <c r="E2263" s="2" t="n">
        <v>1</v>
      </c>
      <c r="F2263" s="2" t="n">
        <v>2</v>
      </c>
      <c r="G2263" s="2" t="s">
        <v>51</v>
      </c>
      <c r="H2263" s="2" t="n">
        <v>2262</v>
      </c>
      <c r="I2263" s="2" t="s">
        <v>39</v>
      </c>
      <c r="J2263" s="2" t="n">
        <v>1</v>
      </c>
      <c r="K2263" s="2" t="s">
        <v>45</v>
      </c>
      <c r="L2263" s="2" t="s">
        <v>32</v>
      </c>
      <c r="M2263" s="2" t="n">
        <v>25060</v>
      </c>
      <c r="N2263" s="2" t="n">
        <v>8</v>
      </c>
      <c r="O2263" s="2" t="n">
        <v>22</v>
      </c>
      <c r="P2263" s="2" t="n">
        <v>0</v>
      </c>
      <c r="Q2263" s="2" t="n">
        <v>4</v>
      </c>
      <c r="R2263" s="2" t="n">
        <v>3</v>
      </c>
      <c r="S2263" s="2" t="n">
        <v>2</v>
      </c>
      <c r="T2263" s="2" t="n">
        <v>2</v>
      </c>
      <c r="U2263" s="2" t="n">
        <v>2</v>
      </c>
      <c r="V2263" s="2" t="n">
        <v>4</v>
      </c>
      <c r="W2263" s="2" t="n">
        <v>3</v>
      </c>
      <c r="X2263" s="2" t="n">
        <v>2</v>
      </c>
      <c r="Y2263" s="2" t="n">
        <v>3</v>
      </c>
      <c r="Z2263" s="2" t="n">
        <v>4</v>
      </c>
    </row>
    <row r="2264" customFormat="false" ht="15" hidden="false" customHeight="true" outlineLevel="0" collapsed="false">
      <c r="A2264" s="2" t="n">
        <v>42</v>
      </c>
      <c r="B2264" s="2" t="s">
        <v>26</v>
      </c>
      <c r="C2264" s="2" t="s">
        <v>34</v>
      </c>
      <c r="D2264" s="2" t="s">
        <v>35</v>
      </c>
      <c r="E2264" s="2" t="n">
        <v>8</v>
      </c>
      <c r="F2264" s="2" t="n">
        <v>4</v>
      </c>
      <c r="G2264" s="2" t="s">
        <v>43</v>
      </c>
      <c r="H2264" s="2" t="n">
        <v>2263</v>
      </c>
      <c r="I2264" s="2" t="s">
        <v>30</v>
      </c>
      <c r="J2264" s="2" t="n">
        <v>1</v>
      </c>
      <c r="K2264" s="2" t="s">
        <v>40</v>
      </c>
      <c r="L2264" s="2" t="s">
        <v>37</v>
      </c>
      <c r="M2264" s="2" t="n">
        <v>60620</v>
      </c>
      <c r="N2264" s="2" t="n">
        <v>1</v>
      </c>
      <c r="O2264" s="2" t="n">
        <v>22</v>
      </c>
      <c r="P2264" s="2" t="n">
        <v>2</v>
      </c>
      <c r="Q2264" s="2" t="n">
        <v>12</v>
      </c>
      <c r="R2264" s="2" t="n">
        <v>2</v>
      </c>
      <c r="S2264" s="2" t="n">
        <v>12</v>
      </c>
      <c r="T2264" s="2" t="n">
        <v>5</v>
      </c>
      <c r="U2264" s="2" t="n">
        <v>8</v>
      </c>
      <c r="V2264" s="2" t="n">
        <v>1</v>
      </c>
      <c r="W2264" s="2" t="n">
        <v>4</v>
      </c>
      <c r="X2264" s="2" t="n">
        <v>3</v>
      </c>
      <c r="Y2264" s="2" t="n">
        <v>3</v>
      </c>
      <c r="Z2264" s="2" t="n">
        <v>4</v>
      </c>
    </row>
    <row r="2265" customFormat="false" ht="15" hidden="false" customHeight="true" outlineLevel="0" collapsed="false">
      <c r="A2265" s="2" t="n">
        <v>44</v>
      </c>
      <c r="B2265" s="2" t="s">
        <v>26</v>
      </c>
      <c r="C2265" s="2" t="s">
        <v>34</v>
      </c>
      <c r="D2265" s="2" t="s">
        <v>35</v>
      </c>
      <c r="E2265" s="2" t="n">
        <v>5</v>
      </c>
      <c r="F2265" s="2" t="n">
        <v>3</v>
      </c>
      <c r="G2265" s="2" t="s">
        <v>29</v>
      </c>
      <c r="H2265" s="2" t="n">
        <v>2264</v>
      </c>
      <c r="I2265" s="2" t="s">
        <v>30</v>
      </c>
      <c r="J2265" s="2" t="n">
        <v>5</v>
      </c>
      <c r="K2265" s="2" t="s">
        <v>47</v>
      </c>
      <c r="L2265" s="2" t="s">
        <v>32</v>
      </c>
      <c r="M2265" s="2" t="n">
        <v>43820</v>
      </c>
      <c r="N2265" s="2" t="n">
        <v>7</v>
      </c>
      <c r="O2265" s="2" t="n">
        <v>16</v>
      </c>
      <c r="P2265" s="2" t="n">
        <v>2</v>
      </c>
      <c r="Q2265" s="2" t="n">
        <v>11</v>
      </c>
      <c r="R2265" s="2" t="n">
        <v>2</v>
      </c>
      <c r="S2265" s="2" t="n">
        <v>1</v>
      </c>
      <c r="T2265" s="2" t="n">
        <v>0</v>
      </c>
      <c r="U2265" s="2" t="n">
        <v>0</v>
      </c>
      <c r="V2265" s="2" t="n">
        <v>1</v>
      </c>
      <c r="W2265" s="2" t="n">
        <v>3</v>
      </c>
      <c r="X2265" s="2" t="n">
        <v>2</v>
      </c>
      <c r="Y2265" s="2" t="n">
        <v>3</v>
      </c>
      <c r="Z2265" s="2" t="n">
        <v>3</v>
      </c>
    </row>
    <row r="2266" customFormat="false" ht="15" hidden="false" customHeight="true" outlineLevel="0" collapsed="false">
      <c r="A2266" s="2" t="n">
        <v>30</v>
      </c>
      <c r="B2266" s="2" t="s">
        <v>26</v>
      </c>
      <c r="C2266" s="2" t="s">
        <v>41</v>
      </c>
      <c r="D2266" s="2" t="s">
        <v>35</v>
      </c>
      <c r="E2266" s="2" t="n">
        <v>8</v>
      </c>
      <c r="F2266" s="2" t="n">
        <v>3</v>
      </c>
      <c r="G2266" s="2" t="s">
        <v>29</v>
      </c>
      <c r="H2266" s="2" t="n">
        <v>2265</v>
      </c>
      <c r="I2266" s="2" t="s">
        <v>39</v>
      </c>
      <c r="J2266" s="2" t="n">
        <v>1</v>
      </c>
      <c r="K2266" s="2" t="s">
        <v>47</v>
      </c>
      <c r="L2266" s="2" t="s">
        <v>46</v>
      </c>
      <c r="M2266" s="2" t="n">
        <v>21430</v>
      </c>
      <c r="N2266" s="2" t="n">
        <v>1</v>
      </c>
      <c r="O2266" s="2" t="n">
        <v>17</v>
      </c>
      <c r="P2266" s="2" t="n">
        <v>1</v>
      </c>
      <c r="Q2266" s="2" t="n">
        <v>1</v>
      </c>
      <c r="R2266" s="2" t="n">
        <v>2</v>
      </c>
      <c r="S2266" s="2" t="n">
        <v>1</v>
      </c>
      <c r="T2266" s="2" t="n">
        <v>0</v>
      </c>
      <c r="U2266" s="2" t="n">
        <v>0</v>
      </c>
      <c r="V2266" s="2" t="n">
        <v>3</v>
      </c>
      <c r="W2266" s="2" t="n">
        <v>3</v>
      </c>
      <c r="X2266" s="2" t="n">
        <v>2</v>
      </c>
      <c r="Y2266" s="2" t="n">
        <v>3</v>
      </c>
      <c r="Z2266" s="2" t="n">
        <v>3</v>
      </c>
    </row>
    <row r="2267" customFormat="false" ht="15" hidden="false" customHeight="true" outlineLevel="0" collapsed="false">
      <c r="A2267" s="2" t="n">
        <v>57</v>
      </c>
      <c r="B2267" s="2" t="s">
        <v>26</v>
      </c>
      <c r="C2267" s="2" t="s">
        <v>27</v>
      </c>
      <c r="D2267" s="2" t="s">
        <v>28</v>
      </c>
      <c r="E2267" s="2" t="n">
        <v>2</v>
      </c>
      <c r="F2267" s="2" t="n">
        <v>1</v>
      </c>
      <c r="G2267" s="2" t="s">
        <v>29</v>
      </c>
      <c r="H2267" s="2" t="n">
        <v>2266</v>
      </c>
      <c r="I2267" s="2" t="s">
        <v>39</v>
      </c>
      <c r="J2267" s="2" t="n">
        <v>3</v>
      </c>
      <c r="K2267" s="2" t="s">
        <v>36</v>
      </c>
      <c r="L2267" s="2" t="s">
        <v>32</v>
      </c>
      <c r="M2267" s="2" t="n">
        <v>61620</v>
      </c>
      <c r="N2267" s="2" t="n">
        <v>0</v>
      </c>
      <c r="O2267" s="2" t="n">
        <v>14</v>
      </c>
      <c r="P2267" s="2" t="n">
        <v>0</v>
      </c>
      <c r="Q2267" s="2" t="n">
        <v>13</v>
      </c>
      <c r="R2267" s="2" t="n">
        <v>5</v>
      </c>
      <c r="S2267" s="2" t="n">
        <v>12</v>
      </c>
      <c r="T2267" s="2" t="n">
        <v>2</v>
      </c>
      <c r="U2267" s="2" t="n">
        <v>8</v>
      </c>
      <c r="V2267" s="2" t="n">
        <v>2</v>
      </c>
      <c r="W2267" s="2" t="n">
        <v>3</v>
      </c>
      <c r="X2267" s="2" t="n">
        <v>2</v>
      </c>
      <c r="Y2267" s="2" t="n">
        <v>2</v>
      </c>
      <c r="Z2267" s="2" t="n">
        <v>3</v>
      </c>
    </row>
    <row r="2268" customFormat="false" ht="15" hidden="false" customHeight="true" outlineLevel="0" collapsed="false">
      <c r="A2268" s="2" t="n">
        <v>49</v>
      </c>
      <c r="B2268" s="2" t="s">
        <v>26</v>
      </c>
      <c r="C2268" s="2" t="s">
        <v>27</v>
      </c>
      <c r="D2268" s="2" t="s">
        <v>35</v>
      </c>
      <c r="E2268" s="2" t="n">
        <v>7</v>
      </c>
      <c r="F2268" s="2" t="n">
        <v>3</v>
      </c>
      <c r="G2268" s="2" t="s">
        <v>51</v>
      </c>
      <c r="H2268" s="2" t="n">
        <v>2267</v>
      </c>
      <c r="I2268" s="2" t="s">
        <v>30</v>
      </c>
      <c r="J2268" s="2" t="n">
        <v>2</v>
      </c>
      <c r="K2268" s="2" t="s">
        <v>40</v>
      </c>
      <c r="L2268" s="2" t="s">
        <v>46</v>
      </c>
      <c r="M2268" s="2" t="n">
        <v>50940</v>
      </c>
      <c r="N2268" s="2" t="n">
        <v>3</v>
      </c>
      <c r="O2268" s="2" t="n">
        <v>15</v>
      </c>
      <c r="P2268" s="2" t="n">
        <v>0</v>
      </c>
      <c r="Q2268" s="2" t="n">
        <v>29</v>
      </c>
      <c r="R2268" s="2" t="n">
        <v>5</v>
      </c>
      <c r="S2268" s="2" t="n">
        <v>8</v>
      </c>
      <c r="T2268" s="2" t="n">
        <v>0</v>
      </c>
      <c r="U2268" s="2" t="n">
        <v>7</v>
      </c>
      <c r="V2268" s="2" t="n">
        <v>3</v>
      </c>
      <c r="W2268" s="2" t="n">
        <v>2</v>
      </c>
      <c r="X2268" s="2" t="n">
        <v>3</v>
      </c>
      <c r="Y2268" s="2" t="n">
        <v>3</v>
      </c>
      <c r="Z2268" s="2" t="n">
        <v>3</v>
      </c>
    </row>
    <row r="2269" customFormat="false" ht="15" hidden="false" customHeight="true" outlineLevel="0" collapsed="false">
      <c r="A2269" s="2" t="n">
        <v>34</v>
      </c>
      <c r="B2269" s="2" t="s">
        <v>26</v>
      </c>
      <c r="C2269" s="2" t="s">
        <v>34</v>
      </c>
      <c r="D2269" s="2" t="s">
        <v>35</v>
      </c>
      <c r="E2269" s="2" t="n">
        <v>2</v>
      </c>
      <c r="F2269" s="2" t="n">
        <v>4</v>
      </c>
      <c r="G2269" s="2" t="s">
        <v>43</v>
      </c>
      <c r="H2269" s="2" t="n">
        <v>2268</v>
      </c>
      <c r="I2269" s="2" t="s">
        <v>30</v>
      </c>
      <c r="J2269" s="2" t="n">
        <v>2</v>
      </c>
      <c r="K2269" s="2" t="s">
        <v>48</v>
      </c>
      <c r="L2269" s="2" t="s">
        <v>46</v>
      </c>
      <c r="M2269" s="2" t="n">
        <v>68770</v>
      </c>
      <c r="N2269" s="2" t="n">
        <v>7</v>
      </c>
      <c r="O2269" s="2" t="n">
        <v>20</v>
      </c>
      <c r="P2269" s="2" t="n">
        <v>0</v>
      </c>
      <c r="Q2269" s="2" t="n">
        <v>16</v>
      </c>
      <c r="R2269" s="2" t="n">
        <v>3</v>
      </c>
      <c r="S2269" s="2" t="n">
        <v>14</v>
      </c>
      <c r="T2269" s="2" t="n">
        <v>6</v>
      </c>
      <c r="U2269" s="2" t="n">
        <v>9</v>
      </c>
      <c r="V2269" s="2" t="n">
        <v>2</v>
      </c>
      <c r="W2269" s="2" t="n">
        <v>1</v>
      </c>
      <c r="X2269" s="2" t="n">
        <v>2</v>
      </c>
      <c r="Y2269" s="2" t="n">
        <v>3</v>
      </c>
      <c r="Z2269" s="2" t="n">
        <v>4</v>
      </c>
    </row>
    <row r="2270" customFormat="false" ht="15" hidden="false" customHeight="true" outlineLevel="0" collapsed="false">
      <c r="A2270" s="2" t="n">
        <v>28</v>
      </c>
      <c r="B2270" s="2" t="s">
        <v>33</v>
      </c>
      <c r="C2270" s="2" t="s">
        <v>34</v>
      </c>
      <c r="D2270" s="2" t="s">
        <v>35</v>
      </c>
      <c r="E2270" s="2" t="n">
        <v>2</v>
      </c>
      <c r="F2270" s="2" t="n">
        <v>3</v>
      </c>
      <c r="G2270" s="2" t="s">
        <v>43</v>
      </c>
      <c r="H2270" s="2" t="n">
        <v>2269</v>
      </c>
      <c r="I2270" s="2" t="s">
        <v>39</v>
      </c>
      <c r="J2270" s="2" t="n">
        <v>1</v>
      </c>
      <c r="K2270" s="2" t="s">
        <v>36</v>
      </c>
      <c r="L2270" s="2" t="s">
        <v>32</v>
      </c>
      <c r="M2270" s="2" t="n">
        <v>22740</v>
      </c>
      <c r="N2270" s="2" t="n">
        <v>3</v>
      </c>
      <c r="O2270" s="2" t="n">
        <v>20</v>
      </c>
      <c r="P2270" s="2" t="n">
        <v>1</v>
      </c>
      <c r="Q2270" s="2" t="n">
        <v>5</v>
      </c>
      <c r="R2270" s="2" t="n">
        <v>5</v>
      </c>
      <c r="S2270" s="2" t="n">
        <v>3</v>
      </c>
      <c r="T2270" s="2" t="n">
        <v>1</v>
      </c>
      <c r="U2270" s="2" t="n">
        <v>2</v>
      </c>
      <c r="V2270" s="2" t="n">
        <v>1</v>
      </c>
      <c r="W2270" s="2" t="n">
        <v>3</v>
      </c>
      <c r="X2270" s="2" t="n">
        <v>4</v>
      </c>
      <c r="Y2270" s="2" t="n">
        <v>3</v>
      </c>
      <c r="Z2270" s="2" t="n">
        <v>4</v>
      </c>
    </row>
    <row r="2271" customFormat="false" ht="15" hidden="false" customHeight="true" outlineLevel="0" collapsed="false">
      <c r="A2271" s="2" t="n">
        <v>29</v>
      </c>
      <c r="B2271" s="2" t="s">
        <v>33</v>
      </c>
      <c r="C2271" s="2" t="s">
        <v>34</v>
      </c>
      <c r="D2271" s="2" t="s">
        <v>35</v>
      </c>
      <c r="E2271" s="2" t="n">
        <v>28</v>
      </c>
      <c r="F2271" s="2" t="n">
        <v>3</v>
      </c>
      <c r="G2271" s="2" t="s">
        <v>43</v>
      </c>
      <c r="H2271" s="2" t="n">
        <v>2270</v>
      </c>
      <c r="I2271" s="2" t="s">
        <v>30</v>
      </c>
      <c r="J2271" s="2" t="n">
        <v>5</v>
      </c>
      <c r="K2271" s="2" t="s">
        <v>36</v>
      </c>
      <c r="L2271" s="2" t="s">
        <v>37</v>
      </c>
      <c r="M2271" s="2" t="n">
        <v>44340</v>
      </c>
      <c r="N2271" s="2" t="n">
        <v>5</v>
      </c>
      <c r="O2271" s="2" t="n">
        <v>17</v>
      </c>
      <c r="P2271" s="2" t="n">
        <v>3</v>
      </c>
      <c r="Q2271" s="2" t="n">
        <v>7</v>
      </c>
      <c r="R2271" s="2" t="n">
        <v>1</v>
      </c>
      <c r="S2271" s="2" t="n">
        <v>5</v>
      </c>
      <c r="T2271" s="2" t="n">
        <v>0</v>
      </c>
      <c r="U2271" s="2" t="n">
        <v>0</v>
      </c>
      <c r="V2271" s="2" t="n">
        <v>1</v>
      </c>
      <c r="W2271" s="2" t="n">
        <v>2</v>
      </c>
      <c r="X2271" s="2" t="n">
        <v>1</v>
      </c>
      <c r="Y2271" s="2" t="n">
        <v>3</v>
      </c>
      <c r="Z2271" s="2" t="n">
        <v>3</v>
      </c>
    </row>
    <row r="2272" customFormat="false" ht="15" hidden="false" customHeight="true" outlineLevel="0" collapsed="false">
      <c r="A2272" s="2" t="n">
        <v>34</v>
      </c>
      <c r="B2272" s="2" t="s">
        <v>33</v>
      </c>
      <c r="C2272" s="2" t="s">
        <v>27</v>
      </c>
      <c r="D2272" s="2" t="s">
        <v>35</v>
      </c>
      <c r="E2272" s="2" t="n">
        <v>7</v>
      </c>
      <c r="F2272" s="2" t="n">
        <v>1</v>
      </c>
      <c r="G2272" s="2" t="s">
        <v>43</v>
      </c>
      <c r="H2272" s="2" t="n">
        <v>2271</v>
      </c>
      <c r="I2272" s="2" t="s">
        <v>39</v>
      </c>
      <c r="J2272" s="2" t="n">
        <v>1</v>
      </c>
      <c r="K2272" s="2" t="s">
        <v>36</v>
      </c>
      <c r="L2272" s="2" t="s">
        <v>37</v>
      </c>
      <c r="M2272" s="2" t="n">
        <v>62880</v>
      </c>
      <c r="N2272" s="2" t="n">
        <v>0</v>
      </c>
      <c r="O2272" s="2" t="n">
        <v>15</v>
      </c>
      <c r="P2272" s="2" t="n">
        <v>1</v>
      </c>
      <c r="Q2272" s="2" t="n">
        <v>16</v>
      </c>
      <c r="R2272" s="2" t="n">
        <v>2</v>
      </c>
      <c r="S2272" s="2" t="n">
        <v>15</v>
      </c>
      <c r="T2272" s="2" t="n">
        <v>10</v>
      </c>
      <c r="U2272" s="2" t="n">
        <v>10</v>
      </c>
      <c r="V2272" s="2" t="n">
        <v>1</v>
      </c>
      <c r="W2272" s="2" t="n">
        <v>2</v>
      </c>
      <c r="X2272" s="2" t="n">
        <v>4</v>
      </c>
      <c r="Y2272" s="2" t="n">
        <v>3</v>
      </c>
      <c r="Z2272" s="2" t="n">
        <v>3</v>
      </c>
    </row>
    <row r="2273" customFormat="false" ht="15" hidden="false" customHeight="true" outlineLevel="0" collapsed="false">
      <c r="A2273" s="2" t="n">
        <v>35</v>
      </c>
      <c r="B2273" s="2" t="s">
        <v>26</v>
      </c>
      <c r="C2273" s="2" t="s">
        <v>27</v>
      </c>
      <c r="D2273" s="2" t="s">
        <v>28</v>
      </c>
      <c r="E2273" s="2" t="n">
        <v>7</v>
      </c>
      <c r="F2273" s="2" t="n">
        <v>4</v>
      </c>
      <c r="G2273" s="2" t="s">
        <v>38</v>
      </c>
      <c r="H2273" s="2" t="n">
        <v>2272</v>
      </c>
      <c r="I2273" s="2" t="s">
        <v>30</v>
      </c>
      <c r="J2273" s="2" t="n">
        <v>4</v>
      </c>
      <c r="K2273" s="2" t="s">
        <v>31</v>
      </c>
      <c r="L2273" s="2" t="s">
        <v>32</v>
      </c>
      <c r="M2273" s="2" t="n">
        <v>25530</v>
      </c>
      <c r="N2273" s="2" t="n">
        <v>1</v>
      </c>
      <c r="O2273" s="2" t="n">
        <v>14</v>
      </c>
      <c r="P2273" s="2" t="n">
        <v>1</v>
      </c>
      <c r="Q2273" s="2" t="n">
        <v>1</v>
      </c>
      <c r="R2273" s="2" t="n">
        <v>4</v>
      </c>
      <c r="S2273" s="2" t="n">
        <v>1</v>
      </c>
      <c r="T2273" s="2" t="n">
        <v>0</v>
      </c>
      <c r="U2273" s="2" t="n">
        <v>0</v>
      </c>
      <c r="V2273" s="2" t="n">
        <v>4</v>
      </c>
      <c r="W2273" s="2" t="n">
        <v>3</v>
      </c>
      <c r="X2273" s="2" t="n">
        <v>3</v>
      </c>
      <c r="Y2273" s="2" t="n">
        <v>2</v>
      </c>
      <c r="Z2273" s="2" t="n">
        <v>3</v>
      </c>
    </row>
    <row r="2274" customFormat="false" ht="15" hidden="false" customHeight="true" outlineLevel="0" collapsed="false">
      <c r="A2274" s="2" t="n">
        <v>24</v>
      </c>
      <c r="B2274" s="2" t="s">
        <v>33</v>
      </c>
      <c r="C2274" s="2" t="s">
        <v>34</v>
      </c>
      <c r="D2274" s="2" t="s">
        <v>28</v>
      </c>
      <c r="E2274" s="2" t="n">
        <v>3</v>
      </c>
      <c r="F2274" s="2" t="n">
        <v>3</v>
      </c>
      <c r="G2274" s="2" t="s">
        <v>29</v>
      </c>
      <c r="H2274" s="2" t="n">
        <v>2273</v>
      </c>
      <c r="I2274" s="2" t="s">
        <v>39</v>
      </c>
      <c r="J2274" s="2" t="n">
        <v>2</v>
      </c>
      <c r="K2274" s="2" t="s">
        <v>36</v>
      </c>
      <c r="L2274" s="2" t="s">
        <v>37</v>
      </c>
      <c r="M2274" s="2" t="n">
        <v>76540</v>
      </c>
      <c r="N2274" s="2" t="n">
        <v>2</v>
      </c>
      <c r="O2274" s="2" t="n">
        <v>17</v>
      </c>
      <c r="P2274" s="2" t="n">
        <v>1</v>
      </c>
      <c r="Q2274" s="2" t="n">
        <v>4</v>
      </c>
      <c r="R2274" s="2" t="n">
        <v>3</v>
      </c>
      <c r="S2274" s="2" t="n">
        <v>0</v>
      </c>
      <c r="T2274" s="2" t="n">
        <v>0</v>
      </c>
      <c r="U2274" s="2" t="n">
        <v>0</v>
      </c>
      <c r="V2274" s="2" t="n">
        <v>2</v>
      </c>
      <c r="W2274" s="2" t="n">
        <v>1</v>
      </c>
      <c r="X2274" s="2" t="n">
        <v>2</v>
      </c>
      <c r="Y2274" s="2" t="n">
        <v>2</v>
      </c>
      <c r="Z2274" s="2" t="n">
        <v>3</v>
      </c>
    </row>
    <row r="2275" customFormat="false" ht="15" hidden="false" customHeight="true" outlineLevel="0" collapsed="false">
      <c r="A2275" s="2" t="n">
        <v>24</v>
      </c>
      <c r="B2275" s="2" t="s">
        <v>26</v>
      </c>
      <c r="C2275" s="2" t="s">
        <v>41</v>
      </c>
      <c r="D2275" s="2" t="s">
        <v>35</v>
      </c>
      <c r="E2275" s="2" t="n">
        <v>10</v>
      </c>
      <c r="F2275" s="2" t="n">
        <v>3</v>
      </c>
      <c r="G2275" s="2" t="s">
        <v>29</v>
      </c>
      <c r="H2275" s="2" t="n">
        <v>2274</v>
      </c>
      <c r="I2275" s="2" t="s">
        <v>30</v>
      </c>
      <c r="J2275" s="2" t="n">
        <v>2</v>
      </c>
      <c r="K2275" s="2" t="s">
        <v>49</v>
      </c>
      <c r="L2275" s="2" t="s">
        <v>32</v>
      </c>
      <c r="M2275" s="2" t="n">
        <v>51600</v>
      </c>
      <c r="N2275" s="2" t="n">
        <v>1</v>
      </c>
      <c r="O2275" s="2" t="n">
        <v>17</v>
      </c>
      <c r="P2275" s="2" t="n">
        <v>1</v>
      </c>
      <c r="Q2275" s="2" t="n">
        <v>1</v>
      </c>
      <c r="R2275" s="2" t="n">
        <v>3</v>
      </c>
      <c r="S2275" s="2" t="n">
        <v>1</v>
      </c>
      <c r="T2275" s="2" t="n">
        <v>0</v>
      </c>
      <c r="U2275" s="2" t="n">
        <v>0</v>
      </c>
      <c r="V2275" s="2" t="n">
        <v>4</v>
      </c>
      <c r="W2275" s="2" t="n">
        <v>2</v>
      </c>
      <c r="X2275" s="2" t="n">
        <v>3</v>
      </c>
      <c r="Y2275" s="2" t="n">
        <v>1</v>
      </c>
      <c r="Z2275" s="2" t="n">
        <v>3</v>
      </c>
    </row>
    <row r="2276" customFormat="false" ht="15" hidden="false" customHeight="true" outlineLevel="0" collapsed="false">
      <c r="A2276" s="2" t="n">
        <v>44</v>
      </c>
      <c r="B2276" s="2" t="s">
        <v>26</v>
      </c>
      <c r="C2276" s="2" t="s">
        <v>34</v>
      </c>
      <c r="D2276" s="2" t="s">
        <v>35</v>
      </c>
      <c r="E2276" s="2" t="n">
        <v>5</v>
      </c>
      <c r="F2276" s="2" t="n">
        <v>2</v>
      </c>
      <c r="G2276" s="2" t="s">
        <v>43</v>
      </c>
      <c r="H2276" s="2" t="n">
        <v>2275</v>
      </c>
      <c r="I2276" s="2" t="s">
        <v>30</v>
      </c>
      <c r="J2276" s="2" t="n">
        <v>2</v>
      </c>
      <c r="K2276" s="2" t="s">
        <v>36</v>
      </c>
      <c r="L2276" s="2" t="s">
        <v>37</v>
      </c>
      <c r="M2276" s="2" t="n">
        <v>171590</v>
      </c>
      <c r="N2276" s="2" t="n">
        <v>5</v>
      </c>
      <c r="O2276" s="2" t="n">
        <v>22</v>
      </c>
      <c r="P2276" s="2" t="n">
        <v>1</v>
      </c>
      <c r="Q2276" s="2" t="n">
        <v>16</v>
      </c>
      <c r="R2276" s="2" t="n">
        <v>1</v>
      </c>
      <c r="S2276" s="2" t="n">
        <v>2</v>
      </c>
      <c r="T2276" s="2" t="n">
        <v>2</v>
      </c>
      <c r="U2276" s="2" t="n">
        <v>2</v>
      </c>
      <c r="V2276" s="2" t="n">
        <v>2</v>
      </c>
      <c r="W2276" s="2" t="n">
        <v>3</v>
      </c>
      <c r="X2276" s="2" t="n">
        <v>2</v>
      </c>
      <c r="Y2276" s="2" t="n">
        <v>2</v>
      </c>
      <c r="Z2276" s="2" t="n">
        <v>4</v>
      </c>
    </row>
    <row r="2277" customFormat="false" ht="15" hidden="false" customHeight="true" outlineLevel="0" collapsed="false">
      <c r="A2277" s="2" t="n">
        <v>29</v>
      </c>
      <c r="B2277" s="2" t="s">
        <v>26</v>
      </c>
      <c r="C2277" s="2" t="s">
        <v>27</v>
      </c>
      <c r="D2277" s="2" t="s">
        <v>28</v>
      </c>
      <c r="E2277" s="2" t="n">
        <v>10</v>
      </c>
      <c r="F2277" s="2" t="n">
        <v>2</v>
      </c>
      <c r="G2277" s="2" t="s">
        <v>29</v>
      </c>
      <c r="H2277" s="2" t="n">
        <v>2276</v>
      </c>
      <c r="I2277" s="2" t="s">
        <v>30</v>
      </c>
      <c r="J2277" s="2" t="n">
        <v>1</v>
      </c>
      <c r="K2277" s="2" t="s">
        <v>40</v>
      </c>
      <c r="L2277" s="2" t="s">
        <v>46</v>
      </c>
      <c r="M2277" s="2" t="n">
        <v>128080</v>
      </c>
      <c r="N2277" s="2" t="n">
        <v>1</v>
      </c>
      <c r="O2277" s="2" t="n">
        <v>13</v>
      </c>
      <c r="P2277" s="2" t="n">
        <v>0</v>
      </c>
      <c r="Q2277" s="2" t="n">
        <v>10</v>
      </c>
      <c r="R2277" s="2" t="n">
        <v>6</v>
      </c>
      <c r="S2277" s="2" t="n">
        <v>10</v>
      </c>
      <c r="T2277" s="2" t="n">
        <v>0</v>
      </c>
      <c r="U2277" s="2" t="n">
        <v>4</v>
      </c>
      <c r="V2277" s="2" t="n">
        <v>3</v>
      </c>
      <c r="W2277" s="2" t="n">
        <v>3</v>
      </c>
      <c r="X2277" s="2" t="n">
        <v>3</v>
      </c>
      <c r="Y2277" s="2" t="n">
        <v>3</v>
      </c>
      <c r="Z2277" s="2" t="n">
        <v>3</v>
      </c>
    </row>
    <row r="2278" customFormat="false" ht="15" hidden="false" customHeight="true" outlineLevel="0" collapsed="false">
      <c r="A2278" s="2" t="n">
        <v>30</v>
      </c>
      <c r="B2278" s="2" t="s">
        <v>26</v>
      </c>
      <c r="C2278" s="2" t="s">
        <v>27</v>
      </c>
      <c r="D2278" s="2" t="s">
        <v>35</v>
      </c>
      <c r="E2278" s="2" t="n">
        <v>1</v>
      </c>
      <c r="F2278" s="2" t="n">
        <v>2</v>
      </c>
      <c r="G2278" s="2" t="s">
        <v>29</v>
      </c>
      <c r="H2278" s="2" t="n">
        <v>2277</v>
      </c>
      <c r="I2278" s="2" t="s">
        <v>39</v>
      </c>
      <c r="J2278" s="2" t="n">
        <v>3</v>
      </c>
      <c r="K2278" s="2" t="s">
        <v>40</v>
      </c>
      <c r="L2278" s="2" t="s">
        <v>46</v>
      </c>
      <c r="M2278" s="2" t="n">
        <v>102210</v>
      </c>
      <c r="N2278" s="2" t="n">
        <v>0</v>
      </c>
      <c r="O2278" s="2" t="n">
        <v>19</v>
      </c>
      <c r="P2278" s="2" t="n">
        <v>1</v>
      </c>
      <c r="Q2278" s="2" t="n">
        <v>6</v>
      </c>
      <c r="R2278" s="2" t="n">
        <v>2</v>
      </c>
      <c r="S2278" s="2" t="n">
        <v>5</v>
      </c>
      <c r="T2278" s="2" t="n">
        <v>1</v>
      </c>
      <c r="U2278" s="2" t="n">
        <v>3</v>
      </c>
      <c r="V2278" s="2" t="n">
        <v>3</v>
      </c>
      <c r="W2278" s="2" t="n">
        <v>3</v>
      </c>
      <c r="X2278" s="2" t="n">
        <v>4</v>
      </c>
      <c r="Y2278" s="2" t="n">
        <v>3</v>
      </c>
      <c r="Z2278" s="2" t="n">
        <v>3</v>
      </c>
    </row>
    <row r="2279" customFormat="false" ht="15" hidden="false" customHeight="true" outlineLevel="0" collapsed="false">
      <c r="A2279" s="2" t="n">
        <v>55</v>
      </c>
      <c r="B2279" s="2" t="s">
        <v>26</v>
      </c>
      <c r="C2279" s="2" t="s">
        <v>27</v>
      </c>
      <c r="D2279" s="2" t="s">
        <v>28</v>
      </c>
      <c r="E2279" s="2" t="n">
        <v>20</v>
      </c>
      <c r="F2279" s="2" t="n">
        <v>3</v>
      </c>
      <c r="G2279" s="2" t="s">
        <v>50</v>
      </c>
      <c r="H2279" s="2" t="n">
        <v>2278</v>
      </c>
      <c r="I2279" s="2" t="s">
        <v>39</v>
      </c>
      <c r="J2279" s="2" t="n">
        <v>2</v>
      </c>
      <c r="K2279" s="2" t="s">
        <v>36</v>
      </c>
      <c r="L2279" s="2" t="s">
        <v>32</v>
      </c>
      <c r="M2279" s="2" t="n">
        <v>47790</v>
      </c>
      <c r="N2279" s="2" t="n">
        <v>0</v>
      </c>
      <c r="O2279" s="2" t="n">
        <v>14</v>
      </c>
      <c r="P2279" s="2" t="n">
        <v>1</v>
      </c>
      <c r="Q2279" s="2" t="n">
        <v>4</v>
      </c>
      <c r="R2279" s="2" t="n">
        <v>6</v>
      </c>
      <c r="S2279" s="2" t="n">
        <v>3</v>
      </c>
      <c r="T2279" s="2" t="n">
        <v>1</v>
      </c>
      <c r="U2279" s="2" t="n">
        <v>2</v>
      </c>
      <c r="V2279" s="2" t="n">
        <v>4</v>
      </c>
      <c r="W2279" s="2" t="n">
        <v>3</v>
      </c>
      <c r="X2279" s="2" t="n">
        <v>3</v>
      </c>
      <c r="Y2279" s="2" t="n">
        <v>3</v>
      </c>
      <c r="Z2279" s="2" t="n">
        <v>3</v>
      </c>
    </row>
    <row r="2280" customFormat="false" ht="15" hidden="false" customHeight="true" outlineLevel="0" collapsed="false">
      <c r="A2280" s="2" t="n">
        <v>33</v>
      </c>
      <c r="B2280" s="2" t="s">
        <v>26</v>
      </c>
      <c r="C2280" s="2" t="s">
        <v>27</v>
      </c>
      <c r="D2280" s="2" t="s">
        <v>35</v>
      </c>
      <c r="E2280" s="2" t="n">
        <v>7</v>
      </c>
      <c r="F2280" s="2" t="n">
        <v>2</v>
      </c>
      <c r="G2280" s="2" t="s">
        <v>29</v>
      </c>
      <c r="H2280" s="2" t="n">
        <v>2279</v>
      </c>
      <c r="I2280" s="2" t="s">
        <v>39</v>
      </c>
      <c r="J2280" s="2" t="n">
        <v>2</v>
      </c>
      <c r="K2280" s="2" t="s">
        <v>36</v>
      </c>
      <c r="L2280" s="2" t="s">
        <v>32</v>
      </c>
      <c r="M2280" s="2" t="n">
        <v>37370</v>
      </c>
      <c r="N2280" s="2" t="n">
        <v>8</v>
      </c>
      <c r="O2280" s="2" t="n">
        <v>22</v>
      </c>
      <c r="P2280" s="2" t="n">
        <v>2</v>
      </c>
      <c r="Q2280" s="2" t="n">
        <v>8</v>
      </c>
      <c r="R2280" s="2" t="n">
        <v>2</v>
      </c>
      <c r="S2280" s="2" t="n">
        <v>5</v>
      </c>
      <c r="T2280" s="2" t="n">
        <v>0</v>
      </c>
      <c r="U2280" s="2" t="n">
        <v>2</v>
      </c>
      <c r="V2280" s="2" t="n">
        <v>1</v>
      </c>
      <c r="W2280" s="2" t="n">
        <v>2</v>
      </c>
      <c r="X2280" s="2" t="n">
        <v>3</v>
      </c>
      <c r="Y2280" s="2" t="n">
        <v>3</v>
      </c>
      <c r="Z2280" s="2" t="n">
        <v>4</v>
      </c>
    </row>
    <row r="2281" customFormat="false" ht="15" hidden="false" customHeight="true" outlineLevel="0" collapsed="false">
      <c r="A2281" s="2" t="n">
        <v>47</v>
      </c>
      <c r="B2281" s="2" t="s">
        <v>26</v>
      </c>
      <c r="C2281" s="2" t="s">
        <v>27</v>
      </c>
      <c r="D2281" s="2" t="s">
        <v>35</v>
      </c>
      <c r="E2281" s="2" t="n">
        <v>8</v>
      </c>
      <c r="F2281" s="2" t="n">
        <v>4</v>
      </c>
      <c r="G2281" s="2" t="s">
        <v>43</v>
      </c>
      <c r="H2281" s="2" t="n">
        <v>2280</v>
      </c>
      <c r="I2281" s="2" t="s">
        <v>30</v>
      </c>
      <c r="J2281" s="2" t="n">
        <v>2</v>
      </c>
      <c r="K2281" s="2" t="s">
        <v>48</v>
      </c>
      <c r="L2281" s="2" t="s">
        <v>32</v>
      </c>
      <c r="M2281" s="2" t="n">
        <v>23660</v>
      </c>
      <c r="N2281" s="2" t="n">
        <v>3</v>
      </c>
      <c r="O2281" s="2" t="n">
        <v>17</v>
      </c>
      <c r="P2281" s="2" t="n">
        <v>0</v>
      </c>
      <c r="Q2281" s="2" t="n">
        <v>11</v>
      </c>
      <c r="R2281" s="2" t="n">
        <v>5</v>
      </c>
      <c r="S2281" s="2" t="n">
        <v>5</v>
      </c>
      <c r="T2281" s="2" t="n">
        <v>1</v>
      </c>
      <c r="U2281" s="2" t="n">
        <v>2</v>
      </c>
      <c r="V2281" s="2" t="n">
        <v>3</v>
      </c>
      <c r="W2281" s="2" t="n">
        <v>3</v>
      </c>
      <c r="X2281" s="2" t="n">
        <v>2</v>
      </c>
      <c r="Y2281" s="2" t="n">
        <v>2</v>
      </c>
      <c r="Z2281" s="2" t="n">
        <v>3</v>
      </c>
    </row>
    <row r="2282" customFormat="false" ht="15" hidden="false" customHeight="true" outlineLevel="0" collapsed="false">
      <c r="A2282" s="2" t="n">
        <v>28</v>
      </c>
      <c r="B2282" s="2" t="s">
        <v>33</v>
      </c>
      <c r="C2282" s="2" t="s">
        <v>34</v>
      </c>
      <c r="D2282" s="2" t="s">
        <v>28</v>
      </c>
      <c r="E2282" s="2" t="n">
        <v>1</v>
      </c>
      <c r="F2282" s="2" t="n">
        <v>3</v>
      </c>
      <c r="G2282" s="2" t="s">
        <v>50</v>
      </c>
      <c r="H2282" s="2" t="n">
        <v>2281</v>
      </c>
      <c r="I2282" s="2" t="s">
        <v>39</v>
      </c>
      <c r="J2282" s="2" t="n">
        <v>2</v>
      </c>
      <c r="K2282" s="2" t="s">
        <v>45</v>
      </c>
      <c r="L2282" s="2" t="s">
        <v>37</v>
      </c>
      <c r="M2282" s="2" t="n">
        <v>17060</v>
      </c>
      <c r="N2282" s="2" t="n">
        <v>7</v>
      </c>
      <c r="O2282" s="2" t="n">
        <v>12</v>
      </c>
      <c r="P2282" s="2" t="n">
        <v>0</v>
      </c>
      <c r="Q2282" s="2" t="n">
        <v>8</v>
      </c>
      <c r="R2282" s="2" t="n">
        <v>3</v>
      </c>
      <c r="S2282" s="2" t="n">
        <v>0</v>
      </c>
      <c r="T2282" s="2" t="n">
        <v>0</v>
      </c>
      <c r="U2282" s="2" t="n">
        <v>0</v>
      </c>
      <c r="V2282" s="2" t="n">
        <v>3</v>
      </c>
      <c r="W2282" s="2" t="n">
        <v>1</v>
      </c>
      <c r="X2282" s="2" t="n">
        <v>2</v>
      </c>
      <c r="Y2282" s="2" t="n">
        <v>3</v>
      </c>
      <c r="Z2282" s="2" t="n">
        <v>3</v>
      </c>
    </row>
    <row r="2283" customFormat="false" ht="15" hidden="false" customHeight="true" outlineLevel="0" collapsed="false">
      <c r="A2283" s="2" t="n">
        <v>28</v>
      </c>
      <c r="B2283" s="2" t="s">
        <v>26</v>
      </c>
      <c r="C2283" s="2" t="s">
        <v>27</v>
      </c>
      <c r="D2283" s="2" t="s">
        <v>28</v>
      </c>
      <c r="E2283" s="2" t="n">
        <v>8</v>
      </c>
      <c r="F2283" s="2" t="n">
        <v>4</v>
      </c>
      <c r="G2283" s="2" t="s">
        <v>50</v>
      </c>
      <c r="H2283" s="2" t="n">
        <v>2282</v>
      </c>
      <c r="I2283" s="2" t="s">
        <v>39</v>
      </c>
      <c r="J2283" s="2" t="n">
        <v>1</v>
      </c>
      <c r="K2283" s="2" t="s">
        <v>45</v>
      </c>
      <c r="L2283" s="2" t="s">
        <v>46</v>
      </c>
      <c r="M2283" s="2" t="n">
        <v>163070</v>
      </c>
      <c r="N2283" s="2" t="n">
        <v>1</v>
      </c>
      <c r="O2283" s="2" t="n">
        <v>16</v>
      </c>
      <c r="P2283" s="2" t="n">
        <v>0</v>
      </c>
      <c r="Q2283" s="2" t="n">
        <v>1</v>
      </c>
      <c r="R2283" s="2" t="n">
        <v>3</v>
      </c>
      <c r="S2283" s="2" t="n">
        <v>1</v>
      </c>
      <c r="T2283" s="2" t="n">
        <v>0</v>
      </c>
      <c r="U2283" s="2" t="n">
        <v>0</v>
      </c>
      <c r="V2283" s="2" t="n">
        <v>1</v>
      </c>
      <c r="W2283" s="2" t="n">
        <v>3</v>
      </c>
      <c r="X2283" s="2" t="n">
        <v>1</v>
      </c>
      <c r="Y2283" s="2" t="n">
        <v>2</v>
      </c>
      <c r="Z2283" s="2" t="n">
        <v>3</v>
      </c>
    </row>
    <row r="2284" customFormat="false" ht="15" hidden="false" customHeight="true" outlineLevel="0" collapsed="false">
      <c r="A2284" s="2" t="n">
        <v>28</v>
      </c>
      <c r="B2284" s="2" t="s">
        <v>26</v>
      </c>
      <c r="C2284" s="2" t="s">
        <v>34</v>
      </c>
      <c r="D2284" s="2" t="s">
        <v>35</v>
      </c>
      <c r="E2284" s="2" t="n">
        <v>9</v>
      </c>
      <c r="F2284" s="2" t="n">
        <v>3</v>
      </c>
      <c r="G2284" s="2" t="s">
        <v>29</v>
      </c>
      <c r="H2284" s="2" t="n">
        <v>2283</v>
      </c>
      <c r="I2284" s="2" t="s">
        <v>30</v>
      </c>
      <c r="J2284" s="2" t="n">
        <v>2</v>
      </c>
      <c r="K2284" s="2" t="s">
        <v>40</v>
      </c>
      <c r="L2284" s="2" t="s">
        <v>37</v>
      </c>
      <c r="M2284" s="2" t="n">
        <v>59330</v>
      </c>
      <c r="N2284" s="2" t="n">
        <v>0</v>
      </c>
      <c r="O2284" s="2" t="n">
        <v>11</v>
      </c>
      <c r="P2284" s="2" t="n">
        <v>0</v>
      </c>
      <c r="Q2284" s="2" t="n">
        <v>5</v>
      </c>
      <c r="R2284" s="2" t="n">
        <v>3</v>
      </c>
      <c r="S2284" s="2" t="n">
        <v>4</v>
      </c>
      <c r="T2284" s="2" t="n">
        <v>1</v>
      </c>
      <c r="U2284" s="2" t="n">
        <v>3</v>
      </c>
      <c r="V2284" s="2" t="n">
        <v>3</v>
      </c>
      <c r="W2284" s="2" t="n">
        <v>1</v>
      </c>
      <c r="X2284" s="2" t="n">
        <v>3</v>
      </c>
      <c r="Y2284" s="2" t="n">
        <v>3</v>
      </c>
      <c r="Z2284" s="2" t="n">
        <v>3</v>
      </c>
    </row>
    <row r="2285" customFormat="false" ht="15" hidden="false" customHeight="true" outlineLevel="0" collapsed="false">
      <c r="A2285" s="2" t="n">
        <v>49</v>
      </c>
      <c r="B2285" s="2" t="s">
        <v>26</v>
      </c>
      <c r="C2285" s="2" t="s">
        <v>27</v>
      </c>
      <c r="D2285" s="2" t="s">
        <v>35</v>
      </c>
      <c r="E2285" s="2" t="n">
        <v>5</v>
      </c>
      <c r="F2285" s="2" t="n">
        <v>4</v>
      </c>
      <c r="G2285" s="2" t="s">
        <v>29</v>
      </c>
      <c r="H2285" s="2" t="n">
        <v>2284</v>
      </c>
      <c r="I2285" s="2" t="s">
        <v>30</v>
      </c>
      <c r="J2285" s="2" t="n">
        <v>1</v>
      </c>
      <c r="K2285" s="2" t="s">
        <v>36</v>
      </c>
      <c r="L2285" s="2" t="s">
        <v>32</v>
      </c>
      <c r="M2285" s="2" t="n">
        <v>34240</v>
      </c>
      <c r="N2285" s="2" t="n">
        <v>4</v>
      </c>
      <c r="O2285" s="2" t="n">
        <v>11</v>
      </c>
      <c r="P2285" s="2" t="n">
        <v>0</v>
      </c>
      <c r="Q2285" s="2" t="n">
        <v>10</v>
      </c>
      <c r="R2285" s="2" t="n">
        <v>3</v>
      </c>
      <c r="S2285" s="2" t="n">
        <v>3</v>
      </c>
      <c r="T2285" s="2" t="n">
        <v>1</v>
      </c>
      <c r="U2285" s="2" t="n">
        <v>2</v>
      </c>
      <c r="V2285" s="2" t="n">
        <v>3</v>
      </c>
      <c r="W2285" s="2" t="n">
        <v>1</v>
      </c>
      <c r="X2285" s="2" t="n">
        <v>3</v>
      </c>
      <c r="Y2285" s="2" t="n">
        <v>3</v>
      </c>
      <c r="Z2285" s="2" t="n">
        <v>3</v>
      </c>
    </row>
    <row r="2286" customFormat="false" ht="15" hidden="false" customHeight="true" outlineLevel="0" collapsed="false">
      <c r="A2286" s="2" t="n">
        <v>29</v>
      </c>
      <c r="B2286" s="2" t="s">
        <v>26</v>
      </c>
      <c r="C2286" s="2" t="s">
        <v>34</v>
      </c>
      <c r="D2286" s="2" t="s">
        <v>35</v>
      </c>
      <c r="E2286" s="2" t="n">
        <v>8</v>
      </c>
      <c r="F2286" s="2" t="n">
        <v>1</v>
      </c>
      <c r="G2286" s="2" t="s">
        <v>43</v>
      </c>
      <c r="H2286" s="2" t="n">
        <v>2285</v>
      </c>
      <c r="I2286" s="2" t="s">
        <v>39</v>
      </c>
      <c r="J2286" s="2" t="n">
        <v>1</v>
      </c>
      <c r="K2286" s="2" t="s">
        <v>36</v>
      </c>
      <c r="L2286" s="2" t="s">
        <v>32</v>
      </c>
      <c r="M2286" s="2" t="n">
        <v>40370</v>
      </c>
      <c r="N2286" s="2" t="n">
        <v>0</v>
      </c>
      <c r="O2286" s="2" t="n">
        <v>14</v>
      </c>
      <c r="P2286" s="2" t="n">
        <v>0</v>
      </c>
      <c r="Q2286" s="2" t="n">
        <v>4</v>
      </c>
      <c r="R2286" s="2" t="n">
        <v>2</v>
      </c>
      <c r="S2286" s="2" t="n">
        <v>3</v>
      </c>
      <c r="T2286" s="2" t="n">
        <v>0</v>
      </c>
      <c r="U2286" s="2" t="n">
        <v>2</v>
      </c>
      <c r="V2286" s="2" t="n">
        <v>4</v>
      </c>
      <c r="W2286" s="2" t="n">
        <v>2</v>
      </c>
      <c r="X2286" s="2" t="n">
        <v>3</v>
      </c>
      <c r="Y2286" s="2" t="n">
        <v>1</v>
      </c>
      <c r="Z2286" s="2" t="n">
        <v>3</v>
      </c>
    </row>
    <row r="2287" customFormat="false" ht="15" hidden="false" customHeight="true" outlineLevel="0" collapsed="false">
      <c r="A2287" s="2" t="n">
        <v>28</v>
      </c>
      <c r="B2287" s="2" t="s">
        <v>26</v>
      </c>
      <c r="C2287" s="2" t="s">
        <v>27</v>
      </c>
      <c r="D2287" s="2" t="s">
        <v>35</v>
      </c>
      <c r="E2287" s="2" t="n">
        <v>5</v>
      </c>
      <c r="F2287" s="2" t="n">
        <v>1</v>
      </c>
      <c r="G2287" s="2" t="s">
        <v>51</v>
      </c>
      <c r="H2287" s="2" t="n">
        <v>2286</v>
      </c>
      <c r="I2287" s="2" t="s">
        <v>39</v>
      </c>
      <c r="J2287" s="2" t="n">
        <v>2</v>
      </c>
      <c r="K2287" s="2" t="s">
        <v>45</v>
      </c>
      <c r="L2287" s="2" t="s">
        <v>32</v>
      </c>
      <c r="M2287" s="2" t="n">
        <v>25590</v>
      </c>
      <c r="N2287" s="2" t="n">
        <v>1</v>
      </c>
      <c r="O2287" s="2" t="n">
        <v>11</v>
      </c>
      <c r="P2287" s="2" t="n">
        <v>0</v>
      </c>
      <c r="Q2287" s="2" t="n">
        <v>8</v>
      </c>
      <c r="R2287" s="2" t="n">
        <v>3</v>
      </c>
      <c r="S2287" s="2" t="n">
        <v>8</v>
      </c>
      <c r="T2287" s="2" t="n">
        <v>1</v>
      </c>
      <c r="U2287" s="2" t="n">
        <v>7</v>
      </c>
      <c r="V2287" s="2" t="n">
        <v>3</v>
      </c>
      <c r="W2287" s="2" t="n">
        <v>2</v>
      </c>
      <c r="X2287" s="2" t="n">
        <v>2</v>
      </c>
      <c r="Y2287" s="2" t="n">
        <v>2</v>
      </c>
      <c r="Z2287" s="2" t="n">
        <v>3</v>
      </c>
    </row>
    <row r="2288" customFormat="false" ht="15" hidden="false" customHeight="true" outlineLevel="0" collapsed="false">
      <c r="A2288" s="2" t="n">
        <v>33</v>
      </c>
      <c r="B2288" s="2" t="s">
        <v>26</v>
      </c>
      <c r="C2288" s="2" t="s">
        <v>27</v>
      </c>
      <c r="D2288" s="2" t="s">
        <v>35</v>
      </c>
      <c r="E2288" s="2" t="n">
        <v>15</v>
      </c>
      <c r="F2288" s="2" t="n">
        <v>4</v>
      </c>
      <c r="G2288" s="2" t="s">
        <v>29</v>
      </c>
      <c r="H2288" s="2" t="n">
        <v>2287</v>
      </c>
      <c r="I2288" s="2" t="s">
        <v>30</v>
      </c>
      <c r="J2288" s="2" t="n">
        <v>1</v>
      </c>
      <c r="K2288" s="2" t="s">
        <v>40</v>
      </c>
      <c r="L2288" s="2" t="s">
        <v>37</v>
      </c>
      <c r="M2288" s="2" t="n">
        <v>62010</v>
      </c>
      <c r="N2288" s="2" t="n">
        <v>2</v>
      </c>
      <c r="O2288" s="2" t="n">
        <v>15</v>
      </c>
      <c r="P2288" s="2" t="n">
        <v>3</v>
      </c>
      <c r="Q2288" s="2" t="n">
        <v>14</v>
      </c>
      <c r="R2288" s="2" t="n">
        <v>2</v>
      </c>
      <c r="S2288" s="2" t="n">
        <v>0</v>
      </c>
      <c r="T2288" s="2" t="n">
        <v>0</v>
      </c>
      <c r="U2288" s="2" t="n">
        <v>0</v>
      </c>
      <c r="V2288" s="2" t="n">
        <v>4</v>
      </c>
      <c r="W2288" s="2" t="n">
        <v>3</v>
      </c>
      <c r="X2288" s="2" t="n">
        <v>3</v>
      </c>
      <c r="Y2288" s="2" t="n">
        <v>2</v>
      </c>
      <c r="Z2288" s="2" t="n">
        <v>3</v>
      </c>
    </row>
    <row r="2289" customFormat="false" ht="15" hidden="false" customHeight="true" outlineLevel="0" collapsed="false">
      <c r="A2289" s="2" t="n">
        <v>32</v>
      </c>
      <c r="B2289" s="2" t="s">
        <v>26</v>
      </c>
      <c r="C2289" s="2" t="s">
        <v>27</v>
      </c>
      <c r="D2289" s="2" t="s">
        <v>35</v>
      </c>
      <c r="E2289" s="2" t="n">
        <v>7</v>
      </c>
      <c r="F2289" s="2" t="n">
        <v>3</v>
      </c>
      <c r="G2289" s="2" t="s">
        <v>29</v>
      </c>
      <c r="H2289" s="2" t="n">
        <v>2288</v>
      </c>
      <c r="I2289" s="2" t="s">
        <v>30</v>
      </c>
      <c r="J2289" s="2" t="n">
        <v>3</v>
      </c>
      <c r="K2289" s="2" t="s">
        <v>45</v>
      </c>
      <c r="L2289" s="2" t="s">
        <v>37</v>
      </c>
      <c r="M2289" s="2" t="n">
        <v>44030</v>
      </c>
      <c r="N2289" s="2" t="n">
        <v>2</v>
      </c>
      <c r="O2289" s="2" t="n">
        <v>20</v>
      </c>
      <c r="P2289" s="2" t="n">
        <v>0</v>
      </c>
      <c r="Q2289" s="2" t="n">
        <v>10</v>
      </c>
      <c r="R2289" s="2" t="n">
        <v>3</v>
      </c>
      <c r="S2289" s="2" t="n">
        <v>5</v>
      </c>
      <c r="T2289" s="2" t="n">
        <v>0</v>
      </c>
      <c r="U2289" s="2" t="n">
        <v>0</v>
      </c>
      <c r="V2289" s="2" t="n">
        <v>3</v>
      </c>
      <c r="W2289" s="2" t="n">
        <v>4</v>
      </c>
      <c r="X2289" s="2" t="n">
        <v>4</v>
      </c>
      <c r="Y2289" s="2" t="n">
        <v>2</v>
      </c>
      <c r="Z2289" s="2" t="n">
        <v>4</v>
      </c>
    </row>
    <row r="2290" customFormat="false" ht="15" hidden="false" customHeight="true" outlineLevel="0" collapsed="false">
      <c r="A2290" s="2" t="n">
        <v>54</v>
      </c>
      <c r="B2290" s="2" t="s">
        <v>26</v>
      </c>
      <c r="C2290" s="2" t="s">
        <v>34</v>
      </c>
      <c r="D2290" s="2" t="s">
        <v>28</v>
      </c>
      <c r="E2290" s="2" t="n">
        <v>10</v>
      </c>
      <c r="F2290" s="2" t="n">
        <v>3</v>
      </c>
      <c r="G2290" s="2" t="s">
        <v>29</v>
      </c>
      <c r="H2290" s="2" t="n">
        <v>2289</v>
      </c>
      <c r="I2290" s="2" t="s">
        <v>30</v>
      </c>
      <c r="J2290" s="2" t="n">
        <v>4</v>
      </c>
      <c r="K2290" s="2" t="s">
        <v>36</v>
      </c>
      <c r="L2290" s="2" t="s">
        <v>46</v>
      </c>
      <c r="M2290" s="2" t="n">
        <v>37610</v>
      </c>
      <c r="N2290" s="2" t="n">
        <v>3</v>
      </c>
      <c r="O2290" s="2" t="n">
        <v>12</v>
      </c>
      <c r="P2290" s="2" t="n">
        <v>0</v>
      </c>
      <c r="Q2290" s="2" t="n">
        <v>26</v>
      </c>
      <c r="R2290" s="2" t="n">
        <v>3</v>
      </c>
      <c r="S2290" s="2" t="n">
        <v>14</v>
      </c>
      <c r="T2290" s="2" t="n">
        <v>1</v>
      </c>
      <c r="U2290" s="2" t="n">
        <v>12</v>
      </c>
      <c r="V2290" s="2" t="n">
        <v>2</v>
      </c>
      <c r="W2290" s="2" t="n">
        <v>4</v>
      </c>
      <c r="X2290" s="2" t="n">
        <v>3</v>
      </c>
      <c r="Y2290" s="2" t="n">
        <v>2</v>
      </c>
      <c r="Z2290" s="2" t="n">
        <v>3</v>
      </c>
    </row>
    <row r="2291" customFormat="false" ht="15" hidden="false" customHeight="true" outlineLevel="0" collapsed="false">
      <c r="A2291" s="2" t="n">
        <v>29</v>
      </c>
      <c r="B2291" s="2" t="s">
        <v>33</v>
      </c>
      <c r="C2291" s="2" t="s">
        <v>27</v>
      </c>
      <c r="D2291" s="2" t="s">
        <v>35</v>
      </c>
      <c r="E2291" s="2" t="n">
        <v>5</v>
      </c>
      <c r="F2291" s="2" t="n">
        <v>3</v>
      </c>
      <c r="G2291" s="2" t="s">
        <v>29</v>
      </c>
      <c r="H2291" s="2" t="n">
        <v>2290</v>
      </c>
      <c r="I2291" s="2" t="s">
        <v>30</v>
      </c>
      <c r="J2291" s="2" t="n">
        <v>2</v>
      </c>
      <c r="K2291" s="2" t="s">
        <v>36</v>
      </c>
      <c r="L2291" s="2" t="s">
        <v>37</v>
      </c>
      <c r="M2291" s="2" t="n">
        <v>109340</v>
      </c>
      <c r="N2291" s="2" t="n">
        <v>6</v>
      </c>
      <c r="O2291" s="2" t="n">
        <v>17</v>
      </c>
      <c r="P2291" s="2" t="n">
        <v>2</v>
      </c>
      <c r="Q2291" s="2" t="n">
        <v>11</v>
      </c>
      <c r="R2291" s="2" t="n">
        <v>2</v>
      </c>
      <c r="S2291" s="2" t="n">
        <v>9</v>
      </c>
      <c r="T2291" s="2" t="n">
        <v>0</v>
      </c>
      <c r="U2291" s="2" t="n">
        <v>7</v>
      </c>
      <c r="V2291" s="2" t="n">
        <v>1</v>
      </c>
      <c r="W2291" s="2" t="n">
        <v>1</v>
      </c>
      <c r="X2291" s="2" t="n">
        <v>1</v>
      </c>
      <c r="Y2291" s="2" t="n">
        <v>3</v>
      </c>
      <c r="Z2291" s="2" t="n">
        <v>3</v>
      </c>
    </row>
    <row r="2292" customFormat="false" ht="15" hidden="false" customHeight="true" outlineLevel="0" collapsed="false">
      <c r="A2292" s="2" t="n">
        <v>44</v>
      </c>
      <c r="B2292" s="2" t="s">
        <v>26</v>
      </c>
      <c r="C2292" s="2" t="s">
        <v>27</v>
      </c>
      <c r="D2292" s="2" t="s">
        <v>28</v>
      </c>
      <c r="E2292" s="2" t="n">
        <v>26</v>
      </c>
      <c r="F2292" s="2" t="n">
        <v>1</v>
      </c>
      <c r="G2292" s="2" t="s">
        <v>50</v>
      </c>
      <c r="H2292" s="2" t="n">
        <v>2291</v>
      </c>
      <c r="I2292" s="2" t="s">
        <v>39</v>
      </c>
      <c r="J2292" s="2" t="n">
        <v>1</v>
      </c>
      <c r="K2292" s="2" t="s">
        <v>48</v>
      </c>
      <c r="L2292" s="2" t="s">
        <v>32</v>
      </c>
      <c r="M2292" s="2" t="n">
        <v>107610</v>
      </c>
      <c r="N2292" s="2" t="n">
        <v>3</v>
      </c>
      <c r="O2292" s="2" t="n">
        <v>11</v>
      </c>
      <c r="P2292" s="2" t="n">
        <v>1</v>
      </c>
      <c r="Q2292" s="2" t="n">
        <v>24</v>
      </c>
      <c r="R2292" s="2" t="n">
        <v>5</v>
      </c>
      <c r="S2292" s="2" t="n">
        <v>20</v>
      </c>
      <c r="T2292" s="2" t="n">
        <v>14</v>
      </c>
      <c r="U2292" s="2" t="n">
        <v>17</v>
      </c>
      <c r="V2292" s="2" t="n">
        <v>4</v>
      </c>
      <c r="W2292" s="2" t="n">
        <v>1</v>
      </c>
      <c r="X2292" s="2" t="n">
        <v>4</v>
      </c>
      <c r="Y2292" s="2" t="n">
        <v>2</v>
      </c>
      <c r="Z2292" s="2" t="n">
        <v>3</v>
      </c>
    </row>
    <row r="2293" customFormat="false" ht="15" hidden="false" customHeight="true" outlineLevel="0" collapsed="false">
      <c r="A2293" s="2" t="n">
        <v>39</v>
      </c>
      <c r="B2293" s="2" t="s">
        <v>26</v>
      </c>
      <c r="C2293" s="2" t="s">
        <v>27</v>
      </c>
      <c r="D2293" s="2" t="s">
        <v>28</v>
      </c>
      <c r="E2293" s="2" t="n">
        <v>6</v>
      </c>
      <c r="F2293" s="2" t="n">
        <v>1</v>
      </c>
      <c r="G2293" s="2" t="s">
        <v>51</v>
      </c>
      <c r="H2293" s="2" t="n">
        <v>2292</v>
      </c>
      <c r="I2293" s="2" t="s">
        <v>30</v>
      </c>
      <c r="J2293" s="2" t="n">
        <v>2</v>
      </c>
      <c r="K2293" s="2" t="s">
        <v>45</v>
      </c>
      <c r="L2293" s="2" t="s">
        <v>37</v>
      </c>
      <c r="M2293" s="2" t="n">
        <v>51750</v>
      </c>
      <c r="N2293" s="2" t="n">
        <v>4</v>
      </c>
      <c r="O2293" s="2" t="n">
        <v>17</v>
      </c>
      <c r="P2293" s="2" t="n">
        <v>1</v>
      </c>
      <c r="Q2293" s="2" t="n">
        <v>9</v>
      </c>
      <c r="R2293" s="2" t="n">
        <v>2</v>
      </c>
      <c r="S2293" s="2" t="n">
        <v>2</v>
      </c>
      <c r="T2293" s="2" t="n">
        <v>2</v>
      </c>
      <c r="U2293" s="2" t="n">
        <v>2</v>
      </c>
      <c r="V2293" s="2" t="n">
        <v>2</v>
      </c>
      <c r="W2293" s="2" t="n">
        <v>2</v>
      </c>
      <c r="X2293" s="2" t="n">
        <v>3</v>
      </c>
      <c r="Y2293" s="2" t="n">
        <v>4</v>
      </c>
      <c r="Z2293" s="2" t="n">
        <v>3</v>
      </c>
    </row>
    <row r="2294" customFormat="false" ht="15" hidden="false" customHeight="true" outlineLevel="0" collapsed="false">
      <c r="A2294" s="2" t="n">
        <v>46</v>
      </c>
      <c r="B2294" s="2" t="s">
        <v>26</v>
      </c>
      <c r="C2294" s="2" t="s">
        <v>27</v>
      </c>
      <c r="D2294" s="2" t="s">
        <v>35</v>
      </c>
      <c r="E2294" s="2" t="n">
        <v>4</v>
      </c>
      <c r="F2294" s="2" t="n">
        <v>2</v>
      </c>
      <c r="G2294" s="2" t="s">
        <v>29</v>
      </c>
      <c r="H2294" s="2" t="n">
        <v>2293</v>
      </c>
      <c r="I2294" s="2" t="s">
        <v>39</v>
      </c>
      <c r="J2294" s="2" t="n">
        <v>3</v>
      </c>
      <c r="K2294" s="2" t="s">
        <v>47</v>
      </c>
      <c r="L2294" s="2" t="s">
        <v>32</v>
      </c>
      <c r="M2294" s="2" t="n">
        <v>138260</v>
      </c>
      <c r="N2294" s="2" t="n">
        <v>8</v>
      </c>
      <c r="O2294" s="2" t="n">
        <v>11</v>
      </c>
      <c r="P2294" s="2" t="n">
        <v>0</v>
      </c>
      <c r="Q2294" s="2" t="n">
        <v>23</v>
      </c>
      <c r="R2294" s="2" t="n">
        <v>1</v>
      </c>
      <c r="S2294" s="2" t="n">
        <v>13</v>
      </c>
      <c r="T2294" s="2" t="n">
        <v>5</v>
      </c>
      <c r="U2294" s="2" t="n">
        <v>1</v>
      </c>
      <c r="V2294" s="2" t="n">
        <v>3</v>
      </c>
      <c r="W2294" s="2" t="n">
        <v>2</v>
      </c>
      <c r="X2294" s="2" t="n">
        <v>4</v>
      </c>
      <c r="Y2294" s="2" t="n">
        <v>2</v>
      </c>
      <c r="Z2294" s="2" t="n">
        <v>3</v>
      </c>
    </row>
    <row r="2295" customFormat="false" ht="15" hidden="false" customHeight="true" outlineLevel="0" collapsed="false">
      <c r="A2295" s="2" t="n">
        <v>35</v>
      </c>
      <c r="B2295" s="2" t="s">
        <v>26</v>
      </c>
      <c r="C2295" s="2" t="s">
        <v>27</v>
      </c>
      <c r="D2295" s="2" t="s">
        <v>35</v>
      </c>
      <c r="E2295" s="2" t="n">
        <v>23</v>
      </c>
      <c r="F2295" s="2" t="n">
        <v>4</v>
      </c>
      <c r="G2295" s="2" t="s">
        <v>29</v>
      </c>
      <c r="H2295" s="2" t="n">
        <v>2294</v>
      </c>
      <c r="I2295" s="2" t="s">
        <v>39</v>
      </c>
      <c r="J2295" s="2" t="n">
        <v>2</v>
      </c>
      <c r="K2295" s="2" t="s">
        <v>36</v>
      </c>
      <c r="L2295" s="2" t="s">
        <v>37</v>
      </c>
      <c r="M2295" s="2" t="n">
        <v>63340</v>
      </c>
      <c r="N2295" s="2" t="n">
        <v>1</v>
      </c>
      <c r="O2295" s="2" t="n">
        <v>14</v>
      </c>
      <c r="P2295" s="2" t="n">
        <v>0</v>
      </c>
      <c r="Q2295" s="2" t="n">
        <v>11</v>
      </c>
      <c r="R2295" s="2" t="n">
        <v>2</v>
      </c>
      <c r="S2295" s="2" t="n">
        <v>11</v>
      </c>
      <c r="T2295" s="2" t="n">
        <v>3</v>
      </c>
      <c r="U2295" s="2" t="n">
        <v>3</v>
      </c>
      <c r="V2295" s="2" t="n">
        <v>4</v>
      </c>
      <c r="W2295" s="2" t="n">
        <v>2</v>
      </c>
      <c r="X2295" s="2" t="n">
        <v>1</v>
      </c>
      <c r="Y2295" s="2" t="n">
        <v>4</v>
      </c>
      <c r="Z2295" s="2" t="n">
        <v>3</v>
      </c>
    </row>
    <row r="2296" customFormat="false" ht="15" hidden="false" customHeight="true" outlineLevel="0" collapsed="false">
      <c r="A2296" s="2" t="n">
        <v>23</v>
      </c>
      <c r="B2296" s="2" t="s">
        <v>26</v>
      </c>
      <c r="C2296" s="2" t="s">
        <v>27</v>
      </c>
      <c r="D2296" s="2" t="s">
        <v>35</v>
      </c>
      <c r="E2296" s="2" t="n">
        <v>2</v>
      </c>
      <c r="F2296" s="2" t="n">
        <v>4</v>
      </c>
      <c r="G2296" s="2" t="s">
        <v>43</v>
      </c>
      <c r="H2296" s="2" t="n">
        <v>2295</v>
      </c>
      <c r="I2296" s="2" t="s">
        <v>30</v>
      </c>
      <c r="J2296" s="2" t="n">
        <v>2</v>
      </c>
      <c r="K2296" s="2" t="s">
        <v>49</v>
      </c>
      <c r="L2296" s="2" t="s">
        <v>37</v>
      </c>
      <c r="M2296" s="2" t="n">
        <v>49360</v>
      </c>
      <c r="N2296" s="2" t="n">
        <v>0</v>
      </c>
      <c r="O2296" s="2" t="n">
        <v>19</v>
      </c>
      <c r="P2296" s="2" t="n">
        <v>1</v>
      </c>
      <c r="Q2296" s="2" t="n">
        <v>5</v>
      </c>
      <c r="R2296" s="2" t="n">
        <v>2</v>
      </c>
      <c r="S2296" s="2" t="n">
        <v>4</v>
      </c>
      <c r="T2296" s="2" t="n">
        <v>1</v>
      </c>
      <c r="U2296" s="2" t="n">
        <v>2</v>
      </c>
      <c r="V2296" s="2" t="n">
        <v>1</v>
      </c>
      <c r="W2296" s="2" t="n">
        <v>3</v>
      </c>
      <c r="X2296" s="2" t="n">
        <v>3</v>
      </c>
      <c r="Y2296" s="2" t="n">
        <v>2</v>
      </c>
      <c r="Z2296" s="2" t="n">
        <v>3</v>
      </c>
    </row>
    <row r="2297" customFormat="false" ht="15" hidden="false" customHeight="true" outlineLevel="0" collapsed="false">
      <c r="A2297" s="2" t="n">
        <v>40</v>
      </c>
      <c r="B2297" s="2" t="s">
        <v>33</v>
      </c>
      <c r="C2297" s="2" t="s">
        <v>27</v>
      </c>
      <c r="D2297" s="2" t="s">
        <v>35</v>
      </c>
      <c r="E2297" s="2" t="n">
        <v>2</v>
      </c>
      <c r="F2297" s="2" t="n">
        <v>3</v>
      </c>
      <c r="G2297" s="2" t="s">
        <v>43</v>
      </c>
      <c r="H2297" s="2" t="n">
        <v>2296</v>
      </c>
      <c r="I2297" s="2" t="s">
        <v>39</v>
      </c>
      <c r="J2297" s="2" t="n">
        <v>2</v>
      </c>
      <c r="K2297" s="2" t="s">
        <v>44</v>
      </c>
      <c r="L2297" s="2" t="s">
        <v>37</v>
      </c>
      <c r="M2297" s="2" t="n">
        <v>47750</v>
      </c>
      <c r="N2297" s="2" t="n">
        <v>3</v>
      </c>
      <c r="O2297" s="2" t="n">
        <v>15</v>
      </c>
      <c r="P2297" s="2" t="n">
        <v>1</v>
      </c>
      <c r="Q2297" s="2" t="n">
        <v>15</v>
      </c>
      <c r="R2297" s="2" t="n">
        <v>3</v>
      </c>
      <c r="S2297" s="2" t="n">
        <v>5</v>
      </c>
      <c r="T2297" s="2" t="n">
        <v>1</v>
      </c>
      <c r="U2297" s="2" t="n">
        <v>0</v>
      </c>
      <c r="V2297" s="2" t="n">
        <v>4</v>
      </c>
      <c r="W2297" s="2" t="n">
        <v>1</v>
      </c>
      <c r="X2297" s="2" t="n">
        <v>1</v>
      </c>
      <c r="Y2297" s="2" t="n">
        <v>4</v>
      </c>
      <c r="Z2297" s="2" t="n">
        <v>3</v>
      </c>
    </row>
    <row r="2298" customFormat="false" ht="15" hidden="false" customHeight="true" outlineLevel="0" collapsed="false">
      <c r="A2298" s="2" t="n">
        <v>34</v>
      </c>
      <c r="B2298" s="2" t="s">
        <v>26</v>
      </c>
      <c r="C2298" s="2" t="s">
        <v>27</v>
      </c>
      <c r="D2298" s="2" t="s">
        <v>42</v>
      </c>
      <c r="E2298" s="2" t="n">
        <v>2</v>
      </c>
      <c r="F2298" s="2" t="n">
        <v>3</v>
      </c>
      <c r="G2298" s="2" t="s">
        <v>42</v>
      </c>
      <c r="H2298" s="2" t="n">
        <v>2297</v>
      </c>
      <c r="I2298" s="2" t="s">
        <v>39</v>
      </c>
      <c r="J2298" s="2" t="n">
        <v>2</v>
      </c>
      <c r="K2298" s="2" t="s">
        <v>47</v>
      </c>
      <c r="L2298" s="2" t="s">
        <v>32</v>
      </c>
      <c r="M2298" s="2" t="n">
        <v>28180</v>
      </c>
      <c r="N2298" s="2" t="n">
        <v>1</v>
      </c>
      <c r="O2298" s="2" t="n">
        <v>13</v>
      </c>
      <c r="P2298" s="2" t="n">
        <v>1</v>
      </c>
      <c r="Q2298" s="2" t="n">
        <v>10</v>
      </c>
      <c r="R2298" s="2" t="n">
        <v>2</v>
      </c>
      <c r="S2298" s="2" t="n">
        <v>10</v>
      </c>
      <c r="T2298" s="2" t="n">
        <v>8</v>
      </c>
      <c r="U2298" s="2" t="n">
        <v>6</v>
      </c>
      <c r="V2298" s="2" t="n">
        <v>4</v>
      </c>
      <c r="W2298" s="2" t="n">
        <v>3</v>
      </c>
      <c r="X2298" s="2" t="n">
        <v>3</v>
      </c>
      <c r="Y2298" s="2" t="n">
        <v>3</v>
      </c>
      <c r="Z2298" s="2" t="n">
        <v>3</v>
      </c>
    </row>
    <row r="2299" customFormat="false" ht="15" hidden="false" customHeight="true" outlineLevel="0" collapsed="false">
      <c r="A2299" s="2" t="n">
        <v>31</v>
      </c>
      <c r="B2299" s="2" t="s">
        <v>33</v>
      </c>
      <c r="C2299" s="2" t="s">
        <v>34</v>
      </c>
      <c r="D2299" s="2" t="s">
        <v>35</v>
      </c>
      <c r="E2299" s="2" t="n">
        <v>29</v>
      </c>
      <c r="F2299" s="2" t="n">
        <v>3</v>
      </c>
      <c r="G2299" s="2" t="s">
        <v>29</v>
      </c>
      <c r="H2299" s="2" t="n">
        <v>2298</v>
      </c>
      <c r="I2299" s="2" t="s">
        <v>30</v>
      </c>
      <c r="J2299" s="2" t="n">
        <v>2</v>
      </c>
      <c r="K2299" s="2" t="s">
        <v>31</v>
      </c>
      <c r="L2299" s="2" t="s">
        <v>37</v>
      </c>
      <c r="M2299" s="2" t="n">
        <v>25150</v>
      </c>
      <c r="N2299" s="2" t="n">
        <v>1</v>
      </c>
      <c r="O2299" s="2" t="n">
        <v>14</v>
      </c>
      <c r="P2299" s="2" t="n">
        <v>0</v>
      </c>
      <c r="Q2299" s="2" t="n">
        <v>7</v>
      </c>
      <c r="R2299" s="2" t="n">
        <v>3</v>
      </c>
      <c r="S2299" s="2" t="n">
        <v>7</v>
      </c>
      <c r="T2299" s="2" t="n">
        <v>7</v>
      </c>
      <c r="U2299" s="2" t="n">
        <v>7</v>
      </c>
      <c r="V2299" s="2" t="n">
        <v>4</v>
      </c>
      <c r="W2299" s="2" t="n">
        <v>3</v>
      </c>
      <c r="X2299" s="2" t="n">
        <v>1</v>
      </c>
      <c r="Y2299" s="2" t="n">
        <v>2</v>
      </c>
      <c r="Z2299" s="2" t="n">
        <v>3</v>
      </c>
    </row>
    <row r="2300" customFormat="false" ht="15" hidden="false" customHeight="true" outlineLevel="0" collapsed="false">
      <c r="A2300" s="2" t="n">
        <v>50</v>
      </c>
      <c r="B2300" s="2" t="s">
        <v>26</v>
      </c>
      <c r="C2300" s="2" t="s">
        <v>34</v>
      </c>
      <c r="D2300" s="2" t="s">
        <v>35</v>
      </c>
      <c r="E2300" s="2" t="n">
        <v>6</v>
      </c>
      <c r="F2300" s="2" t="n">
        <v>3</v>
      </c>
      <c r="G2300" s="2" t="s">
        <v>43</v>
      </c>
      <c r="H2300" s="2" t="n">
        <v>2299</v>
      </c>
      <c r="I2300" s="2" t="s">
        <v>39</v>
      </c>
      <c r="J2300" s="2" t="n">
        <v>1</v>
      </c>
      <c r="K2300" s="2" t="s">
        <v>49</v>
      </c>
      <c r="L2300" s="2" t="s">
        <v>37</v>
      </c>
      <c r="M2300" s="2" t="n">
        <v>23420</v>
      </c>
      <c r="N2300" s="2" t="n">
        <v>1</v>
      </c>
      <c r="O2300" s="2" t="n">
        <v>12</v>
      </c>
      <c r="P2300" s="2" t="n">
        <v>1</v>
      </c>
      <c r="Q2300" s="2" t="n">
        <v>32</v>
      </c>
      <c r="R2300" s="2" t="n">
        <v>2</v>
      </c>
      <c r="S2300" s="2" t="n">
        <v>32</v>
      </c>
      <c r="T2300" s="2" t="n">
        <v>13</v>
      </c>
      <c r="U2300" s="2" t="n">
        <v>9</v>
      </c>
      <c r="V2300" s="2" t="n">
        <v>3</v>
      </c>
      <c r="W2300" s="2" t="n">
        <v>4</v>
      </c>
      <c r="X2300" s="2" t="n">
        <v>3</v>
      </c>
      <c r="Y2300" s="2" t="n">
        <v>2</v>
      </c>
      <c r="Z2300" s="2" t="n">
        <v>3</v>
      </c>
    </row>
    <row r="2301" customFormat="false" ht="15" hidden="false" customHeight="true" outlineLevel="0" collapsed="false">
      <c r="A2301" s="2" t="n">
        <v>34</v>
      </c>
      <c r="B2301" s="2" t="s">
        <v>26</v>
      </c>
      <c r="C2301" s="2" t="s">
        <v>27</v>
      </c>
      <c r="D2301" s="2" t="s">
        <v>28</v>
      </c>
      <c r="E2301" s="2" t="n">
        <v>25</v>
      </c>
      <c r="F2301" s="2" t="n">
        <v>5</v>
      </c>
      <c r="G2301" s="2" t="s">
        <v>50</v>
      </c>
      <c r="H2301" s="2" t="n">
        <v>2300</v>
      </c>
      <c r="I2301" s="2" t="s">
        <v>30</v>
      </c>
      <c r="J2301" s="2" t="n">
        <v>1</v>
      </c>
      <c r="K2301" s="2" t="s">
        <v>36</v>
      </c>
      <c r="L2301" s="2" t="s">
        <v>32</v>
      </c>
      <c r="M2301" s="2" t="n">
        <v>41940</v>
      </c>
      <c r="N2301" s="2" t="n">
        <v>0</v>
      </c>
      <c r="O2301" s="2" t="n">
        <v>17</v>
      </c>
      <c r="P2301" s="2" t="n">
        <v>2</v>
      </c>
      <c r="Q2301" s="2" t="n">
        <v>12</v>
      </c>
      <c r="R2301" s="2" t="n">
        <v>3</v>
      </c>
      <c r="S2301" s="2" t="n">
        <v>11</v>
      </c>
      <c r="T2301" s="2" t="n">
        <v>5</v>
      </c>
      <c r="U2301" s="2" t="n">
        <v>7</v>
      </c>
      <c r="V2301" s="2" t="n">
        <v>2</v>
      </c>
      <c r="W2301" s="2" t="n">
        <v>3</v>
      </c>
      <c r="X2301" s="2" t="n">
        <v>3</v>
      </c>
      <c r="Y2301" s="2" t="n">
        <v>3</v>
      </c>
      <c r="Z2301" s="2" t="n">
        <v>3</v>
      </c>
    </row>
    <row r="2302" customFormat="false" ht="15" hidden="false" customHeight="true" outlineLevel="0" collapsed="false">
      <c r="A2302" s="2" t="n">
        <v>42</v>
      </c>
      <c r="B2302" s="2" t="s">
        <v>26</v>
      </c>
      <c r="C2302" s="2" t="s">
        <v>27</v>
      </c>
      <c r="D2302" s="2" t="s">
        <v>35</v>
      </c>
      <c r="E2302" s="2" t="n">
        <v>1</v>
      </c>
      <c r="F2302" s="2" t="n">
        <v>3</v>
      </c>
      <c r="G2302" s="2" t="s">
        <v>29</v>
      </c>
      <c r="H2302" s="2" t="n">
        <v>2301</v>
      </c>
      <c r="I2302" s="2" t="s">
        <v>30</v>
      </c>
      <c r="J2302" s="2" t="n">
        <v>1</v>
      </c>
      <c r="K2302" s="2" t="s">
        <v>47</v>
      </c>
      <c r="L2302" s="2" t="s">
        <v>32</v>
      </c>
      <c r="M2302" s="2" t="n">
        <v>106850</v>
      </c>
      <c r="N2302" s="2" t="n">
        <v>4</v>
      </c>
      <c r="O2302" s="2" t="n">
        <v>11</v>
      </c>
      <c r="P2302" s="2" t="n">
        <v>3</v>
      </c>
      <c r="Q2302" s="2" t="n">
        <v>4</v>
      </c>
      <c r="R2302" s="2" t="n">
        <v>2</v>
      </c>
      <c r="S2302" s="2" t="n">
        <v>1</v>
      </c>
      <c r="T2302" s="2" t="n">
        <v>0</v>
      </c>
      <c r="U2302" s="2" t="n">
        <v>0</v>
      </c>
      <c r="V2302" s="2" t="n">
        <v>3</v>
      </c>
      <c r="W2302" s="2" t="n">
        <v>2</v>
      </c>
      <c r="X2302" s="2" t="n">
        <v>3</v>
      </c>
      <c r="Y2302" s="2" t="n">
        <v>3</v>
      </c>
      <c r="Z2302" s="2" t="n">
        <v>3</v>
      </c>
    </row>
    <row r="2303" customFormat="false" ht="15" hidden="false" customHeight="true" outlineLevel="0" collapsed="false">
      <c r="A2303" s="2" t="n">
        <v>37</v>
      </c>
      <c r="B2303" s="2" t="s">
        <v>26</v>
      </c>
      <c r="C2303" s="2" t="s">
        <v>27</v>
      </c>
      <c r="D2303" s="2" t="s">
        <v>35</v>
      </c>
      <c r="E2303" s="2" t="n">
        <v>2</v>
      </c>
      <c r="F2303" s="2" t="n">
        <v>2</v>
      </c>
      <c r="G2303" s="2" t="s">
        <v>43</v>
      </c>
      <c r="H2303" s="2" t="n">
        <v>2302</v>
      </c>
      <c r="I2303" s="2" t="s">
        <v>39</v>
      </c>
      <c r="J2303" s="2" t="n">
        <v>1</v>
      </c>
      <c r="K2303" s="2" t="s">
        <v>36</v>
      </c>
      <c r="L2303" s="2" t="s">
        <v>32</v>
      </c>
      <c r="M2303" s="2" t="n">
        <v>20220</v>
      </c>
      <c r="N2303" s="2" t="n">
        <v>1</v>
      </c>
      <c r="O2303" s="2" t="n">
        <v>12</v>
      </c>
      <c r="P2303" s="2" t="n">
        <v>0</v>
      </c>
      <c r="Q2303" s="2" t="n">
        <v>10</v>
      </c>
      <c r="R2303" s="2" t="n">
        <v>1</v>
      </c>
      <c r="S2303" s="2" t="n">
        <v>10</v>
      </c>
      <c r="T2303" s="2" t="n">
        <v>3</v>
      </c>
      <c r="U2303" s="2" t="n">
        <v>7</v>
      </c>
      <c r="V2303" s="2" t="n">
        <v>1</v>
      </c>
      <c r="W2303" s="2" t="n">
        <v>4</v>
      </c>
      <c r="X2303" s="2" t="n">
        <v>3</v>
      </c>
      <c r="Y2303" s="2" t="n">
        <v>3</v>
      </c>
      <c r="Z2303" s="2" t="n">
        <v>3</v>
      </c>
    </row>
    <row r="2304" customFormat="false" ht="15" hidden="false" customHeight="true" outlineLevel="0" collapsed="false">
      <c r="A2304" s="2" t="n">
        <v>29</v>
      </c>
      <c r="B2304" s="2" t="s">
        <v>26</v>
      </c>
      <c r="C2304" s="2" t="s">
        <v>27</v>
      </c>
      <c r="D2304" s="2" t="s">
        <v>35</v>
      </c>
      <c r="E2304" s="2" t="n">
        <v>1</v>
      </c>
      <c r="F2304" s="2" t="n">
        <v>3</v>
      </c>
      <c r="G2304" s="2" t="s">
        <v>43</v>
      </c>
      <c r="H2304" s="2" t="n">
        <v>2303</v>
      </c>
      <c r="I2304" s="2" t="s">
        <v>30</v>
      </c>
      <c r="J2304" s="2" t="n">
        <v>1</v>
      </c>
      <c r="K2304" s="2" t="s">
        <v>49</v>
      </c>
      <c r="L2304" s="2" t="s">
        <v>32</v>
      </c>
      <c r="M2304" s="2" t="n">
        <v>23140</v>
      </c>
      <c r="N2304" s="2" t="n">
        <v>3</v>
      </c>
      <c r="O2304" s="2" t="n">
        <v>13</v>
      </c>
      <c r="P2304" s="2" t="n">
        <v>0</v>
      </c>
      <c r="Q2304" s="2" t="n">
        <v>9</v>
      </c>
      <c r="R2304" s="2" t="n">
        <v>5</v>
      </c>
      <c r="S2304" s="2" t="n">
        <v>7</v>
      </c>
      <c r="T2304" s="2" t="n">
        <v>0</v>
      </c>
      <c r="U2304" s="2" t="n">
        <v>7</v>
      </c>
      <c r="V2304" s="2" t="n">
        <v>3</v>
      </c>
      <c r="W2304" s="2" t="n">
        <v>1</v>
      </c>
      <c r="X2304" s="2" t="n">
        <v>3</v>
      </c>
      <c r="Y2304" s="2" t="n">
        <v>4</v>
      </c>
      <c r="Z2304" s="2" t="n">
        <v>3</v>
      </c>
    </row>
    <row r="2305" customFormat="false" ht="15" hidden="false" customHeight="true" outlineLevel="0" collapsed="false">
      <c r="A2305" s="2" t="n">
        <v>33</v>
      </c>
      <c r="B2305" s="2" t="s">
        <v>26</v>
      </c>
      <c r="C2305" s="2" t="s">
        <v>27</v>
      </c>
      <c r="D2305" s="2" t="s">
        <v>35</v>
      </c>
      <c r="E2305" s="2" t="n">
        <v>1</v>
      </c>
      <c r="F2305" s="2" t="n">
        <v>1</v>
      </c>
      <c r="G2305" s="2" t="s">
        <v>29</v>
      </c>
      <c r="H2305" s="2" t="n">
        <v>2304</v>
      </c>
      <c r="I2305" s="2" t="s">
        <v>39</v>
      </c>
      <c r="J2305" s="2" t="n">
        <v>1</v>
      </c>
      <c r="K2305" s="2" t="s">
        <v>36</v>
      </c>
      <c r="L2305" s="2" t="s">
        <v>37</v>
      </c>
      <c r="M2305" s="2" t="n">
        <v>42560</v>
      </c>
      <c r="N2305" s="2" t="n">
        <v>1</v>
      </c>
      <c r="O2305" s="2" t="n">
        <v>13</v>
      </c>
      <c r="P2305" s="2" t="n">
        <v>3</v>
      </c>
      <c r="Q2305" s="2" t="n">
        <v>5</v>
      </c>
      <c r="R2305" s="2" t="n">
        <v>1</v>
      </c>
      <c r="S2305" s="2" t="n">
        <v>5</v>
      </c>
      <c r="T2305" s="2" t="n">
        <v>0</v>
      </c>
      <c r="U2305" s="2" t="n">
        <v>2</v>
      </c>
      <c r="V2305" s="2" t="n">
        <v>4</v>
      </c>
      <c r="W2305" s="2" t="n">
        <v>2</v>
      </c>
      <c r="X2305" s="2" t="n">
        <v>3</v>
      </c>
      <c r="Y2305" s="2" t="n">
        <v>3</v>
      </c>
      <c r="Z2305" s="2" t="n">
        <v>3</v>
      </c>
    </row>
    <row r="2306" customFormat="false" ht="15" hidden="false" customHeight="true" outlineLevel="0" collapsed="false">
      <c r="A2306" s="2" t="n">
        <v>45</v>
      </c>
      <c r="B2306" s="2" t="s">
        <v>26</v>
      </c>
      <c r="C2306" s="2" t="s">
        <v>27</v>
      </c>
      <c r="D2306" s="2" t="s">
        <v>28</v>
      </c>
      <c r="E2306" s="2" t="n">
        <v>3</v>
      </c>
      <c r="F2306" s="2" t="n">
        <v>3</v>
      </c>
      <c r="G2306" s="2" t="s">
        <v>29</v>
      </c>
      <c r="H2306" s="2" t="n">
        <v>2305</v>
      </c>
      <c r="I2306" s="2" t="s">
        <v>39</v>
      </c>
      <c r="J2306" s="2" t="n">
        <v>3</v>
      </c>
      <c r="K2306" s="2" t="s">
        <v>45</v>
      </c>
      <c r="L2306" s="2" t="s">
        <v>32</v>
      </c>
      <c r="M2306" s="2" t="n">
        <v>35800</v>
      </c>
      <c r="N2306" s="2" t="n">
        <v>4</v>
      </c>
      <c r="O2306" s="2" t="n">
        <v>20</v>
      </c>
      <c r="P2306" s="2" t="n">
        <v>1</v>
      </c>
      <c r="Q2306" s="2" t="n">
        <v>8</v>
      </c>
      <c r="R2306" s="2" t="n">
        <v>1</v>
      </c>
      <c r="S2306" s="2" t="n">
        <v>5</v>
      </c>
      <c r="T2306" s="2" t="n">
        <v>0</v>
      </c>
      <c r="U2306" s="2" t="n">
        <v>3</v>
      </c>
      <c r="V2306" s="2" t="n">
        <v>4</v>
      </c>
      <c r="W2306" s="2" t="n">
        <v>4</v>
      </c>
      <c r="X2306" s="2" t="n">
        <v>3</v>
      </c>
      <c r="Y2306" s="2" t="n">
        <v>2</v>
      </c>
      <c r="Z2306" s="2" t="n">
        <v>4</v>
      </c>
    </row>
    <row r="2307" customFormat="false" ht="15" hidden="false" customHeight="true" outlineLevel="0" collapsed="false">
      <c r="A2307" s="2" t="n">
        <v>42</v>
      </c>
      <c r="B2307" s="2" t="s">
        <v>26</v>
      </c>
      <c r="C2307" s="2" t="s">
        <v>34</v>
      </c>
      <c r="D2307" s="2" t="s">
        <v>42</v>
      </c>
      <c r="E2307" s="2" t="n">
        <v>1</v>
      </c>
      <c r="F2307" s="2" t="n">
        <v>4</v>
      </c>
      <c r="G2307" s="2" t="s">
        <v>51</v>
      </c>
      <c r="H2307" s="2" t="n">
        <v>2306</v>
      </c>
      <c r="I2307" s="2" t="s">
        <v>39</v>
      </c>
      <c r="J2307" s="2" t="n">
        <v>2</v>
      </c>
      <c r="K2307" s="2" t="s">
        <v>47</v>
      </c>
      <c r="L2307" s="2" t="s">
        <v>32</v>
      </c>
      <c r="M2307" s="2" t="n">
        <v>31620</v>
      </c>
      <c r="N2307" s="2" t="n">
        <v>2</v>
      </c>
      <c r="O2307" s="2" t="n">
        <v>17</v>
      </c>
      <c r="P2307" s="2" t="n">
        <v>2</v>
      </c>
      <c r="Q2307" s="2" t="n">
        <v>24</v>
      </c>
      <c r="R2307" s="2" t="n">
        <v>1</v>
      </c>
      <c r="S2307" s="2" t="n">
        <v>20</v>
      </c>
      <c r="T2307" s="2" t="n">
        <v>13</v>
      </c>
      <c r="U2307" s="2" t="n">
        <v>9</v>
      </c>
      <c r="V2307" s="2" t="n">
        <v>4</v>
      </c>
      <c r="W2307" s="2" t="n">
        <v>4</v>
      </c>
      <c r="X2307" s="2" t="n">
        <v>1</v>
      </c>
      <c r="Y2307" s="2" t="n">
        <v>3</v>
      </c>
      <c r="Z2307" s="2" t="n">
        <v>3</v>
      </c>
    </row>
    <row r="2308" customFormat="false" ht="15" hidden="false" customHeight="true" outlineLevel="0" collapsed="false">
      <c r="A2308" s="2" t="n">
        <v>40</v>
      </c>
      <c r="B2308" s="2" t="s">
        <v>26</v>
      </c>
      <c r="C2308" s="2" t="s">
        <v>27</v>
      </c>
      <c r="D2308" s="2" t="s">
        <v>28</v>
      </c>
      <c r="E2308" s="2" t="n">
        <v>10</v>
      </c>
      <c r="F2308" s="2" t="n">
        <v>1</v>
      </c>
      <c r="G2308" s="2" t="s">
        <v>29</v>
      </c>
      <c r="H2308" s="2" t="n">
        <v>2307</v>
      </c>
      <c r="I2308" s="2" t="s">
        <v>30</v>
      </c>
      <c r="J2308" s="2" t="n">
        <v>1</v>
      </c>
      <c r="K2308" s="2" t="s">
        <v>47</v>
      </c>
      <c r="L2308" s="2" t="s">
        <v>32</v>
      </c>
      <c r="M2308" s="2" t="n">
        <v>65240</v>
      </c>
      <c r="N2308" s="2" t="n">
        <v>0</v>
      </c>
      <c r="O2308" s="2" t="n">
        <v>13</v>
      </c>
      <c r="P2308" s="2" t="n">
        <v>1</v>
      </c>
      <c r="Q2308" s="2" t="n">
        <v>9</v>
      </c>
      <c r="R2308" s="2" t="n">
        <v>2</v>
      </c>
      <c r="S2308" s="2" t="n">
        <v>8</v>
      </c>
      <c r="T2308" s="2" t="n">
        <v>7</v>
      </c>
      <c r="U2308" s="2" t="n">
        <v>1</v>
      </c>
      <c r="V2308" s="2" t="n">
        <v>1</v>
      </c>
      <c r="W2308" s="2" t="n">
        <v>1</v>
      </c>
      <c r="X2308" s="2" t="n">
        <v>4</v>
      </c>
      <c r="Y2308" s="2" t="n">
        <v>4</v>
      </c>
      <c r="Z2308" s="2" t="n">
        <v>3</v>
      </c>
    </row>
    <row r="2309" customFormat="false" ht="15" hidden="false" customHeight="true" outlineLevel="0" collapsed="false">
      <c r="A2309" s="2" t="n">
        <v>33</v>
      </c>
      <c r="B2309" s="2" t="s">
        <v>26</v>
      </c>
      <c r="C2309" s="2" t="s">
        <v>27</v>
      </c>
      <c r="D2309" s="2" t="s">
        <v>35</v>
      </c>
      <c r="E2309" s="2" t="n">
        <v>9</v>
      </c>
      <c r="F2309" s="2" t="n">
        <v>3</v>
      </c>
      <c r="G2309" s="2" t="s">
        <v>43</v>
      </c>
      <c r="H2309" s="2" t="n">
        <v>2308</v>
      </c>
      <c r="I2309" s="2" t="s">
        <v>30</v>
      </c>
      <c r="J2309" s="2" t="n">
        <v>2</v>
      </c>
      <c r="K2309" s="2" t="s">
        <v>47</v>
      </c>
      <c r="L2309" s="2" t="s">
        <v>32</v>
      </c>
      <c r="M2309" s="2" t="n">
        <v>28990</v>
      </c>
      <c r="N2309" s="2" t="n">
        <v>1</v>
      </c>
      <c r="O2309" s="2" t="n">
        <v>17</v>
      </c>
      <c r="P2309" s="2" t="n">
        <v>0</v>
      </c>
      <c r="Q2309" s="2" t="n">
        <v>15</v>
      </c>
      <c r="R2309" s="2" t="n">
        <v>3</v>
      </c>
      <c r="S2309" s="2" t="n">
        <v>15</v>
      </c>
      <c r="T2309" s="2" t="n">
        <v>5</v>
      </c>
      <c r="U2309" s="2" t="n">
        <v>7</v>
      </c>
      <c r="V2309" s="2" t="n">
        <v>2</v>
      </c>
      <c r="W2309" s="2" t="n">
        <v>3</v>
      </c>
      <c r="X2309" s="2" t="n">
        <v>3</v>
      </c>
      <c r="Y2309" s="2" t="n">
        <v>2</v>
      </c>
      <c r="Z2309" s="2" t="n">
        <v>3</v>
      </c>
    </row>
    <row r="2310" customFormat="false" ht="15" hidden="false" customHeight="true" outlineLevel="0" collapsed="false">
      <c r="A2310" s="2" t="n">
        <v>40</v>
      </c>
      <c r="B2310" s="2" t="s">
        <v>26</v>
      </c>
      <c r="C2310" s="2" t="s">
        <v>27</v>
      </c>
      <c r="D2310" s="2" t="s">
        <v>28</v>
      </c>
      <c r="E2310" s="2" t="n">
        <v>5</v>
      </c>
      <c r="F2310" s="2" t="n">
        <v>5</v>
      </c>
      <c r="G2310" s="2" t="s">
        <v>29</v>
      </c>
      <c r="H2310" s="2" t="n">
        <v>2309</v>
      </c>
      <c r="I2310" s="2" t="s">
        <v>39</v>
      </c>
      <c r="J2310" s="2" t="n">
        <v>1</v>
      </c>
      <c r="K2310" s="2" t="s">
        <v>47</v>
      </c>
      <c r="L2310" s="2" t="s">
        <v>37</v>
      </c>
      <c r="M2310" s="2" t="n">
        <v>52310</v>
      </c>
      <c r="N2310" s="2" t="n">
        <v>1</v>
      </c>
      <c r="O2310" s="2" t="n">
        <v>12</v>
      </c>
      <c r="P2310" s="2" t="n">
        <v>2</v>
      </c>
      <c r="Q2310" s="2" t="n">
        <v>21</v>
      </c>
      <c r="R2310" s="2" t="n">
        <v>4</v>
      </c>
      <c r="S2310" s="2" t="n">
        <v>21</v>
      </c>
      <c r="T2310" s="2" t="n">
        <v>7</v>
      </c>
      <c r="U2310" s="2" t="n">
        <v>7</v>
      </c>
      <c r="V2310" s="2" t="n">
        <v>3</v>
      </c>
      <c r="W2310" s="2" t="n">
        <v>4</v>
      </c>
      <c r="X2310" s="2" t="n">
        <v>3</v>
      </c>
      <c r="Y2310" s="2" t="n">
        <v>3</v>
      </c>
      <c r="Z2310" s="2" t="n">
        <v>3</v>
      </c>
    </row>
    <row r="2311" customFormat="false" ht="15" hidden="false" customHeight="true" outlineLevel="0" collapsed="false">
      <c r="A2311" s="2" t="n">
        <v>24</v>
      </c>
      <c r="B2311" s="2" t="s">
        <v>26</v>
      </c>
      <c r="C2311" s="2" t="s">
        <v>27</v>
      </c>
      <c r="D2311" s="2" t="s">
        <v>28</v>
      </c>
      <c r="E2311" s="2" t="n">
        <v>10</v>
      </c>
      <c r="F2311" s="2" t="n">
        <v>2</v>
      </c>
      <c r="G2311" s="2" t="s">
        <v>50</v>
      </c>
      <c r="H2311" s="2" t="n">
        <v>2310</v>
      </c>
      <c r="I2311" s="2" t="s">
        <v>39</v>
      </c>
      <c r="J2311" s="2" t="n">
        <v>1</v>
      </c>
      <c r="K2311" s="2" t="s">
        <v>47</v>
      </c>
      <c r="L2311" s="2" t="s">
        <v>46</v>
      </c>
      <c r="M2311" s="2" t="n">
        <v>23560</v>
      </c>
      <c r="N2311" s="2" t="n">
        <v>0</v>
      </c>
      <c r="O2311" s="2" t="n">
        <v>13</v>
      </c>
      <c r="P2311" s="2" t="n">
        <v>0</v>
      </c>
      <c r="Q2311" s="2" t="n">
        <v>2</v>
      </c>
      <c r="R2311" s="2" t="n">
        <v>5</v>
      </c>
      <c r="S2311" s="2" t="n">
        <v>1</v>
      </c>
      <c r="T2311" s="2" t="n">
        <v>0</v>
      </c>
      <c r="U2311" s="2" t="n">
        <v>0</v>
      </c>
      <c r="V2311" s="2" t="n">
        <v>3</v>
      </c>
      <c r="W2311" s="2" t="n">
        <v>1</v>
      </c>
      <c r="X2311" s="2" t="n">
        <v>3</v>
      </c>
      <c r="Y2311" s="2" t="n">
        <v>3</v>
      </c>
      <c r="Z2311" s="2" t="n">
        <v>3</v>
      </c>
    </row>
    <row r="2312" customFormat="false" ht="15" hidden="false" customHeight="true" outlineLevel="0" collapsed="false">
      <c r="A2312" s="2" t="n">
        <v>40</v>
      </c>
      <c r="B2312" s="2" t="s">
        <v>26</v>
      </c>
      <c r="C2312" s="2" t="s">
        <v>41</v>
      </c>
      <c r="D2312" s="2" t="s">
        <v>35</v>
      </c>
      <c r="E2312" s="2" t="n">
        <v>7</v>
      </c>
      <c r="F2312" s="2" t="n">
        <v>3</v>
      </c>
      <c r="G2312" s="2" t="s">
        <v>43</v>
      </c>
      <c r="H2312" s="2" t="n">
        <v>2311</v>
      </c>
      <c r="I2312" s="2" t="s">
        <v>39</v>
      </c>
      <c r="J2312" s="2" t="n">
        <v>1</v>
      </c>
      <c r="K2312" s="2" t="s">
        <v>36</v>
      </c>
      <c r="L2312" s="2" t="s">
        <v>46</v>
      </c>
      <c r="M2312" s="2" t="n">
        <v>28000</v>
      </c>
      <c r="N2312" s="2" t="n">
        <v>3</v>
      </c>
      <c r="O2312" s="2" t="n">
        <v>12</v>
      </c>
      <c r="P2312" s="2" t="n">
        <v>2</v>
      </c>
      <c r="Q2312" s="2" t="n">
        <v>8</v>
      </c>
      <c r="R2312" s="2" t="n">
        <v>0</v>
      </c>
      <c r="S2312" s="2" t="n">
        <v>2</v>
      </c>
      <c r="T2312" s="2" t="n">
        <v>2</v>
      </c>
      <c r="U2312" s="2" t="n">
        <v>2</v>
      </c>
      <c r="V2312" s="2" t="n">
        <v>4</v>
      </c>
      <c r="W2312" s="2" t="n">
        <v>4</v>
      </c>
      <c r="X2312" s="2"/>
      <c r="Y2312" s="2" t="n">
        <v>2</v>
      </c>
      <c r="Z2312" s="2" t="n">
        <v>3</v>
      </c>
    </row>
    <row r="2313" customFormat="false" ht="15" hidden="false" customHeight="true" outlineLevel="0" collapsed="false">
      <c r="A2313" s="2" t="n">
        <v>45</v>
      </c>
      <c r="B2313" s="2" t="s">
        <v>26</v>
      </c>
      <c r="C2313" s="2" t="s">
        <v>27</v>
      </c>
      <c r="D2313" s="2" t="s">
        <v>35</v>
      </c>
      <c r="E2313" s="2" t="n">
        <v>4</v>
      </c>
      <c r="F2313" s="2" t="n">
        <v>3</v>
      </c>
      <c r="G2313" s="2" t="s">
        <v>43</v>
      </c>
      <c r="H2313" s="2" t="n">
        <v>2312</v>
      </c>
      <c r="I2313" s="2" t="s">
        <v>30</v>
      </c>
      <c r="J2313" s="2" t="n">
        <v>3</v>
      </c>
      <c r="K2313" s="2" t="s">
        <v>45</v>
      </c>
      <c r="L2313" s="2" t="s">
        <v>46</v>
      </c>
      <c r="M2313" s="2" t="n">
        <v>118360</v>
      </c>
      <c r="N2313" s="2" t="n">
        <v>1</v>
      </c>
      <c r="O2313" s="2" t="n">
        <v>22</v>
      </c>
      <c r="P2313" s="2" t="n">
        <v>0</v>
      </c>
      <c r="Q2313" s="2" t="n">
        <v>10</v>
      </c>
      <c r="R2313" s="2" t="n">
        <v>2</v>
      </c>
      <c r="S2313" s="2" t="n">
        <v>10</v>
      </c>
      <c r="T2313" s="2" t="n">
        <v>7</v>
      </c>
      <c r="U2313" s="2" t="n">
        <v>7</v>
      </c>
      <c r="V2313" s="2" t="n">
        <v>1</v>
      </c>
      <c r="W2313" s="2" t="n">
        <v>2</v>
      </c>
      <c r="X2313" s="2" t="n">
        <v>3</v>
      </c>
      <c r="Y2313" s="2" t="n">
        <v>4</v>
      </c>
      <c r="Z2313" s="2" t="n">
        <v>4</v>
      </c>
    </row>
    <row r="2314" customFormat="false" ht="15" hidden="false" customHeight="true" outlineLevel="0" collapsed="false">
      <c r="A2314" s="2" t="n">
        <v>35</v>
      </c>
      <c r="B2314" s="2" t="s">
        <v>26</v>
      </c>
      <c r="C2314" s="2" t="s">
        <v>27</v>
      </c>
      <c r="D2314" s="2" t="s">
        <v>35</v>
      </c>
      <c r="E2314" s="2" t="n">
        <v>10</v>
      </c>
      <c r="F2314" s="2" t="n">
        <v>1</v>
      </c>
      <c r="G2314" s="2" t="s">
        <v>29</v>
      </c>
      <c r="H2314" s="2" t="n">
        <v>2313</v>
      </c>
      <c r="I2314" s="2" t="s">
        <v>39</v>
      </c>
      <c r="J2314" s="2" t="n">
        <v>1</v>
      </c>
      <c r="K2314" s="2" t="s">
        <v>31</v>
      </c>
      <c r="L2314" s="2" t="s">
        <v>32</v>
      </c>
      <c r="M2314" s="2" t="n">
        <v>109030</v>
      </c>
      <c r="N2314" s="2" t="n">
        <v>0</v>
      </c>
      <c r="O2314" s="2" t="n">
        <v>11</v>
      </c>
      <c r="P2314" s="2" t="n">
        <v>0</v>
      </c>
      <c r="Q2314" s="2" t="n">
        <v>6</v>
      </c>
      <c r="R2314" s="2" t="n">
        <v>3</v>
      </c>
      <c r="S2314" s="2" t="n">
        <v>5</v>
      </c>
      <c r="T2314" s="2" t="n">
        <v>4</v>
      </c>
      <c r="U2314" s="2" t="n">
        <v>2</v>
      </c>
      <c r="V2314" s="2" t="n">
        <v>2</v>
      </c>
      <c r="W2314" s="2" t="n">
        <v>3</v>
      </c>
      <c r="X2314" s="2" t="n">
        <v>3</v>
      </c>
      <c r="Y2314" s="2" t="n">
        <v>4</v>
      </c>
      <c r="Z2314" s="2" t="n">
        <v>3</v>
      </c>
    </row>
    <row r="2315" customFormat="false" ht="15" hidden="false" customHeight="true" outlineLevel="0" collapsed="false">
      <c r="A2315" s="2" t="n">
        <v>32</v>
      </c>
      <c r="B2315" s="2" t="s">
        <v>26</v>
      </c>
      <c r="C2315" s="2" t="s">
        <v>27</v>
      </c>
      <c r="D2315" s="2" t="s">
        <v>35</v>
      </c>
      <c r="E2315" s="2" t="n">
        <v>22</v>
      </c>
      <c r="F2315" s="2" t="n">
        <v>4</v>
      </c>
      <c r="G2315" s="2" t="s">
        <v>43</v>
      </c>
      <c r="H2315" s="2" t="n">
        <v>2314</v>
      </c>
      <c r="I2315" s="2" t="s">
        <v>39</v>
      </c>
      <c r="J2315" s="2" t="n">
        <v>1</v>
      </c>
      <c r="K2315" s="2" t="s">
        <v>40</v>
      </c>
      <c r="L2315" s="2" t="s">
        <v>32</v>
      </c>
      <c r="M2315" s="2" t="n">
        <v>29730</v>
      </c>
      <c r="N2315" s="2" t="n">
        <v>3</v>
      </c>
      <c r="O2315" s="2" t="n">
        <v>22</v>
      </c>
      <c r="P2315" s="2" t="n">
        <v>0</v>
      </c>
      <c r="Q2315" s="2" t="n">
        <v>12</v>
      </c>
      <c r="R2315" s="2" t="n">
        <v>0</v>
      </c>
      <c r="S2315" s="2" t="n">
        <v>7</v>
      </c>
      <c r="T2315" s="2" t="n">
        <v>2</v>
      </c>
      <c r="U2315" s="2" t="n">
        <v>5</v>
      </c>
      <c r="V2315" s="2" t="n">
        <v>4</v>
      </c>
      <c r="W2315" s="2" t="n">
        <v>2</v>
      </c>
      <c r="X2315" s="2" t="n">
        <v>3</v>
      </c>
      <c r="Y2315" s="2" t="n">
        <v>4</v>
      </c>
      <c r="Z2315" s="2" t="n">
        <v>4</v>
      </c>
    </row>
    <row r="2316" customFormat="false" ht="15" hidden="false" customHeight="true" outlineLevel="0" collapsed="false">
      <c r="A2316" s="2" t="n">
        <v>36</v>
      </c>
      <c r="B2316" s="2" t="s">
        <v>26</v>
      </c>
      <c r="C2316" s="2" t="s">
        <v>27</v>
      </c>
      <c r="D2316" s="2" t="s">
        <v>28</v>
      </c>
      <c r="E2316" s="2" t="n">
        <v>9</v>
      </c>
      <c r="F2316" s="2" t="n">
        <v>3</v>
      </c>
      <c r="G2316" s="2" t="s">
        <v>50</v>
      </c>
      <c r="H2316" s="2" t="n">
        <v>2315</v>
      </c>
      <c r="I2316" s="2" t="s">
        <v>30</v>
      </c>
      <c r="J2316" s="2" t="n">
        <v>4</v>
      </c>
      <c r="K2316" s="2" t="s">
        <v>36</v>
      </c>
      <c r="L2316" s="2" t="s">
        <v>37</v>
      </c>
      <c r="M2316" s="2" t="n">
        <v>142750</v>
      </c>
      <c r="N2316" s="2" t="n">
        <v>3</v>
      </c>
      <c r="O2316" s="2" t="n">
        <v>18</v>
      </c>
      <c r="P2316" s="2" t="n">
        <v>1</v>
      </c>
      <c r="Q2316" s="2" t="n">
        <v>7</v>
      </c>
      <c r="R2316" s="2" t="n">
        <v>5</v>
      </c>
      <c r="S2316" s="2" t="n">
        <v>3</v>
      </c>
      <c r="T2316" s="2" t="n">
        <v>1</v>
      </c>
      <c r="U2316" s="2" t="n">
        <v>2</v>
      </c>
      <c r="V2316" s="2" t="n">
        <v>3</v>
      </c>
      <c r="W2316" s="2" t="n">
        <v>4</v>
      </c>
      <c r="X2316" s="2" t="n">
        <v>2</v>
      </c>
      <c r="Y2316" s="2" t="n">
        <v>2</v>
      </c>
      <c r="Z2316" s="2" t="n">
        <v>3</v>
      </c>
    </row>
    <row r="2317" customFormat="false" ht="15" hidden="false" customHeight="true" outlineLevel="0" collapsed="false">
      <c r="A2317" s="2" t="n">
        <v>48</v>
      </c>
      <c r="B2317" s="2" t="s">
        <v>26</v>
      </c>
      <c r="C2317" s="2" t="s">
        <v>27</v>
      </c>
      <c r="D2317" s="2" t="s">
        <v>35</v>
      </c>
      <c r="E2317" s="2" t="n">
        <v>12</v>
      </c>
      <c r="F2317" s="2" t="n">
        <v>4</v>
      </c>
      <c r="G2317" s="2" t="s">
        <v>43</v>
      </c>
      <c r="H2317" s="2" t="n">
        <v>2316</v>
      </c>
      <c r="I2317" s="2" t="s">
        <v>39</v>
      </c>
      <c r="J2317" s="2" t="n">
        <v>1</v>
      </c>
      <c r="K2317" s="2" t="s">
        <v>45</v>
      </c>
      <c r="L2317" s="2" t="s">
        <v>46</v>
      </c>
      <c r="M2317" s="2" t="n">
        <v>55620</v>
      </c>
      <c r="N2317" s="2" t="n">
        <v>8</v>
      </c>
      <c r="O2317" s="2" t="n">
        <v>13</v>
      </c>
      <c r="P2317" s="2" t="n">
        <v>1</v>
      </c>
      <c r="Q2317" s="2" t="n">
        <v>18</v>
      </c>
      <c r="R2317" s="2" t="n">
        <v>2</v>
      </c>
      <c r="S2317" s="2" t="n">
        <v>8</v>
      </c>
      <c r="T2317" s="2" t="n">
        <v>7</v>
      </c>
      <c r="U2317" s="2" t="n">
        <v>7</v>
      </c>
      <c r="V2317" s="2" t="n">
        <v>3</v>
      </c>
      <c r="W2317" s="2" t="n">
        <v>3</v>
      </c>
      <c r="X2317" s="2" t="n">
        <v>3</v>
      </c>
      <c r="Y2317" s="2" t="n">
        <v>3</v>
      </c>
      <c r="Z2317" s="2" t="n">
        <v>3</v>
      </c>
    </row>
    <row r="2318" customFormat="false" ht="15" hidden="false" customHeight="true" outlineLevel="0" collapsed="false">
      <c r="A2318" s="2" t="n">
        <v>29</v>
      </c>
      <c r="B2318" s="2" t="s">
        <v>26</v>
      </c>
      <c r="C2318" s="2" t="s">
        <v>27</v>
      </c>
      <c r="D2318" s="2" t="s">
        <v>35</v>
      </c>
      <c r="E2318" s="2" t="n">
        <v>23</v>
      </c>
      <c r="F2318" s="2" t="n">
        <v>4</v>
      </c>
      <c r="G2318" s="2" t="s">
        <v>29</v>
      </c>
      <c r="H2318" s="2" t="n">
        <v>2317</v>
      </c>
      <c r="I2318" s="2" t="s">
        <v>30</v>
      </c>
      <c r="J2318" s="2" t="n">
        <v>2</v>
      </c>
      <c r="K2318" s="2" t="s">
        <v>31</v>
      </c>
      <c r="L2318" s="2" t="s">
        <v>32</v>
      </c>
      <c r="M2318" s="2" t="n">
        <v>45370</v>
      </c>
      <c r="N2318" s="2" t="n">
        <v>6</v>
      </c>
      <c r="O2318" s="2" t="n">
        <v>18</v>
      </c>
      <c r="P2318" s="2" t="n">
        <v>1</v>
      </c>
      <c r="Q2318" s="2" t="n">
        <v>5</v>
      </c>
      <c r="R2318" s="2" t="n">
        <v>5</v>
      </c>
      <c r="S2318" s="2" t="n">
        <v>1</v>
      </c>
      <c r="T2318" s="2" t="n">
        <v>0</v>
      </c>
      <c r="U2318" s="2" t="n">
        <v>0</v>
      </c>
      <c r="V2318" s="2" t="n">
        <v>3</v>
      </c>
      <c r="W2318" s="2" t="n">
        <v>3</v>
      </c>
      <c r="X2318" s="2" t="n">
        <v>2</v>
      </c>
      <c r="Y2318" s="2" t="n">
        <v>4</v>
      </c>
      <c r="Z2318" s="2" t="n">
        <v>3</v>
      </c>
    </row>
    <row r="2319" customFormat="false" ht="15" hidden="false" customHeight="true" outlineLevel="0" collapsed="false">
      <c r="A2319" s="2" t="n">
        <v>33</v>
      </c>
      <c r="B2319" s="2" t="s">
        <v>26</v>
      </c>
      <c r="C2319" s="2" t="s">
        <v>27</v>
      </c>
      <c r="D2319" s="2" t="s">
        <v>35</v>
      </c>
      <c r="E2319" s="2" t="n">
        <v>9</v>
      </c>
      <c r="F2319" s="2" t="n">
        <v>1</v>
      </c>
      <c r="G2319" s="2" t="s">
        <v>43</v>
      </c>
      <c r="H2319" s="2" t="n">
        <v>2318</v>
      </c>
      <c r="I2319" s="2" t="s">
        <v>39</v>
      </c>
      <c r="J2319" s="2" t="n">
        <v>1</v>
      </c>
      <c r="K2319" s="2" t="s">
        <v>31</v>
      </c>
      <c r="L2319" s="2" t="s">
        <v>32</v>
      </c>
      <c r="M2319" s="2" t="n">
        <v>76420</v>
      </c>
      <c r="N2319" s="2" t="n">
        <v>2</v>
      </c>
      <c r="O2319" s="2" t="n">
        <v>20</v>
      </c>
      <c r="P2319" s="2" t="n">
        <v>1</v>
      </c>
      <c r="Q2319" s="2" t="n">
        <v>8</v>
      </c>
      <c r="R2319" s="2" t="n">
        <v>2</v>
      </c>
      <c r="S2319" s="2" t="n">
        <v>2</v>
      </c>
      <c r="T2319" s="2" t="n">
        <v>2</v>
      </c>
      <c r="U2319" s="2" t="n">
        <v>2</v>
      </c>
      <c r="V2319" s="2" t="n">
        <v>1</v>
      </c>
      <c r="W2319" s="2" t="n">
        <v>1</v>
      </c>
      <c r="X2319" s="2" t="n">
        <v>1</v>
      </c>
      <c r="Y2319" s="2" t="n">
        <v>2</v>
      </c>
      <c r="Z2319" s="2" t="n">
        <v>4</v>
      </c>
    </row>
    <row r="2320" customFormat="false" ht="15" hidden="false" customHeight="true" outlineLevel="0" collapsed="false">
      <c r="A2320" s="2" t="n">
        <v>30</v>
      </c>
      <c r="B2320" s="2" t="s">
        <v>33</v>
      </c>
      <c r="C2320" s="2" t="s">
        <v>27</v>
      </c>
      <c r="D2320" s="2" t="s">
        <v>35</v>
      </c>
      <c r="E2320" s="2" t="n">
        <v>1</v>
      </c>
      <c r="F2320" s="2" t="n">
        <v>3</v>
      </c>
      <c r="G2320" s="2" t="s">
        <v>38</v>
      </c>
      <c r="H2320" s="2" t="n">
        <v>2319</v>
      </c>
      <c r="I2320" s="2" t="s">
        <v>39</v>
      </c>
      <c r="J2320" s="2" t="n">
        <v>3</v>
      </c>
      <c r="K2320" s="2" t="s">
        <v>40</v>
      </c>
      <c r="L2320" s="2" t="s">
        <v>32</v>
      </c>
      <c r="M2320" s="2" t="n">
        <v>179240</v>
      </c>
      <c r="N2320" s="2" t="n">
        <v>1</v>
      </c>
      <c r="O2320" s="2" t="n">
        <v>13</v>
      </c>
      <c r="P2320" s="2" t="n">
        <v>2</v>
      </c>
      <c r="Q2320" s="2" t="n">
        <v>10</v>
      </c>
      <c r="R2320" s="2" t="n">
        <v>2</v>
      </c>
      <c r="S2320" s="2" t="n">
        <v>10</v>
      </c>
      <c r="T2320" s="2" t="n">
        <v>6</v>
      </c>
      <c r="U2320" s="2" t="n">
        <v>7</v>
      </c>
      <c r="V2320" s="2" t="n">
        <v>2</v>
      </c>
      <c r="W2320" s="2" t="n">
        <v>1</v>
      </c>
      <c r="X2320" s="2" t="n">
        <v>3</v>
      </c>
      <c r="Y2320" s="2" t="n">
        <v>3</v>
      </c>
      <c r="Z2320" s="2" t="n">
        <v>3</v>
      </c>
    </row>
    <row r="2321" customFormat="false" ht="15" hidden="false" customHeight="true" outlineLevel="0" collapsed="false">
      <c r="A2321" s="2" t="n">
        <v>38</v>
      </c>
      <c r="B2321" s="2" t="s">
        <v>26</v>
      </c>
      <c r="C2321" s="2" t="s">
        <v>34</v>
      </c>
      <c r="D2321" s="2" t="s">
        <v>28</v>
      </c>
      <c r="E2321" s="2" t="n">
        <v>9</v>
      </c>
      <c r="F2321" s="2" t="n">
        <v>3</v>
      </c>
      <c r="G2321" s="2" t="s">
        <v>50</v>
      </c>
      <c r="H2321" s="2" t="n">
        <v>2320</v>
      </c>
      <c r="I2321" s="2" t="s">
        <v>39</v>
      </c>
      <c r="J2321" s="2" t="n">
        <v>1</v>
      </c>
      <c r="K2321" s="2" t="s">
        <v>47</v>
      </c>
      <c r="L2321" s="2" t="s">
        <v>32</v>
      </c>
      <c r="M2321" s="2" t="n">
        <v>52040</v>
      </c>
      <c r="N2321" s="2" t="n">
        <v>3</v>
      </c>
      <c r="O2321" s="2" t="n">
        <v>13</v>
      </c>
      <c r="P2321" s="2" t="n">
        <v>1</v>
      </c>
      <c r="Q2321" s="2" t="n">
        <v>10</v>
      </c>
      <c r="R2321" s="2" t="n">
        <v>2</v>
      </c>
      <c r="S2321" s="2" t="n">
        <v>6</v>
      </c>
      <c r="T2321" s="2" t="n">
        <v>1</v>
      </c>
      <c r="U2321" s="2" t="n">
        <v>2</v>
      </c>
      <c r="V2321" s="2" t="n">
        <v>3</v>
      </c>
      <c r="W2321" s="2" t="n">
        <v>3</v>
      </c>
      <c r="X2321" s="2" t="n">
        <v>3</v>
      </c>
      <c r="Y2321" s="2" t="n">
        <v>3</v>
      </c>
      <c r="Z2321" s="2" t="n">
        <v>3</v>
      </c>
    </row>
    <row r="2322" customFormat="false" ht="15" hidden="false" customHeight="true" outlineLevel="0" collapsed="false">
      <c r="A2322" s="2" t="n">
        <v>35</v>
      </c>
      <c r="B2322" s="2" t="s">
        <v>26</v>
      </c>
      <c r="C2322" s="2" t="s">
        <v>27</v>
      </c>
      <c r="D2322" s="2" t="s">
        <v>28</v>
      </c>
      <c r="E2322" s="2" t="n">
        <v>7</v>
      </c>
      <c r="F2322" s="2" t="n">
        <v>2</v>
      </c>
      <c r="G2322" s="2" t="s">
        <v>29</v>
      </c>
      <c r="H2322" s="2" t="n">
        <v>2321</v>
      </c>
      <c r="I2322" s="2" t="s">
        <v>39</v>
      </c>
      <c r="J2322" s="2" t="n">
        <v>1</v>
      </c>
      <c r="K2322" s="2" t="s">
        <v>40</v>
      </c>
      <c r="L2322" s="2" t="s">
        <v>37</v>
      </c>
      <c r="M2322" s="2" t="n">
        <v>22770</v>
      </c>
      <c r="N2322" s="2" t="n">
        <v>1</v>
      </c>
      <c r="O2322" s="2" t="n">
        <v>12</v>
      </c>
      <c r="P2322" s="2" t="n">
        <v>1</v>
      </c>
      <c r="Q2322" s="2" t="n">
        <v>3</v>
      </c>
      <c r="R2322" s="2" t="n">
        <v>2</v>
      </c>
      <c r="S2322" s="2" t="n">
        <v>3</v>
      </c>
      <c r="T2322" s="2" t="n">
        <v>1</v>
      </c>
      <c r="U2322" s="2" t="n">
        <v>2</v>
      </c>
      <c r="V2322" s="2" t="n">
        <v>4</v>
      </c>
      <c r="W2322" s="2" t="n">
        <v>1</v>
      </c>
      <c r="X2322" s="2" t="n">
        <v>3</v>
      </c>
      <c r="Y2322" s="2" t="n">
        <v>3</v>
      </c>
      <c r="Z2322" s="2" t="n">
        <v>3</v>
      </c>
    </row>
    <row r="2323" customFormat="false" ht="15" hidden="false" customHeight="true" outlineLevel="0" collapsed="false">
      <c r="A2323" s="2" t="n">
        <v>30</v>
      </c>
      <c r="B2323" s="2" t="s">
        <v>26</v>
      </c>
      <c r="C2323" s="2" t="s">
        <v>27</v>
      </c>
      <c r="D2323" s="2" t="s">
        <v>35</v>
      </c>
      <c r="E2323" s="2" t="n">
        <v>14</v>
      </c>
      <c r="F2323" s="2" t="n">
        <v>3</v>
      </c>
      <c r="G2323" s="2" t="s">
        <v>51</v>
      </c>
      <c r="H2323" s="2" t="n">
        <v>2322</v>
      </c>
      <c r="I2323" s="2" t="s">
        <v>39</v>
      </c>
      <c r="J2323" s="2" t="n">
        <v>5</v>
      </c>
      <c r="K2323" s="2" t="s">
        <v>44</v>
      </c>
      <c r="L2323" s="2" t="s">
        <v>32</v>
      </c>
      <c r="M2323" s="2" t="n">
        <v>27950</v>
      </c>
      <c r="N2323" s="2" t="n">
        <v>3</v>
      </c>
      <c r="O2323" s="2" t="n">
        <v>13</v>
      </c>
      <c r="P2323" s="2" t="n">
        <v>0</v>
      </c>
      <c r="Q2323" s="2" t="n">
        <v>9</v>
      </c>
      <c r="R2323" s="2" t="n">
        <v>4</v>
      </c>
      <c r="S2323" s="2" t="n">
        <v>4</v>
      </c>
      <c r="T2323" s="2" t="n">
        <v>1</v>
      </c>
      <c r="U2323" s="2" t="n">
        <v>3</v>
      </c>
      <c r="V2323" s="2" t="n">
        <v>3</v>
      </c>
      <c r="W2323" s="2" t="n">
        <v>2</v>
      </c>
      <c r="X2323" s="2" t="n">
        <v>3</v>
      </c>
      <c r="Y2323" s="2" t="n">
        <v>3</v>
      </c>
      <c r="Z2323" s="2" t="n">
        <v>3</v>
      </c>
    </row>
    <row r="2324" customFormat="false" ht="15" hidden="false" customHeight="true" outlineLevel="0" collapsed="false">
      <c r="A2324" s="2" t="n">
        <v>35</v>
      </c>
      <c r="B2324" s="2" t="s">
        <v>33</v>
      </c>
      <c r="C2324" s="2" t="s">
        <v>27</v>
      </c>
      <c r="D2324" s="2" t="s">
        <v>35</v>
      </c>
      <c r="E2324" s="2" t="n">
        <v>2</v>
      </c>
      <c r="F2324" s="2" t="n">
        <v>3</v>
      </c>
      <c r="G2324" s="2" t="s">
        <v>43</v>
      </c>
      <c r="H2324" s="2" t="n">
        <v>2323</v>
      </c>
      <c r="I2324" s="2" t="s">
        <v>30</v>
      </c>
      <c r="J2324" s="2" t="n">
        <v>1</v>
      </c>
      <c r="K2324" s="2" t="s">
        <v>36</v>
      </c>
      <c r="L2324" s="2" t="s">
        <v>46</v>
      </c>
      <c r="M2324" s="2" t="n">
        <v>25320</v>
      </c>
      <c r="N2324" s="2" t="n">
        <v>1</v>
      </c>
      <c r="O2324" s="2" t="n">
        <v>13</v>
      </c>
      <c r="P2324" s="2" t="n">
        <v>0</v>
      </c>
      <c r="Q2324" s="2" t="n">
        <v>1</v>
      </c>
      <c r="R2324" s="2" t="n">
        <v>2</v>
      </c>
      <c r="S2324" s="2" t="n">
        <v>1</v>
      </c>
      <c r="T2324" s="2" t="n">
        <v>0</v>
      </c>
      <c r="U2324" s="2" t="n">
        <v>0</v>
      </c>
      <c r="V2324" s="2" t="n">
        <v>1</v>
      </c>
      <c r="W2324" s="2" t="n">
        <v>1</v>
      </c>
      <c r="X2324" s="2" t="n">
        <v>3</v>
      </c>
      <c r="Y2324" s="2" t="n">
        <v>1</v>
      </c>
      <c r="Z2324" s="2" t="n">
        <v>3</v>
      </c>
    </row>
    <row r="2325" customFormat="false" ht="15" hidden="false" customHeight="true" outlineLevel="0" collapsed="false">
      <c r="A2325" s="2" t="n">
        <v>53</v>
      </c>
      <c r="B2325" s="2" t="s">
        <v>33</v>
      </c>
      <c r="C2325" s="2" t="s">
        <v>27</v>
      </c>
      <c r="D2325" s="2" t="s">
        <v>35</v>
      </c>
      <c r="E2325" s="2" t="n">
        <v>19</v>
      </c>
      <c r="F2325" s="2" t="n">
        <v>3</v>
      </c>
      <c r="G2325" s="2" t="s">
        <v>29</v>
      </c>
      <c r="H2325" s="2" t="n">
        <v>2324</v>
      </c>
      <c r="I2325" s="2" t="s">
        <v>39</v>
      </c>
      <c r="J2325" s="2" t="n">
        <v>2</v>
      </c>
      <c r="K2325" s="2" t="s">
        <v>49</v>
      </c>
      <c r="L2325" s="2" t="s">
        <v>32</v>
      </c>
      <c r="M2325" s="2" t="n">
        <v>25590</v>
      </c>
      <c r="N2325" s="2" t="n">
        <v>0</v>
      </c>
      <c r="O2325" s="2" t="n">
        <v>25</v>
      </c>
      <c r="P2325" s="2" t="n">
        <v>0</v>
      </c>
      <c r="Q2325" s="2" t="n">
        <v>34</v>
      </c>
      <c r="R2325" s="2" t="n">
        <v>2</v>
      </c>
      <c r="S2325" s="2" t="n">
        <v>33</v>
      </c>
      <c r="T2325" s="2" t="n">
        <v>1</v>
      </c>
      <c r="U2325" s="2" t="n">
        <v>9</v>
      </c>
      <c r="V2325" s="2" t="n">
        <v>3</v>
      </c>
      <c r="W2325" s="2" t="n">
        <v>4</v>
      </c>
      <c r="X2325" s="2" t="n">
        <v>3</v>
      </c>
      <c r="Y2325" s="2" t="n">
        <v>3</v>
      </c>
      <c r="Z2325" s="2" t="n">
        <v>4</v>
      </c>
    </row>
    <row r="2326" customFormat="false" ht="15" hidden="false" customHeight="true" outlineLevel="0" collapsed="false">
      <c r="A2326" s="2" t="n">
        <v>38</v>
      </c>
      <c r="B2326" s="2" t="s">
        <v>33</v>
      </c>
      <c r="C2326" s="2" t="s">
        <v>27</v>
      </c>
      <c r="D2326" s="2" t="s">
        <v>35</v>
      </c>
      <c r="E2326" s="2" t="n">
        <v>2</v>
      </c>
      <c r="F2326" s="2" t="n">
        <v>3</v>
      </c>
      <c r="G2326" s="2" t="s">
        <v>43</v>
      </c>
      <c r="H2326" s="2" t="n">
        <v>2325</v>
      </c>
      <c r="I2326" s="2" t="s">
        <v>30</v>
      </c>
      <c r="J2326" s="2" t="n">
        <v>3</v>
      </c>
      <c r="K2326" s="2" t="s">
        <v>40</v>
      </c>
      <c r="L2326" s="2" t="s">
        <v>32</v>
      </c>
      <c r="M2326" s="2" t="n">
        <v>49080</v>
      </c>
      <c r="N2326" s="2" t="n">
        <v>4</v>
      </c>
      <c r="O2326" s="2" t="n">
        <v>19</v>
      </c>
      <c r="P2326" s="2" t="n">
        <v>1</v>
      </c>
      <c r="Q2326" s="2" t="n">
        <v>7</v>
      </c>
      <c r="R2326" s="2" t="n">
        <v>3</v>
      </c>
      <c r="S2326" s="2" t="n">
        <v>5</v>
      </c>
      <c r="T2326" s="2" t="n">
        <v>1</v>
      </c>
      <c r="U2326" s="2" t="n">
        <v>4</v>
      </c>
      <c r="V2326" s="2" t="n">
        <v>3</v>
      </c>
      <c r="W2326" s="2" t="n">
        <v>2</v>
      </c>
      <c r="X2326" s="2" t="n">
        <v>3</v>
      </c>
      <c r="Y2326" s="2" t="n">
        <v>2</v>
      </c>
      <c r="Z2326" s="2" t="n">
        <v>3</v>
      </c>
    </row>
    <row r="2327" customFormat="false" ht="15" hidden="false" customHeight="true" outlineLevel="0" collapsed="false">
      <c r="A2327" s="2" t="n">
        <v>32</v>
      </c>
      <c r="B2327" s="2" t="s">
        <v>26</v>
      </c>
      <c r="C2327" s="2" t="s">
        <v>41</v>
      </c>
      <c r="D2327" s="2" t="s">
        <v>35</v>
      </c>
      <c r="E2327" s="2" t="n">
        <v>10</v>
      </c>
      <c r="F2327" s="2" t="n">
        <v>4</v>
      </c>
      <c r="G2327" s="2" t="s">
        <v>29</v>
      </c>
      <c r="H2327" s="2" t="n">
        <v>2326</v>
      </c>
      <c r="I2327" s="2" t="s">
        <v>30</v>
      </c>
      <c r="J2327" s="2" t="n">
        <v>5</v>
      </c>
      <c r="K2327" s="2" t="s">
        <v>36</v>
      </c>
      <c r="L2327" s="2" t="s">
        <v>32</v>
      </c>
      <c r="M2327" s="2" t="n">
        <v>23800</v>
      </c>
      <c r="N2327" s="2" t="n">
        <v>4</v>
      </c>
      <c r="O2327" s="2" t="n">
        <v>13</v>
      </c>
      <c r="P2327" s="2" t="n">
        <v>0</v>
      </c>
      <c r="Q2327" s="2" t="n">
        <v>9</v>
      </c>
      <c r="R2327" s="2" t="n">
        <v>5</v>
      </c>
      <c r="S2327" s="2" t="n">
        <v>6</v>
      </c>
      <c r="T2327" s="2" t="n">
        <v>1</v>
      </c>
      <c r="U2327" s="2" t="n">
        <v>2</v>
      </c>
      <c r="V2327" s="2" t="n">
        <v>4</v>
      </c>
      <c r="W2327" s="2" t="n">
        <v>1</v>
      </c>
      <c r="X2327" s="2" t="n">
        <v>2</v>
      </c>
      <c r="Y2327" s="2" t="n">
        <v>3</v>
      </c>
      <c r="Z2327" s="2" t="n">
        <v>3</v>
      </c>
    </row>
    <row r="2328" customFormat="false" ht="15" hidden="false" customHeight="true" outlineLevel="0" collapsed="false">
      <c r="A2328" s="2" t="n">
        <v>48</v>
      </c>
      <c r="B2328" s="2" t="s">
        <v>26</v>
      </c>
      <c r="C2328" s="2" t="s">
        <v>27</v>
      </c>
      <c r="D2328" s="2" t="s">
        <v>35</v>
      </c>
      <c r="E2328" s="2" t="n">
        <v>2</v>
      </c>
      <c r="F2328" s="2" t="n">
        <v>5</v>
      </c>
      <c r="G2328" s="2" t="s">
        <v>29</v>
      </c>
      <c r="H2328" s="2" t="n">
        <v>2327</v>
      </c>
      <c r="I2328" s="2" t="s">
        <v>39</v>
      </c>
      <c r="J2328" s="2" t="n">
        <v>1</v>
      </c>
      <c r="K2328" s="2" t="s">
        <v>40</v>
      </c>
      <c r="L2328" s="2" t="s">
        <v>32</v>
      </c>
      <c r="M2328" s="2" t="n">
        <v>47650</v>
      </c>
      <c r="N2328" s="2" t="n">
        <v>8</v>
      </c>
      <c r="O2328" s="2" t="n">
        <v>12</v>
      </c>
      <c r="P2328" s="2" t="n">
        <v>1</v>
      </c>
      <c r="Q2328" s="2" t="n">
        <v>10</v>
      </c>
      <c r="R2328" s="2" t="n">
        <v>4</v>
      </c>
      <c r="S2328" s="2" t="n">
        <v>8</v>
      </c>
      <c r="T2328" s="2" t="n">
        <v>7</v>
      </c>
      <c r="U2328" s="2" t="n">
        <v>6</v>
      </c>
      <c r="V2328" s="2" t="n">
        <v>3</v>
      </c>
      <c r="W2328" s="2" t="n">
        <v>1</v>
      </c>
      <c r="X2328" s="2" t="n">
        <v>2</v>
      </c>
      <c r="Y2328" s="2" t="n">
        <v>3</v>
      </c>
      <c r="Z2328" s="2" t="n">
        <v>3</v>
      </c>
    </row>
    <row r="2329" customFormat="false" ht="15" hidden="false" customHeight="true" outlineLevel="0" collapsed="false">
      <c r="A2329" s="2" t="n">
        <v>34</v>
      </c>
      <c r="B2329" s="2" t="s">
        <v>26</v>
      </c>
      <c r="C2329" s="2" t="s">
        <v>27</v>
      </c>
      <c r="D2329" s="2" t="s">
        <v>35</v>
      </c>
      <c r="E2329" s="2" t="n">
        <v>3</v>
      </c>
      <c r="F2329" s="2" t="n">
        <v>3</v>
      </c>
      <c r="G2329" s="2" t="s">
        <v>29</v>
      </c>
      <c r="H2329" s="2" t="n">
        <v>2328</v>
      </c>
      <c r="I2329" s="2" t="s">
        <v>39</v>
      </c>
      <c r="J2329" s="2" t="n">
        <v>2</v>
      </c>
      <c r="K2329" s="2" t="s">
        <v>40</v>
      </c>
      <c r="L2329" s="2" t="s">
        <v>37</v>
      </c>
      <c r="M2329" s="2" t="n">
        <v>20440</v>
      </c>
      <c r="N2329" s="2" t="n">
        <v>1</v>
      </c>
      <c r="O2329" s="2" t="n">
        <v>11</v>
      </c>
      <c r="P2329" s="2" t="n">
        <v>0</v>
      </c>
      <c r="Q2329" s="2" t="n">
        <v>1</v>
      </c>
      <c r="R2329" s="2" t="n">
        <v>2</v>
      </c>
      <c r="S2329" s="2" t="n">
        <v>1</v>
      </c>
      <c r="T2329" s="2" t="n">
        <v>0</v>
      </c>
      <c r="U2329" s="2" t="n">
        <v>0</v>
      </c>
      <c r="V2329" s="2" t="n">
        <v>1</v>
      </c>
      <c r="W2329" s="2" t="n">
        <v>4</v>
      </c>
      <c r="X2329" s="2" t="n">
        <v>1</v>
      </c>
      <c r="Y2329" s="2" t="n">
        <v>3</v>
      </c>
      <c r="Z2329" s="2" t="n">
        <v>3</v>
      </c>
    </row>
    <row r="2330" customFormat="false" ht="15" hidden="false" customHeight="true" outlineLevel="0" collapsed="false">
      <c r="A2330" s="2" t="n">
        <v>55</v>
      </c>
      <c r="B2330" s="2" t="s">
        <v>26</v>
      </c>
      <c r="C2330" s="2" t="s">
        <v>27</v>
      </c>
      <c r="D2330" s="2" t="s">
        <v>35</v>
      </c>
      <c r="E2330" s="2" t="n">
        <v>11</v>
      </c>
      <c r="F2330" s="2" t="n">
        <v>1</v>
      </c>
      <c r="G2330" s="2" t="s">
        <v>43</v>
      </c>
      <c r="H2330" s="2" t="n">
        <v>2329</v>
      </c>
      <c r="I2330" s="2" t="s">
        <v>30</v>
      </c>
      <c r="J2330" s="2" t="n">
        <v>1</v>
      </c>
      <c r="K2330" s="2" t="s">
        <v>45</v>
      </c>
      <c r="L2330" s="2" t="s">
        <v>32</v>
      </c>
      <c r="M2330" s="2" t="n">
        <v>26930</v>
      </c>
      <c r="N2330" s="2" t="n">
        <v>1</v>
      </c>
      <c r="O2330" s="2" t="n">
        <v>18</v>
      </c>
      <c r="P2330" s="2" t="n">
        <v>0</v>
      </c>
      <c r="Q2330" s="2" t="n">
        <v>36</v>
      </c>
      <c r="R2330" s="2" t="n">
        <v>6</v>
      </c>
      <c r="S2330" s="2" t="n">
        <v>36</v>
      </c>
      <c r="T2330" s="2" t="n">
        <v>2</v>
      </c>
      <c r="U2330" s="2" t="n">
        <v>13</v>
      </c>
      <c r="V2330" s="2" t="n">
        <v>3</v>
      </c>
      <c r="W2330" s="2" t="n">
        <v>4</v>
      </c>
      <c r="X2330" s="2" t="n">
        <v>3</v>
      </c>
      <c r="Y2330" s="2" t="n">
        <v>2</v>
      </c>
      <c r="Z2330" s="2" t="n">
        <v>3</v>
      </c>
    </row>
    <row r="2331" customFormat="false" ht="15" hidden="false" customHeight="true" outlineLevel="0" collapsed="false">
      <c r="A2331" s="2" t="n">
        <v>34</v>
      </c>
      <c r="B2331" s="2" t="s">
        <v>26</v>
      </c>
      <c r="C2331" s="2" t="s">
        <v>27</v>
      </c>
      <c r="D2331" s="2" t="s">
        <v>35</v>
      </c>
      <c r="E2331" s="2" t="n">
        <v>2</v>
      </c>
      <c r="F2331" s="2" t="n">
        <v>2</v>
      </c>
      <c r="G2331" s="2" t="s">
        <v>29</v>
      </c>
      <c r="H2331" s="2" t="n">
        <v>2330</v>
      </c>
      <c r="I2331" s="2" t="s">
        <v>39</v>
      </c>
      <c r="J2331" s="2" t="n">
        <v>2</v>
      </c>
      <c r="K2331" s="2" t="s">
        <v>36</v>
      </c>
      <c r="L2331" s="2" t="s">
        <v>32</v>
      </c>
      <c r="M2331" s="2" t="n">
        <v>65860</v>
      </c>
      <c r="N2331" s="2" t="n">
        <v>9</v>
      </c>
      <c r="O2331" s="2" t="n">
        <v>18</v>
      </c>
      <c r="P2331" s="2" t="n">
        <v>1</v>
      </c>
      <c r="Q2331" s="2" t="n">
        <v>9</v>
      </c>
      <c r="R2331" s="2" t="n">
        <v>3</v>
      </c>
      <c r="S2331" s="2" t="n">
        <v>2</v>
      </c>
      <c r="T2331" s="2" t="n">
        <v>2</v>
      </c>
      <c r="U2331" s="2" t="n">
        <v>1</v>
      </c>
      <c r="V2331" s="2" t="n">
        <v>2</v>
      </c>
      <c r="W2331" s="2" t="n">
        <v>4</v>
      </c>
      <c r="X2331" s="2" t="n">
        <v>2</v>
      </c>
      <c r="Y2331" s="2" t="n">
        <v>3</v>
      </c>
      <c r="Z2331" s="2" t="n">
        <v>3</v>
      </c>
    </row>
    <row r="2332" customFormat="false" ht="15" hidden="false" customHeight="true" outlineLevel="0" collapsed="false">
      <c r="A2332" s="2" t="n">
        <v>26</v>
      </c>
      <c r="B2332" s="2" t="s">
        <v>26</v>
      </c>
      <c r="C2332" s="2" t="s">
        <v>27</v>
      </c>
      <c r="D2332" s="2" t="s">
        <v>35</v>
      </c>
      <c r="E2332" s="2" t="n">
        <v>4</v>
      </c>
      <c r="F2332" s="2" t="n">
        <v>3</v>
      </c>
      <c r="G2332" s="2" t="s">
        <v>29</v>
      </c>
      <c r="H2332" s="2" t="n">
        <v>2331</v>
      </c>
      <c r="I2332" s="2" t="s">
        <v>39</v>
      </c>
      <c r="J2332" s="2" t="n">
        <v>1</v>
      </c>
      <c r="K2332" s="2" t="s">
        <v>44</v>
      </c>
      <c r="L2332" s="2" t="s">
        <v>32</v>
      </c>
      <c r="M2332" s="2" t="n">
        <v>32940</v>
      </c>
      <c r="N2332" s="2" t="n">
        <v>1</v>
      </c>
      <c r="O2332" s="2" t="n">
        <v>11</v>
      </c>
      <c r="P2332" s="2" t="n">
        <v>0</v>
      </c>
      <c r="Q2332" s="2" t="n">
        <v>1</v>
      </c>
      <c r="R2332" s="2" t="n">
        <v>6</v>
      </c>
      <c r="S2332" s="2" t="n">
        <v>1</v>
      </c>
      <c r="T2332" s="2" t="n">
        <v>0</v>
      </c>
      <c r="U2332" s="2" t="n">
        <v>0</v>
      </c>
      <c r="V2332" s="2" t="n">
        <v>1</v>
      </c>
      <c r="W2332" s="2" t="n">
        <v>4</v>
      </c>
      <c r="X2332" s="2" t="n">
        <v>3</v>
      </c>
      <c r="Y2332" s="2" t="n">
        <v>3</v>
      </c>
      <c r="Z2332" s="2" t="n">
        <v>3</v>
      </c>
    </row>
    <row r="2333" customFormat="false" ht="15" hidden="false" customHeight="true" outlineLevel="0" collapsed="false">
      <c r="A2333" s="2" t="n">
        <v>38</v>
      </c>
      <c r="B2333" s="2" t="s">
        <v>26</v>
      </c>
      <c r="C2333" s="2" t="s">
        <v>27</v>
      </c>
      <c r="D2333" s="2" t="s">
        <v>28</v>
      </c>
      <c r="E2333" s="2" t="n">
        <v>14</v>
      </c>
      <c r="F2333" s="2" t="n">
        <v>2</v>
      </c>
      <c r="G2333" s="2" t="s">
        <v>50</v>
      </c>
      <c r="H2333" s="2" t="n">
        <v>2332</v>
      </c>
      <c r="I2333" s="2" t="s">
        <v>30</v>
      </c>
      <c r="J2333" s="2" t="n">
        <v>1</v>
      </c>
      <c r="K2333" s="2" t="s">
        <v>40</v>
      </c>
      <c r="L2333" s="2" t="s">
        <v>32</v>
      </c>
      <c r="M2333" s="2" t="n">
        <v>41710</v>
      </c>
      <c r="N2333" s="2" t="n">
        <v>0</v>
      </c>
      <c r="O2333" s="2" t="n">
        <v>23</v>
      </c>
      <c r="P2333" s="2" t="n">
        <v>0</v>
      </c>
      <c r="Q2333" s="2" t="n">
        <v>10</v>
      </c>
      <c r="R2333" s="2" t="n">
        <v>4</v>
      </c>
      <c r="S2333" s="2" t="n">
        <v>9</v>
      </c>
      <c r="T2333" s="2" t="n">
        <v>7</v>
      </c>
      <c r="U2333" s="2" t="n">
        <v>7</v>
      </c>
      <c r="V2333" s="2" t="n">
        <v>3</v>
      </c>
      <c r="W2333" s="2" t="n">
        <v>2</v>
      </c>
      <c r="X2333" s="2" t="n">
        <v>3</v>
      </c>
      <c r="Y2333" s="2" t="n">
        <v>4</v>
      </c>
      <c r="Z2333" s="2" t="n">
        <v>4</v>
      </c>
    </row>
    <row r="2334" customFormat="false" ht="15" hidden="false" customHeight="true" outlineLevel="0" collapsed="false">
      <c r="A2334" s="2" t="n">
        <v>38</v>
      </c>
      <c r="B2334" s="2" t="s">
        <v>26</v>
      </c>
      <c r="C2334" s="2" t="s">
        <v>27</v>
      </c>
      <c r="D2334" s="2" t="s">
        <v>35</v>
      </c>
      <c r="E2334" s="2" t="n">
        <v>2</v>
      </c>
      <c r="F2334" s="2" t="n">
        <v>3</v>
      </c>
      <c r="G2334" s="2" t="s">
        <v>29</v>
      </c>
      <c r="H2334" s="2" t="n">
        <v>2333</v>
      </c>
      <c r="I2334" s="2" t="s">
        <v>30</v>
      </c>
      <c r="J2334" s="2" t="n">
        <v>1</v>
      </c>
      <c r="K2334" s="2" t="s">
        <v>47</v>
      </c>
      <c r="L2334" s="2" t="s">
        <v>37</v>
      </c>
      <c r="M2334" s="2" t="n">
        <v>27780</v>
      </c>
      <c r="N2334" s="2" t="n">
        <v>2</v>
      </c>
      <c r="O2334" s="2" t="n">
        <v>13</v>
      </c>
      <c r="P2334" s="2" t="n">
        <v>0</v>
      </c>
      <c r="Q2334" s="2" t="n">
        <v>8</v>
      </c>
      <c r="R2334" s="2" t="n">
        <v>5</v>
      </c>
      <c r="S2334" s="2" t="n">
        <v>3</v>
      </c>
      <c r="T2334" s="2" t="n">
        <v>1</v>
      </c>
      <c r="U2334" s="2" t="n">
        <v>2</v>
      </c>
      <c r="V2334" s="2" t="n">
        <v>2</v>
      </c>
      <c r="W2334" s="2" t="n">
        <v>2</v>
      </c>
      <c r="X2334" s="2" t="n">
        <v>4</v>
      </c>
      <c r="Y2334" s="2" t="n">
        <v>2</v>
      </c>
      <c r="Z2334" s="2" t="n">
        <v>3</v>
      </c>
    </row>
    <row r="2335" customFormat="false" ht="15" hidden="false" customHeight="true" outlineLevel="0" collapsed="false">
      <c r="A2335" s="2" t="n">
        <v>36</v>
      </c>
      <c r="B2335" s="2" t="s">
        <v>26</v>
      </c>
      <c r="C2335" s="2" t="s">
        <v>27</v>
      </c>
      <c r="D2335" s="2" t="s">
        <v>42</v>
      </c>
      <c r="E2335" s="2" t="n">
        <v>1</v>
      </c>
      <c r="F2335" s="2" t="n">
        <v>3</v>
      </c>
      <c r="G2335" s="2" t="s">
        <v>42</v>
      </c>
      <c r="H2335" s="2" t="n">
        <v>2334</v>
      </c>
      <c r="I2335" s="2" t="s">
        <v>39</v>
      </c>
      <c r="J2335" s="2" t="n">
        <v>1</v>
      </c>
      <c r="K2335" s="2" t="s">
        <v>36</v>
      </c>
      <c r="L2335" s="2" t="s">
        <v>37</v>
      </c>
      <c r="M2335" s="2" t="n">
        <v>23770</v>
      </c>
      <c r="N2335" s="2" t="n">
        <v>6</v>
      </c>
      <c r="O2335" s="2" t="n">
        <v>13</v>
      </c>
      <c r="P2335" s="2" t="n">
        <v>2</v>
      </c>
      <c r="Q2335" s="2" t="n">
        <v>15</v>
      </c>
      <c r="R2335" s="2" t="n">
        <v>3</v>
      </c>
      <c r="S2335" s="2" t="n">
        <v>1</v>
      </c>
      <c r="T2335" s="2" t="n">
        <v>0</v>
      </c>
      <c r="U2335" s="2" t="n">
        <v>0</v>
      </c>
      <c r="V2335" s="2" t="n">
        <v>2</v>
      </c>
      <c r="W2335" s="2" t="n">
        <v>3</v>
      </c>
      <c r="X2335" s="2" t="n">
        <v>3</v>
      </c>
      <c r="Y2335" s="2" t="n">
        <v>3</v>
      </c>
      <c r="Z2335" s="2" t="n">
        <v>3</v>
      </c>
    </row>
    <row r="2336" customFormat="false" ht="15" hidden="false" customHeight="true" outlineLevel="0" collapsed="false">
      <c r="A2336" s="2" t="n">
        <v>29</v>
      </c>
      <c r="B2336" s="2" t="s">
        <v>26</v>
      </c>
      <c r="C2336" s="2" t="s">
        <v>27</v>
      </c>
      <c r="D2336" s="2" t="s">
        <v>35</v>
      </c>
      <c r="E2336" s="2" t="n">
        <v>10</v>
      </c>
      <c r="F2336" s="2" t="n">
        <v>3</v>
      </c>
      <c r="G2336" s="2" t="s">
        <v>29</v>
      </c>
      <c r="H2336" s="2" t="n">
        <v>2335</v>
      </c>
      <c r="I2336" s="2" t="s">
        <v>39</v>
      </c>
      <c r="J2336" s="2" t="n">
        <v>1</v>
      </c>
      <c r="K2336" s="2" t="s">
        <v>48</v>
      </c>
      <c r="L2336" s="2" t="s">
        <v>37</v>
      </c>
      <c r="M2336" s="2" t="n">
        <v>24040</v>
      </c>
      <c r="N2336" s="2" t="n">
        <v>1</v>
      </c>
      <c r="O2336" s="2" t="n">
        <v>17</v>
      </c>
      <c r="P2336" s="2" t="n">
        <v>0</v>
      </c>
      <c r="Q2336" s="2" t="n">
        <v>10</v>
      </c>
      <c r="R2336" s="2" t="n">
        <v>3</v>
      </c>
      <c r="S2336" s="2" t="n">
        <v>10</v>
      </c>
      <c r="T2336" s="2" t="n">
        <v>1</v>
      </c>
      <c r="U2336" s="2" t="n">
        <v>5</v>
      </c>
      <c r="V2336" s="2" t="n">
        <v>2</v>
      </c>
      <c r="W2336" s="2" t="n">
        <v>1</v>
      </c>
      <c r="X2336" s="2" t="n">
        <v>3</v>
      </c>
      <c r="Y2336" s="2" t="n">
        <v>2</v>
      </c>
      <c r="Z2336" s="2" t="n">
        <v>3</v>
      </c>
    </row>
    <row r="2337" customFormat="false" ht="15" hidden="false" customHeight="true" outlineLevel="0" collapsed="false">
      <c r="A2337" s="2" t="n">
        <v>35</v>
      </c>
      <c r="B2337" s="2" t="s">
        <v>26</v>
      </c>
      <c r="C2337" s="2" t="s">
        <v>27</v>
      </c>
      <c r="D2337" s="2" t="s">
        <v>28</v>
      </c>
      <c r="E2337" s="2" t="n">
        <v>12</v>
      </c>
      <c r="F2337" s="2" t="n">
        <v>2</v>
      </c>
      <c r="G2337" s="2" t="s">
        <v>29</v>
      </c>
      <c r="H2337" s="2" t="n">
        <v>2336</v>
      </c>
      <c r="I2337" s="2" t="s">
        <v>30</v>
      </c>
      <c r="J2337" s="2" t="n">
        <v>2</v>
      </c>
      <c r="K2337" s="2" t="s">
        <v>40</v>
      </c>
      <c r="L2337" s="2" t="s">
        <v>37</v>
      </c>
      <c r="M2337" s="2" t="n">
        <v>23180</v>
      </c>
      <c r="N2337" s="2" t="n">
        <v>3</v>
      </c>
      <c r="O2337" s="2" t="n">
        <v>19</v>
      </c>
      <c r="P2337" s="2" t="n">
        <v>0</v>
      </c>
      <c r="Q2337" s="2" t="n">
        <v>10</v>
      </c>
      <c r="R2337" s="2" t="n">
        <v>4</v>
      </c>
      <c r="S2337" s="2" t="n">
        <v>5</v>
      </c>
      <c r="T2337" s="2" t="n">
        <v>0</v>
      </c>
      <c r="U2337" s="2" t="n">
        <v>4</v>
      </c>
      <c r="V2337" s="2" t="n">
        <v>1</v>
      </c>
      <c r="W2337" s="2" t="n">
        <v>3</v>
      </c>
      <c r="X2337" s="2" t="n">
        <v>3</v>
      </c>
      <c r="Y2337" s="2" t="n">
        <v>4</v>
      </c>
      <c r="Z2337" s="2" t="n">
        <v>3</v>
      </c>
    </row>
    <row r="2338" customFormat="false" ht="15" hidden="false" customHeight="true" outlineLevel="0" collapsed="false">
      <c r="A2338" s="2" t="n">
        <v>39</v>
      </c>
      <c r="B2338" s="2" t="s">
        <v>26</v>
      </c>
      <c r="C2338" s="2" t="s">
        <v>27</v>
      </c>
      <c r="D2338" s="2" t="s">
        <v>28</v>
      </c>
      <c r="E2338" s="2" t="n">
        <v>2</v>
      </c>
      <c r="F2338" s="2" t="n">
        <v>2</v>
      </c>
      <c r="G2338" s="2" t="s">
        <v>43</v>
      </c>
      <c r="H2338" s="2" t="n">
        <v>2337</v>
      </c>
      <c r="I2338" s="2" t="s">
        <v>30</v>
      </c>
      <c r="J2338" s="2" t="n">
        <v>1</v>
      </c>
      <c r="K2338" s="2" t="s">
        <v>40</v>
      </c>
      <c r="L2338" s="2" t="s">
        <v>32</v>
      </c>
      <c r="M2338" s="2" t="n">
        <v>20080</v>
      </c>
      <c r="N2338" s="2" t="n">
        <v>2</v>
      </c>
      <c r="O2338" s="2" t="n">
        <v>12</v>
      </c>
      <c r="P2338" s="2" t="n">
        <v>0</v>
      </c>
      <c r="Q2338" s="2" t="n">
        <v>11</v>
      </c>
      <c r="R2338" s="2" t="n">
        <v>3</v>
      </c>
      <c r="S2338" s="2" t="n">
        <v>7</v>
      </c>
      <c r="T2338" s="2" t="n">
        <v>7</v>
      </c>
      <c r="U2338" s="2" t="n">
        <v>6</v>
      </c>
      <c r="V2338" s="2" t="n">
        <v>4</v>
      </c>
      <c r="W2338" s="2" t="n">
        <v>3</v>
      </c>
      <c r="X2338" s="2" t="n">
        <v>3</v>
      </c>
      <c r="Y2338" s="2" t="n">
        <v>3</v>
      </c>
      <c r="Z2338" s="2" t="n">
        <v>3</v>
      </c>
    </row>
    <row r="2339" customFormat="false" ht="15" hidden="false" customHeight="true" outlineLevel="0" collapsed="false">
      <c r="A2339" s="2" t="n">
        <v>29</v>
      </c>
      <c r="B2339" s="2" t="s">
        <v>26</v>
      </c>
      <c r="C2339" s="2" t="s">
        <v>34</v>
      </c>
      <c r="D2339" s="2" t="s">
        <v>35</v>
      </c>
      <c r="E2339" s="2" t="n">
        <v>5</v>
      </c>
      <c r="F2339" s="2" t="n">
        <v>1</v>
      </c>
      <c r="G2339" s="2" t="s">
        <v>43</v>
      </c>
      <c r="H2339" s="2" t="n">
        <v>2338</v>
      </c>
      <c r="I2339" s="2" t="s">
        <v>30</v>
      </c>
      <c r="J2339" s="2" t="n">
        <v>1</v>
      </c>
      <c r="K2339" s="2" t="s">
        <v>36</v>
      </c>
      <c r="L2339" s="2" t="s">
        <v>46</v>
      </c>
      <c r="M2339" s="2" t="n">
        <v>62440</v>
      </c>
      <c r="N2339" s="2" t="n">
        <v>1</v>
      </c>
      <c r="O2339" s="2" t="n">
        <v>22</v>
      </c>
      <c r="P2339" s="2" t="n">
        <v>0</v>
      </c>
      <c r="Q2339" s="2" t="n">
        <v>6</v>
      </c>
      <c r="R2339" s="2" t="n">
        <v>3</v>
      </c>
      <c r="S2339" s="2" t="n">
        <v>6</v>
      </c>
      <c r="T2339" s="2" t="n">
        <v>1</v>
      </c>
      <c r="U2339" s="2" t="n">
        <v>3</v>
      </c>
      <c r="V2339" s="2" t="n">
        <v>1</v>
      </c>
      <c r="W2339" s="2" t="n">
        <v>4</v>
      </c>
      <c r="X2339" s="2" t="n">
        <v>4</v>
      </c>
      <c r="Y2339" s="2" t="n">
        <v>3</v>
      </c>
      <c r="Z2339" s="2" t="n">
        <v>4</v>
      </c>
    </row>
    <row r="2340" customFormat="false" ht="15" hidden="false" customHeight="true" outlineLevel="0" collapsed="false">
      <c r="A2340" s="2" t="n">
        <v>50</v>
      </c>
      <c r="B2340" s="2" t="s">
        <v>26</v>
      </c>
      <c r="C2340" s="2" t="s">
        <v>27</v>
      </c>
      <c r="D2340" s="2" t="s">
        <v>35</v>
      </c>
      <c r="E2340" s="2" t="n">
        <v>4</v>
      </c>
      <c r="F2340" s="2" t="n">
        <v>2</v>
      </c>
      <c r="G2340" s="2" t="s">
        <v>43</v>
      </c>
      <c r="H2340" s="2" t="n">
        <v>2339</v>
      </c>
      <c r="I2340" s="2" t="s">
        <v>30</v>
      </c>
      <c r="J2340" s="2" t="n">
        <v>1</v>
      </c>
      <c r="K2340" s="2" t="s">
        <v>45</v>
      </c>
      <c r="L2340" s="2" t="s">
        <v>32</v>
      </c>
      <c r="M2340" s="2" t="n">
        <v>27990</v>
      </c>
      <c r="N2340" s="2" t="n">
        <v>4</v>
      </c>
      <c r="O2340" s="2" t="n">
        <v>12</v>
      </c>
      <c r="P2340" s="2" t="n">
        <v>1</v>
      </c>
      <c r="Q2340" s="2" t="n">
        <v>27</v>
      </c>
      <c r="R2340" s="2" t="n">
        <v>0</v>
      </c>
      <c r="S2340" s="2" t="n">
        <v>1</v>
      </c>
      <c r="T2340" s="2" t="n">
        <v>0</v>
      </c>
      <c r="U2340" s="2" t="n">
        <v>0</v>
      </c>
      <c r="V2340" s="2" t="n">
        <v>3</v>
      </c>
      <c r="W2340" s="2" t="n">
        <v>3</v>
      </c>
      <c r="X2340" s="2" t="n">
        <v>3</v>
      </c>
      <c r="Y2340" s="2" t="n">
        <v>1</v>
      </c>
      <c r="Z2340" s="2" t="n">
        <v>3</v>
      </c>
    </row>
    <row r="2341" customFormat="false" ht="15" hidden="false" customHeight="true" outlineLevel="0" collapsed="false">
      <c r="A2341" s="2" t="n">
        <v>23</v>
      </c>
      <c r="B2341" s="2" t="s">
        <v>26</v>
      </c>
      <c r="C2341" s="2" t="s">
        <v>27</v>
      </c>
      <c r="D2341" s="2" t="s">
        <v>35</v>
      </c>
      <c r="E2341" s="2" t="n">
        <v>7</v>
      </c>
      <c r="F2341" s="2" t="n">
        <v>2</v>
      </c>
      <c r="G2341" s="2" t="s">
        <v>29</v>
      </c>
      <c r="H2341" s="2" t="n">
        <v>2340</v>
      </c>
      <c r="I2341" s="2" t="s">
        <v>30</v>
      </c>
      <c r="J2341" s="2" t="n">
        <v>3</v>
      </c>
      <c r="K2341" s="2" t="s">
        <v>49</v>
      </c>
      <c r="L2341" s="2" t="s">
        <v>32</v>
      </c>
      <c r="M2341" s="2" t="n">
        <v>105520</v>
      </c>
      <c r="N2341" s="2" t="n">
        <v>2</v>
      </c>
      <c r="O2341" s="2" t="n">
        <v>11</v>
      </c>
      <c r="P2341" s="2" t="n">
        <v>0</v>
      </c>
      <c r="Q2341" s="2" t="n">
        <v>4</v>
      </c>
      <c r="R2341" s="2" t="n">
        <v>2</v>
      </c>
      <c r="S2341" s="2" t="n">
        <v>2</v>
      </c>
      <c r="T2341" s="2" t="n">
        <v>2</v>
      </c>
      <c r="U2341" s="2" t="n">
        <v>2</v>
      </c>
      <c r="V2341" s="2" t="n">
        <v>4</v>
      </c>
      <c r="W2341" s="2" t="n">
        <v>3</v>
      </c>
      <c r="X2341" s="2" t="n">
        <v>3</v>
      </c>
      <c r="Y2341" s="2" t="n">
        <v>3</v>
      </c>
      <c r="Z2341" s="2" t="n">
        <v>3</v>
      </c>
    </row>
    <row r="2342" customFormat="false" ht="15" hidden="false" customHeight="true" outlineLevel="0" collapsed="false">
      <c r="A2342" s="2" t="n">
        <v>36</v>
      </c>
      <c r="B2342" s="2" t="s">
        <v>26</v>
      </c>
      <c r="C2342" s="2" t="s">
        <v>34</v>
      </c>
      <c r="D2342" s="2" t="s">
        <v>28</v>
      </c>
      <c r="E2342" s="2" t="n">
        <v>21</v>
      </c>
      <c r="F2342" s="2" t="n">
        <v>3</v>
      </c>
      <c r="G2342" s="2" t="s">
        <v>29</v>
      </c>
      <c r="H2342" s="2" t="n">
        <v>2341</v>
      </c>
      <c r="I2342" s="2" t="s">
        <v>39</v>
      </c>
      <c r="J2342" s="2" t="n">
        <v>2</v>
      </c>
      <c r="K2342" s="2" t="s">
        <v>42</v>
      </c>
      <c r="L2342" s="2" t="s">
        <v>32</v>
      </c>
      <c r="M2342" s="2" t="n">
        <v>23290</v>
      </c>
      <c r="N2342" s="2" t="n">
        <v>3</v>
      </c>
      <c r="O2342" s="2" t="n">
        <v>15</v>
      </c>
      <c r="P2342" s="2" t="n">
        <v>0</v>
      </c>
      <c r="Q2342" s="2" t="n">
        <v>9</v>
      </c>
      <c r="R2342" s="2" t="n">
        <v>2</v>
      </c>
      <c r="S2342" s="2" t="n">
        <v>3</v>
      </c>
      <c r="T2342" s="2" t="n">
        <v>0</v>
      </c>
      <c r="U2342" s="2" t="n">
        <v>2</v>
      </c>
      <c r="V2342" s="2" t="n">
        <v>1</v>
      </c>
      <c r="W2342" s="2" t="n">
        <v>1</v>
      </c>
      <c r="X2342" s="2" t="n">
        <v>3</v>
      </c>
      <c r="Y2342" s="2" t="n">
        <v>3</v>
      </c>
      <c r="Z2342" s="2" t="n">
        <v>3</v>
      </c>
    </row>
    <row r="2343" customFormat="false" ht="15" hidden="false" customHeight="true" outlineLevel="0" collapsed="false">
      <c r="A2343" s="2" t="n">
        <v>42</v>
      </c>
      <c r="B2343" s="2" t="s">
        <v>26</v>
      </c>
      <c r="C2343" s="2" t="s">
        <v>27</v>
      </c>
      <c r="D2343" s="2" t="s">
        <v>35</v>
      </c>
      <c r="E2343" s="2" t="n">
        <v>8</v>
      </c>
      <c r="F2343" s="2" t="n">
        <v>2</v>
      </c>
      <c r="G2343" s="2" t="s">
        <v>29</v>
      </c>
      <c r="H2343" s="2" t="n">
        <v>2342</v>
      </c>
      <c r="I2343" s="2" t="s">
        <v>30</v>
      </c>
      <c r="J2343" s="2" t="n">
        <v>5</v>
      </c>
      <c r="K2343" s="2" t="s">
        <v>49</v>
      </c>
      <c r="L2343" s="2" t="s">
        <v>37</v>
      </c>
      <c r="M2343" s="2" t="n">
        <v>40140</v>
      </c>
      <c r="N2343" s="2" t="n">
        <v>8</v>
      </c>
      <c r="O2343" s="2" t="n">
        <v>13</v>
      </c>
      <c r="P2343" s="2" t="n">
        <v>1</v>
      </c>
      <c r="Q2343" s="2" t="n">
        <v>24</v>
      </c>
      <c r="R2343" s="2" t="n">
        <v>3</v>
      </c>
      <c r="S2343" s="2" t="n">
        <v>1</v>
      </c>
      <c r="T2343" s="2" t="n">
        <v>0</v>
      </c>
      <c r="U2343" s="2" t="n">
        <v>1</v>
      </c>
      <c r="V2343" s="2" t="n">
        <v>4</v>
      </c>
      <c r="W2343" s="2" t="n">
        <v>4</v>
      </c>
      <c r="X2343" s="2" t="n">
        <v>3</v>
      </c>
      <c r="Y2343" s="2" t="n">
        <v>3</v>
      </c>
      <c r="Z2343" s="2" t="n">
        <v>3</v>
      </c>
    </row>
    <row r="2344" customFormat="false" ht="15" hidden="false" customHeight="true" outlineLevel="0" collapsed="false">
      <c r="A2344" s="2" t="n">
        <v>35</v>
      </c>
      <c r="B2344" s="2" t="s">
        <v>26</v>
      </c>
      <c r="C2344" s="2" t="s">
        <v>27</v>
      </c>
      <c r="D2344" s="2" t="s">
        <v>28</v>
      </c>
      <c r="E2344" s="2" t="n">
        <v>4</v>
      </c>
      <c r="F2344" s="2" t="n">
        <v>3</v>
      </c>
      <c r="G2344" s="2" t="s">
        <v>43</v>
      </c>
      <c r="H2344" s="2" t="n">
        <v>2343</v>
      </c>
      <c r="I2344" s="2" t="s">
        <v>30</v>
      </c>
      <c r="J2344" s="2" t="n">
        <v>2</v>
      </c>
      <c r="K2344" s="2" t="s">
        <v>45</v>
      </c>
      <c r="L2344" s="2" t="s">
        <v>32</v>
      </c>
      <c r="M2344" s="2" t="n">
        <v>74030</v>
      </c>
      <c r="N2344" s="2" t="n">
        <v>1</v>
      </c>
      <c r="O2344" s="2" t="n">
        <v>12</v>
      </c>
      <c r="P2344" s="2" t="n">
        <v>1</v>
      </c>
      <c r="Q2344" s="2" t="n">
        <v>10</v>
      </c>
      <c r="R2344" s="2" t="n">
        <v>4</v>
      </c>
      <c r="S2344" s="2" t="n">
        <v>10</v>
      </c>
      <c r="T2344" s="2" t="n">
        <v>6</v>
      </c>
      <c r="U2344" s="2" t="n">
        <v>8</v>
      </c>
      <c r="V2344" s="2" t="n">
        <v>2</v>
      </c>
      <c r="W2344" s="2" t="n">
        <v>3</v>
      </c>
      <c r="X2344" s="2" t="n">
        <v>2</v>
      </c>
      <c r="Y2344" s="2" t="n">
        <v>3</v>
      </c>
      <c r="Z2344" s="2" t="n">
        <v>3</v>
      </c>
    </row>
    <row r="2345" customFormat="false" ht="15" hidden="false" customHeight="true" outlineLevel="0" collapsed="false">
      <c r="A2345" s="2" t="n">
        <v>34</v>
      </c>
      <c r="B2345" s="2" t="s">
        <v>26</v>
      </c>
      <c r="C2345" s="2" t="s">
        <v>34</v>
      </c>
      <c r="D2345" s="2" t="s">
        <v>35</v>
      </c>
      <c r="E2345" s="2" t="n">
        <v>25</v>
      </c>
      <c r="F2345" s="2" t="n">
        <v>1</v>
      </c>
      <c r="G2345" s="2" t="s">
        <v>29</v>
      </c>
      <c r="H2345" s="2" t="n">
        <v>2344</v>
      </c>
      <c r="I2345" s="2" t="s">
        <v>30</v>
      </c>
      <c r="J2345" s="2" t="n">
        <v>1</v>
      </c>
      <c r="K2345" s="2" t="s">
        <v>49</v>
      </c>
      <c r="L2345" s="2" t="s">
        <v>32</v>
      </c>
      <c r="M2345" s="2" t="n">
        <v>22590</v>
      </c>
      <c r="N2345" s="2" t="n">
        <v>1</v>
      </c>
      <c r="O2345" s="2" t="n">
        <v>14</v>
      </c>
      <c r="P2345" s="2" t="n">
        <v>0</v>
      </c>
      <c r="Q2345" s="2" t="n">
        <v>8</v>
      </c>
      <c r="R2345" s="2" t="n">
        <v>2</v>
      </c>
      <c r="S2345" s="2" t="n">
        <v>8</v>
      </c>
      <c r="T2345" s="2" t="n">
        <v>7</v>
      </c>
      <c r="U2345" s="2" t="n">
        <v>7</v>
      </c>
      <c r="V2345" s="2" t="n">
        <v>4</v>
      </c>
      <c r="W2345" s="2" t="n">
        <v>3</v>
      </c>
      <c r="X2345" s="2" t="n">
        <v>2</v>
      </c>
      <c r="Y2345" s="2" t="n">
        <v>3</v>
      </c>
      <c r="Z2345" s="2" t="n">
        <v>3</v>
      </c>
    </row>
    <row r="2346" customFormat="false" ht="15" hidden="false" customHeight="true" outlineLevel="0" collapsed="false">
      <c r="A2346" s="2" t="n">
        <v>40</v>
      </c>
      <c r="B2346" s="2" t="s">
        <v>26</v>
      </c>
      <c r="C2346" s="2" t="s">
        <v>27</v>
      </c>
      <c r="D2346" s="2" t="s">
        <v>35</v>
      </c>
      <c r="E2346" s="2" t="n">
        <v>1</v>
      </c>
      <c r="F2346" s="2" t="n">
        <v>4</v>
      </c>
      <c r="G2346" s="2" t="s">
        <v>29</v>
      </c>
      <c r="H2346" s="2" t="n">
        <v>2345</v>
      </c>
      <c r="I2346" s="2" t="s">
        <v>39</v>
      </c>
      <c r="J2346" s="2" t="n">
        <v>2</v>
      </c>
      <c r="K2346" s="2" t="s">
        <v>45</v>
      </c>
      <c r="L2346" s="2" t="s">
        <v>32</v>
      </c>
      <c r="M2346" s="2" t="n">
        <v>69320</v>
      </c>
      <c r="N2346" s="2" t="n">
        <v>1</v>
      </c>
      <c r="O2346" s="2" t="n">
        <v>13</v>
      </c>
      <c r="P2346" s="2" t="n">
        <v>0</v>
      </c>
      <c r="Q2346" s="2" t="n">
        <v>5</v>
      </c>
      <c r="R2346" s="2" t="n">
        <v>5</v>
      </c>
      <c r="S2346" s="2" t="n">
        <v>5</v>
      </c>
      <c r="T2346" s="2" t="n">
        <v>1</v>
      </c>
      <c r="U2346" s="2" t="n">
        <v>2</v>
      </c>
      <c r="V2346" s="2" t="n">
        <v>4</v>
      </c>
      <c r="W2346" s="2" t="n">
        <v>1</v>
      </c>
      <c r="X2346" s="2" t="n">
        <v>3</v>
      </c>
      <c r="Y2346" s="2" t="n">
        <v>3</v>
      </c>
      <c r="Z2346" s="2" t="n">
        <v>3</v>
      </c>
    </row>
    <row r="2347" customFormat="false" ht="15" hidden="false" customHeight="true" outlineLevel="0" collapsed="false">
      <c r="A2347" s="2" t="n">
        <v>43</v>
      </c>
      <c r="B2347" s="2" t="s">
        <v>26</v>
      </c>
      <c r="C2347" s="2" t="s">
        <v>27</v>
      </c>
      <c r="D2347" s="2" t="s">
        <v>35</v>
      </c>
      <c r="E2347" s="2" t="n">
        <v>1</v>
      </c>
      <c r="F2347" s="2" t="n">
        <v>1</v>
      </c>
      <c r="G2347" s="2" t="s">
        <v>38</v>
      </c>
      <c r="H2347" s="2" t="n">
        <v>2346</v>
      </c>
      <c r="I2347" s="2" t="s">
        <v>39</v>
      </c>
      <c r="J2347" s="2" t="n">
        <v>1</v>
      </c>
      <c r="K2347" s="2" t="s">
        <v>49</v>
      </c>
      <c r="L2347" s="2" t="s">
        <v>46</v>
      </c>
      <c r="M2347" s="2" t="n">
        <v>46780</v>
      </c>
      <c r="N2347" s="2" t="n">
        <v>5</v>
      </c>
      <c r="O2347" s="2" t="n">
        <v>25</v>
      </c>
      <c r="P2347" s="2" t="n">
        <v>1</v>
      </c>
      <c r="Q2347" s="2" t="n">
        <v>8</v>
      </c>
      <c r="R2347" s="2" t="n">
        <v>0</v>
      </c>
      <c r="S2347" s="2" t="n">
        <v>6</v>
      </c>
      <c r="T2347" s="2" t="n">
        <v>0</v>
      </c>
      <c r="U2347" s="2" t="n">
        <v>2</v>
      </c>
      <c r="V2347" s="2" t="n">
        <v>4</v>
      </c>
      <c r="W2347" s="2" t="n">
        <v>2</v>
      </c>
      <c r="X2347" s="2" t="n">
        <v>3</v>
      </c>
      <c r="Y2347" s="2" t="n">
        <v>4</v>
      </c>
      <c r="Z2347" s="2" t="n">
        <v>4</v>
      </c>
    </row>
    <row r="2348" customFormat="false" ht="15" hidden="false" customHeight="true" outlineLevel="0" collapsed="false">
      <c r="A2348" s="2" t="n">
        <v>35</v>
      </c>
      <c r="B2348" s="2" t="s">
        <v>26</v>
      </c>
      <c r="C2348" s="2" t="s">
        <v>27</v>
      </c>
      <c r="D2348" s="2" t="s">
        <v>28</v>
      </c>
      <c r="E2348" s="2" t="n">
        <v>6</v>
      </c>
      <c r="F2348" s="2" t="n">
        <v>3</v>
      </c>
      <c r="G2348" s="2" t="s">
        <v>50</v>
      </c>
      <c r="H2348" s="2" t="n">
        <v>2347</v>
      </c>
      <c r="I2348" s="2" t="s">
        <v>30</v>
      </c>
      <c r="J2348" s="2" t="n">
        <v>3</v>
      </c>
      <c r="K2348" s="2" t="s">
        <v>48</v>
      </c>
      <c r="L2348" s="2" t="s">
        <v>32</v>
      </c>
      <c r="M2348" s="2" t="n">
        <v>135820</v>
      </c>
      <c r="N2348" s="2" t="n">
        <v>1</v>
      </c>
      <c r="O2348" s="2" t="n">
        <v>17</v>
      </c>
      <c r="P2348" s="2" t="n">
        <v>1</v>
      </c>
      <c r="Q2348" s="2" t="n">
        <v>1</v>
      </c>
      <c r="R2348" s="2" t="n">
        <v>3</v>
      </c>
      <c r="S2348" s="2" t="n">
        <v>1</v>
      </c>
      <c r="T2348" s="2" t="n">
        <v>0</v>
      </c>
      <c r="U2348" s="2" t="n">
        <v>1</v>
      </c>
      <c r="V2348" s="2" t="n">
        <v>3</v>
      </c>
      <c r="W2348" s="2" t="n">
        <v>4</v>
      </c>
      <c r="X2348" s="2" t="n">
        <v>2</v>
      </c>
      <c r="Y2348" s="2" t="n">
        <v>2</v>
      </c>
      <c r="Z2348" s="2" t="n">
        <v>3</v>
      </c>
    </row>
    <row r="2349" customFormat="false" ht="15" hidden="false" customHeight="true" outlineLevel="0" collapsed="false">
      <c r="A2349" s="2" t="n">
        <v>46</v>
      </c>
      <c r="B2349" s="2" t="s">
        <v>26</v>
      </c>
      <c r="C2349" s="2" t="s">
        <v>27</v>
      </c>
      <c r="D2349" s="2" t="s">
        <v>35</v>
      </c>
      <c r="E2349" s="2" t="n">
        <v>12</v>
      </c>
      <c r="F2349" s="2" t="n">
        <v>4</v>
      </c>
      <c r="G2349" s="2" t="s">
        <v>51</v>
      </c>
      <c r="H2349" s="2" t="n">
        <v>2348</v>
      </c>
      <c r="I2349" s="2" t="s">
        <v>39</v>
      </c>
      <c r="J2349" s="2" t="n">
        <v>1</v>
      </c>
      <c r="K2349" s="2" t="s">
        <v>45</v>
      </c>
      <c r="L2349" s="2" t="s">
        <v>37</v>
      </c>
      <c r="M2349" s="2" t="n">
        <v>23320</v>
      </c>
      <c r="N2349" s="2" t="n">
        <v>1</v>
      </c>
      <c r="O2349" s="2" t="n">
        <v>11</v>
      </c>
      <c r="P2349" s="2" t="n">
        <v>0</v>
      </c>
      <c r="Q2349" s="2" t="n">
        <v>27</v>
      </c>
      <c r="R2349" s="2" t="n">
        <v>2</v>
      </c>
      <c r="S2349" s="2" t="n">
        <v>26</v>
      </c>
      <c r="T2349" s="2" t="n">
        <v>0</v>
      </c>
      <c r="U2349" s="2" t="n">
        <v>12</v>
      </c>
      <c r="V2349" s="2" t="n">
        <v>4</v>
      </c>
      <c r="W2349" s="2" t="n">
        <v>1</v>
      </c>
      <c r="X2349" s="2" t="n">
        <v>1</v>
      </c>
      <c r="Y2349" s="2" t="n">
        <v>3</v>
      </c>
      <c r="Z2349" s="2" t="n">
        <v>3</v>
      </c>
    </row>
    <row r="2350" customFormat="false" ht="15" hidden="false" customHeight="true" outlineLevel="0" collapsed="false">
      <c r="A2350" s="2" t="n">
        <v>28</v>
      </c>
      <c r="B2350" s="2" t="s">
        <v>33</v>
      </c>
      <c r="C2350" s="2" t="s">
        <v>27</v>
      </c>
      <c r="D2350" s="2" t="s">
        <v>42</v>
      </c>
      <c r="E2350" s="2" t="n">
        <v>1</v>
      </c>
      <c r="F2350" s="2" t="n">
        <v>3</v>
      </c>
      <c r="G2350" s="2" t="s">
        <v>43</v>
      </c>
      <c r="H2350" s="2" t="n">
        <v>2349</v>
      </c>
      <c r="I2350" s="2" t="s">
        <v>30</v>
      </c>
      <c r="J2350" s="2" t="n">
        <v>2</v>
      </c>
      <c r="K2350" s="2" t="s">
        <v>45</v>
      </c>
      <c r="L2350" s="2" t="s">
        <v>32</v>
      </c>
      <c r="M2350" s="2" t="n">
        <v>24130</v>
      </c>
      <c r="N2350" s="2" t="n">
        <v>1</v>
      </c>
      <c r="O2350" s="2" t="n">
        <v>16</v>
      </c>
      <c r="P2350" s="2" t="n">
        <v>1</v>
      </c>
      <c r="Q2350" s="2" t="n">
        <v>1</v>
      </c>
      <c r="R2350" s="2" t="n">
        <v>2</v>
      </c>
      <c r="S2350" s="2" t="n">
        <v>1</v>
      </c>
      <c r="T2350" s="2" t="n">
        <v>0</v>
      </c>
      <c r="U2350" s="2" t="n">
        <v>0</v>
      </c>
      <c r="V2350" s="2" t="n">
        <v>3</v>
      </c>
      <c r="W2350" s="2" t="n">
        <v>2</v>
      </c>
      <c r="X2350" s="2" t="n">
        <v>3</v>
      </c>
      <c r="Y2350" s="2" t="n">
        <v>3</v>
      </c>
      <c r="Z2350" s="2" t="n">
        <v>3</v>
      </c>
    </row>
    <row r="2351" customFormat="false" ht="15" hidden="false" customHeight="true" outlineLevel="0" collapsed="false">
      <c r="A2351" s="2" t="n">
        <v>22</v>
      </c>
      <c r="B2351" s="2" t="s">
        <v>26</v>
      </c>
      <c r="C2351" s="2" t="s">
        <v>41</v>
      </c>
      <c r="D2351" s="2" t="s">
        <v>28</v>
      </c>
      <c r="E2351" s="2" t="n">
        <v>17</v>
      </c>
      <c r="F2351" s="2" t="n">
        <v>2</v>
      </c>
      <c r="G2351" s="2" t="s">
        <v>50</v>
      </c>
      <c r="H2351" s="2" t="n">
        <v>2350</v>
      </c>
      <c r="I2351" s="2" t="s">
        <v>39</v>
      </c>
      <c r="J2351" s="2" t="n">
        <v>3</v>
      </c>
      <c r="K2351" s="2" t="s">
        <v>40</v>
      </c>
      <c r="L2351" s="2" t="s">
        <v>32</v>
      </c>
      <c r="M2351" s="2" t="n">
        <v>97050</v>
      </c>
      <c r="N2351" s="2" t="n">
        <v>1</v>
      </c>
      <c r="O2351" s="2" t="n">
        <v>18</v>
      </c>
      <c r="P2351" s="2" t="n">
        <v>2</v>
      </c>
      <c r="Q2351" s="2" t="n">
        <v>4</v>
      </c>
      <c r="R2351" s="2" t="n">
        <v>3</v>
      </c>
      <c r="S2351" s="2" t="n">
        <v>4</v>
      </c>
      <c r="T2351" s="2" t="n">
        <v>1</v>
      </c>
      <c r="U2351" s="2" t="n">
        <v>3</v>
      </c>
      <c r="V2351" s="2" t="n">
        <v>2</v>
      </c>
      <c r="W2351" s="2" t="n">
        <v>3</v>
      </c>
      <c r="X2351" s="2" t="n">
        <v>2</v>
      </c>
      <c r="Y2351" s="2" t="n">
        <v>2</v>
      </c>
      <c r="Z2351" s="2" t="n">
        <v>3</v>
      </c>
    </row>
    <row r="2352" customFormat="false" ht="15" hidden="false" customHeight="true" outlineLevel="0" collapsed="false">
      <c r="A2352" s="2" t="n">
        <v>50</v>
      </c>
      <c r="B2352" s="2" t="s">
        <v>26</v>
      </c>
      <c r="C2352" s="2" t="s">
        <v>34</v>
      </c>
      <c r="D2352" s="2" t="s">
        <v>35</v>
      </c>
      <c r="E2352" s="2" t="n">
        <v>3</v>
      </c>
      <c r="F2352" s="2" t="n">
        <v>3</v>
      </c>
      <c r="G2352" s="2" t="s">
        <v>38</v>
      </c>
      <c r="H2352" s="2" t="n">
        <v>2351</v>
      </c>
      <c r="I2352" s="2" t="s">
        <v>39</v>
      </c>
      <c r="J2352" s="2" t="n">
        <v>2</v>
      </c>
      <c r="K2352" s="2" t="s">
        <v>36</v>
      </c>
      <c r="L2352" s="2" t="s">
        <v>32</v>
      </c>
      <c r="M2352" s="2" t="n">
        <v>42940</v>
      </c>
      <c r="N2352" s="2" t="n">
        <v>2</v>
      </c>
      <c r="O2352" s="2" t="n">
        <v>20</v>
      </c>
      <c r="P2352" s="2" t="n">
        <v>0</v>
      </c>
      <c r="Q2352" s="2" t="n">
        <v>32</v>
      </c>
      <c r="R2352" s="2" t="n">
        <v>2</v>
      </c>
      <c r="S2352" s="2" t="n">
        <v>30</v>
      </c>
      <c r="T2352" s="2" t="n">
        <v>12</v>
      </c>
      <c r="U2352" s="2" t="n">
        <v>13</v>
      </c>
      <c r="V2352" s="2" t="n">
        <v>2</v>
      </c>
      <c r="W2352" s="2" t="n">
        <v>3</v>
      </c>
      <c r="X2352" s="2" t="n">
        <v>3</v>
      </c>
      <c r="Y2352" s="2" t="n">
        <v>2</v>
      </c>
      <c r="Z2352" s="2" t="n">
        <v>4</v>
      </c>
    </row>
    <row r="2353" customFormat="false" ht="15" hidden="false" customHeight="true" outlineLevel="0" collapsed="false">
      <c r="A2353" s="2" t="n">
        <v>32</v>
      </c>
      <c r="B2353" s="2" t="s">
        <v>26</v>
      </c>
      <c r="C2353" s="2" t="s">
        <v>27</v>
      </c>
      <c r="D2353" s="2" t="s">
        <v>35</v>
      </c>
      <c r="E2353" s="2" t="n">
        <v>3</v>
      </c>
      <c r="F2353" s="2" t="n">
        <v>2</v>
      </c>
      <c r="G2353" s="2" t="s">
        <v>29</v>
      </c>
      <c r="H2353" s="2" t="n">
        <v>2352</v>
      </c>
      <c r="I2353" s="2" t="s">
        <v>39</v>
      </c>
      <c r="J2353" s="2" t="n">
        <v>3</v>
      </c>
      <c r="K2353" s="2" t="s">
        <v>36</v>
      </c>
      <c r="L2353" s="2" t="s">
        <v>32</v>
      </c>
      <c r="M2353" s="2" t="n">
        <v>47210</v>
      </c>
      <c r="N2353" s="2" t="n">
        <v>3</v>
      </c>
      <c r="O2353" s="2" t="n">
        <v>14</v>
      </c>
      <c r="P2353" s="2" t="n">
        <v>1</v>
      </c>
      <c r="Q2353" s="2" t="n">
        <v>6</v>
      </c>
      <c r="R2353" s="2" t="n">
        <v>3</v>
      </c>
      <c r="S2353" s="2" t="n">
        <v>3</v>
      </c>
      <c r="T2353" s="2" t="n">
        <v>0</v>
      </c>
      <c r="U2353" s="2" t="n">
        <v>2</v>
      </c>
      <c r="V2353" s="2" t="n">
        <v>2</v>
      </c>
      <c r="W2353" s="2" t="n">
        <v>4</v>
      </c>
      <c r="X2353" s="2" t="n">
        <v>3</v>
      </c>
      <c r="Y2353" s="2" t="n">
        <v>3</v>
      </c>
      <c r="Z2353" s="2" t="n">
        <v>3</v>
      </c>
    </row>
    <row r="2354" customFormat="false" ht="15" hidden="false" customHeight="true" outlineLevel="0" collapsed="false">
      <c r="A2354" s="2" t="n">
        <v>44</v>
      </c>
      <c r="B2354" s="2" t="s">
        <v>26</v>
      </c>
      <c r="C2354" s="2" t="s">
        <v>27</v>
      </c>
      <c r="D2354" s="2" t="s">
        <v>35</v>
      </c>
      <c r="E2354" s="2" t="n">
        <v>10</v>
      </c>
      <c r="F2354" s="2" t="n">
        <v>3</v>
      </c>
      <c r="G2354" s="2" t="s">
        <v>51</v>
      </c>
      <c r="H2354" s="2" t="n">
        <v>2353</v>
      </c>
      <c r="I2354" s="2" t="s">
        <v>39</v>
      </c>
      <c r="J2354" s="2" t="n">
        <v>3</v>
      </c>
      <c r="K2354" s="2" t="s">
        <v>49</v>
      </c>
      <c r="L2354" s="2" t="s">
        <v>46</v>
      </c>
      <c r="M2354" s="2" t="n">
        <v>25190</v>
      </c>
      <c r="N2354" s="2" t="n">
        <v>0</v>
      </c>
      <c r="O2354" s="2" t="n">
        <v>21</v>
      </c>
      <c r="P2354" s="2" t="n">
        <v>2</v>
      </c>
      <c r="Q2354" s="2" t="n">
        <v>23</v>
      </c>
      <c r="R2354" s="2" t="n">
        <v>2</v>
      </c>
      <c r="S2354" s="2" t="n">
        <v>22</v>
      </c>
      <c r="T2354" s="2" t="n">
        <v>1</v>
      </c>
      <c r="U2354" s="2" t="n">
        <v>10</v>
      </c>
      <c r="V2354" s="2" t="n">
        <v>2</v>
      </c>
      <c r="W2354" s="2" t="n">
        <v>4</v>
      </c>
      <c r="X2354" s="2" t="n">
        <v>2</v>
      </c>
      <c r="Y2354" s="2" t="n">
        <v>3</v>
      </c>
      <c r="Z2354" s="2" t="n">
        <v>4</v>
      </c>
    </row>
    <row r="2355" customFormat="false" ht="15" hidden="false" customHeight="true" outlineLevel="0" collapsed="false">
      <c r="A2355" s="2" t="n">
        <v>30</v>
      </c>
      <c r="B2355" s="2" t="s">
        <v>26</v>
      </c>
      <c r="C2355" s="2" t="s">
        <v>27</v>
      </c>
      <c r="D2355" s="2" t="s">
        <v>35</v>
      </c>
      <c r="E2355" s="2" t="n">
        <v>4</v>
      </c>
      <c r="F2355" s="2" t="n">
        <v>3</v>
      </c>
      <c r="G2355" s="2" t="s">
        <v>43</v>
      </c>
      <c r="H2355" s="2" t="n">
        <v>2354</v>
      </c>
      <c r="I2355" s="2" t="s">
        <v>30</v>
      </c>
      <c r="J2355" s="2" t="n">
        <v>1</v>
      </c>
      <c r="K2355" s="2" t="s">
        <v>44</v>
      </c>
      <c r="L2355" s="2" t="s">
        <v>32</v>
      </c>
      <c r="M2355" s="2" t="n">
        <v>21210</v>
      </c>
      <c r="N2355" s="2" t="n">
        <v>1</v>
      </c>
      <c r="O2355" s="2" t="n">
        <v>13</v>
      </c>
      <c r="P2355" s="2" t="n">
        <v>1</v>
      </c>
      <c r="Q2355" s="2" t="n">
        <v>6</v>
      </c>
      <c r="R2355" s="2" t="n">
        <v>2</v>
      </c>
      <c r="S2355" s="2" t="n">
        <v>6</v>
      </c>
      <c r="T2355" s="2" t="n">
        <v>1</v>
      </c>
      <c r="U2355" s="2" t="n">
        <v>1</v>
      </c>
      <c r="V2355" s="2" t="n">
        <v>2</v>
      </c>
      <c r="W2355" s="2" t="n">
        <v>2</v>
      </c>
      <c r="X2355" s="2" t="n">
        <v>2</v>
      </c>
      <c r="Y2355" s="2" t="n">
        <v>3</v>
      </c>
      <c r="Z2355" s="2" t="n">
        <v>3</v>
      </c>
    </row>
    <row r="2356" customFormat="false" ht="15" hidden="false" customHeight="true" outlineLevel="0" collapsed="false">
      <c r="A2356" s="2" t="n">
        <v>45</v>
      </c>
      <c r="B2356" s="2" t="s">
        <v>26</v>
      </c>
      <c r="C2356" s="2" t="s">
        <v>27</v>
      </c>
      <c r="D2356" s="2" t="s">
        <v>28</v>
      </c>
      <c r="E2356" s="2" t="n">
        <v>29</v>
      </c>
      <c r="F2356" s="2" t="n">
        <v>2</v>
      </c>
      <c r="G2356" s="2" t="s">
        <v>51</v>
      </c>
      <c r="H2356" s="2" t="n">
        <v>2355</v>
      </c>
      <c r="I2356" s="2" t="s">
        <v>30</v>
      </c>
      <c r="J2356" s="2" t="n">
        <v>2</v>
      </c>
      <c r="K2356" s="2" t="s">
        <v>36</v>
      </c>
      <c r="L2356" s="2" t="s">
        <v>37</v>
      </c>
      <c r="M2356" s="2" t="n">
        <v>29730</v>
      </c>
      <c r="N2356" s="2" t="n">
        <v>1</v>
      </c>
      <c r="O2356" s="2" t="n">
        <v>12</v>
      </c>
      <c r="P2356" s="2" t="n">
        <v>0</v>
      </c>
      <c r="Q2356" s="2" t="n">
        <v>10</v>
      </c>
      <c r="R2356" s="2" t="n">
        <v>2</v>
      </c>
      <c r="S2356" s="2" t="n">
        <v>10</v>
      </c>
      <c r="T2356" s="2" t="n">
        <v>1</v>
      </c>
      <c r="U2356" s="2" t="n">
        <v>4</v>
      </c>
      <c r="V2356" s="2" t="n">
        <v>3</v>
      </c>
      <c r="W2356" s="2" t="n">
        <v>1</v>
      </c>
      <c r="X2356" s="2" t="n">
        <v>3</v>
      </c>
      <c r="Y2356" s="2" t="n">
        <v>3</v>
      </c>
      <c r="Z2356" s="2" t="n">
        <v>3</v>
      </c>
    </row>
    <row r="2357" customFormat="false" ht="15" hidden="false" customHeight="true" outlineLevel="0" collapsed="false">
      <c r="A2357" s="2" t="n">
        <v>45</v>
      </c>
      <c r="B2357" s="2" t="s">
        <v>26</v>
      </c>
      <c r="C2357" s="2" t="s">
        <v>41</v>
      </c>
      <c r="D2357" s="2" t="s">
        <v>28</v>
      </c>
      <c r="E2357" s="2" t="n">
        <v>2</v>
      </c>
      <c r="F2357" s="2" t="n">
        <v>4</v>
      </c>
      <c r="G2357" s="2" t="s">
        <v>29</v>
      </c>
      <c r="H2357" s="2" t="n">
        <v>2356</v>
      </c>
      <c r="I2357" s="2" t="s">
        <v>39</v>
      </c>
      <c r="J2357" s="2" t="n">
        <v>2</v>
      </c>
      <c r="K2357" s="2" t="s">
        <v>47</v>
      </c>
      <c r="L2357" s="2" t="s">
        <v>32</v>
      </c>
      <c r="M2357" s="2" t="n">
        <v>58550</v>
      </c>
      <c r="N2357" s="2" t="n">
        <v>1</v>
      </c>
      <c r="O2357" s="2" t="n">
        <v>14</v>
      </c>
      <c r="P2357" s="2" t="n">
        <v>1</v>
      </c>
      <c r="Q2357" s="2" t="n">
        <v>10</v>
      </c>
      <c r="R2357" s="2" t="n">
        <v>3</v>
      </c>
      <c r="S2357" s="2" t="n">
        <v>10</v>
      </c>
      <c r="T2357" s="2" t="n">
        <v>4</v>
      </c>
      <c r="U2357" s="2" t="n">
        <v>5</v>
      </c>
      <c r="V2357" s="2" t="n">
        <v>1</v>
      </c>
      <c r="W2357" s="2" t="n">
        <v>1</v>
      </c>
      <c r="X2357" s="2" t="n">
        <v>3</v>
      </c>
      <c r="Y2357" s="2" t="n">
        <v>2</v>
      </c>
      <c r="Z2357" s="2" t="n">
        <v>3</v>
      </c>
    </row>
    <row r="2358" customFormat="false" ht="15" hidden="false" customHeight="true" outlineLevel="0" collapsed="false">
      <c r="A2358" s="2" t="n">
        <v>31</v>
      </c>
      <c r="B2358" s="2" t="s">
        <v>26</v>
      </c>
      <c r="C2358" s="2" t="s">
        <v>34</v>
      </c>
      <c r="D2358" s="2" t="s">
        <v>35</v>
      </c>
      <c r="E2358" s="2" t="n">
        <v>7</v>
      </c>
      <c r="F2358" s="2" t="n">
        <v>3</v>
      </c>
      <c r="G2358" s="2" t="s">
        <v>43</v>
      </c>
      <c r="H2358" s="2" t="n">
        <v>2357</v>
      </c>
      <c r="I2358" s="2" t="s">
        <v>39</v>
      </c>
      <c r="J2358" s="2" t="n">
        <v>2</v>
      </c>
      <c r="K2358" s="2" t="s">
        <v>36</v>
      </c>
      <c r="L2358" s="2" t="s">
        <v>37</v>
      </c>
      <c r="M2358" s="2" t="n">
        <v>36170</v>
      </c>
      <c r="N2358" s="2" t="n">
        <v>7</v>
      </c>
      <c r="O2358" s="2" t="n">
        <v>21</v>
      </c>
      <c r="P2358" s="2" t="n">
        <v>1</v>
      </c>
      <c r="Q2358" s="2" t="n">
        <v>10</v>
      </c>
      <c r="R2358" s="2" t="n">
        <v>5</v>
      </c>
      <c r="S2358" s="2" t="n">
        <v>5</v>
      </c>
      <c r="T2358" s="2" t="n">
        <v>0</v>
      </c>
      <c r="U2358" s="2" t="n">
        <v>3</v>
      </c>
      <c r="V2358" s="2" t="n">
        <v>4</v>
      </c>
      <c r="W2358" s="2" t="n">
        <v>1</v>
      </c>
      <c r="X2358" s="2" t="n">
        <v>3</v>
      </c>
      <c r="Y2358" s="2" t="n">
        <v>3</v>
      </c>
      <c r="Z2358" s="2" t="n">
        <v>4</v>
      </c>
    </row>
    <row r="2359" customFormat="false" ht="15" hidden="false" customHeight="true" outlineLevel="0" collapsed="false">
      <c r="A2359" s="2" t="n">
        <v>36</v>
      </c>
      <c r="B2359" s="2" t="s">
        <v>26</v>
      </c>
      <c r="C2359" s="2" t="s">
        <v>27</v>
      </c>
      <c r="D2359" s="2" t="s">
        <v>35</v>
      </c>
      <c r="E2359" s="2" t="n">
        <v>18</v>
      </c>
      <c r="F2359" s="2" t="n">
        <v>1</v>
      </c>
      <c r="G2359" s="2" t="s">
        <v>43</v>
      </c>
      <c r="H2359" s="2" t="n">
        <v>2358</v>
      </c>
      <c r="I2359" s="2" t="s">
        <v>39</v>
      </c>
      <c r="J2359" s="2" t="n">
        <v>2</v>
      </c>
      <c r="K2359" s="2" t="s">
        <v>47</v>
      </c>
      <c r="L2359" s="2" t="s">
        <v>32</v>
      </c>
      <c r="M2359" s="2" t="n">
        <v>67250</v>
      </c>
      <c r="N2359" s="2" t="n">
        <v>9</v>
      </c>
      <c r="O2359" s="2" t="n">
        <v>17</v>
      </c>
      <c r="P2359" s="2" t="n">
        <v>1</v>
      </c>
      <c r="Q2359" s="2" t="n">
        <v>7</v>
      </c>
      <c r="R2359" s="2" t="n">
        <v>3</v>
      </c>
      <c r="S2359" s="2" t="n">
        <v>3</v>
      </c>
      <c r="T2359" s="2" t="n">
        <v>1</v>
      </c>
      <c r="U2359" s="2" t="n">
        <v>1</v>
      </c>
      <c r="V2359" s="2" t="n">
        <v>3</v>
      </c>
      <c r="W2359" s="2" t="n">
        <v>3</v>
      </c>
      <c r="X2359" s="2" t="n">
        <v>3</v>
      </c>
      <c r="Y2359" s="2" t="n">
        <v>3</v>
      </c>
      <c r="Z2359" s="2" t="n">
        <v>3</v>
      </c>
    </row>
    <row r="2360" customFormat="false" ht="15" hidden="false" customHeight="true" outlineLevel="0" collapsed="false">
      <c r="A2360" s="2" t="n">
        <v>34</v>
      </c>
      <c r="B2360" s="2" t="s">
        <v>26</v>
      </c>
      <c r="C2360" s="2" t="s">
        <v>34</v>
      </c>
      <c r="D2360" s="2" t="s">
        <v>28</v>
      </c>
      <c r="E2360" s="2" t="n">
        <v>28</v>
      </c>
      <c r="F2360" s="2" t="n">
        <v>4</v>
      </c>
      <c r="G2360" s="2" t="s">
        <v>50</v>
      </c>
      <c r="H2360" s="2" t="n">
        <v>2359</v>
      </c>
      <c r="I2360" s="2" t="s">
        <v>39</v>
      </c>
      <c r="J2360" s="2" t="n">
        <v>5</v>
      </c>
      <c r="K2360" s="2" t="s">
        <v>47</v>
      </c>
      <c r="L2360" s="2" t="s">
        <v>46</v>
      </c>
      <c r="M2360" s="2" t="n">
        <v>103250</v>
      </c>
      <c r="N2360" s="2" t="n">
        <v>1</v>
      </c>
      <c r="O2360" s="2" t="n">
        <v>11</v>
      </c>
      <c r="P2360" s="2" t="n">
        <v>1</v>
      </c>
      <c r="Q2360" s="2" t="n">
        <v>9</v>
      </c>
      <c r="R2360" s="2" t="n">
        <v>3</v>
      </c>
      <c r="S2360" s="2" t="n">
        <v>9</v>
      </c>
      <c r="T2360" s="2" t="n">
        <v>7</v>
      </c>
      <c r="U2360" s="2" t="n">
        <v>2</v>
      </c>
      <c r="V2360" s="2" t="n">
        <v>3</v>
      </c>
      <c r="W2360" s="2" t="n">
        <v>4</v>
      </c>
      <c r="X2360" s="2" t="n">
        <v>3</v>
      </c>
      <c r="Y2360" s="2" t="n">
        <v>2</v>
      </c>
      <c r="Z2360" s="2" t="n">
        <v>3</v>
      </c>
    </row>
    <row r="2361" customFormat="false" ht="15" hidden="false" customHeight="true" outlineLevel="0" collapsed="false">
      <c r="A2361" s="2" t="n">
        <v>49</v>
      </c>
      <c r="B2361" s="2" t="s">
        <v>26</v>
      </c>
      <c r="C2361" s="2" t="s">
        <v>27</v>
      </c>
      <c r="D2361" s="2" t="s">
        <v>35</v>
      </c>
      <c r="E2361" s="2" t="n">
        <v>1</v>
      </c>
      <c r="F2361" s="2" t="n">
        <v>4</v>
      </c>
      <c r="G2361" s="2" t="s">
        <v>29</v>
      </c>
      <c r="H2361" s="2" t="n">
        <v>2360</v>
      </c>
      <c r="I2361" s="2" t="s">
        <v>39</v>
      </c>
      <c r="J2361" s="2" t="n">
        <v>3</v>
      </c>
      <c r="K2361" s="2" t="s">
        <v>31</v>
      </c>
      <c r="L2361" s="2" t="s">
        <v>32</v>
      </c>
      <c r="M2361" s="2" t="n">
        <v>69490</v>
      </c>
      <c r="N2361" s="2" t="n">
        <v>1</v>
      </c>
      <c r="O2361" s="2" t="n">
        <v>14</v>
      </c>
      <c r="P2361" s="2" t="n">
        <v>1</v>
      </c>
      <c r="Q2361" s="2" t="n">
        <v>10</v>
      </c>
      <c r="R2361" s="2" t="n">
        <v>2</v>
      </c>
      <c r="S2361" s="2" t="n">
        <v>9</v>
      </c>
      <c r="T2361" s="2" t="n">
        <v>1</v>
      </c>
      <c r="U2361" s="2" t="n">
        <v>4</v>
      </c>
      <c r="V2361" s="2" t="n">
        <v>3</v>
      </c>
      <c r="W2361" s="2" t="n">
        <v>1</v>
      </c>
      <c r="X2361" s="2" t="n">
        <v>2</v>
      </c>
      <c r="Y2361" s="2" t="n">
        <v>3</v>
      </c>
      <c r="Z2361" s="2" t="n">
        <v>3</v>
      </c>
    </row>
    <row r="2362" customFormat="false" ht="15" hidden="false" customHeight="true" outlineLevel="0" collapsed="false">
      <c r="A2362" s="2" t="n">
        <v>39</v>
      </c>
      <c r="B2362" s="2" t="s">
        <v>26</v>
      </c>
      <c r="C2362" s="2" t="s">
        <v>27</v>
      </c>
      <c r="D2362" s="2" t="s">
        <v>35</v>
      </c>
      <c r="E2362" s="2" t="n">
        <v>6</v>
      </c>
      <c r="F2362" s="2" t="n">
        <v>2</v>
      </c>
      <c r="G2362" s="2" t="s">
        <v>29</v>
      </c>
      <c r="H2362" s="2" t="n">
        <v>2361</v>
      </c>
      <c r="I2362" s="2" t="s">
        <v>39</v>
      </c>
      <c r="J2362" s="2" t="n">
        <v>3</v>
      </c>
      <c r="K2362" s="2" t="s">
        <v>36</v>
      </c>
      <c r="L2362" s="2" t="s">
        <v>32</v>
      </c>
      <c r="M2362" s="2" t="n">
        <v>106090</v>
      </c>
      <c r="N2362" s="2" t="n">
        <v>2</v>
      </c>
      <c r="O2362" s="2" t="n">
        <v>17</v>
      </c>
      <c r="P2362" s="2" t="n">
        <v>1</v>
      </c>
      <c r="Q2362" s="2" t="n">
        <v>10</v>
      </c>
      <c r="R2362" s="2" t="n">
        <v>2</v>
      </c>
      <c r="S2362" s="2" t="n">
        <v>7</v>
      </c>
      <c r="T2362" s="2" t="n">
        <v>7</v>
      </c>
      <c r="U2362" s="2" t="n">
        <v>7</v>
      </c>
      <c r="V2362" s="2" t="n">
        <v>2</v>
      </c>
      <c r="W2362" s="2" t="n">
        <v>1</v>
      </c>
      <c r="X2362" s="2" t="n">
        <v>3</v>
      </c>
      <c r="Y2362" s="2" t="n">
        <v>3</v>
      </c>
      <c r="Z2362" s="2" t="n">
        <v>3</v>
      </c>
    </row>
    <row r="2363" customFormat="false" ht="15" hidden="false" customHeight="true" outlineLevel="0" collapsed="false">
      <c r="A2363" s="2" t="n">
        <v>27</v>
      </c>
      <c r="B2363" s="2" t="s">
        <v>26</v>
      </c>
      <c r="C2363" s="2" t="s">
        <v>27</v>
      </c>
      <c r="D2363" s="2" t="s">
        <v>35</v>
      </c>
      <c r="E2363" s="2" t="n">
        <v>2</v>
      </c>
      <c r="F2363" s="2" t="n">
        <v>1</v>
      </c>
      <c r="G2363" s="2" t="s">
        <v>29</v>
      </c>
      <c r="H2363" s="2" t="n">
        <v>2362</v>
      </c>
      <c r="I2363" s="2" t="s">
        <v>39</v>
      </c>
      <c r="J2363" s="2" t="n">
        <v>4</v>
      </c>
      <c r="K2363" s="2" t="s">
        <v>36</v>
      </c>
      <c r="L2363" s="2" t="s">
        <v>46</v>
      </c>
      <c r="M2363" s="2" t="n">
        <v>44470</v>
      </c>
      <c r="N2363" s="2" t="n">
        <v>1</v>
      </c>
      <c r="O2363" s="2" t="n">
        <v>13</v>
      </c>
      <c r="P2363" s="2" t="n">
        <v>0</v>
      </c>
      <c r="Q2363" s="2" t="n">
        <v>7</v>
      </c>
      <c r="R2363" s="2" t="n">
        <v>4</v>
      </c>
      <c r="S2363" s="2" t="n">
        <v>7</v>
      </c>
      <c r="T2363" s="2" t="n">
        <v>0</v>
      </c>
      <c r="U2363" s="2" t="n">
        <v>7</v>
      </c>
      <c r="V2363" s="2" t="n">
        <v>4</v>
      </c>
      <c r="W2363" s="2" t="n">
        <v>1</v>
      </c>
      <c r="X2363" s="2" t="n">
        <v>3</v>
      </c>
      <c r="Y2363" s="2" t="n">
        <v>3</v>
      </c>
      <c r="Z2363" s="2" t="n">
        <v>3</v>
      </c>
    </row>
    <row r="2364" customFormat="false" ht="15" hidden="false" customHeight="true" outlineLevel="0" collapsed="false">
      <c r="A2364" s="2" t="n">
        <v>35</v>
      </c>
      <c r="B2364" s="2" t="s">
        <v>26</v>
      </c>
      <c r="C2364" s="2" t="s">
        <v>27</v>
      </c>
      <c r="D2364" s="2" t="s">
        <v>35</v>
      </c>
      <c r="E2364" s="2" t="n">
        <v>2</v>
      </c>
      <c r="F2364" s="2" t="n">
        <v>3</v>
      </c>
      <c r="G2364" s="2" t="s">
        <v>43</v>
      </c>
      <c r="H2364" s="2" t="n">
        <v>2363</v>
      </c>
      <c r="I2364" s="2" t="s">
        <v>30</v>
      </c>
      <c r="J2364" s="2" t="n">
        <v>2</v>
      </c>
      <c r="K2364" s="2" t="s">
        <v>40</v>
      </c>
      <c r="L2364" s="2" t="s">
        <v>32</v>
      </c>
      <c r="M2364" s="2" t="n">
        <v>21570</v>
      </c>
      <c r="N2364" s="2" t="n">
        <v>1</v>
      </c>
      <c r="O2364" s="2" t="n">
        <v>25</v>
      </c>
      <c r="P2364" s="2" t="n">
        <v>0</v>
      </c>
      <c r="Q2364" s="2" t="n">
        <v>16</v>
      </c>
      <c r="R2364" s="2" t="n">
        <v>1</v>
      </c>
      <c r="S2364" s="2" t="n">
        <v>16</v>
      </c>
      <c r="T2364" s="2" t="n">
        <v>1</v>
      </c>
      <c r="U2364" s="2" t="n">
        <v>10</v>
      </c>
      <c r="V2364" s="2" t="n">
        <v>2</v>
      </c>
      <c r="W2364" s="2" t="n">
        <v>1</v>
      </c>
      <c r="X2364" s="2" t="n">
        <v>3</v>
      </c>
      <c r="Y2364" s="2" t="n">
        <v>2</v>
      </c>
      <c r="Z2364" s="2" t="n">
        <v>4</v>
      </c>
    </row>
    <row r="2365" customFormat="false" ht="15" hidden="false" customHeight="true" outlineLevel="0" collapsed="false">
      <c r="A2365" s="2" t="n">
        <v>28</v>
      </c>
      <c r="B2365" s="2" t="s">
        <v>26</v>
      </c>
      <c r="C2365" s="2" t="s">
        <v>27</v>
      </c>
      <c r="D2365" s="2" t="s">
        <v>35</v>
      </c>
      <c r="E2365" s="2" t="n">
        <v>23</v>
      </c>
      <c r="F2365" s="2" t="n">
        <v>3</v>
      </c>
      <c r="G2365" s="2" t="s">
        <v>29</v>
      </c>
      <c r="H2365" s="2" t="n">
        <v>2364</v>
      </c>
      <c r="I2365" s="2" t="s">
        <v>39</v>
      </c>
      <c r="J2365" s="2" t="n">
        <v>3</v>
      </c>
      <c r="K2365" s="2" t="s">
        <v>47</v>
      </c>
      <c r="L2365" s="2" t="s">
        <v>46</v>
      </c>
      <c r="M2365" s="2" t="n">
        <v>46010</v>
      </c>
      <c r="N2365" s="2" t="n">
        <v>0</v>
      </c>
      <c r="O2365" s="2" t="n">
        <v>15</v>
      </c>
      <c r="P2365" s="2" t="n">
        <v>2</v>
      </c>
      <c r="Q2365" s="2" t="n">
        <v>6</v>
      </c>
      <c r="R2365" s="2" t="n">
        <v>2</v>
      </c>
      <c r="S2365" s="2" t="n">
        <v>5</v>
      </c>
      <c r="T2365" s="2" t="n">
        <v>0</v>
      </c>
      <c r="U2365" s="2" t="n">
        <v>0</v>
      </c>
      <c r="V2365" s="2" t="n">
        <v>2</v>
      </c>
      <c r="W2365" s="2" t="n">
        <v>1</v>
      </c>
      <c r="X2365" s="2" t="n">
        <v>2</v>
      </c>
      <c r="Y2365" s="2" t="n">
        <v>3</v>
      </c>
      <c r="Z2365" s="2" t="n">
        <v>3</v>
      </c>
    </row>
    <row r="2366" customFormat="false" ht="15" hidden="false" customHeight="true" outlineLevel="0" collapsed="false">
      <c r="A2366" s="2" t="n">
        <v>21</v>
      </c>
      <c r="B2366" s="2" t="s">
        <v>26</v>
      </c>
      <c r="C2366" s="2" t="s">
        <v>27</v>
      </c>
      <c r="D2366" s="2" t="s">
        <v>35</v>
      </c>
      <c r="E2366" s="2" t="n">
        <v>3</v>
      </c>
      <c r="F2366" s="2" t="n">
        <v>1</v>
      </c>
      <c r="G2366" s="2" t="s">
        <v>29</v>
      </c>
      <c r="H2366" s="2" t="n">
        <v>2365</v>
      </c>
      <c r="I2366" s="2" t="s">
        <v>30</v>
      </c>
      <c r="J2366" s="2" t="n">
        <v>1</v>
      </c>
      <c r="K2366" s="2" t="s">
        <v>45</v>
      </c>
      <c r="L2366" s="2" t="s">
        <v>37</v>
      </c>
      <c r="M2366" s="2" t="n">
        <v>170990</v>
      </c>
      <c r="N2366" s="2" t="n">
        <v>1</v>
      </c>
      <c r="O2366" s="2" t="n">
        <v>14</v>
      </c>
      <c r="P2366" s="2" t="n">
        <v>1</v>
      </c>
      <c r="Q2366" s="2" t="n">
        <v>3</v>
      </c>
      <c r="R2366" s="2" t="n">
        <v>2</v>
      </c>
      <c r="S2366" s="2" t="n">
        <v>2</v>
      </c>
      <c r="T2366" s="2" t="n">
        <v>2</v>
      </c>
      <c r="U2366" s="2" t="n">
        <v>2</v>
      </c>
      <c r="V2366" s="2" t="n">
        <v>3</v>
      </c>
      <c r="W2366" s="2" t="n">
        <v>4</v>
      </c>
      <c r="X2366" s="2" t="n">
        <v>3</v>
      </c>
      <c r="Y2366" s="2" t="n">
        <v>3</v>
      </c>
      <c r="Z2366" s="2" t="n">
        <v>3</v>
      </c>
    </row>
    <row r="2367" customFormat="false" ht="15" hidden="false" customHeight="true" outlineLevel="0" collapsed="false">
      <c r="A2367" s="2" t="n">
        <v>18</v>
      </c>
      <c r="B2367" s="2" t="s">
        <v>33</v>
      </c>
      <c r="C2367" s="2" t="s">
        <v>34</v>
      </c>
      <c r="D2367" s="2" t="s">
        <v>35</v>
      </c>
      <c r="E2367" s="2" t="n">
        <v>3</v>
      </c>
      <c r="F2367" s="2" t="n">
        <v>5</v>
      </c>
      <c r="G2367" s="2" t="s">
        <v>43</v>
      </c>
      <c r="H2367" s="2" t="n">
        <v>2366</v>
      </c>
      <c r="I2367" s="2" t="s">
        <v>39</v>
      </c>
      <c r="J2367" s="2" t="n">
        <v>1</v>
      </c>
      <c r="K2367" s="2" t="s">
        <v>44</v>
      </c>
      <c r="L2367" s="2" t="s">
        <v>37</v>
      </c>
      <c r="M2367" s="2" t="n">
        <v>24790</v>
      </c>
      <c r="N2367" s="2"/>
      <c r="O2367" s="2" t="n">
        <v>12</v>
      </c>
      <c r="P2367" s="2" t="n">
        <v>1</v>
      </c>
      <c r="Q2367" s="2" t="n">
        <v>0</v>
      </c>
      <c r="R2367" s="2" t="n">
        <v>2</v>
      </c>
      <c r="S2367" s="2" t="n">
        <v>0</v>
      </c>
      <c r="T2367" s="2" t="n">
        <v>0</v>
      </c>
      <c r="U2367" s="2" t="n">
        <v>0</v>
      </c>
      <c r="V2367" s="2" t="n">
        <v>2</v>
      </c>
      <c r="W2367" s="2" t="n">
        <v>4</v>
      </c>
      <c r="X2367" s="2" t="n">
        <v>4</v>
      </c>
      <c r="Y2367" s="2" t="n">
        <v>2</v>
      </c>
      <c r="Z2367" s="2" t="n">
        <v>3</v>
      </c>
    </row>
    <row r="2368" customFormat="false" ht="15" hidden="false" customHeight="true" outlineLevel="0" collapsed="false">
      <c r="A2368" s="2" t="n">
        <v>47</v>
      </c>
      <c r="B2368" s="2" t="s">
        <v>26</v>
      </c>
      <c r="C2368" s="2" t="s">
        <v>27</v>
      </c>
      <c r="D2368" s="2" t="s">
        <v>35</v>
      </c>
      <c r="E2368" s="2" t="n">
        <v>25</v>
      </c>
      <c r="F2368" s="2" t="n">
        <v>4</v>
      </c>
      <c r="G2368" s="2" t="s">
        <v>43</v>
      </c>
      <c r="H2368" s="2" t="n">
        <v>2367</v>
      </c>
      <c r="I2368" s="2" t="s">
        <v>39</v>
      </c>
      <c r="J2368" s="2" t="n">
        <v>2</v>
      </c>
      <c r="K2368" s="2" t="s">
        <v>36</v>
      </c>
      <c r="L2368" s="2" t="s">
        <v>32</v>
      </c>
      <c r="M2368" s="2" t="n">
        <v>148520</v>
      </c>
      <c r="N2368" s="2" t="n">
        <v>3</v>
      </c>
      <c r="O2368" s="2" t="n">
        <v>19</v>
      </c>
      <c r="P2368" s="2" t="n">
        <v>3</v>
      </c>
      <c r="Q2368" s="2" t="n">
        <v>27</v>
      </c>
      <c r="R2368" s="2" t="n">
        <v>3</v>
      </c>
      <c r="S2368" s="2" t="n">
        <v>5</v>
      </c>
      <c r="T2368" s="2" t="n">
        <v>1</v>
      </c>
      <c r="U2368" s="2" t="n">
        <v>0</v>
      </c>
      <c r="V2368" s="2" t="n">
        <v>4</v>
      </c>
      <c r="W2368" s="2" t="n">
        <v>3</v>
      </c>
      <c r="X2368" s="2" t="n">
        <v>3</v>
      </c>
      <c r="Y2368" s="2" t="n">
        <v>2</v>
      </c>
      <c r="Z2368" s="2" t="n">
        <v>3</v>
      </c>
    </row>
    <row r="2369" customFormat="false" ht="15" hidden="false" customHeight="true" outlineLevel="0" collapsed="false">
      <c r="A2369" s="2" t="n">
        <v>39</v>
      </c>
      <c r="B2369" s="2" t="s">
        <v>26</v>
      </c>
      <c r="C2369" s="2" t="s">
        <v>27</v>
      </c>
      <c r="D2369" s="2" t="s">
        <v>28</v>
      </c>
      <c r="E2369" s="2" t="n">
        <v>2</v>
      </c>
      <c r="F2369" s="2" t="n">
        <v>4</v>
      </c>
      <c r="G2369" s="2" t="s">
        <v>29</v>
      </c>
      <c r="H2369" s="2" t="n">
        <v>2368</v>
      </c>
      <c r="I2369" s="2" t="s">
        <v>39</v>
      </c>
      <c r="J2369" s="2" t="n">
        <v>1</v>
      </c>
      <c r="K2369" s="2" t="s">
        <v>45</v>
      </c>
      <c r="L2369" s="2" t="s">
        <v>46</v>
      </c>
      <c r="M2369" s="2" t="n">
        <v>72640</v>
      </c>
      <c r="N2369" s="2" t="n">
        <v>0</v>
      </c>
      <c r="O2369" s="2" t="n">
        <v>17</v>
      </c>
      <c r="P2369" s="2" t="n">
        <v>0</v>
      </c>
      <c r="Q2369" s="2"/>
      <c r="R2369" s="2" t="n">
        <v>5</v>
      </c>
      <c r="S2369" s="2" t="n">
        <v>10</v>
      </c>
      <c r="T2369" s="2" t="n">
        <v>0</v>
      </c>
      <c r="U2369" s="2" t="n">
        <v>7</v>
      </c>
      <c r="V2369" s="2" t="n">
        <v>3</v>
      </c>
      <c r="W2369" s="2" t="n">
        <v>3</v>
      </c>
      <c r="X2369" s="2" t="n">
        <v>3</v>
      </c>
      <c r="Y2369" s="2" t="n">
        <v>3</v>
      </c>
      <c r="Z2369" s="2" t="n">
        <v>3</v>
      </c>
    </row>
    <row r="2370" customFormat="false" ht="15" hidden="false" customHeight="true" outlineLevel="0" collapsed="false">
      <c r="A2370" s="2" t="n">
        <v>40</v>
      </c>
      <c r="B2370" s="2" t="s">
        <v>26</v>
      </c>
      <c r="C2370" s="2" t="s">
        <v>27</v>
      </c>
      <c r="D2370" s="2" t="s">
        <v>35</v>
      </c>
      <c r="E2370" s="2" t="n">
        <v>22</v>
      </c>
      <c r="F2370" s="2" t="n">
        <v>1</v>
      </c>
      <c r="G2370" s="2" t="s">
        <v>29</v>
      </c>
      <c r="H2370" s="2" t="n">
        <v>2369</v>
      </c>
      <c r="I2370" s="2" t="s">
        <v>39</v>
      </c>
      <c r="J2370" s="2" t="n">
        <v>1</v>
      </c>
      <c r="K2370" s="2" t="s">
        <v>45</v>
      </c>
      <c r="L2370" s="2" t="s">
        <v>32</v>
      </c>
      <c r="M2370" s="2" t="n">
        <v>56660</v>
      </c>
      <c r="N2370" s="2" t="n">
        <v>1</v>
      </c>
      <c r="O2370" s="2" t="n">
        <v>14</v>
      </c>
      <c r="P2370" s="2" t="n">
        <v>1</v>
      </c>
      <c r="Q2370" s="2" t="n">
        <v>18</v>
      </c>
      <c r="R2370" s="2" t="n">
        <v>2</v>
      </c>
      <c r="S2370" s="2" t="n">
        <v>18</v>
      </c>
      <c r="T2370" s="2" t="n">
        <v>14</v>
      </c>
      <c r="U2370" s="2" t="n">
        <v>12</v>
      </c>
      <c r="V2370" s="2" t="n">
        <v>1</v>
      </c>
      <c r="W2370" s="2" t="n">
        <v>3</v>
      </c>
      <c r="X2370" s="2" t="n">
        <v>3</v>
      </c>
      <c r="Y2370" s="2" t="n">
        <v>3</v>
      </c>
      <c r="Z2370" s="2" t="n">
        <v>3</v>
      </c>
    </row>
    <row r="2371" customFormat="false" ht="15" hidden="false" customHeight="true" outlineLevel="0" collapsed="false">
      <c r="A2371" s="2" t="n">
        <v>35</v>
      </c>
      <c r="B2371" s="2" t="s">
        <v>26</v>
      </c>
      <c r="C2371" s="2" t="s">
        <v>41</v>
      </c>
      <c r="D2371" s="2" t="s">
        <v>35</v>
      </c>
      <c r="E2371" s="2" t="n">
        <v>29</v>
      </c>
      <c r="F2371" s="2" t="n">
        <v>3</v>
      </c>
      <c r="G2371" s="2" t="s">
        <v>43</v>
      </c>
      <c r="H2371" s="2" t="n">
        <v>2370</v>
      </c>
      <c r="I2371" s="2" t="s">
        <v>30</v>
      </c>
      <c r="J2371" s="2" t="n">
        <v>2</v>
      </c>
      <c r="K2371" s="2" t="s">
        <v>40</v>
      </c>
      <c r="L2371" s="2" t="s">
        <v>32</v>
      </c>
      <c r="M2371" s="2" t="n">
        <v>78230</v>
      </c>
      <c r="N2371" s="2" t="n">
        <v>1</v>
      </c>
      <c r="O2371" s="2" t="n">
        <v>13</v>
      </c>
      <c r="P2371" s="2" t="n">
        <v>1</v>
      </c>
      <c r="Q2371" s="2" t="n">
        <v>15</v>
      </c>
      <c r="R2371" s="2" t="n">
        <v>3</v>
      </c>
      <c r="S2371" s="2" t="n">
        <v>14</v>
      </c>
      <c r="T2371" s="2" t="n">
        <v>2</v>
      </c>
      <c r="U2371" s="2" t="n">
        <v>9</v>
      </c>
      <c r="V2371" s="2" t="n">
        <v>3</v>
      </c>
      <c r="W2371" s="2" t="n">
        <v>3</v>
      </c>
      <c r="X2371" s="2" t="n">
        <v>3</v>
      </c>
      <c r="Y2371" s="2" t="n">
        <v>3</v>
      </c>
      <c r="Z2371" s="2" t="n">
        <v>3</v>
      </c>
    </row>
    <row r="2372" customFormat="false" ht="15" hidden="false" customHeight="true" outlineLevel="0" collapsed="false">
      <c r="A2372" s="2" t="n">
        <v>37</v>
      </c>
      <c r="B2372" s="2" t="s">
        <v>26</v>
      </c>
      <c r="C2372" s="2" t="s">
        <v>27</v>
      </c>
      <c r="D2372" s="2" t="s">
        <v>35</v>
      </c>
      <c r="E2372" s="2" t="n">
        <v>29</v>
      </c>
      <c r="F2372" s="2" t="n">
        <v>4</v>
      </c>
      <c r="G2372" s="2" t="s">
        <v>51</v>
      </c>
      <c r="H2372" s="2" t="n">
        <v>2371</v>
      </c>
      <c r="I2372" s="2" t="s">
        <v>39</v>
      </c>
      <c r="J2372" s="2" t="n">
        <v>1</v>
      </c>
      <c r="K2372" s="2" t="s">
        <v>45</v>
      </c>
      <c r="L2372" s="2" t="s">
        <v>32</v>
      </c>
      <c r="M2372" s="2" t="n">
        <v>78800</v>
      </c>
      <c r="N2372" s="2" t="n">
        <v>3</v>
      </c>
      <c r="O2372" s="2" t="n">
        <v>12</v>
      </c>
      <c r="P2372" s="2" t="n">
        <v>1</v>
      </c>
      <c r="Q2372" s="2" t="n">
        <v>9</v>
      </c>
      <c r="R2372" s="2" t="n">
        <v>2</v>
      </c>
      <c r="S2372" s="2" t="n">
        <v>4</v>
      </c>
      <c r="T2372" s="2" t="n">
        <v>0</v>
      </c>
      <c r="U2372" s="2" t="n">
        <v>2</v>
      </c>
      <c r="V2372" s="2" t="n">
        <v>3</v>
      </c>
      <c r="W2372" s="2" t="n">
        <v>3</v>
      </c>
      <c r="X2372" s="2" t="n">
        <v>2</v>
      </c>
      <c r="Y2372" s="2" t="n">
        <v>4</v>
      </c>
      <c r="Z2372" s="2" t="n">
        <v>3</v>
      </c>
    </row>
    <row r="2373" customFormat="false" ht="15" hidden="false" customHeight="true" outlineLevel="0" collapsed="false">
      <c r="A2373" s="2" t="n">
        <v>39</v>
      </c>
      <c r="B2373" s="2" t="s">
        <v>26</v>
      </c>
      <c r="C2373" s="2" t="s">
        <v>34</v>
      </c>
      <c r="D2373" s="2" t="s">
        <v>35</v>
      </c>
      <c r="E2373" s="2" t="n">
        <v>2</v>
      </c>
      <c r="F2373" s="2" t="n">
        <v>3</v>
      </c>
      <c r="G2373" s="2" t="s">
        <v>51</v>
      </c>
      <c r="H2373" s="2" t="n">
        <v>2372</v>
      </c>
      <c r="I2373" s="2" t="s">
        <v>30</v>
      </c>
      <c r="J2373" s="2" t="n">
        <v>2</v>
      </c>
      <c r="K2373" s="2" t="s">
        <v>49</v>
      </c>
      <c r="L2373" s="2" t="s">
        <v>37</v>
      </c>
      <c r="M2373" s="2" t="n">
        <v>131940</v>
      </c>
      <c r="N2373" s="2" t="n">
        <v>0</v>
      </c>
      <c r="O2373" s="2" t="n">
        <v>11</v>
      </c>
      <c r="P2373" s="2" t="n">
        <v>0</v>
      </c>
      <c r="Q2373" s="2" t="n">
        <v>10</v>
      </c>
      <c r="R2373" s="2" t="n">
        <v>2</v>
      </c>
      <c r="S2373" s="2" t="n">
        <v>9</v>
      </c>
      <c r="T2373" s="2" t="n">
        <v>3</v>
      </c>
      <c r="U2373" s="2" t="n">
        <v>8</v>
      </c>
      <c r="V2373" s="2" t="n">
        <v>1</v>
      </c>
      <c r="W2373" s="2" t="n">
        <v>3</v>
      </c>
      <c r="X2373" s="2" t="n">
        <v>1</v>
      </c>
      <c r="Y2373" s="2" t="n">
        <v>3</v>
      </c>
      <c r="Z2373" s="2" t="n">
        <v>3</v>
      </c>
    </row>
    <row r="2374" customFormat="false" ht="15" hidden="false" customHeight="true" outlineLevel="0" collapsed="false">
      <c r="A2374" s="2" t="n">
        <v>45</v>
      </c>
      <c r="B2374" s="2" t="s">
        <v>26</v>
      </c>
      <c r="C2374" s="2" t="s">
        <v>27</v>
      </c>
      <c r="D2374" s="2" t="s">
        <v>35</v>
      </c>
      <c r="E2374" s="2" t="n">
        <v>28</v>
      </c>
      <c r="F2374" s="2" t="n">
        <v>3</v>
      </c>
      <c r="G2374" s="2" t="s">
        <v>29</v>
      </c>
      <c r="H2374" s="2" t="n">
        <v>2373</v>
      </c>
      <c r="I2374" s="2" t="s">
        <v>30</v>
      </c>
      <c r="J2374" s="2" t="n">
        <v>2</v>
      </c>
      <c r="K2374" s="2" t="s">
        <v>45</v>
      </c>
      <c r="L2374" s="2" t="s">
        <v>46</v>
      </c>
      <c r="M2374" s="2" t="n">
        <v>50670</v>
      </c>
      <c r="N2374" s="2" t="n">
        <v>1</v>
      </c>
      <c r="O2374" s="2" t="n">
        <v>11</v>
      </c>
      <c r="P2374" s="2" t="n">
        <v>2</v>
      </c>
      <c r="Q2374" s="2" t="n">
        <v>10</v>
      </c>
      <c r="R2374" s="2" t="n">
        <v>3</v>
      </c>
      <c r="S2374" s="2" t="n">
        <v>10</v>
      </c>
      <c r="T2374" s="2" t="n">
        <v>3</v>
      </c>
      <c r="U2374" s="2" t="n">
        <v>9</v>
      </c>
      <c r="V2374" s="2" t="n">
        <v>4</v>
      </c>
      <c r="W2374" s="2" t="n">
        <v>4</v>
      </c>
      <c r="X2374" s="2" t="n">
        <v>3</v>
      </c>
      <c r="Y2374" s="2" t="n">
        <v>2</v>
      </c>
      <c r="Z2374" s="2" t="n">
        <v>3</v>
      </c>
    </row>
    <row r="2375" customFormat="false" ht="15" hidden="false" customHeight="true" outlineLevel="0" collapsed="false">
      <c r="A2375" s="2" t="n">
        <v>38</v>
      </c>
      <c r="B2375" s="2" t="s">
        <v>26</v>
      </c>
      <c r="C2375" s="2" t="s">
        <v>27</v>
      </c>
      <c r="D2375" s="2" t="s">
        <v>35</v>
      </c>
      <c r="E2375" s="2" t="n">
        <v>2</v>
      </c>
      <c r="F2375" s="2" t="n">
        <v>4</v>
      </c>
      <c r="G2375" s="2" t="s">
        <v>29</v>
      </c>
      <c r="H2375" s="2" t="n">
        <v>2374</v>
      </c>
      <c r="I2375" s="2" t="s">
        <v>30</v>
      </c>
      <c r="J2375" s="2" t="n">
        <v>3</v>
      </c>
      <c r="K2375" s="2" t="s">
        <v>40</v>
      </c>
      <c r="L2375" s="2" t="s">
        <v>32</v>
      </c>
      <c r="M2375" s="2" t="n">
        <v>50790</v>
      </c>
      <c r="N2375" s="2" t="n">
        <v>3</v>
      </c>
      <c r="O2375" s="2" t="n">
        <v>11</v>
      </c>
      <c r="P2375" s="2" t="n">
        <v>0</v>
      </c>
      <c r="Q2375" s="2" t="n">
        <v>10</v>
      </c>
      <c r="R2375" s="2" t="n">
        <v>3</v>
      </c>
      <c r="S2375" s="2" t="n">
        <v>5</v>
      </c>
      <c r="T2375" s="2" t="n">
        <v>0</v>
      </c>
      <c r="U2375" s="2" t="n">
        <v>2</v>
      </c>
      <c r="V2375" s="2" t="n">
        <v>4</v>
      </c>
      <c r="W2375" s="2" t="n">
        <v>3</v>
      </c>
      <c r="X2375" s="2" t="n">
        <v>4</v>
      </c>
      <c r="Y2375" s="2" t="n">
        <v>3</v>
      </c>
      <c r="Z2375" s="2" t="n">
        <v>3</v>
      </c>
    </row>
    <row r="2376" customFormat="false" ht="15" hidden="false" customHeight="true" outlineLevel="0" collapsed="false">
      <c r="A2376" s="2" t="n">
        <v>35</v>
      </c>
      <c r="B2376" s="2" t="s">
        <v>33</v>
      </c>
      <c r="C2376" s="2" t="s">
        <v>27</v>
      </c>
      <c r="D2376" s="2" t="s">
        <v>35</v>
      </c>
      <c r="E2376" s="2" t="n">
        <v>2</v>
      </c>
      <c r="F2376" s="2" t="n">
        <v>3</v>
      </c>
      <c r="G2376" s="2" t="s">
        <v>29</v>
      </c>
      <c r="H2376" s="2" t="n">
        <v>2375</v>
      </c>
      <c r="I2376" s="2" t="s">
        <v>39</v>
      </c>
      <c r="J2376" s="2" t="n">
        <v>3</v>
      </c>
      <c r="K2376" s="2" t="s">
        <v>31</v>
      </c>
      <c r="L2376" s="2" t="s">
        <v>32</v>
      </c>
      <c r="M2376" s="2" t="n">
        <v>23210</v>
      </c>
      <c r="N2376" s="2" t="n">
        <v>9</v>
      </c>
      <c r="O2376" s="2" t="n">
        <v>12</v>
      </c>
      <c r="P2376" s="2" t="n">
        <v>1</v>
      </c>
      <c r="Q2376" s="2" t="n">
        <v>15</v>
      </c>
      <c r="R2376" s="2" t="n">
        <v>0</v>
      </c>
      <c r="S2376" s="2" t="n">
        <v>13</v>
      </c>
      <c r="T2376" s="2" t="n">
        <v>6</v>
      </c>
      <c r="U2376" s="2" t="n">
        <v>0</v>
      </c>
      <c r="V2376" s="2" t="n">
        <v>4</v>
      </c>
      <c r="W2376" s="2" t="n">
        <v>1</v>
      </c>
      <c r="X2376" s="2" t="n">
        <v>3</v>
      </c>
      <c r="Y2376" s="2" t="n">
        <v>3</v>
      </c>
      <c r="Z2376" s="2" t="n">
        <v>3</v>
      </c>
    </row>
    <row r="2377" customFormat="false" ht="15" hidden="false" customHeight="true" outlineLevel="0" collapsed="false">
      <c r="A2377" s="2" t="n">
        <v>37</v>
      </c>
      <c r="B2377" s="2" t="s">
        <v>26</v>
      </c>
      <c r="C2377" s="2" t="s">
        <v>27</v>
      </c>
      <c r="D2377" s="2" t="s">
        <v>35</v>
      </c>
      <c r="E2377" s="2" t="n">
        <v>22</v>
      </c>
      <c r="F2377" s="2" t="n">
        <v>3</v>
      </c>
      <c r="G2377" s="2" t="s">
        <v>29</v>
      </c>
      <c r="H2377" s="2" t="n">
        <v>2376</v>
      </c>
      <c r="I2377" s="2" t="s">
        <v>30</v>
      </c>
      <c r="J2377" s="2" t="n">
        <v>2</v>
      </c>
      <c r="K2377" s="2" t="s">
        <v>31</v>
      </c>
      <c r="L2377" s="2" t="s">
        <v>32</v>
      </c>
      <c r="M2377" s="2" t="n">
        <v>174440</v>
      </c>
      <c r="N2377" s="2" t="n">
        <v>1</v>
      </c>
      <c r="O2377" s="2" t="n">
        <v>14</v>
      </c>
      <c r="P2377" s="2" t="n">
        <v>0</v>
      </c>
      <c r="Q2377" s="2" t="n">
        <v>8</v>
      </c>
      <c r="R2377" s="2" t="n">
        <v>4</v>
      </c>
      <c r="S2377" s="2" t="n">
        <v>8</v>
      </c>
      <c r="T2377" s="2" t="n">
        <v>7</v>
      </c>
      <c r="U2377" s="2" t="n">
        <v>7</v>
      </c>
      <c r="V2377" s="2" t="n">
        <v>2</v>
      </c>
      <c r="W2377" s="2" t="n">
        <v>2</v>
      </c>
      <c r="X2377" s="2" t="n">
        <v>1</v>
      </c>
      <c r="Y2377" s="2" t="n">
        <v>3</v>
      </c>
      <c r="Z2377" s="2" t="n">
        <v>3</v>
      </c>
    </row>
    <row r="2378" customFormat="false" ht="15" hidden="false" customHeight="true" outlineLevel="0" collapsed="false">
      <c r="A2378" s="2" t="n">
        <v>40</v>
      </c>
      <c r="B2378" s="2" t="s">
        <v>26</v>
      </c>
      <c r="C2378" s="2" t="s">
        <v>27</v>
      </c>
      <c r="D2378" s="2" t="s">
        <v>35</v>
      </c>
      <c r="E2378" s="2" t="n">
        <v>8</v>
      </c>
      <c r="F2378" s="2" t="n">
        <v>3</v>
      </c>
      <c r="G2378" s="2" t="s">
        <v>51</v>
      </c>
      <c r="H2378" s="2" t="n">
        <v>2377</v>
      </c>
      <c r="I2378" s="2" t="s">
        <v>30</v>
      </c>
      <c r="J2378" s="2" t="n">
        <v>2</v>
      </c>
      <c r="K2378" s="2" t="s">
        <v>31</v>
      </c>
      <c r="L2378" s="2" t="s">
        <v>37</v>
      </c>
      <c r="M2378" s="2" t="n">
        <v>24040</v>
      </c>
      <c r="N2378" s="2" t="n">
        <v>6</v>
      </c>
      <c r="O2378" s="2" t="n">
        <v>17</v>
      </c>
      <c r="P2378" s="2" t="n">
        <v>0</v>
      </c>
      <c r="Q2378" s="2" t="n">
        <v>18</v>
      </c>
      <c r="R2378" s="2" t="n">
        <v>2</v>
      </c>
      <c r="S2378" s="2" t="n">
        <v>4</v>
      </c>
      <c r="T2378" s="2" t="n">
        <v>3</v>
      </c>
      <c r="U2378" s="2" t="n">
        <v>3</v>
      </c>
      <c r="V2378" s="2" t="n">
        <v>3</v>
      </c>
      <c r="W2378" s="2" t="n">
        <v>4</v>
      </c>
      <c r="X2378" s="2" t="n">
        <v>2</v>
      </c>
      <c r="Y2378" s="2" t="n">
        <v>2</v>
      </c>
      <c r="Z2378" s="2" t="n">
        <v>3</v>
      </c>
    </row>
    <row r="2379" customFormat="false" ht="15" hidden="false" customHeight="true" outlineLevel="0" collapsed="false">
      <c r="A2379" s="2" t="n">
        <v>44</v>
      </c>
      <c r="B2379" s="2" t="s">
        <v>26</v>
      </c>
      <c r="C2379" s="2" t="s">
        <v>34</v>
      </c>
      <c r="D2379" s="2" t="s">
        <v>28</v>
      </c>
      <c r="E2379" s="2" t="n">
        <v>2</v>
      </c>
      <c r="F2379" s="2" t="n">
        <v>2</v>
      </c>
      <c r="G2379" s="2" t="s">
        <v>50</v>
      </c>
      <c r="H2379" s="2" t="n">
        <v>2378</v>
      </c>
      <c r="I2379" s="2" t="s">
        <v>39</v>
      </c>
      <c r="J2379" s="2" t="n">
        <v>1</v>
      </c>
      <c r="K2379" s="2" t="s">
        <v>45</v>
      </c>
      <c r="L2379" s="2" t="s">
        <v>32</v>
      </c>
      <c r="M2379" s="2" t="n">
        <v>34520</v>
      </c>
      <c r="N2379" s="2" t="n">
        <v>4</v>
      </c>
      <c r="O2379" s="2" t="n">
        <v>11</v>
      </c>
      <c r="P2379" s="2" t="n">
        <v>1</v>
      </c>
      <c r="Q2379" s="2" t="n">
        <v>14</v>
      </c>
      <c r="R2379" s="2" t="n">
        <v>2</v>
      </c>
      <c r="S2379" s="2" t="n">
        <v>10</v>
      </c>
      <c r="T2379" s="2" t="n">
        <v>0</v>
      </c>
      <c r="U2379" s="2" t="n">
        <v>2</v>
      </c>
      <c r="V2379" s="2" t="n">
        <v>1</v>
      </c>
      <c r="W2379" s="2" t="n">
        <v>4</v>
      </c>
      <c r="X2379" s="2" t="n">
        <v>3</v>
      </c>
      <c r="Y2379" s="2" t="n">
        <v>2</v>
      </c>
      <c r="Z2379" s="2" t="n">
        <v>3</v>
      </c>
    </row>
    <row r="2380" customFormat="false" ht="15" hidden="false" customHeight="true" outlineLevel="0" collapsed="false">
      <c r="A2380" s="2" t="n">
        <v>48</v>
      </c>
      <c r="B2380" s="2" t="s">
        <v>26</v>
      </c>
      <c r="C2380" s="2" t="s">
        <v>34</v>
      </c>
      <c r="D2380" s="2" t="s">
        <v>28</v>
      </c>
      <c r="E2380" s="2" t="n">
        <v>10</v>
      </c>
      <c r="F2380" s="2" t="n">
        <v>4</v>
      </c>
      <c r="G2380" s="2" t="s">
        <v>50</v>
      </c>
      <c r="H2380" s="2" t="n">
        <v>2379</v>
      </c>
      <c r="I2380" s="2" t="s">
        <v>30</v>
      </c>
      <c r="J2380" s="2" t="n">
        <v>3</v>
      </c>
      <c r="K2380" s="2" t="s">
        <v>49</v>
      </c>
      <c r="L2380" s="2" t="s">
        <v>32</v>
      </c>
      <c r="M2380" s="2" t="n">
        <v>22700</v>
      </c>
      <c r="N2380" s="2" t="n">
        <v>2</v>
      </c>
      <c r="O2380" s="2" t="n">
        <v>14</v>
      </c>
      <c r="P2380" s="2" t="n">
        <v>3</v>
      </c>
      <c r="Q2380" s="2" t="n">
        <v>23</v>
      </c>
      <c r="R2380" s="2" t="n">
        <v>2</v>
      </c>
      <c r="S2380" s="2" t="n">
        <v>2</v>
      </c>
      <c r="T2380" s="2" t="n">
        <v>2</v>
      </c>
      <c r="U2380" s="2" t="n">
        <v>2</v>
      </c>
      <c r="V2380" s="2" t="n">
        <v>3</v>
      </c>
      <c r="W2380" s="2" t="n">
        <v>4</v>
      </c>
      <c r="X2380" s="2" t="n">
        <v>3</v>
      </c>
      <c r="Y2380" s="2" t="n">
        <v>3</v>
      </c>
      <c r="Z2380" s="2" t="n">
        <v>3</v>
      </c>
    </row>
    <row r="2381" customFormat="false" ht="15" hidden="false" customHeight="true" outlineLevel="0" collapsed="false">
      <c r="A2381" s="2" t="n">
        <v>35</v>
      </c>
      <c r="B2381" s="2" t="s">
        <v>33</v>
      </c>
      <c r="C2381" s="2" t="s">
        <v>27</v>
      </c>
      <c r="D2381" s="2" t="s">
        <v>35</v>
      </c>
      <c r="E2381" s="2" t="n">
        <v>9</v>
      </c>
      <c r="F2381" s="2" t="n">
        <v>3</v>
      </c>
      <c r="G2381" s="2" t="s">
        <v>29</v>
      </c>
      <c r="H2381" s="2" t="n">
        <v>2380</v>
      </c>
      <c r="I2381" s="2" t="s">
        <v>39</v>
      </c>
      <c r="J2381" s="2" t="n">
        <v>2</v>
      </c>
      <c r="K2381" s="2" t="s">
        <v>49</v>
      </c>
      <c r="L2381" s="2" t="s">
        <v>46</v>
      </c>
      <c r="M2381" s="2" t="n">
        <v>173990</v>
      </c>
      <c r="N2381" s="2" t="n">
        <v>6</v>
      </c>
      <c r="O2381" s="2" t="n">
        <v>12</v>
      </c>
      <c r="P2381" s="2" t="n">
        <v>0</v>
      </c>
      <c r="Q2381" s="2" t="n">
        <v>7</v>
      </c>
      <c r="R2381" s="2" t="n">
        <v>3</v>
      </c>
      <c r="S2381" s="2" t="n">
        <v>2</v>
      </c>
      <c r="T2381" s="2" t="n">
        <v>2</v>
      </c>
      <c r="U2381" s="2" t="n">
        <v>2</v>
      </c>
      <c r="V2381" s="2"/>
      <c r="W2381" s="2" t="n">
        <v>4</v>
      </c>
      <c r="X2381" s="2" t="n">
        <v>2</v>
      </c>
      <c r="Y2381" s="2" t="n">
        <v>1</v>
      </c>
      <c r="Z2381" s="2" t="n">
        <v>3</v>
      </c>
    </row>
    <row r="2382" customFormat="false" ht="15" hidden="false" customHeight="true" outlineLevel="0" collapsed="false">
      <c r="A2382" s="2" t="n">
        <v>24</v>
      </c>
      <c r="B2382" s="2" t="s">
        <v>26</v>
      </c>
      <c r="C2382" s="2" t="s">
        <v>34</v>
      </c>
      <c r="D2382" s="2" t="s">
        <v>35</v>
      </c>
      <c r="E2382" s="2" t="n">
        <v>15</v>
      </c>
      <c r="F2382" s="2" t="n">
        <v>3</v>
      </c>
      <c r="G2382" s="2" t="s">
        <v>29</v>
      </c>
      <c r="H2382" s="2" t="n">
        <v>2381</v>
      </c>
      <c r="I2382" s="2" t="s">
        <v>39</v>
      </c>
      <c r="J2382" s="2" t="n">
        <v>2</v>
      </c>
      <c r="K2382" s="2" t="s">
        <v>36</v>
      </c>
      <c r="L2382" s="2" t="s">
        <v>37</v>
      </c>
      <c r="M2382" s="2" t="n">
        <v>54880</v>
      </c>
      <c r="N2382" s="2" t="n">
        <v>1</v>
      </c>
      <c r="O2382" s="2" t="n">
        <v>22</v>
      </c>
      <c r="P2382" s="2" t="n">
        <v>1</v>
      </c>
      <c r="Q2382" s="2" t="n">
        <v>6</v>
      </c>
      <c r="R2382" s="2" t="n">
        <v>6</v>
      </c>
      <c r="S2382" s="2" t="n">
        <v>6</v>
      </c>
      <c r="T2382" s="2" t="n">
        <v>1</v>
      </c>
      <c r="U2382" s="2" t="n">
        <v>3</v>
      </c>
      <c r="V2382" s="2" t="n">
        <v>1</v>
      </c>
      <c r="W2382" s="2" t="n">
        <v>4</v>
      </c>
      <c r="X2382" s="2" t="n">
        <v>3</v>
      </c>
      <c r="Y2382" s="2" t="n">
        <v>3</v>
      </c>
      <c r="Z2382" s="2" t="n">
        <v>4</v>
      </c>
    </row>
    <row r="2383" customFormat="false" ht="15" hidden="false" customHeight="true" outlineLevel="0" collapsed="false">
      <c r="A2383" s="2" t="n">
        <v>27</v>
      </c>
      <c r="B2383" s="2" t="s">
        <v>26</v>
      </c>
      <c r="C2383" s="2" t="s">
        <v>27</v>
      </c>
      <c r="D2383" s="2" t="s">
        <v>28</v>
      </c>
      <c r="E2383" s="2" t="n">
        <v>10</v>
      </c>
      <c r="F2383" s="2" t="n">
        <v>4</v>
      </c>
      <c r="G2383" s="2" t="s">
        <v>29</v>
      </c>
      <c r="H2383" s="2" t="n">
        <v>2382</v>
      </c>
      <c r="I2383" s="2" t="s">
        <v>39</v>
      </c>
      <c r="J2383" s="2" t="n">
        <v>3</v>
      </c>
      <c r="K2383" s="2" t="s">
        <v>40</v>
      </c>
      <c r="L2383" s="2" t="s">
        <v>32</v>
      </c>
      <c r="M2383" s="2" t="n">
        <v>194190</v>
      </c>
      <c r="N2383" s="2" t="n">
        <v>7</v>
      </c>
      <c r="O2383" s="2" t="n">
        <v>14</v>
      </c>
      <c r="P2383" s="2" t="n">
        <v>1</v>
      </c>
      <c r="Q2383" s="2" t="n">
        <v>5</v>
      </c>
      <c r="R2383" s="2" t="n">
        <v>2</v>
      </c>
      <c r="S2383" s="2" t="n">
        <v>3</v>
      </c>
      <c r="T2383" s="2" t="n">
        <v>0</v>
      </c>
      <c r="U2383" s="2" t="n">
        <v>2</v>
      </c>
      <c r="V2383" s="2" t="n">
        <v>2</v>
      </c>
      <c r="W2383" s="2" t="n">
        <v>3</v>
      </c>
      <c r="X2383" s="2" t="n">
        <v>3</v>
      </c>
      <c r="Y2383" s="2" t="n">
        <v>1</v>
      </c>
      <c r="Z2383" s="2" t="n">
        <v>3</v>
      </c>
    </row>
    <row r="2384" customFormat="false" ht="15" hidden="false" customHeight="true" outlineLevel="0" collapsed="false">
      <c r="A2384" s="2" t="n">
        <v>27</v>
      </c>
      <c r="B2384" s="2" t="s">
        <v>26</v>
      </c>
      <c r="C2384" s="2" t="s">
        <v>34</v>
      </c>
      <c r="D2384" s="2" t="s">
        <v>35</v>
      </c>
      <c r="E2384" s="2" t="n">
        <v>7</v>
      </c>
      <c r="F2384" s="2" t="n">
        <v>3</v>
      </c>
      <c r="G2384" s="2" t="s">
        <v>29</v>
      </c>
      <c r="H2384" s="2" t="n">
        <v>2383</v>
      </c>
      <c r="I2384" s="2" t="s">
        <v>39</v>
      </c>
      <c r="J2384" s="2" t="n">
        <v>1</v>
      </c>
      <c r="K2384" s="2" t="s">
        <v>36</v>
      </c>
      <c r="L2384" s="2" t="s">
        <v>37</v>
      </c>
      <c r="M2384" s="2" t="n">
        <v>28110</v>
      </c>
      <c r="N2384" s="2" t="n">
        <v>2</v>
      </c>
      <c r="O2384" s="2" t="n">
        <v>20</v>
      </c>
      <c r="P2384" s="2" t="n">
        <v>0</v>
      </c>
      <c r="Q2384" s="2" t="n">
        <v>6</v>
      </c>
      <c r="R2384" s="2" t="n">
        <v>3</v>
      </c>
      <c r="S2384" s="2" t="n">
        <v>4</v>
      </c>
      <c r="T2384" s="2" t="n">
        <v>1</v>
      </c>
      <c r="U2384" s="2" t="n">
        <v>2</v>
      </c>
      <c r="V2384" s="2" t="n">
        <v>4</v>
      </c>
      <c r="W2384" s="2" t="n">
        <v>4</v>
      </c>
      <c r="X2384" s="2" t="n">
        <v>2</v>
      </c>
      <c r="Y2384" s="2" t="n">
        <v>3</v>
      </c>
      <c r="Z2384" s="2" t="n">
        <v>4</v>
      </c>
    </row>
    <row r="2385" customFormat="false" ht="15" hidden="false" customHeight="true" outlineLevel="0" collapsed="false">
      <c r="A2385" s="2" t="n">
        <v>40</v>
      </c>
      <c r="B2385" s="2" t="s">
        <v>33</v>
      </c>
      <c r="C2385" s="2" t="s">
        <v>27</v>
      </c>
      <c r="D2385" s="2" t="s">
        <v>28</v>
      </c>
      <c r="E2385" s="2" t="n">
        <v>16</v>
      </c>
      <c r="F2385" s="2" t="n">
        <v>4</v>
      </c>
      <c r="G2385" s="2" t="s">
        <v>50</v>
      </c>
      <c r="H2385" s="2" t="n">
        <v>2384</v>
      </c>
      <c r="I2385" s="2" t="s">
        <v>39</v>
      </c>
      <c r="J2385" s="2" t="n">
        <v>1</v>
      </c>
      <c r="K2385" s="2" t="s">
        <v>44</v>
      </c>
      <c r="L2385" s="2" t="s">
        <v>37</v>
      </c>
      <c r="M2385" s="2" t="n">
        <v>36330</v>
      </c>
      <c r="N2385" s="2" t="n">
        <v>3</v>
      </c>
      <c r="O2385" s="2" t="n">
        <v>16</v>
      </c>
      <c r="P2385" s="2" t="n">
        <v>2</v>
      </c>
      <c r="Q2385" s="2" t="n">
        <v>10</v>
      </c>
      <c r="R2385" s="2" t="n">
        <v>0</v>
      </c>
      <c r="S2385" s="2" t="n">
        <v>4</v>
      </c>
      <c r="T2385" s="2" t="n">
        <v>0</v>
      </c>
      <c r="U2385" s="2" t="n">
        <v>3</v>
      </c>
      <c r="V2385" s="2" t="n">
        <v>1</v>
      </c>
      <c r="W2385" s="2" t="n">
        <v>1</v>
      </c>
      <c r="X2385" s="2" t="n">
        <v>1</v>
      </c>
      <c r="Y2385" s="2" t="n">
        <v>3</v>
      </c>
      <c r="Z2385" s="2" t="n">
        <v>3</v>
      </c>
    </row>
    <row r="2386" customFormat="false" ht="15" hidden="false" customHeight="true" outlineLevel="0" collapsed="false">
      <c r="A2386" s="2" t="n">
        <v>29</v>
      </c>
      <c r="B2386" s="2" t="s">
        <v>26</v>
      </c>
      <c r="C2386" s="2" t="s">
        <v>27</v>
      </c>
      <c r="D2386" s="2" t="s">
        <v>35</v>
      </c>
      <c r="E2386" s="2" t="n">
        <v>20</v>
      </c>
      <c r="F2386" s="2" t="n">
        <v>1</v>
      </c>
      <c r="G2386" s="2" t="s">
        <v>43</v>
      </c>
      <c r="H2386" s="2" t="n">
        <v>2385</v>
      </c>
      <c r="I2386" s="2" t="s">
        <v>30</v>
      </c>
      <c r="J2386" s="2" t="n">
        <v>2</v>
      </c>
      <c r="K2386" s="2" t="s">
        <v>49</v>
      </c>
      <c r="L2386" s="2" t="s">
        <v>37</v>
      </c>
      <c r="M2386" s="2" t="n">
        <v>41630</v>
      </c>
      <c r="N2386" s="2" t="n">
        <v>9</v>
      </c>
      <c r="O2386" s="2" t="n">
        <v>15</v>
      </c>
      <c r="P2386" s="2" t="n">
        <v>1</v>
      </c>
      <c r="Q2386" s="2" t="n">
        <v>8</v>
      </c>
      <c r="R2386" s="2" t="n">
        <v>4</v>
      </c>
      <c r="S2386" s="2" t="n">
        <v>5</v>
      </c>
      <c r="T2386" s="2" t="n">
        <v>1</v>
      </c>
      <c r="U2386" s="2" t="n">
        <v>4</v>
      </c>
      <c r="V2386" s="2" t="n">
        <v>3</v>
      </c>
      <c r="W2386" s="2" t="n">
        <v>3</v>
      </c>
      <c r="X2386" s="2" t="n">
        <v>3</v>
      </c>
      <c r="Y2386" s="2" t="n">
        <v>2</v>
      </c>
      <c r="Z2386" s="2" t="n">
        <v>3</v>
      </c>
    </row>
    <row r="2387" customFormat="false" ht="15" hidden="false" customHeight="true" outlineLevel="0" collapsed="false">
      <c r="A2387" s="2" t="n">
        <v>36</v>
      </c>
      <c r="B2387" s="2" t="s">
        <v>26</v>
      </c>
      <c r="C2387" s="2" t="s">
        <v>27</v>
      </c>
      <c r="D2387" s="2" t="s">
        <v>35</v>
      </c>
      <c r="E2387" s="2" t="n">
        <v>23</v>
      </c>
      <c r="F2387" s="2" t="n">
        <v>3</v>
      </c>
      <c r="G2387" s="2" t="s">
        <v>29</v>
      </c>
      <c r="H2387" s="2" t="n">
        <v>2386</v>
      </c>
      <c r="I2387" s="2" t="s">
        <v>30</v>
      </c>
      <c r="J2387" s="2" t="n">
        <v>3</v>
      </c>
      <c r="K2387" s="2" t="s">
        <v>40</v>
      </c>
      <c r="L2387" s="2" t="s">
        <v>32</v>
      </c>
      <c r="M2387" s="2" t="n">
        <v>21320</v>
      </c>
      <c r="N2387" s="2" t="n">
        <v>4</v>
      </c>
      <c r="O2387" s="2" t="n">
        <v>20</v>
      </c>
      <c r="P2387" s="2" t="n">
        <v>0</v>
      </c>
      <c r="Q2387" s="2" t="n">
        <v>9</v>
      </c>
      <c r="R2387" s="2" t="n">
        <v>1</v>
      </c>
      <c r="S2387" s="2" t="n">
        <v>3</v>
      </c>
      <c r="T2387" s="2" t="n">
        <v>0</v>
      </c>
      <c r="U2387" s="2" t="n">
        <v>2</v>
      </c>
      <c r="V2387" s="2" t="n">
        <v>2</v>
      </c>
      <c r="W2387" s="2" t="n">
        <v>1</v>
      </c>
      <c r="X2387" s="2" t="n">
        <v>3</v>
      </c>
      <c r="Y2387" s="2" t="n">
        <v>2</v>
      </c>
      <c r="Z2387" s="2" t="n">
        <v>4</v>
      </c>
    </row>
    <row r="2388" customFormat="false" ht="15" hidden="false" customHeight="true" outlineLevel="0" collapsed="false">
      <c r="A2388" s="2" t="n">
        <v>25</v>
      </c>
      <c r="B2388" s="2" t="s">
        <v>26</v>
      </c>
      <c r="C2388" s="2" t="s">
        <v>34</v>
      </c>
      <c r="D2388" s="2" t="s">
        <v>28</v>
      </c>
      <c r="E2388" s="2" t="n">
        <v>5</v>
      </c>
      <c r="F2388" s="2" t="n">
        <v>1</v>
      </c>
      <c r="G2388" s="2" t="s">
        <v>50</v>
      </c>
      <c r="H2388" s="2" t="n">
        <v>2387</v>
      </c>
      <c r="I2388" s="2" t="s">
        <v>39</v>
      </c>
      <c r="J2388" s="2" t="n">
        <v>4</v>
      </c>
      <c r="K2388" s="2" t="s">
        <v>47</v>
      </c>
      <c r="L2388" s="2" t="s">
        <v>46</v>
      </c>
      <c r="M2388" s="2" t="n">
        <v>139730</v>
      </c>
      <c r="N2388" s="2" t="n">
        <v>1</v>
      </c>
      <c r="O2388" s="2" t="n">
        <v>14</v>
      </c>
      <c r="P2388" s="2" t="n">
        <v>0</v>
      </c>
      <c r="Q2388" s="2" t="n">
        <v>7</v>
      </c>
      <c r="R2388" s="2" t="n">
        <v>3</v>
      </c>
      <c r="S2388" s="2" t="n">
        <v>7</v>
      </c>
      <c r="T2388" s="2" t="n">
        <v>0</v>
      </c>
      <c r="U2388" s="2" t="n">
        <v>7</v>
      </c>
      <c r="V2388" s="2" t="n">
        <v>4</v>
      </c>
      <c r="W2388" s="2" t="n">
        <v>3</v>
      </c>
      <c r="X2388" s="2" t="n">
        <v>3</v>
      </c>
      <c r="Y2388" s="2" t="n">
        <v>2</v>
      </c>
      <c r="Z2388" s="2" t="n">
        <v>3</v>
      </c>
    </row>
    <row r="2389" customFormat="false" ht="15" hidden="false" customHeight="true" outlineLevel="0" collapsed="false">
      <c r="A2389" s="2" t="n">
        <v>39</v>
      </c>
      <c r="B2389" s="2" t="s">
        <v>26</v>
      </c>
      <c r="C2389" s="2" t="s">
        <v>27</v>
      </c>
      <c r="D2389" s="2" t="s">
        <v>28</v>
      </c>
      <c r="E2389" s="2" t="n">
        <v>10</v>
      </c>
      <c r="F2389" s="2" t="n">
        <v>3</v>
      </c>
      <c r="G2389" s="2" t="s">
        <v>50</v>
      </c>
      <c r="H2389" s="2" t="n">
        <v>2388</v>
      </c>
      <c r="I2389" s="2" t="s">
        <v>30</v>
      </c>
      <c r="J2389" s="2" t="n">
        <v>2</v>
      </c>
      <c r="K2389" s="2" t="s">
        <v>44</v>
      </c>
      <c r="L2389" s="2" t="s">
        <v>32</v>
      </c>
      <c r="M2389" s="2" t="n">
        <v>26840</v>
      </c>
      <c r="N2389" s="2" t="n">
        <v>4</v>
      </c>
      <c r="O2389" s="2" t="n">
        <v>12</v>
      </c>
      <c r="P2389" s="2" t="n">
        <v>0</v>
      </c>
      <c r="Q2389" s="2" t="n">
        <v>7</v>
      </c>
      <c r="R2389" s="2" t="n">
        <v>2</v>
      </c>
      <c r="S2389" s="2" t="n">
        <v>5</v>
      </c>
      <c r="T2389" s="2" t="n">
        <v>1</v>
      </c>
      <c r="U2389" s="2" t="n">
        <v>0</v>
      </c>
      <c r="V2389" s="2" t="n">
        <v>4</v>
      </c>
      <c r="W2389" s="2" t="n">
        <v>2</v>
      </c>
      <c r="X2389" s="2" t="n">
        <v>3</v>
      </c>
      <c r="Y2389" s="2" t="n">
        <v>3</v>
      </c>
      <c r="Z2389" s="2" t="n">
        <v>3</v>
      </c>
    </row>
    <row r="2390" customFormat="false" ht="15" hidden="false" customHeight="true" outlineLevel="0" collapsed="false">
      <c r="A2390" s="2" t="n">
        <v>49</v>
      </c>
      <c r="B2390" s="2" t="s">
        <v>26</v>
      </c>
      <c r="C2390" s="2" t="s">
        <v>27</v>
      </c>
      <c r="D2390" s="2" t="s">
        <v>28</v>
      </c>
      <c r="E2390" s="2" t="n">
        <v>4</v>
      </c>
      <c r="F2390" s="2" t="n">
        <v>2</v>
      </c>
      <c r="G2390" s="2" t="s">
        <v>29</v>
      </c>
      <c r="H2390" s="2" t="n">
        <v>2389</v>
      </c>
      <c r="I2390" s="2" t="s">
        <v>39</v>
      </c>
      <c r="J2390" s="2" t="n">
        <v>2</v>
      </c>
      <c r="K2390" s="2" t="s">
        <v>44</v>
      </c>
      <c r="L2390" s="2" t="s">
        <v>32</v>
      </c>
      <c r="M2390" s="2" t="n">
        <v>108450</v>
      </c>
      <c r="N2390" s="2" t="n">
        <v>3</v>
      </c>
      <c r="O2390" s="2" t="n">
        <v>24</v>
      </c>
      <c r="P2390" s="2" t="n">
        <v>0</v>
      </c>
      <c r="Q2390" s="2" t="n">
        <v>27</v>
      </c>
      <c r="R2390" s="2" t="n">
        <v>4</v>
      </c>
      <c r="S2390" s="2" t="n">
        <v>4</v>
      </c>
      <c r="T2390" s="2" t="n">
        <v>1</v>
      </c>
      <c r="U2390" s="2" t="n">
        <v>2</v>
      </c>
      <c r="V2390" s="2" t="n">
        <v>1</v>
      </c>
      <c r="W2390" s="2" t="n">
        <v>2</v>
      </c>
      <c r="X2390" s="2" t="n">
        <v>3</v>
      </c>
      <c r="Y2390" s="2" t="n">
        <v>2</v>
      </c>
      <c r="Z2390" s="2" t="n">
        <v>4</v>
      </c>
    </row>
    <row r="2391" customFormat="false" ht="15" hidden="false" customHeight="true" outlineLevel="0" collapsed="false">
      <c r="A2391" s="2" t="n">
        <v>50</v>
      </c>
      <c r="B2391" s="2" t="s">
        <v>26</v>
      </c>
      <c r="C2391" s="2" t="s">
        <v>27</v>
      </c>
      <c r="D2391" s="2" t="s">
        <v>35</v>
      </c>
      <c r="E2391" s="2" t="n">
        <v>2</v>
      </c>
      <c r="F2391" s="2" t="n">
        <v>2</v>
      </c>
      <c r="G2391" s="2" t="s">
        <v>43</v>
      </c>
      <c r="H2391" s="2" t="n">
        <v>2390</v>
      </c>
      <c r="I2391" s="2" t="s">
        <v>39</v>
      </c>
      <c r="J2391" s="2" t="n">
        <v>3</v>
      </c>
      <c r="K2391" s="2" t="s">
        <v>40</v>
      </c>
      <c r="L2391" s="2" t="s">
        <v>46</v>
      </c>
      <c r="M2391" s="2" t="n">
        <v>43770</v>
      </c>
      <c r="N2391" s="2" t="n">
        <v>5</v>
      </c>
      <c r="O2391" s="2" t="n">
        <v>12</v>
      </c>
      <c r="P2391" s="2" t="n">
        <v>1</v>
      </c>
      <c r="Q2391" s="2" t="n">
        <v>19</v>
      </c>
      <c r="R2391" s="2" t="n">
        <v>2</v>
      </c>
      <c r="S2391" s="2" t="n">
        <v>14</v>
      </c>
      <c r="T2391" s="2" t="n">
        <v>1</v>
      </c>
      <c r="U2391" s="2" t="n">
        <v>11</v>
      </c>
      <c r="V2391" s="2" t="n">
        <v>4</v>
      </c>
      <c r="W2391" s="2" t="n">
        <v>1</v>
      </c>
      <c r="X2391" s="2" t="n">
        <v>3</v>
      </c>
      <c r="Y2391" s="2" t="n">
        <v>2</v>
      </c>
      <c r="Z2391" s="2" t="n">
        <v>3</v>
      </c>
    </row>
    <row r="2392" customFormat="false" ht="15" hidden="false" customHeight="true" outlineLevel="0" collapsed="false">
      <c r="A2392" s="2" t="n">
        <v>20</v>
      </c>
      <c r="B2392" s="2" t="s">
        <v>26</v>
      </c>
      <c r="C2392" s="2" t="s">
        <v>27</v>
      </c>
      <c r="D2392" s="2" t="s">
        <v>35</v>
      </c>
      <c r="E2392" s="2" t="n">
        <v>18</v>
      </c>
      <c r="F2392" s="2" t="n">
        <v>4</v>
      </c>
      <c r="G2392" s="2" t="s">
        <v>43</v>
      </c>
      <c r="H2392" s="2" t="n">
        <v>2391</v>
      </c>
      <c r="I2392" s="2" t="s">
        <v>30</v>
      </c>
      <c r="J2392" s="2" t="n">
        <v>2</v>
      </c>
      <c r="K2392" s="2" t="s">
        <v>40</v>
      </c>
      <c r="L2392" s="2" t="s">
        <v>37</v>
      </c>
      <c r="M2392" s="2" t="n">
        <v>37430</v>
      </c>
      <c r="N2392" s="2" t="n">
        <v>1</v>
      </c>
      <c r="O2392" s="2" t="n">
        <v>13</v>
      </c>
      <c r="P2392" s="2" t="n">
        <v>1</v>
      </c>
      <c r="Q2392" s="2" t="n">
        <v>2</v>
      </c>
      <c r="R2392" s="2" t="n">
        <v>2</v>
      </c>
      <c r="S2392" s="2" t="n">
        <v>2</v>
      </c>
      <c r="T2392" s="2" t="n">
        <v>2</v>
      </c>
      <c r="U2392" s="2" t="n">
        <v>2</v>
      </c>
      <c r="V2392" s="2" t="n">
        <v>3</v>
      </c>
      <c r="W2392" s="2" t="n">
        <v>3</v>
      </c>
      <c r="X2392" s="2" t="n">
        <v>3</v>
      </c>
      <c r="Y2392" s="2" t="n">
        <v>3</v>
      </c>
      <c r="Z2392" s="2" t="n">
        <v>3</v>
      </c>
    </row>
    <row r="2393" customFormat="false" ht="15" hidden="false" customHeight="true" outlineLevel="0" collapsed="false">
      <c r="A2393" s="2" t="n">
        <v>34</v>
      </c>
      <c r="B2393" s="2" t="s">
        <v>26</v>
      </c>
      <c r="C2393" s="2" t="s">
        <v>27</v>
      </c>
      <c r="D2393" s="2" t="s">
        <v>35</v>
      </c>
      <c r="E2393" s="2" t="n">
        <v>10</v>
      </c>
      <c r="F2393" s="2" t="n">
        <v>3</v>
      </c>
      <c r="G2393" s="2" t="s">
        <v>43</v>
      </c>
      <c r="H2393" s="2" t="n">
        <v>2392</v>
      </c>
      <c r="I2393" s="2" t="s">
        <v>39</v>
      </c>
      <c r="J2393" s="2" t="n">
        <v>3</v>
      </c>
      <c r="K2393" s="2" t="s">
        <v>45</v>
      </c>
      <c r="L2393" s="2" t="s">
        <v>46</v>
      </c>
      <c r="M2393" s="2" t="n">
        <v>41480</v>
      </c>
      <c r="N2393" s="2" t="n">
        <v>1</v>
      </c>
      <c r="O2393" s="2" t="n">
        <v>11</v>
      </c>
      <c r="P2393" s="2" t="n">
        <v>0</v>
      </c>
      <c r="Q2393" s="2" t="n">
        <v>11</v>
      </c>
      <c r="R2393" s="2" t="n">
        <v>3</v>
      </c>
      <c r="S2393" s="2" t="n">
        <v>11</v>
      </c>
      <c r="T2393" s="2" t="n">
        <v>7</v>
      </c>
      <c r="U2393" s="2" t="n">
        <v>9</v>
      </c>
      <c r="V2393" s="2" t="n">
        <v>4</v>
      </c>
      <c r="W2393" s="2" t="n">
        <v>2</v>
      </c>
      <c r="X2393" s="2" t="n">
        <v>3</v>
      </c>
      <c r="Y2393" s="2" t="n">
        <v>3</v>
      </c>
      <c r="Z2393" s="2" t="n">
        <v>3</v>
      </c>
    </row>
    <row r="2394" customFormat="false" ht="15" hidden="false" customHeight="true" outlineLevel="0" collapsed="false">
      <c r="A2394" s="2" t="n">
        <v>36</v>
      </c>
      <c r="B2394" s="2" t="s">
        <v>26</v>
      </c>
      <c r="C2394" s="2" t="s">
        <v>27</v>
      </c>
      <c r="D2394" s="2" t="s">
        <v>35</v>
      </c>
      <c r="E2394" s="2" t="n">
        <v>1</v>
      </c>
      <c r="F2394" s="2" t="n">
        <v>3</v>
      </c>
      <c r="G2394" s="2" t="s">
        <v>29</v>
      </c>
      <c r="H2394" s="2" t="n">
        <v>2393</v>
      </c>
      <c r="I2394" s="2" t="s">
        <v>30</v>
      </c>
      <c r="J2394" s="2" t="n">
        <v>2</v>
      </c>
      <c r="K2394" s="2" t="s">
        <v>31</v>
      </c>
      <c r="L2394" s="2" t="s">
        <v>37</v>
      </c>
      <c r="M2394" s="2" t="n">
        <v>10510</v>
      </c>
      <c r="N2394" s="2" t="n">
        <v>2</v>
      </c>
      <c r="O2394" s="2" t="n">
        <v>14</v>
      </c>
      <c r="P2394" s="2" t="n">
        <v>0</v>
      </c>
      <c r="Q2394" s="2" t="n">
        <v>15</v>
      </c>
      <c r="R2394" s="2" t="n">
        <v>2</v>
      </c>
      <c r="S2394" s="2" t="n">
        <v>4</v>
      </c>
      <c r="T2394" s="2" t="n">
        <v>1</v>
      </c>
      <c r="U2394" s="2" t="n">
        <v>3</v>
      </c>
      <c r="V2394" s="2" t="n">
        <v>1</v>
      </c>
      <c r="W2394" s="2" t="n">
        <v>2</v>
      </c>
      <c r="X2394" s="2" t="n">
        <v>3</v>
      </c>
      <c r="Y2394" s="2" t="n">
        <v>3</v>
      </c>
      <c r="Z2394" s="2" t="n">
        <v>3</v>
      </c>
    </row>
    <row r="2395" customFormat="false" ht="15" hidden="false" customHeight="true" outlineLevel="0" collapsed="false">
      <c r="A2395" s="2" t="n">
        <v>49</v>
      </c>
      <c r="B2395" s="2" t="s">
        <v>26</v>
      </c>
      <c r="C2395" s="2" t="s">
        <v>27</v>
      </c>
      <c r="D2395" s="2" t="s">
        <v>42</v>
      </c>
      <c r="E2395" s="2" t="n">
        <v>6</v>
      </c>
      <c r="F2395" s="2" t="n">
        <v>2</v>
      </c>
      <c r="G2395" s="2" t="s">
        <v>29</v>
      </c>
      <c r="H2395" s="2" t="n">
        <v>2394</v>
      </c>
      <c r="I2395" s="2" t="s">
        <v>30</v>
      </c>
      <c r="J2395" s="2" t="n">
        <v>2</v>
      </c>
      <c r="K2395" s="2" t="s">
        <v>36</v>
      </c>
      <c r="L2395" s="2" t="s">
        <v>32</v>
      </c>
      <c r="M2395" s="2" t="n">
        <v>107390</v>
      </c>
      <c r="N2395" s="2" t="n">
        <v>2</v>
      </c>
      <c r="O2395" s="2" t="n">
        <v>11</v>
      </c>
      <c r="P2395" s="2" t="n">
        <v>3</v>
      </c>
      <c r="Q2395" s="2" t="n">
        <v>30</v>
      </c>
      <c r="R2395" s="2" t="n">
        <v>3</v>
      </c>
      <c r="S2395" s="2" t="n">
        <v>15</v>
      </c>
      <c r="T2395" s="2" t="n">
        <v>2</v>
      </c>
      <c r="U2395" s="2" t="n">
        <v>12</v>
      </c>
      <c r="V2395" s="2" t="n">
        <v>3</v>
      </c>
      <c r="W2395" s="2" t="n">
        <v>3</v>
      </c>
      <c r="X2395" s="2" t="n">
        <v>3</v>
      </c>
      <c r="Y2395" s="2" t="n">
        <v>3</v>
      </c>
      <c r="Z2395" s="2" t="n">
        <v>3</v>
      </c>
    </row>
    <row r="2396" customFormat="false" ht="15" hidden="false" customHeight="true" outlineLevel="0" collapsed="false">
      <c r="A2396" s="2" t="n">
        <v>36</v>
      </c>
      <c r="B2396" s="2" t="s">
        <v>26</v>
      </c>
      <c r="C2396" s="2" t="s">
        <v>41</v>
      </c>
      <c r="D2396" s="2" t="s">
        <v>35</v>
      </c>
      <c r="E2396" s="2" t="n">
        <v>8</v>
      </c>
      <c r="F2396" s="2" t="n">
        <v>4</v>
      </c>
      <c r="G2396" s="2" t="s">
        <v>29</v>
      </c>
      <c r="H2396" s="2" t="n">
        <v>2395</v>
      </c>
      <c r="I2396" s="2" t="s">
        <v>39</v>
      </c>
      <c r="J2396" s="2" t="n">
        <v>4</v>
      </c>
      <c r="K2396" s="2" t="s">
        <v>45</v>
      </c>
      <c r="L2396" s="2" t="s">
        <v>32</v>
      </c>
      <c r="M2396" s="2" t="n">
        <v>103880</v>
      </c>
      <c r="N2396" s="2" t="n">
        <v>0</v>
      </c>
      <c r="O2396" s="2" t="n">
        <v>14</v>
      </c>
      <c r="P2396" s="2" t="n">
        <v>0</v>
      </c>
      <c r="Q2396" s="2" t="n">
        <v>4</v>
      </c>
      <c r="R2396" s="2" t="n">
        <v>2</v>
      </c>
      <c r="S2396" s="2" t="n">
        <v>3</v>
      </c>
      <c r="T2396" s="2" t="n">
        <v>1</v>
      </c>
      <c r="U2396" s="2" t="n">
        <v>2</v>
      </c>
      <c r="V2396" s="2" t="n">
        <v>4</v>
      </c>
      <c r="W2396" s="2" t="n">
        <v>3</v>
      </c>
      <c r="X2396" s="2"/>
      <c r="Y2396" s="2" t="n">
        <v>3</v>
      </c>
      <c r="Z2396" s="2" t="n">
        <v>3</v>
      </c>
    </row>
    <row r="2397" customFormat="false" ht="15" hidden="false" customHeight="true" outlineLevel="0" collapsed="false">
      <c r="A2397" s="2" t="n">
        <v>36</v>
      </c>
      <c r="B2397" s="2" t="s">
        <v>26</v>
      </c>
      <c r="C2397" s="2" t="s">
        <v>27</v>
      </c>
      <c r="D2397" s="2" t="s">
        <v>35</v>
      </c>
      <c r="E2397" s="2" t="n">
        <v>2</v>
      </c>
      <c r="F2397" s="2" t="n">
        <v>2</v>
      </c>
      <c r="G2397" s="2" t="s">
        <v>43</v>
      </c>
      <c r="H2397" s="2" t="n">
        <v>2396</v>
      </c>
      <c r="I2397" s="2" t="s">
        <v>30</v>
      </c>
      <c r="J2397" s="2" t="n">
        <v>2</v>
      </c>
      <c r="K2397" s="2" t="s">
        <v>31</v>
      </c>
      <c r="L2397" s="2" t="s">
        <v>46</v>
      </c>
      <c r="M2397" s="2" t="n">
        <v>114160</v>
      </c>
      <c r="N2397" s="2" t="n">
        <v>6</v>
      </c>
      <c r="O2397" s="2" t="n">
        <v>16</v>
      </c>
      <c r="P2397" s="2" t="n">
        <v>0</v>
      </c>
      <c r="Q2397" s="2" t="n">
        <v>13</v>
      </c>
      <c r="R2397" s="2" t="n">
        <v>2</v>
      </c>
      <c r="S2397" s="2" t="n">
        <v>5</v>
      </c>
      <c r="T2397" s="2" t="n">
        <v>0</v>
      </c>
      <c r="U2397" s="2" t="n">
        <v>4</v>
      </c>
      <c r="V2397" s="2" t="n">
        <v>4</v>
      </c>
      <c r="W2397" s="2" t="n">
        <v>1</v>
      </c>
      <c r="X2397" s="2" t="n">
        <v>3</v>
      </c>
      <c r="Y2397" s="2" t="n">
        <v>3</v>
      </c>
      <c r="Z2397" s="2" t="n">
        <v>3</v>
      </c>
    </row>
    <row r="2398" customFormat="false" ht="15" hidden="false" customHeight="true" outlineLevel="0" collapsed="false">
      <c r="A2398" s="2" t="n">
        <v>54</v>
      </c>
      <c r="B2398" s="2" t="s">
        <v>26</v>
      </c>
      <c r="C2398" s="2" t="s">
        <v>27</v>
      </c>
      <c r="D2398" s="2" t="s">
        <v>28</v>
      </c>
      <c r="E2398" s="2" t="n">
        <v>24</v>
      </c>
      <c r="F2398" s="2" t="n">
        <v>3</v>
      </c>
      <c r="G2398" s="2" t="s">
        <v>50</v>
      </c>
      <c r="H2398" s="2" t="n">
        <v>2397</v>
      </c>
      <c r="I2398" s="2" t="s">
        <v>39</v>
      </c>
      <c r="J2398" s="2" t="n">
        <v>1</v>
      </c>
      <c r="K2398" s="2" t="s">
        <v>45</v>
      </c>
      <c r="L2398" s="2" t="s">
        <v>32</v>
      </c>
      <c r="M2398" s="2" t="n">
        <v>26000</v>
      </c>
      <c r="N2398" s="2" t="n">
        <v>3</v>
      </c>
      <c r="O2398" s="2" t="n">
        <v>14</v>
      </c>
      <c r="P2398" s="2" t="n">
        <v>0</v>
      </c>
      <c r="Q2398" s="2" t="n">
        <v>36</v>
      </c>
      <c r="R2398" s="2" t="n">
        <v>5</v>
      </c>
      <c r="S2398" s="2" t="n">
        <v>10</v>
      </c>
      <c r="T2398" s="2" t="n">
        <v>4</v>
      </c>
      <c r="U2398" s="2" t="n">
        <v>7</v>
      </c>
      <c r="V2398" s="2" t="n">
        <v>2</v>
      </c>
      <c r="W2398" s="2" t="n">
        <v>3</v>
      </c>
      <c r="X2398" s="2" t="n">
        <v>3</v>
      </c>
      <c r="Y2398" s="2" t="n">
        <v>3</v>
      </c>
      <c r="Z2398" s="2" t="n">
        <v>3</v>
      </c>
    </row>
    <row r="2399" customFormat="false" ht="15" hidden="false" customHeight="true" outlineLevel="0" collapsed="false">
      <c r="A2399" s="2" t="n">
        <v>43</v>
      </c>
      <c r="B2399" s="2" t="s">
        <v>26</v>
      </c>
      <c r="C2399" s="2" t="s">
        <v>27</v>
      </c>
      <c r="D2399" s="2" t="s">
        <v>35</v>
      </c>
      <c r="E2399" s="2" t="n">
        <v>2</v>
      </c>
      <c r="F2399" s="2" t="n">
        <v>4</v>
      </c>
      <c r="G2399" s="2" t="s">
        <v>29</v>
      </c>
      <c r="H2399" s="2" t="n">
        <v>2398</v>
      </c>
      <c r="I2399" s="2" t="s">
        <v>30</v>
      </c>
      <c r="J2399" s="2" t="n">
        <v>1</v>
      </c>
      <c r="K2399" s="2" t="s">
        <v>36</v>
      </c>
      <c r="L2399" s="2" t="s">
        <v>32</v>
      </c>
      <c r="M2399" s="2" t="n">
        <v>24220</v>
      </c>
      <c r="N2399" s="2" t="n">
        <v>1</v>
      </c>
      <c r="O2399" s="2" t="n">
        <v>11</v>
      </c>
      <c r="P2399" s="2" t="n">
        <v>1</v>
      </c>
      <c r="Q2399" s="2" t="n">
        <v>14</v>
      </c>
      <c r="R2399" s="2" t="n">
        <v>2</v>
      </c>
      <c r="S2399" s="2" t="n">
        <v>14</v>
      </c>
      <c r="T2399" s="2" t="n">
        <v>6</v>
      </c>
      <c r="U2399" s="2" t="n">
        <v>11</v>
      </c>
      <c r="V2399" s="2" t="n">
        <v>3</v>
      </c>
      <c r="W2399" s="2" t="n">
        <v>3</v>
      </c>
      <c r="X2399" s="2" t="n">
        <v>3</v>
      </c>
      <c r="Y2399" s="2" t="n">
        <v>3</v>
      </c>
      <c r="Z2399" s="2" t="n">
        <v>3</v>
      </c>
    </row>
    <row r="2400" customFormat="false" ht="15" hidden="false" customHeight="true" outlineLevel="0" collapsed="false">
      <c r="A2400" s="2" t="n">
        <v>35</v>
      </c>
      <c r="B2400" s="2" t="s">
        <v>33</v>
      </c>
      <c r="C2400" s="2" t="s">
        <v>34</v>
      </c>
      <c r="D2400" s="2" t="s">
        <v>35</v>
      </c>
      <c r="E2400" s="2" t="n">
        <v>17</v>
      </c>
      <c r="F2400" s="2" t="n">
        <v>4</v>
      </c>
      <c r="G2400" s="2" t="s">
        <v>43</v>
      </c>
      <c r="H2400" s="2" t="n">
        <v>2399</v>
      </c>
      <c r="I2400" s="2" t="s">
        <v>39</v>
      </c>
      <c r="J2400" s="2" t="n">
        <v>1</v>
      </c>
      <c r="K2400" s="2" t="s">
        <v>44</v>
      </c>
      <c r="L2400" s="2" t="s">
        <v>37</v>
      </c>
      <c r="M2400" s="2" t="n">
        <v>54720</v>
      </c>
      <c r="N2400" s="2" t="n">
        <v>3</v>
      </c>
      <c r="O2400" s="2" t="n">
        <v>11</v>
      </c>
      <c r="P2400" s="2" t="n">
        <v>1</v>
      </c>
      <c r="Q2400" s="2" t="n">
        <v>13</v>
      </c>
      <c r="R2400" s="2" t="n">
        <v>3</v>
      </c>
      <c r="S2400" s="2" t="n">
        <v>11</v>
      </c>
      <c r="T2400" s="2" t="n">
        <v>6</v>
      </c>
      <c r="U2400" s="2" t="n">
        <v>7</v>
      </c>
      <c r="V2400" s="2" t="n">
        <v>4</v>
      </c>
      <c r="W2400" s="2" t="n">
        <v>4</v>
      </c>
      <c r="X2400" s="2" t="n">
        <v>4</v>
      </c>
      <c r="Y2400" s="2" t="n">
        <v>2</v>
      </c>
      <c r="Z2400" s="2" t="n">
        <v>3</v>
      </c>
    </row>
    <row r="2401" customFormat="false" ht="15" hidden="false" customHeight="true" outlineLevel="0" collapsed="false">
      <c r="A2401" s="2" t="n">
        <v>38</v>
      </c>
      <c r="B2401" s="2" t="s">
        <v>26</v>
      </c>
      <c r="C2401" s="2" t="s">
        <v>34</v>
      </c>
      <c r="D2401" s="2" t="s">
        <v>35</v>
      </c>
      <c r="E2401" s="2" t="n">
        <v>19</v>
      </c>
      <c r="F2401" s="2" t="n">
        <v>2</v>
      </c>
      <c r="G2401" s="2" t="s">
        <v>29</v>
      </c>
      <c r="H2401" s="2" t="n">
        <v>2400</v>
      </c>
      <c r="I2401" s="2" t="s">
        <v>39</v>
      </c>
      <c r="J2401" s="2" t="n">
        <v>2</v>
      </c>
      <c r="K2401" s="2" t="s">
        <v>36</v>
      </c>
      <c r="L2401" s="2" t="s">
        <v>32</v>
      </c>
      <c r="M2401" s="2" t="n">
        <v>24510</v>
      </c>
      <c r="N2401" s="2" t="n">
        <v>7</v>
      </c>
      <c r="O2401" s="2" t="n">
        <v>12</v>
      </c>
      <c r="P2401" s="2" t="n">
        <v>1</v>
      </c>
      <c r="Q2401" s="2" t="n">
        <v>19</v>
      </c>
      <c r="R2401" s="2" t="n">
        <v>3</v>
      </c>
      <c r="S2401" s="2" t="n">
        <v>13</v>
      </c>
      <c r="T2401" s="2" t="n">
        <v>2</v>
      </c>
      <c r="U2401" s="2" t="n">
        <v>9</v>
      </c>
      <c r="V2401" s="2" t="n">
        <v>4</v>
      </c>
      <c r="W2401" s="2" t="n">
        <v>4</v>
      </c>
      <c r="X2401" s="2" t="n">
        <v>4</v>
      </c>
      <c r="Y2401" s="2" t="n">
        <v>3</v>
      </c>
      <c r="Z2401" s="2" t="n">
        <v>3</v>
      </c>
    </row>
    <row r="2402" customFormat="false" ht="15" hidden="false" customHeight="true" outlineLevel="0" collapsed="false">
      <c r="A2402" s="2" t="n">
        <v>29</v>
      </c>
      <c r="B2402" s="2" t="s">
        <v>26</v>
      </c>
      <c r="C2402" s="2" t="s">
        <v>27</v>
      </c>
      <c r="D2402" s="2" t="s">
        <v>35</v>
      </c>
      <c r="E2402" s="2" t="n">
        <v>1</v>
      </c>
      <c r="F2402" s="2" t="n">
        <v>2</v>
      </c>
      <c r="G2402" s="2" t="s">
        <v>43</v>
      </c>
      <c r="H2402" s="2" t="n">
        <v>2401</v>
      </c>
      <c r="I2402" s="2" t="s">
        <v>39</v>
      </c>
      <c r="J2402" s="2" t="n">
        <v>2</v>
      </c>
      <c r="K2402" s="2" t="s">
        <v>48</v>
      </c>
      <c r="L2402" s="2" t="s">
        <v>46</v>
      </c>
      <c r="M2402" s="2" t="n">
        <v>42400</v>
      </c>
      <c r="N2402" s="2" t="n">
        <v>1</v>
      </c>
      <c r="O2402" s="2" t="n">
        <v>14</v>
      </c>
      <c r="P2402" s="2" t="n">
        <v>0</v>
      </c>
      <c r="Q2402" s="2" t="n">
        <v>10</v>
      </c>
      <c r="R2402" s="2" t="n">
        <v>2</v>
      </c>
      <c r="S2402" s="2" t="n">
        <v>10</v>
      </c>
      <c r="T2402" s="2" t="n">
        <v>0</v>
      </c>
      <c r="U2402" s="2" t="n">
        <v>9</v>
      </c>
      <c r="V2402" s="2" t="n">
        <v>1</v>
      </c>
      <c r="W2402" s="2" t="n">
        <v>2</v>
      </c>
      <c r="X2402" s="2" t="n">
        <v>2</v>
      </c>
      <c r="Y2402" s="2" t="n">
        <v>2</v>
      </c>
      <c r="Z2402" s="2" t="n">
        <v>3</v>
      </c>
    </row>
    <row r="2403" customFormat="false" ht="15" hidden="false" customHeight="true" outlineLevel="0" collapsed="false">
      <c r="A2403" s="2" t="n">
        <v>33</v>
      </c>
      <c r="B2403" s="2" t="s">
        <v>26</v>
      </c>
      <c r="C2403" s="2" t="s">
        <v>27</v>
      </c>
      <c r="D2403" s="2" t="s">
        <v>35</v>
      </c>
      <c r="E2403" s="2" t="n">
        <v>7</v>
      </c>
      <c r="F2403" s="2" t="n">
        <v>3</v>
      </c>
      <c r="G2403" s="2" t="s">
        <v>43</v>
      </c>
      <c r="H2403" s="2" t="n">
        <v>2402</v>
      </c>
      <c r="I2403" s="2" t="s">
        <v>39</v>
      </c>
      <c r="J2403" s="2" t="n">
        <v>5</v>
      </c>
      <c r="K2403" s="2" t="s">
        <v>40</v>
      </c>
      <c r="L2403" s="2" t="s">
        <v>46</v>
      </c>
      <c r="M2403" s="2" t="n">
        <v>109990</v>
      </c>
      <c r="N2403" s="2" t="n">
        <v>1</v>
      </c>
      <c r="O2403" s="2" t="n">
        <v>18</v>
      </c>
      <c r="P2403" s="2" t="n">
        <v>3</v>
      </c>
      <c r="Q2403" s="2" t="n">
        <v>6</v>
      </c>
      <c r="R2403" s="2" t="n">
        <v>3</v>
      </c>
      <c r="S2403" s="2" t="n">
        <v>6</v>
      </c>
      <c r="T2403" s="2" t="n">
        <v>0</v>
      </c>
      <c r="U2403" s="2" t="n">
        <v>4</v>
      </c>
      <c r="V2403" s="2" t="n">
        <v>4</v>
      </c>
      <c r="W2403" s="2" t="n">
        <v>4</v>
      </c>
      <c r="X2403" s="2" t="n">
        <v>3</v>
      </c>
      <c r="Y2403" s="2" t="n">
        <v>2</v>
      </c>
      <c r="Z2403" s="2" t="n">
        <v>3</v>
      </c>
    </row>
    <row r="2404" customFormat="false" ht="15" hidden="false" customHeight="true" outlineLevel="0" collapsed="false">
      <c r="A2404" s="2" t="n">
        <v>32</v>
      </c>
      <c r="B2404" s="2" t="s">
        <v>26</v>
      </c>
      <c r="C2404" s="2" t="s">
        <v>27</v>
      </c>
      <c r="D2404" s="2" t="s">
        <v>35</v>
      </c>
      <c r="E2404" s="2" t="n">
        <v>5</v>
      </c>
      <c r="F2404" s="2" t="n">
        <v>4</v>
      </c>
      <c r="G2404" s="2" t="s">
        <v>51</v>
      </c>
      <c r="H2404" s="2" t="n">
        <v>2403</v>
      </c>
      <c r="I2404" s="2" t="s">
        <v>39</v>
      </c>
      <c r="J2404" s="2" t="n">
        <v>5</v>
      </c>
      <c r="K2404" s="2" t="s">
        <v>36</v>
      </c>
      <c r="L2404" s="2" t="s">
        <v>46</v>
      </c>
      <c r="M2404" s="2" t="n">
        <v>50030</v>
      </c>
      <c r="N2404" s="2" t="n">
        <v>0</v>
      </c>
      <c r="O2404" s="2" t="n">
        <v>13</v>
      </c>
      <c r="P2404" s="2" t="n">
        <v>0</v>
      </c>
      <c r="Q2404" s="2" t="n">
        <v>10</v>
      </c>
      <c r="R2404" s="2" t="n">
        <v>5</v>
      </c>
      <c r="S2404" s="2" t="n">
        <v>9</v>
      </c>
      <c r="T2404" s="2" t="n">
        <v>1</v>
      </c>
      <c r="U2404" s="2" t="n">
        <v>6</v>
      </c>
      <c r="V2404" s="2" t="n">
        <v>4</v>
      </c>
      <c r="W2404" s="2" t="n">
        <v>2</v>
      </c>
      <c r="X2404" s="2" t="n">
        <v>2</v>
      </c>
      <c r="Y2404" s="2" t="n">
        <v>3</v>
      </c>
      <c r="Z2404" s="2" t="n">
        <v>3</v>
      </c>
    </row>
    <row r="2405" customFormat="false" ht="15" hidden="false" customHeight="true" outlineLevel="0" collapsed="false">
      <c r="A2405" s="2" t="n">
        <v>31</v>
      </c>
      <c r="B2405" s="2" t="s">
        <v>26</v>
      </c>
      <c r="C2405" s="2" t="s">
        <v>27</v>
      </c>
      <c r="D2405" s="2" t="s">
        <v>35</v>
      </c>
      <c r="E2405" s="2" t="n">
        <v>28</v>
      </c>
      <c r="F2405" s="2" t="n">
        <v>4</v>
      </c>
      <c r="G2405" s="2" t="s">
        <v>51</v>
      </c>
      <c r="H2405" s="2" t="n">
        <v>2404</v>
      </c>
      <c r="I2405" s="2" t="s">
        <v>30</v>
      </c>
      <c r="J2405" s="2" t="n">
        <v>2</v>
      </c>
      <c r="K2405" s="2" t="s">
        <v>40</v>
      </c>
      <c r="L2405" s="2" t="s">
        <v>32</v>
      </c>
      <c r="M2405" s="2" t="n">
        <v>127420</v>
      </c>
      <c r="N2405" s="2" t="n">
        <v>1</v>
      </c>
      <c r="O2405" s="2" t="n">
        <v>11</v>
      </c>
      <c r="P2405" s="2" t="n">
        <v>0</v>
      </c>
      <c r="Q2405" s="2" t="n">
        <v>10</v>
      </c>
      <c r="R2405" s="2" t="n">
        <v>4</v>
      </c>
      <c r="S2405" s="2" t="n">
        <v>10</v>
      </c>
      <c r="T2405" s="2" t="n">
        <v>0</v>
      </c>
      <c r="U2405" s="2" t="n">
        <v>2</v>
      </c>
      <c r="V2405" s="2" t="n">
        <v>1</v>
      </c>
      <c r="W2405" s="2" t="n">
        <v>4</v>
      </c>
      <c r="X2405" s="2" t="n">
        <v>3</v>
      </c>
      <c r="Y2405" s="2" t="n">
        <v>2</v>
      </c>
      <c r="Z2405" s="2" t="n">
        <v>3</v>
      </c>
    </row>
    <row r="2406" customFormat="false" ht="15" hidden="false" customHeight="true" outlineLevel="0" collapsed="false">
      <c r="A2406" s="2" t="n">
        <v>49</v>
      </c>
      <c r="B2406" s="2" t="s">
        <v>26</v>
      </c>
      <c r="C2406" s="2" t="s">
        <v>27</v>
      </c>
      <c r="D2406" s="2" t="s">
        <v>35</v>
      </c>
      <c r="E2406" s="2" t="n">
        <v>2</v>
      </c>
      <c r="F2406" s="2" t="n">
        <v>4</v>
      </c>
      <c r="G2406" s="2" t="s">
        <v>43</v>
      </c>
      <c r="H2406" s="2" t="n">
        <v>2405</v>
      </c>
      <c r="I2406" s="2" t="s">
        <v>39</v>
      </c>
      <c r="J2406" s="2" t="n">
        <v>1</v>
      </c>
      <c r="K2406" s="2" t="s">
        <v>45</v>
      </c>
      <c r="L2406" s="2" t="s">
        <v>46</v>
      </c>
      <c r="M2406" s="2" t="n">
        <v>42270</v>
      </c>
      <c r="N2406" s="2" t="n">
        <v>4</v>
      </c>
      <c r="O2406" s="2" t="n">
        <v>18</v>
      </c>
      <c r="P2406" s="2" t="n">
        <v>0</v>
      </c>
      <c r="Q2406" s="2" t="n">
        <v>17</v>
      </c>
      <c r="R2406" s="2" t="n">
        <v>3</v>
      </c>
      <c r="S2406" s="2" t="n">
        <v>2</v>
      </c>
      <c r="T2406" s="2" t="n">
        <v>2</v>
      </c>
      <c r="U2406" s="2" t="n">
        <v>2</v>
      </c>
      <c r="V2406" s="2" t="n">
        <v>4</v>
      </c>
      <c r="W2406" s="2" t="n">
        <v>1</v>
      </c>
      <c r="X2406" s="2" t="n">
        <v>2</v>
      </c>
      <c r="Y2406" s="2" t="n">
        <v>2</v>
      </c>
      <c r="Z2406" s="2" t="n">
        <v>3</v>
      </c>
    </row>
    <row r="2407" customFormat="false" ht="15" hidden="false" customHeight="true" outlineLevel="0" collapsed="false">
      <c r="A2407" s="2" t="n">
        <v>38</v>
      </c>
      <c r="B2407" s="2" t="s">
        <v>26</v>
      </c>
      <c r="C2407" s="2" t="s">
        <v>34</v>
      </c>
      <c r="D2407" s="2" t="s">
        <v>28</v>
      </c>
      <c r="E2407" s="2" t="n">
        <v>29</v>
      </c>
      <c r="F2407" s="2" t="n">
        <v>2</v>
      </c>
      <c r="G2407" s="2" t="s">
        <v>43</v>
      </c>
      <c r="H2407" s="2" t="n">
        <v>2406</v>
      </c>
      <c r="I2407" s="2" t="s">
        <v>30</v>
      </c>
      <c r="J2407" s="2" t="n">
        <v>1</v>
      </c>
      <c r="K2407" s="2" t="s">
        <v>40</v>
      </c>
      <c r="L2407" s="2" t="s">
        <v>37</v>
      </c>
      <c r="M2407" s="2" t="n">
        <v>39170</v>
      </c>
      <c r="N2407" s="2" t="n">
        <v>1</v>
      </c>
      <c r="O2407" s="2" t="n">
        <v>15</v>
      </c>
      <c r="P2407" s="2" t="n">
        <v>3</v>
      </c>
      <c r="Q2407" s="2" t="n">
        <v>4</v>
      </c>
      <c r="R2407" s="2" t="n">
        <v>2</v>
      </c>
      <c r="S2407" s="2" t="n">
        <v>4</v>
      </c>
      <c r="T2407" s="2" t="n">
        <v>3</v>
      </c>
      <c r="U2407" s="2" t="n">
        <v>3</v>
      </c>
      <c r="V2407" s="2" t="n">
        <v>4</v>
      </c>
      <c r="W2407" s="2" t="n">
        <v>2</v>
      </c>
      <c r="X2407" s="2" t="n">
        <v>3</v>
      </c>
      <c r="Y2407" s="2" t="n">
        <v>3</v>
      </c>
      <c r="Z2407" s="2" t="n">
        <v>3</v>
      </c>
    </row>
    <row r="2408" customFormat="false" ht="15" hidden="false" customHeight="true" outlineLevel="0" collapsed="false">
      <c r="A2408" s="2" t="n">
        <v>47</v>
      </c>
      <c r="B2408" s="2" t="s">
        <v>26</v>
      </c>
      <c r="C2408" s="2" t="s">
        <v>27</v>
      </c>
      <c r="D2408" s="2" t="s">
        <v>35</v>
      </c>
      <c r="E2408" s="2" t="n">
        <v>1</v>
      </c>
      <c r="F2408" s="2" t="n">
        <v>4</v>
      </c>
      <c r="G2408" s="2" t="s">
        <v>43</v>
      </c>
      <c r="H2408" s="2" t="n">
        <v>2407</v>
      </c>
      <c r="I2408" s="2" t="s">
        <v>39</v>
      </c>
      <c r="J2408" s="2" t="n">
        <v>3</v>
      </c>
      <c r="K2408" s="2" t="s">
        <v>45</v>
      </c>
      <c r="L2408" s="2" t="s">
        <v>46</v>
      </c>
      <c r="M2408" s="2" t="n">
        <v>183030</v>
      </c>
      <c r="N2408" s="2" t="n">
        <v>6</v>
      </c>
      <c r="O2408" s="2" t="n">
        <v>22</v>
      </c>
      <c r="P2408" s="2" t="n">
        <v>1</v>
      </c>
      <c r="Q2408" s="2" t="n">
        <v>29</v>
      </c>
      <c r="R2408" s="2" t="n">
        <v>2</v>
      </c>
      <c r="S2408" s="2" t="n">
        <v>3</v>
      </c>
      <c r="T2408" s="2" t="n">
        <v>1</v>
      </c>
      <c r="U2408" s="2" t="n">
        <v>2</v>
      </c>
      <c r="V2408" s="2" t="n">
        <v>2</v>
      </c>
      <c r="W2408" s="2" t="n">
        <v>2</v>
      </c>
      <c r="X2408" s="2" t="n">
        <v>3</v>
      </c>
      <c r="Y2408" s="2" t="n">
        <v>2</v>
      </c>
      <c r="Z2408" s="2" t="n">
        <v>4</v>
      </c>
    </row>
    <row r="2409" customFormat="false" ht="15" hidden="false" customHeight="true" outlineLevel="0" collapsed="false">
      <c r="A2409" s="2" t="n">
        <v>49</v>
      </c>
      <c r="B2409" s="2" t="s">
        <v>26</v>
      </c>
      <c r="C2409" s="2" t="s">
        <v>27</v>
      </c>
      <c r="D2409" s="2" t="s">
        <v>35</v>
      </c>
      <c r="E2409" s="2" t="n">
        <v>21</v>
      </c>
      <c r="F2409" s="2" t="n">
        <v>3</v>
      </c>
      <c r="G2409" s="2" t="s">
        <v>43</v>
      </c>
      <c r="H2409" s="2" t="n">
        <v>2408</v>
      </c>
      <c r="I2409" s="2" t="s">
        <v>39</v>
      </c>
      <c r="J2409" s="2" t="n">
        <v>2</v>
      </c>
      <c r="K2409" s="2" t="s">
        <v>47</v>
      </c>
      <c r="L2409" s="2" t="s">
        <v>37</v>
      </c>
      <c r="M2409" s="2" t="n">
        <v>23800</v>
      </c>
      <c r="N2409" s="2" t="n">
        <v>4</v>
      </c>
      <c r="O2409" s="2" t="n">
        <v>13</v>
      </c>
      <c r="P2409" s="2" t="n">
        <v>0</v>
      </c>
      <c r="Q2409" s="2" t="n">
        <v>23</v>
      </c>
      <c r="R2409" s="2" t="n">
        <v>3</v>
      </c>
      <c r="S2409" s="2" t="n">
        <v>8</v>
      </c>
      <c r="T2409" s="2" t="n">
        <v>0</v>
      </c>
      <c r="U2409" s="2" t="n">
        <v>0</v>
      </c>
      <c r="V2409" s="2" t="n">
        <v>3</v>
      </c>
      <c r="W2409" s="2" t="n">
        <v>3</v>
      </c>
      <c r="X2409" s="2" t="n">
        <v>3</v>
      </c>
      <c r="Y2409" s="2" t="n">
        <v>1</v>
      </c>
      <c r="Z2409" s="2" t="n">
        <v>3</v>
      </c>
    </row>
    <row r="2410" customFormat="false" ht="15" hidden="false" customHeight="true" outlineLevel="0" collapsed="false">
      <c r="A2410" s="2" t="n">
        <v>41</v>
      </c>
      <c r="B2410" s="2" t="s">
        <v>26</v>
      </c>
      <c r="C2410" s="2" t="s">
        <v>27</v>
      </c>
      <c r="D2410" s="2" t="s">
        <v>35</v>
      </c>
      <c r="E2410" s="2" t="n">
        <v>24</v>
      </c>
      <c r="F2410" s="2" t="n">
        <v>4</v>
      </c>
      <c r="G2410" s="2" t="s">
        <v>29</v>
      </c>
      <c r="H2410" s="2" t="n">
        <v>2409</v>
      </c>
      <c r="I2410" s="2" t="s">
        <v>30</v>
      </c>
      <c r="J2410" s="2" t="n">
        <v>4</v>
      </c>
      <c r="K2410" s="2" t="s">
        <v>49</v>
      </c>
      <c r="L2410" s="2" t="s">
        <v>37</v>
      </c>
      <c r="M2410" s="2" t="n">
        <v>137260</v>
      </c>
      <c r="N2410" s="2" t="n">
        <v>3</v>
      </c>
      <c r="O2410" s="2" t="n">
        <v>12</v>
      </c>
      <c r="P2410" s="2" t="n">
        <v>0</v>
      </c>
      <c r="Q2410" s="2" t="n">
        <v>21</v>
      </c>
      <c r="R2410" s="2" t="n">
        <v>6</v>
      </c>
      <c r="S2410" s="2" t="n">
        <v>2</v>
      </c>
      <c r="T2410" s="2" t="n">
        <v>0</v>
      </c>
      <c r="U2410" s="2" t="n">
        <v>2</v>
      </c>
      <c r="V2410" s="2" t="n">
        <v>4</v>
      </c>
      <c r="W2410" s="2" t="n">
        <v>3</v>
      </c>
      <c r="X2410" s="2" t="n">
        <v>3</v>
      </c>
      <c r="Y2410" s="2" t="n">
        <v>4</v>
      </c>
      <c r="Z2410" s="2" t="n">
        <v>3</v>
      </c>
    </row>
    <row r="2411" customFormat="false" ht="15" hidden="false" customHeight="true" outlineLevel="0" collapsed="false">
      <c r="A2411" s="2" t="n">
        <v>20</v>
      </c>
      <c r="B2411" s="2" t="s">
        <v>26</v>
      </c>
      <c r="C2411" s="2" t="s">
        <v>27</v>
      </c>
      <c r="D2411" s="2" t="s">
        <v>35</v>
      </c>
      <c r="E2411" s="2" t="n">
        <v>1</v>
      </c>
      <c r="F2411" s="2" t="n">
        <v>3</v>
      </c>
      <c r="G2411" s="2" t="s">
        <v>29</v>
      </c>
      <c r="H2411" s="2" t="n">
        <v>2410</v>
      </c>
      <c r="I2411" s="2" t="s">
        <v>39</v>
      </c>
      <c r="J2411" s="2" t="n">
        <v>1</v>
      </c>
      <c r="K2411" s="2" t="s">
        <v>48</v>
      </c>
      <c r="L2411" s="2" t="s">
        <v>37</v>
      </c>
      <c r="M2411" s="2" t="n">
        <v>47770</v>
      </c>
      <c r="N2411" s="2" t="n">
        <v>1</v>
      </c>
      <c r="O2411" s="2" t="n">
        <v>18</v>
      </c>
      <c r="P2411" s="2" t="n">
        <v>1</v>
      </c>
      <c r="Q2411" s="2" t="n">
        <v>2</v>
      </c>
      <c r="R2411" s="2" t="n">
        <v>3</v>
      </c>
      <c r="S2411" s="2" t="n">
        <v>2</v>
      </c>
      <c r="T2411" s="2" t="n">
        <v>0</v>
      </c>
      <c r="U2411" s="2" t="n">
        <v>2</v>
      </c>
      <c r="V2411" s="2" t="n">
        <v>4</v>
      </c>
      <c r="W2411" s="2" t="n">
        <v>1</v>
      </c>
      <c r="X2411" s="2" t="n">
        <v>3</v>
      </c>
      <c r="Y2411" s="2" t="n">
        <v>3</v>
      </c>
      <c r="Z2411" s="2" t="n">
        <v>3</v>
      </c>
    </row>
    <row r="2412" customFormat="false" ht="15" hidden="false" customHeight="true" outlineLevel="0" collapsed="false">
      <c r="A2412" s="2" t="n">
        <v>33</v>
      </c>
      <c r="B2412" s="2" t="s">
        <v>26</v>
      </c>
      <c r="C2412" s="2" t="s">
        <v>41</v>
      </c>
      <c r="D2412" s="2" t="s">
        <v>35</v>
      </c>
      <c r="E2412" s="2" t="n">
        <v>18</v>
      </c>
      <c r="F2412" s="2" t="n">
        <v>2</v>
      </c>
      <c r="G2412" s="2" t="s">
        <v>43</v>
      </c>
      <c r="H2412" s="2" t="n">
        <v>2411</v>
      </c>
      <c r="I2412" s="2" t="s">
        <v>30</v>
      </c>
      <c r="J2412" s="2" t="n">
        <v>2</v>
      </c>
      <c r="K2412" s="2" t="s">
        <v>31</v>
      </c>
      <c r="L2412" s="2" t="s">
        <v>46</v>
      </c>
      <c r="M2412" s="2" t="n">
        <v>63850</v>
      </c>
      <c r="N2412" s="2" t="n">
        <v>1</v>
      </c>
      <c r="O2412" s="2" t="n">
        <v>13</v>
      </c>
      <c r="P2412" s="2" t="n">
        <v>0</v>
      </c>
      <c r="Q2412" s="2" t="n">
        <v>7</v>
      </c>
      <c r="R2412" s="2" t="n">
        <v>6</v>
      </c>
      <c r="S2412" s="2" t="n">
        <v>6</v>
      </c>
      <c r="T2412" s="2" t="n">
        <v>1</v>
      </c>
      <c r="U2412" s="2" t="n">
        <v>2</v>
      </c>
      <c r="V2412" s="2" t="n">
        <v>3</v>
      </c>
      <c r="W2412" s="2" t="n">
        <v>4</v>
      </c>
      <c r="X2412" s="2" t="n">
        <v>3</v>
      </c>
      <c r="Y2412" s="2" t="n">
        <v>2</v>
      </c>
      <c r="Z2412" s="2" t="n">
        <v>3</v>
      </c>
    </row>
    <row r="2413" customFormat="false" ht="15" hidden="false" customHeight="true" outlineLevel="0" collapsed="false">
      <c r="A2413" s="2" t="n">
        <v>36</v>
      </c>
      <c r="B2413" s="2" t="s">
        <v>26</v>
      </c>
      <c r="C2413" s="2" t="s">
        <v>27</v>
      </c>
      <c r="D2413" s="2" t="s">
        <v>35</v>
      </c>
      <c r="E2413" s="2" t="n">
        <v>2</v>
      </c>
      <c r="F2413" s="2" t="n">
        <v>2</v>
      </c>
      <c r="G2413" s="2" t="s">
        <v>51</v>
      </c>
      <c r="H2413" s="2" t="n">
        <v>2412</v>
      </c>
      <c r="I2413" s="2" t="s">
        <v>39</v>
      </c>
      <c r="J2413" s="2" t="n">
        <v>3</v>
      </c>
      <c r="K2413" s="2" t="s">
        <v>40</v>
      </c>
      <c r="L2413" s="2" t="s">
        <v>32</v>
      </c>
      <c r="M2413" s="2" t="n">
        <v>199730</v>
      </c>
      <c r="N2413" s="2" t="n">
        <v>6</v>
      </c>
      <c r="O2413" s="2" t="n">
        <v>12</v>
      </c>
      <c r="P2413" s="2" t="n">
        <v>0</v>
      </c>
      <c r="Q2413" s="2" t="n">
        <v>10</v>
      </c>
      <c r="R2413" s="2" t="n">
        <v>2</v>
      </c>
      <c r="S2413" s="2" t="n">
        <v>3</v>
      </c>
      <c r="T2413" s="2" t="n">
        <v>0</v>
      </c>
      <c r="U2413" s="2" t="n">
        <v>2</v>
      </c>
      <c r="V2413" s="2" t="n">
        <v>1</v>
      </c>
      <c r="W2413" s="2" t="n">
        <v>3</v>
      </c>
      <c r="X2413" s="2" t="n">
        <v>2</v>
      </c>
      <c r="Y2413" s="2" t="n">
        <v>3</v>
      </c>
      <c r="Z2413" s="2" t="n">
        <v>3</v>
      </c>
    </row>
    <row r="2414" customFormat="false" ht="15" hidden="false" customHeight="true" outlineLevel="0" collapsed="false">
      <c r="A2414" s="2" t="n">
        <v>44</v>
      </c>
      <c r="B2414" s="2" t="s">
        <v>26</v>
      </c>
      <c r="C2414" s="2" t="s">
        <v>27</v>
      </c>
      <c r="D2414" s="2" t="s">
        <v>35</v>
      </c>
      <c r="E2414" s="2" t="n">
        <v>9</v>
      </c>
      <c r="F2414" s="2" t="n">
        <v>3</v>
      </c>
      <c r="G2414" s="2" t="s">
        <v>51</v>
      </c>
      <c r="H2414" s="2" t="n">
        <v>2413</v>
      </c>
      <c r="I2414" s="2" t="s">
        <v>30</v>
      </c>
      <c r="J2414" s="2" t="n">
        <v>3</v>
      </c>
      <c r="K2414" s="2" t="s">
        <v>31</v>
      </c>
      <c r="L2414" s="2" t="s">
        <v>46</v>
      </c>
      <c r="M2414" s="2" t="n">
        <v>68610</v>
      </c>
      <c r="N2414" s="2" t="n">
        <v>4</v>
      </c>
      <c r="O2414" s="2" t="n">
        <v>12</v>
      </c>
      <c r="P2414" s="2" t="n">
        <v>0</v>
      </c>
      <c r="Q2414" s="2" t="n">
        <v>8</v>
      </c>
      <c r="R2414" s="2" t="n">
        <v>2</v>
      </c>
      <c r="S2414" s="2" t="n">
        <v>2</v>
      </c>
      <c r="T2414" s="2" t="n">
        <v>2</v>
      </c>
      <c r="U2414" s="2" t="n">
        <v>2</v>
      </c>
      <c r="V2414" s="2" t="n">
        <v>3</v>
      </c>
      <c r="W2414" s="2" t="n">
        <v>4</v>
      </c>
      <c r="X2414" s="2" t="n">
        <v>3</v>
      </c>
      <c r="Y2414" s="2" t="n">
        <v>2</v>
      </c>
      <c r="Z2414" s="2" t="n">
        <v>3</v>
      </c>
    </row>
    <row r="2415" customFormat="false" ht="15" hidden="false" customHeight="true" outlineLevel="0" collapsed="false">
      <c r="A2415" s="2" t="n">
        <v>23</v>
      </c>
      <c r="B2415" s="2" t="s">
        <v>33</v>
      </c>
      <c r="C2415" s="2" t="s">
        <v>27</v>
      </c>
      <c r="D2415" s="2" t="s">
        <v>42</v>
      </c>
      <c r="E2415" s="2" t="n">
        <v>6</v>
      </c>
      <c r="F2415" s="2" t="n">
        <v>3</v>
      </c>
      <c r="G2415" s="2" t="s">
        <v>29</v>
      </c>
      <c r="H2415" s="2" t="n">
        <v>2414</v>
      </c>
      <c r="I2415" s="2" t="s">
        <v>30</v>
      </c>
      <c r="J2415" s="2" t="n">
        <v>3</v>
      </c>
      <c r="K2415" s="2" t="s">
        <v>45</v>
      </c>
      <c r="L2415" s="2" t="s">
        <v>37</v>
      </c>
      <c r="M2415" s="2" t="n">
        <v>49690</v>
      </c>
      <c r="N2415" s="2" t="n">
        <v>1</v>
      </c>
      <c r="O2415" s="2" t="n">
        <v>12</v>
      </c>
      <c r="P2415" s="2" t="n">
        <v>0</v>
      </c>
      <c r="Q2415" s="2" t="n">
        <v>5</v>
      </c>
      <c r="R2415" s="2" t="n">
        <v>3</v>
      </c>
      <c r="S2415" s="2" t="n">
        <v>5</v>
      </c>
      <c r="T2415" s="2" t="n">
        <v>1</v>
      </c>
      <c r="U2415" s="2" t="n">
        <v>2</v>
      </c>
      <c r="V2415" s="2" t="n">
        <v>4</v>
      </c>
      <c r="W2415" s="2" t="n">
        <v>3</v>
      </c>
      <c r="X2415" s="2" t="n">
        <v>3</v>
      </c>
      <c r="Y2415" s="2" t="n">
        <v>3</v>
      </c>
      <c r="Z2415" s="2" t="n">
        <v>3</v>
      </c>
    </row>
    <row r="2416" customFormat="false" ht="15" hidden="false" customHeight="true" outlineLevel="0" collapsed="false">
      <c r="A2416" s="2" t="n">
        <v>38</v>
      </c>
      <c r="B2416" s="2" t="s">
        <v>26</v>
      </c>
      <c r="C2416" s="2" t="s">
        <v>27</v>
      </c>
      <c r="D2416" s="2" t="s">
        <v>35</v>
      </c>
      <c r="E2416" s="2" t="n">
        <v>11</v>
      </c>
      <c r="F2416" s="2" t="n">
        <v>2</v>
      </c>
      <c r="G2416" s="2" t="s">
        <v>29</v>
      </c>
      <c r="H2416" s="2" t="n">
        <v>2415</v>
      </c>
      <c r="I2416" s="2" t="s">
        <v>39</v>
      </c>
      <c r="J2416" s="2" t="n">
        <v>1</v>
      </c>
      <c r="K2416" s="2" t="s">
        <v>40</v>
      </c>
      <c r="L2416" s="2" t="s">
        <v>32</v>
      </c>
      <c r="M2416" s="2" t="n">
        <v>198450</v>
      </c>
      <c r="N2416" s="2" t="n">
        <v>7</v>
      </c>
      <c r="O2416" s="2" t="n">
        <v>11</v>
      </c>
      <c r="P2416" s="2" t="n">
        <v>1</v>
      </c>
      <c r="Q2416" s="2" t="n">
        <v>7</v>
      </c>
      <c r="R2416" s="2" t="n">
        <v>3</v>
      </c>
      <c r="S2416" s="2" t="n">
        <v>0</v>
      </c>
      <c r="T2416" s="2" t="n">
        <v>0</v>
      </c>
      <c r="U2416" s="2" t="n">
        <v>0</v>
      </c>
      <c r="V2416" s="2" t="n">
        <v>4</v>
      </c>
      <c r="W2416" s="2" t="n">
        <v>3</v>
      </c>
      <c r="X2416" s="2" t="n">
        <v>2</v>
      </c>
      <c r="Y2416" s="2" t="n">
        <v>3</v>
      </c>
      <c r="Z2416" s="2" t="n">
        <v>3</v>
      </c>
    </row>
    <row r="2417" customFormat="false" ht="15" hidden="false" customHeight="true" outlineLevel="0" collapsed="false">
      <c r="A2417" s="2" t="n">
        <v>53</v>
      </c>
      <c r="B2417" s="2" t="s">
        <v>26</v>
      </c>
      <c r="C2417" s="2" t="s">
        <v>27</v>
      </c>
      <c r="D2417" s="2" t="s">
        <v>35</v>
      </c>
      <c r="E2417" s="2" t="n">
        <v>24</v>
      </c>
      <c r="F2417" s="2" t="n">
        <v>3</v>
      </c>
      <c r="G2417" s="2" t="s">
        <v>29</v>
      </c>
      <c r="H2417" s="2" t="n">
        <v>2416</v>
      </c>
      <c r="I2417" s="2" t="s">
        <v>39</v>
      </c>
      <c r="J2417" s="2" t="n">
        <v>4</v>
      </c>
      <c r="K2417" s="2" t="s">
        <v>44</v>
      </c>
      <c r="L2417" s="2" t="s">
        <v>32</v>
      </c>
      <c r="M2417" s="2" t="n">
        <v>133200</v>
      </c>
      <c r="N2417" s="2" t="n">
        <v>3</v>
      </c>
      <c r="O2417" s="2" t="n">
        <v>11</v>
      </c>
      <c r="P2417" s="2" t="n">
        <v>0</v>
      </c>
      <c r="Q2417" s="2" t="n">
        <v>11</v>
      </c>
      <c r="R2417" s="2" t="n">
        <v>2</v>
      </c>
      <c r="S2417" s="2" t="n">
        <v>4</v>
      </c>
      <c r="T2417" s="2" t="n">
        <v>1</v>
      </c>
      <c r="U2417" s="2" t="n">
        <v>2</v>
      </c>
      <c r="V2417" s="2" t="n">
        <v>2</v>
      </c>
      <c r="W2417" s="2" t="n">
        <v>4</v>
      </c>
      <c r="X2417" s="2" t="n">
        <v>3</v>
      </c>
      <c r="Y2417" s="2" t="n">
        <v>3</v>
      </c>
      <c r="Z2417" s="2" t="n">
        <v>3</v>
      </c>
    </row>
    <row r="2418" customFormat="false" ht="15" hidden="false" customHeight="true" outlineLevel="0" collapsed="false">
      <c r="A2418" s="2" t="n">
        <v>48</v>
      </c>
      <c r="B2418" s="2" t="s">
        <v>33</v>
      </c>
      <c r="C2418" s="2" t="s">
        <v>34</v>
      </c>
      <c r="D2418" s="2" t="s">
        <v>28</v>
      </c>
      <c r="E2418" s="2" t="n">
        <v>10</v>
      </c>
      <c r="F2418" s="2" t="n">
        <v>2</v>
      </c>
      <c r="G2418" s="2" t="s">
        <v>50</v>
      </c>
      <c r="H2418" s="2" t="n">
        <v>2417</v>
      </c>
      <c r="I2418" s="2" t="s">
        <v>39</v>
      </c>
      <c r="J2418" s="2" t="n">
        <v>1</v>
      </c>
      <c r="K2418" s="2" t="s">
        <v>31</v>
      </c>
      <c r="L2418" s="2" t="s">
        <v>32</v>
      </c>
      <c r="M2418" s="2" t="n">
        <v>63470</v>
      </c>
      <c r="N2418" s="2" t="n">
        <v>2</v>
      </c>
      <c r="O2418" s="2" t="n">
        <v>12</v>
      </c>
      <c r="P2418" s="2" t="n">
        <v>1</v>
      </c>
      <c r="Q2418" s="2" t="n">
        <v>19</v>
      </c>
      <c r="R2418" s="2" t="n">
        <v>3</v>
      </c>
      <c r="S2418" s="2" t="n">
        <v>9</v>
      </c>
      <c r="T2418" s="2" t="n">
        <v>7</v>
      </c>
      <c r="U2418" s="2" t="n">
        <v>7</v>
      </c>
      <c r="V2418" s="2" t="n">
        <v>4</v>
      </c>
      <c r="W2418" s="2" t="n">
        <v>3</v>
      </c>
      <c r="X2418" s="2" t="n">
        <v>3</v>
      </c>
      <c r="Y2418" s="2" t="n">
        <v>1</v>
      </c>
      <c r="Z2418" s="2" t="n">
        <v>3</v>
      </c>
    </row>
    <row r="2419" customFormat="false" ht="15" hidden="false" customHeight="true" outlineLevel="0" collapsed="false">
      <c r="A2419" s="2" t="n">
        <v>32</v>
      </c>
      <c r="B2419" s="2" t="s">
        <v>33</v>
      </c>
      <c r="C2419" s="2" t="s">
        <v>27</v>
      </c>
      <c r="D2419" s="2" t="s">
        <v>28</v>
      </c>
      <c r="E2419" s="2" t="n">
        <v>1</v>
      </c>
      <c r="F2419" s="2" t="n">
        <v>3</v>
      </c>
      <c r="G2419" s="2" t="s">
        <v>29</v>
      </c>
      <c r="H2419" s="2" t="n">
        <v>2418</v>
      </c>
      <c r="I2419" s="2" t="s">
        <v>39</v>
      </c>
      <c r="J2419" s="2" t="n">
        <v>2</v>
      </c>
      <c r="K2419" s="2" t="s">
        <v>36</v>
      </c>
      <c r="L2419" s="2" t="s">
        <v>37</v>
      </c>
      <c r="M2419" s="2" t="n">
        <v>27430</v>
      </c>
      <c r="N2419" s="2" t="n">
        <v>1</v>
      </c>
      <c r="O2419" s="2" t="n">
        <v>19</v>
      </c>
      <c r="P2419" s="2" t="n">
        <v>1</v>
      </c>
      <c r="Q2419" s="2" t="n">
        <v>1</v>
      </c>
      <c r="R2419" s="2" t="n">
        <v>2</v>
      </c>
      <c r="S2419" s="2" t="n">
        <v>1</v>
      </c>
      <c r="T2419" s="2" t="n">
        <v>0</v>
      </c>
      <c r="U2419" s="2" t="n">
        <v>0</v>
      </c>
      <c r="V2419" s="2" t="n">
        <v>4</v>
      </c>
      <c r="W2419" s="2" t="n">
        <v>2</v>
      </c>
      <c r="X2419" s="2" t="n">
        <v>3</v>
      </c>
      <c r="Y2419" s="2" t="n">
        <v>3</v>
      </c>
      <c r="Z2419" s="2" t="n">
        <v>3</v>
      </c>
    </row>
    <row r="2420" customFormat="false" ht="15" hidden="false" customHeight="true" outlineLevel="0" collapsed="false">
      <c r="A2420" s="2" t="n">
        <v>26</v>
      </c>
      <c r="B2420" s="2" t="s">
        <v>26</v>
      </c>
      <c r="C2420" s="2" t="s">
        <v>41</v>
      </c>
      <c r="D2420" s="2" t="s">
        <v>35</v>
      </c>
      <c r="E2420" s="2" t="n">
        <v>18</v>
      </c>
      <c r="F2420" s="2" t="n">
        <v>2</v>
      </c>
      <c r="G2420" s="2" t="s">
        <v>43</v>
      </c>
      <c r="H2420" s="2" t="n">
        <v>2419</v>
      </c>
      <c r="I2420" s="2" t="s">
        <v>39</v>
      </c>
      <c r="J2420" s="2" t="n">
        <v>1</v>
      </c>
      <c r="K2420" s="2" t="s">
        <v>42</v>
      </c>
      <c r="L2420" s="2" t="s">
        <v>37</v>
      </c>
      <c r="M2420" s="2" t="n">
        <v>108800</v>
      </c>
      <c r="N2420" s="2" t="n">
        <v>1</v>
      </c>
      <c r="O2420" s="2" t="n">
        <v>23</v>
      </c>
      <c r="P2420" s="2" t="n">
        <v>1</v>
      </c>
      <c r="Q2420" s="2" t="n">
        <v>7</v>
      </c>
      <c r="R2420" s="2" t="n">
        <v>5</v>
      </c>
      <c r="S2420" s="2" t="n">
        <v>7</v>
      </c>
      <c r="T2420" s="2" t="n">
        <v>5</v>
      </c>
      <c r="U2420" s="2" t="n">
        <v>7</v>
      </c>
      <c r="V2420" s="2" t="n">
        <v>4</v>
      </c>
      <c r="W2420" s="2" t="n">
        <v>4</v>
      </c>
      <c r="X2420" s="2" t="n">
        <v>3</v>
      </c>
      <c r="Y2420" s="2" t="n">
        <v>3</v>
      </c>
      <c r="Z2420" s="2" t="n">
        <v>4</v>
      </c>
    </row>
    <row r="2421" customFormat="false" ht="15" hidden="false" customHeight="true" outlineLevel="0" collapsed="false">
      <c r="A2421" s="2" t="n">
        <v>55</v>
      </c>
      <c r="B2421" s="2" t="s">
        <v>26</v>
      </c>
      <c r="C2421" s="2" t="s">
        <v>27</v>
      </c>
      <c r="D2421" s="2" t="s">
        <v>35</v>
      </c>
      <c r="E2421" s="2" t="n">
        <v>23</v>
      </c>
      <c r="F2421" s="2" t="n">
        <v>1</v>
      </c>
      <c r="G2421" s="2" t="s">
        <v>29</v>
      </c>
      <c r="H2421" s="2" t="n">
        <v>2420</v>
      </c>
      <c r="I2421" s="2" t="s">
        <v>39</v>
      </c>
      <c r="J2421" s="2" t="n">
        <v>5</v>
      </c>
      <c r="K2421" s="2" t="s">
        <v>45</v>
      </c>
      <c r="L2421" s="2" t="s">
        <v>46</v>
      </c>
      <c r="M2421" s="2" t="n">
        <v>23420</v>
      </c>
      <c r="N2421" s="2" t="n">
        <v>5</v>
      </c>
      <c r="O2421" s="2" t="n">
        <v>11</v>
      </c>
      <c r="P2421" s="2" t="n">
        <v>2</v>
      </c>
      <c r="Q2421" s="2" t="n">
        <v>8</v>
      </c>
      <c r="R2421" s="2" t="n">
        <v>2</v>
      </c>
      <c r="S2421" s="2" t="n">
        <v>4</v>
      </c>
      <c r="T2421" s="2" t="n">
        <v>1</v>
      </c>
      <c r="U2421" s="2" t="n">
        <v>2</v>
      </c>
      <c r="V2421" s="2" t="n">
        <v>1</v>
      </c>
      <c r="W2421" s="2" t="n">
        <v>2</v>
      </c>
      <c r="X2421" s="2" t="n">
        <v>3</v>
      </c>
      <c r="Y2421" s="2" t="n">
        <v>3</v>
      </c>
      <c r="Z2421" s="2" t="n">
        <v>3</v>
      </c>
    </row>
    <row r="2422" customFormat="false" ht="15" hidden="false" customHeight="true" outlineLevel="0" collapsed="false">
      <c r="A2422" s="2" t="n">
        <v>34</v>
      </c>
      <c r="B2422" s="2" t="s">
        <v>26</v>
      </c>
      <c r="C2422" s="2" t="s">
        <v>27</v>
      </c>
      <c r="D2422" s="2" t="s">
        <v>28</v>
      </c>
      <c r="E2422" s="2" t="n">
        <v>28</v>
      </c>
      <c r="F2422" s="2" t="n">
        <v>3</v>
      </c>
      <c r="G2422" s="2" t="s">
        <v>29</v>
      </c>
      <c r="H2422" s="2" t="n">
        <v>2421</v>
      </c>
      <c r="I2422" s="2" t="s">
        <v>30</v>
      </c>
      <c r="J2422" s="2" t="n">
        <v>2</v>
      </c>
      <c r="K2422" s="2" t="s">
        <v>36</v>
      </c>
      <c r="L2422" s="2" t="s">
        <v>32</v>
      </c>
      <c r="M2422" s="2" t="n">
        <v>176500</v>
      </c>
      <c r="N2422" s="2" t="n">
        <v>1</v>
      </c>
      <c r="O2422" s="2" t="n">
        <v>19</v>
      </c>
      <c r="P2422" s="2" t="n">
        <v>1</v>
      </c>
      <c r="Q2422" s="2" t="n">
        <v>15</v>
      </c>
      <c r="R2422" s="2" t="n">
        <v>6</v>
      </c>
      <c r="S2422" s="2" t="n">
        <v>15</v>
      </c>
      <c r="T2422" s="2" t="n">
        <v>4</v>
      </c>
      <c r="U2422" s="2" t="n">
        <v>13</v>
      </c>
      <c r="V2422" s="2" t="n">
        <v>2</v>
      </c>
      <c r="W2422" s="2" t="n">
        <v>4</v>
      </c>
      <c r="X2422" s="2" t="n">
        <v>4</v>
      </c>
      <c r="Y2422" s="2" t="n">
        <v>1</v>
      </c>
      <c r="Z2422" s="2" t="n">
        <v>3</v>
      </c>
    </row>
    <row r="2423" customFormat="false" ht="15" hidden="false" customHeight="true" outlineLevel="0" collapsed="false">
      <c r="A2423" s="2" t="n">
        <v>60</v>
      </c>
      <c r="B2423" s="2" t="s">
        <v>26</v>
      </c>
      <c r="C2423" s="2" t="s">
        <v>27</v>
      </c>
      <c r="D2423" s="2" t="s">
        <v>28</v>
      </c>
      <c r="E2423" s="2" t="n">
        <v>17</v>
      </c>
      <c r="F2423" s="2" t="n">
        <v>4</v>
      </c>
      <c r="G2423" s="2" t="s">
        <v>43</v>
      </c>
      <c r="H2423" s="2" t="n">
        <v>2422</v>
      </c>
      <c r="I2423" s="2" t="s">
        <v>39</v>
      </c>
      <c r="J2423" s="2" t="n">
        <v>1</v>
      </c>
      <c r="K2423" s="2" t="s">
        <v>49</v>
      </c>
      <c r="L2423" s="2" t="s">
        <v>46</v>
      </c>
      <c r="M2423" s="2" t="n">
        <v>40250</v>
      </c>
      <c r="N2423" s="2" t="n">
        <v>3</v>
      </c>
      <c r="O2423" s="2" t="n">
        <v>13</v>
      </c>
      <c r="P2423" s="2" t="n">
        <v>1</v>
      </c>
      <c r="Q2423" s="2" t="n">
        <v>19</v>
      </c>
      <c r="R2423" s="2" t="n">
        <v>5</v>
      </c>
      <c r="S2423" s="2" t="n">
        <v>1</v>
      </c>
      <c r="T2423" s="2" t="n">
        <v>0</v>
      </c>
      <c r="U2423" s="2" t="n">
        <v>0</v>
      </c>
      <c r="V2423" s="2" t="n">
        <v>3</v>
      </c>
      <c r="W2423" s="2" t="n">
        <v>4</v>
      </c>
      <c r="X2423" s="2" t="n">
        <v>4</v>
      </c>
      <c r="Y2423" s="2" t="n">
        <v>2</v>
      </c>
      <c r="Z2423" s="2" t="n">
        <v>3</v>
      </c>
    </row>
    <row r="2424" customFormat="false" ht="15" hidden="false" customHeight="true" outlineLevel="0" collapsed="false">
      <c r="A2424" s="2" t="n">
        <v>33</v>
      </c>
      <c r="B2424" s="2" t="s">
        <v>26</v>
      </c>
      <c r="C2424" s="2" t="s">
        <v>27</v>
      </c>
      <c r="D2424" s="2" t="s">
        <v>28</v>
      </c>
      <c r="E2424" s="2" t="n">
        <v>3</v>
      </c>
      <c r="F2424" s="2" t="n">
        <v>3</v>
      </c>
      <c r="G2424" s="2" t="s">
        <v>29</v>
      </c>
      <c r="H2424" s="2" t="n">
        <v>2423</v>
      </c>
      <c r="I2424" s="2" t="s">
        <v>39</v>
      </c>
      <c r="J2424" s="2" t="n">
        <v>3</v>
      </c>
      <c r="K2424" s="2" t="s">
        <v>49</v>
      </c>
      <c r="L2424" s="2" t="s">
        <v>32</v>
      </c>
      <c r="M2424" s="2" t="n">
        <v>97250</v>
      </c>
      <c r="N2424" s="2" t="n">
        <v>1</v>
      </c>
      <c r="O2424" s="2" t="n">
        <v>11</v>
      </c>
      <c r="P2424" s="2" t="n">
        <v>0</v>
      </c>
      <c r="Q2424" s="2" t="n">
        <v>14</v>
      </c>
      <c r="R2424" s="2" t="n">
        <v>0</v>
      </c>
      <c r="S2424" s="2" t="n">
        <v>14</v>
      </c>
      <c r="T2424" s="2" t="n">
        <v>2</v>
      </c>
      <c r="U2424" s="2" t="n">
        <v>13</v>
      </c>
      <c r="V2424" s="2" t="n">
        <v>2</v>
      </c>
      <c r="W2424" s="2" t="n">
        <v>2</v>
      </c>
      <c r="X2424" s="2" t="n">
        <v>3</v>
      </c>
      <c r="Y2424" s="2" t="n">
        <v>3</v>
      </c>
      <c r="Z2424" s="2" t="n">
        <v>3</v>
      </c>
    </row>
    <row r="2425" customFormat="false" ht="15" hidden="false" customHeight="true" outlineLevel="0" collapsed="false">
      <c r="A2425" s="2" t="n">
        <v>37</v>
      </c>
      <c r="B2425" s="2" t="s">
        <v>26</v>
      </c>
      <c r="C2425" s="2" t="s">
        <v>34</v>
      </c>
      <c r="D2425" s="2" t="s">
        <v>35</v>
      </c>
      <c r="E2425" s="2" t="n">
        <v>13</v>
      </c>
      <c r="F2425" s="2" t="n">
        <v>3</v>
      </c>
      <c r="G2425" s="2" t="s">
        <v>29</v>
      </c>
      <c r="H2425" s="2" t="n">
        <v>2424</v>
      </c>
      <c r="I2425" s="2" t="s">
        <v>39</v>
      </c>
      <c r="J2425" s="2" t="n">
        <v>1</v>
      </c>
      <c r="K2425" s="2" t="s">
        <v>45</v>
      </c>
      <c r="L2425" s="2" t="s">
        <v>46</v>
      </c>
      <c r="M2425" s="2" t="n">
        <v>119040</v>
      </c>
      <c r="N2425" s="2" t="n">
        <v>1</v>
      </c>
      <c r="O2425" s="2" t="n">
        <v>12</v>
      </c>
      <c r="P2425" s="2" t="n">
        <v>1</v>
      </c>
      <c r="Q2425" s="2" t="n">
        <v>6</v>
      </c>
      <c r="R2425" s="2" t="n">
        <v>4</v>
      </c>
      <c r="S2425" s="2" t="n">
        <v>6</v>
      </c>
      <c r="T2425" s="2" t="n">
        <v>1</v>
      </c>
      <c r="U2425" s="2" t="n">
        <v>3</v>
      </c>
      <c r="V2425" s="2" t="n">
        <v>3</v>
      </c>
      <c r="W2425" s="2" t="n">
        <v>4</v>
      </c>
      <c r="X2425" s="2" t="n">
        <v>2</v>
      </c>
      <c r="Y2425" s="2" t="n">
        <v>3</v>
      </c>
      <c r="Z2425" s="2" t="n">
        <v>3</v>
      </c>
    </row>
    <row r="2426" customFormat="false" ht="15" hidden="false" customHeight="true" outlineLevel="0" collapsed="false">
      <c r="A2426" s="2" t="n">
        <v>34</v>
      </c>
      <c r="B2426" s="2" t="s">
        <v>26</v>
      </c>
      <c r="C2426" s="2" t="s">
        <v>27</v>
      </c>
      <c r="D2426" s="2" t="s">
        <v>35</v>
      </c>
      <c r="E2426" s="2" t="n">
        <v>7</v>
      </c>
      <c r="F2426" s="2" t="n">
        <v>2</v>
      </c>
      <c r="G2426" s="2" t="s">
        <v>29</v>
      </c>
      <c r="H2426" s="2" t="n">
        <v>2425</v>
      </c>
      <c r="I2426" s="2" t="s">
        <v>39</v>
      </c>
      <c r="J2426" s="2" t="n">
        <v>1</v>
      </c>
      <c r="K2426" s="2" t="s">
        <v>31</v>
      </c>
      <c r="L2426" s="2" t="s">
        <v>32</v>
      </c>
      <c r="M2426" s="2" t="n">
        <v>21770</v>
      </c>
      <c r="N2426" s="2" t="n">
        <v>1</v>
      </c>
      <c r="O2426" s="2" t="n">
        <v>13</v>
      </c>
      <c r="P2426" s="2" t="n">
        <v>0</v>
      </c>
      <c r="Q2426" s="2" t="n">
        <v>10</v>
      </c>
      <c r="R2426" s="2" t="n">
        <v>5</v>
      </c>
      <c r="S2426" s="2" t="n">
        <v>10</v>
      </c>
      <c r="T2426" s="2" t="n">
        <v>8</v>
      </c>
      <c r="U2426" s="2" t="n">
        <v>7</v>
      </c>
      <c r="V2426" s="2" t="n">
        <v>2</v>
      </c>
      <c r="W2426" s="2" t="n">
        <v>4</v>
      </c>
      <c r="X2426" s="2" t="n">
        <v>3</v>
      </c>
      <c r="Y2426" s="2" t="n">
        <v>3</v>
      </c>
      <c r="Z2426" s="2" t="n">
        <v>3</v>
      </c>
    </row>
    <row r="2427" customFormat="false" ht="15" hidden="false" customHeight="true" outlineLevel="0" collapsed="false">
      <c r="A2427" s="2" t="n">
        <v>23</v>
      </c>
      <c r="B2427" s="2" t="s">
        <v>33</v>
      </c>
      <c r="C2427" s="2" t="s">
        <v>27</v>
      </c>
      <c r="D2427" s="2" t="s">
        <v>35</v>
      </c>
      <c r="E2427" s="2" t="n">
        <v>12</v>
      </c>
      <c r="F2427" s="2" t="n">
        <v>2</v>
      </c>
      <c r="G2427" s="2" t="s">
        <v>43</v>
      </c>
      <c r="H2427" s="2" t="n">
        <v>2426</v>
      </c>
      <c r="I2427" s="2" t="s">
        <v>39</v>
      </c>
      <c r="J2427" s="2" t="n">
        <v>2</v>
      </c>
      <c r="K2427" s="2" t="s">
        <v>36</v>
      </c>
      <c r="L2427" s="2" t="s">
        <v>46</v>
      </c>
      <c r="M2427" s="2" t="n">
        <v>75250</v>
      </c>
      <c r="N2427" s="2" t="n">
        <v>1</v>
      </c>
      <c r="O2427" s="2" t="n">
        <v>14</v>
      </c>
      <c r="P2427" s="2" t="n">
        <v>2</v>
      </c>
      <c r="Q2427" s="2" t="n">
        <v>3</v>
      </c>
      <c r="R2427" s="2" t="n">
        <v>2</v>
      </c>
      <c r="S2427" s="2" t="n">
        <v>3</v>
      </c>
      <c r="T2427" s="2" t="n">
        <v>0</v>
      </c>
      <c r="U2427" s="2" t="n">
        <v>2</v>
      </c>
      <c r="V2427" s="2" t="n">
        <v>3</v>
      </c>
      <c r="W2427" s="2" t="n">
        <v>4</v>
      </c>
      <c r="X2427" s="2" t="n">
        <v>3</v>
      </c>
      <c r="Y2427" s="2" t="n">
        <v>3</v>
      </c>
      <c r="Z2427" s="2" t="n">
        <v>3</v>
      </c>
    </row>
    <row r="2428" customFormat="false" ht="15" hidden="false" customHeight="true" outlineLevel="0" collapsed="false">
      <c r="A2428" s="2" t="n">
        <v>44</v>
      </c>
      <c r="B2428" s="2" t="s">
        <v>26</v>
      </c>
      <c r="C2428" s="2" t="s">
        <v>27</v>
      </c>
      <c r="D2428" s="2" t="s">
        <v>42</v>
      </c>
      <c r="E2428" s="2" t="n">
        <v>1</v>
      </c>
      <c r="F2428" s="2" t="n">
        <v>3</v>
      </c>
      <c r="G2428" s="2" t="s">
        <v>29</v>
      </c>
      <c r="H2428" s="2" t="n">
        <v>2427</v>
      </c>
      <c r="I2428" s="2" t="s">
        <v>39</v>
      </c>
      <c r="J2428" s="2" t="n">
        <v>1</v>
      </c>
      <c r="K2428" s="2" t="s">
        <v>36</v>
      </c>
      <c r="L2428" s="2" t="s">
        <v>32</v>
      </c>
      <c r="M2428" s="2" t="n">
        <v>48340</v>
      </c>
      <c r="N2428" s="2" t="n">
        <v>1</v>
      </c>
      <c r="O2428" s="2" t="n">
        <v>14</v>
      </c>
      <c r="P2428" s="2" t="n">
        <v>0</v>
      </c>
      <c r="Q2428" s="2" t="n">
        <v>9</v>
      </c>
      <c r="R2428" s="2" t="n">
        <v>1</v>
      </c>
      <c r="S2428" s="2" t="n">
        <v>8</v>
      </c>
      <c r="T2428" s="2" t="n">
        <v>6</v>
      </c>
      <c r="U2428" s="2" t="n">
        <v>7</v>
      </c>
      <c r="V2428" s="2" t="n">
        <v>3</v>
      </c>
      <c r="W2428" s="2" t="n">
        <v>4</v>
      </c>
      <c r="X2428" s="2" t="n">
        <v>3</v>
      </c>
      <c r="Y2428" s="2" t="n">
        <v>4</v>
      </c>
      <c r="Z2428" s="2" t="n">
        <v>3</v>
      </c>
    </row>
    <row r="2429" customFormat="false" ht="15" hidden="false" customHeight="true" outlineLevel="0" collapsed="false">
      <c r="A2429" s="2" t="n">
        <v>35</v>
      </c>
      <c r="B2429" s="2" t="s">
        <v>26</v>
      </c>
      <c r="C2429" s="2" t="s">
        <v>34</v>
      </c>
      <c r="D2429" s="2" t="s">
        <v>35</v>
      </c>
      <c r="E2429" s="2" t="n">
        <v>13</v>
      </c>
      <c r="F2429" s="2" t="n">
        <v>3</v>
      </c>
      <c r="G2429" s="2" t="s">
        <v>29</v>
      </c>
      <c r="H2429" s="2" t="n">
        <v>2428</v>
      </c>
      <c r="I2429" s="2" t="s">
        <v>39</v>
      </c>
      <c r="J2429" s="2" t="n">
        <v>3</v>
      </c>
      <c r="K2429" s="2" t="s">
        <v>40</v>
      </c>
      <c r="L2429" s="2" t="s">
        <v>37</v>
      </c>
      <c r="M2429" s="2" t="n">
        <v>20420</v>
      </c>
      <c r="N2429" s="2" t="n">
        <v>0</v>
      </c>
      <c r="O2429" s="2" t="n">
        <v>16</v>
      </c>
      <c r="P2429" s="2" t="n">
        <v>0</v>
      </c>
      <c r="Q2429" s="2" t="n">
        <v>6</v>
      </c>
      <c r="R2429" s="2" t="n">
        <v>2</v>
      </c>
      <c r="S2429" s="2" t="n">
        <v>5</v>
      </c>
      <c r="T2429" s="2" t="n">
        <v>1</v>
      </c>
      <c r="U2429" s="2" t="n">
        <v>4</v>
      </c>
      <c r="V2429" s="2" t="n">
        <v>1</v>
      </c>
      <c r="W2429" s="2" t="n">
        <v>4</v>
      </c>
      <c r="X2429" s="2" t="n">
        <v>4</v>
      </c>
      <c r="Y2429" s="2" t="n">
        <v>3</v>
      </c>
      <c r="Z2429" s="2" t="n">
        <v>3</v>
      </c>
    </row>
    <row r="2430" customFormat="false" ht="15" hidden="false" customHeight="true" outlineLevel="0" collapsed="false">
      <c r="A2430" s="2" t="n">
        <v>43</v>
      </c>
      <c r="B2430" s="2" t="s">
        <v>26</v>
      </c>
      <c r="C2430" s="2" t="s">
        <v>27</v>
      </c>
      <c r="D2430" s="2" t="s">
        <v>35</v>
      </c>
      <c r="E2430" s="2" t="n">
        <v>25</v>
      </c>
      <c r="F2430" s="2" t="n">
        <v>4</v>
      </c>
      <c r="G2430" s="2" t="s">
        <v>29</v>
      </c>
      <c r="H2430" s="2" t="n">
        <v>2429</v>
      </c>
      <c r="I2430" s="2" t="s">
        <v>39</v>
      </c>
      <c r="J2430" s="2" t="n">
        <v>2</v>
      </c>
      <c r="K2430" s="2" t="s">
        <v>40</v>
      </c>
      <c r="L2430" s="2" t="s">
        <v>32</v>
      </c>
      <c r="M2430" s="2" t="n">
        <v>22200</v>
      </c>
      <c r="N2430" s="2" t="n">
        <v>1</v>
      </c>
      <c r="O2430" s="2" t="n">
        <v>11</v>
      </c>
      <c r="P2430" s="2" t="n">
        <v>0</v>
      </c>
      <c r="Q2430" s="2" t="n">
        <v>10</v>
      </c>
      <c r="R2430" s="2" t="n">
        <v>2</v>
      </c>
      <c r="S2430" s="2" t="n">
        <v>10</v>
      </c>
      <c r="T2430" s="2" t="n">
        <v>8</v>
      </c>
      <c r="U2430" s="2" t="n">
        <v>8</v>
      </c>
      <c r="V2430" s="2" t="n">
        <v>4</v>
      </c>
      <c r="W2430" s="2" t="n">
        <v>4</v>
      </c>
      <c r="X2430" s="2" t="n">
        <v>3</v>
      </c>
      <c r="Y2430" s="2" t="n">
        <v>1</v>
      </c>
      <c r="Z2430" s="2" t="n">
        <v>3</v>
      </c>
    </row>
    <row r="2431" customFormat="false" ht="15" hidden="false" customHeight="true" outlineLevel="0" collapsed="false">
      <c r="A2431" s="2" t="n">
        <v>24</v>
      </c>
      <c r="B2431" s="2" t="s">
        <v>26</v>
      </c>
      <c r="C2431" s="2" t="s">
        <v>27</v>
      </c>
      <c r="D2431" s="2" t="s">
        <v>35</v>
      </c>
      <c r="E2431" s="2" t="n">
        <v>6</v>
      </c>
      <c r="F2431" s="2" t="n">
        <v>3</v>
      </c>
      <c r="G2431" s="2" t="s">
        <v>29</v>
      </c>
      <c r="H2431" s="2" t="n">
        <v>2430</v>
      </c>
      <c r="I2431" s="2" t="s">
        <v>39</v>
      </c>
      <c r="J2431" s="2" t="n">
        <v>3</v>
      </c>
      <c r="K2431" s="2" t="s">
        <v>40</v>
      </c>
      <c r="L2431" s="2" t="s">
        <v>32</v>
      </c>
      <c r="M2431" s="2" t="n">
        <v>10520</v>
      </c>
      <c r="N2431" s="2" t="n">
        <v>1</v>
      </c>
      <c r="O2431" s="2" t="n">
        <v>13</v>
      </c>
      <c r="P2431" s="2" t="n">
        <v>0</v>
      </c>
      <c r="Q2431" s="2" t="n">
        <v>5</v>
      </c>
      <c r="R2431" s="2" t="n">
        <v>3</v>
      </c>
      <c r="S2431" s="2" t="n">
        <v>5</v>
      </c>
      <c r="T2431" s="2" t="n">
        <v>0</v>
      </c>
      <c r="U2431" s="2" t="n">
        <v>4</v>
      </c>
      <c r="V2431" s="2" t="n">
        <v>3</v>
      </c>
      <c r="W2431" s="2" t="n">
        <v>3</v>
      </c>
      <c r="X2431" s="2" t="n">
        <v>3</v>
      </c>
      <c r="Y2431" s="2" t="n">
        <v>3</v>
      </c>
      <c r="Z2431" s="2" t="n">
        <v>3</v>
      </c>
    </row>
    <row r="2432" customFormat="false" ht="15" hidden="false" customHeight="true" outlineLevel="0" collapsed="false">
      <c r="A2432" s="2" t="n">
        <v>41</v>
      </c>
      <c r="B2432" s="2" t="s">
        <v>26</v>
      </c>
      <c r="C2432" s="2" t="s">
        <v>27</v>
      </c>
      <c r="D2432" s="2" t="s">
        <v>28</v>
      </c>
      <c r="E2432" s="2" t="n">
        <v>6</v>
      </c>
      <c r="F2432" s="2" t="n">
        <v>4</v>
      </c>
      <c r="G2432" s="2" t="s">
        <v>50</v>
      </c>
      <c r="H2432" s="2" t="n">
        <v>2431</v>
      </c>
      <c r="I2432" s="2" t="s">
        <v>39</v>
      </c>
      <c r="J2432" s="2" t="n">
        <v>1</v>
      </c>
      <c r="K2432" s="2" t="s">
        <v>36</v>
      </c>
      <c r="L2432" s="2" t="s">
        <v>37</v>
      </c>
      <c r="M2432" s="2" t="n">
        <v>28210</v>
      </c>
      <c r="N2432" s="2" t="n">
        <v>1</v>
      </c>
      <c r="O2432" s="2" t="n">
        <v>17</v>
      </c>
      <c r="P2432" s="2" t="n">
        <v>0</v>
      </c>
      <c r="Q2432" s="2" t="n">
        <v>10</v>
      </c>
      <c r="R2432" s="2" t="n">
        <v>3</v>
      </c>
      <c r="S2432" s="2" t="n">
        <v>10</v>
      </c>
      <c r="T2432" s="2" t="n">
        <v>8</v>
      </c>
      <c r="U2432" s="2" t="n">
        <v>7</v>
      </c>
      <c r="V2432" s="2" t="n">
        <v>4</v>
      </c>
      <c r="W2432" s="2" t="n">
        <v>3</v>
      </c>
      <c r="X2432" s="2" t="n">
        <v>3</v>
      </c>
      <c r="Y2432" s="2" t="n">
        <v>3</v>
      </c>
      <c r="Z2432" s="2" t="n">
        <v>3</v>
      </c>
    </row>
    <row r="2433" customFormat="false" ht="15" hidden="false" customHeight="true" outlineLevel="0" collapsed="false">
      <c r="A2433" s="2" t="n">
        <v>29</v>
      </c>
      <c r="B2433" s="2" t="s">
        <v>26</v>
      </c>
      <c r="C2433" s="2" t="s">
        <v>27</v>
      </c>
      <c r="D2433" s="2" t="s">
        <v>35</v>
      </c>
      <c r="E2433" s="2" t="n">
        <v>2</v>
      </c>
      <c r="F2433" s="2" t="n">
        <v>2</v>
      </c>
      <c r="G2433" s="2" t="s">
        <v>29</v>
      </c>
      <c r="H2433" s="2" t="n">
        <v>2432</v>
      </c>
      <c r="I2433" s="2" t="s">
        <v>39</v>
      </c>
      <c r="J2433" s="2" t="n">
        <v>2</v>
      </c>
      <c r="K2433" s="2" t="s">
        <v>36</v>
      </c>
      <c r="L2433" s="2" t="s">
        <v>32</v>
      </c>
      <c r="M2433" s="2" t="n">
        <v>192370</v>
      </c>
      <c r="N2433" s="2" t="n">
        <v>9</v>
      </c>
      <c r="O2433" s="2" t="n">
        <v>11</v>
      </c>
      <c r="P2433" s="2" t="n">
        <v>1</v>
      </c>
      <c r="Q2433" s="2" t="n">
        <v>9</v>
      </c>
      <c r="R2433" s="2" t="n">
        <v>2</v>
      </c>
      <c r="S2433" s="2" t="n">
        <v>5</v>
      </c>
      <c r="T2433" s="2" t="n">
        <v>1</v>
      </c>
      <c r="U2433" s="2" t="n">
        <v>2</v>
      </c>
      <c r="V2433" s="2" t="n">
        <v>4</v>
      </c>
      <c r="W2433" s="2" t="n">
        <v>3</v>
      </c>
      <c r="X2433" s="2" t="n">
        <v>3</v>
      </c>
      <c r="Y2433" s="2" t="n">
        <v>3</v>
      </c>
      <c r="Z2433" s="2" t="n">
        <v>3</v>
      </c>
    </row>
    <row r="2434" customFormat="false" ht="15" hidden="false" customHeight="true" outlineLevel="0" collapsed="false">
      <c r="A2434" s="2" t="n">
        <v>36</v>
      </c>
      <c r="B2434" s="2" t="s">
        <v>26</v>
      </c>
      <c r="C2434" s="2" t="s">
        <v>27</v>
      </c>
      <c r="D2434" s="2" t="s">
        <v>42</v>
      </c>
      <c r="E2434" s="2" t="n">
        <v>1</v>
      </c>
      <c r="F2434" s="2" t="n">
        <v>4</v>
      </c>
      <c r="G2434" s="2" t="s">
        <v>29</v>
      </c>
      <c r="H2434" s="2" t="n">
        <v>2433</v>
      </c>
      <c r="I2434" s="2" t="s">
        <v>30</v>
      </c>
      <c r="J2434" s="2" t="n">
        <v>3</v>
      </c>
      <c r="K2434" s="2" t="s">
        <v>36</v>
      </c>
      <c r="L2434" s="2" t="s">
        <v>37</v>
      </c>
      <c r="M2434" s="2" t="n">
        <v>41070</v>
      </c>
      <c r="N2434" s="2" t="n">
        <v>3</v>
      </c>
      <c r="O2434" s="2" t="n">
        <v>11</v>
      </c>
      <c r="P2434" s="2" t="n">
        <v>1</v>
      </c>
      <c r="Q2434" s="2" t="n">
        <v>17</v>
      </c>
      <c r="R2434" s="2" t="n">
        <v>2</v>
      </c>
      <c r="S2434" s="2" t="n">
        <v>13</v>
      </c>
      <c r="T2434" s="2" t="n">
        <v>6</v>
      </c>
      <c r="U2434" s="2" t="n">
        <v>7</v>
      </c>
      <c r="V2434" s="2" t="n">
        <v>3</v>
      </c>
      <c r="W2434" s="2" t="n">
        <v>4</v>
      </c>
      <c r="X2434" s="2" t="n">
        <v>2</v>
      </c>
      <c r="Y2434" s="2" t="n">
        <v>1</v>
      </c>
      <c r="Z2434" s="2" t="n">
        <v>3</v>
      </c>
    </row>
    <row r="2435" customFormat="false" ht="15" hidden="false" customHeight="true" outlineLevel="0" collapsed="false">
      <c r="A2435" s="2" t="n">
        <v>45</v>
      </c>
      <c r="B2435" s="2" t="s">
        <v>26</v>
      </c>
      <c r="C2435" s="2" t="s">
        <v>41</v>
      </c>
      <c r="D2435" s="2" t="s">
        <v>28</v>
      </c>
      <c r="E2435" s="2" t="n">
        <v>2</v>
      </c>
      <c r="F2435" s="2" t="n">
        <v>3</v>
      </c>
      <c r="G2435" s="2" t="s">
        <v>29</v>
      </c>
      <c r="H2435" s="2" t="n">
        <v>2434</v>
      </c>
      <c r="I2435" s="2" t="s">
        <v>30</v>
      </c>
      <c r="J2435" s="2" t="n">
        <v>2</v>
      </c>
      <c r="K2435" s="2" t="s">
        <v>47</v>
      </c>
      <c r="L2435" s="2" t="s">
        <v>32</v>
      </c>
      <c r="M2435" s="2" t="n">
        <v>83960</v>
      </c>
      <c r="N2435" s="2" t="n">
        <v>3</v>
      </c>
      <c r="O2435" s="2" t="n">
        <v>15</v>
      </c>
      <c r="P2435" s="2" t="n">
        <v>2</v>
      </c>
      <c r="Q2435" s="2" t="n">
        <v>25</v>
      </c>
      <c r="R2435" s="2" t="n">
        <v>3</v>
      </c>
      <c r="S2435" s="2" t="n">
        <v>23</v>
      </c>
      <c r="T2435" s="2" t="n">
        <v>14</v>
      </c>
      <c r="U2435" s="2" t="n">
        <v>4</v>
      </c>
      <c r="V2435" s="2" t="n">
        <v>3</v>
      </c>
      <c r="W2435" s="2" t="n">
        <v>3</v>
      </c>
      <c r="X2435" s="2" t="n">
        <v>2</v>
      </c>
      <c r="Y2435" s="2" t="n">
        <v>2</v>
      </c>
      <c r="Z2435" s="2" t="n">
        <v>3</v>
      </c>
    </row>
    <row r="2436" customFormat="false" ht="15" hidden="false" customHeight="true" outlineLevel="0" collapsed="false">
      <c r="A2436" s="2" t="n">
        <v>24</v>
      </c>
      <c r="B2436" s="2" t="s">
        <v>33</v>
      </c>
      <c r="C2436" s="2" t="s">
        <v>27</v>
      </c>
      <c r="D2436" s="2" t="s">
        <v>28</v>
      </c>
      <c r="E2436" s="2" t="n">
        <v>6</v>
      </c>
      <c r="F2436" s="2" t="n">
        <v>2</v>
      </c>
      <c r="G2436" s="2" t="s">
        <v>43</v>
      </c>
      <c r="H2436" s="2" t="n">
        <v>2435</v>
      </c>
      <c r="I2436" s="2" t="s">
        <v>30</v>
      </c>
      <c r="J2436" s="2" t="n">
        <v>2</v>
      </c>
      <c r="K2436" s="2" t="s">
        <v>49</v>
      </c>
      <c r="L2436" s="2" t="s">
        <v>32</v>
      </c>
      <c r="M2436" s="2" t="n">
        <v>20070</v>
      </c>
      <c r="N2436" s="2" t="n">
        <v>1</v>
      </c>
      <c r="O2436" s="2" t="n">
        <v>12</v>
      </c>
      <c r="P2436" s="2" t="n">
        <v>0</v>
      </c>
      <c r="Q2436" s="2" t="n">
        <v>1</v>
      </c>
      <c r="R2436" s="2" t="n">
        <v>2</v>
      </c>
      <c r="S2436" s="2" t="n">
        <v>1</v>
      </c>
      <c r="T2436" s="2" t="n">
        <v>0</v>
      </c>
      <c r="U2436" s="2" t="n">
        <v>0</v>
      </c>
      <c r="V2436" s="2" t="n">
        <v>4</v>
      </c>
      <c r="W2436" s="2" t="n">
        <v>3</v>
      </c>
      <c r="X2436" s="2" t="n">
        <v>3</v>
      </c>
      <c r="Y2436" s="2" t="n">
        <v>2</v>
      </c>
      <c r="Z2436" s="2" t="n">
        <v>3</v>
      </c>
    </row>
    <row r="2437" customFormat="false" ht="15" hidden="false" customHeight="true" outlineLevel="0" collapsed="false">
      <c r="A2437" s="2" t="n">
        <v>47</v>
      </c>
      <c r="B2437" s="2" t="s">
        <v>33</v>
      </c>
      <c r="C2437" s="2" t="s">
        <v>34</v>
      </c>
      <c r="D2437" s="2" t="s">
        <v>35</v>
      </c>
      <c r="E2437" s="2" t="n">
        <v>1</v>
      </c>
      <c r="F2437" s="2" t="n">
        <v>3</v>
      </c>
      <c r="G2437" s="2" t="s">
        <v>43</v>
      </c>
      <c r="H2437" s="2" t="n">
        <v>2436</v>
      </c>
      <c r="I2437" s="2" t="s">
        <v>30</v>
      </c>
      <c r="J2437" s="2" t="n">
        <v>2</v>
      </c>
      <c r="K2437" s="2" t="s">
        <v>40</v>
      </c>
      <c r="L2437" s="2" t="s">
        <v>32</v>
      </c>
      <c r="M2437" s="2" t="n">
        <v>196270</v>
      </c>
      <c r="N2437" s="2" t="n">
        <v>7</v>
      </c>
      <c r="O2437" s="2" t="n">
        <v>11</v>
      </c>
      <c r="P2437" s="2" t="n">
        <v>2</v>
      </c>
      <c r="Q2437" s="2" t="n">
        <v>25</v>
      </c>
      <c r="R2437" s="2" t="n">
        <v>1</v>
      </c>
      <c r="S2437" s="2" t="n">
        <v>23</v>
      </c>
      <c r="T2437" s="2" t="n">
        <v>14</v>
      </c>
      <c r="U2437" s="2" t="n">
        <v>10</v>
      </c>
      <c r="V2437" s="2" t="n">
        <v>3</v>
      </c>
      <c r="W2437" s="2" t="n">
        <v>3</v>
      </c>
      <c r="X2437" s="2" t="n">
        <v>1</v>
      </c>
      <c r="Y2437" s="2" t="n">
        <v>3</v>
      </c>
      <c r="Z2437" s="2" t="n">
        <v>3</v>
      </c>
    </row>
    <row r="2438" customFormat="false" ht="15" hidden="false" customHeight="true" outlineLevel="0" collapsed="false">
      <c r="A2438" s="2" t="n">
        <v>26</v>
      </c>
      <c r="B2438" s="2" t="s">
        <v>26</v>
      </c>
      <c r="C2438" s="2" t="s">
        <v>27</v>
      </c>
      <c r="D2438" s="2" t="s">
        <v>35</v>
      </c>
      <c r="E2438" s="2" t="n">
        <v>9</v>
      </c>
      <c r="F2438" s="2" t="n">
        <v>1</v>
      </c>
      <c r="G2438" s="2" t="s">
        <v>43</v>
      </c>
      <c r="H2438" s="2" t="n">
        <v>2437</v>
      </c>
      <c r="I2438" s="2" t="s">
        <v>39</v>
      </c>
      <c r="J2438" s="2" t="n">
        <v>1</v>
      </c>
      <c r="K2438" s="2" t="s">
        <v>40</v>
      </c>
      <c r="L2438" s="2" t="s">
        <v>32</v>
      </c>
      <c r="M2438" s="2" t="n">
        <v>106860</v>
      </c>
      <c r="N2438" s="2" t="n">
        <v>1</v>
      </c>
      <c r="O2438" s="2" t="n">
        <v>14</v>
      </c>
      <c r="P2438" s="2" t="n">
        <v>1</v>
      </c>
      <c r="Q2438" s="2" t="n">
        <v>3</v>
      </c>
      <c r="R2438" s="2" t="n">
        <v>2</v>
      </c>
      <c r="S2438" s="2" t="n">
        <v>3</v>
      </c>
      <c r="T2438" s="2" t="n">
        <v>0</v>
      </c>
      <c r="U2438" s="2" t="n">
        <v>2</v>
      </c>
      <c r="V2438" s="2" t="n">
        <v>4</v>
      </c>
      <c r="W2438" s="2" t="n">
        <v>3</v>
      </c>
      <c r="X2438" s="2" t="n">
        <v>4</v>
      </c>
      <c r="Y2438" s="2" t="n">
        <v>3</v>
      </c>
      <c r="Z2438" s="2" t="n">
        <v>3</v>
      </c>
    </row>
    <row r="2439" customFormat="false" ht="15" hidden="false" customHeight="true" outlineLevel="0" collapsed="false">
      <c r="A2439" s="2" t="n">
        <v>45</v>
      </c>
      <c r="B2439" s="2" t="s">
        <v>26</v>
      </c>
      <c r="C2439" s="2" t="s">
        <v>27</v>
      </c>
      <c r="D2439" s="2" t="s">
        <v>35</v>
      </c>
      <c r="E2439" s="2" t="n">
        <v>1</v>
      </c>
      <c r="F2439" s="2" t="n">
        <v>4</v>
      </c>
      <c r="G2439" s="2" t="s">
        <v>29</v>
      </c>
      <c r="H2439" s="2" t="n">
        <v>2438</v>
      </c>
      <c r="I2439" s="2" t="s">
        <v>39</v>
      </c>
      <c r="J2439" s="2" t="n">
        <v>1</v>
      </c>
      <c r="K2439" s="2" t="s">
        <v>44</v>
      </c>
      <c r="L2439" s="2" t="s">
        <v>37</v>
      </c>
      <c r="M2439" s="2" t="n">
        <v>29420</v>
      </c>
      <c r="N2439" s="2" t="n">
        <v>1</v>
      </c>
      <c r="O2439" s="2" t="n">
        <v>22</v>
      </c>
      <c r="P2439" s="2" t="n">
        <v>1</v>
      </c>
      <c r="Q2439" s="2" t="n">
        <v>21</v>
      </c>
      <c r="R2439" s="2" t="n">
        <v>4</v>
      </c>
      <c r="S2439" s="2" t="n">
        <v>21</v>
      </c>
      <c r="T2439" s="2" t="n">
        <v>8</v>
      </c>
      <c r="U2439" s="2" t="n">
        <v>6</v>
      </c>
      <c r="V2439" s="2" t="n">
        <v>4</v>
      </c>
      <c r="W2439" s="2" t="n">
        <v>2</v>
      </c>
      <c r="X2439" s="2" t="n">
        <v>3</v>
      </c>
      <c r="Y2439" s="2" t="n">
        <v>3</v>
      </c>
      <c r="Z2439" s="2" t="n">
        <v>4</v>
      </c>
    </row>
    <row r="2440" customFormat="false" ht="15" hidden="false" customHeight="true" outlineLevel="0" collapsed="false">
      <c r="A2440" s="2" t="n">
        <v>32</v>
      </c>
      <c r="B2440" s="2" t="s">
        <v>26</v>
      </c>
      <c r="C2440" s="2" t="s">
        <v>34</v>
      </c>
      <c r="D2440" s="2" t="s">
        <v>28</v>
      </c>
      <c r="E2440" s="2" t="n">
        <v>1</v>
      </c>
      <c r="F2440" s="2" t="n">
        <v>1</v>
      </c>
      <c r="G2440" s="2" t="s">
        <v>50</v>
      </c>
      <c r="H2440" s="2" t="n">
        <v>2439</v>
      </c>
      <c r="I2440" s="2" t="s">
        <v>39</v>
      </c>
      <c r="J2440" s="2" t="n">
        <v>2</v>
      </c>
      <c r="K2440" s="2" t="s">
        <v>45</v>
      </c>
      <c r="L2440" s="2" t="s">
        <v>32</v>
      </c>
      <c r="M2440" s="2" t="n">
        <v>88580</v>
      </c>
      <c r="N2440" s="2" t="n">
        <v>6</v>
      </c>
      <c r="O2440" s="2" t="n">
        <v>16</v>
      </c>
      <c r="P2440" s="2" t="n">
        <v>1</v>
      </c>
      <c r="Q2440" s="2" t="n">
        <v>10</v>
      </c>
      <c r="R2440" s="2" t="n">
        <v>2</v>
      </c>
      <c r="S2440" s="2" t="n">
        <v>5</v>
      </c>
      <c r="T2440" s="2" t="n">
        <v>1</v>
      </c>
      <c r="U2440" s="2" t="n">
        <v>3</v>
      </c>
      <c r="V2440" s="2" t="n">
        <v>1</v>
      </c>
      <c r="W2440" s="2" t="n">
        <v>3</v>
      </c>
      <c r="X2440" s="2" t="n">
        <v>2</v>
      </c>
      <c r="Y2440" s="2" t="n">
        <v>3</v>
      </c>
      <c r="Z2440" s="2" t="n">
        <v>3</v>
      </c>
    </row>
    <row r="2441" customFormat="false" ht="15" hidden="false" customHeight="true" outlineLevel="0" collapsed="false">
      <c r="A2441" s="2" t="n">
        <v>31</v>
      </c>
      <c r="B2441" s="2" t="s">
        <v>26</v>
      </c>
      <c r="C2441" s="2" t="s">
        <v>27</v>
      </c>
      <c r="D2441" s="2" t="s">
        <v>35</v>
      </c>
      <c r="E2441" s="2" t="n">
        <v>14</v>
      </c>
      <c r="F2441" s="2" t="n">
        <v>2</v>
      </c>
      <c r="G2441" s="2" t="s">
        <v>29</v>
      </c>
      <c r="H2441" s="2" t="n">
        <v>2440</v>
      </c>
      <c r="I2441" s="2" t="s">
        <v>39</v>
      </c>
      <c r="J2441" s="2" t="n">
        <v>1</v>
      </c>
      <c r="K2441" s="2" t="s">
        <v>40</v>
      </c>
      <c r="L2441" s="2" t="s">
        <v>32</v>
      </c>
      <c r="M2441" s="2" t="n">
        <v>167560</v>
      </c>
      <c r="N2441" s="2" t="n">
        <v>1</v>
      </c>
      <c r="O2441" s="2" t="n">
        <v>11</v>
      </c>
      <c r="P2441" s="2" t="n">
        <v>2</v>
      </c>
      <c r="Q2441" s="2" t="n">
        <v>6</v>
      </c>
      <c r="R2441" s="2" t="n">
        <v>5</v>
      </c>
      <c r="S2441" s="2" t="n">
        <v>5</v>
      </c>
      <c r="T2441" s="2" t="n">
        <v>0</v>
      </c>
      <c r="U2441" s="2" t="n">
        <v>3</v>
      </c>
      <c r="V2441" s="2" t="n">
        <v>2</v>
      </c>
      <c r="W2441" s="2" t="n">
        <v>3</v>
      </c>
      <c r="X2441" s="2" t="n">
        <v>4</v>
      </c>
      <c r="Y2441" s="2" t="n">
        <v>3</v>
      </c>
      <c r="Z2441" s="2" t="n">
        <v>3</v>
      </c>
    </row>
    <row r="2442" customFormat="false" ht="15" hidden="false" customHeight="true" outlineLevel="0" collapsed="false">
      <c r="A2442" s="2" t="n">
        <v>41</v>
      </c>
      <c r="B2442" s="2" t="s">
        <v>26</v>
      </c>
      <c r="C2442" s="2" t="s">
        <v>41</v>
      </c>
      <c r="D2442" s="2" t="s">
        <v>28</v>
      </c>
      <c r="E2442" s="2" t="n">
        <v>2</v>
      </c>
      <c r="F2442" s="2" t="n">
        <v>2</v>
      </c>
      <c r="G2442" s="2" t="s">
        <v>43</v>
      </c>
      <c r="H2442" s="2" t="n">
        <v>2441</v>
      </c>
      <c r="I2442" s="2" t="s">
        <v>39</v>
      </c>
      <c r="J2442" s="2" t="n">
        <v>2</v>
      </c>
      <c r="K2442" s="2" t="s">
        <v>36</v>
      </c>
      <c r="L2442" s="2" t="s">
        <v>32</v>
      </c>
      <c r="M2442" s="2" t="n">
        <v>107980</v>
      </c>
      <c r="N2442" s="2" t="n">
        <v>6</v>
      </c>
      <c r="O2442" s="2" t="n">
        <v>14</v>
      </c>
      <c r="P2442" s="2" t="n">
        <v>2</v>
      </c>
      <c r="Q2442" s="2" t="n">
        <v>10</v>
      </c>
      <c r="R2442" s="2" t="n">
        <v>5</v>
      </c>
      <c r="S2442" s="2" t="n">
        <v>3</v>
      </c>
      <c r="T2442" s="2" t="n">
        <v>1</v>
      </c>
      <c r="U2442" s="2" t="n">
        <v>2</v>
      </c>
      <c r="V2442" s="2" t="n">
        <v>3</v>
      </c>
      <c r="W2442" s="2" t="n">
        <v>2</v>
      </c>
      <c r="X2442" s="2" t="n">
        <v>3</v>
      </c>
      <c r="Y2442" s="2" t="n">
        <v>1</v>
      </c>
      <c r="Z2442" s="2" t="n">
        <v>3</v>
      </c>
    </row>
    <row r="2443" customFormat="false" ht="15" hidden="false" customHeight="true" outlineLevel="0" collapsed="false">
      <c r="A2443" s="2" t="n">
        <v>40</v>
      </c>
      <c r="B2443" s="2" t="s">
        <v>26</v>
      </c>
      <c r="C2443" s="2" t="s">
        <v>27</v>
      </c>
      <c r="D2443" s="2" t="s">
        <v>35</v>
      </c>
      <c r="E2443" s="2" t="n">
        <v>22</v>
      </c>
      <c r="F2443" s="2" t="n">
        <v>2</v>
      </c>
      <c r="G2443" s="2" t="s">
        <v>51</v>
      </c>
      <c r="H2443" s="2" t="n">
        <v>2442</v>
      </c>
      <c r="I2443" s="2" t="s">
        <v>39</v>
      </c>
      <c r="J2443" s="2" t="n">
        <v>1</v>
      </c>
      <c r="K2443" s="2" t="s">
        <v>31</v>
      </c>
      <c r="L2443" s="2" t="s">
        <v>32</v>
      </c>
      <c r="M2443" s="2" t="n">
        <v>23230</v>
      </c>
      <c r="N2443" s="2" t="n">
        <v>2</v>
      </c>
      <c r="O2443" s="2" t="n">
        <v>16</v>
      </c>
      <c r="P2443" s="2" t="n">
        <v>1</v>
      </c>
      <c r="Q2443" s="2" t="n">
        <v>18</v>
      </c>
      <c r="R2443" s="2" t="n">
        <v>2</v>
      </c>
      <c r="S2443" s="2" t="n">
        <v>1</v>
      </c>
      <c r="T2443" s="2" t="n">
        <v>0</v>
      </c>
      <c r="U2443" s="2" t="n">
        <v>0</v>
      </c>
      <c r="V2443" s="2" t="n">
        <v>2</v>
      </c>
      <c r="W2443" s="2" t="n">
        <v>1</v>
      </c>
      <c r="X2443" s="2" t="n">
        <v>3</v>
      </c>
      <c r="Y2443" s="2" t="n">
        <v>3</v>
      </c>
      <c r="Z2443" s="2" t="n">
        <v>3</v>
      </c>
    </row>
    <row r="2444" customFormat="false" ht="15" hidden="false" customHeight="true" outlineLevel="0" collapsed="false">
      <c r="A2444" s="2" t="n">
        <v>24</v>
      </c>
      <c r="B2444" s="2" t="s">
        <v>26</v>
      </c>
      <c r="C2444" s="2" t="s">
        <v>27</v>
      </c>
      <c r="D2444" s="2" t="s">
        <v>35</v>
      </c>
      <c r="E2444" s="2" t="n">
        <v>3</v>
      </c>
      <c r="F2444" s="2" t="n">
        <v>3</v>
      </c>
      <c r="G2444" s="2" t="s">
        <v>29</v>
      </c>
      <c r="H2444" s="2" t="n">
        <v>2443</v>
      </c>
      <c r="I2444" s="2" t="s">
        <v>30</v>
      </c>
      <c r="J2444" s="2" t="n">
        <v>1</v>
      </c>
      <c r="K2444" s="2" t="s">
        <v>36</v>
      </c>
      <c r="L2444" s="2" t="s">
        <v>46</v>
      </c>
      <c r="M2444" s="2" t="n">
        <v>14160</v>
      </c>
      <c r="N2444" s="2" t="n">
        <v>1</v>
      </c>
      <c r="O2444" s="2" t="n">
        <v>15</v>
      </c>
      <c r="P2444" s="2" t="n">
        <v>1</v>
      </c>
      <c r="Q2444" s="2" t="n">
        <v>6</v>
      </c>
      <c r="R2444" s="2" t="n">
        <v>3</v>
      </c>
      <c r="S2444" s="2" t="n">
        <v>6</v>
      </c>
      <c r="T2444" s="2" t="n">
        <v>1</v>
      </c>
      <c r="U2444" s="2" t="n">
        <v>2</v>
      </c>
      <c r="V2444" s="2" t="n">
        <v>2</v>
      </c>
      <c r="W2444" s="2" t="n">
        <v>1</v>
      </c>
      <c r="X2444" s="2" t="n">
        <v>4</v>
      </c>
      <c r="Y2444" s="2" t="n">
        <v>2</v>
      </c>
      <c r="Z2444" s="2" t="n">
        <v>3</v>
      </c>
    </row>
    <row r="2445" customFormat="false" ht="15" hidden="false" customHeight="true" outlineLevel="0" collapsed="false">
      <c r="A2445" s="2" t="n">
        <v>46</v>
      </c>
      <c r="B2445" s="2" t="s">
        <v>26</v>
      </c>
      <c r="C2445" s="2" t="s">
        <v>27</v>
      </c>
      <c r="D2445" s="2" t="s">
        <v>35</v>
      </c>
      <c r="E2445" s="2" t="n">
        <v>6</v>
      </c>
      <c r="F2445" s="2" t="n">
        <v>3</v>
      </c>
      <c r="G2445" s="2" t="s">
        <v>43</v>
      </c>
      <c r="H2445" s="2" t="n">
        <v>2444</v>
      </c>
      <c r="I2445" s="2" t="s">
        <v>39</v>
      </c>
      <c r="J2445" s="2" t="n">
        <v>4</v>
      </c>
      <c r="K2445" s="2" t="s">
        <v>40</v>
      </c>
      <c r="L2445" s="2" t="s">
        <v>37</v>
      </c>
      <c r="M2445" s="2" t="n">
        <v>46150</v>
      </c>
      <c r="N2445" s="2" t="n">
        <v>6</v>
      </c>
      <c r="O2445" s="2" t="n">
        <v>12</v>
      </c>
      <c r="P2445" s="2" t="n">
        <v>0</v>
      </c>
      <c r="Q2445" s="2" t="n">
        <v>19</v>
      </c>
      <c r="R2445" s="2" t="n">
        <v>3</v>
      </c>
      <c r="S2445" s="2" t="n">
        <v>10</v>
      </c>
      <c r="T2445" s="2" t="n">
        <v>0</v>
      </c>
      <c r="U2445" s="2" t="n">
        <v>9</v>
      </c>
      <c r="V2445" s="2" t="n">
        <v>3</v>
      </c>
      <c r="W2445" s="2" t="n">
        <v>2</v>
      </c>
      <c r="X2445" s="2" t="n">
        <v>3</v>
      </c>
      <c r="Y2445" s="2" t="n">
        <v>2</v>
      </c>
      <c r="Z2445" s="2" t="n">
        <v>3</v>
      </c>
    </row>
    <row r="2446" customFormat="false" ht="15" hidden="false" customHeight="true" outlineLevel="0" collapsed="false">
      <c r="A2446" s="2" t="n">
        <v>35</v>
      </c>
      <c r="B2446" s="2" t="s">
        <v>26</v>
      </c>
      <c r="C2446" s="2" t="s">
        <v>27</v>
      </c>
      <c r="D2446" s="2" t="s">
        <v>28</v>
      </c>
      <c r="E2446" s="2" t="n">
        <v>8</v>
      </c>
      <c r="F2446" s="2" t="n">
        <v>4</v>
      </c>
      <c r="G2446" s="2" t="s">
        <v>29</v>
      </c>
      <c r="H2446" s="2" t="n">
        <v>2445</v>
      </c>
      <c r="I2446" s="2" t="s">
        <v>39</v>
      </c>
      <c r="J2446" s="2" t="n">
        <v>1</v>
      </c>
      <c r="K2446" s="2" t="s">
        <v>45</v>
      </c>
      <c r="L2446" s="2" t="s">
        <v>32</v>
      </c>
      <c r="M2446" s="2" t="n">
        <v>24610</v>
      </c>
      <c r="N2446" s="2" t="n">
        <v>2</v>
      </c>
      <c r="O2446" s="2" t="n">
        <v>20</v>
      </c>
      <c r="P2446" s="2" t="n">
        <v>1</v>
      </c>
      <c r="Q2446" s="2" t="n">
        <v>17</v>
      </c>
      <c r="R2446" s="2" t="n">
        <v>4</v>
      </c>
      <c r="S2446" s="2" t="n">
        <v>7</v>
      </c>
      <c r="T2446" s="2" t="n">
        <v>0</v>
      </c>
      <c r="U2446" s="2" t="n">
        <v>7</v>
      </c>
      <c r="V2446" s="2" t="n">
        <v>4</v>
      </c>
      <c r="W2446" s="2" t="n">
        <v>3</v>
      </c>
      <c r="X2446" s="2" t="n">
        <v>3</v>
      </c>
      <c r="Y2446" s="2" t="n">
        <v>3</v>
      </c>
      <c r="Z2446" s="2" t="n">
        <v>4</v>
      </c>
    </row>
    <row r="2447" customFormat="false" ht="15" hidden="false" customHeight="true" outlineLevel="0" collapsed="false">
      <c r="A2447" s="2" t="n">
        <v>30</v>
      </c>
      <c r="B2447" s="2" t="s">
        <v>26</v>
      </c>
      <c r="C2447" s="2" t="s">
        <v>27</v>
      </c>
      <c r="D2447" s="2" t="s">
        <v>28</v>
      </c>
      <c r="E2447" s="2" t="n">
        <v>9</v>
      </c>
      <c r="F2447" s="2" t="n">
        <v>4</v>
      </c>
      <c r="G2447" s="2" t="s">
        <v>50</v>
      </c>
      <c r="H2447" s="2" t="n">
        <v>2446</v>
      </c>
      <c r="I2447" s="2" t="s">
        <v>39</v>
      </c>
      <c r="J2447" s="2" t="n">
        <v>1</v>
      </c>
      <c r="K2447" s="2" t="s">
        <v>45</v>
      </c>
      <c r="L2447" s="2" t="s">
        <v>32</v>
      </c>
      <c r="M2447" s="2" t="n">
        <v>87220</v>
      </c>
      <c r="N2447" s="2" t="n">
        <v>1</v>
      </c>
      <c r="O2447" s="2" t="n">
        <v>17</v>
      </c>
      <c r="P2447" s="2" t="n">
        <v>1</v>
      </c>
      <c r="Q2447" s="2" t="n">
        <v>10</v>
      </c>
      <c r="R2447" s="2" t="n">
        <v>3</v>
      </c>
      <c r="S2447" s="2" t="n">
        <v>10</v>
      </c>
      <c r="T2447" s="2" t="n">
        <v>0</v>
      </c>
      <c r="U2447" s="2" t="n">
        <v>8</v>
      </c>
      <c r="V2447" s="2" t="n">
        <v>2</v>
      </c>
      <c r="W2447" s="2" t="n">
        <v>4</v>
      </c>
      <c r="X2447" s="2" t="n">
        <v>2</v>
      </c>
      <c r="Y2447" s="2" t="n">
        <v>3</v>
      </c>
      <c r="Z2447" s="2" t="n">
        <v>3</v>
      </c>
    </row>
    <row r="2448" customFormat="false" ht="15" hidden="false" customHeight="true" outlineLevel="0" collapsed="false">
      <c r="A2448" s="2" t="n">
        <v>47</v>
      </c>
      <c r="B2448" s="2" t="s">
        <v>26</v>
      </c>
      <c r="C2448" s="2" t="s">
        <v>41</v>
      </c>
      <c r="D2448" s="2" t="s">
        <v>35</v>
      </c>
      <c r="E2448" s="2" t="n">
        <v>3</v>
      </c>
      <c r="F2448" s="2" t="n">
        <v>2</v>
      </c>
      <c r="G2448" s="2" t="s">
        <v>29</v>
      </c>
      <c r="H2448" s="2" t="n">
        <v>2447</v>
      </c>
      <c r="I2448" s="2" t="s">
        <v>30</v>
      </c>
      <c r="J2448" s="2" t="n">
        <v>2</v>
      </c>
      <c r="K2448" s="2" t="s">
        <v>40</v>
      </c>
      <c r="L2448" s="2" t="s">
        <v>32</v>
      </c>
      <c r="M2448" s="2" t="n">
        <v>39550</v>
      </c>
      <c r="N2448" s="2" t="n">
        <v>7</v>
      </c>
      <c r="O2448" s="2" t="n">
        <v>12</v>
      </c>
      <c r="P2448" s="2" t="n">
        <v>1</v>
      </c>
      <c r="Q2448" s="2" t="n">
        <v>4</v>
      </c>
      <c r="R2448" s="2" t="n">
        <v>5</v>
      </c>
      <c r="S2448" s="2" t="n">
        <v>1</v>
      </c>
      <c r="T2448" s="2" t="n">
        <v>0</v>
      </c>
      <c r="U2448" s="2" t="n">
        <v>0</v>
      </c>
      <c r="V2448" s="2" t="n">
        <v>3</v>
      </c>
      <c r="W2448" s="2" t="n">
        <v>2</v>
      </c>
      <c r="X2448" s="2" t="n">
        <v>1</v>
      </c>
      <c r="Y2448" s="2" t="n">
        <v>3</v>
      </c>
      <c r="Z2448" s="2" t="n">
        <v>3</v>
      </c>
    </row>
    <row r="2449" customFormat="false" ht="15" hidden="false" customHeight="true" outlineLevel="0" collapsed="false">
      <c r="A2449" s="2" t="n">
        <v>46</v>
      </c>
      <c r="B2449" s="2" t="s">
        <v>26</v>
      </c>
      <c r="C2449" s="2" t="s">
        <v>27</v>
      </c>
      <c r="D2449" s="2" t="s">
        <v>35</v>
      </c>
      <c r="E2449" s="2" t="n">
        <v>1</v>
      </c>
      <c r="F2449" s="2" t="n">
        <v>4</v>
      </c>
      <c r="G2449" s="2" t="s">
        <v>51</v>
      </c>
      <c r="H2449" s="2" t="n">
        <v>2448</v>
      </c>
      <c r="I2449" s="2" t="s">
        <v>30</v>
      </c>
      <c r="J2449" s="2" t="n">
        <v>3</v>
      </c>
      <c r="K2449" s="2" t="s">
        <v>40</v>
      </c>
      <c r="L2449" s="2" t="s">
        <v>46</v>
      </c>
      <c r="M2449" s="2" t="n">
        <v>99570</v>
      </c>
      <c r="N2449" s="2" t="n">
        <v>4</v>
      </c>
      <c r="O2449" s="2" t="n">
        <v>20</v>
      </c>
      <c r="P2449" s="2" t="n">
        <v>0</v>
      </c>
      <c r="Q2449" s="2" t="n">
        <v>13</v>
      </c>
      <c r="R2449" s="2" t="n">
        <v>1</v>
      </c>
      <c r="S2449" s="2" t="n">
        <v>10</v>
      </c>
      <c r="T2449" s="2" t="n">
        <v>0</v>
      </c>
      <c r="U2449" s="2" t="n">
        <v>3</v>
      </c>
      <c r="V2449" s="2" t="n">
        <v>3</v>
      </c>
      <c r="W2449" s="2" t="n">
        <v>4</v>
      </c>
      <c r="X2449" s="2" t="n">
        <v>2</v>
      </c>
      <c r="Y2449" s="2" t="n">
        <v>3</v>
      </c>
      <c r="Z2449" s="2" t="n">
        <v>4</v>
      </c>
    </row>
    <row r="2450" customFormat="false" ht="15" hidden="false" customHeight="true" outlineLevel="0" collapsed="false">
      <c r="A2450" s="2" t="n">
        <v>36</v>
      </c>
      <c r="B2450" s="2" t="s">
        <v>33</v>
      </c>
      <c r="C2450" s="2" t="s">
        <v>27</v>
      </c>
      <c r="D2450" s="2" t="s">
        <v>35</v>
      </c>
      <c r="E2450" s="2" t="n">
        <v>1</v>
      </c>
      <c r="F2450" s="2" t="n">
        <v>3</v>
      </c>
      <c r="G2450" s="2" t="s">
        <v>43</v>
      </c>
      <c r="H2450" s="2" t="n">
        <v>2449</v>
      </c>
      <c r="I2450" s="2" t="s">
        <v>39</v>
      </c>
      <c r="J2450" s="2" t="n">
        <v>2</v>
      </c>
      <c r="K2450" s="2" t="s">
        <v>47</v>
      </c>
      <c r="L2450" s="2" t="s">
        <v>46</v>
      </c>
      <c r="M2450" s="2" t="n">
        <v>33760</v>
      </c>
      <c r="N2450" s="2" t="n">
        <v>5</v>
      </c>
      <c r="O2450" s="2" t="n">
        <v>20</v>
      </c>
      <c r="P2450" s="2" t="n">
        <v>0</v>
      </c>
      <c r="Q2450" s="2" t="n">
        <v>16</v>
      </c>
      <c r="R2450" s="2" t="n">
        <v>3</v>
      </c>
      <c r="S2450" s="2" t="n">
        <v>2</v>
      </c>
      <c r="T2450" s="2" t="n">
        <v>2</v>
      </c>
      <c r="U2450" s="2" t="n">
        <v>2</v>
      </c>
      <c r="V2450" s="2" t="n">
        <v>2</v>
      </c>
      <c r="W2450" s="2" t="n">
        <v>1</v>
      </c>
      <c r="X2450" s="2" t="n">
        <v>3</v>
      </c>
      <c r="Y2450" s="2" t="n">
        <v>3</v>
      </c>
      <c r="Z2450" s="2" t="n">
        <v>4</v>
      </c>
    </row>
    <row r="2451" customFormat="false" ht="15" hidden="false" customHeight="true" outlineLevel="0" collapsed="false">
      <c r="A2451" s="2" t="n">
        <v>32</v>
      </c>
      <c r="B2451" s="2" t="s">
        <v>33</v>
      </c>
      <c r="C2451" s="2" t="s">
        <v>27</v>
      </c>
      <c r="D2451" s="2" t="s">
        <v>35</v>
      </c>
      <c r="E2451" s="2" t="n">
        <v>26</v>
      </c>
      <c r="F2451" s="2" t="n">
        <v>3</v>
      </c>
      <c r="G2451" s="2" t="s">
        <v>43</v>
      </c>
      <c r="H2451" s="2" t="n">
        <v>2450</v>
      </c>
      <c r="I2451" s="2" t="s">
        <v>30</v>
      </c>
      <c r="J2451" s="2" t="n">
        <v>2</v>
      </c>
      <c r="K2451" s="2" t="s">
        <v>44</v>
      </c>
      <c r="L2451" s="2" t="s">
        <v>37</v>
      </c>
      <c r="M2451" s="2" t="n">
        <v>88230</v>
      </c>
      <c r="N2451" s="2" t="n">
        <v>6</v>
      </c>
      <c r="O2451" s="2" t="n">
        <v>13</v>
      </c>
      <c r="P2451" s="2" t="n">
        <v>2</v>
      </c>
      <c r="Q2451" s="2" t="n">
        <v>10</v>
      </c>
      <c r="R2451" s="2" t="n">
        <v>3</v>
      </c>
      <c r="S2451" s="2" t="n">
        <v>0</v>
      </c>
      <c r="T2451" s="2" t="n">
        <v>0</v>
      </c>
      <c r="U2451" s="2" t="n">
        <v>0</v>
      </c>
      <c r="V2451" s="2" t="n">
        <v>1</v>
      </c>
      <c r="W2451" s="2" t="n">
        <v>2</v>
      </c>
      <c r="X2451" s="2" t="n">
        <v>3</v>
      </c>
      <c r="Y2451" s="2" t="n">
        <v>3</v>
      </c>
      <c r="Z2451" s="2" t="n">
        <v>3</v>
      </c>
    </row>
    <row r="2452" customFormat="false" ht="15" hidden="false" customHeight="true" outlineLevel="0" collapsed="false">
      <c r="A2452" s="2" t="n">
        <v>23</v>
      </c>
      <c r="B2452" s="2" t="s">
        <v>26</v>
      </c>
      <c r="C2452" s="2" t="s">
        <v>27</v>
      </c>
      <c r="D2452" s="2" t="s">
        <v>28</v>
      </c>
      <c r="E2452" s="2" t="n">
        <v>6</v>
      </c>
      <c r="F2452" s="2" t="n">
        <v>4</v>
      </c>
      <c r="G2452" s="2" t="s">
        <v>29</v>
      </c>
      <c r="H2452" s="2" t="n">
        <v>2451</v>
      </c>
      <c r="I2452" s="2" t="s">
        <v>39</v>
      </c>
      <c r="J2452" s="2" t="n">
        <v>3</v>
      </c>
      <c r="K2452" s="2" t="s">
        <v>47</v>
      </c>
      <c r="L2452" s="2" t="s">
        <v>37</v>
      </c>
      <c r="M2452" s="2" t="n">
        <v>103220</v>
      </c>
      <c r="N2452" s="2" t="n">
        <v>1</v>
      </c>
      <c r="O2452" s="2" t="n">
        <v>14</v>
      </c>
      <c r="P2452" s="2" t="n">
        <v>2</v>
      </c>
      <c r="Q2452" s="2" t="n">
        <v>3</v>
      </c>
      <c r="R2452" s="2" t="n">
        <v>2</v>
      </c>
      <c r="S2452" s="2" t="n">
        <v>3</v>
      </c>
      <c r="T2452" s="2" t="n">
        <v>1</v>
      </c>
      <c r="U2452" s="2" t="n">
        <v>2</v>
      </c>
      <c r="V2452" s="2" t="n">
        <v>3</v>
      </c>
      <c r="W2452" s="2" t="n">
        <v>2</v>
      </c>
      <c r="X2452" s="2" t="n">
        <v>1</v>
      </c>
      <c r="Y2452" s="2" t="n">
        <v>3</v>
      </c>
      <c r="Z2452" s="2" t="n">
        <v>3</v>
      </c>
    </row>
    <row r="2453" customFormat="false" ht="15" hidden="false" customHeight="true" outlineLevel="0" collapsed="false">
      <c r="A2453" s="2" t="n">
        <v>31</v>
      </c>
      <c r="B2453" s="2" t="s">
        <v>26</v>
      </c>
      <c r="C2453" s="2" t="s">
        <v>34</v>
      </c>
      <c r="D2453" s="2" t="s">
        <v>28</v>
      </c>
      <c r="E2453" s="2" t="n">
        <v>3</v>
      </c>
      <c r="F2453" s="2" t="n">
        <v>3</v>
      </c>
      <c r="G2453" s="2" t="s">
        <v>50</v>
      </c>
      <c r="H2453" s="2" t="n">
        <v>2452</v>
      </c>
      <c r="I2453" s="2" t="s">
        <v>39</v>
      </c>
      <c r="J2453" s="2" t="n">
        <v>2</v>
      </c>
      <c r="K2453" s="2" t="s">
        <v>40</v>
      </c>
      <c r="L2453" s="2" t="s">
        <v>37</v>
      </c>
      <c r="M2453" s="2" t="n">
        <v>46210</v>
      </c>
      <c r="N2453" s="2" t="n">
        <v>2</v>
      </c>
      <c r="O2453" s="2" t="n">
        <v>18</v>
      </c>
      <c r="P2453" s="2" t="n">
        <v>1</v>
      </c>
      <c r="Q2453" s="2" t="n">
        <v>9</v>
      </c>
      <c r="R2453" s="2" t="n">
        <v>3</v>
      </c>
      <c r="S2453" s="2" t="n">
        <v>5</v>
      </c>
      <c r="T2453" s="2" t="n">
        <v>1</v>
      </c>
      <c r="U2453" s="2" t="n">
        <v>4</v>
      </c>
      <c r="V2453" s="2" t="n">
        <v>4</v>
      </c>
      <c r="W2453" s="2" t="n">
        <v>4</v>
      </c>
      <c r="X2453" s="2" t="n">
        <v>2</v>
      </c>
      <c r="Y2453" s="2" t="n">
        <v>3</v>
      </c>
      <c r="Z2453" s="2" t="n">
        <v>3</v>
      </c>
    </row>
    <row r="2454" customFormat="false" ht="15" hidden="false" customHeight="true" outlineLevel="0" collapsed="false">
      <c r="A2454" s="2" t="n">
        <v>39</v>
      </c>
      <c r="B2454" s="2" t="s">
        <v>26</v>
      </c>
      <c r="C2454" s="2" t="s">
        <v>41</v>
      </c>
      <c r="D2454" s="2" t="s">
        <v>35</v>
      </c>
      <c r="E2454" s="2" t="n">
        <v>3</v>
      </c>
      <c r="F2454" s="2" t="n">
        <v>3</v>
      </c>
      <c r="G2454" s="2" t="s">
        <v>29</v>
      </c>
      <c r="H2454" s="2" t="n">
        <v>2453</v>
      </c>
      <c r="I2454" s="2" t="s">
        <v>30</v>
      </c>
      <c r="J2454" s="2" t="n">
        <v>2</v>
      </c>
      <c r="K2454" s="2" t="s">
        <v>47</v>
      </c>
      <c r="L2454" s="2" t="s">
        <v>32</v>
      </c>
      <c r="M2454" s="2" t="n">
        <v>109760</v>
      </c>
      <c r="N2454" s="2" t="n">
        <v>1</v>
      </c>
      <c r="O2454" s="2" t="n">
        <v>11</v>
      </c>
      <c r="P2454" s="2" t="n">
        <v>0</v>
      </c>
      <c r="Q2454" s="2" t="n">
        <v>9</v>
      </c>
      <c r="R2454" s="2" t="n">
        <v>3</v>
      </c>
      <c r="S2454" s="2" t="n">
        <v>9</v>
      </c>
      <c r="T2454" s="2" t="n">
        <v>5</v>
      </c>
      <c r="U2454" s="2" t="n">
        <v>8</v>
      </c>
      <c r="V2454" s="2" t="n">
        <v>4</v>
      </c>
      <c r="W2454" s="2" t="n">
        <v>4</v>
      </c>
      <c r="X2454" s="2" t="n">
        <v>3</v>
      </c>
      <c r="Y2454" s="2" t="n">
        <v>2</v>
      </c>
      <c r="Z2454" s="2" t="n">
        <v>3</v>
      </c>
    </row>
    <row r="2455" customFormat="false" ht="15" hidden="false" customHeight="true" outlineLevel="0" collapsed="false">
      <c r="A2455" s="2" t="n">
        <v>32</v>
      </c>
      <c r="B2455" s="2" t="s">
        <v>26</v>
      </c>
      <c r="C2455" s="2" t="s">
        <v>27</v>
      </c>
      <c r="D2455" s="2" t="s">
        <v>35</v>
      </c>
      <c r="E2455" s="2" t="n">
        <v>6</v>
      </c>
      <c r="F2455" s="2" t="n">
        <v>3</v>
      </c>
      <c r="G2455" s="2" t="s">
        <v>51</v>
      </c>
      <c r="H2455" s="2" t="n">
        <v>2454</v>
      </c>
      <c r="I2455" s="2" t="s">
        <v>39</v>
      </c>
      <c r="J2455" s="2" t="n">
        <v>1</v>
      </c>
      <c r="K2455" s="2" t="s">
        <v>36</v>
      </c>
      <c r="L2455" s="2" t="s">
        <v>32</v>
      </c>
      <c r="M2455" s="2" t="n">
        <v>36600</v>
      </c>
      <c r="N2455" s="2" t="n">
        <v>3</v>
      </c>
      <c r="O2455" s="2" t="n">
        <v>11</v>
      </c>
      <c r="P2455" s="2" t="n">
        <v>2</v>
      </c>
      <c r="Q2455" s="2" t="n">
        <v>10</v>
      </c>
      <c r="R2455" s="2" t="n">
        <v>0</v>
      </c>
      <c r="S2455" s="2" t="n">
        <v>4</v>
      </c>
      <c r="T2455" s="2" t="n">
        <v>0</v>
      </c>
      <c r="U2455" s="2" t="n">
        <v>2</v>
      </c>
      <c r="V2455" s="2" t="n">
        <v>4</v>
      </c>
      <c r="W2455" s="2" t="n">
        <v>3</v>
      </c>
      <c r="X2455" s="2" t="n">
        <v>1</v>
      </c>
      <c r="Y2455" s="2" t="n">
        <v>2</v>
      </c>
      <c r="Z2455" s="2" t="n">
        <v>3</v>
      </c>
    </row>
    <row r="2456" customFormat="false" ht="15" hidden="false" customHeight="true" outlineLevel="0" collapsed="false">
      <c r="A2456" s="2" t="n">
        <v>40</v>
      </c>
      <c r="B2456" s="2" t="s">
        <v>26</v>
      </c>
      <c r="C2456" s="2" t="s">
        <v>27</v>
      </c>
      <c r="D2456" s="2" t="s">
        <v>28</v>
      </c>
      <c r="E2456" s="2" t="n">
        <v>6</v>
      </c>
      <c r="F2456" s="2" t="n">
        <v>3</v>
      </c>
      <c r="G2456" s="2" t="s">
        <v>29</v>
      </c>
      <c r="H2456" s="2" t="n">
        <v>2455</v>
      </c>
      <c r="I2456" s="2" t="s">
        <v>39</v>
      </c>
      <c r="J2456" s="2" t="n">
        <v>3</v>
      </c>
      <c r="K2456" s="2" t="s">
        <v>47</v>
      </c>
      <c r="L2456" s="2" t="s">
        <v>37</v>
      </c>
      <c r="M2456" s="2" t="n">
        <v>104820</v>
      </c>
      <c r="N2456" s="2" t="n">
        <v>1</v>
      </c>
      <c r="O2456" s="2" t="n">
        <v>11</v>
      </c>
      <c r="P2456" s="2" t="n">
        <v>1</v>
      </c>
      <c r="Q2456" s="2" t="n">
        <v>21</v>
      </c>
      <c r="R2456" s="2" t="n">
        <v>6</v>
      </c>
      <c r="S2456" s="2" t="n">
        <v>21</v>
      </c>
      <c r="T2456" s="2" t="n">
        <v>12</v>
      </c>
      <c r="U2456" s="2" t="n">
        <v>8</v>
      </c>
      <c r="V2456" s="2" t="n">
        <v>2</v>
      </c>
      <c r="W2456" s="2" t="n">
        <v>2</v>
      </c>
      <c r="X2456" s="2" t="n">
        <v>2</v>
      </c>
      <c r="Y2456" s="2" t="n">
        <v>2</v>
      </c>
      <c r="Z2456" s="2" t="n">
        <v>3</v>
      </c>
    </row>
    <row r="2457" customFormat="false" ht="15" hidden="false" customHeight="true" outlineLevel="0" collapsed="false">
      <c r="A2457" s="2" t="n">
        <v>45</v>
      </c>
      <c r="B2457" s="2" t="s">
        <v>26</v>
      </c>
      <c r="C2457" s="2" t="s">
        <v>27</v>
      </c>
      <c r="D2457" s="2" t="s">
        <v>35</v>
      </c>
      <c r="E2457" s="2" t="n">
        <v>19</v>
      </c>
      <c r="F2457" s="2" t="n">
        <v>4</v>
      </c>
      <c r="G2457" s="2" t="s">
        <v>43</v>
      </c>
      <c r="H2457" s="2" t="n">
        <v>2456</v>
      </c>
      <c r="I2457" s="2" t="s">
        <v>39</v>
      </c>
      <c r="J2457" s="2" t="n">
        <v>1</v>
      </c>
      <c r="K2457" s="2" t="s">
        <v>48</v>
      </c>
      <c r="L2457" s="2" t="s">
        <v>32</v>
      </c>
      <c r="M2457" s="2" t="n">
        <v>71190</v>
      </c>
      <c r="N2457" s="2" t="n">
        <v>4</v>
      </c>
      <c r="O2457" s="2" t="n">
        <v>15</v>
      </c>
      <c r="P2457" s="2" t="n">
        <v>0</v>
      </c>
      <c r="Q2457" s="2" t="n">
        <v>9</v>
      </c>
      <c r="R2457" s="2" t="n">
        <v>2</v>
      </c>
      <c r="S2457" s="2" t="n">
        <v>5</v>
      </c>
      <c r="T2457" s="2" t="n">
        <v>0</v>
      </c>
      <c r="U2457" s="2" t="n">
        <v>3</v>
      </c>
      <c r="V2457" s="2" t="n">
        <v>3</v>
      </c>
      <c r="W2457" s="2" t="n">
        <v>3</v>
      </c>
      <c r="X2457" s="2" t="n">
        <v>4</v>
      </c>
      <c r="Y2457" s="2" t="n">
        <v>3</v>
      </c>
      <c r="Z2457" s="2" t="n">
        <v>3</v>
      </c>
    </row>
    <row r="2458" customFormat="false" ht="15" hidden="false" customHeight="true" outlineLevel="0" collapsed="false">
      <c r="A2458" s="2" t="n">
        <v>30</v>
      </c>
      <c r="B2458" s="2" t="s">
        <v>26</v>
      </c>
      <c r="C2458" s="2" t="s">
        <v>34</v>
      </c>
      <c r="D2458" s="2" t="s">
        <v>28</v>
      </c>
      <c r="E2458" s="2" t="n">
        <v>9</v>
      </c>
      <c r="F2458" s="2" t="n">
        <v>3</v>
      </c>
      <c r="G2458" s="2" t="s">
        <v>29</v>
      </c>
      <c r="H2458" s="2" t="n">
        <v>2457</v>
      </c>
      <c r="I2458" s="2" t="s">
        <v>39</v>
      </c>
      <c r="J2458" s="2" t="n">
        <v>1</v>
      </c>
      <c r="K2458" s="2" t="s">
        <v>44</v>
      </c>
      <c r="L2458" s="2" t="s">
        <v>37</v>
      </c>
      <c r="M2458" s="2" t="n">
        <v>95820</v>
      </c>
      <c r="N2458" s="2" t="n">
        <v>0</v>
      </c>
      <c r="O2458" s="2" t="n">
        <v>12</v>
      </c>
      <c r="P2458" s="2" t="n">
        <v>1</v>
      </c>
      <c r="Q2458" s="2" t="n">
        <v>10</v>
      </c>
      <c r="R2458" s="2" t="n">
        <v>2</v>
      </c>
      <c r="S2458" s="2" t="n">
        <v>9</v>
      </c>
      <c r="T2458" s="2" t="n">
        <v>0</v>
      </c>
      <c r="U2458" s="2" t="n">
        <v>7</v>
      </c>
      <c r="V2458" s="2" t="n">
        <v>4</v>
      </c>
      <c r="W2458" s="2" t="n">
        <v>1</v>
      </c>
      <c r="X2458" s="2" t="n">
        <v>3</v>
      </c>
      <c r="Y2458" s="2" t="n">
        <v>3</v>
      </c>
      <c r="Z2458" s="2" t="n">
        <v>3</v>
      </c>
    </row>
    <row r="2459" customFormat="false" ht="15" hidden="false" customHeight="true" outlineLevel="0" collapsed="false">
      <c r="A2459" s="2" t="n">
        <v>24</v>
      </c>
      <c r="B2459" s="2" t="s">
        <v>26</v>
      </c>
      <c r="C2459" s="2" t="s">
        <v>34</v>
      </c>
      <c r="D2459" s="2" t="s">
        <v>28</v>
      </c>
      <c r="E2459" s="2" t="n">
        <v>3</v>
      </c>
      <c r="F2459" s="2" t="n">
        <v>4</v>
      </c>
      <c r="G2459" s="2" t="s">
        <v>50</v>
      </c>
      <c r="H2459" s="2" t="n">
        <v>2458</v>
      </c>
      <c r="I2459" s="2" t="s">
        <v>39</v>
      </c>
      <c r="J2459" s="2" t="n">
        <v>1</v>
      </c>
      <c r="K2459" s="2" t="s">
        <v>40</v>
      </c>
      <c r="L2459" s="2" t="s">
        <v>32</v>
      </c>
      <c r="M2459" s="2" t="n">
        <v>45080</v>
      </c>
      <c r="N2459" s="2" t="n">
        <v>0</v>
      </c>
      <c r="O2459" s="2" t="n">
        <v>11</v>
      </c>
      <c r="P2459" s="2" t="n">
        <v>1</v>
      </c>
      <c r="Q2459" s="2" t="n">
        <v>3</v>
      </c>
      <c r="R2459" s="2" t="n">
        <v>5</v>
      </c>
      <c r="S2459" s="2" t="n">
        <v>2</v>
      </c>
      <c r="T2459" s="2" t="n">
        <v>2</v>
      </c>
      <c r="U2459" s="2" t="n">
        <v>1</v>
      </c>
      <c r="V2459" s="2" t="n">
        <v>1</v>
      </c>
      <c r="W2459" s="2" t="n">
        <v>4</v>
      </c>
      <c r="X2459" s="2" t="n">
        <v>3</v>
      </c>
      <c r="Y2459" s="2" t="n">
        <v>3</v>
      </c>
      <c r="Z2459" s="2" t="n">
        <v>3</v>
      </c>
    </row>
    <row r="2460" customFormat="false" ht="15" hidden="false" customHeight="true" outlineLevel="0" collapsed="false">
      <c r="A2460" s="2" t="n">
        <v>30</v>
      </c>
      <c r="B2460" s="2" t="s">
        <v>33</v>
      </c>
      <c r="C2460" s="2" t="s">
        <v>34</v>
      </c>
      <c r="D2460" s="2" t="s">
        <v>35</v>
      </c>
      <c r="E2460" s="2" t="n">
        <v>10</v>
      </c>
      <c r="F2460" s="2" t="n">
        <v>3</v>
      </c>
      <c r="G2460" s="2" t="s">
        <v>29</v>
      </c>
      <c r="H2460" s="2" t="n">
        <v>2459</v>
      </c>
      <c r="I2460" s="2" t="s">
        <v>30</v>
      </c>
      <c r="J2460" s="2" t="n">
        <v>1</v>
      </c>
      <c r="K2460" s="2" t="s">
        <v>42</v>
      </c>
      <c r="L2460" s="2" t="s">
        <v>46</v>
      </c>
      <c r="M2460" s="2" t="n">
        <v>22070</v>
      </c>
      <c r="N2460" s="2" t="n">
        <v>6</v>
      </c>
      <c r="O2460" s="2" t="n">
        <v>14</v>
      </c>
      <c r="P2460" s="2" t="n">
        <v>0</v>
      </c>
      <c r="Q2460" s="2" t="n">
        <v>6</v>
      </c>
      <c r="R2460" s="2" t="n">
        <v>4</v>
      </c>
      <c r="S2460" s="2" t="n">
        <v>4</v>
      </c>
      <c r="T2460" s="2" t="n">
        <v>1</v>
      </c>
      <c r="U2460" s="2" t="n">
        <v>2</v>
      </c>
      <c r="V2460" s="2" t="n">
        <v>3</v>
      </c>
      <c r="W2460" s="2" t="n">
        <v>4</v>
      </c>
      <c r="X2460" s="2" t="n">
        <v>2</v>
      </c>
      <c r="Y2460" s="2" t="n">
        <v>3</v>
      </c>
      <c r="Z2460" s="2" t="n">
        <v>3</v>
      </c>
    </row>
    <row r="2461" customFormat="false" ht="15" hidden="false" customHeight="true" outlineLevel="0" collapsed="false">
      <c r="A2461" s="2" t="n">
        <v>31</v>
      </c>
      <c r="B2461" s="2" t="s">
        <v>26</v>
      </c>
      <c r="C2461" s="2" t="s">
        <v>27</v>
      </c>
      <c r="D2461" s="2" t="s">
        <v>35</v>
      </c>
      <c r="E2461" s="2" t="n">
        <v>3</v>
      </c>
      <c r="F2461" s="2" t="n">
        <v>2</v>
      </c>
      <c r="G2461" s="2" t="s">
        <v>29</v>
      </c>
      <c r="H2461" s="2" t="n">
        <v>2460</v>
      </c>
      <c r="I2461" s="2" t="s">
        <v>39</v>
      </c>
      <c r="J2461" s="2" t="n">
        <v>3</v>
      </c>
      <c r="K2461" s="2" t="s">
        <v>45</v>
      </c>
      <c r="L2461" s="2" t="s">
        <v>32</v>
      </c>
      <c r="M2461" s="2" t="n">
        <v>77560</v>
      </c>
      <c r="N2461" s="2" t="n">
        <v>1</v>
      </c>
      <c r="O2461" s="2" t="n">
        <v>15</v>
      </c>
      <c r="P2461" s="2" t="n">
        <v>2</v>
      </c>
      <c r="Q2461" s="2" t="n">
        <v>6</v>
      </c>
      <c r="R2461" s="2" t="n">
        <v>3</v>
      </c>
      <c r="S2461" s="2" t="n">
        <v>5</v>
      </c>
      <c r="T2461" s="2" t="n">
        <v>0</v>
      </c>
      <c r="U2461" s="2" t="n">
        <v>2</v>
      </c>
      <c r="V2461" s="2" t="n">
        <v>1</v>
      </c>
      <c r="W2461" s="2" t="n">
        <v>3</v>
      </c>
      <c r="X2461" s="2" t="n">
        <v>3</v>
      </c>
      <c r="Y2461" s="2" t="n">
        <v>4</v>
      </c>
      <c r="Z2461" s="2" t="n">
        <v>3</v>
      </c>
    </row>
    <row r="2462" customFormat="false" ht="15" hidden="false" customHeight="true" outlineLevel="0" collapsed="false">
      <c r="A2462" s="2" t="n">
        <v>27</v>
      </c>
      <c r="B2462" s="2" t="s">
        <v>26</v>
      </c>
      <c r="C2462" s="2" t="s">
        <v>27</v>
      </c>
      <c r="D2462" s="2" t="s">
        <v>28</v>
      </c>
      <c r="E2462" s="2" t="n">
        <v>3</v>
      </c>
      <c r="F2462" s="2" t="n">
        <v>3</v>
      </c>
      <c r="G2462" s="2" t="s">
        <v>29</v>
      </c>
      <c r="H2462" s="2" t="n">
        <v>2461</v>
      </c>
      <c r="I2462" s="2" t="s">
        <v>39</v>
      </c>
      <c r="J2462" s="2" t="n">
        <v>1</v>
      </c>
      <c r="K2462" s="2" t="s">
        <v>49</v>
      </c>
      <c r="L2462" s="2" t="s">
        <v>37</v>
      </c>
      <c r="M2462" s="2" t="n">
        <v>66940</v>
      </c>
      <c r="N2462" s="2" t="n">
        <v>1</v>
      </c>
      <c r="O2462" s="2" t="n">
        <v>13</v>
      </c>
      <c r="P2462" s="2" t="n">
        <v>1</v>
      </c>
      <c r="Q2462" s="2" t="n">
        <v>6</v>
      </c>
      <c r="R2462" s="2" t="n">
        <v>2</v>
      </c>
      <c r="S2462" s="2" t="n">
        <v>6</v>
      </c>
      <c r="T2462" s="2" t="n">
        <v>1</v>
      </c>
      <c r="U2462" s="2" t="n">
        <v>4</v>
      </c>
      <c r="V2462" s="2" t="n">
        <v>3</v>
      </c>
      <c r="W2462" s="2" t="n">
        <v>4</v>
      </c>
      <c r="X2462" s="2" t="n">
        <v>2</v>
      </c>
      <c r="Y2462" s="2" t="n">
        <v>2</v>
      </c>
      <c r="Z2462" s="2" t="n">
        <v>3</v>
      </c>
    </row>
    <row r="2463" customFormat="false" ht="15" hidden="false" customHeight="true" outlineLevel="0" collapsed="false">
      <c r="A2463" s="2" t="n">
        <v>29</v>
      </c>
      <c r="B2463" s="2" t="s">
        <v>33</v>
      </c>
      <c r="C2463" s="2" t="s">
        <v>27</v>
      </c>
      <c r="D2463" s="2" t="s">
        <v>28</v>
      </c>
      <c r="E2463" s="2" t="n">
        <v>4</v>
      </c>
      <c r="F2463" s="2" t="n">
        <v>3</v>
      </c>
      <c r="G2463" s="2" t="s">
        <v>50</v>
      </c>
      <c r="H2463" s="2" t="n">
        <v>2462</v>
      </c>
      <c r="I2463" s="2" t="s">
        <v>39</v>
      </c>
      <c r="J2463" s="2" t="n">
        <v>5</v>
      </c>
      <c r="K2463" s="2" t="s">
        <v>36</v>
      </c>
      <c r="L2463" s="2" t="s">
        <v>37</v>
      </c>
      <c r="M2463" s="2" t="n">
        <v>36910</v>
      </c>
      <c r="N2463" s="2" t="n">
        <v>1</v>
      </c>
      <c r="O2463" s="2" t="n">
        <v>13</v>
      </c>
      <c r="P2463" s="2" t="n">
        <v>0</v>
      </c>
      <c r="Q2463" s="2" t="n">
        <v>2</v>
      </c>
      <c r="R2463" s="2" t="n">
        <v>3</v>
      </c>
      <c r="S2463" s="2" t="n">
        <v>2</v>
      </c>
      <c r="T2463" s="2" t="n">
        <v>2</v>
      </c>
      <c r="U2463" s="2" t="n">
        <v>2</v>
      </c>
      <c r="V2463" s="2" t="n">
        <v>2</v>
      </c>
      <c r="W2463" s="2" t="n">
        <v>2</v>
      </c>
      <c r="X2463" s="2" t="n">
        <v>3</v>
      </c>
      <c r="Y2463" s="2" t="n">
        <v>3</v>
      </c>
      <c r="Z2463" s="2" t="n">
        <v>3</v>
      </c>
    </row>
    <row r="2464" customFormat="false" ht="15" hidden="false" customHeight="true" outlineLevel="0" collapsed="false">
      <c r="A2464" s="2" t="n">
        <v>29</v>
      </c>
      <c r="B2464" s="2" t="s">
        <v>26</v>
      </c>
      <c r="C2464" s="2" t="s">
        <v>34</v>
      </c>
      <c r="D2464" s="2" t="s">
        <v>35</v>
      </c>
      <c r="E2464" s="2" t="n">
        <v>8</v>
      </c>
      <c r="F2464" s="2" t="n">
        <v>4</v>
      </c>
      <c r="G2464" s="2" t="s">
        <v>29</v>
      </c>
      <c r="H2464" s="2" t="n">
        <v>2463</v>
      </c>
      <c r="I2464" s="2" t="s">
        <v>30</v>
      </c>
      <c r="J2464" s="2" t="n">
        <v>1</v>
      </c>
      <c r="K2464" s="2" t="s">
        <v>40</v>
      </c>
      <c r="L2464" s="2" t="s">
        <v>37</v>
      </c>
      <c r="M2464" s="2" t="n">
        <v>23770</v>
      </c>
      <c r="N2464" s="2" t="n">
        <v>8</v>
      </c>
      <c r="O2464" s="2" t="n">
        <v>21</v>
      </c>
      <c r="P2464" s="2" t="n">
        <v>1</v>
      </c>
      <c r="Q2464" s="2" t="n">
        <v>10</v>
      </c>
      <c r="R2464" s="2" t="n">
        <v>2</v>
      </c>
      <c r="S2464" s="2" t="n">
        <v>3</v>
      </c>
      <c r="T2464" s="2" t="n">
        <v>0</v>
      </c>
      <c r="U2464" s="2" t="n">
        <v>2</v>
      </c>
      <c r="V2464" s="2" t="n">
        <v>4</v>
      </c>
      <c r="W2464" s="2" t="n">
        <v>3</v>
      </c>
      <c r="X2464" s="2" t="n">
        <v>4</v>
      </c>
      <c r="Y2464" s="2" t="n">
        <v>3</v>
      </c>
      <c r="Z2464" s="2" t="n">
        <v>4</v>
      </c>
    </row>
    <row r="2465" customFormat="false" ht="15" hidden="false" customHeight="true" outlineLevel="0" collapsed="false">
      <c r="A2465" s="2" t="n">
        <v>30</v>
      </c>
      <c r="B2465" s="2" t="s">
        <v>26</v>
      </c>
      <c r="C2465" s="2" t="s">
        <v>27</v>
      </c>
      <c r="D2465" s="2" t="s">
        <v>28</v>
      </c>
      <c r="E2465" s="2" t="n">
        <v>7</v>
      </c>
      <c r="F2465" s="2" t="n">
        <v>3</v>
      </c>
      <c r="G2465" s="2" t="s">
        <v>29</v>
      </c>
      <c r="H2465" s="2" t="n">
        <v>2464</v>
      </c>
      <c r="I2465" s="2" t="s">
        <v>39</v>
      </c>
      <c r="J2465" s="2" t="n">
        <v>3</v>
      </c>
      <c r="K2465" s="2" t="s">
        <v>40</v>
      </c>
      <c r="L2465" s="2" t="s">
        <v>46</v>
      </c>
      <c r="M2465" s="2" t="n">
        <v>23130</v>
      </c>
      <c r="N2465" s="2" t="n">
        <v>2</v>
      </c>
      <c r="O2465" s="2" t="n">
        <v>11</v>
      </c>
      <c r="P2465" s="2" t="n">
        <v>0</v>
      </c>
      <c r="Q2465" s="2" t="n">
        <v>12</v>
      </c>
      <c r="R2465" s="2" t="n">
        <v>5</v>
      </c>
      <c r="S2465" s="2" t="n">
        <v>7</v>
      </c>
      <c r="T2465" s="2" t="n">
        <v>1</v>
      </c>
      <c r="U2465" s="2" t="n">
        <v>7</v>
      </c>
      <c r="V2465" s="2" t="n">
        <v>3</v>
      </c>
      <c r="W2465" s="2" t="n">
        <v>1</v>
      </c>
      <c r="X2465" s="2" t="n">
        <v>3</v>
      </c>
      <c r="Y2465" s="2" t="n">
        <v>3</v>
      </c>
      <c r="Z2465" s="2" t="n">
        <v>3</v>
      </c>
    </row>
    <row r="2466" customFormat="false" ht="15" hidden="false" customHeight="true" outlineLevel="0" collapsed="false">
      <c r="A2466" s="2" t="n">
        <v>34</v>
      </c>
      <c r="B2466" s="2" t="s">
        <v>26</v>
      </c>
      <c r="C2466" s="2" t="s">
        <v>27</v>
      </c>
      <c r="D2466" s="2" t="s">
        <v>35</v>
      </c>
      <c r="E2466" s="2" t="n">
        <v>1</v>
      </c>
      <c r="F2466" s="2" t="n">
        <v>2</v>
      </c>
      <c r="G2466" s="2" t="s">
        <v>43</v>
      </c>
      <c r="H2466" s="2" t="n">
        <v>2465</v>
      </c>
      <c r="I2466" s="2" t="s">
        <v>30</v>
      </c>
      <c r="J2466" s="2" t="n">
        <v>2</v>
      </c>
      <c r="K2466" s="2" t="s">
        <v>31</v>
      </c>
      <c r="L2466" s="2" t="s">
        <v>32</v>
      </c>
      <c r="M2466" s="2" t="n">
        <v>176650</v>
      </c>
      <c r="N2466" s="2" t="n">
        <v>0</v>
      </c>
      <c r="O2466" s="2" t="n">
        <v>11</v>
      </c>
      <c r="P2466" s="2" t="n">
        <v>0</v>
      </c>
      <c r="Q2466" s="2" t="n">
        <v>6</v>
      </c>
      <c r="R2466" s="2" t="n">
        <v>5</v>
      </c>
      <c r="S2466" s="2" t="n">
        <v>5</v>
      </c>
      <c r="T2466" s="2" t="n">
        <v>1</v>
      </c>
      <c r="U2466" s="2" t="n">
        <v>2</v>
      </c>
      <c r="V2466" s="2" t="n">
        <v>4</v>
      </c>
      <c r="W2466" s="2" t="n">
        <v>4</v>
      </c>
      <c r="X2466" s="2" t="n">
        <v>3</v>
      </c>
      <c r="Y2466" s="2" t="n">
        <v>2</v>
      </c>
      <c r="Z2466" s="2" t="n">
        <v>3</v>
      </c>
    </row>
    <row r="2467" customFormat="false" ht="15" hidden="false" customHeight="true" outlineLevel="0" collapsed="false">
      <c r="A2467" s="2" t="n">
        <v>33</v>
      </c>
      <c r="B2467" s="2" t="s">
        <v>26</v>
      </c>
      <c r="C2467" s="2" t="s">
        <v>41</v>
      </c>
      <c r="D2467" s="2" t="s">
        <v>35</v>
      </c>
      <c r="E2467" s="2" t="n">
        <v>2</v>
      </c>
      <c r="F2467" s="2" t="n">
        <v>4</v>
      </c>
      <c r="G2467" s="2" t="s">
        <v>43</v>
      </c>
      <c r="H2467" s="2" t="n">
        <v>2466</v>
      </c>
      <c r="I2467" s="2" t="s">
        <v>39</v>
      </c>
      <c r="J2467" s="2" t="n">
        <v>1</v>
      </c>
      <c r="K2467" s="2" t="s">
        <v>48</v>
      </c>
      <c r="L2467" s="2" t="s">
        <v>37</v>
      </c>
      <c r="M2467" s="2" t="n">
        <v>25960</v>
      </c>
      <c r="N2467" s="2" t="n">
        <v>8</v>
      </c>
      <c r="O2467" s="2" t="n">
        <v>14</v>
      </c>
      <c r="P2467" s="2" t="n">
        <v>1</v>
      </c>
      <c r="Q2467" s="2" t="n">
        <v>13</v>
      </c>
      <c r="R2467" s="2" t="n">
        <v>4</v>
      </c>
      <c r="S2467" s="2" t="n">
        <v>11</v>
      </c>
      <c r="T2467" s="2" t="n">
        <v>1</v>
      </c>
      <c r="U2467" s="2" t="n">
        <v>7</v>
      </c>
      <c r="V2467" s="2" t="n">
        <v>4</v>
      </c>
      <c r="W2467" s="2" t="n">
        <v>2</v>
      </c>
      <c r="X2467" s="2" t="n">
        <v>2</v>
      </c>
      <c r="Y2467" s="2" t="n">
        <v>3</v>
      </c>
      <c r="Z2467" s="2" t="n">
        <v>3</v>
      </c>
    </row>
    <row r="2468" customFormat="false" ht="15" hidden="false" customHeight="true" outlineLevel="0" collapsed="false">
      <c r="A2468" s="2" t="n">
        <v>49</v>
      </c>
      <c r="B2468" s="2" t="s">
        <v>26</v>
      </c>
      <c r="C2468" s="2" t="s">
        <v>27</v>
      </c>
      <c r="D2468" s="2" t="s">
        <v>28</v>
      </c>
      <c r="E2468" s="2" t="n">
        <v>3</v>
      </c>
      <c r="F2468" s="2" t="n">
        <v>4</v>
      </c>
      <c r="G2468" s="2" t="s">
        <v>50</v>
      </c>
      <c r="H2468" s="2" t="n">
        <v>2467</v>
      </c>
      <c r="I2468" s="2" t="s">
        <v>39</v>
      </c>
      <c r="J2468" s="2" t="n">
        <v>1</v>
      </c>
      <c r="K2468" s="2" t="s">
        <v>40</v>
      </c>
      <c r="L2468" s="2" t="s">
        <v>37</v>
      </c>
      <c r="M2468" s="2" t="n">
        <v>47280</v>
      </c>
      <c r="N2468" s="2" t="n">
        <v>3</v>
      </c>
      <c r="O2468" s="2" t="n">
        <v>11</v>
      </c>
      <c r="P2468" s="2" t="n">
        <v>1</v>
      </c>
      <c r="Q2468" s="2" t="n">
        <v>8</v>
      </c>
      <c r="R2468" s="2" t="n">
        <v>4</v>
      </c>
      <c r="S2468" s="2" t="n">
        <v>5</v>
      </c>
      <c r="T2468" s="2" t="n">
        <v>0</v>
      </c>
      <c r="U2468" s="2" t="n">
        <v>4</v>
      </c>
      <c r="V2468" s="2" t="n">
        <v>4</v>
      </c>
      <c r="W2468" s="2" t="n">
        <v>4</v>
      </c>
      <c r="X2468" s="2" t="n">
        <v>4</v>
      </c>
      <c r="Y2468" s="2" t="n">
        <v>3</v>
      </c>
      <c r="Z2468" s="2" t="n">
        <v>3</v>
      </c>
    </row>
    <row r="2469" customFormat="false" ht="15" hidden="false" customHeight="true" outlineLevel="0" collapsed="false">
      <c r="A2469" s="2" t="n">
        <v>33</v>
      </c>
      <c r="B2469" s="2" t="s">
        <v>33</v>
      </c>
      <c r="C2469" s="2" t="s">
        <v>27</v>
      </c>
      <c r="D2469" s="2" t="s">
        <v>35</v>
      </c>
      <c r="E2469" s="2" t="n">
        <v>10</v>
      </c>
      <c r="F2469" s="2" t="n">
        <v>3</v>
      </c>
      <c r="G2469" s="2" t="s">
        <v>29</v>
      </c>
      <c r="H2469" s="2" t="n">
        <v>2468</v>
      </c>
      <c r="I2469" s="2" t="s">
        <v>39</v>
      </c>
      <c r="J2469" s="2" t="n">
        <v>1</v>
      </c>
      <c r="K2469" s="2" t="s">
        <v>40</v>
      </c>
      <c r="L2469" s="2" t="s">
        <v>37</v>
      </c>
      <c r="M2469" s="2" t="n">
        <v>43020</v>
      </c>
      <c r="N2469" s="2" t="n">
        <v>2</v>
      </c>
      <c r="O2469" s="2" t="n">
        <v>13</v>
      </c>
      <c r="P2469" s="2" t="n">
        <v>0</v>
      </c>
      <c r="Q2469" s="2" t="n">
        <v>11</v>
      </c>
      <c r="R2469" s="2" t="n">
        <v>3</v>
      </c>
      <c r="S2469" s="2" t="n">
        <v>0</v>
      </c>
      <c r="T2469" s="2" t="n">
        <v>0</v>
      </c>
      <c r="U2469" s="2" t="n">
        <v>0</v>
      </c>
      <c r="V2469" s="2" t="n">
        <v>1</v>
      </c>
      <c r="W2469" s="2" t="n">
        <v>1</v>
      </c>
      <c r="X2469" s="2" t="n">
        <v>2</v>
      </c>
      <c r="Y2469" s="2" t="n">
        <v>1</v>
      </c>
      <c r="Z2469" s="2" t="n">
        <v>3</v>
      </c>
    </row>
    <row r="2470" customFormat="false" ht="15" hidden="false" customHeight="true" outlineLevel="0" collapsed="false">
      <c r="A2470" s="2" t="n">
        <v>38</v>
      </c>
      <c r="B2470" s="2" t="s">
        <v>26</v>
      </c>
      <c r="C2470" s="2" t="s">
        <v>34</v>
      </c>
      <c r="D2470" s="2" t="s">
        <v>35</v>
      </c>
      <c r="E2470" s="2" t="n">
        <v>28</v>
      </c>
      <c r="F2470" s="2" t="n">
        <v>3</v>
      </c>
      <c r="G2470" s="2" t="s">
        <v>43</v>
      </c>
      <c r="H2470" s="2" t="n">
        <v>2469</v>
      </c>
      <c r="I2470" s="2" t="s">
        <v>39</v>
      </c>
      <c r="J2470" s="2" t="n">
        <v>1</v>
      </c>
      <c r="K2470" s="2" t="s">
        <v>31</v>
      </c>
      <c r="L2470" s="2" t="s">
        <v>32</v>
      </c>
      <c r="M2470" s="2" t="n">
        <v>29790</v>
      </c>
      <c r="N2470" s="2" t="n">
        <v>4</v>
      </c>
      <c r="O2470" s="2" t="n">
        <v>12</v>
      </c>
      <c r="P2470" s="2" t="n">
        <v>1</v>
      </c>
      <c r="Q2470" s="2" t="n">
        <v>9</v>
      </c>
      <c r="R2470" s="2" t="n">
        <v>3</v>
      </c>
      <c r="S2470" s="2" t="n">
        <v>6</v>
      </c>
      <c r="T2470" s="2" t="n">
        <v>0</v>
      </c>
      <c r="U2470" s="2" t="n">
        <v>5</v>
      </c>
      <c r="V2470" s="2" t="n">
        <v>3</v>
      </c>
      <c r="W2470" s="2" t="n">
        <v>2</v>
      </c>
      <c r="X2470" s="2" t="n">
        <v>2</v>
      </c>
      <c r="Y2470" s="2" t="n">
        <v>3</v>
      </c>
      <c r="Z2470" s="2" t="n">
        <v>3</v>
      </c>
    </row>
    <row r="2471" customFormat="false" ht="15" hidden="false" customHeight="true" outlineLevel="0" collapsed="false">
      <c r="A2471" s="2" t="n">
        <v>31</v>
      </c>
      <c r="B2471" s="2" t="s">
        <v>33</v>
      </c>
      <c r="C2471" s="2" t="s">
        <v>27</v>
      </c>
      <c r="D2471" s="2" t="s">
        <v>42</v>
      </c>
      <c r="E2471" s="2" t="n">
        <v>9</v>
      </c>
      <c r="F2471" s="2" t="n">
        <v>4</v>
      </c>
      <c r="G2471" s="2" t="s">
        <v>42</v>
      </c>
      <c r="H2471" s="2" t="n">
        <v>2470</v>
      </c>
      <c r="I2471" s="2" t="s">
        <v>39</v>
      </c>
      <c r="J2471" s="2" t="n">
        <v>2</v>
      </c>
      <c r="K2471" s="2" t="s">
        <v>45</v>
      </c>
      <c r="L2471" s="2" t="s">
        <v>32</v>
      </c>
      <c r="M2471" s="2" t="n">
        <v>168850</v>
      </c>
      <c r="N2471" s="2" t="n">
        <v>2</v>
      </c>
      <c r="O2471" s="2" t="n">
        <v>14</v>
      </c>
      <c r="P2471" s="2" t="n">
        <v>2</v>
      </c>
      <c r="Q2471" s="2" t="n">
        <v>10</v>
      </c>
      <c r="R2471" s="2" t="n">
        <v>2</v>
      </c>
      <c r="S2471" s="2" t="n">
        <v>1</v>
      </c>
      <c r="T2471" s="2" t="n">
        <v>0</v>
      </c>
      <c r="U2471" s="2" t="n">
        <v>0</v>
      </c>
      <c r="V2471" s="2" t="n">
        <v>1</v>
      </c>
      <c r="W2471" s="2" t="n">
        <v>3</v>
      </c>
      <c r="X2471" s="2" t="n">
        <v>3</v>
      </c>
      <c r="Y2471" s="2" t="n">
        <v>3</v>
      </c>
      <c r="Z2471" s="2" t="n">
        <v>3</v>
      </c>
    </row>
    <row r="2472" customFormat="false" ht="15" hidden="false" customHeight="true" outlineLevel="0" collapsed="false">
      <c r="A2472" s="2" t="n">
        <v>29</v>
      </c>
      <c r="B2472" s="2" t="s">
        <v>26</v>
      </c>
      <c r="C2472" s="2" t="s">
        <v>27</v>
      </c>
      <c r="D2472" s="2" t="s">
        <v>35</v>
      </c>
      <c r="E2472" s="2" t="n">
        <v>3</v>
      </c>
      <c r="F2472" s="2" t="n">
        <v>4</v>
      </c>
      <c r="G2472" s="2" t="s">
        <v>38</v>
      </c>
      <c r="H2472" s="2" t="n">
        <v>2471</v>
      </c>
      <c r="I2472" s="2" t="s">
        <v>30</v>
      </c>
      <c r="J2472" s="2" t="n">
        <v>2</v>
      </c>
      <c r="K2472" s="2" t="s">
        <v>48</v>
      </c>
      <c r="L2472" s="2" t="s">
        <v>46</v>
      </c>
      <c r="M2472" s="2" t="n">
        <v>55930</v>
      </c>
      <c r="N2472" s="2" t="n">
        <v>1</v>
      </c>
      <c r="O2472" s="2" t="n">
        <v>13</v>
      </c>
      <c r="P2472" s="2" t="n">
        <v>1</v>
      </c>
      <c r="Q2472" s="2" t="n">
        <v>1</v>
      </c>
      <c r="R2472" s="2" t="n">
        <v>3</v>
      </c>
      <c r="S2472" s="2" t="n">
        <v>1</v>
      </c>
      <c r="T2472" s="2" t="n">
        <v>0</v>
      </c>
      <c r="U2472" s="2" t="n">
        <v>0</v>
      </c>
      <c r="V2472" s="2" t="n">
        <v>4</v>
      </c>
      <c r="W2472" s="2" t="n">
        <v>1</v>
      </c>
      <c r="X2472" s="2" t="n">
        <v>3</v>
      </c>
      <c r="Y2472" s="2" t="n">
        <v>3</v>
      </c>
      <c r="Z2472" s="2" t="n">
        <v>3</v>
      </c>
    </row>
    <row r="2473" customFormat="false" ht="15" hidden="false" customHeight="true" outlineLevel="0" collapsed="false">
      <c r="A2473" s="2" t="n">
        <v>30</v>
      </c>
      <c r="B2473" s="2" t="s">
        <v>26</v>
      </c>
      <c r="C2473" s="2" t="s">
        <v>27</v>
      </c>
      <c r="D2473" s="2" t="s">
        <v>35</v>
      </c>
      <c r="E2473" s="2" t="n">
        <v>2</v>
      </c>
      <c r="F2473" s="2" t="n">
        <v>1</v>
      </c>
      <c r="G2473" s="2" t="s">
        <v>43</v>
      </c>
      <c r="H2473" s="2" t="n">
        <v>2472</v>
      </c>
      <c r="I2473" s="2" t="s">
        <v>39</v>
      </c>
      <c r="J2473" s="2" t="n">
        <v>1</v>
      </c>
      <c r="K2473" s="2" t="s">
        <v>48</v>
      </c>
      <c r="L2473" s="2" t="s">
        <v>32</v>
      </c>
      <c r="M2473" s="2" t="n">
        <v>104450</v>
      </c>
      <c r="N2473" s="2" t="n">
        <v>3</v>
      </c>
      <c r="O2473" s="2" t="n">
        <v>18</v>
      </c>
      <c r="P2473" s="2" t="n">
        <v>1</v>
      </c>
      <c r="Q2473" s="2" t="n">
        <v>10</v>
      </c>
      <c r="R2473" s="2" t="n">
        <v>3</v>
      </c>
      <c r="S2473" s="2" t="n">
        <v>7</v>
      </c>
      <c r="T2473" s="2" t="n">
        <v>1</v>
      </c>
      <c r="U2473" s="2" t="n">
        <v>7</v>
      </c>
      <c r="V2473" s="2" t="n">
        <v>3</v>
      </c>
      <c r="W2473" s="2" t="n">
        <v>3</v>
      </c>
      <c r="X2473" s="2" t="n">
        <v>3</v>
      </c>
      <c r="Y2473" s="2" t="n">
        <v>3</v>
      </c>
      <c r="Z2473" s="2" t="n">
        <v>3</v>
      </c>
    </row>
    <row r="2474" customFormat="false" ht="15" hidden="false" customHeight="true" outlineLevel="0" collapsed="false">
      <c r="A2474" s="2" t="n">
        <v>32</v>
      </c>
      <c r="B2474" s="2" t="s">
        <v>26</v>
      </c>
      <c r="C2474" s="2" t="s">
        <v>41</v>
      </c>
      <c r="D2474" s="2" t="s">
        <v>35</v>
      </c>
      <c r="E2474" s="2" t="n">
        <v>10</v>
      </c>
      <c r="F2474" s="2" t="n">
        <v>4</v>
      </c>
      <c r="G2474" s="2" t="s">
        <v>29</v>
      </c>
      <c r="H2474" s="2" t="n">
        <v>2473</v>
      </c>
      <c r="I2474" s="2" t="s">
        <v>30</v>
      </c>
      <c r="J2474" s="2" t="n">
        <v>1</v>
      </c>
      <c r="K2474" s="2" t="s">
        <v>45</v>
      </c>
      <c r="L2474" s="2" t="s">
        <v>37</v>
      </c>
      <c r="M2474" s="2" t="n">
        <v>87400</v>
      </c>
      <c r="N2474" s="2" t="n">
        <v>2</v>
      </c>
      <c r="O2474" s="2" t="n">
        <v>11</v>
      </c>
      <c r="P2474" s="2" t="n">
        <v>1</v>
      </c>
      <c r="Q2474" s="2" t="n">
        <v>12</v>
      </c>
      <c r="R2474" s="2" t="n">
        <v>2</v>
      </c>
      <c r="S2474" s="2" t="n">
        <v>7</v>
      </c>
      <c r="T2474" s="2" t="n">
        <v>0</v>
      </c>
      <c r="U2474" s="2" t="n">
        <v>7</v>
      </c>
      <c r="V2474" s="2" t="n">
        <v>2</v>
      </c>
      <c r="W2474" s="2" t="n">
        <v>2</v>
      </c>
      <c r="X2474" s="2" t="n">
        <v>3</v>
      </c>
      <c r="Y2474" s="2" t="n">
        <v>3</v>
      </c>
      <c r="Z2474" s="2" t="n">
        <v>3</v>
      </c>
    </row>
    <row r="2475" customFormat="false" ht="15" hidden="false" customHeight="true" outlineLevel="0" collapsed="false">
      <c r="A2475" s="2" t="n">
        <v>38</v>
      </c>
      <c r="B2475" s="2" t="s">
        <v>26</v>
      </c>
      <c r="C2475" s="2" t="s">
        <v>27</v>
      </c>
      <c r="D2475" s="2" t="s">
        <v>35</v>
      </c>
      <c r="E2475" s="2" t="n">
        <v>8</v>
      </c>
      <c r="F2475" s="2" t="n">
        <v>2</v>
      </c>
      <c r="G2475" s="2" t="s">
        <v>51</v>
      </c>
      <c r="H2475" s="2" t="n">
        <v>2474</v>
      </c>
      <c r="I2475" s="2" t="s">
        <v>30</v>
      </c>
      <c r="J2475" s="2" t="n">
        <v>1</v>
      </c>
      <c r="K2475" s="2" t="s">
        <v>47</v>
      </c>
      <c r="L2475" s="2" t="s">
        <v>32</v>
      </c>
      <c r="M2475" s="2" t="n">
        <v>25140</v>
      </c>
      <c r="N2475" s="2" t="n">
        <v>3</v>
      </c>
      <c r="O2475" s="2" t="n">
        <v>11</v>
      </c>
      <c r="P2475" s="2" t="n">
        <v>0</v>
      </c>
      <c r="Q2475" s="2" t="n">
        <v>15</v>
      </c>
      <c r="R2475" s="2" t="n">
        <v>2</v>
      </c>
      <c r="S2475" s="2" t="n">
        <v>1</v>
      </c>
      <c r="T2475" s="2" t="n">
        <v>1</v>
      </c>
      <c r="U2475" s="2" t="n">
        <v>0</v>
      </c>
      <c r="V2475" s="2" t="n">
        <v>2</v>
      </c>
      <c r="W2475" s="2" t="n">
        <v>4</v>
      </c>
      <c r="X2475" s="2" t="n">
        <v>3</v>
      </c>
      <c r="Y2475" s="2" t="n">
        <v>2</v>
      </c>
      <c r="Z2475" s="2" t="n">
        <v>3</v>
      </c>
    </row>
    <row r="2476" customFormat="false" ht="15" hidden="false" customHeight="true" outlineLevel="0" collapsed="false">
      <c r="A2476" s="2" t="n">
        <v>43</v>
      </c>
      <c r="B2476" s="2" t="s">
        <v>33</v>
      </c>
      <c r="C2476" s="2" t="s">
        <v>34</v>
      </c>
      <c r="D2476" s="2" t="s">
        <v>35</v>
      </c>
      <c r="E2476" s="2" t="n">
        <v>1</v>
      </c>
      <c r="F2476" s="2" t="n">
        <v>4</v>
      </c>
      <c r="G2476" s="2" t="s">
        <v>38</v>
      </c>
      <c r="H2476" s="2" t="n">
        <v>2475</v>
      </c>
      <c r="I2476" s="2" t="s">
        <v>39</v>
      </c>
      <c r="J2476" s="2" t="n">
        <v>3</v>
      </c>
      <c r="K2476" s="2" t="s">
        <v>40</v>
      </c>
      <c r="L2476" s="2" t="s">
        <v>32</v>
      </c>
      <c r="M2476" s="2" t="n">
        <v>76550</v>
      </c>
      <c r="N2476" s="2" t="n">
        <v>9</v>
      </c>
      <c r="O2476" s="2" t="n">
        <v>12</v>
      </c>
      <c r="P2476" s="2" t="n">
        <v>1</v>
      </c>
      <c r="Q2476" s="2" t="n">
        <v>6</v>
      </c>
      <c r="R2476" s="2" t="n">
        <v>3</v>
      </c>
      <c r="S2476" s="2" t="n">
        <v>1</v>
      </c>
      <c r="T2476" s="2" t="n">
        <v>0</v>
      </c>
      <c r="U2476" s="2" t="n">
        <v>0</v>
      </c>
      <c r="V2476" s="2" t="n">
        <v>3</v>
      </c>
      <c r="W2476" s="2" t="n">
        <v>3</v>
      </c>
      <c r="X2476" s="2" t="n">
        <v>3</v>
      </c>
      <c r="Y2476" s="2" t="n">
        <v>3</v>
      </c>
      <c r="Z2476" s="2" t="n">
        <v>3</v>
      </c>
    </row>
    <row r="2477" customFormat="false" ht="15" hidden="false" customHeight="true" outlineLevel="0" collapsed="false">
      <c r="A2477" s="2" t="n">
        <v>42</v>
      </c>
      <c r="B2477" s="2" t="s">
        <v>26</v>
      </c>
      <c r="C2477" s="2" t="s">
        <v>27</v>
      </c>
      <c r="D2477" s="2" t="s">
        <v>42</v>
      </c>
      <c r="E2477" s="2" t="n">
        <v>1</v>
      </c>
      <c r="F2477" s="2" t="n">
        <v>3</v>
      </c>
      <c r="G2477" s="2" t="s">
        <v>38</v>
      </c>
      <c r="H2477" s="2" t="n">
        <v>2476</v>
      </c>
      <c r="I2477" s="2" t="s">
        <v>30</v>
      </c>
      <c r="J2477" s="2" t="n">
        <v>1</v>
      </c>
      <c r="K2477" s="2" t="s">
        <v>31</v>
      </c>
      <c r="L2477" s="2" t="s">
        <v>46</v>
      </c>
      <c r="M2477" s="2" t="n">
        <v>174650</v>
      </c>
      <c r="N2477" s="2" t="n">
        <v>8</v>
      </c>
      <c r="O2477" s="2" t="n">
        <v>13</v>
      </c>
      <c r="P2477" s="2" t="n">
        <v>1</v>
      </c>
      <c r="Q2477" s="2" t="n">
        <v>7</v>
      </c>
      <c r="R2477" s="2" t="n">
        <v>3</v>
      </c>
      <c r="S2477" s="2" t="n">
        <v>5</v>
      </c>
      <c r="T2477" s="2" t="n">
        <v>0</v>
      </c>
      <c r="U2477" s="2" t="n">
        <v>4</v>
      </c>
      <c r="V2477" s="2" t="n">
        <v>2</v>
      </c>
      <c r="W2477" s="2" t="n">
        <v>2</v>
      </c>
      <c r="X2477" s="2" t="n">
        <v>2</v>
      </c>
      <c r="Y2477" s="2" t="n">
        <v>3</v>
      </c>
      <c r="Z2477" s="2" t="n">
        <v>3</v>
      </c>
    </row>
    <row r="2478" customFormat="false" ht="15" hidden="false" customHeight="true" outlineLevel="0" collapsed="false">
      <c r="A2478" s="2" t="n">
        <v>55</v>
      </c>
      <c r="B2478" s="2" t="s">
        <v>26</v>
      </c>
      <c r="C2478" s="2" t="s">
        <v>27</v>
      </c>
      <c r="D2478" s="2" t="s">
        <v>35</v>
      </c>
      <c r="E2478" s="2" t="n">
        <v>3</v>
      </c>
      <c r="F2478" s="2" t="n">
        <v>2</v>
      </c>
      <c r="G2478" s="2" t="s">
        <v>29</v>
      </c>
      <c r="H2478" s="2" t="n">
        <v>2477</v>
      </c>
      <c r="I2478" s="2" t="s">
        <v>30</v>
      </c>
      <c r="J2478" s="2" t="n">
        <v>1</v>
      </c>
      <c r="K2478" s="2" t="s">
        <v>40</v>
      </c>
      <c r="L2478" s="2" t="s">
        <v>32</v>
      </c>
      <c r="M2478" s="2" t="n">
        <v>73510</v>
      </c>
      <c r="N2478" s="2" t="n">
        <v>8</v>
      </c>
      <c r="O2478" s="2" t="n">
        <v>20</v>
      </c>
      <c r="P2478" s="2" t="n">
        <v>1</v>
      </c>
      <c r="Q2478" s="2" t="n">
        <v>34</v>
      </c>
      <c r="R2478" s="2" t="n">
        <v>3</v>
      </c>
      <c r="S2478" s="2" t="n">
        <v>1</v>
      </c>
      <c r="T2478" s="2" t="n">
        <v>0</v>
      </c>
      <c r="U2478" s="2" t="n">
        <v>0</v>
      </c>
      <c r="V2478" s="2" t="n">
        <v>3</v>
      </c>
      <c r="W2478" s="2"/>
      <c r="X2478" s="2" t="n">
        <v>3</v>
      </c>
      <c r="Y2478" s="2" t="n">
        <v>3</v>
      </c>
      <c r="Z2478" s="2" t="n">
        <v>4</v>
      </c>
    </row>
    <row r="2479" customFormat="false" ht="15" hidden="false" customHeight="true" outlineLevel="0" collapsed="false">
      <c r="A2479" s="2" t="n">
        <v>33</v>
      </c>
      <c r="B2479" s="2" t="s">
        <v>26</v>
      </c>
      <c r="C2479" s="2" t="s">
        <v>41</v>
      </c>
      <c r="D2479" s="2" t="s">
        <v>35</v>
      </c>
      <c r="E2479" s="2" t="n">
        <v>14</v>
      </c>
      <c r="F2479" s="2" t="n">
        <v>3</v>
      </c>
      <c r="G2479" s="2" t="s">
        <v>38</v>
      </c>
      <c r="H2479" s="2" t="n">
        <v>2478</v>
      </c>
      <c r="I2479" s="2" t="s">
        <v>39</v>
      </c>
      <c r="J2479" s="2" t="n">
        <v>1</v>
      </c>
      <c r="K2479" s="2" t="s">
        <v>36</v>
      </c>
      <c r="L2479" s="2" t="s">
        <v>46</v>
      </c>
      <c r="M2479" s="2" t="n">
        <v>108200</v>
      </c>
      <c r="N2479" s="2" t="n">
        <v>5</v>
      </c>
      <c r="O2479" s="2" t="n">
        <v>12</v>
      </c>
      <c r="P2479" s="2" t="n">
        <v>0</v>
      </c>
      <c r="Q2479" s="2" t="n">
        <v>11</v>
      </c>
      <c r="R2479" s="2" t="n">
        <v>2</v>
      </c>
      <c r="S2479" s="2" t="n">
        <v>9</v>
      </c>
      <c r="T2479" s="2" t="n">
        <v>1</v>
      </c>
      <c r="U2479" s="2" t="n">
        <v>7</v>
      </c>
      <c r="V2479" s="2" t="n">
        <v>4</v>
      </c>
      <c r="W2479" s="2" t="n">
        <v>2</v>
      </c>
      <c r="X2479" s="2" t="n">
        <v>2</v>
      </c>
      <c r="Y2479" s="2" t="n">
        <v>3</v>
      </c>
      <c r="Z2479" s="2" t="n">
        <v>3</v>
      </c>
    </row>
    <row r="2480" customFormat="false" ht="15" hidden="false" customHeight="true" outlineLevel="0" collapsed="false">
      <c r="A2480" s="2" t="n">
        <v>41</v>
      </c>
      <c r="B2480" s="2" t="s">
        <v>26</v>
      </c>
      <c r="C2480" s="2" t="s">
        <v>27</v>
      </c>
      <c r="D2480" s="2" t="s">
        <v>35</v>
      </c>
      <c r="E2480" s="2" t="n">
        <v>5</v>
      </c>
      <c r="F2480" s="2" t="n">
        <v>3</v>
      </c>
      <c r="G2480" s="2" t="s">
        <v>43</v>
      </c>
      <c r="H2480" s="2" t="n">
        <v>2479</v>
      </c>
      <c r="I2480" s="2" t="s">
        <v>39</v>
      </c>
      <c r="J2480" s="2" t="n">
        <v>1</v>
      </c>
      <c r="K2480" s="2" t="s">
        <v>48</v>
      </c>
      <c r="L2480" s="2" t="s">
        <v>46</v>
      </c>
      <c r="M2480" s="2" t="n">
        <v>121690</v>
      </c>
      <c r="N2480" s="2" t="n">
        <v>1</v>
      </c>
      <c r="O2480" s="2" t="n">
        <v>19</v>
      </c>
      <c r="P2480" s="2" t="n">
        <v>0</v>
      </c>
      <c r="Q2480" s="2" t="n">
        <v>5</v>
      </c>
      <c r="R2480" s="2" t="n">
        <v>2</v>
      </c>
      <c r="S2480" s="2" t="n">
        <v>5</v>
      </c>
      <c r="T2480" s="2" t="n">
        <v>0</v>
      </c>
      <c r="U2480" s="2" t="n">
        <v>4</v>
      </c>
      <c r="V2480" s="2" t="n">
        <v>3</v>
      </c>
      <c r="W2480" s="2" t="n">
        <v>1</v>
      </c>
      <c r="X2480" s="2"/>
      <c r="Y2480" s="2" t="n">
        <v>3</v>
      </c>
      <c r="Z2480" s="2" t="n">
        <v>3</v>
      </c>
    </row>
    <row r="2481" customFormat="false" ht="15" hidden="false" customHeight="true" outlineLevel="0" collapsed="false">
      <c r="A2481" s="2" t="n">
        <v>34</v>
      </c>
      <c r="B2481" s="2" t="s">
        <v>26</v>
      </c>
      <c r="C2481" s="2" t="s">
        <v>41</v>
      </c>
      <c r="D2481" s="2" t="s">
        <v>35</v>
      </c>
      <c r="E2481" s="2" t="n">
        <v>7</v>
      </c>
      <c r="F2481" s="2" t="n">
        <v>4</v>
      </c>
      <c r="G2481" s="2" t="s">
        <v>43</v>
      </c>
      <c r="H2481" s="2" t="n">
        <v>2480</v>
      </c>
      <c r="I2481" s="2" t="s">
        <v>30</v>
      </c>
      <c r="J2481" s="2" t="n">
        <v>1</v>
      </c>
      <c r="K2481" s="2" t="s">
        <v>36</v>
      </c>
      <c r="L2481" s="2" t="s">
        <v>46</v>
      </c>
      <c r="M2481" s="2" t="n">
        <v>196260</v>
      </c>
      <c r="N2481" s="2" t="n">
        <v>1</v>
      </c>
      <c r="O2481" s="2" t="n">
        <v>21</v>
      </c>
      <c r="P2481" s="2" t="n">
        <v>0</v>
      </c>
      <c r="Q2481" s="2" t="n">
        <v>15</v>
      </c>
      <c r="R2481" s="2" t="n">
        <v>5</v>
      </c>
      <c r="S2481" s="2" t="n">
        <v>15</v>
      </c>
      <c r="T2481" s="2" t="n">
        <v>0</v>
      </c>
      <c r="U2481" s="2" t="n">
        <v>7</v>
      </c>
      <c r="V2481" s="2" t="n">
        <v>4</v>
      </c>
      <c r="W2481" s="2" t="n">
        <v>3</v>
      </c>
      <c r="X2481" s="2" t="n">
        <v>3</v>
      </c>
      <c r="Y2481" s="2" t="n">
        <v>2</v>
      </c>
      <c r="Z2481" s="2" t="n">
        <v>4</v>
      </c>
    </row>
    <row r="2482" customFormat="false" ht="15" hidden="false" customHeight="true" outlineLevel="0" collapsed="false">
      <c r="A2482" s="2" t="n">
        <v>53</v>
      </c>
      <c r="B2482" s="2" t="s">
        <v>26</v>
      </c>
      <c r="C2482" s="2" t="s">
        <v>41</v>
      </c>
      <c r="D2482" s="2" t="s">
        <v>35</v>
      </c>
      <c r="E2482" s="2" t="n">
        <v>10</v>
      </c>
      <c r="F2482" s="2" t="n">
        <v>4</v>
      </c>
      <c r="G2482" s="2" t="s">
        <v>43</v>
      </c>
      <c r="H2482" s="2" t="n">
        <v>2481</v>
      </c>
      <c r="I2482" s="2" t="s">
        <v>39</v>
      </c>
      <c r="J2482" s="2" t="n">
        <v>2</v>
      </c>
      <c r="K2482" s="2" t="s">
        <v>31</v>
      </c>
      <c r="L2482" s="2" t="s">
        <v>32</v>
      </c>
      <c r="M2482" s="2" t="n">
        <v>20700</v>
      </c>
      <c r="N2482" s="2" t="n">
        <v>4</v>
      </c>
      <c r="O2482" s="2" t="n">
        <v>13</v>
      </c>
      <c r="P2482" s="2" t="n">
        <v>2</v>
      </c>
      <c r="Q2482" s="2" t="n">
        <v>27</v>
      </c>
      <c r="R2482" s="2" t="n">
        <v>2</v>
      </c>
      <c r="S2482" s="2" t="n">
        <v>3</v>
      </c>
      <c r="T2482" s="2" t="n">
        <v>0</v>
      </c>
      <c r="U2482" s="2" t="n">
        <v>2</v>
      </c>
      <c r="V2482" s="2" t="n">
        <v>1</v>
      </c>
      <c r="W2482" s="2" t="n">
        <v>3</v>
      </c>
      <c r="X2482" s="2" t="n">
        <v>2</v>
      </c>
      <c r="Y2482" s="2" t="n">
        <v>4</v>
      </c>
      <c r="Z2482" s="2" t="n">
        <v>3</v>
      </c>
    </row>
    <row r="2483" customFormat="false" ht="15" hidden="false" customHeight="true" outlineLevel="0" collapsed="false">
      <c r="A2483" s="2" t="n">
        <v>43</v>
      </c>
      <c r="B2483" s="2" t="s">
        <v>26</v>
      </c>
      <c r="C2483" s="2" t="s">
        <v>27</v>
      </c>
      <c r="D2483" s="2" t="s">
        <v>28</v>
      </c>
      <c r="E2483" s="2" t="n">
        <v>16</v>
      </c>
      <c r="F2483" s="2" t="n">
        <v>2</v>
      </c>
      <c r="G2483" s="2" t="s">
        <v>50</v>
      </c>
      <c r="H2483" s="2" t="n">
        <v>2482</v>
      </c>
      <c r="I2483" s="2" t="s">
        <v>30</v>
      </c>
      <c r="J2483" s="2" t="n">
        <v>1</v>
      </c>
      <c r="K2483" s="2" t="s">
        <v>45</v>
      </c>
      <c r="L2483" s="2" t="s">
        <v>37</v>
      </c>
      <c r="M2483" s="2" t="n">
        <v>67820</v>
      </c>
      <c r="N2483" s="2" t="n">
        <v>0</v>
      </c>
      <c r="O2483" s="2" t="n">
        <v>16</v>
      </c>
      <c r="P2483" s="2" t="n">
        <v>1</v>
      </c>
      <c r="Q2483" s="2" t="n">
        <v>10</v>
      </c>
      <c r="R2483" s="2" t="n">
        <v>2</v>
      </c>
      <c r="S2483" s="2" t="n">
        <v>9</v>
      </c>
      <c r="T2483" s="2" t="n">
        <v>1</v>
      </c>
      <c r="U2483" s="2" t="n">
        <v>8</v>
      </c>
      <c r="V2483" s="2" t="n">
        <v>2</v>
      </c>
      <c r="W2483" s="2" t="n">
        <v>4</v>
      </c>
      <c r="X2483" s="2" t="n">
        <v>3</v>
      </c>
      <c r="Y2483" s="2" t="n">
        <v>3</v>
      </c>
      <c r="Z2483" s="2" t="n">
        <v>3</v>
      </c>
    </row>
    <row r="2484" customFormat="false" ht="15" hidden="false" customHeight="true" outlineLevel="0" collapsed="false">
      <c r="A2484" s="2" t="n">
        <v>34</v>
      </c>
      <c r="B2484" s="2" t="s">
        <v>26</v>
      </c>
      <c r="C2484" s="2" t="s">
        <v>27</v>
      </c>
      <c r="D2484" s="2" t="s">
        <v>28</v>
      </c>
      <c r="E2484" s="2" t="n">
        <v>10</v>
      </c>
      <c r="F2484" s="2" t="n">
        <v>2</v>
      </c>
      <c r="G2484" s="2" t="s">
        <v>29</v>
      </c>
      <c r="H2484" s="2" t="n">
        <v>2483</v>
      </c>
      <c r="I2484" s="2" t="s">
        <v>30</v>
      </c>
      <c r="J2484" s="2" t="n">
        <v>5</v>
      </c>
      <c r="K2484" s="2" t="s">
        <v>40</v>
      </c>
      <c r="L2484" s="2" t="s">
        <v>37</v>
      </c>
      <c r="M2484" s="2" t="n">
        <v>77790</v>
      </c>
      <c r="N2484" s="2" t="n">
        <v>5</v>
      </c>
      <c r="O2484" s="2" t="n">
        <v>12</v>
      </c>
      <c r="P2484" s="2" t="n">
        <v>1</v>
      </c>
      <c r="Q2484" s="2" t="n">
        <v>6</v>
      </c>
      <c r="R2484" s="2" t="n">
        <v>2</v>
      </c>
      <c r="S2484" s="2" t="n">
        <v>2</v>
      </c>
      <c r="T2484" s="2" t="n">
        <v>2</v>
      </c>
      <c r="U2484" s="2" t="n">
        <v>2</v>
      </c>
      <c r="V2484" s="2" t="n">
        <v>4</v>
      </c>
      <c r="W2484" s="2" t="n">
        <v>4</v>
      </c>
      <c r="X2484" s="2" t="n">
        <v>3</v>
      </c>
      <c r="Y2484" s="2" t="n">
        <v>3</v>
      </c>
      <c r="Z2484" s="2" t="n">
        <v>3</v>
      </c>
    </row>
    <row r="2485" customFormat="false" ht="15" hidden="false" customHeight="true" outlineLevel="0" collapsed="false">
      <c r="A2485" s="2" t="n">
        <v>21</v>
      </c>
      <c r="B2485" s="2" t="s">
        <v>33</v>
      </c>
      <c r="C2485" s="2" t="s">
        <v>27</v>
      </c>
      <c r="D2485" s="2" t="s">
        <v>28</v>
      </c>
      <c r="E2485" s="2" t="n">
        <v>1</v>
      </c>
      <c r="F2485" s="2" t="n">
        <v>2</v>
      </c>
      <c r="G2485" s="2" t="s">
        <v>50</v>
      </c>
      <c r="H2485" s="2" t="n">
        <v>2484</v>
      </c>
      <c r="I2485" s="2" t="s">
        <v>39</v>
      </c>
      <c r="J2485" s="2" t="n">
        <v>5</v>
      </c>
      <c r="K2485" s="2" t="s">
        <v>31</v>
      </c>
      <c r="L2485" s="2" t="s">
        <v>37</v>
      </c>
      <c r="M2485" s="2" t="n">
        <v>27910</v>
      </c>
      <c r="N2485" s="2" t="n">
        <v>1</v>
      </c>
      <c r="O2485" s="2" t="n">
        <v>14</v>
      </c>
      <c r="P2485" s="2" t="n">
        <v>0</v>
      </c>
      <c r="Q2485" s="2" t="n">
        <v>1</v>
      </c>
      <c r="R2485" s="2" t="n">
        <v>3</v>
      </c>
      <c r="S2485" s="2" t="n">
        <v>1</v>
      </c>
      <c r="T2485" s="2" t="n">
        <v>1</v>
      </c>
      <c r="U2485" s="2" t="n">
        <v>0</v>
      </c>
      <c r="V2485" s="2" t="n">
        <v>2</v>
      </c>
      <c r="W2485" s="2" t="n">
        <v>2</v>
      </c>
      <c r="X2485" s="2" t="n">
        <v>3</v>
      </c>
      <c r="Y2485" s="2" t="n">
        <v>4</v>
      </c>
      <c r="Z2485" s="2" t="n">
        <v>3</v>
      </c>
    </row>
    <row r="2486" customFormat="false" ht="15" hidden="false" customHeight="true" outlineLevel="0" collapsed="false">
      <c r="A2486" s="2" t="n">
        <v>38</v>
      </c>
      <c r="B2486" s="2" t="s">
        <v>26</v>
      </c>
      <c r="C2486" s="2" t="s">
        <v>27</v>
      </c>
      <c r="D2486" s="2" t="s">
        <v>35</v>
      </c>
      <c r="E2486" s="2" t="n">
        <v>8</v>
      </c>
      <c r="F2486" s="2" t="n">
        <v>2</v>
      </c>
      <c r="G2486" s="2" t="s">
        <v>29</v>
      </c>
      <c r="H2486" s="2" t="n">
        <v>2485</v>
      </c>
      <c r="I2486" s="2" t="s">
        <v>30</v>
      </c>
      <c r="J2486" s="2" t="n">
        <v>2</v>
      </c>
      <c r="K2486" s="2" t="s">
        <v>40</v>
      </c>
      <c r="L2486" s="2" t="s">
        <v>32</v>
      </c>
      <c r="M2486" s="2" t="n">
        <v>32010</v>
      </c>
      <c r="N2486" s="2" t="n">
        <v>1</v>
      </c>
      <c r="O2486" s="2" t="n">
        <v>11</v>
      </c>
      <c r="P2486" s="2" t="n">
        <v>1</v>
      </c>
      <c r="Q2486" s="2" t="n">
        <v>5</v>
      </c>
      <c r="R2486" s="2" t="n">
        <v>3</v>
      </c>
      <c r="S2486" s="2" t="n">
        <v>5</v>
      </c>
      <c r="T2486" s="2" t="n">
        <v>0</v>
      </c>
      <c r="U2486" s="2" t="n">
        <v>4</v>
      </c>
      <c r="V2486" s="2" t="n">
        <v>4</v>
      </c>
      <c r="W2486" s="2" t="n">
        <v>3</v>
      </c>
      <c r="X2486" s="2" t="n">
        <v>3</v>
      </c>
      <c r="Y2486" s="2" t="n">
        <v>2</v>
      </c>
      <c r="Z2486" s="2" t="n">
        <v>3</v>
      </c>
    </row>
    <row r="2487" customFormat="false" ht="15" hidden="false" customHeight="true" outlineLevel="0" collapsed="false">
      <c r="A2487" s="2" t="n">
        <v>22</v>
      </c>
      <c r="B2487" s="2" t="s">
        <v>33</v>
      </c>
      <c r="C2487" s="2" t="s">
        <v>27</v>
      </c>
      <c r="D2487" s="2" t="s">
        <v>35</v>
      </c>
      <c r="E2487" s="2" t="n">
        <v>1</v>
      </c>
      <c r="F2487" s="2" t="n">
        <v>3</v>
      </c>
      <c r="G2487" s="2" t="s">
        <v>38</v>
      </c>
      <c r="H2487" s="2" t="n">
        <v>2486</v>
      </c>
      <c r="I2487" s="2" t="s">
        <v>39</v>
      </c>
      <c r="J2487" s="2" t="n">
        <v>4</v>
      </c>
      <c r="K2487" s="2" t="s">
        <v>36</v>
      </c>
      <c r="L2487" s="2" t="s">
        <v>32</v>
      </c>
      <c r="M2487" s="2" t="n">
        <v>49680</v>
      </c>
      <c r="N2487" s="2" t="n">
        <v>1</v>
      </c>
      <c r="O2487" s="2" t="n">
        <v>14</v>
      </c>
      <c r="P2487" s="2" t="n">
        <v>0</v>
      </c>
      <c r="Q2487" s="2" t="n">
        <v>1</v>
      </c>
      <c r="R2487" s="2" t="n">
        <v>3</v>
      </c>
      <c r="S2487" s="2" t="n">
        <v>1</v>
      </c>
      <c r="T2487" s="2" t="n">
        <v>0</v>
      </c>
      <c r="U2487" s="2" t="n">
        <v>0</v>
      </c>
      <c r="V2487" s="2" t="n">
        <v>3</v>
      </c>
      <c r="W2487" s="2" t="n">
        <v>1</v>
      </c>
      <c r="X2487" s="2" t="n">
        <v>3</v>
      </c>
      <c r="Y2487" s="2" t="n">
        <v>3</v>
      </c>
      <c r="Z2487" s="2" t="n">
        <v>3</v>
      </c>
    </row>
    <row r="2488" customFormat="false" ht="15" hidden="false" customHeight="true" outlineLevel="0" collapsed="false">
      <c r="A2488" s="2" t="n">
        <v>31</v>
      </c>
      <c r="B2488" s="2" t="s">
        <v>26</v>
      </c>
      <c r="C2488" s="2" t="s">
        <v>27</v>
      </c>
      <c r="D2488" s="2" t="s">
        <v>35</v>
      </c>
      <c r="E2488" s="2" t="n">
        <v>8</v>
      </c>
      <c r="F2488" s="2" t="n">
        <v>5</v>
      </c>
      <c r="G2488" s="2" t="s">
        <v>29</v>
      </c>
      <c r="H2488" s="2" t="n">
        <v>2487</v>
      </c>
      <c r="I2488" s="2" t="s">
        <v>39</v>
      </c>
      <c r="J2488" s="2" t="n">
        <v>5</v>
      </c>
      <c r="K2488" s="2" t="s">
        <v>40</v>
      </c>
      <c r="L2488" s="2" t="s">
        <v>32</v>
      </c>
      <c r="M2488" s="2" t="n">
        <v>131200</v>
      </c>
      <c r="N2488" s="2" t="n">
        <v>1</v>
      </c>
      <c r="O2488" s="2" t="n">
        <v>12</v>
      </c>
      <c r="P2488" s="2" t="n">
        <v>2</v>
      </c>
      <c r="Q2488" s="2" t="n">
        <v>13</v>
      </c>
      <c r="R2488" s="2" t="n">
        <v>6</v>
      </c>
      <c r="S2488" s="2" t="n">
        <v>12</v>
      </c>
      <c r="T2488" s="2" t="n">
        <v>5</v>
      </c>
      <c r="U2488" s="2" t="n">
        <v>7</v>
      </c>
      <c r="V2488" s="2" t="n">
        <v>1</v>
      </c>
      <c r="W2488" s="2" t="n">
        <v>4</v>
      </c>
      <c r="X2488" s="2" t="n">
        <v>3</v>
      </c>
      <c r="Y2488" s="2" t="n">
        <v>2</v>
      </c>
      <c r="Z2488" s="2" t="n">
        <v>3</v>
      </c>
    </row>
    <row r="2489" customFormat="false" ht="15" hidden="false" customHeight="true" outlineLevel="0" collapsed="false">
      <c r="A2489" s="2" t="n">
        <v>51</v>
      </c>
      <c r="B2489" s="2" t="s">
        <v>26</v>
      </c>
      <c r="C2489" s="2" t="s">
        <v>27</v>
      </c>
      <c r="D2489" s="2" t="s">
        <v>35</v>
      </c>
      <c r="E2489" s="2" t="n">
        <v>1</v>
      </c>
      <c r="F2489" s="2" t="n">
        <v>4</v>
      </c>
      <c r="G2489" s="2" t="s">
        <v>29</v>
      </c>
      <c r="H2489" s="2" t="n">
        <v>2488</v>
      </c>
      <c r="I2489" s="2" t="s">
        <v>30</v>
      </c>
      <c r="J2489" s="2" t="n">
        <v>1</v>
      </c>
      <c r="K2489" s="2" t="s">
        <v>49</v>
      </c>
      <c r="L2489" s="2" t="s">
        <v>32</v>
      </c>
      <c r="M2489" s="2" t="n">
        <v>40330</v>
      </c>
      <c r="N2489" s="2" t="n">
        <v>2</v>
      </c>
      <c r="O2489" s="2" t="n">
        <v>14</v>
      </c>
      <c r="P2489" s="2" t="n">
        <v>0</v>
      </c>
      <c r="Q2489" s="2" t="n">
        <v>15</v>
      </c>
      <c r="R2489" s="2" t="n">
        <v>2</v>
      </c>
      <c r="S2489" s="2" t="n">
        <v>2</v>
      </c>
      <c r="T2489" s="2" t="n">
        <v>2</v>
      </c>
      <c r="U2489" s="2" t="n">
        <v>2</v>
      </c>
      <c r="V2489" s="2" t="n">
        <v>1</v>
      </c>
      <c r="W2489" s="2" t="n">
        <v>3</v>
      </c>
      <c r="X2489" s="2" t="n">
        <v>3</v>
      </c>
      <c r="Y2489" s="2" t="n">
        <v>3</v>
      </c>
      <c r="Z2489" s="2" t="n">
        <v>3</v>
      </c>
    </row>
    <row r="2490" customFormat="false" ht="15" hidden="false" customHeight="true" outlineLevel="0" collapsed="false">
      <c r="A2490" s="2" t="n">
        <v>37</v>
      </c>
      <c r="B2490" s="2" t="s">
        <v>26</v>
      </c>
      <c r="C2490" s="2" t="s">
        <v>27</v>
      </c>
      <c r="D2490" s="2" t="s">
        <v>35</v>
      </c>
      <c r="E2490" s="2" t="n">
        <v>24</v>
      </c>
      <c r="F2490" s="2" t="n">
        <v>1</v>
      </c>
      <c r="G2490" s="2" t="s">
        <v>29</v>
      </c>
      <c r="H2490" s="2" t="n">
        <v>2489</v>
      </c>
      <c r="I2490" s="2" t="s">
        <v>39</v>
      </c>
      <c r="J2490" s="2" t="n">
        <v>2</v>
      </c>
      <c r="K2490" s="2" t="s">
        <v>40</v>
      </c>
      <c r="L2490" s="2" t="s">
        <v>32</v>
      </c>
      <c r="M2490" s="2" t="n">
        <v>32910</v>
      </c>
      <c r="N2490" s="2" t="n">
        <v>1</v>
      </c>
      <c r="O2490" s="2" t="n">
        <v>16</v>
      </c>
      <c r="P2490" s="2" t="n">
        <v>3</v>
      </c>
      <c r="Q2490" s="2" t="n">
        <v>5</v>
      </c>
      <c r="R2490" s="2" t="n">
        <v>2</v>
      </c>
      <c r="S2490" s="2" t="n">
        <v>5</v>
      </c>
      <c r="T2490" s="2" t="n">
        <v>0</v>
      </c>
      <c r="U2490" s="2" t="n">
        <v>3</v>
      </c>
      <c r="V2490" s="2" t="n">
        <v>2</v>
      </c>
      <c r="W2490" s="2" t="n">
        <v>2</v>
      </c>
      <c r="X2490" s="2" t="n">
        <v>3</v>
      </c>
      <c r="Y2490" s="2" t="n">
        <v>2</v>
      </c>
      <c r="Z2490" s="2" t="n">
        <v>3</v>
      </c>
    </row>
    <row r="2491" customFormat="false" ht="15" hidden="false" customHeight="true" outlineLevel="0" collapsed="false">
      <c r="A2491" s="2" t="n">
        <v>46</v>
      </c>
      <c r="B2491" s="2" t="s">
        <v>26</v>
      </c>
      <c r="C2491" s="2" t="s">
        <v>27</v>
      </c>
      <c r="D2491" s="2" t="s">
        <v>28</v>
      </c>
      <c r="E2491" s="2" t="n">
        <v>3</v>
      </c>
      <c r="F2491" s="2" t="n">
        <v>4</v>
      </c>
      <c r="G2491" s="2" t="s">
        <v>50</v>
      </c>
      <c r="H2491" s="2" t="n">
        <v>2490</v>
      </c>
      <c r="I2491" s="2" t="s">
        <v>30</v>
      </c>
      <c r="J2491" s="2" t="n">
        <v>1</v>
      </c>
      <c r="K2491" s="2" t="s">
        <v>48</v>
      </c>
      <c r="L2491" s="2" t="s">
        <v>46</v>
      </c>
      <c r="M2491" s="2" t="n">
        <v>42720</v>
      </c>
      <c r="N2491" s="2" t="n">
        <v>7</v>
      </c>
      <c r="O2491" s="2" t="n">
        <v>13</v>
      </c>
      <c r="P2491" s="2" t="n">
        <v>0</v>
      </c>
      <c r="Q2491" s="2" t="n">
        <v>24</v>
      </c>
      <c r="R2491" s="2" t="n">
        <v>3</v>
      </c>
      <c r="S2491" s="2" t="n">
        <v>2</v>
      </c>
      <c r="T2491" s="2" t="n">
        <v>2</v>
      </c>
      <c r="U2491" s="2" t="n">
        <v>2</v>
      </c>
      <c r="V2491" s="2" t="n">
        <v>3</v>
      </c>
      <c r="W2491" s="2" t="n">
        <v>4</v>
      </c>
      <c r="X2491" s="2" t="n">
        <v>3</v>
      </c>
      <c r="Y2491" s="2" t="n">
        <v>4</v>
      </c>
      <c r="Z2491" s="2" t="n">
        <v>3</v>
      </c>
    </row>
    <row r="2492" customFormat="false" ht="15" hidden="false" customHeight="true" outlineLevel="0" collapsed="false">
      <c r="A2492" s="2" t="n">
        <v>36</v>
      </c>
      <c r="B2492" s="2" t="s">
        <v>26</v>
      </c>
      <c r="C2492" s="2" t="s">
        <v>27</v>
      </c>
      <c r="D2492" s="2" t="s">
        <v>35</v>
      </c>
      <c r="E2492" s="2" t="n">
        <v>27</v>
      </c>
      <c r="F2492" s="2" t="n">
        <v>3</v>
      </c>
      <c r="G2492" s="2" t="s">
        <v>51</v>
      </c>
      <c r="H2492" s="2" t="n">
        <v>2491</v>
      </c>
      <c r="I2492" s="2" t="s">
        <v>30</v>
      </c>
      <c r="J2492" s="2" t="n">
        <v>4</v>
      </c>
      <c r="K2492" s="2" t="s">
        <v>36</v>
      </c>
      <c r="L2492" s="2" t="s">
        <v>32</v>
      </c>
      <c r="M2492" s="2" t="n">
        <v>50560</v>
      </c>
      <c r="N2492" s="2" t="n">
        <v>7</v>
      </c>
      <c r="O2492" s="2" t="n">
        <v>12</v>
      </c>
      <c r="P2492" s="2" t="n">
        <v>0</v>
      </c>
      <c r="Q2492" s="2" t="n">
        <v>15</v>
      </c>
      <c r="R2492" s="2" t="n">
        <v>2</v>
      </c>
      <c r="S2492" s="2" t="n">
        <v>12</v>
      </c>
      <c r="T2492" s="2" t="n">
        <v>5</v>
      </c>
      <c r="U2492" s="2" t="n">
        <v>7</v>
      </c>
      <c r="V2492" s="2" t="n">
        <v>4</v>
      </c>
      <c r="W2492" s="2" t="n">
        <v>1</v>
      </c>
      <c r="X2492" s="2" t="n">
        <v>3</v>
      </c>
      <c r="Y2492" s="2" t="n">
        <v>2</v>
      </c>
      <c r="Z2492" s="2" t="n">
        <v>3</v>
      </c>
    </row>
    <row r="2493" customFormat="false" ht="15" hidden="false" customHeight="true" outlineLevel="0" collapsed="false">
      <c r="A2493" s="2" t="n">
        <v>44</v>
      </c>
      <c r="B2493" s="2" t="s">
        <v>33</v>
      </c>
      <c r="C2493" s="2" t="s">
        <v>34</v>
      </c>
      <c r="D2493" s="2" t="s">
        <v>28</v>
      </c>
      <c r="E2493" s="2" t="n">
        <v>10</v>
      </c>
      <c r="F2493" s="2" t="n">
        <v>4</v>
      </c>
      <c r="G2493" s="2" t="s">
        <v>29</v>
      </c>
      <c r="H2493" s="2" t="n">
        <v>2492</v>
      </c>
      <c r="I2493" s="2" t="s">
        <v>39</v>
      </c>
      <c r="J2493" s="2" t="n">
        <v>1</v>
      </c>
      <c r="K2493" s="2" t="s">
        <v>36</v>
      </c>
      <c r="L2493" s="2" t="s">
        <v>46</v>
      </c>
      <c r="M2493" s="2" t="n">
        <v>28440</v>
      </c>
      <c r="N2493" s="2" t="n">
        <v>1</v>
      </c>
      <c r="O2493" s="2" t="n">
        <v>12</v>
      </c>
      <c r="P2493" s="2" t="n">
        <v>0</v>
      </c>
      <c r="Q2493" s="2" t="n">
        <v>6</v>
      </c>
      <c r="R2493" s="2" t="n">
        <v>2</v>
      </c>
      <c r="S2493" s="2" t="n">
        <v>5</v>
      </c>
      <c r="T2493" s="2" t="n">
        <v>2</v>
      </c>
      <c r="U2493" s="2" t="n">
        <v>3</v>
      </c>
      <c r="V2493" s="2" t="n">
        <v>3</v>
      </c>
      <c r="W2493" s="2" t="n">
        <v>2</v>
      </c>
      <c r="X2493" s="2" t="n">
        <v>2</v>
      </c>
      <c r="Y2493" s="2" t="n">
        <v>4</v>
      </c>
      <c r="Z2493" s="2" t="n">
        <v>3</v>
      </c>
    </row>
    <row r="2494" customFormat="false" ht="15" hidden="false" customHeight="true" outlineLevel="0" collapsed="false">
      <c r="A2494" s="2" t="n">
        <v>37</v>
      </c>
      <c r="B2494" s="2" t="s">
        <v>26</v>
      </c>
      <c r="C2494" s="2" t="s">
        <v>27</v>
      </c>
      <c r="D2494" s="2" t="s">
        <v>35</v>
      </c>
      <c r="E2494" s="2" t="n">
        <v>19</v>
      </c>
      <c r="F2494" s="2" t="n">
        <v>2</v>
      </c>
      <c r="G2494" s="2" t="s">
        <v>51</v>
      </c>
      <c r="H2494" s="2" t="n">
        <v>2493</v>
      </c>
      <c r="I2494" s="2" t="s">
        <v>39</v>
      </c>
      <c r="J2494" s="2" t="n">
        <v>2</v>
      </c>
      <c r="K2494" s="2" t="s">
        <v>40</v>
      </c>
      <c r="L2494" s="2" t="s">
        <v>46</v>
      </c>
      <c r="M2494" s="2" t="n">
        <v>27030</v>
      </c>
      <c r="N2494" s="2" t="n">
        <v>2</v>
      </c>
      <c r="O2494" s="2" t="n">
        <v>14</v>
      </c>
      <c r="P2494" s="2" t="n">
        <v>0</v>
      </c>
      <c r="Q2494" s="2" t="n">
        <v>19</v>
      </c>
      <c r="R2494" s="2" t="n">
        <v>2</v>
      </c>
      <c r="S2494" s="2" t="n">
        <v>10</v>
      </c>
      <c r="T2494" s="2" t="n">
        <v>4</v>
      </c>
      <c r="U2494" s="2" t="n">
        <v>7</v>
      </c>
      <c r="V2494" s="2" t="n">
        <v>3</v>
      </c>
      <c r="W2494" s="2" t="n">
        <v>2</v>
      </c>
      <c r="X2494" s="2" t="n">
        <v>2</v>
      </c>
      <c r="Y2494" s="2" t="n">
        <v>3</v>
      </c>
      <c r="Z2494" s="2" t="n">
        <v>3</v>
      </c>
    </row>
    <row r="2495" customFormat="false" ht="15" hidden="false" customHeight="true" outlineLevel="0" collapsed="false">
      <c r="A2495" s="2" t="n">
        <v>35</v>
      </c>
      <c r="B2495" s="2" t="s">
        <v>33</v>
      </c>
      <c r="C2495" s="2" t="s">
        <v>27</v>
      </c>
      <c r="D2495" s="2" t="s">
        <v>35</v>
      </c>
      <c r="E2495" s="2" t="n">
        <v>15</v>
      </c>
      <c r="F2495" s="2" t="n">
        <v>4</v>
      </c>
      <c r="G2495" s="2" t="s">
        <v>29</v>
      </c>
      <c r="H2495" s="2" t="n">
        <v>2494</v>
      </c>
      <c r="I2495" s="2" t="s">
        <v>39</v>
      </c>
      <c r="J2495" s="2" t="n">
        <v>2</v>
      </c>
      <c r="K2495" s="2" t="s">
        <v>36</v>
      </c>
      <c r="L2495" s="2" t="s">
        <v>37</v>
      </c>
      <c r="M2495" s="2" t="n">
        <v>19040</v>
      </c>
      <c r="N2495" s="2" t="n">
        <v>1</v>
      </c>
      <c r="O2495" s="2" t="n">
        <v>22</v>
      </c>
      <c r="P2495" s="2" t="n">
        <v>1</v>
      </c>
      <c r="Q2495" s="2" t="n">
        <v>10</v>
      </c>
      <c r="R2495" s="2" t="n">
        <v>4</v>
      </c>
      <c r="S2495" s="2" t="n">
        <v>10</v>
      </c>
      <c r="T2495" s="2" t="n">
        <v>7</v>
      </c>
      <c r="U2495" s="2" t="n">
        <v>7</v>
      </c>
      <c r="V2495" s="2" t="n">
        <v>3</v>
      </c>
      <c r="W2495" s="2" t="n">
        <v>4</v>
      </c>
      <c r="X2495" s="2" t="n">
        <v>3</v>
      </c>
      <c r="Y2495" s="2" t="n">
        <v>3</v>
      </c>
      <c r="Z2495" s="2" t="n">
        <v>4</v>
      </c>
    </row>
    <row r="2496" customFormat="false" ht="15" hidden="false" customHeight="true" outlineLevel="0" collapsed="false">
      <c r="A2496" s="2" t="n">
        <v>33</v>
      </c>
      <c r="B2496" s="2" t="s">
        <v>26</v>
      </c>
      <c r="C2496" s="2" t="s">
        <v>27</v>
      </c>
      <c r="D2496" s="2" t="s">
        <v>35</v>
      </c>
      <c r="E2496" s="2" t="n">
        <v>8</v>
      </c>
      <c r="F2496" s="2" t="n">
        <v>5</v>
      </c>
      <c r="G2496" s="2" t="s">
        <v>43</v>
      </c>
      <c r="H2496" s="2" t="n">
        <v>2495</v>
      </c>
      <c r="I2496" s="2" t="s">
        <v>39</v>
      </c>
      <c r="J2496" s="2" t="n">
        <v>2</v>
      </c>
      <c r="K2496" s="2" t="s">
        <v>45</v>
      </c>
      <c r="L2496" s="2" t="s">
        <v>32</v>
      </c>
      <c r="M2496" s="2" t="n">
        <v>82240</v>
      </c>
      <c r="N2496" s="2" t="n">
        <v>6</v>
      </c>
      <c r="O2496" s="2" t="n">
        <v>19</v>
      </c>
      <c r="P2496" s="2" t="n">
        <v>0</v>
      </c>
      <c r="Q2496" s="2" t="n">
        <v>14</v>
      </c>
      <c r="R2496" s="2" t="n">
        <v>3</v>
      </c>
      <c r="S2496" s="2" t="n">
        <v>10</v>
      </c>
      <c r="T2496" s="2" t="n">
        <v>7</v>
      </c>
      <c r="U2496" s="2" t="n">
        <v>6</v>
      </c>
      <c r="V2496" s="2" t="n">
        <v>4</v>
      </c>
      <c r="W2496" s="2" t="n">
        <v>1</v>
      </c>
      <c r="X2496" s="2" t="n">
        <v>3</v>
      </c>
      <c r="Y2496" s="2" t="n">
        <v>3</v>
      </c>
      <c r="Z2496" s="2" t="n">
        <v>3</v>
      </c>
    </row>
    <row r="2497" customFormat="false" ht="15" hidden="false" customHeight="true" outlineLevel="0" collapsed="false">
      <c r="A2497" s="2" t="n">
        <v>28</v>
      </c>
      <c r="B2497" s="2" t="s">
        <v>26</v>
      </c>
      <c r="C2497" s="2" t="s">
        <v>27</v>
      </c>
      <c r="D2497" s="2" t="s">
        <v>28</v>
      </c>
      <c r="E2497" s="2" t="n">
        <v>9</v>
      </c>
      <c r="F2497" s="2" t="n">
        <v>3</v>
      </c>
      <c r="G2497" s="2" t="s">
        <v>43</v>
      </c>
      <c r="H2497" s="2" t="n">
        <v>2496</v>
      </c>
      <c r="I2497" s="2" t="s">
        <v>30</v>
      </c>
      <c r="J2497" s="2" t="n">
        <v>2</v>
      </c>
      <c r="K2497" s="2" t="s">
        <v>40</v>
      </c>
      <c r="L2497" s="2" t="s">
        <v>32</v>
      </c>
      <c r="M2497" s="2" t="n">
        <v>47660</v>
      </c>
      <c r="N2497" s="2" t="n">
        <v>1</v>
      </c>
      <c r="O2497" s="2" t="n">
        <v>12</v>
      </c>
      <c r="P2497" s="2" t="n">
        <v>0</v>
      </c>
      <c r="Q2497" s="2" t="n">
        <v>5</v>
      </c>
      <c r="R2497" s="2" t="n">
        <v>3</v>
      </c>
      <c r="S2497" s="2" t="n">
        <v>5</v>
      </c>
      <c r="T2497" s="2" t="n">
        <v>0</v>
      </c>
      <c r="U2497" s="2" t="n">
        <v>3</v>
      </c>
      <c r="V2497" s="2" t="n">
        <v>3</v>
      </c>
      <c r="W2497" s="2" t="n">
        <v>4</v>
      </c>
      <c r="X2497" s="2" t="n">
        <v>4</v>
      </c>
      <c r="Y2497" s="2" t="n">
        <v>3</v>
      </c>
      <c r="Z2497" s="2" t="n">
        <v>3</v>
      </c>
    </row>
    <row r="2498" customFormat="false" ht="15" hidden="false" customHeight="true" outlineLevel="0" collapsed="false">
      <c r="A2498" s="2" t="n">
        <v>39</v>
      </c>
      <c r="B2498" s="2" t="s">
        <v>26</v>
      </c>
      <c r="C2498" s="2" t="s">
        <v>27</v>
      </c>
      <c r="D2498" s="2" t="s">
        <v>28</v>
      </c>
      <c r="E2498" s="2" t="n">
        <v>3</v>
      </c>
      <c r="F2498" s="2" t="n">
        <v>4</v>
      </c>
      <c r="G2498" s="2" t="s">
        <v>50</v>
      </c>
      <c r="H2498" s="2" t="n">
        <v>2497</v>
      </c>
      <c r="I2498" s="2" t="s">
        <v>30</v>
      </c>
      <c r="J2498" s="2" t="n">
        <v>2</v>
      </c>
      <c r="K2498" s="2" t="s">
        <v>45</v>
      </c>
      <c r="L2498" s="2" t="s">
        <v>37</v>
      </c>
      <c r="M2498" s="2" t="n">
        <v>26100</v>
      </c>
      <c r="N2498" s="2" t="n">
        <v>7</v>
      </c>
      <c r="O2498" s="2" t="n">
        <v>12</v>
      </c>
      <c r="P2498" s="2" t="n">
        <v>0</v>
      </c>
      <c r="Q2498" s="2" t="n">
        <v>9</v>
      </c>
      <c r="R2498" s="2" t="n">
        <v>2</v>
      </c>
      <c r="S2498" s="2" t="n">
        <v>4</v>
      </c>
      <c r="T2498" s="2" t="n">
        <v>2</v>
      </c>
      <c r="U2498" s="2" t="n">
        <v>2</v>
      </c>
      <c r="V2498" s="2" t="n">
        <v>3</v>
      </c>
      <c r="W2498" s="2" t="n">
        <v>3</v>
      </c>
      <c r="X2498" s="2" t="n">
        <v>3</v>
      </c>
      <c r="Y2498" s="2" t="n">
        <v>2</v>
      </c>
      <c r="Z2498" s="2" t="n">
        <v>3</v>
      </c>
    </row>
    <row r="2499" customFormat="false" ht="15" hidden="false" customHeight="true" outlineLevel="0" collapsed="false">
      <c r="A2499" s="2" t="n">
        <v>46</v>
      </c>
      <c r="B2499" s="2" t="s">
        <v>26</v>
      </c>
      <c r="C2499" s="2" t="s">
        <v>41</v>
      </c>
      <c r="D2499" s="2" t="s">
        <v>35</v>
      </c>
      <c r="E2499" s="2" t="n">
        <v>9</v>
      </c>
      <c r="F2499" s="2" t="n">
        <v>2</v>
      </c>
      <c r="G2499" s="2" t="s">
        <v>29</v>
      </c>
      <c r="H2499" s="2" t="n">
        <v>2498</v>
      </c>
      <c r="I2499" s="2" t="s">
        <v>39</v>
      </c>
      <c r="J2499" s="2" t="n">
        <v>2</v>
      </c>
      <c r="K2499" s="2" t="s">
        <v>47</v>
      </c>
      <c r="L2499" s="2" t="s">
        <v>37</v>
      </c>
      <c r="M2499" s="2" t="n">
        <v>57310</v>
      </c>
      <c r="N2499" s="2" t="n">
        <v>8</v>
      </c>
      <c r="O2499" s="2" t="n">
        <v>17</v>
      </c>
      <c r="P2499" s="2" t="n">
        <v>0</v>
      </c>
      <c r="Q2499" s="2" t="n">
        <v>6</v>
      </c>
      <c r="R2499" s="2" t="n">
        <v>2</v>
      </c>
      <c r="S2499" s="2" t="n">
        <v>2</v>
      </c>
      <c r="T2499" s="2" t="n">
        <v>2</v>
      </c>
      <c r="U2499" s="2" t="n">
        <v>2</v>
      </c>
      <c r="V2499" s="2" t="n">
        <v>2</v>
      </c>
      <c r="W2499" s="2" t="n">
        <v>2</v>
      </c>
      <c r="X2499" s="2" t="n">
        <v>3</v>
      </c>
      <c r="Y2499" s="2" t="n">
        <v>3</v>
      </c>
      <c r="Z2499" s="2" t="n">
        <v>3</v>
      </c>
    </row>
    <row r="2500" customFormat="false" ht="15" hidden="false" customHeight="true" outlineLevel="0" collapsed="false">
      <c r="A2500" s="2" t="n">
        <v>40</v>
      </c>
      <c r="B2500" s="2" t="s">
        <v>26</v>
      </c>
      <c r="C2500" s="2" t="s">
        <v>27</v>
      </c>
      <c r="D2500" s="2" t="s">
        <v>35</v>
      </c>
      <c r="E2500" s="2" t="n">
        <v>2</v>
      </c>
      <c r="F2500" s="2" t="n">
        <v>2</v>
      </c>
      <c r="G2500" s="2" t="s">
        <v>43</v>
      </c>
      <c r="H2500" s="2" t="n">
        <v>2499</v>
      </c>
      <c r="I2500" s="2" t="s">
        <v>39</v>
      </c>
      <c r="J2500" s="2" t="n">
        <v>1</v>
      </c>
      <c r="K2500" s="2" t="s">
        <v>44</v>
      </c>
      <c r="L2500" s="2" t="s">
        <v>32</v>
      </c>
      <c r="M2500" s="2" t="n">
        <v>25390</v>
      </c>
      <c r="N2500" s="2" t="n">
        <v>4</v>
      </c>
      <c r="O2500" s="2" t="n">
        <v>12</v>
      </c>
      <c r="P2500" s="2" t="n">
        <v>1</v>
      </c>
      <c r="Q2500" s="2" t="n">
        <v>7</v>
      </c>
      <c r="R2500" s="2" t="n">
        <v>3</v>
      </c>
      <c r="S2500" s="2" t="n">
        <v>4</v>
      </c>
      <c r="T2500" s="2" t="n">
        <v>0</v>
      </c>
      <c r="U2500" s="2" t="n">
        <v>2</v>
      </c>
      <c r="V2500" s="2" t="n">
        <v>3</v>
      </c>
      <c r="W2500" s="2" t="n">
        <v>1</v>
      </c>
      <c r="X2500" s="2" t="n">
        <v>2</v>
      </c>
      <c r="Y2500" s="2" t="n">
        <v>3</v>
      </c>
      <c r="Z2500" s="2" t="n">
        <v>3</v>
      </c>
    </row>
    <row r="2501" customFormat="false" ht="15" hidden="false" customHeight="true" outlineLevel="0" collapsed="false">
      <c r="A2501" s="2" t="n">
        <v>42</v>
      </c>
      <c r="B2501" s="2" t="s">
        <v>26</v>
      </c>
      <c r="C2501" s="2" t="s">
        <v>27</v>
      </c>
      <c r="D2501" s="2" t="s">
        <v>35</v>
      </c>
      <c r="E2501" s="2" t="n">
        <v>7</v>
      </c>
      <c r="F2501" s="2" t="n">
        <v>4</v>
      </c>
      <c r="G2501" s="2" t="s">
        <v>38</v>
      </c>
      <c r="H2501" s="2" t="n">
        <v>2500</v>
      </c>
      <c r="I2501" s="2" t="s">
        <v>30</v>
      </c>
      <c r="J2501" s="2" t="n">
        <v>2</v>
      </c>
      <c r="K2501" s="2" t="s">
        <v>45</v>
      </c>
      <c r="L2501" s="2" t="s">
        <v>32</v>
      </c>
      <c r="M2501" s="2" t="n">
        <v>57140</v>
      </c>
      <c r="N2501" s="2" t="n">
        <v>5</v>
      </c>
      <c r="O2501" s="2" t="n">
        <v>11</v>
      </c>
      <c r="P2501" s="2" t="n">
        <v>0</v>
      </c>
      <c r="Q2501" s="2" t="n">
        <v>10</v>
      </c>
      <c r="R2501" s="2" t="n">
        <v>2</v>
      </c>
      <c r="S2501" s="2" t="n">
        <v>0</v>
      </c>
      <c r="T2501" s="2" t="n">
        <v>0</v>
      </c>
      <c r="U2501" s="2" t="n">
        <v>0</v>
      </c>
      <c r="V2501" s="2" t="n">
        <v>2</v>
      </c>
      <c r="W2501" s="2" t="n">
        <v>1</v>
      </c>
      <c r="X2501" s="2" t="n">
        <v>2</v>
      </c>
      <c r="Y2501" s="2" t="n">
        <v>3</v>
      </c>
      <c r="Z2501" s="2" t="n">
        <v>3</v>
      </c>
    </row>
    <row r="2502" customFormat="false" ht="15" hidden="false" customHeight="true" outlineLevel="0" collapsed="false">
      <c r="A2502" s="2" t="n">
        <v>35</v>
      </c>
      <c r="B2502" s="2" t="s">
        <v>26</v>
      </c>
      <c r="C2502" s="2" t="s">
        <v>41</v>
      </c>
      <c r="D2502" s="2" t="s">
        <v>28</v>
      </c>
      <c r="E2502" s="2" t="n">
        <v>10</v>
      </c>
      <c r="F2502" s="2" t="n">
        <v>1</v>
      </c>
      <c r="G2502" s="2" t="s">
        <v>29</v>
      </c>
      <c r="H2502" s="2" t="n">
        <v>2501</v>
      </c>
      <c r="I2502" s="2" t="s">
        <v>30</v>
      </c>
      <c r="J2502" s="2" t="n">
        <v>2</v>
      </c>
      <c r="K2502" s="2" t="s">
        <v>44</v>
      </c>
      <c r="L2502" s="2" t="s">
        <v>46</v>
      </c>
      <c r="M2502" s="2" t="n">
        <v>43230</v>
      </c>
      <c r="N2502" s="2" t="n">
        <v>2</v>
      </c>
      <c r="O2502" s="2" t="n">
        <v>18</v>
      </c>
      <c r="P2502" s="2" t="n">
        <v>3</v>
      </c>
      <c r="Q2502" s="2" t="n">
        <v>15</v>
      </c>
      <c r="R2502" s="2" t="n">
        <v>3</v>
      </c>
      <c r="S2502" s="2" t="n">
        <v>7</v>
      </c>
      <c r="T2502" s="2" t="n">
        <v>1</v>
      </c>
      <c r="U2502" s="2" t="n">
        <v>7</v>
      </c>
      <c r="V2502" s="2" t="n">
        <v>2</v>
      </c>
      <c r="W2502" s="2" t="n">
        <v>4</v>
      </c>
      <c r="X2502" s="2" t="n">
        <v>3</v>
      </c>
      <c r="Y2502" s="2" t="n">
        <v>3</v>
      </c>
      <c r="Z2502" s="2" t="n">
        <v>3</v>
      </c>
    </row>
    <row r="2503" customFormat="false" ht="15" hidden="false" customHeight="true" outlineLevel="0" collapsed="false">
      <c r="A2503" s="2" t="n">
        <v>38</v>
      </c>
      <c r="B2503" s="2" t="s">
        <v>26</v>
      </c>
      <c r="C2503" s="2" t="s">
        <v>41</v>
      </c>
      <c r="D2503" s="2" t="s">
        <v>28</v>
      </c>
      <c r="E2503" s="2" t="n">
        <v>6</v>
      </c>
      <c r="F2503" s="2" t="n">
        <v>4</v>
      </c>
      <c r="G2503" s="2" t="s">
        <v>50</v>
      </c>
      <c r="H2503" s="2" t="n">
        <v>2502</v>
      </c>
      <c r="I2503" s="2" t="s">
        <v>39</v>
      </c>
      <c r="J2503" s="2" t="n">
        <v>3</v>
      </c>
      <c r="K2503" s="2" t="s">
        <v>40</v>
      </c>
      <c r="L2503" s="2" t="s">
        <v>46</v>
      </c>
      <c r="M2503" s="2" t="n">
        <v>73360</v>
      </c>
      <c r="N2503" s="2" t="n">
        <v>5</v>
      </c>
      <c r="O2503" s="2" t="n">
        <v>11</v>
      </c>
      <c r="P2503" s="2" t="n">
        <v>0</v>
      </c>
      <c r="Q2503" s="2" t="n">
        <v>13</v>
      </c>
      <c r="R2503" s="2" t="n">
        <v>3</v>
      </c>
      <c r="S2503" s="2" t="n">
        <v>11</v>
      </c>
      <c r="T2503" s="2" t="n">
        <v>3</v>
      </c>
      <c r="U2503" s="2" t="n">
        <v>8</v>
      </c>
      <c r="V2503" s="2" t="n">
        <v>1</v>
      </c>
      <c r="W2503" s="2" t="n">
        <v>2</v>
      </c>
      <c r="X2503" s="2" t="n">
        <v>3</v>
      </c>
      <c r="Y2503" s="2" t="n">
        <v>3</v>
      </c>
      <c r="Z2503" s="2" t="n">
        <v>3</v>
      </c>
    </row>
    <row r="2504" customFormat="false" ht="15" hidden="false" customHeight="true" outlineLevel="0" collapsed="false">
      <c r="A2504" s="2" t="n">
        <v>34</v>
      </c>
      <c r="B2504" s="2" t="s">
        <v>33</v>
      </c>
      <c r="C2504" s="2" t="s">
        <v>34</v>
      </c>
      <c r="D2504" s="2" t="s">
        <v>35</v>
      </c>
      <c r="E2504" s="2" t="n">
        <v>2</v>
      </c>
      <c r="F2504" s="2" t="n">
        <v>1</v>
      </c>
      <c r="G2504" s="2" t="s">
        <v>29</v>
      </c>
      <c r="H2504" s="2" t="n">
        <v>2503</v>
      </c>
      <c r="I2504" s="2" t="s">
        <v>39</v>
      </c>
      <c r="J2504" s="2" t="n">
        <v>1</v>
      </c>
      <c r="K2504" s="2" t="s">
        <v>47</v>
      </c>
      <c r="L2504" s="2" t="s">
        <v>32</v>
      </c>
      <c r="M2504" s="2" t="n">
        <v>134990</v>
      </c>
      <c r="N2504" s="2" t="n">
        <v>4</v>
      </c>
      <c r="O2504" s="2" t="n">
        <v>23</v>
      </c>
      <c r="P2504" s="2" t="n">
        <v>2</v>
      </c>
      <c r="Q2504" s="2" t="n">
        <v>11</v>
      </c>
      <c r="R2504" s="2" t="n">
        <v>2</v>
      </c>
      <c r="S2504" s="2" t="n">
        <v>7</v>
      </c>
      <c r="T2504" s="2" t="n">
        <v>0</v>
      </c>
      <c r="U2504" s="2" t="n">
        <v>7</v>
      </c>
      <c r="V2504" s="2" t="n">
        <v>4</v>
      </c>
      <c r="W2504" s="2" t="n">
        <v>1</v>
      </c>
      <c r="X2504" s="2" t="n">
        <v>2</v>
      </c>
      <c r="Y2504" s="2" t="n">
        <v>4</v>
      </c>
      <c r="Z2504" s="2" t="n">
        <v>4</v>
      </c>
    </row>
    <row r="2505" customFormat="false" ht="15" hidden="false" customHeight="true" outlineLevel="0" collapsed="false">
      <c r="A2505" s="2" t="n">
        <v>37</v>
      </c>
      <c r="B2505" s="2" t="s">
        <v>33</v>
      </c>
      <c r="C2505" s="2" t="s">
        <v>27</v>
      </c>
      <c r="D2505" s="2" t="s">
        <v>35</v>
      </c>
      <c r="E2505" s="2" t="n">
        <v>24</v>
      </c>
      <c r="F2505" s="2" t="n">
        <v>3</v>
      </c>
      <c r="G2505" s="2" t="s">
        <v>29</v>
      </c>
      <c r="H2505" s="2" t="n">
        <v>2504</v>
      </c>
      <c r="I2505" s="2" t="s">
        <v>39</v>
      </c>
      <c r="J2505" s="2" t="n">
        <v>1</v>
      </c>
      <c r="K2505" s="2" t="s">
        <v>45</v>
      </c>
      <c r="L2505" s="2" t="s">
        <v>37</v>
      </c>
      <c r="M2505" s="2" t="n">
        <v>137580</v>
      </c>
      <c r="N2505" s="2" t="n">
        <v>1</v>
      </c>
      <c r="O2505" s="2" t="n">
        <v>11</v>
      </c>
      <c r="P2505" s="2" t="n">
        <v>1</v>
      </c>
      <c r="Q2505" s="2" t="n">
        <v>10</v>
      </c>
      <c r="R2505" s="2" t="n">
        <v>5</v>
      </c>
      <c r="S2505" s="2" t="n">
        <v>10</v>
      </c>
      <c r="T2505" s="2" t="n">
        <v>0</v>
      </c>
      <c r="U2505" s="2" t="n">
        <v>8</v>
      </c>
      <c r="V2505" s="2" t="n">
        <v>4</v>
      </c>
      <c r="W2505" s="2" t="n">
        <v>1</v>
      </c>
      <c r="X2505" s="2" t="n">
        <v>1</v>
      </c>
      <c r="Y2505" s="2" t="n">
        <v>3</v>
      </c>
      <c r="Z2505" s="2" t="n">
        <v>3</v>
      </c>
    </row>
    <row r="2506" customFormat="false" ht="15" hidden="false" customHeight="true" outlineLevel="0" collapsed="false">
      <c r="A2506" s="2" t="n">
        <v>39</v>
      </c>
      <c r="B2506" s="2" t="s">
        <v>26</v>
      </c>
      <c r="C2506" s="2" t="s">
        <v>34</v>
      </c>
      <c r="D2506" s="2" t="s">
        <v>35</v>
      </c>
      <c r="E2506" s="2" t="n">
        <v>2</v>
      </c>
      <c r="F2506" s="2" t="n">
        <v>1</v>
      </c>
      <c r="G2506" s="2" t="s">
        <v>43</v>
      </c>
      <c r="H2506" s="2" t="n">
        <v>2505</v>
      </c>
      <c r="I2506" s="2" t="s">
        <v>39</v>
      </c>
      <c r="J2506" s="2" t="n">
        <v>2</v>
      </c>
      <c r="K2506" s="2" t="s">
        <v>31</v>
      </c>
      <c r="L2506" s="2" t="s">
        <v>46</v>
      </c>
      <c r="M2506" s="2" t="n">
        <v>51550</v>
      </c>
      <c r="N2506" s="2" t="n">
        <v>2</v>
      </c>
      <c r="O2506" s="2" t="n">
        <v>18</v>
      </c>
      <c r="P2506" s="2" t="n">
        <v>1</v>
      </c>
      <c r="Q2506" s="2" t="n">
        <v>7</v>
      </c>
      <c r="R2506" s="2" t="n">
        <v>3</v>
      </c>
      <c r="S2506" s="2" t="n">
        <v>2</v>
      </c>
      <c r="T2506" s="2" t="n">
        <v>2</v>
      </c>
      <c r="U2506" s="2" t="n">
        <v>2</v>
      </c>
      <c r="V2506" s="2" t="n">
        <v>3</v>
      </c>
      <c r="W2506" s="2" t="n">
        <v>4</v>
      </c>
      <c r="X2506" s="2" t="n">
        <v>3</v>
      </c>
      <c r="Y2506" s="2" t="n">
        <v>2</v>
      </c>
      <c r="Z2506" s="2" t="n">
        <v>3</v>
      </c>
    </row>
    <row r="2507" customFormat="false" ht="15" hidden="false" customHeight="true" outlineLevel="0" collapsed="false">
      <c r="A2507" s="2" t="n">
        <v>43</v>
      </c>
      <c r="B2507" s="2" t="s">
        <v>26</v>
      </c>
      <c r="C2507" s="2" t="s">
        <v>41</v>
      </c>
      <c r="D2507" s="2" t="s">
        <v>42</v>
      </c>
      <c r="E2507" s="2" t="n">
        <v>8</v>
      </c>
      <c r="F2507" s="2" t="n">
        <v>5</v>
      </c>
      <c r="G2507" s="2" t="s">
        <v>43</v>
      </c>
      <c r="H2507" s="2" t="n">
        <v>2506</v>
      </c>
      <c r="I2507" s="2" t="s">
        <v>30</v>
      </c>
      <c r="J2507" s="2" t="n">
        <v>3</v>
      </c>
      <c r="K2507" s="2" t="s">
        <v>40</v>
      </c>
      <c r="L2507" s="2" t="s">
        <v>37</v>
      </c>
      <c r="M2507" s="2" t="n">
        <v>22580</v>
      </c>
      <c r="N2507" s="2" t="n">
        <v>4</v>
      </c>
      <c r="O2507" s="2" t="n">
        <v>18</v>
      </c>
      <c r="P2507" s="2" t="n">
        <v>0</v>
      </c>
      <c r="Q2507" s="2" t="n">
        <v>7</v>
      </c>
      <c r="R2507" s="2" t="n">
        <v>2</v>
      </c>
      <c r="S2507" s="2" t="n">
        <v>3</v>
      </c>
      <c r="T2507" s="2" t="n">
        <v>1</v>
      </c>
      <c r="U2507" s="2" t="n">
        <v>2</v>
      </c>
      <c r="V2507" s="2" t="n">
        <v>1</v>
      </c>
      <c r="W2507" s="2" t="n">
        <v>3</v>
      </c>
      <c r="X2507" s="2" t="n">
        <v>2</v>
      </c>
      <c r="Y2507" s="2" t="n">
        <v>3</v>
      </c>
      <c r="Z2507" s="2" t="n">
        <v>3</v>
      </c>
    </row>
    <row r="2508" customFormat="false" ht="15" hidden="false" customHeight="true" outlineLevel="0" collapsed="false">
      <c r="A2508" s="2" t="n">
        <v>41</v>
      </c>
      <c r="B2508" s="2" t="s">
        <v>26</v>
      </c>
      <c r="C2508" s="2" t="s">
        <v>27</v>
      </c>
      <c r="D2508" s="2" t="s">
        <v>35</v>
      </c>
      <c r="E2508" s="2" t="n">
        <v>3</v>
      </c>
      <c r="F2508" s="2" t="n">
        <v>3</v>
      </c>
      <c r="G2508" s="2" t="s">
        <v>29</v>
      </c>
      <c r="H2508" s="2" t="n">
        <v>2507</v>
      </c>
      <c r="I2508" s="2" t="s">
        <v>39</v>
      </c>
      <c r="J2508" s="2" t="n">
        <v>3</v>
      </c>
      <c r="K2508" s="2" t="s">
        <v>36</v>
      </c>
      <c r="L2508" s="2" t="s">
        <v>37</v>
      </c>
      <c r="M2508" s="2" t="n">
        <v>35970</v>
      </c>
      <c r="N2508" s="2" t="n">
        <v>3</v>
      </c>
      <c r="O2508" s="2" t="n">
        <v>13</v>
      </c>
      <c r="P2508" s="2" t="n">
        <v>1</v>
      </c>
      <c r="Q2508" s="2" t="n">
        <v>11</v>
      </c>
      <c r="R2508" s="2" t="n">
        <v>2</v>
      </c>
      <c r="S2508" s="2" t="n">
        <v>3</v>
      </c>
      <c r="T2508" s="2" t="n">
        <v>1</v>
      </c>
      <c r="U2508" s="2" t="n">
        <v>2</v>
      </c>
      <c r="V2508" s="2" t="n">
        <v>2</v>
      </c>
      <c r="W2508" s="2" t="n">
        <v>2</v>
      </c>
      <c r="X2508" s="2" t="n">
        <v>1</v>
      </c>
      <c r="Y2508" s="2" t="n">
        <v>1</v>
      </c>
      <c r="Z2508" s="2" t="n">
        <v>3</v>
      </c>
    </row>
    <row r="2509" customFormat="false" ht="15" hidden="false" customHeight="true" outlineLevel="0" collapsed="false">
      <c r="A2509" s="2" t="n">
        <v>41</v>
      </c>
      <c r="B2509" s="2" t="s">
        <v>26</v>
      </c>
      <c r="C2509" s="2" t="s">
        <v>27</v>
      </c>
      <c r="D2509" s="2" t="s">
        <v>35</v>
      </c>
      <c r="E2509" s="2" t="n">
        <v>1</v>
      </c>
      <c r="F2509" s="2" t="n">
        <v>1</v>
      </c>
      <c r="G2509" s="2" t="s">
        <v>51</v>
      </c>
      <c r="H2509" s="2" t="n">
        <v>2508</v>
      </c>
      <c r="I2509" s="2" t="s">
        <v>39</v>
      </c>
      <c r="J2509" s="2" t="n">
        <v>3</v>
      </c>
      <c r="K2509" s="2" t="s">
        <v>45</v>
      </c>
      <c r="L2509" s="2" t="s">
        <v>46</v>
      </c>
      <c r="M2509" s="2" t="n">
        <v>25150</v>
      </c>
      <c r="N2509" s="2" t="n">
        <v>0</v>
      </c>
      <c r="O2509" s="2" t="n">
        <v>18</v>
      </c>
      <c r="P2509" s="2" t="n">
        <v>0</v>
      </c>
      <c r="Q2509" s="2" t="n">
        <v>23</v>
      </c>
      <c r="R2509" s="2" t="n">
        <v>2</v>
      </c>
      <c r="S2509" s="2" t="n">
        <v>22</v>
      </c>
      <c r="T2509" s="2" t="n">
        <v>13</v>
      </c>
      <c r="U2509" s="2" t="n">
        <v>5</v>
      </c>
      <c r="V2509" s="2" t="n">
        <v>3</v>
      </c>
      <c r="W2509" s="2" t="n">
        <v>3</v>
      </c>
      <c r="X2509" s="2" t="n">
        <v>4</v>
      </c>
      <c r="Y2509" s="2" t="n">
        <v>2</v>
      </c>
      <c r="Z2509" s="2" t="n">
        <v>3</v>
      </c>
    </row>
    <row r="2510" customFormat="false" ht="15" hidden="false" customHeight="true" outlineLevel="0" collapsed="false">
      <c r="A2510" s="2" t="n">
        <v>30</v>
      </c>
      <c r="B2510" s="2" t="s">
        <v>26</v>
      </c>
      <c r="C2510" s="2" t="s">
        <v>27</v>
      </c>
      <c r="D2510" s="2" t="s">
        <v>28</v>
      </c>
      <c r="E2510" s="2" t="n">
        <v>26</v>
      </c>
      <c r="F2510" s="2" t="n">
        <v>3</v>
      </c>
      <c r="G2510" s="2" t="s">
        <v>50</v>
      </c>
      <c r="H2510" s="2" t="n">
        <v>2509</v>
      </c>
      <c r="I2510" s="2" t="s">
        <v>30</v>
      </c>
      <c r="J2510" s="2" t="n">
        <v>2</v>
      </c>
      <c r="K2510" s="2" t="s">
        <v>49</v>
      </c>
      <c r="L2510" s="2" t="s">
        <v>37</v>
      </c>
      <c r="M2510" s="2" t="n">
        <v>44200</v>
      </c>
      <c r="N2510" s="2" t="n">
        <v>9</v>
      </c>
      <c r="O2510" s="2" t="n">
        <v>11</v>
      </c>
      <c r="P2510" s="2" t="n">
        <v>0</v>
      </c>
      <c r="Q2510" s="2" t="n">
        <v>9</v>
      </c>
      <c r="R2510" s="2" t="n">
        <v>3</v>
      </c>
      <c r="S2510" s="2" t="n">
        <v>7</v>
      </c>
      <c r="T2510" s="2" t="n">
        <v>0</v>
      </c>
      <c r="U2510" s="2" t="n">
        <v>2</v>
      </c>
      <c r="V2510" s="2" t="n">
        <v>1</v>
      </c>
      <c r="W2510" s="2" t="n">
        <v>3</v>
      </c>
      <c r="X2510" s="2" t="n">
        <v>3</v>
      </c>
      <c r="Y2510" s="2" t="n">
        <v>3</v>
      </c>
      <c r="Z2510" s="2" t="n">
        <v>3</v>
      </c>
    </row>
    <row r="2511" customFormat="false" ht="15" hidden="false" customHeight="true" outlineLevel="0" collapsed="false">
      <c r="A2511" s="2" t="n">
        <v>26</v>
      </c>
      <c r="B2511" s="2" t="s">
        <v>33</v>
      </c>
      <c r="C2511" s="2" t="s">
        <v>27</v>
      </c>
      <c r="D2511" s="2" t="s">
        <v>42</v>
      </c>
      <c r="E2511" s="2" t="n">
        <v>2</v>
      </c>
      <c r="F2511" s="2" t="n">
        <v>1</v>
      </c>
      <c r="G2511" s="2" t="s">
        <v>51</v>
      </c>
      <c r="H2511" s="2" t="n">
        <v>2510</v>
      </c>
      <c r="I2511" s="2" t="s">
        <v>30</v>
      </c>
      <c r="J2511" s="2" t="n">
        <v>3</v>
      </c>
      <c r="K2511" s="2" t="s">
        <v>40</v>
      </c>
      <c r="L2511" s="2" t="s">
        <v>32</v>
      </c>
      <c r="M2511" s="2" t="n">
        <v>65780</v>
      </c>
      <c r="N2511" s="2" t="n">
        <v>0</v>
      </c>
      <c r="O2511" s="2" t="n">
        <v>15</v>
      </c>
      <c r="P2511" s="2" t="n">
        <v>2</v>
      </c>
      <c r="Q2511" s="2" t="n">
        <v>6</v>
      </c>
      <c r="R2511" s="2" t="n">
        <v>3</v>
      </c>
      <c r="S2511" s="2" t="n">
        <v>5</v>
      </c>
      <c r="T2511" s="2" t="n">
        <v>1</v>
      </c>
      <c r="U2511" s="2" t="n">
        <v>4</v>
      </c>
      <c r="V2511" s="2" t="n">
        <v>4</v>
      </c>
      <c r="W2511" s="2" t="n">
        <v>2</v>
      </c>
      <c r="X2511" s="2" t="n">
        <v>3</v>
      </c>
      <c r="Y2511" s="2" t="n">
        <v>2</v>
      </c>
      <c r="Z2511" s="2" t="n">
        <v>3</v>
      </c>
    </row>
    <row r="2512" customFormat="false" ht="15" hidden="false" customHeight="true" outlineLevel="0" collapsed="false">
      <c r="A2512" s="2" t="n">
        <v>46</v>
      </c>
      <c r="B2512" s="2" t="s">
        <v>33</v>
      </c>
      <c r="C2512" s="2" t="s">
        <v>27</v>
      </c>
      <c r="D2512" s="2" t="s">
        <v>35</v>
      </c>
      <c r="E2512" s="2" t="n">
        <v>10</v>
      </c>
      <c r="F2512" s="2" t="n">
        <v>3</v>
      </c>
      <c r="G2512" s="2" t="s">
        <v>43</v>
      </c>
      <c r="H2512" s="2" t="n">
        <v>2511</v>
      </c>
      <c r="I2512" s="2" t="s">
        <v>39</v>
      </c>
      <c r="J2512" s="2" t="n">
        <v>1</v>
      </c>
      <c r="K2512" s="2" t="s">
        <v>40</v>
      </c>
      <c r="L2512" s="2" t="s">
        <v>32</v>
      </c>
      <c r="M2512" s="2" t="n">
        <v>44220</v>
      </c>
      <c r="N2512" s="2" t="n">
        <v>4</v>
      </c>
      <c r="O2512" s="2" t="n">
        <v>11</v>
      </c>
      <c r="P2512" s="2" t="n">
        <v>1</v>
      </c>
      <c r="Q2512" s="2" t="n">
        <v>13</v>
      </c>
      <c r="R2512" s="2" t="n">
        <v>2</v>
      </c>
      <c r="S2512" s="2" t="n">
        <v>9</v>
      </c>
      <c r="T2512" s="2" t="n">
        <v>3</v>
      </c>
      <c r="U2512" s="2" t="n">
        <v>7</v>
      </c>
      <c r="V2512" s="2" t="n">
        <v>4</v>
      </c>
      <c r="W2512" s="2" t="n">
        <v>2</v>
      </c>
      <c r="X2512" s="2" t="n">
        <v>4</v>
      </c>
      <c r="Y2512" s="2" t="n">
        <v>3</v>
      </c>
      <c r="Z2512" s="2" t="n">
        <v>3</v>
      </c>
    </row>
    <row r="2513" customFormat="false" ht="15" hidden="false" customHeight="true" outlineLevel="0" collapsed="false">
      <c r="A2513" s="2" t="n">
        <v>40</v>
      </c>
      <c r="B2513" s="2" t="s">
        <v>26</v>
      </c>
      <c r="C2513" s="2" t="s">
        <v>27</v>
      </c>
      <c r="D2513" s="2" t="s">
        <v>28</v>
      </c>
      <c r="E2513" s="2" t="n">
        <v>27</v>
      </c>
      <c r="F2513" s="2" t="n">
        <v>2</v>
      </c>
      <c r="G2513" s="2" t="s">
        <v>43</v>
      </c>
      <c r="H2513" s="2" t="n">
        <v>2512</v>
      </c>
      <c r="I2513" s="2" t="s">
        <v>30</v>
      </c>
      <c r="J2513" s="2" t="n">
        <v>3</v>
      </c>
      <c r="K2513" s="2" t="s">
        <v>40</v>
      </c>
      <c r="L2513" s="2" t="s">
        <v>46</v>
      </c>
      <c r="M2513" s="2" t="n">
        <v>102740</v>
      </c>
      <c r="N2513" s="2" t="n">
        <v>4</v>
      </c>
      <c r="O2513" s="2" t="n">
        <v>18</v>
      </c>
      <c r="P2513" s="2" t="n">
        <v>0</v>
      </c>
      <c r="Q2513" s="2" t="n">
        <v>12</v>
      </c>
      <c r="R2513" s="2" t="n">
        <v>3</v>
      </c>
      <c r="S2513" s="2" t="n">
        <v>5</v>
      </c>
      <c r="T2513" s="2" t="n">
        <v>0</v>
      </c>
      <c r="U2513" s="2" t="n">
        <v>3</v>
      </c>
      <c r="V2513" s="2" t="n">
        <v>3</v>
      </c>
      <c r="W2513" s="2" t="n">
        <v>4</v>
      </c>
      <c r="X2513" s="2" t="n">
        <v>3</v>
      </c>
      <c r="Y2513" s="2" t="n">
        <v>3</v>
      </c>
      <c r="Z2513" s="2" t="n">
        <v>3</v>
      </c>
    </row>
    <row r="2514" customFormat="false" ht="15" hidden="false" customHeight="true" outlineLevel="0" collapsed="false">
      <c r="A2514" s="2" t="n">
        <v>34</v>
      </c>
      <c r="B2514" s="2" t="s">
        <v>26</v>
      </c>
      <c r="C2514" s="2" t="s">
        <v>27</v>
      </c>
      <c r="D2514" s="2" t="s">
        <v>35</v>
      </c>
      <c r="E2514" s="2" t="n">
        <v>2</v>
      </c>
      <c r="F2514" s="2" t="n">
        <v>3</v>
      </c>
      <c r="G2514" s="2" t="s">
        <v>29</v>
      </c>
      <c r="H2514" s="2" t="n">
        <v>2513</v>
      </c>
      <c r="I2514" s="2" t="s">
        <v>39</v>
      </c>
      <c r="J2514" s="2" t="n">
        <v>2</v>
      </c>
      <c r="K2514" s="2" t="s">
        <v>45</v>
      </c>
      <c r="L2514" s="2" t="s">
        <v>32</v>
      </c>
      <c r="M2514" s="2" t="n">
        <v>53430</v>
      </c>
      <c r="N2514" s="2" t="n">
        <v>1</v>
      </c>
      <c r="O2514" s="2" t="n">
        <v>14</v>
      </c>
      <c r="P2514" s="2" t="n">
        <v>0</v>
      </c>
      <c r="Q2514" s="2" t="n">
        <v>10</v>
      </c>
      <c r="R2514" s="2" t="n">
        <v>5</v>
      </c>
      <c r="S2514" s="2" t="n">
        <v>10</v>
      </c>
      <c r="T2514" s="2" t="n">
        <v>4</v>
      </c>
      <c r="U2514" s="2" t="n">
        <v>8</v>
      </c>
      <c r="V2514" s="2" t="n">
        <v>2</v>
      </c>
      <c r="W2514" s="2" t="n">
        <v>3</v>
      </c>
      <c r="X2514" s="2" t="n">
        <v>3</v>
      </c>
      <c r="Y2514" s="2" t="n">
        <v>2</v>
      </c>
      <c r="Z2514" s="2" t="n">
        <v>3</v>
      </c>
    </row>
    <row r="2515" customFormat="false" ht="15" hidden="false" customHeight="true" outlineLevel="0" collapsed="false">
      <c r="A2515" s="2" t="n">
        <v>58</v>
      </c>
      <c r="B2515" s="2" t="s">
        <v>26</v>
      </c>
      <c r="C2515" s="2" t="s">
        <v>41</v>
      </c>
      <c r="D2515" s="2" t="s">
        <v>35</v>
      </c>
      <c r="E2515" s="2" t="n">
        <v>2</v>
      </c>
      <c r="F2515" s="2" t="n">
        <v>4</v>
      </c>
      <c r="G2515" s="2" t="s">
        <v>43</v>
      </c>
      <c r="H2515" s="2" t="n">
        <v>2514</v>
      </c>
      <c r="I2515" s="2" t="s">
        <v>39</v>
      </c>
      <c r="J2515" s="2" t="n">
        <v>1</v>
      </c>
      <c r="K2515" s="2" t="s">
        <v>45</v>
      </c>
      <c r="L2515" s="2" t="s">
        <v>46</v>
      </c>
      <c r="M2515" s="2" t="n">
        <v>23760</v>
      </c>
      <c r="N2515" s="2" t="n">
        <v>4</v>
      </c>
      <c r="O2515" s="2" t="n">
        <v>12</v>
      </c>
      <c r="P2515" s="2" t="n">
        <v>1</v>
      </c>
      <c r="Q2515" s="2" t="n">
        <v>37</v>
      </c>
      <c r="R2515" s="2" t="n">
        <v>3</v>
      </c>
      <c r="S2515" s="2" t="n">
        <v>16</v>
      </c>
      <c r="T2515" s="2" t="n">
        <v>14</v>
      </c>
      <c r="U2515" s="2" t="n">
        <v>14</v>
      </c>
      <c r="V2515" s="2" t="n">
        <v>2</v>
      </c>
      <c r="W2515" s="2" t="n">
        <v>2</v>
      </c>
      <c r="X2515" s="2" t="n">
        <v>2</v>
      </c>
      <c r="Y2515" s="2" t="n">
        <v>3</v>
      </c>
      <c r="Z2515" s="2" t="n">
        <v>3</v>
      </c>
    </row>
    <row r="2516" customFormat="false" ht="15" hidden="false" customHeight="true" outlineLevel="0" collapsed="false">
      <c r="A2516" s="2" t="n">
        <v>35</v>
      </c>
      <c r="B2516" s="2" t="s">
        <v>26</v>
      </c>
      <c r="C2516" s="2" t="s">
        <v>27</v>
      </c>
      <c r="D2516" s="2" t="s">
        <v>35</v>
      </c>
      <c r="E2516" s="2" t="n">
        <v>8</v>
      </c>
      <c r="F2516" s="2" t="n">
        <v>1</v>
      </c>
      <c r="G2516" s="2" t="s">
        <v>51</v>
      </c>
      <c r="H2516" s="2" t="n">
        <v>2515</v>
      </c>
      <c r="I2516" s="2" t="s">
        <v>30</v>
      </c>
      <c r="J2516" s="2" t="n">
        <v>3</v>
      </c>
      <c r="K2516" s="2" t="s">
        <v>47</v>
      </c>
      <c r="L2516" s="2" t="s">
        <v>32</v>
      </c>
      <c r="M2516" s="2" t="n">
        <v>53460</v>
      </c>
      <c r="N2516" s="2" t="n">
        <v>0</v>
      </c>
      <c r="O2516" s="2" t="n">
        <v>14</v>
      </c>
      <c r="P2516" s="2" t="n">
        <v>0</v>
      </c>
      <c r="Q2516" s="2" t="n">
        <v>6</v>
      </c>
      <c r="R2516" s="2" t="n">
        <v>3</v>
      </c>
      <c r="S2516" s="2" t="n">
        <v>5</v>
      </c>
      <c r="T2516" s="2" t="n">
        <v>0</v>
      </c>
      <c r="U2516" s="2" t="n">
        <v>3</v>
      </c>
      <c r="V2516" s="2" t="n">
        <v>2</v>
      </c>
      <c r="W2516" s="2" t="n">
        <v>3</v>
      </c>
      <c r="X2516" s="2" t="n">
        <v>4</v>
      </c>
      <c r="Y2516" s="2" t="n">
        <v>2</v>
      </c>
      <c r="Z2516" s="2" t="n">
        <v>3</v>
      </c>
    </row>
    <row r="2517" customFormat="false" ht="15" hidden="false" customHeight="true" outlineLevel="0" collapsed="false">
      <c r="A2517" s="2" t="n">
        <v>47</v>
      </c>
      <c r="B2517" s="2" t="s">
        <v>26</v>
      </c>
      <c r="C2517" s="2" t="s">
        <v>27</v>
      </c>
      <c r="D2517" s="2" t="s">
        <v>35</v>
      </c>
      <c r="E2517" s="2" t="n">
        <v>19</v>
      </c>
      <c r="F2517" s="2" t="n">
        <v>5</v>
      </c>
      <c r="G2517" s="2" t="s">
        <v>43</v>
      </c>
      <c r="H2517" s="2" t="n">
        <v>2516</v>
      </c>
      <c r="I2517" s="2" t="s">
        <v>30</v>
      </c>
      <c r="J2517" s="2" t="n">
        <v>2</v>
      </c>
      <c r="K2517" s="2" t="s">
        <v>36</v>
      </c>
      <c r="L2517" s="2" t="s">
        <v>46</v>
      </c>
      <c r="M2517" s="2" t="n">
        <v>28270</v>
      </c>
      <c r="N2517" s="2" t="n">
        <v>8</v>
      </c>
      <c r="O2517" s="2" t="n">
        <v>14</v>
      </c>
      <c r="P2517" s="2" t="n">
        <v>1</v>
      </c>
      <c r="Q2517" s="2" t="n">
        <v>28</v>
      </c>
      <c r="R2517" s="2" t="n">
        <v>3</v>
      </c>
      <c r="S2517" s="2" t="n">
        <v>22</v>
      </c>
      <c r="T2517" s="2" t="n">
        <v>14</v>
      </c>
      <c r="U2517" s="2" t="n">
        <v>10</v>
      </c>
      <c r="V2517" s="2" t="n">
        <v>3</v>
      </c>
      <c r="W2517" s="2" t="n">
        <v>2</v>
      </c>
      <c r="X2517" s="2" t="n">
        <v>3</v>
      </c>
      <c r="Y2517" s="2" t="n">
        <v>3</v>
      </c>
      <c r="Z2517" s="2" t="n">
        <v>3</v>
      </c>
    </row>
    <row r="2518" customFormat="false" ht="15" hidden="false" customHeight="true" outlineLevel="0" collapsed="false">
      <c r="A2518" s="2" t="n">
        <v>40</v>
      </c>
      <c r="B2518" s="2" t="s">
        <v>26</v>
      </c>
      <c r="C2518" s="2" t="s">
        <v>27</v>
      </c>
      <c r="D2518" s="2" t="s">
        <v>35</v>
      </c>
      <c r="E2518" s="2" t="n">
        <v>1</v>
      </c>
      <c r="F2518" s="2" t="n">
        <v>4</v>
      </c>
      <c r="G2518" s="2" t="s">
        <v>29</v>
      </c>
      <c r="H2518" s="2" t="n">
        <v>2517</v>
      </c>
      <c r="I2518" s="2" t="s">
        <v>39</v>
      </c>
      <c r="J2518" s="2" t="n">
        <v>2</v>
      </c>
      <c r="K2518" s="2" t="s">
        <v>49</v>
      </c>
      <c r="L2518" s="2" t="s">
        <v>46</v>
      </c>
      <c r="M2518" s="2" t="n">
        <v>199430</v>
      </c>
      <c r="N2518" s="2" t="n">
        <v>2</v>
      </c>
      <c r="O2518" s="2" t="n">
        <v>13</v>
      </c>
      <c r="P2518" s="2" t="n">
        <v>1</v>
      </c>
      <c r="Q2518" s="2" t="n">
        <v>15</v>
      </c>
      <c r="R2518" s="2" t="n">
        <v>3</v>
      </c>
      <c r="S2518" s="2" t="n">
        <v>7</v>
      </c>
      <c r="T2518" s="2" t="n">
        <v>7</v>
      </c>
      <c r="U2518" s="2" t="n">
        <v>7</v>
      </c>
      <c r="V2518" s="2" t="n">
        <v>2</v>
      </c>
      <c r="W2518" s="2" t="n">
        <v>1</v>
      </c>
      <c r="X2518" s="2" t="n">
        <v>3</v>
      </c>
      <c r="Y2518" s="2" t="n">
        <v>3</v>
      </c>
      <c r="Z2518" s="2" t="n">
        <v>3</v>
      </c>
    </row>
    <row r="2519" customFormat="false" ht="15" hidden="false" customHeight="true" outlineLevel="0" collapsed="false">
      <c r="A2519" s="2" t="n">
        <v>54</v>
      </c>
      <c r="B2519" s="2" t="s">
        <v>26</v>
      </c>
      <c r="C2519" s="2" t="s">
        <v>27</v>
      </c>
      <c r="D2519" s="2" t="s">
        <v>28</v>
      </c>
      <c r="E2519" s="2" t="n">
        <v>27</v>
      </c>
      <c r="F2519" s="2" t="n">
        <v>4</v>
      </c>
      <c r="G2519" s="2" t="s">
        <v>43</v>
      </c>
      <c r="H2519" s="2" t="n">
        <v>2518</v>
      </c>
      <c r="I2519" s="2" t="s">
        <v>39</v>
      </c>
      <c r="J2519" s="2" t="n">
        <v>1</v>
      </c>
      <c r="K2519" s="2" t="s">
        <v>36</v>
      </c>
      <c r="L2519" s="2" t="s">
        <v>32</v>
      </c>
      <c r="M2519" s="2" t="n">
        <v>31310</v>
      </c>
      <c r="N2519" s="2" t="n">
        <v>4</v>
      </c>
      <c r="O2519" s="2" t="n">
        <v>14</v>
      </c>
      <c r="P2519" s="2" t="n">
        <v>0</v>
      </c>
      <c r="Q2519" s="2" t="n">
        <v>14</v>
      </c>
      <c r="R2519" s="2" t="n">
        <v>3</v>
      </c>
      <c r="S2519" s="2" t="n">
        <v>7</v>
      </c>
      <c r="T2519" s="2" t="n">
        <v>1</v>
      </c>
      <c r="U2519" s="2" t="n">
        <v>7</v>
      </c>
      <c r="V2519" s="2" t="n">
        <v>4</v>
      </c>
      <c r="W2519" s="2" t="n">
        <v>4</v>
      </c>
      <c r="X2519" s="2" t="n">
        <v>2</v>
      </c>
      <c r="Y2519" s="2" t="n">
        <v>2</v>
      </c>
      <c r="Z2519" s="2" t="n">
        <v>3</v>
      </c>
    </row>
    <row r="2520" customFormat="false" ht="15" hidden="false" customHeight="true" outlineLevel="0" collapsed="false">
      <c r="A2520" s="2" t="n">
        <v>31</v>
      </c>
      <c r="B2520" s="2" t="s">
        <v>26</v>
      </c>
      <c r="C2520" s="2" t="s">
        <v>34</v>
      </c>
      <c r="D2520" s="2" t="s">
        <v>28</v>
      </c>
      <c r="E2520" s="2" t="n">
        <v>8</v>
      </c>
      <c r="F2520" s="2" t="n">
        <v>4</v>
      </c>
      <c r="G2520" s="2" t="s">
        <v>38</v>
      </c>
      <c r="H2520" s="2" t="n">
        <v>2519</v>
      </c>
      <c r="I2520" s="2" t="s">
        <v>30</v>
      </c>
      <c r="J2520" s="2" t="n">
        <v>3</v>
      </c>
      <c r="K2520" s="2" t="s">
        <v>47</v>
      </c>
      <c r="L2520" s="2" t="s">
        <v>32</v>
      </c>
      <c r="M2520" s="2" t="n">
        <v>25520</v>
      </c>
      <c r="N2520" s="2" t="n">
        <v>2</v>
      </c>
      <c r="O2520" s="2" t="n">
        <v>18</v>
      </c>
      <c r="P2520" s="2" t="n">
        <v>0</v>
      </c>
      <c r="Q2520" s="2" t="n">
        <v>9</v>
      </c>
      <c r="R2520" s="2" t="n">
        <v>2</v>
      </c>
      <c r="S2520" s="2" t="n">
        <v>3</v>
      </c>
      <c r="T2520" s="2" t="n">
        <v>2</v>
      </c>
      <c r="U2520" s="2" t="n">
        <v>2</v>
      </c>
      <c r="V2520" s="2" t="n">
        <v>1</v>
      </c>
      <c r="W2520" s="2" t="n">
        <v>1</v>
      </c>
      <c r="X2520" s="2" t="n">
        <v>3</v>
      </c>
      <c r="Y2520" s="2" t="n">
        <v>3</v>
      </c>
      <c r="Z2520" s="2" t="n">
        <v>3</v>
      </c>
    </row>
    <row r="2521" customFormat="false" ht="15" hidden="false" customHeight="true" outlineLevel="0" collapsed="false">
      <c r="A2521" s="2" t="n">
        <v>28</v>
      </c>
      <c r="B2521" s="2" t="s">
        <v>26</v>
      </c>
      <c r="C2521" s="2" t="s">
        <v>27</v>
      </c>
      <c r="D2521" s="2" t="s">
        <v>28</v>
      </c>
      <c r="E2521" s="2" t="n">
        <v>1</v>
      </c>
      <c r="F2521" s="2" t="n">
        <v>2</v>
      </c>
      <c r="G2521" s="2" t="s">
        <v>29</v>
      </c>
      <c r="H2521" s="2" t="n">
        <v>2520</v>
      </c>
      <c r="I2521" s="2" t="s">
        <v>39</v>
      </c>
      <c r="J2521" s="2" t="n">
        <v>3</v>
      </c>
      <c r="K2521" s="2" t="s">
        <v>49</v>
      </c>
      <c r="L2521" s="2" t="s">
        <v>32</v>
      </c>
      <c r="M2521" s="2" t="n">
        <v>44770</v>
      </c>
      <c r="N2521" s="2" t="n">
        <v>1</v>
      </c>
      <c r="O2521" s="2" t="n">
        <v>15</v>
      </c>
      <c r="P2521" s="2" t="n">
        <v>0</v>
      </c>
      <c r="Q2521" s="2" t="n">
        <v>3</v>
      </c>
      <c r="R2521" s="2" t="n">
        <v>6</v>
      </c>
      <c r="S2521" s="2" t="n">
        <v>3</v>
      </c>
      <c r="T2521" s="2" t="n">
        <v>1</v>
      </c>
      <c r="U2521" s="2" t="n">
        <v>2</v>
      </c>
      <c r="V2521" s="2" t="n">
        <v>3</v>
      </c>
      <c r="W2521" s="2" t="n">
        <v>1</v>
      </c>
      <c r="X2521" s="2" t="n">
        <v>3</v>
      </c>
      <c r="Y2521" s="2" t="n">
        <v>3</v>
      </c>
      <c r="Z2521" s="2" t="n">
        <v>3</v>
      </c>
    </row>
    <row r="2522" customFormat="false" ht="15" hidden="false" customHeight="true" outlineLevel="0" collapsed="false">
      <c r="A2522" s="2" t="n">
        <v>38</v>
      </c>
      <c r="B2522" s="2" t="s">
        <v>26</v>
      </c>
      <c r="C2522" s="2" t="s">
        <v>27</v>
      </c>
      <c r="D2522" s="2" t="s">
        <v>35</v>
      </c>
      <c r="E2522" s="2" t="n">
        <v>19</v>
      </c>
      <c r="F2522" s="2" t="n">
        <v>3</v>
      </c>
      <c r="G2522" s="2" t="s">
        <v>43</v>
      </c>
      <c r="H2522" s="2" t="n">
        <v>2521</v>
      </c>
      <c r="I2522" s="2" t="s">
        <v>30</v>
      </c>
      <c r="J2522" s="2" t="n">
        <v>2</v>
      </c>
      <c r="K2522" s="2" t="s">
        <v>47</v>
      </c>
      <c r="L2522" s="2" t="s">
        <v>32</v>
      </c>
      <c r="M2522" s="2" t="n">
        <v>64740</v>
      </c>
      <c r="N2522" s="2" t="n">
        <v>2</v>
      </c>
      <c r="O2522" s="2" t="n">
        <v>13</v>
      </c>
      <c r="P2522" s="2" t="n">
        <v>2</v>
      </c>
      <c r="Q2522" s="2" t="n">
        <v>20</v>
      </c>
      <c r="R2522" s="2" t="n">
        <v>3</v>
      </c>
      <c r="S2522" s="2" t="n">
        <v>4</v>
      </c>
      <c r="T2522" s="2" t="n">
        <v>0</v>
      </c>
      <c r="U2522" s="2" t="n">
        <v>3</v>
      </c>
      <c r="V2522" s="2" t="n">
        <v>2</v>
      </c>
      <c r="W2522" s="2" t="n">
        <v>4</v>
      </c>
      <c r="X2522" s="2" t="n">
        <v>2</v>
      </c>
      <c r="Y2522" s="2" t="n">
        <v>1</v>
      </c>
      <c r="Z2522" s="2" t="n">
        <v>3</v>
      </c>
    </row>
    <row r="2523" customFormat="false" ht="15" hidden="false" customHeight="true" outlineLevel="0" collapsed="false">
      <c r="A2523" s="2" t="n">
        <v>26</v>
      </c>
      <c r="B2523" s="2" t="s">
        <v>26</v>
      </c>
      <c r="C2523" s="2" t="s">
        <v>27</v>
      </c>
      <c r="D2523" s="2" t="s">
        <v>28</v>
      </c>
      <c r="E2523" s="2" t="n">
        <v>8</v>
      </c>
      <c r="F2523" s="2" t="n">
        <v>3</v>
      </c>
      <c r="G2523" s="2" t="s">
        <v>50</v>
      </c>
      <c r="H2523" s="2" t="n">
        <v>2522</v>
      </c>
      <c r="I2523" s="2" t="s">
        <v>30</v>
      </c>
      <c r="J2523" s="2" t="n">
        <v>1</v>
      </c>
      <c r="K2523" s="2" t="s">
        <v>31</v>
      </c>
      <c r="L2523" s="2" t="s">
        <v>37</v>
      </c>
      <c r="M2523" s="2" t="n">
        <v>30330</v>
      </c>
      <c r="N2523" s="2" t="n">
        <v>1</v>
      </c>
      <c r="O2523" s="2" t="n">
        <v>12</v>
      </c>
      <c r="P2523" s="2" t="n">
        <v>0</v>
      </c>
      <c r="Q2523" s="2" t="n">
        <v>5</v>
      </c>
      <c r="R2523" s="2" t="n">
        <v>2</v>
      </c>
      <c r="S2523" s="2" t="n">
        <v>5</v>
      </c>
      <c r="T2523" s="2" t="n">
        <v>1</v>
      </c>
      <c r="U2523" s="2" t="n">
        <v>2</v>
      </c>
      <c r="V2523" s="2" t="n">
        <v>3</v>
      </c>
      <c r="W2523" s="2" t="n">
        <v>4</v>
      </c>
      <c r="X2523" s="2" t="n">
        <v>3</v>
      </c>
      <c r="Y2523" s="2" t="n">
        <v>2</v>
      </c>
      <c r="Z2523" s="2" t="n">
        <v>3</v>
      </c>
    </row>
    <row r="2524" customFormat="false" ht="15" hidden="false" customHeight="true" outlineLevel="0" collapsed="false">
      <c r="A2524" s="2" t="n">
        <v>58</v>
      </c>
      <c r="B2524" s="2" t="s">
        <v>26</v>
      </c>
      <c r="C2524" s="2" t="s">
        <v>34</v>
      </c>
      <c r="D2524" s="2" t="s">
        <v>35</v>
      </c>
      <c r="E2524" s="2" t="n">
        <v>10</v>
      </c>
      <c r="F2524" s="2" t="n">
        <v>4</v>
      </c>
      <c r="G2524" s="2" t="s">
        <v>51</v>
      </c>
      <c r="H2524" s="2" t="n">
        <v>2523</v>
      </c>
      <c r="I2524" s="2" t="s">
        <v>30</v>
      </c>
      <c r="J2524" s="2" t="n">
        <v>1</v>
      </c>
      <c r="K2524" s="2" t="s">
        <v>48</v>
      </c>
      <c r="L2524" s="2" t="s">
        <v>32</v>
      </c>
      <c r="M2524" s="2" t="n">
        <v>29360</v>
      </c>
      <c r="N2524" s="2" t="n">
        <v>2</v>
      </c>
      <c r="O2524" s="2" t="n">
        <v>13</v>
      </c>
      <c r="P2524" s="2" t="n">
        <v>1</v>
      </c>
      <c r="Q2524" s="2" t="n">
        <v>23</v>
      </c>
      <c r="R2524" s="2" t="n">
        <v>3</v>
      </c>
      <c r="S2524" s="2" t="n">
        <v>2</v>
      </c>
      <c r="T2524" s="2" t="n">
        <v>2</v>
      </c>
      <c r="U2524" s="2" t="n">
        <v>2</v>
      </c>
      <c r="V2524" s="2" t="n">
        <v>1</v>
      </c>
      <c r="W2524" s="2" t="n">
        <v>3</v>
      </c>
      <c r="X2524" s="2" t="n">
        <v>3</v>
      </c>
      <c r="Y2524" s="2" t="n">
        <v>3</v>
      </c>
      <c r="Z2524" s="2" t="n">
        <v>3</v>
      </c>
    </row>
    <row r="2525" customFormat="false" ht="15" hidden="false" customHeight="true" outlineLevel="0" collapsed="false">
      <c r="A2525" s="2" t="n">
        <v>18</v>
      </c>
      <c r="B2525" s="2" t="s">
        <v>26</v>
      </c>
      <c r="C2525" s="2" t="s">
        <v>41</v>
      </c>
      <c r="D2525" s="2" t="s">
        <v>35</v>
      </c>
      <c r="E2525" s="2" t="n">
        <v>2</v>
      </c>
      <c r="F2525" s="2" t="n">
        <v>3</v>
      </c>
      <c r="G2525" s="2" t="s">
        <v>29</v>
      </c>
      <c r="H2525" s="2" t="n">
        <v>2524</v>
      </c>
      <c r="I2525" s="2" t="s">
        <v>39</v>
      </c>
      <c r="J2525" s="2" t="n">
        <v>3</v>
      </c>
      <c r="K2525" s="2" t="s">
        <v>48</v>
      </c>
      <c r="L2525" s="2" t="s">
        <v>37</v>
      </c>
      <c r="M2525" s="2" t="n">
        <v>186060</v>
      </c>
      <c r="N2525" s="2" t="n">
        <v>1</v>
      </c>
      <c r="O2525" s="2" t="n">
        <v>24</v>
      </c>
      <c r="P2525" s="2" t="n">
        <v>2</v>
      </c>
      <c r="Q2525" s="2" t="n">
        <v>0</v>
      </c>
      <c r="R2525" s="2" t="n">
        <v>4</v>
      </c>
      <c r="S2525" s="2" t="n">
        <v>0</v>
      </c>
      <c r="T2525" s="2" t="n">
        <v>0</v>
      </c>
      <c r="U2525" s="2" t="n">
        <v>0</v>
      </c>
      <c r="V2525" s="2" t="n">
        <v>2</v>
      </c>
      <c r="W2525" s="2" t="n">
        <v>3</v>
      </c>
      <c r="X2525" s="2" t="n">
        <v>1</v>
      </c>
      <c r="Y2525" s="2" t="n">
        <v>3</v>
      </c>
      <c r="Z2525" s="2" t="n">
        <v>4</v>
      </c>
    </row>
    <row r="2526" customFormat="false" ht="15" hidden="false" customHeight="true" outlineLevel="0" collapsed="false">
      <c r="A2526" s="2" t="n">
        <v>31</v>
      </c>
      <c r="B2526" s="2" t="s">
        <v>33</v>
      </c>
      <c r="C2526" s="2" t="s">
        <v>27</v>
      </c>
      <c r="D2526" s="2" t="s">
        <v>35</v>
      </c>
      <c r="E2526" s="2" t="n">
        <v>2</v>
      </c>
      <c r="F2526" s="2" t="n">
        <v>3</v>
      </c>
      <c r="G2526" s="2" t="s">
        <v>29</v>
      </c>
      <c r="H2526" s="2" t="n">
        <v>2525</v>
      </c>
      <c r="I2526" s="2" t="s">
        <v>39</v>
      </c>
      <c r="J2526" s="2" t="n">
        <v>3</v>
      </c>
      <c r="K2526" s="2" t="s">
        <v>45</v>
      </c>
      <c r="L2526" s="2" t="s">
        <v>32</v>
      </c>
      <c r="M2526" s="2" t="n">
        <v>21680</v>
      </c>
      <c r="N2526" s="2" t="n">
        <v>0</v>
      </c>
      <c r="O2526" s="2" t="n">
        <v>14</v>
      </c>
      <c r="P2526" s="2" t="n">
        <v>1</v>
      </c>
      <c r="Q2526" s="2" t="n">
        <v>2</v>
      </c>
      <c r="R2526" s="2" t="n">
        <v>2</v>
      </c>
      <c r="S2526" s="2" t="n">
        <v>1</v>
      </c>
      <c r="T2526" s="2" t="n">
        <v>0</v>
      </c>
      <c r="U2526" s="2" t="n">
        <v>0</v>
      </c>
      <c r="V2526" s="2" t="n">
        <v>4</v>
      </c>
      <c r="W2526" s="2" t="n">
        <v>1</v>
      </c>
      <c r="X2526" s="2" t="n">
        <v>3</v>
      </c>
      <c r="Y2526" s="2" t="n">
        <v>3</v>
      </c>
      <c r="Z2526" s="2" t="n">
        <v>3</v>
      </c>
    </row>
    <row r="2527" customFormat="false" ht="15" hidden="false" customHeight="true" outlineLevel="0" collapsed="false">
      <c r="A2527" s="2" t="n">
        <v>29</v>
      </c>
      <c r="B2527" s="2" t="s">
        <v>33</v>
      </c>
      <c r="C2527" s="2" t="s">
        <v>27</v>
      </c>
      <c r="D2527" s="2" t="s">
        <v>35</v>
      </c>
      <c r="E2527" s="2" t="n">
        <v>8</v>
      </c>
      <c r="F2527" s="2" t="n">
        <v>2</v>
      </c>
      <c r="G2527" s="2" t="s">
        <v>43</v>
      </c>
      <c r="H2527" s="2" t="n">
        <v>2526</v>
      </c>
      <c r="I2527" s="2" t="s">
        <v>39</v>
      </c>
      <c r="J2527" s="2" t="n">
        <v>1</v>
      </c>
      <c r="K2527" s="2" t="s">
        <v>49</v>
      </c>
      <c r="L2527" s="2" t="s">
        <v>46</v>
      </c>
      <c r="M2527" s="2" t="n">
        <v>28530</v>
      </c>
      <c r="N2527" s="2" t="n">
        <v>4</v>
      </c>
      <c r="O2527" s="2" t="n">
        <v>14</v>
      </c>
      <c r="P2527" s="2" t="n">
        <v>1</v>
      </c>
      <c r="Q2527" s="2" t="n">
        <v>4</v>
      </c>
      <c r="R2527" s="2" t="n">
        <v>5</v>
      </c>
      <c r="S2527" s="2" t="n">
        <v>2</v>
      </c>
      <c r="T2527" s="2" t="n">
        <v>2</v>
      </c>
      <c r="U2527" s="2" t="n">
        <v>0</v>
      </c>
      <c r="V2527" s="2" t="n">
        <v>1</v>
      </c>
      <c r="W2527" s="2" t="n">
        <v>1</v>
      </c>
      <c r="X2527" s="2" t="n">
        <v>3</v>
      </c>
      <c r="Y2527" s="2" t="n">
        <v>2</v>
      </c>
      <c r="Z2527" s="2" t="n">
        <v>3</v>
      </c>
    </row>
    <row r="2528" customFormat="false" ht="15" hidden="false" customHeight="true" outlineLevel="0" collapsed="false">
      <c r="A2528" s="2" t="n">
        <v>45</v>
      </c>
      <c r="B2528" s="2" t="s">
        <v>26</v>
      </c>
      <c r="C2528" s="2" t="s">
        <v>41</v>
      </c>
      <c r="D2528" s="2" t="s">
        <v>28</v>
      </c>
      <c r="E2528" s="2" t="n">
        <v>1</v>
      </c>
      <c r="F2528" s="2" t="n">
        <v>4</v>
      </c>
      <c r="G2528" s="2" t="s">
        <v>51</v>
      </c>
      <c r="H2528" s="2" t="n">
        <v>2527</v>
      </c>
      <c r="I2528" s="2" t="s">
        <v>39</v>
      </c>
      <c r="J2528" s="2" t="n">
        <v>1</v>
      </c>
      <c r="K2528" s="2" t="s">
        <v>36</v>
      </c>
      <c r="L2528" s="2" t="s">
        <v>32</v>
      </c>
      <c r="M2528" s="2" t="n">
        <v>170480</v>
      </c>
      <c r="N2528" s="2" t="n">
        <v>4</v>
      </c>
      <c r="O2528" s="2" t="n">
        <v>15</v>
      </c>
      <c r="P2528" s="2" t="n">
        <v>0</v>
      </c>
      <c r="Q2528" s="2" t="n">
        <v>10</v>
      </c>
      <c r="R2528" s="2" t="n">
        <v>3</v>
      </c>
      <c r="S2528" s="2" t="n">
        <v>8</v>
      </c>
      <c r="T2528" s="2" t="n">
        <v>5</v>
      </c>
      <c r="U2528" s="2" t="n">
        <v>7</v>
      </c>
      <c r="V2528" s="2" t="n">
        <v>3</v>
      </c>
      <c r="W2528" s="2" t="n">
        <v>3</v>
      </c>
      <c r="X2528" s="2" t="n">
        <v>4</v>
      </c>
      <c r="Y2528" s="2" t="n">
        <v>2</v>
      </c>
      <c r="Z2528" s="2" t="n">
        <v>3</v>
      </c>
    </row>
    <row r="2529" customFormat="false" ht="15" hidden="false" customHeight="true" outlineLevel="0" collapsed="false">
      <c r="A2529" s="2" t="n">
        <v>36</v>
      </c>
      <c r="B2529" s="2" t="s">
        <v>26</v>
      </c>
      <c r="C2529" s="2" t="s">
        <v>27</v>
      </c>
      <c r="D2529" s="2" t="s">
        <v>28</v>
      </c>
      <c r="E2529" s="2" t="n">
        <v>2</v>
      </c>
      <c r="F2529" s="2" t="n">
        <v>3</v>
      </c>
      <c r="G2529" s="2" t="s">
        <v>51</v>
      </c>
      <c r="H2529" s="2" t="n">
        <v>2528</v>
      </c>
      <c r="I2529" s="2" t="s">
        <v>30</v>
      </c>
      <c r="J2529" s="2" t="n">
        <v>5</v>
      </c>
      <c r="K2529" s="2" t="s">
        <v>45</v>
      </c>
      <c r="L2529" s="2" t="s">
        <v>32</v>
      </c>
      <c r="M2529" s="2" t="n">
        <v>22900</v>
      </c>
      <c r="N2529" s="2" t="n">
        <v>4</v>
      </c>
      <c r="O2529" s="2" t="n">
        <v>11</v>
      </c>
      <c r="P2529" s="2" t="n">
        <v>0</v>
      </c>
      <c r="Q2529" s="2" t="n">
        <v>15</v>
      </c>
      <c r="R2529" s="2" t="n">
        <v>5</v>
      </c>
      <c r="S2529" s="2" t="n">
        <v>1</v>
      </c>
      <c r="T2529" s="2" t="n">
        <v>0</v>
      </c>
      <c r="U2529" s="2" t="n">
        <v>0</v>
      </c>
      <c r="V2529" s="2" t="n">
        <v>4</v>
      </c>
      <c r="W2529" s="2" t="n">
        <v>2</v>
      </c>
      <c r="X2529" s="2" t="n">
        <v>3</v>
      </c>
      <c r="Y2529" s="2" t="n">
        <v>3</v>
      </c>
      <c r="Z2529" s="2" t="n">
        <v>3</v>
      </c>
    </row>
    <row r="2530" customFormat="false" ht="15" hidden="false" customHeight="true" outlineLevel="0" collapsed="false">
      <c r="A2530" s="2" t="n">
        <v>43</v>
      </c>
      <c r="B2530" s="2" t="s">
        <v>26</v>
      </c>
      <c r="C2530" s="2" t="s">
        <v>34</v>
      </c>
      <c r="D2530" s="2" t="s">
        <v>28</v>
      </c>
      <c r="E2530" s="2" t="n">
        <v>8</v>
      </c>
      <c r="F2530" s="2" t="n">
        <v>3</v>
      </c>
      <c r="G2530" s="2" t="s">
        <v>43</v>
      </c>
      <c r="H2530" s="2" t="n">
        <v>2529</v>
      </c>
      <c r="I2530" s="2" t="s">
        <v>39</v>
      </c>
      <c r="J2530" s="2" t="n">
        <v>1</v>
      </c>
      <c r="K2530" s="2" t="s">
        <v>44</v>
      </c>
      <c r="L2530" s="2" t="s">
        <v>32</v>
      </c>
      <c r="M2530" s="2" t="n">
        <v>36000</v>
      </c>
      <c r="N2530" s="2" t="n">
        <v>1</v>
      </c>
      <c r="O2530" s="2" t="n">
        <v>23</v>
      </c>
      <c r="P2530" s="2" t="n">
        <v>0</v>
      </c>
      <c r="Q2530" s="2" t="n">
        <v>7</v>
      </c>
      <c r="R2530" s="2" t="n">
        <v>2</v>
      </c>
      <c r="S2530" s="2" t="n">
        <v>7</v>
      </c>
      <c r="T2530" s="2" t="n">
        <v>7</v>
      </c>
      <c r="U2530" s="2" t="n">
        <v>7</v>
      </c>
      <c r="V2530" s="2" t="n">
        <v>1</v>
      </c>
      <c r="W2530" s="2" t="n">
        <v>4</v>
      </c>
      <c r="X2530" s="2" t="n">
        <v>3</v>
      </c>
      <c r="Y2530" s="2" t="n">
        <v>3</v>
      </c>
      <c r="Z2530" s="2" t="n">
        <v>4</v>
      </c>
    </row>
    <row r="2531" customFormat="false" ht="15" hidden="false" customHeight="true" outlineLevel="0" collapsed="false">
      <c r="A2531" s="2" t="n">
        <v>27</v>
      </c>
      <c r="B2531" s="2" t="s">
        <v>26</v>
      </c>
      <c r="C2531" s="2" t="s">
        <v>34</v>
      </c>
      <c r="D2531" s="2" t="s">
        <v>28</v>
      </c>
      <c r="E2531" s="2" t="n">
        <v>8</v>
      </c>
      <c r="F2531" s="2" t="n">
        <v>4</v>
      </c>
      <c r="G2531" s="2" t="s">
        <v>29</v>
      </c>
      <c r="H2531" s="2" t="n">
        <v>2530</v>
      </c>
      <c r="I2531" s="2" t="s">
        <v>39</v>
      </c>
      <c r="J2531" s="2" t="n">
        <v>5</v>
      </c>
      <c r="K2531" s="2" t="s">
        <v>36</v>
      </c>
      <c r="L2531" s="2" t="s">
        <v>37</v>
      </c>
      <c r="M2531" s="2" t="n">
        <v>21070</v>
      </c>
      <c r="N2531" s="2" t="n">
        <v>0</v>
      </c>
      <c r="O2531" s="2" t="n">
        <v>13</v>
      </c>
      <c r="P2531" s="2" t="n">
        <v>0</v>
      </c>
      <c r="Q2531" s="2" t="n">
        <v>6</v>
      </c>
      <c r="R2531" s="2" t="n">
        <v>2</v>
      </c>
      <c r="S2531" s="2" t="n">
        <v>5</v>
      </c>
      <c r="T2531" s="2" t="n">
        <v>0</v>
      </c>
      <c r="U2531" s="2" t="n">
        <v>2</v>
      </c>
      <c r="V2531" s="2" t="n">
        <v>4</v>
      </c>
      <c r="W2531" s="2" t="n">
        <v>4</v>
      </c>
      <c r="X2531" s="2" t="n">
        <v>2</v>
      </c>
      <c r="Y2531" s="2" t="n">
        <v>3</v>
      </c>
      <c r="Z2531" s="2" t="n">
        <v>3</v>
      </c>
    </row>
    <row r="2532" customFormat="false" ht="15" hidden="false" customHeight="true" outlineLevel="0" collapsed="false">
      <c r="A2532" s="2" t="n">
        <v>29</v>
      </c>
      <c r="B2532" s="2" t="s">
        <v>26</v>
      </c>
      <c r="C2532" s="2" t="s">
        <v>34</v>
      </c>
      <c r="D2532" s="2" t="s">
        <v>35</v>
      </c>
      <c r="E2532" s="2" t="n">
        <v>6</v>
      </c>
      <c r="F2532" s="2" t="n">
        <v>2</v>
      </c>
      <c r="G2532" s="2" t="s">
        <v>43</v>
      </c>
      <c r="H2532" s="2" t="n">
        <v>2531</v>
      </c>
      <c r="I2532" s="2" t="s">
        <v>39</v>
      </c>
      <c r="J2532" s="2" t="n">
        <v>1</v>
      </c>
      <c r="K2532" s="2" t="s">
        <v>42</v>
      </c>
      <c r="L2532" s="2" t="s">
        <v>32</v>
      </c>
      <c r="M2532" s="2" t="n">
        <v>41150</v>
      </c>
      <c r="N2532" s="2" t="n">
        <v>1</v>
      </c>
      <c r="O2532" s="2" t="n">
        <v>11</v>
      </c>
      <c r="P2532" s="2" t="n">
        <v>0</v>
      </c>
      <c r="Q2532" s="2" t="n">
        <v>11</v>
      </c>
      <c r="R2532" s="2" t="n">
        <v>1</v>
      </c>
      <c r="S2532" s="2" t="n">
        <v>11</v>
      </c>
      <c r="T2532" s="2" t="n">
        <v>3</v>
      </c>
      <c r="U2532" s="2" t="n">
        <v>10</v>
      </c>
      <c r="V2532" s="2" t="n">
        <v>4</v>
      </c>
      <c r="W2532" s="2" t="n">
        <v>4</v>
      </c>
      <c r="X2532" s="2" t="n">
        <v>4</v>
      </c>
      <c r="Y2532" s="2" t="n">
        <v>3</v>
      </c>
      <c r="Z2532" s="2" t="n">
        <v>3</v>
      </c>
    </row>
    <row r="2533" customFormat="false" ht="15" hidden="false" customHeight="true" outlineLevel="0" collapsed="false">
      <c r="A2533" s="2" t="n">
        <v>32</v>
      </c>
      <c r="B2533" s="2" t="s">
        <v>26</v>
      </c>
      <c r="C2533" s="2" t="s">
        <v>34</v>
      </c>
      <c r="D2533" s="2" t="s">
        <v>28</v>
      </c>
      <c r="E2533" s="2" t="n">
        <v>9</v>
      </c>
      <c r="F2533" s="2" t="n">
        <v>4</v>
      </c>
      <c r="G2533" s="2" t="s">
        <v>29</v>
      </c>
      <c r="H2533" s="2" t="n">
        <v>2532</v>
      </c>
      <c r="I2533" s="2" t="s">
        <v>39</v>
      </c>
      <c r="J2533" s="2" t="n">
        <v>4</v>
      </c>
      <c r="K2533" s="2" t="s">
        <v>40</v>
      </c>
      <c r="L2533" s="2" t="s">
        <v>37</v>
      </c>
      <c r="M2533" s="2" t="n">
        <v>43270</v>
      </c>
      <c r="N2533" s="2" t="n">
        <v>8</v>
      </c>
      <c r="O2533" s="2" t="n">
        <v>13</v>
      </c>
      <c r="P2533" s="2" t="n">
        <v>0</v>
      </c>
      <c r="Q2533" s="2" t="n">
        <v>4</v>
      </c>
      <c r="R2533" s="2" t="n">
        <v>4</v>
      </c>
      <c r="S2533" s="2" t="n">
        <v>0</v>
      </c>
      <c r="T2533" s="2" t="n">
        <v>0</v>
      </c>
      <c r="U2533" s="2" t="n">
        <v>0</v>
      </c>
      <c r="V2533" s="2" t="n">
        <v>4</v>
      </c>
      <c r="W2533" s="2" t="n">
        <v>4</v>
      </c>
      <c r="X2533" s="2" t="n">
        <v>4</v>
      </c>
      <c r="Y2533" s="2" t="n">
        <v>3</v>
      </c>
      <c r="Z2533" s="2" t="n">
        <v>3</v>
      </c>
    </row>
    <row r="2534" customFormat="false" ht="15" hidden="false" customHeight="true" outlineLevel="0" collapsed="false">
      <c r="A2534" s="2" t="n">
        <v>42</v>
      </c>
      <c r="B2534" s="2" t="s">
        <v>26</v>
      </c>
      <c r="C2534" s="2" t="s">
        <v>41</v>
      </c>
      <c r="D2534" s="2" t="s">
        <v>35</v>
      </c>
      <c r="E2534" s="2" t="n">
        <v>11</v>
      </c>
      <c r="F2534" s="2" t="n">
        <v>3</v>
      </c>
      <c r="G2534" s="2" t="s">
        <v>43</v>
      </c>
      <c r="H2534" s="2" t="n">
        <v>2533</v>
      </c>
      <c r="I2534" s="2" t="s">
        <v>39</v>
      </c>
      <c r="J2534" s="2" t="n">
        <v>1</v>
      </c>
      <c r="K2534" s="2" t="s">
        <v>49</v>
      </c>
      <c r="L2534" s="2" t="s">
        <v>32</v>
      </c>
      <c r="M2534" s="2" t="n">
        <v>178560</v>
      </c>
      <c r="N2534" s="2" t="n">
        <v>3</v>
      </c>
      <c r="O2534" s="2" t="n">
        <v>18</v>
      </c>
      <c r="P2534" s="2" t="n">
        <v>0</v>
      </c>
      <c r="Q2534" s="2" t="n">
        <v>10</v>
      </c>
      <c r="R2534" s="2" t="n">
        <v>2</v>
      </c>
      <c r="S2534" s="2" t="n">
        <v>6</v>
      </c>
      <c r="T2534" s="2" t="n">
        <v>3</v>
      </c>
      <c r="U2534" s="2" t="n">
        <v>3</v>
      </c>
      <c r="V2534" s="2" t="n">
        <v>3</v>
      </c>
      <c r="W2534" s="2" t="n">
        <v>3</v>
      </c>
      <c r="X2534" s="2" t="n">
        <v>2</v>
      </c>
      <c r="Y2534" s="2" t="n">
        <v>3</v>
      </c>
      <c r="Z2534" s="2" t="n">
        <v>3</v>
      </c>
    </row>
    <row r="2535" customFormat="false" ht="15" hidden="false" customHeight="true" outlineLevel="0" collapsed="false">
      <c r="A2535" s="2" t="n">
        <v>47</v>
      </c>
      <c r="B2535" s="2" t="s">
        <v>26</v>
      </c>
      <c r="C2535" s="2" t="s">
        <v>27</v>
      </c>
      <c r="D2535" s="2" t="s">
        <v>28</v>
      </c>
      <c r="E2535" s="2" t="n">
        <v>2</v>
      </c>
      <c r="F2535" s="2" t="n">
        <v>2</v>
      </c>
      <c r="G2535" s="2" t="s">
        <v>29</v>
      </c>
      <c r="H2535" s="2" t="n">
        <v>2534</v>
      </c>
      <c r="I2535" s="2" t="s">
        <v>30</v>
      </c>
      <c r="J2535" s="2" t="n">
        <v>5</v>
      </c>
      <c r="K2535" s="2" t="s">
        <v>49</v>
      </c>
      <c r="L2535" s="2" t="s">
        <v>37</v>
      </c>
      <c r="M2535" s="2" t="n">
        <v>31960</v>
      </c>
      <c r="N2535" s="2" t="n">
        <v>4</v>
      </c>
      <c r="O2535" s="2" t="n">
        <v>14</v>
      </c>
      <c r="P2535" s="2" t="n">
        <v>1</v>
      </c>
      <c r="Q2535" s="2" t="n">
        <v>7</v>
      </c>
      <c r="R2535" s="2" t="n">
        <v>3</v>
      </c>
      <c r="S2535" s="2" t="n">
        <v>2</v>
      </c>
      <c r="T2535" s="2" t="n">
        <v>2</v>
      </c>
      <c r="U2535" s="2" t="n">
        <v>0</v>
      </c>
      <c r="V2535" s="2" t="n">
        <v>2</v>
      </c>
      <c r="W2535" s="2" t="n">
        <v>3</v>
      </c>
      <c r="X2535" s="2" t="n">
        <v>3</v>
      </c>
      <c r="Y2535" s="2" t="n">
        <v>2</v>
      </c>
      <c r="Z2535" s="2" t="n">
        <v>3</v>
      </c>
    </row>
    <row r="2536" customFormat="false" ht="15" hidden="false" customHeight="true" outlineLevel="0" collapsed="false">
      <c r="A2536" s="2" t="n">
        <v>46</v>
      </c>
      <c r="B2536" s="2" t="s">
        <v>26</v>
      </c>
      <c r="C2536" s="2" t="s">
        <v>27</v>
      </c>
      <c r="D2536" s="2" t="s">
        <v>42</v>
      </c>
      <c r="E2536" s="2" t="n">
        <v>1</v>
      </c>
      <c r="F2536" s="2" t="n">
        <v>3</v>
      </c>
      <c r="G2536" s="2" t="s">
        <v>29</v>
      </c>
      <c r="H2536" s="2" t="n">
        <v>2535</v>
      </c>
      <c r="I2536" s="2" t="s">
        <v>30</v>
      </c>
      <c r="J2536" s="2" t="n">
        <v>1</v>
      </c>
      <c r="K2536" s="2" t="s">
        <v>45</v>
      </c>
      <c r="L2536" s="2" t="s">
        <v>46</v>
      </c>
      <c r="M2536" s="2" t="n">
        <v>190810</v>
      </c>
      <c r="N2536" s="2" t="n">
        <v>3</v>
      </c>
      <c r="O2536" s="2" t="n">
        <v>21</v>
      </c>
      <c r="P2536" s="2" t="n">
        <v>0</v>
      </c>
      <c r="Q2536" s="2" t="n">
        <v>12</v>
      </c>
      <c r="R2536" s="2" t="n">
        <v>2</v>
      </c>
      <c r="S2536" s="2" t="n">
        <v>9</v>
      </c>
      <c r="T2536" s="2" t="n">
        <v>4</v>
      </c>
      <c r="U2536" s="2" t="n">
        <v>7</v>
      </c>
      <c r="V2536" s="2" t="n">
        <v>4</v>
      </c>
      <c r="W2536" s="2" t="n">
        <v>4</v>
      </c>
      <c r="X2536" s="2" t="n">
        <v>2</v>
      </c>
      <c r="Y2536" s="2" t="n">
        <v>3</v>
      </c>
      <c r="Z2536" s="2" t="n">
        <v>4</v>
      </c>
    </row>
    <row r="2537" customFormat="false" ht="15" hidden="false" customHeight="true" outlineLevel="0" collapsed="false">
      <c r="A2537" s="2" t="n">
        <v>28</v>
      </c>
      <c r="B2537" s="2" t="s">
        <v>26</v>
      </c>
      <c r="C2537" s="2" t="s">
        <v>41</v>
      </c>
      <c r="D2537" s="2" t="s">
        <v>35</v>
      </c>
      <c r="E2537" s="2" t="n">
        <v>7</v>
      </c>
      <c r="F2537" s="2" t="n">
        <v>3</v>
      </c>
      <c r="G2537" s="2" t="s">
        <v>29</v>
      </c>
      <c r="H2537" s="2" t="n">
        <v>2536</v>
      </c>
      <c r="I2537" s="2" t="s">
        <v>39</v>
      </c>
      <c r="J2537" s="2" t="n">
        <v>1</v>
      </c>
      <c r="K2537" s="2" t="s">
        <v>40</v>
      </c>
      <c r="L2537" s="2" t="s">
        <v>46</v>
      </c>
      <c r="M2537" s="2" t="n">
        <v>89660</v>
      </c>
      <c r="N2537" s="2" t="n">
        <v>1</v>
      </c>
      <c r="O2537" s="2" t="n">
        <v>16</v>
      </c>
      <c r="P2537" s="2" t="n">
        <v>1</v>
      </c>
      <c r="Q2537" s="2" t="n">
        <v>3</v>
      </c>
      <c r="R2537" s="2" t="n">
        <v>3</v>
      </c>
      <c r="S2537" s="2" t="n">
        <v>3</v>
      </c>
      <c r="T2537" s="2" t="n">
        <v>2</v>
      </c>
      <c r="U2537" s="2" t="n">
        <v>2</v>
      </c>
      <c r="V2537" s="2" t="n">
        <v>3</v>
      </c>
      <c r="W2537" s="2" t="n">
        <v>4</v>
      </c>
      <c r="X2537" s="2" t="n">
        <v>3</v>
      </c>
      <c r="Y2537" s="2" t="n">
        <v>2</v>
      </c>
      <c r="Z2537" s="2" t="n">
        <v>3</v>
      </c>
    </row>
    <row r="2538" customFormat="false" ht="15" hidden="false" customHeight="true" outlineLevel="0" collapsed="false">
      <c r="A2538" s="2" t="n">
        <v>29</v>
      </c>
      <c r="B2538" s="2" t="s">
        <v>26</v>
      </c>
      <c r="C2538" s="2" t="s">
        <v>27</v>
      </c>
      <c r="D2538" s="2" t="s">
        <v>35</v>
      </c>
      <c r="E2538" s="2" t="n">
        <v>16</v>
      </c>
      <c r="F2538" s="2" t="n">
        <v>3</v>
      </c>
      <c r="G2538" s="2" t="s">
        <v>43</v>
      </c>
      <c r="H2538" s="2" t="n">
        <v>2537</v>
      </c>
      <c r="I2538" s="2" t="s">
        <v>30</v>
      </c>
      <c r="J2538" s="2" t="n">
        <v>1</v>
      </c>
      <c r="K2538" s="2" t="s">
        <v>47</v>
      </c>
      <c r="L2538" s="2" t="s">
        <v>46</v>
      </c>
      <c r="M2538" s="2" t="n">
        <v>22100</v>
      </c>
      <c r="N2538" s="2" t="n">
        <v>8</v>
      </c>
      <c r="O2538" s="2" t="n">
        <v>11</v>
      </c>
      <c r="P2538" s="2" t="n">
        <v>1</v>
      </c>
      <c r="Q2538" s="2" t="n">
        <v>11</v>
      </c>
      <c r="R2538" s="2" t="n">
        <v>4</v>
      </c>
      <c r="S2538" s="2" t="n">
        <v>7</v>
      </c>
      <c r="T2538" s="2" t="n">
        <v>1</v>
      </c>
      <c r="U2538" s="2" t="n">
        <v>6</v>
      </c>
      <c r="V2538" s="2" t="n">
        <v>4</v>
      </c>
      <c r="W2538" s="2" t="n">
        <v>3</v>
      </c>
      <c r="X2538" s="2" t="n">
        <v>3</v>
      </c>
      <c r="Y2538" s="2" t="n">
        <v>3</v>
      </c>
      <c r="Z2538" s="2" t="n">
        <v>3</v>
      </c>
    </row>
    <row r="2539" customFormat="false" ht="15" hidden="false" customHeight="true" outlineLevel="0" collapsed="false">
      <c r="A2539" s="2" t="n">
        <v>42</v>
      </c>
      <c r="B2539" s="2" t="s">
        <v>26</v>
      </c>
      <c r="C2539" s="2" t="s">
        <v>27</v>
      </c>
      <c r="D2539" s="2" t="s">
        <v>28</v>
      </c>
      <c r="E2539" s="2" t="n">
        <v>2</v>
      </c>
      <c r="F2539" s="2" t="n">
        <v>4</v>
      </c>
      <c r="G2539" s="2" t="s">
        <v>43</v>
      </c>
      <c r="H2539" s="2" t="n">
        <v>2538</v>
      </c>
      <c r="I2539" s="2" t="s">
        <v>30</v>
      </c>
      <c r="J2539" s="2" t="n">
        <v>2</v>
      </c>
      <c r="K2539" s="2" t="s">
        <v>44</v>
      </c>
      <c r="L2539" s="2" t="s">
        <v>37</v>
      </c>
      <c r="M2539" s="2" t="n">
        <v>45390</v>
      </c>
      <c r="N2539" s="2" t="n">
        <v>4</v>
      </c>
      <c r="O2539" s="2" t="n">
        <v>17</v>
      </c>
      <c r="P2539" s="2" t="n">
        <v>1</v>
      </c>
      <c r="Q2539" s="2" t="n">
        <v>8</v>
      </c>
      <c r="R2539" s="2" t="n">
        <v>5</v>
      </c>
      <c r="S2539" s="2" t="n">
        <v>0</v>
      </c>
      <c r="T2539" s="2" t="n">
        <v>0</v>
      </c>
      <c r="U2539" s="2" t="n">
        <v>0</v>
      </c>
      <c r="V2539" s="2" t="n">
        <v>4</v>
      </c>
      <c r="W2539" s="2" t="n">
        <v>3</v>
      </c>
      <c r="X2539" s="2" t="n">
        <v>3</v>
      </c>
      <c r="Y2539" s="2" t="n">
        <v>3</v>
      </c>
      <c r="Z2539" s="2" t="n">
        <v>3</v>
      </c>
    </row>
    <row r="2540" customFormat="false" ht="15" hidden="false" customHeight="true" outlineLevel="0" collapsed="false">
      <c r="A2540" s="2" t="n">
        <v>32</v>
      </c>
      <c r="B2540" s="2" t="s">
        <v>33</v>
      </c>
      <c r="C2540" s="2" t="s">
        <v>27</v>
      </c>
      <c r="D2540" s="2" t="s">
        <v>35</v>
      </c>
      <c r="E2540" s="2" t="n">
        <v>1</v>
      </c>
      <c r="F2540" s="2" t="n">
        <v>1</v>
      </c>
      <c r="G2540" s="2" t="s">
        <v>43</v>
      </c>
      <c r="H2540" s="2" t="n">
        <v>2539</v>
      </c>
      <c r="I2540" s="2" t="s">
        <v>39</v>
      </c>
      <c r="J2540" s="2" t="n">
        <v>2</v>
      </c>
      <c r="K2540" s="2" t="s">
        <v>45</v>
      </c>
      <c r="L2540" s="2" t="s">
        <v>37</v>
      </c>
      <c r="M2540" s="2" t="n">
        <v>27410</v>
      </c>
      <c r="N2540" s="2" t="n">
        <v>7</v>
      </c>
      <c r="O2540" s="2" t="n">
        <v>11</v>
      </c>
      <c r="P2540" s="2" t="n">
        <v>0</v>
      </c>
      <c r="Q2540" s="2" t="n">
        <v>7</v>
      </c>
      <c r="R2540" s="2" t="n">
        <v>3</v>
      </c>
      <c r="S2540" s="2" t="n">
        <v>2</v>
      </c>
      <c r="T2540" s="2" t="n">
        <v>2</v>
      </c>
      <c r="U2540" s="2" t="n">
        <v>2</v>
      </c>
      <c r="V2540" s="2" t="n">
        <v>3</v>
      </c>
      <c r="W2540" s="2" t="n">
        <v>2</v>
      </c>
      <c r="X2540" s="2" t="n">
        <v>2</v>
      </c>
      <c r="Y2540" s="2" t="n">
        <v>3</v>
      </c>
      <c r="Z2540" s="2" t="n">
        <v>3</v>
      </c>
    </row>
    <row r="2541" customFormat="false" ht="15" hidden="false" customHeight="true" outlineLevel="0" collapsed="false">
      <c r="A2541" s="2" t="n">
        <v>46</v>
      </c>
      <c r="B2541" s="2" t="s">
        <v>26</v>
      </c>
      <c r="C2541" s="2" t="s">
        <v>27</v>
      </c>
      <c r="D2541" s="2" t="s">
        <v>35</v>
      </c>
      <c r="E2541" s="2" t="n">
        <v>23</v>
      </c>
      <c r="F2541" s="2" t="n">
        <v>1</v>
      </c>
      <c r="G2541" s="2" t="s">
        <v>29</v>
      </c>
      <c r="H2541" s="2" t="n">
        <v>2540</v>
      </c>
      <c r="I2541" s="2" t="s">
        <v>39</v>
      </c>
      <c r="J2541" s="2" t="n">
        <v>2</v>
      </c>
      <c r="K2541" s="2" t="s">
        <v>45</v>
      </c>
      <c r="L2541" s="2" t="s">
        <v>46</v>
      </c>
      <c r="M2541" s="2" t="n">
        <v>34910</v>
      </c>
      <c r="N2541" s="2" t="n">
        <v>2</v>
      </c>
      <c r="O2541" s="2" t="n">
        <v>14</v>
      </c>
      <c r="P2541" s="2" t="n">
        <v>0</v>
      </c>
      <c r="Q2541" s="2" t="n">
        <v>25</v>
      </c>
      <c r="R2541" s="2" t="n">
        <v>0</v>
      </c>
      <c r="S2541" s="2" t="n">
        <v>19</v>
      </c>
      <c r="T2541" s="2" t="n">
        <v>2</v>
      </c>
      <c r="U2541" s="2" t="n">
        <v>8</v>
      </c>
      <c r="V2541" s="2" t="n">
        <v>1</v>
      </c>
      <c r="W2541" s="2" t="n">
        <v>1</v>
      </c>
      <c r="X2541" s="2" t="n">
        <v>3</v>
      </c>
      <c r="Y2541" s="2" t="n">
        <v>3</v>
      </c>
      <c r="Z2541" s="2" t="n">
        <v>3</v>
      </c>
    </row>
    <row r="2542" customFormat="false" ht="15" hidden="false" customHeight="true" outlineLevel="0" collapsed="false">
      <c r="A2542" s="2" t="n">
        <v>27</v>
      </c>
      <c r="B2542" s="2" t="s">
        <v>26</v>
      </c>
      <c r="C2542" s="2" t="s">
        <v>27</v>
      </c>
      <c r="D2542" s="2" t="s">
        <v>28</v>
      </c>
      <c r="E2542" s="2" t="n">
        <v>2</v>
      </c>
      <c r="F2542" s="2" t="n">
        <v>3</v>
      </c>
      <c r="G2542" s="2" t="s">
        <v>29</v>
      </c>
      <c r="H2542" s="2" t="n">
        <v>2541</v>
      </c>
      <c r="I2542" s="2" t="s">
        <v>30</v>
      </c>
      <c r="J2542" s="2" t="n">
        <v>5</v>
      </c>
      <c r="K2542" s="2" t="s">
        <v>36</v>
      </c>
      <c r="L2542" s="2" t="s">
        <v>32</v>
      </c>
      <c r="M2542" s="2" t="n">
        <v>45410</v>
      </c>
      <c r="N2542" s="2" t="n">
        <v>1</v>
      </c>
      <c r="O2542" s="2" t="n">
        <v>14</v>
      </c>
      <c r="P2542" s="2" t="n">
        <v>2</v>
      </c>
      <c r="Q2542" s="2" t="n">
        <v>9</v>
      </c>
      <c r="R2542" s="2" t="n">
        <v>4</v>
      </c>
      <c r="S2542" s="2" t="n">
        <v>9</v>
      </c>
      <c r="T2542" s="2" t="n">
        <v>5</v>
      </c>
      <c r="U2542" s="2" t="n">
        <v>8</v>
      </c>
      <c r="V2542" s="2" t="n">
        <v>2</v>
      </c>
      <c r="W2542" s="2" t="n">
        <v>3</v>
      </c>
      <c r="X2542" s="2" t="n">
        <v>3</v>
      </c>
      <c r="Y2542" s="2" t="n">
        <v>4</v>
      </c>
      <c r="Z2542" s="2" t="n">
        <v>3</v>
      </c>
    </row>
    <row r="2543" customFormat="false" ht="15" hidden="false" customHeight="true" outlineLevel="0" collapsed="false">
      <c r="A2543" s="2" t="n">
        <v>29</v>
      </c>
      <c r="B2543" s="2" t="s">
        <v>26</v>
      </c>
      <c r="C2543" s="2" t="s">
        <v>27</v>
      </c>
      <c r="D2543" s="2" t="s">
        <v>35</v>
      </c>
      <c r="E2543" s="2" t="n">
        <v>1</v>
      </c>
      <c r="F2543" s="2" t="n">
        <v>2</v>
      </c>
      <c r="G2543" s="2" t="s">
        <v>43</v>
      </c>
      <c r="H2543" s="2" t="n">
        <v>2542</v>
      </c>
      <c r="I2543" s="2" t="s">
        <v>39</v>
      </c>
      <c r="J2543" s="2" t="n">
        <v>3</v>
      </c>
      <c r="K2543" s="2" t="s">
        <v>40</v>
      </c>
      <c r="L2543" s="2" t="s">
        <v>32</v>
      </c>
      <c r="M2543" s="2" t="n">
        <v>26780</v>
      </c>
      <c r="N2543" s="2" t="n">
        <v>1</v>
      </c>
      <c r="O2543" s="2" t="n">
        <v>25</v>
      </c>
      <c r="P2543" s="2" t="n">
        <v>1</v>
      </c>
      <c r="Q2543" s="2" t="n">
        <v>1</v>
      </c>
      <c r="R2543" s="2" t="n">
        <v>3</v>
      </c>
      <c r="S2543" s="2" t="n">
        <v>1</v>
      </c>
      <c r="T2543" s="2" t="n">
        <v>0</v>
      </c>
      <c r="U2543" s="2" t="n">
        <v>0</v>
      </c>
      <c r="V2543" s="2" t="n">
        <v>4</v>
      </c>
      <c r="W2543" s="2" t="n">
        <v>2</v>
      </c>
      <c r="X2543" s="2" t="n">
        <v>3</v>
      </c>
      <c r="Y2543" s="2" t="n">
        <v>3</v>
      </c>
      <c r="Z2543" s="2" t="n">
        <v>4</v>
      </c>
    </row>
    <row r="2544" customFormat="false" ht="15" hidden="false" customHeight="true" outlineLevel="0" collapsed="false">
      <c r="A2544" s="2" t="n">
        <v>43</v>
      </c>
      <c r="B2544" s="2" t="s">
        <v>26</v>
      </c>
      <c r="C2544" s="2" t="s">
        <v>27</v>
      </c>
      <c r="D2544" s="2" t="s">
        <v>35</v>
      </c>
      <c r="E2544" s="2" t="n">
        <v>1</v>
      </c>
      <c r="F2544" s="2" t="n">
        <v>3</v>
      </c>
      <c r="G2544" s="2" t="s">
        <v>29</v>
      </c>
      <c r="H2544" s="2" t="n">
        <v>2543</v>
      </c>
      <c r="I2544" s="2" t="s">
        <v>39</v>
      </c>
      <c r="J2544" s="2" t="n">
        <v>1</v>
      </c>
      <c r="K2544" s="2" t="s">
        <v>47</v>
      </c>
      <c r="L2544" s="2" t="s">
        <v>32</v>
      </c>
      <c r="M2544" s="2" t="n">
        <v>73790</v>
      </c>
      <c r="N2544" s="2" t="n">
        <v>7</v>
      </c>
      <c r="O2544" s="2" t="n">
        <v>13</v>
      </c>
      <c r="P2544" s="2" t="n">
        <v>2</v>
      </c>
      <c r="Q2544" s="2" t="n">
        <v>21</v>
      </c>
      <c r="R2544" s="2" t="n">
        <v>3</v>
      </c>
      <c r="S2544" s="2" t="n">
        <v>16</v>
      </c>
      <c r="T2544" s="2" t="n">
        <v>6</v>
      </c>
      <c r="U2544" s="2" t="n">
        <v>14</v>
      </c>
      <c r="V2544" s="2" t="n">
        <v>1</v>
      </c>
      <c r="W2544" s="2" t="n">
        <v>3</v>
      </c>
      <c r="X2544" s="2" t="n">
        <v>3</v>
      </c>
      <c r="Y2544" s="2" t="n">
        <v>2</v>
      </c>
      <c r="Z2544" s="2" t="n">
        <v>3</v>
      </c>
    </row>
    <row r="2545" customFormat="false" ht="15" hidden="false" customHeight="true" outlineLevel="0" collapsed="false">
      <c r="A2545" s="2" t="n">
        <v>48</v>
      </c>
      <c r="B2545" s="2" t="s">
        <v>26</v>
      </c>
      <c r="C2545" s="2" t="s">
        <v>27</v>
      </c>
      <c r="D2545" s="2" t="s">
        <v>35</v>
      </c>
      <c r="E2545" s="2" t="n">
        <v>2</v>
      </c>
      <c r="F2545" s="2" t="n">
        <v>3</v>
      </c>
      <c r="G2545" s="2" t="s">
        <v>29</v>
      </c>
      <c r="H2545" s="2" t="n">
        <v>2544</v>
      </c>
      <c r="I2545" s="2" t="s">
        <v>30</v>
      </c>
      <c r="J2545" s="2" t="n">
        <v>2</v>
      </c>
      <c r="K2545" s="2" t="s">
        <v>49</v>
      </c>
      <c r="L2545" s="2" t="s">
        <v>32</v>
      </c>
      <c r="M2545" s="2" t="n">
        <v>62720</v>
      </c>
      <c r="N2545" s="2" t="n">
        <v>4</v>
      </c>
      <c r="O2545" s="2" t="n">
        <v>14</v>
      </c>
      <c r="P2545" s="2" t="n">
        <v>0</v>
      </c>
      <c r="Q2545" s="2" t="n">
        <v>29</v>
      </c>
      <c r="R2545" s="2" t="n">
        <v>3</v>
      </c>
      <c r="S2545" s="2" t="n">
        <v>22</v>
      </c>
      <c r="T2545" s="2" t="n">
        <v>12</v>
      </c>
      <c r="U2545" s="2" t="n">
        <v>9</v>
      </c>
      <c r="V2545" s="2" t="n">
        <v>4</v>
      </c>
      <c r="W2545" s="2" t="n">
        <v>2</v>
      </c>
      <c r="X2545" s="2" t="n">
        <v>3</v>
      </c>
      <c r="Y2545" s="2" t="n">
        <v>2</v>
      </c>
      <c r="Z2545" s="2" t="n">
        <v>3</v>
      </c>
    </row>
    <row r="2546" customFormat="false" ht="15" hidden="false" customHeight="true" outlineLevel="0" collapsed="false">
      <c r="A2546" s="2" t="n">
        <v>29</v>
      </c>
      <c r="B2546" s="2" t="s">
        <v>33</v>
      </c>
      <c r="C2546" s="2" t="s">
        <v>34</v>
      </c>
      <c r="D2546" s="2" t="s">
        <v>35</v>
      </c>
      <c r="E2546" s="2" t="n">
        <v>13</v>
      </c>
      <c r="F2546" s="2" t="n">
        <v>2</v>
      </c>
      <c r="G2546" s="2" t="s">
        <v>29</v>
      </c>
      <c r="H2546" s="2" t="n">
        <v>2545</v>
      </c>
      <c r="I2546" s="2" t="s">
        <v>30</v>
      </c>
      <c r="J2546" s="2" t="n">
        <v>1</v>
      </c>
      <c r="K2546" s="2" t="s">
        <v>45</v>
      </c>
      <c r="L2546" s="2" t="s">
        <v>37</v>
      </c>
      <c r="M2546" s="2" t="n">
        <v>52200</v>
      </c>
      <c r="N2546" s="2" t="n">
        <v>1</v>
      </c>
      <c r="O2546" s="2" t="n">
        <v>17</v>
      </c>
      <c r="P2546" s="2" t="n">
        <v>0</v>
      </c>
      <c r="Q2546" s="2" t="n">
        <v>1</v>
      </c>
      <c r="R2546" s="2" t="n">
        <v>3</v>
      </c>
      <c r="S2546" s="2" t="n">
        <v>1</v>
      </c>
      <c r="T2546" s="2" t="n">
        <v>1</v>
      </c>
      <c r="U2546" s="2" t="n">
        <v>0</v>
      </c>
      <c r="V2546" s="2" t="n">
        <v>4</v>
      </c>
      <c r="W2546" s="2" t="n">
        <v>4</v>
      </c>
      <c r="X2546" s="2" t="n">
        <v>2</v>
      </c>
      <c r="Y2546" s="2" t="n">
        <v>2</v>
      </c>
      <c r="Z2546" s="2" t="n">
        <v>3</v>
      </c>
    </row>
    <row r="2547" customFormat="false" ht="15" hidden="false" customHeight="true" outlineLevel="0" collapsed="false">
      <c r="A2547" s="2" t="n">
        <v>46</v>
      </c>
      <c r="B2547" s="2" t="s">
        <v>33</v>
      </c>
      <c r="C2547" s="2" t="s">
        <v>27</v>
      </c>
      <c r="D2547" s="2" t="s">
        <v>35</v>
      </c>
      <c r="E2547" s="2" t="n">
        <v>4</v>
      </c>
      <c r="F2547" s="2" t="n">
        <v>4</v>
      </c>
      <c r="G2547" s="2" t="s">
        <v>43</v>
      </c>
      <c r="H2547" s="2" t="n">
        <v>2546</v>
      </c>
      <c r="I2547" s="2" t="s">
        <v>30</v>
      </c>
      <c r="J2547" s="2" t="n">
        <v>2</v>
      </c>
      <c r="K2547" s="2" t="s">
        <v>48</v>
      </c>
      <c r="L2547" s="2" t="s">
        <v>32</v>
      </c>
      <c r="M2547" s="2" t="n">
        <v>27430</v>
      </c>
      <c r="N2547" s="2" t="n">
        <v>5</v>
      </c>
      <c r="O2547" s="2" t="n">
        <v>25</v>
      </c>
      <c r="P2547" s="2" t="n">
        <v>1</v>
      </c>
      <c r="Q2547" s="2" t="n">
        <v>14</v>
      </c>
      <c r="R2547" s="2" t="n">
        <v>1</v>
      </c>
      <c r="S2547" s="2" t="n">
        <v>8</v>
      </c>
      <c r="T2547" s="2" t="n">
        <v>0</v>
      </c>
      <c r="U2547" s="2" t="n">
        <v>7</v>
      </c>
      <c r="V2547" s="2" t="n">
        <v>3</v>
      </c>
      <c r="W2547" s="2" t="n">
        <v>2</v>
      </c>
      <c r="X2547" s="2" t="n">
        <v>3</v>
      </c>
      <c r="Y2547" s="2" t="n">
        <v>4</v>
      </c>
      <c r="Z2547" s="2" t="n">
        <v>4</v>
      </c>
    </row>
    <row r="2548" customFormat="false" ht="15" hidden="false" customHeight="true" outlineLevel="0" collapsed="false">
      <c r="A2548" s="2" t="n">
        <v>27</v>
      </c>
      <c r="B2548" s="2" t="s">
        <v>26</v>
      </c>
      <c r="C2548" s="2" t="s">
        <v>34</v>
      </c>
      <c r="D2548" s="2" t="s">
        <v>35</v>
      </c>
      <c r="E2548" s="2" t="n">
        <v>16</v>
      </c>
      <c r="F2548" s="2" t="n">
        <v>4</v>
      </c>
      <c r="G2548" s="2" t="s">
        <v>43</v>
      </c>
      <c r="H2548" s="2" t="n">
        <v>2547</v>
      </c>
      <c r="I2548" s="2" t="s">
        <v>39</v>
      </c>
      <c r="J2548" s="2" t="n">
        <v>3</v>
      </c>
      <c r="K2548" s="2" t="s">
        <v>31</v>
      </c>
      <c r="L2548" s="2" t="s">
        <v>32</v>
      </c>
      <c r="M2548" s="2" t="n">
        <v>49980</v>
      </c>
      <c r="N2548" s="2" t="n">
        <v>0</v>
      </c>
      <c r="O2548" s="2" t="n">
        <v>20</v>
      </c>
      <c r="P2548" s="2" t="n">
        <v>2</v>
      </c>
      <c r="Q2548" s="2" t="n">
        <v>8</v>
      </c>
      <c r="R2548" s="2" t="n">
        <v>3</v>
      </c>
      <c r="S2548" s="2" t="n">
        <v>7</v>
      </c>
      <c r="T2548" s="2" t="n">
        <v>7</v>
      </c>
      <c r="U2548" s="2" t="n">
        <v>3</v>
      </c>
      <c r="V2548" s="2" t="n">
        <v>4</v>
      </c>
      <c r="W2548" s="2" t="n">
        <v>1</v>
      </c>
      <c r="X2548" s="2" t="n">
        <v>2</v>
      </c>
      <c r="Y2548" s="2" t="n">
        <v>3</v>
      </c>
      <c r="Z2548" s="2" t="n">
        <v>4</v>
      </c>
    </row>
    <row r="2549" customFormat="false" ht="15" hidden="false" customHeight="true" outlineLevel="0" collapsed="false">
      <c r="A2549" s="2" t="n">
        <v>39</v>
      </c>
      <c r="B2549" s="2" t="s">
        <v>26</v>
      </c>
      <c r="C2549" s="2" t="s">
        <v>27</v>
      </c>
      <c r="D2549" s="2" t="s">
        <v>35</v>
      </c>
      <c r="E2549" s="2" t="n">
        <v>2</v>
      </c>
      <c r="F2549" s="2" t="n">
        <v>3</v>
      </c>
      <c r="G2549" s="2" t="s">
        <v>51</v>
      </c>
      <c r="H2549" s="2" t="n">
        <v>2548</v>
      </c>
      <c r="I2549" s="2" t="s">
        <v>39</v>
      </c>
      <c r="J2549" s="2" t="n">
        <v>3</v>
      </c>
      <c r="K2549" s="2" t="s">
        <v>31</v>
      </c>
      <c r="L2549" s="2" t="s">
        <v>46</v>
      </c>
      <c r="M2549" s="2" t="n">
        <v>102520</v>
      </c>
      <c r="N2549" s="2" t="n">
        <v>8</v>
      </c>
      <c r="O2549" s="2" t="n">
        <v>13</v>
      </c>
      <c r="P2549" s="2" t="n">
        <v>1</v>
      </c>
      <c r="Q2549" s="2" t="n">
        <v>7</v>
      </c>
      <c r="R2549" s="2" t="n">
        <v>3</v>
      </c>
      <c r="S2549" s="2" t="n">
        <v>2</v>
      </c>
      <c r="T2549" s="2" t="n">
        <v>2</v>
      </c>
      <c r="U2549" s="2" t="n">
        <v>2</v>
      </c>
      <c r="V2549" s="2" t="n">
        <v>4</v>
      </c>
      <c r="W2549" s="2" t="n">
        <v>4</v>
      </c>
      <c r="X2549" s="2" t="n">
        <v>3</v>
      </c>
      <c r="Y2549" s="2" t="n">
        <v>3</v>
      </c>
      <c r="Z2549" s="2" t="n">
        <v>3</v>
      </c>
    </row>
    <row r="2550" customFormat="false" ht="15" hidden="false" customHeight="true" outlineLevel="0" collapsed="false">
      <c r="A2550" s="2" t="n">
        <v>55</v>
      </c>
      <c r="B2550" s="2" t="s">
        <v>26</v>
      </c>
      <c r="C2550" s="2" t="s">
        <v>27</v>
      </c>
      <c r="D2550" s="2" t="s">
        <v>35</v>
      </c>
      <c r="E2550" s="2" t="n">
        <v>2</v>
      </c>
      <c r="F2550" s="2" t="n">
        <v>3</v>
      </c>
      <c r="G2550" s="2" t="s">
        <v>29</v>
      </c>
      <c r="H2550" s="2" t="n">
        <v>2549</v>
      </c>
      <c r="I2550" s="2" t="s">
        <v>30</v>
      </c>
      <c r="J2550" s="2" t="n">
        <v>1</v>
      </c>
      <c r="K2550" s="2" t="s">
        <v>42</v>
      </c>
      <c r="L2550" s="2" t="s">
        <v>32</v>
      </c>
      <c r="M2550" s="2" t="n">
        <v>27810</v>
      </c>
      <c r="N2550" s="2" t="n">
        <v>8</v>
      </c>
      <c r="O2550" s="2" t="n">
        <v>13</v>
      </c>
      <c r="P2550" s="2" t="n">
        <v>1</v>
      </c>
      <c r="Q2550" s="2" t="n">
        <v>19</v>
      </c>
      <c r="R2550" s="2" t="n">
        <v>2</v>
      </c>
      <c r="S2550" s="2" t="n">
        <v>5</v>
      </c>
      <c r="T2550" s="2" t="n">
        <v>0</v>
      </c>
      <c r="U2550" s="2" t="n">
        <v>4</v>
      </c>
      <c r="V2550" s="2" t="n">
        <v>2</v>
      </c>
      <c r="W2550" s="2" t="n">
        <v>4</v>
      </c>
      <c r="X2550" s="2" t="n">
        <v>4</v>
      </c>
      <c r="Y2550" s="2" t="n">
        <v>3</v>
      </c>
      <c r="Z2550" s="2" t="n">
        <v>3</v>
      </c>
    </row>
    <row r="2551" customFormat="false" ht="15" hidden="false" customHeight="true" outlineLevel="0" collapsed="false">
      <c r="A2551" s="2" t="n">
        <v>28</v>
      </c>
      <c r="B2551" s="2" t="s">
        <v>26</v>
      </c>
      <c r="C2551" s="2" t="s">
        <v>27</v>
      </c>
      <c r="D2551" s="2" t="s">
        <v>35</v>
      </c>
      <c r="E2551" s="2" t="n">
        <v>29</v>
      </c>
      <c r="F2551" s="2" t="n">
        <v>2</v>
      </c>
      <c r="G2551" s="2" t="s">
        <v>29</v>
      </c>
      <c r="H2551" s="2" t="n">
        <v>2550</v>
      </c>
      <c r="I2551" s="2" t="s">
        <v>39</v>
      </c>
      <c r="J2551" s="2" t="n">
        <v>2</v>
      </c>
      <c r="K2551" s="2" t="s">
        <v>45</v>
      </c>
      <c r="L2551" s="2" t="s">
        <v>32</v>
      </c>
      <c r="M2551" s="2" t="n">
        <v>68520</v>
      </c>
      <c r="N2551" s="2" t="n">
        <v>1</v>
      </c>
      <c r="O2551" s="2" t="n">
        <v>18</v>
      </c>
      <c r="P2551" s="2" t="n">
        <v>1</v>
      </c>
      <c r="Q2551" s="2" t="n">
        <v>1</v>
      </c>
      <c r="R2551" s="2" t="n">
        <v>2</v>
      </c>
      <c r="S2551" s="2" t="n">
        <v>1</v>
      </c>
      <c r="T2551" s="2" t="n">
        <v>0</v>
      </c>
      <c r="U2551" s="2" t="n">
        <v>0</v>
      </c>
      <c r="V2551" s="2" t="n">
        <v>2</v>
      </c>
      <c r="W2551" s="2" t="n">
        <v>2</v>
      </c>
      <c r="X2551" s="2" t="n">
        <v>3</v>
      </c>
      <c r="Y2551" s="2" t="n">
        <v>4</v>
      </c>
      <c r="Z2551" s="2" t="n">
        <v>3</v>
      </c>
    </row>
    <row r="2552" customFormat="false" ht="15" hidden="false" customHeight="true" outlineLevel="0" collapsed="false">
      <c r="A2552" s="2" t="n">
        <v>30</v>
      </c>
      <c r="B2552" s="2" t="s">
        <v>33</v>
      </c>
      <c r="C2552" s="2" t="s">
        <v>27</v>
      </c>
      <c r="D2552" s="2" t="s">
        <v>28</v>
      </c>
      <c r="E2552" s="2" t="n">
        <v>12</v>
      </c>
      <c r="F2552" s="2" t="n">
        <v>4</v>
      </c>
      <c r="G2552" s="2" t="s">
        <v>29</v>
      </c>
      <c r="H2552" s="2" t="n">
        <v>2551</v>
      </c>
      <c r="I2552" s="2" t="s">
        <v>30</v>
      </c>
      <c r="J2552" s="2" t="n">
        <v>2</v>
      </c>
      <c r="K2552" s="2" t="s">
        <v>40</v>
      </c>
      <c r="L2552" s="2" t="s">
        <v>37</v>
      </c>
      <c r="M2552" s="2" t="n">
        <v>49500</v>
      </c>
      <c r="N2552" s="2" t="n">
        <v>1</v>
      </c>
      <c r="O2552" s="2" t="n">
        <v>12</v>
      </c>
      <c r="P2552" s="2" t="n">
        <v>2</v>
      </c>
      <c r="Q2552" s="2" t="n">
        <v>1</v>
      </c>
      <c r="R2552" s="2" t="n">
        <v>3</v>
      </c>
      <c r="S2552" s="2" t="n">
        <v>1</v>
      </c>
      <c r="T2552" s="2" t="n">
        <v>0</v>
      </c>
      <c r="U2552" s="2" t="n">
        <v>0</v>
      </c>
      <c r="V2552" s="2" t="n">
        <v>2</v>
      </c>
      <c r="W2552" s="2" t="n">
        <v>4</v>
      </c>
      <c r="X2552" s="2" t="n">
        <v>2</v>
      </c>
      <c r="Y2552" s="2" t="n">
        <v>3</v>
      </c>
      <c r="Z2552" s="2" t="n">
        <v>3</v>
      </c>
    </row>
    <row r="2553" customFormat="false" ht="15" hidden="false" customHeight="true" outlineLevel="0" collapsed="false">
      <c r="A2553" s="2" t="n">
        <v>22</v>
      </c>
      <c r="B2553" s="2" t="s">
        <v>33</v>
      </c>
      <c r="C2553" s="2" t="s">
        <v>27</v>
      </c>
      <c r="D2553" s="2" t="s">
        <v>35</v>
      </c>
      <c r="E2553" s="2" t="n">
        <v>16</v>
      </c>
      <c r="F2553" s="2" t="n">
        <v>2</v>
      </c>
      <c r="G2553" s="2" t="s">
        <v>29</v>
      </c>
      <c r="H2553" s="2" t="n">
        <v>2552</v>
      </c>
      <c r="I2553" s="2" t="s">
        <v>30</v>
      </c>
      <c r="J2553" s="2" t="n">
        <v>2</v>
      </c>
      <c r="K2553" s="2" t="s">
        <v>45</v>
      </c>
      <c r="L2553" s="2" t="s">
        <v>37</v>
      </c>
      <c r="M2553" s="2" t="n">
        <v>35790</v>
      </c>
      <c r="N2553" s="2" t="n">
        <v>1</v>
      </c>
      <c r="O2553" s="2" t="n">
        <v>19</v>
      </c>
      <c r="P2553" s="2" t="n">
        <v>3</v>
      </c>
      <c r="Q2553" s="2" t="n">
        <v>1</v>
      </c>
      <c r="R2553" s="2" t="n">
        <v>3</v>
      </c>
      <c r="S2553" s="2" t="n">
        <v>1</v>
      </c>
      <c r="T2553" s="2" t="n">
        <v>0</v>
      </c>
      <c r="U2553" s="2" t="n">
        <v>0</v>
      </c>
      <c r="V2553" s="2" t="n">
        <v>4</v>
      </c>
      <c r="W2553" s="2" t="n">
        <v>2</v>
      </c>
      <c r="X2553" s="2" t="n">
        <v>3</v>
      </c>
      <c r="Y2553" s="2" t="n">
        <v>3</v>
      </c>
      <c r="Z2553" s="2" t="n">
        <v>3</v>
      </c>
    </row>
    <row r="2554" customFormat="false" ht="15" hidden="false" customHeight="true" outlineLevel="0" collapsed="false">
      <c r="A2554" s="2" t="n">
        <v>36</v>
      </c>
      <c r="B2554" s="2" t="s">
        <v>26</v>
      </c>
      <c r="C2554" s="2" t="s">
        <v>27</v>
      </c>
      <c r="D2554" s="2" t="s">
        <v>35</v>
      </c>
      <c r="E2554" s="2" t="n">
        <v>11</v>
      </c>
      <c r="F2554" s="2" t="n">
        <v>3</v>
      </c>
      <c r="G2554" s="2" t="s">
        <v>29</v>
      </c>
      <c r="H2554" s="2" t="n">
        <v>2553</v>
      </c>
      <c r="I2554" s="2" t="s">
        <v>39</v>
      </c>
      <c r="J2554" s="2" t="n">
        <v>1</v>
      </c>
      <c r="K2554" s="2" t="s">
        <v>40</v>
      </c>
      <c r="L2554" s="2" t="s">
        <v>32</v>
      </c>
      <c r="M2554" s="2" t="n">
        <v>131910</v>
      </c>
      <c r="N2554" s="2" t="n">
        <v>1</v>
      </c>
      <c r="O2554" s="2" t="n">
        <v>14</v>
      </c>
      <c r="P2554" s="2" t="n">
        <v>1</v>
      </c>
      <c r="Q2554" s="2" t="n">
        <v>10</v>
      </c>
      <c r="R2554" s="2" t="n">
        <v>2</v>
      </c>
      <c r="S2554" s="2" t="n">
        <v>10</v>
      </c>
      <c r="T2554" s="2" t="n">
        <v>1</v>
      </c>
      <c r="U2554" s="2" t="n">
        <v>7</v>
      </c>
      <c r="V2554" s="2" t="n">
        <v>2</v>
      </c>
      <c r="W2554" s="2" t="n">
        <v>3</v>
      </c>
      <c r="X2554" s="2" t="n">
        <v>3</v>
      </c>
      <c r="Y2554" s="2" t="n">
        <v>2</v>
      </c>
      <c r="Z2554" s="2" t="n">
        <v>3</v>
      </c>
    </row>
    <row r="2555" customFormat="false" ht="15" hidden="false" customHeight="true" outlineLevel="0" collapsed="false">
      <c r="A2555" s="2" t="n">
        <v>31</v>
      </c>
      <c r="B2555" s="2" t="s">
        <v>26</v>
      </c>
      <c r="C2555" s="2" t="s">
        <v>27</v>
      </c>
      <c r="D2555" s="2" t="s">
        <v>35</v>
      </c>
      <c r="E2555" s="2" t="n">
        <v>2</v>
      </c>
      <c r="F2555" s="2" t="n">
        <v>4</v>
      </c>
      <c r="G2555" s="2" t="s">
        <v>29</v>
      </c>
      <c r="H2555" s="2" t="n">
        <v>2554</v>
      </c>
      <c r="I2555" s="2" t="s">
        <v>30</v>
      </c>
      <c r="J2555" s="2" t="n">
        <v>5</v>
      </c>
      <c r="K2555" s="2" t="s">
        <v>49</v>
      </c>
      <c r="L2555" s="2" t="s">
        <v>46</v>
      </c>
      <c r="M2555" s="2" t="n">
        <v>103770</v>
      </c>
      <c r="N2555" s="2" t="n">
        <v>1</v>
      </c>
      <c r="O2555" s="2" t="n">
        <v>14</v>
      </c>
      <c r="P2555" s="2" t="n">
        <v>0</v>
      </c>
      <c r="Q2555" s="2" t="n">
        <v>10</v>
      </c>
      <c r="R2555" s="2" t="n">
        <v>2</v>
      </c>
      <c r="S2555" s="2" t="n">
        <v>10</v>
      </c>
      <c r="T2555" s="2" t="n">
        <v>0</v>
      </c>
      <c r="U2555" s="2" t="n">
        <v>2</v>
      </c>
      <c r="V2555" s="2" t="n">
        <v>2</v>
      </c>
      <c r="W2555" s="2" t="n">
        <v>3</v>
      </c>
      <c r="X2555" s="2" t="n">
        <v>3</v>
      </c>
      <c r="Y2555" s="2" t="n">
        <v>3</v>
      </c>
      <c r="Z2555" s="2" t="n">
        <v>3</v>
      </c>
    </row>
    <row r="2556" customFormat="false" ht="15" hidden="false" customHeight="true" outlineLevel="0" collapsed="false">
      <c r="A2556" s="2" t="n">
        <v>34</v>
      </c>
      <c r="B2556" s="2" t="s">
        <v>26</v>
      </c>
      <c r="C2556" s="2" t="s">
        <v>27</v>
      </c>
      <c r="D2556" s="2" t="s">
        <v>28</v>
      </c>
      <c r="E2556" s="2" t="n">
        <v>14</v>
      </c>
      <c r="F2556" s="2" t="n">
        <v>2</v>
      </c>
      <c r="G2556" s="2" t="s">
        <v>51</v>
      </c>
      <c r="H2556" s="2" t="n">
        <v>2555</v>
      </c>
      <c r="I2556" s="2" t="s">
        <v>30</v>
      </c>
      <c r="J2556" s="2" t="n">
        <v>1</v>
      </c>
      <c r="K2556" s="2" t="s">
        <v>40</v>
      </c>
      <c r="L2556" s="2" t="s">
        <v>32</v>
      </c>
      <c r="M2556" s="2" t="n">
        <v>22350</v>
      </c>
      <c r="N2556" s="2" t="n">
        <v>2</v>
      </c>
      <c r="O2556" s="2" t="n">
        <v>14</v>
      </c>
      <c r="P2556" s="2" t="n">
        <v>1</v>
      </c>
      <c r="Q2556" s="2" t="n">
        <v>9</v>
      </c>
      <c r="R2556" s="2" t="n">
        <v>2</v>
      </c>
      <c r="S2556" s="2" t="n">
        <v>5</v>
      </c>
      <c r="T2556" s="2" t="n">
        <v>1</v>
      </c>
      <c r="U2556" s="2" t="n">
        <v>0</v>
      </c>
      <c r="V2556" s="2" t="n">
        <v>3</v>
      </c>
      <c r="W2556" s="2" t="n">
        <v>4</v>
      </c>
      <c r="X2556" s="2" t="n">
        <v>3</v>
      </c>
      <c r="Y2556" s="2" t="n">
        <v>3</v>
      </c>
      <c r="Z2556" s="2" t="n">
        <v>3</v>
      </c>
    </row>
    <row r="2557" customFormat="false" ht="15" hidden="false" customHeight="true" outlineLevel="0" collapsed="false">
      <c r="A2557" s="2" t="n">
        <v>29</v>
      </c>
      <c r="B2557" s="2" t="s">
        <v>26</v>
      </c>
      <c r="C2557" s="2" t="s">
        <v>27</v>
      </c>
      <c r="D2557" s="2" t="s">
        <v>35</v>
      </c>
      <c r="E2557" s="2" t="n">
        <v>5</v>
      </c>
      <c r="F2557" s="2" t="n">
        <v>5</v>
      </c>
      <c r="G2557" s="2" t="s">
        <v>29</v>
      </c>
      <c r="H2557" s="2" t="n">
        <v>2556</v>
      </c>
      <c r="I2557" s="2" t="s">
        <v>30</v>
      </c>
      <c r="J2557" s="2" t="n">
        <v>1</v>
      </c>
      <c r="K2557" s="2" t="s">
        <v>40</v>
      </c>
      <c r="L2557" s="2" t="s">
        <v>37</v>
      </c>
      <c r="M2557" s="2" t="n">
        <v>105020</v>
      </c>
      <c r="N2557" s="2" t="n">
        <v>3</v>
      </c>
      <c r="O2557" s="2" t="n">
        <v>12</v>
      </c>
      <c r="P2557" s="2" t="n">
        <v>0</v>
      </c>
      <c r="Q2557" s="2" t="n">
        <v>11</v>
      </c>
      <c r="R2557" s="2" t="n">
        <v>4</v>
      </c>
      <c r="S2557" s="2" t="n">
        <v>3</v>
      </c>
      <c r="T2557" s="2" t="n">
        <v>1</v>
      </c>
      <c r="U2557" s="2" t="n">
        <v>2</v>
      </c>
      <c r="V2557" s="2" t="n">
        <v>4</v>
      </c>
      <c r="W2557" s="2" t="n">
        <v>1</v>
      </c>
      <c r="X2557" s="2" t="n">
        <v>3</v>
      </c>
      <c r="Y2557" s="2" t="n">
        <v>2</v>
      </c>
      <c r="Z2557" s="2" t="n">
        <v>3</v>
      </c>
    </row>
    <row r="2558" customFormat="false" ht="15" hidden="false" customHeight="true" outlineLevel="0" collapsed="false">
      <c r="A2558" s="2" t="n">
        <v>37</v>
      </c>
      <c r="B2558" s="2" t="s">
        <v>26</v>
      </c>
      <c r="C2558" s="2" t="s">
        <v>27</v>
      </c>
      <c r="D2558" s="2" t="s">
        <v>35</v>
      </c>
      <c r="E2558" s="2" t="n">
        <v>7</v>
      </c>
      <c r="F2558" s="2" t="n">
        <v>2</v>
      </c>
      <c r="G2558" s="2" t="s">
        <v>43</v>
      </c>
      <c r="H2558" s="2" t="n">
        <v>2557</v>
      </c>
      <c r="I2558" s="2" t="s">
        <v>39</v>
      </c>
      <c r="J2558" s="2" t="n">
        <v>1</v>
      </c>
      <c r="K2558" s="2" t="s">
        <v>47</v>
      </c>
      <c r="L2558" s="2" t="s">
        <v>32</v>
      </c>
      <c r="M2558" s="2" t="n">
        <v>20110</v>
      </c>
      <c r="N2558" s="2" t="n">
        <v>5</v>
      </c>
      <c r="O2558" s="2" t="n">
        <v>13</v>
      </c>
      <c r="P2558" s="2" t="n">
        <v>0</v>
      </c>
      <c r="Q2558" s="2" t="n">
        <v>16</v>
      </c>
      <c r="R2558" s="2" t="n">
        <v>4</v>
      </c>
      <c r="S2558" s="2" t="n">
        <v>5</v>
      </c>
      <c r="T2558" s="2" t="n">
        <v>0</v>
      </c>
      <c r="U2558" s="2" t="n">
        <v>4</v>
      </c>
      <c r="V2558" s="2" t="n">
        <v>4</v>
      </c>
      <c r="W2558" s="2" t="n">
        <v>1</v>
      </c>
      <c r="X2558" s="2" t="n">
        <v>3</v>
      </c>
      <c r="Y2558" s="2" t="n">
        <v>4</v>
      </c>
      <c r="Z2558" s="2" t="n">
        <v>3</v>
      </c>
    </row>
    <row r="2559" customFormat="false" ht="15" hidden="false" customHeight="true" outlineLevel="0" collapsed="false">
      <c r="A2559" s="2" t="n">
        <v>35</v>
      </c>
      <c r="B2559" s="2" t="s">
        <v>26</v>
      </c>
      <c r="C2559" s="2" t="s">
        <v>27</v>
      </c>
      <c r="D2559" s="2" t="s">
        <v>28</v>
      </c>
      <c r="E2559" s="2" t="n">
        <v>2</v>
      </c>
      <c r="F2559" s="2" t="n">
        <v>1</v>
      </c>
      <c r="G2559" s="2" t="s">
        <v>51</v>
      </c>
      <c r="H2559" s="2" t="n">
        <v>2558</v>
      </c>
      <c r="I2559" s="2" t="s">
        <v>39</v>
      </c>
      <c r="J2559" s="2" t="n">
        <v>2</v>
      </c>
      <c r="K2559" s="2" t="s">
        <v>45</v>
      </c>
      <c r="L2559" s="2" t="s">
        <v>32</v>
      </c>
      <c r="M2559" s="2" t="n">
        <v>18590</v>
      </c>
      <c r="N2559" s="2" t="n">
        <v>0</v>
      </c>
      <c r="O2559" s="2" t="n">
        <v>25</v>
      </c>
      <c r="P2559" s="2" t="n">
        <v>1</v>
      </c>
      <c r="Q2559" s="2" t="n">
        <v>4</v>
      </c>
      <c r="R2559" s="2" t="n">
        <v>2</v>
      </c>
      <c r="S2559" s="2" t="n">
        <v>3</v>
      </c>
      <c r="T2559" s="2" t="n">
        <v>0</v>
      </c>
      <c r="U2559" s="2" t="n">
        <v>2</v>
      </c>
      <c r="V2559" s="2" t="n">
        <v>4</v>
      </c>
      <c r="W2559" s="2" t="n">
        <v>2</v>
      </c>
      <c r="X2559" s="2" t="n">
        <v>3</v>
      </c>
      <c r="Y2559" s="2" t="n">
        <v>2</v>
      </c>
      <c r="Z2559" s="2" t="n">
        <v>4</v>
      </c>
    </row>
    <row r="2560" customFormat="false" ht="15" hidden="false" customHeight="true" outlineLevel="0" collapsed="false">
      <c r="A2560" s="2" t="n">
        <v>45</v>
      </c>
      <c r="B2560" s="2" t="s">
        <v>26</v>
      </c>
      <c r="C2560" s="2" t="s">
        <v>27</v>
      </c>
      <c r="D2560" s="2" t="s">
        <v>35</v>
      </c>
      <c r="E2560" s="2" t="n">
        <v>3</v>
      </c>
      <c r="F2560" s="2" t="n">
        <v>3</v>
      </c>
      <c r="G2560" s="2" t="s">
        <v>43</v>
      </c>
      <c r="H2560" s="2" t="n">
        <v>2559</v>
      </c>
      <c r="I2560" s="2" t="s">
        <v>30</v>
      </c>
      <c r="J2560" s="2" t="n">
        <v>2</v>
      </c>
      <c r="K2560" s="2" t="s">
        <v>40</v>
      </c>
      <c r="L2560" s="2" t="s">
        <v>32</v>
      </c>
      <c r="M2560" s="2" t="n">
        <v>37600</v>
      </c>
      <c r="N2560" s="2" t="n">
        <v>0</v>
      </c>
      <c r="O2560" s="2" t="n">
        <v>14</v>
      </c>
      <c r="P2560" s="2" t="n">
        <v>1</v>
      </c>
      <c r="Q2560" s="2" t="n">
        <v>10</v>
      </c>
      <c r="R2560" s="2" t="n">
        <v>2</v>
      </c>
      <c r="S2560" s="2" t="n">
        <v>9</v>
      </c>
      <c r="T2560" s="2" t="n">
        <v>3</v>
      </c>
      <c r="U2560" s="2" t="n">
        <v>8</v>
      </c>
      <c r="V2560" s="2" t="n">
        <v>2</v>
      </c>
      <c r="W2560" s="2" t="n">
        <v>4</v>
      </c>
      <c r="X2560" s="2" t="n">
        <v>2</v>
      </c>
      <c r="Y2560" s="2" t="n">
        <v>2</v>
      </c>
      <c r="Z2560" s="2" t="n">
        <v>3</v>
      </c>
    </row>
    <row r="2561" customFormat="false" ht="15" hidden="false" customHeight="true" outlineLevel="0" collapsed="false">
      <c r="A2561" s="2" t="n">
        <v>36</v>
      </c>
      <c r="B2561" s="2" t="s">
        <v>26</v>
      </c>
      <c r="C2561" s="2" t="s">
        <v>34</v>
      </c>
      <c r="D2561" s="2" t="s">
        <v>35</v>
      </c>
      <c r="E2561" s="2" t="n">
        <v>5</v>
      </c>
      <c r="F2561" s="2" t="n">
        <v>3</v>
      </c>
      <c r="G2561" s="2" t="s">
        <v>43</v>
      </c>
      <c r="H2561" s="2" t="n">
        <v>2560</v>
      </c>
      <c r="I2561" s="2" t="s">
        <v>30</v>
      </c>
      <c r="J2561" s="2" t="n">
        <v>4</v>
      </c>
      <c r="K2561" s="2" t="s">
        <v>47</v>
      </c>
      <c r="L2561" s="2" t="s">
        <v>37</v>
      </c>
      <c r="M2561" s="2" t="n">
        <v>177790</v>
      </c>
      <c r="N2561" s="2" t="n">
        <v>1</v>
      </c>
      <c r="O2561" s="2" t="n">
        <v>17</v>
      </c>
      <c r="P2561" s="2" t="n">
        <v>1</v>
      </c>
      <c r="Q2561" s="2" t="n">
        <v>10</v>
      </c>
      <c r="R2561" s="2" t="n">
        <v>5</v>
      </c>
      <c r="S2561" s="2" t="n">
        <v>10</v>
      </c>
      <c r="T2561" s="2" t="n">
        <v>0</v>
      </c>
      <c r="U2561" s="2" t="n">
        <v>8</v>
      </c>
      <c r="V2561" s="2" t="n">
        <v>2</v>
      </c>
      <c r="W2561" s="2" t="n">
        <v>4</v>
      </c>
      <c r="X2561" s="2" t="n">
        <v>2</v>
      </c>
      <c r="Y2561" s="2" t="n">
        <v>1</v>
      </c>
      <c r="Z2561" s="2" t="n">
        <v>3</v>
      </c>
    </row>
    <row r="2562" customFormat="false" ht="15" hidden="false" customHeight="true" outlineLevel="0" collapsed="false">
      <c r="A2562" s="2" t="n">
        <v>40</v>
      </c>
      <c r="B2562" s="2" t="s">
        <v>26</v>
      </c>
      <c r="C2562" s="2" t="s">
        <v>27</v>
      </c>
      <c r="D2562" s="2" t="s">
        <v>35</v>
      </c>
      <c r="E2562" s="2" t="n">
        <v>3</v>
      </c>
      <c r="F2562" s="2" t="n">
        <v>3</v>
      </c>
      <c r="G2562" s="2" t="s">
        <v>38</v>
      </c>
      <c r="H2562" s="2" t="n">
        <v>2561</v>
      </c>
      <c r="I2562" s="2" t="s">
        <v>39</v>
      </c>
      <c r="J2562" s="2" t="n">
        <v>1</v>
      </c>
      <c r="K2562" s="2" t="s">
        <v>40</v>
      </c>
      <c r="L2562" s="2" t="s">
        <v>46</v>
      </c>
      <c r="M2562" s="2" t="n">
        <v>68330</v>
      </c>
      <c r="N2562" s="2" t="n">
        <v>2</v>
      </c>
      <c r="O2562" s="2" t="n">
        <v>13</v>
      </c>
      <c r="P2562" s="2" t="n">
        <v>0</v>
      </c>
      <c r="Q2562" s="2" t="n">
        <v>22</v>
      </c>
      <c r="R2562" s="2" t="n">
        <v>3</v>
      </c>
      <c r="S2562" s="2" t="n">
        <v>19</v>
      </c>
      <c r="T2562" s="2" t="n">
        <v>11</v>
      </c>
      <c r="U2562" s="2" t="n">
        <v>16</v>
      </c>
      <c r="V2562" s="2" t="n">
        <v>1</v>
      </c>
      <c r="W2562" s="2" t="n">
        <v>1</v>
      </c>
      <c r="X2562" s="2" t="n">
        <v>3</v>
      </c>
      <c r="Y2562" s="2" t="n">
        <v>3</v>
      </c>
      <c r="Z2562" s="2" t="n">
        <v>3</v>
      </c>
    </row>
    <row r="2563" customFormat="false" ht="15" hidden="false" customHeight="true" outlineLevel="0" collapsed="false">
      <c r="A2563" s="2" t="n">
        <v>26</v>
      </c>
      <c r="B2563" s="2" t="s">
        <v>26</v>
      </c>
      <c r="C2563" s="2" t="s">
        <v>27</v>
      </c>
      <c r="D2563" s="2" t="s">
        <v>35</v>
      </c>
      <c r="E2563" s="2" t="n">
        <v>26</v>
      </c>
      <c r="F2563" s="2" t="n">
        <v>2</v>
      </c>
      <c r="G2563" s="2" t="s">
        <v>29</v>
      </c>
      <c r="H2563" s="2" t="n">
        <v>2562</v>
      </c>
      <c r="I2563" s="2" t="s">
        <v>39</v>
      </c>
      <c r="J2563" s="2" t="n">
        <v>2</v>
      </c>
      <c r="K2563" s="2" t="s">
        <v>42</v>
      </c>
      <c r="L2563" s="2" t="s">
        <v>32</v>
      </c>
      <c r="M2563" s="2" t="n">
        <v>68120</v>
      </c>
      <c r="N2563" s="2" t="n">
        <v>1</v>
      </c>
      <c r="O2563" s="2" t="n">
        <v>13</v>
      </c>
      <c r="P2563" s="2" t="n">
        <v>0</v>
      </c>
      <c r="Q2563" s="2" t="n">
        <v>1</v>
      </c>
      <c r="R2563" s="2" t="n">
        <v>2</v>
      </c>
      <c r="S2563" s="2" t="n">
        <v>1</v>
      </c>
      <c r="T2563" s="2" t="n">
        <v>1</v>
      </c>
      <c r="U2563" s="2" t="n">
        <v>0</v>
      </c>
      <c r="V2563" s="2" t="n">
        <v>2</v>
      </c>
      <c r="W2563" s="2" t="n">
        <v>3</v>
      </c>
      <c r="X2563" s="2" t="n">
        <v>2</v>
      </c>
      <c r="Y2563" s="2" t="n">
        <v>2</v>
      </c>
      <c r="Z2563" s="2" t="n">
        <v>3</v>
      </c>
    </row>
    <row r="2564" customFormat="false" ht="15" hidden="false" customHeight="true" outlineLevel="0" collapsed="false">
      <c r="A2564" s="2" t="n">
        <v>27</v>
      </c>
      <c r="B2564" s="2" t="s">
        <v>26</v>
      </c>
      <c r="C2564" s="2" t="s">
        <v>27</v>
      </c>
      <c r="D2564" s="2" t="s">
        <v>35</v>
      </c>
      <c r="E2564" s="2" t="n">
        <v>4</v>
      </c>
      <c r="F2564" s="2" t="n">
        <v>3</v>
      </c>
      <c r="G2564" s="2" t="s">
        <v>51</v>
      </c>
      <c r="H2564" s="2" t="n">
        <v>2563</v>
      </c>
      <c r="I2564" s="2" t="s">
        <v>39</v>
      </c>
      <c r="J2564" s="2" t="n">
        <v>2</v>
      </c>
      <c r="K2564" s="2" t="s">
        <v>47</v>
      </c>
      <c r="L2564" s="2" t="s">
        <v>37</v>
      </c>
      <c r="M2564" s="2" t="n">
        <v>51710</v>
      </c>
      <c r="N2564" s="2" t="n">
        <v>0</v>
      </c>
      <c r="O2564" s="2" t="n">
        <v>20</v>
      </c>
      <c r="P2564" s="2" t="n">
        <v>1</v>
      </c>
      <c r="Q2564" s="2" t="n">
        <v>9</v>
      </c>
      <c r="R2564" s="2" t="n">
        <v>1</v>
      </c>
      <c r="S2564" s="2" t="n">
        <v>8</v>
      </c>
      <c r="T2564" s="2" t="n">
        <v>0</v>
      </c>
      <c r="U2564" s="2" t="n">
        <v>7</v>
      </c>
      <c r="V2564" s="2" t="n">
        <v>1</v>
      </c>
      <c r="W2564" s="2" t="n">
        <v>3</v>
      </c>
      <c r="X2564" s="2" t="n">
        <v>2</v>
      </c>
      <c r="Y2564" s="2" t="n">
        <v>2</v>
      </c>
      <c r="Z2564" s="2" t="n">
        <v>4</v>
      </c>
    </row>
    <row r="2565" customFormat="false" ht="15" hidden="false" customHeight="true" outlineLevel="0" collapsed="false">
      <c r="A2565" s="2" t="n">
        <v>48</v>
      </c>
      <c r="B2565" s="2" t="s">
        <v>26</v>
      </c>
      <c r="C2565" s="2" t="s">
        <v>34</v>
      </c>
      <c r="D2565" s="2" t="s">
        <v>35</v>
      </c>
      <c r="E2565" s="2" t="n">
        <v>2</v>
      </c>
      <c r="F2565" s="2" t="n">
        <v>3</v>
      </c>
      <c r="G2565" s="2" t="s">
        <v>29</v>
      </c>
      <c r="H2565" s="2" t="n">
        <v>2564</v>
      </c>
      <c r="I2565" s="2" t="s">
        <v>39</v>
      </c>
      <c r="J2565" s="2" t="n">
        <v>2</v>
      </c>
      <c r="K2565" s="2" t="s">
        <v>44</v>
      </c>
      <c r="L2565" s="2" t="s">
        <v>46</v>
      </c>
      <c r="M2565" s="2" t="n">
        <v>197400</v>
      </c>
      <c r="N2565" s="2" t="n">
        <v>3</v>
      </c>
      <c r="O2565" s="2" t="n">
        <v>14</v>
      </c>
      <c r="P2565" s="2" t="n">
        <v>0</v>
      </c>
      <c r="Q2565" s="2" t="n">
        <v>24</v>
      </c>
      <c r="R2565" s="2" t="n">
        <v>2</v>
      </c>
      <c r="S2565" s="2" t="n">
        <v>22</v>
      </c>
      <c r="T2565" s="2" t="n">
        <v>4</v>
      </c>
      <c r="U2565" s="2" t="n">
        <v>7</v>
      </c>
      <c r="V2565" s="2" t="n">
        <v>4</v>
      </c>
      <c r="W2565" s="2" t="n">
        <v>4</v>
      </c>
      <c r="X2565" s="2" t="n">
        <v>3</v>
      </c>
      <c r="Y2565" s="2" t="n">
        <v>4</v>
      </c>
      <c r="Z2565" s="2" t="n">
        <v>3</v>
      </c>
    </row>
    <row r="2566" customFormat="false" ht="15" hidden="false" customHeight="true" outlineLevel="0" collapsed="false">
      <c r="A2566" s="2" t="n">
        <v>44</v>
      </c>
      <c r="B2566" s="2" t="s">
        <v>26</v>
      </c>
      <c r="C2566" s="2" t="s">
        <v>27</v>
      </c>
      <c r="D2566" s="2" t="s">
        <v>28</v>
      </c>
      <c r="E2566" s="2" t="n">
        <v>1</v>
      </c>
      <c r="F2566" s="2" t="n">
        <v>2</v>
      </c>
      <c r="G2566" s="2" t="s">
        <v>43</v>
      </c>
      <c r="H2566" s="2" t="n">
        <v>2565</v>
      </c>
      <c r="I2566" s="2" t="s">
        <v>39</v>
      </c>
      <c r="J2566" s="2" t="n">
        <v>4</v>
      </c>
      <c r="K2566" s="2" t="s">
        <v>49</v>
      </c>
      <c r="L2566" s="2" t="s">
        <v>32</v>
      </c>
      <c r="M2566" s="2" t="n">
        <v>187110</v>
      </c>
      <c r="N2566" s="2" t="n">
        <v>2</v>
      </c>
      <c r="O2566" s="2" t="n">
        <v>12</v>
      </c>
      <c r="P2566" s="2" t="n">
        <v>1</v>
      </c>
      <c r="Q2566" s="2" t="n">
        <v>10</v>
      </c>
      <c r="R2566" s="2" t="n">
        <v>0</v>
      </c>
      <c r="S2566" s="2" t="n">
        <v>2</v>
      </c>
      <c r="T2566" s="2" t="n">
        <v>2</v>
      </c>
      <c r="U2566" s="2" t="n">
        <v>2</v>
      </c>
      <c r="V2566" s="2" t="n">
        <v>2</v>
      </c>
      <c r="W2566" s="2" t="n">
        <v>1</v>
      </c>
      <c r="X2566" s="2" t="n">
        <v>3</v>
      </c>
      <c r="Y2566" s="2" t="n">
        <v>3</v>
      </c>
      <c r="Z2566" s="2" t="n">
        <v>3</v>
      </c>
    </row>
    <row r="2567" customFormat="false" ht="15" hidden="false" customHeight="true" outlineLevel="0" collapsed="false">
      <c r="A2567" s="2" t="n">
        <v>34</v>
      </c>
      <c r="B2567" s="2" t="s">
        <v>33</v>
      </c>
      <c r="C2567" s="2" t="s">
        <v>41</v>
      </c>
      <c r="D2567" s="2" t="s">
        <v>35</v>
      </c>
      <c r="E2567" s="2" t="n">
        <v>27</v>
      </c>
      <c r="F2567" s="2" t="n">
        <v>2</v>
      </c>
      <c r="G2567" s="2" t="s">
        <v>29</v>
      </c>
      <c r="H2567" s="2" t="n">
        <v>2566</v>
      </c>
      <c r="I2567" s="2" t="s">
        <v>30</v>
      </c>
      <c r="J2567" s="2" t="n">
        <v>1</v>
      </c>
      <c r="K2567" s="2" t="s">
        <v>48</v>
      </c>
      <c r="L2567" s="2" t="s">
        <v>32</v>
      </c>
      <c r="M2567" s="2" t="n">
        <v>36920</v>
      </c>
      <c r="N2567" s="2" t="n">
        <v>1</v>
      </c>
      <c r="O2567" s="2" t="n">
        <v>12</v>
      </c>
      <c r="P2567" s="2" t="n">
        <v>1</v>
      </c>
      <c r="Q2567" s="2" t="n">
        <v>5</v>
      </c>
      <c r="R2567" s="2" t="n">
        <v>5</v>
      </c>
      <c r="S2567" s="2" t="n">
        <v>5</v>
      </c>
      <c r="T2567" s="2" t="n">
        <v>3</v>
      </c>
      <c r="U2567" s="2" t="n">
        <v>0</v>
      </c>
      <c r="V2567" s="2" t="n">
        <v>4</v>
      </c>
      <c r="W2567" s="2" t="n">
        <v>1</v>
      </c>
      <c r="X2567" s="2" t="n">
        <v>3</v>
      </c>
      <c r="Y2567" s="2" t="n">
        <v>3</v>
      </c>
      <c r="Z2567" s="2" t="n">
        <v>3</v>
      </c>
    </row>
    <row r="2568" customFormat="false" ht="15" hidden="false" customHeight="true" outlineLevel="0" collapsed="false">
      <c r="A2568" s="2" t="n">
        <v>56</v>
      </c>
      <c r="B2568" s="2" t="s">
        <v>33</v>
      </c>
      <c r="C2568" s="2" t="s">
        <v>27</v>
      </c>
      <c r="D2568" s="2" t="s">
        <v>42</v>
      </c>
      <c r="E2568" s="2" t="n">
        <v>1</v>
      </c>
      <c r="F2568" s="2" t="n">
        <v>2</v>
      </c>
      <c r="G2568" s="2" t="s">
        <v>43</v>
      </c>
      <c r="H2568" s="2" t="n">
        <v>2567</v>
      </c>
      <c r="I2568" s="2" t="s">
        <v>30</v>
      </c>
      <c r="J2568" s="2" t="n">
        <v>5</v>
      </c>
      <c r="K2568" s="2" t="s">
        <v>40</v>
      </c>
      <c r="L2568" s="2" t="s">
        <v>37</v>
      </c>
      <c r="M2568" s="2" t="n">
        <v>25590</v>
      </c>
      <c r="N2568" s="2" t="n">
        <v>1</v>
      </c>
      <c r="O2568" s="2" t="n">
        <v>21</v>
      </c>
      <c r="P2568" s="2" t="n">
        <v>0</v>
      </c>
      <c r="Q2568" s="2" t="n">
        <v>5</v>
      </c>
      <c r="R2568" s="2" t="n">
        <v>3</v>
      </c>
      <c r="S2568" s="2" t="n">
        <v>4</v>
      </c>
      <c r="T2568" s="2" t="n">
        <v>1</v>
      </c>
      <c r="U2568" s="2" t="n">
        <v>0</v>
      </c>
      <c r="V2568" s="2" t="n">
        <v>1</v>
      </c>
      <c r="W2568" s="2" t="n">
        <v>4</v>
      </c>
      <c r="X2568" s="2" t="n">
        <v>3</v>
      </c>
      <c r="Y2568" s="2" t="n">
        <v>3</v>
      </c>
      <c r="Z2568" s="2" t="n">
        <v>4</v>
      </c>
    </row>
    <row r="2569" customFormat="false" ht="15" hidden="false" customHeight="true" outlineLevel="0" collapsed="false">
      <c r="A2569" s="2" t="n">
        <v>36</v>
      </c>
      <c r="B2569" s="2" t="s">
        <v>26</v>
      </c>
      <c r="C2569" s="2" t="s">
        <v>27</v>
      </c>
      <c r="D2569" s="2" t="s">
        <v>35</v>
      </c>
      <c r="E2569" s="2" t="n">
        <v>13</v>
      </c>
      <c r="F2569" s="2" t="n">
        <v>3</v>
      </c>
      <c r="G2569" s="2" t="s">
        <v>51</v>
      </c>
      <c r="H2569" s="2" t="n">
        <v>2568</v>
      </c>
      <c r="I2569" s="2" t="s">
        <v>30</v>
      </c>
      <c r="J2569" s="2" t="n">
        <v>3</v>
      </c>
      <c r="K2569" s="2" t="s">
        <v>31</v>
      </c>
      <c r="L2569" s="2" t="s">
        <v>32</v>
      </c>
      <c r="M2569" s="2" t="n">
        <v>25170</v>
      </c>
      <c r="N2569" s="2" t="n">
        <v>2</v>
      </c>
      <c r="O2569" s="2" t="n">
        <v>14</v>
      </c>
      <c r="P2569" s="2" t="n">
        <v>0</v>
      </c>
      <c r="Q2569" s="2" t="n">
        <v>12</v>
      </c>
      <c r="R2569" s="2" t="n">
        <v>3</v>
      </c>
      <c r="S2569" s="2" t="n">
        <v>4</v>
      </c>
      <c r="T2569" s="2" t="n">
        <v>1</v>
      </c>
      <c r="U2569" s="2" t="n">
        <v>3</v>
      </c>
      <c r="V2569" s="2" t="n">
        <v>3</v>
      </c>
      <c r="W2569" s="2" t="n">
        <v>2</v>
      </c>
      <c r="X2569" s="2" t="n">
        <v>1</v>
      </c>
      <c r="Y2569" s="2" t="n">
        <v>3</v>
      </c>
      <c r="Z2569" s="2" t="n">
        <v>3</v>
      </c>
    </row>
    <row r="2570" customFormat="false" ht="15" hidden="false" customHeight="true" outlineLevel="0" collapsed="false">
      <c r="A2570" s="2" t="n">
        <v>41</v>
      </c>
      <c r="B2570" s="2" t="s">
        <v>26</v>
      </c>
      <c r="C2570" s="2" t="s">
        <v>27</v>
      </c>
      <c r="D2570" s="2" t="s">
        <v>35</v>
      </c>
      <c r="E2570" s="2" t="n">
        <v>5</v>
      </c>
      <c r="F2570" s="2" t="n">
        <v>3</v>
      </c>
      <c r="G2570" s="2" t="s">
        <v>29</v>
      </c>
      <c r="H2570" s="2" t="n">
        <v>2569</v>
      </c>
      <c r="I2570" s="2" t="s">
        <v>30</v>
      </c>
      <c r="J2570" s="2" t="n">
        <v>1</v>
      </c>
      <c r="K2570" s="2" t="s">
        <v>40</v>
      </c>
      <c r="L2570" s="2" t="s">
        <v>32</v>
      </c>
      <c r="M2570" s="2" t="n">
        <v>66230</v>
      </c>
      <c r="N2570" s="2" t="n">
        <v>5</v>
      </c>
      <c r="O2570" s="2" t="n">
        <v>18</v>
      </c>
      <c r="P2570" s="2" t="n">
        <v>0</v>
      </c>
      <c r="Q2570" s="2" t="n">
        <v>14</v>
      </c>
      <c r="R2570" s="2" t="n">
        <v>3</v>
      </c>
      <c r="S2570" s="2" t="n">
        <v>5</v>
      </c>
      <c r="T2570" s="2" t="n">
        <v>1</v>
      </c>
      <c r="U2570" s="2" t="n">
        <v>4</v>
      </c>
      <c r="V2570" s="2"/>
      <c r="W2570" s="2" t="n">
        <v>2</v>
      </c>
      <c r="X2570" s="2" t="n">
        <v>3</v>
      </c>
      <c r="Y2570" s="2" t="n">
        <v>3</v>
      </c>
      <c r="Z2570" s="2" t="n">
        <v>3</v>
      </c>
    </row>
    <row r="2571" customFormat="false" ht="15" hidden="false" customHeight="true" outlineLevel="0" collapsed="false">
      <c r="A2571" s="2" t="n">
        <v>42</v>
      </c>
      <c r="B2571" s="2" t="s">
        <v>26</v>
      </c>
      <c r="C2571" s="2" t="s">
        <v>27</v>
      </c>
      <c r="D2571" s="2" t="s">
        <v>35</v>
      </c>
      <c r="E2571" s="2" t="n">
        <v>7</v>
      </c>
      <c r="F2571" s="2" t="n">
        <v>3</v>
      </c>
      <c r="G2571" s="2" t="s">
        <v>51</v>
      </c>
      <c r="H2571" s="2" t="n">
        <v>2570</v>
      </c>
      <c r="I2571" s="2" t="s">
        <v>30</v>
      </c>
      <c r="J2571" s="2" t="n">
        <v>2</v>
      </c>
      <c r="K2571" s="2" t="s">
        <v>40</v>
      </c>
      <c r="L2571" s="2" t="s">
        <v>32</v>
      </c>
      <c r="M2571" s="2" t="n">
        <v>182650</v>
      </c>
      <c r="N2571" s="2" t="n">
        <v>9</v>
      </c>
      <c r="O2571" s="2" t="n">
        <v>12</v>
      </c>
      <c r="P2571" s="2" t="n">
        <v>1</v>
      </c>
      <c r="Q2571" s="2" t="n">
        <v>18</v>
      </c>
      <c r="R2571" s="2" t="n">
        <v>4</v>
      </c>
      <c r="S2571" s="2" t="n">
        <v>13</v>
      </c>
      <c r="T2571" s="2" t="n">
        <v>5</v>
      </c>
      <c r="U2571" s="2" t="n">
        <v>7</v>
      </c>
      <c r="V2571" s="2" t="n">
        <v>3</v>
      </c>
      <c r="W2571" s="2" t="n">
        <v>1</v>
      </c>
      <c r="X2571" s="2" t="n">
        <v>4</v>
      </c>
      <c r="Y2571" s="2" t="n">
        <v>3</v>
      </c>
      <c r="Z2571" s="2" t="n">
        <v>3</v>
      </c>
    </row>
    <row r="2572" customFormat="false" ht="15" hidden="false" customHeight="true" outlineLevel="0" collapsed="false">
      <c r="A2572" s="2" t="n">
        <v>31</v>
      </c>
      <c r="B2572" s="2" t="s">
        <v>26</v>
      </c>
      <c r="C2572" s="2" t="s">
        <v>27</v>
      </c>
      <c r="D2572" s="2" t="s">
        <v>28</v>
      </c>
      <c r="E2572" s="2" t="n">
        <v>9</v>
      </c>
      <c r="F2572" s="2" t="n">
        <v>4</v>
      </c>
      <c r="G2572" s="2" t="s">
        <v>29</v>
      </c>
      <c r="H2572" s="2" t="n">
        <v>2571</v>
      </c>
      <c r="I2572" s="2" t="s">
        <v>30</v>
      </c>
      <c r="J2572" s="2" t="n">
        <v>1</v>
      </c>
      <c r="K2572" s="2" t="s">
        <v>40</v>
      </c>
      <c r="L2572" s="2" t="s">
        <v>46</v>
      </c>
      <c r="M2572" s="2" t="n">
        <v>161240</v>
      </c>
      <c r="N2572" s="2" t="n">
        <v>2</v>
      </c>
      <c r="O2572" s="2" t="n">
        <v>23</v>
      </c>
      <c r="P2572" s="2" t="n">
        <v>1</v>
      </c>
      <c r="Q2572" s="2" t="n">
        <v>8</v>
      </c>
      <c r="R2572" s="2" t="n">
        <v>2</v>
      </c>
      <c r="S2572" s="2" t="n">
        <v>5</v>
      </c>
      <c r="T2572" s="2" t="n">
        <v>1</v>
      </c>
      <c r="U2572" s="2" t="n">
        <v>4</v>
      </c>
      <c r="V2572" s="2" t="n">
        <v>3</v>
      </c>
      <c r="W2572" s="2" t="n">
        <v>4</v>
      </c>
      <c r="X2572" s="2" t="n">
        <v>3</v>
      </c>
      <c r="Y2572" s="2" t="n">
        <v>2</v>
      </c>
      <c r="Z2572" s="2" t="n">
        <v>4</v>
      </c>
    </row>
    <row r="2573" customFormat="false" ht="15" hidden="false" customHeight="true" outlineLevel="0" collapsed="false">
      <c r="A2573" s="2" t="n">
        <v>34</v>
      </c>
      <c r="B2573" s="2" t="s">
        <v>26</v>
      </c>
      <c r="C2573" s="2" t="s">
        <v>27</v>
      </c>
      <c r="D2573" s="2" t="s">
        <v>35</v>
      </c>
      <c r="E2573" s="2" t="n">
        <v>8</v>
      </c>
      <c r="F2573" s="2" t="n">
        <v>1</v>
      </c>
      <c r="G2573" s="2" t="s">
        <v>29</v>
      </c>
      <c r="H2573" s="2" t="n">
        <v>2572</v>
      </c>
      <c r="I2573" s="2" t="s">
        <v>30</v>
      </c>
      <c r="J2573" s="2" t="n">
        <v>3</v>
      </c>
      <c r="K2573" s="2" t="s">
        <v>45</v>
      </c>
      <c r="L2573" s="2" t="s">
        <v>32</v>
      </c>
      <c r="M2573" s="2" t="n">
        <v>25850</v>
      </c>
      <c r="N2573" s="2" t="n">
        <v>3</v>
      </c>
      <c r="O2573" s="2" t="n">
        <v>12</v>
      </c>
      <c r="P2573" s="2" t="n">
        <v>0</v>
      </c>
      <c r="Q2573" s="2" t="n">
        <v>9</v>
      </c>
      <c r="R2573" s="2" t="n">
        <v>5</v>
      </c>
      <c r="S2573" s="2" t="n">
        <v>4</v>
      </c>
      <c r="T2573" s="2" t="n">
        <v>0</v>
      </c>
      <c r="U2573" s="2" t="n">
        <v>1</v>
      </c>
      <c r="V2573" s="2" t="n">
        <v>4</v>
      </c>
      <c r="W2573" s="2" t="n">
        <v>4</v>
      </c>
      <c r="X2573" s="2" t="n">
        <v>2</v>
      </c>
      <c r="Y2573" s="2" t="n">
        <v>3</v>
      </c>
      <c r="Z2573" s="2" t="n">
        <v>3</v>
      </c>
    </row>
    <row r="2574" customFormat="false" ht="15" hidden="false" customHeight="true" outlineLevel="0" collapsed="false">
      <c r="A2574" s="2" t="n">
        <v>31</v>
      </c>
      <c r="B2574" s="2" t="s">
        <v>26</v>
      </c>
      <c r="C2574" s="2" t="s">
        <v>27</v>
      </c>
      <c r="D2574" s="2" t="s">
        <v>28</v>
      </c>
      <c r="E2574" s="2" t="n">
        <v>25</v>
      </c>
      <c r="F2574" s="2" t="n">
        <v>2</v>
      </c>
      <c r="G2574" s="2" t="s">
        <v>29</v>
      </c>
      <c r="H2574" s="2" t="n">
        <v>2573</v>
      </c>
      <c r="I2574" s="2" t="s">
        <v>30</v>
      </c>
      <c r="J2574" s="2" t="n">
        <v>3</v>
      </c>
      <c r="K2574" s="2" t="s">
        <v>47</v>
      </c>
      <c r="L2574" s="2" t="s">
        <v>46</v>
      </c>
      <c r="M2574" s="2" t="n">
        <v>182130</v>
      </c>
      <c r="N2574" s="2" t="n">
        <v>8</v>
      </c>
      <c r="O2574" s="2" t="n">
        <v>21</v>
      </c>
      <c r="P2574" s="2" t="n">
        <v>2</v>
      </c>
      <c r="Q2574" s="2" t="n">
        <v>4</v>
      </c>
      <c r="R2574" s="2" t="n">
        <v>3</v>
      </c>
      <c r="S2574" s="2" t="n">
        <v>2</v>
      </c>
      <c r="T2574" s="2" t="n">
        <v>2</v>
      </c>
      <c r="U2574" s="2" t="n">
        <v>2</v>
      </c>
      <c r="V2574" s="2" t="n">
        <v>1</v>
      </c>
      <c r="W2574" s="2" t="n">
        <v>3</v>
      </c>
      <c r="X2574" s="2" t="n">
        <v>2</v>
      </c>
      <c r="Y2574" s="2" t="n">
        <v>4</v>
      </c>
      <c r="Z2574" s="2" t="n">
        <v>4</v>
      </c>
    </row>
    <row r="2575" customFormat="false" ht="15" hidden="false" customHeight="true" outlineLevel="0" collapsed="false">
      <c r="A2575" s="2" t="n">
        <v>26</v>
      </c>
      <c r="B2575" s="2" t="s">
        <v>26</v>
      </c>
      <c r="C2575" s="2" t="s">
        <v>34</v>
      </c>
      <c r="D2575" s="2" t="s">
        <v>28</v>
      </c>
      <c r="E2575" s="2" t="n">
        <v>16</v>
      </c>
      <c r="F2575" s="2" t="n">
        <v>2</v>
      </c>
      <c r="G2575" s="2" t="s">
        <v>29</v>
      </c>
      <c r="H2575" s="2" t="n">
        <v>2574</v>
      </c>
      <c r="I2575" s="2" t="s">
        <v>39</v>
      </c>
      <c r="J2575" s="2" t="n">
        <v>2</v>
      </c>
      <c r="K2575" s="2" t="s">
        <v>31</v>
      </c>
      <c r="L2575" s="2" t="s">
        <v>32</v>
      </c>
      <c r="M2575" s="2" t="n">
        <v>83800</v>
      </c>
      <c r="N2575" s="2" t="n">
        <v>0</v>
      </c>
      <c r="O2575" s="2" t="n">
        <v>14</v>
      </c>
      <c r="P2575" s="2" t="n">
        <v>0</v>
      </c>
      <c r="Q2575" s="2" t="n">
        <v>8</v>
      </c>
      <c r="R2575" s="2" t="n">
        <v>3</v>
      </c>
      <c r="S2575" s="2" t="n">
        <v>7</v>
      </c>
      <c r="T2575" s="2" t="n">
        <v>7</v>
      </c>
      <c r="U2575" s="2" t="n">
        <v>7</v>
      </c>
      <c r="V2575" s="2" t="n">
        <v>3</v>
      </c>
      <c r="W2575" s="2" t="n">
        <v>4</v>
      </c>
      <c r="X2575" s="2" t="n">
        <v>3</v>
      </c>
      <c r="Y2575" s="2" t="n">
        <v>4</v>
      </c>
      <c r="Z2575" s="2" t="n">
        <v>3</v>
      </c>
    </row>
    <row r="2576" customFormat="false" ht="15" hidden="false" customHeight="true" outlineLevel="0" collapsed="false">
      <c r="A2576" s="2" t="n">
        <v>45</v>
      </c>
      <c r="B2576" s="2" t="s">
        <v>26</v>
      </c>
      <c r="C2576" s="2" t="s">
        <v>34</v>
      </c>
      <c r="D2576" s="2" t="s">
        <v>35</v>
      </c>
      <c r="E2576" s="2" t="n">
        <v>8</v>
      </c>
      <c r="F2576" s="2" t="n">
        <v>4</v>
      </c>
      <c r="G2576" s="2" t="s">
        <v>29</v>
      </c>
      <c r="H2576" s="2" t="n">
        <v>2575</v>
      </c>
      <c r="I2576" s="2" t="s">
        <v>30</v>
      </c>
      <c r="J2576" s="2" t="n">
        <v>2</v>
      </c>
      <c r="K2576" s="2" t="s">
        <v>49</v>
      </c>
      <c r="L2576" s="2" t="s">
        <v>37</v>
      </c>
      <c r="M2576" s="2" t="n">
        <v>29940</v>
      </c>
      <c r="N2576" s="2" t="n">
        <v>4</v>
      </c>
      <c r="O2576" s="2" t="n">
        <v>18</v>
      </c>
      <c r="P2576" s="2" t="n">
        <v>1</v>
      </c>
      <c r="Q2576" s="2" t="n">
        <v>12</v>
      </c>
      <c r="R2576" s="2" t="n">
        <v>2</v>
      </c>
      <c r="S2576" s="2" t="n">
        <v>4</v>
      </c>
      <c r="T2576" s="2" t="n">
        <v>0</v>
      </c>
      <c r="U2576" s="2" t="n">
        <v>3</v>
      </c>
      <c r="V2576" s="2" t="n">
        <v>2</v>
      </c>
      <c r="W2576" s="2" t="n">
        <v>3</v>
      </c>
      <c r="X2576" s="2" t="n">
        <v>3</v>
      </c>
      <c r="Y2576" s="2" t="n">
        <v>3</v>
      </c>
      <c r="Z2576" s="2" t="n">
        <v>3</v>
      </c>
    </row>
    <row r="2577" customFormat="false" ht="15" hidden="false" customHeight="true" outlineLevel="0" collapsed="false">
      <c r="A2577" s="2" t="n">
        <v>33</v>
      </c>
      <c r="B2577" s="2" t="s">
        <v>26</v>
      </c>
      <c r="C2577" s="2" t="s">
        <v>27</v>
      </c>
      <c r="D2577" s="2" t="s">
        <v>28</v>
      </c>
      <c r="E2577" s="2" t="n">
        <v>1</v>
      </c>
      <c r="F2577" s="2" t="n">
        <v>3</v>
      </c>
      <c r="G2577" s="2" t="s">
        <v>29</v>
      </c>
      <c r="H2577" s="2" t="n">
        <v>2576</v>
      </c>
      <c r="I2577" s="2" t="s">
        <v>30</v>
      </c>
      <c r="J2577" s="2" t="n">
        <v>5</v>
      </c>
      <c r="K2577" s="2" t="s">
        <v>40</v>
      </c>
      <c r="L2577" s="2" t="s">
        <v>37</v>
      </c>
      <c r="M2577" s="2" t="n">
        <v>12230</v>
      </c>
      <c r="N2577" s="2" t="n">
        <v>1</v>
      </c>
      <c r="O2577" s="2" t="n">
        <v>13</v>
      </c>
      <c r="P2577" s="2" t="n">
        <v>1</v>
      </c>
      <c r="Q2577" s="2" t="n">
        <v>10</v>
      </c>
      <c r="R2577" s="2" t="n">
        <v>3</v>
      </c>
      <c r="S2577" s="2" t="n">
        <v>10</v>
      </c>
      <c r="T2577" s="2" t="n">
        <v>0</v>
      </c>
      <c r="U2577" s="2" t="n">
        <v>9</v>
      </c>
      <c r="V2577" s="2" t="n">
        <v>2</v>
      </c>
      <c r="W2577" s="2" t="n">
        <v>3</v>
      </c>
      <c r="X2577" s="2" t="n">
        <v>2</v>
      </c>
      <c r="Y2577" s="2" t="n">
        <v>3</v>
      </c>
      <c r="Z2577" s="2" t="n">
        <v>3</v>
      </c>
    </row>
    <row r="2578" customFormat="false" ht="15" hidden="false" customHeight="true" outlineLevel="0" collapsed="false">
      <c r="A2578" s="2" t="n">
        <v>28</v>
      </c>
      <c r="B2578" s="2" t="s">
        <v>26</v>
      </c>
      <c r="C2578" s="2" t="s">
        <v>34</v>
      </c>
      <c r="D2578" s="2" t="s">
        <v>28</v>
      </c>
      <c r="E2578" s="2" t="n">
        <v>8</v>
      </c>
      <c r="F2578" s="2" t="n">
        <v>3</v>
      </c>
      <c r="G2578" s="2" t="s">
        <v>29</v>
      </c>
      <c r="H2578" s="2" t="n">
        <v>2577</v>
      </c>
      <c r="I2578" s="2" t="s">
        <v>39</v>
      </c>
      <c r="J2578" s="2" t="n">
        <v>4</v>
      </c>
      <c r="K2578" s="2" t="s">
        <v>36</v>
      </c>
      <c r="L2578" s="2" t="s">
        <v>32</v>
      </c>
      <c r="M2578" s="2" t="n">
        <v>11180</v>
      </c>
      <c r="N2578" s="2" t="n">
        <v>1</v>
      </c>
      <c r="O2578" s="2" t="n">
        <v>11</v>
      </c>
      <c r="P2578" s="2" t="n">
        <v>0</v>
      </c>
      <c r="Q2578" s="2" t="n">
        <v>7</v>
      </c>
      <c r="R2578" s="2" t="n">
        <v>3</v>
      </c>
      <c r="S2578" s="2" t="n">
        <v>7</v>
      </c>
      <c r="T2578" s="2" t="n">
        <v>0</v>
      </c>
      <c r="U2578" s="2" t="n">
        <v>7</v>
      </c>
      <c r="V2578" s="2" t="n">
        <v>3</v>
      </c>
      <c r="W2578" s="2" t="n">
        <v>4</v>
      </c>
      <c r="X2578" s="2" t="n">
        <v>3</v>
      </c>
      <c r="Y2578" s="2" t="n">
        <v>3</v>
      </c>
      <c r="Z2578" s="2" t="n">
        <v>3</v>
      </c>
    </row>
    <row r="2579" customFormat="false" ht="15" hidden="false" customHeight="true" outlineLevel="0" collapsed="false">
      <c r="A2579" s="2" t="n">
        <v>29</v>
      </c>
      <c r="B2579" s="2" t="s">
        <v>33</v>
      </c>
      <c r="C2579" s="2" t="s">
        <v>34</v>
      </c>
      <c r="D2579" s="2" t="s">
        <v>42</v>
      </c>
      <c r="E2579" s="2" t="n">
        <v>2</v>
      </c>
      <c r="F2579" s="2" t="n">
        <v>4</v>
      </c>
      <c r="G2579" s="2" t="s">
        <v>42</v>
      </c>
      <c r="H2579" s="2" t="n">
        <v>2578</v>
      </c>
      <c r="I2579" s="2" t="s">
        <v>39</v>
      </c>
      <c r="J2579" s="2" t="n">
        <v>2</v>
      </c>
      <c r="K2579" s="2" t="s">
        <v>40</v>
      </c>
      <c r="L2579" s="2" t="s">
        <v>37</v>
      </c>
      <c r="M2579" s="2" t="n">
        <v>28750</v>
      </c>
      <c r="N2579" s="2" t="n">
        <v>1</v>
      </c>
      <c r="O2579" s="2" t="n">
        <v>11</v>
      </c>
      <c r="P2579" s="2" t="n">
        <v>0</v>
      </c>
      <c r="Q2579" s="2" t="n">
        <v>1</v>
      </c>
      <c r="R2579" s="2" t="n">
        <v>3</v>
      </c>
      <c r="S2579" s="2" t="n">
        <v>1</v>
      </c>
      <c r="T2579" s="2" t="n">
        <v>0</v>
      </c>
      <c r="U2579" s="2" t="n">
        <v>0</v>
      </c>
      <c r="V2579" s="2" t="n">
        <v>3</v>
      </c>
      <c r="W2579" s="2" t="n">
        <v>1</v>
      </c>
      <c r="X2579" s="2" t="n">
        <v>3</v>
      </c>
      <c r="Y2579" s="2" t="n">
        <v>3</v>
      </c>
      <c r="Z2579" s="2" t="n">
        <v>3</v>
      </c>
    </row>
    <row r="2580" customFormat="false" ht="15" hidden="false" customHeight="true" outlineLevel="0" collapsed="false">
      <c r="A2580" s="2" t="n">
        <v>39</v>
      </c>
      <c r="B2580" s="2" t="s">
        <v>26</v>
      </c>
      <c r="C2580" s="2" t="s">
        <v>41</v>
      </c>
      <c r="D2580" s="2" t="s">
        <v>35</v>
      </c>
      <c r="E2580" s="2" t="n">
        <v>8</v>
      </c>
      <c r="F2580" s="2" t="n">
        <v>5</v>
      </c>
      <c r="G2580" s="2" t="s">
        <v>43</v>
      </c>
      <c r="H2580" s="2" t="n">
        <v>2579</v>
      </c>
      <c r="I2580" s="2" t="s">
        <v>30</v>
      </c>
      <c r="J2580" s="2" t="n">
        <v>2</v>
      </c>
      <c r="K2580" s="2" t="s">
        <v>48</v>
      </c>
      <c r="L2580" s="2" t="s">
        <v>32</v>
      </c>
      <c r="M2580" s="2" t="n">
        <v>188240</v>
      </c>
      <c r="N2580" s="2" t="n">
        <v>6</v>
      </c>
      <c r="O2580" s="2" t="n">
        <v>19</v>
      </c>
      <c r="P2580" s="2" t="n">
        <v>1</v>
      </c>
      <c r="Q2580" s="2" t="n">
        <v>10</v>
      </c>
      <c r="R2580" s="2" t="n">
        <v>4</v>
      </c>
      <c r="S2580" s="2" t="n">
        <v>3</v>
      </c>
      <c r="T2580" s="2" t="n">
        <v>1</v>
      </c>
      <c r="U2580" s="2" t="n">
        <v>2</v>
      </c>
      <c r="V2580" s="2" t="n">
        <v>1</v>
      </c>
      <c r="W2580" s="2" t="n">
        <v>3</v>
      </c>
      <c r="X2580" s="2" t="n">
        <v>3</v>
      </c>
      <c r="Y2580" s="2" t="n">
        <v>3</v>
      </c>
      <c r="Z2580" s="2" t="n">
        <v>3</v>
      </c>
    </row>
    <row r="2581" customFormat="false" ht="15" hidden="false" customHeight="true" outlineLevel="0" collapsed="false">
      <c r="A2581" s="2" t="n">
        <v>27</v>
      </c>
      <c r="B2581" s="2" t="s">
        <v>26</v>
      </c>
      <c r="C2581" s="2" t="s">
        <v>27</v>
      </c>
      <c r="D2581" s="2" t="s">
        <v>28</v>
      </c>
      <c r="E2581" s="2" t="n">
        <v>3</v>
      </c>
      <c r="F2581" s="2" t="n">
        <v>2</v>
      </c>
      <c r="G2581" s="2" t="s">
        <v>51</v>
      </c>
      <c r="H2581" s="2" t="n">
        <v>2580</v>
      </c>
      <c r="I2581" s="2" t="s">
        <v>39</v>
      </c>
      <c r="J2581" s="2" t="n">
        <v>2</v>
      </c>
      <c r="K2581" s="2" t="s">
        <v>31</v>
      </c>
      <c r="L2581" s="2" t="s">
        <v>32</v>
      </c>
      <c r="M2581" s="2" t="n">
        <v>135770</v>
      </c>
      <c r="N2581" s="2" t="n">
        <v>1</v>
      </c>
      <c r="O2581" s="2" t="n">
        <v>12</v>
      </c>
      <c r="P2581" s="2" t="n">
        <v>1</v>
      </c>
      <c r="Q2581" s="2" t="n">
        <v>6</v>
      </c>
      <c r="R2581" s="2" t="n">
        <v>2</v>
      </c>
      <c r="S2581" s="2" t="n">
        <v>5</v>
      </c>
      <c r="T2581" s="2" t="n">
        <v>1</v>
      </c>
      <c r="U2581" s="2" t="n">
        <v>2</v>
      </c>
      <c r="V2581" s="2" t="n">
        <v>2</v>
      </c>
      <c r="W2581" s="2" t="n">
        <v>2</v>
      </c>
      <c r="X2581" s="2" t="n">
        <v>2</v>
      </c>
      <c r="Y2581" s="2" t="n">
        <v>3</v>
      </c>
      <c r="Z2581" s="2" t="n">
        <v>3</v>
      </c>
    </row>
    <row r="2582" customFormat="false" ht="15" hidden="false" customHeight="true" outlineLevel="0" collapsed="false">
      <c r="A2582" s="2" t="n">
        <v>34</v>
      </c>
      <c r="B2582" s="2" t="s">
        <v>26</v>
      </c>
      <c r="C2582" s="2" t="s">
        <v>34</v>
      </c>
      <c r="D2582" s="2" t="s">
        <v>35</v>
      </c>
      <c r="E2582" s="2" t="n">
        <v>9</v>
      </c>
      <c r="F2582" s="2" t="n">
        <v>4</v>
      </c>
      <c r="G2582" s="2" t="s">
        <v>29</v>
      </c>
      <c r="H2582" s="2" t="n">
        <v>2581</v>
      </c>
      <c r="I2582" s="2" t="s">
        <v>30</v>
      </c>
      <c r="J2582" s="2" t="n">
        <v>2</v>
      </c>
      <c r="K2582" s="2" t="s">
        <v>47</v>
      </c>
      <c r="L2582" s="2" t="s">
        <v>32</v>
      </c>
      <c r="M2582" s="2" t="n">
        <v>26250</v>
      </c>
      <c r="N2582" s="2" t="n">
        <v>1</v>
      </c>
      <c r="O2582" s="2" t="n">
        <v>12</v>
      </c>
      <c r="P2582" s="2" t="n">
        <v>3</v>
      </c>
      <c r="Q2582" s="2" t="n">
        <v>16</v>
      </c>
      <c r="R2582" s="2" t="n">
        <v>4</v>
      </c>
      <c r="S2582" s="2" t="n">
        <v>15</v>
      </c>
      <c r="T2582" s="2" t="n">
        <v>6</v>
      </c>
      <c r="U2582" s="2" t="n">
        <v>11</v>
      </c>
      <c r="V2582" s="2" t="n">
        <v>3</v>
      </c>
      <c r="W2582" s="2" t="n">
        <v>4</v>
      </c>
      <c r="X2582" s="2" t="n">
        <v>3</v>
      </c>
      <c r="Y2582" s="2" t="n">
        <v>3</v>
      </c>
      <c r="Z2582" s="2" t="n">
        <v>3</v>
      </c>
    </row>
    <row r="2583" customFormat="false" ht="15" hidden="false" customHeight="true" outlineLevel="0" collapsed="false">
      <c r="A2583" s="2" t="n">
        <v>28</v>
      </c>
      <c r="B2583" s="2" t="s">
        <v>33</v>
      </c>
      <c r="C2583" s="2" t="s">
        <v>27</v>
      </c>
      <c r="D2583" s="2" t="s">
        <v>35</v>
      </c>
      <c r="E2583" s="2" t="n">
        <v>25</v>
      </c>
      <c r="F2583" s="2" t="n">
        <v>3</v>
      </c>
      <c r="G2583" s="2" t="s">
        <v>51</v>
      </c>
      <c r="H2583" s="2" t="n">
        <v>2582</v>
      </c>
      <c r="I2583" s="2" t="s">
        <v>39</v>
      </c>
      <c r="J2583" s="2" t="n">
        <v>1</v>
      </c>
      <c r="K2583" s="2" t="s">
        <v>44</v>
      </c>
      <c r="L2583" s="2" t="s">
        <v>37</v>
      </c>
      <c r="M2583" s="2" t="n">
        <v>187890</v>
      </c>
      <c r="N2583" s="2" t="n">
        <v>3</v>
      </c>
      <c r="O2583" s="2" t="n">
        <v>16</v>
      </c>
      <c r="P2583" s="2" t="n">
        <v>1</v>
      </c>
      <c r="Q2583" s="2" t="n">
        <v>6</v>
      </c>
      <c r="R2583" s="2" t="n">
        <v>4</v>
      </c>
      <c r="S2583" s="2" t="n">
        <v>2</v>
      </c>
      <c r="T2583" s="2" t="n">
        <v>2</v>
      </c>
      <c r="U2583" s="2" t="n">
        <v>2</v>
      </c>
      <c r="V2583" s="2" t="n">
        <v>4</v>
      </c>
      <c r="W2583" s="2" t="n">
        <v>3</v>
      </c>
      <c r="X2583" s="2" t="n">
        <v>3</v>
      </c>
      <c r="Y2583" s="2" t="n">
        <v>3</v>
      </c>
      <c r="Z2583" s="2" t="n">
        <v>3</v>
      </c>
    </row>
    <row r="2584" customFormat="false" ht="15" hidden="false" customHeight="true" outlineLevel="0" collapsed="false">
      <c r="A2584" s="2" t="n">
        <v>47</v>
      </c>
      <c r="B2584" s="2" t="s">
        <v>26</v>
      </c>
      <c r="C2584" s="2" t="s">
        <v>41</v>
      </c>
      <c r="D2584" s="2" t="s">
        <v>35</v>
      </c>
      <c r="E2584" s="2" t="n">
        <v>1</v>
      </c>
      <c r="F2584" s="2" t="n">
        <v>4</v>
      </c>
      <c r="G2584" s="2" t="s">
        <v>43</v>
      </c>
      <c r="H2584" s="2" t="n">
        <v>2583</v>
      </c>
      <c r="I2584" s="2" t="s">
        <v>39</v>
      </c>
      <c r="J2584" s="2" t="n">
        <v>1</v>
      </c>
      <c r="K2584" s="2" t="s">
        <v>36</v>
      </c>
      <c r="L2584" s="2" t="s">
        <v>32</v>
      </c>
      <c r="M2584" s="2" t="n">
        <v>45380</v>
      </c>
      <c r="N2584" s="2" t="n">
        <v>8</v>
      </c>
      <c r="O2584" s="2" t="n">
        <v>11</v>
      </c>
      <c r="P2584" s="2" t="n">
        <v>0</v>
      </c>
      <c r="Q2584" s="2" t="n">
        <v>16</v>
      </c>
      <c r="R2584" s="2" t="n">
        <v>3</v>
      </c>
      <c r="S2584" s="2" t="n">
        <v>8</v>
      </c>
      <c r="T2584" s="2" t="n">
        <v>1</v>
      </c>
      <c r="U2584" s="2" t="n">
        <v>7</v>
      </c>
      <c r="V2584" s="2" t="n">
        <v>3</v>
      </c>
      <c r="W2584" s="2" t="n">
        <v>2</v>
      </c>
      <c r="X2584" s="2" t="n">
        <v>4</v>
      </c>
      <c r="Y2584" s="2" t="n">
        <v>3</v>
      </c>
      <c r="Z2584" s="2" t="n">
        <v>3</v>
      </c>
    </row>
    <row r="2585" customFormat="false" ht="15" hidden="false" customHeight="true" outlineLevel="0" collapsed="false">
      <c r="A2585" s="2" t="n">
        <v>56</v>
      </c>
      <c r="B2585" s="2" t="s">
        <v>26</v>
      </c>
      <c r="C2585" s="2" t="s">
        <v>27</v>
      </c>
      <c r="D2585" s="2" t="s">
        <v>35</v>
      </c>
      <c r="E2585" s="2" t="n">
        <v>4</v>
      </c>
      <c r="F2585" s="2" t="n">
        <v>3</v>
      </c>
      <c r="G2585" s="2" t="s">
        <v>51</v>
      </c>
      <c r="H2585" s="2" t="n">
        <v>2584</v>
      </c>
      <c r="I2585" s="2" t="s">
        <v>30</v>
      </c>
      <c r="J2585" s="2" t="n">
        <v>2</v>
      </c>
      <c r="K2585" s="2" t="s">
        <v>40</v>
      </c>
      <c r="L2585" s="2" t="s">
        <v>32</v>
      </c>
      <c r="M2585" s="2" t="n">
        <v>198470</v>
      </c>
      <c r="N2585" s="2" t="n">
        <v>4</v>
      </c>
      <c r="O2585" s="2" t="n">
        <v>14</v>
      </c>
      <c r="P2585" s="2" t="n">
        <v>0</v>
      </c>
      <c r="Q2585" s="2" t="n">
        <v>6</v>
      </c>
      <c r="R2585" s="2" t="n">
        <v>6</v>
      </c>
      <c r="S2585" s="2" t="n">
        <v>0</v>
      </c>
      <c r="T2585" s="2" t="n">
        <v>0</v>
      </c>
      <c r="U2585" s="2" t="n">
        <v>0</v>
      </c>
      <c r="V2585" s="2" t="n">
        <v>4</v>
      </c>
      <c r="W2585" s="2" t="n">
        <v>1</v>
      </c>
      <c r="X2585" s="2"/>
      <c r="Y2585" s="2" t="n">
        <v>3</v>
      </c>
      <c r="Z2585" s="2" t="n">
        <v>3</v>
      </c>
    </row>
    <row r="2586" customFormat="false" ht="15" hidden="false" customHeight="true" outlineLevel="0" collapsed="false">
      <c r="A2586" s="2" t="n">
        <v>39</v>
      </c>
      <c r="B2586" s="2" t="s">
        <v>26</v>
      </c>
      <c r="C2586" s="2" t="s">
        <v>27</v>
      </c>
      <c r="D2586" s="2" t="s">
        <v>35</v>
      </c>
      <c r="E2586" s="2" t="n">
        <v>1</v>
      </c>
      <c r="F2586" s="2" t="n">
        <v>3</v>
      </c>
      <c r="G2586" s="2" t="s">
        <v>38</v>
      </c>
      <c r="H2586" s="2" t="n">
        <v>2585</v>
      </c>
      <c r="I2586" s="2" t="s">
        <v>30</v>
      </c>
      <c r="J2586" s="2" t="n">
        <v>1</v>
      </c>
      <c r="K2586" s="2" t="s">
        <v>45</v>
      </c>
      <c r="L2586" s="2" t="s">
        <v>32</v>
      </c>
      <c r="M2586" s="2" t="n">
        <v>105120</v>
      </c>
      <c r="N2586" s="2" t="n">
        <v>1</v>
      </c>
      <c r="O2586" s="2" t="n">
        <v>12</v>
      </c>
      <c r="P2586" s="2" t="n">
        <v>1</v>
      </c>
      <c r="Q2586" s="2" t="n">
        <v>10</v>
      </c>
      <c r="R2586" s="2" t="n">
        <v>2</v>
      </c>
      <c r="S2586" s="2" t="n">
        <v>10</v>
      </c>
      <c r="T2586" s="2" t="n">
        <v>7</v>
      </c>
      <c r="U2586" s="2" t="n">
        <v>9</v>
      </c>
      <c r="V2586" s="2" t="n">
        <v>1</v>
      </c>
      <c r="W2586" s="2" t="n">
        <v>1</v>
      </c>
      <c r="X2586" s="2" t="n">
        <v>3</v>
      </c>
      <c r="Y2586" s="2" t="n">
        <v>3</v>
      </c>
      <c r="Z2586" s="2" t="n">
        <v>3</v>
      </c>
    </row>
    <row r="2587" customFormat="false" ht="15" hidden="false" customHeight="true" outlineLevel="0" collapsed="false">
      <c r="A2587" s="2" t="n">
        <v>38</v>
      </c>
      <c r="B2587" s="2" t="s">
        <v>26</v>
      </c>
      <c r="C2587" s="2" t="s">
        <v>34</v>
      </c>
      <c r="D2587" s="2" t="s">
        <v>35</v>
      </c>
      <c r="E2587" s="2" t="n">
        <v>4</v>
      </c>
      <c r="F2587" s="2" t="n">
        <v>2</v>
      </c>
      <c r="G2587" s="2" t="s">
        <v>43</v>
      </c>
      <c r="H2587" s="2" t="n">
        <v>2586</v>
      </c>
      <c r="I2587" s="2" t="s">
        <v>30</v>
      </c>
      <c r="J2587" s="2" t="n">
        <v>1</v>
      </c>
      <c r="K2587" s="2" t="s">
        <v>49</v>
      </c>
      <c r="L2587" s="2" t="s">
        <v>46</v>
      </c>
      <c r="M2587" s="2" t="n">
        <v>44440</v>
      </c>
      <c r="N2587" s="2" t="n">
        <v>1</v>
      </c>
      <c r="O2587" s="2" t="n">
        <v>13</v>
      </c>
      <c r="P2587" s="2" t="n">
        <v>0</v>
      </c>
      <c r="Q2587" s="2" t="n">
        <v>20</v>
      </c>
      <c r="R2587" s="2" t="n">
        <v>2</v>
      </c>
      <c r="S2587" s="2" t="n">
        <v>20</v>
      </c>
      <c r="T2587" s="2" t="n">
        <v>0</v>
      </c>
      <c r="U2587" s="2" t="n">
        <v>7</v>
      </c>
      <c r="V2587" s="2" t="n">
        <v>4</v>
      </c>
      <c r="W2587" s="2" t="n">
        <v>2</v>
      </c>
      <c r="X2587" s="2" t="n">
        <v>3</v>
      </c>
      <c r="Y2587" s="2" t="n">
        <v>3</v>
      </c>
      <c r="Z2587" s="2" t="n">
        <v>3</v>
      </c>
    </row>
    <row r="2588" customFormat="false" ht="15" hidden="false" customHeight="true" outlineLevel="0" collapsed="false">
      <c r="A2588" s="2" t="n">
        <v>58</v>
      </c>
      <c r="B2588" s="2" t="s">
        <v>26</v>
      </c>
      <c r="C2588" s="2" t="s">
        <v>27</v>
      </c>
      <c r="D2588" s="2" t="s">
        <v>28</v>
      </c>
      <c r="E2588" s="2" t="n">
        <v>5</v>
      </c>
      <c r="F2588" s="2" t="n">
        <v>3</v>
      </c>
      <c r="G2588" s="2" t="s">
        <v>50</v>
      </c>
      <c r="H2588" s="2" t="n">
        <v>2587</v>
      </c>
      <c r="I2588" s="2" t="s">
        <v>39</v>
      </c>
      <c r="J2588" s="2" t="n">
        <v>5</v>
      </c>
      <c r="K2588" s="2" t="s">
        <v>48</v>
      </c>
      <c r="L2588" s="2" t="s">
        <v>32</v>
      </c>
      <c r="M2588" s="2" t="n">
        <v>21540</v>
      </c>
      <c r="N2588" s="2" t="n">
        <v>4</v>
      </c>
      <c r="O2588" s="2" t="n">
        <v>21</v>
      </c>
      <c r="P2588" s="2" t="n">
        <v>1</v>
      </c>
      <c r="Q2588" s="2" t="n">
        <v>29</v>
      </c>
      <c r="R2588" s="2" t="n">
        <v>3</v>
      </c>
      <c r="S2588" s="2" t="n">
        <v>1</v>
      </c>
      <c r="T2588" s="2" t="n">
        <v>0</v>
      </c>
      <c r="U2588" s="2" t="n">
        <v>0</v>
      </c>
      <c r="V2588" s="2" t="n">
        <v>4</v>
      </c>
      <c r="W2588" s="2" t="n">
        <v>4</v>
      </c>
      <c r="X2588" s="2" t="n">
        <v>2</v>
      </c>
      <c r="Y2588" s="2" t="n">
        <v>3</v>
      </c>
      <c r="Z2588" s="2" t="n">
        <v>4</v>
      </c>
    </row>
    <row r="2589" customFormat="false" ht="15" hidden="false" customHeight="true" outlineLevel="0" collapsed="false">
      <c r="A2589" s="2" t="n">
        <v>32</v>
      </c>
      <c r="B2589" s="2" t="s">
        <v>33</v>
      </c>
      <c r="C2589" s="2" t="s">
        <v>34</v>
      </c>
      <c r="D2589" s="2" t="s">
        <v>35</v>
      </c>
      <c r="E2589" s="2" t="n">
        <v>9</v>
      </c>
      <c r="F2589" s="2" t="n">
        <v>3</v>
      </c>
      <c r="G2589" s="2" t="s">
        <v>29</v>
      </c>
      <c r="H2589" s="2" t="n">
        <v>2588</v>
      </c>
      <c r="I2589" s="2" t="s">
        <v>39</v>
      </c>
      <c r="J2589" s="2" t="n">
        <v>2</v>
      </c>
      <c r="K2589" s="2" t="s">
        <v>45</v>
      </c>
      <c r="L2589" s="2" t="s">
        <v>37</v>
      </c>
      <c r="M2589" s="2" t="n">
        <v>191900</v>
      </c>
      <c r="N2589" s="2" t="n">
        <v>3</v>
      </c>
      <c r="O2589" s="2" t="n">
        <v>17</v>
      </c>
      <c r="P2589" s="2" t="n">
        <v>1</v>
      </c>
      <c r="Q2589" s="2" t="n">
        <v>8</v>
      </c>
      <c r="R2589" s="2" t="n">
        <v>2</v>
      </c>
      <c r="S2589" s="2" t="n">
        <v>4</v>
      </c>
      <c r="T2589" s="2" t="n">
        <v>0</v>
      </c>
      <c r="U2589" s="2" t="n">
        <v>3</v>
      </c>
      <c r="V2589" s="2" t="n">
        <v>1</v>
      </c>
      <c r="W2589" s="2" t="n">
        <v>3</v>
      </c>
      <c r="X2589" s="2" t="n">
        <v>3</v>
      </c>
      <c r="Y2589" s="2" t="n">
        <v>3</v>
      </c>
      <c r="Z2589" s="2" t="n">
        <v>3</v>
      </c>
    </row>
    <row r="2590" customFormat="false" ht="15" hidden="false" customHeight="true" outlineLevel="0" collapsed="false">
      <c r="A2590" s="2" t="n">
        <v>38</v>
      </c>
      <c r="B2590" s="2" t="s">
        <v>26</v>
      </c>
      <c r="C2590" s="2" t="s">
        <v>27</v>
      </c>
      <c r="D2590" s="2" t="s">
        <v>35</v>
      </c>
      <c r="E2590" s="2" t="n">
        <v>3</v>
      </c>
      <c r="F2590" s="2" t="n">
        <v>4</v>
      </c>
      <c r="G2590" s="2" t="s">
        <v>29</v>
      </c>
      <c r="H2590" s="2" t="n">
        <v>2589</v>
      </c>
      <c r="I2590" s="2" t="s">
        <v>30</v>
      </c>
      <c r="J2590" s="2" t="n">
        <v>1</v>
      </c>
      <c r="K2590" s="2" t="s">
        <v>48</v>
      </c>
      <c r="L2590" s="2" t="s">
        <v>46</v>
      </c>
      <c r="M2590" s="2" t="n">
        <v>44900</v>
      </c>
      <c r="N2590" s="2" t="n">
        <v>2</v>
      </c>
      <c r="O2590" s="2" t="n">
        <v>21</v>
      </c>
      <c r="P2590" s="2" t="n">
        <v>1</v>
      </c>
      <c r="Q2590" s="2" t="n">
        <v>10</v>
      </c>
      <c r="R2590" s="2" t="n">
        <v>1</v>
      </c>
      <c r="S2590" s="2" t="n">
        <v>5</v>
      </c>
      <c r="T2590" s="2" t="n">
        <v>0</v>
      </c>
      <c r="U2590" s="2" t="n">
        <v>3</v>
      </c>
      <c r="V2590" s="2" t="n">
        <v>2</v>
      </c>
      <c r="W2590" s="2" t="n">
        <v>4</v>
      </c>
      <c r="X2590" s="2" t="n">
        <v>4</v>
      </c>
      <c r="Y2590" s="2" t="n">
        <v>3</v>
      </c>
      <c r="Z2590" s="2" t="n">
        <v>4</v>
      </c>
    </row>
    <row r="2591" customFormat="false" ht="15" hidden="false" customHeight="true" outlineLevel="0" collapsed="false">
      <c r="A2591" s="2" t="n">
        <v>49</v>
      </c>
      <c r="B2591" s="2" t="s">
        <v>26</v>
      </c>
      <c r="C2591" s="2" t="s">
        <v>34</v>
      </c>
      <c r="D2591" s="2" t="s">
        <v>28</v>
      </c>
      <c r="E2591" s="2" t="n">
        <v>11</v>
      </c>
      <c r="F2591" s="2" t="n">
        <v>4</v>
      </c>
      <c r="G2591" s="2" t="s">
        <v>29</v>
      </c>
      <c r="H2591" s="2" t="n">
        <v>2590</v>
      </c>
      <c r="I2591" s="2" t="s">
        <v>39</v>
      </c>
      <c r="J2591" s="2" t="n">
        <v>2</v>
      </c>
      <c r="K2591" s="2" t="s">
        <v>36</v>
      </c>
      <c r="L2591" s="2" t="s">
        <v>32</v>
      </c>
      <c r="M2591" s="2" t="n">
        <v>35060</v>
      </c>
      <c r="N2591" s="2" t="n">
        <v>3</v>
      </c>
      <c r="O2591" s="2" t="n">
        <v>11</v>
      </c>
      <c r="P2591" s="2" t="n">
        <v>1</v>
      </c>
      <c r="Q2591" s="2" t="n">
        <v>28</v>
      </c>
      <c r="R2591" s="2" t="n">
        <v>4</v>
      </c>
      <c r="S2591" s="2" t="n">
        <v>5</v>
      </c>
      <c r="T2591" s="2" t="n">
        <v>4</v>
      </c>
      <c r="U2591" s="2" t="n">
        <v>3</v>
      </c>
      <c r="V2591" s="2" t="n">
        <v>2</v>
      </c>
      <c r="W2591" s="2" t="n">
        <v>4</v>
      </c>
      <c r="X2591" s="2" t="n">
        <v>3</v>
      </c>
      <c r="Y2591" s="2" t="n">
        <v>2</v>
      </c>
      <c r="Z2591" s="2" t="n">
        <v>3</v>
      </c>
    </row>
    <row r="2592" customFormat="false" ht="15" hidden="false" customHeight="true" outlineLevel="0" collapsed="false">
      <c r="A2592" s="2" t="n">
        <v>42</v>
      </c>
      <c r="B2592" s="2" t="s">
        <v>26</v>
      </c>
      <c r="C2592" s="2" t="s">
        <v>27</v>
      </c>
      <c r="D2592" s="2" t="s">
        <v>28</v>
      </c>
      <c r="E2592" s="2" t="n">
        <v>1</v>
      </c>
      <c r="F2592" s="2" t="n">
        <v>3</v>
      </c>
      <c r="G2592" s="2" t="s">
        <v>29</v>
      </c>
      <c r="H2592" s="2" t="n">
        <v>2591</v>
      </c>
      <c r="I2592" s="2" t="s">
        <v>30</v>
      </c>
      <c r="J2592" s="2" t="n">
        <v>1</v>
      </c>
      <c r="K2592" s="2" t="s">
        <v>40</v>
      </c>
      <c r="L2592" s="2" t="s">
        <v>46</v>
      </c>
      <c r="M2592" s="2" t="n">
        <v>23720</v>
      </c>
      <c r="N2592" s="2" t="n">
        <v>3</v>
      </c>
      <c r="O2592" s="2" t="n">
        <v>12</v>
      </c>
      <c r="P2592" s="2" t="n">
        <v>1</v>
      </c>
      <c r="Q2592" s="2" t="n">
        <v>14</v>
      </c>
      <c r="R2592" s="2" t="n">
        <v>3</v>
      </c>
      <c r="S2592" s="2" t="n">
        <v>0</v>
      </c>
      <c r="T2592" s="2" t="n">
        <v>0</v>
      </c>
      <c r="U2592" s="2" t="n">
        <v>0</v>
      </c>
      <c r="V2592" s="2" t="n">
        <v>2</v>
      </c>
      <c r="W2592" s="2" t="n">
        <v>4</v>
      </c>
      <c r="X2592" s="2" t="n">
        <v>3</v>
      </c>
      <c r="Y2592" s="2" t="n">
        <v>3</v>
      </c>
      <c r="Z2592" s="2" t="n">
        <v>3</v>
      </c>
    </row>
    <row r="2593" customFormat="false" ht="15" hidden="false" customHeight="true" outlineLevel="0" collapsed="false">
      <c r="A2593" s="2" t="n">
        <v>27</v>
      </c>
      <c r="B2593" s="2" t="s">
        <v>33</v>
      </c>
      <c r="C2593" s="2" t="s">
        <v>34</v>
      </c>
      <c r="D2593" s="2" t="s">
        <v>28</v>
      </c>
      <c r="E2593" s="2" t="n">
        <v>8</v>
      </c>
      <c r="F2593" s="2" t="n">
        <v>1</v>
      </c>
      <c r="G2593" s="2" t="s">
        <v>29</v>
      </c>
      <c r="H2593" s="2" t="n">
        <v>2592</v>
      </c>
      <c r="I2593" s="2" t="s">
        <v>39</v>
      </c>
      <c r="J2593" s="2" t="n">
        <v>4</v>
      </c>
      <c r="K2593" s="2" t="s">
        <v>45</v>
      </c>
      <c r="L2593" s="2" t="s">
        <v>32</v>
      </c>
      <c r="M2593" s="2" t="n">
        <v>102310</v>
      </c>
      <c r="N2593" s="2" t="n">
        <v>1</v>
      </c>
      <c r="O2593" s="2" t="n">
        <v>13</v>
      </c>
      <c r="P2593" s="2" t="n">
        <v>1</v>
      </c>
      <c r="Q2593" s="2" t="n">
        <v>1</v>
      </c>
      <c r="R2593" s="2" t="n">
        <v>2</v>
      </c>
      <c r="S2593" s="2" t="n">
        <v>1</v>
      </c>
      <c r="T2593" s="2" t="n">
        <v>0</v>
      </c>
      <c r="U2593" s="2" t="n">
        <v>0</v>
      </c>
      <c r="V2593" s="2" t="n">
        <v>1</v>
      </c>
      <c r="W2593" s="2" t="n">
        <v>2</v>
      </c>
      <c r="X2593" s="2" t="n">
        <v>3</v>
      </c>
      <c r="Y2593" s="2" t="n">
        <v>3</v>
      </c>
      <c r="Z2593" s="2" t="n">
        <v>3</v>
      </c>
    </row>
    <row r="2594" customFormat="false" ht="15" hidden="false" customHeight="true" outlineLevel="0" collapsed="false">
      <c r="A2594" s="2" t="n">
        <v>35</v>
      </c>
      <c r="B2594" s="2" t="s">
        <v>26</v>
      </c>
      <c r="C2594" s="2" t="s">
        <v>27</v>
      </c>
      <c r="D2594" s="2" t="s">
        <v>35</v>
      </c>
      <c r="E2594" s="2" t="n">
        <v>25</v>
      </c>
      <c r="F2594" s="2" t="n">
        <v>1</v>
      </c>
      <c r="G2594" s="2" t="s">
        <v>43</v>
      </c>
      <c r="H2594" s="2" t="n">
        <v>2593</v>
      </c>
      <c r="I2594" s="2" t="s">
        <v>39</v>
      </c>
      <c r="J2594" s="2" t="n">
        <v>1</v>
      </c>
      <c r="K2594" s="2" t="s">
        <v>40</v>
      </c>
      <c r="L2594" s="2" t="s">
        <v>32</v>
      </c>
      <c r="M2594" s="2" t="n">
        <v>54100</v>
      </c>
      <c r="N2594" s="2" t="n">
        <v>0</v>
      </c>
      <c r="O2594" s="2" t="n">
        <v>18</v>
      </c>
      <c r="P2594" s="2" t="n">
        <v>0</v>
      </c>
      <c r="Q2594" s="2" t="n">
        <v>6</v>
      </c>
      <c r="R2594" s="2" t="n">
        <v>4</v>
      </c>
      <c r="S2594" s="2" t="n">
        <v>5</v>
      </c>
      <c r="T2594" s="2" t="n">
        <v>0</v>
      </c>
      <c r="U2594" s="2" t="n">
        <v>4</v>
      </c>
      <c r="V2594" s="2" t="n">
        <v>2</v>
      </c>
      <c r="W2594" s="2" t="n">
        <v>1</v>
      </c>
      <c r="X2594" s="2" t="n">
        <v>1</v>
      </c>
      <c r="Y2594" s="2" t="n">
        <v>3</v>
      </c>
      <c r="Z2594" s="2" t="n">
        <v>3</v>
      </c>
    </row>
    <row r="2595" customFormat="false" ht="15" hidden="false" customHeight="true" outlineLevel="0" collapsed="false">
      <c r="A2595" s="2" t="n">
        <v>28</v>
      </c>
      <c r="B2595" s="2" t="s">
        <v>26</v>
      </c>
      <c r="C2595" s="2" t="s">
        <v>41</v>
      </c>
      <c r="D2595" s="2" t="s">
        <v>35</v>
      </c>
      <c r="E2595" s="2" t="n">
        <v>21</v>
      </c>
      <c r="F2595" s="2" t="n">
        <v>1</v>
      </c>
      <c r="G2595" s="2" t="s">
        <v>43</v>
      </c>
      <c r="H2595" s="2" t="n">
        <v>2594</v>
      </c>
      <c r="I2595" s="2" t="s">
        <v>39</v>
      </c>
      <c r="J2595" s="2" t="n">
        <v>3</v>
      </c>
      <c r="K2595" s="2" t="s">
        <v>36</v>
      </c>
      <c r="L2595" s="2" t="s">
        <v>37</v>
      </c>
      <c r="M2595" s="2" t="n">
        <v>79780</v>
      </c>
      <c r="N2595" s="2" t="n">
        <v>1</v>
      </c>
      <c r="O2595" s="2" t="n">
        <v>16</v>
      </c>
      <c r="P2595" s="2" t="n">
        <v>2</v>
      </c>
      <c r="Q2595" s="2" t="n">
        <v>5</v>
      </c>
      <c r="R2595" s="2" t="n">
        <v>2</v>
      </c>
      <c r="S2595" s="2" t="n">
        <v>5</v>
      </c>
      <c r="T2595" s="2" t="n">
        <v>1</v>
      </c>
      <c r="U2595" s="2" t="n">
        <v>4</v>
      </c>
      <c r="V2595" s="2" t="n">
        <v>3</v>
      </c>
      <c r="W2595" s="2" t="n">
        <v>3</v>
      </c>
      <c r="X2595" s="2" t="n">
        <v>2</v>
      </c>
      <c r="Y2595" s="2" t="n">
        <v>3</v>
      </c>
      <c r="Z2595" s="2" t="n">
        <v>3</v>
      </c>
    </row>
    <row r="2596" customFormat="false" ht="15" hidden="false" customHeight="true" outlineLevel="0" collapsed="false">
      <c r="A2596" s="2" t="n">
        <v>31</v>
      </c>
      <c r="B2596" s="2" t="s">
        <v>26</v>
      </c>
      <c r="C2596" s="2" t="s">
        <v>41</v>
      </c>
      <c r="D2596" s="2" t="s">
        <v>28</v>
      </c>
      <c r="E2596" s="2" t="n">
        <v>23</v>
      </c>
      <c r="F2596" s="2" t="n">
        <v>1</v>
      </c>
      <c r="G2596" s="2" t="s">
        <v>43</v>
      </c>
      <c r="H2596" s="2" t="n">
        <v>2595</v>
      </c>
      <c r="I2596" s="2" t="s">
        <v>39</v>
      </c>
      <c r="J2596" s="2" t="n">
        <v>1</v>
      </c>
      <c r="K2596" s="2" t="s">
        <v>40</v>
      </c>
      <c r="L2596" s="2" t="s">
        <v>46</v>
      </c>
      <c r="M2596" s="2" t="n">
        <v>38670</v>
      </c>
      <c r="N2596" s="2" t="n">
        <v>1</v>
      </c>
      <c r="O2596" s="2" t="n">
        <v>11</v>
      </c>
      <c r="P2596" s="2" t="n">
        <v>1</v>
      </c>
      <c r="Q2596" s="2" t="n">
        <v>4</v>
      </c>
      <c r="R2596" s="2" t="n">
        <v>4</v>
      </c>
      <c r="S2596" s="2" t="n">
        <v>4</v>
      </c>
      <c r="T2596" s="2" t="n">
        <v>2</v>
      </c>
      <c r="U2596" s="2" t="n">
        <v>3</v>
      </c>
      <c r="V2596" s="2" t="n">
        <v>3</v>
      </c>
      <c r="W2596" s="2" t="n">
        <v>1</v>
      </c>
      <c r="X2596" s="2" t="n">
        <v>4</v>
      </c>
      <c r="Y2596" s="2" t="n">
        <v>4</v>
      </c>
      <c r="Z2596" s="2" t="n">
        <v>3</v>
      </c>
    </row>
    <row r="2597" customFormat="false" ht="15" hidden="false" customHeight="true" outlineLevel="0" collapsed="false">
      <c r="A2597" s="2" t="n">
        <v>36</v>
      </c>
      <c r="B2597" s="2" t="s">
        <v>26</v>
      </c>
      <c r="C2597" s="2" t="s">
        <v>41</v>
      </c>
      <c r="D2597" s="2" t="s">
        <v>35</v>
      </c>
      <c r="E2597" s="2" t="n">
        <v>1</v>
      </c>
      <c r="F2597" s="2" t="n">
        <v>3</v>
      </c>
      <c r="G2597" s="2" t="s">
        <v>29</v>
      </c>
      <c r="H2597" s="2" t="n">
        <v>2596</v>
      </c>
      <c r="I2597" s="2" t="s">
        <v>39</v>
      </c>
      <c r="J2597" s="2" t="n">
        <v>2</v>
      </c>
      <c r="K2597" s="2" t="s">
        <v>36</v>
      </c>
      <c r="L2597" s="2" t="s">
        <v>32</v>
      </c>
      <c r="M2597" s="2" t="n">
        <v>28380</v>
      </c>
      <c r="N2597" s="2" t="n">
        <v>1</v>
      </c>
      <c r="O2597" s="2" t="n">
        <v>19</v>
      </c>
      <c r="P2597" s="2" t="n">
        <v>2</v>
      </c>
      <c r="Q2597" s="2" t="n">
        <v>5</v>
      </c>
      <c r="R2597" s="2" t="n">
        <v>5</v>
      </c>
      <c r="S2597" s="2" t="n">
        <v>5</v>
      </c>
      <c r="T2597" s="2" t="n">
        <v>0</v>
      </c>
      <c r="U2597" s="2" t="n">
        <v>2</v>
      </c>
      <c r="V2597" s="2" t="n">
        <v>1</v>
      </c>
      <c r="W2597" s="2" t="n">
        <v>2</v>
      </c>
      <c r="X2597" s="2" t="n">
        <v>3</v>
      </c>
      <c r="Y2597" s="2" t="n">
        <v>1</v>
      </c>
      <c r="Z2597" s="2" t="n">
        <v>3</v>
      </c>
    </row>
    <row r="2598" customFormat="false" ht="15" hidden="false" customHeight="true" outlineLevel="0" collapsed="false">
      <c r="A2598" s="2" t="n">
        <v>34</v>
      </c>
      <c r="B2598" s="2" t="s">
        <v>26</v>
      </c>
      <c r="C2598" s="2" t="s">
        <v>27</v>
      </c>
      <c r="D2598" s="2" t="s">
        <v>28</v>
      </c>
      <c r="E2598" s="2" t="n">
        <v>2</v>
      </c>
      <c r="F2598" s="2" t="n">
        <v>3</v>
      </c>
      <c r="G2598" s="2" t="s">
        <v>50</v>
      </c>
      <c r="H2598" s="2" t="n">
        <v>2597</v>
      </c>
      <c r="I2598" s="2" t="s">
        <v>39</v>
      </c>
      <c r="J2598" s="2" t="n">
        <v>4</v>
      </c>
      <c r="K2598" s="2" t="s">
        <v>31</v>
      </c>
      <c r="L2598" s="2" t="s">
        <v>37</v>
      </c>
      <c r="M2598" s="2" t="n">
        <v>46950</v>
      </c>
      <c r="N2598" s="2" t="n">
        <v>1</v>
      </c>
      <c r="O2598" s="2" t="n">
        <v>16</v>
      </c>
      <c r="P2598" s="2" t="n">
        <v>1</v>
      </c>
      <c r="Q2598" s="2" t="n">
        <v>14</v>
      </c>
      <c r="R2598" s="2" t="n">
        <v>2</v>
      </c>
      <c r="S2598" s="2" t="n">
        <v>14</v>
      </c>
      <c r="T2598" s="2" t="n">
        <v>2</v>
      </c>
      <c r="U2598" s="2" t="n">
        <v>1</v>
      </c>
      <c r="V2598" s="2" t="n">
        <v>1</v>
      </c>
      <c r="W2598" s="2" t="n">
        <v>4</v>
      </c>
      <c r="X2598" s="2" t="n">
        <v>2</v>
      </c>
      <c r="Y2598" s="2" t="n">
        <v>3</v>
      </c>
      <c r="Z2598" s="2" t="n">
        <v>3</v>
      </c>
    </row>
    <row r="2599" customFormat="false" ht="15" hidden="false" customHeight="true" outlineLevel="0" collapsed="false">
      <c r="A2599" s="2" t="n">
        <v>34</v>
      </c>
      <c r="B2599" s="2" t="s">
        <v>26</v>
      </c>
      <c r="C2599" s="2" t="s">
        <v>27</v>
      </c>
      <c r="D2599" s="2" t="s">
        <v>35</v>
      </c>
      <c r="E2599" s="2" t="n">
        <v>19</v>
      </c>
      <c r="F2599" s="2" t="n">
        <v>3</v>
      </c>
      <c r="G2599" s="2" t="s">
        <v>51</v>
      </c>
      <c r="H2599" s="2" t="n">
        <v>2598</v>
      </c>
      <c r="I2599" s="2" t="s">
        <v>30</v>
      </c>
      <c r="J2599" s="2" t="n">
        <v>1</v>
      </c>
      <c r="K2599" s="2" t="s">
        <v>44</v>
      </c>
      <c r="L2599" s="2" t="s">
        <v>46</v>
      </c>
      <c r="M2599" s="2" t="n">
        <v>33390</v>
      </c>
      <c r="N2599" s="2" t="n">
        <v>1</v>
      </c>
      <c r="O2599" s="2" t="n">
        <v>16</v>
      </c>
      <c r="P2599" s="2" t="n">
        <v>0</v>
      </c>
      <c r="Q2599" s="2" t="n">
        <v>9</v>
      </c>
      <c r="R2599" s="2" t="n">
        <v>2</v>
      </c>
      <c r="S2599" s="2" t="n">
        <v>8</v>
      </c>
      <c r="T2599" s="2" t="n">
        <v>1</v>
      </c>
      <c r="U2599" s="2" t="n">
        <v>1</v>
      </c>
      <c r="V2599" s="2" t="n">
        <v>4</v>
      </c>
      <c r="W2599" s="2" t="n">
        <v>3</v>
      </c>
      <c r="X2599" s="2" t="n">
        <v>2</v>
      </c>
      <c r="Y2599" s="2" t="n">
        <v>2</v>
      </c>
      <c r="Z2599" s="2" t="n">
        <v>3</v>
      </c>
    </row>
    <row r="2600" customFormat="false" ht="15" hidden="false" customHeight="true" outlineLevel="0" collapsed="false">
      <c r="A2600" s="2" t="n">
        <v>26</v>
      </c>
      <c r="B2600" s="2" t="s">
        <v>26</v>
      </c>
      <c r="C2600" s="2" t="s">
        <v>27</v>
      </c>
      <c r="D2600" s="2" t="s">
        <v>35</v>
      </c>
      <c r="E2600" s="2" t="n">
        <v>2</v>
      </c>
      <c r="F2600" s="2" t="n">
        <v>2</v>
      </c>
      <c r="G2600" s="2" t="s">
        <v>29</v>
      </c>
      <c r="H2600" s="2" t="n">
        <v>2599</v>
      </c>
      <c r="I2600" s="2" t="s">
        <v>39</v>
      </c>
      <c r="J2600" s="2" t="n">
        <v>2</v>
      </c>
      <c r="K2600" s="2" t="s">
        <v>36</v>
      </c>
      <c r="L2600" s="2" t="s">
        <v>37</v>
      </c>
      <c r="M2600" s="2" t="n">
        <v>20800</v>
      </c>
      <c r="N2600" s="2" t="n">
        <v>0</v>
      </c>
      <c r="O2600" s="2" t="n">
        <v>13</v>
      </c>
      <c r="P2600" s="2" t="n">
        <v>0</v>
      </c>
      <c r="Q2600" s="2" t="n">
        <v>8</v>
      </c>
      <c r="R2600" s="2" t="n">
        <v>6</v>
      </c>
      <c r="S2600" s="2" t="n">
        <v>7</v>
      </c>
      <c r="T2600" s="2" t="n">
        <v>7</v>
      </c>
      <c r="U2600" s="2" t="n">
        <v>6</v>
      </c>
      <c r="V2600" s="2" t="n">
        <v>3</v>
      </c>
      <c r="W2600" s="2" t="n">
        <v>1</v>
      </c>
      <c r="X2600" s="2" t="n">
        <v>2</v>
      </c>
      <c r="Y2600" s="2" t="n">
        <v>4</v>
      </c>
      <c r="Z2600" s="2" t="n">
        <v>3</v>
      </c>
    </row>
    <row r="2601" customFormat="false" ht="15" hidden="false" customHeight="true" outlineLevel="0" collapsed="false">
      <c r="A2601" s="2" t="n">
        <v>29</v>
      </c>
      <c r="B2601" s="2" t="s">
        <v>26</v>
      </c>
      <c r="C2601" s="2" t="s">
        <v>27</v>
      </c>
      <c r="D2601" s="2" t="s">
        <v>35</v>
      </c>
      <c r="E2601" s="2" t="n">
        <v>2</v>
      </c>
      <c r="F2601" s="2" t="n">
        <v>4</v>
      </c>
      <c r="G2601" s="2" t="s">
        <v>38</v>
      </c>
      <c r="H2601" s="2" t="n">
        <v>2600</v>
      </c>
      <c r="I2601" s="2" t="s">
        <v>39</v>
      </c>
      <c r="J2601" s="2" t="n">
        <v>2</v>
      </c>
      <c r="K2601" s="2" t="s">
        <v>45</v>
      </c>
      <c r="L2601" s="2" t="s">
        <v>32</v>
      </c>
      <c r="M2601" s="2" t="n">
        <v>20960</v>
      </c>
      <c r="N2601" s="2" t="n">
        <v>0</v>
      </c>
      <c r="O2601" s="2" t="n">
        <v>22</v>
      </c>
      <c r="P2601" s="2" t="n">
        <v>0</v>
      </c>
      <c r="Q2601" s="2" t="n">
        <v>6</v>
      </c>
      <c r="R2601" s="2" t="n">
        <v>2</v>
      </c>
      <c r="S2601" s="2" t="n">
        <v>5</v>
      </c>
      <c r="T2601" s="2" t="n">
        <v>0</v>
      </c>
      <c r="U2601" s="2" t="n">
        <v>2</v>
      </c>
      <c r="V2601" s="2" t="n">
        <v>1</v>
      </c>
      <c r="W2601" s="2" t="n">
        <v>1</v>
      </c>
      <c r="X2601" s="2" t="n">
        <v>2</v>
      </c>
      <c r="Y2601" s="2" t="n">
        <v>4</v>
      </c>
      <c r="Z2601" s="2" t="n">
        <v>4</v>
      </c>
    </row>
    <row r="2602" customFormat="false" ht="15" hidden="false" customHeight="true" outlineLevel="0" collapsed="false">
      <c r="A2602" s="2" t="n">
        <v>32</v>
      </c>
      <c r="B2602" s="2" t="s">
        <v>26</v>
      </c>
      <c r="C2602" s="2" t="s">
        <v>41</v>
      </c>
      <c r="D2602" s="2" t="s">
        <v>35</v>
      </c>
      <c r="E2602" s="2" t="n">
        <v>3</v>
      </c>
      <c r="F2602" s="2" t="n">
        <v>1</v>
      </c>
      <c r="G2602" s="2" t="s">
        <v>29</v>
      </c>
      <c r="H2602" s="2" t="n">
        <v>2601</v>
      </c>
      <c r="I2602" s="2" t="s">
        <v>39</v>
      </c>
      <c r="J2602" s="2" t="n">
        <v>3</v>
      </c>
      <c r="K2602" s="2" t="s">
        <v>49</v>
      </c>
      <c r="L2602" s="2" t="s">
        <v>46</v>
      </c>
      <c r="M2602" s="2" t="n">
        <v>62090</v>
      </c>
      <c r="N2602" s="2" t="n">
        <v>5</v>
      </c>
      <c r="O2602" s="2" t="n">
        <v>17</v>
      </c>
      <c r="P2602" s="2" t="n">
        <v>1</v>
      </c>
      <c r="Q2602" s="2" t="n">
        <v>9</v>
      </c>
      <c r="R2602" s="2" t="n">
        <v>5</v>
      </c>
      <c r="S2602" s="2" t="n">
        <v>5</v>
      </c>
      <c r="T2602" s="2" t="n">
        <v>1</v>
      </c>
      <c r="U2602" s="2" t="n">
        <v>2</v>
      </c>
      <c r="V2602" s="2" t="n">
        <v>3</v>
      </c>
      <c r="W2602" s="2" t="n">
        <v>4</v>
      </c>
      <c r="X2602" s="2" t="n">
        <v>3</v>
      </c>
      <c r="Y2602" s="2" t="n">
        <v>4</v>
      </c>
      <c r="Z2602" s="2" t="n">
        <v>3</v>
      </c>
    </row>
    <row r="2603" customFormat="false" ht="15" hidden="false" customHeight="true" outlineLevel="0" collapsed="false">
      <c r="A2603" s="2" t="n">
        <v>31</v>
      </c>
      <c r="B2603" s="2" t="s">
        <v>26</v>
      </c>
      <c r="C2603" s="2" t="s">
        <v>34</v>
      </c>
      <c r="D2603" s="2" t="s">
        <v>35</v>
      </c>
      <c r="E2603" s="2" t="n">
        <v>25</v>
      </c>
      <c r="F2603" s="2" t="n">
        <v>5</v>
      </c>
      <c r="G2603" s="2" t="s">
        <v>51</v>
      </c>
      <c r="H2603" s="2" t="n">
        <v>2602</v>
      </c>
      <c r="I2603" s="2" t="s">
        <v>30</v>
      </c>
      <c r="J2603" s="2" t="n">
        <v>2</v>
      </c>
      <c r="K2603" s="2" t="s">
        <v>42</v>
      </c>
      <c r="L2603" s="2" t="s">
        <v>32</v>
      </c>
      <c r="M2603" s="2" t="n">
        <v>180610</v>
      </c>
      <c r="N2603" s="2" t="n">
        <v>1</v>
      </c>
      <c r="O2603" s="2" t="n">
        <v>14</v>
      </c>
      <c r="P2603" s="2" t="n">
        <v>1</v>
      </c>
      <c r="Q2603" s="2" t="n">
        <v>10</v>
      </c>
      <c r="R2603" s="2" t="n">
        <v>2</v>
      </c>
      <c r="S2603" s="2" t="n">
        <v>10</v>
      </c>
      <c r="T2603" s="2" t="n">
        <v>8</v>
      </c>
      <c r="U2603" s="2" t="n">
        <v>7</v>
      </c>
      <c r="V2603" s="2" t="n">
        <v>4</v>
      </c>
      <c r="W2603" s="2" t="n">
        <v>1</v>
      </c>
      <c r="X2603" s="2" t="n">
        <v>3</v>
      </c>
      <c r="Y2603" s="2" t="n">
        <v>3</v>
      </c>
      <c r="Z2603" s="2" t="n">
        <v>3</v>
      </c>
    </row>
    <row r="2604" customFormat="false" ht="15" hidden="false" customHeight="true" outlineLevel="0" collapsed="false">
      <c r="A2604" s="2" t="n">
        <v>28</v>
      </c>
      <c r="B2604" s="2" t="s">
        <v>33</v>
      </c>
      <c r="C2604" s="2" t="s">
        <v>27</v>
      </c>
      <c r="D2604" s="2" t="s">
        <v>28</v>
      </c>
      <c r="E2604" s="2" t="n">
        <v>7</v>
      </c>
      <c r="F2604" s="2" t="n">
        <v>5</v>
      </c>
      <c r="G2604" s="2" t="s">
        <v>29</v>
      </c>
      <c r="H2604" s="2" t="n">
        <v>2603</v>
      </c>
      <c r="I2604" s="2" t="s">
        <v>30</v>
      </c>
      <c r="J2604" s="2" t="n">
        <v>2</v>
      </c>
      <c r="K2604" s="2" t="s">
        <v>48</v>
      </c>
      <c r="L2604" s="2" t="s">
        <v>46</v>
      </c>
      <c r="M2604" s="2" t="n">
        <v>171230</v>
      </c>
      <c r="N2604" s="2" t="n">
        <v>5</v>
      </c>
      <c r="O2604" s="2" t="n">
        <v>15</v>
      </c>
      <c r="P2604" s="2" t="n">
        <v>1</v>
      </c>
      <c r="Q2604" s="2" t="n">
        <v>6</v>
      </c>
      <c r="R2604" s="2" t="n">
        <v>2</v>
      </c>
      <c r="S2604" s="2" t="n">
        <v>4</v>
      </c>
      <c r="T2604" s="2" t="n">
        <v>0</v>
      </c>
      <c r="U2604" s="2" t="n">
        <v>3</v>
      </c>
      <c r="V2604" s="2" t="n">
        <v>3</v>
      </c>
      <c r="W2604" s="2" t="n">
        <v>4</v>
      </c>
      <c r="X2604" s="2" t="n">
        <v>2</v>
      </c>
      <c r="Y2604" s="2" t="n">
        <v>2</v>
      </c>
      <c r="Z2604" s="2" t="n">
        <v>3</v>
      </c>
    </row>
    <row r="2605" customFormat="false" ht="15" hidden="false" customHeight="true" outlineLevel="0" collapsed="false">
      <c r="A2605" s="2" t="n">
        <v>38</v>
      </c>
      <c r="B2605" s="2" t="s">
        <v>26</v>
      </c>
      <c r="C2605" s="2" t="s">
        <v>27</v>
      </c>
      <c r="D2605" s="2" t="s">
        <v>35</v>
      </c>
      <c r="E2605" s="2" t="n">
        <v>9</v>
      </c>
      <c r="F2605" s="2" t="n">
        <v>2</v>
      </c>
      <c r="G2605" s="2" t="s">
        <v>51</v>
      </c>
      <c r="H2605" s="2" t="n">
        <v>2604</v>
      </c>
      <c r="I2605" s="2" t="s">
        <v>39</v>
      </c>
      <c r="J2605" s="2" t="n">
        <v>3</v>
      </c>
      <c r="K2605" s="2" t="s">
        <v>48</v>
      </c>
      <c r="L2605" s="2" t="s">
        <v>37</v>
      </c>
      <c r="M2605" s="2" t="n">
        <v>23720</v>
      </c>
      <c r="N2605" s="2" t="n">
        <v>4</v>
      </c>
      <c r="O2605" s="2" t="n">
        <v>12</v>
      </c>
      <c r="P2605" s="2" t="n">
        <v>0</v>
      </c>
      <c r="Q2605" s="2" t="n">
        <v>20</v>
      </c>
      <c r="R2605" s="2" t="n">
        <v>3</v>
      </c>
      <c r="S2605" s="2" t="n">
        <v>1</v>
      </c>
      <c r="T2605" s="2" t="n">
        <v>0</v>
      </c>
      <c r="U2605" s="2" t="n">
        <v>0</v>
      </c>
      <c r="V2605" s="2" t="n">
        <v>1</v>
      </c>
      <c r="W2605" s="2" t="n">
        <v>1</v>
      </c>
      <c r="X2605" s="2" t="n">
        <v>2</v>
      </c>
      <c r="Y2605" s="2" t="n">
        <v>2</v>
      </c>
      <c r="Z2605" s="2" t="n">
        <v>3</v>
      </c>
    </row>
    <row r="2606" customFormat="false" ht="15" hidden="false" customHeight="true" outlineLevel="0" collapsed="false">
      <c r="A2606" s="2" t="n">
        <v>35</v>
      </c>
      <c r="B2606" s="2" t="s">
        <v>26</v>
      </c>
      <c r="C2606" s="2" t="s">
        <v>27</v>
      </c>
      <c r="D2606" s="2" t="s">
        <v>35</v>
      </c>
      <c r="E2606" s="2" t="n">
        <v>5</v>
      </c>
      <c r="F2606" s="2" t="n">
        <v>3</v>
      </c>
      <c r="G2606" s="2" t="s">
        <v>29</v>
      </c>
      <c r="H2606" s="2" t="n">
        <v>2605</v>
      </c>
      <c r="I2606" s="2" t="s">
        <v>39</v>
      </c>
      <c r="J2606" s="2" t="n">
        <v>2</v>
      </c>
      <c r="K2606" s="2" t="s">
        <v>48</v>
      </c>
      <c r="L2606" s="2" t="s">
        <v>32</v>
      </c>
      <c r="M2606" s="2" t="n">
        <v>48830</v>
      </c>
      <c r="N2606" s="2" t="n">
        <v>1</v>
      </c>
      <c r="O2606" s="2" t="n">
        <v>18</v>
      </c>
      <c r="P2606" s="2" t="n">
        <v>1</v>
      </c>
      <c r="Q2606" s="2" t="n">
        <v>10</v>
      </c>
      <c r="R2606" s="2" t="n">
        <v>1</v>
      </c>
      <c r="S2606" s="2" t="n">
        <v>10</v>
      </c>
      <c r="T2606" s="2" t="n">
        <v>0</v>
      </c>
      <c r="U2606" s="2" t="n">
        <v>9</v>
      </c>
      <c r="V2606" s="2" t="n">
        <v>3</v>
      </c>
      <c r="W2606" s="2" t="n">
        <v>4</v>
      </c>
      <c r="X2606" s="2" t="n">
        <v>3</v>
      </c>
      <c r="Y2606" s="2" t="n">
        <v>1</v>
      </c>
      <c r="Z2606" s="2" t="n">
        <v>3</v>
      </c>
    </row>
    <row r="2607" customFormat="false" ht="15" hidden="false" customHeight="true" outlineLevel="0" collapsed="false">
      <c r="A2607" s="2" t="n">
        <v>27</v>
      </c>
      <c r="B2607" s="2" t="s">
        <v>26</v>
      </c>
      <c r="C2607" s="2" t="s">
        <v>27</v>
      </c>
      <c r="D2607" s="2" t="s">
        <v>28</v>
      </c>
      <c r="E2607" s="2" t="n">
        <v>2</v>
      </c>
      <c r="F2607" s="2" t="n">
        <v>3</v>
      </c>
      <c r="G2607" s="2" t="s">
        <v>29</v>
      </c>
      <c r="H2607" s="2" t="n">
        <v>2606</v>
      </c>
      <c r="I2607" s="2" t="s">
        <v>30</v>
      </c>
      <c r="J2607" s="2" t="n">
        <v>1</v>
      </c>
      <c r="K2607" s="2" t="s">
        <v>49</v>
      </c>
      <c r="L2607" s="2" t="s">
        <v>37</v>
      </c>
      <c r="M2607" s="2" t="n">
        <v>39040</v>
      </c>
      <c r="N2607" s="2" t="n">
        <v>1</v>
      </c>
      <c r="O2607" s="2" t="n">
        <v>15</v>
      </c>
      <c r="P2607" s="2" t="n">
        <v>0</v>
      </c>
      <c r="Q2607" s="2" t="n">
        <v>7</v>
      </c>
      <c r="R2607" s="2" t="n">
        <v>2</v>
      </c>
      <c r="S2607" s="2" t="n">
        <v>7</v>
      </c>
      <c r="T2607" s="2" t="n">
        <v>0</v>
      </c>
      <c r="U2607" s="2" t="n">
        <v>7</v>
      </c>
      <c r="V2607" s="2" t="n">
        <v>4</v>
      </c>
      <c r="W2607" s="2" t="n">
        <v>4</v>
      </c>
      <c r="X2607" s="2" t="n">
        <v>3</v>
      </c>
      <c r="Y2607" s="2" t="n">
        <v>3</v>
      </c>
      <c r="Z2607" s="2" t="n">
        <v>3</v>
      </c>
    </row>
    <row r="2608" customFormat="false" ht="15" hidden="false" customHeight="true" outlineLevel="0" collapsed="false">
      <c r="A2608" s="2" t="n">
        <v>32</v>
      </c>
      <c r="B2608" s="2" t="s">
        <v>26</v>
      </c>
      <c r="C2608" s="2" t="s">
        <v>27</v>
      </c>
      <c r="D2608" s="2" t="s">
        <v>35</v>
      </c>
      <c r="E2608" s="2" t="n">
        <v>8</v>
      </c>
      <c r="F2608" s="2" t="n">
        <v>1</v>
      </c>
      <c r="G2608" s="2" t="s">
        <v>43</v>
      </c>
      <c r="H2608" s="2" t="n">
        <v>2607</v>
      </c>
      <c r="I2608" s="2" t="s">
        <v>30</v>
      </c>
      <c r="J2608" s="2" t="n">
        <v>2</v>
      </c>
      <c r="K2608" s="2" t="s">
        <v>36</v>
      </c>
      <c r="L2608" s="2" t="s">
        <v>37</v>
      </c>
      <c r="M2608" s="2" t="n">
        <v>46270</v>
      </c>
      <c r="N2608" s="2" t="n">
        <v>8</v>
      </c>
      <c r="O2608" s="2" t="n">
        <v>17</v>
      </c>
      <c r="P2608" s="2" t="n">
        <v>1</v>
      </c>
      <c r="Q2608" s="2" t="n">
        <v>8</v>
      </c>
      <c r="R2608" s="2" t="n">
        <v>2</v>
      </c>
      <c r="S2608" s="2" t="n">
        <v>1</v>
      </c>
      <c r="T2608" s="2" t="n">
        <v>0</v>
      </c>
      <c r="U2608" s="2" t="n">
        <v>0</v>
      </c>
      <c r="V2608" s="2" t="n">
        <v>4</v>
      </c>
      <c r="W2608" s="2" t="n">
        <v>4</v>
      </c>
      <c r="X2608" s="2" t="n">
        <v>3</v>
      </c>
      <c r="Y2608" s="2" t="n">
        <v>2</v>
      </c>
      <c r="Z2608" s="2" t="n">
        <v>3</v>
      </c>
    </row>
    <row r="2609" customFormat="false" ht="15" hidden="false" customHeight="true" outlineLevel="0" collapsed="false">
      <c r="A2609" s="2" t="n">
        <v>31</v>
      </c>
      <c r="B2609" s="2" t="s">
        <v>33</v>
      </c>
      <c r="C2609" s="2" t="s">
        <v>34</v>
      </c>
      <c r="D2609" s="2" t="s">
        <v>35</v>
      </c>
      <c r="E2609" s="2" t="n">
        <v>2</v>
      </c>
      <c r="F2609" s="2" t="n">
        <v>1</v>
      </c>
      <c r="G2609" s="2" t="s">
        <v>38</v>
      </c>
      <c r="H2609" s="2" t="n">
        <v>2608</v>
      </c>
      <c r="I2609" s="2" t="s">
        <v>39</v>
      </c>
      <c r="J2609" s="2" t="n">
        <v>3</v>
      </c>
      <c r="K2609" s="2" t="s">
        <v>40</v>
      </c>
      <c r="L2609" s="2" t="s">
        <v>32</v>
      </c>
      <c r="M2609" s="2" t="n">
        <v>70940</v>
      </c>
      <c r="N2609" s="2" t="n">
        <v>1</v>
      </c>
      <c r="O2609" s="2" t="n">
        <v>14</v>
      </c>
      <c r="P2609" s="2" t="n">
        <v>1</v>
      </c>
      <c r="Q2609" s="2" t="n">
        <v>10</v>
      </c>
      <c r="R2609" s="2" t="n">
        <v>2</v>
      </c>
      <c r="S2609" s="2" t="n">
        <v>10</v>
      </c>
      <c r="T2609" s="2" t="n">
        <v>0</v>
      </c>
      <c r="U2609" s="2" t="n">
        <v>8</v>
      </c>
      <c r="V2609" s="2" t="n">
        <v>1</v>
      </c>
      <c r="W2609" s="2" t="n">
        <v>4</v>
      </c>
      <c r="X2609" s="2" t="n">
        <v>3</v>
      </c>
      <c r="Y2609" s="2" t="n">
        <v>3</v>
      </c>
      <c r="Z2609" s="2" t="n">
        <v>3</v>
      </c>
    </row>
    <row r="2610" customFormat="false" ht="15" hidden="false" customHeight="true" outlineLevel="0" collapsed="false">
      <c r="A2610" s="2" t="n">
        <v>53</v>
      </c>
      <c r="B2610" s="2" t="s">
        <v>33</v>
      </c>
      <c r="C2610" s="2" t="s">
        <v>27</v>
      </c>
      <c r="D2610" s="2" t="s">
        <v>35</v>
      </c>
      <c r="E2610" s="2" t="n">
        <v>18</v>
      </c>
      <c r="F2610" s="2" t="n">
        <v>3</v>
      </c>
      <c r="G2610" s="2" t="s">
        <v>43</v>
      </c>
      <c r="H2610" s="2" t="n">
        <v>2609</v>
      </c>
      <c r="I2610" s="2" t="s">
        <v>39</v>
      </c>
      <c r="J2610" s="2" t="n">
        <v>1</v>
      </c>
      <c r="K2610" s="2" t="s">
        <v>36</v>
      </c>
      <c r="L2610" s="2" t="s">
        <v>37</v>
      </c>
      <c r="M2610" s="2" t="n">
        <v>34230</v>
      </c>
      <c r="N2610" s="2" t="n">
        <v>6</v>
      </c>
      <c r="O2610" s="2" t="n">
        <v>15</v>
      </c>
      <c r="P2610" s="2" t="n">
        <v>1</v>
      </c>
      <c r="Q2610" s="2" t="n">
        <v>15</v>
      </c>
      <c r="R2610" s="2" t="n">
        <v>4</v>
      </c>
      <c r="S2610" s="2" t="n">
        <v>2</v>
      </c>
      <c r="T2610" s="2" t="n">
        <v>2</v>
      </c>
      <c r="U2610" s="2" t="n">
        <v>2</v>
      </c>
      <c r="V2610" s="2" t="n">
        <v>1</v>
      </c>
      <c r="W2610" s="2" t="n">
        <v>1</v>
      </c>
      <c r="X2610" s="2" t="n">
        <v>2</v>
      </c>
      <c r="Y2610" s="2" t="n">
        <v>3</v>
      </c>
      <c r="Z2610" s="2" t="n">
        <v>3</v>
      </c>
    </row>
    <row r="2611" customFormat="false" ht="15" hidden="false" customHeight="true" outlineLevel="0" collapsed="false">
      <c r="A2611" s="2" t="n">
        <v>54</v>
      </c>
      <c r="B2611" s="2" t="s">
        <v>26</v>
      </c>
      <c r="C2611" s="2" t="s">
        <v>27</v>
      </c>
      <c r="D2611" s="2" t="s">
        <v>35</v>
      </c>
      <c r="E2611" s="2" t="n">
        <v>14</v>
      </c>
      <c r="F2611" s="2" t="n">
        <v>3</v>
      </c>
      <c r="G2611" s="2" t="s">
        <v>38</v>
      </c>
      <c r="H2611" s="2" t="n">
        <v>2610</v>
      </c>
      <c r="I2611" s="2" t="s">
        <v>39</v>
      </c>
      <c r="J2611" s="2" t="n">
        <v>3</v>
      </c>
      <c r="K2611" s="2" t="s">
        <v>36</v>
      </c>
      <c r="L2611" s="2" t="s">
        <v>32</v>
      </c>
      <c r="M2611" s="2" t="n">
        <v>66740</v>
      </c>
      <c r="N2611" s="2" t="n">
        <v>3</v>
      </c>
      <c r="O2611" s="2" t="n">
        <v>17</v>
      </c>
      <c r="P2611" s="2" t="n">
        <v>1</v>
      </c>
      <c r="Q2611" s="2" t="n">
        <v>9</v>
      </c>
      <c r="R2611" s="2" t="n">
        <v>2</v>
      </c>
      <c r="S2611" s="2" t="n">
        <v>4</v>
      </c>
      <c r="T2611" s="2" t="n">
        <v>2</v>
      </c>
      <c r="U2611" s="2" t="n">
        <v>3</v>
      </c>
      <c r="V2611" s="2" t="n">
        <v>1</v>
      </c>
      <c r="W2611" s="2" t="n">
        <v>3</v>
      </c>
      <c r="X2611" s="2" t="n">
        <v>2</v>
      </c>
      <c r="Y2611" s="2" t="n">
        <v>3</v>
      </c>
      <c r="Z2611" s="2" t="n">
        <v>3</v>
      </c>
    </row>
    <row r="2612" customFormat="false" ht="15" hidden="false" customHeight="true" outlineLevel="0" collapsed="false">
      <c r="A2612" s="2" t="n">
        <v>33</v>
      </c>
      <c r="B2612" s="2" t="s">
        <v>26</v>
      </c>
      <c r="C2612" s="2" t="s">
        <v>34</v>
      </c>
      <c r="D2612" s="2" t="s">
        <v>35</v>
      </c>
      <c r="E2612" s="2" t="n">
        <v>2</v>
      </c>
      <c r="F2612" s="2" t="n">
        <v>4</v>
      </c>
      <c r="G2612" s="2" t="s">
        <v>43</v>
      </c>
      <c r="H2612" s="2" t="n">
        <v>2611</v>
      </c>
      <c r="I2612" s="2" t="s">
        <v>30</v>
      </c>
      <c r="J2612" s="2" t="n">
        <v>4</v>
      </c>
      <c r="K2612" s="2" t="s">
        <v>40</v>
      </c>
      <c r="L2612" s="2" t="s">
        <v>46</v>
      </c>
      <c r="M2612" s="2" t="n">
        <v>168800</v>
      </c>
      <c r="N2612" s="2" t="n">
        <v>1</v>
      </c>
      <c r="O2612" s="2" t="n">
        <v>14</v>
      </c>
      <c r="P2612" s="2" t="n">
        <v>3</v>
      </c>
      <c r="Q2612" s="2" t="n">
        <v>9</v>
      </c>
      <c r="R2612" s="2" t="n">
        <v>2</v>
      </c>
      <c r="S2612" s="2" t="n">
        <v>9</v>
      </c>
      <c r="T2612" s="2" t="n">
        <v>2</v>
      </c>
      <c r="U2612" s="2" t="n">
        <v>8</v>
      </c>
      <c r="V2612" s="2" t="n">
        <v>4</v>
      </c>
      <c r="W2612" s="2" t="n">
        <v>3</v>
      </c>
      <c r="X2612" s="2" t="n">
        <v>3</v>
      </c>
      <c r="Y2612" s="2" t="n">
        <v>3</v>
      </c>
      <c r="Z2612" s="2" t="n">
        <v>3</v>
      </c>
    </row>
    <row r="2613" customFormat="false" ht="15" hidden="false" customHeight="true" outlineLevel="0" collapsed="false">
      <c r="A2613" s="2" t="n">
        <v>43</v>
      </c>
      <c r="B2613" s="2" t="s">
        <v>26</v>
      </c>
      <c r="C2613" s="2" t="s">
        <v>27</v>
      </c>
      <c r="D2613" s="2" t="s">
        <v>35</v>
      </c>
      <c r="E2613" s="2" t="n">
        <v>3</v>
      </c>
      <c r="F2613" s="2" t="n">
        <v>3</v>
      </c>
      <c r="G2613" s="2" t="s">
        <v>43</v>
      </c>
      <c r="H2613" s="2" t="n">
        <v>2612</v>
      </c>
      <c r="I2613" s="2" t="s">
        <v>39</v>
      </c>
      <c r="J2613" s="2" t="n">
        <v>1</v>
      </c>
      <c r="K2613" s="2" t="s">
        <v>36</v>
      </c>
      <c r="L2613" s="2" t="s">
        <v>32</v>
      </c>
      <c r="M2613" s="2" t="n">
        <v>90940</v>
      </c>
      <c r="N2613" s="2" t="n">
        <v>1</v>
      </c>
      <c r="O2613" s="2" t="n">
        <v>12</v>
      </c>
      <c r="P2613" s="2" t="n">
        <v>1</v>
      </c>
      <c r="Q2613" s="2" t="n">
        <v>10</v>
      </c>
      <c r="R2613" s="2" t="n">
        <v>0</v>
      </c>
      <c r="S2613" s="2" t="n">
        <v>10</v>
      </c>
      <c r="T2613" s="2" t="n">
        <v>0</v>
      </c>
      <c r="U2613" s="2" t="n">
        <v>9</v>
      </c>
      <c r="V2613" s="2" t="n">
        <v>1</v>
      </c>
      <c r="W2613" s="2" t="n">
        <v>3</v>
      </c>
      <c r="X2613" s="2" t="n">
        <v>3</v>
      </c>
      <c r="Y2613" s="2" t="n">
        <v>3</v>
      </c>
      <c r="Z2613" s="2" t="n">
        <v>3</v>
      </c>
    </row>
    <row r="2614" customFormat="false" ht="15" hidden="false" customHeight="true" outlineLevel="0" collapsed="false">
      <c r="A2614" s="2" t="n">
        <v>38</v>
      </c>
      <c r="B2614" s="2" t="s">
        <v>26</v>
      </c>
      <c r="C2614" s="2" t="s">
        <v>34</v>
      </c>
      <c r="D2614" s="2" t="s">
        <v>35</v>
      </c>
      <c r="E2614" s="2" t="n">
        <v>2</v>
      </c>
      <c r="F2614" s="2" t="n">
        <v>5</v>
      </c>
      <c r="G2614" s="2" t="s">
        <v>43</v>
      </c>
      <c r="H2614" s="2" t="n">
        <v>2613</v>
      </c>
      <c r="I2614" s="2" t="s">
        <v>30</v>
      </c>
      <c r="J2614" s="2" t="n">
        <v>4</v>
      </c>
      <c r="K2614" s="2" t="s">
        <v>40</v>
      </c>
      <c r="L2614" s="2" t="s">
        <v>32</v>
      </c>
      <c r="M2614" s="2" t="n">
        <v>84460</v>
      </c>
      <c r="N2614" s="2" t="n">
        <v>0</v>
      </c>
      <c r="O2614" s="2" t="n">
        <v>14</v>
      </c>
      <c r="P2614" s="2" t="n">
        <v>0</v>
      </c>
      <c r="Q2614" s="2" t="n">
        <v>7</v>
      </c>
      <c r="R2614" s="2" t="n">
        <v>3</v>
      </c>
      <c r="S2614" s="2" t="n">
        <v>6</v>
      </c>
      <c r="T2614" s="2" t="n">
        <v>1</v>
      </c>
      <c r="U2614" s="2" t="n">
        <v>2</v>
      </c>
      <c r="V2614" s="2" t="n">
        <v>4</v>
      </c>
      <c r="W2614" s="2" t="n">
        <v>2</v>
      </c>
      <c r="X2614" s="2" t="n">
        <v>3</v>
      </c>
      <c r="Y2614" s="2" t="n">
        <v>2</v>
      </c>
      <c r="Z2614" s="2" t="n">
        <v>3</v>
      </c>
    </row>
    <row r="2615" customFormat="false" ht="15" hidden="false" customHeight="true" outlineLevel="0" collapsed="false">
      <c r="A2615" s="2" t="n">
        <v>55</v>
      </c>
      <c r="B2615" s="2" t="s">
        <v>26</v>
      </c>
      <c r="C2615" s="2" t="s">
        <v>27</v>
      </c>
      <c r="D2615" s="2" t="s">
        <v>28</v>
      </c>
      <c r="E2615" s="2" t="n">
        <v>9</v>
      </c>
      <c r="F2615" s="2" t="n">
        <v>3</v>
      </c>
      <c r="G2615" s="2" t="s">
        <v>50</v>
      </c>
      <c r="H2615" s="2" t="n">
        <v>2614</v>
      </c>
      <c r="I2615" s="2" t="s">
        <v>39</v>
      </c>
      <c r="J2615" s="2" t="n">
        <v>2</v>
      </c>
      <c r="K2615" s="2" t="s">
        <v>45</v>
      </c>
      <c r="L2615" s="2" t="s">
        <v>32</v>
      </c>
      <c r="M2615" s="2" t="n">
        <v>119160</v>
      </c>
      <c r="N2615" s="2" t="n">
        <v>4</v>
      </c>
      <c r="O2615" s="2" t="n">
        <v>15</v>
      </c>
      <c r="P2615" s="2" t="n">
        <v>1</v>
      </c>
      <c r="Q2615" s="2" t="n">
        <v>35</v>
      </c>
      <c r="R2615" s="2" t="n">
        <v>3</v>
      </c>
      <c r="S2615" s="2" t="n">
        <v>10</v>
      </c>
      <c r="T2615" s="2" t="n">
        <v>1</v>
      </c>
      <c r="U2615" s="2" t="n">
        <v>4</v>
      </c>
      <c r="V2615" s="2" t="n">
        <v>3</v>
      </c>
      <c r="W2615" s="2" t="n">
        <v>2</v>
      </c>
      <c r="X2615" s="2" t="n">
        <v>3</v>
      </c>
      <c r="Y2615" s="2" t="n">
        <v>2</v>
      </c>
      <c r="Z2615" s="2" t="n">
        <v>3</v>
      </c>
    </row>
    <row r="2616" customFormat="false" ht="15" hidden="false" customHeight="true" outlineLevel="0" collapsed="false">
      <c r="A2616" s="2" t="n">
        <v>31</v>
      </c>
      <c r="B2616" s="2" t="s">
        <v>26</v>
      </c>
      <c r="C2616" s="2" t="s">
        <v>27</v>
      </c>
      <c r="D2616" s="2" t="s">
        <v>28</v>
      </c>
      <c r="E2616" s="2" t="n">
        <v>6</v>
      </c>
      <c r="F2616" s="2" t="n">
        <v>3</v>
      </c>
      <c r="G2616" s="2" t="s">
        <v>38</v>
      </c>
      <c r="H2616" s="2" t="n">
        <v>2615</v>
      </c>
      <c r="I2616" s="2" t="s">
        <v>39</v>
      </c>
      <c r="J2616" s="2" t="n">
        <v>1</v>
      </c>
      <c r="K2616" s="2" t="s">
        <v>47</v>
      </c>
      <c r="L2616" s="2" t="s">
        <v>46</v>
      </c>
      <c r="M2616" s="2" t="n">
        <v>45340</v>
      </c>
      <c r="N2616" s="2" t="n">
        <v>1</v>
      </c>
      <c r="O2616" s="2" t="n">
        <v>13</v>
      </c>
      <c r="P2616" s="2" t="n">
        <v>0</v>
      </c>
      <c r="Q2616" s="2" t="n">
        <v>1</v>
      </c>
      <c r="R2616" s="2" t="n">
        <v>2</v>
      </c>
      <c r="S2616" s="2" t="n">
        <v>1</v>
      </c>
      <c r="T2616" s="2" t="n">
        <v>0</v>
      </c>
      <c r="U2616" s="2" t="n">
        <v>0</v>
      </c>
      <c r="V2616" s="2" t="n">
        <v>4</v>
      </c>
      <c r="W2616" s="2" t="n">
        <v>4</v>
      </c>
      <c r="X2616" s="2" t="n">
        <v>3</v>
      </c>
      <c r="Y2616" s="2" t="n">
        <v>3</v>
      </c>
      <c r="Z2616" s="2" t="n">
        <v>3</v>
      </c>
    </row>
    <row r="2617" customFormat="false" ht="15" hidden="false" customHeight="true" outlineLevel="0" collapsed="false">
      <c r="A2617" s="2" t="n">
        <v>39</v>
      </c>
      <c r="B2617" s="2" t="s">
        <v>26</v>
      </c>
      <c r="C2617" s="2" t="s">
        <v>27</v>
      </c>
      <c r="D2617" s="2" t="s">
        <v>35</v>
      </c>
      <c r="E2617" s="2" t="n">
        <v>4</v>
      </c>
      <c r="F2617" s="2" t="n">
        <v>3</v>
      </c>
      <c r="G2617" s="2" t="s">
        <v>29</v>
      </c>
      <c r="H2617" s="2" t="n">
        <v>2616</v>
      </c>
      <c r="I2617" s="2" t="s">
        <v>39</v>
      </c>
      <c r="J2617" s="2" t="n">
        <v>2</v>
      </c>
      <c r="K2617" s="2" t="s">
        <v>40</v>
      </c>
      <c r="L2617" s="2" t="s">
        <v>37</v>
      </c>
      <c r="M2617" s="2" t="n">
        <v>98520</v>
      </c>
      <c r="N2617" s="2" t="n">
        <v>0</v>
      </c>
      <c r="O2617" s="2" t="n">
        <v>12</v>
      </c>
      <c r="P2617" s="2" t="n">
        <v>1</v>
      </c>
      <c r="Q2617" s="2" t="n">
        <v>21</v>
      </c>
      <c r="R2617" s="2" t="n">
        <v>5</v>
      </c>
      <c r="S2617" s="2" t="n">
        <v>20</v>
      </c>
      <c r="T2617" s="2" t="n">
        <v>11</v>
      </c>
      <c r="U2617" s="2" t="n">
        <v>10</v>
      </c>
      <c r="V2617" s="2" t="n">
        <v>2</v>
      </c>
      <c r="W2617" s="2" t="n">
        <v>1</v>
      </c>
      <c r="X2617" s="2" t="n">
        <v>3</v>
      </c>
      <c r="Y2617" s="2" t="n">
        <v>2</v>
      </c>
      <c r="Z2617" s="2" t="n">
        <v>3</v>
      </c>
    </row>
    <row r="2618" customFormat="false" ht="15" hidden="false" customHeight="true" outlineLevel="0" collapsed="false">
      <c r="A2618" s="2" t="n">
        <v>42</v>
      </c>
      <c r="B2618" s="2" t="s">
        <v>26</v>
      </c>
      <c r="C2618" s="2" t="s">
        <v>41</v>
      </c>
      <c r="D2618" s="2" t="s">
        <v>35</v>
      </c>
      <c r="E2618" s="2" t="n">
        <v>10</v>
      </c>
      <c r="F2618" s="2" t="n">
        <v>4</v>
      </c>
      <c r="G2618" s="2" t="s">
        <v>29</v>
      </c>
      <c r="H2618" s="2" t="n">
        <v>2617</v>
      </c>
      <c r="I2618" s="2" t="s">
        <v>30</v>
      </c>
      <c r="J2618" s="2" t="n">
        <v>2</v>
      </c>
      <c r="K2618" s="2" t="s">
        <v>36</v>
      </c>
      <c r="L2618" s="2" t="s">
        <v>37</v>
      </c>
      <c r="M2618" s="2" t="n">
        <v>61510</v>
      </c>
      <c r="N2618" s="2" t="n">
        <v>1</v>
      </c>
      <c r="O2618" s="2" t="n">
        <v>13</v>
      </c>
      <c r="P2618" s="2" t="n">
        <v>1</v>
      </c>
      <c r="Q2618" s="2" t="n">
        <v>20</v>
      </c>
      <c r="R2618" s="2" t="n">
        <v>3</v>
      </c>
      <c r="S2618" s="2" t="n">
        <v>20</v>
      </c>
      <c r="T2618" s="2" t="n">
        <v>3</v>
      </c>
      <c r="U2618" s="2" t="n">
        <v>7</v>
      </c>
      <c r="V2618" s="2" t="n">
        <v>4</v>
      </c>
      <c r="W2618" s="2" t="n">
        <v>3</v>
      </c>
      <c r="X2618" s="2" t="n">
        <v>3</v>
      </c>
      <c r="Y2618" s="2" t="n">
        <v>3</v>
      </c>
      <c r="Z2618" s="2" t="n">
        <v>3</v>
      </c>
    </row>
    <row r="2619" customFormat="false" ht="15" hidden="false" customHeight="true" outlineLevel="0" collapsed="false">
      <c r="A2619" s="2" t="n">
        <v>31</v>
      </c>
      <c r="B2619" s="2" t="s">
        <v>26</v>
      </c>
      <c r="C2619" s="2" t="s">
        <v>41</v>
      </c>
      <c r="D2619" s="2" t="s">
        <v>35</v>
      </c>
      <c r="E2619" s="2" t="n">
        <v>14</v>
      </c>
      <c r="F2619" s="2" t="n">
        <v>2</v>
      </c>
      <c r="G2619" s="2" t="s">
        <v>29</v>
      </c>
      <c r="H2619" s="2" t="n">
        <v>2618</v>
      </c>
      <c r="I2619" s="2" t="s">
        <v>39</v>
      </c>
      <c r="J2619" s="2" t="n">
        <v>2</v>
      </c>
      <c r="K2619" s="2" t="s">
        <v>31</v>
      </c>
      <c r="L2619" s="2" t="s">
        <v>32</v>
      </c>
      <c r="M2619" s="2" t="n">
        <v>23020</v>
      </c>
      <c r="N2619" s="2" t="n">
        <v>4</v>
      </c>
      <c r="O2619" s="2" t="n">
        <v>14</v>
      </c>
      <c r="P2619" s="2" t="n">
        <v>0</v>
      </c>
      <c r="Q2619" s="2" t="n">
        <v>13</v>
      </c>
      <c r="R2619" s="2" t="n">
        <v>3</v>
      </c>
      <c r="S2619" s="2" t="n">
        <v>11</v>
      </c>
      <c r="T2619" s="2" t="n">
        <v>4</v>
      </c>
      <c r="U2619" s="2" t="n">
        <v>8</v>
      </c>
      <c r="V2619" s="2" t="n">
        <v>3</v>
      </c>
      <c r="W2619" s="2" t="n">
        <v>3</v>
      </c>
      <c r="X2619" s="2" t="n">
        <v>4</v>
      </c>
      <c r="Y2619" s="2" t="n">
        <v>3</v>
      </c>
      <c r="Z2619" s="2" t="n">
        <v>3</v>
      </c>
    </row>
    <row r="2620" customFormat="false" ht="15" hidden="false" customHeight="true" outlineLevel="0" collapsed="false">
      <c r="A2620" s="2" t="n">
        <v>54</v>
      </c>
      <c r="B2620" s="2" t="s">
        <v>26</v>
      </c>
      <c r="C2620" s="2" t="s">
        <v>27</v>
      </c>
      <c r="D2620" s="2" t="s">
        <v>35</v>
      </c>
      <c r="E2620" s="2" t="n">
        <v>1</v>
      </c>
      <c r="F2620" s="2" t="n">
        <v>3</v>
      </c>
      <c r="G2620" s="2" t="s">
        <v>43</v>
      </c>
      <c r="H2620" s="2" t="n">
        <v>2619</v>
      </c>
      <c r="I2620" s="2" t="s">
        <v>30</v>
      </c>
      <c r="J2620" s="2" t="n">
        <v>2</v>
      </c>
      <c r="K2620" s="2" t="s">
        <v>42</v>
      </c>
      <c r="L2620" s="2" t="s">
        <v>37</v>
      </c>
      <c r="M2620" s="2" t="n">
        <v>23620</v>
      </c>
      <c r="N2620" s="2" t="n">
        <v>6</v>
      </c>
      <c r="O2620" s="2" t="n">
        <v>13</v>
      </c>
      <c r="P2620" s="2" t="n">
        <v>1</v>
      </c>
      <c r="Q2620" s="2" t="n">
        <v>9</v>
      </c>
      <c r="R2620" s="2" t="n">
        <v>2</v>
      </c>
      <c r="S2620" s="2" t="n">
        <v>5</v>
      </c>
      <c r="T2620" s="2" t="n">
        <v>1</v>
      </c>
      <c r="U2620" s="2" t="n">
        <v>4</v>
      </c>
      <c r="V2620" s="2" t="n">
        <v>3</v>
      </c>
      <c r="W2620" s="2" t="n">
        <v>1</v>
      </c>
      <c r="X2620" s="2" t="n">
        <v>3</v>
      </c>
      <c r="Y2620" s="2" t="n">
        <v>4</v>
      </c>
      <c r="Z2620" s="2" t="n">
        <v>3</v>
      </c>
    </row>
    <row r="2621" customFormat="false" ht="15" hidden="false" customHeight="true" outlineLevel="0" collapsed="false">
      <c r="A2621" s="2" t="n">
        <v>24</v>
      </c>
      <c r="B2621" s="2" t="s">
        <v>26</v>
      </c>
      <c r="C2621" s="2" t="s">
        <v>27</v>
      </c>
      <c r="D2621" s="2" t="s">
        <v>35</v>
      </c>
      <c r="E2621" s="2" t="n">
        <v>5</v>
      </c>
      <c r="F2621" s="2" t="n">
        <v>4</v>
      </c>
      <c r="G2621" s="2" t="s">
        <v>38</v>
      </c>
      <c r="H2621" s="2" t="n">
        <v>2620</v>
      </c>
      <c r="I2621" s="2" t="s">
        <v>39</v>
      </c>
      <c r="J2621" s="2" t="n">
        <v>1</v>
      </c>
      <c r="K2621" s="2" t="s">
        <v>47</v>
      </c>
      <c r="L2621" s="2" t="s">
        <v>37</v>
      </c>
      <c r="M2621" s="2" t="n">
        <v>178610</v>
      </c>
      <c r="N2621" s="2" t="n">
        <v>1</v>
      </c>
      <c r="O2621" s="2" t="n">
        <v>11</v>
      </c>
      <c r="P2621" s="2" t="n">
        <v>2</v>
      </c>
      <c r="Q2621" s="2" t="n">
        <v>4</v>
      </c>
      <c r="R2621" s="2" t="n">
        <v>5</v>
      </c>
      <c r="S2621" s="2" t="n">
        <v>4</v>
      </c>
      <c r="T2621" s="2" t="n">
        <v>1</v>
      </c>
      <c r="U2621" s="2" t="n">
        <v>2</v>
      </c>
      <c r="V2621" s="2" t="n">
        <v>2</v>
      </c>
      <c r="W2621" s="2" t="n">
        <v>3</v>
      </c>
      <c r="X2621" s="2" t="n">
        <v>2</v>
      </c>
      <c r="Y2621" s="2" t="n">
        <v>1</v>
      </c>
      <c r="Z2621" s="2" t="n">
        <v>3</v>
      </c>
    </row>
    <row r="2622" customFormat="false" ht="15" hidden="false" customHeight="true" outlineLevel="0" collapsed="false">
      <c r="A2622" s="2" t="n">
        <v>23</v>
      </c>
      <c r="B2622" s="2" t="s">
        <v>26</v>
      </c>
      <c r="C2622" s="2" t="s">
        <v>27</v>
      </c>
      <c r="D2622" s="2" t="s">
        <v>35</v>
      </c>
      <c r="E2622" s="2" t="n">
        <v>7</v>
      </c>
      <c r="F2622" s="2" t="n">
        <v>3</v>
      </c>
      <c r="G2622" s="2" t="s">
        <v>29</v>
      </c>
      <c r="H2622" s="2" t="n">
        <v>2621</v>
      </c>
      <c r="I2622" s="2" t="s">
        <v>39</v>
      </c>
      <c r="J2622" s="2" t="n">
        <v>2</v>
      </c>
      <c r="K2622" s="2" t="s">
        <v>36</v>
      </c>
      <c r="L2622" s="2" t="s">
        <v>37</v>
      </c>
      <c r="M2622" s="2" t="n">
        <v>191870</v>
      </c>
      <c r="N2622" s="2" t="n">
        <v>1</v>
      </c>
      <c r="O2622" s="2" t="n">
        <v>11</v>
      </c>
      <c r="P2622" s="2" t="n">
        <v>1</v>
      </c>
      <c r="Q2622" s="2" t="n">
        <v>5</v>
      </c>
      <c r="R2622" s="2" t="n">
        <v>2</v>
      </c>
      <c r="S2622" s="2" t="n">
        <v>5</v>
      </c>
      <c r="T2622" s="2" t="n">
        <v>1</v>
      </c>
      <c r="U2622" s="2" t="n">
        <v>4</v>
      </c>
      <c r="V2622" s="2" t="n">
        <v>4</v>
      </c>
      <c r="W2622" s="2" t="n">
        <v>4</v>
      </c>
      <c r="X2622" s="2" t="n">
        <v>4</v>
      </c>
      <c r="Y2622" s="2" t="n">
        <v>3</v>
      </c>
      <c r="Z2622" s="2" t="n">
        <v>3</v>
      </c>
    </row>
    <row r="2623" customFormat="false" ht="15" hidden="false" customHeight="true" outlineLevel="0" collapsed="false">
      <c r="A2623" s="2" t="n">
        <v>40</v>
      </c>
      <c r="B2623" s="2" t="s">
        <v>26</v>
      </c>
      <c r="C2623" s="2" t="s">
        <v>34</v>
      </c>
      <c r="D2623" s="2" t="s">
        <v>35</v>
      </c>
      <c r="E2623" s="2" t="n">
        <v>21</v>
      </c>
      <c r="F2623" s="2" t="n">
        <v>3</v>
      </c>
      <c r="G2623" s="2" t="s">
        <v>43</v>
      </c>
      <c r="H2623" s="2" t="n">
        <v>2622</v>
      </c>
      <c r="I2623" s="2" t="s">
        <v>30</v>
      </c>
      <c r="J2623" s="2" t="n">
        <v>3</v>
      </c>
      <c r="K2623" s="2" t="s">
        <v>36</v>
      </c>
      <c r="L2623" s="2" t="s">
        <v>32</v>
      </c>
      <c r="M2623" s="2" t="n">
        <v>197170</v>
      </c>
      <c r="N2623" s="2" t="n">
        <v>1</v>
      </c>
      <c r="O2623" s="2" t="n">
        <v>21</v>
      </c>
      <c r="P2623" s="2" t="n">
        <v>0</v>
      </c>
      <c r="Q2623" s="2" t="n">
        <v>10</v>
      </c>
      <c r="R2623" s="2" t="n">
        <v>1</v>
      </c>
      <c r="S2623" s="2" t="n">
        <v>10</v>
      </c>
      <c r="T2623" s="2" t="n">
        <v>9</v>
      </c>
      <c r="U2623" s="2" t="n">
        <v>4</v>
      </c>
      <c r="V2623" s="2" t="n">
        <v>4</v>
      </c>
      <c r="W2623" s="2" t="n">
        <v>3</v>
      </c>
      <c r="X2623" s="2" t="n">
        <v>4</v>
      </c>
      <c r="Y2623" s="2" t="n">
        <v>2</v>
      </c>
      <c r="Z2623" s="2" t="n">
        <v>4</v>
      </c>
    </row>
    <row r="2624" customFormat="false" ht="15" hidden="false" customHeight="true" outlineLevel="0" collapsed="false">
      <c r="A2624" s="2" t="n">
        <v>40</v>
      </c>
      <c r="B2624" s="2" t="s">
        <v>26</v>
      </c>
      <c r="C2624" s="2" t="s">
        <v>27</v>
      </c>
      <c r="D2624" s="2" t="s">
        <v>35</v>
      </c>
      <c r="E2624" s="2" t="n">
        <v>8</v>
      </c>
      <c r="F2624" s="2" t="n">
        <v>1</v>
      </c>
      <c r="G2624" s="2" t="s">
        <v>43</v>
      </c>
      <c r="H2624" s="2" t="n">
        <v>2623</v>
      </c>
      <c r="I2624" s="2" t="s">
        <v>30</v>
      </c>
      <c r="J2624" s="2" t="n">
        <v>5</v>
      </c>
      <c r="K2624" s="2" t="s">
        <v>36</v>
      </c>
      <c r="L2624" s="2" t="s">
        <v>32</v>
      </c>
      <c r="M2624" s="2" t="n">
        <v>35440</v>
      </c>
      <c r="N2624" s="2" t="n">
        <v>3</v>
      </c>
      <c r="O2624" s="2" t="n">
        <v>18</v>
      </c>
      <c r="P2624" s="2" t="n">
        <v>3</v>
      </c>
      <c r="Q2624" s="2" t="n">
        <v>15</v>
      </c>
      <c r="R2624" s="2" t="n">
        <v>3</v>
      </c>
      <c r="S2624" s="2" t="n">
        <v>11</v>
      </c>
      <c r="T2624" s="2" t="n">
        <v>5</v>
      </c>
      <c r="U2624" s="2" t="n">
        <v>10</v>
      </c>
      <c r="V2624" s="2" t="n">
        <v>2</v>
      </c>
      <c r="W2624" s="2" t="n">
        <v>2</v>
      </c>
      <c r="X2624" s="2" t="n">
        <v>3</v>
      </c>
      <c r="Y2624" s="2" t="n">
        <v>2</v>
      </c>
      <c r="Z2624" s="2" t="n">
        <v>3</v>
      </c>
    </row>
    <row r="2625" customFormat="false" ht="15" hidden="false" customHeight="true" outlineLevel="0" collapsed="false">
      <c r="A2625" s="2" t="n">
        <v>25</v>
      </c>
      <c r="B2625" s="2" t="s">
        <v>26</v>
      </c>
      <c r="C2625" s="2" t="s">
        <v>27</v>
      </c>
      <c r="D2625" s="2" t="s">
        <v>28</v>
      </c>
      <c r="E2625" s="2" t="n">
        <v>20</v>
      </c>
      <c r="F2625" s="2" t="n">
        <v>5</v>
      </c>
      <c r="G2625" s="2" t="s">
        <v>43</v>
      </c>
      <c r="H2625" s="2" t="n">
        <v>2624</v>
      </c>
      <c r="I2625" s="2" t="s">
        <v>30</v>
      </c>
      <c r="J2625" s="2" t="n">
        <v>2</v>
      </c>
      <c r="K2625" s="2" t="s">
        <v>45</v>
      </c>
      <c r="L2625" s="2" t="s">
        <v>32</v>
      </c>
      <c r="M2625" s="2" t="n">
        <v>85000</v>
      </c>
      <c r="N2625" s="2" t="n">
        <v>4</v>
      </c>
      <c r="O2625" s="2" t="n">
        <v>12</v>
      </c>
      <c r="P2625" s="2" t="n">
        <v>0</v>
      </c>
      <c r="Q2625" s="2" t="n">
        <v>6</v>
      </c>
      <c r="R2625" s="2" t="n">
        <v>2</v>
      </c>
      <c r="S2625" s="2" t="n">
        <v>2</v>
      </c>
      <c r="T2625" s="2" t="n">
        <v>1</v>
      </c>
      <c r="U2625" s="2" t="n">
        <v>2</v>
      </c>
      <c r="V2625" s="2" t="n">
        <v>3</v>
      </c>
      <c r="W2625" s="2" t="n">
        <v>2</v>
      </c>
      <c r="X2625" s="2" t="n">
        <v>3</v>
      </c>
      <c r="Y2625" s="2" t="n">
        <v>3</v>
      </c>
      <c r="Z2625" s="2" t="n">
        <v>3</v>
      </c>
    </row>
    <row r="2626" customFormat="false" ht="15" hidden="false" customHeight="true" outlineLevel="0" collapsed="false">
      <c r="A2626" s="2" t="n">
        <v>30</v>
      </c>
      <c r="B2626" s="2" t="s">
        <v>26</v>
      </c>
      <c r="C2626" s="2" t="s">
        <v>27</v>
      </c>
      <c r="D2626" s="2" t="s">
        <v>42</v>
      </c>
      <c r="E2626" s="2" t="n">
        <v>20</v>
      </c>
      <c r="F2626" s="2" t="n">
        <v>4</v>
      </c>
      <c r="G2626" s="2" t="s">
        <v>29</v>
      </c>
      <c r="H2626" s="2" t="n">
        <v>2625</v>
      </c>
      <c r="I2626" s="2" t="s">
        <v>39</v>
      </c>
      <c r="J2626" s="2" t="n">
        <v>2</v>
      </c>
      <c r="K2626" s="2" t="s">
        <v>36</v>
      </c>
      <c r="L2626" s="2" t="s">
        <v>32</v>
      </c>
      <c r="M2626" s="2" t="n">
        <v>46610</v>
      </c>
      <c r="N2626" s="2" t="n">
        <v>1</v>
      </c>
      <c r="O2626" s="2" t="n">
        <v>11</v>
      </c>
      <c r="P2626" s="2" t="n">
        <v>0</v>
      </c>
      <c r="Q2626" s="2" t="n">
        <v>12</v>
      </c>
      <c r="R2626" s="2" t="n">
        <v>3</v>
      </c>
      <c r="S2626" s="2" t="n">
        <v>12</v>
      </c>
      <c r="T2626" s="2" t="n">
        <v>1</v>
      </c>
      <c r="U2626" s="2" t="n">
        <v>7</v>
      </c>
      <c r="V2626" s="2" t="n">
        <v>4</v>
      </c>
      <c r="W2626" s="2" t="n">
        <v>2</v>
      </c>
      <c r="X2626" s="2" t="n">
        <v>2</v>
      </c>
      <c r="Y2626" s="2" t="n">
        <v>2</v>
      </c>
      <c r="Z2626" s="2" t="n">
        <v>3</v>
      </c>
    </row>
    <row r="2627" customFormat="false" ht="15" hidden="false" customHeight="true" outlineLevel="0" collapsed="false">
      <c r="A2627" s="2" t="n">
        <v>25</v>
      </c>
      <c r="B2627" s="2" t="s">
        <v>26</v>
      </c>
      <c r="C2627" s="2" t="s">
        <v>27</v>
      </c>
      <c r="D2627" s="2" t="s">
        <v>35</v>
      </c>
      <c r="E2627" s="2" t="n">
        <v>7</v>
      </c>
      <c r="F2627" s="2" t="n">
        <v>2</v>
      </c>
      <c r="G2627" s="2" t="s">
        <v>43</v>
      </c>
      <c r="H2627" s="2" t="n">
        <v>2626</v>
      </c>
      <c r="I2627" s="2" t="s">
        <v>39</v>
      </c>
      <c r="J2627" s="2" t="n">
        <v>5</v>
      </c>
      <c r="K2627" s="2" t="s">
        <v>40</v>
      </c>
      <c r="L2627" s="2" t="s">
        <v>46</v>
      </c>
      <c r="M2627" s="2" t="n">
        <v>41030</v>
      </c>
      <c r="N2627" s="2" t="n">
        <v>6</v>
      </c>
      <c r="O2627" s="2" t="n">
        <v>15</v>
      </c>
      <c r="P2627" s="2" t="n">
        <v>1</v>
      </c>
      <c r="Q2627" s="2" t="n">
        <v>7</v>
      </c>
      <c r="R2627" s="2" t="n">
        <v>2</v>
      </c>
      <c r="S2627" s="2" t="n">
        <v>2</v>
      </c>
      <c r="T2627" s="2" t="n">
        <v>0</v>
      </c>
      <c r="U2627" s="2" t="n">
        <v>2</v>
      </c>
      <c r="V2627" s="2" t="n">
        <v>4</v>
      </c>
      <c r="W2627" s="2" t="n">
        <v>3</v>
      </c>
      <c r="X2627" s="2" t="n">
        <v>2</v>
      </c>
      <c r="Y2627" s="2" t="n">
        <v>3</v>
      </c>
      <c r="Z2627" s="2" t="n">
        <v>3</v>
      </c>
    </row>
    <row r="2628" customFormat="false" ht="15" hidden="false" customHeight="true" outlineLevel="0" collapsed="false">
      <c r="A2628" s="2" t="n">
        <v>47</v>
      </c>
      <c r="B2628" s="2" t="s">
        <v>26</v>
      </c>
      <c r="C2628" s="2" t="s">
        <v>27</v>
      </c>
      <c r="D2628" s="2" t="s">
        <v>35</v>
      </c>
      <c r="E2628" s="2" t="n">
        <v>1</v>
      </c>
      <c r="F2628" s="2" t="n">
        <v>4</v>
      </c>
      <c r="G2628" s="2" t="s">
        <v>29</v>
      </c>
      <c r="H2628" s="2" t="n">
        <v>2627</v>
      </c>
      <c r="I2628" s="2" t="s">
        <v>39</v>
      </c>
      <c r="J2628" s="2" t="n">
        <v>2</v>
      </c>
      <c r="K2628" s="2" t="s">
        <v>40</v>
      </c>
      <c r="L2628" s="2" t="s">
        <v>37</v>
      </c>
      <c r="M2628" s="2" t="n">
        <v>42490</v>
      </c>
      <c r="N2628" s="2" t="n">
        <v>2</v>
      </c>
      <c r="O2628" s="2" t="n">
        <v>13</v>
      </c>
      <c r="P2628" s="2" t="n">
        <v>1</v>
      </c>
      <c r="Q2628" s="2" t="n">
        <v>25</v>
      </c>
      <c r="R2628" s="2" t="n">
        <v>2</v>
      </c>
      <c r="S2628" s="2" t="n">
        <v>17</v>
      </c>
      <c r="T2628" s="2" t="n">
        <v>12</v>
      </c>
      <c r="U2628" s="2" t="n">
        <v>11</v>
      </c>
      <c r="V2628" s="2" t="n">
        <v>1</v>
      </c>
      <c r="W2628" s="2" t="n">
        <v>3</v>
      </c>
      <c r="X2628" s="2" t="n">
        <v>3</v>
      </c>
      <c r="Y2628" s="2" t="n">
        <v>2</v>
      </c>
      <c r="Z2628" s="2" t="n">
        <v>3</v>
      </c>
    </row>
    <row r="2629" customFormat="false" ht="15" hidden="false" customHeight="true" outlineLevel="0" collapsed="false">
      <c r="A2629" s="2" t="n">
        <v>33</v>
      </c>
      <c r="B2629" s="2" t="s">
        <v>26</v>
      </c>
      <c r="C2629" s="2" t="s">
        <v>41</v>
      </c>
      <c r="D2629" s="2" t="s">
        <v>35</v>
      </c>
      <c r="E2629" s="2" t="n">
        <v>1</v>
      </c>
      <c r="F2629" s="2" t="n">
        <v>3</v>
      </c>
      <c r="G2629" s="2" t="s">
        <v>29</v>
      </c>
      <c r="H2629" s="2" t="n">
        <v>2628</v>
      </c>
      <c r="I2629" s="2" t="s">
        <v>39</v>
      </c>
      <c r="J2629" s="2" t="n">
        <v>2</v>
      </c>
      <c r="K2629" s="2" t="s">
        <v>36</v>
      </c>
      <c r="L2629" s="2" t="s">
        <v>46</v>
      </c>
      <c r="M2629" s="2" t="n">
        <v>140260</v>
      </c>
      <c r="N2629" s="2" t="n">
        <v>1</v>
      </c>
      <c r="O2629" s="2" t="n">
        <v>12</v>
      </c>
      <c r="P2629" s="2" t="n">
        <v>0</v>
      </c>
      <c r="Q2629" s="2" t="n">
        <v>1</v>
      </c>
      <c r="R2629" s="2" t="n">
        <v>4</v>
      </c>
      <c r="S2629" s="2" t="n">
        <v>1</v>
      </c>
      <c r="T2629" s="2" t="n">
        <v>0</v>
      </c>
      <c r="U2629" s="2" t="n">
        <v>0</v>
      </c>
      <c r="V2629" s="2" t="n">
        <v>2</v>
      </c>
      <c r="W2629" s="2" t="n">
        <v>3</v>
      </c>
      <c r="X2629" s="2" t="n">
        <v>2</v>
      </c>
      <c r="Y2629" s="2" t="n">
        <v>3</v>
      </c>
      <c r="Z2629" s="2" t="n">
        <v>3</v>
      </c>
    </row>
    <row r="2630" customFormat="false" ht="15" hidden="false" customHeight="true" outlineLevel="0" collapsed="false">
      <c r="A2630" s="2" t="n">
        <v>38</v>
      </c>
      <c r="B2630" s="2" t="s">
        <v>26</v>
      </c>
      <c r="C2630" s="2" t="s">
        <v>27</v>
      </c>
      <c r="D2630" s="2" t="s">
        <v>35</v>
      </c>
      <c r="E2630" s="2" t="n">
        <v>19</v>
      </c>
      <c r="F2630" s="2" t="n">
        <v>3</v>
      </c>
      <c r="G2630" s="2" t="s">
        <v>29</v>
      </c>
      <c r="H2630" s="2" t="n">
        <v>2629</v>
      </c>
      <c r="I2630" s="2" t="s">
        <v>30</v>
      </c>
      <c r="J2630" s="2" t="n">
        <v>2</v>
      </c>
      <c r="K2630" s="2" t="s">
        <v>40</v>
      </c>
      <c r="L2630" s="2" t="s">
        <v>32</v>
      </c>
      <c r="M2630" s="2" t="n">
        <v>68930</v>
      </c>
      <c r="N2630" s="2" t="n">
        <v>0</v>
      </c>
      <c r="O2630" s="2" t="n">
        <v>17</v>
      </c>
      <c r="P2630" s="2" t="n">
        <v>0</v>
      </c>
      <c r="Q2630" s="2" t="n">
        <v>16</v>
      </c>
      <c r="R2630" s="2" t="n">
        <v>3</v>
      </c>
      <c r="S2630" s="2" t="n">
        <v>15</v>
      </c>
      <c r="T2630" s="2" t="n">
        <v>5</v>
      </c>
      <c r="U2630" s="2" t="n">
        <v>8</v>
      </c>
      <c r="V2630" s="2" t="n">
        <v>4</v>
      </c>
      <c r="W2630" s="2" t="n">
        <v>2</v>
      </c>
      <c r="X2630" s="2" t="n">
        <v>3</v>
      </c>
      <c r="Y2630" s="2" t="n">
        <v>3</v>
      </c>
      <c r="Z2630" s="2" t="n">
        <v>3</v>
      </c>
    </row>
    <row r="2631" customFormat="false" ht="15" hidden="false" customHeight="true" outlineLevel="0" collapsed="false">
      <c r="A2631" s="2" t="n">
        <v>31</v>
      </c>
      <c r="B2631" s="2" t="s">
        <v>26</v>
      </c>
      <c r="C2631" s="2" t="s">
        <v>27</v>
      </c>
      <c r="D2631" s="2" t="s">
        <v>35</v>
      </c>
      <c r="E2631" s="2" t="n">
        <v>10</v>
      </c>
      <c r="F2631" s="2" t="n">
        <v>4</v>
      </c>
      <c r="G2631" s="2" t="s">
        <v>43</v>
      </c>
      <c r="H2631" s="2" t="n">
        <v>2630</v>
      </c>
      <c r="I2631" s="2" t="s">
        <v>30</v>
      </c>
      <c r="J2631" s="2" t="n">
        <v>3</v>
      </c>
      <c r="K2631" s="2" t="s">
        <v>40</v>
      </c>
      <c r="L2631" s="2" t="s">
        <v>32</v>
      </c>
      <c r="M2631" s="2" t="n">
        <v>61250</v>
      </c>
      <c r="N2631" s="2" t="n">
        <v>0</v>
      </c>
      <c r="O2631" s="2" t="n">
        <v>13</v>
      </c>
      <c r="P2631" s="2" t="n">
        <v>1</v>
      </c>
      <c r="Q2631" s="2" t="n">
        <v>3</v>
      </c>
      <c r="R2631" s="2" t="n">
        <v>3</v>
      </c>
      <c r="S2631" s="2" t="n">
        <v>2</v>
      </c>
      <c r="T2631" s="2" t="n">
        <v>1</v>
      </c>
      <c r="U2631" s="2" t="n">
        <v>2</v>
      </c>
      <c r="V2631" s="2" t="n">
        <v>1</v>
      </c>
      <c r="W2631" s="2" t="n">
        <v>3</v>
      </c>
      <c r="X2631" s="2" t="n">
        <v>3</v>
      </c>
      <c r="Y2631" s="2" t="n">
        <v>3</v>
      </c>
      <c r="Z2631" s="2" t="n">
        <v>3</v>
      </c>
    </row>
    <row r="2632" customFormat="false" ht="15" hidden="false" customHeight="true" outlineLevel="0" collapsed="false">
      <c r="A2632" s="2" t="n">
        <v>38</v>
      </c>
      <c r="B2632" s="2" t="s">
        <v>26</v>
      </c>
      <c r="C2632" s="2" t="s">
        <v>34</v>
      </c>
      <c r="D2632" s="2" t="s">
        <v>35</v>
      </c>
      <c r="E2632" s="2" t="n">
        <v>1</v>
      </c>
      <c r="F2632" s="2" t="n">
        <v>4</v>
      </c>
      <c r="G2632" s="2" t="s">
        <v>38</v>
      </c>
      <c r="H2632" s="2" t="n">
        <v>2631</v>
      </c>
      <c r="I2632" s="2" t="s">
        <v>39</v>
      </c>
      <c r="J2632" s="2" t="n">
        <v>2</v>
      </c>
      <c r="K2632" s="2" t="s">
        <v>36</v>
      </c>
      <c r="L2632" s="2" t="s">
        <v>32</v>
      </c>
      <c r="M2632" s="2" t="n">
        <v>36690</v>
      </c>
      <c r="N2632" s="2" t="n">
        <v>2</v>
      </c>
      <c r="O2632" s="2" t="n">
        <v>19</v>
      </c>
      <c r="P2632" s="2" t="n">
        <v>0</v>
      </c>
      <c r="Q2632" s="2" t="n">
        <v>10</v>
      </c>
      <c r="R2632" s="2" t="n">
        <v>2</v>
      </c>
      <c r="S2632" s="2" t="n">
        <v>8</v>
      </c>
      <c r="T2632" s="2" t="n">
        <v>7</v>
      </c>
      <c r="U2632" s="2" t="n">
        <v>7</v>
      </c>
      <c r="V2632" s="2" t="n">
        <v>1</v>
      </c>
      <c r="W2632" s="2" t="n">
        <v>3</v>
      </c>
      <c r="X2632" s="2" t="n">
        <v>3</v>
      </c>
      <c r="Y2632" s="2" t="n">
        <v>3</v>
      </c>
      <c r="Z2632" s="2" t="n">
        <v>3</v>
      </c>
    </row>
    <row r="2633" customFormat="false" ht="15" hidden="false" customHeight="true" outlineLevel="0" collapsed="false">
      <c r="A2633" s="2" t="n">
        <v>42</v>
      </c>
      <c r="B2633" s="2" t="s">
        <v>26</v>
      </c>
      <c r="C2633" s="2" t="s">
        <v>27</v>
      </c>
      <c r="D2633" s="2" t="s">
        <v>35</v>
      </c>
      <c r="E2633" s="2" t="n">
        <v>6</v>
      </c>
      <c r="F2633" s="2" t="n">
        <v>3</v>
      </c>
      <c r="G2633" s="2" t="s">
        <v>43</v>
      </c>
      <c r="H2633" s="2" t="n">
        <v>2632</v>
      </c>
      <c r="I2633" s="2" t="s">
        <v>39</v>
      </c>
      <c r="J2633" s="2" t="n">
        <v>2</v>
      </c>
      <c r="K2633" s="2" t="s">
        <v>45</v>
      </c>
      <c r="L2633" s="2" t="s">
        <v>46</v>
      </c>
      <c r="M2633" s="2" t="n">
        <v>100080</v>
      </c>
      <c r="N2633" s="2" t="n">
        <v>6</v>
      </c>
      <c r="O2633" s="2" t="n">
        <v>19</v>
      </c>
      <c r="P2633" s="2" t="n">
        <v>1</v>
      </c>
      <c r="Q2633" s="2" t="n">
        <v>9</v>
      </c>
      <c r="R2633" s="2" t="n">
        <v>3</v>
      </c>
      <c r="S2633" s="2" t="n">
        <v>4</v>
      </c>
      <c r="T2633" s="2" t="n">
        <v>1</v>
      </c>
      <c r="U2633" s="2" t="n">
        <v>2</v>
      </c>
      <c r="V2633" s="2" t="n">
        <v>4</v>
      </c>
      <c r="W2633" s="2" t="n">
        <v>1</v>
      </c>
      <c r="X2633" s="2" t="n">
        <v>2</v>
      </c>
      <c r="Y2633" s="2" t="n">
        <v>1</v>
      </c>
      <c r="Z2633" s="2" t="n">
        <v>3</v>
      </c>
    </row>
    <row r="2634" customFormat="false" ht="15" hidden="false" customHeight="true" outlineLevel="0" collapsed="false">
      <c r="A2634" s="2" t="n">
        <v>41</v>
      </c>
      <c r="B2634" s="2" t="s">
        <v>26</v>
      </c>
      <c r="C2634" s="2" t="s">
        <v>27</v>
      </c>
      <c r="D2634" s="2" t="s">
        <v>28</v>
      </c>
      <c r="E2634" s="2" t="n">
        <v>2</v>
      </c>
      <c r="F2634" s="2" t="n">
        <v>2</v>
      </c>
      <c r="G2634" s="2" t="s">
        <v>43</v>
      </c>
      <c r="H2634" s="2" t="n">
        <v>2633</v>
      </c>
      <c r="I2634" s="2" t="s">
        <v>39</v>
      </c>
      <c r="J2634" s="2" t="n">
        <v>1</v>
      </c>
      <c r="K2634" s="2" t="s">
        <v>31</v>
      </c>
      <c r="L2634" s="2" t="s">
        <v>32</v>
      </c>
      <c r="M2634" s="2" t="n">
        <v>23870</v>
      </c>
      <c r="N2634" s="2" t="n">
        <v>3</v>
      </c>
      <c r="O2634" s="2" t="n">
        <v>17</v>
      </c>
      <c r="P2634" s="2" t="n">
        <v>1</v>
      </c>
      <c r="Q2634" s="2" t="n">
        <v>12</v>
      </c>
      <c r="R2634" s="2" t="n">
        <v>1</v>
      </c>
      <c r="S2634" s="2" t="n">
        <v>5</v>
      </c>
      <c r="T2634" s="2" t="n">
        <v>1</v>
      </c>
      <c r="U2634" s="2" t="n">
        <v>0</v>
      </c>
      <c r="V2634" s="2" t="n">
        <v>4</v>
      </c>
      <c r="W2634" s="2" t="n">
        <v>4</v>
      </c>
      <c r="X2634" s="2" t="n">
        <v>3</v>
      </c>
      <c r="Y2634" s="2" t="n">
        <v>1</v>
      </c>
      <c r="Z2634" s="2" t="n">
        <v>3</v>
      </c>
    </row>
    <row r="2635" customFormat="false" ht="15" hidden="false" customHeight="true" outlineLevel="0" collapsed="false">
      <c r="A2635" s="2" t="n">
        <v>47</v>
      </c>
      <c r="B2635" s="2" t="s">
        <v>26</v>
      </c>
      <c r="C2635" s="2" t="s">
        <v>41</v>
      </c>
      <c r="D2635" s="2" t="s">
        <v>35</v>
      </c>
      <c r="E2635" s="2" t="n">
        <v>21</v>
      </c>
      <c r="F2635" s="2" t="n">
        <v>2</v>
      </c>
      <c r="G2635" s="2" t="s">
        <v>43</v>
      </c>
      <c r="H2635" s="2" t="n">
        <v>2634</v>
      </c>
      <c r="I2635" s="2" t="s">
        <v>39</v>
      </c>
      <c r="J2635" s="2" t="n">
        <v>1</v>
      </c>
      <c r="K2635" s="2" t="s">
        <v>40</v>
      </c>
      <c r="L2635" s="2" t="s">
        <v>32</v>
      </c>
      <c r="M2635" s="2" t="n">
        <v>46390</v>
      </c>
      <c r="N2635" s="2" t="n">
        <v>0</v>
      </c>
      <c r="O2635" s="2" t="n">
        <v>11</v>
      </c>
      <c r="P2635" s="2" t="n">
        <v>1</v>
      </c>
      <c r="Q2635" s="2" t="n">
        <v>14</v>
      </c>
      <c r="R2635" s="2" t="n">
        <v>2</v>
      </c>
      <c r="S2635" s="2" t="n">
        <v>13</v>
      </c>
      <c r="T2635" s="2" t="n">
        <v>5</v>
      </c>
      <c r="U2635" s="2" t="n">
        <v>12</v>
      </c>
      <c r="V2635" s="2" t="n">
        <v>3</v>
      </c>
      <c r="W2635" s="2" t="n">
        <v>2</v>
      </c>
      <c r="X2635" s="2" t="n">
        <v>1</v>
      </c>
      <c r="Y2635" s="2" t="n">
        <v>2</v>
      </c>
      <c r="Z2635" s="2" t="n">
        <v>3</v>
      </c>
    </row>
    <row r="2636" customFormat="false" ht="15" hidden="false" customHeight="true" outlineLevel="0" collapsed="false">
      <c r="A2636" s="2" t="n">
        <v>35</v>
      </c>
      <c r="B2636" s="2" t="s">
        <v>26</v>
      </c>
      <c r="C2636" s="2" t="s">
        <v>27</v>
      </c>
      <c r="D2636" s="2" t="s">
        <v>35</v>
      </c>
      <c r="E2636" s="2" t="n">
        <v>4</v>
      </c>
      <c r="F2636" s="2" t="n">
        <v>3</v>
      </c>
      <c r="G2636" s="2" t="s">
        <v>29</v>
      </c>
      <c r="H2636" s="2" t="n">
        <v>2635</v>
      </c>
      <c r="I2636" s="2" t="s">
        <v>39</v>
      </c>
      <c r="J2636" s="2" t="n">
        <v>2</v>
      </c>
      <c r="K2636" s="2" t="s">
        <v>31</v>
      </c>
      <c r="L2636" s="2" t="s">
        <v>32</v>
      </c>
      <c r="M2636" s="2" t="n">
        <v>78980</v>
      </c>
      <c r="N2636" s="2" t="n">
        <v>7</v>
      </c>
      <c r="O2636" s="2" t="n">
        <v>15</v>
      </c>
      <c r="P2636" s="2" t="n">
        <v>0</v>
      </c>
      <c r="Q2636" s="2" t="n">
        <v>5</v>
      </c>
      <c r="R2636" s="2" t="n">
        <v>2</v>
      </c>
      <c r="S2636" s="2" t="n">
        <v>2</v>
      </c>
      <c r="T2636" s="2" t="n">
        <v>2</v>
      </c>
      <c r="U2636" s="2" t="n">
        <v>2</v>
      </c>
      <c r="V2636" s="2" t="n">
        <v>4</v>
      </c>
      <c r="W2636" s="2" t="n">
        <v>3</v>
      </c>
      <c r="X2636" s="2" t="n">
        <v>3</v>
      </c>
      <c r="Y2636" s="2" t="n">
        <v>2</v>
      </c>
      <c r="Z2636" s="2" t="n">
        <v>3</v>
      </c>
    </row>
    <row r="2637" customFormat="false" ht="15" hidden="false" customHeight="true" outlineLevel="0" collapsed="false">
      <c r="A2637" s="2" t="n">
        <v>22</v>
      </c>
      <c r="B2637" s="2" t="s">
        <v>26</v>
      </c>
      <c r="C2637" s="2" t="s">
        <v>27</v>
      </c>
      <c r="D2637" s="2" t="s">
        <v>42</v>
      </c>
      <c r="E2637" s="2" t="n">
        <v>12</v>
      </c>
      <c r="F2637" s="2" t="n">
        <v>1</v>
      </c>
      <c r="G2637" s="2" t="s">
        <v>42</v>
      </c>
      <c r="H2637" s="2" t="n">
        <v>2636</v>
      </c>
      <c r="I2637" s="2" t="s">
        <v>39</v>
      </c>
      <c r="J2637" s="2" t="n">
        <v>2</v>
      </c>
      <c r="K2637" s="2" t="s">
        <v>40</v>
      </c>
      <c r="L2637" s="2" t="s">
        <v>37</v>
      </c>
      <c r="M2637" s="2" t="n">
        <v>25340</v>
      </c>
      <c r="N2637" s="2" t="n">
        <v>0</v>
      </c>
      <c r="O2637" s="2" t="n">
        <v>11</v>
      </c>
      <c r="P2637" s="2" t="n">
        <v>0</v>
      </c>
      <c r="Q2637" s="2" t="n">
        <v>4</v>
      </c>
      <c r="R2637" s="2" t="n">
        <v>1</v>
      </c>
      <c r="S2637" s="2" t="n">
        <v>3</v>
      </c>
      <c r="T2637" s="2" t="n">
        <v>1</v>
      </c>
      <c r="U2637" s="2" t="n">
        <v>2</v>
      </c>
      <c r="V2637" s="2" t="n">
        <v>4</v>
      </c>
      <c r="W2637" s="2" t="n">
        <v>3</v>
      </c>
      <c r="X2637" s="2" t="n">
        <v>4</v>
      </c>
      <c r="Y2637" s="2" t="n">
        <v>3</v>
      </c>
      <c r="Z2637" s="2" t="n">
        <v>3</v>
      </c>
    </row>
    <row r="2638" customFormat="false" ht="15" hidden="false" customHeight="true" outlineLevel="0" collapsed="false">
      <c r="A2638" s="2" t="n">
        <v>35</v>
      </c>
      <c r="B2638" s="2" t="s">
        <v>26</v>
      </c>
      <c r="C2638" s="2" t="s">
        <v>27</v>
      </c>
      <c r="D2638" s="2" t="s">
        <v>35</v>
      </c>
      <c r="E2638" s="2" t="n">
        <v>9</v>
      </c>
      <c r="F2638" s="2" t="n">
        <v>3</v>
      </c>
      <c r="G2638" s="2" t="s">
        <v>43</v>
      </c>
      <c r="H2638" s="2" t="n">
        <v>2637</v>
      </c>
      <c r="I2638" s="2" t="s">
        <v>30</v>
      </c>
      <c r="J2638" s="2" t="n">
        <v>2</v>
      </c>
      <c r="K2638" s="2" t="s">
        <v>40</v>
      </c>
      <c r="L2638" s="2" t="s">
        <v>37</v>
      </c>
      <c r="M2638" s="2" t="n">
        <v>131420</v>
      </c>
      <c r="N2638" s="2" t="n">
        <v>1</v>
      </c>
      <c r="O2638" s="2" t="n">
        <v>25</v>
      </c>
      <c r="P2638" s="2" t="n">
        <v>2</v>
      </c>
      <c r="Q2638" s="2" t="n">
        <v>10</v>
      </c>
      <c r="R2638" s="2" t="n">
        <v>4</v>
      </c>
      <c r="S2638" s="2" t="n">
        <v>10</v>
      </c>
      <c r="T2638" s="2" t="n">
        <v>0</v>
      </c>
      <c r="U2638" s="2" t="n">
        <v>8</v>
      </c>
      <c r="V2638" s="2" t="n">
        <v>2</v>
      </c>
      <c r="W2638" s="2" t="n">
        <v>3</v>
      </c>
      <c r="X2638" s="2" t="n">
        <v>3</v>
      </c>
      <c r="Y2638" s="2" t="n">
        <v>3</v>
      </c>
      <c r="Z2638" s="2" t="n">
        <v>4</v>
      </c>
    </row>
    <row r="2639" customFormat="false" ht="15" hidden="false" customHeight="true" outlineLevel="0" collapsed="false">
      <c r="A2639" s="2" t="n">
        <v>33</v>
      </c>
      <c r="B2639" s="2" t="s">
        <v>26</v>
      </c>
      <c r="C2639" s="2" t="s">
        <v>27</v>
      </c>
      <c r="D2639" s="2" t="s">
        <v>28</v>
      </c>
      <c r="E2639" s="2" t="n">
        <v>3</v>
      </c>
      <c r="F2639" s="2" t="n">
        <v>4</v>
      </c>
      <c r="G2639" s="2" t="s">
        <v>43</v>
      </c>
      <c r="H2639" s="2" t="n">
        <v>2638</v>
      </c>
      <c r="I2639" s="2" t="s">
        <v>39</v>
      </c>
      <c r="J2639" s="2" t="n">
        <v>3</v>
      </c>
      <c r="K2639" s="2" t="s">
        <v>31</v>
      </c>
      <c r="L2639" s="2" t="s">
        <v>32</v>
      </c>
      <c r="M2639" s="2" t="n">
        <v>16110</v>
      </c>
      <c r="N2639" s="2" t="n">
        <v>0</v>
      </c>
      <c r="O2639" s="2" t="n">
        <v>14</v>
      </c>
      <c r="P2639" s="2" t="n">
        <v>0</v>
      </c>
      <c r="Q2639" s="2" t="n">
        <v>10</v>
      </c>
      <c r="R2639" s="2" t="n">
        <v>2</v>
      </c>
      <c r="S2639" s="2" t="n">
        <v>9</v>
      </c>
      <c r="T2639" s="2" t="n">
        <v>8</v>
      </c>
      <c r="U2639" s="2" t="n">
        <v>1</v>
      </c>
      <c r="V2639" s="2" t="n">
        <v>2</v>
      </c>
      <c r="W2639" s="2" t="n">
        <v>4</v>
      </c>
      <c r="X2639" s="2" t="n">
        <v>3</v>
      </c>
      <c r="Y2639" s="2" t="n">
        <v>2</v>
      </c>
      <c r="Z2639" s="2" t="n">
        <v>3</v>
      </c>
    </row>
    <row r="2640" customFormat="false" ht="15" hidden="false" customHeight="true" outlineLevel="0" collapsed="false">
      <c r="A2640" s="2" t="n">
        <v>32</v>
      </c>
      <c r="B2640" s="2" t="s">
        <v>26</v>
      </c>
      <c r="C2640" s="2" t="s">
        <v>27</v>
      </c>
      <c r="D2640" s="2" t="s">
        <v>35</v>
      </c>
      <c r="E2640" s="2" t="n">
        <v>3</v>
      </c>
      <c r="F2640" s="2" t="n">
        <v>2</v>
      </c>
      <c r="G2640" s="2" t="s">
        <v>51</v>
      </c>
      <c r="H2640" s="2" t="n">
        <v>2639</v>
      </c>
      <c r="I2640" s="2" t="s">
        <v>39</v>
      </c>
      <c r="J2640" s="2" t="n">
        <v>3</v>
      </c>
      <c r="K2640" s="2" t="s">
        <v>47</v>
      </c>
      <c r="L2640" s="2" t="s">
        <v>37</v>
      </c>
      <c r="M2640" s="2" t="n">
        <v>53630</v>
      </c>
      <c r="N2640" s="2" t="n">
        <v>1</v>
      </c>
      <c r="O2640" s="2" t="n">
        <v>13</v>
      </c>
      <c r="P2640" s="2" t="n">
        <v>0</v>
      </c>
      <c r="Q2640" s="2" t="n">
        <v>6</v>
      </c>
      <c r="R2640" s="2" t="n">
        <v>4</v>
      </c>
      <c r="S2640" s="2" t="n">
        <v>6</v>
      </c>
      <c r="T2640" s="2" t="n">
        <v>4</v>
      </c>
      <c r="U2640" s="2" t="n">
        <v>1</v>
      </c>
      <c r="V2640" s="2" t="n">
        <v>3</v>
      </c>
      <c r="W2640" s="2" t="n">
        <v>2</v>
      </c>
      <c r="X2640" s="2" t="n">
        <v>3</v>
      </c>
      <c r="Y2640" s="2" t="n">
        <v>3</v>
      </c>
      <c r="Z2640" s="2" t="n">
        <v>3</v>
      </c>
    </row>
    <row r="2641" customFormat="false" ht="15" hidden="false" customHeight="true" outlineLevel="0" collapsed="false">
      <c r="A2641" s="2" t="n">
        <v>40</v>
      </c>
      <c r="B2641" s="2" t="s">
        <v>26</v>
      </c>
      <c r="C2641" s="2" t="s">
        <v>27</v>
      </c>
      <c r="D2641" s="2" t="s">
        <v>35</v>
      </c>
      <c r="E2641" s="2" t="n">
        <v>1</v>
      </c>
      <c r="F2641" s="2" t="n">
        <v>4</v>
      </c>
      <c r="G2641" s="2" t="s">
        <v>43</v>
      </c>
      <c r="H2641" s="2" t="n">
        <v>2640</v>
      </c>
      <c r="I2641" s="2" t="s">
        <v>39</v>
      </c>
      <c r="J2641" s="2" t="n">
        <v>2</v>
      </c>
      <c r="K2641" s="2" t="s">
        <v>44</v>
      </c>
      <c r="L2641" s="2" t="s">
        <v>32</v>
      </c>
      <c r="M2641" s="2" t="n">
        <v>50710</v>
      </c>
      <c r="N2641" s="2" t="n">
        <v>8</v>
      </c>
      <c r="O2641" s="2" t="n">
        <v>17</v>
      </c>
      <c r="P2641" s="2" t="n">
        <v>1</v>
      </c>
      <c r="Q2641" s="2" t="n">
        <v>8</v>
      </c>
      <c r="R2641" s="2" t="n">
        <v>3</v>
      </c>
      <c r="S2641" s="2" t="n">
        <v>1</v>
      </c>
      <c r="T2641" s="2" t="n">
        <v>0</v>
      </c>
      <c r="U2641" s="2" t="n">
        <v>0</v>
      </c>
      <c r="V2641" s="2" t="n">
        <v>1</v>
      </c>
      <c r="W2641" s="2" t="n">
        <v>4</v>
      </c>
      <c r="X2641" s="2" t="n">
        <v>2</v>
      </c>
      <c r="Y2641" s="2" t="n">
        <v>2</v>
      </c>
      <c r="Z2641" s="2" t="n">
        <v>3</v>
      </c>
    </row>
    <row r="2642" customFormat="false" ht="15" hidden="false" customHeight="true" outlineLevel="0" collapsed="false">
      <c r="A2642" s="2" t="n">
        <v>32</v>
      </c>
      <c r="B2642" s="2" t="s">
        <v>26</v>
      </c>
      <c r="C2642" s="2" t="s">
        <v>27</v>
      </c>
      <c r="D2642" s="2" t="s">
        <v>35</v>
      </c>
      <c r="E2642" s="2" t="n">
        <v>1</v>
      </c>
      <c r="F2642" s="2" t="n">
        <v>2</v>
      </c>
      <c r="G2642" s="2" t="s">
        <v>43</v>
      </c>
      <c r="H2642" s="2" t="n">
        <v>2641</v>
      </c>
      <c r="I2642" s="2" t="s">
        <v>39</v>
      </c>
      <c r="J2642" s="2" t="n">
        <v>3</v>
      </c>
      <c r="K2642" s="2" t="s">
        <v>40</v>
      </c>
      <c r="L2642" s="2" t="s">
        <v>32</v>
      </c>
      <c r="M2642" s="2" t="n">
        <v>136950</v>
      </c>
      <c r="N2642" s="2" t="n">
        <v>0</v>
      </c>
      <c r="O2642" s="2" t="n">
        <v>13</v>
      </c>
      <c r="P2642" s="2" t="n">
        <v>0</v>
      </c>
      <c r="Q2642" s="2" t="n">
        <v>3</v>
      </c>
      <c r="R2642" s="2" t="n">
        <v>3</v>
      </c>
      <c r="S2642" s="2" t="n">
        <v>2</v>
      </c>
      <c r="T2642" s="2" t="n">
        <v>2</v>
      </c>
      <c r="U2642" s="2" t="n">
        <v>2</v>
      </c>
      <c r="V2642" s="2" t="n">
        <v>2</v>
      </c>
      <c r="W2642" s="2" t="n">
        <v>2</v>
      </c>
      <c r="X2642" s="2" t="n">
        <v>3</v>
      </c>
      <c r="Y2642" s="2" t="n">
        <v>3</v>
      </c>
      <c r="Z2642" s="2" t="n">
        <v>3</v>
      </c>
    </row>
    <row r="2643" customFormat="false" ht="15" hidden="false" customHeight="true" outlineLevel="0" collapsed="false">
      <c r="A2643" s="2" t="n">
        <v>39</v>
      </c>
      <c r="B2643" s="2" t="s">
        <v>26</v>
      </c>
      <c r="C2643" s="2" t="s">
        <v>27</v>
      </c>
      <c r="D2643" s="2" t="s">
        <v>35</v>
      </c>
      <c r="E2643" s="2" t="n">
        <v>4</v>
      </c>
      <c r="F2643" s="2" t="n">
        <v>4</v>
      </c>
      <c r="G2643" s="2" t="s">
        <v>29</v>
      </c>
      <c r="H2643" s="2" t="n">
        <v>2642</v>
      </c>
      <c r="I2643" s="2" t="s">
        <v>39</v>
      </c>
      <c r="J2643" s="2" t="n">
        <v>1</v>
      </c>
      <c r="K2643" s="2" t="s">
        <v>40</v>
      </c>
      <c r="L2643" s="2" t="s">
        <v>37</v>
      </c>
      <c r="M2643" s="2" t="n">
        <v>134020</v>
      </c>
      <c r="N2643" s="2" t="n">
        <v>7</v>
      </c>
      <c r="O2643" s="2" t="n">
        <v>14</v>
      </c>
      <c r="P2643" s="2" t="n">
        <v>1</v>
      </c>
      <c r="Q2643" s="2" t="n">
        <v>18</v>
      </c>
      <c r="R2643" s="2" t="n">
        <v>1</v>
      </c>
      <c r="S2643" s="2" t="n">
        <v>7</v>
      </c>
      <c r="T2643" s="2" t="n">
        <v>1</v>
      </c>
      <c r="U2643" s="2" t="n">
        <v>7</v>
      </c>
      <c r="V2643" s="2" t="n">
        <v>1</v>
      </c>
      <c r="W2643" s="2" t="n">
        <v>4</v>
      </c>
      <c r="X2643" s="2" t="n">
        <v>3</v>
      </c>
      <c r="Y2643" s="2" t="n">
        <v>3</v>
      </c>
      <c r="Z2643" s="2" t="n">
        <v>3</v>
      </c>
    </row>
    <row r="2644" customFormat="false" ht="15" hidden="false" customHeight="true" outlineLevel="0" collapsed="false">
      <c r="A2644" s="2" t="n">
        <v>38</v>
      </c>
      <c r="B2644" s="2" t="s">
        <v>26</v>
      </c>
      <c r="C2644" s="2" t="s">
        <v>27</v>
      </c>
      <c r="D2644" s="2" t="s">
        <v>28</v>
      </c>
      <c r="E2644" s="2" t="n">
        <v>20</v>
      </c>
      <c r="F2644" s="2" t="n">
        <v>4</v>
      </c>
      <c r="G2644" s="2" t="s">
        <v>43</v>
      </c>
      <c r="H2644" s="2" t="n">
        <v>2643</v>
      </c>
      <c r="I2644" s="2" t="s">
        <v>30</v>
      </c>
      <c r="J2644" s="2" t="n">
        <v>2</v>
      </c>
      <c r="K2644" s="2" t="s">
        <v>44</v>
      </c>
      <c r="L2644" s="2" t="s">
        <v>32</v>
      </c>
      <c r="M2644" s="2" t="n">
        <v>20290</v>
      </c>
      <c r="N2644" s="2" t="n">
        <v>3</v>
      </c>
      <c r="O2644" s="2" t="n">
        <v>11</v>
      </c>
      <c r="P2644" s="2" t="n">
        <v>1</v>
      </c>
      <c r="Q2644" s="2" t="n">
        <v>20</v>
      </c>
      <c r="R2644" s="2" t="n">
        <v>3</v>
      </c>
      <c r="S2644" s="2" t="n">
        <v>18</v>
      </c>
      <c r="T2644" s="2" t="n">
        <v>1</v>
      </c>
      <c r="U2644" s="2" t="n">
        <v>11</v>
      </c>
      <c r="V2644" s="2" t="n">
        <v>2</v>
      </c>
      <c r="W2644" s="2" t="n">
        <v>3</v>
      </c>
      <c r="X2644" s="2" t="n">
        <v>3</v>
      </c>
      <c r="Y2644" s="2" t="n">
        <v>2</v>
      </c>
      <c r="Z2644" s="2" t="n">
        <v>3</v>
      </c>
    </row>
    <row r="2645" customFormat="false" ht="15" hidden="false" customHeight="true" outlineLevel="0" collapsed="false">
      <c r="A2645" s="2" t="n">
        <v>32</v>
      </c>
      <c r="B2645" s="2" t="s">
        <v>26</v>
      </c>
      <c r="C2645" s="2" t="s">
        <v>27</v>
      </c>
      <c r="D2645" s="2" t="s">
        <v>35</v>
      </c>
      <c r="E2645" s="2" t="n">
        <v>18</v>
      </c>
      <c r="F2645" s="2" t="n">
        <v>3</v>
      </c>
      <c r="G2645" s="2" t="s">
        <v>29</v>
      </c>
      <c r="H2645" s="2" t="n">
        <v>2644</v>
      </c>
      <c r="I2645" s="2" t="s">
        <v>39</v>
      </c>
      <c r="J2645" s="2" t="n">
        <v>2</v>
      </c>
      <c r="K2645" s="2" t="s">
        <v>49</v>
      </c>
      <c r="L2645" s="2" t="s">
        <v>32</v>
      </c>
      <c r="M2645" s="2" t="n">
        <v>63770</v>
      </c>
      <c r="N2645" s="2" t="n">
        <v>1</v>
      </c>
      <c r="O2645" s="2" t="n">
        <v>12</v>
      </c>
      <c r="P2645" s="2" t="n">
        <v>2</v>
      </c>
      <c r="Q2645" s="2" t="n">
        <v>14</v>
      </c>
      <c r="R2645" s="2" t="n">
        <v>3</v>
      </c>
      <c r="S2645" s="2" t="n">
        <v>14</v>
      </c>
      <c r="T2645" s="2" t="n">
        <v>5</v>
      </c>
      <c r="U2645" s="2" t="n">
        <v>7</v>
      </c>
      <c r="V2645" s="2" t="n">
        <v>3</v>
      </c>
      <c r="W2645" s="2" t="n">
        <v>4</v>
      </c>
      <c r="X2645" s="2" t="n">
        <v>3</v>
      </c>
      <c r="Y2645" s="2" t="n">
        <v>3</v>
      </c>
      <c r="Z2645" s="2" t="n">
        <v>3</v>
      </c>
    </row>
    <row r="2646" customFormat="false" ht="15" hidden="false" customHeight="true" outlineLevel="0" collapsed="false">
      <c r="A2646" s="2" t="n">
        <v>37</v>
      </c>
      <c r="B2646" s="2" t="s">
        <v>26</v>
      </c>
      <c r="C2646" s="2" t="s">
        <v>27</v>
      </c>
      <c r="D2646" s="2" t="s">
        <v>35</v>
      </c>
      <c r="E2646" s="2" t="n">
        <v>1</v>
      </c>
      <c r="F2646" s="2" t="n">
        <v>3</v>
      </c>
      <c r="G2646" s="2" t="s">
        <v>29</v>
      </c>
      <c r="H2646" s="2" t="n">
        <v>2645</v>
      </c>
      <c r="I2646" s="2" t="s">
        <v>30</v>
      </c>
      <c r="J2646" s="2" t="n">
        <v>4</v>
      </c>
      <c r="K2646" s="2" t="s">
        <v>40</v>
      </c>
      <c r="L2646" s="2" t="s">
        <v>32</v>
      </c>
      <c r="M2646" s="2" t="n">
        <v>54290</v>
      </c>
      <c r="N2646" s="2" t="n">
        <v>1</v>
      </c>
      <c r="O2646" s="2" t="n">
        <v>17</v>
      </c>
      <c r="P2646" s="2" t="n">
        <v>1</v>
      </c>
      <c r="Q2646" s="2" t="n">
        <v>16</v>
      </c>
      <c r="R2646" s="2" t="n">
        <v>3</v>
      </c>
      <c r="S2646" s="2" t="n">
        <v>16</v>
      </c>
      <c r="T2646" s="2" t="n">
        <v>6</v>
      </c>
      <c r="U2646" s="2" t="n">
        <v>8</v>
      </c>
      <c r="V2646" s="2" t="n">
        <v>3</v>
      </c>
      <c r="W2646" s="2" t="n">
        <v>4</v>
      </c>
      <c r="X2646" s="2" t="n">
        <v>3</v>
      </c>
      <c r="Y2646" s="2" t="n">
        <v>3</v>
      </c>
      <c r="Z2646" s="2" t="n">
        <v>3</v>
      </c>
    </row>
    <row r="2647" customFormat="false" ht="15" hidden="false" customHeight="true" outlineLevel="0" collapsed="false">
      <c r="A2647" s="2" t="n">
        <v>25</v>
      </c>
      <c r="B2647" s="2" t="s">
        <v>26</v>
      </c>
      <c r="C2647" s="2" t="s">
        <v>27</v>
      </c>
      <c r="D2647" s="2" t="s">
        <v>35</v>
      </c>
      <c r="E2647" s="2" t="n">
        <v>2</v>
      </c>
      <c r="F2647" s="2" t="n">
        <v>4</v>
      </c>
      <c r="G2647" s="2" t="s">
        <v>43</v>
      </c>
      <c r="H2647" s="2" t="n">
        <v>2646</v>
      </c>
      <c r="I2647" s="2" t="s">
        <v>30</v>
      </c>
      <c r="J2647" s="2" t="n">
        <v>2</v>
      </c>
      <c r="K2647" s="2" t="s">
        <v>47</v>
      </c>
      <c r="L2647" s="2" t="s">
        <v>46</v>
      </c>
      <c r="M2647" s="2" t="n">
        <v>27850</v>
      </c>
      <c r="N2647" s="2" t="n">
        <v>0</v>
      </c>
      <c r="O2647" s="2" t="n">
        <v>21</v>
      </c>
      <c r="P2647" s="2" t="n">
        <v>0</v>
      </c>
      <c r="Q2647" s="2" t="n">
        <v>6</v>
      </c>
      <c r="R2647" s="2" t="n">
        <v>2</v>
      </c>
      <c r="S2647" s="2" t="n">
        <v>5</v>
      </c>
      <c r="T2647" s="2" t="n">
        <v>0</v>
      </c>
      <c r="U2647" s="2" t="n">
        <v>4</v>
      </c>
      <c r="V2647" s="2" t="n">
        <v>1</v>
      </c>
      <c r="W2647" s="2" t="n">
        <v>3</v>
      </c>
      <c r="X2647" s="2" t="n">
        <v>2</v>
      </c>
      <c r="Y2647" s="2" t="n">
        <v>3</v>
      </c>
      <c r="Z2647" s="2" t="n">
        <v>4</v>
      </c>
    </row>
    <row r="2648" customFormat="false" ht="15" hidden="false" customHeight="true" outlineLevel="0" collapsed="false">
      <c r="A2648" s="2" t="n">
        <v>52</v>
      </c>
      <c r="B2648" s="2" t="s">
        <v>26</v>
      </c>
      <c r="C2648" s="2" t="s">
        <v>41</v>
      </c>
      <c r="D2648" s="2" t="s">
        <v>35</v>
      </c>
      <c r="E2648" s="2" t="n">
        <v>2</v>
      </c>
      <c r="F2648" s="2" t="n">
        <v>4</v>
      </c>
      <c r="G2648" s="2" t="s">
        <v>38</v>
      </c>
      <c r="H2648" s="2" t="n">
        <v>2647</v>
      </c>
      <c r="I2648" s="2" t="s">
        <v>39</v>
      </c>
      <c r="J2648" s="2" t="n">
        <v>1</v>
      </c>
      <c r="K2648" s="2" t="s">
        <v>49</v>
      </c>
      <c r="L2648" s="2" t="s">
        <v>46</v>
      </c>
      <c r="M2648" s="2" t="n">
        <v>46140</v>
      </c>
      <c r="N2648" s="2" t="n">
        <v>2</v>
      </c>
      <c r="O2648" s="2" t="n">
        <v>16</v>
      </c>
      <c r="P2648" s="2" t="n">
        <v>1</v>
      </c>
      <c r="Q2648" s="2" t="n">
        <v>16</v>
      </c>
      <c r="R2648" s="2" t="n">
        <v>3</v>
      </c>
      <c r="S2648" s="2" t="n">
        <v>9</v>
      </c>
      <c r="T2648" s="2" t="n">
        <v>0</v>
      </c>
      <c r="U2648" s="2" t="n">
        <v>0</v>
      </c>
      <c r="V2648" s="2" t="n">
        <v>1</v>
      </c>
      <c r="W2648" s="2" t="n">
        <v>4</v>
      </c>
      <c r="X2648" s="2" t="n">
        <v>2</v>
      </c>
      <c r="Y2648" s="2" t="n">
        <v>3</v>
      </c>
      <c r="Z2648" s="2" t="n">
        <v>3</v>
      </c>
    </row>
    <row r="2649" customFormat="false" ht="15" hidden="false" customHeight="true" outlineLevel="0" collapsed="false">
      <c r="A2649" s="2" t="n">
        <v>44</v>
      </c>
      <c r="B2649" s="2" t="s">
        <v>26</v>
      </c>
      <c r="C2649" s="2" t="s">
        <v>27</v>
      </c>
      <c r="D2649" s="2" t="s">
        <v>35</v>
      </c>
      <c r="E2649" s="2" t="n">
        <v>8</v>
      </c>
      <c r="F2649" s="2" t="n">
        <v>1</v>
      </c>
      <c r="G2649" s="2" t="s">
        <v>29</v>
      </c>
      <c r="H2649" s="2" t="n">
        <v>2648</v>
      </c>
      <c r="I2649" s="2" t="s">
        <v>30</v>
      </c>
      <c r="J2649" s="2" t="n">
        <v>1</v>
      </c>
      <c r="K2649" s="2" t="s">
        <v>48</v>
      </c>
      <c r="L2649" s="2" t="s">
        <v>37</v>
      </c>
      <c r="M2649" s="2" t="n">
        <v>26100</v>
      </c>
      <c r="N2649" s="2" t="n">
        <v>6</v>
      </c>
      <c r="O2649" s="2" t="n">
        <v>15</v>
      </c>
      <c r="P2649" s="2" t="n">
        <v>0</v>
      </c>
      <c r="Q2649" s="2" t="n">
        <v>6</v>
      </c>
      <c r="R2649" s="2" t="n">
        <v>2</v>
      </c>
      <c r="S2649" s="2" t="n">
        <v>4</v>
      </c>
      <c r="T2649" s="2" t="n">
        <v>1</v>
      </c>
      <c r="U2649" s="2" t="n">
        <v>2</v>
      </c>
      <c r="V2649" s="2" t="n">
        <v>2</v>
      </c>
      <c r="W2649" s="2" t="n">
        <v>4</v>
      </c>
      <c r="X2649" s="2" t="n">
        <v>3</v>
      </c>
      <c r="Y2649" s="2" t="n">
        <v>3</v>
      </c>
      <c r="Z2649" s="2" t="n">
        <v>3</v>
      </c>
    </row>
    <row r="2650" customFormat="false" ht="15" hidden="false" customHeight="true" outlineLevel="0" collapsed="false">
      <c r="A2650" s="2" t="n">
        <v>21</v>
      </c>
      <c r="B2650" s="2" t="s">
        <v>26</v>
      </c>
      <c r="C2650" s="2" t="s">
        <v>27</v>
      </c>
      <c r="D2650" s="2" t="s">
        <v>28</v>
      </c>
      <c r="E2650" s="2" t="n">
        <v>10</v>
      </c>
      <c r="F2650" s="2" t="n">
        <v>5</v>
      </c>
      <c r="G2650" s="2" t="s">
        <v>43</v>
      </c>
      <c r="H2650" s="2" t="n">
        <v>2649</v>
      </c>
      <c r="I2650" s="2" t="s">
        <v>39</v>
      </c>
      <c r="J2650" s="2" t="n">
        <v>3</v>
      </c>
      <c r="K2650" s="2" t="s">
        <v>36</v>
      </c>
      <c r="L2650" s="2" t="s">
        <v>37</v>
      </c>
      <c r="M2650" s="2" t="n">
        <v>66870</v>
      </c>
      <c r="N2650" s="2" t="n">
        <v>1</v>
      </c>
      <c r="O2650" s="2" t="n">
        <v>19</v>
      </c>
      <c r="P2650" s="2" t="n">
        <v>3</v>
      </c>
      <c r="Q2650" s="2" t="n">
        <v>2</v>
      </c>
      <c r="R2650" s="2" t="n">
        <v>0</v>
      </c>
      <c r="S2650" s="2" t="n">
        <v>2</v>
      </c>
      <c r="T2650" s="2" t="n">
        <v>1</v>
      </c>
      <c r="U2650" s="2" t="n">
        <v>2</v>
      </c>
      <c r="V2650" s="2" t="n">
        <v>3</v>
      </c>
      <c r="W2650" s="2" t="n">
        <v>1</v>
      </c>
      <c r="X2650" s="2" t="n">
        <v>3</v>
      </c>
      <c r="Y2650" s="2" t="n">
        <v>3</v>
      </c>
      <c r="Z2650" s="2" t="n">
        <v>3</v>
      </c>
    </row>
    <row r="2651" customFormat="false" ht="15" hidden="false" customHeight="true" outlineLevel="0" collapsed="false">
      <c r="A2651" s="2" t="n">
        <v>39</v>
      </c>
      <c r="B2651" s="2" t="s">
        <v>26</v>
      </c>
      <c r="C2651" s="2" t="s">
        <v>41</v>
      </c>
      <c r="D2651" s="2" t="s">
        <v>35</v>
      </c>
      <c r="E2651" s="2" t="n">
        <v>3</v>
      </c>
      <c r="F2651" s="2" t="n">
        <v>4</v>
      </c>
      <c r="G2651" s="2" t="s">
        <v>29</v>
      </c>
      <c r="H2651" s="2" t="n">
        <v>2650</v>
      </c>
      <c r="I2651" s="2" t="s">
        <v>30</v>
      </c>
      <c r="J2651" s="2" t="n">
        <v>2</v>
      </c>
      <c r="K2651" s="2" t="s">
        <v>44</v>
      </c>
      <c r="L2651" s="2" t="s">
        <v>37</v>
      </c>
      <c r="M2651" s="2" t="n">
        <v>47240</v>
      </c>
      <c r="N2651" s="2" t="n">
        <v>2</v>
      </c>
      <c r="O2651" s="2" t="n">
        <v>12</v>
      </c>
      <c r="P2651" s="2" t="n">
        <v>1</v>
      </c>
      <c r="Q2651" s="2" t="n">
        <v>21</v>
      </c>
      <c r="R2651" s="2" t="n">
        <v>4</v>
      </c>
      <c r="S2651" s="2" t="n">
        <v>6</v>
      </c>
      <c r="T2651" s="2" t="n">
        <v>1</v>
      </c>
      <c r="U2651" s="2" t="n">
        <v>3</v>
      </c>
      <c r="V2651" s="2" t="n">
        <v>4</v>
      </c>
      <c r="W2651" s="2" t="n">
        <v>4</v>
      </c>
      <c r="X2651" s="2" t="n">
        <v>2</v>
      </c>
      <c r="Y2651" s="2" t="n">
        <v>4</v>
      </c>
      <c r="Z2651" s="2" t="n">
        <v>3</v>
      </c>
    </row>
    <row r="2652" customFormat="false" ht="15" hidden="false" customHeight="true" outlineLevel="0" collapsed="false">
      <c r="A2652" s="2" t="n">
        <v>23</v>
      </c>
      <c r="B2652" s="2" t="s">
        <v>33</v>
      </c>
      <c r="C2652" s="2" t="s">
        <v>34</v>
      </c>
      <c r="D2652" s="2" t="s">
        <v>35</v>
      </c>
      <c r="E2652" s="2" t="n">
        <v>2</v>
      </c>
      <c r="F2652" s="2" t="n">
        <v>4</v>
      </c>
      <c r="G2652" s="2" t="s">
        <v>29</v>
      </c>
      <c r="H2652" s="2" t="n">
        <v>2651</v>
      </c>
      <c r="I2652" s="2" t="s">
        <v>30</v>
      </c>
      <c r="J2652" s="2" t="n">
        <v>2</v>
      </c>
      <c r="K2652" s="2" t="s">
        <v>47</v>
      </c>
      <c r="L2652" s="2" t="s">
        <v>32</v>
      </c>
      <c r="M2652" s="2" t="n">
        <v>61790</v>
      </c>
      <c r="N2652" s="2" t="n">
        <v>1</v>
      </c>
      <c r="O2652" s="2" t="n">
        <v>11</v>
      </c>
      <c r="P2652" s="2" t="n">
        <v>0</v>
      </c>
      <c r="Q2652" s="2" t="n">
        <v>1</v>
      </c>
      <c r="R2652" s="2" t="n">
        <v>3</v>
      </c>
      <c r="S2652" s="2" t="n">
        <v>1</v>
      </c>
      <c r="T2652" s="2" t="n">
        <v>1</v>
      </c>
      <c r="U2652" s="2" t="n">
        <v>0</v>
      </c>
      <c r="V2652" s="2" t="n">
        <v>4</v>
      </c>
      <c r="W2652" s="2" t="n">
        <v>1</v>
      </c>
      <c r="X2652" s="2" t="n">
        <v>2</v>
      </c>
      <c r="Y2652" s="2" t="n">
        <v>3</v>
      </c>
      <c r="Z2652" s="2" t="n">
        <v>3</v>
      </c>
    </row>
    <row r="2653" customFormat="false" ht="15" hidden="false" customHeight="true" outlineLevel="0" collapsed="false">
      <c r="A2653" s="2" t="n">
        <v>36</v>
      </c>
      <c r="B2653" s="2" t="s">
        <v>26</v>
      </c>
      <c r="C2653" s="2" t="s">
        <v>27</v>
      </c>
      <c r="D2653" s="2" t="s">
        <v>35</v>
      </c>
      <c r="E2653" s="2" t="n">
        <v>24</v>
      </c>
      <c r="F2653" s="2" t="n">
        <v>3</v>
      </c>
      <c r="G2653" s="2" t="s">
        <v>29</v>
      </c>
      <c r="H2653" s="2" t="n">
        <v>2652</v>
      </c>
      <c r="I2653" s="2" t="s">
        <v>30</v>
      </c>
      <c r="J2653" s="2" t="n">
        <v>2</v>
      </c>
      <c r="K2653" s="2" t="s">
        <v>45</v>
      </c>
      <c r="L2653" s="2" t="s">
        <v>32</v>
      </c>
      <c r="M2653" s="2" t="n">
        <v>61200</v>
      </c>
      <c r="N2653" s="2" t="n">
        <v>0</v>
      </c>
      <c r="O2653" s="2" t="n">
        <v>19</v>
      </c>
      <c r="P2653" s="2" t="n">
        <v>0</v>
      </c>
      <c r="Q2653" s="2" t="n">
        <v>10</v>
      </c>
      <c r="R2653" s="2" t="n">
        <v>2</v>
      </c>
      <c r="S2653" s="2" t="n">
        <v>9</v>
      </c>
      <c r="T2653" s="2" t="n">
        <v>3</v>
      </c>
      <c r="U2653" s="2" t="n">
        <v>4</v>
      </c>
      <c r="V2653" s="2" t="n">
        <v>1</v>
      </c>
      <c r="W2653" s="2" t="n">
        <v>4</v>
      </c>
      <c r="X2653" s="2" t="n">
        <v>3</v>
      </c>
      <c r="Y2653" s="2" t="n">
        <v>3</v>
      </c>
      <c r="Z2653" s="2" t="n">
        <v>3</v>
      </c>
    </row>
    <row r="2654" customFormat="false" ht="15" hidden="false" customHeight="true" outlineLevel="0" collapsed="false">
      <c r="A2654" s="2" t="n">
        <v>36</v>
      </c>
      <c r="B2654" s="2" t="s">
        <v>26</v>
      </c>
      <c r="C2654" s="2" t="s">
        <v>34</v>
      </c>
      <c r="D2654" s="2" t="s">
        <v>35</v>
      </c>
      <c r="E2654" s="2" t="n">
        <v>16</v>
      </c>
      <c r="F2654" s="2" t="n">
        <v>1</v>
      </c>
      <c r="G2654" s="2" t="s">
        <v>43</v>
      </c>
      <c r="H2654" s="2" t="n">
        <v>2653</v>
      </c>
      <c r="I2654" s="2" t="s">
        <v>39</v>
      </c>
      <c r="J2654" s="2" t="n">
        <v>2</v>
      </c>
      <c r="K2654" s="2" t="s">
        <v>40</v>
      </c>
      <c r="L2654" s="2" t="s">
        <v>46</v>
      </c>
      <c r="M2654" s="2" t="n">
        <v>105960</v>
      </c>
      <c r="N2654" s="2" t="n">
        <v>7</v>
      </c>
      <c r="O2654" s="2" t="n">
        <v>15</v>
      </c>
      <c r="P2654" s="2" t="n">
        <v>0</v>
      </c>
      <c r="Q2654" s="2" t="n">
        <v>18</v>
      </c>
      <c r="R2654" s="2" t="n">
        <v>3</v>
      </c>
      <c r="S2654" s="2" t="n">
        <v>4</v>
      </c>
      <c r="T2654" s="2" t="n">
        <v>0</v>
      </c>
      <c r="U2654" s="2" t="n">
        <v>2</v>
      </c>
      <c r="V2654" s="2" t="n">
        <v>4</v>
      </c>
      <c r="W2654" s="2" t="n">
        <v>2</v>
      </c>
      <c r="X2654" s="2" t="n">
        <v>3</v>
      </c>
      <c r="Y2654" s="2" t="n">
        <v>2</v>
      </c>
      <c r="Z2654" s="2" t="n">
        <v>3</v>
      </c>
    </row>
    <row r="2655" customFormat="false" ht="15" hidden="false" customHeight="true" outlineLevel="0" collapsed="false">
      <c r="A2655" s="2" t="n">
        <v>56</v>
      </c>
      <c r="B2655" s="2" t="s">
        <v>26</v>
      </c>
      <c r="C2655" s="2" t="s">
        <v>41</v>
      </c>
      <c r="D2655" s="2" t="s">
        <v>35</v>
      </c>
      <c r="E2655" s="2" t="n">
        <v>8</v>
      </c>
      <c r="F2655" s="2" t="n">
        <v>1</v>
      </c>
      <c r="G2655" s="2" t="s">
        <v>29</v>
      </c>
      <c r="H2655" s="2" t="n">
        <v>2654</v>
      </c>
      <c r="I2655" s="2" t="s">
        <v>39</v>
      </c>
      <c r="J2655" s="2" t="n">
        <v>1</v>
      </c>
      <c r="K2655" s="2" t="s">
        <v>40</v>
      </c>
      <c r="L2655" s="2" t="s">
        <v>46</v>
      </c>
      <c r="M2655" s="2" t="n">
        <v>54670</v>
      </c>
      <c r="N2655" s="2" t="n">
        <v>1</v>
      </c>
      <c r="O2655" s="2" t="n">
        <v>20</v>
      </c>
      <c r="P2655" s="2" t="n">
        <v>0</v>
      </c>
      <c r="Q2655" s="2" t="n">
        <v>13</v>
      </c>
      <c r="R2655" s="2" t="n">
        <v>6</v>
      </c>
      <c r="S2655" s="2" t="n">
        <v>13</v>
      </c>
      <c r="T2655" s="2" t="n">
        <v>1</v>
      </c>
      <c r="U2655" s="2" t="n">
        <v>9</v>
      </c>
      <c r="V2655" s="2" t="n">
        <v>3</v>
      </c>
      <c r="W2655" s="2" t="n">
        <v>3</v>
      </c>
      <c r="X2655" s="2" t="n">
        <v>2</v>
      </c>
      <c r="Y2655" s="2" t="n">
        <v>2</v>
      </c>
      <c r="Z2655" s="2" t="n">
        <v>4</v>
      </c>
    </row>
    <row r="2656" customFormat="false" ht="15" hidden="false" customHeight="true" outlineLevel="0" collapsed="false">
      <c r="A2656" s="2" t="n">
        <v>29</v>
      </c>
      <c r="B2656" s="2" t="s">
        <v>33</v>
      </c>
      <c r="C2656" s="2" t="s">
        <v>27</v>
      </c>
      <c r="D2656" s="2" t="s">
        <v>35</v>
      </c>
      <c r="E2656" s="2" t="n">
        <v>9</v>
      </c>
      <c r="F2656" s="2" t="n">
        <v>4</v>
      </c>
      <c r="G2656" s="2" t="s">
        <v>43</v>
      </c>
      <c r="H2656" s="2" t="n">
        <v>2655</v>
      </c>
      <c r="I2656" s="2" t="s">
        <v>39</v>
      </c>
      <c r="J2656" s="2" t="n">
        <v>2</v>
      </c>
      <c r="K2656" s="2" t="s">
        <v>48</v>
      </c>
      <c r="L2656" s="2" t="s">
        <v>32</v>
      </c>
      <c r="M2656" s="2" t="n">
        <v>29960</v>
      </c>
      <c r="N2656" s="2" t="n">
        <v>9</v>
      </c>
      <c r="O2656" s="2" t="n">
        <v>25</v>
      </c>
      <c r="P2656" s="2" t="n">
        <v>0</v>
      </c>
      <c r="Q2656" s="2" t="n">
        <v>4</v>
      </c>
      <c r="R2656" s="2" t="n">
        <v>4</v>
      </c>
      <c r="S2656" s="2" t="n">
        <v>2</v>
      </c>
      <c r="T2656" s="2" t="n">
        <v>2</v>
      </c>
      <c r="U2656" s="2" t="n">
        <v>2</v>
      </c>
      <c r="V2656" s="2" t="n">
        <v>1</v>
      </c>
      <c r="W2656" s="2" t="n">
        <v>4</v>
      </c>
      <c r="X2656" s="2" t="n">
        <v>4</v>
      </c>
      <c r="Y2656" s="2" t="n">
        <v>3</v>
      </c>
      <c r="Z2656" s="2" t="n">
        <v>4</v>
      </c>
    </row>
    <row r="2657" customFormat="false" ht="15" hidden="false" customHeight="true" outlineLevel="0" collapsed="false">
      <c r="A2657" s="2" t="n">
        <v>42</v>
      </c>
      <c r="B2657" s="2" t="s">
        <v>26</v>
      </c>
      <c r="C2657" s="2" t="s">
        <v>27</v>
      </c>
      <c r="D2657" s="2" t="s">
        <v>35</v>
      </c>
      <c r="E2657" s="2" t="n">
        <v>17</v>
      </c>
      <c r="F2657" s="2" t="n">
        <v>1</v>
      </c>
      <c r="G2657" s="2" t="s">
        <v>29</v>
      </c>
      <c r="H2657" s="2" t="n">
        <v>2656</v>
      </c>
      <c r="I2657" s="2" t="s">
        <v>39</v>
      </c>
      <c r="J2657" s="2" t="n">
        <v>3</v>
      </c>
      <c r="K2657" s="2" t="s">
        <v>36</v>
      </c>
      <c r="L2657" s="2" t="s">
        <v>32</v>
      </c>
      <c r="M2657" s="2" t="n">
        <v>99980</v>
      </c>
      <c r="N2657" s="2" t="n">
        <v>5</v>
      </c>
      <c r="O2657" s="2" t="n">
        <v>24</v>
      </c>
      <c r="P2657" s="2" t="n">
        <v>2</v>
      </c>
      <c r="Q2657" s="2" t="n">
        <v>24</v>
      </c>
      <c r="R2657" s="2" t="n">
        <v>3</v>
      </c>
      <c r="S2657" s="2" t="n">
        <v>22</v>
      </c>
      <c r="T2657" s="2" t="n">
        <v>4</v>
      </c>
      <c r="U2657" s="2" t="n">
        <v>14</v>
      </c>
      <c r="V2657" s="2" t="n">
        <v>1</v>
      </c>
      <c r="W2657" s="2" t="n">
        <v>3</v>
      </c>
      <c r="X2657" s="2" t="n">
        <v>2</v>
      </c>
      <c r="Y2657" s="2" t="n">
        <v>2</v>
      </c>
      <c r="Z2657" s="2" t="n">
        <v>4</v>
      </c>
    </row>
    <row r="2658" customFormat="false" ht="15" hidden="false" customHeight="true" outlineLevel="0" collapsed="false">
      <c r="A2658" s="2" t="n">
        <v>56</v>
      </c>
      <c r="B2658" s="2" t="s">
        <v>33</v>
      </c>
      <c r="C2658" s="2" t="s">
        <v>27</v>
      </c>
      <c r="D2658" s="2" t="s">
        <v>28</v>
      </c>
      <c r="E2658" s="2" t="n">
        <v>10</v>
      </c>
      <c r="F2658" s="2" t="n">
        <v>4</v>
      </c>
      <c r="G2658" s="2" t="s">
        <v>38</v>
      </c>
      <c r="H2658" s="2" t="n">
        <v>2657</v>
      </c>
      <c r="I2658" s="2" t="s">
        <v>39</v>
      </c>
      <c r="J2658" s="2" t="n">
        <v>2</v>
      </c>
      <c r="K2658" s="2" t="s">
        <v>40</v>
      </c>
      <c r="L2658" s="2" t="s">
        <v>32</v>
      </c>
      <c r="M2658" s="2" t="n">
        <v>40780</v>
      </c>
      <c r="N2658" s="2" t="n">
        <v>8</v>
      </c>
      <c r="O2658" s="2" t="n">
        <v>24</v>
      </c>
      <c r="P2658" s="2" t="n">
        <v>1</v>
      </c>
      <c r="Q2658" s="2" t="n">
        <v>14</v>
      </c>
      <c r="R2658" s="2" t="n">
        <v>3</v>
      </c>
      <c r="S2658" s="2" t="n">
        <v>10</v>
      </c>
      <c r="T2658" s="2" t="n">
        <v>9</v>
      </c>
      <c r="U2658" s="2" t="n">
        <v>8</v>
      </c>
      <c r="V2658" s="2" t="n">
        <v>4</v>
      </c>
      <c r="W2658" s="2" t="n">
        <v>3</v>
      </c>
      <c r="X2658" s="2" t="n">
        <v>1</v>
      </c>
      <c r="Y2658" s="2" t="n">
        <v>3</v>
      </c>
      <c r="Z2658" s="2" t="n">
        <v>4</v>
      </c>
    </row>
    <row r="2659" customFormat="false" ht="15" hidden="false" customHeight="true" outlineLevel="0" collapsed="false">
      <c r="A2659" s="2" t="n">
        <v>41</v>
      </c>
      <c r="B2659" s="2" t="s">
        <v>26</v>
      </c>
      <c r="C2659" s="2" t="s">
        <v>27</v>
      </c>
      <c r="D2659" s="2" t="s">
        <v>35</v>
      </c>
      <c r="E2659" s="2" t="n">
        <v>13</v>
      </c>
      <c r="F2659" s="2" t="n">
        <v>4</v>
      </c>
      <c r="G2659" s="2" t="s">
        <v>29</v>
      </c>
      <c r="H2659" s="2" t="n">
        <v>2658</v>
      </c>
      <c r="I2659" s="2" t="s">
        <v>30</v>
      </c>
      <c r="J2659" s="2" t="n">
        <v>1</v>
      </c>
      <c r="K2659" s="2" t="s">
        <v>31</v>
      </c>
      <c r="L2659" s="2" t="s">
        <v>32</v>
      </c>
      <c r="M2659" s="2" t="n">
        <v>109200</v>
      </c>
      <c r="N2659" s="2" t="n">
        <v>0</v>
      </c>
      <c r="O2659" s="2" t="n">
        <v>15</v>
      </c>
      <c r="P2659" s="2" t="n">
        <v>1</v>
      </c>
      <c r="Q2659" s="2" t="n">
        <v>21</v>
      </c>
      <c r="R2659" s="2" t="n">
        <v>3</v>
      </c>
      <c r="S2659" s="2" t="n">
        <v>20</v>
      </c>
      <c r="T2659" s="2" t="n">
        <v>0</v>
      </c>
      <c r="U2659" s="2" t="n">
        <v>10</v>
      </c>
      <c r="V2659" s="2" t="n">
        <v>1</v>
      </c>
      <c r="W2659" s="2" t="n">
        <v>2</v>
      </c>
      <c r="X2659" s="2" t="n">
        <v>3</v>
      </c>
      <c r="Y2659" s="2" t="n">
        <v>4</v>
      </c>
      <c r="Z2659" s="2" t="n">
        <v>3</v>
      </c>
    </row>
    <row r="2660" customFormat="false" ht="15" hidden="false" customHeight="true" outlineLevel="0" collapsed="false">
      <c r="A2660" s="2" t="n">
        <v>34</v>
      </c>
      <c r="B2660" s="2" t="s">
        <v>26</v>
      </c>
      <c r="C2660" s="2" t="s">
        <v>27</v>
      </c>
      <c r="D2660" s="2" t="s">
        <v>28</v>
      </c>
      <c r="E2660" s="2" t="n">
        <v>1</v>
      </c>
      <c r="F2660" s="2" t="n">
        <v>3</v>
      </c>
      <c r="G2660" s="2" t="s">
        <v>43</v>
      </c>
      <c r="H2660" s="2" t="n">
        <v>2659</v>
      </c>
      <c r="I2660" s="2" t="s">
        <v>30</v>
      </c>
      <c r="J2660" s="2" t="n">
        <v>1</v>
      </c>
      <c r="K2660" s="2" t="s">
        <v>45</v>
      </c>
      <c r="L2660" s="2" t="s">
        <v>32</v>
      </c>
      <c r="M2660" s="2" t="n">
        <v>62320</v>
      </c>
      <c r="N2660" s="2" t="n">
        <v>1</v>
      </c>
      <c r="O2660" s="2" t="n">
        <v>13</v>
      </c>
      <c r="P2660" s="2" t="n">
        <v>1</v>
      </c>
      <c r="Q2660" s="2" t="n">
        <v>8</v>
      </c>
      <c r="R2660" s="2" t="n">
        <v>3</v>
      </c>
      <c r="S2660" s="2" t="n">
        <v>8</v>
      </c>
      <c r="T2660" s="2" t="n">
        <v>1</v>
      </c>
      <c r="U2660" s="2" t="n">
        <v>7</v>
      </c>
      <c r="V2660" s="2" t="n">
        <v>4</v>
      </c>
      <c r="W2660" s="2" t="n">
        <v>3</v>
      </c>
      <c r="X2660" s="2" t="n">
        <v>3</v>
      </c>
      <c r="Y2660" s="2" t="n">
        <v>3</v>
      </c>
      <c r="Z2660" s="2" t="n">
        <v>3</v>
      </c>
    </row>
    <row r="2661" customFormat="false" ht="15" hidden="false" customHeight="true" outlineLevel="0" collapsed="false">
      <c r="A2661" s="2" t="n">
        <v>36</v>
      </c>
      <c r="B2661" s="2" t="s">
        <v>26</v>
      </c>
      <c r="C2661" s="2" t="s">
        <v>41</v>
      </c>
      <c r="D2661" s="2" t="s">
        <v>28</v>
      </c>
      <c r="E2661" s="2" t="n">
        <v>1</v>
      </c>
      <c r="F2661" s="2" t="n">
        <v>1</v>
      </c>
      <c r="G2661" s="2" t="s">
        <v>43</v>
      </c>
      <c r="H2661" s="2" t="n">
        <v>2660</v>
      </c>
      <c r="I2661" s="2" t="s">
        <v>30</v>
      </c>
      <c r="J2661" s="2" t="n">
        <v>1</v>
      </c>
      <c r="K2661" s="2" t="s">
        <v>42</v>
      </c>
      <c r="L2661" s="2" t="s">
        <v>46</v>
      </c>
      <c r="M2661" s="2" t="n">
        <v>132470</v>
      </c>
      <c r="N2661" s="2" t="n">
        <v>1</v>
      </c>
      <c r="O2661" s="2" t="n">
        <v>14</v>
      </c>
      <c r="P2661" s="2" t="n">
        <v>0</v>
      </c>
      <c r="Q2661" s="2" t="n">
        <v>15</v>
      </c>
      <c r="R2661" s="2" t="n">
        <v>3</v>
      </c>
      <c r="S2661" s="2" t="n">
        <v>15</v>
      </c>
      <c r="T2661" s="2" t="n">
        <v>11</v>
      </c>
      <c r="U2661" s="2" t="n">
        <v>11</v>
      </c>
      <c r="V2661" s="2" t="n">
        <v>4</v>
      </c>
      <c r="W2661" s="2" t="n">
        <v>4</v>
      </c>
      <c r="X2661" s="2" t="n">
        <v>2</v>
      </c>
      <c r="Y2661" s="2" t="n">
        <v>3</v>
      </c>
      <c r="Z2661" s="2" t="n">
        <v>3</v>
      </c>
    </row>
    <row r="2662" customFormat="false" ht="15" hidden="false" customHeight="true" outlineLevel="0" collapsed="false">
      <c r="A2662" s="2" t="n">
        <v>41</v>
      </c>
      <c r="B2662" s="2" t="s">
        <v>26</v>
      </c>
      <c r="C2662" s="2" t="s">
        <v>27</v>
      </c>
      <c r="D2662" s="2" t="s">
        <v>35</v>
      </c>
      <c r="E2662" s="2" t="n">
        <v>1</v>
      </c>
      <c r="F2662" s="2" t="n">
        <v>5</v>
      </c>
      <c r="G2662" s="2" t="s">
        <v>43</v>
      </c>
      <c r="H2662" s="2" t="n">
        <v>2661</v>
      </c>
      <c r="I2662" s="2" t="s">
        <v>39</v>
      </c>
      <c r="J2662" s="2" t="n">
        <v>1</v>
      </c>
      <c r="K2662" s="2" t="s">
        <v>31</v>
      </c>
      <c r="L2662" s="2" t="s">
        <v>46</v>
      </c>
      <c r="M2662" s="2" t="n">
        <v>40810</v>
      </c>
      <c r="N2662" s="2" t="n">
        <v>2</v>
      </c>
      <c r="O2662" s="2" t="n">
        <v>13</v>
      </c>
      <c r="P2662" s="2" t="n">
        <v>0</v>
      </c>
      <c r="Q2662" s="2" t="n">
        <v>14</v>
      </c>
      <c r="R2662" s="2" t="n">
        <v>3</v>
      </c>
      <c r="S2662" s="2" t="n">
        <v>5</v>
      </c>
      <c r="T2662" s="2" t="n">
        <v>0</v>
      </c>
      <c r="U2662" s="2" t="n">
        <v>4</v>
      </c>
      <c r="V2662" s="2" t="n">
        <v>3</v>
      </c>
      <c r="W2662" s="2" t="n">
        <v>2</v>
      </c>
      <c r="X2662" s="2" t="n">
        <v>3</v>
      </c>
      <c r="Y2662" s="2" t="n">
        <v>3</v>
      </c>
      <c r="Z2662" s="2" t="n">
        <v>3</v>
      </c>
    </row>
    <row r="2663" customFormat="false" ht="15" hidden="false" customHeight="true" outlineLevel="0" collapsed="false">
      <c r="A2663" s="2" t="n">
        <v>32</v>
      </c>
      <c r="B2663" s="2" t="s">
        <v>26</v>
      </c>
      <c r="C2663" s="2" t="s">
        <v>27</v>
      </c>
      <c r="D2663" s="2" t="s">
        <v>28</v>
      </c>
      <c r="E2663" s="2" t="n">
        <v>9</v>
      </c>
      <c r="F2663" s="2" t="n">
        <v>4</v>
      </c>
      <c r="G2663" s="2" t="s">
        <v>29</v>
      </c>
      <c r="H2663" s="2" t="n">
        <v>2662</v>
      </c>
      <c r="I2663" s="2" t="s">
        <v>30</v>
      </c>
      <c r="J2663" s="2" t="n">
        <v>2</v>
      </c>
      <c r="K2663" s="2" t="s">
        <v>36</v>
      </c>
      <c r="L2663" s="2" t="s">
        <v>37</v>
      </c>
      <c r="M2663" s="2" t="n">
        <v>57690</v>
      </c>
      <c r="N2663" s="2" t="n">
        <v>1</v>
      </c>
      <c r="O2663" s="2" t="n">
        <v>11</v>
      </c>
      <c r="P2663" s="2" t="n">
        <v>0</v>
      </c>
      <c r="Q2663" s="2" t="n">
        <v>4</v>
      </c>
      <c r="R2663" s="2" t="n">
        <v>3</v>
      </c>
      <c r="S2663" s="2" t="n">
        <v>4</v>
      </c>
      <c r="T2663" s="2" t="n">
        <v>1</v>
      </c>
      <c r="U2663" s="2" t="n">
        <v>2</v>
      </c>
      <c r="V2663" s="2" t="n">
        <v>4</v>
      </c>
      <c r="W2663" s="2" t="n">
        <v>1</v>
      </c>
      <c r="X2663" s="2" t="n">
        <v>3</v>
      </c>
      <c r="Y2663" s="2" t="n">
        <v>3</v>
      </c>
      <c r="Z2663" s="2" t="n">
        <v>3</v>
      </c>
    </row>
    <row r="2664" customFormat="false" ht="15" hidden="false" customHeight="true" outlineLevel="0" collapsed="false">
      <c r="A2664" s="2" t="n">
        <v>35</v>
      </c>
      <c r="B2664" s="2" t="s">
        <v>26</v>
      </c>
      <c r="C2664" s="2" t="s">
        <v>27</v>
      </c>
      <c r="D2664" s="2" t="s">
        <v>35</v>
      </c>
      <c r="E2664" s="2" t="n">
        <v>16</v>
      </c>
      <c r="F2664" s="2" t="n">
        <v>3</v>
      </c>
      <c r="G2664" s="2" t="s">
        <v>43</v>
      </c>
      <c r="H2664" s="2" t="n">
        <v>2663</v>
      </c>
      <c r="I2664" s="2" t="s">
        <v>30</v>
      </c>
      <c r="J2664" s="2" t="n">
        <v>2</v>
      </c>
      <c r="K2664" s="2" t="s">
        <v>31</v>
      </c>
      <c r="L2664" s="2" t="s">
        <v>37</v>
      </c>
      <c r="M2664" s="2" t="n">
        <v>23940</v>
      </c>
      <c r="N2664" s="2" t="n">
        <v>1</v>
      </c>
      <c r="O2664" s="2" t="n">
        <v>16</v>
      </c>
      <c r="P2664" s="2" t="n">
        <v>1</v>
      </c>
      <c r="Q2664" s="2" t="n">
        <v>9</v>
      </c>
      <c r="R2664" s="2" t="n">
        <v>3</v>
      </c>
      <c r="S2664" s="2" t="n">
        <v>9</v>
      </c>
      <c r="T2664" s="2" t="n">
        <v>1</v>
      </c>
      <c r="U2664" s="2" t="n">
        <v>7</v>
      </c>
      <c r="V2664" s="2" t="n">
        <v>3</v>
      </c>
      <c r="W2664" s="2" t="n">
        <v>4</v>
      </c>
      <c r="X2664" s="2" t="n">
        <v>3</v>
      </c>
      <c r="Y2664" s="2" t="n">
        <v>3</v>
      </c>
      <c r="Z2664" s="2" t="n">
        <v>3</v>
      </c>
    </row>
    <row r="2665" customFormat="false" ht="15" hidden="false" customHeight="true" outlineLevel="0" collapsed="false">
      <c r="A2665" s="2" t="n">
        <v>38</v>
      </c>
      <c r="B2665" s="2" t="s">
        <v>26</v>
      </c>
      <c r="C2665" s="2" t="s">
        <v>27</v>
      </c>
      <c r="D2665" s="2" t="s">
        <v>35</v>
      </c>
      <c r="E2665" s="2" t="n">
        <v>23</v>
      </c>
      <c r="F2665" s="2" t="n">
        <v>3</v>
      </c>
      <c r="G2665" s="2" t="s">
        <v>43</v>
      </c>
      <c r="H2665" s="2" t="n">
        <v>2664</v>
      </c>
      <c r="I2665" s="2" t="s">
        <v>39</v>
      </c>
      <c r="J2665" s="2" t="n">
        <v>3</v>
      </c>
      <c r="K2665" s="2" t="s">
        <v>48</v>
      </c>
      <c r="L2665" s="2" t="s">
        <v>32</v>
      </c>
      <c r="M2665" s="2" t="n">
        <v>39040</v>
      </c>
      <c r="N2665" s="2" t="n">
        <v>1</v>
      </c>
      <c r="O2665" s="2" t="n">
        <v>22</v>
      </c>
      <c r="P2665" s="2" t="n">
        <v>0</v>
      </c>
      <c r="Q2665" s="2" t="n">
        <v>10</v>
      </c>
      <c r="R2665" s="2" t="n">
        <v>3</v>
      </c>
      <c r="S2665" s="2" t="n">
        <v>10</v>
      </c>
      <c r="T2665" s="2" t="n">
        <v>1</v>
      </c>
      <c r="U2665" s="2" t="n">
        <v>9</v>
      </c>
      <c r="V2665" s="2" t="n">
        <v>1</v>
      </c>
      <c r="W2665" s="2" t="n">
        <v>4</v>
      </c>
      <c r="X2665" s="2" t="n">
        <v>3</v>
      </c>
      <c r="Y2665" s="2" t="n">
        <v>2</v>
      </c>
      <c r="Z2665" s="2" t="n">
        <v>4</v>
      </c>
    </row>
    <row r="2666" customFormat="false" ht="15" hidden="false" customHeight="true" outlineLevel="0" collapsed="false">
      <c r="A2666" s="2" t="n">
        <v>50</v>
      </c>
      <c r="B2666" s="2" t="s">
        <v>33</v>
      </c>
      <c r="C2666" s="2" t="s">
        <v>34</v>
      </c>
      <c r="D2666" s="2" t="s">
        <v>28</v>
      </c>
      <c r="E2666" s="2" t="n">
        <v>4</v>
      </c>
      <c r="F2666" s="2" t="n">
        <v>2</v>
      </c>
      <c r="G2666" s="2" t="s">
        <v>29</v>
      </c>
      <c r="H2666" s="2" t="n">
        <v>2665</v>
      </c>
      <c r="I2666" s="2" t="s">
        <v>30</v>
      </c>
      <c r="J2666" s="2" t="n">
        <v>2</v>
      </c>
      <c r="K2666" s="2" t="s">
        <v>45</v>
      </c>
      <c r="L2666" s="2" t="s">
        <v>46</v>
      </c>
      <c r="M2666" s="2" t="n">
        <v>167990</v>
      </c>
      <c r="N2666" s="2" t="n">
        <v>7</v>
      </c>
      <c r="O2666" s="2" t="n">
        <v>14</v>
      </c>
      <c r="P2666" s="2" t="n">
        <v>1</v>
      </c>
      <c r="Q2666" s="2" t="n">
        <v>12</v>
      </c>
      <c r="R2666" s="2" t="n">
        <v>2</v>
      </c>
      <c r="S2666" s="2" t="n">
        <v>6</v>
      </c>
      <c r="T2666" s="2" t="n">
        <v>0</v>
      </c>
      <c r="U2666" s="2" t="n">
        <v>1</v>
      </c>
      <c r="V2666" s="2" t="n">
        <v>2</v>
      </c>
      <c r="W2666" s="2" t="n">
        <v>3</v>
      </c>
      <c r="X2666" s="2" t="n">
        <v>3</v>
      </c>
      <c r="Y2666" s="2" t="n">
        <v>2</v>
      </c>
      <c r="Z2666" s="2" t="n">
        <v>3</v>
      </c>
    </row>
    <row r="2667" customFormat="false" ht="15" hidden="false" customHeight="true" outlineLevel="0" collapsed="false">
      <c r="A2667" s="2" t="n">
        <v>36</v>
      </c>
      <c r="B2667" s="2" t="s">
        <v>26</v>
      </c>
      <c r="C2667" s="2" t="s">
        <v>27</v>
      </c>
      <c r="D2667" s="2" t="s">
        <v>35</v>
      </c>
      <c r="E2667" s="2" t="n">
        <v>22</v>
      </c>
      <c r="F2667" s="2" t="n">
        <v>4</v>
      </c>
      <c r="G2667" s="2" t="s">
        <v>29</v>
      </c>
      <c r="H2667" s="2" t="n">
        <v>2666</v>
      </c>
      <c r="I2667" s="2" t="s">
        <v>39</v>
      </c>
      <c r="J2667" s="2" t="n">
        <v>1</v>
      </c>
      <c r="K2667" s="2" t="s">
        <v>31</v>
      </c>
      <c r="L2667" s="2" t="s">
        <v>32</v>
      </c>
      <c r="M2667" s="2" t="n">
        <v>29500</v>
      </c>
      <c r="N2667" s="2" t="n">
        <v>4</v>
      </c>
      <c r="O2667" s="2" t="n">
        <v>14</v>
      </c>
      <c r="P2667" s="2" t="n">
        <v>0</v>
      </c>
      <c r="Q2667" s="2" t="n">
        <v>8</v>
      </c>
      <c r="R2667" s="2" t="n">
        <v>1</v>
      </c>
      <c r="S2667" s="2" t="n">
        <v>6</v>
      </c>
      <c r="T2667" s="2" t="n">
        <v>0</v>
      </c>
      <c r="U2667" s="2" t="n">
        <v>0</v>
      </c>
      <c r="V2667" s="2" t="n">
        <v>2</v>
      </c>
      <c r="W2667" s="2" t="n">
        <v>4</v>
      </c>
      <c r="X2667" s="2" t="n">
        <v>2</v>
      </c>
      <c r="Y2667" s="2" t="n">
        <v>2</v>
      </c>
      <c r="Z2667" s="2" t="n">
        <v>3</v>
      </c>
    </row>
    <row r="2668" customFormat="false" ht="15" hidden="false" customHeight="true" outlineLevel="0" collapsed="false">
      <c r="A2668" s="2" t="n">
        <v>45</v>
      </c>
      <c r="B2668" s="2" t="s">
        <v>26</v>
      </c>
      <c r="C2668" s="2" t="s">
        <v>27</v>
      </c>
      <c r="D2668" s="2" t="s">
        <v>28</v>
      </c>
      <c r="E2668" s="2" t="n">
        <v>24</v>
      </c>
      <c r="F2668" s="2" t="n">
        <v>3</v>
      </c>
      <c r="G2668" s="2" t="s">
        <v>29</v>
      </c>
      <c r="H2668" s="2" t="n">
        <v>2667</v>
      </c>
      <c r="I2668" s="2" t="s">
        <v>39</v>
      </c>
      <c r="J2668" s="2" t="n">
        <v>1</v>
      </c>
      <c r="K2668" s="2" t="s">
        <v>45</v>
      </c>
      <c r="L2668" s="2" t="s">
        <v>37</v>
      </c>
      <c r="M2668" s="2" t="n">
        <v>36290</v>
      </c>
      <c r="N2668" s="2" t="n">
        <v>8</v>
      </c>
      <c r="O2668" s="2" t="n">
        <v>16</v>
      </c>
      <c r="P2668" s="2" t="n">
        <v>1</v>
      </c>
      <c r="Q2668" s="2" t="n">
        <v>8</v>
      </c>
      <c r="R2668" s="2" t="n">
        <v>2</v>
      </c>
      <c r="S2668" s="2" t="n">
        <v>5</v>
      </c>
      <c r="T2668" s="2" t="n">
        <v>0</v>
      </c>
      <c r="U2668" s="2" t="n">
        <v>1</v>
      </c>
      <c r="V2668" s="2" t="n">
        <v>4</v>
      </c>
      <c r="W2668" s="2" t="n">
        <v>3</v>
      </c>
      <c r="X2668" s="2" t="n">
        <v>3</v>
      </c>
      <c r="Y2668" s="2" t="n">
        <v>4</v>
      </c>
      <c r="Z2668" s="2" t="n">
        <v>3</v>
      </c>
    </row>
    <row r="2669" customFormat="false" ht="15" hidden="false" customHeight="true" outlineLevel="0" collapsed="false">
      <c r="A2669" s="2" t="n">
        <v>40</v>
      </c>
      <c r="B2669" s="2" t="s">
        <v>26</v>
      </c>
      <c r="C2669" s="2" t="s">
        <v>27</v>
      </c>
      <c r="D2669" s="2" t="s">
        <v>28</v>
      </c>
      <c r="E2669" s="2" t="n">
        <v>10</v>
      </c>
      <c r="F2669" s="2" t="n">
        <v>4</v>
      </c>
      <c r="G2669" s="2" t="s">
        <v>29</v>
      </c>
      <c r="H2669" s="2" t="n">
        <v>2668</v>
      </c>
      <c r="I2669" s="2" t="s">
        <v>39</v>
      </c>
      <c r="J2669" s="2" t="n">
        <v>1</v>
      </c>
      <c r="K2669" s="2" t="s">
        <v>36</v>
      </c>
      <c r="L2669" s="2" t="s">
        <v>37</v>
      </c>
      <c r="M2669" s="2" t="n">
        <v>93620</v>
      </c>
      <c r="N2669" s="2" t="n">
        <v>2</v>
      </c>
      <c r="O2669" s="2" t="n">
        <v>11</v>
      </c>
      <c r="P2669" s="2" t="n">
        <v>1</v>
      </c>
      <c r="Q2669" s="2" t="n">
        <v>8</v>
      </c>
      <c r="R2669" s="2" t="n">
        <v>6</v>
      </c>
      <c r="S2669" s="2" t="n">
        <v>2</v>
      </c>
      <c r="T2669" s="2" t="n">
        <v>2</v>
      </c>
      <c r="U2669" s="2" t="n">
        <v>2</v>
      </c>
      <c r="V2669" s="2" t="n">
        <v>3</v>
      </c>
      <c r="W2669" s="2" t="n">
        <v>3</v>
      </c>
      <c r="X2669" s="2" t="n">
        <v>3</v>
      </c>
      <c r="Y2669" s="2" t="n">
        <v>3</v>
      </c>
      <c r="Z2669" s="2" t="n">
        <v>3</v>
      </c>
    </row>
    <row r="2670" customFormat="false" ht="15" hidden="false" customHeight="true" outlineLevel="0" collapsed="false">
      <c r="A2670" s="2" t="n">
        <v>35</v>
      </c>
      <c r="B2670" s="2" t="s">
        <v>26</v>
      </c>
      <c r="C2670" s="2" t="s">
        <v>34</v>
      </c>
      <c r="D2670" s="2" t="s">
        <v>28</v>
      </c>
      <c r="E2670" s="2" t="n">
        <v>7</v>
      </c>
      <c r="F2670" s="2" t="n">
        <v>2</v>
      </c>
      <c r="G2670" s="2" t="s">
        <v>29</v>
      </c>
      <c r="H2670" s="2" t="n">
        <v>2669</v>
      </c>
      <c r="I2670" s="2" t="s">
        <v>39</v>
      </c>
      <c r="J2670" s="2" t="n">
        <v>2</v>
      </c>
      <c r="K2670" s="2" t="s">
        <v>47</v>
      </c>
      <c r="L2670" s="2" t="s">
        <v>32</v>
      </c>
      <c r="M2670" s="2" t="n">
        <v>32290</v>
      </c>
      <c r="N2670" s="2" t="n">
        <v>1</v>
      </c>
      <c r="O2670" s="2" t="n">
        <v>25</v>
      </c>
      <c r="P2670" s="2" t="n">
        <v>0</v>
      </c>
      <c r="Q2670" s="2" t="n">
        <v>10</v>
      </c>
      <c r="R2670" s="2" t="n">
        <v>2</v>
      </c>
      <c r="S2670" s="2" t="n">
        <v>10</v>
      </c>
      <c r="T2670" s="2" t="n">
        <v>0</v>
      </c>
      <c r="U2670" s="2" t="n">
        <v>2</v>
      </c>
      <c r="V2670" s="2" t="n">
        <v>3</v>
      </c>
      <c r="W2670" s="2" t="n">
        <v>3</v>
      </c>
      <c r="X2670" s="2" t="n">
        <v>4</v>
      </c>
      <c r="Y2670" s="2" t="n">
        <v>2</v>
      </c>
      <c r="Z2670" s="2" t="n">
        <v>4</v>
      </c>
    </row>
    <row r="2671" customFormat="false" ht="15" hidden="false" customHeight="true" outlineLevel="0" collapsed="false">
      <c r="A2671" s="2" t="n">
        <v>40</v>
      </c>
      <c r="B2671" s="2" t="s">
        <v>26</v>
      </c>
      <c r="C2671" s="2" t="s">
        <v>27</v>
      </c>
      <c r="D2671" s="2" t="s">
        <v>35</v>
      </c>
      <c r="E2671" s="2" t="n">
        <v>17</v>
      </c>
      <c r="F2671" s="2" t="n">
        <v>4</v>
      </c>
      <c r="G2671" s="2" t="s">
        <v>29</v>
      </c>
      <c r="H2671" s="2" t="n">
        <v>2670</v>
      </c>
      <c r="I2671" s="2" t="s">
        <v>39</v>
      </c>
      <c r="J2671" s="2" t="n">
        <v>1</v>
      </c>
      <c r="K2671" s="2" t="s">
        <v>49</v>
      </c>
      <c r="L2671" s="2" t="s">
        <v>32</v>
      </c>
      <c r="M2671" s="2" t="n">
        <v>35780</v>
      </c>
      <c r="N2671" s="2" t="n">
        <v>2</v>
      </c>
      <c r="O2671" s="2" t="n">
        <v>14</v>
      </c>
      <c r="P2671" s="2" t="n">
        <v>1</v>
      </c>
      <c r="Q2671" s="2" t="n">
        <v>20</v>
      </c>
      <c r="R2671" s="2" t="n">
        <v>2</v>
      </c>
      <c r="S2671" s="2" t="n">
        <v>5</v>
      </c>
      <c r="T2671" s="2" t="n">
        <v>0</v>
      </c>
      <c r="U2671" s="2" t="n">
        <v>2</v>
      </c>
      <c r="V2671" s="2" t="n">
        <v>3</v>
      </c>
      <c r="W2671" s="2" t="n">
        <v>3</v>
      </c>
      <c r="X2671" s="2" t="n">
        <v>3</v>
      </c>
      <c r="Y2671" s="2" t="n">
        <v>3</v>
      </c>
      <c r="Z2671" s="2" t="n">
        <v>3</v>
      </c>
    </row>
    <row r="2672" customFormat="false" ht="15" hidden="false" customHeight="true" outlineLevel="0" collapsed="false">
      <c r="A2672" s="2" t="n">
        <v>35</v>
      </c>
      <c r="B2672" s="2" t="s">
        <v>26</v>
      </c>
      <c r="C2672" s="2" t="s">
        <v>27</v>
      </c>
      <c r="D2672" s="2" t="s">
        <v>42</v>
      </c>
      <c r="E2672" s="2" t="n">
        <v>14</v>
      </c>
      <c r="F2672" s="2" t="n">
        <v>1</v>
      </c>
      <c r="G2672" s="2" t="s">
        <v>29</v>
      </c>
      <c r="H2672" s="2" t="n">
        <v>2671</v>
      </c>
      <c r="I2672" s="2" t="s">
        <v>39</v>
      </c>
      <c r="J2672" s="2" t="n">
        <v>2</v>
      </c>
      <c r="K2672" s="2" t="s">
        <v>36</v>
      </c>
      <c r="L2672" s="2" t="s">
        <v>32</v>
      </c>
      <c r="M2672" s="2" t="n">
        <v>79880</v>
      </c>
      <c r="N2672" s="2" t="n">
        <v>1</v>
      </c>
      <c r="O2672" s="2" t="n">
        <v>18</v>
      </c>
      <c r="P2672" s="2" t="n">
        <v>0</v>
      </c>
      <c r="Q2672" s="2" t="n">
        <v>4</v>
      </c>
      <c r="R2672" s="2" t="n">
        <v>3</v>
      </c>
      <c r="S2672" s="2" t="n">
        <v>4</v>
      </c>
      <c r="T2672" s="2" t="n">
        <v>1</v>
      </c>
      <c r="U2672" s="2" t="n">
        <v>1</v>
      </c>
      <c r="V2672" s="2" t="n">
        <v>3</v>
      </c>
      <c r="W2672" s="2" t="n">
        <v>4</v>
      </c>
      <c r="X2672" s="2" t="n">
        <v>3</v>
      </c>
      <c r="Y2672" s="2" t="n">
        <v>3</v>
      </c>
      <c r="Z2672" s="2" t="n">
        <v>3</v>
      </c>
    </row>
    <row r="2673" customFormat="false" ht="15" hidden="false" customHeight="true" outlineLevel="0" collapsed="false">
      <c r="A2673" s="2" t="n">
        <v>29</v>
      </c>
      <c r="B2673" s="2" t="s">
        <v>26</v>
      </c>
      <c r="C2673" s="2" t="s">
        <v>27</v>
      </c>
      <c r="D2673" s="2" t="s">
        <v>35</v>
      </c>
      <c r="E2673" s="2" t="n">
        <v>1</v>
      </c>
      <c r="F2673" s="2" t="n">
        <v>3</v>
      </c>
      <c r="G2673" s="2" t="s">
        <v>43</v>
      </c>
      <c r="H2673" s="2" t="n">
        <v>2672</v>
      </c>
      <c r="I2673" s="2" t="s">
        <v>39</v>
      </c>
      <c r="J2673" s="2" t="n">
        <v>3</v>
      </c>
      <c r="K2673" s="2" t="s">
        <v>40</v>
      </c>
      <c r="L2673" s="2" t="s">
        <v>32</v>
      </c>
      <c r="M2673" s="2" t="n">
        <v>42840</v>
      </c>
      <c r="N2673" s="2" t="n">
        <v>4</v>
      </c>
      <c r="O2673" s="2" t="n">
        <v>11</v>
      </c>
      <c r="P2673" s="2" t="n">
        <v>0</v>
      </c>
      <c r="Q2673" s="2" t="n">
        <v>10</v>
      </c>
      <c r="R2673" s="2" t="n">
        <v>5</v>
      </c>
      <c r="S2673" s="2" t="n">
        <v>4</v>
      </c>
      <c r="T2673" s="2" t="n">
        <v>0</v>
      </c>
      <c r="U2673" s="2" t="n">
        <v>3</v>
      </c>
      <c r="V2673" s="2" t="n">
        <v>4</v>
      </c>
      <c r="W2673" s="2" t="n">
        <v>2</v>
      </c>
      <c r="X2673" s="2" t="n">
        <v>3</v>
      </c>
      <c r="Y2673" s="2" t="n">
        <v>2</v>
      </c>
      <c r="Z2673" s="2" t="n">
        <v>3</v>
      </c>
    </row>
    <row r="2674" customFormat="false" ht="15" hidden="false" customHeight="true" outlineLevel="0" collapsed="false">
      <c r="A2674" s="2" t="n">
        <v>29</v>
      </c>
      <c r="B2674" s="2" t="s">
        <v>26</v>
      </c>
      <c r="C2674" s="2" t="s">
        <v>27</v>
      </c>
      <c r="D2674" s="2" t="s">
        <v>35</v>
      </c>
      <c r="E2674" s="2" t="n">
        <v>5</v>
      </c>
      <c r="F2674" s="2" t="n">
        <v>3</v>
      </c>
      <c r="G2674" s="2" t="s">
        <v>43</v>
      </c>
      <c r="H2674" s="2" t="n">
        <v>2673</v>
      </c>
      <c r="I2674" s="2" t="s">
        <v>39</v>
      </c>
      <c r="J2674" s="2" t="n">
        <v>2</v>
      </c>
      <c r="K2674" s="2" t="s">
        <v>48</v>
      </c>
      <c r="L2674" s="2" t="s">
        <v>37</v>
      </c>
      <c r="M2674" s="2" t="n">
        <v>75530</v>
      </c>
      <c r="N2674" s="2" t="n">
        <v>1</v>
      </c>
      <c r="O2674" s="2" t="n">
        <v>19</v>
      </c>
      <c r="P2674" s="2" t="n">
        <v>0</v>
      </c>
      <c r="Q2674" s="2" t="n">
        <v>5</v>
      </c>
      <c r="R2674" s="2" t="n">
        <v>3</v>
      </c>
      <c r="S2674" s="2" t="n">
        <v>5</v>
      </c>
      <c r="T2674" s="2" t="n">
        <v>0</v>
      </c>
      <c r="U2674" s="2" t="n">
        <v>4</v>
      </c>
      <c r="V2674" s="2" t="n">
        <v>4</v>
      </c>
      <c r="W2674" s="2" t="n">
        <v>1</v>
      </c>
      <c r="X2674" s="2" t="n">
        <v>1</v>
      </c>
      <c r="Y2674" s="2" t="n">
        <v>3</v>
      </c>
      <c r="Z2674" s="2" t="n">
        <v>3</v>
      </c>
    </row>
    <row r="2675" customFormat="false" ht="15" hidden="false" customHeight="true" outlineLevel="0" collapsed="false">
      <c r="A2675" s="2" t="n">
        <v>50</v>
      </c>
      <c r="B2675" s="2" t="s">
        <v>33</v>
      </c>
      <c r="C2675" s="2" t="s">
        <v>27</v>
      </c>
      <c r="D2675" s="2" t="s">
        <v>35</v>
      </c>
      <c r="E2675" s="2" t="n">
        <v>17</v>
      </c>
      <c r="F2675" s="2" t="n">
        <v>3</v>
      </c>
      <c r="G2675" s="2" t="s">
        <v>43</v>
      </c>
      <c r="H2675" s="2" t="n">
        <v>2674</v>
      </c>
      <c r="I2675" s="2" t="s">
        <v>39</v>
      </c>
      <c r="J2675" s="2" t="n">
        <v>1</v>
      </c>
      <c r="K2675" s="2" t="s">
        <v>36</v>
      </c>
      <c r="L2675" s="2" t="s">
        <v>46</v>
      </c>
      <c r="M2675" s="2" t="n">
        <v>173280</v>
      </c>
      <c r="N2675" s="2" t="n">
        <v>4</v>
      </c>
      <c r="O2675" s="2" t="n">
        <v>15</v>
      </c>
      <c r="P2675" s="2" t="n">
        <v>2</v>
      </c>
      <c r="Q2675" s="2" t="n">
        <v>20</v>
      </c>
      <c r="R2675" s="2" t="n">
        <v>1</v>
      </c>
      <c r="S2675" s="2" t="n">
        <v>3</v>
      </c>
      <c r="T2675" s="2" t="n">
        <v>2</v>
      </c>
      <c r="U2675" s="2" t="n">
        <v>0</v>
      </c>
      <c r="V2675" s="2" t="n">
        <v>4</v>
      </c>
      <c r="W2675" s="2" t="n">
        <v>1</v>
      </c>
      <c r="X2675" s="2" t="n">
        <v>3</v>
      </c>
      <c r="Y2675" s="2" t="n">
        <v>3</v>
      </c>
      <c r="Z2675" s="2" t="n">
        <v>3</v>
      </c>
    </row>
    <row r="2676" customFormat="false" ht="15" hidden="false" customHeight="true" outlineLevel="0" collapsed="false">
      <c r="A2676" s="2" t="n">
        <v>39</v>
      </c>
      <c r="B2676" s="2" t="s">
        <v>26</v>
      </c>
      <c r="C2676" s="2" t="s">
        <v>27</v>
      </c>
      <c r="D2676" s="2" t="s">
        <v>28</v>
      </c>
      <c r="E2676" s="2" t="n">
        <v>25</v>
      </c>
      <c r="F2676" s="2" t="n">
        <v>3</v>
      </c>
      <c r="G2676" s="2" t="s">
        <v>43</v>
      </c>
      <c r="H2676" s="2" t="n">
        <v>2675</v>
      </c>
      <c r="I2676" s="2" t="s">
        <v>39</v>
      </c>
      <c r="J2676" s="2" t="n">
        <v>2</v>
      </c>
      <c r="K2676" s="2" t="s">
        <v>40</v>
      </c>
      <c r="L2676" s="2" t="s">
        <v>32</v>
      </c>
      <c r="M2676" s="2" t="n">
        <v>197010</v>
      </c>
      <c r="N2676" s="2" t="n">
        <v>0</v>
      </c>
      <c r="O2676" s="2" t="n">
        <v>11</v>
      </c>
      <c r="P2676" s="2" t="n">
        <v>0</v>
      </c>
      <c r="Q2676" s="2" t="n">
        <v>21</v>
      </c>
      <c r="R2676" s="2" t="n">
        <v>3</v>
      </c>
      <c r="S2676" s="2" t="n">
        <v>20</v>
      </c>
      <c r="T2676" s="2" t="n">
        <v>9</v>
      </c>
      <c r="U2676" s="2" t="n">
        <v>6</v>
      </c>
      <c r="V2676" s="2" t="n">
        <v>2</v>
      </c>
      <c r="W2676" s="2" t="n">
        <v>4</v>
      </c>
      <c r="X2676" s="2" t="n">
        <v>2</v>
      </c>
      <c r="Y2676" s="2" t="n">
        <v>4</v>
      </c>
      <c r="Z2676" s="2" t="n">
        <v>3</v>
      </c>
    </row>
    <row r="2677" customFormat="false" ht="15" hidden="false" customHeight="true" outlineLevel="0" collapsed="false">
      <c r="A2677" s="2" t="n">
        <v>31</v>
      </c>
      <c r="B2677" s="2" t="s">
        <v>26</v>
      </c>
      <c r="C2677" s="2" t="s">
        <v>41</v>
      </c>
      <c r="D2677" s="2" t="s">
        <v>35</v>
      </c>
      <c r="E2677" s="2" t="n">
        <v>8</v>
      </c>
      <c r="F2677" s="2" t="n">
        <v>4</v>
      </c>
      <c r="G2677" s="2" t="s">
        <v>29</v>
      </c>
      <c r="H2677" s="2" t="n">
        <v>2676</v>
      </c>
      <c r="I2677" s="2" t="s">
        <v>30</v>
      </c>
      <c r="J2677" s="2" t="n">
        <v>4</v>
      </c>
      <c r="K2677" s="2" t="s">
        <v>40</v>
      </c>
      <c r="L2677" s="2" t="s">
        <v>37</v>
      </c>
      <c r="M2677" s="2" t="n">
        <v>147320</v>
      </c>
      <c r="N2677" s="2" t="n">
        <v>0</v>
      </c>
      <c r="O2677" s="2" t="n">
        <v>12</v>
      </c>
      <c r="P2677" s="2" t="n">
        <v>0</v>
      </c>
      <c r="Q2677" s="2" t="n">
        <v>10</v>
      </c>
      <c r="R2677" s="2" t="n">
        <v>3</v>
      </c>
      <c r="S2677" s="2" t="n">
        <v>9</v>
      </c>
      <c r="T2677" s="2" t="n">
        <v>1</v>
      </c>
      <c r="U2677" s="2" t="n">
        <v>7</v>
      </c>
      <c r="V2677" s="2" t="n">
        <v>2</v>
      </c>
      <c r="W2677" s="2" t="n">
        <v>1</v>
      </c>
      <c r="X2677" s="2" t="n">
        <v>3</v>
      </c>
      <c r="Y2677" s="2" t="n">
        <v>3</v>
      </c>
      <c r="Z2677" s="2" t="n">
        <v>3</v>
      </c>
    </row>
    <row r="2678" customFormat="false" ht="15" hidden="false" customHeight="true" outlineLevel="0" collapsed="false">
      <c r="A2678" s="2" t="n">
        <v>26</v>
      </c>
      <c r="B2678" s="2" t="s">
        <v>26</v>
      </c>
      <c r="C2678" s="2" t="s">
        <v>27</v>
      </c>
      <c r="D2678" s="2" t="s">
        <v>35</v>
      </c>
      <c r="E2678" s="2" t="n">
        <v>11</v>
      </c>
      <c r="F2678" s="2" t="n">
        <v>4</v>
      </c>
      <c r="G2678" s="2" t="s">
        <v>43</v>
      </c>
      <c r="H2678" s="2" t="n">
        <v>2677</v>
      </c>
      <c r="I2678" s="2" t="s">
        <v>39</v>
      </c>
      <c r="J2678" s="2" t="n">
        <v>2</v>
      </c>
      <c r="K2678" s="2" t="s">
        <v>49</v>
      </c>
      <c r="L2678" s="2" t="s">
        <v>37</v>
      </c>
      <c r="M2678" s="2" t="n">
        <v>92780</v>
      </c>
      <c r="N2678" s="2" t="n">
        <v>0</v>
      </c>
      <c r="O2678" s="2" t="n">
        <v>20</v>
      </c>
      <c r="P2678" s="2" t="n">
        <v>0</v>
      </c>
      <c r="Q2678" s="2" t="n">
        <v>5</v>
      </c>
      <c r="R2678" s="2" t="n">
        <v>3</v>
      </c>
      <c r="S2678" s="2" t="n">
        <v>4</v>
      </c>
      <c r="T2678" s="2" t="n">
        <v>0</v>
      </c>
      <c r="U2678" s="2" t="n">
        <v>0</v>
      </c>
      <c r="V2678" s="2" t="n">
        <v>4</v>
      </c>
      <c r="W2678" s="2" t="n">
        <v>3</v>
      </c>
      <c r="X2678" s="2" t="n">
        <v>3</v>
      </c>
      <c r="Y2678" s="2" t="n">
        <v>3</v>
      </c>
      <c r="Z2678" s="2" t="n">
        <v>4</v>
      </c>
    </row>
    <row r="2679" customFormat="false" ht="15" hidden="false" customHeight="true" outlineLevel="0" collapsed="false">
      <c r="A2679" s="2" t="n">
        <v>36</v>
      </c>
      <c r="B2679" s="2" t="s">
        <v>26</v>
      </c>
      <c r="C2679" s="2" t="s">
        <v>34</v>
      </c>
      <c r="D2679" s="2" t="s">
        <v>35</v>
      </c>
      <c r="E2679" s="2" t="n">
        <v>5</v>
      </c>
      <c r="F2679" s="2" t="n">
        <v>1</v>
      </c>
      <c r="G2679" s="2" t="s">
        <v>51</v>
      </c>
      <c r="H2679" s="2" t="n">
        <v>2678</v>
      </c>
      <c r="I2679" s="2" t="s">
        <v>39</v>
      </c>
      <c r="J2679" s="2" t="n">
        <v>1</v>
      </c>
      <c r="K2679" s="2" t="s">
        <v>40</v>
      </c>
      <c r="L2679" s="2" t="s">
        <v>32</v>
      </c>
      <c r="M2679" s="2" t="n">
        <v>13590</v>
      </c>
      <c r="N2679" s="2" t="n">
        <v>4</v>
      </c>
      <c r="O2679" s="2" t="n">
        <v>12</v>
      </c>
      <c r="P2679" s="2" t="n">
        <v>0</v>
      </c>
      <c r="Q2679" s="2" t="n">
        <v>17</v>
      </c>
      <c r="R2679" s="2" t="n">
        <v>2</v>
      </c>
      <c r="S2679" s="2" t="n">
        <v>5</v>
      </c>
      <c r="T2679" s="2" t="n">
        <v>0</v>
      </c>
      <c r="U2679" s="2" t="n">
        <v>3</v>
      </c>
      <c r="V2679" s="2" t="n">
        <v>3</v>
      </c>
      <c r="W2679" s="2" t="n">
        <v>4</v>
      </c>
      <c r="X2679" s="2" t="n">
        <v>3</v>
      </c>
      <c r="Y2679" s="2" t="n">
        <v>3</v>
      </c>
      <c r="Z2679" s="2" t="n">
        <v>3</v>
      </c>
    </row>
    <row r="2680" customFormat="false" ht="15" hidden="false" customHeight="true" outlineLevel="0" collapsed="false">
      <c r="A2680" s="2" t="n">
        <v>39</v>
      </c>
      <c r="B2680" s="2" t="s">
        <v>26</v>
      </c>
      <c r="C2680" s="2" t="s">
        <v>27</v>
      </c>
      <c r="D2680" s="2" t="s">
        <v>35</v>
      </c>
      <c r="E2680" s="2" t="n">
        <v>2</v>
      </c>
      <c r="F2680" s="2" t="n">
        <v>1</v>
      </c>
      <c r="G2680" s="2" t="s">
        <v>43</v>
      </c>
      <c r="H2680" s="2" t="n">
        <v>2679</v>
      </c>
      <c r="I2680" s="2" t="s">
        <v>30</v>
      </c>
      <c r="J2680" s="2" t="n">
        <v>1</v>
      </c>
      <c r="K2680" s="2" t="s">
        <v>36</v>
      </c>
      <c r="L2680" s="2" t="s">
        <v>32</v>
      </c>
      <c r="M2680" s="2" t="n">
        <v>47790</v>
      </c>
      <c r="N2680" s="2" t="n">
        <v>4</v>
      </c>
      <c r="O2680" s="2" t="n">
        <v>14</v>
      </c>
      <c r="P2680" s="2" t="n">
        <v>2</v>
      </c>
      <c r="Q2680" s="2" t="n">
        <v>9</v>
      </c>
      <c r="R2680" s="2" t="n">
        <v>3</v>
      </c>
      <c r="S2680" s="2" t="n">
        <v>7</v>
      </c>
      <c r="T2680" s="2" t="n">
        <v>1</v>
      </c>
      <c r="U2680" s="2" t="n">
        <v>7</v>
      </c>
      <c r="V2680" s="2" t="n">
        <v>4</v>
      </c>
      <c r="W2680" s="2" t="n">
        <v>1</v>
      </c>
      <c r="X2680" s="2" t="n">
        <v>3</v>
      </c>
      <c r="Y2680" s="2" t="n">
        <v>3</v>
      </c>
      <c r="Z2680" s="2" t="n">
        <v>3</v>
      </c>
    </row>
    <row r="2681" customFormat="false" ht="15" hidden="false" customHeight="true" outlineLevel="0" collapsed="false">
      <c r="A2681" s="2" t="n">
        <v>27</v>
      </c>
      <c r="B2681" s="2" t="s">
        <v>26</v>
      </c>
      <c r="C2681" s="2" t="s">
        <v>27</v>
      </c>
      <c r="D2681" s="2" t="s">
        <v>35</v>
      </c>
      <c r="E2681" s="2" t="n">
        <v>8</v>
      </c>
      <c r="F2681" s="2" t="n">
        <v>2</v>
      </c>
      <c r="G2681" s="2" t="s">
        <v>43</v>
      </c>
      <c r="H2681" s="2" t="n">
        <v>2680</v>
      </c>
      <c r="I2681" s="2" t="s">
        <v>39</v>
      </c>
      <c r="J2681" s="2" t="n">
        <v>1</v>
      </c>
      <c r="K2681" s="2" t="s">
        <v>45</v>
      </c>
      <c r="L2681" s="2" t="s">
        <v>32</v>
      </c>
      <c r="M2681" s="2" t="n">
        <v>164220</v>
      </c>
      <c r="N2681" s="2" t="n">
        <v>1</v>
      </c>
      <c r="O2681" s="2" t="n">
        <v>20</v>
      </c>
      <c r="P2681" s="2" t="n">
        <v>1</v>
      </c>
      <c r="Q2681" s="2" t="n">
        <v>6</v>
      </c>
      <c r="R2681" s="2" t="n">
        <v>3</v>
      </c>
      <c r="S2681" s="2" t="n">
        <v>6</v>
      </c>
      <c r="T2681" s="2" t="n">
        <v>0</v>
      </c>
      <c r="U2681" s="2" t="n">
        <v>3</v>
      </c>
      <c r="V2681" s="2" t="n">
        <v>2</v>
      </c>
      <c r="W2681" s="2" t="n">
        <v>2</v>
      </c>
      <c r="X2681" s="2" t="n">
        <v>3</v>
      </c>
      <c r="Y2681" s="2" t="n">
        <v>3</v>
      </c>
      <c r="Z2681" s="2" t="n">
        <v>4</v>
      </c>
    </row>
    <row r="2682" customFormat="false" ht="15" hidden="false" customHeight="true" outlineLevel="0" collapsed="false">
      <c r="A2682" s="2" t="n">
        <v>49</v>
      </c>
      <c r="B2682" s="2" t="s">
        <v>26</v>
      </c>
      <c r="C2682" s="2" t="s">
        <v>34</v>
      </c>
      <c r="D2682" s="2" t="s">
        <v>35</v>
      </c>
      <c r="E2682" s="2" t="n">
        <v>6</v>
      </c>
      <c r="F2682" s="2" t="n">
        <v>1</v>
      </c>
      <c r="G2682" s="2" t="s">
        <v>43</v>
      </c>
      <c r="H2682" s="2" t="n">
        <v>2681</v>
      </c>
      <c r="I2682" s="2" t="s">
        <v>39</v>
      </c>
      <c r="J2682" s="2" t="n">
        <v>3</v>
      </c>
      <c r="K2682" s="2" t="s">
        <v>31</v>
      </c>
      <c r="L2682" s="2" t="s">
        <v>32</v>
      </c>
      <c r="M2682" s="2" t="n">
        <v>29960</v>
      </c>
      <c r="N2682" s="2" t="n">
        <v>2</v>
      </c>
      <c r="O2682" s="2" t="n">
        <v>18</v>
      </c>
      <c r="P2682" s="2" t="n">
        <v>1</v>
      </c>
      <c r="Q2682" s="2" t="n">
        <v>17</v>
      </c>
      <c r="R2682" s="2" t="n">
        <v>2</v>
      </c>
      <c r="S2682" s="2" t="n">
        <v>9</v>
      </c>
      <c r="T2682" s="2" t="n">
        <v>0</v>
      </c>
      <c r="U2682" s="2" t="n">
        <v>8</v>
      </c>
      <c r="V2682" s="2" t="n">
        <v>4</v>
      </c>
      <c r="W2682" s="2" t="n">
        <v>2</v>
      </c>
      <c r="X2682" s="2" t="n">
        <v>2</v>
      </c>
      <c r="Y2682" s="2" t="n">
        <v>2</v>
      </c>
      <c r="Z2682" s="2" t="n">
        <v>3</v>
      </c>
    </row>
    <row r="2683" customFormat="false" ht="15" hidden="false" customHeight="true" outlineLevel="0" collapsed="false">
      <c r="A2683" s="2" t="n">
        <v>34</v>
      </c>
      <c r="B2683" s="2" t="s">
        <v>26</v>
      </c>
      <c r="C2683" s="2" t="s">
        <v>27</v>
      </c>
      <c r="D2683" s="2" t="s">
        <v>28</v>
      </c>
      <c r="E2683" s="2" t="n">
        <v>4</v>
      </c>
      <c r="F2683" s="2" t="n">
        <v>3</v>
      </c>
      <c r="G2683" s="2" t="s">
        <v>43</v>
      </c>
      <c r="H2683" s="2" t="n">
        <v>2682</v>
      </c>
      <c r="I2683" s="2" t="s">
        <v>30</v>
      </c>
      <c r="J2683" s="2" t="n">
        <v>1</v>
      </c>
      <c r="K2683" s="2" t="s">
        <v>40</v>
      </c>
      <c r="L2683" s="2" t="s">
        <v>32</v>
      </c>
      <c r="M2683" s="2" t="n">
        <v>12610</v>
      </c>
      <c r="N2683" s="2" t="n">
        <v>2</v>
      </c>
      <c r="O2683" s="2" t="n">
        <v>14</v>
      </c>
      <c r="P2683" s="2" t="n">
        <v>1</v>
      </c>
      <c r="Q2683" s="2" t="n">
        <v>6</v>
      </c>
      <c r="R2683" s="2" t="n">
        <v>6</v>
      </c>
      <c r="S2683" s="2" t="n">
        <v>4</v>
      </c>
      <c r="T2683" s="2" t="n">
        <v>1</v>
      </c>
      <c r="U2683" s="2" t="n">
        <v>2</v>
      </c>
      <c r="V2683" s="2" t="n">
        <v>2</v>
      </c>
      <c r="W2683" s="2" t="n">
        <v>3</v>
      </c>
      <c r="X2683" s="2" t="n">
        <v>4</v>
      </c>
      <c r="Y2683" s="2" t="n">
        <v>3</v>
      </c>
      <c r="Z2683" s="2" t="n">
        <v>3</v>
      </c>
    </row>
    <row r="2684" customFormat="false" ht="15" hidden="false" customHeight="true" outlineLevel="0" collapsed="false">
      <c r="A2684" s="2" t="n">
        <v>41</v>
      </c>
      <c r="B2684" s="2" t="s">
        <v>33</v>
      </c>
      <c r="C2684" s="2" t="s">
        <v>27</v>
      </c>
      <c r="D2684" s="2" t="s">
        <v>35</v>
      </c>
      <c r="E2684" s="2" t="n">
        <v>7</v>
      </c>
      <c r="F2684" s="2" t="n">
        <v>2</v>
      </c>
      <c r="G2684" s="2" t="s">
        <v>29</v>
      </c>
      <c r="H2684" s="2" t="n">
        <v>2683</v>
      </c>
      <c r="I2684" s="2" t="s">
        <v>30</v>
      </c>
      <c r="J2684" s="2" t="n">
        <v>1</v>
      </c>
      <c r="K2684" s="2" t="s">
        <v>36</v>
      </c>
      <c r="L2684" s="2" t="s">
        <v>37</v>
      </c>
      <c r="M2684" s="2" t="n">
        <v>20990</v>
      </c>
      <c r="N2684" s="2" t="n">
        <v>8</v>
      </c>
      <c r="O2684" s="2" t="n">
        <v>12</v>
      </c>
      <c r="P2684" s="2" t="n">
        <v>1</v>
      </c>
      <c r="Q2684" s="2" t="n">
        <v>8</v>
      </c>
      <c r="R2684" s="2" t="n">
        <v>2</v>
      </c>
      <c r="S2684" s="2" t="n">
        <v>6</v>
      </c>
      <c r="T2684" s="2" t="n">
        <v>0</v>
      </c>
      <c r="U2684" s="2" t="n">
        <v>5</v>
      </c>
      <c r="V2684" s="2" t="n">
        <v>2</v>
      </c>
      <c r="W2684" s="2" t="n">
        <v>4</v>
      </c>
      <c r="X2684" s="2" t="n">
        <v>1</v>
      </c>
      <c r="Y2684" s="2" t="n">
        <v>3</v>
      </c>
      <c r="Z2684" s="2" t="n">
        <v>3</v>
      </c>
    </row>
    <row r="2685" customFormat="false" ht="15" hidden="false" customHeight="true" outlineLevel="0" collapsed="false">
      <c r="A2685" s="2" t="n">
        <v>49</v>
      </c>
      <c r="B2685" s="2" t="s">
        <v>26</v>
      </c>
      <c r="C2685" s="2" t="s">
        <v>34</v>
      </c>
      <c r="D2685" s="2" t="s">
        <v>28</v>
      </c>
      <c r="E2685" s="2" t="n">
        <v>1</v>
      </c>
      <c r="F2685" s="2" t="n">
        <v>4</v>
      </c>
      <c r="G2685" s="2" t="s">
        <v>29</v>
      </c>
      <c r="H2685" s="2" t="n">
        <v>2684</v>
      </c>
      <c r="I2685" s="2" t="s">
        <v>30</v>
      </c>
      <c r="J2685" s="2" t="n">
        <v>2</v>
      </c>
      <c r="K2685" s="2" t="s">
        <v>47</v>
      </c>
      <c r="L2685" s="2" t="s">
        <v>32</v>
      </c>
      <c r="M2685" s="2" t="n">
        <v>58100</v>
      </c>
      <c r="N2685" s="2" t="n">
        <v>1</v>
      </c>
      <c r="O2685" s="2" t="n">
        <v>21</v>
      </c>
      <c r="P2685" s="2" t="n">
        <v>1</v>
      </c>
      <c r="Q2685" s="2" t="n">
        <v>10</v>
      </c>
      <c r="R2685" s="2" t="n">
        <v>2</v>
      </c>
      <c r="S2685" s="2" t="n">
        <v>10</v>
      </c>
      <c r="T2685" s="2" t="n">
        <v>1</v>
      </c>
      <c r="U2685" s="2" t="n">
        <v>7</v>
      </c>
      <c r="V2685" s="2" t="n">
        <v>3</v>
      </c>
      <c r="W2685" s="2" t="n">
        <v>2</v>
      </c>
      <c r="X2685" s="2" t="n">
        <v>3</v>
      </c>
      <c r="Y2685" s="2" t="n">
        <v>3</v>
      </c>
      <c r="Z2685" s="2" t="n">
        <v>4</v>
      </c>
    </row>
    <row r="2686" customFormat="false" ht="15" hidden="false" customHeight="true" outlineLevel="0" collapsed="false">
      <c r="A2686" s="2" t="n">
        <v>37</v>
      </c>
      <c r="B2686" s="2" t="s">
        <v>33</v>
      </c>
      <c r="C2686" s="2" t="s">
        <v>27</v>
      </c>
      <c r="D2686" s="2" t="s">
        <v>35</v>
      </c>
      <c r="E2686" s="2" t="n">
        <v>2</v>
      </c>
      <c r="F2686" s="2" t="n">
        <v>3</v>
      </c>
      <c r="G2686" s="2" t="s">
        <v>29</v>
      </c>
      <c r="H2686" s="2" t="n">
        <v>2685</v>
      </c>
      <c r="I2686" s="2" t="s">
        <v>39</v>
      </c>
      <c r="J2686" s="2" t="n">
        <v>1</v>
      </c>
      <c r="K2686" s="2" t="s">
        <v>40</v>
      </c>
      <c r="L2686" s="2" t="s">
        <v>37</v>
      </c>
      <c r="M2686" s="2" t="n">
        <v>56470</v>
      </c>
      <c r="N2686" s="2" t="n">
        <v>6</v>
      </c>
      <c r="O2686" s="2" t="n">
        <v>19</v>
      </c>
      <c r="P2686" s="2" t="n">
        <v>0</v>
      </c>
      <c r="Q2686" s="2" t="n">
        <v>7</v>
      </c>
      <c r="R2686" s="2" t="n">
        <v>2</v>
      </c>
      <c r="S2686" s="2" t="n">
        <v>0</v>
      </c>
      <c r="T2686" s="2" t="n">
        <v>0</v>
      </c>
      <c r="U2686" s="2" t="n">
        <v>0</v>
      </c>
      <c r="V2686" s="2" t="n">
        <v>4</v>
      </c>
      <c r="W2686" s="2" t="n">
        <v>3</v>
      </c>
      <c r="X2686" s="2" t="n">
        <v>3</v>
      </c>
      <c r="Y2686" s="2" t="n">
        <v>3</v>
      </c>
      <c r="Z2686" s="2" t="n">
        <v>3</v>
      </c>
    </row>
    <row r="2687" customFormat="false" ht="15" hidden="false" customHeight="true" outlineLevel="0" collapsed="false">
      <c r="A2687" s="2" t="n">
        <v>33</v>
      </c>
      <c r="B2687" s="2" t="s">
        <v>26</v>
      </c>
      <c r="C2687" s="2" t="s">
        <v>34</v>
      </c>
      <c r="D2687" s="2" t="s">
        <v>35</v>
      </c>
      <c r="E2687" s="2" t="n">
        <v>10</v>
      </c>
      <c r="F2687" s="2" t="n">
        <v>2</v>
      </c>
      <c r="G2687" s="2" t="s">
        <v>43</v>
      </c>
      <c r="H2687" s="2" t="n">
        <v>2686</v>
      </c>
      <c r="I2687" s="2" t="s">
        <v>39</v>
      </c>
      <c r="J2687" s="2" t="n">
        <v>2</v>
      </c>
      <c r="K2687" s="2" t="s">
        <v>36</v>
      </c>
      <c r="L2687" s="2" t="s">
        <v>32</v>
      </c>
      <c r="M2687" s="2" t="n">
        <v>34200</v>
      </c>
      <c r="N2687" s="2" t="n">
        <v>1</v>
      </c>
      <c r="O2687" s="2" t="n">
        <v>14</v>
      </c>
      <c r="P2687" s="2" t="n">
        <v>0</v>
      </c>
      <c r="Q2687" s="2" t="n">
        <v>8</v>
      </c>
      <c r="R2687" s="2" t="n">
        <v>3</v>
      </c>
      <c r="S2687" s="2" t="n">
        <v>8</v>
      </c>
      <c r="T2687" s="2" t="n">
        <v>3</v>
      </c>
      <c r="U2687" s="2" t="n">
        <v>0</v>
      </c>
      <c r="V2687" s="2" t="n">
        <v>4</v>
      </c>
      <c r="W2687" s="2" t="n">
        <v>3</v>
      </c>
      <c r="X2687" s="2" t="n">
        <v>3</v>
      </c>
      <c r="Y2687" s="2" t="n">
        <v>3</v>
      </c>
      <c r="Z2687" s="2" t="n">
        <v>3</v>
      </c>
    </row>
    <row r="2688" customFormat="false" ht="15" hidden="false" customHeight="true" outlineLevel="0" collapsed="false">
      <c r="A2688" s="2" t="n">
        <v>27</v>
      </c>
      <c r="B2688" s="2" t="s">
        <v>26</v>
      </c>
      <c r="C2688" s="2" t="s">
        <v>27</v>
      </c>
      <c r="D2688" s="2" t="s">
        <v>28</v>
      </c>
      <c r="E2688" s="2" t="n">
        <v>5</v>
      </c>
      <c r="F2688" s="2" t="n">
        <v>4</v>
      </c>
      <c r="G2688" s="2" t="s">
        <v>43</v>
      </c>
      <c r="H2688" s="2" t="n">
        <v>2687</v>
      </c>
      <c r="I2688" s="2" t="s">
        <v>30</v>
      </c>
      <c r="J2688" s="2" t="n">
        <v>4</v>
      </c>
      <c r="K2688" s="2" t="s">
        <v>47</v>
      </c>
      <c r="L2688" s="2" t="s">
        <v>32</v>
      </c>
      <c r="M2688" s="2" t="n">
        <v>44000</v>
      </c>
      <c r="N2688" s="2" t="n">
        <v>9</v>
      </c>
      <c r="O2688" s="2" t="n">
        <v>17</v>
      </c>
      <c r="P2688" s="2" t="n">
        <v>1</v>
      </c>
      <c r="Q2688" s="2" t="n">
        <v>6</v>
      </c>
      <c r="R2688" s="2" t="n">
        <v>3</v>
      </c>
      <c r="S2688" s="2" t="n">
        <v>2</v>
      </c>
      <c r="T2688" s="2" t="n">
        <v>2</v>
      </c>
      <c r="U2688" s="2" t="n">
        <v>2</v>
      </c>
      <c r="V2688" s="2" t="n">
        <v>1</v>
      </c>
      <c r="W2688" s="2" t="n">
        <v>2</v>
      </c>
      <c r="X2688" s="2" t="n">
        <v>3</v>
      </c>
      <c r="Y2688" s="2" t="n">
        <v>2</v>
      </c>
      <c r="Z2688" s="2" t="n">
        <v>3</v>
      </c>
    </row>
    <row r="2689" customFormat="false" ht="15" hidden="false" customHeight="true" outlineLevel="0" collapsed="false">
      <c r="A2689" s="2" t="n">
        <v>32</v>
      </c>
      <c r="B2689" s="2" t="s">
        <v>26</v>
      </c>
      <c r="C2689" s="2" t="s">
        <v>34</v>
      </c>
      <c r="D2689" s="2" t="s">
        <v>35</v>
      </c>
      <c r="E2689" s="2" t="n">
        <v>9</v>
      </c>
      <c r="F2689" s="2" t="n">
        <v>2</v>
      </c>
      <c r="G2689" s="2" t="s">
        <v>43</v>
      </c>
      <c r="H2689" s="2" t="n">
        <v>2688</v>
      </c>
      <c r="I2689" s="2" t="s">
        <v>30</v>
      </c>
      <c r="J2689" s="2" t="n">
        <v>2</v>
      </c>
      <c r="K2689" s="2" t="s">
        <v>36</v>
      </c>
      <c r="L2689" s="2" t="s">
        <v>37</v>
      </c>
      <c r="M2689" s="2" t="n">
        <v>35000</v>
      </c>
      <c r="N2689" s="2" t="n">
        <v>0</v>
      </c>
      <c r="O2689" s="2" t="n">
        <v>16</v>
      </c>
      <c r="P2689" s="2" t="n">
        <v>1</v>
      </c>
      <c r="Q2689" s="2" t="n">
        <v>8</v>
      </c>
      <c r="R2689" s="2" t="n">
        <v>2</v>
      </c>
      <c r="S2689" s="2" t="n">
        <v>7</v>
      </c>
      <c r="T2689" s="2" t="n">
        <v>3</v>
      </c>
      <c r="U2689" s="2" t="n">
        <v>6</v>
      </c>
      <c r="V2689" s="2" t="n">
        <v>4</v>
      </c>
      <c r="W2689" s="2" t="n">
        <v>4</v>
      </c>
      <c r="X2689" s="2" t="n">
        <v>2</v>
      </c>
      <c r="Y2689" s="2" t="n">
        <v>2</v>
      </c>
      <c r="Z2689" s="2" t="n">
        <v>3</v>
      </c>
    </row>
    <row r="2690" customFormat="false" ht="15" hidden="false" customHeight="true" outlineLevel="0" collapsed="false">
      <c r="A2690" s="2" t="n">
        <v>59</v>
      </c>
      <c r="B2690" s="2" t="s">
        <v>26</v>
      </c>
      <c r="C2690" s="2" t="s">
        <v>27</v>
      </c>
      <c r="D2690" s="2" t="s">
        <v>28</v>
      </c>
      <c r="E2690" s="2" t="n">
        <v>2</v>
      </c>
      <c r="F2690" s="2" t="n">
        <v>2</v>
      </c>
      <c r="G2690" s="2" t="s">
        <v>50</v>
      </c>
      <c r="H2690" s="2" t="n">
        <v>2689</v>
      </c>
      <c r="I2690" s="2" t="s">
        <v>30</v>
      </c>
      <c r="J2690" s="2" t="n">
        <v>5</v>
      </c>
      <c r="K2690" s="2" t="s">
        <v>48</v>
      </c>
      <c r="L2690" s="2" t="s">
        <v>32</v>
      </c>
      <c r="M2690" s="2" t="n">
        <v>20660</v>
      </c>
      <c r="N2690" s="2" t="n">
        <v>4</v>
      </c>
      <c r="O2690" s="2" t="n">
        <v>12</v>
      </c>
      <c r="P2690" s="2" t="n">
        <v>1</v>
      </c>
      <c r="Q2690" s="2" t="n">
        <v>12</v>
      </c>
      <c r="R2690" s="2" t="n">
        <v>3</v>
      </c>
      <c r="S2690" s="2" t="n">
        <v>1</v>
      </c>
      <c r="T2690" s="2" t="n">
        <v>0</v>
      </c>
      <c r="U2690" s="2" t="n">
        <v>0</v>
      </c>
      <c r="V2690" s="2" t="n">
        <v>3</v>
      </c>
      <c r="W2690" s="2" t="n">
        <v>1</v>
      </c>
      <c r="X2690" s="2" t="n">
        <v>2</v>
      </c>
      <c r="Y2690" s="2" t="n">
        <v>3</v>
      </c>
      <c r="Z2690" s="2" t="n">
        <v>3</v>
      </c>
    </row>
    <row r="2691" customFormat="false" ht="15" hidden="false" customHeight="true" outlineLevel="0" collapsed="false">
      <c r="A2691" s="2" t="n">
        <v>30</v>
      </c>
      <c r="B2691" s="2" t="s">
        <v>26</v>
      </c>
      <c r="C2691" s="2" t="s">
        <v>27</v>
      </c>
      <c r="D2691" s="2" t="s">
        <v>35</v>
      </c>
      <c r="E2691" s="2" t="n">
        <v>11</v>
      </c>
      <c r="F2691" s="2" t="n">
        <v>4</v>
      </c>
      <c r="G2691" s="2" t="s">
        <v>43</v>
      </c>
      <c r="H2691" s="2" t="n">
        <v>2690</v>
      </c>
      <c r="I2691" s="2" t="s">
        <v>39</v>
      </c>
      <c r="J2691" s="2" t="n">
        <v>2</v>
      </c>
      <c r="K2691" s="2" t="s">
        <v>45</v>
      </c>
      <c r="L2691" s="2" t="s">
        <v>46</v>
      </c>
      <c r="M2691" s="2" t="n">
        <v>171690</v>
      </c>
      <c r="N2691" s="2" t="n">
        <v>1</v>
      </c>
      <c r="O2691" s="2" t="n">
        <v>17</v>
      </c>
      <c r="P2691" s="2" t="n">
        <v>2</v>
      </c>
      <c r="Q2691" s="2" t="n">
        <v>1</v>
      </c>
      <c r="R2691" s="2" t="n">
        <v>2</v>
      </c>
      <c r="S2691" s="2" t="n">
        <v>1</v>
      </c>
      <c r="T2691" s="2" t="n">
        <v>0</v>
      </c>
      <c r="U2691" s="2" t="n">
        <v>0</v>
      </c>
      <c r="V2691" s="2" t="n">
        <v>4</v>
      </c>
      <c r="W2691" s="2" t="n">
        <v>3</v>
      </c>
      <c r="X2691" s="2" t="n">
        <v>3</v>
      </c>
      <c r="Y2691" s="2" t="n">
        <v>3</v>
      </c>
      <c r="Z2691" s="2" t="n">
        <v>3</v>
      </c>
    </row>
    <row r="2692" customFormat="false" ht="15" hidden="false" customHeight="true" outlineLevel="0" collapsed="false">
      <c r="A2692" s="2" t="n">
        <v>38</v>
      </c>
      <c r="B2692" s="2" t="s">
        <v>26</v>
      </c>
      <c r="C2692" s="2" t="s">
        <v>34</v>
      </c>
      <c r="D2692" s="2" t="s">
        <v>28</v>
      </c>
      <c r="E2692" s="2" t="n">
        <v>18</v>
      </c>
      <c r="F2692" s="2" t="n">
        <v>4</v>
      </c>
      <c r="G2692" s="2" t="s">
        <v>29</v>
      </c>
      <c r="H2692" s="2" t="n">
        <v>2691</v>
      </c>
      <c r="I2692" s="2" t="s">
        <v>39</v>
      </c>
      <c r="J2692" s="2" t="n">
        <v>2</v>
      </c>
      <c r="K2692" s="2" t="s">
        <v>31</v>
      </c>
      <c r="L2692" s="2" t="s">
        <v>37</v>
      </c>
      <c r="M2692" s="2" t="n">
        <v>41620</v>
      </c>
      <c r="N2692" s="2" t="n">
        <v>0</v>
      </c>
      <c r="O2692" s="2" t="n">
        <v>15</v>
      </c>
      <c r="P2692" s="2" t="n">
        <v>1</v>
      </c>
      <c r="Q2692" s="2" t="n">
        <v>10</v>
      </c>
      <c r="R2692" s="2" t="n">
        <v>1</v>
      </c>
      <c r="S2692" s="2" t="n">
        <v>9</v>
      </c>
      <c r="T2692" s="2" t="n">
        <v>1</v>
      </c>
      <c r="U2692" s="2" t="n">
        <v>8</v>
      </c>
      <c r="V2692" s="2" t="n">
        <v>4</v>
      </c>
      <c r="W2692" s="2" t="n">
        <v>3</v>
      </c>
      <c r="X2692" s="2" t="n">
        <v>3</v>
      </c>
      <c r="Y2692" s="2" t="n">
        <v>3</v>
      </c>
      <c r="Z2692" s="2" t="n">
        <v>3</v>
      </c>
    </row>
    <row r="2693" customFormat="false" ht="15" hidden="false" customHeight="true" outlineLevel="0" collapsed="false">
      <c r="A2693" s="2" t="n">
        <v>36</v>
      </c>
      <c r="B2693" s="2" t="s">
        <v>26</v>
      </c>
      <c r="C2693" s="2" t="s">
        <v>27</v>
      </c>
      <c r="D2693" s="2" t="s">
        <v>35</v>
      </c>
      <c r="E2693" s="2" t="n">
        <v>7</v>
      </c>
      <c r="F2693" s="2" t="n">
        <v>3</v>
      </c>
      <c r="G2693" s="2" t="s">
        <v>29</v>
      </c>
      <c r="H2693" s="2" t="n">
        <v>2692</v>
      </c>
      <c r="I2693" s="2" t="s">
        <v>39</v>
      </c>
      <c r="J2693" s="2" t="n">
        <v>1</v>
      </c>
      <c r="K2693" s="2" t="s">
        <v>40</v>
      </c>
      <c r="L2693" s="2" t="s">
        <v>32</v>
      </c>
      <c r="M2693" s="2" t="n">
        <v>92040</v>
      </c>
      <c r="N2693" s="2" t="n">
        <v>6</v>
      </c>
      <c r="O2693" s="2" t="n">
        <v>23</v>
      </c>
      <c r="P2693" s="2" t="n">
        <v>1</v>
      </c>
      <c r="Q2693" s="2" t="n">
        <v>17</v>
      </c>
      <c r="R2693" s="2" t="n">
        <v>2</v>
      </c>
      <c r="S2693" s="2" t="n">
        <v>7</v>
      </c>
      <c r="T2693" s="2" t="n">
        <v>7</v>
      </c>
      <c r="U2693" s="2" t="n">
        <v>7</v>
      </c>
      <c r="V2693" s="2" t="n">
        <v>3</v>
      </c>
      <c r="W2693" s="2" t="n">
        <v>3</v>
      </c>
      <c r="X2693" s="2" t="n">
        <v>2</v>
      </c>
      <c r="Y2693" s="2" t="n">
        <v>3</v>
      </c>
      <c r="Z2693" s="2" t="n">
        <v>4</v>
      </c>
    </row>
    <row r="2694" customFormat="false" ht="15" hidden="false" customHeight="true" outlineLevel="0" collapsed="false">
      <c r="A2694" s="2" t="n">
        <v>35</v>
      </c>
      <c r="B2694" s="2" t="s">
        <v>26</v>
      </c>
      <c r="C2694" s="2" t="s">
        <v>27</v>
      </c>
      <c r="D2694" s="2" t="s">
        <v>42</v>
      </c>
      <c r="E2694" s="2" t="n">
        <v>3</v>
      </c>
      <c r="F2694" s="2" t="n">
        <v>4</v>
      </c>
      <c r="G2694" s="2" t="s">
        <v>42</v>
      </c>
      <c r="H2694" s="2" t="n">
        <v>2693</v>
      </c>
      <c r="I2694" s="2" t="s">
        <v>39</v>
      </c>
      <c r="J2694" s="2" t="n">
        <v>2</v>
      </c>
      <c r="K2694" s="2" t="s">
        <v>49</v>
      </c>
      <c r="L2694" s="2" t="s">
        <v>32</v>
      </c>
      <c r="M2694" s="2" t="n">
        <v>32940</v>
      </c>
      <c r="N2694" s="2" t="n">
        <v>0</v>
      </c>
      <c r="O2694" s="2" t="n">
        <v>11</v>
      </c>
      <c r="P2694" s="2" t="n">
        <v>0</v>
      </c>
      <c r="Q2694" s="2" t="n">
        <v>6</v>
      </c>
      <c r="R2694" s="2" t="n">
        <v>2</v>
      </c>
      <c r="S2694" s="2" t="n">
        <v>5</v>
      </c>
      <c r="T2694" s="2" t="n">
        <v>0</v>
      </c>
      <c r="U2694" s="2" t="n">
        <v>3</v>
      </c>
      <c r="V2694" s="2" t="n">
        <v>1</v>
      </c>
      <c r="W2694" s="2" t="n">
        <v>2</v>
      </c>
      <c r="X2694" s="2" t="n">
        <v>3</v>
      </c>
      <c r="Y2694" s="2" t="n">
        <v>3</v>
      </c>
      <c r="Z2694" s="2" t="n">
        <v>3</v>
      </c>
    </row>
    <row r="2695" customFormat="false" ht="15" hidden="false" customHeight="true" outlineLevel="0" collapsed="false">
      <c r="A2695" s="2" t="n">
        <v>29</v>
      </c>
      <c r="B2695" s="2" t="s">
        <v>26</v>
      </c>
      <c r="C2695" s="2" t="s">
        <v>27</v>
      </c>
      <c r="D2695" s="2" t="s">
        <v>28</v>
      </c>
      <c r="E2695" s="2" t="n">
        <v>29</v>
      </c>
      <c r="F2695" s="2" t="n">
        <v>4</v>
      </c>
      <c r="G2695" s="2" t="s">
        <v>29</v>
      </c>
      <c r="H2695" s="2" t="n">
        <v>2694</v>
      </c>
      <c r="I2695" s="2" t="s">
        <v>39</v>
      </c>
      <c r="J2695" s="2" t="n">
        <v>2</v>
      </c>
      <c r="K2695" s="2" t="s">
        <v>45</v>
      </c>
      <c r="L2695" s="2" t="s">
        <v>37</v>
      </c>
      <c r="M2695" s="2" t="n">
        <v>21270</v>
      </c>
      <c r="N2695" s="2" t="n">
        <v>0</v>
      </c>
      <c r="O2695" s="2" t="n">
        <v>11</v>
      </c>
      <c r="P2695" s="2" t="n">
        <v>1</v>
      </c>
      <c r="Q2695" s="2" t="n">
        <v>10</v>
      </c>
      <c r="R2695" s="2" t="n">
        <v>3</v>
      </c>
      <c r="S2695" s="2" t="n">
        <v>9</v>
      </c>
      <c r="T2695" s="2" t="n">
        <v>0</v>
      </c>
      <c r="U2695" s="2" t="n">
        <v>8</v>
      </c>
      <c r="V2695" s="2" t="n">
        <v>4</v>
      </c>
      <c r="W2695" s="2" t="n">
        <v>3</v>
      </c>
      <c r="X2695" s="2" t="n">
        <v>3</v>
      </c>
      <c r="Y2695" s="2" t="n">
        <v>2</v>
      </c>
      <c r="Z2695" s="2" t="n">
        <v>3</v>
      </c>
    </row>
    <row r="2696" customFormat="false" ht="15" hidden="false" customHeight="true" outlineLevel="0" collapsed="false">
      <c r="A2696" s="2" t="n">
        <v>31</v>
      </c>
      <c r="B2696" s="2" t="s">
        <v>26</v>
      </c>
      <c r="C2696" s="2" t="s">
        <v>27</v>
      </c>
      <c r="D2696" s="2" t="s">
        <v>35</v>
      </c>
      <c r="E2696" s="2" t="n">
        <v>2</v>
      </c>
      <c r="F2696" s="2" t="n">
        <v>2</v>
      </c>
      <c r="G2696" s="2" t="s">
        <v>43</v>
      </c>
      <c r="H2696" s="2" t="n">
        <v>2695</v>
      </c>
      <c r="I2696" s="2" t="s">
        <v>39</v>
      </c>
      <c r="J2696" s="2" t="n">
        <v>2</v>
      </c>
      <c r="K2696" s="2" t="s">
        <v>45</v>
      </c>
      <c r="L2696" s="2" t="s">
        <v>46</v>
      </c>
      <c r="M2696" s="2" t="n">
        <v>39750</v>
      </c>
      <c r="N2696" s="2" t="n">
        <v>1</v>
      </c>
      <c r="O2696" s="2" t="n">
        <v>15</v>
      </c>
      <c r="P2696" s="2" t="n">
        <v>1</v>
      </c>
      <c r="Q2696" s="2" t="n">
        <v>5</v>
      </c>
      <c r="R2696" s="2" t="n">
        <v>3</v>
      </c>
      <c r="S2696" s="2" t="n">
        <v>5</v>
      </c>
      <c r="T2696" s="2" t="n">
        <v>4</v>
      </c>
      <c r="U2696" s="2" t="n">
        <v>3</v>
      </c>
      <c r="V2696" s="2" t="n">
        <v>1</v>
      </c>
      <c r="W2696" s="2" t="n">
        <v>3</v>
      </c>
      <c r="X2696" s="2" t="n">
        <v>2</v>
      </c>
      <c r="Y2696" s="2" t="n">
        <v>3</v>
      </c>
      <c r="Z2696" s="2" t="n">
        <v>3</v>
      </c>
    </row>
    <row r="2697" customFormat="false" ht="15" hidden="false" customHeight="true" outlineLevel="0" collapsed="false">
      <c r="A2697" s="2" t="n">
        <v>34</v>
      </c>
      <c r="B2697" s="2" t="s">
        <v>26</v>
      </c>
      <c r="C2697" s="2" t="s">
        <v>27</v>
      </c>
      <c r="D2697" s="2" t="s">
        <v>35</v>
      </c>
      <c r="E2697" s="2" t="n">
        <v>28</v>
      </c>
      <c r="F2697" s="2" t="n">
        <v>3</v>
      </c>
      <c r="G2697" s="2" t="s">
        <v>51</v>
      </c>
      <c r="H2697" s="2" t="n">
        <v>2696</v>
      </c>
      <c r="I2697" s="2" t="s">
        <v>39</v>
      </c>
      <c r="J2697" s="2" t="n">
        <v>1</v>
      </c>
      <c r="K2697" s="2" t="s">
        <v>45</v>
      </c>
      <c r="L2697" s="2" t="s">
        <v>46</v>
      </c>
      <c r="M2697" s="2" t="n">
        <v>107930</v>
      </c>
      <c r="N2697" s="2" t="n">
        <v>0</v>
      </c>
      <c r="O2697" s="2" t="n">
        <v>11</v>
      </c>
      <c r="P2697" s="2" t="n">
        <v>3</v>
      </c>
      <c r="Q2697" s="2" t="n">
        <v>3</v>
      </c>
      <c r="R2697" s="2" t="n">
        <v>1</v>
      </c>
      <c r="S2697" s="2" t="n">
        <v>2</v>
      </c>
      <c r="T2697" s="2" t="n">
        <v>1</v>
      </c>
      <c r="U2697" s="2" t="n">
        <v>2</v>
      </c>
      <c r="V2697" s="2" t="n">
        <v>2</v>
      </c>
      <c r="W2697" s="2" t="n">
        <v>4</v>
      </c>
      <c r="X2697" s="2" t="n">
        <v>3</v>
      </c>
      <c r="Y2697" s="2" t="n">
        <v>2</v>
      </c>
      <c r="Z2697" s="2" t="n">
        <v>3</v>
      </c>
    </row>
    <row r="2698" customFormat="false" ht="15" hidden="false" customHeight="true" outlineLevel="0" collapsed="false">
      <c r="A2698" s="2" t="n">
        <v>28</v>
      </c>
      <c r="B2698" s="2" t="s">
        <v>33</v>
      </c>
      <c r="C2698" s="2" t="s">
        <v>27</v>
      </c>
      <c r="D2698" s="2" t="s">
        <v>35</v>
      </c>
      <c r="E2698" s="2" t="n">
        <v>1</v>
      </c>
      <c r="F2698" s="2" t="n">
        <v>4</v>
      </c>
      <c r="G2698" s="2" t="s">
        <v>29</v>
      </c>
      <c r="H2698" s="2" t="n">
        <v>2697</v>
      </c>
      <c r="I2698" s="2" t="s">
        <v>39</v>
      </c>
      <c r="J2698" s="2" t="n">
        <v>5</v>
      </c>
      <c r="K2698" s="2" t="s">
        <v>44</v>
      </c>
      <c r="L2698" s="2" t="s">
        <v>37</v>
      </c>
      <c r="M2698" s="2" t="n">
        <v>100960</v>
      </c>
      <c r="N2698" s="2"/>
      <c r="O2698" s="2" t="n">
        <v>13</v>
      </c>
      <c r="P2698" s="2" t="n">
        <v>0</v>
      </c>
      <c r="Q2698" s="2" t="n">
        <v>6</v>
      </c>
      <c r="R2698" s="2" t="n">
        <v>2</v>
      </c>
      <c r="S2698" s="2" t="n">
        <v>4</v>
      </c>
      <c r="T2698" s="2" t="n">
        <v>0</v>
      </c>
      <c r="U2698" s="2" t="n">
        <v>3</v>
      </c>
      <c r="V2698" s="2" t="n">
        <v>3</v>
      </c>
      <c r="W2698" s="2" t="n">
        <v>3</v>
      </c>
      <c r="X2698" s="2" t="n">
        <v>3</v>
      </c>
      <c r="Y2698" s="2" t="n">
        <v>3</v>
      </c>
      <c r="Z2698" s="2" t="n">
        <v>3</v>
      </c>
    </row>
    <row r="2699" customFormat="false" ht="15" hidden="false" customHeight="true" outlineLevel="0" collapsed="false">
      <c r="A2699" s="2" t="n">
        <v>29</v>
      </c>
      <c r="B2699" s="2" t="s">
        <v>26</v>
      </c>
      <c r="C2699" s="2" t="s">
        <v>27</v>
      </c>
      <c r="D2699" s="2" t="s">
        <v>35</v>
      </c>
      <c r="E2699" s="2" t="n">
        <v>16</v>
      </c>
      <c r="F2699" s="2" t="n">
        <v>2</v>
      </c>
      <c r="G2699" s="2" t="s">
        <v>29</v>
      </c>
      <c r="H2699" s="2" t="n">
        <v>2698</v>
      </c>
      <c r="I2699" s="2" t="s">
        <v>30</v>
      </c>
      <c r="J2699" s="2" t="n">
        <v>4</v>
      </c>
      <c r="K2699" s="2" t="s">
        <v>45</v>
      </c>
      <c r="L2699" s="2" t="s">
        <v>46</v>
      </c>
      <c r="M2699" s="2" t="n">
        <v>36460</v>
      </c>
      <c r="N2699" s="2" t="n">
        <v>1</v>
      </c>
      <c r="O2699" s="2" t="n">
        <v>14</v>
      </c>
      <c r="P2699" s="2" t="n">
        <v>0</v>
      </c>
      <c r="Q2699" s="2" t="n">
        <v>10</v>
      </c>
      <c r="R2699" s="2" t="n">
        <v>3</v>
      </c>
      <c r="S2699" s="2" t="n">
        <v>10</v>
      </c>
      <c r="T2699" s="2" t="n">
        <v>8</v>
      </c>
      <c r="U2699" s="2" t="n">
        <v>8</v>
      </c>
      <c r="V2699" s="2" t="n">
        <v>2</v>
      </c>
      <c r="W2699" s="2" t="n">
        <v>1</v>
      </c>
      <c r="X2699" s="2" t="n">
        <v>3</v>
      </c>
      <c r="Y2699" s="2" t="n">
        <v>4</v>
      </c>
      <c r="Z2699" s="2" t="n">
        <v>3</v>
      </c>
    </row>
    <row r="2700" customFormat="false" ht="15" hidden="false" customHeight="true" outlineLevel="0" collapsed="false">
      <c r="A2700" s="2" t="n">
        <v>32</v>
      </c>
      <c r="B2700" s="2" t="s">
        <v>26</v>
      </c>
      <c r="C2700" s="2" t="s">
        <v>27</v>
      </c>
      <c r="D2700" s="2" t="s">
        <v>42</v>
      </c>
      <c r="E2700" s="2" t="n">
        <v>22</v>
      </c>
      <c r="F2700" s="2" t="n">
        <v>3</v>
      </c>
      <c r="G2700" s="2" t="s">
        <v>42</v>
      </c>
      <c r="H2700" s="2" t="n">
        <v>2699</v>
      </c>
      <c r="I2700" s="2" t="s">
        <v>30</v>
      </c>
      <c r="J2700" s="2" t="n">
        <v>2</v>
      </c>
      <c r="K2700" s="2" t="s">
        <v>44</v>
      </c>
      <c r="L2700" s="2" t="s">
        <v>46</v>
      </c>
      <c r="M2700" s="2" t="n">
        <v>74460</v>
      </c>
      <c r="N2700" s="2" t="n">
        <v>0</v>
      </c>
      <c r="O2700" s="2" t="n">
        <v>19</v>
      </c>
      <c r="P2700" s="2" t="n">
        <v>0</v>
      </c>
      <c r="Q2700" s="2" t="n">
        <v>7</v>
      </c>
      <c r="R2700" s="2" t="n">
        <v>3</v>
      </c>
      <c r="S2700" s="2" t="n">
        <v>6</v>
      </c>
      <c r="T2700" s="2" t="n">
        <v>0</v>
      </c>
      <c r="U2700" s="2" t="n">
        <v>5</v>
      </c>
      <c r="V2700" s="2" t="n">
        <v>1</v>
      </c>
      <c r="W2700" s="2" t="n">
        <v>2</v>
      </c>
      <c r="X2700" s="2" t="n">
        <v>2</v>
      </c>
      <c r="Y2700" s="2" t="n">
        <v>3</v>
      </c>
      <c r="Z2700" s="2" t="n">
        <v>3</v>
      </c>
    </row>
    <row r="2701" customFormat="false" ht="15" hidden="false" customHeight="true" outlineLevel="0" collapsed="false">
      <c r="A2701" s="2" t="n">
        <v>22</v>
      </c>
      <c r="B2701" s="2" t="s">
        <v>26</v>
      </c>
      <c r="C2701" s="2" t="s">
        <v>41</v>
      </c>
      <c r="D2701" s="2" t="s">
        <v>35</v>
      </c>
      <c r="E2701" s="2" t="n">
        <v>8</v>
      </c>
      <c r="F2701" s="2" t="n">
        <v>3</v>
      </c>
      <c r="G2701" s="2" t="s">
        <v>29</v>
      </c>
      <c r="H2701" s="2" t="n">
        <v>2700</v>
      </c>
      <c r="I2701" s="2" t="s">
        <v>30</v>
      </c>
      <c r="J2701" s="2" t="n">
        <v>3</v>
      </c>
      <c r="K2701" s="2" t="s">
        <v>40</v>
      </c>
      <c r="L2701" s="2" t="s">
        <v>46</v>
      </c>
      <c r="M2701" s="2" t="n">
        <v>108510</v>
      </c>
      <c r="N2701" s="2" t="n">
        <v>1</v>
      </c>
      <c r="O2701" s="2" t="n">
        <v>16</v>
      </c>
      <c r="P2701" s="2" t="n">
        <v>1</v>
      </c>
      <c r="Q2701" s="2" t="n">
        <v>1</v>
      </c>
      <c r="R2701" s="2" t="n">
        <v>2</v>
      </c>
      <c r="S2701" s="2" t="n">
        <v>1</v>
      </c>
      <c r="T2701" s="2" t="n">
        <v>0</v>
      </c>
      <c r="U2701" s="2" t="n">
        <v>0</v>
      </c>
      <c r="V2701" s="2" t="n">
        <v>4</v>
      </c>
      <c r="W2701" s="2" t="n">
        <v>4</v>
      </c>
      <c r="X2701" s="2" t="n">
        <v>2</v>
      </c>
      <c r="Y2701" s="2" t="n">
        <v>4</v>
      </c>
      <c r="Z2701" s="2" t="n">
        <v>3</v>
      </c>
    </row>
    <row r="2702" customFormat="false" ht="15" hidden="false" customHeight="true" outlineLevel="0" collapsed="false">
      <c r="A2702" s="2" t="n">
        <v>53</v>
      </c>
      <c r="B2702" s="2" t="s">
        <v>26</v>
      </c>
      <c r="C2702" s="2" t="s">
        <v>27</v>
      </c>
      <c r="D2702" s="2" t="s">
        <v>35</v>
      </c>
      <c r="E2702" s="2" t="n">
        <v>11</v>
      </c>
      <c r="F2702" s="2" t="n">
        <v>3</v>
      </c>
      <c r="G2702" s="2" t="s">
        <v>43</v>
      </c>
      <c r="H2702" s="2" t="n">
        <v>2701</v>
      </c>
      <c r="I2702" s="2" t="s">
        <v>39</v>
      </c>
      <c r="J2702" s="2" t="n">
        <v>2</v>
      </c>
      <c r="K2702" s="2" t="s">
        <v>49</v>
      </c>
      <c r="L2702" s="2" t="s">
        <v>32</v>
      </c>
      <c r="M2702" s="2" t="n">
        <v>21090</v>
      </c>
      <c r="N2702" s="2" t="n">
        <v>2</v>
      </c>
      <c r="O2702" s="2" t="n">
        <v>13</v>
      </c>
      <c r="P2702" s="2" t="n">
        <v>0</v>
      </c>
      <c r="Q2702" s="2" t="n">
        <v>31</v>
      </c>
      <c r="R2702" s="2" t="n">
        <v>3</v>
      </c>
      <c r="S2702" s="2" t="n">
        <v>25</v>
      </c>
      <c r="T2702" s="2" t="n">
        <v>3</v>
      </c>
      <c r="U2702" s="2" t="n">
        <v>7</v>
      </c>
      <c r="V2702" s="2" t="n">
        <v>1</v>
      </c>
      <c r="W2702" s="2" t="n">
        <v>4</v>
      </c>
      <c r="X2702" s="2" t="n">
        <v>3</v>
      </c>
      <c r="Y2702" s="2" t="n">
        <v>3</v>
      </c>
      <c r="Z2702" s="2" t="n">
        <v>3</v>
      </c>
    </row>
    <row r="2703" customFormat="false" ht="15" hidden="false" customHeight="true" outlineLevel="0" collapsed="false">
      <c r="A2703" s="2" t="n">
        <v>38</v>
      </c>
      <c r="B2703" s="2" t="s">
        <v>26</v>
      </c>
      <c r="C2703" s="2" t="s">
        <v>27</v>
      </c>
      <c r="D2703" s="2" t="s">
        <v>35</v>
      </c>
      <c r="E2703" s="2" t="n">
        <v>29</v>
      </c>
      <c r="F2703" s="2" t="n">
        <v>3</v>
      </c>
      <c r="G2703" s="2" t="s">
        <v>29</v>
      </c>
      <c r="H2703" s="2" t="n">
        <v>2702</v>
      </c>
      <c r="I2703" s="2" t="s">
        <v>30</v>
      </c>
      <c r="J2703" s="2" t="n">
        <v>1</v>
      </c>
      <c r="K2703" s="2" t="s">
        <v>47</v>
      </c>
      <c r="L2703" s="2" t="s">
        <v>37</v>
      </c>
      <c r="M2703" s="2" t="n">
        <v>37220</v>
      </c>
      <c r="N2703" s="2" t="n">
        <v>5</v>
      </c>
      <c r="O2703" s="2" t="n">
        <v>14</v>
      </c>
      <c r="P2703" s="2" t="n">
        <v>0</v>
      </c>
      <c r="Q2703" s="2" t="n">
        <v>6</v>
      </c>
      <c r="R2703" s="2" t="n">
        <v>0</v>
      </c>
      <c r="S2703" s="2" t="n">
        <v>3</v>
      </c>
      <c r="T2703" s="2" t="n">
        <v>1</v>
      </c>
      <c r="U2703" s="2" t="n">
        <v>2</v>
      </c>
      <c r="V2703" s="2" t="n">
        <v>4</v>
      </c>
      <c r="W2703" s="2" t="n">
        <v>4</v>
      </c>
      <c r="X2703" s="2" t="n">
        <v>3</v>
      </c>
      <c r="Y2703" s="2" t="n">
        <v>3</v>
      </c>
      <c r="Z2703" s="2" t="n">
        <v>3</v>
      </c>
    </row>
    <row r="2704" customFormat="false" ht="15" hidden="false" customHeight="true" outlineLevel="0" collapsed="false">
      <c r="A2704" s="2" t="n">
        <v>24</v>
      </c>
      <c r="B2704" s="2" t="s">
        <v>26</v>
      </c>
      <c r="C2704" s="2" t="s">
        <v>41</v>
      </c>
      <c r="D2704" s="2" t="s">
        <v>35</v>
      </c>
      <c r="E2704" s="2" t="n">
        <v>1</v>
      </c>
      <c r="F2704" s="2" t="n">
        <v>5</v>
      </c>
      <c r="G2704" s="2" t="s">
        <v>29</v>
      </c>
      <c r="H2704" s="2" t="n">
        <v>2703</v>
      </c>
      <c r="I2704" s="2" t="s">
        <v>39</v>
      </c>
      <c r="J2704" s="2" t="n">
        <v>3</v>
      </c>
      <c r="K2704" s="2" t="s">
        <v>36</v>
      </c>
      <c r="L2704" s="2" t="s">
        <v>46</v>
      </c>
      <c r="M2704" s="2" t="n">
        <v>93800</v>
      </c>
      <c r="N2704" s="2" t="n">
        <v>0</v>
      </c>
      <c r="O2704" s="2" t="n">
        <v>16</v>
      </c>
      <c r="P2704" s="2" t="n">
        <v>0</v>
      </c>
      <c r="Q2704" s="2" t="n">
        <v>5</v>
      </c>
      <c r="R2704" s="2" t="n">
        <v>2</v>
      </c>
      <c r="S2704" s="2" t="n">
        <v>4</v>
      </c>
      <c r="T2704" s="2" t="n">
        <v>1</v>
      </c>
      <c r="U2704" s="2" t="n">
        <v>3</v>
      </c>
      <c r="V2704" s="2" t="n">
        <v>1</v>
      </c>
      <c r="W2704" s="2" t="n">
        <v>3</v>
      </c>
      <c r="X2704" s="2" t="n">
        <v>2</v>
      </c>
      <c r="Y2704" s="2" t="n">
        <v>2</v>
      </c>
      <c r="Z2704" s="2" t="n">
        <v>3</v>
      </c>
    </row>
    <row r="2705" customFormat="false" ht="15" hidden="false" customHeight="true" outlineLevel="0" collapsed="false">
      <c r="A2705" s="2" t="n">
        <v>36</v>
      </c>
      <c r="B2705" s="2" t="s">
        <v>33</v>
      </c>
      <c r="C2705" s="2" t="s">
        <v>27</v>
      </c>
      <c r="D2705" s="2" t="s">
        <v>35</v>
      </c>
      <c r="E2705" s="2" t="n">
        <v>1</v>
      </c>
      <c r="F2705" s="2" t="n">
        <v>3</v>
      </c>
      <c r="G2705" s="2" t="s">
        <v>29</v>
      </c>
      <c r="H2705" s="2" t="n">
        <v>2704</v>
      </c>
      <c r="I2705" s="2" t="s">
        <v>39</v>
      </c>
      <c r="J2705" s="2" t="n">
        <v>1</v>
      </c>
      <c r="K2705" s="2" t="s">
        <v>44</v>
      </c>
      <c r="L2705" s="2" t="s">
        <v>37</v>
      </c>
      <c r="M2705" s="2" t="n">
        <v>54860</v>
      </c>
      <c r="N2705" s="2" t="n">
        <v>7</v>
      </c>
      <c r="O2705" s="2" t="n">
        <v>12</v>
      </c>
      <c r="P2705" s="2" t="n">
        <v>1</v>
      </c>
      <c r="Q2705" s="2" t="n">
        <v>10</v>
      </c>
      <c r="R2705" s="2" t="n">
        <v>2</v>
      </c>
      <c r="S2705" s="2" t="n">
        <v>5</v>
      </c>
      <c r="T2705" s="2" t="n">
        <v>0</v>
      </c>
      <c r="U2705" s="2" t="n">
        <v>3</v>
      </c>
      <c r="V2705" s="2" t="n">
        <v>3</v>
      </c>
      <c r="W2705" s="2" t="n">
        <v>1</v>
      </c>
      <c r="X2705" s="2" t="n">
        <v>3</v>
      </c>
      <c r="Y2705" s="2" t="n">
        <v>3</v>
      </c>
      <c r="Z2705" s="2" t="n">
        <v>3</v>
      </c>
    </row>
    <row r="2706" customFormat="false" ht="15" hidden="false" customHeight="true" outlineLevel="0" collapsed="false">
      <c r="A2706" s="2" t="n">
        <v>34</v>
      </c>
      <c r="B2706" s="2" t="s">
        <v>26</v>
      </c>
      <c r="C2706" s="2" t="s">
        <v>27</v>
      </c>
      <c r="D2706" s="2" t="s">
        <v>28</v>
      </c>
      <c r="E2706" s="2" t="n">
        <v>24</v>
      </c>
      <c r="F2706" s="2" t="n">
        <v>3</v>
      </c>
      <c r="G2706" s="2" t="s">
        <v>50</v>
      </c>
      <c r="H2706" s="2" t="n">
        <v>2705</v>
      </c>
      <c r="I2706" s="2" t="s">
        <v>39</v>
      </c>
      <c r="J2706" s="2" t="n">
        <v>4</v>
      </c>
      <c r="K2706" s="2" t="s">
        <v>36</v>
      </c>
      <c r="L2706" s="2" t="s">
        <v>37</v>
      </c>
      <c r="M2706" s="2" t="n">
        <v>27420</v>
      </c>
      <c r="N2706" s="2" t="n">
        <v>0</v>
      </c>
      <c r="O2706" s="2" t="n">
        <v>11</v>
      </c>
      <c r="P2706" s="2" t="n">
        <v>1</v>
      </c>
      <c r="Q2706" s="2" t="n">
        <v>13</v>
      </c>
      <c r="R2706" s="2" t="n">
        <v>2</v>
      </c>
      <c r="S2706" s="2" t="n">
        <v>12</v>
      </c>
      <c r="T2706" s="2" t="n">
        <v>2</v>
      </c>
      <c r="U2706" s="2" t="n">
        <v>11</v>
      </c>
      <c r="V2706" s="2" t="n">
        <v>1</v>
      </c>
      <c r="W2706" s="2" t="n">
        <v>2</v>
      </c>
      <c r="X2706" s="2" t="n">
        <v>3</v>
      </c>
      <c r="Y2706" s="2" t="n">
        <v>3</v>
      </c>
      <c r="Z2706" s="2" t="n">
        <v>3</v>
      </c>
    </row>
    <row r="2707" customFormat="false" ht="15" hidden="false" customHeight="true" outlineLevel="0" collapsed="false">
      <c r="A2707" s="2" t="n">
        <v>21</v>
      </c>
      <c r="B2707" s="2" t="s">
        <v>26</v>
      </c>
      <c r="C2707" s="2" t="s">
        <v>27</v>
      </c>
      <c r="D2707" s="2" t="s">
        <v>28</v>
      </c>
      <c r="E2707" s="2" t="n">
        <v>2</v>
      </c>
      <c r="F2707" s="2" t="n">
        <v>3</v>
      </c>
      <c r="G2707" s="2" t="s">
        <v>29</v>
      </c>
      <c r="H2707" s="2" t="n">
        <v>2706</v>
      </c>
      <c r="I2707" s="2" t="s">
        <v>39</v>
      </c>
      <c r="J2707" s="2" t="n">
        <v>2</v>
      </c>
      <c r="K2707" s="2" t="s">
        <v>47</v>
      </c>
      <c r="L2707" s="2" t="s">
        <v>37</v>
      </c>
      <c r="M2707" s="2" t="n">
        <v>137570</v>
      </c>
      <c r="N2707" s="2" t="n">
        <v>1</v>
      </c>
      <c r="O2707" s="2" t="n">
        <v>12</v>
      </c>
      <c r="P2707" s="2" t="n">
        <v>1</v>
      </c>
      <c r="Q2707" s="2" t="n">
        <v>0</v>
      </c>
      <c r="R2707" s="2" t="n">
        <v>3</v>
      </c>
      <c r="S2707" s="2" t="n">
        <v>0</v>
      </c>
      <c r="T2707" s="2" t="n">
        <v>0</v>
      </c>
      <c r="U2707" s="2" t="n">
        <v>0</v>
      </c>
      <c r="V2707" s="2" t="n">
        <v>3</v>
      </c>
      <c r="W2707" s="2" t="n">
        <v>4</v>
      </c>
      <c r="X2707" s="2" t="n">
        <v>3</v>
      </c>
      <c r="Y2707" s="2" t="n">
        <v>3</v>
      </c>
      <c r="Z2707" s="2" t="n">
        <v>3</v>
      </c>
    </row>
    <row r="2708" customFormat="false" ht="15" hidden="false" customHeight="true" outlineLevel="0" collapsed="false">
      <c r="A2708" s="2" t="n">
        <v>34</v>
      </c>
      <c r="B2708" s="2" t="s">
        <v>33</v>
      </c>
      <c r="C2708" s="2" t="s">
        <v>27</v>
      </c>
      <c r="D2708" s="2" t="s">
        <v>28</v>
      </c>
      <c r="E2708" s="2" t="n">
        <v>15</v>
      </c>
      <c r="F2708" s="2" t="n">
        <v>2</v>
      </c>
      <c r="G2708" s="2" t="s">
        <v>50</v>
      </c>
      <c r="H2708" s="2" t="n">
        <v>2707</v>
      </c>
      <c r="I2708" s="2" t="s">
        <v>30</v>
      </c>
      <c r="J2708" s="2" t="n">
        <v>2</v>
      </c>
      <c r="K2708" s="2" t="s">
        <v>36</v>
      </c>
      <c r="L2708" s="2" t="s">
        <v>37</v>
      </c>
      <c r="M2708" s="2" t="n">
        <v>84630</v>
      </c>
      <c r="N2708" s="2" t="n">
        <v>2</v>
      </c>
      <c r="O2708" s="2" t="n">
        <v>13</v>
      </c>
      <c r="P2708" s="2" t="n">
        <v>0</v>
      </c>
      <c r="Q2708" s="2" t="n">
        <v>8</v>
      </c>
      <c r="R2708" s="2" t="n">
        <v>2</v>
      </c>
      <c r="S2708" s="2" t="n">
        <v>4</v>
      </c>
      <c r="T2708" s="2" t="n">
        <v>1</v>
      </c>
      <c r="U2708" s="2" t="n">
        <v>3</v>
      </c>
      <c r="V2708" s="2" t="n">
        <v>2</v>
      </c>
      <c r="W2708" s="2" t="n">
        <v>1</v>
      </c>
      <c r="X2708" s="2" t="n">
        <v>3</v>
      </c>
      <c r="Y2708" s="2" t="n">
        <v>1</v>
      </c>
      <c r="Z2708" s="2" t="n">
        <v>3</v>
      </c>
    </row>
    <row r="2709" customFormat="false" ht="15" hidden="false" customHeight="true" outlineLevel="0" collapsed="false">
      <c r="A2709" s="2" t="n">
        <v>53</v>
      </c>
      <c r="B2709" s="2" t="s">
        <v>26</v>
      </c>
      <c r="C2709" s="2" t="s">
        <v>27</v>
      </c>
      <c r="D2709" s="2" t="s">
        <v>28</v>
      </c>
      <c r="E2709" s="2" t="n">
        <v>2</v>
      </c>
      <c r="F2709" s="2" t="n">
        <v>1</v>
      </c>
      <c r="G2709" s="2" t="s">
        <v>29</v>
      </c>
      <c r="H2709" s="2" t="n">
        <v>2708</v>
      </c>
      <c r="I2709" s="2" t="s">
        <v>39</v>
      </c>
      <c r="J2709" s="2" t="n">
        <v>5</v>
      </c>
      <c r="K2709" s="2" t="s">
        <v>42</v>
      </c>
      <c r="L2709" s="2" t="s">
        <v>46</v>
      </c>
      <c r="M2709" s="2" t="n">
        <v>31620</v>
      </c>
      <c r="N2709" s="2" t="n">
        <v>4</v>
      </c>
      <c r="O2709" s="2" t="n">
        <v>15</v>
      </c>
      <c r="P2709" s="2" t="n">
        <v>0</v>
      </c>
      <c r="Q2709" s="2" t="n">
        <v>26</v>
      </c>
      <c r="R2709" s="2" t="n">
        <v>4</v>
      </c>
      <c r="S2709" s="2" t="n">
        <v>14</v>
      </c>
      <c r="T2709" s="2" t="n">
        <v>4</v>
      </c>
      <c r="U2709" s="2" t="n">
        <v>8</v>
      </c>
      <c r="V2709" s="2" t="n">
        <v>3</v>
      </c>
      <c r="W2709" s="2"/>
      <c r="X2709" s="2" t="n">
        <v>2</v>
      </c>
      <c r="Y2709" s="2" t="n">
        <v>3</v>
      </c>
      <c r="Z2709" s="2" t="n">
        <v>3</v>
      </c>
    </row>
    <row r="2710" customFormat="false" ht="15" hidden="false" customHeight="true" outlineLevel="0" collapsed="false">
      <c r="A2710" s="2" t="n">
        <v>32</v>
      </c>
      <c r="B2710" s="2" t="s">
        <v>33</v>
      </c>
      <c r="C2710" s="2" t="s">
        <v>34</v>
      </c>
      <c r="D2710" s="2" t="s">
        <v>35</v>
      </c>
      <c r="E2710" s="2" t="n">
        <v>10</v>
      </c>
      <c r="F2710" s="2" t="n">
        <v>3</v>
      </c>
      <c r="G2710" s="2" t="s">
        <v>43</v>
      </c>
      <c r="H2710" s="2" t="n">
        <v>2709</v>
      </c>
      <c r="I2710" s="2" t="s">
        <v>30</v>
      </c>
      <c r="J2710" s="2" t="n">
        <v>2</v>
      </c>
      <c r="K2710" s="2" t="s">
        <v>47</v>
      </c>
      <c r="L2710" s="2" t="s">
        <v>37</v>
      </c>
      <c r="M2710" s="2" t="n">
        <v>165980</v>
      </c>
      <c r="N2710" s="2" t="n">
        <v>1</v>
      </c>
      <c r="O2710" s="2" t="n">
        <v>13</v>
      </c>
      <c r="P2710" s="2" t="n">
        <v>0</v>
      </c>
      <c r="Q2710" s="2" t="n">
        <v>10</v>
      </c>
      <c r="R2710" s="2" t="n">
        <v>2</v>
      </c>
      <c r="S2710" s="2" t="n">
        <v>10</v>
      </c>
      <c r="T2710" s="2" t="n">
        <v>6</v>
      </c>
      <c r="U2710" s="2" t="n">
        <v>7</v>
      </c>
      <c r="V2710" s="2" t="n">
        <v>2</v>
      </c>
      <c r="W2710" s="2" t="n">
        <v>1</v>
      </c>
      <c r="X2710" s="2" t="n">
        <v>3</v>
      </c>
      <c r="Y2710" s="2" t="n">
        <v>3</v>
      </c>
      <c r="Z2710" s="2" t="n">
        <v>3</v>
      </c>
    </row>
    <row r="2711" customFormat="false" ht="15" hidden="false" customHeight="true" outlineLevel="0" collapsed="false">
      <c r="A2711" s="2" t="n">
        <v>42</v>
      </c>
      <c r="B2711" s="2" t="s">
        <v>26</v>
      </c>
      <c r="C2711" s="2" t="s">
        <v>27</v>
      </c>
      <c r="D2711" s="2" t="s">
        <v>35</v>
      </c>
      <c r="E2711" s="2" t="n">
        <v>10</v>
      </c>
      <c r="F2711" s="2" t="n">
        <v>3</v>
      </c>
      <c r="G2711" s="2" t="s">
        <v>51</v>
      </c>
      <c r="H2711" s="2" t="n">
        <v>2710</v>
      </c>
      <c r="I2711" s="2" t="s">
        <v>39</v>
      </c>
      <c r="J2711" s="2" t="n">
        <v>2</v>
      </c>
      <c r="K2711" s="2" t="s">
        <v>45</v>
      </c>
      <c r="L2711" s="2" t="s">
        <v>32</v>
      </c>
      <c r="M2711" s="2" t="n">
        <v>66510</v>
      </c>
      <c r="N2711" s="2" t="n">
        <v>0</v>
      </c>
      <c r="O2711" s="2" t="n">
        <v>20</v>
      </c>
      <c r="P2711" s="2" t="n">
        <v>0</v>
      </c>
      <c r="Q2711" s="2" t="n">
        <v>10</v>
      </c>
      <c r="R2711" s="2" t="n">
        <v>5</v>
      </c>
      <c r="S2711" s="2" t="n">
        <v>9</v>
      </c>
      <c r="T2711" s="2" t="n">
        <v>4</v>
      </c>
      <c r="U2711" s="2" t="n">
        <v>2</v>
      </c>
      <c r="V2711" s="2" t="n">
        <v>3</v>
      </c>
      <c r="W2711" s="2" t="n">
        <v>2</v>
      </c>
      <c r="X2711" s="2"/>
      <c r="Y2711" s="2" t="n">
        <v>2</v>
      </c>
      <c r="Z2711" s="2" t="n">
        <v>4</v>
      </c>
    </row>
    <row r="2712" customFormat="false" ht="15" hidden="false" customHeight="true" outlineLevel="0" collapsed="false">
      <c r="A2712" s="2" t="n">
        <v>44</v>
      </c>
      <c r="B2712" s="2" t="s">
        <v>26</v>
      </c>
      <c r="C2712" s="2" t="s">
        <v>27</v>
      </c>
      <c r="D2712" s="2" t="s">
        <v>35</v>
      </c>
      <c r="E2712" s="2" t="n">
        <v>3</v>
      </c>
      <c r="F2712" s="2" t="n">
        <v>1</v>
      </c>
      <c r="G2712" s="2" t="s">
        <v>29</v>
      </c>
      <c r="H2712" s="2" t="n">
        <v>2711</v>
      </c>
      <c r="I2712" s="2" t="s">
        <v>30</v>
      </c>
      <c r="J2712" s="2" t="n">
        <v>1</v>
      </c>
      <c r="K2712" s="2" t="s">
        <v>47</v>
      </c>
      <c r="L2712" s="2" t="s">
        <v>32</v>
      </c>
      <c r="M2712" s="2" t="n">
        <v>23450</v>
      </c>
      <c r="N2712" s="2" t="n">
        <v>3</v>
      </c>
      <c r="O2712" s="2" t="n">
        <v>15</v>
      </c>
      <c r="P2712" s="2" t="n">
        <v>2</v>
      </c>
      <c r="Q2712" s="2" t="n">
        <v>24</v>
      </c>
      <c r="R2712" s="2" t="n">
        <v>0</v>
      </c>
      <c r="S2712" s="2" t="n">
        <v>22</v>
      </c>
      <c r="T2712" s="2" t="n">
        <v>5</v>
      </c>
      <c r="U2712" s="2" t="n">
        <v>17</v>
      </c>
      <c r="V2712" s="2" t="n">
        <v>1</v>
      </c>
      <c r="W2712" s="2" t="n">
        <v>4</v>
      </c>
      <c r="X2712" s="2" t="n">
        <v>3</v>
      </c>
      <c r="Y2712" s="2" t="n">
        <v>3</v>
      </c>
      <c r="Z2712" s="2" t="n">
        <v>3</v>
      </c>
    </row>
    <row r="2713" customFormat="false" ht="15" hidden="false" customHeight="true" outlineLevel="0" collapsed="false">
      <c r="A2713" s="2" t="n">
        <v>46</v>
      </c>
      <c r="B2713" s="2" t="s">
        <v>26</v>
      </c>
      <c r="C2713" s="2" t="s">
        <v>27</v>
      </c>
      <c r="D2713" s="2" t="s">
        <v>28</v>
      </c>
      <c r="E2713" s="2" t="n">
        <v>2</v>
      </c>
      <c r="F2713" s="2" t="n">
        <v>3</v>
      </c>
      <c r="G2713" s="2" t="s">
        <v>29</v>
      </c>
      <c r="H2713" s="2" t="n">
        <v>2712</v>
      </c>
      <c r="I2713" s="2" t="s">
        <v>30</v>
      </c>
      <c r="J2713" s="2" t="n">
        <v>1</v>
      </c>
      <c r="K2713" s="2" t="s">
        <v>36</v>
      </c>
      <c r="L2713" s="2" t="s">
        <v>37</v>
      </c>
      <c r="M2713" s="2" t="n">
        <v>34200</v>
      </c>
      <c r="N2713" s="2" t="n">
        <v>3</v>
      </c>
      <c r="O2713" s="2" t="n">
        <v>13</v>
      </c>
      <c r="P2713" s="2" t="n">
        <v>2</v>
      </c>
      <c r="Q2713" s="2" t="n">
        <v>22</v>
      </c>
      <c r="R2713" s="2" t="n">
        <v>3</v>
      </c>
      <c r="S2713" s="2" t="n">
        <v>2</v>
      </c>
      <c r="T2713" s="2" t="n">
        <v>2</v>
      </c>
      <c r="U2713" s="2" t="n">
        <v>1</v>
      </c>
      <c r="V2713" s="2" t="n">
        <v>2</v>
      </c>
      <c r="W2713" s="2" t="n">
        <v>1</v>
      </c>
      <c r="X2713" s="2" t="n">
        <v>2</v>
      </c>
      <c r="Y2713" s="2" t="n">
        <v>1</v>
      </c>
      <c r="Z2713" s="2" t="n">
        <v>3</v>
      </c>
    </row>
    <row r="2714" customFormat="false" ht="15" hidden="false" customHeight="true" outlineLevel="0" collapsed="false">
      <c r="A2714" s="2" t="n">
        <v>33</v>
      </c>
      <c r="B2714" s="2" t="s">
        <v>26</v>
      </c>
      <c r="C2714" s="2" t="s">
        <v>27</v>
      </c>
      <c r="D2714" s="2" t="s">
        <v>28</v>
      </c>
      <c r="E2714" s="2" t="n">
        <v>3</v>
      </c>
      <c r="F2714" s="2" t="n">
        <v>3</v>
      </c>
      <c r="G2714" s="2" t="s">
        <v>43</v>
      </c>
      <c r="H2714" s="2" t="n">
        <v>2713</v>
      </c>
      <c r="I2714" s="2" t="s">
        <v>39</v>
      </c>
      <c r="J2714" s="2" t="n">
        <v>1</v>
      </c>
      <c r="K2714" s="2" t="s">
        <v>47</v>
      </c>
      <c r="L2714" s="2" t="s">
        <v>37</v>
      </c>
      <c r="M2714" s="2" t="n">
        <v>43730</v>
      </c>
      <c r="N2714" s="2" t="n">
        <v>4</v>
      </c>
      <c r="O2714" s="2" t="n">
        <v>14</v>
      </c>
      <c r="P2714" s="2" t="n">
        <v>0</v>
      </c>
      <c r="Q2714" s="2" t="n">
        <v>7</v>
      </c>
      <c r="R2714" s="2" t="n">
        <v>3</v>
      </c>
      <c r="S2714" s="2" t="n">
        <v>1</v>
      </c>
      <c r="T2714" s="2" t="n">
        <v>0</v>
      </c>
      <c r="U2714" s="2" t="n">
        <v>0</v>
      </c>
      <c r="V2714" s="2" t="n">
        <v>3</v>
      </c>
      <c r="W2714" s="2" t="n">
        <v>4</v>
      </c>
      <c r="X2714" s="2" t="n">
        <v>3</v>
      </c>
      <c r="Y2714" s="2" t="n">
        <v>3</v>
      </c>
      <c r="Z2714" s="2" t="n">
        <v>3</v>
      </c>
    </row>
    <row r="2715" customFormat="false" ht="15" hidden="false" customHeight="true" outlineLevel="0" collapsed="false">
      <c r="A2715" s="2" t="n">
        <v>44</v>
      </c>
      <c r="B2715" s="2" t="s">
        <v>26</v>
      </c>
      <c r="C2715" s="2" t="s">
        <v>27</v>
      </c>
      <c r="D2715" s="2" t="s">
        <v>42</v>
      </c>
      <c r="E2715" s="2" t="n">
        <v>26</v>
      </c>
      <c r="F2715" s="2" t="n">
        <v>3</v>
      </c>
      <c r="G2715" s="2" t="s">
        <v>29</v>
      </c>
      <c r="H2715" s="2" t="n">
        <v>2714</v>
      </c>
      <c r="I2715" s="2" t="s">
        <v>39</v>
      </c>
      <c r="J2715" s="2" t="n">
        <v>5</v>
      </c>
      <c r="K2715" s="2" t="s">
        <v>31</v>
      </c>
      <c r="L2715" s="2" t="s">
        <v>32</v>
      </c>
      <c r="M2715" s="2" t="n">
        <v>47590</v>
      </c>
      <c r="N2715" s="2" t="n">
        <v>2</v>
      </c>
      <c r="O2715" s="2" t="n">
        <v>21</v>
      </c>
      <c r="P2715" s="2" t="n">
        <v>0</v>
      </c>
      <c r="Q2715" s="2" t="n">
        <v>9</v>
      </c>
      <c r="R2715" s="2" t="n">
        <v>2</v>
      </c>
      <c r="S2715" s="2" t="n">
        <v>4</v>
      </c>
      <c r="T2715" s="2" t="n">
        <v>1</v>
      </c>
      <c r="U2715" s="2" t="n">
        <v>3</v>
      </c>
      <c r="V2715" s="2" t="n">
        <v>4</v>
      </c>
      <c r="W2715" s="2" t="n">
        <v>4</v>
      </c>
      <c r="X2715" s="2" t="n">
        <v>4</v>
      </c>
      <c r="Y2715" s="2" t="n">
        <v>3</v>
      </c>
      <c r="Z2715" s="2" t="n">
        <v>4</v>
      </c>
    </row>
    <row r="2716" customFormat="false" ht="15" hidden="false" customHeight="true" outlineLevel="0" collapsed="false">
      <c r="A2716" s="2" t="n">
        <v>30</v>
      </c>
      <c r="B2716" s="2" t="s">
        <v>26</v>
      </c>
      <c r="C2716" s="2" t="s">
        <v>27</v>
      </c>
      <c r="D2716" s="2" t="s">
        <v>35</v>
      </c>
      <c r="E2716" s="2" t="n">
        <v>1</v>
      </c>
      <c r="F2716" s="2" t="n">
        <v>4</v>
      </c>
      <c r="G2716" s="2" t="s">
        <v>51</v>
      </c>
      <c r="H2716" s="2" t="n">
        <v>2715</v>
      </c>
      <c r="I2716" s="2" t="s">
        <v>30</v>
      </c>
      <c r="J2716" s="2" t="n">
        <v>1</v>
      </c>
      <c r="K2716" s="2" t="s">
        <v>36</v>
      </c>
      <c r="L2716" s="2" t="s">
        <v>37</v>
      </c>
      <c r="M2716" s="2" t="n">
        <v>53010</v>
      </c>
      <c r="N2716" s="2" t="n">
        <v>1</v>
      </c>
      <c r="O2716" s="2" t="n">
        <v>16</v>
      </c>
      <c r="P2716" s="2" t="n">
        <v>1</v>
      </c>
      <c r="Q2716" s="2" t="n">
        <v>10</v>
      </c>
      <c r="R2716" s="2" t="n">
        <v>3</v>
      </c>
      <c r="S2716" s="2" t="n">
        <v>10</v>
      </c>
      <c r="T2716" s="2" t="n">
        <v>1</v>
      </c>
      <c r="U2716" s="2" t="n">
        <v>8</v>
      </c>
      <c r="V2716" s="2" t="n">
        <v>4</v>
      </c>
      <c r="W2716" s="2" t="n">
        <v>3</v>
      </c>
      <c r="X2716" s="2" t="n">
        <v>3</v>
      </c>
      <c r="Y2716" s="2" t="n">
        <v>3</v>
      </c>
      <c r="Z2716" s="2" t="n">
        <v>3</v>
      </c>
    </row>
    <row r="2717" customFormat="false" ht="15" hidden="false" customHeight="true" outlineLevel="0" collapsed="false">
      <c r="A2717" s="2" t="n">
        <v>39</v>
      </c>
      <c r="B2717" s="2" t="s">
        <v>33</v>
      </c>
      <c r="C2717" s="2" t="s">
        <v>27</v>
      </c>
      <c r="D2717" s="2" t="s">
        <v>42</v>
      </c>
      <c r="E2717" s="2" t="n">
        <v>1</v>
      </c>
      <c r="F2717" s="2" t="n">
        <v>4</v>
      </c>
      <c r="G2717" s="2" t="s">
        <v>43</v>
      </c>
      <c r="H2717" s="2" t="n">
        <v>2716</v>
      </c>
      <c r="I2717" s="2" t="s">
        <v>39</v>
      </c>
      <c r="J2717" s="2" t="n">
        <v>1</v>
      </c>
      <c r="K2717" s="2" t="s">
        <v>40</v>
      </c>
      <c r="L2717" s="2" t="s">
        <v>32</v>
      </c>
      <c r="M2717" s="2" t="n">
        <v>36730</v>
      </c>
      <c r="N2717" s="2" t="n">
        <v>3</v>
      </c>
      <c r="O2717" s="2" t="n">
        <v>14</v>
      </c>
      <c r="P2717" s="2" t="n">
        <v>1</v>
      </c>
      <c r="Q2717" s="2" t="n">
        <v>19</v>
      </c>
      <c r="R2717" s="2" t="n">
        <v>3</v>
      </c>
      <c r="S2717" s="2" t="n">
        <v>1</v>
      </c>
      <c r="T2717" s="2" t="n">
        <v>0</v>
      </c>
      <c r="U2717" s="2" t="n">
        <v>0</v>
      </c>
      <c r="V2717" s="2" t="n">
        <v>4</v>
      </c>
      <c r="W2717" s="2" t="n">
        <v>4</v>
      </c>
      <c r="X2717" s="2" t="n">
        <v>4</v>
      </c>
      <c r="Y2717" s="2" t="n">
        <v>3</v>
      </c>
      <c r="Z2717" s="2" t="n">
        <v>3</v>
      </c>
    </row>
    <row r="2718" customFormat="false" ht="15" hidden="false" customHeight="true" outlineLevel="0" collapsed="false">
      <c r="A2718" s="2" t="n">
        <v>24</v>
      </c>
      <c r="B2718" s="2" t="s">
        <v>33</v>
      </c>
      <c r="C2718" s="2" t="s">
        <v>27</v>
      </c>
      <c r="D2718" s="2" t="s">
        <v>42</v>
      </c>
      <c r="E2718" s="2" t="n">
        <v>2</v>
      </c>
      <c r="F2718" s="2" t="n">
        <v>5</v>
      </c>
      <c r="G2718" s="2" t="s">
        <v>42</v>
      </c>
      <c r="H2718" s="2" t="n">
        <v>2717</v>
      </c>
      <c r="I2718" s="2" t="s">
        <v>39</v>
      </c>
      <c r="J2718" s="2" t="n">
        <v>3</v>
      </c>
      <c r="K2718" s="2" t="s">
        <v>40</v>
      </c>
      <c r="L2718" s="2" t="s">
        <v>32</v>
      </c>
      <c r="M2718" s="2" t="n">
        <v>47680</v>
      </c>
      <c r="N2718" s="2" t="n">
        <v>2</v>
      </c>
      <c r="O2718" s="2" t="n">
        <v>11</v>
      </c>
      <c r="P2718" s="2" t="n">
        <v>1</v>
      </c>
      <c r="Q2718" s="2" t="n">
        <v>6</v>
      </c>
      <c r="R2718" s="2" t="n">
        <v>2</v>
      </c>
      <c r="S2718" s="2" t="n">
        <v>2</v>
      </c>
      <c r="T2718" s="2" t="n">
        <v>2</v>
      </c>
      <c r="U2718" s="2" t="n">
        <v>0</v>
      </c>
      <c r="V2718" s="2" t="n">
        <v>2</v>
      </c>
      <c r="W2718" s="2" t="n">
        <v>4</v>
      </c>
      <c r="X2718" s="2" t="n">
        <v>2</v>
      </c>
      <c r="Y2718" s="2" t="n">
        <v>2</v>
      </c>
      <c r="Z2718" s="2" t="n">
        <v>3</v>
      </c>
    </row>
    <row r="2719" customFormat="false" ht="15" hidden="false" customHeight="true" outlineLevel="0" collapsed="false">
      <c r="A2719" s="2" t="n">
        <v>43</v>
      </c>
      <c r="B2719" s="2" t="s">
        <v>26</v>
      </c>
      <c r="C2719" s="2" t="s">
        <v>27</v>
      </c>
      <c r="D2719" s="2" t="s">
        <v>28</v>
      </c>
      <c r="E2719" s="2" t="n">
        <v>9</v>
      </c>
      <c r="F2719" s="2" t="n">
        <v>5</v>
      </c>
      <c r="G2719" s="2" t="s">
        <v>51</v>
      </c>
      <c r="H2719" s="2" t="n">
        <v>2718</v>
      </c>
      <c r="I2719" s="2" t="s">
        <v>30</v>
      </c>
      <c r="J2719" s="2" t="n">
        <v>1</v>
      </c>
      <c r="K2719" s="2" t="s">
        <v>44</v>
      </c>
      <c r="L2719" s="2" t="s">
        <v>46</v>
      </c>
      <c r="M2719" s="2" t="n">
        <v>12740</v>
      </c>
      <c r="N2719" s="2" t="n">
        <v>1</v>
      </c>
      <c r="O2719" s="2" t="n">
        <v>19</v>
      </c>
      <c r="P2719" s="2" t="n">
        <v>0</v>
      </c>
      <c r="Q2719" s="2" t="n">
        <v>6</v>
      </c>
      <c r="R2719" s="2" t="n">
        <v>3</v>
      </c>
      <c r="S2719" s="2" t="n">
        <v>5</v>
      </c>
      <c r="T2719" s="2" t="n">
        <v>1</v>
      </c>
      <c r="U2719" s="2" t="n">
        <v>4</v>
      </c>
      <c r="V2719" s="2" t="n">
        <v>4</v>
      </c>
      <c r="W2719" s="2" t="n">
        <v>3</v>
      </c>
      <c r="X2719" s="2" t="n">
        <v>2</v>
      </c>
      <c r="Y2719" s="2" t="n">
        <v>2</v>
      </c>
      <c r="Z2719" s="2" t="n">
        <v>3</v>
      </c>
    </row>
    <row r="2720" customFormat="false" ht="15" hidden="false" customHeight="true" outlineLevel="0" collapsed="false">
      <c r="A2720" s="2" t="n">
        <v>50</v>
      </c>
      <c r="B2720" s="2" t="s">
        <v>33</v>
      </c>
      <c r="C2720" s="2" t="s">
        <v>27</v>
      </c>
      <c r="D2720" s="2" t="s">
        <v>35</v>
      </c>
      <c r="E2720" s="2" t="n">
        <v>12</v>
      </c>
      <c r="F2720" s="2" t="n">
        <v>4</v>
      </c>
      <c r="G2720" s="2" t="s">
        <v>43</v>
      </c>
      <c r="H2720" s="2" t="n">
        <v>2719</v>
      </c>
      <c r="I2720" s="2" t="s">
        <v>39</v>
      </c>
      <c r="J2720" s="2" t="n">
        <v>1</v>
      </c>
      <c r="K2720" s="2" t="s">
        <v>44</v>
      </c>
      <c r="L2720" s="2" t="s">
        <v>32</v>
      </c>
      <c r="M2720" s="2" t="n">
        <v>49000</v>
      </c>
      <c r="N2720" s="2" t="n">
        <v>1</v>
      </c>
      <c r="O2720" s="2" t="n">
        <v>11</v>
      </c>
      <c r="P2720" s="2" t="n">
        <v>0</v>
      </c>
      <c r="Q2720" s="2" t="n">
        <v>3</v>
      </c>
      <c r="R2720" s="2" t="n">
        <v>3</v>
      </c>
      <c r="S2720" s="2" t="n">
        <v>3</v>
      </c>
      <c r="T2720" s="2" t="n">
        <v>0</v>
      </c>
      <c r="U2720" s="2" t="n">
        <v>2</v>
      </c>
      <c r="V2720" s="2" t="n">
        <v>1</v>
      </c>
      <c r="W2720" s="2" t="n">
        <v>3</v>
      </c>
      <c r="X2720" s="2" t="n">
        <v>3</v>
      </c>
      <c r="Y2720" s="2" t="n">
        <v>2</v>
      </c>
      <c r="Z2720" s="2" t="n">
        <v>3</v>
      </c>
    </row>
    <row r="2721" customFormat="false" ht="15" hidden="false" customHeight="true" outlineLevel="0" collapsed="false">
      <c r="A2721" s="2" t="n">
        <v>35</v>
      </c>
      <c r="B2721" s="2" t="s">
        <v>26</v>
      </c>
      <c r="C2721" s="2" t="s">
        <v>27</v>
      </c>
      <c r="D2721" s="2" t="s">
        <v>28</v>
      </c>
      <c r="E2721" s="2" t="n">
        <v>2</v>
      </c>
      <c r="F2721" s="2" t="n">
        <v>4</v>
      </c>
      <c r="G2721" s="2" t="s">
        <v>50</v>
      </c>
      <c r="H2721" s="2" t="n">
        <v>2720</v>
      </c>
      <c r="I2721" s="2" t="s">
        <v>39</v>
      </c>
      <c r="J2721" s="2" t="n">
        <v>3</v>
      </c>
      <c r="K2721" s="2" t="s">
        <v>47</v>
      </c>
      <c r="L2721" s="2" t="s">
        <v>32</v>
      </c>
      <c r="M2721" s="2" t="n">
        <v>104660</v>
      </c>
      <c r="N2721" s="2" t="n">
        <v>1</v>
      </c>
      <c r="O2721" s="2" t="n">
        <v>13</v>
      </c>
      <c r="P2721" s="2" t="n">
        <v>0</v>
      </c>
      <c r="Q2721" s="2" t="n">
        <v>2</v>
      </c>
      <c r="R2721" s="2" t="n">
        <v>1</v>
      </c>
      <c r="S2721" s="2" t="n">
        <v>2</v>
      </c>
      <c r="T2721" s="2" t="n">
        <v>2</v>
      </c>
      <c r="U2721" s="2" t="n">
        <v>2</v>
      </c>
      <c r="V2721" s="2" t="n">
        <v>4</v>
      </c>
      <c r="W2721" s="2" t="n">
        <v>4</v>
      </c>
      <c r="X2721" s="2" t="n">
        <v>3</v>
      </c>
      <c r="Y2721" s="2" t="n">
        <v>3</v>
      </c>
      <c r="Z2721" s="2" t="n">
        <v>3</v>
      </c>
    </row>
    <row r="2722" customFormat="false" ht="15" hidden="false" customHeight="true" outlineLevel="0" collapsed="false">
      <c r="A2722" s="2" t="n">
        <v>36</v>
      </c>
      <c r="B2722" s="2" t="s">
        <v>26</v>
      </c>
      <c r="C2722" s="2" t="s">
        <v>27</v>
      </c>
      <c r="D2722" s="2" t="s">
        <v>35</v>
      </c>
      <c r="E2722" s="2" t="n">
        <v>25</v>
      </c>
      <c r="F2722" s="2" t="n">
        <v>1</v>
      </c>
      <c r="G2722" s="2" t="s">
        <v>29</v>
      </c>
      <c r="H2722" s="2" t="n">
        <v>2721</v>
      </c>
      <c r="I2722" s="2" t="s">
        <v>30</v>
      </c>
      <c r="J2722" s="2" t="n">
        <v>4</v>
      </c>
      <c r="K2722" s="2" t="s">
        <v>40</v>
      </c>
      <c r="L2722" s="2" t="s">
        <v>32</v>
      </c>
      <c r="M2722" s="2" t="n">
        <v>170070</v>
      </c>
      <c r="N2722" s="2" t="n">
        <v>9</v>
      </c>
      <c r="O2722" s="2" t="n">
        <v>12</v>
      </c>
      <c r="P2722" s="2" t="n">
        <v>1</v>
      </c>
      <c r="Q2722" s="2" t="n">
        <v>6</v>
      </c>
      <c r="R2722" s="2" t="n">
        <v>2</v>
      </c>
      <c r="S2722" s="2" t="n">
        <v>1</v>
      </c>
      <c r="T2722" s="2" t="n">
        <v>0</v>
      </c>
      <c r="U2722" s="2" t="n">
        <v>0</v>
      </c>
      <c r="V2722" s="2" t="n">
        <v>2</v>
      </c>
      <c r="W2722" s="2" t="n">
        <v>1</v>
      </c>
      <c r="X2722" s="2" t="n">
        <v>4</v>
      </c>
      <c r="Y2722" s="2" t="n">
        <v>2</v>
      </c>
      <c r="Z2722" s="2" t="n">
        <v>3</v>
      </c>
    </row>
    <row r="2723" customFormat="false" ht="15" hidden="false" customHeight="true" outlineLevel="0" collapsed="false">
      <c r="A2723" s="2" t="n">
        <v>33</v>
      </c>
      <c r="B2723" s="2" t="s">
        <v>26</v>
      </c>
      <c r="C2723" s="2" t="s">
        <v>34</v>
      </c>
      <c r="D2723" s="2" t="s">
        <v>28</v>
      </c>
      <c r="E2723" s="2" t="n">
        <v>9</v>
      </c>
      <c r="F2723" s="2" t="n">
        <v>2</v>
      </c>
      <c r="G2723" s="2" t="s">
        <v>50</v>
      </c>
      <c r="H2723" s="2" t="n">
        <v>2722</v>
      </c>
      <c r="I2723" s="2" t="s">
        <v>39</v>
      </c>
      <c r="J2723" s="2" t="n">
        <v>4</v>
      </c>
      <c r="K2723" s="2" t="s">
        <v>42</v>
      </c>
      <c r="L2723" s="2" t="s">
        <v>32</v>
      </c>
      <c r="M2723" s="2" t="n">
        <v>29090</v>
      </c>
      <c r="N2723" s="2" t="n">
        <v>2</v>
      </c>
      <c r="O2723" s="2" t="n">
        <v>11</v>
      </c>
      <c r="P2723" s="2" t="n">
        <v>0</v>
      </c>
      <c r="Q2723" s="2" t="n">
        <v>10</v>
      </c>
      <c r="R2723" s="2" t="n">
        <v>2</v>
      </c>
      <c r="S2723" s="2" t="n">
        <v>5</v>
      </c>
      <c r="T2723" s="2" t="n">
        <v>1</v>
      </c>
      <c r="U2723" s="2" t="n">
        <v>3</v>
      </c>
      <c r="V2723" s="2" t="n">
        <v>3</v>
      </c>
      <c r="W2723" s="2" t="n">
        <v>1</v>
      </c>
      <c r="X2723" s="2" t="n">
        <v>3</v>
      </c>
      <c r="Y2723" s="2" t="n">
        <v>2</v>
      </c>
      <c r="Z2723" s="2" t="n">
        <v>3</v>
      </c>
    </row>
    <row r="2724" customFormat="false" ht="15" hidden="false" customHeight="true" outlineLevel="0" collapsed="false">
      <c r="A2724" s="2" t="n">
        <v>35</v>
      </c>
      <c r="B2724" s="2" t="s">
        <v>26</v>
      </c>
      <c r="C2724" s="2" t="s">
        <v>27</v>
      </c>
      <c r="D2724" s="2" t="s">
        <v>35</v>
      </c>
      <c r="E2724" s="2" t="n">
        <v>10</v>
      </c>
      <c r="F2724" s="2" t="n">
        <v>1</v>
      </c>
      <c r="G2724" s="2" t="s">
        <v>43</v>
      </c>
      <c r="H2724" s="2" t="n">
        <v>2723</v>
      </c>
      <c r="I2724" s="2" t="s">
        <v>39</v>
      </c>
      <c r="J2724" s="2" t="n">
        <v>1</v>
      </c>
      <c r="K2724" s="2" t="s">
        <v>36</v>
      </c>
      <c r="L2724" s="2" t="s">
        <v>46</v>
      </c>
      <c r="M2724" s="2" t="n">
        <v>57650</v>
      </c>
      <c r="N2724" s="2" t="n">
        <v>1</v>
      </c>
      <c r="O2724" s="2" t="n">
        <v>14</v>
      </c>
      <c r="P2724" s="2" t="n">
        <v>1</v>
      </c>
      <c r="Q2724" s="2" t="n">
        <v>1</v>
      </c>
      <c r="R2724" s="2" t="n">
        <v>2</v>
      </c>
      <c r="S2724" s="2" t="n">
        <v>1</v>
      </c>
      <c r="T2724" s="2" t="n">
        <v>0</v>
      </c>
      <c r="U2724" s="2" t="n">
        <v>0</v>
      </c>
      <c r="V2724" s="2" t="n">
        <v>3</v>
      </c>
      <c r="W2724" s="2" t="n">
        <v>4</v>
      </c>
      <c r="X2724" s="2" t="n">
        <v>3</v>
      </c>
      <c r="Y2724" s="2" t="n">
        <v>3</v>
      </c>
      <c r="Z2724" s="2" t="n">
        <v>3</v>
      </c>
    </row>
    <row r="2725" customFormat="false" ht="15" hidden="false" customHeight="true" outlineLevel="0" collapsed="false">
      <c r="A2725" s="2" t="n">
        <v>27</v>
      </c>
      <c r="B2725" s="2" t="s">
        <v>26</v>
      </c>
      <c r="C2725" s="2" t="s">
        <v>27</v>
      </c>
      <c r="D2725" s="2" t="s">
        <v>28</v>
      </c>
      <c r="E2725" s="2" t="n">
        <v>8</v>
      </c>
      <c r="F2725" s="2" t="n">
        <v>2</v>
      </c>
      <c r="G2725" s="2" t="s">
        <v>50</v>
      </c>
      <c r="H2725" s="2" t="n">
        <v>2724</v>
      </c>
      <c r="I2725" s="2" t="s">
        <v>30</v>
      </c>
      <c r="J2725" s="2" t="n">
        <v>3</v>
      </c>
      <c r="K2725" s="2" t="s">
        <v>36</v>
      </c>
      <c r="L2725" s="2" t="s">
        <v>46</v>
      </c>
      <c r="M2725" s="2" t="n">
        <v>45990</v>
      </c>
      <c r="N2725" s="2" t="n">
        <v>1</v>
      </c>
      <c r="O2725" s="2" t="n">
        <v>15</v>
      </c>
      <c r="P2725" s="2" t="n">
        <v>1</v>
      </c>
      <c r="Q2725" s="2" t="n">
        <v>1</v>
      </c>
      <c r="R2725" s="2" t="n">
        <v>3</v>
      </c>
      <c r="S2725" s="2" t="n">
        <v>1</v>
      </c>
      <c r="T2725" s="2" t="n">
        <v>0</v>
      </c>
      <c r="U2725" s="2" t="n">
        <v>0</v>
      </c>
      <c r="V2725" s="2" t="n">
        <v>4</v>
      </c>
      <c r="W2725" s="2" t="n">
        <v>1</v>
      </c>
      <c r="X2725" s="2" t="n">
        <v>3</v>
      </c>
      <c r="Y2725" s="2" t="n">
        <v>2</v>
      </c>
      <c r="Z2725" s="2" t="n">
        <v>3</v>
      </c>
    </row>
    <row r="2726" customFormat="false" ht="15" hidden="false" customHeight="true" outlineLevel="0" collapsed="false">
      <c r="A2726" s="2" t="n">
        <v>26</v>
      </c>
      <c r="B2726" s="2" t="s">
        <v>33</v>
      </c>
      <c r="C2726" s="2" t="s">
        <v>27</v>
      </c>
      <c r="D2726" s="2" t="s">
        <v>28</v>
      </c>
      <c r="E2726" s="2" t="n">
        <v>4</v>
      </c>
      <c r="F2726" s="2" t="n">
        <v>3</v>
      </c>
      <c r="G2726" s="2" t="s">
        <v>50</v>
      </c>
      <c r="H2726" s="2" t="n">
        <v>2725</v>
      </c>
      <c r="I2726" s="2" t="s">
        <v>39</v>
      </c>
      <c r="J2726" s="2" t="n">
        <v>2</v>
      </c>
      <c r="K2726" s="2" t="s">
        <v>49</v>
      </c>
      <c r="L2726" s="2" t="s">
        <v>37</v>
      </c>
      <c r="M2726" s="2" t="n">
        <v>24040</v>
      </c>
      <c r="N2726" s="2" t="n">
        <v>1</v>
      </c>
      <c r="O2726" s="2" t="n">
        <v>12</v>
      </c>
      <c r="P2726" s="2" t="n">
        <v>0</v>
      </c>
      <c r="Q2726" s="2" t="n">
        <v>1</v>
      </c>
      <c r="R2726" s="2" t="n">
        <v>6</v>
      </c>
      <c r="S2726" s="2" t="n">
        <v>1</v>
      </c>
      <c r="T2726" s="2" t="n">
        <v>0</v>
      </c>
      <c r="U2726" s="2" t="n">
        <v>1</v>
      </c>
      <c r="V2726" s="2" t="n">
        <v>1</v>
      </c>
      <c r="W2726" s="2" t="n">
        <v>3</v>
      </c>
      <c r="X2726" s="2" t="n">
        <v>2</v>
      </c>
      <c r="Y2726" s="2" t="n">
        <v>3</v>
      </c>
      <c r="Z2726" s="2" t="n">
        <v>3</v>
      </c>
    </row>
    <row r="2727" customFormat="false" ht="15" hidden="false" customHeight="true" outlineLevel="0" collapsed="false">
      <c r="A2727" s="2" t="n">
        <v>27</v>
      </c>
      <c r="B2727" s="2" t="s">
        <v>26</v>
      </c>
      <c r="C2727" s="2" t="s">
        <v>34</v>
      </c>
      <c r="D2727" s="2" t="s">
        <v>28</v>
      </c>
      <c r="E2727" s="2" t="n">
        <v>24</v>
      </c>
      <c r="F2727" s="2" t="n">
        <v>3</v>
      </c>
      <c r="G2727" s="2" t="s">
        <v>29</v>
      </c>
      <c r="H2727" s="2" t="n">
        <v>2726</v>
      </c>
      <c r="I2727" s="2" t="s">
        <v>39</v>
      </c>
      <c r="J2727" s="2" t="n">
        <v>4</v>
      </c>
      <c r="K2727" s="2" t="s">
        <v>31</v>
      </c>
      <c r="L2727" s="2" t="s">
        <v>37</v>
      </c>
      <c r="M2727" s="2" t="n">
        <v>31720</v>
      </c>
      <c r="N2727" s="2" t="n">
        <v>1</v>
      </c>
      <c r="O2727" s="2" t="n">
        <v>20</v>
      </c>
      <c r="P2727" s="2" t="n">
        <v>1</v>
      </c>
      <c r="Q2727" s="2" t="n">
        <v>9</v>
      </c>
      <c r="R2727" s="2" t="n">
        <v>1</v>
      </c>
      <c r="S2727" s="2" t="n">
        <v>9</v>
      </c>
      <c r="T2727" s="2" t="n">
        <v>1</v>
      </c>
      <c r="U2727" s="2" t="n">
        <v>7</v>
      </c>
      <c r="V2727" s="2" t="n">
        <v>4</v>
      </c>
      <c r="W2727" s="2" t="n">
        <v>3</v>
      </c>
      <c r="X2727" s="2" t="n">
        <v>3</v>
      </c>
      <c r="Y2727" s="2" t="n">
        <v>3</v>
      </c>
      <c r="Z2727" s="2" t="n">
        <v>4</v>
      </c>
    </row>
    <row r="2728" customFormat="false" ht="15" hidden="false" customHeight="true" outlineLevel="0" collapsed="false">
      <c r="A2728" s="2" t="n">
        <v>30</v>
      </c>
      <c r="B2728" s="2" t="s">
        <v>26</v>
      </c>
      <c r="C2728" s="2" t="s">
        <v>34</v>
      </c>
      <c r="D2728" s="2" t="s">
        <v>35</v>
      </c>
      <c r="E2728" s="2" t="n">
        <v>1</v>
      </c>
      <c r="F2728" s="2" t="n">
        <v>4</v>
      </c>
      <c r="G2728" s="2" t="s">
        <v>43</v>
      </c>
      <c r="H2728" s="2" t="n">
        <v>2727</v>
      </c>
      <c r="I2728" s="2" t="s">
        <v>39</v>
      </c>
      <c r="J2728" s="2" t="n">
        <v>1</v>
      </c>
      <c r="K2728" s="2" t="s">
        <v>36</v>
      </c>
      <c r="L2728" s="2" t="s">
        <v>37</v>
      </c>
      <c r="M2728" s="2" t="n">
        <v>20330</v>
      </c>
      <c r="N2728" s="2" t="n">
        <v>1</v>
      </c>
      <c r="O2728" s="2" t="n">
        <v>14</v>
      </c>
      <c r="P2728" s="2" t="n">
        <v>1</v>
      </c>
      <c r="Q2728" s="2" t="n">
        <v>12</v>
      </c>
      <c r="R2728" s="2" t="n">
        <v>3</v>
      </c>
      <c r="S2728" s="2" t="n">
        <v>12</v>
      </c>
      <c r="T2728" s="2" t="n">
        <v>3</v>
      </c>
      <c r="U2728" s="2" t="n">
        <v>7</v>
      </c>
      <c r="V2728" s="2" t="n">
        <v>3</v>
      </c>
      <c r="W2728" s="2" t="n">
        <v>4</v>
      </c>
      <c r="X2728" s="2" t="n">
        <v>3</v>
      </c>
      <c r="Y2728" s="2" t="n">
        <v>1</v>
      </c>
      <c r="Z2728" s="2" t="n">
        <v>3</v>
      </c>
    </row>
    <row r="2729" customFormat="false" ht="15" hidden="false" customHeight="true" outlineLevel="0" collapsed="false">
      <c r="A2729" s="2" t="n">
        <v>41</v>
      </c>
      <c r="B2729" s="2" t="s">
        <v>33</v>
      </c>
      <c r="C2729" s="2" t="s">
        <v>27</v>
      </c>
      <c r="D2729" s="2" t="s">
        <v>28</v>
      </c>
      <c r="E2729" s="2" t="n">
        <v>20</v>
      </c>
      <c r="F2729" s="2" t="n">
        <v>4</v>
      </c>
      <c r="G2729" s="2" t="s">
        <v>50</v>
      </c>
      <c r="H2729" s="2" t="n">
        <v>2728</v>
      </c>
      <c r="I2729" s="2" t="s">
        <v>39</v>
      </c>
      <c r="J2729" s="2" t="n">
        <v>2</v>
      </c>
      <c r="K2729" s="2" t="s">
        <v>40</v>
      </c>
      <c r="L2729" s="2" t="s">
        <v>32</v>
      </c>
      <c r="M2729" s="2" t="n">
        <v>102090</v>
      </c>
      <c r="N2729" s="2" t="n">
        <v>1</v>
      </c>
      <c r="O2729" s="2" t="n">
        <v>13</v>
      </c>
      <c r="P2729" s="2" t="n">
        <v>1</v>
      </c>
      <c r="Q2729" s="2" t="n">
        <v>23</v>
      </c>
      <c r="R2729" s="2" t="n">
        <v>2</v>
      </c>
      <c r="S2729" s="2" t="n">
        <v>22</v>
      </c>
      <c r="T2729" s="2" t="n">
        <v>15</v>
      </c>
      <c r="U2729" s="2" t="n">
        <v>8</v>
      </c>
      <c r="V2729" s="2" t="n">
        <v>2</v>
      </c>
      <c r="W2729" s="2" t="n">
        <v>3</v>
      </c>
      <c r="X2729" s="2" t="n">
        <v>3</v>
      </c>
      <c r="Y2729" s="2" t="n">
        <v>3</v>
      </c>
      <c r="Z2729" s="2" t="n">
        <v>3</v>
      </c>
    </row>
    <row r="2730" customFormat="false" ht="15" hidden="false" customHeight="true" outlineLevel="0" collapsed="false">
      <c r="A2730" s="2" t="n">
        <v>34</v>
      </c>
      <c r="B2730" s="2" t="s">
        <v>26</v>
      </c>
      <c r="C2730" s="2" t="s">
        <v>41</v>
      </c>
      <c r="D2730" s="2" t="s">
        <v>35</v>
      </c>
      <c r="E2730" s="2" t="n">
        <v>7</v>
      </c>
      <c r="F2730" s="2" t="n">
        <v>2</v>
      </c>
      <c r="G2730" s="2" t="s">
        <v>51</v>
      </c>
      <c r="H2730" s="2" t="n">
        <v>2729</v>
      </c>
      <c r="I2730" s="2" t="s">
        <v>30</v>
      </c>
      <c r="J2730" s="2" t="n">
        <v>1</v>
      </c>
      <c r="K2730" s="2" t="s">
        <v>36</v>
      </c>
      <c r="L2730" s="2" t="s">
        <v>37</v>
      </c>
      <c r="M2730" s="2" t="n">
        <v>86200</v>
      </c>
      <c r="N2730" s="2" t="n">
        <v>0</v>
      </c>
      <c r="O2730" s="2" t="n">
        <v>13</v>
      </c>
      <c r="P2730" s="2" t="n">
        <v>1</v>
      </c>
      <c r="Q2730" s="2" t="n">
        <v>10</v>
      </c>
      <c r="R2730" s="2" t="n">
        <v>2</v>
      </c>
      <c r="S2730" s="2" t="n">
        <v>9</v>
      </c>
      <c r="T2730" s="2" t="n">
        <v>8</v>
      </c>
      <c r="U2730" s="2" t="n">
        <v>7</v>
      </c>
      <c r="V2730" s="2" t="n">
        <v>2</v>
      </c>
      <c r="W2730" s="2" t="n">
        <v>3</v>
      </c>
      <c r="X2730" s="2" t="n">
        <v>3</v>
      </c>
      <c r="Y2730" s="2" t="n">
        <v>2</v>
      </c>
      <c r="Z2730" s="2" t="n">
        <v>3</v>
      </c>
    </row>
    <row r="2731" customFormat="false" ht="15" hidden="false" customHeight="true" outlineLevel="0" collapsed="false">
      <c r="A2731" s="2" t="n">
        <v>37</v>
      </c>
      <c r="B2731" s="2" t="s">
        <v>26</v>
      </c>
      <c r="C2731" s="2" t="s">
        <v>27</v>
      </c>
      <c r="D2731" s="2" t="s">
        <v>35</v>
      </c>
      <c r="E2731" s="2" t="n">
        <v>17</v>
      </c>
      <c r="F2731" s="2" t="n">
        <v>3</v>
      </c>
      <c r="G2731" s="2" t="s">
        <v>29</v>
      </c>
      <c r="H2731" s="2" t="n">
        <v>2730</v>
      </c>
      <c r="I2731" s="2" t="s">
        <v>30</v>
      </c>
      <c r="J2731" s="2" t="n">
        <v>3</v>
      </c>
      <c r="K2731" s="2" t="s">
        <v>40</v>
      </c>
      <c r="L2731" s="2" t="s">
        <v>32</v>
      </c>
      <c r="M2731" s="2" t="n">
        <v>20640</v>
      </c>
      <c r="N2731" s="2" t="n">
        <v>4</v>
      </c>
      <c r="O2731" s="2" t="n">
        <v>16</v>
      </c>
      <c r="P2731" s="2" t="n">
        <v>0</v>
      </c>
      <c r="Q2731" s="2" t="n">
        <v>8</v>
      </c>
      <c r="R2731" s="2" t="n">
        <v>3</v>
      </c>
      <c r="S2731" s="2" t="n">
        <v>1</v>
      </c>
      <c r="T2731" s="2" t="n">
        <v>0</v>
      </c>
      <c r="U2731" s="2" t="n">
        <v>0</v>
      </c>
      <c r="V2731" s="2" t="n">
        <v>2</v>
      </c>
      <c r="W2731" s="2" t="n">
        <v>2</v>
      </c>
      <c r="X2731" s="2" t="n">
        <v>3</v>
      </c>
      <c r="Y2731" s="2" t="n">
        <v>2</v>
      </c>
      <c r="Z2731" s="2" t="n">
        <v>3</v>
      </c>
    </row>
    <row r="2732" customFormat="false" ht="15" hidden="false" customHeight="true" outlineLevel="0" collapsed="false">
      <c r="A2732" s="2" t="n">
        <v>46</v>
      </c>
      <c r="B2732" s="2" t="s">
        <v>26</v>
      </c>
      <c r="C2732" s="2" t="s">
        <v>34</v>
      </c>
      <c r="D2732" s="2" t="s">
        <v>35</v>
      </c>
      <c r="E2732" s="2" t="n">
        <v>20</v>
      </c>
      <c r="F2732" s="2" t="n">
        <v>3</v>
      </c>
      <c r="G2732" s="2" t="s">
        <v>51</v>
      </c>
      <c r="H2732" s="2" t="n">
        <v>2731</v>
      </c>
      <c r="I2732" s="2" t="s">
        <v>39</v>
      </c>
      <c r="J2732" s="2" t="n">
        <v>3</v>
      </c>
      <c r="K2732" s="2" t="s">
        <v>40</v>
      </c>
      <c r="L2732" s="2" t="s">
        <v>37</v>
      </c>
      <c r="M2732" s="2" t="n">
        <v>40350</v>
      </c>
      <c r="N2732" s="2" t="n">
        <v>4</v>
      </c>
      <c r="O2732" s="2" t="n">
        <v>14</v>
      </c>
      <c r="P2732" s="2" t="n">
        <v>1</v>
      </c>
      <c r="Q2732" s="2" t="n">
        <v>14</v>
      </c>
      <c r="R2732" s="2" t="n">
        <v>2</v>
      </c>
      <c r="S2732" s="2" t="n">
        <v>9</v>
      </c>
      <c r="T2732" s="2" t="n">
        <v>0</v>
      </c>
      <c r="U2732" s="2" t="n">
        <v>8</v>
      </c>
      <c r="V2732" s="2" t="n">
        <v>1</v>
      </c>
      <c r="W2732" s="2" t="n">
        <v>4</v>
      </c>
      <c r="X2732" s="2" t="n">
        <v>3</v>
      </c>
      <c r="Y2732" s="2" t="n">
        <v>3</v>
      </c>
      <c r="Z2732" s="2" t="n">
        <v>3</v>
      </c>
    </row>
    <row r="2733" customFormat="false" ht="15" hidden="false" customHeight="true" outlineLevel="0" collapsed="false">
      <c r="A2733" s="2" t="n">
        <v>35</v>
      </c>
      <c r="B2733" s="2" t="s">
        <v>26</v>
      </c>
      <c r="C2733" s="2" t="s">
        <v>27</v>
      </c>
      <c r="D2733" s="2" t="s">
        <v>35</v>
      </c>
      <c r="E2733" s="2" t="n">
        <v>8</v>
      </c>
      <c r="F2733" s="2" t="n">
        <v>4</v>
      </c>
      <c r="G2733" s="2" t="s">
        <v>43</v>
      </c>
      <c r="H2733" s="2" t="n">
        <v>2732</v>
      </c>
      <c r="I2733" s="2" t="s">
        <v>30</v>
      </c>
      <c r="J2733" s="2" t="n">
        <v>3</v>
      </c>
      <c r="K2733" s="2" t="s">
        <v>36</v>
      </c>
      <c r="L2733" s="2" t="s">
        <v>32</v>
      </c>
      <c r="M2733" s="2" t="n">
        <v>38380</v>
      </c>
      <c r="N2733" s="2" t="n">
        <v>1</v>
      </c>
      <c r="O2733" s="2" t="n">
        <v>16</v>
      </c>
      <c r="P2733" s="2" t="n">
        <v>1</v>
      </c>
      <c r="Q2733" s="2" t="n">
        <v>1</v>
      </c>
      <c r="R2733" s="2" t="n">
        <v>2</v>
      </c>
      <c r="S2733" s="2" t="n">
        <v>1</v>
      </c>
      <c r="T2733" s="2" t="n">
        <v>0</v>
      </c>
      <c r="U2733" s="2" t="n">
        <v>1</v>
      </c>
      <c r="V2733" s="2" t="n">
        <v>4</v>
      </c>
      <c r="W2733" s="2" t="n">
        <v>4</v>
      </c>
      <c r="X2733" s="2" t="n">
        <v>3</v>
      </c>
      <c r="Y2733" s="2" t="n">
        <v>3</v>
      </c>
      <c r="Z2733" s="2" t="n">
        <v>3</v>
      </c>
    </row>
    <row r="2734" customFormat="false" ht="15" hidden="false" customHeight="true" outlineLevel="0" collapsed="false">
      <c r="A2734" s="2" t="n">
        <v>48</v>
      </c>
      <c r="B2734" s="2" t="s">
        <v>33</v>
      </c>
      <c r="C2734" s="2" t="s">
        <v>27</v>
      </c>
      <c r="D2734" s="2" t="s">
        <v>35</v>
      </c>
      <c r="E2734" s="2" t="n">
        <v>2</v>
      </c>
      <c r="F2734" s="2" t="n">
        <v>4</v>
      </c>
      <c r="G2734" s="2" t="s">
        <v>51</v>
      </c>
      <c r="H2734" s="2" t="n">
        <v>2733</v>
      </c>
      <c r="I2734" s="2" t="s">
        <v>30</v>
      </c>
      <c r="J2734" s="2" t="n">
        <v>1</v>
      </c>
      <c r="K2734" s="2" t="s">
        <v>40</v>
      </c>
      <c r="L2734" s="2" t="s">
        <v>37</v>
      </c>
      <c r="M2734" s="2" t="n">
        <v>45910</v>
      </c>
      <c r="N2734" s="2" t="n">
        <v>9</v>
      </c>
      <c r="O2734" s="2" t="n">
        <v>16</v>
      </c>
      <c r="P2734" s="2" t="n">
        <v>0</v>
      </c>
      <c r="Q2734" s="2" t="n">
        <v>23</v>
      </c>
      <c r="R2734" s="2" t="n">
        <v>6</v>
      </c>
      <c r="S2734" s="2" t="n">
        <v>1</v>
      </c>
      <c r="T2734" s="2" t="n">
        <v>0</v>
      </c>
      <c r="U2734" s="2" t="n">
        <v>0</v>
      </c>
      <c r="V2734" s="2" t="n">
        <v>1</v>
      </c>
      <c r="W2734" s="2" t="n">
        <v>3</v>
      </c>
      <c r="X2734" s="2" t="n">
        <v>3</v>
      </c>
      <c r="Y2734" s="2" t="n">
        <v>1</v>
      </c>
      <c r="Z2734" s="2" t="n">
        <v>3</v>
      </c>
    </row>
    <row r="2735" customFormat="false" ht="15" hidden="false" customHeight="true" outlineLevel="0" collapsed="false">
      <c r="A2735" s="2" t="n">
        <v>28</v>
      </c>
      <c r="B2735" s="2" t="s">
        <v>33</v>
      </c>
      <c r="C2735" s="2" t="s">
        <v>27</v>
      </c>
      <c r="D2735" s="2" t="s">
        <v>35</v>
      </c>
      <c r="E2735" s="2" t="n">
        <v>10</v>
      </c>
      <c r="F2735" s="2" t="n">
        <v>1</v>
      </c>
      <c r="G2735" s="2" t="s">
        <v>43</v>
      </c>
      <c r="H2735" s="2" t="n">
        <v>2734</v>
      </c>
      <c r="I2735" s="2" t="s">
        <v>39</v>
      </c>
      <c r="J2735" s="2" t="n">
        <v>1</v>
      </c>
      <c r="K2735" s="2" t="s">
        <v>40</v>
      </c>
      <c r="L2735" s="2" t="s">
        <v>37</v>
      </c>
      <c r="M2735" s="2" t="n">
        <v>25610</v>
      </c>
      <c r="N2735" s="2" t="n">
        <v>1</v>
      </c>
      <c r="O2735" s="2" t="n">
        <v>22</v>
      </c>
      <c r="P2735" s="2" t="n">
        <v>1</v>
      </c>
      <c r="Q2735" s="2" t="n">
        <v>2</v>
      </c>
      <c r="R2735" s="2" t="n">
        <v>3</v>
      </c>
      <c r="S2735" s="2" t="n">
        <v>2</v>
      </c>
      <c r="T2735" s="2" t="n">
        <v>2</v>
      </c>
      <c r="U2735" s="2" t="n">
        <v>2</v>
      </c>
      <c r="V2735" s="2" t="n">
        <v>3</v>
      </c>
      <c r="W2735" s="2" t="n">
        <v>3</v>
      </c>
      <c r="X2735" s="2" t="n">
        <v>2</v>
      </c>
      <c r="Y2735" s="2" t="n">
        <v>3</v>
      </c>
      <c r="Z2735" s="2" t="n">
        <v>4</v>
      </c>
    </row>
    <row r="2736" customFormat="false" ht="15" hidden="false" customHeight="true" outlineLevel="0" collapsed="false">
      <c r="A2736" s="2" t="n">
        <v>44</v>
      </c>
      <c r="B2736" s="2" t="s">
        <v>26</v>
      </c>
      <c r="C2736" s="2" t="s">
        <v>27</v>
      </c>
      <c r="D2736" s="2" t="s">
        <v>35</v>
      </c>
      <c r="E2736" s="2" t="n">
        <v>1</v>
      </c>
      <c r="F2736" s="2" t="n">
        <v>1</v>
      </c>
      <c r="G2736" s="2" t="s">
        <v>43</v>
      </c>
      <c r="H2736" s="2" t="n">
        <v>2735</v>
      </c>
      <c r="I2736" s="2" t="s">
        <v>30</v>
      </c>
      <c r="J2736" s="2" t="n">
        <v>3</v>
      </c>
      <c r="K2736" s="2" t="s">
        <v>36</v>
      </c>
      <c r="L2736" s="2" t="s">
        <v>46</v>
      </c>
      <c r="M2736" s="2" t="n">
        <v>15630</v>
      </c>
      <c r="N2736" s="2" t="n">
        <v>5</v>
      </c>
      <c r="O2736" s="2" t="n">
        <v>12</v>
      </c>
      <c r="P2736" s="2" t="n">
        <v>2</v>
      </c>
      <c r="Q2736" s="2" t="n">
        <v>9</v>
      </c>
      <c r="R2736" s="2" t="n">
        <v>3</v>
      </c>
      <c r="S2736" s="2" t="n">
        <v>4</v>
      </c>
      <c r="T2736" s="2" t="n">
        <v>1</v>
      </c>
      <c r="U2736" s="2" t="n">
        <v>3</v>
      </c>
      <c r="V2736" s="2" t="n">
        <v>2</v>
      </c>
      <c r="W2736" s="2" t="n">
        <v>1</v>
      </c>
      <c r="X2736" s="2" t="n">
        <v>2</v>
      </c>
      <c r="Y2736" s="2" t="n">
        <v>3</v>
      </c>
      <c r="Z2736" s="2" t="n">
        <v>3</v>
      </c>
    </row>
    <row r="2737" customFormat="false" ht="15" hidden="false" customHeight="true" outlineLevel="0" collapsed="false">
      <c r="A2737" s="2" t="n">
        <v>35</v>
      </c>
      <c r="B2737" s="2" t="s">
        <v>26</v>
      </c>
      <c r="C2737" s="2" t="s">
        <v>41</v>
      </c>
      <c r="D2737" s="2" t="s">
        <v>35</v>
      </c>
      <c r="E2737" s="2" t="n">
        <v>5</v>
      </c>
      <c r="F2737" s="2" t="n">
        <v>4</v>
      </c>
      <c r="G2737" s="2" t="s">
        <v>51</v>
      </c>
      <c r="H2737" s="2" t="n">
        <v>2736</v>
      </c>
      <c r="I2737" s="2" t="s">
        <v>30</v>
      </c>
      <c r="J2737" s="2" t="n">
        <v>3</v>
      </c>
      <c r="K2737" s="2" t="s">
        <v>47</v>
      </c>
      <c r="L2737" s="2" t="s">
        <v>32</v>
      </c>
      <c r="M2737" s="2" t="n">
        <v>48980</v>
      </c>
      <c r="N2737" s="2" t="n">
        <v>2</v>
      </c>
      <c r="O2737" s="2" t="n">
        <v>15</v>
      </c>
      <c r="P2737" s="2" t="n">
        <v>2</v>
      </c>
      <c r="Q2737" s="2" t="n">
        <v>10</v>
      </c>
      <c r="R2737" s="2" t="n">
        <v>2</v>
      </c>
      <c r="S2737" s="2" t="n">
        <v>4</v>
      </c>
      <c r="T2737" s="2" t="n">
        <v>2</v>
      </c>
      <c r="U2737" s="2" t="n">
        <v>3</v>
      </c>
      <c r="V2737" s="2" t="n">
        <v>3</v>
      </c>
      <c r="W2737" s="2" t="n">
        <v>1</v>
      </c>
      <c r="X2737" s="2" t="n">
        <v>3</v>
      </c>
      <c r="Y2737" s="2" t="n">
        <v>3</v>
      </c>
      <c r="Z2737" s="2" t="n">
        <v>3</v>
      </c>
    </row>
    <row r="2738" customFormat="false" ht="15" hidden="false" customHeight="true" outlineLevel="0" collapsed="false">
      <c r="A2738" s="2" t="n">
        <v>26</v>
      </c>
      <c r="B2738" s="2" t="s">
        <v>26</v>
      </c>
      <c r="C2738" s="2" t="s">
        <v>27</v>
      </c>
      <c r="D2738" s="2" t="s">
        <v>35</v>
      </c>
      <c r="E2738" s="2" t="n">
        <v>4</v>
      </c>
      <c r="F2738" s="2" t="n">
        <v>4</v>
      </c>
      <c r="G2738" s="2" t="s">
        <v>29</v>
      </c>
      <c r="H2738" s="2" t="n">
        <v>2737</v>
      </c>
      <c r="I2738" s="2" t="s">
        <v>30</v>
      </c>
      <c r="J2738" s="2" t="n">
        <v>3</v>
      </c>
      <c r="K2738" s="2" t="s">
        <v>40</v>
      </c>
      <c r="L2738" s="2" t="s">
        <v>32</v>
      </c>
      <c r="M2738" s="2" t="n">
        <v>47890</v>
      </c>
      <c r="N2738" s="2" t="n">
        <v>7</v>
      </c>
      <c r="O2738" s="2" t="n">
        <v>20</v>
      </c>
      <c r="P2738" s="2" t="n">
        <v>1</v>
      </c>
      <c r="Q2738" s="2" t="n">
        <v>5</v>
      </c>
      <c r="R2738" s="2" t="n">
        <v>2</v>
      </c>
      <c r="S2738" s="2" t="n">
        <v>2</v>
      </c>
      <c r="T2738" s="2" t="n">
        <v>0</v>
      </c>
      <c r="U2738" s="2" t="n">
        <v>0</v>
      </c>
      <c r="V2738" s="2"/>
      <c r="W2738" s="2" t="n">
        <v>4</v>
      </c>
      <c r="X2738" s="2" t="n">
        <v>2</v>
      </c>
      <c r="Y2738" s="2" t="n">
        <v>3</v>
      </c>
      <c r="Z2738" s="2" t="n">
        <v>4</v>
      </c>
    </row>
    <row r="2739" customFormat="false" ht="15" hidden="false" customHeight="true" outlineLevel="0" collapsed="false">
      <c r="A2739" s="2" t="n">
        <v>33</v>
      </c>
      <c r="B2739" s="2" t="s">
        <v>26</v>
      </c>
      <c r="C2739" s="2" t="s">
        <v>34</v>
      </c>
      <c r="D2739" s="2" t="s">
        <v>28</v>
      </c>
      <c r="E2739" s="2" t="n">
        <v>29</v>
      </c>
      <c r="F2739" s="2" t="n">
        <v>4</v>
      </c>
      <c r="G2739" s="2" t="s">
        <v>29</v>
      </c>
      <c r="H2739" s="2" t="n">
        <v>2738</v>
      </c>
      <c r="I2739" s="2" t="s">
        <v>30</v>
      </c>
      <c r="J2739" s="2" t="n">
        <v>1</v>
      </c>
      <c r="K2739" s="2" t="s">
        <v>42</v>
      </c>
      <c r="L2739" s="2" t="s">
        <v>37</v>
      </c>
      <c r="M2739" s="2" t="n">
        <v>31800</v>
      </c>
      <c r="N2739" s="2" t="n">
        <v>1</v>
      </c>
      <c r="O2739" s="2" t="n">
        <v>14</v>
      </c>
      <c r="P2739" s="2" t="n">
        <v>1</v>
      </c>
      <c r="Q2739" s="2" t="n">
        <v>15</v>
      </c>
      <c r="R2739" s="2" t="n">
        <v>2</v>
      </c>
      <c r="S2739" s="2" t="n">
        <v>15</v>
      </c>
      <c r="T2739" s="2" t="n">
        <v>8</v>
      </c>
      <c r="U2739" s="2" t="n">
        <v>12</v>
      </c>
      <c r="V2739" s="2" t="n">
        <v>1</v>
      </c>
      <c r="W2739" s="2" t="n">
        <v>4</v>
      </c>
      <c r="X2739" s="2" t="n">
        <v>3</v>
      </c>
      <c r="Y2739" s="2" t="n">
        <v>3</v>
      </c>
      <c r="Z2739" s="2" t="n">
        <v>3</v>
      </c>
    </row>
    <row r="2740" customFormat="false" ht="15" hidden="false" customHeight="true" outlineLevel="0" collapsed="false">
      <c r="A2740" s="2" t="n">
        <v>35</v>
      </c>
      <c r="B2740" s="2" t="s">
        <v>26</v>
      </c>
      <c r="C2740" s="2" t="s">
        <v>34</v>
      </c>
      <c r="D2740" s="2" t="s">
        <v>35</v>
      </c>
      <c r="E2740" s="2" t="n">
        <v>15</v>
      </c>
      <c r="F2740" s="2" t="n">
        <v>3</v>
      </c>
      <c r="G2740" s="2" t="s">
        <v>43</v>
      </c>
      <c r="H2740" s="2" t="n">
        <v>2739</v>
      </c>
      <c r="I2740" s="2" t="s">
        <v>39</v>
      </c>
      <c r="J2740" s="2" t="n">
        <v>3</v>
      </c>
      <c r="K2740" s="2" t="s">
        <v>47</v>
      </c>
      <c r="L2740" s="2" t="s">
        <v>32</v>
      </c>
      <c r="M2740" s="2" t="n">
        <v>65490</v>
      </c>
      <c r="N2740" s="2" t="n">
        <v>1</v>
      </c>
      <c r="O2740" s="2" t="n">
        <v>20</v>
      </c>
      <c r="P2740" s="2" t="n">
        <v>0</v>
      </c>
      <c r="Q2740" s="2" t="n">
        <v>9</v>
      </c>
      <c r="R2740" s="2" t="n">
        <v>3</v>
      </c>
      <c r="S2740" s="2" t="n">
        <v>9</v>
      </c>
      <c r="T2740" s="2" t="n">
        <v>1</v>
      </c>
      <c r="U2740" s="2" t="n">
        <v>8</v>
      </c>
      <c r="V2740" s="2" t="n">
        <v>2</v>
      </c>
      <c r="W2740" s="2" t="n">
        <v>1</v>
      </c>
      <c r="X2740" s="2" t="n">
        <v>2</v>
      </c>
      <c r="Y2740" s="2" t="n">
        <v>3</v>
      </c>
      <c r="Z2740" s="2" t="n">
        <v>4</v>
      </c>
    </row>
    <row r="2741" customFormat="false" ht="15" hidden="false" customHeight="true" outlineLevel="0" collapsed="false">
      <c r="A2741" s="2" t="n">
        <v>35</v>
      </c>
      <c r="B2741" s="2" t="s">
        <v>26</v>
      </c>
      <c r="C2741" s="2" t="s">
        <v>27</v>
      </c>
      <c r="D2741" s="2" t="s">
        <v>42</v>
      </c>
      <c r="E2741" s="2" t="n">
        <v>3</v>
      </c>
      <c r="F2741" s="2" t="n">
        <v>2</v>
      </c>
      <c r="G2741" s="2" t="s">
        <v>29</v>
      </c>
      <c r="H2741" s="2" t="n">
        <v>2740</v>
      </c>
      <c r="I2741" s="2" t="s">
        <v>30</v>
      </c>
      <c r="J2741" s="2" t="n">
        <v>1</v>
      </c>
      <c r="K2741" s="2" t="s">
        <v>45</v>
      </c>
      <c r="L2741" s="2" t="s">
        <v>32</v>
      </c>
      <c r="M2741" s="2" t="n">
        <v>63880</v>
      </c>
      <c r="N2741" s="2" t="n">
        <v>3</v>
      </c>
      <c r="O2741" s="2" t="n">
        <v>13</v>
      </c>
      <c r="P2741" s="2" t="n">
        <v>0</v>
      </c>
      <c r="Q2741" s="2" t="n">
        <v>4</v>
      </c>
      <c r="R2741" s="2" t="n">
        <v>6</v>
      </c>
      <c r="S2741" s="2" t="n">
        <v>2</v>
      </c>
      <c r="T2741" s="2" t="n">
        <v>2</v>
      </c>
      <c r="U2741" s="2" t="n">
        <v>2</v>
      </c>
      <c r="V2741" s="2" t="n">
        <v>3</v>
      </c>
      <c r="W2741" s="2" t="n">
        <v>1</v>
      </c>
      <c r="X2741" s="2" t="n">
        <v>3</v>
      </c>
      <c r="Y2741" s="2" t="n">
        <v>2</v>
      </c>
      <c r="Z2741" s="2" t="n">
        <v>3</v>
      </c>
    </row>
    <row r="2742" customFormat="false" ht="15" hidden="false" customHeight="true" outlineLevel="0" collapsed="false">
      <c r="A2742" s="2" t="n">
        <v>31</v>
      </c>
      <c r="B2742" s="2" t="s">
        <v>26</v>
      </c>
      <c r="C2742" s="2" t="s">
        <v>27</v>
      </c>
      <c r="D2742" s="2" t="s">
        <v>28</v>
      </c>
      <c r="E2742" s="2" t="n">
        <v>10</v>
      </c>
      <c r="F2742" s="2" t="n">
        <v>2</v>
      </c>
      <c r="G2742" s="2" t="s">
        <v>29</v>
      </c>
      <c r="H2742" s="2" t="n">
        <v>2741</v>
      </c>
      <c r="I2742" s="2" t="s">
        <v>30</v>
      </c>
      <c r="J2742" s="2" t="n">
        <v>2</v>
      </c>
      <c r="K2742" s="2" t="s">
        <v>36</v>
      </c>
      <c r="L2742" s="2" t="s">
        <v>46</v>
      </c>
      <c r="M2742" s="2" t="n">
        <v>112440</v>
      </c>
      <c r="N2742" s="2" t="n">
        <v>3</v>
      </c>
      <c r="O2742" s="2" t="n">
        <v>12</v>
      </c>
      <c r="P2742" s="2" t="n">
        <v>1</v>
      </c>
      <c r="Q2742" s="2" t="n">
        <v>10</v>
      </c>
      <c r="R2742" s="2" t="n">
        <v>3</v>
      </c>
      <c r="S2742" s="2" t="n">
        <v>7</v>
      </c>
      <c r="T2742" s="2" t="n">
        <v>1</v>
      </c>
      <c r="U2742" s="2" t="n">
        <v>7</v>
      </c>
      <c r="V2742" s="2" t="n">
        <v>4</v>
      </c>
      <c r="W2742" s="2" t="n">
        <v>4</v>
      </c>
      <c r="X2742" s="2" t="n">
        <v>2</v>
      </c>
      <c r="Y2742" s="2" t="n">
        <v>3</v>
      </c>
      <c r="Z2742" s="2" t="n">
        <v>3</v>
      </c>
    </row>
    <row r="2743" customFormat="false" ht="15" hidden="false" customHeight="true" outlineLevel="0" collapsed="false">
      <c r="A2743" s="2" t="n">
        <v>37</v>
      </c>
      <c r="B2743" s="2" t="s">
        <v>26</v>
      </c>
      <c r="C2743" s="2" t="s">
        <v>27</v>
      </c>
      <c r="D2743" s="2" t="s">
        <v>28</v>
      </c>
      <c r="E2743" s="2" t="n">
        <v>4</v>
      </c>
      <c r="F2743" s="2" t="n">
        <v>3</v>
      </c>
      <c r="G2743" s="2" t="s">
        <v>50</v>
      </c>
      <c r="H2743" s="2" t="n">
        <v>2742</v>
      </c>
      <c r="I2743" s="2" t="s">
        <v>39</v>
      </c>
      <c r="J2743" s="2" t="n">
        <v>4</v>
      </c>
      <c r="K2743" s="2" t="s">
        <v>42</v>
      </c>
      <c r="L2743" s="2" t="s">
        <v>46</v>
      </c>
      <c r="M2743" s="2" t="n">
        <v>160320</v>
      </c>
      <c r="N2743" s="2" t="n">
        <v>1</v>
      </c>
      <c r="O2743" s="2" t="n">
        <v>13</v>
      </c>
      <c r="P2743" s="2" t="n">
        <v>0</v>
      </c>
      <c r="Q2743" s="2" t="n">
        <v>7</v>
      </c>
      <c r="R2743" s="2" t="n">
        <v>2</v>
      </c>
      <c r="S2743" s="2" t="n">
        <v>7</v>
      </c>
      <c r="T2743" s="2" t="n">
        <v>0</v>
      </c>
      <c r="U2743" s="2" t="n">
        <v>7</v>
      </c>
      <c r="V2743" s="2" t="n">
        <v>1</v>
      </c>
      <c r="W2743" s="2" t="n">
        <v>3</v>
      </c>
      <c r="X2743" s="2" t="n">
        <v>4</v>
      </c>
      <c r="Y2743" s="2" t="n">
        <v>3</v>
      </c>
      <c r="Z2743" s="2" t="n">
        <v>3</v>
      </c>
    </row>
    <row r="2744" customFormat="false" ht="15" hidden="false" customHeight="true" outlineLevel="0" collapsed="false">
      <c r="A2744" s="2" t="n">
        <v>32</v>
      </c>
      <c r="B2744" s="2" t="s">
        <v>26</v>
      </c>
      <c r="C2744" s="2" t="s">
        <v>27</v>
      </c>
      <c r="D2744" s="2" t="s">
        <v>35</v>
      </c>
      <c r="E2744" s="2" t="n">
        <v>21</v>
      </c>
      <c r="F2744" s="2" t="n">
        <v>3</v>
      </c>
      <c r="G2744" s="2" t="s">
        <v>38</v>
      </c>
      <c r="H2744" s="2" t="n">
        <v>2743</v>
      </c>
      <c r="I2744" s="2" t="s">
        <v>39</v>
      </c>
      <c r="J2744" s="2" t="n">
        <v>2</v>
      </c>
      <c r="K2744" s="2" t="s">
        <v>40</v>
      </c>
      <c r="L2744" s="2" t="s">
        <v>32</v>
      </c>
      <c r="M2744" s="2" t="n">
        <v>23620</v>
      </c>
      <c r="N2744" s="2" t="n">
        <v>1</v>
      </c>
      <c r="O2744" s="2" t="n">
        <v>11</v>
      </c>
      <c r="P2744" s="2" t="n">
        <v>0</v>
      </c>
      <c r="Q2744" s="2" t="n">
        <v>9</v>
      </c>
      <c r="R2744" s="2" t="n">
        <v>2</v>
      </c>
      <c r="S2744" s="2" t="n">
        <v>9</v>
      </c>
      <c r="T2744" s="2" t="n">
        <v>7</v>
      </c>
      <c r="U2744" s="2" t="n">
        <v>8</v>
      </c>
      <c r="V2744" s="2" t="n">
        <v>1</v>
      </c>
      <c r="W2744" s="2" t="n">
        <v>4</v>
      </c>
      <c r="X2744" s="2" t="n">
        <v>3</v>
      </c>
      <c r="Y2744" s="2" t="n">
        <v>3</v>
      </c>
      <c r="Z2744" s="2" t="n">
        <v>3</v>
      </c>
    </row>
    <row r="2745" customFormat="false" ht="15" hidden="false" customHeight="true" outlineLevel="0" collapsed="false">
      <c r="A2745" s="2" t="n">
        <v>38</v>
      </c>
      <c r="B2745" s="2" t="s">
        <v>26</v>
      </c>
      <c r="C2745" s="2" t="s">
        <v>34</v>
      </c>
      <c r="D2745" s="2" t="s">
        <v>35</v>
      </c>
      <c r="E2745" s="2" t="n">
        <v>25</v>
      </c>
      <c r="F2745" s="2" t="n">
        <v>3</v>
      </c>
      <c r="G2745" s="2" t="s">
        <v>43</v>
      </c>
      <c r="H2745" s="2" t="n">
        <v>2744</v>
      </c>
      <c r="I2745" s="2" t="s">
        <v>39</v>
      </c>
      <c r="J2745" s="2" t="n">
        <v>2</v>
      </c>
      <c r="K2745" s="2" t="s">
        <v>47</v>
      </c>
      <c r="L2745" s="2" t="s">
        <v>37</v>
      </c>
      <c r="M2745" s="2" t="n">
        <v>163280</v>
      </c>
      <c r="N2745" s="2" t="n">
        <v>1</v>
      </c>
      <c r="O2745" s="2" t="n">
        <v>17</v>
      </c>
      <c r="P2745" s="2" t="n">
        <v>3</v>
      </c>
      <c r="Q2745" s="2" t="n">
        <v>10</v>
      </c>
      <c r="R2745" s="2" t="n">
        <v>2</v>
      </c>
      <c r="S2745" s="2" t="n">
        <v>10</v>
      </c>
      <c r="T2745" s="2" t="n">
        <v>9</v>
      </c>
      <c r="U2745" s="2" t="n">
        <v>9</v>
      </c>
      <c r="V2745" s="2" t="n">
        <v>4</v>
      </c>
      <c r="W2745" s="2" t="n">
        <v>4</v>
      </c>
      <c r="X2745" s="2" t="n">
        <v>3</v>
      </c>
      <c r="Y2745" s="2" t="n">
        <v>3</v>
      </c>
      <c r="Z2745" s="2" t="n">
        <v>3</v>
      </c>
    </row>
    <row r="2746" customFormat="false" ht="15" hidden="false" customHeight="true" outlineLevel="0" collapsed="false">
      <c r="A2746" s="2" t="n">
        <v>50</v>
      </c>
      <c r="B2746" s="2" t="s">
        <v>26</v>
      </c>
      <c r="C2746" s="2" t="s">
        <v>27</v>
      </c>
      <c r="D2746" s="2" t="s">
        <v>28</v>
      </c>
      <c r="E2746" s="2" t="n">
        <v>2</v>
      </c>
      <c r="F2746" s="2" t="n">
        <v>4</v>
      </c>
      <c r="G2746" s="2" t="s">
        <v>50</v>
      </c>
      <c r="H2746" s="2" t="n">
        <v>2745</v>
      </c>
      <c r="I2746" s="2" t="s">
        <v>30</v>
      </c>
      <c r="J2746" s="2" t="n">
        <v>4</v>
      </c>
      <c r="K2746" s="2" t="s">
        <v>36</v>
      </c>
      <c r="L2746" s="2" t="s">
        <v>46</v>
      </c>
      <c r="M2746" s="2" t="n">
        <v>83760</v>
      </c>
      <c r="N2746" s="2" t="n">
        <v>5</v>
      </c>
      <c r="O2746" s="2" t="n">
        <v>14</v>
      </c>
      <c r="P2746" s="2" t="n">
        <v>3</v>
      </c>
      <c r="Q2746" s="2" t="n">
        <v>29</v>
      </c>
      <c r="R2746" s="2" t="n">
        <v>2</v>
      </c>
      <c r="S2746" s="2" t="n">
        <v>27</v>
      </c>
      <c r="T2746" s="2" t="n">
        <v>13</v>
      </c>
      <c r="U2746" s="2" t="n">
        <v>8</v>
      </c>
      <c r="V2746" s="2" t="n">
        <v>2</v>
      </c>
      <c r="W2746" s="2" t="n">
        <v>3</v>
      </c>
      <c r="X2746" s="2" t="n">
        <v>2</v>
      </c>
      <c r="Y2746" s="2" t="n">
        <v>3</v>
      </c>
      <c r="Z2746" s="2" t="n">
        <v>3</v>
      </c>
    </row>
    <row r="2747" customFormat="false" ht="15" hidden="false" customHeight="true" outlineLevel="0" collapsed="false">
      <c r="A2747" s="2" t="n">
        <v>59</v>
      </c>
      <c r="B2747" s="2" t="s">
        <v>26</v>
      </c>
      <c r="C2747" s="2" t="s">
        <v>27</v>
      </c>
      <c r="D2747" s="2" t="s">
        <v>35</v>
      </c>
      <c r="E2747" s="2" t="n">
        <v>1</v>
      </c>
      <c r="F2747" s="2" t="n">
        <v>3</v>
      </c>
      <c r="G2747" s="2" t="s">
        <v>51</v>
      </c>
      <c r="H2747" s="2" t="n">
        <v>2746</v>
      </c>
      <c r="I2747" s="2" t="s">
        <v>39</v>
      </c>
      <c r="J2747" s="2" t="n">
        <v>1</v>
      </c>
      <c r="K2747" s="2" t="s">
        <v>45</v>
      </c>
      <c r="L2747" s="2" t="s">
        <v>37</v>
      </c>
      <c r="M2747" s="2" t="n">
        <v>166060</v>
      </c>
      <c r="N2747" s="2" t="n">
        <v>7</v>
      </c>
      <c r="O2747" s="2" t="n">
        <v>11</v>
      </c>
      <c r="P2747" s="2" t="n">
        <v>0</v>
      </c>
      <c r="Q2747" s="2" t="n">
        <v>28</v>
      </c>
      <c r="R2747" s="2" t="n">
        <v>6</v>
      </c>
      <c r="S2747" s="2" t="n">
        <v>21</v>
      </c>
      <c r="T2747" s="2" t="n">
        <v>7</v>
      </c>
      <c r="U2747" s="2" t="n">
        <v>9</v>
      </c>
      <c r="V2747" s="2" t="n">
        <v>1</v>
      </c>
      <c r="W2747" s="2" t="n">
        <v>1</v>
      </c>
      <c r="X2747" s="2" t="n">
        <v>2</v>
      </c>
      <c r="Y2747" s="2" t="n">
        <v>3</v>
      </c>
      <c r="Z2747" s="2" t="n">
        <v>3</v>
      </c>
    </row>
    <row r="2748" customFormat="false" ht="15" hidden="false" customHeight="true" outlineLevel="0" collapsed="false">
      <c r="A2748" s="2" t="n">
        <v>36</v>
      </c>
      <c r="B2748" s="2" t="s">
        <v>26</v>
      </c>
      <c r="C2748" s="2" t="s">
        <v>27</v>
      </c>
      <c r="D2748" s="2" t="s">
        <v>28</v>
      </c>
      <c r="E2748" s="2" t="n">
        <v>1</v>
      </c>
      <c r="F2748" s="2" t="n">
        <v>2</v>
      </c>
      <c r="G2748" s="2" t="s">
        <v>50</v>
      </c>
      <c r="H2748" s="2" t="n">
        <v>2747</v>
      </c>
      <c r="I2748" s="2" t="s">
        <v>30</v>
      </c>
      <c r="J2748" s="2" t="n">
        <v>2</v>
      </c>
      <c r="K2748" s="2" t="s">
        <v>40</v>
      </c>
      <c r="L2748" s="2" t="s">
        <v>46</v>
      </c>
      <c r="M2748" s="2" t="n">
        <v>86060</v>
      </c>
      <c r="N2748" s="2" t="n">
        <v>1</v>
      </c>
      <c r="O2748" s="2" t="n">
        <v>14</v>
      </c>
      <c r="P2748" s="2" t="n">
        <v>2</v>
      </c>
      <c r="Q2748" s="2" t="n">
        <v>17</v>
      </c>
      <c r="R2748" s="2" t="n">
        <v>3</v>
      </c>
      <c r="S2748" s="2" t="n">
        <v>17</v>
      </c>
      <c r="T2748" s="2" t="n">
        <v>12</v>
      </c>
      <c r="U2748" s="2" t="n">
        <v>8</v>
      </c>
      <c r="V2748" s="2" t="n">
        <v>3</v>
      </c>
      <c r="W2748" s="2" t="n">
        <v>3</v>
      </c>
      <c r="X2748" s="2" t="n">
        <v>3</v>
      </c>
      <c r="Y2748" s="2" t="n">
        <v>3</v>
      </c>
      <c r="Z2748" s="2" t="n">
        <v>3</v>
      </c>
    </row>
    <row r="2749" customFormat="false" ht="15" hidden="false" customHeight="true" outlineLevel="0" collapsed="false">
      <c r="A2749" s="2" t="n">
        <v>55</v>
      </c>
      <c r="B2749" s="2" t="s">
        <v>26</v>
      </c>
      <c r="C2749" s="2" t="s">
        <v>27</v>
      </c>
      <c r="D2749" s="2" t="s">
        <v>35</v>
      </c>
      <c r="E2749" s="2" t="n">
        <v>7</v>
      </c>
      <c r="F2749" s="2" t="n">
        <v>3</v>
      </c>
      <c r="G2749" s="2" t="s">
        <v>43</v>
      </c>
      <c r="H2749" s="2" t="n">
        <v>2748</v>
      </c>
      <c r="I2749" s="2" t="s">
        <v>39</v>
      </c>
      <c r="J2749" s="2" t="n">
        <v>3</v>
      </c>
      <c r="K2749" s="2" t="s">
        <v>36</v>
      </c>
      <c r="L2749" s="2" t="s">
        <v>46</v>
      </c>
      <c r="M2749" s="2" t="n">
        <v>22720</v>
      </c>
      <c r="N2749" s="2" t="n">
        <v>2</v>
      </c>
      <c r="O2749" s="2" t="n">
        <v>17</v>
      </c>
      <c r="P2749" s="2" t="n">
        <v>1</v>
      </c>
      <c r="Q2749" s="2" t="n">
        <v>21</v>
      </c>
      <c r="R2749" s="2" t="n">
        <v>2</v>
      </c>
      <c r="S2749" s="2" t="n">
        <v>5</v>
      </c>
      <c r="T2749" s="2" t="n">
        <v>0</v>
      </c>
      <c r="U2749" s="2" t="n">
        <v>2</v>
      </c>
      <c r="V2749" s="2" t="n">
        <v>4</v>
      </c>
      <c r="W2749" s="2" t="n">
        <v>3</v>
      </c>
      <c r="X2749" s="2" t="n">
        <v>3</v>
      </c>
      <c r="Y2749" s="2" t="n">
        <v>3</v>
      </c>
      <c r="Z2749" s="2" t="n">
        <v>3</v>
      </c>
    </row>
    <row r="2750" customFormat="false" ht="15" hidden="false" customHeight="true" outlineLevel="0" collapsed="false">
      <c r="A2750" s="2" t="n">
        <v>36</v>
      </c>
      <c r="B2750" s="2" t="s">
        <v>26</v>
      </c>
      <c r="C2750" s="2" t="s">
        <v>34</v>
      </c>
      <c r="D2750" s="2" t="s">
        <v>35</v>
      </c>
      <c r="E2750" s="2" t="n">
        <v>3</v>
      </c>
      <c r="F2750" s="2" t="n">
        <v>3</v>
      </c>
      <c r="G2750" s="2" t="s">
        <v>29</v>
      </c>
      <c r="H2750" s="2" t="n">
        <v>2749</v>
      </c>
      <c r="I2750" s="2" t="s">
        <v>30</v>
      </c>
      <c r="J2750" s="2" t="n">
        <v>2</v>
      </c>
      <c r="K2750" s="2" t="s">
        <v>45</v>
      </c>
      <c r="L2750" s="2" t="s">
        <v>37</v>
      </c>
      <c r="M2750" s="2" t="n">
        <v>20180</v>
      </c>
      <c r="N2750" s="2" t="n">
        <v>1</v>
      </c>
      <c r="O2750" s="2" t="n">
        <v>13</v>
      </c>
      <c r="P2750" s="2" t="n">
        <v>0</v>
      </c>
      <c r="Q2750" s="2" t="n">
        <v>6</v>
      </c>
      <c r="R2750" s="2" t="n">
        <v>5</v>
      </c>
      <c r="S2750" s="2" t="n">
        <v>6</v>
      </c>
      <c r="T2750" s="2" t="n">
        <v>0</v>
      </c>
      <c r="U2750" s="2" t="n">
        <v>3</v>
      </c>
      <c r="V2750" s="2" t="n">
        <v>2</v>
      </c>
      <c r="W2750" s="2" t="n">
        <v>2</v>
      </c>
      <c r="X2750" s="2" t="n">
        <v>3</v>
      </c>
      <c r="Y2750" s="2" t="n">
        <v>3</v>
      </c>
      <c r="Z2750" s="2" t="n">
        <v>3</v>
      </c>
    </row>
    <row r="2751" customFormat="false" ht="15" hidden="false" customHeight="true" outlineLevel="0" collapsed="false">
      <c r="A2751" s="2" t="n">
        <v>45</v>
      </c>
      <c r="B2751" s="2" t="s">
        <v>26</v>
      </c>
      <c r="C2751" s="2" t="s">
        <v>27</v>
      </c>
      <c r="D2751" s="2" t="s">
        <v>35</v>
      </c>
      <c r="E2751" s="2" t="n">
        <v>1</v>
      </c>
      <c r="F2751" s="2" t="n">
        <v>2</v>
      </c>
      <c r="G2751" s="2" t="s">
        <v>43</v>
      </c>
      <c r="H2751" s="2" t="n">
        <v>2750</v>
      </c>
      <c r="I2751" s="2" t="s">
        <v>30</v>
      </c>
      <c r="J2751" s="2" t="n">
        <v>1</v>
      </c>
      <c r="K2751" s="2" t="s">
        <v>40</v>
      </c>
      <c r="L2751" s="2" t="s">
        <v>46</v>
      </c>
      <c r="M2751" s="2" t="n">
        <v>70830</v>
      </c>
      <c r="N2751" s="2" t="n">
        <v>2</v>
      </c>
      <c r="O2751" s="2" t="n">
        <v>12</v>
      </c>
      <c r="P2751" s="2" t="n">
        <v>1</v>
      </c>
      <c r="Q2751" s="2" t="n">
        <v>25</v>
      </c>
      <c r="R2751" s="2" t="n">
        <v>5</v>
      </c>
      <c r="S2751" s="2" t="n">
        <v>1</v>
      </c>
      <c r="T2751" s="2" t="n">
        <v>0</v>
      </c>
      <c r="U2751" s="2" t="n">
        <v>0</v>
      </c>
      <c r="V2751" s="2" t="n">
        <v>2</v>
      </c>
      <c r="W2751" s="2" t="n">
        <v>1</v>
      </c>
      <c r="X2751" s="2" t="n">
        <v>3</v>
      </c>
      <c r="Y2751" s="2" t="n">
        <v>3</v>
      </c>
      <c r="Z2751" s="2" t="n">
        <v>3</v>
      </c>
    </row>
    <row r="2752" customFormat="false" ht="15" hidden="false" customHeight="true" outlineLevel="0" collapsed="false">
      <c r="A2752" s="2" t="n">
        <v>35</v>
      </c>
      <c r="B2752" s="2" t="s">
        <v>26</v>
      </c>
      <c r="C2752" s="2" t="s">
        <v>34</v>
      </c>
      <c r="D2752" s="2" t="s">
        <v>42</v>
      </c>
      <c r="E2752" s="2" t="n">
        <v>9</v>
      </c>
      <c r="F2752" s="2" t="n">
        <v>3</v>
      </c>
      <c r="G2752" s="2" t="s">
        <v>38</v>
      </c>
      <c r="H2752" s="2" t="n">
        <v>2751</v>
      </c>
      <c r="I2752" s="2" t="s">
        <v>30</v>
      </c>
      <c r="J2752" s="2" t="n">
        <v>2</v>
      </c>
      <c r="K2752" s="2" t="s">
        <v>48</v>
      </c>
      <c r="L2752" s="2" t="s">
        <v>32</v>
      </c>
      <c r="M2752" s="2" t="n">
        <v>40840</v>
      </c>
      <c r="N2752" s="2" t="n">
        <v>4</v>
      </c>
      <c r="O2752" s="2" t="n">
        <v>13</v>
      </c>
      <c r="P2752" s="2" t="n">
        <v>1</v>
      </c>
      <c r="Q2752" s="2" t="n">
        <v>5</v>
      </c>
      <c r="R2752" s="2" t="n">
        <v>3</v>
      </c>
      <c r="S2752" s="2" t="n">
        <v>3</v>
      </c>
      <c r="T2752" s="2" t="n">
        <v>1</v>
      </c>
      <c r="U2752" s="2" t="n">
        <v>2</v>
      </c>
      <c r="V2752" s="2" t="n">
        <v>2</v>
      </c>
      <c r="W2752" s="2" t="n">
        <v>1</v>
      </c>
      <c r="X2752" s="2" t="n">
        <v>2</v>
      </c>
      <c r="Y2752" s="2" t="n">
        <v>3</v>
      </c>
      <c r="Z2752" s="2" t="n">
        <v>3</v>
      </c>
    </row>
    <row r="2753" customFormat="false" ht="15" hidden="false" customHeight="true" outlineLevel="0" collapsed="false">
      <c r="A2753" s="2" t="n">
        <v>36</v>
      </c>
      <c r="B2753" s="2" t="s">
        <v>33</v>
      </c>
      <c r="C2753" s="2" t="s">
        <v>27</v>
      </c>
      <c r="D2753" s="2" t="s">
        <v>28</v>
      </c>
      <c r="E2753" s="2" t="n">
        <v>7</v>
      </c>
      <c r="F2753" s="2" t="n">
        <v>2</v>
      </c>
      <c r="G2753" s="2" t="s">
        <v>29</v>
      </c>
      <c r="H2753" s="2" t="n">
        <v>2752</v>
      </c>
      <c r="I2753" s="2" t="s">
        <v>39</v>
      </c>
      <c r="J2753" s="2" t="n">
        <v>4</v>
      </c>
      <c r="K2753" s="2" t="s">
        <v>45</v>
      </c>
      <c r="L2753" s="2" t="s">
        <v>32</v>
      </c>
      <c r="M2753" s="2" t="n">
        <v>144110</v>
      </c>
      <c r="N2753" s="2" t="n">
        <v>0</v>
      </c>
      <c r="O2753" s="2" t="n">
        <v>18</v>
      </c>
      <c r="P2753" s="2" t="n">
        <v>3</v>
      </c>
      <c r="Q2753" s="2" t="n">
        <v>2</v>
      </c>
      <c r="R2753" s="2" t="n">
        <v>2</v>
      </c>
      <c r="S2753" s="2" t="n">
        <v>1</v>
      </c>
      <c r="T2753" s="2" t="n">
        <v>0</v>
      </c>
      <c r="U2753" s="2" t="n">
        <v>0</v>
      </c>
      <c r="V2753" s="2" t="n">
        <v>4</v>
      </c>
      <c r="W2753" s="2" t="n">
        <v>3</v>
      </c>
      <c r="X2753" s="2" t="n">
        <v>2</v>
      </c>
      <c r="Y2753" s="2" t="n">
        <v>4</v>
      </c>
      <c r="Z2753" s="2" t="n">
        <v>3</v>
      </c>
    </row>
    <row r="2754" customFormat="false" ht="15" hidden="false" customHeight="true" outlineLevel="0" collapsed="false">
      <c r="A2754" s="2" t="n">
        <v>59</v>
      </c>
      <c r="B2754" s="2" t="s">
        <v>26</v>
      </c>
      <c r="C2754" s="2" t="s">
        <v>34</v>
      </c>
      <c r="D2754" s="2" t="s">
        <v>35</v>
      </c>
      <c r="E2754" s="2" t="n">
        <v>10</v>
      </c>
      <c r="F2754" s="2" t="n">
        <v>4</v>
      </c>
      <c r="G2754" s="2" t="s">
        <v>29</v>
      </c>
      <c r="H2754" s="2" t="n">
        <v>2753</v>
      </c>
      <c r="I2754" s="2" t="s">
        <v>39</v>
      </c>
      <c r="J2754" s="2" t="n">
        <v>3</v>
      </c>
      <c r="K2754" s="2" t="s">
        <v>36</v>
      </c>
      <c r="L2754" s="2" t="s">
        <v>37</v>
      </c>
      <c r="M2754" s="2" t="n">
        <v>23080</v>
      </c>
      <c r="N2754" s="2" t="n">
        <v>7</v>
      </c>
      <c r="O2754" s="2" t="n">
        <v>19</v>
      </c>
      <c r="P2754" s="2" t="n">
        <v>1</v>
      </c>
      <c r="Q2754" s="2" t="n">
        <v>20</v>
      </c>
      <c r="R2754" s="2" t="n">
        <v>4</v>
      </c>
      <c r="S2754" s="2" t="n">
        <v>4</v>
      </c>
      <c r="T2754" s="2" t="n">
        <v>1</v>
      </c>
      <c r="U2754" s="2" t="n">
        <v>3</v>
      </c>
      <c r="V2754" s="2" t="n">
        <v>1</v>
      </c>
      <c r="W2754" s="2" t="n">
        <v>3</v>
      </c>
      <c r="X2754" s="2" t="n">
        <v>2</v>
      </c>
      <c r="Y2754" s="2" t="n">
        <v>2</v>
      </c>
      <c r="Z2754" s="2" t="n">
        <v>3</v>
      </c>
    </row>
    <row r="2755" customFormat="false" ht="15" hidden="false" customHeight="true" outlineLevel="0" collapsed="false">
      <c r="A2755" s="2" t="n">
        <v>29</v>
      </c>
      <c r="B2755" s="2" t="s">
        <v>26</v>
      </c>
      <c r="C2755" s="2" t="s">
        <v>27</v>
      </c>
      <c r="D2755" s="2" t="s">
        <v>35</v>
      </c>
      <c r="E2755" s="2" t="n">
        <v>28</v>
      </c>
      <c r="F2755" s="2" t="n">
        <v>4</v>
      </c>
      <c r="G2755" s="2" t="s">
        <v>29</v>
      </c>
      <c r="H2755" s="2" t="n">
        <v>2754</v>
      </c>
      <c r="I2755" s="2" t="s">
        <v>30</v>
      </c>
      <c r="J2755" s="2" t="n">
        <v>1</v>
      </c>
      <c r="K2755" s="2" t="s">
        <v>48</v>
      </c>
      <c r="L2755" s="2" t="s">
        <v>32</v>
      </c>
      <c r="M2755" s="2" t="n">
        <v>48410</v>
      </c>
      <c r="N2755" s="2" t="n">
        <v>0</v>
      </c>
      <c r="O2755" s="2" t="n">
        <v>11</v>
      </c>
      <c r="P2755" s="2" t="n">
        <v>0</v>
      </c>
      <c r="Q2755" s="2" t="n">
        <v>6</v>
      </c>
      <c r="R2755" s="2" t="n">
        <v>3</v>
      </c>
      <c r="S2755" s="2" t="n">
        <v>5</v>
      </c>
      <c r="T2755" s="2" t="n">
        <v>0</v>
      </c>
      <c r="U2755" s="2" t="n">
        <v>4</v>
      </c>
      <c r="V2755" s="2" t="n">
        <v>3</v>
      </c>
      <c r="W2755" s="2" t="n">
        <v>2</v>
      </c>
      <c r="X2755" s="2" t="n">
        <v>3</v>
      </c>
      <c r="Y2755" s="2" t="n">
        <v>3</v>
      </c>
      <c r="Z2755" s="2" t="n">
        <v>3</v>
      </c>
    </row>
    <row r="2756" customFormat="false" ht="15" hidden="false" customHeight="true" outlineLevel="0" collapsed="false">
      <c r="A2756" s="2" t="n">
        <v>31</v>
      </c>
      <c r="B2756" s="2" t="s">
        <v>26</v>
      </c>
      <c r="C2756" s="2" t="s">
        <v>27</v>
      </c>
      <c r="D2756" s="2" t="s">
        <v>35</v>
      </c>
      <c r="E2756" s="2" t="n">
        <v>3</v>
      </c>
      <c r="F2756" s="2" t="n">
        <v>2</v>
      </c>
      <c r="G2756" s="2" t="s">
        <v>43</v>
      </c>
      <c r="H2756" s="2" t="n">
        <v>2755</v>
      </c>
      <c r="I2756" s="2" t="s">
        <v>30</v>
      </c>
      <c r="J2756" s="2" t="n">
        <v>3</v>
      </c>
      <c r="K2756" s="2" t="s">
        <v>40</v>
      </c>
      <c r="L2756" s="2" t="s">
        <v>37</v>
      </c>
      <c r="M2756" s="2" t="n">
        <v>42850</v>
      </c>
      <c r="N2756" s="2" t="n">
        <v>1</v>
      </c>
      <c r="O2756" s="2" t="n">
        <v>21</v>
      </c>
      <c r="P2756" s="2" t="n">
        <v>1</v>
      </c>
      <c r="Q2756" s="2" t="n">
        <v>1</v>
      </c>
      <c r="R2756" s="2" t="n">
        <v>2</v>
      </c>
      <c r="S2756" s="2" t="n">
        <v>1</v>
      </c>
      <c r="T2756" s="2" t="n">
        <v>1</v>
      </c>
      <c r="U2756" s="2" t="n">
        <v>0</v>
      </c>
      <c r="V2756" s="2" t="n">
        <v>3</v>
      </c>
      <c r="W2756" s="2" t="n">
        <v>2</v>
      </c>
      <c r="X2756" s="2" t="n">
        <v>3</v>
      </c>
      <c r="Y2756" s="2" t="n">
        <v>1</v>
      </c>
      <c r="Z2756" s="2" t="n">
        <v>4</v>
      </c>
    </row>
    <row r="2757" customFormat="false" ht="15" hidden="false" customHeight="true" outlineLevel="0" collapsed="false">
      <c r="A2757" s="2" t="n">
        <v>32</v>
      </c>
      <c r="B2757" s="2" t="s">
        <v>26</v>
      </c>
      <c r="C2757" s="2" t="s">
        <v>27</v>
      </c>
      <c r="D2757" s="2" t="s">
        <v>28</v>
      </c>
      <c r="E2757" s="2" t="n">
        <v>3</v>
      </c>
      <c r="F2757" s="2" t="n">
        <v>4</v>
      </c>
      <c r="G2757" s="2" t="s">
        <v>29</v>
      </c>
      <c r="H2757" s="2" t="n">
        <v>2756</v>
      </c>
      <c r="I2757" s="2" t="s">
        <v>39</v>
      </c>
      <c r="J2757" s="2" t="n">
        <v>2</v>
      </c>
      <c r="K2757" s="2" t="s">
        <v>47</v>
      </c>
      <c r="L2757" s="2" t="s">
        <v>32</v>
      </c>
      <c r="M2757" s="2" t="n">
        <v>97150</v>
      </c>
      <c r="N2757" s="2" t="n">
        <v>1</v>
      </c>
      <c r="O2757" s="2" t="n">
        <v>15</v>
      </c>
      <c r="P2757" s="2" t="n">
        <v>1</v>
      </c>
      <c r="Q2757" s="2" t="n">
        <v>10</v>
      </c>
      <c r="R2757" s="2" t="n">
        <v>1</v>
      </c>
      <c r="S2757" s="2" t="n">
        <v>10</v>
      </c>
      <c r="T2757" s="2" t="n">
        <v>0</v>
      </c>
      <c r="U2757" s="2" t="n">
        <v>9</v>
      </c>
      <c r="V2757" s="2" t="n">
        <v>2</v>
      </c>
      <c r="W2757" s="2" t="n">
        <v>2</v>
      </c>
      <c r="X2757" s="2" t="n">
        <v>3</v>
      </c>
      <c r="Y2757" s="2" t="n">
        <v>2</v>
      </c>
      <c r="Z2757" s="2" t="n">
        <v>3</v>
      </c>
    </row>
    <row r="2758" customFormat="false" ht="15" hidden="false" customHeight="true" outlineLevel="0" collapsed="false">
      <c r="A2758" s="2" t="n">
        <v>36</v>
      </c>
      <c r="B2758" s="2" t="s">
        <v>26</v>
      </c>
      <c r="C2758" s="2" t="s">
        <v>27</v>
      </c>
      <c r="D2758" s="2" t="s">
        <v>35</v>
      </c>
      <c r="E2758" s="2" t="n">
        <v>2</v>
      </c>
      <c r="F2758" s="2" t="n">
        <v>3</v>
      </c>
      <c r="G2758" s="2" t="s">
        <v>29</v>
      </c>
      <c r="H2758" s="2" t="n">
        <v>2757</v>
      </c>
      <c r="I2758" s="2" t="s">
        <v>39</v>
      </c>
      <c r="J2758" s="2" t="n">
        <v>2</v>
      </c>
      <c r="K2758" s="2" t="s">
        <v>48</v>
      </c>
      <c r="L2758" s="2" t="s">
        <v>32</v>
      </c>
      <c r="M2758" s="2" t="n">
        <v>43200</v>
      </c>
      <c r="N2758" s="2" t="n">
        <v>3</v>
      </c>
      <c r="O2758" s="2" t="n">
        <v>17</v>
      </c>
      <c r="P2758" s="2" t="n">
        <v>0</v>
      </c>
      <c r="Q2758" s="2" t="n">
        <v>5</v>
      </c>
      <c r="R2758" s="2" t="n">
        <v>2</v>
      </c>
      <c r="S2758" s="2" t="n">
        <v>1</v>
      </c>
      <c r="T2758" s="2" t="n">
        <v>0</v>
      </c>
      <c r="U2758" s="2" t="n">
        <v>0</v>
      </c>
      <c r="V2758" s="2" t="n">
        <v>2</v>
      </c>
      <c r="W2758" s="2" t="n">
        <v>4</v>
      </c>
      <c r="X2758" s="2" t="n">
        <v>3</v>
      </c>
      <c r="Y2758" s="2" t="n">
        <v>3</v>
      </c>
      <c r="Z2758" s="2" t="n">
        <v>3</v>
      </c>
    </row>
    <row r="2759" customFormat="false" ht="15" hidden="false" customHeight="true" outlineLevel="0" collapsed="false">
      <c r="A2759" s="2" t="n">
        <v>31</v>
      </c>
      <c r="B2759" s="2" t="s">
        <v>26</v>
      </c>
      <c r="C2759" s="2" t="s">
        <v>27</v>
      </c>
      <c r="D2759" s="2" t="s">
        <v>35</v>
      </c>
      <c r="E2759" s="2" t="n">
        <v>27</v>
      </c>
      <c r="F2759" s="2" t="n">
        <v>3</v>
      </c>
      <c r="G2759" s="2" t="s">
        <v>43</v>
      </c>
      <c r="H2759" s="2" t="n">
        <v>2758</v>
      </c>
      <c r="I2759" s="2" t="s">
        <v>30</v>
      </c>
      <c r="J2759" s="2" t="n">
        <v>2</v>
      </c>
      <c r="K2759" s="2" t="s">
        <v>44</v>
      </c>
      <c r="L2759" s="2" t="s">
        <v>37</v>
      </c>
      <c r="M2759" s="2" t="n">
        <v>21320</v>
      </c>
      <c r="N2759" s="2" t="n">
        <v>1</v>
      </c>
      <c r="O2759" s="2" t="n">
        <v>18</v>
      </c>
      <c r="P2759" s="2" t="n">
        <v>0</v>
      </c>
      <c r="Q2759" s="2" t="n">
        <v>11</v>
      </c>
      <c r="R2759" s="2" t="n">
        <v>3</v>
      </c>
      <c r="S2759" s="2" t="n">
        <v>11</v>
      </c>
      <c r="T2759" s="2" t="n">
        <v>1</v>
      </c>
      <c r="U2759" s="2" t="n">
        <v>8</v>
      </c>
      <c r="V2759" s="2" t="n">
        <v>3</v>
      </c>
      <c r="W2759" s="2" t="n">
        <v>4</v>
      </c>
      <c r="X2759" s="2" t="n">
        <v>3</v>
      </c>
      <c r="Y2759" s="2" t="n">
        <v>3</v>
      </c>
      <c r="Z2759" s="2" t="n">
        <v>3</v>
      </c>
    </row>
    <row r="2760" customFormat="false" ht="15" hidden="false" customHeight="true" outlineLevel="0" collapsed="false">
      <c r="A2760" s="2" t="n">
        <v>35</v>
      </c>
      <c r="B2760" s="2" t="s">
        <v>26</v>
      </c>
      <c r="C2760" s="2" t="s">
        <v>27</v>
      </c>
      <c r="D2760" s="2" t="s">
        <v>35</v>
      </c>
      <c r="E2760" s="2" t="n">
        <v>2</v>
      </c>
      <c r="F2760" s="2" t="n">
        <v>4</v>
      </c>
      <c r="G2760" s="2" t="s">
        <v>43</v>
      </c>
      <c r="H2760" s="2" t="n">
        <v>2759</v>
      </c>
      <c r="I2760" s="2" t="s">
        <v>39</v>
      </c>
      <c r="J2760" s="2" t="n">
        <v>2</v>
      </c>
      <c r="K2760" s="2" t="s">
        <v>31</v>
      </c>
      <c r="L2760" s="2" t="s">
        <v>37</v>
      </c>
      <c r="M2760" s="2" t="n">
        <v>101240</v>
      </c>
      <c r="N2760" s="2" t="n">
        <v>0</v>
      </c>
      <c r="O2760" s="2" t="n">
        <v>14</v>
      </c>
      <c r="P2760" s="2" t="n">
        <v>1</v>
      </c>
      <c r="Q2760" s="2" t="n">
        <v>16</v>
      </c>
      <c r="R2760" s="2" t="n">
        <v>2</v>
      </c>
      <c r="S2760" s="2" t="n">
        <v>15</v>
      </c>
      <c r="T2760" s="2" t="n">
        <v>2</v>
      </c>
      <c r="U2760" s="2" t="n">
        <v>8</v>
      </c>
      <c r="V2760" s="2" t="n">
        <v>3</v>
      </c>
      <c r="W2760" s="2" t="n">
        <v>1</v>
      </c>
      <c r="X2760" s="2" t="n">
        <v>3</v>
      </c>
      <c r="Y2760" s="2" t="n">
        <v>4</v>
      </c>
      <c r="Z2760" s="2" t="n">
        <v>3</v>
      </c>
    </row>
    <row r="2761" customFormat="false" ht="15" hidden="false" customHeight="true" outlineLevel="0" collapsed="false">
      <c r="A2761" s="2" t="n">
        <v>45</v>
      </c>
      <c r="B2761" s="2" t="s">
        <v>26</v>
      </c>
      <c r="C2761" s="2" t="s">
        <v>27</v>
      </c>
      <c r="D2761" s="2" t="s">
        <v>42</v>
      </c>
      <c r="E2761" s="2" t="n">
        <v>14</v>
      </c>
      <c r="F2761" s="2" t="n">
        <v>3</v>
      </c>
      <c r="G2761" s="2" t="s">
        <v>42</v>
      </c>
      <c r="H2761" s="2" t="n">
        <v>2760</v>
      </c>
      <c r="I2761" s="2" t="s">
        <v>30</v>
      </c>
      <c r="J2761" s="2" t="n">
        <v>1</v>
      </c>
      <c r="K2761" s="2" t="s">
        <v>40</v>
      </c>
      <c r="L2761" s="2" t="s">
        <v>32</v>
      </c>
      <c r="M2761" s="2" t="n">
        <v>54730</v>
      </c>
      <c r="N2761" s="2" t="n">
        <v>4</v>
      </c>
      <c r="O2761" s="2" t="n">
        <v>13</v>
      </c>
      <c r="P2761" s="2" t="n">
        <v>0</v>
      </c>
      <c r="Q2761" s="2" t="n">
        <v>17</v>
      </c>
      <c r="R2761" s="2" t="n">
        <v>3</v>
      </c>
      <c r="S2761" s="2" t="n">
        <v>0</v>
      </c>
      <c r="T2761" s="2" t="n">
        <v>0</v>
      </c>
      <c r="U2761" s="2" t="n">
        <v>0</v>
      </c>
      <c r="V2761" s="2" t="n">
        <v>4</v>
      </c>
      <c r="W2761" s="2" t="n">
        <v>1</v>
      </c>
      <c r="X2761" s="2" t="n">
        <v>4</v>
      </c>
      <c r="Y2761" s="2" t="n">
        <v>1</v>
      </c>
      <c r="Z2761" s="2" t="n">
        <v>3</v>
      </c>
    </row>
    <row r="2762" customFormat="false" ht="15" hidden="false" customHeight="true" outlineLevel="0" collapsed="false">
      <c r="A2762" s="2" t="n">
        <v>37</v>
      </c>
      <c r="B2762" s="2" t="s">
        <v>26</v>
      </c>
      <c r="C2762" s="2" t="s">
        <v>27</v>
      </c>
      <c r="D2762" s="2" t="s">
        <v>35</v>
      </c>
      <c r="E2762" s="2" t="n">
        <v>1</v>
      </c>
      <c r="F2762" s="2" t="n">
        <v>3</v>
      </c>
      <c r="G2762" s="2" t="s">
        <v>29</v>
      </c>
      <c r="H2762" s="2" t="n">
        <v>2761</v>
      </c>
      <c r="I2762" s="2" t="s">
        <v>30</v>
      </c>
      <c r="J2762" s="2" t="n">
        <v>3</v>
      </c>
      <c r="K2762" s="2" t="s">
        <v>40</v>
      </c>
      <c r="L2762" s="2" t="s">
        <v>37</v>
      </c>
      <c r="M2762" s="2" t="n">
        <v>52070</v>
      </c>
      <c r="N2762" s="2" t="n">
        <v>4</v>
      </c>
      <c r="O2762" s="2" t="n">
        <v>17</v>
      </c>
      <c r="P2762" s="2" t="n">
        <v>3</v>
      </c>
      <c r="Q2762" s="2" t="n">
        <v>16</v>
      </c>
      <c r="R2762" s="2" t="n">
        <v>3</v>
      </c>
      <c r="S2762" s="2" t="n">
        <v>5</v>
      </c>
      <c r="T2762" s="2" t="n">
        <v>0</v>
      </c>
      <c r="U2762" s="2" t="n">
        <v>2</v>
      </c>
      <c r="V2762" s="2" t="n">
        <v>1</v>
      </c>
      <c r="W2762" s="2" t="n">
        <v>3</v>
      </c>
      <c r="X2762" s="2" t="n">
        <v>4</v>
      </c>
      <c r="Y2762" s="2" t="n">
        <v>3</v>
      </c>
      <c r="Z2762" s="2" t="n">
        <v>3</v>
      </c>
    </row>
    <row r="2763" customFormat="false" ht="15" hidden="false" customHeight="true" outlineLevel="0" collapsed="false">
      <c r="A2763" s="2" t="n">
        <v>46</v>
      </c>
      <c r="B2763" s="2" t="s">
        <v>26</v>
      </c>
      <c r="C2763" s="2" t="s">
        <v>27</v>
      </c>
      <c r="D2763" s="2" t="s">
        <v>35</v>
      </c>
      <c r="E2763" s="2" t="n">
        <v>9</v>
      </c>
      <c r="F2763" s="2" t="n">
        <v>3</v>
      </c>
      <c r="G2763" s="2" t="s">
        <v>43</v>
      </c>
      <c r="H2763" s="2" t="n">
        <v>2762</v>
      </c>
      <c r="I2763" s="2" t="s">
        <v>39</v>
      </c>
      <c r="J2763" s="2" t="n">
        <v>3</v>
      </c>
      <c r="K2763" s="2" t="s">
        <v>49</v>
      </c>
      <c r="L2763" s="2" t="s">
        <v>46</v>
      </c>
      <c r="M2763" s="2" t="n">
        <v>164370</v>
      </c>
      <c r="N2763" s="2" t="n">
        <v>8</v>
      </c>
      <c r="O2763" s="2" t="n">
        <v>15</v>
      </c>
      <c r="P2763" s="2" t="n">
        <v>1</v>
      </c>
      <c r="Q2763" s="2" t="n">
        <v>16</v>
      </c>
      <c r="R2763" s="2" t="n">
        <v>0</v>
      </c>
      <c r="S2763" s="2" t="n">
        <v>4</v>
      </c>
      <c r="T2763" s="2" t="n">
        <v>0</v>
      </c>
      <c r="U2763" s="2" t="n">
        <v>2</v>
      </c>
      <c r="V2763" s="2" t="n">
        <v>2</v>
      </c>
      <c r="W2763" s="2" t="n">
        <v>2</v>
      </c>
      <c r="X2763" s="2" t="n">
        <v>3</v>
      </c>
      <c r="Y2763" s="2" t="n">
        <v>3</v>
      </c>
      <c r="Z2763" s="2" t="n">
        <v>3</v>
      </c>
    </row>
    <row r="2764" customFormat="false" ht="15" hidden="false" customHeight="true" outlineLevel="0" collapsed="false">
      <c r="A2764" s="2" t="n">
        <v>30</v>
      </c>
      <c r="B2764" s="2" t="s">
        <v>26</v>
      </c>
      <c r="C2764" s="2" t="s">
        <v>27</v>
      </c>
      <c r="D2764" s="2" t="s">
        <v>28</v>
      </c>
      <c r="E2764" s="2" t="n">
        <v>18</v>
      </c>
      <c r="F2764" s="2" t="n">
        <v>3</v>
      </c>
      <c r="G2764" s="2" t="s">
        <v>29</v>
      </c>
      <c r="H2764" s="2" t="n">
        <v>2763</v>
      </c>
      <c r="I2764" s="2" t="s">
        <v>39</v>
      </c>
      <c r="J2764" s="2" t="n">
        <v>4</v>
      </c>
      <c r="K2764" s="2" t="s">
        <v>42</v>
      </c>
      <c r="L2764" s="2" t="s">
        <v>32</v>
      </c>
      <c r="M2764" s="2" t="n">
        <v>22960</v>
      </c>
      <c r="N2764" s="2" t="n">
        <v>1</v>
      </c>
      <c r="O2764" s="2" t="n">
        <v>18</v>
      </c>
      <c r="P2764" s="2" t="n">
        <v>1</v>
      </c>
      <c r="Q2764" s="2" t="n">
        <v>10</v>
      </c>
      <c r="R2764" s="2" t="n">
        <v>2</v>
      </c>
      <c r="S2764" s="2" t="n">
        <v>10</v>
      </c>
      <c r="T2764" s="2" t="n">
        <v>3</v>
      </c>
      <c r="U2764" s="2" t="n">
        <v>0</v>
      </c>
      <c r="V2764" s="2" t="n">
        <v>4</v>
      </c>
      <c r="W2764" s="2" t="n">
        <v>4</v>
      </c>
      <c r="X2764" s="2" t="n">
        <v>2</v>
      </c>
      <c r="Y2764" s="2" t="n">
        <v>3</v>
      </c>
      <c r="Z2764" s="2" t="n">
        <v>3</v>
      </c>
    </row>
    <row r="2765" customFormat="false" ht="15" hidden="false" customHeight="true" outlineLevel="0" collapsed="false">
      <c r="A2765" s="2" t="n">
        <v>35</v>
      </c>
      <c r="B2765" s="2" t="s">
        <v>26</v>
      </c>
      <c r="C2765" s="2" t="s">
        <v>27</v>
      </c>
      <c r="D2765" s="2" t="s">
        <v>35</v>
      </c>
      <c r="E2765" s="2" t="n">
        <v>20</v>
      </c>
      <c r="F2765" s="2" t="n">
        <v>4</v>
      </c>
      <c r="G2765" s="2" t="s">
        <v>29</v>
      </c>
      <c r="H2765" s="2" t="n">
        <v>2764</v>
      </c>
      <c r="I2765" s="2" t="s">
        <v>30</v>
      </c>
      <c r="J2765" s="2" t="n">
        <v>3</v>
      </c>
      <c r="K2765" s="2" t="s">
        <v>42</v>
      </c>
      <c r="L2765" s="2" t="s">
        <v>37</v>
      </c>
      <c r="M2765" s="2" t="n">
        <v>40690</v>
      </c>
      <c r="N2765" s="2" t="n">
        <v>1</v>
      </c>
      <c r="O2765" s="2" t="n">
        <v>13</v>
      </c>
      <c r="P2765" s="2" t="n">
        <v>0</v>
      </c>
      <c r="Q2765" s="2" t="n">
        <v>6</v>
      </c>
      <c r="R2765" s="2" t="n">
        <v>5</v>
      </c>
      <c r="S2765" s="2" t="n">
        <v>6</v>
      </c>
      <c r="T2765" s="2" t="n">
        <v>0</v>
      </c>
      <c r="U2765" s="2" t="n">
        <v>4</v>
      </c>
      <c r="V2765" s="2" t="n">
        <v>2</v>
      </c>
      <c r="W2765" s="2" t="n">
        <v>3</v>
      </c>
      <c r="X2765" s="2" t="n">
        <v>3</v>
      </c>
      <c r="Y2765" s="2" t="n">
        <v>3</v>
      </c>
      <c r="Z2765" s="2" t="n">
        <v>3</v>
      </c>
    </row>
    <row r="2766" customFormat="false" ht="15" hidden="false" customHeight="true" outlineLevel="0" collapsed="false">
      <c r="A2766" s="2" t="n">
        <v>55</v>
      </c>
      <c r="B2766" s="2" t="s">
        <v>26</v>
      </c>
      <c r="C2766" s="2" t="s">
        <v>27</v>
      </c>
      <c r="D2766" s="2" t="s">
        <v>35</v>
      </c>
      <c r="E2766" s="2" t="n">
        <v>2</v>
      </c>
      <c r="F2766" s="2" t="n">
        <v>3</v>
      </c>
      <c r="G2766" s="2" t="s">
        <v>29</v>
      </c>
      <c r="H2766" s="2" t="n">
        <v>2765</v>
      </c>
      <c r="I2766" s="2" t="s">
        <v>30</v>
      </c>
      <c r="J2766" s="2" t="n">
        <v>2</v>
      </c>
      <c r="K2766" s="2" t="s">
        <v>45</v>
      </c>
      <c r="L2766" s="2" t="s">
        <v>32</v>
      </c>
      <c r="M2766" s="2" t="n">
        <v>74410</v>
      </c>
      <c r="N2766" s="2" t="n">
        <v>3</v>
      </c>
      <c r="O2766" s="2" t="n">
        <v>12</v>
      </c>
      <c r="P2766" s="2" t="n">
        <v>1</v>
      </c>
      <c r="Q2766" s="2" t="n">
        <v>24</v>
      </c>
      <c r="R2766" s="2" t="n">
        <v>4</v>
      </c>
      <c r="S2766" s="2" t="n">
        <v>1</v>
      </c>
      <c r="T2766" s="2" t="n">
        <v>1</v>
      </c>
      <c r="U2766" s="2" t="n">
        <v>0</v>
      </c>
      <c r="V2766" s="2" t="n">
        <v>1</v>
      </c>
      <c r="W2766" s="2" t="n">
        <v>4</v>
      </c>
      <c r="X2766" s="2" t="n">
        <v>3</v>
      </c>
      <c r="Y2766" s="2" t="n">
        <v>3</v>
      </c>
      <c r="Z2766" s="2" t="n">
        <v>3</v>
      </c>
    </row>
    <row r="2767" customFormat="false" ht="15" hidden="false" customHeight="true" outlineLevel="0" collapsed="false">
      <c r="A2767" s="2" t="n">
        <v>38</v>
      </c>
      <c r="B2767" s="2" t="s">
        <v>26</v>
      </c>
      <c r="C2767" s="2" t="s">
        <v>41</v>
      </c>
      <c r="D2767" s="2" t="s">
        <v>28</v>
      </c>
      <c r="E2767" s="2" t="n">
        <v>11</v>
      </c>
      <c r="F2767" s="2" t="n">
        <v>1</v>
      </c>
      <c r="G2767" s="2" t="s">
        <v>50</v>
      </c>
      <c r="H2767" s="2" t="n">
        <v>2766</v>
      </c>
      <c r="I2767" s="2" t="s">
        <v>39</v>
      </c>
      <c r="J2767" s="2" t="n">
        <v>2</v>
      </c>
      <c r="K2767" s="2" t="s">
        <v>45</v>
      </c>
      <c r="L2767" s="2" t="s">
        <v>46</v>
      </c>
      <c r="M2767" s="2" t="n">
        <v>24300</v>
      </c>
      <c r="N2767" s="2" t="n">
        <v>7</v>
      </c>
      <c r="O2767" s="2" t="n">
        <v>13</v>
      </c>
      <c r="P2767" s="2" t="n">
        <v>2</v>
      </c>
      <c r="Q2767" s="2" t="n">
        <v>17</v>
      </c>
      <c r="R2767" s="2" t="n">
        <v>2</v>
      </c>
      <c r="S2767" s="2" t="n">
        <v>13</v>
      </c>
      <c r="T2767" s="2" t="n">
        <v>1</v>
      </c>
      <c r="U2767" s="2" t="n">
        <v>9</v>
      </c>
      <c r="V2767" s="2" t="n">
        <v>2</v>
      </c>
      <c r="W2767" s="2" t="n">
        <v>4</v>
      </c>
      <c r="X2767" s="2" t="n">
        <v>3</v>
      </c>
      <c r="Y2767" s="2" t="n">
        <v>4</v>
      </c>
      <c r="Z2767" s="2" t="n">
        <v>3</v>
      </c>
    </row>
    <row r="2768" customFormat="false" ht="15" hidden="false" customHeight="true" outlineLevel="0" collapsed="false">
      <c r="A2768" s="2" t="n">
        <v>34</v>
      </c>
      <c r="B2768" s="2" t="s">
        <v>26</v>
      </c>
      <c r="C2768" s="2" t="s">
        <v>27</v>
      </c>
      <c r="D2768" s="2" t="s">
        <v>35</v>
      </c>
      <c r="E2768" s="2" t="n">
        <v>8</v>
      </c>
      <c r="F2768" s="2" t="n">
        <v>2</v>
      </c>
      <c r="G2768" s="2" t="s">
        <v>43</v>
      </c>
      <c r="H2768" s="2" t="n">
        <v>2767</v>
      </c>
      <c r="I2768" s="2" t="s">
        <v>39</v>
      </c>
      <c r="J2768" s="2" t="n">
        <v>1</v>
      </c>
      <c r="K2768" s="2" t="s">
        <v>36</v>
      </c>
      <c r="L2768" s="2" t="s">
        <v>32</v>
      </c>
      <c r="M2768" s="2" t="n">
        <v>58780</v>
      </c>
      <c r="N2768" s="2" t="n">
        <v>1</v>
      </c>
      <c r="O2768" s="2" t="n">
        <v>14</v>
      </c>
      <c r="P2768" s="2" t="n">
        <v>0</v>
      </c>
      <c r="Q2768" s="2" t="n">
        <v>5</v>
      </c>
      <c r="R2768" s="2" t="n">
        <v>1</v>
      </c>
      <c r="S2768" s="2" t="n">
        <v>5</v>
      </c>
      <c r="T2768" s="2" t="n">
        <v>1</v>
      </c>
      <c r="U2768" s="2" t="n">
        <v>3</v>
      </c>
      <c r="V2768" s="2" t="n">
        <v>1</v>
      </c>
      <c r="W2768" s="2" t="n">
        <v>2</v>
      </c>
      <c r="X2768" s="2" t="n">
        <v>3</v>
      </c>
      <c r="Y2768" s="2" t="n">
        <v>3</v>
      </c>
      <c r="Z2768" s="2" t="n">
        <v>3</v>
      </c>
    </row>
    <row r="2769" customFormat="false" ht="15" hidden="false" customHeight="true" outlineLevel="0" collapsed="false">
      <c r="A2769" s="2" t="n">
        <v>56</v>
      </c>
      <c r="B2769" s="2" t="s">
        <v>26</v>
      </c>
      <c r="C2769" s="2" t="s">
        <v>27</v>
      </c>
      <c r="D2769" s="2" t="s">
        <v>42</v>
      </c>
      <c r="E2769" s="2" t="n">
        <v>2</v>
      </c>
      <c r="F2769" s="2" t="n">
        <v>1</v>
      </c>
      <c r="G2769" s="2" t="s">
        <v>43</v>
      </c>
      <c r="H2769" s="2" t="n">
        <v>2768</v>
      </c>
      <c r="I2769" s="2" t="s">
        <v>39</v>
      </c>
      <c r="J2769" s="2" t="n">
        <v>2</v>
      </c>
      <c r="K2769" s="2" t="s">
        <v>40</v>
      </c>
      <c r="L2769" s="2" t="s">
        <v>37</v>
      </c>
      <c r="M2769" s="2" t="n">
        <v>26440</v>
      </c>
      <c r="N2769" s="2" t="n">
        <v>4</v>
      </c>
      <c r="O2769" s="2" t="n">
        <v>11</v>
      </c>
      <c r="P2769" s="2" t="n">
        <v>1</v>
      </c>
      <c r="Q2769" s="2" t="n">
        <v>37</v>
      </c>
      <c r="R2769" s="2" t="n">
        <v>2</v>
      </c>
      <c r="S2769" s="2" t="n">
        <v>6</v>
      </c>
      <c r="T2769" s="2" t="n">
        <v>0</v>
      </c>
      <c r="U2769" s="2" t="n">
        <v>2</v>
      </c>
      <c r="V2769" s="2" t="n">
        <v>4</v>
      </c>
      <c r="W2769" s="2" t="n">
        <v>4</v>
      </c>
      <c r="X2769" s="2" t="n">
        <v>2</v>
      </c>
      <c r="Y2769" s="2" t="n">
        <v>3</v>
      </c>
      <c r="Z2769" s="2" t="n">
        <v>3</v>
      </c>
    </row>
    <row r="2770" customFormat="false" ht="15" hidden="false" customHeight="true" outlineLevel="0" collapsed="false">
      <c r="A2770" s="2" t="n">
        <v>23</v>
      </c>
      <c r="B2770" s="2" t="s">
        <v>26</v>
      </c>
      <c r="C2770" s="2" t="s">
        <v>27</v>
      </c>
      <c r="D2770" s="2" t="s">
        <v>35</v>
      </c>
      <c r="E2770" s="2" t="n">
        <v>10</v>
      </c>
      <c r="F2770" s="2" t="n">
        <v>3</v>
      </c>
      <c r="G2770" s="2" t="s">
        <v>43</v>
      </c>
      <c r="H2770" s="2" t="n">
        <v>2769</v>
      </c>
      <c r="I2770" s="2" t="s">
        <v>39</v>
      </c>
      <c r="J2770" s="2" t="n">
        <v>2</v>
      </c>
      <c r="K2770" s="2" t="s">
        <v>45</v>
      </c>
      <c r="L2770" s="2" t="s">
        <v>46</v>
      </c>
      <c r="M2770" s="2" t="n">
        <v>64390</v>
      </c>
      <c r="N2770" s="2" t="n">
        <v>3</v>
      </c>
      <c r="O2770" s="2" t="n">
        <v>22</v>
      </c>
      <c r="P2770" s="2" t="n">
        <v>3</v>
      </c>
      <c r="Q2770" s="2" t="n">
        <v>3</v>
      </c>
      <c r="R2770" s="2" t="n">
        <v>2</v>
      </c>
      <c r="S2770" s="2" t="n">
        <v>0</v>
      </c>
      <c r="T2770" s="2" t="n">
        <v>0</v>
      </c>
      <c r="U2770" s="2" t="n">
        <v>0</v>
      </c>
      <c r="V2770" s="2" t="n">
        <v>3</v>
      </c>
      <c r="W2770" s="2" t="n">
        <v>1</v>
      </c>
      <c r="X2770" s="2" t="n">
        <v>3</v>
      </c>
      <c r="Y2770" s="2" t="n">
        <v>3</v>
      </c>
      <c r="Z2770" s="2" t="n">
        <v>4</v>
      </c>
    </row>
    <row r="2771" customFormat="false" ht="15" hidden="false" customHeight="true" outlineLevel="0" collapsed="false">
      <c r="A2771" s="2" t="n">
        <v>51</v>
      </c>
      <c r="B2771" s="2" t="s">
        <v>26</v>
      </c>
      <c r="C2771" s="2" t="s">
        <v>27</v>
      </c>
      <c r="D2771" s="2" t="s">
        <v>35</v>
      </c>
      <c r="E2771" s="2" t="n">
        <v>29</v>
      </c>
      <c r="F2771" s="2" t="n">
        <v>4</v>
      </c>
      <c r="G2771" s="2" t="s">
        <v>29</v>
      </c>
      <c r="H2771" s="2" t="n">
        <v>2770</v>
      </c>
      <c r="I2771" s="2" t="s">
        <v>30</v>
      </c>
      <c r="J2771" s="2" t="n">
        <v>5</v>
      </c>
      <c r="K2771" s="2" t="s">
        <v>47</v>
      </c>
      <c r="L2771" s="2" t="s">
        <v>32</v>
      </c>
      <c r="M2771" s="2" t="n">
        <v>24510</v>
      </c>
      <c r="N2771" s="2" t="n">
        <v>3</v>
      </c>
      <c r="O2771" s="2" t="n">
        <v>17</v>
      </c>
      <c r="P2771" s="2" t="n">
        <v>0</v>
      </c>
      <c r="Q2771" s="2" t="n">
        <v>10</v>
      </c>
      <c r="R2771" s="2" t="n">
        <v>2</v>
      </c>
      <c r="S2771" s="2" t="n">
        <v>4</v>
      </c>
      <c r="T2771" s="2" t="n">
        <v>0</v>
      </c>
      <c r="U2771" s="2" t="n">
        <v>3</v>
      </c>
      <c r="V2771" s="2" t="n">
        <v>4</v>
      </c>
      <c r="W2771" s="2" t="n">
        <v>4</v>
      </c>
      <c r="X2771" s="2" t="n">
        <v>3</v>
      </c>
      <c r="Y2771" s="2" t="n">
        <v>2</v>
      </c>
      <c r="Z2771" s="2" t="n">
        <v>3</v>
      </c>
    </row>
    <row r="2772" customFormat="false" ht="15" hidden="false" customHeight="true" outlineLevel="0" collapsed="false">
      <c r="A2772" s="2" t="n">
        <v>30</v>
      </c>
      <c r="B2772" s="2" t="s">
        <v>26</v>
      </c>
      <c r="C2772" s="2" t="s">
        <v>27</v>
      </c>
      <c r="D2772" s="2" t="s">
        <v>28</v>
      </c>
      <c r="E2772" s="2" t="n">
        <v>8</v>
      </c>
      <c r="F2772" s="2" t="n">
        <v>2</v>
      </c>
      <c r="G2772" s="2" t="s">
        <v>51</v>
      </c>
      <c r="H2772" s="2" t="n">
        <v>2771</v>
      </c>
      <c r="I2772" s="2" t="s">
        <v>39</v>
      </c>
      <c r="J2772" s="2" t="n">
        <v>1</v>
      </c>
      <c r="K2772" s="2" t="s">
        <v>48</v>
      </c>
      <c r="L2772" s="2" t="s">
        <v>32</v>
      </c>
      <c r="M2772" s="2" t="n">
        <v>63920</v>
      </c>
      <c r="N2772" s="2" t="n">
        <v>1</v>
      </c>
      <c r="O2772" s="2" t="n">
        <v>21</v>
      </c>
      <c r="P2772" s="2" t="n">
        <v>1</v>
      </c>
      <c r="Q2772" s="2" t="n">
        <v>11</v>
      </c>
      <c r="R2772" s="2" t="n">
        <v>2</v>
      </c>
      <c r="S2772" s="2" t="n">
        <v>11</v>
      </c>
      <c r="T2772" s="2" t="n">
        <v>10</v>
      </c>
      <c r="U2772" s="2" t="n">
        <v>8</v>
      </c>
      <c r="V2772" s="2" t="n">
        <v>3</v>
      </c>
      <c r="W2772" s="2" t="n">
        <v>4</v>
      </c>
      <c r="X2772" s="2" t="n">
        <v>3</v>
      </c>
      <c r="Y2772" s="2" t="n">
        <v>4</v>
      </c>
      <c r="Z2772" s="2" t="n">
        <v>4</v>
      </c>
    </row>
    <row r="2773" customFormat="false" ht="15" hidden="false" customHeight="true" outlineLevel="0" collapsed="false">
      <c r="A2773" s="2" t="n">
        <v>46</v>
      </c>
      <c r="B2773" s="2" t="s">
        <v>33</v>
      </c>
      <c r="C2773" s="2" t="s">
        <v>27</v>
      </c>
      <c r="D2773" s="2" t="s">
        <v>28</v>
      </c>
      <c r="E2773" s="2" t="n">
        <v>1</v>
      </c>
      <c r="F2773" s="2" t="n">
        <v>2</v>
      </c>
      <c r="G2773" s="2" t="s">
        <v>43</v>
      </c>
      <c r="H2773" s="2" t="n">
        <v>2772</v>
      </c>
      <c r="I2773" s="2" t="s">
        <v>30</v>
      </c>
      <c r="J2773" s="2" t="n">
        <v>2</v>
      </c>
      <c r="K2773" s="2" t="s">
        <v>36</v>
      </c>
      <c r="L2773" s="2" t="s">
        <v>37</v>
      </c>
      <c r="M2773" s="2" t="n">
        <v>97140</v>
      </c>
      <c r="N2773" s="2" t="n">
        <v>1</v>
      </c>
      <c r="O2773" s="2" t="n">
        <v>22</v>
      </c>
      <c r="P2773" s="2" t="n">
        <v>0</v>
      </c>
      <c r="Q2773" s="2" t="n">
        <v>9</v>
      </c>
      <c r="R2773" s="2" t="n">
        <v>0</v>
      </c>
      <c r="S2773" s="2" t="n">
        <v>9</v>
      </c>
      <c r="T2773" s="2" t="n">
        <v>4</v>
      </c>
      <c r="U2773" s="2" t="n">
        <v>7</v>
      </c>
      <c r="V2773" s="2" t="n">
        <v>3</v>
      </c>
      <c r="W2773" s="2" t="n">
        <v>4</v>
      </c>
      <c r="X2773" s="2" t="n">
        <v>3</v>
      </c>
      <c r="Y2773" s="2" t="n">
        <v>3</v>
      </c>
      <c r="Z2773" s="2" t="n">
        <v>4</v>
      </c>
    </row>
    <row r="2774" customFormat="false" ht="15" hidden="false" customHeight="true" outlineLevel="0" collapsed="false">
      <c r="A2774" s="2" t="n">
        <v>40</v>
      </c>
      <c r="B2774" s="2" t="s">
        <v>26</v>
      </c>
      <c r="C2774" s="2" t="s">
        <v>34</v>
      </c>
      <c r="D2774" s="2" t="s">
        <v>35</v>
      </c>
      <c r="E2774" s="2" t="n">
        <v>6</v>
      </c>
      <c r="F2774" s="2" t="n">
        <v>3</v>
      </c>
      <c r="G2774" s="2" t="s">
        <v>43</v>
      </c>
      <c r="H2774" s="2" t="n">
        <v>2773</v>
      </c>
      <c r="I2774" s="2" t="s">
        <v>39</v>
      </c>
      <c r="J2774" s="2" t="n">
        <v>1</v>
      </c>
      <c r="K2774" s="2" t="s">
        <v>31</v>
      </c>
      <c r="L2774" s="2" t="s">
        <v>32</v>
      </c>
      <c r="M2774" s="2" t="n">
        <v>60770</v>
      </c>
      <c r="N2774" s="2" t="n">
        <v>1</v>
      </c>
      <c r="O2774" s="2" t="n">
        <v>16</v>
      </c>
      <c r="P2774" s="2" t="n">
        <v>2</v>
      </c>
      <c r="Q2774" s="2" t="n">
        <v>22</v>
      </c>
      <c r="R2774" s="2" t="n">
        <v>2</v>
      </c>
      <c r="S2774" s="2" t="n">
        <v>22</v>
      </c>
      <c r="T2774" s="2" t="n">
        <v>11</v>
      </c>
      <c r="U2774" s="2" t="n">
        <v>11</v>
      </c>
      <c r="V2774" s="2" t="n">
        <v>3</v>
      </c>
      <c r="W2774" s="2" t="n">
        <v>2</v>
      </c>
      <c r="X2774" s="2" t="n">
        <v>2</v>
      </c>
      <c r="Y2774" s="2" t="n">
        <v>2</v>
      </c>
      <c r="Z2774" s="2" t="n">
        <v>3</v>
      </c>
    </row>
    <row r="2775" customFormat="false" ht="15" hidden="false" customHeight="true" outlineLevel="0" collapsed="false">
      <c r="A2775" s="2" t="n">
        <v>51</v>
      </c>
      <c r="B2775" s="2" t="s">
        <v>26</v>
      </c>
      <c r="C2775" s="2" t="s">
        <v>27</v>
      </c>
      <c r="D2775" s="2" t="s">
        <v>35</v>
      </c>
      <c r="E2775" s="2" t="n">
        <v>8</v>
      </c>
      <c r="F2775" s="2" t="n">
        <v>4</v>
      </c>
      <c r="G2775" s="2" t="s">
        <v>29</v>
      </c>
      <c r="H2775" s="2" t="n">
        <v>2774</v>
      </c>
      <c r="I2775" s="2" t="s">
        <v>30</v>
      </c>
      <c r="J2775" s="2" t="n">
        <v>5</v>
      </c>
      <c r="K2775" s="2" t="s">
        <v>48</v>
      </c>
      <c r="L2775" s="2" t="s">
        <v>37</v>
      </c>
      <c r="M2775" s="2" t="n">
        <v>24500</v>
      </c>
      <c r="N2775" s="2" t="n">
        <v>0</v>
      </c>
      <c r="O2775" s="2" t="n">
        <v>12</v>
      </c>
      <c r="P2775" s="2" t="n">
        <v>1</v>
      </c>
      <c r="Q2775" s="2" t="n">
        <v>11</v>
      </c>
      <c r="R2775" s="2" t="n">
        <v>2</v>
      </c>
      <c r="S2775" s="2" t="n">
        <v>10</v>
      </c>
      <c r="T2775" s="2" t="n">
        <v>1</v>
      </c>
      <c r="U2775" s="2" t="n">
        <v>0</v>
      </c>
      <c r="V2775" s="2" t="n">
        <v>3</v>
      </c>
      <c r="W2775" s="2" t="n">
        <v>4</v>
      </c>
      <c r="X2775" s="2" t="n">
        <v>1</v>
      </c>
      <c r="Y2775" s="2" t="n">
        <v>3</v>
      </c>
      <c r="Z2775" s="2" t="n">
        <v>3</v>
      </c>
    </row>
    <row r="2776" customFormat="false" ht="15" hidden="false" customHeight="true" outlineLevel="0" collapsed="false">
      <c r="A2776" s="2" t="n">
        <v>30</v>
      </c>
      <c r="B2776" s="2" t="s">
        <v>26</v>
      </c>
      <c r="C2776" s="2" t="s">
        <v>27</v>
      </c>
      <c r="D2776" s="2" t="s">
        <v>35</v>
      </c>
      <c r="E2776" s="2" t="n">
        <v>9</v>
      </c>
      <c r="F2776" s="2" t="n">
        <v>3</v>
      </c>
      <c r="G2776" s="2" t="s">
        <v>29</v>
      </c>
      <c r="H2776" s="2" t="n">
        <v>2775</v>
      </c>
      <c r="I2776" s="2" t="s">
        <v>39</v>
      </c>
      <c r="J2776" s="2" t="n">
        <v>1</v>
      </c>
      <c r="K2776" s="2" t="s">
        <v>47</v>
      </c>
      <c r="L2776" s="2" t="s">
        <v>46</v>
      </c>
      <c r="M2776" s="2" t="n">
        <v>92500</v>
      </c>
      <c r="N2776" s="2" t="n">
        <v>1</v>
      </c>
      <c r="O2776" s="2" t="n">
        <v>12</v>
      </c>
      <c r="P2776" s="2" t="n">
        <v>3</v>
      </c>
      <c r="Q2776" s="2" t="n">
        <v>11</v>
      </c>
      <c r="R2776" s="2" t="n">
        <v>0</v>
      </c>
      <c r="S2776" s="2" t="n">
        <v>11</v>
      </c>
      <c r="T2776" s="2" t="n">
        <v>2</v>
      </c>
      <c r="U2776" s="2" t="n">
        <v>7</v>
      </c>
      <c r="V2776" s="2" t="n">
        <v>3</v>
      </c>
      <c r="W2776" s="2" t="n">
        <v>2</v>
      </c>
      <c r="X2776" s="2" t="n">
        <v>2</v>
      </c>
      <c r="Y2776" s="2" t="n">
        <v>3</v>
      </c>
      <c r="Z2776" s="2" t="n">
        <v>3</v>
      </c>
    </row>
    <row r="2777" customFormat="false" ht="15" hidden="false" customHeight="true" outlineLevel="0" collapsed="false">
      <c r="A2777" s="2" t="n">
        <v>46</v>
      </c>
      <c r="B2777" s="2" t="s">
        <v>26</v>
      </c>
      <c r="C2777" s="2" t="s">
        <v>34</v>
      </c>
      <c r="D2777" s="2" t="s">
        <v>35</v>
      </c>
      <c r="E2777" s="2" t="n">
        <v>12</v>
      </c>
      <c r="F2777" s="2" t="n">
        <v>1</v>
      </c>
      <c r="G2777" s="2" t="s">
        <v>43</v>
      </c>
      <c r="H2777" s="2" t="n">
        <v>2776</v>
      </c>
      <c r="I2777" s="2" t="s">
        <v>39</v>
      </c>
      <c r="J2777" s="2" t="n">
        <v>1</v>
      </c>
      <c r="K2777" s="2" t="s">
        <v>45</v>
      </c>
      <c r="L2777" s="2" t="s">
        <v>32</v>
      </c>
      <c r="M2777" s="2" t="n">
        <v>20740</v>
      </c>
      <c r="N2777" s="2" t="n">
        <v>2</v>
      </c>
      <c r="O2777" s="2" t="n">
        <v>15</v>
      </c>
      <c r="P2777" s="2" t="n">
        <v>1</v>
      </c>
      <c r="Q2777" s="2" t="n">
        <v>21</v>
      </c>
      <c r="R2777" s="2" t="n">
        <v>3</v>
      </c>
      <c r="S2777" s="2" t="n">
        <v>10</v>
      </c>
      <c r="T2777" s="2" t="n">
        <v>9</v>
      </c>
      <c r="U2777" s="2" t="n">
        <v>5</v>
      </c>
      <c r="V2777" s="2" t="n">
        <v>3</v>
      </c>
      <c r="W2777" s="2" t="n">
        <v>1</v>
      </c>
      <c r="X2777" s="2" t="n">
        <v>2</v>
      </c>
      <c r="Y2777" s="2" t="n">
        <v>3</v>
      </c>
      <c r="Z2777" s="2" t="n">
        <v>3</v>
      </c>
    </row>
    <row r="2778" customFormat="false" ht="15" hidden="false" customHeight="true" outlineLevel="0" collapsed="false">
      <c r="A2778" s="2" t="n">
        <v>32</v>
      </c>
      <c r="B2778" s="2" t="s">
        <v>26</v>
      </c>
      <c r="C2778" s="2" t="s">
        <v>27</v>
      </c>
      <c r="D2778" s="2" t="s">
        <v>28</v>
      </c>
      <c r="E2778" s="2" t="n">
        <v>15</v>
      </c>
      <c r="F2778" s="2" t="n">
        <v>3</v>
      </c>
      <c r="G2778" s="2" t="s">
        <v>50</v>
      </c>
      <c r="H2778" s="2" t="n">
        <v>2777</v>
      </c>
      <c r="I2778" s="2" t="s">
        <v>39</v>
      </c>
      <c r="J2778" s="2" t="n">
        <v>1</v>
      </c>
      <c r="K2778" s="2" t="s">
        <v>36</v>
      </c>
      <c r="L2778" s="2" t="s">
        <v>37</v>
      </c>
      <c r="M2778" s="2" t="n">
        <v>101690</v>
      </c>
      <c r="N2778" s="2" t="n">
        <v>1</v>
      </c>
      <c r="O2778" s="2" t="n">
        <v>14</v>
      </c>
      <c r="P2778" s="2" t="n">
        <v>0</v>
      </c>
      <c r="Q2778" s="2" t="n">
        <v>12</v>
      </c>
      <c r="R2778" s="2" t="n">
        <v>6</v>
      </c>
      <c r="S2778" s="2" t="n">
        <v>11</v>
      </c>
      <c r="T2778" s="2" t="n">
        <v>5</v>
      </c>
      <c r="U2778" s="2" t="n">
        <v>7</v>
      </c>
      <c r="V2778" s="2" t="n">
        <v>2</v>
      </c>
      <c r="W2778" s="2" t="n">
        <v>3</v>
      </c>
      <c r="X2778" s="2" t="n">
        <v>3</v>
      </c>
      <c r="Y2778" s="2" t="n">
        <v>2</v>
      </c>
      <c r="Z2778" s="2" t="n">
        <v>3</v>
      </c>
    </row>
    <row r="2779" customFormat="false" ht="15" hidden="false" customHeight="true" outlineLevel="0" collapsed="false">
      <c r="A2779" s="2" t="n">
        <v>54</v>
      </c>
      <c r="B2779" s="2" t="s">
        <v>26</v>
      </c>
      <c r="C2779" s="2" t="s">
        <v>27</v>
      </c>
      <c r="D2779" s="2" t="s">
        <v>35</v>
      </c>
      <c r="E2779" s="2" t="n">
        <v>25</v>
      </c>
      <c r="F2779" s="2" t="n">
        <v>1</v>
      </c>
      <c r="G2779" s="2" t="s">
        <v>43</v>
      </c>
      <c r="H2779" s="2" t="n">
        <v>2778</v>
      </c>
      <c r="I2779" s="2" t="s">
        <v>30</v>
      </c>
      <c r="J2779" s="2" t="n">
        <v>1</v>
      </c>
      <c r="K2779" s="2" t="s">
        <v>45</v>
      </c>
      <c r="L2779" s="2" t="s">
        <v>32</v>
      </c>
      <c r="M2779" s="2" t="n">
        <v>48550</v>
      </c>
      <c r="N2779" s="2" t="n">
        <v>9</v>
      </c>
      <c r="O2779" s="2" t="n">
        <v>25</v>
      </c>
      <c r="P2779" s="2" t="n">
        <v>1</v>
      </c>
      <c r="Q2779" s="2" t="n">
        <v>16</v>
      </c>
      <c r="R2779" s="2" t="n">
        <v>2</v>
      </c>
      <c r="S2779" s="2" t="n">
        <v>4</v>
      </c>
      <c r="T2779" s="2" t="n">
        <v>0</v>
      </c>
      <c r="U2779" s="2" t="n">
        <v>3</v>
      </c>
      <c r="V2779" s="2" t="n">
        <v>1</v>
      </c>
      <c r="W2779" s="2" t="n">
        <v>3</v>
      </c>
      <c r="X2779" s="2" t="n">
        <v>1</v>
      </c>
      <c r="Y2779" s="2" t="n">
        <v>2</v>
      </c>
      <c r="Z2779" s="2" t="n">
        <v>4</v>
      </c>
    </row>
    <row r="2780" customFormat="false" ht="15" hidden="false" customHeight="true" outlineLevel="0" collapsed="false">
      <c r="A2780" s="2" t="n">
        <v>24</v>
      </c>
      <c r="B2780" s="2" t="s">
        <v>26</v>
      </c>
      <c r="C2780" s="2" t="s">
        <v>27</v>
      </c>
      <c r="D2780" s="2" t="s">
        <v>28</v>
      </c>
      <c r="E2780" s="2" t="n">
        <v>6</v>
      </c>
      <c r="F2780" s="2" t="n">
        <v>2</v>
      </c>
      <c r="G2780" s="2" t="s">
        <v>50</v>
      </c>
      <c r="H2780" s="2" t="n">
        <v>2779</v>
      </c>
      <c r="I2780" s="2" t="s">
        <v>39</v>
      </c>
      <c r="J2780" s="2" t="n">
        <v>2</v>
      </c>
      <c r="K2780" s="2" t="s">
        <v>36</v>
      </c>
      <c r="L2780" s="2" t="s">
        <v>32</v>
      </c>
      <c r="M2780" s="2" t="n">
        <v>40870</v>
      </c>
      <c r="N2780" s="2" t="n">
        <v>0</v>
      </c>
      <c r="O2780" s="2" t="n">
        <v>20</v>
      </c>
      <c r="P2780" s="2" t="n">
        <v>3</v>
      </c>
      <c r="Q2780" s="2" t="n">
        <v>4</v>
      </c>
      <c r="R2780" s="2" t="n">
        <v>1</v>
      </c>
      <c r="S2780" s="2" t="n">
        <v>3</v>
      </c>
      <c r="T2780" s="2" t="n">
        <v>0</v>
      </c>
      <c r="U2780" s="2" t="n">
        <v>2</v>
      </c>
      <c r="V2780" s="2" t="n">
        <v>1</v>
      </c>
      <c r="W2780" s="2" t="n">
        <v>3</v>
      </c>
      <c r="X2780" s="2" t="n">
        <v>2</v>
      </c>
      <c r="Y2780" s="2" t="n">
        <v>3</v>
      </c>
      <c r="Z2780" s="2" t="n">
        <v>4</v>
      </c>
    </row>
    <row r="2781" customFormat="false" ht="15" hidden="false" customHeight="true" outlineLevel="0" collapsed="false">
      <c r="A2781" s="2" t="n">
        <v>28</v>
      </c>
      <c r="B2781" s="2" t="s">
        <v>26</v>
      </c>
      <c r="C2781" s="2" t="s">
        <v>41</v>
      </c>
      <c r="D2781" s="2" t="s">
        <v>28</v>
      </c>
      <c r="E2781" s="2" t="n">
        <v>9</v>
      </c>
      <c r="F2781" s="2" t="n">
        <v>4</v>
      </c>
      <c r="G2781" s="2" t="s">
        <v>43</v>
      </c>
      <c r="H2781" s="2" t="n">
        <v>2780</v>
      </c>
      <c r="I2781" s="2" t="s">
        <v>39</v>
      </c>
      <c r="J2781" s="2" t="n">
        <v>2</v>
      </c>
      <c r="K2781" s="2" t="s">
        <v>45</v>
      </c>
      <c r="L2781" s="2" t="s">
        <v>32</v>
      </c>
      <c r="M2781" s="2" t="n">
        <v>23670</v>
      </c>
      <c r="N2781" s="2" t="n">
        <v>1</v>
      </c>
      <c r="O2781" s="2" t="n">
        <v>13</v>
      </c>
      <c r="P2781" s="2" t="n">
        <v>0</v>
      </c>
      <c r="Q2781" s="2" t="n">
        <v>5</v>
      </c>
      <c r="R2781" s="2" t="n">
        <v>2</v>
      </c>
      <c r="S2781" s="2" t="n">
        <v>5</v>
      </c>
      <c r="T2781" s="2" t="n">
        <v>0</v>
      </c>
      <c r="U2781" s="2" t="n">
        <v>4</v>
      </c>
      <c r="V2781" s="2" t="n">
        <v>2</v>
      </c>
      <c r="W2781" s="2" t="n">
        <v>3</v>
      </c>
      <c r="X2781" s="2" t="n">
        <v>4</v>
      </c>
      <c r="Y2781" s="2" t="n">
        <v>2</v>
      </c>
      <c r="Z2781" s="2" t="n">
        <v>3</v>
      </c>
    </row>
    <row r="2782" customFormat="false" ht="15" hidden="false" customHeight="true" outlineLevel="0" collapsed="false">
      <c r="A2782" s="2" t="n">
        <v>58</v>
      </c>
      <c r="B2782" s="2" t="s">
        <v>26</v>
      </c>
      <c r="C2782" s="2" t="s">
        <v>27</v>
      </c>
      <c r="D2782" s="2" t="s">
        <v>35</v>
      </c>
      <c r="E2782" s="2" t="n">
        <v>8</v>
      </c>
      <c r="F2782" s="2" t="n">
        <v>4</v>
      </c>
      <c r="G2782" s="2" t="s">
        <v>29</v>
      </c>
      <c r="H2782" s="2" t="n">
        <v>2781</v>
      </c>
      <c r="I2782" s="2" t="s">
        <v>39</v>
      </c>
      <c r="J2782" s="2" t="n">
        <v>2</v>
      </c>
      <c r="K2782" s="2" t="s">
        <v>40</v>
      </c>
      <c r="L2782" s="2" t="s">
        <v>37</v>
      </c>
      <c r="M2782" s="2" t="n">
        <v>29720</v>
      </c>
      <c r="N2782" s="2" t="n">
        <v>0</v>
      </c>
      <c r="O2782" s="2" t="n">
        <v>14</v>
      </c>
      <c r="P2782" s="2" t="n">
        <v>0</v>
      </c>
      <c r="Q2782" s="2" t="n">
        <v>38</v>
      </c>
      <c r="R2782" s="2" t="n">
        <v>2</v>
      </c>
      <c r="S2782" s="2" t="n">
        <v>37</v>
      </c>
      <c r="T2782" s="2" t="n">
        <v>1</v>
      </c>
      <c r="U2782" s="2" t="n">
        <v>8</v>
      </c>
      <c r="V2782" s="2" t="n">
        <v>4</v>
      </c>
      <c r="W2782" s="2" t="n">
        <v>3</v>
      </c>
      <c r="X2782" s="2" t="n">
        <v>2</v>
      </c>
      <c r="Y2782" s="2" t="n">
        <v>4</v>
      </c>
      <c r="Z2782" s="2" t="n">
        <v>3</v>
      </c>
    </row>
    <row r="2783" customFormat="false" ht="15" hidden="false" customHeight="true" outlineLevel="0" collapsed="false">
      <c r="A2783" s="2" t="n">
        <v>44</v>
      </c>
      <c r="B2783" s="2" t="s">
        <v>26</v>
      </c>
      <c r="C2783" s="2" t="s">
        <v>41</v>
      </c>
      <c r="D2783" s="2" t="s">
        <v>35</v>
      </c>
      <c r="E2783" s="2" t="n">
        <v>23</v>
      </c>
      <c r="F2783" s="2" t="n">
        <v>2</v>
      </c>
      <c r="G2783" s="2" t="s">
        <v>43</v>
      </c>
      <c r="H2783" s="2" t="n">
        <v>2782</v>
      </c>
      <c r="I2783" s="2" t="s">
        <v>30</v>
      </c>
      <c r="J2783" s="2" t="n">
        <v>1</v>
      </c>
      <c r="K2783" s="2" t="s">
        <v>36</v>
      </c>
      <c r="L2783" s="2" t="s">
        <v>32</v>
      </c>
      <c r="M2783" s="2" t="n">
        <v>195860</v>
      </c>
      <c r="N2783" s="2" t="n">
        <v>4</v>
      </c>
      <c r="O2783" s="2" t="n">
        <v>16</v>
      </c>
      <c r="P2783" s="2" t="n">
        <v>0</v>
      </c>
      <c r="Q2783" s="2" t="n">
        <v>17</v>
      </c>
      <c r="R2783" s="2" t="n">
        <v>3</v>
      </c>
      <c r="S2783" s="2" t="n">
        <v>3</v>
      </c>
      <c r="T2783" s="2" t="n">
        <v>1</v>
      </c>
      <c r="U2783" s="2" t="n">
        <v>2</v>
      </c>
      <c r="V2783" s="2" t="n">
        <v>2</v>
      </c>
      <c r="W2783" s="2" t="n">
        <v>2</v>
      </c>
      <c r="X2783" s="2" t="n">
        <v>4</v>
      </c>
      <c r="Y2783" s="2" t="n">
        <v>2</v>
      </c>
      <c r="Z2783" s="2" t="n">
        <v>3</v>
      </c>
    </row>
    <row r="2784" customFormat="false" ht="15" hidden="false" customHeight="true" outlineLevel="0" collapsed="false">
      <c r="A2784" s="2" t="n">
        <v>37</v>
      </c>
      <c r="B2784" s="2" t="s">
        <v>33</v>
      </c>
      <c r="C2784" s="2" t="s">
        <v>27</v>
      </c>
      <c r="D2784" s="2" t="s">
        <v>42</v>
      </c>
      <c r="E2784" s="2" t="n">
        <v>9</v>
      </c>
      <c r="F2784" s="2" t="n">
        <v>3</v>
      </c>
      <c r="G2784" s="2" t="s">
        <v>42</v>
      </c>
      <c r="H2784" s="2" t="n">
        <v>2783</v>
      </c>
      <c r="I2784" s="2" t="s">
        <v>39</v>
      </c>
      <c r="J2784" s="2" t="n">
        <v>2</v>
      </c>
      <c r="K2784" s="2" t="s">
        <v>31</v>
      </c>
      <c r="L2784" s="2" t="s">
        <v>46</v>
      </c>
      <c r="M2784" s="2" t="n">
        <v>54840</v>
      </c>
      <c r="N2784" s="2" t="n">
        <v>4</v>
      </c>
      <c r="O2784" s="2" t="n">
        <v>17</v>
      </c>
      <c r="P2784" s="2" t="n">
        <v>0</v>
      </c>
      <c r="Q2784" s="2" t="n">
        <v>7</v>
      </c>
      <c r="R2784" s="2" t="n">
        <v>4</v>
      </c>
      <c r="S2784" s="2" t="n">
        <v>3</v>
      </c>
      <c r="T2784" s="2" t="n">
        <v>0</v>
      </c>
      <c r="U2784" s="2" t="n">
        <v>2</v>
      </c>
      <c r="V2784" s="2" t="n">
        <v>3</v>
      </c>
      <c r="W2784" s="2" t="n">
        <v>1</v>
      </c>
      <c r="X2784" s="2" t="n">
        <v>3</v>
      </c>
      <c r="Y2784" s="2" t="n">
        <v>3</v>
      </c>
      <c r="Z2784" s="2" t="n">
        <v>3</v>
      </c>
    </row>
    <row r="2785" customFormat="false" ht="15" hidden="false" customHeight="true" outlineLevel="0" collapsed="false">
      <c r="A2785" s="2" t="n">
        <v>32</v>
      </c>
      <c r="B2785" s="2" t="s">
        <v>26</v>
      </c>
      <c r="C2785" s="2" t="s">
        <v>27</v>
      </c>
      <c r="D2785" s="2" t="s">
        <v>42</v>
      </c>
      <c r="E2785" s="2" t="n">
        <v>12</v>
      </c>
      <c r="F2785" s="2" t="n">
        <v>2</v>
      </c>
      <c r="G2785" s="2" t="s">
        <v>42</v>
      </c>
      <c r="H2785" s="2" t="n">
        <v>2784</v>
      </c>
      <c r="I2785" s="2" t="s">
        <v>30</v>
      </c>
      <c r="J2785" s="2" t="n">
        <v>1</v>
      </c>
      <c r="K2785" s="2" t="s">
        <v>48</v>
      </c>
      <c r="L2785" s="2" t="s">
        <v>37</v>
      </c>
      <c r="M2785" s="2" t="n">
        <v>20610</v>
      </c>
      <c r="N2785" s="2" t="n">
        <v>1</v>
      </c>
      <c r="O2785" s="2" t="n">
        <v>15</v>
      </c>
      <c r="P2785" s="2" t="n">
        <v>1</v>
      </c>
      <c r="Q2785" s="2" t="n">
        <v>1</v>
      </c>
      <c r="R2785" s="2" t="n">
        <v>2</v>
      </c>
      <c r="S2785" s="2" t="n">
        <v>1</v>
      </c>
      <c r="T2785" s="2" t="n">
        <v>0</v>
      </c>
      <c r="U2785" s="2" t="n">
        <v>0</v>
      </c>
      <c r="V2785" s="2" t="n">
        <v>4</v>
      </c>
      <c r="W2785" s="2" t="n">
        <v>1</v>
      </c>
      <c r="X2785" s="2" t="n">
        <v>3</v>
      </c>
      <c r="Y2785" s="2" t="n">
        <v>2</v>
      </c>
      <c r="Z2785" s="2" t="n">
        <v>3</v>
      </c>
    </row>
    <row r="2786" customFormat="false" ht="15" hidden="false" customHeight="true" outlineLevel="0" collapsed="false">
      <c r="A2786" s="2" t="n">
        <v>20</v>
      </c>
      <c r="B2786" s="2" t="s">
        <v>33</v>
      </c>
      <c r="C2786" s="2" t="s">
        <v>34</v>
      </c>
      <c r="D2786" s="2" t="s">
        <v>28</v>
      </c>
      <c r="E2786" s="2" t="n">
        <v>4</v>
      </c>
      <c r="F2786" s="2" t="n">
        <v>4</v>
      </c>
      <c r="G2786" s="2" t="s">
        <v>29</v>
      </c>
      <c r="H2786" s="2" t="n">
        <v>2785</v>
      </c>
      <c r="I2786" s="2" t="s">
        <v>30</v>
      </c>
      <c r="J2786" s="2" t="n">
        <v>2</v>
      </c>
      <c r="K2786" s="2" t="s">
        <v>31</v>
      </c>
      <c r="L2786" s="2" t="s">
        <v>37</v>
      </c>
      <c r="M2786" s="2" t="n">
        <v>99240</v>
      </c>
      <c r="N2786" s="2" t="n">
        <v>1</v>
      </c>
      <c r="O2786" s="2" t="n">
        <v>22</v>
      </c>
      <c r="P2786" s="2" t="n">
        <v>0</v>
      </c>
      <c r="Q2786" s="2" t="n">
        <v>1</v>
      </c>
      <c r="R2786" s="2" t="n">
        <v>3</v>
      </c>
      <c r="S2786" s="2" t="n">
        <v>1</v>
      </c>
      <c r="T2786" s="2" t="n">
        <v>1</v>
      </c>
      <c r="U2786" s="2" t="n">
        <v>0</v>
      </c>
      <c r="V2786" s="2" t="n">
        <v>4</v>
      </c>
      <c r="W2786" s="2" t="n">
        <v>4</v>
      </c>
      <c r="X2786" s="2" t="n">
        <v>3</v>
      </c>
      <c r="Y2786" s="2" t="n">
        <v>3</v>
      </c>
      <c r="Z2786" s="2" t="n">
        <v>4</v>
      </c>
    </row>
    <row r="2787" customFormat="false" ht="15" hidden="false" customHeight="true" outlineLevel="0" collapsed="false">
      <c r="A2787" s="2" t="n">
        <v>34</v>
      </c>
      <c r="B2787" s="2" t="s">
        <v>26</v>
      </c>
      <c r="C2787" s="2" t="s">
        <v>27</v>
      </c>
      <c r="D2787" s="2" t="s">
        <v>35</v>
      </c>
      <c r="E2787" s="2" t="n">
        <v>1</v>
      </c>
      <c r="F2787" s="2" t="n">
        <v>4</v>
      </c>
      <c r="G2787" s="2" t="s">
        <v>38</v>
      </c>
      <c r="H2787" s="2" t="n">
        <v>2786</v>
      </c>
      <c r="I2787" s="2" t="s">
        <v>39</v>
      </c>
      <c r="J2787" s="2" t="n">
        <v>4</v>
      </c>
      <c r="K2787" s="2" t="s">
        <v>45</v>
      </c>
      <c r="L2787" s="2" t="s">
        <v>37</v>
      </c>
      <c r="M2787" s="2" t="n">
        <v>41980</v>
      </c>
      <c r="N2787" s="2" t="n">
        <v>1</v>
      </c>
      <c r="O2787" s="2" t="n">
        <v>22</v>
      </c>
      <c r="P2787" s="2" t="n">
        <v>1</v>
      </c>
      <c r="Q2787" s="2" t="n">
        <v>16</v>
      </c>
      <c r="R2787" s="2" t="n">
        <v>2</v>
      </c>
      <c r="S2787" s="2" t="n">
        <v>16</v>
      </c>
      <c r="T2787" s="2" t="n">
        <v>2</v>
      </c>
      <c r="U2787" s="2" t="n">
        <v>10</v>
      </c>
      <c r="V2787" s="2" t="n">
        <v>1</v>
      </c>
      <c r="W2787" s="2" t="n">
        <v>3</v>
      </c>
      <c r="X2787" s="2" t="n">
        <v>3</v>
      </c>
      <c r="Y2787" s="2" t="n">
        <v>2</v>
      </c>
      <c r="Z2787" s="2" t="n">
        <v>4</v>
      </c>
    </row>
    <row r="2788" customFormat="false" ht="15" hidden="false" customHeight="true" outlineLevel="0" collapsed="false">
      <c r="A2788" s="2" t="n">
        <v>37</v>
      </c>
      <c r="B2788" s="2" t="s">
        <v>26</v>
      </c>
      <c r="C2788" s="2" t="s">
        <v>41</v>
      </c>
      <c r="D2788" s="2" t="s">
        <v>28</v>
      </c>
      <c r="E2788" s="2" t="n">
        <v>24</v>
      </c>
      <c r="F2788" s="2" t="n">
        <v>2</v>
      </c>
      <c r="G2788" s="2" t="s">
        <v>29</v>
      </c>
      <c r="H2788" s="2" t="n">
        <v>2787</v>
      </c>
      <c r="I2788" s="2" t="s">
        <v>39</v>
      </c>
      <c r="J2788" s="2" t="n">
        <v>1</v>
      </c>
      <c r="K2788" s="2" t="s">
        <v>36</v>
      </c>
      <c r="L2788" s="2" t="s">
        <v>46</v>
      </c>
      <c r="M2788" s="2" t="n">
        <v>68150</v>
      </c>
      <c r="N2788" s="2" t="n">
        <v>5</v>
      </c>
      <c r="O2788" s="2" t="n">
        <v>20</v>
      </c>
      <c r="P2788" s="2" t="n">
        <v>1</v>
      </c>
      <c r="Q2788" s="2" t="n">
        <v>17</v>
      </c>
      <c r="R2788" s="2" t="n">
        <v>3</v>
      </c>
      <c r="S2788" s="2" t="n">
        <v>1</v>
      </c>
      <c r="T2788" s="2" t="n">
        <v>0</v>
      </c>
      <c r="U2788" s="2" t="n">
        <v>0</v>
      </c>
      <c r="V2788" s="2" t="n">
        <v>3</v>
      </c>
      <c r="W2788" s="2" t="n">
        <v>4</v>
      </c>
      <c r="X2788" s="2" t="n">
        <v>4</v>
      </c>
      <c r="Y2788" s="2" t="n">
        <v>3</v>
      </c>
      <c r="Z2788" s="2" t="n">
        <v>4</v>
      </c>
    </row>
    <row r="2789" customFormat="false" ht="15" hidden="false" customHeight="true" outlineLevel="0" collapsed="false">
      <c r="A2789" s="2" t="n">
        <v>59</v>
      </c>
      <c r="B2789" s="2" t="s">
        <v>26</v>
      </c>
      <c r="C2789" s="2" t="s">
        <v>41</v>
      </c>
      <c r="D2789" s="2" t="s">
        <v>35</v>
      </c>
      <c r="E2789" s="2" t="n">
        <v>12</v>
      </c>
      <c r="F2789" s="2" t="n">
        <v>2</v>
      </c>
      <c r="G2789" s="2" t="s">
        <v>29</v>
      </c>
      <c r="H2789" s="2" t="n">
        <v>2788</v>
      </c>
      <c r="I2789" s="2" t="s">
        <v>39</v>
      </c>
      <c r="J2789" s="2" t="n">
        <v>2</v>
      </c>
      <c r="K2789" s="2" t="s">
        <v>40</v>
      </c>
      <c r="L2789" s="2" t="s">
        <v>32</v>
      </c>
      <c r="M2789" s="2" t="n">
        <v>47230</v>
      </c>
      <c r="N2789" s="2" t="n">
        <v>9</v>
      </c>
      <c r="O2789" s="2" t="n">
        <v>14</v>
      </c>
      <c r="P2789" s="2" t="n">
        <v>0</v>
      </c>
      <c r="Q2789" s="2" t="n">
        <v>30</v>
      </c>
      <c r="R2789" s="2" t="n">
        <v>0</v>
      </c>
      <c r="S2789" s="2" t="n">
        <v>3</v>
      </c>
      <c r="T2789" s="2" t="n">
        <v>2</v>
      </c>
      <c r="U2789" s="2" t="n">
        <v>2</v>
      </c>
      <c r="V2789" s="2" t="n">
        <v>3</v>
      </c>
      <c r="W2789" s="2" t="n">
        <v>4</v>
      </c>
      <c r="X2789" s="2" t="n">
        <v>3</v>
      </c>
      <c r="Y2789" s="2" t="n">
        <v>3</v>
      </c>
      <c r="Z2789" s="2" t="n">
        <v>3</v>
      </c>
    </row>
    <row r="2790" customFormat="false" ht="15" hidden="false" customHeight="true" outlineLevel="0" collapsed="false">
      <c r="A2790" s="2" t="n">
        <v>50</v>
      </c>
      <c r="B2790" s="2" t="s">
        <v>26</v>
      </c>
      <c r="C2790" s="2" t="s">
        <v>34</v>
      </c>
      <c r="D2790" s="2" t="s">
        <v>35</v>
      </c>
      <c r="E2790" s="2" t="n">
        <v>3</v>
      </c>
      <c r="F2790" s="2" t="n">
        <v>4</v>
      </c>
      <c r="G2790" s="2" t="s">
        <v>43</v>
      </c>
      <c r="H2790" s="2" t="n">
        <v>2789</v>
      </c>
      <c r="I2790" s="2" t="s">
        <v>39</v>
      </c>
      <c r="J2790" s="2" t="n">
        <v>4</v>
      </c>
      <c r="K2790" s="2" t="s">
        <v>36</v>
      </c>
      <c r="L2790" s="2" t="s">
        <v>32</v>
      </c>
      <c r="M2790" s="2" t="n">
        <v>61420</v>
      </c>
      <c r="N2790" s="2" t="n">
        <v>3</v>
      </c>
      <c r="O2790" s="2" t="n">
        <v>13</v>
      </c>
      <c r="P2790" s="2" t="n">
        <v>2</v>
      </c>
      <c r="Q2790" s="2" t="n">
        <v>28</v>
      </c>
      <c r="R2790" s="2" t="n">
        <v>3</v>
      </c>
      <c r="S2790" s="2" t="n">
        <v>8</v>
      </c>
      <c r="T2790" s="2" t="n">
        <v>0</v>
      </c>
      <c r="U2790" s="2" t="n">
        <v>7</v>
      </c>
      <c r="V2790" s="2" t="n">
        <v>1</v>
      </c>
      <c r="W2790" s="2" t="n">
        <v>2</v>
      </c>
      <c r="X2790" s="2" t="n">
        <v>2</v>
      </c>
      <c r="Y2790" s="2" t="n">
        <v>2</v>
      </c>
      <c r="Z2790" s="2" t="n">
        <v>3</v>
      </c>
    </row>
    <row r="2791" customFormat="false" ht="15" hidden="false" customHeight="true" outlineLevel="0" collapsed="false">
      <c r="A2791" s="2" t="n">
        <v>25</v>
      </c>
      <c r="B2791" s="2" t="s">
        <v>33</v>
      </c>
      <c r="C2791" s="2" t="s">
        <v>27</v>
      </c>
      <c r="D2791" s="2" t="s">
        <v>28</v>
      </c>
      <c r="E2791" s="2" t="n">
        <v>10</v>
      </c>
      <c r="F2791" s="2" t="n">
        <v>1</v>
      </c>
      <c r="G2791" s="2" t="s">
        <v>50</v>
      </c>
      <c r="H2791" s="2" t="n">
        <v>2790</v>
      </c>
      <c r="I2791" s="2" t="s">
        <v>39</v>
      </c>
      <c r="J2791" s="2" t="n">
        <v>2</v>
      </c>
      <c r="K2791" s="2" t="s">
        <v>44</v>
      </c>
      <c r="L2791" s="2" t="s">
        <v>37</v>
      </c>
      <c r="M2791" s="2" t="n">
        <v>82370</v>
      </c>
      <c r="N2791" s="2" t="n">
        <v>1</v>
      </c>
      <c r="O2791" s="2" t="n">
        <v>13</v>
      </c>
      <c r="P2791" s="2" t="n">
        <v>0</v>
      </c>
      <c r="Q2791" s="2" t="n">
        <v>6</v>
      </c>
      <c r="R2791" s="2" t="n">
        <v>6</v>
      </c>
      <c r="S2791" s="2" t="n">
        <v>6</v>
      </c>
      <c r="T2791" s="2" t="n">
        <v>0</v>
      </c>
      <c r="U2791" s="2" t="n">
        <v>3</v>
      </c>
      <c r="V2791" s="2" t="n">
        <v>3</v>
      </c>
      <c r="W2791" s="2" t="n">
        <v>3</v>
      </c>
      <c r="X2791" s="2" t="n">
        <v>3</v>
      </c>
      <c r="Y2791" s="2" t="n">
        <v>2</v>
      </c>
      <c r="Z2791" s="2" t="n">
        <v>3</v>
      </c>
    </row>
    <row r="2792" customFormat="false" ht="15" hidden="false" customHeight="true" outlineLevel="0" collapsed="false">
      <c r="A2792" s="2" t="n">
        <v>25</v>
      </c>
      <c r="B2792" s="2" t="s">
        <v>26</v>
      </c>
      <c r="C2792" s="2" t="s">
        <v>27</v>
      </c>
      <c r="D2792" s="2" t="s">
        <v>35</v>
      </c>
      <c r="E2792" s="2" t="n">
        <v>26</v>
      </c>
      <c r="F2792" s="2" t="n">
        <v>3</v>
      </c>
      <c r="G2792" s="2" t="s">
        <v>51</v>
      </c>
      <c r="H2792" s="2" t="n">
        <v>2791</v>
      </c>
      <c r="I2792" s="2" t="s">
        <v>39</v>
      </c>
      <c r="J2792" s="2" t="n">
        <v>1</v>
      </c>
      <c r="K2792" s="2" t="s">
        <v>45</v>
      </c>
      <c r="L2792" s="2" t="s">
        <v>32</v>
      </c>
      <c r="M2792" s="2" t="n">
        <v>88530</v>
      </c>
      <c r="N2792" s="2" t="n">
        <v>1</v>
      </c>
      <c r="O2792" s="2" t="n">
        <v>22</v>
      </c>
      <c r="P2792" s="2" t="n">
        <v>1</v>
      </c>
      <c r="Q2792" s="2" t="n">
        <v>2</v>
      </c>
      <c r="R2792" s="2" t="n">
        <v>3</v>
      </c>
      <c r="S2792" s="2" t="n">
        <v>2</v>
      </c>
      <c r="T2792" s="2" t="n">
        <v>2</v>
      </c>
      <c r="U2792" s="2" t="n">
        <v>1</v>
      </c>
      <c r="V2792" s="2" t="n">
        <v>4</v>
      </c>
      <c r="W2792" s="2" t="n">
        <v>4</v>
      </c>
      <c r="X2792" s="2" t="n">
        <v>3</v>
      </c>
      <c r="Y2792" s="2" t="n">
        <v>3</v>
      </c>
      <c r="Z2792" s="2" t="n">
        <v>4</v>
      </c>
    </row>
    <row r="2793" customFormat="false" ht="15" hidden="false" customHeight="true" outlineLevel="0" collapsed="false">
      <c r="A2793" s="2" t="n">
        <v>22</v>
      </c>
      <c r="B2793" s="2" t="s">
        <v>26</v>
      </c>
      <c r="C2793" s="2" t="s">
        <v>27</v>
      </c>
      <c r="D2793" s="2" t="s">
        <v>35</v>
      </c>
      <c r="E2793" s="2" t="n">
        <v>2</v>
      </c>
      <c r="F2793" s="2" t="n">
        <v>1</v>
      </c>
      <c r="G2793" s="2" t="s">
        <v>29</v>
      </c>
      <c r="H2793" s="2" t="n">
        <v>2792</v>
      </c>
      <c r="I2793" s="2" t="s">
        <v>39</v>
      </c>
      <c r="J2793" s="2" t="n">
        <v>1</v>
      </c>
      <c r="K2793" s="2" t="s">
        <v>48</v>
      </c>
      <c r="L2793" s="2" t="s">
        <v>37</v>
      </c>
      <c r="M2793" s="2" t="n">
        <v>193310</v>
      </c>
      <c r="N2793" s="2" t="n">
        <v>1</v>
      </c>
      <c r="O2793" s="2" t="n">
        <v>12</v>
      </c>
      <c r="P2793" s="2" t="n">
        <v>1</v>
      </c>
      <c r="Q2793" s="2" t="n">
        <v>1</v>
      </c>
      <c r="R2793" s="2" t="n">
        <v>2</v>
      </c>
      <c r="S2793" s="2" t="n">
        <v>0</v>
      </c>
      <c r="T2793" s="2" t="n">
        <v>0</v>
      </c>
      <c r="U2793" s="2" t="n">
        <v>0</v>
      </c>
      <c r="V2793" s="2" t="n">
        <v>2</v>
      </c>
      <c r="W2793" s="2" t="n">
        <v>4</v>
      </c>
      <c r="X2793" s="2" t="n">
        <v>3</v>
      </c>
      <c r="Y2793" s="2" t="n">
        <v>3</v>
      </c>
      <c r="Z2793" s="2" t="n">
        <v>3</v>
      </c>
    </row>
    <row r="2794" customFormat="false" ht="15" hidden="false" customHeight="true" outlineLevel="0" collapsed="false">
      <c r="A2794" s="2" t="n">
        <v>51</v>
      </c>
      <c r="B2794" s="2" t="s">
        <v>26</v>
      </c>
      <c r="C2794" s="2" t="s">
        <v>34</v>
      </c>
      <c r="D2794" s="2" t="s">
        <v>35</v>
      </c>
      <c r="E2794" s="2" t="n">
        <v>1</v>
      </c>
      <c r="F2794" s="2" t="n">
        <v>3</v>
      </c>
      <c r="G2794" s="2" t="s">
        <v>29</v>
      </c>
      <c r="H2794" s="2" t="n">
        <v>2793</v>
      </c>
      <c r="I2794" s="2" t="s">
        <v>30</v>
      </c>
      <c r="J2794" s="2" t="n">
        <v>1</v>
      </c>
      <c r="K2794" s="2" t="s">
        <v>40</v>
      </c>
      <c r="L2794" s="2" t="s">
        <v>37</v>
      </c>
      <c r="M2794" s="2" t="n">
        <v>20730</v>
      </c>
      <c r="N2794" s="2" t="n">
        <v>3</v>
      </c>
      <c r="O2794" s="2" t="n">
        <v>14</v>
      </c>
      <c r="P2794" s="2" t="n">
        <v>1</v>
      </c>
      <c r="Q2794" s="2" t="n">
        <v>23</v>
      </c>
      <c r="R2794" s="2" t="n">
        <v>4</v>
      </c>
      <c r="S2794" s="2" t="n">
        <v>13</v>
      </c>
      <c r="T2794" s="2" t="n">
        <v>12</v>
      </c>
      <c r="U2794" s="2" t="n">
        <v>8</v>
      </c>
      <c r="V2794" s="2" t="n">
        <v>1</v>
      </c>
      <c r="W2794" s="2" t="n">
        <v>1</v>
      </c>
      <c r="X2794" s="2" t="n">
        <v>2</v>
      </c>
      <c r="Y2794" s="2" t="n">
        <v>3</v>
      </c>
      <c r="Z2794" s="2" t="n">
        <v>3</v>
      </c>
    </row>
    <row r="2795" customFormat="false" ht="15" hidden="false" customHeight="true" outlineLevel="0" collapsed="false">
      <c r="A2795" s="2" t="n">
        <v>34</v>
      </c>
      <c r="B2795" s="2" t="s">
        <v>33</v>
      </c>
      <c r="C2795" s="2" t="s">
        <v>34</v>
      </c>
      <c r="D2795" s="2" t="s">
        <v>42</v>
      </c>
      <c r="E2795" s="2" t="n">
        <v>4</v>
      </c>
      <c r="F2795" s="2" t="n">
        <v>4</v>
      </c>
      <c r="G2795" s="2" t="s">
        <v>29</v>
      </c>
      <c r="H2795" s="2" t="n">
        <v>2794</v>
      </c>
      <c r="I2795" s="2" t="s">
        <v>30</v>
      </c>
      <c r="J2795" s="2" t="n">
        <v>5</v>
      </c>
      <c r="K2795" s="2" t="s">
        <v>40</v>
      </c>
      <c r="L2795" s="2" t="s">
        <v>37</v>
      </c>
      <c r="M2795" s="2" t="n">
        <v>55620</v>
      </c>
      <c r="N2795" s="2" t="n">
        <v>1</v>
      </c>
      <c r="O2795" s="2" t="n">
        <v>15</v>
      </c>
      <c r="P2795" s="2" t="n">
        <v>0</v>
      </c>
      <c r="Q2795" s="2" t="n">
        <v>9</v>
      </c>
      <c r="R2795" s="2" t="n">
        <v>3</v>
      </c>
      <c r="S2795" s="2" t="n">
        <v>9</v>
      </c>
      <c r="T2795" s="2" t="n">
        <v>0</v>
      </c>
      <c r="U2795" s="2" t="n">
        <v>6</v>
      </c>
      <c r="V2795" s="2" t="n">
        <v>1</v>
      </c>
      <c r="W2795" s="2" t="n">
        <v>3</v>
      </c>
      <c r="X2795" s="2" t="n">
        <v>3</v>
      </c>
      <c r="Y2795" s="2" t="n">
        <v>3</v>
      </c>
      <c r="Z2795" s="2" t="n">
        <v>3</v>
      </c>
    </row>
    <row r="2796" customFormat="false" ht="15" hidden="false" customHeight="true" outlineLevel="0" collapsed="false">
      <c r="A2796" s="2" t="n">
        <v>54</v>
      </c>
      <c r="B2796" s="2" t="s">
        <v>26</v>
      </c>
      <c r="C2796" s="2" t="s">
        <v>41</v>
      </c>
      <c r="D2796" s="2" t="s">
        <v>35</v>
      </c>
      <c r="E2796" s="2" t="n">
        <v>9</v>
      </c>
      <c r="F2796" s="2" t="n">
        <v>3</v>
      </c>
      <c r="G2796" s="2" t="s">
        <v>29</v>
      </c>
      <c r="H2796" s="2" t="n">
        <v>2795</v>
      </c>
      <c r="I2796" s="2" t="s">
        <v>39</v>
      </c>
      <c r="J2796" s="2" t="n">
        <v>1</v>
      </c>
      <c r="K2796" s="2" t="s">
        <v>45</v>
      </c>
      <c r="L2796" s="2" t="s">
        <v>37</v>
      </c>
      <c r="M2796" s="2" t="n">
        <v>196130</v>
      </c>
      <c r="N2796" s="2" t="n">
        <v>2</v>
      </c>
      <c r="O2796" s="2" t="n">
        <v>17</v>
      </c>
      <c r="P2796" s="2" t="n">
        <v>0</v>
      </c>
      <c r="Q2796" s="2" t="n">
        <v>23</v>
      </c>
      <c r="R2796" s="2" t="n">
        <v>5</v>
      </c>
      <c r="S2796" s="2" t="n">
        <v>5</v>
      </c>
      <c r="T2796" s="2" t="n">
        <v>4</v>
      </c>
      <c r="U2796" s="2" t="n">
        <v>4</v>
      </c>
      <c r="V2796" s="2" t="n">
        <v>4</v>
      </c>
      <c r="W2796" s="2" t="n">
        <v>4</v>
      </c>
      <c r="X2796" s="2" t="n">
        <v>3</v>
      </c>
      <c r="Y2796" s="2" t="n">
        <v>3</v>
      </c>
      <c r="Z2796" s="2" t="n">
        <v>3</v>
      </c>
    </row>
    <row r="2797" customFormat="false" ht="15" hidden="false" customHeight="true" outlineLevel="0" collapsed="false">
      <c r="A2797" s="2" t="n">
        <v>24</v>
      </c>
      <c r="B2797" s="2" t="s">
        <v>26</v>
      </c>
      <c r="C2797" s="2" t="s">
        <v>27</v>
      </c>
      <c r="D2797" s="2" t="s">
        <v>35</v>
      </c>
      <c r="E2797" s="2" t="n">
        <v>2</v>
      </c>
      <c r="F2797" s="2" t="n">
        <v>1</v>
      </c>
      <c r="G2797" s="2" t="s">
        <v>29</v>
      </c>
      <c r="H2797" s="2" t="n">
        <v>2796</v>
      </c>
      <c r="I2797" s="2" t="s">
        <v>39</v>
      </c>
      <c r="J2797" s="2" t="n">
        <v>2</v>
      </c>
      <c r="K2797" s="2" t="s">
        <v>45</v>
      </c>
      <c r="L2797" s="2" t="s">
        <v>32</v>
      </c>
      <c r="M2797" s="2" t="n">
        <v>34070</v>
      </c>
      <c r="N2797" s="2" t="n">
        <v>0</v>
      </c>
      <c r="O2797" s="2" t="n">
        <v>13</v>
      </c>
      <c r="P2797" s="2" t="n">
        <v>1</v>
      </c>
      <c r="Q2797" s="2" t="n">
        <v>6</v>
      </c>
      <c r="R2797" s="2" t="n">
        <v>4</v>
      </c>
      <c r="S2797" s="2" t="n">
        <v>5</v>
      </c>
      <c r="T2797" s="2" t="n">
        <v>1</v>
      </c>
      <c r="U2797" s="2" t="n">
        <v>2</v>
      </c>
      <c r="V2797" s="2" t="n">
        <v>2</v>
      </c>
      <c r="W2797" s="2" t="n">
        <v>3</v>
      </c>
      <c r="X2797" s="2" t="n">
        <v>3</v>
      </c>
      <c r="Y2797" s="2" t="n">
        <v>3</v>
      </c>
      <c r="Z2797" s="2" t="n">
        <v>3</v>
      </c>
    </row>
    <row r="2798" customFormat="false" ht="15" hidden="false" customHeight="true" outlineLevel="0" collapsed="false">
      <c r="A2798" s="2" t="n">
        <v>34</v>
      </c>
      <c r="B2798" s="2" t="s">
        <v>26</v>
      </c>
      <c r="C2798" s="2" t="s">
        <v>27</v>
      </c>
      <c r="D2798" s="2" t="s">
        <v>28</v>
      </c>
      <c r="E2798" s="2" t="n">
        <v>4</v>
      </c>
      <c r="F2798" s="2" t="n">
        <v>3</v>
      </c>
      <c r="G2798" s="2" t="s">
        <v>50</v>
      </c>
      <c r="H2798" s="2" t="n">
        <v>2797</v>
      </c>
      <c r="I2798" s="2" t="s">
        <v>30</v>
      </c>
      <c r="J2798" s="2" t="n">
        <v>2</v>
      </c>
      <c r="K2798" s="2" t="s">
        <v>48</v>
      </c>
      <c r="L2798" s="2" t="s">
        <v>46</v>
      </c>
      <c r="M2798" s="2" t="n">
        <v>50630</v>
      </c>
      <c r="N2798" s="2" t="n">
        <v>6</v>
      </c>
      <c r="O2798" s="2" t="n">
        <v>12</v>
      </c>
      <c r="P2798" s="2" t="n">
        <v>1</v>
      </c>
      <c r="Q2798" s="2" t="n">
        <v>12</v>
      </c>
      <c r="R2798" s="2" t="n">
        <v>2</v>
      </c>
      <c r="S2798" s="2" t="n">
        <v>1</v>
      </c>
      <c r="T2798" s="2" t="n">
        <v>0</v>
      </c>
      <c r="U2798" s="2" t="n">
        <v>0</v>
      </c>
      <c r="V2798" s="2" t="n">
        <v>3</v>
      </c>
      <c r="W2798" s="2" t="n">
        <v>2</v>
      </c>
      <c r="X2798" s="2" t="n">
        <v>3</v>
      </c>
      <c r="Y2798" s="2" t="n">
        <v>3</v>
      </c>
      <c r="Z2798" s="2" t="n">
        <v>3</v>
      </c>
    </row>
    <row r="2799" customFormat="false" ht="15" hidden="false" customHeight="true" outlineLevel="0" collapsed="false">
      <c r="A2799" s="2" t="n">
        <v>37</v>
      </c>
      <c r="B2799" s="2" t="s">
        <v>26</v>
      </c>
      <c r="C2799" s="2" t="s">
        <v>27</v>
      </c>
      <c r="D2799" s="2" t="s">
        <v>28</v>
      </c>
      <c r="E2799" s="2" t="n">
        <v>6</v>
      </c>
      <c r="F2799" s="2" t="n">
        <v>1</v>
      </c>
      <c r="G2799" s="2" t="s">
        <v>51</v>
      </c>
      <c r="H2799" s="2" t="n">
        <v>2798</v>
      </c>
      <c r="I2799" s="2" t="s">
        <v>39</v>
      </c>
      <c r="J2799" s="2" t="n">
        <v>1</v>
      </c>
      <c r="K2799" s="2" t="s">
        <v>45</v>
      </c>
      <c r="L2799" s="2" t="s">
        <v>37</v>
      </c>
      <c r="M2799" s="2" t="n">
        <v>46390</v>
      </c>
      <c r="N2799" s="2" t="n">
        <v>2</v>
      </c>
      <c r="O2799" s="2" t="n">
        <v>12</v>
      </c>
      <c r="P2799" s="2" t="n">
        <v>2</v>
      </c>
      <c r="Q2799" s="2" t="n">
        <v>12</v>
      </c>
      <c r="R2799" s="2" t="n">
        <v>3</v>
      </c>
      <c r="S2799" s="2" t="n">
        <v>5</v>
      </c>
      <c r="T2799" s="2" t="n">
        <v>1</v>
      </c>
      <c r="U2799" s="2" t="n">
        <v>3</v>
      </c>
      <c r="V2799" s="2" t="n">
        <v>3</v>
      </c>
      <c r="W2799" s="2" t="n">
        <v>4</v>
      </c>
      <c r="X2799" s="2" t="n">
        <v>3</v>
      </c>
      <c r="Y2799" s="2" t="n">
        <v>3</v>
      </c>
      <c r="Z2799" s="2" t="n">
        <v>3</v>
      </c>
    </row>
    <row r="2800" customFormat="false" ht="15" hidden="false" customHeight="true" outlineLevel="0" collapsed="false">
      <c r="A2800" s="2" t="n">
        <v>34</v>
      </c>
      <c r="B2800" s="2" t="s">
        <v>26</v>
      </c>
      <c r="C2800" s="2" t="s">
        <v>27</v>
      </c>
      <c r="D2800" s="2" t="s">
        <v>28</v>
      </c>
      <c r="E2800" s="2" t="n">
        <v>9</v>
      </c>
      <c r="F2800" s="2" t="n">
        <v>2</v>
      </c>
      <c r="G2800" s="2" t="s">
        <v>43</v>
      </c>
      <c r="H2800" s="2" t="n">
        <v>2799</v>
      </c>
      <c r="I2800" s="2" t="s">
        <v>39</v>
      </c>
      <c r="J2800" s="2" t="n">
        <v>2</v>
      </c>
      <c r="K2800" s="2" t="s">
        <v>31</v>
      </c>
      <c r="L2800" s="2" t="s">
        <v>37</v>
      </c>
      <c r="M2800" s="2" t="n">
        <v>48760</v>
      </c>
      <c r="N2800" s="2" t="n">
        <v>2</v>
      </c>
      <c r="O2800" s="2" t="n">
        <v>21</v>
      </c>
      <c r="P2800" s="2" t="n">
        <v>1</v>
      </c>
      <c r="Q2800" s="2" t="n">
        <v>14</v>
      </c>
      <c r="R2800" s="2" t="n">
        <v>3</v>
      </c>
      <c r="S2800" s="2" t="n">
        <v>11</v>
      </c>
      <c r="T2800" s="2" t="n">
        <v>5</v>
      </c>
      <c r="U2800" s="2" t="n">
        <v>8</v>
      </c>
      <c r="V2800" s="2" t="n">
        <v>3</v>
      </c>
      <c r="W2800" s="2" t="n">
        <v>1</v>
      </c>
      <c r="X2800" s="2" t="n">
        <v>3</v>
      </c>
      <c r="Y2800" s="2" t="n">
        <v>3</v>
      </c>
      <c r="Z2800" s="2" t="n">
        <v>4</v>
      </c>
    </row>
    <row r="2801" customFormat="false" ht="15" hidden="false" customHeight="true" outlineLevel="0" collapsed="false">
      <c r="A2801" s="2" t="n">
        <v>36</v>
      </c>
      <c r="B2801" s="2" t="s">
        <v>26</v>
      </c>
      <c r="C2801" s="2" t="s">
        <v>34</v>
      </c>
      <c r="D2801" s="2" t="s">
        <v>42</v>
      </c>
      <c r="E2801" s="2" t="n">
        <v>7</v>
      </c>
      <c r="F2801" s="2" t="n">
        <v>3</v>
      </c>
      <c r="G2801" s="2" t="s">
        <v>43</v>
      </c>
      <c r="H2801" s="2" t="n">
        <v>2800</v>
      </c>
      <c r="I2801" s="2" t="s">
        <v>39</v>
      </c>
      <c r="J2801" s="2" t="n">
        <v>1</v>
      </c>
      <c r="K2801" s="2" t="s">
        <v>36</v>
      </c>
      <c r="L2801" s="2" t="s">
        <v>32</v>
      </c>
      <c r="M2801" s="2" t="n">
        <v>26900</v>
      </c>
      <c r="N2801" s="2" t="n">
        <v>0</v>
      </c>
      <c r="O2801" s="2" t="n">
        <v>11</v>
      </c>
      <c r="P2801" s="2" t="n">
        <v>0</v>
      </c>
      <c r="Q2801" s="2" t="n">
        <v>10</v>
      </c>
      <c r="R2801" s="2" t="n">
        <v>1</v>
      </c>
      <c r="S2801" s="2" t="n">
        <v>9</v>
      </c>
      <c r="T2801" s="2" t="n">
        <v>2</v>
      </c>
      <c r="U2801" s="2" t="n">
        <v>8</v>
      </c>
      <c r="V2801" s="2" t="n">
        <v>2</v>
      </c>
      <c r="W2801" s="2" t="n">
        <v>4</v>
      </c>
      <c r="X2801" s="2" t="n">
        <v>3</v>
      </c>
      <c r="Y2801" s="2" t="n">
        <v>3</v>
      </c>
      <c r="Z2801" s="2" t="n">
        <v>3</v>
      </c>
    </row>
    <row r="2802" customFormat="false" ht="15" hidden="false" customHeight="true" outlineLevel="0" collapsed="false">
      <c r="A2802" s="2" t="n">
        <v>36</v>
      </c>
      <c r="B2802" s="2" t="s">
        <v>26</v>
      </c>
      <c r="C2802" s="2" t="s">
        <v>27</v>
      </c>
      <c r="D2802" s="2" t="s">
        <v>35</v>
      </c>
      <c r="E2802" s="2" t="n">
        <v>1</v>
      </c>
      <c r="F2802" s="2" t="n">
        <v>3</v>
      </c>
      <c r="G2802" s="2" t="s">
        <v>43</v>
      </c>
      <c r="H2802" s="2" t="n">
        <v>2801</v>
      </c>
      <c r="I2802" s="2" t="s">
        <v>30</v>
      </c>
      <c r="J2802" s="2" t="n">
        <v>2</v>
      </c>
      <c r="K2802" s="2" t="s">
        <v>47</v>
      </c>
      <c r="L2802" s="2" t="s">
        <v>46</v>
      </c>
      <c r="M2802" s="2" t="n">
        <v>175670</v>
      </c>
      <c r="N2802" s="2" t="n">
        <v>5</v>
      </c>
      <c r="O2802" s="2" t="n">
        <v>13</v>
      </c>
      <c r="P2802" s="2" t="n">
        <v>0</v>
      </c>
      <c r="Q2802" s="2" t="n">
        <v>7</v>
      </c>
      <c r="R2802" s="2" t="n">
        <v>6</v>
      </c>
      <c r="S2802" s="2" t="n">
        <v>1</v>
      </c>
      <c r="T2802" s="2" t="n">
        <v>0</v>
      </c>
      <c r="U2802" s="2" t="n">
        <v>0</v>
      </c>
      <c r="V2802" s="2" t="n">
        <v>1</v>
      </c>
      <c r="W2802" s="2" t="n">
        <v>4</v>
      </c>
      <c r="X2802" s="2" t="n">
        <v>3</v>
      </c>
      <c r="Y2802" s="2" t="n">
        <v>3</v>
      </c>
      <c r="Z2802" s="2" t="n">
        <v>3</v>
      </c>
    </row>
    <row r="2803" customFormat="false" ht="15" hidden="false" customHeight="true" outlineLevel="0" collapsed="false">
      <c r="A2803" s="2" t="n">
        <v>43</v>
      </c>
      <c r="B2803" s="2" t="s">
        <v>26</v>
      </c>
      <c r="C2803" s="2" t="s">
        <v>34</v>
      </c>
      <c r="D2803" s="2" t="s">
        <v>35</v>
      </c>
      <c r="E2803" s="2" t="n">
        <v>3</v>
      </c>
      <c r="F2803" s="2" t="n">
        <v>4</v>
      </c>
      <c r="G2803" s="2" t="s">
        <v>29</v>
      </c>
      <c r="H2803" s="2" t="n">
        <v>2802</v>
      </c>
      <c r="I2803" s="2" t="s">
        <v>39</v>
      </c>
      <c r="J2803" s="2" t="n">
        <v>1</v>
      </c>
      <c r="K2803" s="2" t="s">
        <v>40</v>
      </c>
      <c r="L2803" s="2" t="s">
        <v>32</v>
      </c>
      <c r="M2803" s="2" t="n">
        <v>24080</v>
      </c>
      <c r="N2803" s="2" t="n">
        <v>1</v>
      </c>
      <c r="O2803" s="2" t="n">
        <v>12</v>
      </c>
      <c r="P2803" s="2" t="n">
        <v>1</v>
      </c>
      <c r="Q2803" s="2" t="n">
        <v>25</v>
      </c>
      <c r="R2803" s="2" t="n">
        <v>3</v>
      </c>
      <c r="S2803" s="2" t="n">
        <v>25</v>
      </c>
      <c r="T2803" s="2" t="n">
        <v>4</v>
      </c>
      <c r="U2803" s="2" t="n">
        <v>12</v>
      </c>
      <c r="V2803" s="2" t="n">
        <v>3</v>
      </c>
      <c r="W2803" s="2" t="n">
        <v>4</v>
      </c>
      <c r="X2803" s="2" t="n">
        <v>4</v>
      </c>
      <c r="Y2803" s="2" t="n">
        <v>3</v>
      </c>
      <c r="Z2803" s="2" t="n">
        <v>3</v>
      </c>
    </row>
    <row r="2804" customFormat="false" ht="15" hidden="false" customHeight="true" outlineLevel="0" collapsed="false">
      <c r="A2804" s="2" t="n">
        <v>30</v>
      </c>
      <c r="B2804" s="2" t="s">
        <v>26</v>
      </c>
      <c r="C2804" s="2" t="s">
        <v>34</v>
      </c>
      <c r="D2804" s="2" t="s">
        <v>35</v>
      </c>
      <c r="E2804" s="2" t="n">
        <v>10</v>
      </c>
      <c r="F2804" s="2" t="n">
        <v>3</v>
      </c>
      <c r="G2804" s="2" t="s">
        <v>29</v>
      </c>
      <c r="H2804" s="2" t="n">
        <v>2803</v>
      </c>
      <c r="I2804" s="2" t="s">
        <v>30</v>
      </c>
      <c r="J2804" s="2" t="n">
        <v>3</v>
      </c>
      <c r="K2804" s="2" t="s">
        <v>31</v>
      </c>
      <c r="L2804" s="2" t="s">
        <v>46</v>
      </c>
      <c r="M2804" s="2" t="n">
        <v>28140</v>
      </c>
      <c r="N2804" s="2" t="n">
        <v>1</v>
      </c>
      <c r="O2804" s="2" t="n">
        <v>24</v>
      </c>
      <c r="P2804" s="2" t="n">
        <v>0</v>
      </c>
      <c r="Q2804" s="2" t="n">
        <v>10</v>
      </c>
      <c r="R2804" s="2" t="n">
        <v>2</v>
      </c>
      <c r="S2804" s="2" t="n">
        <v>10</v>
      </c>
      <c r="T2804" s="2" t="n">
        <v>0</v>
      </c>
      <c r="U2804" s="2" t="n">
        <v>9</v>
      </c>
      <c r="V2804" s="2" t="n">
        <v>1</v>
      </c>
      <c r="W2804" s="2" t="n">
        <v>3</v>
      </c>
      <c r="X2804" s="2" t="n">
        <v>2</v>
      </c>
      <c r="Y2804" s="2" t="n">
        <v>3</v>
      </c>
      <c r="Z2804" s="2" t="n">
        <v>4</v>
      </c>
    </row>
    <row r="2805" customFormat="false" ht="15" hidden="false" customHeight="true" outlineLevel="0" collapsed="false">
      <c r="A2805" s="2" t="n">
        <v>33</v>
      </c>
      <c r="B2805" s="2" t="s">
        <v>26</v>
      </c>
      <c r="C2805" s="2" t="s">
        <v>41</v>
      </c>
      <c r="D2805" s="2" t="s">
        <v>28</v>
      </c>
      <c r="E2805" s="2" t="n">
        <v>7</v>
      </c>
      <c r="F2805" s="2" t="n">
        <v>3</v>
      </c>
      <c r="G2805" s="2" t="s">
        <v>29</v>
      </c>
      <c r="H2805" s="2" t="n">
        <v>2804</v>
      </c>
      <c r="I2805" s="2" t="s">
        <v>39</v>
      </c>
      <c r="J2805" s="2" t="n">
        <v>2</v>
      </c>
      <c r="K2805" s="2" t="s">
        <v>40</v>
      </c>
      <c r="L2805" s="2" t="s">
        <v>32</v>
      </c>
      <c r="M2805" s="2" t="n">
        <v>112450</v>
      </c>
      <c r="N2805" s="2" t="n">
        <v>0</v>
      </c>
      <c r="O2805" s="2" t="n">
        <v>21</v>
      </c>
      <c r="P2805" s="2" t="n">
        <v>0</v>
      </c>
      <c r="Q2805" s="2" t="n">
        <v>8</v>
      </c>
      <c r="R2805" s="2" t="n">
        <v>3</v>
      </c>
      <c r="S2805" s="2" t="n">
        <v>7</v>
      </c>
      <c r="T2805" s="2" t="n">
        <v>0</v>
      </c>
      <c r="U2805" s="2" t="n">
        <v>7</v>
      </c>
      <c r="V2805" s="2" t="n">
        <v>3</v>
      </c>
      <c r="W2805" s="2" t="n">
        <v>2</v>
      </c>
      <c r="X2805" s="2" t="n">
        <v>4</v>
      </c>
      <c r="Y2805" s="2" t="n">
        <v>3</v>
      </c>
      <c r="Z2805" s="2" t="n">
        <v>4</v>
      </c>
    </row>
    <row r="2806" customFormat="false" ht="15" hidden="false" customHeight="true" outlineLevel="0" collapsed="false">
      <c r="A2806" s="2" t="n">
        <v>56</v>
      </c>
      <c r="B2806" s="2" t="s">
        <v>33</v>
      </c>
      <c r="C2806" s="2" t="s">
        <v>27</v>
      </c>
      <c r="D2806" s="2" t="s">
        <v>35</v>
      </c>
      <c r="E2806" s="2" t="n">
        <v>15</v>
      </c>
      <c r="F2806" s="2" t="n">
        <v>3</v>
      </c>
      <c r="G2806" s="2" t="s">
        <v>29</v>
      </c>
      <c r="H2806" s="2" t="n">
        <v>2805</v>
      </c>
      <c r="I2806" s="2" t="s">
        <v>39</v>
      </c>
      <c r="J2806" s="2" t="n">
        <v>2</v>
      </c>
      <c r="K2806" s="2" t="s">
        <v>45</v>
      </c>
      <c r="L2806" s="2" t="s">
        <v>32</v>
      </c>
      <c r="M2806" s="2" t="n">
        <v>33120</v>
      </c>
      <c r="N2806" s="2" t="n">
        <v>9</v>
      </c>
      <c r="O2806" s="2" t="n">
        <v>19</v>
      </c>
      <c r="P2806" s="2" t="n">
        <v>0</v>
      </c>
      <c r="Q2806" s="2" t="n">
        <v>7</v>
      </c>
      <c r="R2806" s="2" t="n">
        <v>1</v>
      </c>
      <c r="S2806" s="2" t="n">
        <v>5</v>
      </c>
      <c r="T2806" s="2" t="n">
        <v>4</v>
      </c>
      <c r="U2806" s="2" t="n">
        <v>3</v>
      </c>
      <c r="V2806" s="2" t="n">
        <v>2</v>
      </c>
      <c r="W2806" s="2" t="n">
        <v>2</v>
      </c>
      <c r="X2806" s="2" t="n">
        <v>3</v>
      </c>
      <c r="Y2806" s="2" t="n">
        <v>1</v>
      </c>
      <c r="Z2806" s="2" t="n">
        <v>3</v>
      </c>
    </row>
    <row r="2807" customFormat="false" ht="15" hidden="false" customHeight="true" outlineLevel="0" collapsed="false">
      <c r="A2807" s="2" t="n">
        <v>51</v>
      </c>
      <c r="B2807" s="2" t="s">
        <v>26</v>
      </c>
      <c r="C2807" s="2" t="s">
        <v>27</v>
      </c>
      <c r="D2807" s="2" t="s">
        <v>35</v>
      </c>
      <c r="E2807" s="2" t="n">
        <v>3</v>
      </c>
      <c r="F2807" s="2" t="n">
        <v>2</v>
      </c>
      <c r="G2807" s="2" t="s">
        <v>38</v>
      </c>
      <c r="H2807" s="2" t="n">
        <v>2806</v>
      </c>
      <c r="I2807" s="2" t="s">
        <v>30</v>
      </c>
      <c r="J2807" s="2" t="n">
        <v>2</v>
      </c>
      <c r="K2807" s="2" t="s">
        <v>48</v>
      </c>
      <c r="L2807" s="2" t="s">
        <v>37</v>
      </c>
      <c r="M2807" s="2" t="n">
        <v>190490</v>
      </c>
      <c r="N2807" s="2" t="n">
        <v>7</v>
      </c>
      <c r="O2807" s="2" t="n">
        <v>14</v>
      </c>
      <c r="P2807" s="2" t="n">
        <v>1</v>
      </c>
      <c r="Q2807" s="2" t="n">
        <v>23</v>
      </c>
      <c r="R2807" s="2" t="n">
        <v>2</v>
      </c>
      <c r="S2807" s="2" t="n">
        <v>20</v>
      </c>
      <c r="T2807" s="2" t="n">
        <v>15</v>
      </c>
      <c r="U2807" s="2" t="n">
        <v>15</v>
      </c>
      <c r="V2807" s="2" t="n">
        <v>1</v>
      </c>
      <c r="W2807" s="2" t="n">
        <v>3</v>
      </c>
      <c r="X2807" s="2" t="n">
        <v>3</v>
      </c>
      <c r="Y2807" s="2" t="n">
        <v>3</v>
      </c>
      <c r="Z2807" s="2" t="n">
        <v>3</v>
      </c>
    </row>
    <row r="2808" customFormat="false" ht="15" hidden="false" customHeight="true" outlineLevel="0" collapsed="false">
      <c r="A2808" s="2" t="n">
        <v>31</v>
      </c>
      <c r="B2808" s="2" t="s">
        <v>33</v>
      </c>
      <c r="C2808" s="2" t="s">
        <v>27</v>
      </c>
      <c r="D2808" s="2" t="s">
        <v>35</v>
      </c>
      <c r="E2808" s="2" t="n">
        <v>2</v>
      </c>
      <c r="F2808" s="2" t="n">
        <v>4</v>
      </c>
      <c r="G2808" s="2" t="s">
        <v>51</v>
      </c>
      <c r="H2808" s="2" t="n">
        <v>2807</v>
      </c>
      <c r="I2808" s="2" t="s">
        <v>30</v>
      </c>
      <c r="J2808" s="2" t="n">
        <v>3</v>
      </c>
      <c r="K2808" s="2" t="s">
        <v>40</v>
      </c>
      <c r="L2808" s="2" t="s">
        <v>32</v>
      </c>
      <c r="M2808" s="2" t="n">
        <v>21410</v>
      </c>
      <c r="N2808" s="2" t="n">
        <v>4</v>
      </c>
      <c r="O2808" s="2" t="n">
        <v>20</v>
      </c>
      <c r="P2808" s="2" t="n">
        <v>0</v>
      </c>
      <c r="Q2808" s="2" t="n">
        <v>12</v>
      </c>
      <c r="R2808" s="2" t="n">
        <v>2</v>
      </c>
      <c r="S2808" s="2" t="n">
        <v>7</v>
      </c>
      <c r="T2808" s="2" t="n">
        <v>7</v>
      </c>
      <c r="U2808" s="2" t="n">
        <v>7</v>
      </c>
      <c r="V2808" s="2" t="n">
        <v>2</v>
      </c>
      <c r="W2808" s="2" t="n">
        <v>3</v>
      </c>
      <c r="X2808" s="2" t="n">
        <v>2</v>
      </c>
      <c r="Y2808" s="2" t="n">
        <v>3</v>
      </c>
      <c r="Z2808" s="2" t="n">
        <v>4</v>
      </c>
    </row>
    <row r="2809" customFormat="false" ht="15" hidden="false" customHeight="true" outlineLevel="0" collapsed="false">
      <c r="A2809" s="2" t="n">
        <v>26</v>
      </c>
      <c r="B2809" s="2" t="s">
        <v>26</v>
      </c>
      <c r="C2809" s="2" t="s">
        <v>27</v>
      </c>
      <c r="D2809" s="2" t="s">
        <v>28</v>
      </c>
      <c r="E2809" s="2" t="n">
        <v>17</v>
      </c>
      <c r="F2809" s="2" t="n">
        <v>3</v>
      </c>
      <c r="G2809" s="2" t="s">
        <v>43</v>
      </c>
      <c r="H2809" s="2" t="n">
        <v>2808</v>
      </c>
      <c r="I2809" s="2" t="s">
        <v>30</v>
      </c>
      <c r="J2809" s="2" t="n">
        <v>2</v>
      </c>
      <c r="K2809" s="2" t="s">
        <v>49</v>
      </c>
      <c r="L2809" s="2" t="s">
        <v>32</v>
      </c>
      <c r="M2809" s="2" t="n">
        <v>57690</v>
      </c>
      <c r="N2809" s="2" t="n">
        <v>1</v>
      </c>
      <c r="O2809" s="2" t="n">
        <v>19</v>
      </c>
      <c r="P2809" s="2" t="n">
        <v>0</v>
      </c>
      <c r="Q2809" s="2" t="n">
        <v>5</v>
      </c>
      <c r="R2809" s="2" t="n">
        <v>4</v>
      </c>
      <c r="S2809" s="2" t="n">
        <v>5</v>
      </c>
      <c r="T2809" s="2" t="n">
        <v>4</v>
      </c>
      <c r="U2809" s="2" t="n">
        <v>3</v>
      </c>
      <c r="V2809" s="2" t="n">
        <v>3</v>
      </c>
      <c r="W2809" s="2" t="n">
        <v>2</v>
      </c>
      <c r="X2809" s="2" t="n">
        <v>2</v>
      </c>
      <c r="Y2809" s="2" t="n">
        <v>2</v>
      </c>
      <c r="Z2809" s="2" t="n">
        <v>3</v>
      </c>
    </row>
    <row r="2810" customFormat="false" ht="15" hidden="false" customHeight="true" outlineLevel="0" collapsed="false">
      <c r="A2810" s="2" t="n">
        <v>58</v>
      </c>
      <c r="B2810" s="2" t="s">
        <v>33</v>
      </c>
      <c r="C2810" s="2" t="s">
        <v>27</v>
      </c>
      <c r="D2810" s="2" t="s">
        <v>28</v>
      </c>
      <c r="E2810" s="2" t="n">
        <v>2</v>
      </c>
      <c r="F2810" s="2" t="n">
        <v>2</v>
      </c>
      <c r="G2810" s="2" t="s">
        <v>43</v>
      </c>
      <c r="H2810" s="2" t="n">
        <v>2809</v>
      </c>
      <c r="I2810" s="2" t="s">
        <v>30</v>
      </c>
      <c r="J2810" s="2" t="n">
        <v>1</v>
      </c>
      <c r="K2810" s="2" t="s">
        <v>36</v>
      </c>
      <c r="L2810" s="2" t="s">
        <v>32</v>
      </c>
      <c r="M2810" s="2" t="n">
        <v>43850</v>
      </c>
      <c r="N2810" s="2" t="n">
        <v>1</v>
      </c>
      <c r="O2810" s="2" t="n">
        <v>13</v>
      </c>
      <c r="P2810" s="2" t="n">
        <v>1</v>
      </c>
      <c r="Q2810" s="2" t="n">
        <v>40</v>
      </c>
      <c r="R2810" s="2" t="n">
        <v>2</v>
      </c>
      <c r="S2810" s="2" t="n">
        <v>40</v>
      </c>
      <c r="T2810" s="2" t="n">
        <v>15</v>
      </c>
      <c r="U2810" s="2" t="n">
        <v>6</v>
      </c>
      <c r="V2810" s="2" t="n">
        <v>4</v>
      </c>
      <c r="W2810" s="2" t="n">
        <v>4</v>
      </c>
      <c r="X2810" s="2" t="n">
        <v>2</v>
      </c>
      <c r="Y2810" s="2" t="n">
        <v>2</v>
      </c>
      <c r="Z2810" s="2" t="n">
        <v>3</v>
      </c>
    </row>
    <row r="2811" customFormat="false" ht="15" hidden="false" customHeight="true" outlineLevel="0" collapsed="false">
      <c r="A2811" s="2" t="n">
        <v>19</v>
      </c>
      <c r="B2811" s="2" t="s">
        <v>33</v>
      </c>
      <c r="C2811" s="2" t="s">
        <v>27</v>
      </c>
      <c r="D2811" s="2" t="s">
        <v>35</v>
      </c>
      <c r="E2811" s="2" t="n">
        <v>5</v>
      </c>
      <c r="F2811" s="2" t="n">
        <v>2</v>
      </c>
      <c r="G2811" s="2" t="s">
        <v>29</v>
      </c>
      <c r="H2811" s="2" t="n">
        <v>2810</v>
      </c>
      <c r="I2811" s="2" t="s">
        <v>39</v>
      </c>
      <c r="J2811" s="2" t="n">
        <v>1</v>
      </c>
      <c r="K2811" s="2" t="s">
        <v>49</v>
      </c>
      <c r="L2811" s="2" t="s">
        <v>37</v>
      </c>
      <c r="M2811" s="2" t="n">
        <v>53320</v>
      </c>
      <c r="N2811" s="2" t="n">
        <v>1</v>
      </c>
      <c r="O2811" s="2" t="n">
        <v>23</v>
      </c>
      <c r="P2811" s="2" t="n">
        <v>1</v>
      </c>
      <c r="Q2811" s="2" t="n">
        <v>0</v>
      </c>
      <c r="R2811" s="2" t="n">
        <v>2</v>
      </c>
      <c r="S2811" s="2" t="n">
        <v>0</v>
      </c>
      <c r="T2811" s="2" t="n">
        <v>0</v>
      </c>
      <c r="U2811" s="2" t="n">
        <v>0</v>
      </c>
      <c r="V2811" s="2" t="n">
        <v>4</v>
      </c>
      <c r="W2811" s="2" t="n">
        <v>3</v>
      </c>
      <c r="X2811" s="2" t="n">
        <v>2</v>
      </c>
      <c r="Y2811" s="2" t="n">
        <v>3</v>
      </c>
      <c r="Z2811" s="2" t="n">
        <v>4</v>
      </c>
    </row>
    <row r="2812" customFormat="false" ht="15" hidden="false" customHeight="true" outlineLevel="0" collapsed="false">
      <c r="A2812" s="2" t="n">
        <v>22</v>
      </c>
      <c r="B2812" s="2" t="s">
        <v>26</v>
      </c>
      <c r="C2812" s="2" t="s">
        <v>27</v>
      </c>
      <c r="D2812" s="2" t="s">
        <v>28</v>
      </c>
      <c r="E2812" s="2" t="n">
        <v>29</v>
      </c>
      <c r="F2812" s="2" t="n">
        <v>4</v>
      </c>
      <c r="G2812" s="2" t="s">
        <v>51</v>
      </c>
      <c r="H2812" s="2" t="n">
        <v>2811</v>
      </c>
      <c r="I2812" s="2" t="s">
        <v>39</v>
      </c>
      <c r="J2812" s="2" t="n">
        <v>1</v>
      </c>
      <c r="K2812" s="2" t="s">
        <v>40</v>
      </c>
      <c r="L2812" s="2" t="s">
        <v>32</v>
      </c>
      <c r="M2812" s="2" t="n">
        <v>46630</v>
      </c>
      <c r="N2812" s="2" t="n">
        <v>0</v>
      </c>
      <c r="O2812" s="2" t="n">
        <v>13</v>
      </c>
      <c r="P2812" s="2" t="n">
        <v>1</v>
      </c>
      <c r="Q2812" s="2" t="n">
        <v>3</v>
      </c>
      <c r="R2812" s="2" t="n">
        <v>1</v>
      </c>
      <c r="S2812" s="2" t="n">
        <v>2</v>
      </c>
      <c r="T2812" s="2" t="n">
        <v>2</v>
      </c>
      <c r="U2812" s="2" t="n">
        <v>1</v>
      </c>
      <c r="V2812" s="2" t="n">
        <v>3</v>
      </c>
      <c r="W2812" s="2" t="n">
        <v>4</v>
      </c>
      <c r="X2812" s="2" t="n">
        <v>3</v>
      </c>
      <c r="Y2812" s="2" t="n">
        <v>3</v>
      </c>
      <c r="Z2812" s="2" t="n">
        <v>3</v>
      </c>
    </row>
    <row r="2813" customFormat="false" ht="15" hidden="false" customHeight="true" outlineLevel="0" collapsed="false">
      <c r="A2813" s="2" t="n">
        <v>49</v>
      </c>
      <c r="B2813" s="2" t="s">
        <v>26</v>
      </c>
      <c r="C2813" s="2" t="s">
        <v>27</v>
      </c>
      <c r="D2813" s="2" t="s">
        <v>35</v>
      </c>
      <c r="E2813" s="2" t="n">
        <v>2</v>
      </c>
      <c r="F2813" s="2" t="n">
        <v>3</v>
      </c>
      <c r="G2813" s="2" t="s">
        <v>29</v>
      </c>
      <c r="H2813" s="2" t="n">
        <v>2812</v>
      </c>
      <c r="I2813" s="2" t="s">
        <v>30</v>
      </c>
      <c r="J2813" s="2" t="n">
        <v>1</v>
      </c>
      <c r="K2813" s="2" t="s">
        <v>40</v>
      </c>
      <c r="L2813" s="2" t="s">
        <v>32</v>
      </c>
      <c r="M2813" s="2" t="n">
        <v>47240</v>
      </c>
      <c r="N2813" s="2" t="n">
        <v>1</v>
      </c>
      <c r="O2813" s="2" t="n">
        <v>11</v>
      </c>
      <c r="P2813" s="2" t="n">
        <v>1</v>
      </c>
      <c r="Q2813" s="2" t="n">
        <v>16</v>
      </c>
      <c r="R2813" s="2" t="n">
        <v>3</v>
      </c>
      <c r="S2813" s="2" t="n">
        <v>15</v>
      </c>
      <c r="T2813" s="2" t="n">
        <v>5</v>
      </c>
      <c r="U2813" s="2" t="n">
        <v>11</v>
      </c>
      <c r="V2813" s="2" t="n">
        <v>3</v>
      </c>
      <c r="W2813" s="2" t="n">
        <v>1</v>
      </c>
      <c r="X2813" s="2" t="n">
        <v>2</v>
      </c>
      <c r="Y2813" s="2" t="n">
        <v>2</v>
      </c>
      <c r="Z2813" s="2" t="n">
        <v>3</v>
      </c>
    </row>
    <row r="2814" customFormat="false" ht="15" hidden="false" customHeight="true" outlineLevel="0" collapsed="false">
      <c r="A2814" s="2" t="n">
        <v>43</v>
      </c>
      <c r="B2814" s="2" t="s">
        <v>26</v>
      </c>
      <c r="C2814" s="2" t="s">
        <v>34</v>
      </c>
      <c r="D2814" s="2" t="s">
        <v>28</v>
      </c>
      <c r="E2814" s="2" t="n">
        <v>2</v>
      </c>
      <c r="F2814" s="2" t="n">
        <v>2</v>
      </c>
      <c r="G2814" s="2" t="s">
        <v>29</v>
      </c>
      <c r="H2814" s="2" t="n">
        <v>2813</v>
      </c>
      <c r="I2814" s="2" t="s">
        <v>39</v>
      </c>
      <c r="J2814" s="2" t="n">
        <v>1</v>
      </c>
      <c r="K2814" s="2" t="s">
        <v>40</v>
      </c>
      <c r="L2814" s="2" t="s">
        <v>37</v>
      </c>
      <c r="M2814" s="2" t="n">
        <v>32110</v>
      </c>
      <c r="N2814" s="2" t="n">
        <v>4</v>
      </c>
      <c r="O2814" s="2" t="n">
        <v>13</v>
      </c>
      <c r="P2814" s="2" t="n">
        <v>0</v>
      </c>
      <c r="Q2814" s="2" t="n">
        <v>18</v>
      </c>
      <c r="R2814" s="2" t="n">
        <v>2</v>
      </c>
      <c r="S2814" s="2" t="n">
        <v>3</v>
      </c>
      <c r="T2814" s="2" t="n">
        <v>1</v>
      </c>
      <c r="U2814" s="2" t="n">
        <v>2</v>
      </c>
      <c r="V2814" s="2" t="n">
        <v>2</v>
      </c>
      <c r="W2814" s="2" t="n">
        <v>3</v>
      </c>
      <c r="X2814" s="2" t="n">
        <v>3</v>
      </c>
      <c r="Y2814" s="2" t="n">
        <v>4</v>
      </c>
      <c r="Z2814" s="2" t="n">
        <v>3</v>
      </c>
    </row>
    <row r="2815" customFormat="false" ht="15" hidden="false" customHeight="true" outlineLevel="0" collapsed="false">
      <c r="A2815" s="2" t="n">
        <v>50</v>
      </c>
      <c r="B2815" s="2" t="s">
        <v>26</v>
      </c>
      <c r="C2815" s="2" t="s">
        <v>34</v>
      </c>
      <c r="D2815" s="2" t="s">
        <v>35</v>
      </c>
      <c r="E2815" s="2" t="n">
        <v>19</v>
      </c>
      <c r="F2815" s="2" t="n">
        <v>4</v>
      </c>
      <c r="G2815" s="2" t="s">
        <v>29</v>
      </c>
      <c r="H2815" s="2" t="n">
        <v>2814</v>
      </c>
      <c r="I2815" s="2" t="s">
        <v>39</v>
      </c>
      <c r="J2815" s="2" t="n">
        <v>2</v>
      </c>
      <c r="K2815" s="2" t="s">
        <v>40</v>
      </c>
      <c r="L2815" s="2" t="s">
        <v>37</v>
      </c>
      <c r="M2815" s="2" t="n">
        <v>53770</v>
      </c>
      <c r="N2815" s="2" t="n">
        <v>4</v>
      </c>
      <c r="O2815" s="2" t="n">
        <v>14</v>
      </c>
      <c r="P2815" s="2" t="n">
        <v>1</v>
      </c>
      <c r="Q2815" s="2" t="n">
        <v>16</v>
      </c>
      <c r="R2815" s="2" t="n">
        <v>3</v>
      </c>
      <c r="S2815" s="2" t="n">
        <v>2</v>
      </c>
      <c r="T2815" s="2" t="n">
        <v>2</v>
      </c>
      <c r="U2815" s="2" t="n">
        <v>1</v>
      </c>
      <c r="V2815" s="2" t="n">
        <v>3</v>
      </c>
      <c r="W2815" s="2" t="n">
        <v>4</v>
      </c>
      <c r="X2815" s="2" t="n">
        <v>3</v>
      </c>
      <c r="Y2815" s="2" t="n">
        <v>4</v>
      </c>
      <c r="Z2815" s="2" t="n">
        <v>3</v>
      </c>
    </row>
    <row r="2816" customFormat="false" ht="15" hidden="false" customHeight="true" outlineLevel="0" collapsed="false">
      <c r="A2816" s="2" t="n">
        <v>31</v>
      </c>
      <c r="B2816" s="2" t="s">
        <v>33</v>
      </c>
      <c r="C2816" s="2" t="s">
        <v>27</v>
      </c>
      <c r="D2816" s="2" t="s">
        <v>35</v>
      </c>
      <c r="E2816" s="2" t="n">
        <v>15</v>
      </c>
      <c r="F2816" s="2" t="n">
        <v>1</v>
      </c>
      <c r="G2816" s="2" t="s">
        <v>43</v>
      </c>
      <c r="H2816" s="2" t="n">
        <v>2815</v>
      </c>
      <c r="I2816" s="2" t="s">
        <v>30</v>
      </c>
      <c r="J2816" s="2" t="n">
        <v>2</v>
      </c>
      <c r="K2816" s="2" t="s">
        <v>40</v>
      </c>
      <c r="L2816" s="2" t="s">
        <v>32</v>
      </c>
      <c r="M2816" s="2" t="n">
        <v>40660</v>
      </c>
      <c r="N2816" s="2" t="n">
        <v>3</v>
      </c>
      <c r="O2816" s="2" t="n">
        <v>22</v>
      </c>
      <c r="P2816" s="2" t="n">
        <v>0</v>
      </c>
      <c r="Q2816" s="2" t="n">
        <v>4</v>
      </c>
      <c r="R2816" s="2" t="n">
        <v>2</v>
      </c>
      <c r="S2816" s="2" t="n">
        <v>2</v>
      </c>
      <c r="T2816" s="2" t="n">
        <v>2</v>
      </c>
      <c r="U2816" s="2" t="n">
        <v>2</v>
      </c>
      <c r="V2816" s="2" t="n">
        <v>2</v>
      </c>
      <c r="W2816" s="2" t="n">
        <v>3</v>
      </c>
      <c r="X2816" s="2" t="n">
        <v>3</v>
      </c>
      <c r="Y2816" s="2" t="n">
        <v>2</v>
      </c>
      <c r="Z2816" s="2" t="n">
        <v>4</v>
      </c>
    </row>
    <row r="2817" customFormat="false" ht="15" hidden="false" customHeight="true" outlineLevel="0" collapsed="false">
      <c r="A2817" s="2" t="n">
        <v>41</v>
      </c>
      <c r="B2817" s="2" t="s">
        <v>26</v>
      </c>
      <c r="C2817" s="2" t="s">
        <v>27</v>
      </c>
      <c r="D2817" s="2" t="s">
        <v>35</v>
      </c>
      <c r="E2817" s="2" t="n">
        <v>17</v>
      </c>
      <c r="F2817" s="2" t="n">
        <v>2</v>
      </c>
      <c r="G2817" s="2" t="s">
        <v>38</v>
      </c>
      <c r="H2817" s="2" t="n">
        <v>2816</v>
      </c>
      <c r="I2817" s="2" t="s">
        <v>39</v>
      </c>
      <c r="J2817" s="2" t="n">
        <v>1</v>
      </c>
      <c r="K2817" s="2" t="s">
        <v>47</v>
      </c>
      <c r="L2817" s="2" t="s">
        <v>46</v>
      </c>
      <c r="M2817" s="2" t="n">
        <v>52080</v>
      </c>
      <c r="N2817" s="2" t="n">
        <v>3</v>
      </c>
      <c r="O2817" s="2" t="n">
        <v>11</v>
      </c>
      <c r="P2817" s="2" t="n">
        <v>3</v>
      </c>
      <c r="Q2817" s="2" t="n">
        <v>12</v>
      </c>
      <c r="R2817" s="2" t="n">
        <v>2</v>
      </c>
      <c r="S2817" s="2" t="n">
        <v>9</v>
      </c>
      <c r="T2817" s="2" t="n">
        <v>0</v>
      </c>
      <c r="U2817" s="2" t="n">
        <v>7</v>
      </c>
      <c r="V2817" s="2" t="n">
        <v>3</v>
      </c>
      <c r="W2817" s="2" t="n">
        <v>3</v>
      </c>
      <c r="X2817" s="2" t="n">
        <v>3</v>
      </c>
      <c r="Y2817" s="2" t="n">
        <v>1</v>
      </c>
      <c r="Z2817" s="2" t="n">
        <v>3</v>
      </c>
    </row>
    <row r="2818" customFormat="false" ht="15" hidden="false" customHeight="true" outlineLevel="0" collapsed="false">
      <c r="A2818" s="2" t="n">
        <v>26</v>
      </c>
      <c r="B2818" s="2" t="s">
        <v>26</v>
      </c>
      <c r="C2818" s="2" t="s">
        <v>27</v>
      </c>
      <c r="D2818" s="2" t="s">
        <v>35</v>
      </c>
      <c r="E2818" s="2" t="n">
        <v>17</v>
      </c>
      <c r="F2818" s="2" t="n">
        <v>4</v>
      </c>
      <c r="G2818" s="2" t="s">
        <v>29</v>
      </c>
      <c r="H2818" s="2" t="n">
        <v>2817</v>
      </c>
      <c r="I2818" s="2" t="s">
        <v>39</v>
      </c>
      <c r="J2818" s="2" t="n">
        <v>2</v>
      </c>
      <c r="K2818" s="2" t="s">
        <v>40</v>
      </c>
      <c r="L2818" s="2" t="s">
        <v>32</v>
      </c>
      <c r="M2818" s="2" t="n">
        <v>48770</v>
      </c>
      <c r="N2818" s="2" t="n">
        <v>1</v>
      </c>
      <c r="O2818" s="2" t="n">
        <v>13</v>
      </c>
      <c r="P2818" s="2" t="n">
        <v>1</v>
      </c>
      <c r="Q2818" s="2" t="n">
        <v>8</v>
      </c>
      <c r="R2818" s="2" t="n">
        <v>5</v>
      </c>
      <c r="S2818" s="2" t="n">
        <v>8</v>
      </c>
      <c r="T2818" s="2" t="n">
        <v>5</v>
      </c>
      <c r="U2818" s="2" t="n">
        <v>7</v>
      </c>
      <c r="V2818" s="2" t="n">
        <v>3</v>
      </c>
      <c r="W2818" s="2" t="n">
        <v>3</v>
      </c>
      <c r="X2818" s="2" t="n">
        <v>3</v>
      </c>
      <c r="Y2818" s="2" t="n">
        <v>4</v>
      </c>
      <c r="Z2818" s="2" t="n">
        <v>3</v>
      </c>
    </row>
    <row r="2819" customFormat="false" ht="15" hidden="false" customHeight="true" outlineLevel="0" collapsed="false">
      <c r="A2819" s="2" t="n">
        <v>36</v>
      </c>
      <c r="B2819" s="2" t="s">
        <v>26</v>
      </c>
      <c r="C2819" s="2" t="s">
        <v>27</v>
      </c>
      <c r="D2819" s="2" t="s">
        <v>42</v>
      </c>
      <c r="E2819" s="2" t="n">
        <v>25</v>
      </c>
      <c r="F2819" s="2" t="n">
        <v>1</v>
      </c>
      <c r="G2819" s="2" t="s">
        <v>42</v>
      </c>
      <c r="H2819" s="2" t="n">
        <v>2818</v>
      </c>
      <c r="I2819" s="2" t="s">
        <v>39</v>
      </c>
      <c r="J2819" s="2" t="n">
        <v>2</v>
      </c>
      <c r="K2819" s="2" t="s">
        <v>36</v>
      </c>
      <c r="L2819" s="2" t="s">
        <v>46</v>
      </c>
      <c r="M2819" s="2" t="n">
        <v>31170</v>
      </c>
      <c r="N2819" s="2" t="n">
        <v>6</v>
      </c>
      <c r="O2819" s="2" t="n">
        <v>21</v>
      </c>
      <c r="P2819" s="2" t="n">
        <v>1</v>
      </c>
      <c r="Q2819" s="2" t="n">
        <v>7</v>
      </c>
      <c r="R2819" s="2" t="n">
        <v>2</v>
      </c>
      <c r="S2819" s="2" t="n">
        <v>3</v>
      </c>
      <c r="T2819" s="2" t="n">
        <v>0</v>
      </c>
      <c r="U2819" s="2" t="n">
        <v>1</v>
      </c>
      <c r="V2819" s="2" t="n">
        <v>2</v>
      </c>
      <c r="W2819" s="2" t="n">
        <v>2</v>
      </c>
      <c r="X2819" s="2" t="n">
        <v>3</v>
      </c>
      <c r="Y2819" s="2" t="n">
        <v>4</v>
      </c>
      <c r="Z2819" s="2" t="n">
        <v>4</v>
      </c>
    </row>
    <row r="2820" customFormat="false" ht="15" hidden="false" customHeight="true" outlineLevel="0" collapsed="false">
      <c r="A2820" s="2" t="n">
        <v>51</v>
      </c>
      <c r="B2820" s="2" t="s">
        <v>33</v>
      </c>
      <c r="C2820" s="2" t="s">
        <v>34</v>
      </c>
      <c r="D2820" s="2" t="s">
        <v>35</v>
      </c>
      <c r="E2820" s="2" t="n">
        <v>6</v>
      </c>
      <c r="F2820" s="2" t="n">
        <v>3</v>
      </c>
      <c r="G2820" s="2" t="s">
        <v>29</v>
      </c>
      <c r="H2820" s="2" t="n">
        <v>2819</v>
      </c>
      <c r="I2820" s="2" t="s">
        <v>30</v>
      </c>
      <c r="J2820" s="2" t="n">
        <v>1</v>
      </c>
      <c r="K2820" s="2" t="s">
        <v>49</v>
      </c>
      <c r="L2820" s="2" t="s">
        <v>37</v>
      </c>
      <c r="M2820" s="2" t="n">
        <v>15690</v>
      </c>
      <c r="N2820" s="2" t="n">
        <v>2</v>
      </c>
      <c r="O2820" s="2" t="n">
        <v>11</v>
      </c>
      <c r="P2820" s="2" t="n">
        <v>0</v>
      </c>
      <c r="Q2820" s="2" t="n">
        <v>18</v>
      </c>
      <c r="R2820" s="2" t="n">
        <v>2</v>
      </c>
      <c r="S2820" s="2" t="n">
        <v>4</v>
      </c>
      <c r="T2820" s="2" t="n">
        <v>0</v>
      </c>
      <c r="U2820" s="2" t="n">
        <v>3</v>
      </c>
      <c r="V2820" s="2" t="n">
        <v>1</v>
      </c>
      <c r="W2820" s="2" t="n">
        <v>4</v>
      </c>
      <c r="X2820" s="2" t="n">
        <v>3</v>
      </c>
      <c r="Y2820" s="2" t="n">
        <v>4</v>
      </c>
      <c r="Z2820" s="2" t="n">
        <v>3</v>
      </c>
    </row>
    <row r="2821" customFormat="false" ht="15" hidden="false" customHeight="true" outlineLevel="0" collapsed="false">
      <c r="A2821" s="2" t="n">
        <v>39</v>
      </c>
      <c r="B2821" s="2" t="s">
        <v>26</v>
      </c>
      <c r="C2821" s="2" t="s">
        <v>27</v>
      </c>
      <c r="D2821" s="2" t="s">
        <v>35</v>
      </c>
      <c r="E2821" s="2" t="n">
        <v>7</v>
      </c>
      <c r="F2821" s="2" t="n">
        <v>3</v>
      </c>
      <c r="G2821" s="2" t="s">
        <v>29</v>
      </c>
      <c r="H2821" s="2" t="n">
        <v>2820</v>
      </c>
      <c r="I2821" s="2" t="s">
        <v>30</v>
      </c>
      <c r="J2821" s="2" t="n">
        <v>1</v>
      </c>
      <c r="K2821" s="2" t="s">
        <v>36</v>
      </c>
      <c r="L2821" s="2" t="s">
        <v>32</v>
      </c>
      <c r="M2821" s="2" t="n">
        <v>196580</v>
      </c>
      <c r="N2821" s="2" t="n">
        <v>4</v>
      </c>
      <c r="O2821" s="2" t="n">
        <v>13</v>
      </c>
      <c r="P2821" s="2" t="n">
        <v>1</v>
      </c>
      <c r="Q2821" s="2" t="n">
        <v>17</v>
      </c>
      <c r="R2821" s="2" t="n">
        <v>3</v>
      </c>
      <c r="S2821" s="2" t="n">
        <v>15</v>
      </c>
      <c r="T2821" s="2" t="n">
        <v>5</v>
      </c>
      <c r="U2821" s="2" t="n">
        <v>9</v>
      </c>
      <c r="V2821" s="2" t="n">
        <v>4</v>
      </c>
      <c r="W2821" s="2" t="n">
        <v>3</v>
      </c>
      <c r="X2821" s="2" t="n">
        <v>4</v>
      </c>
      <c r="Y2821" s="2" t="n">
        <v>4</v>
      </c>
      <c r="Z2821" s="2" t="n">
        <v>3</v>
      </c>
    </row>
    <row r="2822" customFormat="false" ht="15" hidden="false" customHeight="true" outlineLevel="0" collapsed="false">
      <c r="A2822" s="2" t="n">
        <v>25</v>
      </c>
      <c r="B2822" s="2" t="s">
        <v>26</v>
      </c>
      <c r="C2822" s="2" t="s">
        <v>27</v>
      </c>
      <c r="D2822" s="2" t="s">
        <v>28</v>
      </c>
      <c r="E2822" s="2" t="n">
        <v>29</v>
      </c>
      <c r="F2822" s="2" t="n">
        <v>1</v>
      </c>
      <c r="G2822" s="2" t="s">
        <v>43</v>
      </c>
      <c r="H2822" s="2" t="n">
        <v>2821</v>
      </c>
      <c r="I2822" s="2" t="s">
        <v>30</v>
      </c>
      <c r="J2822" s="2" t="n">
        <v>3</v>
      </c>
      <c r="K2822" s="2" t="s">
        <v>36</v>
      </c>
      <c r="L2822" s="2" t="s">
        <v>32</v>
      </c>
      <c r="M2822" s="2" t="n">
        <v>30690</v>
      </c>
      <c r="N2822" s="2" t="n">
        <v>2</v>
      </c>
      <c r="O2822" s="2" t="n">
        <v>14</v>
      </c>
      <c r="P2822" s="2" t="n">
        <v>1</v>
      </c>
      <c r="Q2822" s="2" t="n">
        <v>6</v>
      </c>
      <c r="R2822" s="2" t="n">
        <v>3</v>
      </c>
      <c r="S2822" s="2" t="n">
        <v>2</v>
      </c>
      <c r="T2822" s="2" t="n">
        <v>2</v>
      </c>
      <c r="U2822" s="2" t="n">
        <v>2</v>
      </c>
      <c r="V2822" s="2" t="n">
        <v>1</v>
      </c>
      <c r="W2822" s="2" t="n">
        <v>3</v>
      </c>
      <c r="X2822" s="2" t="n">
        <v>3</v>
      </c>
      <c r="Y2822" s="2" t="n">
        <v>2</v>
      </c>
      <c r="Z2822" s="2" t="n">
        <v>3</v>
      </c>
    </row>
    <row r="2823" customFormat="false" ht="15" hidden="false" customHeight="true" outlineLevel="0" collapsed="false">
      <c r="A2823" s="2" t="n">
        <v>30</v>
      </c>
      <c r="B2823" s="2" t="s">
        <v>26</v>
      </c>
      <c r="C2823" s="2" t="s">
        <v>27</v>
      </c>
      <c r="D2823" s="2" t="s">
        <v>35</v>
      </c>
      <c r="E2823" s="2" t="n">
        <v>21</v>
      </c>
      <c r="F2823" s="2" t="n">
        <v>1</v>
      </c>
      <c r="G2823" s="2" t="s">
        <v>43</v>
      </c>
      <c r="H2823" s="2" t="n">
        <v>2822</v>
      </c>
      <c r="I2823" s="2" t="s">
        <v>39</v>
      </c>
      <c r="J2823" s="2" t="n">
        <v>2</v>
      </c>
      <c r="K2823" s="2" t="s">
        <v>45</v>
      </c>
      <c r="L2823" s="2" t="s">
        <v>32</v>
      </c>
      <c r="M2823" s="2" t="n">
        <v>104350</v>
      </c>
      <c r="N2823" s="2" t="n">
        <v>0</v>
      </c>
      <c r="O2823" s="2" t="n">
        <v>11</v>
      </c>
      <c r="P2823" s="2" t="n">
        <v>0</v>
      </c>
      <c r="Q2823" s="2" t="n">
        <v>12</v>
      </c>
      <c r="R2823" s="2" t="n">
        <v>5</v>
      </c>
      <c r="S2823" s="2" t="n">
        <v>11</v>
      </c>
      <c r="T2823" s="2" t="n">
        <v>4</v>
      </c>
      <c r="U2823" s="2" t="n">
        <v>7</v>
      </c>
      <c r="V2823" s="2" t="n">
        <v>3</v>
      </c>
      <c r="W2823" s="2" t="n">
        <v>4</v>
      </c>
      <c r="X2823" s="2" t="n">
        <v>1</v>
      </c>
      <c r="Y2823" s="2" t="n">
        <v>3</v>
      </c>
      <c r="Z2823" s="2" t="n">
        <v>3</v>
      </c>
    </row>
    <row r="2824" customFormat="false" ht="15" hidden="false" customHeight="true" outlineLevel="0" collapsed="false">
      <c r="A2824" s="2" t="n">
        <v>32</v>
      </c>
      <c r="B2824" s="2" t="s">
        <v>33</v>
      </c>
      <c r="C2824" s="2" t="s">
        <v>27</v>
      </c>
      <c r="D2824" s="2" t="s">
        <v>35</v>
      </c>
      <c r="E2824" s="2" t="n">
        <v>2</v>
      </c>
      <c r="F2824" s="2" t="n">
        <v>4</v>
      </c>
      <c r="G2824" s="2" t="s">
        <v>29</v>
      </c>
      <c r="H2824" s="2" t="n">
        <v>2823</v>
      </c>
      <c r="I2824" s="2" t="s">
        <v>30</v>
      </c>
      <c r="J2824" s="2" t="n">
        <v>2</v>
      </c>
      <c r="K2824" s="2" t="s">
        <v>44</v>
      </c>
      <c r="L2824" s="2" t="s">
        <v>37</v>
      </c>
      <c r="M2824" s="2" t="n">
        <v>41480</v>
      </c>
      <c r="N2824" s="2" t="n">
        <v>7</v>
      </c>
      <c r="O2824" s="2" t="n">
        <v>15</v>
      </c>
      <c r="P2824" s="2" t="n">
        <v>0</v>
      </c>
      <c r="Q2824" s="2" t="n">
        <v>10</v>
      </c>
      <c r="R2824" s="2" t="n">
        <v>0</v>
      </c>
      <c r="S2824" s="2" t="n">
        <v>5</v>
      </c>
      <c r="T2824" s="2" t="n">
        <v>0</v>
      </c>
      <c r="U2824" s="2" t="n">
        <v>4</v>
      </c>
      <c r="V2824" s="2" t="n">
        <v>1</v>
      </c>
      <c r="W2824" s="2" t="n">
        <v>1</v>
      </c>
      <c r="X2824" s="2" t="n">
        <v>4</v>
      </c>
      <c r="Y2824" s="2" t="n">
        <v>2</v>
      </c>
      <c r="Z2824" s="2" t="n">
        <v>3</v>
      </c>
    </row>
    <row r="2825" customFormat="false" ht="15" hidden="false" customHeight="true" outlineLevel="0" collapsed="false">
      <c r="A2825" s="2" t="n">
        <v>45</v>
      </c>
      <c r="B2825" s="2" t="s">
        <v>26</v>
      </c>
      <c r="C2825" s="2" t="s">
        <v>27</v>
      </c>
      <c r="D2825" s="2" t="s">
        <v>35</v>
      </c>
      <c r="E2825" s="2" t="n">
        <v>2</v>
      </c>
      <c r="F2825" s="2" t="n">
        <v>1</v>
      </c>
      <c r="G2825" s="2" t="s">
        <v>51</v>
      </c>
      <c r="H2825" s="2" t="n">
        <v>2824</v>
      </c>
      <c r="I2825" s="2" t="s">
        <v>30</v>
      </c>
      <c r="J2825" s="2" t="n">
        <v>2</v>
      </c>
      <c r="K2825" s="2" t="s">
        <v>31</v>
      </c>
      <c r="L2825" s="2" t="s">
        <v>37</v>
      </c>
      <c r="M2825" s="2" t="n">
        <v>57680</v>
      </c>
      <c r="N2825" s="2" t="n">
        <v>5</v>
      </c>
      <c r="O2825" s="2" t="n">
        <v>23</v>
      </c>
      <c r="P2825" s="2" t="n">
        <v>1</v>
      </c>
      <c r="Q2825" s="2" t="n">
        <v>9</v>
      </c>
      <c r="R2825" s="2" t="n">
        <v>4</v>
      </c>
      <c r="S2825" s="2" t="n">
        <v>6</v>
      </c>
      <c r="T2825" s="2" t="n">
        <v>0</v>
      </c>
      <c r="U2825" s="2" t="n">
        <v>3</v>
      </c>
      <c r="V2825" s="2" t="n">
        <v>3</v>
      </c>
      <c r="W2825" s="2" t="n">
        <v>4</v>
      </c>
      <c r="X2825" s="2" t="n">
        <v>2</v>
      </c>
      <c r="Y2825" s="2" t="n">
        <v>3</v>
      </c>
      <c r="Z2825" s="2" t="n">
        <v>4</v>
      </c>
    </row>
    <row r="2826" customFormat="false" ht="15" hidden="false" customHeight="true" outlineLevel="0" collapsed="false">
      <c r="A2826" s="2" t="n">
        <v>38</v>
      </c>
      <c r="B2826" s="2" t="s">
        <v>26</v>
      </c>
      <c r="C2826" s="2" t="s">
        <v>27</v>
      </c>
      <c r="D2826" s="2" t="s">
        <v>35</v>
      </c>
      <c r="E2826" s="2" t="n">
        <v>7</v>
      </c>
      <c r="F2826" s="2" t="n">
        <v>4</v>
      </c>
      <c r="G2826" s="2" t="s">
        <v>29</v>
      </c>
      <c r="H2826" s="2" t="n">
        <v>2825</v>
      </c>
      <c r="I2826" s="2" t="s">
        <v>30</v>
      </c>
      <c r="J2826" s="2" t="n">
        <v>2</v>
      </c>
      <c r="K2826" s="2" t="s">
        <v>44</v>
      </c>
      <c r="L2826" s="2" t="s">
        <v>37</v>
      </c>
      <c r="M2826" s="2" t="n">
        <v>50420</v>
      </c>
      <c r="N2826" s="2" t="n">
        <v>3</v>
      </c>
      <c r="O2826" s="2" t="n">
        <v>16</v>
      </c>
      <c r="P2826" s="2" t="n">
        <v>1</v>
      </c>
      <c r="Q2826" s="2" t="n">
        <v>19</v>
      </c>
      <c r="R2826" s="2" t="n">
        <v>4</v>
      </c>
      <c r="S2826" s="2" t="n">
        <v>3</v>
      </c>
      <c r="T2826" s="2" t="n">
        <v>2</v>
      </c>
      <c r="U2826" s="2" t="n">
        <v>2</v>
      </c>
      <c r="V2826" s="2" t="n">
        <v>4</v>
      </c>
      <c r="W2826" s="2" t="n">
        <v>3</v>
      </c>
      <c r="X2826" s="2" t="n">
        <v>3</v>
      </c>
      <c r="Y2826" s="2" t="n">
        <v>3</v>
      </c>
      <c r="Z2826" s="2" t="n">
        <v>3</v>
      </c>
    </row>
    <row r="2827" customFormat="false" ht="15" hidden="false" customHeight="true" outlineLevel="0" collapsed="false">
      <c r="A2827" s="2" t="n">
        <v>30</v>
      </c>
      <c r="B2827" s="2" t="s">
        <v>26</v>
      </c>
      <c r="C2827" s="2" t="s">
        <v>27</v>
      </c>
      <c r="D2827" s="2" t="s">
        <v>28</v>
      </c>
      <c r="E2827" s="2" t="n">
        <v>13</v>
      </c>
      <c r="F2827" s="2" t="n">
        <v>3</v>
      </c>
      <c r="G2827" s="2" t="s">
        <v>50</v>
      </c>
      <c r="H2827" s="2" t="n">
        <v>2826</v>
      </c>
      <c r="I2827" s="2" t="s">
        <v>30</v>
      </c>
      <c r="J2827" s="2" t="n">
        <v>2</v>
      </c>
      <c r="K2827" s="2" t="s">
        <v>45</v>
      </c>
      <c r="L2827" s="2" t="s">
        <v>37</v>
      </c>
      <c r="M2827" s="2" t="n">
        <v>57700</v>
      </c>
      <c r="N2827" s="2" t="n">
        <v>1</v>
      </c>
      <c r="O2827" s="2" t="n">
        <v>16</v>
      </c>
      <c r="P2827" s="2" t="n">
        <v>1</v>
      </c>
      <c r="Q2827" s="2" t="n">
        <v>5</v>
      </c>
      <c r="R2827" s="2" t="n">
        <v>2</v>
      </c>
      <c r="S2827" s="2" t="n">
        <v>5</v>
      </c>
      <c r="T2827" s="2" t="n">
        <v>0</v>
      </c>
      <c r="U2827" s="2" t="n">
        <v>4</v>
      </c>
      <c r="V2827" s="2" t="n">
        <v>1</v>
      </c>
      <c r="W2827" s="2" t="n">
        <v>3</v>
      </c>
      <c r="X2827" s="2" t="n">
        <v>2</v>
      </c>
      <c r="Y2827" s="2" t="n">
        <v>4</v>
      </c>
      <c r="Z2827" s="2" t="n">
        <v>3</v>
      </c>
    </row>
    <row r="2828" customFormat="false" ht="15" hidden="false" customHeight="true" outlineLevel="0" collapsed="false">
      <c r="A2828" s="2" t="n">
        <v>32</v>
      </c>
      <c r="B2828" s="2" t="s">
        <v>26</v>
      </c>
      <c r="C2828" s="2" t="s">
        <v>34</v>
      </c>
      <c r="D2828" s="2" t="s">
        <v>28</v>
      </c>
      <c r="E2828" s="2" t="n">
        <v>2</v>
      </c>
      <c r="F2828" s="2" t="n">
        <v>3</v>
      </c>
      <c r="G2828" s="2" t="s">
        <v>50</v>
      </c>
      <c r="H2828" s="2" t="n">
        <v>2827</v>
      </c>
      <c r="I2828" s="2" t="s">
        <v>39</v>
      </c>
      <c r="J2828" s="2" t="n">
        <v>3</v>
      </c>
      <c r="K2828" s="2" t="s">
        <v>45</v>
      </c>
      <c r="L2828" s="2" t="s">
        <v>46</v>
      </c>
      <c r="M2828" s="2" t="n">
        <v>77560</v>
      </c>
      <c r="N2828" s="2" t="n">
        <v>0</v>
      </c>
      <c r="O2828" s="2" t="n">
        <v>21</v>
      </c>
      <c r="P2828" s="2" t="n">
        <v>0</v>
      </c>
      <c r="Q2828" s="2" t="n">
        <v>9</v>
      </c>
      <c r="R2828" s="2" t="n">
        <v>3</v>
      </c>
      <c r="S2828" s="2" t="n">
        <v>8</v>
      </c>
      <c r="T2828" s="2" t="n">
        <v>0</v>
      </c>
      <c r="U2828" s="2" t="n">
        <v>7</v>
      </c>
      <c r="V2828" s="2" t="n">
        <v>4</v>
      </c>
      <c r="W2828" s="2" t="n">
        <v>4</v>
      </c>
      <c r="X2828" s="2" t="n">
        <v>4</v>
      </c>
      <c r="Y2828" s="2" t="n">
        <v>3</v>
      </c>
      <c r="Z2828" s="2" t="n">
        <v>4</v>
      </c>
    </row>
    <row r="2829" customFormat="false" ht="15" hidden="false" customHeight="true" outlineLevel="0" collapsed="false">
      <c r="A2829" s="2" t="n">
        <v>30</v>
      </c>
      <c r="B2829" s="2" t="s">
        <v>26</v>
      </c>
      <c r="C2829" s="2" t="s">
        <v>27</v>
      </c>
      <c r="D2829" s="2" t="s">
        <v>35</v>
      </c>
      <c r="E2829" s="2" t="n">
        <v>1</v>
      </c>
      <c r="F2829" s="2" t="n">
        <v>3</v>
      </c>
      <c r="G2829" s="2" t="s">
        <v>43</v>
      </c>
      <c r="H2829" s="2" t="n">
        <v>2828</v>
      </c>
      <c r="I2829" s="2" t="s">
        <v>30</v>
      </c>
      <c r="J2829" s="2" t="n">
        <v>3</v>
      </c>
      <c r="K2829" s="2" t="s">
        <v>40</v>
      </c>
      <c r="L2829" s="2" t="s">
        <v>46</v>
      </c>
      <c r="M2829" s="2" t="n">
        <v>103060</v>
      </c>
      <c r="N2829" s="2" t="n">
        <v>5</v>
      </c>
      <c r="O2829" s="2" t="n">
        <v>13</v>
      </c>
      <c r="P2829" s="2" t="n">
        <v>0</v>
      </c>
      <c r="Q2829" s="2" t="n">
        <v>8</v>
      </c>
      <c r="R2829" s="2" t="n">
        <v>5</v>
      </c>
      <c r="S2829" s="2" t="n">
        <v>3</v>
      </c>
      <c r="T2829" s="2" t="n">
        <v>2</v>
      </c>
      <c r="U2829" s="2" t="n">
        <v>2</v>
      </c>
      <c r="V2829" s="2" t="n">
        <v>4</v>
      </c>
      <c r="W2829" s="2" t="n">
        <v>1</v>
      </c>
      <c r="X2829" s="2" t="n">
        <v>3</v>
      </c>
      <c r="Y2829" s="2" t="n">
        <v>3</v>
      </c>
      <c r="Z2829" s="2" t="n">
        <v>3</v>
      </c>
    </row>
    <row r="2830" customFormat="false" ht="15" hidden="false" customHeight="true" outlineLevel="0" collapsed="false">
      <c r="A2830" s="2" t="n">
        <v>30</v>
      </c>
      <c r="B2830" s="2" t="s">
        <v>26</v>
      </c>
      <c r="C2830" s="2" t="s">
        <v>27</v>
      </c>
      <c r="D2830" s="2" t="s">
        <v>28</v>
      </c>
      <c r="E2830" s="2" t="n">
        <v>9</v>
      </c>
      <c r="F2830" s="2" t="n">
        <v>3</v>
      </c>
      <c r="G2830" s="2" t="s">
        <v>43</v>
      </c>
      <c r="H2830" s="2" t="n">
        <v>2829</v>
      </c>
      <c r="I2830" s="2" t="s">
        <v>39</v>
      </c>
      <c r="J2830" s="2" t="n">
        <v>2</v>
      </c>
      <c r="K2830" s="2" t="s">
        <v>36</v>
      </c>
      <c r="L2830" s="2" t="s">
        <v>37</v>
      </c>
      <c r="M2830" s="2" t="n">
        <v>39360</v>
      </c>
      <c r="N2830" s="2" t="n">
        <v>0</v>
      </c>
      <c r="O2830" s="2" t="n">
        <v>11</v>
      </c>
      <c r="P2830" s="2" t="n">
        <v>1</v>
      </c>
      <c r="Q2830" s="2" t="n">
        <v>6</v>
      </c>
      <c r="R2830" s="2" t="n">
        <v>3</v>
      </c>
      <c r="S2830" s="2" t="n">
        <v>5</v>
      </c>
      <c r="T2830" s="2" t="n">
        <v>1</v>
      </c>
      <c r="U2830" s="2" t="n">
        <v>2</v>
      </c>
      <c r="V2830" s="2" t="n">
        <v>2</v>
      </c>
      <c r="W2830" s="2" t="n">
        <v>4</v>
      </c>
      <c r="X2830" s="2" t="n">
        <v>3</v>
      </c>
      <c r="Y2830" s="2" t="n">
        <v>3</v>
      </c>
      <c r="Z2830" s="2" t="n">
        <v>3</v>
      </c>
    </row>
    <row r="2831" customFormat="false" ht="15" hidden="false" customHeight="true" outlineLevel="0" collapsed="false">
      <c r="A2831" s="2" t="n">
        <v>41</v>
      </c>
      <c r="B2831" s="2" t="s">
        <v>26</v>
      </c>
      <c r="C2831" s="2" t="s">
        <v>34</v>
      </c>
      <c r="D2831" s="2" t="s">
        <v>28</v>
      </c>
      <c r="E2831" s="2" t="n">
        <v>10</v>
      </c>
      <c r="F2831" s="2" t="n">
        <v>2</v>
      </c>
      <c r="G2831" s="2" t="s">
        <v>43</v>
      </c>
      <c r="H2831" s="2" t="n">
        <v>2830</v>
      </c>
      <c r="I2831" s="2" t="s">
        <v>30</v>
      </c>
      <c r="J2831" s="2" t="n">
        <v>3</v>
      </c>
      <c r="K2831" s="2" t="s">
        <v>47</v>
      </c>
      <c r="L2831" s="2" t="s">
        <v>46</v>
      </c>
      <c r="M2831" s="2" t="n">
        <v>79450</v>
      </c>
      <c r="N2831" s="2" t="n">
        <v>4</v>
      </c>
      <c r="O2831" s="2" t="n">
        <v>12</v>
      </c>
      <c r="P2831" s="2" t="n">
        <v>1</v>
      </c>
      <c r="Q2831" s="2" t="n">
        <v>21</v>
      </c>
      <c r="R2831" s="2" t="n">
        <v>6</v>
      </c>
      <c r="S2831" s="2" t="n">
        <v>7</v>
      </c>
      <c r="T2831" s="2" t="n">
        <v>7</v>
      </c>
      <c r="U2831" s="2" t="n">
        <v>7</v>
      </c>
      <c r="V2831" s="2" t="n">
        <v>4</v>
      </c>
      <c r="W2831" s="2" t="n">
        <v>1</v>
      </c>
      <c r="X2831" s="2" t="n">
        <v>2</v>
      </c>
      <c r="Y2831" s="2" t="n">
        <v>2</v>
      </c>
      <c r="Z2831" s="2" t="n">
        <v>3</v>
      </c>
    </row>
    <row r="2832" customFormat="false" ht="15" hidden="false" customHeight="true" outlineLevel="0" collapsed="false">
      <c r="A2832" s="2" t="n">
        <v>41</v>
      </c>
      <c r="B2832" s="2" t="s">
        <v>26</v>
      </c>
      <c r="C2832" s="2" t="s">
        <v>27</v>
      </c>
      <c r="D2832" s="2" t="s">
        <v>35</v>
      </c>
      <c r="E2832" s="2" t="n">
        <v>10</v>
      </c>
      <c r="F2832" s="2" t="n">
        <v>4</v>
      </c>
      <c r="G2832" s="2" t="s">
        <v>43</v>
      </c>
      <c r="H2832" s="2" t="n">
        <v>2831</v>
      </c>
      <c r="I2832" s="2" t="s">
        <v>39</v>
      </c>
      <c r="J2832" s="2" t="n">
        <v>4</v>
      </c>
      <c r="K2832" s="2" t="s">
        <v>36</v>
      </c>
      <c r="L2832" s="2" t="s">
        <v>32</v>
      </c>
      <c r="M2832" s="2" t="n">
        <v>57430</v>
      </c>
      <c r="N2832" s="2" t="n">
        <v>2</v>
      </c>
      <c r="O2832" s="2" t="n">
        <v>12</v>
      </c>
      <c r="P2832" s="2" t="n">
        <v>3</v>
      </c>
      <c r="Q2832" s="2" t="n">
        <v>7</v>
      </c>
      <c r="R2832" s="2" t="n">
        <v>2</v>
      </c>
      <c r="S2832" s="2" t="n">
        <v>5</v>
      </c>
      <c r="T2832" s="2" t="n">
        <v>1</v>
      </c>
      <c r="U2832" s="2" t="n">
        <v>4</v>
      </c>
      <c r="V2832" s="2" t="n">
        <v>3</v>
      </c>
      <c r="W2832" s="2" t="n">
        <v>1</v>
      </c>
      <c r="X2832" s="2" t="n">
        <v>3</v>
      </c>
      <c r="Y2832" s="2" t="n">
        <v>4</v>
      </c>
      <c r="Z2832" s="2" t="n">
        <v>3</v>
      </c>
    </row>
    <row r="2833" customFormat="false" ht="15" hidden="false" customHeight="true" outlineLevel="0" collapsed="false">
      <c r="A2833" s="2" t="n">
        <v>19</v>
      </c>
      <c r="B2833" s="2" t="s">
        <v>26</v>
      </c>
      <c r="C2833" s="2" t="s">
        <v>27</v>
      </c>
      <c r="D2833" s="2" t="s">
        <v>35</v>
      </c>
      <c r="E2833" s="2" t="n">
        <v>1</v>
      </c>
      <c r="F2833" s="2" t="n">
        <v>3</v>
      </c>
      <c r="G2833" s="2" t="s">
        <v>38</v>
      </c>
      <c r="H2833" s="2" t="n">
        <v>2832</v>
      </c>
      <c r="I2833" s="2" t="s">
        <v>30</v>
      </c>
      <c r="J2833" s="2" t="n">
        <v>5</v>
      </c>
      <c r="K2833" s="2" t="s">
        <v>47</v>
      </c>
      <c r="L2833" s="2" t="s">
        <v>37</v>
      </c>
      <c r="M2833" s="2" t="n">
        <v>152020</v>
      </c>
      <c r="N2833" s="2" t="n">
        <v>1</v>
      </c>
      <c r="O2833" s="2" t="n">
        <v>18</v>
      </c>
      <c r="P2833" s="2" t="n">
        <v>3</v>
      </c>
      <c r="Q2833" s="2" t="n">
        <v>1</v>
      </c>
      <c r="R2833" s="2" t="n">
        <v>2</v>
      </c>
      <c r="S2833" s="2" t="n">
        <v>1</v>
      </c>
      <c r="T2833" s="2" t="n">
        <v>0</v>
      </c>
      <c r="U2833" s="2" t="n">
        <v>0</v>
      </c>
      <c r="V2833" s="2" t="n">
        <v>2</v>
      </c>
      <c r="W2833" s="2" t="n">
        <v>2</v>
      </c>
      <c r="X2833" s="2" t="n">
        <v>3</v>
      </c>
      <c r="Y2833" s="2" t="n">
        <v>2</v>
      </c>
      <c r="Z2833" s="2" t="n">
        <v>3</v>
      </c>
    </row>
    <row r="2834" customFormat="false" ht="15" hidden="false" customHeight="true" outlineLevel="0" collapsed="false">
      <c r="A2834" s="2" t="n">
        <v>40</v>
      </c>
      <c r="B2834" s="2" t="s">
        <v>26</v>
      </c>
      <c r="C2834" s="2" t="s">
        <v>34</v>
      </c>
      <c r="D2834" s="2" t="s">
        <v>35</v>
      </c>
      <c r="E2834" s="2" t="n">
        <v>26</v>
      </c>
      <c r="F2834" s="2" t="n">
        <v>4</v>
      </c>
      <c r="G2834" s="2" t="s">
        <v>43</v>
      </c>
      <c r="H2834" s="2" t="n">
        <v>2833</v>
      </c>
      <c r="I2834" s="2" t="s">
        <v>39</v>
      </c>
      <c r="J2834" s="2" t="n">
        <v>2</v>
      </c>
      <c r="K2834" s="2" t="s">
        <v>47</v>
      </c>
      <c r="L2834" s="2" t="s">
        <v>46</v>
      </c>
      <c r="M2834" s="2" t="n">
        <v>54400</v>
      </c>
      <c r="N2834" s="2" t="n">
        <v>1</v>
      </c>
      <c r="O2834" s="2" t="n">
        <v>12</v>
      </c>
      <c r="P2834" s="2" t="n">
        <v>1</v>
      </c>
      <c r="Q2834" s="2" t="n">
        <v>20</v>
      </c>
      <c r="R2834" s="2" t="n">
        <v>2</v>
      </c>
      <c r="S2834" s="2" t="n">
        <v>20</v>
      </c>
      <c r="T2834" s="2" t="n">
        <v>2</v>
      </c>
      <c r="U2834" s="2" t="n">
        <v>13</v>
      </c>
      <c r="V2834" s="2" t="n">
        <v>2</v>
      </c>
      <c r="W2834" s="2" t="n">
        <v>2</v>
      </c>
      <c r="X2834" s="2" t="n">
        <v>3</v>
      </c>
      <c r="Y2834" s="2" t="n">
        <v>3</v>
      </c>
      <c r="Z2834" s="2" t="n">
        <v>3</v>
      </c>
    </row>
    <row r="2835" customFormat="false" ht="15" hidden="false" customHeight="true" outlineLevel="0" collapsed="false">
      <c r="A2835" s="2" t="n">
        <v>35</v>
      </c>
      <c r="B2835" s="2" t="s">
        <v>26</v>
      </c>
      <c r="C2835" s="2" t="s">
        <v>27</v>
      </c>
      <c r="D2835" s="2" t="s">
        <v>28</v>
      </c>
      <c r="E2835" s="2" t="n">
        <v>8</v>
      </c>
      <c r="F2835" s="2" t="n">
        <v>1</v>
      </c>
      <c r="G2835" s="2" t="s">
        <v>50</v>
      </c>
      <c r="H2835" s="2" t="n">
        <v>2834</v>
      </c>
      <c r="I2835" s="2" t="s">
        <v>30</v>
      </c>
      <c r="J2835" s="2" t="n">
        <v>3</v>
      </c>
      <c r="K2835" s="2" t="s">
        <v>45</v>
      </c>
      <c r="L2835" s="2" t="s">
        <v>32</v>
      </c>
      <c r="M2835" s="2" t="n">
        <v>37600</v>
      </c>
      <c r="N2835" s="2" t="n">
        <v>1</v>
      </c>
      <c r="O2835" s="2" t="n">
        <v>14</v>
      </c>
      <c r="P2835" s="2" t="n">
        <v>3</v>
      </c>
      <c r="Q2835" s="2" t="n">
        <v>10</v>
      </c>
      <c r="R2835" s="2" t="n">
        <v>2</v>
      </c>
      <c r="S2835" s="2" t="n">
        <v>10</v>
      </c>
      <c r="T2835" s="2" t="n">
        <v>0</v>
      </c>
      <c r="U2835" s="2" t="n">
        <v>6</v>
      </c>
      <c r="V2835" s="2" t="n">
        <v>3</v>
      </c>
      <c r="W2835" s="2" t="n">
        <v>2</v>
      </c>
      <c r="X2835" s="2" t="n">
        <v>3</v>
      </c>
      <c r="Y2835" s="2" t="n">
        <v>3</v>
      </c>
      <c r="Z2835" s="2" t="n">
        <v>3</v>
      </c>
    </row>
    <row r="2836" customFormat="false" ht="15" hidden="false" customHeight="true" outlineLevel="0" collapsed="false">
      <c r="A2836" s="2" t="n">
        <v>53</v>
      </c>
      <c r="B2836" s="2" t="s">
        <v>26</v>
      </c>
      <c r="C2836" s="2" t="s">
        <v>27</v>
      </c>
      <c r="D2836" s="2" t="s">
        <v>28</v>
      </c>
      <c r="E2836" s="2" t="n">
        <v>14</v>
      </c>
      <c r="F2836" s="2" t="n">
        <v>2</v>
      </c>
      <c r="G2836" s="2" t="s">
        <v>29</v>
      </c>
      <c r="H2836" s="2" t="n">
        <v>2835</v>
      </c>
      <c r="I2836" s="2" t="s">
        <v>30</v>
      </c>
      <c r="J2836" s="2" t="n">
        <v>5</v>
      </c>
      <c r="K2836" s="2" t="s">
        <v>47</v>
      </c>
      <c r="L2836" s="2" t="s">
        <v>32</v>
      </c>
      <c r="M2836" s="2" t="n">
        <v>35170</v>
      </c>
      <c r="N2836" s="2" t="n">
        <v>2</v>
      </c>
      <c r="O2836" s="2" t="n">
        <v>12</v>
      </c>
      <c r="P2836" s="2" t="n">
        <v>1</v>
      </c>
      <c r="Q2836" s="2" t="n">
        <v>13</v>
      </c>
      <c r="R2836" s="2" t="n">
        <v>1</v>
      </c>
      <c r="S2836" s="2" t="n">
        <v>7</v>
      </c>
      <c r="T2836" s="2" t="n">
        <v>4</v>
      </c>
      <c r="U2836" s="2" t="n">
        <v>5</v>
      </c>
      <c r="V2836" s="2" t="n">
        <v>2</v>
      </c>
      <c r="W2836" s="2" t="n">
        <v>3</v>
      </c>
      <c r="X2836" s="2" t="n">
        <v>1</v>
      </c>
      <c r="Y2836" s="2" t="n">
        <v>2</v>
      </c>
      <c r="Z2836" s="2" t="n">
        <v>3</v>
      </c>
    </row>
    <row r="2837" customFormat="false" ht="15" hidden="false" customHeight="true" outlineLevel="0" collapsed="false">
      <c r="A2837" s="2" t="n">
        <v>45</v>
      </c>
      <c r="B2837" s="2" t="s">
        <v>26</v>
      </c>
      <c r="C2837" s="2" t="s">
        <v>27</v>
      </c>
      <c r="D2837" s="2" t="s">
        <v>28</v>
      </c>
      <c r="E2837" s="2" t="n">
        <v>1</v>
      </c>
      <c r="F2837" s="2" t="n">
        <v>4</v>
      </c>
      <c r="G2837" s="2" t="s">
        <v>51</v>
      </c>
      <c r="H2837" s="2" t="n">
        <v>2836</v>
      </c>
      <c r="I2837" s="2" t="s">
        <v>39</v>
      </c>
      <c r="J2837" s="2" t="n">
        <v>1</v>
      </c>
      <c r="K2837" s="2" t="s">
        <v>36</v>
      </c>
      <c r="L2837" s="2" t="s">
        <v>46</v>
      </c>
      <c r="M2837" s="2" t="n">
        <v>25800</v>
      </c>
      <c r="N2837" s="2" t="n">
        <v>8</v>
      </c>
      <c r="O2837" s="2" t="n">
        <v>17</v>
      </c>
      <c r="P2837" s="2" t="n">
        <v>3</v>
      </c>
      <c r="Q2837" s="2" t="n">
        <v>20</v>
      </c>
      <c r="R2837" s="2" t="n">
        <v>3</v>
      </c>
      <c r="S2837" s="2" t="n">
        <v>17</v>
      </c>
      <c r="T2837" s="2" t="n">
        <v>0</v>
      </c>
      <c r="U2837" s="2" t="n">
        <v>15</v>
      </c>
      <c r="V2837" s="2" t="n">
        <v>2</v>
      </c>
      <c r="W2837" s="2" t="n">
        <v>2</v>
      </c>
      <c r="X2837" s="2" t="n">
        <v>1</v>
      </c>
      <c r="Y2837" s="2" t="n">
        <v>3</v>
      </c>
      <c r="Z2837" s="2" t="n">
        <v>3</v>
      </c>
    </row>
    <row r="2838" customFormat="false" ht="15" hidden="false" customHeight="true" outlineLevel="0" collapsed="false">
      <c r="A2838" s="2" t="n">
        <v>32</v>
      </c>
      <c r="B2838" s="2" t="s">
        <v>26</v>
      </c>
      <c r="C2838" s="2" t="s">
        <v>34</v>
      </c>
      <c r="D2838" s="2" t="s">
        <v>28</v>
      </c>
      <c r="E2838" s="2" t="n">
        <v>2</v>
      </c>
      <c r="F2838" s="2" t="n">
        <v>2</v>
      </c>
      <c r="G2838" s="2" t="s">
        <v>29</v>
      </c>
      <c r="H2838" s="2" t="n">
        <v>2837</v>
      </c>
      <c r="I2838" s="2" t="s">
        <v>30</v>
      </c>
      <c r="J2838" s="2" t="n">
        <v>1</v>
      </c>
      <c r="K2838" s="2" t="s">
        <v>47</v>
      </c>
      <c r="L2838" s="2" t="s">
        <v>37</v>
      </c>
      <c r="M2838" s="2" t="n">
        <v>21660</v>
      </c>
      <c r="N2838" s="2" t="n">
        <v>1</v>
      </c>
      <c r="O2838" s="2" t="n">
        <v>19</v>
      </c>
      <c r="P2838" s="2" t="n">
        <v>1</v>
      </c>
      <c r="Q2838" s="2" t="n">
        <v>9</v>
      </c>
      <c r="R2838" s="2" t="n">
        <v>4</v>
      </c>
      <c r="S2838" s="2" t="n">
        <v>9</v>
      </c>
      <c r="T2838" s="2" t="n">
        <v>3</v>
      </c>
      <c r="U2838" s="2" t="n">
        <v>7</v>
      </c>
      <c r="V2838" s="2" t="n">
        <v>2</v>
      </c>
      <c r="W2838" s="2" t="n">
        <v>4</v>
      </c>
      <c r="X2838" s="2" t="n">
        <v>3</v>
      </c>
      <c r="Y2838" s="2" t="n">
        <v>1</v>
      </c>
      <c r="Z2838" s="2" t="n">
        <v>3</v>
      </c>
    </row>
    <row r="2839" customFormat="false" ht="15" hidden="false" customHeight="true" outlineLevel="0" collapsed="false">
      <c r="A2839" s="2" t="n">
        <v>29</v>
      </c>
      <c r="B2839" s="2" t="s">
        <v>26</v>
      </c>
      <c r="C2839" s="2" t="s">
        <v>41</v>
      </c>
      <c r="D2839" s="2" t="s">
        <v>35</v>
      </c>
      <c r="E2839" s="2" t="n">
        <v>10</v>
      </c>
      <c r="F2839" s="2" t="n">
        <v>4</v>
      </c>
      <c r="G2839" s="2" t="s">
        <v>51</v>
      </c>
      <c r="H2839" s="2" t="n">
        <v>2838</v>
      </c>
      <c r="I2839" s="2" t="s">
        <v>39</v>
      </c>
      <c r="J2839" s="2" t="n">
        <v>3</v>
      </c>
      <c r="K2839" s="2" t="s">
        <v>31</v>
      </c>
      <c r="L2839" s="2" t="s">
        <v>32</v>
      </c>
      <c r="M2839" s="2" t="n">
        <v>58690</v>
      </c>
      <c r="N2839" s="2" t="n">
        <v>1</v>
      </c>
      <c r="O2839" s="2" t="n">
        <v>11</v>
      </c>
      <c r="P2839" s="2" t="n">
        <v>1</v>
      </c>
      <c r="Q2839" s="2" t="n">
        <v>10</v>
      </c>
      <c r="R2839" s="2" t="n">
        <v>6</v>
      </c>
      <c r="S2839" s="2" t="n">
        <v>10</v>
      </c>
      <c r="T2839" s="2" t="n">
        <v>0</v>
      </c>
      <c r="U2839" s="2" t="n">
        <v>9</v>
      </c>
      <c r="V2839" s="2" t="n">
        <v>4</v>
      </c>
      <c r="W2839" s="2" t="n">
        <v>3</v>
      </c>
      <c r="X2839" s="2" t="n">
        <v>3</v>
      </c>
      <c r="Y2839" s="2" t="n">
        <v>4</v>
      </c>
      <c r="Z2839" s="2" t="n">
        <v>3</v>
      </c>
    </row>
    <row r="2840" customFormat="false" ht="15" hidden="false" customHeight="true" outlineLevel="0" collapsed="false">
      <c r="A2840" s="2" t="n">
        <v>51</v>
      </c>
      <c r="B2840" s="2" t="s">
        <v>26</v>
      </c>
      <c r="C2840" s="2" t="s">
        <v>27</v>
      </c>
      <c r="D2840" s="2" t="s">
        <v>35</v>
      </c>
      <c r="E2840" s="2" t="n">
        <v>1</v>
      </c>
      <c r="F2840" s="2" t="n">
        <v>3</v>
      </c>
      <c r="G2840" s="2" t="s">
        <v>38</v>
      </c>
      <c r="H2840" s="2" t="n">
        <v>2839</v>
      </c>
      <c r="I2840" s="2" t="s">
        <v>30</v>
      </c>
      <c r="J2840" s="2" t="n">
        <v>3</v>
      </c>
      <c r="K2840" s="2" t="s">
        <v>44</v>
      </c>
      <c r="L2840" s="2" t="s">
        <v>32</v>
      </c>
      <c r="M2840" s="2" t="n">
        <v>80080</v>
      </c>
      <c r="N2840" s="2" t="n">
        <v>2</v>
      </c>
      <c r="O2840" s="2" t="n">
        <v>15</v>
      </c>
      <c r="P2840" s="2" t="n">
        <v>1</v>
      </c>
      <c r="Q2840" s="2" t="n">
        <v>10</v>
      </c>
      <c r="R2840" s="2" t="n">
        <v>4</v>
      </c>
      <c r="S2840" s="2" t="n">
        <v>1</v>
      </c>
      <c r="T2840" s="2" t="n">
        <v>0</v>
      </c>
      <c r="U2840" s="2" t="n">
        <v>0</v>
      </c>
      <c r="V2840" s="2" t="n">
        <v>2</v>
      </c>
      <c r="W2840" s="2" t="n">
        <v>3</v>
      </c>
      <c r="X2840" s="2" t="n">
        <v>3</v>
      </c>
      <c r="Y2840" s="2" t="n">
        <v>3</v>
      </c>
      <c r="Z2840" s="2" t="n">
        <v>3</v>
      </c>
    </row>
    <row r="2841" customFormat="false" ht="15" hidden="false" customHeight="true" outlineLevel="0" collapsed="false">
      <c r="A2841" s="2" t="n">
        <v>58</v>
      </c>
      <c r="B2841" s="2" t="s">
        <v>26</v>
      </c>
      <c r="C2841" s="2" t="s">
        <v>27</v>
      </c>
      <c r="D2841" s="2" t="s">
        <v>28</v>
      </c>
      <c r="E2841" s="2" t="n">
        <v>3</v>
      </c>
      <c r="F2841" s="2" t="n">
        <v>3</v>
      </c>
      <c r="G2841" s="2" t="s">
        <v>50</v>
      </c>
      <c r="H2841" s="2" t="n">
        <v>2840</v>
      </c>
      <c r="I2841" s="2" t="s">
        <v>30</v>
      </c>
      <c r="J2841" s="2" t="n">
        <v>1</v>
      </c>
      <c r="K2841" s="2" t="s">
        <v>36</v>
      </c>
      <c r="L2841" s="2" t="s">
        <v>32</v>
      </c>
      <c r="M2841" s="2" t="n">
        <v>52060</v>
      </c>
      <c r="N2841" s="2" t="n">
        <v>4</v>
      </c>
      <c r="O2841" s="2" t="n">
        <v>11</v>
      </c>
      <c r="P2841" s="2" t="n">
        <v>3</v>
      </c>
      <c r="Q2841" s="2" t="n">
        <v>9</v>
      </c>
      <c r="R2841" s="2" t="n">
        <v>4</v>
      </c>
      <c r="S2841" s="2" t="n">
        <v>1</v>
      </c>
      <c r="T2841" s="2" t="n">
        <v>0</v>
      </c>
      <c r="U2841" s="2" t="n">
        <v>0</v>
      </c>
      <c r="V2841" s="2" t="n">
        <v>2</v>
      </c>
      <c r="W2841" s="2" t="n">
        <v>2</v>
      </c>
      <c r="X2841" s="2" t="n">
        <v>2</v>
      </c>
      <c r="Y2841" s="2" t="n">
        <v>1</v>
      </c>
      <c r="Z2841" s="2" t="n">
        <v>3</v>
      </c>
    </row>
    <row r="2842" customFormat="false" ht="15" hidden="false" customHeight="true" outlineLevel="0" collapsed="false">
      <c r="A2842" s="2" t="n">
        <v>40</v>
      </c>
      <c r="B2842" s="2" t="s">
        <v>26</v>
      </c>
      <c r="C2842" s="2" t="s">
        <v>27</v>
      </c>
      <c r="D2842" s="2" t="s">
        <v>35</v>
      </c>
      <c r="E2842" s="2" t="n">
        <v>11</v>
      </c>
      <c r="F2842" s="2" t="n">
        <v>2</v>
      </c>
      <c r="G2842" s="2" t="s">
        <v>51</v>
      </c>
      <c r="H2842" s="2" t="n">
        <v>2841</v>
      </c>
      <c r="I2842" s="2" t="s">
        <v>39</v>
      </c>
      <c r="J2842" s="2" t="n">
        <v>4</v>
      </c>
      <c r="K2842" s="2" t="s">
        <v>45</v>
      </c>
      <c r="L2842" s="2" t="s">
        <v>32</v>
      </c>
      <c r="M2842" s="2" t="n">
        <v>52950</v>
      </c>
      <c r="N2842" s="2" t="n">
        <v>7</v>
      </c>
      <c r="O2842" s="2" t="n">
        <v>18</v>
      </c>
      <c r="P2842" s="2" t="n">
        <v>0</v>
      </c>
      <c r="Q2842" s="2" t="n">
        <v>15</v>
      </c>
      <c r="R2842" s="2" t="n">
        <v>4</v>
      </c>
      <c r="S2842" s="2" t="n">
        <v>12</v>
      </c>
      <c r="T2842" s="2" t="n">
        <v>2</v>
      </c>
      <c r="U2842" s="2" t="n">
        <v>11</v>
      </c>
      <c r="V2842" s="2" t="n">
        <v>3</v>
      </c>
      <c r="W2842" s="2" t="n">
        <v>4</v>
      </c>
      <c r="X2842" s="2" t="n">
        <v>2</v>
      </c>
      <c r="Y2842" s="2" t="n">
        <v>3</v>
      </c>
      <c r="Z2842" s="2" t="n">
        <v>3</v>
      </c>
    </row>
    <row r="2843" customFormat="false" ht="15" hidden="false" customHeight="true" outlineLevel="0" collapsed="false">
      <c r="A2843" s="2" t="n">
        <v>34</v>
      </c>
      <c r="B2843" s="2" t="s">
        <v>26</v>
      </c>
      <c r="C2843" s="2" t="s">
        <v>34</v>
      </c>
      <c r="D2843" s="2" t="s">
        <v>28</v>
      </c>
      <c r="E2843" s="2" t="n">
        <v>24</v>
      </c>
      <c r="F2843" s="2" t="n">
        <v>4</v>
      </c>
      <c r="G2843" s="2" t="s">
        <v>50</v>
      </c>
      <c r="H2843" s="2" t="n">
        <v>2842</v>
      </c>
      <c r="I2843" s="2" t="s">
        <v>39</v>
      </c>
      <c r="J2843" s="2" t="n">
        <v>2</v>
      </c>
      <c r="K2843" s="2" t="s">
        <v>47</v>
      </c>
      <c r="L2843" s="2" t="s">
        <v>32</v>
      </c>
      <c r="M2843" s="2" t="n">
        <v>164130</v>
      </c>
      <c r="N2843" s="2" t="n">
        <v>6</v>
      </c>
      <c r="O2843" s="2" t="n">
        <v>16</v>
      </c>
      <c r="P2843" s="2" t="n">
        <v>0</v>
      </c>
      <c r="Q2843" s="2" t="n">
        <v>6</v>
      </c>
      <c r="R2843" s="2" t="n">
        <v>1</v>
      </c>
      <c r="S2843" s="2" t="n">
        <v>4</v>
      </c>
      <c r="T2843" s="2" t="n">
        <v>1</v>
      </c>
      <c r="U2843" s="2" t="n">
        <v>2</v>
      </c>
      <c r="V2843" s="2" t="n">
        <v>3</v>
      </c>
      <c r="W2843" s="2" t="n">
        <v>3</v>
      </c>
      <c r="X2843" s="2" t="n">
        <v>3</v>
      </c>
      <c r="Y2843" s="2" t="n">
        <v>3</v>
      </c>
      <c r="Z2843" s="2" t="n">
        <v>3</v>
      </c>
    </row>
    <row r="2844" customFormat="false" ht="15" hidden="false" customHeight="true" outlineLevel="0" collapsed="false">
      <c r="A2844" s="2" t="n">
        <v>22</v>
      </c>
      <c r="B2844" s="2" t="s">
        <v>26</v>
      </c>
      <c r="C2844" s="2" t="s">
        <v>27</v>
      </c>
      <c r="D2844" s="2" t="s">
        <v>35</v>
      </c>
      <c r="E2844" s="2" t="n">
        <v>3</v>
      </c>
      <c r="F2844" s="2" t="n">
        <v>3</v>
      </c>
      <c r="G2844" s="2" t="s">
        <v>43</v>
      </c>
      <c r="H2844" s="2" t="n">
        <v>2843</v>
      </c>
      <c r="I2844" s="2" t="s">
        <v>39</v>
      </c>
      <c r="J2844" s="2" t="n">
        <v>1</v>
      </c>
      <c r="K2844" s="2" t="s">
        <v>45</v>
      </c>
      <c r="L2844" s="2" t="s">
        <v>32</v>
      </c>
      <c r="M2844" s="2" t="n">
        <v>132690</v>
      </c>
      <c r="N2844" s="2" t="n">
        <v>1</v>
      </c>
      <c r="O2844" s="2" t="n">
        <v>25</v>
      </c>
      <c r="P2844" s="2" t="n">
        <v>1</v>
      </c>
      <c r="Q2844" s="2" t="n">
        <v>2</v>
      </c>
      <c r="R2844" s="2" t="n">
        <v>2</v>
      </c>
      <c r="S2844" s="2" t="n">
        <v>2</v>
      </c>
      <c r="T2844" s="2" t="n">
        <v>2</v>
      </c>
      <c r="U2844" s="2" t="n">
        <v>2</v>
      </c>
      <c r="V2844" s="2" t="n">
        <v>3</v>
      </c>
      <c r="W2844" s="2" t="n">
        <v>4</v>
      </c>
      <c r="X2844" s="2" t="n">
        <v>3</v>
      </c>
      <c r="Y2844" s="2" t="n">
        <v>3</v>
      </c>
      <c r="Z2844" s="2" t="n">
        <v>4</v>
      </c>
    </row>
    <row r="2845" customFormat="false" ht="15" hidden="false" customHeight="true" outlineLevel="0" collapsed="false">
      <c r="A2845" s="2" t="n">
        <v>27</v>
      </c>
      <c r="B2845" s="2" t="s">
        <v>26</v>
      </c>
      <c r="C2845" s="2" t="s">
        <v>41</v>
      </c>
      <c r="D2845" s="2" t="s">
        <v>35</v>
      </c>
      <c r="E2845" s="2" t="n">
        <v>3</v>
      </c>
      <c r="F2845" s="2" t="n">
        <v>3</v>
      </c>
      <c r="G2845" s="2" t="s">
        <v>43</v>
      </c>
      <c r="H2845" s="2" t="n">
        <v>2844</v>
      </c>
      <c r="I2845" s="2" t="s">
        <v>39</v>
      </c>
      <c r="J2845" s="2" t="n">
        <v>1</v>
      </c>
      <c r="K2845" s="2" t="s">
        <v>31</v>
      </c>
      <c r="L2845" s="2" t="s">
        <v>46</v>
      </c>
      <c r="M2845" s="2" t="n">
        <v>27830</v>
      </c>
      <c r="N2845" s="2" t="n">
        <v>6</v>
      </c>
      <c r="O2845" s="2" t="n">
        <v>16</v>
      </c>
      <c r="P2845" s="2" t="n">
        <v>1</v>
      </c>
      <c r="Q2845" s="2" t="n">
        <v>6</v>
      </c>
      <c r="R2845" s="2" t="n">
        <v>2</v>
      </c>
      <c r="S2845" s="2" t="n">
        <v>2</v>
      </c>
      <c r="T2845" s="2" t="n">
        <v>2</v>
      </c>
      <c r="U2845" s="2" t="n">
        <v>2</v>
      </c>
      <c r="V2845" s="2" t="n">
        <v>4</v>
      </c>
      <c r="W2845" s="2" t="n">
        <v>2</v>
      </c>
      <c r="X2845" s="2" t="n">
        <v>1</v>
      </c>
      <c r="Y2845" s="2" t="n">
        <v>4</v>
      </c>
      <c r="Z2845" s="2" t="n">
        <v>3</v>
      </c>
    </row>
    <row r="2846" customFormat="false" ht="15" hidden="false" customHeight="true" outlineLevel="0" collapsed="false">
      <c r="A2846" s="2" t="n">
        <v>28</v>
      </c>
      <c r="B2846" s="2" t="s">
        <v>26</v>
      </c>
      <c r="C2846" s="2" t="s">
        <v>27</v>
      </c>
      <c r="D2846" s="2" t="s">
        <v>28</v>
      </c>
      <c r="E2846" s="2" t="n">
        <v>4</v>
      </c>
      <c r="F2846" s="2" t="n">
        <v>4</v>
      </c>
      <c r="G2846" s="2" t="s">
        <v>29</v>
      </c>
      <c r="H2846" s="2" t="n">
        <v>2845</v>
      </c>
      <c r="I2846" s="2" t="s">
        <v>39</v>
      </c>
      <c r="J2846" s="2" t="n">
        <v>2</v>
      </c>
      <c r="K2846" s="2" t="s">
        <v>31</v>
      </c>
      <c r="L2846" s="2" t="s">
        <v>32</v>
      </c>
      <c r="M2846" s="2" t="n">
        <v>54330</v>
      </c>
      <c r="N2846" s="2" t="n">
        <v>1</v>
      </c>
      <c r="O2846" s="2" t="n">
        <v>13</v>
      </c>
      <c r="P2846" s="2" t="n">
        <v>1</v>
      </c>
      <c r="Q2846" s="2" t="n">
        <v>5</v>
      </c>
      <c r="R2846" s="2" t="n">
        <v>4</v>
      </c>
      <c r="S2846" s="2" t="n">
        <v>5</v>
      </c>
      <c r="T2846" s="2" t="n">
        <v>0</v>
      </c>
      <c r="U2846" s="2" t="n">
        <v>2</v>
      </c>
      <c r="V2846" s="2" t="n">
        <v>3</v>
      </c>
      <c r="W2846" s="2" t="n">
        <v>4</v>
      </c>
      <c r="X2846" s="2" t="n">
        <v>1</v>
      </c>
      <c r="Y2846" s="2" t="n">
        <v>2</v>
      </c>
      <c r="Z2846" s="2" t="n">
        <v>3</v>
      </c>
    </row>
    <row r="2847" customFormat="false" ht="15" hidden="false" customHeight="true" outlineLevel="0" collapsed="false">
      <c r="A2847" s="2" t="n">
        <v>57</v>
      </c>
      <c r="B2847" s="2" t="s">
        <v>26</v>
      </c>
      <c r="C2847" s="2" t="s">
        <v>27</v>
      </c>
      <c r="D2847" s="2" t="s">
        <v>35</v>
      </c>
      <c r="E2847" s="2" t="n">
        <v>3</v>
      </c>
      <c r="F2847" s="2" t="n">
        <v>3</v>
      </c>
      <c r="G2847" s="2" t="s">
        <v>29</v>
      </c>
      <c r="H2847" s="2" t="n">
        <v>2846</v>
      </c>
      <c r="I2847" s="2" t="s">
        <v>39</v>
      </c>
      <c r="J2847" s="2" t="n">
        <v>2</v>
      </c>
      <c r="K2847" s="2" t="s">
        <v>47</v>
      </c>
      <c r="L2847" s="2" t="s">
        <v>46</v>
      </c>
      <c r="M2847" s="2" t="n">
        <v>20130</v>
      </c>
      <c r="N2847" s="2" t="n">
        <v>3</v>
      </c>
      <c r="O2847" s="2" t="n">
        <v>14</v>
      </c>
      <c r="P2847" s="2" t="n">
        <v>1</v>
      </c>
      <c r="Q2847" s="2" t="n">
        <v>12</v>
      </c>
      <c r="R2847" s="2" t="n">
        <v>5</v>
      </c>
      <c r="S2847" s="2" t="n">
        <v>5</v>
      </c>
      <c r="T2847" s="2" t="n">
        <v>1</v>
      </c>
      <c r="U2847" s="2" t="n">
        <v>4</v>
      </c>
      <c r="V2847" s="2" t="n">
        <v>3</v>
      </c>
      <c r="W2847" s="2" t="n">
        <v>4</v>
      </c>
      <c r="X2847" s="2" t="n">
        <v>1</v>
      </c>
      <c r="Y2847" s="2" t="n">
        <v>3</v>
      </c>
      <c r="Z2847" s="2" t="n">
        <v>3</v>
      </c>
    </row>
    <row r="2848" customFormat="false" ht="15" hidden="false" customHeight="true" outlineLevel="0" collapsed="false">
      <c r="A2848" s="2" t="n">
        <v>27</v>
      </c>
      <c r="B2848" s="2" t="s">
        <v>26</v>
      </c>
      <c r="C2848" s="2" t="s">
        <v>41</v>
      </c>
      <c r="D2848" s="2" t="s">
        <v>35</v>
      </c>
      <c r="E2848" s="2" t="n">
        <v>2</v>
      </c>
      <c r="F2848" s="2" t="n">
        <v>3</v>
      </c>
      <c r="G2848" s="2" t="s">
        <v>29</v>
      </c>
      <c r="H2848" s="2" t="n">
        <v>2847</v>
      </c>
      <c r="I2848" s="2" t="s">
        <v>39</v>
      </c>
      <c r="J2848" s="2" t="n">
        <v>1</v>
      </c>
      <c r="K2848" s="2" t="s">
        <v>47</v>
      </c>
      <c r="L2848" s="2" t="s">
        <v>46</v>
      </c>
      <c r="M2848" s="2" t="n">
        <v>139660</v>
      </c>
      <c r="N2848" s="2" t="n">
        <v>1</v>
      </c>
      <c r="O2848" s="2" t="n">
        <v>19</v>
      </c>
      <c r="P2848" s="2" t="n">
        <v>0</v>
      </c>
      <c r="Q2848" s="2" t="n">
        <v>1</v>
      </c>
      <c r="R2848" s="2" t="n">
        <v>1</v>
      </c>
      <c r="S2848" s="2" t="n">
        <v>1</v>
      </c>
      <c r="T2848" s="2" t="n">
        <v>0</v>
      </c>
      <c r="U2848" s="2" t="n">
        <v>1</v>
      </c>
      <c r="V2848" s="2" t="n">
        <v>3</v>
      </c>
      <c r="W2848" s="2" t="n">
        <v>3</v>
      </c>
      <c r="X2848" s="2" t="n">
        <v>2</v>
      </c>
      <c r="Y2848" s="2" t="n">
        <v>3</v>
      </c>
      <c r="Z2848" s="2" t="n">
        <v>3</v>
      </c>
    </row>
    <row r="2849" customFormat="false" ht="15" hidden="false" customHeight="true" outlineLevel="0" collapsed="false">
      <c r="A2849" s="2" t="n">
        <v>50</v>
      </c>
      <c r="B2849" s="2" t="s">
        <v>26</v>
      </c>
      <c r="C2849" s="2" t="s">
        <v>27</v>
      </c>
      <c r="D2849" s="2" t="s">
        <v>35</v>
      </c>
      <c r="E2849" s="2" t="n">
        <v>4</v>
      </c>
      <c r="F2849" s="2" t="n">
        <v>3</v>
      </c>
      <c r="G2849" s="2" t="s">
        <v>29</v>
      </c>
      <c r="H2849" s="2" t="n">
        <v>2848</v>
      </c>
      <c r="I2849" s="2" t="s">
        <v>30</v>
      </c>
      <c r="J2849" s="2" t="n">
        <v>2</v>
      </c>
      <c r="K2849" s="2" t="s">
        <v>47</v>
      </c>
      <c r="L2849" s="2" t="s">
        <v>37</v>
      </c>
      <c r="M2849" s="2" t="n">
        <v>43740</v>
      </c>
      <c r="N2849" s="2" t="n">
        <v>3</v>
      </c>
      <c r="O2849" s="2" t="n">
        <v>15</v>
      </c>
      <c r="P2849" s="2" t="n">
        <v>1</v>
      </c>
      <c r="Q2849" s="2" t="n">
        <v>21</v>
      </c>
      <c r="R2849" s="2" t="n">
        <v>5</v>
      </c>
      <c r="S2849" s="2" t="n">
        <v>5</v>
      </c>
      <c r="T2849" s="2" t="n">
        <v>4</v>
      </c>
      <c r="U2849" s="2" t="n">
        <v>4</v>
      </c>
      <c r="V2849" s="2" t="n">
        <v>3</v>
      </c>
      <c r="W2849" s="2" t="n">
        <v>2</v>
      </c>
      <c r="X2849" s="2" t="n">
        <v>3</v>
      </c>
      <c r="Y2849" s="2" t="n">
        <v>4</v>
      </c>
      <c r="Z2849" s="2" t="n">
        <v>3</v>
      </c>
    </row>
    <row r="2850" customFormat="false" ht="15" hidden="false" customHeight="true" outlineLevel="0" collapsed="false">
      <c r="A2850" s="2" t="n">
        <v>41</v>
      </c>
      <c r="B2850" s="2" t="s">
        <v>26</v>
      </c>
      <c r="C2850" s="2" t="s">
        <v>27</v>
      </c>
      <c r="D2850" s="2" t="s">
        <v>28</v>
      </c>
      <c r="E2850" s="2" t="n">
        <v>7</v>
      </c>
      <c r="F2850" s="2" t="n">
        <v>4</v>
      </c>
      <c r="G2850" s="2" t="s">
        <v>50</v>
      </c>
      <c r="H2850" s="2" t="n">
        <v>2849</v>
      </c>
      <c r="I2850" s="2" t="s">
        <v>39</v>
      </c>
      <c r="J2850" s="2" t="n">
        <v>4</v>
      </c>
      <c r="K2850" s="2" t="s">
        <v>45</v>
      </c>
      <c r="L2850" s="2" t="s">
        <v>46</v>
      </c>
      <c r="M2850" s="2" t="n">
        <v>68420</v>
      </c>
      <c r="N2850" s="2" t="n">
        <v>4</v>
      </c>
      <c r="O2850" s="2" t="n">
        <v>12</v>
      </c>
      <c r="P2850" s="2" t="n">
        <v>1</v>
      </c>
      <c r="Q2850" s="2" t="n">
        <v>13</v>
      </c>
      <c r="R2850" s="2" t="n">
        <v>3</v>
      </c>
      <c r="S2850" s="2" t="n">
        <v>9</v>
      </c>
      <c r="T2850" s="2" t="n">
        <v>1</v>
      </c>
      <c r="U2850" s="2" t="n">
        <v>8</v>
      </c>
      <c r="V2850" s="2" t="n">
        <v>1</v>
      </c>
      <c r="W2850" s="2" t="n">
        <v>3</v>
      </c>
      <c r="X2850" s="2" t="n">
        <v>3</v>
      </c>
      <c r="Y2850" s="2" t="n">
        <v>3</v>
      </c>
      <c r="Z2850" s="2" t="n">
        <v>3</v>
      </c>
    </row>
    <row r="2851" customFormat="false" ht="15" hidden="false" customHeight="true" outlineLevel="0" collapsed="false">
      <c r="A2851" s="2" t="n">
        <v>30</v>
      </c>
      <c r="B2851" s="2" t="s">
        <v>26</v>
      </c>
      <c r="C2851" s="2" t="s">
        <v>27</v>
      </c>
      <c r="D2851" s="2" t="s">
        <v>42</v>
      </c>
      <c r="E2851" s="2" t="n">
        <v>1</v>
      </c>
      <c r="F2851" s="2" t="n">
        <v>4</v>
      </c>
      <c r="G2851" s="2" t="s">
        <v>42</v>
      </c>
      <c r="H2851" s="2" t="n">
        <v>2850</v>
      </c>
      <c r="I2851" s="2" t="s">
        <v>30</v>
      </c>
      <c r="J2851" s="2" t="n">
        <v>1</v>
      </c>
      <c r="K2851" s="2" t="s">
        <v>49</v>
      </c>
      <c r="L2851" s="2" t="s">
        <v>32</v>
      </c>
      <c r="M2851" s="2" t="n">
        <v>174260</v>
      </c>
      <c r="N2851" s="2" t="n">
        <v>2</v>
      </c>
      <c r="O2851" s="2" t="n">
        <v>12</v>
      </c>
      <c r="P2851" s="2" t="n">
        <v>1</v>
      </c>
      <c r="Q2851" s="2" t="n">
        <v>12</v>
      </c>
      <c r="R2851" s="2" t="n">
        <v>0</v>
      </c>
      <c r="S2851" s="2" t="n">
        <v>10</v>
      </c>
      <c r="T2851" s="2" t="n">
        <v>7</v>
      </c>
      <c r="U2851" s="2" t="n">
        <v>4</v>
      </c>
      <c r="V2851" s="2" t="n">
        <v>2</v>
      </c>
      <c r="W2851" s="2" t="n">
        <v>4</v>
      </c>
      <c r="X2851" s="2" t="n">
        <v>3</v>
      </c>
      <c r="Y2851" s="2" t="n">
        <v>2</v>
      </c>
      <c r="Z2851" s="2" t="n">
        <v>3</v>
      </c>
    </row>
    <row r="2852" customFormat="false" ht="15" hidden="false" customHeight="true" outlineLevel="0" collapsed="false">
      <c r="A2852" s="2" t="n">
        <v>38</v>
      </c>
      <c r="B2852" s="2" t="s">
        <v>26</v>
      </c>
      <c r="C2852" s="2" t="s">
        <v>27</v>
      </c>
      <c r="D2852" s="2" t="s">
        <v>28</v>
      </c>
      <c r="E2852" s="2" t="n">
        <v>1</v>
      </c>
      <c r="F2852" s="2" t="n">
        <v>1</v>
      </c>
      <c r="G2852" s="2" t="s">
        <v>43</v>
      </c>
      <c r="H2852" s="2" t="n">
        <v>2851</v>
      </c>
      <c r="I2852" s="2" t="s">
        <v>39</v>
      </c>
      <c r="J2852" s="2" t="n">
        <v>2</v>
      </c>
      <c r="K2852" s="2" t="s">
        <v>45</v>
      </c>
      <c r="L2852" s="2" t="s">
        <v>37</v>
      </c>
      <c r="M2852" s="2" t="n">
        <v>176030</v>
      </c>
      <c r="N2852" s="2" t="n">
        <v>4</v>
      </c>
      <c r="O2852" s="2" t="n">
        <v>16</v>
      </c>
      <c r="P2852" s="2" t="n">
        <v>0</v>
      </c>
      <c r="Q2852" s="2" t="n">
        <v>12</v>
      </c>
      <c r="R2852" s="2" t="n">
        <v>0</v>
      </c>
      <c r="S2852" s="2" t="n">
        <v>8</v>
      </c>
      <c r="T2852" s="2" t="n">
        <v>0</v>
      </c>
      <c r="U2852" s="2" t="n">
        <v>7</v>
      </c>
      <c r="V2852" s="2" t="n">
        <v>1</v>
      </c>
      <c r="W2852" s="2" t="n">
        <v>4</v>
      </c>
      <c r="X2852" s="2" t="n">
        <v>4</v>
      </c>
      <c r="Y2852" s="2" t="n">
        <v>2</v>
      </c>
      <c r="Z2852" s="2" t="n">
        <v>3</v>
      </c>
    </row>
    <row r="2853" customFormat="false" ht="15" hidden="false" customHeight="true" outlineLevel="0" collapsed="false">
      <c r="A2853" s="2" t="n">
        <v>32</v>
      </c>
      <c r="B2853" s="2" t="s">
        <v>26</v>
      </c>
      <c r="C2853" s="2" t="s">
        <v>27</v>
      </c>
      <c r="D2853" s="2" t="s">
        <v>35</v>
      </c>
      <c r="E2853" s="2" t="n">
        <v>20</v>
      </c>
      <c r="F2853" s="2" t="n">
        <v>3</v>
      </c>
      <c r="G2853" s="2" t="s">
        <v>43</v>
      </c>
      <c r="H2853" s="2" t="n">
        <v>2852</v>
      </c>
      <c r="I2853" s="2" t="s">
        <v>30</v>
      </c>
      <c r="J2853" s="2" t="n">
        <v>1</v>
      </c>
      <c r="K2853" s="2" t="s">
        <v>47</v>
      </c>
      <c r="L2853" s="2" t="s">
        <v>37</v>
      </c>
      <c r="M2853" s="2" t="n">
        <v>45810</v>
      </c>
      <c r="N2853" s="2" t="n">
        <v>3</v>
      </c>
      <c r="O2853" s="2" t="n">
        <v>14</v>
      </c>
      <c r="P2853" s="2" t="n">
        <v>1</v>
      </c>
      <c r="Q2853" s="2" t="n">
        <v>8</v>
      </c>
      <c r="R2853" s="2" t="n">
        <v>3</v>
      </c>
      <c r="S2853" s="2" t="n">
        <v>5</v>
      </c>
      <c r="T2853" s="2" t="n">
        <v>1</v>
      </c>
      <c r="U2853" s="2" t="n">
        <v>4</v>
      </c>
      <c r="V2853" s="2" t="n">
        <v>3</v>
      </c>
      <c r="W2853" s="2" t="n">
        <v>3</v>
      </c>
      <c r="X2853" s="2" t="n">
        <v>3</v>
      </c>
      <c r="Y2853" s="2" t="n">
        <v>3</v>
      </c>
      <c r="Z2853" s="2" t="n">
        <v>3</v>
      </c>
    </row>
    <row r="2854" customFormat="false" ht="15" hidden="false" customHeight="true" outlineLevel="0" collapsed="false">
      <c r="A2854" s="2" t="n">
        <v>27</v>
      </c>
      <c r="B2854" s="2" t="s">
        <v>26</v>
      </c>
      <c r="C2854" s="2" t="s">
        <v>27</v>
      </c>
      <c r="D2854" s="2" t="s">
        <v>35</v>
      </c>
      <c r="E2854" s="2" t="n">
        <v>5</v>
      </c>
      <c r="F2854" s="2" t="n">
        <v>4</v>
      </c>
      <c r="G2854" s="2" t="s">
        <v>43</v>
      </c>
      <c r="H2854" s="2" t="n">
        <v>2853</v>
      </c>
      <c r="I2854" s="2" t="s">
        <v>39</v>
      </c>
      <c r="J2854" s="2" t="n">
        <v>2</v>
      </c>
      <c r="K2854" s="2" t="s">
        <v>31</v>
      </c>
      <c r="L2854" s="2" t="s">
        <v>32</v>
      </c>
      <c r="M2854" s="2" t="n">
        <v>47350</v>
      </c>
      <c r="N2854" s="2" t="n">
        <v>0</v>
      </c>
      <c r="O2854" s="2" t="n">
        <v>13</v>
      </c>
      <c r="P2854" s="2" t="n">
        <v>0</v>
      </c>
      <c r="Q2854" s="2" t="n">
        <v>6</v>
      </c>
      <c r="R2854" s="2" t="n">
        <v>2</v>
      </c>
      <c r="S2854" s="2" t="n">
        <v>5</v>
      </c>
      <c r="T2854" s="2" t="n">
        <v>1</v>
      </c>
      <c r="U2854" s="2" t="n">
        <v>1</v>
      </c>
      <c r="V2854" s="2" t="n">
        <v>3</v>
      </c>
      <c r="W2854" s="2" t="n">
        <v>2</v>
      </c>
      <c r="X2854" s="2" t="n">
        <v>2</v>
      </c>
      <c r="Y2854" s="2" t="n">
        <v>3</v>
      </c>
      <c r="Z2854" s="2" t="n">
        <v>3</v>
      </c>
    </row>
    <row r="2855" customFormat="false" ht="15" hidden="false" customHeight="true" outlineLevel="0" collapsed="false">
      <c r="A2855" s="2" t="n">
        <v>19</v>
      </c>
      <c r="B2855" s="2" t="s">
        <v>33</v>
      </c>
      <c r="C2855" s="2" t="s">
        <v>34</v>
      </c>
      <c r="D2855" s="2" t="s">
        <v>35</v>
      </c>
      <c r="E2855" s="2" t="n">
        <v>10</v>
      </c>
      <c r="F2855" s="2" t="n">
        <v>2</v>
      </c>
      <c r="G2855" s="2" t="s">
        <v>29</v>
      </c>
      <c r="H2855" s="2" t="n">
        <v>2854</v>
      </c>
      <c r="I2855" s="2" t="s">
        <v>39</v>
      </c>
      <c r="J2855" s="2" t="n">
        <v>2</v>
      </c>
      <c r="K2855" s="2" t="s">
        <v>31</v>
      </c>
      <c r="L2855" s="2" t="s">
        <v>37</v>
      </c>
      <c r="M2855" s="2" t="n">
        <v>41870</v>
      </c>
      <c r="N2855" s="2" t="n">
        <v>0</v>
      </c>
      <c r="O2855" s="2" t="n">
        <v>22</v>
      </c>
      <c r="P2855" s="2" t="n">
        <v>1</v>
      </c>
      <c r="Q2855" s="2" t="n">
        <v>1</v>
      </c>
      <c r="R2855" s="2" t="n">
        <v>4</v>
      </c>
      <c r="S2855" s="2" t="n">
        <v>0</v>
      </c>
      <c r="T2855" s="2" t="n">
        <v>0</v>
      </c>
      <c r="U2855" s="2" t="n">
        <v>0</v>
      </c>
      <c r="V2855" s="2" t="n">
        <v>3</v>
      </c>
      <c r="W2855" s="2" t="n">
        <v>1</v>
      </c>
      <c r="X2855" s="2" t="n">
        <v>4</v>
      </c>
      <c r="Y2855" s="2" t="n">
        <v>3</v>
      </c>
      <c r="Z2855" s="2" t="n">
        <v>4</v>
      </c>
    </row>
    <row r="2856" customFormat="false" ht="15" hidden="false" customHeight="true" outlineLevel="0" collapsed="false">
      <c r="A2856" s="2" t="n">
        <v>36</v>
      </c>
      <c r="B2856" s="2" t="s">
        <v>26</v>
      </c>
      <c r="C2856" s="2" t="s">
        <v>34</v>
      </c>
      <c r="D2856" s="2" t="s">
        <v>28</v>
      </c>
      <c r="E2856" s="2" t="n">
        <v>25</v>
      </c>
      <c r="F2856" s="2" t="n">
        <v>3</v>
      </c>
      <c r="G2856" s="2" t="s">
        <v>50</v>
      </c>
      <c r="H2856" s="2" t="n">
        <v>2855</v>
      </c>
      <c r="I2856" s="2" t="s">
        <v>30</v>
      </c>
      <c r="J2856" s="2" t="n">
        <v>2</v>
      </c>
      <c r="K2856" s="2" t="s">
        <v>44</v>
      </c>
      <c r="L2856" s="2" t="s">
        <v>37</v>
      </c>
      <c r="M2856" s="2" t="n">
        <v>55050</v>
      </c>
      <c r="N2856" s="2" t="n">
        <v>4</v>
      </c>
      <c r="O2856" s="2" t="n">
        <v>21</v>
      </c>
      <c r="P2856" s="2" t="n">
        <v>2</v>
      </c>
      <c r="Q2856" s="2" t="n">
        <v>13</v>
      </c>
      <c r="R2856" s="2" t="n">
        <v>3</v>
      </c>
      <c r="S2856" s="2" t="n">
        <v>8</v>
      </c>
      <c r="T2856" s="2" t="n">
        <v>7</v>
      </c>
      <c r="U2856" s="2" t="n">
        <v>2</v>
      </c>
      <c r="V2856" s="2" t="n">
        <v>4</v>
      </c>
      <c r="W2856" s="2" t="n">
        <v>2</v>
      </c>
      <c r="X2856" s="2" t="n">
        <v>2</v>
      </c>
      <c r="Y2856" s="2" t="n">
        <v>3</v>
      </c>
      <c r="Z2856" s="2" t="n">
        <v>4</v>
      </c>
    </row>
    <row r="2857" customFormat="false" ht="15" hidden="false" customHeight="true" outlineLevel="0" collapsed="false">
      <c r="A2857" s="2" t="n">
        <v>30</v>
      </c>
      <c r="B2857" s="2" t="s">
        <v>26</v>
      </c>
      <c r="C2857" s="2" t="s">
        <v>41</v>
      </c>
      <c r="D2857" s="2" t="s">
        <v>28</v>
      </c>
      <c r="E2857" s="2" t="n">
        <v>1</v>
      </c>
      <c r="F2857" s="2" t="n">
        <v>3</v>
      </c>
      <c r="G2857" s="2" t="s">
        <v>43</v>
      </c>
      <c r="H2857" s="2" t="n">
        <v>2856</v>
      </c>
      <c r="I2857" s="2" t="s">
        <v>30</v>
      </c>
      <c r="J2857" s="2" t="n">
        <v>1</v>
      </c>
      <c r="K2857" s="2" t="s">
        <v>40</v>
      </c>
      <c r="L2857" s="2" t="s">
        <v>46</v>
      </c>
      <c r="M2857" s="2" t="n">
        <v>54700</v>
      </c>
      <c r="N2857" s="2" t="n">
        <v>1</v>
      </c>
      <c r="O2857" s="2" t="n">
        <v>18</v>
      </c>
      <c r="P2857" s="2" t="n">
        <v>1</v>
      </c>
      <c r="Q2857" s="2" t="n">
        <v>12</v>
      </c>
      <c r="R2857" s="2" t="n">
        <v>2</v>
      </c>
      <c r="S2857" s="2" t="n">
        <v>12</v>
      </c>
      <c r="T2857" s="2" t="n">
        <v>6</v>
      </c>
      <c r="U2857" s="2" t="n">
        <v>10</v>
      </c>
      <c r="V2857" s="2" t="n">
        <v>3</v>
      </c>
      <c r="W2857" s="2" t="n">
        <v>1</v>
      </c>
      <c r="X2857" s="2" t="n">
        <v>3</v>
      </c>
      <c r="Y2857" s="2" t="n">
        <v>3</v>
      </c>
      <c r="Z2857" s="2" t="n">
        <v>3</v>
      </c>
    </row>
    <row r="2858" customFormat="false" ht="15" hidden="false" customHeight="true" outlineLevel="0" collapsed="false">
      <c r="A2858" s="2" t="n">
        <v>45</v>
      </c>
      <c r="B2858" s="2" t="s">
        <v>26</v>
      </c>
      <c r="C2858" s="2" t="s">
        <v>27</v>
      </c>
      <c r="D2858" s="2" t="s">
        <v>35</v>
      </c>
      <c r="E2858" s="2" t="n">
        <v>24</v>
      </c>
      <c r="F2858" s="2" t="n">
        <v>2</v>
      </c>
      <c r="G2858" s="2" t="s">
        <v>43</v>
      </c>
      <c r="H2858" s="2" t="n">
        <v>2857</v>
      </c>
      <c r="I2858" s="2" t="s">
        <v>39</v>
      </c>
      <c r="J2858" s="2" t="n">
        <v>2</v>
      </c>
      <c r="K2858" s="2" t="s">
        <v>40</v>
      </c>
      <c r="L2858" s="2" t="s">
        <v>46</v>
      </c>
      <c r="M2858" s="2" t="n">
        <v>54760</v>
      </c>
      <c r="N2858" s="2" t="n">
        <v>4</v>
      </c>
      <c r="O2858" s="2" t="n">
        <v>13</v>
      </c>
      <c r="P2858" s="2" t="n">
        <v>1</v>
      </c>
      <c r="Q2858" s="2" t="n">
        <v>9</v>
      </c>
      <c r="R2858" s="2" t="n">
        <v>3</v>
      </c>
      <c r="S2858" s="2" t="n">
        <v>5</v>
      </c>
      <c r="T2858" s="2" t="n">
        <v>0</v>
      </c>
      <c r="U2858" s="2" t="n">
        <v>3</v>
      </c>
      <c r="V2858" s="2" t="n">
        <v>3</v>
      </c>
      <c r="W2858" s="2" t="n">
        <v>1</v>
      </c>
      <c r="X2858" s="2" t="n">
        <v>4</v>
      </c>
      <c r="Y2858" s="2" t="n">
        <v>3</v>
      </c>
      <c r="Z2858" s="2" t="n">
        <v>3</v>
      </c>
    </row>
    <row r="2859" customFormat="false" ht="15" hidden="false" customHeight="true" outlineLevel="0" collapsed="false">
      <c r="A2859" s="2" t="n">
        <v>56</v>
      </c>
      <c r="B2859" s="2" t="s">
        <v>26</v>
      </c>
      <c r="C2859" s="2" t="s">
        <v>27</v>
      </c>
      <c r="D2859" s="2" t="s">
        <v>35</v>
      </c>
      <c r="E2859" s="2" t="n">
        <v>4</v>
      </c>
      <c r="F2859" s="2" t="n">
        <v>3</v>
      </c>
      <c r="G2859" s="2" t="s">
        <v>29</v>
      </c>
      <c r="H2859" s="2" t="n">
        <v>2858</v>
      </c>
      <c r="I2859" s="2" t="s">
        <v>39</v>
      </c>
      <c r="J2859" s="2" t="n">
        <v>4</v>
      </c>
      <c r="K2859" s="2" t="s">
        <v>49</v>
      </c>
      <c r="L2859" s="2" t="s">
        <v>46</v>
      </c>
      <c r="M2859" s="2" t="n">
        <v>25870</v>
      </c>
      <c r="N2859" s="2" t="n">
        <v>4</v>
      </c>
      <c r="O2859" s="2" t="n">
        <v>12</v>
      </c>
      <c r="P2859" s="2" t="n">
        <v>0</v>
      </c>
      <c r="Q2859" s="2" t="n">
        <v>19</v>
      </c>
      <c r="R2859" s="2" t="n">
        <v>2</v>
      </c>
      <c r="S2859" s="2" t="n">
        <v>2</v>
      </c>
      <c r="T2859" s="2" t="n">
        <v>2</v>
      </c>
      <c r="U2859" s="2" t="n">
        <v>2</v>
      </c>
      <c r="V2859" s="2" t="n">
        <v>3</v>
      </c>
      <c r="W2859" s="2" t="n">
        <v>1</v>
      </c>
      <c r="X2859" s="2" t="n">
        <v>3</v>
      </c>
      <c r="Y2859" s="2" t="n">
        <v>2</v>
      </c>
      <c r="Z2859" s="2" t="n">
        <v>3</v>
      </c>
    </row>
    <row r="2860" customFormat="false" ht="15" hidden="false" customHeight="true" outlineLevel="0" collapsed="false">
      <c r="A2860" s="2" t="n">
        <v>33</v>
      </c>
      <c r="B2860" s="2" t="s">
        <v>26</v>
      </c>
      <c r="C2860" s="2" t="s">
        <v>27</v>
      </c>
      <c r="D2860" s="2" t="s">
        <v>35</v>
      </c>
      <c r="E2860" s="2" t="n">
        <v>2</v>
      </c>
      <c r="F2860" s="2" t="n">
        <v>2</v>
      </c>
      <c r="G2860" s="2" t="s">
        <v>43</v>
      </c>
      <c r="H2860" s="2" t="n">
        <v>2859</v>
      </c>
      <c r="I2860" s="2" t="s">
        <v>39</v>
      </c>
      <c r="J2860" s="2" t="n">
        <v>1</v>
      </c>
      <c r="K2860" s="2" t="s">
        <v>40</v>
      </c>
      <c r="L2860" s="2" t="s">
        <v>37</v>
      </c>
      <c r="M2860" s="2" t="n">
        <v>24400</v>
      </c>
      <c r="N2860" s="2" t="n">
        <v>0</v>
      </c>
      <c r="O2860" s="2" t="n">
        <v>18</v>
      </c>
      <c r="P2860" s="2" t="n">
        <v>3</v>
      </c>
      <c r="Q2860" s="2" t="n">
        <v>4</v>
      </c>
      <c r="R2860" s="2" t="n">
        <v>4</v>
      </c>
      <c r="S2860" s="2" t="n">
        <v>3</v>
      </c>
      <c r="T2860" s="2" t="n">
        <v>0</v>
      </c>
      <c r="U2860" s="2" t="n">
        <v>2</v>
      </c>
      <c r="V2860" s="2" t="n">
        <v>3</v>
      </c>
      <c r="W2860" s="2" t="n">
        <v>4</v>
      </c>
      <c r="X2860" s="2" t="n">
        <v>4</v>
      </c>
      <c r="Y2860" s="2" t="n">
        <v>3</v>
      </c>
      <c r="Z2860" s="2" t="n">
        <v>3</v>
      </c>
    </row>
    <row r="2861" customFormat="false" ht="15" hidden="false" customHeight="true" outlineLevel="0" collapsed="false">
      <c r="A2861" s="2" t="n">
        <v>19</v>
      </c>
      <c r="B2861" s="2" t="s">
        <v>33</v>
      </c>
      <c r="C2861" s="2" t="s">
        <v>27</v>
      </c>
      <c r="D2861" s="2" t="s">
        <v>35</v>
      </c>
      <c r="E2861" s="2" t="n">
        <v>8</v>
      </c>
      <c r="F2861" s="2" t="n">
        <v>2</v>
      </c>
      <c r="G2861" s="2" t="s">
        <v>29</v>
      </c>
      <c r="H2861" s="2" t="n">
        <v>2860</v>
      </c>
      <c r="I2861" s="2" t="s">
        <v>39</v>
      </c>
      <c r="J2861" s="2" t="n">
        <v>2</v>
      </c>
      <c r="K2861" s="2" t="s">
        <v>40</v>
      </c>
      <c r="L2861" s="2" t="s">
        <v>37</v>
      </c>
      <c r="M2861" s="2" t="n">
        <v>159720</v>
      </c>
      <c r="N2861" s="2" t="n">
        <v>1</v>
      </c>
      <c r="O2861" s="2" t="n">
        <v>21</v>
      </c>
      <c r="P2861" s="2" t="n">
        <v>0</v>
      </c>
      <c r="Q2861" s="2" t="n">
        <v>1</v>
      </c>
      <c r="R2861" s="2" t="n">
        <v>2</v>
      </c>
      <c r="S2861" s="2" t="n">
        <v>1</v>
      </c>
      <c r="T2861" s="2" t="n">
        <v>1</v>
      </c>
      <c r="U2861" s="2" t="n">
        <v>0</v>
      </c>
      <c r="V2861" s="2" t="n">
        <v>2</v>
      </c>
      <c r="W2861" s="2" t="n">
        <v>4</v>
      </c>
      <c r="X2861" s="2" t="n">
        <v>2</v>
      </c>
      <c r="Y2861" s="2" t="n">
        <v>3</v>
      </c>
      <c r="Z2861" s="2" t="n">
        <v>4</v>
      </c>
    </row>
    <row r="2862" customFormat="false" ht="15" hidden="false" customHeight="true" outlineLevel="0" collapsed="false">
      <c r="A2862" s="2" t="n">
        <v>46</v>
      </c>
      <c r="B2862" s="2" t="s">
        <v>26</v>
      </c>
      <c r="C2862" s="2" t="s">
        <v>27</v>
      </c>
      <c r="D2862" s="2" t="s">
        <v>35</v>
      </c>
      <c r="E2862" s="2" t="n">
        <v>10</v>
      </c>
      <c r="F2862" s="2" t="n">
        <v>3</v>
      </c>
      <c r="G2862" s="2" t="s">
        <v>51</v>
      </c>
      <c r="H2862" s="2" t="n">
        <v>2861</v>
      </c>
      <c r="I2862" s="2" t="s">
        <v>30</v>
      </c>
      <c r="J2862" s="2" t="n">
        <v>2</v>
      </c>
      <c r="K2862" s="2" t="s">
        <v>45</v>
      </c>
      <c r="L2862" s="2" t="s">
        <v>46</v>
      </c>
      <c r="M2862" s="2" t="n">
        <v>153790</v>
      </c>
      <c r="N2862" s="2" t="n">
        <v>1</v>
      </c>
      <c r="O2862" s="2" t="n">
        <v>12</v>
      </c>
      <c r="P2862" s="2" t="n">
        <v>0</v>
      </c>
      <c r="Q2862" s="2" t="n">
        <v>24</v>
      </c>
      <c r="R2862" s="2" t="n">
        <v>1</v>
      </c>
      <c r="S2862" s="2" t="n">
        <v>24</v>
      </c>
      <c r="T2862" s="2" t="n">
        <v>15</v>
      </c>
      <c r="U2862" s="2" t="n">
        <v>7</v>
      </c>
      <c r="V2862" s="2" t="n">
        <v>2</v>
      </c>
      <c r="W2862" s="2" t="n">
        <v>1</v>
      </c>
      <c r="X2862" s="2" t="n">
        <v>3</v>
      </c>
      <c r="Y2862" s="2" t="n">
        <v>1</v>
      </c>
      <c r="Z2862" s="2" t="n">
        <v>3</v>
      </c>
    </row>
    <row r="2863" customFormat="false" ht="15" hidden="false" customHeight="true" outlineLevel="0" collapsed="false">
      <c r="A2863" s="2" t="n">
        <v>38</v>
      </c>
      <c r="B2863" s="2" t="s">
        <v>26</v>
      </c>
      <c r="C2863" s="2" t="s">
        <v>27</v>
      </c>
      <c r="D2863" s="2" t="s">
        <v>28</v>
      </c>
      <c r="E2863" s="2" t="n">
        <v>4</v>
      </c>
      <c r="F2863" s="2" t="n">
        <v>4</v>
      </c>
      <c r="G2863" s="2" t="s">
        <v>29</v>
      </c>
      <c r="H2863" s="2" t="n">
        <v>2862</v>
      </c>
      <c r="I2863" s="2" t="s">
        <v>39</v>
      </c>
      <c r="J2863" s="2" t="n">
        <v>1</v>
      </c>
      <c r="K2863" s="2" t="s">
        <v>47</v>
      </c>
      <c r="L2863" s="2" t="s">
        <v>37</v>
      </c>
      <c r="M2863" s="2" t="n">
        <v>70820</v>
      </c>
      <c r="N2863" s="2" t="n">
        <v>1</v>
      </c>
      <c r="O2863" s="2" t="n">
        <v>14</v>
      </c>
      <c r="P2863" s="2" t="n">
        <v>0</v>
      </c>
      <c r="Q2863" s="2" t="n">
        <v>2</v>
      </c>
      <c r="R2863" s="2" t="n">
        <v>3</v>
      </c>
      <c r="S2863" s="2" t="n">
        <v>2</v>
      </c>
      <c r="T2863" s="2" t="n">
        <v>2</v>
      </c>
      <c r="U2863" s="2" t="n">
        <v>1</v>
      </c>
      <c r="V2863" s="2" t="n">
        <v>3</v>
      </c>
      <c r="W2863" s="2" t="n">
        <v>4</v>
      </c>
      <c r="X2863" s="2" t="n">
        <v>3</v>
      </c>
      <c r="Y2863" s="2" t="n">
        <v>4</v>
      </c>
      <c r="Z2863" s="2" t="n">
        <v>3</v>
      </c>
    </row>
    <row r="2864" customFormat="false" ht="15" hidden="false" customHeight="true" outlineLevel="0" collapsed="false">
      <c r="A2864" s="2" t="n">
        <v>31</v>
      </c>
      <c r="B2864" s="2" t="s">
        <v>26</v>
      </c>
      <c r="C2864" s="2" t="s">
        <v>27</v>
      </c>
      <c r="D2864" s="2" t="s">
        <v>28</v>
      </c>
      <c r="E2864" s="2" t="n">
        <v>2</v>
      </c>
      <c r="F2864" s="2" t="n">
        <v>5</v>
      </c>
      <c r="G2864" s="2" t="s">
        <v>29</v>
      </c>
      <c r="H2864" s="2" t="n">
        <v>2863</v>
      </c>
      <c r="I2864" s="2" t="s">
        <v>39</v>
      </c>
      <c r="J2864" s="2" t="n">
        <v>2</v>
      </c>
      <c r="K2864" s="2" t="s">
        <v>48</v>
      </c>
      <c r="L2864" s="2" t="s">
        <v>32</v>
      </c>
      <c r="M2864" s="2" t="n">
        <v>27280</v>
      </c>
      <c r="N2864" s="2" t="n">
        <v>8</v>
      </c>
      <c r="O2864" s="2" t="n">
        <v>11</v>
      </c>
      <c r="P2864" s="2" t="n">
        <v>0</v>
      </c>
      <c r="Q2864" s="2" t="n">
        <v>7</v>
      </c>
      <c r="R2864" s="2" t="n">
        <v>3</v>
      </c>
      <c r="S2864" s="2" t="n">
        <v>4</v>
      </c>
      <c r="T2864" s="2" t="n">
        <v>0</v>
      </c>
      <c r="U2864" s="2" t="n">
        <v>2</v>
      </c>
      <c r="V2864" s="2" t="n">
        <v>3</v>
      </c>
      <c r="W2864" s="2" t="n">
        <v>4</v>
      </c>
      <c r="X2864" s="2" t="n">
        <v>3</v>
      </c>
      <c r="Y2864" s="2" t="n">
        <v>4</v>
      </c>
      <c r="Z2864" s="2" t="n">
        <v>3</v>
      </c>
    </row>
    <row r="2865" customFormat="false" ht="15" hidden="false" customHeight="true" outlineLevel="0" collapsed="false">
      <c r="A2865" s="2" t="n">
        <v>34</v>
      </c>
      <c r="B2865" s="2" t="s">
        <v>26</v>
      </c>
      <c r="C2865" s="2" t="s">
        <v>27</v>
      </c>
      <c r="D2865" s="2" t="s">
        <v>28</v>
      </c>
      <c r="E2865" s="2" t="n">
        <v>9</v>
      </c>
      <c r="F2865" s="2" t="n">
        <v>3</v>
      </c>
      <c r="G2865" s="2" t="s">
        <v>50</v>
      </c>
      <c r="H2865" s="2" t="n">
        <v>2864</v>
      </c>
      <c r="I2865" s="2" t="s">
        <v>30</v>
      </c>
      <c r="J2865" s="2" t="n">
        <v>2</v>
      </c>
      <c r="K2865" s="2" t="s">
        <v>49</v>
      </c>
      <c r="L2865" s="2" t="s">
        <v>37</v>
      </c>
      <c r="M2865" s="2" t="n">
        <v>53680</v>
      </c>
      <c r="N2865" s="2" t="n">
        <v>2</v>
      </c>
      <c r="O2865" s="2" t="n">
        <v>14</v>
      </c>
      <c r="P2865" s="2" t="n">
        <v>1</v>
      </c>
      <c r="Q2865" s="2" t="n">
        <v>9</v>
      </c>
      <c r="R2865" s="2" t="n">
        <v>2</v>
      </c>
      <c r="S2865" s="2" t="n">
        <v>3</v>
      </c>
      <c r="T2865" s="2" t="n">
        <v>1</v>
      </c>
      <c r="U2865" s="2" t="n">
        <v>2</v>
      </c>
      <c r="V2865" s="2" t="n">
        <v>4</v>
      </c>
      <c r="W2865" s="2" t="n">
        <v>2</v>
      </c>
      <c r="X2865" s="2" t="n">
        <v>3</v>
      </c>
      <c r="Y2865" s="2" t="n">
        <v>3</v>
      </c>
      <c r="Z2865" s="2" t="n">
        <v>3</v>
      </c>
    </row>
    <row r="2866" customFormat="false" ht="15" hidden="false" customHeight="true" outlineLevel="0" collapsed="false">
      <c r="A2866" s="2" t="n">
        <v>41</v>
      </c>
      <c r="B2866" s="2" t="s">
        <v>33</v>
      </c>
      <c r="C2866" s="2" t="s">
        <v>27</v>
      </c>
      <c r="D2866" s="2" t="s">
        <v>35</v>
      </c>
      <c r="E2866" s="2" t="n">
        <v>18</v>
      </c>
      <c r="F2866" s="2" t="n">
        <v>4</v>
      </c>
      <c r="G2866" s="2" t="s">
        <v>29</v>
      </c>
      <c r="H2866" s="2" t="n">
        <v>2865</v>
      </c>
      <c r="I2866" s="2" t="s">
        <v>39</v>
      </c>
      <c r="J2866" s="2" t="n">
        <v>5</v>
      </c>
      <c r="K2866" s="2" t="s">
        <v>45</v>
      </c>
      <c r="L2866" s="2" t="s">
        <v>37</v>
      </c>
      <c r="M2866" s="2" t="n">
        <v>53470</v>
      </c>
      <c r="N2866" s="2" t="n">
        <v>1</v>
      </c>
      <c r="O2866" s="2" t="n">
        <v>24</v>
      </c>
      <c r="P2866" s="2" t="n">
        <v>1</v>
      </c>
      <c r="Q2866" s="2" t="n">
        <v>4</v>
      </c>
      <c r="R2866" s="2" t="n">
        <v>1</v>
      </c>
      <c r="S2866" s="2" t="n">
        <v>4</v>
      </c>
      <c r="T2866" s="2" t="n">
        <v>0</v>
      </c>
      <c r="U2866" s="2" t="n">
        <v>2</v>
      </c>
      <c r="V2866" s="2" t="n">
        <v>2</v>
      </c>
      <c r="W2866" s="2" t="n">
        <v>2</v>
      </c>
      <c r="X2866" s="2" t="n">
        <v>2</v>
      </c>
      <c r="Y2866" s="2" t="n">
        <v>3</v>
      </c>
      <c r="Z2866" s="2" t="n">
        <v>4</v>
      </c>
    </row>
    <row r="2867" customFormat="false" ht="15" hidden="false" customHeight="true" outlineLevel="0" collapsed="false">
      <c r="A2867" s="2" t="n">
        <v>50</v>
      </c>
      <c r="B2867" s="2" t="s">
        <v>26</v>
      </c>
      <c r="C2867" s="2" t="s">
        <v>27</v>
      </c>
      <c r="D2867" s="2" t="s">
        <v>28</v>
      </c>
      <c r="E2867" s="2" t="n">
        <v>19</v>
      </c>
      <c r="F2867" s="2" t="n">
        <v>4</v>
      </c>
      <c r="G2867" s="2" t="s">
        <v>50</v>
      </c>
      <c r="H2867" s="2" t="n">
        <v>2866</v>
      </c>
      <c r="I2867" s="2" t="s">
        <v>39</v>
      </c>
      <c r="J2867" s="2" t="n">
        <v>3</v>
      </c>
      <c r="K2867" s="2" t="s">
        <v>40</v>
      </c>
      <c r="L2867" s="2" t="s">
        <v>32</v>
      </c>
      <c r="M2867" s="2" t="n">
        <v>31950</v>
      </c>
      <c r="N2867" s="2" t="n">
        <v>2</v>
      </c>
      <c r="O2867" s="2" t="n">
        <v>11</v>
      </c>
      <c r="P2867" s="2" t="n">
        <v>0</v>
      </c>
      <c r="Q2867" s="2" t="n">
        <v>5</v>
      </c>
      <c r="R2867" s="2" t="n">
        <v>4</v>
      </c>
      <c r="S2867" s="2" t="n">
        <v>3</v>
      </c>
      <c r="T2867" s="2" t="n">
        <v>0</v>
      </c>
      <c r="U2867" s="2" t="n">
        <v>2</v>
      </c>
      <c r="V2867" s="2" t="n">
        <v>3</v>
      </c>
      <c r="W2867" s="2" t="n">
        <v>3</v>
      </c>
      <c r="X2867" s="2" t="n">
        <v>2</v>
      </c>
      <c r="Y2867" s="2" t="n">
        <v>2</v>
      </c>
      <c r="Z2867" s="2" t="n">
        <v>3</v>
      </c>
    </row>
    <row r="2868" customFormat="false" ht="15" hidden="false" customHeight="true" outlineLevel="0" collapsed="false">
      <c r="A2868" s="2" t="n">
        <v>53</v>
      </c>
      <c r="B2868" s="2" t="s">
        <v>26</v>
      </c>
      <c r="C2868" s="2" t="s">
        <v>27</v>
      </c>
      <c r="D2868" s="2" t="s">
        <v>28</v>
      </c>
      <c r="E2868" s="2" t="n">
        <v>1</v>
      </c>
      <c r="F2868" s="2" t="n">
        <v>2</v>
      </c>
      <c r="G2868" s="2" t="s">
        <v>29</v>
      </c>
      <c r="H2868" s="2" t="n">
        <v>2867</v>
      </c>
      <c r="I2868" s="2" t="s">
        <v>39</v>
      </c>
      <c r="J2868" s="2" t="n">
        <v>1</v>
      </c>
      <c r="K2868" s="2" t="s">
        <v>49</v>
      </c>
      <c r="L2868" s="2" t="s">
        <v>46</v>
      </c>
      <c r="M2868" s="2" t="n">
        <v>39890</v>
      </c>
      <c r="N2868" s="2" t="n">
        <v>1</v>
      </c>
      <c r="O2868" s="2" t="n">
        <v>13</v>
      </c>
      <c r="P2868" s="2" t="n">
        <v>0</v>
      </c>
      <c r="Q2868" s="2" t="n">
        <v>5</v>
      </c>
      <c r="R2868" s="2" t="n">
        <v>2</v>
      </c>
      <c r="S2868" s="2" t="n">
        <v>4</v>
      </c>
      <c r="T2868" s="2" t="n">
        <v>1</v>
      </c>
      <c r="U2868" s="2" t="n">
        <v>3</v>
      </c>
      <c r="V2868" s="2" t="n">
        <v>4</v>
      </c>
      <c r="W2868" s="2" t="n">
        <v>1</v>
      </c>
      <c r="X2868" s="2" t="n">
        <v>3</v>
      </c>
      <c r="Y2868" s="2" t="n">
        <v>3</v>
      </c>
      <c r="Z2868" s="2" t="n">
        <v>3</v>
      </c>
    </row>
    <row r="2869" customFormat="false" ht="15" hidden="false" customHeight="true" outlineLevel="0" collapsed="false">
      <c r="A2869" s="2" t="n">
        <v>33</v>
      </c>
      <c r="B2869" s="2" t="s">
        <v>26</v>
      </c>
      <c r="C2869" s="2" t="s">
        <v>27</v>
      </c>
      <c r="D2869" s="2" t="s">
        <v>35</v>
      </c>
      <c r="E2869" s="2" t="n">
        <v>4</v>
      </c>
      <c r="F2869" s="2" t="n">
        <v>3</v>
      </c>
      <c r="G2869" s="2" t="s">
        <v>29</v>
      </c>
      <c r="H2869" s="2" t="n">
        <v>2868</v>
      </c>
      <c r="I2869" s="2" t="s">
        <v>39</v>
      </c>
      <c r="J2869" s="2" t="n">
        <v>1</v>
      </c>
      <c r="K2869" s="2" t="s">
        <v>42</v>
      </c>
      <c r="L2869" s="2" t="s">
        <v>32</v>
      </c>
      <c r="M2869" s="2" t="n">
        <v>33060</v>
      </c>
      <c r="N2869" s="2" t="n">
        <v>1</v>
      </c>
      <c r="O2869" s="2" t="n">
        <v>11</v>
      </c>
      <c r="P2869" s="2" t="n">
        <v>3</v>
      </c>
      <c r="Q2869" s="2" t="n">
        <v>8</v>
      </c>
      <c r="R2869" s="2" t="n">
        <v>6</v>
      </c>
      <c r="S2869" s="2" t="n">
        <v>8</v>
      </c>
      <c r="T2869" s="2" t="n">
        <v>1</v>
      </c>
      <c r="U2869" s="2" t="n">
        <v>6</v>
      </c>
      <c r="V2869" s="2" t="n">
        <v>4</v>
      </c>
      <c r="W2869" s="2" t="n">
        <v>2</v>
      </c>
      <c r="X2869" s="2" t="n">
        <v>3</v>
      </c>
      <c r="Y2869" s="2" t="n">
        <v>1</v>
      </c>
      <c r="Z2869" s="2" t="n">
        <v>3</v>
      </c>
    </row>
    <row r="2870" customFormat="false" ht="15" hidden="false" customHeight="true" outlineLevel="0" collapsed="false">
      <c r="A2870" s="2" t="n">
        <v>40</v>
      </c>
      <c r="B2870" s="2" t="s">
        <v>26</v>
      </c>
      <c r="C2870" s="2" t="s">
        <v>27</v>
      </c>
      <c r="D2870" s="2" t="s">
        <v>35</v>
      </c>
      <c r="E2870" s="2" t="n">
        <v>11</v>
      </c>
      <c r="F2870" s="2" t="n">
        <v>3</v>
      </c>
      <c r="G2870" s="2" t="s">
        <v>29</v>
      </c>
      <c r="H2870" s="2" t="n">
        <v>2869</v>
      </c>
      <c r="I2870" s="2" t="s">
        <v>30</v>
      </c>
      <c r="J2870" s="2" t="n">
        <v>2</v>
      </c>
      <c r="K2870" s="2" t="s">
        <v>40</v>
      </c>
      <c r="L2870" s="2" t="s">
        <v>32</v>
      </c>
      <c r="M2870" s="2" t="n">
        <v>70050</v>
      </c>
      <c r="N2870" s="2" t="n">
        <v>1</v>
      </c>
      <c r="O2870" s="2" t="n">
        <v>20</v>
      </c>
      <c r="P2870" s="2" t="n">
        <v>2</v>
      </c>
      <c r="Q2870" s="2" t="n">
        <v>21</v>
      </c>
      <c r="R2870" s="2" t="n">
        <v>2</v>
      </c>
      <c r="S2870" s="2" t="n">
        <v>20</v>
      </c>
      <c r="T2870" s="2" t="n">
        <v>9</v>
      </c>
      <c r="U2870" s="2" t="n">
        <v>9</v>
      </c>
      <c r="V2870" s="2" t="n">
        <v>4</v>
      </c>
      <c r="W2870" s="2" t="n">
        <v>3</v>
      </c>
      <c r="X2870" s="2" t="n">
        <v>3</v>
      </c>
      <c r="Y2870" s="2" t="n">
        <v>3</v>
      </c>
      <c r="Z2870" s="2" t="n">
        <v>4</v>
      </c>
    </row>
    <row r="2871" customFormat="false" ht="15" hidden="false" customHeight="true" outlineLevel="0" collapsed="false">
      <c r="A2871" s="2" t="n">
        <v>55</v>
      </c>
      <c r="B2871" s="2" t="s">
        <v>26</v>
      </c>
      <c r="C2871" s="2" t="s">
        <v>27</v>
      </c>
      <c r="D2871" s="2" t="s">
        <v>35</v>
      </c>
      <c r="E2871" s="2" t="n">
        <v>6</v>
      </c>
      <c r="F2871" s="2" t="n">
        <v>1</v>
      </c>
      <c r="G2871" s="2" t="s">
        <v>29</v>
      </c>
      <c r="H2871" s="2" t="n">
        <v>2870</v>
      </c>
      <c r="I2871" s="2" t="s">
        <v>30</v>
      </c>
      <c r="J2871" s="2" t="n">
        <v>2</v>
      </c>
      <c r="K2871" s="2" t="s">
        <v>45</v>
      </c>
      <c r="L2871" s="2" t="s">
        <v>37</v>
      </c>
      <c r="M2871" s="2" t="n">
        <v>26550</v>
      </c>
      <c r="N2871" s="2" t="n">
        <v>8</v>
      </c>
      <c r="O2871" s="2" t="n">
        <v>17</v>
      </c>
      <c r="P2871" s="2" t="n">
        <v>0</v>
      </c>
      <c r="Q2871" s="2" t="n">
        <v>36</v>
      </c>
      <c r="R2871" s="2" t="n">
        <v>0</v>
      </c>
      <c r="S2871" s="2" t="n">
        <v>24</v>
      </c>
      <c r="T2871" s="2" t="n">
        <v>2</v>
      </c>
      <c r="U2871" s="2" t="n">
        <v>15</v>
      </c>
      <c r="V2871" s="2" t="n">
        <v>3</v>
      </c>
      <c r="W2871" s="2" t="n">
        <v>2</v>
      </c>
      <c r="X2871" s="2" t="n">
        <v>3</v>
      </c>
      <c r="Y2871" s="2" t="n">
        <v>2</v>
      </c>
      <c r="Z2871" s="2" t="n">
        <v>3</v>
      </c>
    </row>
    <row r="2872" customFormat="false" ht="15" hidden="false" customHeight="true" outlineLevel="0" collapsed="false">
      <c r="A2872" s="2" t="n">
        <v>34</v>
      </c>
      <c r="B2872" s="2" t="s">
        <v>26</v>
      </c>
      <c r="C2872" s="2" t="s">
        <v>34</v>
      </c>
      <c r="D2872" s="2" t="s">
        <v>42</v>
      </c>
      <c r="E2872" s="2" t="n">
        <v>7</v>
      </c>
      <c r="F2872" s="2" t="n">
        <v>4</v>
      </c>
      <c r="G2872" s="2" t="s">
        <v>38</v>
      </c>
      <c r="H2872" s="2" t="n">
        <v>2871</v>
      </c>
      <c r="I2872" s="2" t="s">
        <v>30</v>
      </c>
      <c r="J2872" s="2" t="n">
        <v>1</v>
      </c>
      <c r="K2872" s="2" t="s">
        <v>36</v>
      </c>
      <c r="L2872" s="2" t="s">
        <v>32</v>
      </c>
      <c r="M2872" s="2" t="n">
        <v>13930</v>
      </c>
      <c r="N2872" s="2" t="n">
        <v>1</v>
      </c>
      <c r="O2872" s="2" t="n">
        <v>11</v>
      </c>
      <c r="P2872" s="2" t="n">
        <v>2</v>
      </c>
      <c r="Q2872" s="2" t="n">
        <v>10</v>
      </c>
      <c r="R2872" s="2" t="n">
        <v>4</v>
      </c>
      <c r="S2872" s="2" t="n">
        <v>10</v>
      </c>
      <c r="T2872" s="2" t="n">
        <v>1</v>
      </c>
      <c r="U2872" s="2" t="n">
        <v>9</v>
      </c>
      <c r="V2872" s="2" t="n">
        <v>4</v>
      </c>
      <c r="W2872" s="2" t="n">
        <v>3</v>
      </c>
      <c r="X2872" s="2" t="n">
        <v>2</v>
      </c>
      <c r="Y2872" s="2" t="n">
        <v>4</v>
      </c>
      <c r="Z2872" s="2" t="n">
        <v>3</v>
      </c>
    </row>
    <row r="2873" customFormat="false" ht="15" hidden="false" customHeight="true" outlineLevel="0" collapsed="false">
      <c r="A2873" s="2" t="n">
        <v>51</v>
      </c>
      <c r="B2873" s="2" t="s">
        <v>26</v>
      </c>
      <c r="C2873" s="2" t="s">
        <v>27</v>
      </c>
      <c r="D2873" s="2" t="s">
        <v>42</v>
      </c>
      <c r="E2873" s="2" t="n">
        <v>4</v>
      </c>
      <c r="F2873" s="2" t="n">
        <v>2</v>
      </c>
      <c r="G2873" s="2" t="s">
        <v>42</v>
      </c>
      <c r="H2873" s="2" t="n">
        <v>2872</v>
      </c>
      <c r="I2873" s="2" t="s">
        <v>39</v>
      </c>
      <c r="J2873" s="2" t="n">
        <v>2</v>
      </c>
      <c r="K2873" s="2" t="s">
        <v>48</v>
      </c>
      <c r="L2873" s="2" t="s">
        <v>37</v>
      </c>
      <c r="M2873" s="2" t="n">
        <v>25700</v>
      </c>
      <c r="N2873" s="2" t="n">
        <v>3</v>
      </c>
      <c r="O2873" s="2" t="n">
        <v>18</v>
      </c>
      <c r="P2873" s="2" t="n">
        <v>0</v>
      </c>
      <c r="Q2873" s="2" t="n">
        <v>21</v>
      </c>
      <c r="R2873" s="2" t="n">
        <v>2</v>
      </c>
      <c r="S2873" s="2" t="n">
        <v>7</v>
      </c>
      <c r="T2873" s="2" t="n">
        <v>1</v>
      </c>
      <c r="U2873" s="2" t="n">
        <v>0</v>
      </c>
      <c r="V2873" s="2" t="n">
        <v>4</v>
      </c>
      <c r="W2873" s="2" t="n">
        <v>2</v>
      </c>
      <c r="X2873" s="2" t="n">
        <v>3</v>
      </c>
      <c r="Y2873" s="2" t="n">
        <v>3</v>
      </c>
      <c r="Z2873" s="2" t="n">
        <v>3</v>
      </c>
    </row>
    <row r="2874" customFormat="false" ht="15" hidden="false" customHeight="true" outlineLevel="0" collapsed="false">
      <c r="A2874" s="2" t="n">
        <v>52</v>
      </c>
      <c r="B2874" s="2" t="s">
        <v>26</v>
      </c>
      <c r="C2874" s="2" t="s">
        <v>27</v>
      </c>
      <c r="D2874" s="2" t="s">
        <v>35</v>
      </c>
      <c r="E2874" s="2" t="n">
        <v>2</v>
      </c>
      <c r="F2874" s="2" t="n">
        <v>4</v>
      </c>
      <c r="G2874" s="2" t="s">
        <v>43</v>
      </c>
      <c r="H2874" s="2" t="n">
        <v>2873</v>
      </c>
      <c r="I2874" s="2" t="s">
        <v>30</v>
      </c>
      <c r="J2874" s="2" t="n">
        <v>2</v>
      </c>
      <c r="K2874" s="2" t="s">
        <v>48</v>
      </c>
      <c r="L2874" s="2" t="s">
        <v>32</v>
      </c>
      <c r="M2874" s="2" t="n">
        <v>35370</v>
      </c>
      <c r="N2874" s="2" t="n">
        <v>0</v>
      </c>
      <c r="O2874" s="2" t="n">
        <v>11</v>
      </c>
      <c r="P2874" s="2" t="n">
        <v>1</v>
      </c>
      <c r="Q2874" s="2" t="n">
        <v>34</v>
      </c>
      <c r="R2874" s="2" t="n">
        <v>3</v>
      </c>
      <c r="S2874" s="2" t="n">
        <v>33</v>
      </c>
      <c r="T2874" s="2" t="n">
        <v>11</v>
      </c>
      <c r="U2874" s="2" t="n">
        <v>9</v>
      </c>
      <c r="V2874" s="2" t="n">
        <v>3</v>
      </c>
      <c r="W2874" s="2" t="n">
        <v>3</v>
      </c>
      <c r="X2874" s="2" t="n">
        <v>3</v>
      </c>
      <c r="Y2874" s="2" t="n">
        <v>3</v>
      </c>
      <c r="Z2874" s="2" t="n">
        <v>3</v>
      </c>
    </row>
    <row r="2875" customFormat="false" ht="15" hidden="false" customHeight="true" outlineLevel="0" collapsed="false">
      <c r="A2875" s="2" t="n">
        <v>27</v>
      </c>
      <c r="B2875" s="2" t="s">
        <v>26</v>
      </c>
      <c r="C2875" s="2" t="s">
        <v>27</v>
      </c>
      <c r="D2875" s="2" t="s">
        <v>28</v>
      </c>
      <c r="E2875" s="2" t="n">
        <v>15</v>
      </c>
      <c r="F2875" s="2" t="n">
        <v>3</v>
      </c>
      <c r="G2875" s="2" t="s">
        <v>50</v>
      </c>
      <c r="H2875" s="2" t="n">
        <v>2874</v>
      </c>
      <c r="I2875" s="2" t="s">
        <v>39</v>
      </c>
      <c r="J2875" s="2" t="n">
        <v>1</v>
      </c>
      <c r="K2875" s="2" t="s">
        <v>36</v>
      </c>
      <c r="L2875" s="2" t="s">
        <v>37</v>
      </c>
      <c r="M2875" s="2" t="n">
        <v>39860</v>
      </c>
      <c r="N2875" s="2" t="n">
        <v>1</v>
      </c>
      <c r="O2875" s="2" t="n">
        <v>12</v>
      </c>
      <c r="P2875" s="2" t="n">
        <v>2</v>
      </c>
      <c r="Q2875" s="2" t="n">
        <v>7</v>
      </c>
      <c r="R2875" s="2" t="n">
        <v>3</v>
      </c>
      <c r="S2875" s="2" t="n">
        <v>7</v>
      </c>
      <c r="T2875" s="2" t="n">
        <v>0</v>
      </c>
      <c r="U2875" s="2" t="n">
        <v>3</v>
      </c>
      <c r="V2875" s="2" t="n">
        <v>4</v>
      </c>
      <c r="W2875" s="2" t="n">
        <v>2</v>
      </c>
      <c r="X2875" s="2" t="n">
        <v>2</v>
      </c>
      <c r="Y2875" s="2" t="n">
        <v>3</v>
      </c>
      <c r="Z2875" s="2" t="n">
        <v>3</v>
      </c>
    </row>
    <row r="2876" customFormat="false" ht="15" hidden="false" customHeight="true" outlineLevel="0" collapsed="false">
      <c r="A2876" s="2" t="n">
        <v>35</v>
      </c>
      <c r="B2876" s="2" t="s">
        <v>33</v>
      </c>
      <c r="C2876" s="2" t="s">
        <v>27</v>
      </c>
      <c r="D2876" s="2" t="s">
        <v>35</v>
      </c>
      <c r="E2876" s="2" t="n">
        <v>2</v>
      </c>
      <c r="F2876" s="2" t="n">
        <v>4</v>
      </c>
      <c r="G2876" s="2" t="s">
        <v>29</v>
      </c>
      <c r="H2876" s="2" t="n">
        <v>2875</v>
      </c>
      <c r="I2876" s="2" t="s">
        <v>30</v>
      </c>
      <c r="J2876" s="2" t="n">
        <v>2</v>
      </c>
      <c r="K2876" s="2" t="s">
        <v>44</v>
      </c>
      <c r="L2876" s="2" t="s">
        <v>32</v>
      </c>
      <c r="M2876" s="2" t="n">
        <v>108830</v>
      </c>
      <c r="N2876" s="2" t="n">
        <v>3</v>
      </c>
      <c r="O2876" s="2" t="n">
        <v>12</v>
      </c>
      <c r="P2876" s="2" t="n">
        <v>0</v>
      </c>
      <c r="Q2876" s="2" t="n">
        <v>8</v>
      </c>
      <c r="R2876" s="2" t="n">
        <v>3</v>
      </c>
      <c r="S2876" s="2" t="n">
        <v>1</v>
      </c>
      <c r="T2876" s="2" t="n">
        <v>0</v>
      </c>
      <c r="U2876" s="2" t="n">
        <v>1</v>
      </c>
      <c r="V2876" s="2" t="n">
        <v>2</v>
      </c>
      <c r="W2876" s="2" t="n">
        <v>3</v>
      </c>
      <c r="X2876" s="2" t="n">
        <v>3</v>
      </c>
      <c r="Y2876" s="2" t="n">
        <v>4</v>
      </c>
      <c r="Z2876" s="2" t="n">
        <v>3</v>
      </c>
    </row>
    <row r="2877" customFormat="false" ht="15" hidden="false" customHeight="true" outlineLevel="0" collapsed="false">
      <c r="A2877" s="2" t="n">
        <v>43</v>
      </c>
      <c r="B2877" s="2" t="s">
        <v>26</v>
      </c>
      <c r="C2877" s="2" t="s">
        <v>41</v>
      </c>
      <c r="D2877" s="2" t="s">
        <v>35</v>
      </c>
      <c r="E2877" s="2" t="n">
        <v>6</v>
      </c>
      <c r="F2877" s="2" t="n">
        <v>2</v>
      </c>
      <c r="G2877" s="2" t="s">
        <v>43</v>
      </c>
      <c r="H2877" s="2" t="n">
        <v>2876</v>
      </c>
      <c r="I2877" s="2" t="s">
        <v>39</v>
      </c>
      <c r="J2877" s="2" t="n">
        <v>1</v>
      </c>
      <c r="K2877" s="2" t="s">
        <v>31</v>
      </c>
      <c r="L2877" s="2" t="s">
        <v>46</v>
      </c>
      <c r="M2877" s="2" t="n">
        <v>20280</v>
      </c>
      <c r="N2877" s="2" t="n">
        <v>4</v>
      </c>
      <c r="O2877" s="2" t="n">
        <v>20</v>
      </c>
      <c r="P2877" s="2" t="n">
        <v>1</v>
      </c>
      <c r="Q2877" s="2" t="n">
        <v>7</v>
      </c>
      <c r="R2877" s="2" t="n">
        <v>2</v>
      </c>
      <c r="S2877" s="2" t="n">
        <v>5</v>
      </c>
      <c r="T2877" s="2" t="n">
        <v>2</v>
      </c>
      <c r="U2877" s="2" t="n">
        <v>2</v>
      </c>
      <c r="V2877" s="2" t="n">
        <v>4</v>
      </c>
      <c r="W2877" s="2"/>
      <c r="X2877" s="2" t="n">
        <v>4</v>
      </c>
      <c r="Y2877" s="2" t="n">
        <v>2</v>
      </c>
      <c r="Z2877" s="2" t="n">
        <v>4</v>
      </c>
    </row>
    <row r="2878" customFormat="false" ht="15" hidden="false" customHeight="true" outlineLevel="0" collapsed="false">
      <c r="A2878" s="2" t="n">
        <v>45</v>
      </c>
      <c r="B2878" s="2" t="s">
        <v>26</v>
      </c>
      <c r="C2878" s="2" t="s">
        <v>41</v>
      </c>
      <c r="D2878" s="2" t="s">
        <v>35</v>
      </c>
      <c r="E2878" s="2" t="n">
        <v>9</v>
      </c>
      <c r="F2878" s="2" t="n">
        <v>2</v>
      </c>
      <c r="G2878" s="2" t="s">
        <v>43</v>
      </c>
      <c r="H2878" s="2" t="n">
        <v>2877</v>
      </c>
      <c r="I2878" s="2" t="s">
        <v>30</v>
      </c>
      <c r="J2878" s="2" t="n">
        <v>1</v>
      </c>
      <c r="K2878" s="2" t="s">
        <v>40</v>
      </c>
      <c r="L2878" s="2" t="s">
        <v>32</v>
      </c>
      <c r="M2878" s="2" t="n">
        <v>95250</v>
      </c>
      <c r="N2878" s="2" t="n">
        <v>9</v>
      </c>
      <c r="O2878" s="2" t="n">
        <v>19</v>
      </c>
      <c r="P2878" s="2" t="n">
        <v>0</v>
      </c>
      <c r="Q2878" s="2" t="n">
        <v>22</v>
      </c>
      <c r="R2878" s="2" t="n">
        <v>3</v>
      </c>
      <c r="S2878" s="2" t="n">
        <v>20</v>
      </c>
      <c r="T2878" s="2" t="n">
        <v>11</v>
      </c>
      <c r="U2878" s="2" t="n">
        <v>8</v>
      </c>
      <c r="V2878" s="2" t="n">
        <v>1</v>
      </c>
      <c r="W2878" s="2" t="n">
        <v>4</v>
      </c>
      <c r="X2878" s="2" t="n">
        <v>3</v>
      </c>
      <c r="Y2878" s="2" t="n">
        <v>3</v>
      </c>
      <c r="Z2878" s="2" t="n">
        <v>3</v>
      </c>
    </row>
    <row r="2879" customFormat="false" ht="15" hidden="false" customHeight="true" outlineLevel="0" collapsed="false">
      <c r="A2879" s="2" t="n">
        <v>37</v>
      </c>
      <c r="B2879" s="2" t="s">
        <v>26</v>
      </c>
      <c r="C2879" s="2" t="s">
        <v>27</v>
      </c>
      <c r="D2879" s="2" t="s">
        <v>35</v>
      </c>
      <c r="E2879" s="2" t="n">
        <v>7</v>
      </c>
      <c r="F2879" s="2" t="n">
        <v>3</v>
      </c>
      <c r="G2879" s="2" t="s">
        <v>29</v>
      </c>
      <c r="H2879" s="2" t="n">
        <v>2878</v>
      </c>
      <c r="I2879" s="2" t="s">
        <v>30</v>
      </c>
      <c r="J2879" s="2" t="n">
        <v>1</v>
      </c>
      <c r="K2879" s="2" t="s">
        <v>36</v>
      </c>
      <c r="L2879" s="2" t="s">
        <v>32</v>
      </c>
      <c r="M2879" s="2" t="n">
        <v>29290</v>
      </c>
      <c r="N2879" s="2" t="n">
        <v>1</v>
      </c>
      <c r="O2879" s="2" t="n">
        <v>12</v>
      </c>
      <c r="P2879" s="2" t="n">
        <v>0</v>
      </c>
      <c r="Q2879" s="2" t="n">
        <v>8</v>
      </c>
      <c r="R2879" s="2" t="n">
        <v>2</v>
      </c>
      <c r="S2879" s="2" t="n">
        <v>8</v>
      </c>
      <c r="T2879" s="2" t="n">
        <v>1</v>
      </c>
      <c r="U2879" s="2" t="n">
        <v>7</v>
      </c>
      <c r="V2879" s="2" t="n">
        <v>2</v>
      </c>
      <c r="W2879" s="2" t="n">
        <v>1</v>
      </c>
      <c r="X2879" s="2" t="n">
        <v>2</v>
      </c>
      <c r="Y2879" s="2" t="n">
        <v>1</v>
      </c>
      <c r="Z2879" s="2" t="n">
        <v>3</v>
      </c>
    </row>
    <row r="2880" customFormat="false" ht="15" hidden="false" customHeight="true" outlineLevel="0" collapsed="false">
      <c r="A2880" s="2" t="n">
        <v>35</v>
      </c>
      <c r="B2880" s="2" t="s">
        <v>26</v>
      </c>
      <c r="C2880" s="2" t="s">
        <v>34</v>
      </c>
      <c r="D2880" s="2" t="s">
        <v>35</v>
      </c>
      <c r="E2880" s="2" t="n">
        <v>1</v>
      </c>
      <c r="F2880" s="2" t="n">
        <v>3</v>
      </c>
      <c r="G2880" s="2" t="s">
        <v>38</v>
      </c>
      <c r="H2880" s="2" t="n">
        <v>2879</v>
      </c>
      <c r="I2880" s="2" t="s">
        <v>39</v>
      </c>
      <c r="J2880" s="2" t="n">
        <v>2</v>
      </c>
      <c r="K2880" s="2" t="s">
        <v>44</v>
      </c>
      <c r="L2880" s="2" t="s">
        <v>37</v>
      </c>
      <c r="M2880" s="2" t="n">
        <v>22750</v>
      </c>
      <c r="N2880" s="2" t="n">
        <v>5</v>
      </c>
      <c r="O2880" s="2" t="n">
        <v>13</v>
      </c>
      <c r="P2880" s="2" t="n">
        <v>0</v>
      </c>
      <c r="Q2880" s="2" t="n">
        <v>10</v>
      </c>
      <c r="R2880" s="2" t="n">
        <v>2</v>
      </c>
      <c r="S2880" s="2" t="n">
        <v>6</v>
      </c>
      <c r="T2880" s="2" t="n">
        <v>1</v>
      </c>
      <c r="U2880" s="2" t="n">
        <v>2</v>
      </c>
      <c r="V2880" s="2" t="n">
        <v>2</v>
      </c>
      <c r="W2880" s="2" t="n">
        <v>2</v>
      </c>
      <c r="X2880" s="2" t="n">
        <v>3</v>
      </c>
      <c r="Y2880" s="2" t="n">
        <v>4</v>
      </c>
      <c r="Z2880" s="2" t="n">
        <v>3</v>
      </c>
    </row>
    <row r="2881" customFormat="false" ht="15" hidden="false" customHeight="true" outlineLevel="0" collapsed="false">
      <c r="A2881" s="2" t="n">
        <v>42</v>
      </c>
      <c r="B2881" s="2" t="s">
        <v>26</v>
      </c>
      <c r="C2881" s="2" t="s">
        <v>41</v>
      </c>
      <c r="D2881" s="2" t="s">
        <v>35</v>
      </c>
      <c r="E2881" s="2" t="n">
        <v>1</v>
      </c>
      <c r="F2881" s="2" t="n">
        <v>1</v>
      </c>
      <c r="G2881" s="2" t="s">
        <v>51</v>
      </c>
      <c r="H2881" s="2" t="n">
        <v>2880</v>
      </c>
      <c r="I2881" s="2" t="s">
        <v>39</v>
      </c>
      <c r="J2881" s="2" t="n">
        <v>2</v>
      </c>
      <c r="K2881" s="2" t="s">
        <v>40</v>
      </c>
      <c r="L2881" s="2" t="s">
        <v>46</v>
      </c>
      <c r="M2881" s="2" t="n">
        <v>78790</v>
      </c>
      <c r="N2881" s="2" t="n">
        <v>2</v>
      </c>
      <c r="O2881" s="2" t="n">
        <v>11</v>
      </c>
      <c r="P2881" s="2" t="n">
        <v>1</v>
      </c>
      <c r="Q2881" s="2" t="n">
        <v>11</v>
      </c>
      <c r="R2881" s="2" t="n">
        <v>2</v>
      </c>
      <c r="S2881" s="2" t="n">
        <v>5</v>
      </c>
      <c r="T2881" s="2" t="n">
        <v>0</v>
      </c>
      <c r="U2881" s="2" t="n">
        <v>2</v>
      </c>
      <c r="V2881" s="2" t="n">
        <v>3</v>
      </c>
      <c r="W2881" s="2" t="n">
        <v>3</v>
      </c>
      <c r="X2881" s="2" t="n">
        <v>3</v>
      </c>
      <c r="Y2881" s="2" t="n">
        <v>3</v>
      </c>
      <c r="Z2881" s="2" t="n">
        <v>3</v>
      </c>
    </row>
    <row r="2882" customFormat="false" ht="15" hidden="false" customHeight="true" outlineLevel="0" collapsed="false">
      <c r="A2882" s="2" t="n">
        <v>38</v>
      </c>
      <c r="B2882" s="2" t="s">
        <v>26</v>
      </c>
      <c r="C2882" s="2" t="s">
        <v>27</v>
      </c>
      <c r="D2882" s="2" t="s">
        <v>28</v>
      </c>
      <c r="E2882" s="2" t="n">
        <v>8</v>
      </c>
      <c r="F2882" s="2" t="n">
        <v>2</v>
      </c>
      <c r="G2882" s="2" t="s">
        <v>50</v>
      </c>
      <c r="H2882" s="2" t="n">
        <v>2881</v>
      </c>
      <c r="I2882" s="2" t="s">
        <v>39</v>
      </c>
      <c r="J2882" s="2" t="n">
        <v>5</v>
      </c>
      <c r="K2882" s="2" t="s">
        <v>36</v>
      </c>
      <c r="L2882" s="2" t="s">
        <v>32</v>
      </c>
      <c r="M2882" s="2" t="n">
        <v>49300</v>
      </c>
      <c r="N2882" s="2" t="n">
        <v>9</v>
      </c>
      <c r="O2882" s="2" t="n">
        <v>14</v>
      </c>
      <c r="P2882" s="2" t="n">
        <v>0</v>
      </c>
      <c r="Q2882" s="2" t="n">
        <v>14</v>
      </c>
      <c r="R2882" s="2" t="n">
        <v>0</v>
      </c>
      <c r="S2882" s="2" t="n">
        <v>1</v>
      </c>
      <c r="T2882" s="2" t="n">
        <v>0</v>
      </c>
      <c r="U2882" s="2" t="n">
        <v>0</v>
      </c>
      <c r="V2882" s="2" t="n">
        <v>4</v>
      </c>
      <c r="W2882" s="2" t="n">
        <v>3</v>
      </c>
      <c r="X2882" s="2" t="n">
        <v>3</v>
      </c>
      <c r="Y2882" s="2" t="n">
        <v>3</v>
      </c>
      <c r="Z2882" s="2" t="n">
        <v>3</v>
      </c>
    </row>
    <row r="2883" customFormat="false" ht="15" hidden="false" customHeight="true" outlineLevel="0" collapsed="false">
      <c r="A2883" s="2" t="n">
        <v>38</v>
      </c>
      <c r="B2883" s="2" t="s">
        <v>26</v>
      </c>
      <c r="C2883" s="2" t="s">
        <v>27</v>
      </c>
      <c r="D2883" s="2" t="s">
        <v>42</v>
      </c>
      <c r="E2883" s="2" t="n">
        <v>25</v>
      </c>
      <c r="F2883" s="2" t="n">
        <v>1</v>
      </c>
      <c r="G2883" s="2" t="s">
        <v>42</v>
      </c>
      <c r="H2883" s="2" t="n">
        <v>2882</v>
      </c>
      <c r="I2883" s="2" t="s">
        <v>30</v>
      </c>
      <c r="J2883" s="2" t="n">
        <v>1</v>
      </c>
      <c r="K2883" s="2" t="s">
        <v>47</v>
      </c>
      <c r="L2883" s="2" t="s">
        <v>32</v>
      </c>
      <c r="M2883" s="2" t="n">
        <v>78470</v>
      </c>
      <c r="N2883" s="2" t="n">
        <v>3</v>
      </c>
      <c r="O2883" s="2" t="n">
        <v>14</v>
      </c>
      <c r="P2883" s="2" t="n">
        <v>1</v>
      </c>
      <c r="Q2883" s="2" t="n">
        <v>9</v>
      </c>
      <c r="R2883" s="2" t="n">
        <v>3</v>
      </c>
      <c r="S2883" s="2" t="n">
        <v>7</v>
      </c>
      <c r="T2883" s="2" t="n">
        <v>1</v>
      </c>
      <c r="U2883" s="2" t="n">
        <v>7</v>
      </c>
      <c r="V2883" s="2" t="n">
        <v>4</v>
      </c>
      <c r="W2883" s="2" t="n">
        <v>4</v>
      </c>
      <c r="X2883" s="2" t="n">
        <v>1</v>
      </c>
      <c r="Y2883" s="2" t="n">
        <v>4</v>
      </c>
      <c r="Z2883" s="2" t="n">
        <v>3</v>
      </c>
    </row>
    <row r="2884" customFormat="false" ht="15" hidden="false" customHeight="true" outlineLevel="0" collapsed="false">
      <c r="A2884" s="2" t="n">
        <v>27</v>
      </c>
      <c r="B2884" s="2" t="s">
        <v>26</v>
      </c>
      <c r="C2884" s="2" t="s">
        <v>34</v>
      </c>
      <c r="D2884" s="2" t="s">
        <v>35</v>
      </c>
      <c r="E2884" s="2" t="n">
        <v>13</v>
      </c>
      <c r="F2884" s="2" t="n">
        <v>4</v>
      </c>
      <c r="G2884" s="2" t="s">
        <v>43</v>
      </c>
      <c r="H2884" s="2" t="n">
        <v>2883</v>
      </c>
      <c r="I2884" s="2" t="s">
        <v>39</v>
      </c>
      <c r="J2884" s="2" t="n">
        <v>1</v>
      </c>
      <c r="K2884" s="2" t="s">
        <v>49</v>
      </c>
      <c r="L2884" s="2" t="s">
        <v>32</v>
      </c>
      <c r="M2884" s="2" t="n">
        <v>44010</v>
      </c>
      <c r="N2884" s="2" t="n">
        <v>5</v>
      </c>
      <c r="O2884" s="2" t="n">
        <v>13</v>
      </c>
      <c r="P2884" s="2" t="n">
        <v>0</v>
      </c>
      <c r="Q2884" s="2" t="n">
        <v>6</v>
      </c>
      <c r="R2884" s="2" t="n">
        <v>4</v>
      </c>
      <c r="S2884" s="2" t="n">
        <v>2</v>
      </c>
      <c r="T2884" s="2" t="n">
        <v>2</v>
      </c>
      <c r="U2884" s="2" t="n">
        <v>0</v>
      </c>
      <c r="V2884" s="2" t="n">
        <v>3</v>
      </c>
      <c r="W2884" s="2" t="n">
        <v>1</v>
      </c>
      <c r="X2884" s="2" t="n">
        <v>3</v>
      </c>
      <c r="Y2884" s="2" t="n">
        <v>2</v>
      </c>
      <c r="Z2884" s="2" t="n">
        <v>3</v>
      </c>
    </row>
    <row r="2885" customFormat="false" ht="15" hidden="false" customHeight="true" outlineLevel="0" collapsed="false">
      <c r="A2885" s="2" t="n">
        <v>49</v>
      </c>
      <c r="B2885" s="2" t="s">
        <v>26</v>
      </c>
      <c r="C2885" s="2" t="s">
        <v>41</v>
      </c>
      <c r="D2885" s="2" t="s">
        <v>35</v>
      </c>
      <c r="E2885" s="2" t="n">
        <v>23</v>
      </c>
      <c r="F2885" s="2" t="n">
        <v>1</v>
      </c>
      <c r="G2885" s="2" t="s">
        <v>38</v>
      </c>
      <c r="H2885" s="2" t="n">
        <v>2884</v>
      </c>
      <c r="I2885" s="2" t="s">
        <v>30</v>
      </c>
      <c r="J2885" s="2" t="n">
        <v>2</v>
      </c>
      <c r="K2885" s="2" t="s">
        <v>40</v>
      </c>
      <c r="L2885" s="2" t="s">
        <v>46</v>
      </c>
      <c r="M2885" s="2" t="n">
        <v>92410</v>
      </c>
      <c r="N2885" s="2" t="n">
        <v>1</v>
      </c>
      <c r="O2885" s="2" t="n">
        <v>19</v>
      </c>
      <c r="P2885" s="2" t="n">
        <v>1</v>
      </c>
      <c r="Q2885" s="2" t="n">
        <v>7</v>
      </c>
      <c r="R2885" s="2" t="n">
        <v>5</v>
      </c>
      <c r="S2885" s="2" t="n">
        <v>7</v>
      </c>
      <c r="T2885" s="2" t="n">
        <v>1</v>
      </c>
      <c r="U2885" s="2" t="n">
        <v>7</v>
      </c>
      <c r="V2885" s="2" t="n">
        <v>4</v>
      </c>
      <c r="W2885" s="2" t="n">
        <v>4</v>
      </c>
      <c r="X2885" s="2" t="n">
        <v>3</v>
      </c>
      <c r="Y2885" s="2" t="n">
        <v>3</v>
      </c>
      <c r="Z2885" s="2" t="n">
        <v>3</v>
      </c>
    </row>
    <row r="2886" customFormat="false" ht="15" hidden="false" customHeight="true" outlineLevel="0" collapsed="false">
      <c r="A2886" s="2" t="n">
        <v>34</v>
      </c>
      <c r="B2886" s="2" t="s">
        <v>26</v>
      </c>
      <c r="C2886" s="2" t="s">
        <v>34</v>
      </c>
      <c r="D2886" s="2" t="s">
        <v>35</v>
      </c>
      <c r="E2886" s="2" t="n">
        <v>7</v>
      </c>
      <c r="F2886" s="2" t="n">
        <v>2</v>
      </c>
      <c r="G2886" s="2" t="s">
        <v>43</v>
      </c>
      <c r="H2886" s="2" t="n">
        <v>2885</v>
      </c>
      <c r="I2886" s="2" t="s">
        <v>39</v>
      </c>
      <c r="J2886" s="2" t="n">
        <v>4</v>
      </c>
      <c r="K2886" s="2" t="s">
        <v>48</v>
      </c>
      <c r="L2886" s="2" t="s">
        <v>46</v>
      </c>
      <c r="M2886" s="2" t="n">
        <v>29740</v>
      </c>
      <c r="N2886" s="2" t="n">
        <v>1</v>
      </c>
      <c r="O2886" s="2" t="n">
        <v>23</v>
      </c>
      <c r="P2886" s="2" t="n">
        <v>0</v>
      </c>
      <c r="Q2886" s="2" t="n">
        <v>5</v>
      </c>
      <c r="R2886" s="2" t="n">
        <v>2</v>
      </c>
      <c r="S2886" s="2" t="n">
        <v>5</v>
      </c>
      <c r="T2886" s="2" t="n">
        <v>2</v>
      </c>
      <c r="U2886" s="2" t="n">
        <v>0</v>
      </c>
      <c r="V2886" s="2" t="n">
        <v>4</v>
      </c>
      <c r="W2886" s="2" t="n">
        <v>3</v>
      </c>
      <c r="X2886" s="2" t="n">
        <v>4</v>
      </c>
      <c r="Y2886" s="2" t="n">
        <v>3</v>
      </c>
      <c r="Z2886" s="2" t="n">
        <v>4</v>
      </c>
    </row>
    <row r="2887" customFormat="false" ht="15" hidden="false" customHeight="true" outlineLevel="0" collapsed="false">
      <c r="A2887" s="2" t="n">
        <v>40</v>
      </c>
      <c r="B2887" s="2" t="s">
        <v>26</v>
      </c>
      <c r="C2887" s="2" t="s">
        <v>27</v>
      </c>
      <c r="D2887" s="2" t="s">
        <v>35</v>
      </c>
      <c r="E2887" s="2" t="n">
        <v>23</v>
      </c>
      <c r="F2887" s="2" t="n">
        <v>3</v>
      </c>
      <c r="G2887" s="2" t="s">
        <v>43</v>
      </c>
      <c r="H2887" s="2" t="n">
        <v>2886</v>
      </c>
      <c r="I2887" s="2" t="s">
        <v>30</v>
      </c>
      <c r="J2887" s="2" t="n">
        <v>1</v>
      </c>
      <c r="K2887" s="2" t="s">
        <v>45</v>
      </c>
      <c r="L2887" s="2" t="s">
        <v>32</v>
      </c>
      <c r="M2887" s="2" t="n">
        <v>45020</v>
      </c>
      <c r="N2887" s="2" t="n">
        <v>8</v>
      </c>
      <c r="O2887" s="2" t="n">
        <v>12</v>
      </c>
      <c r="P2887" s="2" t="n">
        <v>2</v>
      </c>
      <c r="Q2887" s="2" t="n">
        <v>15</v>
      </c>
      <c r="R2887" s="2" t="n">
        <v>0</v>
      </c>
      <c r="S2887" s="2" t="n">
        <v>7</v>
      </c>
      <c r="T2887" s="2" t="n">
        <v>3</v>
      </c>
      <c r="U2887" s="2" t="n">
        <v>7</v>
      </c>
      <c r="V2887" s="2" t="n">
        <v>3</v>
      </c>
      <c r="W2887" s="2" t="n">
        <v>4</v>
      </c>
      <c r="X2887" s="2" t="n">
        <v>4</v>
      </c>
      <c r="Y2887" s="2" t="n">
        <v>2</v>
      </c>
      <c r="Z2887" s="2" t="n">
        <v>3</v>
      </c>
    </row>
    <row r="2888" customFormat="false" ht="15" hidden="false" customHeight="true" outlineLevel="0" collapsed="false">
      <c r="A2888" s="2" t="n">
        <v>38</v>
      </c>
      <c r="B2888" s="2" t="s">
        <v>33</v>
      </c>
      <c r="C2888" s="2" t="s">
        <v>27</v>
      </c>
      <c r="D2888" s="2" t="s">
        <v>28</v>
      </c>
      <c r="E2888" s="2" t="n">
        <v>6</v>
      </c>
      <c r="F2888" s="2" t="n">
        <v>4</v>
      </c>
      <c r="G2888" s="2" t="s">
        <v>29</v>
      </c>
      <c r="H2888" s="2" t="n">
        <v>2887</v>
      </c>
      <c r="I2888" s="2" t="s">
        <v>30</v>
      </c>
      <c r="J2888" s="2" t="n">
        <v>3</v>
      </c>
      <c r="K2888" s="2" t="s">
        <v>36</v>
      </c>
      <c r="L2888" s="2" t="s">
        <v>32</v>
      </c>
      <c r="M2888" s="2" t="n">
        <v>107480</v>
      </c>
      <c r="N2888" s="2" t="n">
        <v>7</v>
      </c>
      <c r="O2888" s="2" t="n">
        <v>15</v>
      </c>
      <c r="P2888" s="2" t="n">
        <v>0</v>
      </c>
      <c r="Q2888" s="2" t="n">
        <v>17</v>
      </c>
      <c r="R2888" s="2" t="n">
        <v>3</v>
      </c>
      <c r="S2888" s="2" t="n">
        <v>1</v>
      </c>
      <c r="T2888" s="2" t="n">
        <v>0</v>
      </c>
      <c r="U2888" s="2" t="n">
        <v>0</v>
      </c>
      <c r="V2888" s="2" t="n">
        <v>2</v>
      </c>
      <c r="W2888" s="2" t="n">
        <v>1</v>
      </c>
      <c r="X2888" s="2" t="n">
        <v>3</v>
      </c>
      <c r="Y2888" s="2" t="n">
        <v>3</v>
      </c>
      <c r="Z2888" s="2" t="n">
        <v>3</v>
      </c>
    </row>
    <row r="2889" customFormat="false" ht="15" hidden="false" customHeight="true" outlineLevel="0" collapsed="false">
      <c r="A2889" s="2" t="n">
        <v>29</v>
      </c>
      <c r="B2889" s="2" t="s">
        <v>33</v>
      </c>
      <c r="C2889" s="2" t="s">
        <v>27</v>
      </c>
      <c r="D2889" s="2" t="s">
        <v>28</v>
      </c>
      <c r="E2889" s="2" t="n">
        <v>10</v>
      </c>
      <c r="F2889" s="2" t="n">
        <v>2</v>
      </c>
      <c r="G2889" s="2" t="s">
        <v>29</v>
      </c>
      <c r="H2889" s="2" t="n">
        <v>2888</v>
      </c>
      <c r="I2889" s="2" t="s">
        <v>30</v>
      </c>
      <c r="J2889" s="2" t="n">
        <v>2</v>
      </c>
      <c r="K2889" s="2" t="s">
        <v>36</v>
      </c>
      <c r="L2889" s="2" t="s">
        <v>32</v>
      </c>
      <c r="M2889" s="2" t="n">
        <v>15550</v>
      </c>
      <c r="N2889" s="2" t="n">
        <v>1</v>
      </c>
      <c r="O2889" s="2" t="n">
        <v>19</v>
      </c>
      <c r="P2889" s="2" t="n">
        <v>2</v>
      </c>
      <c r="Q2889" s="2" t="n">
        <v>10</v>
      </c>
      <c r="R2889" s="2" t="n">
        <v>2</v>
      </c>
      <c r="S2889" s="2" t="n">
        <v>10</v>
      </c>
      <c r="T2889" s="2" t="n">
        <v>1</v>
      </c>
      <c r="U2889" s="2" t="n">
        <v>9</v>
      </c>
      <c r="V2889" s="2" t="n">
        <v>2</v>
      </c>
      <c r="W2889" s="2" t="n">
        <v>4</v>
      </c>
      <c r="X2889" s="2" t="n">
        <v>2</v>
      </c>
      <c r="Y2889" s="2" t="n">
        <v>3</v>
      </c>
      <c r="Z2889" s="2" t="n">
        <v>3</v>
      </c>
    </row>
    <row r="2890" customFormat="false" ht="15" hidden="false" customHeight="true" outlineLevel="0" collapsed="false">
      <c r="A2890" s="2" t="n">
        <v>22</v>
      </c>
      <c r="B2890" s="2" t="s">
        <v>26</v>
      </c>
      <c r="C2890" s="2" t="s">
        <v>27</v>
      </c>
      <c r="D2890" s="2" t="s">
        <v>35</v>
      </c>
      <c r="E2890" s="2" t="n">
        <v>1</v>
      </c>
      <c r="F2890" s="2" t="n">
        <v>3</v>
      </c>
      <c r="G2890" s="2" t="s">
        <v>29</v>
      </c>
      <c r="H2890" s="2" t="n">
        <v>2889</v>
      </c>
      <c r="I2890" s="2" t="s">
        <v>30</v>
      </c>
      <c r="J2890" s="2" t="n">
        <v>4</v>
      </c>
      <c r="K2890" s="2" t="s">
        <v>31</v>
      </c>
      <c r="L2890" s="2" t="s">
        <v>46</v>
      </c>
      <c r="M2890" s="2" t="n">
        <v>129360</v>
      </c>
      <c r="N2890" s="2" t="n">
        <v>1</v>
      </c>
      <c r="O2890" s="2" t="n">
        <v>11</v>
      </c>
      <c r="P2890" s="2" t="n">
        <v>2</v>
      </c>
      <c r="Q2890" s="2" t="n">
        <v>4</v>
      </c>
      <c r="R2890" s="2" t="n">
        <v>3</v>
      </c>
      <c r="S2890" s="2" t="n">
        <v>4</v>
      </c>
      <c r="T2890" s="2" t="n">
        <v>2</v>
      </c>
      <c r="U2890" s="2" t="n">
        <v>2</v>
      </c>
      <c r="V2890" s="2" t="n">
        <v>4</v>
      </c>
      <c r="W2890" s="2" t="n">
        <v>2</v>
      </c>
      <c r="X2890" s="2" t="n">
        <v>2</v>
      </c>
      <c r="Y2890" s="2" t="n">
        <v>3</v>
      </c>
      <c r="Z2890" s="2" t="n">
        <v>3</v>
      </c>
    </row>
    <row r="2891" customFormat="false" ht="15" hidden="false" customHeight="true" outlineLevel="0" collapsed="false">
      <c r="A2891" s="2" t="n">
        <v>36</v>
      </c>
      <c r="B2891" s="2" t="s">
        <v>26</v>
      </c>
      <c r="C2891" s="2" t="s">
        <v>34</v>
      </c>
      <c r="D2891" s="2" t="s">
        <v>35</v>
      </c>
      <c r="E2891" s="2" t="n">
        <v>1</v>
      </c>
      <c r="F2891" s="2" t="n">
        <v>3</v>
      </c>
      <c r="G2891" s="2" t="s">
        <v>29</v>
      </c>
      <c r="H2891" s="2" t="n">
        <v>2890</v>
      </c>
      <c r="I2891" s="2" t="s">
        <v>30</v>
      </c>
      <c r="J2891" s="2" t="n">
        <v>2</v>
      </c>
      <c r="K2891" s="2" t="s">
        <v>45</v>
      </c>
      <c r="L2891" s="2" t="s">
        <v>37</v>
      </c>
      <c r="M2891" s="2" t="n">
        <v>23050</v>
      </c>
      <c r="N2891" s="2" t="n">
        <v>1</v>
      </c>
      <c r="O2891" s="2" t="n">
        <v>17</v>
      </c>
      <c r="P2891" s="2" t="n">
        <v>0</v>
      </c>
      <c r="Q2891" s="2" t="n">
        <v>8</v>
      </c>
      <c r="R2891" s="2" t="n">
        <v>3</v>
      </c>
      <c r="S2891" s="2" t="n">
        <v>8</v>
      </c>
      <c r="T2891" s="2" t="n">
        <v>1</v>
      </c>
      <c r="U2891" s="2" t="n">
        <v>7</v>
      </c>
      <c r="V2891" s="2" t="n">
        <v>2</v>
      </c>
      <c r="W2891" s="2" t="n">
        <v>4</v>
      </c>
      <c r="X2891" s="2" t="n">
        <v>3</v>
      </c>
      <c r="Y2891" s="2" t="n">
        <v>3</v>
      </c>
      <c r="Z2891" s="2" t="n">
        <v>3</v>
      </c>
    </row>
    <row r="2892" customFormat="false" ht="15" hidden="false" customHeight="true" outlineLevel="0" collapsed="false">
      <c r="A2892" s="2" t="n">
        <v>40</v>
      </c>
      <c r="B2892" s="2" t="s">
        <v>26</v>
      </c>
      <c r="C2892" s="2" t="s">
        <v>41</v>
      </c>
      <c r="D2892" s="2" t="s">
        <v>35</v>
      </c>
      <c r="E2892" s="2" t="n">
        <v>28</v>
      </c>
      <c r="F2892" s="2" t="n">
        <v>2</v>
      </c>
      <c r="G2892" s="2" t="s">
        <v>29</v>
      </c>
      <c r="H2892" s="2" t="n">
        <v>2891</v>
      </c>
      <c r="I2892" s="2" t="s">
        <v>39</v>
      </c>
      <c r="J2892" s="2" t="n">
        <v>1</v>
      </c>
      <c r="K2892" s="2" t="s">
        <v>47</v>
      </c>
      <c r="L2892" s="2" t="s">
        <v>32</v>
      </c>
      <c r="M2892" s="2" t="n">
        <v>167040</v>
      </c>
      <c r="N2892" s="2" t="n">
        <v>9</v>
      </c>
      <c r="O2892" s="2" t="n">
        <v>22</v>
      </c>
      <c r="P2892" s="2" t="n">
        <v>0</v>
      </c>
      <c r="Q2892" s="2" t="n">
        <v>5</v>
      </c>
      <c r="R2892" s="2" t="n">
        <v>2</v>
      </c>
      <c r="S2892" s="2" t="n">
        <v>3</v>
      </c>
      <c r="T2892" s="2" t="n">
        <v>0</v>
      </c>
      <c r="U2892" s="2" t="n">
        <v>2</v>
      </c>
      <c r="V2892" s="2" t="n">
        <v>4</v>
      </c>
      <c r="W2892" s="2" t="n">
        <v>4</v>
      </c>
      <c r="X2892" s="2" t="n">
        <v>1</v>
      </c>
      <c r="Y2892" s="2" t="n">
        <v>4</v>
      </c>
      <c r="Z2892" s="2" t="n">
        <v>4</v>
      </c>
    </row>
    <row r="2893" customFormat="false" ht="15" hidden="false" customHeight="true" outlineLevel="0" collapsed="false">
      <c r="A2893" s="2" t="n">
        <v>46</v>
      </c>
      <c r="B2893" s="2" t="s">
        <v>26</v>
      </c>
      <c r="C2893" s="2" t="s">
        <v>27</v>
      </c>
      <c r="D2893" s="2" t="s">
        <v>35</v>
      </c>
      <c r="E2893" s="2" t="n">
        <v>25</v>
      </c>
      <c r="F2893" s="2" t="n">
        <v>1</v>
      </c>
      <c r="G2893" s="2" t="s">
        <v>43</v>
      </c>
      <c r="H2893" s="2" t="n">
        <v>2892</v>
      </c>
      <c r="I2893" s="2" t="s">
        <v>39</v>
      </c>
      <c r="J2893" s="2" t="n">
        <v>5</v>
      </c>
      <c r="K2893" s="2" t="s">
        <v>36</v>
      </c>
      <c r="L2893" s="2" t="s">
        <v>46</v>
      </c>
      <c r="M2893" s="2" t="n">
        <v>34330</v>
      </c>
      <c r="N2893" s="2" t="n">
        <v>7</v>
      </c>
      <c r="O2893" s="2" t="n">
        <v>18</v>
      </c>
      <c r="P2893" s="2" t="n">
        <v>0</v>
      </c>
      <c r="Q2893" s="2" t="n">
        <v>17</v>
      </c>
      <c r="R2893" s="2" t="n">
        <v>3</v>
      </c>
      <c r="S2893" s="2" t="n">
        <v>4</v>
      </c>
      <c r="T2893" s="2" t="n">
        <v>0</v>
      </c>
      <c r="U2893" s="2" t="n">
        <v>3</v>
      </c>
      <c r="V2893" s="2" t="n">
        <v>4</v>
      </c>
      <c r="W2893" s="2" t="n">
        <v>1</v>
      </c>
      <c r="X2893" s="2" t="n">
        <v>3</v>
      </c>
      <c r="Y2893" s="2" t="n">
        <v>3</v>
      </c>
      <c r="Z2893" s="2" t="n">
        <v>3</v>
      </c>
    </row>
    <row r="2894" customFormat="false" ht="15" hidden="false" customHeight="true" outlineLevel="0" collapsed="false">
      <c r="A2894" s="2" t="n">
        <v>32</v>
      </c>
      <c r="B2894" s="2" t="s">
        <v>33</v>
      </c>
      <c r="C2894" s="2" t="s">
        <v>27</v>
      </c>
      <c r="D2894" s="2" t="s">
        <v>35</v>
      </c>
      <c r="E2894" s="2" t="n">
        <v>5</v>
      </c>
      <c r="F2894" s="2" t="n">
        <v>3</v>
      </c>
      <c r="G2894" s="2" t="s">
        <v>43</v>
      </c>
      <c r="H2894" s="2" t="n">
        <v>2893</v>
      </c>
      <c r="I2894" s="2" t="s">
        <v>39</v>
      </c>
      <c r="J2894" s="2" t="n">
        <v>1</v>
      </c>
      <c r="K2894" s="2" t="s">
        <v>31</v>
      </c>
      <c r="L2894" s="2" t="s">
        <v>32</v>
      </c>
      <c r="M2894" s="2" t="n">
        <v>34770</v>
      </c>
      <c r="N2894" s="2" t="n">
        <v>1</v>
      </c>
      <c r="O2894" s="2" t="n">
        <v>11</v>
      </c>
      <c r="P2894" s="2" t="n">
        <v>0</v>
      </c>
      <c r="Q2894" s="2" t="n">
        <v>14</v>
      </c>
      <c r="R2894" s="2" t="n">
        <v>2</v>
      </c>
      <c r="S2894" s="2" t="n">
        <v>14</v>
      </c>
      <c r="T2894" s="2" t="n">
        <v>9</v>
      </c>
      <c r="U2894" s="2" t="n">
        <v>8</v>
      </c>
      <c r="V2894" s="2" t="n">
        <v>4</v>
      </c>
      <c r="W2894" s="2" t="n">
        <v>4</v>
      </c>
      <c r="X2894" s="2" t="n">
        <v>2</v>
      </c>
      <c r="Y2894" s="2" t="n">
        <v>4</v>
      </c>
      <c r="Z2894" s="2" t="n">
        <v>3</v>
      </c>
    </row>
    <row r="2895" customFormat="false" ht="15" hidden="false" customHeight="true" outlineLevel="0" collapsed="false">
      <c r="A2895" s="2" t="n">
        <v>30</v>
      </c>
      <c r="B2895" s="2" t="s">
        <v>26</v>
      </c>
      <c r="C2895" s="2" t="s">
        <v>41</v>
      </c>
      <c r="D2895" s="2" t="s">
        <v>35</v>
      </c>
      <c r="E2895" s="2" t="n">
        <v>17</v>
      </c>
      <c r="F2895" s="2" t="n">
        <v>4</v>
      </c>
      <c r="G2895" s="2" t="s">
        <v>29</v>
      </c>
      <c r="H2895" s="2" t="n">
        <v>2894</v>
      </c>
      <c r="I2895" s="2" t="s">
        <v>39</v>
      </c>
      <c r="J2895" s="2" t="n">
        <v>2</v>
      </c>
      <c r="K2895" s="2" t="s">
        <v>31</v>
      </c>
      <c r="L2895" s="2" t="s">
        <v>37</v>
      </c>
      <c r="M2895" s="2" t="n">
        <v>64300</v>
      </c>
      <c r="N2895" s="2" t="n">
        <v>1</v>
      </c>
      <c r="O2895" s="2" t="n">
        <v>12</v>
      </c>
      <c r="P2895" s="2" t="n">
        <v>1</v>
      </c>
      <c r="Q2895" s="2" t="n">
        <v>12</v>
      </c>
      <c r="R2895" s="2" t="n">
        <v>2</v>
      </c>
      <c r="S2895" s="2" t="n">
        <v>11</v>
      </c>
      <c r="T2895" s="2" t="n">
        <v>5</v>
      </c>
      <c r="U2895" s="2" t="n">
        <v>8</v>
      </c>
      <c r="V2895" s="2" t="n">
        <v>3</v>
      </c>
      <c r="W2895" s="2" t="n">
        <v>3</v>
      </c>
      <c r="X2895" s="2" t="n">
        <v>3</v>
      </c>
      <c r="Y2895" s="2" t="n">
        <v>2</v>
      </c>
      <c r="Z2895" s="2" t="n">
        <v>3</v>
      </c>
    </row>
    <row r="2896" customFormat="false" ht="15" hidden="false" customHeight="true" outlineLevel="0" collapsed="false">
      <c r="A2896" s="2" t="n">
        <v>27</v>
      </c>
      <c r="B2896" s="2" t="s">
        <v>26</v>
      </c>
      <c r="C2896" s="2" t="s">
        <v>34</v>
      </c>
      <c r="D2896" s="2" t="s">
        <v>35</v>
      </c>
      <c r="E2896" s="2" t="n">
        <v>18</v>
      </c>
      <c r="F2896" s="2" t="n">
        <v>2</v>
      </c>
      <c r="G2896" s="2" t="s">
        <v>43</v>
      </c>
      <c r="H2896" s="2" t="n">
        <v>2895</v>
      </c>
      <c r="I2896" s="2" t="s">
        <v>30</v>
      </c>
      <c r="J2896" s="2" t="n">
        <v>1</v>
      </c>
      <c r="K2896" s="2" t="s">
        <v>45</v>
      </c>
      <c r="L2896" s="2" t="s">
        <v>37</v>
      </c>
      <c r="M2896" s="2" t="n">
        <v>65160</v>
      </c>
      <c r="N2896" s="2" t="n">
        <v>1</v>
      </c>
      <c r="O2896" s="2" t="n">
        <v>19</v>
      </c>
      <c r="P2896" s="2" t="n">
        <v>1</v>
      </c>
      <c r="Q2896" s="2" t="n">
        <v>7</v>
      </c>
      <c r="R2896" s="2" t="n">
        <v>4</v>
      </c>
      <c r="S2896" s="2" t="n">
        <v>7</v>
      </c>
      <c r="T2896" s="2" t="n">
        <v>0</v>
      </c>
      <c r="U2896" s="2" t="n">
        <v>7</v>
      </c>
      <c r="V2896" s="2" t="n">
        <v>4</v>
      </c>
      <c r="W2896" s="2" t="n">
        <v>3</v>
      </c>
      <c r="X2896" s="2" t="n">
        <v>3</v>
      </c>
      <c r="Y2896" s="2" t="n">
        <v>3</v>
      </c>
      <c r="Z2896" s="2" t="n">
        <v>3</v>
      </c>
    </row>
    <row r="2897" customFormat="false" ht="15" hidden="false" customHeight="true" outlineLevel="0" collapsed="false">
      <c r="A2897" s="2" t="n">
        <v>51</v>
      </c>
      <c r="B2897" s="2" t="s">
        <v>26</v>
      </c>
      <c r="C2897" s="2" t="s">
        <v>27</v>
      </c>
      <c r="D2897" s="2" t="s">
        <v>35</v>
      </c>
      <c r="E2897" s="2" t="n">
        <v>2</v>
      </c>
      <c r="F2897" s="2" t="n">
        <v>1</v>
      </c>
      <c r="G2897" s="2" t="s">
        <v>43</v>
      </c>
      <c r="H2897" s="2" t="n">
        <v>2896</v>
      </c>
      <c r="I2897" s="2" t="s">
        <v>30</v>
      </c>
      <c r="J2897" s="2" t="n">
        <v>1</v>
      </c>
      <c r="K2897" s="2" t="s">
        <v>47</v>
      </c>
      <c r="L2897" s="2" t="s">
        <v>32</v>
      </c>
      <c r="M2897" s="2" t="n">
        <v>39070</v>
      </c>
      <c r="N2897" s="2" t="n">
        <v>5</v>
      </c>
      <c r="O2897" s="2" t="n">
        <v>13</v>
      </c>
      <c r="P2897" s="2" t="n">
        <v>0</v>
      </c>
      <c r="Q2897" s="2" t="n">
        <v>16</v>
      </c>
      <c r="R2897" s="2" t="n">
        <v>2</v>
      </c>
      <c r="S2897" s="2" t="n">
        <v>10</v>
      </c>
      <c r="T2897" s="2" t="n">
        <v>4</v>
      </c>
      <c r="U2897" s="2" t="n">
        <v>7</v>
      </c>
      <c r="V2897" s="2" t="n">
        <v>2</v>
      </c>
      <c r="W2897" s="2" t="n">
        <v>2</v>
      </c>
      <c r="X2897" s="2" t="n">
        <v>1</v>
      </c>
      <c r="Y2897" s="2" t="n">
        <v>3</v>
      </c>
      <c r="Z2897" s="2" t="n">
        <v>3</v>
      </c>
    </row>
    <row r="2898" customFormat="false" ht="15" hidden="false" customHeight="true" outlineLevel="0" collapsed="false">
      <c r="A2898" s="2" t="n">
        <v>30</v>
      </c>
      <c r="B2898" s="2" t="s">
        <v>33</v>
      </c>
      <c r="C2898" s="2" t="s">
        <v>27</v>
      </c>
      <c r="D2898" s="2" t="s">
        <v>35</v>
      </c>
      <c r="E2898" s="2" t="n">
        <v>10</v>
      </c>
      <c r="F2898" s="2" t="n">
        <v>4</v>
      </c>
      <c r="G2898" s="2" t="s">
        <v>29</v>
      </c>
      <c r="H2898" s="2" t="n">
        <v>2897</v>
      </c>
      <c r="I2898" s="2" t="s">
        <v>30</v>
      </c>
      <c r="J2898" s="2" t="n">
        <v>2</v>
      </c>
      <c r="K2898" s="2" t="s">
        <v>36</v>
      </c>
      <c r="L2898" s="2" t="s">
        <v>37</v>
      </c>
      <c r="M2898" s="2" t="n">
        <v>55620</v>
      </c>
      <c r="N2898" s="2" t="n">
        <v>5</v>
      </c>
      <c r="O2898" s="2" t="n">
        <v>13</v>
      </c>
      <c r="P2898" s="2" t="n">
        <v>0</v>
      </c>
      <c r="Q2898" s="2" t="n">
        <v>8</v>
      </c>
      <c r="R2898" s="2" t="n">
        <v>3</v>
      </c>
      <c r="S2898" s="2" t="n">
        <v>5</v>
      </c>
      <c r="T2898" s="2" t="n">
        <v>0</v>
      </c>
      <c r="U2898" s="2" t="n">
        <v>4</v>
      </c>
      <c r="V2898" s="2" t="n">
        <v>4</v>
      </c>
      <c r="W2898" s="2" t="n">
        <v>1</v>
      </c>
      <c r="X2898" s="2" t="n">
        <v>3</v>
      </c>
      <c r="Y2898" s="2" t="n">
        <v>2</v>
      </c>
      <c r="Z2898" s="2" t="n">
        <v>3</v>
      </c>
    </row>
    <row r="2899" customFormat="false" ht="15" hidden="false" customHeight="true" outlineLevel="0" collapsed="false">
      <c r="A2899" s="2" t="n">
        <v>41</v>
      </c>
      <c r="B2899" s="2" t="s">
        <v>26</v>
      </c>
      <c r="C2899" s="2" t="s">
        <v>27</v>
      </c>
      <c r="D2899" s="2" t="s">
        <v>35</v>
      </c>
      <c r="E2899" s="2" t="n">
        <v>1</v>
      </c>
      <c r="F2899" s="2" t="n">
        <v>3</v>
      </c>
      <c r="G2899" s="2" t="s">
        <v>29</v>
      </c>
      <c r="H2899" s="2" t="n">
        <v>2898</v>
      </c>
      <c r="I2899" s="2" t="s">
        <v>39</v>
      </c>
      <c r="J2899" s="2" t="n">
        <v>2</v>
      </c>
      <c r="K2899" s="2" t="s">
        <v>42</v>
      </c>
      <c r="L2899" s="2" t="s">
        <v>37</v>
      </c>
      <c r="M2899" s="2" t="n">
        <v>68830</v>
      </c>
      <c r="N2899" s="2" t="n">
        <v>3</v>
      </c>
      <c r="O2899" s="2" t="n">
        <v>19</v>
      </c>
      <c r="P2899" s="2" t="n">
        <v>2</v>
      </c>
      <c r="Q2899" s="2" t="n">
        <v>16</v>
      </c>
      <c r="R2899" s="2" t="n">
        <v>3</v>
      </c>
      <c r="S2899" s="2" t="n">
        <v>1</v>
      </c>
      <c r="T2899" s="2" t="n">
        <v>0</v>
      </c>
      <c r="U2899" s="2" t="n">
        <v>0</v>
      </c>
      <c r="V2899" s="2" t="n">
        <v>4</v>
      </c>
      <c r="W2899" s="2" t="n">
        <v>4</v>
      </c>
      <c r="X2899" s="2" t="n">
        <v>3</v>
      </c>
      <c r="Y2899" s="2" t="n">
        <v>2</v>
      </c>
      <c r="Z2899" s="2" t="n">
        <v>3</v>
      </c>
    </row>
    <row r="2900" customFormat="false" ht="15" hidden="false" customHeight="true" outlineLevel="0" collapsed="false">
      <c r="A2900" s="2" t="n">
        <v>30</v>
      </c>
      <c r="B2900" s="2" t="s">
        <v>33</v>
      </c>
      <c r="C2900" s="2" t="s">
        <v>34</v>
      </c>
      <c r="D2900" s="2" t="s">
        <v>28</v>
      </c>
      <c r="E2900" s="2" t="n">
        <v>3</v>
      </c>
      <c r="F2900" s="2" t="n">
        <v>2</v>
      </c>
      <c r="G2900" s="2" t="s">
        <v>43</v>
      </c>
      <c r="H2900" s="2" t="n">
        <v>2899</v>
      </c>
      <c r="I2900" s="2" t="s">
        <v>39</v>
      </c>
      <c r="J2900" s="2" t="n">
        <v>2</v>
      </c>
      <c r="K2900" s="2" t="s">
        <v>31</v>
      </c>
      <c r="L2900" s="2" t="s">
        <v>37</v>
      </c>
      <c r="M2900" s="2" t="n">
        <v>28620</v>
      </c>
      <c r="N2900" s="2" t="n">
        <v>5</v>
      </c>
      <c r="O2900" s="2" t="n">
        <v>14</v>
      </c>
      <c r="P2900" s="2" t="n">
        <v>0</v>
      </c>
      <c r="Q2900" s="2" t="n">
        <v>9</v>
      </c>
      <c r="R2900" s="2" t="n">
        <v>2</v>
      </c>
      <c r="S2900" s="2" t="n">
        <v>6</v>
      </c>
      <c r="T2900" s="2" t="n">
        <v>0</v>
      </c>
      <c r="U2900" s="2" t="n">
        <v>1</v>
      </c>
      <c r="V2900" s="2" t="n">
        <v>3</v>
      </c>
      <c r="W2900" s="2" t="n">
        <v>1</v>
      </c>
      <c r="X2900" s="2"/>
      <c r="Y2900" s="2" t="n">
        <v>2</v>
      </c>
      <c r="Z2900" s="2" t="n">
        <v>3</v>
      </c>
    </row>
    <row r="2901" customFormat="false" ht="15" hidden="false" customHeight="true" outlineLevel="0" collapsed="false">
      <c r="A2901" s="2" t="n">
        <v>29</v>
      </c>
      <c r="B2901" s="2" t="s">
        <v>33</v>
      </c>
      <c r="C2901" s="2" t="s">
        <v>27</v>
      </c>
      <c r="D2901" s="2" t="s">
        <v>35</v>
      </c>
      <c r="E2901" s="2" t="n">
        <v>2</v>
      </c>
      <c r="F2901" s="2" t="n">
        <v>3</v>
      </c>
      <c r="G2901" s="2" t="s">
        <v>29</v>
      </c>
      <c r="H2901" s="2" t="n">
        <v>2900</v>
      </c>
      <c r="I2901" s="2" t="s">
        <v>39</v>
      </c>
      <c r="J2901" s="2" t="n">
        <v>1</v>
      </c>
      <c r="K2901" s="2" t="s">
        <v>40</v>
      </c>
      <c r="L2901" s="2" t="s">
        <v>37</v>
      </c>
      <c r="M2901" s="2" t="n">
        <v>49780</v>
      </c>
      <c r="N2901" s="2" t="n">
        <v>0</v>
      </c>
      <c r="O2901" s="2" t="n">
        <v>13</v>
      </c>
      <c r="P2901" s="2" t="n">
        <v>0</v>
      </c>
      <c r="Q2901" s="2" t="n">
        <v>7</v>
      </c>
      <c r="R2901" s="2" t="n">
        <v>3</v>
      </c>
      <c r="S2901" s="2" t="n">
        <v>6</v>
      </c>
      <c r="T2901" s="2" t="n">
        <v>1</v>
      </c>
      <c r="U2901" s="2" t="n">
        <v>5</v>
      </c>
      <c r="V2901" s="2" t="n">
        <v>3</v>
      </c>
      <c r="W2901" s="2" t="n">
        <v>3</v>
      </c>
      <c r="X2901" s="2" t="n">
        <v>2</v>
      </c>
      <c r="Y2901" s="2" t="n">
        <v>2</v>
      </c>
      <c r="Z2901" s="2" t="n">
        <v>3</v>
      </c>
    </row>
    <row r="2902" customFormat="false" ht="15" hidden="false" customHeight="true" outlineLevel="0" collapsed="false">
      <c r="A2902" s="2" t="n">
        <v>45</v>
      </c>
      <c r="B2902" s="2" t="s">
        <v>26</v>
      </c>
      <c r="C2902" s="2" t="s">
        <v>41</v>
      </c>
      <c r="D2902" s="2" t="s">
        <v>35</v>
      </c>
      <c r="E2902" s="2" t="n">
        <v>2</v>
      </c>
      <c r="F2902" s="2" t="n">
        <v>3</v>
      </c>
      <c r="G2902" s="2" t="s">
        <v>43</v>
      </c>
      <c r="H2902" s="2" t="n">
        <v>2901</v>
      </c>
      <c r="I2902" s="2" t="s">
        <v>30</v>
      </c>
      <c r="J2902" s="2" t="n">
        <v>2</v>
      </c>
      <c r="K2902" s="2" t="s">
        <v>36</v>
      </c>
      <c r="L2902" s="2" t="s">
        <v>37</v>
      </c>
      <c r="M2902" s="2" t="n">
        <v>103680</v>
      </c>
      <c r="N2902" s="2" t="n">
        <v>6</v>
      </c>
      <c r="O2902" s="2" t="n">
        <v>12</v>
      </c>
      <c r="P2902" s="2" t="n">
        <v>2</v>
      </c>
      <c r="Q2902" s="2" t="n">
        <v>23</v>
      </c>
      <c r="R2902" s="2" t="n">
        <v>2</v>
      </c>
      <c r="S2902" s="2" t="n">
        <v>19</v>
      </c>
      <c r="T2902" s="2" t="n">
        <v>12</v>
      </c>
      <c r="U2902" s="2" t="n">
        <v>8</v>
      </c>
      <c r="V2902" s="2" t="n">
        <v>4</v>
      </c>
      <c r="W2902" s="2" t="n">
        <v>4</v>
      </c>
      <c r="X2902" s="2" t="n">
        <v>3</v>
      </c>
      <c r="Y2902" s="2" t="n">
        <v>3</v>
      </c>
      <c r="Z2902" s="2" t="n">
        <v>3</v>
      </c>
    </row>
    <row r="2903" customFormat="false" ht="15" hidden="false" customHeight="true" outlineLevel="0" collapsed="false">
      <c r="A2903" s="2" t="n">
        <v>54</v>
      </c>
      <c r="B2903" s="2" t="s">
        <v>26</v>
      </c>
      <c r="C2903" s="2" t="s">
        <v>27</v>
      </c>
      <c r="D2903" s="2" t="s">
        <v>28</v>
      </c>
      <c r="E2903" s="2" t="n">
        <v>8</v>
      </c>
      <c r="F2903" s="2" t="n">
        <v>2</v>
      </c>
      <c r="G2903" s="2" t="s">
        <v>50</v>
      </c>
      <c r="H2903" s="2" t="n">
        <v>2902</v>
      </c>
      <c r="I2903" s="2" t="s">
        <v>30</v>
      </c>
      <c r="J2903" s="2" t="n">
        <v>2</v>
      </c>
      <c r="K2903" s="2" t="s">
        <v>45</v>
      </c>
      <c r="L2903" s="2" t="s">
        <v>32</v>
      </c>
      <c r="M2903" s="2" t="n">
        <v>61340</v>
      </c>
      <c r="N2903" s="2" t="n">
        <v>2</v>
      </c>
      <c r="O2903" s="2" t="n">
        <v>19</v>
      </c>
      <c r="P2903" s="2" t="n">
        <v>0</v>
      </c>
      <c r="Q2903" s="2" t="n">
        <v>16</v>
      </c>
      <c r="R2903" s="2" t="n">
        <v>2</v>
      </c>
      <c r="S2903" s="2" t="n">
        <v>6</v>
      </c>
      <c r="T2903" s="2" t="n">
        <v>0</v>
      </c>
      <c r="U2903" s="2" t="n">
        <v>5</v>
      </c>
      <c r="V2903" s="2" t="n">
        <v>4</v>
      </c>
      <c r="W2903" s="2" t="n">
        <v>1</v>
      </c>
      <c r="X2903" s="2" t="n">
        <v>3</v>
      </c>
      <c r="Y2903" s="2" t="n">
        <v>2</v>
      </c>
      <c r="Z2903" s="2" t="n">
        <v>3</v>
      </c>
    </row>
    <row r="2904" customFormat="false" ht="15" hidden="false" customHeight="true" outlineLevel="0" collapsed="false">
      <c r="A2904" s="2" t="n">
        <v>36</v>
      </c>
      <c r="B2904" s="2" t="s">
        <v>26</v>
      </c>
      <c r="C2904" s="2" t="s">
        <v>27</v>
      </c>
      <c r="D2904" s="2" t="s">
        <v>35</v>
      </c>
      <c r="E2904" s="2" t="n">
        <v>16</v>
      </c>
      <c r="F2904" s="2" t="n">
        <v>4</v>
      </c>
      <c r="G2904" s="2" t="s">
        <v>29</v>
      </c>
      <c r="H2904" s="2" t="n">
        <v>2903</v>
      </c>
      <c r="I2904" s="2" t="s">
        <v>39</v>
      </c>
      <c r="J2904" s="2" t="n">
        <v>1</v>
      </c>
      <c r="K2904" s="2" t="s">
        <v>31</v>
      </c>
      <c r="L2904" s="2" t="s">
        <v>37</v>
      </c>
      <c r="M2904" s="2" t="n">
        <v>67350</v>
      </c>
      <c r="N2904" s="2" t="n">
        <v>8</v>
      </c>
      <c r="O2904" s="2" t="n">
        <v>25</v>
      </c>
      <c r="P2904" s="2" t="n">
        <v>2</v>
      </c>
      <c r="Q2904" s="2" t="n">
        <v>16</v>
      </c>
      <c r="R2904" s="2" t="n">
        <v>3</v>
      </c>
      <c r="S2904" s="2" t="n">
        <v>13</v>
      </c>
      <c r="T2904" s="2" t="n">
        <v>3</v>
      </c>
      <c r="U2904" s="2" t="n">
        <v>7</v>
      </c>
      <c r="V2904" s="2" t="n">
        <v>4</v>
      </c>
      <c r="W2904" s="2" t="n">
        <v>2</v>
      </c>
      <c r="X2904" s="2" t="n">
        <v>4</v>
      </c>
      <c r="Y2904" s="2" t="n">
        <v>2</v>
      </c>
      <c r="Z2904" s="2" t="n">
        <v>4</v>
      </c>
    </row>
    <row r="2905" customFormat="false" ht="15" hidden="false" customHeight="true" outlineLevel="0" collapsed="false">
      <c r="A2905" s="2" t="n">
        <v>33</v>
      </c>
      <c r="B2905" s="2" t="s">
        <v>26</v>
      </c>
      <c r="C2905" s="2" t="s">
        <v>27</v>
      </c>
      <c r="D2905" s="2" t="s">
        <v>28</v>
      </c>
      <c r="E2905" s="2" t="n">
        <v>9</v>
      </c>
      <c r="F2905" s="2" t="n">
        <v>1</v>
      </c>
      <c r="G2905" s="2" t="s">
        <v>38</v>
      </c>
      <c r="H2905" s="2" t="n">
        <v>2904</v>
      </c>
      <c r="I2905" s="2" t="s">
        <v>30</v>
      </c>
      <c r="J2905" s="2" t="n">
        <v>3</v>
      </c>
      <c r="K2905" s="2" t="s">
        <v>40</v>
      </c>
      <c r="L2905" s="2" t="s">
        <v>32</v>
      </c>
      <c r="M2905" s="2" t="n">
        <v>32950</v>
      </c>
      <c r="N2905" s="2" t="n">
        <v>6</v>
      </c>
      <c r="O2905" s="2" t="n">
        <v>22</v>
      </c>
      <c r="P2905" s="2" t="n">
        <v>2</v>
      </c>
      <c r="Q2905" s="2" t="n">
        <v>7</v>
      </c>
      <c r="R2905" s="2" t="n">
        <v>2</v>
      </c>
      <c r="S2905" s="2" t="n">
        <v>3</v>
      </c>
      <c r="T2905" s="2" t="n">
        <v>1</v>
      </c>
      <c r="U2905" s="2" t="n">
        <v>1</v>
      </c>
      <c r="V2905" s="2" t="n">
        <v>3</v>
      </c>
      <c r="W2905" s="2" t="n">
        <v>2</v>
      </c>
      <c r="X2905" s="2" t="n">
        <v>3</v>
      </c>
      <c r="Y2905" s="2" t="n">
        <v>3</v>
      </c>
      <c r="Z2905" s="2" t="n">
        <v>4</v>
      </c>
    </row>
    <row r="2906" customFormat="false" ht="15" hidden="false" customHeight="true" outlineLevel="0" collapsed="false">
      <c r="A2906" s="2" t="n">
        <v>37</v>
      </c>
      <c r="B2906" s="2" t="s">
        <v>26</v>
      </c>
      <c r="C2906" s="2" t="s">
        <v>34</v>
      </c>
      <c r="D2906" s="2" t="s">
        <v>28</v>
      </c>
      <c r="E2906" s="2" t="n">
        <v>2</v>
      </c>
      <c r="F2906" s="2" t="n">
        <v>4</v>
      </c>
      <c r="G2906" s="2" t="s">
        <v>29</v>
      </c>
      <c r="H2906" s="2" t="n">
        <v>2905</v>
      </c>
      <c r="I2906" s="2" t="s">
        <v>39</v>
      </c>
      <c r="J2906" s="2" t="n">
        <v>2</v>
      </c>
      <c r="K2906" s="2" t="s">
        <v>45</v>
      </c>
      <c r="L2906" s="2" t="s">
        <v>46</v>
      </c>
      <c r="M2906" s="2" t="n">
        <v>52380</v>
      </c>
      <c r="N2906" s="2" t="n">
        <v>1</v>
      </c>
      <c r="O2906" s="2" t="n">
        <v>15</v>
      </c>
      <c r="P2906" s="2" t="n">
        <v>1</v>
      </c>
      <c r="Q2906" s="2" t="n">
        <v>10</v>
      </c>
      <c r="R2906" s="2" t="n">
        <v>5</v>
      </c>
      <c r="S2906" s="2" t="n">
        <v>10</v>
      </c>
      <c r="T2906" s="2" t="n">
        <v>0</v>
      </c>
      <c r="U2906" s="2" t="n">
        <v>7</v>
      </c>
      <c r="V2906" s="2" t="n">
        <v>2</v>
      </c>
      <c r="W2906" s="2" t="n">
        <v>4</v>
      </c>
      <c r="X2906" s="2" t="n">
        <v>3</v>
      </c>
      <c r="Y2906" s="2" t="n">
        <v>3</v>
      </c>
      <c r="Z2906" s="2" t="n">
        <v>3</v>
      </c>
    </row>
    <row r="2907" customFormat="false" ht="15" hidden="false" customHeight="true" outlineLevel="0" collapsed="false">
      <c r="A2907" s="2" t="n">
        <v>38</v>
      </c>
      <c r="B2907" s="2" t="s">
        <v>26</v>
      </c>
      <c r="C2907" s="2" t="s">
        <v>27</v>
      </c>
      <c r="D2907" s="2" t="s">
        <v>35</v>
      </c>
      <c r="E2907" s="2" t="n">
        <v>1</v>
      </c>
      <c r="F2907" s="2" t="n">
        <v>2</v>
      </c>
      <c r="G2907" s="2" t="s">
        <v>43</v>
      </c>
      <c r="H2907" s="2" t="n">
        <v>2906</v>
      </c>
      <c r="I2907" s="2" t="s">
        <v>39</v>
      </c>
      <c r="J2907" s="2" t="n">
        <v>4</v>
      </c>
      <c r="K2907" s="2" t="s">
        <v>45</v>
      </c>
      <c r="L2907" s="2" t="s">
        <v>46</v>
      </c>
      <c r="M2907" s="2" t="n">
        <v>64720</v>
      </c>
      <c r="N2907" s="2" t="n">
        <v>0</v>
      </c>
      <c r="O2907" s="2" t="n">
        <v>12</v>
      </c>
      <c r="P2907" s="2" t="n">
        <v>0</v>
      </c>
      <c r="Q2907" s="2" t="n">
        <v>17</v>
      </c>
      <c r="R2907" s="2" t="n">
        <v>4</v>
      </c>
      <c r="S2907" s="2" t="n">
        <v>16</v>
      </c>
      <c r="T2907" s="2" t="n">
        <v>5</v>
      </c>
      <c r="U2907" s="2" t="n">
        <v>13</v>
      </c>
      <c r="V2907" s="2" t="n">
        <v>1</v>
      </c>
      <c r="W2907" s="2" t="n">
        <v>3</v>
      </c>
      <c r="X2907" s="2" t="n">
        <v>2</v>
      </c>
      <c r="Y2907" s="2" t="n">
        <v>3</v>
      </c>
      <c r="Z2907" s="2" t="n">
        <v>3</v>
      </c>
    </row>
    <row r="2908" customFormat="false" ht="15" hidden="false" customHeight="true" outlineLevel="0" collapsed="false">
      <c r="A2908" s="2" t="n">
        <v>31</v>
      </c>
      <c r="B2908" s="2" t="s">
        <v>26</v>
      </c>
      <c r="C2908" s="2" t="s">
        <v>41</v>
      </c>
      <c r="D2908" s="2" t="s">
        <v>28</v>
      </c>
      <c r="E2908" s="2" t="n">
        <v>4</v>
      </c>
      <c r="F2908" s="2" t="n">
        <v>1</v>
      </c>
      <c r="G2908" s="2" t="s">
        <v>43</v>
      </c>
      <c r="H2908" s="2" t="n">
        <v>2907</v>
      </c>
      <c r="I2908" s="2" t="s">
        <v>30</v>
      </c>
      <c r="J2908" s="2" t="n">
        <v>3</v>
      </c>
      <c r="K2908" s="2" t="s">
        <v>36</v>
      </c>
      <c r="L2908" s="2" t="s">
        <v>32</v>
      </c>
      <c r="M2908" s="2" t="n">
        <v>96100</v>
      </c>
      <c r="N2908" s="2" t="n">
        <v>0</v>
      </c>
      <c r="O2908" s="2" t="n">
        <v>11</v>
      </c>
      <c r="P2908" s="2" t="n">
        <v>1</v>
      </c>
      <c r="Q2908" s="2" t="n">
        <v>6</v>
      </c>
      <c r="R2908" s="2" t="n">
        <v>2</v>
      </c>
      <c r="S2908" s="2" t="n">
        <v>5</v>
      </c>
      <c r="T2908" s="2" t="n">
        <v>1</v>
      </c>
      <c r="U2908" s="2" t="n">
        <v>4</v>
      </c>
      <c r="V2908" s="2" t="n">
        <v>3</v>
      </c>
      <c r="W2908" s="2" t="n">
        <v>3</v>
      </c>
      <c r="X2908" s="2" t="n">
        <v>3</v>
      </c>
      <c r="Y2908" s="2" t="n">
        <v>2</v>
      </c>
      <c r="Z2908" s="2" t="n">
        <v>3</v>
      </c>
    </row>
    <row r="2909" customFormat="false" ht="15" hidden="false" customHeight="true" outlineLevel="0" collapsed="false">
      <c r="A2909" s="2" t="n">
        <v>59</v>
      </c>
      <c r="B2909" s="2" t="s">
        <v>26</v>
      </c>
      <c r="C2909" s="2" t="s">
        <v>27</v>
      </c>
      <c r="D2909" s="2" t="s">
        <v>35</v>
      </c>
      <c r="E2909" s="2" t="n">
        <v>5</v>
      </c>
      <c r="F2909" s="2" t="n">
        <v>3</v>
      </c>
      <c r="G2909" s="2" t="s">
        <v>29</v>
      </c>
      <c r="H2909" s="2" t="n">
        <v>2908</v>
      </c>
      <c r="I2909" s="2" t="s">
        <v>30</v>
      </c>
      <c r="J2909" s="2" t="n">
        <v>3</v>
      </c>
      <c r="K2909" s="2" t="s">
        <v>49</v>
      </c>
      <c r="L2909" s="2" t="s">
        <v>32</v>
      </c>
      <c r="M2909" s="2" t="n">
        <v>198330</v>
      </c>
      <c r="N2909" s="2" t="n">
        <v>3</v>
      </c>
      <c r="O2909" s="2" t="n">
        <v>13</v>
      </c>
      <c r="P2909" s="2" t="n">
        <v>0</v>
      </c>
      <c r="Q2909" s="2" t="n">
        <v>7</v>
      </c>
      <c r="R2909" s="2" t="n">
        <v>2</v>
      </c>
      <c r="S2909" s="2" t="n">
        <v>1</v>
      </c>
      <c r="T2909" s="2" t="n">
        <v>0</v>
      </c>
      <c r="U2909" s="2" t="n">
        <v>0</v>
      </c>
      <c r="V2909" s="2" t="n">
        <v>3</v>
      </c>
      <c r="W2909" s="2" t="n">
        <v>4</v>
      </c>
      <c r="X2909" s="2" t="n">
        <v>3</v>
      </c>
      <c r="Y2909" s="2" t="n">
        <v>3</v>
      </c>
      <c r="Z2909" s="2" t="n">
        <v>3</v>
      </c>
    </row>
    <row r="2910" customFormat="false" ht="15" hidden="false" customHeight="true" outlineLevel="0" collapsed="false">
      <c r="A2910" s="2" t="n">
        <v>37</v>
      </c>
      <c r="B2910" s="2" t="s">
        <v>26</v>
      </c>
      <c r="C2910" s="2" t="s">
        <v>34</v>
      </c>
      <c r="D2910" s="2" t="s">
        <v>28</v>
      </c>
      <c r="E2910" s="2" t="n">
        <v>2</v>
      </c>
      <c r="F2910" s="2" t="n">
        <v>3</v>
      </c>
      <c r="G2910" s="2" t="s">
        <v>50</v>
      </c>
      <c r="H2910" s="2" t="n">
        <v>2909</v>
      </c>
      <c r="I2910" s="2" t="s">
        <v>30</v>
      </c>
      <c r="J2910" s="2" t="n">
        <v>2</v>
      </c>
      <c r="K2910" s="2" t="s">
        <v>45</v>
      </c>
      <c r="L2910" s="2" t="s">
        <v>46</v>
      </c>
      <c r="M2910" s="2" t="n">
        <v>97560</v>
      </c>
      <c r="N2910" s="2" t="n">
        <v>4</v>
      </c>
      <c r="O2910" s="2" t="n">
        <v>19</v>
      </c>
      <c r="P2910" s="2" t="n">
        <v>0</v>
      </c>
      <c r="Q2910" s="2" t="n">
        <v>13</v>
      </c>
      <c r="R2910" s="2" t="n">
        <v>2</v>
      </c>
      <c r="S2910" s="2" t="n">
        <v>9</v>
      </c>
      <c r="T2910" s="2" t="n">
        <v>5</v>
      </c>
      <c r="U2910" s="2" t="n">
        <v>8</v>
      </c>
      <c r="V2910" s="2" t="n">
        <v>1</v>
      </c>
      <c r="W2910" s="2" t="n">
        <v>4</v>
      </c>
      <c r="X2910" s="2" t="n">
        <v>3</v>
      </c>
      <c r="Y2910" s="2" t="n">
        <v>3</v>
      </c>
      <c r="Z2910" s="2" t="n">
        <v>3</v>
      </c>
    </row>
    <row r="2911" customFormat="false" ht="15" hidden="false" customHeight="true" outlineLevel="0" collapsed="false">
      <c r="A2911" s="2" t="n">
        <v>29</v>
      </c>
      <c r="B2911" s="2" t="s">
        <v>26</v>
      </c>
      <c r="C2911" s="2" t="s">
        <v>34</v>
      </c>
      <c r="D2911" s="2" t="s">
        <v>28</v>
      </c>
      <c r="E2911" s="2" t="n">
        <v>15</v>
      </c>
      <c r="F2911" s="2" t="n">
        <v>4</v>
      </c>
      <c r="G2911" s="2" t="s">
        <v>43</v>
      </c>
      <c r="H2911" s="2" t="n">
        <v>2910</v>
      </c>
      <c r="I2911" s="2" t="s">
        <v>30</v>
      </c>
      <c r="J2911" s="2" t="n">
        <v>1</v>
      </c>
      <c r="K2911" s="2" t="s">
        <v>40</v>
      </c>
      <c r="L2911" s="2" t="s">
        <v>32</v>
      </c>
      <c r="M2911" s="2" t="n">
        <v>49680</v>
      </c>
      <c r="N2911" s="2" t="n">
        <v>1</v>
      </c>
      <c r="O2911" s="2" t="n">
        <v>19</v>
      </c>
      <c r="P2911" s="2" t="n">
        <v>3</v>
      </c>
      <c r="Q2911" s="2" t="n">
        <v>11</v>
      </c>
      <c r="R2911" s="2" t="n">
        <v>4</v>
      </c>
      <c r="S2911" s="2" t="n">
        <v>11</v>
      </c>
      <c r="T2911" s="2" t="n">
        <v>4</v>
      </c>
      <c r="U2911" s="2" t="n">
        <v>1</v>
      </c>
      <c r="V2911" s="2" t="n">
        <v>2</v>
      </c>
      <c r="W2911" s="2" t="n">
        <v>4</v>
      </c>
      <c r="X2911" s="2" t="n">
        <v>3</v>
      </c>
      <c r="Y2911" s="2" t="n">
        <v>3</v>
      </c>
      <c r="Z2911" s="2" t="n">
        <v>3</v>
      </c>
    </row>
    <row r="2912" customFormat="false" ht="15" hidden="false" customHeight="true" outlineLevel="0" collapsed="false">
      <c r="A2912" s="2" t="n">
        <v>35</v>
      </c>
      <c r="B2912" s="2" t="s">
        <v>26</v>
      </c>
      <c r="C2912" s="2" t="s">
        <v>34</v>
      </c>
      <c r="D2912" s="2" t="s">
        <v>35</v>
      </c>
      <c r="E2912" s="2" t="n">
        <v>19</v>
      </c>
      <c r="F2912" s="2" t="n">
        <v>3</v>
      </c>
      <c r="G2912" s="2" t="s">
        <v>29</v>
      </c>
      <c r="H2912" s="2" t="n">
        <v>2911</v>
      </c>
      <c r="I2912" s="2" t="s">
        <v>30</v>
      </c>
      <c r="J2912" s="2" t="n">
        <v>1</v>
      </c>
      <c r="K2912" s="2" t="s">
        <v>40</v>
      </c>
      <c r="L2912" s="2" t="s">
        <v>37</v>
      </c>
      <c r="M2912" s="2" t="n">
        <v>21450</v>
      </c>
      <c r="N2912" s="2" t="n">
        <v>1</v>
      </c>
      <c r="O2912" s="2" t="n">
        <v>13</v>
      </c>
      <c r="P2912" s="2" t="n">
        <v>0</v>
      </c>
      <c r="Q2912" s="2" t="n">
        <v>10</v>
      </c>
      <c r="R2912" s="2" t="n">
        <v>6</v>
      </c>
      <c r="S2912" s="2" t="n">
        <v>10</v>
      </c>
      <c r="T2912" s="2" t="n">
        <v>0</v>
      </c>
      <c r="U2912" s="2" t="n">
        <v>8</v>
      </c>
      <c r="V2912" s="2" t="n">
        <v>3</v>
      </c>
      <c r="W2912" s="2" t="n">
        <v>3</v>
      </c>
      <c r="X2912" s="2" t="n">
        <v>4</v>
      </c>
      <c r="Y2912" s="2" t="n">
        <v>2</v>
      </c>
      <c r="Z2912" s="2" t="n">
        <v>3</v>
      </c>
    </row>
    <row r="2913" customFormat="false" ht="15" hidden="false" customHeight="true" outlineLevel="0" collapsed="false">
      <c r="A2913" s="2" t="n">
        <v>29</v>
      </c>
      <c r="B2913" s="2" t="s">
        <v>33</v>
      </c>
      <c r="C2913" s="2" t="s">
        <v>27</v>
      </c>
      <c r="D2913" s="2" t="s">
        <v>35</v>
      </c>
      <c r="E2913" s="2" t="n">
        <v>7</v>
      </c>
      <c r="F2913" s="2" t="n">
        <v>1</v>
      </c>
      <c r="G2913" s="2" t="s">
        <v>29</v>
      </c>
      <c r="H2913" s="2" t="n">
        <v>2912</v>
      </c>
      <c r="I2913" s="2" t="s">
        <v>30</v>
      </c>
      <c r="J2913" s="2" t="n">
        <v>1</v>
      </c>
      <c r="K2913" s="2" t="s">
        <v>36</v>
      </c>
      <c r="L2913" s="2" t="s">
        <v>37</v>
      </c>
      <c r="M2913" s="2" t="n">
        <v>21800</v>
      </c>
      <c r="N2913" s="2" t="n">
        <v>1</v>
      </c>
      <c r="O2913" s="2" t="n">
        <v>21</v>
      </c>
      <c r="P2913" s="2" t="n">
        <v>0</v>
      </c>
      <c r="Q2913" s="2" t="n">
        <v>4</v>
      </c>
      <c r="R2913" s="2" t="n">
        <v>2</v>
      </c>
      <c r="S2913" s="2" t="n">
        <v>4</v>
      </c>
      <c r="T2913" s="2" t="n">
        <v>0</v>
      </c>
      <c r="U2913" s="2" t="n">
        <v>1</v>
      </c>
      <c r="V2913" s="2" t="n">
        <v>3</v>
      </c>
      <c r="W2913" s="2" t="n">
        <v>4</v>
      </c>
      <c r="X2913" s="2" t="n">
        <v>2</v>
      </c>
      <c r="Y2913" s="2" t="n">
        <v>3</v>
      </c>
      <c r="Z2913" s="2" t="n">
        <v>4</v>
      </c>
    </row>
    <row r="2914" customFormat="false" ht="15" hidden="false" customHeight="true" outlineLevel="0" collapsed="false">
      <c r="A2914" s="2" t="n">
        <v>52</v>
      </c>
      <c r="B2914" s="2" t="s">
        <v>26</v>
      </c>
      <c r="C2914" s="2" t="s">
        <v>27</v>
      </c>
      <c r="D2914" s="2" t="s">
        <v>35</v>
      </c>
      <c r="E2914" s="2" t="n">
        <v>1</v>
      </c>
      <c r="F2914" s="2" t="n">
        <v>2</v>
      </c>
      <c r="G2914" s="2" t="s">
        <v>43</v>
      </c>
      <c r="H2914" s="2" t="n">
        <v>2913</v>
      </c>
      <c r="I2914" s="2" t="s">
        <v>30</v>
      </c>
      <c r="J2914" s="2" t="n">
        <v>4</v>
      </c>
      <c r="K2914" s="2" t="s">
        <v>49</v>
      </c>
      <c r="L2914" s="2" t="s">
        <v>37</v>
      </c>
      <c r="M2914" s="2" t="n">
        <v>83460</v>
      </c>
      <c r="N2914" s="2" t="n">
        <v>7</v>
      </c>
      <c r="O2914" s="2" t="n">
        <v>14</v>
      </c>
      <c r="P2914" s="2" t="n">
        <v>0</v>
      </c>
      <c r="Q2914" s="2" t="n">
        <v>6</v>
      </c>
      <c r="R2914" s="2" t="n">
        <v>5</v>
      </c>
      <c r="S2914" s="2" t="n">
        <v>2</v>
      </c>
      <c r="T2914" s="2" t="n">
        <v>2</v>
      </c>
      <c r="U2914" s="2" t="n">
        <v>2</v>
      </c>
      <c r="V2914" s="2" t="n">
        <v>3</v>
      </c>
      <c r="W2914" s="2" t="n">
        <v>4</v>
      </c>
      <c r="X2914" s="2" t="n">
        <v>2</v>
      </c>
      <c r="Y2914" s="2" t="n">
        <v>3</v>
      </c>
      <c r="Z2914" s="2" t="n">
        <v>3</v>
      </c>
    </row>
    <row r="2915" customFormat="false" ht="15" hidden="false" customHeight="true" outlineLevel="0" collapsed="false">
      <c r="A2915" s="2" t="n">
        <v>42</v>
      </c>
      <c r="B2915" s="2" t="s">
        <v>26</v>
      </c>
      <c r="C2915" s="2" t="s">
        <v>27</v>
      </c>
      <c r="D2915" s="2" t="s">
        <v>35</v>
      </c>
      <c r="E2915" s="2" t="n">
        <v>7</v>
      </c>
      <c r="F2915" s="2" t="n">
        <v>4</v>
      </c>
      <c r="G2915" s="2" t="s">
        <v>29</v>
      </c>
      <c r="H2915" s="2" t="n">
        <v>2914</v>
      </c>
      <c r="I2915" s="2" t="s">
        <v>30</v>
      </c>
      <c r="J2915" s="2" t="n">
        <v>2</v>
      </c>
      <c r="K2915" s="2" t="s">
        <v>40</v>
      </c>
      <c r="L2915" s="2" t="s">
        <v>32</v>
      </c>
      <c r="M2915" s="2" t="n">
        <v>34450</v>
      </c>
      <c r="N2915" s="2" t="n">
        <v>1</v>
      </c>
      <c r="O2915" s="2" t="n">
        <v>11</v>
      </c>
      <c r="P2915" s="2" t="n">
        <v>2</v>
      </c>
      <c r="Q2915" s="2" t="n">
        <v>22</v>
      </c>
      <c r="R2915" s="2" t="n">
        <v>2</v>
      </c>
      <c r="S2915" s="2" t="n">
        <v>22</v>
      </c>
      <c r="T2915" s="2" t="n">
        <v>11</v>
      </c>
      <c r="U2915" s="2" t="n">
        <v>15</v>
      </c>
      <c r="V2915" s="2" t="n">
        <v>3</v>
      </c>
      <c r="W2915" s="2" t="n">
        <v>4</v>
      </c>
      <c r="X2915" s="2" t="n">
        <v>3</v>
      </c>
      <c r="Y2915" s="2" t="n">
        <v>3</v>
      </c>
      <c r="Z2915" s="2" t="n">
        <v>3</v>
      </c>
    </row>
    <row r="2916" customFormat="false" ht="15" hidden="false" customHeight="true" outlineLevel="0" collapsed="false">
      <c r="A2916" s="2" t="n">
        <v>59</v>
      </c>
      <c r="B2916" s="2" t="s">
        <v>26</v>
      </c>
      <c r="C2916" s="2" t="s">
        <v>27</v>
      </c>
      <c r="D2916" s="2" t="s">
        <v>35</v>
      </c>
      <c r="E2916" s="2" t="n">
        <v>4</v>
      </c>
      <c r="F2916" s="2" t="n">
        <v>4</v>
      </c>
      <c r="G2916" s="2" t="s">
        <v>51</v>
      </c>
      <c r="H2916" s="2" t="n">
        <v>2915</v>
      </c>
      <c r="I2916" s="2" t="s">
        <v>39</v>
      </c>
      <c r="J2916" s="2" t="n">
        <v>1</v>
      </c>
      <c r="K2916" s="2" t="s">
        <v>31</v>
      </c>
      <c r="L2916" s="2" t="s">
        <v>32</v>
      </c>
      <c r="M2916" s="2" t="n">
        <v>27600</v>
      </c>
      <c r="N2916" s="2" t="n">
        <v>8</v>
      </c>
      <c r="O2916" s="2" t="n">
        <v>11</v>
      </c>
      <c r="P2916" s="2" t="n">
        <v>0</v>
      </c>
      <c r="Q2916" s="2" t="n">
        <v>7</v>
      </c>
      <c r="R2916" s="2" t="n">
        <v>3</v>
      </c>
      <c r="S2916" s="2" t="n">
        <v>2</v>
      </c>
      <c r="T2916" s="2" t="n">
        <v>2</v>
      </c>
      <c r="U2916" s="2" t="n">
        <v>2</v>
      </c>
      <c r="V2916" s="2" t="n">
        <v>2</v>
      </c>
      <c r="W2916" s="2" t="n">
        <v>3</v>
      </c>
      <c r="X2916" s="2" t="n">
        <v>2</v>
      </c>
      <c r="Y2916" s="2" t="n">
        <v>4</v>
      </c>
      <c r="Z2916" s="2" t="n">
        <v>3</v>
      </c>
    </row>
    <row r="2917" customFormat="false" ht="15" hidden="false" customHeight="true" outlineLevel="0" collapsed="false">
      <c r="A2917" s="2" t="n">
        <v>50</v>
      </c>
      <c r="B2917" s="2" t="s">
        <v>26</v>
      </c>
      <c r="C2917" s="2" t="s">
        <v>27</v>
      </c>
      <c r="D2917" s="2" t="s">
        <v>35</v>
      </c>
      <c r="E2917" s="2" t="n">
        <v>11</v>
      </c>
      <c r="F2917" s="2" t="n">
        <v>2</v>
      </c>
      <c r="G2917" s="2" t="s">
        <v>29</v>
      </c>
      <c r="H2917" s="2" t="n">
        <v>2916</v>
      </c>
      <c r="I2917" s="2" t="s">
        <v>39</v>
      </c>
      <c r="J2917" s="2" t="n">
        <v>2</v>
      </c>
      <c r="K2917" s="2" t="s">
        <v>40</v>
      </c>
      <c r="L2917" s="2" t="s">
        <v>46</v>
      </c>
      <c r="M2917" s="2" t="n">
        <v>62940</v>
      </c>
      <c r="N2917" s="2" t="n">
        <v>3</v>
      </c>
      <c r="O2917" s="2" t="n">
        <v>23</v>
      </c>
      <c r="P2917" s="2" t="n">
        <v>1</v>
      </c>
      <c r="Q2917" s="2" t="n">
        <v>32</v>
      </c>
      <c r="R2917" s="2" t="n">
        <v>2</v>
      </c>
      <c r="S2917" s="2" t="n">
        <v>7</v>
      </c>
      <c r="T2917" s="2" t="n">
        <v>0</v>
      </c>
      <c r="U2917" s="2" t="n">
        <v>6</v>
      </c>
      <c r="V2917" s="2" t="n">
        <v>4</v>
      </c>
      <c r="W2917" s="2" t="n">
        <v>4</v>
      </c>
      <c r="X2917" s="2" t="n">
        <v>2</v>
      </c>
      <c r="Y2917" s="2" t="n">
        <v>4</v>
      </c>
      <c r="Z2917" s="2" t="n">
        <v>4</v>
      </c>
    </row>
    <row r="2918" customFormat="false" ht="15" hidden="false" customHeight="true" outlineLevel="0" collapsed="false">
      <c r="A2918" s="2" t="n">
        <v>33</v>
      </c>
      <c r="B2918" s="2" t="s">
        <v>33</v>
      </c>
      <c r="C2918" s="2" t="s">
        <v>27</v>
      </c>
      <c r="D2918" s="2" t="s">
        <v>28</v>
      </c>
      <c r="E2918" s="2" t="n">
        <v>11</v>
      </c>
      <c r="F2918" s="2" t="n">
        <v>4</v>
      </c>
      <c r="G2918" s="2" t="s">
        <v>50</v>
      </c>
      <c r="H2918" s="2" t="n">
        <v>2917</v>
      </c>
      <c r="I2918" s="2" t="s">
        <v>39</v>
      </c>
      <c r="J2918" s="2" t="n">
        <v>1</v>
      </c>
      <c r="K2918" s="2" t="s">
        <v>36</v>
      </c>
      <c r="L2918" s="2" t="s">
        <v>32</v>
      </c>
      <c r="M2918" s="2" t="n">
        <v>71400</v>
      </c>
      <c r="N2918" s="2" t="n">
        <v>5</v>
      </c>
      <c r="O2918" s="2" t="n">
        <v>21</v>
      </c>
      <c r="P2918" s="2" t="n">
        <v>0</v>
      </c>
      <c r="Q2918" s="2" t="n">
        <v>8</v>
      </c>
      <c r="R2918" s="2" t="n">
        <v>2</v>
      </c>
      <c r="S2918" s="2" t="n">
        <v>5</v>
      </c>
      <c r="T2918" s="2" t="n">
        <v>0</v>
      </c>
      <c r="U2918" s="2" t="n">
        <v>4</v>
      </c>
      <c r="V2918" s="2" t="n">
        <v>3</v>
      </c>
      <c r="W2918" s="2" t="n">
        <v>4</v>
      </c>
      <c r="X2918" s="2" t="n">
        <v>1</v>
      </c>
      <c r="Y2918" s="2" t="n">
        <v>2</v>
      </c>
      <c r="Z2918" s="2" t="n">
        <v>4</v>
      </c>
    </row>
    <row r="2919" customFormat="false" ht="15" hidden="false" customHeight="true" outlineLevel="0" collapsed="false">
      <c r="A2919" s="2" t="n">
        <v>43</v>
      </c>
      <c r="B2919" s="2" t="s">
        <v>26</v>
      </c>
      <c r="C2919" s="2" t="s">
        <v>27</v>
      </c>
      <c r="D2919" s="2" t="s">
        <v>28</v>
      </c>
      <c r="E2919" s="2" t="n">
        <v>1</v>
      </c>
      <c r="F2919" s="2" t="n">
        <v>3</v>
      </c>
      <c r="G2919" s="2" t="s">
        <v>50</v>
      </c>
      <c r="H2919" s="2" t="n">
        <v>2918</v>
      </c>
      <c r="I2919" s="2" t="s">
        <v>30</v>
      </c>
      <c r="J2919" s="2" t="n">
        <v>2</v>
      </c>
      <c r="K2919" s="2" t="s">
        <v>47</v>
      </c>
      <c r="L2919" s="2" t="s">
        <v>32</v>
      </c>
      <c r="M2919" s="2" t="n">
        <v>29320</v>
      </c>
      <c r="N2919" s="2" t="n">
        <v>5</v>
      </c>
      <c r="O2919" s="2" t="n">
        <v>24</v>
      </c>
      <c r="P2919" s="2" t="n">
        <v>0</v>
      </c>
      <c r="Q2919" s="2" t="n">
        <v>22</v>
      </c>
      <c r="R2919" s="2" t="n">
        <v>3</v>
      </c>
      <c r="S2919" s="2" t="n">
        <v>17</v>
      </c>
      <c r="T2919" s="2" t="n">
        <v>1</v>
      </c>
      <c r="U2919" s="2" t="n">
        <v>9</v>
      </c>
      <c r="V2919" s="2" t="n">
        <v>4</v>
      </c>
      <c r="W2919" s="2" t="n">
        <v>4</v>
      </c>
      <c r="X2919" s="2" t="n">
        <v>3</v>
      </c>
      <c r="Y2919" s="2" t="n">
        <v>3</v>
      </c>
      <c r="Z2919" s="2" t="n">
        <v>4</v>
      </c>
    </row>
    <row r="2920" customFormat="false" ht="15" hidden="false" customHeight="true" outlineLevel="0" collapsed="false">
      <c r="A2920" s="2" t="n">
        <v>33</v>
      </c>
      <c r="B2920" s="2" t="s">
        <v>33</v>
      </c>
      <c r="C2920" s="2" t="s">
        <v>27</v>
      </c>
      <c r="D2920" s="2" t="s">
        <v>28</v>
      </c>
      <c r="E2920" s="2" t="n">
        <v>1</v>
      </c>
      <c r="F2920" s="2" t="n">
        <v>3</v>
      </c>
      <c r="G2920" s="2" t="s">
        <v>29</v>
      </c>
      <c r="H2920" s="2" t="n">
        <v>2919</v>
      </c>
      <c r="I2920" s="2" t="s">
        <v>39</v>
      </c>
      <c r="J2920" s="2" t="n">
        <v>2</v>
      </c>
      <c r="K2920" s="2" t="s">
        <v>49</v>
      </c>
      <c r="L2920" s="2" t="s">
        <v>32</v>
      </c>
      <c r="M2920" s="2" t="n">
        <v>51470</v>
      </c>
      <c r="N2920" s="2" t="n">
        <v>7</v>
      </c>
      <c r="O2920" s="2" t="n">
        <v>11</v>
      </c>
      <c r="P2920" s="2" t="n">
        <v>0</v>
      </c>
      <c r="Q2920" s="2" t="n">
        <v>13</v>
      </c>
      <c r="R2920" s="2" t="n">
        <v>2</v>
      </c>
      <c r="S2920" s="2" t="n">
        <v>9</v>
      </c>
      <c r="T2920" s="2" t="n">
        <v>1</v>
      </c>
      <c r="U2920" s="2" t="n">
        <v>7</v>
      </c>
      <c r="V2920" s="2" t="n">
        <v>1</v>
      </c>
      <c r="W2920" s="2" t="n">
        <v>1</v>
      </c>
      <c r="X2920" s="2" t="n">
        <v>4</v>
      </c>
      <c r="Y2920" s="2" t="n">
        <v>3</v>
      </c>
      <c r="Z2920" s="2" t="n">
        <v>3</v>
      </c>
    </row>
    <row r="2921" customFormat="false" ht="15" hidden="false" customHeight="true" outlineLevel="0" collapsed="false">
      <c r="A2921" s="2" t="n">
        <v>52</v>
      </c>
      <c r="B2921" s="2" t="s">
        <v>26</v>
      </c>
      <c r="C2921" s="2" t="s">
        <v>41</v>
      </c>
      <c r="D2921" s="2" t="s">
        <v>35</v>
      </c>
      <c r="E2921" s="2" t="n">
        <v>2</v>
      </c>
      <c r="F2921" s="2" t="n">
        <v>3</v>
      </c>
      <c r="G2921" s="2" t="s">
        <v>51</v>
      </c>
      <c r="H2921" s="2" t="n">
        <v>2920</v>
      </c>
      <c r="I2921" s="2" t="s">
        <v>39</v>
      </c>
      <c r="J2921" s="2" t="n">
        <v>1</v>
      </c>
      <c r="K2921" s="2" t="s">
        <v>40</v>
      </c>
      <c r="L2921" s="2" t="s">
        <v>37</v>
      </c>
      <c r="M2921" s="2" t="n">
        <v>45070</v>
      </c>
      <c r="N2921" s="2" t="n">
        <v>1</v>
      </c>
      <c r="O2921" s="2" t="n">
        <v>14</v>
      </c>
      <c r="P2921" s="2" t="n">
        <v>0</v>
      </c>
      <c r="Q2921" s="2" t="n">
        <v>33</v>
      </c>
      <c r="R2921" s="2" t="n">
        <v>3</v>
      </c>
      <c r="S2921" s="2" t="n">
        <v>33</v>
      </c>
      <c r="T2921" s="2" t="n">
        <v>15</v>
      </c>
      <c r="U2921" s="2" t="n">
        <v>12</v>
      </c>
      <c r="V2921" s="2" t="n">
        <v>1</v>
      </c>
      <c r="W2921" s="2" t="n">
        <v>3</v>
      </c>
      <c r="X2921" s="2" t="n">
        <v>4</v>
      </c>
      <c r="Y2921" s="2" t="n">
        <v>2</v>
      </c>
      <c r="Z2921" s="2" t="n">
        <v>3</v>
      </c>
    </row>
    <row r="2922" customFormat="false" ht="15" hidden="false" customHeight="true" outlineLevel="0" collapsed="false">
      <c r="A2922" s="2" t="n">
        <v>32</v>
      </c>
      <c r="B2922" s="2" t="s">
        <v>26</v>
      </c>
      <c r="C2922" s="2" t="s">
        <v>27</v>
      </c>
      <c r="D2922" s="2" t="s">
        <v>42</v>
      </c>
      <c r="E2922" s="2" t="n">
        <v>13</v>
      </c>
      <c r="F2922" s="2" t="n">
        <v>4</v>
      </c>
      <c r="G2922" s="2" t="s">
        <v>29</v>
      </c>
      <c r="H2922" s="2" t="n">
        <v>2921</v>
      </c>
      <c r="I2922" s="2" t="s">
        <v>30</v>
      </c>
      <c r="J2922" s="2" t="n">
        <v>3</v>
      </c>
      <c r="K2922" s="2" t="s">
        <v>47</v>
      </c>
      <c r="L2922" s="2" t="s">
        <v>32</v>
      </c>
      <c r="M2922" s="2" t="n">
        <v>85640</v>
      </c>
      <c r="N2922" s="2" t="n">
        <v>2</v>
      </c>
      <c r="O2922" s="2" t="n">
        <v>16</v>
      </c>
      <c r="P2922" s="2" t="n">
        <v>1</v>
      </c>
      <c r="Q2922" s="2" t="n">
        <v>6</v>
      </c>
      <c r="R2922" s="2" t="n">
        <v>2</v>
      </c>
      <c r="S2922" s="2" t="n">
        <v>4</v>
      </c>
      <c r="T2922" s="2" t="n">
        <v>1</v>
      </c>
      <c r="U2922" s="2" t="n">
        <v>2</v>
      </c>
      <c r="V2922" s="2" t="n">
        <v>3</v>
      </c>
      <c r="W2922" s="2" t="n">
        <v>2</v>
      </c>
      <c r="X2922" s="2" t="n">
        <v>3</v>
      </c>
      <c r="Y2922" s="2" t="n">
        <v>2</v>
      </c>
      <c r="Z2922" s="2" t="n">
        <v>3</v>
      </c>
    </row>
    <row r="2923" customFormat="false" ht="15" hidden="false" customHeight="true" outlineLevel="0" collapsed="false">
      <c r="A2923" s="2" t="n">
        <v>32</v>
      </c>
      <c r="B2923" s="2" t="s">
        <v>33</v>
      </c>
      <c r="C2923" s="2" t="s">
        <v>27</v>
      </c>
      <c r="D2923" s="2" t="s">
        <v>28</v>
      </c>
      <c r="E2923" s="2" t="n">
        <v>23</v>
      </c>
      <c r="F2923" s="2" t="n">
        <v>1</v>
      </c>
      <c r="G2923" s="2" t="s">
        <v>29</v>
      </c>
      <c r="H2923" s="2" t="n">
        <v>2922</v>
      </c>
      <c r="I2923" s="2" t="s">
        <v>39</v>
      </c>
      <c r="J2923" s="2" t="n">
        <v>3</v>
      </c>
      <c r="K2923" s="2" t="s">
        <v>31</v>
      </c>
      <c r="L2923" s="2" t="s">
        <v>37</v>
      </c>
      <c r="M2923" s="2" t="n">
        <v>24680</v>
      </c>
      <c r="N2923" s="2" t="n">
        <v>0</v>
      </c>
      <c r="O2923" s="2" t="n">
        <v>11</v>
      </c>
      <c r="P2923" s="2" t="n">
        <v>0</v>
      </c>
      <c r="Q2923" s="2" t="n">
        <v>4</v>
      </c>
      <c r="R2923" s="2" t="n">
        <v>2</v>
      </c>
      <c r="S2923" s="2" t="n">
        <v>3</v>
      </c>
      <c r="T2923" s="2" t="n">
        <v>1</v>
      </c>
      <c r="U2923" s="2" t="n">
        <v>2</v>
      </c>
      <c r="V2923" s="2" t="n">
        <v>4</v>
      </c>
      <c r="W2923" s="2" t="n">
        <v>3</v>
      </c>
      <c r="X2923" s="2" t="n">
        <v>1</v>
      </c>
      <c r="Y2923" s="2" t="n">
        <v>3</v>
      </c>
      <c r="Z2923" s="2" t="n">
        <v>3</v>
      </c>
    </row>
    <row r="2924" customFormat="false" ht="15" hidden="false" customHeight="true" outlineLevel="0" collapsed="false">
      <c r="A2924" s="2" t="n">
        <v>39</v>
      </c>
      <c r="B2924" s="2" t="s">
        <v>26</v>
      </c>
      <c r="C2924" s="2" t="s">
        <v>27</v>
      </c>
      <c r="D2924" s="2" t="s">
        <v>28</v>
      </c>
      <c r="E2924" s="2" t="n">
        <v>26</v>
      </c>
      <c r="F2924" s="2" t="n">
        <v>4</v>
      </c>
      <c r="G2924" s="2" t="s">
        <v>29</v>
      </c>
      <c r="H2924" s="2" t="n">
        <v>2923</v>
      </c>
      <c r="I2924" s="2" t="s">
        <v>39</v>
      </c>
      <c r="J2924" s="2" t="n">
        <v>2</v>
      </c>
      <c r="K2924" s="2" t="s">
        <v>44</v>
      </c>
      <c r="L2924" s="2" t="s">
        <v>46</v>
      </c>
      <c r="M2924" s="2" t="n">
        <v>81610</v>
      </c>
      <c r="N2924" s="2" t="n">
        <v>7</v>
      </c>
      <c r="O2924" s="2" t="n">
        <v>12</v>
      </c>
      <c r="P2924" s="2" t="n">
        <v>1</v>
      </c>
      <c r="Q2924" s="2" t="n">
        <v>7</v>
      </c>
      <c r="R2924" s="2" t="n">
        <v>2</v>
      </c>
      <c r="S2924" s="2" t="n">
        <v>3</v>
      </c>
      <c r="T2924" s="2" t="n">
        <v>1</v>
      </c>
      <c r="U2924" s="2" t="n">
        <v>2</v>
      </c>
      <c r="V2924" s="2" t="n">
        <v>3</v>
      </c>
      <c r="W2924" s="2" t="n">
        <v>3</v>
      </c>
      <c r="X2924" s="2" t="n">
        <v>3</v>
      </c>
      <c r="Y2924" s="2" t="n">
        <v>4</v>
      </c>
      <c r="Z2924" s="2" t="n">
        <v>3</v>
      </c>
    </row>
    <row r="2925" customFormat="false" ht="15" hidden="false" customHeight="true" outlineLevel="0" collapsed="false">
      <c r="A2925" s="2" t="n">
        <v>32</v>
      </c>
      <c r="B2925" s="2" t="s">
        <v>26</v>
      </c>
      <c r="C2925" s="2" t="s">
        <v>41</v>
      </c>
      <c r="D2925" s="2" t="s">
        <v>28</v>
      </c>
      <c r="E2925" s="2" t="n">
        <v>2</v>
      </c>
      <c r="F2925" s="2" t="n">
        <v>4</v>
      </c>
      <c r="G2925" s="2" t="s">
        <v>50</v>
      </c>
      <c r="H2925" s="2" t="n">
        <v>2924</v>
      </c>
      <c r="I2925" s="2" t="s">
        <v>39</v>
      </c>
      <c r="J2925" s="2" t="n">
        <v>4</v>
      </c>
      <c r="K2925" s="2" t="s">
        <v>36</v>
      </c>
      <c r="L2925" s="2" t="s">
        <v>32</v>
      </c>
      <c r="M2925" s="2" t="n">
        <v>21090</v>
      </c>
      <c r="N2925" s="2" t="n">
        <v>0</v>
      </c>
      <c r="O2925" s="2" t="n">
        <v>13</v>
      </c>
      <c r="P2925" s="2" t="n">
        <v>1</v>
      </c>
      <c r="Q2925" s="2" t="n">
        <v>4</v>
      </c>
      <c r="R2925" s="2" t="n">
        <v>3</v>
      </c>
      <c r="S2925" s="2" t="n">
        <v>3</v>
      </c>
      <c r="T2925" s="2" t="n">
        <v>2</v>
      </c>
      <c r="U2925" s="2" t="n">
        <v>2</v>
      </c>
      <c r="V2925" s="2" t="n">
        <v>3</v>
      </c>
      <c r="W2925" s="2" t="n">
        <v>4</v>
      </c>
      <c r="X2925" s="2" t="n">
        <v>3</v>
      </c>
      <c r="Y2925" s="2" t="n">
        <v>2</v>
      </c>
      <c r="Z2925" s="2" t="n">
        <v>3</v>
      </c>
    </row>
    <row r="2926" customFormat="false" ht="15" hidden="false" customHeight="true" outlineLevel="0" collapsed="false">
      <c r="A2926" s="2" t="n">
        <v>41</v>
      </c>
      <c r="B2926" s="2" t="s">
        <v>26</v>
      </c>
      <c r="C2926" s="2" t="s">
        <v>27</v>
      </c>
      <c r="D2926" s="2" t="s">
        <v>28</v>
      </c>
      <c r="E2926" s="2" t="n">
        <v>29</v>
      </c>
      <c r="F2926" s="2" t="n">
        <v>3</v>
      </c>
      <c r="G2926" s="2" t="s">
        <v>29</v>
      </c>
      <c r="H2926" s="2" t="n">
        <v>2925</v>
      </c>
      <c r="I2926" s="2" t="s">
        <v>30</v>
      </c>
      <c r="J2926" s="2" t="n">
        <v>2</v>
      </c>
      <c r="K2926" s="2" t="s">
        <v>45</v>
      </c>
      <c r="L2926" s="2" t="s">
        <v>46</v>
      </c>
      <c r="M2926" s="2" t="n">
        <v>52940</v>
      </c>
      <c r="N2926" s="2" t="n">
        <v>2</v>
      </c>
      <c r="O2926" s="2" t="n">
        <v>15</v>
      </c>
      <c r="P2926" s="2" t="n">
        <v>0</v>
      </c>
      <c r="Q2926" s="2" t="n">
        <v>17</v>
      </c>
      <c r="R2926" s="2" t="n">
        <v>3</v>
      </c>
      <c r="S2926" s="2" t="n">
        <v>1</v>
      </c>
      <c r="T2926" s="2" t="n">
        <v>0</v>
      </c>
      <c r="U2926" s="2" t="n">
        <v>0</v>
      </c>
      <c r="V2926" s="2" t="n">
        <v>3</v>
      </c>
      <c r="W2926" s="2" t="n">
        <v>1</v>
      </c>
      <c r="X2926" s="2" t="n">
        <v>2</v>
      </c>
      <c r="Y2926" s="2" t="n">
        <v>2</v>
      </c>
      <c r="Z2926" s="2" t="n">
        <v>3</v>
      </c>
    </row>
    <row r="2927" customFormat="false" ht="15" hidden="false" customHeight="true" outlineLevel="0" collapsed="false">
      <c r="A2927" s="2" t="n">
        <v>40</v>
      </c>
      <c r="B2927" s="2" t="s">
        <v>26</v>
      </c>
      <c r="C2927" s="2" t="s">
        <v>27</v>
      </c>
      <c r="D2927" s="2" t="s">
        <v>35</v>
      </c>
      <c r="E2927" s="2" t="n">
        <v>2</v>
      </c>
      <c r="F2927" s="2" t="n">
        <v>3</v>
      </c>
      <c r="G2927" s="2" t="s">
        <v>29</v>
      </c>
      <c r="H2927" s="2" t="n">
        <v>2926</v>
      </c>
      <c r="I2927" s="2" t="s">
        <v>39</v>
      </c>
      <c r="J2927" s="2" t="n">
        <v>1</v>
      </c>
      <c r="K2927" s="2" t="s">
        <v>47</v>
      </c>
      <c r="L2927" s="2" t="s">
        <v>46</v>
      </c>
      <c r="M2927" s="2" t="n">
        <v>27180</v>
      </c>
      <c r="N2927" s="2" t="n">
        <v>1</v>
      </c>
      <c r="O2927" s="2" t="n">
        <v>14</v>
      </c>
      <c r="P2927" s="2" t="n">
        <v>1</v>
      </c>
      <c r="Q2927" s="2" t="n">
        <v>9</v>
      </c>
      <c r="R2927" s="2" t="n">
        <v>4</v>
      </c>
      <c r="S2927" s="2" t="n">
        <v>9</v>
      </c>
      <c r="T2927" s="2" t="n">
        <v>4</v>
      </c>
      <c r="U2927" s="2" t="n">
        <v>7</v>
      </c>
      <c r="V2927" s="2"/>
      <c r="W2927" s="2" t="n">
        <v>4</v>
      </c>
      <c r="X2927" s="2" t="n">
        <v>3</v>
      </c>
      <c r="Y2927" s="2" t="n">
        <v>2</v>
      </c>
      <c r="Z2927" s="2" t="n">
        <v>3</v>
      </c>
    </row>
    <row r="2928" customFormat="false" ht="15" hidden="false" customHeight="true" outlineLevel="0" collapsed="false">
      <c r="A2928" s="2" t="n">
        <v>45</v>
      </c>
      <c r="B2928" s="2" t="s">
        <v>26</v>
      </c>
      <c r="C2928" s="2" t="s">
        <v>27</v>
      </c>
      <c r="D2928" s="2" t="s">
        <v>35</v>
      </c>
      <c r="E2928" s="2" t="n">
        <v>18</v>
      </c>
      <c r="F2928" s="2" t="n">
        <v>1</v>
      </c>
      <c r="G2928" s="2" t="s">
        <v>29</v>
      </c>
      <c r="H2928" s="2" t="n">
        <v>2927</v>
      </c>
      <c r="I2928" s="2" t="s">
        <v>30</v>
      </c>
      <c r="J2928" s="2" t="n">
        <v>2</v>
      </c>
      <c r="K2928" s="2" t="s">
        <v>48</v>
      </c>
      <c r="L2928" s="2" t="s">
        <v>32</v>
      </c>
      <c r="M2928" s="2" t="n">
        <v>58110</v>
      </c>
      <c r="N2928" s="2" t="n">
        <v>0</v>
      </c>
      <c r="O2928" s="2" t="n">
        <v>14</v>
      </c>
      <c r="P2928" s="2" t="n">
        <v>0</v>
      </c>
      <c r="Q2928" s="2" t="n">
        <v>25</v>
      </c>
      <c r="R2928" s="2" t="n">
        <v>4</v>
      </c>
      <c r="S2928" s="2" t="n">
        <v>24</v>
      </c>
      <c r="T2928" s="2" t="n">
        <v>1</v>
      </c>
      <c r="U2928" s="2" t="n">
        <v>7</v>
      </c>
      <c r="V2928" s="2" t="n">
        <v>3</v>
      </c>
      <c r="W2928" s="2" t="n">
        <v>4</v>
      </c>
      <c r="X2928" s="2" t="n">
        <v>3</v>
      </c>
      <c r="Y2928" s="2" t="n">
        <v>2</v>
      </c>
      <c r="Z2928" s="2" t="n">
        <v>3</v>
      </c>
    </row>
    <row r="2929" customFormat="false" ht="15" hidden="false" customHeight="true" outlineLevel="0" collapsed="false">
      <c r="A2929" s="2" t="n">
        <v>31</v>
      </c>
      <c r="B2929" s="2" t="s">
        <v>26</v>
      </c>
      <c r="C2929" s="2" t="s">
        <v>34</v>
      </c>
      <c r="D2929" s="2" t="s">
        <v>35</v>
      </c>
      <c r="E2929" s="2" t="n">
        <v>7</v>
      </c>
      <c r="F2929" s="2" t="n">
        <v>4</v>
      </c>
      <c r="G2929" s="2" t="s">
        <v>43</v>
      </c>
      <c r="H2929" s="2" t="n">
        <v>2928</v>
      </c>
      <c r="I2929" s="2" t="s">
        <v>39</v>
      </c>
      <c r="J2929" s="2" t="n">
        <v>1</v>
      </c>
      <c r="K2929" s="2" t="s">
        <v>36</v>
      </c>
      <c r="L2929" s="2" t="s">
        <v>46</v>
      </c>
      <c r="M2929" s="2" t="n">
        <v>24370</v>
      </c>
      <c r="N2929" s="2" t="n">
        <v>9</v>
      </c>
      <c r="O2929" s="2" t="n">
        <v>14</v>
      </c>
      <c r="P2929" s="2" t="n">
        <v>1</v>
      </c>
      <c r="Q2929" s="2" t="n">
        <v>9</v>
      </c>
      <c r="R2929" s="2" t="n">
        <v>3</v>
      </c>
      <c r="S2929" s="2" t="n">
        <v>2</v>
      </c>
      <c r="T2929" s="2" t="n">
        <v>2</v>
      </c>
      <c r="U2929" s="2" t="n">
        <v>2</v>
      </c>
      <c r="V2929" s="2" t="n">
        <v>2</v>
      </c>
      <c r="W2929" s="2" t="n">
        <v>3</v>
      </c>
      <c r="X2929" s="2" t="n">
        <v>3</v>
      </c>
      <c r="Y2929" s="2" t="n">
        <v>4</v>
      </c>
      <c r="Z2929" s="2" t="n">
        <v>3</v>
      </c>
    </row>
    <row r="2930" customFormat="false" ht="15" hidden="false" customHeight="true" outlineLevel="0" collapsed="false">
      <c r="A2930" s="2" t="n">
        <v>33</v>
      </c>
      <c r="B2930" s="2" t="s">
        <v>26</v>
      </c>
      <c r="C2930" s="2" t="s">
        <v>27</v>
      </c>
      <c r="D2930" s="2" t="s">
        <v>35</v>
      </c>
      <c r="E2930" s="2" t="n">
        <v>2</v>
      </c>
      <c r="F2930" s="2" t="n">
        <v>4</v>
      </c>
      <c r="G2930" s="2" t="s">
        <v>29</v>
      </c>
      <c r="H2930" s="2" t="n">
        <v>2929</v>
      </c>
      <c r="I2930" s="2" t="s">
        <v>30</v>
      </c>
      <c r="J2930" s="2" t="n">
        <v>1</v>
      </c>
      <c r="K2930" s="2" t="s">
        <v>40</v>
      </c>
      <c r="L2930" s="2" t="s">
        <v>32</v>
      </c>
      <c r="M2930" s="2" t="n">
        <v>27660</v>
      </c>
      <c r="N2930" s="2" t="n">
        <v>1</v>
      </c>
      <c r="O2930" s="2" t="n">
        <v>12</v>
      </c>
      <c r="P2930" s="2" t="n">
        <v>1</v>
      </c>
      <c r="Q2930" s="2" t="n">
        <v>2</v>
      </c>
      <c r="R2930" s="2" t="n">
        <v>2</v>
      </c>
      <c r="S2930" s="2" t="n">
        <v>2</v>
      </c>
      <c r="T2930" s="2" t="n">
        <v>0</v>
      </c>
      <c r="U2930" s="2" t="n">
        <v>2</v>
      </c>
      <c r="V2930" s="2" t="n">
        <v>3</v>
      </c>
      <c r="W2930" s="2" t="n">
        <v>4</v>
      </c>
      <c r="X2930" s="2" t="n">
        <v>2</v>
      </c>
      <c r="Y2930" s="2" t="n">
        <v>3</v>
      </c>
      <c r="Z2930" s="2" t="n">
        <v>3</v>
      </c>
    </row>
    <row r="2931" customFormat="false" ht="15" hidden="false" customHeight="true" outlineLevel="0" collapsed="false">
      <c r="A2931" s="2" t="n">
        <v>34</v>
      </c>
      <c r="B2931" s="2" t="s">
        <v>26</v>
      </c>
      <c r="C2931" s="2" t="s">
        <v>27</v>
      </c>
      <c r="D2931" s="2" t="s">
        <v>35</v>
      </c>
      <c r="E2931" s="2" t="n">
        <v>26</v>
      </c>
      <c r="F2931" s="2" t="n">
        <v>3</v>
      </c>
      <c r="G2931" s="2" t="s">
        <v>38</v>
      </c>
      <c r="H2931" s="2" t="n">
        <v>2930</v>
      </c>
      <c r="I2931" s="2" t="s">
        <v>30</v>
      </c>
      <c r="J2931" s="2" t="n">
        <v>1</v>
      </c>
      <c r="K2931" s="2" t="s">
        <v>40</v>
      </c>
      <c r="L2931" s="2" t="s">
        <v>32</v>
      </c>
      <c r="M2931" s="2" t="n">
        <v>190380</v>
      </c>
      <c r="N2931" s="2" t="n">
        <v>6</v>
      </c>
      <c r="O2931" s="2" t="n">
        <v>13</v>
      </c>
      <c r="P2931" s="2" t="n">
        <v>0</v>
      </c>
      <c r="Q2931" s="2" t="n">
        <v>13</v>
      </c>
      <c r="R2931" s="2" t="n">
        <v>3</v>
      </c>
      <c r="S2931" s="2" t="n">
        <v>11</v>
      </c>
      <c r="T2931" s="2" t="n">
        <v>5</v>
      </c>
      <c r="U2931" s="2" t="n">
        <v>9</v>
      </c>
      <c r="V2931" s="2" t="n">
        <v>4</v>
      </c>
      <c r="W2931" s="2" t="n">
        <v>1</v>
      </c>
      <c r="X2931" s="2" t="n">
        <v>3</v>
      </c>
      <c r="Y2931" s="2" t="n">
        <v>2</v>
      </c>
      <c r="Z2931" s="2" t="n">
        <v>3</v>
      </c>
    </row>
    <row r="2932" customFormat="false" ht="15" hidden="false" customHeight="true" outlineLevel="0" collapsed="false">
      <c r="A2932" s="2" t="n">
        <v>37</v>
      </c>
      <c r="B2932" s="2" t="s">
        <v>26</v>
      </c>
      <c r="C2932" s="2" t="s">
        <v>27</v>
      </c>
      <c r="D2932" s="2" t="s">
        <v>35</v>
      </c>
      <c r="E2932" s="2" t="n">
        <v>22</v>
      </c>
      <c r="F2932" s="2" t="n">
        <v>5</v>
      </c>
      <c r="G2932" s="2" t="s">
        <v>43</v>
      </c>
      <c r="H2932" s="2" t="n">
        <v>2931</v>
      </c>
      <c r="I2932" s="2" t="s">
        <v>30</v>
      </c>
      <c r="J2932" s="2" t="n">
        <v>2</v>
      </c>
      <c r="K2932" s="2" t="s">
        <v>47</v>
      </c>
      <c r="L2932" s="2" t="s">
        <v>32</v>
      </c>
      <c r="M2932" s="2" t="n">
        <v>30550</v>
      </c>
      <c r="N2932" s="2" t="n">
        <v>2</v>
      </c>
      <c r="O2932" s="2" t="n">
        <v>14</v>
      </c>
      <c r="P2932" s="2" t="n">
        <v>3</v>
      </c>
      <c r="Q2932" s="2" t="n">
        <v>17</v>
      </c>
      <c r="R2932" s="2" t="n">
        <v>3</v>
      </c>
      <c r="S2932" s="2" t="n">
        <v>3</v>
      </c>
      <c r="T2932" s="2" t="n">
        <v>0</v>
      </c>
      <c r="U2932" s="2" t="n">
        <v>2</v>
      </c>
      <c r="V2932" s="2" t="n">
        <v>3</v>
      </c>
      <c r="W2932" s="2" t="n">
        <v>1</v>
      </c>
      <c r="X2932" s="2" t="n">
        <v>2</v>
      </c>
      <c r="Y2932" s="2" t="n">
        <v>3</v>
      </c>
      <c r="Z2932" s="2" t="n">
        <v>3</v>
      </c>
    </row>
    <row r="2933" customFormat="false" ht="15" hidden="false" customHeight="true" outlineLevel="0" collapsed="false">
      <c r="A2933" s="2" t="n">
        <v>45</v>
      </c>
      <c r="B2933" s="2" t="s">
        <v>26</v>
      </c>
      <c r="C2933" s="2" t="s">
        <v>34</v>
      </c>
      <c r="D2933" s="2" t="s">
        <v>28</v>
      </c>
      <c r="E2933" s="2" t="n">
        <v>21</v>
      </c>
      <c r="F2933" s="2" t="n">
        <v>1</v>
      </c>
      <c r="G2933" s="2" t="s">
        <v>50</v>
      </c>
      <c r="H2933" s="2" t="n">
        <v>2932</v>
      </c>
      <c r="I2933" s="2" t="s">
        <v>39</v>
      </c>
      <c r="J2933" s="2" t="n">
        <v>3</v>
      </c>
      <c r="K2933" s="2" t="s">
        <v>36</v>
      </c>
      <c r="L2933" s="2" t="s">
        <v>32</v>
      </c>
      <c r="M2933" s="2" t="n">
        <v>22890</v>
      </c>
      <c r="N2933" s="2" t="n">
        <v>4</v>
      </c>
      <c r="O2933" s="2" t="n">
        <v>13</v>
      </c>
      <c r="P2933" s="2" t="n">
        <v>0</v>
      </c>
      <c r="Q2933" s="2" t="n">
        <v>9</v>
      </c>
      <c r="R2933" s="2" t="n">
        <v>3</v>
      </c>
      <c r="S2933" s="2" t="n">
        <v>3</v>
      </c>
      <c r="T2933" s="2" t="n">
        <v>0</v>
      </c>
      <c r="U2933" s="2" t="n">
        <v>2</v>
      </c>
      <c r="V2933" s="2" t="n">
        <v>1</v>
      </c>
      <c r="W2933" s="2" t="n">
        <v>3</v>
      </c>
      <c r="X2933" s="2" t="n">
        <v>3</v>
      </c>
      <c r="Y2933" s="2" t="n">
        <v>2</v>
      </c>
      <c r="Z2933" s="2" t="n">
        <v>3</v>
      </c>
    </row>
    <row r="2934" customFormat="false" ht="15" hidden="false" customHeight="true" outlineLevel="0" collapsed="false">
      <c r="A2934" s="2" t="n">
        <v>37</v>
      </c>
      <c r="B2934" s="2" t="s">
        <v>33</v>
      </c>
      <c r="C2934" s="2" t="s">
        <v>34</v>
      </c>
      <c r="D2934" s="2" t="s">
        <v>28</v>
      </c>
      <c r="E2934" s="2" t="n">
        <v>2</v>
      </c>
      <c r="F2934" s="2" t="n">
        <v>3</v>
      </c>
      <c r="G2934" s="2" t="s">
        <v>50</v>
      </c>
      <c r="H2934" s="2" t="n">
        <v>2933</v>
      </c>
      <c r="I2934" s="2" t="s">
        <v>39</v>
      </c>
      <c r="J2934" s="2" t="n">
        <v>1</v>
      </c>
      <c r="K2934" s="2" t="s">
        <v>45</v>
      </c>
      <c r="L2934" s="2" t="s">
        <v>46</v>
      </c>
      <c r="M2934" s="2" t="n">
        <v>40010</v>
      </c>
      <c r="N2934" s="2" t="n">
        <v>6</v>
      </c>
      <c r="O2934" s="2" t="n">
        <v>11</v>
      </c>
      <c r="P2934" s="2" t="n">
        <v>1</v>
      </c>
      <c r="Q2934" s="2" t="n">
        <v>17</v>
      </c>
      <c r="R2934" s="2" t="n">
        <v>2</v>
      </c>
      <c r="S2934" s="2" t="n">
        <v>1</v>
      </c>
      <c r="T2934" s="2" t="n">
        <v>0</v>
      </c>
      <c r="U2934" s="2" t="n">
        <v>0</v>
      </c>
      <c r="V2934" s="2" t="n">
        <v>1</v>
      </c>
      <c r="W2934" s="2" t="n">
        <v>3</v>
      </c>
      <c r="X2934" s="2" t="n">
        <v>3</v>
      </c>
      <c r="Y2934" s="2" t="n">
        <v>3</v>
      </c>
      <c r="Z2934" s="2" t="n">
        <v>3</v>
      </c>
    </row>
    <row r="2935" customFormat="false" ht="15" hidden="false" customHeight="true" outlineLevel="0" collapsed="false">
      <c r="A2935" s="2" t="n">
        <v>39</v>
      </c>
      <c r="B2935" s="2" t="s">
        <v>26</v>
      </c>
      <c r="C2935" s="2" t="s">
        <v>34</v>
      </c>
      <c r="D2935" s="2" t="s">
        <v>35</v>
      </c>
      <c r="E2935" s="2" t="n">
        <v>22</v>
      </c>
      <c r="F2935" s="2" t="n">
        <v>3</v>
      </c>
      <c r="G2935" s="2" t="s">
        <v>43</v>
      </c>
      <c r="H2935" s="2" t="n">
        <v>2934</v>
      </c>
      <c r="I2935" s="2" t="s">
        <v>30</v>
      </c>
      <c r="J2935" s="2" t="n">
        <v>1</v>
      </c>
      <c r="K2935" s="2" t="s">
        <v>47</v>
      </c>
      <c r="L2935" s="2" t="s">
        <v>37</v>
      </c>
      <c r="M2935" s="2" t="n">
        <v>129650</v>
      </c>
      <c r="N2935" s="2" t="n">
        <v>0</v>
      </c>
      <c r="O2935" s="2" t="n">
        <v>19</v>
      </c>
      <c r="P2935" s="2" t="n">
        <v>1</v>
      </c>
      <c r="Q2935" s="2" t="n">
        <v>20</v>
      </c>
      <c r="R2935" s="2" t="n">
        <v>2</v>
      </c>
      <c r="S2935" s="2" t="n">
        <v>19</v>
      </c>
      <c r="T2935" s="2" t="n">
        <v>11</v>
      </c>
      <c r="U2935" s="2" t="n">
        <v>8</v>
      </c>
      <c r="V2935" s="2" t="n">
        <v>3</v>
      </c>
      <c r="W2935" s="2" t="n">
        <v>3</v>
      </c>
      <c r="X2935" s="2" t="n">
        <v>3</v>
      </c>
      <c r="Y2935" s="2" t="n">
        <v>3</v>
      </c>
      <c r="Z2935" s="2" t="n">
        <v>3</v>
      </c>
    </row>
    <row r="2936" customFormat="false" ht="15" hidden="false" customHeight="true" outlineLevel="0" collapsed="false">
      <c r="A2936" s="2" t="n">
        <v>29</v>
      </c>
      <c r="B2936" s="2" t="s">
        <v>26</v>
      </c>
      <c r="C2936" s="2" t="s">
        <v>27</v>
      </c>
      <c r="D2936" s="2" t="s">
        <v>28</v>
      </c>
      <c r="E2936" s="2" t="n">
        <v>4</v>
      </c>
      <c r="F2936" s="2" t="n">
        <v>3</v>
      </c>
      <c r="G2936" s="2" t="s">
        <v>38</v>
      </c>
      <c r="H2936" s="2" t="n">
        <v>2935</v>
      </c>
      <c r="I2936" s="2" t="s">
        <v>30</v>
      </c>
      <c r="J2936" s="2" t="n">
        <v>2</v>
      </c>
      <c r="K2936" s="2" t="s">
        <v>42</v>
      </c>
      <c r="L2936" s="2" t="s">
        <v>37</v>
      </c>
      <c r="M2936" s="2" t="n">
        <v>35390</v>
      </c>
      <c r="N2936" s="2" t="n">
        <v>1</v>
      </c>
      <c r="O2936" s="2" t="n">
        <v>18</v>
      </c>
      <c r="P2936" s="2" t="n">
        <v>0</v>
      </c>
      <c r="Q2936" s="2" t="n">
        <v>6</v>
      </c>
      <c r="R2936" s="2" t="n">
        <v>2</v>
      </c>
      <c r="S2936" s="2" t="n">
        <v>6</v>
      </c>
      <c r="T2936" s="2" t="n">
        <v>1</v>
      </c>
      <c r="U2936" s="2" t="n">
        <v>5</v>
      </c>
      <c r="V2936" s="2" t="n">
        <v>3</v>
      </c>
      <c r="W2936" s="2" t="n">
        <v>4</v>
      </c>
      <c r="X2936" s="2" t="n">
        <v>3</v>
      </c>
      <c r="Y2936" s="2" t="n">
        <v>2</v>
      </c>
      <c r="Z2936" s="2" t="n">
        <v>3</v>
      </c>
    </row>
    <row r="2937" customFormat="false" ht="15" hidden="false" customHeight="true" outlineLevel="0" collapsed="false">
      <c r="A2937" s="2" t="n">
        <v>42</v>
      </c>
      <c r="B2937" s="2" t="s">
        <v>26</v>
      </c>
      <c r="C2937" s="2" t="s">
        <v>27</v>
      </c>
      <c r="D2937" s="2" t="s">
        <v>35</v>
      </c>
      <c r="E2937" s="2" t="n">
        <v>5</v>
      </c>
      <c r="F2937" s="2" t="n">
        <v>4</v>
      </c>
      <c r="G2937" s="2" t="s">
        <v>43</v>
      </c>
      <c r="H2937" s="2" t="n">
        <v>2936</v>
      </c>
      <c r="I2937" s="2" t="s">
        <v>30</v>
      </c>
      <c r="J2937" s="2" t="n">
        <v>1</v>
      </c>
      <c r="K2937" s="2" t="s">
        <v>36</v>
      </c>
      <c r="L2937" s="2" t="s">
        <v>37</v>
      </c>
      <c r="M2937" s="2" t="n">
        <v>60290</v>
      </c>
      <c r="N2937" s="2" t="n">
        <v>3</v>
      </c>
      <c r="O2937" s="2" t="n">
        <v>17</v>
      </c>
      <c r="P2937" s="2" t="n">
        <v>1</v>
      </c>
      <c r="Q2937" s="2" t="n">
        <v>10</v>
      </c>
      <c r="R2937" s="2" t="n">
        <v>5</v>
      </c>
      <c r="S2937" s="2" t="n">
        <v>3</v>
      </c>
      <c r="T2937" s="2" t="n">
        <v>0</v>
      </c>
      <c r="U2937" s="2" t="n">
        <v>2</v>
      </c>
      <c r="V2937" s="2" t="n">
        <v>4</v>
      </c>
      <c r="W2937" s="2" t="n">
        <v>1</v>
      </c>
      <c r="X2937" s="2" t="n">
        <v>3</v>
      </c>
      <c r="Y2937" s="2" t="n">
        <v>3</v>
      </c>
      <c r="Z2937" s="2" t="n">
        <v>3</v>
      </c>
    </row>
    <row r="2938" customFormat="false" ht="15" hidden="false" customHeight="true" outlineLevel="0" collapsed="false">
      <c r="A2938" s="2" t="n">
        <v>29</v>
      </c>
      <c r="B2938" s="2" t="s">
        <v>26</v>
      </c>
      <c r="C2938" s="2" t="s">
        <v>27</v>
      </c>
      <c r="D2938" s="2" t="s">
        <v>35</v>
      </c>
      <c r="E2938" s="2" t="n">
        <v>2</v>
      </c>
      <c r="F2938" s="2" t="n">
        <v>4</v>
      </c>
      <c r="G2938" s="2" t="s">
        <v>43</v>
      </c>
      <c r="H2938" s="2" t="n">
        <v>2937</v>
      </c>
      <c r="I2938" s="2" t="s">
        <v>39</v>
      </c>
      <c r="J2938" s="2" t="n">
        <v>1</v>
      </c>
      <c r="K2938" s="2" t="s">
        <v>45</v>
      </c>
      <c r="L2938" s="2" t="s">
        <v>46</v>
      </c>
      <c r="M2938" s="2" t="n">
        <v>26790</v>
      </c>
      <c r="N2938" s="2" t="n">
        <v>2</v>
      </c>
      <c r="O2938" s="2" t="n">
        <v>15</v>
      </c>
      <c r="P2938" s="2" t="n">
        <v>0</v>
      </c>
      <c r="Q2938" s="2" t="n">
        <v>10</v>
      </c>
      <c r="R2938" s="2" t="n">
        <v>2</v>
      </c>
      <c r="S2938" s="2" t="n">
        <v>3</v>
      </c>
      <c r="T2938" s="2" t="n">
        <v>0</v>
      </c>
      <c r="U2938" s="2" t="n">
        <v>2</v>
      </c>
      <c r="V2938" s="2" t="n">
        <v>4</v>
      </c>
      <c r="W2938" s="2" t="n">
        <v>4</v>
      </c>
      <c r="X2938" s="2" t="n">
        <v>3</v>
      </c>
      <c r="Y2938" s="2" t="n">
        <v>2</v>
      </c>
      <c r="Z2938" s="2" t="n">
        <v>3</v>
      </c>
    </row>
    <row r="2939" customFormat="false" ht="15" hidden="false" customHeight="true" outlineLevel="0" collapsed="false">
      <c r="A2939" s="2" t="n">
        <v>25</v>
      </c>
      <c r="B2939" s="2" t="s">
        <v>26</v>
      </c>
      <c r="C2939" s="2" t="s">
        <v>27</v>
      </c>
      <c r="D2939" s="2" t="s">
        <v>35</v>
      </c>
      <c r="E2939" s="2" t="n">
        <v>25</v>
      </c>
      <c r="F2939" s="2" t="n">
        <v>2</v>
      </c>
      <c r="G2939" s="2" t="s">
        <v>29</v>
      </c>
      <c r="H2939" s="2" t="n">
        <v>2938</v>
      </c>
      <c r="I2939" s="2" t="s">
        <v>39</v>
      </c>
      <c r="J2939" s="2" t="n">
        <v>2</v>
      </c>
      <c r="K2939" s="2" t="s">
        <v>40</v>
      </c>
      <c r="L2939" s="2" t="s">
        <v>32</v>
      </c>
      <c r="M2939" s="2" t="n">
        <v>37020</v>
      </c>
      <c r="N2939" s="2" t="n">
        <v>0</v>
      </c>
      <c r="O2939" s="2" t="n">
        <v>20</v>
      </c>
      <c r="P2939" s="2" t="n">
        <v>0</v>
      </c>
      <c r="Q2939" s="2" t="n">
        <v>5</v>
      </c>
      <c r="R2939" s="2" t="n">
        <v>4</v>
      </c>
      <c r="S2939" s="2" t="n">
        <v>4</v>
      </c>
      <c r="T2939" s="2" t="n">
        <v>1</v>
      </c>
      <c r="U2939" s="2" t="n">
        <v>2</v>
      </c>
      <c r="V2939" s="2" t="n">
        <v>1</v>
      </c>
      <c r="W2939" s="2" t="n">
        <v>3</v>
      </c>
      <c r="X2939" s="2" t="n">
        <v>3</v>
      </c>
      <c r="Y2939" s="2" t="n">
        <v>3</v>
      </c>
      <c r="Z2939" s="2" t="n">
        <v>4</v>
      </c>
    </row>
    <row r="2940" customFormat="false" ht="15" hidden="false" customHeight="true" outlineLevel="0" collapsed="false">
      <c r="A2940" s="2" t="n">
        <v>42</v>
      </c>
      <c r="B2940" s="2" t="s">
        <v>26</v>
      </c>
      <c r="C2940" s="2" t="s">
        <v>27</v>
      </c>
      <c r="D2940" s="2" t="s">
        <v>28</v>
      </c>
      <c r="E2940" s="2" t="n">
        <v>18</v>
      </c>
      <c r="F2940" s="2" t="n">
        <v>2</v>
      </c>
      <c r="G2940" s="2" t="s">
        <v>43</v>
      </c>
      <c r="H2940" s="2" t="n">
        <v>2939</v>
      </c>
      <c r="I2940" s="2" t="s">
        <v>39</v>
      </c>
      <c r="J2940" s="2" t="n">
        <v>1</v>
      </c>
      <c r="K2940" s="2" t="s">
        <v>45</v>
      </c>
      <c r="L2940" s="2" t="s">
        <v>46</v>
      </c>
      <c r="M2940" s="2" t="n">
        <v>23980</v>
      </c>
      <c r="N2940" s="2" t="n">
        <v>0</v>
      </c>
      <c r="O2940" s="2" t="n">
        <v>14</v>
      </c>
      <c r="P2940" s="2" t="n">
        <v>1</v>
      </c>
      <c r="Q2940" s="2" t="n">
        <v>10</v>
      </c>
      <c r="R2940" s="2" t="n">
        <v>2</v>
      </c>
      <c r="S2940" s="2" t="n">
        <v>9</v>
      </c>
      <c r="T2940" s="2" t="n">
        <v>7</v>
      </c>
      <c r="U2940" s="2" t="n">
        <v>8</v>
      </c>
      <c r="V2940" s="2" t="n">
        <v>4</v>
      </c>
      <c r="W2940" s="2" t="n">
        <v>1</v>
      </c>
      <c r="X2940" s="2" t="n">
        <v>3</v>
      </c>
      <c r="Y2940" s="2" t="n">
        <v>2</v>
      </c>
      <c r="Z2940" s="2" t="n">
        <v>3</v>
      </c>
    </row>
    <row r="2941" customFormat="false" ht="15" hidden="false" customHeight="true" outlineLevel="0" collapsed="false">
      <c r="A2941" s="2" t="n">
        <v>40</v>
      </c>
      <c r="B2941" s="2" t="s">
        <v>26</v>
      </c>
      <c r="C2941" s="2" t="s">
        <v>27</v>
      </c>
      <c r="D2941" s="2" t="s">
        <v>35</v>
      </c>
      <c r="E2941" s="2" t="n">
        <v>28</v>
      </c>
      <c r="F2941" s="2" t="n">
        <v>3</v>
      </c>
      <c r="G2941" s="2" t="s">
        <v>43</v>
      </c>
      <c r="H2941" s="2" t="n">
        <v>2940</v>
      </c>
      <c r="I2941" s="2" t="s">
        <v>39</v>
      </c>
      <c r="J2941" s="2" t="n">
        <v>2</v>
      </c>
      <c r="K2941" s="2" t="s">
        <v>45</v>
      </c>
      <c r="L2941" s="2" t="s">
        <v>46</v>
      </c>
      <c r="M2941" s="2" t="n">
        <v>54680</v>
      </c>
      <c r="N2941" s="2" t="n">
        <v>0</v>
      </c>
      <c r="O2941" s="2" t="n">
        <v>12</v>
      </c>
      <c r="P2941" s="2" t="n">
        <v>0</v>
      </c>
      <c r="Q2941" s="2" t="n">
        <v>22</v>
      </c>
      <c r="R2941" s="2" t="n">
        <v>6</v>
      </c>
      <c r="S2941" s="2" t="n">
        <v>21</v>
      </c>
      <c r="T2941" s="2" t="n">
        <v>3</v>
      </c>
      <c r="U2941" s="2" t="n">
        <v>9</v>
      </c>
      <c r="V2941" s="2" t="n">
        <v>1</v>
      </c>
      <c r="W2941" s="2" t="n">
        <v>3</v>
      </c>
      <c r="X2941" s="2" t="n">
        <v>3</v>
      </c>
      <c r="Y2941" s="2" t="n">
        <v>4</v>
      </c>
      <c r="Z2941" s="2" t="n">
        <v>3</v>
      </c>
    </row>
    <row r="2942" customFormat="false" ht="15" hidden="false" customHeight="true" outlineLevel="0" collapsed="false">
      <c r="A2942" s="2" t="n">
        <v>51</v>
      </c>
      <c r="B2942" s="2" t="s">
        <v>26</v>
      </c>
      <c r="C2942" s="2" t="s">
        <v>27</v>
      </c>
      <c r="D2942" s="2" t="s">
        <v>28</v>
      </c>
      <c r="E2942" s="2" t="n">
        <v>6</v>
      </c>
      <c r="F2942" s="2" t="n">
        <v>2</v>
      </c>
      <c r="G2942" s="2" t="s">
        <v>29</v>
      </c>
      <c r="H2942" s="2" t="n">
        <v>2941</v>
      </c>
      <c r="I2942" s="2" t="s">
        <v>30</v>
      </c>
      <c r="J2942" s="2" t="n">
        <v>1</v>
      </c>
      <c r="K2942" s="2" t="s">
        <v>31</v>
      </c>
      <c r="L2942" s="2" t="s">
        <v>32</v>
      </c>
      <c r="M2942" s="2" t="n">
        <v>131160</v>
      </c>
      <c r="N2942" s="2" t="n">
        <v>1</v>
      </c>
      <c r="O2942" s="2" t="n">
        <v>11</v>
      </c>
      <c r="P2942" s="2" t="n">
        <v>0</v>
      </c>
      <c r="Q2942" s="2" t="n">
        <v>1</v>
      </c>
      <c r="R2942" s="2" t="n">
        <v>6</v>
      </c>
      <c r="S2942" s="2" t="n">
        <v>1</v>
      </c>
      <c r="T2942" s="2" t="n">
        <v>0</v>
      </c>
      <c r="U2942" s="2" t="n">
        <v>0</v>
      </c>
      <c r="V2942" s="2" t="n">
        <v>3</v>
      </c>
      <c r="W2942" s="2" t="n">
        <v>4</v>
      </c>
      <c r="X2942" s="2" t="n">
        <v>2</v>
      </c>
      <c r="Y2942" s="2" t="n">
        <v>3</v>
      </c>
      <c r="Z2942" s="2" t="n">
        <v>3</v>
      </c>
    </row>
    <row r="2943" customFormat="false" ht="15" hidden="false" customHeight="true" outlineLevel="0" collapsed="false">
      <c r="A2943" s="2" t="n">
        <v>31</v>
      </c>
      <c r="B2943" s="2" t="s">
        <v>33</v>
      </c>
      <c r="C2943" s="2" t="s">
        <v>34</v>
      </c>
      <c r="D2943" s="2" t="s">
        <v>35</v>
      </c>
      <c r="E2943" s="2" t="n">
        <v>10</v>
      </c>
      <c r="F2943" s="2" t="n">
        <v>1</v>
      </c>
      <c r="G2943" s="2" t="s">
        <v>29</v>
      </c>
      <c r="H2943" s="2" t="n">
        <v>2942</v>
      </c>
      <c r="I2943" s="2" t="s">
        <v>30</v>
      </c>
      <c r="J2943" s="2" t="n">
        <v>1</v>
      </c>
      <c r="K2943" s="2" t="s">
        <v>36</v>
      </c>
      <c r="L2943" s="2" t="s">
        <v>37</v>
      </c>
      <c r="M2943" s="2" t="n">
        <v>41890</v>
      </c>
      <c r="N2943" s="2" t="n">
        <v>0</v>
      </c>
      <c r="O2943" s="2" t="n">
        <v>23</v>
      </c>
      <c r="P2943" s="2" t="n">
        <v>1</v>
      </c>
      <c r="Q2943" s="2" t="n">
        <v>6</v>
      </c>
      <c r="R2943" s="2" t="n">
        <v>3</v>
      </c>
      <c r="S2943" s="2" t="n">
        <v>5</v>
      </c>
      <c r="T2943" s="2" t="n">
        <v>1</v>
      </c>
      <c r="U2943" s="2" t="n">
        <v>4</v>
      </c>
      <c r="V2943" s="2" t="n">
        <v>3</v>
      </c>
      <c r="W2943" s="2" t="n">
        <v>2</v>
      </c>
      <c r="X2943" s="2" t="n">
        <v>4</v>
      </c>
      <c r="Y2943" s="2" t="n">
        <v>2</v>
      </c>
      <c r="Z2943" s="2" t="n">
        <v>4</v>
      </c>
    </row>
    <row r="2944" customFormat="false" ht="15" hidden="false" customHeight="true" outlineLevel="0" collapsed="false">
      <c r="A2944" s="2" t="n">
        <v>32</v>
      </c>
      <c r="B2944" s="2" t="s">
        <v>26</v>
      </c>
      <c r="C2944" s="2" t="s">
        <v>34</v>
      </c>
      <c r="D2944" s="2" t="s">
        <v>35</v>
      </c>
      <c r="E2944" s="2" t="n">
        <v>17</v>
      </c>
      <c r="F2944" s="2" t="n">
        <v>4</v>
      </c>
      <c r="G2944" s="2" t="s">
        <v>38</v>
      </c>
      <c r="H2944" s="2" t="n">
        <v>2943</v>
      </c>
      <c r="I2944" s="2" t="s">
        <v>39</v>
      </c>
      <c r="J2944" s="2" t="n">
        <v>4</v>
      </c>
      <c r="K2944" s="2" t="s">
        <v>40</v>
      </c>
      <c r="L2944" s="2" t="s">
        <v>32</v>
      </c>
      <c r="M2944" s="2" t="n">
        <v>193280</v>
      </c>
      <c r="N2944" s="2" t="n">
        <v>1</v>
      </c>
      <c r="O2944" s="2" t="n">
        <v>15</v>
      </c>
      <c r="P2944" s="2" t="n">
        <v>3</v>
      </c>
      <c r="Q2944" s="2" t="n">
        <v>5</v>
      </c>
      <c r="R2944" s="2" t="n">
        <v>2</v>
      </c>
      <c r="S2944" s="2" t="n">
        <v>5</v>
      </c>
      <c r="T2944" s="2" t="n">
        <v>0</v>
      </c>
      <c r="U2944" s="2" t="n">
        <v>3</v>
      </c>
      <c r="V2944" s="2" t="n">
        <v>2</v>
      </c>
      <c r="W2944" s="2" t="n">
        <v>2</v>
      </c>
      <c r="X2944" s="2" t="n">
        <v>1</v>
      </c>
      <c r="Y2944" s="2" t="n">
        <v>3</v>
      </c>
      <c r="Z2944" s="2" t="n">
        <v>3</v>
      </c>
    </row>
    <row r="2945" customFormat="false" ht="15" hidden="false" customHeight="true" outlineLevel="0" collapsed="false">
      <c r="A2945" s="2" t="n">
        <v>38</v>
      </c>
      <c r="B2945" s="2" t="s">
        <v>26</v>
      </c>
      <c r="C2945" s="2" t="s">
        <v>41</v>
      </c>
      <c r="D2945" s="2" t="s">
        <v>35</v>
      </c>
      <c r="E2945" s="2" t="n">
        <v>2</v>
      </c>
      <c r="F2945" s="2" t="n">
        <v>5</v>
      </c>
      <c r="G2945" s="2" t="s">
        <v>29</v>
      </c>
      <c r="H2945" s="2" t="n">
        <v>2944</v>
      </c>
      <c r="I2945" s="2" t="s">
        <v>39</v>
      </c>
      <c r="J2945" s="2" t="n">
        <v>3</v>
      </c>
      <c r="K2945" s="2" t="s">
        <v>42</v>
      </c>
      <c r="L2945" s="2" t="s">
        <v>32</v>
      </c>
      <c r="M2945" s="2" t="n">
        <v>83210</v>
      </c>
      <c r="N2945" s="2" t="n">
        <v>3</v>
      </c>
      <c r="O2945" s="2" t="n">
        <v>11</v>
      </c>
      <c r="P2945" s="2" t="n">
        <v>3</v>
      </c>
      <c r="Q2945" s="2" t="n">
        <v>13</v>
      </c>
      <c r="R2945" s="2" t="n">
        <v>5</v>
      </c>
      <c r="S2945" s="2" t="n">
        <v>8</v>
      </c>
      <c r="T2945" s="2" t="n">
        <v>7</v>
      </c>
      <c r="U2945" s="2" t="n">
        <v>5</v>
      </c>
      <c r="V2945" s="2" t="n">
        <v>4</v>
      </c>
      <c r="W2945" s="2" t="n">
        <v>4</v>
      </c>
      <c r="X2945" s="2" t="n">
        <v>3</v>
      </c>
      <c r="Y2945" s="2" t="n">
        <v>2</v>
      </c>
      <c r="Z2945" s="2" t="n">
        <v>3</v>
      </c>
    </row>
    <row r="2946" customFormat="false" ht="15" hidden="false" customHeight="true" outlineLevel="0" collapsed="false">
      <c r="A2946" s="2" t="n">
        <v>32</v>
      </c>
      <c r="B2946" s="2" t="s">
        <v>26</v>
      </c>
      <c r="C2946" s="2" t="s">
        <v>27</v>
      </c>
      <c r="D2946" s="2" t="s">
        <v>35</v>
      </c>
      <c r="E2946" s="2" t="n">
        <v>10</v>
      </c>
      <c r="F2946" s="2" t="n">
        <v>1</v>
      </c>
      <c r="G2946" s="2" t="s">
        <v>43</v>
      </c>
      <c r="H2946" s="2" t="n">
        <v>2945</v>
      </c>
      <c r="I2946" s="2" t="s">
        <v>39</v>
      </c>
      <c r="J2946" s="2" t="n">
        <v>1</v>
      </c>
      <c r="K2946" s="2" t="s">
        <v>40</v>
      </c>
      <c r="L2946" s="2" t="s">
        <v>37</v>
      </c>
      <c r="M2946" s="2" t="n">
        <v>23420</v>
      </c>
      <c r="N2946" s="2" t="n">
        <v>4</v>
      </c>
      <c r="O2946" s="2" t="n">
        <v>12</v>
      </c>
      <c r="P2946" s="2" t="n">
        <v>2</v>
      </c>
      <c r="Q2946" s="2" t="n">
        <v>9</v>
      </c>
      <c r="R2946" s="2" t="n">
        <v>2</v>
      </c>
      <c r="S2946" s="2" t="n">
        <v>6</v>
      </c>
      <c r="T2946" s="2" t="n">
        <v>0</v>
      </c>
      <c r="U2946" s="2" t="n">
        <v>4</v>
      </c>
      <c r="V2946" s="2" t="n">
        <v>4</v>
      </c>
      <c r="W2946" s="2" t="n">
        <v>1</v>
      </c>
      <c r="X2946" s="2" t="n">
        <v>3</v>
      </c>
      <c r="Y2946" s="2" t="n">
        <v>3</v>
      </c>
      <c r="Z2946" s="2" t="n">
        <v>3</v>
      </c>
    </row>
    <row r="2947" customFormat="false" ht="15" hidden="false" customHeight="true" outlineLevel="0" collapsed="false">
      <c r="A2947" s="2" t="n">
        <v>46</v>
      </c>
      <c r="B2947" s="2" t="s">
        <v>26</v>
      </c>
      <c r="C2947" s="2" t="s">
        <v>27</v>
      </c>
      <c r="D2947" s="2" t="s">
        <v>35</v>
      </c>
      <c r="E2947" s="2" t="n">
        <v>8</v>
      </c>
      <c r="F2947" s="2" t="n">
        <v>3</v>
      </c>
      <c r="G2947" s="2" t="s">
        <v>29</v>
      </c>
      <c r="H2947" s="2" t="n">
        <v>2946</v>
      </c>
      <c r="I2947" s="2" t="s">
        <v>30</v>
      </c>
      <c r="J2947" s="2" t="n">
        <v>4</v>
      </c>
      <c r="K2947" s="2" t="s">
        <v>44</v>
      </c>
      <c r="L2947" s="2" t="s">
        <v>32</v>
      </c>
      <c r="M2947" s="2" t="n">
        <v>40710</v>
      </c>
      <c r="N2947" s="2" t="n">
        <v>3</v>
      </c>
      <c r="O2947" s="2" t="n">
        <v>13</v>
      </c>
      <c r="P2947" s="2" t="n">
        <v>0</v>
      </c>
      <c r="Q2947" s="2" t="n">
        <v>28</v>
      </c>
      <c r="R2947" s="2" t="n">
        <v>5</v>
      </c>
      <c r="S2947" s="2" t="n">
        <v>7</v>
      </c>
      <c r="T2947" s="2" t="n">
        <v>7</v>
      </c>
      <c r="U2947" s="2" t="n">
        <v>7</v>
      </c>
      <c r="V2947" s="2" t="n">
        <v>3</v>
      </c>
      <c r="W2947" s="2" t="n">
        <v>2</v>
      </c>
      <c r="X2947" s="2" t="n">
        <v>2</v>
      </c>
      <c r="Y2947" s="2" t="n">
        <v>3</v>
      </c>
      <c r="Z2947" s="2" t="n">
        <v>3</v>
      </c>
    </row>
    <row r="2948" customFormat="false" ht="15" hidden="false" customHeight="true" outlineLevel="0" collapsed="false">
      <c r="A2948" s="2" t="n">
        <v>28</v>
      </c>
      <c r="B2948" s="2" t="s">
        <v>33</v>
      </c>
      <c r="C2948" s="2" t="s">
        <v>27</v>
      </c>
      <c r="D2948" s="2" t="s">
        <v>35</v>
      </c>
      <c r="E2948" s="2" t="n">
        <v>11</v>
      </c>
      <c r="F2948" s="2" t="n">
        <v>2</v>
      </c>
      <c r="G2948" s="2" t="s">
        <v>43</v>
      </c>
      <c r="H2948" s="2" t="n">
        <v>2947</v>
      </c>
      <c r="I2948" s="2" t="s">
        <v>39</v>
      </c>
      <c r="J2948" s="2" t="n">
        <v>2</v>
      </c>
      <c r="K2948" s="2" t="s">
        <v>40</v>
      </c>
      <c r="L2948" s="2" t="s">
        <v>37</v>
      </c>
      <c r="M2948" s="2" t="n">
        <v>58130</v>
      </c>
      <c r="N2948" s="2" t="n">
        <v>2</v>
      </c>
      <c r="O2948" s="2" t="n">
        <v>20</v>
      </c>
      <c r="P2948" s="2" t="n">
        <v>1</v>
      </c>
      <c r="Q2948" s="2" t="n">
        <v>5</v>
      </c>
      <c r="R2948" s="2" t="n">
        <v>2</v>
      </c>
      <c r="S2948" s="2" t="n">
        <v>0</v>
      </c>
      <c r="T2948" s="2" t="n">
        <v>0</v>
      </c>
      <c r="U2948" s="2" t="n">
        <v>0</v>
      </c>
      <c r="V2948" s="2" t="n">
        <v>1</v>
      </c>
      <c r="W2948" s="2" t="n">
        <v>3</v>
      </c>
      <c r="X2948" s="2" t="n">
        <v>1</v>
      </c>
      <c r="Y2948" s="2" t="n">
        <v>3</v>
      </c>
      <c r="Z2948" s="2" t="n">
        <v>4</v>
      </c>
    </row>
    <row r="2949" customFormat="false" ht="15" hidden="false" customHeight="true" outlineLevel="0" collapsed="false">
      <c r="A2949" s="2" t="n">
        <v>29</v>
      </c>
      <c r="B2949" s="2" t="s">
        <v>26</v>
      </c>
      <c r="C2949" s="2" t="s">
        <v>27</v>
      </c>
      <c r="D2949" s="2" t="s">
        <v>35</v>
      </c>
      <c r="E2949" s="2" t="n">
        <v>18</v>
      </c>
      <c r="F2949" s="2" t="n">
        <v>3</v>
      </c>
      <c r="G2949" s="2" t="s">
        <v>29</v>
      </c>
      <c r="H2949" s="2" t="n">
        <v>2948</v>
      </c>
      <c r="I2949" s="2" t="s">
        <v>39</v>
      </c>
      <c r="J2949" s="2" t="n">
        <v>2</v>
      </c>
      <c r="K2949" s="2" t="s">
        <v>40</v>
      </c>
      <c r="L2949" s="2" t="s">
        <v>32</v>
      </c>
      <c r="M2949" s="2" t="n">
        <v>31430</v>
      </c>
      <c r="N2949" s="2" t="n">
        <v>2</v>
      </c>
      <c r="O2949" s="2" t="n">
        <v>22</v>
      </c>
      <c r="P2949" s="2" t="n">
        <v>3</v>
      </c>
      <c r="Q2949" s="2" t="n">
        <v>10</v>
      </c>
      <c r="R2949" s="2" t="n">
        <v>2</v>
      </c>
      <c r="S2949" s="2" t="n">
        <v>0</v>
      </c>
      <c r="T2949" s="2" t="n">
        <v>0</v>
      </c>
      <c r="U2949" s="2" t="n">
        <v>0</v>
      </c>
      <c r="V2949" s="2" t="n">
        <v>1</v>
      </c>
      <c r="W2949" s="2" t="n">
        <v>2</v>
      </c>
      <c r="X2949" s="2" t="n">
        <v>3</v>
      </c>
      <c r="Y2949" s="2" t="n">
        <v>3</v>
      </c>
      <c r="Z2949" s="2" t="n">
        <v>4</v>
      </c>
    </row>
    <row r="2950" customFormat="false" ht="15" hidden="false" customHeight="true" outlineLevel="0" collapsed="false">
      <c r="A2950" s="2" t="n">
        <v>31</v>
      </c>
      <c r="B2950" s="2" t="s">
        <v>26</v>
      </c>
      <c r="C2950" s="2" t="s">
        <v>27</v>
      </c>
      <c r="D2950" s="2" t="s">
        <v>35</v>
      </c>
      <c r="E2950" s="2" t="n">
        <v>1</v>
      </c>
      <c r="F2950" s="2" t="n">
        <v>3</v>
      </c>
      <c r="G2950" s="2" t="s">
        <v>29</v>
      </c>
      <c r="H2950" s="2" t="n">
        <v>2949</v>
      </c>
      <c r="I2950" s="2" t="s">
        <v>39</v>
      </c>
      <c r="J2950" s="2" t="n">
        <v>3</v>
      </c>
      <c r="K2950" s="2" t="s">
        <v>45</v>
      </c>
      <c r="L2950" s="2" t="s">
        <v>32</v>
      </c>
      <c r="M2950" s="2" t="n">
        <v>20440</v>
      </c>
      <c r="N2950" s="2" t="n">
        <v>0</v>
      </c>
      <c r="O2950" s="2" t="n">
        <v>21</v>
      </c>
      <c r="P2950" s="2" t="n">
        <v>0</v>
      </c>
      <c r="Q2950" s="2" t="n">
        <v>10</v>
      </c>
      <c r="R2950" s="2" t="n">
        <v>2</v>
      </c>
      <c r="S2950" s="2" t="n">
        <v>9</v>
      </c>
      <c r="T2950" s="2" t="n">
        <v>7</v>
      </c>
      <c r="U2950" s="2" t="n">
        <v>8</v>
      </c>
      <c r="V2950" s="2" t="n">
        <v>2</v>
      </c>
      <c r="W2950" s="2" t="n">
        <v>4</v>
      </c>
      <c r="X2950" s="2" t="n">
        <v>3</v>
      </c>
      <c r="Y2950" s="2" t="n">
        <v>3</v>
      </c>
      <c r="Z2950" s="2" t="n">
        <v>4</v>
      </c>
    </row>
    <row r="2951" customFormat="false" ht="15" hidden="false" customHeight="true" outlineLevel="0" collapsed="false">
      <c r="A2951" s="2" t="n">
        <v>25</v>
      </c>
      <c r="B2951" s="2" t="s">
        <v>26</v>
      </c>
      <c r="C2951" s="2" t="s">
        <v>41</v>
      </c>
      <c r="D2951" s="2" t="s">
        <v>35</v>
      </c>
      <c r="E2951" s="2" t="n">
        <v>7</v>
      </c>
      <c r="F2951" s="2" t="n">
        <v>4</v>
      </c>
      <c r="G2951" s="2" t="s">
        <v>43</v>
      </c>
      <c r="H2951" s="2" t="n">
        <v>2950</v>
      </c>
      <c r="I2951" s="2" t="s">
        <v>30</v>
      </c>
      <c r="J2951" s="2" t="n">
        <v>4</v>
      </c>
      <c r="K2951" s="2" t="s">
        <v>45</v>
      </c>
      <c r="L2951" s="2" t="s">
        <v>46</v>
      </c>
      <c r="M2951" s="2" t="n">
        <v>134640</v>
      </c>
      <c r="N2951" s="2" t="n">
        <v>1</v>
      </c>
      <c r="O2951" s="2" t="n">
        <v>13</v>
      </c>
      <c r="P2951" s="2" t="n">
        <v>1</v>
      </c>
      <c r="Q2951" s="2" t="n">
        <v>6</v>
      </c>
      <c r="R2951" s="2" t="n">
        <v>2</v>
      </c>
      <c r="S2951" s="2" t="n">
        <v>6</v>
      </c>
      <c r="T2951" s="2" t="n">
        <v>1</v>
      </c>
      <c r="U2951" s="2" t="n">
        <v>5</v>
      </c>
      <c r="V2951" s="2" t="n">
        <v>2</v>
      </c>
      <c r="W2951" s="2" t="n">
        <v>1</v>
      </c>
      <c r="X2951" s="2" t="n">
        <v>3</v>
      </c>
      <c r="Y2951" s="2" t="n">
        <v>3</v>
      </c>
      <c r="Z2951" s="2" t="n">
        <v>3</v>
      </c>
    </row>
    <row r="2952" customFormat="false" ht="15" hidden="false" customHeight="true" outlineLevel="0" collapsed="false">
      <c r="A2952" s="2" t="n">
        <v>45</v>
      </c>
      <c r="B2952" s="2" t="s">
        <v>26</v>
      </c>
      <c r="C2952" s="2" t="s">
        <v>27</v>
      </c>
      <c r="D2952" s="2" t="s">
        <v>35</v>
      </c>
      <c r="E2952" s="2" t="n">
        <v>17</v>
      </c>
      <c r="F2952" s="2" t="n">
        <v>2</v>
      </c>
      <c r="G2952" s="2" t="s">
        <v>43</v>
      </c>
      <c r="H2952" s="2" t="n">
        <v>2951</v>
      </c>
      <c r="I2952" s="2" t="s">
        <v>39</v>
      </c>
      <c r="J2952" s="2" t="n">
        <v>2</v>
      </c>
      <c r="K2952" s="2" t="s">
        <v>45</v>
      </c>
      <c r="L2952" s="2" t="s">
        <v>32</v>
      </c>
      <c r="M2952" s="2" t="n">
        <v>79910</v>
      </c>
      <c r="N2952" s="2" t="n">
        <v>0</v>
      </c>
      <c r="O2952" s="2" t="n">
        <v>13</v>
      </c>
      <c r="P2952" s="2" t="n">
        <v>2</v>
      </c>
      <c r="Q2952" s="2" t="n">
        <v>21</v>
      </c>
      <c r="R2952" s="2" t="n">
        <v>2</v>
      </c>
      <c r="S2952" s="2" t="n">
        <v>20</v>
      </c>
      <c r="T2952" s="2" t="n">
        <v>4</v>
      </c>
      <c r="U2952" s="2" t="n">
        <v>10</v>
      </c>
      <c r="V2952" s="2" t="n">
        <v>3</v>
      </c>
      <c r="W2952" s="2" t="n">
        <v>4</v>
      </c>
      <c r="X2952" s="2" t="n">
        <v>3</v>
      </c>
      <c r="Y2952" s="2" t="n">
        <v>2</v>
      </c>
      <c r="Z2952" s="2" t="n">
        <v>3</v>
      </c>
    </row>
    <row r="2953" customFormat="false" ht="15" hidden="false" customHeight="true" outlineLevel="0" collapsed="false">
      <c r="A2953" s="2" t="n">
        <v>36</v>
      </c>
      <c r="B2953" s="2" t="s">
        <v>26</v>
      </c>
      <c r="C2953" s="2" t="s">
        <v>27</v>
      </c>
      <c r="D2953" s="2" t="s">
        <v>35</v>
      </c>
      <c r="E2953" s="2" t="n">
        <v>28</v>
      </c>
      <c r="F2953" s="2" t="n">
        <v>1</v>
      </c>
      <c r="G2953" s="2" t="s">
        <v>29</v>
      </c>
      <c r="H2953" s="2" t="n">
        <v>2952</v>
      </c>
      <c r="I2953" s="2" t="s">
        <v>39</v>
      </c>
      <c r="J2953" s="2" t="n">
        <v>1</v>
      </c>
      <c r="K2953" s="2" t="s">
        <v>45</v>
      </c>
      <c r="L2953" s="2" t="s">
        <v>32</v>
      </c>
      <c r="M2953" s="2" t="n">
        <v>33770</v>
      </c>
      <c r="N2953" s="2" t="n">
        <v>0</v>
      </c>
      <c r="O2953" s="2" t="n">
        <v>12</v>
      </c>
      <c r="P2953" s="2" t="n">
        <v>2</v>
      </c>
      <c r="Q2953" s="2" t="n">
        <v>16</v>
      </c>
      <c r="R2953" s="2" t="n">
        <v>2</v>
      </c>
      <c r="S2953" s="2" t="n">
        <v>15</v>
      </c>
      <c r="T2953" s="2" t="n">
        <v>10</v>
      </c>
      <c r="U2953" s="2" t="n">
        <v>11</v>
      </c>
      <c r="V2953" s="2" t="n">
        <v>4</v>
      </c>
      <c r="W2953" s="2" t="n">
        <v>4</v>
      </c>
      <c r="X2953" s="2" t="n">
        <v>3</v>
      </c>
      <c r="Y2953" s="2" t="n">
        <v>3</v>
      </c>
      <c r="Z2953" s="2" t="n">
        <v>3</v>
      </c>
    </row>
    <row r="2954" customFormat="false" ht="15" hidden="false" customHeight="true" outlineLevel="0" collapsed="false">
      <c r="A2954" s="2" t="n">
        <v>55</v>
      </c>
      <c r="B2954" s="2" t="s">
        <v>26</v>
      </c>
      <c r="C2954" s="2" t="s">
        <v>27</v>
      </c>
      <c r="D2954" s="2" t="s">
        <v>35</v>
      </c>
      <c r="E2954" s="2" t="n">
        <v>14</v>
      </c>
      <c r="F2954" s="2" t="n">
        <v>4</v>
      </c>
      <c r="G2954" s="2" t="s">
        <v>29</v>
      </c>
      <c r="H2954" s="2" t="n">
        <v>2953</v>
      </c>
      <c r="I2954" s="2" t="s">
        <v>30</v>
      </c>
      <c r="J2954" s="2" t="n">
        <v>1</v>
      </c>
      <c r="K2954" s="2" t="s">
        <v>40</v>
      </c>
      <c r="L2954" s="2" t="s">
        <v>37</v>
      </c>
      <c r="M2954" s="2" t="n">
        <v>55380</v>
      </c>
      <c r="N2954" s="2" t="n">
        <v>0</v>
      </c>
      <c r="O2954" s="2" t="n">
        <v>17</v>
      </c>
      <c r="P2954" s="2" t="n">
        <v>0</v>
      </c>
      <c r="Q2954" s="2" t="n">
        <v>37</v>
      </c>
      <c r="R2954" s="2" t="n">
        <v>2</v>
      </c>
      <c r="S2954" s="2" t="n">
        <v>36</v>
      </c>
      <c r="T2954" s="2" t="n">
        <v>4</v>
      </c>
      <c r="U2954" s="2" t="n">
        <v>13</v>
      </c>
      <c r="V2954" s="2" t="n">
        <v>4</v>
      </c>
      <c r="W2954" s="2" t="n">
        <v>1</v>
      </c>
      <c r="X2954" s="2" t="n">
        <v>3</v>
      </c>
      <c r="Y2954" s="2" t="n">
        <v>3</v>
      </c>
      <c r="Z2954" s="2" t="n">
        <v>3</v>
      </c>
    </row>
    <row r="2955" customFormat="false" ht="15" hidden="false" customHeight="true" outlineLevel="0" collapsed="false">
      <c r="A2955" s="2" t="n">
        <v>47</v>
      </c>
      <c r="B2955" s="2" t="s">
        <v>33</v>
      </c>
      <c r="C2955" s="2" t="s">
        <v>41</v>
      </c>
      <c r="D2955" s="2" t="s">
        <v>35</v>
      </c>
      <c r="E2955" s="2" t="n">
        <v>1</v>
      </c>
      <c r="F2955" s="2" t="n">
        <v>1</v>
      </c>
      <c r="G2955" s="2" t="s">
        <v>43</v>
      </c>
      <c r="H2955" s="2" t="n">
        <v>2954</v>
      </c>
      <c r="I2955" s="2" t="s">
        <v>39</v>
      </c>
      <c r="J2955" s="2" t="n">
        <v>1</v>
      </c>
      <c r="K2955" s="2" t="s">
        <v>36</v>
      </c>
      <c r="L2955" s="2" t="s">
        <v>32</v>
      </c>
      <c r="M2955" s="2" t="n">
        <v>57620</v>
      </c>
      <c r="N2955" s="2" t="n">
        <v>1</v>
      </c>
      <c r="O2955" s="2" t="n">
        <v>11</v>
      </c>
      <c r="P2955" s="2" t="n">
        <v>2</v>
      </c>
      <c r="Q2955" s="2" t="n">
        <v>10</v>
      </c>
      <c r="R2955" s="2" t="n">
        <v>4</v>
      </c>
      <c r="S2955" s="2" t="n">
        <v>10</v>
      </c>
      <c r="T2955" s="2" t="n">
        <v>9</v>
      </c>
      <c r="U2955" s="2" t="n">
        <v>9</v>
      </c>
      <c r="V2955" s="2" t="n">
        <v>1</v>
      </c>
      <c r="W2955" s="2" t="n">
        <v>2</v>
      </c>
      <c r="X2955" s="2" t="n">
        <v>2</v>
      </c>
      <c r="Y2955" s="2" t="n">
        <v>2</v>
      </c>
      <c r="Z2955" s="2" t="n">
        <v>3</v>
      </c>
    </row>
    <row r="2956" customFormat="false" ht="15" hidden="false" customHeight="true" outlineLevel="0" collapsed="false">
      <c r="A2956" s="2" t="n">
        <v>28</v>
      </c>
      <c r="B2956" s="2" t="s">
        <v>26</v>
      </c>
      <c r="C2956" s="2" t="s">
        <v>27</v>
      </c>
      <c r="D2956" s="2" t="s">
        <v>35</v>
      </c>
      <c r="E2956" s="2" t="n">
        <v>1</v>
      </c>
      <c r="F2956" s="2" t="n">
        <v>3</v>
      </c>
      <c r="G2956" s="2" t="s">
        <v>29</v>
      </c>
      <c r="H2956" s="2" t="n">
        <v>2955</v>
      </c>
      <c r="I2956" s="2" t="s">
        <v>39</v>
      </c>
      <c r="J2956" s="2" t="n">
        <v>1</v>
      </c>
      <c r="K2956" s="2" t="s">
        <v>47</v>
      </c>
      <c r="L2956" s="2" t="s">
        <v>32</v>
      </c>
      <c r="M2956" s="2" t="n">
        <v>25920</v>
      </c>
      <c r="N2956" s="2" t="n">
        <v>1</v>
      </c>
      <c r="O2956" s="2" t="n">
        <v>14</v>
      </c>
      <c r="P2956" s="2" t="n">
        <v>0</v>
      </c>
      <c r="Q2956" s="2" t="n">
        <v>5</v>
      </c>
      <c r="R2956" s="2" t="n">
        <v>2</v>
      </c>
      <c r="S2956" s="2" t="n">
        <v>5</v>
      </c>
      <c r="T2956" s="2" t="n">
        <v>0</v>
      </c>
      <c r="U2956" s="2" t="n">
        <v>4</v>
      </c>
      <c r="V2956" s="2" t="n">
        <v>4</v>
      </c>
      <c r="W2956" s="2" t="n">
        <v>4</v>
      </c>
      <c r="X2956" s="2" t="n">
        <v>2</v>
      </c>
      <c r="Y2956" s="2" t="n">
        <v>3</v>
      </c>
      <c r="Z2956" s="2" t="n">
        <v>3</v>
      </c>
    </row>
    <row r="2957" customFormat="false" ht="15" hidden="false" customHeight="true" outlineLevel="0" collapsed="false">
      <c r="A2957" s="2" t="n">
        <v>37</v>
      </c>
      <c r="B2957" s="2" t="s">
        <v>26</v>
      </c>
      <c r="C2957" s="2" t="s">
        <v>27</v>
      </c>
      <c r="D2957" s="2" t="s">
        <v>35</v>
      </c>
      <c r="E2957" s="2" t="n">
        <v>1</v>
      </c>
      <c r="F2957" s="2" t="n">
        <v>3</v>
      </c>
      <c r="G2957" s="2" t="s">
        <v>29</v>
      </c>
      <c r="H2957" s="2" t="n">
        <v>2956</v>
      </c>
      <c r="I2957" s="2" t="s">
        <v>39</v>
      </c>
      <c r="J2957" s="2" t="n">
        <v>2</v>
      </c>
      <c r="K2957" s="2" t="s">
        <v>31</v>
      </c>
      <c r="L2957" s="2" t="s">
        <v>32</v>
      </c>
      <c r="M2957" s="2" t="n">
        <v>53460</v>
      </c>
      <c r="N2957" s="2" t="n">
        <v>4</v>
      </c>
      <c r="O2957" s="2" t="n">
        <v>11</v>
      </c>
      <c r="P2957" s="2" t="n">
        <v>0</v>
      </c>
      <c r="Q2957" s="2" t="n">
        <v>7</v>
      </c>
      <c r="R2957" s="2" t="n">
        <v>2</v>
      </c>
      <c r="S2957" s="2" t="n">
        <v>5</v>
      </c>
      <c r="T2957" s="2" t="n">
        <v>0</v>
      </c>
      <c r="U2957" s="2" t="n">
        <v>1</v>
      </c>
      <c r="V2957" s="2" t="n">
        <v>3</v>
      </c>
      <c r="W2957" s="2" t="n">
        <v>4</v>
      </c>
      <c r="X2957" s="2" t="n">
        <v>4</v>
      </c>
      <c r="Y2957" s="2" t="n">
        <v>3</v>
      </c>
      <c r="Z2957" s="2" t="n">
        <v>3</v>
      </c>
    </row>
    <row r="2958" customFormat="false" ht="15" hidden="false" customHeight="true" outlineLevel="0" collapsed="false">
      <c r="A2958" s="2" t="n">
        <v>21</v>
      </c>
      <c r="B2958" s="2" t="s">
        <v>26</v>
      </c>
      <c r="C2958" s="2" t="s">
        <v>27</v>
      </c>
      <c r="D2958" s="2" t="s">
        <v>35</v>
      </c>
      <c r="E2958" s="2" t="n">
        <v>3</v>
      </c>
      <c r="F2958" s="2" t="n">
        <v>2</v>
      </c>
      <c r="G2958" s="2" t="s">
        <v>29</v>
      </c>
      <c r="H2958" s="2" t="n">
        <v>2957</v>
      </c>
      <c r="I2958" s="2" t="s">
        <v>39</v>
      </c>
      <c r="J2958" s="2" t="n">
        <v>1</v>
      </c>
      <c r="K2958" s="2" t="s">
        <v>45</v>
      </c>
      <c r="L2958" s="2" t="s">
        <v>37</v>
      </c>
      <c r="M2958" s="2" t="n">
        <v>42130</v>
      </c>
      <c r="N2958" s="2" t="n">
        <v>1</v>
      </c>
      <c r="O2958" s="2" t="n">
        <v>12</v>
      </c>
      <c r="P2958" s="2" t="n">
        <v>3</v>
      </c>
      <c r="Q2958" s="2" t="n">
        <v>3</v>
      </c>
      <c r="R2958" s="2" t="n">
        <v>3</v>
      </c>
      <c r="S2958" s="2" t="n">
        <v>3</v>
      </c>
      <c r="T2958" s="2" t="n">
        <v>1</v>
      </c>
      <c r="U2958" s="2" t="n">
        <v>0</v>
      </c>
      <c r="V2958" s="2" t="n">
        <v>4</v>
      </c>
      <c r="W2958" s="2" t="n">
        <v>3</v>
      </c>
      <c r="X2958" s="2" t="n">
        <v>4</v>
      </c>
      <c r="Y2958" s="2" t="n">
        <v>2</v>
      </c>
      <c r="Z2958" s="2" t="n">
        <v>3</v>
      </c>
    </row>
    <row r="2959" customFormat="false" ht="15" hidden="false" customHeight="true" outlineLevel="0" collapsed="false">
      <c r="A2959" s="2" t="n">
        <v>37</v>
      </c>
      <c r="B2959" s="2" t="s">
        <v>26</v>
      </c>
      <c r="C2959" s="2" t="s">
        <v>41</v>
      </c>
      <c r="D2959" s="2" t="s">
        <v>35</v>
      </c>
      <c r="E2959" s="2" t="n">
        <v>1</v>
      </c>
      <c r="F2959" s="2" t="n">
        <v>3</v>
      </c>
      <c r="G2959" s="2" t="s">
        <v>43</v>
      </c>
      <c r="H2959" s="2" t="n">
        <v>2958</v>
      </c>
      <c r="I2959" s="2" t="s">
        <v>39</v>
      </c>
      <c r="J2959" s="2" t="n">
        <v>2</v>
      </c>
      <c r="K2959" s="2" t="s">
        <v>40</v>
      </c>
      <c r="L2959" s="2" t="s">
        <v>46</v>
      </c>
      <c r="M2959" s="2" t="n">
        <v>41270</v>
      </c>
      <c r="N2959" s="2" t="n">
        <v>2</v>
      </c>
      <c r="O2959" s="2" t="n">
        <v>13</v>
      </c>
      <c r="P2959" s="2" t="n">
        <v>1</v>
      </c>
      <c r="Q2959" s="2" t="n">
        <v>15</v>
      </c>
      <c r="R2959" s="2" t="n">
        <v>2</v>
      </c>
      <c r="S2959" s="2" t="n">
        <v>5</v>
      </c>
      <c r="T2959" s="2" t="n">
        <v>0</v>
      </c>
      <c r="U2959" s="2" t="n">
        <v>2</v>
      </c>
      <c r="V2959" s="2" t="n">
        <v>1</v>
      </c>
      <c r="W2959" s="2" t="n">
        <v>4</v>
      </c>
      <c r="X2959" s="2" t="n">
        <v>3</v>
      </c>
      <c r="Y2959" s="2" t="n">
        <v>3</v>
      </c>
      <c r="Z2959" s="2" t="n">
        <v>3</v>
      </c>
    </row>
    <row r="2960" customFormat="false" ht="15" hidden="false" customHeight="true" outlineLevel="0" collapsed="false">
      <c r="A2960" s="2" t="n">
        <v>35</v>
      </c>
      <c r="B2960" s="2" t="s">
        <v>26</v>
      </c>
      <c r="C2960" s="2" t="s">
        <v>27</v>
      </c>
      <c r="D2960" s="2" t="s">
        <v>28</v>
      </c>
      <c r="E2960" s="2" t="n">
        <v>7</v>
      </c>
      <c r="F2960" s="2" t="n">
        <v>4</v>
      </c>
      <c r="G2960" s="2" t="s">
        <v>29</v>
      </c>
      <c r="H2960" s="2" t="n">
        <v>2959</v>
      </c>
      <c r="I2960" s="2" t="s">
        <v>39</v>
      </c>
      <c r="J2960" s="2" t="n">
        <v>1</v>
      </c>
      <c r="K2960" s="2" t="s">
        <v>48</v>
      </c>
      <c r="L2960" s="2" t="s">
        <v>46</v>
      </c>
      <c r="M2960" s="2" t="n">
        <v>24380</v>
      </c>
      <c r="N2960" s="2" t="n">
        <v>7</v>
      </c>
      <c r="O2960" s="2" t="n">
        <v>16</v>
      </c>
      <c r="P2960" s="2" t="n">
        <v>0</v>
      </c>
      <c r="Q2960" s="2" t="n">
        <v>10</v>
      </c>
      <c r="R2960" s="2" t="n">
        <v>5</v>
      </c>
      <c r="S2960" s="2" t="n">
        <v>7</v>
      </c>
      <c r="T2960" s="2" t="n">
        <v>6</v>
      </c>
      <c r="U2960" s="2" t="n">
        <v>2</v>
      </c>
      <c r="V2960" s="2" t="n">
        <v>2</v>
      </c>
      <c r="W2960" s="2" t="n">
        <v>2</v>
      </c>
      <c r="X2960" s="2" t="n">
        <v>2</v>
      </c>
      <c r="Y2960" s="2" t="n">
        <v>2</v>
      </c>
      <c r="Z2960" s="2" t="n">
        <v>3</v>
      </c>
    </row>
    <row r="2961" customFormat="false" ht="15" hidden="false" customHeight="true" outlineLevel="0" collapsed="false">
      <c r="A2961" s="2" t="n">
        <v>38</v>
      </c>
      <c r="B2961" s="2" t="s">
        <v>26</v>
      </c>
      <c r="C2961" s="2" t="s">
        <v>27</v>
      </c>
      <c r="D2961" s="2" t="s">
        <v>35</v>
      </c>
      <c r="E2961" s="2" t="n">
        <v>8</v>
      </c>
      <c r="F2961" s="2" t="n">
        <v>3</v>
      </c>
      <c r="G2961" s="2" t="s">
        <v>29</v>
      </c>
      <c r="H2961" s="2" t="n">
        <v>2960</v>
      </c>
      <c r="I2961" s="2" t="s">
        <v>30</v>
      </c>
      <c r="J2961" s="2" t="n">
        <v>1</v>
      </c>
      <c r="K2961" s="2" t="s">
        <v>49</v>
      </c>
      <c r="L2961" s="2" t="s">
        <v>46</v>
      </c>
      <c r="M2961" s="2" t="n">
        <v>68700</v>
      </c>
      <c r="N2961" s="2" t="n">
        <v>1</v>
      </c>
      <c r="O2961" s="2" t="n">
        <v>11</v>
      </c>
      <c r="P2961" s="2" t="n">
        <v>1</v>
      </c>
      <c r="Q2961" s="2" t="n">
        <v>8</v>
      </c>
      <c r="R2961" s="2" t="n">
        <v>5</v>
      </c>
      <c r="S2961" s="2" t="n">
        <v>8</v>
      </c>
      <c r="T2961" s="2" t="n">
        <v>7</v>
      </c>
      <c r="U2961" s="2" t="n">
        <v>7</v>
      </c>
      <c r="V2961" s="2" t="n">
        <v>1</v>
      </c>
      <c r="W2961" s="2" t="n">
        <v>1</v>
      </c>
      <c r="X2961" s="2" t="n">
        <v>3</v>
      </c>
      <c r="Y2961" s="2" t="n">
        <v>3</v>
      </c>
      <c r="Z2961" s="2" t="n">
        <v>3</v>
      </c>
    </row>
    <row r="2962" customFormat="false" ht="15" hidden="false" customHeight="true" outlineLevel="0" collapsed="false">
      <c r="A2962" s="2" t="n">
        <v>26</v>
      </c>
      <c r="B2962" s="2" t="s">
        <v>26</v>
      </c>
      <c r="C2962" s="2" t="s">
        <v>34</v>
      </c>
      <c r="D2962" s="2" t="s">
        <v>35</v>
      </c>
      <c r="E2962" s="2" t="n">
        <v>1</v>
      </c>
      <c r="F2962" s="2" t="n">
        <v>4</v>
      </c>
      <c r="G2962" s="2" t="s">
        <v>38</v>
      </c>
      <c r="H2962" s="2" t="n">
        <v>2961</v>
      </c>
      <c r="I2962" s="2" t="s">
        <v>39</v>
      </c>
      <c r="J2962" s="2" t="n">
        <v>2</v>
      </c>
      <c r="K2962" s="2" t="s">
        <v>45</v>
      </c>
      <c r="L2962" s="2" t="s">
        <v>46</v>
      </c>
      <c r="M2962" s="2" t="n">
        <v>104470</v>
      </c>
      <c r="N2962" s="2" t="n">
        <v>1</v>
      </c>
      <c r="O2962" s="2" t="n">
        <v>18</v>
      </c>
      <c r="P2962" s="2" t="n">
        <v>0</v>
      </c>
      <c r="Q2962" s="2" t="n">
        <v>6</v>
      </c>
      <c r="R2962" s="2" t="n">
        <v>3</v>
      </c>
      <c r="S2962" s="2" t="n">
        <v>6</v>
      </c>
      <c r="T2962" s="2" t="n">
        <v>1</v>
      </c>
      <c r="U2962" s="2" t="n">
        <v>4</v>
      </c>
      <c r="V2962" s="2" t="n">
        <v>3</v>
      </c>
      <c r="W2962" s="2" t="n">
        <v>2</v>
      </c>
      <c r="X2962" s="2" t="n">
        <v>1</v>
      </c>
      <c r="Y2962" s="2" t="n">
        <v>3</v>
      </c>
      <c r="Z2962" s="2" t="n">
        <v>3</v>
      </c>
    </row>
    <row r="2963" customFormat="false" ht="15" hidden="false" customHeight="true" outlineLevel="0" collapsed="false">
      <c r="A2963" s="2" t="n">
        <v>50</v>
      </c>
      <c r="B2963" s="2" t="s">
        <v>26</v>
      </c>
      <c r="C2963" s="2" t="s">
        <v>27</v>
      </c>
      <c r="D2963" s="2" t="s">
        <v>28</v>
      </c>
      <c r="E2963" s="2" t="n">
        <v>8</v>
      </c>
      <c r="F2963" s="2" t="n">
        <v>4</v>
      </c>
      <c r="G2963" s="2" t="s">
        <v>29</v>
      </c>
      <c r="H2963" s="2" t="n">
        <v>2962</v>
      </c>
      <c r="I2963" s="2" t="s">
        <v>39</v>
      </c>
      <c r="J2963" s="2" t="n">
        <v>1</v>
      </c>
      <c r="K2963" s="2" t="s">
        <v>36</v>
      </c>
      <c r="L2963" s="2" t="s">
        <v>46</v>
      </c>
      <c r="M2963" s="2" t="n">
        <v>96670</v>
      </c>
      <c r="N2963" s="2" t="n">
        <v>3</v>
      </c>
      <c r="O2963" s="2" t="n">
        <v>23</v>
      </c>
      <c r="P2963" s="2" t="n">
        <v>0</v>
      </c>
      <c r="Q2963" s="2" t="n">
        <v>28</v>
      </c>
      <c r="R2963" s="2" t="n">
        <v>2</v>
      </c>
      <c r="S2963" s="2" t="n">
        <v>10</v>
      </c>
      <c r="T2963" s="2" t="n">
        <v>1</v>
      </c>
      <c r="U2963" s="2" t="n">
        <v>6</v>
      </c>
      <c r="V2963" s="2" t="n">
        <v>1</v>
      </c>
      <c r="W2963" s="2" t="n">
        <v>2</v>
      </c>
      <c r="X2963" s="2" t="n">
        <v>2</v>
      </c>
      <c r="Y2963" s="2" t="n">
        <v>2</v>
      </c>
      <c r="Z2963" s="2" t="n">
        <v>4</v>
      </c>
    </row>
    <row r="2964" customFormat="false" ht="15" hidden="false" customHeight="true" outlineLevel="0" collapsed="false">
      <c r="A2964" s="2" t="n">
        <v>53</v>
      </c>
      <c r="B2964" s="2" t="s">
        <v>26</v>
      </c>
      <c r="C2964" s="2" t="s">
        <v>27</v>
      </c>
      <c r="D2964" s="2" t="s">
        <v>35</v>
      </c>
      <c r="E2964" s="2" t="n">
        <v>11</v>
      </c>
      <c r="F2964" s="2" t="n">
        <v>4</v>
      </c>
      <c r="G2964" s="2" t="s">
        <v>29</v>
      </c>
      <c r="H2964" s="2" t="n">
        <v>2963</v>
      </c>
      <c r="I2964" s="2" t="s">
        <v>30</v>
      </c>
      <c r="J2964" s="2" t="n">
        <v>2</v>
      </c>
      <c r="K2964" s="2" t="s">
        <v>36</v>
      </c>
      <c r="L2964" s="2" t="s">
        <v>32</v>
      </c>
      <c r="M2964" s="2" t="n">
        <v>21480</v>
      </c>
      <c r="N2964" s="2" t="n">
        <v>3</v>
      </c>
      <c r="O2964" s="2" t="n">
        <v>11</v>
      </c>
      <c r="P2964" s="2" t="n">
        <v>0</v>
      </c>
      <c r="Q2964" s="2" t="n">
        <v>21</v>
      </c>
      <c r="R2964" s="2" t="n">
        <v>2</v>
      </c>
      <c r="S2964" s="2" t="n">
        <v>5</v>
      </c>
      <c r="T2964" s="2" t="n">
        <v>1</v>
      </c>
      <c r="U2964" s="2" t="n">
        <v>3</v>
      </c>
      <c r="V2964" s="2" t="n">
        <v>3</v>
      </c>
      <c r="W2964" s="2" t="n">
        <v>3</v>
      </c>
      <c r="X2964" s="2" t="n">
        <v>2</v>
      </c>
      <c r="Y2964" s="2" t="n">
        <v>3</v>
      </c>
      <c r="Z2964" s="2" t="n">
        <v>3</v>
      </c>
    </row>
    <row r="2965" customFormat="false" ht="15" hidden="false" customHeight="true" outlineLevel="0" collapsed="false">
      <c r="A2965" s="2" t="n">
        <v>42</v>
      </c>
      <c r="B2965" s="2" t="s">
        <v>26</v>
      </c>
      <c r="C2965" s="2" t="s">
        <v>27</v>
      </c>
      <c r="D2965" s="2" t="s">
        <v>35</v>
      </c>
      <c r="E2965" s="2" t="n">
        <v>4</v>
      </c>
      <c r="F2965" s="2" t="n">
        <v>4</v>
      </c>
      <c r="G2965" s="2" t="s">
        <v>29</v>
      </c>
      <c r="H2965" s="2" t="n">
        <v>2964</v>
      </c>
      <c r="I2965" s="2" t="s">
        <v>39</v>
      </c>
      <c r="J2965" s="2" t="n">
        <v>1</v>
      </c>
      <c r="K2965" s="2" t="s">
        <v>47</v>
      </c>
      <c r="L2965" s="2" t="s">
        <v>32</v>
      </c>
      <c r="M2965" s="2" t="n">
        <v>89260</v>
      </c>
      <c r="N2965" s="2" t="n">
        <v>1</v>
      </c>
      <c r="O2965" s="2" t="n">
        <v>14</v>
      </c>
      <c r="P2965" s="2" t="n">
        <v>0</v>
      </c>
      <c r="Q2965" s="2" t="n">
        <v>20</v>
      </c>
      <c r="R2965" s="2" t="n">
        <v>4</v>
      </c>
      <c r="S2965" s="2" t="n">
        <v>20</v>
      </c>
      <c r="T2965" s="2" t="n">
        <v>11</v>
      </c>
      <c r="U2965" s="2" t="n">
        <v>6</v>
      </c>
      <c r="V2965" s="2" t="n">
        <v>2</v>
      </c>
      <c r="W2965" s="2" t="n">
        <v>3</v>
      </c>
      <c r="X2965" s="2" t="n">
        <v>3</v>
      </c>
      <c r="Y2965" s="2" t="n">
        <v>1</v>
      </c>
      <c r="Z2965" s="2" t="n">
        <v>3</v>
      </c>
    </row>
    <row r="2966" customFormat="false" ht="15" hidden="false" customHeight="true" outlineLevel="0" collapsed="false">
      <c r="A2966" s="2" t="n">
        <v>29</v>
      </c>
      <c r="B2966" s="2" t="s">
        <v>26</v>
      </c>
      <c r="C2966" s="2" t="s">
        <v>34</v>
      </c>
      <c r="D2966" s="2" t="s">
        <v>35</v>
      </c>
      <c r="E2966" s="2" t="n">
        <v>16</v>
      </c>
      <c r="F2966" s="2" t="n">
        <v>4</v>
      </c>
      <c r="G2966" s="2" t="s">
        <v>43</v>
      </c>
      <c r="H2966" s="2" t="n">
        <v>2965</v>
      </c>
      <c r="I2966" s="2" t="s">
        <v>39</v>
      </c>
      <c r="J2966" s="2" t="n">
        <v>1</v>
      </c>
      <c r="K2966" s="2" t="s">
        <v>45</v>
      </c>
      <c r="L2966" s="2" t="s">
        <v>37</v>
      </c>
      <c r="M2966" s="2" t="n">
        <v>65130</v>
      </c>
      <c r="N2966" s="2" t="n">
        <v>1</v>
      </c>
      <c r="O2966" s="2" t="n">
        <v>11</v>
      </c>
      <c r="P2966" s="2" t="n">
        <v>1</v>
      </c>
      <c r="Q2966" s="2" t="n">
        <v>10</v>
      </c>
      <c r="R2966" s="2" t="n">
        <v>2</v>
      </c>
      <c r="S2966" s="2" t="n">
        <v>10</v>
      </c>
      <c r="T2966" s="2" t="n">
        <v>0</v>
      </c>
      <c r="U2966" s="2" t="n">
        <v>9</v>
      </c>
      <c r="V2966" s="2" t="n">
        <v>2</v>
      </c>
      <c r="W2966" s="2" t="n">
        <v>4</v>
      </c>
      <c r="X2966" s="2" t="n">
        <v>2</v>
      </c>
      <c r="Y2966" s="2" t="n">
        <v>3</v>
      </c>
      <c r="Z2966" s="2" t="n">
        <v>3</v>
      </c>
    </row>
    <row r="2967" customFormat="false" ht="15" hidden="false" customHeight="true" outlineLevel="0" collapsed="false">
      <c r="A2967" s="2" t="n">
        <v>55</v>
      </c>
      <c r="B2967" s="2" t="s">
        <v>26</v>
      </c>
      <c r="C2967" s="2" t="s">
        <v>27</v>
      </c>
      <c r="D2967" s="2" t="s">
        <v>35</v>
      </c>
      <c r="E2967" s="2" t="n">
        <v>1</v>
      </c>
      <c r="F2967" s="2" t="n">
        <v>4</v>
      </c>
      <c r="G2967" s="2" t="s">
        <v>38</v>
      </c>
      <c r="H2967" s="2" t="n">
        <v>2966</v>
      </c>
      <c r="I2967" s="2" t="s">
        <v>30</v>
      </c>
      <c r="J2967" s="2" t="n">
        <v>1</v>
      </c>
      <c r="K2967" s="2" t="s">
        <v>36</v>
      </c>
      <c r="L2967" s="2" t="s">
        <v>32</v>
      </c>
      <c r="M2967" s="2" t="n">
        <v>67990</v>
      </c>
      <c r="N2967" s="2" t="n">
        <v>3</v>
      </c>
      <c r="O2967" s="2" t="n">
        <v>11</v>
      </c>
      <c r="P2967" s="2" t="n">
        <v>0</v>
      </c>
      <c r="Q2967" s="2" t="n">
        <v>12</v>
      </c>
      <c r="R2967" s="2" t="n">
        <v>2</v>
      </c>
      <c r="S2967" s="2" t="n">
        <v>10</v>
      </c>
      <c r="T2967" s="2" t="n">
        <v>0</v>
      </c>
      <c r="U2967" s="2" t="n">
        <v>8</v>
      </c>
      <c r="V2967" s="2" t="n">
        <v>2</v>
      </c>
      <c r="W2967" s="2" t="n">
        <v>4</v>
      </c>
      <c r="X2967" s="2" t="n">
        <v>3</v>
      </c>
      <c r="Y2967" s="2" t="n">
        <v>3</v>
      </c>
      <c r="Z2967" s="2" t="n">
        <v>3</v>
      </c>
    </row>
    <row r="2968" customFormat="false" ht="15" hidden="false" customHeight="true" outlineLevel="0" collapsed="false">
      <c r="A2968" s="2" t="n">
        <v>26</v>
      </c>
      <c r="B2968" s="2" t="s">
        <v>26</v>
      </c>
      <c r="C2968" s="2" t="s">
        <v>34</v>
      </c>
      <c r="D2968" s="2" t="s">
        <v>35</v>
      </c>
      <c r="E2968" s="2" t="n">
        <v>9</v>
      </c>
      <c r="F2968" s="2" t="n">
        <v>3</v>
      </c>
      <c r="G2968" s="2" t="s">
        <v>29</v>
      </c>
      <c r="H2968" s="2" t="n">
        <v>2967</v>
      </c>
      <c r="I2968" s="2" t="s">
        <v>30</v>
      </c>
      <c r="J2968" s="2" t="n">
        <v>1</v>
      </c>
      <c r="K2968" s="2" t="s">
        <v>49</v>
      </c>
      <c r="L2968" s="2" t="s">
        <v>32</v>
      </c>
      <c r="M2968" s="2" t="n">
        <v>162910</v>
      </c>
      <c r="N2968" s="2" t="n">
        <v>1</v>
      </c>
      <c r="O2968" s="2" t="n">
        <v>22</v>
      </c>
      <c r="P2968" s="2" t="n">
        <v>0</v>
      </c>
      <c r="Q2968" s="2" t="n">
        <v>5</v>
      </c>
      <c r="R2968" s="2" t="n">
        <v>3</v>
      </c>
      <c r="S2968" s="2" t="n">
        <v>5</v>
      </c>
      <c r="T2968" s="2" t="n">
        <v>3</v>
      </c>
      <c r="U2968" s="2" t="n">
        <v>3</v>
      </c>
      <c r="V2968" s="2" t="n">
        <v>1</v>
      </c>
      <c r="W2968" s="2" t="n">
        <v>1</v>
      </c>
      <c r="X2968" s="2" t="n">
        <v>3</v>
      </c>
      <c r="Y2968" s="2" t="n">
        <v>3</v>
      </c>
      <c r="Z2968" s="2" t="n">
        <v>4</v>
      </c>
    </row>
    <row r="2969" customFormat="false" ht="15" hidden="false" customHeight="true" outlineLevel="0" collapsed="false">
      <c r="A2969" s="2" t="n">
        <v>37</v>
      </c>
      <c r="B2969" s="2" t="s">
        <v>26</v>
      </c>
      <c r="C2969" s="2" t="s">
        <v>27</v>
      </c>
      <c r="D2969" s="2" t="s">
        <v>28</v>
      </c>
      <c r="E2969" s="2" t="n">
        <v>5</v>
      </c>
      <c r="F2969" s="2" t="n">
        <v>1</v>
      </c>
      <c r="G2969" s="2" t="s">
        <v>50</v>
      </c>
      <c r="H2969" s="2" t="n">
        <v>2968</v>
      </c>
      <c r="I2969" s="2" t="s">
        <v>39</v>
      </c>
      <c r="J2969" s="2" t="n">
        <v>1</v>
      </c>
      <c r="K2969" s="2" t="s">
        <v>36</v>
      </c>
      <c r="L2969" s="2" t="s">
        <v>37</v>
      </c>
      <c r="M2969" s="2" t="n">
        <v>27050</v>
      </c>
      <c r="N2969" s="2" t="n">
        <v>1</v>
      </c>
      <c r="O2969" s="2" t="n">
        <v>11</v>
      </c>
      <c r="P2969" s="2" t="n">
        <v>0</v>
      </c>
      <c r="Q2969" s="2" t="n">
        <v>17</v>
      </c>
      <c r="R2969" s="2" t="n">
        <v>2</v>
      </c>
      <c r="S2969" s="2" t="n">
        <v>17</v>
      </c>
      <c r="T2969" s="2" t="n">
        <v>5</v>
      </c>
      <c r="U2969" s="2" t="n">
        <v>7</v>
      </c>
      <c r="V2969" s="2" t="n">
        <v>4</v>
      </c>
      <c r="W2969" s="2" t="n">
        <v>4</v>
      </c>
      <c r="X2969" s="2" t="n">
        <v>3</v>
      </c>
      <c r="Y2969" s="2" t="n">
        <v>3</v>
      </c>
      <c r="Z2969" s="2" t="n">
        <v>3</v>
      </c>
    </row>
    <row r="2970" customFormat="false" ht="15" hidden="false" customHeight="true" outlineLevel="0" collapsed="false">
      <c r="A2970" s="2" t="n">
        <v>44</v>
      </c>
      <c r="B2970" s="2" t="s">
        <v>33</v>
      </c>
      <c r="C2970" s="2" t="s">
        <v>34</v>
      </c>
      <c r="D2970" s="2" t="s">
        <v>35</v>
      </c>
      <c r="E2970" s="2" t="n">
        <v>1</v>
      </c>
      <c r="F2970" s="2" t="n">
        <v>2</v>
      </c>
      <c r="G2970" s="2" t="s">
        <v>43</v>
      </c>
      <c r="H2970" s="2" t="n">
        <v>2969</v>
      </c>
      <c r="I2970" s="2" t="s">
        <v>39</v>
      </c>
      <c r="J2970" s="2" t="n">
        <v>2</v>
      </c>
      <c r="K2970" s="2" t="s">
        <v>36</v>
      </c>
      <c r="L2970" s="2" t="s">
        <v>46</v>
      </c>
      <c r="M2970" s="2" t="n">
        <v>103330</v>
      </c>
      <c r="N2970" s="2" t="n">
        <v>3</v>
      </c>
      <c r="O2970" s="2" t="n">
        <v>14</v>
      </c>
      <c r="P2970" s="2" t="n">
        <v>1</v>
      </c>
      <c r="Q2970" s="2" t="n">
        <v>19</v>
      </c>
      <c r="R2970" s="2" t="n">
        <v>2</v>
      </c>
      <c r="S2970" s="2" t="n">
        <v>1</v>
      </c>
      <c r="T2970" s="2" t="n">
        <v>0</v>
      </c>
      <c r="U2970" s="2" t="n">
        <v>0</v>
      </c>
      <c r="V2970" s="2" t="n">
        <v>4</v>
      </c>
      <c r="W2970" s="2" t="n">
        <v>3</v>
      </c>
      <c r="X2970" s="2" t="n">
        <v>1</v>
      </c>
      <c r="Y2970" s="2" t="n">
        <v>2</v>
      </c>
      <c r="Z2970" s="2" t="n">
        <v>3</v>
      </c>
    </row>
    <row r="2971" customFormat="false" ht="15" hidden="false" customHeight="true" outlineLevel="0" collapsed="false">
      <c r="A2971" s="2" t="n">
        <v>38</v>
      </c>
      <c r="B2971" s="2" t="s">
        <v>26</v>
      </c>
      <c r="C2971" s="2" t="s">
        <v>27</v>
      </c>
      <c r="D2971" s="2" t="s">
        <v>28</v>
      </c>
      <c r="E2971" s="2" t="n">
        <v>2</v>
      </c>
      <c r="F2971" s="2" t="n">
        <v>3</v>
      </c>
      <c r="G2971" s="2" t="s">
        <v>50</v>
      </c>
      <c r="H2971" s="2" t="n">
        <v>2970</v>
      </c>
      <c r="I2971" s="2" t="s">
        <v>30</v>
      </c>
      <c r="J2971" s="2" t="n">
        <v>1</v>
      </c>
      <c r="K2971" s="2" t="s">
        <v>49</v>
      </c>
      <c r="L2971" s="2" t="s">
        <v>46</v>
      </c>
      <c r="M2971" s="2" t="n">
        <v>44480</v>
      </c>
      <c r="N2971" s="2" t="n">
        <v>9</v>
      </c>
      <c r="O2971" s="2" t="n">
        <v>12</v>
      </c>
      <c r="P2971" s="2" t="n">
        <v>0</v>
      </c>
      <c r="Q2971" s="2" t="n">
        <v>10</v>
      </c>
      <c r="R2971" s="2" t="n">
        <v>3</v>
      </c>
      <c r="S2971" s="2" t="n">
        <v>2</v>
      </c>
      <c r="T2971" s="2" t="n">
        <v>1</v>
      </c>
      <c r="U2971" s="2" t="n">
        <v>2</v>
      </c>
      <c r="V2971" s="2" t="n">
        <v>4</v>
      </c>
      <c r="W2971" s="2" t="n">
        <v>4</v>
      </c>
      <c r="X2971" s="2" t="n">
        <v>3</v>
      </c>
      <c r="Y2971" s="2" t="n">
        <v>2</v>
      </c>
      <c r="Z2971" s="2" t="n">
        <v>3</v>
      </c>
    </row>
    <row r="2972" customFormat="false" ht="15" hidden="false" customHeight="true" outlineLevel="0" collapsed="false">
      <c r="A2972" s="2" t="n">
        <v>26</v>
      </c>
      <c r="B2972" s="2" t="s">
        <v>33</v>
      </c>
      <c r="C2972" s="2" t="s">
        <v>27</v>
      </c>
      <c r="D2972" s="2" t="s">
        <v>35</v>
      </c>
      <c r="E2972" s="2" t="n">
        <v>4</v>
      </c>
      <c r="F2972" s="2" t="n">
        <v>3</v>
      </c>
      <c r="G2972" s="2" t="s">
        <v>43</v>
      </c>
      <c r="H2972" s="2" t="n">
        <v>2971</v>
      </c>
      <c r="I2972" s="2" t="s">
        <v>39</v>
      </c>
      <c r="J2972" s="2" t="n">
        <v>3</v>
      </c>
      <c r="K2972" s="2" t="s">
        <v>36</v>
      </c>
      <c r="L2972" s="2" t="s">
        <v>46</v>
      </c>
      <c r="M2972" s="2" t="n">
        <v>68540</v>
      </c>
      <c r="N2972" s="2" t="n">
        <v>2</v>
      </c>
      <c r="O2972" s="2" t="n">
        <v>11</v>
      </c>
      <c r="P2972" s="2" t="n">
        <v>0</v>
      </c>
      <c r="Q2972" s="2" t="n">
        <v>5</v>
      </c>
      <c r="R2972" s="2" t="n">
        <v>5</v>
      </c>
      <c r="S2972" s="2" t="n">
        <v>3</v>
      </c>
      <c r="T2972" s="2" t="n">
        <v>0</v>
      </c>
      <c r="U2972" s="2" t="n">
        <v>2</v>
      </c>
      <c r="V2972" s="2" t="n">
        <v>1</v>
      </c>
      <c r="W2972" s="2" t="n">
        <v>2</v>
      </c>
      <c r="X2972" s="2" t="n">
        <v>3</v>
      </c>
      <c r="Y2972" s="2" t="n">
        <v>2</v>
      </c>
      <c r="Z2972" s="2" t="n">
        <v>3</v>
      </c>
    </row>
    <row r="2973" customFormat="false" ht="15" hidden="false" customHeight="true" outlineLevel="0" collapsed="false">
      <c r="A2973" s="2" t="n">
        <v>28</v>
      </c>
      <c r="B2973" s="2" t="s">
        <v>26</v>
      </c>
      <c r="C2973" s="2" t="s">
        <v>27</v>
      </c>
      <c r="D2973" s="2" t="s">
        <v>35</v>
      </c>
      <c r="E2973" s="2" t="n">
        <v>7</v>
      </c>
      <c r="F2973" s="2" t="n">
        <v>3</v>
      </c>
      <c r="G2973" s="2" t="s">
        <v>38</v>
      </c>
      <c r="H2973" s="2" t="n">
        <v>2972</v>
      </c>
      <c r="I2973" s="2" t="s">
        <v>39</v>
      </c>
      <c r="J2973" s="2" t="n">
        <v>1</v>
      </c>
      <c r="K2973" s="2" t="s">
        <v>42</v>
      </c>
      <c r="L2973" s="2" t="s">
        <v>37</v>
      </c>
      <c r="M2973" s="2" t="n">
        <v>96370</v>
      </c>
      <c r="N2973" s="2" t="n">
        <v>1</v>
      </c>
      <c r="O2973" s="2" t="n">
        <v>13</v>
      </c>
      <c r="P2973" s="2" t="n">
        <v>0</v>
      </c>
      <c r="Q2973" s="2" t="n">
        <v>5</v>
      </c>
      <c r="R2973" s="2" t="n">
        <v>6</v>
      </c>
      <c r="S2973" s="2" t="n">
        <v>5</v>
      </c>
      <c r="T2973" s="2" t="n">
        <v>0</v>
      </c>
      <c r="U2973" s="2" t="n">
        <v>2</v>
      </c>
      <c r="V2973" s="2" t="n">
        <v>4</v>
      </c>
      <c r="W2973" s="2" t="n">
        <v>4</v>
      </c>
      <c r="X2973" s="2" t="n">
        <v>3</v>
      </c>
      <c r="Y2973" s="2" t="n">
        <v>2</v>
      </c>
      <c r="Z2973" s="2" t="n">
        <v>3</v>
      </c>
    </row>
    <row r="2974" customFormat="false" ht="15" hidden="false" customHeight="true" outlineLevel="0" collapsed="false">
      <c r="A2974" s="2" t="n">
        <v>49</v>
      </c>
      <c r="B2974" s="2" t="s">
        <v>26</v>
      </c>
      <c r="C2974" s="2" t="s">
        <v>34</v>
      </c>
      <c r="D2974" s="2" t="s">
        <v>35</v>
      </c>
      <c r="E2974" s="2" t="n">
        <v>1</v>
      </c>
      <c r="F2974" s="2" t="n">
        <v>1</v>
      </c>
      <c r="G2974" s="2" t="s">
        <v>43</v>
      </c>
      <c r="H2974" s="2" t="n">
        <v>2973</v>
      </c>
      <c r="I2974" s="2" t="s">
        <v>30</v>
      </c>
      <c r="J2974" s="2" t="n">
        <v>2</v>
      </c>
      <c r="K2974" s="2" t="s">
        <v>36</v>
      </c>
      <c r="L2974" s="2" t="s">
        <v>37</v>
      </c>
      <c r="M2974" s="2" t="n">
        <v>35910</v>
      </c>
      <c r="N2974" s="2" t="n">
        <v>9</v>
      </c>
      <c r="O2974" s="2" t="n">
        <v>13</v>
      </c>
      <c r="P2974" s="2" t="n">
        <v>0</v>
      </c>
      <c r="Q2974" s="2" t="n">
        <v>22</v>
      </c>
      <c r="R2974" s="2" t="n">
        <v>2</v>
      </c>
      <c r="S2974" s="2" t="n">
        <v>3</v>
      </c>
      <c r="T2974" s="2" t="n">
        <v>1</v>
      </c>
      <c r="U2974" s="2" t="n">
        <v>2</v>
      </c>
      <c r="V2974" s="2" t="n">
        <v>3</v>
      </c>
      <c r="W2974" s="2" t="n">
        <v>1</v>
      </c>
      <c r="X2974" s="2" t="n">
        <v>3</v>
      </c>
      <c r="Y2974" s="2" t="n">
        <v>3</v>
      </c>
      <c r="Z2974" s="2" t="n">
        <v>3</v>
      </c>
    </row>
    <row r="2975" customFormat="false" ht="15" hidden="false" customHeight="true" outlineLevel="0" collapsed="false">
      <c r="A2975" s="2" t="n">
        <v>36</v>
      </c>
      <c r="B2975" s="2" t="s">
        <v>26</v>
      </c>
      <c r="C2975" s="2" t="s">
        <v>27</v>
      </c>
      <c r="D2975" s="2" t="s">
        <v>28</v>
      </c>
      <c r="E2975" s="2" t="n">
        <v>5</v>
      </c>
      <c r="F2975" s="2" t="n">
        <v>3</v>
      </c>
      <c r="G2975" s="2" t="s">
        <v>51</v>
      </c>
      <c r="H2975" s="2" t="n">
        <v>2974</v>
      </c>
      <c r="I2975" s="2" t="s">
        <v>39</v>
      </c>
      <c r="J2975" s="2" t="n">
        <v>3</v>
      </c>
      <c r="K2975" s="2" t="s">
        <v>40</v>
      </c>
      <c r="L2975" s="2" t="s">
        <v>37</v>
      </c>
      <c r="M2975" s="2" t="n">
        <v>54050</v>
      </c>
      <c r="N2975" s="2" t="n">
        <v>4</v>
      </c>
      <c r="O2975" s="2" t="n">
        <v>14</v>
      </c>
      <c r="P2975" s="2" t="n">
        <v>0</v>
      </c>
      <c r="Q2975" s="2" t="n">
        <v>10</v>
      </c>
      <c r="R2975" s="2" t="n">
        <v>2</v>
      </c>
      <c r="S2975" s="2" t="n">
        <v>8</v>
      </c>
      <c r="T2975" s="2" t="n">
        <v>7</v>
      </c>
      <c r="U2975" s="2" t="n">
        <v>7</v>
      </c>
      <c r="V2975" s="2" t="n">
        <v>3</v>
      </c>
      <c r="W2975" s="2" t="n">
        <v>2</v>
      </c>
      <c r="X2975" s="2" t="n">
        <v>3</v>
      </c>
      <c r="Y2975" s="2" t="n">
        <v>3</v>
      </c>
      <c r="Z2975" s="2" t="n">
        <v>3</v>
      </c>
    </row>
    <row r="2976" customFormat="false" ht="15" hidden="false" customHeight="true" outlineLevel="0" collapsed="false">
      <c r="A2976" s="2" t="n">
        <v>31</v>
      </c>
      <c r="B2976" s="2" t="s">
        <v>26</v>
      </c>
      <c r="C2976" s="2" t="s">
        <v>34</v>
      </c>
      <c r="D2976" s="2" t="s">
        <v>35</v>
      </c>
      <c r="E2976" s="2" t="n">
        <v>9</v>
      </c>
      <c r="F2976" s="2" t="n">
        <v>4</v>
      </c>
      <c r="G2976" s="2" t="s">
        <v>43</v>
      </c>
      <c r="H2976" s="2" t="n">
        <v>2975</v>
      </c>
      <c r="I2976" s="2" t="s">
        <v>39</v>
      </c>
      <c r="J2976" s="2" t="n">
        <v>1</v>
      </c>
      <c r="K2976" s="2" t="s">
        <v>40</v>
      </c>
      <c r="L2976" s="2" t="s">
        <v>46</v>
      </c>
      <c r="M2976" s="2" t="n">
        <v>46840</v>
      </c>
      <c r="N2976" s="2" t="n">
        <v>1</v>
      </c>
      <c r="O2976" s="2" t="n">
        <v>16</v>
      </c>
      <c r="P2976" s="2" t="n">
        <v>1</v>
      </c>
      <c r="Q2976" s="2" t="n">
        <v>2</v>
      </c>
      <c r="R2976" s="2" t="n">
        <v>4</v>
      </c>
      <c r="S2976" s="2" t="n">
        <v>2</v>
      </c>
      <c r="T2976" s="2" t="n">
        <v>2</v>
      </c>
      <c r="U2976" s="2" t="n">
        <v>2</v>
      </c>
      <c r="V2976" s="2" t="n">
        <v>4</v>
      </c>
      <c r="W2976" s="2" t="n">
        <v>2</v>
      </c>
      <c r="X2976" s="2" t="n">
        <v>2</v>
      </c>
      <c r="Y2976" s="2" t="n">
        <v>3</v>
      </c>
      <c r="Z2976" s="2" t="n">
        <v>3</v>
      </c>
    </row>
    <row r="2977" customFormat="false" ht="15" hidden="false" customHeight="true" outlineLevel="0" collapsed="false">
      <c r="A2977" s="2" t="n">
        <v>26</v>
      </c>
      <c r="B2977" s="2" t="s">
        <v>33</v>
      </c>
      <c r="C2977" s="2" t="s">
        <v>27</v>
      </c>
      <c r="D2977" s="2" t="s">
        <v>35</v>
      </c>
      <c r="E2977" s="2" t="n">
        <v>8</v>
      </c>
      <c r="F2977" s="2" t="n">
        <v>3</v>
      </c>
      <c r="G2977" s="2" t="s">
        <v>43</v>
      </c>
      <c r="H2977" s="2" t="n">
        <v>2976</v>
      </c>
      <c r="I2977" s="2" t="s">
        <v>39</v>
      </c>
      <c r="J2977" s="2" t="n">
        <v>2</v>
      </c>
      <c r="K2977" s="2" t="s">
        <v>49</v>
      </c>
      <c r="L2977" s="2" t="s">
        <v>37</v>
      </c>
      <c r="M2977" s="2" t="n">
        <v>157870</v>
      </c>
      <c r="N2977" s="2" t="n">
        <v>1</v>
      </c>
      <c r="O2977" s="2" t="n">
        <v>12</v>
      </c>
      <c r="P2977" s="2" t="n">
        <v>2</v>
      </c>
      <c r="Q2977" s="2" t="n">
        <v>8</v>
      </c>
      <c r="R2977" s="2" t="n">
        <v>5</v>
      </c>
      <c r="S2977" s="2" t="n">
        <v>8</v>
      </c>
      <c r="T2977" s="2" t="n">
        <v>7</v>
      </c>
      <c r="U2977" s="2" t="n">
        <v>4</v>
      </c>
      <c r="V2977" s="2" t="n">
        <v>4</v>
      </c>
      <c r="W2977" s="2" t="n">
        <v>4</v>
      </c>
      <c r="X2977" s="2" t="n">
        <v>3</v>
      </c>
      <c r="Y2977" s="2" t="n">
        <v>3</v>
      </c>
      <c r="Z2977" s="2" t="n">
        <v>3</v>
      </c>
    </row>
    <row r="2978" customFormat="false" ht="15" hidden="false" customHeight="true" outlineLevel="0" collapsed="false">
      <c r="A2978" s="2" t="n">
        <v>37</v>
      </c>
      <c r="B2978" s="2" t="s">
        <v>26</v>
      </c>
      <c r="C2978" s="2" t="s">
        <v>34</v>
      </c>
      <c r="D2978" s="2" t="s">
        <v>28</v>
      </c>
      <c r="E2978" s="2" t="n">
        <v>9</v>
      </c>
      <c r="F2978" s="2" t="n">
        <v>1</v>
      </c>
      <c r="G2978" s="2" t="s">
        <v>50</v>
      </c>
      <c r="H2978" s="2" t="n">
        <v>2977</v>
      </c>
      <c r="I2978" s="2" t="s">
        <v>39</v>
      </c>
      <c r="J2978" s="2" t="n">
        <v>1</v>
      </c>
      <c r="K2978" s="2" t="s">
        <v>45</v>
      </c>
      <c r="L2978" s="2" t="s">
        <v>32</v>
      </c>
      <c r="M2978" s="2" t="n">
        <v>15140</v>
      </c>
      <c r="N2978" s="2" t="n">
        <v>1</v>
      </c>
      <c r="O2978" s="2" t="n">
        <v>14</v>
      </c>
      <c r="P2978" s="2" t="n">
        <v>0</v>
      </c>
      <c r="Q2978" s="2" t="n">
        <v>4</v>
      </c>
      <c r="R2978" s="2" t="n">
        <v>3</v>
      </c>
      <c r="S2978" s="2" t="n">
        <v>4</v>
      </c>
      <c r="T2978" s="2" t="n">
        <v>1</v>
      </c>
      <c r="U2978" s="2" t="n">
        <v>2</v>
      </c>
      <c r="V2978" s="2" t="n">
        <v>2</v>
      </c>
      <c r="W2978" s="2" t="n">
        <v>4</v>
      </c>
      <c r="X2978" s="2" t="n">
        <v>2</v>
      </c>
      <c r="Y2978" s="2" t="n">
        <v>3</v>
      </c>
      <c r="Z2978" s="2" t="n">
        <v>3</v>
      </c>
    </row>
    <row r="2979" customFormat="false" ht="15" hidden="false" customHeight="true" outlineLevel="0" collapsed="false">
      <c r="A2979" s="2" t="n">
        <v>42</v>
      </c>
      <c r="B2979" s="2" t="s">
        <v>26</v>
      </c>
      <c r="C2979" s="2" t="s">
        <v>34</v>
      </c>
      <c r="D2979" s="2" t="s">
        <v>28</v>
      </c>
      <c r="E2979" s="2" t="n">
        <v>2</v>
      </c>
      <c r="F2979" s="2" t="n">
        <v>2</v>
      </c>
      <c r="G2979" s="2" t="s">
        <v>50</v>
      </c>
      <c r="H2979" s="2" t="n">
        <v>2978</v>
      </c>
      <c r="I2979" s="2" t="s">
        <v>39</v>
      </c>
      <c r="J2979" s="2" t="n">
        <v>3</v>
      </c>
      <c r="K2979" s="2" t="s">
        <v>44</v>
      </c>
      <c r="L2979" s="2" t="s">
        <v>32</v>
      </c>
      <c r="M2979" s="2" t="n">
        <v>29560</v>
      </c>
      <c r="N2979" s="2" t="n">
        <v>5</v>
      </c>
      <c r="O2979" s="2" t="n">
        <v>13</v>
      </c>
      <c r="P2979" s="2" t="n">
        <v>0</v>
      </c>
      <c r="Q2979" s="2" t="n">
        <v>23</v>
      </c>
      <c r="R2979" s="2" t="n">
        <v>2</v>
      </c>
      <c r="S2979" s="2" t="n">
        <v>20</v>
      </c>
      <c r="T2979" s="2" t="n">
        <v>4</v>
      </c>
      <c r="U2979" s="2" t="n">
        <v>8</v>
      </c>
      <c r="V2979" s="2" t="n">
        <v>3</v>
      </c>
      <c r="W2979" s="2" t="n">
        <v>2</v>
      </c>
      <c r="X2979" s="2" t="n">
        <v>4</v>
      </c>
      <c r="Y2979" s="2" t="n">
        <v>3</v>
      </c>
      <c r="Z2979" s="2" t="n">
        <v>3</v>
      </c>
    </row>
    <row r="2980" customFormat="false" ht="15" hidden="false" customHeight="true" outlineLevel="0" collapsed="false">
      <c r="A2980" s="2" t="n">
        <v>18</v>
      </c>
      <c r="B2980" s="2" t="s">
        <v>33</v>
      </c>
      <c r="C2980" s="2" t="s">
        <v>27</v>
      </c>
      <c r="D2980" s="2" t="s">
        <v>35</v>
      </c>
      <c r="E2980" s="2" t="n">
        <v>1</v>
      </c>
      <c r="F2980" s="2" t="n">
        <v>4</v>
      </c>
      <c r="G2980" s="2" t="s">
        <v>29</v>
      </c>
      <c r="H2980" s="2" t="n">
        <v>2979</v>
      </c>
      <c r="I2980" s="2" t="s">
        <v>39</v>
      </c>
      <c r="J2980" s="2" t="n">
        <v>1</v>
      </c>
      <c r="K2980" s="2" t="s">
        <v>40</v>
      </c>
      <c r="L2980" s="2" t="s">
        <v>37</v>
      </c>
      <c r="M2980" s="2" t="n">
        <v>23350</v>
      </c>
      <c r="N2980" s="2" t="n">
        <v>1</v>
      </c>
      <c r="O2980" s="2" t="n">
        <v>14</v>
      </c>
      <c r="P2980" s="2" t="n">
        <v>2</v>
      </c>
      <c r="Q2980" s="2" t="n">
        <v>0</v>
      </c>
      <c r="R2980" s="2" t="n">
        <v>3</v>
      </c>
      <c r="S2980" s="2" t="n">
        <v>0</v>
      </c>
      <c r="T2980" s="2" t="n">
        <v>0</v>
      </c>
      <c r="U2980" s="2" t="n">
        <v>0</v>
      </c>
      <c r="V2980" s="2" t="n">
        <v>3</v>
      </c>
      <c r="W2980" s="2" t="n">
        <v>3</v>
      </c>
      <c r="X2980" s="2" t="n">
        <v>3</v>
      </c>
      <c r="Y2980" s="2" t="n">
        <v>2</v>
      </c>
      <c r="Z2980" s="2" t="n">
        <v>3</v>
      </c>
    </row>
    <row r="2981" customFormat="false" ht="15" hidden="false" customHeight="true" outlineLevel="0" collapsed="false">
      <c r="A2981" s="2" t="n">
        <v>35</v>
      </c>
      <c r="B2981" s="2" t="s">
        <v>26</v>
      </c>
      <c r="C2981" s="2" t="s">
        <v>27</v>
      </c>
      <c r="D2981" s="2" t="s">
        <v>28</v>
      </c>
      <c r="E2981" s="2" t="n">
        <v>20</v>
      </c>
      <c r="F2981" s="2" t="n">
        <v>2</v>
      </c>
      <c r="G2981" s="2" t="s">
        <v>29</v>
      </c>
      <c r="H2981" s="2" t="n">
        <v>2980</v>
      </c>
      <c r="I2981" s="2" t="s">
        <v>39</v>
      </c>
      <c r="J2981" s="2" t="n">
        <v>1</v>
      </c>
      <c r="K2981" s="2" t="s">
        <v>45</v>
      </c>
      <c r="L2981" s="2" t="s">
        <v>32</v>
      </c>
      <c r="M2981" s="2" t="n">
        <v>51540</v>
      </c>
      <c r="N2981" s="2" t="n">
        <v>0</v>
      </c>
      <c r="O2981" s="2" t="n">
        <v>19</v>
      </c>
      <c r="P2981" s="2" t="n">
        <v>0</v>
      </c>
      <c r="Q2981" s="2" t="n">
        <v>12</v>
      </c>
      <c r="R2981" s="2" t="n">
        <v>2</v>
      </c>
      <c r="S2981" s="2" t="n">
        <v>11</v>
      </c>
      <c r="T2981" s="2" t="n">
        <v>6</v>
      </c>
      <c r="U2981" s="2" t="n">
        <v>9</v>
      </c>
      <c r="V2981" s="2" t="n">
        <v>3</v>
      </c>
      <c r="W2981" s="2" t="n">
        <v>2</v>
      </c>
      <c r="X2981" s="2" t="n">
        <v>2</v>
      </c>
      <c r="Y2981" s="2" t="n">
        <v>2</v>
      </c>
      <c r="Z2981" s="2" t="n">
        <v>3</v>
      </c>
    </row>
    <row r="2982" customFormat="false" ht="15" hidden="false" customHeight="true" outlineLevel="0" collapsed="false">
      <c r="A2982" s="2" t="n">
        <v>36</v>
      </c>
      <c r="B2982" s="2" t="s">
        <v>26</v>
      </c>
      <c r="C2982" s="2" t="s">
        <v>34</v>
      </c>
      <c r="D2982" s="2" t="s">
        <v>35</v>
      </c>
      <c r="E2982" s="2" t="n">
        <v>8</v>
      </c>
      <c r="F2982" s="2" t="n">
        <v>3</v>
      </c>
      <c r="G2982" s="2" t="s">
        <v>38</v>
      </c>
      <c r="H2982" s="2" t="n">
        <v>2981</v>
      </c>
      <c r="I2982" s="2" t="s">
        <v>30</v>
      </c>
      <c r="J2982" s="2" t="n">
        <v>3</v>
      </c>
      <c r="K2982" s="2" t="s">
        <v>40</v>
      </c>
      <c r="L2982" s="2" t="s">
        <v>32</v>
      </c>
      <c r="M2982" s="2" t="n">
        <v>69620</v>
      </c>
      <c r="N2982" s="2" t="n">
        <v>4</v>
      </c>
      <c r="O2982" s="2" t="n">
        <v>12</v>
      </c>
      <c r="P2982" s="2" t="n">
        <v>2</v>
      </c>
      <c r="Q2982" s="2" t="n">
        <v>4</v>
      </c>
      <c r="R2982" s="2" t="n">
        <v>2</v>
      </c>
      <c r="S2982" s="2" t="n">
        <v>1</v>
      </c>
      <c r="T2982" s="2" t="n">
        <v>0</v>
      </c>
      <c r="U2982" s="2" t="n">
        <v>0</v>
      </c>
      <c r="V2982" s="2" t="n">
        <v>3</v>
      </c>
      <c r="W2982" s="2" t="n">
        <v>4</v>
      </c>
      <c r="X2982" s="2" t="n">
        <v>3</v>
      </c>
      <c r="Y2982" s="2" t="n">
        <v>2</v>
      </c>
      <c r="Z2982" s="2" t="n">
        <v>3</v>
      </c>
    </row>
    <row r="2983" customFormat="false" ht="15" hidden="false" customHeight="true" outlineLevel="0" collapsed="false">
      <c r="A2983" s="2" t="n">
        <v>51</v>
      </c>
      <c r="B2983" s="2" t="s">
        <v>26</v>
      </c>
      <c r="C2983" s="2" t="s">
        <v>27</v>
      </c>
      <c r="D2983" s="2" t="s">
        <v>35</v>
      </c>
      <c r="E2983" s="2" t="n">
        <v>2</v>
      </c>
      <c r="F2983" s="2" t="n">
        <v>3</v>
      </c>
      <c r="G2983" s="2" t="s">
        <v>29</v>
      </c>
      <c r="H2983" s="2" t="n">
        <v>2982</v>
      </c>
      <c r="I2983" s="2" t="s">
        <v>39</v>
      </c>
      <c r="J2983" s="2" t="n">
        <v>2</v>
      </c>
      <c r="K2983" s="2" t="s">
        <v>45</v>
      </c>
      <c r="L2983" s="2" t="s">
        <v>46</v>
      </c>
      <c r="M2983" s="2" t="n">
        <v>56750</v>
      </c>
      <c r="N2983" s="2" t="n">
        <v>5</v>
      </c>
      <c r="O2983" s="2" t="n">
        <v>13</v>
      </c>
      <c r="P2983" s="2" t="n">
        <v>0</v>
      </c>
      <c r="Q2983" s="2" t="n">
        <v>13</v>
      </c>
      <c r="R2983" s="2" t="n">
        <v>2</v>
      </c>
      <c r="S2983" s="2" t="n">
        <v>4</v>
      </c>
      <c r="T2983" s="2" t="n">
        <v>1</v>
      </c>
      <c r="U2983" s="2" t="n">
        <v>2</v>
      </c>
      <c r="V2983" s="2" t="n">
        <v>4</v>
      </c>
      <c r="W2983" s="2" t="n">
        <v>2</v>
      </c>
      <c r="X2983" s="2" t="n">
        <v>3</v>
      </c>
      <c r="Y2983" s="2" t="n">
        <v>2</v>
      </c>
      <c r="Z2983" s="2" t="n">
        <v>3</v>
      </c>
    </row>
    <row r="2984" customFormat="false" ht="15" hidden="false" customHeight="true" outlineLevel="0" collapsed="false">
      <c r="A2984" s="2" t="n">
        <v>41</v>
      </c>
      <c r="B2984" s="2" t="s">
        <v>26</v>
      </c>
      <c r="C2984" s="2" t="s">
        <v>27</v>
      </c>
      <c r="D2984" s="2" t="s">
        <v>35</v>
      </c>
      <c r="E2984" s="2" t="n">
        <v>29</v>
      </c>
      <c r="F2984" s="2" t="n">
        <v>1</v>
      </c>
      <c r="G2984" s="2" t="s">
        <v>29</v>
      </c>
      <c r="H2984" s="2" t="n">
        <v>2983</v>
      </c>
      <c r="I2984" s="2" t="s">
        <v>39</v>
      </c>
      <c r="J2984" s="2" t="n">
        <v>1</v>
      </c>
      <c r="K2984" s="2" t="s">
        <v>45</v>
      </c>
      <c r="L2984" s="2" t="s">
        <v>37</v>
      </c>
      <c r="M2984" s="2" t="n">
        <v>23790</v>
      </c>
      <c r="N2984" s="2" t="n">
        <v>1</v>
      </c>
      <c r="O2984" s="2" t="n">
        <v>12</v>
      </c>
      <c r="P2984" s="2" t="n">
        <v>0</v>
      </c>
      <c r="Q2984" s="2" t="n">
        <v>22</v>
      </c>
      <c r="R2984" s="2" t="n">
        <v>6</v>
      </c>
      <c r="S2984" s="2" t="n">
        <v>22</v>
      </c>
      <c r="T2984" s="2" t="n">
        <v>0</v>
      </c>
      <c r="U2984" s="2" t="n">
        <v>4</v>
      </c>
      <c r="V2984" s="2" t="n">
        <v>4</v>
      </c>
      <c r="W2984" s="2" t="n">
        <v>2</v>
      </c>
      <c r="X2984" s="2" t="n">
        <v>3</v>
      </c>
      <c r="Y2984" s="2" t="n">
        <v>3</v>
      </c>
      <c r="Z2984" s="2" t="n">
        <v>3</v>
      </c>
    </row>
    <row r="2985" customFormat="false" ht="15" hidden="false" customHeight="true" outlineLevel="0" collapsed="false">
      <c r="A2985" s="2" t="n">
        <v>18</v>
      </c>
      <c r="B2985" s="2" t="s">
        <v>26</v>
      </c>
      <c r="C2985" s="2" t="s">
        <v>27</v>
      </c>
      <c r="D2985" s="2" t="s">
        <v>28</v>
      </c>
      <c r="E2985" s="2" t="n">
        <v>7</v>
      </c>
      <c r="F2985" s="2" t="n">
        <v>3</v>
      </c>
      <c r="G2985" s="2" t="s">
        <v>29</v>
      </c>
      <c r="H2985" s="2" t="n">
        <v>2984</v>
      </c>
      <c r="I2985" s="2" t="s">
        <v>39</v>
      </c>
      <c r="J2985" s="2" t="n">
        <v>1</v>
      </c>
      <c r="K2985" s="2" t="s">
        <v>36</v>
      </c>
      <c r="L2985" s="2" t="s">
        <v>37</v>
      </c>
      <c r="M2985" s="2" t="n">
        <v>38120</v>
      </c>
      <c r="N2985" s="2" t="n">
        <v>1</v>
      </c>
      <c r="O2985" s="2" t="n">
        <v>15</v>
      </c>
      <c r="P2985" s="2" t="n">
        <v>0</v>
      </c>
      <c r="Q2985" s="2" t="n">
        <v>0</v>
      </c>
      <c r="R2985" s="2" t="n">
        <v>3</v>
      </c>
      <c r="S2985" s="2" t="n">
        <v>0</v>
      </c>
      <c r="T2985" s="2" t="n">
        <v>0</v>
      </c>
      <c r="U2985" s="2" t="n">
        <v>0</v>
      </c>
      <c r="V2985" s="2" t="n">
        <v>4</v>
      </c>
      <c r="W2985" s="2" t="n">
        <v>3</v>
      </c>
      <c r="X2985" s="2" t="n">
        <v>3</v>
      </c>
      <c r="Y2985" s="2" t="n">
        <v>3</v>
      </c>
      <c r="Z2985" s="2" t="n">
        <v>3</v>
      </c>
    </row>
    <row r="2986" customFormat="false" ht="15" hidden="false" customHeight="true" outlineLevel="0" collapsed="false">
      <c r="A2986" s="2" t="n">
        <v>28</v>
      </c>
      <c r="B2986" s="2" t="s">
        <v>26</v>
      </c>
      <c r="C2986" s="2" t="s">
        <v>27</v>
      </c>
      <c r="D2986" s="2" t="s">
        <v>35</v>
      </c>
      <c r="E2986" s="2" t="n">
        <v>9</v>
      </c>
      <c r="F2986" s="2" t="n">
        <v>3</v>
      </c>
      <c r="G2986" s="2" t="s">
        <v>43</v>
      </c>
      <c r="H2986" s="2" t="n">
        <v>2985</v>
      </c>
      <c r="I2986" s="2" t="s">
        <v>39</v>
      </c>
      <c r="J2986" s="2" t="n">
        <v>1</v>
      </c>
      <c r="K2986" s="2" t="s">
        <v>48</v>
      </c>
      <c r="L2986" s="2" t="s">
        <v>37</v>
      </c>
      <c r="M2986" s="2" t="n">
        <v>46480</v>
      </c>
      <c r="N2986" s="2" t="n">
        <v>0</v>
      </c>
      <c r="O2986" s="2" t="n">
        <v>23</v>
      </c>
      <c r="P2986" s="2" t="n">
        <v>2</v>
      </c>
      <c r="Q2986" s="2" t="n">
        <v>9</v>
      </c>
      <c r="R2986" s="2" t="n">
        <v>2</v>
      </c>
      <c r="S2986" s="2" t="n">
        <v>8</v>
      </c>
      <c r="T2986" s="2" t="n">
        <v>0</v>
      </c>
      <c r="U2986" s="2" t="n">
        <v>7</v>
      </c>
      <c r="V2986" s="2" t="n">
        <v>2</v>
      </c>
      <c r="W2986" s="2" t="n">
        <v>1</v>
      </c>
      <c r="X2986" s="2" t="n">
        <v>3</v>
      </c>
      <c r="Y2986" s="2" t="n">
        <v>2</v>
      </c>
      <c r="Z2986" s="2" t="n">
        <v>4</v>
      </c>
    </row>
    <row r="2987" customFormat="false" ht="15" hidden="false" customHeight="true" outlineLevel="0" collapsed="false">
      <c r="A2987" s="2" t="n">
        <v>31</v>
      </c>
      <c r="B2987" s="2" t="s">
        <v>26</v>
      </c>
      <c r="C2987" s="2" t="s">
        <v>27</v>
      </c>
      <c r="D2987" s="2" t="s">
        <v>35</v>
      </c>
      <c r="E2987" s="2" t="n">
        <v>8</v>
      </c>
      <c r="F2987" s="2" t="n">
        <v>1</v>
      </c>
      <c r="G2987" s="2" t="s">
        <v>51</v>
      </c>
      <c r="H2987" s="2" t="n">
        <v>2986</v>
      </c>
      <c r="I2987" s="2" t="s">
        <v>39</v>
      </c>
      <c r="J2987" s="2" t="n">
        <v>1</v>
      </c>
      <c r="K2987" s="2" t="s">
        <v>47</v>
      </c>
      <c r="L2987" s="2" t="s">
        <v>32</v>
      </c>
      <c r="M2987" s="2" t="n">
        <v>29360</v>
      </c>
      <c r="N2987" s="2" t="n">
        <v>4</v>
      </c>
      <c r="O2987" s="2" t="n">
        <v>12</v>
      </c>
      <c r="P2987" s="2" t="n">
        <v>1</v>
      </c>
      <c r="Q2987" s="2" t="n">
        <v>10</v>
      </c>
      <c r="R2987" s="2" t="n">
        <v>2</v>
      </c>
      <c r="S2987" s="2" t="n">
        <v>8</v>
      </c>
      <c r="T2987" s="2" t="n">
        <v>7</v>
      </c>
      <c r="U2987" s="2" t="n">
        <v>7</v>
      </c>
      <c r="V2987" s="2" t="n">
        <v>2</v>
      </c>
      <c r="W2987" s="2" t="n">
        <v>4</v>
      </c>
      <c r="X2987" s="2" t="n">
        <v>2</v>
      </c>
      <c r="Y2987" s="2" t="n">
        <v>3</v>
      </c>
      <c r="Z2987" s="2" t="n">
        <v>3</v>
      </c>
    </row>
    <row r="2988" customFormat="false" ht="15" hidden="false" customHeight="true" outlineLevel="0" collapsed="false">
      <c r="A2988" s="2" t="n">
        <v>39</v>
      </c>
      <c r="B2988" s="2" t="s">
        <v>26</v>
      </c>
      <c r="C2988" s="2" t="s">
        <v>27</v>
      </c>
      <c r="D2988" s="2" t="s">
        <v>28</v>
      </c>
      <c r="E2988" s="2" t="n">
        <v>5</v>
      </c>
      <c r="F2988" s="2" t="n">
        <v>4</v>
      </c>
      <c r="G2988" s="2" t="s">
        <v>50</v>
      </c>
      <c r="H2988" s="2" t="n">
        <v>2987</v>
      </c>
      <c r="I2988" s="2" t="s">
        <v>30</v>
      </c>
      <c r="J2988" s="2" t="n">
        <v>2</v>
      </c>
      <c r="K2988" s="2" t="s">
        <v>42</v>
      </c>
      <c r="L2988" s="2" t="s">
        <v>46</v>
      </c>
      <c r="M2988" s="2" t="n">
        <v>21050</v>
      </c>
      <c r="N2988" s="2" t="n">
        <v>0</v>
      </c>
      <c r="O2988" s="2" t="n">
        <v>20</v>
      </c>
      <c r="P2988" s="2" t="n">
        <v>0</v>
      </c>
      <c r="Q2988" s="2" t="n">
        <v>19</v>
      </c>
      <c r="R2988" s="2" t="n">
        <v>3</v>
      </c>
      <c r="S2988" s="2" t="n">
        <v>18</v>
      </c>
      <c r="T2988" s="2" t="n">
        <v>3</v>
      </c>
      <c r="U2988" s="2" t="n">
        <v>7</v>
      </c>
      <c r="V2988" s="2" t="n">
        <v>3</v>
      </c>
      <c r="W2988" s="2" t="n">
        <v>4</v>
      </c>
      <c r="X2988" s="2" t="n">
        <v>2</v>
      </c>
      <c r="Y2988" s="2" t="n">
        <v>3</v>
      </c>
      <c r="Z2988" s="2" t="n">
        <v>4</v>
      </c>
    </row>
    <row r="2989" customFormat="false" ht="15" hidden="false" customHeight="true" outlineLevel="0" collapsed="false">
      <c r="A2989" s="2" t="n">
        <v>36</v>
      </c>
      <c r="B2989" s="2" t="s">
        <v>26</v>
      </c>
      <c r="C2989" s="2" t="s">
        <v>41</v>
      </c>
      <c r="D2989" s="2" t="s">
        <v>35</v>
      </c>
      <c r="E2989" s="2" t="n">
        <v>5</v>
      </c>
      <c r="F2989" s="2" t="n">
        <v>4</v>
      </c>
      <c r="G2989" s="2" t="s">
        <v>29</v>
      </c>
      <c r="H2989" s="2" t="n">
        <v>2988</v>
      </c>
      <c r="I2989" s="2" t="s">
        <v>39</v>
      </c>
      <c r="J2989" s="2" t="n">
        <v>1</v>
      </c>
      <c r="K2989" s="2" t="s">
        <v>40</v>
      </c>
      <c r="L2989" s="2" t="s">
        <v>32</v>
      </c>
      <c r="M2989" s="2" t="n">
        <v>85780</v>
      </c>
      <c r="N2989" s="2" t="n">
        <v>7</v>
      </c>
      <c r="O2989" s="2" t="n">
        <v>21</v>
      </c>
      <c r="P2989" s="2" t="n">
        <v>0</v>
      </c>
      <c r="Q2989" s="2" t="n">
        <v>11</v>
      </c>
      <c r="R2989" s="2" t="n">
        <v>4</v>
      </c>
      <c r="S2989" s="2" t="n">
        <v>9</v>
      </c>
      <c r="T2989" s="2" t="n">
        <v>0</v>
      </c>
      <c r="U2989" s="2" t="n">
        <v>8</v>
      </c>
      <c r="V2989" s="2" t="n">
        <v>2</v>
      </c>
      <c r="W2989" s="2" t="n">
        <v>2</v>
      </c>
      <c r="X2989" s="2" t="n">
        <v>3</v>
      </c>
      <c r="Y2989" s="2" t="n">
        <v>3</v>
      </c>
      <c r="Z2989" s="2" t="n">
        <v>4</v>
      </c>
    </row>
    <row r="2990" customFormat="false" ht="15" hidden="false" customHeight="true" outlineLevel="0" collapsed="false">
      <c r="A2990" s="2" t="n">
        <v>32</v>
      </c>
      <c r="B2990" s="2" t="s">
        <v>26</v>
      </c>
      <c r="C2990" s="2" t="s">
        <v>27</v>
      </c>
      <c r="D2990" s="2" t="s">
        <v>28</v>
      </c>
      <c r="E2990" s="2" t="n">
        <v>2</v>
      </c>
      <c r="F2990" s="2" t="n">
        <v>3</v>
      </c>
      <c r="G2990" s="2" t="s">
        <v>50</v>
      </c>
      <c r="H2990" s="2" t="n">
        <v>2989</v>
      </c>
      <c r="I2990" s="2" t="s">
        <v>39</v>
      </c>
      <c r="J2990" s="2" t="n">
        <v>2</v>
      </c>
      <c r="K2990" s="2" t="s">
        <v>45</v>
      </c>
      <c r="L2990" s="2" t="s">
        <v>32</v>
      </c>
      <c r="M2990" s="2" t="n">
        <v>27060</v>
      </c>
      <c r="N2990" s="2" t="n">
        <v>1</v>
      </c>
      <c r="O2990" s="2" t="n">
        <v>21</v>
      </c>
      <c r="P2990" s="2" t="n">
        <v>1</v>
      </c>
      <c r="Q2990" s="2" t="n">
        <v>13</v>
      </c>
      <c r="R2990" s="2" t="n">
        <v>4</v>
      </c>
      <c r="S2990" s="2" t="n">
        <v>13</v>
      </c>
      <c r="T2990" s="2" t="n">
        <v>4</v>
      </c>
      <c r="U2990" s="2" t="n">
        <v>8</v>
      </c>
      <c r="V2990" s="2" t="n">
        <v>4</v>
      </c>
      <c r="W2990" s="2" t="n">
        <v>3</v>
      </c>
      <c r="X2990" s="2" t="n">
        <v>2</v>
      </c>
      <c r="Y2990" s="2" t="n">
        <v>3</v>
      </c>
      <c r="Z2990" s="2" t="n">
        <v>4</v>
      </c>
    </row>
    <row r="2991" customFormat="false" ht="15" hidden="false" customHeight="true" outlineLevel="0" collapsed="false">
      <c r="A2991" s="2" t="n">
        <v>38</v>
      </c>
      <c r="B2991" s="2" t="s">
        <v>26</v>
      </c>
      <c r="C2991" s="2" t="s">
        <v>27</v>
      </c>
      <c r="D2991" s="2" t="s">
        <v>35</v>
      </c>
      <c r="E2991" s="2" t="n">
        <v>5</v>
      </c>
      <c r="F2991" s="2" t="n">
        <v>2</v>
      </c>
      <c r="G2991" s="2" t="s">
        <v>29</v>
      </c>
      <c r="H2991" s="2" t="n">
        <v>2990</v>
      </c>
      <c r="I2991" s="2" t="s">
        <v>30</v>
      </c>
      <c r="J2991" s="2" t="n">
        <v>3</v>
      </c>
      <c r="K2991" s="2" t="s">
        <v>36</v>
      </c>
      <c r="L2991" s="2" t="s">
        <v>32</v>
      </c>
      <c r="M2991" s="2" t="n">
        <v>63840</v>
      </c>
      <c r="N2991" s="2" t="n">
        <v>3</v>
      </c>
      <c r="O2991" s="2" t="n">
        <v>19</v>
      </c>
      <c r="P2991" s="2" t="n">
        <v>2</v>
      </c>
      <c r="Q2991" s="2" t="n">
        <v>19</v>
      </c>
      <c r="R2991" s="2" t="n">
        <v>4</v>
      </c>
      <c r="S2991" s="2" t="n">
        <v>10</v>
      </c>
      <c r="T2991" s="2" t="n">
        <v>0</v>
      </c>
      <c r="U2991" s="2" t="n">
        <v>1</v>
      </c>
      <c r="V2991" s="2" t="n">
        <v>1</v>
      </c>
      <c r="W2991" s="2" t="n">
        <v>2</v>
      </c>
      <c r="X2991" s="2" t="n">
        <v>3</v>
      </c>
      <c r="Y2991" s="2" t="n">
        <v>2</v>
      </c>
      <c r="Z2991" s="2" t="n">
        <v>3</v>
      </c>
    </row>
    <row r="2992" customFormat="false" ht="15" hidden="false" customHeight="true" outlineLevel="0" collapsed="false">
      <c r="A2992" s="2" t="n">
        <v>58</v>
      </c>
      <c r="B2992" s="2" t="s">
        <v>26</v>
      </c>
      <c r="C2992" s="2" t="s">
        <v>41</v>
      </c>
      <c r="D2992" s="2" t="s">
        <v>35</v>
      </c>
      <c r="E2992" s="2" t="n">
        <v>2</v>
      </c>
      <c r="F2992" s="2" t="n">
        <v>3</v>
      </c>
      <c r="G2992" s="2" t="s">
        <v>29</v>
      </c>
      <c r="H2992" s="2" t="n">
        <v>2991</v>
      </c>
      <c r="I2992" s="2" t="s">
        <v>39</v>
      </c>
      <c r="J2992" s="2" t="n">
        <v>2</v>
      </c>
      <c r="K2992" s="2" t="s">
        <v>47</v>
      </c>
      <c r="L2992" s="2" t="s">
        <v>46</v>
      </c>
      <c r="M2992" s="2" t="n">
        <v>39680</v>
      </c>
      <c r="N2992" s="2" t="n">
        <v>2</v>
      </c>
      <c r="O2992" s="2" t="n">
        <v>13</v>
      </c>
      <c r="P2992" s="2" t="n">
        <v>2</v>
      </c>
      <c r="Q2992" s="2" t="n">
        <v>12</v>
      </c>
      <c r="R2992" s="2" t="n">
        <v>3</v>
      </c>
      <c r="S2992" s="2" t="n">
        <v>5</v>
      </c>
      <c r="T2992" s="2" t="n">
        <v>1</v>
      </c>
      <c r="U2992" s="2" t="n">
        <v>2</v>
      </c>
      <c r="V2992" s="2" t="n">
        <v>4</v>
      </c>
      <c r="W2992" s="2" t="n">
        <v>3</v>
      </c>
      <c r="X2992" s="2" t="n">
        <v>3</v>
      </c>
      <c r="Y2992" s="2" t="n">
        <v>2</v>
      </c>
      <c r="Z2992" s="2" t="n">
        <v>3</v>
      </c>
    </row>
    <row r="2993" customFormat="false" ht="15" hidden="false" customHeight="true" outlineLevel="0" collapsed="false">
      <c r="A2993" s="2" t="n">
        <v>31</v>
      </c>
      <c r="B2993" s="2" t="s">
        <v>26</v>
      </c>
      <c r="C2993" s="2" t="s">
        <v>27</v>
      </c>
      <c r="D2993" s="2" t="s">
        <v>35</v>
      </c>
      <c r="E2993" s="2" t="n">
        <v>20</v>
      </c>
      <c r="F2993" s="2" t="n">
        <v>1</v>
      </c>
      <c r="G2993" s="2" t="s">
        <v>51</v>
      </c>
      <c r="H2993" s="2" t="n">
        <v>2992</v>
      </c>
      <c r="I2993" s="2" t="s">
        <v>30</v>
      </c>
      <c r="J2993" s="2" t="n">
        <v>3</v>
      </c>
      <c r="K2993" s="2" t="s">
        <v>36</v>
      </c>
      <c r="L2993" s="2" t="s">
        <v>32</v>
      </c>
      <c r="M2993" s="2" t="n">
        <v>99070</v>
      </c>
      <c r="N2993" s="2" t="n">
        <v>0</v>
      </c>
      <c r="O2993" s="2" t="n">
        <v>13</v>
      </c>
      <c r="P2993" s="2" t="n">
        <v>1</v>
      </c>
      <c r="Q2993" s="2" t="n">
        <v>6</v>
      </c>
      <c r="R2993" s="2" t="n">
        <v>3</v>
      </c>
      <c r="S2993" s="2" t="n">
        <v>5</v>
      </c>
      <c r="T2993" s="2" t="n">
        <v>0</v>
      </c>
      <c r="U2993" s="2" t="n">
        <v>3</v>
      </c>
      <c r="V2993" s="2" t="n">
        <v>3</v>
      </c>
      <c r="W2993" s="2" t="n">
        <v>4</v>
      </c>
      <c r="X2993" s="2" t="n">
        <v>3</v>
      </c>
      <c r="Y2993" s="2" t="n">
        <v>2</v>
      </c>
      <c r="Z2993" s="2" t="n">
        <v>3</v>
      </c>
    </row>
    <row r="2994" customFormat="false" ht="15" hidden="false" customHeight="true" outlineLevel="0" collapsed="false">
      <c r="A2994" s="2" t="n">
        <v>31</v>
      </c>
      <c r="B2994" s="2" t="s">
        <v>26</v>
      </c>
      <c r="C2994" s="2" t="s">
        <v>27</v>
      </c>
      <c r="D2994" s="2" t="s">
        <v>28</v>
      </c>
      <c r="E2994" s="2" t="n">
        <v>7</v>
      </c>
      <c r="F2994" s="2" t="n">
        <v>4</v>
      </c>
      <c r="G2994" s="2" t="s">
        <v>50</v>
      </c>
      <c r="H2994" s="2" t="n">
        <v>2993</v>
      </c>
      <c r="I2994" s="2" t="s">
        <v>39</v>
      </c>
      <c r="J2994" s="2" t="n">
        <v>2</v>
      </c>
      <c r="K2994" s="2" t="s">
        <v>40</v>
      </c>
      <c r="L2994" s="2" t="s">
        <v>32</v>
      </c>
      <c r="M2994" s="2" t="n">
        <v>132250</v>
      </c>
      <c r="N2994" s="2" t="n">
        <v>3</v>
      </c>
      <c r="O2994" s="2" t="n">
        <v>21</v>
      </c>
      <c r="P2994" s="2" t="n">
        <v>1</v>
      </c>
      <c r="Q2994" s="2" t="n">
        <v>9</v>
      </c>
      <c r="R2994" s="2" t="n">
        <v>2</v>
      </c>
      <c r="S2994" s="2" t="n">
        <v>2</v>
      </c>
      <c r="T2994" s="2" t="n">
        <v>1</v>
      </c>
      <c r="U2994" s="2" t="n">
        <v>0</v>
      </c>
      <c r="V2994" s="2" t="n">
        <v>1</v>
      </c>
      <c r="W2994" s="2" t="n">
        <v>1</v>
      </c>
      <c r="X2994" s="2" t="n">
        <v>3</v>
      </c>
      <c r="Y2994" s="2" t="n">
        <v>3</v>
      </c>
      <c r="Z2994" s="2" t="n">
        <v>4</v>
      </c>
    </row>
    <row r="2995" customFormat="false" ht="15" hidden="false" customHeight="true" outlineLevel="0" collapsed="false">
      <c r="A2995" s="2" t="n">
        <v>45</v>
      </c>
      <c r="B2995" s="2" t="s">
        <v>26</v>
      </c>
      <c r="C2995" s="2" t="s">
        <v>34</v>
      </c>
      <c r="D2995" s="2" t="s">
        <v>35</v>
      </c>
      <c r="E2995" s="2" t="n">
        <v>3</v>
      </c>
      <c r="F2995" s="2" t="n">
        <v>1</v>
      </c>
      <c r="G2995" s="2" t="s">
        <v>43</v>
      </c>
      <c r="H2995" s="2" t="n">
        <v>2994</v>
      </c>
      <c r="I2995" s="2" t="s">
        <v>30</v>
      </c>
      <c r="J2995" s="2" t="n">
        <v>1</v>
      </c>
      <c r="K2995" s="2" t="s">
        <v>40</v>
      </c>
      <c r="L2995" s="2" t="s">
        <v>46</v>
      </c>
      <c r="M2995" s="2" t="n">
        <v>35400</v>
      </c>
      <c r="N2995" s="2" t="n">
        <v>1</v>
      </c>
      <c r="O2995" s="2" t="n">
        <v>13</v>
      </c>
      <c r="P2995" s="2" t="n">
        <v>0</v>
      </c>
      <c r="Q2995" s="2" t="n">
        <v>24</v>
      </c>
      <c r="R2995" s="2" t="n">
        <v>6</v>
      </c>
      <c r="S2995" s="2" t="n">
        <v>24</v>
      </c>
      <c r="T2995" s="2" t="n">
        <v>9</v>
      </c>
      <c r="U2995" s="2" t="n">
        <v>11</v>
      </c>
      <c r="V2995" s="2" t="n">
        <v>1</v>
      </c>
      <c r="W2995" s="2" t="n">
        <v>1</v>
      </c>
      <c r="X2995" s="2" t="n">
        <v>3</v>
      </c>
      <c r="Y2995" s="2" t="n">
        <v>3</v>
      </c>
      <c r="Z2995" s="2" t="n">
        <v>3</v>
      </c>
    </row>
    <row r="2996" customFormat="false" ht="15" hidden="false" customHeight="true" outlineLevel="0" collapsed="false">
      <c r="A2996" s="2" t="n">
        <v>31</v>
      </c>
      <c r="B2996" s="2" t="s">
        <v>26</v>
      </c>
      <c r="C2996" s="2" t="s">
        <v>27</v>
      </c>
      <c r="D2996" s="2" t="s">
        <v>28</v>
      </c>
      <c r="E2996" s="2" t="n">
        <v>16</v>
      </c>
      <c r="F2996" s="2" t="n">
        <v>4</v>
      </c>
      <c r="G2996" s="2" t="s">
        <v>50</v>
      </c>
      <c r="H2996" s="2" t="n">
        <v>2995</v>
      </c>
      <c r="I2996" s="2" t="s">
        <v>30</v>
      </c>
      <c r="J2996" s="2" t="n">
        <v>2</v>
      </c>
      <c r="K2996" s="2" t="s">
        <v>36</v>
      </c>
      <c r="L2996" s="2" t="s">
        <v>46</v>
      </c>
      <c r="M2996" s="2" t="n">
        <v>28040</v>
      </c>
      <c r="N2996" s="2" t="n">
        <v>0</v>
      </c>
      <c r="O2996" s="2" t="n">
        <v>19</v>
      </c>
      <c r="P2996" s="2" t="n">
        <v>2</v>
      </c>
      <c r="Q2996" s="2" t="n">
        <v>3</v>
      </c>
      <c r="R2996" s="2" t="n">
        <v>0</v>
      </c>
      <c r="S2996" s="2" t="n">
        <v>2</v>
      </c>
      <c r="T2996" s="2" t="n">
        <v>2</v>
      </c>
      <c r="U2996" s="2" t="n">
        <v>2</v>
      </c>
      <c r="V2996" s="2" t="n">
        <v>3</v>
      </c>
      <c r="W2996" s="2" t="n">
        <v>4</v>
      </c>
      <c r="X2996" s="2" t="n">
        <v>1</v>
      </c>
      <c r="Y2996" s="2" t="n">
        <v>3</v>
      </c>
      <c r="Z2996" s="2" t="n">
        <v>3</v>
      </c>
    </row>
    <row r="2997" customFormat="false" ht="15" hidden="false" customHeight="true" outlineLevel="0" collapsed="false">
      <c r="A2997" s="2" t="n">
        <v>33</v>
      </c>
      <c r="B2997" s="2" t="s">
        <v>26</v>
      </c>
      <c r="C2997" s="2" t="s">
        <v>34</v>
      </c>
      <c r="D2997" s="2" t="s">
        <v>35</v>
      </c>
      <c r="E2997" s="2" t="n">
        <v>9</v>
      </c>
      <c r="F2997" s="2" t="n">
        <v>3</v>
      </c>
      <c r="G2997" s="2" t="s">
        <v>29</v>
      </c>
      <c r="H2997" s="2" t="n">
        <v>2996</v>
      </c>
      <c r="I2997" s="2" t="s">
        <v>39</v>
      </c>
      <c r="J2997" s="2" t="n">
        <v>4</v>
      </c>
      <c r="K2997" s="2" t="s">
        <v>44</v>
      </c>
      <c r="L2997" s="2" t="s">
        <v>32</v>
      </c>
      <c r="M2997" s="2" t="n">
        <v>193920</v>
      </c>
      <c r="N2997" s="2" t="n">
        <v>6</v>
      </c>
      <c r="O2997" s="2" t="n">
        <v>12</v>
      </c>
      <c r="P2997" s="2" t="n">
        <v>1</v>
      </c>
      <c r="Q2997" s="2" t="n">
        <v>12</v>
      </c>
      <c r="R2997" s="2" t="n">
        <v>3</v>
      </c>
      <c r="S2997" s="2" t="n">
        <v>10</v>
      </c>
      <c r="T2997" s="2" t="n">
        <v>8</v>
      </c>
      <c r="U2997" s="2" t="n">
        <v>8</v>
      </c>
      <c r="V2997" s="2" t="n">
        <v>4</v>
      </c>
      <c r="W2997" s="2" t="n">
        <v>2</v>
      </c>
      <c r="X2997" s="2" t="n">
        <v>3</v>
      </c>
      <c r="Y2997" s="2" t="n">
        <v>3</v>
      </c>
      <c r="Z2997" s="2" t="n">
        <v>3</v>
      </c>
    </row>
    <row r="2998" customFormat="false" ht="15" hidden="false" customHeight="true" outlineLevel="0" collapsed="false">
      <c r="A2998" s="2" t="n">
        <v>39</v>
      </c>
      <c r="B2998" s="2" t="s">
        <v>26</v>
      </c>
      <c r="C2998" s="2" t="s">
        <v>27</v>
      </c>
      <c r="D2998" s="2" t="s">
        <v>28</v>
      </c>
      <c r="E2998" s="2" t="n">
        <v>1</v>
      </c>
      <c r="F2998" s="2" t="n">
        <v>4</v>
      </c>
      <c r="G2998" s="2" t="s">
        <v>29</v>
      </c>
      <c r="H2998" s="2" t="n">
        <v>2997</v>
      </c>
      <c r="I2998" s="2" t="s">
        <v>39</v>
      </c>
      <c r="J2998" s="2" t="n">
        <v>1</v>
      </c>
      <c r="K2998" s="2" t="s">
        <v>40</v>
      </c>
      <c r="L2998" s="2" t="s">
        <v>32</v>
      </c>
      <c r="M2998" s="2" t="n">
        <v>196650</v>
      </c>
      <c r="N2998" s="2" t="n">
        <v>1</v>
      </c>
      <c r="O2998" s="2" t="n">
        <v>22</v>
      </c>
      <c r="P2998" s="2" t="n">
        <v>1</v>
      </c>
      <c r="Q2998" s="2" t="n">
        <v>21</v>
      </c>
      <c r="R2998" s="2" t="n">
        <v>6</v>
      </c>
      <c r="S2998" s="2" t="n">
        <v>21</v>
      </c>
      <c r="T2998" s="2" t="n">
        <v>11</v>
      </c>
      <c r="U2998" s="2" t="n">
        <v>10</v>
      </c>
      <c r="V2998" s="2" t="n">
        <v>3</v>
      </c>
      <c r="W2998" s="2" t="n">
        <v>1</v>
      </c>
      <c r="X2998" s="2" t="n">
        <v>3</v>
      </c>
      <c r="Y2998" s="2" t="n">
        <v>3</v>
      </c>
      <c r="Z2998" s="2" t="n">
        <v>4</v>
      </c>
    </row>
    <row r="2999" customFormat="false" ht="15" hidden="false" customHeight="true" outlineLevel="0" collapsed="false">
      <c r="A2999" s="2" t="n">
        <v>43</v>
      </c>
      <c r="B2999" s="2" t="s">
        <v>26</v>
      </c>
      <c r="C2999" s="2" t="s">
        <v>34</v>
      </c>
      <c r="D2999" s="2" t="s">
        <v>35</v>
      </c>
      <c r="E2999" s="2" t="n">
        <v>7</v>
      </c>
      <c r="F2999" s="2" t="n">
        <v>4</v>
      </c>
      <c r="G2999" s="2" t="s">
        <v>43</v>
      </c>
      <c r="H2999" s="2" t="n">
        <v>2998</v>
      </c>
      <c r="I2999" s="2" t="s">
        <v>39</v>
      </c>
      <c r="J2999" s="2" t="n">
        <v>4</v>
      </c>
      <c r="K2999" s="2" t="s">
        <v>36</v>
      </c>
      <c r="L2999" s="2" t="s">
        <v>37</v>
      </c>
      <c r="M2999" s="2" t="n">
        <v>24390</v>
      </c>
      <c r="N2999" s="2" t="n">
        <v>0</v>
      </c>
      <c r="O2999" s="2" t="n">
        <v>15</v>
      </c>
      <c r="P2999" s="2" t="n">
        <v>0</v>
      </c>
      <c r="Q2999" s="2" t="n">
        <v>9</v>
      </c>
      <c r="R2999" s="2" t="n">
        <v>2</v>
      </c>
      <c r="S2999" s="2" t="n">
        <v>8</v>
      </c>
      <c r="T2999" s="2" t="n">
        <v>1</v>
      </c>
      <c r="U2999" s="2" t="n">
        <v>7</v>
      </c>
      <c r="V2999" s="2" t="n">
        <v>3</v>
      </c>
      <c r="W2999" s="2" t="n">
        <v>4</v>
      </c>
      <c r="X2999" s="2" t="n">
        <v>3</v>
      </c>
      <c r="Y2999" s="2" t="n">
        <v>3</v>
      </c>
      <c r="Z2999" s="2" t="n">
        <v>3</v>
      </c>
    </row>
    <row r="3000" customFormat="false" ht="15" hidden="false" customHeight="true" outlineLevel="0" collapsed="false">
      <c r="A3000" s="2" t="n">
        <v>49</v>
      </c>
      <c r="B3000" s="2" t="s">
        <v>26</v>
      </c>
      <c r="C3000" s="2" t="s">
        <v>27</v>
      </c>
      <c r="D3000" s="2" t="s">
        <v>35</v>
      </c>
      <c r="E3000" s="2" t="n">
        <v>1</v>
      </c>
      <c r="F3000" s="2" t="n">
        <v>3</v>
      </c>
      <c r="G3000" s="2" t="s">
        <v>29</v>
      </c>
      <c r="H3000" s="2" t="n">
        <v>2999</v>
      </c>
      <c r="I3000" s="2" t="s">
        <v>39</v>
      </c>
      <c r="J3000" s="2" t="n">
        <v>3</v>
      </c>
      <c r="K3000" s="2" t="s">
        <v>47</v>
      </c>
      <c r="L3000" s="2" t="s">
        <v>37</v>
      </c>
      <c r="M3000" s="2" t="n">
        <v>73140</v>
      </c>
      <c r="N3000" s="2" t="n">
        <v>7</v>
      </c>
      <c r="O3000" s="2" t="n">
        <v>22</v>
      </c>
      <c r="P3000" s="2" t="n">
        <v>0</v>
      </c>
      <c r="Q3000" s="2" t="n">
        <v>25</v>
      </c>
      <c r="R3000" s="2" t="n">
        <v>2</v>
      </c>
      <c r="S3000" s="2" t="n">
        <v>7</v>
      </c>
      <c r="T3000" s="2" t="n">
        <v>0</v>
      </c>
      <c r="U3000" s="2" t="n">
        <v>7</v>
      </c>
      <c r="V3000" s="2" t="n">
        <v>3</v>
      </c>
      <c r="W3000" s="2" t="n">
        <v>3</v>
      </c>
      <c r="X3000" s="2" t="n">
        <v>3</v>
      </c>
      <c r="Y3000" s="2" t="n">
        <v>3</v>
      </c>
      <c r="Z3000" s="2" t="n">
        <v>4</v>
      </c>
    </row>
    <row r="3001" customFormat="false" ht="15" hidden="false" customHeight="true" outlineLevel="0" collapsed="false">
      <c r="A3001" s="2" t="n">
        <v>52</v>
      </c>
      <c r="B3001" s="2" t="s">
        <v>33</v>
      </c>
      <c r="C3001" s="2" t="s">
        <v>27</v>
      </c>
      <c r="D3001" s="2" t="s">
        <v>35</v>
      </c>
      <c r="E3001" s="2" t="n">
        <v>7</v>
      </c>
      <c r="F3001" s="2" t="n">
        <v>1</v>
      </c>
      <c r="G3001" s="2" t="s">
        <v>29</v>
      </c>
      <c r="H3001" s="2" t="n">
        <v>3000</v>
      </c>
      <c r="I3001" s="2" t="s">
        <v>30</v>
      </c>
      <c r="J3001" s="2" t="n">
        <v>2</v>
      </c>
      <c r="K3001" s="2" t="s">
        <v>36</v>
      </c>
      <c r="L3001" s="2" t="s">
        <v>32</v>
      </c>
      <c r="M3001" s="2" t="n">
        <v>47740</v>
      </c>
      <c r="N3001" s="2" t="n">
        <v>2</v>
      </c>
      <c r="O3001" s="2" t="n">
        <v>18</v>
      </c>
      <c r="P3001" s="2" t="n">
        <v>1</v>
      </c>
      <c r="Q3001" s="2" t="n">
        <v>11</v>
      </c>
      <c r="R3001" s="2" t="n">
        <v>2</v>
      </c>
      <c r="S3001" s="2" t="n">
        <v>8</v>
      </c>
      <c r="T3001" s="2" t="n">
        <v>7</v>
      </c>
      <c r="U3001" s="2" t="n">
        <v>7</v>
      </c>
      <c r="V3001" s="2" t="n">
        <v>3</v>
      </c>
      <c r="W3001" s="2" t="n">
        <v>2</v>
      </c>
      <c r="X3001" s="2" t="n">
        <v>2</v>
      </c>
      <c r="Y3001" s="2" t="n">
        <v>3</v>
      </c>
      <c r="Z3001" s="2" t="n">
        <v>3</v>
      </c>
    </row>
    <row r="3002" customFormat="false" ht="15" hidden="false" customHeight="true" outlineLevel="0" collapsed="false">
      <c r="A3002" s="2" t="n">
        <v>27</v>
      </c>
      <c r="B3002" s="2" t="s">
        <v>26</v>
      </c>
      <c r="C3002" s="2" t="s">
        <v>27</v>
      </c>
      <c r="D3002" s="2" t="s">
        <v>35</v>
      </c>
      <c r="E3002" s="2" t="n">
        <v>15</v>
      </c>
      <c r="F3002" s="2" t="n">
        <v>4</v>
      </c>
      <c r="G3002" s="2" t="s">
        <v>43</v>
      </c>
      <c r="H3002" s="2" t="n">
        <v>3001</v>
      </c>
      <c r="I3002" s="2" t="s">
        <v>39</v>
      </c>
      <c r="J3002" s="2" t="n">
        <v>3</v>
      </c>
      <c r="K3002" s="2" t="s">
        <v>36</v>
      </c>
      <c r="L3002" s="2" t="s">
        <v>37</v>
      </c>
      <c r="M3002" s="2" t="n">
        <v>39020</v>
      </c>
      <c r="N3002" s="2" t="n">
        <v>1</v>
      </c>
      <c r="O3002" s="2" t="n">
        <v>22</v>
      </c>
      <c r="P3002" s="2" t="n">
        <v>0</v>
      </c>
      <c r="Q3002" s="2" t="n">
        <v>4</v>
      </c>
      <c r="R3002" s="2" t="n">
        <v>2</v>
      </c>
      <c r="S3002" s="2" t="n">
        <v>4</v>
      </c>
      <c r="T3002" s="2" t="n">
        <v>1</v>
      </c>
      <c r="U3002" s="2" t="n">
        <v>2</v>
      </c>
      <c r="V3002" s="2" t="n">
        <v>3</v>
      </c>
      <c r="W3002" s="2" t="n">
        <v>2</v>
      </c>
      <c r="X3002" s="2" t="n">
        <v>2</v>
      </c>
      <c r="Y3002" s="2" t="n">
        <v>3</v>
      </c>
      <c r="Z3002" s="2" t="n">
        <v>4</v>
      </c>
    </row>
    <row r="3003" customFormat="false" ht="15" hidden="false" customHeight="true" outlineLevel="0" collapsed="false">
      <c r="A3003" s="2" t="n">
        <v>32</v>
      </c>
      <c r="B3003" s="2" t="s">
        <v>26</v>
      </c>
      <c r="C3003" s="2" t="s">
        <v>27</v>
      </c>
      <c r="D3003" s="2" t="s">
        <v>35</v>
      </c>
      <c r="E3003" s="2" t="n">
        <v>1</v>
      </c>
      <c r="F3003" s="2" t="n">
        <v>3</v>
      </c>
      <c r="G3003" s="2" t="s">
        <v>29</v>
      </c>
      <c r="H3003" s="2" t="n">
        <v>3002</v>
      </c>
      <c r="I3003" s="2" t="s">
        <v>39</v>
      </c>
      <c r="J3003" s="2" t="n">
        <v>3</v>
      </c>
      <c r="K3003" s="2" t="s">
        <v>36</v>
      </c>
      <c r="L3003" s="2" t="s">
        <v>32</v>
      </c>
      <c r="M3003" s="2" t="n">
        <v>26620</v>
      </c>
      <c r="N3003" s="2" t="n">
        <v>1</v>
      </c>
      <c r="O3003" s="2" t="n">
        <v>11</v>
      </c>
      <c r="P3003" s="2" t="n">
        <v>1</v>
      </c>
      <c r="Q3003" s="2" t="n">
        <v>13</v>
      </c>
      <c r="R3003" s="2" t="n">
        <v>6</v>
      </c>
      <c r="S3003" s="2" t="n">
        <v>13</v>
      </c>
      <c r="T3003" s="2" t="n">
        <v>11</v>
      </c>
      <c r="U3003" s="2" t="n">
        <v>9</v>
      </c>
      <c r="V3003" s="2" t="n">
        <v>3</v>
      </c>
      <c r="W3003" s="2" t="n">
        <v>2</v>
      </c>
      <c r="X3003" s="2" t="n">
        <v>3</v>
      </c>
      <c r="Y3003" s="2" t="n">
        <v>4</v>
      </c>
      <c r="Z3003" s="2" t="n">
        <v>3</v>
      </c>
    </row>
    <row r="3004" customFormat="false" ht="15" hidden="false" customHeight="true" outlineLevel="0" collapsed="false">
      <c r="A3004" s="2" t="n">
        <v>27</v>
      </c>
      <c r="B3004" s="2" t="s">
        <v>26</v>
      </c>
      <c r="C3004" s="2" t="s">
        <v>27</v>
      </c>
      <c r="D3004" s="2" t="s">
        <v>35</v>
      </c>
      <c r="E3004" s="2" t="n">
        <v>13</v>
      </c>
      <c r="F3004" s="2" t="n">
        <v>2</v>
      </c>
      <c r="G3004" s="2" t="s">
        <v>43</v>
      </c>
      <c r="H3004" s="2" t="n">
        <v>3003</v>
      </c>
      <c r="I3004" s="2" t="s">
        <v>30</v>
      </c>
      <c r="J3004" s="2" t="n">
        <v>4</v>
      </c>
      <c r="K3004" s="2" t="s">
        <v>44</v>
      </c>
      <c r="L3004" s="2" t="s">
        <v>37</v>
      </c>
      <c r="M3004" s="2" t="n">
        <v>28560</v>
      </c>
      <c r="N3004" s="2" t="n">
        <v>1</v>
      </c>
      <c r="O3004" s="2" t="n">
        <v>12</v>
      </c>
      <c r="P3004" s="2" t="n">
        <v>2</v>
      </c>
      <c r="Q3004" s="2" t="n">
        <v>5</v>
      </c>
      <c r="R3004" s="2" t="n">
        <v>5</v>
      </c>
      <c r="S3004" s="2" t="n">
        <v>5</v>
      </c>
      <c r="T3004" s="2" t="n">
        <v>0</v>
      </c>
      <c r="U3004" s="2" t="n">
        <v>4</v>
      </c>
      <c r="V3004" s="2" t="n">
        <v>4</v>
      </c>
      <c r="W3004" s="2" t="n">
        <v>3</v>
      </c>
      <c r="X3004" s="2" t="n">
        <v>3</v>
      </c>
      <c r="Y3004" s="2" t="n">
        <v>4</v>
      </c>
      <c r="Z3004" s="2" t="n">
        <v>3</v>
      </c>
    </row>
    <row r="3005" customFormat="false" ht="15" hidden="false" customHeight="true" outlineLevel="0" collapsed="false">
      <c r="A3005" s="2" t="n">
        <v>31</v>
      </c>
      <c r="B3005" s="2" t="s">
        <v>26</v>
      </c>
      <c r="C3005" s="2" t="s">
        <v>27</v>
      </c>
      <c r="D3005" s="2" t="s">
        <v>28</v>
      </c>
      <c r="E3005" s="2" t="n">
        <v>24</v>
      </c>
      <c r="F3005" s="2" t="n">
        <v>3</v>
      </c>
      <c r="G3005" s="2" t="s">
        <v>29</v>
      </c>
      <c r="H3005" s="2" t="n">
        <v>3004</v>
      </c>
      <c r="I3005" s="2" t="s">
        <v>39</v>
      </c>
      <c r="J3005" s="2" t="n">
        <v>2</v>
      </c>
      <c r="K3005" s="2" t="s">
        <v>31</v>
      </c>
      <c r="L3005" s="2" t="s">
        <v>46</v>
      </c>
      <c r="M3005" s="2" t="n">
        <v>10810</v>
      </c>
      <c r="N3005" s="2" t="n">
        <v>4</v>
      </c>
      <c r="O3005" s="2" t="n">
        <v>11</v>
      </c>
      <c r="P3005" s="2" t="n">
        <v>3</v>
      </c>
      <c r="Q3005" s="2" t="n">
        <v>13</v>
      </c>
      <c r="R3005" s="2" t="n">
        <v>4</v>
      </c>
      <c r="S3005" s="2" t="n">
        <v>7</v>
      </c>
      <c r="T3005" s="2" t="n">
        <v>1</v>
      </c>
      <c r="U3005" s="2" t="n">
        <v>7</v>
      </c>
      <c r="V3005" s="2" t="n">
        <v>4</v>
      </c>
      <c r="W3005" s="2" t="n">
        <v>4</v>
      </c>
      <c r="X3005" s="2" t="n">
        <v>3</v>
      </c>
      <c r="Y3005" s="2" t="n">
        <v>4</v>
      </c>
      <c r="Z3005" s="2" t="n">
        <v>3</v>
      </c>
    </row>
    <row r="3006" customFormat="false" ht="15" hidden="false" customHeight="true" outlineLevel="0" collapsed="false">
      <c r="A3006" s="2" t="n">
        <v>32</v>
      </c>
      <c r="B3006" s="2" t="s">
        <v>26</v>
      </c>
      <c r="C3006" s="2" t="s">
        <v>27</v>
      </c>
      <c r="D3006" s="2" t="s">
        <v>35</v>
      </c>
      <c r="E3006" s="2" t="n">
        <v>7</v>
      </c>
      <c r="F3006" s="2" t="n">
        <v>3</v>
      </c>
      <c r="G3006" s="2" t="s">
        <v>51</v>
      </c>
      <c r="H3006" s="2" t="n">
        <v>3005</v>
      </c>
      <c r="I3006" s="2" t="s">
        <v>39</v>
      </c>
      <c r="J3006" s="2" t="n">
        <v>2</v>
      </c>
      <c r="K3006" s="2" t="s">
        <v>31</v>
      </c>
      <c r="L3006" s="2" t="s">
        <v>37</v>
      </c>
      <c r="M3006" s="2" t="n">
        <v>24720</v>
      </c>
      <c r="N3006" s="2" t="n">
        <v>7</v>
      </c>
      <c r="O3006" s="2" t="n">
        <v>13</v>
      </c>
      <c r="P3006" s="2" t="n">
        <v>0</v>
      </c>
      <c r="Q3006" s="2" t="n">
        <v>10</v>
      </c>
      <c r="R3006" s="2" t="n">
        <v>2</v>
      </c>
      <c r="S3006" s="2" t="n">
        <v>7</v>
      </c>
      <c r="T3006" s="2" t="n">
        <v>0</v>
      </c>
      <c r="U3006" s="2" t="n">
        <v>7</v>
      </c>
      <c r="V3006" s="2" t="n">
        <v>1</v>
      </c>
      <c r="W3006" s="2" t="n">
        <v>4</v>
      </c>
      <c r="X3006" s="2" t="n">
        <v>2</v>
      </c>
      <c r="Y3006" s="2" t="n">
        <v>3</v>
      </c>
      <c r="Z3006" s="2" t="n">
        <v>3</v>
      </c>
    </row>
    <row r="3007" customFormat="false" ht="15" hidden="false" customHeight="true" outlineLevel="0" collapsed="false">
      <c r="A3007" s="2" t="n">
        <v>28</v>
      </c>
      <c r="B3007" s="2" t="s">
        <v>33</v>
      </c>
      <c r="C3007" s="2" t="s">
        <v>27</v>
      </c>
      <c r="D3007" s="2" t="s">
        <v>35</v>
      </c>
      <c r="E3007" s="2" t="n">
        <v>9</v>
      </c>
      <c r="F3007" s="2" t="n">
        <v>4</v>
      </c>
      <c r="G3007" s="2" t="s">
        <v>43</v>
      </c>
      <c r="H3007" s="2" t="n">
        <v>3006</v>
      </c>
      <c r="I3007" s="2" t="s">
        <v>39</v>
      </c>
      <c r="J3007" s="2" t="n">
        <v>1</v>
      </c>
      <c r="K3007" s="2" t="s">
        <v>40</v>
      </c>
      <c r="L3007" s="2" t="s">
        <v>32</v>
      </c>
      <c r="M3007" s="2" t="n">
        <v>56730</v>
      </c>
      <c r="N3007" s="2" t="n">
        <v>5</v>
      </c>
      <c r="O3007" s="2" t="n">
        <v>14</v>
      </c>
      <c r="P3007" s="2" t="n">
        <v>1</v>
      </c>
      <c r="Q3007" s="2" t="n">
        <v>5</v>
      </c>
      <c r="R3007" s="2" t="n">
        <v>4</v>
      </c>
      <c r="S3007" s="2" t="n">
        <v>3</v>
      </c>
      <c r="T3007" s="2" t="n">
        <v>2</v>
      </c>
      <c r="U3007" s="2" t="n">
        <v>2</v>
      </c>
      <c r="V3007" s="2" t="n">
        <v>1</v>
      </c>
      <c r="W3007" s="2" t="n">
        <v>4</v>
      </c>
      <c r="X3007" s="2" t="n">
        <v>2</v>
      </c>
      <c r="Y3007" s="2" t="n">
        <v>2</v>
      </c>
      <c r="Z3007" s="2" t="n">
        <v>3</v>
      </c>
    </row>
    <row r="3008" customFormat="false" ht="15" hidden="false" customHeight="true" outlineLevel="0" collapsed="false">
      <c r="A3008" s="2" t="n">
        <v>30</v>
      </c>
      <c r="B3008" s="2" t="s">
        <v>26</v>
      </c>
      <c r="C3008" s="2" t="s">
        <v>27</v>
      </c>
      <c r="D3008" s="2" t="s">
        <v>35</v>
      </c>
      <c r="E3008" s="2" t="n">
        <v>13</v>
      </c>
      <c r="F3008" s="2" t="n">
        <v>3</v>
      </c>
      <c r="G3008" s="2" t="s">
        <v>29</v>
      </c>
      <c r="H3008" s="2" t="n">
        <v>3007</v>
      </c>
      <c r="I3008" s="2" t="s">
        <v>30</v>
      </c>
      <c r="J3008" s="2" t="n">
        <v>4</v>
      </c>
      <c r="K3008" s="2" t="s">
        <v>44</v>
      </c>
      <c r="L3008" s="2" t="s">
        <v>32</v>
      </c>
      <c r="M3008" s="2" t="n">
        <v>41970</v>
      </c>
      <c r="N3008" s="2" t="n">
        <v>1</v>
      </c>
      <c r="O3008" s="2" t="n">
        <v>13</v>
      </c>
      <c r="P3008" s="2" t="n">
        <v>0</v>
      </c>
      <c r="Q3008" s="2" t="n">
        <v>11</v>
      </c>
      <c r="R3008" s="2" t="n">
        <v>3</v>
      </c>
      <c r="S3008" s="2" t="n">
        <v>10</v>
      </c>
      <c r="T3008" s="2" t="n">
        <v>1</v>
      </c>
      <c r="U3008" s="2" t="n">
        <v>9</v>
      </c>
      <c r="V3008" s="2" t="n">
        <v>4</v>
      </c>
      <c r="W3008" s="2" t="n">
        <v>4</v>
      </c>
      <c r="X3008" s="2" t="n">
        <v>3</v>
      </c>
      <c r="Y3008" s="2" t="n">
        <v>3</v>
      </c>
      <c r="Z3008" s="2" t="n">
        <v>3</v>
      </c>
    </row>
    <row r="3009" customFormat="false" ht="15" hidden="false" customHeight="true" outlineLevel="0" collapsed="false">
      <c r="A3009" s="2" t="n">
        <v>31</v>
      </c>
      <c r="B3009" s="2" t="s">
        <v>26</v>
      </c>
      <c r="C3009" s="2" t="s">
        <v>34</v>
      </c>
      <c r="D3009" s="2" t="s">
        <v>35</v>
      </c>
      <c r="E3009" s="2" t="n">
        <v>2</v>
      </c>
      <c r="F3009" s="2" t="n">
        <v>1</v>
      </c>
      <c r="G3009" s="2" t="s">
        <v>29</v>
      </c>
      <c r="H3009" s="2" t="n">
        <v>3008</v>
      </c>
      <c r="I3009" s="2" t="s">
        <v>30</v>
      </c>
      <c r="J3009" s="2" t="n">
        <v>1</v>
      </c>
      <c r="K3009" s="2" t="s">
        <v>49</v>
      </c>
      <c r="L3009" s="2" t="s">
        <v>32</v>
      </c>
      <c r="M3009" s="2" t="n">
        <v>97130</v>
      </c>
      <c r="N3009" s="2" t="n">
        <v>1</v>
      </c>
      <c r="O3009" s="2" t="n">
        <v>17</v>
      </c>
      <c r="P3009" s="2" t="n">
        <v>0</v>
      </c>
      <c r="Q3009" s="2" t="n">
        <v>10</v>
      </c>
      <c r="R3009" s="2" t="n">
        <v>5</v>
      </c>
      <c r="S3009" s="2" t="n">
        <v>10</v>
      </c>
      <c r="T3009" s="2" t="n">
        <v>8</v>
      </c>
      <c r="U3009" s="2" t="n">
        <v>9</v>
      </c>
      <c r="V3009" s="2" t="n">
        <v>3</v>
      </c>
      <c r="W3009" s="2" t="n">
        <v>3</v>
      </c>
      <c r="X3009" s="2" t="n">
        <v>3</v>
      </c>
      <c r="Y3009" s="2" t="n">
        <v>2</v>
      </c>
      <c r="Z3009" s="2" t="n">
        <v>3</v>
      </c>
    </row>
    <row r="3010" customFormat="false" ht="15" hidden="false" customHeight="true" outlineLevel="0" collapsed="false">
      <c r="A3010" s="2" t="n">
        <v>39</v>
      </c>
      <c r="B3010" s="2" t="s">
        <v>26</v>
      </c>
      <c r="C3010" s="2" t="s">
        <v>34</v>
      </c>
      <c r="D3010" s="2" t="s">
        <v>35</v>
      </c>
      <c r="E3010" s="2" t="n">
        <v>19</v>
      </c>
      <c r="F3010" s="2" t="n">
        <v>4</v>
      </c>
      <c r="G3010" s="2" t="s">
        <v>43</v>
      </c>
      <c r="H3010" s="2" t="n">
        <v>3009</v>
      </c>
      <c r="I3010" s="2" t="s">
        <v>30</v>
      </c>
      <c r="J3010" s="2" t="n">
        <v>1</v>
      </c>
      <c r="K3010" s="2" t="s">
        <v>36</v>
      </c>
      <c r="L3010" s="2" t="s">
        <v>32</v>
      </c>
      <c r="M3010" s="2" t="n">
        <v>20620</v>
      </c>
      <c r="N3010" s="2" t="n">
        <v>1</v>
      </c>
      <c r="O3010" s="2" t="n">
        <v>13</v>
      </c>
      <c r="P3010" s="2" t="n">
        <v>0</v>
      </c>
      <c r="Q3010" s="2" t="n">
        <v>21</v>
      </c>
      <c r="R3010" s="2" t="n">
        <v>4</v>
      </c>
      <c r="S3010" s="2" t="n">
        <v>21</v>
      </c>
      <c r="T3010" s="2" t="n">
        <v>13</v>
      </c>
      <c r="U3010" s="2" t="n">
        <v>3</v>
      </c>
      <c r="V3010" s="2" t="n">
        <v>3</v>
      </c>
      <c r="W3010" s="2" t="n">
        <v>4</v>
      </c>
      <c r="X3010" s="2" t="n">
        <v>3</v>
      </c>
      <c r="Y3010" s="2" t="n">
        <v>3</v>
      </c>
      <c r="Z3010" s="2" t="n">
        <v>3</v>
      </c>
    </row>
    <row r="3011" customFormat="false" ht="15" hidden="false" customHeight="true" outlineLevel="0" collapsed="false">
      <c r="A3011" s="2" t="n">
        <v>39</v>
      </c>
      <c r="B3011" s="2" t="s">
        <v>33</v>
      </c>
      <c r="C3011" s="2" t="s">
        <v>27</v>
      </c>
      <c r="D3011" s="2" t="s">
        <v>35</v>
      </c>
      <c r="E3011" s="2" t="n">
        <v>1</v>
      </c>
      <c r="F3011" s="2" t="n">
        <v>1</v>
      </c>
      <c r="G3011" s="2" t="s">
        <v>43</v>
      </c>
      <c r="H3011" s="2" t="n">
        <v>3010</v>
      </c>
      <c r="I3011" s="2" t="s">
        <v>30</v>
      </c>
      <c r="J3011" s="2" t="n">
        <v>1</v>
      </c>
      <c r="K3011" s="2" t="s">
        <v>45</v>
      </c>
      <c r="L3011" s="2" t="s">
        <v>32</v>
      </c>
      <c r="M3011" s="2" t="n">
        <v>42840</v>
      </c>
      <c r="N3011" s="2" t="n">
        <v>4</v>
      </c>
      <c r="O3011" s="2" t="n">
        <v>17</v>
      </c>
      <c r="P3011" s="2" t="n">
        <v>1</v>
      </c>
      <c r="Q3011" s="2" t="n">
        <v>12</v>
      </c>
      <c r="R3011" s="2" t="n">
        <v>0</v>
      </c>
      <c r="S3011" s="2" t="n">
        <v>1</v>
      </c>
      <c r="T3011" s="2" t="n">
        <v>0</v>
      </c>
      <c r="U3011" s="2" t="n">
        <v>0</v>
      </c>
      <c r="V3011" s="2" t="n">
        <v>4</v>
      </c>
      <c r="W3011" s="2" t="n">
        <v>3</v>
      </c>
      <c r="X3011" s="2" t="n">
        <v>2</v>
      </c>
      <c r="Y3011" s="2" t="n">
        <v>3</v>
      </c>
      <c r="Z3011" s="2" t="n">
        <v>3</v>
      </c>
    </row>
    <row r="3012" customFormat="false" ht="15" hidden="false" customHeight="true" outlineLevel="0" collapsed="false">
      <c r="A3012" s="2" t="n">
        <v>33</v>
      </c>
      <c r="B3012" s="2" t="s">
        <v>26</v>
      </c>
      <c r="C3012" s="2" t="s">
        <v>34</v>
      </c>
      <c r="D3012" s="2" t="s">
        <v>28</v>
      </c>
      <c r="E3012" s="2" t="n">
        <v>4</v>
      </c>
      <c r="F3012" s="2" t="n">
        <v>2</v>
      </c>
      <c r="G3012" s="2" t="s">
        <v>29</v>
      </c>
      <c r="H3012" s="2" t="n">
        <v>3011</v>
      </c>
      <c r="I3012" s="2" t="s">
        <v>39</v>
      </c>
      <c r="J3012" s="2" t="n">
        <v>4</v>
      </c>
      <c r="K3012" s="2" t="s">
        <v>36</v>
      </c>
      <c r="L3012" s="2" t="s">
        <v>37</v>
      </c>
      <c r="M3012" s="2" t="n">
        <v>47880</v>
      </c>
      <c r="N3012" s="2" t="n">
        <v>3</v>
      </c>
      <c r="O3012" s="2" t="n">
        <v>11</v>
      </c>
      <c r="P3012" s="2" t="n">
        <v>1</v>
      </c>
      <c r="Q3012" s="2" t="n">
        <v>9</v>
      </c>
      <c r="R3012" s="2" t="n">
        <v>0</v>
      </c>
      <c r="S3012" s="2" t="n">
        <v>7</v>
      </c>
      <c r="T3012" s="2" t="n">
        <v>0</v>
      </c>
      <c r="U3012" s="2" t="n">
        <v>1</v>
      </c>
      <c r="V3012" s="2" t="n">
        <v>2</v>
      </c>
      <c r="W3012" s="2" t="n">
        <v>4</v>
      </c>
      <c r="X3012" s="2" t="n">
        <v>2</v>
      </c>
      <c r="Y3012" s="2" t="n">
        <v>3</v>
      </c>
      <c r="Z3012" s="2" t="n">
        <v>3</v>
      </c>
    </row>
    <row r="3013" customFormat="false" ht="15" hidden="false" customHeight="true" outlineLevel="0" collapsed="false">
      <c r="A3013" s="2" t="n">
        <v>47</v>
      </c>
      <c r="B3013" s="2" t="s">
        <v>26</v>
      </c>
      <c r="C3013" s="2" t="s">
        <v>27</v>
      </c>
      <c r="D3013" s="2" t="s">
        <v>35</v>
      </c>
      <c r="E3013" s="2" t="n">
        <v>4</v>
      </c>
      <c r="F3013" s="2" t="n">
        <v>3</v>
      </c>
      <c r="G3013" s="2" t="s">
        <v>29</v>
      </c>
      <c r="H3013" s="2" t="n">
        <v>3012</v>
      </c>
      <c r="I3013" s="2" t="s">
        <v>30</v>
      </c>
      <c r="J3013" s="2" t="n">
        <v>2</v>
      </c>
      <c r="K3013" s="2" t="s">
        <v>31</v>
      </c>
      <c r="L3013" s="2" t="s">
        <v>32</v>
      </c>
      <c r="M3013" s="2" t="n">
        <v>59060</v>
      </c>
      <c r="N3013" s="2" t="n">
        <v>4</v>
      </c>
      <c r="O3013" s="2" t="n">
        <v>23</v>
      </c>
      <c r="P3013" s="2" t="n">
        <v>0</v>
      </c>
      <c r="Q3013" s="2" t="n">
        <v>21</v>
      </c>
      <c r="R3013" s="2" t="n">
        <v>4</v>
      </c>
      <c r="S3013" s="2" t="n">
        <v>3</v>
      </c>
      <c r="T3013" s="2" t="n">
        <v>1</v>
      </c>
      <c r="U3013" s="2" t="n">
        <v>1</v>
      </c>
      <c r="V3013" s="2" t="n">
        <v>4</v>
      </c>
      <c r="W3013" s="2" t="n">
        <v>3</v>
      </c>
      <c r="X3013" s="2" t="n">
        <v>3</v>
      </c>
      <c r="Y3013" s="2" t="n">
        <v>4</v>
      </c>
      <c r="Z3013" s="2" t="n">
        <v>4</v>
      </c>
    </row>
    <row r="3014" customFormat="false" ht="15" hidden="false" customHeight="true" outlineLevel="0" collapsed="false">
      <c r="A3014" s="2" t="n">
        <v>43</v>
      </c>
      <c r="B3014" s="2" t="s">
        <v>26</v>
      </c>
      <c r="C3014" s="2" t="s">
        <v>34</v>
      </c>
      <c r="D3014" s="2" t="s">
        <v>35</v>
      </c>
      <c r="E3014" s="2" t="n">
        <v>14</v>
      </c>
      <c r="F3014" s="2" t="n">
        <v>3</v>
      </c>
      <c r="G3014" s="2" t="s">
        <v>43</v>
      </c>
      <c r="H3014" s="2" t="n">
        <v>3013</v>
      </c>
      <c r="I3014" s="2" t="s">
        <v>30</v>
      </c>
      <c r="J3014" s="2" t="n">
        <v>5</v>
      </c>
      <c r="K3014" s="2" t="s">
        <v>44</v>
      </c>
      <c r="L3014" s="2" t="s">
        <v>46</v>
      </c>
      <c r="M3014" s="2" t="n">
        <v>38860</v>
      </c>
      <c r="N3014" s="2" t="n">
        <v>1</v>
      </c>
      <c r="O3014" s="2" t="n">
        <v>17</v>
      </c>
      <c r="P3014" s="2" t="n">
        <v>2</v>
      </c>
      <c r="Q3014" s="2" t="n">
        <v>9</v>
      </c>
      <c r="R3014" s="2" t="n">
        <v>2</v>
      </c>
      <c r="S3014" s="2" t="n">
        <v>9</v>
      </c>
      <c r="T3014" s="2" t="n">
        <v>0</v>
      </c>
      <c r="U3014" s="2" t="n">
        <v>0</v>
      </c>
      <c r="V3014" s="2" t="n">
        <v>3</v>
      </c>
      <c r="W3014" s="2" t="n">
        <v>3</v>
      </c>
      <c r="X3014" s="2" t="n">
        <v>4</v>
      </c>
      <c r="Y3014" s="2" t="n">
        <v>3</v>
      </c>
      <c r="Z3014" s="2" t="n">
        <v>3</v>
      </c>
    </row>
    <row r="3015" customFormat="false" ht="15" hidden="false" customHeight="true" outlineLevel="0" collapsed="false">
      <c r="A3015" s="2" t="n">
        <v>27</v>
      </c>
      <c r="B3015" s="2" t="s">
        <v>26</v>
      </c>
      <c r="C3015" s="2" t="s">
        <v>41</v>
      </c>
      <c r="D3015" s="2" t="s">
        <v>35</v>
      </c>
      <c r="E3015" s="2" t="n">
        <v>2</v>
      </c>
      <c r="F3015" s="2" t="n">
        <v>3</v>
      </c>
      <c r="G3015" s="2" t="s">
        <v>29</v>
      </c>
      <c r="H3015" s="2" t="n">
        <v>3014</v>
      </c>
      <c r="I3015" s="2" t="s">
        <v>39</v>
      </c>
      <c r="J3015" s="2" t="n">
        <v>1</v>
      </c>
      <c r="K3015" s="2" t="s">
        <v>44</v>
      </c>
      <c r="L3015" s="2" t="s">
        <v>32</v>
      </c>
      <c r="M3015" s="2" t="n">
        <v>168230</v>
      </c>
      <c r="N3015" s="2" t="n">
        <v>0</v>
      </c>
      <c r="O3015" s="2" t="n">
        <v>17</v>
      </c>
      <c r="P3015" s="2" t="n">
        <v>0</v>
      </c>
      <c r="Q3015" s="2" t="n">
        <v>6</v>
      </c>
      <c r="R3015" s="2" t="n">
        <v>3</v>
      </c>
      <c r="S3015" s="2" t="n">
        <v>5</v>
      </c>
      <c r="T3015" s="2" t="n">
        <v>1</v>
      </c>
      <c r="U3015" s="2" t="n">
        <v>4</v>
      </c>
      <c r="V3015" s="2" t="n">
        <v>3</v>
      </c>
      <c r="W3015" s="2" t="n">
        <v>2</v>
      </c>
      <c r="X3015" s="2" t="n">
        <v>3</v>
      </c>
      <c r="Y3015" s="2" t="n">
        <v>3</v>
      </c>
      <c r="Z3015" s="2" t="n">
        <v>3</v>
      </c>
    </row>
    <row r="3016" customFormat="false" ht="15" hidden="false" customHeight="true" outlineLevel="0" collapsed="false">
      <c r="A3016" s="2" t="n">
        <v>54</v>
      </c>
      <c r="B3016" s="2" t="s">
        <v>26</v>
      </c>
      <c r="C3016" s="2" t="s">
        <v>34</v>
      </c>
      <c r="D3016" s="2" t="s">
        <v>35</v>
      </c>
      <c r="E3016" s="2" t="n">
        <v>1</v>
      </c>
      <c r="F3016" s="2" t="n">
        <v>4</v>
      </c>
      <c r="G3016" s="2" t="s">
        <v>29</v>
      </c>
      <c r="H3016" s="2" t="n">
        <v>3015</v>
      </c>
      <c r="I3016" s="2" t="s">
        <v>39</v>
      </c>
      <c r="J3016" s="2" t="n">
        <v>2</v>
      </c>
      <c r="K3016" s="2" t="s">
        <v>36</v>
      </c>
      <c r="L3016" s="2" t="s">
        <v>37</v>
      </c>
      <c r="M3016" s="2" t="n">
        <v>29330</v>
      </c>
      <c r="N3016" s="2" t="n">
        <v>3</v>
      </c>
      <c r="O3016" s="2" t="n">
        <v>12</v>
      </c>
      <c r="P3016" s="2" t="n">
        <v>2</v>
      </c>
      <c r="Q3016" s="2" t="n">
        <v>20</v>
      </c>
      <c r="R3016" s="2" t="n">
        <v>2</v>
      </c>
      <c r="S3016" s="2" t="n">
        <v>4</v>
      </c>
      <c r="T3016" s="2" t="n">
        <v>0</v>
      </c>
      <c r="U3016" s="2" t="n">
        <v>3</v>
      </c>
      <c r="V3016" s="2" t="n">
        <v>4</v>
      </c>
      <c r="W3016" s="2" t="n">
        <v>3</v>
      </c>
      <c r="X3016" s="2" t="n">
        <v>2</v>
      </c>
      <c r="Y3016" s="2" t="n">
        <v>3</v>
      </c>
      <c r="Z3016" s="2" t="n">
        <v>3</v>
      </c>
    </row>
    <row r="3017" customFormat="false" ht="15" hidden="false" customHeight="true" outlineLevel="0" collapsed="false">
      <c r="A3017" s="2" t="n">
        <v>43</v>
      </c>
      <c r="B3017" s="2" t="s">
        <v>26</v>
      </c>
      <c r="C3017" s="2" t="s">
        <v>27</v>
      </c>
      <c r="D3017" s="2" t="s">
        <v>35</v>
      </c>
      <c r="E3017" s="2" t="n">
        <v>7</v>
      </c>
      <c r="F3017" s="2" t="n">
        <v>2</v>
      </c>
      <c r="G3017" s="2" t="s">
        <v>29</v>
      </c>
      <c r="H3017" s="2" t="n">
        <v>3016</v>
      </c>
      <c r="I3017" s="2" t="s">
        <v>30</v>
      </c>
      <c r="J3017" s="2" t="n">
        <v>2</v>
      </c>
      <c r="K3017" s="2" t="s">
        <v>49</v>
      </c>
      <c r="L3017" s="2" t="s">
        <v>32</v>
      </c>
      <c r="M3017" s="2" t="n">
        <v>65000</v>
      </c>
      <c r="N3017" s="2" t="n">
        <v>8</v>
      </c>
      <c r="O3017" s="2" t="n">
        <v>23</v>
      </c>
      <c r="P3017" s="2" t="n">
        <v>0</v>
      </c>
      <c r="Q3017" s="2" t="n">
        <v>10</v>
      </c>
      <c r="R3017" s="2" t="n">
        <v>3</v>
      </c>
      <c r="S3017" s="2" t="n">
        <v>1</v>
      </c>
      <c r="T3017" s="2" t="n">
        <v>0</v>
      </c>
      <c r="U3017" s="2" t="n">
        <v>0</v>
      </c>
      <c r="V3017" s="2" t="n">
        <v>3</v>
      </c>
      <c r="W3017" s="2" t="n">
        <v>1</v>
      </c>
      <c r="X3017" s="2" t="n">
        <v>2</v>
      </c>
      <c r="Y3017" s="2" t="n">
        <v>3</v>
      </c>
      <c r="Z3017" s="2" t="n">
        <v>4</v>
      </c>
    </row>
    <row r="3018" customFormat="false" ht="15" hidden="false" customHeight="true" outlineLevel="0" collapsed="false">
      <c r="A3018" s="2" t="n">
        <v>45</v>
      </c>
      <c r="B3018" s="2" t="s">
        <v>26</v>
      </c>
      <c r="C3018" s="2" t="s">
        <v>27</v>
      </c>
      <c r="D3018" s="2" t="s">
        <v>28</v>
      </c>
      <c r="E3018" s="2" t="n">
        <v>3</v>
      </c>
      <c r="F3018" s="2" t="n">
        <v>1</v>
      </c>
      <c r="G3018" s="2" t="s">
        <v>50</v>
      </c>
      <c r="H3018" s="2" t="n">
        <v>3017</v>
      </c>
      <c r="I3018" s="2" t="s">
        <v>30</v>
      </c>
      <c r="J3018" s="2" t="n">
        <v>1</v>
      </c>
      <c r="K3018" s="2" t="s">
        <v>40</v>
      </c>
      <c r="L3018" s="2" t="s">
        <v>32</v>
      </c>
      <c r="M3018" s="2" t="n">
        <v>171740</v>
      </c>
      <c r="N3018" s="2" t="n">
        <v>9</v>
      </c>
      <c r="O3018" s="2" t="n">
        <v>14</v>
      </c>
      <c r="P3018" s="2" t="n">
        <v>1</v>
      </c>
      <c r="Q3018" s="2" t="n">
        <v>12</v>
      </c>
      <c r="R3018" s="2" t="n">
        <v>6</v>
      </c>
      <c r="S3018" s="2" t="n">
        <v>10</v>
      </c>
      <c r="T3018" s="2" t="n">
        <v>9</v>
      </c>
      <c r="U3018" s="2" t="n">
        <v>8</v>
      </c>
      <c r="V3018" s="2" t="n">
        <v>4</v>
      </c>
      <c r="W3018" s="2" t="n">
        <v>4</v>
      </c>
      <c r="X3018" s="2" t="n">
        <v>3</v>
      </c>
      <c r="Y3018" s="2" t="n">
        <v>3</v>
      </c>
      <c r="Z3018" s="2" t="n">
        <v>3</v>
      </c>
    </row>
    <row r="3019" customFormat="false" ht="15" hidden="false" customHeight="true" outlineLevel="0" collapsed="false">
      <c r="A3019" s="2" t="n">
        <v>40</v>
      </c>
      <c r="B3019" s="2" t="s">
        <v>26</v>
      </c>
      <c r="C3019" s="2" t="s">
        <v>27</v>
      </c>
      <c r="D3019" s="2" t="s">
        <v>35</v>
      </c>
      <c r="E3019" s="2" t="n">
        <v>2</v>
      </c>
      <c r="F3019" s="2" t="n">
        <v>4</v>
      </c>
      <c r="G3019" s="2" t="s">
        <v>38</v>
      </c>
      <c r="H3019" s="2" t="n">
        <v>3018</v>
      </c>
      <c r="I3019" s="2" t="s">
        <v>39</v>
      </c>
      <c r="J3019" s="2" t="n">
        <v>4</v>
      </c>
      <c r="K3019" s="2" t="s">
        <v>36</v>
      </c>
      <c r="L3019" s="2" t="s">
        <v>32</v>
      </c>
      <c r="M3019" s="2" t="n">
        <v>50330</v>
      </c>
      <c r="N3019" s="2" t="n">
        <v>2</v>
      </c>
      <c r="O3019" s="2" t="n">
        <v>14</v>
      </c>
      <c r="P3019" s="2" t="n">
        <v>2</v>
      </c>
      <c r="Q3019" s="2" t="n">
        <v>6</v>
      </c>
      <c r="R3019" s="2" t="n">
        <v>6</v>
      </c>
      <c r="S3019" s="2" t="n">
        <v>4</v>
      </c>
      <c r="T3019" s="2" t="n">
        <v>0</v>
      </c>
      <c r="U3019" s="2" t="n">
        <v>2</v>
      </c>
      <c r="V3019" s="2" t="n">
        <v>2</v>
      </c>
      <c r="W3019" s="2" t="n">
        <v>4</v>
      </c>
      <c r="X3019" s="2" t="n">
        <v>2</v>
      </c>
      <c r="Y3019" s="2" t="n">
        <v>3</v>
      </c>
      <c r="Z3019" s="2" t="n">
        <v>3</v>
      </c>
    </row>
    <row r="3020" customFormat="false" ht="15" hidden="false" customHeight="true" outlineLevel="0" collapsed="false">
      <c r="A3020" s="2" t="n">
        <v>29</v>
      </c>
      <c r="B3020" s="2" t="s">
        <v>33</v>
      </c>
      <c r="C3020" s="2" t="s">
        <v>27</v>
      </c>
      <c r="D3020" s="2" t="s">
        <v>35</v>
      </c>
      <c r="E3020" s="2" t="n">
        <v>29</v>
      </c>
      <c r="F3020" s="2" t="n">
        <v>3</v>
      </c>
      <c r="G3020" s="2" t="s">
        <v>43</v>
      </c>
      <c r="H3020" s="2" t="n">
        <v>3019</v>
      </c>
      <c r="I3020" s="2" t="s">
        <v>30</v>
      </c>
      <c r="J3020" s="2" t="n">
        <v>1</v>
      </c>
      <c r="K3020" s="2" t="s">
        <v>36</v>
      </c>
      <c r="L3020" s="2" t="s">
        <v>32</v>
      </c>
      <c r="M3020" s="2" t="n">
        <v>23070</v>
      </c>
      <c r="N3020" s="2" t="n">
        <v>1</v>
      </c>
      <c r="O3020" s="2" t="n">
        <v>13</v>
      </c>
      <c r="P3020" s="2" t="n">
        <v>1</v>
      </c>
      <c r="Q3020" s="2" t="n">
        <v>7</v>
      </c>
      <c r="R3020" s="2" t="n">
        <v>0</v>
      </c>
      <c r="S3020" s="2" t="n">
        <v>7</v>
      </c>
      <c r="T3020" s="2" t="n">
        <v>0</v>
      </c>
      <c r="U3020" s="2" t="n">
        <v>7</v>
      </c>
      <c r="V3020" s="2" t="n">
        <v>2</v>
      </c>
      <c r="W3020" s="2" t="n">
        <v>1</v>
      </c>
      <c r="X3020" s="2" t="n">
        <v>2</v>
      </c>
      <c r="Y3020" s="2" t="n">
        <v>3</v>
      </c>
      <c r="Z3020" s="2" t="n">
        <v>3</v>
      </c>
    </row>
    <row r="3021" customFormat="false" ht="15" hidden="false" customHeight="true" outlineLevel="0" collapsed="false">
      <c r="A3021" s="2" t="n">
        <v>29</v>
      </c>
      <c r="B3021" s="2" t="s">
        <v>26</v>
      </c>
      <c r="C3021" s="2" t="s">
        <v>27</v>
      </c>
      <c r="D3021" s="2" t="s">
        <v>42</v>
      </c>
      <c r="E3021" s="2" t="n">
        <v>8</v>
      </c>
      <c r="F3021" s="2" t="n">
        <v>3</v>
      </c>
      <c r="G3021" s="2" t="s">
        <v>43</v>
      </c>
      <c r="H3021" s="2" t="n">
        <v>3020</v>
      </c>
      <c r="I3021" s="2" t="s">
        <v>39</v>
      </c>
      <c r="J3021" s="2" t="n">
        <v>3</v>
      </c>
      <c r="K3021" s="2" t="s">
        <v>48</v>
      </c>
      <c r="L3021" s="2" t="s">
        <v>37</v>
      </c>
      <c r="M3021" s="2" t="n">
        <v>25870</v>
      </c>
      <c r="N3021" s="2" t="n">
        <v>0</v>
      </c>
      <c r="O3021" s="2" t="n">
        <v>22</v>
      </c>
      <c r="P3021" s="2" t="n">
        <v>2</v>
      </c>
      <c r="Q3021" s="2" t="n">
        <v>4</v>
      </c>
      <c r="R3021" s="2" t="n">
        <v>3</v>
      </c>
      <c r="S3021" s="2" t="n">
        <v>3</v>
      </c>
      <c r="T3021" s="2" t="n">
        <v>2</v>
      </c>
      <c r="U3021" s="2" t="n">
        <v>2</v>
      </c>
      <c r="V3021" s="2" t="n">
        <v>2</v>
      </c>
      <c r="W3021" s="2" t="n">
        <v>4</v>
      </c>
      <c r="X3021" s="2" t="n">
        <v>3</v>
      </c>
      <c r="Y3021" s="2" t="n">
        <v>3</v>
      </c>
      <c r="Z3021" s="2" t="n">
        <v>4</v>
      </c>
    </row>
    <row r="3022" customFormat="false" ht="15" hidden="false" customHeight="true" outlineLevel="0" collapsed="false">
      <c r="A3022" s="2" t="n">
        <v>30</v>
      </c>
      <c r="B3022" s="2" t="s">
        <v>26</v>
      </c>
      <c r="C3022" s="2" t="s">
        <v>27</v>
      </c>
      <c r="D3022" s="2" t="s">
        <v>35</v>
      </c>
      <c r="E3022" s="2" t="n">
        <v>10</v>
      </c>
      <c r="F3022" s="2" t="n">
        <v>3</v>
      </c>
      <c r="G3022" s="2" t="s">
        <v>29</v>
      </c>
      <c r="H3022" s="2" t="n">
        <v>3021</v>
      </c>
      <c r="I3022" s="2" t="s">
        <v>39</v>
      </c>
      <c r="J3022" s="2" t="n">
        <v>2</v>
      </c>
      <c r="K3022" s="2" t="s">
        <v>36</v>
      </c>
      <c r="L3022" s="2" t="s">
        <v>46</v>
      </c>
      <c r="M3022" s="2" t="n">
        <v>55070</v>
      </c>
      <c r="N3022" s="2" t="n">
        <v>1</v>
      </c>
      <c r="O3022" s="2" t="n">
        <v>12</v>
      </c>
      <c r="P3022" s="2" t="n">
        <v>2</v>
      </c>
      <c r="Q3022" s="2" t="n">
        <v>10</v>
      </c>
      <c r="R3022" s="2" t="n">
        <v>2</v>
      </c>
      <c r="S3022" s="2" t="n">
        <v>10</v>
      </c>
      <c r="T3022" s="2" t="n">
        <v>1</v>
      </c>
      <c r="U3022" s="2" t="n">
        <v>2</v>
      </c>
      <c r="V3022" s="2" t="n">
        <v>4</v>
      </c>
      <c r="W3022" s="2" t="n">
        <v>3</v>
      </c>
      <c r="X3022" s="2" t="n">
        <v>3</v>
      </c>
      <c r="Y3022" s="2" t="n">
        <v>2</v>
      </c>
      <c r="Z3022" s="2" t="n">
        <v>3</v>
      </c>
    </row>
    <row r="3023" customFormat="false" ht="15" hidden="false" customHeight="true" outlineLevel="0" collapsed="false">
      <c r="A3023" s="2" t="n">
        <v>27</v>
      </c>
      <c r="B3023" s="2" t="s">
        <v>26</v>
      </c>
      <c r="C3023" s="2" t="s">
        <v>27</v>
      </c>
      <c r="D3023" s="2" t="s">
        <v>35</v>
      </c>
      <c r="E3023" s="2" t="n">
        <v>11</v>
      </c>
      <c r="F3023" s="2" t="n">
        <v>2</v>
      </c>
      <c r="G3023" s="2" t="s">
        <v>43</v>
      </c>
      <c r="H3023" s="2" t="n">
        <v>3022</v>
      </c>
      <c r="I3023" s="2" t="s">
        <v>39</v>
      </c>
      <c r="J3023" s="2" t="n">
        <v>1</v>
      </c>
      <c r="K3023" s="2" t="s">
        <v>49</v>
      </c>
      <c r="L3023" s="2" t="s">
        <v>32</v>
      </c>
      <c r="M3023" s="2" t="n">
        <v>43930</v>
      </c>
      <c r="N3023" s="2" t="n">
        <v>1</v>
      </c>
      <c r="O3023" s="2" t="n">
        <v>18</v>
      </c>
      <c r="P3023" s="2" t="n">
        <v>1</v>
      </c>
      <c r="Q3023" s="2" t="n">
        <v>8</v>
      </c>
      <c r="R3023" s="2" t="n">
        <v>2</v>
      </c>
      <c r="S3023" s="2" t="n">
        <v>8</v>
      </c>
      <c r="T3023" s="2" t="n">
        <v>0</v>
      </c>
      <c r="U3023" s="2" t="n">
        <v>7</v>
      </c>
      <c r="V3023" s="2" t="n">
        <v>2</v>
      </c>
      <c r="W3023" s="2" t="n">
        <v>2</v>
      </c>
      <c r="X3023" s="2" t="n">
        <v>3</v>
      </c>
      <c r="Y3023" s="2" t="n">
        <v>2</v>
      </c>
      <c r="Z3023" s="2" t="n">
        <v>3</v>
      </c>
    </row>
    <row r="3024" customFormat="false" ht="15" hidden="false" customHeight="true" outlineLevel="0" collapsed="false">
      <c r="A3024" s="2" t="n">
        <v>37</v>
      </c>
      <c r="B3024" s="2" t="s">
        <v>26</v>
      </c>
      <c r="C3024" s="2" t="s">
        <v>27</v>
      </c>
      <c r="D3024" s="2" t="s">
        <v>28</v>
      </c>
      <c r="E3024" s="2" t="n">
        <v>1</v>
      </c>
      <c r="F3024" s="2" t="n">
        <v>4</v>
      </c>
      <c r="G3024" s="2" t="s">
        <v>29</v>
      </c>
      <c r="H3024" s="2" t="n">
        <v>3023</v>
      </c>
      <c r="I3024" s="2" t="s">
        <v>39</v>
      </c>
      <c r="J3024" s="2" t="n">
        <v>2</v>
      </c>
      <c r="K3024" s="2" t="s">
        <v>31</v>
      </c>
      <c r="L3024" s="2" t="s">
        <v>46</v>
      </c>
      <c r="M3024" s="2" t="n">
        <v>133480</v>
      </c>
      <c r="N3024" s="2" t="n">
        <v>7</v>
      </c>
      <c r="O3024" s="2" t="n">
        <v>14</v>
      </c>
      <c r="P3024" s="2" t="n">
        <v>0</v>
      </c>
      <c r="Q3024" s="2" t="n">
        <v>8</v>
      </c>
      <c r="R3024" s="2" t="n">
        <v>4</v>
      </c>
      <c r="S3024" s="2" t="n">
        <v>6</v>
      </c>
      <c r="T3024" s="2" t="n">
        <v>0</v>
      </c>
      <c r="U3024" s="2" t="n">
        <v>4</v>
      </c>
      <c r="V3024" s="2" t="n">
        <v>4</v>
      </c>
      <c r="W3024" s="2" t="n">
        <v>4</v>
      </c>
      <c r="X3024" s="2" t="n">
        <v>2</v>
      </c>
      <c r="Y3024" s="2" t="n">
        <v>3</v>
      </c>
      <c r="Z3024" s="2" t="n">
        <v>3</v>
      </c>
    </row>
    <row r="3025" customFormat="false" ht="15" hidden="false" customHeight="true" outlineLevel="0" collapsed="false">
      <c r="A3025" s="2" t="n">
        <v>38</v>
      </c>
      <c r="B3025" s="2" t="s">
        <v>26</v>
      </c>
      <c r="C3025" s="2" t="s">
        <v>27</v>
      </c>
      <c r="D3025" s="2" t="s">
        <v>35</v>
      </c>
      <c r="E3025" s="2" t="n">
        <v>28</v>
      </c>
      <c r="F3025" s="2" t="n">
        <v>4</v>
      </c>
      <c r="G3025" s="2" t="s">
        <v>43</v>
      </c>
      <c r="H3025" s="2" t="n">
        <v>3024</v>
      </c>
      <c r="I3025" s="2" t="s">
        <v>39</v>
      </c>
      <c r="J3025" s="2" t="n">
        <v>1</v>
      </c>
      <c r="K3025" s="2" t="s">
        <v>45</v>
      </c>
      <c r="L3025" s="2" t="s">
        <v>46</v>
      </c>
      <c r="M3025" s="2" t="n">
        <v>65830</v>
      </c>
      <c r="N3025" s="2" t="n">
        <v>0</v>
      </c>
      <c r="O3025" s="2" t="n">
        <v>12</v>
      </c>
      <c r="P3025" s="2" t="n">
        <v>0</v>
      </c>
      <c r="Q3025" s="2" t="n">
        <v>12</v>
      </c>
      <c r="R3025" s="2" t="n">
        <v>1</v>
      </c>
      <c r="S3025" s="2" t="n">
        <v>11</v>
      </c>
      <c r="T3025" s="2" t="n">
        <v>2</v>
      </c>
      <c r="U3025" s="2" t="n">
        <v>9</v>
      </c>
      <c r="V3025" s="2" t="n">
        <v>3</v>
      </c>
      <c r="W3025" s="2" t="n">
        <v>4</v>
      </c>
      <c r="X3025" s="2" t="n">
        <v>3</v>
      </c>
      <c r="Y3025" s="2" t="n">
        <v>3</v>
      </c>
      <c r="Z3025" s="2" t="n">
        <v>3</v>
      </c>
    </row>
    <row r="3026" customFormat="false" ht="15" hidden="false" customHeight="true" outlineLevel="0" collapsed="false">
      <c r="A3026" s="2" t="n">
        <v>31</v>
      </c>
      <c r="B3026" s="2" t="s">
        <v>26</v>
      </c>
      <c r="C3026" s="2" t="s">
        <v>27</v>
      </c>
      <c r="D3026" s="2" t="s">
        <v>35</v>
      </c>
      <c r="E3026" s="2" t="n">
        <v>6</v>
      </c>
      <c r="F3026" s="2" t="n">
        <v>3</v>
      </c>
      <c r="G3026" s="2" t="s">
        <v>43</v>
      </c>
      <c r="H3026" s="2" t="n">
        <v>3025</v>
      </c>
      <c r="I3026" s="2" t="s">
        <v>30</v>
      </c>
      <c r="J3026" s="2" t="n">
        <v>3</v>
      </c>
      <c r="K3026" s="2" t="s">
        <v>49</v>
      </c>
      <c r="L3026" s="2" t="s">
        <v>37</v>
      </c>
      <c r="M3026" s="2" t="n">
        <v>81030</v>
      </c>
      <c r="N3026" s="2" t="n">
        <v>1</v>
      </c>
      <c r="O3026" s="2" t="n">
        <v>15</v>
      </c>
      <c r="P3026" s="2" t="n">
        <v>1</v>
      </c>
      <c r="Q3026" s="2" t="n">
        <v>11</v>
      </c>
      <c r="R3026" s="2" t="n">
        <v>5</v>
      </c>
      <c r="S3026" s="2" t="n">
        <v>11</v>
      </c>
      <c r="T3026" s="2" t="n">
        <v>4</v>
      </c>
      <c r="U3026" s="2" t="n">
        <v>10</v>
      </c>
      <c r="V3026" s="2" t="n">
        <v>3</v>
      </c>
      <c r="W3026" s="2" t="n">
        <v>4</v>
      </c>
      <c r="X3026" s="2"/>
      <c r="Y3026" s="2" t="n">
        <v>3</v>
      </c>
      <c r="Z3026" s="2" t="n">
        <v>3</v>
      </c>
    </row>
    <row r="3027" customFormat="false" ht="15" hidden="false" customHeight="true" outlineLevel="0" collapsed="false">
      <c r="A3027" s="2" t="n">
        <v>29</v>
      </c>
      <c r="B3027" s="2" t="s">
        <v>26</v>
      </c>
      <c r="C3027" s="2" t="s">
        <v>27</v>
      </c>
      <c r="D3027" s="2" t="s">
        <v>35</v>
      </c>
      <c r="E3027" s="2" t="n">
        <v>3</v>
      </c>
      <c r="F3027" s="2" t="n">
        <v>4</v>
      </c>
      <c r="G3027" s="2" t="s">
        <v>29</v>
      </c>
      <c r="H3027" s="2" t="n">
        <v>3026</v>
      </c>
      <c r="I3027" s="2" t="s">
        <v>39</v>
      </c>
      <c r="J3027" s="2" t="n">
        <v>3</v>
      </c>
      <c r="K3027" s="2" t="s">
        <v>40</v>
      </c>
      <c r="L3027" s="2" t="s">
        <v>46</v>
      </c>
      <c r="M3027" s="2" t="n">
        <v>39780</v>
      </c>
      <c r="N3027" s="2" t="n">
        <v>1</v>
      </c>
      <c r="O3027" s="2" t="n">
        <v>11</v>
      </c>
      <c r="P3027" s="2" t="n">
        <v>0</v>
      </c>
      <c r="Q3027" s="2" t="n">
        <v>7</v>
      </c>
      <c r="R3027" s="2" t="n">
        <v>0</v>
      </c>
      <c r="S3027" s="2" t="n">
        <v>7</v>
      </c>
      <c r="T3027" s="2" t="n">
        <v>1</v>
      </c>
      <c r="U3027" s="2" t="n">
        <v>7</v>
      </c>
      <c r="V3027" s="2" t="n">
        <v>4</v>
      </c>
      <c r="W3027" s="2" t="n">
        <v>2</v>
      </c>
      <c r="X3027" s="2" t="n">
        <v>3</v>
      </c>
      <c r="Y3027" s="2" t="n">
        <v>3</v>
      </c>
      <c r="Z3027" s="2" t="n">
        <v>3</v>
      </c>
    </row>
    <row r="3028" customFormat="false" ht="15" hidden="false" customHeight="true" outlineLevel="0" collapsed="false">
      <c r="A3028" s="2" t="n">
        <v>35</v>
      </c>
      <c r="B3028" s="2" t="s">
        <v>26</v>
      </c>
      <c r="C3028" s="2" t="s">
        <v>27</v>
      </c>
      <c r="D3028" s="2" t="s">
        <v>28</v>
      </c>
      <c r="E3028" s="2" t="n">
        <v>16</v>
      </c>
      <c r="F3028" s="2" t="n">
        <v>2</v>
      </c>
      <c r="G3028" s="2" t="s">
        <v>51</v>
      </c>
      <c r="H3028" s="2" t="n">
        <v>3027</v>
      </c>
      <c r="I3028" s="2" t="s">
        <v>39</v>
      </c>
      <c r="J3028" s="2" t="n">
        <v>3</v>
      </c>
      <c r="K3028" s="2" t="s">
        <v>49</v>
      </c>
      <c r="L3028" s="2" t="s">
        <v>37</v>
      </c>
      <c r="M3028" s="2" t="n">
        <v>25440</v>
      </c>
      <c r="N3028" s="2" t="n">
        <v>0</v>
      </c>
      <c r="O3028" s="2" t="n">
        <v>13</v>
      </c>
      <c r="P3028" s="2" t="n">
        <v>1</v>
      </c>
      <c r="Q3028" s="2" t="n">
        <v>17</v>
      </c>
      <c r="R3028" s="2" t="n">
        <v>3</v>
      </c>
      <c r="S3028" s="2" t="n">
        <v>16</v>
      </c>
      <c r="T3028" s="2" t="n">
        <v>0</v>
      </c>
      <c r="U3028" s="2" t="n">
        <v>13</v>
      </c>
      <c r="V3028" s="2" t="n">
        <v>3</v>
      </c>
      <c r="W3028" s="2" t="n">
        <v>2</v>
      </c>
      <c r="X3028" s="2" t="n">
        <v>3</v>
      </c>
      <c r="Y3028" s="2" t="n">
        <v>4</v>
      </c>
      <c r="Z3028" s="2" t="n">
        <v>3</v>
      </c>
    </row>
    <row r="3029" customFormat="false" ht="15" hidden="false" customHeight="true" outlineLevel="0" collapsed="false">
      <c r="A3029" s="2" t="n">
        <v>23</v>
      </c>
      <c r="B3029" s="2" t="s">
        <v>26</v>
      </c>
      <c r="C3029" s="2" t="s">
        <v>27</v>
      </c>
      <c r="D3029" s="2" t="s">
        <v>35</v>
      </c>
      <c r="E3029" s="2" t="n">
        <v>20</v>
      </c>
      <c r="F3029" s="2" t="n">
        <v>4</v>
      </c>
      <c r="G3029" s="2" t="s">
        <v>29</v>
      </c>
      <c r="H3029" s="2" t="n">
        <v>3028</v>
      </c>
      <c r="I3029" s="2" t="s">
        <v>39</v>
      </c>
      <c r="J3029" s="2" t="n">
        <v>1</v>
      </c>
      <c r="K3029" s="2" t="s">
        <v>47</v>
      </c>
      <c r="L3029" s="2" t="s">
        <v>46</v>
      </c>
      <c r="M3029" s="2" t="n">
        <v>53990</v>
      </c>
      <c r="N3029" s="2" t="n">
        <v>1</v>
      </c>
      <c r="O3029" s="2" t="n">
        <v>23</v>
      </c>
      <c r="P3029" s="2" t="n">
        <v>0</v>
      </c>
      <c r="Q3029" s="2" t="n">
        <v>4</v>
      </c>
      <c r="R3029" s="2" t="n">
        <v>2</v>
      </c>
      <c r="S3029" s="2" t="n">
        <v>4</v>
      </c>
      <c r="T3029" s="2" t="n">
        <v>0</v>
      </c>
      <c r="U3029" s="2" t="n">
        <v>2</v>
      </c>
      <c r="V3029" s="2" t="n">
        <v>3</v>
      </c>
      <c r="W3029" s="2" t="n">
        <v>4</v>
      </c>
      <c r="X3029" s="2" t="n">
        <v>2</v>
      </c>
      <c r="Y3029" s="2" t="n">
        <v>2</v>
      </c>
      <c r="Z3029" s="2" t="n">
        <v>4</v>
      </c>
    </row>
    <row r="3030" customFormat="false" ht="15" hidden="false" customHeight="true" outlineLevel="0" collapsed="false">
      <c r="A3030" s="2" t="n">
        <v>41</v>
      </c>
      <c r="B3030" s="2" t="s">
        <v>26</v>
      </c>
      <c r="C3030" s="2" t="s">
        <v>27</v>
      </c>
      <c r="D3030" s="2" t="s">
        <v>35</v>
      </c>
      <c r="E3030" s="2" t="n">
        <v>9</v>
      </c>
      <c r="F3030" s="2" t="n">
        <v>2</v>
      </c>
      <c r="G3030" s="2" t="s">
        <v>29</v>
      </c>
      <c r="H3030" s="2" t="n">
        <v>3029</v>
      </c>
      <c r="I3030" s="2" t="s">
        <v>30</v>
      </c>
      <c r="J3030" s="2" t="n">
        <v>1</v>
      </c>
      <c r="K3030" s="2" t="s">
        <v>45</v>
      </c>
      <c r="L3030" s="2" t="s">
        <v>37</v>
      </c>
      <c r="M3030" s="2" t="n">
        <v>54870</v>
      </c>
      <c r="N3030" s="2" t="n">
        <v>6</v>
      </c>
      <c r="O3030" s="2" t="n">
        <v>19</v>
      </c>
      <c r="P3030" s="2" t="n">
        <v>2</v>
      </c>
      <c r="Q3030" s="2" t="n">
        <v>8</v>
      </c>
      <c r="R3030" s="2" t="n">
        <v>0</v>
      </c>
      <c r="S3030" s="2" t="n">
        <v>5</v>
      </c>
      <c r="T3030" s="2" t="n">
        <v>1</v>
      </c>
      <c r="U3030" s="2" t="n">
        <v>2</v>
      </c>
      <c r="V3030" s="2" t="n">
        <v>4</v>
      </c>
      <c r="W3030" s="2" t="n">
        <v>2</v>
      </c>
      <c r="X3030" s="2" t="n">
        <v>3</v>
      </c>
      <c r="Y3030" s="2" t="n">
        <v>3</v>
      </c>
      <c r="Z3030" s="2" t="n">
        <v>3</v>
      </c>
    </row>
    <row r="3031" customFormat="false" ht="15" hidden="false" customHeight="true" outlineLevel="0" collapsed="false">
      <c r="A3031" s="2" t="n">
        <v>47</v>
      </c>
      <c r="B3031" s="2" t="s">
        <v>26</v>
      </c>
      <c r="C3031" s="2" t="s">
        <v>34</v>
      </c>
      <c r="D3031" s="2" t="s">
        <v>28</v>
      </c>
      <c r="E3031" s="2" t="n">
        <v>1</v>
      </c>
      <c r="F3031" s="2" t="n">
        <v>3</v>
      </c>
      <c r="G3031" s="2" t="s">
        <v>43</v>
      </c>
      <c r="H3031" s="2" t="n">
        <v>3030</v>
      </c>
      <c r="I3031" s="2" t="s">
        <v>30</v>
      </c>
      <c r="J3031" s="2" t="n">
        <v>2</v>
      </c>
      <c r="K3031" s="2" t="s">
        <v>45</v>
      </c>
      <c r="L3031" s="2" t="s">
        <v>37</v>
      </c>
      <c r="M3031" s="2" t="n">
        <v>68340</v>
      </c>
      <c r="N3031" s="2" t="n">
        <v>3</v>
      </c>
      <c r="O3031" s="2" t="n">
        <v>16</v>
      </c>
      <c r="P3031" s="2" t="n">
        <v>1</v>
      </c>
      <c r="Q3031" s="2" t="n">
        <v>5</v>
      </c>
      <c r="R3031" s="2" t="n">
        <v>2</v>
      </c>
      <c r="S3031" s="2" t="n">
        <v>0</v>
      </c>
      <c r="T3031" s="2" t="n">
        <v>0</v>
      </c>
      <c r="U3031" s="2" t="n">
        <v>0</v>
      </c>
      <c r="V3031" s="2" t="n">
        <v>2</v>
      </c>
      <c r="W3031" s="2" t="n">
        <v>3</v>
      </c>
      <c r="X3031" s="2" t="n">
        <v>3</v>
      </c>
      <c r="Y3031" s="2" t="n">
        <v>4</v>
      </c>
      <c r="Z3031" s="2" t="n">
        <v>3</v>
      </c>
    </row>
    <row r="3032" customFormat="false" ht="15" hidden="false" customHeight="true" outlineLevel="0" collapsed="false">
      <c r="A3032" s="2" t="n">
        <v>42</v>
      </c>
      <c r="B3032" s="2" t="s">
        <v>26</v>
      </c>
      <c r="C3032" s="2" t="s">
        <v>27</v>
      </c>
      <c r="D3032" s="2" t="s">
        <v>35</v>
      </c>
      <c r="E3032" s="2" t="n">
        <v>3</v>
      </c>
      <c r="F3032" s="2" t="n">
        <v>4</v>
      </c>
      <c r="G3032" s="2" t="s">
        <v>29</v>
      </c>
      <c r="H3032" s="2" t="n">
        <v>3031</v>
      </c>
      <c r="I3032" s="2" t="s">
        <v>39</v>
      </c>
      <c r="J3032" s="2" t="n">
        <v>1</v>
      </c>
      <c r="K3032" s="2" t="s">
        <v>49</v>
      </c>
      <c r="L3032" s="2" t="s">
        <v>37</v>
      </c>
      <c r="M3032" s="2" t="n">
        <v>10910</v>
      </c>
      <c r="N3032" s="2" t="n">
        <v>2</v>
      </c>
      <c r="O3032" s="2" t="n">
        <v>22</v>
      </c>
      <c r="P3032" s="2" t="n">
        <v>0</v>
      </c>
      <c r="Q3032" s="2" t="n">
        <v>16</v>
      </c>
      <c r="R3032" s="2" t="n">
        <v>0</v>
      </c>
      <c r="S3032" s="2" t="n">
        <v>1</v>
      </c>
      <c r="T3032" s="2" t="n">
        <v>0</v>
      </c>
      <c r="U3032" s="2" t="n">
        <v>0</v>
      </c>
      <c r="V3032" s="2" t="n">
        <v>1</v>
      </c>
      <c r="W3032" s="2" t="n">
        <v>4</v>
      </c>
      <c r="X3032" s="2" t="n">
        <v>3</v>
      </c>
      <c r="Y3032" s="2" t="n">
        <v>1</v>
      </c>
      <c r="Z3032" s="2" t="n">
        <v>4</v>
      </c>
    </row>
    <row r="3033" customFormat="false" ht="15" hidden="false" customHeight="true" outlineLevel="0" collapsed="false">
      <c r="A3033" s="2" t="n">
        <v>29</v>
      </c>
      <c r="B3033" s="2" t="s">
        <v>26</v>
      </c>
      <c r="C3033" s="2" t="s">
        <v>41</v>
      </c>
      <c r="D3033" s="2" t="s">
        <v>28</v>
      </c>
      <c r="E3033" s="2" t="n">
        <v>22</v>
      </c>
      <c r="F3033" s="2" t="n">
        <v>4</v>
      </c>
      <c r="G3033" s="2" t="s">
        <v>50</v>
      </c>
      <c r="H3033" s="2" t="n">
        <v>3032</v>
      </c>
      <c r="I3033" s="2" t="s">
        <v>39</v>
      </c>
      <c r="J3033" s="2" t="n">
        <v>2</v>
      </c>
      <c r="K3033" s="2" t="s">
        <v>42</v>
      </c>
      <c r="L3033" s="2" t="s">
        <v>32</v>
      </c>
      <c r="M3033" s="2" t="n">
        <v>57360</v>
      </c>
      <c r="N3033" s="2" t="n">
        <v>1</v>
      </c>
      <c r="O3033" s="2" t="n">
        <v>22</v>
      </c>
      <c r="P3033" s="2" t="n">
        <v>0</v>
      </c>
      <c r="Q3033" s="2" t="n">
        <v>4</v>
      </c>
      <c r="R3033" s="2" t="n">
        <v>1</v>
      </c>
      <c r="S3033" s="2" t="n">
        <v>4</v>
      </c>
      <c r="T3033" s="2" t="n">
        <v>0</v>
      </c>
      <c r="U3033" s="2" t="n">
        <v>2</v>
      </c>
      <c r="V3033" s="2" t="n">
        <v>4</v>
      </c>
      <c r="W3033" s="2" t="n">
        <v>3</v>
      </c>
      <c r="X3033" s="2" t="n">
        <v>2</v>
      </c>
      <c r="Y3033" s="2" t="n">
        <v>2</v>
      </c>
      <c r="Z3033" s="2" t="n">
        <v>4</v>
      </c>
    </row>
    <row r="3034" customFormat="false" ht="15" hidden="false" customHeight="true" outlineLevel="0" collapsed="false">
      <c r="A3034" s="2" t="n">
        <v>42</v>
      </c>
      <c r="B3034" s="2" t="s">
        <v>26</v>
      </c>
      <c r="C3034" s="2" t="s">
        <v>27</v>
      </c>
      <c r="D3034" s="2" t="s">
        <v>28</v>
      </c>
      <c r="E3034" s="2" t="n">
        <v>7</v>
      </c>
      <c r="F3034" s="2" t="n">
        <v>4</v>
      </c>
      <c r="G3034" s="2" t="s">
        <v>43</v>
      </c>
      <c r="H3034" s="2" t="n">
        <v>3033</v>
      </c>
      <c r="I3034" s="2" t="s">
        <v>39</v>
      </c>
      <c r="J3034" s="2" t="n">
        <v>3</v>
      </c>
      <c r="K3034" s="2" t="s">
        <v>36</v>
      </c>
      <c r="L3034" s="2" t="s">
        <v>46</v>
      </c>
      <c r="M3034" s="2" t="n">
        <v>22260</v>
      </c>
      <c r="N3034" s="2" t="n">
        <v>0</v>
      </c>
      <c r="O3034" s="2" t="n">
        <v>12</v>
      </c>
      <c r="P3034" s="2" t="n">
        <v>1</v>
      </c>
      <c r="Q3034" s="2" t="n">
        <v>4</v>
      </c>
      <c r="R3034" s="2" t="n">
        <v>3</v>
      </c>
      <c r="S3034" s="2" t="n">
        <v>3</v>
      </c>
      <c r="T3034" s="2" t="n">
        <v>1</v>
      </c>
      <c r="U3034" s="2" t="n">
        <v>0</v>
      </c>
      <c r="V3034" s="2" t="n">
        <v>3</v>
      </c>
      <c r="W3034" s="2" t="n">
        <v>3</v>
      </c>
      <c r="X3034" s="2" t="n">
        <v>3</v>
      </c>
      <c r="Y3034" s="2" t="n">
        <v>2</v>
      </c>
      <c r="Z3034" s="2" t="n">
        <v>3</v>
      </c>
    </row>
    <row r="3035" customFormat="false" ht="15" hidden="false" customHeight="true" outlineLevel="0" collapsed="false">
      <c r="A3035" s="2" t="n">
        <v>32</v>
      </c>
      <c r="B3035" s="2" t="s">
        <v>26</v>
      </c>
      <c r="C3035" s="2" t="s">
        <v>27</v>
      </c>
      <c r="D3035" s="2" t="s">
        <v>35</v>
      </c>
      <c r="E3035" s="2" t="n">
        <v>2</v>
      </c>
      <c r="F3035" s="2" t="n">
        <v>3</v>
      </c>
      <c r="G3035" s="2" t="s">
        <v>43</v>
      </c>
      <c r="H3035" s="2" t="n">
        <v>3034</v>
      </c>
      <c r="I3035" s="2" t="s">
        <v>39</v>
      </c>
      <c r="J3035" s="2" t="n">
        <v>2</v>
      </c>
      <c r="K3035" s="2" t="s">
        <v>36</v>
      </c>
      <c r="L3035" s="2" t="s">
        <v>32</v>
      </c>
      <c r="M3035" s="2" t="n">
        <v>57470</v>
      </c>
      <c r="N3035" s="2" t="n">
        <v>1</v>
      </c>
      <c r="O3035" s="2" t="n">
        <v>13</v>
      </c>
      <c r="P3035" s="2" t="n">
        <v>0</v>
      </c>
      <c r="Q3035" s="2" t="n">
        <v>8</v>
      </c>
      <c r="R3035" s="2" t="n">
        <v>0</v>
      </c>
      <c r="S3035" s="2" t="n">
        <v>8</v>
      </c>
      <c r="T3035" s="2" t="n">
        <v>0</v>
      </c>
      <c r="U3035" s="2" t="n">
        <v>7</v>
      </c>
      <c r="V3035" s="2" t="n">
        <v>3</v>
      </c>
      <c r="W3035" s="2" t="n">
        <v>2</v>
      </c>
      <c r="X3035" s="2" t="n">
        <v>3</v>
      </c>
      <c r="Y3035" s="2" t="n">
        <v>3</v>
      </c>
      <c r="Z3035" s="2" t="n">
        <v>3</v>
      </c>
    </row>
    <row r="3036" customFormat="false" ht="15" hidden="false" customHeight="true" outlineLevel="0" collapsed="false">
      <c r="A3036" s="2" t="n">
        <v>48</v>
      </c>
      <c r="B3036" s="2" t="s">
        <v>26</v>
      </c>
      <c r="C3036" s="2" t="s">
        <v>27</v>
      </c>
      <c r="D3036" s="2" t="s">
        <v>28</v>
      </c>
      <c r="E3036" s="2" t="n">
        <v>13</v>
      </c>
      <c r="F3036" s="2" t="n">
        <v>4</v>
      </c>
      <c r="G3036" s="2" t="s">
        <v>43</v>
      </c>
      <c r="H3036" s="2" t="n">
        <v>3035</v>
      </c>
      <c r="I3036" s="2" t="s">
        <v>39</v>
      </c>
      <c r="J3036" s="2" t="n">
        <v>4</v>
      </c>
      <c r="K3036" s="2" t="s">
        <v>40</v>
      </c>
      <c r="L3036" s="2" t="s">
        <v>32</v>
      </c>
      <c r="M3036" s="2" t="n">
        <v>98540</v>
      </c>
      <c r="N3036" s="2" t="n">
        <v>3</v>
      </c>
      <c r="O3036" s="2" t="n">
        <v>16</v>
      </c>
      <c r="P3036" s="2" t="n">
        <v>1</v>
      </c>
      <c r="Q3036" s="2" t="n">
        <v>15</v>
      </c>
      <c r="R3036" s="2" t="n">
        <v>2</v>
      </c>
      <c r="S3036" s="2" t="n">
        <v>0</v>
      </c>
      <c r="T3036" s="2" t="n">
        <v>0</v>
      </c>
      <c r="U3036" s="2" t="n">
        <v>0</v>
      </c>
      <c r="V3036" s="2" t="n">
        <v>1</v>
      </c>
      <c r="W3036" s="2" t="n">
        <v>3</v>
      </c>
      <c r="X3036" s="2" t="n">
        <v>1</v>
      </c>
      <c r="Y3036" s="2" t="n">
        <v>2</v>
      </c>
      <c r="Z3036" s="2" t="n">
        <v>3</v>
      </c>
    </row>
    <row r="3037" customFormat="false" ht="15" hidden="false" customHeight="true" outlineLevel="0" collapsed="false">
      <c r="A3037" s="2" t="n">
        <v>37</v>
      </c>
      <c r="B3037" s="2" t="s">
        <v>26</v>
      </c>
      <c r="C3037" s="2" t="s">
        <v>27</v>
      </c>
      <c r="D3037" s="2" t="s">
        <v>35</v>
      </c>
      <c r="E3037" s="2" t="n">
        <v>8</v>
      </c>
      <c r="F3037" s="2" t="n">
        <v>5</v>
      </c>
      <c r="G3037" s="2" t="s">
        <v>51</v>
      </c>
      <c r="H3037" s="2" t="n">
        <v>3036</v>
      </c>
      <c r="I3037" s="2" t="s">
        <v>39</v>
      </c>
      <c r="J3037" s="2" t="n">
        <v>2</v>
      </c>
      <c r="K3037" s="2" t="s">
        <v>47</v>
      </c>
      <c r="L3037" s="2" t="s">
        <v>46</v>
      </c>
      <c r="M3037" s="2" t="n">
        <v>54670</v>
      </c>
      <c r="N3037" s="2" t="n">
        <v>4</v>
      </c>
      <c r="O3037" s="2" t="n">
        <v>12</v>
      </c>
      <c r="P3037" s="2" t="n">
        <v>0</v>
      </c>
      <c r="Q3037" s="2" t="n">
        <v>13</v>
      </c>
      <c r="R3037" s="2" t="n">
        <v>2</v>
      </c>
      <c r="S3037" s="2" t="n">
        <v>7</v>
      </c>
      <c r="T3037" s="2" t="n">
        <v>6</v>
      </c>
      <c r="U3037" s="2" t="n">
        <v>7</v>
      </c>
      <c r="V3037" s="2" t="n">
        <v>3</v>
      </c>
      <c r="W3037" s="2" t="n">
        <v>1</v>
      </c>
      <c r="X3037" s="2" t="n">
        <v>3</v>
      </c>
      <c r="Y3037" s="2" t="n">
        <v>3</v>
      </c>
      <c r="Z3037" s="2" t="n">
        <v>3</v>
      </c>
    </row>
    <row r="3038" customFormat="false" ht="15" hidden="false" customHeight="true" outlineLevel="0" collapsed="false">
      <c r="A3038" s="2" t="n">
        <v>30</v>
      </c>
      <c r="B3038" s="2" t="s">
        <v>26</v>
      </c>
      <c r="C3038" s="2" t="s">
        <v>41</v>
      </c>
      <c r="D3038" s="2" t="s">
        <v>28</v>
      </c>
      <c r="E3038" s="2" t="n">
        <v>25</v>
      </c>
      <c r="F3038" s="2" t="n">
        <v>4</v>
      </c>
      <c r="G3038" s="2" t="s">
        <v>38</v>
      </c>
      <c r="H3038" s="2" t="n">
        <v>3037</v>
      </c>
      <c r="I3038" s="2" t="s">
        <v>39</v>
      </c>
      <c r="J3038" s="2" t="n">
        <v>1</v>
      </c>
      <c r="K3038" s="2" t="s">
        <v>31</v>
      </c>
      <c r="L3038" s="2" t="s">
        <v>32</v>
      </c>
      <c r="M3038" s="2" t="n">
        <v>53800</v>
      </c>
      <c r="N3038" s="2" t="n">
        <v>7</v>
      </c>
      <c r="O3038" s="2" t="n">
        <v>21</v>
      </c>
      <c r="P3038" s="2" t="n">
        <v>1</v>
      </c>
      <c r="Q3038" s="2" t="n">
        <v>4</v>
      </c>
      <c r="R3038" s="2" t="n">
        <v>0</v>
      </c>
      <c r="S3038" s="2" t="n">
        <v>2</v>
      </c>
      <c r="T3038" s="2" t="n">
        <v>2</v>
      </c>
      <c r="U3038" s="2" t="n">
        <v>2</v>
      </c>
      <c r="V3038" s="2" t="n">
        <v>4</v>
      </c>
      <c r="W3038" s="2" t="n">
        <v>3</v>
      </c>
      <c r="X3038" s="2" t="n">
        <v>4</v>
      </c>
      <c r="Y3038" s="2" t="n">
        <v>3</v>
      </c>
      <c r="Z3038" s="2" t="n">
        <v>4</v>
      </c>
    </row>
    <row r="3039" customFormat="false" ht="15" hidden="false" customHeight="true" outlineLevel="0" collapsed="false">
      <c r="A3039" s="2" t="n">
        <v>26</v>
      </c>
      <c r="B3039" s="2" t="s">
        <v>26</v>
      </c>
      <c r="C3039" s="2" t="s">
        <v>27</v>
      </c>
      <c r="D3039" s="2" t="s">
        <v>28</v>
      </c>
      <c r="E3039" s="2" t="n">
        <v>28</v>
      </c>
      <c r="F3039" s="2" t="n">
        <v>3</v>
      </c>
      <c r="G3039" s="2" t="s">
        <v>43</v>
      </c>
      <c r="H3039" s="2" t="n">
        <v>3038</v>
      </c>
      <c r="I3039" s="2" t="s">
        <v>30</v>
      </c>
      <c r="J3039" s="2" t="n">
        <v>5</v>
      </c>
      <c r="K3039" s="2" t="s">
        <v>45</v>
      </c>
      <c r="L3039" s="2" t="s">
        <v>32</v>
      </c>
      <c r="M3039" s="2" t="n">
        <v>51510</v>
      </c>
      <c r="N3039" s="2" t="n">
        <v>1</v>
      </c>
      <c r="O3039" s="2" t="n">
        <v>15</v>
      </c>
      <c r="P3039" s="2" t="n">
        <v>3</v>
      </c>
      <c r="Q3039" s="2" t="n">
        <v>8</v>
      </c>
      <c r="R3039" s="2" t="n">
        <v>3</v>
      </c>
      <c r="S3039" s="2" t="n">
        <v>8</v>
      </c>
      <c r="T3039" s="2" t="n">
        <v>7</v>
      </c>
      <c r="U3039" s="2" t="n">
        <v>7</v>
      </c>
      <c r="V3039" s="2" t="n">
        <v>3</v>
      </c>
      <c r="W3039" s="2" t="n">
        <v>3</v>
      </c>
      <c r="X3039" s="2" t="n">
        <v>3</v>
      </c>
      <c r="Y3039" s="2" t="n">
        <v>3</v>
      </c>
      <c r="Z3039" s="2" t="n">
        <v>3</v>
      </c>
    </row>
    <row r="3040" customFormat="false" ht="15" hidden="false" customHeight="true" outlineLevel="0" collapsed="false">
      <c r="A3040" s="2" t="n">
        <v>42</v>
      </c>
      <c r="B3040" s="2" t="s">
        <v>26</v>
      </c>
      <c r="C3040" s="2" t="s">
        <v>27</v>
      </c>
      <c r="D3040" s="2" t="s">
        <v>28</v>
      </c>
      <c r="E3040" s="2" t="n">
        <v>2</v>
      </c>
      <c r="F3040" s="2" t="n">
        <v>2</v>
      </c>
      <c r="G3040" s="2" t="s">
        <v>43</v>
      </c>
      <c r="H3040" s="2" t="n">
        <v>3039</v>
      </c>
      <c r="I3040" s="2" t="s">
        <v>30</v>
      </c>
      <c r="J3040" s="2" t="n">
        <v>1</v>
      </c>
      <c r="K3040" s="2" t="s">
        <v>45</v>
      </c>
      <c r="L3040" s="2" t="s">
        <v>37</v>
      </c>
      <c r="M3040" s="2" t="n">
        <v>21330</v>
      </c>
      <c r="N3040" s="2" t="n">
        <v>3</v>
      </c>
      <c r="O3040" s="2" t="n">
        <v>13</v>
      </c>
      <c r="P3040" s="2" t="n">
        <v>2</v>
      </c>
      <c r="Q3040" s="2" t="n">
        <v>14</v>
      </c>
      <c r="R3040" s="2" t="n">
        <v>2</v>
      </c>
      <c r="S3040" s="2" t="n">
        <v>1</v>
      </c>
      <c r="T3040" s="2" t="n">
        <v>0</v>
      </c>
      <c r="U3040" s="2" t="n">
        <v>0</v>
      </c>
      <c r="V3040" s="2" t="n">
        <v>1</v>
      </c>
      <c r="W3040" s="2" t="n">
        <v>4</v>
      </c>
      <c r="X3040" s="2" t="n">
        <v>3</v>
      </c>
      <c r="Y3040" s="2" t="n">
        <v>3</v>
      </c>
      <c r="Z3040" s="2" t="n">
        <v>3</v>
      </c>
    </row>
    <row r="3041" customFormat="false" ht="15" hidden="false" customHeight="true" outlineLevel="0" collapsed="false">
      <c r="A3041" s="2" t="n">
        <v>21</v>
      </c>
      <c r="B3041" s="2" t="s">
        <v>33</v>
      </c>
      <c r="C3041" s="2" t="s">
        <v>34</v>
      </c>
      <c r="D3041" s="2" t="s">
        <v>35</v>
      </c>
      <c r="E3041" s="2" t="n">
        <v>9</v>
      </c>
      <c r="F3041" s="2" t="n">
        <v>3</v>
      </c>
      <c r="G3041" s="2" t="s">
        <v>43</v>
      </c>
      <c r="H3041" s="2" t="n">
        <v>3040</v>
      </c>
      <c r="I3041" s="2" t="s">
        <v>30</v>
      </c>
      <c r="J3041" s="2" t="n">
        <v>4</v>
      </c>
      <c r="K3041" s="2" t="s">
        <v>47</v>
      </c>
      <c r="L3041" s="2" t="s">
        <v>37</v>
      </c>
      <c r="M3041" s="2" t="n">
        <v>178750</v>
      </c>
      <c r="N3041" s="2" t="n">
        <v>1</v>
      </c>
      <c r="O3041" s="2" t="n">
        <v>12</v>
      </c>
      <c r="P3041" s="2" t="n">
        <v>0</v>
      </c>
      <c r="Q3041" s="2" t="n">
        <v>3</v>
      </c>
      <c r="R3041" s="2" t="n">
        <v>5</v>
      </c>
      <c r="S3041" s="2" t="n">
        <v>3</v>
      </c>
      <c r="T3041" s="2" t="n">
        <v>1</v>
      </c>
      <c r="U3041" s="2" t="n">
        <v>2</v>
      </c>
      <c r="V3041" s="2" t="n">
        <v>1</v>
      </c>
      <c r="W3041" s="2" t="n">
        <v>2</v>
      </c>
      <c r="X3041" s="2" t="n">
        <v>3</v>
      </c>
      <c r="Y3041" s="2" t="n">
        <v>2</v>
      </c>
      <c r="Z3041" s="2" t="n">
        <v>3</v>
      </c>
    </row>
    <row r="3042" customFormat="false" ht="15" hidden="false" customHeight="true" outlineLevel="0" collapsed="false">
      <c r="A3042" s="2" t="n">
        <v>36</v>
      </c>
      <c r="B3042" s="2" t="s">
        <v>26</v>
      </c>
      <c r="C3042" s="2" t="s">
        <v>41</v>
      </c>
      <c r="D3042" s="2" t="s">
        <v>42</v>
      </c>
      <c r="E3042" s="2" t="n">
        <v>28</v>
      </c>
      <c r="F3042" s="2" t="n">
        <v>3</v>
      </c>
      <c r="G3042" s="2" t="s">
        <v>42</v>
      </c>
      <c r="H3042" s="2" t="n">
        <v>3041</v>
      </c>
      <c r="I3042" s="2" t="s">
        <v>39</v>
      </c>
      <c r="J3042" s="2" t="n">
        <v>2</v>
      </c>
      <c r="K3042" s="2" t="s">
        <v>45</v>
      </c>
      <c r="L3042" s="2" t="s">
        <v>37</v>
      </c>
      <c r="M3042" s="2" t="n">
        <v>24320</v>
      </c>
      <c r="N3042" s="2" t="n">
        <v>4</v>
      </c>
      <c r="O3042" s="2" t="n">
        <v>22</v>
      </c>
      <c r="P3042" s="2" t="n">
        <v>0</v>
      </c>
      <c r="Q3042" s="2" t="n">
        <v>7</v>
      </c>
      <c r="R3042" s="2" t="n">
        <v>4</v>
      </c>
      <c r="S3042" s="2" t="n">
        <v>1</v>
      </c>
      <c r="T3042" s="2" t="n">
        <v>0</v>
      </c>
      <c r="U3042" s="2" t="n">
        <v>0</v>
      </c>
      <c r="V3042" s="2" t="n">
        <v>4</v>
      </c>
      <c r="W3042" s="2" t="n">
        <v>4</v>
      </c>
      <c r="X3042" s="2" t="n">
        <v>3</v>
      </c>
      <c r="Y3042" s="2" t="n">
        <v>1</v>
      </c>
      <c r="Z3042" s="2" t="n">
        <v>4</v>
      </c>
    </row>
    <row r="3043" customFormat="false" ht="15" hidden="false" customHeight="true" outlineLevel="0" collapsed="false">
      <c r="A3043" s="2" t="n">
        <v>36</v>
      </c>
      <c r="B3043" s="2" t="s">
        <v>26</v>
      </c>
      <c r="C3043" s="2" t="s">
        <v>34</v>
      </c>
      <c r="D3043" s="2" t="s">
        <v>35</v>
      </c>
      <c r="E3043" s="2" t="n">
        <v>6</v>
      </c>
      <c r="F3043" s="2" t="n">
        <v>3</v>
      </c>
      <c r="G3043" s="2" t="s">
        <v>29</v>
      </c>
      <c r="H3043" s="2" t="n">
        <v>3042</v>
      </c>
      <c r="I3043" s="2" t="s">
        <v>30</v>
      </c>
      <c r="J3043" s="2" t="n">
        <v>2</v>
      </c>
      <c r="K3043" s="2" t="s">
        <v>36</v>
      </c>
      <c r="L3043" s="2" t="s">
        <v>32</v>
      </c>
      <c r="M3043" s="2" t="n">
        <v>47710</v>
      </c>
      <c r="N3043" s="2" t="n">
        <v>4</v>
      </c>
      <c r="O3043" s="2" t="n">
        <v>13</v>
      </c>
      <c r="P3043" s="2" t="n">
        <v>1</v>
      </c>
      <c r="Q3043" s="2" t="n">
        <v>16</v>
      </c>
      <c r="R3043" s="2" t="n">
        <v>2</v>
      </c>
      <c r="S3043" s="2" t="n">
        <v>13</v>
      </c>
      <c r="T3043" s="2" t="n">
        <v>1</v>
      </c>
      <c r="U3043" s="2" t="n">
        <v>12</v>
      </c>
      <c r="V3043" s="2" t="n">
        <v>1</v>
      </c>
      <c r="W3043" s="2" t="n">
        <v>4</v>
      </c>
      <c r="X3043" s="2" t="n">
        <v>3</v>
      </c>
      <c r="Y3043" s="2" t="n">
        <v>3</v>
      </c>
      <c r="Z3043" s="2" t="n">
        <v>3</v>
      </c>
    </row>
    <row r="3044" customFormat="false" ht="15" hidden="false" customHeight="true" outlineLevel="0" collapsed="false">
      <c r="A3044" s="2" t="n">
        <v>57</v>
      </c>
      <c r="B3044" s="2" t="s">
        <v>26</v>
      </c>
      <c r="C3044" s="2" t="s">
        <v>27</v>
      </c>
      <c r="D3044" s="2" t="s">
        <v>35</v>
      </c>
      <c r="E3044" s="2" t="n">
        <v>21</v>
      </c>
      <c r="F3044" s="2" t="n">
        <v>4</v>
      </c>
      <c r="G3044" s="2" t="s">
        <v>29</v>
      </c>
      <c r="H3044" s="2" t="n">
        <v>3043</v>
      </c>
      <c r="I3044" s="2" t="s">
        <v>39</v>
      </c>
      <c r="J3044" s="2" t="n">
        <v>5</v>
      </c>
      <c r="K3044" s="2" t="s">
        <v>36</v>
      </c>
      <c r="L3044" s="2" t="s">
        <v>32</v>
      </c>
      <c r="M3044" s="2" t="n">
        <v>191610</v>
      </c>
      <c r="N3044" s="2" t="n">
        <v>2</v>
      </c>
      <c r="O3044" s="2" t="n">
        <v>18</v>
      </c>
      <c r="P3044" s="2" t="n">
        <v>0</v>
      </c>
      <c r="Q3044" s="2" t="n">
        <v>15</v>
      </c>
      <c r="R3044" s="2" t="n">
        <v>2</v>
      </c>
      <c r="S3044" s="2" t="n">
        <v>3</v>
      </c>
      <c r="T3044" s="2" t="n">
        <v>1</v>
      </c>
      <c r="U3044" s="2" t="n">
        <v>2</v>
      </c>
      <c r="V3044" s="2" t="n">
        <v>4</v>
      </c>
      <c r="W3044" s="2" t="n">
        <v>3</v>
      </c>
      <c r="X3044" s="2" t="n">
        <v>3</v>
      </c>
      <c r="Y3044" s="2" t="n">
        <v>1</v>
      </c>
      <c r="Z3044" s="2" t="n">
        <v>3</v>
      </c>
    </row>
    <row r="3045" customFormat="false" ht="15" hidden="false" customHeight="true" outlineLevel="0" collapsed="false">
      <c r="A3045" s="2" t="n">
        <v>40</v>
      </c>
      <c r="B3045" s="2" t="s">
        <v>26</v>
      </c>
      <c r="C3045" s="2" t="s">
        <v>27</v>
      </c>
      <c r="D3045" s="2" t="s">
        <v>35</v>
      </c>
      <c r="E3045" s="2" t="n">
        <v>8</v>
      </c>
      <c r="F3045" s="2" t="n">
        <v>3</v>
      </c>
      <c r="G3045" s="2" t="s">
        <v>38</v>
      </c>
      <c r="H3045" s="2" t="n">
        <v>3044</v>
      </c>
      <c r="I3045" s="2" t="s">
        <v>39</v>
      </c>
      <c r="J3045" s="2" t="n">
        <v>2</v>
      </c>
      <c r="K3045" s="2" t="s">
        <v>40</v>
      </c>
      <c r="L3045" s="2" t="s">
        <v>32</v>
      </c>
      <c r="M3045" s="2" t="n">
        <v>50870</v>
      </c>
      <c r="N3045" s="2" t="n">
        <v>3</v>
      </c>
      <c r="O3045" s="2" t="n">
        <v>14</v>
      </c>
      <c r="P3045" s="2" t="n">
        <v>1</v>
      </c>
      <c r="Q3045" s="2" t="n">
        <v>10</v>
      </c>
      <c r="R3045" s="2" t="n">
        <v>3</v>
      </c>
      <c r="S3045" s="2" t="n">
        <v>7</v>
      </c>
      <c r="T3045" s="2" t="n">
        <v>1</v>
      </c>
      <c r="U3045" s="2" t="n">
        <v>7</v>
      </c>
      <c r="V3045" s="2" t="n">
        <v>4</v>
      </c>
      <c r="W3045" s="2" t="n">
        <v>3</v>
      </c>
      <c r="X3045" s="2" t="n">
        <v>3</v>
      </c>
      <c r="Y3045" s="2" t="n">
        <v>3</v>
      </c>
      <c r="Z3045" s="2" t="n">
        <v>3</v>
      </c>
    </row>
    <row r="3046" customFormat="false" ht="15" hidden="false" customHeight="true" outlineLevel="0" collapsed="false">
      <c r="A3046" s="2" t="n">
        <v>21</v>
      </c>
      <c r="B3046" s="2" t="s">
        <v>26</v>
      </c>
      <c r="C3046" s="2" t="s">
        <v>41</v>
      </c>
      <c r="D3046" s="2" t="s">
        <v>35</v>
      </c>
      <c r="E3046" s="2" t="n">
        <v>1</v>
      </c>
      <c r="F3046" s="2" t="n">
        <v>5</v>
      </c>
      <c r="G3046" s="2" t="s">
        <v>29</v>
      </c>
      <c r="H3046" s="2" t="n">
        <v>3045</v>
      </c>
      <c r="I3046" s="2" t="s">
        <v>30</v>
      </c>
      <c r="J3046" s="2" t="n">
        <v>2</v>
      </c>
      <c r="K3046" s="2" t="s">
        <v>49</v>
      </c>
      <c r="L3046" s="2" t="s">
        <v>37</v>
      </c>
      <c r="M3046" s="2" t="n">
        <v>28630</v>
      </c>
      <c r="N3046" s="2" t="n">
        <v>1</v>
      </c>
      <c r="O3046" s="2" t="n">
        <v>14</v>
      </c>
      <c r="P3046" s="2" t="n">
        <v>0</v>
      </c>
      <c r="Q3046" s="2" t="n">
        <v>3</v>
      </c>
      <c r="R3046" s="2" t="n">
        <v>2</v>
      </c>
      <c r="S3046" s="2" t="n">
        <v>3</v>
      </c>
      <c r="T3046" s="2" t="n">
        <v>2</v>
      </c>
      <c r="U3046" s="2" t="n">
        <v>2</v>
      </c>
      <c r="V3046" s="2" t="n">
        <v>1</v>
      </c>
      <c r="W3046" s="2" t="n">
        <v>4</v>
      </c>
      <c r="X3046" s="2" t="n">
        <v>2</v>
      </c>
      <c r="Y3046" s="2" t="n">
        <v>1</v>
      </c>
      <c r="Z3046" s="2" t="n">
        <v>3</v>
      </c>
    </row>
    <row r="3047" customFormat="false" ht="15" hidden="false" customHeight="true" outlineLevel="0" collapsed="false">
      <c r="A3047" s="2" t="n">
        <v>33</v>
      </c>
      <c r="B3047" s="2" t="s">
        <v>33</v>
      </c>
      <c r="C3047" s="2" t="s">
        <v>27</v>
      </c>
      <c r="D3047" s="2" t="s">
        <v>42</v>
      </c>
      <c r="E3047" s="2" t="n">
        <v>28</v>
      </c>
      <c r="F3047" s="2" t="n">
        <v>2</v>
      </c>
      <c r="G3047" s="2" t="s">
        <v>42</v>
      </c>
      <c r="H3047" s="2" t="n">
        <v>3046</v>
      </c>
      <c r="I3047" s="2" t="s">
        <v>30</v>
      </c>
      <c r="J3047" s="2" t="n">
        <v>5</v>
      </c>
      <c r="K3047" s="2" t="s">
        <v>49</v>
      </c>
      <c r="L3047" s="2" t="s">
        <v>37</v>
      </c>
      <c r="M3047" s="2" t="n">
        <v>55610</v>
      </c>
      <c r="N3047" s="2" t="n">
        <v>1</v>
      </c>
      <c r="O3047" s="2" t="n">
        <v>21</v>
      </c>
      <c r="P3047" s="2" t="n">
        <v>1</v>
      </c>
      <c r="Q3047" s="2" t="n">
        <v>1</v>
      </c>
      <c r="R3047" s="2" t="n">
        <v>3</v>
      </c>
      <c r="S3047" s="2" t="n">
        <v>1</v>
      </c>
      <c r="T3047" s="2" t="n">
        <v>0</v>
      </c>
      <c r="U3047" s="2" t="n">
        <v>0</v>
      </c>
      <c r="V3047" s="2" t="n">
        <v>4</v>
      </c>
      <c r="W3047" s="2" t="n">
        <v>3</v>
      </c>
      <c r="X3047" s="2" t="n">
        <v>3</v>
      </c>
      <c r="Y3047" s="2" t="n">
        <v>1</v>
      </c>
      <c r="Z3047" s="2" t="n">
        <v>4</v>
      </c>
    </row>
    <row r="3048" customFormat="false" ht="15" hidden="false" customHeight="true" outlineLevel="0" collapsed="false">
      <c r="A3048" s="2" t="n">
        <v>37</v>
      </c>
      <c r="B3048" s="2" t="s">
        <v>26</v>
      </c>
      <c r="C3048" s="2" t="s">
        <v>27</v>
      </c>
      <c r="D3048" s="2" t="s">
        <v>35</v>
      </c>
      <c r="E3048" s="2" t="n">
        <v>5</v>
      </c>
      <c r="F3048" s="2" t="n">
        <v>3</v>
      </c>
      <c r="G3048" s="2" t="s">
        <v>29</v>
      </c>
      <c r="H3048" s="2" t="n">
        <v>3047</v>
      </c>
      <c r="I3048" s="2" t="s">
        <v>39</v>
      </c>
      <c r="J3048" s="2" t="n">
        <v>4</v>
      </c>
      <c r="K3048" s="2" t="s">
        <v>36</v>
      </c>
      <c r="L3048" s="2" t="s">
        <v>32</v>
      </c>
      <c r="M3048" s="2" t="n">
        <v>21440</v>
      </c>
      <c r="N3048" s="2" t="n">
        <v>6</v>
      </c>
      <c r="O3048" s="2" t="n">
        <v>19</v>
      </c>
      <c r="P3048" s="2" t="n">
        <v>0</v>
      </c>
      <c r="Q3048" s="2" t="n">
        <v>17</v>
      </c>
      <c r="R3048" s="2" t="n">
        <v>3</v>
      </c>
      <c r="S3048" s="2" t="n">
        <v>5</v>
      </c>
      <c r="T3048" s="2" t="n">
        <v>0</v>
      </c>
      <c r="U3048" s="2" t="n">
        <v>3</v>
      </c>
      <c r="V3048" s="2" t="n">
        <v>3</v>
      </c>
      <c r="W3048" s="2" t="n">
        <v>1</v>
      </c>
      <c r="X3048" s="2" t="n">
        <v>3</v>
      </c>
      <c r="Y3048" s="2" t="n">
        <v>4</v>
      </c>
      <c r="Z3048" s="2" t="n">
        <v>3</v>
      </c>
    </row>
    <row r="3049" customFormat="false" ht="15" hidden="false" customHeight="true" outlineLevel="0" collapsed="false">
      <c r="A3049" s="2" t="n">
        <v>46</v>
      </c>
      <c r="B3049" s="2" t="s">
        <v>26</v>
      </c>
      <c r="C3049" s="2" t="s">
        <v>41</v>
      </c>
      <c r="D3049" s="2" t="s">
        <v>28</v>
      </c>
      <c r="E3049" s="2" t="n">
        <v>2</v>
      </c>
      <c r="F3049" s="2" t="n">
        <v>4</v>
      </c>
      <c r="G3049" s="2" t="s">
        <v>50</v>
      </c>
      <c r="H3049" s="2" t="n">
        <v>3048</v>
      </c>
      <c r="I3049" s="2" t="s">
        <v>30</v>
      </c>
      <c r="J3049" s="2" t="n">
        <v>2</v>
      </c>
      <c r="K3049" s="2" t="s">
        <v>45</v>
      </c>
      <c r="L3049" s="2" t="s">
        <v>32</v>
      </c>
      <c r="M3049" s="2" t="n">
        <v>30650</v>
      </c>
      <c r="N3049" s="2" t="n">
        <v>2</v>
      </c>
      <c r="O3049" s="2" t="n">
        <v>11</v>
      </c>
      <c r="P3049" s="2" t="n">
        <v>0</v>
      </c>
      <c r="Q3049" s="2" t="n">
        <v>7</v>
      </c>
      <c r="R3049" s="2" t="n">
        <v>3</v>
      </c>
      <c r="S3049" s="2" t="n">
        <v>1</v>
      </c>
      <c r="T3049" s="2" t="n">
        <v>0</v>
      </c>
      <c r="U3049" s="2" t="n">
        <v>0</v>
      </c>
      <c r="V3049" s="2" t="n">
        <v>3</v>
      </c>
      <c r="W3049" s="2" t="n">
        <v>3</v>
      </c>
      <c r="X3049" s="2" t="n">
        <v>4</v>
      </c>
      <c r="Y3049" s="2" t="n">
        <v>3</v>
      </c>
      <c r="Z3049" s="2" t="n">
        <v>3</v>
      </c>
    </row>
    <row r="3050" customFormat="false" ht="15" hidden="false" customHeight="true" outlineLevel="0" collapsed="false">
      <c r="A3050" s="2" t="n">
        <v>41</v>
      </c>
      <c r="B3050" s="2" t="s">
        <v>33</v>
      </c>
      <c r="C3050" s="2" t="s">
        <v>34</v>
      </c>
      <c r="D3050" s="2" t="s">
        <v>35</v>
      </c>
      <c r="E3050" s="2" t="n">
        <v>16</v>
      </c>
      <c r="F3050" s="2" t="n">
        <v>1</v>
      </c>
      <c r="G3050" s="2" t="s">
        <v>43</v>
      </c>
      <c r="H3050" s="2" t="n">
        <v>3049</v>
      </c>
      <c r="I3050" s="2" t="s">
        <v>30</v>
      </c>
      <c r="J3050" s="2" t="n">
        <v>1</v>
      </c>
      <c r="K3050" s="2" t="s">
        <v>36</v>
      </c>
      <c r="L3050" s="2" t="s">
        <v>37</v>
      </c>
      <c r="M3050" s="2" t="n">
        <v>28100</v>
      </c>
      <c r="N3050" s="2" t="n">
        <v>1</v>
      </c>
      <c r="O3050" s="2" t="n">
        <v>11</v>
      </c>
      <c r="P3050" s="2" t="n">
        <v>0</v>
      </c>
      <c r="Q3050" s="2" t="n">
        <v>8</v>
      </c>
      <c r="R3050" s="2" t="n">
        <v>3</v>
      </c>
      <c r="S3050" s="2" t="n">
        <v>8</v>
      </c>
      <c r="T3050" s="2" t="n">
        <v>7</v>
      </c>
      <c r="U3050" s="2" t="n">
        <v>7</v>
      </c>
      <c r="V3050" s="2" t="n">
        <v>1</v>
      </c>
      <c r="W3050" s="2" t="n">
        <v>2</v>
      </c>
      <c r="X3050" s="2" t="n">
        <v>3</v>
      </c>
      <c r="Y3050" s="2" t="n">
        <v>4</v>
      </c>
      <c r="Z3050" s="2" t="n">
        <v>3</v>
      </c>
    </row>
    <row r="3051" customFormat="false" ht="15" hidden="false" customHeight="true" outlineLevel="0" collapsed="false">
      <c r="A3051" s="2" t="n">
        <v>50</v>
      </c>
      <c r="B3051" s="2" t="s">
        <v>26</v>
      </c>
      <c r="C3051" s="2" t="s">
        <v>27</v>
      </c>
      <c r="D3051" s="2" t="s">
        <v>35</v>
      </c>
      <c r="E3051" s="2" t="n">
        <v>9</v>
      </c>
      <c r="F3051" s="2" t="n">
        <v>3</v>
      </c>
      <c r="G3051" s="2" t="s">
        <v>43</v>
      </c>
      <c r="H3051" s="2" t="n">
        <v>3050</v>
      </c>
      <c r="I3051" s="2" t="s">
        <v>30</v>
      </c>
      <c r="J3051" s="2" t="n">
        <v>3</v>
      </c>
      <c r="K3051" s="2" t="s">
        <v>45</v>
      </c>
      <c r="L3051" s="2" t="s">
        <v>37</v>
      </c>
      <c r="M3051" s="2" t="n">
        <v>98880</v>
      </c>
      <c r="N3051" s="2" t="n">
        <v>6</v>
      </c>
      <c r="O3051" s="2" t="n">
        <v>15</v>
      </c>
      <c r="P3051" s="2" t="n">
        <v>0</v>
      </c>
      <c r="Q3051" s="2" t="n">
        <v>20</v>
      </c>
      <c r="R3051" s="2" t="n">
        <v>2</v>
      </c>
      <c r="S3051" s="2" t="n">
        <v>4</v>
      </c>
      <c r="T3051" s="2" t="n">
        <v>1</v>
      </c>
      <c r="U3051" s="2" t="n">
        <v>3</v>
      </c>
      <c r="V3051" s="2" t="n">
        <v>4</v>
      </c>
      <c r="W3051" s="2" t="n">
        <v>4</v>
      </c>
      <c r="X3051" s="2" t="n">
        <v>3</v>
      </c>
      <c r="Y3051" s="2" t="n">
        <v>3</v>
      </c>
      <c r="Z3051" s="2" t="n">
        <v>3</v>
      </c>
    </row>
    <row r="3052" customFormat="false" ht="15" hidden="false" customHeight="true" outlineLevel="0" collapsed="false">
      <c r="A3052" s="2" t="n">
        <v>40</v>
      </c>
      <c r="B3052" s="2" t="s">
        <v>33</v>
      </c>
      <c r="C3052" s="2" t="s">
        <v>27</v>
      </c>
      <c r="D3052" s="2" t="s">
        <v>35</v>
      </c>
      <c r="E3052" s="2" t="n">
        <v>8</v>
      </c>
      <c r="F3052" s="2" t="n">
        <v>3</v>
      </c>
      <c r="G3052" s="2" t="s">
        <v>43</v>
      </c>
      <c r="H3052" s="2" t="n">
        <v>3051</v>
      </c>
      <c r="I3052" s="2" t="s">
        <v>30</v>
      </c>
      <c r="J3052" s="2" t="n">
        <v>1</v>
      </c>
      <c r="K3052" s="2" t="s">
        <v>31</v>
      </c>
      <c r="L3052" s="2" t="s">
        <v>32</v>
      </c>
      <c r="M3052" s="2" t="n">
        <v>86280</v>
      </c>
      <c r="N3052" s="2" t="n">
        <v>2</v>
      </c>
      <c r="O3052" s="2" t="n">
        <v>20</v>
      </c>
      <c r="P3052" s="2" t="n">
        <v>0</v>
      </c>
      <c r="Q3052" s="2" t="n">
        <v>8</v>
      </c>
      <c r="R3052" s="2" t="n">
        <v>2</v>
      </c>
      <c r="S3052" s="2" t="n">
        <v>6</v>
      </c>
      <c r="T3052" s="2" t="n">
        <v>1</v>
      </c>
      <c r="U3052" s="2" t="n">
        <v>0</v>
      </c>
      <c r="V3052" s="2" t="n">
        <v>3</v>
      </c>
      <c r="W3052" s="2" t="n">
        <v>3</v>
      </c>
      <c r="X3052" s="2" t="n">
        <v>3</v>
      </c>
      <c r="Y3052" s="2" t="n">
        <v>2</v>
      </c>
      <c r="Z3052" s="2" t="n">
        <v>4</v>
      </c>
    </row>
    <row r="3053" customFormat="false" ht="15" hidden="false" customHeight="true" outlineLevel="0" collapsed="false">
      <c r="A3053" s="2" t="n">
        <v>31</v>
      </c>
      <c r="B3053" s="2" t="s">
        <v>26</v>
      </c>
      <c r="C3053" s="2" t="s">
        <v>27</v>
      </c>
      <c r="D3053" s="2" t="s">
        <v>35</v>
      </c>
      <c r="E3053" s="2" t="n">
        <v>1</v>
      </c>
      <c r="F3053" s="2" t="n">
        <v>3</v>
      </c>
      <c r="G3053" s="2" t="s">
        <v>29</v>
      </c>
      <c r="H3053" s="2" t="n">
        <v>3052</v>
      </c>
      <c r="I3053" s="2" t="s">
        <v>39</v>
      </c>
      <c r="J3053" s="2" t="n">
        <v>4</v>
      </c>
      <c r="K3053" s="2" t="s">
        <v>42</v>
      </c>
      <c r="L3053" s="2" t="s">
        <v>37</v>
      </c>
      <c r="M3053" s="2" t="n">
        <v>28670</v>
      </c>
      <c r="N3053" s="2" t="n">
        <v>0</v>
      </c>
      <c r="O3053" s="2" t="n">
        <v>24</v>
      </c>
      <c r="P3053" s="2" t="n">
        <v>0</v>
      </c>
      <c r="Q3053" s="2" t="n">
        <v>3</v>
      </c>
      <c r="R3053" s="2" t="n">
        <v>5</v>
      </c>
      <c r="S3053" s="2" t="n">
        <v>2</v>
      </c>
      <c r="T3053" s="2" t="n">
        <v>2</v>
      </c>
      <c r="U3053" s="2" t="n">
        <v>2</v>
      </c>
      <c r="V3053" s="2" t="n">
        <v>3</v>
      </c>
      <c r="W3053" s="2" t="n">
        <v>2</v>
      </c>
      <c r="X3053" s="2" t="n">
        <v>3</v>
      </c>
      <c r="Y3053" s="2" t="n">
        <v>3</v>
      </c>
      <c r="Z3053" s="2" t="n">
        <v>4</v>
      </c>
    </row>
    <row r="3054" customFormat="false" ht="15" hidden="false" customHeight="true" outlineLevel="0" collapsed="false">
      <c r="A3054" s="2" t="n">
        <v>21</v>
      </c>
      <c r="B3054" s="2" t="s">
        <v>33</v>
      </c>
      <c r="C3054" s="2" t="s">
        <v>27</v>
      </c>
      <c r="D3054" s="2" t="s">
        <v>42</v>
      </c>
      <c r="E3054" s="2" t="n">
        <v>10</v>
      </c>
      <c r="F3054" s="2" t="n">
        <v>2</v>
      </c>
      <c r="G3054" s="2" t="s">
        <v>42</v>
      </c>
      <c r="H3054" s="2" t="n">
        <v>3053</v>
      </c>
      <c r="I3054" s="2" t="s">
        <v>39</v>
      </c>
      <c r="J3054" s="2" t="n">
        <v>1</v>
      </c>
      <c r="K3054" s="2" t="s">
        <v>45</v>
      </c>
      <c r="L3054" s="2" t="s">
        <v>37</v>
      </c>
      <c r="M3054" s="2" t="n">
        <v>53730</v>
      </c>
      <c r="N3054" s="2" t="n">
        <v>1</v>
      </c>
      <c r="O3054" s="2" t="n">
        <v>12</v>
      </c>
      <c r="P3054" s="2" t="n">
        <v>1</v>
      </c>
      <c r="Q3054" s="2" t="n">
        <v>1</v>
      </c>
      <c r="R3054" s="2" t="n">
        <v>2</v>
      </c>
      <c r="S3054" s="2" t="n">
        <v>1</v>
      </c>
      <c r="T3054" s="2" t="n">
        <v>0</v>
      </c>
      <c r="U3054" s="2" t="n">
        <v>0</v>
      </c>
      <c r="V3054" s="2" t="n">
        <v>3</v>
      </c>
      <c r="W3054" s="2" t="n">
        <v>2</v>
      </c>
      <c r="X3054" s="2" t="n">
        <v>3</v>
      </c>
      <c r="Y3054" s="2" t="n">
        <v>3</v>
      </c>
      <c r="Z3054" s="2" t="n">
        <v>3</v>
      </c>
    </row>
    <row r="3055" customFormat="false" ht="15" hidden="false" customHeight="true" outlineLevel="0" collapsed="false">
      <c r="A3055" s="2" t="n">
        <v>29</v>
      </c>
      <c r="B3055" s="2" t="s">
        <v>26</v>
      </c>
      <c r="C3055" s="2" t="s">
        <v>27</v>
      </c>
      <c r="D3055" s="2" t="s">
        <v>35</v>
      </c>
      <c r="E3055" s="2" t="n">
        <v>1</v>
      </c>
      <c r="F3055" s="2" t="n">
        <v>3</v>
      </c>
      <c r="G3055" s="2" t="s">
        <v>29</v>
      </c>
      <c r="H3055" s="2" t="n">
        <v>3054</v>
      </c>
      <c r="I3055" s="2" t="s">
        <v>30</v>
      </c>
      <c r="J3055" s="2" t="n">
        <v>2</v>
      </c>
      <c r="K3055" s="2" t="s">
        <v>44</v>
      </c>
      <c r="L3055" s="2" t="s">
        <v>37</v>
      </c>
      <c r="M3055" s="2" t="n">
        <v>66670</v>
      </c>
      <c r="N3055" s="2" t="n">
        <v>9</v>
      </c>
      <c r="O3055" s="2" t="n">
        <v>12</v>
      </c>
      <c r="P3055" s="2" t="n">
        <v>1</v>
      </c>
      <c r="Q3055" s="2" t="n">
        <v>6</v>
      </c>
      <c r="R3055" s="2" t="n">
        <v>6</v>
      </c>
      <c r="S3055" s="2" t="n">
        <v>3</v>
      </c>
      <c r="T3055" s="2" t="n">
        <v>1</v>
      </c>
      <c r="U3055" s="2" t="n">
        <v>2</v>
      </c>
      <c r="V3055" s="2" t="n">
        <v>4</v>
      </c>
      <c r="W3055" s="2" t="n">
        <v>4</v>
      </c>
      <c r="X3055" s="2" t="n">
        <v>3</v>
      </c>
      <c r="Y3055" s="2" t="n">
        <v>4</v>
      </c>
      <c r="Z3055" s="2" t="n">
        <v>3</v>
      </c>
    </row>
    <row r="3056" customFormat="false" ht="15" hidden="false" customHeight="true" outlineLevel="0" collapsed="false">
      <c r="A3056" s="2" t="n">
        <v>35</v>
      </c>
      <c r="B3056" s="2" t="s">
        <v>26</v>
      </c>
      <c r="C3056" s="2" t="s">
        <v>27</v>
      </c>
      <c r="D3056" s="2" t="s">
        <v>35</v>
      </c>
      <c r="E3056" s="2" t="n">
        <v>29</v>
      </c>
      <c r="F3056" s="2" t="n">
        <v>3</v>
      </c>
      <c r="G3056" s="2" t="s">
        <v>29</v>
      </c>
      <c r="H3056" s="2" t="n">
        <v>3055</v>
      </c>
      <c r="I3056" s="2" t="s">
        <v>30</v>
      </c>
      <c r="J3056" s="2" t="n">
        <v>3</v>
      </c>
      <c r="K3056" s="2" t="s">
        <v>40</v>
      </c>
      <c r="L3056" s="2" t="s">
        <v>37</v>
      </c>
      <c r="M3056" s="2" t="n">
        <v>50030</v>
      </c>
      <c r="N3056" s="2" t="n">
        <v>9</v>
      </c>
      <c r="O3056" s="2" t="n">
        <v>15</v>
      </c>
      <c r="P3056" s="2" t="n">
        <v>0</v>
      </c>
      <c r="Q3056" s="2" t="n">
        <v>10</v>
      </c>
      <c r="R3056" s="2" t="n">
        <v>2</v>
      </c>
      <c r="S3056" s="2" t="n">
        <v>1</v>
      </c>
      <c r="T3056" s="2" t="n">
        <v>0</v>
      </c>
      <c r="U3056" s="2" t="n">
        <v>0</v>
      </c>
      <c r="V3056" s="2" t="n">
        <v>3</v>
      </c>
      <c r="W3056" s="2" t="n">
        <v>2</v>
      </c>
      <c r="X3056" s="2" t="n">
        <v>3</v>
      </c>
      <c r="Y3056" s="2" t="n">
        <v>3</v>
      </c>
      <c r="Z3056" s="2" t="n">
        <v>3</v>
      </c>
    </row>
    <row r="3057" customFormat="false" ht="15" hidden="false" customHeight="true" outlineLevel="0" collapsed="false">
      <c r="A3057" s="2" t="n">
        <v>27</v>
      </c>
      <c r="B3057" s="2" t="s">
        <v>26</v>
      </c>
      <c r="C3057" s="2" t="s">
        <v>27</v>
      </c>
      <c r="D3057" s="2" t="s">
        <v>28</v>
      </c>
      <c r="E3057" s="2" t="n">
        <v>2</v>
      </c>
      <c r="F3057" s="2" t="n">
        <v>3</v>
      </c>
      <c r="G3057" s="2" t="s">
        <v>29</v>
      </c>
      <c r="H3057" s="2" t="n">
        <v>3056</v>
      </c>
      <c r="I3057" s="2" t="s">
        <v>39</v>
      </c>
      <c r="J3057" s="2" t="n">
        <v>1</v>
      </c>
      <c r="K3057" s="2" t="s">
        <v>40</v>
      </c>
      <c r="L3057" s="2" t="s">
        <v>46</v>
      </c>
      <c r="M3057" s="2" t="n">
        <v>23670</v>
      </c>
      <c r="N3057" s="2" t="n">
        <v>1</v>
      </c>
      <c r="O3057" s="2" t="n">
        <v>12</v>
      </c>
      <c r="P3057" s="2" t="n">
        <v>1</v>
      </c>
      <c r="Q3057" s="2" t="n">
        <v>5</v>
      </c>
      <c r="R3057" s="2" t="n">
        <v>2</v>
      </c>
      <c r="S3057" s="2" t="n">
        <v>5</v>
      </c>
      <c r="T3057" s="2" t="n">
        <v>0</v>
      </c>
      <c r="U3057" s="2" t="n">
        <v>4</v>
      </c>
      <c r="V3057" s="2" t="n">
        <v>4</v>
      </c>
      <c r="W3057" s="2" t="n">
        <v>2</v>
      </c>
      <c r="X3057" s="2" t="n">
        <v>3</v>
      </c>
      <c r="Y3057" s="2" t="n">
        <v>3</v>
      </c>
      <c r="Z3057" s="2" t="n">
        <v>3</v>
      </c>
    </row>
    <row r="3058" customFormat="false" ht="15" hidden="false" customHeight="true" outlineLevel="0" collapsed="false">
      <c r="A3058" s="2" t="n">
        <v>28</v>
      </c>
      <c r="B3058" s="2" t="s">
        <v>26</v>
      </c>
      <c r="C3058" s="2" t="s">
        <v>27</v>
      </c>
      <c r="D3058" s="2" t="s">
        <v>35</v>
      </c>
      <c r="E3058" s="2" t="n">
        <v>2</v>
      </c>
      <c r="F3058" s="2" t="n">
        <v>2</v>
      </c>
      <c r="G3058" s="2" t="s">
        <v>43</v>
      </c>
      <c r="H3058" s="2" t="n">
        <v>3057</v>
      </c>
      <c r="I3058" s="2" t="s">
        <v>39</v>
      </c>
      <c r="J3058" s="2" t="n">
        <v>3</v>
      </c>
      <c r="K3058" s="2" t="s">
        <v>49</v>
      </c>
      <c r="L3058" s="2" t="s">
        <v>37</v>
      </c>
      <c r="M3058" s="2" t="n">
        <v>28580</v>
      </c>
      <c r="N3058" s="2" t="n">
        <v>1</v>
      </c>
      <c r="O3058" s="2" t="n">
        <v>12</v>
      </c>
      <c r="P3058" s="2" t="n">
        <v>0</v>
      </c>
      <c r="Q3058" s="2" t="n">
        <v>7</v>
      </c>
      <c r="R3058" s="2" t="n">
        <v>2</v>
      </c>
      <c r="S3058" s="2" t="n">
        <v>7</v>
      </c>
      <c r="T3058" s="2" t="n">
        <v>0</v>
      </c>
      <c r="U3058" s="2" t="n">
        <v>7</v>
      </c>
      <c r="V3058" s="2" t="n">
        <v>2</v>
      </c>
      <c r="W3058" s="2" t="n">
        <v>4</v>
      </c>
      <c r="X3058" s="2" t="n">
        <v>3</v>
      </c>
      <c r="Y3058" s="2" t="n">
        <v>2</v>
      </c>
      <c r="Z3058" s="2" t="n">
        <v>3</v>
      </c>
    </row>
    <row r="3059" customFormat="false" ht="15" hidden="false" customHeight="true" outlineLevel="0" collapsed="false">
      <c r="A3059" s="2" t="n">
        <v>49</v>
      </c>
      <c r="B3059" s="2" t="s">
        <v>26</v>
      </c>
      <c r="C3059" s="2" t="s">
        <v>27</v>
      </c>
      <c r="D3059" s="2" t="s">
        <v>28</v>
      </c>
      <c r="E3059" s="2" t="n">
        <v>2</v>
      </c>
      <c r="F3059" s="2" t="n">
        <v>3</v>
      </c>
      <c r="G3059" s="2" t="s">
        <v>51</v>
      </c>
      <c r="H3059" s="2" t="n">
        <v>3058</v>
      </c>
      <c r="I3059" s="2" t="s">
        <v>39</v>
      </c>
      <c r="J3059" s="2" t="n">
        <v>2</v>
      </c>
      <c r="K3059" s="2" t="s">
        <v>47</v>
      </c>
      <c r="L3059" s="2" t="s">
        <v>37</v>
      </c>
      <c r="M3059" s="2" t="n">
        <v>52040</v>
      </c>
      <c r="N3059" s="2" t="n">
        <v>8</v>
      </c>
      <c r="O3059" s="2" t="n">
        <v>14</v>
      </c>
      <c r="P3059" s="2" t="n">
        <v>1</v>
      </c>
      <c r="Q3059" s="2" t="n">
        <v>26</v>
      </c>
      <c r="R3059" s="2" t="n">
        <v>3</v>
      </c>
      <c r="S3059" s="2" t="n">
        <v>5</v>
      </c>
      <c r="T3059" s="2" t="n">
        <v>0</v>
      </c>
      <c r="U3059" s="2" t="n">
        <v>0</v>
      </c>
      <c r="V3059" s="2" t="n">
        <v>2</v>
      </c>
      <c r="W3059" s="2" t="n">
        <v>3</v>
      </c>
      <c r="X3059" s="2" t="n">
        <v>3</v>
      </c>
      <c r="Y3059" s="2" t="n">
        <v>3</v>
      </c>
      <c r="Z3059" s="2" t="n">
        <v>3</v>
      </c>
    </row>
    <row r="3060" customFormat="false" ht="15" hidden="false" customHeight="true" outlineLevel="0" collapsed="false">
      <c r="A3060" s="2" t="n">
        <v>51</v>
      </c>
      <c r="B3060" s="2" t="s">
        <v>26</v>
      </c>
      <c r="C3060" s="2" t="s">
        <v>27</v>
      </c>
      <c r="D3060" s="2" t="s">
        <v>35</v>
      </c>
      <c r="E3060" s="2" t="n">
        <v>1</v>
      </c>
      <c r="F3060" s="2" t="n">
        <v>2</v>
      </c>
      <c r="G3060" s="2" t="s">
        <v>29</v>
      </c>
      <c r="H3060" s="2" t="n">
        <v>3059</v>
      </c>
      <c r="I3060" s="2" t="s">
        <v>39</v>
      </c>
      <c r="J3060" s="2" t="n">
        <v>1</v>
      </c>
      <c r="K3060" s="2" t="s">
        <v>40</v>
      </c>
      <c r="L3060" s="2" t="s">
        <v>32</v>
      </c>
      <c r="M3060" s="2" t="n">
        <v>41050</v>
      </c>
      <c r="N3060" s="2" t="n">
        <v>4</v>
      </c>
      <c r="O3060" s="2" t="n">
        <v>22</v>
      </c>
      <c r="P3060" s="2" t="n">
        <v>1</v>
      </c>
      <c r="Q3060" s="2" t="n">
        <v>18</v>
      </c>
      <c r="R3060" s="2" t="n">
        <v>2</v>
      </c>
      <c r="S3060" s="2" t="n">
        <v>7</v>
      </c>
      <c r="T3060" s="2" t="n">
        <v>0</v>
      </c>
      <c r="U3060" s="2" t="n">
        <v>7</v>
      </c>
      <c r="V3060" s="2" t="n">
        <v>3</v>
      </c>
      <c r="W3060" s="2" t="n">
        <v>4</v>
      </c>
      <c r="X3060" s="2" t="n">
        <v>2</v>
      </c>
      <c r="Y3060" s="2" t="n">
        <v>3</v>
      </c>
      <c r="Z3060" s="2" t="n">
        <v>4</v>
      </c>
    </row>
    <row r="3061" customFormat="false" ht="15" hidden="false" customHeight="true" outlineLevel="0" collapsed="false">
      <c r="A3061" s="2" t="n">
        <v>36</v>
      </c>
      <c r="B3061" s="2" t="s">
        <v>26</v>
      </c>
      <c r="C3061" s="2" t="s">
        <v>27</v>
      </c>
      <c r="D3061" s="2" t="s">
        <v>28</v>
      </c>
      <c r="E3061" s="2" t="n">
        <v>15</v>
      </c>
      <c r="F3061" s="2" t="n">
        <v>2</v>
      </c>
      <c r="G3061" s="2" t="s">
        <v>29</v>
      </c>
      <c r="H3061" s="2" t="n">
        <v>3060</v>
      </c>
      <c r="I3061" s="2" t="s">
        <v>39</v>
      </c>
      <c r="J3061" s="2" t="n">
        <v>1</v>
      </c>
      <c r="K3061" s="2" t="s">
        <v>40</v>
      </c>
      <c r="L3061" s="2" t="s">
        <v>32</v>
      </c>
      <c r="M3061" s="2" t="n">
        <v>96790</v>
      </c>
      <c r="N3061" s="2" t="n">
        <v>4</v>
      </c>
      <c r="O3061" s="2" t="n">
        <v>12</v>
      </c>
      <c r="P3061" s="2" t="n">
        <v>0</v>
      </c>
      <c r="Q3061" s="2" t="n">
        <v>6</v>
      </c>
      <c r="R3061" s="2" t="n">
        <v>1</v>
      </c>
      <c r="S3061" s="2" t="n">
        <v>2</v>
      </c>
      <c r="T3061" s="2" t="n">
        <v>2</v>
      </c>
      <c r="U3061" s="2" t="n">
        <v>2</v>
      </c>
      <c r="V3061" s="2" t="n">
        <v>4</v>
      </c>
      <c r="W3061" s="2" t="n">
        <v>3</v>
      </c>
      <c r="X3061" s="2" t="n">
        <v>3</v>
      </c>
      <c r="Y3061" s="2" t="n">
        <v>3</v>
      </c>
      <c r="Z3061" s="2" t="n">
        <v>3</v>
      </c>
    </row>
    <row r="3062" customFormat="false" ht="15" hidden="false" customHeight="true" outlineLevel="0" collapsed="false">
      <c r="A3062" s="2" t="n">
        <v>34</v>
      </c>
      <c r="B3062" s="2" t="s">
        <v>33</v>
      </c>
      <c r="C3062" s="2" t="s">
        <v>41</v>
      </c>
      <c r="D3062" s="2" t="s">
        <v>35</v>
      </c>
      <c r="E3062" s="2" t="n">
        <v>7</v>
      </c>
      <c r="F3062" s="2" t="n">
        <v>3</v>
      </c>
      <c r="G3062" s="2" t="s">
        <v>29</v>
      </c>
      <c r="H3062" s="2" t="n">
        <v>3061</v>
      </c>
      <c r="I3062" s="2" t="s">
        <v>39</v>
      </c>
      <c r="J3062" s="2" t="n">
        <v>1</v>
      </c>
      <c r="K3062" s="2" t="s">
        <v>48</v>
      </c>
      <c r="L3062" s="2" t="s">
        <v>37</v>
      </c>
      <c r="M3062" s="2" t="n">
        <v>56170</v>
      </c>
      <c r="N3062" s="2" t="n">
        <v>8</v>
      </c>
      <c r="O3062" s="2" t="n">
        <v>25</v>
      </c>
      <c r="P3062" s="2" t="n">
        <v>1</v>
      </c>
      <c r="Q3062" s="2" t="n">
        <v>9</v>
      </c>
      <c r="R3062" s="2" t="n">
        <v>3</v>
      </c>
      <c r="S3062" s="2" t="n">
        <v>5</v>
      </c>
      <c r="T3062" s="2" t="n">
        <v>0</v>
      </c>
      <c r="U3062" s="2" t="n">
        <v>4</v>
      </c>
      <c r="V3062" s="2" t="n">
        <v>1</v>
      </c>
      <c r="W3062" s="2" t="n">
        <v>4</v>
      </c>
      <c r="X3062" s="2" t="n">
        <v>2</v>
      </c>
      <c r="Y3062" s="2" t="n">
        <v>3</v>
      </c>
      <c r="Z3062" s="2" t="n">
        <v>4</v>
      </c>
    </row>
    <row r="3063" customFormat="false" ht="15" hidden="false" customHeight="true" outlineLevel="0" collapsed="false">
      <c r="A3063" s="2" t="n">
        <v>55</v>
      </c>
      <c r="B3063" s="2" t="s">
        <v>26</v>
      </c>
      <c r="C3063" s="2" t="s">
        <v>27</v>
      </c>
      <c r="D3063" s="2" t="s">
        <v>28</v>
      </c>
      <c r="E3063" s="2" t="n">
        <v>26</v>
      </c>
      <c r="F3063" s="2" t="n">
        <v>3</v>
      </c>
      <c r="G3063" s="2" t="s">
        <v>50</v>
      </c>
      <c r="H3063" s="2" t="n">
        <v>3062</v>
      </c>
      <c r="I3063" s="2" t="s">
        <v>39</v>
      </c>
      <c r="J3063" s="2" t="n">
        <v>1</v>
      </c>
      <c r="K3063" s="2" t="s">
        <v>45</v>
      </c>
      <c r="L3063" s="2" t="s">
        <v>37</v>
      </c>
      <c r="M3063" s="2" t="n">
        <v>104480</v>
      </c>
      <c r="N3063" s="2" t="n">
        <v>2</v>
      </c>
      <c r="O3063" s="2" t="n">
        <v>13</v>
      </c>
      <c r="P3063" s="2" t="n">
        <v>0</v>
      </c>
      <c r="Q3063" s="2" t="n">
        <v>30</v>
      </c>
      <c r="R3063" s="2" t="n">
        <v>3</v>
      </c>
      <c r="S3063" s="2" t="n">
        <v>5</v>
      </c>
      <c r="T3063" s="2" t="n">
        <v>1</v>
      </c>
      <c r="U3063" s="2" t="n">
        <v>2</v>
      </c>
      <c r="V3063" s="2" t="n">
        <v>3</v>
      </c>
      <c r="W3063" s="2" t="n">
        <v>4</v>
      </c>
      <c r="X3063" s="2" t="n">
        <v>3</v>
      </c>
      <c r="Y3063" s="2" t="n">
        <v>3</v>
      </c>
      <c r="Z3063" s="2" t="n">
        <v>3</v>
      </c>
    </row>
    <row r="3064" customFormat="false" ht="15" hidden="false" customHeight="true" outlineLevel="0" collapsed="false">
      <c r="A3064" s="2" t="n">
        <v>24</v>
      </c>
      <c r="B3064" s="2" t="s">
        <v>26</v>
      </c>
      <c r="C3064" s="2" t="s">
        <v>27</v>
      </c>
      <c r="D3064" s="2" t="s">
        <v>35</v>
      </c>
      <c r="E3064" s="2" t="n">
        <v>1</v>
      </c>
      <c r="F3064" s="2" t="n">
        <v>3</v>
      </c>
      <c r="G3064" s="2" t="s">
        <v>29</v>
      </c>
      <c r="H3064" s="2" t="n">
        <v>3063</v>
      </c>
      <c r="I3064" s="2" t="s">
        <v>30</v>
      </c>
      <c r="J3064" s="2" t="n">
        <v>5</v>
      </c>
      <c r="K3064" s="2" t="s">
        <v>49</v>
      </c>
      <c r="L3064" s="2" t="s">
        <v>46</v>
      </c>
      <c r="M3064" s="2" t="n">
        <v>28970</v>
      </c>
      <c r="N3064" s="2" t="n">
        <v>1</v>
      </c>
      <c r="O3064" s="2" t="n">
        <v>18</v>
      </c>
      <c r="P3064" s="2" t="n">
        <v>3</v>
      </c>
      <c r="Q3064" s="2" t="n">
        <v>5</v>
      </c>
      <c r="R3064" s="2" t="n">
        <v>4</v>
      </c>
      <c r="S3064" s="2" t="n">
        <v>5</v>
      </c>
      <c r="T3064" s="2" t="n">
        <v>0</v>
      </c>
      <c r="U3064" s="2" t="n">
        <v>3</v>
      </c>
      <c r="V3064" s="2" t="n">
        <v>4</v>
      </c>
      <c r="W3064" s="2" t="n">
        <v>3</v>
      </c>
      <c r="X3064" s="2" t="n">
        <v>4</v>
      </c>
      <c r="Y3064" s="2" t="n">
        <v>3</v>
      </c>
      <c r="Z3064" s="2" t="n">
        <v>3</v>
      </c>
    </row>
    <row r="3065" customFormat="false" ht="15" hidden="false" customHeight="true" outlineLevel="0" collapsed="false">
      <c r="A3065" s="2" t="n">
        <v>30</v>
      </c>
      <c r="B3065" s="2" t="s">
        <v>26</v>
      </c>
      <c r="C3065" s="2" t="s">
        <v>27</v>
      </c>
      <c r="D3065" s="2" t="s">
        <v>35</v>
      </c>
      <c r="E3065" s="2" t="n">
        <v>3</v>
      </c>
      <c r="F3065" s="2" t="n">
        <v>3</v>
      </c>
      <c r="G3065" s="2" t="s">
        <v>29</v>
      </c>
      <c r="H3065" s="2" t="n">
        <v>3064</v>
      </c>
      <c r="I3065" s="2" t="s">
        <v>30</v>
      </c>
      <c r="J3065" s="2" t="n">
        <v>2</v>
      </c>
      <c r="K3065" s="2" t="s">
        <v>49</v>
      </c>
      <c r="L3065" s="2" t="s">
        <v>32</v>
      </c>
      <c r="M3065" s="2" t="n">
        <v>59680</v>
      </c>
      <c r="N3065" s="2"/>
      <c r="O3065" s="2" t="n">
        <v>13</v>
      </c>
      <c r="P3065" s="2" t="n">
        <v>0</v>
      </c>
      <c r="Q3065" s="2" t="n">
        <v>1</v>
      </c>
      <c r="R3065" s="2" t="n">
        <v>3</v>
      </c>
      <c r="S3065" s="2" t="n">
        <v>1</v>
      </c>
      <c r="T3065" s="2" t="n">
        <v>0</v>
      </c>
      <c r="U3065" s="2" t="n">
        <v>0</v>
      </c>
      <c r="V3065" s="2" t="n">
        <v>3</v>
      </c>
      <c r="W3065" s="2" t="n">
        <v>2</v>
      </c>
      <c r="X3065" s="2" t="n">
        <v>3</v>
      </c>
      <c r="Y3065" s="2" t="n">
        <v>3</v>
      </c>
      <c r="Z3065" s="2" t="n">
        <v>3</v>
      </c>
    </row>
    <row r="3066" customFormat="false" ht="15" hidden="false" customHeight="true" outlineLevel="0" collapsed="false">
      <c r="A3066" s="2" t="n">
        <v>26</v>
      </c>
      <c r="B3066" s="2" t="s">
        <v>33</v>
      </c>
      <c r="C3066" s="2" t="s">
        <v>34</v>
      </c>
      <c r="D3066" s="2" t="s">
        <v>28</v>
      </c>
      <c r="E3066" s="2" t="n">
        <v>14</v>
      </c>
      <c r="F3066" s="2" t="n">
        <v>3</v>
      </c>
      <c r="G3066" s="2" t="s">
        <v>29</v>
      </c>
      <c r="H3066" s="2" t="n">
        <v>3065</v>
      </c>
      <c r="I3066" s="2" t="s">
        <v>39</v>
      </c>
      <c r="J3066" s="2" t="n">
        <v>2</v>
      </c>
      <c r="K3066" s="2" t="s">
        <v>49</v>
      </c>
      <c r="L3066" s="2" t="s">
        <v>37</v>
      </c>
      <c r="M3066" s="2" t="n">
        <v>75100</v>
      </c>
      <c r="N3066" s="2" t="n">
        <v>0</v>
      </c>
      <c r="O3066" s="2" t="n">
        <v>18</v>
      </c>
      <c r="P3066" s="2" t="n">
        <v>3</v>
      </c>
      <c r="Q3066" s="2" t="n">
        <v>7</v>
      </c>
      <c r="R3066" s="2" t="n">
        <v>3</v>
      </c>
      <c r="S3066" s="2" t="n">
        <v>6</v>
      </c>
      <c r="T3066" s="2" t="n">
        <v>0</v>
      </c>
      <c r="U3066" s="2" t="n">
        <v>4</v>
      </c>
      <c r="V3066" s="2" t="n">
        <v>3</v>
      </c>
      <c r="W3066" s="2" t="n">
        <v>1</v>
      </c>
      <c r="X3066" s="2" t="n">
        <v>3</v>
      </c>
      <c r="Y3066" s="2" t="n">
        <v>3</v>
      </c>
      <c r="Z3066" s="2" t="n">
        <v>3</v>
      </c>
    </row>
    <row r="3067" customFormat="false" ht="15" hidden="false" customHeight="true" outlineLevel="0" collapsed="false">
      <c r="A3067" s="2" t="n">
        <v>22</v>
      </c>
      <c r="B3067" s="2" t="s">
        <v>26</v>
      </c>
      <c r="C3067" s="2" t="s">
        <v>27</v>
      </c>
      <c r="D3067" s="2" t="s">
        <v>35</v>
      </c>
      <c r="E3067" s="2" t="n">
        <v>16</v>
      </c>
      <c r="F3067" s="2" t="n">
        <v>5</v>
      </c>
      <c r="G3067" s="2" t="s">
        <v>38</v>
      </c>
      <c r="H3067" s="2" t="n">
        <v>3066</v>
      </c>
      <c r="I3067" s="2" t="s">
        <v>39</v>
      </c>
      <c r="J3067" s="2" t="n">
        <v>1</v>
      </c>
      <c r="K3067" s="2" t="s">
        <v>36</v>
      </c>
      <c r="L3067" s="2" t="s">
        <v>32</v>
      </c>
      <c r="M3067" s="2" t="n">
        <v>29910</v>
      </c>
      <c r="N3067" s="2" t="n">
        <v>1</v>
      </c>
      <c r="O3067" s="2" t="n">
        <v>19</v>
      </c>
      <c r="P3067" s="2" t="n">
        <v>2</v>
      </c>
      <c r="Q3067" s="2" t="n">
        <v>2</v>
      </c>
      <c r="R3067" s="2" t="n">
        <v>3</v>
      </c>
      <c r="S3067" s="2" t="n">
        <v>2</v>
      </c>
      <c r="T3067" s="2" t="n">
        <v>1</v>
      </c>
      <c r="U3067" s="2" t="n">
        <v>2</v>
      </c>
      <c r="V3067" s="2" t="n">
        <v>1</v>
      </c>
      <c r="W3067" s="2" t="n">
        <v>2</v>
      </c>
      <c r="X3067" s="2" t="n">
        <v>3</v>
      </c>
      <c r="Y3067" s="2" t="n">
        <v>2</v>
      </c>
      <c r="Z3067" s="2" t="n">
        <v>3</v>
      </c>
    </row>
    <row r="3068" customFormat="false" ht="15" hidden="false" customHeight="true" outlineLevel="0" collapsed="false">
      <c r="A3068" s="2" t="n">
        <v>36</v>
      </c>
      <c r="B3068" s="2" t="s">
        <v>26</v>
      </c>
      <c r="C3068" s="2" t="s">
        <v>27</v>
      </c>
      <c r="D3068" s="2" t="s">
        <v>35</v>
      </c>
      <c r="E3068" s="2" t="n">
        <v>1</v>
      </c>
      <c r="F3068" s="2" t="n">
        <v>3</v>
      </c>
      <c r="G3068" s="2" t="s">
        <v>43</v>
      </c>
      <c r="H3068" s="2" t="n">
        <v>3067</v>
      </c>
      <c r="I3068" s="2" t="s">
        <v>30</v>
      </c>
      <c r="J3068" s="2" t="n">
        <v>5</v>
      </c>
      <c r="K3068" s="2" t="s">
        <v>31</v>
      </c>
      <c r="L3068" s="2" t="s">
        <v>32</v>
      </c>
      <c r="M3068" s="2" t="n">
        <v>196360</v>
      </c>
      <c r="N3068" s="2" t="n">
        <v>1</v>
      </c>
      <c r="O3068" s="2" t="n">
        <v>12</v>
      </c>
      <c r="P3068" s="2" t="n">
        <v>1</v>
      </c>
      <c r="Q3068" s="2" t="n">
        <v>10</v>
      </c>
      <c r="R3068" s="2" t="n">
        <v>3</v>
      </c>
      <c r="S3068" s="2" t="n">
        <v>10</v>
      </c>
      <c r="T3068" s="2" t="n">
        <v>9</v>
      </c>
      <c r="U3068" s="2" t="n">
        <v>0</v>
      </c>
      <c r="V3068" s="2" t="n">
        <v>2</v>
      </c>
      <c r="W3068" s="2" t="n">
        <v>3</v>
      </c>
      <c r="X3068" s="2" t="n">
        <v>3</v>
      </c>
      <c r="Y3068" s="2" t="n">
        <v>3</v>
      </c>
      <c r="Z3068" s="2" t="n">
        <v>3</v>
      </c>
    </row>
    <row r="3069" customFormat="false" ht="15" hidden="false" customHeight="true" outlineLevel="0" collapsed="false">
      <c r="A3069" s="2" t="n">
        <v>30</v>
      </c>
      <c r="B3069" s="2" t="s">
        <v>33</v>
      </c>
      <c r="C3069" s="2" t="s">
        <v>34</v>
      </c>
      <c r="D3069" s="2" t="s">
        <v>28</v>
      </c>
      <c r="E3069" s="2" t="n">
        <v>3</v>
      </c>
      <c r="F3069" s="2" t="n">
        <v>2</v>
      </c>
      <c r="G3069" s="2" t="s">
        <v>50</v>
      </c>
      <c r="H3069" s="2" t="n">
        <v>3068</v>
      </c>
      <c r="I3069" s="2" t="s">
        <v>39</v>
      </c>
      <c r="J3069" s="2" t="n">
        <v>3</v>
      </c>
      <c r="K3069" s="2" t="s">
        <v>36</v>
      </c>
      <c r="L3069" s="2" t="s">
        <v>37</v>
      </c>
      <c r="M3069" s="2" t="n">
        <v>11290</v>
      </c>
      <c r="N3069" s="2" t="n">
        <v>9</v>
      </c>
      <c r="O3069" s="2" t="n">
        <v>19</v>
      </c>
      <c r="P3069" s="2" t="n">
        <v>0</v>
      </c>
      <c r="Q3069" s="2" t="n">
        <v>3</v>
      </c>
      <c r="R3069" s="2" t="n">
        <v>2</v>
      </c>
      <c r="S3069" s="2" t="n">
        <v>1</v>
      </c>
      <c r="T3069" s="2" t="n">
        <v>0</v>
      </c>
      <c r="U3069" s="2" t="n">
        <v>0</v>
      </c>
      <c r="V3069" s="2" t="n">
        <v>3</v>
      </c>
      <c r="W3069" s="2" t="n">
        <v>4</v>
      </c>
      <c r="X3069" s="2" t="n">
        <v>3</v>
      </c>
      <c r="Y3069" s="2" t="n">
        <v>2</v>
      </c>
      <c r="Z3069" s="2" t="n">
        <v>3</v>
      </c>
    </row>
    <row r="3070" customFormat="false" ht="15" hidden="false" customHeight="true" outlineLevel="0" collapsed="false">
      <c r="A3070" s="2" t="n">
        <v>37</v>
      </c>
      <c r="B3070" s="2" t="s">
        <v>26</v>
      </c>
      <c r="C3070" s="2" t="s">
        <v>27</v>
      </c>
      <c r="D3070" s="2" t="s">
        <v>35</v>
      </c>
      <c r="E3070" s="2" t="n">
        <v>10</v>
      </c>
      <c r="F3070" s="2" t="n">
        <v>1</v>
      </c>
      <c r="G3070" s="2" t="s">
        <v>51</v>
      </c>
      <c r="H3070" s="2" t="n">
        <v>3069</v>
      </c>
      <c r="I3070" s="2" t="s">
        <v>39</v>
      </c>
      <c r="J3070" s="2" t="n">
        <v>1</v>
      </c>
      <c r="K3070" s="2" t="s">
        <v>40</v>
      </c>
      <c r="L3070" s="2" t="s">
        <v>46</v>
      </c>
      <c r="M3070" s="2" t="n">
        <v>133410</v>
      </c>
      <c r="N3070" s="2" t="n">
        <v>1</v>
      </c>
      <c r="O3070" s="2" t="n">
        <v>14</v>
      </c>
      <c r="P3070" s="2" t="n">
        <v>1</v>
      </c>
      <c r="Q3070" s="2" t="n">
        <v>18</v>
      </c>
      <c r="R3070" s="2" t="n">
        <v>3</v>
      </c>
      <c r="S3070" s="2" t="n">
        <v>18</v>
      </c>
      <c r="T3070" s="2" t="n">
        <v>12</v>
      </c>
      <c r="U3070" s="2" t="n">
        <v>17</v>
      </c>
      <c r="V3070" s="2" t="n">
        <v>4</v>
      </c>
      <c r="W3070" s="2" t="n">
        <v>1</v>
      </c>
      <c r="X3070" s="2" t="n">
        <v>2</v>
      </c>
      <c r="Y3070" s="2" t="n">
        <v>3</v>
      </c>
      <c r="Z3070" s="2" t="n">
        <v>3</v>
      </c>
    </row>
    <row r="3071" customFormat="false" ht="15" hidden="false" customHeight="true" outlineLevel="0" collapsed="false">
      <c r="A3071" s="2" t="n">
        <v>40</v>
      </c>
      <c r="B3071" s="2" t="s">
        <v>26</v>
      </c>
      <c r="C3071" s="2" t="s">
        <v>27</v>
      </c>
      <c r="D3071" s="2" t="s">
        <v>35</v>
      </c>
      <c r="E3071" s="2" t="n">
        <v>6</v>
      </c>
      <c r="F3071" s="2" t="n">
        <v>2</v>
      </c>
      <c r="G3071" s="2" t="s">
        <v>43</v>
      </c>
      <c r="H3071" s="2" t="n">
        <v>3070</v>
      </c>
      <c r="I3071" s="2" t="s">
        <v>39</v>
      </c>
      <c r="J3071" s="2" t="n">
        <v>3</v>
      </c>
      <c r="K3071" s="2" t="s">
        <v>36</v>
      </c>
      <c r="L3071" s="2" t="s">
        <v>46</v>
      </c>
      <c r="M3071" s="2" t="n">
        <v>43320</v>
      </c>
      <c r="N3071" s="2" t="n">
        <v>7</v>
      </c>
      <c r="O3071" s="2" t="n">
        <v>14</v>
      </c>
      <c r="P3071" s="2" t="n">
        <v>2</v>
      </c>
      <c r="Q3071" s="2" t="n">
        <v>8</v>
      </c>
      <c r="R3071" s="2" t="n">
        <v>3</v>
      </c>
      <c r="S3071" s="2" t="n">
        <v>5</v>
      </c>
      <c r="T3071" s="2" t="n">
        <v>1</v>
      </c>
      <c r="U3071" s="2" t="n">
        <v>3</v>
      </c>
      <c r="V3071" s="2" t="n">
        <v>4</v>
      </c>
      <c r="W3071" s="2" t="n">
        <v>2</v>
      </c>
      <c r="X3071" s="2" t="n">
        <v>3</v>
      </c>
      <c r="Y3071" s="2" t="n">
        <v>2</v>
      </c>
      <c r="Z3071" s="2" t="n">
        <v>3</v>
      </c>
    </row>
    <row r="3072" customFormat="false" ht="15" hidden="false" customHeight="true" outlineLevel="0" collapsed="false">
      <c r="A3072" s="2" t="n">
        <v>42</v>
      </c>
      <c r="B3072" s="2" t="s">
        <v>26</v>
      </c>
      <c r="C3072" s="2" t="s">
        <v>27</v>
      </c>
      <c r="D3072" s="2" t="s">
        <v>35</v>
      </c>
      <c r="E3072" s="2" t="n">
        <v>2</v>
      </c>
      <c r="F3072" s="2" t="n">
        <v>3</v>
      </c>
      <c r="G3072" s="2" t="s">
        <v>43</v>
      </c>
      <c r="H3072" s="2" t="n">
        <v>3071</v>
      </c>
      <c r="I3072" s="2" t="s">
        <v>30</v>
      </c>
      <c r="J3072" s="2" t="n">
        <v>4</v>
      </c>
      <c r="K3072" s="2" t="s">
        <v>49</v>
      </c>
      <c r="L3072" s="2" t="s">
        <v>46</v>
      </c>
      <c r="M3072" s="2" t="n">
        <v>110310</v>
      </c>
      <c r="N3072" s="2" t="n">
        <v>3</v>
      </c>
      <c r="O3072" s="2" t="n">
        <v>12</v>
      </c>
      <c r="P3072" s="2" t="n">
        <v>1</v>
      </c>
      <c r="Q3072" s="2" t="n">
        <v>8</v>
      </c>
      <c r="R3072" s="2" t="n">
        <v>2</v>
      </c>
      <c r="S3072" s="2" t="n">
        <v>5</v>
      </c>
      <c r="T3072" s="2" t="n">
        <v>1</v>
      </c>
      <c r="U3072" s="2" t="n">
        <v>2</v>
      </c>
      <c r="V3072" s="2" t="n">
        <v>2</v>
      </c>
      <c r="W3072" s="2" t="n">
        <v>1</v>
      </c>
      <c r="X3072" s="2" t="n">
        <v>3</v>
      </c>
      <c r="Y3072" s="2" t="n">
        <v>2</v>
      </c>
      <c r="Z3072" s="2" t="n">
        <v>3</v>
      </c>
    </row>
    <row r="3073" customFormat="false" ht="15" hidden="false" customHeight="true" outlineLevel="0" collapsed="false">
      <c r="A3073" s="2" t="n">
        <v>37</v>
      </c>
      <c r="B3073" s="2" t="s">
        <v>26</v>
      </c>
      <c r="C3073" s="2" t="s">
        <v>27</v>
      </c>
      <c r="D3073" s="2" t="s">
        <v>28</v>
      </c>
      <c r="E3073" s="2" t="n">
        <v>9</v>
      </c>
      <c r="F3073" s="2" t="n">
        <v>1</v>
      </c>
      <c r="G3073" s="2" t="s">
        <v>50</v>
      </c>
      <c r="H3073" s="2" t="n">
        <v>3072</v>
      </c>
      <c r="I3073" s="2" t="s">
        <v>39</v>
      </c>
      <c r="J3073" s="2" t="n">
        <v>3</v>
      </c>
      <c r="K3073" s="2" t="s">
        <v>40</v>
      </c>
      <c r="L3073" s="2" t="s">
        <v>37</v>
      </c>
      <c r="M3073" s="2" t="n">
        <v>44400</v>
      </c>
      <c r="N3073" s="2" t="n">
        <v>2</v>
      </c>
      <c r="O3073" s="2" t="n">
        <v>11</v>
      </c>
      <c r="P3073" s="2" t="n">
        <v>1</v>
      </c>
      <c r="Q3073" s="2" t="n">
        <v>18</v>
      </c>
      <c r="R3073" s="2" t="n">
        <v>3</v>
      </c>
      <c r="S3073" s="2" t="n">
        <v>1</v>
      </c>
      <c r="T3073" s="2" t="n">
        <v>0</v>
      </c>
      <c r="U3073" s="2" t="n">
        <v>1</v>
      </c>
      <c r="V3073" s="2" t="n">
        <v>3</v>
      </c>
      <c r="W3073" s="2" t="n">
        <v>2</v>
      </c>
      <c r="X3073" s="2" t="n">
        <v>2</v>
      </c>
      <c r="Y3073" s="2" t="n">
        <v>2</v>
      </c>
      <c r="Z3073" s="2" t="n">
        <v>3</v>
      </c>
    </row>
    <row r="3074" customFormat="false" ht="15" hidden="false" customHeight="true" outlineLevel="0" collapsed="false">
      <c r="A3074" s="2" t="n">
        <v>43</v>
      </c>
      <c r="B3074" s="2" t="s">
        <v>26</v>
      </c>
      <c r="C3074" s="2" t="s">
        <v>27</v>
      </c>
      <c r="D3074" s="2" t="s">
        <v>28</v>
      </c>
      <c r="E3074" s="2" t="n">
        <v>10</v>
      </c>
      <c r="F3074" s="2" t="n">
        <v>2</v>
      </c>
      <c r="G3074" s="2" t="s">
        <v>29</v>
      </c>
      <c r="H3074" s="2" t="n">
        <v>3073</v>
      </c>
      <c r="I3074" s="2" t="s">
        <v>30</v>
      </c>
      <c r="J3074" s="2" t="n">
        <v>1</v>
      </c>
      <c r="K3074" s="2" t="s">
        <v>40</v>
      </c>
      <c r="L3074" s="2" t="s">
        <v>46</v>
      </c>
      <c r="M3074" s="2" t="n">
        <v>46170</v>
      </c>
      <c r="N3074" s="2" t="n">
        <v>1</v>
      </c>
      <c r="O3074" s="2" t="n">
        <v>11</v>
      </c>
      <c r="P3074" s="2" t="n">
        <v>0</v>
      </c>
      <c r="Q3074" s="2" t="n">
        <v>25</v>
      </c>
      <c r="R3074" s="2" t="n">
        <v>2</v>
      </c>
      <c r="S3074" s="2" t="n">
        <v>25</v>
      </c>
      <c r="T3074" s="2" t="n">
        <v>3</v>
      </c>
      <c r="U3074" s="2" t="n">
        <v>9</v>
      </c>
      <c r="V3074" s="2" t="n">
        <v>1</v>
      </c>
      <c r="W3074" s="2" t="n">
        <v>2</v>
      </c>
      <c r="X3074" s="2" t="n">
        <v>3</v>
      </c>
      <c r="Y3074" s="2" t="n">
        <v>3</v>
      </c>
      <c r="Z3074" s="2" t="n">
        <v>3</v>
      </c>
    </row>
    <row r="3075" customFormat="false" ht="15" hidden="false" customHeight="true" outlineLevel="0" collapsed="false">
      <c r="A3075" s="2" t="n">
        <v>40</v>
      </c>
      <c r="B3075" s="2" t="s">
        <v>26</v>
      </c>
      <c r="C3075" s="2" t="s">
        <v>27</v>
      </c>
      <c r="D3075" s="2" t="s">
        <v>28</v>
      </c>
      <c r="E3075" s="2" t="n">
        <v>6</v>
      </c>
      <c r="F3075" s="2" t="n">
        <v>2</v>
      </c>
      <c r="G3075" s="2" t="s">
        <v>29</v>
      </c>
      <c r="H3075" s="2" t="n">
        <v>3074</v>
      </c>
      <c r="I3075" s="2" t="s">
        <v>30</v>
      </c>
      <c r="J3075" s="2" t="n">
        <v>1</v>
      </c>
      <c r="K3075" s="2" t="s">
        <v>45</v>
      </c>
      <c r="L3075" s="2" t="s">
        <v>32</v>
      </c>
      <c r="M3075" s="2" t="n">
        <v>26470</v>
      </c>
      <c r="N3075" s="2" t="n">
        <v>6</v>
      </c>
      <c r="O3075" s="2" t="n">
        <v>13</v>
      </c>
      <c r="P3075" s="2" t="n">
        <v>0</v>
      </c>
      <c r="Q3075" s="2" t="n">
        <v>20</v>
      </c>
      <c r="R3075" s="2" t="n">
        <v>2</v>
      </c>
      <c r="S3075" s="2" t="n">
        <v>1</v>
      </c>
      <c r="T3075" s="2" t="n">
        <v>0</v>
      </c>
      <c r="U3075" s="2" t="n">
        <v>0</v>
      </c>
      <c r="V3075" s="2" t="n">
        <v>2</v>
      </c>
      <c r="W3075" s="2" t="n">
        <v>3</v>
      </c>
      <c r="X3075" s="2" t="n">
        <v>3</v>
      </c>
      <c r="Y3075" s="2" t="n">
        <v>2</v>
      </c>
      <c r="Z3075" s="2" t="n">
        <v>3</v>
      </c>
    </row>
    <row r="3076" customFormat="false" ht="15" hidden="false" customHeight="true" outlineLevel="0" collapsed="false">
      <c r="A3076" s="2" t="n">
        <v>54</v>
      </c>
      <c r="B3076" s="2" t="s">
        <v>26</v>
      </c>
      <c r="C3076" s="2" t="s">
        <v>27</v>
      </c>
      <c r="D3076" s="2" t="s">
        <v>42</v>
      </c>
      <c r="E3076" s="2" t="n">
        <v>9</v>
      </c>
      <c r="F3076" s="2" t="n">
        <v>3</v>
      </c>
      <c r="G3076" s="2" t="s">
        <v>29</v>
      </c>
      <c r="H3076" s="2" t="n">
        <v>3075</v>
      </c>
      <c r="I3076" s="2" t="s">
        <v>30</v>
      </c>
      <c r="J3076" s="2" t="n">
        <v>2</v>
      </c>
      <c r="K3076" s="2" t="s">
        <v>47</v>
      </c>
      <c r="L3076" s="2" t="s">
        <v>32</v>
      </c>
      <c r="M3076" s="2" t="n">
        <v>63230</v>
      </c>
      <c r="N3076" s="2" t="n">
        <v>4</v>
      </c>
      <c r="O3076" s="2" t="n">
        <v>23</v>
      </c>
      <c r="P3076" s="2" t="n">
        <v>1</v>
      </c>
      <c r="Q3076" s="2" t="n">
        <v>24</v>
      </c>
      <c r="R3076" s="2" t="n">
        <v>2</v>
      </c>
      <c r="S3076" s="2" t="n">
        <v>4</v>
      </c>
      <c r="T3076" s="2" t="n">
        <v>1</v>
      </c>
      <c r="U3076" s="2" t="n">
        <v>2</v>
      </c>
      <c r="V3076" s="2" t="n">
        <v>1</v>
      </c>
      <c r="W3076" s="2" t="n">
        <v>1</v>
      </c>
      <c r="X3076" s="2" t="n">
        <v>2</v>
      </c>
      <c r="Y3076" s="2" t="n">
        <v>2</v>
      </c>
      <c r="Z3076" s="2" t="n">
        <v>4</v>
      </c>
    </row>
    <row r="3077" customFormat="false" ht="15" hidden="false" customHeight="true" outlineLevel="0" collapsed="false">
      <c r="A3077" s="2" t="n">
        <v>34</v>
      </c>
      <c r="B3077" s="2" t="s">
        <v>26</v>
      </c>
      <c r="C3077" s="2" t="s">
        <v>41</v>
      </c>
      <c r="D3077" s="2" t="s">
        <v>35</v>
      </c>
      <c r="E3077" s="2" t="n">
        <v>28</v>
      </c>
      <c r="F3077" s="2" t="n">
        <v>3</v>
      </c>
      <c r="G3077" s="2" t="s">
        <v>43</v>
      </c>
      <c r="H3077" s="2" t="n">
        <v>3076</v>
      </c>
      <c r="I3077" s="2" t="s">
        <v>39</v>
      </c>
      <c r="J3077" s="2" t="n">
        <v>1</v>
      </c>
      <c r="K3077" s="2" t="s">
        <v>45</v>
      </c>
      <c r="L3077" s="2" t="s">
        <v>32</v>
      </c>
      <c r="M3077" s="2" t="n">
        <v>56770</v>
      </c>
      <c r="N3077" s="2" t="n">
        <v>9</v>
      </c>
      <c r="O3077" s="2" t="n">
        <v>20</v>
      </c>
      <c r="P3077" s="2" t="n">
        <v>1</v>
      </c>
      <c r="Q3077" s="2" t="n">
        <v>6</v>
      </c>
      <c r="R3077" s="2" t="n">
        <v>3</v>
      </c>
      <c r="S3077" s="2" t="n">
        <v>3</v>
      </c>
      <c r="T3077" s="2" t="n">
        <v>1</v>
      </c>
      <c r="U3077" s="2" t="n">
        <v>2</v>
      </c>
      <c r="V3077" s="2" t="n">
        <v>3</v>
      </c>
      <c r="W3077" s="2" t="n">
        <v>3</v>
      </c>
      <c r="X3077" s="2" t="n">
        <v>3</v>
      </c>
      <c r="Y3077" s="2" t="n">
        <v>3</v>
      </c>
      <c r="Z3077" s="2" t="n">
        <v>4</v>
      </c>
    </row>
    <row r="3078" customFormat="false" ht="15" hidden="false" customHeight="true" outlineLevel="0" collapsed="false">
      <c r="A3078" s="2" t="n">
        <v>31</v>
      </c>
      <c r="B3078" s="2" t="s">
        <v>26</v>
      </c>
      <c r="C3078" s="2" t="s">
        <v>27</v>
      </c>
      <c r="D3078" s="2" t="s">
        <v>35</v>
      </c>
      <c r="E3078" s="2" t="n">
        <v>10</v>
      </c>
      <c r="F3078" s="2" t="n">
        <v>4</v>
      </c>
      <c r="G3078" s="2" t="s">
        <v>29</v>
      </c>
      <c r="H3078" s="2" t="n">
        <v>3077</v>
      </c>
      <c r="I3078" s="2" t="s">
        <v>39</v>
      </c>
      <c r="J3078" s="2" t="n">
        <v>3</v>
      </c>
      <c r="K3078" s="2" t="s">
        <v>40</v>
      </c>
      <c r="L3078" s="2" t="s">
        <v>32</v>
      </c>
      <c r="M3078" s="2" t="n">
        <v>21870</v>
      </c>
      <c r="N3078" s="2" t="n">
        <v>1</v>
      </c>
      <c r="O3078" s="2" t="n">
        <v>15</v>
      </c>
      <c r="P3078" s="2" t="n">
        <v>1</v>
      </c>
      <c r="Q3078" s="2" t="n">
        <v>13</v>
      </c>
      <c r="R3078" s="2" t="n">
        <v>2</v>
      </c>
      <c r="S3078" s="2" t="n">
        <v>13</v>
      </c>
      <c r="T3078" s="2" t="n">
        <v>3</v>
      </c>
      <c r="U3078" s="2" t="n">
        <v>12</v>
      </c>
      <c r="V3078" s="2" t="n">
        <v>2</v>
      </c>
      <c r="W3078" s="2" t="n">
        <v>1</v>
      </c>
      <c r="X3078" s="2" t="n">
        <v>1</v>
      </c>
      <c r="Y3078" s="2" t="n">
        <v>2</v>
      </c>
      <c r="Z3078" s="2" t="n">
        <v>3</v>
      </c>
    </row>
    <row r="3079" customFormat="false" ht="15" hidden="false" customHeight="true" outlineLevel="0" collapsed="false">
      <c r="A3079" s="2" t="n">
        <v>43</v>
      </c>
      <c r="B3079" s="2" t="s">
        <v>26</v>
      </c>
      <c r="C3079" s="2" t="s">
        <v>34</v>
      </c>
      <c r="D3079" s="2" t="s">
        <v>28</v>
      </c>
      <c r="E3079" s="2" t="n">
        <v>14</v>
      </c>
      <c r="F3079" s="2" t="n">
        <v>3</v>
      </c>
      <c r="G3079" s="2" t="s">
        <v>29</v>
      </c>
      <c r="H3079" s="2" t="n">
        <v>3078</v>
      </c>
      <c r="I3079" s="2" t="s">
        <v>30</v>
      </c>
      <c r="J3079" s="2" t="n">
        <v>1</v>
      </c>
      <c r="K3079" s="2" t="s">
        <v>47</v>
      </c>
      <c r="L3079" s="2" t="s">
        <v>32</v>
      </c>
      <c r="M3079" s="2" t="n">
        <v>37480</v>
      </c>
      <c r="N3079" s="2" t="n">
        <v>7</v>
      </c>
      <c r="O3079" s="2" t="n">
        <v>14</v>
      </c>
      <c r="P3079" s="2" t="n">
        <v>2</v>
      </c>
      <c r="Q3079" s="2" t="n">
        <v>8</v>
      </c>
      <c r="R3079" s="2" t="n">
        <v>3</v>
      </c>
      <c r="S3079" s="2" t="n">
        <v>3</v>
      </c>
      <c r="T3079" s="2" t="n">
        <v>1</v>
      </c>
      <c r="U3079" s="2" t="n">
        <v>2</v>
      </c>
      <c r="V3079" s="2" t="n">
        <v>4</v>
      </c>
      <c r="W3079" s="2" t="n">
        <v>4</v>
      </c>
      <c r="X3079" s="2" t="n">
        <v>3</v>
      </c>
      <c r="Y3079" s="2" t="n">
        <v>2</v>
      </c>
      <c r="Z3079" s="2" t="n">
        <v>3</v>
      </c>
    </row>
    <row r="3080" customFormat="false" ht="15" hidden="false" customHeight="true" outlineLevel="0" collapsed="false">
      <c r="A3080" s="2" t="n">
        <v>43</v>
      </c>
      <c r="B3080" s="2" t="s">
        <v>26</v>
      </c>
      <c r="C3080" s="2" t="s">
        <v>27</v>
      </c>
      <c r="D3080" s="2" t="s">
        <v>28</v>
      </c>
      <c r="E3080" s="2" t="n">
        <v>27</v>
      </c>
      <c r="F3080" s="2" t="n">
        <v>4</v>
      </c>
      <c r="G3080" s="2" t="s">
        <v>29</v>
      </c>
      <c r="H3080" s="2" t="n">
        <v>3079</v>
      </c>
      <c r="I3080" s="2" t="s">
        <v>39</v>
      </c>
      <c r="J3080" s="2" t="n">
        <v>2</v>
      </c>
      <c r="K3080" s="2" t="s">
        <v>48</v>
      </c>
      <c r="L3080" s="2" t="s">
        <v>46</v>
      </c>
      <c r="M3080" s="2" t="n">
        <v>39770</v>
      </c>
      <c r="N3080" s="2" t="n">
        <v>4</v>
      </c>
      <c r="O3080" s="2" t="n">
        <v>18</v>
      </c>
      <c r="P3080" s="2" t="n">
        <v>1</v>
      </c>
      <c r="Q3080" s="2" t="n">
        <v>8</v>
      </c>
      <c r="R3080" s="2" t="n">
        <v>3</v>
      </c>
      <c r="S3080" s="2" t="n">
        <v>5</v>
      </c>
      <c r="T3080" s="2" t="n">
        <v>0</v>
      </c>
      <c r="U3080" s="2" t="n">
        <v>2</v>
      </c>
      <c r="V3080" s="2" t="n">
        <v>3</v>
      </c>
      <c r="W3080" s="2" t="n">
        <v>3</v>
      </c>
      <c r="X3080" s="2" t="n">
        <v>3</v>
      </c>
      <c r="Y3080" s="2" t="n">
        <v>3</v>
      </c>
      <c r="Z3080" s="2" t="n">
        <v>3</v>
      </c>
    </row>
    <row r="3081" customFormat="false" ht="15" hidden="false" customHeight="true" outlineLevel="0" collapsed="false">
      <c r="A3081" s="2" t="n">
        <v>25</v>
      </c>
      <c r="B3081" s="2" t="s">
        <v>26</v>
      </c>
      <c r="C3081" s="2" t="s">
        <v>27</v>
      </c>
      <c r="D3081" s="2" t="s">
        <v>42</v>
      </c>
      <c r="E3081" s="2" t="n">
        <v>7</v>
      </c>
      <c r="F3081" s="2" t="n">
        <v>2</v>
      </c>
      <c r="G3081" s="2" t="s">
        <v>42</v>
      </c>
      <c r="H3081" s="2" t="n">
        <v>3080</v>
      </c>
      <c r="I3081" s="2" t="s">
        <v>39</v>
      </c>
      <c r="J3081" s="2" t="n">
        <v>1</v>
      </c>
      <c r="K3081" s="2" t="s">
        <v>47</v>
      </c>
      <c r="L3081" s="2" t="s">
        <v>37</v>
      </c>
      <c r="M3081" s="2" t="n">
        <v>86330</v>
      </c>
      <c r="N3081" s="2" t="n">
        <v>1</v>
      </c>
      <c r="O3081" s="2" t="n">
        <v>19</v>
      </c>
      <c r="P3081" s="2" t="n">
        <v>1</v>
      </c>
      <c r="Q3081" s="2" t="n">
        <v>5</v>
      </c>
      <c r="R3081" s="2" t="n">
        <v>2</v>
      </c>
      <c r="S3081" s="2" t="n">
        <v>5</v>
      </c>
      <c r="T3081" s="2" t="n">
        <v>1</v>
      </c>
      <c r="U3081" s="2" t="n">
        <v>3</v>
      </c>
      <c r="V3081" s="2" t="n">
        <v>2</v>
      </c>
      <c r="W3081" s="2" t="n">
        <v>4</v>
      </c>
      <c r="X3081" s="2" t="n">
        <v>3</v>
      </c>
      <c r="Y3081" s="2" t="n">
        <v>4</v>
      </c>
      <c r="Z3081" s="2" t="n">
        <v>3</v>
      </c>
    </row>
    <row r="3082" customFormat="false" ht="15" hidden="false" customHeight="true" outlineLevel="0" collapsed="false">
      <c r="A3082" s="2" t="n">
        <v>37</v>
      </c>
      <c r="B3082" s="2" t="s">
        <v>26</v>
      </c>
      <c r="C3082" s="2" t="s">
        <v>41</v>
      </c>
      <c r="D3082" s="2" t="s">
        <v>35</v>
      </c>
      <c r="E3082" s="2" t="n">
        <v>1</v>
      </c>
      <c r="F3082" s="2" t="n">
        <v>3</v>
      </c>
      <c r="G3082" s="2" t="s">
        <v>43</v>
      </c>
      <c r="H3082" s="2" t="n">
        <v>3081</v>
      </c>
      <c r="I3082" s="2" t="s">
        <v>39</v>
      </c>
      <c r="J3082" s="2" t="n">
        <v>3</v>
      </c>
      <c r="K3082" s="2" t="s">
        <v>45</v>
      </c>
      <c r="L3082" s="2" t="s">
        <v>32</v>
      </c>
      <c r="M3082" s="2" t="n">
        <v>20080</v>
      </c>
      <c r="N3082" s="2" t="n">
        <v>3</v>
      </c>
      <c r="O3082" s="2" t="n">
        <v>22</v>
      </c>
      <c r="P3082" s="2" t="n">
        <v>0</v>
      </c>
      <c r="Q3082" s="2" t="n">
        <v>15</v>
      </c>
      <c r="R3082" s="2" t="n">
        <v>5</v>
      </c>
      <c r="S3082" s="2" t="n">
        <v>13</v>
      </c>
      <c r="T3082" s="2" t="n">
        <v>10</v>
      </c>
      <c r="U3082" s="2" t="n">
        <v>7</v>
      </c>
      <c r="V3082" s="2" t="n">
        <v>2</v>
      </c>
      <c r="W3082" s="2" t="n">
        <v>3</v>
      </c>
      <c r="X3082" s="2" t="n">
        <v>3</v>
      </c>
      <c r="Y3082" s="2" t="n">
        <v>2</v>
      </c>
      <c r="Z3082" s="2" t="n">
        <v>4</v>
      </c>
    </row>
    <row r="3083" customFormat="false" ht="15" hidden="false" customHeight="true" outlineLevel="0" collapsed="false">
      <c r="A3083" s="2" t="n">
        <v>31</v>
      </c>
      <c r="B3083" s="2" t="s">
        <v>26</v>
      </c>
      <c r="C3083" s="2" t="s">
        <v>27</v>
      </c>
      <c r="D3083" s="2" t="s">
        <v>35</v>
      </c>
      <c r="E3083" s="2" t="n">
        <v>24</v>
      </c>
      <c r="F3083" s="2" t="n">
        <v>1</v>
      </c>
      <c r="G3083" s="2" t="s">
        <v>43</v>
      </c>
      <c r="H3083" s="2" t="n">
        <v>3082</v>
      </c>
      <c r="I3083" s="2" t="s">
        <v>39</v>
      </c>
      <c r="J3083" s="2" t="n">
        <v>3</v>
      </c>
      <c r="K3083" s="2" t="s">
        <v>45</v>
      </c>
      <c r="L3083" s="2" t="s">
        <v>32</v>
      </c>
      <c r="M3083" s="2" t="n">
        <v>44400</v>
      </c>
      <c r="N3083" s="2" t="n">
        <v>1</v>
      </c>
      <c r="O3083" s="2" t="n">
        <v>13</v>
      </c>
      <c r="P3083" s="2" t="n">
        <v>1</v>
      </c>
      <c r="Q3083" s="2" t="n">
        <v>4</v>
      </c>
      <c r="R3083" s="2" t="n">
        <v>2</v>
      </c>
      <c r="S3083" s="2" t="n">
        <v>4</v>
      </c>
      <c r="T3083" s="2" t="n">
        <v>3</v>
      </c>
      <c r="U3083" s="2" t="n">
        <v>2</v>
      </c>
      <c r="V3083" s="2" t="n">
        <v>4</v>
      </c>
      <c r="W3083" s="2" t="n">
        <v>1</v>
      </c>
      <c r="X3083" s="2" t="n">
        <v>3</v>
      </c>
      <c r="Y3083" s="2" t="n">
        <v>3</v>
      </c>
      <c r="Z3083" s="2" t="n">
        <v>3</v>
      </c>
    </row>
    <row r="3084" customFormat="false" ht="15" hidden="false" customHeight="true" outlineLevel="0" collapsed="false">
      <c r="A3084" s="2" t="n">
        <v>39</v>
      </c>
      <c r="B3084" s="2" t="s">
        <v>26</v>
      </c>
      <c r="C3084" s="2" t="s">
        <v>34</v>
      </c>
      <c r="D3084" s="2" t="s">
        <v>35</v>
      </c>
      <c r="E3084" s="2" t="n">
        <v>26</v>
      </c>
      <c r="F3084" s="2" t="n">
        <v>4</v>
      </c>
      <c r="G3084" s="2" t="s">
        <v>51</v>
      </c>
      <c r="H3084" s="2" t="n">
        <v>3083</v>
      </c>
      <c r="I3084" s="2" t="s">
        <v>30</v>
      </c>
      <c r="J3084" s="2" t="n">
        <v>1</v>
      </c>
      <c r="K3084" s="2" t="s">
        <v>40</v>
      </c>
      <c r="L3084" s="2" t="s">
        <v>46</v>
      </c>
      <c r="M3084" s="2" t="n">
        <v>30670</v>
      </c>
      <c r="N3084" s="2" t="n">
        <v>1</v>
      </c>
      <c r="O3084" s="2" t="n">
        <v>20</v>
      </c>
      <c r="P3084" s="2" t="n">
        <v>1</v>
      </c>
      <c r="Q3084" s="2" t="n">
        <v>21</v>
      </c>
      <c r="R3084" s="2" t="n">
        <v>5</v>
      </c>
      <c r="S3084" s="2" t="n">
        <v>21</v>
      </c>
      <c r="T3084" s="2" t="n">
        <v>1</v>
      </c>
      <c r="U3084" s="2" t="n">
        <v>6</v>
      </c>
      <c r="V3084" s="2" t="n">
        <v>2</v>
      </c>
      <c r="W3084" s="2" t="n">
        <v>3</v>
      </c>
      <c r="X3084" s="2" t="n">
        <v>3</v>
      </c>
      <c r="Y3084" s="2" t="n">
        <v>1</v>
      </c>
      <c r="Z3084" s="2" t="n">
        <v>4</v>
      </c>
    </row>
    <row r="3085" customFormat="false" ht="15" hidden="false" customHeight="true" outlineLevel="0" collapsed="false">
      <c r="A3085" s="2" t="n">
        <v>56</v>
      </c>
      <c r="B3085" s="2" t="s">
        <v>26</v>
      </c>
      <c r="C3085" s="2" t="s">
        <v>34</v>
      </c>
      <c r="D3085" s="2" t="s">
        <v>35</v>
      </c>
      <c r="E3085" s="2" t="n">
        <v>20</v>
      </c>
      <c r="F3085" s="2" t="n">
        <v>4</v>
      </c>
      <c r="G3085" s="2" t="s">
        <v>29</v>
      </c>
      <c r="H3085" s="2" t="n">
        <v>3084</v>
      </c>
      <c r="I3085" s="2" t="s">
        <v>30</v>
      </c>
      <c r="J3085" s="2" t="n">
        <v>3</v>
      </c>
      <c r="K3085" s="2" t="s">
        <v>40</v>
      </c>
      <c r="L3085" s="2" t="s">
        <v>32</v>
      </c>
      <c r="M3085" s="2" t="n">
        <v>53210</v>
      </c>
      <c r="N3085" s="2" t="n">
        <v>9</v>
      </c>
      <c r="O3085" s="2" t="n">
        <v>14</v>
      </c>
      <c r="P3085" s="2" t="n">
        <v>0</v>
      </c>
      <c r="Q3085" s="2" t="n">
        <v>36</v>
      </c>
      <c r="R3085" s="2" t="n">
        <v>1</v>
      </c>
      <c r="S3085" s="2" t="n">
        <v>7</v>
      </c>
      <c r="T3085" s="2" t="n">
        <v>7</v>
      </c>
      <c r="U3085" s="2" t="n">
        <v>7</v>
      </c>
      <c r="V3085" s="2" t="n">
        <v>3</v>
      </c>
      <c r="W3085" s="2" t="n">
        <v>1</v>
      </c>
      <c r="X3085" s="2" t="n">
        <v>2</v>
      </c>
      <c r="Y3085" s="2" t="n">
        <v>3</v>
      </c>
      <c r="Z3085" s="2" t="n">
        <v>3</v>
      </c>
    </row>
    <row r="3086" customFormat="false" ht="15" hidden="false" customHeight="true" outlineLevel="0" collapsed="false">
      <c r="A3086" s="2" t="n">
        <v>30</v>
      </c>
      <c r="B3086" s="2" t="s">
        <v>26</v>
      </c>
      <c r="C3086" s="2" t="s">
        <v>27</v>
      </c>
      <c r="D3086" s="2" t="s">
        <v>28</v>
      </c>
      <c r="E3086" s="2" t="n">
        <v>5</v>
      </c>
      <c r="F3086" s="2" t="n">
        <v>4</v>
      </c>
      <c r="G3086" s="2" t="s">
        <v>43</v>
      </c>
      <c r="H3086" s="2" t="n">
        <v>3085</v>
      </c>
      <c r="I3086" s="2" t="s">
        <v>30</v>
      </c>
      <c r="J3086" s="2" t="n">
        <v>2</v>
      </c>
      <c r="K3086" s="2" t="s">
        <v>47</v>
      </c>
      <c r="L3086" s="2" t="s">
        <v>37</v>
      </c>
      <c r="M3086" s="2" t="n">
        <v>54100</v>
      </c>
      <c r="N3086" s="2" t="n">
        <v>0</v>
      </c>
      <c r="O3086" s="2" t="n">
        <v>17</v>
      </c>
      <c r="P3086" s="2" t="n">
        <v>1</v>
      </c>
      <c r="Q3086" s="2" t="n">
        <v>6</v>
      </c>
      <c r="R3086" s="2" t="n">
        <v>2</v>
      </c>
      <c r="S3086" s="2" t="n">
        <v>5</v>
      </c>
      <c r="T3086" s="2" t="n">
        <v>4</v>
      </c>
      <c r="U3086" s="2" t="n">
        <v>4</v>
      </c>
      <c r="V3086" s="2" t="n">
        <v>2</v>
      </c>
      <c r="W3086" s="2" t="n">
        <v>3</v>
      </c>
      <c r="X3086" s="2" t="n">
        <v>3</v>
      </c>
      <c r="Y3086" s="2" t="n">
        <v>3</v>
      </c>
      <c r="Z3086" s="2" t="n">
        <v>3</v>
      </c>
    </row>
    <row r="3087" customFormat="false" ht="15" hidden="false" customHeight="true" outlineLevel="0" collapsed="false">
      <c r="A3087" s="2" t="n">
        <v>41</v>
      </c>
      <c r="B3087" s="2" t="s">
        <v>26</v>
      </c>
      <c r="C3087" s="2" t="s">
        <v>27</v>
      </c>
      <c r="D3087" s="2" t="s">
        <v>35</v>
      </c>
      <c r="E3087" s="2" t="n">
        <v>7</v>
      </c>
      <c r="F3087" s="2" t="n">
        <v>3</v>
      </c>
      <c r="G3087" s="2" t="s">
        <v>51</v>
      </c>
      <c r="H3087" s="2" t="n">
        <v>3086</v>
      </c>
      <c r="I3087" s="2" t="s">
        <v>30</v>
      </c>
      <c r="J3087" s="2" t="n">
        <v>3</v>
      </c>
      <c r="K3087" s="2" t="s">
        <v>36</v>
      </c>
      <c r="L3087" s="2" t="s">
        <v>32</v>
      </c>
      <c r="M3087" s="2" t="n">
        <v>27820</v>
      </c>
      <c r="N3087" s="2" t="n">
        <v>1</v>
      </c>
      <c r="O3087" s="2" t="n">
        <v>14</v>
      </c>
      <c r="P3087" s="2" t="n">
        <v>0</v>
      </c>
      <c r="Q3087" s="2" t="n">
        <v>10</v>
      </c>
      <c r="R3087" s="2" t="n">
        <v>2</v>
      </c>
      <c r="S3087" s="2" t="n">
        <v>10</v>
      </c>
      <c r="T3087" s="2" t="n">
        <v>0</v>
      </c>
      <c r="U3087" s="2" t="n">
        <v>7</v>
      </c>
      <c r="V3087" s="2" t="n">
        <v>2</v>
      </c>
      <c r="W3087" s="2"/>
      <c r="X3087" s="2" t="n">
        <v>3</v>
      </c>
      <c r="Y3087" s="2" t="n">
        <v>2</v>
      </c>
      <c r="Z3087" s="2" t="n">
        <v>3</v>
      </c>
    </row>
    <row r="3088" customFormat="false" ht="15" hidden="false" customHeight="true" outlineLevel="0" collapsed="false">
      <c r="A3088" s="2" t="n">
        <v>28</v>
      </c>
      <c r="B3088" s="2" t="s">
        <v>26</v>
      </c>
      <c r="C3088" s="2" t="s">
        <v>27</v>
      </c>
      <c r="D3088" s="2" t="s">
        <v>35</v>
      </c>
      <c r="E3088" s="2" t="n">
        <v>7</v>
      </c>
      <c r="F3088" s="2" t="n">
        <v>3</v>
      </c>
      <c r="G3088" s="2" t="s">
        <v>43</v>
      </c>
      <c r="H3088" s="2" t="n">
        <v>3087</v>
      </c>
      <c r="I3088" s="2" t="s">
        <v>39</v>
      </c>
      <c r="J3088" s="2" t="n">
        <v>3</v>
      </c>
      <c r="K3088" s="2" t="s">
        <v>31</v>
      </c>
      <c r="L3088" s="2" t="s">
        <v>46</v>
      </c>
      <c r="M3088" s="2" t="n">
        <v>119570</v>
      </c>
      <c r="N3088" s="2" t="n">
        <v>1</v>
      </c>
      <c r="O3088" s="2" t="n">
        <v>13</v>
      </c>
      <c r="P3088" s="2" t="n">
        <v>0</v>
      </c>
      <c r="Q3088" s="2" t="n">
        <v>10</v>
      </c>
      <c r="R3088" s="2" t="n">
        <v>2</v>
      </c>
      <c r="S3088" s="2" t="n">
        <v>10</v>
      </c>
      <c r="T3088" s="2" t="n">
        <v>1</v>
      </c>
      <c r="U3088" s="2" t="n">
        <v>8</v>
      </c>
      <c r="V3088" s="2" t="n">
        <v>3</v>
      </c>
      <c r="W3088" s="2" t="n">
        <v>1</v>
      </c>
      <c r="X3088" s="2" t="n">
        <v>3</v>
      </c>
      <c r="Y3088" s="2" t="n">
        <v>2</v>
      </c>
      <c r="Z3088" s="2" t="n">
        <v>3</v>
      </c>
    </row>
    <row r="3089" customFormat="false" ht="15" hidden="false" customHeight="true" outlineLevel="0" collapsed="false">
      <c r="A3089" s="2" t="n">
        <v>25</v>
      </c>
      <c r="B3089" s="2" t="s">
        <v>33</v>
      </c>
      <c r="C3089" s="2" t="s">
        <v>27</v>
      </c>
      <c r="D3089" s="2" t="s">
        <v>35</v>
      </c>
      <c r="E3089" s="2" t="n">
        <v>5</v>
      </c>
      <c r="F3089" s="2" t="n">
        <v>2</v>
      </c>
      <c r="G3089" s="2" t="s">
        <v>29</v>
      </c>
      <c r="H3089" s="2" t="n">
        <v>3088</v>
      </c>
      <c r="I3089" s="2" t="s">
        <v>30</v>
      </c>
      <c r="J3089" s="2" t="n">
        <v>3</v>
      </c>
      <c r="K3089" s="2" t="s">
        <v>45</v>
      </c>
      <c r="L3089" s="2" t="s">
        <v>32</v>
      </c>
      <c r="M3089" s="2" t="n">
        <v>26600</v>
      </c>
      <c r="N3089" s="2" t="n">
        <v>5</v>
      </c>
      <c r="O3089" s="2" t="n">
        <v>13</v>
      </c>
      <c r="P3089" s="2" t="n">
        <v>0</v>
      </c>
      <c r="Q3089" s="2" t="n">
        <v>6</v>
      </c>
      <c r="R3089" s="2" t="n">
        <v>3</v>
      </c>
      <c r="S3089" s="2" t="n">
        <v>2</v>
      </c>
      <c r="T3089" s="2" t="n">
        <v>0</v>
      </c>
      <c r="U3089" s="2" t="n">
        <v>2</v>
      </c>
      <c r="V3089" s="2" t="n">
        <v>1</v>
      </c>
      <c r="W3089" s="2" t="n">
        <v>1</v>
      </c>
      <c r="X3089" s="2" t="n">
        <v>3</v>
      </c>
      <c r="Y3089" s="2" t="n">
        <v>3</v>
      </c>
      <c r="Z3089" s="2" t="n">
        <v>3</v>
      </c>
    </row>
    <row r="3090" customFormat="false" ht="15" hidden="false" customHeight="true" outlineLevel="0" collapsed="false">
      <c r="A3090" s="2" t="n">
        <v>52</v>
      </c>
      <c r="B3090" s="2" t="s">
        <v>26</v>
      </c>
      <c r="C3090" s="2" t="s">
        <v>27</v>
      </c>
      <c r="D3090" s="2" t="s">
        <v>35</v>
      </c>
      <c r="E3090" s="2" t="n">
        <v>26</v>
      </c>
      <c r="F3090" s="2" t="n">
        <v>2</v>
      </c>
      <c r="G3090" s="2" t="s">
        <v>29</v>
      </c>
      <c r="H3090" s="2" t="n">
        <v>3089</v>
      </c>
      <c r="I3090" s="2" t="s">
        <v>30</v>
      </c>
      <c r="J3090" s="2" t="n">
        <v>2</v>
      </c>
      <c r="K3090" s="2" t="s">
        <v>48</v>
      </c>
      <c r="L3090" s="2" t="s">
        <v>32</v>
      </c>
      <c r="M3090" s="2" t="n">
        <v>33750</v>
      </c>
      <c r="N3090" s="2" t="n">
        <v>2</v>
      </c>
      <c r="O3090" s="2" t="n">
        <v>21</v>
      </c>
      <c r="P3090" s="2" t="n">
        <v>0</v>
      </c>
      <c r="Q3090" s="2" t="n">
        <v>28</v>
      </c>
      <c r="R3090" s="2" t="n">
        <v>2</v>
      </c>
      <c r="S3090" s="2" t="n">
        <v>5</v>
      </c>
      <c r="T3090" s="2" t="n">
        <v>0</v>
      </c>
      <c r="U3090" s="2" t="n">
        <v>4</v>
      </c>
      <c r="V3090" s="2" t="n">
        <v>4</v>
      </c>
      <c r="W3090" s="2" t="n">
        <v>3</v>
      </c>
      <c r="X3090" s="2" t="n">
        <v>3</v>
      </c>
      <c r="Y3090" s="2" t="n">
        <v>2</v>
      </c>
      <c r="Z3090" s="2" t="n">
        <v>4</v>
      </c>
    </row>
    <row r="3091" customFormat="false" ht="15" hidden="false" customHeight="true" outlineLevel="0" collapsed="false">
      <c r="A3091" s="2" t="n">
        <v>45</v>
      </c>
      <c r="B3091" s="2" t="s">
        <v>26</v>
      </c>
      <c r="C3091" s="2" t="s">
        <v>27</v>
      </c>
      <c r="D3091" s="2" t="s">
        <v>35</v>
      </c>
      <c r="E3091" s="2" t="n">
        <v>2</v>
      </c>
      <c r="F3091" s="2" t="n">
        <v>3</v>
      </c>
      <c r="G3091" s="2" t="s">
        <v>43</v>
      </c>
      <c r="H3091" s="2" t="n">
        <v>3090</v>
      </c>
      <c r="I3091" s="2" t="s">
        <v>30</v>
      </c>
      <c r="J3091" s="2" t="n">
        <v>1</v>
      </c>
      <c r="K3091" s="2" t="s">
        <v>40</v>
      </c>
      <c r="L3091" s="2" t="s">
        <v>32</v>
      </c>
      <c r="M3091" s="2" t="n">
        <v>50980</v>
      </c>
      <c r="N3091" s="2" t="n">
        <v>3</v>
      </c>
      <c r="O3091" s="2" t="n">
        <v>14</v>
      </c>
      <c r="P3091" s="2" t="n">
        <v>1</v>
      </c>
      <c r="Q3091" s="2" t="n">
        <v>8</v>
      </c>
      <c r="R3091" s="2" t="n">
        <v>4</v>
      </c>
      <c r="S3091" s="2" t="n">
        <v>2</v>
      </c>
      <c r="T3091" s="2" t="n">
        <v>0</v>
      </c>
      <c r="U3091" s="2" t="n">
        <v>2</v>
      </c>
      <c r="V3091" s="2" t="n">
        <v>1</v>
      </c>
      <c r="W3091" s="2" t="n">
        <v>4</v>
      </c>
      <c r="X3091" s="2" t="n">
        <v>2</v>
      </c>
      <c r="Y3091" s="2" t="n">
        <v>3</v>
      </c>
      <c r="Z3091" s="2" t="n">
        <v>3</v>
      </c>
    </row>
    <row r="3092" customFormat="false" ht="15" hidden="false" customHeight="true" outlineLevel="0" collapsed="false">
      <c r="A3092" s="2" t="n">
        <v>52</v>
      </c>
      <c r="B3092" s="2" t="s">
        <v>26</v>
      </c>
      <c r="C3092" s="2" t="s">
        <v>27</v>
      </c>
      <c r="D3092" s="2" t="s">
        <v>35</v>
      </c>
      <c r="E3092" s="2" t="n">
        <v>12</v>
      </c>
      <c r="F3092" s="2" t="n">
        <v>3</v>
      </c>
      <c r="G3092" s="2" t="s">
        <v>43</v>
      </c>
      <c r="H3092" s="2" t="n">
        <v>3091</v>
      </c>
      <c r="I3092" s="2" t="s">
        <v>39</v>
      </c>
      <c r="J3092" s="2" t="n">
        <v>2</v>
      </c>
      <c r="K3092" s="2" t="s">
        <v>36</v>
      </c>
      <c r="L3092" s="2" t="s">
        <v>32</v>
      </c>
      <c r="M3092" s="2" t="n">
        <v>48780</v>
      </c>
      <c r="N3092" s="2" t="n">
        <v>2</v>
      </c>
      <c r="O3092" s="2" t="n">
        <v>11</v>
      </c>
      <c r="P3092" s="2" t="n">
        <v>1</v>
      </c>
      <c r="Q3092" s="2" t="n">
        <v>31</v>
      </c>
      <c r="R3092" s="2" t="n">
        <v>3</v>
      </c>
      <c r="S3092" s="2" t="n">
        <v>5</v>
      </c>
      <c r="T3092" s="2" t="n">
        <v>1</v>
      </c>
      <c r="U3092" s="2" t="n">
        <v>4</v>
      </c>
      <c r="V3092" s="2" t="n">
        <v>4</v>
      </c>
      <c r="W3092" s="2" t="n">
        <v>4</v>
      </c>
      <c r="X3092" s="2" t="n">
        <v>1</v>
      </c>
      <c r="Y3092" s="2" t="n">
        <v>3</v>
      </c>
      <c r="Z3092" s="2" t="n">
        <v>3</v>
      </c>
    </row>
    <row r="3093" customFormat="false" ht="15" hidden="false" customHeight="true" outlineLevel="0" collapsed="false">
      <c r="A3093" s="2" t="n">
        <v>42</v>
      </c>
      <c r="B3093" s="2" t="s">
        <v>26</v>
      </c>
      <c r="C3093" s="2" t="s">
        <v>34</v>
      </c>
      <c r="D3093" s="2" t="s">
        <v>28</v>
      </c>
      <c r="E3093" s="2" t="n">
        <v>10</v>
      </c>
      <c r="F3093" s="2" t="n">
        <v>3</v>
      </c>
      <c r="G3093" s="2" t="s">
        <v>50</v>
      </c>
      <c r="H3093" s="2" t="n">
        <v>3092</v>
      </c>
      <c r="I3093" s="2" t="s">
        <v>30</v>
      </c>
      <c r="J3093" s="2" t="n">
        <v>2</v>
      </c>
      <c r="K3093" s="2" t="s">
        <v>31</v>
      </c>
      <c r="L3093" s="2" t="s">
        <v>46</v>
      </c>
      <c r="M3093" s="2" t="n">
        <v>28370</v>
      </c>
      <c r="N3093" s="2" t="n">
        <v>2</v>
      </c>
      <c r="O3093" s="2" t="n">
        <v>13</v>
      </c>
      <c r="P3093" s="2" t="n">
        <v>1</v>
      </c>
      <c r="Q3093" s="2" t="n">
        <v>19</v>
      </c>
      <c r="R3093" s="2" t="n">
        <v>0</v>
      </c>
      <c r="S3093" s="2" t="n">
        <v>5</v>
      </c>
      <c r="T3093" s="2" t="n">
        <v>0</v>
      </c>
      <c r="U3093" s="2" t="n">
        <v>2</v>
      </c>
      <c r="V3093" s="2" t="n">
        <v>1</v>
      </c>
      <c r="W3093" s="2" t="n">
        <v>3</v>
      </c>
      <c r="X3093" s="2" t="n">
        <v>3</v>
      </c>
      <c r="Y3093" s="2" t="n">
        <v>2</v>
      </c>
      <c r="Z3093" s="2" t="n">
        <v>3</v>
      </c>
    </row>
    <row r="3094" customFormat="false" ht="15" hidden="false" customHeight="true" outlineLevel="0" collapsed="false">
      <c r="A3094" s="2" t="n">
        <v>30</v>
      </c>
      <c r="B3094" s="2" t="s">
        <v>26</v>
      </c>
      <c r="C3094" s="2" t="s">
        <v>27</v>
      </c>
      <c r="D3094" s="2" t="s">
        <v>28</v>
      </c>
      <c r="E3094" s="2" t="n">
        <v>25</v>
      </c>
      <c r="F3094" s="2" t="n">
        <v>3</v>
      </c>
      <c r="G3094" s="2" t="s">
        <v>50</v>
      </c>
      <c r="H3094" s="2" t="n">
        <v>3093</v>
      </c>
      <c r="I3094" s="2" t="s">
        <v>39</v>
      </c>
      <c r="J3094" s="2" t="n">
        <v>1</v>
      </c>
      <c r="K3094" s="2" t="s">
        <v>40</v>
      </c>
      <c r="L3094" s="2" t="s">
        <v>37</v>
      </c>
      <c r="M3094" s="2" t="n">
        <v>24060</v>
      </c>
      <c r="N3094" s="2" t="n">
        <v>2</v>
      </c>
      <c r="O3094" s="2" t="n">
        <v>20</v>
      </c>
      <c r="P3094" s="2" t="n">
        <v>1</v>
      </c>
      <c r="Q3094" s="2" t="n">
        <v>11</v>
      </c>
      <c r="R3094" s="2" t="n">
        <v>5</v>
      </c>
      <c r="S3094" s="2" t="n">
        <v>5</v>
      </c>
      <c r="T3094" s="2" t="n">
        <v>0</v>
      </c>
      <c r="U3094" s="2" t="n">
        <v>2</v>
      </c>
      <c r="V3094" s="2" t="n">
        <v>3</v>
      </c>
      <c r="W3094" s="2" t="n">
        <v>4</v>
      </c>
      <c r="X3094" s="2" t="n">
        <v>3</v>
      </c>
      <c r="Y3094" s="2" t="n">
        <v>3</v>
      </c>
      <c r="Z3094" s="2" t="n">
        <v>4</v>
      </c>
    </row>
    <row r="3095" customFormat="false" ht="15" hidden="false" customHeight="true" outlineLevel="0" collapsed="false">
      <c r="A3095" s="2" t="n">
        <v>60</v>
      </c>
      <c r="B3095" s="2" t="s">
        <v>26</v>
      </c>
      <c r="C3095" s="2" t="s">
        <v>27</v>
      </c>
      <c r="D3095" s="2" t="s">
        <v>35</v>
      </c>
      <c r="E3095" s="2" t="n">
        <v>10</v>
      </c>
      <c r="F3095" s="2" t="n">
        <v>3</v>
      </c>
      <c r="G3095" s="2" t="s">
        <v>29</v>
      </c>
      <c r="H3095" s="2" t="n">
        <v>3094</v>
      </c>
      <c r="I3095" s="2" t="s">
        <v>30</v>
      </c>
      <c r="J3095" s="2" t="n">
        <v>1</v>
      </c>
      <c r="K3095" s="2" t="s">
        <v>47</v>
      </c>
      <c r="L3095" s="2" t="s">
        <v>32</v>
      </c>
      <c r="M3095" s="2" t="n">
        <v>22690</v>
      </c>
      <c r="N3095" s="2" t="n">
        <v>5</v>
      </c>
      <c r="O3095" s="2" t="n">
        <v>18</v>
      </c>
      <c r="P3095" s="2" t="n">
        <v>1</v>
      </c>
      <c r="Q3095" s="2" t="n">
        <v>33</v>
      </c>
      <c r="R3095" s="2" t="n">
        <v>4</v>
      </c>
      <c r="S3095" s="2" t="n">
        <v>29</v>
      </c>
      <c r="T3095" s="2" t="n">
        <v>11</v>
      </c>
      <c r="U3095" s="2" t="n">
        <v>10</v>
      </c>
      <c r="V3095" s="2" t="n">
        <v>1</v>
      </c>
      <c r="W3095" s="2" t="n">
        <v>1</v>
      </c>
      <c r="X3095" s="2" t="n">
        <v>1</v>
      </c>
      <c r="Y3095" s="2" t="n">
        <v>3</v>
      </c>
      <c r="Z3095" s="2" t="n">
        <v>3</v>
      </c>
    </row>
    <row r="3096" customFormat="false" ht="15" hidden="false" customHeight="true" outlineLevel="0" collapsed="false">
      <c r="A3096" s="2" t="n">
        <v>46</v>
      </c>
      <c r="B3096" s="2" t="s">
        <v>26</v>
      </c>
      <c r="C3096" s="2" t="s">
        <v>27</v>
      </c>
      <c r="D3096" s="2" t="s">
        <v>28</v>
      </c>
      <c r="E3096" s="2" t="n">
        <v>19</v>
      </c>
      <c r="F3096" s="2" t="n">
        <v>4</v>
      </c>
      <c r="G3096" s="2" t="s">
        <v>50</v>
      </c>
      <c r="H3096" s="2" t="n">
        <v>3095</v>
      </c>
      <c r="I3096" s="2" t="s">
        <v>30</v>
      </c>
      <c r="J3096" s="2" t="n">
        <v>1</v>
      </c>
      <c r="K3096" s="2" t="s">
        <v>40</v>
      </c>
      <c r="L3096" s="2" t="s">
        <v>46</v>
      </c>
      <c r="M3096" s="2" t="n">
        <v>41080</v>
      </c>
      <c r="N3096" s="2" t="n">
        <v>2</v>
      </c>
      <c r="O3096" s="2" t="n">
        <v>14</v>
      </c>
      <c r="P3096" s="2" t="n">
        <v>0</v>
      </c>
      <c r="Q3096" s="2" t="n">
        <v>19</v>
      </c>
      <c r="R3096" s="2" t="n">
        <v>5</v>
      </c>
      <c r="S3096" s="2" t="n">
        <v>10</v>
      </c>
      <c r="T3096" s="2" t="n">
        <v>0</v>
      </c>
      <c r="U3096" s="2" t="n">
        <v>8</v>
      </c>
      <c r="V3096" s="2" t="n">
        <v>3</v>
      </c>
      <c r="W3096" s="2" t="n">
        <v>3</v>
      </c>
      <c r="X3096" s="2" t="n">
        <v>2</v>
      </c>
      <c r="Y3096" s="2" t="n">
        <v>2</v>
      </c>
      <c r="Z3096" s="2" t="n">
        <v>3</v>
      </c>
    </row>
    <row r="3097" customFormat="false" ht="15" hidden="false" customHeight="true" outlineLevel="0" collapsed="false">
      <c r="A3097" s="2" t="n">
        <v>42</v>
      </c>
      <c r="B3097" s="2" t="s">
        <v>26</v>
      </c>
      <c r="C3097" s="2" t="s">
        <v>34</v>
      </c>
      <c r="D3097" s="2" t="s">
        <v>35</v>
      </c>
      <c r="E3097" s="2" t="n">
        <v>18</v>
      </c>
      <c r="F3097" s="2" t="n">
        <v>4</v>
      </c>
      <c r="G3097" s="2" t="s">
        <v>51</v>
      </c>
      <c r="H3097" s="2" t="n">
        <v>3096</v>
      </c>
      <c r="I3097" s="2" t="s">
        <v>39</v>
      </c>
      <c r="J3097" s="2" t="n">
        <v>4</v>
      </c>
      <c r="K3097" s="2" t="s">
        <v>40</v>
      </c>
      <c r="L3097" s="2" t="s">
        <v>32</v>
      </c>
      <c r="M3097" s="2" t="n">
        <v>132060</v>
      </c>
      <c r="N3097" s="2" t="n">
        <v>0</v>
      </c>
      <c r="O3097" s="2" t="n">
        <v>13</v>
      </c>
      <c r="P3097" s="2" t="n">
        <v>2</v>
      </c>
      <c r="Q3097" s="2" t="n">
        <v>7</v>
      </c>
      <c r="R3097" s="2" t="n">
        <v>2</v>
      </c>
      <c r="S3097" s="2" t="n">
        <v>6</v>
      </c>
      <c r="T3097" s="2" t="n">
        <v>0</v>
      </c>
      <c r="U3097" s="2" t="n">
        <v>4</v>
      </c>
      <c r="V3097" s="2" t="n">
        <v>4</v>
      </c>
      <c r="W3097" s="2" t="n">
        <v>4</v>
      </c>
      <c r="X3097" s="2" t="n">
        <v>4</v>
      </c>
      <c r="Y3097" s="2" t="n">
        <v>3</v>
      </c>
      <c r="Z3097" s="2" t="n">
        <v>3</v>
      </c>
    </row>
    <row r="3098" customFormat="false" ht="15" hidden="false" customHeight="true" outlineLevel="0" collapsed="false">
      <c r="A3098" s="2" t="n">
        <v>24</v>
      </c>
      <c r="B3098" s="2" t="s">
        <v>33</v>
      </c>
      <c r="C3098" s="2" t="s">
        <v>27</v>
      </c>
      <c r="D3098" s="2" t="s">
        <v>35</v>
      </c>
      <c r="E3098" s="2" t="n">
        <v>27</v>
      </c>
      <c r="F3098" s="2" t="n">
        <v>2</v>
      </c>
      <c r="G3098" s="2" t="s">
        <v>43</v>
      </c>
      <c r="H3098" s="2" t="n">
        <v>3097</v>
      </c>
      <c r="I3098" s="2" t="s">
        <v>39</v>
      </c>
      <c r="J3098" s="2" t="n">
        <v>1</v>
      </c>
      <c r="K3098" s="2" t="s">
        <v>36</v>
      </c>
      <c r="L3098" s="2" t="s">
        <v>37</v>
      </c>
      <c r="M3098" s="2" t="n">
        <v>104220</v>
      </c>
      <c r="N3098" s="2" t="n">
        <v>1</v>
      </c>
      <c r="O3098" s="2" t="n">
        <v>17</v>
      </c>
      <c r="P3098" s="2" t="n">
        <v>1</v>
      </c>
      <c r="Q3098" s="2" t="n">
        <v>6</v>
      </c>
      <c r="R3098" s="2" t="n">
        <v>0</v>
      </c>
      <c r="S3098" s="2" t="n">
        <v>5</v>
      </c>
      <c r="T3098" s="2" t="n">
        <v>1</v>
      </c>
      <c r="U3098" s="2" t="n">
        <v>4</v>
      </c>
      <c r="V3098" s="2" t="n">
        <v>1</v>
      </c>
      <c r="W3098" s="2" t="n">
        <v>2</v>
      </c>
      <c r="X3098" s="2" t="n">
        <v>3</v>
      </c>
      <c r="Y3098" s="2" t="n">
        <v>2</v>
      </c>
      <c r="Z3098" s="2" t="n">
        <v>3</v>
      </c>
    </row>
    <row r="3099" customFormat="false" ht="15" hidden="false" customHeight="true" outlineLevel="0" collapsed="false">
      <c r="A3099" s="2" t="n">
        <v>34</v>
      </c>
      <c r="B3099" s="2" t="s">
        <v>33</v>
      </c>
      <c r="C3099" s="2" t="s">
        <v>34</v>
      </c>
      <c r="D3099" s="2" t="s">
        <v>35</v>
      </c>
      <c r="E3099" s="2" t="n">
        <v>5</v>
      </c>
      <c r="F3099" s="2" t="n">
        <v>3</v>
      </c>
      <c r="G3099" s="2" t="s">
        <v>43</v>
      </c>
      <c r="H3099" s="2" t="n">
        <v>3098</v>
      </c>
      <c r="I3099" s="2" t="s">
        <v>39</v>
      </c>
      <c r="J3099" s="2" t="n">
        <v>2</v>
      </c>
      <c r="K3099" s="2" t="s">
        <v>36</v>
      </c>
      <c r="L3099" s="2" t="s">
        <v>46</v>
      </c>
      <c r="M3099" s="2" t="n">
        <v>137440</v>
      </c>
      <c r="N3099" s="2" t="n">
        <v>0</v>
      </c>
      <c r="O3099" s="2" t="n">
        <v>20</v>
      </c>
      <c r="P3099" s="2" t="n">
        <v>1</v>
      </c>
      <c r="Q3099" s="2" t="n">
        <v>3</v>
      </c>
      <c r="R3099" s="2" t="n">
        <v>3</v>
      </c>
      <c r="S3099" s="2" t="n">
        <v>2</v>
      </c>
      <c r="T3099" s="2" t="n">
        <v>1</v>
      </c>
      <c r="U3099" s="2" t="n">
        <v>0</v>
      </c>
      <c r="V3099" s="2" t="n">
        <v>4</v>
      </c>
      <c r="W3099" s="2" t="n">
        <v>3</v>
      </c>
      <c r="X3099" s="2" t="n">
        <v>2</v>
      </c>
      <c r="Y3099" s="2" t="n">
        <v>3</v>
      </c>
      <c r="Z3099" s="2" t="n">
        <v>4</v>
      </c>
    </row>
    <row r="3100" customFormat="false" ht="15" hidden="false" customHeight="true" outlineLevel="0" collapsed="false">
      <c r="A3100" s="2" t="n">
        <v>38</v>
      </c>
      <c r="B3100" s="2" t="s">
        <v>26</v>
      </c>
      <c r="C3100" s="2" t="s">
        <v>34</v>
      </c>
      <c r="D3100" s="2" t="s">
        <v>28</v>
      </c>
      <c r="E3100" s="2" t="n">
        <v>3</v>
      </c>
      <c r="F3100" s="2" t="n">
        <v>3</v>
      </c>
      <c r="G3100" s="2" t="s">
        <v>50</v>
      </c>
      <c r="H3100" s="2" t="n">
        <v>3099</v>
      </c>
      <c r="I3100" s="2" t="s">
        <v>30</v>
      </c>
      <c r="J3100" s="2" t="n">
        <v>2</v>
      </c>
      <c r="K3100" s="2" t="s">
        <v>40</v>
      </c>
      <c r="L3100" s="2" t="s">
        <v>32</v>
      </c>
      <c r="M3100" s="2" t="n">
        <v>49070</v>
      </c>
      <c r="N3100" s="2" t="n">
        <v>1</v>
      </c>
      <c r="O3100" s="2" t="n">
        <v>11</v>
      </c>
      <c r="P3100" s="2" t="n">
        <v>1</v>
      </c>
      <c r="Q3100" s="2" t="n">
        <v>1</v>
      </c>
      <c r="R3100" s="2" t="n">
        <v>3</v>
      </c>
      <c r="S3100" s="2" t="n">
        <v>1</v>
      </c>
      <c r="T3100" s="2" t="n">
        <v>0</v>
      </c>
      <c r="U3100" s="2" t="n">
        <v>0</v>
      </c>
      <c r="V3100" s="2" t="n">
        <v>4</v>
      </c>
      <c r="W3100" s="2" t="n">
        <v>4</v>
      </c>
      <c r="X3100" s="2" t="n">
        <v>3</v>
      </c>
      <c r="Y3100" s="2" t="n">
        <v>3</v>
      </c>
      <c r="Z3100" s="2" t="n">
        <v>3</v>
      </c>
    </row>
    <row r="3101" customFormat="false" ht="15" hidden="false" customHeight="true" outlineLevel="0" collapsed="false">
      <c r="A3101" s="2" t="n">
        <v>40</v>
      </c>
      <c r="B3101" s="2" t="s">
        <v>26</v>
      </c>
      <c r="C3101" s="2" t="s">
        <v>27</v>
      </c>
      <c r="D3101" s="2" t="s">
        <v>28</v>
      </c>
      <c r="E3101" s="2" t="n">
        <v>26</v>
      </c>
      <c r="F3101" s="2" t="n">
        <v>4</v>
      </c>
      <c r="G3101" s="2" t="s">
        <v>50</v>
      </c>
      <c r="H3101" s="2" t="n">
        <v>3100</v>
      </c>
      <c r="I3101" s="2" t="s">
        <v>30</v>
      </c>
      <c r="J3101" s="2" t="n">
        <v>1</v>
      </c>
      <c r="K3101" s="2" t="s">
        <v>40</v>
      </c>
      <c r="L3101" s="2" t="s">
        <v>32</v>
      </c>
      <c r="M3101" s="2" t="n">
        <v>34820</v>
      </c>
      <c r="N3101" s="2" t="n">
        <v>0</v>
      </c>
      <c r="O3101" s="2" t="n">
        <v>18</v>
      </c>
      <c r="P3101" s="2" t="n">
        <v>1</v>
      </c>
      <c r="Q3101" s="2" t="n">
        <v>21</v>
      </c>
      <c r="R3101" s="2" t="n">
        <v>2</v>
      </c>
      <c r="S3101" s="2" t="n">
        <v>20</v>
      </c>
      <c r="T3101" s="2" t="n">
        <v>1</v>
      </c>
      <c r="U3101" s="2" t="n">
        <v>12</v>
      </c>
      <c r="V3101" s="2" t="n">
        <v>3</v>
      </c>
      <c r="W3101" s="2" t="n">
        <v>3</v>
      </c>
      <c r="X3101" s="2" t="n">
        <v>3</v>
      </c>
      <c r="Y3101" s="2" t="n">
        <v>2</v>
      </c>
      <c r="Z3101" s="2" t="n">
        <v>3</v>
      </c>
    </row>
    <row r="3102" customFormat="false" ht="15" hidden="false" customHeight="true" outlineLevel="0" collapsed="false">
      <c r="A3102" s="2" t="n">
        <v>26</v>
      </c>
      <c r="B3102" s="2" t="s">
        <v>26</v>
      </c>
      <c r="C3102" s="2" t="s">
        <v>27</v>
      </c>
      <c r="D3102" s="2" t="s">
        <v>35</v>
      </c>
      <c r="E3102" s="2" t="n">
        <v>3</v>
      </c>
      <c r="F3102" s="2" t="n">
        <v>2</v>
      </c>
      <c r="G3102" s="2" t="s">
        <v>43</v>
      </c>
      <c r="H3102" s="2" t="n">
        <v>3101</v>
      </c>
      <c r="I3102" s="2" t="s">
        <v>30</v>
      </c>
      <c r="J3102" s="2" t="n">
        <v>4</v>
      </c>
      <c r="K3102" s="2" t="s">
        <v>31</v>
      </c>
      <c r="L3102" s="2" t="s">
        <v>46</v>
      </c>
      <c r="M3102" s="2" t="n">
        <v>24360</v>
      </c>
      <c r="N3102" s="2" t="n">
        <v>1</v>
      </c>
      <c r="O3102" s="2" t="n">
        <v>24</v>
      </c>
      <c r="P3102" s="2" t="n">
        <v>0</v>
      </c>
      <c r="Q3102" s="2" t="n">
        <v>3</v>
      </c>
      <c r="R3102" s="2" t="n">
        <v>2</v>
      </c>
      <c r="S3102" s="2" t="n">
        <v>3</v>
      </c>
      <c r="T3102" s="2" t="n">
        <v>0</v>
      </c>
      <c r="U3102" s="2" t="n">
        <v>2</v>
      </c>
      <c r="V3102" s="2" t="n">
        <v>1</v>
      </c>
      <c r="W3102" s="2" t="n">
        <v>4</v>
      </c>
      <c r="X3102" s="2" t="n">
        <v>1</v>
      </c>
      <c r="Y3102" s="2" t="n">
        <v>4</v>
      </c>
      <c r="Z3102" s="2" t="n">
        <v>4</v>
      </c>
    </row>
    <row r="3103" customFormat="false" ht="15" hidden="false" customHeight="true" outlineLevel="0" collapsed="false">
      <c r="A3103" s="2" t="n">
        <v>30</v>
      </c>
      <c r="B3103" s="2" t="s">
        <v>26</v>
      </c>
      <c r="C3103" s="2" t="s">
        <v>41</v>
      </c>
      <c r="D3103" s="2" t="s">
        <v>35</v>
      </c>
      <c r="E3103" s="2" t="n">
        <v>15</v>
      </c>
      <c r="F3103" s="2" t="n">
        <v>3</v>
      </c>
      <c r="G3103" s="2" t="s">
        <v>43</v>
      </c>
      <c r="H3103" s="2" t="n">
        <v>3102</v>
      </c>
      <c r="I3103" s="2" t="s">
        <v>30</v>
      </c>
      <c r="J3103" s="2" t="n">
        <v>2</v>
      </c>
      <c r="K3103" s="2" t="s">
        <v>40</v>
      </c>
      <c r="L3103" s="2" t="s">
        <v>32</v>
      </c>
      <c r="M3103" s="2" t="n">
        <v>23800</v>
      </c>
      <c r="N3103" s="2" t="n">
        <v>4</v>
      </c>
      <c r="O3103" s="2" t="n">
        <v>18</v>
      </c>
      <c r="P3103" s="2" t="n">
        <v>3</v>
      </c>
      <c r="Q3103" s="2" t="n">
        <v>9</v>
      </c>
      <c r="R3103" s="2" t="n">
        <v>2</v>
      </c>
      <c r="S3103" s="2" t="n">
        <v>5</v>
      </c>
      <c r="T3103" s="2" t="n">
        <v>1</v>
      </c>
      <c r="U3103" s="2" t="n">
        <v>4</v>
      </c>
      <c r="V3103" s="2" t="n">
        <v>3</v>
      </c>
      <c r="W3103" s="2" t="n">
        <v>4</v>
      </c>
      <c r="X3103" s="2" t="n">
        <v>1</v>
      </c>
      <c r="Y3103" s="2" t="n">
        <v>2</v>
      </c>
      <c r="Z3103" s="2" t="n">
        <v>3</v>
      </c>
    </row>
    <row r="3104" customFormat="false" ht="15" hidden="false" customHeight="true" outlineLevel="0" collapsed="false">
      <c r="A3104" s="2" t="n">
        <v>29</v>
      </c>
      <c r="B3104" s="2" t="s">
        <v>26</v>
      </c>
      <c r="C3104" s="2" t="s">
        <v>27</v>
      </c>
      <c r="D3104" s="2" t="s">
        <v>35</v>
      </c>
      <c r="E3104" s="2" t="n">
        <v>8</v>
      </c>
      <c r="F3104" s="2" t="n">
        <v>3</v>
      </c>
      <c r="G3104" s="2" t="s">
        <v>43</v>
      </c>
      <c r="H3104" s="2" t="n">
        <v>3103</v>
      </c>
      <c r="I3104" s="2" t="s">
        <v>30</v>
      </c>
      <c r="J3104" s="2" t="n">
        <v>3</v>
      </c>
      <c r="K3104" s="2" t="s">
        <v>47</v>
      </c>
      <c r="L3104" s="2" t="s">
        <v>32</v>
      </c>
      <c r="M3104" s="2" t="n">
        <v>194310</v>
      </c>
      <c r="N3104" s="2" t="n">
        <v>1</v>
      </c>
      <c r="O3104" s="2" t="n">
        <v>11</v>
      </c>
      <c r="P3104" s="2" t="n">
        <v>0</v>
      </c>
      <c r="Q3104" s="2" t="n">
        <v>10</v>
      </c>
      <c r="R3104" s="2" t="n">
        <v>3</v>
      </c>
      <c r="S3104" s="2" t="n">
        <v>10</v>
      </c>
      <c r="T3104" s="2" t="n">
        <v>0</v>
      </c>
      <c r="U3104" s="2" t="n">
        <v>7</v>
      </c>
      <c r="V3104" s="2" t="n">
        <v>2</v>
      </c>
      <c r="W3104" s="2" t="n">
        <v>3</v>
      </c>
      <c r="X3104" s="2" t="n">
        <v>3</v>
      </c>
      <c r="Y3104" s="2" t="n">
        <v>3</v>
      </c>
      <c r="Z3104" s="2" t="n">
        <v>3</v>
      </c>
    </row>
    <row r="3105" customFormat="false" ht="15" hidden="false" customHeight="true" outlineLevel="0" collapsed="false">
      <c r="A3105" s="2" t="n">
        <v>29</v>
      </c>
      <c r="B3105" s="2" t="s">
        <v>33</v>
      </c>
      <c r="C3105" s="2" t="s">
        <v>27</v>
      </c>
      <c r="D3105" s="2" t="s">
        <v>35</v>
      </c>
      <c r="E3105" s="2" t="n">
        <v>19</v>
      </c>
      <c r="F3105" s="2" t="n">
        <v>4</v>
      </c>
      <c r="G3105" s="2" t="s">
        <v>29</v>
      </c>
      <c r="H3105" s="2" t="n">
        <v>3104</v>
      </c>
      <c r="I3105" s="2" t="s">
        <v>39</v>
      </c>
      <c r="J3105" s="2" t="n">
        <v>3</v>
      </c>
      <c r="K3105" s="2" t="s">
        <v>36</v>
      </c>
      <c r="L3105" s="2" t="s">
        <v>32</v>
      </c>
      <c r="M3105" s="2" t="n">
        <v>17900</v>
      </c>
      <c r="N3105" s="2" t="n">
        <v>5</v>
      </c>
      <c r="O3105" s="2" t="n">
        <v>16</v>
      </c>
      <c r="P3105" s="2" t="n">
        <v>1</v>
      </c>
      <c r="Q3105" s="2" t="n">
        <v>6</v>
      </c>
      <c r="R3105" s="2" t="n">
        <v>4</v>
      </c>
      <c r="S3105" s="2" t="n">
        <v>2</v>
      </c>
      <c r="T3105" s="2" t="n">
        <v>1</v>
      </c>
      <c r="U3105" s="2" t="n">
        <v>1</v>
      </c>
      <c r="V3105" s="2" t="n">
        <v>3</v>
      </c>
      <c r="W3105" s="2" t="n">
        <v>2</v>
      </c>
      <c r="X3105" s="2" t="n">
        <v>4</v>
      </c>
      <c r="Y3105" s="2" t="n">
        <v>2</v>
      </c>
      <c r="Z3105" s="2" t="n">
        <v>3</v>
      </c>
    </row>
    <row r="3106" customFormat="false" ht="15" hidden="false" customHeight="true" outlineLevel="0" collapsed="false">
      <c r="A3106" s="2" t="n">
        <v>19</v>
      </c>
      <c r="B3106" s="2" t="s">
        <v>33</v>
      </c>
      <c r="C3106" s="2" t="s">
        <v>27</v>
      </c>
      <c r="D3106" s="2" t="s">
        <v>35</v>
      </c>
      <c r="E3106" s="2" t="n">
        <v>4</v>
      </c>
      <c r="F3106" s="2" t="n">
        <v>3</v>
      </c>
      <c r="G3106" s="2" t="s">
        <v>43</v>
      </c>
      <c r="H3106" s="2" t="n">
        <v>3105</v>
      </c>
      <c r="I3106" s="2" t="s">
        <v>39</v>
      </c>
      <c r="J3106" s="2" t="n">
        <v>1</v>
      </c>
      <c r="K3106" s="2" t="s">
        <v>40</v>
      </c>
      <c r="L3106" s="2" t="s">
        <v>37</v>
      </c>
      <c r="M3106" s="2" t="n">
        <v>76440</v>
      </c>
      <c r="N3106" s="2" t="n">
        <v>1</v>
      </c>
      <c r="O3106" s="2" t="n">
        <v>15</v>
      </c>
      <c r="P3106" s="2" t="n">
        <v>2</v>
      </c>
      <c r="Q3106" s="2" t="n">
        <v>1</v>
      </c>
      <c r="R3106" s="2" t="n">
        <v>2</v>
      </c>
      <c r="S3106" s="2" t="n">
        <v>1</v>
      </c>
      <c r="T3106" s="2" t="n">
        <v>0</v>
      </c>
      <c r="U3106" s="2" t="n">
        <v>0</v>
      </c>
      <c r="V3106" s="2" t="n">
        <v>1</v>
      </c>
      <c r="W3106" s="2" t="n">
        <v>4</v>
      </c>
      <c r="X3106" s="2" t="n">
        <v>4</v>
      </c>
      <c r="Y3106" s="2" t="n">
        <v>3</v>
      </c>
      <c r="Z3106" s="2" t="n">
        <v>3</v>
      </c>
    </row>
    <row r="3107" customFormat="false" ht="15" hidden="false" customHeight="true" outlineLevel="0" collapsed="false">
      <c r="A3107" s="2" t="n">
        <v>30</v>
      </c>
      <c r="B3107" s="2" t="s">
        <v>26</v>
      </c>
      <c r="C3107" s="2" t="s">
        <v>41</v>
      </c>
      <c r="D3107" s="2" t="s">
        <v>35</v>
      </c>
      <c r="E3107" s="2" t="n">
        <v>2</v>
      </c>
      <c r="F3107" s="2" t="n">
        <v>4</v>
      </c>
      <c r="G3107" s="2" t="s">
        <v>29</v>
      </c>
      <c r="H3107" s="2" t="n">
        <v>3106</v>
      </c>
      <c r="I3107" s="2" t="s">
        <v>30</v>
      </c>
      <c r="J3107" s="2" t="n">
        <v>3</v>
      </c>
      <c r="K3107" s="2" t="s">
        <v>36</v>
      </c>
      <c r="L3107" s="2" t="s">
        <v>32</v>
      </c>
      <c r="M3107" s="2" t="n">
        <v>51310</v>
      </c>
      <c r="N3107" s="2" t="n">
        <v>0</v>
      </c>
      <c r="O3107" s="2" t="n">
        <v>15</v>
      </c>
      <c r="P3107" s="2" t="n">
        <v>1</v>
      </c>
      <c r="Q3107" s="2" t="n">
        <v>10</v>
      </c>
      <c r="R3107" s="2" t="n">
        <v>2</v>
      </c>
      <c r="S3107" s="2" t="n">
        <v>9</v>
      </c>
      <c r="T3107" s="2" t="n">
        <v>7</v>
      </c>
      <c r="U3107" s="2" t="n">
        <v>8</v>
      </c>
      <c r="V3107" s="2" t="n">
        <v>3</v>
      </c>
      <c r="W3107" s="2" t="n">
        <v>1</v>
      </c>
      <c r="X3107" s="2" t="n">
        <v>3</v>
      </c>
      <c r="Y3107" s="2" t="n">
        <v>3</v>
      </c>
      <c r="Z3107" s="2" t="n">
        <v>3</v>
      </c>
    </row>
    <row r="3108" customFormat="false" ht="15" hidden="false" customHeight="true" outlineLevel="0" collapsed="false">
      <c r="A3108" s="2" t="n">
        <v>57</v>
      </c>
      <c r="B3108" s="2" t="s">
        <v>26</v>
      </c>
      <c r="C3108" s="2" t="s">
        <v>27</v>
      </c>
      <c r="D3108" s="2" t="s">
        <v>35</v>
      </c>
      <c r="E3108" s="2" t="n">
        <v>2</v>
      </c>
      <c r="F3108" s="2" t="n">
        <v>2</v>
      </c>
      <c r="G3108" s="2" t="s">
        <v>29</v>
      </c>
      <c r="H3108" s="2" t="n">
        <v>3107</v>
      </c>
      <c r="I3108" s="2" t="s">
        <v>39</v>
      </c>
      <c r="J3108" s="2" t="n">
        <v>4</v>
      </c>
      <c r="K3108" s="2" t="s">
        <v>36</v>
      </c>
      <c r="L3108" s="2" t="s">
        <v>46</v>
      </c>
      <c r="M3108" s="2" t="n">
        <v>63060</v>
      </c>
      <c r="N3108" s="2" t="n">
        <v>3</v>
      </c>
      <c r="O3108" s="2" t="n">
        <v>12</v>
      </c>
      <c r="P3108" s="2" t="n">
        <v>1</v>
      </c>
      <c r="Q3108" s="2" t="n">
        <v>32</v>
      </c>
      <c r="R3108" s="2" t="n">
        <v>3</v>
      </c>
      <c r="S3108" s="2" t="n">
        <v>1</v>
      </c>
      <c r="T3108" s="2" t="n">
        <v>0</v>
      </c>
      <c r="U3108" s="2" t="n">
        <v>0</v>
      </c>
      <c r="V3108" s="2" t="n">
        <v>1</v>
      </c>
      <c r="W3108" s="2" t="n">
        <v>4</v>
      </c>
      <c r="X3108" s="2" t="n">
        <v>2</v>
      </c>
      <c r="Y3108" s="2" t="n">
        <v>3</v>
      </c>
      <c r="Z3108" s="2" t="n">
        <v>3</v>
      </c>
    </row>
    <row r="3109" customFormat="false" ht="15" hidden="false" customHeight="true" outlineLevel="0" collapsed="false">
      <c r="A3109" s="2" t="n">
        <v>50</v>
      </c>
      <c r="B3109" s="2" t="s">
        <v>26</v>
      </c>
      <c r="C3109" s="2" t="s">
        <v>27</v>
      </c>
      <c r="D3109" s="2" t="s">
        <v>28</v>
      </c>
      <c r="E3109" s="2" t="n">
        <v>10</v>
      </c>
      <c r="F3109" s="2" t="n">
        <v>4</v>
      </c>
      <c r="G3109" s="2" t="s">
        <v>29</v>
      </c>
      <c r="H3109" s="2" t="n">
        <v>3108</v>
      </c>
      <c r="I3109" s="2" t="s">
        <v>30</v>
      </c>
      <c r="J3109" s="2" t="n">
        <v>3</v>
      </c>
      <c r="K3109" s="2" t="s">
        <v>49</v>
      </c>
      <c r="L3109" s="2" t="s">
        <v>32</v>
      </c>
      <c r="M3109" s="2" t="n">
        <v>47870</v>
      </c>
      <c r="N3109" s="2" t="n">
        <v>0</v>
      </c>
      <c r="O3109" s="2" t="n">
        <v>12</v>
      </c>
      <c r="P3109" s="2" t="n">
        <v>0</v>
      </c>
      <c r="Q3109" s="2" t="n">
        <v>28</v>
      </c>
      <c r="R3109" s="2" t="n">
        <v>3</v>
      </c>
      <c r="S3109" s="2" t="n">
        <v>27</v>
      </c>
      <c r="T3109" s="2" t="n">
        <v>15</v>
      </c>
      <c r="U3109" s="2" t="n">
        <v>7</v>
      </c>
      <c r="V3109" s="2" t="n">
        <v>2</v>
      </c>
      <c r="W3109" s="2" t="n">
        <v>3</v>
      </c>
      <c r="X3109" s="2" t="n">
        <v>3</v>
      </c>
      <c r="Y3109" s="2" t="n">
        <v>3</v>
      </c>
      <c r="Z3109" s="2" t="n">
        <v>3</v>
      </c>
    </row>
    <row r="3110" customFormat="false" ht="15" hidden="false" customHeight="true" outlineLevel="0" collapsed="false">
      <c r="A3110" s="2" t="n">
        <v>30</v>
      </c>
      <c r="B3110" s="2" t="s">
        <v>26</v>
      </c>
      <c r="C3110" s="2" t="s">
        <v>41</v>
      </c>
      <c r="D3110" s="2" t="s">
        <v>28</v>
      </c>
      <c r="E3110" s="2" t="n">
        <v>10</v>
      </c>
      <c r="F3110" s="2" t="n">
        <v>2</v>
      </c>
      <c r="G3110" s="2" t="s">
        <v>29</v>
      </c>
      <c r="H3110" s="2" t="n">
        <v>3109</v>
      </c>
      <c r="I3110" s="2" t="s">
        <v>39</v>
      </c>
      <c r="J3110" s="2" t="n">
        <v>3</v>
      </c>
      <c r="K3110" s="2" t="s">
        <v>45</v>
      </c>
      <c r="L3110" s="2" t="s">
        <v>37</v>
      </c>
      <c r="M3110" s="2" t="n">
        <v>188800</v>
      </c>
      <c r="N3110" s="2" t="n">
        <v>0</v>
      </c>
      <c r="O3110" s="2" t="n">
        <v>22</v>
      </c>
      <c r="P3110" s="2" t="n">
        <v>1</v>
      </c>
      <c r="Q3110" s="2" t="n">
        <v>12</v>
      </c>
      <c r="R3110" s="2" t="n">
        <v>3</v>
      </c>
      <c r="S3110" s="2" t="n">
        <v>11</v>
      </c>
      <c r="T3110" s="2" t="n">
        <v>6</v>
      </c>
      <c r="U3110" s="2" t="n">
        <v>7</v>
      </c>
      <c r="V3110" s="2" t="n">
        <v>3</v>
      </c>
      <c r="W3110" s="2" t="n">
        <v>4</v>
      </c>
      <c r="X3110" s="2" t="n">
        <v>2</v>
      </c>
      <c r="Y3110" s="2" t="n">
        <v>3</v>
      </c>
      <c r="Z3110" s="2" t="n">
        <v>4</v>
      </c>
    </row>
    <row r="3111" customFormat="false" ht="15" hidden="false" customHeight="true" outlineLevel="0" collapsed="false">
      <c r="A3111" s="2" t="n">
        <v>60</v>
      </c>
      <c r="B3111" s="2" t="s">
        <v>26</v>
      </c>
      <c r="C3111" s="2" t="s">
        <v>34</v>
      </c>
      <c r="D3111" s="2" t="s">
        <v>35</v>
      </c>
      <c r="E3111" s="2" t="n">
        <v>16</v>
      </c>
      <c r="F3111" s="2" t="n">
        <v>3</v>
      </c>
      <c r="G3111" s="2" t="s">
        <v>29</v>
      </c>
      <c r="H3111" s="2" t="n">
        <v>3110</v>
      </c>
      <c r="I3111" s="2" t="s">
        <v>30</v>
      </c>
      <c r="J3111" s="2" t="n">
        <v>4</v>
      </c>
      <c r="K3111" s="2" t="s">
        <v>45</v>
      </c>
      <c r="L3111" s="2" t="s">
        <v>32</v>
      </c>
      <c r="M3111" s="2" t="n">
        <v>23390</v>
      </c>
      <c r="N3111" s="2" t="n">
        <v>4</v>
      </c>
      <c r="O3111" s="2" t="n">
        <v>20</v>
      </c>
      <c r="P3111" s="2" t="n">
        <v>0</v>
      </c>
      <c r="Q3111" s="2" t="n">
        <v>22</v>
      </c>
      <c r="R3111" s="2" t="n">
        <v>4</v>
      </c>
      <c r="S3111" s="2" t="n">
        <v>18</v>
      </c>
      <c r="T3111" s="2" t="n">
        <v>13</v>
      </c>
      <c r="U3111" s="2" t="n">
        <v>11</v>
      </c>
      <c r="V3111" s="2" t="n">
        <v>3</v>
      </c>
      <c r="W3111" s="2" t="n">
        <v>1</v>
      </c>
      <c r="X3111" s="2" t="n">
        <v>4</v>
      </c>
      <c r="Y3111" s="2" t="n">
        <v>3</v>
      </c>
      <c r="Z3111" s="2" t="n">
        <v>4</v>
      </c>
    </row>
    <row r="3112" customFormat="false" ht="15" hidden="false" customHeight="true" outlineLevel="0" collapsed="false">
      <c r="A3112" s="2" t="n">
        <v>47</v>
      </c>
      <c r="B3112" s="2" t="s">
        <v>26</v>
      </c>
      <c r="C3112" s="2" t="s">
        <v>27</v>
      </c>
      <c r="D3112" s="2" t="s">
        <v>35</v>
      </c>
      <c r="E3112" s="2" t="n">
        <v>1</v>
      </c>
      <c r="F3112" s="2" t="n">
        <v>3</v>
      </c>
      <c r="G3112" s="2" t="s">
        <v>51</v>
      </c>
      <c r="H3112" s="2" t="n">
        <v>3111</v>
      </c>
      <c r="I3112" s="2" t="s">
        <v>39</v>
      </c>
      <c r="J3112" s="2" t="n">
        <v>5</v>
      </c>
      <c r="K3112" s="2" t="s">
        <v>47</v>
      </c>
      <c r="L3112" s="2" t="s">
        <v>46</v>
      </c>
      <c r="M3112" s="2" t="n">
        <v>135700</v>
      </c>
      <c r="N3112" s="2" t="n">
        <v>5</v>
      </c>
      <c r="O3112" s="2" t="n">
        <v>16</v>
      </c>
      <c r="P3112" s="2" t="n">
        <v>2</v>
      </c>
      <c r="Q3112" s="2" t="n">
        <v>20</v>
      </c>
      <c r="R3112" s="2" t="n">
        <v>2</v>
      </c>
      <c r="S3112" s="2" t="n">
        <v>5</v>
      </c>
      <c r="T3112" s="2" t="n">
        <v>0</v>
      </c>
      <c r="U3112" s="2" t="n">
        <v>4</v>
      </c>
      <c r="V3112" s="2" t="n">
        <v>1</v>
      </c>
      <c r="W3112" s="2" t="n">
        <v>4</v>
      </c>
      <c r="X3112" s="2" t="n">
        <v>3</v>
      </c>
      <c r="Y3112" s="2" t="n">
        <v>2</v>
      </c>
      <c r="Z3112" s="2" t="n">
        <v>3</v>
      </c>
    </row>
    <row r="3113" customFormat="false" ht="15" hidden="false" customHeight="true" outlineLevel="0" collapsed="false">
      <c r="A3113" s="2" t="n">
        <v>46</v>
      </c>
      <c r="B3113" s="2" t="s">
        <v>26</v>
      </c>
      <c r="C3113" s="2" t="s">
        <v>27</v>
      </c>
      <c r="D3113" s="2" t="s">
        <v>28</v>
      </c>
      <c r="E3113" s="2" t="n">
        <v>4</v>
      </c>
      <c r="F3113" s="2" t="n">
        <v>1</v>
      </c>
      <c r="G3113" s="2" t="s">
        <v>51</v>
      </c>
      <c r="H3113" s="2" t="n">
        <v>3112</v>
      </c>
      <c r="I3113" s="2" t="s">
        <v>39</v>
      </c>
      <c r="J3113" s="2" t="n">
        <v>1</v>
      </c>
      <c r="K3113" s="2" t="s">
        <v>45</v>
      </c>
      <c r="L3113" s="2" t="s">
        <v>32</v>
      </c>
      <c r="M3113" s="2" t="n">
        <v>67120</v>
      </c>
      <c r="N3113" s="2" t="n">
        <v>6</v>
      </c>
      <c r="O3113" s="2" t="n">
        <v>21</v>
      </c>
      <c r="P3113" s="2" t="n">
        <v>1</v>
      </c>
      <c r="Q3113" s="2" t="n">
        <v>26</v>
      </c>
      <c r="R3113" s="2" t="n">
        <v>3</v>
      </c>
      <c r="S3113" s="2" t="n">
        <v>3</v>
      </c>
      <c r="T3113" s="2" t="n">
        <v>0</v>
      </c>
      <c r="U3113" s="2" t="n">
        <v>1</v>
      </c>
      <c r="V3113" s="2" t="n">
        <v>1</v>
      </c>
      <c r="W3113" s="2" t="n">
        <v>3</v>
      </c>
      <c r="X3113" s="2" t="n">
        <v>1</v>
      </c>
      <c r="Y3113" s="2" t="n">
        <v>2</v>
      </c>
      <c r="Z3113" s="2" t="n">
        <v>4</v>
      </c>
    </row>
    <row r="3114" customFormat="false" ht="15" hidden="false" customHeight="true" outlineLevel="0" collapsed="false">
      <c r="A3114" s="2" t="n">
        <v>35</v>
      </c>
      <c r="B3114" s="2" t="s">
        <v>26</v>
      </c>
      <c r="C3114" s="2" t="s">
        <v>27</v>
      </c>
      <c r="D3114" s="2" t="s">
        <v>35</v>
      </c>
      <c r="E3114" s="2" t="n">
        <v>15</v>
      </c>
      <c r="F3114" s="2" t="n">
        <v>2</v>
      </c>
      <c r="G3114" s="2" t="s">
        <v>43</v>
      </c>
      <c r="H3114" s="2" t="n">
        <v>3113</v>
      </c>
      <c r="I3114" s="2" t="s">
        <v>30</v>
      </c>
      <c r="J3114" s="2" t="n">
        <v>2</v>
      </c>
      <c r="K3114" s="2" t="s">
        <v>45</v>
      </c>
      <c r="L3114" s="2" t="s">
        <v>37</v>
      </c>
      <c r="M3114" s="2" t="n">
        <v>54060</v>
      </c>
      <c r="N3114" s="2" t="n">
        <v>0</v>
      </c>
      <c r="O3114" s="2" t="n">
        <v>12</v>
      </c>
      <c r="P3114" s="2" t="n">
        <v>1</v>
      </c>
      <c r="Q3114" s="2" t="n">
        <v>6</v>
      </c>
      <c r="R3114" s="2" t="n">
        <v>2</v>
      </c>
      <c r="S3114" s="2" t="n">
        <v>5</v>
      </c>
      <c r="T3114" s="2" t="n">
        <v>4</v>
      </c>
      <c r="U3114" s="2" t="n">
        <v>3</v>
      </c>
      <c r="V3114" s="2" t="n">
        <v>4</v>
      </c>
      <c r="W3114" s="2" t="n">
        <v>3</v>
      </c>
      <c r="X3114" s="2" t="n">
        <v>3</v>
      </c>
      <c r="Y3114" s="2" t="n">
        <v>3</v>
      </c>
      <c r="Z3114" s="2" t="n">
        <v>3</v>
      </c>
    </row>
    <row r="3115" customFormat="false" ht="15" hidden="false" customHeight="true" outlineLevel="0" collapsed="false">
      <c r="A3115" s="2" t="n">
        <v>54</v>
      </c>
      <c r="B3115" s="2" t="s">
        <v>26</v>
      </c>
      <c r="C3115" s="2" t="s">
        <v>27</v>
      </c>
      <c r="D3115" s="2" t="s">
        <v>35</v>
      </c>
      <c r="E3115" s="2" t="n">
        <v>2</v>
      </c>
      <c r="F3115" s="2" t="n">
        <v>4</v>
      </c>
      <c r="G3115" s="2" t="s">
        <v>43</v>
      </c>
      <c r="H3115" s="2" t="n">
        <v>3114</v>
      </c>
      <c r="I3115" s="2" t="s">
        <v>39</v>
      </c>
      <c r="J3115" s="2" t="n">
        <v>2</v>
      </c>
      <c r="K3115" s="2" t="s">
        <v>42</v>
      </c>
      <c r="L3115" s="2" t="s">
        <v>37</v>
      </c>
      <c r="M3115" s="2" t="n">
        <v>89380</v>
      </c>
      <c r="N3115" s="2" t="n">
        <v>7</v>
      </c>
      <c r="O3115" s="2" t="n">
        <v>11</v>
      </c>
      <c r="P3115" s="2" t="n">
        <v>3</v>
      </c>
      <c r="Q3115" s="2" t="n">
        <v>19</v>
      </c>
      <c r="R3115" s="2" t="n">
        <v>2</v>
      </c>
      <c r="S3115" s="2" t="n">
        <v>1</v>
      </c>
      <c r="T3115" s="2" t="n">
        <v>0</v>
      </c>
      <c r="U3115" s="2" t="n">
        <v>0</v>
      </c>
      <c r="V3115" s="2" t="n">
        <v>3</v>
      </c>
      <c r="W3115" s="2" t="n">
        <v>3</v>
      </c>
      <c r="X3115" s="2" t="n">
        <v>3</v>
      </c>
      <c r="Y3115" s="2" t="n">
        <v>3</v>
      </c>
      <c r="Z3115" s="2" t="n">
        <v>3</v>
      </c>
    </row>
    <row r="3116" customFormat="false" ht="15" hidden="false" customHeight="true" outlineLevel="0" collapsed="false">
      <c r="A3116" s="2" t="n">
        <v>34</v>
      </c>
      <c r="B3116" s="2" t="s">
        <v>26</v>
      </c>
      <c r="C3116" s="2" t="s">
        <v>27</v>
      </c>
      <c r="D3116" s="2" t="s">
        <v>28</v>
      </c>
      <c r="E3116" s="2" t="n">
        <v>8</v>
      </c>
      <c r="F3116" s="2" t="n">
        <v>2</v>
      </c>
      <c r="G3116" s="2" t="s">
        <v>29</v>
      </c>
      <c r="H3116" s="2" t="n">
        <v>3115</v>
      </c>
      <c r="I3116" s="2" t="s">
        <v>39</v>
      </c>
      <c r="J3116" s="2" t="n">
        <v>1</v>
      </c>
      <c r="K3116" s="2" t="s">
        <v>45</v>
      </c>
      <c r="L3116" s="2" t="s">
        <v>46</v>
      </c>
      <c r="M3116" s="2" t="n">
        <v>24390</v>
      </c>
      <c r="N3116" s="2" t="n">
        <v>3</v>
      </c>
      <c r="O3116" s="2" t="n">
        <v>11</v>
      </c>
      <c r="P3116" s="2" t="n">
        <v>2</v>
      </c>
      <c r="Q3116" s="2" t="n">
        <v>14</v>
      </c>
      <c r="R3116" s="2" t="n">
        <v>2</v>
      </c>
      <c r="S3116" s="2" t="n">
        <v>7</v>
      </c>
      <c r="T3116" s="2" t="n">
        <v>5</v>
      </c>
      <c r="U3116" s="2" t="n">
        <v>7</v>
      </c>
      <c r="V3116" s="2"/>
      <c r="W3116" s="2" t="n">
        <v>3</v>
      </c>
      <c r="X3116" s="2" t="n">
        <v>3</v>
      </c>
      <c r="Y3116" s="2" t="n">
        <v>4</v>
      </c>
      <c r="Z3116" s="2" t="n">
        <v>3</v>
      </c>
    </row>
    <row r="3117" customFormat="false" ht="15" hidden="false" customHeight="true" outlineLevel="0" collapsed="false">
      <c r="A3117" s="2" t="n">
        <v>46</v>
      </c>
      <c r="B3117" s="2" t="s">
        <v>26</v>
      </c>
      <c r="C3117" s="2" t="s">
        <v>27</v>
      </c>
      <c r="D3117" s="2" t="s">
        <v>35</v>
      </c>
      <c r="E3117" s="2" t="n">
        <v>2</v>
      </c>
      <c r="F3117" s="2" t="n">
        <v>3</v>
      </c>
      <c r="G3117" s="2" t="s">
        <v>29</v>
      </c>
      <c r="H3117" s="2" t="n">
        <v>3116</v>
      </c>
      <c r="I3117" s="2" t="s">
        <v>39</v>
      </c>
      <c r="J3117" s="2" t="n">
        <v>1</v>
      </c>
      <c r="K3117" s="2" t="s">
        <v>31</v>
      </c>
      <c r="L3117" s="2" t="s">
        <v>32</v>
      </c>
      <c r="M3117" s="2" t="n">
        <v>88370</v>
      </c>
      <c r="N3117" s="2" t="n">
        <v>2</v>
      </c>
      <c r="O3117" s="2" t="n">
        <v>18</v>
      </c>
      <c r="P3117" s="2" t="n">
        <v>0</v>
      </c>
      <c r="Q3117" s="2" t="n">
        <v>15</v>
      </c>
      <c r="R3117" s="2" t="n">
        <v>3</v>
      </c>
      <c r="S3117" s="2" t="n">
        <v>3</v>
      </c>
      <c r="T3117" s="2" t="n">
        <v>1</v>
      </c>
      <c r="U3117" s="2" t="n">
        <v>2</v>
      </c>
      <c r="V3117" s="2" t="n">
        <v>3</v>
      </c>
      <c r="W3117" s="2" t="n">
        <v>4</v>
      </c>
      <c r="X3117" s="2" t="n">
        <v>3</v>
      </c>
      <c r="Y3117" s="2" t="n">
        <v>2</v>
      </c>
      <c r="Z3117" s="2" t="n">
        <v>3</v>
      </c>
    </row>
    <row r="3118" customFormat="false" ht="15" hidden="false" customHeight="true" outlineLevel="0" collapsed="false">
      <c r="A3118" s="2" t="n">
        <v>31</v>
      </c>
      <c r="B3118" s="2" t="s">
        <v>26</v>
      </c>
      <c r="C3118" s="2" t="s">
        <v>27</v>
      </c>
      <c r="D3118" s="2" t="s">
        <v>35</v>
      </c>
      <c r="E3118" s="2" t="n">
        <v>7</v>
      </c>
      <c r="F3118" s="2" t="n">
        <v>3</v>
      </c>
      <c r="G3118" s="2" t="s">
        <v>29</v>
      </c>
      <c r="H3118" s="2" t="n">
        <v>3117</v>
      </c>
      <c r="I3118" s="2" t="s">
        <v>39</v>
      </c>
      <c r="J3118" s="2" t="n">
        <v>2</v>
      </c>
      <c r="K3118" s="2" t="s">
        <v>44</v>
      </c>
      <c r="L3118" s="2" t="s">
        <v>46</v>
      </c>
      <c r="M3118" s="2" t="n">
        <v>53430</v>
      </c>
      <c r="N3118" s="2" t="n">
        <v>1</v>
      </c>
      <c r="O3118" s="2" t="n">
        <v>14</v>
      </c>
      <c r="P3118" s="2" t="n">
        <v>1</v>
      </c>
      <c r="Q3118" s="2" t="n">
        <v>13</v>
      </c>
      <c r="R3118" s="2" t="n">
        <v>3</v>
      </c>
      <c r="S3118" s="2" t="n">
        <v>13</v>
      </c>
      <c r="T3118" s="2" t="n">
        <v>0</v>
      </c>
      <c r="U3118" s="2" t="n">
        <v>8</v>
      </c>
      <c r="V3118" s="2" t="n">
        <v>3</v>
      </c>
      <c r="W3118" s="2" t="n">
        <v>2</v>
      </c>
      <c r="X3118" s="2" t="n">
        <v>4</v>
      </c>
      <c r="Y3118" s="2" t="n">
        <v>3</v>
      </c>
      <c r="Z3118" s="2" t="n">
        <v>3</v>
      </c>
    </row>
    <row r="3119" customFormat="false" ht="15" hidden="false" customHeight="true" outlineLevel="0" collapsed="false">
      <c r="A3119" s="2" t="n">
        <v>33</v>
      </c>
      <c r="B3119" s="2" t="s">
        <v>33</v>
      </c>
      <c r="C3119" s="2" t="s">
        <v>27</v>
      </c>
      <c r="D3119" s="2" t="s">
        <v>35</v>
      </c>
      <c r="E3119" s="2" t="n">
        <v>10</v>
      </c>
      <c r="F3119" s="2" t="n">
        <v>3</v>
      </c>
      <c r="G3119" s="2" t="s">
        <v>29</v>
      </c>
      <c r="H3119" s="2" t="n">
        <v>3118</v>
      </c>
      <c r="I3119" s="2" t="s">
        <v>30</v>
      </c>
      <c r="J3119" s="2" t="n">
        <v>4</v>
      </c>
      <c r="K3119" s="2" t="s">
        <v>44</v>
      </c>
      <c r="L3119" s="2" t="s">
        <v>32</v>
      </c>
      <c r="M3119" s="2" t="n">
        <v>67280</v>
      </c>
      <c r="N3119" s="2" t="n">
        <v>7</v>
      </c>
      <c r="O3119" s="2" t="n">
        <v>22</v>
      </c>
      <c r="P3119" s="2" t="n">
        <v>0</v>
      </c>
      <c r="Q3119" s="2" t="n">
        <v>15</v>
      </c>
      <c r="R3119" s="2" t="n">
        <v>2</v>
      </c>
      <c r="S3119" s="2" t="n">
        <v>7</v>
      </c>
      <c r="T3119" s="2" t="n">
        <v>7</v>
      </c>
      <c r="U3119" s="2" t="n">
        <v>7</v>
      </c>
      <c r="V3119" s="2" t="n">
        <v>2</v>
      </c>
      <c r="W3119" s="2" t="n">
        <v>3</v>
      </c>
      <c r="X3119" s="2" t="n">
        <v>4</v>
      </c>
      <c r="Y3119" s="2" t="n">
        <v>2</v>
      </c>
      <c r="Z3119" s="2" t="n">
        <v>4</v>
      </c>
    </row>
    <row r="3120" customFormat="false" ht="15" hidden="false" customHeight="true" outlineLevel="0" collapsed="false">
      <c r="A3120" s="2" t="n">
        <v>33</v>
      </c>
      <c r="B3120" s="2" t="s">
        <v>33</v>
      </c>
      <c r="C3120" s="2" t="s">
        <v>27</v>
      </c>
      <c r="D3120" s="2" t="s">
        <v>28</v>
      </c>
      <c r="E3120" s="2" t="n">
        <v>5</v>
      </c>
      <c r="F3120" s="2" t="n">
        <v>4</v>
      </c>
      <c r="G3120" s="2" t="s">
        <v>50</v>
      </c>
      <c r="H3120" s="2" t="n">
        <v>3119</v>
      </c>
      <c r="I3120" s="2" t="s">
        <v>39</v>
      </c>
      <c r="J3120" s="2" t="n">
        <v>2</v>
      </c>
      <c r="K3120" s="2" t="s">
        <v>44</v>
      </c>
      <c r="L3120" s="2" t="s">
        <v>46</v>
      </c>
      <c r="M3120" s="2" t="n">
        <v>66520</v>
      </c>
      <c r="N3120" s="2" t="n">
        <v>7</v>
      </c>
      <c r="O3120" s="2" t="n">
        <v>25</v>
      </c>
      <c r="P3120" s="2" t="n">
        <v>0</v>
      </c>
      <c r="Q3120" s="2" t="n">
        <v>8</v>
      </c>
      <c r="R3120" s="2" t="n">
        <v>5</v>
      </c>
      <c r="S3120" s="2" t="n">
        <v>4</v>
      </c>
      <c r="T3120" s="2" t="n">
        <v>1</v>
      </c>
      <c r="U3120" s="2" t="n">
        <v>3</v>
      </c>
      <c r="V3120" s="2" t="n">
        <v>1</v>
      </c>
      <c r="W3120" s="2" t="n">
        <v>4</v>
      </c>
      <c r="X3120" s="2" t="n">
        <v>3</v>
      </c>
      <c r="Y3120" s="2" t="n">
        <v>3</v>
      </c>
      <c r="Z3120" s="2" t="n">
        <v>4</v>
      </c>
    </row>
    <row r="3121" customFormat="false" ht="15" hidden="false" customHeight="true" outlineLevel="0" collapsed="false">
      <c r="A3121" s="2" t="n">
        <v>30</v>
      </c>
      <c r="B3121" s="2" t="s">
        <v>26</v>
      </c>
      <c r="C3121" s="2" t="s">
        <v>27</v>
      </c>
      <c r="D3121" s="2" t="s">
        <v>35</v>
      </c>
      <c r="E3121" s="2" t="n">
        <v>2</v>
      </c>
      <c r="F3121" s="2" t="n">
        <v>3</v>
      </c>
      <c r="G3121" s="2" t="s">
        <v>29</v>
      </c>
      <c r="H3121" s="2" t="n">
        <v>3120</v>
      </c>
      <c r="I3121" s="2" t="s">
        <v>39</v>
      </c>
      <c r="J3121" s="2" t="n">
        <v>1</v>
      </c>
      <c r="K3121" s="2" t="s">
        <v>40</v>
      </c>
      <c r="L3121" s="2" t="s">
        <v>37</v>
      </c>
      <c r="M3121" s="2" t="n">
        <v>48500</v>
      </c>
      <c r="N3121" s="2" t="n">
        <v>0</v>
      </c>
      <c r="O3121" s="2" t="n">
        <v>12</v>
      </c>
      <c r="P3121" s="2" t="n">
        <v>1</v>
      </c>
      <c r="Q3121" s="2" t="n">
        <v>4</v>
      </c>
      <c r="R3121" s="2" t="n">
        <v>4</v>
      </c>
      <c r="S3121" s="2" t="n">
        <v>3</v>
      </c>
      <c r="T3121" s="2" t="n">
        <v>1</v>
      </c>
      <c r="U3121" s="2" t="n">
        <v>2</v>
      </c>
      <c r="V3121" s="2" t="n">
        <v>4</v>
      </c>
      <c r="W3121" s="2" t="n">
        <v>2</v>
      </c>
      <c r="X3121" s="2" t="n">
        <v>3</v>
      </c>
      <c r="Y3121" s="2" t="n">
        <v>3</v>
      </c>
      <c r="Z3121" s="2" t="n">
        <v>3</v>
      </c>
    </row>
    <row r="3122" customFormat="false" ht="15" hidden="false" customHeight="true" outlineLevel="0" collapsed="false">
      <c r="A3122" s="2" t="n">
        <v>35</v>
      </c>
      <c r="B3122" s="2" t="s">
        <v>26</v>
      </c>
      <c r="C3122" s="2" t="s">
        <v>27</v>
      </c>
      <c r="D3122" s="2" t="s">
        <v>35</v>
      </c>
      <c r="E3122" s="2" t="n">
        <v>12</v>
      </c>
      <c r="F3122" s="2" t="n">
        <v>2</v>
      </c>
      <c r="G3122" s="2" t="s">
        <v>43</v>
      </c>
      <c r="H3122" s="2" t="n">
        <v>3121</v>
      </c>
      <c r="I3122" s="2" t="s">
        <v>30</v>
      </c>
      <c r="J3122" s="2" t="n">
        <v>2</v>
      </c>
      <c r="K3122" s="2" t="s">
        <v>48</v>
      </c>
      <c r="L3122" s="2" t="s">
        <v>32</v>
      </c>
      <c r="M3122" s="2" t="n">
        <v>28090</v>
      </c>
      <c r="N3122" s="2" t="n">
        <v>4</v>
      </c>
      <c r="O3122" s="2" t="n">
        <v>23</v>
      </c>
      <c r="P3122" s="2" t="n">
        <v>1</v>
      </c>
      <c r="Q3122" s="2"/>
      <c r="R3122" s="2" t="n">
        <v>2</v>
      </c>
      <c r="S3122" s="2" t="n">
        <v>8</v>
      </c>
      <c r="T3122" s="2" t="n">
        <v>0</v>
      </c>
      <c r="U3122" s="2" t="n">
        <v>0</v>
      </c>
      <c r="V3122" s="2" t="n">
        <v>4</v>
      </c>
      <c r="W3122" s="2" t="n">
        <v>3</v>
      </c>
      <c r="X3122" s="2" t="n">
        <v>3</v>
      </c>
      <c r="Y3122" s="2" t="n">
        <v>1</v>
      </c>
      <c r="Z3122" s="2" t="n">
        <v>4</v>
      </c>
    </row>
    <row r="3123" customFormat="false" ht="15" hidden="false" customHeight="true" outlineLevel="0" collapsed="false">
      <c r="A3123" s="2" t="n">
        <v>31</v>
      </c>
      <c r="B3123" s="2" t="s">
        <v>33</v>
      </c>
      <c r="C3123" s="2" t="s">
        <v>34</v>
      </c>
      <c r="D3123" s="2" t="s">
        <v>35</v>
      </c>
      <c r="E3123" s="2" t="n">
        <v>22</v>
      </c>
      <c r="F3123" s="2" t="n">
        <v>2</v>
      </c>
      <c r="G3123" s="2" t="s">
        <v>43</v>
      </c>
      <c r="H3123" s="2" t="n">
        <v>3122</v>
      </c>
      <c r="I3123" s="2" t="s">
        <v>30</v>
      </c>
      <c r="J3123" s="2" t="n">
        <v>2</v>
      </c>
      <c r="K3123" s="2" t="s">
        <v>40</v>
      </c>
      <c r="L3123" s="2" t="s">
        <v>32</v>
      </c>
      <c r="M3123" s="2" t="n">
        <v>56890</v>
      </c>
      <c r="N3123" s="2" t="n">
        <v>3</v>
      </c>
      <c r="O3123" s="2" t="n">
        <v>15</v>
      </c>
      <c r="P3123" s="2" t="n">
        <v>2</v>
      </c>
      <c r="Q3123" s="2" t="n">
        <v>12</v>
      </c>
      <c r="R3123" s="2" t="n">
        <v>2</v>
      </c>
      <c r="S3123" s="2" t="n">
        <v>1</v>
      </c>
      <c r="T3123" s="2" t="n">
        <v>0</v>
      </c>
      <c r="U3123" s="2" t="n">
        <v>0</v>
      </c>
      <c r="V3123" s="2" t="n">
        <v>1</v>
      </c>
      <c r="W3123" s="2" t="n">
        <v>3</v>
      </c>
      <c r="X3123" s="2" t="n">
        <v>3</v>
      </c>
      <c r="Y3123" s="2" t="n">
        <v>2</v>
      </c>
      <c r="Z3123" s="2" t="n">
        <v>3</v>
      </c>
    </row>
    <row r="3124" customFormat="false" ht="15" hidden="false" customHeight="true" outlineLevel="0" collapsed="false">
      <c r="A3124" s="2" t="n">
        <v>34</v>
      </c>
      <c r="B3124" s="2" t="s">
        <v>33</v>
      </c>
      <c r="C3124" s="2" t="s">
        <v>34</v>
      </c>
      <c r="D3124" s="2" t="s">
        <v>28</v>
      </c>
      <c r="E3124" s="2" t="n">
        <v>17</v>
      </c>
      <c r="F3124" s="2" t="n">
        <v>1</v>
      </c>
      <c r="G3124" s="2" t="s">
        <v>50</v>
      </c>
      <c r="H3124" s="2" t="n">
        <v>3123</v>
      </c>
      <c r="I3124" s="2" t="s">
        <v>39</v>
      </c>
      <c r="J3124" s="2" t="n">
        <v>1</v>
      </c>
      <c r="K3124" s="2" t="s">
        <v>44</v>
      </c>
      <c r="L3124" s="2" t="s">
        <v>46</v>
      </c>
      <c r="M3124" s="2" t="n">
        <v>20010</v>
      </c>
      <c r="N3124" s="2" t="n">
        <v>9</v>
      </c>
      <c r="O3124" s="2" t="n">
        <v>22</v>
      </c>
      <c r="P3124" s="2" t="n">
        <v>1</v>
      </c>
      <c r="Q3124" s="2" t="n">
        <v>11</v>
      </c>
      <c r="R3124" s="2" t="n">
        <v>5</v>
      </c>
      <c r="S3124" s="2" t="n">
        <v>3</v>
      </c>
      <c r="T3124" s="2" t="n">
        <v>0</v>
      </c>
      <c r="U3124" s="2" t="n">
        <v>2</v>
      </c>
      <c r="V3124" s="2" t="n">
        <v>2</v>
      </c>
      <c r="W3124" s="2" t="n">
        <v>1</v>
      </c>
      <c r="X3124" s="2" t="n">
        <v>3</v>
      </c>
      <c r="Y3124" s="2" t="n">
        <v>4</v>
      </c>
      <c r="Z3124" s="2" t="n">
        <v>4</v>
      </c>
    </row>
    <row r="3125" customFormat="false" ht="15" hidden="false" customHeight="true" outlineLevel="0" collapsed="false">
      <c r="A3125" s="2" t="n">
        <v>42</v>
      </c>
      <c r="B3125" s="2" t="s">
        <v>26</v>
      </c>
      <c r="C3125" s="2" t="s">
        <v>34</v>
      </c>
      <c r="D3125" s="2" t="s">
        <v>35</v>
      </c>
      <c r="E3125" s="2" t="n">
        <v>2</v>
      </c>
      <c r="F3125" s="2" t="n">
        <v>4</v>
      </c>
      <c r="G3125" s="2" t="s">
        <v>43</v>
      </c>
      <c r="H3125" s="2" t="n">
        <v>3124</v>
      </c>
      <c r="I3125" s="2" t="s">
        <v>30</v>
      </c>
      <c r="J3125" s="2" t="n">
        <v>1</v>
      </c>
      <c r="K3125" s="2" t="s">
        <v>36</v>
      </c>
      <c r="L3125" s="2" t="s">
        <v>32</v>
      </c>
      <c r="M3125" s="2" t="n">
        <v>29770</v>
      </c>
      <c r="N3125" s="2" t="n">
        <v>4</v>
      </c>
      <c r="O3125" s="2" t="n">
        <v>15</v>
      </c>
      <c r="P3125" s="2" t="n">
        <v>3</v>
      </c>
      <c r="Q3125" s="2" t="n">
        <v>8</v>
      </c>
      <c r="R3125" s="2" t="n">
        <v>3</v>
      </c>
      <c r="S3125" s="2" t="n">
        <v>2</v>
      </c>
      <c r="T3125" s="2" t="n">
        <v>2</v>
      </c>
      <c r="U3125" s="2" t="n">
        <v>0</v>
      </c>
      <c r="V3125" s="2" t="n">
        <v>2</v>
      </c>
      <c r="W3125" s="2" t="n">
        <v>3</v>
      </c>
      <c r="X3125" s="2" t="n">
        <v>3</v>
      </c>
      <c r="Y3125" s="2" t="n">
        <v>2</v>
      </c>
      <c r="Z3125" s="2" t="n">
        <v>3</v>
      </c>
    </row>
    <row r="3126" customFormat="false" ht="15" hidden="false" customHeight="true" outlineLevel="0" collapsed="false">
      <c r="A3126" s="2" t="n">
        <v>36</v>
      </c>
      <c r="B3126" s="2" t="s">
        <v>26</v>
      </c>
      <c r="C3126" s="2" t="s">
        <v>41</v>
      </c>
      <c r="D3126" s="2" t="s">
        <v>35</v>
      </c>
      <c r="E3126" s="2" t="n">
        <v>3</v>
      </c>
      <c r="F3126" s="2" t="n">
        <v>4</v>
      </c>
      <c r="G3126" s="2" t="s">
        <v>43</v>
      </c>
      <c r="H3126" s="2" t="n">
        <v>3125</v>
      </c>
      <c r="I3126" s="2" t="s">
        <v>39</v>
      </c>
      <c r="J3126" s="2" t="n">
        <v>1</v>
      </c>
      <c r="K3126" s="2" t="s">
        <v>36</v>
      </c>
      <c r="L3126" s="2" t="s">
        <v>37</v>
      </c>
      <c r="M3126" s="2" t="n">
        <v>40250</v>
      </c>
      <c r="N3126" s="2" t="n">
        <v>1</v>
      </c>
      <c r="O3126" s="2" t="n">
        <v>11</v>
      </c>
      <c r="P3126" s="2" t="n">
        <v>0</v>
      </c>
      <c r="Q3126" s="2" t="n">
        <v>10</v>
      </c>
      <c r="R3126" s="2" t="n">
        <v>3</v>
      </c>
      <c r="S3126" s="2" t="n">
        <v>10</v>
      </c>
      <c r="T3126" s="2" t="n">
        <v>9</v>
      </c>
      <c r="U3126" s="2" t="n">
        <v>7</v>
      </c>
      <c r="V3126" s="2" t="n">
        <v>2</v>
      </c>
      <c r="W3126" s="2" t="n">
        <v>4</v>
      </c>
      <c r="X3126" s="2" t="n">
        <v>2</v>
      </c>
      <c r="Y3126" s="2" t="n">
        <v>3</v>
      </c>
      <c r="Z3126" s="2" t="n">
        <v>3</v>
      </c>
    </row>
    <row r="3127" customFormat="false" ht="15" hidden="false" customHeight="true" outlineLevel="0" collapsed="false">
      <c r="A3127" s="2" t="n">
        <v>22</v>
      </c>
      <c r="B3127" s="2" t="s">
        <v>33</v>
      </c>
      <c r="C3127" s="2" t="s">
        <v>34</v>
      </c>
      <c r="D3127" s="2" t="s">
        <v>35</v>
      </c>
      <c r="E3127" s="2" t="n">
        <v>7</v>
      </c>
      <c r="F3127" s="2" t="n">
        <v>3</v>
      </c>
      <c r="G3127" s="2" t="s">
        <v>43</v>
      </c>
      <c r="H3127" s="2" t="n">
        <v>3126</v>
      </c>
      <c r="I3127" s="2" t="s">
        <v>30</v>
      </c>
      <c r="J3127" s="2" t="n">
        <v>2</v>
      </c>
      <c r="K3127" s="2" t="s">
        <v>45</v>
      </c>
      <c r="L3127" s="2" t="s">
        <v>37</v>
      </c>
      <c r="M3127" s="2" t="n">
        <v>37850</v>
      </c>
      <c r="N3127" s="2" t="n">
        <v>5</v>
      </c>
      <c r="O3127" s="2" t="n">
        <v>13</v>
      </c>
      <c r="P3127" s="2" t="n">
        <v>2</v>
      </c>
      <c r="Q3127" s="2" t="n">
        <v>4</v>
      </c>
      <c r="R3127" s="2" t="n">
        <v>2</v>
      </c>
      <c r="S3127" s="2" t="n">
        <v>2</v>
      </c>
      <c r="T3127" s="2" t="n">
        <v>1</v>
      </c>
      <c r="U3127" s="2" t="n">
        <v>2</v>
      </c>
      <c r="V3127" s="2" t="n">
        <v>3</v>
      </c>
      <c r="W3127" s="2" t="n">
        <v>3</v>
      </c>
      <c r="X3127" s="2" t="n">
        <v>3</v>
      </c>
      <c r="Y3127" s="2" t="n">
        <v>3</v>
      </c>
      <c r="Z3127" s="2" t="n">
        <v>3</v>
      </c>
    </row>
    <row r="3128" customFormat="false" ht="15" hidden="false" customHeight="true" outlineLevel="0" collapsed="false">
      <c r="A3128" s="2" t="n">
        <v>48</v>
      </c>
      <c r="B3128" s="2" t="s">
        <v>26</v>
      </c>
      <c r="C3128" s="2" t="s">
        <v>27</v>
      </c>
      <c r="D3128" s="2" t="s">
        <v>35</v>
      </c>
      <c r="E3128" s="2" t="n">
        <v>6</v>
      </c>
      <c r="F3128" s="2" t="n">
        <v>3</v>
      </c>
      <c r="G3128" s="2" t="s">
        <v>43</v>
      </c>
      <c r="H3128" s="2" t="n">
        <v>3127</v>
      </c>
      <c r="I3128" s="2" t="s">
        <v>39</v>
      </c>
      <c r="J3128" s="2" t="n">
        <v>1</v>
      </c>
      <c r="K3128" s="2" t="s">
        <v>45</v>
      </c>
      <c r="L3128" s="2" t="s">
        <v>32</v>
      </c>
      <c r="M3128" s="2" t="n">
        <v>108540</v>
      </c>
      <c r="N3128" s="2" t="n">
        <v>2</v>
      </c>
      <c r="O3128" s="2" t="n">
        <v>14</v>
      </c>
      <c r="P3128" s="2" t="n">
        <v>1</v>
      </c>
      <c r="Q3128" s="2" t="n">
        <v>14</v>
      </c>
      <c r="R3128" s="2" t="n">
        <v>6</v>
      </c>
      <c r="S3128" s="2" t="n">
        <v>9</v>
      </c>
      <c r="T3128" s="2" t="n">
        <v>6</v>
      </c>
      <c r="U3128" s="2" t="n">
        <v>7</v>
      </c>
      <c r="V3128" s="2" t="n">
        <v>2</v>
      </c>
      <c r="W3128" s="2" t="n">
        <v>4</v>
      </c>
      <c r="X3128" s="2" t="n">
        <v>3</v>
      </c>
      <c r="Y3128" s="2" t="n">
        <v>3</v>
      </c>
      <c r="Z3128" s="2" t="n">
        <v>3</v>
      </c>
    </row>
    <row r="3129" customFormat="false" ht="15" hidden="false" customHeight="true" outlineLevel="0" collapsed="false">
      <c r="A3129" s="2" t="n">
        <v>55</v>
      </c>
      <c r="B3129" s="2" t="s">
        <v>26</v>
      </c>
      <c r="C3129" s="2" t="s">
        <v>27</v>
      </c>
      <c r="D3129" s="2" t="s">
        <v>35</v>
      </c>
      <c r="E3129" s="2" t="n">
        <v>1</v>
      </c>
      <c r="F3129" s="2" t="n">
        <v>3</v>
      </c>
      <c r="G3129" s="2" t="s">
        <v>43</v>
      </c>
      <c r="H3129" s="2" t="n">
        <v>3128</v>
      </c>
      <c r="I3129" s="2" t="s">
        <v>30</v>
      </c>
      <c r="J3129" s="2" t="n">
        <v>1</v>
      </c>
      <c r="K3129" s="2" t="s">
        <v>40</v>
      </c>
      <c r="L3129" s="2" t="s">
        <v>37</v>
      </c>
      <c r="M3129" s="2" t="n">
        <v>120310</v>
      </c>
      <c r="N3129" s="2" t="n">
        <v>3</v>
      </c>
      <c r="O3129" s="2" t="n">
        <v>11</v>
      </c>
      <c r="P3129" s="2" t="n">
        <v>0</v>
      </c>
      <c r="Q3129" s="2" t="n">
        <v>37</v>
      </c>
      <c r="R3129" s="2" t="n">
        <v>5</v>
      </c>
      <c r="S3129" s="2" t="n">
        <v>10</v>
      </c>
      <c r="T3129" s="2" t="n">
        <v>7</v>
      </c>
      <c r="U3129" s="2" t="n">
        <v>7</v>
      </c>
      <c r="V3129" s="2" t="n">
        <v>1</v>
      </c>
      <c r="W3129" s="2" t="n">
        <v>2</v>
      </c>
      <c r="X3129" s="2" t="n">
        <v>3</v>
      </c>
      <c r="Y3129" s="2" t="n">
        <v>3</v>
      </c>
      <c r="Z3129" s="2" t="n">
        <v>3</v>
      </c>
    </row>
    <row r="3130" customFormat="false" ht="15" hidden="false" customHeight="true" outlineLevel="0" collapsed="false">
      <c r="A3130" s="2" t="n">
        <v>41</v>
      </c>
      <c r="B3130" s="2" t="s">
        <v>26</v>
      </c>
      <c r="C3130" s="2" t="s">
        <v>41</v>
      </c>
      <c r="D3130" s="2" t="s">
        <v>35</v>
      </c>
      <c r="E3130" s="2" t="n">
        <v>3</v>
      </c>
      <c r="F3130" s="2" t="n">
        <v>2</v>
      </c>
      <c r="G3130" s="2" t="s">
        <v>29</v>
      </c>
      <c r="H3130" s="2" t="n">
        <v>3129</v>
      </c>
      <c r="I3130" s="2" t="s">
        <v>30</v>
      </c>
      <c r="J3130" s="2" t="n">
        <v>2</v>
      </c>
      <c r="K3130" s="2" t="s">
        <v>36</v>
      </c>
      <c r="L3130" s="2" t="s">
        <v>37</v>
      </c>
      <c r="M3130" s="2" t="n">
        <v>99360</v>
      </c>
      <c r="N3130" s="2" t="n">
        <v>7</v>
      </c>
      <c r="O3130" s="2" t="n">
        <v>17</v>
      </c>
      <c r="P3130" s="2" t="n">
        <v>1</v>
      </c>
      <c r="Q3130" s="2" t="n">
        <v>16</v>
      </c>
      <c r="R3130" s="2" t="n">
        <v>2</v>
      </c>
      <c r="S3130" s="2" t="n">
        <v>14</v>
      </c>
      <c r="T3130" s="2" t="n">
        <v>1</v>
      </c>
      <c r="U3130" s="2" t="n">
        <v>10</v>
      </c>
      <c r="V3130" s="2" t="n">
        <v>4</v>
      </c>
      <c r="W3130" s="2" t="n">
        <v>4</v>
      </c>
      <c r="X3130" s="2" t="n">
        <v>3</v>
      </c>
      <c r="Y3130" s="2" t="n">
        <v>2</v>
      </c>
      <c r="Z3130" s="2" t="n">
        <v>3</v>
      </c>
    </row>
    <row r="3131" customFormat="false" ht="15" hidden="false" customHeight="true" outlineLevel="0" collapsed="false">
      <c r="A3131" s="2" t="n">
        <v>35</v>
      </c>
      <c r="B3131" s="2" t="s">
        <v>26</v>
      </c>
      <c r="C3131" s="2" t="s">
        <v>27</v>
      </c>
      <c r="D3131" s="2" t="s">
        <v>35</v>
      </c>
      <c r="E3131" s="2" t="n">
        <v>22</v>
      </c>
      <c r="F3131" s="2" t="n">
        <v>3</v>
      </c>
      <c r="G3131" s="2" t="s">
        <v>43</v>
      </c>
      <c r="H3131" s="2" t="n">
        <v>3130</v>
      </c>
      <c r="I3131" s="2" t="s">
        <v>30</v>
      </c>
      <c r="J3131" s="2" t="n">
        <v>1</v>
      </c>
      <c r="K3131" s="2" t="s">
        <v>48</v>
      </c>
      <c r="L3131" s="2" t="s">
        <v>32</v>
      </c>
      <c r="M3131" s="2" t="n">
        <v>29660</v>
      </c>
      <c r="N3131" s="2" t="n">
        <v>9</v>
      </c>
      <c r="O3131" s="2" t="n">
        <v>18</v>
      </c>
      <c r="P3131" s="2" t="n">
        <v>0</v>
      </c>
      <c r="Q3131" s="2" t="n">
        <v>15</v>
      </c>
      <c r="R3131" s="2" t="n">
        <v>2</v>
      </c>
      <c r="S3131" s="2" t="n">
        <v>11</v>
      </c>
      <c r="T3131" s="2" t="n">
        <v>6</v>
      </c>
      <c r="U3131" s="2" t="n">
        <v>9</v>
      </c>
      <c r="V3131" s="2" t="n">
        <v>2</v>
      </c>
      <c r="W3131" s="2" t="n">
        <v>3</v>
      </c>
      <c r="X3131" s="2" t="n">
        <v>3</v>
      </c>
      <c r="Y3131" s="2" t="n">
        <v>2</v>
      </c>
      <c r="Z3131" s="2" t="n">
        <v>3</v>
      </c>
    </row>
    <row r="3132" customFormat="false" ht="15" hidden="false" customHeight="true" outlineLevel="0" collapsed="false">
      <c r="A3132" s="2" t="n">
        <v>40</v>
      </c>
      <c r="B3132" s="2" t="s">
        <v>26</v>
      </c>
      <c r="C3132" s="2" t="s">
        <v>27</v>
      </c>
      <c r="D3132" s="2" t="s">
        <v>35</v>
      </c>
      <c r="E3132" s="2" t="n">
        <v>15</v>
      </c>
      <c r="F3132" s="2" t="n">
        <v>3</v>
      </c>
      <c r="G3132" s="2" t="s">
        <v>29</v>
      </c>
      <c r="H3132" s="2" t="n">
        <v>3131</v>
      </c>
      <c r="I3132" s="2" t="s">
        <v>30</v>
      </c>
      <c r="J3132" s="2" t="n">
        <v>2</v>
      </c>
      <c r="K3132" s="2" t="s">
        <v>45</v>
      </c>
      <c r="L3132" s="2" t="s">
        <v>37</v>
      </c>
      <c r="M3132" s="2" t="n">
        <v>25710</v>
      </c>
      <c r="N3132" s="2" t="n">
        <v>7</v>
      </c>
      <c r="O3132" s="2" t="n">
        <v>14</v>
      </c>
      <c r="P3132" s="2" t="n">
        <v>0</v>
      </c>
      <c r="Q3132" s="2" t="n">
        <v>22</v>
      </c>
      <c r="R3132" s="2" t="n">
        <v>1</v>
      </c>
      <c r="S3132" s="2" t="n">
        <v>20</v>
      </c>
      <c r="T3132" s="2" t="n">
        <v>5</v>
      </c>
      <c r="U3132" s="2" t="n">
        <v>13</v>
      </c>
      <c r="V3132" s="2" t="n">
        <v>2</v>
      </c>
      <c r="W3132" s="2" t="n">
        <v>3</v>
      </c>
      <c r="X3132" s="2" t="n">
        <v>3</v>
      </c>
      <c r="Y3132" s="2" t="n">
        <v>3</v>
      </c>
      <c r="Z3132" s="2" t="n">
        <v>3</v>
      </c>
    </row>
    <row r="3133" customFormat="false" ht="15" hidden="false" customHeight="true" outlineLevel="0" collapsed="false">
      <c r="A3133" s="2" t="n">
        <v>39</v>
      </c>
      <c r="B3133" s="2" t="s">
        <v>26</v>
      </c>
      <c r="C3133" s="2" t="s">
        <v>34</v>
      </c>
      <c r="D3133" s="2" t="s">
        <v>35</v>
      </c>
      <c r="E3133" s="2" t="n">
        <v>12</v>
      </c>
      <c r="F3133" s="2" t="n">
        <v>1</v>
      </c>
      <c r="G3133" s="2" t="s">
        <v>43</v>
      </c>
      <c r="H3133" s="2" t="n">
        <v>3132</v>
      </c>
      <c r="I3133" s="2" t="s">
        <v>39</v>
      </c>
      <c r="J3133" s="2" t="n">
        <v>1</v>
      </c>
      <c r="K3133" s="2" t="s">
        <v>36</v>
      </c>
      <c r="L3133" s="2" t="s">
        <v>32</v>
      </c>
      <c r="M3133" s="2" t="n">
        <v>99910</v>
      </c>
      <c r="N3133" s="2" t="n">
        <v>1</v>
      </c>
      <c r="O3133" s="2" t="n">
        <v>16</v>
      </c>
      <c r="P3133" s="2" t="n">
        <v>1</v>
      </c>
      <c r="Q3133" s="2" t="n">
        <v>8</v>
      </c>
      <c r="R3133" s="2" t="n">
        <v>3</v>
      </c>
      <c r="S3133" s="2" t="n">
        <v>8</v>
      </c>
      <c r="T3133" s="2" t="n">
        <v>0</v>
      </c>
      <c r="U3133" s="2" t="n">
        <v>7</v>
      </c>
      <c r="V3133" s="2" t="n">
        <v>3</v>
      </c>
      <c r="W3133" s="2" t="n">
        <v>3</v>
      </c>
      <c r="X3133" s="2" t="n">
        <v>3</v>
      </c>
      <c r="Y3133" s="2" t="n">
        <v>3</v>
      </c>
      <c r="Z3133" s="2" t="n">
        <v>3</v>
      </c>
    </row>
    <row r="3134" customFormat="false" ht="15" hidden="false" customHeight="true" outlineLevel="0" collapsed="false">
      <c r="A3134" s="2" t="n">
        <v>31</v>
      </c>
      <c r="B3134" s="2" t="s">
        <v>26</v>
      </c>
      <c r="C3134" s="2" t="s">
        <v>27</v>
      </c>
      <c r="D3134" s="2" t="s">
        <v>35</v>
      </c>
      <c r="E3134" s="2" t="n">
        <v>1</v>
      </c>
      <c r="F3134" s="2" t="n">
        <v>4</v>
      </c>
      <c r="G3134" s="2" t="s">
        <v>29</v>
      </c>
      <c r="H3134" s="2" t="n">
        <v>3133</v>
      </c>
      <c r="I3134" s="2" t="s">
        <v>39</v>
      </c>
      <c r="J3134" s="2" t="n">
        <v>3</v>
      </c>
      <c r="K3134" s="2" t="s">
        <v>44</v>
      </c>
      <c r="L3134" s="2" t="s">
        <v>37</v>
      </c>
      <c r="M3134" s="2" t="n">
        <v>61420</v>
      </c>
      <c r="N3134" s="2" t="n">
        <v>4</v>
      </c>
      <c r="O3134" s="2" t="n">
        <v>13</v>
      </c>
      <c r="P3134" s="2" t="n">
        <v>2</v>
      </c>
      <c r="Q3134" s="2" t="n">
        <v>10</v>
      </c>
      <c r="R3134" s="2" t="n">
        <v>2</v>
      </c>
      <c r="S3134" s="2" t="n">
        <v>6</v>
      </c>
      <c r="T3134" s="2" t="n">
        <v>0</v>
      </c>
      <c r="U3134" s="2" t="n">
        <v>5</v>
      </c>
      <c r="V3134" s="2" t="n">
        <v>2</v>
      </c>
      <c r="W3134" s="2" t="n">
        <v>4</v>
      </c>
      <c r="X3134" s="2" t="n">
        <v>4</v>
      </c>
      <c r="Y3134" s="2" t="n">
        <v>2</v>
      </c>
      <c r="Z3134" s="2" t="n">
        <v>3</v>
      </c>
    </row>
    <row r="3135" customFormat="false" ht="15" hidden="false" customHeight="true" outlineLevel="0" collapsed="false">
      <c r="A3135" s="2" t="n">
        <v>42</v>
      </c>
      <c r="B3135" s="2" t="s">
        <v>26</v>
      </c>
      <c r="C3135" s="2" t="s">
        <v>27</v>
      </c>
      <c r="D3135" s="2" t="s">
        <v>35</v>
      </c>
      <c r="E3135" s="2" t="n">
        <v>5</v>
      </c>
      <c r="F3135" s="2" t="n">
        <v>3</v>
      </c>
      <c r="G3135" s="2" t="s">
        <v>43</v>
      </c>
      <c r="H3135" s="2" t="n">
        <v>3134</v>
      </c>
      <c r="I3135" s="2" t="s">
        <v>39</v>
      </c>
      <c r="J3135" s="2" t="n">
        <v>3</v>
      </c>
      <c r="K3135" s="2" t="s">
        <v>40</v>
      </c>
      <c r="L3135" s="2" t="s">
        <v>32</v>
      </c>
      <c r="M3135" s="2" t="n">
        <v>53900</v>
      </c>
      <c r="N3135" s="2" t="n">
        <v>1</v>
      </c>
      <c r="O3135" s="2" t="n">
        <v>14</v>
      </c>
      <c r="P3135" s="2" t="n">
        <v>0</v>
      </c>
      <c r="Q3135" s="2" t="n">
        <v>10</v>
      </c>
      <c r="R3135" s="2" t="n">
        <v>3</v>
      </c>
      <c r="S3135" s="2" t="n">
        <v>10</v>
      </c>
      <c r="T3135" s="2" t="n">
        <v>5</v>
      </c>
      <c r="U3135" s="2" t="n">
        <v>8</v>
      </c>
      <c r="V3135" s="2" t="n">
        <v>4</v>
      </c>
      <c r="W3135" s="2" t="n">
        <v>1</v>
      </c>
      <c r="X3135" s="2" t="n">
        <v>2</v>
      </c>
      <c r="Y3135" s="2" t="n">
        <v>3</v>
      </c>
      <c r="Z3135" s="2" t="n">
        <v>3</v>
      </c>
    </row>
    <row r="3136" customFormat="false" ht="15" hidden="false" customHeight="true" outlineLevel="0" collapsed="false">
      <c r="A3136" s="2" t="n">
        <v>45</v>
      </c>
      <c r="B3136" s="2" t="s">
        <v>26</v>
      </c>
      <c r="C3136" s="2" t="s">
        <v>27</v>
      </c>
      <c r="D3136" s="2" t="s">
        <v>35</v>
      </c>
      <c r="E3136" s="2" t="n">
        <v>2</v>
      </c>
      <c r="F3136" s="2" t="n">
        <v>1</v>
      </c>
      <c r="G3136" s="2" t="s">
        <v>43</v>
      </c>
      <c r="H3136" s="2" t="n">
        <v>3135</v>
      </c>
      <c r="I3136" s="2" t="s">
        <v>30</v>
      </c>
      <c r="J3136" s="2" t="n">
        <v>4</v>
      </c>
      <c r="K3136" s="2" t="s">
        <v>40</v>
      </c>
      <c r="L3136" s="2" t="s">
        <v>32</v>
      </c>
      <c r="M3136" s="2" t="n">
        <v>44040</v>
      </c>
      <c r="N3136" s="2" t="n">
        <v>0</v>
      </c>
      <c r="O3136" s="2" t="n">
        <v>23</v>
      </c>
      <c r="P3136" s="2" t="n">
        <v>0</v>
      </c>
      <c r="Q3136" s="2" t="n">
        <v>9</v>
      </c>
      <c r="R3136" s="2" t="n">
        <v>2</v>
      </c>
      <c r="S3136" s="2" t="n">
        <v>8</v>
      </c>
      <c r="T3136" s="2" t="n">
        <v>3</v>
      </c>
      <c r="U3136" s="2" t="n">
        <v>7</v>
      </c>
      <c r="V3136" s="2" t="n">
        <v>4</v>
      </c>
      <c r="W3136" s="2" t="n">
        <v>2</v>
      </c>
      <c r="X3136" s="2" t="n">
        <v>4</v>
      </c>
      <c r="Y3136" s="2" t="n">
        <v>3</v>
      </c>
      <c r="Z3136" s="2" t="n">
        <v>4</v>
      </c>
    </row>
    <row r="3137" customFormat="false" ht="15" hidden="false" customHeight="true" outlineLevel="0" collapsed="false">
      <c r="A3137" s="2" t="n">
        <v>26</v>
      </c>
      <c r="B3137" s="2" t="s">
        <v>33</v>
      </c>
      <c r="C3137" s="2" t="s">
        <v>34</v>
      </c>
      <c r="D3137" s="2" t="s">
        <v>35</v>
      </c>
      <c r="E3137" s="2" t="n">
        <v>2</v>
      </c>
      <c r="F3137" s="2" t="n">
        <v>1</v>
      </c>
      <c r="G3137" s="2" t="s">
        <v>29</v>
      </c>
      <c r="H3137" s="2" t="n">
        <v>3136</v>
      </c>
      <c r="I3137" s="2" t="s">
        <v>30</v>
      </c>
      <c r="J3137" s="2" t="n">
        <v>2</v>
      </c>
      <c r="K3137" s="2" t="s">
        <v>45</v>
      </c>
      <c r="L3137" s="2" t="s">
        <v>46</v>
      </c>
      <c r="M3137" s="2" t="n">
        <v>59930</v>
      </c>
      <c r="N3137" s="2" t="n">
        <v>0</v>
      </c>
      <c r="O3137" s="2" t="n">
        <v>12</v>
      </c>
      <c r="P3137" s="2" t="n">
        <v>0</v>
      </c>
      <c r="Q3137" s="2" t="n">
        <v>8</v>
      </c>
      <c r="R3137" s="2" t="n">
        <v>3</v>
      </c>
      <c r="S3137" s="2" t="n">
        <v>7</v>
      </c>
      <c r="T3137" s="2" t="n">
        <v>1</v>
      </c>
      <c r="U3137" s="2" t="n">
        <v>0</v>
      </c>
      <c r="V3137" s="2" t="n">
        <v>2</v>
      </c>
      <c r="W3137" s="2" t="n">
        <v>3</v>
      </c>
      <c r="X3137" s="2" t="n">
        <v>2</v>
      </c>
      <c r="Y3137" s="2" t="n">
        <v>3</v>
      </c>
      <c r="Z3137" s="2" t="n">
        <v>3</v>
      </c>
    </row>
    <row r="3138" customFormat="false" ht="15" hidden="false" customHeight="true" outlineLevel="0" collapsed="false">
      <c r="A3138" s="2" t="n">
        <v>29</v>
      </c>
      <c r="B3138" s="2" t="s">
        <v>26</v>
      </c>
      <c r="C3138" s="2" t="s">
        <v>27</v>
      </c>
      <c r="D3138" s="2" t="s">
        <v>35</v>
      </c>
      <c r="E3138" s="2" t="n">
        <v>5</v>
      </c>
      <c r="F3138" s="2" t="n">
        <v>3</v>
      </c>
      <c r="G3138" s="2" t="s">
        <v>43</v>
      </c>
      <c r="H3138" s="2" t="n">
        <v>3137</v>
      </c>
      <c r="I3138" s="2" t="s">
        <v>39</v>
      </c>
      <c r="J3138" s="2" t="n">
        <v>1</v>
      </c>
      <c r="K3138" s="2" t="s">
        <v>36</v>
      </c>
      <c r="L3138" s="2" t="s">
        <v>46</v>
      </c>
      <c r="M3138" s="2" t="n">
        <v>51300</v>
      </c>
      <c r="N3138" s="2" t="n">
        <v>4</v>
      </c>
      <c r="O3138" s="2" t="n">
        <v>11</v>
      </c>
      <c r="P3138" s="2" t="n">
        <v>0</v>
      </c>
      <c r="Q3138" s="2" t="n">
        <v>8</v>
      </c>
      <c r="R3138" s="2" t="n">
        <v>3</v>
      </c>
      <c r="S3138" s="2" t="n">
        <v>3</v>
      </c>
      <c r="T3138" s="2" t="n">
        <v>1</v>
      </c>
      <c r="U3138" s="2" t="n">
        <v>2</v>
      </c>
      <c r="V3138" s="2" t="n">
        <v>4</v>
      </c>
      <c r="W3138" s="2" t="n">
        <v>4</v>
      </c>
      <c r="X3138" s="2" t="n">
        <v>4</v>
      </c>
      <c r="Y3138" s="2" t="n">
        <v>2</v>
      </c>
      <c r="Z3138" s="2" t="n">
        <v>3</v>
      </c>
    </row>
    <row r="3139" customFormat="false" ht="15" hidden="false" customHeight="true" outlineLevel="0" collapsed="false">
      <c r="A3139" s="2" t="n">
        <v>33</v>
      </c>
      <c r="B3139" s="2" t="s">
        <v>26</v>
      </c>
      <c r="C3139" s="2" t="s">
        <v>27</v>
      </c>
      <c r="D3139" s="2" t="s">
        <v>35</v>
      </c>
      <c r="E3139" s="2" t="n">
        <v>16</v>
      </c>
      <c r="F3139" s="2" t="n">
        <v>3</v>
      </c>
      <c r="G3139" s="2" t="s">
        <v>43</v>
      </c>
      <c r="H3139" s="2" t="n">
        <v>3138</v>
      </c>
      <c r="I3139" s="2" t="s">
        <v>30</v>
      </c>
      <c r="J3139" s="2" t="n">
        <v>1</v>
      </c>
      <c r="K3139" s="2" t="s">
        <v>45</v>
      </c>
      <c r="L3139" s="2" t="s">
        <v>46</v>
      </c>
      <c r="M3139" s="2" t="n">
        <v>20900</v>
      </c>
      <c r="N3139" s="2" t="n">
        <v>4</v>
      </c>
      <c r="O3139" s="2" t="n">
        <v>16</v>
      </c>
      <c r="P3139" s="2" t="n">
        <v>0</v>
      </c>
      <c r="Q3139" s="2" t="n">
        <v>10</v>
      </c>
      <c r="R3139" s="2" t="n">
        <v>2</v>
      </c>
      <c r="S3139" s="2" t="n">
        <v>6</v>
      </c>
      <c r="T3139" s="2" t="n">
        <v>0</v>
      </c>
      <c r="U3139" s="2" t="n">
        <v>5</v>
      </c>
      <c r="V3139" s="2" t="n">
        <v>1</v>
      </c>
      <c r="W3139" s="2" t="n">
        <v>3</v>
      </c>
      <c r="X3139" s="2" t="n">
        <v>3</v>
      </c>
      <c r="Y3139" s="2" t="n">
        <v>3</v>
      </c>
      <c r="Z3139" s="2" t="n">
        <v>3</v>
      </c>
    </row>
    <row r="3140" customFormat="false" ht="15" hidden="false" customHeight="true" outlineLevel="0" collapsed="false">
      <c r="A3140" s="2" t="n">
        <v>31</v>
      </c>
      <c r="B3140" s="2" t="s">
        <v>26</v>
      </c>
      <c r="C3140" s="2" t="s">
        <v>27</v>
      </c>
      <c r="D3140" s="2" t="s">
        <v>35</v>
      </c>
      <c r="E3140" s="2" t="n">
        <v>2</v>
      </c>
      <c r="F3140" s="2" t="n">
        <v>4</v>
      </c>
      <c r="G3140" s="2" t="s">
        <v>29</v>
      </c>
      <c r="H3140" s="2" t="n">
        <v>3139</v>
      </c>
      <c r="I3140" s="2" t="s">
        <v>30</v>
      </c>
      <c r="J3140" s="2" t="n">
        <v>1</v>
      </c>
      <c r="K3140" s="2" t="s">
        <v>40</v>
      </c>
      <c r="L3140" s="2" t="s">
        <v>46</v>
      </c>
      <c r="M3140" s="2" t="n">
        <v>29090</v>
      </c>
      <c r="N3140" s="2" t="n">
        <v>9</v>
      </c>
      <c r="O3140" s="2" t="n">
        <v>14</v>
      </c>
      <c r="P3140" s="2" t="n">
        <v>2</v>
      </c>
      <c r="Q3140" s="2" t="n">
        <v>10</v>
      </c>
      <c r="R3140" s="2" t="n">
        <v>2</v>
      </c>
      <c r="S3140" s="2" t="n">
        <v>5</v>
      </c>
      <c r="T3140" s="2" t="n">
        <v>0</v>
      </c>
      <c r="U3140" s="2" t="n">
        <v>1</v>
      </c>
      <c r="V3140" s="2" t="n">
        <v>3</v>
      </c>
      <c r="W3140" s="2" t="n">
        <v>4</v>
      </c>
      <c r="X3140" s="2" t="n">
        <v>2</v>
      </c>
      <c r="Y3140" s="2" t="n">
        <v>3</v>
      </c>
      <c r="Z3140" s="2" t="n">
        <v>3</v>
      </c>
    </row>
    <row r="3141" customFormat="false" ht="15" hidden="false" customHeight="true" outlineLevel="0" collapsed="false">
      <c r="A3141" s="2" t="n">
        <v>18</v>
      </c>
      <c r="B3141" s="2" t="s">
        <v>33</v>
      </c>
      <c r="C3141" s="2" t="s">
        <v>34</v>
      </c>
      <c r="D3141" s="2" t="s">
        <v>35</v>
      </c>
      <c r="E3141" s="2" t="n">
        <v>2</v>
      </c>
      <c r="F3141" s="2" t="n">
        <v>3</v>
      </c>
      <c r="G3141" s="2" t="s">
        <v>51</v>
      </c>
      <c r="H3141" s="2" t="n">
        <v>3140</v>
      </c>
      <c r="I3141" s="2" t="s">
        <v>39</v>
      </c>
      <c r="J3141" s="2" t="n">
        <v>1</v>
      </c>
      <c r="K3141" s="2" t="s">
        <v>40</v>
      </c>
      <c r="L3141" s="2" t="s">
        <v>37</v>
      </c>
      <c r="M3141" s="2" t="n">
        <v>34680</v>
      </c>
      <c r="N3141" s="2" t="n">
        <v>1</v>
      </c>
      <c r="O3141" s="2" t="n">
        <v>18</v>
      </c>
      <c r="P3141" s="2" t="n">
        <v>2</v>
      </c>
      <c r="Q3141" s="2" t="n">
        <v>0</v>
      </c>
      <c r="R3141" s="2" t="n">
        <v>4</v>
      </c>
      <c r="S3141" s="2" t="n">
        <v>0</v>
      </c>
      <c r="T3141" s="2" t="n">
        <v>0</v>
      </c>
      <c r="U3141" s="2" t="n">
        <v>0</v>
      </c>
      <c r="V3141" s="2" t="n">
        <v>2</v>
      </c>
      <c r="W3141" s="2" t="n">
        <v>2</v>
      </c>
      <c r="X3141" s="2" t="n">
        <v>3</v>
      </c>
      <c r="Y3141" s="2" t="n">
        <v>4</v>
      </c>
      <c r="Z3141" s="2" t="n">
        <v>3</v>
      </c>
    </row>
    <row r="3142" customFormat="false" ht="15" hidden="false" customHeight="true" outlineLevel="0" collapsed="false">
      <c r="A3142" s="2" t="n">
        <v>40</v>
      </c>
      <c r="B3142" s="2" t="s">
        <v>26</v>
      </c>
      <c r="C3142" s="2" t="s">
        <v>41</v>
      </c>
      <c r="D3142" s="2" t="s">
        <v>35</v>
      </c>
      <c r="E3142" s="2" t="n">
        <v>1</v>
      </c>
      <c r="F3142" s="2" t="n">
        <v>4</v>
      </c>
      <c r="G3142" s="2" t="s">
        <v>51</v>
      </c>
      <c r="H3142" s="2" t="n">
        <v>3141</v>
      </c>
      <c r="I3142" s="2" t="s">
        <v>30</v>
      </c>
      <c r="J3142" s="2" t="n">
        <v>2</v>
      </c>
      <c r="K3142" s="2" t="s">
        <v>45</v>
      </c>
      <c r="L3142" s="2" t="s">
        <v>46</v>
      </c>
      <c r="M3142" s="2" t="n">
        <v>30680</v>
      </c>
      <c r="N3142" s="2" t="n">
        <v>3</v>
      </c>
      <c r="O3142" s="2" t="n">
        <v>19</v>
      </c>
      <c r="P3142" s="2" t="n">
        <v>0</v>
      </c>
      <c r="Q3142" s="2" t="n">
        <v>20</v>
      </c>
      <c r="R3142" s="2" t="n">
        <v>3</v>
      </c>
      <c r="S3142" s="2" t="n">
        <v>1</v>
      </c>
      <c r="T3142" s="2" t="n">
        <v>0</v>
      </c>
      <c r="U3142" s="2" t="n">
        <v>1</v>
      </c>
      <c r="V3142" s="2" t="n">
        <v>3</v>
      </c>
      <c r="W3142" s="2" t="n">
        <v>1</v>
      </c>
      <c r="X3142" s="2" t="n">
        <v>3</v>
      </c>
      <c r="Y3142" s="2" t="n">
        <v>2</v>
      </c>
      <c r="Z3142" s="2" t="n">
        <v>3</v>
      </c>
    </row>
    <row r="3143" customFormat="false" ht="15" hidden="false" customHeight="true" outlineLevel="0" collapsed="false">
      <c r="A3143" s="2" t="n">
        <v>41</v>
      </c>
      <c r="B3143" s="2" t="s">
        <v>26</v>
      </c>
      <c r="C3143" s="2" t="s">
        <v>41</v>
      </c>
      <c r="D3143" s="2" t="s">
        <v>35</v>
      </c>
      <c r="E3143" s="2" t="n">
        <v>23</v>
      </c>
      <c r="F3143" s="2" t="n">
        <v>3</v>
      </c>
      <c r="G3143" s="2" t="s">
        <v>29</v>
      </c>
      <c r="H3143" s="2" t="n">
        <v>3142</v>
      </c>
      <c r="I3143" s="2" t="s">
        <v>39</v>
      </c>
      <c r="J3143" s="2" t="n">
        <v>2</v>
      </c>
      <c r="K3143" s="2" t="s">
        <v>47</v>
      </c>
      <c r="L3143" s="2" t="s">
        <v>37</v>
      </c>
      <c r="M3143" s="2" t="n">
        <v>26700</v>
      </c>
      <c r="N3143" s="2" t="n">
        <v>2</v>
      </c>
      <c r="O3143" s="2" t="n">
        <v>15</v>
      </c>
      <c r="P3143" s="2" t="n">
        <v>2</v>
      </c>
      <c r="Q3143" s="2" t="n">
        <v>10</v>
      </c>
      <c r="R3143" s="2" t="n">
        <v>2</v>
      </c>
      <c r="S3143" s="2" t="n">
        <v>8</v>
      </c>
      <c r="T3143" s="2" t="n">
        <v>0</v>
      </c>
      <c r="U3143" s="2" t="n">
        <v>7</v>
      </c>
      <c r="V3143" s="2" t="n">
        <v>1</v>
      </c>
      <c r="W3143" s="2" t="n">
        <v>3</v>
      </c>
      <c r="X3143" s="2" t="n">
        <v>3</v>
      </c>
      <c r="Y3143" s="2" t="n">
        <v>2</v>
      </c>
      <c r="Z3143" s="2" t="n">
        <v>3</v>
      </c>
    </row>
    <row r="3144" customFormat="false" ht="15" hidden="false" customHeight="true" outlineLevel="0" collapsed="false">
      <c r="A3144" s="2" t="n">
        <v>26</v>
      </c>
      <c r="B3144" s="2" t="s">
        <v>26</v>
      </c>
      <c r="C3144" s="2" t="s">
        <v>27</v>
      </c>
      <c r="D3144" s="2" t="s">
        <v>35</v>
      </c>
      <c r="E3144" s="2" t="n">
        <v>9</v>
      </c>
      <c r="F3144" s="2" t="n">
        <v>4</v>
      </c>
      <c r="G3144" s="2" t="s">
        <v>43</v>
      </c>
      <c r="H3144" s="2" t="n">
        <v>3143</v>
      </c>
      <c r="I3144" s="2" t="s">
        <v>39</v>
      </c>
      <c r="J3144" s="2" t="n">
        <v>3</v>
      </c>
      <c r="K3144" s="2" t="s">
        <v>31</v>
      </c>
      <c r="L3144" s="2" t="s">
        <v>46</v>
      </c>
      <c r="M3144" s="2" t="n">
        <v>26930</v>
      </c>
      <c r="N3144" s="2" t="n">
        <v>5</v>
      </c>
      <c r="O3144" s="2" t="n">
        <v>17</v>
      </c>
      <c r="P3144" s="2" t="n">
        <v>3</v>
      </c>
      <c r="Q3144" s="2" t="n">
        <v>8</v>
      </c>
      <c r="R3144" s="2" t="n">
        <v>3</v>
      </c>
      <c r="S3144" s="2" t="n">
        <v>0</v>
      </c>
      <c r="T3144" s="2" t="n">
        <v>0</v>
      </c>
      <c r="U3144" s="2" t="n">
        <v>0</v>
      </c>
      <c r="V3144" s="2" t="n">
        <v>1</v>
      </c>
      <c r="W3144" s="2" t="n">
        <v>3</v>
      </c>
      <c r="X3144" s="2" t="n">
        <v>3</v>
      </c>
      <c r="Y3144" s="2" t="n">
        <v>2</v>
      </c>
      <c r="Z3144" s="2" t="n">
        <v>3</v>
      </c>
    </row>
    <row r="3145" customFormat="false" ht="15" hidden="false" customHeight="true" outlineLevel="0" collapsed="false">
      <c r="A3145" s="2" t="n">
        <v>35</v>
      </c>
      <c r="B3145" s="2" t="s">
        <v>26</v>
      </c>
      <c r="C3145" s="2" t="s">
        <v>27</v>
      </c>
      <c r="D3145" s="2" t="s">
        <v>35</v>
      </c>
      <c r="E3145" s="2" t="n">
        <v>16</v>
      </c>
      <c r="F3145" s="2" t="n">
        <v>4</v>
      </c>
      <c r="G3145" s="2" t="s">
        <v>43</v>
      </c>
      <c r="H3145" s="2" t="n">
        <v>3144</v>
      </c>
      <c r="I3145" s="2" t="s">
        <v>39</v>
      </c>
      <c r="J3145" s="2" t="n">
        <v>2</v>
      </c>
      <c r="K3145" s="2" t="s">
        <v>42</v>
      </c>
      <c r="L3145" s="2" t="s">
        <v>37</v>
      </c>
      <c r="M3145" s="2" t="n">
        <v>95260</v>
      </c>
      <c r="N3145" s="2" t="n">
        <v>1</v>
      </c>
      <c r="O3145" s="2" t="n">
        <v>15</v>
      </c>
      <c r="P3145" s="2" t="n">
        <v>0</v>
      </c>
      <c r="Q3145" s="2" t="n">
        <v>5</v>
      </c>
      <c r="R3145" s="2" t="n">
        <v>2</v>
      </c>
      <c r="S3145" s="2" t="n">
        <v>5</v>
      </c>
      <c r="T3145" s="2" t="n">
        <v>0</v>
      </c>
      <c r="U3145" s="2" t="n">
        <v>3</v>
      </c>
      <c r="V3145" s="2" t="n">
        <v>1</v>
      </c>
      <c r="W3145" s="2" t="n">
        <v>3</v>
      </c>
      <c r="X3145" s="2" t="n">
        <v>3</v>
      </c>
      <c r="Y3145" s="2" t="n">
        <v>2</v>
      </c>
      <c r="Z3145" s="2" t="n">
        <v>3</v>
      </c>
    </row>
    <row r="3146" customFormat="false" ht="15" hidden="false" customHeight="true" outlineLevel="0" collapsed="false">
      <c r="A3146" s="2" t="n">
        <v>34</v>
      </c>
      <c r="B3146" s="2" t="s">
        <v>26</v>
      </c>
      <c r="C3146" s="2" t="s">
        <v>27</v>
      </c>
      <c r="D3146" s="2" t="s">
        <v>35</v>
      </c>
      <c r="E3146" s="2" t="n">
        <v>26</v>
      </c>
      <c r="F3146" s="2" t="n">
        <v>3</v>
      </c>
      <c r="G3146" s="2" t="s">
        <v>43</v>
      </c>
      <c r="H3146" s="2" t="n">
        <v>3145</v>
      </c>
      <c r="I3146" s="2" t="s">
        <v>39</v>
      </c>
      <c r="J3146" s="2" t="n">
        <v>1</v>
      </c>
      <c r="K3146" s="2" t="s">
        <v>45</v>
      </c>
      <c r="L3146" s="2" t="s">
        <v>37</v>
      </c>
      <c r="M3146" s="2" t="n">
        <v>52370</v>
      </c>
      <c r="N3146" s="2" t="n">
        <v>1</v>
      </c>
      <c r="O3146" s="2" t="n">
        <v>19</v>
      </c>
      <c r="P3146" s="2" t="n">
        <v>1</v>
      </c>
      <c r="Q3146" s="2" t="n">
        <v>10</v>
      </c>
      <c r="R3146" s="2" t="n">
        <v>3</v>
      </c>
      <c r="S3146" s="2" t="n">
        <v>10</v>
      </c>
      <c r="T3146" s="2" t="n">
        <v>5</v>
      </c>
      <c r="U3146" s="2" t="n">
        <v>7</v>
      </c>
      <c r="V3146" s="2" t="n">
        <v>4</v>
      </c>
      <c r="W3146" s="2" t="n">
        <v>4</v>
      </c>
      <c r="X3146" s="2" t="n">
        <v>3</v>
      </c>
      <c r="Y3146" s="2" t="n">
        <v>2</v>
      </c>
      <c r="Z3146" s="2" t="n">
        <v>3</v>
      </c>
    </row>
    <row r="3147" customFormat="false" ht="15" hidden="false" customHeight="true" outlineLevel="0" collapsed="false">
      <c r="A3147" s="2" t="n">
        <v>26</v>
      </c>
      <c r="B3147" s="2" t="s">
        <v>33</v>
      </c>
      <c r="C3147" s="2" t="s">
        <v>27</v>
      </c>
      <c r="D3147" s="2" t="s">
        <v>28</v>
      </c>
      <c r="E3147" s="2" t="n">
        <v>1</v>
      </c>
      <c r="F3147" s="2" t="n">
        <v>3</v>
      </c>
      <c r="G3147" s="2" t="s">
        <v>50</v>
      </c>
      <c r="H3147" s="2" t="n">
        <v>3146</v>
      </c>
      <c r="I3147" s="2" t="s">
        <v>30</v>
      </c>
      <c r="J3147" s="2" t="n">
        <v>2</v>
      </c>
      <c r="K3147" s="2" t="s">
        <v>47</v>
      </c>
      <c r="L3147" s="2" t="s">
        <v>37</v>
      </c>
      <c r="M3147" s="2" t="n">
        <v>24260</v>
      </c>
      <c r="N3147" s="2" t="n">
        <v>1</v>
      </c>
      <c r="O3147" s="2" t="n">
        <v>22</v>
      </c>
      <c r="P3147" s="2" t="n">
        <v>0</v>
      </c>
      <c r="Q3147" s="2" t="n">
        <v>1</v>
      </c>
      <c r="R3147" s="2" t="n">
        <v>3</v>
      </c>
      <c r="S3147" s="2" t="n">
        <v>1</v>
      </c>
      <c r="T3147" s="2" t="n">
        <v>0</v>
      </c>
      <c r="U3147" s="2" t="n">
        <v>0</v>
      </c>
      <c r="V3147" s="2" t="n">
        <v>3</v>
      </c>
      <c r="W3147" s="2" t="n">
        <v>4</v>
      </c>
      <c r="X3147" s="2" t="n">
        <v>1</v>
      </c>
      <c r="Y3147" s="2" t="n">
        <v>1</v>
      </c>
      <c r="Z3147" s="2" t="n">
        <v>4</v>
      </c>
    </row>
    <row r="3148" customFormat="false" ht="15" hidden="false" customHeight="true" outlineLevel="0" collapsed="false">
      <c r="A3148" s="2" t="n">
        <v>37</v>
      </c>
      <c r="B3148" s="2" t="s">
        <v>26</v>
      </c>
      <c r="C3148" s="2" t="s">
        <v>27</v>
      </c>
      <c r="D3148" s="2" t="s">
        <v>35</v>
      </c>
      <c r="E3148" s="2" t="n">
        <v>8</v>
      </c>
      <c r="F3148" s="2" t="n">
        <v>1</v>
      </c>
      <c r="G3148" s="2" t="s">
        <v>29</v>
      </c>
      <c r="H3148" s="2" t="n">
        <v>3147</v>
      </c>
      <c r="I3148" s="2" t="s">
        <v>39</v>
      </c>
      <c r="J3148" s="2" t="n">
        <v>1</v>
      </c>
      <c r="K3148" s="2" t="s">
        <v>40</v>
      </c>
      <c r="L3148" s="2" t="s">
        <v>37</v>
      </c>
      <c r="M3148" s="2" t="n">
        <v>41930</v>
      </c>
      <c r="N3148" s="2" t="n">
        <v>4</v>
      </c>
      <c r="O3148" s="2" t="n">
        <v>16</v>
      </c>
      <c r="P3148" s="2" t="n">
        <v>1</v>
      </c>
      <c r="Q3148" s="2" t="n">
        <v>12</v>
      </c>
      <c r="R3148" s="2" t="n">
        <v>5</v>
      </c>
      <c r="S3148" s="2" t="n">
        <v>6</v>
      </c>
      <c r="T3148" s="2" t="n">
        <v>1</v>
      </c>
      <c r="U3148" s="2" t="n">
        <v>2</v>
      </c>
      <c r="V3148" s="2" t="n">
        <v>2</v>
      </c>
      <c r="W3148" s="2" t="n">
        <v>4</v>
      </c>
      <c r="X3148" s="2" t="n">
        <v>4</v>
      </c>
      <c r="Y3148" s="2" t="n">
        <v>3</v>
      </c>
      <c r="Z3148" s="2" t="n">
        <v>3</v>
      </c>
    </row>
    <row r="3149" customFormat="false" ht="15" hidden="false" customHeight="true" outlineLevel="0" collapsed="false">
      <c r="A3149" s="2" t="n">
        <v>46</v>
      </c>
      <c r="B3149" s="2" t="s">
        <v>26</v>
      </c>
      <c r="C3149" s="2" t="s">
        <v>34</v>
      </c>
      <c r="D3149" s="2" t="s">
        <v>35</v>
      </c>
      <c r="E3149" s="2" t="n">
        <v>4</v>
      </c>
      <c r="F3149" s="2" t="n">
        <v>1</v>
      </c>
      <c r="G3149" s="2" t="s">
        <v>43</v>
      </c>
      <c r="H3149" s="2" t="n">
        <v>3148</v>
      </c>
      <c r="I3149" s="2" t="s">
        <v>39</v>
      </c>
      <c r="J3149" s="2" t="n">
        <v>5</v>
      </c>
      <c r="K3149" s="2" t="s">
        <v>42</v>
      </c>
      <c r="L3149" s="2" t="s">
        <v>32</v>
      </c>
      <c r="M3149" s="2" t="n">
        <v>29110</v>
      </c>
      <c r="N3149" s="2" t="n">
        <v>5</v>
      </c>
      <c r="O3149" s="2" t="n">
        <v>13</v>
      </c>
      <c r="P3149" s="2" t="n">
        <v>0</v>
      </c>
      <c r="Q3149" s="2" t="n">
        <v>28</v>
      </c>
      <c r="R3149" s="2" t="n">
        <v>3</v>
      </c>
      <c r="S3149" s="2" t="n">
        <v>2</v>
      </c>
      <c r="T3149" s="2" t="n">
        <v>1</v>
      </c>
      <c r="U3149" s="2" t="n">
        <v>2</v>
      </c>
      <c r="V3149" s="2" t="n">
        <v>1</v>
      </c>
      <c r="W3149" s="2" t="n">
        <v>3</v>
      </c>
      <c r="X3149" s="2" t="n">
        <v>2</v>
      </c>
      <c r="Y3149" s="2" t="n">
        <v>3</v>
      </c>
      <c r="Z3149" s="2" t="n">
        <v>3</v>
      </c>
    </row>
    <row r="3150" customFormat="false" ht="15" hidden="false" customHeight="true" outlineLevel="0" collapsed="false">
      <c r="A3150" s="2" t="n">
        <v>41</v>
      </c>
      <c r="B3150" s="2" t="s">
        <v>26</v>
      </c>
      <c r="C3150" s="2" t="s">
        <v>27</v>
      </c>
      <c r="D3150" s="2" t="s">
        <v>35</v>
      </c>
      <c r="E3150" s="2" t="n">
        <v>24</v>
      </c>
      <c r="F3150" s="2" t="n">
        <v>1</v>
      </c>
      <c r="G3150" s="2" t="s">
        <v>29</v>
      </c>
      <c r="H3150" s="2" t="n">
        <v>3149</v>
      </c>
      <c r="I3150" s="2" t="s">
        <v>39</v>
      </c>
      <c r="J3150" s="2" t="n">
        <v>1</v>
      </c>
      <c r="K3150" s="2" t="s">
        <v>44</v>
      </c>
      <c r="L3150" s="2" t="s">
        <v>32</v>
      </c>
      <c r="M3150" s="2" t="n">
        <v>26610</v>
      </c>
      <c r="N3150" s="2" t="n">
        <v>7</v>
      </c>
      <c r="O3150" s="2" t="n">
        <v>14</v>
      </c>
      <c r="P3150" s="2" t="n">
        <v>1</v>
      </c>
      <c r="Q3150" s="2" t="n">
        <v>22</v>
      </c>
      <c r="R3150" s="2" t="n">
        <v>2</v>
      </c>
      <c r="S3150" s="2" t="n">
        <v>18</v>
      </c>
      <c r="T3150" s="2" t="n">
        <v>11</v>
      </c>
      <c r="U3150" s="2" t="n">
        <v>8</v>
      </c>
      <c r="V3150" s="2" t="n">
        <v>2</v>
      </c>
      <c r="W3150" s="2" t="n">
        <v>1</v>
      </c>
      <c r="X3150" s="2" t="n">
        <v>3</v>
      </c>
      <c r="Y3150" s="2" t="n">
        <v>3</v>
      </c>
      <c r="Z3150" s="2" t="n">
        <v>3</v>
      </c>
    </row>
    <row r="3151" customFormat="false" ht="15" hidden="false" customHeight="true" outlineLevel="0" collapsed="false">
      <c r="A3151" s="2" t="n">
        <v>37</v>
      </c>
      <c r="B3151" s="2" t="s">
        <v>26</v>
      </c>
      <c r="C3151" s="2" t="s">
        <v>41</v>
      </c>
      <c r="D3151" s="2" t="s">
        <v>35</v>
      </c>
      <c r="E3151" s="2" t="n">
        <v>7</v>
      </c>
      <c r="F3151" s="2" t="n">
        <v>2</v>
      </c>
      <c r="G3151" s="2" t="s">
        <v>43</v>
      </c>
      <c r="H3151" s="2" t="n">
        <v>3150</v>
      </c>
      <c r="I3151" s="2" t="s">
        <v>39</v>
      </c>
      <c r="J3151" s="2" t="n">
        <v>1</v>
      </c>
      <c r="K3151" s="2" t="s">
        <v>40</v>
      </c>
      <c r="L3151" s="2" t="s">
        <v>46</v>
      </c>
      <c r="M3151" s="2" t="n">
        <v>20280</v>
      </c>
      <c r="N3151" s="2" t="n">
        <v>1</v>
      </c>
      <c r="O3151" s="2" t="n">
        <v>16</v>
      </c>
      <c r="P3151" s="2" t="n">
        <v>1</v>
      </c>
      <c r="Q3151" s="2" t="n">
        <v>9</v>
      </c>
      <c r="R3151" s="2" t="n">
        <v>3</v>
      </c>
      <c r="S3151" s="2" t="n">
        <v>9</v>
      </c>
      <c r="T3151" s="2" t="n">
        <v>7</v>
      </c>
      <c r="U3151" s="2" t="n">
        <v>7</v>
      </c>
      <c r="V3151" s="2" t="n">
        <v>1</v>
      </c>
      <c r="W3151" s="2" t="n">
        <v>2</v>
      </c>
      <c r="X3151" s="2" t="n">
        <v>3</v>
      </c>
      <c r="Y3151" s="2" t="n">
        <v>3</v>
      </c>
      <c r="Z3151" s="2" t="n">
        <v>3</v>
      </c>
    </row>
    <row r="3152" customFormat="false" ht="15" hidden="false" customHeight="true" outlineLevel="0" collapsed="false">
      <c r="A3152" s="2" t="n">
        <v>52</v>
      </c>
      <c r="B3152" s="2" t="s">
        <v>26</v>
      </c>
      <c r="C3152" s="2" t="s">
        <v>27</v>
      </c>
      <c r="D3152" s="2" t="s">
        <v>28</v>
      </c>
      <c r="E3152" s="2" t="n">
        <v>2</v>
      </c>
      <c r="F3152" s="2" t="n">
        <v>1</v>
      </c>
      <c r="G3152" s="2" t="s">
        <v>43</v>
      </c>
      <c r="H3152" s="2" t="n">
        <v>3151</v>
      </c>
      <c r="I3152" s="2" t="s">
        <v>39</v>
      </c>
      <c r="J3152" s="2" t="n">
        <v>1</v>
      </c>
      <c r="K3152" s="2" t="s">
        <v>45</v>
      </c>
      <c r="L3152" s="2" t="s">
        <v>46</v>
      </c>
      <c r="M3152" s="2" t="n">
        <v>99800</v>
      </c>
      <c r="N3152" s="2" t="n">
        <v>3</v>
      </c>
      <c r="O3152" s="2" t="n">
        <v>11</v>
      </c>
      <c r="P3152" s="2" t="n">
        <v>1</v>
      </c>
      <c r="Q3152" s="2" t="n">
        <v>18</v>
      </c>
      <c r="R3152" s="2" t="n">
        <v>2</v>
      </c>
      <c r="S3152" s="2" t="n">
        <v>10</v>
      </c>
      <c r="T3152" s="2" t="n">
        <v>6</v>
      </c>
      <c r="U3152" s="2" t="n">
        <v>9</v>
      </c>
      <c r="V3152" s="2" t="n">
        <v>4</v>
      </c>
      <c r="W3152" s="2" t="n">
        <v>1</v>
      </c>
      <c r="X3152" s="2" t="n">
        <v>3</v>
      </c>
      <c r="Y3152" s="2" t="n">
        <v>3</v>
      </c>
      <c r="Z3152" s="2" t="n">
        <v>3</v>
      </c>
    </row>
    <row r="3153" customFormat="false" ht="15" hidden="false" customHeight="true" outlineLevel="0" collapsed="false">
      <c r="A3153" s="2" t="n">
        <v>32</v>
      </c>
      <c r="B3153" s="2" t="s">
        <v>33</v>
      </c>
      <c r="C3153" s="2" t="s">
        <v>41</v>
      </c>
      <c r="D3153" s="2" t="s">
        <v>35</v>
      </c>
      <c r="E3153" s="2" t="n">
        <v>7</v>
      </c>
      <c r="F3153" s="2" t="n">
        <v>2</v>
      </c>
      <c r="G3153" s="2" t="s">
        <v>29</v>
      </c>
      <c r="H3153" s="2" t="n">
        <v>3152</v>
      </c>
      <c r="I3153" s="2" t="s">
        <v>30</v>
      </c>
      <c r="J3153" s="2" t="n">
        <v>2</v>
      </c>
      <c r="K3153" s="2" t="s">
        <v>44</v>
      </c>
      <c r="L3153" s="2" t="s">
        <v>32</v>
      </c>
      <c r="M3153" s="2" t="n">
        <v>32980</v>
      </c>
      <c r="N3153" s="2" t="n">
        <v>8</v>
      </c>
      <c r="O3153" s="2" t="n">
        <v>22</v>
      </c>
      <c r="P3153" s="2" t="n">
        <v>0</v>
      </c>
      <c r="Q3153" s="2" t="n">
        <v>6</v>
      </c>
      <c r="R3153" s="2" t="n">
        <v>4</v>
      </c>
      <c r="S3153" s="2" t="n">
        <v>4</v>
      </c>
      <c r="T3153" s="2" t="n">
        <v>1</v>
      </c>
      <c r="U3153" s="2" t="n">
        <v>2</v>
      </c>
      <c r="V3153" s="2" t="n">
        <v>4</v>
      </c>
      <c r="W3153" s="2" t="n">
        <v>3</v>
      </c>
      <c r="X3153" s="2" t="n">
        <v>3</v>
      </c>
      <c r="Y3153" s="2" t="n">
        <v>2</v>
      </c>
      <c r="Z3153" s="2" t="n">
        <v>4</v>
      </c>
    </row>
    <row r="3154" customFormat="false" ht="15" hidden="false" customHeight="true" outlineLevel="0" collapsed="false">
      <c r="A3154" s="2" t="n">
        <v>24</v>
      </c>
      <c r="B3154" s="2" t="s">
        <v>26</v>
      </c>
      <c r="C3154" s="2" t="s">
        <v>34</v>
      </c>
      <c r="D3154" s="2" t="s">
        <v>28</v>
      </c>
      <c r="E3154" s="2" t="n">
        <v>22</v>
      </c>
      <c r="F3154" s="2" t="n">
        <v>3</v>
      </c>
      <c r="G3154" s="2" t="s">
        <v>29</v>
      </c>
      <c r="H3154" s="2" t="n">
        <v>3153</v>
      </c>
      <c r="I3154" s="2" t="s">
        <v>30</v>
      </c>
      <c r="J3154" s="2" t="n">
        <v>1</v>
      </c>
      <c r="K3154" s="2" t="s">
        <v>31</v>
      </c>
      <c r="L3154" s="2" t="s">
        <v>32</v>
      </c>
      <c r="M3154" s="2" t="n">
        <v>29350</v>
      </c>
      <c r="N3154" s="2" t="n">
        <v>0</v>
      </c>
      <c r="O3154" s="2" t="n">
        <v>14</v>
      </c>
      <c r="P3154" s="2" t="n">
        <v>2</v>
      </c>
      <c r="Q3154" s="2" t="n">
        <v>3</v>
      </c>
      <c r="R3154" s="2" t="n">
        <v>5</v>
      </c>
      <c r="S3154" s="2" t="n">
        <v>2</v>
      </c>
      <c r="T3154" s="2" t="n">
        <v>2</v>
      </c>
      <c r="U3154" s="2" t="n">
        <v>1</v>
      </c>
      <c r="V3154" s="2" t="n">
        <v>4</v>
      </c>
      <c r="W3154" s="2" t="n">
        <v>4</v>
      </c>
      <c r="X3154" s="2" t="n">
        <v>3</v>
      </c>
      <c r="Y3154" s="2" t="n">
        <v>2</v>
      </c>
      <c r="Z3154" s="2" t="n">
        <v>3</v>
      </c>
    </row>
    <row r="3155" customFormat="false" ht="15" hidden="false" customHeight="true" outlineLevel="0" collapsed="false">
      <c r="A3155" s="2" t="n">
        <v>38</v>
      </c>
      <c r="B3155" s="2" t="s">
        <v>26</v>
      </c>
      <c r="C3155" s="2" t="s">
        <v>27</v>
      </c>
      <c r="D3155" s="2" t="s">
        <v>35</v>
      </c>
      <c r="E3155" s="2" t="n">
        <v>5</v>
      </c>
      <c r="F3155" s="2" t="n">
        <v>3</v>
      </c>
      <c r="G3155" s="2" t="s">
        <v>29</v>
      </c>
      <c r="H3155" s="2" t="n">
        <v>3154</v>
      </c>
      <c r="I3155" s="2" t="s">
        <v>30</v>
      </c>
      <c r="J3155" s="2" t="n">
        <v>1</v>
      </c>
      <c r="K3155" s="2" t="s">
        <v>36</v>
      </c>
      <c r="L3155" s="2" t="s">
        <v>32</v>
      </c>
      <c r="M3155" s="2" t="n">
        <v>154270</v>
      </c>
      <c r="N3155" s="2" t="n">
        <v>3</v>
      </c>
      <c r="O3155" s="2" t="n">
        <v>16</v>
      </c>
      <c r="P3155" s="2" t="n">
        <v>1</v>
      </c>
      <c r="Q3155" s="2" t="n">
        <v>18</v>
      </c>
      <c r="R3155" s="2" t="n">
        <v>2</v>
      </c>
      <c r="S3155" s="2" t="n">
        <v>1</v>
      </c>
      <c r="T3155" s="2" t="n">
        <v>0</v>
      </c>
      <c r="U3155" s="2" t="n">
        <v>0</v>
      </c>
      <c r="V3155" s="2" t="n">
        <v>3</v>
      </c>
      <c r="W3155" s="2" t="n">
        <v>3</v>
      </c>
      <c r="X3155" s="2" t="n">
        <v>3</v>
      </c>
      <c r="Y3155" s="2" t="n">
        <v>3</v>
      </c>
      <c r="Z3155" s="2" t="n">
        <v>3</v>
      </c>
    </row>
    <row r="3156" customFormat="false" ht="15" hidden="false" customHeight="true" outlineLevel="0" collapsed="false">
      <c r="A3156" s="2" t="n">
        <v>37</v>
      </c>
      <c r="B3156" s="2" t="s">
        <v>26</v>
      </c>
      <c r="C3156" s="2" t="s">
        <v>27</v>
      </c>
      <c r="D3156" s="2" t="s">
        <v>35</v>
      </c>
      <c r="E3156" s="2" t="n">
        <v>1</v>
      </c>
      <c r="F3156" s="2" t="n">
        <v>4</v>
      </c>
      <c r="G3156" s="2" t="s">
        <v>51</v>
      </c>
      <c r="H3156" s="2" t="n">
        <v>3155</v>
      </c>
      <c r="I3156" s="2" t="s">
        <v>30</v>
      </c>
      <c r="J3156" s="2" t="n">
        <v>5</v>
      </c>
      <c r="K3156" s="2" t="s">
        <v>36</v>
      </c>
      <c r="L3156" s="2" t="s">
        <v>32</v>
      </c>
      <c r="M3156" s="2" t="n">
        <v>39440</v>
      </c>
      <c r="N3156" s="2" t="n">
        <v>6</v>
      </c>
      <c r="O3156" s="2" t="n">
        <v>11</v>
      </c>
      <c r="P3156" s="2" t="n">
        <v>2</v>
      </c>
      <c r="Q3156" s="2" t="n">
        <v>8</v>
      </c>
      <c r="R3156" s="2" t="n">
        <v>3</v>
      </c>
      <c r="S3156" s="2" t="n">
        <v>6</v>
      </c>
      <c r="T3156" s="2" t="n">
        <v>4</v>
      </c>
      <c r="U3156" s="2" t="n">
        <v>3</v>
      </c>
      <c r="V3156" s="2" t="n">
        <v>2</v>
      </c>
      <c r="W3156" s="2" t="n">
        <v>2</v>
      </c>
      <c r="X3156" s="2" t="n">
        <v>2</v>
      </c>
      <c r="Y3156" s="2" t="n">
        <v>3</v>
      </c>
      <c r="Z3156" s="2" t="n">
        <v>3</v>
      </c>
    </row>
    <row r="3157" customFormat="false" ht="15" hidden="false" customHeight="true" outlineLevel="0" collapsed="false">
      <c r="A3157" s="2" t="n">
        <v>49</v>
      </c>
      <c r="B3157" s="2" t="s">
        <v>26</v>
      </c>
      <c r="C3157" s="2" t="s">
        <v>27</v>
      </c>
      <c r="D3157" s="2" t="s">
        <v>28</v>
      </c>
      <c r="E3157" s="2" t="n">
        <v>21</v>
      </c>
      <c r="F3157" s="2" t="n">
        <v>1</v>
      </c>
      <c r="G3157" s="2" t="s">
        <v>29</v>
      </c>
      <c r="H3157" s="2" t="n">
        <v>3156</v>
      </c>
      <c r="I3157" s="2" t="s">
        <v>39</v>
      </c>
      <c r="J3157" s="2" t="n">
        <v>1</v>
      </c>
      <c r="K3157" s="2" t="s">
        <v>40</v>
      </c>
      <c r="L3157" s="2" t="s">
        <v>46</v>
      </c>
      <c r="M3157" s="2" t="n">
        <v>40110</v>
      </c>
      <c r="N3157" s="2" t="n">
        <v>1</v>
      </c>
      <c r="O3157" s="2" t="n">
        <v>18</v>
      </c>
      <c r="P3157" s="2" t="n">
        <v>2</v>
      </c>
      <c r="Q3157" s="2" t="n">
        <v>31</v>
      </c>
      <c r="R3157" s="2" t="n">
        <v>2</v>
      </c>
      <c r="S3157" s="2" t="n">
        <v>31</v>
      </c>
      <c r="T3157" s="2" t="n">
        <v>0</v>
      </c>
      <c r="U3157" s="2" t="n">
        <v>9</v>
      </c>
      <c r="V3157" s="2" t="n">
        <v>4</v>
      </c>
      <c r="W3157" s="2" t="n">
        <v>3</v>
      </c>
      <c r="X3157" s="2" t="n">
        <v>3</v>
      </c>
      <c r="Y3157" s="2" t="n">
        <v>1</v>
      </c>
      <c r="Z3157" s="2" t="n">
        <v>3</v>
      </c>
    </row>
    <row r="3158" customFormat="false" ht="15" hidden="false" customHeight="true" outlineLevel="0" collapsed="false">
      <c r="A3158" s="2" t="n">
        <v>24</v>
      </c>
      <c r="B3158" s="2" t="s">
        <v>26</v>
      </c>
      <c r="C3158" s="2" t="s">
        <v>27</v>
      </c>
      <c r="D3158" s="2" t="s">
        <v>28</v>
      </c>
      <c r="E3158" s="2" t="n">
        <v>1</v>
      </c>
      <c r="F3158" s="2" t="n">
        <v>3</v>
      </c>
      <c r="G3158" s="2" t="s">
        <v>50</v>
      </c>
      <c r="H3158" s="2" t="n">
        <v>3157</v>
      </c>
      <c r="I3158" s="2" t="s">
        <v>30</v>
      </c>
      <c r="J3158" s="2" t="n">
        <v>1</v>
      </c>
      <c r="K3158" s="2" t="s">
        <v>40</v>
      </c>
      <c r="L3158" s="2" t="s">
        <v>32</v>
      </c>
      <c r="M3158" s="2" t="n">
        <v>34070</v>
      </c>
      <c r="N3158" s="2" t="n">
        <v>1</v>
      </c>
      <c r="O3158" s="2" t="n">
        <v>15</v>
      </c>
      <c r="P3158" s="2" t="n">
        <v>2</v>
      </c>
      <c r="Q3158" s="2" t="n">
        <v>6</v>
      </c>
      <c r="R3158" s="2" t="n">
        <v>2</v>
      </c>
      <c r="S3158" s="2" t="n">
        <v>6</v>
      </c>
      <c r="T3158" s="2" t="n">
        <v>1</v>
      </c>
      <c r="U3158" s="2" t="n">
        <v>4</v>
      </c>
      <c r="V3158" s="2" t="n">
        <v>2</v>
      </c>
      <c r="W3158" s="2" t="n">
        <v>4</v>
      </c>
      <c r="X3158" s="2" t="n">
        <v>3</v>
      </c>
      <c r="Y3158" s="2" t="n">
        <v>2</v>
      </c>
      <c r="Z3158" s="2" t="n">
        <v>3</v>
      </c>
    </row>
    <row r="3159" customFormat="false" ht="15" hidden="false" customHeight="true" outlineLevel="0" collapsed="false">
      <c r="A3159" s="2" t="n">
        <v>26</v>
      </c>
      <c r="B3159" s="2" t="s">
        <v>26</v>
      </c>
      <c r="C3159" s="2" t="s">
        <v>27</v>
      </c>
      <c r="D3159" s="2" t="s">
        <v>35</v>
      </c>
      <c r="E3159" s="2" t="n">
        <v>19</v>
      </c>
      <c r="F3159" s="2" t="n">
        <v>4</v>
      </c>
      <c r="G3159" s="2" t="s">
        <v>51</v>
      </c>
      <c r="H3159" s="2" t="n">
        <v>3158</v>
      </c>
      <c r="I3159" s="2" t="s">
        <v>30</v>
      </c>
      <c r="J3159" s="2" t="n">
        <v>4</v>
      </c>
      <c r="K3159" s="2" t="s">
        <v>40</v>
      </c>
      <c r="L3159" s="2" t="s">
        <v>32</v>
      </c>
      <c r="M3159" s="2" t="n">
        <v>119940</v>
      </c>
      <c r="N3159" s="2" t="n">
        <v>1</v>
      </c>
      <c r="O3159" s="2" t="n">
        <v>14</v>
      </c>
      <c r="P3159" s="2" t="n">
        <v>1</v>
      </c>
      <c r="Q3159" s="2" t="n">
        <v>6</v>
      </c>
      <c r="R3159" s="2" t="n">
        <v>6</v>
      </c>
      <c r="S3159" s="2" t="n">
        <v>5</v>
      </c>
      <c r="T3159" s="2" t="n">
        <v>1</v>
      </c>
      <c r="U3159" s="2" t="n">
        <v>4</v>
      </c>
      <c r="V3159" s="2" t="n">
        <v>1</v>
      </c>
      <c r="W3159" s="2" t="n">
        <v>2</v>
      </c>
      <c r="X3159" s="2" t="n">
        <v>4</v>
      </c>
      <c r="Y3159" s="2" t="n">
        <v>3</v>
      </c>
      <c r="Z3159" s="2" t="n">
        <v>3</v>
      </c>
    </row>
    <row r="3160" customFormat="false" ht="15" hidden="false" customHeight="true" outlineLevel="0" collapsed="false">
      <c r="A3160" s="2" t="n">
        <v>24</v>
      </c>
      <c r="B3160" s="2" t="s">
        <v>26</v>
      </c>
      <c r="C3160" s="2" t="s">
        <v>27</v>
      </c>
      <c r="D3160" s="2" t="s">
        <v>28</v>
      </c>
      <c r="E3160" s="2" t="n">
        <v>7</v>
      </c>
      <c r="F3160" s="2" t="n">
        <v>3</v>
      </c>
      <c r="G3160" s="2" t="s">
        <v>43</v>
      </c>
      <c r="H3160" s="2" t="n">
        <v>3159</v>
      </c>
      <c r="I3160" s="2" t="s">
        <v>30</v>
      </c>
      <c r="J3160" s="2" t="n">
        <v>1</v>
      </c>
      <c r="K3160" s="2" t="s">
        <v>45</v>
      </c>
      <c r="L3160" s="2" t="s">
        <v>32</v>
      </c>
      <c r="M3160" s="2" t="n">
        <v>12320</v>
      </c>
      <c r="N3160" s="2" t="n">
        <v>1</v>
      </c>
      <c r="O3160" s="2" t="n">
        <v>12</v>
      </c>
      <c r="P3160" s="2" t="n">
        <v>0</v>
      </c>
      <c r="Q3160" s="2" t="n">
        <v>1</v>
      </c>
      <c r="R3160" s="2" t="n">
        <v>4</v>
      </c>
      <c r="S3160" s="2" t="n">
        <v>1</v>
      </c>
      <c r="T3160" s="2" t="n">
        <v>0</v>
      </c>
      <c r="U3160" s="2" t="n">
        <v>0</v>
      </c>
      <c r="V3160" s="2" t="n">
        <v>4</v>
      </c>
      <c r="W3160" s="2" t="n">
        <v>2</v>
      </c>
      <c r="X3160" s="2" t="n">
        <v>3</v>
      </c>
      <c r="Y3160" s="2" t="n">
        <v>1</v>
      </c>
      <c r="Z3160" s="2" t="n">
        <v>3</v>
      </c>
    </row>
    <row r="3161" customFormat="false" ht="15" hidden="false" customHeight="true" outlineLevel="0" collapsed="false">
      <c r="A3161" s="2" t="n">
        <v>50</v>
      </c>
      <c r="B3161" s="2" t="s">
        <v>26</v>
      </c>
      <c r="C3161" s="2" t="s">
        <v>34</v>
      </c>
      <c r="D3161" s="2" t="s">
        <v>28</v>
      </c>
      <c r="E3161" s="2" t="n">
        <v>2</v>
      </c>
      <c r="F3161" s="2" t="n">
        <v>2</v>
      </c>
      <c r="G3161" s="2" t="s">
        <v>50</v>
      </c>
      <c r="H3161" s="2" t="n">
        <v>3160</v>
      </c>
      <c r="I3161" s="2" t="s">
        <v>39</v>
      </c>
      <c r="J3161" s="2" t="n">
        <v>1</v>
      </c>
      <c r="K3161" s="2" t="s">
        <v>40</v>
      </c>
      <c r="L3161" s="2" t="s">
        <v>32</v>
      </c>
      <c r="M3161" s="2" t="n">
        <v>29600</v>
      </c>
      <c r="N3161" s="2" t="n">
        <v>1</v>
      </c>
      <c r="O3161" s="2" t="n">
        <v>14</v>
      </c>
      <c r="P3161" s="2" t="n">
        <v>3</v>
      </c>
      <c r="Q3161" s="2" t="n">
        <v>32</v>
      </c>
      <c r="R3161" s="2" t="n">
        <v>2</v>
      </c>
      <c r="S3161" s="2" t="n">
        <v>32</v>
      </c>
      <c r="T3161" s="2" t="n">
        <v>10</v>
      </c>
      <c r="U3161" s="2" t="n">
        <v>7</v>
      </c>
      <c r="V3161" s="2" t="n">
        <v>1</v>
      </c>
      <c r="W3161" s="2" t="n">
        <v>2</v>
      </c>
      <c r="X3161" s="2" t="n">
        <v>3</v>
      </c>
      <c r="Y3161" s="2" t="n">
        <v>3</v>
      </c>
      <c r="Z3161" s="2" t="n">
        <v>3</v>
      </c>
    </row>
    <row r="3162" customFormat="false" ht="15" hidden="false" customHeight="true" outlineLevel="0" collapsed="false">
      <c r="A3162" s="2" t="n">
        <v>25</v>
      </c>
      <c r="B3162" s="2" t="s">
        <v>26</v>
      </c>
      <c r="C3162" s="2" t="s">
        <v>27</v>
      </c>
      <c r="D3162" s="2" t="s">
        <v>35</v>
      </c>
      <c r="E3162" s="2" t="n">
        <v>2</v>
      </c>
      <c r="F3162" s="2" t="n">
        <v>3</v>
      </c>
      <c r="G3162" s="2" t="s">
        <v>29</v>
      </c>
      <c r="H3162" s="2" t="n">
        <v>3161</v>
      </c>
      <c r="I3162" s="2" t="s">
        <v>39</v>
      </c>
      <c r="J3162" s="2" t="n">
        <v>1</v>
      </c>
      <c r="K3162" s="2" t="s">
        <v>36</v>
      </c>
      <c r="L3162" s="2" t="s">
        <v>32</v>
      </c>
      <c r="M3162" s="2" t="n">
        <v>190940</v>
      </c>
      <c r="N3162" s="2" t="n">
        <v>1</v>
      </c>
      <c r="O3162" s="2" t="n">
        <v>16</v>
      </c>
      <c r="P3162" s="2" t="n">
        <v>0</v>
      </c>
      <c r="Q3162" s="2" t="n">
        <v>7</v>
      </c>
      <c r="R3162" s="2" t="n">
        <v>3</v>
      </c>
      <c r="S3162" s="2" t="n">
        <v>7</v>
      </c>
      <c r="T3162" s="2" t="n">
        <v>0</v>
      </c>
      <c r="U3162" s="2" t="n">
        <v>6</v>
      </c>
      <c r="V3162" s="2" t="n">
        <v>2</v>
      </c>
      <c r="W3162" s="2" t="n">
        <v>3</v>
      </c>
      <c r="X3162" s="2" t="n">
        <v>3</v>
      </c>
      <c r="Y3162" s="2" t="n">
        <v>2</v>
      </c>
      <c r="Z3162" s="2" t="n">
        <v>3</v>
      </c>
    </row>
    <row r="3163" customFormat="false" ht="15" hidden="false" customHeight="true" outlineLevel="0" collapsed="false">
      <c r="A3163" s="2" t="n">
        <v>24</v>
      </c>
      <c r="B3163" s="2" t="s">
        <v>33</v>
      </c>
      <c r="C3163" s="2" t="s">
        <v>34</v>
      </c>
      <c r="D3163" s="2" t="s">
        <v>35</v>
      </c>
      <c r="E3163" s="2" t="n">
        <v>2</v>
      </c>
      <c r="F3163" s="2" t="n">
        <v>3</v>
      </c>
      <c r="G3163" s="2" t="s">
        <v>43</v>
      </c>
      <c r="H3163" s="2" t="n">
        <v>3162</v>
      </c>
      <c r="I3163" s="2" t="s">
        <v>39</v>
      </c>
      <c r="J3163" s="2" t="n">
        <v>2</v>
      </c>
      <c r="K3163" s="2" t="s">
        <v>36</v>
      </c>
      <c r="L3163" s="2" t="s">
        <v>32</v>
      </c>
      <c r="M3163" s="2" t="n">
        <v>39190</v>
      </c>
      <c r="N3163" s="2" t="n">
        <v>1</v>
      </c>
      <c r="O3163" s="2" t="n">
        <v>21</v>
      </c>
      <c r="P3163" s="2" t="n">
        <v>0</v>
      </c>
      <c r="Q3163" s="2" t="n">
        <v>6</v>
      </c>
      <c r="R3163" s="2" t="n">
        <v>3</v>
      </c>
      <c r="S3163" s="2" t="n">
        <v>6</v>
      </c>
      <c r="T3163" s="2" t="n">
        <v>1</v>
      </c>
      <c r="U3163" s="2" t="n">
        <v>2</v>
      </c>
      <c r="V3163" s="2" t="n">
        <v>1</v>
      </c>
      <c r="W3163" s="2" t="n">
        <v>3</v>
      </c>
      <c r="X3163" s="2" t="n">
        <v>3</v>
      </c>
      <c r="Y3163" s="2" t="n">
        <v>3</v>
      </c>
      <c r="Z3163" s="2" t="n">
        <v>4</v>
      </c>
    </row>
    <row r="3164" customFormat="false" ht="15" hidden="false" customHeight="true" outlineLevel="0" collapsed="false">
      <c r="A3164" s="2" t="n">
        <v>30</v>
      </c>
      <c r="B3164" s="2" t="s">
        <v>33</v>
      </c>
      <c r="C3164" s="2" t="s">
        <v>34</v>
      </c>
      <c r="D3164" s="2" t="s">
        <v>35</v>
      </c>
      <c r="E3164" s="2" t="n">
        <v>9</v>
      </c>
      <c r="F3164" s="2" t="n">
        <v>3</v>
      </c>
      <c r="G3164" s="2" t="s">
        <v>38</v>
      </c>
      <c r="H3164" s="2" t="n">
        <v>3163</v>
      </c>
      <c r="I3164" s="2" t="s">
        <v>39</v>
      </c>
      <c r="J3164" s="2" t="n">
        <v>2</v>
      </c>
      <c r="K3164" s="2" t="s">
        <v>31</v>
      </c>
      <c r="L3164" s="2" t="s">
        <v>32</v>
      </c>
      <c r="M3164" s="2" t="n">
        <v>68250</v>
      </c>
      <c r="N3164" s="2" t="n">
        <v>1</v>
      </c>
      <c r="O3164" s="2" t="n">
        <v>14</v>
      </c>
      <c r="P3164" s="2" t="n">
        <v>0</v>
      </c>
      <c r="Q3164" s="2" t="n">
        <v>1</v>
      </c>
      <c r="R3164" s="2" t="n">
        <v>2</v>
      </c>
      <c r="S3164" s="2" t="n">
        <v>1</v>
      </c>
      <c r="T3164" s="2" t="n">
        <v>0</v>
      </c>
      <c r="U3164" s="2" t="n">
        <v>0</v>
      </c>
      <c r="V3164" s="2" t="n">
        <v>2</v>
      </c>
      <c r="W3164" s="2" t="n">
        <v>1</v>
      </c>
      <c r="X3164" s="2" t="n">
        <v>4</v>
      </c>
      <c r="Y3164" s="2" t="n">
        <v>3</v>
      </c>
      <c r="Z3164" s="2" t="n">
        <v>3</v>
      </c>
    </row>
    <row r="3165" customFormat="false" ht="15" hidden="false" customHeight="true" outlineLevel="0" collapsed="false">
      <c r="A3165" s="2" t="n">
        <v>34</v>
      </c>
      <c r="B3165" s="2" t="s">
        <v>26</v>
      </c>
      <c r="C3165" s="2" t="s">
        <v>27</v>
      </c>
      <c r="D3165" s="2" t="s">
        <v>28</v>
      </c>
      <c r="E3165" s="2" t="n">
        <v>6</v>
      </c>
      <c r="F3165" s="2" t="n">
        <v>2</v>
      </c>
      <c r="G3165" s="2" t="s">
        <v>29</v>
      </c>
      <c r="H3165" s="2" t="n">
        <v>3164</v>
      </c>
      <c r="I3165" s="2" t="s">
        <v>39</v>
      </c>
      <c r="J3165" s="2" t="n">
        <v>4</v>
      </c>
      <c r="K3165" s="2" t="s">
        <v>44</v>
      </c>
      <c r="L3165" s="2" t="s">
        <v>32</v>
      </c>
      <c r="M3165" s="2" t="n">
        <v>102480</v>
      </c>
      <c r="N3165" s="2" t="n">
        <v>1</v>
      </c>
      <c r="O3165" s="2" t="n">
        <v>12</v>
      </c>
      <c r="P3165" s="2" t="n">
        <v>1</v>
      </c>
      <c r="Q3165" s="2" t="n">
        <v>6</v>
      </c>
      <c r="R3165" s="2" t="n">
        <v>4</v>
      </c>
      <c r="S3165" s="2" t="n">
        <v>6</v>
      </c>
      <c r="T3165" s="2" t="n">
        <v>1</v>
      </c>
      <c r="U3165" s="2" t="n">
        <v>3</v>
      </c>
      <c r="V3165" s="2" t="n">
        <v>2</v>
      </c>
      <c r="W3165" s="2" t="n">
        <v>4</v>
      </c>
      <c r="X3165" s="2" t="n">
        <v>3</v>
      </c>
      <c r="Y3165" s="2" t="n">
        <v>3</v>
      </c>
      <c r="Z3165" s="2" t="n">
        <v>3</v>
      </c>
    </row>
    <row r="3166" customFormat="false" ht="15" hidden="false" customHeight="true" outlineLevel="0" collapsed="false">
      <c r="A3166" s="2" t="n">
        <v>31</v>
      </c>
      <c r="B3166" s="2" t="s">
        <v>33</v>
      </c>
      <c r="C3166" s="2" t="s">
        <v>27</v>
      </c>
      <c r="D3166" s="2" t="s">
        <v>35</v>
      </c>
      <c r="E3166" s="2" t="n">
        <v>9</v>
      </c>
      <c r="F3166" s="2" t="n">
        <v>1</v>
      </c>
      <c r="G3166" s="2" t="s">
        <v>43</v>
      </c>
      <c r="H3166" s="2" t="n">
        <v>3165</v>
      </c>
      <c r="I3166" s="2" t="s">
        <v>30</v>
      </c>
      <c r="J3166" s="2" t="n">
        <v>1</v>
      </c>
      <c r="K3166" s="2" t="s">
        <v>48</v>
      </c>
      <c r="L3166" s="2" t="s">
        <v>46</v>
      </c>
      <c r="M3166" s="2" t="n">
        <v>189470</v>
      </c>
      <c r="N3166" s="2" t="n">
        <v>2</v>
      </c>
      <c r="O3166" s="2" t="n">
        <v>12</v>
      </c>
      <c r="P3166" s="2" t="n">
        <v>2</v>
      </c>
      <c r="Q3166" s="2" t="n">
        <v>9</v>
      </c>
      <c r="R3166" s="2" t="n">
        <v>2</v>
      </c>
      <c r="S3166" s="2" t="n">
        <v>3</v>
      </c>
      <c r="T3166" s="2" t="n">
        <v>1</v>
      </c>
      <c r="U3166" s="2" t="n">
        <v>2</v>
      </c>
      <c r="V3166" s="2" t="n">
        <v>2</v>
      </c>
      <c r="W3166" s="2" t="n">
        <v>1</v>
      </c>
      <c r="X3166" s="2" t="n">
        <v>1</v>
      </c>
      <c r="Y3166" s="2" t="n">
        <v>2</v>
      </c>
      <c r="Z3166" s="2" t="n">
        <v>3</v>
      </c>
    </row>
    <row r="3167" customFormat="false" ht="15" hidden="false" customHeight="true" outlineLevel="0" collapsed="false">
      <c r="A3167" s="2" t="n">
        <v>35</v>
      </c>
      <c r="B3167" s="2" t="s">
        <v>26</v>
      </c>
      <c r="C3167" s="2" t="s">
        <v>27</v>
      </c>
      <c r="D3167" s="2" t="s">
        <v>35</v>
      </c>
      <c r="E3167" s="2" t="n">
        <v>2</v>
      </c>
      <c r="F3167" s="2" t="n">
        <v>3</v>
      </c>
      <c r="G3167" s="2" t="s">
        <v>29</v>
      </c>
      <c r="H3167" s="2" t="n">
        <v>3166</v>
      </c>
      <c r="I3167" s="2" t="s">
        <v>30</v>
      </c>
      <c r="J3167" s="2" t="n">
        <v>5</v>
      </c>
      <c r="K3167" s="2" t="s">
        <v>40</v>
      </c>
      <c r="L3167" s="2" t="s">
        <v>37</v>
      </c>
      <c r="M3167" s="2" t="n">
        <v>24960</v>
      </c>
      <c r="N3167" s="2" t="n">
        <v>4</v>
      </c>
      <c r="O3167" s="2" t="n">
        <v>17</v>
      </c>
      <c r="P3167" s="2" t="n">
        <v>3</v>
      </c>
      <c r="Q3167" s="2" t="n">
        <v>9</v>
      </c>
      <c r="R3167" s="2" t="n">
        <v>3</v>
      </c>
      <c r="S3167" s="2" t="n">
        <v>3</v>
      </c>
      <c r="T3167" s="2" t="n">
        <v>0</v>
      </c>
      <c r="U3167" s="2" t="n">
        <v>2</v>
      </c>
      <c r="V3167" s="2" t="n">
        <v>1</v>
      </c>
      <c r="W3167" s="2" t="n">
        <v>4</v>
      </c>
      <c r="X3167" s="2" t="n">
        <v>3</v>
      </c>
      <c r="Y3167" s="2" t="n">
        <v>3</v>
      </c>
      <c r="Z3167" s="2" t="n">
        <v>3</v>
      </c>
    </row>
    <row r="3168" customFormat="false" ht="15" hidden="false" customHeight="true" outlineLevel="0" collapsed="false">
      <c r="A3168" s="2" t="n">
        <v>31</v>
      </c>
      <c r="B3168" s="2" t="s">
        <v>26</v>
      </c>
      <c r="C3168" s="2" t="s">
        <v>27</v>
      </c>
      <c r="D3168" s="2" t="s">
        <v>28</v>
      </c>
      <c r="E3168" s="2" t="n">
        <v>1</v>
      </c>
      <c r="F3168" s="2" t="n">
        <v>3</v>
      </c>
      <c r="G3168" s="2" t="s">
        <v>50</v>
      </c>
      <c r="H3168" s="2" t="n">
        <v>3167</v>
      </c>
      <c r="I3168" s="2" t="s">
        <v>30</v>
      </c>
      <c r="J3168" s="2" t="n">
        <v>2</v>
      </c>
      <c r="K3168" s="2" t="s">
        <v>40</v>
      </c>
      <c r="L3168" s="2" t="s">
        <v>46</v>
      </c>
      <c r="M3168" s="2" t="n">
        <v>64650</v>
      </c>
      <c r="N3168" s="2" t="n">
        <v>4</v>
      </c>
      <c r="O3168" s="2" t="n">
        <v>17</v>
      </c>
      <c r="P3168" s="2" t="n">
        <v>0</v>
      </c>
      <c r="Q3168" s="2" t="n">
        <v>13</v>
      </c>
      <c r="R3168" s="2" t="n">
        <v>3</v>
      </c>
      <c r="S3168" s="2" t="n">
        <v>7</v>
      </c>
      <c r="T3168" s="2" t="n">
        <v>5</v>
      </c>
      <c r="U3168" s="2" t="n">
        <v>7</v>
      </c>
      <c r="V3168" s="2" t="n">
        <v>1</v>
      </c>
      <c r="W3168" s="2" t="n">
        <v>4</v>
      </c>
      <c r="X3168" s="2" t="n">
        <v>4</v>
      </c>
      <c r="Y3168" s="2" t="n">
        <v>3</v>
      </c>
      <c r="Z3168" s="2" t="n">
        <v>3</v>
      </c>
    </row>
    <row r="3169" customFormat="false" ht="15" hidden="false" customHeight="true" outlineLevel="0" collapsed="false">
      <c r="A3169" s="2" t="n">
        <v>27</v>
      </c>
      <c r="B3169" s="2" t="s">
        <v>26</v>
      </c>
      <c r="C3169" s="2" t="s">
        <v>27</v>
      </c>
      <c r="D3169" s="2" t="s">
        <v>28</v>
      </c>
      <c r="E3169" s="2" t="n">
        <v>22</v>
      </c>
      <c r="F3169" s="2" t="n">
        <v>4</v>
      </c>
      <c r="G3169" s="2" t="s">
        <v>43</v>
      </c>
      <c r="H3169" s="2" t="n">
        <v>3168</v>
      </c>
      <c r="I3169" s="2" t="s">
        <v>39</v>
      </c>
      <c r="J3169" s="2" t="n">
        <v>1</v>
      </c>
      <c r="K3169" s="2" t="s">
        <v>48</v>
      </c>
      <c r="L3169" s="2" t="s">
        <v>46</v>
      </c>
      <c r="M3169" s="2" t="n">
        <v>22060</v>
      </c>
      <c r="N3169" s="2" t="n">
        <v>0</v>
      </c>
      <c r="O3169" s="2" t="n">
        <v>14</v>
      </c>
      <c r="P3169" s="2" t="n">
        <v>1</v>
      </c>
      <c r="Q3169" s="2" t="n">
        <v>6</v>
      </c>
      <c r="R3169" s="2" t="n">
        <v>4</v>
      </c>
      <c r="S3169" s="2" t="n">
        <v>5</v>
      </c>
      <c r="T3169" s="2" t="n">
        <v>0</v>
      </c>
      <c r="U3169" s="2" t="n">
        <v>3</v>
      </c>
      <c r="V3169" s="2" t="n">
        <v>1</v>
      </c>
      <c r="W3169" s="2" t="n">
        <v>3</v>
      </c>
      <c r="X3169" s="2" t="n">
        <v>2</v>
      </c>
      <c r="Y3169" s="2" t="n">
        <v>3</v>
      </c>
      <c r="Z3169" s="2" t="n">
        <v>3</v>
      </c>
    </row>
    <row r="3170" customFormat="false" ht="15" hidden="false" customHeight="true" outlineLevel="0" collapsed="false">
      <c r="A3170" s="2" t="n">
        <v>37</v>
      </c>
      <c r="B3170" s="2" t="s">
        <v>26</v>
      </c>
      <c r="C3170" s="2" t="s">
        <v>27</v>
      </c>
      <c r="D3170" s="2" t="s">
        <v>28</v>
      </c>
      <c r="E3170" s="2" t="n">
        <v>9</v>
      </c>
      <c r="F3170" s="2" t="n">
        <v>4</v>
      </c>
      <c r="G3170" s="2" t="s">
        <v>50</v>
      </c>
      <c r="H3170" s="2" t="n">
        <v>3169</v>
      </c>
      <c r="I3170" s="2" t="s">
        <v>30</v>
      </c>
      <c r="J3170" s="2" t="n">
        <v>2</v>
      </c>
      <c r="K3170" s="2" t="s">
        <v>45</v>
      </c>
      <c r="L3170" s="2" t="s">
        <v>32</v>
      </c>
      <c r="M3170" s="2" t="n">
        <v>20860</v>
      </c>
      <c r="N3170" s="2" t="n">
        <v>4</v>
      </c>
      <c r="O3170" s="2" t="n">
        <v>14</v>
      </c>
      <c r="P3170" s="2" t="n">
        <v>0</v>
      </c>
      <c r="Q3170" s="2" t="n">
        <v>17</v>
      </c>
      <c r="R3170" s="2" t="n">
        <v>3</v>
      </c>
      <c r="S3170" s="2" t="n">
        <v>3</v>
      </c>
      <c r="T3170" s="2" t="n">
        <v>1</v>
      </c>
      <c r="U3170" s="2" t="n">
        <v>0</v>
      </c>
      <c r="V3170" s="2" t="n">
        <v>4</v>
      </c>
      <c r="W3170" s="2" t="n">
        <v>3</v>
      </c>
      <c r="X3170" s="2" t="n">
        <v>2</v>
      </c>
      <c r="Y3170" s="2" t="n">
        <v>3</v>
      </c>
      <c r="Z3170" s="2" t="n">
        <v>3</v>
      </c>
    </row>
    <row r="3171" customFormat="false" ht="15" hidden="false" customHeight="true" outlineLevel="0" collapsed="false">
      <c r="A3171" s="2" t="n">
        <v>20</v>
      </c>
      <c r="B3171" s="2" t="s">
        <v>26</v>
      </c>
      <c r="C3171" s="2" t="s">
        <v>27</v>
      </c>
      <c r="D3171" s="2" t="s">
        <v>35</v>
      </c>
      <c r="E3171" s="2" t="n">
        <v>17</v>
      </c>
      <c r="F3171" s="2" t="n">
        <v>4</v>
      </c>
      <c r="G3171" s="2" t="s">
        <v>43</v>
      </c>
      <c r="H3171" s="2" t="n">
        <v>3170</v>
      </c>
      <c r="I3171" s="2" t="s">
        <v>30</v>
      </c>
      <c r="J3171" s="2" t="n">
        <v>1</v>
      </c>
      <c r="K3171" s="2" t="s">
        <v>48</v>
      </c>
      <c r="L3171" s="2" t="s">
        <v>37</v>
      </c>
      <c r="M3171" s="2" t="n">
        <v>22930</v>
      </c>
      <c r="N3171" s="2" t="n">
        <v>1</v>
      </c>
      <c r="O3171" s="2" t="n">
        <v>13</v>
      </c>
      <c r="P3171" s="2" t="n">
        <v>2</v>
      </c>
      <c r="Q3171" s="2" t="n">
        <v>1</v>
      </c>
      <c r="R3171" s="2" t="n">
        <v>3</v>
      </c>
      <c r="S3171" s="2" t="n">
        <v>1</v>
      </c>
      <c r="T3171" s="2" t="n">
        <v>0</v>
      </c>
      <c r="U3171" s="2" t="n">
        <v>0</v>
      </c>
      <c r="V3171" s="2" t="n">
        <v>4</v>
      </c>
      <c r="W3171" s="2" t="n">
        <v>2</v>
      </c>
      <c r="X3171" s="2" t="n">
        <v>4</v>
      </c>
      <c r="Y3171" s="2" t="n">
        <v>1</v>
      </c>
      <c r="Z3171" s="2" t="n">
        <v>3</v>
      </c>
    </row>
    <row r="3172" customFormat="false" ht="15" hidden="false" customHeight="true" outlineLevel="0" collapsed="false">
      <c r="A3172" s="2" t="n">
        <v>42</v>
      </c>
      <c r="B3172" s="2" t="s">
        <v>26</v>
      </c>
      <c r="C3172" s="2" t="s">
        <v>27</v>
      </c>
      <c r="D3172" s="2" t="s">
        <v>35</v>
      </c>
      <c r="E3172" s="2" t="n">
        <v>28</v>
      </c>
      <c r="F3172" s="2" t="n">
        <v>4</v>
      </c>
      <c r="G3172" s="2" t="s">
        <v>29</v>
      </c>
      <c r="H3172" s="2" t="n">
        <v>3171</v>
      </c>
      <c r="I3172" s="2" t="s">
        <v>30</v>
      </c>
      <c r="J3172" s="2" t="n">
        <v>2</v>
      </c>
      <c r="K3172" s="2" t="s">
        <v>47</v>
      </c>
      <c r="L3172" s="2" t="s">
        <v>32</v>
      </c>
      <c r="M3172" s="2" t="n">
        <v>26450</v>
      </c>
      <c r="N3172" s="2" t="n">
        <v>1</v>
      </c>
      <c r="O3172" s="2" t="n">
        <v>15</v>
      </c>
      <c r="P3172" s="2" t="n">
        <v>0</v>
      </c>
      <c r="Q3172" s="2" t="n">
        <v>10</v>
      </c>
      <c r="R3172" s="2" t="n">
        <v>5</v>
      </c>
      <c r="S3172" s="2" t="n">
        <v>10</v>
      </c>
      <c r="T3172" s="2" t="n">
        <v>2</v>
      </c>
      <c r="U3172" s="2" t="n">
        <v>2</v>
      </c>
      <c r="V3172" s="2" t="n">
        <v>3</v>
      </c>
      <c r="W3172" s="2" t="n">
        <v>4</v>
      </c>
      <c r="X3172" s="2" t="n">
        <v>3</v>
      </c>
      <c r="Y3172" s="2" t="n">
        <v>3</v>
      </c>
      <c r="Z3172" s="2" t="n">
        <v>3</v>
      </c>
    </row>
    <row r="3173" customFormat="false" ht="15" hidden="false" customHeight="true" outlineLevel="0" collapsed="false">
      <c r="A3173" s="2" t="n">
        <v>43</v>
      </c>
      <c r="B3173" s="2" t="s">
        <v>26</v>
      </c>
      <c r="C3173" s="2" t="s">
        <v>27</v>
      </c>
      <c r="D3173" s="2" t="s">
        <v>35</v>
      </c>
      <c r="E3173" s="2" t="n">
        <v>10</v>
      </c>
      <c r="F3173" s="2" t="n">
        <v>5</v>
      </c>
      <c r="G3173" s="2" t="s">
        <v>51</v>
      </c>
      <c r="H3173" s="2" t="n">
        <v>3172</v>
      </c>
      <c r="I3173" s="2" t="s">
        <v>30</v>
      </c>
      <c r="J3173" s="2" t="n">
        <v>2</v>
      </c>
      <c r="K3173" s="2" t="s">
        <v>40</v>
      </c>
      <c r="L3173" s="2" t="s">
        <v>46</v>
      </c>
      <c r="M3173" s="2" t="n">
        <v>26830</v>
      </c>
      <c r="N3173" s="2" t="n">
        <v>4</v>
      </c>
      <c r="O3173" s="2" t="n">
        <v>11</v>
      </c>
      <c r="P3173" s="2" t="n">
        <v>0</v>
      </c>
      <c r="Q3173" s="2" t="n">
        <v>21</v>
      </c>
      <c r="R3173" s="2" t="n">
        <v>3</v>
      </c>
      <c r="S3173" s="2" t="n">
        <v>1</v>
      </c>
      <c r="T3173" s="2" t="n">
        <v>0</v>
      </c>
      <c r="U3173" s="2" t="n">
        <v>0</v>
      </c>
      <c r="V3173" s="2" t="n">
        <v>2</v>
      </c>
      <c r="W3173" s="2" t="n">
        <v>4</v>
      </c>
      <c r="X3173" s="2" t="n">
        <v>2</v>
      </c>
      <c r="Y3173" s="2" t="n">
        <v>3</v>
      </c>
      <c r="Z3173" s="2" t="n">
        <v>3</v>
      </c>
    </row>
    <row r="3174" customFormat="false" ht="15" hidden="false" customHeight="true" outlineLevel="0" collapsed="false">
      <c r="A3174" s="2" t="n">
        <v>38</v>
      </c>
      <c r="B3174" s="2" t="s">
        <v>26</v>
      </c>
      <c r="C3174" s="2" t="s">
        <v>27</v>
      </c>
      <c r="D3174" s="2" t="s">
        <v>42</v>
      </c>
      <c r="E3174" s="2" t="n">
        <v>2</v>
      </c>
      <c r="F3174" s="2" t="n">
        <v>4</v>
      </c>
      <c r="G3174" s="2" t="s">
        <v>43</v>
      </c>
      <c r="H3174" s="2" t="n">
        <v>3173</v>
      </c>
      <c r="I3174" s="2" t="s">
        <v>39</v>
      </c>
      <c r="J3174" s="2" t="n">
        <v>1</v>
      </c>
      <c r="K3174" s="2" t="s">
        <v>42</v>
      </c>
      <c r="L3174" s="2" t="s">
        <v>37</v>
      </c>
      <c r="M3174" s="2" t="n">
        <v>20140</v>
      </c>
      <c r="N3174" s="2" t="n">
        <v>3</v>
      </c>
      <c r="O3174" s="2" t="n">
        <v>17</v>
      </c>
      <c r="P3174" s="2" t="n">
        <v>1</v>
      </c>
      <c r="Q3174" s="2" t="n">
        <v>8</v>
      </c>
      <c r="R3174" s="2" t="n">
        <v>5</v>
      </c>
      <c r="S3174" s="2" t="n">
        <v>0</v>
      </c>
      <c r="T3174" s="2" t="n">
        <v>0</v>
      </c>
      <c r="U3174" s="2" t="n">
        <v>0</v>
      </c>
      <c r="V3174" s="2" t="n">
        <v>3</v>
      </c>
      <c r="W3174" s="2" t="n">
        <v>1</v>
      </c>
      <c r="X3174" s="2" t="n">
        <v>2</v>
      </c>
      <c r="Y3174" s="2" t="n">
        <v>4</v>
      </c>
      <c r="Z3174" s="2" t="n">
        <v>3</v>
      </c>
    </row>
    <row r="3175" customFormat="false" ht="15" hidden="false" customHeight="true" outlineLevel="0" collapsed="false">
      <c r="A3175" s="2" t="n">
        <v>43</v>
      </c>
      <c r="B3175" s="2" t="s">
        <v>26</v>
      </c>
      <c r="C3175" s="2" t="s">
        <v>34</v>
      </c>
      <c r="D3175" s="2" t="s">
        <v>28</v>
      </c>
      <c r="E3175" s="2" t="n">
        <v>4</v>
      </c>
      <c r="F3175" s="2" t="n">
        <v>3</v>
      </c>
      <c r="G3175" s="2" t="s">
        <v>43</v>
      </c>
      <c r="H3175" s="2" t="n">
        <v>3174</v>
      </c>
      <c r="I3175" s="2" t="s">
        <v>30</v>
      </c>
      <c r="J3175" s="2" t="n">
        <v>2</v>
      </c>
      <c r="K3175" s="2" t="s">
        <v>31</v>
      </c>
      <c r="L3175" s="2" t="s">
        <v>46</v>
      </c>
      <c r="M3175" s="2" t="n">
        <v>34190</v>
      </c>
      <c r="N3175" s="2" t="n">
        <v>3</v>
      </c>
      <c r="O3175" s="2" t="n">
        <v>11</v>
      </c>
      <c r="P3175" s="2" t="n">
        <v>1</v>
      </c>
      <c r="Q3175" s="2" t="n">
        <v>10</v>
      </c>
      <c r="R3175" s="2" t="n">
        <v>5</v>
      </c>
      <c r="S3175" s="2" t="n">
        <v>8</v>
      </c>
      <c r="T3175" s="2" t="n">
        <v>4</v>
      </c>
      <c r="U3175" s="2" t="n">
        <v>7</v>
      </c>
      <c r="V3175" s="2" t="n">
        <v>4</v>
      </c>
      <c r="W3175" s="2" t="n">
        <v>3</v>
      </c>
      <c r="X3175" s="2" t="n">
        <v>3</v>
      </c>
      <c r="Y3175" s="2" t="n">
        <v>3</v>
      </c>
      <c r="Z3175" s="2" t="n">
        <v>3</v>
      </c>
    </row>
    <row r="3176" customFormat="false" ht="15" hidden="false" customHeight="true" outlineLevel="0" collapsed="false">
      <c r="A3176" s="2" t="n">
        <v>48</v>
      </c>
      <c r="B3176" s="2" t="s">
        <v>26</v>
      </c>
      <c r="C3176" s="2" t="s">
        <v>27</v>
      </c>
      <c r="D3176" s="2" t="s">
        <v>35</v>
      </c>
      <c r="E3176" s="2" t="n">
        <v>8</v>
      </c>
      <c r="F3176" s="2" t="n">
        <v>1</v>
      </c>
      <c r="G3176" s="2" t="s">
        <v>43</v>
      </c>
      <c r="H3176" s="2" t="n">
        <v>3175</v>
      </c>
      <c r="I3176" s="2" t="s">
        <v>39</v>
      </c>
      <c r="J3176" s="2" t="n">
        <v>2</v>
      </c>
      <c r="K3176" s="2" t="s">
        <v>45</v>
      </c>
      <c r="L3176" s="2" t="s">
        <v>32</v>
      </c>
      <c r="M3176" s="2" t="n">
        <v>53760</v>
      </c>
      <c r="N3176" s="2" t="n">
        <v>7</v>
      </c>
      <c r="O3176" s="2" t="n">
        <v>13</v>
      </c>
      <c r="P3176" s="2" t="n">
        <v>1</v>
      </c>
      <c r="Q3176" s="2" t="n">
        <v>21</v>
      </c>
      <c r="R3176" s="2" t="n">
        <v>3</v>
      </c>
      <c r="S3176" s="2" t="n">
        <v>3</v>
      </c>
      <c r="T3176" s="2" t="n">
        <v>0</v>
      </c>
      <c r="U3176" s="2" t="n">
        <v>2</v>
      </c>
      <c r="V3176" s="2" t="n">
        <v>4</v>
      </c>
      <c r="W3176" s="2" t="n">
        <v>1</v>
      </c>
      <c r="X3176" s="2" t="n">
        <v>1</v>
      </c>
      <c r="Y3176" s="2" t="n">
        <v>4</v>
      </c>
      <c r="Z3176" s="2" t="n">
        <v>3</v>
      </c>
    </row>
    <row r="3177" customFormat="false" ht="15" hidden="false" customHeight="true" outlineLevel="0" collapsed="false">
      <c r="A3177" s="2" t="n">
        <v>44</v>
      </c>
      <c r="B3177" s="2" t="s">
        <v>26</v>
      </c>
      <c r="C3177" s="2" t="s">
        <v>27</v>
      </c>
      <c r="D3177" s="2" t="s">
        <v>28</v>
      </c>
      <c r="E3177" s="2" t="n">
        <v>29</v>
      </c>
      <c r="F3177" s="2" t="n">
        <v>4</v>
      </c>
      <c r="G3177" s="2" t="s">
        <v>50</v>
      </c>
      <c r="H3177" s="2" t="n">
        <v>3176</v>
      </c>
      <c r="I3177" s="2" t="s">
        <v>39</v>
      </c>
      <c r="J3177" s="2" t="n">
        <v>2</v>
      </c>
      <c r="K3177" s="2" t="s">
        <v>40</v>
      </c>
      <c r="L3177" s="2" t="s">
        <v>37</v>
      </c>
      <c r="M3177" s="2" t="n">
        <v>19510</v>
      </c>
      <c r="N3177" s="2" t="n">
        <v>4</v>
      </c>
      <c r="O3177" s="2" t="n">
        <v>22</v>
      </c>
      <c r="P3177" s="2" t="n">
        <v>3</v>
      </c>
      <c r="Q3177" s="2" t="n">
        <v>10</v>
      </c>
      <c r="R3177" s="2" t="n">
        <v>4</v>
      </c>
      <c r="S3177" s="2" t="n">
        <v>2</v>
      </c>
      <c r="T3177" s="2" t="n">
        <v>0</v>
      </c>
      <c r="U3177" s="2" t="n">
        <v>2</v>
      </c>
      <c r="V3177" s="2" t="n">
        <v>1</v>
      </c>
      <c r="W3177" s="2" t="n">
        <v>3</v>
      </c>
      <c r="X3177" s="2" t="n">
        <v>4</v>
      </c>
      <c r="Y3177" s="2" t="n">
        <v>4</v>
      </c>
      <c r="Z3177" s="2" t="n">
        <v>4</v>
      </c>
    </row>
    <row r="3178" customFormat="false" ht="15" hidden="false" customHeight="true" outlineLevel="0" collapsed="false">
      <c r="A3178" s="2" t="n">
        <v>34</v>
      </c>
      <c r="B3178" s="2" t="s">
        <v>26</v>
      </c>
      <c r="C3178" s="2" t="s">
        <v>27</v>
      </c>
      <c r="D3178" s="2" t="s">
        <v>35</v>
      </c>
      <c r="E3178" s="2" t="n">
        <v>13</v>
      </c>
      <c r="F3178" s="2" t="n">
        <v>4</v>
      </c>
      <c r="G3178" s="2" t="s">
        <v>29</v>
      </c>
      <c r="H3178" s="2" t="n">
        <v>3177</v>
      </c>
      <c r="I3178" s="2" t="s">
        <v>30</v>
      </c>
      <c r="J3178" s="2" t="n">
        <v>1</v>
      </c>
      <c r="K3178" s="2" t="s">
        <v>45</v>
      </c>
      <c r="L3178" s="2" t="s">
        <v>46</v>
      </c>
      <c r="M3178" s="2" t="n">
        <v>23410</v>
      </c>
      <c r="N3178" s="2" t="n">
        <v>1</v>
      </c>
      <c r="O3178" s="2" t="n">
        <v>20</v>
      </c>
      <c r="P3178" s="2" t="n">
        <v>2</v>
      </c>
      <c r="Q3178" s="2" t="n">
        <v>8</v>
      </c>
      <c r="R3178" s="2" t="n">
        <v>3</v>
      </c>
      <c r="S3178" s="2" t="n">
        <v>8</v>
      </c>
      <c r="T3178" s="2" t="n">
        <v>0</v>
      </c>
      <c r="U3178" s="2" t="n">
        <v>6</v>
      </c>
      <c r="V3178" s="2" t="n">
        <v>3</v>
      </c>
      <c r="W3178" s="2" t="n">
        <v>3</v>
      </c>
      <c r="X3178" s="2" t="n">
        <v>3</v>
      </c>
      <c r="Y3178" s="2" t="n">
        <v>2</v>
      </c>
      <c r="Z3178" s="2" t="n">
        <v>4</v>
      </c>
    </row>
    <row r="3179" customFormat="false" ht="15" hidden="false" customHeight="true" outlineLevel="0" collapsed="false">
      <c r="A3179" s="2" t="n">
        <v>27</v>
      </c>
      <c r="B3179" s="2" t="s">
        <v>33</v>
      </c>
      <c r="C3179" s="2" t="s">
        <v>27</v>
      </c>
      <c r="D3179" s="2" t="s">
        <v>28</v>
      </c>
      <c r="E3179" s="2" t="n">
        <v>27</v>
      </c>
      <c r="F3179" s="2" t="n">
        <v>3</v>
      </c>
      <c r="G3179" s="2" t="s">
        <v>29</v>
      </c>
      <c r="H3179" s="2" t="n">
        <v>3178</v>
      </c>
      <c r="I3179" s="2" t="s">
        <v>39</v>
      </c>
      <c r="J3179" s="2" t="n">
        <v>2</v>
      </c>
      <c r="K3179" s="2" t="s">
        <v>36</v>
      </c>
      <c r="L3179" s="2" t="s">
        <v>46</v>
      </c>
      <c r="M3179" s="2" t="n">
        <v>22930</v>
      </c>
      <c r="N3179" s="2" t="n">
        <v>0</v>
      </c>
      <c r="O3179" s="2" t="n">
        <v>18</v>
      </c>
      <c r="P3179" s="2" t="n">
        <v>0</v>
      </c>
      <c r="Q3179" s="2" t="n">
        <v>5</v>
      </c>
      <c r="R3179" s="2" t="n">
        <v>0</v>
      </c>
      <c r="S3179" s="2" t="n">
        <v>4</v>
      </c>
      <c r="T3179" s="2" t="n">
        <v>0</v>
      </c>
      <c r="U3179" s="2" t="n">
        <v>2</v>
      </c>
      <c r="V3179" s="2" t="n">
        <v>3</v>
      </c>
      <c r="W3179" s="2" t="n">
        <v>1</v>
      </c>
      <c r="X3179" s="2" t="n">
        <v>3</v>
      </c>
      <c r="Y3179" s="2" t="n">
        <v>3</v>
      </c>
      <c r="Z3179" s="2" t="n">
        <v>3</v>
      </c>
    </row>
    <row r="3180" customFormat="false" ht="15" hidden="false" customHeight="true" outlineLevel="0" collapsed="false">
      <c r="A3180" s="2" t="n">
        <v>21</v>
      </c>
      <c r="B3180" s="2" t="s">
        <v>26</v>
      </c>
      <c r="C3180" s="2" t="s">
        <v>27</v>
      </c>
      <c r="D3180" s="2" t="s">
        <v>28</v>
      </c>
      <c r="E3180" s="2" t="n">
        <v>16</v>
      </c>
      <c r="F3180" s="2" t="n">
        <v>2</v>
      </c>
      <c r="G3180" s="2" t="s">
        <v>29</v>
      </c>
      <c r="H3180" s="2" t="n">
        <v>3179</v>
      </c>
      <c r="I3180" s="2" t="s">
        <v>39</v>
      </c>
      <c r="J3180" s="2" t="n">
        <v>3</v>
      </c>
      <c r="K3180" s="2" t="s">
        <v>40</v>
      </c>
      <c r="L3180" s="2" t="s">
        <v>37</v>
      </c>
      <c r="M3180" s="2" t="n">
        <v>87260</v>
      </c>
      <c r="N3180" s="2" t="n">
        <v>1</v>
      </c>
      <c r="O3180" s="2" t="n">
        <v>11</v>
      </c>
      <c r="P3180" s="2" t="n">
        <v>1</v>
      </c>
      <c r="Q3180" s="2" t="n">
        <v>3</v>
      </c>
      <c r="R3180" s="2" t="n">
        <v>2</v>
      </c>
      <c r="S3180" s="2" t="n">
        <v>3</v>
      </c>
      <c r="T3180" s="2" t="n">
        <v>1</v>
      </c>
      <c r="U3180" s="2" t="n">
        <v>2</v>
      </c>
      <c r="V3180" s="2" t="n">
        <v>3</v>
      </c>
      <c r="W3180" s="2" t="n">
        <v>3</v>
      </c>
      <c r="X3180" s="2" t="n">
        <v>3</v>
      </c>
      <c r="Y3180" s="2" t="n">
        <v>1</v>
      </c>
      <c r="Z3180" s="2" t="n">
        <v>3</v>
      </c>
    </row>
    <row r="3181" customFormat="false" ht="15" hidden="false" customHeight="true" outlineLevel="0" collapsed="false">
      <c r="A3181" s="2" t="n">
        <v>44</v>
      </c>
      <c r="B3181" s="2" t="s">
        <v>26</v>
      </c>
      <c r="C3181" s="2" t="s">
        <v>27</v>
      </c>
      <c r="D3181" s="2" t="s">
        <v>35</v>
      </c>
      <c r="E3181" s="2" t="n">
        <v>2</v>
      </c>
      <c r="F3181" s="2" t="n">
        <v>2</v>
      </c>
      <c r="G3181" s="2" t="s">
        <v>29</v>
      </c>
      <c r="H3181" s="2" t="n">
        <v>3180</v>
      </c>
      <c r="I3181" s="2" t="s">
        <v>39</v>
      </c>
      <c r="J3181" s="2" t="n">
        <v>1</v>
      </c>
      <c r="K3181" s="2" t="s">
        <v>45</v>
      </c>
      <c r="L3181" s="2" t="s">
        <v>32</v>
      </c>
      <c r="M3181" s="2" t="n">
        <v>40110</v>
      </c>
      <c r="N3181" s="2" t="n">
        <v>4</v>
      </c>
      <c r="O3181" s="2" t="n">
        <v>14</v>
      </c>
      <c r="P3181" s="2" t="n">
        <v>1</v>
      </c>
      <c r="Q3181" s="2" t="n">
        <v>26</v>
      </c>
      <c r="R3181" s="2" t="n">
        <v>2</v>
      </c>
      <c r="S3181" s="2" t="n">
        <v>2</v>
      </c>
      <c r="T3181" s="2" t="n">
        <v>0</v>
      </c>
      <c r="U3181" s="2" t="n">
        <v>1</v>
      </c>
      <c r="V3181" s="2" t="n">
        <v>4</v>
      </c>
      <c r="W3181" s="2" t="n">
        <v>4</v>
      </c>
      <c r="X3181" s="2" t="n">
        <v>4</v>
      </c>
      <c r="Y3181" s="2" t="n">
        <v>3</v>
      </c>
      <c r="Z3181" s="2" t="n">
        <v>3</v>
      </c>
    </row>
    <row r="3182" customFormat="false" ht="15" hidden="false" customHeight="true" outlineLevel="0" collapsed="false">
      <c r="A3182" s="2" t="n">
        <v>22</v>
      </c>
      <c r="B3182" s="2" t="s">
        <v>26</v>
      </c>
      <c r="C3182" s="2" t="s">
        <v>27</v>
      </c>
      <c r="D3182" s="2" t="s">
        <v>35</v>
      </c>
      <c r="E3182" s="2" t="n">
        <v>2</v>
      </c>
      <c r="F3182" s="2" t="n">
        <v>2</v>
      </c>
      <c r="G3182" s="2" t="s">
        <v>43</v>
      </c>
      <c r="H3182" s="2" t="n">
        <v>3181</v>
      </c>
      <c r="I3182" s="2" t="s">
        <v>30</v>
      </c>
      <c r="J3182" s="2" t="n">
        <v>2</v>
      </c>
      <c r="K3182" s="2" t="s">
        <v>45</v>
      </c>
      <c r="L3182" s="2" t="s">
        <v>32</v>
      </c>
      <c r="M3182" s="2" t="n">
        <v>195450</v>
      </c>
      <c r="N3182" s="2" t="n">
        <v>0</v>
      </c>
      <c r="O3182" s="2" t="n">
        <v>14</v>
      </c>
      <c r="P3182" s="2" t="n">
        <v>0</v>
      </c>
      <c r="Q3182" s="2" t="n">
        <v>3</v>
      </c>
      <c r="R3182" s="2" t="n">
        <v>3</v>
      </c>
      <c r="S3182" s="2" t="n">
        <v>2</v>
      </c>
      <c r="T3182" s="2" t="n">
        <v>2</v>
      </c>
      <c r="U3182" s="2" t="n">
        <v>2</v>
      </c>
      <c r="V3182" s="2" t="n">
        <v>1</v>
      </c>
      <c r="W3182" s="2" t="n">
        <v>3</v>
      </c>
      <c r="X3182" s="2" t="n">
        <v>3</v>
      </c>
      <c r="Y3182" s="2" t="n">
        <v>2</v>
      </c>
      <c r="Z3182" s="2" t="n">
        <v>3</v>
      </c>
    </row>
    <row r="3183" customFormat="false" ht="15" hidden="false" customHeight="true" outlineLevel="0" collapsed="false">
      <c r="A3183" s="2" t="n">
        <v>33</v>
      </c>
      <c r="B3183" s="2" t="s">
        <v>26</v>
      </c>
      <c r="C3183" s="2" t="s">
        <v>27</v>
      </c>
      <c r="D3183" s="2" t="s">
        <v>28</v>
      </c>
      <c r="E3183" s="2" t="n">
        <v>13</v>
      </c>
      <c r="F3183" s="2" t="n">
        <v>4</v>
      </c>
      <c r="G3183" s="2" t="s">
        <v>50</v>
      </c>
      <c r="H3183" s="2" t="n">
        <v>3182</v>
      </c>
      <c r="I3183" s="2" t="s">
        <v>30</v>
      </c>
      <c r="J3183" s="2" t="n">
        <v>2</v>
      </c>
      <c r="K3183" s="2" t="s">
        <v>47</v>
      </c>
      <c r="L3183" s="2" t="s">
        <v>46</v>
      </c>
      <c r="M3183" s="2" t="n">
        <v>45680</v>
      </c>
      <c r="N3183" s="2" t="n">
        <v>0</v>
      </c>
      <c r="O3183" s="2" t="n">
        <v>18</v>
      </c>
      <c r="P3183" s="2" t="n">
        <v>1</v>
      </c>
      <c r="Q3183" s="2" t="n">
        <v>6</v>
      </c>
      <c r="R3183" s="2" t="n">
        <v>2</v>
      </c>
      <c r="S3183" s="2" t="n">
        <v>5</v>
      </c>
      <c r="T3183" s="2" t="n">
        <v>1</v>
      </c>
      <c r="U3183" s="2" t="n">
        <v>2</v>
      </c>
      <c r="V3183" s="2" t="n">
        <v>3</v>
      </c>
      <c r="W3183" s="2" t="n">
        <v>3</v>
      </c>
      <c r="X3183" s="2" t="n">
        <v>3</v>
      </c>
      <c r="Y3183" s="2" t="n">
        <v>3</v>
      </c>
      <c r="Z3183" s="2" t="n">
        <v>3</v>
      </c>
    </row>
    <row r="3184" customFormat="false" ht="15" hidden="false" customHeight="true" outlineLevel="0" collapsed="false">
      <c r="A3184" s="2" t="n">
        <v>32</v>
      </c>
      <c r="B3184" s="2" t="s">
        <v>26</v>
      </c>
      <c r="C3184" s="2" t="s">
        <v>27</v>
      </c>
      <c r="D3184" s="2" t="s">
        <v>35</v>
      </c>
      <c r="E3184" s="2" t="n">
        <v>1</v>
      </c>
      <c r="F3184" s="2" t="n">
        <v>1</v>
      </c>
      <c r="G3184" s="2" t="s">
        <v>29</v>
      </c>
      <c r="H3184" s="2" t="n">
        <v>3183</v>
      </c>
      <c r="I3184" s="2" t="s">
        <v>30</v>
      </c>
      <c r="J3184" s="2" t="n">
        <v>1</v>
      </c>
      <c r="K3184" s="2" t="s">
        <v>31</v>
      </c>
      <c r="L3184" s="2" t="s">
        <v>32</v>
      </c>
      <c r="M3184" s="2" t="n">
        <v>30220</v>
      </c>
      <c r="N3184" s="2" t="n">
        <v>1</v>
      </c>
      <c r="O3184" s="2" t="n">
        <v>16</v>
      </c>
      <c r="P3184" s="2" t="n">
        <v>1</v>
      </c>
      <c r="Q3184" s="2" t="n">
        <v>6</v>
      </c>
      <c r="R3184" s="2" t="n">
        <v>3</v>
      </c>
      <c r="S3184" s="2" t="n">
        <v>6</v>
      </c>
      <c r="T3184" s="2" t="n">
        <v>0</v>
      </c>
      <c r="U3184" s="2" t="n">
        <v>5</v>
      </c>
      <c r="V3184" s="2" t="n">
        <v>1</v>
      </c>
      <c r="W3184" s="2" t="n">
        <v>4</v>
      </c>
      <c r="X3184" s="2" t="n">
        <v>2</v>
      </c>
      <c r="Y3184" s="2" t="n">
        <v>3</v>
      </c>
      <c r="Z3184" s="2" t="n">
        <v>3</v>
      </c>
    </row>
    <row r="3185" customFormat="false" ht="15" hidden="false" customHeight="true" outlineLevel="0" collapsed="false">
      <c r="A3185" s="2" t="n">
        <v>30</v>
      </c>
      <c r="B3185" s="2" t="s">
        <v>26</v>
      </c>
      <c r="C3185" s="2" t="s">
        <v>34</v>
      </c>
      <c r="D3185" s="2" t="s">
        <v>35</v>
      </c>
      <c r="E3185" s="2" t="n">
        <v>4</v>
      </c>
      <c r="F3185" s="2" t="n">
        <v>5</v>
      </c>
      <c r="G3185" s="2" t="s">
        <v>51</v>
      </c>
      <c r="H3185" s="2" t="n">
        <v>3184</v>
      </c>
      <c r="I3185" s="2" t="s">
        <v>39</v>
      </c>
      <c r="J3185" s="2" t="n">
        <v>3</v>
      </c>
      <c r="K3185" s="2" t="s">
        <v>49</v>
      </c>
      <c r="L3185" s="2" t="s">
        <v>46</v>
      </c>
      <c r="M3185" s="2" t="n">
        <v>57720</v>
      </c>
      <c r="N3185" s="2" t="n">
        <v>1</v>
      </c>
      <c r="O3185" s="2" t="n">
        <v>17</v>
      </c>
      <c r="P3185" s="2" t="n">
        <v>0</v>
      </c>
      <c r="Q3185" s="2" t="n">
        <v>1</v>
      </c>
      <c r="R3185" s="2" t="n">
        <v>3</v>
      </c>
      <c r="S3185" s="2" t="n">
        <v>1</v>
      </c>
      <c r="T3185" s="2" t="n">
        <v>0</v>
      </c>
      <c r="U3185" s="2" t="n">
        <v>0</v>
      </c>
      <c r="V3185" s="2" t="n">
        <v>3</v>
      </c>
      <c r="W3185" s="2" t="n">
        <v>3</v>
      </c>
      <c r="X3185" s="2" t="n">
        <v>3</v>
      </c>
      <c r="Y3185" s="2" t="n">
        <v>3</v>
      </c>
      <c r="Z3185" s="2" t="n">
        <v>3</v>
      </c>
    </row>
    <row r="3186" customFormat="false" ht="15" hidden="false" customHeight="true" outlineLevel="0" collapsed="false">
      <c r="A3186" s="2" t="n">
        <v>53</v>
      </c>
      <c r="B3186" s="2" t="s">
        <v>26</v>
      </c>
      <c r="C3186" s="2" t="s">
        <v>27</v>
      </c>
      <c r="D3186" s="2" t="s">
        <v>35</v>
      </c>
      <c r="E3186" s="2" t="n">
        <v>24</v>
      </c>
      <c r="F3186" s="2" t="n">
        <v>3</v>
      </c>
      <c r="G3186" s="2" t="s">
        <v>38</v>
      </c>
      <c r="H3186" s="2" t="n">
        <v>3185</v>
      </c>
      <c r="I3186" s="2" t="s">
        <v>30</v>
      </c>
      <c r="J3186" s="2" t="n">
        <v>3</v>
      </c>
      <c r="K3186" s="2" t="s">
        <v>49</v>
      </c>
      <c r="L3186" s="2" t="s">
        <v>37</v>
      </c>
      <c r="M3186" s="2" t="n">
        <v>22690</v>
      </c>
      <c r="N3186" s="2" t="n">
        <v>7</v>
      </c>
      <c r="O3186" s="2" t="n">
        <v>11</v>
      </c>
      <c r="P3186" s="2" t="n">
        <v>1</v>
      </c>
      <c r="Q3186" s="2" t="n">
        <v>18</v>
      </c>
      <c r="R3186" s="2" t="n">
        <v>2</v>
      </c>
      <c r="S3186" s="2" t="n">
        <v>14</v>
      </c>
      <c r="T3186" s="2" t="n">
        <v>8</v>
      </c>
      <c r="U3186" s="2" t="n">
        <v>10</v>
      </c>
      <c r="V3186" s="2" t="n">
        <v>4</v>
      </c>
      <c r="W3186" s="2" t="n">
        <v>1</v>
      </c>
      <c r="X3186" s="2" t="n">
        <v>4</v>
      </c>
      <c r="Y3186" s="2" t="n">
        <v>2</v>
      </c>
      <c r="Z3186" s="2" t="n">
        <v>3</v>
      </c>
    </row>
    <row r="3187" customFormat="false" ht="15" hidden="false" customHeight="true" outlineLevel="0" collapsed="false">
      <c r="A3187" s="2" t="n">
        <v>34</v>
      </c>
      <c r="B3187" s="2" t="s">
        <v>26</v>
      </c>
      <c r="C3187" s="2" t="s">
        <v>27</v>
      </c>
      <c r="D3187" s="2" t="s">
        <v>35</v>
      </c>
      <c r="E3187" s="2" t="n">
        <v>1</v>
      </c>
      <c r="F3187" s="2" t="n">
        <v>5</v>
      </c>
      <c r="G3187" s="2" t="s">
        <v>43</v>
      </c>
      <c r="H3187" s="2" t="n">
        <v>3186</v>
      </c>
      <c r="I3187" s="2" t="s">
        <v>39</v>
      </c>
      <c r="J3187" s="2" t="n">
        <v>1</v>
      </c>
      <c r="K3187" s="2" t="s">
        <v>36</v>
      </c>
      <c r="L3187" s="2" t="s">
        <v>32</v>
      </c>
      <c r="M3187" s="2" t="n">
        <v>53810</v>
      </c>
      <c r="N3187" s="2" t="n">
        <v>1</v>
      </c>
      <c r="O3187" s="2" t="n">
        <v>12</v>
      </c>
      <c r="P3187" s="2" t="n">
        <v>0</v>
      </c>
      <c r="Q3187" s="2" t="n">
        <v>10</v>
      </c>
      <c r="R3187" s="2" t="n">
        <v>0</v>
      </c>
      <c r="S3187" s="2" t="n">
        <v>10</v>
      </c>
      <c r="T3187" s="2" t="n">
        <v>8</v>
      </c>
      <c r="U3187" s="2" t="n">
        <v>8</v>
      </c>
      <c r="V3187" s="2" t="n">
        <v>2</v>
      </c>
      <c r="W3187" s="2" t="n">
        <v>4</v>
      </c>
      <c r="X3187" s="2" t="n">
        <v>2</v>
      </c>
      <c r="Y3187" s="2" t="n">
        <v>3</v>
      </c>
      <c r="Z3187" s="2" t="n">
        <v>3</v>
      </c>
    </row>
    <row r="3188" customFormat="false" ht="15" hidden="false" customHeight="true" outlineLevel="0" collapsed="false">
      <c r="A3188" s="2" t="n">
        <v>45</v>
      </c>
      <c r="B3188" s="2" t="s">
        <v>33</v>
      </c>
      <c r="C3188" s="2" t="s">
        <v>34</v>
      </c>
      <c r="D3188" s="2" t="s">
        <v>35</v>
      </c>
      <c r="E3188" s="2" t="n">
        <v>19</v>
      </c>
      <c r="F3188" s="2" t="n">
        <v>4</v>
      </c>
      <c r="G3188" s="2" t="s">
        <v>29</v>
      </c>
      <c r="H3188" s="2" t="n">
        <v>3187</v>
      </c>
      <c r="I3188" s="2" t="s">
        <v>39</v>
      </c>
      <c r="J3188" s="2" t="n">
        <v>3</v>
      </c>
      <c r="K3188" s="2" t="s">
        <v>44</v>
      </c>
      <c r="L3188" s="2" t="s">
        <v>32</v>
      </c>
      <c r="M3188" s="2" t="n">
        <v>34410</v>
      </c>
      <c r="N3188" s="2" t="n">
        <v>2</v>
      </c>
      <c r="O3188" s="2" t="n">
        <v>13</v>
      </c>
      <c r="P3188" s="2" t="n">
        <v>1</v>
      </c>
      <c r="Q3188" s="2" t="n">
        <v>5</v>
      </c>
      <c r="R3188" s="2" t="n">
        <v>5</v>
      </c>
      <c r="S3188" s="2" t="n">
        <v>1</v>
      </c>
      <c r="T3188" s="2" t="n">
        <v>0</v>
      </c>
      <c r="U3188" s="2" t="n">
        <v>0</v>
      </c>
      <c r="V3188" s="2" t="n">
        <v>1</v>
      </c>
      <c r="W3188" s="2" t="n">
        <v>1</v>
      </c>
      <c r="X3188" s="2" t="n">
        <v>3</v>
      </c>
      <c r="Y3188" s="2" t="n">
        <v>3</v>
      </c>
      <c r="Z3188" s="2" t="n">
        <v>3</v>
      </c>
    </row>
    <row r="3189" customFormat="false" ht="15" hidden="false" customHeight="true" outlineLevel="0" collapsed="false">
      <c r="A3189" s="2" t="n">
        <v>26</v>
      </c>
      <c r="B3189" s="2" t="s">
        <v>26</v>
      </c>
      <c r="C3189" s="2" t="s">
        <v>27</v>
      </c>
      <c r="D3189" s="2" t="s">
        <v>35</v>
      </c>
      <c r="E3189" s="2" t="n">
        <v>7</v>
      </c>
      <c r="F3189" s="2" t="n">
        <v>2</v>
      </c>
      <c r="G3189" s="2" t="s">
        <v>29</v>
      </c>
      <c r="H3189" s="2" t="n">
        <v>3188</v>
      </c>
      <c r="I3189" s="2" t="s">
        <v>39</v>
      </c>
      <c r="J3189" s="2" t="n">
        <v>1</v>
      </c>
      <c r="K3189" s="2" t="s">
        <v>47</v>
      </c>
      <c r="L3189" s="2" t="s">
        <v>32</v>
      </c>
      <c r="M3189" s="2" t="n">
        <v>54540</v>
      </c>
      <c r="N3189" s="2" t="n">
        <v>1</v>
      </c>
      <c r="O3189" s="2" t="n">
        <v>13</v>
      </c>
      <c r="P3189" s="2" t="n">
        <v>1</v>
      </c>
      <c r="Q3189" s="2" t="n">
        <v>3</v>
      </c>
      <c r="R3189" s="2" t="n">
        <v>5</v>
      </c>
      <c r="S3189" s="2" t="n">
        <v>3</v>
      </c>
      <c r="T3189" s="2" t="n">
        <v>0</v>
      </c>
      <c r="U3189" s="2" t="n">
        <v>2</v>
      </c>
      <c r="V3189" s="2" t="n">
        <v>3</v>
      </c>
      <c r="W3189" s="2" t="n">
        <v>4</v>
      </c>
      <c r="X3189" s="2" t="n">
        <v>3</v>
      </c>
      <c r="Y3189" s="2" t="n">
        <v>4</v>
      </c>
      <c r="Z3189" s="2" t="n">
        <v>3</v>
      </c>
    </row>
    <row r="3190" customFormat="false" ht="15" hidden="false" customHeight="true" outlineLevel="0" collapsed="false">
      <c r="A3190" s="2" t="n">
        <v>37</v>
      </c>
      <c r="B3190" s="2" t="s">
        <v>26</v>
      </c>
      <c r="C3190" s="2" t="s">
        <v>27</v>
      </c>
      <c r="D3190" s="2" t="s">
        <v>35</v>
      </c>
      <c r="E3190" s="2" t="n">
        <v>4</v>
      </c>
      <c r="F3190" s="2" t="n">
        <v>3</v>
      </c>
      <c r="G3190" s="2" t="s">
        <v>43</v>
      </c>
      <c r="H3190" s="2" t="n">
        <v>3189</v>
      </c>
      <c r="I3190" s="2" t="s">
        <v>39</v>
      </c>
      <c r="J3190" s="2" t="n">
        <v>1</v>
      </c>
      <c r="K3190" s="2" t="s">
        <v>49</v>
      </c>
      <c r="L3190" s="2" t="s">
        <v>32</v>
      </c>
      <c r="M3190" s="2" t="n">
        <v>98840</v>
      </c>
      <c r="N3190" s="2" t="n">
        <v>1</v>
      </c>
      <c r="O3190" s="2" t="n">
        <v>14</v>
      </c>
      <c r="P3190" s="2" t="n">
        <v>0</v>
      </c>
      <c r="Q3190" s="2" t="n">
        <v>10</v>
      </c>
      <c r="R3190" s="2" t="n">
        <v>3</v>
      </c>
      <c r="S3190" s="2" t="n">
        <v>10</v>
      </c>
      <c r="T3190" s="2" t="n">
        <v>7</v>
      </c>
      <c r="U3190" s="2" t="n">
        <v>8</v>
      </c>
      <c r="V3190" s="2" t="n">
        <v>3</v>
      </c>
      <c r="W3190" s="2" t="n">
        <v>3</v>
      </c>
      <c r="X3190" s="2" t="n">
        <v>3</v>
      </c>
      <c r="Y3190" s="2" t="n">
        <v>2</v>
      </c>
      <c r="Z3190" s="2" t="n">
        <v>3</v>
      </c>
    </row>
    <row r="3191" customFormat="false" ht="15" hidden="false" customHeight="true" outlineLevel="0" collapsed="false">
      <c r="A3191" s="2" t="n">
        <v>29</v>
      </c>
      <c r="B3191" s="2" t="s">
        <v>26</v>
      </c>
      <c r="C3191" s="2" t="s">
        <v>27</v>
      </c>
      <c r="D3191" s="2" t="s">
        <v>35</v>
      </c>
      <c r="E3191" s="2" t="n">
        <v>2</v>
      </c>
      <c r="F3191" s="2" t="n">
        <v>3</v>
      </c>
      <c r="G3191" s="2" t="s">
        <v>29</v>
      </c>
      <c r="H3191" s="2" t="n">
        <v>3190</v>
      </c>
      <c r="I3191" s="2" t="s">
        <v>30</v>
      </c>
      <c r="J3191" s="2" t="n">
        <v>1</v>
      </c>
      <c r="K3191" s="2" t="s">
        <v>31</v>
      </c>
      <c r="L3191" s="2" t="s">
        <v>32</v>
      </c>
      <c r="M3191" s="2" t="n">
        <v>41570</v>
      </c>
      <c r="N3191" s="2" t="n">
        <v>1</v>
      </c>
      <c r="O3191" s="2" t="n">
        <v>17</v>
      </c>
      <c r="P3191" s="2" t="n">
        <v>3</v>
      </c>
      <c r="Q3191" s="2" t="n">
        <v>6</v>
      </c>
      <c r="R3191" s="2" t="n">
        <v>2</v>
      </c>
      <c r="S3191" s="2" t="n">
        <v>6</v>
      </c>
      <c r="T3191" s="2" t="n">
        <v>1</v>
      </c>
      <c r="U3191" s="2" t="n">
        <v>2</v>
      </c>
      <c r="V3191" s="2" t="n">
        <v>2</v>
      </c>
      <c r="W3191" s="2" t="n">
        <v>3</v>
      </c>
      <c r="X3191" s="2" t="n">
        <v>2</v>
      </c>
      <c r="Y3191" s="2" t="n">
        <v>3</v>
      </c>
      <c r="Z3191" s="2" t="n">
        <v>3</v>
      </c>
    </row>
    <row r="3192" customFormat="false" ht="15" hidden="false" customHeight="true" outlineLevel="0" collapsed="false">
      <c r="A3192" s="2" t="n">
        <v>35</v>
      </c>
      <c r="B3192" s="2" t="s">
        <v>26</v>
      </c>
      <c r="C3192" s="2" t="s">
        <v>27</v>
      </c>
      <c r="D3192" s="2" t="s">
        <v>35</v>
      </c>
      <c r="E3192" s="2" t="n">
        <v>10</v>
      </c>
      <c r="F3192" s="2" t="n">
        <v>5</v>
      </c>
      <c r="G3192" s="2" t="s">
        <v>43</v>
      </c>
      <c r="H3192" s="2" t="n">
        <v>3191</v>
      </c>
      <c r="I3192" s="2" t="s">
        <v>30</v>
      </c>
      <c r="J3192" s="2" t="n">
        <v>4</v>
      </c>
      <c r="K3192" s="2" t="s">
        <v>45</v>
      </c>
      <c r="L3192" s="2" t="s">
        <v>37</v>
      </c>
      <c r="M3192" s="2" t="n">
        <v>134580</v>
      </c>
      <c r="N3192" s="2" t="n">
        <v>1</v>
      </c>
      <c r="O3192" s="2" t="n">
        <v>11</v>
      </c>
      <c r="P3192" s="2" t="n">
        <v>0</v>
      </c>
      <c r="Q3192" s="2" t="n">
        <v>17</v>
      </c>
      <c r="R3192" s="2" t="n">
        <v>3</v>
      </c>
      <c r="S3192" s="2" t="n">
        <v>17</v>
      </c>
      <c r="T3192" s="2" t="n">
        <v>11</v>
      </c>
      <c r="U3192" s="2" t="n">
        <v>8</v>
      </c>
      <c r="V3192" s="2" t="n">
        <v>2</v>
      </c>
      <c r="W3192" s="2" t="n">
        <v>4</v>
      </c>
      <c r="X3192" s="2" t="n">
        <v>3</v>
      </c>
      <c r="Y3192" s="2" t="n">
        <v>3</v>
      </c>
      <c r="Z3192" s="2" t="n">
        <v>3</v>
      </c>
    </row>
    <row r="3193" customFormat="false" ht="15" hidden="false" customHeight="true" outlineLevel="0" collapsed="false">
      <c r="A3193" s="2" t="n">
        <v>33</v>
      </c>
      <c r="B3193" s="2" t="s">
        <v>26</v>
      </c>
      <c r="C3193" s="2" t="s">
        <v>34</v>
      </c>
      <c r="D3193" s="2" t="s">
        <v>35</v>
      </c>
      <c r="E3193" s="2" t="n">
        <v>8</v>
      </c>
      <c r="F3193" s="2" t="n">
        <v>3</v>
      </c>
      <c r="G3193" s="2" t="s">
        <v>51</v>
      </c>
      <c r="H3193" s="2" t="n">
        <v>3192</v>
      </c>
      <c r="I3193" s="2" t="s">
        <v>39</v>
      </c>
      <c r="J3193" s="2" t="n">
        <v>2</v>
      </c>
      <c r="K3193" s="2" t="s">
        <v>45</v>
      </c>
      <c r="L3193" s="2" t="s">
        <v>46</v>
      </c>
      <c r="M3193" s="2" t="n">
        <v>90690</v>
      </c>
      <c r="N3193" s="2" t="n">
        <v>3</v>
      </c>
      <c r="O3193" s="2" t="n">
        <v>25</v>
      </c>
      <c r="P3193" s="2" t="n">
        <v>1</v>
      </c>
      <c r="Q3193" s="2" t="n">
        <v>15</v>
      </c>
      <c r="R3193" s="2" t="n">
        <v>3</v>
      </c>
      <c r="S3193" s="2" t="n">
        <v>13</v>
      </c>
      <c r="T3193" s="2" t="n">
        <v>4</v>
      </c>
      <c r="U3193" s="2" t="n">
        <v>7</v>
      </c>
      <c r="V3193" s="2" t="n">
        <v>3</v>
      </c>
      <c r="W3193" s="2" t="n">
        <v>4</v>
      </c>
      <c r="X3193" s="2" t="n">
        <v>1</v>
      </c>
      <c r="Y3193" s="2" t="n">
        <v>3</v>
      </c>
      <c r="Z3193" s="2" t="n">
        <v>4</v>
      </c>
    </row>
    <row r="3194" customFormat="false" ht="15" hidden="false" customHeight="true" outlineLevel="0" collapsed="false">
      <c r="A3194" s="2" t="n">
        <v>54</v>
      </c>
      <c r="B3194" s="2" t="s">
        <v>26</v>
      </c>
      <c r="C3194" s="2" t="s">
        <v>27</v>
      </c>
      <c r="D3194" s="2" t="s">
        <v>35</v>
      </c>
      <c r="E3194" s="2" t="n">
        <v>5</v>
      </c>
      <c r="F3194" s="2" t="n">
        <v>2</v>
      </c>
      <c r="G3194" s="2" t="s">
        <v>29</v>
      </c>
      <c r="H3194" s="2" t="n">
        <v>3193</v>
      </c>
      <c r="I3194" s="2" t="s">
        <v>30</v>
      </c>
      <c r="J3194" s="2" t="n">
        <v>2</v>
      </c>
      <c r="K3194" s="2" t="s">
        <v>40</v>
      </c>
      <c r="L3194" s="2" t="s">
        <v>32</v>
      </c>
      <c r="M3194" s="2" t="n">
        <v>40140</v>
      </c>
      <c r="N3194" s="2" t="n">
        <v>2</v>
      </c>
      <c r="O3194" s="2" t="n">
        <v>19</v>
      </c>
      <c r="P3194" s="2" t="n">
        <v>1</v>
      </c>
      <c r="Q3194" s="2" t="n">
        <v>16</v>
      </c>
      <c r="R3194" s="2" t="n">
        <v>4</v>
      </c>
      <c r="S3194" s="2" t="n">
        <v>9</v>
      </c>
      <c r="T3194" s="2" t="n">
        <v>7</v>
      </c>
      <c r="U3194" s="2" t="n">
        <v>1</v>
      </c>
      <c r="V3194" s="2" t="n">
        <v>3</v>
      </c>
      <c r="W3194" s="2" t="n">
        <v>2</v>
      </c>
      <c r="X3194" s="2" t="n">
        <v>4</v>
      </c>
      <c r="Y3194" s="2" t="n">
        <v>2</v>
      </c>
      <c r="Z3194" s="2" t="n">
        <v>3</v>
      </c>
    </row>
    <row r="3195" customFormat="false" ht="15" hidden="false" customHeight="true" outlineLevel="0" collapsed="false">
      <c r="A3195" s="2" t="n">
        <v>36</v>
      </c>
      <c r="B3195" s="2" t="s">
        <v>26</v>
      </c>
      <c r="C3195" s="2" t="s">
        <v>27</v>
      </c>
      <c r="D3195" s="2" t="s">
        <v>35</v>
      </c>
      <c r="E3195" s="2" t="n">
        <v>8</v>
      </c>
      <c r="F3195" s="2" t="n">
        <v>3</v>
      </c>
      <c r="G3195" s="2" t="s">
        <v>29</v>
      </c>
      <c r="H3195" s="2" t="n">
        <v>3194</v>
      </c>
      <c r="I3195" s="2" t="s">
        <v>39</v>
      </c>
      <c r="J3195" s="2" t="n">
        <v>2</v>
      </c>
      <c r="K3195" s="2" t="s">
        <v>36</v>
      </c>
      <c r="L3195" s="2" t="s">
        <v>46</v>
      </c>
      <c r="M3195" s="2" t="n">
        <v>59150</v>
      </c>
      <c r="N3195" s="2" t="n">
        <v>2</v>
      </c>
      <c r="O3195" s="2" t="n">
        <v>13</v>
      </c>
      <c r="P3195" s="2" t="n">
        <v>1</v>
      </c>
      <c r="Q3195" s="2" t="n">
        <v>13</v>
      </c>
      <c r="R3195" s="2" t="n">
        <v>3</v>
      </c>
      <c r="S3195" s="2" t="n">
        <v>3</v>
      </c>
      <c r="T3195" s="2" t="n">
        <v>0</v>
      </c>
      <c r="U3195" s="2" t="n">
        <v>2</v>
      </c>
      <c r="V3195" s="2" t="n">
        <v>2</v>
      </c>
      <c r="W3195" s="2" t="n">
        <v>2</v>
      </c>
      <c r="X3195" s="2" t="n">
        <v>3</v>
      </c>
      <c r="Y3195" s="2" t="n">
        <v>2</v>
      </c>
      <c r="Z3195" s="2" t="n">
        <v>3</v>
      </c>
    </row>
    <row r="3196" customFormat="false" ht="15" hidden="false" customHeight="true" outlineLevel="0" collapsed="false">
      <c r="A3196" s="2" t="n">
        <v>27</v>
      </c>
      <c r="B3196" s="2" t="s">
        <v>26</v>
      </c>
      <c r="C3196" s="2" t="s">
        <v>27</v>
      </c>
      <c r="D3196" s="2" t="s">
        <v>28</v>
      </c>
      <c r="E3196" s="2" t="n">
        <v>9</v>
      </c>
      <c r="F3196" s="2" t="n">
        <v>3</v>
      </c>
      <c r="G3196" s="2" t="s">
        <v>50</v>
      </c>
      <c r="H3196" s="2" t="n">
        <v>3195</v>
      </c>
      <c r="I3196" s="2" t="s">
        <v>39</v>
      </c>
      <c r="J3196" s="2" t="n">
        <v>5</v>
      </c>
      <c r="K3196" s="2" t="s">
        <v>44</v>
      </c>
      <c r="L3196" s="2" t="s">
        <v>37</v>
      </c>
      <c r="M3196" s="2" t="n">
        <v>59930</v>
      </c>
      <c r="N3196" s="2" t="n">
        <v>0</v>
      </c>
      <c r="O3196" s="2" t="n">
        <v>14</v>
      </c>
      <c r="P3196" s="2" t="n">
        <v>1</v>
      </c>
      <c r="Q3196" s="2" t="n">
        <v>5</v>
      </c>
      <c r="R3196" s="2" t="n">
        <v>3</v>
      </c>
      <c r="S3196" s="2" t="n">
        <v>4</v>
      </c>
      <c r="T3196" s="2" t="n">
        <v>1</v>
      </c>
      <c r="U3196" s="2" t="n">
        <v>1</v>
      </c>
      <c r="V3196" s="2" t="n">
        <v>1</v>
      </c>
      <c r="W3196" s="2" t="n">
        <v>4</v>
      </c>
      <c r="X3196" s="2" t="n">
        <v>3</v>
      </c>
      <c r="Y3196" s="2" t="n">
        <v>1</v>
      </c>
      <c r="Z3196" s="2" t="n">
        <v>3</v>
      </c>
    </row>
    <row r="3197" customFormat="false" ht="15" hidden="false" customHeight="true" outlineLevel="0" collapsed="false">
      <c r="A3197" s="2" t="n">
        <v>20</v>
      </c>
      <c r="B3197" s="2" t="s">
        <v>33</v>
      </c>
      <c r="C3197" s="2" t="s">
        <v>27</v>
      </c>
      <c r="D3197" s="2" t="s">
        <v>35</v>
      </c>
      <c r="E3197" s="2" t="n">
        <v>1</v>
      </c>
      <c r="F3197" s="2" t="n">
        <v>3</v>
      </c>
      <c r="G3197" s="2" t="s">
        <v>29</v>
      </c>
      <c r="H3197" s="2" t="n">
        <v>3196</v>
      </c>
      <c r="I3197" s="2" t="s">
        <v>39</v>
      </c>
      <c r="J3197" s="2" t="n">
        <v>5</v>
      </c>
      <c r="K3197" s="2" t="s">
        <v>48</v>
      </c>
      <c r="L3197" s="2" t="s">
        <v>37</v>
      </c>
      <c r="M3197" s="2" t="n">
        <v>61620</v>
      </c>
      <c r="N3197" s="2" t="n">
        <v>1</v>
      </c>
      <c r="O3197" s="2" t="n">
        <v>12</v>
      </c>
      <c r="P3197" s="2" t="n">
        <v>3</v>
      </c>
      <c r="Q3197" s="2" t="n">
        <v>1</v>
      </c>
      <c r="R3197" s="2" t="n">
        <v>2</v>
      </c>
      <c r="S3197" s="2" t="n">
        <v>1</v>
      </c>
      <c r="T3197" s="2" t="n">
        <v>1</v>
      </c>
      <c r="U3197" s="2" t="n">
        <v>1</v>
      </c>
      <c r="V3197" s="2" t="n">
        <v>4</v>
      </c>
      <c r="W3197" s="2" t="n">
        <v>3</v>
      </c>
      <c r="X3197" s="2" t="n">
        <v>3</v>
      </c>
      <c r="Y3197" s="2" t="n">
        <v>2</v>
      </c>
      <c r="Z3197" s="2" t="n">
        <v>3</v>
      </c>
    </row>
    <row r="3198" customFormat="false" ht="15" hidden="false" customHeight="true" outlineLevel="0" collapsed="false">
      <c r="A3198" s="2" t="n">
        <v>33</v>
      </c>
      <c r="B3198" s="2" t="s">
        <v>33</v>
      </c>
      <c r="C3198" s="2" t="s">
        <v>34</v>
      </c>
      <c r="D3198" s="2" t="s">
        <v>35</v>
      </c>
      <c r="E3198" s="2" t="n">
        <v>15</v>
      </c>
      <c r="F3198" s="2" t="n">
        <v>4</v>
      </c>
      <c r="G3198" s="2" t="s">
        <v>43</v>
      </c>
      <c r="H3198" s="2" t="n">
        <v>3197</v>
      </c>
      <c r="I3198" s="2" t="s">
        <v>30</v>
      </c>
      <c r="J3198" s="2" t="n">
        <v>1</v>
      </c>
      <c r="K3198" s="2" t="s">
        <v>45</v>
      </c>
      <c r="L3198" s="2" t="s">
        <v>37</v>
      </c>
      <c r="M3198" s="2" t="n">
        <v>24060</v>
      </c>
      <c r="N3198" s="2" t="n">
        <v>1</v>
      </c>
      <c r="O3198" s="2" t="n">
        <v>11</v>
      </c>
      <c r="P3198" s="2" t="n">
        <v>0</v>
      </c>
      <c r="Q3198" s="2" t="n">
        <v>10</v>
      </c>
      <c r="R3198" s="2" t="n">
        <v>3</v>
      </c>
      <c r="S3198" s="2" t="n">
        <v>10</v>
      </c>
      <c r="T3198" s="2" t="n">
        <v>9</v>
      </c>
      <c r="U3198" s="2" t="n">
        <v>7</v>
      </c>
      <c r="V3198" s="2" t="n">
        <v>1</v>
      </c>
      <c r="W3198" s="2" t="n">
        <v>1</v>
      </c>
      <c r="X3198" s="2" t="n">
        <v>3</v>
      </c>
      <c r="Y3198" s="2" t="n">
        <v>3</v>
      </c>
      <c r="Z3198" s="2" t="n">
        <v>3</v>
      </c>
    </row>
    <row r="3199" customFormat="false" ht="15" hidden="false" customHeight="true" outlineLevel="0" collapsed="false">
      <c r="A3199" s="2" t="n">
        <v>35</v>
      </c>
      <c r="B3199" s="2" t="s">
        <v>26</v>
      </c>
      <c r="C3199" s="2" t="s">
        <v>41</v>
      </c>
      <c r="D3199" s="2" t="s">
        <v>35</v>
      </c>
      <c r="E3199" s="2" t="n">
        <v>2</v>
      </c>
      <c r="F3199" s="2" t="n">
        <v>1</v>
      </c>
      <c r="G3199" s="2" t="s">
        <v>43</v>
      </c>
      <c r="H3199" s="2" t="n">
        <v>3198</v>
      </c>
      <c r="I3199" s="2" t="s">
        <v>39</v>
      </c>
      <c r="J3199" s="2" t="n">
        <v>1</v>
      </c>
      <c r="K3199" s="2" t="s">
        <v>36</v>
      </c>
      <c r="L3199" s="2" t="s">
        <v>32</v>
      </c>
      <c r="M3199" s="2" t="n">
        <v>187400</v>
      </c>
      <c r="N3199" s="2" t="n">
        <v>1</v>
      </c>
      <c r="O3199" s="2" t="n">
        <v>19</v>
      </c>
      <c r="P3199" s="2" t="n">
        <v>1</v>
      </c>
      <c r="Q3199" s="2" t="n">
        <v>1</v>
      </c>
      <c r="R3199" s="2" t="n">
        <v>2</v>
      </c>
      <c r="S3199" s="2" t="n">
        <v>1</v>
      </c>
      <c r="T3199" s="2" t="n">
        <v>0</v>
      </c>
      <c r="U3199" s="2" t="n">
        <v>0</v>
      </c>
      <c r="V3199" s="2" t="n">
        <v>3</v>
      </c>
      <c r="W3199" s="2" t="n">
        <v>3</v>
      </c>
      <c r="X3199" s="2" t="n">
        <v>3</v>
      </c>
      <c r="Y3199" s="2" t="n">
        <v>4</v>
      </c>
      <c r="Z3199" s="2" t="n">
        <v>3</v>
      </c>
    </row>
    <row r="3200" customFormat="false" ht="15" hidden="false" customHeight="true" outlineLevel="0" collapsed="false">
      <c r="A3200" s="2" t="n">
        <v>23</v>
      </c>
      <c r="B3200" s="2" t="s">
        <v>26</v>
      </c>
      <c r="C3200" s="2" t="s">
        <v>27</v>
      </c>
      <c r="D3200" s="2" t="s">
        <v>35</v>
      </c>
      <c r="E3200" s="2" t="n">
        <v>2</v>
      </c>
      <c r="F3200" s="2" t="n">
        <v>3</v>
      </c>
      <c r="G3200" s="2" t="s">
        <v>29</v>
      </c>
      <c r="H3200" s="2" t="n">
        <v>3199</v>
      </c>
      <c r="I3200" s="2" t="s">
        <v>39</v>
      </c>
      <c r="J3200" s="2" t="n">
        <v>1</v>
      </c>
      <c r="K3200" s="2" t="s">
        <v>31</v>
      </c>
      <c r="L3200" s="2" t="s">
        <v>32</v>
      </c>
      <c r="M3200" s="2" t="n">
        <v>76370</v>
      </c>
      <c r="N3200" s="2" t="n">
        <v>2</v>
      </c>
      <c r="O3200" s="2" t="n">
        <v>11</v>
      </c>
      <c r="P3200" s="2" t="n">
        <v>1</v>
      </c>
      <c r="Q3200" s="2" t="n">
        <v>5</v>
      </c>
      <c r="R3200" s="2" t="n">
        <v>3</v>
      </c>
      <c r="S3200" s="2" t="n">
        <v>3</v>
      </c>
      <c r="T3200" s="2" t="n">
        <v>0</v>
      </c>
      <c r="U3200" s="2" t="n">
        <v>2</v>
      </c>
      <c r="V3200" s="2" t="n">
        <v>1</v>
      </c>
      <c r="W3200" s="2" t="n">
        <v>1</v>
      </c>
      <c r="X3200" s="2" t="n">
        <v>4</v>
      </c>
      <c r="Y3200" s="2" t="n">
        <v>3</v>
      </c>
      <c r="Z3200" s="2" t="n">
        <v>3</v>
      </c>
    </row>
    <row r="3201" customFormat="false" ht="15" hidden="false" customHeight="true" outlineLevel="0" collapsed="false">
      <c r="A3201" s="2" t="n">
        <v>25</v>
      </c>
      <c r="B3201" s="2" t="s">
        <v>26</v>
      </c>
      <c r="C3201" s="2" t="s">
        <v>27</v>
      </c>
      <c r="D3201" s="2" t="s">
        <v>35</v>
      </c>
      <c r="E3201" s="2" t="n">
        <v>11</v>
      </c>
      <c r="F3201" s="2" t="n">
        <v>3</v>
      </c>
      <c r="G3201" s="2" t="s">
        <v>43</v>
      </c>
      <c r="H3201" s="2" t="n">
        <v>3200</v>
      </c>
      <c r="I3201" s="2" t="s">
        <v>39</v>
      </c>
      <c r="J3201" s="2" t="n">
        <v>2</v>
      </c>
      <c r="K3201" s="2" t="s">
        <v>47</v>
      </c>
      <c r="L3201" s="2" t="s">
        <v>32</v>
      </c>
      <c r="M3201" s="2" t="n">
        <v>100960</v>
      </c>
      <c r="N3201" s="2" t="n">
        <v>0</v>
      </c>
      <c r="O3201" s="2" t="n">
        <v>11</v>
      </c>
      <c r="P3201" s="2" t="n">
        <v>1</v>
      </c>
      <c r="Q3201" s="2" t="n">
        <v>4</v>
      </c>
      <c r="R3201" s="2" t="n">
        <v>3</v>
      </c>
      <c r="S3201" s="2" t="n">
        <v>3</v>
      </c>
      <c r="T3201" s="2" t="n">
        <v>1</v>
      </c>
      <c r="U3201" s="2" t="n">
        <v>2</v>
      </c>
      <c r="V3201" s="2" t="n">
        <v>4</v>
      </c>
      <c r="W3201" s="2" t="n">
        <v>2</v>
      </c>
      <c r="X3201" s="2" t="n">
        <v>3</v>
      </c>
      <c r="Y3201" s="2" t="n">
        <v>3</v>
      </c>
      <c r="Z3201" s="2" t="n">
        <v>3</v>
      </c>
    </row>
    <row r="3202" customFormat="false" ht="15" hidden="false" customHeight="true" outlineLevel="0" collapsed="false">
      <c r="A3202" s="2" t="n">
        <v>38</v>
      </c>
      <c r="B3202" s="2" t="s">
        <v>26</v>
      </c>
      <c r="C3202" s="2" t="s">
        <v>27</v>
      </c>
      <c r="D3202" s="2" t="s">
        <v>35</v>
      </c>
      <c r="E3202" s="2" t="n">
        <v>16</v>
      </c>
      <c r="F3202" s="2" t="n">
        <v>3</v>
      </c>
      <c r="G3202" s="2" t="s">
        <v>29</v>
      </c>
      <c r="H3202" s="2" t="n">
        <v>3201</v>
      </c>
      <c r="I3202" s="2" t="s">
        <v>39</v>
      </c>
      <c r="J3202" s="2" t="n">
        <v>5</v>
      </c>
      <c r="K3202" s="2" t="s">
        <v>36</v>
      </c>
      <c r="L3202" s="2" t="s">
        <v>37</v>
      </c>
      <c r="M3202" s="2" t="n">
        <v>147560</v>
      </c>
      <c r="N3202" s="2" t="n">
        <v>0</v>
      </c>
      <c r="O3202" s="2" t="n">
        <v>20</v>
      </c>
      <c r="P3202" s="2" t="n">
        <v>1</v>
      </c>
      <c r="Q3202" s="2" t="n">
        <v>8</v>
      </c>
      <c r="R3202" s="2" t="n">
        <v>3</v>
      </c>
      <c r="S3202" s="2" t="n">
        <v>7</v>
      </c>
      <c r="T3202" s="2" t="n">
        <v>0</v>
      </c>
      <c r="U3202" s="2" t="n">
        <v>5</v>
      </c>
      <c r="V3202" s="2" t="n">
        <v>4</v>
      </c>
      <c r="W3202" s="2" t="n">
        <v>4</v>
      </c>
      <c r="X3202" s="2" t="n">
        <v>3</v>
      </c>
      <c r="Y3202" s="2" t="n">
        <v>2</v>
      </c>
      <c r="Z3202" s="2" t="n">
        <v>4</v>
      </c>
    </row>
    <row r="3203" customFormat="false" ht="15" hidden="false" customHeight="true" outlineLevel="0" collapsed="false">
      <c r="A3203" s="2" t="n">
        <v>29</v>
      </c>
      <c r="B3203" s="2" t="s">
        <v>26</v>
      </c>
      <c r="C3203" s="2" t="s">
        <v>34</v>
      </c>
      <c r="D3203" s="2" t="s">
        <v>28</v>
      </c>
      <c r="E3203" s="2" t="n">
        <v>2</v>
      </c>
      <c r="F3203" s="2" t="n">
        <v>4</v>
      </c>
      <c r="G3203" s="2" t="s">
        <v>29</v>
      </c>
      <c r="H3203" s="2" t="n">
        <v>3202</v>
      </c>
      <c r="I3203" s="2" t="s">
        <v>39</v>
      </c>
      <c r="J3203" s="2" t="n">
        <v>4</v>
      </c>
      <c r="K3203" s="2" t="s">
        <v>31</v>
      </c>
      <c r="L3203" s="2" t="s">
        <v>46</v>
      </c>
      <c r="M3203" s="2" t="n">
        <v>64990</v>
      </c>
      <c r="N3203" s="2" t="n">
        <v>1</v>
      </c>
      <c r="O3203" s="2" t="n">
        <v>18</v>
      </c>
      <c r="P3203" s="2" t="n">
        <v>3</v>
      </c>
      <c r="Q3203" s="2" t="n">
        <v>10</v>
      </c>
      <c r="R3203" s="2" t="n">
        <v>3</v>
      </c>
      <c r="S3203" s="2" t="n">
        <v>10</v>
      </c>
      <c r="T3203" s="2" t="n">
        <v>2</v>
      </c>
      <c r="U3203" s="2" t="n">
        <v>8</v>
      </c>
      <c r="V3203" s="2" t="n">
        <v>2</v>
      </c>
      <c r="W3203" s="2" t="n">
        <v>4</v>
      </c>
      <c r="X3203" s="2" t="n">
        <v>3</v>
      </c>
      <c r="Y3203" s="2" t="n">
        <v>2</v>
      </c>
      <c r="Z3203" s="2" t="n">
        <v>3</v>
      </c>
    </row>
    <row r="3204" customFormat="false" ht="15" hidden="false" customHeight="true" outlineLevel="0" collapsed="false">
      <c r="A3204" s="2" t="n">
        <v>48</v>
      </c>
      <c r="B3204" s="2" t="s">
        <v>26</v>
      </c>
      <c r="C3204" s="2" t="s">
        <v>27</v>
      </c>
      <c r="D3204" s="2" t="s">
        <v>35</v>
      </c>
      <c r="E3204" s="2" t="n">
        <v>16</v>
      </c>
      <c r="F3204" s="2" t="n">
        <v>3</v>
      </c>
      <c r="G3204" s="2" t="s">
        <v>51</v>
      </c>
      <c r="H3204" s="2" t="n">
        <v>3203</v>
      </c>
      <c r="I3204" s="2" t="s">
        <v>39</v>
      </c>
      <c r="J3204" s="2" t="n">
        <v>1</v>
      </c>
      <c r="K3204" s="2" t="s">
        <v>40</v>
      </c>
      <c r="L3204" s="2" t="s">
        <v>32</v>
      </c>
      <c r="M3204" s="2" t="n">
        <v>97240</v>
      </c>
      <c r="N3204" s="2" t="n">
        <v>3</v>
      </c>
      <c r="O3204" s="2" t="n">
        <v>13</v>
      </c>
      <c r="P3204" s="2" t="n">
        <v>0</v>
      </c>
      <c r="Q3204" s="2" t="n">
        <v>12</v>
      </c>
      <c r="R3204" s="2" t="n">
        <v>2</v>
      </c>
      <c r="S3204" s="2" t="n">
        <v>2</v>
      </c>
      <c r="T3204" s="2" t="n">
        <v>2</v>
      </c>
      <c r="U3204" s="2" t="n">
        <v>2</v>
      </c>
      <c r="V3204" s="2" t="n">
        <v>2</v>
      </c>
      <c r="W3204" s="2" t="n">
        <v>2</v>
      </c>
      <c r="X3204" s="2" t="n">
        <v>3</v>
      </c>
      <c r="Y3204" s="2" t="n">
        <v>4</v>
      </c>
      <c r="Z3204" s="2" t="n">
        <v>3</v>
      </c>
    </row>
    <row r="3205" customFormat="false" ht="15" hidden="false" customHeight="true" outlineLevel="0" collapsed="false">
      <c r="A3205" s="2" t="n">
        <v>27</v>
      </c>
      <c r="B3205" s="2" t="s">
        <v>26</v>
      </c>
      <c r="C3205" s="2" t="s">
        <v>34</v>
      </c>
      <c r="D3205" s="2" t="s">
        <v>28</v>
      </c>
      <c r="E3205" s="2" t="n">
        <v>4</v>
      </c>
      <c r="F3205" s="2" t="n">
        <v>3</v>
      </c>
      <c r="G3205" s="2" t="s">
        <v>51</v>
      </c>
      <c r="H3205" s="2" t="n">
        <v>3204</v>
      </c>
      <c r="I3205" s="2" t="s">
        <v>39</v>
      </c>
      <c r="J3205" s="2" t="n">
        <v>5</v>
      </c>
      <c r="K3205" s="2" t="s">
        <v>45</v>
      </c>
      <c r="L3205" s="2" t="s">
        <v>46</v>
      </c>
      <c r="M3205" s="2" t="n">
        <v>21940</v>
      </c>
      <c r="N3205" s="2" t="n">
        <v>1</v>
      </c>
      <c r="O3205" s="2" t="n">
        <v>12</v>
      </c>
      <c r="P3205" s="2" t="n">
        <v>0</v>
      </c>
      <c r="Q3205" s="2" t="n">
        <v>6</v>
      </c>
      <c r="R3205" s="2" t="n">
        <v>5</v>
      </c>
      <c r="S3205" s="2" t="n">
        <v>6</v>
      </c>
      <c r="T3205" s="2" t="n">
        <v>0</v>
      </c>
      <c r="U3205" s="2" t="n">
        <v>4</v>
      </c>
      <c r="V3205" s="2" t="n">
        <v>4</v>
      </c>
      <c r="W3205" s="2" t="n">
        <v>4</v>
      </c>
      <c r="X3205" s="2" t="n">
        <v>3</v>
      </c>
      <c r="Y3205" s="2" t="n">
        <v>3</v>
      </c>
      <c r="Z3205" s="2" t="n">
        <v>3</v>
      </c>
    </row>
    <row r="3206" customFormat="false" ht="15" hidden="false" customHeight="true" outlineLevel="0" collapsed="false">
      <c r="A3206" s="2" t="n">
        <v>37</v>
      </c>
      <c r="B3206" s="2" t="s">
        <v>26</v>
      </c>
      <c r="C3206" s="2" t="s">
        <v>27</v>
      </c>
      <c r="D3206" s="2" t="s">
        <v>35</v>
      </c>
      <c r="E3206" s="2" t="n">
        <v>16</v>
      </c>
      <c r="F3206" s="2" t="n">
        <v>3</v>
      </c>
      <c r="G3206" s="2" t="s">
        <v>29</v>
      </c>
      <c r="H3206" s="2" t="n">
        <v>3205</v>
      </c>
      <c r="I3206" s="2" t="s">
        <v>39</v>
      </c>
      <c r="J3206" s="2" t="n">
        <v>3</v>
      </c>
      <c r="K3206" s="2" t="s">
        <v>49</v>
      </c>
      <c r="L3206" s="2" t="s">
        <v>37</v>
      </c>
      <c r="M3206" s="2" t="n">
        <v>33880</v>
      </c>
      <c r="N3206" s="2" t="n">
        <v>3</v>
      </c>
      <c r="O3206" s="2" t="n">
        <v>11</v>
      </c>
      <c r="P3206" s="2" t="n">
        <v>0</v>
      </c>
      <c r="Q3206" s="2" t="n">
        <v>4</v>
      </c>
      <c r="R3206" s="2" t="n">
        <v>2</v>
      </c>
      <c r="S3206" s="2" t="n">
        <v>1</v>
      </c>
      <c r="T3206" s="2" t="n">
        <v>0</v>
      </c>
      <c r="U3206" s="2" t="n">
        <v>0</v>
      </c>
      <c r="V3206" s="2" t="n">
        <v>4</v>
      </c>
      <c r="W3206" s="2" t="n">
        <v>4</v>
      </c>
      <c r="X3206" s="2" t="n">
        <v>3</v>
      </c>
      <c r="Y3206" s="2" t="n">
        <v>4</v>
      </c>
      <c r="Z3206" s="2" t="n">
        <v>3</v>
      </c>
    </row>
    <row r="3207" customFormat="false" ht="15" hidden="false" customHeight="true" outlineLevel="0" collapsed="false">
      <c r="A3207" s="2" t="n">
        <v>50</v>
      </c>
      <c r="B3207" s="2" t="s">
        <v>26</v>
      </c>
      <c r="C3207" s="2" t="s">
        <v>27</v>
      </c>
      <c r="D3207" s="2" t="s">
        <v>28</v>
      </c>
      <c r="E3207" s="2" t="n">
        <v>5</v>
      </c>
      <c r="F3207" s="2" t="n">
        <v>3</v>
      </c>
      <c r="G3207" s="2" t="s">
        <v>43</v>
      </c>
      <c r="H3207" s="2" t="n">
        <v>3206</v>
      </c>
      <c r="I3207" s="2" t="s">
        <v>39</v>
      </c>
      <c r="J3207" s="2" t="n">
        <v>1</v>
      </c>
      <c r="K3207" s="2" t="s">
        <v>45</v>
      </c>
      <c r="L3207" s="2" t="s">
        <v>32</v>
      </c>
      <c r="M3207" s="2" t="n">
        <v>54730</v>
      </c>
      <c r="N3207" s="2" t="n">
        <v>1</v>
      </c>
      <c r="O3207" s="2" t="n">
        <v>19</v>
      </c>
      <c r="P3207" s="2" t="n">
        <v>1</v>
      </c>
      <c r="Q3207" s="2" t="n">
        <v>20</v>
      </c>
      <c r="R3207" s="2" t="n">
        <v>2</v>
      </c>
      <c r="S3207" s="2" t="n">
        <v>20</v>
      </c>
      <c r="T3207" s="2" t="n">
        <v>3</v>
      </c>
      <c r="U3207" s="2" t="n">
        <v>8</v>
      </c>
      <c r="V3207" s="2" t="n">
        <v>4</v>
      </c>
      <c r="W3207" s="2" t="n">
        <v>3</v>
      </c>
      <c r="X3207" s="2" t="n">
        <v>3</v>
      </c>
      <c r="Y3207" s="2" t="n">
        <v>4</v>
      </c>
      <c r="Z3207" s="2" t="n">
        <v>3</v>
      </c>
    </row>
    <row r="3208" customFormat="false" ht="15" hidden="false" customHeight="true" outlineLevel="0" collapsed="false">
      <c r="A3208" s="2" t="n">
        <v>34</v>
      </c>
      <c r="B3208" s="2" t="s">
        <v>26</v>
      </c>
      <c r="C3208" s="2" t="s">
        <v>27</v>
      </c>
      <c r="D3208" s="2" t="s">
        <v>35</v>
      </c>
      <c r="E3208" s="2" t="n">
        <v>18</v>
      </c>
      <c r="F3208" s="2" t="n">
        <v>1</v>
      </c>
      <c r="G3208" s="2" t="s">
        <v>43</v>
      </c>
      <c r="H3208" s="2" t="n">
        <v>3207</v>
      </c>
      <c r="I3208" s="2" t="s">
        <v>39</v>
      </c>
      <c r="J3208" s="2" t="n">
        <v>1</v>
      </c>
      <c r="K3208" s="2" t="s">
        <v>31</v>
      </c>
      <c r="L3208" s="2" t="s">
        <v>37</v>
      </c>
      <c r="M3208" s="2" t="n">
        <v>27030</v>
      </c>
      <c r="N3208" s="2" t="n">
        <v>1</v>
      </c>
      <c r="O3208" s="2" t="n">
        <v>21</v>
      </c>
      <c r="P3208" s="2" t="n">
        <v>1</v>
      </c>
      <c r="Q3208" s="2" t="n">
        <v>9</v>
      </c>
      <c r="R3208" s="2" t="n">
        <v>2</v>
      </c>
      <c r="S3208" s="2" t="n">
        <v>8</v>
      </c>
      <c r="T3208" s="2" t="n">
        <v>7</v>
      </c>
      <c r="U3208" s="2" t="n">
        <v>7</v>
      </c>
      <c r="V3208" s="2" t="n">
        <v>4</v>
      </c>
      <c r="W3208" s="2" t="n">
        <v>2</v>
      </c>
      <c r="X3208" s="2" t="n">
        <v>4</v>
      </c>
      <c r="Y3208" s="2" t="n">
        <v>3</v>
      </c>
      <c r="Z3208" s="2" t="n">
        <v>4</v>
      </c>
    </row>
    <row r="3209" customFormat="false" ht="15" hidden="false" customHeight="true" outlineLevel="0" collapsed="false">
      <c r="A3209" s="2" t="n">
        <v>24</v>
      </c>
      <c r="B3209" s="2" t="s">
        <v>33</v>
      </c>
      <c r="C3209" s="2" t="s">
        <v>27</v>
      </c>
      <c r="D3209" s="2" t="s">
        <v>35</v>
      </c>
      <c r="E3209" s="2" t="n">
        <v>17</v>
      </c>
      <c r="F3209" s="2" t="n">
        <v>2</v>
      </c>
      <c r="G3209" s="2" t="s">
        <v>29</v>
      </c>
      <c r="H3209" s="2" t="n">
        <v>3208</v>
      </c>
      <c r="I3209" s="2" t="s">
        <v>30</v>
      </c>
      <c r="J3209" s="2" t="n">
        <v>1</v>
      </c>
      <c r="K3209" s="2" t="s">
        <v>31</v>
      </c>
      <c r="L3209" s="2" t="s">
        <v>37</v>
      </c>
      <c r="M3209" s="2" t="n">
        <v>25010</v>
      </c>
      <c r="N3209" s="2" t="n">
        <v>9</v>
      </c>
      <c r="O3209" s="2" t="n">
        <v>12</v>
      </c>
      <c r="P3209" s="2" t="n">
        <v>0</v>
      </c>
      <c r="Q3209" s="2" t="n">
        <v>4</v>
      </c>
      <c r="R3209" s="2" t="n">
        <v>3</v>
      </c>
      <c r="S3209" s="2" t="n">
        <v>2</v>
      </c>
      <c r="T3209" s="2" t="n">
        <v>2</v>
      </c>
      <c r="U3209" s="2" t="n">
        <v>0</v>
      </c>
      <c r="V3209" s="2" t="n">
        <v>1</v>
      </c>
      <c r="W3209" s="2" t="n">
        <v>3</v>
      </c>
      <c r="X3209" s="2" t="n">
        <v>3</v>
      </c>
      <c r="Y3209" s="2" t="n">
        <v>1</v>
      </c>
      <c r="Z3209" s="2" t="n">
        <v>3</v>
      </c>
    </row>
    <row r="3210" customFormat="false" ht="15" hidden="false" customHeight="true" outlineLevel="0" collapsed="false">
      <c r="A3210" s="2" t="n">
        <v>39</v>
      </c>
      <c r="B3210" s="2" t="s">
        <v>26</v>
      </c>
      <c r="C3210" s="2" t="s">
        <v>27</v>
      </c>
      <c r="D3210" s="2" t="s">
        <v>35</v>
      </c>
      <c r="E3210" s="2" t="n">
        <v>12</v>
      </c>
      <c r="F3210" s="2" t="n">
        <v>5</v>
      </c>
      <c r="G3210" s="2" t="s">
        <v>43</v>
      </c>
      <c r="H3210" s="2" t="n">
        <v>3209</v>
      </c>
      <c r="I3210" s="2" t="s">
        <v>30</v>
      </c>
      <c r="J3210" s="2" t="n">
        <v>1</v>
      </c>
      <c r="K3210" s="2" t="s">
        <v>48</v>
      </c>
      <c r="L3210" s="2" t="s">
        <v>37</v>
      </c>
      <c r="M3210" s="2" t="n">
        <v>62200</v>
      </c>
      <c r="N3210" s="2" t="n">
        <v>1</v>
      </c>
      <c r="O3210" s="2" t="n">
        <v>14</v>
      </c>
      <c r="P3210" s="2" t="n">
        <v>2</v>
      </c>
      <c r="Q3210" s="2" t="n">
        <v>20</v>
      </c>
      <c r="R3210" s="2" t="n">
        <v>2</v>
      </c>
      <c r="S3210" s="2" t="n">
        <v>20</v>
      </c>
      <c r="T3210" s="2" t="n">
        <v>11</v>
      </c>
      <c r="U3210" s="2" t="n">
        <v>10</v>
      </c>
      <c r="V3210" s="2" t="n">
        <v>4</v>
      </c>
      <c r="W3210" s="2" t="n">
        <v>3</v>
      </c>
      <c r="X3210" s="2" t="n">
        <v>3</v>
      </c>
      <c r="Y3210" s="2" t="n">
        <v>3</v>
      </c>
      <c r="Z3210" s="2" t="n">
        <v>3</v>
      </c>
    </row>
    <row r="3211" customFormat="false" ht="15" hidden="false" customHeight="true" outlineLevel="0" collapsed="false">
      <c r="A3211" s="2" t="n">
        <v>32</v>
      </c>
      <c r="B3211" s="2" t="s">
        <v>26</v>
      </c>
      <c r="C3211" s="2" t="s">
        <v>27</v>
      </c>
      <c r="D3211" s="2" t="s">
        <v>35</v>
      </c>
      <c r="E3211" s="2" t="n">
        <v>2</v>
      </c>
      <c r="F3211" s="2" t="n">
        <v>3</v>
      </c>
      <c r="G3211" s="2" t="s">
        <v>29</v>
      </c>
      <c r="H3211" s="2" t="n">
        <v>3210</v>
      </c>
      <c r="I3211" s="2" t="s">
        <v>39</v>
      </c>
      <c r="J3211" s="2" t="n">
        <v>5</v>
      </c>
      <c r="K3211" s="2" t="s">
        <v>36</v>
      </c>
      <c r="L3211" s="2" t="s">
        <v>37</v>
      </c>
      <c r="M3211" s="2" t="n">
        <v>30380</v>
      </c>
      <c r="N3211" s="2" t="n">
        <v>1</v>
      </c>
      <c r="O3211" s="2" t="n">
        <v>11</v>
      </c>
      <c r="P3211" s="2" t="n">
        <v>0</v>
      </c>
      <c r="Q3211" s="2" t="n">
        <v>10</v>
      </c>
      <c r="R3211" s="2" t="n">
        <v>5</v>
      </c>
      <c r="S3211" s="2" t="n">
        <v>10</v>
      </c>
      <c r="T3211" s="2" t="n">
        <v>0</v>
      </c>
      <c r="U3211" s="2" t="n">
        <v>8</v>
      </c>
      <c r="V3211" s="2" t="n">
        <v>4</v>
      </c>
      <c r="W3211" s="2" t="n">
        <v>4</v>
      </c>
      <c r="X3211" s="2" t="n">
        <v>2</v>
      </c>
      <c r="Y3211" s="2" t="n">
        <v>1</v>
      </c>
      <c r="Z3211" s="2" t="n">
        <v>3</v>
      </c>
    </row>
    <row r="3212" customFormat="false" ht="15" hidden="false" customHeight="true" outlineLevel="0" collapsed="false">
      <c r="A3212" s="2" t="n">
        <v>50</v>
      </c>
      <c r="B3212" s="2" t="s">
        <v>33</v>
      </c>
      <c r="C3212" s="2" t="s">
        <v>34</v>
      </c>
      <c r="D3212" s="2" t="s">
        <v>35</v>
      </c>
      <c r="E3212" s="2" t="n">
        <v>4</v>
      </c>
      <c r="F3212" s="2" t="n">
        <v>2</v>
      </c>
      <c r="G3212" s="2" t="s">
        <v>43</v>
      </c>
      <c r="H3212" s="2" t="n">
        <v>3211</v>
      </c>
      <c r="I3212" s="2" t="s">
        <v>39</v>
      </c>
      <c r="J3212" s="2" t="n">
        <v>4</v>
      </c>
      <c r="K3212" s="2" t="s">
        <v>48</v>
      </c>
      <c r="L3212" s="2" t="s">
        <v>32</v>
      </c>
      <c r="M3212" s="2" t="n">
        <v>44240</v>
      </c>
      <c r="N3212" s="2" t="n">
        <v>3</v>
      </c>
      <c r="O3212" s="2" t="n">
        <v>14</v>
      </c>
      <c r="P3212" s="2" t="n">
        <v>1</v>
      </c>
      <c r="Q3212" s="2" t="n">
        <v>18</v>
      </c>
      <c r="R3212" s="2" t="n">
        <v>2</v>
      </c>
      <c r="S3212" s="2" t="n">
        <v>4</v>
      </c>
      <c r="T3212" s="2" t="n">
        <v>1</v>
      </c>
      <c r="U3212" s="2" t="n">
        <v>3</v>
      </c>
      <c r="V3212" s="2" t="n">
        <v>2</v>
      </c>
      <c r="W3212" s="2" t="n">
        <v>3</v>
      </c>
      <c r="X3212" s="2" t="n">
        <v>3</v>
      </c>
      <c r="Y3212" s="2" t="n">
        <v>2</v>
      </c>
      <c r="Z3212" s="2" t="n">
        <v>3</v>
      </c>
    </row>
    <row r="3213" customFormat="false" ht="15" hidden="false" customHeight="true" outlineLevel="0" collapsed="false">
      <c r="A3213" s="2" t="n">
        <v>38</v>
      </c>
      <c r="B3213" s="2" t="s">
        <v>26</v>
      </c>
      <c r="C3213" s="2" t="s">
        <v>27</v>
      </c>
      <c r="D3213" s="2" t="s">
        <v>35</v>
      </c>
      <c r="E3213" s="2" t="n">
        <v>9</v>
      </c>
      <c r="F3213" s="2" t="n">
        <v>4</v>
      </c>
      <c r="G3213" s="2" t="s">
        <v>29</v>
      </c>
      <c r="H3213" s="2" t="n">
        <v>3212</v>
      </c>
      <c r="I3213" s="2" t="s">
        <v>39</v>
      </c>
      <c r="J3213" s="2" t="n">
        <v>1</v>
      </c>
      <c r="K3213" s="2" t="s">
        <v>40</v>
      </c>
      <c r="L3213" s="2" t="s">
        <v>37</v>
      </c>
      <c r="M3213" s="2" t="n">
        <v>43120</v>
      </c>
      <c r="N3213" s="2" t="n">
        <v>0</v>
      </c>
      <c r="O3213" s="2" t="n">
        <v>12</v>
      </c>
      <c r="P3213" s="2" t="n">
        <v>1</v>
      </c>
      <c r="Q3213" s="2" t="n">
        <v>10</v>
      </c>
      <c r="R3213" s="2" t="n">
        <v>2</v>
      </c>
      <c r="S3213" s="2" t="n">
        <v>9</v>
      </c>
      <c r="T3213" s="2" t="n">
        <v>1</v>
      </c>
      <c r="U3213" s="2" t="n">
        <v>8</v>
      </c>
      <c r="V3213" s="2" t="n">
        <v>2</v>
      </c>
      <c r="W3213" s="2" t="n">
        <v>4</v>
      </c>
      <c r="X3213" s="2" t="n">
        <v>2</v>
      </c>
      <c r="Y3213" s="2" t="n">
        <v>2</v>
      </c>
      <c r="Z3213" s="2" t="n">
        <v>3</v>
      </c>
    </row>
    <row r="3214" customFormat="false" ht="15" hidden="false" customHeight="true" outlineLevel="0" collapsed="false">
      <c r="A3214" s="2" t="n">
        <v>27</v>
      </c>
      <c r="B3214" s="2" t="s">
        <v>26</v>
      </c>
      <c r="C3214" s="2" t="s">
        <v>27</v>
      </c>
      <c r="D3214" s="2" t="s">
        <v>35</v>
      </c>
      <c r="E3214" s="2" t="n">
        <v>10</v>
      </c>
      <c r="F3214" s="2" t="n">
        <v>3</v>
      </c>
      <c r="G3214" s="2" t="s">
        <v>43</v>
      </c>
      <c r="H3214" s="2" t="n">
        <v>3213</v>
      </c>
      <c r="I3214" s="2" t="s">
        <v>39</v>
      </c>
      <c r="J3214" s="2" t="n">
        <v>5</v>
      </c>
      <c r="K3214" s="2" t="s">
        <v>36</v>
      </c>
      <c r="L3214" s="2" t="s">
        <v>32</v>
      </c>
      <c r="M3214" s="2" t="n">
        <v>132450</v>
      </c>
      <c r="N3214" s="2" t="n">
        <v>1</v>
      </c>
      <c r="O3214" s="2" t="n">
        <v>23</v>
      </c>
      <c r="P3214" s="2" t="n">
        <v>1</v>
      </c>
      <c r="Q3214" s="2" t="n">
        <v>9</v>
      </c>
      <c r="R3214" s="2" t="n">
        <v>3</v>
      </c>
      <c r="S3214" s="2" t="n">
        <v>9</v>
      </c>
      <c r="T3214" s="2" t="n">
        <v>0</v>
      </c>
      <c r="U3214" s="2" t="n">
        <v>7</v>
      </c>
      <c r="V3214" s="2" t="n">
        <v>3</v>
      </c>
      <c r="W3214" s="2" t="n">
        <v>1</v>
      </c>
      <c r="X3214" s="2" t="n">
        <v>3</v>
      </c>
      <c r="Y3214" s="2" t="n">
        <v>2</v>
      </c>
      <c r="Z3214" s="2" t="n">
        <v>4</v>
      </c>
    </row>
    <row r="3215" customFormat="false" ht="15" hidden="false" customHeight="true" outlineLevel="0" collapsed="false">
      <c r="A3215" s="2" t="n">
        <v>32</v>
      </c>
      <c r="B3215" s="2" t="s">
        <v>26</v>
      </c>
      <c r="C3215" s="2" t="s">
        <v>27</v>
      </c>
      <c r="D3215" s="2" t="s">
        <v>28</v>
      </c>
      <c r="E3215" s="2" t="n">
        <v>1</v>
      </c>
      <c r="F3215" s="2" t="n">
        <v>3</v>
      </c>
      <c r="G3215" s="2" t="s">
        <v>43</v>
      </c>
      <c r="H3215" s="2" t="n">
        <v>3214</v>
      </c>
      <c r="I3215" s="2" t="s">
        <v>39</v>
      </c>
      <c r="J3215" s="2" t="n">
        <v>2</v>
      </c>
      <c r="K3215" s="2" t="s">
        <v>40</v>
      </c>
      <c r="L3215" s="2" t="s">
        <v>37</v>
      </c>
      <c r="M3215" s="2" t="n">
        <v>136640</v>
      </c>
      <c r="N3215" s="2" t="n">
        <v>3</v>
      </c>
      <c r="O3215" s="2" t="n">
        <v>14</v>
      </c>
      <c r="P3215" s="2" t="n">
        <v>0</v>
      </c>
      <c r="Q3215" s="2" t="n">
        <v>10</v>
      </c>
      <c r="R3215" s="2" t="n">
        <v>6</v>
      </c>
      <c r="S3215" s="2" t="n">
        <v>7</v>
      </c>
      <c r="T3215" s="2" t="n">
        <v>7</v>
      </c>
      <c r="U3215" s="2" t="n">
        <v>7</v>
      </c>
      <c r="V3215" s="2" t="n">
        <v>3</v>
      </c>
      <c r="W3215" s="2" t="n">
        <v>4</v>
      </c>
      <c r="X3215" s="2" t="n">
        <v>3</v>
      </c>
      <c r="Y3215" s="2" t="n">
        <v>3</v>
      </c>
      <c r="Z3215" s="2" t="n">
        <v>3</v>
      </c>
    </row>
    <row r="3216" customFormat="false" ht="15" hidden="false" customHeight="true" outlineLevel="0" collapsed="false">
      <c r="A3216" s="2" t="n">
        <v>47</v>
      </c>
      <c r="B3216" s="2" t="s">
        <v>26</v>
      </c>
      <c r="C3216" s="2" t="s">
        <v>27</v>
      </c>
      <c r="D3216" s="2" t="s">
        <v>35</v>
      </c>
      <c r="E3216" s="2" t="n">
        <v>2</v>
      </c>
      <c r="F3216" s="2" t="n">
        <v>3</v>
      </c>
      <c r="G3216" s="2" t="s">
        <v>43</v>
      </c>
      <c r="H3216" s="2" t="n">
        <v>3215</v>
      </c>
      <c r="I3216" s="2" t="s">
        <v>30</v>
      </c>
      <c r="J3216" s="2" t="n">
        <v>5</v>
      </c>
      <c r="K3216" s="2" t="s">
        <v>40</v>
      </c>
      <c r="L3216" s="2" t="s">
        <v>37</v>
      </c>
      <c r="M3216" s="2" t="n">
        <v>50210</v>
      </c>
      <c r="N3216" s="2" t="n">
        <v>2</v>
      </c>
      <c r="O3216" s="2" t="n">
        <v>17</v>
      </c>
      <c r="P3216" s="2" t="n">
        <v>0</v>
      </c>
      <c r="Q3216" s="2" t="n">
        <v>20</v>
      </c>
      <c r="R3216" s="2" t="n">
        <v>3</v>
      </c>
      <c r="S3216" s="2" t="n">
        <v>7</v>
      </c>
      <c r="T3216" s="2" t="n">
        <v>1</v>
      </c>
      <c r="U3216" s="2" t="n">
        <v>7</v>
      </c>
      <c r="V3216" s="2" t="n">
        <v>4</v>
      </c>
      <c r="W3216" s="2" t="n">
        <v>1</v>
      </c>
      <c r="X3216" s="2" t="n">
        <v>3</v>
      </c>
      <c r="Y3216" s="2" t="n">
        <v>3</v>
      </c>
      <c r="Z3216" s="2" t="n">
        <v>3</v>
      </c>
    </row>
    <row r="3217" customFormat="false" ht="15" hidden="false" customHeight="true" outlineLevel="0" collapsed="false">
      <c r="A3217" s="2" t="n">
        <v>40</v>
      </c>
      <c r="B3217" s="2" t="s">
        <v>26</v>
      </c>
      <c r="C3217" s="2" t="s">
        <v>34</v>
      </c>
      <c r="D3217" s="2" t="s">
        <v>35</v>
      </c>
      <c r="E3217" s="2" t="n">
        <v>3</v>
      </c>
      <c r="F3217" s="2" t="n">
        <v>4</v>
      </c>
      <c r="G3217" s="2" t="s">
        <v>43</v>
      </c>
      <c r="H3217" s="2" t="n">
        <v>3216</v>
      </c>
      <c r="I3217" s="2" t="s">
        <v>30</v>
      </c>
      <c r="J3217" s="2" t="n">
        <v>3</v>
      </c>
      <c r="K3217" s="2" t="s">
        <v>42</v>
      </c>
      <c r="L3217" s="2" t="s">
        <v>32</v>
      </c>
      <c r="M3217" s="2" t="n">
        <v>51260</v>
      </c>
      <c r="N3217" s="2" t="n">
        <v>5</v>
      </c>
      <c r="O3217" s="2" t="n">
        <v>18</v>
      </c>
      <c r="P3217" s="2" t="n">
        <v>0</v>
      </c>
      <c r="Q3217" s="2" t="n">
        <v>20</v>
      </c>
      <c r="R3217" s="2" t="n">
        <v>2</v>
      </c>
      <c r="S3217" s="2" t="n">
        <v>18</v>
      </c>
      <c r="T3217" s="2" t="n">
        <v>1</v>
      </c>
      <c r="U3217" s="2" t="n">
        <v>12</v>
      </c>
      <c r="V3217" s="2" t="n">
        <v>4</v>
      </c>
      <c r="W3217" s="2" t="n">
        <v>1</v>
      </c>
      <c r="X3217" s="2" t="n">
        <v>3</v>
      </c>
      <c r="Y3217" s="2" t="n">
        <v>3</v>
      </c>
      <c r="Z3217" s="2" t="n">
        <v>3</v>
      </c>
    </row>
    <row r="3218" customFormat="false" ht="15" hidden="false" customHeight="true" outlineLevel="0" collapsed="false">
      <c r="A3218" s="2" t="n">
        <v>53</v>
      </c>
      <c r="B3218" s="2" t="s">
        <v>26</v>
      </c>
      <c r="C3218" s="2" t="s">
        <v>27</v>
      </c>
      <c r="D3218" s="2" t="s">
        <v>35</v>
      </c>
      <c r="E3218" s="2" t="n">
        <v>7</v>
      </c>
      <c r="F3218" s="2" t="n">
        <v>1</v>
      </c>
      <c r="G3218" s="2" t="s">
        <v>29</v>
      </c>
      <c r="H3218" s="2" t="n">
        <v>3217</v>
      </c>
      <c r="I3218" s="2" t="s">
        <v>39</v>
      </c>
      <c r="J3218" s="2" t="n">
        <v>2</v>
      </c>
      <c r="K3218" s="2" t="s">
        <v>45</v>
      </c>
      <c r="L3218" s="2" t="s">
        <v>32</v>
      </c>
      <c r="M3218" s="2" t="n">
        <v>28590</v>
      </c>
      <c r="N3218" s="2" t="n">
        <v>3</v>
      </c>
      <c r="O3218" s="2" t="n">
        <v>18</v>
      </c>
      <c r="P3218" s="2" t="n">
        <v>1</v>
      </c>
      <c r="Q3218" s="2" t="n">
        <v>32</v>
      </c>
      <c r="R3218" s="2" t="n">
        <v>2</v>
      </c>
      <c r="S3218" s="2" t="n">
        <v>5</v>
      </c>
      <c r="T3218" s="2" t="n">
        <v>1</v>
      </c>
      <c r="U3218" s="2" t="n">
        <v>3</v>
      </c>
      <c r="V3218" s="2" t="n">
        <v>3</v>
      </c>
      <c r="W3218" s="2" t="n">
        <v>3</v>
      </c>
      <c r="X3218" s="2" t="n">
        <v>3</v>
      </c>
      <c r="Y3218" s="2" t="n">
        <v>3</v>
      </c>
      <c r="Z3218" s="2" t="n">
        <v>3</v>
      </c>
    </row>
    <row r="3219" customFormat="false" ht="15" hidden="false" customHeight="true" outlineLevel="0" collapsed="false">
      <c r="A3219" s="2" t="n">
        <v>41</v>
      </c>
      <c r="B3219" s="2" t="s">
        <v>26</v>
      </c>
      <c r="C3219" s="2" t="s">
        <v>27</v>
      </c>
      <c r="D3219" s="2" t="s">
        <v>28</v>
      </c>
      <c r="E3219" s="2" t="n">
        <v>6</v>
      </c>
      <c r="F3219" s="2" t="n">
        <v>3</v>
      </c>
      <c r="G3219" s="2" t="s">
        <v>43</v>
      </c>
      <c r="H3219" s="2" t="n">
        <v>3218</v>
      </c>
      <c r="I3219" s="2" t="s">
        <v>39</v>
      </c>
      <c r="J3219" s="2" t="n">
        <v>1</v>
      </c>
      <c r="K3219" s="2" t="s">
        <v>40</v>
      </c>
      <c r="L3219" s="2" t="s">
        <v>46</v>
      </c>
      <c r="M3219" s="2" t="n">
        <v>102390</v>
      </c>
      <c r="N3219" s="2" t="n">
        <v>3</v>
      </c>
      <c r="O3219" s="2" t="n">
        <v>24</v>
      </c>
      <c r="P3219" s="2" t="n">
        <v>3</v>
      </c>
      <c r="Q3219" s="2" t="n">
        <v>23</v>
      </c>
      <c r="R3219" s="2" t="n">
        <v>3</v>
      </c>
      <c r="S3219" s="2" t="n">
        <v>21</v>
      </c>
      <c r="T3219" s="2" t="n">
        <v>12</v>
      </c>
      <c r="U3219" s="2" t="n">
        <v>6</v>
      </c>
      <c r="V3219" s="2" t="n">
        <v>2</v>
      </c>
      <c r="W3219" s="2" t="n">
        <v>4</v>
      </c>
      <c r="X3219" s="2" t="n">
        <v>2</v>
      </c>
      <c r="Y3219" s="2" t="n">
        <v>3</v>
      </c>
      <c r="Z3219" s="2" t="n">
        <v>4</v>
      </c>
    </row>
    <row r="3220" customFormat="false" ht="15" hidden="false" customHeight="true" outlineLevel="0" collapsed="false">
      <c r="A3220" s="2" t="n">
        <v>60</v>
      </c>
      <c r="B3220" s="2" t="s">
        <v>26</v>
      </c>
      <c r="C3220" s="2" t="s">
        <v>27</v>
      </c>
      <c r="D3220" s="2" t="s">
        <v>35</v>
      </c>
      <c r="E3220" s="2" t="n">
        <v>8</v>
      </c>
      <c r="F3220" s="2" t="n">
        <v>2</v>
      </c>
      <c r="G3220" s="2" t="s">
        <v>29</v>
      </c>
      <c r="H3220" s="2" t="n">
        <v>3219</v>
      </c>
      <c r="I3220" s="2" t="s">
        <v>30</v>
      </c>
      <c r="J3220" s="2" t="n">
        <v>5</v>
      </c>
      <c r="K3220" s="2" t="s">
        <v>45</v>
      </c>
      <c r="L3220" s="2" t="s">
        <v>37</v>
      </c>
      <c r="M3220" s="2" t="n">
        <v>53290</v>
      </c>
      <c r="N3220" s="2" t="n">
        <v>8</v>
      </c>
      <c r="O3220" s="2" t="n">
        <v>20</v>
      </c>
      <c r="P3220" s="2" t="n">
        <v>0</v>
      </c>
      <c r="Q3220" s="2" t="n">
        <v>10</v>
      </c>
      <c r="R3220" s="2" t="n">
        <v>3</v>
      </c>
      <c r="S3220" s="2" t="n">
        <v>2</v>
      </c>
      <c r="T3220" s="2" t="n">
        <v>2</v>
      </c>
      <c r="U3220" s="2" t="n">
        <v>2</v>
      </c>
      <c r="V3220" s="2" t="n">
        <v>1</v>
      </c>
      <c r="W3220" s="2" t="n">
        <v>1</v>
      </c>
      <c r="X3220" s="2" t="n">
        <v>3</v>
      </c>
      <c r="Y3220" s="2" t="n">
        <v>4</v>
      </c>
      <c r="Z3220" s="2" t="n">
        <v>4</v>
      </c>
    </row>
    <row r="3221" customFormat="false" ht="15" hidden="false" customHeight="true" outlineLevel="0" collapsed="false">
      <c r="A3221" s="2" t="n">
        <v>27</v>
      </c>
      <c r="B3221" s="2" t="s">
        <v>26</v>
      </c>
      <c r="C3221" s="2" t="s">
        <v>34</v>
      </c>
      <c r="D3221" s="2" t="s">
        <v>35</v>
      </c>
      <c r="E3221" s="2" t="n">
        <v>29</v>
      </c>
      <c r="F3221" s="2" t="n">
        <v>1</v>
      </c>
      <c r="G3221" s="2" t="s">
        <v>29</v>
      </c>
      <c r="H3221" s="2" t="n">
        <v>3220</v>
      </c>
      <c r="I3221" s="2" t="s">
        <v>39</v>
      </c>
      <c r="J3221" s="2" t="n">
        <v>2</v>
      </c>
      <c r="K3221" s="2" t="s">
        <v>47</v>
      </c>
      <c r="L3221" s="2" t="s">
        <v>46</v>
      </c>
      <c r="M3221" s="2" t="n">
        <v>43250</v>
      </c>
      <c r="N3221" s="2" t="n">
        <v>1</v>
      </c>
      <c r="O3221" s="2" t="n">
        <v>14</v>
      </c>
      <c r="P3221" s="2" t="n">
        <v>0</v>
      </c>
      <c r="Q3221" s="2" t="n">
        <v>9</v>
      </c>
      <c r="R3221" s="2" t="n">
        <v>2</v>
      </c>
      <c r="S3221" s="2" t="n">
        <v>9</v>
      </c>
      <c r="T3221" s="2" t="n">
        <v>1</v>
      </c>
      <c r="U3221" s="2" t="n">
        <v>7</v>
      </c>
      <c r="V3221" s="2" t="n">
        <v>4</v>
      </c>
      <c r="W3221" s="2" t="n">
        <v>1</v>
      </c>
      <c r="X3221" s="2" t="n">
        <v>2</v>
      </c>
      <c r="Y3221" s="2" t="n">
        <v>2</v>
      </c>
      <c r="Z3221" s="2" t="n">
        <v>3</v>
      </c>
    </row>
    <row r="3222" customFormat="false" ht="15" hidden="false" customHeight="true" outlineLevel="0" collapsed="false">
      <c r="A3222" s="2" t="n">
        <v>41</v>
      </c>
      <c r="B3222" s="2" t="s">
        <v>26</v>
      </c>
      <c r="C3222" s="2" t="s">
        <v>27</v>
      </c>
      <c r="D3222" s="2" t="s">
        <v>35</v>
      </c>
      <c r="E3222" s="2" t="n">
        <v>3</v>
      </c>
      <c r="F3222" s="2" t="n">
        <v>3</v>
      </c>
      <c r="G3222" s="2" t="s">
        <v>43</v>
      </c>
      <c r="H3222" s="2" t="n">
        <v>3221</v>
      </c>
      <c r="I3222" s="2" t="s">
        <v>39</v>
      </c>
      <c r="J3222" s="2" t="n">
        <v>1</v>
      </c>
      <c r="K3222" s="2" t="s">
        <v>47</v>
      </c>
      <c r="L3222" s="2" t="s">
        <v>32</v>
      </c>
      <c r="M3222" s="2" t="n">
        <v>72600</v>
      </c>
      <c r="N3222" s="2" t="n">
        <v>1</v>
      </c>
      <c r="O3222" s="2" t="n">
        <v>16</v>
      </c>
      <c r="P3222" s="2" t="n">
        <v>0</v>
      </c>
      <c r="Q3222" s="2" t="n">
        <v>22</v>
      </c>
      <c r="R3222" s="2" t="n">
        <v>2</v>
      </c>
      <c r="S3222" s="2" t="n">
        <v>22</v>
      </c>
      <c r="T3222" s="2" t="n">
        <v>2</v>
      </c>
      <c r="U3222" s="2" t="n">
        <v>10</v>
      </c>
      <c r="V3222" s="2" t="n">
        <v>4</v>
      </c>
      <c r="W3222" s="2" t="n">
        <v>3</v>
      </c>
      <c r="X3222" s="2" t="n">
        <v>3</v>
      </c>
      <c r="Y3222" s="2" t="n">
        <v>3</v>
      </c>
      <c r="Z3222" s="2" t="n">
        <v>3</v>
      </c>
    </row>
    <row r="3223" customFormat="false" ht="15" hidden="false" customHeight="true" outlineLevel="0" collapsed="false">
      <c r="A3223" s="2" t="n">
        <v>50</v>
      </c>
      <c r="B3223" s="2" t="s">
        <v>26</v>
      </c>
      <c r="C3223" s="2" t="s">
        <v>27</v>
      </c>
      <c r="D3223" s="2" t="s">
        <v>28</v>
      </c>
      <c r="E3223" s="2" t="n">
        <v>9</v>
      </c>
      <c r="F3223" s="2" t="n">
        <v>3</v>
      </c>
      <c r="G3223" s="2" t="s">
        <v>29</v>
      </c>
      <c r="H3223" s="2" t="n">
        <v>3222</v>
      </c>
      <c r="I3223" s="2" t="s">
        <v>39</v>
      </c>
      <c r="J3223" s="2" t="n">
        <v>2</v>
      </c>
      <c r="K3223" s="2" t="s">
        <v>36</v>
      </c>
      <c r="L3223" s="2" t="s">
        <v>32</v>
      </c>
      <c r="M3223" s="2" t="n">
        <v>23220</v>
      </c>
      <c r="N3223" s="2" t="n">
        <v>7</v>
      </c>
      <c r="O3223" s="2" t="n">
        <v>25</v>
      </c>
      <c r="P3223" s="2" t="n">
        <v>1</v>
      </c>
      <c r="Q3223" s="2" t="n">
        <v>4</v>
      </c>
      <c r="R3223" s="2" t="n">
        <v>0</v>
      </c>
      <c r="S3223" s="2" t="n">
        <v>2</v>
      </c>
      <c r="T3223" s="2" t="n">
        <v>2</v>
      </c>
      <c r="U3223" s="2" t="n">
        <v>2</v>
      </c>
      <c r="V3223" s="2" t="n">
        <v>4</v>
      </c>
      <c r="W3223" s="2" t="n">
        <v>2</v>
      </c>
      <c r="X3223" s="2" t="n">
        <v>3</v>
      </c>
      <c r="Y3223" s="2" t="n">
        <v>4</v>
      </c>
      <c r="Z3223" s="2" t="n">
        <v>4</v>
      </c>
    </row>
    <row r="3224" customFormat="false" ht="15" hidden="false" customHeight="true" outlineLevel="0" collapsed="false">
      <c r="A3224" s="2" t="n">
        <v>28</v>
      </c>
      <c r="B3224" s="2" t="s">
        <v>33</v>
      </c>
      <c r="C3224" s="2" t="s">
        <v>27</v>
      </c>
      <c r="D3224" s="2" t="s">
        <v>28</v>
      </c>
      <c r="E3224" s="2" t="n">
        <v>2</v>
      </c>
      <c r="F3224" s="2" t="n">
        <v>4</v>
      </c>
      <c r="G3224" s="2" t="s">
        <v>29</v>
      </c>
      <c r="H3224" s="2" t="n">
        <v>3223</v>
      </c>
      <c r="I3224" s="2" t="s">
        <v>39</v>
      </c>
      <c r="J3224" s="2" t="n">
        <v>3</v>
      </c>
      <c r="K3224" s="2" t="s">
        <v>36</v>
      </c>
      <c r="L3224" s="2" t="s">
        <v>37</v>
      </c>
      <c r="M3224" s="2" t="n">
        <v>20750</v>
      </c>
      <c r="N3224" s="2" t="n">
        <v>7</v>
      </c>
      <c r="O3224" s="2" t="n">
        <v>18</v>
      </c>
      <c r="P3224" s="2" t="n">
        <v>3</v>
      </c>
      <c r="Q3224" s="2" t="n">
        <v>10</v>
      </c>
      <c r="R3224" s="2" t="n">
        <v>0</v>
      </c>
      <c r="S3224" s="2" t="n">
        <v>7</v>
      </c>
      <c r="T3224" s="2" t="n">
        <v>3</v>
      </c>
      <c r="U3224" s="2" t="n">
        <v>7</v>
      </c>
      <c r="V3224" s="2" t="n">
        <v>1</v>
      </c>
      <c r="W3224" s="2" t="n">
        <v>2</v>
      </c>
      <c r="X3224" s="2" t="n">
        <v>3</v>
      </c>
      <c r="Y3224" s="2" t="n">
        <v>2</v>
      </c>
      <c r="Z3224" s="2" t="n">
        <v>3</v>
      </c>
    </row>
    <row r="3225" customFormat="false" ht="15" hidden="false" customHeight="true" outlineLevel="0" collapsed="false">
      <c r="A3225" s="2" t="n">
        <v>36</v>
      </c>
      <c r="B3225" s="2" t="s">
        <v>26</v>
      </c>
      <c r="C3225" s="2" t="s">
        <v>41</v>
      </c>
      <c r="D3225" s="2" t="s">
        <v>35</v>
      </c>
      <c r="E3225" s="2" t="n">
        <v>10</v>
      </c>
      <c r="F3225" s="2" t="n">
        <v>4</v>
      </c>
      <c r="G3225" s="2" t="s">
        <v>51</v>
      </c>
      <c r="H3225" s="2" t="n">
        <v>3224</v>
      </c>
      <c r="I3225" s="2" t="s">
        <v>30</v>
      </c>
      <c r="J3225" s="2" t="n">
        <v>2</v>
      </c>
      <c r="K3225" s="2" t="s">
        <v>36</v>
      </c>
      <c r="L3225" s="2" t="s">
        <v>32</v>
      </c>
      <c r="M3225" s="2" t="n">
        <v>41520</v>
      </c>
      <c r="N3225" s="2" t="n">
        <v>9</v>
      </c>
      <c r="O3225" s="2" t="n">
        <v>19</v>
      </c>
      <c r="P3225" s="2" t="n">
        <v>1</v>
      </c>
      <c r="Q3225" s="2" t="n">
        <v>10</v>
      </c>
      <c r="R3225" s="2" t="n">
        <v>3</v>
      </c>
      <c r="S3225" s="2" t="n">
        <v>8</v>
      </c>
      <c r="T3225" s="2" t="n">
        <v>0</v>
      </c>
      <c r="U3225" s="2" t="n">
        <v>5</v>
      </c>
      <c r="V3225" s="2" t="n">
        <v>1</v>
      </c>
      <c r="W3225" s="2" t="n">
        <v>1</v>
      </c>
      <c r="X3225" s="2" t="n">
        <v>3</v>
      </c>
      <c r="Y3225" s="2" t="n">
        <v>3</v>
      </c>
      <c r="Z3225" s="2" t="n">
        <v>3</v>
      </c>
    </row>
    <row r="3226" customFormat="false" ht="15" hidden="false" customHeight="true" outlineLevel="0" collapsed="false">
      <c r="A3226" s="2" t="n">
        <v>38</v>
      </c>
      <c r="B3226" s="2" t="s">
        <v>26</v>
      </c>
      <c r="C3226" s="2" t="s">
        <v>27</v>
      </c>
      <c r="D3226" s="2" t="s">
        <v>35</v>
      </c>
      <c r="E3226" s="2" t="n">
        <v>1</v>
      </c>
      <c r="F3226" s="2" t="n">
        <v>3</v>
      </c>
      <c r="G3226" s="2" t="s">
        <v>43</v>
      </c>
      <c r="H3226" s="2" t="n">
        <v>3225</v>
      </c>
      <c r="I3226" s="2" t="s">
        <v>30</v>
      </c>
      <c r="J3226" s="2" t="n">
        <v>3</v>
      </c>
      <c r="K3226" s="2" t="s">
        <v>49</v>
      </c>
      <c r="L3226" s="2" t="s">
        <v>37</v>
      </c>
      <c r="M3226" s="2" t="n">
        <v>96190</v>
      </c>
      <c r="N3226" s="2" t="n">
        <v>4</v>
      </c>
      <c r="O3226" s="2" t="n">
        <v>13</v>
      </c>
      <c r="P3226" s="2" t="n">
        <v>1</v>
      </c>
      <c r="Q3226" s="2" t="n">
        <v>10</v>
      </c>
      <c r="R3226" s="2" t="n">
        <v>2</v>
      </c>
      <c r="S3226" s="2" t="n">
        <v>1</v>
      </c>
      <c r="T3226" s="2" t="n">
        <v>0</v>
      </c>
      <c r="U3226" s="2" t="n">
        <v>0</v>
      </c>
      <c r="V3226" s="2" t="n">
        <v>3</v>
      </c>
      <c r="W3226" s="2" t="n">
        <v>3</v>
      </c>
      <c r="X3226" s="2" t="n">
        <v>4</v>
      </c>
      <c r="Y3226" s="2" t="n">
        <v>3</v>
      </c>
      <c r="Z3226" s="2" t="n">
        <v>3</v>
      </c>
    </row>
    <row r="3227" customFormat="false" ht="15" hidden="false" customHeight="true" outlineLevel="0" collapsed="false">
      <c r="A3227" s="2" t="n">
        <v>44</v>
      </c>
      <c r="B3227" s="2" t="s">
        <v>26</v>
      </c>
      <c r="C3227" s="2" t="s">
        <v>41</v>
      </c>
      <c r="D3227" s="2" t="s">
        <v>35</v>
      </c>
      <c r="E3227" s="2" t="n">
        <v>8</v>
      </c>
      <c r="F3227" s="2" t="n">
        <v>2</v>
      </c>
      <c r="G3227" s="2" t="s">
        <v>29</v>
      </c>
      <c r="H3227" s="2" t="n">
        <v>3226</v>
      </c>
      <c r="I3227" s="2" t="s">
        <v>39</v>
      </c>
      <c r="J3227" s="2" t="n">
        <v>1</v>
      </c>
      <c r="K3227" s="2" t="s">
        <v>36</v>
      </c>
      <c r="L3227" s="2" t="s">
        <v>37</v>
      </c>
      <c r="M3227" s="2" t="n">
        <v>135030</v>
      </c>
      <c r="N3227" s="2" t="n">
        <v>2</v>
      </c>
      <c r="O3227" s="2" t="n">
        <v>12</v>
      </c>
      <c r="P3227" s="2" t="n">
        <v>0</v>
      </c>
      <c r="Q3227" s="2" t="n">
        <v>9</v>
      </c>
      <c r="R3227" s="2" t="n">
        <v>6</v>
      </c>
      <c r="S3227" s="2" t="n">
        <v>5</v>
      </c>
      <c r="T3227" s="2" t="n">
        <v>1</v>
      </c>
      <c r="U3227" s="2" t="n">
        <v>4</v>
      </c>
      <c r="V3227" s="2" t="n">
        <v>1</v>
      </c>
      <c r="W3227" s="2" t="n">
        <v>3</v>
      </c>
      <c r="X3227" s="2" t="n">
        <v>3</v>
      </c>
      <c r="Y3227" s="2" t="n">
        <v>2</v>
      </c>
      <c r="Z3227" s="2" t="n">
        <v>3</v>
      </c>
    </row>
    <row r="3228" customFormat="false" ht="15" hidden="false" customHeight="true" outlineLevel="0" collapsed="false">
      <c r="A3228" s="2" t="n">
        <v>47</v>
      </c>
      <c r="B3228" s="2" t="s">
        <v>26</v>
      </c>
      <c r="C3228" s="2" t="s">
        <v>34</v>
      </c>
      <c r="D3228" s="2" t="s">
        <v>35</v>
      </c>
      <c r="E3228" s="2" t="n">
        <v>27</v>
      </c>
      <c r="F3228" s="2" t="n">
        <v>3</v>
      </c>
      <c r="G3228" s="2" t="s">
        <v>29</v>
      </c>
      <c r="H3228" s="2" t="n">
        <v>3227</v>
      </c>
      <c r="I3228" s="2" t="s">
        <v>39</v>
      </c>
      <c r="J3228" s="2" t="n">
        <v>1</v>
      </c>
      <c r="K3228" s="2" t="s">
        <v>36</v>
      </c>
      <c r="L3228" s="2" t="s">
        <v>46</v>
      </c>
      <c r="M3228" s="2" t="n">
        <v>54410</v>
      </c>
      <c r="N3228" s="2" t="n">
        <v>9</v>
      </c>
      <c r="O3228" s="2" t="n">
        <v>22</v>
      </c>
      <c r="P3228" s="2" t="n">
        <v>1</v>
      </c>
      <c r="Q3228" s="2" t="n">
        <v>28</v>
      </c>
      <c r="R3228" s="2" t="n">
        <v>6</v>
      </c>
      <c r="S3228" s="2" t="n">
        <v>22</v>
      </c>
      <c r="T3228" s="2" t="n">
        <v>11</v>
      </c>
      <c r="U3228" s="2" t="n">
        <v>13</v>
      </c>
      <c r="V3228" s="2" t="n">
        <v>4</v>
      </c>
      <c r="W3228" s="2" t="n">
        <v>3</v>
      </c>
      <c r="X3228" s="2" t="n">
        <v>2</v>
      </c>
      <c r="Y3228" s="2" t="n">
        <v>2</v>
      </c>
      <c r="Z3228" s="2" t="n">
        <v>4</v>
      </c>
    </row>
    <row r="3229" customFormat="false" ht="15" hidden="false" customHeight="true" outlineLevel="0" collapsed="false">
      <c r="A3229" s="2" t="n">
        <v>30</v>
      </c>
      <c r="B3229" s="2" t="s">
        <v>26</v>
      </c>
      <c r="C3229" s="2" t="s">
        <v>27</v>
      </c>
      <c r="D3229" s="2" t="s">
        <v>35</v>
      </c>
      <c r="E3229" s="2" t="n">
        <v>8</v>
      </c>
      <c r="F3229" s="2" t="n">
        <v>3</v>
      </c>
      <c r="G3229" s="2" t="s">
        <v>29</v>
      </c>
      <c r="H3229" s="2" t="n">
        <v>3228</v>
      </c>
      <c r="I3229" s="2" t="s">
        <v>39</v>
      </c>
      <c r="J3229" s="2" t="n">
        <v>2</v>
      </c>
      <c r="K3229" s="2" t="s">
        <v>40</v>
      </c>
      <c r="L3229" s="2" t="s">
        <v>46</v>
      </c>
      <c r="M3229" s="2" t="n">
        <v>52090</v>
      </c>
      <c r="N3229" s="2" t="n">
        <v>7</v>
      </c>
      <c r="O3229" s="2" t="n">
        <v>14</v>
      </c>
      <c r="P3229" s="2" t="n">
        <v>1</v>
      </c>
      <c r="Q3229" s="2" t="n">
        <v>10</v>
      </c>
      <c r="R3229" s="2" t="n">
        <v>3</v>
      </c>
      <c r="S3229" s="2" t="n">
        <v>8</v>
      </c>
      <c r="T3229" s="2" t="n">
        <v>7</v>
      </c>
      <c r="U3229" s="2" t="n">
        <v>7</v>
      </c>
      <c r="V3229" s="2" t="n">
        <v>3</v>
      </c>
      <c r="W3229" s="2" t="n">
        <v>4</v>
      </c>
      <c r="X3229" s="2" t="n">
        <v>2</v>
      </c>
      <c r="Y3229" s="2" t="n">
        <v>3</v>
      </c>
      <c r="Z3229" s="2" t="n">
        <v>3</v>
      </c>
    </row>
    <row r="3230" customFormat="false" ht="15" hidden="false" customHeight="true" outlineLevel="0" collapsed="false">
      <c r="A3230" s="2" t="n">
        <v>29</v>
      </c>
      <c r="B3230" s="2" t="s">
        <v>26</v>
      </c>
      <c r="C3230" s="2" t="s">
        <v>27</v>
      </c>
      <c r="D3230" s="2" t="s">
        <v>35</v>
      </c>
      <c r="E3230" s="2" t="n">
        <v>1</v>
      </c>
      <c r="F3230" s="2" t="n">
        <v>2</v>
      </c>
      <c r="G3230" s="2" t="s">
        <v>43</v>
      </c>
      <c r="H3230" s="2" t="n">
        <v>3229</v>
      </c>
      <c r="I3230" s="2" t="s">
        <v>30</v>
      </c>
      <c r="J3230" s="2" t="n">
        <v>1</v>
      </c>
      <c r="K3230" s="2" t="s">
        <v>40</v>
      </c>
      <c r="L3230" s="2" t="s">
        <v>37</v>
      </c>
      <c r="M3230" s="2" t="n">
        <v>106730</v>
      </c>
      <c r="N3230" s="2" t="n">
        <v>1</v>
      </c>
      <c r="O3230" s="2" t="n">
        <v>13</v>
      </c>
      <c r="P3230" s="2" t="n">
        <v>3</v>
      </c>
      <c r="Q3230" s="2" t="n">
        <v>1</v>
      </c>
      <c r="R3230" s="2" t="n">
        <v>2</v>
      </c>
      <c r="S3230" s="2" t="n">
        <v>1</v>
      </c>
      <c r="T3230" s="2" t="n">
        <v>0</v>
      </c>
      <c r="U3230" s="2" t="n">
        <v>0</v>
      </c>
      <c r="V3230" s="2" t="n">
        <v>3</v>
      </c>
      <c r="W3230" s="2" t="n">
        <v>3</v>
      </c>
      <c r="X3230" s="2" t="n">
        <v>3</v>
      </c>
      <c r="Y3230" s="2" t="n">
        <v>3</v>
      </c>
      <c r="Z3230" s="2" t="n">
        <v>3</v>
      </c>
    </row>
    <row r="3231" customFormat="false" ht="15" hidden="false" customHeight="true" outlineLevel="0" collapsed="false">
      <c r="A3231" s="2" t="n">
        <v>42</v>
      </c>
      <c r="B3231" s="2" t="s">
        <v>33</v>
      </c>
      <c r="C3231" s="2" t="s">
        <v>34</v>
      </c>
      <c r="D3231" s="2" t="s">
        <v>35</v>
      </c>
      <c r="E3231" s="2" t="n">
        <v>10</v>
      </c>
      <c r="F3231" s="2" t="n">
        <v>1</v>
      </c>
      <c r="G3231" s="2" t="s">
        <v>29</v>
      </c>
      <c r="H3231" s="2" t="n">
        <v>3230</v>
      </c>
      <c r="I3231" s="2" t="s">
        <v>30</v>
      </c>
      <c r="J3231" s="2" t="n">
        <v>1</v>
      </c>
      <c r="K3231" s="2" t="s">
        <v>40</v>
      </c>
      <c r="L3231" s="2" t="s">
        <v>46</v>
      </c>
      <c r="M3231" s="2" t="n">
        <v>50100</v>
      </c>
      <c r="N3231" s="2" t="n">
        <v>6</v>
      </c>
      <c r="O3231" s="2" t="n">
        <v>21</v>
      </c>
      <c r="P3231" s="2" t="n">
        <v>3</v>
      </c>
      <c r="Q3231" s="2" t="n">
        <v>7</v>
      </c>
      <c r="R3231" s="2" t="n">
        <v>3</v>
      </c>
      <c r="S3231" s="2" t="n">
        <v>2</v>
      </c>
      <c r="T3231" s="2" t="n">
        <v>2</v>
      </c>
      <c r="U3231" s="2" t="n">
        <v>2</v>
      </c>
      <c r="V3231" s="2" t="n">
        <v>3</v>
      </c>
      <c r="W3231" s="2" t="n">
        <v>3</v>
      </c>
      <c r="X3231" s="2" t="n">
        <v>3</v>
      </c>
      <c r="Y3231" s="2" t="n">
        <v>3</v>
      </c>
      <c r="Z3231" s="2" t="n">
        <v>4</v>
      </c>
    </row>
    <row r="3232" customFormat="false" ht="15" hidden="false" customHeight="true" outlineLevel="0" collapsed="false">
      <c r="A3232" s="2" t="n">
        <v>43</v>
      </c>
      <c r="B3232" s="2" t="s">
        <v>26</v>
      </c>
      <c r="C3232" s="2" t="s">
        <v>34</v>
      </c>
      <c r="D3232" s="2" t="s">
        <v>35</v>
      </c>
      <c r="E3232" s="2" t="n">
        <v>26</v>
      </c>
      <c r="F3232" s="2" t="n">
        <v>1</v>
      </c>
      <c r="G3232" s="2" t="s">
        <v>29</v>
      </c>
      <c r="H3232" s="2" t="n">
        <v>3231</v>
      </c>
      <c r="I3232" s="2" t="s">
        <v>39</v>
      </c>
      <c r="J3232" s="2" t="n">
        <v>1</v>
      </c>
      <c r="K3232" s="2" t="s">
        <v>45</v>
      </c>
      <c r="L3232" s="2" t="s">
        <v>32</v>
      </c>
      <c r="M3232" s="2" t="n">
        <v>135490</v>
      </c>
      <c r="N3232" s="2" t="n">
        <v>3</v>
      </c>
      <c r="O3232" s="2" t="n">
        <v>11</v>
      </c>
      <c r="P3232" s="2" t="n">
        <v>2</v>
      </c>
      <c r="Q3232" s="2" t="n">
        <v>7</v>
      </c>
      <c r="R3232" s="2" t="n">
        <v>3</v>
      </c>
      <c r="S3232" s="2" t="n">
        <v>2</v>
      </c>
      <c r="T3232" s="2" t="n">
        <v>2</v>
      </c>
      <c r="U3232" s="2" t="n">
        <v>2</v>
      </c>
      <c r="V3232" s="2" t="n">
        <v>4</v>
      </c>
      <c r="W3232" s="2" t="n">
        <v>4</v>
      </c>
      <c r="X3232" s="2" t="n">
        <v>3</v>
      </c>
      <c r="Y3232" s="2" t="n">
        <v>3</v>
      </c>
      <c r="Z3232" s="2" t="n">
        <v>3</v>
      </c>
    </row>
    <row r="3233" customFormat="false" ht="15" hidden="false" customHeight="true" outlineLevel="0" collapsed="false">
      <c r="A3233" s="2" t="n">
        <v>34</v>
      </c>
      <c r="B3233" s="2" t="s">
        <v>26</v>
      </c>
      <c r="C3233" s="2" t="s">
        <v>27</v>
      </c>
      <c r="D3233" s="2" t="s">
        <v>35</v>
      </c>
      <c r="E3233" s="2" t="n">
        <v>2</v>
      </c>
      <c r="F3233" s="2" t="n">
        <v>5</v>
      </c>
      <c r="G3233" s="2" t="s">
        <v>51</v>
      </c>
      <c r="H3233" s="2" t="n">
        <v>3232</v>
      </c>
      <c r="I3233" s="2" t="s">
        <v>39</v>
      </c>
      <c r="J3233" s="2" t="n">
        <v>2</v>
      </c>
      <c r="K3233" s="2" t="s">
        <v>31</v>
      </c>
      <c r="L3233" s="2" t="s">
        <v>37</v>
      </c>
      <c r="M3233" s="2" t="n">
        <v>49990</v>
      </c>
      <c r="N3233" s="2" t="n">
        <v>3</v>
      </c>
      <c r="O3233" s="2" t="n">
        <v>12</v>
      </c>
      <c r="P3233" s="2" t="n">
        <v>2</v>
      </c>
      <c r="Q3233" s="2" t="n">
        <v>10</v>
      </c>
      <c r="R3233" s="2" t="n">
        <v>2</v>
      </c>
      <c r="S3233" s="2" t="n">
        <v>5</v>
      </c>
      <c r="T3233" s="2" t="n">
        <v>4</v>
      </c>
      <c r="U3233" s="2" t="n">
        <v>3</v>
      </c>
      <c r="V3233" s="2" t="n">
        <v>2</v>
      </c>
      <c r="W3233" s="2" t="n">
        <v>3</v>
      </c>
      <c r="X3233" s="2" t="n">
        <v>3</v>
      </c>
      <c r="Y3233" s="2" t="n">
        <v>4</v>
      </c>
      <c r="Z3233" s="2" t="n">
        <v>3</v>
      </c>
    </row>
    <row r="3234" customFormat="false" ht="15" hidden="false" customHeight="true" outlineLevel="0" collapsed="false">
      <c r="A3234" s="2" t="n">
        <v>23</v>
      </c>
      <c r="B3234" s="2" t="s">
        <v>26</v>
      </c>
      <c r="C3234" s="2" t="s">
        <v>27</v>
      </c>
      <c r="D3234" s="2" t="s">
        <v>28</v>
      </c>
      <c r="E3234" s="2" t="n">
        <v>13</v>
      </c>
      <c r="F3234" s="2" t="n">
        <v>3</v>
      </c>
      <c r="G3234" s="2" t="s">
        <v>50</v>
      </c>
      <c r="H3234" s="2" t="n">
        <v>3233</v>
      </c>
      <c r="I3234" s="2" t="s">
        <v>39</v>
      </c>
      <c r="J3234" s="2" t="n">
        <v>5</v>
      </c>
      <c r="K3234" s="2" t="s">
        <v>40</v>
      </c>
      <c r="L3234" s="2" t="s">
        <v>32</v>
      </c>
      <c r="M3234" s="2" t="n">
        <v>42210</v>
      </c>
      <c r="N3234" s="2" t="n">
        <v>1</v>
      </c>
      <c r="O3234" s="2" t="n">
        <v>11</v>
      </c>
      <c r="P3234" s="2" t="n">
        <v>1</v>
      </c>
      <c r="Q3234" s="2" t="n">
        <v>5</v>
      </c>
      <c r="R3234" s="2" t="n">
        <v>4</v>
      </c>
      <c r="S3234" s="2" t="n">
        <v>4</v>
      </c>
      <c r="T3234" s="2" t="n">
        <v>0</v>
      </c>
      <c r="U3234" s="2" t="n">
        <v>2</v>
      </c>
      <c r="V3234" s="2" t="n">
        <v>2</v>
      </c>
      <c r="W3234" s="2" t="n">
        <v>1</v>
      </c>
      <c r="X3234" s="2" t="n">
        <v>4</v>
      </c>
      <c r="Y3234" s="2" t="n">
        <v>3</v>
      </c>
      <c r="Z3234" s="2" t="n">
        <v>3</v>
      </c>
    </row>
    <row r="3235" customFormat="false" ht="15" hidden="false" customHeight="true" outlineLevel="0" collapsed="false">
      <c r="A3235" s="2" t="n">
        <v>39</v>
      </c>
      <c r="B3235" s="2" t="s">
        <v>26</v>
      </c>
      <c r="C3235" s="2" t="s">
        <v>27</v>
      </c>
      <c r="D3235" s="2" t="s">
        <v>28</v>
      </c>
      <c r="E3235" s="2" t="n">
        <v>2</v>
      </c>
      <c r="F3235" s="2" t="n">
        <v>4</v>
      </c>
      <c r="G3235" s="2" t="s">
        <v>50</v>
      </c>
      <c r="H3235" s="2" t="n">
        <v>3234</v>
      </c>
      <c r="I3235" s="2" t="s">
        <v>30</v>
      </c>
      <c r="J3235" s="2" t="n">
        <v>4</v>
      </c>
      <c r="K3235" s="2" t="s">
        <v>31</v>
      </c>
      <c r="L3235" s="2" t="s">
        <v>32</v>
      </c>
      <c r="M3235" s="2" t="n">
        <v>138720</v>
      </c>
      <c r="N3235" s="2" t="n">
        <v>9</v>
      </c>
      <c r="O3235" s="2" t="n">
        <v>12</v>
      </c>
      <c r="P3235" s="2" t="n">
        <v>3</v>
      </c>
      <c r="Q3235" s="2" t="n">
        <v>12</v>
      </c>
      <c r="R3235" s="2" t="n">
        <v>3</v>
      </c>
      <c r="S3235" s="2" t="n">
        <v>8</v>
      </c>
      <c r="T3235" s="2" t="n">
        <v>3</v>
      </c>
      <c r="U3235" s="2" t="n">
        <v>6</v>
      </c>
      <c r="V3235" s="2" t="n">
        <v>3</v>
      </c>
      <c r="W3235" s="2" t="n">
        <v>2</v>
      </c>
      <c r="X3235" s="2" t="n">
        <v>1</v>
      </c>
      <c r="Y3235" s="2" t="n">
        <v>2</v>
      </c>
      <c r="Z3235" s="2" t="n">
        <v>3</v>
      </c>
    </row>
    <row r="3236" customFormat="false" ht="15" hidden="false" customHeight="true" outlineLevel="0" collapsed="false">
      <c r="A3236" s="2" t="n">
        <v>56</v>
      </c>
      <c r="B3236" s="2" t="s">
        <v>26</v>
      </c>
      <c r="C3236" s="2" t="s">
        <v>27</v>
      </c>
      <c r="D3236" s="2" t="s">
        <v>35</v>
      </c>
      <c r="E3236" s="2" t="n">
        <v>2</v>
      </c>
      <c r="F3236" s="2" t="n">
        <v>4</v>
      </c>
      <c r="G3236" s="2" t="s">
        <v>43</v>
      </c>
      <c r="H3236" s="2" t="n">
        <v>3235</v>
      </c>
      <c r="I3236" s="2" t="s">
        <v>39</v>
      </c>
      <c r="J3236" s="2" t="n">
        <v>1</v>
      </c>
      <c r="K3236" s="2" t="s">
        <v>49</v>
      </c>
      <c r="L3236" s="2" t="s">
        <v>32</v>
      </c>
      <c r="M3236" s="2" t="n">
        <v>20420</v>
      </c>
      <c r="N3236" s="2" t="n">
        <v>7</v>
      </c>
      <c r="O3236" s="2" t="n">
        <v>12</v>
      </c>
      <c r="P3236" s="2" t="n">
        <v>0</v>
      </c>
      <c r="Q3236" s="2" t="n">
        <v>30</v>
      </c>
      <c r="R3236" s="2" t="n">
        <v>6</v>
      </c>
      <c r="S3236" s="2" t="n">
        <v>10</v>
      </c>
      <c r="T3236" s="2" t="n">
        <v>1</v>
      </c>
      <c r="U3236" s="2" t="n">
        <v>1</v>
      </c>
      <c r="V3236" s="2" t="n">
        <v>3</v>
      </c>
      <c r="W3236" s="2" t="n">
        <v>4</v>
      </c>
      <c r="X3236" s="2" t="n">
        <v>2</v>
      </c>
      <c r="Y3236" s="2" t="n">
        <v>3</v>
      </c>
      <c r="Z3236" s="2" t="n">
        <v>3</v>
      </c>
    </row>
    <row r="3237" customFormat="false" ht="15" hidden="false" customHeight="true" outlineLevel="0" collapsed="false">
      <c r="A3237" s="2" t="n">
        <v>40</v>
      </c>
      <c r="B3237" s="2" t="s">
        <v>26</v>
      </c>
      <c r="C3237" s="2" t="s">
        <v>27</v>
      </c>
      <c r="D3237" s="2" t="s">
        <v>28</v>
      </c>
      <c r="E3237" s="2" t="n">
        <v>9</v>
      </c>
      <c r="F3237" s="2" t="n">
        <v>3</v>
      </c>
      <c r="G3237" s="2" t="s">
        <v>50</v>
      </c>
      <c r="H3237" s="2" t="n">
        <v>3236</v>
      </c>
      <c r="I3237" s="2" t="s">
        <v>39</v>
      </c>
      <c r="J3237" s="2" t="n">
        <v>2</v>
      </c>
      <c r="K3237" s="2" t="s">
        <v>36</v>
      </c>
      <c r="L3237" s="2" t="s">
        <v>37</v>
      </c>
      <c r="M3237" s="2" t="n">
        <v>20730</v>
      </c>
      <c r="N3237" s="2" t="n">
        <v>0</v>
      </c>
      <c r="O3237" s="2" t="n">
        <v>14</v>
      </c>
      <c r="P3237" s="2" t="n">
        <v>0</v>
      </c>
      <c r="Q3237" s="2" t="n">
        <v>5</v>
      </c>
      <c r="R3237" s="2" t="n">
        <v>3</v>
      </c>
      <c r="S3237" s="2" t="n">
        <v>4</v>
      </c>
      <c r="T3237" s="2" t="n">
        <v>2</v>
      </c>
      <c r="U3237" s="2" t="n">
        <v>3</v>
      </c>
      <c r="V3237" s="2" t="n">
        <v>4</v>
      </c>
      <c r="W3237" s="2" t="n">
        <v>4</v>
      </c>
      <c r="X3237" s="2" t="n">
        <v>2</v>
      </c>
      <c r="Y3237" s="2" t="n">
        <v>3</v>
      </c>
      <c r="Z3237" s="2" t="n">
        <v>3</v>
      </c>
    </row>
    <row r="3238" customFormat="false" ht="15" hidden="false" customHeight="true" outlineLevel="0" collapsed="false">
      <c r="A3238" s="2" t="n">
        <v>27</v>
      </c>
      <c r="B3238" s="2" t="s">
        <v>26</v>
      </c>
      <c r="C3238" s="2" t="s">
        <v>27</v>
      </c>
      <c r="D3238" s="2" t="s">
        <v>35</v>
      </c>
      <c r="E3238" s="2" t="n">
        <v>10</v>
      </c>
      <c r="F3238" s="2" t="n">
        <v>3</v>
      </c>
      <c r="G3238" s="2" t="s">
        <v>29</v>
      </c>
      <c r="H3238" s="2" t="n">
        <v>3237</v>
      </c>
      <c r="I3238" s="2" t="s">
        <v>30</v>
      </c>
      <c r="J3238" s="2" t="n">
        <v>1</v>
      </c>
      <c r="K3238" s="2" t="s">
        <v>45</v>
      </c>
      <c r="L3238" s="2" t="s">
        <v>37</v>
      </c>
      <c r="M3238" s="2" t="n">
        <v>29560</v>
      </c>
      <c r="N3238" s="2" t="n">
        <v>8</v>
      </c>
      <c r="O3238" s="2" t="n">
        <v>13</v>
      </c>
      <c r="P3238" s="2" t="n">
        <v>0</v>
      </c>
      <c r="Q3238" s="2" t="n">
        <v>9</v>
      </c>
      <c r="R3238" s="2" t="n">
        <v>6</v>
      </c>
      <c r="S3238" s="2" t="n">
        <v>7</v>
      </c>
      <c r="T3238" s="2" t="n">
        <v>0</v>
      </c>
      <c r="U3238" s="2" t="n">
        <v>7</v>
      </c>
      <c r="V3238" s="2" t="n">
        <v>4</v>
      </c>
      <c r="W3238" s="2" t="n">
        <v>1</v>
      </c>
      <c r="X3238" s="2" t="n">
        <v>1</v>
      </c>
      <c r="Y3238" s="2" t="n">
        <v>3</v>
      </c>
      <c r="Z3238" s="2" t="n">
        <v>3</v>
      </c>
    </row>
    <row r="3239" customFormat="false" ht="15" hidden="false" customHeight="true" outlineLevel="0" collapsed="false">
      <c r="A3239" s="2" t="n">
        <v>29</v>
      </c>
      <c r="B3239" s="2" t="s">
        <v>26</v>
      </c>
      <c r="C3239" s="2" t="s">
        <v>27</v>
      </c>
      <c r="D3239" s="2" t="s">
        <v>28</v>
      </c>
      <c r="E3239" s="2" t="n">
        <v>20</v>
      </c>
      <c r="F3239" s="2" t="n">
        <v>3</v>
      </c>
      <c r="G3239" s="2" t="s">
        <v>50</v>
      </c>
      <c r="H3239" s="2" t="n">
        <v>3238</v>
      </c>
      <c r="I3239" s="2" t="s">
        <v>30</v>
      </c>
      <c r="J3239" s="2" t="n">
        <v>2</v>
      </c>
      <c r="K3239" s="2" t="s">
        <v>49</v>
      </c>
      <c r="L3239" s="2" t="s">
        <v>46</v>
      </c>
      <c r="M3239" s="2" t="n">
        <v>29260</v>
      </c>
      <c r="N3239" s="2" t="n">
        <v>1</v>
      </c>
      <c r="O3239" s="2" t="n">
        <v>15</v>
      </c>
      <c r="P3239" s="2" t="n">
        <v>1</v>
      </c>
      <c r="Q3239" s="2" t="n">
        <v>2</v>
      </c>
      <c r="R3239" s="2" t="n">
        <v>3</v>
      </c>
      <c r="S3239" s="2" t="n">
        <v>2</v>
      </c>
      <c r="T3239" s="2" t="n">
        <v>2</v>
      </c>
      <c r="U3239" s="2" t="n">
        <v>2</v>
      </c>
      <c r="V3239" s="2" t="n">
        <v>4</v>
      </c>
      <c r="W3239" s="2" t="n">
        <v>2</v>
      </c>
      <c r="X3239" s="2" t="n">
        <v>3</v>
      </c>
      <c r="Y3239" s="2" t="n">
        <v>2</v>
      </c>
      <c r="Z3239" s="2" t="n">
        <v>3</v>
      </c>
    </row>
    <row r="3240" customFormat="false" ht="15" hidden="false" customHeight="true" outlineLevel="0" collapsed="false">
      <c r="A3240" s="2" t="n">
        <v>53</v>
      </c>
      <c r="B3240" s="2" t="s">
        <v>26</v>
      </c>
      <c r="C3240" s="2" t="s">
        <v>27</v>
      </c>
      <c r="D3240" s="2" t="s">
        <v>35</v>
      </c>
      <c r="E3240" s="2" t="n">
        <v>9</v>
      </c>
      <c r="F3240" s="2" t="n">
        <v>3</v>
      </c>
      <c r="G3240" s="2" t="s">
        <v>29</v>
      </c>
      <c r="H3240" s="2" t="n">
        <v>3239</v>
      </c>
      <c r="I3240" s="2" t="s">
        <v>30</v>
      </c>
      <c r="J3240" s="2" t="n">
        <v>3</v>
      </c>
      <c r="K3240" s="2" t="s">
        <v>45</v>
      </c>
      <c r="L3240" s="2" t="s">
        <v>37</v>
      </c>
      <c r="M3240" s="2" t="n">
        <v>48090</v>
      </c>
      <c r="N3240" s="2" t="n">
        <v>2</v>
      </c>
      <c r="O3240" s="2" t="n">
        <v>18</v>
      </c>
      <c r="P3240" s="2" t="n">
        <v>0</v>
      </c>
      <c r="Q3240" s="2" t="n">
        <v>19</v>
      </c>
      <c r="R3240" s="2" t="n">
        <v>2</v>
      </c>
      <c r="S3240" s="2" t="n">
        <v>2</v>
      </c>
      <c r="T3240" s="2" t="n">
        <v>2</v>
      </c>
      <c r="U3240" s="2" t="n">
        <v>2</v>
      </c>
      <c r="V3240" s="2" t="n">
        <v>4</v>
      </c>
      <c r="W3240" s="2" t="n">
        <v>4</v>
      </c>
      <c r="X3240" s="2" t="n">
        <v>3</v>
      </c>
      <c r="Y3240" s="2" t="n">
        <v>3</v>
      </c>
      <c r="Z3240" s="2" t="n">
        <v>3</v>
      </c>
    </row>
    <row r="3241" customFormat="false" ht="15" hidden="false" customHeight="true" outlineLevel="0" collapsed="false">
      <c r="A3241" s="2" t="n">
        <v>35</v>
      </c>
      <c r="B3241" s="2" t="s">
        <v>26</v>
      </c>
      <c r="C3241" s="2" t="s">
        <v>41</v>
      </c>
      <c r="D3241" s="2" t="s">
        <v>35</v>
      </c>
      <c r="E3241" s="2" t="n">
        <v>5</v>
      </c>
      <c r="F3241" s="2" t="n">
        <v>1</v>
      </c>
      <c r="G3241" s="2" t="s">
        <v>43</v>
      </c>
      <c r="H3241" s="2" t="n">
        <v>3240</v>
      </c>
      <c r="I3241" s="2" t="s">
        <v>39</v>
      </c>
      <c r="J3241" s="2" t="n">
        <v>1</v>
      </c>
      <c r="K3241" s="2" t="s">
        <v>31</v>
      </c>
      <c r="L3241" s="2" t="s">
        <v>46</v>
      </c>
      <c r="M3241" s="2" t="n">
        <v>51630</v>
      </c>
      <c r="N3241" s="2" t="n">
        <v>2</v>
      </c>
      <c r="O3241" s="2" t="n">
        <v>18</v>
      </c>
      <c r="P3241" s="2" t="n">
        <v>2</v>
      </c>
      <c r="Q3241" s="2" t="n">
        <v>16</v>
      </c>
      <c r="R3241" s="2" t="n">
        <v>4</v>
      </c>
      <c r="S3241" s="2" t="n">
        <v>1</v>
      </c>
      <c r="T3241" s="2" t="n">
        <v>0</v>
      </c>
      <c r="U3241" s="2" t="n">
        <v>0</v>
      </c>
      <c r="V3241" s="2" t="n">
        <v>4</v>
      </c>
      <c r="W3241" s="2" t="n">
        <v>1</v>
      </c>
      <c r="X3241" s="2" t="n">
        <v>4</v>
      </c>
      <c r="Y3241" s="2" t="n">
        <v>3</v>
      </c>
      <c r="Z3241" s="2" t="n">
        <v>3</v>
      </c>
    </row>
    <row r="3242" customFormat="false" ht="15" hidden="false" customHeight="true" outlineLevel="0" collapsed="false">
      <c r="A3242" s="2" t="n">
        <v>32</v>
      </c>
      <c r="B3242" s="2" t="s">
        <v>26</v>
      </c>
      <c r="C3242" s="2" t="s">
        <v>34</v>
      </c>
      <c r="D3242" s="2" t="s">
        <v>28</v>
      </c>
      <c r="E3242" s="2" t="n">
        <v>4</v>
      </c>
      <c r="F3242" s="2" t="n">
        <v>4</v>
      </c>
      <c r="G3242" s="2" t="s">
        <v>29</v>
      </c>
      <c r="H3242" s="2" t="n">
        <v>3241</v>
      </c>
      <c r="I3242" s="2" t="s">
        <v>39</v>
      </c>
      <c r="J3242" s="2" t="n">
        <v>2</v>
      </c>
      <c r="K3242" s="2" t="s">
        <v>40</v>
      </c>
      <c r="L3242" s="2" t="s">
        <v>32</v>
      </c>
      <c r="M3242" s="2" t="n">
        <v>188440</v>
      </c>
      <c r="N3242" s="2" t="n">
        <v>1</v>
      </c>
      <c r="O3242" s="2" t="n">
        <v>19</v>
      </c>
      <c r="P3242" s="2" t="n">
        <v>0</v>
      </c>
      <c r="Q3242" s="2" t="n">
        <v>10</v>
      </c>
      <c r="R3242" s="2" t="n">
        <v>3</v>
      </c>
      <c r="S3242" s="2" t="n">
        <v>10</v>
      </c>
      <c r="T3242" s="2" t="n">
        <v>4</v>
      </c>
      <c r="U3242" s="2" t="n">
        <v>7</v>
      </c>
      <c r="V3242" s="2" t="n">
        <v>1</v>
      </c>
      <c r="W3242" s="2" t="n">
        <v>4</v>
      </c>
      <c r="X3242" s="2" t="n">
        <v>3</v>
      </c>
      <c r="Y3242" s="2" t="n">
        <v>1</v>
      </c>
      <c r="Z3242" s="2" t="n">
        <v>3</v>
      </c>
    </row>
    <row r="3243" customFormat="false" ht="15" hidden="false" customHeight="true" outlineLevel="0" collapsed="false">
      <c r="A3243" s="2" t="n">
        <v>38</v>
      </c>
      <c r="B3243" s="2" t="s">
        <v>26</v>
      </c>
      <c r="C3243" s="2" t="s">
        <v>27</v>
      </c>
      <c r="D3243" s="2" t="s">
        <v>28</v>
      </c>
      <c r="E3243" s="2" t="n">
        <v>10</v>
      </c>
      <c r="F3243" s="2" t="n">
        <v>3</v>
      </c>
      <c r="G3243" s="2" t="s">
        <v>43</v>
      </c>
      <c r="H3243" s="2" t="n">
        <v>3242</v>
      </c>
      <c r="I3243" s="2" t="s">
        <v>39</v>
      </c>
      <c r="J3243" s="2" t="n">
        <v>4</v>
      </c>
      <c r="K3243" s="2" t="s">
        <v>45</v>
      </c>
      <c r="L3243" s="2" t="s">
        <v>32</v>
      </c>
      <c r="M3243" s="2" t="n">
        <v>181720</v>
      </c>
      <c r="N3243" s="2" t="n">
        <v>6</v>
      </c>
      <c r="O3243" s="2" t="n">
        <v>12</v>
      </c>
      <c r="P3243" s="2" t="n">
        <v>2</v>
      </c>
      <c r="Q3243" s="2" t="n">
        <v>6</v>
      </c>
      <c r="R3243" s="2" t="n">
        <v>5</v>
      </c>
      <c r="S3243" s="2" t="n">
        <v>1</v>
      </c>
      <c r="T3243" s="2" t="n">
        <v>0</v>
      </c>
      <c r="U3243" s="2" t="n">
        <v>1</v>
      </c>
      <c r="V3243" s="2" t="n">
        <v>4</v>
      </c>
      <c r="W3243" s="2" t="n">
        <v>3</v>
      </c>
      <c r="X3243" s="2" t="n">
        <v>1</v>
      </c>
      <c r="Y3243" s="2" t="n">
        <v>3</v>
      </c>
      <c r="Z3243" s="2" t="n">
        <v>3</v>
      </c>
    </row>
    <row r="3244" customFormat="false" ht="15" hidden="false" customHeight="true" outlineLevel="0" collapsed="false">
      <c r="A3244" s="2" t="n">
        <v>34</v>
      </c>
      <c r="B3244" s="2" t="s">
        <v>26</v>
      </c>
      <c r="C3244" s="2" t="s">
        <v>27</v>
      </c>
      <c r="D3244" s="2" t="s">
        <v>35</v>
      </c>
      <c r="E3244" s="2" t="n">
        <v>20</v>
      </c>
      <c r="F3244" s="2" t="n">
        <v>3</v>
      </c>
      <c r="G3244" s="2" t="s">
        <v>43</v>
      </c>
      <c r="H3244" s="2" t="n">
        <v>3243</v>
      </c>
      <c r="I3244" s="2" t="s">
        <v>30</v>
      </c>
      <c r="J3244" s="2" t="n">
        <v>3</v>
      </c>
      <c r="K3244" s="2" t="s">
        <v>45</v>
      </c>
      <c r="L3244" s="2" t="s">
        <v>46</v>
      </c>
      <c r="M3244" s="2" t="n">
        <v>57440</v>
      </c>
      <c r="N3244" s="2" t="n">
        <v>3</v>
      </c>
      <c r="O3244" s="2" t="n">
        <v>19</v>
      </c>
      <c r="P3244" s="2" t="n">
        <v>1</v>
      </c>
      <c r="Q3244" s="2" t="n">
        <v>7</v>
      </c>
      <c r="R3244" s="2" t="n">
        <v>4</v>
      </c>
      <c r="S3244" s="2" t="n">
        <v>0</v>
      </c>
      <c r="T3244" s="2" t="n">
        <v>0</v>
      </c>
      <c r="U3244" s="2" t="n">
        <v>0</v>
      </c>
      <c r="V3244" s="2" t="n">
        <v>2</v>
      </c>
      <c r="W3244" s="2" t="n">
        <v>1</v>
      </c>
      <c r="X3244" s="2" t="n">
        <v>3</v>
      </c>
      <c r="Y3244" s="2" t="n">
        <v>2</v>
      </c>
      <c r="Z3244" s="2" t="n">
        <v>3</v>
      </c>
    </row>
    <row r="3245" customFormat="false" ht="15" hidden="false" customHeight="true" outlineLevel="0" collapsed="false">
      <c r="A3245" s="2" t="n">
        <v>52</v>
      </c>
      <c r="B3245" s="2" t="s">
        <v>26</v>
      </c>
      <c r="C3245" s="2" t="s">
        <v>27</v>
      </c>
      <c r="D3245" s="2" t="s">
        <v>28</v>
      </c>
      <c r="E3245" s="2" t="n">
        <v>21</v>
      </c>
      <c r="F3245" s="2" t="n">
        <v>5</v>
      </c>
      <c r="G3245" s="2" t="s">
        <v>51</v>
      </c>
      <c r="H3245" s="2" t="n">
        <v>3244</v>
      </c>
      <c r="I3245" s="2" t="s">
        <v>39</v>
      </c>
      <c r="J3245" s="2" t="n">
        <v>3</v>
      </c>
      <c r="K3245" s="2" t="s">
        <v>49</v>
      </c>
      <c r="L3245" s="2" t="s">
        <v>32</v>
      </c>
      <c r="M3245" s="2" t="n">
        <v>28890</v>
      </c>
      <c r="N3245" s="2" t="n">
        <v>1</v>
      </c>
      <c r="O3245" s="2" t="n">
        <v>11</v>
      </c>
      <c r="P3245" s="2" t="n">
        <v>1</v>
      </c>
      <c r="Q3245" s="2" t="n">
        <v>34</v>
      </c>
      <c r="R3245" s="2" t="n">
        <v>2</v>
      </c>
      <c r="S3245" s="2" t="n">
        <v>34</v>
      </c>
      <c r="T3245" s="2" t="n">
        <v>1</v>
      </c>
      <c r="U3245" s="2" t="n">
        <v>16</v>
      </c>
      <c r="V3245" s="2" t="n">
        <v>3</v>
      </c>
      <c r="W3245" s="2" t="n">
        <v>1</v>
      </c>
      <c r="X3245" s="2" t="n">
        <v>4</v>
      </c>
      <c r="Y3245" s="2" t="n">
        <v>3</v>
      </c>
      <c r="Z3245" s="2" t="n">
        <v>3</v>
      </c>
    </row>
    <row r="3246" customFormat="false" ht="15" hidden="false" customHeight="true" outlineLevel="0" collapsed="false">
      <c r="A3246" s="2" t="n">
        <v>33</v>
      </c>
      <c r="B3246" s="2" t="s">
        <v>33</v>
      </c>
      <c r="C3246" s="2" t="s">
        <v>27</v>
      </c>
      <c r="D3246" s="2" t="s">
        <v>35</v>
      </c>
      <c r="E3246" s="2" t="n">
        <v>1</v>
      </c>
      <c r="F3246" s="2" t="n">
        <v>2</v>
      </c>
      <c r="G3246" s="2" t="s">
        <v>43</v>
      </c>
      <c r="H3246" s="2" t="n">
        <v>3245</v>
      </c>
      <c r="I3246" s="2" t="s">
        <v>39</v>
      </c>
      <c r="J3246" s="2" t="n">
        <v>3</v>
      </c>
      <c r="K3246" s="2" t="s">
        <v>45</v>
      </c>
      <c r="L3246" s="2" t="s">
        <v>37</v>
      </c>
      <c r="M3246" s="2" t="n">
        <v>28710</v>
      </c>
      <c r="N3246" s="2" t="n">
        <v>1</v>
      </c>
      <c r="O3246" s="2" t="n">
        <v>17</v>
      </c>
      <c r="P3246" s="2" t="n">
        <v>3</v>
      </c>
      <c r="Q3246" s="2" t="n">
        <v>10</v>
      </c>
      <c r="R3246" s="2" t="n">
        <v>2</v>
      </c>
      <c r="S3246" s="2" t="n">
        <v>10</v>
      </c>
      <c r="T3246" s="2" t="n">
        <v>7</v>
      </c>
      <c r="U3246" s="2" t="n">
        <v>8</v>
      </c>
      <c r="V3246" s="2" t="n">
        <v>4</v>
      </c>
      <c r="W3246" s="2" t="n">
        <v>4</v>
      </c>
      <c r="X3246" s="2" t="n">
        <v>2</v>
      </c>
      <c r="Y3246" s="2" t="n">
        <v>3</v>
      </c>
      <c r="Z3246" s="2" t="n">
        <v>3</v>
      </c>
    </row>
    <row r="3247" customFormat="false" ht="15" hidden="false" customHeight="true" outlineLevel="0" collapsed="false">
      <c r="A3247" s="2" t="n">
        <v>25</v>
      </c>
      <c r="B3247" s="2" t="s">
        <v>26</v>
      </c>
      <c r="C3247" s="2" t="s">
        <v>27</v>
      </c>
      <c r="D3247" s="2" t="s">
        <v>35</v>
      </c>
      <c r="E3247" s="2" t="n">
        <v>8</v>
      </c>
      <c r="F3247" s="2" t="n">
        <v>3</v>
      </c>
      <c r="G3247" s="2" t="s">
        <v>29</v>
      </c>
      <c r="H3247" s="2" t="n">
        <v>3246</v>
      </c>
      <c r="I3247" s="2" t="s">
        <v>39</v>
      </c>
      <c r="J3247" s="2" t="n">
        <v>2</v>
      </c>
      <c r="K3247" s="2" t="s">
        <v>36</v>
      </c>
      <c r="L3247" s="2" t="s">
        <v>37</v>
      </c>
      <c r="M3247" s="2" t="n">
        <v>74840</v>
      </c>
      <c r="N3247" s="2" t="n">
        <v>1</v>
      </c>
      <c r="O3247" s="2" t="n">
        <v>15</v>
      </c>
      <c r="P3247" s="2" t="n">
        <v>0</v>
      </c>
      <c r="Q3247" s="2" t="n">
        <v>6</v>
      </c>
      <c r="R3247" s="2" t="n">
        <v>3</v>
      </c>
      <c r="S3247" s="2" t="n">
        <v>6</v>
      </c>
      <c r="T3247" s="2" t="n">
        <v>1</v>
      </c>
      <c r="U3247" s="2" t="n">
        <v>4</v>
      </c>
      <c r="V3247" s="2" t="n">
        <v>3</v>
      </c>
      <c r="W3247" s="2" t="n">
        <v>4</v>
      </c>
      <c r="X3247" s="2" t="n">
        <v>2</v>
      </c>
      <c r="Y3247" s="2" t="n">
        <v>3</v>
      </c>
      <c r="Z3247" s="2" t="n">
        <v>3</v>
      </c>
    </row>
    <row r="3248" customFormat="false" ht="15" hidden="false" customHeight="true" outlineLevel="0" collapsed="false">
      <c r="A3248" s="2" t="n">
        <v>45</v>
      </c>
      <c r="B3248" s="2" t="s">
        <v>26</v>
      </c>
      <c r="C3248" s="2" t="s">
        <v>27</v>
      </c>
      <c r="D3248" s="2" t="s">
        <v>28</v>
      </c>
      <c r="E3248" s="2" t="n">
        <v>2</v>
      </c>
      <c r="F3248" s="2" t="n">
        <v>3</v>
      </c>
      <c r="G3248" s="2" t="s">
        <v>29</v>
      </c>
      <c r="H3248" s="2" t="n">
        <v>3247</v>
      </c>
      <c r="I3248" s="2" t="s">
        <v>39</v>
      </c>
      <c r="J3248" s="2" t="n">
        <v>3</v>
      </c>
      <c r="K3248" s="2" t="s">
        <v>31</v>
      </c>
      <c r="L3248" s="2" t="s">
        <v>37</v>
      </c>
      <c r="M3248" s="2" t="n">
        <v>60740</v>
      </c>
      <c r="N3248" s="2" t="n">
        <v>0</v>
      </c>
      <c r="O3248" s="2" t="n">
        <v>14</v>
      </c>
      <c r="P3248" s="2" t="n">
        <v>0</v>
      </c>
      <c r="Q3248" s="2" t="n">
        <v>9</v>
      </c>
      <c r="R3248" s="2" t="n">
        <v>2</v>
      </c>
      <c r="S3248" s="2" t="n">
        <v>8</v>
      </c>
      <c r="T3248" s="2" t="n">
        <v>3</v>
      </c>
      <c r="U3248" s="2" t="n">
        <v>1</v>
      </c>
      <c r="V3248" s="2" t="n">
        <v>2</v>
      </c>
      <c r="W3248" s="2" t="n">
        <v>3</v>
      </c>
      <c r="X3248" s="2" t="n">
        <v>3</v>
      </c>
      <c r="Y3248" s="2" t="n">
        <v>3</v>
      </c>
      <c r="Z3248" s="2" t="n">
        <v>3</v>
      </c>
    </row>
    <row r="3249" customFormat="false" ht="15" hidden="false" customHeight="true" outlineLevel="0" collapsed="false">
      <c r="A3249" s="2" t="n">
        <v>23</v>
      </c>
      <c r="B3249" s="2" t="s">
        <v>26</v>
      </c>
      <c r="C3249" s="2" t="s">
        <v>27</v>
      </c>
      <c r="D3249" s="2" t="s">
        <v>35</v>
      </c>
      <c r="E3249" s="2" t="n">
        <v>23</v>
      </c>
      <c r="F3249" s="2" t="n">
        <v>1</v>
      </c>
      <c r="G3249" s="2" t="s">
        <v>29</v>
      </c>
      <c r="H3249" s="2" t="n">
        <v>3248</v>
      </c>
      <c r="I3249" s="2" t="s">
        <v>30</v>
      </c>
      <c r="J3249" s="2" t="n">
        <v>2</v>
      </c>
      <c r="K3249" s="2" t="s">
        <v>36</v>
      </c>
      <c r="L3249" s="2" t="s">
        <v>37</v>
      </c>
      <c r="M3249" s="2" t="n">
        <v>173280</v>
      </c>
      <c r="N3249" s="2" t="n">
        <v>1</v>
      </c>
      <c r="O3249" s="2" t="n">
        <v>17</v>
      </c>
      <c r="P3249" s="2" t="n">
        <v>1</v>
      </c>
      <c r="Q3249" s="2" t="n">
        <v>2</v>
      </c>
      <c r="R3249" s="2" t="n">
        <v>2</v>
      </c>
      <c r="S3249" s="2" t="n">
        <v>2</v>
      </c>
      <c r="T3249" s="2" t="n">
        <v>0</v>
      </c>
      <c r="U3249" s="2" t="n">
        <v>2</v>
      </c>
      <c r="V3249" s="2" t="n">
        <v>1</v>
      </c>
      <c r="W3249" s="2" t="n">
        <v>3</v>
      </c>
      <c r="X3249" s="2" t="n">
        <v>3</v>
      </c>
      <c r="Y3249" s="2" t="n">
        <v>1</v>
      </c>
      <c r="Z3249" s="2" t="n">
        <v>3</v>
      </c>
    </row>
    <row r="3250" customFormat="false" ht="15" hidden="false" customHeight="true" outlineLevel="0" collapsed="false">
      <c r="A3250" s="2" t="n">
        <v>47</v>
      </c>
      <c r="B3250" s="2" t="s">
        <v>33</v>
      </c>
      <c r="C3250" s="2" t="s">
        <v>34</v>
      </c>
      <c r="D3250" s="2" t="s">
        <v>35</v>
      </c>
      <c r="E3250" s="2" t="n">
        <v>4</v>
      </c>
      <c r="F3250" s="2" t="n">
        <v>3</v>
      </c>
      <c r="G3250" s="2" t="s">
        <v>29</v>
      </c>
      <c r="H3250" s="2" t="n">
        <v>3249</v>
      </c>
      <c r="I3250" s="2" t="s">
        <v>39</v>
      </c>
      <c r="J3250" s="2" t="n">
        <v>1</v>
      </c>
      <c r="K3250" s="2" t="s">
        <v>44</v>
      </c>
      <c r="L3250" s="2" t="s">
        <v>37</v>
      </c>
      <c r="M3250" s="2" t="n">
        <v>27740</v>
      </c>
      <c r="N3250" s="2" t="n">
        <v>4</v>
      </c>
      <c r="O3250" s="2" t="n">
        <v>13</v>
      </c>
      <c r="P3250" s="2" t="n">
        <v>1</v>
      </c>
      <c r="Q3250" s="2" t="n">
        <v>8</v>
      </c>
      <c r="R3250" s="2" t="n">
        <v>2</v>
      </c>
      <c r="S3250" s="2" t="n">
        <v>5</v>
      </c>
      <c r="T3250" s="2" t="n">
        <v>1</v>
      </c>
      <c r="U3250" s="2" t="n">
        <v>3</v>
      </c>
      <c r="V3250" s="2" t="n">
        <v>2</v>
      </c>
      <c r="W3250" s="2" t="n">
        <v>3</v>
      </c>
      <c r="X3250" s="2" t="n">
        <v>3</v>
      </c>
      <c r="Y3250" s="2" t="n">
        <v>3</v>
      </c>
      <c r="Z3250" s="2" t="n">
        <v>3</v>
      </c>
    </row>
    <row r="3251" customFormat="false" ht="15" hidden="false" customHeight="true" outlineLevel="0" collapsed="false">
      <c r="A3251" s="2" t="n">
        <v>34</v>
      </c>
      <c r="B3251" s="2" t="s">
        <v>26</v>
      </c>
      <c r="C3251" s="2" t="s">
        <v>27</v>
      </c>
      <c r="D3251" s="2" t="s">
        <v>35</v>
      </c>
      <c r="E3251" s="2" t="n">
        <v>12</v>
      </c>
      <c r="F3251" s="2" t="n">
        <v>3</v>
      </c>
      <c r="G3251" s="2" t="s">
        <v>51</v>
      </c>
      <c r="H3251" s="2" t="n">
        <v>3250</v>
      </c>
      <c r="I3251" s="2" t="s">
        <v>39</v>
      </c>
      <c r="J3251" s="2" t="n">
        <v>1</v>
      </c>
      <c r="K3251" s="2" t="s">
        <v>36</v>
      </c>
      <c r="L3251" s="2" t="s">
        <v>37</v>
      </c>
      <c r="M3251" s="2" t="n">
        <v>45050</v>
      </c>
      <c r="N3251" s="2" t="n">
        <v>1</v>
      </c>
      <c r="O3251" s="2" t="n">
        <v>12</v>
      </c>
      <c r="P3251" s="2" t="n">
        <v>0</v>
      </c>
      <c r="Q3251" s="2" t="n">
        <v>6</v>
      </c>
      <c r="R3251" s="2" t="n">
        <v>3</v>
      </c>
      <c r="S3251" s="2" t="n">
        <v>6</v>
      </c>
      <c r="T3251" s="2" t="n">
        <v>1</v>
      </c>
      <c r="U3251" s="2" t="n">
        <v>4</v>
      </c>
      <c r="V3251" s="2" t="n">
        <v>4</v>
      </c>
      <c r="W3251" s="2" t="n">
        <v>4</v>
      </c>
      <c r="X3251" s="2" t="n">
        <v>3</v>
      </c>
      <c r="Y3251" s="2" t="n">
        <v>3</v>
      </c>
      <c r="Z3251" s="2" t="n">
        <v>3</v>
      </c>
    </row>
    <row r="3252" customFormat="false" ht="15" hidden="false" customHeight="true" outlineLevel="0" collapsed="false">
      <c r="A3252" s="2" t="n">
        <v>55</v>
      </c>
      <c r="B3252" s="2" t="s">
        <v>33</v>
      </c>
      <c r="C3252" s="2" t="s">
        <v>27</v>
      </c>
      <c r="D3252" s="2" t="s">
        <v>42</v>
      </c>
      <c r="E3252" s="2" t="n">
        <v>7</v>
      </c>
      <c r="F3252" s="2" t="n">
        <v>3</v>
      </c>
      <c r="G3252" s="2" t="s">
        <v>42</v>
      </c>
      <c r="H3252" s="2" t="n">
        <v>3251</v>
      </c>
      <c r="I3252" s="2" t="s">
        <v>39</v>
      </c>
      <c r="J3252" s="2" t="n">
        <v>4</v>
      </c>
      <c r="K3252" s="2" t="s">
        <v>45</v>
      </c>
      <c r="L3252" s="2" t="s">
        <v>32</v>
      </c>
      <c r="M3252" s="2" t="n">
        <v>74280</v>
      </c>
      <c r="N3252" s="2" t="n">
        <v>5</v>
      </c>
      <c r="O3252" s="2" t="n">
        <v>12</v>
      </c>
      <c r="P3252" s="2" t="n">
        <v>0</v>
      </c>
      <c r="Q3252" s="2" t="n">
        <v>24</v>
      </c>
      <c r="R3252" s="2" t="n">
        <v>2</v>
      </c>
      <c r="S3252" s="2" t="n">
        <v>5</v>
      </c>
      <c r="T3252" s="2" t="n">
        <v>1</v>
      </c>
      <c r="U3252" s="2" t="n">
        <v>4</v>
      </c>
      <c r="V3252" s="2" t="n">
        <v>4</v>
      </c>
      <c r="W3252" s="2" t="n">
        <v>1</v>
      </c>
      <c r="X3252" s="2" t="n">
        <v>3</v>
      </c>
      <c r="Y3252" s="2" t="n">
        <v>3</v>
      </c>
      <c r="Z3252" s="2" t="n">
        <v>3</v>
      </c>
    </row>
    <row r="3253" customFormat="false" ht="15" hidden="false" customHeight="true" outlineLevel="0" collapsed="false">
      <c r="A3253" s="2" t="n">
        <v>36</v>
      </c>
      <c r="B3253" s="2" t="s">
        <v>26</v>
      </c>
      <c r="C3253" s="2" t="s">
        <v>41</v>
      </c>
      <c r="D3253" s="2" t="s">
        <v>35</v>
      </c>
      <c r="E3253" s="2" t="n">
        <v>7</v>
      </c>
      <c r="F3253" s="2" t="n">
        <v>2</v>
      </c>
      <c r="G3253" s="2" t="s">
        <v>29</v>
      </c>
      <c r="H3253" s="2" t="n">
        <v>3252</v>
      </c>
      <c r="I3253" s="2" t="s">
        <v>39</v>
      </c>
      <c r="J3253" s="2" t="n">
        <v>5</v>
      </c>
      <c r="K3253" s="2" t="s">
        <v>40</v>
      </c>
      <c r="L3253" s="2" t="s">
        <v>37</v>
      </c>
      <c r="M3253" s="2" t="n">
        <v>116310</v>
      </c>
      <c r="N3253" s="2" t="n">
        <v>1</v>
      </c>
      <c r="O3253" s="2" t="n">
        <v>18</v>
      </c>
      <c r="P3253" s="2" t="n">
        <v>1</v>
      </c>
      <c r="Q3253" s="2" t="n">
        <v>10</v>
      </c>
      <c r="R3253" s="2" t="n">
        <v>2</v>
      </c>
      <c r="S3253" s="2" t="n">
        <v>10</v>
      </c>
      <c r="T3253" s="2" t="n">
        <v>0</v>
      </c>
      <c r="U3253" s="2" t="n">
        <v>9</v>
      </c>
      <c r="V3253" s="2" t="n">
        <v>1</v>
      </c>
      <c r="W3253" s="2" t="n">
        <v>1</v>
      </c>
      <c r="X3253" s="2" t="n">
        <v>3</v>
      </c>
      <c r="Y3253" s="2" t="n">
        <v>1</v>
      </c>
      <c r="Z3253" s="2" t="n">
        <v>3</v>
      </c>
    </row>
    <row r="3254" customFormat="false" ht="15" hidden="false" customHeight="true" outlineLevel="0" collapsed="false">
      <c r="A3254" s="2" t="n">
        <v>52</v>
      </c>
      <c r="B3254" s="2" t="s">
        <v>26</v>
      </c>
      <c r="C3254" s="2" t="s">
        <v>41</v>
      </c>
      <c r="D3254" s="2" t="s">
        <v>35</v>
      </c>
      <c r="E3254" s="2" t="n">
        <v>1</v>
      </c>
      <c r="F3254" s="2" t="n">
        <v>4</v>
      </c>
      <c r="G3254" s="2" t="s">
        <v>29</v>
      </c>
      <c r="H3254" s="2" t="n">
        <v>3253</v>
      </c>
      <c r="I3254" s="2" t="s">
        <v>39</v>
      </c>
      <c r="J3254" s="2" t="n">
        <v>5</v>
      </c>
      <c r="K3254" s="2" t="s">
        <v>40</v>
      </c>
      <c r="L3254" s="2" t="s">
        <v>32</v>
      </c>
      <c r="M3254" s="2" t="n">
        <v>97380</v>
      </c>
      <c r="N3254" s="2" t="n">
        <v>0</v>
      </c>
      <c r="O3254" s="2" t="n">
        <v>18</v>
      </c>
      <c r="P3254" s="2" t="n">
        <v>2</v>
      </c>
      <c r="Q3254" s="2" t="n">
        <v>5</v>
      </c>
      <c r="R3254" s="2" t="n">
        <v>2</v>
      </c>
      <c r="S3254" s="2" t="n">
        <v>4</v>
      </c>
      <c r="T3254" s="2" t="n">
        <v>1</v>
      </c>
      <c r="U3254" s="2" t="n">
        <v>2</v>
      </c>
      <c r="V3254" s="2" t="n">
        <v>4</v>
      </c>
      <c r="W3254" s="2" t="n">
        <v>4</v>
      </c>
      <c r="X3254" s="2" t="n">
        <v>3</v>
      </c>
      <c r="Y3254" s="2" t="n">
        <v>3</v>
      </c>
      <c r="Z3254" s="2" t="n">
        <v>3</v>
      </c>
    </row>
    <row r="3255" customFormat="false" ht="15" hidden="false" customHeight="true" outlineLevel="0" collapsed="false">
      <c r="A3255" s="2" t="n">
        <v>26</v>
      </c>
      <c r="B3255" s="2" t="s">
        <v>26</v>
      </c>
      <c r="C3255" s="2" t="s">
        <v>34</v>
      </c>
      <c r="D3255" s="2" t="s">
        <v>35</v>
      </c>
      <c r="E3255" s="2" t="n">
        <v>2</v>
      </c>
      <c r="F3255" s="2" t="n">
        <v>2</v>
      </c>
      <c r="G3255" s="2" t="s">
        <v>29</v>
      </c>
      <c r="H3255" s="2" t="n">
        <v>3254</v>
      </c>
      <c r="I3255" s="2" t="s">
        <v>39</v>
      </c>
      <c r="J3255" s="2" t="n">
        <v>1</v>
      </c>
      <c r="K3255" s="2" t="s">
        <v>47</v>
      </c>
      <c r="L3255" s="2" t="s">
        <v>46</v>
      </c>
      <c r="M3255" s="2" t="n">
        <v>28350</v>
      </c>
      <c r="N3255" s="2" t="n">
        <v>3</v>
      </c>
      <c r="O3255" s="2" t="n">
        <v>11</v>
      </c>
      <c r="P3255" s="2" t="n">
        <v>1</v>
      </c>
      <c r="Q3255" s="2" t="n">
        <v>5</v>
      </c>
      <c r="R3255" s="2" t="n">
        <v>2</v>
      </c>
      <c r="S3255" s="2" t="n">
        <v>2</v>
      </c>
      <c r="T3255" s="2" t="n">
        <v>2</v>
      </c>
      <c r="U3255" s="2" t="n">
        <v>0</v>
      </c>
      <c r="V3255" s="2" t="n">
        <v>1</v>
      </c>
      <c r="W3255" s="2" t="n">
        <v>4</v>
      </c>
      <c r="X3255" s="2" t="n">
        <v>3</v>
      </c>
      <c r="Y3255" s="2" t="n">
        <v>3</v>
      </c>
      <c r="Z3255" s="2" t="n">
        <v>3</v>
      </c>
    </row>
    <row r="3256" customFormat="false" ht="15" hidden="false" customHeight="true" outlineLevel="0" collapsed="false">
      <c r="A3256" s="2" t="n">
        <v>29</v>
      </c>
      <c r="B3256" s="2" t="s">
        <v>26</v>
      </c>
      <c r="C3256" s="2" t="s">
        <v>27</v>
      </c>
      <c r="D3256" s="2" t="s">
        <v>35</v>
      </c>
      <c r="E3256" s="2" t="n">
        <v>10</v>
      </c>
      <c r="F3256" s="2" t="n">
        <v>2</v>
      </c>
      <c r="G3256" s="2" t="s">
        <v>43</v>
      </c>
      <c r="H3256" s="2" t="n">
        <v>3255</v>
      </c>
      <c r="I3256" s="2" t="s">
        <v>39</v>
      </c>
      <c r="J3256" s="2" t="n">
        <v>3</v>
      </c>
      <c r="K3256" s="2" t="s">
        <v>47</v>
      </c>
      <c r="L3256" s="2" t="s">
        <v>32</v>
      </c>
      <c r="M3256" s="2" t="n">
        <v>169590</v>
      </c>
      <c r="N3256" s="2" t="n">
        <v>4</v>
      </c>
      <c r="O3256" s="2" t="n">
        <v>14</v>
      </c>
      <c r="P3256" s="2" t="n">
        <v>3</v>
      </c>
      <c r="Q3256" s="2" t="n">
        <v>11</v>
      </c>
      <c r="R3256" s="2" t="n">
        <v>5</v>
      </c>
      <c r="S3256" s="2" t="n">
        <v>8</v>
      </c>
      <c r="T3256" s="2" t="n">
        <v>1</v>
      </c>
      <c r="U3256" s="2" t="n">
        <v>1</v>
      </c>
      <c r="V3256" s="2" t="n">
        <v>2</v>
      </c>
      <c r="W3256" s="2" t="n">
        <v>3</v>
      </c>
      <c r="X3256" s="2" t="n">
        <v>2</v>
      </c>
      <c r="Y3256" s="2" t="n">
        <v>3</v>
      </c>
      <c r="Z3256" s="2" t="n">
        <v>3</v>
      </c>
    </row>
    <row r="3257" customFormat="false" ht="15" hidden="false" customHeight="true" outlineLevel="0" collapsed="false">
      <c r="A3257" s="2" t="n">
        <v>26</v>
      </c>
      <c r="B3257" s="2" t="s">
        <v>33</v>
      </c>
      <c r="C3257" s="2" t="s">
        <v>27</v>
      </c>
      <c r="D3257" s="2" t="s">
        <v>35</v>
      </c>
      <c r="E3257" s="2" t="n">
        <v>15</v>
      </c>
      <c r="F3257" s="2" t="n">
        <v>2</v>
      </c>
      <c r="G3257" s="2" t="s">
        <v>29</v>
      </c>
      <c r="H3257" s="2" t="n">
        <v>3256</v>
      </c>
      <c r="I3257" s="2" t="s">
        <v>39</v>
      </c>
      <c r="J3257" s="2" t="n">
        <v>2</v>
      </c>
      <c r="K3257" s="2" t="s">
        <v>45</v>
      </c>
      <c r="L3257" s="2" t="s">
        <v>37</v>
      </c>
      <c r="M3257" s="2" t="n">
        <v>26130</v>
      </c>
      <c r="N3257" s="2" t="n">
        <v>6</v>
      </c>
      <c r="O3257" s="2" t="n">
        <v>19</v>
      </c>
      <c r="P3257" s="2" t="n">
        <v>1</v>
      </c>
      <c r="Q3257" s="2" t="n">
        <v>6</v>
      </c>
      <c r="R3257" s="2" t="n">
        <v>2</v>
      </c>
      <c r="S3257" s="2" t="n">
        <v>4</v>
      </c>
      <c r="T3257" s="2" t="n">
        <v>1</v>
      </c>
      <c r="U3257" s="2" t="n">
        <v>2</v>
      </c>
      <c r="V3257" s="2" t="n">
        <v>4</v>
      </c>
      <c r="W3257" s="2" t="n">
        <v>1</v>
      </c>
      <c r="X3257" s="2" t="n">
        <v>2</v>
      </c>
      <c r="Y3257" s="2" t="n">
        <v>3</v>
      </c>
      <c r="Z3257" s="2" t="n">
        <v>3</v>
      </c>
    </row>
    <row r="3258" customFormat="false" ht="15" hidden="false" customHeight="true" outlineLevel="0" collapsed="false">
      <c r="A3258" s="2" t="n">
        <v>34</v>
      </c>
      <c r="B3258" s="2" t="s">
        <v>26</v>
      </c>
      <c r="C3258" s="2" t="s">
        <v>27</v>
      </c>
      <c r="D3258" s="2" t="s">
        <v>35</v>
      </c>
      <c r="E3258" s="2" t="n">
        <v>14</v>
      </c>
      <c r="F3258" s="2" t="n">
        <v>4</v>
      </c>
      <c r="G3258" s="2" t="s">
        <v>51</v>
      </c>
      <c r="H3258" s="2" t="n">
        <v>3257</v>
      </c>
      <c r="I3258" s="2" t="s">
        <v>39</v>
      </c>
      <c r="J3258" s="2" t="n">
        <v>2</v>
      </c>
      <c r="K3258" s="2" t="s">
        <v>47</v>
      </c>
      <c r="L3258" s="2" t="s">
        <v>37</v>
      </c>
      <c r="M3258" s="2" t="n">
        <v>61460</v>
      </c>
      <c r="N3258" s="2" t="n">
        <v>2</v>
      </c>
      <c r="O3258" s="2" t="n">
        <v>12</v>
      </c>
      <c r="P3258" s="2" t="n">
        <v>0</v>
      </c>
      <c r="Q3258" s="2" t="n">
        <v>10</v>
      </c>
      <c r="R3258" s="2" t="n">
        <v>3</v>
      </c>
      <c r="S3258" s="2" t="n">
        <v>4</v>
      </c>
      <c r="T3258" s="2" t="n">
        <v>1</v>
      </c>
      <c r="U3258" s="2" t="n">
        <v>3</v>
      </c>
      <c r="V3258" s="2" t="n">
        <v>2</v>
      </c>
      <c r="W3258" s="2" t="n">
        <v>4</v>
      </c>
      <c r="X3258" s="2" t="n">
        <v>3</v>
      </c>
      <c r="Y3258" s="2" t="n">
        <v>3</v>
      </c>
      <c r="Z3258" s="2" t="n">
        <v>3</v>
      </c>
    </row>
    <row r="3259" customFormat="false" ht="15" hidden="false" customHeight="true" outlineLevel="0" collapsed="false">
      <c r="A3259" s="2" t="n">
        <v>54</v>
      </c>
      <c r="B3259" s="2" t="s">
        <v>26</v>
      </c>
      <c r="C3259" s="2" t="s">
        <v>27</v>
      </c>
      <c r="D3259" s="2" t="s">
        <v>35</v>
      </c>
      <c r="E3259" s="2" t="n">
        <v>18</v>
      </c>
      <c r="F3259" s="2" t="n">
        <v>4</v>
      </c>
      <c r="G3259" s="2" t="s">
        <v>43</v>
      </c>
      <c r="H3259" s="2" t="n">
        <v>3258</v>
      </c>
      <c r="I3259" s="2" t="s">
        <v>30</v>
      </c>
      <c r="J3259" s="2" t="n">
        <v>2</v>
      </c>
      <c r="K3259" s="2" t="s">
        <v>45</v>
      </c>
      <c r="L3259" s="2" t="s">
        <v>46</v>
      </c>
      <c r="M3259" s="2" t="n">
        <v>49630</v>
      </c>
      <c r="N3259" s="2" t="n">
        <v>9</v>
      </c>
      <c r="O3259" s="2" t="n">
        <v>15</v>
      </c>
      <c r="P3259" s="2" t="n">
        <v>1</v>
      </c>
      <c r="Q3259" s="2" t="n">
        <v>9</v>
      </c>
      <c r="R3259" s="2" t="n">
        <v>2</v>
      </c>
      <c r="S3259" s="2" t="n">
        <v>5</v>
      </c>
      <c r="T3259" s="2" t="n">
        <v>1</v>
      </c>
      <c r="U3259" s="2" t="n">
        <v>4</v>
      </c>
      <c r="V3259" s="2" t="n">
        <v>4</v>
      </c>
      <c r="W3259" s="2" t="n">
        <v>1</v>
      </c>
      <c r="X3259" s="2" t="n">
        <v>3</v>
      </c>
      <c r="Y3259" s="2" t="n">
        <v>3</v>
      </c>
      <c r="Z3259" s="2" t="n">
        <v>3</v>
      </c>
    </row>
    <row r="3260" customFormat="false" ht="15" hidden="false" customHeight="true" outlineLevel="0" collapsed="false">
      <c r="A3260" s="2" t="n">
        <v>27</v>
      </c>
      <c r="B3260" s="2" t="s">
        <v>26</v>
      </c>
      <c r="C3260" s="2" t="s">
        <v>34</v>
      </c>
      <c r="D3260" s="2" t="s">
        <v>35</v>
      </c>
      <c r="E3260" s="2" t="n">
        <v>13</v>
      </c>
      <c r="F3260" s="2" t="n">
        <v>2</v>
      </c>
      <c r="G3260" s="2" t="s">
        <v>29</v>
      </c>
      <c r="H3260" s="2" t="n">
        <v>3259</v>
      </c>
      <c r="I3260" s="2" t="s">
        <v>30</v>
      </c>
      <c r="J3260" s="2" t="n">
        <v>4</v>
      </c>
      <c r="K3260" s="2" t="s">
        <v>36</v>
      </c>
      <c r="L3260" s="2" t="s">
        <v>32</v>
      </c>
      <c r="M3260" s="2" t="n">
        <v>195370</v>
      </c>
      <c r="N3260" s="2" t="n">
        <v>0</v>
      </c>
      <c r="O3260" s="2" t="n">
        <v>12</v>
      </c>
      <c r="P3260" s="2" t="n">
        <v>0</v>
      </c>
      <c r="Q3260" s="2" t="n">
        <v>5</v>
      </c>
      <c r="R3260" s="2" t="n">
        <v>5</v>
      </c>
      <c r="S3260" s="2" t="n">
        <v>4</v>
      </c>
      <c r="T3260" s="2" t="n">
        <v>1</v>
      </c>
      <c r="U3260" s="2" t="n">
        <v>1</v>
      </c>
      <c r="V3260" s="2" t="n">
        <v>3</v>
      </c>
      <c r="W3260" s="2" t="n">
        <v>4</v>
      </c>
      <c r="X3260" s="2" t="n">
        <v>3</v>
      </c>
      <c r="Y3260" s="2" t="n">
        <v>3</v>
      </c>
      <c r="Z3260" s="2" t="n">
        <v>3</v>
      </c>
    </row>
    <row r="3261" customFormat="false" ht="15" hidden="false" customHeight="true" outlineLevel="0" collapsed="false">
      <c r="A3261" s="2" t="n">
        <v>37</v>
      </c>
      <c r="B3261" s="2" t="s">
        <v>26</v>
      </c>
      <c r="C3261" s="2" t="s">
        <v>27</v>
      </c>
      <c r="D3261" s="2" t="s">
        <v>28</v>
      </c>
      <c r="E3261" s="2" t="n">
        <v>2</v>
      </c>
      <c r="F3261" s="2" t="n">
        <v>4</v>
      </c>
      <c r="G3261" s="2" t="s">
        <v>51</v>
      </c>
      <c r="H3261" s="2" t="n">
        <v>3260</v>
      </c>
      <c r="I3261" s="2" t="s">
        <v>39</v>
      </c>
      <c r="J3261" s="2" t="n">
        <v>2</v>
      </c>
      <c r="K3261" s="2" t="s">
        <v>47</v>
      </c>
      <c r="L3261" s="2" t="s">
        <v>46</v>
      </c>
      <c r="M3261" s="2" t="n">
        <v>61720</v>
      </c>
      <c r="N3261" s="2" t="n">
        <v>0</v>
      </c>
      <c r="O3261" s="2" t="n">
        <v>11</v>
      </c>
      <c r="P3261" s="2" t="n">
        <v>0</v>
      </c>
      <c r="Q3261" s="2" t="n">
        <v>6</v>
      </c>
      <c r="R3261" s="2" t="n">
        <v>1</v>
      </c>
      <c r="S3261" s="2" t="n">
        <v>5</v>
      </c>
      <c r="T3261" s="2" t="n">
        <v>4</v>
      </c>
      <c r="U3261" s="2" t="n">
        <v>3</v>
      </c>
      <c r="V3261" s="2" t="n">
        <v>4</v>
      </c>
      <c r="W3261" s="2" t="n">
        <v>1</v>
      </c>
      <c r="X3261" s="2" t="n">
        <v>2</v>
      </c>
      <c r="Y3261" s="2" t="n">
        <v>3</v>
      </c>
      <c r="Z3261" s="2" t="n">
        <v>3</v>
      </c>
    </row>
    <row r="3262" customFormat="false" ht="15" hidden="false" customHeight="true" outlineLevel="0" collapsed="false">
      <c r="A3262" s="2" t="n">
        <v>38</v>
      </c>
      <c r="B3262" s="2" t="s">
        <v>26</v>
      </c>
      <c r="C3262" s="2" t="s">
        <v>34</v>
      </c>
      <c r="D3262" s="2" t="s">
        <v>28</v>
      </c>
      <c r="E3262" s="2" t="n">
        <v>2</v>
      </c>
      <c r="F3262" s="2" t="n">
        <v>4</v>
      </c>
      <c r="G3262" s="2" t="s">
        <v>29</v>
      </c>
      <c r="H3262" s="2" t="n">
        <v>3261</v>
      </c>
      <c r="I3262" s="2" t="s">
        <v>30</v>
      </c>
      <c r="J3262" s="2" t="n">
        <v>2</v>
      </c>
      <c r="K3262" s="2" t="s">
        <v>36</v>
      </c>
      <c r="L3262" s="2" t="s">
        <v>37</v>
      </c>
      <c r="M3262" s="2" t="n">
        <v>23680</v>
      </c>
      <c r="N3262" s="2" t="n">
        <v>6</v>
      </c>
      <c r="O3262" s="2" t="n">
        <v>11</v>
      </c>
      <c r="P3262" s="2" t="n">
        <v>1</v>
      </c>
      <c r="Q3262" s="2" t="n">
        <v>17</v>
      </c>
      <c r="R3262" s="2" t="n">
        <v>3</v>
      </c>
      <c r="S3262" s="2" t="n">
        <v>15</v>
      </c>
      <c r="T3262" s="2" t="n">
        <v>4</v>
      </c>
      <c r="U3262" s="2" t="n">
        <v>12</v>
      </c>
      <c r="V3262" s="2" t="n">
        <v>1</v>
      </c>
      <c r="W3262" s="2" t="n">
        <v>1</v>
      </c>
      <c r="X3262" s="2" t="n">
        <v>3</v>
      </c>
      <c r="Y3262" s="2" t="n">
        <v>3</v>
      </c>
      <c r="Z3262" s="2" t="n">
        <v>3</v>
      </c>
    </row>
    <row r="3263" customFormat="false" ht="15" hidden="false" customHeight="true" outlineLevel="0" collapsed="false">
      <c r="A3263" s="2" t="n">
        <v>34</v>
      </c>
      <c r="B3263" s="2" t="s">
        <v>26</v>
      </c>
      <c r="C3263" s="2" t="s">
        <v>27</v>
      </c>
      <c r="D3263" s="2" t="s">
        <v>28</v>
      </c>
      <c r="E3263" s="2" t="n">
        <v>2</v>
      </c>
      <c r="F3263" s="2" t="n">
        <v>3</v>
      </c>
      <c r="G3263" s="2" t="s">
        <v>50</v>
      </c>
      <c r="H3263" s="2" t="n">
        <v>3262</v>
      </c>
      <c r="I3263" s="2" t="s">
        <v>39</v>
      </c>
      <c r="J3263" s="2" t="n">
        <v>1</v>
      </c>
      <c r="K3263" s="2" t="s">
        <v>48</v>
      </c>
      <c r="L3263" s="2" t="s">
        <v>37</v>
      </c>
      <c r="M3263" s="2" t="n">
        <v>103120</v>
      </c>
      <c r="N3263" s="2" t="n">
        <v>1</v>
      </c>
      <c r="O3263" s="2" t="n">
        <v>12</v>
      </c>
      <c r="P3263" s="2" t="n">
        <v>0</v>
      </c>
      <c r="Q3263" s="2" t="n">
        <v>6</v>
      </c>
      <c r="R3263" s="2" t="n">
        <v>2</v>
      </c>
      <c r="S3263" s="2" t="n">
        <v>6</v>
      </c>
      <c r="T3263" s="2" t="n">
        <v>1</v>
      </c>
      <c r="U3263" s="2" t="n">
        <v>3</v>
      </c>
      <c r="V3263" s="2"/>
      <c r="W3263" s="2" t="n">
        <v>1</v>
      </c>
      <c r="X3263" s="2" t="n">
        <v>3</v>
      </c>
      <c r="Y3263" s="2" t="n">
        <v>3</v>
      </c>
      <c r="Z3263" s="2" t="n">
        <v>3</v>
      </c>
    </row>
    <row r="3264" customFormat="false" ht="15" hidden="false" customHeight="true" outlineLevel="0" collapsed="false">
      <c r="A3264" s="2" t="n">
        <v>35</v>
      </c>
      <c r="B3264" s="2" t="s">
        <v>26</v>
      </c>
      <c r="C3264" s="2" t="s">
        <v>27</v>
      </c>
      <c r="D3264" s="2" t="s">
        <v>35</v>
      </c>
      <c r="E3264" s="2" t="n">
        <v>5</v>
      </c>
      <c r="F3264" s="2" t="n">
        <v>4</v>
      </c>
      <c r="G3264" s="2" t="s">
        <v>43</v>
      </c>
      <c r="H3264" s="2" t="n">
        <v>3263</v>
      </c>
      <c r="I3264" s="2" t="s">
        <v>39</v>
      </c>
      <c r="J3264" s="2" t="n">
        <v>3</v>
      </c>
      <c r="K3264" s="2" t="s">
        <v>49</v>
      </c>
      <c r="L3264" s="2" t="s">
        <v>32</v>
      </c>
      <c r="M3264" s="2" t="n">
        <v>16750</v>
      </c>
      <c r="N3264" s="2" t="n">
        <v>1</v>
      </c>
      <c r="O3264" s="2" t="n">
        <v>16</v>
      </c>
      <c r="P3264" s="2" t="n">
        <v>0</v>
      </c>
      <c r="Q3264" s="2" t="n">
        <v>3</v>
      </c>
      <c r="R3264" s="2" t="n">
        <v>6</v>
      </c>
      <c r="S3264" s="2" t="n">
        <v>3</v>
      </c>
      <c r="T3264" s="2" t="n">
        <v>0</v>
      </c>
      <c r="U3264" s="2" t="n">
        <v>2</v>
      </c>
      <c r="V3264" s="2" t="n">
        <v>1</v>
      </c>
      <c r="W3264" s="2" t="n">
        <v>4</v>
      </c>
      <c r="X3264" s="2" t="n">
        <v>2</v>
      </c>
      <c r="Y3264" s="2" t="n">
        <v>2</v>
      </c>
      <c r="Z3264" s="2" t="n">
        <v>3</v>
      </c>
    </row>
    <row r="3265" customFormat="false" ht="15" hidden="false" customHeight="true" outlineLevel="0" collapsed="false">
      <c r="A3265" s="2" t="n">
        <v>30</v>
      </c>
      <c r="B3265" s="2" t="s">
        <v>26</v>
      </c>
      <c r="C3265" s="2" t="s">
        <v>27</v>
      </c>
      <c r="D3265" s="2" t="s">
        <v>35</v>
      </c>
      <c r="E3265" s="2" t="n">
        <v>20</v>
      </c>
      <c r="F3265" s="2" t="n">
        <v>3</v>
      </c>
      <c r="G3265" s="2" t="s">
        <v>43</v>
      </c>
      <c r="H3265" s="2" t="n">
        <v>3264</v>
      </c>
      <c r="I3265" s="2" t="s">
        <v>39</v>
      </c>
      <c r="J3265" s="2" t="n">
        <v>1</v>
      </c>
      <c r="K3265" s="2" t="s">
        <v>45</v>
      </c>
      <c r="L3265" s="2" t="s">
        <v>32</v>
      </c>
      <c r="M3265" s="2" t="n">
        <v>25230</v>
      </c>
      <c r="N3265" s="2" t="n">
        <v>3</v>
      </c>
      <c r="O3265" s="2" t="n">
        <v>13</v>
      </c>
      <c r="P3265" s="2" t="n">
        <v>1</v>
      </c>
      <c r="Q3265" s="2" t="n">
        <v>7</v>
      </c>
      <c r="R3265" s="2" t="n">
        <v>2</v>
      </c>
      <c r="S3265" s="2" t="n">
        <v>2</v>
      </c>
      <c r="T3265" s="2" t="n">
        <v>0</v>
      </c>
      <c r="U3265" s="2" t="n">
        <v>2</v>
      </c>
      <c r="V3265" s="2" t="n">
        <v>4</v>
      </c>
      <c r="W3265" s="2" t="n">
        <v>3</v>
      </c>
      <c r="X3265" s="2" t="n">
        <v>3</v>
      </c>
      <c r="Y3265" s="2" t="n">
        <v>3</v>
      </c>
      <c r="Z3265" s="2" t="n">
        <v>3</v>
      </c>
    </row>
    <row r="3266" customFormat="false" ht="15" hidden="false" customHeight="true" outlineLevel="0" collapsed="false">
      <c r="A3266" s="2" t="n">
        <v>40</v>
      </c>
      <c r="B3266" s="2" t="s">
        <v>26</v>
      </c>
      <c r="C3266" s="2" t="s">
        <v>34</v>
      </c>
      <c r="D3266" s="2" t="s">
        <v>35</v>
      </c>
      <c r="E3266" s="2" t="n">
        <v>10</v>
      </c>
      <c r="F3266" s="2" t="n">
        <v>4</v>
      </c>
      <c r="G3266" s="2" t="s">
        <v>43</v>
      </c>
      <c r="H3266" s="2" t="n">
        <v>3265</v>
      </c>
      <c r="I3266" s="2" t="s">
        <v>39</v>
      </c>
      <c r="J3266" s="2" t="n">
        <v>2</v>
      </c>
      <c r="K3266" s="2" t="s">
        <v>47</v>
      </c>
      <c r="L3266" s="2" t="s">
        <v>32</v>
      </c>
      <c r="M3266" s="2" t="n">
        <v>65670</v>
      </c>
      <c r="N3266" s="2" t="n">
        <v>1</v>
      </c>
      <c r="O3266" s="2" t="n">
        <v>13</v>
      </c>
      <c r="P3266" s="2" t="n">
        <v>1</v>
      </c>
      <c r="Q3266" s="2" t="n">
        <v>8</v>
      </c>
      <c r="R3266" s="2" t="n">
        <v>3</v>
      </c>
      <c r="S3266" s="2" t="n">
        <v>8</v>
      </c>
      <c r="T3266" s="2" t="n">
        <v>3</v>
      </c>
      <c r="U3266" s="2" t="n">
        <v>7</v>
      </c>
      <c r="V3266" s="2" t="n">
        <v>3</v>
      </c>
      <c r="W3266" s="2" t="n">
        <v>2</v>
      </c>
      <c r="X3266" s="2" t="n">
        <v>3</v>
      </c>
      <c r="Y3266" s="2" t="n">
        <v>4</v>
      </c>
      <c r="Z3266" s="2" t="n">
        <v>3</v>
      </c>
    </row>
    <row r="3267" customFormat="false" ht="15" hidden="false" customHeight="true" outlineLevel="0" collapsed="false">
      <c r="A3267" s="2" t="n">
        <v>34</v>
      </c>
      <c r="B3267" s="2" t="s">
        <v>26</v>
      </c>
      <c r="C3267" s="2" t="s">
        <v>27</v>
      </c>
      <c r="D3267" s="2" t="s">
        <v>35</v>
      </c>
      <c r="E3267" s="2" t="n">
        <v>10</v>
      </c>
      <c r="F3267" s="2" t="n">
        <v>3</v>
      </c>
      <c r="G3267" s="2" t="s">
        <v>29</v>
      </c>
      <c r="H3267" s="2" t="n">
        <v>3266</v>
      </c>
      <c r="I3267" s="2" t="s">
        <v>39</v>
      </c>
      <c r="J3267" s="2" t="n">
        <v>3</v>
      </c>
      <c r="K3267" s="2" t="s">
        <v>31</v>
      </c>
      <c r="L3267" s="2" t="s">
        <v>32</v>
      </c>
      <c r="M3267" s="2" t="n">
        <v>47390</v>
      </c>
      <c r="N3267" s="2" t="n">
        <v>5</v>
      </c>
      <c r="O3267" s="2" t="n">
        <v>24</v>
      </c>
      <c r="P3267" s="2" t="n">
        <v>2</v>
      </c>
      <c r="Q3267" s="2" t="n">
        <v>6</v>
      </c>
      <c r="R3267" s="2" t="n">
        <v>2</v>
      </c>
      <c r="S3267" s="2" t="n">
        <v>3</v>
      </c>
      <c r="T3267" s="2" t="n">
        <v>1</v>
      </c>
      <c r="U3267" s="2" t="n">
        <v>2</v>
      </c>
      <c r="V3267" s="2" t="n">
        <v>3</v>
      </c>
      <c r="W3267" s="2" t="n">
        <v>1</v>
      </c>
      <c r="X3267" s="2" t="n">
        <v>3</v>
      </c>
      <c r="Y3267" s="2" t="n">
        <v>3</v>
      </c>
      <c r="Z3267" s="2" t="n">
        <v>4</v>
      </c>
    </row>
    <row r="3268" customFormat="false" ht="15" hidden="false" customHeight="true" outlineLevel="0" collapsed="false">
      <c r="A3268" s="2" t="n">
        <v>42</v>
      </c>
      <c r="B3268" s="2" t="s">
        <v>26</v>
      </c>
      <c r="C3268" s="2" t="s">
        <v>34</v>
      </c>
      <c r="D3268" s="2" t="s">
        <v>35</v>
      </c>
      <c r="E3268" s="2" t="n">
        <v>9</v>
      </c>
      <c r="F3268" s="2" t="n">
        <v>4</v>
      </c>
      <c r="G3268" s="2" t="s">
        <v>43</v>
      </c>
      <c r="H3268" s="2" t="n">
        <v>3267</v>
      </c>
      <c r="I3268" s="2" t="s">
        <v>39</v>
      </c>
      <c r="J3268" s="2" t="n">
        <v>1</v>
      </c>
      <c r="K3268" s="2" t="s">
        <v>47</v>
      </c>
      <c r="L3268" s="2" t="s">
        <v>46</v>
      </c>
      <c r="M3268" s="2" t="n">
        <v>92080</v>
      </c>
      <c r="N3268" s="2" t="n">
        <v>1</v>
      </c>
      <c r="O3268" s="2" t="n">
        <v>15</v>
      </c>
      <c r="P3268" s="2" t="n">
        <v>1</v>
      </c>
      <c r="Q3268" s="2" t="n">
        <v>24</v>
      </c>
      <c r="R3268" s="2" t="n">
        <v>2</v>
      </c>
      <c r="S3268" s="2" t="n">
        <v>24</v>
      </c>
      <c r="T3268" s="2" t="n">
        <v>14</v>
      </c>
      <c r="U3268" s="2" t="n">
        <v>9</v>
      </c>
      <c r="V3268" s="2" t="n">
        <v>2</v>
      </c>
      <c r="W3268" s="2" t="n">
        <v>4</v>
      </c>
      <c r="X3268" s="2" t="n">
        <v>2</v>
      </c>
      <c r="Y3268" s="2" t="n">
        <v>4</v>
      </c>
      <c r="Z3268" s="2" t="n">
        <v>3</v>
      </c>
    </row>
    <row r="3269" customFormat="false" ht="15" hidden="false" customHeight="true" outlineLevel="0" collapsed="false">
      <c r="A3269" s="2" t="n">
        <v>23</v>
      </c>
      <c r="B3269" s="2" t="s">
        <v>33</v>
      </c>
      <c r="C3269" s="2" t="s">
        <v>27</v>
      </c>
      <c r="D3269" s="2" t="s">
        <v>28</v>
      </c>
      <c r="E3269" s="2" t="n">
        <v>2</v>
      </c>
      <c r="F3269" s="2" t="n">
        <v>3</v>
      </c>
      <c r="G3269" s="2" t="s">
        <v>43</v>
      </c>
      <c r="H3269" s="2" t="n">
        <v>3268</v>
      </c>
      <c r="I3269" s="2" t="s">
        <v>30</v>
      </c>
      <c r="J3269" s="2" t="n">
        <v>4</v>
      </c>
      <c r="K3269" s="2" t="s">
        <v>47</v>
      </c>
      <c r="L3269" s="2" t="s">
        <v>32</v>
      </c>
      <c r="M3269" s="2" t="n">
        <v>45590</v>
      </c>
      <c r="N3269" s="2" t="n">
        <v>1</v>
      </c>
      <c r="O3269" s="2" t="n">
        <v>18</v>
      </c>
      <c r="P3269" s="2" t="n">
        <v>1</v>
      </c>
      <c r="Q3269" s="2" t="n">
        <v>1</v>
      </c>
      <c r="R3269" s="2" t="n">
        <v>2</v>
      </c>
      <c r="S3269" s="2" t="n">
        <v>0</v>
      </c>
      <c r="T3269" s="2" t="n">
        <v>0</v>
      </c>
      <c r="U3269" s="2" t="n">
        <v>0</v>
      </c>
      <c r="V3269" s="2" t="n">
        <v>3</v>
      </c>
      <c r="W3269" s="2" t="n">
        <v>1</v>
      </c>
      <c r="X3269" s="2" t="n">
        <v>3</v>
      </c>
      <c r="Y3269" s="2" t="n">
        <v>2</v>
      </c>
      <c r="Z3269" s="2" t="n">
        <v>3</v>
      </c>
    </row>
    <row r="3270" customFormat="false" ht="15" hidden="false" customHeight="true" outlineLevel="0" collapsed="false">
      <c r="A3270" s="2" t="n">
        <v>24</v>
      </c>
      <c r="B3270" s="2" t="s">
        <v>26</v>
      </c>
      <c r="C3270" s="2" t="s">
        <v>41</v>
      </c>
      <c r="D3270" s="2" t="s">
        <v>28</v>
      </c>
      <c r="E3270" s="2" t="n">
        <v>1</v>
      </c>
      <c r="F3270" s="2" t="n">
        <v>5</v>
      </c>
      <c r="G3270" s="2" t="s">
        <v>50</v>
      </c>
      <c r="H3270" s="2" t="n">
        <v>3269</v>
      </c>
      <c r="I3270" s="2" t="s">
        <v>30</v>
      </c>
      <c r="J3270" s="2" t="n">
        <v>1</v>
      </c>
      <c r="K3270" s="2" t="s">
        <v>47</v>
      </c>
      <c r="L3270" s="2" t="s">
        <v>46</v>
      </c>
      <c r="M3270" s="2" t="n">
        <v>81890</v>
      </c>
      <c r="N3270" s="2" t="n">
        <v>1</v>
      </c>
      <c r="O3270" s="2" t="n">
        <v>14</v>
      </c>
      <c r="P3270" s="2" t="n">
        <v>1</v>
      </c>
      <c r="Q3270" s="2" t="n">
        <v>1</v>
      </c>
      <c r="R3270" s="2" t="n">
        <v>3</v>
      </c>
      <c r="S3270" s="2" t="n">
        <v>1</v>
      </c>
      <c r="T3270" s="2" t="n">
        <v>0</v>
      </c>
      <c r="U3270" s="2" t="n">
        <v>0</v>
      </c>
      <c r="V3270" s="2" t="n">
        <v>3</v>
      </c>
      <c r="W3270" s="2" t="n">
        <v>2</v>
      </c>
      <c r="X3270" s="2" t="n">
        <v>3</v>
      </c>
      <c r="Y3270" s="2" t="n">
        <v>3</v>
      </c>
      <c r="Z3270" s="2" t="n">
        <v>3</v>
      </c>
    </row>
    <row r="3271" customFormat="false" ht="15" hidden="false" customHeight="true" outlineLevel="0" collapsed="false">
      <c r="A3271" s="2" t="n">
        <v>52</v>
      </c>
      <c r="B3271" s="2" t="s">
        <v>26</v>
      </c>
      <c r="C3271" s="2" t="s">
        <v>27</v>
      </c>
      <c r="D3271" s="2" t="s">
        <v>35</v>
      </c>
      <c r="E3271" s="2" t="n">
        <v>29</v>
      </c>
      <c r="F3271" s="2" t="n">
        <v>3</v>
      </c>
      <c r="G3271" s="2" t="s">
        <v>29</v>
      </c>
      <c r="H3271" s="2" t="n">
        <v>3270</v>
      </c>
      <c r="I3271" s="2" t="s">
        <v>39</v>
      </c>
      <c r="J3271" s="2" t="n">
        <v>2</v>
      </c>
      <c r="K3271" s="2" t="s">
        <v>47</v>
      </c>
      <c r="L3271" s="2" t="s">
        <v>32</v>
      </c>
      <c r="M3271" s="2" t="n">
        <v>29420</v>
      </c>
      <c r="N3271" s="2" t="n">
        <v>8</v>
      </c>
      <c r="O3271" s="2" t="n">
        <v>11</v>
      </c>
      <c r="P3271" s="2" t="n">
        <v>1</v>
      </c>
      <c r="Q3271" s="2" t="n">
        <v>9</v>
      </c>
      <c r="R3271" s="2" t="n">
        <v>1</v>
      </c>
      <c r="S3271" s="2" t="n">
        <v>5</v>
      </c>
      <c r="T3271" s="2" t="n">
        <v>1</v>
      </c>
      <c r="U3271" s="2" t="n">
        <v>4</v>
      </c>
      <c r="V3271" s="2" t="n">
        <v>4</v>
      </c>
      <c r="W3271" s="2" t="n">
        <v>3</v>
      </c>
      <c r="X3271" s="2" t="n">
        <v>3</v>
      </c>
      <c r="Y3271" s="2" t="n">
        <v>2</v>
      </c>
      <c r="Z3271" s="2" t="n">
        <v>3</v>
      </c>
    </row>
    <row r="3272" customFormat="false" ht="15" hidden="false" customHeight="true" outlineLevel="0" collapsed="false">
      <c r="A3272" s="2" t="n">
        <v>50</v>
      </c>
      <c r="B3272" s="2" t="s">
        <v>26</v>
      </c>
      <c r="C3272" s="2" t="s">
        <v>27</v>
      </c>
      <c r="D3272" s="2" t="s">
        <v>35</v>
      </c>
      <c r="E3272" s="2" t="n">
        <v>8</v>
      </c>
      <c r="F3272" s="2" t="n">
        <v>4</v>
      </c>
      <c r="G3272" s="2" t="s">
        <v>29</v>
      </c>
      <c r="H3272" s="2" t="n">
        <v>3271</v>
      </c>
      <c r="I3272" s="2" t="s">
        <v>39</v>
      </c>
      <c r="J3272" s="2" t="n">
        <v>2</v>
      </c>
      <c r="K3272" s="2" t="s">
        <v>40</v>
      </c>
      <c r="L3272" s="2" t="s">
        <v>32</v>
      </c>
      <c r="M3272" s="2" t="n">
        <v>49410</v>
      </c>
      <c r="N3272" s="2" t="n">
        <v>5</v>
      </c>
      <c r="O3272" s="2" t="n">
        <v>11</v>
      </c>
      <c r="P3272" s="2" t="n">
        <v>1</v>
      </c>
      <c r="Q3272" s="2" t="n">
        <v>30</v>
      </c>
      <c r="R3272" s="2" t="n">
        <v>3</v>
      </c>
      <c r="S3272" s="2" t="n">
        <v>4</v>
      </c>
      <c r="T3272" s="2" t="n">
        <v>0</v>
      </c>
      <c r="U3272" s="2" t="n">
        <v>3</v>
      </c>
      <c r="V3272" s="2" t="n">
        <v>3</v>
      </c>
      <c r="W3272" s="2" t="n">
        <v>3</v>
      </c>
      <c r="X3272" s="2" t="n">
        <v>3</v>
      </c>
      <c r="Y3272" s="2" t="n">
        <v>1</v>
      </c>
      <c r="Z3272" s="2" t="n">
        <v>3</v>
      </c>
    </row>
    <row r="3273" customFormat="false" ht="15" hidden="false" customHeight="true" outlineLevel="0" collapsed="false">
      <c r="A3273" s="2" t="n">
        <v>29</v>
      </c>
      <c r="B3273" s="2" t="s">
        <v>33</v>
      </c>
      <c r="C3273" s="2" t="s">
        <v>27</v>
      </c>
      <c r="D3273" s="2" t="s">
        <v>28</v>
      </c>
      <c r="E3273" s="2" t="n">
        <v>2</v>
      </c>
      <c r="F3273" s="2" t="n">
        <v>4</v>
      </c>
      <c r="G3273" s="2" t="s">
        <v>50</v>
      </c>
      <c r="H3273" s="2" t="n">
        <v>3272</v>
      </c>
      <c r="I3273" s="2" t="s">
        <v>30</v>
      </c>
      <c r="J3273" s="2" t="n">
        <v>4</v>
      </c>
      <c r="K3273" s="2" t="s">
        <v>36</v>
      </c>
      <c r="L3273" s="2" t="s">
        <v>32</v>
      </c>
      <c r="M3273" s="2" t="n">
        <v>106500</v>
      </c>
      <c r="N3273" s="2" t="n">
        <v>1</v>
      </c>
      <c r="O3273" s="2" t="n">
        <v>13</v>
      </c>
      <c r="P3273" s="2" t="n">
        <v>2</v>
      </c>
      <c r="Q3273" s="2" t="n">
        <v>1</v>
      </c>
      <c r="R3273" s="2" t="n">
        <v>2</v>
      </c>
      <c r="S3273" s="2" t="n">
        <v>1</v>
      </c>
      <c r="T3273" s="2" t="n">
        <v>0</v>
      </c>
      <c r="U3273" s="2" t="n">
        <v>0</v>
      </c>
      <c r="V3273" s="2" t="n">
        <v>2</v>
      </c>
      <c r="W3273" s="2" t="n">
        <v>1</v>
      </c>
      <c r="X3273" s="2" t="n">
        <v>3</v>
      </c>
      <c r="Y3273" s="2" t="n">
        <v>4</v>
      </c>
      <c r="Z3273" s="2" t="n">
        <v>3</v>
      </c>
    </row>
    <row r="3274" customFormat="false" ht="15" hidden="false" customHeight="true" outlineLevel="0" collapsed="false">
      <c r="A3274" s="2" t="n">
        <v>33</v>
      </c>
      <c r="B3274" s="2" t="s">
        <v>26</v>
      </c>
      <c r="C3274" s="2" t="s">
        <v>27</v>
      </c>
      <c r="D3274" s="2" t="s">
        <v>35</v>
      </c>
      <c r="E3274" s="2" t="n">
        <v>3</v>
      </c>
      <c r="F3274" s="2" t="n">
        <v>4</v>
      </c>
      <c r="G3274" s="2" t="s">
        <v>29</v>
      </c>
      <c r="H3274" s="2" t="n">
        <v>3273</v>
      </c>
      <c r="I3274" s="2" t="s">
        <v>39</v>
      </c>
      <c r="J3274" s="2" t="n">
        <v>4</v>
      </c>
      <c r="K3274" s="2" t="s">
        <v>47</v>
      </c>
      <c r="L3274" s="2" t="s">
        <v>32</v>
      </c>
      <c r="M3274" s="2" t="n">
        <v>59020</v>
      </c>
      <c r="N3274" s="2" t="n">
        <v>0</v>
      </c>
      <c r="O3274" s="2" t="n">
        <v>12</v>
      </c>
      <c r="P3274" s="2" t="n">
        <v>1</v>
      </c>
      <c r="Q3274" s="2" t="n">
        <v>14</v>
      </c>
      <c r="R3274" s="2" t="n">
        <v>2</v>
      </c>
      <c r="S3274" s="2" t="n">
        <v>13</v>
      </c>
      <c r="T3274" s="2" t="n">
        <v>3</v>
      </c>
      <c r="U3274" s="2" t="n">
        <v>7</v>
      </c>
      <c r="V3274" s="2" t="n">
        <v>3</v>
      </c>
      <c r="W3274" s="2" t="n">
        <v>3</v>
      </c>
      <c r="X3274" s="2" t="n">
        <v>4</v>
      </c>
      <c r="Y3274" s="2" t="n">
        <v>3</v>
      </c>
      <c r="Z3274" s="2" t="n">
        <v>3</v>
      </c>
    </row>
    <row r="3275" customFormat="false" ht="15" hidden="false" customHeight="true" outlineLevel="0" collapsed="false">
      <c r="A3275" s="2" t="n">
        <v>33</v>
      </c>
      <c r="B3275" s="2" t="s">
        <v>33</v>
      </c>
      <c r="C3275" s="2" t="s">
        <v>27</v>
      </c>
      <c r="D3275" s="2" t="s">
        <v>35</v>
      </c>
      <c r="E3275" s="2" t="n">
        <v>23</v>
      </c>
      <c r="F3275" s="2" t="n">
        <v>5</v>
      </c>
      <c r="G3275" s="2" t="s">
        <v>29</v>
      </c>
      <c r="H3275" s="2" t="n">
        <v>3274</v>
      </c>
      <c r="I3275" s="2" t="s">
        <v>39</v>
      </c>
      <c r="J3275" s="2" t="n">
        <v>1</v>
      </c>
      <c r="K3275" s="2" t="s">
        <v>42</v>
      </c>
      <c r="L3275" s="2" t="s">
        <v>37</v>
      </c>
      <c r="M3275" s="2" t="n">
        <v>86390</v>
      </c>
      <c r="N3275" s="2" t="n">
        <v>5</v>
      </c>
      <c r="O3275" s="2" t="n">
        <v>16</v>
      </c>
      <c r="P3275" s="2" t="n">
        <v>2</v>
      </c>
      <c r="Q3275" s="2" t="n">
        <v>6</v>
      </c>
      <c r="R3275" s="2" t="n">
        <v>3</v>
      </c>
      <c r="S3275" s="2" t="n">
        <v>3</v>
      </c>
      <c r="T3275" s="2" t="n">
        <v>0</v>
      </c>
      <c r="U3275" s="2" t="n">
        <v>2</v>
      </c>
      <c r="V3275" s="2" t="n">
        <v>1</v>
      </c>
      <c r="W3275" s="2" t="n">
        <v>1</v>
      </c>
      <c r="X3275" s="2" t="n">
        <v>3</v>
      </c>
      <c r="Y3275" s="2" t="n">
        <v>2</v>
      </c>
      <c r="Z3275" s="2" t="n">
        <v>3</v>
      </c>
    </row>
    <row r="3276" customFormat="false" ht="15" hidden="false" customHeight="true" outlineLevel="0" collapsed="false">
      <c r="A3276" s="2" t="n">
        <v>47</v>
      </c>
      <c r="B3276" s="2" t="s">
        <v>26</v>
      </c>
      <c r="C3276" s="2" t="s">
        <v>27</v>
      </c>
      <c r="D3276" s="2" t="s">
        <v>35</v>
      </c>
      <c r="E3276" s="2" t="n">
        <v>6</v>
      </c>
      <c r="F3276" s="2" t="n">
        <v>4</v>
      </c>
      <c r="G3276" s="2" t="s">
        <v>38</v>
      </c>
      <c r="H3276" s="2" t="n">
        <v>3275</v>
      </c>
      <c r="I3276" s="2" t="s">
        <v>39</v>
      </c>
      <c r="J3276" s="2" t="n">
        <v>2</v>
      </c>
      <c r="K3276" s="2" t="s">
        <v>49</v>
      </c>
      <c r="L3276" s="2" t="s">
        <v>32</v>
      </c>
      <c r="M3276" s="2" t="n">
        <v>63470</v>
      </c>
      <c r="N3276" s="2" t="n">
        <v>1</v>
      </c>
      <c r="O3276" s="2" t="n">
        <v>14</v>
      </c>
      <c r="P3276" s="2" t="n">
        <v>0</v>
      </c>
      <c r="Q3276" s="2" t="n">
        <v>26</v>
      </c>
      <c r="R3276" s="2" t="n">
        <v>2</v>
      </c>
      <c r="S3276" s="2" t="n">
        <v>26</v>
      </c>
      <c r="T3276" s="2" t="n">
        <v>3</v>
      </c>
      <c r="U3276" s="2" t="n">
        <v>0</v>
      </c>
      <c r="V3276" s="2" t="n">
        <v>3</v>
      </c>
      <c r="W3276" s="2" t="n">
        <v>4</v>
      </c>
      <c r="X3276" s="2" t="n">
        <v>2</v>
      </c>
      <c r="Y3276" s="2" t="n">
        <v>4</v>
      </c>
      <c r="Z3276" s="2" t="n">
        <v>3</v>
      </c>
    </row>
    <row r="3277" customFormat="false" ht="15" hidden="false" customHeight="true" outlineLevel="0" collapsed="false">
      <c r="A3277" s="2" t="n">
        <v>36</v>
      </c>
      <c r="B3277" s="2" t="s">
        <v>26</v>
      </c>
      <c r="C3277" s="2" t="s">
        <v>27</v>
      </c>
      <c r="D3277" s="2" t="s">
        <v>28</v>
      </c>
      <c r="E3277" s="2" t="n">
        <v>6</v>
      </c>
      <c r="F3277" s="2" t="n">
        <v>3</v>
      </c>
      <c r="G3277" s="2" t="s">
        <v>43</v>
      </c>
      <c r="H3277" s="2" t="n">
        <v>3276</v>
      </c>
      <c r="I3277" s="2" t="s">
        <v>30</v>
      </c>
      <c r="J3277" s="2" t="n">
        <v>2</v>
      </c>
      <c r="K3277" s="2" t="s">
        <v>40</v>
      </c>
      <c r="L3277" s="2" t="s">
        <v>32</v>
      </c>
      <c r="M3277" s="2" t="n">
        <v>42000</v>
      </c>
      <c r="N3277" s="2" t="n">
        <v>0</v>
      </c>
      <c r="O3277" s="2" t="n">
        <v>22</v>
      </c>
      <c r="P3277" s="2" t="n">
        <v>0</v>
      </c>
      <c r="Q3277" s="2" t="n">
        <v>10</v>
      </c>
      <c r="R3277" s="2" t="n">
        <v>3</v>
      </c>
      <c r="S3277" s="2" t="n">
        <v>9</v>
      </c>
      <c r="T3277" s="2" t="n">
        <v>0</v>
      </c>
      <c r="U3277" s="2" t="n">
        <v>5</v>
      </c>
      <c r="V3277" s="2" t="n">
        <v>3</v>
      </c>
      <c r="W3277" s="2" t="n">
        <v>2</v>
      </c>
      <c r="X3277" s="2" t="n">
        <v>3</v>
      </c>
      <c r="Y3277" s="2" t="n">
        <v>3</v>
      </c>
      <c r="Z3277" s="2" t="n">
        <v>4</v>
      </c>
    </row>
    <row r="3278" customFormat="false" ht="15" hidden="false" customHeight="true" outlineLevel="0" collapsed="false">
      <c r="A3278" s="2" t="n">
        <v>29</v>
      </c>
      <c r="B3278" s="2" t="s">
        <v>26</v>
      </c>
      <c r="C3278" s="2" t="s">
        <v>27</v>
      </c>
      <c r="D3278" s="2" t="s">
        <v>35</v>
      </c>
      <c r="E3278" s="2" t="n">
        <v>10</v>
      </c>
      <c r="F3278" s="2" t="n">
        <v>3</v>
      </c>
      <c r="G3278" s="2" t="s">
        <v>38</v>
      </c>
      <c r="H3278" s="2" t="n">
        <v>3277</v>
      </c>
      <c r="I3278" s="2" t="s">
        <v>39</v>
      </c>
      <c r="J3278" s="2" t="n">
        <v>1</v>
      </c>
      <c r="K3278" s="2" t="s">
        <v>36</v>
      </c>
      <c r="L3278" s="2" t="s">
        <v>32</v>
      </c>
      <c r="M3278" s="2" t="n">
        <v>34520</v>
      </c>
      <c r="N3278" s="2" t="n">
        <v>1</v>
      </c>
      <c r="O3278" s="2" t="n">
        <v>11</v>
      </c>
      <c r="P3278" s="2" t="n">
        <v>0</v>
      </c>
      <c r="Q3278" s="2" t="n">
        <v>10</v>
      </c>
      <c r="R3278" s="2" t="n">
        <v>3</v>
      </c>
      <c r="S3278" s="2" t="n">
        <v>10</v>
      </c>
      <c r="T3278" s="2" t="n">
        <v>0</v>
      </c>
      <c r="U3278" s="2" t="n">
        <v>7</v>
      </c>
      <c r="V3278" s="2" t="n">
        <v>3</v>
      </c>
      <c r="W3278" s="2" t="n">
        <v>3</v>
      </c>
      <c r="X3278" s="2" t="n">
        <v>3</v>
      </c>
      <c r="Y3278" s="2" t="n">
        <v>2</v>
      </c>
      <c r="Z3278" s="2" t="n">
        <v>3</v>
      </c>
    </row>
    <row r="3279" customFormat="false" ht="15" hidden="false" customHeight="true" outlineLevel="0" collapsed="false">
      <c r="A3279" s="2" t="n">
        <v>58</v>
      </c>
      <c r="B3279" s="2" t="s">
        <v>33</v>
      </c>
      <c r="C3279" s="2" t="s">
        <v>27</v>
      </c>
      <c r="D3279" s="2" t="s">
        <v>35</v>
      </c>
      <c r="E3279" s="2" t="n">
        <v>24</v>
      </c>
      <c r="F3279" s="2" t="n">
        <v>3</v>
      </c>
      <c r="G3279" s="2" t="s">
        <v>38</v>
      </c>
      <c r="H3279" s="2" t="n">
        <v>3278</v>
      </c>
      <c r="I3279" s="2" t="s">
        <v>30</v>
      </c>
      <c r="J3279" s="2" t="n">
        <v>2</v>
      </c>
      <c r="K3279" s="2" t="s">
        <v>36</v>
      </c>
      <c r="L3279" s="2" t="s">
        <v>37</v>
      </c>
      <c r="M3279" s="2" t="n">
        <v>43170</v>
      </c>
      <c r="N3279" s="2" t="n">
        <v>7</v>
      </c>
      <c r="O3279" s="2" t="n">
        <v>17</v>
      </c>
      <c r="P3279" s="2" t="n">
        <v>0</v>
      </c>
      <c r="Q3279" s="2" t="n">
        <v>40</v>
      </c>
      <c r="R3279" s="2" t="n">
        <v>2</v>
      </c>
      <c r="S3279" s="2" t="n">
        <v>31</v>
      </c>
      <c r="T3279" s="2" t="n">
        <v>13</v>
      </c>
      <c r="U3279" s="2" t="n">
        <v>8</v>
      </c>
      <c r="V3279" s="2" t="n">
        <v>4</v>
      </c>
      <c r="W3279" s="2" t="n">
        <v>2</v>
      </c>
      <c r="X3279" s="2" t="n">
        <v>3</v>
      </c>
      <c r="Y3279" s="2" t="n">
        <v>3</v>
      </c>
      <c r="Z3279" s="2" t="n">
        <v>3</v>
      </c>
    </row>
    <row r="3280" customFormat="false" ht="15" hidden="false" customHeight="true" outlineLevel="0" collapsed="false">
      <c r="A3280" s="2" t="n">
        <v>35</v>
      </c>
      <c r="B3280" s="2" t="s">
        <v>26</v>
      </c>
      <c r="C3280" s="2" t="s">
        <v>27</v>
      </c>
      <c r="D3280" s="2" t="s">
        <v>28</v>
      </c>
      <c r="E3280" s="2" t="n">
        <v>10</v>
      </c>
      <c r="F3280" s="2" t="n">
        <v>4</v>
      </c>
      <c r="G3280" s="2" t="s">
        <v>50</v>
      </c>
      <c r="H3280" s="2" t="n">
        <v>3279</v>
      </c>
      <c r="I3280" s="2" t="s">
        <v>30</v>
      </c>
      <c r="J3280" s="2" t="n">
        <v>1</v>
      </c>
      <c r="K3280" s="2" t="s">
        <v>36</v>
      </c>
      <c r="L3280" s="2" t="s">
        <v>37</v>
      </c>
      <c r="M3280" s="2" t="n">
        <v>26320</v>
      </c>
      <c r="N3280" s="2" t="n">
        <v>3</v>
      </c>
      <c r="O3280" s="2" t="n">
        <v>13</v>
      </c>
      <c r="P3280" s="2" t="n">
        <v>3</v>
      </c>
      <c r="Q3280" s="2" t="n">
        <v>7</v>
      </c>
      <c r="R3280" s="2" t="n">
        <v>3</v>
      </c>
      <c r="S3280" s="2" t="n">
        <v>2</v>
      </c>
      <c r="T3280" s="2" t="n">
        <v>2</v>
      </c>
      <c r="U3280" s="2" t="n">
        <v>2</v>
      </c>
      <c r="V3280" s="2" t="n">
        <v>4</v>
      </c>
      <c r="W3280" s="2" t="n">
        <v>3</v>
      </c>
      <c r="X3280" s="2" t="n">
        <v>3</v>
      </c>
      <c r="Y3280" s="2" t="n">
        <v>4</v>
      </c>
      <c r="Z3280" s="2" t="n">
        <v>3</v>
      </c>
    </row>
    <row r="3281" customFormat="false" ht="15" hidden="false" customHeight="true" outlineLevel="0" collapsed="false">
      <c r="A3281" s="2" t="n">
        <v>42</v>
      </c>
      <c r="B3281" s="2" t="s">
        <v>26</v>
      </c>
      <c r="C3281" s="2" t="s">
        <v>27</v>
      </c>
      <c r="D3281" s="2" t="s">
        <v>28</v>
      </c>
      <c r="E3281" s="2" t="n">
        <v>15</v>
      </c>
      <c r="F3281" s="2" t="n">
        <v>1</v>
      </c>
      <c r="G3281" s="2" t="s">
        <v>50</v>
      </c>
      <c r="H3281" s="2" t="n">
        <v>3280</v>
      </c>
      <c r="I3281" s="2" t="s">
        <v>39</v>
      </c>
      <c r="J3281" s="2" t="n">
        <v>2</v>
      </c>
      <c r="K3281" s="2" t="s">
        <v>45</v>
      </c>
      <c r="L3281" s="2" t="s">
        <v>32</v>
      </c>
      <c r="M3281" s="2" t="n">
        <v>46680</v>
      </c>
      <c r="N3281" s="2" t="n">
        <v>9</v>
      </c>
      <c r="O3281" s="2" t="n">
        <v>18</v>
      </c>
      <c r="P3281" s="2" t="n">
        <v>2</v>
      </c>
      <c r="Q3281" s="2" t="n">
        <v>8</v>
      </c>
      <c r="R3281" s="2" t="n">
        <v>2</v>
      </c>
      <c r="S3281" s="2" t="n">
        <v>4</v>
      </c>
      <c r="T3281" s="2" t="n">
        <v>0</v>
      </c>
      <c r="U3281" s="2" t="n">
        <v>2</v>
      </c>
      <c r="V3281" s="2" t="n">
        <v>4</v>
      </c>
      <c r="W3281" s="2" t="n">
        <v>4</v>
      </c>
      <c r="X3281" s="2" t="n">
        <v>3</v>
      </c>
      <c r="Y3281" s="2" t="n">
        <v>3</v>
      </c>
      <c r="Z3281" s="2" t="n">
        <v>3</v>
      </c>
    </row>
    <row r="3282" customFormat="false" ht="15" hidden="false" customHeight="true" outlineLevel="0" collapsed="false">
      <c r="A3282" s="2" t="n">
        <v>28</v>
      </c>
      <c r="B3282" s="2" t="s">
        <v>33</v>
      </c>
      <c r="C3282" s="2" t="s">
        <v>27</v>
      </c>
      <c r="D3282" s="2" t="s">
        <v>35</v>
      </c>
      <c r="E3282" s="2" t="n">
        <v>19</v>
      </c>
      <c r="F3282" s="2" t="n">
        <v>4</v>
      </c>
      <c r="G3282" s="2" t="s">
        <v>43</v>
      </c>
      <c r="H3282" s="2" t="n">
        <v>3281</v>
      </c>
      <c r="I3282" s="2" t="s">
        <v>30</v>
      </c>
      <c r="J3282" s="2" t="n">
        <v>2</v>
      </c>
      <c r="K3282" s="2" t="s">
        <v>40</v>
      </c>
      <c r="L3282" s="2" t="s">
        <v>37</v>
      </c>
      <c r="M3282" s="2" t="n">
        <v>32040</v>
      </c>
      <c r="N3282" s="2" t="n">
        <v>6</v>
      </c>
      <c r="O3282" s="2" t="n">
        <v>16</v>
      </c>
      <c r="P3282" s="2" t="n">
        <v>1</v>
      </c>
      <c r="Q3282" s="2" t="n">
        <v>5</v>
      </c>
      <c r="R3282" s="2" t="n">
        <v>4</v>
      </c>
      <c r="S3282" s="2" t="n">
        <v>2</v>
      </c>
      <c r="T3282" s="2" t="n">
        <v>2</v>
      </c>
      <c r="U3282" s="2" t="n">
        <v>1</v>
      </c>
      <c r="V3282" s="2" t="n">
        <v>3</v>
      </c>
      <c r="W3282" s="2" t="n">
        <v>3</v>
      </c>
      <c r="X3282" s="2" t="n">
        <v>2</v>
      </c>
      <c r="Y3282" s="2" t="n">
        <v>2</v>
      </c>
      <c r="Z3282" s="2" t="n">
        <v>3</v>
      </c>
    </row>
    <row r="3283" customFormat="false" ht="15" hidden="false" customHeight="true" outlineLevel="0" collapsed="false">
      <c r="A3283" s="2" t="n">
        <v>36</v>
      </c>
      <c r="B3283" s="2" t="s">
        <v>26</v>
      </c>
      <c r="C3283" s="2" t="s">
        <v>27</v>
      </c>
      <c r="D3283" s="2" t="s">
        <v>35</v>
      </c>
      <c r="E3283" s="2" t="n">
        <v>2</v>
      </c>
      <c r="F3283" s="2" t="n">
        <v>3</v>
      </c>
      <c r="G3283" s="2" t="s">
        <v>29</v>
      </c>
      <c r="H3283" s="2" t="n">
        <v>3282</v>
      </c>
      <c r="I3283" s="2" t="s">
        <v>39</v>
      </c>
      <c r="J3283" s="2" t="n">
        <v>2</v>
      </c>
      <c r="K3283" s="2" t="s">
        <v>31</v>
      </c>
      <c r="L3283" s="2" t="s">
        <v>32</v>
      </c>
      <c r="M3283" s="2" t="n">
        <v>27200</v>
      </c>
      <c r="N3283" s="2" t="n">
        <v>4</v>
      </c>
      <c r="O3283" s="2" t="n">
        <v>14</v>
      </c>
      <c r="P3283" s="2" t="n">
        <v>1</v>
      </c>
      <c r="Q3283" s="2" t="n">
        <v>8</v>
      </c>
      <c r="R3283" s="2" t="n">
        <v>3</v>
      </c>
      <c r="S3283" s="2" t="n">
        <v>5</v>
      </c>
      <c r="T3283" s="2" t="n">
        <v>0</v>
      </c>
      <c r="U3283" s="2" t="n">
        <v>4</v>
      </c>
      <c r="V3283" s="2" t="n">
        <v>3</v>
      </c>
      <c r="W3283" s="2" t="n">
        <v>2</v>
      </c>
      <c r="X3283" s="2" t="n">
        <v>3</v>
      </c>
      <c r="Y3283" s="2" t="n">
        <v>3</v>
      </c>
      <c r="Z3283" s="2" t="n">
        <v>3</v>
      </c>
    </row>
    <row r="3284" customFormat="false" ht="15" hidden="false" customHeight="true" outlineLevel="0" collapsed="false">
      <c r="A3284" s="2" t="n">
        <v>32</v>
      </c>
      <c r="B3284" s="2" t="s">
        <v>26</v>
      </c>
      <c r="C3284" s="2" t="s">
        <v>27</v>
      </c>
      <c r="D3284" s="2" t="s">
        <v>35</v>
      </c>
      <c r="E3284" s="2" t="n">
        <v>3</v>
      </c>
      <c r="F3284" s="2" t="n">
        <v>1</v>
      </c>
      <c r="G3284" s="2" t="s">
        <v>43</v>
      </c>
      <c r="H3284" s="2" t="n">
        <v>3283</v>
      </c>
      <c r="I3284" s="2" t="s">
        <v>39</v>
      </c>
      <c r="J3284" s="2" t="n">
        <v>2</v>
      </c>
      <c r="K3284" s="2" t="s">
        <v>47</v>
      </c>
      <c r="L3284" s="2" t="s">
        <v>32</v>
      </c>
      <c r="M3284" s="2" t="n">
        <v>171810</v>
      </c>
      <c r="N3284" s="2" t="n">
        <v>1</v>
      </c>
      <c r="O3284" s="2" t="n">
        <v>14</v>
      </c>
      <c r="P3284" s="2" t="n">
        <v>0</v>
      </c>
      <c r="Q3284" s="2" t="n">
        <v>14</v>
      </c>
      <c r="R3284" s="2" t="n">
        <v>2</v>
      </c>
      <c r="S3284" s="2" t="n">
        <v>14</v>
      </c>
      <c r="T3284" s="2" t="n">
        <v>6</v>
      </c>
      <c r="U3284" s="2" t="n">
        <v>8</v>
      </c>
      <c r="V3284" s="2" t="n">
        <v>3</v>
      </c>
      <c r="W3284" s="2" t="n">
        <v>3</v>
      </c>
      <c r="X3284" s="2" t="n">
        <v>3</v>
      </c>
      <c r="Y3284" s="2" t="n">
        <v>2</v>
      </c>
      <c r="Z3284" s="2" t="n">
        <v>3</v>
      </c>
    </row>
    <row r="3285" customFormat="false" ht="15" hidden="false" customHeight="true" outlineLevel="0" collapsed="false">
      <c r="A3285" s="2" t="n">
        <v>40</v>
      </c>
      <c r="B3285" s="2" t="s">
        <v>26</v>
      </c>
      <c r="C3285" s="2" t="s">
        <v>34</v>
      </c>
      <c r="D3285" s="2" t="s">
        <v>28</v>
      </c>
      <c r="E3285" s="2" t="n">
        <v>9</v>
      </c>
      <c r="F3285" s="2" t="n">
        <v>3</v>
      </c>
      <c r="G3285" s="2" t="s">
        <v>50</v>
      </c>
      <c r="H3285" s="2" t="n">
        <v>3284</v>
      </c>
      <c r="I3285" s="2" t="s">
        <v>39</v>
      </c>
      <c r="J3285" s="2" t="n">
        <v>3</v>
      </c>
      <c r="K3285" s="2" t="s">
        <v>47</v>
      </c>
      <c r="L3285" s="2" t="s">
        <v>37</v>
      </c>
      <c r="M3285" s="2" t="n">
        <v>22380</v>
      </c>
      <c r="N3285" s="2" t="n">
        <v>6</v>
      </c>
      <c r="O3285" s="2" t="n">
        <v>14</v>
      </c>
      <c r="P3285" s="2" t="n">
        <v>0</v>
      </c>
      <c r="Q3285" s="2" t="n">
        <v>10</v>
      </c>
      <c r="R3285" s="2" t="n">
        <v>3</v>
      </c>
      <c r="S3285" s="2" t="n">
        <v>1</v>
      </c>
      <c r="T3285" s="2" t="n">
        <v>0</v>
      </c>
      <c r="U3285" s="2" t="n">
        <v>0</v>
      </c>
      <c r="V3285" s="2" t="n">
        <v>1</v>
      </c>
      <c r="W3285" s="2" t="n">
        <v>3</v>
      </c>
      <c r="X3285" s="2" t="n">
        <v>3</v>
      </c>
      <c r="Y3285" s="2" t="n">
        <v>3</v>
      </c>
      <c r="Z3285" s="2" t="n">
        <v>3</v>
      </c>
    </row>
    <row r="3286" customFormat="false" ht="15" hidden="false" customHeight="true" outlineLevel="0" collapsed="false">
      <c r="A3286" s="2" t="n">
        <v>30</v>
      </c>
      <c r="B3286" s="2" t="s">
        <v>26</v>
      </c>
      <c r="C3286" s="2" t="s">
        <v>27</v>
      </c>
      <c r="D3286" s="2" t="s">
        <v>35</v>
      </c>
      <c r="E3286" s="2" t="n">
        <v>7</v>
      </c>
      <c r="F3286" s="2" t="n">
        <v>3</v>
      </c>
      <c r="G3286" s="2" t="s">
        <v>51</v>
      </c>
      <c r="H3286" s="2" t="n">
        <v>3285</v>
      </c>
      <c r="I3286" s="2" t="s">
        <v>39</v>
      </c>
      <c r="J3286" s="2" t="n">
        <v>2</v>
      </c>
      <c r="K3286" s="2" t="s">
        <v>44</v>
      </c>
      <c r="L3286" s="2" t="s">
        <v>37</v>
      </c>
      <c r="M3286" s="2" t="n">
        <v>14830</v>
      </c>
      <c r="N3286" s="2" t="n">
        <v>5</v>
      </c>
      <c r="O3286" s="2" t="n">
        <v>13</v>
      </c>
      <c r="P3286" s="2" t="n">
        <v>0</v>
      </c>
      <c r="Q3286" s="2" t="n">
        <v>12</v>
      </c>
      <c r="R3286" s="2" t="n">
        <v>3</v>
      </c>
      <c r="S3286" s="2" t="n">
        <v>0</v>
      </c>
      <c r="T3286" s="2" t="n">
        <v>0</v>
      </c>
      <c r="U3286" s="2" t="n">
        <v>0</v>
      </c>
      <c r="V3286" s="2" t="n">
        <v>3</v>
      </c>
      <c r="W3286" s="2" t="n">
        <v>4</v>
      </c>
      <c r="X3286" s="2" t="n">
        <v>2</v>
      </c>
      <c r="Y3286" s="2" t="n">
        <v>3</v>
      </c>
      <c r="Z3286" s="2" t="n">
        <v>3</v>
      </c>
    </row>
    <row r="3287" customFormat="false" ht="15" hidden="false" customHeight="true" outlineLevel="0" collapsed="false">
      <c r="A3287" s="2" t="n">
        <v>45</v>
      </c>
      <c r="B3287" s="2" t="s">
        <v>26</v>
      </c>
      <c r="C3287" s="2" t="s">
        <v>27</v>
      </c>
      <c r="D3287" s="2" t="s">
        <v>35</v>
      </c>
      <c r="E3287" s="2" t="n">
        <v>10</v>
      </c>
      <c r="F3287" s="2" t="n">
        <v>4</v>
      </c>
      <c r="G3287" s="2" t="s">
        <v>29</v>
      </c>
      <c r="H3287" s="2" t="n">
        <v>3286</v>
      </c>
      <c r="I3287" s="2" t="s">
        <v>39</v>
      </c>
      <c r="J3287" s="2" t="n">
        <v>1</v>
      </c>
      <c r="K3287" s="2" t="s">
        <v>44</v>
      </c>
      <c r="L3287" s="2" t="s">
        <v>37</v>
      </c>
      <c r="M3287" s="2" t="n">
        <v>56050</v>
      </c>
      <c r="N3287" s="2" t="n">
        <v>1</v>
      </c>
      <c r="O3287" s="2" t="n">
        <v>12</v>
      </c>
      <c r="P3287" s="2" t="n">
        <v>2</v>
      </c>
      <c r="Q3287" s="2" t="n">
        <v>1</v>
      </c>
      <c r="R3287" s="2" t="n">
        <v>2</v>
      </c>
      <c r="S3287" s="2" t="n">
        <v>1</v>
      </c>
      <c r="T3287" s="2" t="n">
        <v>0</v>
      </c>
      <c r="U3287" s="2" t="n">
        <v>0</v>
      </c>
      <c r="V3287" s="2" t="n">
        <v>2</v>
      </c>
      <c r="W3287" s="2" t="n">
        <v>3</v>
      </c>
      <c r="X3287" s="2" t="n">
        <v>3</v>
      </c>
      <c r="Y3287" s="2" t="n">
        <v>3</v>
      </c>
      <c r="Z3287" s="2" t="n">
        <v>3</v>
      </c>
    </row>
    <row r="3288" customFormat="false" ht="15" hidden="false" customHeight="true" outlineLevel="0" collapsed="false">
      <c r="A3288" s="2" t="n">
        <v>42</v>
      </c>
      <c r="B3288" s="2" t="s">
        <v>26</v>
      </c>
      <c r="C3288" s="2" t="s">
        <v>27</v>
      </c>
      <c r="D3288" s="2" t="s">
        <v>35</v>
      </c>
      <c r="E3288" s="2" t="n">
        <v>20</v>
      </c>
      <c r="F3288" s="2" t="n">
        <v>2</v>
      </c>
      <c r="G3288" s="2" t="s">
        <v>43</v>
      </c>
      <c r="H3288" s="2" t="n">
        <v>3287</v>
      </c>
      <c r="I3288" s="2" t="s">
        <v>39</v>
      </c>
      <c r="J3288" s="2" t="n">
        <v>2</v>
      </c>
      <c r="K3288" s="2" t="s">
        <v>48</v>
      </c>
      <c r="L3288" s="2" t="s">
        <v>32</v>
      </c>
      <c r="M3288" s="2" t="n">
        <v>72950</v>
      </c>
      <c r="N3288" s="2" t="n">
        <v>1</v>
      </c>
      <c r="O3288" s="2" t="n">
        <v>15</v>
      </c>
      <c r="P3288" s="2" t="n">
        <v>0</v>
      </c>
      <c r="Q3288" s="2" t="n">
        <v>10</v>
      </c>
      <c r="R3288" s="2" t="n">
        <v>3</v>
      </c>
      <c r="S3288" s="2" t="n">
        <v>9</v>
      </c>
      <c r="T3288" s="2" t="n">
        <v>7</v>
      </c>
      <c r="U3288" s="2" t="n">
        <v>8</v>
      </c>
      <c r="V3288" s="2" t="n">
        <v>2</v>
      </c>
      <c r="W3288" s="2" t="n">
        <v>2</v>
      </c>
      <c r="X3288" s="2" t="n">
        <v>2</v>
      </c>
      <c r="Y3288" s="2" t="n">
        <v>3</v>
      </c>
      <c r="Z3288" s="2" t="n">
        <v>3</v>
      </c>
    </row>
    <row r="3289" customFormat="false" ht="15" hidden="false" customHeight="true" outlineLevel="0" collapsed="false">
      <c r="A3289" s="2" t="n">
        <v>38</v>
      </c>
      <c r="B3289" s="2" t="s">
        <v>26</v>
      </c>
      <c r="C3289" s="2" t="s">
        <v>34</v>
      </c>
      <c r="D3289" s="2" t="s">
        <v>28</v>
      </c>
      <c r="E3289" s="2" t="n">
        <v>4</v>
      </c>
      <c r="F3289" s="2" t="n">
        <v>3</v>
      </c>
      <c r="G3289" s="2" t="s">
        <v>43</v>
      </c>
      <c r="H3289" s="2" t="n">
        <v>3288</v>
      </c>
      <c r="I3289" s="2" t="s">
        <v>39</v>
      </c>
      <c r="J3289" s="2" t="n">
        <v>2</v>
      </c>
      <c r="K3289" s="2" t="s">
        <v>36</v>
      </c>
      <c r="L3289" s="2" t="s">
        <v>46</v>
      </c>
      <c r="M3289" s="2" t="n">
        <v>23060</v>
      </c>
      <c r="N3289" s="2" t="n">
        <v>2</v>
      </c>
      <c r="O3289" s="2" t="n">
        <v>19</v>
      </c>
      <c r="P3289" s="2" t="n">
        <v>1</v>
      </c>
      <c r="Q3289" s="2" t="n">
        <v>13</v>
      </c>
      <c r="R3289" s="2" t="n">
        <v>5</v>
      </c>
      <c r="S3289" s="2" t="n">
        <v>4</v>
      </c>
      <c r="T3289" s="2" t="n">
        <v>1</v>
      </c>
      <c r="U3289" s="2" t="n">
        <v>2</v>
      </c>
      <c r="V3289" s="2" t="n">
        <v>1</v>
      </c>
      <c r="W3289" s="2" t="n">
        <v>1</v>
      </c>
      <c r="X3289" s="2" t="n">
        <v>2</v>
      </c>
      <c r="Y3289" s="2" t="n">
        <v>3</v>
      </c>
      <c r="Z3289" s="2" t="n">
        <v>3</v>
      </c>
    </row>
    <row r="3290" customFormat="false" ht="15" hidden="false" customHeight="true" outlineLevel="0" collapsed="false">
      <c r="A3290" s="2" t="n">
        <v>34</v>
      </c>
      <c r="B3290" s="2" t="s">
        <v>26</v>
      </c>
      <c r="C3290" s="2" t="s">
        <v>34</v>
      </c>
      <c r="D3290" s="2" t="s">
        <v>35</v>
      </c>
      <c r="E3290" s="2" t="n">
        <v>7</v>
      </c>
      <c r="F3290" s="2" t="n">
        <v>4</v>
      </c>
      <c r="G3290" s="2" t="s">
        <v>29</v>
      </c>
      <c r="H3290" s="2" t="n">
        <v>3289</v>
      </c>
      <c r="I3290" s="2" t="s">
        <v>39</v>
      </c>
      <c r="J3290" s="2" t="n">
        <v>3</v>
      </c>
      <c r="K3290" s="2" t="s">
        <v>45</v>
      </c>
      <c r="L3290" s="2" t="s">
        <v>37</v>
      </c>
      <c r="M3290" s="2" t="n">
        <v>23480</v>
      </c>
      <c r="N3290" s="2" t="n">
        <v>1</v>
      </c>
      <c r="O3290" s="2" t="n">
        <v>14</v>
      </c>
      <c r="P3290" s="2" t="n">
        <v>1</v>
      </c>
      <c r="Q3290" s="2" t="n">
        <v>6</v>
      </c>
      <c r="R3290" s="2" t="n">
        <v>3</v>
      </c>
      <c r="S3290" s="2" t="n">
        <v>5</v>
      </c>
      <c r="T3290" s="2" t="n">
        <v>1</v>
      </c>
      <c r="U3290" s="2" t="n">
        <v>3</v>
      </c>
      <c r="V3290" s="2" t="n">
        <v>3</v>
      </c>
      <c r="W3290" s="2" t="n">
        <v>4</v>
      </c>
      <c r="X3290" s="2" t="n">
        <v>3</v>
      </c>
      <c r="Y3290" s="2" t="n">
        <v>3</v>
      </c>
      <c r="Z3290" s="2" t="n">
        <v>3</v>
      </c>
    </row>
    <row r="3291" customFormat="false" ht="15" hidden="false" customHeight="true" outlineLevel="0" collapsed="false">
      <c r="A3291" s="2" t="n">
        <v>49</v>
      </c>
      <c r="B3291" s="2" t="s">
        <v>33</v>
      </c>
      <c r="C3291" s="2" t="s">
        <v>27</v>
      </c>
      <c r="D3291" s="2" t="s">
        <v>28</v>
      </c>
      <c r="E3291" s="2" t="n">
        <v>7</v>
      </c>
      <c r="F3291" s="2" t="n">
        <v>2</v>
      </c>
      <c r="G3291" s="2" t="s">
        <v>29</v>
      </c>
      <c r="H3291" s="2" t="n">
        <v>3290</v>
      </c>
      <c r="I3291" s="2" t="s">
        <v>30</v>
      </c>
      <c r="J3291" s="2" t="n">
        <v>2</v>
      </c>
      <c r="K3291" s="2" t="s">
        <v>31</v>
      </c>
      <c r="L3291" s="2" t="s">
        <v>32</v>
      </c>
      <c r="M3291" s="2" t="n">
        <v>89980</v>
      </c>
      <c r="N3291" s="2" t="n">
        <v>1</v>
      </c>
      <c r="O3291" s="2" t="n">
        <v>14</v>
      </c>
      <c r="P3291" s="2" t="n">
        <v>2</v>
      </c>
      <c r="Q3291" s="2" t="n">
        <v>9</v>
      </c>
      <c r="R3291" s="2" t="n">
        <v>2</v>
      </c>
      <c r="S3291" s="2" t="n">
        <v>9</v>
      </c>
      <c r="T3291" s="2" t="n">
        <v>7</v>
      </c>
      <c r="U3291" s="2" t="n">
        <v>7</v>
      </c>
      <c r="V3291" s="2" t="n">
        <v>3</v>
      </c>
      <c r="W3291" s="2" t="n">
        <v>4</v>
      </c>
      <c r="X3291" s="2" t="n">
        <v>4</v>
      </c>
      <c r="Y3291" s="2" t="n">
        <v>4</v>
      </c>
      <c r="Z3291" s="2" t="n">
        <v>3</v>
      </c>
    </row>
    <row r="3292" customFormat="false" ht="15" hidden="false" customHeight="true" outlineLevel="0" collapsed="false">
      <c r="A3292" s="2" t="n">
        <v>55</v>
      </c>
      <c r="B3292" s="2" t="s">
        <v>33</v>
      </c>
      <c r="C3292" s="2" t="s">
        <v>27</v>
      </c>
      <c r="D3292" s="2" t="s">
        <v>42</v>
      </c>
      <c r="E3292" s="2" t="n">
        <v>16</v>
      </c>
      <c r="F3292" s="2" t="n">
        <v>3</v>
      </c>
      <c r="G3292" s="2" t="s">
        <v>51</v>
      </c>
      <c r="H3292" s="2" t="n">
        <v>3291</v>
      </c>
      <c r="I3292" s="2" t="s">
        <v>39</v>
      </c>
      <c r="J3292" s="2" t="n">
        <v>4</v>
      </c>
      <c r="K3292" s="2" t="s">
        <v>47</v>
      </c>
      <c r="L3292" s="2" t="s">
        <v>37</v>
      </c>
      <c r="M3292" s="2" t="n">
        <v>43190</v>
      </c>
      <c r="N3292" s="2" t="n">
        <v>4</v>
      </c>
      <c r="O3292" s="2" t="n">
        <v>11</v>
      </c>
      <c r="P3292" s="2" t="n">
        <v>0</v>
      </c>
      <c r="Q3292" s="2" t="n">
        <v>12</v>
      </c>
      <c r="R3292" s="2" t="n">
        <v>3</v>
      </c>
      <c r="S3292" s="2" t="n">
        <v>9</v>
      </c>
      <c r="T3292" s="2" t="n">
        <v>7</v>
      </c>
      <c r="U3292" s="2" t="n">
        <v>3</v>
      </c>
      <c r="V3292" s="2" t="n">
        <v>3</v>
      </c>
      <c r="W3292" s="2" t="n">
        <v>4</v>
      </c>
      <c r="X3292" s="2" t="n">
        <v>2</v>
      </c>
      <c r="Y3292" s="2" t="n">
        <v>4</v>
      </c>
      <c r="Z3292" s="2" t="n">
        <v>3</v>
      </c>
    </row>
    <row r="3293" customFormat="false" ht="15" hidden="false" customHeight="true" outlineLevel="0" collapsed="false">
      <c r="A3293" s="2" t="n">
        <v>43</v>
      </c>
      <c r="B3293" s="2" t="s">
        <v>26</v>
      </c>
      <c r="C3293" s="2" t="s">
        <v>27</v>
      </c>
      <c r="D3293" s="2" t="s">
        <v>35</v>
      </c>
      <c r="E3293" s="2" t="n">
        <v>25</v>
      </c>
      <c r="F3293" s="2" t="n">
        <v>2</v>
      </c>
      <c r="G3293" s="2" t="s">
        <v>43</v>
      </c>
      <c r="H3293" s="2" t="n">
        <v>3292</v>
      </c>
      <c r="I3293" s="2" t="s">
        <v>39</v>
      </c>
      <c r="J3293" s="2" t="n">
        <v>2</v>
      </c>
      <c r="K3293" s="2" t="s">
        <v>31</v>
      </c>
      <c r="L3293" s="2" t="s">
        <v>32</v>
      </c>
      <c r="M3293" s="2" t="n">
        <v>61320</v>
      </c>
      <c r="N3293" s="2" t="n">
        <v>6</v>
      </c>
      <c r="O3293" s="2" t="n">
        <v>13</v>
      </c>
      <c r="P3293" s="2" t="n">
        <v>0</v>
      </c>
      <c r="Q3293" s="2" t="n">
        <v>22</v>
      </c>
      <c r="R3293" s="2" t="n">
        <v>3</v>
      </c>
      <c r="S3293" s="2" t="n">
        <v>4</v>
      </c>
      <c r="T3293" s="2" t="n">
        <v>1</v>
      </c>
      <c r="U3293" s="2" t="n">
        <v>0</v>
      </c>
      <c r="V3293" s="2" t="n">
        <v>2</v>
      </c>
      <c r="W3293" s="2" t="n">
        <v>1</v>
      </c>
      <c r="X3293" s="2" t="n">
        <v>3</v>
      </c>
      <c r="Y3293" s="2" t="n">
        <v>2</v>
      </c>
      <c r="Z3293" s="2" t="n">
        <v>3</v>
      </c>
    </row>
    <row r="3294" customFormat="false" ht="15" hidden="false" customHeight="true" outlineLevel="0" collapsed="false">
      <c r="A3294" s="2" t="n">
        <v>27</v>
      </c>
      <c r="B3294" s="2" t="s">
        <v>26</v>
      </c>
      <c r="C3294" s="2" t="s">
        <v>27</v>
      </c>
      <c r="D3294" s="2" t="s">
        <v>28</v>
      </c>
      <c r="E3294" s="2" t="n">
        <v>2</v>
      </c>
      <c r="F3294" s="2" t="n">
        <v>4</v>
      </c>
      <c r="G3294" s="2" t="s">
        <v>43</v>
      </c>
      <c r="H3294" s="2" t="n">
        <v>3293</v>
      </c>
      <c r="I3294" s="2" t="s">
        <v>39</v>
      </c>
      <c r="J3294" s="2" t="n">
        <v>2</v>
      </c>
      <c r="K3294" s="2" t="s">
        <v>49</v>
      </c>
      <c r="L3294" s="2" t="s">
        <v>46</v>
      </c>
      <c r="M3294" s="2" t="n">
        <v>33460</v>
      </c>
      <c r="N3294" s="2" t="n">
        <v>1</v>
      </c>
      <c r="O3294" s="2" t="n">
        <v>21</v>
      </c>
      <c r="P3294" s="2" t="n">
        <v>1</v>
      </c>
      <c r="Q3294" s="2" t="n">
        <v>9</v>
      </c>
      <c r="R3294" s="2" t="n">
        <v>2</v>
      </c>
      <c r="S3294" s="2" t="n">
        <v>9</v>
      </c>
      <c r="T3294" s="2" t="n">
        <v>0</v>
      </c>
      <c r="U3294" s="2" t="n">
        <v>8</v>
      </c>
      <c r="V3294" s="2" t="n">
        <v>3</v>
      </c>
      <c r="W3294" s="2" t="n">
        <v>4</v>
      </c>
      <c r="X3294" s="2" t="n">
        <v>3</v>
      </c>
      <c r="Y3294" s="2" t="n">
        <v>2</v>
      </c>
      <c r="Z3294" s="2" t="n">
        <v>4</v>
      </c>
    </row>
    <row r="3295" customFormat="false" ht="15" hidden="false" customHeight="true" outlineLevel="0" collapsed="false">
      <c r="A3295" s="2" t="n">
        <v>35</v>
      </c>
      <c r="B3295" s="2" t="s">
        <v>26</v>
      </c>
      <c r="C3295" s="2" t="s">
        <v>27</v>
      </c>
      <c r="D3295" s="2" t="s">
        <v>35</v>
      </c>
      <c r="E3295" s="2" t="n">
        <v>1</v>
      </c>
      <c r="F3295" s="2" t="n">
        <v>3</v>
      </c>
      <c r="G3295" s="2" t="s">
        <v>43</v>
      </c>
      <c r="H3295" s="2" t="n">
        <v>3294</v>
      </c>
      <c r="I3295" s="2" t="s">
        <v>39</v>
      </c>
      <c r="J3295" s="2" t="n">
        <v>1</v>
      </c>
      <c r="K3295" s="2" t="s">
        <v>44</v>
      </c>
      <c r="L3295" s="2" t="s">
        <v>37</v>
      </c>
      <c r="M3295" s="2" t="n">
        <v>108550</v>
      </c>
      <c r="N3295" s="2" t="n">
        <v>3</v>
      </c>
      <c r="O3295" s="2" t="n">
        <v>13</v>
      </c>
      <c r="P3295" s="2" t="n">
        <v>1</v>
      </c>
      <c r="Q3295" s="2" t="n">
        <v>17</v>
      </c>
      <c r="R3295" s="2" t="n">
        <v>2</v>
      </c>
      <c r="S3295" s="2" t="n">
        <v>8</v>
      </c>
      <c r="T3295" s="2" t="n">
        <v>1</v>
      </c>
      <c r="U3295" s="2" t="n">
        <v>6</v>
      </c>
      <c r="V3295" s="2" t="n">
        <v>3</v>
      </c>
      <c r="W3295" s="2" t="n">
        <v>3</v>
      </c>
      <c r="X3295" s="2" t="n">
        <v>4</v>
      </c>
      <c r="Y3295" s="2" t="n">
        <v>3</v>
      </c>
      <c r="Z3295" s="2" t="n">
        <v>3</v>
      </c>
    </row>
    <row r="3296" customFormat="false" ht="15" hidden="false" customHeight="true" outlineLevel="0" collapsed="false">
      <c r="A3296" s="2" t="n">
        <v>28</v>
      </c>
      <c r="B3296" s="2" t="s">
        <v>26</v>
      </c>
      <c r="C3296" s="2" t="s">
        <v>27</v>
      </c>
      <c r="D3296" s="2" t="s">
        <v>28</v>
      </c>
      <c r="E3296" s="2" t="n">
        <v>1</v>
      </c>
      <c r="F3296" s="2" t="n">
        <v>2</v>
      </c>
      <c r="G3296" s="2" t="s">
        <v>51</v>
      </c>
      <c r="H3296" s="2" t="n">
        <v>3295</v>
      </c>
      <c r="I3296" s="2" t="s">
        <v>30</v>
      </c>
      <c r="J3296" s="2" t="n">
        <v>1</v>
      </c>
      <c r="K3296" s="2" t="s">
        <v>40</v>
      </c>
      <c r="L3296" s="2" t="s">
        <v>32</v>
      </c>
      <c r="M3296" s="2" t="n">
        <v>22310</v>
      </c>
      <c r="N3296" s="2" t="n">
        <v>1</v>
      </c>
      <c r="O3296" s="2" t="n">
        <v>12</v>
      </c>
      <c r="P3296" s="2" t="n">
        <v>0</v>
      </c>
      <c r="Q3296" s="2" t="n">
        <v>8</v>
      </c>
      <c r="R3296" s="2" t="n">
        <v>3</v>
      </c>
      <c r="S3296" s="2" t="n">
        <v>8</v>
      </c>
      <c r="T3296" s="2" t="n">
        <v>7</v>
      </c>
      <c r="U3296" s="2" t="n">
        <v>5</v>
      </c>
      <c r="V3296" s="2" t="n">
        <v>2</v>
      </c>
      <c r="W3296" s="2" t="n">
        <v>2</v>
      </c>
      <c r="X3296" s="2" t="n">
        <v>3</v>
      </c>
      <c r="Y3296" s="2" t="n">
        <v>2</v>
      </c>
      <c r="Z3296" s="2" t="n">
        <v>3</v>
      </c>
    </row>
    <row r="3297" customFormat="false" ht="15" hidden="false" customHeight="true" outlineLevel="0" collapsed="false">
      <c r="A3297" s="2" t="n">
        <v>34</v>
      </c>
      <c r="B3297" s="2" t="s">
        <v>26</v>
      </c>
      <c r="C3297" s="2" t="s">
        <v>27</v>
      </c>
      <c r="D3297" s="2" t="s">
        <v>28</v>
      </c>
      <c r="E3297" s="2" t="n">
        <v>2</v>
      </c>
      <c r="F3297" s="2" t="n">
        <v>5</v>
      </c>
      <c r="G3297" s="2" t="s">
        <v>29</v>
      </c>
      <c r="H3297" s="2" t="n">
        <v>3296</v>
      </c>
      <c r="I3297" s="2" t="s">
        <v>39</v>
      </c>
      <c r="J3297" s="2" t="n">
        <v>4</v>
      </c>
      <c r="K3297" s="2" t="s">
        <v>36</v>
      </c>
      <c r="L3297" s="2" t="s">
        <v>32</v>
      </c>
      <c r="M3297" s="2" t="n">
        <v>23230</v>
      </c>
      <c r="N3297" s="2" t="n">
        <v>0</v>
      </c>
      <c r="O3297" s="2" t="n">
        <v>17</v>
      </c>
      <c r="P3297" s="2" t="n">
        <v>0</v>
      </c>
      <c r="Q3297" s="2" t="n">
        <v>4</v>
      </c>
      <c r="R3297" s="2" t="n">
        <v>2</v>
      </c>
      <c r="S3297" s="2" t="n">
        <v>3</v>
      </c>
      <c r="T3297" s="2" t="n">
        <v>0</v>
      </c>
      <c r="U3297" s="2" t="n">
        <v>2</v>
      </c>
      <c r="V3297" s="2" t="n">
        <v>3</v>
      </c>
      <c r="W3297" s="2"/>
      <c r="X3297" s="2" t="n">
        <v>1</v>
      </c>
      <c r="Y3297" s="2" t="n">
        <v>3</v>
      </c>
      <c r="Z3297" s="2" t="n">
        <v>3</v>
      </c>
    </row>
    <row r="3298" customFormat="false" ht="15" hidden="false" customHeight="true" outlineLevel="0" collapsed="false">
      <c r="A3298" s="2" t="n">
        <v>26</v>
      </c>
      <c r="B3298" s="2" t="s">
        <v>33</v>
      </c>
      <c r="C3298" s="2" t="s">
        <v>34</v>
      </c>
      <c r="D3298" s="2" t="s">
        <v>35</v>
      </c>
      <c r="E3298" s="2" t="n">
        <v>22</v>
      </c>
      <c r="F3298" s="2" t="n">
        <v>4</v>
      </c>
      <c r="G3298" s="2" t="s">
        <v>38</v>
      </c>
      <c r="H3298" s="2" t="n">
        <v>3297</v>
      </c>
      <c r="I3298" s="2" t="s">
        <v>30</v>
      </c>
      <c r="J3298" s="2" t="n">
        <v>1</v>
      </c>
      <c r="K3298" s="2" t="s">
        <v>40</v>
      </c>
      <c r="L3298" s="2" t="s">
        <v>32</v>
      </c>
      <c r="M3298" s="2" t="n">
        <v>20240</v>
      </c>
      <c r="N3298" s="2" t="n">
        <v>1</v>
      </c>
      <c r="O3298" s="2" t="n">
        <v>23</v>
      </c>
      <c r="P3298" s="2" t="n">
        <v>0</v>
      </c>
      <c r="Q3298" s="2" t="n">
        <v>8</v>
      </c>
      <c r="R3298" s="2" t="n">
        <v>2</v>
      </c>
      <c r="S3298" s="2" t="n">
        <v>8</v>
      </c>
      <c r="T3298" s="2" t="n">
        <v>1</v>
      </c>
      <c r="U3298" s="2" t="n">
        <v>7</v>
      </c>
      <c r="V3298" s="2" t="n">
        <v>3</v>
      </c>
      <c r="W3298" s="2" t="n">
        <v>3</v>
      </c>
      <c r="X3298" s="2" t="n">
        <v>3</v>
      </c>
      <c r="Y3298" s="2" t="n">
        <v>3</v>
      </c>
      <c r="Z3298" s="2" t="n">
        <v>4</v>
      </c>
    </row>
    <row r="3299" customFormat="false" ht="15" hidden="false" customHeight="true" outlineLevel="0" collapsed="false">
      <c r="A3299" s="2" t="n">
        <v>27</v>
      </c>
      <c r="B3299" s="2" t="s">
        <v>26</v>
      </c>
      <c r="C3299" s="2" t="s">
        <v>41</v>
      </c>
      <c r="D3299" s="2" t="s">
        <v>28</v>
      </c>
      <c r="E3299" s="2" t="n">
        <v>1</v>
      </c>
      <c r="F3299" s="2" t="n">
        <v>3</v>
      </c>
      <c r="G3299" s="2" t="s">
        <v>51</v>
      </c>
      <c r="H3299" s="2" t="n">
        <v>3298</v>
      </c>
      <c r="I3299" s="2" t="s">
        <v>30</v>
      </c>
      <c r="J3299" s="2" t="n">
        <v>1</v>
      </c>
      <c r="K3299" s="2" t="s">
        <v>40</v>
      </c>
      <c r="L3299" s="2" t="s">
        <v>32</v>
      </c>
      <c r="M3299" s="2" t="n">
        <v>27130</v>
      </c>
      <c r="N3299" s="2" t="n">
        <v>1</v>
      </c>
      <c r="O3299" s="2" t="n">
        <v>11</v>
      </c>
      <c r="P3299" s="2" t="n">
        <v>0</v>
      </c>
      <c r="Q3299" s="2" t="n">
        <v>0</v>
      </c>
      <c r="R3299" s="2" t="n">
        <v>2</v>
      </c>
      <c r="S3299" s="2" t="n">
        <v>0</v>
      </c>
      <c r="T3299" s="2" t="n">
        <v>0</v>
      </c>
      <c r="U3299" s="2" t="n">
        <v>0</v>
      </c>
      <c r="V3299" s="2" t="n">
        <v>4</v>
      </c>
      <c r="W3299" s="2" t="n">
        <v>4</v>
      </c>
      <c r="X3299" s="2" t="n">
        <v>2</v>
      </c>
      <c r="Y3299" s="2" t="n">
        <v>3</v>
      </c>
      <c r="Z3299" s="2" t="n">
        <v>3</v>
      </c>
    </row>
    <row r="3300" customFormat="false" ht="15" hidden="false" customHeight="true" outlineLevel="0" collapsed="false">
      <c r="A3300" s="2" t="n">
        <v>51</v>
      </c>
      <c r="B3300" s="2" t="s">
        <v>26</v>
      </c>
      <c r="C3300" s="2" t="s">
        <v>27</v>
      </c>
      <c r="D3300" s="2" t="s">
        <v>28</v>
      </c>
      <c r="E3300" s="2" t="n">
        <v>16</v>
      </c>
      <c r="F3300" s="2" t="n">
        <v>3</v>
      </c>
      <c r="G3300" s="2" t="s">
        <v>43</v>
      </c>
      <c r="H3300" s="2" t="n">
        <v>3299</v>
      </c>
      <c r="I3300" s="2" t="s">
        <v>39</v>
      </c>
      <c r="J3300" s="2" t="n">
        <v>3</v>
      </c>
      <c r="K3300" s="2" t="s">
        <v>36</v>
      </c>
      <c r="L3300" s="2" t="s">
        <v>32</v>
      </c>
      <c r="M3300" s="2" t="n">
        <v>94390</v>
      </c>
      <c r="N3300" s="2" t="n">
        <v>2</v>
      </c>
      <c r="O3300" s="2" t="n">
        <v>15</v>
      </c>
      <c r="P3300" s="2" t="n">
        <v>3</v>
      </c>
      <c r="Q3300" s="2" t="n">
        <v>29</v>
      </c>
      <c r="R3300" s="2" t="n">
        <v>0</v>
      </c>
      <c r="S3300" s="2" t="n">
        <v>20</v>
      </c>
      <c r="T3300" s="2" t="n">
        <v>4</v>
      </c>
      <c r="U3300" s="2" t="n">
        <v>17</v>
      </c>
      <c r="V3300" s="2" t="n">
        <v>1</v>
      </c>
      <c r="W3300" s="2" t="n">
        <v>3</v>
      </c>
      <c r="X3300" s="2" t="n">
        <v>2</v>
      </c>
      <c r="Y3300" s="2" t="n">
        <v>3</v>
      </c>
      <c r="Z3300" s="2" t="n">
        <v>3</v>
      </c>
    </row>
    <row r="3301" customFormat="false" ht="15" hidden="false" customHeight="true" outlineLevel="0" collapsed="false">
      <c r="A3301" s="2" t="n">
        <v>44</v>
      </c>
      <c r="B3301" s="2" t="s">
        <v>26</v>
      </c>
      <c r="C3301" s="2" t="s">
        <v>27</v>
      </c>
      <c r="D3301" s="2" t="s">
        <v>28</v>
      </c>
      <c r="E3301" s="2" t="n">
        <v>24</v>
      </c>
      <c r="F3301" s="2" t="n">
        <v>5</v>
      </c>
      <c r="G3301" s="2" t="s">
        <v>43</v>
      </c>
      <c r="H3301" s="2" t="n">
        <v>3300</v>
      </c>
      <c r="I3301" s="2" t="s">
        <v>30</v>
      </c>
      <c r="J3301" s="2" t="n">
        <v>1</v>
      </c>
      <c r="K3301" s="2" t="s">
        <v>40</v>
      </c>
      <c r="L3301" s="2" t="s">
        <v>37</v>
      </c>
      <c r="M3301" s="2" t="n">
        <v>25660</v>
      </c>
      <c r="N3301" s="2" t="n">
        <v>9</v>
      </c>
      <c r="O3301" s="2" t="n">
        <v>11</v>
      </c>
      <c r="P3301" s="2" t="n">
        <v>1</v>
      </c>
      <c r="Q3301" s="2" t="n">
        <v>10</v>
      </c>
      <c r="R3301" s="2" t="n">
        <v>3</v>
      </c>
      <c r="S3301" s="2" t="n">
        <v>5</v>
      </c>
      <c r="T3301" s="2" t="n">
        <v>2</v>
      </c>
      <c r="U3301" s="2" t="n">
        <v>3</v>
      </c>
      <c r="V3301" s="2" t="n">
        <v>4</v>
      </c>
      <c r="W3301" s="2" t="n">
        <v>2</v>
      </c>
      <c r="X3301" s="2" t="n">
        <v>2</v>
      </c>
      <c r="Y3301" s="2" t="n">
        <v>3</v>
      </c>
      <c r="Z3301" s="2" t="n">
        <v>3</v>
      </c>
    </row>
    <row r="3302" customFormat="false" ht="15" hidden="false" customHeight="true" outlineLevel="0" collapsed="false">
      <c r="A3302" s="2" t="n">
        <v>25</v>
      </c>
      <c r="B3302" s="2" t="s">
        <v>26</v>
      </c>
      <c r="C3302" s="2" t="s">
        <v>27</v>
      </c>
      <c r="D3302" s="2" t="s">
        <v>35</v>
      </c>
      <c r="E3302" s="2" t="n">
        <v>17</v>
      </c>
      <c r="F3302" s="2" t="n">
        <v>3</v>
      </c>
      <c r="G3302" s="2" t="s">
        <v>43</v>
      </c>
      <c r="H3302" s="2" t="n">
        <v>3301</v>
      </c>
      <c r="I3302" s="2" t="s">
        <v>39</v>
      </c>
      <c r="J3302" s="2" t="n">
        <v>1</v>
      </c>
      <c r="K3302" s="2" t="s">
        <v>45</v>
      </c>
      <c r="L3302" s="2" t="s">
        <v>37</v>
      </c>
      <c r="M3302" s="2" t="n">
        <v>199260</v>
      </c>
      <c r="N3302" s="2" t="n">
        <v>7</v>
      </c>
      <c r="O3302" s="2" t="n">
        <v>11</v>
      </c>
      <c r="P3302" s="2" t="n">
        <v>3</v>
      </c>
      <c r="Q3302" s="2" t="n">
        <v>6</v>
      </c>
      <c r="R3302" s="2" t="n">
        <v>5</v>
      </c>
      <c r="S3302" s="2" t="n">
        <v>4</v>
      </c>
      <c r="T3302" s="2" t="n">
        <v>0</v>
      </c>
      <c r="U3302" s="2" t="n">
        <v>1</v>
      </c>
      <c r="V3302" s="2" t="n">
        <v>1</v>
      </c>
      <c r="W3302" s="2" t="n">
        <v>1</v>
      </c>
      <c r="X3302" s="2" t="n">
        <v>2</v>
      </c>
      <c r="Y3302" s="2" t="n">
        <v>4</v>
      </c>
      <c r="Z3302" s="2" t="n">
        <v>3</v>
      </c>
    </row>
    <row r="3303" customFormat="false" ht="15" hidden="false" customHeight="true" outlineLevel="0" collapsed="false">
      <c r="A3303" s="2" t="n">
        <v>33</v>
      </c>
      <c r="B3303" s="2" t="s">
        <v>26</v>
      </c>
      <c r="C3303" s="2" t="s">
        <v>27</v>
      </c>
      <c r="D3303" s="2" t="s">
        <v>35</v>
      </c>
      <c r="E3303" s="2" t="n">
        <v>8</v>
      </c>
      <c r="F3303" s="2" t="n">
        <v>4</v>
      </c>
      <c r="G3303" s="2" t="s">
        <v>29</v>
      </c>
      <c r="H3303" s="2" t="n">
        <v>3302</v>
      </c>
      <c r="I3303" s="2" t="s">
        <v>39</v>
      </c>
      <c r="J3303" s="2" t="n">
        <v>3</v>
      </c>
      <c r="K3303" s="2" t="s">
        <v>45</v>
      </c>
      <c r="L3303" s="2" t="s">
        <v>46</v>
      </c>
      <c r="M3303" s="2" t="n">
        <v>24510</v>
      </c>
      <c r="N3303" s="2" t="n">
        <v>1</v>
      </c>
      <c r="O3303" s="2" t="n">
        <v>13</v>
      </c>
      <c r="P3303" s="2" t="n">
        <v>1</v>
      </c>
      <c r="Q3303" s="2" t="n">
        <v>9</v>
      </c>
      <c r="R3303" s="2" t="n">
        <v>3</v>
      </c>
      <c r="S3303" s="2" t="n">
        <v>9</v>
      </c>
      <c r="T3303" s="2" t="n">
        <v>0</v>
      </c>
      <c r="U3303" s="2" t="n">
        <v>8</v>
      </c>
      <c r="V3303" s="2" t="n">
        <v>1</v>
      </c>
      <c r="W3303" s="2" t="n">
        <v>1</v>
      </c>
      <c r="X3303" s="2" t="n">
        <v>3</v>
      </c>
      <c r="Y3303" s="2" t="n">
        <v>2</v>
      </c>
      <c r="Z3303" s="2" t="n">
        <v>3</v>
      </c>
    </row>
    <row r="3304" customFormat="false" ht="15" hidden="false" customHeight="true" outlineLevel="0" collapsed="false">
      <c r="A3304" s="2" t="n">
        <v>35</v>
      </c>
      <c r="B3304" s="2" t="s">
        <v>26</v>
      </c>
      <c r="C3304" s="2" t="s">
        <v>27</v>
      </c>
      <c r="D3304" s="2" t="s">
        <v>28</v>
      </c>
      <c r="E3304" s="2" t="n">
        <v>6</v>
      </c>
      <c r="F3304" s="2" t="n">
        <v>4</v>
      </c>
      <c r="G3304" s="2" t="s">
        <v>43</v>
      </c>
      <c r="H3304" s="2" t="n">
        <v>3303</v>
      </c>
      <c r="I3304" s="2" t="s">
        <v>30</v>
      </c>
      <c r="J3304" s="2" t="n">
        <v>2</v>
      </c>
      <c r="K3304" s="2" t="s">
        <v>49</v>
      </c>
      <c r="L3304" s="2" t="s">
        <v>37</v>
      </c>
      <c r="M3304" s="2" t="n">
        <v>94190</v>
      </c>
      <c r="N3304" s="2" t="n">
        <v>1</v>
      </c>
      <c r="O3304" s="2" t="n">
        <v>24</v>
      </c>
      <c r="P3304" s="2" t="n">
        <v>1</v>
      </c>
      <c r="Q3304" s="2" t="n">
        <v>6</v>
      </c>
      <c r="R3304" s="2" t="n">
        <v>5</v>
      </c>
      <c r="S3304" s="2" t="n">
        <v>6</v>
      </c>
      <c r="T3304" s="2" t="n">
        <v>1</v>
      </c>
      <c r="U3304" s="2" t="n">
        <v>1</v>
      </c>
      <c r="V3304" s="2" t="n">
        <v>3</v>
      </c>
      <c r="W3304" s="2" t="n">
        <v>1</v>
      </c>
      <c r="X3304" s="2" t="n">
        <v>2</v>
      </c>
      <c r="Y3304" s="2" t="n">
        <v>2</v>
      </c>
      <c r="Z3304" s="2" t="n">
        <v>4</v>
      </c>
    </row>
    <row r="3305" customFormat="false" ht="15" hidden="false" customHeight="true" outlineLevel="0" collapsed="false">
      <c r="A3305" s="2" t="n">
        <v>36</v>
      </c>
      <c r="B3305" s="2" t="s">
        <v>26</v>
      </c>
      <c r="C3305" s="2" t="s">
        <v>27</v>
      </c>
      <c r="D3305" s="2" t="s">
        <v>28</v>
      </c>
      <c r="E3305" s="2" t="n">
        <v>10</v>
      </c>
      <c r="F3305" s="2" t="n">
        <v>4</v>
      </c>
      <c r="G3305" s="2" t="s">
        <v>50</v>
      </c>
      <c r="H3305" s="2" t="n">
        <v>3304</v>
      </c>
      <c r="I3305" s="2" t="s">
        <v>39</v>
      </c>
      <c r="J3305" s="2" t="n">
        <v>3</v>
      </c>
      <c r="K3305" s="2" t="s">
        <v>49</v>
      </c>
      <c r="L3305" s="2" t="s">
        <v>32</v>
      </c>
      <c r="M3305" s="2" t="n">
        <v>86860</v>
      </c>
      <c r="N3305" s="2" t="n">
        <v>1</v>
      </c>
      <c r="O3305" s="2" t="n">
        <v>13</v>
      </c>
      <c r="P3305" s="2" t="n">
        <v>0</v>
      </c>
      <c r="Q3305" s="2" t="n">
        <v>18</v>
      </c>
      <c r="R3305" s="2" t="n">
        <v>2</v>
      </c>
      <c r="S3305" s="2" t="n">
        <v>18</v>
      </c>
      <c r="T3305" s="2" t="n">
        <v>4</v>
      </c>
      <c r="U3305" s="2" t="n">
        <v>11</v>
      </c>
      <c r="V3305" s="2" t="n">
        <v>2</v>
      </c>
      <c r="W3305" s="2" t="n">
        <v>4</v>
      </c>
      <c r="X3305" s="2" t="n">
        <v>2</v>
      </c>
      <c r="Y3305" s="2" t="n">
        <v>3</v>
      </c>
      <c r="Z3305" s="2" t="n">
        <v>3</v>
      </c>
    </row>
    <row r="3306" customFormat="false" ht="15" hidden="false" customHeight="true" outlineLevel="0" collapsed="false">
      <c r="A3306" s="2" t="n">
        <v>32</v>
      </c>
      <c r="B3306" s="2" t="s">
        <v>26</v>
      </c>
      <c r="C3306" s="2" t="s">
        <v>27</v>
      </c>
      <c r="D3306" s="2" t="s">
        <v>35</v>
      </c>
      <c r="E3306" s="2" t="n">
        <v>3</v>
      </c>
      <c r="F3306" s="2" t="n">
        <v>4</v>
      </c>
      <c r="G3306" s="2" t="s">
        <v>43</v>
      </c>
      <c r="H3306" s="2" t="n">
        <v>3305</v>
      </c>
      <c r="I3306" s="2" t="s">
        <v>30</v>
      </c>
      <c r="J3306" s="2" t="n">
        <v>4</v>
      </c>
      <c r="K3306" s="2" t="s">
        <v>40</v>
      </c>
      <c r="L3306" s="2" t="s">
        <v>46</v>
      </c>
      <c r="M3306" s="2" t="n">
        <v>30380</v>
      </c>
      <c r="N3306" s="2" t="n">
        <v>2</v>
      </c>
      <c r="O3306" s="2" t="n">
        <v>20</v>
      </c>
      <c r="P3306" s="2" t="n">
        <v>0</v>
      </c>
      <c r="Q3306" s="2" t="n">
        <v>8</v>
      </c>
      <c r="R3306" s="2" t="n">
        <v>3</v>
      </c>
      <c r="S3306" s="2" t="n">
        <v>5</v>
      </c>
      <c r="T3306" s="2" t="n">
        <v>0</v>
      </c>
      <c r="U3306" s="2" t="n">
        <v>3</v>
      </c>
      <c r="V3306" s="2" t="n">
        <v>2</v>
      </c>
      <c r="W3306" s="2" t="n">
        <v>4</v>
      </c>
      <c r="X3306" s="2" t="n">
        <v>2</v>
      </c>
      <c r="Y3306" s="2" t="n">
        <v>3</v>
      </c>
      <c r="Z3306" s="2" t="n">
        <v>4</v>
      </c>
    </row>
    <row r="3307" customFormat="false" ht="15" hidden="false" customHeight="true" outlineLevel="0" collapsed="false">
      <c r="A3307" s="2" t="n">
        <v>30</v>
      </c>
      <c r="B3307" s="2" t="s">
        <v>26</v>
      </c>
      <c r="C3307" s="2" t="s">
        <v>34</v>
      </c>
      <c r="D3307" s="2" t="s">
        <v>35</v>
      </c>
      <c r="E3307" s="2" t="n">
        <v>4</v>
      </c>
      <c r="F3307" s="2" t="n">
        <v>5</v>
      </c>
      <c r="G3307" s="2" t="s">
        <v>43</v>
      </c>
      <c r="H3307" s="2" t="n">
        <v>3306</v>
      </c>
      <c r="I3307" s="2" t="s">
        <v>39</v>
      </c>
      <c r="J3307" s="2" t="n">
        <v>5</v>
      </c>
      <c r="K3307" s="2" t="s">
        <v>48</v>
      </c>
      <c r="L3307" s="2" t="s">
        <v>46</v>
      </c>
      <c r="M3307" s="2" t="n">
        <v>30580</v>
      </c>
      <c r="N3307" s="2" t="n">
        <v>9</v>
      </c>
      <c r="O3307" s="2" t="n">
        <v>14</v>
      </c>
      <c r="P3307" s="2" t="n">
        <v>1</v>
      </c>
      <c r="Q3307" s="2" t="n">
        <v>10</v>
      </c>
      <c r="R3307" s="2" t="n">
        <v>2</v>
      </c>
      <c r="S3307" s="2" t="n">
        <v>5</v>
      </c>
      <c r="T3307" s="2" t="n">
        <v>0</v>
      </c>
      <c r="U3307" s="2" t="n">
        <v>3</v>
      </c>
      <c r="V3307" s="2" t="n">
        <v>2</v>
      </c>
      <c r="W3307" s="2" t="n">
        <v>4</v>
      </c>
      <c r="X3307" s="2" t="n">
        <v>2</v>
      </c>
      <c r="Y3307" s="2" t="n">
        <v>3</v>
      </c>
      <c r="Z3307" s="2" t="n">
        <v>3</v>
      </c>
    </row>
    <row r="3308" customFormat="false" ht="15" hidden="false" customHeight="true" outlineLevel="0" collapsed="false">
      <c r="A3308" s="2" t="n">
        <v>53</v>
      </c>
      <c r="B3308" s="2" t="s">
        <v>26</v>
      </c>
      <c r="C3308" s="2" t="s">
        <v>27</v>
      </c>
      <c r="D3308" s="2" t="s">
        <v>28</v>
      </c>
      <c r="E3308" s="2" t="n">
        <v>6</v>
      </c>
      <c r="F3308" s="2" t="n">
        <v>3</v>
      </c>
      <c r="G3308" s="2" t="s">
        <v>50</v>
      </c>
      <c r="H3308" s="2" t="n">
        <v>3307</v>
      </c>
      <c r="I3308" s="2" t="s">
        <v>39</v>
      </c>
      <c r="J3308" s="2" t="n">
        <v>4</v>
      </c>
      <c r="K3308" s="2" t="s">
        <v>40</v>
      </c>
      <c r="L3308" s="2" t="s">
        <v>32</v>
      </c>
      <c r="M3308" s="2" t="n">
        <v>23250</v>
      </c>
      <c r="N3308" s="2" t="n">
        <v>7</v>
      </c>
      <c r="O3308" s="2" t="n">
        <v>18</v>
      </c>
      <c r="P3308" s="2" t="n">
        <v>1</v>
      </c>
      <c r="Q3308" s="2" t="n">
        <v>35</v>
      </c>
      <c r="R3308" s="2" t="n">
        <v>1</v>
      </c>
      <c r="S3308" s="2" t="n">
        <v>5</v>
      </c>
      <c r="T3308" s="2" t="n">
        <v>0</v>
      </c>
      <c r="U3308" s="2" t="n">
        <v>4</v>
      </c>
      <c r="V3308" s="2" t="n">
        <v>1</v>
      </c>
      <c r="W3308" s="2" t="n">
        <v>4</v>
      </c>
      <c r="X3308" s="2" t="n">
        <v>3</v>
      </c>
      <c r="Y3308" s="2" t="n">
        <v>4</v>
      </c>
      <c r="Z3308" s="2" t="n">
        <v>3</v>
      </c>
    </row>
    <row r="3309" customFormat="false" ht="15" hidden="false" customHeight="true" outlineLevel="0" collapsed="false">
      <c r="A3309" s="2" t="n">
        <v>45</v>
      </c>
      <c r="B3309" s="2" t="s">
        <v>26</v>
      </c>
      <c r="C3309" s="2" t="s">
        <v>27</v>
      </c>
      <c r="D3309" s="2" t="s">
        <v>35</v>
      </c>
      <c r="E3309" s="2" t="n">
        <v>1</v>
      </c>
      <c r="F3309" s="2" t="n">
        <v>5</v>
      </c>
      <c r="G3309" s="2" t="s">
        <v>51</v>
      </c>
      <c r="H3309" s="2" t="n">
        <v>3308</v>
      </c>
      <c r="I3309" s="2" t="s">
        <v>39</v>
      </c>
      <c r="J3309" s="2" t="n">
        <v>2</v>
      </c>
      <c r="K3309" s="2" t="s">
        <v>31</v>
      </c>
      <c r="L3309" s="2" t="s">
        <v>46</v>
      </c>
      <c r="M3309" s="2" t="n">
        <v>20880</v>
      </c>
      <c r="N3309" s="2" t="n">
        <v>4</v>
      </c>
      <c r="O3309" s="2" t="n">
        <v>15</v>
      </c>
      <c r="P3309" s="2" t="n">
        <v>3</v>
      </c>
      <c r="Q3309" s="2" t="n">
        <v>18</v>
      </c>
      <c r="R3309" s="2" t="n">
        <v>2</v>
      </c>
      <c r="S3309" s="2" t="n">
        <v>5</v>
      </c>
      <c r="T3309" s="2" t="n">
        <v>0</v>
      </c>
      <c r="U3309" s="2" t="n">
        <v>2</v>
      </c>
      <c r="V3309" s="2" t="n">
        <v>4</v>
      </c>
      <c r="W3309" s="2" t="n">
        <v>1</v>
      </c>
      <c r="X3309" s="2" t="n">
        <v>3</v>
      </c>
      <c r="Y3309" s="2" t="n">
        <v>3</v>
      </c>
      <c r="Z3309" s="2" t="n">
        <v>3</v>
      </c>
    </row>
    <row r="3310" customFormat="false" ht="15" hidden="false" customHeight="true" outlineLevel="0" collapsed="false">
      <c r="A3310" s="2" t="n">
        <v>32</v>
      </c>
      <c r="B3310" s="2" t="s">
        <v>26</v>
      </c>
      <c r="C3310" s="2" t="s">
        <v>27</v>
      </c>
      <c r="D3310" s="2" t="s">
        <v>28</v>
      </c>
      <c r="E3310" s="2" t="n">
        <v>10</v>
      </c>
      <c r="F3310" s="2" t="n">
        <v>3</v>
      </c>
      <c r="G3310" s="2" t="s">
        <v>50</v>
      </c>
      <c r="H3310" s="2" t="n">
        <v>3309</v>
      </c>
      <c r="I3310" s="2" t="s">
        <v>30</v>
      </c>
      <c r="J3310" s="2" t="n">
        <v>1</v>
      </c>
      <c r="K3310" s="2" t="s">
        <v>42</v>
      </c>
      <c r="L3310" s="2" t="s">
        <v>32</v>
      </c>
      <c r="M3310" s="2" t="n">
        <v>30720</v>
      </c>
      <c r="N3310" s="2" t="n">
        <v>5</v>
      </c>
      <c r="O3310" s="2" t="n">
        <v>12</v>
      </c>
      <c r="P3310" s="2" t="n">
        <v>0</v>
      </c>
      <c r="Q3310" s="2" t="n">
        <v>9</v>
      </c>
      <c r="R3310" s="2" t="n">
        <v>4</v>
      </c>
      <c r="S3310" s="2" t="n">
        <v>5</v>
      </c>
      <c r="T3310" s="2" t="n">
        <v>1</v>
      </c>
      <c r="U3310" s="2" t="n">
        <v>3</v>
      </c>
      <c r="V3310" s="2" t="n">
        <v>3</v>
      </c>
      <c r="W3310" s="2" t="n">
        <v>3</v>
      </c>
      <c r="X3310" s="2" t="n">
        <v>2</v>
      </c>
      <c r="Y3310" s="2" t="n">
        <v>1</v>
      </c>
      <c r="Z3310" s="2" t="n">
        <v>3</v>
      </c>
    </row>
    <row r="3311" customFormat="false" ht="15" hidden="false" customHeight="true" outlineLevel="0" collapsed="false">
      <c r="A3311" s="2" t="n">
        <v>52</v>
      </c>
      <c r="B3311" s="2" t="s">
        <v>26</v>
      </c>
      <c r="C3311" s="2" t="s">
        <v>34</v>
      </c>
      <c r="D3311" s="2" t="s">
        <v>35</v>
      </c>
      <c r="E3311" s="2" t="n">
        <v>1</v>
      </c>
      <c r="F3311" s="2" t="n">
        <v>1</v>
      </c>
      <c r="G3311" s="2" t="s">
        <v>29</v>
      </c>
      <c r="H3311" s="2" t="n">
        <v>3310</v>
      </c>
      <c r="I3311" s="2" t="s">
        <v>39</v>
      </c>
      <c r="J3311" s="2" t="n">
        <v>2</v>
      </c>
      <c r="K3311" s="2" t="s">
        <v>45</v>
      </c>
      <c r="L3311" s="2" t="s">
        <v>32</v>
      </c>
      <c r="M3311" s="2" t="n">
        <v>50060</v>
      </c>
      <c r="N3311" s="2" t="n">
        <v>3</v>
      </c>
      <c r="O3311" s="2" t="n">
        <v>16</v>
      </c>
      <c r="P3311" s="2" t="n">
        <v>1</v>
      </c>
      <c r="Q3311" s="2" t="n">
        <v>31</v>
      </c>
      <c r="R3311" s="2" t="n">
        <v>2</v>
      </c>
      <c r="S3311" s="2" t="n">
        <v>9</v>
      </c>
      <c r="T3311" s="2" t="n">
        <v>0</v>
      </c>
      <c r="U3311" s="2" t="n">
        <v>0</v>
      </c>
      <c r="V3311" s="2" t="n">
        <v>3</v>
      </c>
      <c r="W3311" s="2" t="n">
        <v>4</v>
      </c>
      <c r="X3311" s="2" t="n">
        <v>3</v>
      </c>
      <c r="Y3311" s="2" t="n">
        <v>3</v>
      </c>
      <c r="Z3311" s="2" t="n">
        <v>3</v>
      </c>
    </row>
    <row r="3312" customFormat="false" ht="15" hidden="false" customHeight="true" outlineLevel="0" collapsed="false">
      <c r="A3312" s="2" t="n">
        <v>37</v>
      </c>
      <c r="B3312" s="2" t="s">
        <v>26</v>
      </c>
      <c r="C3312" s="2" t="s">
        <v>27</v>
      </c>
      <c r="D3312" s="2" t="s">
        <v>28</v>
      </c>
      <c r="E3312" s="2" t="n">
        <v>24</v>
      </c>
      <c r="F3312" s="2" t="n">
        <v>2</v>
      </c>
      <c r="G3312" s="2" t="s">
        <v>29</v>
      </c>
      <c r="H3312" s="2" t="n">
        <v>3311</v>
      </c>
      <c r="I3312" s="2" t="s">
        <v>30</v>
      </c>
      <c r="J3312" s="2" t="n">
        <v>4</v>
      </c>
      <c r="K3312" s="2" t="s">
        <v>45</v>
      </c>
      <c r="L3312" s="2" t="s">
        <v>46</v>
      </c>
      <c r="M3312" s="2" t="n">
        <v>42570</v>
      </c>
      <c r="N3312" s="2" t="n">
        <v>4</v>
      </c>
      <c r="O3312" s="2" t="n">
        <v>15</v>
      </c>
      <c r="P3312" s="2" t="n">
        <v>0</v>
      </c>
      <c r="Q3312" s="2" t="n">
        <v>9</v>
      </c>
      <c r="R3312" s="2" t="n">
        <v>2</v>
      </c>
      <c r="S3312" s="2" t="n">
        <v>1</v>
      </c>
      <c r="T3312" s="2" t="n">
        <v>0</v>
      </c>
      <c r="U3312" s="2" t="n">
        <v>0</v>
      </c>
      <c r="V3312" s="2" t="n">
        <v>4</v>
      </c>
      <c r="W3312" s="2" t="n">
        <v>3</v>
      </c>
      <c r="X3312" s="2" t="n">
        <v>3</v>
      </c>
      <c r="Y3312" s="2" t="n">
        <v>3</v>
      </c>
      <c r="Z3312" s="2" t="n">
        <v>3</v>
      </c>
    </row>
    <row r="3313" customFormat="false" ht="15" hidden="false" customHeight="true" outlineLevel="0" collapsed="false">
      <c r="A3313" s="2" t="n">
        <v>28</v>
      </c>
      <c r="B3313" s="2" t="s">
        <v>26</v>
      </c>
      <c r="C3313" s="2" t="s">
        <v>27</v>
      </c>
      <c r="D3313" s="2" t="s">
        <v>35</v>
      </c>
      <c r="E3313" s="2" t="n">
        <v>21</v>
      </c>
      <c r="F3313" s="2" t="n">
        <v>4</v>
      </c>
      <c r="G3313" s="2" t="s">
        <v>29</v>
      </c>
      <c r="H3313" s="2" t="n">
        <v>3312</v>
      </c>
      <c r="I3313" s="2" t="s">
        <v>30</v>
      </c>
      <c r="J3313" s="2" t="n">
        <v>1</v>
      </c>
      <c r="K3313" s="2" t="s">
        <v>31</v>
      </c>
      <c r="L3313" s="2" t="s">
        <v>46</v>
      </c>
      <c r="M3313" s="2" t="n">
        <v>25000</v>
      </c>
      <c r="N3313" s="2" t="n">
        <v>1</v>
      </c>
      <c r="O3313" s="2" t="n">
        <v>16</v>
      </c>
      <c r="P3313" s="2" t="n">
        <v>2</v>
      </c>
      <c r="Q3313" s="2" t="n">
        <v>6</v>
      </c>
      <c r="R3313" s="2" t="n">
        <v>3</v>
      </c>
      <c r="S3313" s="2" t="n">
        <v>5</v>
      </c>
      <c r="T3313" s="2" t="n">
        <v>0</v>
      </c>
      <c r="U3313" s="2" t="n">
        <v>4</v>
      </c>
      <c r="V3313" s="2" t="n">
        <v>2</v>
      </c>
      <c r="W3313" s="2" t="n">
        <v>4</v>
      </c>
      <c r="X3313" s="2" t="n">
        <v>3</v>
      </c>
      <c r="Y3313" s="2" t="n">
        <v>3</v>
      </c>
      <c r="Z3313" s="2" t="n">
        <v>3</v>
      </c>
    </row>
    <row r="3314" customFormat="false" ht="15" hidden="false" customHeight="true" outlineLevel="0" collapsed="false">
      <c r="A3314" s="2" t="n">
        <v>22</v>
      </c>
      <c r="B3314" s="2" t="s">
        <v>26</v>
      </c>
      <c r="C3314" s="2" t="s">
        <v>27</v>
      </c>
      <c r="D3314" s="2" t="s">
        <v>35</v>
      </c>
      <c r="E3314" s="2" t="n">
        <v>2</v>
      </c>
      <c r="F3314" s="2" t="n">
        <v>2</v>
      </c>
      <c r="G3314" s="2" t="s">
        <v>29</v>
      </c>
      <c r="H3314" s="2" t="n">
        <v>3313</v>
      </c>
      <c r="I3314" s="2" t="s">
        <v>39</v>
      </c>
      <c r="J3314" s="2" t="n">
        <v>1</v>
      </c>
      <c r="K3314" s="2" t="s">
        <v>48</v>
      </c>
      <c r="L3314" s="2" t="s">
        <v>32</v>
      </c>
      <c r="M3314" s="2" t="n">
        <v>11020</v>
      </c>
      <c r="N3314" s="2" t="n">
        <v>6</v>
      </c>
      <c r="O3314" s="2" t="n">
        <v>19</v>
      </c>
      <c r="P3314" s="2" t="n">
        <v>0</v>
      </c>
      <c r="Q3314" s="2" t="n">
        <v>4</v>
      </c>
      <c r="R3314" s="2" t="n">
        <v>3</v>
      </c>
      <c r="S3314" s="2" t="n">
        <v>2</v>
      </c>
      <c r="T3314" s="2" t="n">
        <v>2</v>
      </c>
      <c r="U3314" s="2" t="n">
        <v>2</v>
      </c>
      <c r="V3314" s="2" t="n">
        <v>4</v>
      </c>
      <c r="W3314" s="2" t="n">
        <v>4</v>
      </c>
      <c r="X3314" s="2" t="n">
        <v>1</v>
      </c>
      <c r="Y3314" s="2" t="n">
        <v>2</v>
      </c>
      <c r="Z3314" s="2" t="n">
        <v>3</v>
      </c>
    </row>
    <row r="3315" customFormat="false" ht="15" hidden="false" customHeight="true" outlineLevel="0" collapsed="false">
      <c r="A3315" s="2" t="n">
        <v>44</v>
      </c>
      <c r="B3315" s="2" t="s">
        <v>26</v>
      </c>
      <c r="C3315" s="2" t="s">
        <v>27</v>
      </c>
      <c r="D3315" s="2" t="s">
        <v>35</v>
      </c>
      <c r="E3315" s="2" t="n">
        <v>22</v>
      </c>
      <c r="F3315" s="2" t="n">
        <v>3</v>
      </c>
      <c r="G3315" s="2" t="s">
        <v>43</v>
      </c>
      <c r="H3315" s="2" t="n">
        <v>3314</v>
      </c>
      <c r="I3315" s="2" t="s">
        <v>30</v>
      </c>
      <c r="J3315" s="2" t="n">
        <v>1</v>
      </c>
      <c r="K3315" s="2" t="s">
        <v>45</v>
      </c>
      <c r="L3315" s="2" t="s">
        <v>32</v>
      </c>
      <c r="M3315" s="2" t="n">
        <v>104530</v>
      </c>
      <c r="N3315" s="2" t="n">
        <v>2</v>
      </c>
      <c r="O3315" s="2" t="n">
        <v>11</v>
      </c>
      <c r="P3315" s="2" t="n">
        <v>1</v>
      </c>
      <c r="Q3315" s="2" t="n">
        <v>10</v>
      </c>
      <c r="R3315" s="2" t="n">
        <v>2</v>
      </c>
      <c r="S3315" s="2" t="n">
        <v>3</v>
      </c>
      <c r="T3315" s="2" t="n">
        <v>0</v>
      </c>
      <c r="U3315" s="2" t="n">
        <v>2</v>
      </c>
      <c r="V3315" s="2" t="n">
        <v>1</v>
      </c>
      <c r="W3315" s="2" t="n">
        <v>4</v>
      </c>
      <c r="X3315" s="2" t="n">
        <v>2</v>
      </c>
      <c r="Y3315" s="2" t="n">
        <v>3</v>
      </c>
      <c r="Z3315" s="2" t="n">
        <v>3</v>
      </c>
    </row>
    <row r="3316" customFormat="false" ht="15" hidden="false" customHeight="true" outlineLevel="0" collapsed="false">
      <c r="A3316" s="2" t="n">
        <v>42</v>
      </c>
      <c r="B3316" s="2" t="s">
        <v>26</v>
      </c>
      <c r="C3316" s="2" t="s">
        <v>34</v>
      </c>
      <c r="D3316" s="2" t="s">
        <v>28</v>
      </c>
      <c r="E3316" s="2" t="n">
        <v>13</v>
      </c>
      <c r="F3316" s="2" t="n">
        <v>4</v>
      </c>
      <c r="G3316" s="2" t="s">
        <v>29</v>
      </c>
      <c r="H3316" s="2" t="n">
        <v>3315</v>
      </c>
      <c r="I3316" s="2" t="s">
        <v>30</v>
      </c>
      <c r="J3316" s="2" t="n">
        <v>2</v>
      </c>
      <c r="K3316" s="2" t="s">
        <v>45</v>
      </c>
      <c r="L3316" s="2" t="s">
        <v>37</v>
      </c>
      <c r="M3316" s="2" t="n">
        <v>22880</v>
      </c>
      <c r="N3316" s="2" t="n">
        <v>5</v>
      </c>
      <c r="O3316" s="2" t="n">
        <v>16</v>
      </c>
      <c r="P3316" s="2" t="n">
        <v>1</v>
      </c>
      <c r="Q3316" s="2" t="n">
        <v>8</v>
      </c>
      <c r="R3316" s="2" t="n">
        <v>4</v>
      </c>
      <c r="S3316" s="2" t="n">
        <v>2</v>
      </c>
      <c r="T3316" s="2" t="n">
        <v>2</v>
      </c>
      <c r="U3316" s="2" t="n">
        <v>2</v>
      </c>
      <c r="V3316" s="2" t="n">
        <v>2</v>
      </c>
      <c r="W3316" s="2" t="n">
        <v>4</v>
      </c>
      <c r="X3316" s="2" t="n">
        <v>3</v>
      </c>
      <c r="Y3316" s="2" t="n">
        <v>2</v>
      </c>
      <c r="Z3316" s="2" t="n">
        <v>3</v>
      </c>
    </row>
    <row r="3317" customFormat="false" ht="15" hidden="false" customHeight="true" outlineLevel="0" collapsed="false">
      <c r="A3317" s="2" t="n">
        <v>36</v>
      </c>
      <c r="B3317" s="2" t="s">
        <v>26</v>
      </c>
      <c r="C3317" s="2" t="s">
        <v>27</v>
      </c>
      <c r="D3317" s="2" t="s">
        <v>35</v>
      </c>
      <c r="E3317" s="2" t="n">
        <v>14</v>
      </c>
      <c r="F3317" s="2" t="n">
        <v>3</v>
      </c>
      <c r="G3317" s="2" t="s">
        <v>38</v>
      </c>
      <c r="H3317" s="2" t="n">
        <v>3316</v>
      </c>
      <c r="I3317" s="2" t="s">
        <v>39</v>
      </c>
      <c r="J3317" s="2" t="n">
        <v>2</v>
      </c>
      <c r="K3317" s="2" t="s">
        <v>36</v>
      </c>
      <c r="L3317" s="2" t="s">
        <v>32</v>
      </c>
      <c r="M3317" s="2" t="n">
        <v>39290</v>
      </c>
      <c r="N3317" s="2" t="n">
        <v>0</v>
      </c>
      <c r="O3317" s="2" t="n">
        <v>24</v>
      </c>
      <c r="P3317" s="2" t="n">
        <v>0</v>
      </c>
      <c r="Q3317" s="2" t="n">
        <v>6</v>
      </c>
      <c r="R3317" s="2" t="n">
        <v>6</v>
      </c>
      <c r="S3317" s="2" t="n">
        <v>5</v>
      </c>
      <c r="T3317" s="2" t="n">
        <v>0</v>
      </c>
      <c r="U3317" s="2" t="n">
        <v>3</v>
      </c>
      <c r="V3317" s="2" t="n">
        <v>1</v>
      </c>
      <c r="W3317" s="2" t="n">
        <v>1</v>
      </c>
      <c r="X3317" s="2" t="n">
        <v>3</v>
      </c>
      <c r="Y3317" s="2" t="n">
        <v>2</v>
      </c>
      <c r="Z3317" s="2" t="n">
        <v>4</v>
      </c>
    </row>
    <row r="3318" customFormat="false" ht="15" hidden="false" customHeight="true" outlineLevel="0" collapsed="false">
      <c r="A3318" s="2" t="n">
        <v>25</v>
      </c>
      <c r="B3318" s="2" t="s">
        <v>26</v>
      </c>
      <c r="C3318" s="2" t="s">
        <v>27</v>
      </c>
      <c r="D3318" s="2" t="s">
        <v>28</v>
      </c>
      <c r="E3318" s="2" t="n">
        <v>11</v>
      </c>
      <c r="F3318" s="2" t="n">
        <v>3</v>
      </c>
      <c r="G3318" s="2" t="s">
        <v>29</v>
      </c>
      <c r="H3318" s="2" t="n">
        <v>3317</v>
      </c>
      <c r="I3318" s="2" t="s">
        <v>30</v>
      </c>
      <c r="J3318" s="2" t="n">
        <v>1</v>
      </c>
      <c r="K3318" s="2" t="s">
        <v>45</v>
      </c>
      <c r="L3318" s="2" t="s">
        <v>32</v>
      </c>
      <c r="M3318" s="2" t="n">
        <v>23110</v>
      </c>
      <c r="N3318" s="2" t="n">
        <v>1</v>
      </c>
      <c r="O3318" s="2" t="n">
        <v>11</v>
      </c>
      <c r="P3318" s="2" t="n">
        <v>1</v>
      </c>
      <c r="Q3318" s="2" t="n">
        <v>5</v>
      </c>
      <c r="R3318" s="2" t="n">
        <v>2</v>
      </c>
      <c r="S3318" s="2" t="n">
        <v>5</v>
      </c>
      <c r="T3318" s="2" t="n">
        <v>0</v>
      </c>
      <c r="U3318" s="2" t="n">
        <v>3</v>
      </c>
      <c r="V3318" s="2" t="n">
        <v>3</v>
      </c>
      <c r="W3318" s="2" t="n">
        <v>1</v>
      </c>
      <c r="X3318" s="2" t="n">
        <v>3</v>
      </c>
      <c r="Y3318" s="2" t="n">
        <v>3</v>
      </c>
      <c r="Z3318" s="2" t="n">
        <v>3</v>
      </c>
    </row>
    <row r="3319" customFormat="false" ht="15" hidden="false" customHeight="true" outlineLevel="0" collapsed="false">
      <c r="A3319" s="2" t="n">
        <v>35</v>
      </c>
      <c r="B3319" s="2" t="s">
        <v>26</v>
      </c>
      <c r="C3319" s="2" t="s">
        <v>27</v>
      </c>
      <c r="D3319" s="2" t="s">
        <v>35</v>
      </c>
      <c r="E3319" s="2" t="n">
        <v>9</v>
      </c>
      <c r="F3319" s="2" t="n">
        <v>2</v>
      </c>
      <c r="G3319" s="2" t="s">
        <v>29</v>
      </c>
      <c r="H3319" s="2" t="n">
        <v>3318</v>
      </c>
      <c r="I3319" s="2" t="s">
        <v>30</v>
      </c>
      <c r="J3319" s="2" t="n">
        <v>1</v>
      </c>
      <c r="K3319" s="2" t="s">
        <v>31</v>
      </c>
      <c r="L3319" s="2" t="s">
        <v>32</v>
      </c>
      <c r="M3319" s="2" t="n">
        <v>31400</v>
      </c>
      <c r="N3319" s="2" t="n">
        <v>1</v>
      </c>
      <c r="O3319" s="2" t="n">
        <v>13</v>
      </c>
      <c r="P3319" s="2" t="n">
        <v>1</v>
      </c>
      <c r="Q3319" s="2" t="n">
        <v>17</v>
      </c>
      <c r="R3319" s="2" t="n">
        <v>2</v>
      </c>
      <c r="S3319" s="2" t="n">
        <v>17</v>
      </c>
      <c r="T3319" s="2" t="n">
        <v>5</v>
      </c>
      <c r="U3319" s="2" t="n">
        <v>15</v>
      </c>
      <c r="V3319" s="2" t="n">
        <v>4</v>
      </c>
      <c r="W3319" s="2" t="n">
        <v>3</v>
      </c>
      <c r="X3319" s="2" t="n">
        <v>3</v>
      </c>
      <c r="Y3319" s="2" t="n">
        <v>2</v>
      </c>
      <c r="Z3319" s="2" t="n">
        <v>3</v>
      </c>
    </row>
    <row r="3320" customFormat="false" ht="15" hidden="false" customHeight="true" outlineLevel="0" collapsed="false">
      <c r="A3320" s="2" t="n">
        <v>35</v>
      </c>
      <c r="B3320" s="2" t="s">
        <v>33</v>
      </c>
      <c r="C3320" s="2" t="s">
        <v>34</v>
      </c>
      <c r="D3320" s="2" t="s">
        <v>28</v>
      </c>
      <c r="E3320" s="2" t="n">
        <v>8</v>
      </c>
      <c r="F3320" s="2" t="n">
        <v>2</v>
      </c>
      <c r="G3320" s="2" t="s">
        <v>50</v>
      </c>
      <c r="H3320" s="2" t="n">
        <v>3319</v>
      </c>
      <c r="I3320" s="2" t="s">
        <v>30</v>
      </c>
      <c r="J3320" s="2" t="n">
        <v>1</v>
      </c>
      <c r="K3320" s="2" t="s">
        <v>45</v>
      </c>
      <c r="L3320" s="2" t="s">
        <v>46</v>
      </c>
      <c r="M3320" s="2" t="n">
        <v>36900</v>
      </c>
      <c r="N3320" s="2" t="n">
        <v>1</v>
      </c>
      <c r="O3320" s="2" t="n">
        <v>13</v>
      </c>
      <c r="P3320" s="2" t="n">
        <v>1</v>
      </c>
      <c r="Q3320" s="2" t="n">
        <v>10</v>
      </c>
      <c r="R3320" s="2" t="n">
        <v>2</v>
      </c>
      <c r="S3320" s="2" t="n">
        <v>10</v>
      </c>
      <c r="T3320" s="2" t="n">
        <v>7</v>
      </c>
      <c r="U3320" s="2" t="n">
        <v>8</v>
      </c>
      <c r="V3320" s="2" t="n">
        <v>4</v>
      </c>
      <c r="W3320" s="2" t="n">
        <v>2</v>
      </c>
      <c r="X3320" s="2" t="n">
        <v>2</v>
      </c>
      <c r="Y3320" s="2" t="n">
        <v>4</v>
      </c>
      <c r="Z3320" s="2" t="n">
        <v>3</v>
      </c>
    </row>
    <row r="3321" customFormat="false" ht="15" hidden="false" customHeight="true" outlineLevel="0" collapsed="false">
      <c r="A3321" s="2" t="n">
        <v>32</v>
      </c>
      <c r="B3321" s="2" t="s">
        <v>26</v>
      </c>
      <c r="C3321" s="2" t="s">
        <v>41</v>
      </c>
      <c r="D3321" s="2" t="s">
        <v>35</v>
      </c>
      <c r="E3321" s="2" t="n">
        <v>21</v>
      </c>
      <c r="F3321" s="2" t="n">
        <v>3</v>
      </c>
      <c r="G3321" s="2" t="s">
        <v>29</v>
      </c>
      <c r="H3321" s="2" t="n">
        <v>3320</v>
      </c>
      <c r="I3321" s="2" t="s">
        <v>39</v>
      </c>
      <c r="J3321" s="2" t="n">
        <v>1</v>
      </c>
      <c r="K3321" s="2" t="s">
        <v>40</v>
      </c>
      <c r="L3321" s="2" t="s">
        <v>46</v>
      </c>
      <c r="M3321" s="2" t="n">
        <v>44500</v>
      </c>
      <c r="N3321" s="2" t="n">
        <v>0</v>
      </c>
      <c r="O3321" s="2" t="n">
        <v>13</v>
      </c>
      <c r="P3321" s="2" t="n">
        <v>0</v>
      </c>
      <c r="Q3321" s="2" t="n">
        <v>4</v>
      </c>
      <c r="R3321" s="2" t="n">
        <v>3</v>
      </c>
      <c r="S3321" s="2" t="n">
        <v>3</v>
      </c>
      <c r="T3321" s="2" t="n">
        <v>0</v>
      </c>
      <c r="U3321" s="2" t="n">
        <v>2</v>
      </c>
      <c r="V3321" s="2" t="n">
        <v>4</v>
      </c>
      <c r="W3321" s="2" t="n">
        <v>4</v>
      </c>
      <c r="X3321" s="2" t="n">
        <v>3</v>
      </c>
      <c r="Y3321" s="2" t="n">
        <v>3</v>
      </c>
      <c r="Z3321" s="2" t="n">
        <v>3</v>
      </c>
    </row>
    <row r="3322" customFormat="false" ht="15" hidden="false" customHeight="true" outlineLevel="0" collapsed="false">
      <c r="A3322" s="2" t="n">
        <v>25</v>
      </c>
      <c r="B3322" s="2" t="s">
        <v>26</v>
      </c>
      <c r="C3322" s="2" t="s">
        <v>27</v>
      </c>
      <c r="D3322" s="2" t="s">
        <v>28</v>
      </c>
      <c r="E3322" s="2" t="n">
        <v>5</v>
      </c>
      <c r="F3322" s="2" t="n">
        <v>3</v>
      </c>
      <c r="G3322" s="2" t="s">
        <v>50</v>
      </c>
      <c r="H3322" s="2" t="n">
        <v>3321</v>
      </c>
      <c r="I3322" s="2" t="s">
        <v>30</v>
      </c>
      <c r="J3322" s="2" t="n">
        <v>4</v>
      </c>
      <c r="K3322" s="2" t="s">
        <v>36</v>
      </c>
      <c r="L3322" s="2" t="s">
        <v>32</v>
      </c>
      <c r="M3322" s="2" t="n">
        <v>27560</v>
      </c>
      <c r="N3322" s="2" t="n">
        <v>1</v>
      </c>
      <c r="O3322" s="2" t="n">
        <v>12</v>
      </c>
      <c r="P3322" s="2" t="n">
        <v>2</v>
      </c>
      <c r="Q3322" s="2" t="n">
        <v>5</v>
      </c>
      <c r="R3322" s="2" t="n">
        <v>2</v>
      </c>
      <c r="S3322" s="2" t="n">
        <v>5</v>
      </c>
      <c r="T3322" s="2" t="n">
        <v>0</v>
      </c>
      <c r="U3322" s="2" t="n">
        <v>3</v>
      </c>
      <c r="V3322" s="2" t="n">
        <v>3</v>
      </c>
      <c r="W3322" s="2" t="n">
        <v>1</v>
      </c>
      <c r="X3322" s="2" t="n">
        <v>4</v>
      </c>
      <c r="Y3322" s="2" t="n">
        <v>3</v>
      </c>
      <c r="Z3322" s="2" t="n">
        <v>3</v>
      </c>
    </row>
    <row r="3323" customFormat="false" ht="15" hidden="false" customHeight="true" outlineLevel="0" collapsed="false">
      <c r="A3323" s="2" t="n">
        <v>49</v>
      </c>
      <c r="B3323" s="2" t="s">
        <v>26</v>
      </c>
      <c r="C3323" s="2" t="s">
        <v>27</v>
      </c>
      <c r="D3323" s="2" t="s">
        <v>28</v>
      </c>
      <c r="E3323" s="2" t="n">
        <v>9</v>
      </c>
      <c r="F3323" s="2" t="n">
        <v>3</v>
      </c>
      <c r="G3323" s="2" t="s">
        <v>51</v>
      </c>
      <c r="H3323" s="2" t="n">
        <v>3322</v>
      </c>
      <c r="I3323" s="2" t="s">
        <v>30</v>
      </c>
      <c r="J3323" s="2" t="n">
        <v>2</v>
      </c>
      <c r="K3323" s="2" t="s">
        <v>48</v>
      </c>
      <c r="L3323" s="2" t="s">
        <v>32</v>
      </c>
      <c r="M3323" s="2" t="n">
        <v>190330</v>
      </c>
      <c r="N3323" s="2" t="n">
        <v>2</v>
      </c>
      <c r="O3323" s="2" t="n">
        <v>18</v>
      </c>
      <c r="P3323" s="2" t="n">
        <v>1</v>
      </c>
      <c r="Q3323" s="2" t="n">
        <v>7</v>
      </c>
      <c r="R3323" s="2" t="n">
        <v>5</v>
      </c>
      <c r="S3323" s="2" t="n">
        <v>4</v>
      </c>
      <c r="T3323" s="2" t="n">
        <v>0</v>
      </c>
      <c r="U3323" s="2" t="n">
        <v>2</v>
      </c>
      <c r="V3323" s="2" t="n">
        <v>3</v>
      </c>
      <c r="W3323" s="2" t="n">
        <v>1</v>
      </c>
      <c r="X3323" s="2" t="n">
        <v>3</v>
      </c>
      <c r="Y3323" s="2" t="n">
        <v>3</v>
      </c>
      <c r="Z3323" s="2" t="n">
        <v>3</v>
      </c>
    </row>
    <row r="3324" customFormat="false" ht="15" hidden="false" customHeight="true" outlineLevel="0" collapsed="false">
      <c r="A3324" s="2" t="n">
        <v>24</v>
      </c>
      <c r="B3324" s="2" t="s">
        <v>26</v>
      </c>
      <c r="C3324" s="2" t="s">
        <v>41</v>
      </c>
      <c r="D3324" s="2" t="s">
        <v>35</v>
      </c>
      <c r="E3324" s="2" t="n">
        <v>2</v>
      </c>
      <c r="F3324" s="2" t="n">
        <v>5</v>
      </c>
      <c r="G3324" s="2" t="s">
        <v>51</v>
      </c>
      <c r="H3324" s="2" t="n">
        <v>3323</v>
      </c>
      <c r="I3324" s="2" t="s">
        <v>39</v>
      </c>
      <c r="J3324" s="2" t="n">
        <v>2</v>
      </c>
      <c r="K3324" s="2" t="s">
        <v>31</v>
      </c>
      <c r="L3324" s="2" t="s">
        <v>32</v>
      </c>
      <c r="M3324" s="2" t="n">
        <v>187220</v>
      </c>
      <c r="N3324" s="2" t="n">
        <v>0</v>
      </c>
      <c r="O3324" s="2" t="n">
        <v>22</v>
      </c>
      <c r="P3324" s="2" t="n">
        <v>1</v>
      </c>
      <c r="Q3324" s="2" t="n">
        <v>6</v>
      </c>
      <c r="R3324" s="2" t="n">
        <v>3</v>
      </c>
      <c r="S3324" s="2" t="n">
        <v>5</v>
      </c>
      <c r="T3324" s="2" t="n">
        <v>3</v>
      </c>
      <c r="U3324" s="2" t="n">
        <v>4</v>
      </c>
      <c r="V3324" s="2" t="n">
        <v>1</v>
      </c>
      <c r="W3324" s="2" t="n">
        <v>4</v>
      </c>
      <c r="X3324" s="2" t="n">
        <v>2</v>
      </c>
      <c r="Y3324" s="2" t="n">
        <v>3</v>
      </c>
      <c r="Z3324" s="2" t="n">
        <v>4</v>
      </c>
    </row>
    <row r="3325" customFormat="false" ht="15" hidden="false" customHeight="true" outlineLevel="0" collapsed="false">
      <c r="A3325" s="2" t="n">
        <v>32</v>
      </c>
      <c r="B3325" s="2" t="s">
        <v>26</v>
      </c>
      <c r="C3325" s="2" t="s">
        <v>34</v>
      </c>
      <c r="D3325" s="2" t="s">
        <v>35</v>
      </c>
      <c r="E3325" s="2" t="n">
        <v>12</v>
      </c>
      <c r="F3325" s="2" t="n">
        <v>5</v>
      </c>
      <c r="G3325" s="2" t="s">
        <v>43</v>
      </c>
      <c r="H3325" s="2" t="n">
        <v>3324</v>
      </c>
      <c r="I3325" s="2" t="s">
        <v>39</v>
      </c>
      <c r="J3325" s="2" t="n">
        <v>1</v>
      </c>
      <c r="K3325" s="2" t="s">
        <v>36</v>
      </c>
      <c r="L3325" s="2" t="s">
        <v>32</v>
      </c>
      <c r="M3325" s="2" t="n">
        <v>95470</v>
      </c>
      <c r="N3325" s="2" t="n">
        <v>1</v>
      </c>
      <c r="O3325" s="2" t="n">
        <v>13</v>
      </c>
      <c r="P3325" s="2" t="n">
        <v>1</v>
      </c>
      <c r="Q3325" s="2" t="n">
        <v>10</v>
      </c>
      <c r="R3325" s="2" t="n">
        <v>3</v>
      </c>
      <c r="S3325" s="2" t="n">
        <v>10</v>
      </c>
      <c r="T3325" s="2" t="n">
        <v>5</v>
      </c>
      <c r="U3325" s="2" t="n">
        <v>3</v>
      </c>
      <c r="V3325" s="2" t="n">
        <v>2</v>
      </c>
      <c r="W3325" s="2" t="n">
        <v>2</v>
      </c>
      <c r="X3325" s="2" t="n">
        <v>3</v>
      </c>
      <c r="Y3325" s="2" t="n">
        <v>2</v>
      </c>
      <c r="Z3325" s="2" t="n">
        <v>3</v>
      </c>
    </row>
    <row r="3326" customFormat="false" ht="15" hidden="false" customHeight="true" outlineLevel="0" collapsed="false">
      <c r="A3326" s="2" t="n">
        <v>38</v>
      </c>
      <c r="B3326" s="2" t="s">
        <v>26</v>
      </c>
      <c r="C3326" s="2" t="s">
        <v>27</v>
      </c>
      <c r="D3326" s="2" t="s">
        <v>28</v>
      </c>
      <c r="E3326" s="2" t="n">
        <v>22</v>
      </c>
      <c r="F3326" s="2" t="n">
        <v>2</v>
      </c>
      <c r="G3326" s="2" t="s">
        <v>43</v>
      </c>
      <c r="H3326" s="2" t="n">
        <v>3325</v>
      </c>
      <c r="I3326" s="2" t="s">
        <v>39</v>
      </c>
      <c r="J3326" s="2" t="n">
        <v>1</v>
      </c>
      <c r="K3326" s="2" t="s">
        <v>40</v>
      </c>
      <c r="L3326" s="2" t="s">
        <v>32</v>
      </c>
      <c r="M3326" s="2" t="n">
        <v>137340</v>
      </c>
      <c r="N3326" s="2" t="n">
        <v>0</v>
      </c>
      <c r="O3326" s="2" t="n">
        <v>13</v>
      </c>
      <c r="P3326" s="2" t="n">
        <v>0</v>
      </c>
      <c r="Q3326" s="2" t="n">
        <v>3</v>
      </c>
      <c r="R3326" s="2" t="n">
        <v>3</v>
      </c>
      <c r="S3326" s="2" t="n">
        <v>2</v>
      </c>
      <c r="T3326" s="2" t="n">
        <v>1</v>
      </c>
      <c r="U3326" s="2" t="n">
        <v>2</v>
      </c>
      <c r="V3326" s="2" t="n">
        <v>2</v>
      </c>
      <c r="W3326" s="2" t="n">
        <v>2</v>
      </c>
      <c r="X3326" s="2" t="n">
        <v>3</v>
      </c>
      <c r="Y3326" s="2" t="n">
        <v>4</v>
      </c>
      <c r="Z3326" s="2" t="n">
        <v>3</v>
      </c>
    </row>
    <row r="3327" customFormat="false" ht="15" hidden="false" customHeight="true" outlineLevel="0" collapsed="false">
      <c r="A3327" s="2" t="n">
        <v>42</v>
      </c>
      <c r="B3327" s="2" t="s">
        <v>26</v>
      </c>
      <c r="C3327" s="2" t="s">
        <v>27</v>
      </c>
      <c r="D3327" s="2" t="s">
        <v>35</v>
      </c>
      <c r="E3327" s="2" t="n">
        <v>18</v>
      </c>
      <c r="F3327" s="2" t="n">
        <v>1</v>
      </c>
      <c r="G3327" s="2" t="s">
        <v>51</v>
      </c>
      <c r="H3327" s="2" t="n">
        <v>3326</v>
      </c>
      <c r="I3327" s="2" t="s">
        <v>30</v>
      </c>
      <c r="J3327" s="2" t="n">
        <v>2</v>
      </c>
      <c r="K3327" s="2" t="s">
        <v>36</v>
      </c>
      <c r="L3327" s="2" t="s">
        <v>32</v>
      </c>
      <c r="M3327" s="2" t="n">
        <v>199990</v>
      </c>
      <c r="N3327" s="2" t="n">
        <v>2</v>
      </c>
      <c r="O3327" s="2" t="n">
        <v>23</v>
      </c>
      <c r="P3327" s="2" t="n">
        <v>1</v>
      </c>
      <c r="Q3327" s="2" t="n">
        <v>17</v>
      </c>
      <c r="R3327" s="2" t="n">
        <v>6</v>
      </c>
      <c r="S3327" s="2" t="n">
        <v>5</v>
      </c>
      <c r="T3327" s="2" t="n">
        <v>1</v>
      </c>
      <c r="U3327" s="2" t="n">
        <v>3</v>
      </c>
      <c r="V3327" s="2" t="n">
        <v>3</v>
      </c>
      <c r="W3327" s="2" t="n">
        <v>4</v>
      </c>
      <c r="X3327" s="2" t="n">
        <v>2</v>
      </c>
      <c r="Y3327" s="2" t="n">
        <v>3</v>
      </c>
      <c r="Z3327" s="2" t="n">
        <v>4</v>
      </c>
    </row>
    <row r="3328" customFormat="false" ht="15" hidden="false" customHeight="true" outlineLevel="0" collapsed="false">
      <c r="A3328" s="2" t="n">
        <v>31</v>
      </c>
      <c r="B3328" s="2" t="s">
        <v>26</v>
      </c>
      <c r="C3328" s="2" t="s">
        <v>27</v>
      </c>
      <c r="D3328" s="2" t="s">
        <v>35</v>
      </c>
      <c r="E3328" s="2" t="n">
        <v>16</v>
      </c>
      <c r="F3328" s="2" t="n">
        <v>3</v>
      </c>
      <c r="G3328" s="2" t="s">
        <v>29</v>
      </c>
      <c r="H3328" s="2" t="n">
        <v>3327</v>
      </c>
      <c r="I3328" s="2" t="s">
        <v>30</v>
      </c>
      <c r="J3328" s="2" t="n">
        <v>3</v>
      </c>
      <c r="K3328" s="2" t="s">
        <v>40</v>
      </c>
      <c r="L3328" s="2" t="s">
        <v>32</v>
      </c>
      <c r="M3328" s="2" t="n">
        <v>22790</v>
      </c>
      <c r="N3328" s="2" t="n">
        <v>3</v>
      </c>
      <c r="O3328" s="2" t="n">
        <v>12</v>
      </c>
      <c r="P3328" s="2" t="n">
        <v>1</v>
      </c>
      <c r="Q3328" s="2" t="n">
        <v>8</v>
      </c>
      <c r="R3328" s="2" t="n">
        <v>3</v>
      </c>
      <c r="S3328" s="2" t="n">
        <v>6</v>
      </c>
      <c r="T3328" s="2" t="n">
        <v>0</v>
      </c>
      <c r="U3328" s="2" t="n">
        <v>2</v>
      </c>
      <c r="V3328" s="2" t="n">
        <v>4</v>
      </c>
      <c r="W3328" s="2" t="n">
        <v>4</v>
      </c>
      <c r="X3328" s="2" t="n">
        <v>3</v>
      </c>
      <c r="Y3328" s="2" t="n">
        <v>3</v>
      </c>
      <c r="Z3328" s="2" t="n">
        <v>3</v>
      </c>
    </row>
    <row r="3329" customFormat="false" ht="15" hidden="false" customHeight="true" outlineLevel="0" collapsed="false">
      <c r="A3329" s="2" t="n">
        <v>29</v>
      </c>
      <c r="B3329" s="2" t="s">
        <v>33</v>
      </c>
      <c r="C3329" s="2" t="s">
        <v>27</v>
      </c>
      <c r="D3329" s="2" t="s">
        <v>28</v>
      </c>
      <c r="E3329" s="2" t="n">
        <v>3</v>
      </c>
      <c r="F3329" s="2" t="n">
        <v>3</v>
      </c>
      <c r="G3329" s="2" t="s">
        <v>50</v>
      </c>
      <c r="H3329" s="2" t="n">
        <v>3328</v>
      </c>
      <c r="I3329" s="2" t="s">
        <v>39</v>
      </c>
      <c r="J3329" s="2" t="n">
        <v>3</v>
      </c>
      <c r="K3329" s="2" t="s">
        <v>45</v>
      </c>
      <c r="L3329" s="2" t="s">
        <v>46</v>
      </c>
      <c r="M3329" s="2" t="n">
        <v>59160</v>
      </c>
      <c r="N3329" s="2" t="n">
        <v>6</v>
      </c>
      <c r="O3329" s="2" t="n">
        <v>12</v>
      </c>
      <c r="P3329" s="2" t="n">
        <v>0</v>
      </c>
      <c r="Q3329" s="2" t="n">
        <v>5</v>
      </c>
      <c r="R3329" s="2" t="n">
        <v>2</v>
      </c>
      <c r="S3329" s="2" t="n">
        <v>3</v>
      </c>
      <c r="T3329" s="2" t="n">
        <v>0</v>
      </c>
      <c r="U3329" s="2" t="n">
        <v>2</v>
      </c>
      <c r="V3329" s="2" t="n">
        <v>2</v>
      </c>
      <c r="W3329" s="2" t="n">
        <v>3</v>
      </c>
      <c r="X3329" s="2" t="n">
        <v>3</v>
      </c>
      <c r="Y3329" s="2" t="n">
        <v>3</v>
      </c>
      <c r="Z3329" s="2" t="n">
        <v>3</v>
      </c>
    </row>
    <row r="3330" customFormat="false" ht="15" hidden="false" customHeight="true" outlineLevel="0" collapsed="false">
      <c r="A3330" s="2" t="n">
        <v>53</v>
      </c>
      <c r="B3330" s="2" t="s">
        <v>26</v>
      </c>
      <c r="C3330" s="2" t="s">
        <v>27</v>
      </c>
      <c r="D3330" s="2" t="s">
        <v>35</v>
      </c>
      <c r="E3330" s="2" t="n">
        <v>9</v>
      </c>
      <c r="F3330" s="2" t="n">
        <v>3</v>
      </c>
      <c r="G3330" s="2" t="s">
        <v>29</v>
      </c>
      <c r="H3330" s="2" t="n">
        <v>3329</v>
      </c>
      <c r="I3330" s="2" t="s">
        <v>39</v>
      </c>
      <c r="J3330" s="2" t="n">
        <v>1</v>
      </c>
      <c r="K3330" s="2" t="s">
        <v>48</v>
      </c>
      <c r="L3330" s="2" t="s">
        <v>32</v>
      </c>
      <c r="M3330" s="2" t="n">
        <v>20890</v>
      </c>
      <c r="N3330" s="2" t="n">
        <v>5</v>
      </c>
      <c r="O3330" s="2" t="n">
        <v>16</v>
      </c>
      <c r="P3330" s="2" t="n">
        <v>0</v>
      </c>
      <c r="Q3330" s="2" t="n">
        <v>28</v>
      </c>
      <c r="R3330" s="2" t="n">
        <v>2</v>
      </c>
      <c r="S3330" s="2" t="n">
        <v>2</v>
      </c>
      <c r="T3330" s="2" t="n">
        <v>2</v>
      </c>
      <c r="U3330" s="2" t="n">
        <v>2</v>
      </c>
      <c r="V3330" s="2" t="n">
        <v>1</v>
      </c>
      <c r="W3330" s="2" t="n">
        <v>4</v>
      </c>
      <c r="X3330" s="2" t="n">
        <v>3</v>
      </c>
      <c r="Y3330" s="2" t="n">
        <v>2</v>
      </c>
      <c r="Z3330" s="2" t="n">
        <v>3</v>
      </c>
    </row>
    <row r="3331" customFormat="false" ht="15" hidden="false" customHeight="true" outlineLevel="0" collapsed="false">
      <c r="A3331" s="2" t="n">
        <v>35</v>
      </c>
      <c r="B3331" s="2" t="s">
        <v>26</v>
      </c>
      <c r="C3331" s="2" t="s">
        <v>27</v>
      </c>
      <c r="D3331" s="2" t="s">
        <v>35</v>
      </c>
      <c r="E3331" s="2" t="n">
        <v>1</v>
      </c>
      <c r="F3331" s="2" t="n">
        <v>3</v>
      </c>
      <c r="G3331" s="2" t="s">
        <v>29</v>
      </c>
      <c r="H3331" s="2" t="n">
        <v>3330</v>
      </c>
      <c r="I3331" s="2" t="s">
        <v>39</v>
      </c>
      <c r="J3331" s="2" t="n">
        <v>3</v>
      </c>
      <c r="K3331" s="2" t="s">
        <v>31</v>
      </c>
      <c r="L3331" s="2" t="s">
        <v>32</v>
      </c>
      <c r="M3331" s="2" t="n">
        <v>167920</v>
      </c>
      <c r="N3331" s="2" t="n">
        <v>3</v>
      </c>
      <c r="O3331" s="2" t="n">
        <v>12</v>
      </c>
      <c r="P3331" s="2" t="n">
        <v>1</v>
      </c>
      <c r="Q3331" s="2" t="n">
        <v>16</v>
      </c>
      <c r="R3331" s="2" t="n">
        <v>3</v>
      </c>
      <c r="S3331" s="2" t="n">
        <v>13</v>
      </c>
      <c r="T3331" s="2" t="n">
        <v>4</v>
      </c>
      <c r="U3331" s="2" t="n">
        <v>8</v>
      </c>
      <c r="V3331" s="2" t="n">
        <v>4</v>
      </c>
      <c r="W3331" s="2" t="n">
        <v>2</v>
      </c>
      <c r="X3331" s="2" t="n">
        <v>3</v>
      </c>
      <c r="Y3331" s="2" t="n">
        <v>4</v>
      </c>
      <c r="Z3331" s="2" t="n">
        <v>3</v>
      </c>
    </row>
    <row r="3332" customFormat="false" ht="15" hidden="false" customHeight="true" outlineLevel="0" collapsed="false">
      <c r="A3332" s="2" t="n">
        <v>37</v>
      </c>
      <c r="B3332" s="2" t="s">
        <v>26</v>
      </c>
      <c r="C3332" s="2" t="s">
        <v>34</v>
      </c>
      <c r="D3332" s="2" t="s">
        <v>35</v>
      </c>
      <c r="E3332" s="2" t="n">
        <v>13</v>
      </c>
      <c r="F3332" s="2" t="n">
        <v>4</v>
      </c>
      <c r="G3332" s="2" t="s">
        <v>29</v>
      </c>
      <c r="H3332" s="2" t="n">
        <v>3331</v>
      </c>
      <c r="I3332" s="2" t="s">
        <v>30</v>
      </c>
      <c r="J3332" s="2" t="n">
        <v>3</v>
      </c>
      <c r="K3332" s="2" t="s">
        <v>42</v>
      </c>
      <c r="L3332" s="2" t="s">
        <v>32</v>
      </c>
      <c r="M3332" s="2" t="n">
        <v>35640</v>
      </c>
      <c r="N3332" s="2" t="n">
        <v>5</v>
      </c>
      <c r="O3332" s="2" t="n">
        <v>11</v>
      </c>
      <c r="P3332" s="2" t="n">
        <v>0</v>
      </c>
      <c r="Q3332" s="2" t="n">
        <v>10</v>
      </c>
      <c r="R3332" s="2" t="n">
        <v>1</v>
      </c>
      <c r="S3332" s="2" t="n">
        <v>5</v>
      </c>
      <c r="T3332" s="2" t="n">
        <v>0</v>
      </c>
      <c r="U3332" s="2" t="n">
        <v>0</v>
      </c>
      <c r="V3332" s="2" t="n">
        <v>3</v>
      </c>
      <c r="W3332" s="2" t="n">
        <v>4</v>
      </c>
      <c r="X3332" s="2" t="n">
        <v>3</v>
      </c>
      <c r="Y3332" s="2" t="n">
        <v>1</v>
      </c>
      <c r="Z3332" s="2" t="n">
        <v>3</v>
      </c>
    </row>
    <row r="3333" customFormat="false" ht="15" hidden="false" customHeight="true" outlineLevel="0" collapsed="false">
      <c r="A3333" s="2" t="n">
        <v>53</v>
      </c>
      <c r="B3333" s="2" t="s">
        <v>26</v>
      </c>
      <c r="C3333" s="2" t="s">
        <v>27</v>
      </c>
      <c r="D3333" s="2" t="s">
        <v>35</v>
      </c>
      <c r="E3333" s="2" t="n">
        <v>1</v>
      </c>
      <c r="F3333" s="2" t="n">
        <v>1</v>
      </c>
      <c r="G3333" s="2" t="s">
        <v>43</v>
      </c>
      <c r="H3333" s="2" t="n">
        <v>3332</v>
      </c>
      <c r="I3333" s="2" t="s">
        <v>39</v>
      </c>
      <c r="J3333" s="2" t="n">
        <v>1</v>
      </c>
      <c r="K3333" s="2" t="s">
        <v>40</v>
      </c>
      <c r="L3333" s="2" t="s">
        <v>37</v>
      </c>
      <c r="M3333" s="2" t="n">
        <v>44250</v>
      </c>
      <c r="N3333" s="2" t="n">
        <v>6</v>
      </c>
      <c r="O3333" s="2" t="n">
        <v>22</v>
      </c>
      <c r="P3333" s="2" t="n">
        <v>1</v>
      </c>
      <c r="Q3333" s="2" t="n">
        <v>33</v>
      </c>
      <c r="R3333" s="2" t="n">
        <v>2</v>
      </c>
      <c r="S3333" s="2" t="n">
        <v>12</v>
      </c>
      <c r="T3333" s="2" t="n">
        <v>3</v>
      </c>
      <c r="U3333" s="2" t="n">
        <v>8</v>
      </c>
      <c r="V3333" s="2" t="n">
        <v>4</v>
      </c>
      <c r="W3333" s="2" t="n">
        <v>4</v>
      </c>
      <c r="X3333" s="2" t="n">
        <v>3</v>
      </c>
      <c r="Y3333" s="2" t="n">
        <v>4</v>
      </c>
      <c r="Z3333" s="2" t="n">
        <v>4</v>
      </c>
    </row>
    <row r="3334" customFormat="false" ht="15" hidden="false" customHeight="true" outlineLevel="0" collapsed="false">
      <c r="A3334" s="2" t="n">
        <v>43</v>
      </c>
      <c r="B3334" s="2" t="s">
        <v>26</v>
      </c>
      <c r="C3334" s="2" t="s">
        <v>34</v>
      </c>
      <c r="D3334" s="2" t="s">
        <v>35</v>
      </c>
      <c r="E3334" s="2" t="n">
        <v>1</v>
      </c>
      <c r="F3334" s="2" t="n">
        <v>3</v>
      </c>
      <c r="G3334" s="2" t="s">
        <v>43</v>
      </c>
      <c r="H3334" s="2" t="n">
        <v>3333</v>
      </c>
      <c r="I3334" s="2" t="s">
        <v>39</v>
      </c>
      <c r="J3334" s="2" t="n">
        <v>1</v>
      </c>
      <c r="K3334" s="2" t="s">
        <v>45</v>
      </c>
      <c r="L3334" s="2" t="s">
        <v>32</v>
      </c>
      <c r="M3334" s="2" t="n">
        <v>52650</v>
      </c>
      <c r="N3334" s="2" t="n">
        <v>4</v>
      </c>
      <c r="O3334" s="2" t="n">
        <v>11</v>
      </c>
      <c r="P3334" s="2" t="n">
        <v>1</v>
      </c>
      <c r="Q3334" s="2" t="n">
        <v>12</v>
      </c>
      <c r="R3334" s="2" t="n">
        <v>4</v>
      </c>
      <c r="S3334" s="2" t="n">
        <v>5</v>
      </c>
      <c r="T3334" s="2" t="n">
        <v>2</v>
      </c>
      <c r="U3334" s="2" t="n">
        <v>2</v>
      </c>
      <c r="V3334" s="2" t="n">
        <v>4</v>
      </c>
      <c r="W3334" s="2" t="n">
        <v>4</v>
      </c>
      <c r="X3334" s="2" t="n">
        <v>2</v>
      </c>
      <c r="Y3334" s="2" t="n">
        <v>3</v>
      </c>
      <c r="Z3334" s="2" t="n">
        <v>3</v>
      </c>
    </row>
    <row r="3335" customFormat="false" ht="15" hidden="false" customHeight="true" outlineLevel="0" collapsed="false">
      <c r="A3335" s="2" t="n">
        <v>47</v>
      </c>
      <c r="B3335" s="2" t="s">
        <v>26</v>
      </c>
      <c r="C3335" s="2" t="s">
        <v>27</v>
      </c>
      <c r="D3335" s="2" t="s">
        <v>28</v>
      </c>
      <c r="E3335" s="2" t="n">
        <v>15</v>
      </c>
      <c r="F3335" s="2" t="n">
        <v>4</v>
      </c>
      <c r="G3335" s="2" t="s">
        <v>50</v>
      </c>
      <c r="H3335" s="2" t="n">
        <v>3334</v>
      </c>
      <c r="I3335" s="2" t="s">
        <v>30</v>
      </c>
      <c r="J3335" s="2" t="n">
        <v>3</v>
      </c>
      <c r="K3335" s="2" t="s">
        <v>44</v>
      </c>
      <c r="L3335" s="2" t="s">
        <v>32</v>
      </c>
      <c r="M3335" s="2" t="n">
        <v>65530</v>
      </c>
      <c r="N3335" s="2" t="n">
        <v>0</v>
      </c>
      <c r="O3335" s="2" t="n">
        <v>15</v>
      </c>
      <c r="P3335" s="2" t="n">
        <v>0</v>
      </c>
      <c r="Q3335" s="2" t="n">
        <v>8</v>
      </c>
      <c r="R3335" s="2" t="n">
        <v>2</v>
      </c>
      <c r="S3335" s="2" t="n">
        <v>7</v>
      </c>
      <c r="T3335" s="2" t="n">
        <v>7</v>
      </c>
      <c r="U3335" s="2" t="n">
        <v>7</v>
      </c>
      <c r="V3335" s="2" t="n">
        <v>3</v>
      </c>
      <c r="W3335" s="2" t="n">
        <v>4</v>
      </c>
      <c r="X3335" s="2" t="n">
        <v>3</v>
      </c>
      <c r="Y3335" s="2" t="n">
        <v>3</v>
      </c>
      <c r="Z3335" s="2" t="n">
        <v>3</v>
      </c>
    </row>
    <row r="3336" customFormat="false" ht="15" hidden="false" customHeight="true" outlineLevel="0" collapsed="false">
      <c r="A3336" s="2" t="n">
        <v>37</v>
      </c>
      <c r="B3336" s="2" t="s">
        <v>26</v>
      </c>
      <c r="C3336" s="2" t="s">
        <v>41</v>
      </c>
      <c r="D3336" s="2" t="s">
        <v>35</v>
      </c>
      <c r="E3336" s="2" t="n">
        <v>1</v>
      </c>
      <c r="F3336" s="2" t="n">
        <v>5</v>
      </c>
      <c r="G3336" s="2" t="s">
        <v>43</v>
      </c>
      <c r="H3336" s="2" t="n">
        <v>3335</v>
      </c>
      <c r="I3336" s="2" t="s">
        <v>30</v>
      </c>
      <c r="J3336" s="2" t="n">
        <v>2</v>
      </c>
      <c r="K3336" s="2" t="s">
        <v>36</v>
      </c>
      <c r="L3336" s="2" t="s">
        <v>37</v>
      </c>
      <c r="M3336" s="2" t="n">
        <v>62610</v>
      </c>
      <c r="N3336" s="2" t="n">
        <v>1</v>
      </c>
      <c r="O3336" s="2" t="n">
        <v>12</v>
      </c>
      <c r="P3336" s="2" t="n">
        <v>0</v>
      </c>
      <c r="Q3336" s="2" t="n">
        <v>10</v>
      </c>
      <c r="R3336" s="2" t="n">
        <v>1</v>
      </c>
      <c r="S3336" s="2" t="n">
        <v>10</v>
      </c>
      <c r="T3336" s="2" t="n">
        <v>0</v>
      </c>
      <c r="U3336" s="2" t="n">
        <v>9</v>
      </c>
      <c r="V3336" s="2" t="n">
        <v>1</v>
      </c>
      <c r="W3336" s="2" t="n">
        <v>2</v>
      </c>
      <c r="X3336" s="2" t="n">
        <v>3</v>
      </c>
      <c r="Y3336" s="2" t="n">
        <v>3</v>
      </c>
      <c r="Z3336" s="2" t="n">
        <v>3</v>
      </c>
    </row>
    <row r="3337" customFormat="false" ht="15" hidden="false" customHeight="true" outlineLevel="0" collapsed="false">
      <c r="A3337" s="2" t="n">
        <v>50</v>
      </c>
      <c r="B3337" s="2" t="s">
        <v>26</v>
      </c>
      <c r="C3337" s="2" t="s">
        <v>41</v>
      </c>
      <c r="D3337" s="2" t="s">
        <v>35</v>
      </c>
      <c r="E3337" s="2" t="n">
        <v>17</v>
      </c>
      <c r="F3337" s="2" t="n">
        <v>3</v>
      </c>
      <c r="G3337" s="2" t="s">
        <v>43</v>
      </c>
      <c r="H3337" s="2" t="n">
        <v>3336</v>
      </c>
      <c r="I3337" s="2" t="s">
        <v>30</v>
      </c>
      <c r="J3337" s="2" t="n">
        <v>1</v>
      </c>
      <c r="K3337" s="2" t="s">
        <v>45</v>
      </c>
      <c r="L3337" s="2" t="s">
        <v>46</v>
      </c>
      <c r="M3337" s="2" t="n">
        <v>42980</v>
      </c>
      <c r="N3337" s="2" t="n">
        <v>1</v>
      </c>
      <c r="O3337" s="2" t="n">
        <v>20</v>
      </c>
      <c r="P3337" s="2" t="n">
        <v>1</v>
      </c>
      <c r="Q3337" s="2" t="n">
        <v>31</v>
      </c>
      <c r="R3337" s="2" t="n">
        <v>6</v>
      </c>
      <c r="S3337" s="2" t="n">
        <v>31</v>
      </c>
      <c r="T3337" s="2" t="n">
        <v>14</v>
      </c>
      <c r="U3337" s="2" t="n">
        <v>7</v>
      </c>
      <c r="V3337" s="2" t="n">
        <v>1</v>
      </c>
      <c r="W3337" s="2" t="n">
        <v>1</v>
      </c>
      <c r="X3337" s="2" t="n">
        <v>3</v>
      </c>
      <c r="Y3337" s="2" t="n">
        <v>3</v>
      </c>
      <c r="Z3337" s="2" t="n">
        <v>4</v>
      </c>
    </row>
    <row r="3338" customFormat="false" ht="15" hidden="false" customHeight="true" outlineLevel="0" collapsed="false">
      <c r="A3338" s="2" t="n">
        <v>39</v>
      </c>
      <c r="B3338" s="2" t="s">
        <v>26</v>
      </c>
      <c r="C3338" s="2" t="s">
        <v>27</v>
      </c>
      <c r="D3338" s="2" t="s">
        <v>35</v>
      </c>
      <c r="E3338" s="2" t="n">
        <v>1</v>
      </c>
      <c r="F3338" s="2" t="n">
        <v>3</v>
      </c>
      <c r="G3338" s="2" t="s">
        <v>38</v>
      </c>
      <c r="H3338" s="2" t="n">
        <v>3337</v>
      </c>
      <c r="I3338" s="2" t="s">
        <v>30</v>
      </c>
      <c r="J3338" s="2" t="n">
        <v>3</v>
      </c>
      <c r="K3338" s="2" t="s">
        <v>42</v>
      </c>
      <c r="L3338" s="2" t="s">
        <v>32</v>
      </c>
      <c r="M3338" s="2" t="n">
        <v>68040</v>
      </c>
      <c r="N3338" s="2" t="n">
        <v>8</v>
      </c>
      <c r="O3338" s="2" t="n">
        <v>14</v>
      </c>
      <c r="P3338" s="2" t="n">
        <v>1</v>
      </c>
      <c r="Q3338" s="2" t="n">
        <v>13</v>
      </c>
      <c r="R3338" s="2" t="n">
        <v>3</v>
      </c>
      <c r="S3338" s="2" t="n">
        <v>5</v>
      </c>
      <c r="T3338" s="2" t="n">
        <v>0</v>
      </c>
      <c r="U3338" s="2" t="n">
        <v>4</v>
      </c>
      <c r="V3338" s="2" t="n">
        <v>4</v>
      </c>
      <c r="W3338" s="2" t="n">
        <v>4</v>
      </c>
      <c r="X3338" s="2" t="n">
        <v>3</v>
      </c>
      <c r="Y3338" s="2" t="n">
        <v>2</v>
      </c>
      <c r="Z3338" s="2" t="n">
        <v>3</v>
      </c>
    </row>
    <row r="3339" customFormat="false" ht="15" hidden="false" customHeight="true" outlineLevel="0" collapsed="false">
      <c r="A3339" s="2" t="n">
        <v>33</v>
      </c>
      <c r="B3339" s="2" t="s">
        <v>26</v>
      </c>
      <c r="C3339" s="2" t="s">
        <v>27</v>
      </c>
      <c r="D3339" s="2" t="s">
        <v>28</v>
      </c>
      <c r="E3339" s="2" t="n">
        <v>7</v>
      </c>
      <c r="F3339" s="2" t="n">
        <v>3</v>
      </c>
      <c r="G3339" s="2" t="s">
        <v>29</v>
      </c>
      <c r="H3339" s="2" t="n">
        <v>3338</v>
      </c>
      <c r="I3339" s="2" t="s">
        <v>39</v>
      </c>
      <c r="J3339" s="2" t="n">
        <v>2</v>
      </c>
      <c r="K3339" s="2" t="s">
        <v>47</v>
      </c>
      <c r="L3339" s="2" t="s">
        <v>46</v>
      </c>
      <c r="M3339" s="2" t="n">
        <v>38150</v>
      </c>
      <c r="N3339" s="2" t="n">
        <v>3</v>
      </c>
      <c r="O3339" s="2" t="n">
        <v>11</v>
      </c>
      <c r="P3339" s="2" t="n">
        <v>1</v>
      </c>
      <c r="Q3339" s="2" t="n">
        <v>7</v>
      </c>
      <c r="R3339" s="2" t="n">
        <v>3</v>
      </c>
      <c r="S3339" s="2" t="n">
        <v>4</v>
      </c>
      <c r="T3339" s="2" t="n">
        <v>0</v>
      </c>
      <c r="U3339" s="2" t="n">
        <v>3</v>
      </c>
      <c r="V3339" s="2" t="n">
        <v>4</v>
      </c>
      <c r="W3339" s="2" t="n">
        <v>2</v>
      </c>
      <c r="X3339" s="2" t="n">
        <v>4</v>
      </c>
      <c r="Y3339" s="2" t="n">
        <v>3</v>
      </c>
      <c r="Z3339" s="2" t="n">
        <v>3</v>
      </c>
    </row>
    <row r="3340" customFormat="false" ht="15" hidden="false" customHeight="true" outlineLevel="0" collapsed="false">
      <c r="A3340" s="2" t="n">
        <v>32</v>
      </c>
      <c r="B3340" s="2" t="s">
        <v>33</v>
      </c>
      <c r="C3340" s="2" t="s">
        <v>27</v>
      </c>
      <c r="D3340" s="2" t="s">
        <v>35</v>
      </c>
      <c r="E3340" s="2" t="n">
        <v>9</v>
      </c>
      <c r="F3340" s="2" t="n">
        <v>1</v>
      </c>
      <c r="G3340" s="2" t="s">
        <v>43</v>
      </c>
      <c r="H3340" s="2" t="n">
        <v>3339</v>
      </c>
      <c r="I3340" s="2" t="s">
        <v>30</v>
      </c>
      <c r="J3340" s="2" t="n">
        <v>1</v>
      </c>
      <c r="K3340" s="2" t="s">
        <v>45</v>
      </c>
      <c r="L3340" s="2" t="s">
        <v>37</v>
      </c>
      <c r="M3340" s="2" t="n">
        <v>27410</v>
      </c>
      <c r="N3340" s="2" t="n">
        <v>1</v>
      </c>
      <c r="O3340" s="2" t="n">
        <v>15</v>
      </c>
      <c r="P3340" s="2" t="n">
        <v>1</v>
      </c>
      <c r="Q3340" s="2" t="n">
        <v>1</v>
      </c>
      <c r="R3340" s="2" t="n">
        <v>5</v>
      </c>
      <c r="S3340" s="2" t="n">
        <v>1</v>
      </c>
      <c r="T3340" s="2" t="n">
        <v>0</v>
      </c>
      <c r="U3340" s="2" t="n">
        <v>1</v>
      </c>
      <c r="V3340" s="2" t="n">
        <v>1</v>
      </c>
      <c r="W3340" s="2" t="n">
        <v>4</v>
      </c>
      <c r="X3340" s="2" t="n">
        <v>1</v>
      </c>
      <c r="Y3340" s="2" t="n">
        <v>2</v>
      </c>
      <c r="Z3340" s="2" t="n">
        <v>3</v>
      </c>
    </row>
    <row r="3341" customFormat="false" ht="15" hidden="false" customHeight="true" outlineLevel="0" collapsed="false">
      <c r="A3341" s="2" t="n">
        <v>29</v>
      </c>
      <c r="B3341" s="2" t="s">
        <v>26</v>
      </c>
      <c r="C3341" s="2" t="s">
        <v>27</v>
      </c>
      <c r="D3341" s="2" t="s">
        <v>35</v>
      </c>
      <c r="E3341" s="2" t="n">
        <v>5</v>
      </c>
      <c r="F3341" s="2" t="n">
        <v>4</v>
      </c>
      <c r="G3341" s="2" t="s">
        <v>29</v>
      </c>
      <c r="H3341" s="2" t="n">
        <v>3340</v>
      </c>
      <c r="I3341" s="2" t="s">
        <v>30</v>
      </c>
      <c r="J3341" s="2" t="n">
        <v>4</v>
      </c>
      <c r="K3341" s="2" t="s">
        <v>31</v>
      </c>
      <c r="L3341" s="2" t="s">
        <v>46</v>
      </c>
      <c r="M3341" s="2" t="n">
        <v>66730</v>
      </c>
      <c r="N3341" s="2" t="n">
        <v>6</v>
      </c>
      <c r="O3341" s="2" t="n">
        <v>12</v>
      </c>
      <c r="P3341" s="2" t="n">
        <v>1</v>
      </c>
      <c r="Q3341" s="2" t="n">
        <v>8</v>
      </c>
      <c r="R3341" s="2" t="n">
        <v>2</v>
      </c>
      <c r="S3341" s="2" t="n">
        <v>4</v>
      </c>
      <c r="T3341" s="2" t="n">
        <v>0</v>
      </c>
      <c r="U3341" s="2" t="n">
        <v>3</v>
      </c>
      <c r="V3341" s="2" t="n">
        <v>1</v>
      </c>
      <c r="W3341" s="2" t="n">
        <v>4</v>
      </c>
      <c r="X3341" s="2"/>
      <c r="Y3341" s="2" t="n">
        <v>4</v>
      </c>
      <c r="Z3341" s="2" t="n">
        <v>3</v>
      </c>
    </row>
    <row r="3342" customFormat="false" ht="15" hidden="false" customHeight="true" outlineLevel="0" collapsed="false">
      <c r="A3342" s="2" t="n">
        <v>44</v>
      </c>
      <c r="B3342" s="2" t="s">
        <v>26</v>
      </c>
      <c r="C3342" s="2" t="s">
        <v>27</v>
      </c>
      <c r="D3342" s="2" t="s">
        <v>35</v>
      </c>
      <c r="E3342" s="2" t="n">
        <v>26</v>
      </c>
      <c r="F3342" s="2" t="n">
        <v>2</v>
      </c>
      <c r="G3342" s="2" t="s">
        <v>29</v>
      </c>
      <c r="H3342" s="2" t="n">
        <v>3341</v>
      </c>
      <c r="I3342" s="2" t="s">
        <v>39</v>
      </c>
      <c r="J3342" s="2" t="n">
        <v>2</v>
      </c>
      <c r="K3342" s="2" t="s">
        <v>47</v>
      </c>
      <c r="L3342" s="2" t="s">
        <v>32</v>
      </c>
      <c r="M3342" s="2" t="n">
        <v>76390</v>
      </c>
      <c r="N3342" s="2" t="n">
        <v>1</v>
      </c>
      <c r="O3342" s="2" t="n">
        <v>14</v>
      </c>
      <c r="P3342" s="2" t="n">
        <v>0</v>
      </c>
      <c r="Q3342" s="2" t="n">
        <v>8</v>
      </c>
      <c r="R3342" s="2" t="n">
        <v>6</v>
      </c>
      <c r="S3342" s="2" t="n">
        <v>8</v>
      </c>
      <c r="T3342" s="2" t="n">
        <v>7</v>
      </c>
      <c r="U3342" s="2" t="n">
        <v>1</v>
      </c>
      <c r="V3342" s="2" t="n">
        <v>2</v>
      </c>
      <c r="W3342" s="2" t="n">
        <v>1</v>
      </c>
      <c r="X3342" s="2" t="n">
        <v>3</v>
      </c>
      <c r="Y3342" s="2" t="n">
        <v>3</v>
      </c>
      <c r="Z3342" s="2" t="n">
        <v>3</v>
      </c>
    </row>
    <row r="3343" customFormat="false" ht="15" hidden="false" customHeight="true" outlineLevel="0" collapsed="false">
      <c r="A3343" s="2" t="n">
        <v>28</v>
      </c>
      <c r="B3343" s="2" t="s">
        <v>26</v>
      </c>
      <c r="C3343" s="2" t="s">
        <v>27</v>
      </c>
      <c r="D3343" s="2" t="s">
        <v>28</v>
      </c>
      <c r="E3343" s="2" t="n">
        <v>24</v>
      </c>
      <c r="F3343" s="2" t="n">
        <v>5</v>
      </c>
      <c r="G3343" s="2" t="s">
        <v>29</v>
      </c>
      <c r="H3343" s="2" t="n">
        <v>3342</v>
      </c>
      <c r="I3343" s="2" t="s">
        <v>30</v>
      </c>
      <c r="J3343" s="2" t="n">
        <v>1</v>
      </c>
      <c r="K3343" s="2" t="s">
        <v>36</v>
      </c>
      <c r="L3343" s="2" t="s">
        <v>37</v>
      </c>
      <c r="M3343" s="2" t="n">
        <v>23280</v>
      </c>
      <c r="N3343" s="2" t="n">
        <v>1</v>
      </c>
      <c r="O3343" s="2" t="n">
        <v>11</v>
      </c>
      <c r="P3343" s="2" t="n">
        <v>2</v>
      </c>
      <c r="Q3343" s="2" t="n">
        <v>4</v>
      </c>
      <c r="R3343" s="2" t="n">
        <v>3</v>
      </c>
      <c r="S3343" s="2" t="n">
        <v>4</v>
      </c>
      <c r="T3343" s="2" t="n">
        <v>0</v>
      </c>
      <c r="U3343" s="2" t="n">
        <v>2</v>
      </c>
      <c r="V3343" s="2" t="n">
        <v>1</v>
      </c>
      <c r="W3343" s="2" t="n">
        <v>4</v>
      </c>
      <c r="X3343" s="2" t="n">
        <v>3</v>
      </c>
      <c r="Y3343" s="2" t="n">
        <v>3</v>
      </c>
      <c r="Z3343" s="2" t="n">
        <v>3</v>
      </c>
    </row>
    <row r="3344" customFormat="false" ht="15" hidden="false" customHeight="true" outlineLevel="0" collapsed="false">
      <c r="A3344" s="2" t="n">
        <v>58</v>
      </c>
      <c r="B3344" s="2" t="s">
        <v>33</v>
      </c>
      <c r="C3344" s="2" t="s">
        <v>34</v>
      </c>
      <c r="D3344" s="2" t="s">
        <v>28</v>
      </c>
      <c r="E3344" s="2" t="n">
        <v>9</v>
      </c>
      <c r="F3344" s="2" t="n">
        <v>2</v>
      </c>
      <c r="G3344" s="2" t="s">
        <v>51</v>
      </c>
      <c r="H3344" s="2" t="n">
        <v>3343</v>
      </c>
      <c r="I3344" s="2" t="s">
        <v>39</v>
      </c>
      <c r="J3344" s="2" t="n">
        <v>1</v>
      </c>
      <c r="K3344" s="2" t="s">
        <v>40</v>
      </c>
      <c r="L3344" s="2" t="s">
        <v>46</v>
      </c>
      <c r="M3344" s="2" t="n">
        <v>21530</v>
      </c>
      <c r="N3344" s="2" t="n">
        <v>9</v>
      </c>
      <c r="O3344" s="2" t="n">
        <v>11</v>
      </c>
      <c r="P3344" s="2" t="n">
        <v>0</v>
      </c>
      <c r="Q3344" s="2" t="n">
        <v>3</v>
      </c>
      <c r="R3344" s="2" t="n">
        <v>3</v>
      </c>
      <c r="S3344" s="2" t="n">
        <v>1</v>
      </c>
      <c r="T3344" s="2" t="n">
        <v>0</v>
      </c>
      <c r="U3344" s="2" t="n">
        <v>0</v>
      </c>
      <c r="V3344" s="2" t="n">
        <v>4</v>
      </c>
      <c r="W3344" s="2" t="n">
        <v>4</v>
      </c>
      <c r="X3344" s="2" t="n">
        <v>2</v>
      </c>
      <c r="Y3344" s="2" t="n">
        <v>3</v>
      </c>
      <c r="Z3344" s="2" t="n">
        <v>3</v>
      </c>
    </row>
    <row r="3345" customFormat="false" ht="15" hidden="false" customHeight="true" outlineLevel="0" collapsed="false">
      <c r="A3345" s="2" t="n">
        <v>43</v>
      </c>
      <c r="B3345" s="2" t="s">
        <v>26</v>
      </c>
      <c r="C3345" s="2" t="s">
        <v>27</v>
      </c>
      <c r="D3345" s="2" t="s">
        <v>28</v>
      </c>
      <c r="E3345" s="2" t="n">
        <v>7</v>
      </c>
      <c r="F3345" s="2" t="n">
        <v>4</v>
      </c>
      <c r="G3345" s="2" t="s">
        <v>50</v>
      </c>
      <c r="H3345" s="2" t="n">
        <v>3344</v>
      </c>
      <c r="I3345" s="2" t="s">
        <v>39</v>
      </c>
      <c r="J3345" s="2" t="n">
        <v>2</v>
      </c>
      <c r="K3345" s="2" t="s">
        <v>40</v>
      </c>
      <c r="L3345" s="2" t="s">
        <v>46</v>
      </c>
      <c r="M3345" s="2" t="n">
        <v>48760</v>
      </c>
      <c r="N3345" s="2" t="n">
        <v>4</v>
      </c>
      <c r="O3345" s="2" t="n">
        <v>16</v>
      </c>
      <c r="P3345" s="2" t="n">
        <v>2</v>
      </c>
      <c r="Q3345" s="2" t="n">
        <v>4</v>
      </c>
      <c r="R3345" s="2" t="n">
        <v>4</v>
      </c>
      <c r="S3345" s="2" t="n">
        <v>1</v>
      </c>
      <c r="T3345" s="2" t="n">
        <v>0</v>
      </c>
      <c r="U3345" s="2" t="n">
        <v>0</v>
      </c>
      <c r="V3345" s="2" t="n">
        <v>1</v>
      </c>
      <c r="W3345" s="2" t="n">
        <v>2</v>
      </c>
      <c r="X3345" s="2" t="n">
        <v>4</v>
      </c>
      <c r="Y3345" s="2" t="n">
        <v>3</v>
      </c>
      <c r="Z3345" s="2" t="n">
        <v>3</v>
      </c>
    </row>
    <row r="3346" customFormat="false" ht="15" hidden="false" customHeight="true" outlineLevel="0" collapsed="false">
      <c r="A3346" s="2" t="n">
        <v>20</v>
      </c>
      <c r="B3346" s="2" t="s">
        <v>33</v>
      </c>
      <c r="C3346" s="2" t="s">
        <v>27</v>
      </c>
      <c r="D3346" s="2" t="s">
        <v>35</v>
      </c>
      <c r="E3346" s="2" t="n">
        <v>11</v>
      </c>
      <c r="F3346" s="2" t="n">
        <v>3</v>
      </c>
      <c r="G3346" s="2" t="s">
        <v>43</v>
      </c>
      <c r="H3346" s="2" t="n">
        <v>3345</v>
      </c>
      <c r="I3346" s="2" t="s">
        <v>39</v>
      </c>
      <c r="J3346" s="2" t="n">
        <v>2</v>
      </c>
      <c r="K3346" s="2" t="s">
        <v>40</v>
      </c>
      <c r="L3346" s="2" t="s">
        <v>37</v>
      </c>
      <c r="M3346" s="2" t="n">
        <v>93960</v>
      </c>
      <c r="N3346" s="2" t="n">
        <v>1</v>
      </c>
      <c r="O3346" s="2" t="n">
        <v>12</v>
      </c>
      <c r="P3346" s="2" t="n">
        <v>0</v>
      </c>
      <c r="Q3346" s="2" t="n">
        <v>2</v>
      </c>
      <c r="R3346" s="2" t="n">
        <v>6</v>
      </c>
      <c r="S3346" s="2" t="n">
        <v>2</v>
      </c>
      <c r="T3346" s="2" t="n">
        <v>0</v>
      </c>
      <c r="U3346" s="2" t="n">
        <v>2</v>
      </c>
      <c r="V3346" s="2" t="n">
        <v>3</v>
      </c>
      <c r="W3346" s="2" t="n">
        <v>3</v>
      </c>
      <c r="X3346" s="2" t="n">
        <v>2</v>
      </c>
      <c r="Y3346" s="2" t="n">
        <v>1</v>
      </c>
      <c r="Z3346" s="2" t="n">
        <v>3</v>
      </c>
    </row>
    <row r="3347" customFormat="false" ht="15" hidden="false" customHeight="true" outlineLevel="0" collapsed="false">
      <c r="A3347" s="2" t="n">
        <v>21</v>
      </c>
      <c r="B3347" s="2" t="s">
        <v>33</v>
      </c>
      <c r="C3347" s="2" t="s">
        <v>27</v>
      </c>
      <c r="D3347" s="2" t="s">
        <v>35</v>
      </c>
      <c r="E3347" s="2" t="n">
        <v>1</v>
      </c>
      <c r="F3347" s="2" t="n">
        <v>3</v>
      </c>
      <c r="G3347" s="2" t="s">
        <v>43</v>
      </c>
      <c r="H3347" s="2" t="n">
        <v>3346</v>
      </c>
      <c r="I3347" s="2" t="s">
        <v>39</v>
      </c>
      <c r="J3347" s="2" t="n">
        <v>2</v>
      </c>
      <c r="K3347" s="2" t="s">
        <v>40</v>
      </c>
      <c r="L3347" s="2" t="s">
        <v>37</v>
      </c>
      <c r="M3347" s="2" t="n">
        <v>104000</v>
      </c>
      <c r="N3347" s="2" t="n">
        <v>1</v>
      </c>
      <c r="O3347" s="2" t="n">
        <v>13</v>
      </c>
      <c r="P3347" s="2" t="n">
        <v>1</v>
      </c>
      <c r="Q3347" s="2" t="n">
        <v>1</v>
      </c>
      <c r="R3347" s="2" t="n">
        <v>2</v>
      </c>
      <c r="S3347" s="2" t="n">
        <v>1</v>
      </c>
      <c r="T3347" s="2" t="n">
        <v>0</v>
      </c>
      <c r="U3347" s="2" t="n">
        <v>0</v>
      </c>
      <c r="V3347" s="2" t="n">
        <v>4</v>
      </c>
      <c r="W3347" s="2" t="n">
        <v>4</v>
      </c>
      <c r="X3347" s="2" t="n">
        <v>2</v>
      </c>
      <c r="Y3347" s="2" t="n">
        <v>3</v>
      </c>
      <c r="Z3347" s="2" t="n">
        <v>3</v>
      </c>
    </row>
    <row r="3348" customFormat="false" ht="15" hidden="false" customHeight="true" outlineLevel="0" collapsed="false">
      <c r="A3348" s="2" t="n">
        <v>36</v>
      </c>
      <c r="B3348" s="2" t="s">
        <v>26</v>
      </c>
      <c r="C3348" s="2" t="s">
        <v>27</v>
      </c>
      <c r="D3348" s="2" t="s">
        <v>35</v>
      </c>
      <c r="E3348" s="2" t="n">
        <v>26</v>
      </c>
      <c r="F3348" s="2" t="n">
        <v>4</v>
      </c>
      <c r="G3348" s="2" t="s">
        <v>43</v>
      </c>
      <c r="H3348" s="2" t="n">
        <v>3347</v>
      </c>
      <c r="I3348" s="2" t="s">
        <v>39</v>
      </c>
      <c r="J3348" s="2" t="n">
        <v>1</v>
      </c>
      <c r="K3348" s="2" t="s">
        <v>45</v>
      </c>
      <c r="L3348" s="2" t="s">
        <v>32</v>
      </c>
      <c r="M3348" s="2" t="n">
        <v>84740</v>
      </c>
      <c r="N3348" s="2" t="n">
        <v>0</v>
      </c>
      <c r="O3348" s="2" t="n">
        <v>14</v>
      </c>
      <c r="P3348" s="2" t="n">
        <v>0</v>
      </c>
      <c r="Q3348" s="2" t="n">
        <v>17</v>
      </c>
      <c r="R3348" s="2" t="n">
        <v>3</v>
      </c>
      <c r="S3348" s="2" t="n">
        <v>16</v>
      </c>
      <c r="T3348" s="2" t="n">
        <v>4</v>
      </c>
      <c r="U3348" s="2" t="n">
        <v>11</v>
      </c>
      <c r="V3348" s="2" t="n">
        <v>3</v>
      </c>
      <c r="W3348" s="2" t="n">
        <v>4</v>
      </c>
      <c r="X3348" s="2" t="n">
        <v>2</v>
      </c>
      <c r="Y3348" s="2" t="n">
        <v>3</v>
      </c>
      <c r="Z3348" s="2" t="n">
        <v>3</v>
      </c>
    </row>
    <row r="3349" customFormat="false" ht="15" hidden="false" customHeight="true" outlineLevel="0" collapsed="false">
      <c r="A3349" s="2" t="n">
        <v>47</v>
      </c>
      <c r="B3349" s="2" t="s">
        <v>26</v>
      </c>
      <c r="C3349" s="2" t="s">
        <v>27</v>
      </c>
      <c r="D3349" s="2" t="s">
        <v>35</v>
      </c>
      <c r="E3349" s="2" t="n">
        <v>2</v>
      </c>
      <c r="F3349" s="2" t="n">
        <v>3</v>
      </c>
      <c r="G3349" s="2" t="s">
        <v>29</v>
      </c>
      <c r="H3349" s="2" t="n">
        <v>3348</v>
      </c>
      <c r="I3349" s="2" t="s">
        <v>39</v>
      </c>
      <c r="J3349" s="2" t="n">
        <v>2</v>
      </c>
      <c r="K3349" s="2" t="s">
        <v>47</v>
      </c>
      <c r="L3349" s="2" t="s">
        <v>37</v>
      </c>
      <c r="M3349" s="2" t="n">
        <v>99810</v>
      </c>
      <c r="N3349" s="2" t="n">
        <v>1</v>
      </c>
      <c r="O3349" s="2" t="n">
        <v>21</v>
      </c>
      <c r="P3349" s="2" t="n">
        <v>1</v>
      </c>
      <c r="Q3349" s="2" t="n">
        <v>3</v>
      </c>
      <c r="R3349" s="2" t="n">
        <v>3</v>
      </c>
      <c r="S3349" s="2" t="n">
        <v>3</v>
      </c>
      <c r="T3349" s="2" t="n">
        <v>1</v>
      </c>
      <c r="U3349" s="2" t="n">
        <v>2</v>
      </c>
      <c r="V3349" s="2" t="n">
        <v>4</v>
      </c>
      <c r="W3349" s="2" t="n">
        <v>4</v>
      </c>
      <c r="X3349" s="2" t="n">
        <v>2</v>
      </c>
      <c r="Y3349" s="2" t="n">
        <v>3</v>
      </c>
      <c r="Z3349" s="2" t="n">
        <v>4</v>
      </c>
    </row>
    <row r="3350" customFormat="false" ht="15" hidden="false" customHeight="true" outlineLevel="0" collapsed="false">
      <c r="A3350" s="2" t="n">
        <v>22</v>
      </c>
      <c r="B3350" s="2" t="s">
        <v>33</v>
      </c>
      <c r="C3350" s="2" t="s">
        <v>27</v>
      </c>
      <c r="D3350" s="2" t="s">
        <v>35</v>
      </c>
      <c r="E3350" s="2" t="n">
        <v>15</v>
      </c>
      <c r="F3350" s="2" t="n">
        <v>4</v>
      </c>
      <c r="G3350" s="2" t="s">
        <v>29</v>
      </c>
      <c r="H3350" s="2" t="n">
        <v>3349</v>
      </c>
      <c r="I3350" s="2" t="s">
        <v>30</v>
      </c>
      <c r="J3350" s="2" t="n">
        <v>1</v>
      </c>
      <c r="K3350" s="2" t="s">
        <v>45</v>
      </c>
      <c r="L3350" s="2" t="s">
        <v>32</v>
      </c>
      <c r="M3350" s="2" t="n">
        <v>124900</v>
      </c>
      <c r="N3350" s="2" t="n">
        <v>0</v>
      </c>
      <c r="O3350" s="2" t="n">
        <v>13</v>
      </c>
      <c r="P3350" s="2" t="n">
        <v>0</v>
      </c>
      <c r="Q3350" s="2" t="n">
        <v>4</v>
      </c>
      <c r="R3350" s="2" t="n">
        <v>3</v>
      </c>
      <c r="S3350" s="2" t="n">
        <v>3</v>
      </c>
      <c r="T3350" s="2" t="n">
        <v>0</v>
      </c>
      <c r="U3350" s="2" t="n">
        <v>2</v>
      </c>
      <c r="V3350" s="2" t="n">
        <v>2</v>
      </c>
      <c r="W3350" s="2" t="n">
        <v>3</v>
      </c>
      <c r="X3350" s="2" t="n">
        <v>4</v>
      </c>
      <c r="Y3350" s="2" t="n">
        <v>3</v>
      </c>
      <c r="Z3350" s="2" t="n">
        <v>3</v>
      </c>
    </row>
    <row r="3351" customFormat="false" ht="15" hidden="false" customHeight="true" outlineLevel="0" collapsed="false">
      <c r="A3351" s="2" t="n">
        <v>41</v>
      </c>
      <c r="B3351" s="2" t="s">
        <v>33</v>
      </c>
      <c r="C3351" s="2" t="s">
        <v>27</v>
      </c>
      <c r="D3351" s="2" t="s">
        <v>35</v>
      </c>
      <c r="E3351" s="2" t="n">
        <v>23</v>
      </c>
      <c r="F3351" s="2" t="n">
        <v>3</v>
      </c>
      <c r="G3351" s="2" t="s">
        <v>29</v>
      </c>
      <c r="H3351" s="2" t="n">
        <v>3350</v>
      </c>
      <c r="I3351" s="2" t="s">
        <v>30</v>
      </c>
      <c r="J3351" s="2" t="n">
        <v>2</v>
      </c>
      <c r="K3351" s="2" t="s">
        <v>40</v>
      </c>
      <c r="L3351" s="2" t="s">
        <v>46</v>
      </c>
      <c r="M3351" s="2" t="n">
        <v>26570</v>
      </c>
      <c r="N3351" s="2" t="n">
        <v>4</v>
      </c>
      <c r="O3351" s="2" t="n">
        <v>11</v>
      </c>
      <c r="P3351" s="2" t="n">
        <v>0</v>
      </c>
      <c r="Q3351" s="2" t="n">
        <v>10</v>
      </c>
      <c r="R3351" s="2" t="n">
        <v>3</v>
      </c>
      <c r="S3351" s="2" t="n">
        <v>7</v>
      </c>
      <c r="T3351" s="2" t="n">
        <v>1</v>
      </c>
      <c r="U3351" s="2" t="n">
        <v>0</v>
      </c>
      <c r="V3351" s="2" t="n">
        <v>2</v>
      </c>
      <c r="W3351" s="2" t="n">
        <v>4</v>
      </c>
      <c r="X3351" s="2" t="n">
        <v>2</v>
      </c>
      <c r="Y3351" s="2" t="n">
        <v>4</v>
      </c>
      <c r="Z3351" s="2" t="n">
        <v>3</v>
      </c>
    </row>
    <row r="3352" customFormat="false" ht="15" hidden="false" customHeight="true" outlineLevel="0" collapsed="false">
      <c r="A3352" s="2" t="n">
        <v>28</v>
      </c>
      <c r="B3352" s="2" t="s">
        <v>26</v>
      </c>
      <c r="C3352" s="2" t="s">
        <v>27</v>
      </c>
      <c r="D3352" s="2" t="s">
        <v>35</v>
      </c>
      <c r="E3352" s="2" t="n">
        <v>10</v>
      </c>
      <c r="F3352" s="2" t="n">
        <v>3</v>
      </c>
      <c r="G3352" s="2" t="s">
        <v>29</v>
      </c>
      <c r="H3352" s="2" t="n">
        <v>3351</v>
      </c>
      <c r="I3352" s="2" t="s">
        <v>30</v>
      </c>
      <c r="J3352" s="2" t="n">
        <v>3</v>
      </c>
      <c r="K3352" s="2" t="s">
        <v>49</v>
      </c>
      <c r="L3352" s="2" t="s">
        <v>46</v>
      </c>
      <c r="M3352" s="2" t="n">
        <v>135910</v>
      </c>
      <c r="N3352" s="2" t="n">
        <v>5</v>
      </c>
      <c r="O3352" s="2" t="n">
        <v>20</v>
      </c>
      <c r="P3352" s="2" t="n">
        <v>1</v>
      </c>
      <c r="Q3352" s="2" t="n">
        <v>6</v>
      </c>
      <c r="R3352" s="2" t="n">
        <v>2</v>
      </c>
      <c r="S3352" s="2" t="n">
        <v>2</v>
      </c>
      <c r="T3352" s="2" t="n">
        <v>2</v>
      </c>
      <c r="U3352" s="2" t="n">
        <v>2</v>
      </c>
      <c r="V3352" s="2" t="n">
        <v>3</v>
      </c>
      <c r="W3352" s="2" t="n">
        <v>3</v>
      </c>
      <c r="X3352" s="2" t="n">
        <v>3</v>
      </c>
      <c r="Y3352" s="2" t="n">
        <v>3</v>
      </c>
      <c r="Z3352" s="2" t="n">
        <v>4</v>
      </c>
    </row>
    <row r="3353" customFormat="false" ht="15" hidden="false" customHeight="true" outlineLevel="0" collapsed="false">
      <c r="A3353" s="2" t="n">
        <v>39</v>
      </c>
      <c r="B3353" s="2" t="s">
        <v>33</v>
      </c>
      <c r="C3353" s="2" t="s">
        <v>27</v>
      </c>
      <c r="D3353" s="2" t="s">
        <v>35</v>
      </c>
      <c r="E3353" s="2" t="n">
        <v>10</v>
      </c>
      <c r="F3353" s="2" t="n">
        <v>4</v>
      </c>
      <c r="G3353" s="2" t="s">
        <v>29</v>
      </c>
      <c r="H3353" s="2" t="n">
        <v>3352</v>
      </c>
      <c r="I3353" s="2" t="s">
        <v>30</v>
      </c>
      <c r="J3353" s="2" t="n">
        <v>4</v>
      </c>
      <c r="K3353" s="2" t="s">
        <v>42</v>
      </c>
      <c r="L3353" s="2" t="s">
        <v>32</v>
      </c>
      <c r="M3353" s="2" t="n">
        <v>66960</v>
      </c>
      <c r="N3353" s="2" t="n">
        <v>7</v>
      </c>
      <c r="O3353" s="2" t="n">
        <v>11</v>
      </c>
      <c r="P3353" s="2" t="n">
        <v>0</v>
      </c>
      <c r="Q3353" s="2" t="n">
        <v>8</v>
      </c>
      <c r="R3353" s="2" t="n">
        <v>3</v>
      </c>
      <c r="S3353" s="2" t="n">
        <v>2</v>
      </c>
      <c r="T3353" s="2" t="n">
        <v>2</v>
      </c>
      <c r="U3353" s="2" t="n">
        <v>2</v>
      </c>
      <c r="V3353" s="2" t="n">
        <v>4</v>
      </c>
      <c r="W3353" s="2" t="n">
        <v>1</v>
      </c>
      <c r="X3353" s="2" t="n">
        <v>1</v>
      </c>
      <c r="Y3353" s="2" t="n">
        <v>3</v>
      </c>
      <c r="Z3353" s="2" t="n">
        <v>3</v>
      </c>
    </row>
    <row r="3354" customFormat="false" ht="15" hidden="false" customHeight="true" outlineLevel="0" collapsed="false">
      <c r="A3354" s="2" t="n">
        <v>27</v>
      </c>
      <c r="B3354" s="2" t="s">
        <v>26</v>
      </c>
      <c r="C3354" s="2" t="s">
        <v>27</v>
      </c>
      <c r="D3354" s="2" t="s">
        <v>35</v>
      </c>
      <c r="E3354" s="2" t="n">
        <v>1</v>
      </c>
      <c r="F3354" s="2" t="n">
        <v>3</v>
      </c>
      <c r="G3354" s="2" t="s">
        <v>43</v>
      </c>
      <c r="H3354" s="2" t="n">
        <v>3353</v>
      </c>
      <c r="I3354" s="2" t="s">
        <v>39</v>
      </c>
      <c r="J3354" s="2" t="n">
        <v>1</v>
      </c>
      <c r="K3354" s="2" t="s">
        <v>36</v>
      </c>
      <c r="L3354" s="2" t="s">
        <v>37</v>
      </c>
      <c r="M3354" s="2" t="n">
        <v>20580</v>
      </c>
      <c r="N3354" s="2" t="n">
        <v>1</v>
      </c>
      <c r="O3354" s="2" t="n">
        <v>14</v>
      </c>
      <c r="P3354" s="2" t="n">
        <v>1</v>
      </c>
      <c r="Q3354" s="2" t="n">
        <v>1</v>
      </c>
      <c r="R3354" s="2" t="n">
        <v>5</v>
      </c>
      <c r="S3354" s="2" t="n">
        <v>1</v>
      </c>
      <c r="T3354" s="2" t="n">
        <v>0</v>
      </c>
      <c r="U3354" s="2" t="n">
        <v>0</v>
      </c>
      <c r="V3354" s="2" t="n">
        <v>2</v>
      </c>
      <c r="W3354" s="2" t="n">
        <v>3</v>
      </c>
      <c r="X3354" s="2" t="n">
        <v>3</v>
      </c>
      <c r="Y3354" s="2" t="n">
        <v>3</v>
      </c>
      <c r="Z3354" s="2" t="n">
        <v>3</v>
      </c>
    </row>
    <row r="3355" customFormat="false" ht="15" hidden="false" customHeight="true" outlineLevel="0" collapsed="false">
      <c r="A3355" s="2" t="n">
        <v>34</v>
      </c>
      <c r="B3355" s="2" t="s">
        <v>26</v>
      </c>
      <c r="C3355" s="2" t="s">
        <v>27</v>
      </c>
      <c r="D3355" s="2" t="s">
        <v>35</v>
      </c>
      <c r="E3355" s="2" t="n">
        <v>12</v>
      </c>
      <c r="F3355" s="2" t="n">
        <v>2</v>
      </c>
      <c r="G3355" s="2" t="s">
        <v>51</v>
      </c>
      <c r="H3355" s="2" t="n">
        <v>3354</v>
      </c>
      <c r="I3355" s="2" t="s">
        <v>39</v>
      </c>
      <c r="J3355" s="2" t="n">
        <v>2</v>
      </c>
      <c r="K3355" s="2" t="s">
        <v>42</v>
      </c>
      <c r="L3355" s="2" t="s">
        <v>46</v>
      </c>
      <c r="M3355" s="2" t="n">
        <v>88650</v>
      </c>
      <c r="N3355" s="2" t="n">
        <v>1</v>
      </c>
      <c r="O3355" s="2" t="n">
        <v>11</v>
      </c>
      <c r="P3355" s="2" t="n">
        <v>1</v>
      </c>
      <c r="Q3355" s="2" t="n">
        <v>1</v>
      </c>
      <c r="R3355" s="2" t="n">
        <v>0</v>
      </c>
      <c r="S3355" s="2" t="n">
        <v>1</v>
      </c>
      <c r="T3355" s="2" t="n">
        <v>1</v>
      </c>
      <c r="U3355" s="2" t="n">
        <v>0</v>
      </c>
      <c r="V3355" s="2" t="n">
        <v>2</v>
      </c>
      <c r="W3355" s="2" t="n">
        <v>2</v>
      </c>
      <c r="X3355" s="2" t="n">
        <v>3</v>
      </c>
      <c r="Y3355" s="2" t="n">
        <v>3</v>
      </c>
      <c r="Z3355" s="2" t="n">
        <v>3</v>
      </c>
    </row>
    <row r="3356" customFormat="false" ht="15" hidden="false" customHeight="true" outlineLevel="0" collapsed="false">
      <c r="A3356" s="2" t="n">
        <v>42</v>
      </c>
      <c r="B3356" s="2" t="s">
        <v>26</v>
      </c>
      <c r="C3356" s="2" t="s">
        <v>27</v>
      </c>
      <c r="D3356" s="2" t="s">
        <v>28</v>
      </c>
      <c r="E3356" s="2" t="n">
        <v>11</v>
      </c>
      <c r="F3356" s="2" t="n">
        <v>1</v>
      </c>
      <c r="G3356" s="2" t="s">
        <v>51</v>
      </c>
      <c r="H3356" s="2" t="n">
        <v>3355</v>
      </c>
      <c r="I3356" s="2" t="s">
        <v>39</v>
      </c>
      <c r="J3356" s="2" t="n">
        <v>2</v>
      </c>
      <c r="K3356" s="2" t="s">
        <v>42</v>
      </c>
      <c r="L3356" s="2" t="s">
        <v>37</v>
      </c>
      <c r="M3356" s="2" t="n">
        <v>59400</v>
      </c>
      <c r="N3356" s="2" t="n">
        <v>7</v>
      </c>
      <c r="O3356" s="2" t="n">
        <v>16</v>
      </c>
      <c r="P3356" s="2" t="n">
        <v>0</v>
      </c>
      <c r="Q3356" s="2" t="n">
        <v>10</v>
      </c>
      <c r="R3356" s="2" t="n">
        <v>2</v>
      </c>
      <c r="S3356" s="2" t="n">
        <v>5</v>
      </c>
      <c r="T3356" s="2" t="n">
        <v>0</v>
      </c>
      <c r="U3356" s="2" t="n">
        <v>3</v>
      </c>
      <c r="V3356" s="2" t="n">
        <v>3</v>
      </c>
      <c r="W3356" s="2" t="n">
        <v>3</v>
      </c>
      <c r="X3356" s="2" t="n">
        <v>3</v>
      </c>
      <c r="Y3356" s="2" t="n">
        <v>2</v>
      </c>
      <c r="Z3356" s="2" t="n">
        <v>3</v>
      </c>
    </row>
    <row r="3357" customFormat="false" ht="15" hidden="false" customHeight="true" outlineLevel="0" collapsed="false">
      <c r="A3357" s="2" t="n">
        <v>33</v>
      </c>
      <c r="B3357" s="2" t="s">
        <v>26</v>
      </c>
      <c r="C3357" s="2" t="s">
        <v>27</v>
      </c>
      <c r="D3357" s="2" t="s">
        <v>28</v>
      </c>
      <c r="E3357" s="2" t="n">
        <v>2</v>
      </c>
      <c r="F3357" s="2" t="n">
        <v>3</v>
      </c>
      <c r="G3357" s="2" t="s">
        <v>50</v>
      </c>
      <c r="H3357" s="2" t="n">
        <v>3356</v>
      </c>
      <c r="I3357" s="2" t="s">
        <v>30</v>
      </c>
      <c r="J3357" s="2" t="n">
        <v>1</v>
      </c>
      <c r="K3357" s="2" t="s">
        <v>40</v>
      </c>
      <c r="L3357" s="2" t="s">
        <v>37</v>
      </c>
      <c r="M3357" s="2" t="n">
        <v>59140</v>
      </c>
      <c r="N3357" s="2" t="n">
        <v>3</v>
      </c>
      <c r="O3357" s="2" t="n">
        <v>16</v>
      </c>
      <c r="P3357" s="2" t="n">
        <v>1</v>
      </c>
      <c r="Q3357" s="2" t="n">
        <v>6</v>
      </c>
      <c r="R3357" s="2" t="n">
        <v>4</v>
      </c>
      <c r="S3357" s="2" t="n">
        <v>3</v>
      </c>
      <c r="T3357" s="2" t="n">
        <v>0</v>
      </c>
      <c r="U3357" s="2" t="n">
        <v>2</v>
      </c>
      <c r="V3357" s="2" t="n">
        <v>3</v>
      </c>
      <c r="W3357" s="2" t="n">
        <v>1</v>
      </c>
      <c r="X3357" s="2" t="n">
        <v>3</v>
      </c>
      <c r="Y3357" s="2" t="n">
        <v>3</v>
      </c>
      <c r="Z3357" s="2" t="n">
        <v>3</v>
      </c>
    </row>
    <row r="3358" customFormat="false" ht="15" hidden="false" customHeight="true" outlineLevel="0" collapsed="false">
      <c r="A3358" s="2" t="n">
        <v>58</v>
      </c>
      <c r="B3358" s="2" t="s">
        <v>26</v>
      </c>
      <c r="C3358" s="2" t="s">
        <v>27</v>
      </c>
      <c r="D3358" s="2" t="s">
        <v>35</v>
      </c>
      <c r="E3358" s="2" t="n">
        <v>2</v>
      </c>
      <c r="F3358" s="2" t="n">
        <v>4</v>
      </c>
      <c r="G3358" s="2" t="s">
        <v>29</v>
      </c>
      <c r="H3358" s="2" t="n">
        <v>3357</v>
      </c>
      <c r="I3358" s="2" t="s">
        <v>39</v>
      </c>
      <c r="J3358" s="2" t="n">
        <v>1</v>
      </c>
      <c r="K3358" s="2" t="s">
        <v>36</v>
      </c>
      <c r="L3358" s="2" t="s">
        <v>46</v>
      </c>
      <c r="M3358" s="2" t="n">
        <v>26220</v>
      </c>
      <c r="N3358" s="2" t="n">
        <v>2</v>
      </c>
      <c r="O3358" s="2" t="n">
        <v>23</v>
      </c>
      <c r="P3358" s="2" t="n">
        <v>0</v>
      </c>
      <c r="Q3358" s="2" t="n">
        <v>24</v>
      </c>
      <c r="R3358" s="2" t="n">
        <v>3</v>
      </c>
      <c r="S3358" s="2" t="n">
        <v>6</v>
      </c>
      <c r="T3358" s="2" t="n">
        <v>0</v>
      </c>
      <c r="U3358" s="2" t="n">
        <v>4</v>
      </c>
      <c r="V3358" s="2" t="n">
        <v>3</v>
      </c>
      <c r="W3358" s="2" t="n">
        <v>2</v>
      </c>
      <c r="X3358" s="2" t="n">
        <v>3</v>
      </c>
      <c r="Y3358" s="2" t="n">
        <v>3</v>
      </c>
      <c r="Z3358" s="2" t="n">
        <v>4</v>
      </c>
    </row>
    <row r="3359" customFormat="false" ht="15" hidden="false" customHeight="true" outlineLevel="0" collapsed="false">
      <c r="A3359" s="2" t="n">
        <v>31</v>
      </c>
      <c r="B3359" s="2" t="s">
        <v>26</v>
      </c>
      <c r="C3359" s="2" t="s">
        <v>27</v>
      </c>
      <c r="D3359" s="2" t="s">
        <v>28</v>
      </c>
      <c r="E3359" s="2" t="n">
        <v>1</v>
      </c>
      <c r="F3359" s="2" t="n">
        <v>3</v>
      </c>
      <c r="G3359" s="2" t="s">
        <v>29</v>
      </c>
      <c r="H3359" s="2" t="n">
        <v>3358</v>
      </c>
      <c r="I3359" s="2" t="s">
        <v>30</v>
      </c>
      <c r="J3359" s="2" t="n">
        <v>1</v>
      </c>
      <c r="K3359" s="2" t="s">
        <v>48</v>
      </c>
      <c r="L3359" s="2" t="s">
        <v>32</v>
      </c>
      <c r="M3359" s="2" t="n">
        <v>121850</v>
      </c>
      <c r="N3359" s="2" t="n">
        <v>3</v>
      </c>
      <c r="O3359" s="2" t="n">
        <v>14</v>
      </c>
      <c r="P3359" s="2" t="n">
        <v>0</v>
      </c>
      <c r="Q3359" s="2" t="n">
        <v>13</v>
      </c>
      <c r="R3359" s="2" t="n">
        <v>2</v>
      </c>
      <c r="S3359" s="2" t="n">
        <v>7</v>
      </c>
      <c r="T3359" s="2" t="n">
        <v>5</v>
      </c>
      <c r="U3359" s="2" t="n">
        <v>2</v>
      </c>
      <c r="V3359" s="2" t="n">
        <v>2</v>
      </c>
      <c r="W3359" s="2" t="n">
        <v>3</v>
      </c>
      <c r="X3359" s="2" t="n">
        <v>4</v>
      </c>
      <c r="Y3359" s="2" t="n">
        <v>3</v>
      </c>
      <c r="Z3359" s="2" t="n">
        <v>3</v>
      </c>
    </row>
    <row r="3360" customFormat="false" ht="15" hidden="false" customHeight="true" outlineLevel="0" collapsed="false">
      <c r="A3360" s="2" t="n">
        <v>35</v>
      </c>
      <c r="B3360" s="2" t="s">
        <v>26</v>
      </c>
      <c r="C3360" s="2" t="s">
        <v>27</v>
      </c>
      <c r="D3360" s="2" t="s">
        <v>35</v>
      </c>
      <c r="E3360" s="2" t="n">
        <v>2</v>
      </c>
      <c r="F3360" s="2" t="n">
        <v>1</v>
      </c>
      <c r="G3360" s="2" t="s">
        <v>29</v>
      </c>
      <c r="H3360" s="2" t="n">
        <v>3359</v>
      </c>
      <c r="I3360" s="2" t="s">
        <v>39</v>
      </c>
      <c r="J3360" s="2" t="n">
        <v>3</v>
      </c>
      <c r="K3360" s="2" t="s">
        <v>31</v>
      </c>
      <c r="L3360" s="2" t="s">
        <v>32</v>
      </c>
      <c r="M3360" s="2" t="n">
        <v>106090</v>
      </c>
      <c r="N3360" s="2" t="n">
        <v>1</v>
      </c>
      <c r="O3360" s="2" t="n">
        <v>22</v>
      </c>
      <c r="P3360" s="2" t="n">
        <v>0</v>
      </c>
      <c r="Q3360" s="2" t="n">
        <v>10</v>
      </c>
      <c r="R3360" s="2" t="n">
        <v>3</v>
      </c>
      <c r="S3360" s="2" t="n">
        <v>10</v>
      </c>
      <c r="T3360" s="2" t="n">
        <v>0</v>
      </c>
      <c r="U3360" s="2" t="n">
        <v>7</v>
      </c>
      <c r="V3360" s="2" t="n">
        <v>4</v>
      </c>
      <c r="W3360" s="2" t="n">
        <v>4</v>
      </c>
      <c r="X3360" s="2" t="n">
        <v>1</v>
      </c>
      <c r="Y3360" s="2" t="n">
        <v>3</v>
      </c>
      <c r="Z3360" s="2" t="n">
        <v>4</v>
      </c>
    </row>
    <row r="3361" customFormat="false" ht="15" hidden="false" customHeight="true" outlineLevel="0" collapsed="false">
      <c r="A3361" s="2" t="n">
        <v>49</v>
      </c>
      <c r="B3361" s="2" t="s">
        <v>26</v>
      </c>
      <c r="C3361" s="2" t="s">
        <v>27</v>
      </c>
      <c r="D3361" s="2" t="s">
        <v>35</v>
      </c>
      <c r="E3361" s="2" t="n">
        <v>25</v>
      </c>
      <c r="F3361" s="2" t="n">
        <v>2</v>
      </c>
      <c r="G3361" s="2" t="s">
        <v>29</v>
      </c>
      <c r="H3361" s="2" t="n">
        <v>3360</v>
      </c>
      <c r="I3361" s="2" t="s">
        <v>30</v>
      </c>
      <c r="J3361" s="2" t="n">
        <v>2</v>
      </c>
      <c r="K3361" s="2" t="s">
        <v>40</v>
      </c>
      <c r="L3361" s="2" t="s">
        <v>32</v>
      </c>
      <c r="M3361" s="2" t="n">
        <v>43450</v>
      </c>
      <c r="N3361" s="2" t="n">
        <v>4</v>
      </c>
      <c r="O3361" s="2" t="n">
        <v>15</v>
      </c>
      <c r="P3361" s="2" t="n">
        <v>0</v>
      </c>
      <c r="Q3361" s="2" t="n">
        <v>29</v>
      </c>
      <c r="R3361" s="2" t="n">
        <v>3</v>
      </c>
      <c r="S3361" s="2" t="n">
        <v>26</v>
      </c>
      <c r="T3361" s="2" t="n">
        <v>1</v>
      </c>
      <c r="U3361" s="2" t="n">
        <v>7</v>
      </c>
      <c r="V3361" s="2" t="n">
        <v>1</v>
      </c>
      <c r="W3361" s="2" t="n">
        <v>2</v>
      </c>
      <c r="X3361" s="2" t="n">
        <v>2</v>
      </c>
      <c r="Y3361" s="2" t="n">
        <v>2</v>
      </c>
      <c r="Z3361" s="2" t="n">
        <v>3</v>
      </c>
    </row>
    <row r="3362" customFormat="false" ht="15" hidden="false" customHeight="true" outlineLevel="0" collapsed="false">
      <c r="A3362" s="2" t="n">
        <v>48</v>
      </c>
      <c r="B3362" s="2" t="s">
        <v>26</v>
      </c>
      <c r="C3362" s="2" t="s">
        <v>27</v>
      </c>
      <c r="D3362" s="2" t="s">
        <v>35</v>
      </c>
      <c r="E3362" s="2" t="n">
        <v>1</v>
      </c>
      <c r="F3362" s="2" t="n">
        <v>4</v>
      </c>
      <c r="G3362" s="2" t="s">
        <v>43</v>
      </c>
      <c r="H3362" s="2" t="n">
        <v>3361</v>
      </c>
      <c r="I3362" s="2" t="s">
        <v>39</v>
      </c>
      <c r="J3362" s="2" t="n">
        <v>1</v>
      </c>
      <c r="K3362" s="2" t="s">
        <v>36</v>
      </c>
      <c r="L3362" s="2" t="s">
        <v>32</v>
      </c>
      <c r="M3362" s="2" t="n">
        <v>21770</v>
      </c>
      <c r="N3362" s="2" t="n">
        <v>4</v>
      </c>
      <c r="O3362" s="2" t="n">
        <v>18</v>
      </c>
      <c r="P3362" s="2" t="n">
        <v>0</v>
      </c>
      <c r="Q3362" s="2" t="n">
        <v>13</v>
      </c>
      <c r="R3362" s="2" t="n">
        <v>4</v>
      </c>
      <c r="S3362" s="2" t="n">
        <v>0</v>
      </c>
      <c r="T3362" s="2" t="n">
        <v>0</v>
      </c>
      <c r="U3362" s="2" t="n">
        <v>0</v>
      </c>
      <c r="V3362" s="2" t="n">
        <v>4</v>
      </c>
      <c r="W3362" s="2" t="n">
        <v>3</v>
      </c>
      <c r="X3362" s="2" t="n">
        <v>2</v>
      </c>
      <c r="Y3362" s="2" t="n">
        <v>3</v>
      </c>
      <c r="Z3362" s="2" t="n">
        <v>3</v>
      </c>
    </row>
    <row r="3363" customFormat="false" ht="15" hidden="false" customHeight="true" outlineLevel="0" collapsed="false">
      <c r="A3363" s="2" t="n">
        <v>31</v>
      </c>
      <c r="B3363" s="2" t="s">
        <v>26</v>
      </c>
      <c r="C3363" s="2" t="s">
        <v>41</v>
      </c>
      <c r="D3363" s="2" t="s">
        <v>35</v>
      </c>
      <c r="E3363" s="2" t="n">
        <v>1</v>
      </c>
      <c r="F3363" s="2" t="n">
        <v>2</v>
      </c>
      <c r="G3363" s="2" t="s">
        <v>51</v>
      </c>
      <c r="H3363" s="2" t="n">
        <v>3362</v>
      </c>
      <c r="I3363" s="2" t="s">
        <v>30</v>
      </c>
      <c r="J3363" s="2" t="n">
        <v>2</v>
      </c>
      <c r="K3363" s="2" t="s">
        <v>40</v>
      </c>
      <c r="L3363" s="2" t="s">
        <v>32</v>
      </c>
      <c r="M3363" s="2" t="n">
        <v>27930</v>
      </c>
      <c r="N3363" s="2" t="n">
        <v>1</v>
      </c>
      <c r="O3363" s="2" t="n">
        <v>16</v>
      </c>
      <c r="P3363" s="2" t="n">
        <v>0</v>
      </c>
      <c r="Q3363" s="2" t="n">
        <v>9</v>
      </c>
      <c r="R3363" s="2" t="n">
        <v>4</v>
      </c>
      <c r="S3363" s="2" t="n">
        <v>9</v>
      </c>
      <c r="T3363" s="2" t="n">
        <v>0</v>
      </c>
      <c r="U3363" s="2" t="n">
        <v>0</v>
      </c>
      <c r="V3363" s="2" t="n">
        <v>4</v>
      </c>
      <c r="W3363" s="2" t="n">
        <v>3</v>
      </c>
      <c r="X3363" s="2" t="n">
        <v>2</v>
      </c>
      <c r="Y3363" s="2" t="n">
        <v>3</v>
      </c>
      <c r="Z3363" s="2" t="n">
        <v>3</v>
      </c>
    </row>
    <row r="3364" customFormat="false" ht="15" hidden="false" customHeight="true" outlineLevel="0" collapsed="false">
      <c r="A3364" s="2" t="n">
        <v>36</v>
      </c>
      <c r="B3364" s="2" t="s">
        <v>26</v>
      </c>
      <c r="C3364" s="2" t="s">
        <v>27</v>
      </c>
      <c r="D3364" s="2" t="s">
        <v>42</v>
      </c>
      <c r="E3364" s="2" t="n">
        <v>2</v>
      </c>
      <c r="F3364" s="2" t="n">
        <v>4</v>
      </c>
      <c r="G3364" s="2" t="s">
        <v>51</v>
      </c>
      <c r="H3364" s="2" t="n">
        <v>3363</v>
      </c>
      <c r="I3364" s="2" t="s">
        <v>39</v>
      </c>
      <c r="J3364" s="2" t="n">
        <v>1</v>
      </c>
      <c r="K3364" s="2" t="s">
        <v>40</v>
      </c>
      <c r="L3364" s="2" t="s">
        <v>37</v>
      </c>
      <c r="M3364" s="2" t="n">
        <v>79180</v>
      </c>
      <c r="N3364" s="2" t="n">
        <v>2</v>
      </c>
      <c r="O3364" s="2" t="n">
        <v>12</v>
      </c>
      <c r="P3364" s="2" t="n">
        <v>2</v>
      </c>
      <c r="Q3364" s="2" t="n">
        <v>8</v>
      </c>
      <c r="R3364" s="2" t="n">
        <v>3</v>
      </c>
      <c r="S3364" s="2" t="n">
        <v>6</v>
      </c>
      <c r="T3364" s="2" t="n">
        <v>0</v>
      </c>
      <c r="U3364" s="2" t="n">
        <v>1</v>
      </c>
      <c r="V3364" s="2" t="n">
        <v>2</v>
      </c>
      <c r="W3364" s="2" t="n">
        <v>4</v>
      </c>
      <c r="X3364" s="2" t="n">
        <v>3</v>
      </c>
      <c r="Y3364" s="2" t="n">
        <v>2</v>
      </c>
      <c r="Z3364" s="2" t="n">
        <v>3</v>
      </c>
    </row>
    <row r="3365" customFormat="false" ht="15" hidden="false" customHeight="true" outlineLevel="0" collapsed="false">
      <c r="A3365" s="2" t="n">
        <v>38</v>
      </c>
      <c r="B3365" s="2" t="s">
        <v>26</v>
      </c>
      <c r="C3365" s="2" t="s">
        <v>27</v>
      </c>
      <c r="D3365" s="2" t="s">
        <v>28</v>
      </c>
      <c r="E3365" s="2" t="n">
        <v>6</v>
      </c>
      <c r="F3365" s="2" t="n">
        <v>3</v>
      </c>
      <c r="G3365" s="2" t="s">
        <v>38</v>
      </c>
      <c r="H3365" s="2" t="n">
        <v>3364</v>
      </c>
      <c r="I3365" s="2" t="s">
        <v>39</v>
      </c>
      <c r="J3365" s="2" t="n">
        <v>2</v>
      </c>
      <c r="K3365" s="2" t="s">
        <v>40</v>
      </c>
      <c r="L3365" s="2" t="s">
        <v>32</v>
      </c>
      <c r="M3365" s="2" t="n">
        <v>87890</v>
      </c>
      <c r="N3365" s="2" t="n">
        <v>1</v>
      </c>
      <c r="O3365" s="2" t="n">
        <v>11</v>
      </c>
      <c r="P3365" s="2" t="n">
        <v>3</v>
      </c>
      <c r="Q3365" s="2" t="n">
        <v>15</v>
      </c>
      <c r="R3365" s="2" t="n">
        <v>4</v>
      </c>
      <c r="S3365" s="2" t="n">
        <v>15</v>
      </c>
      <c r="T3365" s="2" t="n">
        <v>5</v>
      </c>
      <c r="U3365" s="2" t="n">
        <v>11</v>
      </c>
      <c r="V3365" s="2" t="n">
        <v>4</v>
      </c>
      <c r="W3365" s="2" t="n">
        <v>1</v>
      </c>
      <c r="X3365" s="2" t="n">
        <v>3</v>
      </c>
      <c r="Y3365" s="2" t="n">
        <v>3</v>
      </c>
      <c r="Z3365" s="2" t="n">
        <v>3</v>
      </c>
    </row>
    <row r="3366" customFormat="false" ht="15" hidden="false" customHeight="true" outlineLevel="0" collapsed="false">
      <c r="A3366" s="2" t="n">
        <v>32</v>
      </c>
      <c r="B3366" s="2" t="s">
        <v>26</v>
      </c>
      <c r="C3366" s="2" t="s">
        <v>41</v>
      </c>
      <c r="D3366" s="2" t="s">
        <v>28</v>
      </c>
      <c r="E3366" s="2" t="n">
        <v>18</v>
      </c>
      <c r="F3366" s="2" t="n">
        <v>3</v>
      </c>
      <c r="G3366" s="2" t="s">
        <v>50</v>
      </c>
      <c r="H3366" s="2" t="n">
        <v>3365</v>
      </c>
      <c r="I3366" s="2" t="s">
        <v>39</v>
      </c>
      <c r="J3366" s="2" t="n">
        <v>1</v>
      </c>
      <c r="K3366" s="2" t="s">
        <v>45</v>
      </c>
      <c r="L3366" s="2" t="s">
        <v>32</v>
      </c>
      <c r="M3366" s="2" t="n">
        <v>23890</v>
      </c>
      <c r="N3366" s="2" t="n">
        <v>6</v>
      </c>
      <c r="O3366" s="2" t="n">
        <v>12</v>
      </c>
      <c r="P3366" s="2" t="n">
        <v>1</v>
      </c>
      <c r="Q3366" s="2" t="n">
        <v>5</v>
      </c>
      <c r="R3366" s="2" t="n">
        <v>4</v>
      </c>
      <c r="S3366" s="2" t="n">
        <v>3</v>
      </c>
      <c r="T3366" s="2" t="n">
        <v>0</v>
      </c>
      <c r="U3366" s="2" t="n">
        <v>2</v>
      </c>
      <c r="V3366" s="2" t="n">
        <v>3</v>
      </c>
      <c r="W3366" s="2" t="n">
        <v>2</v>
      </c>
      <c r="X3366" s="2" t="n">
        <v>3</v>
      </c>
      <c r="Y3366" s="2" t="n">
        <v>2</v>
      </c>
      <c r="Z3366" s="2" t="n">
        <v>3</v>
      </c>
    </row>
    <row r="3367" customFormat="false" ht="15" hidden="false" customHeight="true" outlineLevel="0" collapsed="false">
      <c r="A3367" s="2" t="n">
        <v>25</v>
      </c>
      <c r="B3367" s="2" t="s">
        <v>33</v>
      </c>
      <c r="C3367" s="2" t="s">
        <v>27</v>
      </c>
      <c r="D3367" s="2" t="s">
        <v>35</v>
      </c>
      <c r="E3367" s="2" t="n">
        <v>1</v>
      </c>
      <c r="F3367" s="2" t="n">
        <v>2</v>
      </c>
      <c r="G3367" s="2" t="s">
        <v>29</v>
      </c>
      <c r="H3367" s="2" t="n">
        <v>3366</v>
      </c>
      <c r="I3367" s="2" t="s">
        <v>39</v>
      </c>
      <c r="J3367" s="2" t="n">
        <v>1</v>
      </c>
      <c r="K3367" s="2" t="s">
        <v>40</v>
      </c>
      <c r="L3367" s="2" t="s">
        <v>32</v>
      </c>
      <c r="M3367" s="2" t="n">
        <v>32120</v>
      </c>
      <c r="N3367" s="2" t="n">
        <v>1</v>
      </c>
      <c r="O3367" s="2" t="n">
        <v>15</v>
      </c>
      <c r="P3367" s="2" t="n">
        <v>1</v>
      </c>
      <c r="Q3367" s="2" t="n">
        <v>1</v>
      </c>
      <c r="R3367" s="2" t="n">
        <v>3</v>
      </c>
      <c r="S3367" s="2" t="n">
        <v>1</v>
      </c>
      <c r="T3367" s="2" t="n">
        <v>0</v>
      </c>
      <c r="U3367" s="2" t="n">
        <v>0</v>
      </c>
      <c r="V3367" s="2" t="n">
        <v>3</v>
      </c>
      <c r="W3367" s="2" t="n">
        <v>2</v>
      </c>
      <c r="X3367" s="2" t="n">
        <v>3</v>
      </c>
      <c r="Y3367" s="2" t="n">
        <v>2</v>
      </c>
      <c r="Z3367" s="2" t="n">
        <v>3</v>
      </c>
    </row>
    <row r="3368" customFormat="false" ht="15" hidden="false" customHeight="true" outlineLevel="0" collapsed="false">
      <c r="A3368" s="2" t="n">
        <v>40</v>
      </c>
      <c r="B3368" s="2" t="s">
        <v>26</v>
      </c>
      <c r="C3368" s="2" t="s">
        <v>27</v>
      </c>
      <c r="D3368" s="2" t="s">
        <v>35</v>
      </c>
      <c r="E3368" s="2" t="n">
        <v>1</v>
      </c>
      <c r="F3368" s="2" t="n">
        <v>4</v>
      </c>
      <c r="G3368" s="2" t="s">
        <v>43</v>
      </c>
      <c r="H3368" s="2" t="n">
        <v>3367</v>
      </c>
      <c r="I3368" s="2" t="s">
        <v>39</v>
      </c>
      <c r="J3368" s="2" t="n">
        <v>2</v>
      </c>
      <c r="K3368" s="2" t="s">
        <v>36</v>
      </c>
      <c r="L3368" s="2" t="s">
        <v>46</v>
      </c>
      <c r="M3368" s="2" t="n">
        <v>192320</v>
      </c>
      <c r="N3368" s="2" t="n">
        <v>2</v>
      </c>
      <c r="O3368" s="2" t="n">
        <v>14</v>
      </c>
      <c r="P3368" s="2" t="n">
        <v>1</v>
      </c>
      <c r="Q3368" s="2" t="n">
        <v>11</v>
      </c>
      <c r="R3368" s="2" t="n">
        <v>3</v>
      </c>
      <c r="S3368" s="2" t="n">
        <v>1</v>
      </c>
      <c r="T3368" s="2" t="n">
        <v>0</v>
      </c>
      <c r="U3368" s="2" t="n">
        <v>0</v>
      </c>
      <c r="V3368" s="2" t="n">
        <v>1</v>
      </c>
      <c r="W3368" s="2" t="n">
        <v>2</v>
      </c>
      <c r="X3368" s="2" t="n">
        <v>2</v>
      </c>
      <c r="Y3368" s="2" t="n">
        <v>3</v>
      </c>
      <c r="Z3368" s="2" t="n">
        <v>3</v>
      </c>
    </row>
    <row r="3369" customFormat="false" ht="15" hidden="false" customHeight="true" outlineLevel="0" collapsed="false">
      <c r="A3369" s="2" t="n">
        <v>26</v>
      </c>
      <c r="B3369" s="2" t="s">
        <v>26</v>
      </c>
      <c r="C3369" s="2" t="s">
        <v>34</v>
      </c>
      <c r="D3369" s="2" t="s">
        <v>28</v>
      </c>
      <c r="E3369" s="2" t="n">
        <v>11</v>
      </c>
      <c r="F3369" s="2" t="n">
        <v>3</v>
      </c>
      <c r="G3369" s="2" t="s">
        <v>50</v>
      </c>
      <c r="H3369" s="2" t="n">
        <v>3368</v>
      </c>
      <c r="I3369" s="2" t="s">
        <v>39</v>
      </c>
      <c r="J3369" s="2" t="n">
        <v>2</v>
      </c>
      <c r="K3369" s="2" t="s">
        <v>31</v>
      </c>
      <c r="L3369" s="2" t="s">
        <v>37</v>
      </c>
      <c r="M3369" s="2" t="n">
        <v>22670</v>
      </c>
      <c r="N3369" s="2" t="n">
        <v>1</v>
      </c>
      <c r="O3369" s="2" t="n">
        <v>19</v>
      </c>
      <c r="P3369" s="2" t="n">
        <v>3</v>
      </c>
      <c r="Q3369" s="2" t="n">
        <v>7</v>
      </c>
      <c r="R3369" s="2" t="n">
        <v>2</v>
      </c>
      <c r="S3369" s="2" t="n">
        <v>7</v>
      </c>
      <c r="T3369" s="2" t="n">
        <v>0</v>
      </c>
      <c r="U3369" s="2" t="n">
        <v>7</v>
      </c>
      <c r="V3369" s="2" t="n">
        <v>3</v>
      </c>
      <c r="W3369" s="2" t="n">
        <v>1</v>
      </c>
      <c r="X3369" s="2" t="n">
        <v>3</v>
      </c>
      <c r="Y3369" s="2" t="n">
        <v>2</v>
      </c>
      <c r="Z3369" s="2" t="n">
        <v>3</v>
      </c>
    </row>
    <row r="3370" customFormat="false" ht="15" hidden="false" customHeight="true" outlineLevel="0" collapsed="false">
      <c r="A3370" s="2" t="n">
        <v>41</v>
      </c>
      <c r="B3370" s="2" t="s">
        <v>26</v>
      </c>
      <c r="C3370" s="2" t="s">
        <v>27</v>
      </c>
      <c r="D3370" s="2" t="s">
        <v>35</v>
      </c>
      <c r="E3370" s="2" t="n">
        <v>1</v>
      </c>
      <c r="F3370" s="2" t="n">
        <v>4</v>
      </c>
      <c r="G3370" s="2" t="s">
        <v>43</v>
      </c>
      <c r="H3370" s="2" t="n">
        <v>3369</v>
      </c>
      <c r="I3370" s="2" t="s">
        <v>39</v>
      </c>
      <c r="J3370" s="2" t="n">
        <v>1</v>
      </c>
      <c r="K3370" s="2" t="s">
        <v>36</v>
      </c>
      <c r="L3370" s="2" t="s">
        <v>37</v>
      </c>
      <c r="M3370" s="2" t="n">
        <v>195170</v>
      </c>
      <c r="N3370" s="2" t="n">
        <v>2</v>
      </c>
      <c r="O3370" s="2" t="n">
        <v>13</v>
      </c>
      <c r="P3370" s="2" t="n">
        <v>0</v>
      </c>
      <c r="Q3370" s="2" t="n">
        <v>20</v>
      </c>
      <c r="R3370" s="2" t="n">
        <v>5</v>
      </c>
      <c r="S3370" s="2" t="n">
        <v>18</v>
      </c>
      <c r="T3370" s="2" t="n">
        <v>2</v>
      </c>
      <c r="U3370" s="2" t="n">
        <v>17</v>
      </c>
      <c r="V3370" s="2" t="n">
        <v>4</v>
      </c>
      <c r="W3370" s="2" t="n">
        <v>1</v>
      </c>
      <c r="X3370" s="2" t="n">
        <v>3</v>
      </c>
      <c r="Y3370" s="2" t="n">
        <v>3</v>
      </c>
      <c r="Z3370" s="2" t="n">
        <v>3</v>
      </c>
    </row>
    <row r="3371" customFormat="false" ht="15" hidden="false" customHeight="true" outlineLevel="0" collapsed="false">
      <c r="A3371" s="2" t="n">
        <v>36</v>
      </c>
      <c r="B3371" s="2" t="s">
        <v>26</v>
      </c>
      <c r="C3371" s="2" t="s">
        <v>27</v>
      </c>
      <c r="D3371" s="2" t="s">
        <v>35</v>
      </c>
      <c r="E3371" s="2" t="n">
        <v>9</v>
      </c>
      <c r="F3371" s="2" t="n">
        <v>3</v>
      </c>
      <c r="G3371" s="2" t="s">
        <v>29</v>
      </c>
      <c r="H3371" s="2" t="n">
        <v>3370</v>
      </c>
      <c r="I3371" s="2" t="s">
        <v>30</v>
      </c>
      <c r="J3371" s="2" t="n">
        <v>2</v>
      </c>
      <c r="K3371" s="2" t="s">
        <v>31</v>
      </c>
      <c r="L3371" s="2" t="s">
        <v>37</v>
      </c>
      <c r="M3371" s="2" t="n">
        <v>24360</v>
      </c>
      <c r="N3371" s="2" t="n">
        <v>4</v>
      </c>
      <c r="O3371" s="2" t="n">
        <v>13</v>
      </c>
      <c r="P3371" s="2" t="n">
        <v>0</v>
      </c>
      <c r="Q3371" s="2" t="n">
        <v>16</v>
      </c>
      <c r="R3371" s="2" t="n">
        <v>3</v>
      </c>
      <c r="S3371" s="2" t="n">
        <v>11</v>
      </c>
      <c r="T3371" s="2" t="n">
        <v>3</v>
      </c>
      <c r="U3371" s="2" t="n">
        <v>9</v>
      </c>
      <c r="V3371" s="2" t="n">
        <v>3</v>
      </c>
      <c r="W3371" s="2" t="n">
        <v>3</v>
      </c>
      <c r="X3371" s="2" t="n">
        <v>3</v>
      </c>
      <c r="Y3371" s="2" t="n">
        <v>1</v>
      </c>
      <c r="Z3371" s="2" t="n">
        <v>3</v>
      </c>
    </row>
    <row r="3372" customFormat="false" ht="15" hidden="false" customHeight="true" outlineLevel="0" collapsed="false">
      <c r="A3372" s="2" t="n">
        <v>19</v>
      </c>
      <c r="B3372" s="2" t="s">
        <v>33</v>
      </c>
      <c r="C3372" s="2" t="s">
        <v>27</v>
      </c>
      <c r="D3372" s="2" t="s">
        <v>35</v>
      </c>
      <c r="E3372" s="2" t="n">
        <v>15</v>
      </c>
      <c r="F3372" s="2" t="n">
        <v>3</v>
      </c>
      <c r="G3372" s="2" t="s">
        <v>29</v>
      </c>
      <c r="H3372" s="2" t="n">
        <v>3371</v>
      </c>
      <c r="I3372" s="2" t="s">
        <v>39</v>
      </c>
      <c r="J3372" s="2" t="n">
        <v>2</v>
      </c>
      <c r="K3372" s="2" t="s">
        <v>36</v>
      </c>
      <c r="L3372" s="2" t="s">
        <v>37</v>
      </c>
      <c r="M3372" s="2" t="n">
        <v>160640</v>
      </c>
      <c r="N3372" s="2" t="n">
        <v>1</v>
      </c>
      <c r="O3372" s="2" t="n">
        <v>15</v>
      </c>
      <c r="P3372" s="2" t="n">
        <v>1</v>
      </c>
      <c r="Q3372" s="2" t="n">
        <v>1</v>
      </c>
      <c r="R3372" s="2" t="n">
        <v>3</v>
      </c>
      <c r="S3372" s="2" t="n">
        <v>1</v>
      </c>
      <c r="T3372" s="2" t="n">
        <v>0</v>
      </c>
      <c r="U3372" s="2" t="n">
        <v>0</v>
      </c>
      <c r="V3372" s="2" t="n">
        <v>4</v>
      </c>
      <c r="W3372" s="2" t="n">
        <v>2</v>
      </c>
      <c r="X3372" s="2" t="n">
        <v>4</v>
      </c>
      <c r="Y3372" s="2" t="n">
        <v>3</v>
      </c>
      <c r="Z3372" s="2" t="n">
        <v>3</v>
      </c>
    </row>
    <row r="3373" customFormat="false" ht="15" hidden="false" customHeight="true" outlineLevel="0" collapsed="false">
      <c r="A3373" s="2" t="n">
        <v>20</v>
      </c>
      <c r="B3373" s="2" t="s">
        <v>33</v>
      </c>
      <c r="C3373" s="2" t="s">
        <v>27</v>
      </c>
      <c r="D3373" s="2" t="s">
        <v>35</v>
      </c>
      <c r="E3373" s="2" t="n">
        <v>29</v>
      </c>
      <c r="F3373" s="2" t="n">
        <v>3</v>
      </c>
      <c r="G3373" s="2" t="s">
        <v>29</v>
      </c>
      <c r="H3373" s="2" t="n">
        <v>3372</v>
      </c>
      <c r="I3373" s="2" t="s">
        <v>30</v>
      </c>
      <c r="J3373" s="2" t="n">
        <v>3</v>
      </c>
      <c r="K3373" s="2" t="s">
        <v>45</v>
      </c>
      <c r="L3373" s="2" t="s">
        <v>37</v>
      </c>
      <c r="M3373" s="2" t="n">
        <v>27070</v>
      </c>
      <c r="N3373" s="2" t="n">
        <v>1</v>
      </c>
      <c r="O3373" s="2" t="n">
        <v>11</v>
      </c>
      <c r="P3373" s="2" t="n">
        <v>0</v>
      </c>
      <c r="Q3373" s="2" t="n">
        <v>1</v>
      </c>
      <c r="R3373" s="2" t="n">
        <v>2</v>
      </c>
      <c r="S3373" s="2" t="n">
        <v>1</v>
      </c>
      <c r="T3373" s="2" t="n">
        <v>0</v>
      </c>
      <c r="U3373" s="2" t="n">
        <v>0</v>
      </c>
      <c r="V3373" s="2" t="n">
        <v>1</v>
      </c>
      <c r="W3373" s="2" t="n">
        <v>1</v>
      </c>
      <c r="X3373" s="2" t="n">
        <v>3</v>
      </c>
      <c r="Y3373" s="2" t="n">
        <v>3</v>
      </c>
      <c r="Z3373" s="2" t="n">
        <v>3</v>
      </c>
    </row>
    <row r="3374" customFormat="false" ht="15" hidden="false" customHeight="true" outlineLevel="0" collapsed="false">
      <c r="A3374" s="2" t="n">
        <v>31</v>
      </c>
      <c r="B3374" s="2" t="s">
        <v>26</v>
      </c>
      <c r="C3374" s="2" t="s">
        <v>27</v>
      </c>
      <c r="D3374" s="2" t="s">
        <v>35</v>
      </c>
      <c r="E3374" s="2" t="n">
        <v>1</v>
      </c>
      <c r="F3374" s="2" t="n">
        <v>4</v>
      </c>
      <c r="G3374" s="2" t="s">
        <v>29</v>
      </c>
      <c r="H3374" s="2" t="n">
        <v>3373</v>
      </c>
      <c r="I3374" s="2" t="s">
        <v>39</v>
      </c>
      <c r="J3374" s="2" t="n">
        <v>4</v>
      </c>
      <c r="K3374" s="2" t="s">
        <v>44</v>
      </c>
      <c r="L3374" s="2" t="s">
        <v>32</v>
      </c>
      <c r="M3374" s="2" t="n">
        <v>190680</v>
      </c>
      <c r="N3374" s="2" t="n">
        <v>0</v>
      </c>
      <c r="O3374" s="2" t="n">
        <v>12</v>
      </c>
      <c r="P3374" s="2" t="n">
        <v>0</v>
      </c>
      <c r="Q3374" s="2" t="n">
        <v>10</v>
      </c>
      <c r="R3374" s="2" t="n">
        <v>1</v>
      </c>
      <c r="S3374" s="2" t="n">
        <v>9</v>
      </c>
      <c r="T3374" s="2" t="n">
        <v>8</v>
      </c>
      <c r="U3374" s="2" t="n">
        <v>5</v>
      </c>
      <c r="V3374" s="2" t="n">
        <v>4</v>
      </c>
      <c r="W3374" s="2" t="n">
        <v>4</v>
      </c>
      <c r="X3374" s="2" t="n">
        <v>1</v>
      </c>
      <c r="Y3374" s="2" t="n">
        <v>3</v>
      </c>
      <c r="Z3374" s="2" t="n">
        <v>3</v>
      </c>
    </row>
    <row r="3375" customFormat="false" ht="15" hidden="false" customHeight="true" outlineLevel="0" collapsed="false">
      <c r="A3375" s="2" t="n">
        <v>40</v>
      </c>
      <c r="B3375" s="2" t="s">
        <v>26</v>
      </c>
      <c r="C3375" s="2" t="s">
        <v>34</v>
      </c>
      <c r="D3375" s="2" t="s">
        <v>28</v>
      </c>
      <c r="E3375" s="2" t="n">
        <v>1</v>
      </c>
      <c r="F3375" s="2" t="n">
        <v>3</v>
      </c>
      <c r="G3375" s="2" t="s">
        <v>50</v>
      </c>
      <c r="H3375" s="2" t="n">
        <v>3374</v>
      </c>
      <c r="I3375" s="2" t="s">
        <v>39</v>
      </c>
      <c r="J3375" s="2" t="n">
        <v>1</v>
      </c>
      <c r="K3375" s="2" t="s">
        <v>36</v>
      </c>
      <c r="L3375" s="2" t="s">
        <v>46</v>
      </c>
      <c r="M3375" s="2" t="n">
        <v>39310</v>
      </c>
      <c r="N3375" s="2" t="n">
        <v>8</v>
      </c>
      <c r="O3375" s="2" t="n">
        <v>19</v>
      </c>
      <c r="P3375" s="2" t="n">
        <v>0</v>
      </c>
      <c r="Q3375" s="2" t="n">
        <v>3</v>
      </c>
      <c r="R3375" s="2" t="n">
        <v>2</v>
      </c>
      <c r="S3375" s="2" t="n">
        <v>1</v>
      </c>
      <c r="T3375" s="2" t="n">
        <v>0</v>
      </c>
      <c r="U3375" s="2" t="n">
        <v>0</v>
      </c>
      <c r="V3375" s="2" t="n">
        <v>4</v>
      </c>
      <c r="W3375" s="2" t="n">
        <v>2</v>
      </c>
      <c r="X3375" s="2" t="n">
        <v>3</v>
      </c>
      <c r="Y3375" s="2" t="n">
        <v>2</v>
      </c>
      <c r="Z3375" s="2" t="n">
        <v>3</v>
      </c>
    </row>
    <row r="3376" customFormat="false" ht="15" hidden="false" customHeight="true" outlineLevel="0" collapsed="false">
      <c r="A3376" s="2" t="n">
        <v>32</v>
      </c>
      <c r="B3376" s="2" t="s">
        <v>26</v>
      </c>
      <c r="C3376" s="2" t="s">
        <v>27</v>
      </c>
      <c r="D3376" s="2" t="s">
        <v>35</v>
      </c>
      <c r="E3376" s="2" t="n">
        <v>24</v>
      </c>
      <c r="F3376" s="2" t="n">
        <v>3</v>
      </c>
      <c r="G3376" s="2" t="s">
        <v>29</v>
      </c>
      <c r="H3376" s="2" t="n">
        <v>3375</v>
      </c>
      <c r="I3376" s="2" t="s">
        <v>39</v>
      </c>
      <c r="J3376" s="2" t="n">
        <v>4</v>
      </c>
      <c r="K3376" s="2" t="s">
        <v>45</v>
      </c>
      <c r="L3376" s="2" t="s">
        <v>32</v>
      </c>
      <c r="M3376" s="2" t="n">
        <v>37300</v>
      </c>
      <c r="N3376" s="2" t="n">
        <v>1</v>
      </c>
      <c r="O3376" s="2" t="n">
        <v>25</v>
      </c>
      <c r="P3376" s="2" t="n">
        <v>1</v>
      </c>
      <c r="Q3376" s="2" t="n">
        <v>8</v>
      </c>
      <c r="R3376" s="2" t="n">
        <v>4</v>
      </c>
      <c r="S3376" s="2" t="n">
        <v>8</v>
      </c>
      <c r="T3376" s="2" t="n">
        <v>6</v>
      </c>
      <c r="U3376" s="2" t="n">
        <v>3</v>
      </c>
      <c r="V3376" s="2" t="n">
        <v>3</v>
      </c>
      <c r="W3376" s="2" t="n">
        <v>1</v>
      </c>
      <c r="X3376" s="2" t="n">
        <v>4</v>
      </c>
      <c r="Y3376" s="2" t="n">
        <v>3</v>
      </c>
      <c r="Z3376" s="2" t="n">
        <v>4</v>
      </c>
    </row>
    <row r="3377" customFormat="false" ht="15" hidden="false" customHeight="true" outlineLevel="0" collapsed="false">
      <c r="A3377" s="2" t="n">
        <v>36</v>
      </c>
      <c r="B3377" s="2" t="s">
        <v>33</v>
      </c>
      <c r="C3377" s="2" t="s">
        <v>27</v>
      </c>
      <c r="D3377" s="2" t="s">
        <v>35</v>
      </c>
      <c r="E3377" s="2" t="n">
        <v>10</v>
      </c>
      <c r="F3377" s="2" t="n">
        <v>3</v>
      </c>
      <c r="G3377" s="2" t="s">
        <v>43</v>
      </c>
      <c r="H3377" s="2" t="n">
        <v>3376</v>
      </c>
      <c r="I3377" s="2" t="s">
        <v>39</v>
      </c>
      <c r="J3377" s="2" t="n">
        <v>3</v>
      </c>
      <c r="K3377" s="2" t="s">
        <v>40</v>
      </c>
      <c r="L3377" s="2" t="s">
        <v>32</v>
      </c>
      <c r="M3377" s="2" t="n">
        <v>22320</v>
      </c>
      <c r="N3377" s="2" t="n">
        <v>1</v>
      </c>
      <c r="O3377" s="2" t="n">
        <v>12</v>
      </c>
      <c r="P3377" s="2" t="n">
        <v>1</v>
      </c>
      <c r="Q3377" s="2" t="n">
        <v>16</v>
      </c>
      <c r="R3377" s="2" t="n">
        <v>2</v>
      </c>
      <c r="S3377" s="2" t="n">
        <v>16</v>
      </c>
      <c r="T3377" s="2" t="n">
        <v>3</v>
      </c>
      <c r="U3377" s="2" t="n">
        <v>7</v>
      </c>
      <c r="V3377" s="2" t="n">
        <v>3</v>
      </c>
      <c r="W3377" s="2" t="n">
        <v>4</v>
      </c>
      <c r="X3377" s="2" t="n">
        <v>3</v>
      </c>
      <c r="Y3377" s="2" t="n">
        <v>3</v>
      </c>
      <c r="Z3377" s="2" t="n">
        <v>3</v>
      </c>
    </row>
    <row r="3378" customFormat="false" ht="15" hidden="false" customHeight="true" outlineLevel="0" collapsed="false">
      <c r="A3378" s="2" t="n">
        <v>33</v>
      </c>
      <c r="B3378" s="2" t="s">
        <v>26</v>
      </c>
      <c r="C3378" s="2" t="s">
        <v>27</v>
      </c>
      <c r="D3378" s="2" t="s">
        <v>35</v>
      </c>
      <c r="E3378" s="2" t="n">
        <v>1</v>
      </c>
      <c r="F3378" s="2" t="n">
        <v>4</v>
      </c>
      <c r="G3378" s="2" t="s">
        <v>43</v>
      </c>
      <c r="H3378" s="2" t="n">
        <v>3377</v>
      </c>
      <c r="I3378" s="2" t="s">
        <v>30</v>
      </c>
      <c r="J3378" s="2" t="n">
        <v>4</v>
      </c>
      <c r="K3378" s="2" t="s">
        <v>47</v>
      </c>
      <c r="L3378" s="2" t="s">
        <v>37</v>
      </c>
      <c r="M3378" s="2" t="n">
        <v>44650</v>
      </c>
      <c r="N3378" s="2" t="n">
        <v>0</v>
      </c>
      <c r="O3378" s="2" t="n">
        <v>13</v>
      </c>
      <c r="P3378" s="2" t="n">
        <v>0</v>
      </c>
      <c r="Q3378" s="2" t="n">
        <v>6</v>
      </c>
      <c r="R3378" s="2" t="n">
        <v>3</v>
      </c>
      <c r="S3378" s="2" t="n">
        <v>5</v>
      </c>
      <c r="T3378" s="2" t="n">
        <v>1</v>
      </c>
      <c r="U3378" s="2" t="n">
        <v>4</v>
      </c>
      <c r="V3378" s="2" t="n">
        <v>2</v>
      </c>
      <c r="W3378" s="2" t="n">
        <v>4</v>
      </c>
      <c r="X3378" s="2" t="n">
        <v>3</v>
      </c>
      <c r="Y3378" s="2" t="n">
        <v>3</v>
      </c>
      <c r="Z3378" s="2" t="n">
        <v>3</v>
      </c>
    </row>
    <row r="3379" customFormat="false" ht="15" hidden="false" customHeight="true" outlineLevel="0" collapsed="false">
      <c r="A3379" s="2" t="n">
        <v>37</v>
      </c>
      <c r="B3379" s="2" t="s">
        <v>33</v>
      </c>
      <c r="C3379" s="2" t="s">
        <v>27</v>
      </c>
      <c r="D3379" s="2" t="s">
        <v>28</v>
      </c>
      <c r="E3379" s="2" t="n">
        <v>10</v>
      </c>
      <c r="F3379" s="2" t="n">
        <v>4</v>
      </c>
      <c r="G3379" s="2" t="s">
        <v>50</v>
      </c>
      <c r="H3379" s="2" t="n">
        <v>3378</v>
      </c>
      <c r="I3379" s="2" t="s">
        <v>30</v>
      </c>
      <c r="J3379" s="2" t="n">
        <v>3</v>
      </c>
      <c r="K3379" s="2" t="s">
        <v>42</v>
      </c>
      <c r="L3379" s="2" t="s">
        <v>32</v>
      </c>
      <c r="M3379" s="2" t="n">
        <v>30720</v>
      </c>
      <c r="N3379" s="2" t="n">
        <v>5</v>
      </c>
      <c r="O3379" s="2" t="n">
        <v>14</v>
      </c>
      <c r="P3379" s="2" t="n">
        <v>0</v>
      </c>
      <c r="Q3379" s="2" t="n">
        <v>17</v>
      </c>
      <c r="R3379" s="2" t="n">
        <v>3</v>
      </c>
      <c r="S3379" s="2" t="n">
        <v>14</v>
      </c>
      <c r="T3379" s="2" t="n">
        <v>11</v>
      </c>
      <c r="U3379" s="2" t="n">
        <v>7</v>
      </c>
      <c r="V3379" s="2" t="n">
        <v>1</v>
      </c>
      <c r="W3379" s="2" t="n">
        <v>3</v>
      </c>
      <c r="X3379" s="2" t="n">
        <v>1</v>
      </c>
      <c r="Y3379" s="2" t="n">
        <v>2</v>
      </c>
      <c r="Z3379" s="2" t="n">
        <v>3</v>
      </c>
    </row>
    <row r="3380" customFormat="false" ht="15" hidden="false" customHeight="true" outlineLevel="0" collapsed="false">
      <c r="A3380" s="2" t="n">
        <v>45</v>
      </c>
      <c r="B3380" s="2" t="s">
        <v>26</v>
      </c>
      <c r="C3380" s="2" t="s">
        <v>41</v>
      </c>
      <c r="D3380" s="2" t="s">
        <v>35</v>
      </c>
      <c r="E3380" s="2" t="n">
        <v>8</v>
      </c>
      <c r="F3380" s="2" t="n">
        <v>1</v>
      </c>
      <c r="G3380" s="2" t="s">
        <v>29</v>
      </c>
      <c r="H3380" s="2" t="n">
        <v>3379</v>
      </c>
      <c r="I3380" s="2" t="s">
        <v>39</v>
      </c>
      <c r="J3380" s="2" t="n">
        <v>2</v>
      </c>
      <c r="K3380" s="2" t="s">
        <v>40</v>
      </c>
      <c r="L3380" s="2" t="s">
        <v>32</v>
      </c>
      <c r="M3380" s="2" t="n">
        <v>33190</v>
      </c>
      <c r="N3380" s="2" t="n">
        <v>1</v>
      </c>
      <c r="O3380" s="2" t="n">
        <v>12</v>
      </c>
      <c r="P3380" s="2" t="n">
        <v>1</v>
      </c>
      <c r="Q3380" s="2" t="n">
        <v>9</v>
      </c>
      <c r="R3380" s="2" t="n">
        <v>3</v>
      </c>
      <c r="S3380" s="2" t="n">
        <v>9</v>
      </c>
      <c r="T3380" s="2" t="n">
        <v>0</v>
      </c>
      <c r="U3380" s="2" t="n">
        <v>8</v>
      </c>
      <c r="V3380" s="2" t="n">
        <v>3</v>
      </c>
      <c r="W3380" s="2" t="n">
        <v>2</v>
      </c>
      <c r="X3380" s="2" t="n">
        <v>2</v>
      </c>
      <c r="Y3380" s="2" t="n">
        <v>3</v>
      </c>
      <c r="Z3380" s="2" t="n">
        <v>3</v>
      </c>
    </row>
    <row r="3381" customFormat="false" ht="15" hidden="false" customHeight="true" outlineLevel="0" collapsed="false">
      <c r="A3381" s="2" t="n">
        <v>29</v>
      </c>
      <c r="B3381" s="2" t="s">
        <v>26</v>
      </c>
      <c r="C3381" s="2" t="s">
        <v>34</v>
      </c>
      <c r="D3381" s="2" t="s">
        <v>35</v>
      </c>
      <c r="E3381" s="2" t="n">
        <v>29</v>
      </c>
      <c r="F3381" s="2" t="n">
        <v>1</v>
      </c>
      <c r="G3381" s="2" t="s">
        <v>29</v>
      </c>
      <c r="H3381" s="2" t="n">
        <v>3380</v>
      </c>
      <c r="I3381" s="2" t="s">
        <v>39</v>
      </c>
      <c r="J3381" s="2" t="n">
        <v>1</v>
      </c>
      <c r="K3381" s="2" t="s">
        <v>48</v>
      </c>
      <c r="L3381" s="2" t="s">
        <v>32</v>
      </c>
      <c r="M3381" s="2" t="n">
        <v>192020</v>
      </c>
      <c r="N3381" s="2" t="n">
        <v>1</v>
      </c>
      <c r="O3381" s="2" t="n">
        <v>12</v>
      </c>
      <c r="P3381" s="2" t="n">
        <v>0</v>
      </c>
      <c r="Q3381" s="2" t="n">
        <v>3</v>
      </c>
      <c r="R3381" s="2" t="n">
        <v>5</v>
      </c>
      <c r="S3381" s="2" t="n">
        <v>3</v>
      </c>
      <c r="T3381" s="2" t="n">
        <v>0</v>
      </c>
      <c r="U3381" s="2" t="n">
        <v>2</v>
      </c>
      <c r="V3381" s="2" t="n">
        <v>3</v>
      </c>
      <c r="W3381" s="2" t="n">
        <v>4</v>
      </c>
      <c r="X3381" s="2" t="n">
        <v>3</v>
      </c>
      <c r="Y3381" s="2" t="n">
        <v>3</v>
      </c>
      <c r="Z3381" s="2" t="n">
        <v>3</v>
      </c>
    </row>
    <row r="3382" customFormat="false" ht="15" hidden="false" customHeight="true" outlineLevel="0" collapsed="false">
      <c r="A3382" s="2" t="n">
        <v>35</v>
      </c>
      <c r="B3382" s="2" t="s">
        <v>26</v>
      </c>
      <c r="C3382" s="2" t="s">
        <v>27</v>
      </c>
      <c r="D3382" s="2" t="s">
        <v>42</v>
      </c>
      <c r="E3382" s="2" t="n">
        <v>1</v>
      </c>
      <c r="F3382" s="2" t="n">
        <v>3</v>
      </c>
      <c r="G3382" s="2" t="s">
        <v>42</v>
      </c>
      <c r="H3382" s="2" t="n">
        <v>3381</v>
      </c>
      <c r="I3382" s="2" t="s">
        <v>39</v>
      </c>
      <c r="J3382" s="2" t="n">
        <v>3</v>
      </c>
      <c r="K3382" s="2" t="s">
        <v>45</v>
      </c>
      <c r="L3382" s="2" t="s">
        <v>32</v>
      </c>
      <c r="M3382" s="2" t="n">
        <v>136750</v>
      </c>
      <c r="N3382" s="2" t="n">
        <v>1</v>
      </c>
      <c r="O3382" s="2" t="n">
        <v>15</v>
      </c>
      <c r="P3382" s="2" t="n">
        <v>3</v>
      </c>
      <c r="Q3382" s="2" t="n">
        <v>5</v>
      </c>
      <c r="R3382" s="2" t="n">
        <v>5</v>
      </c>
      <c r="S3382" s="2" t="n">
        <v>5</v>
      </c>
      <c r="T3382" s="2" t="n">
        <v>1</v>
      </c>
      <c r="U3382" s="2" t="n">
        <v>0</v>
      </c>
      <c r="V3382" s="2" t="n">
        <v>3</v>
      </c>
      <c r="W3382" s="2" t="n">
        <v>3</v>
      </c>
      <c r="X3382" s="2" t="n">
        <v>3</v>
      </c>
      <c r="Y3382" s="2" t="n">
        <v>2</v>
      </c>
      <c r="Z3382" s="2" t="n">
        <v>3</v>
      </c>
    </row>
    <row r="3383" customFormat="false" ht="15" hidden="false" customHeight="true" outlineLevel="0" collapsed="false">
      <c r="A3383" s="2" t="n">
        <v>52</v>
      </c>
      <c r="B3383" s="2" t="s">
        <v>26</v>
      </c>
      <c r="C3383" s="2" t="s">
        <v>27</v>
      </c>
      <c r="D3383" s="2" t="s">
        <v>35</v>
      </c>
      <c r="E3383" s="2" t="n">
        <v>5</v>
      </c>
      <c r="F3383" s="2" t="n">
        <v>4</v>
      </c>
      <c r="G3383" s="2" t="s">
        <v>38</v>
      </c>
      <c r="H3383" s="2" t="n">
        <v>3382</v>
      </c>
      <c r="I3383" s="2" t="s">
        <v>39</v>
      </c>
      <c r="J3383" s="2" t="n">
        <v>1</v>
      </c>
      <c r="K3383" s="2" t="s">
        <v>45</v>
      </c>
      <c r="L3383" s="2" t="s">
        <v>32</v>
      </c>
      <c r="M3383" s="2" t="n">
        <v>29110</v>
      </c>
      <c r="N3383" s="2" t="n">
        <v>2</v>
      </c>
      <c r="O3383" s="2" t="n">
        <v>17</v>
      </c>
      <c r="P3383" s="2" t="n">
        <v>2</v>
      </c>
      <c r="Q3383" s="2" t="n">
        <v>26</v>
      </c>
      <c r="R3383" s="2" t="n">
        <v>3</v>
      </c>
      <c r="S3383" s="2" t="n">
        <v>9</v>
      </c>
      <c r="T3383" s="2" t="n">
        <v>7</v>
      </c>
      <c r="U3383" s="2" t="n">
        <v>8</v>
      </c>
      <c r="V3383" s="2" t="n">
        <v>4</v>
      </c>
      <c r="W3383" s="2" t="n">
        <v>4</v>
      </c>
      <c r="X3383" s="2" t="n">
        <v>2</v>
      </c>
      <c r="Y3383" s="2" t="n">
        <v>3</v>
      </c>
      <c r="Z3383" s="2" t="n">
        <v>3</v>
      </c>
    </row>
    <row r="3384" customFormat="false" ht="15" hidden="false" customHeight="true" outlineLevel="0" collapsed="false">
      <c r="A3384" s="2" t="n">
        <v>58</v>
      </c>
      <c r="B3384" s="2" t="s">
        <v>33</v>
      </c>
      <c r="C3384" s="2" t="s">
        <v>27</v>
      </c>
      <c r="D3384" s="2" t="s">
        <v>28</v>
      </c>
      <c r="E3384" s="2" t="n">
        <v>9</v>
      </c>
      <c r="F3384" s="2" t="n">
        <v>2</v>
      </c>
      <c r="G3384" s="2" t="s">
        <v>43</v>
      </c>
      <c r="H3384" s="2" t="n">
        <v>3383</v>
      </c>
      <c r="I3384" s="2" t="s">
        <v>30</v>
      </c>
      <c r="J3384" s="2" t="n">
        <v>4</v>
      </c>
      <c r="K3384" s="2" t="s">
        <v>40</v>
      </c>
      <c r="L3384" s="2" t="s">
        <v>37</v>
      </c>
      <c r="M3384" s="2" t="n">
        <v>59570</v>
      </c>
      <c r="N3384" s="2" t="n">
        <v>4</v>
      </c>
      <c r="O3384" s="2" t="n">
        <v>14</v>
      </c>
      <c r="P3384" s="2" t="n">
        <v>1</v>
      </c>
      <c r="Q3384" s="2" t="n">
        <v>7</v>
      </c>
      <c r="R3384" s="2" t="n">
        <v>2</v>
      </c>
      <c r="S3384" s="2" t="n">
        <v>1</v>
      </c>
      <c r="T3384" s="2" t="n">
        <v>0</v>
      </c>
      <c r="U3384" s="2" t="n">
        <v>0</v>
      </c>
      <c r="V3384" s="2" t="n">
        <v>4</v>
      </c>
      <c r="W3384" s="2" t="n">
        <v>3</v>
      </c>
      <c r="X3384" s="2" t="n">
        <v>3</v>
      </c>
      <c r="Y3384" s="2" t="n">
        <v>1</v>
      </c>
      <c r="Z3384" s="2" t="n">
        <v>3</v>
      </c>
    </row>
    <row r="3385" customFormat="false" ht="15" hidden="false" customHeight="true" outlineLevel="0" collapsed="false">
      <c r="A3385" s="2" t="n">
        <v>53</v>
      </c>
      <c r="B3385" s="2" t="s">
        <v>26</v>
      </c>
      <c r="C3385" s="2" t="s">
        <v>27</v>
      </c>
      <c r="D3385" s="2" t="s">
        <v>35</v>
      </c>
      <c r="E3385" s="2" t="n">
        <v>9</v>
      </c>
      <c r="F3385" s="2" t="n">
        <v>3</v>
      </c>
      <c r="G3385" s="2" t="s">
        <v>51</v>
      </c>
      <c r="H3385" s="2" t="n">
        <v>3384</v>
      </c>
      <c r="I3385" s="2" t="s">
        <v>39</v>
      </c>
      <c r="J3385" s="2" t="n">
        <v>1</v>
      </c>
      <c r="K3385" s="2" t="s">
        <v>49</v>
      </c>
      <c r="L3385" s="2" t="s">
        <v>46</v>
      </c>
      <c r="M3385" s="2" t="n">
        <v>39200</v>
      </c>
      <c r="N3385" s="2" t="n">
        <v>6</v>
      </c>
      <c r="O3385" s="2" t="n">
        <v>16</v>
      </c>
      <c r="P3385" s="2" t="n">
        <v>1</v>
      </c>
      <c r="Q3385" s="2" t="n">
        <v>22</v>
      </c>
      <c r="R3385" s="2" t="n">
        <v>3</v>
      </c>
      <c r="S3385" s="2" t="n">
        <v>17</v>
      </c>
      <c r="T3385" s="2" t="n">
        <v>15</v>
      </c>
      <c r="U3385" s="2" t="n">
        <v>2</v>
      </c>
      <c r="V3385" s="2" t="n">
        <v>3</v>
      </c>
      <c r="W3385" s="2" t="n">
        <v>3</v>
      </c>
      <c r="X3385" s="2" t="n">
        <v>4</v>
      </c>
      <c r="Y3385" s="2" t="n">
        <v>3</v>
      </c>
      <c r="Z3385" s="2" t="n">
        <v>3</v>
      </c>
    </row>
    <row r="3386" customFormat="false" ht="15" hidden="false" customHeight="true" outlineLevel="0" collapsed="false">
      <c r="A3386" s="2" t="n">
        <v>30</v>
      </c>
      <c r="B3386" s="2" t="s">
        <v>26</v>
      </c>
      <c r="C3386" s="2" t="s">
        <v>27</v>
      </c>
      <c r="D3386" s="2" t="s">
        <v>28</v>
      </c>
      <c r="E3386" s="2" t="n">
        <v>3</v>
      </c>
      <c r="F3386" s="2" t="n">
        <v>4</v>
      </c>
      <c r="G3386" s="2" t="s">
        <v>50</v>
      </c>
      <c r="H3386" s="2" t="n">
        <v>3385</v>
      </c>
      <c r="I3386" s="2" t="s">
        <v>39</v>
      </c>
      <c r="J3386" s="2" t="n">
        <v>1</v>
      </c>
      <c r="K3386" s="2" t="s">
        <v>40</v>
      </c>
      <c r="L3386" s="2" t="s">
        <v>46</v>
      </c>
      <c r="M3386" s="2" t="n">
        <v>64340</v>
      </c>
      <c r="N3386" s="2" t="n">
        <v>5</v>
      </c>
      <c r="O3386" s="2" t="n">
        <v>14</v>
      </c>
      <c r="P3386" s="2" t="n">
        <v>1</v>
      </c>
      <c r="Q3386" s="2" t="n">
        <v>10</v>
      </c>
      <c r="R3386" s="2" t="n">
        <v>3</v>
      </c>
      <c r="S3386" s="2" t="n">
        <v>8</v>
      </c>
      <c r="T3386" s="2" t="n">
        <v>7</v>
      </c>
      <c r="U3386" s="2" t="n">
        <v>7</v>
      </c>
      <c r="V3386" s="2" t="n">
        <v>3</v>
      </c>
      <c r="W3386" s="2" t="n">
        <v>3</v>
      </c>
      <c r="X3386" s="2" t="n">
        <v>4</v>
      </c>
      <c r="Y3386" s="2" t="n">
        <v>2</v>
      </c>
      <c r="Z3386" s="2" t="n">
        <v>3</v>
      </c>
    </row>
    <row r="3387" customFormat="false" ht="15" hidden="false" customHeight="true" outlineLevel="0" collapsed="false">
      <c r="A3387" s="2" t="n">
        <v>38</v>
      </c>
      <c r="B3387" s="2" t="s">
        <v>26</v>
      </c>
      <c r="C3387" s="2" t="s">
        <v>41</v>
      </c>
      <c r="D3387" s="2" t="s">
        <v>28</v>
      </c>
      <c r="E3387" s="2" t="n">
        <v>4</v>
      </c>
      <c r="F3387" s="2" t="n">
        <v>3</v>
      </c>
      <c r="G3387" s="2" t="s">
        <v>29</v>
      </c>
      <c r="H3387" s="2" t="n">
        <v>3386</v>
      </c>
      <c r="I3387" s="2" t="s">
        <v>39</v>
      </c>
      <c r="J3387" s="2" t="n">
        <v>2</v>
      </c>
      <c r="K3387" s="2" t="s">
        <v>44</v>
      </c>
      <c r="L3387" s="2" t="s">
        <v>37</v>
      </c>
      <c r="M3387" s="2" t="n">
        <v>100480</v>
      </c>
      <c r="N3387" s="2" t="n">
        <v>1</v>
      </c>
      <c r="O3387" s="2" t="n">
        <v>23</v>
      </c>
      <c r="P3387" s="2" t="n">
        <v>1</v>
      </c>
      <c r="Q3387" s="2" t="n">
        <v>6</v>
      </c>
      <c r="R3387" s="2" t="n">
        <v>2</v>
      </c>
      <c r="S3387" s="2" t="n">
        <v>5</v>
      </c>
      <c r="T3387" s="2" t="n">
        <v>1</v>
      </c>
      <c r="U3387" s="2" t="n">
        <v>3</v>
      </c>
      <c r="V3387" s="2" t="n">
        <v>3</v>
      </c>
      <c r="W3387" s="2" t="n">
        <v>4</v>
      </c>
      <c r="X3387" s="2" t="n">
        <v>3</v>
      </c>
      <c r="Y3387" s="2" t="n">
        <v>3</v>
      </c>
      <c r="Z3387" s="2" t="n">
        <v>4</v>
      </c>
    </row>
    <row r="3388" customFormat="false" ht="15" hidden="false" customHeight="true" outlineLevel="0" collapsed="false">
      <c r="A3388" s="2" t="n">
        <v>35</v>
      </c>
      <c r="B3388" s="2" t="s">
        <v>26</v>
      </c>
      <c r="C3388" s="2" t="s">
        <v>27</v>
      </c>
      <c r="D3388" s="2" t="s">
        <v>28</v>
      </c>
      <c r="E3388" s="2" t="n">
        <v>1</v>
      </c>
      <c r="F3388" s="2" t="n">
        <v>2</v>
      </c>
      <c r="G3388" s="2" t="s">
        <v>29</v>
      </c>
      <c r="H3388" s="2" t="n">
        <v>3387</v>
      </c>
      <c r="I3388" s="2" t="s">
        <v>30</v>
      </c>
      <c r="J3388" s="2" t="n">
        <v>2</v>
      </c>
      <c r="K3388" s="2" t="s">
        <v>31</v>
      </c>
      <c r="L3388" s="2" t="s">
        <v>46</v>
      </c>
      <c r="M3388" s="2" t="n">
        <v>109380</v>
      </c>
      <c r="N3388" s="2" t="n">
        <v>6</v>
      </c>
      <c r="O3388" s="2" t="n">
        <v>14</v>
      </c>
      <c r="P3388" s="2" t="n">
        <v>2</v>
      </c>
      <c r="Q3388" s="2" t="n">
        <v>12</v>
      </c>
      <c r="R3388" s="2" t="n">
        <v>2</v>
      </c>
      <c r="S3388" s="2" t="n">
        <v>10</v>
      </c>
      <c r="T3388" s="2" t="n">
        <v>0</v>
      </c>
      <c r="U3388" s="2" t="n">
        <v>8</v>
      </c>
      <c r="V3388" s="2" t="n">
        <v>4</v>
      </c>
      <c r="W3388" s="2" t="n">
        <v>4</v>
      </c>
      <c r="X3388" s="2" t="n">
        <v>3</v>
      </c>
      <c r="Y3388" s="2" t="n">
        <v>1</v>
      </c>
      <c r="Z3388" s="2" t="n">
        <v>3</v>
      </c>
    </row>
    <row r="3389" customFormat="false" ht="15" hidden="false" customHeight="true" outlineLevel="0" collapsed="false">
      <c r="A3389" s="2" t="n">
        <v>39</v>
      </c>
      <c r="B3389" s="2" t="s">
        <v>26</v>
      </c>
      <c r="C3389" s="2" t="s">
        <v>27</v>
      </c>
      <c r="D3389" s="2" t="s">
        <v>28</v>
      </c>
      <c r="E3389" s="2" t="n">
        <v>1</v>
      </c>
      <c r="F3389" s="2" t="n">
        <v>1</v>
      </c>
      <c r="G3389" s="2" t="s">
        <v>50</v>
      </c>
      <c r="H3389" s="2" t="n">
        <v>3388</v>
      </c>
      <c r="I3389" s="2" t="s">
        <v>39</v>
      </c>
      <c r="J3389" s="2" t="n">
        <v>2</v>
      </c>
      <c r="K3389" s="2" t="s">
        <v>36</v>
      </c>
      <c r="L3389" s="2" t="s">
        <v>37</v>
      </c>
      <c r="M3389" s="2" t="n">
        <v>23400</v>
      </c>
      <c r="N3389" s="2" t="n">
        <v>0</v>
      </c>
      <c r="O3389" s="2" t="n">
        <v>11</v>
      </c>
      <c r="P3389" s="2" t="n">
        <v>1</v>
      </c>
      <c r="Q3389" s="2" t="n">
        <v>9</v>
      </c>
      <c r="R3389" s="2" t="n">
        <v>2</v>
      </c>
      <c r="S3389" s="2" t="n">
        <v>8</v>
      </c>
      <c r="T3389" s="2" t="n">
        <v>0</v>
      </c>
      <c r="U3389" s="2" t="n">
        <v>7</v>
      </c>
      <c r="V3389" s="2"/>
      <c r="W3389" s="2" t="n">
        <v>3</v>
      </c>
      <c r="X3389" s="2" t="n">
        <v>3</v>
      </c>
      <c r="Y3389" s="2" t="n">
        <v>2</v>
      </c>
      <c r="Z3389" s="2" t="n">
        <v>3</v>
      </c>
    </row>
    <row r="3390" customFormat="false" ht="15" hidden="false" customHeight="true" outlineLevel="0" collapsed="false">
      <c r="A3390" s="2" t="n">
        <v>40</v>
      </c>
      <c r="B3390" s="2" t="s">
        <v>33</v>
      </c>
      <c r="C3390" s="2" t="s">
        <v>41</v>
      </c>
      <c r="D3390" s="2" t="s">
        <v>35</v>
      </c>
      <c r="E3390" s="2" t="n">
        <v>2</v>
      </c>
      <c r="F3390" s="2" t="n">
        <v>4</v>
      </c>
      <c r="G3390" s="2" t="s">
        <v>29</v>
      </c>
      <c r="H3390" s="2" t="n">
        <v>3389</v>
      </c>
      <c r="I3390" s="2" t="s">
        <v>39</v>
      </c>
      <c r="J3390" s="2" t="n">
        <v>1</v>
      </c>
      <c r="K3390" s="2" t="s">
        <v>42</v>
      </c>
      <c r="L3390" s="2" t="s">
        <v>37</v>
      </c>
      <c r="M3390" s="2" t="n">
        <v>65450</v>
      </c>
      <c r="N3390" s="2" t="n">
        <v>4</v>
      </c>
      <c r="O3390" s="2" t="n">
        <v>15</v>
      </c>
      <c r="P3390" s="2" t="n">
        <v>0</v>
      </c>
      <c r="Q3390" s="2" t="n">
        <v>22</v>
      </c>
      <c r="R3390" s="2" t="n">
        <v>2</v>
      </c>
      <c r="S3390" s="2" t="n">
        <v>1</v>
      </c>
      <c r="T3390" s="2" t="n">
        <v>0</v>
      </c>
      <c r="U3390" s="2" t="n">
        <v>0</v>
      </c>
      <c r="V3390" s="2" t="n">
        <v>2</v>
      </c>
      <c r="W3390" s="2" t="n">
        <v>2</v>
      </c>
      <c r="X3390" s="2" t="n">
        <v>2</v>
      </c>
      <c r="Y3390" s="2" t="n">
        <v>3</v>
      </c>
      <c r="Z3390" s="2" t="n">
        <v>3</v>
      </c>
    </row>
    <row r="3391" customFormat="false" ht="15" hidden="false" customHeight="true" outlineLevel="0" collapsed="false">
      <c r="A3391" s="2" t="n">
        <v>47</v>
      </c>
      <c r="B3391" s="2" t="s">
        <v>26</v>
      </c>
      <c r="C3391" s="2" t="s">
        <v>34</v>
      </c>
      <c r="D3391" s="2" t="s">
        <v>35</v>
      </c>
      <c r="E3391" s="2" t="n">
        <v>7</v>
      </c>
      <c r="F3391" s="2" t="n">
        <v>4</v>
      </c>
      <c r="G3391" s="2" t="s">
        <v>29</v>
      </c>
      <c r="H3391" s="2" t="n">
        <v>3390</v>
      </c>
      <c r="I3391" s="2" t="s">
        <v>39</v>
      </c>
      <c r="J3391" s="2" t="n">
        <v>3</v>
      </c>
      <c r="K3391" s="2" t="s">
        <v>40</v>
      </c>
      <c r="L3391" s="2" t="s">
        <v>46</v>
      </c>
      <c r="M3391" s="2" t="n">
        <v>69310</v>
      </c>
      <c r="N3391" s="2" t="n">
        <v>1</v>
      </c>
      <c r="O3391" s="2" t="n">
        <v>11</v>
      </c>
      <c r="P3391" s="2" t="n">
        <v>0</v>
      </c>
      <c r="Q3391" s="2" t="n">
        <v>20</v>
      </c>
      <c r="R3391" s="2" t="n">
        <v>3</v>
      </c>
      <c r="S3391" s="2" t="n">
        <v>19</v>
      </c>
      <c r="T3391" s="2" t="n">
        <v>2</v>
      </c>
      <c r="U3391" s="2" t="n">
        <v>7</v>
      </c>
      <c r="V3391" s="2" t="n">
        <v>3</v>
      </c>
      <c r="W3391" s="2" t="n">
        <v>3</v>
      </c>
      <c r="X3391" s="2" t="n">
        <v>4</v>
      </c>
      <c r="Y3391" s="2" t="n">
        <v>3</v>
      </c>
      <c r="Z3391" s="2" t="n">
        <v>3</v>
      </c>
    </row>
    <row r="3392" customFormat="false" ht="15" hidden="false" customHeight="true" outlineLevel="0" collapsed="false">
      <c r="A3392" s="2" t="n">
        <v>36</v>
      </c>
      <c r="B3392" s="2" t="s">
        <v>26</v>
      </c>
      <c r="C3392" s="2" t="s">
        <v>41</v>
      </c>
      <c r="D3392" s="2" t="s">
        <v>28</v>
      </c>
      <c r="E3392" s="2" t="n">
        <v>28</v>
      </c>
      <c r="F3392" s="2" t="n">
        <v>1</v>
      </c>
      <c r="G3392" s="2" t="s">
        <v>29</v>
      </c>
      <c r="H3392" s="2" t="n">
        <v>3391</v>
      </c>
      <c r="I3392" s="2" t="s">
        <v>39</v>
      </c>
      <c r="J3392" s="2" t="n">
        <v>2</v>
      </c>
      <c r="K3392" s="2" t="s">
        <v>36</v>
      </c>
      <c r="L3392" s="2" t="s">
        <v>46</v>
      </c>
      <c r="M3392" s="2" t="n">
        <v>48980</v>
      </c>
      <c r="N3392" s="2" t="n">
        <v>4</v>
      </c>
      <c r="O3392" s="2" t="n">
        <v>13</v>
      </c>
      <c r="P3392" s="2" t="n">
        <v>1</v>
      </c>
      <c r="Q3392" s="2" t="n">
        <v>12</v>
      </c>
      <c r="R3392" s="2" t="n">
        <v>3</v>
      </c>
      <c r="S3392" s="2" t="n">
        <v>7</v>
      </c>
      <c r="T3392" s="2" t="n">
        <v>0</v>
      </c>
      <c r="U3392" s="2" t="n">
        <v>7</v>
      </c>
      <c r="V3392" s="2" t="n">
        <v>1</v>
      </c>
      <c r="W3392" s="2" t="n">
        <v>4</v>
      </c>
      <c r="X3392" s="2" t="n">
        <v>3</v>
      </c>
      <c r="Y3392" s="2" t="n">
        <v>3</v>
      </c>
      <c r="Z3392" s="2" t="n">
        <v>3</v>
      </c>
    </row>
    <row r="3393" customFormat="false" ht="15" hidden="false" customHeight="true" outlineLevel="0" collapsed="false">
      <c r="A3393" s="2" t="n">
        <v>31</v>
      </c>
      <c r="B3393" s="2" t="s">
        <v>33</v>
      </c>
      <c r="C3393" s="2" t="s">
        <v>41</v>
      </c>
      <c r="D3393" s="2" t="s">
        <v>35</v>
      </c>
      <c r="E3393" s="2" t="n">
        <v>28</v>
      </c>
      <c r="F3393" s="2" t="n">
        <v>4</v>
      </c>
      <c r="G3393" s="2" t="s">
        <v>43</v>
      </c>
      <c r="H3393" s="2" t="n">
        <v>3392</v>
      </c>
      <c r="I3393" s="2" t="s">
        <v>39</v>
      </c>
      <c r="J3393" s="2" t="n">
        <v>2</v>
      </c>
      <c r="K3393" s="2" t="s">
        <v>36</v>
      </c>
      <c r="L3393" s="2" t="s">
        <v>37</v>
      </c>
      <c r="M3393" s="2" t="n">
        <v>25930</v>
      </c>
      <c r="N3393" s="2" t="n">
        <v>0</v>
      </c>
      <c r="O3393" s="2" t="n">
        <v>21</v>
      </c>
      <c r="P3393" s="2" t="n">
        <v>0</v>
      </c>
      <c r="Q3393" s="2" t="n">
        <v>4</v>
      </c>
      <c r="R3393" s="2" t="n">
        <v>2</v>
      </c>
      <c r="S3393" s="2" t="n">
        <v>3</v>
      </c>
      <c r="T3393" s="2" t="n">
        <v>1</v>
      </c>
      <c r="U3393" s="2" t="n">
        <v>2</v>
      </c>
      <c r="V3393" s="2" t="n">
        <v>3</v>
      </c>
      <c r="W3393" s="2" t="n">
        <v>1</v>
      </c>
      <c r="X3393" s="2" t="n">
        <v>3</v>
      </c>
      <c r="Y3393" s="2" t="n">
        <v>3</v>
      </c>
      <c r="Z3393" s="2" t="n">
        <v>4</v>
      </c>
    </row>
    <row r="3394" customFormat="false" ht="15" hidden="false" customHeight="true" outlineLevel="0" collapsed="false">
      <c r="A3394" s="2" t="n">
        <v>33</v>
      </c>
      <c r="B3394" s="2" t="s">
        <v>26</v>
      </c>
      <c r="C3394" s="2" t="s">
        <v>41</v>
      </c>
      <c r="D3394" s="2" t="s">
        <v>28</v>
      </c>
      <c r="E3394" s="2" t="n">
        <v>15</v>
      </c>
      <c r="F3394" s="2" t="n">
        <v>3</v>
      </c>
      <c r="G3394" s="2" t="s">
        <v>38</v>
      </c>
      <c r="H3394" s="2" t="n">
        <v>3393</v>
      </c>
      <c r="I3394" s="2" t="s">
        <v>39</v>
      </c>
      <c r="J3394" s="2" t="n">
        <v>4</v>
      </c>
      <c r="K3394" s="2" t="s">
        <v>44</v>
      </c>
      <c r="L3394" s="2" t="s">
        <v>37</v>
      </c>
      <c r="M3394" s="2" t="n">
        <v>194360</v>
      </c>
      <c r="N3394" s="2" t="n">
        <v>1</v>
      </c>
      <c r="O3394" s="2" t="n">
        <v>19</v>
      </c>
      <c r="P3394" s="2" t="n">
        <v>2</v>
      </c>
      <c r="Q3394" s="2" t="n">
        <v>10</v>
      </c>
      <c r="R3394" s="2" t="n">
        <v>4</v>
      </c>
      <c r="S3394" s="2" t="n">
        <v>10</v>
      </c>
      <c r="T3394" s="2" t="n">
        <v>6</v>
      </c>
      <c r="U3394" s="2" t="n">
        <v>0</v>
      </c>
      <c r="V3394" s="2" t="n">
        <v>4</v>
      </c>
      <c r="W3394" s="2" t="n">
        <v>3</v>
      </c>
      <c r="X3394" s="2" t="n">
        <v>3</v>
      </c>
      <c r="Y3394" s="2" t="n">
        <v>3</v>
      </c>
      <c r="Z3394" s="2" t="n">
        <v>3</v>
      </c>
    </row>
    <row r="3395" customFormat="false" ht="15" hidden="false" customHeight="true" outlineLevel="0" collapsed="false">
      <c r="A3395" s="2" t="n">
        <v>29</v>
      </c>
      <c r="B3395" s="2" t="s">
        <v>33</v>
      </c>
      <c r="C3395" s="2" t="s">
        <v>27</v>
      </c>
      <c r="D3395" s="2" t="s">
        <v>42</v>
      </c>
      <c r="E3395" s="2" t="n">
        <v>3</v>
      </c>
      <c r="F3395" s="2" t="n">
        <v>5</v>
      </c>
      <c r="G3395" s="2" t="s">
        <v>29</v>
      </c>
      <c r="H3395" s="2" t="n">
        <v>3394</v>
      </c>
      <c r="I3395" s="2" t="s">
        <v>39</v>
      </c>
      <c r="J3395" s="2" t="n">
        <v>1</v>
      </c>
      <c r="K3395" s="2" t="s">
        <v>40</v>
      </c>
      <c r="L3395" s="2" t="s">
        <v>37</v>
      </c>
      <c r="M3395" s="2" t="n">
        <v>27230</v>
      </c>
      <c r="N3395" s="2" t="n">
        <v>6</v>
      </c>
      <c r="O3395" s="2" t="n">
        <v>11</v>
      </c>
      <c r="P3395" s="2" t="n">
        <v>1</v>
      </c>
      <c r="Q3395" s="2" t="n">
        <v>3</v>
      </c>
      <c r="R3395" s="2" t="n">
        <v>2</v>
      </c>
      <c r="S3395" s="2" t="n">
        <v>0</v>
      </c>
      <c r="T3395" s="2" t="n">
        <v>0</v>
      </c>
      <c r="U3395" s="2" t="n">
        <v>0</v>
      </c>
      <c r="V3395" s="2" t="n">
        <v>4</v>
      </c>
      <c r="W3395" s="2" t="n">
        <v>1</v>
      </c>
      <c r="X3395" s="2" t="n">
        <v>3</v>
      </c>
      <c r="Y3395" s="2" t="n">
        <v>2</v>
      </c>
      <c r="Z3395" s="2" t="n">
        <v>3</v>
      </c>
    </row>
    <row r="3396" customFormat="false" ht="15" hidden="false" customHeight="true" outlineLevel="0" collapsed="false">
      <c r="A3396" s="2" t="n">
        <v>33</v>
      </c>
      <c r="B3396" s="2" t="s">
        <v>26</v>
      </c>
      <c r="C3396" s="2" t="s">
        <v>27</v>
      </c>
      <c r="D3396" s="2" t="s">
        <v>35</v>
      </c>
      <c r="E3396" s="2" t="n">
        <v>2</v>
      </c>
      <c r="F3396" s="2" t="n">
        <v>2</v>
      </c>
      <c r="G3396" s="2" t="s">
        <v>51</v>
      </c>
      <c r="H3396" s="2" t="n">
        <v>3395</v>
      </c>
      <c r="I3396" s="2" t="s">
        <v>39</v>
      </c>
      <c r="J3396" s="2" t="n">
        <v>2</v>
      </c>
      <c r="K3396" s="2" t="s">
        <v>45</v>
      </c>
      <c r="L3396" s="2" t="s">
        <v>37</v>
      </c>
      <c r="M3396" s="2" t="n">
        <v>34790</v>
      </c>
      <c r="N3396" s="2" t="n">
        <v>3</v>
      </c>
      <c r="O3396" s="2" t="n">
        <v>12</v>
      </c>
      <c r="P3396" s="2" t="n">
        <v>0</v>
      </c>
      <c r="Q3396" s="2" t="n">
        <v>5</v>
      </c>
      <c r="R3396" s="2" t="n">
        <v>3</v>
      </c>
      <c r="S3396" s="2" t="n">
        <v>3</v>
      </c>
      <c r="T3396" s="2" t="n">
        <v>0</v>
      </c>
      <c r="U3396" s="2" t="n">
        <v>2</v>
      </c>
      <c r="V3396" s="2" t="n">
        <v>2</v>
      </c>
      <c r="W3396" s="2" t="n">
        <v>4</v>
      </c>
      <c r="X3396" s="2" t="n">
        <v>3</v>
      </c>
      <c r="Y3396" s="2" t="n">
        <v>3</v>
      </c>
      <c r="Z3396" s="2" t="n">
        <v>3</v>
      </c>
    </row>
    <row r="3397" customFormat="false" ht="15" hidden="false" customHeight="true" outlineLevel="0" collapsed="false">
      <c r="A3397" s="2" t="n">
        <v>45</v>
      </c>
      <c r="B3397" s="2" t="s">
        <v>26</v>
      </c>
      <c r="C3397" s="2" t="s">
        <v>27</v>
      </c>
      <c r="D3397" s="2" t="s">
        <v>35</v>
      </c>
      <c r="E3397" s="2" t="n">
        <v>26</v>
      </c>
      <c r="F3397" s="2" t="n">
        <v>1</v>
      </c>
      <c r="G3397" s="2" t="s">
        <v>43</v>
      </c>
      <c r="H3397" s="2" t="n">
        <v>3396</v>
      </c>
      <c r="I3397" s="2" t="s">
        <v>30</v>
      </c>
      <c r="J3397" s="2" t="n">
        <v>3</v>
      </c>
      <c r="K3397" s="2" t="s">
        <v>31</v>
      </c>
      <c r="L3397" s="2" t="s">
        <v>46</v>
      </c>
      <c r="M3397" s="2" t="n">
        <v>27940</v>
      </c>
      <c r="N3397" s="2" t="n">
        <v>3</v>
      </c>
      <c r="O3397" s="2" t="n">
        <v>19</v>
      </c>
      <c r="P3397" s="2" t="n">
        <v>1</v>
      </c>
      <c r="Q3397" s="2" t="n">
        <v>8</v>
      </c>
      <c r="R3397" s="2" t="n">
        <v>2</v>
      </c>
      <c r="S3397" s="2" t="n">
        <v>5</v>
      </c>
      <c r="T3397" s="2" t="n">
        <v>0</v>
      </c>
      <c r="U3397" s="2" t="n">
        <v>2</v>
      </c>
      <c r="V3397" s="2" t="n">
        <v>4</v>
      </c>
      <c r="W3397" s="2" t="n">
        <v>4</v>
      </c>
      <c r="X3397" s="2" t="n">
        <v>3</v>
      </c>
      <c r="Y3397" s="2" t="n">
        <v>3</v>
      </c>
      <c r="Z3397" s="2" t="n">
        <v>3</v>
      </c>
    </row>
    <row r="3398" customFormat="false" ht="15" hidden="false" customHeight="true" outlineLevel="0" collapsed="false">
      <c r="A3398" s="2" t="n">
        <v>50</v>
      </c>
      <c r="B3398" s="2" t="s">
        <v>26</v>
      </c>
      <c r="C3398" s="2" t="s">
        <v>27</v>
      </c>
      <c r="D3398" s="2" t="s">
        <v>28</v>
      </c>
      <c r="E3398" s="2" t="n">
        <v>10</v>
      </c>
      <c r="F3398" s="2" t="n">
        <v>1</v>
      </c>
      <c r="G3398" s="2" t="s">
        <v>29</v>
      </c>
      <c r="H3398" s="2" t="n">
        <v>3397</v>
      </c>
      <c r="I3398" s="2" t="s">
        <v>30</v>
      </c>
      <c r="J3398" s="2" t="n">
        <v>1</v>
      </c>
      <c r="K3398" s="2" t="s">
        <v>47</v>
      </c>
      <c r="L3398" s="2" t="s">
        <v>46</v>
      </c>
      <c r="M3398" s="2" t="n">
        <v>52490</v>
      </c>
      <c r="N3398" s="2" t="n">
        <v>9</v>
      </c>
      <c r="O3398" s="2" t="n">
        <v>21</v>
      </c>
      <c r="P3398" s="2" t="n">
        <v>2</v>
      </c>
      <c r="Q3398" s="2" t="n">
        <v>32</v>
      </c>
      <c r="R3398" s="2" t="n">
        <v>2</v>
      </c>
      <c r="S3398" s="2" t="n">
        <v>5</v>
      </c>
      <c r="T3398" s="2" t="n">
        <v>1</v>
      </c>
      <c r="U3398" s="2" t="n">
        <v>3</v>
      </c>
      <c r="V3398" s="2" t="n">
        <v>4</v>
      </c>
      <c r="W3398" s="2" t="n">
        <v>4</v>
      </c>
      <c r="X3398" s="2" t="n">
        <v>2</v>
      </c>
      <c r="Y3398" s="2" t="n">
        <v>2</v>
      </c>
      <c r="Z3398" s="2" t="n">
        <v>4</v>
      </c>
    </row>
    <row r="3399" customFormat="false" ht="15" hidden="false" customHeight="true" outlineLevel="0" collapsed="false">
      <c r="A3399" s="2" t="n">
        <v>33</v>
      </c>
      <c r="B3399" s="2" t="s">
        <v>26</v>
      </c>
      <c r="C3399" s="2" t="s">
        <v>34</v>
      </c>
      <c r="D3399" s="2" t="s">
        <v>28</v>
      </c>
      <c r="E3399" s="2" t="n">
        <v>1</v>
      </c>
      <c r="F3399" s="2" t="n">
        <v>3</v>
      </c>
      <c r="G3399" s="2" t="s">
        <v>50</v>
      </c>
      <c r="H3399" s="2" t="n">
        <v>3398</v>
      </c>
      <c r="I3399" s="2" t="s">
        <v>39</v>
      </c>
      <c r="J3399" s="2" t="n">
        <v>2</v>
      </c>
      <c r="K3399" s="2" t="s">
        <v>42</v>
      </c>
      <c r="L3399" s="2" t="s">
        <v>32</v>
      </c>
      <c r="M3399" s="2" t="n">
        <v>21760</v>
      </c>
      <c r="N3399" s="2" t="n">
        <v>1</v>
      </c>
      <c r="O3399" s="2" t="n">
        <v>14</v>
      </c>
      <c r="P3399" s="2" t="n">
        <v>1</v>
      </c>
      <c r="Q3399" s="2" t="n">
        <v>6</v>
      </c>
      <c r="R3399" s="2" t="n">
        <v>2</v>
      </c>
      <c r="S3399" s="2" t="n">
        <v>6</v>
      </c>
      <c r="T3399" s="2" t="n">
        <v>1</v>
      </c>
      <c r="U3399" s="2" t="n">
        <v>2</v>
      </c>
      <c r="V3399" s="2" t="n">
        <v>3</v>
      </c>
      <c r="W3399" s="2" t="n">
        <v>2</v>
      </c>
      <c r="X3399" s="2" t="n">
        <v>3</v>
      </c>
      <c r="Y3399" s="2" t="n">
        <v>2</v>
      </c>
      <c r="Z3399" s="2" t="n">
        <v>3</v>
      </c>
    </row>
    <row r="3400" customFormat="false" ht="15" hidden="false" customHeight="true" outlineLevel="0" collapsed="false">
      <c r="A3400" s="2" t="n">
        <v>41</v>
      </c>
      <c r="B3400" s="2" t="s">
        <v>26</v>
      </c>
      <c r="C3400" s="2" t="s">
        <v>34</v>
      </c>
      <c r="D3400" s="2" t="s">
        <v>28</v>
      </c>
      <c r="E3400" s="2" t="n">
        <v>11</v>
      </c>
      <c r="F3400" s="2" t="n">
        <v>3</v>
      </c>
      <c r="G3400" s="2" t="s">
        <v>38</v>
      </c>
      <c r="H3400" s="2" t="n">
        <v>3399</v>
      </c>
      <c r="I3400" s="2" t="s">
        <v>39</v>
      </c>
      <c r="J3400" s="2" t="n">
        <v>1</v>
      </c>
      <c r="K3400" s="2" t="s">
        <v>45</v>
      </c>
      <c r="L3400" s="2" t="s">
        <v>46</v>
      </c>
      <c r="M3400" s="2" t="n">
        <v>168720</v>
      </c>
      <c r="N3400" s="2" t="n">
        <v>2</v>
      </c>
      <c r="O3400" s="2" t="n">
        <v>15</v>
      </c>
      <c r="P3400" s="2" t="n">
        <v>1</v>
      </c>
      <c r="Q3400" s="2" t="n">
        <v>21</v>
      </c>
      <c r="R3400" s="2" t="n">
        <v>2</v>
      </c>
      <c r="S3400" s="2" t="n">
        <v>18</v>
      </c>
      <c r="T3400" s="2" t="n">
        <v>0</v>
      </c>
      <c r="U3400" s="2" t="n">
        <v>11</v>
      </c>
      <c r="V3400" s="2" t="n">
        <v>1</v>
      </c>
      <c r="W3400" s="2" t="n">
        <v>3</v>
      </c>
      <c r="X3400" s="2" t="n">
        <v>4</v>
      </c>
      <c r="Y3400" s="2" t="n">
        <v>3</v>
      </c>
      <c r="Z3400" s="2" t="n">
        <v>3</v>
      </c>
    </row>
    <row r="3401" customFormat="false" ht="15" hidden="false" customHeight="true" outlineLevel="0" collapsed="false">
      <c r="A3401" s="2" t="n">
        <v>27</v>
      </c>
      <c r="B3401" s="2" t="s">
        <v>26</v>
      </c>
      <c r="C3401" s="2" t="s">
        <v>27</v>
      </c>
      <c r="D3401" s="2" t="s">
        <v>35</v>
      </c>
      <c r="E3401" s="2" t="n">
        <v>20</v>
      </c>
      <c r="F3401" s="2" t="n">
        <v>4</v>
      </c>
      <c r="G3401" s="2" t="s">
        <v>38</v>
      </c>
      <c r="H3401" s="2" t="n">
        <v>3400</v>
      </c>
      <c r="I3401" s="2" t="s">
        <v>39</v>
      </c>
      <c r="J3401" s="2" t="n">
        <v>2</v>
      </c>
      <c r="K3401" s="2" t="s">
        <v>47</v>
      </c>
      <c r="L3401" s="2" t="s">
        <v>32</v>
      </c>
      <c r="M3401" s="2" t="n">
        <v>34850</v>
      </c>
      <c r="N3401" s="2" t="n">
        <v>9</v>
      </c>
      <c r="O3401" s="2" t="n">
        <v>17</v>
      </c>
      <c r="P3401" s="2" t="n">
        <v>2</v>
      </c>
      <c r="Q3401" s="2" t="n">
        <v>4</v>
      </c>
      <c r="R3401" s="2" t="n">
        <v>2</v>
      </c>
      <c r="S3401" s="2" t="n">
        <v>2</v>
      </c>
      <c r="T3401" s="2" t="n">
        <v>2</v>
      </c>
      <c r="U3401" s="2" t="n">
        <v>2</v>
      </c>
      <c r="V3401" s="2" t="n">
        <v>3</v>
      </c>
      <c r="W3401" s="2" t="n">
        <v>2</v>
      </c>
      <c r="X3401" s="2" t="n">
        <v>3</v>
      </c>
      <c r="Y3401" s="2" t="n">
        <v>3</v>
      </c>
      <c r="Z3401" s="2" t="n">
        <v>3</v>
      </c>
    </row>
    <row r="3402" customFormat="false" ht="15" hidden="false" customHeight="true" outlineLevel="0" collapsed="false">
      <c r="A3402" s="2" t="n">
        <v>45</v>
      </c>
      <c r="B3402" s="2" t="s">
        <v>26</v>
      </c>
      <c r="C3402" s="2" t="s">
        <v>41</v>
      </c>
      <c r="D3402" s="2" t="s">
        <v>28</v>
      </c>
      <c r="E3402" s="2" t="n">
        <v>2</v>
      </c>
      <c r="F3402" s="2" t="n">
        <v>3</v>
      </c>
      <c r="G3402" s="2" t="s">
        <v>43</v>
      </c>
      <c r="H3402" s="2" t="n">
        <v>3401</v>
      </c>
      <c r="I3402" s="2" t="s">
        <v>30</v>
      </c>
      <c r="J3402" s="2" t="n">
        <v>1</v>
      </c>
      <c r="K3402" s="2" t="s">
        <v>40</v>
      </c>
      <c r="L3402" s="2" t="s">
        <v>32</v>
      </c>
      <c r="M3402" s="2" t="n">
        <v>66440</v>
      </c>
      <c r="N3402" s="2" t="n">
        <v>1</v>
      </c>
      <c r="O3402" s="2" t="n">
        <v>12</v>
      </c>
      <c r="P3402" s="2" t="n">
        <v>0</v>
      </c>
      <c r="Q3402" s="2" t="n">
        <v>9</v>
      </c>
      <c r="R3402" s="2" t="n">
        <v>3</v>
      </c>
      <c r="S3402" s="2" t="n">
        <v>9</v>
      </c>
      <c r="T3402" s="2" t="n">
        <v>0</v>
      </c>
      <c r="U3402" s="2" t="n">
        <v>8</v>
      </c>
      <c r="V3402" s="2" t="n">
        <v>4</v>
      </c>
      <c r="W3402" s="2" t="n">
        <v>1</v>
      </c>
      <c r="X3402" s="2" t="n">
        <v>3</v>
      </c>
      <c r="Y3402" s="2" t="n">
        <v>4</v>
      </c>
      <c r="Z3402" s="2" t="n">
        <v>3</v>
      </c>
    </row>
    <row r="3403" customFormat="false" ht="15" hidden="false" customHeight="true" outlineLevel="0" collapsed="false">
      <c r="A3403" s="2" t="n">
        <v>47</v>
      </c>
      <c r="B3403" s="2" t="s">
        <v>26</v>
      </c>
      <c r="C3403" s="2" t="s">
        <v>27</v>
      </c>
      <c r="D3403" s="2" t="s">
        <v>28</v>
      </c>
      <c r="E3403" s="2" t="n">
        <v>18</v>
      </c>
      <c r="F3403" s="2" t="n">
        <v>4</v>
      </c>
      <c r="G3403" s="2" t="s">
        <v>43</v>
      </c>
      <c r="H3403" s="2" t="n">
        <v>3402</v>
      </c>
      <c r="I3403" s="2" t="s">
        <v>30</v>
      </c>
      <c r="J3403" s="2" t="n">
        <v>2</v>
      </c>
      <c r="K3403" s="2" t="s">
        <v>36</v>
      </c>
      <c r="L3403" s="2" t="s">
        <v>37</v>
      </c>
      <c r="M3403" s="2" t="n">
        <v>55820</v>
      </c>
      <c r="N3403" s="2" t="n">
        <v>1</v>
      </c>
      <c r="O3403" s="2" t="n">
        <v>16</v>
      </c>
      <c r="P3403" s="2" t="n">
        <v>0</v>
      </c>
      <c r="Q3403" s="2" t="n">
        <v>9</v>
      </c>
      <c r="R3403" s="2" t="n">
        <v>3</v>
      </c>
      <c r="S3403" s="2" t="n">
        <v>9</v>
      </c>
      <c r="T3403" s="2" t="n">
        <v>0</v>
      </c>
      <c r="U3403" s="2" t="n">
        <v>7</v>
      </c>
      <c r="V3403" s="2" t="n">
        <v>4</v>
      </c>
      <c r="W3403" s="2" t="n">
        <v>4</v>
      </c>
      <c r="X3403" s="2" t="n">
        <v>3</v>
      </c>
      <c r="Y3403" s="2" t="n">
        <v>3</v>
      </c>
      <c r="Z3403" s="2" t="n">
        <v>3</v>
      </c>
    </row>
    <row r="3404" customFormat="false" ht="15" hidden="false" customHeight="true" outlineLevel="0" collapsed="false">
      <c r="A3404" s="2" t="n">
        <v>30</v>
      </c>
      <c r="B3404" s="2" t="s">
        <v>33</v>
      </c>
      <c r="C3404" s="2" t="s">
        <v>27</v>
      </c>
      <c r="D3404" s="2" t="s">
        <v>28</v>
      </c>
      <c r="E3404" s="2" t="n">
        <v>2</v>
      </c>
      <c r="F3404" s="2" t="n">
        <v>3</v>
      </c>
      <c r="G3404" s="2" t="s">
        <v>29</v>
      </c>
      <c r="H3404" s="2" t="n">
        <v>3403</v>
      </c>
      <c r="I3404" s="2" t="s">
        <v>39</v>
      </c>
      <c r="J3404" s="2" t="n">
        <v>2</v>
      </c>
      <c r="K3404" s="2" t="s">
        <v>31</v>
      </c>
      <c r="L3404" s="2" t="s">
        <v>32</v>
      </c>
      <c r="M3404" s="2" t="n">
        <v>40000</v>
      </c>
      <c r="N3404" s="2" t="n">
        <v>4</v>
      </c>
      <c r="O3404" s="2" t="n">
        <v>12</v>
      </c>
      <c r="P3404" s="2" t="n">
        <v>0</v>
      </c>
      <c r="Q3404" s="2" t="n">
        <v>7</v>
      </c>
      <c r="R3404" s="2" t="n">
        <v>5</v>
      </c>
      <c r="S3404" s="2" t="n">
        <v>5</v>
      </c>
      <c r="T3404" s="2" t="n">
        <v>0</v>
      </c>
      <c r="U3404" s="2" t="n">
        <v>1</v>
      </c>
      <c r="V3404" s="2" t="n">
        <v>1</v>
      </c>
      <c r="W3404" s="2" t="n">
        <v>3</v>
      </c>
      <c r="X3404" s="2" t="n">
        <v>3</v>
      </c>
      <c r="Y3404" s="2" t="n">
        <v>2</v>
      </c>
      <c r="Z3404" s="2" t="n">
        <v>3</v>
      </c>
    </row>
    <row r="3405" customFormat="false" ht="15" hidden="false" customHeight="true" outlineLevel="0" collapsed="false">
      <c r="A3405" s="2" t="n">
        <v>50</v>
      </c>
      <c r="B3405" s="2" t="s">
        <v>26</v>
      </c>
      <c r="C3405" s="2" t="s">
        <v>27</v>
      </c>
      <c r="D3405" s="2" t="s">
        <v>35</v>
      </c>
      <c r="E3405" s="2" t="n">
        <v>1</v>
      </c>
      <c r="F3405" s="2" t="n">
        <v>3</v>
      </c>
      <c r="G3405" s="2" t="s">
        <v>51</v>
      </c>
      <c r="H3405" s="2" t="n">
        <v>3404</v>
      </c>
      <c r="I3405" s="2" t="s">
        <v>30</v>
      </c>
      <c r="J3405" s="2" t="n">
        <v>2</v>
      </c>
      <c r="K3405" s="2" t="s">
        <v>40</v>
      </c>
      <c r="L3405" s="2" t="s">
        <v>32</v>
      </c>
      <c r="M3405" s="2" t="n">
        <v>134960</v>
      </c>
      <c r="N3405" s="2" t="n">
        <v>3</v>
      </c>
      <c r="O3405" s="2" t="n">
        <v>18</v>
      </c>
      <c r="P3405" s="2" t="n">
        <v>1</v>
      </c>
      <c r="Q3405" s="2" t="n">
        <v>22</v>
      </c>
      <c r="R3405" s="2" t="n">
        <v>3</v>
      </c>
      <c r="S3405" s="2" t="n">
        <v>12</v>
      </c>
      <c r="T3405" s="2" t="n">
        <v>1</v>
      </c>
      <c r="U3405" s="2" t="n">
        <v>5</v>
      </c>
      <c r="V3405" s="2" t="n">
        <v>4</v>
      </c>
      <c r="W3405" s="2" t="n">
        <v>3</v>
      </c>
      <c r="X3405" s="2" t="n">
        <v>3</v>
      </c>
      <c r="Y3405" s="2" t="n">
        <v>3</v>
      </c>
      <c r="Z3405" s="2" t="n">
        <v>3</v>
      </c>
    </row>
    <row r="3406" customFormat="false" ht="15" hidden="false" customHeight="true" outlineLevel="0" collapsed="false">
      <c r="A3406" s="2" t="n">
        <v>38</v>
      </c>
      <c r="B3406" s="2" t="s">
        <v>26</v>
      </c>
      <c r="C3406" s="2" t="s">
        <v>34</v>
      </c>
      <c r="D3406" s="2" t="s">
        <v>35</v>
      </c>
      <c r="E3406" s="2" t="n">
        <v>13</v>
      </c>
      <c r="F3406" s="2" t="n">
        <v>3</v>
      </c>
      <c r="G3406" s="2" t="s">
        <v>51</v>
      </c>
      <c r="H3406" s="2" t="n">
        <v>3405</v>
      </c>
      <c r="I3406" s="2" t="s">
        <v>39</v>
      </c>
      <c r="J3406" s="2" t="n">
        <v>1</v>
      </c>
      <c r="K3406" s="2" t="s">
        <v>47</v>
      </c>
      <c r="L3406" s="2" t="s">
        <v>32</v>
      </c>
      <c r="M3406" s="2" t="n">
        <v>32100</v>
      </c>
      <c r="N3406" s="2" t="n">
        <v>0</v>
      </c>
      <c r="O3406" s="2" t="n">
        <v>17</v>
      </c>
      <c r="P3406" s="2" t="n">
        <v>2</v>
      </c>
      <c r="Q3406" s="2" t="n">
        <v>3</v>
      </c>
      <c r="R3406" s="2" t="n">
        <v>5</v>
      </c>
      <c r="S3406" s="2" t="n">
        <v>2</v>
      </c>
      <c r="T3406" s="2" t="n">
        <v>0</v>
      </c>
      <c r="U3406" s="2" t="n">
        <v>2</v>
      </c>
      <c r="V3406" s="2" t="n">
        <v>3</v>
      </c>
      <c r="W3406" s="2" t="n">
        <v>3</v>
      </c>
      <c r="X3406" s="2" t="n">
        <v>2</v>
      </c>
      <c r="Y3406" s="2" t="n">
        <v>2</v>
      </c>
      <c r="Z3406" s="2" t="n">
        <v>3</v>
      </c>
    </row>
    <row r="3407" customFormat="false" ht="15" hidden="false" customHeight="true" outlineLevel="0" collapsed="false">
      <c r="A3407" s="2" t="n">
        <v>46</v>
      </c>
      <c r="B3407" s="2" t="s">
        <v>26</v>
      </c>
      <c r="C3407" s="2" t="s">
        <v>27</v>
      </c>
      <c r="D3407" s="2" t="s">
        <v>35</v>
      </c>
      <c r="E3407" s="2" t="n">
        <v>28</v>
      </c>
      <c r="F3407" s="2" t="n">
        <v>3</v>
      </c>
      <c r="G3407" s="2" t="s">
        <v>43</v>
      </c>
      <c r="H3407" s="2" t="n">
        <v>3406</v>
      </c>
      <c r="I3407" s="2" t="s">
        <v>30</v>
      </c>
      <c r="J3407" s="2" t="n">
        <v>3</v>
      </c>
      <c r="K3407" s="2" t="s">
        <v>42</v>
      </c>
      <c r="L3407" s="2" t="s">
        <v>46</v>
      </c>
      <c r="M3407" s="2" t="n">
        <v>190450</v>
      </c>
      <c r="N3407" s="2" t="n">
        <v>6</v>
      </c>
      <c r="O3407" s="2" t="n">
        <v>11</v>
      </c>
      <c r="P3407" s="2" t="n">
        <v>3</v>
      </c>
      <c r="Q3407" s="2" t="n">
        <v>13</v>
      </c>
      <c r="R3407" s="2" t="n">
        <v>2</v>
      </c>
      <c r="S3407" s="2" t="n">
        <v>8</v>
      </c>
      <c r="T3407" s="2" t="n">
        <v>0</v>
      </c>
      <c r="U3407" s="2" t="n">
        <v>7</v>
      </c>
      <c r="V3407" s="2" t="n">
        <v>4</v>
      </c>
      <c r="W3407" s="2" t="n">
        <v>3</v>
      </c>
      <c r="X3407" s="2" t="n">
        <v>3</v>
      </c>
      <c r="Y3407" s="2" t="n">
        <v>3</v>
      </c>
      <c r="Z3407" s="2" t="n">
        <v>3</v>
      </c>
    </row>
    <row r="3408" customFormat="false" ht="15" hidden="false" customHeight="true" outlineLevel="0" collapsed="false">
      <c r="A3408" s="2" t="n">
        <v>24</v>
      </c>
      <c r="B3408" s="2" t="s">
        <v>26</v>
      </c>
      <c r="C3408" s="2" t="s">
        <v>27</v>
      </c>
      <c r="D3408" s="2" t="s">
        <v>28</v>
      </c>
      <c r="E3408" s="2" t="n">
        <v>28</v>
      </c>
      <c r="F3408" s="2" t="n">
        <v>3</v>
      </c>
      <c r="G3408" s="2" t="s">
        <v>29</v>
      </c>
      <c r="H3408" s="2" t="n">
        <v>3407</v>
      </c>
      <c r="I3408" s="2" t="s">
        <v>30</v>
      </c>
      <c r="J3408" s="2" t="n">
        <v>1</v>
      </c>
      <c r="K3408" s="2" t="s">
        <v>31</v>
      </c>
      <c r="L3408" s="2" t="s">
        <v>46</v>
      </c>
      <c r="M3408" s="2" t="n">
        <v>118490</v>
      </c>
      <c r="N3408" s="2" t="n">
        <v>1</v>
      </c>
      <c r="O3408" s="2" t="n">
        <v>16</v>
      </c>
      <c r="P3408" s="2" t="n">
        <v>1</v>
      </c>
      <c r="Q3408" s="2" t="n">
        <v>5</v>
      </c>
      <c r="R3408" s="2" t="n">
        <v>3</v>
      </c>
      <c r="S3408" s="2" t="n">
        <v>4</v>
      </c>
      <c r="T3408" s="2" t="n">
        <v>3</v>
      </c>
      <c r="U3408" s="2" t="n">
        <v>2</v>
      </c>
      <c r="V3408" s="2" t="n">
        <v>4</v>
      </c>
      <c r="W3408" s="2" t="n">
        <v>3</v>
      </c>
      <c r="X3408" s="2" t="n">
        <v>3</v>
      </c>
      <c r="Y3408" s="2" t="n">
        <v>3</v>
      </c>
      <c r="Z3408" s="2" t="n">
        <v>3</v>
      </c>
    </row>
    <row r="3409" customFormat="false" ht="15" hidden="false" customHeight="true" outlineLevel="0" collapsed="false">
      <c r="A3409" s="2" t="n">
        <v>35</v>
      </c>
      <c r="B3409" s="2" t="s">
        <v>33</v>
      </c>
      <c r="C3409" s="2" t="s">
        <v>27</v>
      </c>
      <c r="D3409" s="2" t="s">
        <v>28</v>
      </c>
      <c r="E3409" s="2" t="n">
        <v>24</v>
      </c>
      <c r="F3409" s="2" t="n">
        <v>3</v>
      </c>
      <c r="G3409" s="2" t="s">
        <v>43</v>
      </c>
      <c r="H3409" s="2" t="n">
        <v>3408</v>
      </c>
      <c r="I3409" s="2" t="s">
        <v>39</v>
      </c>
      <c r="J3409" s="2" t="n">
        <v>3</v>
      </c>
      <c r="K3409" s="2" t="s">
        <v>31</v>
      </c>
      <c r="L3409" s="2" t="s">
        <v>46</v>
      </c>
      <c r="M3409" s="2" t="n">
        <v>20700</v>
      </c>
      <c r="N3409" s="2" t="n">
        <v>1</v>
      </c>
      <c r="O3409" s="2" t="n">
        <v>13</v>
      </c>
      <c r="P3409" s="2" t="n">
        <v>3</v>
      </c>
      <c r="Q3409" s="2" t="n">
        <v>5</v>
      </c>
      <c r="R3409" s="2" t="n">
        <v>1</v>
      </c>
      <c r="S3409" s="2" t="n">
        <v>4</v>
      </c>
      <c r="T3409" s="2" t="n">
        <v>0</v>
      </c>
      <c r="U3409" s="2" t="n">
        <v>2</v>
      </c>
      <c r="V3409" s="2" t="n">
        <v>3</v>
      </c>
      <c r="W3409" s="2" t="n">
        <v>2</v>
      </c>
      <c r="X3409" s="2" t="n">
        <v>1</v>
      </c>
      <c r="Y3409" s="2" t="n">
        <v>2</v>
      </c>
      <c r="Z3409" s="2" t="n">
        <v>3</v>
      </c>
    </row>
    <row r="3410" customFormat="false" ht="15" hidden="false" customHeight="true" outlineLevel="0" collapsed="false">
      <c r="A3410" s="2" t="n">
        <v>31</v>
      </c>
      <c r="B3410" s="2" t="s">
        <v>26</v>
      </c>
      <c r="C3410" s="2" t="s">
        <v>34</v>
      </c>
      <c r="D3410" s="2" t="s">
        <v>35</v>
      </c>
      <c r="E3410" s="2" t="n">
        <v>5</v>
      </c>
      <c r="F3410" s="2" t="n">
        <v>2</v>
      </c>
      <c r="G3410" s="2" t="s">
        <v>51</v>
      </c>
      <c r="H3410" s="2" t="n">
        <v>3409</v>
      </c>
      <c r="I3410" s="2" t="s">
        <v>39</v>
      </c>
      <c r="J3410" s="2" t="n">
        <v>2</v>
      </c>
      <c r="K3410" s="2" t="s">
        <v>40</v>
      </c>
      <c r="L3410" s="2" t="s">
        <v>32</v>
      </c>
      <c r="M3410" s="2" t="n">
        <v>65020</v>
      </c>
      <c r="N3410" s="2" t="n">
        <v>1</v>
      </c>
      <c r="O3410" s="2" t="n">
        <v>12</v>
      </c>
      <c r="P3410" s="2" t="n">
        <v>0</v>
      </c>
      <c r="Q3410" s="2" t="n">
        <v>4</v>
      </c>
      <c r="R3410" s="2" t="n">
        <v>3</v>
      </c>
      <c r="S3410" s="2" t="n">
        <v>4</v>
      </c>
      <c r="T3410" s="2" t="n">
        <v>0</v>
      </c>
      <c r="U3410" s="2" t="n">
        <v>3</v>
      </c>
      <c r="V3410" s="2" t="n">
        <v>3</v>
      </c>
      <c r="W3410" s="2" t="n">
        <v>1</v>
      </c>
      <c r="X3410" s="2" t="n">
        <v>3</v>
      </c>
      <c r="Y3410" s="2" t="n">
        <v>3</v>
      </c>
      <c r="Z3410" s="2" t="n">
        <v>3</v>
      </c>
    </row>
    <row r="3411" customFormat="false" ht="15" hidden="false" customHeight="true" outlineLevel="0" collapsed="false">
      <c r="A3411" s="2" t="n">
        <v>18</v>
      </c>
      <c r="B3411" s="2" t="s">
        <v>26</v>
      </c>
      <c r="C3411" s="2" t="s">
        <v>41</v>
      </c>
      <c r="D3411" s="2" t="s">
        <v>28</v>
      </c>
      <c r="E3411" s="2" t="n">
        <v>5</v>
      </c>
      <c r="F3411" s="2" t="n">
        <v>4</v>
      </c>
      <c r="G3411" s="2" t="s">
        <v>38</v>
      </c>
      <c r="H3411" s="2" t="n">
        <v>3410</v>
      </c>
      <c r="I3411" s="2" t="s">
        <v>39</v>
      </c>
      <c r="J3411" s="2" t="n">
        <v>2</v>
      </c>
      <c r="K3411" s="2" t="s">
        <v>49</v>
      </c>
      <c r="L3411" s="2" t="s">
        <v>37</v>
      </c>
      <c r="M3411" s="2" t="n">
        <v>32300</v>
      </c>
      <c r="N3411" s="2" t="n">
        <v>1</v>
      </c>
      <c r="O3411" s="2" t="n">
        <v>12</v>
      </c>
      <c r="P3411" s="2" t="n">
        <v>1</v>
      </c>
      <c r="Q3411" s="2" t="n">
        <v>0</v>
      </c>
      <c r="R3411" s="2" t="n">
        <v>3</v>
      </c>
      <c r="S3411" s="2" t="n">
        <v>0</v>
      </c>
      <c r="T3411" s="2" t="n">
        <v>0</v>
      </c>
      <c r="U3411" s="2" t="n">
        <v>0</v>
      </c>
      <c r="V3411" s="2" t="n">
        <v>2</v>
      </c>
      <c r="W3411" s="2" t="n">
        <v>4</v>
      </c>
      <c r="X3411" s="2" t="n">
        <v>3</v>
      </c>
      <c r="Y3411" s="2" t="n">
        <v>3</v>
      </c>
      <c r="Z3411" s="2" t="n">
        <v>3</v>
      </c>
    </row>
    <row r="3412" customFormat="false" ht="15" hidden="false" customHeight="true" outlineLevel="0" collapsed="false">
      <c r="A3412" s="2" t="n">
        <v>54</v>
      </c>
      <c r="B3412" s="2" t="s">
        <v>26</v>
      </c>
      <c r="C3412" s="2" t="s">
        <v>27</v>
      </c>
      <c r="D3412" s="2" t="s">
        <v>28</v>
      </c>
      <c r="E3412" s="2" t="n">
        <v>23</v>
      </c>
      <c r="F3412" s="2" t="n">
        <v>3</v>
      </c>
      <c r="G3412" s="2" t="s">
        <v>43</v>
      </c>
      <c r="H3412" s="2" t="n">
        <v>3411</v>
      </c>
      <c r="I3412" s="2" t="s">
        <v>30</v>
      </c>
      <c r="J3412" s="2" t="n">
        <v>1</v>
      </c>
      <c r="K3412" s="2" t="s">
        <v>45</v>
      </c>
      <c r="L3412" s="2" t="s">
        <v>32</v>
      </c>
      <c r="M3412" s="2" t="n">
        <v>136030</v>
      </c>
      <c r="N3412" s="2" t="n">
        <v>8</v>
      </c>
      <c r="O3412" s="2" t="n">
        <v>13</v>
      </c>
      <c r="P3412" s="2" t="n">
        <v>1</v>
      </c>
      <c r="Q3412" s="2" t="n">
        <v>22</v>
      </c>
      <c r="R3412" s="2" t="n">
        <v>2</v>
      </c>
      <c r="S3412" s="2" t="n">
        <v>10</v>
      </c>
      <c r="T3412" s="2" t="n">
        <v>0</v>
      </c>
      <c r="U3412" s="2" t="n">
        <v>8</v>
      </c>
      <c r="V3412" s="2" t="n">
        <v>3</v>
      </c>
      <c r="W3412" s="2" t="n">
        <v>3</v>
      </c>
      <c r="X3412" s="2" t="n">
        <v>3</v>
      </c>
      <c r="Y3412" s="2" t="n">
        <v>3</v>
      </c>
      <c r="Z3412" s="2" t="n">
        <v>3</v>
      </c>
    </row>
    <row r="3413" customFormat="false" ht="15" hidden="false" customHeight="true" outlineLevel="0" collapsed="false">
      <c r="A3413" s="2" t="n">
        <v>35</v>
      </c>
      <c r="B3413" s="2" t="s">
        <v>26</v>
      </c>
      <c r="C3413" s="2" t="s">
        <v>27</v>
      </c>
      <c r="D3413" s="2" t="s">
        <v>35</v>
      </c>
      <c r="E3413" s="2" t="n">
        <v>6</v>
      </c>
      <c r="F3413" s="2" t="n">
        <v>4</v>
      </c>
      <c r="G3413" s="2" t="s">
        <v>43</v>
      </c>
      <c r="H3413" s="2" t="n">
        <v>3412</v>
      </c>
      <c r="I3413" s="2" t="s">
        <v>30</v>
      </c>
      <c r="J3413" s="2" t="n">
        <v>1</v>
      </c>
      <c r="K3413" s="2" t="s">
        <v>47</v>
      </c>
      <c r="L3413" s="2" t="s">
        <v>46</v>
      </c>
      <c r="M3413" s="2" t="n">
        <v>119960</v>
      </c>
      <c r="N3413" s="2" t="n">
        <v>1</v>
      </c>
      <c r="O3413" s="2" t="n">
        <v>19</v>
      </c>
      <c r="P3413" s="2" t="n">
        <v>2</v>
      </c>
      <c r="Q3413" s="2" t="n">
        <v>16</v>
      </c>
      <c r="R3413" s="2" t="n">
        <v>3</v>
      </c>
      <c r="S3413" s="2" t="n">
        <v>16</v>
      </c>
      <c r="T3413" s="2" t="n">
        <v>10</v>
      </c>
      <c r="U3413" s="2" t="n">
        <v>1</v>
      </c>
      <c r="V3413" s="2" t="n">
        <v>3</v>
      </c>
      <c r="W3413" s="2" t="n">
        <v>3</v>
      </c>
      <c r="X3413" s="2" t="n">
        <v>2</v>
      </c>
      <c r="Y3413" s="2" t="n">
        <v>3</v>
      </c>
      <c r="Z3413" s="2" t="n">
        <v>3</v>
      </c>
    </row>
    <row r="3414" customFormat="false" ht="15" hidden="false" customHeight="true" outlineLevel="0" collapsed="false">
      <c r="A3414" s="2" t="n">
        <v>30</v>
      </c>
      <c r="B3414" s="2" t="s">
        <v>26</v>
      </c>
      <c r="C3414" s="2" t="s">
        <v>27</v>
      </c>
      <c r="D3414" s="2" t="s">
        <v>35</v>
      </c>
      <c r="E3414" s="2" t="n">
        <v>4</v>
      </c>
      <c r="F3414" s="2" t="n">
        <v>3</v>
      </c>
      <c r="G3414" s="2" t="s">
        <v>29</v>
      </c>
      <c r="H3414" s="2" t="n">
        <v>3413</v>
      </c>
      <c r="I3414" s="2" t="s">
        <v>30</v>
      </c>
      <c r="J3414" s="2" t="n">
        <v>5</v>
      </c>
      <c r="K3414" s="2" t="s">
        <v>31</v>
      </c>
      <c r="L3414" s="2" t="s">
        <v>32</v>
      </c>
      <c r="M3414" s="2" t="n">
        <v>56050</v>
      </c>
      <c r="N3414" s="2" t="n">
        <v>0</v>
      </c>
      <c r="O3414" s="2" t="n">
        <v>12</v>
      </c>
      <c r="P3414" s="2" t="n">
        <v>1</v>
      </c>
      <c r="Q3414" s="2" t="n">
        <v>9</v>
      </c>
      <c r="R3414" s="2" t="n">
        <v>0</v>
      </c>
      <c r="S3414" s="2" t="n">
        <v>8</v>
      </c>
      <c r="T3414" s="2" t="n">
        <v>1</v>
      </c>
      <c r="U3414" s="2" t="n">
        <v>7</v>
      </c>
      <c r="V3414" s="2" t="n">
        <v>2</v>
      </c>
      <c r="W3414" s="2" t="n">
        <v>1</v>
      </c>
      <c r="X3414" s="2" t="n">
        <v>2</v>
      </c>
      <c r="Y3414" s="2" t="n">
        <v>2</v>
      </c>
      <c r="Z3414" s="2" t="n">
        <v>3</v>
      </c>
    </row>
    <row r="3415" customFormat="false" ht="15" hidden="false" customHeight="true" outlineLevel="0" collapsed="false">
      <c r="A3415" s="2" t="n">
        <v>20</v>
      </c>
      <c r="B3415" s="2" t="s">
        <v>33</v>
      </c>
      <c r="C3415" s="2" t="s">
        <v>27</v>
      </c>
      <c r="D3415" s="2" t="s">
        <v>35</v>
      </c>
      <c r="E3415" s="2" t="n">
        <v>2</v>
      </c>
      <c r="F3415" s="2" t="n">
        <v>2</v>
      </c>
      <c r="G3415" s="2" t="s">
        <v>29</v>
      </c>
      <c r="H3415" s="2" t="n">
        <v>3414</v>
      </c>
      <c r="I3415" s="2" t="s">
        <v>30</v>
      </c>
      <c r="J3415" s="2" t="n">
        <v>2</v>
      </c>
      <c r="K3415" s="2" t="s">
        <v>36</v>
      </c>
      <c r="L3415" s="2" t="s">
        <v>37</v>
      </c>
      <c r="M3415" s="2" t="n">
        <v>63970</v>
      </c>
      <c r="N3415" s="2" t="n">
        <v>1</v>
      </c>
      <c r="O3415" s="2" t="n">
        <v>17</v>
      </c>
      <c r="P3415" s="2" t="n">
        <v>1</v>
      </c>
      <c r="Q3415" s="2" t="n">
        <v>1</v>
      </c>
      <c r="R3415" s="2" t="n">
        <v>3</v>
      </c>
      <c r="S3415" s="2" t="n">
        <v>1</v>
      </c>
      <c r="T3415" s="2" t="n">
        <v>0</v>
      </c>
      <c r="U3415" s="2" t="n">
        <v>0</v>
      </c>
      <c r="V3415" s="2" t="n">
        <v>4</v>
      </c>
      <c r="W3415" s="2" t="n">
        <v>1</v>
      </c>
      <c r="X3415" s="2" t="n">
        <v>3</v>
      </c>
      <c r="Y3415" s="2" t="n">
        <v>3</v>
      </c>
      <c r="Z3415" s="2" t="n">
        <v>3</v>
      </c>
    </row>
    <row r="3416" customFormat="false" ht="15" hidden="false" customHeight="true" outlineLevel="0" collapsed="false">
      <c r="A3416" s="2" t="n">
        <v>30</v>
      </c>
      <c r="B3416" s="2" t="s">
        <v>33</v>
      </c>
      <c r="C3416" s="2" t="s">
        <v>34</v>
      </c>
      <c r="D3416" s="2" t="s">
        <v>35</v>
      </c>
      <c r="E3416" s="2" t="n">
        <v>8</v>
      </c>
      <c r="F3416" s="2" t="n">
        <v>4</v>
      </c>
      <c r="G3416" s="2" t="s">
        <v>43</v>
      </c>
      <c r="H3416" s="2" t="n">
        <v>3415</v>
      </c>
      <c r="I3416" s="2" t="s">
        <v>39</v>
      </c>
      <c r="J3416" s="2" t="n">
        <v>1</v>
      </c>
      <c r="K3416" s="2" t="s">
        <v>40</v>
      </c>
      <c r="L3416" s="2" t="s">
        <v>37</v>
      </c>
      <c r="M3416" s="2" t="n">
        <v>191440</v>
      </c>
      <c r="N3416" s="2" t="n">
        <v>0</v>
      </c>
      <c r="O3416" s="2" t="n">
        <v>11</v>
      </c>
      <c r="P3416" s="2" t="n">
        <v>0</v>
      </c>
      <c r="Q3416" s="2" t="n">
        <v>4</v>
      </c>
      <c r="R3416" s="2" t="n">
        <v>3</v>
      </c>
      <c r="S3416" s="2" t="n">
        <v>3</v>
      </c>
      <c r="T3416" s="2" t="n">
        <v>1</v>
      </c>
      <c r="U3416" s="2" t="n">
        <v>2</v>
      </c>
      <c r="V3416" s="2" t="n">
        <v>2</v>
      </c>
      <c r="W3416" s="2" t="n">
        <v>2</v>
      </c>
      <c r="X3416" s="2" t="n">
        <v>3</v>
      </c>
      <c r="Y3416" s="2" t="n">
        <v>3</v>
      </c>
      <c r="Z3416" s="2" t="n">
        <v>3</v>
      </c>
    </row>
    <row r="3417" customFormat="false" ht="15" hidden="false" customHeight="true" outlineLevel="0" collapsed="false">
      <c r="A3417" s="2" t="n">
        <v>26</v>
      </c>
      <c r="B3417" s="2" t="s">
        <v>26</v>
      </c>
      <c r="C3417" s="2" t="s">
        <v>27</v>
      </c>
      <c r="D3417" s="2" t="s">
        <v>28</v>
      </c>
      <c r="E3417" s="2" t="n">
        <v>1</v>
      </c>
      <c r="F3417" s="2" t="n">
        <v>3</v>
      </c>
      <c r="G3417" s="2" t="s">
        <v>50</v>
      </c>
      <c r="H3417" s="2" t="n">
        <v>3416</v>
      </c>
      <c r="I3417" s="2" t="s">
        <v>30</v>
      </c>
      <c r="J3417" s="2" t="n">
        <v>2</v>
      </c>
      <c r="K3417" s="2" t="s">
        <v>36</v>
      </c>
      <c r="L3417" s="2" t="s">
        <v>32</v>
      </c>
      <c r="M3417" s="2" t="n">
        <v>175840</v>
      </c>
      <c r="N3417" s="2" t="n">
        <v>1</v>
      </c>
      <c r="O3417" s="2" t="n">
        <v>20</v>
      </c>
      <c r="P3417" s="2" t="n">
        <v>0</v>
      </c>
      <c r="Q3417" s="2" t="n">
        <v>8</v>
      </c>
      <c r="R3417" s="2" t="n">
        <v>2</v>
      </c>
      <c r="S3417" s="2" t="n">
        <v>8</v>
      </c>
      <c r="T3417" s="2" t="n">
        <v>1</v>
      </c>
      <c r="U3417" s="2" t="n">
        <v>3</v>
      </c>
      <c r="V3417" s="2" t="n">
        <v>4</v>
      </c>
      <c r="W3417" s="2" t="n">
        <v>4</v>
      </c>
      <c r="X3417" s="2" t="n">
        <v>3</v>
      </c>
      <c r="Y3417" s="2" t="n">
        <v>3</v>
      </c>
      <c r="Z3417" s="2" t="n">
        <v>4</v>
      </c>
    </row>
    <row r="3418" customFormat="false" ht="15" hidden="false" customHeight="true" outlineLevel="0" collapsed="false">
      <c r="A3418" s="2" t="n">
        <v>22</v>
      </c>
      <c r="B3418" s="2" t="s">
        <v>26</v>
      </c>
      <c r="C3418" s="2" t="s">
        <v>27</v>
      </c>
      <c r="D3418" s="2" t="s">
        <v>35</v>
      </c>
      <c r="E3418" s="2" t="n">
        <v>8</v>
      </c>
      <c r="F3418" s="2" t="n">
        <v>3</v>
      </c>
      <c r="G3418" s="2" t="s">
        <v>38</v>
      </c>
      <c r="H3418" s="2" t="n">
        <v>3417</v>
      </c>
      <c r="I3418" s="2" t="s">
        <v>39</v>
      </c>
      <c r="J3418" s="2" t="n">
        <v>2</v>
      </c>
      <c r="K3418" s="2" t="s">
        <v>48</v>
      </c>
      <c r="L3418" s="2" t="s">
        <v>32</v>
      </c>
      <c r="M3418" s="2" t="n">
        <v>49070</v>
      </c>
      <c r="N3418" s="2" t="n">
        <v>1</v>
      </c>
      <c r="O3418" s="2" t="n">
        <v>21</v>
      </c>
      <c r="P3418" s="2" t="n">
        <v>1</v>
      </c>
      <c r="Q3418" s="2" t="n">
        <v>4</v>
      </c>
      <c r="R3418" s="2" t="n">
        <v>2</v>
      </c>
      <c r="S3418" s="2" t="n">
        <v>4</v>
      </c>
      <c r="T3418" s="2" t="n">
        <v>1</v>
      </c>
      <c r="U3418" s="2" t="n">
        <v>1</v>
      </c>
      <c r="V3418" s="2" t="n">
        <v>2</v>
      </c>
      <c r="W3418" s="2" t="n">
        <v>1</v>
      </c>
      <c r="X3418" s="2" t="n">
        <v>2</v>
      </c>
      <c r="Y3418" s="2" t="n">
        <v>3</v>
      </c>
      <c r="Z3418" s="2" t="n">
        <v>4</v>
      </c>
    </row>
    <row r="3419" customFormat="false" ht="15" hidden="false" customHeight="true" outlineLevel="0" collapsed="false">
      <c r="A3419" s="2" t="n">
        <v>48</v>
      </c>
      <c r="B3419" s="2" t="s">
        <v>26</v>
      </c>
      <c r="C3419" s="2" t="s">
        <v>27</v>
      </c>
      <c r="D3419" s="2" t="s">
        <v>42</v>
      </c>
      <c r="E3419" s="2" t="n">
        <v>2</v>
      </c>
      <c r="F3419" s="2" t="n">
        <v>4</v>
      </c>
      <c r="G3419" s="2" t="s">
        <v>43</v>
      </c>
      <c r="H3419" s="2" t="n">
        <v>3418</v>
      </c>
      <c r="I3419" s="2" t="s">
        <v>39</v>
      </c>
      <c r="J3419" s="2" t="n">
        <v>2</v>
      </c>
      <c r="K3419" s="2" t="s">
        <v>40</v>
      </c>
      <c r="L3419" s="2" t="s">
        <v>37</v>
      </c>
      <c r="M3419" s="2" t="n">
        <v>45540</v>
      </c>
      <c r="N3419" s="2" t="n">
        <v>2</v>
      </c>
      <c r="O3419" s="2" t="n">
        <v>11</v>
      </c>
      <c r="P3419" s="2" t="n">
        <v>2</v>
      </c>
      <c r="Q3419" s="2" t="n">
        <v>19</v>
      </c>
      <c r="R3419" s="2" t="n">
        <v>3</v>
      </c>
      <c r="S3419" s="2" t="n">
        <v>2</v>
      </c>
      <c r="T3419" s="2" t="n">
        <v>2</v>
      </c>
      <c r="U3419" s="2" t="n">
        <v>2</v>
      </c>
      <c r="V3419" s="2" t="n">
        <v>1</v>
      </c>
      <c r="W3419" s="2" t="n">
        <v>3</v>
      </c>
      <c r="X3419" s="2" t="n">
        <v>3</v>
      </c>
      <c r="Y3419" s="2" t="n">
        <v>3</v>
      </c>
      <c r="Z3419" s="2" t="n">
        <v>3</v>
      </c>
    </row>
    <row r="3420" customFormat="false" ht="15" hidden="false" customHeight="true" outlineLevel="0" collapsed="false">
      <c r="A3420" s="2" t="n">
        <v>48</v>
      </c>
      <c r="B3420" s="2" t="s">
        <v>26</v>
      </c>
      <c r="C3420" s="2" t="s">
        <v>27</v>
      </c>
      <c r="D3420" s="2" t="s">
        <v>28</v>
      </c>
      <c r="E3420" s="2" t="n">
        <v>3</v>
      </c>
      <c r="F3420" s="2" t="n">
        <v>3</v>
      </c>
      <c r="G3420" s="2" t="s">
        <v>43</v>
      </c>
      <c r="H3420" s="2" t="n">
        <v>3419</v>
      </c>
      <c r="I3420" s="2" t="s">
        <v>39</v>
      </c>
      <c r="J3420" s="2" t="n">
        <v>1</v>
      </c>
      <c r="K3420" s="2" t="s">
        <v>44</v>
      </c>
      <c r="L3420" s="2" t="s">
        <v>37</v>
      </c>
      <c r="M3420" s="2" t="n">
        <v>54150</v>
      </c>
      <c r="N3420" s="2" t="n">
        <v>7</v>
      </c>
      <c r="O3420" s="2" t="n">
        <v>11</v>
      </c>
      <c r="P3420" s="2" t="n">
        <v>1</v>
      </c>
      <c r="Q3420" s="2" t="n">
        <v>27</v>
      </c>
      <c r="R3420" s="2" t="n">
        <v>1</v>
      </c>
      <c r="S3420" s="2" t="n">
        <v>15</v>
      </c>
      <c r="T3420" s="2" t="n">
        <v>4</v>
      </c>
      <c r="U3420" s="2" t="n">
        <v>8</v>
      </c>
      <c r="V3420" s="2" t="n">
        <v>3</v>
      </c>
      <c r="W3420" s="2" t="n">
        <v>3</v>
      </c>
      <c r="X3420" s="2" t="n">
        <v>3</v>
      </c>
      <c r="Y3420" s="2" t="n">
        <v>3</v>
      </c>
      <c r="Z3420" s="2" t="n">
        <v>3</v>
      </c>
    </row>
    <row r="3421" customFormat="false" ht="15" hidden="false" customHeight="true" outlineLevel="0" collapsed="false">
      <c r="A3421" s="2" t="n">
        <v>41</v>
      </c>
      <c r="B3421" s="2" t="s">
        <v>26</v>
      </c>
      <c r="C3421" s="2" t="s">
        <v>27</v>
      </c>
      <c r="D3421" s="2" t="s">
        <v>35</v>
      </c>
      <c r="E3421" s="2" t="n">
        <v>2</v>
      </c>
      <c r="F3421" s="2" t="n">
        <v>3</v>
      </c>
      <c r="G3421" s="2" t="s">
        <v>29</v>
      </c>
      <c r="H3421" s="2" t="n">
        <v>3420</v>
      </c>
      <c r="I3421" s="2" t="s">
        <v>39</v>
      </c>
      <c r="J3421" s="2" t="n">
        <v>2</v>
      </c>
      <c r="K3421" s="2" t="s">
        <v>36</v>
      </c>
      <c r="L3421" s="2" t="s">
        <v>37</v>
      </c>
      <c r="M3421" s="2" t="n">
        <v>47410</v>
      </c>
      <c r="N3421" s="2" t="n">
        <v>6</v>
      </c>
      <c r="O3421" s="2" t="n">
        <v>16</v>
      </c>
      <c r="P3421" s="2" t="n">
        <v>0</v>
      </c>
      <c r="Q3421" s="2" t="n">
        <v>8</v>
      </c>
      <c r="R3421" s="2" t="n">
        <v>3</v>
      </c>
      <c r="S3421" s="2" t="n">
        <v>2</v>
      </c>
      <c r="T3421" s="2" t="n">
        <v>2</v>
      </c>
      <c r="U3421" s="2" t="n">
        <v>1</v>
      </c>
      <c r="V3421" s="2" t="n">
        <v>4</v>
      </c>
      <c r="W3421" s="2" t="n">
        <v>3</v>
      </c>
      <c r="X3421" s="2" t="n">
        <v>3</v>
      </c>
      <c r="Y3421" s="2" t="n">
        <v>3</v>
      </c>
      <c r="Z3421" s="2" t="n">
        <v>3</v>
      </c>
    </row>
    <row r="3422" customFormat="false" ht="15" hidden="false" customHeight="true" outlineLevel="0" collapsed="false">
      <c r="A3422" s="2" t="n">
        <v>39</v>
      </c>
      <c r="B3422" s="2" t="s">
        <v>26</v>
      </c>
      <c r="C3422" s="2" t="s">
        <v>27</v>
      </c>
      <c r="D3422" s="2" t="s">
        <v>28</v>
      </c>
      <c r="E3422" s="2" t="n">
        <v>2</v>
      </c>
      <c r="F3422" s="2" t="n">
        <v>3</v>
      </c>
      <c r="G3422" s="2" t="s">
        <v>29</v>
      </c>
      <c r="H3422" s="2" t="n">
        <v>3421</v>
      </c>
      <c r="I3422" s="2" t="s">
        <v>39</v>
      </c>
      <c r="J3422" s="2" t="n">
        <v>3</v>
      </c>
      <c r="K3422" s="2" t="s">
        <v>42</v>
      </c>
      <c r="L3422" s="2" t="s">
        <v>32</v>
      </c>
      <c r="M3422" s="2" t="n">
        <v>21150</v>
      </c>
      <c r="N3422" s="2" t="n">
        <v>1</v>
      </c>
      <c r="O3422" s="2" t="n">
        <v>18</v>
      </c>
      <c r="P3422" s="2" t="n">
        <v>0</v>
      </c>
      <c r="Q3422" s="2" t="n">
        <v>21</v>
      </c>
      <c r="R3422" s="2" t="n">
        <v>3</v>
      </c>
      <c r="S3422" s="2" t="n">
        <v>21</v>
      </c>
      <c r="T3422" s="2" t="n">
        <v>11</v>
      </c>
      <c r="U3422" s="2" t="n">
        <v>8</v>
      </c>
      <c r="V3422" s="2" t="n">
        <v>4</v>
      </c>
      <c r="W3422" s="2" t="n">
        <v>4</v>
      </c>
      <c r="X3422" s="2" t="n">
        <v>3</v>
      </c>
      <c r="Y3422" s="2" t="n">
        <v>4</v>
      </c>
      <c r="Z3422" s="2" t="n">
        <v>3</v>
      </c>
    </row>
    <row r="3423" customFormat="false" ht="15" hidden="false" customHeight="true" outlineLevel="0" collapsed="false">
      <c r="A3423" s="2" t="n">
        <v>27</v>
      </c>
      <c r="B3423" s="2" t="s">
        <v>26</v>
      </c>
      <c r="C3423" s="2" t="s">
        <v>27</v>
      </c>
      <c r="D3423" s="2" t="s">
        <v>35</v>
      </c>
      <c r="E3423" s="2" t="n">
        <v>3</v>
      </c>
      <c r="F3423" s="2" t="n">
        <v>3</v>
      </c>
      <c r="G3423" s="2" t="s">
        <v>29</v>
      </c>
      <c r="H3423" s="2" t="n">
        <v>3422</v>
      </c>
      <c r="I3423" s="2" t="s">
        <v>39</v>
      </c>
      <c r="J3423" s="2" t="n">
        <v>2</v>
      </c>
      <c r="K3423" s="2" t="s">
        <v>42</v>
      </c>
      <c r="L3423" s="2" t="s">
        <v>32</v>
      </c>
      <c r="M3423" s="2" t="n">
        <v>31610</v>
      </c>
      <c r="N3423" s="2" t="n">
        <v>0</v>
      </c>
      <c r="O3423" s="2" t="n">
        <v>13</v>
      </c>
      <c r="P3423" s="2" t="n">
        <v>2</v>
      </c>
      <c r="Q3423" s="2" t="n">
        <v>4</v>
      </c>
      <c r="R3423" s="2" t="n">
        <v>0</v>
      </c>
      <c r="S3423" s="2" t="n">
        <v>3</v>
      </c>
      <c r="T3423" s="2" t="n">
        <v>2</v>
      </c>
      <c r="U3423" s="2" t="n">
        <v>2</v>
      </c>
      <c r="V3423" s="2" t="n">
        <v>1</v>
      </c>
      <c r="W3423" s="2" t="n">
        <v>4</v>
      </c>
      <c r="X3423" s="2" t="n">
        <v>3</v>
      </c>
      <c r="Y3423" s="2" t="n">
        <v>3</v>
      </c>
      <c r="Z3423" s="2" t="n">
        <v>3</v>
      </c>
    </row>
    <row r="3424" customFormat="false" ht="15" hidden="false" customHeight="true" outlineLevel="0" collapsed="false">
      <c r="A3424" s="2" t="n">
        <v>35</v>
      </c>
      <c r="B3424" s="2" t="s">
        <v>26</v>
      </c>
      <c r="C3424" s="2" t="s">
        <v>27</v>
      </c>
      <c r="D3424" s="2" t="s">
        <v>28</v>
      </c>
      <c r="E3424" s="2" t="n">
        <v>24</v>
      </c>
      <c r="F3424" s="2" t="n">
        <v>3</v>
      </c>
      <c r="G3424" s="2" t="s">
        <v>43</v>
      </c>
      <c r="H3424" s="2" t="n">
        <v>3423</v>
      </c>
      <c r="I3424" s="2" t="s">
        <v>39</v>
      </c>
      <c r="J3424" s="2" t="n">
        <v>5</v>
      </c>
      <c r="K3424" s="2" t="s">
        <v>40</v>
      </c>
      <c r="L3424" s="2" t="s">
        <v>46</v>
      </c>
      <c r="M3424" s="2" t="n">
        <v>57450</v>
      </c>
      <c r="N3424" s="2" t="n">
        <v>1</v>
      </c>
      <c r="O3424" s="2" t="n">
        <v>17</v>
      </c>
      <c r="P3424" s="2" t="n">
        <v>3</v>
      </c>
      <c r="Q3424" s="2" t="n">
        <v>3</v>
      </c>
      <c r="R3424" s="2" t="n">
        <v>4</v>
      </c>
      <c r="S3424" s="2" t="n">
        <v>3</v>
      </c>
      <c r="T3424" s="2" t="n">
        <v>1</v>
      </c>
      <c r="U3424" s="2" t="n">
        <v>2</v>
      </c>
      <c r="V3424" s="2" t="n">
        <v>2</v>
      </c>
      <c r="W3424" s="2" t="n">
        <v>4</v>
      </c>
      <c r="X3424" s="2" t="n">
        <v>2</v>
      </c>
      <c r="Y3424" s="2" t="n">
        <v>3</v>
      </c>
      <c r="Z3424" s="2" t="n">
        <v>3</v>
      </c>
    </row>
    <row r="3425" customFormat="false" ht="15" hidden="false" customHeight="true" outlineLevel="0" collapsed="false">
      <c r="A3425" s="2" t="n">
        <v>42</v>
      </c>
      <c r="B3425" s="2" t="s">
        <v>26</v>
      </c>
      <c r="C3425" s="2" t="s">
        <v>27</v>
      </c>
      <c r="D3425" s="2" t="s">
        <v>35</v>
      </c>
      <c r="E3425" s="2" t="n">
        <v>23</v>
      </c>
      <c r="F3425" s="2" t="n">
        <v>4</v>
      </c>
      <c r="G3425" s="2" t="s">
        <v>38</v>
      </c>
      <c r="H3425" s="2" t="n">
        <v>3424</v>
      </c>
      <c r="I3425" s="2" t="s">
        <v>39</v>
      </c>
      <c r="J3425" s="2" t="n">
        <v>1</v>
      </c>
      <c r="K3425" s="2" t="s">
        <v>36</v>
      </c>
      <c r="L3425" s="2" t="s">
        <v>32</v>
      </c>
      <c r="M3425" s="2" t="n">
        <v>23730</v>
      </c>
      <c r="N3425" s="2" t="n">
        <v>6</v>
      </c>
      <c r="O3425" s="2" t="n">
        <v>14</v>
      </c>
      <c r="P3425" s="2" t="n">
        <v>1</v>
      </c>
      <c r="Q3425" s="2" t="n">
        <v>21</v>
      </c>
      <c r="R3425" s="2" t="n">
        <v>3</v>
      </c>
      <c r="S3425" s="2" t="n">
        <v>1</v>
      </c>
      <c r="T3425" s="2" t="n">
        <v>0</v>
      </c>
      <c r="U3425" s="2" t="n">
        <v>0</v>
      </c>
      <c r="V3425" s="2" t="n">
        <v>4</v>
      </c>
      <c r="W3425" s="2" t="n">
        <v>3</v>
      </c>
      <c r="X3425" s="2" t="n">
        <v>4</v>
      </c>
      <c r="Y3425" s="2" t="n">
        <v>4</v>
      </c>
      <c r="Z3425" s="2" t="n">
        <v>3</v>
      </c>
    </row>
    <row r="3426" customFormat="false" ht="15" hidden="false" customHeight="true" outlineLevel="0" collapsed="false">
      <c r="A3426" s="2" t="n">
        <v>50</v>
      </c>
      <c r="B3426" s="2" t="s">
        <v>26</v>
      </c>
      <c r="C3426" s="2" t="s">
        <v>27</v>
      </c>
      <c r="D3426" s="2" t="s">
        <v>28</v>
      </c>
      <c r="E3426" s="2" t="n">
        <v>27</v>
      </c>
      <c r="F3426" s="2" t="n">
        <v>3</v>
      </c>
      <c r="G3426" s="2" t="s">
        <v>43</v>
      </c>
      <c r="H3426" s="2" t="n">
        <v>3425</v>
      </c>
      <c r="I3426" s="2" t="s">
        <v>39</v>
      </c>
      <c r="J3426" s="2" t="n">
        <v>2</v>
      </c>
      <c r="K3426" s="2" t="s">
        <v>40</v>
      </c>
      <c r="L3426" s="2" t="s">
        <v>32</v>
      </c>
      <c r="M3426" s="2" t="n">
        <v>33100</v>
      </c>
      <c r="N3426" s="2" t="n">
        <v>4</v>
      </c>
      <c r="O3426" s="2" t="n">
        <v>22</v>
      </c>
      <c r="P3426" s="2" t="n">
        <v>1</v>
      </c>
      <c r="Q3426" s="2" t="n">
        <v>8</v>
      </c>
      <c r="R3426" s="2" t="n">
        <v>3</v>
      </c>
      <c r="S3426" s="2" t="n">
        <v>1</v>
      </c>
      <c r="T3426" s="2" t="n">
        <v>0</v>
      </c>
      <c r="U3426" s="2" t="n">
        <v>0</v>
      </c>
      <c r="V3426" s="2" t="n">
        <v>1</v>
      </c>
      <c r="W3426" s="2" t="n">
        <v>4</v>
      </c>
      <c r="X3426" s="2" t="n">
        <v>3</v>
      </c>
      <c r="Y3426" s="2" t="n">
        <v>4</v>
      </c>
      <c r="Z3426" s="2" t="n">
        <v>4</v>
      </c>
    </row>
    <row r="3427" customFormat="false" ht="15" hidden="false" customHeight="true" outlineLevel="0" collapsed="false">
      <c r="A3427" s="2" t="n">
        <v>59</v>
      </c>
      <c r="B3427" s="2" t="s">
        <v>26</v>
      </c>
      <c r="C3427" s="2" t="s">
        <v>27</v>
      </c>
      <c r="D3427" s="2" t="s">
        <v>35</v>
      </c>
      <c r="E3427" s="2" t="n">
        <v>16</v>
      </c>
      <c r="F3427" s="2" t="n">
        <v>4</v>
      </c>
      <c r="G3427" s="2" t="s">
        <v>43</v>
      </c>
      <c r="H3427" s="2" t="n">
        <v>3426</v>
      </c>
      <c r="I3427" s="2" t="s">
        <v>30</v>
      </c>
      <c r="J3427" s="2" t="n">
        <v>5</v>
      </c>
      <c r="K3427" s="2" t="s">
        <v>45</v>
      </c>
      <c r="L3427" s="2" t="s">
        <v>37</v>
      </c>
      <c r="M3427" s="2" t="n">
        <v>186650</v>
      </c>
      <c r="N3427" s="2" t="n">
        <v>3</v>
      </c>
      <c r="O3427" s="2" t="n">
        <v>12</v>
      </c>
      <c r="P3427" s="2" t="n">
        <v>0</v>
      </c>
      <c r="Q3427" s="2" t="n">
        <v>30</v>
      </c>
      <c r="R3427" s="2" t="n">
        <v>3</v>
      </c>
      <c r="S3427" s="2" t="n">
        <v>5</v>
      </c>
      <c r="T3427" s="2" t="n">
        <v>4</v>
      </c>
      <c r="U3427" s="2" t="n">
        <v>3</v>
      </c>
      <c r="V3427" s="2" t="n">
        <v>3</v>
      </c>
      <c r="W3427" s="2" t="n">
        <v>4</v>
      </c>
      <c r="X3427" s="2" t="n">
        <v>3</v>
      </c>
      <c r="Y3427" s="2" t="n">
        <v>2</v>
      </c>
      <c r="Z3427" s="2" t="n">
        <v>3</v>
      </c>
    </row>
    <row r="3428" customFormat="false" ht="15" hidden="false" customHeight="true" outlineLevel="0" collapsed="false">
      <c r="A3428" s="2" t="n">
        <v>37</v>
      </c>
      <c r="B3428" s="2" t="s">
        <v>33</v>
      </c>
      <c r="C3428" s="2" t="s">
        <v>27</v>
      </c>
      <c r="D3428" s="2" t="s">
        <v>28</v>
      </c>
      <c r="E3428" s="2" t="n">
        <v>15</v>
      </c>
      <c r="F3428" s="2" t="n">
        <v>3</v>
      </c>
      <c r="G3428" s="2" t="s">
        <v>50</v>
      </c>
      <c r="H3428" s="2" t="n">
        <v>3427</v>
      </c>
      <c r="I3428" s="2" t="s">
        <v>39</v>
      </c>
      <c r="J3428" s="2" t="n">
        <v>2</v>
      </c>
      <c r="K3428" s="2" t="s">
        <v>45</v>
      </c>
      <c r="L3428" s="2" t="s">
        <v>32</v>
      </c>
      <c r="M3428" s="2" t="n">
        <v>44850</v>
      </c>
      <c r="N3428" s="2" t="n">
        <v>5</v>
      </c>
      <c r="O3428" s="2" t="n">
        <v>11</v>
      </c>
      <c r="P3428" s="2" t="n">
        <v>1</v>
      </c>
      <c r="Q3428" s="2" t="n">
        <v>15</v>
      </c>
      <c r="R3428" s="2" t="n">
        <v>2</v>
      </c>
      <c r="S3428" s="2" t="n">
        <v>1</v>
      </c>
      <c r="T3428" s="2" t="n">
        <v>0</v>
      </c>
      <c r="U3428" s="2" t="n">
        <v>0</v>
      </c>
      <c r="V3428" s="2" t="n">
        <v>1</v>
      </c>
      <c r="W3428" s="2" t="n">
        <v>2</v>
      </c>
      <c r="X3428" s="2" t="n">
        <v>1</v>
      </c>
      <c r="Y3428" s="2" t="n">
        <v>4</v>
      </c>
      <c r="Z3428" s="2" t="n">
        <v>3</v>
      </c>
    </row>
    <row r="3429" customFormat="false" ht="15" hidden="false" customHeight="true" outlineLevel="0" collapsed="false">
      <c r="A3429" s="2" t="n">
        <v>55</v>
      </c>
      <c r="B3429" s="2" t="s">
        <v>26</v>
      </c>
      <c r="C3429" s="2" t="s">
        <v>34</v>
      </c>
      <c r="D3429" s="2" t="s">
        <v>35</v>
      </c>
      <c r="E3429" s="2" t="n">
        <v>26</v>
      </c>
      <c r="F3429" s="2" t="n">
        <v>2</v>
      </c>
      <c r="G3429" s="2" t="s">
        <v>29</v>
      </c>
      <c r="H3429" s="2" t="n">
        <v>3428</v>
      </c>
      <c r="I3429" s="2" t="s">
        <v>30</v>
      </c>
      <c r="J3429" s="2" t="n">
        <v>2</v>
      </c>
      <c r="K3429" s="2" t="s">
        <v>40</v>
      </c>
      <c r="L3429" s="2" t="s">
        <v>32</v>
      </c>
      <c r="M3429" s="2" t="n">
        <v>27890</v>
      </c>
      <c r="N3429" s="2" t="n">
        <v>3</v>
      </c>
      <c r="O3429" s="2" t="n">
        <v>13</v>
      </c>
      <c r="P3429" s="2" t="n">
        <v>1</v>
      </c>
      <c r="Q3429" s="2" t="n">
        <v>17</v>
      </c>
      <c r="R3429" s="2" t="n">
        <v>2</v>
      </c>
      <c r="S3429" s="2" t="n">
        <v>8</v>
      </c>
      <c r="T3429" s="2" t="n">
        <v>6</v>
      </c>
      <c r="U3429" s="2" t="n">
        <v>7</v>
      </c>
      <c r="V3429" s="2" t="n">
        <v>3</v>
      </c>
      <c r="W3429" s="2" t="n">
        <v>2</v>
      </c>
      <c r="X3429" s="2" t="n">
        <v>3</v>
      </c>
      <c r="Y3429" s="2" t="n">
        <v>2</v>
      </c>
      <c r="Z3429" s="2" t="n">
        <v>3</v>
      </c>
    </row>
    <row r="3430" customFormat="false" ht="15" hidden="false" customHeight="true" outlineLevel="0" collapsed="false">
      <c r="A3430" s="2" t="n">
        <v>41</v>
      </c>
      <c r="B3430" s="2" t="s">
        <v>26</v>
      </c>
      <c r="C3430" s="2" t="s">
        <v>41</v>
      </c>
      <c r="D3430" s="2" t="s">
        <v>35</v>
      </c>
      <c r="E3430" s="2" t="n">
        <v>19</v>
      </c>
      <c r="F3430" s="2" t="n">
        <v>1</v>
      </c>
      <c r="G3430" s="2" t="s">
        <v>29</v>
      </c>
      <c r="H3430" s="2" t="n">
        <v>3429</v>
      </c>
      <c r="I3430" s="2" t="s">
        <v>39</v>
      </c>
      <c r="J3430" s="2" t="n">
        <v>2</v>
      </c>
      <c r="K3430" s="2" t="s">
        <v>36</v>
      </c>
      <c r="L3430" s="2" t="s">
        <v>46</v>
      </c>
      <c r="M3430" s="2" t="n">
        <v>58280</v>
      </c>
      <c r="N3430" s="2" t="n">
        <v>1</v>
      </c>
      <c r="O3430" s="2" t="n">
        <v>13</v>
      </c>
      <c r="P3430" s="2" t="n">
        <v>0</v>
      </c>
      <c r="Q3430" s="2" t="n">
        <v>21</v>
      </c>
      <c r="R3430" s="2" t="n">
        <v>0</v>
      </c>
      <c r="S3430" s="2" t="n">
        <v>21</v>
      </c>
      <c r="T3430" s="2" t="n">
        <v>5</v>
      </c>
      <c r="U3430" s="2" t="n">
        <v>10</v>
      </c>
      <c r="V3430" s="2" t="n">
        <v>2</v>
      </c>
      <c r="W3430" s="2" t="n">
        <v>3</v>
      </c>
      <c r="X3430" s="2" t="n">
        <v>3</v>
      </c>
      <c r="Y3430" s="2" t="n">
        <v>3</v>
      </c>
      <c r="Z3430" s="2" t="n">
        <v>3</v>
      </c>
    </row>
    <row r="3431" customFormat="false" ht="15" hidden="false" customHeight="true" outlineLevel="0" collapsed="false">
      <c r="A3431" s="2" t="n">
        <v>38</v>
      </c>
      <c r="B3431" s="2" t="s">
        <v>26</v>
      </c>
      <c r="C3431" s="2" t="s">
        <v>27</v>
      </c>
      <c r="D3431" s="2" t="s">
        <v>35</v>
      </c>
      <c r="E3431" s="2" t="n">
        <v>24</v>
      </c>
      <c r="F3431" s="2" t="n">
        <v>2</v>
      </c>
      <c r="G3431" s="2" t="s">
        <v>38</v>
      </c>
      <c r="H3431" s="2" t="n">
        <v>3430</v>
      </c>
      <c r="I3431" s="2" t="s">
        <v>30</v>
      </c>
      <c r="J3431" s="2" t="n">
        <v>1</v>
      </c>
      <c r="K3431" s="2" t="s">
        <v>45</v>
      </c>
      <c r="L3431" s="2" t="s">
        <v>37</v>
      </c>
      <c r="M3431" s="2" t="n">
        <v>23260</v>
      </c>
      <c r="N3431" s="2" t="n">
        <v>8</v>
      </c>
      <c r="O3431" s="2" t="n">
        <v>14</v>
      </c>
      <c r="P3431" s="2" t="n">
        <v>0</v>
      </c>
      <c r="Q3431" s="2" t="n">
        <v>19</v>
      </c>
      <c r="R3431" s="2" t="n">
        <v>3</v>
      </c>
      <c r="S3431" s="2" t="n">
        <v>1</v>
      </c>
      <c r="T3431" s="2" t="n">
        <v>0</v>
      </c>
      <c r="U3431" s="2" t="n">
        <v>0</v>
      </c>
      <c r="V3431" s="2" t="n">
        <v>2</v>
      </c>
      <c r="W3431" s="2" t="n">
        <v>4</v>
      </c>
      <c r="X3431" s="2" t="n">
        <v>3</v>
      </c>
      <c r="Y3431" s="2" t="n">
        <v>4</v>
      </c>
      <c r="Z3431" s="2" t="n">
        <v>3</v>
      </c>
    </row>
    <row r="3432" customFormat="false" ht="15" hidden="false" customHeight="true" outlineLevel="0" collapsed="false">
      <c r="A3432" s="2" t="n">
        <v>26</v>
      </c>
      <c r="B3432" s="2" t="s">
        <v>33</v>
      </c>
      <c r="C3432" s="2" t="s">
        <v>41</v>
      </c>
      <c r="D3432" s="2" t="s">
        <v>35</v>
      </c>
      <c r="E3432" s="2" t="n">
        <v>21</v>
      </c>
      <c r="F3432" s="2" t="n">
        <v>1</v>
      </c>
      <c r="G3432" s="2" t="s">
        <v>29</v>
      </c>
      <c r="H3432" s="2" t="n">
        <v>3431</v>
      </c>
      <c r="I3432" s="2" t="s">
        <v>30</v>
      </c>
      <c r="J3432" s="2" t="n">
        <v>1</v>
      </c>
      <c r="K3432" s="2" t="s">
        <v>47</v>
      </c>
      <c r="L3432" s="2" t="s">
        <v>37</v>
      </c>
      <c r="M3432" s="2" t="n">
        <v>135250</v>
      </c>
      <c r="N3432" s="2" t="n">
        <v>8</v>
      </c>
      <c r="O3432" s="2" t="n">
        <v>17</v>
      </c>
      <c r="P3432" s="2" t="n">
        <v>1</v>
      </c>
      <c r="Q3432" s="2" t="n">
        <v>7</v>
      </c>
      <c r="R3432" s="2" t="n">
        <v>4</v>
      </c>
      <c r="S3432" s="2" t="n">
        <v>2</v>
      </c>
      <c r="T3432" s="2" t="n">
        <v>2</v>
      </c>
      <c r="U3432" s="2" t="n">
        <v>2</v>
      </c>
      <c r="V3432" s="2" t="n">
        <v>2</v>
      </c>
      <c r="W3432" s="2" t="n">
        <v>1</v>
      </c>
      <c r="X3432" s="2" t="n">
        <v>3</v>
      </c>
      <c r="Y3432" s="2" t="n">
        <v>2</v>
      </c>
      <c r="Z3432" s="2" t="n">
        <v>3</v>
      </c>
    </row>
    <row r="3433" customFormat="false" ht="15" hidden="false" customHeight="true" outlineLevel="0" collapsed="false">
      <c r="A3433" s="2" t="n">
        <v>52</v>
      </c>
      <c r="B3433" s="2" t="s">
        <v>33</v>
      </c>
      <c r="C3433" s="2" t="s">
        <v>27</v>
      </c>
      <c r="D3433" s="2" t="s">
        <v>35</v>
      </c>
      <c r="E3433" s="2" t="n">
        <v>5</v>
      </c>
      <c r="F3433" s="2" t="n">
        <v>4</v>
      </c>
      <c r="G3433" s="2" t="s">
        <v>43</v>
      </c>
      <c r="H3433" s="2" t="n">
        <v>3432</v>
      </c>
      <c r="I3433" s="2" t="s">
        <v>30</v>
      </c>
      <c r="J3433" s="2" t="n">
        <v>4</v>
      </c>
      <c r="K3433" s="2" t="s">
        <v>42</v>
      </c>
      <c r="L3433" s="2" t="s">
        <v>32</v>
      </c>
      <c r="M3433" s="2" t="n">
        <v>14200</v>
      </c>
      <c r="N3433" s="2" t="n">
        <v>1</v>
      </c>
      <c r="O3433" s="2" t="n">
        <v>13</v>
      </c>
      <c r="P3433" s="2" t="n">
        <v>1</v>
      </c>
      <c r="Q3433" s="2" t="n">
        <v>33</v>
      </c>
      <c r="R3433" s="2" t="n">
        <v>2</v>
      </c>
      <c r="S3433" s="2" t="n">
        <v>32</v>
      </c>
      <c r="T3433" s="2" t="n">
        <v>6</v>
      </c>
      <c r="U3433" s="2" t="n">
        <v>9</v>
      </c>
      <c r="V3433" s="2" t="n">
        <v>1</v>
      </c>
      <c r="W3433" s="2" t="n">
        <v>4</v>
      </c>
      <c r="X3433" s="2" t="n">
        <v>3</v>
      </c>
      <c r="Y3433" s="2" t="n">
        <v>4</v>
      </c>
      <c r="Z3433" s="2" t="n">
        <v>3</v>
      </c>
    </row>
    <row r="3434" customFormat="false" ht="15" hidden="false" customHeight="true" outlineLevel="0" collapsed="false">
      <c r="A3434" s="2" t="n">
        <v>44</v>
      </c>
      <c r="B3434" s="2" t="s">
        <v>26</v>
      </c>
      <c r="C3434" s="2" t="s">
        <v>27</v>
      </c>
      <c r="D3434" s="2" t="s">
        <v>35</v>
      </c>
      <c r="E3434" s="2" t="n">
        <v>16</v>
      </c>
      <c r="F3434" s="2" t="n">
        <v>3</v>
      </c>
      <c r="G3434" s="2" t="s">
        <v>29</v>
      </c>
      <c r="H3434" s="2" t="n">
        <v>3433</v>
      </c>
      <c r="I3434" s="2" t="s">
        <v>30</v>
      </c>
      <c r="J3434" s="2" t="n">
        <v>1</v>
      </c>
      <c r="K3434" s="2" t="s">
        <v>31</v>
      </c>
      <c r="L3434" s="2" t="s">
        <v>32</v>
      </c>
      <c r="M3434" s="2" t="n">
        <v>80200</v>
      </c>
      <c r="N3434" s="2" t="n">
        <v>3</v>
      </c>
      <c r="O3434" s="2" t="n">
        <v>11</v>
      </c>
      <c r="P3434" s="2" t="n">
        <v>1</v>
      </c>
      <c r="Q3434" s="2" t="n">
        <v>23</v>
      </c>
      <c r="R3434" s="2" t="n">
        <v>2</v>
      </c>
      <c r="S3434" s="2" t="n">
        <v>12</v>
      </c>
      <c r="T3434" s="2" t="n">
        <v>11</v>
      </c>
      <c r="U3434" s="2" t="n">
        <v>11</v>
      </c>
      <c r="V3434" s="2" t="n">
        <v>4</v>
      </c>
      <c r="W3434" s="2" t="n">
        <v>4</v>
      </c>
      <c r="X3434" s="2" t="n">
        <v>3</v>
      </c>
      <c r="Y3434" s="2" t="n">
        <v>3</v>
      </c>
      <c r="Z3434" s="2" t="n">
        <v>3</v>
      </c>
    </row>
    <row r="3435" customFormat="false" ht="15" hidden="false" customHeight="true" outlineLevel="0" collapsed="false">
      <c r="A3435" s="2" t="n">
        <v>50</v>
      </c>
      <c r="B3435" s="2" t="s">
        <v>26</v>
      </c>
      <c r="C3435" s="2" t="s">
        <v>41</v>
      </c>
      <c r="D3435" s="2" t="s">
        <v>42</v>
      </c>
      <c r="E3435" s="2" t="n">
        <v>2</v>
      </c>
      <c r="F3435" s="2" t="n">
        <v>2</v>
      </c>
      <c r="G3435" s="2" t="s">
        <v>29</v>
      </c>
      <c r="H3435" s="2" t="n">
        <v>3434</v>
      </c>
      <c r="I3435" s="2" t="s">
        <v>39</v>
      </c>
      <c r="J3435" s="2" t="n">
        <v>1</v>
      </c>
      <c r="K3435" s="2" t="s">
        <v>45</v>
      </c>
      <c r="L3435" s="2" t="s">
        <v>32</v>
      </c>
      <c r="M3435" s="2" t="n">
        <v>36880</v>
      </c>
      <c r="N3435" s="2" t="n">
        <v>0</v>
      </c>
      <c r="O3435" s="2" t="n">
        <v>11</v>
      </c>
      <c r="P3435" s="2" t="n">
        <v>0</v>
      </c>
      <c r="Q3435" s="2" t="n">
        <v>19</v>
      </c>
      <c r="R3435" s="2" t="n">
        <v>3</v>
      </c>
      <c r="S3435" s="2" t="n">
        <v>18</v>
      </c>
      <c r="T3435" s="2" t="n">
        <v>0</v>
      </c>
      <c r="U3435" s="2" t="n">
        <v>13</v>
      </c>
      <c r="V3435" s="2" t="n">
        <v>4</v>
      </c>
      <c r="W3435" s="2" t="n">
        <v>3</v>
      </c>
      <c r="X3435" s="2" t="n">
        <v>3</v>
      </c>
      <c r="Y3435" s="2" t="n">
        <v>2</v>
      </c>
      <c r="Z3435" s="2" t="n">
        <v>3</v>
      </c>
    </row>
    <row r="3436" customFormat="false" ht="15" hidden="false" customHeight="true" outlineLevel="0" collapsed="false">
      <c r="A3436" s="2" t="n">
        <v>36</v>
      </c>
      <c r="B3436" s="2" t="s">
        <v>33</v>
      </c>
      <c r="C3436" s="2" t="s">
        <v>27</v>
      </c>
      <c r="D3436" s="2" t="s">
        <v>28</v>
      </c>
      <c r="E3436" s="2" t="n">
        <v>2</v>
      </c>
      <c r="F3436" s="2" t="n">
        <v>4</v>
      </c>
      <c r="G3436" s="2" t="s">
        <v>51</v>
      </c>
      <c r="H3436" s="2" t="n">
        <v>3435</v>
      </c>
      <c r="I3436" s="2" t="s">
        <v>39</v>
      </c>
      <c r="J3436" s="2" t="n">
        <v>4</v>
      </c>
      <c r="K3436" s="2" t="s">
        <v>40</v>
      </c>
      <c r="L3436" s="2" t="s">
        <v>37</v>
      </c>
      <c r="M3436" s="2" t="n">
        <v>54820</v>
      </c>
      <c r="N3436" s="2" t="n">
        <v>1</v>
      </c>
      <c r="O3436" s="2" t="n">
        <v>18</v>
      </c>
      <c r="P3436" s="2" t="n">
        <v>0</v>
      </c>
      <c r="Q3436" s="2" t="n">
        <v>18</v>
      </c>
      <c r="R3436" s="2" t="n">
        <v>3</v>
      </c>
      <c r="S3436" s="2" t="n">
        <v>17</v>
      </c>
      <c r="T3436" s="2" t="n">
        <v>15</v>
      </c>
      <c r="U3436" s="2" t="n">
        <v>14</v>
      </c>
      <c r="V3436" s="2" t="n">
        <v>3</v>
      </c>
      <c r="W3436" s="2" t="n">
        <v>1</v>
      </c>
      <c r="X3436" s="2" t="n">
        <v>3</v>
      </c>
      <c r="Y3436" s="2" t="n">
        <v>3</v>
      </c>
      <c r="Z3436" s="2" t="n">
        <v>3</v>
      </c>
    </row>
    <row r="3437" customFormat="false" ht="15" hidden="false" customHeight="true" outlineLevel="0" collapsed="false">
      <c r="A3437" s="2" t="n">
        <v>39</v>
      </c>
      <c r="B3437" s="2" t="s">
        <v>26</v>
      </c>
      <c r="C3437" s="2" t="s">
        <v>34</v>
      </c>
      <c r="D3437" s="2" t="s">
        <v>28</v>
      </c>
      <c r="E3437" s="2" t="n">
        <v>11</v>
      </c>
      <c r="F3437" s="2" t="n">
        <v>3</v>
      </c>
      <c r="G3437" s="2" t="s">
        <v>50</v>
      </c>
      <c r="H3437" s="2" t="n">
        <v>3436</v>
      </c>
      <c r="I3437" s="2" t="s">
        <v>39</v>
      </c>
      <c r="J3437" s="2" t="n">
        <v>1</v>
      </c>
      <c r="K3437" s="2" t="s">
        <v>40</v>
      </c>
      <c r="L3437" s="2" t="s">
        <v>37</v>
      </c>
      <c r="M3437" s="2" t="n">
        <v>160150</v>
      </c>
      <c r="N3437" s="2" t="n">
        <v>1</v>
      </c>
      <c r="O3437" s="2" t="n">
        <v>11</v>
      </c>
      <c r="P3437" s="2" t="n">
        <v>0</v>
      </c>
      <c r="Q3437" s="2" t="n">
        <v>21</v>
      </c>
      <c r="R3437" s="2" t="n">
        <v>3</v>
      </c>
      <c r="S3437" s="2" t="n">
        <v>21</v>
      </c>
      <c r="T3437" s="2" t="n">
        <v>2</v>
      </c>
      <c r="U3437" s="2" t="n">
        <v>8</v>
      </c>
      <c r="V3437" s="2" t="n">
        <v>4</v>
      </c>
      <c r="W3437" s="2" t="n">
        <v>1</v>
      </c>
      <c r="X3437" s="2" t="n">
        <v>3</v>
      </c>
      <c r="Y3437" s="2" t="n">
        <v>4</v>
      </c>
      <c r="Z3437" s="2" t="n">
        <v>3</v>
      </c>
    </row>
    <row r="3438" customFormat="false" ht="15" hidden="false" customHeight="true" outlineLevel="0" collapsed="false">
      <c r="A3438" s="2" t="n">
        <v>33</v>
      </c>
      <c r="B3438" s="2" t="s">
        <v>26</v>
      </c>
      <c r="C3438" s="2" t="s">
        <v>41</v>
      </c>
      <c r="D3438" s="2" t="s">
        <v>28</v>
      </c>
      <c r="E3438" s="2" t="n">
        <v>9</v>
      </c>
      <c r="F3438" s="2" t="n">
        <v>2</v>
      </c>
      <c r="G3438" s="2" t="s">
        <v>51</v>
      </c>
      <c r="H3438" s="2" t="n">
        <v>3437</v>
      </c>
      <c r="I3438" s="2" t="s">
        <v>39</v>
      </c>
      <c r="J3438" s="2" t="n">
        <v>5</v>
      </c>
      <c r="K3438" s="2" t="s">
        <v>48</v>
      </c>
      <c r="L3438" s="2" t="s">
        <v>37</v>
      </c>
      <c r="M3438" s="2" t="n">
        <v>12000</v>
      </c>
      <c r="N3438" s="2" t="n">
        <v>0</v>
      </c>
      <c r="O3438" s="2" t="n">
        <v>11</v>
      </c>
      <c r="P3438" s="2" t="n">
        <v>1</v>
      </c>
      <c r="Q3438" s="2" t="n">
        <v>3</v>
      </c>
      <c r="R3438" s="2" t="n">
        <v>3</v>
      </c>
      <c r="S3438" s="2" t="n">
        <v>2</v>
      </c>
      <c r="T3438" s="2" t="n">
        <v>2</v>
      </c>
      <c r="U3438" s="2" t="n">
        <v>2</v>
      </c>
      <c r="V3438" s="2" t="n">
        <v>2</v>
      </c>
      <c r="W3438" s="2" t="n">
        <v>4</v>
      </c>
      <c r="X3438" s="2" t="n">
        <v>2</v>
      </c>
      <c r="Y3438" s="2" t="n">
        <v>3</v>
      </c>
      <c r="Z3438" s="2" t="n">
        <v>3</v>
      </c>
    </row>
    <row r="3439" customFormat="false" ht="15" hidden="false" customHeight="true" outlineLevel="0" collapsed="false">
      <c r="A3439" s="2" t="n">
        <v>45</v>
      </c>
      <c r="B3439" s="2" t="s">
        <v>26</v>
      </c>
      <c r="C3439" s="2" t="s">
        <v>27</v>
      </c>
      <c r="D3439" s="2" t="s">
        <v>35</v>
      </c>
      <c r="E3439" s="2" t="n">
        <v>7</v>
      </c>
      <c r="F3439" s="2" t="n">
        <v>2</v>
      </c>
      <c r="G3439" s="2" t="s">
        <v>38</v>
      </c>
      <c r="H3439" s="2" t="n">
        <v>3438</v>
      </c>
      <c r="I3439" s="2" t="s">
        <v>39</v>
      </c>
      <c r="J3439" s="2" t="n">
        <v>1</v>
      </c>
      <c r="K3439" s="2" t="s">
        <v>42</v>
      </c>
      <c r="L3439" s="2" t="s">
        <v>32</v>
      </c>
      <c r="M3439" s="2" t="n">
        <v>56610</v>
      </c>
      <c r="N3439" s="2" t="n">
        <v>3</v>
      </c>
      <c r="O3439" s="2" t="n">
        <v>12</v>
      </c>
      <c r="P3439" s="2" t="n">
        <v>0</v>
      </c>
      <c r="Q3439" s="2" t="n">
        <v>26</v>
      </c>
      <c r="R3439" s="2" t="n">
        <v>2</v>
      </c>
      <c r="S3439" s="2" t="n">
        <v>9</v>
      </c>
      <c r="T3439" s="2" t="n">
        <v>1</v>
      </c>
      <c r="U3439" s="2" t="n">
        <v>1</v>
      </c>
      <c r="V3439" s="2" t="n">
        <v>4</v>
      </c>
      <c r="W3439" s="2" t="n">
        <v>4</v>
      </c>
      <c r="X3439" s="2" t="n">
        <v>4</v>
      </c>
      <c r="Y3439" s="2" t="n">
        <v>2</v>
      </c>
      <c r="Z3439" s="2" t="n">
        <v>3</v>
      </c>
    </row>
    <row r="3440" customFormat="false" ht="15" hidden="false" customHeight="true" outlineLevel="0" collapsed="false">
      <c r="A3440" s="2" t="n">
        <v>32</v>
      </c>
      <c r="B3440" s="2" t="s">
        <v>26</v>
      </c>
      <c r="C3440" s="2" t="s">
        <v>41</v>
      </c>
      <c r="D3440" s="2" t="s">
        <v>35</v>
      </c>
      <c r="E3440" s="2" t="n">
        <v>15</v>
      </c>
      <c r="F3440" s="2" t="n">
        <v>3</v>
      </c>
      <c r="G3440" s="2" t="s">
        <v>43</v>
      </c>
      <c r="H3440" s="2" t="n">
        <v>3439</v>
      </c>
      <c r="I3440" s="2" t="s">
        <v>39</v>
      </c>
      <c r="J3440" s="2" t="n">
        <v>2</v>
      </c>
      <c r="K3440" s="2" t="s">
        <v>49</v>
      </c>
      <c r="L3440" s="2" t="s">
        <v>37</v>
      </c>
      <c r="M3440" s="2" t="n">
        <v>69290</v>
      </c>
      <c r="N3440" s="2" t="n">
        <v>9</v>
      </c>
      <c r="O3440" s="2" t="n">
        <v>20</v>
      </c>
      <c r="P3440" s="2" t="n">
        <v>0</v>
      </c>
      <c r="Q3440" s="2" t="n">
        <v>10</v>
      </c>
      <c r="R3440" s="2" t="n">
        <v>6</v>
      </c>
      <c r="S3440" s="2" t="n">
        <v>8</v>
      </c>
      <c r="T3440" s="2" t="n">
        <v>7</v>
      </c>
      <c r="U3440" s="2" t="n">
        <v>7</v>
      </c>
      <c r="V3440" s="2" t="n">
        <v>4</v>
      </c>
      <c r="W3440" s="2" t="n">
        <v>3</v>
      </c>
      <c r="X3440" s="2" t="n">
        <v>3</v>
      </c>
      <c r="Y3440" s="2" t="n">
        <v>1</v>
      </c>
      <c r="Z3440" s="2" t="n">
        <v>4</v>
      </c>
    </row>
    <row r="3441" customFormat="false" ht="15" hidden="false" customHeight="true" outlineLevel="0" collapsed="false">
      <c r="A3441" s="2" t="n">
        <v>34</v>
      </c>
      <c r="B3441" s="2" t="s">
        <v>26</v>
      </c>
      <c r="C3441" s="2" t="s">
        <v>27</v>
      </c>
      <c r="D3441" s="2" t="s">
        <v>28</v>
      </c>
      <c r="E3441" s="2" t="n">
        <v>6</v>
      </c>
      <c r="F3441" s="2" t="n">
        <v>4</v>
      </c>
      <c r="G3441" s="2" t="s">
        <v>50</v>
      </c>
      <c r="H3441" s="2" t="n">
        <v>3440</v>
      </c>
      <c r="I3441" s="2" t="s">
        <v>39</v>
      </c>
      <c r="J3441" s="2" t="n">
        <v>2</v>
      </c>
      <c r="K3441" s="2" t="s">
        <v>44</v>
      </c>
      <c r="L3441" s="2" t="s">
        <v>46</v>
      </c>
      <c r="M3441" s="2" t="n">
        <v>96130</v>
      </c>
      <c r="N3441" s="2" t="n">
        <v>0</v>
      </c>
      <c r="O3441" s="2" t="n">
        <v>12</v>
      </c>
      <c r="P3441" s="2" t="n">
        <v>1</v>
      </c>
      <c r="Q3441" s="2" t="n">
        <v>16</v>
      </c>
      <c r="R3441" s="2" t="n">
        <v>5</v>
      </c>
      <c r="S3441" s="2" t="n">
        <v>15</v>
      </c>
      <c r="T3441" s="2" t="n">
        <v>0</v>
      </c>
      <c r="U3441" s="2" t="n">
        <v>9</v>
      </c>
      <c r="V3441" s="2" t="n">
        <v>2</v>
      </c>
      <c r="W3441" s="2" t="n">
        <v>4</v>
      </c>
      <c r="X3441" s="2" t="n">
        <v>2</v>
      </c>
      <c r="Y3441" s="2" t="n">
        <v>2</v>
      </c>
      <c r="Z3441" s="2" t="n">
        <v>3</v>
      </c>
    </row>
    <row r="3442" customFormat="false" ht="15" hidden="false" customHeight="true" outlineLevel="0" collapsed="false">
      <c r="A3442" s="2" t="n">
        <v>59</v>
      </c>
      <c r="B3442" s="2" t="s">
        <v>26</v>
      </c>
      <c r="C3442" s="2" t="s">
        <v>27</v>
      </c>
      <c r="D3442" s="2" t="s">
        <v>35</v>
      </c>
      <c r="E3442" s="2" t="n">
        <v>5</v>
      </c>
      <c r="F3442" s="2" t="n">
        <v>3</v>
      </c>
      <c r="G3442" s="2" t="s">
        <v>29</v>
      </c>
      <c r="H3442" s="2" t="n">
        <v>3441</v>
      </c>
      <c r="I3442" s="2" t="s">
        <v>39</v>
      </c>
      <c r="J3442" s="2" t="n">
        <v>2</v>
      </c>
      <c r="K3442" s="2" t="s">
        <v>36</v>
      </c>
      <c r="L3442" s="2" t="s">
        <v>32</v>
      </c>
      <c r="M3442" s="2" t="n">
        <v>56740</v>
      </c>
      <c r="N3442" s="2" t="n">
        <v>3</v>
      </c>
      <c r="O3442" s="2" t="n">
        <v>12</v>
      </c>
      <c r="P3442" s="2" t="n">
        <v>0</v>
      </c>
      <c r="Q3442" s="2" t="n">
        <v>14</v>
      </c>
      <c r="R3442" s="2" t="n">
        <v>6</v>
      </c>
      <c r="S3442" s="2" t="n">
        <v>6</v>
      </c>
      <c r="T3442" s="2" t="n">
        <v>0</v>
      </c>
      <c r="U3442" s="2" t="n">
        <v>4</v>
      </c>
      <c r="V3442" s="2" t="n">
        <v>2</v>
      </c>
      <c r="W3442" s="2" t="n">
        <v>4</v>
      </c>
      <c r="X3442" s="2" t="n">
        <v>1</v>
      </c>
      <c r="Y3442" s="2" t="n">
        <v>3</v>
      </c>
      <c r="Z3442" s="2" t="n">
        <v>3</v>
      </c>
    </row>
    <row r="3443" customFormat="false" ht="15" hidden="false" customHeight="true" outlineLevel="0" collapsed="false">
      <c r="A3443" s="2" t="n">
        <v>45</v>
      </c>
      <c r="B3443" s="2" t="s">
        <v>26</v>
      </c>
      <c r="C3443" s="2" t="s">
        <v>27</v>
      </c>
      <c r="D3443" s="2" t="s">
        <v>35</v>
      </c>
      <c r="E3443" s="2" t="n">
        <v>16</v>
      </c>
      <c r="F3443" s="2" t="n">
        <v>1</v>
      </c>
      <c r="G3443" s="2" t="s">
        <v>43</v>
      </c>
      <c r="H3443" s="2" t="n">
        <v>3442</v>
      </c>
      <c r="I3443" s="2" t="s">
        <v>39</v>
      </c>
      <c r="J3443" s="2" t="n">
        <v>2</v>
      </c>
      <c r="K3443" s="2" t="s">
        <v>40</v>
      </c>
      <c r="L3443" s="2" t="s">
        <v>37</v>
      </c>
      <c r="M3443" s="2" t="n">
        <v>54840</v>
      </c>
      <c r="N3443" s="2" t="n">
        <v>1</v>
      </c>
      <c r="O3443" s="2" t="n">
        <v>20</v>
      </c>
      <c r="P3443" s="2" t="n">
        <v>3</v>
      </c>
      <c r="Q3443" s="2" t="n">
        <v>6</v>
      </c>
      <c r="R3443" s="2" t="n">
        <v>6</v>
      </c>
      <c r="S3443" s="2" t="n">
        <v>6</v>
      </c>
      <c r="T3443" s="2" t="n">
        <v>0</v>
      </c>
      <c r="U3443" s="2" t="n">
        <v>4</v>
      </c>
      <c r="V3443" s="2" t="n">
        <v>2</v>
      </c>
      <c r="W3443" s="2" t="n">
        <v>2</v>
      </c>
      <c r="X3443" s="2" t="n">
        <v>3</v>
      </c>
      <c r="Y3443" s="2" t="n">
        <v>3</v>
      </c>
      <c r="Z3443" s="2" t="n">
        <v>4</v>
      </c>
    </row>
    <row r="3444" customFormat="false" ht="15" hidden="false" customHeight="true" outlineLevel="0" collapsed="false">
      <c r="A3444" s="2" t="n">
        <v>53</v>
      </c>
      <c r="B3444" s="2" t="s">
        <v>26</v>
      </c>
      <c r="C3444" s="2" t="s">
        <v>34</v>
      </c>
      <c r="D3444" s="2" t="s">
        <v>28</v>
      </c>
      <c r="E3444" s="2" t="n">
        <v>8</v>
      </c>
      <c r="F3444" s="2" t="n">
        <v>2</v>
      </c>
      <c r="G3444" s="2" t="s">
        <v>43</v>
      </c>
      <c r="H3444" s="2" t="n">
        <v>3443</v>
      </c>
      <c r="I3444" s="2" t="s">
        <v>39</v>
      </c>
      <c r="J3444" s="2" t="n">
        <v>2</v>
      </c>
      <c r="K3444" s="2" t="s">
        <v>36</v>
      </c>
      <c r="L3444" s="2" t="s">
        <v>32</v>
      </c>
      <c r="M3444" s="2" t="n">
        <v>120610</v>
      </c>
      <c r="N3444" s="2" t="n">
        <v>2</v>
      </c>
      <c r="O3444" s="2" t="n">
        <v>20</v>
      </c>
      <c r="P3444" s="2" t="n">
        <v>1</v>
      </c>
      <c r="Q3444" s="2" t="n">
        <v>30</v>
      </c>
      <c r="R3444" s="2" t="n">
        <v>2</v>
      </c>
      <c r="S3444" s="2" t="n">
        <v>15</v>
      </c>
      <c r="T3444" s="2" t="n">
        <v>6</v>
      </c>
      <c r="U3444" s="2" t="n">
        <v>12</v>
      </c>
      <c r="V3444" s="2" t="n">
        <v>3</v>
      </c>
      <c r="W3444" s="2" t="n">
        <v>2</v>
      </c>
      <c r="X3444" s="2" t="n">
        <v>3</v>
      </c>
      <c r="Y3444" s="2" t="n">
        <v>4</v>
      </c>
      <c r="Z3444" s="2" t="n">
        <v>4</v>
      </c>
    </row>
    <row r="3445" customFormat="false" ht="15" hidden="false" customHeight="true" outlineLevel="0" collapsed="false">
      <c r="A3445" s="2" t="n">
        <v>36</v>
      </c>
      <c r="B3445" s="2" t="s">
        <v>33</v>
      </c>
      <c r="C3445" s="2" t="s">
        <v>27</v>
      </c>
      <c r="D3445" s="2" t="s">
        <v>35</v>
      </c>
      <c r="E3445" s="2" t="n">
        <v>7</v>
      </c>
      <c r="F3445" s="2" t="n">
        <v>2</v>
      </c>
      <c r="G3445" s="2" t="s">
        <v>29</v>
      </c>
      <c r="H3445" s="2" t="n">
        <v>3444</v>
      </c>
      <c r="I3445" s="2" t="s">
        <v>30</v>
      </c>
      <c r="J3445" s="2" t="n">
        <v>1</v>
      </c>
      <c r="K3445" s="2" t="s">
        <v>36</v>
      </c>
      <c r="L3445" s="2" t="s">
        <v>46</v>
      </c>
      <c r="M3445" s="2" t="n">
        <v>56600</v>
      </c>
      <c r="N3445" s="2" t="n">
        <v>7</v>
      </c>
      <c r="O3445" s="2" t="n">
        <v>12</v>
      </c>
      <c r="P3445" s="2" t="n">
        <v>0</v>
      </c>
      <c r="Q3445" s="2" t="n">
        <v>9</v>
      </c>
      <c r="R3445" s="2" t="n">
        <v>3</v>
      </c>
      <c r="S3445" s="2" t="n">
        <v>1</v>
      </c>
      <c r="T3445" s="2" t="n">
        <v>0</v>
      </c>
      <c r="U3445" s="2" t="n">
        <v>0</v>
      </c>
      <c r="V3445" s="2" t="n">
        <v>1</v>
      </c>
      <c r="W3445" s="2" t="n">
        <v>3</v>
      </c>
      <c r="X3445" s="2" t="n">
        <v>2</v>
      </c>
      <c r="Y3445" s="2" t="n">
        <v>3</v>
      </c>
      <c r="Z3445" s="2" t="n">
        <v>3</v>
      </c>
    </row>
    <row r="3446" customFormat="false" ht="15" hidden="false" customHeight="true" outlineLevel="0" collapsed="false">
      <c r="A3446" s="2" t="n">
        <v>26</v>
      </c>
      <c r="B3446" s="2" t="s">
        <v>33</v>
      </c>
      <c r="C3446" s="2" t="s">
        <v>34</v>
      </c>
      <c r="D3446" s="2" t="s">
        <v>28</v>
      </c>
      <c r="E3446" s="2" t="n">
        <v>2</v>
      </c>
      <c r="F3446" s="2" t="n">
        <v>3</v>
      </c>
      <c r="G3446" s="2" t="s">
        <v>29</v>
      </c>
      <c r="H3446" s="2" t="n">
        <v>3445</v>
      </c>
      <c r="I3446" s="2" t="s">
        <v>39</v>
      </c>
      <c r="J3446" s="2" t="n">
        <v>2</v>
      </c>
      <c r="K3446" s="2" t="s">
        <v>36</v>
      </c>
      <c r="L3446" s="2" t="s">
        <v>32</v>
      </c>
      <c r="M3446" s="2" t="n">
        <v>48210</v>
      </c>
      <c r="N3446" s="2" t="n">
        <v>6</v>
      </c>
      <c r="O3446" s="2" t="n">
        <v>14</v>
      </c>
      <c r="P3446" s="2" t="n">
        <v>2</v>
      </c>
      <c r="Q3446" s="2" t="n">
        <v>6</v>
      </c>
      <c r="R3446" s="2" t="n">
        <v>2</v>
      </c>
      <c r="S3446" s="2" t="n">
        <v>3</v>
      </c>
      <c r="T3446" s="2" t="n">
        <v>1</v>
      </c>
      <c r="U3446" s="2" t="n">
        <v>2</v>
      </c>
      <c r="V3446" s="2" t="n">
        <v>1</v>
      </c>
      <c r="W3446" s="2" t="n">
        <v>1</v>
      </c>
      <c r="X3446" s="2" t="n">
        <v>3</v>
      </c>
      <c r="Y3446" s="2" t="n">
        <v>3</v>
      </c>
      <c r="Z3446" s="2" t="n">
        <v>3</v>
      </c>
    </row>
    <row r="3447" customFormat="false" ht="15" hidden="false" customHeight="true" outlineLevel="0" collapsed="false">
      <c r="A3447" s="2" t="n">
        <v>34</v>
      </c>
      <c r="B3447" s="2" t="s">
        <v>26</v>
      </c>
      <c r="C3447" s="2" t="s">
        <v>27</v>
      </c>
      <c r="D3447" s="2" t="s">
        <v>35</v>
      </c>
      <c r="E3447" s="2" t="n">
        <v>2</v>
      </c>
      <c r="F3447" s="2" t="n">
        <v>2</v>
      </c>
      <c r="G3447" s="2" t="s">
        <v>29</v>
      </c>
      <c r="H3447" s="2" t="n">
        <v>3446</v>
      </c>
      <c r="I3447" s="2" t="s">
        <v>39</v>
      </c>
      <c r="J3447" s="2" t="n">
        <v>1</v>
      </c>
      <c r="K3447" s="2" t="s">
        <v>48</v>
      </c>
      <c r="L3447" s="2" t="s">
        <v>32</v>
      </c>
      <c r="M3447" s="2" t="n">
        <v>64100</v>
      </c>
      <c r="N3447" s="2" t="n">
        <v>1</v>
      </c>
      <c r="O3447" s="2" t="n">
        <v>13</v>
      </c>
      <c r="P3447" s="2" t="n">
        <v>1</v>
      </c>
      <c r="Q3447" s="2" t="n">
        <v>1</v>
      </c>
      <c r="R3447" s="2" t="n">
        <v>5</v>
      </c>
      <c r="S3447" s="2" t="n">
        <v>1</v>
      </c>
      <c r="T3447" s="2" t="n">
        <v>0</v>
      </c>
      <c r="U3447" s="2" t="n">
        <v>0</v>
      </c>
      <c r="V3447" s="2" t="n">
        <v>3</v>
      </c>
      <c r="W3447" s="2" t="n">
        <v>3</v>
      </c>
      <c r="X3447" s="2" t="n">
        <v>3</v>
      </c>
      <c r="Y3447" s="2" t="n">
        <v>2</v>
      </c>
      <c r="Z3447" s="2" t="n">
        <v>3</v>
      </c>
    </row>
    <row r="3448" customFormat="false" ht="15" hidden="false" customHeight="true" outlineLevel="0" collapsed="false">
      <c r="A3448" s="2" t="n">
        <v>28</v>
      </c>
      <c r="B3448" s="2" t="s">
        <v>26</v>
      </c>
      <c r="C3448" s="2" t="s">
        <v>27</v>
      </c>
      <c r="D3448" s="2" t="s">
        <v>35</v>
      </c>
      <c r="E3448" s="2" t="n">
        <v>10</v>
      </c>
      <c r="F3448" s="2" t="n">
        <v>3</v>
      </c>
      <c r="G3448" s="2" t="s">
        <v>38</v>
      </c>
      <c r="H3448" s="2" t="n">
        <v>3447</v>
      </c>
      <c r="I3448" s="2" t="s">
        <v>39</v>
      </c>
      <c r="J3448" s="2" t="n">
        <v>2</v>
      </c>
      <c r="K3448" s="2" t="s">
        <v>48</v>
      </c>
      <c r="L3448" s="2" t="s">
        <v>32</v>
      </c>
      <c r="M3448" s="2" t="n">
        <v>52100</v>
      </c>
      <c r="N3448" s="2" t="n">
        <v>1</v>
      </c>
      <c r="O3448" s="2" t="n">
        <v>15</v>
      </c>
      <c r="P3448" s="2" t="n">
        <v>0</v>
      </c>
      <c r="Q3448" s="2" t="n">
        <v>1</v>
      </c>
      <c r="R3448" s="2" t="n">
        <v>1</v>
      </c>
      <c r="S3448" s="2" t="n">
        <v>1</v>
      </c>
      <c r="T3448" s="2" t="n">
        <v>0</v>
      </c>
      <c r="U3448" s="2" t="n">
        <v>0</v>
      </c>
      <c r="V3448" s="2" t="n">
        <v>4</v>
      </c>
      <c r="W3448" s="2" t="n">
        <v>2</v>
      </c>
      <c r="X3448" s="2" t="n">
        <v>3</v>
      </c>
      <c r="Y3448" s="2" t="n">
        <v>4</v>
      </c>
      <c r="Z3448" s="2" t="n">
        <v>3</v>
      </c>
    </row>
    <row r="3449" customFormat="false" ht="15" hidden="false" customHeight="true" outlineLevel="0" collapsed="false">
      <c r="A3449" s="2" t="n">
        <v>38</v>
      </c>
      <c r="B3449" s="2" t="s">
        <v>26</v>
      </c>
      <c r="C3449" s="2" t="s">
        <v>34</v>
      </c>
      <c r="D3449" s="2" t="s">
        <v>28</v>
      </c>
      <c r="E3449" s="2" t="n">
        <v>9</v>
      </c>
      <c r="F3449" s="2" t="n">
        <v>4</v>
      </c>
      <c r="G3449" s="2" t="s">
        <v>43</v>
      </c>
      <c r="H3449" s="2" t="n">
        <v>3448</v>
      </c>
      <c r="I3449" s="2" t="s">
        <v>39</v>
      </c>
      <c r="J3449" s="2" t="n">
        <v>2</v>
      </c>
      <c r="K3449" s="2" t="s">
        <v>36</v>
      </c>
      <c r="L3449" s="2" t="s">
        <v>32</v>
      </c>
      <c r="M3449" s="2" t="n">
        <v>26950</v>
      </c>
      <c r="N3449" s="2" t="n">
        <v>3</v>
      </c>
      <c r="O3449" s="2" t="n">
        <v>14</v>
      </c>
      <c r="P3449" s="2" t="n">
        <v>1</v>
      </c>
      <c r="Q3449" s="2" t="n">
        <v>8</v>
      </c>
      <c r="R3449" s="2" t="n">
        <v>4</v>
      </c>
      <c r="S3449" s="2" t="n">
        <v>2</v>
      </c>
      <c r="T3449" s="2" t="n">
        <v>2</v>
      </c>
      <c r="U3449" s="2" t="n">
        <v>2</v>
      </c>
      <c r="V3449" s="2" t="n">
        <v>3</v>
      </c>
      <c r="W3449" s="2" t="n">
        <v>3</v>
      </c>
      <c r="X3449" s="2" t="n">
        <v>3</v>
      </c>
      <c r="Y3449" s="2" t="n">
        <v>1</v>
      </c>
      <c r="Z3449" s="2" t="n">
        <v>3</v>
      </c>
    </row>
    <row r="3450" customFormat="false" ht="15" hidden="false" customHeight="true" outlineLevel="0" collapsed="false">
      <c r="A3450" s="2" t="n">
        <v>50</v>
      </c>
      <c r="B3450" s="2" t="s">
        <v>26</v>
      </c>
      <c r="C3450" s="2" t="s">
        <v>27</v>
      </c>
      <c r="D3450" s="2" t="s">
        <v>35</v>
      </c>
      <c r="E3450" s="2" t="n">
        <v>5</v>
      </c>
      <c r="F3450" s="2" t="n">
        <v>4</v>
      </c>
      <c r="G3450" s="2" t="s">
        <v>29</v>
      </c>
      <c r="H3450" s="2" t="n">
        <v>3449</v>
      </c>
      <c r="I3450" s="2" t="s">
        <v>39</v>
      </c>
      <c r="J3450" s="2" t="n">
        <v>1</v>
      </c>
      <c r="K3450" s="2" t="s">
        <v>40</v>
      </c>
      <c r="L3450" s="2" t="s">
        <v>32</v>
      </c>
      <c r="M3450" s="2" t="n">
        <v>118780</v>
      </c>
      <c r="N3450" s="2" t="n">
        <v>2</v>
      </c>
      <c r="O3450" s="2" t="n">
        <v>13</v>
      </c>
      <c r="P3450" s="2" t="n">
        <v>1</v>
      </c>
      <c r="Q3450" s="2" t="n">
        <v>29</v>
      </c>
      <c r="R3450" s="2" t="n">
        <v>2</v>
      </c>
      <c r="S3450" s="2" t="n">
        <v>8</v>
      </c>
      <c r="T3450" s="2" t="n">
        <v>7</v>
      </c>
      <c r="U3450" s="2" t="n">
        <v>7</v>
      </c>
      <c r="V3450" s="2" t="n">
        <v>2</v>
      </c>
      <c r="W3450" s="2" t="n">
        <v>3</v>
      </c>
      <c r="X3450" s="2" t="n">
        <v>2</v>
      </c>
      <c r="Y3450" s="2" t="n">
        <v>3</v>
      </c>
      <c r="Z3450" s="2" t="n">
        <v>3</v>
      </c>
    </row>
    <row r="3451" customFormat="false" ht="15" hidden="false" customHeight="true" outlineLevel="0" collapsed="false">
      <c r="A3451" s="2" t="n">
        <v>37</v>
      </c>
      <c r="B3451" s="2" t="s">
        <v>26</v>
      </c>
      <c r="C3451" s="2" t="s">
        <v>27</v>
      </c>
      <c r="D3451" s="2" t="s">
        <v>35</v>
      </c>
      <c r="E3451" s="2" t="n">
        <v>1</v>
      </c>
      <c r="F3451" s="2" t="n">
        <v>3</v>
      </c>
      <c r="G3451" s="2" t="s">
        <v>29</v>
      </c>
      <c r="H3451" s="2" t="n">
        <v>3450</v>
      </c>
      <c r="I3451" s="2" t="s">
        <v>39</v>
      </c>
      <c r="J3451" s="2" t="n">
        <v>1</v>
      </c>
      <c r="K3451" s="2" t="s">
        <v>45</v>
      </c>
      <c r="L3451" s="2" t="s">
        <v>37</v>
      </c>
      <c r="M3451" s="2" t="n">
        <v>170680</v>
      </c>
      <c r="N3451" s="2" t="n">
        <v>3</v>
      </c>
      <c r="O3451" s="2" t="n">
        <v>23</v>
      </c>
      <c r="P3451" s="2" t="n">
        <v>0</v>
      </c>
      <c r="Q3451" s="2" t="n">
        <v>8</v>
      </c>
      <c r="R3451" s="2" t="n">
        <v>6</v>
      </c>
      <c r="S3451" s="2" t="n">
        <v>4</v>
      </c>
      <c r="T3451" s="2" t="n">
        <v>0</v>
      </c>
      <c r="U3451" s="2" t="n">
        <v>1</v>
      </c>
      <c r="V3451" s="2" t="n">
        <v>4</v>
      </c>
      <c r="W3451" s="2" t="n">
        <v>2</v>
      </c>
      <c r="X3451" s="2" t="n">
        <v>2</v>
      </c>
      <c r="Y3451" s="2" t="n">
        <v>3</v>
      </c>
      <c r="Z3451" s="2" t="n">
        <v>4</v>
      </c>
    </row>
    <row r="3452" customFormat="false" ht="15" hidden="false" customHeight="true" outlineLevel="0" collapsed="false">
      <c r="A3452" s="2" t="n">
        <v>40</v>
      </c>
      <c r="B3452" s="2" t="s">
        <v>26</v>
      </c>
      <c r="C3452" s="2" t="s">
        <v>27</v>
      </c>
      <c r="D3452" s="2" t="s">
        <v>42</v>
      </c>
      <c r="E3452" s="2" t="n">
        <v>2</v>
      </c>
      <c r="F3452" s="2" t="n">
        <v>3</v>
      </c>
      <c r="G3452" s="2" t="s">
        <v>43</v>
      </c>
      <c r="H3452" s="2" t="n">
        <v>3451</v>
      </c>
      <c r="I3452" s="2" t="s">
        <v>39</v>
      </c>
      <c r="J3452" s="2" t="n">
        <v>5</v>
      </c>
      <c r="K3452" s="2" t="s">
        <v>40</v>
      </c>
      <c r="L3452" s="2" t="s">
        <v>32</v>
      </c>
      <c r="M3452" s="2" t="n">
        <v>24550</v>
      </c>
      <c r="N3452" s="2" t="n">
        <v>1</v>
      </c>
      <c r="O3452" s="2" t="n">
        <v>15</v>
      </c>
      <c r="P3452" s="2" t="n">
        <v>1</v>
      </c>
      <c r="Q3452" s="2" t="n">
        <v>8</v>
      </c>
      <c r="R3452" s="2" t="n">
        <v>2</v>
      </c>
      <c r="S3452" s="2" t="n">
        <v>7</v>
      </c>
      <c r="T3452" s="2" t="n">
        <v>7</v>
      </c>
      <c r="U3452" s="2" t="n">
        <v>5</v>
      </c>
      <c r="V3452" s="2" t="n">
        <v>3</v>
      </c>
      <c r="W3452" s="2" t="n">
        <v>1</v>
      </c>
      <c r="X3452" s="2" t="n">
        <v>2</v>
      </c>
      <c r="Y3452" s="2" t="n">
        <v>3</v>
      </c>
      <c r="Z3452" s="2" t="n">
        <v>3</v>
      </c>
    </row>
    <row r="3453" customFormat="false" ht="15" hidden="false" customHeight="true" outlineLevel="0" collapsed="false">
      <c r="A3453" s="2" t="n">
        <v>26</v>
      </c>
      <c r="B3453" s="2" t="s">
        <v>26</v>
      </c>
      <c r="C3453" s="2" t="s">
        <v>34</v>
      </c>
      <c r="D3453" s="2" t="s">
        <v>35</v>
      </c>
      <c r="E3453" s="2" t="n">
        <v>3</v>
      </c>
      <c r="F3453" s="2" t="n">
        <v>3</v>
      </c>
      <c r="G3453" s="2" t="s">
        <v>43</v>
      </c>
      <c r="H3453" s="2" t="n">
        <v>3452</v>
      </c>
      <c r="I3453" s="2" t="s">
        <v>39</v>
      </c>
      <c r="J3453" s="2" t="n">
        <v>2</v>
      </c>
      <c r="K3453" s="2" t="s">
        <v>45</v>
      </c>
      <c r="L3453" s="2" t="s">
        <v>46</v>
      </c>
      <c r="M3453" s="2" t="n">
        <v>139640</v>
      </c>
      <c r="N3453" s="2" t="n">
        <v>1</v>
      </c>
      <c r="O3453" s="2" t="n">
        <v>11</v>
      </c>
      <c r="P3453" s="2" t="n">
        <v>2</v>
      </c>
      <c r="Q3453" s="2" t="n">
        <v>5</v>
      </c>
      <c r="R3453" s="2" t="n">
        <v>1</v>
      </c>
      <c r="S3453" s="2" t="n">
        <v>5</v>
      </c>
      <c r="T3453" s="2" t="n">
        <v>1</v>
      </c>
      <c r="U3453" s="2" t="n">
        <v>3</v>
      </c>
      <c r="V3453" s="2" t="n">
        <v>1</v>
      </c>
      <c r="W3453" s="2" t="n">
        <v>3</v>
      </c>
      <c r="X3453" s="2" t="n">
        <v>3</v>
      </c>
      <c r="Y3453" s="2" t="n">
        <v>2</v>
      </c>
      <c r="Z3453" s="2" t="n">
        <v>3</v>
      </c>
    </row>
    <row r="3454" customFormat="false" ht="15" hidden="false" customHeight="true" outlineLevel="0" collapsed="false">
      <c r="A3454" s="2" t="n">
        <v>46</v>
      </c>
      <c r="B3454" s="2" t="s">
        <v>26</v>
      </c>
      <c r="C3454" s="2" t="s">
        <v>27</v>
      </c>
      <c r="D3454" s="2" t="s">
        <v>35</v>
      </c>
      <c r="E3454" s="2" t="n">
        <v>2</v>
      </c>
      <c r="F3454" s="2" t="n">
        <v>1</v>
      </c>
      <c r="G3454" s="2" t="s">
        <v>43</v>
      </c>
      <c r="H3454" s="2" t="n">
        <v>3453</v>
      </c>
      <c r="I3454" s="2" t="s">
        <v>30</v>
      </c>
      <c r="J3454" s="2" t="n">
        <v>3</v>
      </c>
      <c r="K3454" s="2" t="s">
        <v>36</v>
      </c>
      <c r="L3454" s="2" t="s">
        <v>46</v>
      </c>
      <c r="M3454" s="2" t="n">
        <v>49410</v>
      </c>
      <c r="N3454" s="2" t="n">
        <v>9</v>
      </c>
      <c r="O3454" s="2" t="n">
        <v>13</v>
      </c>
      <c r="P3454" s="2" t="n">
        <v>2</v>
      </c>
      <c r="Q3454" s="2" t="n">
        <v>23</v>
      </c>
      <c r="R3454" s="2" t="n">
        <v>2</v>
      </c>
      <c r="S3454" s="2" t="n">
        <v>2</v>
      </c>
      <c r="T3454" s="2" t="n">
        <v>2</v>
      </c>
      <c r="U3454" s="2" t="n">
        <v>2</v>
      </c>
      <c r="V3454" s="2" t="n">
        <v>4</v>
      </c>
      <c r="W3454" s="2" t="n">
        <v>4</v>
      </c>
      <c r="X3454" s="2" t="n">
        <v>3</v>
      </c>
      <c r="Y3454" s="2" t="n">
        <v>2</v>
      </c>
      <c r="Z3454" s="2" t="n">
        <v>3</v>
      </c>
    </row>
    <row r="3455" customFormat="false" ht="15" hidden="false" customHeight="true" outlineLevel="0" collapsed="false">
      <c r="A3455" s="2" t="n">
        <v>54</v>
      </c>
      <c r="B3455" s="2" t="s">
        <v>26</v>
      </c>
      <c r="C3455" s="2" t="s">
        <v>27</v>
      </c>
      <c r="D3455" s="2" t="s">
        <v>35</v>
      </c>
      <c r="E3455" s="2" t="n">
        <v>5</v>
      </c>
      <c r="F3455" s="2" t="n">
        <v>3</v>
      </c>
      <c r="G3455" s="2" t="s">
        <v>43</v>
      </c>
      <c r="H3455" s="2" t="n">
        <v>3454</v>
      </c>
      <c r="I3455" s="2" t="s">
        <v>30</v>
      </c>
      <c r="J3455" s="2" t="n">
        <v>2</v>
      </c>
      <c r="K3455" s="2" t="s">
        <v>47</v>
      </c>
      <c r="L3455" s="2" t="s">
        <v>32</v>
      </c>
      <c r="M3455" s="2" t="n">
        <v>24780</v>
      </c>
      <c r="N3455" s="2" t="n">
        <v>6</v>
      </c>
      <c r="O3455" s="2" t="n">
        <v>11</v>
      </c>
      <c r="P3455" s="2" t="n">
        <v>0</v>
      </c>
      <c r="Q3455" s="2" t="n">
        <v>13</v>
      </c>
      <c r="R3455" s="2" t="n">
        <v>0</v>
      </c>
      <c r="S3455" s="2" t="n">
        <v>9</v>
      </c>
      <c r="T3455" s="2" t="n">
        <v>7</v>
      </c>
      <c r="U3455" s="2" t="n">
        <v>0</v>
      </c>
      <c r="V3455" s="2" t="n">
        <v>3</v>
      </c>
      <c r="W3455" s="2" t="n">
        <v>3</v>
      </c>
      <c r="X3455" s="2" t="n">
        <v>3</v>
      </c>
      <c r="Y3455" s="2" t="n">
        <v>3</v>
      </c>
      <c r="Z3455" s="2" t="n">
        <v>3</v>
      </c>
    </row>
    <row r="3456" customFormat="false" ht="15" hidden="false" customHeight="true" outlineLevel="0" collapsed="false">
      <c r="A3456" s="2" t="n">
        <v>56</v>
      </c>
      <c r="B3456" s="2" t="s">
        <v>26</v>
      </c>
      <c r="C3456" s="2" t="s">
        <v>34</v>
      </c>
      <c r="D3456" s="2" t="s">
        <v>35</v>
      </c>
      <c r="E3456" s="2" t="n">
        <v>1</v>
      </c>
      <c r="F3456" s="2" t="n">
        <v>2</v>
      </c>
      <c r="G3456" s="2" t="s">
        <v>29</v>
      </c>
      <c r="H3456" s="2" t="n">
        <v>3455</v>
      </c>
      <c r="I3456" s="2" t="s">
        <v>30</v>
      </c>
      <c r="J3456" s="2" t="n">
        <v>2</v>
      </c>
      <c r="K3456" s="2" t="s">
        <v>47</v>
      </c>
      <c r="L3456" s="2" t="s">
        <v>32</v>
      </c>
      <c r="M3456" s="2" t="n">
        <v>52280</v>
      </c>
      <c r="N3456" s="2" t="n">
        <v>2</v>
      </c>
      <c r="O3456" s="2" t="n">
        <v>11</v>
      </c>
      <c r="P3456" s="2" t="n">
        <v>0</v>
      </c>
      <c r="Q3456" s="2" t="n">
        <v>18</v>
      </c>
      <c r="R3456" s="2" t="n">
        <v>4</v>
      </c>
      <c r="S3456" s="2" t="n">
        <v>5</v>
      </c>
      <c r="T3456" s="2" t="n">
        <v>0</v>
      </c>
      <c r="U3456" s="2" t="n">
        <v>3</v>
      </c>
      <c r="V3456" s="2" t="n">
        <v>1</v>
      </c>
      <c r="W3456" s="2" t="n">
        <v>3</v>
      </c>
      <c r="X3456" s="2" t="n">
        <v>3</v>
      </c>
      <c r="Y3456" s="2" t="n">
        <v>3</v>
      </c>
      <c r="Z3456" s="2" t="n">
        <v>3</v>
      </c>
    </row>
    <row r="3457" customFormat="false" ht="15" hidden="false" customHeight="true" outlineLevel="0" collapsed="false">
      <c r="A3457" s="2" t="n">
        <v>36</v>
      </c>
      <c r="B3457" s="2" t="s">
        <v>26</v>
      </c>
      <c r="C3457" s="2" t="s">
        <v>27</v>
      </c>
      <c r="D3457" s="2" t="s">
        <v>35</v>
      </c>
      <c r="E3457" s="2" t="n">
        <v>4</v>
      </c>
      <c r="F3457" s="2" t="n">
        <v>2</v>
      </c>
      <c r="G3457" s="2" t="s">
        <v>29</v>
      </c>
      <c r="H3457" s="2" t="n">
        <v>3456</v>
      </c>
      <c r="I3457" s="2" t="s">
        <v>30</v>
      </c>
      <c r="J3457" s="2" t="n">
        <v>2</v>
      </c>
      <c r="K3457" s="2" t="s">
        <v>42</v>
      </c>
      <c r="L3457" s="2" t="s">
        <v>37</v>
      </c>
      <c r="M3457" s="2" t="n">
        <v>44780</v>
      </c>
      <c r="N3457" s="2" t="n">
        <v>0</v>
      </c>
      <c r="O3457" s="2" t="n">
        <v>18</v>
      </c>
      <c r="P3457" s="2" t="n">
        <v>1</v>
      </c>
      <c r="Q3457" s="2" t="n">
        <v>15</v>
      </c>
      <c r="R3457" s="2" t="n">
        <v>3</v>
      </c>
      <c r="S3457" s="2" t="n">
        <v>14</v>
      </c>
      <c r="T3457" s="2" t="n">
        <v>7</v>
      </c>
      <c r="U3457" s="2" t="n">
        <v>8</v>
      </c>
      <c r="V3457" s="2" t="n">
        <v>4</v>
      </c>
      <c r="W3457" s="2" t="n">
        <v>4</v>
      </c>
      <c r="X3457" s="2" t="n">
        <v>2</v>
      </c>
      <c r="Y3457" s="2" t="n">
        <v>3</v>
      </c>
      <c r="Z3457" s="2" t="n">
        <v>3</v>
      </c>
    </row>
    <row r="3458" customFormat="false" ht="15" hidden="false" customHeight="true" outlineLevel="0" collapsed="false">
      <c r="A3458" s="2" t="n">
        <v>55</v>
      </c>
      <c r="B3458" s="2" t="s">
        <v>26</v>
      </c>
      <c r="C3458" s="2" t="s">
        <v>41</v>
      </c>
      <c r="D3458" s="2" t="s">
        <v>35</v>
      </c>
      <c r="E3458" s="2" t="n">
        <v>2</v>
      </c>
      <c r="F3458" s="2" t="n">
        <v>3</v>
      </c>
      <c r="G3458" s="2" t="s">
        <v>43</v>
      </c>
      <c r="H3458" s="2" t="n">
        <v>3457</v>
      </c>
      <c r="I3458" s="2" t="s">
        <v>30</v>
      </c>
      <c r="J3458" s="2" t="n">
        <v>2</v>
      </c>
      <c r="K3458" s="2" t="s">
        <v>49</v>
      </c>
      <c r="L3458" s="2" t="s">
        <v>37</v>
      </c>
      <c r="M3458" s="2" t="n">
        <v>75470</v>
      </c>
      <c r="N3458" s="2" t="n">
        <v>7</v>
      </c>
      <c r="O3458" s="2" t="n">
        <v>16</v>
      </c>
      <c r="P3458" s="2" t="n">
        <v>0</v>
      </c>
      <c r="Q3458" s="2" t="n">
        <v>31</v>
      </c>
      <c r="R3458" s="2" t="n">
        <v>2</v>
      </c>
      <c r="S3458" s="2" t="n">
        <v>9</v>
      </c>
      <c r="T3458" s="2" t="n">
        <v>6</v>
      </c>
      <c r="U3458" s="2" t="n">
        <v>2</v>
      </c>
      <c r="V3458" s="2" t="n">
        <v>3</v>
      </c>
      <c r="W3458" s="2" t="n">
        <v>1</v>
      </c>
      <c r="X3458" s="2" t="n">
        <v>4</v>
      </c>
      <c r="Y3458" s="2" t="n">
        <v>2</v>
      </c>
      <c r="Z3458" s="2" t="n">
        <v>3</v>
      </c>
    </row>
    <row r="3459" customFormat="false" ht="15" hidden="false" customHeight="true" outlineLevel="0" collapsed="false">
      <c r="A3459" s="2" t="n">
        <v>43</v>
      </c>
      <c r="B3459" s="2" t="s">
        <v>26</v>
      </c>
      <c r="C3459" s="2" t="s">
        <v>27</v>
      </c>
      <c r="D3459" s="2" t="s">
        <v>28</v>
      </c>
      <c r="E3459" s="2" t="n">
        <v>25</v>
      </c>
      <c r="F3459" s="2" t="n">
        <v>2</v>
      </c>
      <c r="G3459" s="2" t="s">
        <v>29</v>
      </c>
      <c r="H3459" s="2" t="n">
        <v>3458</v>
      </c>
      <c r="I3459" s="2" t="s">
        <v>39</v>
      </c>
      <c r="J3459" s="2" t="n">
        <v>3</v>
      </c>
      <c r="K3459" s="2" t="s">
        <v>36</v>
      </c>
      <c r="L3459" s="2" t="s">
        <v>46</v>
      </c>
      <c r="M3459" s="2" t="n">
        <v>50550</v>
      </c>
      <c r="N3459" s="2" t="n">
        <v>5</v>
      </c>
      <c r="O3459" s="2" t="n">
        <v>22</v>
      </c>
      <c r="P3459" s="2" t="n">
        <v>0</v>
      </c>
      <c r="Q3459" s="2" t="n">
        <v>18</v>
      </c>
      <c r="R3459" s="2" t="n">
        <v>2</v>
      </c>
      <c r="S3459" s="2" t="n">
        <v>1</v>
      </c>
      <c r="T3459" s="2" t="n">
        <v>0</v>
      </c>
      <c r="U3459" s="2" t="n">
        <v>0</v>
      </c>
      <c r="V3459" s="2" t="n">
        <v>3</v>
      </c>
      <c r="W3459" s="2" t="n">
        <v>4</v>
      </c>
      <c r="X3459" s="2" t="n">
        <v>3</v>
      </c>
      <c r="Y3459" s="2" t="n">
        <v>2</v>
      </c>
      <c r="Z3459" s="2" t="n">
        <v>4</v>
      </c>
    </row>
    <row r="3460" customFormat="false" ht="15" hidden="false" customHeight="true" outlineLevel="0" collapsed="false">
      <c r="A3460" s="2" t="n">
        <v>20</v>
      </c>
      <c r="B3460" s="2" t="s">
        <v>33</v>
      </c>
      <c r="C3460" s="2" t="s">
        <v>34</v>
      </c>
      <c r="D3460" s="2" t="s">
        <v>28</v>
      </c>
      <c r="E3460" s="2" t="n">
        <v>8</v>
      </c>
      <c r="F3460" s="2" t="n">
        <v>3</v>
      </c>
      <c r="G3460" s="2" t="s">
        <v>50</v>
      </c>
      <c r="H3460" s="2" t="n">
        <v>3459</v>
      </c>
      <c r="I3460" s="2" t="s">
        <v>39</v>
      </c>
      <c r="J3460" s="2" t="n">
        <v>3</v>
      </c>
      <c r="K3460" s="2" t="s">
        <v>40</v>
      </c>
      <c r="L3460" s="2" t="s">
        <v>37</v>
      </c>
      <c r="M3460" s="2" t="n">
        <v>34640</v>
      </c>
      <c r="N3460" s="2" t="n">
        <v>1</v>
      </c>
      <c r="O3460" s="2" t="n">
        <v>20</v>
      </c>
      <c r="P3460" s="2" t="n">
        <v>0</v>
      </c>
      <c r="Q3460" s="2" t="n">
        <v>2</v>
      </c>
      <c r="R3460" s="2" t="n">
        <v>3</v>
      </c>
      <c r="S3460" s="2" t="n">
        <v>2</v>
      </c>
      <c r="T3460" s="2" t="n">
        <v>0</v>
      </c>
      <c r="U3460" s="2" t="n">
        <v>2</v>
      </c>
      <c r="V3460" s="2" t="n">
        <v>4</v>
      </c>
      <c r="W3460" s="2" t="n">
        <v>4</v>
      </c>
      <c r="X3460" s="2" t="n">
        <v>3</v>
      </c>
      <c r="Y3460" s="2" t="n">
        <v>2</v>
      </c>
      <c r="Z3460" s="2" t="n">
        <v>4</v>
      </c>
    </row>
    <row r="3461" customFormat="false" ht="15" hidden="false" customHeight="true" outlineLevel="0" collapsed="false">
      <c r="A3461" s="2" t="n">
        <v>21</v>
      </c>
      <c r="B3461" s="2" t="s">
        <v>33</v>
      </c>
      <c r="C3461" s="2" t="s">
        <v>27</v>
      </c>
      <c r="D3461" s="2" t="s">
        <v>35</v>
      </c>
      <c r="E3461" s="2" t="n">
        <v>1</v>
      </c>
      <c r="F3461" s="2" t="n">
        <v>4</v>
      </c>
      <c r="G3461" s="2" t="s">
        <v>29</v>
      </c>
      <c r="H3461" s="2" t="n">
        <v>3460</v>
      </c>
      <c r="I3461" s="2" t="s">
        <v>39</v>
      </c>
      <c r="J3461" s="2" t="n">
        <v>1</v>
      </c>
      <c r="K3461" s="2" t="s">
        <v>49</v>
      </c>
      <c r="L3461" s="2" t="s">
        <v>37</v>
      </c>
      <c r="M3461" s="2" t="n">
        <v>57750</v>
      </c>
      <c r="N3461" s="2" t="n">
        <v>1</v>
      </c>
      <c r="O3461" s="2" t="n">
        <v>18</v>
      </c>
      <c r="P3461" s="2" t="n">
        <v>0</v>
      </c>
      <c r="Q3461" s="2" t="n">
        <v>1</v>
      </c>
      <c r="R3461" s="2" t="n">
        <v>2</v>
      </c>
      <c r="S3461" s="2" t="n">
        <v>1</v>
      </c>
      <c r="T3461" s="2" t="n">
        <v>1</v>
      </c>
      <c r="U3461" s="2" t="n">
        <v>0</v>
      </c>
      <c r="V3461" s="2" t="n">
        <v>3</v>
      </c>
      <c r="W3461" s="2" t="n">
        <v>1</v>
      </c>
      <c r="X3461" s="2" t="n">
        <v>2</v>
      </c>
      <c r="Y3461" s="2" t="n">
        <v>3</v>
      </c>
      <c r="Z3461" s="2" t="n">
        <v>3</v>
      </c>
    </row>
    <row r="3462" customFormat="false" ht="15" hidden="false" customHeight="true" outlineLevel="0" collapsed="false">
      <c r="A3462" s="2" t="n">
        <v>46</v>
      </c>
      <c r="B3462" s="2" t="s">
        <v>26</v>
      </c>
      <c r="C3462" s="2" t="s">
        <v>27</v>
      </c>
      <c r="D3462" s="2" t="s">
        <v>28</v>
      </c>
      <c r="E3462" s="2" t="n">
        <v>12</v>
      </c>
      <c r="F3462" s="2" t="n">
        <v>3</v>
      </c>
      <c r="G3462" s="2" t="s">
        <v>50</v>
      </c>
      <c r="H3462" s="2" t="n">
        <v>3461</v>
      </c>
      <c r="I3462" s="2" t="s">
        <v>30</v>
      </c>
      <c r="J3462" s="2" t="n">
        <v>3</v>
      </c>
      <c r="K3462" s="2" t="s">
        <v>31</v>
      </c>
      <c r="L3462" s="2" t="s">
        <v>46</v>
      </c>
      <c r="M3462" s="2" t="n">
        <v>89430</v>
      </c>
      <c r="N3462" s="2" t="n">
        <v>8</v>
      </c>
      <c r="O3462" s="2" t="n">
        <v>12</v>
      </c>
      <c r="P3462" s="2" t="n">
        <v>1</v>
      </c>
      <c r="Q3462" s="2" t="n">
        <v>19</v>
      </c>
      <c r="R3462" s="2" t="n">
        <v>6</v>
      </c>
      <c r="S3462" s="2" t="n">
        <v>16</v>
      </c>
      <c r="T3462" s="2" t="n">
        <v>1</v>
      </c>
      <c r="U3462" s="2" t="n">
        <v>7</v>
      </c>
      <c r="V3462" s="2" t="n">
        <v>4</v>
      </c>
      <c r="W3462" s="2" t="n">
        <v>1</v>
      </c>
      <c r="X3462" s="2" t="n">
        <v>3</v>
      </c>
      <c r="Y3462" s="2" t="n">
        <v>3</v>
      </c>
      <c r="Z3462" s="2" t="n">
        <v>3</v>
      </c>
    </row>
    <row r="3463" customFormat="false" ht="15" hidden="false" customHeight="true" outlineLevel="0" collapsed="false">
      <c r="A3463" s="2" t="n">
        <v>51</v>
      </c>
      <c r="B3463" s="2" t="s">
        <v>33</v>
      </c>
      <c r="C3463" s="2" t="s">
        <v>27</v>
      </c>
      <c r="D3463" s="2" t="s">
        <v>28</v>
      </c>
      <c r="E3463" s="2" t="n">
        <v>23</v>
      </c>
      <c r="F3463" s="2" t="n">
        <v>3</v>
      </c>
      <c r="G3463" s="2" t="s">
        <v>43</v>
      </c>
      <c r="H3463" s="2" t="n">
        <v>3462</v>
      </c>
      <c r="I3463" s="2" t="s">
        <v>30</v>
      </c>
      <c r="J3463" s="2" t="n">
        <v>2</v>
      </c>
      <c r="K3463" s="2" t="s">
        <v>36</v>
      </c>
      <c r="L3463" s="2" t="s">
        <v>32</v>
      </c>
      <c r="M3463" s="2" t="n">
        <v>192720</v>
      </c>
      <c r="N3463" s="2" t="n">
        <v>9</v>
      </c>
      <c r="O3463" s="2" t="n">
        <v>20</v>
      </c>
      <c r="P3463" s="2" t="n">
        <v>0</v>
      </c>
      <c r="Q3463" s="2" t="n">
        <v>18</v>
      </c>
      <c r="R3463" s="2" t="n">
        <v>2</v>
      </c>
      <c r="S3463" s="2" t="n">
        <v>10</v>
      </c>
      <c r="T3463" s="2" t="n">
        <v>2</v>
      </c>
      <c r="U3463" s="2" t="n">
        <v>7</v>
      </c>
      <c r="V3463" s="2" t="n">
        <v>1</v>
      </c>
      <c r="W3463" s="2" t="n">
        <v>3</v>
      </c>
      <c r="X3463" s="2" t="n">
        <v>4</v>
      </c>
      <c r="Y3463" s="2" t="n">
        <v>3</v>
      </c>
      <c r="Z3463" s="2" t="n">
        <v>4</v>
      </c>
    </row>
    <row r="3464" customFormat="false" ht="15" hidden="false" customHeight="true" outlineLevel="0" collapsed="false">
      <c r="A3464" s="2" t="n">
        <v>28</v>
      </c>
      <c r="B3464" s="2" t="s">
        <v>33</v>
      </c>
      <c r="C3464" s="2" t="s">
        <v>41</v>
      </c>
      <c r="D3464" s="2" t="s">
        <v>35</v>
      </c>
      <c r="E3464" s="2" t="n">
        <v>19</v>
      </c>
      <c r="F3464" s="2" t="n">
        <v>4</v>
      </c>
      <c r="G3464" s="2" t="s">
        <v>29</v>
      </c>
      <c r="H3464" s="2" t="n">
        <v>3463</v>
      </c>
      <c r="I3464" s="2" t="s">
        <v>30</v>
      </c>
      <c r="J3464" s="2" t="n">
        <v>4</v>
      </c>
      <c r="K3464" s="2" t="s">
        <v>45</v>
      </c>
      <c r="L3464" s="2" t="s">
        <v>37</v>
      </c>
      <c r="M3464" s="2" t="n">
        <v>52380</v>
      </c>
      <c r="N3464" s="2" t="n">
        <v>1</v>
      </c>
      <c r="O3464" s="2" t="n">
        <v>17</v>
      </c>
      <c r="P3464" s="2" t="n">
        <v>1</v>
      </c>
      <c r="Q3464" s="2" t="n">
        <v>10</v>
      </c>
      <c r="R3464" s="2" t="n">
        <v>4</v>
      </c>
      <c r="S3464" s="2" t="n">
        <v>10</v>
      </c>
      <c r="T3464" s="2" t="n">
        <v>1</v>
      </c>
      <c r="U3464" s="2" t="n">
        <v>9</v>
      </c>
      <c r="V3464" s="2" t="n">
        <v>2</v>
      </c>
      <c r="W3464" s="2" t="n">
        <v>1</v>
      </c>
      <c r="X3464" s="2" t="n">
        <v>2</v>
      </c>
      <c r="Y3464" s="2" t="n">
        <v>2</v>
      </c>
      <c r="Z3464" s="2" t="n">
        <v>3</v>
      </c>
    </row>
    <row r="3465" customFormat="false" ht="15" hidden="false" customHeight="true" outlineLevel="0" collapsed="false">
      <c r="A3465" s="2" t="n">
        <v>26</v>
      </c>
      <c r="B3465" s="2" t="s">
        <v>26</v>
      </c>
      <c r="C3465" s="2" t="s">
        <v>27</v>
      </c>
      <c r="D3465" s="2" t="s">
        <v>35</v>
      </c>
      <c r="E3465" s="2" t="n">
        <v>5</v>
      </c>
      <c r="F3465" s="2" t="n">
        <v>4</v>
      </c>
      <c r="G3465" s="2" t="s">
        <v>43</v>
      </c>
      <c r="H3465" s="2" t="n">
        <v>3464</v>
      </c>
      <c r="I3465" s="2" t="s">
        <v>30</v>
      </c>
      <c r="J3465" s="2" t="n">
        <v>2</v>
      </c>
      <c r="K3465" s="2" t="s">
        <v>40</v>
      </c>
      <c r="L3465" s="2" t="s">
        <v>32</v>
      </c>
      <c r="M3465" s="2" t="n">
        <v>46820</v>
      </c>
      <c r="N3465" s="2" t="n">
        <v>1</v>
      </c>
      <c r="O3465" s="2" t="n">
        <v>11</v>
      </c>
      <c r="P3465" s="2" t="n">
        <v>1</v>
      </c>
      <c r="Q3465" s="2" t="n">
        <v>6</v>
      </c>
      <c r="R3465" s="2" t="n">
        <v>3</v>
      </c>
      <c r="S3465" s="2" t="n">
        <v>5</v>
      </c>
      <c r="T3465" s="2" t="n">
        <v>1</v>
      </c>
      <c r="U3465" s="2" t="n">
        <v>3</v>
      </c>
      <c r="V3465" s="2" t="n">
        <v>1</v>
      </c>
      <c r="W3465" s="2" t="n">
        <v>1</v>
      </c>
      <c r="X3465" s="2" t="n">
        <v>3</v>
      </c>
      <c r="Y3465" s="2" t="n">
        <v>1</v>
      </c>
      <c r="Z3465" s="2" t="n">
        <v>3</v>
      </c>
    </row>
    <row r="3466" customFormat="false" ht="15" hidden="false" customHeight="true" outlineLevel="0" collapsed="false">
      <c r="A3466" s="2" t="n">
        <v>30</v>
      </c>
      <c r="B3466" s="2" t="s">
        <v>26</v>
      </c>
      <c r="C3466" s="2" t="s">
        <v>27</v>
      </c>
      <c r="D3466" s="2" t="s">
        <v>35</v>
      </c>
      <c r="E3466" s="2" t="n">
        <v>8</v>
      </c>
      <c r="F3466" s="2" t="n">
        <v>3</v>
      </c>
      <c r="G3466" s="2" t="s">
        <v>43</v>
      </c>
      <c r="H3466" s="2" t="n">
        <v>3465</v>
      </c>
      <c r="I3466" s="2" t="s">
        <v>30</v>
      </c>
      <c r="J3466" s="2" t="n">
        <v>1</v>
      </c>
      <c r="K3466" s="2" t="s">
        <v>40</v>
      </c>
      <c r="L3466" s="2" t="s">
        <v>32</v>
      </c>
      <c r="M3466" s="2" t="n">
        <v>183000</v>
      </c>
      <c r="N3466" s="2" t="n">
        <v>0</v>
      </c>
      <c r="O3466" s="2" t="n">
        <v>14</v>
      </c>
      <c r="P3466" s="2" t="n">
        <v>0</v>
      </c>
      <c r="Q3466" s="2" t="n">
        <v>7</v>
      </c>
      <c r="R3466" s="2" t="n">
        <v>6</v>
      </c>
      <c r="S3466" s="2" t="n">
        <v>6</v>
      </c>
      <c r="T3466" s="2" t="n">
        <v>0</v>
      </c>
      <c r="U3466" s="2" t="n">
        <v>2</v>
      </c>
      <c r="V3466" s="2" t="n">
        <v>3</v>
      </c>
      <c r="W3466" s="2" t="n">
        <v>1</v>
      </c>
      <c r="X3466" s="2" t="n">
        <v>2</v>
      </c>
      <c r="Y3466" s="2" t="n">
        <v>3</v>
      </c>
      <c r="Z3466" s="2" t="n">
        <v>3</v>
      </c>
    </row>
    <row r="3467" customFormat="false" ht="15" hidden="false" customHeight="true" outlineLevel="0" collapsed="false">
      <c r="A3467" s="2" t="n">
        <v>41</v>
      </c>
      <c r="B3467" s="2" t="s">
        <v>26</v>
      </c>
      <c r="C3467" s="2" t="s">
        <v>27</v>
      </c>
      <c r="D3467" s="2" t="s">
        <v>28</v>
      </c>
      <c r="E3467" s="2" t="n">
        <v>1</v>
      </c>
      <c r="F3467" s="2" t="n">
        <v>4</v>
      </c>
      <c r="G3467" s="2" t="s">
        <v>29</v>
      </c>
      <c r="H3467" s="2" t="n">
        <v>3466</v>
      </c>
      <c r="I3467" s="2" t="s">
        <v>30</v>
      </c>
      <c r="J3467" s="2" t="n">
        <v>1</v>
      </c>
      <c r="K3467" s="2" t="s">
        <v>44</v>
      </c>
      <c r="L3467" s="2" t="s">
        <v>32</v>
      </c>
      <c r="M3467" s="2" t="n">
        <v>52570</v>
      </c>
      <c r="N3467" s="2" t="n">
        <v>1</v>
      </c>
      <c r="O3467" s="2" t="n">
        <v>14</v>
      </c>
      <c r="P3467" s="2" t="n">
        <v>0</v>
      </c>
      <c r="Q3467" s="2" t="n">
        <v>10</v>
      </c>
      <c r="R3467" s="2" t="n">
        <v>2</v>
      </c>
      <c r="S3467" s="2" t="n">
        <v>10</v>
      </c>
      <c r="T3467" s="2" t="n">
        <v>0</v>
      </c>
      <c r="U3467" s="2" t="n">
        <v>8</v>
      </c>
      <c r="V3467" s="2" t="n">
        <v>2</v>
      </c>
      <c r="W3467" s="2" t="n">
        <v>3</v>
      </c>
      <c r="X3467" s="2" t="n">
        <v>3</v>
      </c>
      <c r="Y3467" s="2" t="n">
        <v>4</v>
      </c>
      <c r="Z3467" s="2" t="n">
        <v>3</v>
      </c>
    </row>
    <row r="3468" customFormat="false" ht="15" hidden="false" customHeight="true" outlineLevel="0" collapsed="false">
      <c r="A3468" s="2" t="n">
        <v>38</v>
      </c>
      <c r="B3468" s="2" t="s">
        <v>26</v>
      </c>
      <c r="C3468" s="2" t="s">
        <v>27</v>
      </c>
      <c r="D3468" s="2" t="s">
        <v>35</v>
      </c>
      <c r="E3468" s="2" t="n">
        <v>5</v>
      </c>
      <c r="F3468" s="2" t="n">
        <v>3</v>
      </c>
      <c r="G3468" s="2" t="s">
        <v>51</v>
      </c>
      <c r="H3468" s="2" t="n">
        <v>3467</v>
      </c>
      <c r="I3468" s="2" t="s">
        <v>39</v>
      </c>
      <c r="J3468" s="2" t="n">
        <v>1</v>
      </c>
      <c r="K3468" s="2" t="s">
        <v>40</v>
      </c>
      <c r="L3468" s="2" t="s">
        <v>32</v>
      </c>
      <c r="M3468" s="2" t="n">
        <v>63490</v>
      </c>
      <c r="N3468" s="2" t="n">
        <v>0</v>
      </c>
      <c r="O3468" s="2" t="n">
        <v>11</v>
      </c>
      <c r="P3468" s="2" t="n">
        <v>0</v>
      </c>
      <c r="Q3468" s="2" t="n">
        <v>20</v>
      </c>
      <c r="R3468" s="2" t="n">
        <v>3</v>
      </c>
      <c r="S3468" s="2" t="n">
        <v>19</v>
      </c>
      <c r="T3468" s="2" t="n">
        <v>1</v>
      </c>
      <c r="U3468" s="2" t="n">
        <v>9</v>
      </c>
      <c r="V3468" s="2" t="n">
        <v>3</v>
      </c>
      <c r="W3468" s="2" t="n">
        <v>3</v>
      </c>
      <c r="X3468" s="2" t="n">
        <v>2</v>
      </c>
      <c r="Y3468" s="2" t="n">
        <v>3</v>
      </c>
      <c r="Z3468" s="2" t="n">
        <v>3</v>
      </c>
    </row>
    <row r="3469" customFormat="false" ht="15" hidden="false" customHeight="true" outlineLevel="0" collapsed="false">
      <c r="A3469" s="2" t="n">
        <v>40</v>
      </c>
      <c r="B3469" s="2" t="s">
        <v>26</v>
      </c>
      <c r="C3469" s="2" t="s">
        <v>27</v>
      </c>
      <c r="D3469" s="2" t="s">
        <v>28</v>
      </c>
      <c r="E3469" s="2" t="n">
        <v>1</v>
      </c>
      <c r="F3469" s="2" t="n">
        <v>4</v>
      </c>
      <c r="G3469" s="2" t="s">
        <v>50</v>
      </c>
      <c r="H3469" s="2" t="n">
        <v>3468</v>
      </c>
      <c r="I3469" s="2" t="s">
        <v>39</v>
      </c>
      <c r="J3469" s="2" t="n">
        <v>1</v>
      </c>
      <c r="K3469" s="2" t="s">
        <v>40</v>
      </c>
      <c r="L3469" s="2" t="s">
        <v>32</v>
      </c>
      <c r="M3469" s="2" t="n">
        <v>48690</v>
      </c>
      <c r="N3469" s="2" t="n">
        <v>4</v>
      </c>
      <c r="O3469" s="2" t="n">
        <v>12</v>
      </c>
      <c r="P3469" s="2" t="n">
        <v>0</v>
      </c>
      <c r="Q3469" s="2" t="n">
        <v>14</v>
      </c>
      <c r="R3469" s="2" t="n">
        <v>2</v>
      </c>
      <c r="S3469" s="2" t="n">
        <v>11</v>
      </c>
      <c r="T3469" s="2" t="n">
        <v>11</v>
      </c>
      <c r="U3469" s="2" t="n">
        <v>1</v>
      </c>
      <c r="V3469" s="2" t="n">
        <v>1</v>
      </c>
      <c r="W3469" s="2" t="n">
        <v>4</v>
      </c>
      <c r="X3469" s="2" t="n">
        <v>3</v>
      </c>
      <c r="Y3469" s="2" t="n">
        <v>3</v>
      </c>
      <c r="Z3469" s="2" t="n">
        <v>3</v>
      </c>
    </row>
    <row r="3470" customFormat="false" ht="15" hidden="false" customHeight="true" outlineLevel="0" collapsed="false">
      <c r="A3470" s="2" t="n">
        <v>27</v>
      </c>
      <c r="B3470" s="2" t="s">
        <v>26</v>
      </c>
      <c r="C3470" s="2" t="s">
        <v>41</v>
      </c>
      <c r="D3470" s="2" t="s">
        <v>28</v>
      </c>
      <c r="E3470" s="2" t="n">
        <v>11</v>
      </c>
      <c r="F3470" s="2" t="n">
        <v>3</v>
      </c>
      <c r="G3470" s="2" t="s">
        <v>51</v>
      </c>
      <c r="H3470" s="2" t="n">
        <v>3469</v>
      </c>
      <c r="I3470" s="2" t="s">
        <v>30</v>
      </c>
      <c r="J3470" s="2" t="n">
        <v>2</v>
      </c>
      <c r="K3470" s="2" t="s">
        <v>45</v>
      </c>
      <c r="L3470" s="2" t="s">
        <v>32</v>
      </c>
      <c r="M3470" s="2" t="n">
        <v>99850</v>
      </c>
      <c r="N3470" s="2" t="n">
        <v>1</v>
      </c>
      <c r="O3470" s="2" t="n">
        <v>14</v>
      </c>
      <c r="P3470" s="2" t="n">
        <v>1</v>
      </c>
      <c r="Q3470" s="2" t="n">
        <v>3</v>
      </c>
      <c r="R3470" s="2" t="n">
        <v>3</v>
      </c>
      <c r="S3470" s="2" t="n">
        <v>3</v>
      </c>
      <c r="T3470" s="2" t="n">
        <v>1</v>
      </c>
      <c r="U3470" s="2" t="n">
        <v>2</v>
      </c>
      <c r="V3470" s="2" t="n">
        <v>1</v>
      </c>
      <c r="W3470" s="2" t="n">
        <v>3</v>
      </c>
      <c r="X3470" s="2" t="n">
        <v>3</v>
      </c>
      <c r="Y3470" s="2" t="n">
        <v>2</v>
      </c>
      <c r="Z3470" s="2" t="n">
        <v>3</v>
      </c>
    </row>
    <row r="3471" customFormat="false" ht="15" hidden="false" customHeight="true" outlineLevel="0" collapsed="false">
      <c r="A3471" s="2" t="n">
        <v>55</v>
      </c>
      <c r="B3471" s="2" t="s">
        <v>26</v>
      </c>
      <c r="C3471" s="2" t="s">
        <v>34</v>
      </c>
      <c r="D3471" s="2" t="s">
        <v>35</v>
      </c>
      <c r="E3471" s="2" t="n">
        <v>23</v>
      </c>
      <c r="F3471" s="2" t="n">
        <v>5</v>
      </c>
      <c r="G3471" s="2" t="s">
        <v>29</v>
      </c>
      <c r="H3471" s="2" t="n">
        <v>3470</v>
      </c>
      <c r="I3471" s="2" t="s">
        <v>39</v>
      </c>
      <c r="J3471" s="2" t="n">
        <v>3</v>
      </c>
      <c r="K3471" s="2" t="s">
        <v>45</v>
      </c>
      <c r="L3471" s="2" t="s">
        <v>32</v>
      </c>
      <c r="M3471" s="2" t="n">
        <v>36970</v>
      </c>
      <c r="N3471" s="2" t="n">
        <v>3</v>
      </c>
      <c r="O3471" s="2" t="n">
        <v>13</v>
      </c>
      <c r="P3471" s="2" t="n">
        <v>1</v>
      </c>
      <c r="Q3471" s="2" t="n">
        <v>23</v>
      </c>
      <c r="R3471" s="2" t="n">
        <v>1</v>
      </c>
      <c r="S3471" s="2" t="n">
        <v>3</v>
      </c>
      <c r="T3471" s="2" t="n">
        <v>1</v>
      </c>
      <c r="U3471" s="2" t="n">
        <v>2</v>
      </c>
      <c r="V3471" s="2" t="n">
        <v>4</v>
      </c>
      <c r="W3471" s="2" t="n">
        <v>2</v>
      </c>
      <c r="X3471" s="2" t="n">
        <v>3</v>
      </c>
      <c r="Y3471" s="2" t="n">
        <v>3</v>
      </c>
      <c r="Z3471" s="2" t="n">
        <v>3</v>
      </c>
    </row>
    <row r="3472" customFormat="false" ht="15" hidden="false" customHeight="true" outlineLevel="0" collapsed="false">
      <c r="A3472" s="2" t="n">
        <v>28</v>
      </c>
      <c r="B3472" s="2" t="s">
        <v>26</v>
      </c>
      <c r="C3472" s="2" t="s">
        <v>27</v>
      </c>
      <c r="D3472" s="2" t="s">
        <v>35</v>
      </c>
      <c r="E3472" s="2" t="n">
        <v>1</v>
      </c>
      <c r="F3472" s="2" t="n">
        <v>3</v>
      </c>
      <c r="G3472" s="2" t="s">
        <v>29</v>
      </c>
      <c r="H3472" s="2" t="n">
        <v>3471</v>
      </c>
      <c r="I3472" s="2" t="s">
        <v>39</v>
      </c>
      <c r="J3472" s="2" t="n">
        <v>2</v>
      </c>
      <c r="K3472" s="2" t="s">
        <v>31</v>
      </c>
      <c r="L3472" s="2" t="s">
        <v>37</v>
      </c>
      <c r="M3472" s="2" t="n">
        <v>74570</v>
      </c>
      <c r="N3472" s="2" t="n">
        <v>3</v>
      </c>
      <c r="O3472" s="2" t="n">
        <v>11</v>
      </c>
      <c r="P3472" s="2" t="n">
        <v>2</v>
      </c>
      <c r="Q3472" s="2" t="n">
        <v>10</v>
      </c>
      <c r="R3472" s="2" t="n">
        <v>1</v>
      </c>
      <c r="S3472" s="2" t="n">
        <v>8</v>
      </c>
      <c r="T3472" s="2" t="n">
        <v>1</v>
      </c>
      <c r="U3472" s="2" t="n">
        <v>7</v>
      </c>
      <c r="V3472" s="2" t="n">
        <v>3</v>
      </c>
      <c r="W3472" s="2" t="n">
        <v>3</v>
      </c>
      <c r="X3472" s="2" t="n">
        <v>4</v>
      </c>
      <c r="Y3472" s="2" t="n">
        <v>4</v>
      </c>
      <c r="Z3472" s="2" t="n">
        <v>3</v>
      </c>
    </row>
    <row r="3473" customFormat="false" ht="15" hidden="false" customHeight="true" outlineLevel="0" collapsed="false">
      <c r="A3473" s="2" t="n">
        <v>44</v>
      </c>
      <c r="B3473" s="2" t="s">
        <v>33</v>
      </c>
      <c r="C3473" s="2" t="s">
        <v>27</v>
      </c>
      <c r="D3473" s="2" t="s">
        <v>35</v>
      </c>
      <c r="E3473" s="2" t="n">
        <v>18</v>
      </c>
      <c r="F3473" s="2" t="n">
        <v>4</v>
      </c>
      <c r="G3473" s="2" t="s">
        <v>29</v>
      </c>
      <c r="H3473" s="2" t="n">
        <v>3472</v>
      </c>
      <c r="I3473" s="2" t="s">
        <v>30</v>
      </c>
      <c r="J3473" s="2" t="n">
        <v>2</v>
      </c>
      <c r="K3473" s="2" t="s">
        <v>40</v>
      </c>
      <c r="L3473" s="2" t="s">
        <v>32</v>
      </c>
      <c r="M3473" s="2" t="n">
        <v>21190</v>
      </c>
      <c r="N3473" s="2" t="n">
        <v>9</v>
      </c>
      <c r="O3473" s="2" t="n">
        <v>15</v>
      </c>
      <c r="P3473" s="2" t="n">
        <v>0</v>
      </c>
      <c r="Q3473" s="2" t="n">
        <v>24</v>
      </c>
      <c r="R3473" s="2" t="n">
        <v>3</v>
      </c>
      <c r="S3473" s="2" t="n">
        <v>20</v>
      </c>
      <c r="T3473" s="2" t="n">
        <v>3</v>
      </c>
      <c r="U3473" s="2" t="n">
        <v>6</v>
      </c>
      <c r="V3473" s="2" t="n">
        <v>2</v>
      </c>
      <c r="W3473" s="2" t="n">
        <v>1</v>
      </c>
      <c r="X3473" s="2" t="n">
        <v>3</v>
      </c>
      <c r="Y3473" s="2" t="n">
        <v>3</v>
      </c>
      <c r="Z3473" s="2" t="n">
        <v>3</v>
      </c>
    </row>
    <row r="3474" customFormat="false" ht="15" hidden="false" customHeight="true" outlineLevel="0" collapsed="false">
      <c r="A3474" s="2" t="n">
        <v>33</v>
      </c>
      <c r="B3474" s="2" t="s">
        <v>26</v>
      </c>
      <c r="C3474" s="2" t="s">
        <v>27</v>
      </c>
      <c r="D3474" s="2" t="s">
        <v>28</v>
      </c>
      <c r="E3474" s="2" t="n">
        <v>23</v>
      </c>
      <c r="F3474" s="2" t="n">
        <v>4</v>
      </c>
      <c r="G3474" s="2" t="s">
        <v>50</v>
      </c>
      <c r="H3474" s="2" t="n">
        <v>3473</v>
      </c>
      <c r="I3474" s="2" t="s">
        <v>30</v>
      </c>
      <c r="J3474" s="2" t="n">
        <v>4</v>
      </c>
      <c r="K3474" s="2" t="s">
        <v>40</v>
      </c>
      <c r="L3474" s="2" t="s">
        <v>46</v>
      </c>
      <c r="M3474" s="2" t="n">
        <v>39830</v>
      </c>
      <c r="N3474" s="2" t="n">
        <v>4</v>
      </c>
      <c r="O3474" s="2" t="n">
        <v>12</v>
      </c>
      <c r="P3474" s="2" t="n">
        <v>0</v>
      </c>
      <c r="Q3474" s="2" t="n">
        <v>9</v>
      </c>
      <c r="R3474" s="2" t="n">
        <v>3</v>
      </c>
      <c r="S3474" s="2" t="n">
        <v>3</v>
      </c>
      <c r="T3474" s="2" t="n">
        <v>1</v>
      </c>
      <c r="U3474" s="2" t="n">
        <v>2</v>
      </c>
      <c r="V3474" s="2" t="n">
        <v>4</v>
      </c>
      <c r="W3474" s="2" t="n">
        <v>4</v>
      </c>
      <c r="X3474" s="2" t="n">
        <v>3</v>
      </c>
      <c r="Y3474" s="2" t="n">
        <v>3</v>
      </c>
      <c r="Z3474" s="2" t="n">
        <v>3</v>
      </c>
    </row>
    <row r="3475" customFormat="false" ht="15" hidden="false" customHeight="true" outlineLevel="0" collapsed="false">
      <c r="A3475" s="2" t="n">
        <v>35</v>
      </c>
      <c r="B3475" s="2" t="s">
        <v>33</v>
      </c>
      <c r="C3475" s="2" t="s">
        <v>27</v>
      </c>
      <c r="D3475" s="2" t="s">
        <v>28</v>
      </c>
      <c r="E3475" s="2" t="n">
        <v>7</v>
      </c>
      <c r="F3475" s="2" t="n">
        <v>4</v>
      </c>
      <c r="G3475" s="2" t="s">
        <v>29</v>
      </c>
      <c r="H3475" s="2" t="n">
        <v>3474</v>
      </c>
      <c r="I3475" s="2" t="s">
        <v>39</v>
      </c>
      <c r="J3475" s="2" t="n">
        <v>3</v>
      </c>
      <c r="K3475" s="2" t="s">
        <v>48</v>
      </c>
      <c r="L3475" s="2" t="s">
        <v>37</v>
      </c>
      <c r="M3475" s="2" t="n">
        <v>61180</v>
      </c>
      <c r="N3475" s="2" t="n">
        <v>0</v>
      </c>
      <c r="O3475" s="2" t="n">
        <v>21</v>
      </c>
      <c r="P3475" s="2" t="n">
        <v>1</v>
      </c>
      <c r="Q3475" s="2" t="n">
        <v>9</v>
      </c>
      <c r="R3475" s="2" t="n">
        <v>3</v>
      </c>
      <c r="S3475" s="2" t="n">
        <v>8</v>
      </c>
      <c r="T3475" s="2" t="n">
        <v>4</v>
      </c>
      <c r="U3475" s="2" t="n">
        <v>7</v>
      </c>
      <c r="V3475" s="2" t="n">
        <v>4</v>
      </c>
      <c r="W3475" s="2" t="n">
        <v>1</v>
      </c>
      <c r="X3475" s="2" t="n">
        <v>3</v>
      </c>
      <c r="Y3475" s="2" t="n">
        <v>2</v>
      </c>
      <c r="Z3475" s="2" t="n">
        <v>4</v>
      </c>
    </row>
    <row r="3476" customFormat="false" ht="15" hidden="false" customHeight="true" outlineLevel="0" collapsed="false">
      <c r="A3476" s="2" t="n">
        <v>33</v>
      </c>
      <c r="B3476" s="2" t="s">
        <v>33</v>
      </c>
      <c r="C3476" s="2" t="s">
        <v>34</v>
      </c>
      <c r="D3476" s="2" t="s">
        <v>35</v>
      </c>
      <c r="E3476" s="2" t="n">
        <v>1</v>
      </c>
      <c r="F3476" s="2" t="n">
        <v>2</v>
      </c>
      <c r="G3476" s="2" t="s">
        <v>29</v>
      </c>
      <c r="H3476" s="2" t="n">
        <v>3475</v>
      </c>
      <c r="I3476" s="2" t="s">
        <v>30</v>
      </c>
      <c r="J3476" s="2" t="n">
        <v>1</v>
      </c>
      <c r="K3476" s="2" t="s">
        <v>40</v>
      </c>
      <c r="L3476" s="2" t="s">
        <v>37</v>
      </c>
      <c r="M3476" s="2" t="n">
        <v>62140</v>
      </c>
      <c r="N3476" s="2" t="n">
        <v>1</v>
      </c>
      <c r="O3476" s="2" t="n">
        <v>19</v>
      </c>
      <c r="P3476" s="2" t="n">
        <v>2</v>
      </c>
      <c r="Q3476" s="2" t="n">
        <v>14</v>
      </c>
      <c r="R3476" s="2" t="n">
        <v>3</v>
      </c>
      <c r="S3476" s="2" t="n">
        <v>13</v>
      </c>
      <c r="T3476" s="2" t="n">
        <v>3</v>
      </c>
      <c r="U3476" s="2" t="n">
        <v>8</v>
      </c>
      <c r="V3476" s="2" t="n">
        <v>1</v>
      </c>
      <c r="W3476" s="2" t="n">
        <v>3</v>
      </c>
      <c r="X3476" s="2" t="n">
        <v>3</v>
      </c>
      <c r="Y3476" s="2" t="n">
        <v>3</v>
      </c>
      <c r="Z3476" s="2" t="n">
        <v>3</v>
      </c>
    </row>
    <row r="3477" customFormat="false" ht="15" hidden="false" customHeight="true" outlineLevel="0" collapsed="false">
      <c r="A3477" s="2" t="n">
        <v>28</v>
      </c>
      <c r="B3477" s="2" t="s">
        <v>26</v>
      </c>
      <c r="C3477" s="2" t="s">
        <v>27</v>
      </c>
      <c r="D3477" s="2" t="s">
        <v>42</v>
      </c>
      <c r="E3477" s="2" t="n">
        <v>1</v>
      </c>
      <c r="F3477" s="2" t="n">
        <v>1</v>
      </c>
      <c r="G3477" s="2" t="s">
        <v>42</v>
      </c>
      <c r="H3477" s="2" t="n">
        <v>3476</v>
      </c>
      <c r="I3477" s="2" t="s">
        <v>39</v>
      </c>
      <c r="J3477" s="2" t="n">
        <v>2</v>
      </c>
      <c r="K3477" s="2" t="s">
        <v>36</v>
      </c>
      <c r="L3477" s="2" t="s">
        <v>46</v>
      </c>
      <c r="M3477" s="2" t="n">
        <v>63470</v>
      </c>
      <c r="N3477" s="2" t="n">
        <v>1</v>
      </c>
      <c r="O3477" s="2" t="n">
        <v>15</v>
      </c>
      <c r="P3477" s="2" t="n">
        <v>1</v>
      </c>
      <c r="Q3477" s="2" t="n">
        <v>4</v>
      </c>
      <c r="R3477" s="2" t="n">
        <v>2</v>
      </c>
      <c r="S3477" s="2" t="n">
        <v>4</v>
      </c>
      <c r="T3477" s="2" t="n">
        <v>2</v>
      </c>
      <c r="U3477" s="2" t="n">
        <v>2</v>
      </c>
      <c r="V3477" s="2" t="n">
        <v>1</v>
      </c>
      <c r="W3477" s="2" t="n">
        <v>3</v>
      </c>
      <c r="X3477" s="2" t="n">
        <v>2</v>
      </c>
      <c r="Y3477" s="2" t="n">
        <v>3</v>
      </c>
      <c r="Z3477" s="2" t="n">
        <v>3</v>
      </c>
    </row>
    <row r="3478" customFormat="false" ht="15" hidden="false" customHeight="true" outlineLevel="0" collapsed="false">
      <c r="A3478" s="2" t="n">
        <v>34</v>
      </c>
      <c r="B3478" s="2" t="s">
        <v>26</v>
      </c>
      <c r="C3478" s="2" t="s">
        <v>34</v>
      </c>
      <c r="D3478" s="2" t="s">
        <v>28</v>
      </c>
      <c r="E3478" s="2" t="n">
        <v>29</v>
      </c>
      <c r="F3478" s="2" t="n">
        <v>4</v>
      </c>
      <c r="G3478" s="2" t="s">
        <v>50</v>
      </c>
      <c r="H3478" s="2" t="n">
        <v>3477</v>
      </c>
      <c r="I3478" s="2" t="s">
        <v>39</v>
      </c>
      <c r="J3478" s="2" t="n">
        <v>1</v>
      </c>
      <c r="K3478" s="2" t="s">
        <v>36</v>
      </c>
      <c r="L3478" s="2" t="s">
        <v>37</v>
      </c>
      <c r="M3478" s="2" t="n">
        <v>115100</v>
      </c>
      <c r="N3478" s="2" t="n">
        <v>0</v>
      </c>
      <c r="O3478" s="2" t="n">
        <v>14</v>
      </c>
      <c r="P3478" s="2" t="n">
        <v>1</v>
      </c>
      <c r="Q3478" s="2" t="n">
        <v>7</v>
      </c>
      <c r="R3478" s="2" t="n">
        <v>5</v>
      </c>
      <c r="S3478" s="2" t="n">
        <v>6</v>
      </c>
      <c r="T3478" s="2" t="n">
        <v>0</v>
      </c>
      <c r="U3478" s="2" t="n">
        <v>4</v>
      </c>
      <c r="V3478" s="2" t="n">
        <v>1</v>
      </c>
      <c r="W3478" s="2" t="n">
        <v>4</v>
      </c>
      <c r="X3478" s="2" t="n">
        <v>2</v>
      </c>
      <c r="Y3478" s="2" t="n">
        <v>3</v>
      </c>
      <c r="Z3478" s="2" t="n">
        <v>3</v>
      </c>
    </row>
    <row r="3479" customFormat="false" ht="15" hidden="false" customHeight="true" outlineLevel="0" collapsed="false">
      <c r="A3479" s="2" t="n">
        <v>37</v>
      </c>
      <c r="B3479" s="2" t="s">
        <v>26</v>
      </c>
      <c r="C3479" s="2" t="s">
        <v>27</v>
      </c>
      <c r="D3479" s="2" t="s">
        <v>35</v>
      </c>
      <c r="E3479" s="2" t="n">
        <v>7</v>
      </c>
      <c r="F3479" s="2" t="n">
        <v>4</v>
      </c>
      <c r="G3479" s="2" t="s">
        <v>29</v>
      </c>
      <c r="H3479" s="2" t="n">
        <v>3478</v>
      </c>
      <c r="I3479" s="2" t="s">
        <v>39</v>
      </c>
      <c r="J3479" s="2" t="n">
        <v>4</v>
      </c>
      <c r="K3479" s="2" t="s">
        <v>40</v>
      </c>
      <c r="L3479" s="2" t="s">
        <v>46</v>
      </c>
      <c r="M3479" s="2" t="n">
        <v>71430</v>
      </c>
      <c r="N3479" s="2" t="n">
        <v>2</v>
      </c>
      <c r="O3479" s="2" t="n">
        <v>21</v>
      </c>
      <c r="P3479" s="2" t="n">
        <v>0</v>
      </c>
      <c r="Q3479" s="2" t="n">
        <v>8</v>
      </c>
      <c r="R3479" s="2" t="n">
        <v>6</v>
      </c>
      <c r="S3479" s="2" t="n">
        <v>1</v>
      </c>
      <c r="T3479" s="2" t="n">
        <v>0</v>
      </c>
      <c r="U3479" s="2" t="n">
        <v>0</v>
      </c>
      <c r="V3479" s="2" t="n">
        <v>4</v>
      </c>
      <c r="W3479" s="2" t="n">
        <v>4</v>
      </c>
      <c r="X3479" s="2" t="n">
        <v>3</v>
      </c>
      <c r="Y3479" s="2" t="n">
        <v>2</v>
      </c>
      <c r="Z3479" s="2" t="n">
        <v>4</v>
      </c>
    </row>
    <row r="3480" customFormat="false" ht="15" hidden="false" customHeight="true" outlineLevel="0" collapsed="false">
      <c r="A3480" s="2" t="n">
        <v>25</v>
      </c>
      <c r="B3480" s="2" t="s">
        <v>33</v>
      </c>
      <c r="C3480" s="2" t="s">
        <v>27</v>
      </c>
      <c r="D3480" s="2" t="s">
        <v>42</v>
      </c>
      <c r="E3480" s="2" t="n">
        <v>25</v>
      </c>
      <c r="F3480" s="2" t="n">
        <v>4</v>
      </c>
      <c r="G3480" s="2" t="s">
        <v>42</v>
      </c>
      <c r="H3480" s="2" t="n">
        <v>3479</v>
      </c>
      <c r="I3480" s="2" t="s">
        <v>30</v>
      </c>
      <c r="J3480" s="2" t="n">
        <v>2</v>
      </c>
      <c r="K3480" s="2" t="s">
        <v>36</v>
      </c>
      <c r="L3480" s="2" t="s">
        <v>32</v>
      </c>
      <c r="M3480" s="2" t="n">
        <v>82680</v>
      </c>
      <c r="N3480" s="2" t="n">
        <v>1</v>
      </c>
      <c r="O3480" s="2" t="n">
        <v>12</v>
      </c>
      <c r="P3480" s="2" t="n">
        <v>0</v>
      </c>
      <c r="Q3480" s="2" t="n">
        <v>7</v>
      </c>
      <c r="R3480" s="2" t="n">
        <v>3</v>
      </c>
      <c r="S3480" s="2" t="n">
        <v>7</v>
      </c>
      <c r="T3480" s="2" t="n">
        <v>5</v>
      </c>
      <c r="U3480" s="2" t="n">
        <v>6</v>
      </c>
      <c r="V3480" s="2" t="n">
        <v>4</v>
      </c>
      <c r="W3480" s="2" t="n">
        <v>4</v>
      </c>
      <c r="X3480" s="2" t="n">
        <v>4</v>
      </c>
      <c r="Y3480" s="2" t="n">
        <v>2</v>
      </c>
      <c r="Z3480" s="2" t="n">
        <v>3</v>
      </c>
    </row>
    <row r="3481" customFormat="false" ht="15" hidden="false" customHeight="true" outlineLevel="0" collapsed="false">
      <c r="A3481" s="2" t="n">
        <v>26</v>
      </c>
      <c r="B3481" s="2" t="s">
        <v>33</v>
      </c>
      <c r="C3481" s="2" t="s">
        <v>27</v>
      </c>
      <c r="D3481" s="2" t="s">
        <v>28</v>
      </c>
      <c r="E3481" s="2" t="n">
        <v>8</v>
      </c>
      <c r="F3481" s="2" t="n">
        <v>2</v>
      </c>
      <c r="G3481" s="2" t="s">
        <v>50</v>
      </c>
      <c r="H3481" s="2" t="n">
        <v>3480</v>
      </c>
      <c r="I3481" s="2" t="s">
        <v>39</v>
      </c>
      <c r="J3481" s="2" t="n">
        <v>2</v>
      </c>
      <c r="K3481" s="2" t="s">
        <v>40</v>
      </c>
      <c r="L3481" s="2" t="s">
        <v>46</v>
      </c>
      <c r="M3481" s="2" t="n">
        <v>80950</v>
      </c>
      <c r="N3481" s="2" t="n">
        <v>1</v>
      </c>
      <c r="O3481" s="2" t="n">
        <v>15</v>
      </c>
      <c r="P3481" s="2" t="n">
        <v>0</v>
      </c>
      <c r="Q3481" s="2" t="n">
        <v>1</v>
      </c>
      <c r="R3481" s="2" t="n">
        <v>3</v>
      </c>
      <c r="S3481" s="2" t="n">
        <v>1</v>
      </c>
      <c r="T3481" s="2" t="n">
        <v>0</v>
      </c>
      <c r="U3481" s="2" t="n">
        <v>0</v>
      </c>
      <c r="V3481" s="2" t="n">
        <v>1</v>
      </c>
      <c r="W3481" s="2" t="n">
        <v>3</v>
      </c>
      <c r="X3481" s="2" t="n">
        <v>2</v>
      </c>
      <c r="Y3481" s="2" t="n">
        <v>4</v>
      </c>
      <c r="Z3481" s="2" t="n">
        <v>3</v>
      </c>
    </row>
    <row r="3482" customFormat="false" ht="15" hidden="false" customHeight="true" outlineLevel="0" collapsed="false">
      <c r="A3482" s="2" t="n">
        <v>33</v>
      </c>
      <c r="B3482" s="2" t="s">
        <v>33</v>
      </c>
      <c r="C3482" s="2" t="s">
        <v>27</v>
      </c>
      <c r="D3482" s="2" t="s">
        <v>35</v>
      </c>
      <c r="E3482" s="2" t="n">
        <v>8</v>
      </c>
      <c r="F3482" s="2" t="n">
        <v>2</v>
      </c>
      <c r="G3482" s="2" t="s">
        <v>29</v>
      </c>
      <c r="H3482" s="2" t="n">
        <v>3481</v>
      </c>
      <c r="I3482" s="2" t="s">
        <v>39</v>
      </c>
      <c r="J3482" s="2" t="n">
        <v>4</v>
      </c>
      <c r="K3482" s="2" t="s">
        <v>47</v>
      </c>
      <c r="L3482" s="2" t="s">
        <v>37</v>
      </c>
      <c r="M3482" s="2" t="n">
        <v>29040</v>
      </c>
      <c r="N3482" s="2" t="n">
        <v>4</v>
      </c>
      <c r="O3482" s="2" t="n">
        <v>13</v>
      </c>
      <c r="P3482" s="2" t="n">
        <v>0</v>
      </c>
      <c r="Q3482" s="2" t="n">
        <v>5</v>
      </c>
      <c r="R3482" s="2" t="n">
        <v>2</v>
      </c>
      <c r="S3482" s="2" t="n">
        <v>2</v>
      </c>
      <c r="T3482" s="2" t="n">
        <v>2</v>
      </c>
      <c r="U3482" s="2" t="n">
        <v>2</v>
      </c>
      <c r="V3482" s="2" t="n">
        <v>1</v>
      </c>
      <c r="W3482" s="2" t="n">
        <v>2</v>
      </c>
      <c r="X3482" s="2" t="n">
        <v>3</v>
      </c>
      <c r="Y3482" s="2" t="n">
        <v>3</v>
      </c>
      <c r="Z3482" s="2" t="n">
        <v>3</v>
      </c>
    </row>
    <row r="3483" customFormat="false" ht="15" hidden="false" customHeight="true" outlineLevel="0" collapsed="false">
      <c r="A3483" s="2" t="n">
        <v>42</v>
      </c>
      <c r="B3483" s="2" t="s">
        <v>26</v>
      </c>
      <c r="C3483" s="2" t="s">
        <v>27</v>
      </c>
      <c r="D3483" s="2" t="s">
        <v>35</v>
      </c>
      <c r="E3483" s="2" t="n">
        <v>11</v>
      </c>
      <c r="F3483" s="2" t="n">
        <v>1</v>
      </c>
      <c r="G3483" s="2" t="s">
        <v>29</v>
      </c>
      <c r="H3483" s="2" t="n">
        <v>3482</v>
      </c>
      <c r="I3483" s="2" t="s">
        <v>39</v>
      </c>
      <c r="J3483" s="2" t="n">
        <v>4</v>
      </c>
      <c r="K3483" s="2" t="s">
        <v>36</v>
      </c>
      <c r="L3483" s="2" t="s">
        <v>32</v>
      </c>
      <c r="M3483" s="2" t="n">
        <v>60320</v>
      </c>
      <c r="N3483" s="2" t="n">
        <v>0</v>
      </c>
      <c r="O3483" s="2" t="n">
        <v>14</v>
      </c>
      <c r="P3483" s="2" t="n">
        <v>0</v>
      </c>
      <c r="Q3483" s="2" t="n">
        <v>23</v>
      </c>
      <c r="R3483" s="2" t="n">
        <v>2</v>
      </c>
      <c r="S3483" s="2" t="n">
        <v>22</v>
      </c>
      <c r="T3483" s="2" t="n">
        <v>13</v>
      </c>
      <c r="U3483" s="2" t="n">
        <v>7</v>
      </c>
      <c r="V3483" s="2" t="n">
        <v>4</v>
      </c>
      <c r="W3483" s="2" t="n">
        <v>1</v>
      </c>
      <c r="X3483" s="2" t="n">
        <v>3</v>
      </c>
      <c r="Y3483" s="2" t="n">
        <v>2</v>
      </c>
      <c r="Z3483" s="2" t="n">
        <v>3</v>
      </c>
    </row>
    <row r="3484" customFormat="false" ht="15" hidden="false" customHeight="true" outlineLevel="0" collapsed="false">
      <c r="A3484" s="2" t="n">
        <v>28</v>
      </c>
      <c r="B3484" s="2" t="s">
        <v>33</v>
      </c>
      <c r="C3484" s="2" t="s">
        <v>34</v>
      </c>
      <c r="D3484" s="2" t="s">
        <v>35</v>
      </c>
      <c r="E3484" s="2" t="n">
        <v>7</v>
      </c>
      <c r="F3484" s="2" t="n">
        <v>3</v>
      </c>
      <c r="G3484" s="2" t="s">
        <v>29</v>
      </c>
      <c r="H3484" s="2" t="n">
        <v>3483</v>
      </c>
      <c r="I3484" s="2" t="s">
        <v>39</v>
      </c>
      <c r="J3484" s="2" t="n">
        <v>2</v>
      </c>
      <c r="K3484" s="2" t="s">
        <v>49</v>
      </c>
      <c r="L3484" s="2" t="s">
        <v>46</v>
      </c>
      <c r="M3484" s="2" t="n">
        <v>29760</v>
      </c>
      <c r="N3484" s="2" t="n">
        <v>1</v>
      </c>
      <c r="O3484" s="2" t="n">
        <v>14</v>
      </c>
      <c r="P3484" s="2" t="n">
        <v>0</v>
      </c>
      <c r="Q3484" s="2" t="n">
        <v>1</v>
      </c>
      <c r="R3484" s="2" t="n">
        <v>3</v>
      </c>
      <c r="S3484" s="2" t="n">
        <v>1</v>
      </c>
      <c r="T3484" s="2" t="n">
        <v>0</v>
      </c>
      <c r="U3484" s="2" t="n">
        <v>0</v>
      </c>
      <c r="V3484" s="2" t="n">
        <v>1</v>
      </c>
      <c r="W3484" s="2" t="n">
        <v>2</v>
      </c>
      <c r="X3484" s="2" t="n">
        <v>3</v>
      </c>
      <c r="Y3484" s="2" t="n">
        <v>3</v>
      </c>
      <c r="Z3484" s="2" t="n">
        <v>3</v>
      </c>
    </row>
    <row r="3485" customFormat="false" ht="15" hidden="false" customHeight="true" outlineLevel="0" collapsed="false">
      <c r="A3485" s="2" t="n">
        <v>50</v>
      </c>
      <c r="B3485" s="2" t="s">
        <v>33</v>
      </c>
      <c r="C3485" s="2" t="s">
        <v>34</v>
      </c>
      <c r="D3485" s="2" t="s">
        <v>35</v>
      </c>
      <c r="E3485" s="2" t="n">
        <v>1</v>
      </c>
      <c r="F3485" s="2" t="n">
        <v>4</v>
      </c>
      <c r="G3485" s="2" t="s">
        <v>43</v>
      </c>
      <c r="H3485" s="2" t="n">
        <v>3484</v>
      </c>
      <c r="I3485" s="2" t="s">
        <v>39</v>
      </c>
      <c r="J3485" s="2" t="n">
        <v>2</v>
      </c>
      <c r="K3485" s="2" t="s">
        <v>36</v>
      </c>
      <c r="L3485" s="2" t="s">
        <v>37</v>
      </c>
      <c r="M3485" s="2" t="n">
        <v>159920</v>
      </c>
      <c r="N3485" s="2" t="n">
        <v>3</v>
      </c>
      <c r="O3485" s="2" t="n">
        <v>14</v>
      </c>
      <c r="P3485" s="2" t="n">
        <v>0</v>
      </c>
      <c r="Q3485" s="2" t="n">
        <v>5</v>
      </c>
      <c r="R3485" s="2" t="n">
        <v>3</v>
      </c>
      <c r="S3485" s="2" t="n">
        <v>0</v>
      </c>
      <c r="T3485" s="2" t="n">
        <v>0</v>
      </c>
      <c r="U3485" s="2" t="n">
        <v>0</v>
      </c>
      <c r="V3485" s="2" t="n">
        <v>4</v>
      </c>
      <c r="W3485" s="2" t="n">
        <v>3</v>
      </c>
      <c r="X3485" s="2" t="n">
        <v>3</v>
      </c>
      <c r="Y3485" s="2" t="n">
        <v>3</v>
      </c>
      <c r="Z3485" s="2" t="n">
        <v>3</v>
      </c>
    </row>
    <row r="3486" customFormat="false" ht="15" hidden="false" customHeight="true" outlineLevel="0" collapsed="false">
      <c r="A3486" s="2" t="n">
        <v>33</v>
      </c>
      <c r="B3486" s="2" t="s">
        <v>26</v>
      </c>
      <c r="C3486" s="2" t="s">
        <v>34</v>
      </c>
      <c r="D3486" s="2" t="s">
        <v>28</v>
      </c>
      <c r="E3486" s="2" t="n">
        <v>9</v>
      </c>
      <c r="F3486" s="2" t="n">
        <v>3</v>
      </c>
      <c r="G3486" s="2" t="s">
        <v>43</v>
      </c>
      <c r="H3486" s="2" t="n">
        <v>3485</v>
      </c>
      <c r="I3486" s="2" t="s">
        <v>30</v>
      </c>
      <c r="J3486" s="2" t="n">
        <v>2</v>
      </c>
      <c r="K3486" s="2" t="s">
        <v>36</v>
      </c>
      <c r="L3486" s="2" t="s">
        <v>32</v>
      </c>
      <c r="M3486" s="2" t="n">
        <v>46490</v>
      </c>
      <c r="N3486" s="2" t="n">
        <v>0</v>
      </c>
      <c r="O3486" s="2" t="n">
        <v>12</v>
      </c>
      <c r="P3486" s="2" t="n">
        <v>0</v>
      </c>
      <c r="Q3486" s="2" t="n">
        <v>4</v>
      </c>
      <c r="R3486" s="2" t="n">
        <v>2</v>
      </c>
      <c r="S3486" s="2" t="n">
        <v>3</v>
      </c>
      <c r="T3486" s="2" t="n">
        <v>0</v>
      </c>
      <c r="U3486" s="2" t="n">
        <v>2</v>
      </c>
      <c r="V3486" s="2" t="n">
        <v>4</v>
      </c>
      <c r="W3486" s="2" t="n">
        <v>2</v>
      </c>
      <c r="X3486" s="2" t="n">
        <v>3</v>
      </c>
      <c r="Y3486" s="2" t="n">
        <v>2</v>
      </c>
      <c r="Z3486" s="2" t="n">
        <v>3</v>
      </c>
    </row>
    <row r="3487" customFormat="false" ht="15" hidden="false" customHeight="true" outlineLevel="0" collapsed="false">
      <c r="A3487" s="2" t="n">
        <v>34</v>
      </c>
      <c r="B3487" s="2" t="s">
        <v>26</v>
      </c>
      <c r="C3487" s="2" t="s">
        <v>41</v>
      </c>
      <c r="D3487" s="2" t="s">
        <v>28</v>
      </c>
      <c r="E3487" s="2" t="n">
        <v>1</v>
      </c>
      <c r="F3487" s="2" t="n">
        <v>1</v>
      </c>
      <c r="G3487" s="2" t="s">
        <v>50</v>
      </c>
      <c r="H3487" s="2" t="n">
        <v>3486</v>
      </c>
      <c r="I3487" s="2" t="s">
        <v>30</v>
      </c>
      <c r="J3487" s="2" t="n">
        <v>2</v>
      </c>
      <c r="K3487" s="2" t="s">
        <v>44</v>
      </c>
      <c r="L3487" s="2" t="s">
        <v>32</v>
      </c>
      <c r="M3487" s="2" t="n">
        <v>26960</v>
      </c>
      <c r="N3487" s="2" t="n">
        <v>3</v>
      </c>
      <c r="O3487" s="2" t="n">
        <v>23</v>
      </c>
      <c r="P3487" s="2" t="n">
        <v>0</v>
      </c>
      <c r="Q3487" s="2" t="n">
        <v>6</v>
      </c>
      <c r="R3487" s="2" t="n">
        <v>3</v>
      </c>
      <c r="S3487" s="2" t="n">
        <v>0</v>
      </c>
      <c r="T3487" s="2" t="n">
        <v>0</v>
      </c>
      <c r="U3487" s="2" t="n">
        <v>0</v>
      </c>
      <c r="V3487" s="2" t="n">
        <v>3</v>
      </c>
      <c r="W3487" s="2" t="n">
        <v>4</v>
      </c>
      <c r="X3487" s="2" t="n">
        <v>3</v>
      </c>
      <c r="Y3487" s="2" t="n">
        <v>3</v>
      </c>
      <c r="Z3487" s="2" t="n">
        <v>4</v>
      </c>
    </row>
    <row r="3488" customFormat="false" ht="15" hidden="false" customHeight="true" outlineLevel="0" collapsed="false">
      <c r="A3488" s="2" t="n">
        <v>48</v>
      </c>
      <c r="B3488" s="2" t="s">
        <v>26</v>
      </c>
      <c r="C3488" s="2" t="s">
        <v>41</v>
      </c>
      <c r="D3488" s="2" t="s">
        <v>28</v>
      </c>
      <c r="E3488" s="2" t="n">
        <v>2</v>
      </c>
      <c r="F3488" s="2" t="n">
        <v>1</v>
      </c>
      <c r="G3488" s="2" t="s">
        <v>29</v>
      </c>
      <c r="H3488" s="2" t="n">
        <v>3487</v>
      </c>
      <c r="I3488" s="2" t="s">
        <v>39</v>
      </c>
      <c r="J3488" s="2" t="n">
        <v>2</v>
      </c>
      <c r="K3488" s="2" t="s">
        <v>40</v>
      </c>
      <c r="L3488" s="2" t="s">
        <v>37</v>
      </c>
      <c r="M3488" s="2" t="n">
        <v>23700</v>
      </c>
      <c r="N3488" s="2" t="n">
        <v>2</v>
      </c>
      <c r="O3488" s="2" t="n">
        <v>11</v>
      </c>
      <c r="P3488" s="2" t="n">
        <v>0</v>
      </c>
      <c r="Q3488" s="2" t="n">
        <v>27</v>
      </c>
      <c r="R3488" s="2" t="n">
        <v>3</v>
      </c>
      <c r="S3488" s="2" t="n">
        <v>5</v>
      </c>
      <c r="T3488" s="2" t="n">
        <v>2</v>
      </c>
      <c r="U3488" s="2" t="n">
        <v>1</v>
      </c>
      <c r="V3488" s="2" t="n">
        <v>1</v>
      </c>
      <c r="W3488" s="2" t="n">
        <v>4</v>
      </c>
      <c r="X3488" s="2" t="n">
        <v>2</v>
      </c>
      <c r="Y3488" s="2" t="n">
        <v>3</v>
      </c>
      <c r="Z3488" s="2" t="n">
        <v>3</v>
      </c>
    </row>
    <row r="3489" customFormat="false" ht="15" hidden="false" customHeight="true" outlineLevel="0" collapsed="false">
      <c r="A3489" s="2" t="n">
        <v>45</v>
      </c>
      <c r="B3489" s="2" t="s">
        <v>26</v>
      </c>
      <c r="C3489" s="2" t="s">
        <v>41</v>
      </c>
      <c r="D3489" s="2" t="s">
        <v>35</v>
      </c>
      <c r="E3489" s="2" t="n">
        <v>1</v>
      </c>
      <c r="F3489" s="2" t="n">
        <v>3</v>
      </c>
      <c r="G3489" s="2" t="s">
        <v>43</v>
      </c>
      <c r="H3489" s="2" t="n">
        <v>3488</v>
      </c>
      <c r="I3489" s="2" t="s">
        <v>30</v>
      </c>
      <c r="J3489" s="2" t="n">
        <v>2</v>
      </c>
      <c r="K3489" s="2" t="s">
        <v>42</v>
      </c>
      <c r="L3489" s="2" t="s">
        <v>32</v>
      </c>
      <c r="M3489" s="2" t="n">
        <v>125040</v>
      </c>
      <c r="N3489" s="2" t="n">
        <v>1</v>
      </c>
      <c r="O3489" s="2" t="n">
        <v>12</v>
      </c>
      <c r="P3489" s="2" t="n">
        <v>1</v>
      </c>
      <c r="Q3489" s="2" t="n">
        <v>15</v>
      </c>
      <c r="R3489" s="2" t="n">
        <v>2</v>
      </c>
      <c r="S3489" s="2" t="n">
        <v>15</v>
      </c>
      <c r="T3489" s="2" t="n">
        <v>4</v>
      </c>
      <c r="U3489" s="2" t="n">
        <v>12</v>
      </c>
      <c r="V3489" s="2" t="n">
        <v>2</v>
      </c>
      <c r="W3489" s="2" t="n">
        <v>3</v>
      </c>
      <c r="X3489" s="2" t="n">
        <v>3</v>
      </c>
      <c r="Y3489" s="2" t="n">
        <v>3</v>
      </c>
      <c r="Z3489" s="2" t="n">
        <v>3</v>
      </c>
    </row>
    <row r="3490" customFormat="false" ht="15" hidden="false" customHeight="true" outlineLevel="0" collapsed="false">
      <c r="A3490" s="2" t="n">
        <v>52</v>
      </c>
      <c r="B3490" s="2" t="s">
        <v>26</v>
      </c>
      <c r="C3490" s="2" t="s">
        <v>27</v>
      </c>
      <c r="D3490" s="2" t="s">
        <v>28</v>
      </c>
      <c r="E3490" s="2" t="n">
        <v>1</v>
      </c>
      <c r="F3490" s="2" t="n">
        <v>3</v>
      </c>
      <c r="G3490" s="2" t="s">
        <v>29</v>
      </c>
      <c r="H3490" s="2" t="n">
        <v>3489</v>
      </c>
      <c r="I3490" s="2" t="s">
        <v>39</v>
      </c>
      <c r="J3490" s="2" t="n">
        <v>1</v>
      </c>
      <c r="K3490" s="2" t="s">
        <v>40</v>
      </c>
      <c r="L3490" s="2" t="s">
        <v>37</v>
      </c>
      <c r="M3490" s="2" t="n">
        <v>59740</v>
      </c>
      <c r="N3490" s="2" t="n">
        <v>7</v>
      </c>
      <c r="O3490" s="2" t="n">
        <v>18</v>
      </c>
      <c r="P3490" s="2" t="n">
        <v>1</v>
      </c>
      <c r="Q3490" s="2" t="n">
        <v>18</v>
      </c>
      <c r="R3490" s="2" t="n">
        <v>6</v>
      </c>
      <c r="S3490" s="2" t="n">
        <v>8</v>
      </c>
      <c r="T3490" s="2" t="n">
        <v>4</v>
      </c>
      <c r="U3490" s="2" t="n">
        <v>0</v>
      </c>
      <c r="V3490" s="2" t="n">
        <v>2</v>
      </c>
      <c r="W3490" s="2" t="n">
        <v>2</v>
      </c>
      <c r="X3490" s="2" t="n">
        <v>3</v>
      </c>
      <c r="Y3490" s="2" t="n">
        <v>3</v>
      </c>
      <c r="Z3490" s="2" t="n">
        <v>3</v>
      </c>
    </row>
    <row r="3491" customFormat="false" ht="15" hidden="false" customHeight="true" outlineLevel="0" collapsed="false">
      <c r="A3491" s="2" t="n">
        <v>38</v>
      </c>
      <c r="B3491" s="2" t="s">
        <v>26</v>
      </c>
      <c r="C3491" s="2" t="s">
        <v>27</v>
      </c>
      <c r="D3491" s="2" t="s">
        <v>35</v>
      </c>
      <c r="E3491" s="2" t="n">
        <v>6</v>
      </c>
      <c r="F3491" s="2" t="n">
        <v>2</v>
      </c>
      <c r="G3491" s="2" t="s">
        <v>43</v>
      </c>
      <c r="H3491" s="2" t="n">
        <v>3490</v>
      </c>
      <c r="I3491" s="2" t="s">
        <v>39</v>
      </c>
      <c r="J3491" s="2" t="n">
        <v>1</v>
      </c>
      <c r="K3491" s="2" t="s">
        <v>36</v>
      </c>
      <c r="L3491" s="2" t="s">
        <v>46</v>
      </c>
      <c r="M3491" s="2" t="n">
        <v>47360</v>
      </c>
      <c r="N3491" s="2" t="n">
        <v>0</v>
      </c>
      <c r="O3491" s="2" t="n">
        <v>11</v>
      </c>
      <c r="P3491" s="2" t="n">
        <v>1</v>
      </c>
      <c r="Q3491" s="2" t="n">
        <v>9</v>
      </c>
      <c r="R3491" s="2" t="n">
        <v>3</v>
      </c>
      <c r="S3491" s="2" t="n">
        <v>8</v>
      </c>
      <c r="T3491" s="2" t="n">
        <v>2</v>
      </c>
      <c r="U3491" s="2" t="n">
        <v>7</v>
      </c>
      <c r="V3491" s="2" t="n">
        <v>3</v>
      </c>
      <c r="W3491" s="2" t="n">
        <v>3</v>
      </c>
      <c r="X3491" s="2" t="n">
        <v>3</v>
      </c>
      <c r="Y3491" s="2" t="n">
        <v>2</v>
      </c>
      <c r="Z3491" s="2" t="n">
        <v>3</v>
      </c>
    </row>
    <row r="3492" customFormat="false" ht="15" hidden="false" customHeight="true" outlineLevel="0" collapsed="false">
      <c r="A3492" s="2" t="n">
        <v>29</v>
      </c>
      <c r="B3492" s="2" t="s">
        <v>26</v>
      </c>
      <c r="C3492" s="2" t="s">
        <v>27</v>
      </c>
      <c r="D3492" s="2" t="s">
        <v>35</v>
      </c>
      <c r="E3492" s="2" t="n">
        <v>8</v>
      </c>
      <c r="F3492" s="2" t="n">
        <v>3</v>
      </c>
      <c r="G3492" s="2" t="s">
        <v>43</v>
      </c>
      <c r="H3492" s="2" t="n">
        <v>3491</v>
      </c>
      <c r="I3492" s="2" t="s">
        <v>30</v>
      </c>
      <c r="J3492" s="2" t="n">
        <v>4</v>
      </c>
      <c r="K3492" s="2" t="s">
        <v>36</v>
      </c>
      <c r="L3492" s="2" t="s">
        <v>46</v>
      </c>
      <c r="M3492" s="2" t="n">
        <v>52960</v>
      </c>
      <c r="N3492" s="2" t="n">
        <v>4</v>
      </c>
      <c r="O3492" s="2" t="n">
        <v>14</v>
      </c>
      <c r="P3492" s="2" t="n">
        <v>0</v>
      </c>
      <c r="Q3492" s="2" t="n">
        <v>11</v>
      </c>
      <c r="R3492" s="2" t="n">
        <v>3</v>
      </c>
      <c r="S3492" s="2" t="n">
        <v>7</v>
      </c>
      <c r="T3492" s="2" t="n">
        <v>1</v>
      </c>
      <c r="U3492" s="2" t="n">
        <v>7</v>
      </c>
      <c r="V3492" s="2" t="n">
        <v>3</v>
      </c>
      <c r="W3492" s="2" t="n">
        <v>4</v>
      </c>
      <c r="X3492" s="2" t="n">
        <v>3</v>
      </c>
      <c r="Y3492" s="2" t="n">
        <v>4</v>
      </c>
      <c r="Z3492" s="2" t="n">
        <v>3</v>
      </c>
    </row>
    <row r="3493" customFormat="false" ht="15" hidden="false" customHeight="true" outlineLevel="0" collapsed="false">
      <c r="A3493" s="2" t="n">
        <v>28</v>
      </c>
      <c r="B3493" s="2" t="s">
        <v>26</v>
      </c>
      <c r="C3493" s="2" t="s">
        <v>27</v>
      </c>
      <c r="D3493" s="2" t="s">
        <v>42</v>
      </c>
      <c r="E3493" s="2" t="n">
        <v>1</v>
      </c>
      <c r="F3493" s="2" t="n">
        <v>3</v>
      </c>
      <c r="G3493" s="2" t="s">
        <v>42</v>
      </c>
      <c r="H3493" s="2" t="n">
        <v>3492</v>
      </c>
      <c r="I3493" s="2" t="s">
        <v>30</v>
      </c>
      <c r="J3493" s="2" t="n">
        <v>4</v>
      </c>
      <c r="K3493" s="2" t="s">
        <v>45</v>
      </c>
      <c r="L3493" s="2" t="s">
        <v>46</v>
      </c>
      <c r="M3493" s="2" t="n">
        <v>67810</v>
      </c>
      <c r="N3493" s="2" t="n">
        <v>0</v>
      </c>
      <c r="O3493" s="2" t="n">
        <v>15</v>
      </c>
      <c r="P3493" s="2" t="n">
        <v>1</v>
      </c>
      <c r="Q3493" s="2" t="n">
        <v>10</v>
      </c>
      <c r="R3493" s="2" t="n">
        <v>2</v>
      </c>
      <c r="S3493" s="2" t="n">
        <v>9</v>
      </c>
      <c r="T3493" s="2" t="n">
        <v>1</v>
      </c>
      <c r="U3493" s="2" t="n">
        <v>7</v>
      </c>
      <c r="V3493" s="2" t="n">
        <v>4</v>
      </c>
      <c r="W3493" s="2" t="n">
        <v>2</v>
      </c>
      <c r="X3493" s="2" t="n">
        <v>2</v>
      </c>
      <c r="Y3493" s="2" t="n">
        <v>3</v>
      </c>
      <c r="Z3493" s="2" t="n">
        <v>3</v>
      </c>
    </row>
    <row r="3494" customFormat="false" ht="15" hidden="false" customHeight="true" outlineLevel="0" collapsed="false">
      <c r="A3494" s="2" t="n">
        <v>46</v>
      </c>
      <c r="B3494" s="2" t="s">
        <v>26</v>
      </c>
      <c r="C3494" s="2" t="s">
        <v>27</v>
      </c>
      <c r="D3494" s="2" t="s">
        <v>35</v>
      </c>
      <c r="E3494" s="2" t="n">
        <v>6</v>
      </c>
      <c r="F3494" s="2" t="n">
        <v>4</v>
      </c>
      <c r="G3494" s="2" t="s">
        <v>43</v>
      </c>
      <c r="H3494" s="2" t="n">
        <v>3493</v>
      </c>
      <c r="I3494" s="2" t="s">
        <v>39</v>
      </c>
      <c r="J3494" s="2" t="n">
        <v>3</v>
      </c>
      <c r="K3494" s="2" t="s">
        <v>40</v>
      </c>
      <c r="L3494" s="2" t="s">
        <v>32</v>
      </c>
      <c r="M3494" s="2" t="n">
        <v>21740</v>
      </c>
      <c r="N3494" s="2" t="n">
        <v>3</v>
      </c>
      <c r="O3494" s="2" t="n">
        <v>11</v>
      </c>
      <c r="P3494" s="2" t="n">
        <v>1</v>
      </c>
      <c r="Q3494" s="2" t="n">
        <v>23</v>
      </c>
      <c r="R3494" s="2" t="n">
        <v>3</v>
      </c>
      <c r="S3494" s="2" t="n">
        <v>12</v>
      </c>
      <c r="T3494" s="2" t="n">
        <v>4</v>
      </c>
      <c r="U3494" s="2" t="n">
        <v>9</v>
      </c>
      <c r="V3494" s="2" t="n">
        <v>1</v>
      </c>
      <c r="W3494" s="2" t="n">
        <v>3</v>
      </c>
      <c r="X3494" s="2" t="n">
        <v>3</v>
      </c>
      <c r="Y3494" s="2" t="n">
        <v>3</v>
      </c>
      <c r="Z3494" s="2" t="n">
        <v>3</v>
      </c>
    </row>
    <row r="3495" customFormat="false" ht="15" hidden="false" customHeight="true" outlineLevel="0" collapsed="false">
      <c r="A3495" s="2" t="n">
        <v>38</v>
      </c>
      <c r="B3495" s="2" t="s">
        <v>26</v>
      </c>
      <c r="C3495" s="2" t="s">
        <v>27</v>
      </c>
      <c r="D3495" s="2" t="s">
        <v>35</v>
      </c>
      <c r="E3495" s="2" t="n">
        <v>7</v>
      </c>
      <c r="F3495" s="2" t="n">
        <v>4</v>
      </c>
      <c r="G3495" s="2" t="s">
        <v>43</v>
      </c>
      <c r="H3495" s="2" t="n">
        <v>3494</v>
      </c>
      <c r="I3495" s="2" t="s">
        <v>39</v>
      </c>
      <c r="J3495" s="2" t="n">
        <v>1</v>
      </c>
      <c r="K3495" s="2" t="s">
        <v>40</v>
      </c>
      <c r="L3495" s="2" t="s">
        <v>37</v>
      </c>
      <c r="M3495" s="2" t="n">
        <v>66530</v>
      </c>
      <c r="N3495" s="2" t="n">
        <v>7</v>
      </c>
      <c r="O3495" s="2" t="n">
        <v>20</v>
      </c>
      <c r="P3495" s="2" t="n">
        <v>1</v>
      </c>
      <c r="Q3495" s="2" t="n">
        <v>10</v>
      </c>
      <c r="R3495" s="2" t="n">
        <v>2</v>
      </c>
      <c r="S3495" s="2" t="n">
        <v>1</v>
      </c>
      <c r="T3495" s="2" t="n">
        <v>0</v>
      </c>
      <c r="U3495" s="2" t="n">
        <v>0</v>
      </c>
      <c r="V3495" s="2" t="n">
        <v>4</v>
      </c>
      <c r="W3495" s="2" t="n">
        <v>2</v>
      </c>
      <c r="X3495" s="2" t="n">
        <v>3</v>
      </c>
      <c r="Y3495" s="2" t="n">
        <v>3</v>
      </c>
      <c r="Z3495" s="2" t="n">
        <v>4</v>
      </c>
    </row>
    <row r="3496" customFormat="false" ht="15" hidden="false" customHeight="true" outlineLevel="0" collapsed="false">
      <c r="A3496" s="2" t="n">
        <v>43</v>
      </c>
      <c r="B3496" s="2" t="s">
        <v>26</v>
      </c>
      <c r="C3496" s="2" t="s">
        <v>34</v>
      </c>
      <c r="D3496" s="2" t="s">
        <v>35</v>
      </c>
      <c r="E3496" s="2" t="n">
        <v>5</v>
      </c>
      <c r="F3496" s="2" t="n">
        <v>3</v>
      </c>
      <c r="G3496" s="2" t="s">
        <v>43</v>
      </c>
      <c r="H3496" s="2" t="n">
        <v>3495</v>
      </c>
      <c r="I3496" s="2" t="s">
        <v>30</v>
      </c>
      <c r="J3496" s="2" t="n">
        <v>2</v>
      </c>
      <c r="K3496" s="2" t="s">
        <v>45</v>
      </c>
      <c r="L3496" s="2" t="s">
        <v>32</v>
      </c>
      <c r="M3496" s="2" t="n">
        <v>96990</v>
      </c>
      <c r="N3496" s="2" t="n">
        <v>8</v>
      </c>
      <c r="O3496" s="2" t="n">
        <v>19</v>
      </c>
      <c r="P3496" s="2" t="n">
        <v>1</v>
      </c>
      <c r="Q3496" s="2" t="n">
        <v>18</v>
      </c>
      <c r="R3496" s="2" t="n">
        <v>3</v>
      </c>
      <c r="S3496" s="2" t="n">
        <v>8</v>
      </c>
      <c r="T3496" s="2" t="n">
        <v>0</v>
      </c>
      <c r="U3496" s="2" t="n">
        <v>1</v>
      </c>
      <c r="V3496" s="2" t="n">
        <v>3</v>
      </c>
      <c r="W3496" s="2" t="n">
        <v>1</v>
      </c>
      <c r="X3496" s="2" t="n">
        <v>3</v>
      </c>
      <c r="Y3496" s="2" t="n">
        <v>3</v>
      </c>
      <c r="Z3496" s="2" t="n">
        <v>3</v>
      </c>
    </row>
    <row r="3497" customFormat="false" ht="15" hidden="false" customHeight="true" outlineLevel="0" collapsed="false">
      <c r="A3497" s="2" t="n">
        <v>39</v>
      </c>
      <c r="B3497" s="2" t="s">
        <v>33</v>
      </c>
      <c r="C3497" s="2" t="s">
        <v>34</v>
      </c>
      <c r="D3497" s="2" t="s">
        <v>28</v>
      </c>
      <c r="E3497" s="2" t="n">
        <v>1</v>
      </c>
      <c r="F3497" s="2" t="n">
        <v>3</v>
      </c>
      <c r="G3497" s="2" t="s">
        <v>50</v>
      </c>
      <c r="H3497" s="2" t="n">
        <v>3496</v>
      </c>
      <c r="I3497" s="2" t="s">
        <v>39</v>
      </c>
      <c r="J3497" s="2" t="n">
        <v>2</v>
      </c>
      <c r="K3497" s="2" t="s">
        <v>31</v>
      </c>
      <c r="L3497" s="2" t="s">
        <v>46</v>
      </c>
      <c r="M3497" s="2" t="n">
        <v>67550</v>
      </c>
      <c r="N3497" s="2" t="n">
        <v>7</v>
      </c>
      <c r="O3497" s="2" t="n">
        <v>14</v>
      </c>
      <c r="P3497" s="2" t="n">
        <v>1</v>
      </c>
      <c r="Q3497" s="2" t="n">
        <v>21</v>
      </c>
      <c r="R3497" s="2" t="n">
        <v>2</v>
      </c>
      <c r="S3497" s="2" t="n">
        <v>18</v>
      </c>
      <c r="T3497" s="2" t="n">
        <v>11</v>
      </c>
      <c r="U3497" s="2" t="n">
        <v>5</v>
      </c>
      <c r="V3497" s="2" t="n">
        <v>1</v>
      </c>
      <c r="W3497" s="2" t="n">
        <v>4</v>
      </c>
      <c r="X3497" s="2" t="n">
        <v>3</v>
      </c>
      <c r="Y3497" s="2" t="n">
        <v>3</v>
      </c>
      <c r="Z3497" s="2" t="n">
        <v>3</v>
      </c>
    </row>
    <row r="3498" customFormat="false" ht="15" hidden="false" customHeight="true" outlineLevel="0" collapsed="false">
      <c r="A3498" s="2" t="n">
        <v>40</v>
      </c>
      <c r="B3498" s="2" t="s">
        <v>26</v>
      </c>
      <c r="C3498" s="2" t="s">
        <v>27</v>
      </c>
      <c r="D3498" s="2" t="s">
        <v>35</v>
      </c>
      <c r="E3498" s="2" t="n">
        <v>1</v>
      </c>
      <c r="F3498" s="2" t="n">
        <v>1</v>
      </c>
      <c r="G3498" s="2" t="s">
        <v>29</v>
      </c>
      <c r="H3498" s="2" t="n">
        <v>3497</v>
      </c>
      <c r="I3498" s="2" t="s">
        <v>39</v>
      </c>
      <c r="J3498" s="2" t="n">
        <v>1</v>
      </c>
      <c r="K3498" s="2" t="s">
        <v>31</v>
      </c>
      <c r="L3498" s="2" t="s">
        <v>37</v>
      </c>
      <c r="M3498" s="2" t="n">
        <v>22130</v>
      </c>
      <c r="N3498" s="2" t="n">
        <v>1</v>
      </c>
      <c r="O3498" s="2" t="n">
        <v>17</v>
      </c>
      <c r="P3498" s="2" t="n">
        <v>0</v>
      </c>
      <c r="Q3498" s="2" t="n">
        <v>21</v>
      </c>
      <c r="R3498" s="2" t="n">
        <v>4</v>
      </c>
      <c r="S3498" s="2" t="n">
        <v>20</v>
      </c>
      <c r="T3498" s="2" t="n">
        <v>4</v>
      </c>
      <c r="U3498" s="2" t="n">
        <v>9</v>
      </c>
      <c r="V3498" s="2" t="n">
        <v>3</v>
      </c>
      <c r="W3498" s="2" t="n">
        <v>3</v>
      </c>
      <c r="X3498" s="2" t="n">
        <v>4</v>
      </c>
      <c r="Y3498" s="2" t="n">
        <v>3</v>
      </c>
      <c r="Z3498" s="2" t="n">
        <v>3</v>
      </c>
    </row>
    <row r="3499" customFormat="false" ht="15" hidden="false" customHeight="true" outlineLevel="0" collapsed="false">
      <c r="A3499" s="2" t="n">
        <v>21</v>
      </c>
      <c r="B3499" s="2" t="s">
        <v>26</v>
      </c>
      <c r="C3499" s="2" t="s">
        <v>27</v>
      </c>
      <c r="D3499" s="2" t="s">
        <v>35</v>
      </c>
      <c r="E3499" s="2" t="n">
        <v>1</v>
      </c>
      <c r="F3499" s="2" t="n">
        <v>4</v>
      </c>
      <c r="G3499" s="2" t="s">
        <v>29</v>
      </c>
      <c r="H3499" s="2" t="n">
        <v>3498</v>
      </c>
      <c r="I3499" s="2" t="s">
        <v>30</v>
      </c>
      <c r="J3499" s="2" t="n">
        <v>1</v>
      </c>
      <c r="K3499" s="2" t="s">
        <v>36</v>
      </c>
      <c r="L3499" s="2" t="s">
        <v>37</v>
      </c>
      <c r="M3499" s="2" t="n">
        <v>26100</v>
      </c>
      <c r="N3499" s="2" t="n">
        <v>1</v>
      </c>
      <c r="O3499" s="2" t="n">
        <v>11</v>
      </c>
      <c r="P3499" s="2" t="n">
        <v>1</v>
      </c>
      <c r="Q3499" s="2" t="n">
        <v>2</v>
      </c>
      <c r="R3499" s="2" t="n">
        <v>3</v>
      </c>
      <c r="S3499" s="2" t="n">
        <v>2</v>
      </c>
      <c r="T3499" s="2" t="n">
        <v>2</v>
      </c>
      <c r="U3499" s="2" t="n">
        <v>2</v>
      </c>
      <c r="V3499" s="2" t="n">
        <v>4</v>
      </c>
      <c r="W3499" s="2" t="n">
        <v>2</v>
      </c>
      <c r="X3499" s="2" t="n">
        <v>4</v>
      </c>
      <c r="Y3499" s="2" t="n">
        <v>2</v>
      </c>
      <c r="Z3499" s="2" t="n">
        <v>3</v>
      </c>
    </row>
    <row r="3500" customFormat="false" ht="15" hidden="false" customHeight="true" outlineLevel="0" collapsed="false">
      <c r="A3500" s="2" t="n">
        <v>39</v>
      </c>
      <c r="B3500" s="2" t="s">
        <v>26</v>
      </c>
      <c r="C3500" s="2" t="s">
        <v>41</v>
      </c>
      <c r="D3500" s="2" t="s">
        <v>35</v>
      </c>
      <c r="E3500" s="2" t="n">
        <v>6</v>
      </c>
      <c r="F3500" s="2" t="n">
        <v>3</v>
      </c>
      <c r="G3500" s="2" t="s">
        <v>29</v>
      </c>
      <c r="H3500" s="2" t="n">
        <v>3499</v>
      </c>
      <c r="I3500" s="2" t="s">
        <v>39</v>
      </c>
      <c r="J3500" s="2" t="n">
        <v>1</v>
      </c>
      <c r="K3500" s="2" t="s">
        <v>45</v>
      </c>
      <c r="L3500" s="2" t="s">
        <v>37</v>
      </c>
      <c r="M3500" s="2" t="n">
        <v>28510</v>
      </c>
      <c r="N3500" s="2" t="n">
        <v>9</v>
      </c>
      <c r="O3500" s="2" t="n">
        <v>15</v>
      </c>
      <c r="P3500" s="2" t="n">
        <v>0</v>
      </c>
      <c r="Q3500" s="2" t="n">
        <v>9</v>
      </c>
      <c r="R3500" s="2" t="n">
        <v>2</v>
      </c>
      <c r="S3500" s="2" t="n">
        <v>5</v>
      </c>
      <c r="T3500" s="2" t="n">
        <v>0</v>
      </c>
      <c r="U3500" s="2" t="n">
        <v>3</v>
      </c>
      <c r="V3500" s="2" t="n">
        <v>3</v>
      </c>
      <c r="W3500" s="2" t="n">
        <v>2</v>
      </c>
      <c r="X3500" s="2" t="n">
        <v>2</v>
      </c>
      <c r="Y3500" s="2" t="n">
        <v>3</v>
      </c>
      <c r="Z3500" s="2" t="n">
        <v>3</v>
      </c>
    </row>
    <row r="3501" customFormat="false" ht="15" hidden="false" customHeight="true" outlineLevel="0" collapsed="false">
      <c r="A3501" s="2" t="n">
        <v>36</v>
      </c>
      <c r="B3501" s="2" t="s">
        <v>26</v>
      </c>
      <c r="C3501" s="2" t="s">
        <v>41</v>
      </c>
      <c r="D3501" s="2" t="s">
        <v>35</v>
      </c>
      <c r="E3501" s="2" t="n">
        <v>1</v>
      </c>
      <c r="F3501" s="2" t="n">
        <v>3</v>
      </c>
      <c r="G3501" s="2" t="s">
        <v>43</v>
      </c>
      <c r="H3501" s="2" t="n">
        <v>3500</v>
      </c>
      <c r="I3501" s="2" t="s">
        <v>39</v>
      </c>
      <c r="J3501" s="2" t="n">
        <v>3</v>
      </c>
      <c r="K3501" s="2" t="s">
        <v>48</v>
      </c>
      <c r="L3501" s="2" t="s">
        <v>37</v>
      </c>
      <c r="M3501" s="2" t="n">
        <v>34520</v>
      </c>
      <c r="N3501" s="2" t="n">
        <v>2</v>
      </c>
      <c r="O3501" s="2" t="n">
        <v>13</v>
      </c>
      <c r="P3501" s="2" t="n">
        <v>3</v>
      </c>
      <c r="Q3501" s="2" t="n">
        <v>18</v>
      </c>
      <c r="R3501" s="2" t="n">
        <v>4</v>
      </c>
      <c r="S3501" s="2" t="n">
        <v>11</v>
      </c>
      <c r="T3501" s="2" t="n">
        <v>0</v>
      </c>
      <c r="U3501" s="2" t="n">
        <v>9</v>
      </c>
      <c r="V3501" s="2" t="n">
        <v>1</v>
      </c>
      <c r="W3501" s="2" t="n">
        <v>4</v>
      </c>
      <c r="X3501" s="2" t="n">
        <v>3</v>
      </c>
      <c r="Y3501" s="2" t="n">
        <v>4</v>
      </c>
      <c r="Z3501" s="2" t="n">
        <v>3</v>
      </c>
    </row>
    <row r="3502" customFormat="false" ht="15" hidden="false" customHeight="true" outlineLevel="0" collapsed="false">
      <c r="A3502" s="2" t="n">
        <v>31</v>
      </c>
      <c r="B3502" s="2" t="s">
        <v>26</v>
      </c>
      <c r="C3502" s="2" t="s">
        <v>34</v>
      </c>
      <c r="D3502" s="2" t="s">
        <v>35</v>
      </c>
      <c r="E3502" s="2" t="n">
        <v>7</v>
      </c>
      <c r="F3502" s="2" t="n">
        <v>3</v>
      </c>
      <c r="G3502" s="2" t="s">
        <v>29</v>
      </c>
      <c r="H3502" s="2" t="n">
        <v>3501</v>
      </c>
      <c r="I3502" s="2" t="s">
        <v>39</v>
      </c>
      <c r="J3502" s="2" t="n">
        <v>1</v>
      </c>
      <c r="K3502" s="2" t="s">
        <v>40</v>
      </c>
      <c r="L3502" s="2" t="s">
        <v>32</v>
      </c>
      <c r="M3502" s="2" t="n">
        <v>52580</v>
      </c>
      <c r="N3502" s="2" t="n">
        <v>0</v>
      </c>
      <c r="O3502" s="2" t="n">
        <v>14</v>
      </c>
      <c r="P3502" s="2" t="n">
        <v>3</v>
      </c>
      <c r="Q3502" s="2" t="n">
        <v>3</v>
      </c>
      <c r="R3502" s="2" t="n">
        <v>5</v>
      </c>
      <c r="S3502" s="2" t="n">
        <v>2</v>
      </c>
      <c r="T3502" s="2" t="n">
        <v>2</v>
      </c>
      <c r="U3502" s="2" t="n">
        <v>2</v>
      </c>
      <c r="V3502" s="2" t="n">
        <v>3</v>
      </c>
      <c r="W3502" s="2" t="n">
        <v>4</v>
      </c>
      <c r="X3502" s="2" t="n">
        <v>3</v>
      </c>
      <c r="Y3502" s="2" t="n">
        <v>3</v>
      </c>
      <c r="Z3502" s="2" t="n">
        <v>3</v>
      </c>
    </row>
    <row r="3503" customFormat="false" ht="15" hidden="false" customHeight="true" outlineLevel="0" collapsed="false">
      <c r="A3503" s="2" t="n">
        <v>28</v>
      </c>
      <c r="B3503" s="2" t="s">
        <v>26</v>
      </c>
      <c r="C3503" s="2" t="s">
        <v>27</v>
      </c>
      <c r="D3503" s="2" t="s">
        <v>28</v>
      </c>
      <c r="E3503" s="2" t="n">
        <v>2</v>
      </c>
      <c r="F3503" s="2" t="n">
        <v>4</v>
      </c>
      <c r="G3503" s="2" t="s">
        <v>50</v>
      </c>
      <c r="H3503" s="2" t="n">
        <v>3502</v>
      </c>
      <c r="I3503" s="2" t="s">
        <v>39</v>
      </c>
      <c r="J3503" s="2" t="n">
        <v>1</v>
      </c>
      <c r="K3503" s="2" t="s">
        <v>40</v>
      </c>
      <c r="L3503" s="2" t="s">
        <v>32</v>
      </c>
      <c r="M3503" s="2" t="n">
        <v>93550</v>
      </c>
      <c r="N3503" s="2" t="n">
        <v>0</v>
      </c>
      <c r="O3503" s="2" t="n">
        <v>11</v>
      </c>
      <c r="P3503" s="2" t="n">
        <v>0</v>
      </c>
      <c r="Q3503" s="2" t="n">
        <v>6</v>
      </c>
      <c r="R3503" s="2" t="n">
        <v>4</v>
      </c>
      <c r="S3503" s="2" t="n">
        <v>5</v>
      </c>
      <c r="T3503" s="2" t="n">
        <v>0</v>
      </c>
      <c r="U3503" s="2" t="n">
        <v>4</v>
      </c>
      <c r="V3503" s="2" t="n">
        <v>1</v>
      </c>
      <c r="W3503" s="2" t="n">
        <v>2</v>
      </c>
      <c r="X3503" s="2" t="n">
        <v>1</v>
      </c>
      <c r="Y3503" s="2" t="n">
        <v>3</v>
      </c>
      <c r="Z3503" s="2" t="n">
        <v>3</v>
      </c>
    </row>
    <row r="3504" customFormat="false" ht="15" hidden="false" customHeight="true" outlineLevel="0" collapsed="false">
      <c r="A3504" s="2" t="n">
        <v>35</v>
      </c>
      <c r="B3504" s="2" t="s">
        <v>26</v>
      </c>
      <c r="C3504" s="2" t="s">
        <v>34</v>
      </c>
      <c r="D3504" s="2" t="s">
        <v>35</v>
      </c>
      <c r="E3504" s="2" t="n">
        <v>9</v>
      </c>
      <c r="F3504" s="2" t="n">
        <v>2</v>
      </c>
      <c r="G3504" s="2" t="s">
        <v>38</v>
      </c>
      <c r="H3504" s="2" t="n">
        <v>3503</v>
      </c>
      <c r="I3504" s="2" t="s">
        <v>30</v>
      </c>
      <c r="J3504" s="2" t="n">
        <v>1</v>
      </c>
      <c r="K3504" s="2" t="s">
        <v>47</v>
      </c>
      <c r="L3504" s="2" t="s">
        <v>46</v>
      </c>
      <c r="M3504" s="2" t="n">
        <v>104960</v>
      </c>
      <c r="N3504" s="2" t="n">
        <v>1</v>
      </c>
      <c r="O3504" s="2" t="n">
        <v>13</v>
      </c>
      <c r="P3504" s="2" t="n">
        <v>1</v>
      </c>
      <c r="Q3504" s="2" t="n">
        <v>5</v>
      </c>
      <c r="R3504" s="2" t="n">
        <v>2</v>
      </c>
      <c r="S3504" s="2" t="n">
        <v>5</v>
      </c>
      <c r="T3504" s="2" t="n">
        <v>0</v>
      </c>
      <c r="U3504" s="2" t="n">
        <v>2</v>
      </c>
      <c r="V3504" s="2" t="n">
        <v>4</v>
      </c>
      <c r="W3504" s="2" t="n">
        <v>4</v>
      </c>
      <c r="X3504" s="2" t="n">
        <v>3</v>
      </c>
      <c r="Y3504" s="2" t="n">
        <v>3</v>
      </c>
      <c r="Z3504" s="2" t="n">
        <v>3</v>
      </c>
    </row>
    <row r="3505" customFormat="false" ht="15" hidden="false" customHeight="true" outlineLevel="0" collapsed="false">
      <c r="A3505" s="2" t="n">
        <v>49</v>
      </c>
      <c r="B3505" s="2" t="s">
        <v>26</v>
      </c>
      <c r="C3505" s="2" t="s">
        <v>27</v>
      </c>
      <c r="D3505" s="2" t="s">
        <v>28</v>
      </c>
      <c r="E3505" s="2" t="n">
        <v>2</v>
      </c>
      <c r="F3505" s="2" t="n">
        <v>2</v>
      </c>
      <c r="G3505" s="2" t="s">
        <v>43</v>
      </c>
      <c r="H3505" s="2" t="n">
        <v>3504</v>
      </c>
      <c r="I3505" s="2" t="s">
        <v>30</v>
      </c>
      <c r="J3505" s="2" t="n">
        <v>1</v>
      </c>
      <c r="K3505" s="2" t="s">
        <v>40</v>
      </c>
      <c r="L3505" s="2" t="s">
        <v>32</v>
      </c>
      <c r="M3505" s="2" t="n">
        <v>63800</v>
      </c>
      <c r="N3505" s="2" t="n">
        <v>6</v>
      </c>
      <c r="O3505" s="2" t="n">
        <v>23</v>
      </c>
      <c r="P3505" s="2" t="n">
        <v>1</v>
      </c>
      <c r="Q3505" s="2" t="n">
        <v>22</v>
      </c>
      <c r="R3505" s="2" t="n">
        <v>1</v>
      </c>
      <c r="S3505" s="2" t="n">
        <v>9</v>
      </c>
      <c r="T3505" s="2" t="n">
        <v>2</v>
      </c>
      <c r="U3505" s="2" t="n">
        <v>3</v>
      </c>
      <c r="V3505" s="2" t="n">
        <v>4</v>
      </c>
      <c r="W3505" s="2" t="n">
        <v>2</v>
      </c>
      <c r="X3505" s="2" t="n">
        <v>3</v>
      </c>
      <c r="Y3505" s="2" t="n">
        <v>2</v>
      </c>
      <c r="Z3505" s="2" t="n">
        <v>4</v>
      </c>
    </row>
    <row r="3506" customFormat="false" ht="15" hidden="false" customHeight="true" outlineLevel="0" collapsed="false">
      <c r="A3506" s="2" t="n">
        <v>34</v>
      </c>
      <c r="B3506" s="2" t="s">
        <v>26</v>
      </c>
      <c r="C3506" s="2" t="s">
        <v>34</v>
      </c>
      <c r="D3506" s="2" t="s">
        <v>28</v>
      </c>
      <c r="E3506" s="2" t="n">
        <v>9</v>
      </c>
      <c r="F3506" s="2" t="n">
        <v>1</v>
      </c>
      <c r="G3506" s="2" t="s">
        <v>51</v>
      </c>
      <c r="H3506" s="2" t="n">
        <v>3505</v>
      </c>
      <c r="I3506" s="2" t="s">
        <v>39</v>
      </c>
      <c r="J3506" s="2" t="n">
        <v>2</v>
      </c>
      <c r="K3506" s="2" t="s">
        <v>40</v>
      </c>
      <c r="L3506" s="2" t="s">
        <v>37</v>
      </c>
      <c r="M3506" s="2" t="n">
        <v>26570</v>
      </c>
      <c r="N3506" s="2" t="n">
        <v>2</v>
      </c>
      <c r="O3506" s="2" t="n">
        <v>13</v>
      </c>
      <c r="P3506" s="2" t="n">
        <v>1</v>
      </c>
      <c r="Q3506" s="2" t="n">
        <v>5</v>
      </c>
      <c r="R3506" s="2" t="n">
        <v>3</v>
      </c>
      <c r="S3506" s="2" t="n">
        <v>3</v>
      </c>
      <c r="T3506" s="2" t="n">
        <v>0</v>
      </c>
      <c r="U3506" s="2" t="n">
        <v>2</v>
      </c>
      <c r="V3506" s="2" t="n">
        <v>4</v>
      </c>
      <c r="W3506" s="2" t="n">
        <v>3</v>
      </c>
      <c r="X3506" s="2" t="n">
        <v>2</v>
      </c>
      <c r="Y3506" s="2" t="n">
        <v>2</v>
      </c>
      <c r="Z3506" s="2" t="n">
        <v>3</v>
      </c>
    </row>
    <row r="3507" customFormat="false" ht="15" hidden="false" customHeight="true" outlineLevel="0" collapsed="false">
      <c r="A3507" s="2" t="n">
        <v>29</v>
      </c>
      <c r="B3507" s="2" t="s">
        <v>26</v>
      </c>
      <c r="C3507" s="2" t="s">
        <v>34</v>
      </c>
      <c r="D3507" s="2" t="s">
        <v>35</v>
      </c>
      <c r="E3507" s="2" t="n">
        <v>1</v>
      </c>
      <c r="F3507" s="2" t="n">
        <v>4</v>
      </c>
      <c r="G3507" s="2" t="s">
        <v>43</v>
      </c>
      <c r="H3507" s="2" t="n">
        <v>3506</v>
      </c>
      <c r="I3507" s="2" t="s">
        <v>39</v>
      </c>
      <c r="J3507" s="2" t="n">
        <v>3</v>
      </c>
      <c r="K3507" s="2" t="s">
        <v>36</v>
      </c>
      <c r="L3507" s="2" t="s">
        <v>46</v>
      </c>
      <c r="M3507" s="2" t="n">
        <v>27160</v>
      </c>
      <c r="N3507" s="2" t="n">
        <v>0</v>
      </c>
      <c r="O3507" s="2" t="n">
        <v>18</v>
      </c>
      <c r="P3507" s="2" t="n">
        <v>0</v>
      </c>
      <c r="Q3507" s="2" t="n">
        <v>8</v>
      </c>
      <c r="R3507" s="2" t="n">
        <v>2</v>
      </c>
      <c r="S3507" s="2" t="n">
        <v>7</v>
      </c>
      <c r="T3507" s="2" t="n">
        <v>1</v>
      </c>
      <c r="U3507" s="2" t="n">
        <v>1</v>
      </c>
      <c r="V3507" s="2" t="n">
        <v>4</v>
      </c>
      <c r="W3507" s="2" t="n">
        <v>2</v>
      </c>
      <c r="X3507" s="2" t="n">
        <v>2</v>
      </c>
      <c r="Y3507" s="2" t="n">
        <v>1</v>
      </c>
      <c r="Z3507" s="2" t="n">
        <v>3</v>
      </c>
    </row>
    <row r="3508" customFormat="false" ht="15" hidden="false" customHeight="true" outlineLevel="0" collapsed="false">
      <c r="A3508" s="2" t="n">
        <v>42</v>
      </c>
      <c r="B3508" s="2" t="s">
        <v>26</v>
      </c>
      <c r="C3508" s="2" t="s">
        <v>27</v>
      </c>
      <c r="D3508" s="2" t="s">
        <v>28</v>
      </c>
      <c r="E3508" s="2" t="n">
        <v>21</v>
      </c>
      <c r="F3508" s="2" t="n">
        <v>2</v>
      </c>
      <c r="G3508" s="2" t="s">
        <v>29</v>
      </c>
      <c r="H3508" s="2" t="n">
        <v>3507</v>
      </c>
      <c r="I3508" s="2" t="s">
        <v>30</v>
      </c>
      <c r="J3508" s="2" t="n">
        <v>1</v>
      </c>
      <c r="K3508" s="2" t="s">
        <v>31</v>
      </c>
      <c r="L3508" s="2" t="s">
        <v>37</v>
      </c>
      <c r="M3508" s="2" t="n">
        <v>22010</v>
      </c>
      <c r="N3508" s="2" t="n">
        <v>4</v>
      </c>
      <c r="O3508" s="2" t="n">
        <v>12</v>
      </c>
      <c r="P3508" s="2" t="n">
        <v>1</v>
      </c>
      <c r="Q3508" s="2" t="n">
        <v>16</v>
      </c>
      <c r="R3508" s="2" t="n">
        <v>3</v>
      </c>
      <c r="S3508" s="2" t="n">
        <v>1</v>
      </c>
      <c r="T3508" s="2" t="n">
        <v>0</v>
      </c>
      <c r="U3508" s="2" t="n">
        <v>0</v>
      </c>
      <c r="V3508" s="2" t="n">
        <v>2</v>
      </c>
      <c r="W3508" s="2" t="n">
        <v>4</v>
      </c>
      <c r="X3508" s="2" t="n">
        <v>3</v>
      </c>
      <c r="Y3508" s="2" t="n">
        <v>4</v>
      </c>
      <c r="Z3508" s="2" t="n">
        <v>3</v>
      </c>
    </row>
    <row r="3509" customFormat="false" ht="15" hidden="false" customHeight="true" outlineLevel="0" collapsed="false">
      <c r="A3509" s="2" t="n">
        <v>29</v>
      </c>
      <c r="B3509" s="2" t="s">
        <v>26</v>
      </c>
      <c r="C3509" s="2" t="s">
        <v>27</v>
      </c>
      <c r="D3509" s="2" t="s">
        <v>28</v>
      </c>
      <c r="E3509" s="2" t="n">
        <v>4</v>
      </c>
      <c r="F3509" s="2" t="n">
        <v>2</v>
      </c>
      <c r="G3509" s="2" t="s">
        <v>38</v>
      </c>
      <c r="H3509" s="2" t="n">
        <v>3508</v>
      </c>
      <c r="I3509" s="2" t="s">
        <v>30</v>
      </c>
      <c r="J3509" s="2" t="n">
        <v>2</v>
      </c>
      <c r="K3509" s="2" t="s">
        <v>31</v>
      </c>
      <c r="L3509" s="2" t="s">
        <v>32</v>
      </c>
      <c r="M3509" s="2" t="n">
        <v>65400</v>
      </c>
      <c r="N3509" s="2" t="n">
        <v>1</v>
      </c>
      <c r="O3509" s="2" t="n">
        <v>22</v>
      </c>
      <c r="P3509" s="2" t="n">
        <v>0</v>
      </c>
      <c r="Q3509" s="2" t="n">
        <v>10</v>
      </c>
      <c r="R3509" s="2" t="n">
        <v>2</v>
      </c>
      <c r="S3509" s="2" t="n">
        <v>10</v>
      </c>
      <c r="T3509" s="2" t="n">
        <v>1</v>
      </c>
      <c r="U3509" s="2" t="n">
        <v>2</v>
      </c>
      <c r="V3509" s="2" t="n">
        <v>2</v>
      </c>
      <c r="W3509" s="2" t="n">
        <v>4</v>
      </c>
      <c r="X3509" s="2" t="n">
        <v>2</v>
      </c>
      <c r="Y3509" s="2" t="n">
        <v>1</v>
      </c>
      <c r="Z3509" s="2" t="n">
        <v>4</v>
      </c>
    </row>
    <row r="3510" customFormat="false" ht="15" hidden="false" customHeight="true" outlineLevel="0" collapsed="false">
      <c r="A3510" s="2" t="n">
        <v>38</v>
      </c>
      <c r="B3510" s="2" t="s">
        <v>26</v>
      </c>
      <c r="C3510" s="2" t="s">
        <v>27</v>
      </c>
      <c r="D3510" s="2" t="s">
        <v>35</v>
      </c>
      <c r="E3510" s="2" t="n">
        <v>1</v>
      </c>
      <c r="F3510" s="2" t="n">
        <v>3</v>
      </c>
      <c r="G3510" s="2" t="s">
        <v>43</v>
      </c>
      <c r="H3510" s="2" t="n">
        <v>3509</v>
      </c>
      <c r="I3510" s="2" t="s">
        <v>30</v>
      </c>
      <c r="J3510" s="2" t="n">
        <v>1</v>
      </c>
      <c r="K3510" s="2" t="s">
        <v>42</v>
      </c>
      <c r="L3510" s="2" t="s">
        <v>32</v>
      </c>
      <c r="M3510" s="2" t="n">
        <v>38160</v>
      </c>
      <c r="N3510" s="2" t="n">
        <v>1</v>
      </c>
      <c r="O3510" s="2" t="n">
        <v>13</v>
      </c>
      <c r="P3510" s="2" t="n">
        <v>2</v>
      </c>
      <c r="Q3510" s="2" t="n">
        <v>7</v>
      </c>
      <c r="R3510" s="2" t="n">
        <v>2</v>
      </c>
      <c r="S3510" s="2" t="n">
        <v>7</v>
      </c>
      <c r="T3510" s="2" t="n">
        <v>5</v>
      </c>
      <c r="U3510" s="2" t="n">
        <v>0</v>
      </c>
      <c r="V3510" s="2" t="n">
        <v>3</v>
      </c>
      <c r="W3510" s="2" t="n">
        <v>3</v>
      </c>
      <c r="X3510" s="2" t="n">
        <v>4</v>
      </c>
      <c r="Y3510" s="2" t="n">
        <v>2</v>
      </c>
      <c r="Z3510" s="2" t="n">
        <v>3</v>
      </c>
    </row>
    <row r="3511" customFormat="false" ht="15" hidden="false" customHeight="true" outlineLevel="0" collapsed="false">
      <c r="A3511" s="2" t="n">
        <v>28</v>
      </c>
      <c r="B3511" s="2" t="s">
        <v>26</v>
      </c>
      <c r="C3511" s="2" t="s">
        <v>34</v>
      </c>
      <c r="D3511" s="2" t="s">
        <v>28</v>
      </c>
      <c r="E3511" s="2" t="n">
        <v>6</v>
      </c>
      <c r="F3511" s="2" t="n">
        <v>4</v>
      </c>
      <c r="G3511" s="2" t="s">
        <v>29</v>
      </c>
      <c r="H3511" s="2" t="n">
        <v>3510</v>
      </c>
      <c r="I3511" s="2" t="s">
        <v>39</v>
      </c>
      <c r="J3511" s="2" t="n">
        <v>1</v>
      </c>
      <c r="K3511" s="2" t="s">
        <v>49</v>
      </c>
      <c r="L3511" s="2" t="s">
        <v>46</v>
      </c>
      <c r="M3511" s="2" t="n">
        <v>52530</v>
      </c>
      <c r="N3511" s="2" t="n">
        <v>1</v>
      </c>
      <c r="O3511" s="2" t="n">
        <v>15</v>
      </c>
      <c r="P3511" s="2" t="n">
        <v>0</v>
      </c>
      <c r="Q3511" s="2" t="n">
        <v>3</v>
      </c>
      <c r="R3511" s="2" t="n">
        <v>2</v>
      </c>
      <c r="S3511" s="2" t="n">
        <v>3</v>
      </c>
      <c r="T3511" s="2" t="n">
        <v>0</v>
      </c>
      <c r="U3511" s="2" t="n">
        <v>2</v>
      </c>
      <c r="V3511" s="2" t="n">
        <v>3</v>
      </c>
      <c r="W3511" s="2" t="n">
        <v>3</v>
      </c>
      <c r="X3511" s="2" t="n">
        <v>3</v>
      </c>
      <c r="Y3511" s="2" t="n">
        <v>3</v>
      </c>
      <c r="Z3511" s="2" t="n">
        <v>3</v>
      </c>
    </row>
    <row r="3512" customFormat="false" ht="15" hidden="false" customHeight="true" outlineLevel="0" collapsed="false">
      <c r="A3512" s="2" t="n">
        <v>18</v>
      </c>
      <c r="B3512" s="2" t="s">
        <v>33</v>
      </c>
      <c r="C3512" s="2" t="s">
        <v>41</v>
      </c>
      <c r="D3512" s="2" t="s">
        <v>35</v>
      </c>
      <c r="E3512" s="2" t="n">
        <v>2</v>
      </c>
      <c r="F3512" s="2" t="n">
        <v>4</v>
      </c>
      <c r="G3512" s="2" t="s">
        <v>43</v>
      </c>
      <c r="H3512" s="2" t="n">
        <v>3511</v>
      </c>
      <c r="I3512" s="2" t="s">
        <v>39</v>
      </c>
      <c r="J3512" s="2" t="n">
        <v>3</v>
      </c>
      <c r="K3512" s="2" t="s">
        <v>45</v>
      </c>
      <c r="L3512" s="2" t="s">
        <v>37</v>
      </c>
      <c r="M3512" s="2" t="n">
        <v>109650</v>
      </c>
      <c r="N3512" s="2" t="n">
        <v>1</v>
      </c>
      <c r="O3512" s="2" t="n">
        <v>18</v>
      </c>
      <c r="P3512" s="2" t="n">
        <v>0</v>
      </c>
      <c r="Q3512" s="2" t="n">
        <v>0</v>
      </c>
      <c r="R3512" s="2" t="n">
        <v>5</v>
      </c>
      <c r="S3512" s="2" t="n">
        <v>0</v>
      </c>
      <c r="T3512" s="2" t="n">
        <v>0</v>
      </c>
      <c r="U3512" s="2" t="n">
        <v>0</v>
      </c>
      <c r="V3512" s="2" t="n">
        <v>3</v>
      </c>
      <c r="W3512" s="2" t="n">
        <v>3</v>
      </c>
      <c r="X3512" s="2" t="n">
        <v>3</v>
      </c>
      <c r="Y3512" s="2" t="n">
        <v>4</v>
      </c>
      <c r="Z3512" s="2" t="n">
        <v>3</v>
      </c>
    </row>
    <row r="3513" customFormat="false" ht="15" hidden="false" customHeight="true" outlineLevel="0" collapsed="false">
      <c r="A3513" s="2" t="n">
        <v>33</v>
      </c>
      <c r="B3513" s="2" t="s">
        <v>33</v>
      </c>
      <c r="C3513" s="2" t="s">
        <v>27</v>
      </c>
      <c r="D3513" s="2" t="s">
        <v>35</v>
      </c>
      <c r="E3513" s="2" t="n">
        <v>3</v>
      </c>
      <c r="F3513" s="2" t="n">
        <v>2</v>
      </c>
      <c r="G3513" s="2" t="s">
        <v>29</v>
      </c>
      <c r="H3513" s="2" t="n">
        <v>3512</v>
      </c>
      <c r="I3513" s="2" t="s">
        <v>39</v>
      </c>
      <c r="J3513" s="2" t="n">
        <v>1</v>
      </c>
      <c r="K3513" s="2" t="s">
        <v>40</v>
      </c>
      <c r="L3513" s="2" t="s">
        <v>37</v>
      </c>
      <c r="M3513" s="2" t="n">
        <v>49360</v>
      </c>
      <c r="N3513" s="2" t="n">
        <v>0</v>
      </c>
      <c r="O3513" s="2" t="n">
        <v>14</v>
      </c>
      <c r="P3513" s="2" t="n">
        <v>0</v>
      </c>
      <c r="Q3513" s="2" t="n">
        <v>6</v>
      </c>
      <c r="R3513" s="2" t="n">
        <v>2</v>
      </c>
      <c r="S3513" s="2" t="n">
        <v>5</v>
      </c>
      <c r="T3513" s="2" t="n">
        <v>0</v>
      </c>
      <c r="U3513" s="2" t="n">
        <v>3</v>
      </c>
      <c r="V3513" s="2" t="n">
        <v>1</v>
      </c>
      <c r="W3513" s="2" t="n">
        <v>1</v>
      </c>
      <c r="X3513" s="2" t="n">
        <v>3</v>
      </c>
      <c r="Y3513" s="2" t="n">
        <v>2</v>
      </c>
      <c r="Z3513" s="2" t="n">
        <v>3</v>
      </c>
    </row>
    <row r="3514" customFormat="false" ht="15" hidden="false" customHeight="true" outlineLevel="0" collapsed="false">
      <c r="A3514" s="2" t="n">
        <v>41</v>
      </c>
      <c r="B3514" s="2" t="s">
        <v>26</v>
      </c>
      <c r="C3514" s="2" t="s">
        <v>27</v>
      </c>
      <c r="D3514" s="2" t="s">
        <v>35</v>
      </c>
      <c r="E3514" s="2" t="n">
        <v>4</v>
      </c>
      <c r="F3514" s="2" t="n">
        <v>2</v>
      </c>
      <c r="G3514" s="2" t="s">
        <v>43</v>
      </c>
      <c r="H3514" s="2" t="n">
        <v>3513</v>
      </c>
      <c r="I3514" s="2" t="s">
        <v>39</v>
      </c>
      <c r="J3514" s="2" t="n">
        <v>2</v>
      </c>
      <c r="K3514" s="2" t="s">
        <v>36</v>
      </c>
      <c r="L3514" s="2" t="s">
        <v>32</v>
      </c>
      <c r="M3514" s="2" t="n">
        <v>25430</v>
      </c>
      <c r="N3514" s="2" t="n">
        <v>3</v>
      </c>
      <c r="O3514" s="2" t="n">
        <v>12</v>
      </c>
      <c r="P3514" s="2" t="n">
        <v>0</v>
      </c>
      <c r="Q3514" s="2" t="n">
        <v>6</v>
      </c>
      <c r="R3514" s="2" t="n">
        <v>3</v>
      </c>
      <c r="S3514" s="2" t="n">
        <v>1</v>
      </c>
      <c r="T3514" s="2" t="n">
        <v>0</v>
      </c>
      <c r="U3514" s="2" t="n">
        <v>0</v>
      </c>
      <c r="V3514" s="2" t="n">
        <v>2</v>
      </c>
      <c r="W3514" s="2" t="n">
        <v>4</v>
      </c>
      <c r="X3514" s="2" t="n">
        <v>3</v>
      </c>
      <c r="Y3514" s="2" t="n">
        <v>3</v>
      </c>
      <c r="Z3514" s="2" t="n">
        <v>3</v>
      </c>
    </row>
    <row r="3515" customFormat="false" ht="15" hidden="false" customHeight="true" outlineLevel="0" collapsed="false">
      <c r="A3515" s="2" t="n">
        <v>31</v>
      </c>
      <c r="B3515" s="2" t="s">
        <v>33</v>
      </c>
      <c r="C3515" s="2" t="s">
        <v>34</v>
      </c>
      <c r="D3515" s="2" t="s">
        <v>28</v>
      </c>
      <c r="E3515" s="2" t="n">
        <v>10</v>
      </c>
      <c r="F3515" s="2" t="n">
        <v>3</v>
      </c>
      <c r="G3515" s="2" t="s">
        <v>51</v>
      </c>
      <c r="H3515" s="2" t="n">
        <v>3514</v>
      </c>
      <c r="I3515" s="2" t="s">
        <v>30</v>
      </c>
      <c r="J3515" s="2" t="n">
        <v>1</v>
      </c>
      <c r="K3515" s="2" t="s">
        <v>44</v>
      </c>
      <c r="L3515" s="2" t="s">
        <v>32</v>
      </c>
      <c r="M3515" s="2" t="n">
        <v>53040</v>
      </c>
      <c r="N3515" s="2" t="n">
        <v>1</v>
      </c>
      <c r="O3515" s="2" t="n">
        <v>17</v>
      </c>
      <c r="P3515" s="2" t="n">
        <v>0</v>
      </c>
      <c r="Q3515" s="2" t="n">
        <v>2</v>
      </c>
      <c r="R3515" s="2" t="n">
        <v>3</v>
      </c>
      <c r="S3515" s="2" t="n">
        <v>2</v>
      </c>
      <c r="T3515" s="2" t="n">
        <v>2</v>
      </c>
      <c r="U3515" s="2" t="n">
        <v>2</v>
      </c>
      <c r="V3515" s="2" t="n">
        <v>3</v>
      </c>
      <c r="W3515" s="2" t="n">
        <v>3</v>
      </c>
      <c r="X3515" s="2" t="n">
        <v>2</v>
      </c>
      <c r="Y3515" s="2" t="n">
        <v>4</v>
      </c>
      <c r="Z3515" s="2" t="n">
        <v>3</v>
      </c>
    </row>
    <row r="3516" customFormat="false" ht="15" hidden="false" customHeight="true" outlineLevel="0" collapsed="false">
      <c r="A3516" s="2" t="n">
        <v>37</v>
      </c>
      <c r="B3516" s="2" t="s">
        <v>26</v>
      </c>
      <c r="C3516" s="2" t="s">
        <v>27</v>
      </c>
      <c r="D3516" s="2" t="s">
        <v>35</v>
      </c>
      <c r="E3516" s="2" t="n">
        <v>23</v>
      </c>
      <c r="F3516" s="2" t="n">
        <v>3</v>
      </c>
      <c r="G3516" s="2" t="s">
        <v>29</v>
      </c>
      <c r="H3516" s="2" t="n">
        <v>3515</v>
      </c>
      <c r="I3516" s="2" t="s">
        <v>39</v>
      </c>
      <c r="J3516" s="2" t="n">
        <v>3</v>
      </c>
      <c r="K3516" s="2" t="s">
        <v>47</v>
      </c>
      <c r="L3516" s="2" t="s">
        <v>46</v>
      </c>
      <c r="M3516" s="2" t="n">
        <v>166590</v>
      </c>
      <c r="N3516" s="2" t="n">
        <v>7</v>
      </c>
      <c r="O3516" s="2" t="n">
        <v>16</v>
      </c>
      <c r="P3516" s="2" t="n">
        <v>1</v>
      </c>
      <c r="Q3516" s="2" t="n">
        <v>9</v>
      </c>
      <c r="R3516" s="2" t="n">
        <v>2</v>
      </c>
      <c r="S3516" s="2" t="n">
        <v>6</v>
      </c>
      <c r="T3516" s="2" t="n">
        <v>1</v>
      </c>
      <c r="U3516" s="2" t="n">
        <v>3</v>
      </c>
      <c r="V3516" s="2" t="n">
        <v>3</v>
      </c>
      <c r="W3516" s="2" t="n">
        <v>4</v>
      </c>
      <c r="X3516" s="2" t="n">
        <v>3</v>
      </c>
      <c r="Y3516" s="2" t="n">
        <v>3</v>
      </c>
      <c r="Z3516" s="2" t="n">
        <v>3</v>
      </c>
    </row>
    <row r="3517" customFormat="false" ht="15" hidden="false" customHeight="true" outlineLevel="0" collapsed="false">
      <c r="A3517" s="2" t="n">
        <v>27</v>
      </c>
      <c r="B3517" s="2" t="s">
        <v>26</v>
      </c>
      <c r="C3517" s="2" t="s">
        <v>27</v>
      </c>
      <c r="D3517" s="2" t="s">
        <v>35</v>
      </c>
      <c r="E3517" s="2" t="n">
        <v>6</v>
      </c>
      <c r="F3517" s="2" t="n">
        <v>2</v>
      </c>
      <c r="G3517" s="2" t="s">
        <v>43</v>
      </c>
      <c r="H3517" s="2" t="n">
        <v>3516</v>
      </c>
      <c r="I3517" s="2" t="s">
        <v>30</v>
      </c>
      <c r="J3517" s="2" t="n">
        <v>1</v>
      </c>
      <c r="K3517" s="2" t="s">
        <v>31</v>
      </c>
      <c r="L3517" s="2" t="s">
        <v>32</v>
      </c>
      <c r="M3517" s="2" t="n">
        <v>42600</v>
      </c>
      <c r="N3517" s="2" t="n">
        <v>1</v>
      </c>
      <c r="O3517" s="2" t="n">
        <v>11</v>
      </c>
      <c r="P3517" s="2" t="n">
        <v>2</v>
      </c>
      <c r="Q3517" s="2" t="n">
        <v>4</v>
      </c>
      <c r="R3517" s="2" t="n">
        <v>2</v>
      </c>
      <c r="S3517" s="2" t="n">
        <v>4</v>
      </c>
      <c r="T3517" s="2" t="n">
        <v>2</v>
      </c>
      <c r="U3517" s="2" t="n">
        <v>2</v>
      </c>
      <c r="V3517" s="2" t="n">
        <v>4</v>
      </c>
      <c r="W3517" s="2" t="n">
        <v>3</v>
      </c>
      <c r="X3517" s="2" t="n">
        <v>3</v>
      </c>
      <c r="Y3517" s="2" t="n">
        <v>3</v>
      </c>
      <c r="Z3517" s="2" t="n">
        <v>3</v>
      </c>
    </row>
    <row r="3518" customFormat="false" ht="15" hidden="false" customHeight="true" outlineLevel="0" collapsed="false">
      <c r="A3518" s="2" t="n">
        <v>34</v>
      </c>
      <c r="B3518" s="2" t="s">
        <v>26</v>
      </c>
      <c r="C3518" s="2" t="s">
        <v>27</v>
      </c>
      <c r="D3518" s="2" t="s">
        <v>28</v>
      </c>
      <c r="E3518" s="2" t="n">
        <v>1</v>
      </c>
      <c r="F3518" s="2" t="n">
        <v>1</v>
      </c>
      <c r="G3518" s="2" t="s">
        <v>50</v>
      </c>
      <c r="H3518" s="2" t="n">
        <v>3517</v>
      </c>
      <c r="I3518" s="2" t="s">
        <v>30</v>
      </c>
      <c r="J3518" s="2" t="n">
        <v>2</v>
      </c>
      <c r="K3518" s="2" t="s">
        <v>45</v>
      </c>
      <c r="L3518" s="2" t="s">
        <v>32</v>
      </c>
      <c r="M3518" s="2" t="n">
        <v>24760</v>
      </c>
      <c r="N3518" s="2" t="n">
        <v>1</v>
      </c>
      <c r="O3518" s="2" t="n">
        <v>19</v>
      </c>
      <c r="P3518" s="2" t="n">
        <v>0</v>
      </c>
      <c r="Q3518" s="2" t="n">
        <v>6</v>
      </c>
      <c r="R3518" s="2" t="n">
        <v>2</v>
      </c>
      <c r="S3518" s="2" t="n">
        <v>6</v>
      </c>
      <c r="T3518" s="2" t="n">
        <v>1</v>
      </c>
      <c r="U3518" s="2" t="n">
        <v>3</v>
      </c>
      <c r="V3518" s="2" t="n">
        <v>2</v>
      </c>
      <c r="W3518" s="2" t="n">
        <v>3</v>
      </c>
      <c r="X3518" s="2" t="n">
        <v>2</v>
      </c>
      <c r="Y3518" s="2" t="n">
        <v>3</v>
      </c>
      <c r="Z3518" s="2" t="n">
        <v>3</v>
      </c>
    </row>
    <row r="3519" customFormat="false" ht="15" hidden="false" customHeight="true" outlineLevel="0" collapsed="false">
      <c r="A3519" s="2" t="n">
        <v>35</v>
      </c>
      <c r="B3519" s="2" t="s">
        <v>26</v>
      </c>
      <c r="C3519" s="2" t="s">
        <v>27</v>
      </c>
      <c r="D3519" s="2" t="s">
        <v>35</v>
      </c>
      <c r="E3519" s="2" t="n">
        <v>6</v>
      </c>
      <c r="F3519" s="2" t="n">
        <v>3</v>
      </c>
      <c r="G3519" s="2" t="s">
        <v>29</v>
      </c>
      <c r="H3519" s="2" t="n">
        <v>3518</v>
      </c>
      <c r="I3519" s="2" t="s">
        <v>30</v>
      </c>
      <c r="J3519" s="2" t="n">
        <v>3</v>
      </c>
      <c r="K3519" s="2" t="s">
        <v>45</v>
      </c>
      <c r="L3519" s="2" t="s">
        <v>37</v>
      </c>
      <c r="M3519" s="2" t="n">
        <v>31020</v>
      </c>
      <c r="N3519" s="2" t="n">
        <v>1</v>
      </c>
      <c r="O3519" s="2" t="n">
        <v>13</v>
      </c>
      <c r="P3519" s="2" t="n">
        <v>1</v>
      </c>
      <c r="Q3519" s="2" t="n">
        <v>6</v>
      </c>
      <c r="R3519" s="2" t="n">
        <v>3</v>
      </c>
      <c r="S3519" s="2" t="n">
        <v>5</v>
      </c>
      <c r="T3519" s="2" t="n">
        <v>1</v>
      </c>
      <c r="U3519" s="2" t="n">
        <v>4</v>
      </c>
      <c r="V3519" s="2" t="n">
        <v>3</v>
      </c>
      <c r="W3519" s="2" t="n">
        <v>3</v>
      </c>
      <c r="X3519" s="2" t="n">
        <v>1</v>
      </c>
      <c r="Y3519" s="2" t="n">
        <v>2</v>
      </c>
      <c r="Z3519" s="2" t="n">
        <v>3</v>
      </c>
    </row>
    <row r="3520" customFormat="false" ht="15" hidden="false" customHeight="true" outlineLevel="0" collapsed="false">
      <c r="A3520" s="2" t="n">
        <v>29</v>
      </c>
      <c r="B3520" s="2" t="s">
        <v>33</v>
      </c>
      <c r="C3520" s="2" t="s">
        <v>27</v>
      </c>
      <c r="D3520" s="2" t="s">
        <v>35</v>
      </c>
      <c r="E3520" s="2" t="n">
        <v>6</v>
      </c>
      <c r="F3520" s="2" t="n">
        <v>3</v>
      </c>
      <c r="G3520" s="2" t="s">
        <v>29</v>
      </c>
      <c r="H3520" s="2" t="n">
        <v>3519</v>
      </c>
      <c r="I3520" s="2" t="s">
        <v>39</v>
      </c>
      <c r="J3520" s="2" t="n">
        <v>1</v>
      </c>
      <c r="K3520" s="2" t="s">
        <v>40</v>
      </c>
      <c r="L3520" s="2" t="s">
        <v>32</v>
      </c>
      <c r="M3520" s="2" t="n">
        <v>22440</v>
      </c>
      <c r="N3520" s="2" t="n">
        <v>1</v>
      </c>
      <c r="O3520" s="2" t="n">
        <v>12</v>
      </c>
      <c r="P3520" s="2" t="n">
        <v>3</v>
      </c>
      <c r="Q3520" s="2" t="n">
        <v>11</v>
      </c>
      <c r="R3520" s="2" t="n">
        <v>5</v>
      </c>
      <c r="S3520" s="2" t="n">
        <v>11</v>
      </c>
      <c r="T3520" s="2" t="n">
        <v>3</v>
      </c>
      <c r="U3520" s="2" t="n">
        <v>10</v>
      </c>
      <c r="V3520" s="2" t="n">
        <v>4</v>
      </c>
      <c r="W3520" s="2" t="n">
        <v>1</v>
      </c>
      <c r="X3520" s="2" t="n">
        <v>1</v>
      </c>
      <c r="Y3520" s="2" t="n">
        <v>1</v>
      </c>
      <c r="Z3520" s="2" t="n">
        <v>3</v>
      </c>
    </row>
    <row r="3521" customFormat="false" ht="15" hidden="false" customHeight="true" outlineLevel="0" collapsed="false">
      <c r="A3521" s="2" t="n">
        <v>40</v>
      </c>
      <c r="B3521" s="2" t="s">
        <v>26</v>
      </c>
      <c r="C3521" s="2" t="s">
        <v>34</v>
      </c>
      <c r="D3521" s="2" t="s">
        <v>35</v>
      </c>
      <c r="E3521" s="2" t="n">
        <v>2</v>
      </c>
      <c r="F3521" s="2" t="n">
        <v>4</v>
      </c>
      <c r="G3521" s="2" t="s">
        <v>43</v>
      </c>
      <c r="H3521" s="2" t="n">
        <v>3520</v>
      </c>
      <c r="I3521" s="2" t="s">
        <v>39</v>
      </c>
      <c r="J3521" s="2" t="n">
        <v>4</v>
      </c>
      <c r="K3521" s="2" t="s">
        <v>42</v>
      </c>
      <c r="L3521" s="2" t="s">
        <v>37</v>
      </c>
      <c r="M3521" s="2" t="n">
        <v>75960</v>
      </c>
      <c r="N3521" s="2" t="n">
        <v>9</v>
      </c>
      <c r="O3521" s="2" t="n">
        <v>11</v>
      </c>
      <c r="P3521" s="2" t="n">
        <v>0</v>
      </c>
      <c r="Q3521" s="2" t="n">
        <v>20</v>
      </c>
      <c r="R3521" s="2" t="n">
        <v>0</v>
      </c>
      <c r="S3521" s="2" t="n">
        <v>18</v>
      </c>
      <c r="T3521" s="2" t="n">
        <v>2</v>
      </c>
      <c r="U3521" s="2" t="n">
        <v>13</v>
      </c>
      <c r="V3521" s="2" t="n">
        <v>2</v>
      </c>
      <c r="W3521" s="2" t="n">
        <v>3</v>
      </c>
      <c r="X3521" s="2" t="n">
        <v>2</v>
      </c>
      <c r="Y3521" s="2" t="n">
        <v>1</v>
      </c>
      <c r="Z3521" s="2" t="n">
        <v>3</v>
      </c>
    </row>
    <row r="3522" customFormat="false" ht="15" hidden="false" customHeight="true" outlineLevel="0" collapsed="false">
      <c r="A3522" s="2" t="n">
        <v>42</v>
      </c>
      <c r="B3522" s="2" t="s">
        <v>33</v>
      </c>
      <c r="C3522" s="2" t="s">
        <v>34</v>
      </c>
      <c r="D3522" s="2" t="s">
        <v>28</v>
      </c>
      <c r="E3522" s="2" t="n">
        <v>2</v>
      </c>
      <c r="F3522" s="2" t="n">
        <v>4</v>
      </c>
      <c r="G3522" s="2" t="s">
        <v>29</v>
      </c>
      <c r="H3522" s="2" t="n">
        <v>3521</v>
      </c>
      <c r="I3522" s="2" t="s">
        <v>39</v>
      </c>
      <c r="J3522" s="2" t="n">
        <v>1</v>
      </c>
      <c r="K3522" s="2" t="s">
        <v>45</v>
      </c>
      <c r="L3522" s="2" t="s">
        <v>37</v>
      </c>
      <c r="M3522" s="2" t="n">
        <v>22850</v>
      </c>
      <c r="N3522" s="2" t="n">
        <v>0</v>
      </c>
      <c r="O3522" s="2" t="n">
        <v>16</v>
      </c>
      <c r="P3522" s="2" t="n">
        <v>0</v>
      </c>
      <c r="Q3522" s="2" t="n">
        <v>22</v>
      </c>
      <c r="R3522" s="2" t="n">
        <v>3</v>
      </c>
      <c r="S3522" s="2" t="n">
        <v>21</v>
      </c>
      <c r="T3522" s="2" t="n">
        <v>13</v>
      </c>
      <c r="U3522" s="2" t="n">
        <v>14</v>
      </c>
      <c r="V3522" s="2" t="n">
        <v>3</v>
      </c>
      <c r="W3522" s="2" t="n">
        <v>1</v>
      </c>
      <c r="X3522" s="2" t="n">
        <v>2</v>
      </c>
      <c r="Y3522" s="2" t="n">
        <v>1</v>
      </c>
      <c r="Z3522" s="2" t="n">
        <v>3</v>
      </c>
    </row>
    <row r="3523" customFormat="false" ht="15" hidden="false" customHeight="true" outlineLevel="0" collapsed="false">
      <c r="A3523" s="2" t="n">
        <v>42</v>
      </c>
      <c r="B3523" s="2" t="s">
        <v>26</v>
      </c>
      <c r="C3523" s="2" t="s">
        <v>27</v>
      </c>
      <c r="D3523" s="2" t="s">
        <v>35</v>
      </c>
      <c r="E3523" s="2" t="n">
        <v>1</v>
      </c>
      <c r="F3523" s="2" t="n">
        <v>2</v>
      </c>
      <c r="G3523" s="2" t="s">
        <v>29</v>
      </c>
      <c r="H3523" s="2" t="n">
        <v>3522</v>
      </c>
      <c r="I3523" s="2" t="s">
        <v>39</v>
      </c>
      <c r="J3523" s="2" t="n">
        <v>4</v>
      </c>
      <c r="K3523" s="2" t="s">
        <v>45</v>
      </c>
      <c r="L3523" s="2" t="s">
        <v>37</v>
      </c>
      <c r="M3523" s="2" t="n">
        <v>30340</v>
      </c>
      <c r="N3523" s="2" t="n">
        <v>7</v>
      </c>
      <c r="O3523" s="2" t="n">
        <v>21</v>
      </c>
      <c r="P3523" s="2" t="n">
        <v>1</v>
      </c>
      <c r="Q3523" s="2" t="n">
        <v>9</v>
      </c>
      <c r="R3523" s="2" t="n">
        <v>3</v>
      </c>
      <c r="S3523" s="2" t="n">
        <v>6</v>
      </c>
      <c r="T3523" s="2" t="n">
        <v>1</v>
      </c>
      <c r="U3523" s="2" t="n">
        <v>5</v>
      </c>
      <c r="V3523" s="2" t="n">
        <v>2</v>
      </c>
      <c r="W3523" s="2" t="n">
        <v>1</v>
      </c>
      <c r="X3523" s="2" t="n">
        <v>4</v>
      </c>
      <c r="Y3523" s="2" t="n">
        <v>2</v>
      </c>
      <c r="Z3523" s="2" t="n">
        <v>4</v>
      </c>
    </row>
    <row r="3524" customFormat="false" ht="15" hidden="false" customHeight="true" outlineLevel="0" collapsed="false">
      <c r="A3524" s="2" t="n">
        <v>35</v>
      </c>
      <c r="B3524" s="2" t="s">
        <v>26</v>
      </c>
      <c r="C3524" s="2" t="s">
        <v>27</v>
      </c>
      <c r="D3524" s="2" t="s">
        <v>35</v>
      </c>
      <c r="E3524" s="2" t="n">
        <v>5</v>
      </c>
      <c r="F3524" s="2" t="n">
        <v>3</v>
      </c>
      <c r="G3524" s="2" t="s">
        <v>43</v>
      </c>
      <c r="H3524" s="2" t="n">
        <v>3523</v>
      </c>
      <c r="I3524" s="2" t="s">
        <v>39</v>
      </c>
      <c r="J3524" s="2" t="n">
        <v>1</v>
      </c>
      <c r="K3524" s="2" t="s">
        <v>31</v>
      </c>
      <c r="L3524" s="2" t="s">
        <v>32</v>
      </c>
      <c r="M3524" s="2" t="n">
        <v>57150</v>
      </c>
      <c r="N3524" s="2" t="n">
        <v>6</v>
      </c>
      <c r="O3524" s="2" t="n">
        <v>24</v>
      </c>
      <c r="P3524" s="2" t="n">
        <v>2</v>
      </c>
      <c r="Q3524" s="2" t="n">
        <v>10</v>
      </c>
      <c r="R3524" s="2" t="n">
        <v>0</v>
      </c>
      <c r="S3524" s="2" t="n">
        <v>8</v>
      </c>
      <c r="T3524" s="2" t="n">
        <v>1</v>
      </c>
      <c r="U3524" s="2" t="n">
        <v>7</v>
      </c>
      <c r="V3524" s="2" t="n">
        <v>4</v>
      </c>
      <c r="W3524" s="2" t="n">
        <v>3</v>
      </c>
      <c r="X3524" s="2" t="n">
        <v>3</v>
      </c>
      <c r="Y3524" s="2" t="n">
        <v>3</v>
      </c>
      <c r="Z3524" s="2" t="n">
        <v>4</v>
      </c>
    </row>
    <row r="3525" customFormat="false" ht="15" hidden="false" customHeight="true" outlineLevel="0" collapsed="false">
      <c r="A3525" s="2" t="n">
        <v>24</v>
      </c>
      <c r="B3525" s="2" t="s">
        <v>26</v>
      </c>
      <c r="C3525" s="2" t="s">
        <v>27</v>
      </c>
      <c r="D3525" s="2" t="s">
        <v>28</v>
      </c>
      <c r="E3525" s="2" t="n">
        <v>7</v>
      </c>
      <c r="F3525" s="2" t="n">
        <v>4</v>
      </c>
      <c r="G3525" s="2" t="s">
        <v>29</v>
      </c>
      <c r="H3525" s="2" t="n">
        <v>3524</v>
      </c>
      <c r="I3525" s="2" t="s">
        <v>30</v>
      </c>
      <c r="J3525" s="2" t="n">
        <v>1</v>
      </c>
      <c r="K3525" s="2" t="s">
        <v>45</v>
      </c>
      <c r="L3525" s="2" t="s">
        <v>37</v>
      </c>
      <c r="M3525" s="2" t="n">
        <v>25760</v>
      </c>
      <c r="N3525" s="2" t="n">
        <v>8</v>
      </c>
      <c r="O3525" s="2" t="n">
        <v>17</v>
      </c>
      <c r="P3525" s="2" t="n">
        <v>3</v>
      </c>
      <c r="Q3525" s="2" t="n">
        <v>6</v>
      </c>
      <c r="R3525" s="2" t="n">
        <v>3</v>
      </c>
      <c r="S3525" s="2" t="n">
        <v>4</v>
      </c>
      <c r="T3525" s="2" t="n">
        <v>1</v>
      </c>
      <c r="U3525" s="2" t="n">
        <v>2</v>
      </c>
      <c r="V3525" s="2" t="n">
        <v>4</v>
      </c>
      <c r="W3525" s="2" t="n">
        <v>2</v>
      </c>
      <c r="X3525" s="2" t="n">
        <v>3</v>
      </c>
      <c r="Y3525" s="2" t="n">
        <v>3</v>
      </c>
      <c r="Z3525" s="2" t="n">
        <v>3</v>
      </c>
    </row>
    <row r="3526" customFormat="false" ht="15" hidden="false" customHeight="true" outlineLevel="0" collapsed="false">
      <c r="A3526" s="2" t="n">
        <v>28</v>
      </c>
      <c r="B3526" s="2" t="s">
        <v>33</v>
      </c>
      <c r="C3526" s="2" t="s">
        <v>27</v>
      </c>
      <c r="D3526" s="2" t="s">
        <v>35</v>
      </c>
      <c r="E3526" s="2" t="n">
        <v>15</v>
      </c>
      <c r="F3526" s="2" t="n">
        <v>4</v>
      </c>
      <c r="G3526" s="2" t="s">
        <v>29</v>
      </c>
      <c r="H3526" s="2" t="n">
        <v>3525</v>
      </c>
      <c r="I3526" s="2" t="s">
        <v>39</v>
      </c>
      <c r="J3526" s="2" t="n">
        <v>2</v>
      </c>
      <c r="K3526" s="2" t="s">
        <v>40</v>
      </c>
      <c r="L3526" s="2" t="s">
        <v>32</v>
      </c>
      <c r="M3526" s="2" t="n">
        <v>41970</v>
      </c>
      <c r="N3526" s="2" t="n">
        <v>1</v>
      </c>
      <c r="O3526" s="2" t="n">
        <v>13</v>
      </c>
      <c r="P3526" s="2" t="n">
        <v>0</v>
      </c>
      <c r="Q3526" s="2" t="n">
        <v>1</v>
      </c>
      <c r="R3526" s="2" t="n">
        <v>3</v>
      </c>
      <c r="S3526" s="2" t="n">
        <v>1</v>
      </c>
      <c r="T3526" s="2" t="n">
        <v>0</v>
      </c>
      <c r="U3526" s="2" t="n">
        <v>0</v>
      </c>
      <c r="V3526" s="2" t="n">
        <v>3</v>
      </c>
      <c r="W3526" s="2" t="n">
        <v>4</v>
      </c>
      <c r="X3526" s="2" t="n">
        <v>2</v>
      </c>
      <c r="Y3526" s="2" t="n">
        <v>1</v>
      </c>
      <c r="Z3526" s="2" t="n">
        <v>3</v>
      </c>
    </row>
    <row r="3527" customFormat="false" ht="15" hidden="false" customHeight="true" outlineLevel="0" collapsed="false">
      <c r="A3527" s="2" t="n">
        <v>26</v>
      </c>
      <c r="B3527" s="2" t="s">
        <v>26</v>
      </c>
      <c r="C3527" s="2" t="s">
        <v>27</v>
      </c>
      <c r="D3527" s="2" t="s">
        <v>35</v>
      </c>
      <c r="E3527" s="2" t="n">
        <v>1</v>
      </c>
      <c r="F3527" s="2" t="n">
        <v>4</v>
      </c>
      <c r="G3527" s="2" t="s">
        <v>29</v>
      </c>
      <c r="H3527" s="2" t="n">
        <v>3526</v>
      </c>
      <c r="I3527" s="2" t="s">
        <v>39</v>
      </c>
      <c r="J3527" s="2" t="n">
        <v>2</v>
      </c>
      <c r="K3527" s="2" t="s">
        <v>48</v>
      </c>
      <c r="L3527" s="2" t="s">
        <v>32</v>
      </c>
      <c r="M3527" s="2" t="n">
        <v>143360</v>
      </c>
      <c r="N3527" s="2" t="n">
        <v>1</v>
      </c>
      <c r="O3527" s="2" t="n">
        <v>21</v>
      </c>
      <c r="P3527" s="2" t="n">
        <v>1</v>
      </c>
      <c r="Q3527" s="2" t="n">
        <v>8</v>
      </c>
      <c r="R3527" s="2" t="n">
        <v>3</v>
      </c>
      <c r="S3527" s="2" t="n">
        <v>8</v>
      </c>
      <c r="T3527" s="2" t="n">
        <v>0</v>
      </c>
      <c r="U3527" s="2" t="n">
        <v>7</v>
      </c>
      <c r="V3527" s="2" t="n">
        <v>1</v>
      </c>
      <c r="W3527" s="2" t="n">
        <v>4</v>
      </c>
      <c r="X3527" s="2" t="n">
        <v>3</v>
      </c>
      <c r="Y3527" s="2" t="n">
        <v>3</v>
      </c>
      <c r="Z3527" s="2" t="n">
        <v>4</v>
      </c>
    </row>
    <row r="3528" customFormat="false" ht="15" hidden="false" customHeight="true" outlineLevel="0" collapsed="false">
      <c r="A3528" s="2" t="n">
        <v>30</v>
      </c>
      <c r="B3528" s="2" t="s">
        <v>26</v>
      </c>
      <c r="C3528" s="2" t="s">
        <v>27</v>
      </c>
      <c r="D3528" s="2" t="s">
        <v>35</v>
      </c>
      <c r="E3528" s="2" t="n">
        <v>7</v>
      </c>
      <c r="F3528" s="2" t="n">
        <v>2</v>
      </c>
      <c r="G3528" s="2" t="s">
        <v>29</v>
      </c>
      <c r="H3528" s="2" t="n">
        <v>3527</v>
      </c>
      <c r="I3528" s="2" t="s">
        <v>30</v>
      </c>
      <c r="J3528" s="2" t="n">
        <v>1</v>
      </c>
      <c r="K3528" s="2" t="s">
        <v>47</v>
      </c>
      <c r="L3528" s="2" t="s">
        <v>32</v>
      </c>
      <c r="M3528" s="2" t="n">
        <v>34480</v>
      </c>
      <c r="N3528" s="2" t="n">
        <v>1</v>
      </c>
      <c r="O3528" s="2" t="n">
        <v>11</v>
      </c>
      <c r="P3528" s="2" t="n">
        <v>0</v>
      </c>
      <c r="Q3528" s="2" t="n">
        <v>10</v>
      </c>
      <c r="R3528" s="2" t="n">
        <v>3</v>
      </c>
      <c r="S3528" s="2" t="n">
        <v>10</v>
      </c>
      <c r="T3528" s="2" t="n">
        <v>1</v>
      </c>
      <c r="U3528" s="2" t="n">
        <v>4</v>
      </c>
      <c r="V3528" s="2" t="n">
        <v>3</v>
      </c>
      <c r="W3528" s="2"/>
      <c r="X3528" s="2" t="n">
        <v>3</v>
      </c>
      <c r="Y3528" s="2" t="n">
        <v>3</v>
      </c>
      <c r="Z3528" s="2" t="n">
        <v>3</v>
      </c>
    </row>
    <row r="3529" customFormat="false" ht="15" hidden="false" customHeight="true" outlineLevel="0" collapsed="false">
      <c r="A3529" s="2" t="n">
        <v>40</v>
      </c>
      <c r="B3529" s="2" t="s">
        <v>26</v>
      </c>
      <c r="C3529" s="2" t="s">
        <v>34</v>
      </c>
      <c r="D3529" s="2" t="s">
        <v>35</v>
      </c>
      <c r="E3529" s="2" t="n">
        <v>26</v>
      </c>
      <c r="F3529" s="2" t="n">
        <v>4</v>
      </c>
      <c r="G3529" s="2" t="s">
        <v>29</v>
      </c>
      <c r="H3529" s="2" t="n">
        <v>3528</v>
      </c>
      <c r="I3529" s="2" t="s">
        <v>39</v>
      </c>
      <c r="J3529" s="2" t="n">
        <v>2</v>
      </c>
      <c r="K3529" s="2" t="s">
        <v>36</v>
      </c>
      <c r="L3529" s="2" t="s">
        <v>32</v>
      </c>
      <c r="M3529" s="2" t="n">
        <v>194060</v>
      </c>
      <c r="N3529" s="2" t="n">
        <v>3</v>
      </c>
      <c r="O3529" s="2" t="n">
        <v>20</v>
      </c>
      <c r="P3529" s="2" t="n">
        <v>3</v>
      </c>
      <c r="Q3529" s="2" t="n">
        <v>16</v>
      </c>
      <c r="R3529" s="2" t="n">
        <v>2</v>
      </c>
      <c r="S3529" s="2" t="n">
        <v>1</v>
      </c>
      <c r="T3529" s="2" t="n">
        <v>0</v>
      </c>
      <c r="U3529" s="2" t="n">
        <v>0</v>
      </c>
      <c r="V3529" s="2" t="n">
        <v>3</v>
      </c>
      <c r="W3529" s="2" t="n">
        <v>4</v>
      </c>
      <c r="X3529" s="2" t="n">
        <v>1</v>
      </c>
      <c r="Y3529" s="2" t="n">
        <v>3</v>
      </c>
      <c r="Z3529" s="2" t="n">
        <v>4</v>
      </c>
    </row>
    <row r="3530" customFormat="false" ht="15" hidden="false" customHeight="true" outlineLevel="0" collapsed="false">
      <c r="A3530" s="2" t="n">
        <v>35</v>
      </c>
      <c r="B3530" s="2" t="s">
        <v>26</v>
      </c>
      <c r="C3530" s="2" t="s">
        <v>27</v>
      </c>
      <c r="D3530" s="2" t="s">
        <v>35</v>
      </c>
      <c r="E3530" s="2" t="n">
        <v>18</v>
      </c>
      <c r="F3530" s="2" t="n">
        <v>5</v>
      </c>
      <c r="G3530" s="2" t="s">
        <v>43</v>
      </c>
      <c r="H3530" s="2" t="n">
        <v>3529</v>
      </c>
      <c r="I3530" s="2" t="s">
        <v>30</v>
      </c>
      <c r="J3530" s="2" t="n">
        <v>2</v>
      </c>
      <c r="K3530" s="2" t="s">
        <v>36</v>
      </c>
      <c r="L3530" s="2" t="s">
        <v>46</v>
      </c>
      <c r="M3530" s="2" t="n">
        <v>65380</v>
      </c>
      <c r="N3530" s="2" t="n">
        <v>2</v>
      </c>
      <c r="O3530" s="2" t="n">
        <v>16</v>
      </c>
      <c r="P3530" s="2" t="n">
        <v>1</v>
      </c>
      <c r="Q3530" s="2" t="n">
        <v>15</v>
      </c>
      <c r="R3530" s="2" t="n">
        <v>3</v>
      </c>
      <c r="S3530" s="2" t="n">
        <v>7</v>
      </c>
      <c r="T3530" s="2" t="n">
        <v>6</v>
      </c>
      <c r="U3530" s="2" t="n">
        <v>4</v>
      </c>
      <c r="V3530" s="2" t="n">
        <v>3</v>
      </c>
      <c r="W3530" s="2" t="n">
        <v>2</v>
      </c>
      <c r="X3530" s="2" t="n">
        <v>4</v>
      </c>
      <c r="Y3530" s="2" t="n">
        <v>3</v>
      </c>
      <c r="Z3530" s="2" t="n">
        <v>3</v>
      </c>
    </row>
    <row r="3531" customFormat="false" ht="15" hidden="false" customHeight="true" outlineLevel="0" collapsed="false">
      <c r="A3531" s="2" t="n">
        <v>34</v>
      </c>
      <c r="B3531" s="2" t="s">
        <v>26</v>
      </c>
      <c r="C3531" s="2" t="s">
        <v>34</v>
      </c>
      <c r="D3531" s="2" t="s">
        <v>35</v>
      </c>
      <c r="E3531" s="2" t="n">
        <v>6</v>
      </c>
      <c r="F3531" s="2" t="n">
        <v>2</v>
      </c>
      <c r="G3531" s="2" t="s">
        <v>29</v>
      </c>
      <c r="H3531" s="2" t="n">
        <v>3530</v>
      </c>
      <c r="I3531" s="2" t="s">
        <v>39</v>
      </c>
      <c r="J3531" s="2" t="n">
        <v>1</v>
      </c>
      <c r="K3531" s="2" t="s">
        <v>44</v>
      </c>
      <c r="L3531" s="2" t="s">
        <v>37</v>
      </c>
      <c r="M3531" s="2" t="n">
        <v>43060</v>
      </c>
      <c r="N3531" s="2" t="n">
        <v>0</v>
      </c>
      <c r="O3531" s="2" t="n">
        <v>11</v>
      </c>
      <c r="P3531" s="2" t="n">
        <v>0</v>
      </c>
      <c r="Q3531" s="2" t="n">
        <v>14</v>
      </c>
      <c r="R3531" s="2" t="n">
        <v>2</v>
      </c>
      <c r="S3531" s="2" t="n">
        <v>13</v>
      </c>
      <c r="T3531" s="2" t="n">
        <v>4</v>
      </c>
      <c r="U3531" s="2" t="n">
        <v>9</v>
      </c>
      <c r="V3531" s="2" t="n">
        <v>4</v>
      </c>
      <c r="W3531" s="2" t="n">
        <v>1</v>
      </c>
      <c r="X3531" s="2" t="n">
        <v>3</v>
      </c>
      <c r="Y3531" s="2" t="n">
        <v>3</v>
      </c>
      <c r="Z3531" s="2" t="n">
        <v>3</v>
      </c>
    </row>
    <row r="3532" customFormat="false" ht="15" hidden="false" customHeight="true" outlineLevel="0" collapsed="false">
      <c r="A3532" s="2" t="n">
        <v>35</v>
      </c>
      <c r="B3532" s="2" t="s">
        <v>26</v>
      </c>
      <c r="C3532" s="2" t="s">
        <v>34</v>
      </c>
      <c r="D3532" s="2" t="s">
        <v>35</v>
      </c>
      <c r="E3532" s="2" t="n">
        <v>3</v>
      </c>
      <c r="F3532" s="2" t="n">
        <v>3</v>
      </c>
      <c r="G3532" s="2" t="s">
        <v>43</v>
      </c>
      <c r="H3532" s="2" t="n">
        <v>3531</v>
      </c>
      <c r="I3532" s="2" t="s">
        <v>30</v>
      </c>
      <c r="J3532" s="2" t="n">
        <v>2</v>
      </c>
      <c r="K3532" s="2" t="s">
        <v>45</v>
      </c>
      <c r="L3532" s="2" t="s">
        <v>32</v>
      </c>
      <c r="M3532" s="2" t="n">
        <v>22580</v>
      </c>
      <c r="N3532" s="2" t="n">
        <v>1</v>
      </c>
      <c r="O3532" s="2" t="n">
        <v>11</v>
      </c>
      <c r="P3532" s="2" t="n">
        <v>1</v>
      </c>
      <c r="Q3532" s="2" t="n">
        <v>2</v>
      </c>
      <c r="R3532" s="2" t="n">
        <v>2</v>
      </c>
      <c r="S3532" s="2" t="n">
        <v>2</v>
      </c>
      <c r="T3532" s="2" t="n">
        <v>2</v>
      </c>
      <c r="U3532" s="2" t="n">
        <v>2</v>
      </c>
      <c r="V3532" s="2" t="n">
        <v>4</v>
      </c>
      <c r="W3532" s="2" t="n">
        <v>4</v>
      </c>
      <c r="X3532" s="2" t="n">
        <v>4</v>
      </c>
      <c r="Y3532" s="2" t="n">
        <v>3</v>
      </c>
      <c r="Z3532" s="2" t="n">
        <v>3</v>
      </c>
    </row>
    <row r="3533" customFormat="false" ht="15" hidden="false" customHeight="true" outlineLevel="0" collapsed="false">
      <c r="A3533" s="2" t="n">
        <v>43</v>
      </c>
      <c r="B3533" s="2" t="s">
        <v>33</v>
      </c>
      <c r="C3533" s="2" t="s">
        <v>27</v>
      </c>
      <c r="D3533" s="2" t="s">
        <v>28</v>
      </c>
      <c r="E3533" s="2" t="n">
        <v>5</v>
      </c>
      <c r="F3533" s="2" t="n">
        <v>3</v>
      </c>
      <c r="G3533" s="2" t="s">
        <v>50</v>
      </c>
      <c r="H3533" s="2" t="n">
        <v>3532</v>
      </c>
      <c r="I3533" s="2" t="s">
        <v>30</v>
      </c>
      <c r="J3533" s="2" t="n">
        <v>3</v>
      </c>
      <c r="K3533" s="2" t="s">
        <v>36</v>
      </c>
      <c r="L3533" s="2" t="s">
        <v>37</v>
      </c>
      <c r="M3533" s="2" t="n">
        <v>45220</v>
      </c>
      <c r="N3533" s="2" t="n">
        <v>8</v>
      </c>
      <c r="O3533" s="2" t="n">
        <v>15</v>
      </c>
      <c r="P3533" s="2" t="n">
        <v>1</v>
      </c>
      <c r="Q3533" s="2" t="n">
        <v>7</v>
      </c>
      <c r="R3533" s="2" t="n">
        <v>3</v>
      </c>
      <c r="S3533" s="2" t="n">
        <v>4</v>
      </c>
      <c r="T3533" s="2" t="n">
        <v>1</v>
      </c>
      <c r="U3533" s="2" t="n">
        <v>3</v>
      </c>
      <c r="V3533" s="2" t="n">
        <v>1</v>
      </c>
      <c r="W3533" s="2" t="n">
        <v>3</v>
      </c>
      <c r="X3533" s="2" t="n">
        <v>2</v>
      </c>
      <c r="Y3533" s="2" t="n">
        <v>3</v>
      </c>
      <c r="Z3533" s="2" t="n">
        <v>3</v>
      </c>
    </row>
    <row r="3534" customFormat="false" ht="15" hidden="false" customHeight="true" outlineLevel="0" collapsed="false">
      <c r="A3534" s="2" t="n">
        <v>32</v>
      </c>
      <c r="B3534" s="2" t="s">
        <v>26</v>
      </c>
      <c r="C3534" s="2" t="s">
        <v>41</v>
      </c>
      <c r="D3534" s="2" t="s">
        <v>35</v>
      </c>
      <c r="E3534" s="2" t="n">
        <v>11</v>
      </c>
      <c r="F3534" s="2" t="n">
        <v>2</v>
      </c>
      <c r="G3534" s="2" t="s">
        <v>38</v>
      </c>
      <c r="H3534" s="2" t="n">
        <v>3533</v>
      </c>
      <c r="I3534" s="2" t="s">
        <v>30</v>
      </c>
      <c r="J3534" s="2" t="n">
        <v>2</v>
      </c>
      <c r="K3534" s="2" t="s">
        <v>36</v>
      </c>
      <c r="L3534" s="2" t="s">
        <v>46</v>
      </c>
      <c r="M3534" s="2" t="n">
        <v>44870</v>
      </c>
      <c r="N3534" s="2" t="n">
        <v>1</v>
      </c>
      <c r="O3534" s="2" t="n">
        <v>11</v>
      </c>
      <c r="P3534" s="2" t="n">
        <v>0</v>
      </c>
      <c r="Q3534" s="2" t="n">
        <v>1</v>
      </c>
      <c r="R3534" s="2" t="n">
        <v>5</v>
      </c>
      <c r="S3534" s="2" t="n">
        <v>1</v>
      </c>
      <c r="T3534" s="2" t="n">
        <v>0</v>
      </c>
      <c r="U3534" s="2" t="n">
        <v>0</v>
      </c>
      <c r="V3534" s="2" t="n">
        <v>3</v>
      </c>
      <c r="W3534" s="2" t="n">
        <v>1</v>
      </c>
      <c r="X3534" s="2" t="n">
        <v>3</v>
      </c>
      <c r="Y3534" s="2" t="n">
        <v>2</v>
      </c>
      <c r="Z3534" s="2" t="n">
        <v>3</v>
      </c>
    </row>
    <row r="3535" customFormat="false" ht="15" hidden="false" customHeight="true" outlineLevel="0" collapsed="false">
      <c r="A3535" s="2" t="n">
        <v>56</v>
      </c>
      <c r="B3535" s="2" t="s">
        <v>26</v>
      </c>
      <c r="C3535" s="2" t="s">
        <v>27</v>
      </c>
      <c r="D3535" s="2" t="s">
        <v>35</v>
      </c>
      <c r="E3535" s="2" t="n">
        <v>3</v>
      </c>
      <c r="F3535" s="2" t="n">
        <v>2</v>
      </c>
      <c r="G3535" s="2" t="s">
        <v>38</v>
      </c>
      <c r="H3535" s="2" t="n">
        <v>3534</v>
      </c>
      <c r="I3535" s="2" t="s">
        <v>39</v>
      </c>
      <c r="J3535" s="2" t="n">
        <v>2</v>
      </c>
      <c r="K3535" s="2" t="s">
        <v>31</v>
      </c>
      <c r="L3535" s="2" t="s">
        <v>46</v>
      </c>
      <c r="M3535" s="2" t="n">
        <v>44490</v>
      </c>
      <c r="N3535" s="2"/>
      <c r="O3535" s="2" t="n">
        <v>15</v>
      </c>
      <c r="P3535" s="2" t="n">
        <v>0</v>
      </c>
      <c r="Q3535" s="2" t="n">
        <v>28</v>
      </c>
      <c r="R3535" s="2" t="n">
        <v>3</v>
      </c>
      <c r="S3535" s="2" t="n">
        <v>5</v>
      </c>
      <c r="T3535" s="2" t="n">
        <v>4</v>
      </c>
      <c r="U3535" s="2" t="n">
        <v>2</v>
      </c>
      <c r="V3535" s="2" t="n">
        <v>4</v>
      </c>
      <c r="W3535" s="2" t="n">
        <v>1</v>
      </c>
      <c r="X3535" s="2" t="n">
        <v>3</v>
      </c>
      <c r="Y3535" s="2" t="n">
        <v>1</v>
      </c>
      <c r="Z3535" s="2" t="n">
        <v>3</v>
      </c>
    </row>
    <row r="3536" customFormat="false" ht="15" hidden="false" customHeight="true" outlineLevel="0" collapsed="false">
      <c r="A3536" s="2" t="n">
        <v>29</v>
      </c>
      <c r="B3536" s="2" t="s">
        <v>26</v>
      </c>
      <c r="C3536" s="2" t="s">
        <v>27</v>
      </c>
      <c r="D3536" s="2" t="s">
        <v>35</v>
      </c>
      <c r="E3536" s="2" t="n">
        <v>26</v>
      </c>
      <c r="F3536" s="2" t="n">
        <v>1</v>
      </c>
      <c r="G3536" s="2" t="s">
        <v>29</v>
      </c>
      <c r="H3536" s="2" t="n">
        <v>3535</v>
      </c>
      <c r="I3536" s="2" t="s">
        <v>39</v>
      </c>
      <c r="J3536" s="2" t="n">
        <v>1</v>
      </c>
      <c r="K3536" s="2" t="s">
        <v>45</v>
      </c>
      <c r="L3536" s="2" t="s">
        <v>32</v>
      </c>
      <c r="M3536" s="2" t="n">
        <v>22180</v>
      </c>
      <c r="N3536" s="2" t="n">
        <v>1</v>
      </c>
      <c r="O3536" s="2" t="n">
        <v>24</v>
      </c>
      <c r="P3536" s="2" t="n">
        <v>1</v>
      </c>
      <c r="Q3536" s="2" t="n">
        <v>10</v>
      </c>
      <c r="R3536" s="2" t="n">
        <v>1</v>
      </c>
      <c r="S3536" s="2" t="n">
        <v>10</v>
      </c>
      <c r="T3536" s="2" t="n">
        <v>0</v>
      </c>
      <c r="U3536" s="2" t="n">
        <v>8</v>
      </c>
      <c r="V3536" s="2"/>
      <c r="W3536" s="2" t="n">
        <v>4</v>
      </c>
      <c r="X3536" s="2" t="n">
        <v>3</v>
      </c>
      <c r="Y3536" s="2" t="n">
        <v>3</v>
      </c>
      <c r="Z3536" s="2" t="n">
        <v>4</v>
      </c>
    </row>
    <row r="3537" customFormat="false" ht="15" hidden="false" customHeight="true" outlineLevel="0" collapsed="false">
      <c r="A3537" s="2" t="n">
        <v>19</v>
      </c>
      <c r="B3537" s="2" t="s">
        <v>26</v>
      </c>
      <c r="C3537" s="2" t="s">
        <v>27</v>
      </c>
      <c r="D3537" s="2" t="s">
        <v>35</v>
      </c>
      <c r="E3537" s="2" t="n">
        <v>23</v>
      </c>
      <c r="F3537" s="2" t="n">
        <v>4</v>
      </c>
      <c r="G3537" s="2" t="s">
        <v>29</v>
      </c>
      <c r="H3537" s="2" t="n">
        <v>3536</v>
      </c>
      <c r="I3537" s="2" t="s">
        <v>39</v>
      </c>
      <c r="J3537" s="2" t="n">
        <v>2</v>
      </c>
      <c r="K3537" s="2" t="s">
        <v>45</v>
      </c>
      <c r="L3537" s="2" t="s">
        <v>37</v>
      </c>
      <c r="M3537" s="2" t="n">
        <v>191970</v>
      </c>
      <c r="N3537" s="2" t="n">
        <v>1</v>
      </c>
      <c r="O3537" s="2" t="n">
        <v>12</v>
      </c>
      <c r="P3537" s="2" t="n">
        <v>0</v>
      </c>
      <c r="Q3537" s="2" t="n">
        <v>1</v>
      </c>
      <c r="R3537" s="2" t="n">
        <v>2</v>
      </c>
      <c r="S3537" s="2" t="n">
        <v>1</v>
      </c>
      <c r="T3537" s="2" t="n">
        <v>0</v>
      </c>
      <c r="U3537" s="2" t="n">
        <v>0</v>
      </c>
      <c r="V3537" s="2" t="n">
        <v>3</v>
      </c>
      <c r="W3537" s="2" t="n">
        <v>1</v>
      </c>
      <c r="X3537" s="2" t="n">
        <v>3</v>
      </c>
      <c r="Y3537" s="2" t="n">
        <v>3</v>
      </c>
      <c r="Z3537" s="2" t="n">
        <v>3</v>
      </c>
    </row>
    <row r="3538" customFormat="false" ht="15" hidden="false" customHeight="true" outlineLevel="0" collapsed="false">
      <c r="A3538" s="2" t="n">
        <v>45</v>
      </c>
      <c r="B3538" s="2" t="s">
        <v>26</v>
      </c>
      <c r="C3538" s="2" t="s">
        <v>27</v>
      </c>
      <c r="D3538" s="2" t="s">
        <v>35</v>
      </c>
      <c r="E3538" s="2" t="n">
        <v>22</v>
      </c>
      <c r="F3538" s="2" t="n">
        <v>3</v>
      </c>
      <c r="G3538" s="2" t="s">
        <v>29</v>
      </c>
      <c r="H3538" s="2" t="n">
        <v>3537</v>
      </c>
      <c r="I3538" s="2" t="s">
        <v>30</v>
      </c>
      <c r="J3538" s="2" t="n">
        <v>2</v>
      </c>
      <c r="K3538" s="2" t="s">
        <v>48</v>
      </c>
      <c r="L3538" s="2" t="s">
        <v>32</v>
      </c>
      <c r="M3538" s="2" t="n">
        <v>132120</v>
      </c>
      <c r="N3538" s="2" t="n">
        <v>4</v>
      </c>
      <c r="O3538" s="2" t="n">
        <v>13</v>
      </c>
      <c r="P3538" s="2" t="n">
        <v>0</v>
      </c>
      <c r="Q3538" s="2" t="n">
        <v>7</v>
      </c>
      <c r="R3538" s="2" t="n">
        <v>4</v>
      </c>
      <c r="S3538" s="2" t="n">
        <v>3</v>
      </c>
      <c r="T3538" s="2" t="n">
        <v>0</v>
      </c>
      <c r="U3538" s="2" t="n">
        <v>2</v>
      </c>
      <c r="V3538" s="2" t="n">
        <v>1</v>
      </c>
      <c r="W3538" s="2" t="n">
        <v>3</v>
      </c>
      <c r="X3538" s="2" t="n">
        <v>2</v>
      </c>
      <c r="Y3538" s="2" t="n">
        <v>3</v>
      </c>
      <c r="Z3538" s="2" t="n">
        <v>3</v>
      </c>
    </row>
    <row r="3539" customFormat="false" ht="15" hidden="false" customHeight="true" outlineLevel="0" collapsed="false">
      <c r="A3539" s="2" t="n">
        <v>37</v>
      </c>
      <c r="B3539" s="2" t="s">
        <v>26</v>
      </c>
      <c r="C3539" s="2" t="s">
        <v>27</v>
      </c>
      <c r="D3539" s="2" t="s">
        <v>35</v>
      </c>
      <c r="E3539" s="2" t="n">
        <v>14</v>
      </c>
      <c r="F3539" s="2" t="n">
        <v>4</v>
      </c>
      <c r="G3539" s="2" t="s">
        <v>29</v>
      </c>
      <c r="H3539" s="2" t="n">
        <v>3538</v>
      </c>
      <c r="I3539" s="2" t="s">
        <v>39</v>
      </c>
      <c r="J3539" s="2" t="n">
        <v>3</v>
      </c>
      <c r="K3539" s="2" t="s">
        <v>36</v>
      </c>
      <c r="L3539" s="2" t="s">
        <v>32</v>
      </c>
      <c r="M3539" s="2" t="n">
        <v>65770</v>
      </c>
      <c r="N3539" s="2" t="n">
        <v>1</v>
      </c>
      <c r="O3539" s="2" t="n">
        <v>13</v>
      </c>
      <c r="P3539" s="2" t="n">
        <v>0</v>
      </c>
      <c r="Q3539" s="2" t="n">
        <v>14</v>
      </c>
      <c r="R3539" s="2" t="n">
        <v>1</v>
      </c>
      <c r="S3539" s="2" t="n">
        <v>14</v>
      </c>
      <c r="T3539" s="2" t="n">
        <v>3</v>
      </c>
      <c r="U3539" s="2" t="n">
        <v>11</v>
      </c>
      <c r="V3539" s="2" t="n">
        <v>4</v>
      </c>
      <c r="W3539" s="2" t="n">
        <v>4</v>
      </c>
      <c r="X3539" s="2" t="n">
        <v>2</v>
      </c>
      <c r="Y3539" s="2" t="n">
        <v>1</v>
      </c>
      <c r="Z3539" s="2" t="n">
        <v>3</v>
      </c>
    </row>
    <row r="3540" customFormat="false" ht="15" hidden="false" customHeight="true" outlineLevel="0" collapsed="false">
      <c r="A3540" s="2" t="n">
        <v>20</v>
      </c>
      <c r="B3540" s="2" t="s">
        <v>26</v>
      </c>
      <c r="C3540" s="2" t="s">
        <v>27</v>
      </c>
      <c r="D3540" s="2" t="s">
        <v>35</v>
      </c>
      <c r="E3540" s="2" t="n">
        <v>6</v>
      </c>
      <c r="F3540" s="2" t="n">
        <v>3</v>
      </c>
      <c r="G3540" s="2" t="s">
        <v>43</v>
      </c>
      <c r="H3540" s="2" t="n">
        <v>3539</v>
      </c>
      <c r="I3540" s="2" t="s">
        <v>39</v>
      </c>
      <c r="J3540" s="2" t="n">
        <v>5</v>
      </c>
      <c r="K3540" s="2" t="s">
        <v>44</v>
      </c>
      <c r="L3540" s="2" t="s">
        <v>37</v>
      </c>
      <c r="M3540" s="2" t="n">
        <v>83920</v>
      </c>
      <c r="N3540" s="2" t="n">
        <v>1</v>
      </c>
      <c r="O3540" s="2" t="n">
        <v>17</v>
      </c>
      <c r="P3540" s="2" t="n">
        <v>0</v>
      </c>
      <c r="Q3540" s="2" t="n">
        <v>2</v>
      </c>
      <c r="R3540" s="2" t="n">
        <v>5</v>
      </c>
      <c r="S3540" s="2" t="n">
        <v>2</v>
      </c>
      <c r="T3540" s="2" t="n">
        <v>1</v>
      </c>
      <c r="U3540" s="2" t="n">
        <v>2</v>
      </c>
      <c r="V3540" s="2" t="n">
        <v>1</v>
      </c>
      <c r="W3540" s="2" t="n">
        <v>3</v>
      </c>
      <c r="X3540" s="2" t="n">
        <v>2</v>
      </c>
      <c r="Y3540" s="2" t="n">
        <v>3</v>
      </c>
      <c r="Z3540" s="2" t="n">
        <v>3</v>
      </c>
    </row>
    <row r="3541" customFormat="false" ht="15" hidden="false" customHeight="true" outlineLevel="0" collapsed="false">
      <c r="A3541" s="2" t="n">
        <v>44</v>
      </c>
      <c r="B3541" s="2" t="s">
        <v>33</v>
      </c>
      <c r="C3541" s="2" t="s">
        <v>27</v>
      </c>
      <c r="D3541" s="2" t="s">
        <v>42</v>
      </c>
      <c r="E3541" s="2" t="n">
        <v>6</v>
      </c>
      <c r="F3541" s="2" t="n">
        <v>2</v>
      </c>
      <c r="G3541" s="2" t="s">
        <v>42</v>
      </c>
      <c r="H3541" s="2" t="n">
        <v>3540</v>
      </c>
      <c r="I3541" s="2" t="s">
        <v>39</v>
      </c>
      <c r="J3541" s="2" t="n">
        <v>3</v>
      </c>
      <c r="K3541" s="2" t="s">
        <v>40</v>
      </c>
      <c r="L3541" s="2" t="s">
        <v>37</v>
      </c>
      <c r="M3541" s="2" t="n">
        <v>45580</v>
      </c>
      <c r="N3541" s="2" t="n">
        <v>1</v>
      </c>
      <c r="O3541" s="2" t="n">
        <v>13</v>
      </c>
      <c r="P3541" s="2" t="n">
        <v>1</v>
      </c>
      <c r="Q3541" s="2" t="n">
        <v>6</v>
      </c>
      <c r="R3541" s="2" t="n">
        <v>2</v>
      </c>
      <c r="S3541" s="2" t="n">
        <v>6</v>
      </c>
      <c r="T3541" s="2" t="n">
        <v>0</v>
      </c>
      <c r="U3541" s="2" t="n">
        <v>2</v>
      </c>
      <c r="V3541" s="2" t="n">
        <v>3</v>
      </c>
      <c r="W3541" s="2" t="n">
        <v>3</v>
      </c>
      <c r="X3541" s="2" t="n">
        <v>3</v>
      </c>
      <c r="Y3541" s="2" t="n">
        <v>1</v>
      </c>
      <c r="Z3541" s="2" t="n">
        <v>3</v>
      </c>
    </row>
    <row r="3542" customFormat="false" ht="15" hidden="false" customHeight="true" outlineLevel="0" collapsed="false">
      <c r="A3542" s="2" t="n">
        <v>53</v>
      </c>
      <c r="B3542" s="2" t="s">
        <v>26</v>
      </c>
      <c r="C3542" s="2" t="s">
        <v>27</v>
      </c>
      <c r="D3542" s="2" t="s">
        <v>35</v>
      </c>
      <c r="E3542" s="2" t="n">
        <v>6</v>
      </c>
      <c r="F3542" s="2" t="n">
        <v>4</v>
      </c>
      <c r="G3542" s="2" t="s">
        <v>29</v>
      </c>
      <c r="H3542" s="2" t="n">
        <v>3541</v>
      </c>
      <c r="I3542" s="2" t="s">
        <v>39</v>
      </c>
      <c r="J3542" s="2" t="n">
        <v>1</v>
      </c>
      <c r="K3542" s="2" t="s">
        <v>44</v>
      </c>
      <c r="L3542" s="2" t="s">
        <v>46</v>
      </c>
      <c r="M3542" s="2" t="n">
        <v>40310</v>
      </c>
      <c r="N3542" s="2" t="n">
        <v>3</v>
      </c>
      <c r="O3542" s="2" t="n">
        <v>12</v>
      </c>
      <c r="P3542" s="2" t="n">
        <v>1</v>
      </c>
      <c r="Q3542" s="2" t="n">
        <v>26</v>
      </c>
      <c r="R3542" s="2" t="n">
        <v>3</v>
      </c>
      <c r="S3542" s="2" t="n">
        <v>7</v>
      </c>
      <c r="T3542" s="2" t="n">
        <v>4</v>
      </c>
      <c r="U3542" s="2" t="n">
        <v>7</v>
      </c>
      <c r="V3542" s="2" t="n">
        <v>4</v>
      </c>
      <c r="W3542" s="2" t="n">
        <v>3</v>
      </c>
      <c r="X3542" s="2" t="n">
        <v>3</v>
      </c>
      <c r="Y3542" s="2" t="n">
        <v>2</v>
      </c>
      <c r="Z3542" s="2" t="n">
        <v>3</v>
      </c>
    </row>
    <row r="3543" customFormat="false" ht="15" hidden="false" customHeight="true" outlineLevel="0" collapsed="false">
      <c r="A3543" s="2" t="n">
        <v>29</v>
      </c>
      <c r="B3543" s="2" t="s">
        <v>26</v>
      </c>
      <c r="C3543" s="2" t="s">
        <v>27</v>
      </c>
      <c r="D3543" s="2" t="s">
        <v>35</v>
      </c>
      <c r="E3543" s="2" t="n">
        <v>23</v>
      </c>
      <c r="F3543" s="2" t="n">
        <v>3</v>
      </c>
      <c r="G3543" s="2" t="s">
        <v>43</v>
      </c>
      <c r="H3543" s="2" t="n">
        <v>3542</v>
      </c>
      <c r="I3543" s="2" t="s">
        <v>39</v>
      </c>
      <c r="J3543" s="2" t="n">
        <v>1</v>
      </c>
      <c r="K3543" s="2" t="s">
        <v>40</v>
      </c>
      <c r="L3543" s="2" t="s">
        <v>32</v>
      </c>
      <c r="M3543" s="2" t="n">
        <v>79690</v>
      </c>
      <c r="N3543" s="2" t="n">
        <v>0</v>
      </c>
      <c r="O3543" s="2" t="n">
        <v>14</v>
      </c>
      <c r="P3543" s="2" t="n">
        <v>0</v>
      </c>
      <c r="Q3543" s="2" t="n">
        <v>6</v>
      </c>
      <c r="R3543" s="2" t="n">
        <v>3</v>
      </c>
      <c r="S3543" s="2" t="n">
        <v>5</v>
      </c>
      <c r="T3543" s="2" t="n">
        <v>1</v>
      </c>
      <c r="U3543" s="2" t="n">
        <v>3</v>
      </c>
      <c r="V3543" s="2" t="n">
        <v>2</v>
      </c>
      <c r="W3543" s="2" t="n">
        <v>4</v>
      </c>
      <c r="X3543" s="2" t="n">
        <v>2</v>
      </c>
      <c r="Y3543" s="2" t="n">
        <v>3</v>
      </c>
      <c r="Z3543" s="2" t="n">
        <v>3</v>
      </c>
    </row>
    <row r="3544" customFormat="false" ht="15" hidden="false" customHeight="true" outlineLevel="0" collapsed="false">
      <c r="A3544" s="2" t="n">
        <v>22</v>
      </c>
      <c r="B3544" s="2" t="s">
        <v>33</v>
      </c>
      <c r="C3544" s="2" t="s">
        <v>34</v>
      </c>
      <c r="D3544" s="2" t="s">
        <v>35</v>
      </c>
      <c r="E3544" s="2" t="n">
        <v>22</v>
      </c>
      <c r="F3544" s="2" t="n">
        <v>4</v>
      </c>
      <c r="G3544" s="2" t="s">
        <v>43</v>
      </c>
      <c r="H3544" s="2" t="n">
        <v>3543</v>
      </c>
      <c r="I3544" s="2" t="s">
        <v>39</v>
      </c>
      <c r="J3544" s="2" t="n">
        <v>1</v>
      </c>
      <c r="K3544" s="2" t="s">
        <v>48</v>
      </c>
      <c r="L3544" s="2" t="s">
        <v>32</v>
      </c>
      <c r="M3544" s="2" t="n">
        <v>26540</v>
      </c>
      <c r="N3544" s="2" t="n">
        <v>0</v>
      </c>
      <c r="O3544" s="2" t="n">
        <v>24</v>
      </c>
      <c r="P3544" s="2" t="n">
        <v>0</v>
      </c>
      <c r="Q3544" s="2" t="n">
        <v>1</v>
      </c>
      <c r="R3544" s="2" t="n">
        <v>5</v>
      </c>
      <c r="S3544" s="2" t="n">
        <v>0</v>
      </c>
      <c r="T3544" s="2" t="n">
        <v>0</v>
      </c>
      <c r="U3544" s="2" t="n">
        <v>0</v>
      </c>
      <c r="V3544" s="2" t="n">
        <v>3</v>
      </c>
      <c r="W3544" s="2" t="n">
        <v>4</v>
      </c>
      <c r="X3544" s="2" t="n">
        <v>3</v>
      </c>
      <c r="Y3544" s="2" t="n">
        <v>2</v>
      </c>
      <c r="Z3544" s="2" t="n">
        <v>4</v>
      </c>
    </row>
    <row r="3545" customFormat="false" ht="15" hidden="false" customHeight="true" outlineLevel="0" collapsed="false">
      <c r="A3545" s="2" t="n">
        <v>46</v>
      </c>
      <c r="B3545" s="2" t="s">
        <v>26</v>
      </c>
      <c r="C3545" s="2" t="s">
        <v>27</v>
      </c>
      <c r="D3545" s="2" t="s">
        <v>35</v>
      </c>
      <c r="E3545" s="2" t="n">
        <v>2</v>
      </c>
      <c r="F3545" s="2" t="n">
        <v>3</v>
      </c>
      <c r="G3545" s="2" t="s">
        <v>29</v>
      </c>
      <c r="H3545" s="2" t="n">
        <v>3544</v>
      </c>
      <c r="I3545" s="2" t="s">
        <v>39</v>
      </c>
      <c r="J3545" s="2" t="n">
        <v>2</v>
      </c>
      <c r="K3545" s="2" t="s">
        <v>36</v>
      </c>
      <c r="L3545" s="2" t="s">
        <v>32</v>
      </c>
      <c r="M3545" s="2" t="n">
        <v>165550</v>
      </c>
      <c r="N3545" s="2" t="n">
        <v>8</v>
      </c>
      <c r="O3545" s="2" t="n">
        <v>14</v>
      </c>
      <c r="P3545" s="2" t="n">
        <v>2</v>
      </c>
      <c r="Q3545" s="2" t="n">
        <v>28</v>
      </c>
      <c r="R3545" s="2" t="n">
        <v>4</v>
      </c>
      <c r="S3545" s="2" t="n">
        <v>26</v>
      </c>
      <c r="T3545" s="2" t="n">
        <v>15</v>
      </c>
      <c r="U3545" s="2" t="n">
        <v>9</v>
      </c>
      <c r="V3545" s="2" t="n">
        <v>3</v>
      </c>
      <c r="W3545" s="2" t="n">
        <v>1</v>
      </c>
      <c r="X3545" s="2" t="n">
        <v>3</v>
      </c>
      <c r="Y3545" s="2" t="n">
        <v>3</v>
      </c>
      <c r="Z3545" s="2" t="n">
        <v>3</v>
      </c>
    </row>
    <row r="3546" customFormat="false" ht="15" hidden="false" customHeight="true" outlineLevel="0" collapsed="false">
      <c r="A3546" s="2" t="n">
        <v>44</v>
      </c>
      <c r="B3546" s="2" t="s">
        <v>26</v>
      </c>
      <c r="C3546" s="2" t="s">
        <v>41</v>
      </c>
      <c r="D3546" s="2" t="s">
        <v>35</v>
      </c>
      <c r="E3546" s="2" t="n">
        <v>20</v>
      </c>
      <c r="F3546" s="2" t="n">
        <v>3</v>
      </c>
      <c r="G3546" s="2" t="s">
        <v>29</v>
      </c>
      <c r="H3546" s="2" t="n">
        <v>3545</v>
      </c>
      <c r="I3546" s="2" t="s">
        <v>39</v>
      </c>
      <c r="J3546" s="2" t="n">
        <v>1</v>
      </c>
      <c r="K3546" s="2" t="s">
        <v>48</v>
      </c>
      <c r="L3546" s="2" t="s">
        <v>37</v>
      </c>
      <c r="M3546" s="2" t="n">
        <v>45560</v>
      </c>
      <c r="N3546" s="2" t="n">
        <v>2</v>
      </c>
      <c r="O3546" s="2" t="n">
        <v>13</v>
      </c>
      <c r="P3546" s="2" t="n">
        <v>0</v>
      </c>
      <c r="Q3546" s="2" t="n">
        <v>6</v>
      </c>
      <c r="R3546" s="2" t="n">
        <v>4</v>
      </c>
      <c r="S3546" s="2" t="n">
        <v>0</v>
      </c>
      <c r="T3546" s="2" t="n">
        <v>0</v>
      </c>
      <c r="U3546" s="2" t="n">
        <v>0</v>
      </c>
      <c r="V3546" s="2" t="n">
        <v>4</v>
      </c>
      <c r="W3546" s="2" t="n">
        <v>3</v>
      </c>
      <c r="X3546" s="2" t="n">
        <v>3</v>
      </c>
      <c r="Y3546" s="2" t="n">
        <v>3</v>
      </c>
      <c r="Z3546" s="2" t="n">
        <v>3</v>
      </c>
    </row>
    <row r="3547" customFormat="false" ht="15" hidden="false" customHeight="true" outlineLevel="0" collapsed="false">
      <c r="A3547" s="2" t="n">
        <v>33</v>
      </c>
      <c r="B3547" s="2" t="s">
        <v>26</v>
      </c>
      <c r="C3547" s="2" t="s">
        <v>27</v>
      </c>
      <c r="D3547" s="2" t="s">
        <v>35</v>
      </c>
      <c r="E3547" s="2" t="n">
        <v>28</v>
      </c>
      <c r="F3547" s="2" t="n">
        <v>4</v>
      </c>
      <c r="G3547" s="2" t="s">
        <v>29</v>
      </c>
      <c r="H3547" s="2" t="n">
        <v>3546</v>
      </c>
      <c r="I3547" s="2" t="s">
        <v>30</v>
      </c>
      <c r="J3547" s="2" t="n">
        <v>1</v>
      </c>
      <c r="K3547" s="2" t="s">
        <v>49</v>
      </c>
      <c r="L3547" s="2" t="s">
        <v>32</v>
      </c>
      <c r="M3547" s="2" t="n">
        <v>60910</v>
      </c>
      <c r="N3547" s="2" t="n">
        <v>1</v>
      </c>
      <c r="O3547" s="2" t="n">
        <v>15</v>
      </c>
      <c r="P3547" s="2" t="n">
        <v>0</v>
      </c>
      <c r="Q3547" s="2" t="n">
        <v>5</v>
      </c>
      <c r="R3547" s="2" t="n">
        <v>6</v>
      </c>
      <c r="S3547" s="2" t="n">
        <v>5</v>
      </c>
      <c r="T3547" s="2" t="n">
        <v>1</v>
      </c>
      <c r="U3547" s="2" t="n">
        <v>4</v>
      </c>
      <c r="V3547" s="2" t="n">
        <v>2</v>
      </c>
      <c r="W3547" s="2" t="n">
        <v>3</v>
      </c>
      <c r="X3547" s="2" t="n">
        <v>3</v>
      </c>
      <c r="Y3547" s="2" t="n">
        <v>1</v>
      </c>
      <c r="Z3547" s="2" t="n">
        <v>3</v>
      </c>
    </row>
    <row r="3548" customFormat="false" ht="15" hidden="false" customHeight="true" outlineLevel="0" collapsed="false">
      <c r="A3548" s="2" t="n">
        <v>41</v>
      </c>
      <c r="B3548" s="2" t="s">
        <v>33</v>
      </c>
      <c r="C3548" s="2" t="s">
        <v>41</v>
      </c>
      <c r="D3548" s="2" t="s">
        <v>35</v>
      </c>
      <c r="E3548" s="2" t="n">
        <v>12</v>
      </c>
      <c r="F3548" s="2" t="n">
        <v>3</v>
      </c>
      <c r="G3548" s="2" t="s">
        <v>29</v>
      </c>
      <c r="H3548" s="2" t="n">
        <v>3547</v>
      </c>
      <c r="I3548" s="2" t="s">
        <v>39</v>
      </c>
      <c r="J3548" s="2" t="n">
        <v>2</v>
      </c>
      <c r="K3548" s="2" t="s">
        <v>48</v>
      </c>
      <c r="L3548" s="2" t="s">
        <v>46</v>
      </c>
      <c r="M3548" s="2" t="n">
        <v>195660</v>
      </c>
      <c r="N3548" s="2" t="n">
        <v>6</v>
      </c>
      <c r="O3548" s="2" t="n">
        <v>16</v>
      </c>
      <c r="P3548" s="2" t="n">
        <v>0</v>
      </c>
      <c r="Q3548" s="2" t="n">
        <v>5</v>
      </c>
      <c r="R3548" s="2" t="n">
        <v>2</v>
      </c>
      <c r="S3548" s="2" t="n">
        <v>1</v>
      </c>
      <c r="T3548" s="2" t="n">
        <v>0</v>
      </c>
      <c r="U3548" s="2" t="n">
        <v>0</v>
      </c>
      <c r="V3548" s="2" t="n">
        <v>1</v>
      </c>
      <c r="W3548" s="2" t="n">
        <v>1</v>
      </c>
      <c r="X3548" s="2" t="n">
        <v>1</v>
      </c>
      <c r="Y3548" s="2" t="n">
        <v>4</v>
      </c>
      <c r="Z3548" s="2" t="n">
        <v>3</v>
      </c>
    </row>
    <row r="3549" customFormat="false" ht="15" hidden="false" customHeight="true" outlineLevel="0" collapsed="false">
      <c r="A3549" s="2" t="n">
        <v>30</v>
      </c>
      <c r="B3549" s="2" t="s">
        <v>26</v>
      </c>
      <c r="C3549" s="2" t="s">
        <v>27</v>
      </c>
      <c r="D3549" s="2" t="s">
        <v>28</v>
      </c>
      <c r="E3549" s="2" t="n">
        <v>20</v>
      </c>
      <c r="F3549" s="2" t="n">
        <v>3</v>
      </c>
      <c r="G3549" s="2" t="s">
        <v>50</v>
      </c>
      <c r="H3549" s="2" t="n">
        <v>3548</v>
      </c>
      <c r="I3549" s="2" t="s">
        <v>39</v>
      </c>
      <c r="J3549" s="2" t="n">
        <v>3</v>
      </c>
      <c r="K3549" s="2" t="s">
        <v>40</v>
      </c>
      <c r="L3549" s="2" t="s">
        <v>46</v>
      </c>
      <c r="M3549" s="2" t="n">
        <v>48100</v>
      </c>
      <c r="N3549" s="2" t="n">
        <v>8</v>
      </c>
      <c r="O3549" s="2" t="n">
        <v>18</v>
      </c>
      <c r="P3549" s="2" t="n">
        <v>0</v>
      </c>
      <c r="Q3549" s="2" t="n">
        <v>8</v>
      </c>
      <c r="R3549" s="2" t="n">
        <v>3</v>
      </c>
      <c r="S3549" s="2" t="n">
        <v>4</v>
      </c>
      <c r="T3549" s="2" t="n">
        <v>0</v>
      </c>
      <c r="U3549" s="2" t="n">
        <v>3</v>
      </c>
      <c r="V3549" s="2" t="n">
        <v>3</v>
      </c>
      <c r="W3549" s="2" t="n">
        <v>1</v>
      </c>
      <c r="X3549" s="2" t="n">
        <v>3</v>
      </c>
      <c r="Y3549" s="2" t="n">
        <v>2</v>
      </c>
      <c r="Z3549" s="2" t="n">
        <v>3</v>
      </c>
    </row>
    <row r="3550" customFormat="false" ht="15" hidden="false" customHeight="true" outlineLevel="0" collapsed="false">
      <c r="A3550" s="2" t="n">
        <v>40</v>
      </c>
      <c r="B3550" s="2" t="s">
        <v>26</v>
      </c>
      <c r="C3550" s="2" t="s">
        <v>34</v>
      </c>
      <c r="D3550" s="2" t="s">
        <v>28</v>
      </c>
      <c r="E3550" s="2" t="n">
        <v>9</v>
      </c>
      <c r="F3550" s="2" t="n">
        <v>3</v>
      </c>
      <c r="G3550" s="2" t="s">
        <v>43</v>
      </c>
      <c r="H3550" s="2" t="n">
        <v>3549</v>
      </c>
      <c r="I3550" s="2" t="s">
        <v>39</v>
      </c>
      <c r="J3550" s="2" t="n">
        <v>1</v>
      </c>
      <c r="K3550" s="2" t="s">
        <v>47</v>
      </c>
      <c r="L3550" s="2" t="s">
        <v>32</v>
      </c>
      <c r="M3550" s="2" t="n">
        <v>45230</v>
      </c>
      <c r="N3550" s="2" t="n">
        <v>5</v>
      </c>
      <c r="O3550" s="2" t="n">
        <v>16</v>
      </c>
      <c r="P3550" s="2" t="n">
        <v>1</v>
      </c>
      <c r="Q3550" s="2" t="n">
        <v>5</v>
      </c>
      <c r="R3550" s="2" t="n">
        <v>5</v>
      </c>
      <c r="S3550" s="2" t="n">
        <v>0</v>
      </c>
      <c r="T3550" s="2" t="n">
        <v>0</v>
      </c>
      <c r="U3550" s="2" t="n">
        <v>0</v>
      </c>
      <c r="V3550" s="2" t="n">
        <v>2</v>
      </c>
      <c r="W3550" s="2" t="n">
        <v>2</v>
      </c>
      <c r="X3550" s="2" t="n">
        <v>3</v>
      </c>
      <c r="Y3550" s="2" t="n">
        <v>4</v>
      </c>
      <c r="Z3550" s="2" t="n">
        <v>3</v>
      </c>
    </row>
    <row r="3551" customFormat="false" ht="15" hidden="false" customHeight="true" outlineLevel="0" collapsed="false">
      <c r="A3551" s="2" t="n">
        <v>50</v>
      </c>
      <c r="B3551" s="2" t="s">
        <v>26</v>
      </c>
      <c r="C3551" s="2" t="s">
        <v>34</v>
      </c>
      <c r="D3551" s="2" t="s">
        <v>35</v>
      </c>
      <c r="E3551" s="2" t="n">
        <v>25</v>
      </c>
      <c r="F3551" s="2" t="n">
        <v>4</v>
      </c>
      <c r="G3551" s="2" t="s">
        <v>29</v>
      </c>
      <c r="H3551" s="2" t="n">
        <v>3550</v>
      </c>
      <c r="I3551" s="2" t="s">
        <v>30</v>
      </c>
      <c r="J3551" s="2" t="n">
        <v>2</v>
      </c>
      <c r="K3551" s="2" t="s">
        <v>31</v>
      </c>
      <c r="L3551" s="2" t="s">
        <v>32</v>
      </c>
      <c r="M3551" s="2" t="n">
        <v>32020</v>
      </c>
      <c r="N3551" s="2" t="n">
        <v>2</v>
      </c>
      <c r="O3551" s="2" t="n">
        <v>24</v>
      </c>
      <c r="P3551" s="2" t="n">
        <v>1</v>
      </c>
      <c r="Q3551" s="2" t="n">
        <v>32</v>
      </c>
      <c r="R3551" s="2" t="n">
        <v>2</v>
      </c>
      <c r="S3551" s="2" t="n">
        <v>2</v>
      </c>
      <c r="T3551" s="2" t="n">
        <v>2</v>
      </c>
      <c r="U3551" s="2" t="n">
        <v>2</v>
      </c>
      <c r="V3551" s="2" t="n">
        <v>4</v>
      </c>
      <c r="W3551" s="2" t="n">
        <v>1</v>
      </c>
      <c r="X3551" s="2" t="n">
        <v>3</v>
      </c>
      <c r="Y3551" s="2" t="n">
        <v>3</v>
      </c>
      <c r="Z3551" s="2" t="n">
        <v>4</v>
      </c>
    </row>
    <row r="3552" customFormat="false" ht="15" hidden="false" customHeight="true" outlineLevel="0" collapsed="false">
      <c r="A3552" s="2" t="n">
        <v>28</v>
      </c>
      <c r="B3552" s="2" t="s">
        <v>26</v>
      </c>
      <c r="C3552" s="2" t="s">
        <v>27</v>
      </c>
      <c r="D3552" s="2" t="s">
        <v>35</v>
      </c>
      <c r="E3552" s="2" t="n">
        <v>6</v>
      </c>
      <c r="F3552" s="2" t="n">
        <v>3</v>
      </c>
      <c r="G3552" s="2" t="s">
        <v>51</v>
      </c>
      <c r="H3552" s="2" t="n">
        <v>3551</v>
      </c>
      <c r="I3552" s="2" t="s">
        <v>39</v>
      </c>
      <c r="J3552" s="2" t="n">
        <v>2</v>
      </c>
      <c r="K3552" s="2" t="s">
        <v>36</v>
      </c>
      <c r="L3552" s="2" t="s">
        <v>32</v>
      </c>
      <c r="M3552" s="2" t="n">
        <v>23510</v>
      </c>
      <c r="N3552" s="2" t="n">
        <v>1</v>
      </c>
      <c r="O3552" s="2" t="n">
        <v>16</v>
      </c>
      <c r="P3552" s="2" t="n">
        <v>0</v>
      </c>
      <c r="Q3552" s="2" t="n">
        <v>6</v>
      </c>
      <c r="R3552" s="2" t="n">
        <v>4</v>
      </c>
      <c r="S3552" s="2" t="n">
        <v>6</v>
      </c>
      <c r="T3552" s="2" t="n">
        <v>3</v>
      </c>
      <c r="U3552" s="2" t="n">
        <v>3</v>
      </c>
      <c r="V3552" s="2" t="n">
        <v>4</v>
      </c>
      <c r="W3552" s="2" t="n">
        <v>1</v>
      </c>
      <c r="X3552" s="2" t="n">
        <v>3</v>
      </c>
      <c r="Y3552" s="2" t="n">
        <v>3</v>
      </c>
      <c r="Z3552" s="2" t="n">
        <v>3</v>
      </c>
    </row>
    <row r="3553" customFormat="false" ht="15" hidden="false" customHeight="true" outlineLevel="0" collapsed="false">
      <c r="A3553" s="2" t="n">
        <v>46</v>
      </c>
      <c r="B3553" s="2" t="s">
        <v>26</v>
      </c>
      <c r="C3553" s="2" t="s">
        <v>27</v>
      </c>
      <c r="D3553" s="2" t="s">
        <v>35</v>
      </c>
      <c r="E3553" s="2" t="n">
        <v>8</v>
      </c>
      <c r="F3553" s="2" t="n">
        <v>4</v>
      </c>
      <c r="G3553" s="2" t="s">
        <v>38</v>
      </c>
      <c r="H3553" s="2" t="n">
        <v>3552</v>
      </c>
      <c r="I3553" s="2" t="s">
        <v>39</v>
      </c>
      <c r="J3553" s="2" t="n">
        <v>3</v>
      </c>
      <c r="K3553" s="2" t="s">
        <v>49</v>
      </c>
      <c r="L3553" s="2" t="s">
        <v>32</v>
      </c>
      <c r="M3553" s="2" t="n">
        <v>17020</v>
      </c>
      <c r="N3553" s="2" t="n">
        <v>5</v>
      </c>
      <c r="O3553" s="2" t="n">
        <v>21</v>
      </c>
      <c r="P3553" s="2" t="n">
        <v>0</v>
      </c>
      <c r="Q3553" s="2" t="n">
        <v>25</v>
      </c>
      <c r="R3553" s="2" t="n">
        <v>2</v>
      </c>
      <c r="S3553" s="2" t="n">
        <v>4</v>
      </c>
      <c r="T3553" s="2" t="n">
        <v>0</v>
      </c>
      <c r="U3553" s="2" t="n">
        <v>3</v>
      </c>
      <c r="V3553" s="2" t="n">
        <v>4</v>
      </c>
      <c r="W3553" s="2" t="n">
        <v>2</v>
      </c>
      <c r="X3553" s="2" t="n">
        <v>3</v>
      </c>
      <c r="Y3553" s="2" t="n">
        <v>3</v>
      </c>
      <c r="Z3553" s="2" t="n">
        <v>4</v>
      </c>
    </row>
    <row r="3554" customFormat="false" ht="15" hidden="false" customHeight="true" outlineLevel="0" collapsed="false">
      <c r="A3554" s="2" t="n">
        <v>35</v>
      </c>
      <c r="B3554" s="2" t="s">
        <v>26</v>
      </c>
      <c r="C3554" s="2" t="s">
        <v>27</v>
      </c>
      <c r="D3554" s="2" t="s">
        <v>28</v>
      </c>
      <c r="E3554" s="2" t="n">
        <v>4</v>
      </c>
      <c r="F3554" s="2" t="n">
        <v>4</v>
      </c>
      <c r="G3554" s="2" t="s">
        <v>50</v>
      </c>
      <c r="H3554" s="2" t="n">
        <v>3553</v>
      </c>
      <c r="I3554" s="2" t="s">
        <v>39</v>
      </c>
      <c r="J3554" s="2" t="n">
        <v>1</v>
      </c>
      <c r="K3554" s="2" t="s">
        <v>45</v>
      </c>
      <c r="L3554" s="2" t="s">
        <v>32</v>
      </c>
      <c r="M3554" s="2" t="n">
        <v>180410</v>
      </c>
      <c r="N3554" s="2" t="n">
        <v>3</v>
      </c>
      <c r="O3554" s="2" t="n">
        <v>20</v>
      </c>
      <c r="P3554" s="2" t="n">
        <v>1</v>
      </c>
      <c r="Q3554" s="2" t="n">
        <v>15</v>
      </c>
      <c r="R3554" s="2" t="n">
        <v>3</v>
      </c>
      <c r="S3554" s="2" t="n">
        <v>7</v>
      </c>
      <c r="T3554" s="2" t="n">
        <v>1</v>
      </c>
      <c r="U3554" s="2" t="n">
        <v>7</v>
      </c>
      <c r="V3554" s="2" t="n">
        <v>3</v>
      </c>
      <c r="W3554" s="2" t="n">
        <v>1</v>
      </c>
      <c r="X3554" s="2" t="n">
        <v>3</v>
      </c>
      <c r="Y3554" s="2" t="n">
        <v>2</v>
      </c>
      <c r="Z3554" s="2" t="n">
        <v>4</v>
      </c>
    </row>
    <row r="3555" customFormat="false" ht="15" hidden="false" customHeight="true" outlineLevel="0" collapsed="false">
      <c r="A3555" s="2" t="n">
        <v>24</v>
      </c>
      <c r="B3555" s="2" t="s">
        <v>33</v>
      </c>
      <c r="C3555" s="2" t="s">
        <v>27</v>
      </c>
      <c r="D3555" s="2" t="s">
        <v>42</v>
      </c>
      <c r="E3555" s="2" t="n">
        <v>28</v>
      </c>
      <c r="F3555" s="2" t="n">
        <v>4</v>
      </c>
      <c r="G3555" s="2" t="s">
        <v>42</v>
      </c>
      <c r="H3555" s="2" t="n">
        <v>3554</v>
      </c>
      <c r="I3555" s="2" t="s">
        <v>39</v>
      </c>
      <c r="J3555" s="2" t="n">
        <v>3</v>
      </c>
      <c r="K3555" s="2" t="s">
        <v>47</v>
      </c>
      <c r="L3555" s="2" t="s">
        <v>32</v>
      </c>
      <c r="M3555" s="2" t="n">
        <v>28860</v>
      </c>
      <c r="N3555" s="2" t="n">
        <v>1</v>
      </c>
      <c r="O3555" s="2" t="n">
        <v>19</v>
      </c>
      <c r="P3555" s="2" t="n">
        <v>1</v>
      </c>
      <c r="Q3555" s="2" t="n">
        <v>1</v>
      </c>
      <c r="R3555" s="2" t="n">
        <v>5</v>
      </c>
      <c r="S3555" s="2" t="n">
        <v>1</v>
      </c>
      <c r="T3555" s="2" t="n">
        <v>0</v>
      </c>
      <c r="U3555" s="2" t="n">
        <v>0</v>
      </c>
      <c r="V3555" s="2" t="n">
        <v>4</v>
      </c>
      <c r="W3555" s="2" t="n">
        <v>2</v>
      </c>
      <c r="X3555" s="2" t="n">
        <v>1</v>
      </c>
      <c r="Y3555" s="2" t="n">
        <v>3</v>
      </c>
      <c r="Z3555" s="2" t="n">
        <v>3</v>
      </c>
    </row>
    <row r="3556" customFormat="false" ht="15" hidden="false" customHeight="true" outlineLevel="0" collapsed="false">
      <c r="A3556" s="2" t="n">
        <v>33</v>
      </c>
      <c r="B3556" s="2" t="s">
        <v>26</v>
      </c>
      <c r="C3556" s="2" t="s">
        <v>34</v>
      </c>
      <c r="D3556" s="2" t="s">
        <v>35</v>
      </c>
      <c r="E3556" s="2" t="n">
        <v>9</v>
      </c>
      <c r="F3556" s="2" t="n">
        <v>2</v>
      </c>
      <c r="G3556" s="2" t="s">
        <v>43</v>
      </c>
      <c r="H3556" s="2" t="n">
        <v>3555</v>
      </c>
      <c r="I3556" s="2" t="s">
        <v>30</v>
      </c>
      <c r="J3556" s="2" t="n">
        <v>1</v>
      </c>
      <c r="K3556" s="2" t="s">
        <v>40</v>
      </c>
      <c r="L3556" s="2" t="s">
        <v>32</v>
      </c>
      <c r="M3556" s="2" t="n">
        <v>20970</v>
      </c>
      <c r="N3556" s="2" t="n">
        <v>1</v>
      </c>
      <c r="O3556" s="2" t="n">
        <v>14</v>
      </c>
      <c r="P3556" s="2" t="n">
        <v>2</v>
      </c>
      <c r="Q3556" s="2" t="n">
        <v>10</v>
      </c>
      <c r="R3556" s="2" t="n">
        <v>5</v>
      </c>
      <c r="S3556" s="2" t="n">
        <v>10</v>
      </c>
      <c r="T3556" s="2" t="n">
        <v>0</v>
      </c>
      <c r="U3556" s="2" t="n">
        <v>1</v>
      </c>
      <c r="V3556" s="2" t="n">
        <v>2</v>
      </c>
      <c r="W3556" s="2" t="n">
        <v>3</v>
      </c>
      <c r="X3556" s="2" t="n">
        <v>2</v>
      </c>
      <c r="Y3556" s="2" t="n">
        <v>2</v>
      </c>
      <c r="Z3556" s="2" t="n">
        <v>3</v>
      </c>
    </row>
    <row r="3557" customFormat="false" ht="15" hidden="false" customHeight="true" outlineLevel="0" collapsed="false">
      <c r="A3557" s="2" t="n">
        <v>36</v>
      </c>
      <c r="B3557" s="2" t="s">
        <v>26</v>
      </c>
      <c r="C3557" s="2" t="s">
        <v>27</v>
      </c>
      <c r="D3557" s="2" t="s">
        <v>35</v>
      </c>
      <c r="E3557" s="2" t="n">
        <v>9</v>
      </c>
      <c r="F3557" s="2" t="n">
        <v>2</v>
      </c>
      <c r="G3557" s="2" t="s">
        <v>43</v>
      </c>
      <c r="H3557" s="2" t="n">
        <v>3556</v>
      </c>
      <c r="I3557" s="2" t="s">
        <v>39</v>
      </c>
      <c r="J3557" s="2" t="n">
        <v>2</v>
      </c>
      <c r="K3557" s="2" t="s">
        <v>40</v>
      </c>
      <c r="L3557" s="2" t="s">
        <v>46</v>
      </c>
      <c r="M3557" s="2" t="n">
        <v>119350</v>
      </c>
      <c r="N3557" s="2" t="n">
        <v>1</v>
      </c>
      <c r="O3557" s="2" t="n">
        <v>11</v>
      </c>
      <c r="P3557" s="2" t="n">
        <v>3</v>
      </c>
      <c r="Q3557" s="2" t="n">
        <v>7</v>
      </c>
      <c r="R3557" s="2" t="n">
        <v>6</v>
      </c>
      <c r="S3557" s="2" t="n">
        <v>7</v>
      </c>
      <c r="T3557" s="2" t="n">
        <v>1</v>
      </c>
      <c r="U3557" s="2" t="n">
        <v>7</v>
      </c>
      <c r="V3557" s="2" t="n">
        <v>3</v>
      </c>
      <c r="W3557" s="2" t="n">
        <v>3</v>
      </c>
      <c r="X3557" s="2" t="n">
        <v>3</v>
      </c>
      <c r="Y3557" s="2" t="n">
        <v>4</v>
      </c>
      <c r="Z3557" s="2" t="n">
        <v>3</v>
      </c>
    </row>
    <row r="3558" customFormat="false" ht="15" hidden="false" customHeight="true" outlineLevel="0" collapsed="false">
      <c r="A3558" s="2" t="n">
        <v>30</v>
      </c>
      <c r="B3558" s="2" t="s">
        <v>26</v>
      </c>
      <c r="C3558" s="2" t="s">
        <v>27</v>
      </c>
      <c r="D3558" s="2" t="s">
        <v>28</v>
      </c>
      <c r="E3558" s="2" t="n">
        <v>29</v>
      </c>
      <c r="F3558" s="2" t="n">
        <v>3</v>
      </c>
      <c r="G3558" s="2" t="s">
        <v>50</v>
      </c>
      <c r="H3558" s="2" t="n">
        <v>3557</v>
      </c>
      <c r="I3558" s="2" t="s">
        <v>39</v>
      </c>
      <c r="J3558" s="2" t="n">
        <v>1</v>
      </c>
      <c r="K3558" s="2" t="s">
        <v>40</v>
      </c>
      <c r="L3558" s="2" t="s">
        <v>46</v>
      </c>
      <c r="M3558" s="2" t="n">
        <v>25460</v>
      </c>
      <c r="N3558" s="2" t="n">
        <v>1</v>
      </c>
      <c r="O3558" s="2" t="n">
        <v>14</v>
      </c>
      <c r="P3558" s="2" t="n">
        <v>1</v>
      </c>
      <c r="Q3558" s="2" t="n">
        <v>10</v>
      </c>
      <c r="R3558" s="2" t="n">
        <v>2</v>
      </c>
      <c r="S3558" s="2" t="n">
        <v>10</v>
      </c>
      <c r="T3558" s="2" t="n">
        <v>8</v>
      </c>
      <c r="U3558" s="2" t="n">
        <v>9</v>
      </c>
      <c r="V3558" s="2" t="n">
        <v>3</v>
      </c>
      <c r="W3558" s="2" t="n">
        <v>3</v>
      </c>
      <c r="X3558" s="2" t="n">
        <v>2</v>
      </c>
      <c r="Y3558" s="2" t="n">
        <v>3</v>
      </c>
      <c r="Z3558" s="2" t="n">
        <v>3</v>
      </c>
    </row>
    <row r="3559" customFormat="false" ht="15" hidden="false" customHeight="true" outlineLevel="0" collapsed="false">
      <c r="A3559" s="2" t="n">
        <v>44</v>
      </c>
      <c r="B3559" s="2" t="s">
        <v>26</v>
      </c>
      <c r="C3559" s="2" t="s">
        <v>27</v>
      </c>
      <c r="D3559" s="2" t="s">
        <v>35</v>
      </c>
      <c r="E3559" s="2" t="n">
        <v>3</v>
      </c>
      <c r="F3559" s="2" t="n">
        <v>4</v>
      </c>
      <c r="G3559" s="2" t="s">
        <v>43</v>
      </c>
      <c r="H3559" s="2" t="n">
        <v>3558</v>
      </c>
      <c r="I3559" s="2" t="s">
        <v>39</v>
      </c>
      <c r="J3559" s="2" t="n">
        <v>2</v>
      </c>
      <c r="K3559" s="2" t="s">
        <v>36</v>
      </c>
      <c r="L3559" s="2" t="s">
        <v>37</v>
      </c>
      <c r="M3559" s="2" t="n">
        <v>25640</v>
      </c>
      <c r="N3559" s="2" t="n">
        <v>1</v>
      </c>
      <c r="O3559" s="2" t="n">
        <v>12</v>
      </c>
      <c r="P3559" s="2" t="n">
        <v>3</v>
      </c>
      <c r="Q3559" s="2" t="n">
        <v>20</v>
      </c>
      <c r="R3559" s="2" t="n">
        <v>3</v>
      </c>
      <c r="S3559" s="2" t="n">
        <v>20</v>
      </c>
      <c r="T3559" s="2" t="n">
        <v>13</v>
      </c>
      <c r="U3559" s="2" t="n">
        <v>17</v>
      </c>
      <c r="V3559" s="2" t="n">
        <v>4</v>
      </c>
      <c r="W3559" s="2" t="n">
        <v>4</v>
      </c>
      <c r="X3559" s="2" t="n">
        <v>3</v>
      </c>
      <c r="Y3559" s="2" t="n">
        <v>1</v>
      </c>
      <c r="Z3559" s="2" t="n">
        <v>3</v>
      </c>
    </row>
    <row r="3560" customFormat="false" ht="15" hidden="false" customHeight="true" outlineLevel="0" collapsed="false">
      <c r="A3560" s="2" t="n">
        <v>20</v>
      </c>
      <c r="B3560" s="2" t="s">
        <v>26</v>
      </c>
      <c r="C3560" s="2" t="s">
        <v>27</v>
      </c>
      <c r="D3560" s="2" t="s">
        <v>35</v>
      </c>
      <c r="E3560" s="2" t="n">
        <v>18</v>
      </c>
      <c r="F3560" s="2" t="n">
        <v>4</v>
      </c>
      <c r="G3560" s="2" t="s">
        <v>43</v>
      </c>
      <c r="H3560" s="2" t="n">
        <v>3559</v>
      </c>
      <c r="I3560" s="2" t="s">
        <v>39</v>
      </c>
      <c r="J3560" s="2" t="n">
        <v>1</v>
      </c>
      <c r="K3560" s="2" t="s">
        <v>42</v>
      </c>
      <c r="L3560" s="2" t="s">
        <v>37</v>
      </c>
      <c r="M3560" s="2" t="n">
        <v>84120</v>
      </c>
      <c r="N3560" s="2" t="n">
        <v>1</v>
      </c>
      <c r="O3560" s="2" t="n">
        <v>13</v>
      </c>
      <c r="P3560" s="2" t="n">
        <v>0</v>
      </c>
      <c r="Q3560" s="2" t="n">
        <v>2</v>
      </c>
      <c r="R3560" s="2" t="n">
        <v>2</v>
      </c>
      <c r="S3560" s="2" t="n">
        <v>2</v>
      </c>
      <c r="T3560" s="2" t="n">
        <v>2</v>
      </c>
      <c r="U3560" s="2" t="n">
        <v>2</v>
      </c>
      <c r="V3560" s="2" t="n">
        <v>3</v>
      </c>
      <c r="W3560" s="2" t="n">
        <v>4</v>
      </c>
      <c r="X3560" s="2" t="n">
        <v>3</v>
      </c>
      <c r="Y3560" s="2" t="n">
        <v>2</v>
      </c>
      <c r="Z3560" s="2" t="n">
        <v>3</v>
      </c>
    </row>
    <row r="3561" customFormat="false" ht="15" hidden="false" customHeight="true" outlineLevel="0" collapsed="false">
      <c r="A3561" s="2" t="n">
        <v>46</v>
      </c>
      <c r="B3561" s="2" t="s">
        <v>26</v>
      </c>
      <c r="C3561" s="2" t="s">
        <v>27</v>
      </c>
      <c r="D3561" s="2" t="s">
        <v>28</v>
      </c>
      <c r="E3561" s="2" t="n">
        <v>9</v>
      </c>
      <c r="F3561" s="2" t="n">
        <v>1</v>
      </c>
      <c r="G3561" s="2" t="s">
        <v>43</v>
      </c>
      <c r="H3561" s="2" t="n">
        <v>3560</v>
      </c>
      <c r="I3561" s="2" t="s">
        <v>30</v>
      </c>
      <c r="J3561" s="2" t="n">
        <v>1</v>
      </c>
      <c r="K3561" s="2" t="s">
        <v>40</v>
      </c>
      <c r="L3561" s="2" t="s">
        <v>46</v>
      </c>
      <c r="M3561" s="2" t="n">
        <v>141180</v>
      </c>
      <c r="N3561" s="2" t="n">
        <v>2</v>
      </c>
      <c r="O3561" s="2" t="n">
        <v>22</v>
      </c>
      <c r="P3561" s="2" t="n">
        <v>0</v>
      </c>
      <c r="Q3561" s="2" t="n">
        <v>12</v>
      </c>
      <c r="R3561" s="2" t="n">
        <v>3</v>
      </c>
      <c r="S3561" s="2" t="n">
        <v>6</v>
      </c>
      <c r="T3561" s="2" t="n">
        <v>1</v>
      </c>
      <c r="U3561" s="2" t="n">
        <v>4</v>
      </c>
      <c r="V3561" s="2" t="n">
        <v>4</v>
      </c>
      <c r="W3561" s="2" t="n">
        <v>4</v>
      </c>
      <c r="X3561" s="2" t="n">
        <v>2</v>
      </c>
      <c r="Y3561" s="2" t="n">
        <v>3</v>
      </c>
      <c r="Z3561" s="2" t="n">
        <v>4</v>
      </c>
    </row>
    <row r="3562" customFormat="false" ht="15" hidden="false" customHeight="true" outlineLevel="0" collapsed="false">
      <c r="A3562" s="2" t="n">
        <v>42</v>
      </c>
      <c r="B3562" s="2" t="s">
        <v>26</v>
      </c>
      <c r="C3562" s="2" t="s">
        <v>41</v>
      </c>
      <c r="D3562" s="2" t="s">
        <v>35</v>
      </c>
      <c r="E3562" s="2" t="n">
        <v>5</v>
      </c>
      <c r="F3562" s="2" t="n">
        <v>4</v>
      </c>
      <c r="G3562" s="2" t="s">
        <v>43</v>
      </c>
      <c r="H3562" s="2" t="n">
        <v>3561</v>
      </c>
      <c r="I3562" s="2" t="s">
        <v>39</v>
      </c>
      <c r="J3562" s="2" t="n">
        <v>5</v>
      </c>
      <c r="K3562" s="2" t="s">
        <v>40</v>
      </c>
      <c r="L3562" s="2" t="s">
        <v>32</v>
      </c>
      <c r="M3562" s="2" t="n">
        <v>170460</v>
      </c>
      <c r="N3562" s="2" t="n">
        <v>7</v>
      </c>
      <c r="O3562" s="2" t="n">
        <v>11</v>
      </c>
      <c r="P3562" s="2" t="n">
        <v>0</v>
      </c>
      <c r="Q3562" s="2" t="n">
        <v>10</v>
      </c>
      <c r="R3562" s="2" t="n">
        <v>3</v>
      </c>
      <c r="S3562" s="2" t="n">
        <v>4</v>
      </c>
      <c r="T3562" s="2" t="n">
        <v>0</v>
      </c>
      <c r="U3562" s="2" t="n">
        <v>3</v>
      </c>
      <c r="V3562" s="2" t="n">
        <v>4</v>
      </c>
      <c r="W3562" s="2" t="n">
        <v>1</v>
      </c>
      <c r="X3562" s="2" t="n">
        <v>4</v>
      </c>
      <c r="Y3562" s="2" t="n">
        <v>2</v>
      </c>
      <c r="Z3562" s="2" t="n">
        <v>3</v>
      </c>
    </row>
    <row r="3563" customFormat="false" ht="15" hidden="false" customHeight="true" outlineLevel="0" collapsed="false">
      <c r="A3563" s="2" t="n">
        <v>60</v>
      </c>
      <c r="B3563" s="2" t="s">
        <v>26</v>
      </c>
      <c r="C3563" s="2" t="s">
        <v>27</v>
      </c>
      <c r="D3563" s="2" t="s">
        <v>28</v>
      </c>
      <c r="E3563" s="2" t="n">
        <v>2</v>
      </c>
      <c r="F3563" s="2" t="n">
        <v>2</v>
      </c>
      <c r="G3563" s="2" t="s">
        <v>29</v>
      </c>
      <c r="H3563" s="2" t="n">
        <v>3562</v>
      </c>
      <c r="I3563" s="2" t="s">
        <v>39</v>
      </c>
      <c r="J3563" s="2" t="n">
        <v>2</v>
      </c>
      <c r="K3563" s="2" t="s">
        <v>40</v>
      </c>
      <c r="L3563" s="2" t="s">
        <v>46</v>
      </c>
      <c r="M3563" s="2" t="n">
        <v>25640</v>
      </c>
      <c r="N3563" s="2" t="n">
        <v>0</v>
      </c>
      <c r="O3563" s="2" t="n">
        <v>14</v>
      </c>
      <c r="P3563" s="2" t="n">
        <v>1</v>
      </c>
      <c r="Q3563" s="2" t="n">
        <v>12</v>
      </c>
      <c r="R3563" s="2" t="n">
        <v>3</v>
      </c>
      <c r="S3563" s="2" t="n">
        <v>11</v>
      </c>
      <c r="T3563" s="2" t="n">
        <v>1</v>
      </c>
      <c r="U3563" s="2" t="n">
        <v>9</v>
      </c>
      <c r="V3563" s="2" t="n">
        <v>2</v>
      </c>
      <c r="W3563" s="2" t="n">
        <v>4</v>
      </c>
      <c r="X3563" s="2" t="n">
        <v>3</v>
      </c>
      <c r="Y3563" s="2" t="n">
        <v>3</v>
      </c>
      <c r="Z3563" s="2" t="n">
        <v>3</v>
      </c>
    </row>
    <row r="3564" customFormat="false" ht="15" hidden="false" customHeight="true" outlineLevel="0" collapsed="false">
      <c r="A3564" s="2" t="n">
        <v>32</v>
      </c>
      <c r="B3564" s="2" t="s">
        <v>26</v>
      </c>
      <c r="C3564" s="2" t="s">
        <v>34</v>
      </c>
      <c r="D3564" s="2" t="s">
        <v>28</v>
      </c>
      <c r="E3564" s="2" t="n">
        <v>10</v>
      </c>
      <c r="F3564" s="2" t="n">
        <v>3</v>
      </c>
      <c r="G3564" s="2" t="s">
        <v>29</v>
      </c>
      <c r="H3564" s="2" t="n">
        <v>3563</v>
      </c>
      <c r="I3564" s="2" t="s">
        <v>30</v>
      </c>
      <c r="J3564" s="2" t="n">
        <v>1</v>
      </c>
      <c r="K3564" s="2" t="s">
        <v>40</v>
      </c>
      <c r="L3564" s="2" t="s">
        <v>32</v>
      </c>
      <c r="M3564" s="2" t="n">
        <v>102660</v>
      </c>
      <c r="N3564" s="2" t="n">
        <v>1</v>
      </c>
      <c r="O3564" s="2" t="n">
        <v>11</v>
      </c>
      <c r="P3564" s="2" t="n">
        <v>0</v>
      </c>
      <c r="Q3564" s="2" t="n">
        <v>2</v>
      </c>
      <c r="R3564" s="2" t="n">
        <v>3</v>
      </c>
      <c r="S3564" s="2" t="n">
        <v>2</v>
      </c>
      <c r="T3564" s="2" t="n">
        <v>2</v>
      </c>
      <c r="U3564" s="2" t="n">
        <v>2</v>
      </c>
      <c r="V3564" s="2" t="n">
        <v>3</v>
      </c>
      <c r="W3564" s="2" t="n">
        <v>2</v>
      </c>
      <c r="X3564" s="2" t="n">
        <v>3</v>
      </c>
      <c r="Y3564" s="2" t="n">
        <v>3</v>
      </c>
      <c r="Z3564" s="2" t="n">
        <v>3</v>
      </c>
    </row>
    <row r="3565" customFormat="false" ht="15" hidden="false" customHeight="true" outlineLevel="0" collapsed="false">
      <c r="A3565" s="2" t="n">
        <v>32</v>
      </c>
      <c r="B3565" s="2" t="s">
        <v>26</v>
      </c>
      <c r="C3565" s="2" t="s">
        <v>34</v>
      </c>
      <c r="D3565" s="2" t="s">
        <v>35</v>
      </c>
      <c r="E3565" s="2" t="n">
        <v>9</v>
      </c>
      <c r="F3565" s="2" t="n">
        <v>3</v>
      </c>
      <c r="G3565" s="2" t="s">
        <v>29</v>
      </c>
      <c r="H3565" s="2" t="n">
        <v>3564</v>
      </c>
      <c r="I3565" s="2" t="s">
        <v>30</v>
      </c>
      <c r="J3565" s="2" t="n">
        <v>2</v>
      </c>
      <c r="K3565" s="2" t="s">
        <v>36</v>
      </c>
      <c r="L3565" s="2" t="s">
        <v>37</v>
      </c>
      <c r="M3565" s="2" t="n">
        <v>50700</v>
      </c>
      <c r="N3565" s="2" t="n">
        <v>4</v>
      </c>
      <c r="O3565" s="2" t="n">
        <v>12</v>
      </c>
      <c r="P3565" s="2" t="n">
        <v>1</v>
      </c>
      <c r="Q3565" s="2" t="n">
        <v>10</v>
      </c>
      <c r="R3565" s="2" t="n">
        <v>6</v>
      </c>
      <c r="S3565" s="2" t="n">
        <v>8</v>
      </c>
      <c r="T3565" s="2" t="n">
        <v>0</v>
      </c>
      <c r="U3565" s="2" t="n">
        <v>7</v>
      </c>
      <c r="V3565" s="2" t="n">
        <v>4</v>
      </c>
      <c r="W3565" s="2" t="n">
        <v>3</v>
      </c>
      <c r="X3565" s="2" t="n">
        <v>3</v>
      </c>
      <c r="Y3565" s="2" t="n">
        <v>3</v>
      </c>
      <c r="Z3565" s="2" t="n">
        <v>3</v>
      </c>
    </row>
    <row r="3566" customFormat="false" ht="15" hidden="false" customHeight="true" outlineLevel="0" collapsed="false">
      <c r="A3566" s="2" t="n">
        <v>36</v>
      </c>
      <c r="B3566" s="2" t="s">
        <v>26</v>
      </c>
      <c r="C3566" s="2" t="s">
        <v>27</v>
      </c>
      <c r="D3566" s="2" t="s">
        <v>28</v>
      </c>
      <c r="E3566" s="2" t="n">
        <v>3</v>
      </c>
      <c r="F3566" s="2" t="n">
        <v>2</v>
      </c>
      <c r="G3566" s="2" t="s">
        <v>50</v>
      </c>
      <c r="H3566" s="2" t="n">
        <v>3565</v>
      </c>
      <c r="I3566" s="2" t="s">
        <v>39</v>
      </c>
      <c r="J3566" s="2" t="n">
        <v>4</v>
      </c>
      <c r="K3566" s="2" t="s">
        <v>31</v>
      </c>
      <c r="L3566" s="2" t="s">
        <v>46</v>
      </c>
      <c r="M3566" s="2" t="n">
        <v>178610</v>
      </c>
      <c r="N3566" s="2" t="n">
        <v>2</v>
      </c>
      <c r="O3566" s="2" t="n">
        <v>18</v>
      </c>
      <c r="P3566" s="2" t="n">
        <v>0</v>
      </c>
      <c r="Q3566" s="2" t="n">
        <v>17</v>
      </c>
      <c r="R3566" s="2" t="n">
        <v>2</v>
      </c>
      <c r="S3566" s="2" t="n">
        <v>7</v>
      </c>
      <c r="T3566" s="2" t="n">
        <v>7</v>
      </c>
      <c r="U3566" s="2" t="n">
        <v>7</v>
      </c>
      <c r="V3566" s="2" t="n">
        <v>3</v>
      </c>
      <c r="W3566" s="2" t="n">
        <v>1</v>
      </c>
      <c r="X3566" s="2" t="n">
        <v>3</v>
      </c>
      <c r="Y3566" s="2" t="n">
        <v>2</v>
      </c>
      <c r="Z3566" s="2" t="n">
        <v>3</v>
      </c>
    </row>
    <row r="3567" customFormat="false" ht="15" hidden="false" customHeight="true" outlineLevel="0" collapsed="false">
      <c r="A3567" s="2" t="n">
        <v>33</v>
      </c>
      <c r="B3567" s="2" t="s">
        <v>26</v>
      </c>
      <c r="C3567" s="2" t="s">
        <v>27</v>
      </c>
      <c r="D3567" s="2" t="s">
        <v>28</v>
      </c>
      <c r="E3567" s="2" t="n">
        <v>26</v>
      </c>
      <c r="F3567" s="2" t="n">
        <v>2</v>
      </c>
      <c r="G3567" s="2" t="s">
        <v>50</v>
      </c>
      <c r="H3567" s="2" t="n">
        <v>3566</v>
      </c>
      <c r="I3567" s="2" t="s">
        <v>39</v>
      </c>
      <c r="J3567" s="2" t="n">
        <v>1</v>
      </c>
      <c r="K3567" s="2" t="s">
        <v>36</v>
      </c>
      <c r="L3567" s="2" t="s">
        <v>32</v>
      </c>
      <c r="M3567" s="2" t="n">
        <v>42300</v>
      </c>
      <c r="N3567" s="2" t="n">
        <v>0</v>
      </c>
      <c r="O3567" s="2" t="n">
        <v>12</v>
      </c>
      <c r="P3567" s="2" t="n">
        <v>0</v>
      </c>
      <c r="Q3567" s="2" t="n">
        <v>15</v>
      </c>
      <c r="R3567" s="2" t="n">
        <v>0</v>
      </c>
      <c r="S3567" s="2" t="n">
        <v>14</v>
      </c>
      <c r="T3567" s="2" t="n">
        <v>4</v>
      </c>
      <c r="U3567" s="2" t="n">
        <v>10</v>
      </c>
      <c r="V3567" s="2" t="n">
        <v>1</v>
      </c>
      <c r="W3567" s="2" t="n">
        <v>4</v>
      </c>
      <c r="X3567" s="2" t="n">
        <v>3</v>
      </c>
      <c r="Y3567" s="2" t="n">
        <v>3</v>
      </c>
      <c r="Z3567" s="2" t="n">
        <v>3</v>
      </c>
    </row>
    <row r="3568" customFormat="false" ht="15" hidden="false" customHeight="true" outlineLevel="0" collapsed="false">
      <c r="A3568" s="2" t="n">
        <v>40</v>
      </c>
      <c r="B3568" s="2" t="s">
        <v>26</v>
      </c>
      <c r="C3568" s="2" t="s">
        <v>27</v>
      </c>
      <c r="D3568" s="2" t="s">
        <v>35</v>
      </c>
      <c r="E3568" s="2" t="n">
        <v>1</v>
      </c>
      <c r="F3568" s="2" t="n">
        <v>3</v>
      </c>
      <c r="G3568" s="2" t="s">
        <v>43</v>
      </c>
      <c r="H3568" s="2" t="n">
        <v>3567</v>
      </c>
      <c r="I3568" s="2" t="s">
        <v>30</v>
      </c>
      <c r="J3568" s="2" t="n">
        <v>2</v>
      </c>
      <c r="K3568" s="2" t="s">
        <v>36</v>
      </c>
      <c r="L3568" s="2" t="s">
        <v>46</v>
      </c>
      <c r="M3568" s="2" t="n">
        <v>37800</v>
      </c>
      <c r="N3568" s="2" t="n">
        <v>7</v>
      </c>
      <c r="O3568" s="2" t="n">
        <v>12</v>
      </c>
      <c r="P3568" s="2" t="n">
        <v>0</v>
      </c>
      <c r="Q3568" s="2" t="n">
        <v>7</v>
      </c>
      <c r="R3568" s="2" t="n">
        <v>2</v>
      </c>
      <c r="S3568" s="2" t="n">
        <v>5</v>
      </c>
      <c r="T3568" s="2" t="n">
        <v>1</v>
      </c>
      <c r="U3568" s="2" t="n">
        <v>3</v>
      </c>
      <c r="V3568" s="2" t="n">
        <v>2</v>
      </c>
      <c r="W3568" s="2" t="n">
        <v>2</v>
      </c>
      <c r="X3568" s="2" t="n">
        <v>4</v>
      </c>
      <c r="Y3568" s="2" t="n">
        <v>1</v>
      </c>
      <c r="Z3568" s="2" t="n">
        <v>3</v>
      </c>
    </row>
    <row r="3569" customFormat="false" ht="15" hidden="false" customHeight="true" outlineLevel="0" collapsed="false">
      <c r="A3569" s="2" t="n">
        <v>25</v>
      </c>
      <c r="B3569" s="2" t="s">
        <v>26</v>
      </c>
      <c r="C3569" s="2" t="s">
        <v>27</v>
      </c>
      <c r="D3569" s="2" t="s">
        <v>35</v>
      </c>
      <c r="E3569" s="2" t="n">
        <v>6</v>
      </c>
      <c r="F3569" s="2" t="n">
        <v>2</v>
      </c>
      <c r="G3569" s="2" t="s">
        <v>43</v>
      </c>
      <c r="H3569" s="2" t="n">
        <v>3568</v>
      </c>
      <c r="I3569" s="2" t="s">
        <v>30</v>
      </c>
      <c r="J3569" s="2" t="n">
        <v>1</v>
      </c>
      <c r="K3569" s="2" t="s">
        <v>45</v>
      </c>
      <c r="L3569" s="2" t="s">
        <v>37</v>
      </c>
      <c r="M3569" s="2" t="n">
        <v>27680</v>
      </c>
      <c r="N3569" s="2" t="n">
        <v>0</v>
      </c>
      <c r="O3569" s="2" t="n">
        <v>22</v>
      </c>
      <c r="P3569" s="2" t="n">
        <v>1</v>
      </c>
      <c r="Q3569" s="2" t="n">
        <v>5</v>
      </c>
      <c r="R3569" s="2" t="n">
        <v>0</v>
      </c>
      <c r="S3569" s="2" t="n">
        <v>4</v>
      </c>
      <c r="T3569" s="2" t="n">
        <v>1</v>
      </c>
      <c r="U3569" s="2" t="n">
        <v>1</v>
      </c>
      <c r="V3569" s="2" t="n">
        <v>3</v>
      </c>
      <c r="W3569" s="2" t="n">
        <v>4</v>
      </c>
      <c r="X3569" s="2" t="n">
        <v>3</v>
      </c>
      <c r="Y3569" s="2" t="n">
        <v>3</v>
      </c>
      <c r="Z3569" s="2" t="n">
        <v>4</v>
      </c>
    </row>
    <row r="3570" customFormat="false" ht="15" hidden="false" customHeight="true" outlineLevel="0" collapsed="false">
      <c r="A3570" s="2" t="n">
        <v>30</v>
      </c>
      <c r="B3570" s="2" t="s">
        <v>26</v>
      </c>
      <c r="C3570" s="2" t="s">
        <v>27</v>
      </c>
      <c r="D3570" s="2" t="s">
        <v>28</v>
      </c>
      <c r="E3570" s="2" t="n">
        <v>9</v>
      </c>
      <c r="F3570" s="2" t="n">
        <v>3</v>
      </c>
      <c r="G3570" s="2" t="s">
        <v>50</v>
      </c>
      <c r="H3570" s="2" t="n">
        <v>3569</v>
      </c>
      <c r="I3570" s="2" t="s">
        <v>30</v>
      </c>
      <c r="J3570" s="2" t="n">
        <v>1</v>
      </c>
      <c r="K3570" s="2" t="s">
        <v>36</v>
      </c>
      <c r="L3570" s="2" t="s">
        <v>32</v>
      </c>
      <c r="M3570" s="2" t="n">
        <v>90710</v>
      </c>
      <c r="N3570" s="2" t="n">
        <v>0</v>
      </c>
      <c r="O3570" s="2" t="n">
        <v>19</v>
      </c>
      <c r="P3570" s="2" t="n">
        <v>1</v>
      </c>
      <c r="Q3570" s="2" t="n">
        <v>12</v>
      </c>
      <c r="R3570" s="2" t="n">
        <v>2</v>
      </c>
      <c r="S3570" s="2" t="n">
        <v>11</v>
      </c>
      <c r="T3570" s="2" t="n">
        <v>5</v>
      </c>
      <c r="U3570" s="2" t="n">
        <v>7</v>
      </c>
      <c r="V3570" s="2" t="n">
        <v>4</v>
      </c>
      <c r="W3570" s="2" t="n">
        <v>2</v>
      </c>
      <c r="X3570" s="2" t="n">
        <v>3</v>
      </c>
      <c r="Y3570" s="2" t="n">
        <v>2</v>
      </c>
      <c r="Z3570" s="2" t="n">
        <v>3</v>
      </c>
    </row>
    <row r="3571" customFormat="false" ht="15" hidden="false" customHeight="true" outlineLevel="0" collapsed="false">
      <c r="A3571" s="2" t="n">
        <v>42</v>
      </c>
      <c r="B3571" s="2" t="s">
        <v>26</v>
      </c>
      <c r="C3571" s="2" t="s">
        <v>34</v>
      </c>
      <c r="D3571" s="2" t="s">
        <v>42</v>
      </c>
      <c r="E3571" s="2" t="n">
        <v>8</v>
      </c>
      <c r="F3571" s="2" t="n">
        <v>2</v>
      </c>
      <c r="G3571" s="2" t="s">
        <v>43</v>
      </c>
      <c r="H3571" s="2" t="n">
        <v>3570</v>
      </c>
      <c r="I3571" s="2" t="s">
        <v>39</v>
      </c>
      <c r="J3571" s="2" t="n">
        <v>1</v>
      </c>
      <c r="K3571" s="2" t="s">
        <v>40</v>
      </c>
      <c r="L3571" s="2" t="s">
        <v>32</v>
      </c>
      <c r="M3571" s="2" t="n">
        <v>106480</v>
      </c>
      <c r="N3571" s="2" t="n">
        <v>3</v>
      </c>
      <c r="O3571" s="2" t="n">
        <v>13</v>
      </c>
      <c r="P3571" s="2" t="n">
        <v>1</v>
      </c>
      <c r="Q3571" s="2" t="n">
        <v>20</v>
      </c>
      <c r="R3571" s="2" t="n">
        <v>1</v>
      </c>
      <c r="S3571" s="2" t="n">
        <v>1</v>
      </c>
      <c r="T3571" s="2" t="n">
        <v>0</v>
      </c>
      <c r="U3571" s="2" t="n">
        <v>0</v>
      </c>
      <c r="V3571" s="2" t="n">
        <v>1</v>
      </c>
      <c r="W3571" s="2" t="n">
        <v>1</v>
      </c>
      <c r="X3571" s="2" t="n">
        <v>3</v>
      </c>
      <c r="Y3571" s="2" t="n">
        <v>3</v>
      </c>
      <c r="Z3571" s="2" t="n">
        <v>3</v>
      </c>
    </row>
    <row r="3572" customFormat="false" ht="15" hidden="false" customHeight="true" outlineLevel="0" collapsed="false">
      <c r="A3572" s="2" t="n">
        <v>35</v>
      </c>
      <c r="B3572" s="2" t="s">
        <v>26</v>
      </c>
      <c r="C3572" s="2" t="s">
        <v>41</v>
      </c>
      <c r="D3572" s="2" t="s">
        <v>35</v>
      </c>
      <c r="E3572" s="2" t="n">
        <v>1</v>
      </c>
      <c r="F3572" s="2" t="n">
        <v>1</v>
      </c>
      <c r="G3572" s="2" t="s">
        <v>29</v>
      </c>
      <c r="H3572" s="2" t="n">
        <v>3571</v>
      </c>
      <c r="I3572" s="2" t="s">
        <v>39</v>
      </c>
      <c r="J3572" s="2" t="n">
        <v>2</v>
      </c>
      <c r="K3572" s="2" t="s">
        <v>40</v>
      </c>
      <c r="L3572" s="2" t="s">
        <v>32</v>
      </c>
      <c r="M3572" s="2" t="n">
        <v>136100</v>
      </c>
      <c r="N3572" s="2" t="n">
        <v>4</v>
      </c>
      <c r="O3572" s="2" t="n">
        <v>22</v>
      </c>
      <c r="P3572" s="2" t="n">
        <v>2</v>
      </c>
      <c r="Q3572" s="2" t="n">
        <v>16</v>
      </c>
      <c r="R3572" s="2" t="n">
        <v>4</v>
      </c>
      <c r="S3572" s="2" t="n">
        <v>13</v>
      </c>
      <c r="T3572" s="2" t="n">
        <v>4</v>
      </c>
      <c r="U3572" s="2" t="n">
        <v>12</v>
      </c>
      <c r="V3572" s="2" t="n">
        <v>3</v>
      </c>
      <c r="W3572" s="2" t="n">
        <v>4</v>
      </c>
      <c r="X3572" s="2" t="n">
        <v>2</v>
      </c>
      <c r="Y3572" s="2" t="n">
        <v>2</v>
      </c>
      <c r="Z3572" s="2" t="n">
        <v>4</v>
      </c>
    </row>
    <row r="3573" customFormat="false" ht="15" hidden="false" customHeight="true" outlineLevel="0" collapsed="false">
      <c r="A3573" s="2" t="n">
        <v>27</v>
      </c>
      <c r="B3573" s="2" t="s">
        <v>26</v>
      </c>
      <c r="C3573" s="2" t="s">
        <v>27</v>
      </c>
      <c r="D3573" s="2" t="s">
        <v>35</v>
      </c>
      <c r="E3573" s="2" t="n">
        <v>7</v>
      </c>
      <c r="F3573" s="2" t="n">
        <v>3</v>
      </c>
      <c r="G3573" s="2" t="s">
        <v>29</v>
      </c>
      <c r="H3573" s="2" t="n">
        <v>3572</v>
      </c>
      <c r="I3573" s="2" t="s">
        <v>39</v>
      </c>
      <c r="J3573" s="2" t="n">
        <v>3</v>
      </c>
      <c r="K3573" s="2" t="s">
        <v>47</v>
      </c>
      <c r="L3573" s="2" t="s">
        <v>32</v>
      </c>
      <c r="M3573" s="2" t="n">
        <v>34080</v>
      </c>
      <c r="N3573" s="2" t="n">
        <v>1</v>
      </c>
      <c r="O3573" s="2" t="n">
        <v>24</v>
      </c>
      <c r="P3573" s="2" t="n">
        <v>0</v>
      </c>
      <c r="Q3573" s="2" t="n">
        <v>9</v>
      </c>
      <c r="R3573" s="2" t="n">
        <v>2</v>
      </c>
      <c r="S3573" s="2" t="n">
        <v>9</v>
      </c>
      <c r="T3573" s="2" t="n">
        <v>6</v>
      </c>
      <c r="U3573" s="2" t="n">
        <v>8</v>
      </c>
      <c r="V3573" s="2" t="n">
        <v>1</v>
      </c>
      <c r="W3573" s="2" t="n">
        <v>1</v>
      </c>
      <c r="X3573" s="2" t="n">
        <v>2</v>
      </c>
      <c r="Y3573" s="2" t="n">
        <v>3</v>
      </c>
      <c r="Z3573" s="2" t="n">
        <v>4</v>
      </c>
    </row>
    <row r="3574" customFormat="false" ht="15" hidden="false" customHeight="true" outlineLevel="0" collapsed="false">
      <c r="A3574" s="2" t="n">
        <v>54</v>
      </c>
      <c r="B3574" s="2" t="s">
        <v>26</v>
      </c>
      <c r="C3574" s="2" t="s">
        <v>34</v>
      </c>
      <c r="D3574" s="2" t="s">
        <v>35</v>
      </c>
      <c r="E3574" s="2" t="n">
        <v>9</v>
      </c>
      <c r="F3574" s="2" t="n">
        <v>2</v>
      </c>
      <c r="G3574" s="2" t="s">
        <v>43</v>
      </c>
      <c r="H3574" s="2" t="n">
        <v>3573</v>
      </c>
      <c r="I3574" s="2" t="s">
        <v>39</v>
      </c>
      <c r="J3574" s="2" t="n">
        <v>2</v>
      </c>
      <c r="K3574" s="2" t="s">
        <v>48</v>
      </c>
      <c r="L3574" s="2" t="s">
        <v>46</v>
      </c>
      <c r="M3574" s="2" t="n">
        <v>29830</v>
      </c>
      <c r="N3574" s="2" t="n">
        <v>7</v>
      </c>
      <c r="O3574" s="2" t="n">
        <v>14</v>
      </c>
      <c r="P3574" s="2" t="n">
        <v>1</v>
      </c>
      <c r="Q3574" s="2" t="n">
        <v>33</v>
      </c>
      <c r="R3574" s="2" t="n">
        <v>2</v>
      </c>
      <c r="S3574" s="2" t="n">
        <v>5</v>
      </c>
      <c r="T3574" s="2" t="n">
        <v>1</v>
      </c>
      <c r="U3574" s="2" t="n">
        <v>4</v>
      </c>
      <c r="V3574" s="2" t="n">
        <v>4</v>
      </c>
      <c r="W3574" s="2" t="n">
        <v>3</v>
      </c>
      <c r="X3574" s="2" t="n">
        <v>1</v>
      </c>
      <c r="Y3574" s="2" t="n">
        <v>2</v>
      </c>
      <c r="Z3574" s="2" t="n">
        <v>3</v>
      </c>
    </row>
    <row r="3575" customFormat="false" ht="15" hidden="false" customHeight="true" outlineLevel="0" collapsed="false">
      <c r="A3575" s="2" t="n">
        <v>44</v>
      </c>
      <c r="B3575" s="2" t="s">
        <v>26</v>
      </c>
      <c r="C3575" s="2" t="s">
        <v>27</v>
      </c>
      <c r="D3575" s="2" t="s">
        <v>42</v>
      </c>
      <c r="E3575" s="2" t="n">
        <v>4</v>
      </c>
      <c r="F3575" s="2" t="n">
        <v>4</v>
      </c>
      <c r="G3575" s="2" t="s">
        <v>29</v>
      </c>
      <c r="H3575" s="2" t="n">
        <v>3574</v>
      </c>
      <c r="I3575" s="2" t="s">
        <v>39</v>
      </c>
      <c r="J3575" s="2" t="n">
        <v>5</v>
      </c>
      <c r="K3575" s="2" t="s">
        <v>45</v>
      </c>
      <c r="L3575" s="2" t="s">
        <v>32</v>
      </c>
      <c r="M3575" s="2" t="n">
        <v>76320</v>
      </c>
      <c r="N3575" s="2" t="n">
        <v>1</v>
      </c>
      <c r="O3575" s="2" t="n">
        <v>21</v>
      </c>
      <c r="P3575" s="2" t="n">
        <v>0</v>
      </c>
      <c r="Q3575" s="2" t="n">
        <v>10</v>
      </c>
      <c r="R3575" s="2" t="n">
        <v>3</v>
      </c>
      <c r="S3575" s="2" t="n">
        <v>10</v>
      </c>
      <c r="T3575" s="2" t="n">
        <v>7</v>
      </c>
      <c r="U3575" s="2" t="n">
        <v>7</v>
      </c>
      <c r="V3575" s="2" t="n">
        <v>1</v>
      </c>
      <c r="W3575" s="2" t="n">
        <v>4</v>
      </c>
      <c r="X3575" s="2" t="n">
        <v>3</v>
      </c>
      <c r="Y3575" s="2" t="n">
        <v>3</v>
      </c>
      <c r="Z3575" s="2" t="n">
        <v>4</v>
      </c>
    </row>
    <row r="3576" customFormat="false" ht="15" hidden="false" customHeight="true" outlineLevel="0" collapsed="false">
      <c r="A3576" s="2" t="n">
        <v>19</v>
      </c>
      <c r="B3576" s="2" t="s">
        <v>33</v>
      </c>
      <c r="C3576" s="2" t="s">
        <v>41</v>
      </c>
      <c r="D3576" s="2" t="s">
        <v>28</v>
      </c>
      <c r="E3576" s="2" t="n">
        <v>2</v>
      </c>
      <c r="F3576" s="2" t="n">
        <v>2</v>
      </c>
      <c r="G3576" s="2" t="s">
        <v>38</v>
      </c>
      <c r="H3576" s="2" t="n">
        <v>3575</v>
      </c>
      <c r="I3576" s="2" t="s">
        <v>39</v>
      </c>
      <c r="J3576" s="2" t="n">
        <v>3</v>
      </c>
      <c r="K3576" s="2" t="s">
        <v>31</v>
      </c>
      <c r="L3576" s="2" t="s">
        <v>37</v>
      </c>
      <c r="M3576" s="2" t="n">
        <v>98240</v>
      </c>
      <c r="N3576" s="2" t="n">
        <v>1</v>
      </c>
      <c r="O3576" s="2" t="n">
        <v>18</v>
      </c>
      <c r="P3576" s="2" t="n">
        <v>0</v>
      </c>
      <c r="Q3576" s="2" t="n">
        <v>1</v>
      </c>
      <c r="R3576" s="2" t="n">
        <v>2</v>
      </c>
      <c r="S3576" s="2" t="n">
        <v>1</v>
      </c>
      <c r="T3576" s="2" t="n">
        <v>0</v>
      </c>
      <c r="U3576" s="2" t="n">
        <v>0</v>
      </c>
      <c r="V3576" s="2" t="n">
        <v>1</v>
      </c>
      <c r="W3576" s="2" t="n">
        <v>2</v>
      </c>
      <c r="X3576" s="2" t="n">
        <v>4</v>
      </c>
      <c r="Y3576" s="2" t="n">
        <v>3</v>
      </c>
      <c r="Z3576" s="2" t="n">
        <v>3</v>
      </c>
    </row>
    <row r="3577" customFormat="false" ht="15" hidden="false" customHeight="true" outlineLevel="0" collapsed="false">
      <c r="A3577" s="2" t="n">
        <v>29</v>
      </c>
      <c r="B3577" s="2" t="s">
        <v>26</v>
      </c>
      <c r="C3577" s="2" t="s">
        <v>27</v>
      </c>
      <c r="D3577" s="2" t="s">
        <v>35</v>
      </c>
      <c r="E3577" s="2" t="n">
        <v>19</v>
      </c>
      <c r="F3577" s="2" t="n">
        <v>4</v>
      </c>
      <c r="G3577" s="2" t="s">
        <v>29</v>
      </c>
      <c r="H3577" s="2" t="n">
        <v>3576</v>
      </c>
      <c r="I3577" s="2" t="s">
        <v>39</v>
      </c>
      <c r="J3577" s="2" t="n">
        <v>1</v>
      </c>
      <c r="K3577" s="2" t="s">
        <v>47</v>
      </c>
      <c r="L3577" s="2" t="s">
        <v>46</v>
      </c>
      <c r="M3577" s="2" t="n">
        <v>99500</v>
      </c>
      <c r="N3577" s="2" t="n">
        <v>1</v>
      </c>
      <c r="O3577" s="2" t="n">
        <v>20</v>
      </c>
      <c r="P3577" s="2" t="n">
        <v>0</v>
      </c>
      <c r="Q3577" s="2" t="n">
        <v>3</v>
      </c>
      <c r="R3577" s="2" t="n">
        <v>3</v>
      </c>
      <c r="S3577" s="2" t="n">
        <v>3</v>
      </c>
      <c r="T3577" s="2" t="n">
        <v>1</v>
      </c>
      <c r="U3577" s="2" t="n">
        <v>2</v>
      </c>
      <c r="V3577" s="2" t="n">
        <v>1</v>
      </c>
      <c r="W3577" s="2" t="n">
        <v>4</v>
      </c>
      <c r="X3577" s="2" t="n">
        <v>3</v>
      </c>
      <c r="Y3577" s="2" t="n">
        <v>3</v>
      </c>
      <c r="Z3577" s="2" t="n">
        <v>4</v>
      </c>
    </row>
    <row r="3578" customFormat="false" ht="15" hidden="false" customHeight="true" outlineLevel="0" collapsed="false">
      <c r="A3578" s="2" t="n">
        <v>54</v>
      </c>
      <c r="B3578" s="2" t="s">
        <v>26</v>
      </c>
      <c r="C3578" s="2" t="s">
        <v>27</v>
      </c>
      <c r="D3578" s="2" t="s">
        <v>35</v>
      </c>
      <c r="E3578" s="2" t="n">
        <v>9</v>
      </c>
      <c r="F3578" s="2" t="n">
        <v>4</v>
      </c>
      <c r="G3578" s="2" t="s">
        <v>29</v>
      </c>
      <c r="H3578" s="2" t="n">
        <v>3577</v>
      </c>
      <c r="I3578" s="2" t="s">
        <v>39</v>
      </c>
      <c r="J3578" s="2" t="n">
        <v>2</v>
      </c>
      <c r="K3578" s="2" t="s">
        <v>40</v>
      </c>
      <c r="L3578" s="2" t="s">
        <v>32</v>
      </c>
      <c r="M3578" s="2" t="n">
        <v>20930</v>
      </c>
      <c r="N3578" s="2" t="n">
        <v>3</v>
      </c>
      <c r="O3578" s="2" t="n">
        <v>19</v>
      </c>
      <c r="P3578" s="2" t="n">
        <v>0</v>
      </c>
      <c r="Q3578" s="2" t="n">
        <v>36</v>
      </c>
      <c r="R3578" s="2" t="n">
        <v>2</v>
      </c>
      <c r="S3578" s="2" t="n">
        <v>10</v>
      </c>
      <c r="T3578" s="2" t="n">
        <v>0</v>
      </c>
      <c r="U3578" s="2" t="n">
        <v>9</v>
      </c>
      <c r="V3578" s="2" t="n">
        <v>4</v>
      </c>
      <c r="W3578" s="2" t="n">
        <v>4</v>
      </c>
      <c r="X3578" s="2" t="n">
        <v>3</v>
      </c>
      <c r="Y3578" s="2" t="n">
        <v>3</v>
      </c>
      <c r="Z3578" s="2" t="n">
        <v>3</v>
      </c>
    </row>
    <row r="3579" customFormat="false" ht="15" hidden="false" customHeight="true" outlineLevel="0" collapsed="false">
      <c r="A3579" s="2" t="n">
        <v>31</v>
      </c>
      <c r="B3579" s="2" t="s">
        <v>26</v>
      </c>
      <c r="C3579" s="2" t="s">
        <v>27</v>
      </c>
      <c r="D3579" s="2" t="s">
        <v>35</v>
      </c>
      <c r="E3579" s="2" t="n">
        <v>21</v>
      </c>
      <c r="F3579" s="2" t="n">
        <v>3</v>
      </c>
      <c r="G3579" s="2" t="s">
        <v>29</v>
      </c>
      <c r="H3579" s="2" t="n">
        <v>3578</v>
      </c>
      <c r="I3579" s="2" t="s">
        <v>39</v>
      </c>
      <c r="J3579" s="2" t="n">
        <v>2</v>
      </c>
      <c r="K3579" s="2" t="s">
        <v>45</v>
      </c>
      <c r="L3579" s="2" t="s">
        <v>32</v>
      </c>
      <c r="M3579" s="2" t="n">
        <v>99800</v>
      </c>
      <c r="N3579" s="2" t="n">
        <v>1</v>
      </c>
      <c r="O3579" s="2" t="n">
        <v>12</v>
      </c>
      <c r="P3579" s="2" t="n">
        <v>0</v>
      </c>
      <c r="Q3579" s="2" t="n">
        <v>6</v>
      </c>
      <c r="R3579" s="2" t="n">
        <v>1</v>
      </c>
      <c r="S3579" s="2" t="n">
        <v>6</v>
      </c>
      <c r="T3579" s="2" t="n">
        <v>0</v>
      </c>
      <c r="U3579" s="2" t="n">
        <v>1</v>
      </c>
      <c r="V3579" s="2" t="n">
        <v>3</v>
      </c>
      <c r="W3579" s="2" t="n">
        <v>1</v>
      </c>
      <c r="X3579" s="2" t="n">
        <v>2</v>
      </c>
      <c r="Y3579" s="2" t="n">
        <v>3</v>
      </c>
      <c r="Z3579" s="2" t="n">
        <v>3</v>
      </c>
    </row>
    <row r="3580" customFormat="false" ht="15" hidden="false" customHeight="true" outlineLevel="0" collapsed="false">
      <c r="A3580" s="2" t="n">
        <v>31</v>
      </c>
      <c r="B3580" s="2" t="s">
        <v>26</v>
      </c>
      <c r="C3580" s="2" t="s">
        <v>27</v>
      </c>
      <c r="D3580" s="2" t="s">
        <v>28</v>
      </c>
      <c r="E3580" s="2" t="n">
        <v>24</v>
      </c>
      <c r="F3580" s="2" t="n">
        <v>1</v>
      </c>
      <c r="G3580" s="2" t="s">
        <v>50</v>
      </c>
      <c r="H3580" s="2" t="n">
        <v>3579</v>
      </c>
      <c r="I3580" s="2" t="s">
        <v>30</v>
      </c>
      <c r="J3580" s="2" t="n">
        <v>1</v>
      </c>
      <c r="K3580" s="2" t="s">
        <v>40</v>
      </c>
      <c r="L3580" s="2" t="s">
        <v>37</v>
      </c>
      <c r="M3580" s="2" t="n">
        <v>38940</v>
      </c>
      <c r="N3580" s="2" t="n">
        <v>1</v>
      </c>
      <c r="O3580" s="2" t="n">
        <v>12</v>
      </c>
      <c r="P3580" s="2" t="n">
        <v>0</v>
      </c>
      <c r="Q3580" s="2" t="n">
        <v>10</v>
      </c>
      <c r="R3580" s="2" t="n">
        <v>3</v>
      </c>
      <c r="S3580" s="2" t="n">
        <v>10</v>
      </c>
      <c r="T3580" s="2" t="n">
        <v>1</v>
      </c>
      <c r="U3580" s="2" t="n">
        <v>8</v>
      </c>
      <c r="V3580" s="2" t="n">
        <v>3</v>
      </c>
      <c r="W3580" s="2" t="n">
        <v>1</v>
      </c>
      <c r="X3580" s="2" t="n">
        <v>3</v>
      </c>
      <c r="Y3580" s="2" t="n">
        <v>4</v>
      </c>
      <c r="Z3580" s="2" t="n">
        <v>3</v>
      </c>
    </row>
    <row r="3581" customFormat="false" ht="15" hidden="false" customHeight="true" outlineLevel="0" collapsed="false">
      <c r="A3581" s="2" t="n">
        <v>59</v>
      </c>
      <c r="B3581" s="2" t="s">
        <v>26</v>
      </c>
      <c r="C3581" s="2" t="s">
        <v>27</v>
      </c>
      <c r="D3581" s="2" t="s">
        <v>35</v>
      </c>
      <c r="E3581" s="2" t="n">
        <v>3</v>
      </c>
      <c r="F3581" s="2" t="n">
        <v>4</v>
      </c>
      <c r="G3581" s="2" t="s">
        <v>51</v>
      </c>
      <c r="H3581" s="2" t="n">
        <v>3580</v>
      </c>
      <c r="I3581" s="2" t="s">
        <v>39</v>
      </c>
      <c r="J3581" s="2" t="n">
        <v>1</v>
      </c>
      <c r="K3581" s="2" t="s">
        <v>36</v>
      </c>
      <c r="L3581" s="2" t="s">
        <v>37</v>
      </c>
      <c r="M3581" s="2" t="n">
        <v>40510</v>
      </c>
      <c r="N3581" s="2" t="n">
        <v>5</v>
      </c>
      <c r="O3581" s="2" t="n">
        <v>16</v>
      </c>
      <c r="P3581" s="2" t="n">
        <v>3</v>
      </c>
      <c r="Q3581" s="2" t="n">
        <v>13</v>
      </c>
      <c r="R3581" s="2" t="n">
        <v>3</v>
      </c>
      <c r="S3581" s="2" t="n">
        <v>6</v>
      </c>
      <c r="T3581" s="2" t="n">
        <v>0</v>
      </c>
      <c r="U3581" s="2" t="n">
        <v>5</v>
      </c>
      <c r="V3581" s="2" t="n">
        <v>3</v>
      </c>
      <c r="W3581" s="2" t="n">
        <v>4</v>
      </c>
      <c r="X3581" s="2" t="n">
        <v>3</v>
      </c>
      <c r="Y3581" s="2" t="n">
        <v>3</v>
      </c>
      <c r="Z3581" s="2" t="n">
        <v>3</v>
      </c>
    </row>
    <row r="3582" customFormat="false" ht="15" hidden="false" customHeight="true" outlineLevel="0" collapsed="false">
      <c r="A3582" s="2" t="n">
        <v>43</v>
      </c>
      <c r="B3582" s="2" t="s">
        <v>26</v>
      </c>
      <c r="C3582" s="2" t="s">
        <v>27</v>
      </c>
      <c r="D3582" s="2" t="s">
        <v>35</v>
      </c>
      <c r="E3582" s="2" t="n">
        <v>11</v>
      </c>
      <c r="F3582" s="2" t="n">
        <v>2</v>
      </c>
      <c r="G3582" s="2" t="s">
        <v>29</v>
      </c>
      <c r="H3582" s="2" t="n">
        <v>3581</v>
      </c>
      <c r="I3582" s="2" t="s">
        <v>39</v>
      </c>
      <c r="J3582" s="2" t="n">
        <v>3</v>
      </c>
      <c r="K3582" s="2" t="s">
        <v>45</v>
      </c>
      <c r="L3582" s="2" t="s">
        <v>32</v>
      </c>
      <c r="M3582" s="2" t="n">
        <v>168350</v>
      </c>
      <c r="N3582" s="2" t="n">
        <v>3</v>
      </c>
      <c r="O3582" s="2" t="n">
        <v>17</v>
      </c>
      <c r="P3582" s="2" t="n">
        <v>1</v>
      </c>
      <c r="Q3582" s="2" t="n">
        <v>25</v>
      </c>
      <c r="R3582" s="2" t="n">
        <v>3</v>
      </c>
      <c r="S3582" s="2" t="n">
        <v>8</v>
      </c>
      <c r="T3582" s="2" t="n">
        <v>0</v>
      </c>
      <c r="U3582" s="2" t="n">
        <v>7</v>
      </c>
      <c r="V3582" s="2" t="n">
        <v>3</v>
      </c>
      <c r="W3582" s="2" t="n">
        <v>4</v>
      </c>
      <c r="X3582" s="2" t="n">
        <v>3</v>
      </c>
      <c r="Y3582" s="2" t="n">
        <v>3</v>
      </c>
      <c r="Z3582" s="2" t="n">
        <v>3</v>
      </c>
    </row>
    <row r="3583" customFormat="false" ht="15" hidden="false" customHeight="true" outlineLevel="0" collapsed="false">
      <c r="A3583" s="2" t="n">
        <v>49</v>
      </c>
      <c r="B3583" s="2" t="s">
        <v>26</v>
      </c>
      <c r="C3583" s="2" t="s">
        <v>27</v>
      </c>
      <c r="D3583" s="2" t="s">
        <v>28</v>
      </c>
      <c r="E3583" s="2" t="n">
        <v>14</v>
      </c>
      <c r="F3583" s="2" t="n">
        <v>4</v>
      </c>
      <c r="G3583" s="2" t="s">
        <v>29</v>
      </c>
      <c r="H3583" s="2" t="n">
        <v>3582</v>
      </c>
      <c r="I3583" s="2" t="s">
        <v>39</v>
      </c>
      <c r="J3583" s="2" t="n">
        <v>2</v>
      </c>
      <c r="K3583" s="2" t="s">
        <v>36</v>
      </c>
      <c r="L3583" s="2" t="s">
        <v>32</v>
      </c>
      <c r="M3583" s="2" t="n">
        <v>62300</v>
      </c>
      <c r="N3583" s="2" t="n">
        <v>2</v>
      </c>
      <c r="O3583" s="2" t="n">
        <v>14</v>
      </c>
      <c r="P3583" s="2" t="n">
        <v>0</v>
      </c>
      <c r="Q3583" s="2" t="n">
        <v>23</v>
      </c>
      <c r="R3583" s="2" t="n">
        <v>2</v>
      </c>
      <c r="S3583" s="2" t="n">
        <v>1</v>
      </c>
      <c r="T3583" s="2" t="n">
        <v>0</v>
      </c>
      <c r="U3583" s="2" t="n">
        <v>0</v>
      </c>
      <c r="V3583" s="2" t="n">
        <v>1</v>
      </c>
      <c r="W3583" s="2" t="n">
        <v>3</v>
      </c>
      <c r="X3583" s="2" t="n">
        <v>4</v>
      </c>
      <c r="Y3583" s="2" t="n">
        <v>2</v>
      </c>
      <c r="Z3583" s="2" t="n">
        <v>3</v>
      </c>
    </row>
    <row r="3584" customFormat="false" ht="15" hidden="false" customHeight="true" outlineLevel="0" collapsed="false">
      <c r="A3584" s="2" t="n">
        <v>36</v>
      </c>
      <c r="B3584" s="2" t="s">
        <v>26</v>
      </c>
      <c r="C3584" s="2" t="s">
        <v>34</v>
      </c>
      <c r="D3584" s="2" t="s">
        <v>28</v>
      </c>
      <c r="E3584" s="2" t="n">
        <v>5</v>
      </c>
      <c r="F3584" s="2" t="n">
        <v>2</v>
      </c>
      <c r="G3584" s="2" t="s">
        <v>50</v>
      </c>
      <c r="H3584" s="2" t="n">
        <v>3583</v>
      </c>
      <c r="I3584" s="2" t="s">
        <v>30</v>
      </c>
      <c r="J3584" s="2" t="n">
        <v>1</v>
      </c>
      <c r="K3584" s="2" t="s">
        <v>45</v>
      </c>
      <c r="L3584" s="2" t="s">
        <v>32</v>
      </c>
      <c r="M3584" s="2" t="n">
        <v>47170</v>
      </c>
      <c r="N3584" s="2" t="n">
        <v>1</v>
      </c>
      <c r="O3584" s="2" t="n">
        <v>19</v>
      </c>
      <c r="P3584" s="2" t="n">
        <v>1</v>
      </c>
      <c r="Q3584" s="2" t="n">
        <v>12</v>
      </c>
      <c r="R3584" s="2" t="n">
        <v>3</v>
      </c>
      <c r="S3584" s="2" t="n">
        <v>11</v>
      </c>
      <c r="T3584" s="2" t="n">
        <v>0</v>
      </c>
      <c r="U3584" s="2" t="n">
        <v>7</v>
      </c>
      <c r="V3584" s="2" t="n">
        <v>3</v>
      </c>
      <c r="W3584" s="2" t="n">
        <v>2</v>
      </c>
      <c r="X3584" s="2" t="n">
        <v>2</v>
      </c>
      <c r="Y3584" s="2" t="n">
        <v>3</v>
      </c>
      <c r="Z3584" s="2" t="n">
        <v>3</v>
      </c>
    </row>
    <row r="3585" customFormat="false" ht="15" hidden="false" customHeight="true" outlineLevel="0" collapsed="false">
      <c r="A3585" s="2" t="n">
        <v>48</v>
      </c>
      <c r="B3585" s="2" t="s">
        <v>26</v>
      </c>
      <c r="C3585" s="2" t="s">
        <v>27</v>
      </c>
      <c r="D3585" s="2" t="s">
        <v>35</v>
      </c>
      <c r="E3585" s="2" t="n">
        <v>1</v>
      </c>
      <c r="F3585" s="2" t="n">
        <v>4</v>
      </c>
      <c r="G3585" s="2" t="s">
        <v>29</v>
      </c>
      <c r="H3585" s="2" t="n">
        <v>3584</v>
      </c>
      <c r="I3585" s="2" t="s">
        <v>30</v>
      </c>
      <c r="J3585" s="2" t="n">
        <v>2</v>
      </c>
      <c r="K3585" s="2" t="s">
        <v>45</v>
      </c>
      <c r="L3585" s="2" t="s">
        <v>37</v>
      </c>
      <c r="M3585" s="2" t="n">
        <v>132370</v>
      </c>
      <c r="N3585" s="2" t="n">
        <v>5</v>
      </c>
      <c r="O3585" s="2" t="n">
        <v>13</v>
      </c>
      <c r="P3585" s="2" t="n">
        <v>1</v>
      </c>
      <c r="Q3585" s="2" t="n">
        <v>7</v>
      </c>
      <c r="R3585" s="2" t="n">
        <v>2</v>
      </c>
      <c r="S3585" s="2" t="n">
        <v>1</v>
      </c>
      <c r="T3585" s="2" t="n">
        <v>0</v>
      </c>
      <c r="U3585" s="2" t="n">
        <v>0</v>
      </c>
      <c r="V3585" s="2" t="n">
        <v>4</v>
      </c>
      <c r="W3585" s="2" t="n">
        <v>2</v>
      </c>
      <c r="X3585" s="2" t="n">
        <v>2</v>
      </c>
      <c r="Y3585" s="2" t="n">
        <v>4</v>
      </c>
      <c r="Z3585" s="2" t="n">
        <v>3</v>
      </c>
    </row>
    <row r="3586" customFormat="false" ht="15" hidden="false" customHeight="true" outlineLevel="0" collapsed="false">
      <c r="A3586" s="2" t="n">
        <v>27</v>
      </c>
      <c r="B3586" s="2" t="s">
        <v>26</v>
      </c>
      <c r="C3586" s="2" t="s">
        <v>27</v>
      </c>
      <c r="D3586" s="2" t="s">
        <v>35</v>
      </c>
      <c r="E3586" s="2" t="n">
        <v>6</v>
      </c>
      <c r="F3586" s="2" t="n">
        <v>4</v>
      </c>
      <c r="G3586" s="2" t="s">
        <v>29</v>
      </c>
      <c r="H3586" s="2" t="n">
        <v>3585</v>
      </c>
      <c r="I3586" s="2" t="s">
        <v>39</v>
      </c>
      <c r="J3586" s="2" t="n">
        <v>2</v>
      </c>
      <c r="K3586" s="2" t="s">
        <v>45</v>
      </c>
      <c r="L3586" s="2" t="s">
        <v>46</v>
      </c>
      <c r="M3586" s="2" t="n">
        <v>37550</v>
      </c>
      <c r="N3586" s="2" t="n">
        <v>1</v>
      </c>
      <c r="O3586" s="2" t="n">
        <v>19</v>
      </c>
      <c r="P3586" s="2" t="n">
        <v>0</v>
      </c>
      <c r="Q3586" s="2" t="n">
        <v>5</v>
      </c>
      <c r="R3586" s="2" t="n">
        <v>2</v>
      </c>
      <c r="S3586" s="2" t="n">
        <v>5</v>
      </c>
      <c r="T3586" s="2" t="n">
        <v>0</v>
      </c>
      <c r="U3586" s="2" t="n">
        <v>3</v>
      </c>
      <c r="V3586" s="2" t="n">
        <v>1</v>
      </c>
      <c r="W3586" s="2" t="n">
        <v>3</v>
      </c>
      <c r="X3586" s="2" t="n">
        <v>3</v>
      </c>
      <c r="Y3586" s="2" t="n">
        <v>3</v>
      </c>
      <c r="Z3586" s="2" t="n">
        <v>3</v>
      </c>
    </row>
    <row r="3587" customFormat="false" ht="15" hidden="false" customHeight="true" outlineLevel="0" collapsed="false">
      <c r="A3587" s="2" t="n">
        <v>29</v>
      </c>
      <c r="B3587" s="2" t="s">
        <v>26</v>
      </c>
      <c r="C3587" s="2" t="s">
        <v>27</v>
      </c>
      <c r="D3587" s="2" t="s">
        <v>28</v>
      </c>
      <c r="E3587" s="2" t="n">
        <v>17</v>
      </c>
      <c r="F3587" s="2" t="n">
        <v>4</v>
      </c>
      <c r="G3587" s="2" t="s">
        <v>43</v>
      </c>
      <c r="H3587" s="2" t="n">
        <v>3586</v>
      </c>
      <c r="I3587" s="2" t="s">
        <v>39</v>
      </c>
      <c r="J3587" s="2" t="n">
        <v>1</v>
      </c>
      <c r="K3587" s="2" t="s">
        <v>45</v>
      </c>
      <c r="L3587" s="2" t="s">
        <v>46</v>
      </c>
      <c r="M3587" s="2" t="n">
        <v>65820</v>
      </c>
      <c r="N3587" s="2" t="n">
        <v>1</v>
      </c>
      <c r="O3587" s="2" t="n">
        <v>19</v>
      </c>
      <c r="P3587" s="2" t="n">
        <v>1</v>
      </c>
      <c r="Q3587" s="2" t="n">
        <v>6</v>
      </c>
      <c r="R3587" s="2" t="n">
        <v>3</v>
      </c>
      <c r="S3587" s="2" t="n">
        <v>6</v>
      </c>
      <c r="T3587" s="2" t="n">
        <v>1</v>
      </c>
      <c r="U3587" s="2" t="n">
        <v>0</v>
      </c>
      <c r="V3587" s="2" t="n">
        <v>3</v>
      </c>
      <c r="W3587" s="2" t="n">
        <v>4</v>
      </c>
      <c r="X3587" s="2" t="n">
        <v>3</v>
      </c>
      <c r="Y3587" s="2" t="n">
        <v>3</v>
      </c>
      <c r="Z3587" s="2" t="n">
        <v>3</v>
      </c>
    </row>
    <row r="3588" customFormat="false" ht="15" hidden="false" customHeight="true" outlineLevel="0" collapsed="false">
      <c r="A3588" s="2" t="n">
        <v>48</v>
      </c>
      <c r="B3588" s="2" t="s">
        <v>26</v>
      </c>
      <c r="C3588" s="2" t="s">
        <v>27</v>
      </c>
      <c r="D3588" s="2" t="s">
        <v>28</v>
      </c>
      <c r="E3588" s="2" t="n">
        <v>1</v>
      </c>
      <c r="F3588" s="2" t="n">
        <v>1</v>
      </c>
      <c r="G3588" s="2" t="s">
        <v>50</v>
      </c>
      <c r="H3588" s="2" t="n">
        <v>3587</v>
      </c>
      <c r="I3588" s="2" t="s">
        <v>39</v>
      </c>
      <c r="J3588" s="2" t="n">
        <v>2</v>
      </c>
      <c r="K3588" s="2" t="s">
        <v>47</v>
      </c>
      <c r="L3588" s="2" t="s">
        <v>37</v>
      </c>
      <c r="M3588" s="2" t="n">
        <v>74060</v>
      </c>
      <c r="N3588" s="2" t="n">
        <v>6</v>
      </c>
      <c r="O3588" s="2" t="n">
        <v>14</v>
      </c>
      <c r="P3588" s="2" t="n">
        <v>2</v>
      </c>
      <c r="Q3588" s="2" t="n">
        <v>25</v>
      </c>
      <c r="R3588" s="2" t="n">
        <v>2</v>
      </c>
      <c r="S3588" s="2" t="n">
        <v>1</v>
      </c>
      <c r="T3588" s="2" t="n">
        <v>0</v>
      </c>
      <c r="U3588" s="2" t="n">
        <v>0</v>
      </c>
      <c r="V3588" s="2" t="n">
        <v>4</v>
      </c>
      <c r="W3588" s="2" t="n">
        <v>4</v>
      </c>
      <c r="X3588" s="2" t="n">
        <v>4</v>
      </c>
      <c r="Y3588" s="2" t="n">
        <v>3</v>
      </c>
      <c r="Z3588" s="2" t="n">
        <v>3</v>
      </c>
    </row>
    <row r="3589" customFormat="false" ht="15" hidden="false" customHeight="true" outlineLevel="0" collapsed="false">
      <c r="A3589" s="2" t="n">
        <v>29</v>
      </c>
      <c r="B3589" s="2" t="s">
        <v>26</v>
      </c>
      <c r="C3589" s="2" t="s">
        <v>27</v>
      </c>
      <c r="D3589" s="2" t="s">
        <v>35</v>
      </c>
      <c r="E3589" s="2" t="n">
        <v>3</v>
      </c>
      <c r="F3589" s="2" t="n">
        <v>3</v>
      </c>
      <c r="G3589" s="2" t="s">
        <v>51</v>
      </c>
      <c r="H3589" s="2" t="n">
        <v>3588</v>
      </c>
      <c r="I3589" s="2" t="s">
        <v>30</v>
      </c>
      <c r="J3589" s="2" t="n">
        <v>2</v>
      </c>
      <c r="K3589" s="2" t="s">
        <v>31</v>
      </c>
      <c r="L3589" s="2" t="s">
        <v>46</v>
      </c>
      <c r="M3589" s="2" t="n">
        <v>48050</v>
      </c>
      <c r="N3589" s="2" t="n">
        <v>3</v>
      </c>
      <c r="O3589" s="2" t="n">
        <v>16</v>
      </c>
      <c r="P3589" s="2" t="n">
        <v>1</v>
      </c>
      <c r="Q3589" s="2" t="n">
        <v>9</v>
      </c>
      <c r="R3589" s="2" t="n">
        <v>2</v>
      </c>
      <c r="S3589" s="2" t="n">
        <v>7</v>
      </c>
      <c r="T3589" s="2" t="n">
        <v>1</v>
      </c>
      <c r="U3589" s="2" t="n">
        <v>7</v>
      </c>
      <c r="V3589" s="2" t="n">
        <v>4</v>
      </c>
      <c r="W3589" s="2" t="n">
        <v>4</v>
      </c>
      <c r="X3589" s="2" t="n">
        <v>2</v>
      </c>
      <c r="Y3589" s="2" t="n">
        <v>3</v>
      </c>
      <c r="Z3589" s="2" t="n">
        <v>3</v>
      </c>
    </row>
    <row r="3590" customFormat="false" ht="15" hidden="false" customHeight="true" outlineLevel="0" collapsed="false">
      <c r="A3590" s="2" t="n">
        <v>34</v>
      </c>
      <c r="B3590" s="2" t="s">
        <v>26</v>
      </c>
      <c r="C3590" s="2" t="s">
        <v>27</v>
      </c>
      <c r="D3590" s="2" t="s">
        <v>28</v>
      </c>
      <c r="E3590" s="2" t="n">
        <v>9</v>
      </c>
      <c r="F3590" s="2" t="n">
        <v>4</v>
      </c>
      <c r="G3590" s="2" t="s">
        <v>43</v>
      </c>
      <c r="H3590" s="2" t="n">
        <v>3589</v>
      </c>
      <c r="I3590" s="2" t="s">
        <v>30</v>
      </c>
      <c r="J3590" s="2" t="n">
        <v>2</v>
      </c>
      <c r="K3590" s="2" t="s">
        <v>45</v>
      </c>
      <c r="L3590" s="2" t="s">
        <v>32</v>
      </c>
      <c r="M3590" s="2" t="n">
        <v>27410</v>
      </c>
      <c r="N3590" s="2" t="n">
        <v>0</v>
      </c>
      <c r="O3590" s="2" t="n">
        <v>15</v>
      </c>
      <c r="P3590" s="2" t="n">
        <v>1</v>
      </c>
      <c r="Q3590" s="2" t="n">
        <v>2</v>
      </c>
      <c r="R3590" s="2" t="n">
        <v>3</v>
      </c>
      <c r="S3590" s="2" t="n">
        <v>1</v>
      </c>
      <c r="T3590" s="2" t="n">
        <v>0</v>
      </c>
      <c r="U3590" s="2" t="n">
        <v>0</v>
      </c>
      <c r="V3590" s="2" t="n">
        <v>3</v>
      </c>
      <c r="W3590" s="2" t="n">
        <v>3</v>
      </c>
      <c r="X3590" s="2" t="n">
        <v>2</v>
      </c>
      <c r="Y3590" s="2" t="n">
        <v>3</v>
      </c>
      <c r="Z3590" s="2" t="n">
        <v>3</v>
      </c>
    </row>
    <row r="3591" customFormat="false" ht="15" hidden="false" customHeight="true" outlineLevel="0" collapsed="false">
      <c r="A3591" s="2" t="n">
        <v>44</v>
      </c>
      <c r="B3591" s="2" t="s">
        <v>26</v>
      </c>
      <c r="C3591" s="2" t="s">
        <v>27</v>
      </c>
      <c r="D3591" s="2" t="s">
        <v>35</v>
      </c>
      <c r="E3591" s="2" t="n">
        <v>4</v>
      </c>
      <c r="F3591" s="2" t="n">
        <v>3</v>
      </c>
      <c r="G3591" s="2" t="s">
        <v>29</v>
      </c>
      <c r="H3591" s="2" t="n">
        <v>3590</v>
      </c>
      <c r="I3591" s="2" t="s">
        <v>30</v>
      </c>
      <c r="J3591" s="2" t="n">
        <v>1</v>
      </c>
      <c r="K3591" s="2" t="s">
        <v>45</v>
      </c>
      <c r="L3591" s="2" t="s">
        <v>32</v>
      </c>
      <c r="M3591" s="2" t="n">
        <v>42620</v>
      </c>
      <c r="N3591" s="2" t="n">
        <v>7</v>
      </c>
      <c r="O3591" s="2" t="n">
        <v>18</v>
      </c>
      <c r="P3591" s="2" t="n">
        <v>0</v>
      </c>
      <c r="Q3591" s="2" t="n">
        <v>26</v>
      </c>
      <c r="R3591" s="2" t="n">
        <v>2</v>
      </c>
      <c r="S3591" s="2" t="n">
        <v>22</v>
      </c>
      <c r="T3591" s="2" t="n">
        <v>3</v>
      </c>
      <c r="U3591" s="2" t="n">
        <v>10</v>
      </c>
      <c r="V3591" s="2" t="n">
        <v>2</v>
      </c>
      <c r="W3591" s="2" t="n">
        <v>2</v>
      </c>
      <c r="X3591" s="2" t="n">
        <v>3</v>
      </c>
      <c r="Y3591" s="2" t="n">
        <v>3</v>
      </c>
      <c r="Z3591" s="2" t="n">
        <v>3</v>
      </c>
    </row>
    <row r="3592" customFormat="false" ht="15" hidden="false" customHeight="true" outlineLevel="0" collapsed="false">
      <c r="A3592" s="2" t="n">
        <v>33</v>
      </c>
      <c r="B3592" s="2" t="s">
        <v>26</v>
      </c>
      <c r="C3592" s="2" t="s">
        <v>27</v>
      </c>
      <c r="D3592" s="2" t="s">
        <v>35</v>
      </c>
      <c r="E3592" s="2" t="n">
        <v>8</v>
      </c>
      <c r="F3592" s="2" t="n">
        <v>2</v>
      </c>
      <c r="G3592" s="2" t="s">
        <v>29</v>
      </c>
      <c r="H3592" s="2" t="n">
        <v>3591</v>
      </c>
      <c r="I3592" s="2" t="s">
        <v>30</v>
      </c>
      <c r="J3592" s="2" t="n">
        <v>2</v>
      </c>
      <c r="K3592" s="2" t="s">
        <v>36</v>
      </c>
      <c r="L3592" s="2" t="s">
        <v>46</v>
      </c>
      <c r="M3592" s="2" t="n">
        <v>161840</v>
      </c>
      <c r="N3592" s="2" t="n">
        <v>0</v>
      </c>
      <c r="O3592" s="2" t="n">
        <v>13</v>
      </c>
      <c r="P3592" s="2" t="n">
        <v>1</v>
      </c>
      <c r="Q3592" s="2" t="n">
        <v>10</v>
      </c>
      <c r="R3592" s="2" t="n">
        <v>2</v>
      </c>
      <c r="S3592" s="2" t="n">
        <v>9</v>
      </c>
      <c r="T3592" s="2" t="n">
        <v>0</v>
      </c>
      <c r="U3592" s="2" t="n">
        <v>8</v>
      </c>
      <c r="V3592" s="2" t="n">
        <v>4</v>
      </c>
      <c r="W3592" s="2" t="n">
        <v>3</v>
      </c>
      <c r="X3592" s="2" t="n">
        <v>3</v>
      </c>
      <c r="Y3592" s="2" t="n">
        <v>4</v>
      </c>
      <c r="Z3592" s="2" t="n">
        <v>3</v>
      </c>
    </row>
    <row r="3593" customFormat="false" ht="15" hidden="false" customHeight="true" outlineLevel="0" collapsed="false">
      <c r="A3593" s="2" t="n">
        <v>19</v>
      </c>
      <c r="B3593" s="2" t="s">
        <v>26</v>
      </c>
      <c r="C3593" s="2" t="s">
        <v>27</v>
      </c>
      <c r="D3593" s="2" t="s">
        <v>28</v>
      </c>
      <c r="E3593" s="2" t="n">
        <v>2</v>
      </c>
      <c r="F3593" s="2" t="n">
        <v>4</v>
      </c>
      <c r="G3593" s="2" t="s">
        <v>50</v>
      </c>
      <c r="H3593" s="2" t="n">
        <v>3592</v>
      </c>
      <c r="I3593" s="2" t="s">
        <v>39</v>
      </c>
      <c r="J3593" s="2" t="n">
        <v>3</v>
      </c>
      <c r="K3593" s="2" t="s">
        <v>45</v>
      </c>
      <c r="L3593" s="2" t="s">
        <v>37</v>
      </c>
      <c r="M3593" s="2" t="n">
        <v>115570</v>
      </c>
      <c r="N3593" s="2" t="n">
        <v>1</v>
      </c>
      <c r="O3593" s="2" t="n">
        <v>22</v>
      </c>
      <c r="P3593" s="2" t="n">
        <v>0</v>
      </c>
      <c r="Q3593" s="2" t="n">
        <v>1</v>
      </c>
      <c r="R3593" s="2" t="n">
        <v>0</v>
      </c>
      <c r="S3593" s="2" t="n">
        <v>1</v>
      </c>
      <c r="T3593" s="2" t="n">
        <v>0</v>
      </c>
      <c r="U3593" s="2" t="n">
        <v>1</v>
      </c>
      <c r="V3593" s="2" t="n">
        <v>2</v>
      </c>
      <c r="W3593" s="2" t="n">
        <v>4</v>
      </c>
      <c r="X3593" s="2" t="n">
        <v>3</v>
      </c>
      <c r="Y3593" s="2" t="n">
        <v>3</v>
      </c>
      <c r="Z3593" s="2" t="n">
        <v>4</v>
      </c>
    </row>
    <row r="3594" customFormat="false" ht="15" hidden="false" customHeight="true" outlineLevel="0" collapsed="false">
      <c r="A3594" s="2" t="n">
        <v>23</v>
      </c>
      <c r="B3594" s="2" t="s">
        <v>26</v>
      </c>
      <c r="C3594" s="2" t="s">
        <v>27</v>
      </c>
      <c r="D3594" s="2" t="s">
        <v>28</v>
      </c>
      <c r="E3594" s="2" t="n">
        <v>2</v>
      </c>
      <c r="F3594" s="2" t="n">
        <v>3</v>
      </c>
      <c r="G3594" s="2" t="s">
        <v>43</v>
      </c>
      <c r="H3594" s="2" t="n">
        <v>3593</v>
      </c>
      <c r="I3594" s="2" t="s">
        <v>39</v>
      </c>
      <c r="J3594" s="2" t="n">
        <v>3</v>
      </c>
      <c r="K3594" s="2" t="s">
        <v>45</v>
      </c>
      <c r="L3594" s="2" t="s">
        <v>32</v>
      </c>
      <c r="M3594" s="2" t="n">
        <v>18780</v>
      </c>
      <c r="N3594" s="2" t="n">
        <v>1</v>
      </c>
      <c r="O3594" s="2" t="n">
        <v>13</v>
      </c>
      <c r="P3594" s="2" t="n">
        <v>1</v>
      </c>
      <c r="Q3594" s="2" t="n">
        <v>1</v>
      </c>
      <c r="R3594" s="2" t="n">
        <v>2</v>
      </c>
      <c r="S3594" s="2" t="n">
        <v>1</v>
      </c>
      <c r="T3594" s="2" t="n">
        <v>0</v>
      </c>
      <c r="U3594" s="2" t="n">
        <v>1</v>
      </c>
      <c r="V3594" s="2" t="n">
        <v>4</v>
      </c>
      <c r="W3594" s="2" t="n">
        <v>3</v>
      </c>
      <c r="X3594" s="2" t="n">
        <v>3</v>
      </c>
      <c r="Y3594" s="2" t="n">
        <v>3</v>
      </c>
      <c r="Z3594" s="2" t="n">
        <v>3</v>
      </c>
    </row>
    <row r="3595" customFormat="false" ht="15" hidden="false" customHeight="true" outlineLevel="0" collapsed="false">
      <c r="A3595" s="2" t="n">
        <v>25</v>
      </c>
      <c r="B3595" s="2" t="s">
        <v>33</v>
      </c>
      <c r="C3595" s="2" t="s">
        <v>34</v>
      </c>
      <c r="D3595" s="2" t="s">
        <v>35</v>
      </c>
      <c r="E3595" s="2" t="n">
        <v>1</v>
      </c>
      <c r="F3595" s="2" t="n">
        <v>1</v>
      </c>
      <c r="G3595" s="2" t="s">
        <v>29</v>
      </c>
      <c r="H3595" s="2" t="n">
        <v>3594</v>
      </c>
      <c r="I3595" s="2" t="s">
        <v>39</v>
      </c>
      <c r="J3595" s="2" t="n">
        <v>1</v>
      </c>
      <c r="K3595" s="2" t="s">
        <v>47</v>
      </c>
      <c r="L3595" s="2" t="s">
        <v>37</v>
      </c>
      <c r="M3595" s="2" t="n">
        <v>109320</v>
      </c>
      <c r="N3595" s="2" t="n">
        <v>1</v>
      </c>
      <c r="O3595" s="2" t="n">
        <v>11</v>
      </c>
      <c r="P3595" s="2" t="n">
        <v>1</v>
      </c>
      <c r="Q3595" s="2" t="n">
        <v>1</v>
      </c>
      <c r="R3595" s="2" t="n">
        <v>3</v>
      </c>
      <c r="S3595" s="2" t="n">
        <v>1</v>
      </c>
      <c r="T3595" s="2" t="n">
        <v>1</v>
      </c>
      <c r="U3595" s="2" t="n">
        <v>0</v>
      </c>
      <c r="V3595" s="2" t="n">
        <v>3</v>
      </c>
      <c r="W3595" s="2" t="n">
        <v>4</v>
      </c>
      <c r="X3595" s="2" t="n">
        <v>3</v>
      </c>
      <c r="Y3595" s="2" t="n">
        <v>3</v>
      </c>
      <c r="Z3595" s="2" t="n">
        <v>3</v>
      </c>
    </row>
    <row r="3596" customFormat="false" ht="15" hidden="false" customHeight="true" outlineLevel="0" collapsed="false">
      <c r="A3596" s="2" t="n">
        <v>26</v>
      </c>
      <c r="B3596" s="2" t="s">
        <v>26</v>
      </c>
      <c r="C3596" s="2" t="s">
        <v>27</v>
      </c>
      <c r="D3596" s="2" t="s">
        <v>42</v>
      </c>
      <c r="E3596" s="2" t="n">
        <v>9</v>
      </c>
      <c r="F3596" s="2" t="n">
        <v>3</v>
      </c>
      <c r="G3596" s="2" t="s">
        <v>29</v>
      </c>
      <c r="H3596" s="2" t="n">
        <v>3595</v>
      </c>
      <c r="I3596" s="2" t="s">
        <v>39</v>
      </c>
      <c r="J3596" s="2" t="n">
        <v>2</v>
      </c>
      <c r="K3596" s="2" t="s">
        <v>36</v>
      </c>
      <c r="L3596" s="2" t="s">
        <v>37</v>
      </c>
      <c r="M3596" s="2" t="n">
        <v>68110</v>
      </c>
      <c r="N3596" s="2" t="n">
        <v>1</v>
      </c>
      <c r="O3596" s="2" t="n">
        <v>11</v>
      </c>
      <c r="P3596" s="2" t="n">
        <v>1</v>
      </c>
      <c r="Q3596" s="2" t="n">
        <v>8</v>
      </c>
      <c r="R3596" s="2" t="n">
        <v>4</v>
      </c>
      <c r="S3596" s="2" t="n">
        <v>8</v>
      </c>
      <c r="T3596" s="2" t="n">
        <v>2</v>
      </c>
      <c r="U3596" s="2" t="n">
        <v>2</v>
      </c>
      <c r="V3596" s="2" t="n">
        <v>3</v>
      </c>
      <c r="W3596" s="2" t="n">
        <v>4</v>
      </c>
      <c r="X3596" s="2" t="n">
        <v>2</v>
      </c>
      <c r="Y3596" s="2" t="n">
        <v>3</v>
      </c>
      <c r="Z3596" s="2" t="n">
        <v>3</v>
      </c>
    </row>
    <row r="3597" customFormat="false" ht="15" hidden="false" customHeight="true" outlineLevel="0" collapsed="false">
      <c r="A3597" s="2" t="n">
        <v>45</v>
      </c>
      <c r="B3597" s="2" t="s">
        <v>33</v>
      </c>
      <c r="C3597" s="2" t="s">
        <v>27</v>
      </c>
      <c r="D3597" s="2" t="s">
        <v>42</v>
      </c>
      <c r="E3597" s="2" t="n">
        <v>12</v>
      </c>
      <c r="F3597" s="2" t="n">
        <v>3</v>
      </c>
      <c r="G3597" s="2" t="s">
        <v>42</v>
      </c>
      <c r="H3597" s="2" t="n">
        <v>3596</v>
      </c>
      <c r="I3597" s="2" t="s">
        <v>39</v>
      </c>
      <c r="J3597" s="2" t="n">
        <v>2</v>
      </c>
      <c r="K3597" s="2" t="s">
        <v>45</v>
      </c>
      <c r="L3597" s="2" t="s">
        <v>37</v>
      </c>
      <c r="M3597" s="2" t="n">
        <v>43060</v>
      </c>
      <c r="N3597" s="2" t="n">
        <v>2</v>
      </c>
      <c r="O3597" s="2" t="n">
        <v>11</v>
      </c>
      <c r="P3597" s="2" t="n">
        <v>2</v>
      </c>
      <c r="Q3597" s="2" t="n">
        <v>26</v>
      </c>
      <c r="R3597" s="2" t="n">
        <v>3</v>
      </c>
      <c r="S3597" s="2" t="n">
        <v>24</v>
      </c>
      <c r="T3597" s="2" t="n">
        <v>1</v>
      </c>
      <c r="U3597" s="2" t="n">
        <v>11</v>
      </c>
      <c r="V3597" s="2" t="n">
        <v>1</v>
      </c>
      <c r="W3597" s="2" t="n">
        <v>2</v>
      </c>
      <c r="X3597" s="2" t="n">
        <v>3</v>
      </c>
      <c r="Y3597" s="2" t="n">
        <v>3</v>
      </c>
      <c r="Z3597" s="2" t="n">
        <v>3</v>
      </c>
    </row>
    <row r="3598" customFormat="false" ht="15" hidden="false" customHeight="true" outlineLevel="0" collapsed="false">
      <c r="A3598" s="2" t="n">
        <v>55</v>
      </c>
      <c r="B3598" s="2" t="s">
        <v>26</v>
      </c>
      <c r="C3598" s="2" t="s">
        <v>41</v>
      </c>
      <c r="D3598" s="2" t="s">
        <v>35</v>
      </c>
      <c r="E3598" s="2" t="n">
        <v>27</v>
      </c>
      <c r="F3598" s="2" t="n">
        <v>3</v>
      </c>
      <c r="G3598" s="2" t="s">
        <v>29</v>
      </c>
      <c r="H3598" s="2" t="n">
        <v>3597</v>
      </c>
      <c r="I3598" s="2" t="s">
        <v>30</v>
      </c>
      <c r="J3598" s="2" t="n">
        <v>2</v>
      </c>
      <c r="K3598" s="2" t="s">
        <v>49</v>
      </c>
      <c r="L3598" s="2" t="s">
        <v>46</v>
      </c>
      <c r="M3598" s="2" t="n">
        <v>48590</v>
      </c>
      <c r="N3598" s="2" t="n">
        <v>1</v>
      </c>
      <c r="O3598" s="2" t="n">
        <v>24</v>
      </c>
      <c r="P3598" s="2" t="n">
        <v>1</v>
      </c>
      <c r="Q3598" s="2" t="n">
        <v>34</v>
      </c>
      <c r="R3598" s="2" t="n">
        <v>3</v>
      </c>
      <c r="S3598" s="2" t="n">
        <v>33</v>
      </c>
      <c r="T3598" s="2" t="n">
        <v>15</v>
      </c>
      <c r="U3598" s="2" t="n">
        <v>0</v>
      </c>
      <c r="V3598" s="2" t="n">
        <v>4</v>
      </c>
      <c r="W3598" s="2" t="n">
        <v>2</v>
      </c>
      <c r="X3598" s="2" t="n">
        <v>3</v>
      </c>
      <c r="Y3598" s="2" t="n">
        <v>4</v>
      </c>
      <c r="Z3598" s="2" t="n">
        <v>4</v>
      </c>
    </row>
    <row r="3599" customFormat="false" ht="15" hidden="false" customHeight="true" outlineLevel="0" collapsed="false">
      <c r="A3599" s="2" t="n">
        <v>21</v>
      </c>
      <c r="B3599" s="2" t="s">
        <v>33</v>
      </c>
      <c r="C3599" s="2" t="s">
        <v>34</v>
      </c>
      <c r="D3599" s="2" t="s">
        <v>35</v>
      </c>
      <c r="E3599" s="2" t="n">
        <v>20</v>
      </c>
      <c r="F3599" s="2" t="n">
        <v>2</v>
      </c>
      <c r="G3599" s="2" t="s">
        <v>43</v>
      </c>
      <c r="H3599" s="2" t="n">
        <v>3598</v>
      </c>
      <c r="I3599" s="2" t="s">
        <v>30</v>
      </c>
      <c r="J3599" s="2" t="n">
        <v>4</v>
      </c>
      <c r="K3599" s="2" t="s">
        <v>36</v>
      </c>
      <c r="L3599" s="2" t="s">
        <v>37</v>
      </c>
      <c r="M3599" s="2" t="n">
        <v>53370</v>
      </c>
      <c r="N3599" s="2" t="n">
        <v>1</v>
      </c>
      <c r="O3599" s="2" t="n">
        <v>14</v>
      </c>
      <c r="P3599" s="2" t="n">
        <v>1</v>
      </c>
      <c r="Q3599" s="2" t="n">
        <v>2</v>
      </c>
      <c r="R3599" s="2" t="n">
        <v>2</v>
      </c>
      <c r="S3599" s="2" t="n">
        <v>2</v>
      </c>
      <c r="T3599" s="2" t="n">
        <v>2</v>
      </c>
      <c r="U3599" s="2" t="n">
        <v>2</v>
      </c>
      <c r="V3599" s="2" t="n">
        <v>1</v>
      </c>
      <c r="W3599" s="2" t="n">
        <v>3</v>
      </c>
      <c r="X3599" s="2" t="n">
        <v>1</v>
      </c>
      <c r="Y3599" s="2" t="n">
        <v>3</v>
      </c>
      <c r="Z3599" s="2" t="n">
        <v>3</v>
      </c>
    </row>
    <row r="3600" customFormat="false" ht="15" hidden="false" customHeight="true" outlineLevel="0" collapsed="false">
      <c r="A3600" s="2" t="n">
        <v>46</v>
      </c>
      <c r="B3600" s="2" t="s">
        <v>26</v>
      </c>
      <c r="C3600" s="2" t="s">
        <v>27</v>
      </c>
      <c r="D3600" s="2" t="s">
        <v>35</v>
      </c>
      <c r="E3600" s="2" t="n">
        <v>1</v>
      </c>
      <c r="F3600" s="2" t="n">
        <v>4</v>
      </c>
      <c r="G3600" s="2" t="s">
        <v>29</v>
      </c>
      <c r="H3600" s="2" t="n">
        <v>3599</v>
      </c>
      <c r="I3600" s="2" t="s">
        <v>39</v>
      </c>
      <c r="J3600" s="2" t="n">
        <v>1</v>
      </c>
      <c r="K3600" s="2" t="s">
        <v>47</v>
      </c>
      <c r="L3600" s="2" t="s">
        <v>32</v>
      </c>
      <c r="M3600" s="2" t="n">
        <v>23400</v>
      </c>
      <c r="N3600" s="2" t="n">
        <v>2</v>
      </c>
      <c r="O3600" s="2" t="n">
        <v>13</v>
      </c>
      <c r="P3600" s="2" t="n">
        <v>1</v>
      </c>
      <c r="Q3600" s="2" t="n">
        <v>26</v>
      </c>
      <c r="R3600" s="2" t="n">
        <v>2</v>
      </c>
      <c r="S3600" s="2" t="n">
        <v>11</v>
      </c>
      <c r="T3600" s="2" t="n">
        <v>0</v>
      </c>
      <c r="U3600" s="2" t="n">
        <v>8</v>
      </c>
      <c r="V3600" s="2" t="n">
        <v>4</v>
      </c>
      <c r="W3600" s="2" t="n">
        <v>2</v>
      </c>
      <c r="X3600" s="2" t="n">
        <v>3</v>
      </c>
      <c r="Y3600" s="2" t="n">
        <v>1</v>
      </c>
      <c r="Z3600" s="2" t="n">
        <v>3</v>
      </c>
    </row>
    <row r="3601" customFormat="false" ht="15" hidden="false" customHeight="true" outlineLevel="0" collapsed="false">
      <c r="A3601" s="2" t="n">
        <v>34</v>
      </c>
      <c r="B3601" s="2" t="s">
        <v>26</v>
      </c>
      <c r="C3601" s="2" t="s">
        <v>27</v>
      </c>
      <c r="D3601" s="2" t="s">
        <v>28</v>
      </c>
      <c r="E3601" s="2" t="n">
        <v>13</v>
      </c>
      <c r="F3601" s="2" t="n">
        <v>4</v>
      </c>
      <c r="G3601" s="2" t="s">
        <v>43</v>
      </c>
      <c r="H3601" s="2" t="n">
        <v>3600</v>
      </c>
      <c r="I3601" s="2" t="s">
        <v>39</v>
      </c>
      <c r="J3601" s="2" t="n">
        <v>3</v>
      </c>
      <c r="K3601" s="2" t="s">
        <v>48</v>
      </c>
      <c r="L3601" s="2" t="s">
        <v>37</v>
      </c>
      <c r="M3601" s="2" t="n">
        <v>74910</v>
      </c>
      <c r="N3601" s="2" t="n">
        <v>0</v>
      </c>
      <c r="O3601" s="2" t="n">
        <v>14</v>
      </c>
      <c r="P3601" s="2" t="n">
        <v>1</v>
      </c>
      <c r="Q3601" s="2" t="n">
        <v>4</v>
      </c>
      <c r="R3601" s="2" t="n">
        <v>3</v>
      </c>
      <c r="S3601" s="2" t="n">
        <v>3</v>
      </c>
      <c r="T3601" s="2" t="n">
        <v>0</v>
      </c>
      <c r="U3601" s="2" t="n">
        <v>2</v>
      </c>
      <c r="V3601" s="2" t="n">
        <v>3</v>
      </c>
      <c r="W3601" s="2" t="n">
        <v>1</v>
      </c>
      <c r="X3601" s="2" t="n">
        <v>3</v>
      </c>
      <c r="Y3601" s="2" t="n">
        <v>2</v>
      </c>
      <c r="Z3601" s="2" t="n">
        <v>3</v>
      </c>
    </row>
    <row r="3602" customFormat="false" ht="15" hidden="false" customHeight="true" outlineLevel="0" collapsed="false">
      <c r="A3602" s="2" t="n">
        <v>51</v>
      </c>
      <c r="B3602" s="2" t="s">
        <v>26</v>
      </c>
      <c r="C3602" s="2" t="s">
        <v>34</v>
      </c>
      <c r="D3602" s="2" t="s">
        <v>35</v>
      </c>
      <c r="E3602" s="2" t="n">
        <v>14</v>
      </c>
      <c r="F3602" s="2" t="n">
        <v>3</v>
      </c>
      <c r="G3602" s="2" t="s">
        <v>29</v>
      </c>
      <c r="H3602" s="2" t="n">
        <v>3601</v>
      </c>
      <c r="I3602" s="2" t="s">
        <v>39</v>
      </c>
      <c r="J3602" s="2" t="n">
        <v>2</v>
      </c>
      <c r="K3602" s="2" t="s">
        <v>44</v>
      </c>
      <c r="L3602" s="2" t="s">
        <v>46</v>
      </c>
      <c r="M3602" s="2" t="n">
        <v>105270</v>
      </c>
      <c r="N3602" s="2" t="n">
        <v>4</v>
      </c>
      <c r="O3602" s="2" t="n">
        <v>14</v>
      </c>
      <c r="P3602" s="2" t="n">
        <v>0</v>
      </c>
      <c r="Q3602" s="2" t="n">
        <v>31</v>
      </c>
      <c r="R3602" s="2" t="n">
        <v>3</v>
      </c>
      <c r="S3602" s="2" t="n">
        <v>29</v>
      </c>
      <c r="T3602" s="2" t="n">
        <v>11</v>
      </c>
      <c r="U3602" s="2" t="n">
        <v>10</v>
      </c>
      <c r="V3602" s="2" t="n">
        <v>4</v>
      </c>
      <c r="W3602" s="2" t="n">
        <v>2</v>
      </c>
      <c r="X3602" s="2" t="n">
        <v>2</v>
      </c>
      <c r="Y3602" s="2" t="n">
        <v>3</v>
      </c>
      <c r="Z3602" s="2" t="n">
        <v>3</v>
      </c>
    </row>
    <row r="3603" customFormat="false" ht="15" hidden="false" customHeight="true" outlineLevel="0" collapsed="false">
      <c r="A3603" s="2" t="n">
        <v>59</v>
      </c>
      <c r="B3603" s="2" t="s">
        <v>26</v>
      </c>
      <c r="C3603" s="2" t="s">
        <v>27</v>
      </c>
      <c r="D3603" s="2" t="s">
        <v>35</v>
      </c>
      <c r="E3603" s="2" t="n">
        <v>4</v>
      </c>
      <c r="F3603" s="2" t="n">
        <v>2</v>
      </c>
      <c r="G3603" s="2" t="s">
        <v>29</v>
      </c>
      <c r="H3603" s="2" t="n">
        <v>3602</v>
      </c>
      <c r="I3603" s="2" t="s">
        <v>39</v>
      </c>
      <c r="J3603" s="2" t="n">
        <v>2</v>
      </c>
      <c r="K3603" s="2" t="s">
        <v>36</v>
      </c>
      <c r="L3603" s="2" t="s">
        <v>37</v>
      </c>
      <c r="M3603" s="2" t="n">
        <v>165950</v>
      </c>
      <c r="N3603" s="2" t="n">
        <v>6</v>
      </c>
      <c r="O3603" s="2" t="n">
        <v>21</v>
      </c>
      <c r="P3603" s="2" t="n">
        <v>1</v>
      </c>
      <c r="Q3603" s="2" t="n">
        <v>25</v>
      </c>
      <c r="R3603" s="2" t="n">
        <v>2</v>
      </c>
      <c r="S3603" s="2" t="n">
        <v>9</v>
      </c>
      <c r="T3603" s="2" t="n">
        <v>5</v>
      </c>
      <c r="U3603" s="2" t="n">
        <v>4</v>
      </c>
      <c r="V3603" s="2" t="n">
        <v>4</v>
      </c>
      <c r="W3603" s="2" t="n">
        <v>4</v>
      </c>
      <c r="X3603" s="2" t="n">
        <v>2</v>
      </c>
      <c r="Y3603" s="2" t="n">
        <v>3</v>
      </c>
      <c r="Z3603" s="2" t="n">
        <v>4</v>
      </c>
    </row>
    <row r="3604" customFormat="false" ht="15" hidden="false" customHeight="true" outlineLevel="0" collapsed="false">
      <c r="A3604" s="2" t="n">
        <v>34</v>
      </c>
      <c r="B3604" s="2" t="s">
        <v>26</v>
      </c>
      <c r="C3604" s="2" t="s">
        <v>34</v>
      </c>
      <c r="D3604" s="2" t="s">
        <v>28</v>
      </c>
      <c r="E3604" s="2" t="n">
        <v>14</v>
      </c>
      <c r="F3604" s="2" t="n">
        <v>4</v>
      </c>
      <c r="G3604" s="2" t="s">
        <v>43</v>
      </c>
      <c r="H3604" s="2" t="n">
        <v>3603</v>
      </c>
      <c r="I3604" s="2" t="s">
        <v>30</v>
      </c>
      <c r="J3604" s="2" t="n">
        <v>3</v>
      </c>
      <c r="K3604" s="2" t="s">
        <v>36</v>
      </c>
      <c r="L3604" s="2" t="s">
        <v>46</v>
      </c>
      <c r="M3604" s="2" t="n">
        <v>88340</v>
      </c>
      <c r="N3604" s="2" t="n">
        <v>4</v>
      </c>
      <c r="O3604" s="2" t="n">
        <v>13</v>
      </c>
      <c r="P3604" s="2" t="n">
        <v>1</v>
      </c>
      <c r="Q3604" s="2" t="n">
        <v>15</v>
      </c>
      <c r="R3604" s="2" t="n">
        <v>1</v>
      </c>
      <c r="S3604" s="2" t="n">
        <v>11</v>
      </c>
      <c r="T3604" s="2" t="n">
        <v>5</v>
      </c>
      <c r="U3604" s="2" t="n">
        <v>10</v>
      </c>
      <c r="V3604" s="2" t="n">
        <v>3</v>
      </c>
      <c r="W3604" s="2" t="n">
        <v>2</v>
      </c>
      <c r="X3604" s="2" t="n">
        <v>4</v>
      </c>
      <c r="Y3604" s="2" t="n">
        <v>3</v>
      </c>
      <c r="Z3604" s="2" t="n">
        <v>3</v>
      </c>
    </row>
    <row r="3605" customFormat="false" ht="15" hidden="false" customHeight="true" outlineLevel="0" collapsed="false">
      <c r="A3605" s="2" t="n">
        <v>28</v>
      </c>
      <c r="B3605" s="2" t="s">
        <v>26</v>
      </c>
      <c r="C3605" s="2" t="s">
        <v>34</v>
      </c>
      <c r="D3605" s="2" t="s">
        <v>35</v>
      </c>
      <c r="E3605" s="2" t="n">
        <v>2</v>
      </c>
      <c r="F3605" s="2" t="n">
        <v>3</v>
      </c>
      <c r="G3605" s="2" t="s">
        <v>38</v>
      </c>
      <c r="H3605" s="2" t="n">
        <v>3604</v>
      </c>
      <c r="I3605" s="2" t="s">
        <v>30</v>
      </c>
      <c r="J3605" s="2" t="n">
        <v>1</v>
      </c>
      <c r="K3605" s="2" t="s">
        <v>49</v>
      </c>
      <c r="L3605" s="2" t="s">
        <v>37</v>
      </c>
      <c r="M3605" s="2" t="n">
        <v>55770</v>
      </c>
      <c r="N3605" s="2" t="n">
        <v>0</v>
      </c>
      <c r="O3605" s="2" t="n">
        <v>19</v>
      </c>
      <c r="P3605" s="2" t="n">
        <v>0</v>
      </c>
      <c r="Q3605" s="2" t="n">
        <v>5</v>
      </c>
      <c r="R3605" s="2" t="n">
        <v>3</v>
      </c>
      <c r="S3605" s="2" t="n">
        <v>4</v>
      </c>
      <c r="T3605" s="2" t="n">
        <v>0</v>
      </c>
      <c r="U3605" s="2" t="n">
        <v>2</v>
      </c>
      <c r="V3605" s="2" t="n">
        <v>4</v>
      </c>
      <c r="W3605" s="2" t="n">
        <v>3</v>
      </c>
      <c r="X3605" s="2" t="n">
        <v>2</v>
      </c>
      <c r="Y3605" s="2" t="n">
        <v>3</v>
      </c>
      <c r="Z3605" s="2" t="n">
        <v>3</v>
      </c>
    </row>
    <row r="3606" customFormat="false" ht="15" hidden="false" customHeight="true" outlineLevel="0" collapsed="false">
      <c r="A3606" s="2" t="n">
        <v>44</v>
      </c>
      <c r="B3606" s="2" t="s">
        <v>26</v>
      </c>
      <c r="C3606" s="2" t="s">
        <v>27</v>
      </c>
      <c r="D3606" s="2" t="s">
        <v>35</v>
      </c>
      <c r="E3606" s="2" t="n">
        <v>3</v>
      </c>
      <c r="F3606" s="2" t="n">
        <v>4</v>
      </c>
      <c r="G3606" s="2" t="s">
        <v>29</v>
      </c>
      <c r="H3606" s="2" t="n">
        <v>3605</v>
      </c>
      <c r="I3606" s="2" t="s">
        <v>39</v>
      </c>
      <c r="J3606" s="2" t="n">
        <v>2</v>
      </c>
      <c r="K3606" s="2" t="s">
        <v>36</v>
      </c>
      <c r="L3606" s="2" t="s">
        <v>46</v>
      </c>
      <c r="M3606" s="2" t="n">
        <v>47070</v>
      </c>
      <c r="N3606" s="2" t="n">
        <v>1</v>
      </c>
      <c r="O3606" s="2" t="n">
        <v>17</v>
      </c>
      <c r="P3606" s="2" t="n">
        <v>0</v>
      </c>
      <c r="Q3606" s="2" t="n">
        <v>26</v>
      </c>
      <c r="R3606" s="2" t="n">
        <v>4</v>
      </c>
      <c r="S3606" s="2" t="n">
        <v>25</v>
      </c>
      <c r="T3606" s="2" t="n">
        <v>14</v>
      </c>
      <c r="U3606" s="2" t="n">
        <v>13</v>
      </c>
      <c r="V3606" s="2" t="n">
        <v>3</v>
      </c>
      <c r="W3606" s="2" t="n">
        <v>1</v>
      </c>
      <c r="X3606" s="2" t="n">
        <v>2</v>
      </c>
      <c r="Y3606" s="2" t="n">
        <v>1</v>
      </c>
      <c r="Z3606" s="2" t="n">
        <v>3</v>
      </c>
    </row>
    <row r="3607" customFormat="false" ht="15" hidden="false" customHeight="true" outlineLevel="0" collapsed="false">
      <c r="A3607" s="2" t="n">
        <v>34</v>
      </c>
      <c r="B3607" s="2" t="s">
        <v>26</v>
      </c>
      <c r="C3607" s="2" t="s">
        <v>34</v>
      </c>
      <c r="D3607" s="2" t="s">
        <v>28</v>
      </c>
      <c r="E3607" s="2" t="n">
        <v>1</v>
      </c>
      <c r="F3607" s="2" t="n">
        <v>3</v>
      </c>
      <c r="G3607" s="2" t="s">
        <v>29</v>
      </c>
      <c r="H3607" s="2" t="n">
        <v>3606</v>
      </c>
      <c r="I3607" s="2" t="s">
        <v>39</v>
      </c>
      <c r="J3607" s="2" t="n">
        <v>2</v>
      </c>
      <c r="K3607" s="2" t="s">
        <v>40</v>
      </c>
      <c r="L3607" s="2" t="s">
        <v>32</v>
      </c>
      <c r="M3607" s="2" t="n">
        <v>24000</v>
      </c>
      <c r="N3607" s="2" t="n">
        <v>4</v>
      </c>
      <c r="O3607" s="2" t="n">
        <v>18</v>
      </c>
      <c r="P3607" s="2" t="n">
        <v>1</v>
      </c>
      <c r="Q3607" s="2" t="n">
        <v>14</v>
      </c>
      <c r="R3607" s="2" t="n">
        <v>3</v>
      </c>
      <c r="S3607" s="2" t="n">
        <v>10</v>
      </c>
      <c r="T3607" s="2" t="n">
        <v>1</v>
      </c>
      <c r="U3607" s="2" t="n">
        <v>8</v>
      </c>
      <c r="V3607" s="2" t="n">
        <v>3</v>
      </c>
      <c r="W3607" s="2" t="n">
        <v>2</v>
      </c>
      <c r="X3607" s="2" t="n">
        <v>4</v>
      </c>
      <c r="Y3607" s="2" t="n">
        <v>3</v>
      </c>
      <c r="Z3607" s="2" t="n">
        <v>3</v>
      </c>
    </row>
    <row r="3608" customFormat="false" ht="15" hidden="false" customHeight="true" outlineLevel="0" collapsed="false">
      <c r="A3608" s="2" t="n">
        <v>35</v>
      </c>
      <c r="B3608" s="2" t="s">
        <v>26</v>
      </c>
      <c r="C3608" s="2" t="s">
        <v>27</v>
      </c>
      <c r="D3608" s="2" t="s">
        <v>35</v>
      </c>
      <c r="E3608" s="2" t="n">
        <v>9</v>
      </c>
      <c r="F3608" s="2" t="n">
        <v>3</v>
      </c>
      <c r="G3608" s="2" t="s">
        <v>29</v>
      </c>
      <c r="H3608" s="2" t="n">
        <v>3607</v>
      </c>
      <c r="I3608" s="2" t="s">
        <v>39</v>
      </c>
      <c r="J3608" s="2" t="n">
        <v>4</v>
      </c>
      <c r="K3608" s="2" t="s">
        <v>31</v>
      </c>
      <c r="L3608" s="2" t="s">
        <v>32</v>
      </c>
      <c r="M3608" s="2" t="n">
        <v>98240</v>
      </c>
      <c r="N3608" s="2" t="n">
        <v>0</v>
      </c>
      <c r="O3608" s="2" t="n">
        <v>19</v>
      </c>
      <c r="P3608" s="2" t="n">
        <v>0</v>
      </c>
      <c r="Q3608" s="2" t="n">
        <v>4</v>
      </c>
      <c r="R3608" s="2" t="n">
        <v>2</v>
      </c>
      <c r="S3608" s="2" t="n">
        <v>3</v>
      </c>
      <c r="T3608" s="2" t="n">
        <v>2</v>
      </c>
      <c r="U3608" s="2" t="n">
        <v>2</v>
      </c>
      <c r="V3608" s="2" t="n">
        <v>3</v>
      </c>
      <c r="W3608" s="2" t="n">
        <v>3</v>
      </c>
      <c r="X3608" s="2" t="n">
        <v>3</v>
      </c>
      <c r="Y3608" s="2" t="n">
        <v>3</v>
      </c>
      <c r="Z3608" s="2" t="n">
        <v>3</v>
      </c>
    </row>
    <row r="3609" customFormat="false" ht="15" hidden="false" customHeight="true" outlineLevel="0" collapsed="false">
      <c r="A3609" s="2" t="n">
        <v>42</v>
      </c>
      <c r="B3609" s="2" t="s">
        <v>26</v>
      </c>
      <c r="C3609" s="2" t="s">
        <v>27</v>
      </c>
      <c r="D3609" s="2" t="s">
        <v>35</v>
      </c>
      <c r="E3609" s="2" t="n">
        <v>23</v>
      </c>
      <c r="F3609" s="2" t="n">
        <v>4</v>
      </c>
      <c r="G3609" s="2" t="s">
        <v>29</v>
      </c>
      <c r="H3609" s="2" t="n">
        <v>3608</v>
      </c>
      <c r="I3609" s="2" t="s">
        <v>30</v>
      </c>
      <c r="J3609" s="2" t="n">
        <v>1</v>
      </c>
      <c r="K3609" s="2" t="s">
        <v>49</v>
      </c>
      <c r="L3609" s="2" t="s">
        <v>32</v>
      </c>
      <c r="M3609" s="2" t="n">
        <v>64470</v>
      </c>
      <c r="N3609" s="2" t="n">
        <v>6</v>
      </c>
      <c r="O3609" s="2" t="n">
        <v>13</v>
      </c>
      <c r="P3609" s="2" t="n">
        <v>0</v>
      </c>
      <c r="Q3609" s="2" t="n">
        <v>18</v>
      </c>
      <c r="R3609" s="2" t="n">
        <v>3</v>
      </c>
      <c r="S3609" s="2" t="n">
        <v>1</v>
      </c>
      <c r="T3609" s="2" t="n">
        <v>0</v>
      </c>
      <c r="U3609" s="2" t="n">
        <v>0</v>
      </c>
      <c r="V3609" s="2" t="n">
        <v>2</v>
      </c>
      <c r="W3609" s="2" t="n">
        <v>2</v>
      </c>
      <c r="X3609" s="2" t="n">
        <v>3</v>
      </c>
      <c r="Y3609" s="2" t="n">
        <v>3</v>
      </c>
      <c r="Z3609" s="2" t="n">
        <v>3</v>
      </c>
    </row>
    <row r="3610" customFormat="false" ht="15" hidden="false" customHeight="true" outlineLevel="0" collapsed="false">
      <c r="A3610" s="2" t="n">
        <v>43</v>
      </c>
      <c r="B3610" s="2" t="s">
        <v>26</v>
      </c>
      <c r="C3610" s="2" t="s">
        <v>27</v>
      </c>
      <c r="D3610" s="2" t="s">
        <v>35</v>
      </c>
      <c r="E3610" s="2" t="n">
        <v>7</v>
      </c>
      <c r="F3610" s="2" t="n">
        <v>2</v>
      </c>
      <c r="G3610" s="2" t="s">
        <v>43</v>
      </c>
      <c r="H3610" s="2" t="n">
        <v>3609</v>
      </c>
      <c r="I3610" s="2" t="s">
        <v>30</v>
      </c>
      <c r="J3610" s="2" t="n">
        <v>1</v>
      </c>
      <c r="K3610" s="2" t="s">
        <v>45</v>
      </c>
      <c r="L3610" s="2" t="s">
        <v>37</v>
      </c>
      <c r="M3610" s="2" t="n">
        <v>195020</v>
      </c>
      <c r="N3610" s="2" t="n">
        <v>3</v>
      </c>
      <c r="O3610" s="2" t="n">
        <v>18</v>
      </c>
      <c r="P3610" s="2" t="n">
        <v>2</v>
      </c>
      <c r="Q3610" s="2" t="n">
        <v>23</v>
      </c>
      <c r="R3610" s="2" t="n">
        <v>3</v>
      </c>
      <c r="S3610" s="2" t="n">
        <v>21</v>
      </c>
      <c r="T3610" s="2" t="n">
        <v>15</v>
      </c>
      <c r="U3610" s="2" t="n">
        <v>17</v>
      </c>
      <c r="V3610" s="2" t="n">
        <v>4</v>
      </c>
      <c r="W3610" s="2" t="n">
        <v>4</v>
      </c>
      <c r="X3610" s="2" t="n">
        <v>4</v>
      </c>
      <c r="Y3610" s="2" t="n">
        <v>4</v>
      </c>
      <c r="Z3610" s="2" t="n">
        <v>3</v>
      </c>
    </row>
    <row r="3611" customFormat="false" ht="15" hidden="false" customHeight="true" outlineLevel="0" collapsed="false">
      <c r="A3611" s="2" t="n">
        <v>36</v>
      </c>
      <c r="B3611" s="2" t="s">
        <v>26</v>
      </c>
      <c r="C3611" s="2" t="s">
        <v>27</v>
      </c>
      <c r="D3611" s="2" t="s">
        <v>35</v>
      </c>
      <c r="E3611" s="2" t="n">
        <v>2</v>
      </c>
      <c r="F3611" s="2" t="n">
        <v>4</v>
      </c>
      <c r="G3611" s="2" t="s">
        <v>43</v>
      </c>
      <c r="H3611" s="2" t="n">
        <v>3610</v>
      </c>
      <c r="I3611" s="2" t="s">
        <v>39</v>
      </c>
      <c r="J3611" s="2" t="n">
        <v>1</v>
      </c>
      <c r="K3611" s="2" t="s">
        <v>31</v>
      </c>
      <c r="L3611" s="2" t="s">
        <v>37</v>
      </c>
      <c r="M3611" s="2" t="n">
        <v>27250</v>
      </c>
      <c r="N3611" s="2" t="n">
        <v>9</v>
      </c>
      <c r="O3611" s="2" t="n">
        <v>21</v>
      </c>
      <c r="P3611" s="2" t="n">
        <v>1</v>
      </c>
      <c r="Q3611" s="2" t="n">
        <v>18</v>
      </c>
      <c r="R3611" s="2" t="n">
        <v>4</v>
      </c>
      <c r="S3611" s="2" t="n">
        <v>16</v>
      </c>
      <c r="T3611" s="2" t="n">
        <v>5</v>
      </c>
      <c r="U3611" s="2" t="n">
        <v>12</v>
      </c>
      <c r="V3611" s="2" t="n">
        <v>3</v>
      </c>
      <c r="W3611" s="2" t="n">
        <v>2</v>
      </c>
      <c r="X3611" s="2" t="n">
        <v>3</v>
      </c>
      <c r="Y3611" s="2" t="n">
        <v>2</v>
      </c>
      <c r="Z3611" s="2" t="n">
        <v>4</v>
      </c>
    </row>
    <row r="3612" customFormat="false" ht="15" hidden="false" customHeight="true" outlineLevel="0" collapsed="false">
      <c r="A3612" s="2" t="n">
        <v>44</v>
      </c>
      <c r="B3612" s="2" t="s">
        <v>33</v>
      </c>
      <c r="C3612" s="2" t="s">
        <v>27</v>
      </c>
      <c r="D3612" s="2" t="s">
        <v>35</v>
      </c>
      <c r="E3612" s="2" t="n">
        <v>21</v>
      </c>
      <c r="F3612" s="2" t="n">
        <v>4</v>
      </c>
      <c r="G3612" s="2" t="s">
        <v>29</v>
      </c>
      <c r="H3612" s="2" t="n">
        <v>3611</v>
      </c>
      <c r="I3612" s="2" t="s">
        <v>30</v>
      </c>
      <c r="J3612" s="2" t="n">
        <v>2</v>
      </c>
      <c r="K3612" s="2" t="s">
        <v>45</v>
      </c>
      <c r="L3612" s="2" t="s">
        <v>32</v>
      </c>
      <c r="M3612" s="2" t="n">
        <v>62720</v>
      </c>
      <c r="N3612" s="2" t="n">
        <v>1</v>
      </c>
      <c r="O3612" s="2" t="n">
        <v>19</v>
      </c>
      <c r="P3612" s="2" t="n">
        <v>1</v>
      </c>
      <c r="Q3612" s="2" t="n">
        <v>10</v>
      </c>
      <c r="R3612" s="2" t="n">
        <v>3</v>
      </c>
      <c r="S3612" s="2" t="n">
        <v>10</v>
      </c>
      <c r="T3612" s="2" t="n">
        <v>0</v>
      </c>
      <c r="U3612" s="2" t="n">
        <v>5</v>
      </c>
      <c r="V3612" s="2" t="n">
        <v>1</v>
      </c>
      <c r="W3612" s="2" t="n">
        <v>4</v>
      </c>
      <c r="X3612" s="2" t="n">
        <v>3</v>
      </c>
      <c r="Y3612" s="2" t="n">
        <v>3</v>
      </c>
      <c r="Z3612" s="2" t="n">
        <v>3</v>
      </c>
    </row>
    <row r="3613" customFormat="false" ht="15" hidden="false" customHeight="true" outlineLevel="0" collapsed="false">
      <c r="A3613" s="2" t="n">
        <v>28</v>
      </c>
      <c r="B3613" s="2" t="s">
        <v>26</v>
      </c>
      <c r="C3613" s="2" t="s">
        <v>34</v>
      </c>
      <c r="D3613" s="2" t="s">
        <v>35</v>
      </c>
      <c r="E3613" s="2" t="n">
        <v>2</v>
      </c>
      <c r="F3613" s="2" t="n">
        <v>3</v>
      </c>
      <c r="G3613" s="2" t="s">
        <v>29</v>
      </c>
      <c r="H3613" s="2" t="n">
        <v>3612</v>
      </c>
      <c r="I3613" s="2" t="s">
        <v>30</v>
      </c>
      <c r="J3613" s="2" t="n">
        <v>2</v>
      </c>
      <c r="K3613" s="2" t="s">
        <v>48</v>
      </c>
      <c r="L3613" s="2" t="s">
        <v>32</v>
      </c>
      <c r="M3613" s="2" t="n">
        <v>21270</v>
      </c>
      <c r="N3613" s="2" t="n">
        <v>1</v>
      </c>
      <c r="O3613" s="2" t="n">
        <v>14</v>
      </c>
      <c r="P3613" s="2" t="n">
        <v>0</v>
      </c>
      <c r="Q3613" s="2" t="n">
        <v>2</v>
      </c>
      <c r="R3613" s="2" t="n">
        <v>3</v>
      </c>
      <c r="S3613" s="2" t="n">
        <v>2</v>
      </c>
      <c r="T3613" s="2" t="n">
        <v>2</v>
      </c>
      <c r="U3613" s="2" t="n">
        <v>2</v>
      </c>
      <c r="V3613" s="2" t="n">
        <v>4</v>
      </c>
      <c r="W3613" s="2" t="n">
        <v>4</v>
      </c>
      <c r="X3613" s="2" t="n">
        <v>3</v>
      </c>
      <c r="Y3613" s="2" t="n">
        <v>3</v>
      </c>
      <c r="Z3613" s="2" t="n">
        <v>3</v>
      </c>
    </row>
    <row r="3614" customFormat="false" ht="15" hidden="false" customHeight="true" outlineLevel="0" collapsed="false">
      <c r="A3614" s="2" t="n">
        <v>51</v>
      </c>
      <c r="B3614" s="2" t="s">
        <v>26</v>
      </c>
      <c r="C3614" s="2" t="s">
        <v>34</v>
      </c>
      <c r="D3614" s="2" t="s">
        <v>28</v>
      </c>
      <c r="E3614" s="2" t="n">
        <v>21</v>
      </c>
      <c r="F3614" s="2" t="n">
        <v>4</v>
      </c>
      <c r="G3614" s="2" t="s">
        <v>43</v>
      </c>
      <c r="H3614" s="2" t="n">
        <v>3613</v>
      </c>
      <c r="I3614" s="2" t="s">
        <v>39</v>
      </c>
      <c r="J3614" s="2" t="n">
        <v>2</v>
      </c>
      <c r="K3614" s="2" t="s">
        <v>36</v>
      </c>
      <c r="L3614" s="2" t="s">
        <v>37</v>
      </c>
      <c r="M3614" s="2" t="n">
        <v>182000</v>
      </c>
      <c r="N3614" s="2" t="n">
        <v>0</v>
      </c>
      <c r="O3614" s="2" t="n">
        <v>17</v>
      </c>
      <c r="P3614" s="2" t="n">
        <v>0</v>
      </c>
      <c r="Q3614" s="2" t="n">
        <v>8</v>
      </c>
      <c r="R3614" s="2" t="n">
        <v>3</v>
      </c>
      <c r="S3614" s="2" t="n">
        <v>7</v>
      </c>
      <c r="T3614" s="2" t="n">
        <v>7</v>
      </c>
      <c r="U3614" s="2" t="n">
        <v>7</v>
      </c>
      <c r="V3614" s="2" t="n">
        <v>2</v>
      </c>
      <c r="W3614" s="2" t="n">
        <v>3</v>
      </c>
      <c r="X3614" s="2" t="n">
        <v>2</v>
      </c>
      <c r="Y3614" s="2" t="n">
        <v>3</v>
      </c>
      <c r="Z3614" s="2" t="n">
        <v>3</v>
      </c>
    </row>
    <row r="3615" customFormat="false" ht="15" hidden="false" customHeight="true" outlineLevel="0" collapsed="false">
      <c r="A3615" s="2" t="n">
        <v>30</v>
      </c>
      <c r="B3615" s="2" t="s">
        <v>26</v>
      </c>
      <c r="C3615" s="2" t="s">
        <v>41</v>
      </c>
      <c r="D3615" s="2" t="s">
        <v>35</v>
      </c>
      <c r="E3615" s="2" t="n">
        <v>2</v>
      </c>
      <c r="F3615" s="2" t="n">
        <v>4</v>
      </c>
      <c r="G3615" s="2" t="s">
        <v>38</v>
      </c>
      <c r="H3615" s="2" t="n">
        <v>3614</v>
      </c>
      <c r="I3615" s="2" t="s">
        <v>39</v>
      </c>
      <c r="J3615" s="2" t="n">
        <v>1</v>
      </c>
      <c r="K3615" s="2" t="s">
        <v>36</v>
      </c>
      <c r="L3615" s="2" t="s">
        <v>37</v>
      </c>
      <c r="M3615" s="2" t="n">
        <v>20960</v>
      </c>
      <c r="N3615" s="2" t="n">
        <v>7</v>
      </c>
      <c r="O3615" s="2" t="n">
        <v>11</v>
      </c>
      <c r="P3615" s="2" t="n">
        <v>3</v>
      </c>
      <c r="Q3615" s="2" t="n">
        <v>10</v>
      </c>
      <c r="R3615" s="2" t="n">
        <v>2</v>
      </c>
      <c r="S3615" s="2" t="n">
        <v>8</v>
      </c>
      <c r="T3615" s="2" t="n">
        <v>1</v>
      </c>
      <c r="U3615" s="2" t="n">
        <v>7</v>
      </c>
      <c r="V3615" s="2" t="n">
        <v>3</v>
      </c>
      <c r="W3615" s="2" t="n">
        <v>3</v>
      </c>
      <c r="X3615" s="2" t="n">
        <v>3</v>
      </c>
      <c r="Y3615" s="2" t="n">
        <v>3</v>
      </c>
      <c r="Z3615" s="2" t="n">
        <v>3</v>
      </c>
    </row>
    <row r="3616" customFormat="false" ht="15" hidden="false" customHeight="true" outlineLevel="0" collapsed="false">
      <c r="A3616" s="2" t="n">
        <v>29</v>
      </c>
      <c r="B3616" s="2" t="s">
        <v>33</v>
      </c>
      <c r="C3616" s="2" t="s">
        <v>27</v>
      </c>
      <c r="D3616" s="2" t="s">
        <v>35</v>
      </c>
      <c r="E3616" s="2" t="n">
        <v>29</v>
      </c>
      <c r="F3616" s="2" t="n">
        <v>4</v>
      </c>
      <c r="G3616" s="2" t="s">
        <v>51</v>
      </c>
      <c r="H3616" s="2" t="n">
        <v>3615</v>
      </c>
      <c r="I3616" s="2" t="s">
        <v>30</v>
      </c>
      <c r="J3616" s="2" t="n">
        <v>1</v>
      </c>
      <c r="K3616" s="2" t="s">
        <v>48</v>
      </c>
      <c r="L3616" s="2" t="s">
        <v>46</v>
      </c>
      <c r="M3616" s="2" t="n">
        <v>28860</v>
      </c>
      <c r="N3616" s="2" t="n">
        <v>3</v>
      </c>
      <c r="O3616" s="2" t="n">
        <v>13</v>
      </c>
      <c r="P3616" s="2" t="n">
        <v>0</v>
      </c>
      <c r="Q3616" s="2" t="n">
        <v>10</v>
      </c>
      <c r="R3616" s="2" t="n">
        <v>4</v>
      </c>
      <c r="S3616" s="2" t="n">
        <v>7</v>
      </c>
      <c r="T3616" s="2" t="n">
        <v>7</v>
      </c>
      <c r="U3616" s="2" t="n">
        <v>7</v>
      </c>
      <c r="V3616" s="2" t="n">
        <v>2</v>
      </c>
      <c r="W3616" s="2" t="n">
        <v>3</v>
      </c>
      <c r="X3616" s="2" t="n">
        <v>3</v>
      </c>
      <c r="Y3616" s="2" t="n">
        <v>3</v>
      </c>
      <c r="Z3616" s="2" t="n">
        <v>3</v>
      </c>
    </row>
    <row r="3617" customFormat="false" ht="15" hidden="false" customHeight="true" outlineLevel="0" collapsed="false">
      <c r="A3617" s="2" t="n">
        <v>28</v>
      </c>
      <c r="B3617" s="2" t="s">
        <v>26</v>
      </c>
      <c r="C3617" s="2" t="s">
        <v>27</v>
      </c>
      <c r="D3617" s="2" t="s">
        <v>28</v>
      </c>
      <c r="E3617" s="2" t="n">
        <v>1</v>
      </c>
      <c r="F3617" s="2" t="n">
        <v>4</v>
      </c>
      <c r="G3617" s="2" t="s">
        <v>29</v>
      </c>
      <c r="H3617" s="2" t="n">
        <v>3616</v>
      </c>
      <c r="I3617" s="2" t="s">
        <v>30</v>
      </c>
      <c r="J3617" s="2" t="n">
        <v>2</v>
      </c>
      <c r="K3617" s="2" t="s">
        <v>48</v>
      </c>
      <c r="L3617" s="2" t="s">
        <v>37</v>
      </c>
      <c r="M3617" s="2" t="n">
        <v>20330</v>
      </c>
      <c r="N3617" s="2" t="n">
        <v>2</v>
      </c>
      <c r="O3617" s="2" t="n">
        <v>15</v>
      </c>
      <c r="P3617" s="2" t="n">
        <v>1</v>
      </c>
      <c r="Q3617" s="2" t="n">
        <v>5</v>
      </c>
      <c r="R3617" s="2" t="n">
        <v>5</v>
      </c>
      <c r="S3617" s="2" t="n">
        <v>3</v>
      </c>
      <c r="T3617" s="2" t="n">
        <v>1</v>
      </c>
      <c r="U3617" s="2" t="n">
        <v>2</v>
      </c>
      <c r="V3617" s="2" t="n">
        <v>4</v>
      </c>
      <c r="W3617" s="2" t="n">
        <v>1</v>
      </c>
      <c r="X3617" s="2" t="n">
        <v>2</v>
      </c>
      <c r="Y3617" s="2" t="n">
        <v>3</v>
      </c>
      <c r="Z3617" s="2" t="n">
        <v>3</v>
      </c>
    </row>
    <row r="3618" customFormat="false" ht="15" hidden="false" customHeight="true" outlineLevel="0" collapsed="false">
      <c r="A3618" s="2" t="n">
        <v>25</v>
      </c>
      <c r="B3618" s="2" t="s">
        <v>26</v>
      </c>
      <c r="C3618" s="2" t="s">
        <v>27</v>
      </c>
      <c r="D3618" s="2" t="s">
        <v>35</v>
      </c>
      <c r="E3618" s="2" t="n">
        <v>18</v>
      </c>
      <c r="F3618" s="2" t="n">
        <v>2</v>
      </c>
      <c r="G3618" s="2" t="s">
        <v>29</v>
      </c>
      <c r="H3618" s="2" t="n">
        <v>3617</v>
      </c>
      <c r="I3618" s="2" t="s">
        <v>39</v>
      </c>
      <c r="J3618" s="2" t="n">
        <v>1</v>
      </c>
      <c r="K3618" s="2" t="s">
        <v>36</v>
      </c>
      <c r="L3618" s="2" t="s">
        <v>37</v>
      </c>
      <c r="M3618" s="2" t="n">
        <v>36220</v>
      </c>
      <c r="N3618" s="2" t="n">
        <v>1</v>
      </c>
      <c r="O3618" s="2" t="n">
        <v>25</v>
      </c>
      <c r="P3618" s="2" t="n">
        <v>0</v>
      </c>
      <c r="Q3618" s="2" t="n">
        <v>2</v>
      </c>
      <c r="R3618" s="2" t="n">
        <v>0</v>
      </c>
      <c r="S3618" s="2" t="n">
        <v>2</v>
      </c>
      <c r="T3618" s="2" t="n">
        <v>2</v>
      </c>
      <c r="U3618" s="2" t="n">
        <v>1</v>
      </c>
      <c r="V3618" s="2" t="n">
        <v>4</v>
      </c>
      <c r="W3618" s="2" t="n">
        <v>2</v>
      </c>
      <c r="X3618" s="2" t="n">
        <v>2</v>
      </c>
      <c r="Y3618" s="2" t="n">
        <v>3</v>
      </c>
      <c r="Z3618" s="2" t="n">
        <v>4</v>
      </c>
    </row>
    <row r="3619" customFormat="false" ht="15" hidden="false" customHeight="true" outlineLevel="0" collapsed="false">
      <c r="A3619" s="2" t="n">
        <v>32</v>
      </c>
      <c r="B3619" s="2" t="s">
        <v>26</v>
      </c>
      <c r="C3619" s="2" t="s">
        <v>27</v>
      </c>
      <c r="D3619" s="2" t="s">
        <v>35</v>
      </c>
      <c r="E3619" s="2" t="n">
        <v>10</v>
      </c>
      <c r="F3619" s="2" t="n">
        <v>4</v>
      </c>
      <c r="G3619" s="2" t="s">
        <v>38</v>
      </c>
      <c r="H3619" s="2" t="n">
        <v>3618</v>
      </c>
      <c r="I3619" s="2" t="s">
        <v>30</v>
      </c>
      <c r="J3619" s="2" t="n">
        <v>1</v>
      </c>
      <c r="K3619" s="2" t="s">
        <v>40</v>
      </c>
      <c r="L3619" s="2" t="s">
        <v>32</v>
      </c>
      <c r="M3619" s="2" t="n">
        <v>42330</v>
      </c>
      <c r="N3619" s="2" t="n">
        <v>1</v>
      </c>
      <c r="O3619" s="2" t="n">
        <v>11</v>
      </c>
      <c r="P3619" s="2" t="n">
        <v>0</v>
      </c>
      <c r="Q3619" s="2" t="n">
        <v>10</v>
      </c>
      <c r="R3619" s="2" t="n">
        <v>5</v>
      </c>
      <c r="S3619" s="2" t="n">
        <v>10</v>
      </c>
      <c r="T3619" s="2" t="n">
        <v>0</v>
      </c>
      <c r="U3619" s="2" t="n">
        <v>8</v>
      </c>
      <c r="V3619" s="2" t="n">
        <v>3</v>
      </c>
      <c r="W3619" s="2" t="n">
        <v>4</v>
      </c>
      <c r="X3619" s="2" t="n">
        <v>4</v>
      </c>
      <c r="Y3619" s="2" t="n">
        <v>3</v>
      </c>
      <c r="Z3619" s="2" t="n">
        <v>3</v>
      </c>
    </row>
    <row r="3620" customFormat="false" ht="15" hidden="false" customHeight="true" outlineLevel="0" collapsed="false">
      <c r="A3620" s="2" t="n">
        <v>45</v>
      </c>
      <c r="B3620" s="2" t="s">
        <v>26</v>
      </c>
      <c r="C3620" s="2" t="s">
        <v>34</v>
      </c>
      <c r="D3620" s="2" t="s">
        <v>35</v>
      </c>
      <c r="E3620" s="2" t="n">
        <v>19</v>
      </c>
      <c r="F3620" s="2" t="n">
        <v>3</v>
      </c>
      <c r="G3620" s="2" t="s">
        <v>43</v>
      </c>
      <c r="H3620" s="2" t="n">
        <v>3619</v>
      </c>
      <c r="I3620" s="2" t="s">
        <v>39</v>
      </c>
      <c r="J3620" s="2" t="n">
        <v>3</v>
      </c>
      <c r="K3620" s="2" t="s">
        <v>45</v>
      </c>
      <c r="L3620" s="2" t="s">
        <v>37</v>
      </c>
      <c r="M3620" s="2" t="n">
        <v>36810</v>
      </c>
      <c r="N3620" s="2" t="n">
        <v>3</v>
      </c>
      <c r="O3620" s="2" t="n">
        <v>17</v>
      </c>
      <c r="P3620" s="2" t="n">
        <v>1</v>
      </c>
      <c r="Q3620" s="2" t="n">
        <v>22</v>
      </c>
      <c r="R3620" s="2" t="n">
        <v>2</v>
      </c>
      <c r="S3620" s="2" t="n">
        <v>0</v>
      </c>
      <c r="T3620" s="2" t="n">
        <v>0</v>
      </c>
      <c r="U3620" s="2" t="n">
        <v>0</v>
      </c>
      <c r="V3620" s="2" t="n">
        <v>2</v>
      </c>
      <c r="W3620" s="2" t="n">
        <v>2</v>
      </c>
      <c r="X3620" s="2" t="n">
        <v>3</v>
      </c>
      <c r="Y3620" s="2" t="n">
        <v>3</v>
      </c>
      <c r="Z3620" s="2" t="n">
        <v>3</v>
      </c>
    </row>
    <row r="3621" customFormat="false" ht="15" hidden="false" customHeight="true" outlineLevel="0" collapsed="false">
      <c r="A3621" s="2" t="n">
        <v>39</v>
      </c>
      <c r="B3621" s="2" t="s">
        <v>26</v>
      </c>
      <c r="C3621" s="2" t="s">
        <v>27</v>
      </c>
      <c r="D3621" s="2" t="s">
        <v>28</v>
      </c>
      <c r="E3621" s="2" t="n">
        <v>29</v>
      </c>
      <c r="F3621" s="2" t="n">
        <v>1</v>
      </c>
      <c r="G3621" s="2" t="s">
        <v>50</v>
      </c>
      <c r="H3621" s="2" t="n">
        <v>3620</v>
      </c>
      <c r="I3621" s="2" t="s">
        <v>30</v>
      </c>
      <c r="J3621" s="2" t="n">
        <v>1</v>
      </c>
      <c r="K3621" s="2" t="s">
        <v>45</v>
      </c>
      <c r="L3621" s="2" t="s">
        <v>46</v>
      </c>
      <c r="M3621" s="2" t="n">
        <v>54600</v>
      </c>
      <c r="N3621" s="2" t="n">
        <v>6</v>
      </c>
      <c r="O3621" s="2" t="n">
        <v>13</v>
      </c>
      <c r="P3621" s="2" t="n">
        <v>2</v>
      </c>
      <c r="Q3621" s="2" t="n">
        <v>21</v>
      </c>
      <c r="R3621" s="2" t="n">
        <v>3</v>
      </c>
      <c r="S3621" s="2" t="n">
        <v>19</v>
      </c>
      <c r="T3621" s="2" t="n">
        <v>15</v>
      </c>
      <c r="U3621" s="2" t="n">
        <v>2</v>
      </c>
      <c r="V3621" s="2" t="n">
        <v>3</v>
      </c>
      <c r="W3621" s="2" t="n">
        <v>2</v>
      </c>
      <c r="X3621" s="2" t="n">
        <v>3</v>
      </c>
      <c r="Y3621" s="2" t="n">
        <v>3</v>
      </c>
      <c r="Z3621" s="2" t="n">
        <v>3</v>
      </c>
    </row>
    <row r="3622" customFormat="false" ht="15" hidden="false" customHeight="true" outlineLevel="0" collapsed="false">
      <c r="A3622" s="2" t="n">
        <v>58</v>
      </c>
      <c r="B3622" s="2" t="s">
        <v>26</v>
      </c>
      <c r="C3622" s="2" t="s">
        <v>27</v>
      </c>
      <c r="D3622" s="2" t="s">
        <v>35</v>
      </c>
      <c r="E3622" s="2" t="n">
        <v>27</v>
      </c>
      <c r="F3622" s="2" t="n">
        <v>3</v>
      </c>
      <c r="G3622" s="2" t="s">
        <v>38</v>
      </c>
      <c r="H3622" s="2" t="n">
        <v>3621</v>
      </c>
      <c r="I3622" s="2" t="s">
        <v>39</v>
      </c>
      <c r="J3622" s="2" t="n">
        <v>2</v>
      </c>
      <c r="K3622" s="2" t="s">
        <v>45</v>
      </c>
      <c r="L3622" s="2" t="s">
        <v>46</v>
      </c>
      <c r="M3622" s="2" t="n">
        <v>21870</v>
      </c>
      <c r="N3622" s="2" t="n">
        <v>1</v>
      </c>
      <c r="O3622" s="2" t="n">
        <v>18</v>
      </c>
      <c r="P3622" s="2" t="n">
        <v>1</v>
      </c>
      <c r="Q3622" s="2" t="n">
        <v>2</v>
      </c>
      <c r="R3622" s="2" t="n">
        <v>1</v>
      </c>
      <c r="S3622" s="2" t="n">
        <v>2</v>
      </c>
      <c r="T3622" s="2" t="n">
        <v>2</v>
      </c>
      <c r="U3622" s="2" t="n">
        <v>2</v>
      </c>
      <c r="V3622" s="2" t="n">
        <v>1</v>
      </c>
      <c r="W3622" s="2" t="n">
        <v>3</v>
      </c>
      <c r="X3622" s="2" t="n">
        <v>3</v>
      </c>
      <c r="Y3622" s="2" t="n">
        <v>1</v>
      </c>
      <c r="Z3622" s="2" t="n">
        <v>3</v>
      </c>
    </row>
    <row r="3623" customFormat="false" ht="15" hidden="false" customHeight="true" outlineLevel="0" collapsed="false">
      <c r="A3623" s="2" t="n">
        <v>32</v>
      </c>
      <c r="B3623" s="2" t="s">
        <v>33</v>
      </c>
      <c r="C3623" s="2" t="s">
        <v>27</v>
      </c>
      <c r="D3623" s="2" t="s">
        <v>35</v>
      </c>
      <c r="E3623" s="2" t="n">
        <v>5</v>
      </c>
      <c r="F3623" s="2" t="n">
        <v>3</v>
      </c>
      <c r="G3623" s="2" t="s">
        <v>51</v>
      </c>
      <c r="H3623" s="2" t="n">
        <v>3622</v>
      </c>
      <c r="I3623" s="2" t="s">
        <v>30</v>
      </c>
      <c r="J3623" s="2" t="n">
        <v>1</v>
      </c>
      <c r="K3623" s="2" t="s">
        <v>40</v>
      </c>
      <c r="L3623" s="2" t="s">
        <v>32</v>
      </c>
      <c r="M3623" s="2" t="n">
        <v>96020</v>
      </c>
      <c r="N3623" s="2" t="n">
        <v>1</v>
      </c>
      <c r="O3623" s="2" t="n">
        <v>13</v>
      </c>
      <c r="P3623" s="2" t="n">
        <v>1</v>
      </c>
      <c r="Q3623" s="2" t="n">
        <v>10</v>
      </c>
      <c r="R3623" s="2" t="n">
        <v>3</v>
      </c>
      <c r="S3623" s="2" t="n">
        <v>10</v>
      </c>
      <c r="T3623" s="2" t="n">
        <v>1</v>
      </c>
      <c r="U3623" s="2" t="n">
        <v>1</v>
      </c>
      <c r="V3623" s="2" t="n">
        <v>4</v>
      </c>
      <c r="W3623" s="2" t="n">
        <v>3</v>
      </c>
      <c r="X3623" s="2" t="n">
        <v>3</v>
      </c>
      <c r="Y3623" s="2" t="n">
        <v>3</v>
      </c>
      <c r="Z3623" s="2" t="n">
        <v>3</v>
      </c>
    </row>
    <row r="3624" customFormat="false" ht="15" hidden="false" customHeight="true" outlineLevel="0" collapsed="false">
      <c r="A3624" s="2" t="n">
        <v>39</v>
      </c>
      <c r="B3624" s="2" t="s">
        <v>33</v>
      </c>
      <c r="C3624" s="2" t="s">
        <v>27</v>
      </c>
      <c r="D3624" s="2" t="s">
        <v>35</v>
      </c>
      <c r="E3624" s="2" t="n">
        <v>18</v>
      </c>
      <c r="F3624" s="2" t="n">
        <v>2</v>
      </c>
      <c r="G3624" s="2" t="s">
        <v>29</v>
      </c>
      <c r="H3624" s="2" t="n">
        <v>3623</v>
      </c>
      <c r="I3624" s="2" t="s">
        <v>39</v>
      </c>
      <c r="J3624" s="2" t="n">
        <v>2</v>
      </c>
      <c r="K3624" s="2" t="s">
        <v>45</v>
      </c>
      <c r="L3624" s="2" t="s">
        <v>37</v>
      </c>
      <c r="M3624" s="2" t="n">
        <v>28360</v>
      </c>
      <c r="N3624" s="2" t="n">
        <v>0</v>
      </c>
      <c r="O3624" s="2" t="n">
        <v>20</v>
      </c>
      <c r="P3624" s="2" t="n">
        <v>0</v>
      </c>
      <c r="Q3624" s="2" t="n">
        <v>6</v>
      </c>
      <c r="R3624" s="2" t="n">
        <v>3</v>
      </c>
      <c r="S3624" s="2" t="n">
        <v>5</v>
      </c>
      <c r="T3624" s="2" t="n">
        <v>0</v>
      </c>
      <c r="U3624" s="2" t="n">
        <v>3</v>
      </c>
      <c r="V3624" s="2" t="n">
        <v>3</v>
      </c>
      <c r="W3624" s="2" t="n">
        <v>1</v>
      </c>
      <c r="X3624" s="2" t="n">
        <v>3</v>
      </c>
      <c r="Y3624" s="2" t="n">
        <v>2</v>
      </c>
      <c r="Z3624" s="2" t="n">
        <v>4</v>
      </c>
    </row>
    <row r="3625" customFormat="false" ht="15" hidden="false" customHeight="true" outlineLevel="0" collapsed="false">
      <c r="A3625" s="2" t="n">
        <v>30</v>
      </c>
      <c r="B3625" s="2" t="s">
        <v>26</v>
      </c>
      <c r="C3625" s="2" t="s">
        <v>27</v>
      </c>
      <c r="D3625" s="2" t="s">
        <v>28</v>
      </c>
      <c r="E3625" s="2" t="n">
        <v>9</v>
      </c>
      <c r="F3625" s="2" t="n">
        <v>1</v>
      </c>
      <c r="G3625" s="2" t="s">
        <v>50</v>
      </c>
      <c r="H3625" s="2" t="n">
        <v>3624</v>
      </c>
      <c r="I3625" s="2" t="s">
        <v>39</v>
      </c>
      <c r="J3625" s="2" t="n">
        <v>4</v>
      </c>
      <c r="K3625" s="2" t="s">
        <v>44</v>
      </c>
      <c r="L3625" s="2" t="s">
        <v>32</v>
      </c>
      <c r="M3625" s="2" t="n">
        <v>40890</v>
      </c>
      <c r="N3625" s="2" t="n">
        <v>0</v>
      </c>
      <c r="O3625" s="2" t="n">
        <v>18</v>
      </c>
      <c r="P3625" s="2" t="n">
        <v>0</v>
      </c>
      <c r="Q3625" s="2" t="n">
        <v>10</v>
      </c>
      <c r="R3625" s="2" t="n">
        <v>2</v>
      </c>
      <c r="S3625" s="2" t="n">
        <v>9</v>
      </c>
      <c r="T3625" s="2" t="n">
        <v>6</v>
      </c>
      <c r="U3625" s="2" t="n">
        <v>7</v>
      </c>
      <c r="V3625" s="2" t="n">
        <v>1</v>
      </c>
      <c r="W3625" s="2" t="n">
        <v>4</v>
      </c>
      <c r="X3625" s="2" t="n">
        <v>3</v>
      </c>
      <c r="Y3625" s="2" t="n">
        <v>4</v>
      </c>
      <c r="Z3625" s="2" t="n">
        <v>3</v>
      </c>
    </row>
    <row r="3626" customFormat="false" ht="15" hidden="false" customHeight="true" outlineLevel="0" collapsed="false">
      <c r="A3626" s="2" t="n">
        <v>36</v>
      </c>
      <c r="B3626" s="2" t="s">
        <v>26</v>
      </c>
      <c r="C3626" s="2" t="s">
        <v>27</v>
      </c>
      <c r="D3626" s="2" t="s">
        <v>28</v>
      </c>
      <c r="E3626" s="2" t="n">
        <v>1</v>
      </c>
      <c r="F3626" s="2" t="n">
        <v>3</v>
      </c>
      <c r="G3626" s="2" t="s">
        <v>50</v>
      </c>
      <c r="H3626" s="2" t="n">
        <v>3625</v>
      </c>
      <c r="I3626" s="2" t="s">
        <v>39</v>
      </c>
      <c r="J3626" s="2" t="n">
        <v>2</v>
      </c>
      <c r="K3626" s="2" t="s">
        <v>40</v>
      </c>
      <c r="L3626" s="2" t="s">
        <v>32</v>
      </c>
      <c r="M3626" s="2" t="n">
        <v>166270</v>
      </c>
      <c r="N3626" s="2" t="n">
        <v>3</v>
      </c>
      <c r="O3626" s="2" t="n">
        <v>12</v>
      </c>
      <c r="P3626" s="2" t="n">
        <v>0</v>
      </c>
      <c r="Q3626" s="2" t="n">
        <v>10</v>
      </c>
      <c r="R3626" s="2" t="n">
        <v>5</v>
      </c>
      <c r="S3626" s="2" t="n">
        <v>7</v>
      </c>
      <c r="T3626" s="2" t="n">
        <v>1</v>
      </c>
      <c r="U3626" s="2" t="n">
        <v>7</v>
      </c>
      <c r="V3626" s="2" t="n">
        <v>4</v>
      </c>
      <c r="W3626" s="2" t="n">
        <v>3</v>
      </c>
      <c r="X3626" s="2" t="n">
        <v>3</v>
      </c>
      <c r="Y3626" s="2" t="n">
        <v>2</v>
      </c>
      <c r="Z3626" s="2" t="n">
        <v>3</v>
      </c>
    </row>
    <row r="3627" customFormat="false" ht="15" hidden="false" customHeight="true" outlineLevel="0" collapsed="false">
      <c r="A3627" s="2" t="n">
        <v>46</v>
      </c>
      <c r="B3627" s="2" t="s">
        <v>26</v>
      </c>
      <c r="C3627" s="2" t="s">
        <v>27</v>
      </c>
      <c r="D3627" s="2" t="s">
        <v>28</v>
      </c>
      <c r="E3627" s="2" t="n">
        <v>4</v>
      </c>
      <c r="F3627" s="2" t="n">
        <v>3</v>
      </c>
      <c r="G3627" s="2" t="s">
        <v>43</v>
      </c>
      <c r="H3627" s="2" t="n">
        <v>3626</v>
      </c>
      <c r="I3627" s="2" t="s">
        <v>39</v>
      </c>
      <c r="J3627" s="2" t="n">
        <v>1</v>
      </c>
      <c r="K3627" s="2" t="s">
        <v>36</v>
      </c>
      <c r="L3627" s="2" t="s">
        <v>37</v>
      </c>
      <c r="M3627" s="2" t="n">
        <v>26190</v>
      </c>
      <c r="N3627" s="2" t="n">
        <v>6</v>
      </c>
      <c r="O3627" s="2" t="n">
        <v>12</v>
      </c>
      <c r="P3627" s="2" t="n">
        <v>1</v>
      </c>
      <c r="Q3627" s="2" t="n">
        <v>10</v>
      </c>
      <c r="R3627" s="2" t="n">
        <v>3</v>
      </c>
      <c r="S3627" s="2" t="n">
        <v>7</v>
      </c>
      <c r="T3627" s="2" t="n">
        <v>5</v>
      </c>
      <c r="U3627" s="2" t="n">
        <v>7</v>
      </c>
      <c r="V3627" s="2" t="n">
        <v>4</v>
      </c>
      <c r="W3627" s="2" t="n">
        <v>1</v>
      </c>
      <c r="X3627" s="2" t="n">
        <v>4</v>
      </c>
      <c r="Y3627" s="2" t="n">
        <v>2</v>
      </c>
      <c r="Z3627" s="2" t="n">
        <v>3</v>
      </c>
    </row>
    <row r="3628" customFormat="false" ht="15" hidden="false" customHeight="true" outlineLevel="0" collapsed="false">
      <c r="A3628" s="2" t="n">
        <v>28</v>
      </c>
      <c r="B3628" s="2" t="s">
        <v>26</v>
      </c>
      <c r="C3628" s="2" t="s">
        <v>41</v>
      </c>
      <c r="D3628" s="2" t="s">
        <v>35</v>
      </c>
      <c r="E3628" s="2" t="n">
        <v>1</v>
      </c>
      <c r="F3628" s="2" t="n">
        <v>3</v>
      </c>
      <c r="G3628" s="2" t="s">
        <v>43</v>
      </c>
      <c r="H3628" s="2" t="n">
        <v>3627</v>
      </c>
      <c r="I3628" s="2" t="s">
        <v>39</v>
      </c>
      <c r="J3628" s="2" t="n">
        <v>5</v>
      </c>
      <c r="K3628" s="2" t="s">
        <v>40</v>
      </c>
      <c r="L3628" s="2" t="s">
        <v>32</v>
      </c>
      <c r="M3628" s="2" t="n">
        <v>56790</v>
      </c>
      <c r="N3628" s="2" t="n">
        <v>0</v>
      </c>
      <c r="O3628" s="2" t="n">
        <v>13</v>
      </c>
      <c r="P3628" s="2" t="n">
        <v>0</v>
      </c>
      <c r="Q3628" s="2" t="n">
        <v>10</v>
      </c>
      <c r="R3628" s="2" t="n">
        <v>2</v>
      </c>
      <c r="S3628" s="2" t="n">
        <v>9</v>
      </c>
      <c r="T3628" s="2" t="n">
        <v>7</v>
      </c>
      <c r="U3628" s="2" t="n">
        <v>5</v>
      </c>
      <c r="V3628" s="2" t="n">
        <v>3</v>
      </c>
      <c r="W3628" s="2" t="n">
        <v>4</v>
      </c>
      <c r="X3628" s="2" t="n">
        <v>3</v>
      </c>
      <c r="Y3628" s="2" t="n">
        <v>2</v>
      </c>
      <c r="Z3628" s="2" t="n">
        <v>3</v>
      </c>
    </row>
    <row r="3629" customFormat="false" ht="15" hidden="false" customHeight="true" outlineLevel="0" collapsed="false">
      <c r="A3629" s="2" t="n">
        <v>50</v>
      </c>
      <c r="B3629" s="2" t="s">
        <v>26</v>
      </c>
      <c r="C3629" s="2" t="s">
        <v>27</v>
      </c>
      <c r="D3629" s="2" t="s">
        <v>35</v>
      </c>
      <c r="E3629" s="2" t="n">
        <v>20</v>
      </c>
      <c r="F3629" s="2" t="n">
        <v>2</v>
      </c>
      <c r="G3629" s="2" t="s">
        <v>43</v>
      </c>
      <c r="H3629" s="2" t="n">
        <v>3628</v>
      </c>
      <c r="I3629" s="2" t="s">
        <v>30</v>
      </c>
      <c r="J3629" s="2" t="n">
        <v>5</v>
      </c>
      <c r="K3629" s="2" t="s">
        <v>45</v>
      </c>
      <c r="L3629" s="2" t="s">
        <v>32</v>
      </c>
      <c r="M3629" s="2" t="n">
        <v>154020</v>
      </c>
      <c r="N3629" s="2" t="n">
        <v>4</v>
      </c>
      <c r="O3629" s="2" t="n">
        <v>21</v>
      </c>
      <c r="P3629" s="2" t="n">
        <v>0</v>
      </c>
      <c r="Q3629" s="2" t="n">
        <v>25</v>
      </c>
      <c r="R3629" s="2" t="n">
        <v>3</v>
      </c>
      <c r="S3629" s="2" t="n">
        <v>3</v>
      </c>
      <c r="T3629" s="2" t="n">
        <v>1</v>
      </c>
      <c r="U3629" s="2" t="n">
        <v>2</v>
      </c>
      <c r="V3629" s="2" t="n">
        <v>4</v>
      </c>
      <c r="W3629" s="2" t="n">
        <v>1</v>
      </c>
      <c r="X3629" s="2" t="n">
        <v>3</v>
      </c>
      <c r="Y3629" s="2" t="n">
        <v>2</v>
      </c>
      <c r="Z3629" s="2" t="n">
        <v>4</v>
      </c>
    </row>
    <row r="3630" customFormat="false" ht="15" hidden="false" customHeight="true" outlineLevel="0" collapsed="false">
      <c r="A3630" s="2" t="n">
        <v>40</v>
      </c>
      <c r="B3630" s="2" t="s">
        <v>33</v>
      </c>
      <c r="C3630" s="2" t="s">
        <v>27</v>
      </c>
      <c r="D3630" s="2" t="s">
        <v>28</v>
      </c>
      <c r="E3630" s="2" t="n">
        <v>8</v>
      </c>
      <c r="F3630" s="2" t="n">
        <v>1</v>
      </c>
      <c r="G3630" s="2" t="s">
        <v>38</v>
      </c>
      <c r="H3630" s="2" t="n">
        <v>3629</v>
      </c>
      <c r="I3630" s="2" t="s">
        <v>39</v>
      </c>
      <c r="J3630" s="2" t="n">
        <v>1</v>
      </c>
      <c r="K3630" s="2" t="s">
        <v>45</v>
      </c>
      <c r="L3630" s="2" t="s">
        <v>37</v>
      </c>
      <c r="M3630" s="2" t="n">
        <v>59850</v>
      </c>
      <c r="N3630" s="2" t="n">
        <v>2</v>
      </c>
      <c r="O3630" s="2" t="n">
        <v>13</v>
      </c>
      <c r="P3630" s="2" t="n">
        <v>3</v>
      </c>
      <c r="Q3630" s="2" t="n">
        <v>9</v>
      </c>
      <c r="R3630" s="2" t="n">
        <v>1</v>
      </c>
      <c r="S3630" s="2" t="n">
        <v>5</v>
      </c>
      <c r="T3630" s="2" t="n">
        <v>1</v>
      </c>
      <c r="U3630" s="2" t="n">
        <v>0</v>
      </c>
      <c r="V3630" s="2" t="n">
        <v>4</v>
      </c>
      <c r="W3630" s="2" t="n">
        <v>2</v>
      </c>
      <c r="X3630" s="2" t="n">
        <v>3</v>
      </c>
      <c r="Y3630" s="2" t="n">
        <v>2</v>
      </c>
      <c r="Z3630" s="2" t="n">
        <v>3</v>
      </c>
    </row>
    <row r="3631" customFormat="false" ht="15" hidden="false" customHeight="true" outlineLevel="0" collapsed="false">
      <c r="A3631" s="2" t="n">
        <v>52</v>
      </c>
      <c r="B3631" s="2" t="s">
        <v>33</v>
      </c>
      <c r="C3631" s="2" t="s">
        <v>27</v>
      </c>
      <c r="D3631" s="2" t="s">
        <v>35</v>
      </c>
      <c r="E3631" s="2" t="n">
        <v>3</v>
      </c>
      <c r="F3631" s="2" t="n">
        <v>2</v>
      </c>
      <c r="G3631" s="2" t="s">
        <v>51</v>
      </c>
      <c r="H3631" s="2" t="n">
        <v>3630</v>
      </c>
      <c r="I3631" s="2" t="s">
        <v>39</v>
      </c>
      <c r="J3631" s="2" t="n">
        <v>3</v>
      </c>
      <c r="K3631" s="2" t="s">
        <v>45</v>
      </c>
      <c r="L3631" s="2" t="s">
        <v>37</v>
      </c>
      <c r="M3631" s="2" t="n">
        <v>25790</v>
      </c>
      <c r="N3631" s="2" t="n">
        <v>9</v>
      </c>
      <c r="O3631" s="2" t="n">
        <v>19</v>
      </c>
      <c r="P3631" s="2" t="n">
        <v>1</v>
      </c>
      <c r="Q3631" s="2" t="n">
        <v>10</v>
      </c>
      <c r="R3631" s="2" t="n">
        <v>1</v>
      </c>
      <c r="S3631" s="2" t="n">
        <v>8</v>
      </c>
      <c r="T3631" s="2" t="n">
        <v>7</v>
      </c>
      <c r="U3631" s="2" t="n">
        <v>7</v>
      </c>
      <c r="V3631" s="2" t="n">
        <v>2</v>
      </c>
      <c r="W3631" s="2" t="n">
        <v>2</v>
      </c>
      <c r="X3631" s="2" t="n">
        <v>2</v>
      </c>
      <c r="Y3631" s="2" t="n">
        <v>3</v>
      </c>
      <c r="Z3631" s="2" t="n">
        <v>3</v>
      </c>
    </row>
    <row r="3632" customFormat="false" ht="15" hidden="false" customHeight="true" outlineLevel="0" collapsed="false">
      <c r="A3632" s="2" t="n">
        <v>30</v>
      </c>
      <c r="B3632" s="2" t="s">
        <v>26</v>
      </c>
      <c r="C3632" s="2" t="s">
        <v>27</v>
      </c>
      <c r="D3632" s="2" t="s">
        <v>35</v>
      </c>
      <c r="E3632" s="2" t="n">
        <v>6</v>
      </c>
      <c r="F3632" s="2" t="n">
        <v>4</v>
      </c>
      <c r="G3632" s="2" t="s">
        <v>43</v>
      </c>
      <c r="H3632" s="2" t="n">
        <v>3631</v>
      </c>
      <c r="I3632" s="2" t="s">
        <v>30</v>
      </c>
      <c r="J3632" s="2" t="n">
        <v>1</v>
      </c>
      <c r="K3632" s="2" t="s">
        <v>40</v>
      </c>
      <c r="L3632" s="2" t="s">
        <v>32</v>
      </c>
      <c r="M3632" s="2" t="n">
        <v>30410</v>
      </c>
      <c r="N3632" s="2" t="n">
        <v>1</v>
      </c>
      <c r="O3632" s="2" t="n">
        <v>11</v>
      </c>
      <c r="P3632" s="2" t="n">
        <v>1</v>
      </c>
      <c r="Q3632" s="2" t="n">
        <v>9</v>
      </c>
      <c r="R3632" s="2" t="n">
        <v>2</v>
      </c>
      <c r="S3632" s="2" t="n">
        <v>9</v>
      </c>
      <c r="T3632" s="2" t="n">
        <v>0</v>
      </c>
      <c r="U3632" s="2" t="n">
        <v>8</v>
      </c>
      <c r="V3632" s="2" t="n">
        <v>2</v>
      </c>
      <c r="W3632" s="2" t="n">
        <v>1</v>
      </c>
      <c r="X3632" s="2" t="n">
        <v>3</v>
      </c>
      <c r="Y3632" s="2" t="n">
        <v>2</v>
      </c>
      <c r="Z3632" s="2" t="n">
        <v>3</v>
      </c>
    </row>
    <row r="3633" customFormat="false" ht="15" hidden="false" customHeight="true" outlineLevel="0" collapsed="false">
      <c r="A3633" s="2" t="n">
        <v>39</v>
      </c>
      <c r="B3633" s="2" t="s">
        <v>26</v>
      </c>
      <c r="C3633" s="2" t="s">
        <v>27</v>
      </c>
      <c r="D3633" s="2" t="s">
        <v>35</v>
      </c>
      <c r="E3633" s="2" t="n">
        <v>26</v>
      </c>
      <c r="F3633" s="2" t="n">
        <v>1</v>
      </c>
      <c r="G3633" s="2" t="s">
        <v>43</v>
      </c>
      <c r="H3633" s="2" t="n">
        <v>3632</v>
      </c>
      <c r="I3633" s="2" t="s">
        <v>39</v>
      </c>
      <c r="J3633" s="2" t="n">
        <v>2</v>
      </c>
      <c r="K3633" s="2" t="s">
        <v>31</v>
      </c>
      <c r="L3633" s="2" t="s">
        <v>37</v>
      </c>
      <c r="M3633" s="2" t="n">
        <v>34470</v>
      </c>
      <c r="N3633" s="2" t="n">
        <v>0</v>
      </c>
      <c r="O3633" s="2" t="n">
        <v>14</v>
      </c>
      <c r="P3633" s="2" t="n">
        <v>0</v>
      </c>
      <c r="Q3633" s="2" t="n">
        <v>9</v>
      </c>
      <c r="R3633" s="2" t="n">
        <v>5</v>
      </c>
      <c r="S3633" s="2" t="n">
        <v>8</v>
      </c>
      <c r="T3633" s="2" t="n">
        <v>1</v>
      </c>
      <c r="U3633" s="2" t="n">
        <v>7</v>
      </c>
      <c r="V3633" s="2" t="n">
        <v>1</v>
      </c>
      <c r="W3633" s="2" t="n">
        <v>3</v>
      </c>
      <c r="X3633" s="2" t="n">
        <v>3</v>
      </c>
      <c r="Y3633" s="2" t="n">
        <v>3</v>
      </c>
      <c r="Z3633" s="2" t="n">
        <v>3</v>
      </c>
    </row>
    <row r="3634" customFormat="false" ht="15" hidden="false" customHeight="true" outlineLevel="0" collapsed="false">
      <c r="A3634" s="2" t="n">
        <v>31</v>
      </c>
      <c r="B3634" s="2" t="s">
        <v>26</v>
      </c>
      <c r="C3634" s="2" t="s">
        <v>41</v>
      </c>
      <c r="D3634" s="2" t="s">
        <v>35</v>
      </c>
      <c r="E3634" s="2" t="n">
        <v>1</v>
      </c>
      <c r="F3634" s="2" t="n">
        <v>2</v>
      </c>
      <c r="G3634" s="2" t="s">
        <v>43</v>
      </c>
      <c r="H3634" s="2" t="n">
        <v>3633</v>
      </c>
      <c r="I3634" s="2" t="s">
        <v>39</v>
      </c>
      <c r="J3634" s="2" t="n">
        <v>1</v>
      </c>
      <c r="K3634" s="2" t="s">
        <v>40</v>
      </c>
      <c r="L3634" s="2" t="s">
        <v>46</v>
      </c>
      <c r="M3634" s="2" t="n">
        <v>195130</v>
      </c>
      <c r="N3634" s="2" t="n">
        <v>1</v>
      </c>
      <c r="O3634" s="2" t="n">
        <v>12</v>
      </c>
      <c r="P3634" s="2" t="n">
        <v>1</v>
      </c>
      <c r="Q3634" s="2" t="n">
        <v>10</v>
      </c>
      <c r="R3634" s="2" t="n">
        <v>1</v>
      </c>
      <c r="S3634" s="2" t="n">
        <v>10</v>
      </c>
      <c r="T3634" s="2" t="n">
        <v>9</v>
      </c>
      <c r="U3634" s="2" t="n">
        <v>6</v>
      </c>
      <c r="V3634" s="2" t="n">
        <v>4</v>
      </c>
      <c r="W3634" s="2" t="n">
        <v>3</v>
      </c>
      <c r="X3634" s="2" t="n">
        <v>2</v>
      </c>
      <c r="Y3634" s="2" t="n">
        <v>2</v>
      </c>
      <c r="Z3634" s="2" t="n">
        <v>3</v>
      </c>
    </row>
    <row r="3635" customFormat="false" ht="15" hidden="false" customHeight="true" outlineLevel="0" collapsed="false">
      <c r="A3635" s="2" t="n">
        <v>41</v>
      </c>
      <c r="B3635" s="2" t="s">
        <v>26</v>
      </c>
      <c r="C3635" s="2" t="s">
        <v>41</v>
      </c>
      <c r="D3635" s="2" t="s">
        <v>28</v>
      </c>
      <c r="E3635" s="2" t="n">
        <v>6</v>
      </c>
      <c r="F3635" s="2" t="n">
        <v>3</v>
      </c>
      <c r="G3635" s="2" t="s">
        <v>29</v>
      </c>
      <c r="H3635" s="2" t="n">
        <v>3634</v>
      </c>
      <c r="I3635" s="2" t="s">
        <v>30</v>
      </c>
      <c r="J3635" s="2" t="n">
        <v>1</v>
      </c>
      <c r="K3635" s="2" t="s">
        <v>44</v>
      </c>
      <c r="L3635" s="2" t="s">
        <v>37</v>
      </c>
      <c r="M3635" s="2" t="n">
        <v>27730</v>
      </c>
      <c r="N3635" s="2" t="n">
        <v>1</v>
      </c>
      <c r="O3635" s="2" t="n">
        <v>11</v>
      </c>
      <c r="P3635" s="2" t="n">
        <v>0</v>
      </c>
      <c r="Q3635" s="2" t="n">
        <v>19</v>
      </c>
      <c r="R3635" s="2" t="n">
        <v>3</v>
      </c>
      <c r="S3635" s="2" t="n">
        <v>19</v>
      </c>
      <c r="T3635" s="2" t="n">
        <v>11</v>
      </c>
      <c r="U3635" s="2" t="n">
        <v>9</v>
      </c>
      <c r="V3635" s="2" t="n">
        <v>3</v>
      </c>
      <c r="W3635" s="2" t="n">
        <v>2</v>
      </c>
      <c r="X3635" s="2" t="n">
        <v>3</v>
      </c>
      <c r="Y3635" s="2" t="n">
        <v>3</v>
      </c>
      <c r="Z3635" s="2" t="n">
        <v>3</v>
      </c>
    </row>
    <row r="3636" customFormat="false" ht="15" hidden="false" customHeight="true" outlineLevel="0" collapsed="false">
      <c r="A3636" s="2" t="n">
        <v>31</v>
      </c>
      <c r="B3636" s="2" t="s">
        <v>33</v>
      </c>
      <c r="C3636" s="2" t="s">
        <v>34</v>
      </c>
      <c r="D3636" s="2" t="s">
        <v>35</v>
      </c>
      <c r="E3636" s="2" t="n">
        <v>3</v>
      </c>
      <c r="F3636" s="2" t="n">
        <v>1</v>
      </c>
      <c r="G3636" s="2" t="s">
        <v>29</v>
      </c>
      <c r="H3636" s="2" t="n">
        <v>3635</v>
      </c>
      <c r="I3636" s="2" t="s">
        <v>39</v>
      </c>
      <c r="J3636" s="2" t="n">
        <v>1</v>
      </c>
      <c r="K3636" s="2" t="s">
        <v>40</v>
      </c>
      <c r="L3636" s="2" t="s">
        <v>37</v>
      </c>
      <c r="M3636" s="2" t="n">
        <v>71040</v>
      </c>
      <c r="N3636" s="2" t="n">
        <v>1</v>
      </c>
      <c r="O3636" s="2" t="n">
        <v>14</v>
      </c>
      <c r="P3636" s="2" t="n">
        <v>1</v>
      </c>
      <c r="Q3636" s="2" t="n">
        <v>3</v>
      </c>
      <c r="R3636" s="2" t="n">
        <v>3</v>
      </c>
      <c r="S3636" s="2" t="n">
        <v>3</v>
      </c>
      <c r="T3636" s="2" t="n">
        <v>2</v>
      </c>
      <c r="U3636" s="2" t="n">
        <v>2</v>
      </c>
      <c r="V3636" s="2" t="n">
        <v>4</v>
      </c>
      <c r="W3636" s="2" t="n">
        <v>2</v>
      </c>
      <c r="X3636" s="2" t="n">
        <v>4</v>
      </c>
      <c r="Y3636" s="2" t="n">
        <v>3</v>
      </c>
      <c r="Z3636" s="2" t="n">
        <v>3</v>
      </c>
    </row>
    <row r="3637" customFormat="false" ht="15" hidden="false" customHeight="true" outlineLevel="0" collapsed="false">
      <c r="A3637" s="2" t="n">
        <v>44</v>
      </c>
      <c r="B3637" s="2" t="s">
        <v>33</v>
      </c>
      <c r="C3637" s="2" t="s">
        <v>27</v>
      </c>
      <c r="D3637" s="2" t="s">
        <v>28</v>
      </c>
      <c r="E3637" s="2" t="n">
        <v>5</v>
      </c>
      <c r="F3637" s="2" t="n">
        <v>3</v>
      </c>
      <c r="G3637" s="2" t="s">
        <v>29</v>
      </c>
      <c r="H3637" s="2" t="n">
        <v>3636</v>
      </c>
      <c r="I3637" s="2" t="s">
        <v>39</v>
      </c>
      <c r="J3637" s="2" t="n">
        <v>1</v>
      </c>
      <c r="K3637" s="2" t="s">
        <v>45</v>
      </c>
      <c r="L3637" s="2" t="s">
        <v>32</v>
      </c>
      <c r="M3637" s="2" t="n">
        <v>63220</v>
      </c>
      <c r="N3637" s="2" t="n">
        <v>4</v>
      </c>
      <c r="O3637" s="2" t="n">
        <v>11</v>
      </c>
      <c r="P3637" s="2" t="n">
        <v>1</v>
      </c>
      <c r="Q3637" s="2" t="n">
        <v>10</v>
      </c>
      <c r="R3637" s="2" t="n">
        <v>2</v>
      </c>
      <c r="S3637" s="2" t="n">
        <v>3</v>
      </c>
      <c r="T3637" s="2" t="n">
        <v>1</v>
      </c>
      <c r="U3637" s="2" t="n">
        <v>2</v>
      </c>
      <c r="V3637" s="2" t="n">
        <v>1</v>
      </c>
      <c r="W3637" s="2" t="n">
        <v>1</v>
      </c>
      <c r="X3637" s="2" t="n">
        <v>4</v>
      </c>
      <c r="Y3637" s="2" t="n">
        <v>3</v>
      </c>
      <c r="Z3637" s="2" t="n">
        <v>3</v>
      </c>
    </row>
    <row r="3638" customFormat="false" ht="15" hidden="false" customHeight="true" outlineLevel="0" collapsed="false">
      <c r="A3638" s="2" t="n">
        <v>42</v>
      </c>
      <c r="B3638" s="2" t="s">
        <v>26</v>
      </c>
      <c r="C3638" s="2" t="s">
        <v>41</v>
      </c>
      <c r="D3638" s="2" t="s">
        <v>35</v>
      </c>
      <c r="E3638" s="2" t="n">
        <v>4</v>
      </c>
      <c r="F3638" s="2" t="n">
        <v>3</v>
      </c>
      <c r="G3638" s="2" t="s">
        <v>29</v>
      </c>
      <c r="H3638" s="2" t="n">
        <v>3637</v>
      </c>
      <c r="I3638" s="2" t="s">
        <v>39</v>
      </c>
      <c r="J3638" s="2" t="n">
        <v>2</v>
      </c>
      <c r="K3638" s="2" t="s">
        <v>45</v>
      </c>
      <c r="L3638" s="2" t="s">
        <v>32</v>
      </c>
      <c r="M3638" s="2" t="n">
        <v>20830</v>
      </c>
      <c r="N3638" s="2" t="n">
        <v>0</v>
      </c>
      <c r="O3638" s="2" t="n">
        <v>12</v>
      </c>
      <c r="P3638" s="2" t="n">
        <v>2</v>
      </c>
      <c r="Q3638" s="2" t="n">
        <v>21</v>
      </c>
      <c r="R3638" s="2" t="n">
        <v>3</v>
      </c>
      <c r="S3638" s="2" t="n">
        <v>20</v>
      </c>
      <c r="T3638" s="2" t="n">
        <v>2</v>
      </c>
      <c r="U3638" s="2" t="n">
        <v>10</v>
      </c>
      <c r="V3638" s="2" t="n">
        <v>3</v>
      </c>
      <c r="W3638" s="2" t="n">
        <v>3</v>
      </c>
      <c r="X3638" s="2" t="n">
        <v>2</v>
      </c>
      <c r="Y3638" s="2" t="n">
        <v>2</v>
      </c>
      <c r="Z3638" s="2" t="n">
        <v>3</v>
      </c>
    </row>
    <row r="3639" customFormat="false" ht="15" hidden="false" customHeight="true" outlineLevel="0" collapsed="false">
      <c r="A3639" s="2" t="n">
        <v>55</v>
      </c>
      <c r="B3639" s="2" t="s">
        <v>26</v>
      </c>
      <c r="C3639" s="2" t="s">
        <v>27</v>
      </c>
      <c r="D3639" s="2" t="s">
        <v>28</v>
      </c>
      <c r="E3639" s="2" t="n">
        <v>11</v>
      </c>
      <c r="F3639" s="2" t="n">
        <v>3</v>
      </c>
      <c r="G3639" s="2" t="s">
        <v>51</v>
      </c>
      <c r="H3639" s="2" t="n">
        <v>3638</v>
      </c>
      <c r="I3639" s="2" t="s">
        <v>39</v>
      </c>
      <c r="J3639" s="2" t="n">
        <v>2</v>
      </c>
      <c r="K3639" s="2" t="s">
        <v>47</v>
      </c>
      <c r="L3639" s="2" t="s">
        <v>32</v>
      </c>
      <c r="M3639" s="2" t="n">
        <v>83810</v>
      </c>
      <c r="N3639" s="2" t="n">
        <v>4</v>
      </c>
      <c r="O3639" s="2" t="n">
        <v>15</v>
      </c>
      <c r="P3639" s="2" t="n">
        <v>1</v>
      </c>
      <c r="Q3639" s="2" t="n">
        <v>23</v>
      </c>
      <c r="R3639" s="2" t="n">
        <v>3</v>
      </c>
      <c r="S3639" s="2" t="n">
        <v>19</v>
      </c>
      <c r="T3639" s="2" t="n">
        <v>9</v>
      </c>
      <c r="U3639" s="2" t="n">
        <v>11</v>
      </c>
      <c r="V3639" s="2" t="n">
        <v>4</v>
      </c>
      <c r="W3639" s="2" t="n">
        <v>3</v>
      </c>
      <c r="X3639" s="2" t="n">
        <v>3</v>
      </c>
      <c r="Y3639" s="2" t="n">
        <v>3</v>
      </c>
      <c r="Z3639" s="2" t="n">
        <v>3</v>
      </c>
    </row>
    <row r="3640" customFormat="false" ht="15" hidden="false" customHeight="true" outlineLevel="0" collapsed="false">
      <c r="A3640" s="2" t="n">
        <v>56</v>
      </c>
      <c r="B3640" s="2" t="s">
        <v>26</v>
      </c>
      <c r="C3640" s="2" t="s">
        <v>27</v>
      </c>
      <c r="D3640" s="2" t="s">
        <v>28</v>
      </c>
      <c r="E3640" s="2" t="n">
        <v>3</v>
      </c>
      <c r="F3640" s="2" t="n">
        <v>2</v>
      </c>
      <c r="G3640" s="2" t="s">
        <v>43</v>
      </c>
      <c r="H3640" s="2" t="n">
        <v>3639</v>
      </c>
      <c r="I3640" s="2" t="s">
        <v>30</v>
      </c>
      <c r="J3640" s="2" t="n">
        <v>3</v>
      </c>
      <c r="K3640" s="2" t="s">
        <v>47</v>
      </c>
      <c r="L3640" s="2" t="s">
        <v>37</v>
      </c>
      <c r="M3640" s="2" t="n">
        <v>26910</v>
      </c>
      <c r="N3640" s="2" t="n">
        <v>6</v>
      </c>
      <c r="O3640" s="2" t="n">
        <v>16</v>
      </c>
      <c r="P3640" s="2" t="n">
        <v>1</v>
      </c>
      <c r="Q3640" s="2" t="n">
        <v>36</v>
      </c>
      <c r="R3640" s="2" t="n">
        <v>6</v>
      </c>
      <c r="S3640" s="2" t="n">
        <v>7</v>
      </c>
      <c r="T3640" s="2" t="n">
        <v>7</v>
      </c>
      <c r="U3640" s="2" t="n">
        <v>7</v>
      </c>
      <c r="V3640" s="2" t="n">
        <v>4</v>
      </c>
      <c r="W3640" s="2" t="n">
        <v>2</v>
      </c>
      <c r="X3640" s="2" t="n">
        <v>3</v>
      </c>
      <c r="Y3640" s="2" t="n">
        <v>3</v>
      </c>
      <c r="Z3640" s="2" t="n">
        <v>3</v>
      </c>
    </row>
    <row r="3641" customFormat="false" ht="15" hidden="false" customHeight="true" outlineLevel="0" collapsed="false">
      <c r="A3641" s="2" t="n">
        <v>40</v>
      </c>
      <c r="B3641" s="2" t="s">
        <v>26</v>
      </c>
      <c r="C3641" s="2" t="s">
        <v>41</v>
      </c>
      <c r="D3641" s="2" t="s">
        <v>35</v>
      </c>
      <c r="E3641" s="2" t="n">
        <v>1</v>
      </c>
      <c r="F3641" s="2" t="n">
        <v>1</v>
      </c>
      <c r="G3641" s="2" t="s">
        <v>29</v>
      </c>
      <c r="H3641" s="2" t="n">
        <v>3640</v>
      </c>
      <c r="I3641" s="2" t="s">
        <v>39</v>
      </c>
      <c r="J3641" s="2" t="n">
        <v>1</v>
      </c>
      <c r="K3641" s="2" t="s">
        <v>45</v>
      </c>
      <c r="L3641" s="2" t="s">
        <v>46</v>
      </c>
      <c r="M3641" s="2" t="n">
        <v>42860</v>
      </c>
      <c r="N3641" s="2" t="n">
        <v>9</v>
      </c>
      <c r="O3641" s="2" t="n">
        <v>15</v>
      </c>
      <c r="P3641" s="2" t="n">
        <v>0</v>
      </c>
      <c r="Q3641" s="2" t="n">
        <v>6</v>
      </c>
      <c r="R3641" s="2" t="n">
        <v>6</v>
      </c>
      <c r="S3641" s="2" t="n">
        <v>4</v>
      </c>
      <c r="T3641" s="2" t="n">
        <v>0</v>
      </c>
      <c r="U3641" s="2" t="n">
        <v>0</v>
      </c>
      <c r="V3641" s="2" t="n">
        <v>3</v>
      </c>
      <c r="W3641" s="2" t="n">
        <v>3</v>
      </c>
      <c r="X3641" s="2" t="n">
        <v>3</v>
      </c>
      <c r="Y3641" s="2" t="n">
        <v>3</v>
      </c>
      <c r="Z3641" s="2" t="n">
        <v>3</v>
      </c>
    </row>
    <row r="3642" customFormat="false" ht="15" hidden="false" customHeight="true" outlineLevel="0" collapsed="false">
      <c r="A3642" s="2" t="n">
        <v>34</v>
      </c>
      <c r="B3642" s="2" t="s">
        <v>26</v>
      </c>
      <c r="C3642" s="2" t="s">
        <v>27</v>
      </c>
      <c r="D3642" s="2" t="s">
        <v>35</v>
      </c>
      <c r="E3642" s="2" t="n">
        <v>3</v>
      </c>
      <c r="F3642" s="2" t="n">
        <v>2</v>
      </c>
      <c r="G3642" s="2" t="s">
        <v>51</v>
      </c>
      <c r="H3642" s="2" t="n">
        <v>3641</v>
      </c>
      <c r="I3642" s="2" t="s">
        <v>39</v>
      </c>
      <c r="J3642" s="2" t="n">
        <v>2</v>
      </c>
      <c r="K3642" s="2" t="s">
        <v>44</v>
      </c>
      <c r="L3642" s="2" t="s">
        <v>46</v>
      </c>
      <c r="M3642" s="2" t="n">
        <v>26590</v>
      </c>
      <c r="N3642" s="2" t="n">
        <v>0</v>
      </c>
      <c r="O3642" s="2" t="n">
        <v>24</v>
      </c>
      <c r="P3642" s="2" t="n">
        <v>3</v>
      </c>
      <c r="Q3642" s="2" t="n">
        <v>10</v>
      </c>
      <c r="R3642" s="2" t="n">
        <v>2</v>
      </c>
      <c r="S3642" s="2" t="n">
        <v>9</v>
      </c>
      <c r="T3642" s="2" t="n">
        <v>1</v>
      </c>
      <c r="U3642" s="2" t="n">
        <v>6</v>
      </c>
      <c r="V3642" s="2" t="n">
        <v>4</v>
      </c>
      <c r="W3642" s="2" t="n">
        <v>4</v>
      </c>
      <c r="X3642" s="2" t="n">
        <v>2</v>
      </c>
      <c r="Y3642" s="2" t="n">
        <v>3</v>
      </c>
      <c r="Z3642" s="2" t="n">
        <v>4</v>
      </c>
    </row>
    <row r="3643" customFormat="false" ht="15" hidden="false" customHeight="true" outlineLevel="0" collapsed="false">
      <c r="A3643" s="2" t="n">
        <v>40</v>
      </c>
      <c r="B3643" s="2" t="s">
        <v>26</v>
      </c>
      <c r="C3643" s="2" t="s">
        <v>27</v>
      </c>
      <c r="D3643" s="2" t="s">
        <v>28</v>
      </c>
      <c r="E3643" s="2" t="n">
        <v>4</v>
      </c>
      <c r="F3643" s="2" t="n">
        <v>3</v>
      </c>
      <c r="G3643" s="2" t="s">
        <v>43</v>
      </c>
      <c r="H3643" s="2" t="n">
        <v>3642</v>
      </c>
      <c r="I3643" s="2" t="s">
        <v>39</v>
      </c>
      <c r="J3643" s="2" t="n">
        <v>2</v>
      </c>
      <c r="K3643" s="2" t="s">
        <v>40</v>
      </c>
      <c r="L3643" s="2" t="s">
        <v>37</v>
      </c>
      <c r="M3643" s="2" t="n">
        <v>94340</v>
      </c>
      <c r="N3643" s="2" t="n">
        <v>1</v>
      </c>
      <c r="O3643" s="2" t="n">
        <v>13</v>
      </c>
      <c r="P3643" s="2" t="n">
        <v>1</v>
      </c>
      <c r="Q3643" s="2" t="n">
        <v>9</v>
      </c>
      <c r="R3643" s="2" t="n">
        <v>3</v>
      </c>
      <c r="S3643" s="2" t="n">
        <v>9</v>
      </c>
      <c r="T3643" s="2" t="n">
        <v>8</v>
      </c>
      <c r="U3643" s="2" t="n">
        <v>8</v>
      </c>
      <c r="V3643" s="2" t="n">
        <v>3</v>
      </c>
      <c r="W3643" s="2" t="n">
        <v>4</v>
      </c>
      <c r="X3643" s="2" t="n">
        <v>3</v>
      </c>
      <c r="Y3643" s="2" t="n">
        <v>2</v>
      </c>
      <c r="Z3643" s="2" t="n">
        <v>3</v>
      </c>
    </row>
    <row r="3644" customFormat="false" ht="15" hidden="false" customHeight="true" outlineLevel="0" collapsed="false">
      <c r="A3644" s="2" t="n">
        <v>41</v>
      </c>
      <c r="B3644" s="2" t="s">
        <v>26</v>
      </c>
      <c r="C3644" s="2" t="s">
        <v>34</v>
      </c>
      <c r="D3644" s="2" t="s">
        <v>28</v>
      </c>
      <c r="E3644" s="2" t="n">
        <v>1</v>
      </c>
      <c r="F3644" s="2" t="n">
        <v>4</v>
      </c>
      <c r="G3644" s="2" t="s">
        <v>38</v>
      </c>
      <c r="H3644" s="2" t="n">
        <v>3643</v>
      </c>
      <c r="I3644" s="2" t="s">
        <v>30</v>
      </c>
      <c r="J3644" s="2" t="n">
        <v>2</v>
      </c>
      <c r="K3644" s="2" t="s">
        <v>31</v>
      </c>
      <c r="L3644" s="2" t="s">
        <v>46</v>
      </c>
      <c r="M3644" s="2" t="n">
        <v>55610</v>
      </c>
      <c r="N3644" s="2" t="n">
        <v>0</v>
      </c>
      <c r="O3644" s="2" t="n">
        <v>11</v>
      </c>
      <c r="P3644" s="2" t="n">
        <v>0</v>
      </c>
      <c r="Q3644" s="2" t="n">
        <v>10</v>
      </c>
      <c r="R3644" s="2" t="n">
        <v>2</v>
      </c>
      <c r="S3644" s="2" t="n">
        <v>9</v>
      </c>
      <c r="T3644" s="2" t="n">
        <v>1</v>
      </c>
      <c r="U3644" s="2" t="n">
        <v>7</v>
      </c>
      <c r="V3644" s="2" t="n">
        <v>3</v>
      </c>
      <c r="W3644" s="2" t="n">
        <v>1</v>
      </c>
      <c r="X3644" s="2" t="n">
        <v>3</v>
      </c>
      <c r="Y3644" s="2" t="n">
        <v>2</v>
      </c>
      <c r="Z3644" s="2" t="n">
        <v>3</v>
      </c>
    </row>
    <row r="3645" customFormat="false" ht="15" hidden="false" customHeight="true" outlineLevel="0" collapsed="false">
      <c r="A3645" s="2" t="n">
        <v>35</v>
      </c>
      <c r="B3645" s="2" t="s">
        <v>26</v>
      </c>
      <c r="C3645" s="2" t="s">
        <v>34</v>
      </c>
      <c r="D3645" s="2" t="s">
        <v>28</v>
      </c>
      <c r="E3645" s="2" t="n">
        <v>1</v>
      </c>
      <c r="F3645" s="2" t="n">
        <v>2</v>
      </c>
      <c r="G3645" s="2" t="s">
        <v>51</v>
      </c>
      <c r="H3645" s="2" t="n">
        <v>3644</v>
      </c>
      <c r="I3645" s="2" t="s">
        <v>39</v>
      </c>
      <c r="J3645" s="2" t="n">
        <v>2</v>
      </c>
      <c r="K3645" s="2" t="s">
        <v>49</v>
      </c>
      <c r="L3645" s="2" t="s">
        <v>37</v>
      </c>
      <c r="M3645" s="2" t="n">
        <v>66460</v>
      </c>
      <c r="N3645" s="2" t="n">
        <v>1</v>
      </c>
      <c r="O3645" s="2" t="n">
        <v>13</v>
      </c>
      <c r="P3645" s="2" t="n">
        <v>1</v>
      </c>
      <c r="Q3645" s="2" t="n">
        <v>9</v>
      </c>
      <c r="R3645" s="2" t="n">
        <v>2</v>
      </c>
      <c r="S3645" s="2" t="n">
        <v>9</v>
      </c>
      <c r="T3645" s="2" t="n">
        <v>1</v>
      </c>
      <c r="U3645" s="2" t="n">
        <v>1</v>
      </c>
      <c r="V3645" s="2" t="n">
        <v>3</v>
      </c>
      <c r="W3645" s="2" t="n">
        <v>3</v>
      </c>
      <c r="X3645" s="2" t="n">
        <v>3</v>
      </c>
      <c r="Y3645" s="2" t="n">
        <v>2</v>
      </c>
      <c r="Z3645" s="2" t="n">
        <v>3</v>
      </c>
    </row>
    <row r="3646" customFormat="false" ht="15" hidden="false" customHeight="true" outlineLevel="0" collapsed="false">
      <c r="A3646" s="2" t="n">
        <v>51</v>
      </c>
      <c r="B3646" s="2" t="s">
        <v>26</v>
      </c>
      <c r="C3646" s="2" t="s">
        <v>27</v>
      </c>
      <c r="D3646" s="2" t="s">
        <v>28</v>
      </c>
      <c r="E3646" s="2" t="n">
        <v>18</v>
      </c>
      <c r="F3646" s="2" t="n">
        <v>2</v>
      </c>
      <c r="G3646" s="2" t="s">
        <v>29</v>
      </c>
      <c r="H3646" s="2" t="n">
        <v>3645</v>
      </c>
      <c r="I3646" s="2" t="s">
        <v>39</v>
      </c>
      <c r="J3646" s="2" t="n">
        <v>4</v>
      </c>
      <c r="K3646" s="2" t="s">
        <v>47</v>
      </c>
      <c r="L3646" s="2" t="s">
        <v>46</v>
      </c>
      <c r="M3646" s="2" t="n">
        <v>77250</v>
      </c>
      <c r="N3646" s="2" t="n">
        <v>1</v>
      </c>
      <c r="O3646" s="2" t="n">
        <v>13</v>
      </c>
      <c r="P3646" s="2" t="n">
        <v>1</v>
      </c>
      <c r="Q3646" s="2" t="n">
        <v>33</v>
      </c>
      <c r="R3646" s="2" t="n">
        <v>2</v>
      </c>
      <c r="S3646" s="2" t="n">
        <v>33</v>
      </c>
      <c r="T3646" s="2" t="n">
        <v>0</v>
      </c>
      <c r="U3646" s="2" t="n">
        <v>10</v>
      </c>
      <c r="V3646" s="2" t="n">
        <v>3</v>
      </c>
      <c r="W3646" s="2" t="n">
        <v>2</v>
      </c>
      <c r="X3646" s="2" t="n">
        <v>3</v>
      </c>
      <c r="Y3646" s="2" t="n">
        <v>3</v>
      </c>
      <c r="Z3646" s="2" t="n">
        <v>3</v>
      </c>
    </row>
    <row r="3647" customFormat="false" ht="15" hidden="false" customHeight="true" outlineLevel="0" collapsed="false">
      <c r="A3647" s="2" t="n">
        <v>38</v>
      </c>
      <c r="B3647" s="2" t="s">
        <v>26</v>
      </c>
      <c r="C3647" s="2" t="s">
        <v>27</v>
      </c>
      <c r="D3647" s="2" t="s">
        <v>28</v>
      </c>
      <c r="E3647" s="2" t="n">
        <v>2</v>
      </c>
      <c r="F3647" s="2" t="n">
        <v>4</v>
      </c>
      <c r="G3647" s="2" t="s">
        <v>29</v>
      </c>
      <c r="H3647" s="2" t="n">
        <v>3646</v>
      </c>
      <c r="I3647" s="2" t="s">
        <v>30</v>
      </c>
      <c r="J3647" s="2" t="n">
        <v>1</v>
      </c>
      <c r="K3647" s="2" t="s">
        <v>36</v>
      </c>
      <c r="L3647" s="2" t="s">
        <v>46</v>
      </c>
      <c r="M3647" s="2" t="n">
        <v>107250</v>
      </c>
      <c r="N3647" s="2" t="n">
        <v>3</v>
      </c>
      <c r="O3647" s="2" t="n">
        <v>18</v>
      </c>
      <c r="P3647" s="2" t="n">
        <v>0</v>
      </c>
      <c r="Q3647" s="2" t="n">
        <v>11</v>
      </c>
      <c r="R3647" s="2" t="n">
        <v>5</v>
      </c>
      <c r="S3647" s="2" t="n">
        <v>7</v>
      </c>
      <c r="T3647" s="2" t="n">
        <v>1</v>
      </c>
      <c r="U3647" s="2" t="n">
        <v>7</v>
      </c>
      <c r="V3647" s="2" t="n">
        <v>2</v>
      </c>
      <c r="W3647" s="2" t="n">
        <v>1</v>
      </c>
      <c r="X3647" s="2" t="n">
        <v>3</v>
      </c>
      <c r="Y3647" s="2" t="n">
        <v>2</v>
      </c>
      <c r="Z3647" s="2" t="n">
        <v>3</v>
      </c>
    </row>
    <row r="3648" customFormat="false" ht="15" hidden="false" customHeight="true" outlineLevel="0" collapsed="false">
      <c r="A3648" s="2" t="n">
        <v>34</v>
      </c>
      <c r="B3648" s="2" t="s">
        <v>26</v>
      </c>
      <c r="C3648" s="2" t="s">
        <v>27</v>
      </c>
      <c r="D3648" s="2" t="s">
        <v>28</v>
      </c>
      <c r="E3648" s="2" t="n">
        <v>4</v>
      </c>
      <c r="F3648" s="2" t="n">
        <v>3</v>
      </c>
      <c r="G3648" s="2" t="s">
        <v>29</v>
      </c>
      <c r="H3648" s="2" t="n">
        <v>3647</v>
      </c>
      <c r="I3648" s="2" t="s">
        <v>39</v>
      </c>
      <c r="J3648" s="2" t="n">
        <v>2</v>
      </c>
      <c r="K3648" s="2" t="s">
        <v>36</v>
      </c>
      <c r="L3648" s="2" t="s">
        <v>37</v>
      </c>
      <c r="M3648" s="2" t="n">
        <v>88470</v>
      </c>
      <c r="N3648" s="2" t="n">
        <v>1</v>
      </c>
      <c r="O3648" s="2" t="n">
        <v>16</v>
      </c>
      <c r="P3648" s="2" t="n">
        <v>0</v>
      </c>
      <c r="Q3648" s="2" t="n">
        <v>10</v>
      </c>
      <c r="R3648" s="2" t="n">
        <v>3</v>
      </c>
      <c r="S3648" s="2" t="n">
        <v>10</v>
      </c>
      <c r="T3648" s="2" t="n">
        <v>9</v>
      </c>
      <c r="U3648" s="2" t="n">
        <v>6</v>
      </c>
      <c r="V3648" s="2" t="n">
        <v>3</v>
      </c>
      <c r="W3648" s="2" t="n">
        <v>1</v>
      </c>
      <c r="X3648" s="2" t="n">
        <v>4</v>
      </c>
      <c r="Y3648" s="2" t="n">
        <v>4</v>
      </c>
      <c r="Z3648" s="2" t="n">
        <v>3</v>
      </c>
    </row>
    <row r="3649" customFormat="false" ht="15" hidden="false" customHeight="true" outlineLevel="0" collapsed="false">
      <c r="A3649" s="2" t="n">
        <v>25</v>
      </c>
      <c r="B3649" s="2" t="s">
        <v>26</v>
      </c>
      <c r="C3649" s="2" t="s">
        <v>27</v>
      </c>
      <c r="D3649" s="2" t="s">
        <v>35</v>
      </c>
      <c r="E3649" s="2" t="n">
        <v>6</v>
      </c>
      <c r="F3649" s="2" t="n">
        <v>2</v>
      </c>
      <c r="G3649" s="2" t="s">
        <v>43</v>
      </c>
      <c r="H3649" s="2" t="n">
        <v>3648</v>
      </c>
      <c r="I3649" s="2" t="s">
        <v>30</v>
      </c>
      <c r="J3649" s="2" t="n">
        <v>4</v>
      </c>
      <c r="K3649" s="2" t="s">
        <v>36</v>
      </c>
      <c r="L3649" s="2" t="s">
        <v>32</v>
      </c>
      <c r="M3649" s="2" t="n">
        <v>20450</v>
      </c>
      <c r="N3649" s="2" t="n">
        <v>3</v>
      </c>
      <c r="O3649" s="2" t="n">
        <v>19</v>
      </c>
      <c r="P3649" s="2" t="n">
        <v>0</v>
      </c>
      <c r="Q3649" s="2" t="n">
        <v>7</v>
      </c>
      <c r="R3649" s="2" t="n">
        <v>3</v>
      </c>
      <c r="S3649" s="2" t="n">
        <v>3</v>
      </c>
      <c r="T3649" s="2" t="n">
        <v>1</v>
      </c>
      <c r="U3649" s="2" t="n">
        <v>2</v>
      </c>
      <c r="V3649" s="2" t="n">
        <v>4</v>
      </c>
      <c r="W3649" s="2" t="n">
        <v>4</v>
      </c>
      <c r="X3649" s="2" t="n">
        <v>2</v>
      </c>
      <c r="Y3649" s="2" t="n">
        <v>3</v>
      </c>
      <c r="Z3649" s="2" t="n">
        <v>3</v>
      </c>
    </row>
    <row r="3650" customFormat="false" ht="15" hidden="false" customHeight="true" outlineLevel="0" collapsed="false">
      <c r="A3650" s="2" t="n">
        <v>58</v>
      </c>
      <c r="B3650" s="2" t="s">
        <v>33</v>
      </c>
      <c r="C3650" s="2" t="s">
        <v>27</v>
      </c>
      <c r="D3650" s="2" t="s">
        <v>28</v>
      </c>
      <c r="E3650" s="2" t="n">
        <v>1</v>
      </c>
      <c r="F3650" s="2" t="n">
        <v>4</v>
      </c>
      <c r="G3650" s="2" t="s">
        <v>51</v>
      </c>
      <c r="H3650" s="2" t="n">
        <v>3649</v>
      </c>
      <c r="I3650" s="2" t="s">
        <v>39</v>
      </c>
      <c r="J3650" s="2" t="n">
        <v>2</v>
      </c>
      <c r="K3650" s="2" t="s">
        <v>40</v>
      </c>
      <c r="L3650" s="2" t="s">
        <v>32</v>
      </c>
      <c r="M3650" s="2" t="n">
        <v>10090</v>
      </c>
      <c r="N3650" s="2" t="n">
        <v>7</v>
      </c>
      <c r="O3650" s="2" t="n">
        <v>13</v>
      </c>
      <c r="P3650" s="2" t="n">
        <v>2</v>
      </c>
      <c r="Q3650" s="2" t="n">
        <v>31</v>
      </c>
      <c r="R3650" s="2" t="n">
        <v>3</v>
      </c>
      <c r="S3650" s="2" t="n">
        <v>10</v>
      </c>
      <c r="T3650" s="2" t="n">
        <v>5</v>
      </c>
      <c r="U3650" s="2" t="n">
        <v>9</v>
      </c>
      <c r="V3650" s="2" t="n">
        <v>3</v>
      </c>
      <c r="W3650" s="2" t="n">
        <v>1</v>
      </c>
      <c r="X3650" s="2" t="n">
        <v>2</v>
      </c>
      <c r="Y3650" s="2" t="n">
        <v>4</v>
      </c>
      <c r="Z3650" s="2" t="n">
        <v>3</v>
      </c>
    </row>
    <row r="3651" customFormat="false" ht="15" hidden="false" customHeight="true" outlineLevel="0" collapsed="false">
      <c r="A3651" s="2" t="n">
        <v>40</v>
      </c>
      <c r="B3651" s="2" t="s">
        <v>26</v>
      </c>
      <c r="C3651" s="2" t="s">
        <v>27</v>
      </c>
      <c r="D3651" s="2" t="s">
        <v>35</v>
      </c>
      <c r="E3651" s="2" t="n">
        <v>14</v>
      </c>
      <c r="F3651" s="2" t="n">
        <v>4</v>
      </c>
      <c r="G3651" s="2" t="s">
        <v>43</v>
      </c>
      <c r="H3651" s="2" t="n">
        <v>3650</v>
      </c>
      <c r="I3651" s="2" t="s">
        <v>30</v>
      </c>
      <c r="J3651" s="2" t="n">
        <v>1</v>
      </c>
      <c r="K3651" s="2" t="s">
        <v>36</v>
      </c>
      <c r="L3651" s="2" t="s">
        <v>32</v>
      </c>
      <c r="M3651" s="2" t="n">
        <v>33480</v>
      </c>
      <c r="N3651" s="2" t="n">
        <v>3</v>
      </c>
      <c r="O3651" s="2" t="n">
        <v>22</v>
      </c>
      <c r="P3651" s="2" t="n">
        <v>0</v>
      </c>
      <c r="Q3651" s="2" t="n">
        <v>7</v>
      </c>
      <c r="R3651" s="2" t="n">
        <v>2</v>
      </c>
      <c r="S3651" s="2" t="n">
        <v>4</v>
      </c>
      <c r="T3651" s="2" t="n">
        <v>0</v>
      </c>
      <c r="U3651" s="2" t="n">
        <v>3</v>
      </c>
      <c r="V3651" s="2" t="n">
        <v>2</v>
      </c>
      <c r="W3651" s="2" t="n">
        <v>2</v>
      </c>
      <c r="X3651" s="2" t="n">
        <v>3</v>
      </c>
      <c r="Y3651" s="2" t="n">
        <v>1</v>
      </c>
      <c r="Z3651" s="2" t="n">
        <v>4</v>
      </c>
    </row>
    <row r="3652" customFormat="false" ht="15" hidden="false" customHeight="true" outlineLevel="0" collapsed="false">
      <c r="A3652" s="2" t="n">
        <v>36</v>
      </c>
      <c r="B3652" s="2" t="s">
        <v>26</v>
      </c>
      <c r="C3652" s="2" t="s">
        <v>34</v>
      </c>
      <c r="D3652" s="2" t="s">
        <v>28</v>
      </c>
      <c r="E3652" s="2" t="n">
        <v>16</v>
      </c>
      <c r="F3652" s="2" t="n">
        <v>2</v>
      </c>
      <c r="G3652" s="2" t="s">
        <v>29</v>
      </c>
      <c r="H3652" s="2" t="n">
        <v>3651</v>
      </c>
      <c r="I3652" s="2" t="s">
        <v>39</v>
      </c>
      <c r="J3652" s="2" t="n">
        <v>1</v>
      </c>
      <c r="K3652" s="2" t="s">
        <v>36</v>
      </c>
      <c r="L3652" s="2" t="s">
        <v>32</v>
      </c>
      <c r="M3652" s="2" t="n">
        <v>12810</v>
      </c>
      <c r="N3652" s="2" t="n">
        <v>2</v>
      </c>
      <c r="O3652" s="2" t="n">
        <v>11</v>
      </c>
      <c r="P3652" s="2" t="n">
        <v>0</v>
      </c>
      <c r="Q3652" s="2" t="n">
        <v>17</v>
      </c>
      <c r="R3652" s="2" t="n">
        <v>2</v>
      </c>
      <c r="S3652" s="2" t="n">
        <v>15</v>
      </c>
      <c r="T3652" s="2" t="n">
        <v>6</v>
      </c>
      <c r="U3652" s="2" t="n">
        <v>13</v>
      </c>
      <c r="V3652" s="2" t="n">
        <v>1</v>
      </c>
      <c r="W3652" s="2" t="n">
        <v>1</v>
      </c>
      <c r="X3652" s="2" t="n">
        <v>2</v>
      </c>
      <c r="Y3652" s="2" t="n">
        <v>3</v>
      </c>
      <c r="Z3652" s="2" t="n">
        <v>3</v>
      </c>
    </row>
    <row r="3653" customFormat="false" ht="15" hidden="false" customHeight="true" outlineLevel="0" collapsed="false">
      <c r="A3653" s="2" t="n">
        <v>48</v>
      </c>
      <c r="B3653" s="2" t="s">
        <v>26</v>
      </c>
      <c r="C3653" s="2" t="s">
        <v>27</v>
      </c>
      <c r="D3653" s="2" t="s">
        <v>35</v>
      </c>
      <c r="E3653" s="2" t="n">
        <v>2</v>
      </c>
      <c r="F3653" s="2" t="n">
        <v>1</v>
      </c>
      <c r="G3653" s="2" t="s">
        <v>29</v>
      </c>
      <c r="H3653" s="2" t="n">
        <v>3652</v>
      </c>
      <c r="I3653" s="2" t="s">
        <v>39</v>
      </c>
      <c r="J3653" s="2" t="n">
        <v>2</v>
      </c>
      <c r="K3653" s="2" t="s">
        <v>36</v>
      </c>
      <c r="L3653" s="2" t="s">
        <v>37</v>
      </c>
      <c r="M3653" s="2" t="n">
        <v>28190</v>
      </c>
      <c r="N3653" s="2" t="n">
        <v>1</v>
      </c>
      <c r="O3653" s="2" t="n">
        <v>20</v>
      </c>
      <c r="P3653" s="2" t="n">
        <v>0</v>
      </c>
      <c r="Q3653" s="2" t="n">
        <v>11</v>
      </c>
      <c r="R3653" s="2" t="n">
        <v>2</v>
      </c>
      <c r="S3653" s="2" t="n">
        <v>10</v>
      </c>
      <c r="T3653" s="2" t="n">
        <v>0</v>
      </c>
      <c r="U3653" s="2" t="n">
        <v>8</v>
      </c>
      <c r="V3653" s="2" t="n">
        <v>4</v>
      </c>
      <c r="W3653" s="2" t="n">
        <v>4</v>
      </c>
      <c r="X3653" s="2" t="n">
        <v>3</v>
      </c>
      <c r="Y3653" s="2" t="n">
        <v>2</v>
      </c>
      <c r="Z3653" s="2" t="n">
        <v>4</v>
      </c>
    </row>
    <row r="3654" customFormat="false" ht="15" hidden="false" customHeight="true" outlineLevel="0" collapsed="false">
      <c r="A3654" s="2" t="n">
        <v>27</v>
      </c>
      <c r="B3654" s="2" t="s">
        <v>26</v>
      </c>
      <c r="C3654" s="2" t="s">
        <v>27</v>
      </c>
      <c r="D3654" s="2" t="s">
        <v>35</v>
      </c>
      <c r="E3654" s="2" t="n">
        <v>2</v>
      </c>
      <c r="F3654" s="2" t="n">
        <v>3</v>
      </c>
      <c r="G3654" s="2" t="s">
        <v>29</v>
      </c>
      <c r="H3654" s="2" t="n">
        <v>3653</v>
      </c>
      <c r="I3654" s="2" t="s">
        <v>30</v>
      </c>
      <c r="J3654" s="2" t="n">
        <v>2</v>
      </c>
      <c r="K3654" s="2" t="s">
        <v>45</v>
      </c>
      <c r="L3654" s="2" t="s">
        <v>32</v>
      </c>
      <c r="M3654" s="2" t="n">
        <v>48510</v>
      </c>
      <c r="N3654" s="2" t="n">
        <v>8</v>
      </c>
      <c r="O3654" s="2" t="n">
        <v>18</v>
      </c>
      <c r="P3654" s="2" t="n">
        <v>0</v>
      </c>
      <c r="Q3654" s="2" t="n">
        <v>5</v>
      </c>
      <c r="R3654" s="2" t="n">
        <v>2</v>
      </c>
      <c r="S3654" s="2" t="n">
        <v>1</v>
      </c>
      <c r="T3654" s="2" t="n">
        <v>0</v>
      </c>
      <c r="U3654" s="2" t="n">
        <v>0</v>
      </c>
      <c r="V3654" s="2" t="n">
        <v>3</v>
      </c>
      <c r="W3654" s="2" t="n">
        <v>4</v>
      </c>
      <c r="X3654" s="2" t="n">
        <v>3</v>
      </c>
      <c r="Y3654" s="2" t="n">
        <v>3</v>
      </c>
      <c r="Z3654" s="2" t="n">
        <v>3</v>
      </c>
    </row>
    <row r="3655" customFormat="false" ht="15" hidden="false" customHeight="true" outlineLevel="0" collapsed="false">
      <c r="A3655" s="2" t="n">
        <v>51</v>
      </c>
      <c r="B3655" s="2" t="s">
        <v>26</v>
      </c>
      <c r="C3655" s="2" t="s">
        <v>27</v>
      </c>
      <c r="D3655" s="2" t="s">
        <v>35</v>
      </c>
      <c r="E3655" s="2" t="n">
        <v>4</v>
      </c>
      <c r="F3655" s="2" t="n">
        <v>1</v>
      </c>
      <c r="G3655" s="2" t="s">
        <v>43</v>
      </c>
      <c r="H3655" s="2" t="n">
        <v>3654</v>
      </c>
      <c r="I3655" s="2" t="s">
        <v>30</v>
      </c>
      <c r="J3655" s="2" t="n">
        <v>3</v>
      </c>
      <c r="K3655" s="2" t="s">
        <v>47</v>
      </c>
      <c r="L3655" s="2" t="s">
        <v>37</v>
      </c>
      <c r="M3655" s="2" t="n">
        <v>40280</v>
      </c>
      <c r="N3655" s="2" t="n">
        <v>3</v>
      </c>
      <c r="O3655" s="2" t="n">
        <v>14</v>
      </c>
      <c r="P3655" s="2" t="n">
        <v>0</v>
      </c>
      <c r="Q3655" s="2" t="n">
        <v>29</v>
      </c>
      <c r="R3655" s="2" t="n">
        <v>3</v>
      </c>
      <c r="S3655" s="2" t="n">
        <v>5</v>
      </c>
      <c r="T3655" s="2" t="n">
        <v>0</v>
      </c>
      <c r="U3655" s="2" t="n">
        <v>3</v>
      </c>
      <c r="V3655" s="2" t="n">
        <v>4</v>
      </c>
      <c r="W3655" s="2" t="n">
        <v>2</v>
      </c>
      <c r="X3655" s="2" t="n">
        <v>2</v>
      </c>
      <c r="Y3655" s="2" t="n">
        <v>3</v>
      </c>
      <c r="Z3655" s="2" t="n">
        <v>3</v>
      </c>
    </row>
    <row r="3656" customFormat="false" ht="15" hidden="false" customHeight="true" outlineLevel="0" collapsed="false">
      <c r="A3656" s="2" t="n">
        <v>18</v>
      </c>
      <c r="B3656" s="2" t="s">
        <v>26</v>
      </c>
      <c r="C3656" s="2" t="s">
        <v>41</v>
      </c>
      <c r="D3656" s="2" t="s">
        <v>35</v>
      </c>
      <c r="E3656" s="2" t="n">
        <v>1</v>
      </c>
      <c r="F3656" s="2" t="n">
        <v>4</v>
      </c>
      <c r="G3656" s="2" t="s">
        <v>43</v>
      </c>
      <c r="H3656" s="2" t="n">
        <v>3655</v>
      </c>
      <c r="I3656" s="2" t="s">
        <v>39</v>
      </c>
      <c r="J3656" s="2" t="n">
        <v>2</v>
      </c>
      <c r="K3656" s="2" t="s">
        <v>40</v>
      </c>
      <c r="L3656" s="2" t="s">
        <v>37</v>
      </c>
      <c r="M3656" s="2" t="n">
        <v>27200</v>
      </c>
      <c r="N3656" s="2" t="n">
        <v>1</v>
      </c>
      <c r="O3656" s="2" t="n">
        <v>22</v>
      </c>
      <c r="P3656" s="2" t="n">
        <v>1</v>
      </c>
      <c r="Q3656" s="2" t="n">
        <v>0</v>
      </c>
      <c r="R3656" s="2" t="n">
        <v>2</v>
      </c>
      <c r="S3656" s="2" t="n">
        <v>0</v>
      </c>
      <c r="T3656" s="2" t="n">
        <v>0</v>
      </c>
      <c r="U3656" s="2" t="n">
        <v>0</v>
      </c>
      <c r="V3656" s="2" t="n">
        <v>4</v>
      </c>
      <c r="W3656" s="2" t="n">
        <v>4</v>
      </c>
      <c r="X3656" s="2"/>
      <c r="Y3656" s="2" t="n">
        <v>3</v>
      </c>
      <c r="Z3656" s="2" t="n">
        <v>4</v>
      </c>
    </row>
    <row r="3657" customFormat="false" ht="15" hidden="false" customHeight="true" outlineLevel="0" collapsed="false">
      <c r="A3657" s="2" t="n">
        <v>35</v>
      </c>
      <c r="B3657" s="2" t="s">
        <v>26</v>
      </c>
      <c r="C3657" s="2" t="s">
        <v>27</v>
      </c>
      <c r="D3657" s="2" t="s">
        <v>35</v>
      </c>
      <c r="E3657" s="2" t="n">
        <v>1</v>
      </c>
      <c r="F3657" s="2" t="n">
        <v>4</v>
      </c>
      <c r="G3657" s="2" t="s">
        <v>38</v>
      </c>
      <c r="H3657" s="2" t="n">
        <v>3656</v>
      </c>
      <c r="I3657" s="2" t="s">
        <v>30</v>
      </c>
      <c r="J3657" s="2" t="n">
        <v>2</v>
      </c>
      <c r="K3657" s="2" t="s">
        <v>44</v>
      </c>
      <c r="L3657" s="2" t="s">
        <v>32</v>
      </c>
      <c r="M3657" s="2" t="n">
        <v>81200</v>
      </c>
      <c r="N3657" s="2" t="n">
        <v>0</v>
      </c>
      <c r="O3657" s="2" t="n">
        <v>13</v>
      </c>
      <c r="P3657" s="2" t="n">
        <v>0</v>
      </c>
      <c r="Q3657" s="2" t="n">
        <v>10</v>
      </c>
      <c r="R3657" s="2" t="n">
        <v>2</v>
      </c>
      <c r="S3657" s="2" t="n">
        <v>9</v>
      </c>
      <c r="T3657" s="2" t="n">
        <v>0</v>
      </c>
      <c r="U3657" s="2" t="n">
        <v>0</v>
      </c>
      <c r="V3657" s="2" t="n">
        <v>4</v>
      </c>
      <c r="W3657" s="2" t="n">
        <v>4</v>
      </c>
      <c r="X3657" s="2" t="n">
        <v>3</v>
      </c>
      <c r="Y3657" s="2" t="n">
        <v>2</v>
      </c>
      <c r="Z3657" s="2" t="n">
        <v>3</v>
      </c>
    </row>
    <row r="3658" customFormat="false" ht="15" hidden="false" customHeight="true" outlineLevel="0" collapsed="false">
      <c r="A3658" s="2" t="n">
        <v>27</v>
      </c>
      <c r="B3658" s="2" t="s">
        <v>26</v>
      </c>
      <c r="C3658" s="2" t="s">
        <v>34</v>
      </c>
      <c r="D3658" s="2" t="s">
        <v>35</v>
      </c>
      <c r="E3658" s="2" t="n">
        <v>26</v>
      </c>
      <c r="F3658" s="2" t="n">
        <v>4</v>
      </c>
      <c r="G3658" s="2" t="s">
        <v>43</v>
      </c>
      <c r="H3658" s="2" t="n">
        <v>3657</v>
      </c>
      <c r="I3658" s="2" t="s">
        <v>30</v>
      </c>
      <c r="J3658" s="2" t="n">
        <v>1</v>
      </c>
      <c r="K3658" s="2" t="s">
        <v>44</v>
      </c>
      <c r="L3658" s="2" t="s">
        <v>37</v>
      </c>
      <c r="M3658" s="2" t="n">
        <v>46470</v>
      </c>
      <c r="N3658" s="2" t="n">
        <v>3</v>
      </c>
      <c r="O3658" s="2" t="n">
        <v>17</v>
      </c>
      <c r="P3658" s="2" t="n">
        <v>0</v>
      </c>
      <c r="Q3658" s="2" t="n">
        <v>8</v>
      </c>
      <c r="R3658" s="2" t="n">
        <v>3</v>
      </c>
      <c r="S3658" s="2" t="n">
        <v>6</v>
      </c>
      <c r="T3658" s="2" t="n">
        <v>0</v>
      </c>
      <c r="U3658" s="2" t="n">
        <v>0</v>
      </c>
      <c r="V3658" s="2" t="n">
        <v>4</v>
      </c>
      <c r="W3658" s="2" t="n">
        <v>4</v>
      </c>
      <c r="X3658" s="2" t="n">
        <v>3</v>
      </c>
      <c r="Y3658" s="2" t="n">
        <v>4</v>
      </c>
      <c r="Z3658" s="2" t="n">
        <v>3</v>
      </c>
    </row>
    <row r="3659" customFormat="false" ht="15" hidden="false" customHeight="true" outlineLevel="0" collapsed="false">
      <c r="A3659" s="2" t="n">
        <v>55</v>
      </c>
      <c r="B3659" s="2" t="s">
        <v>33</v>
      </c>
      <c r="C3659" s="2" t="s">
        <v>27</v>
      </c>
      <c r="D3659" s="2" t="s">
        <v>35</v>
      </c>
      <c r="E3659" s="2" t="n">
        <v>19</v>
      </c>
      <c r="F3659" s="2" t="n">
        <v>3</v>
      </c>
      <c r="G3659" s="2" t="s">
        <v>51</v>
      </c>
      <c r="H3659" s="2" t="n">
        <v>3658</v>
      </c>
      <c r="I3659" s="2" t="s">
        <v>39</v>
      </c>
      <c r="J3659" s="2" t="n">
        <v>1</v>
      </c>
      <c r="K3659" s="2" t="s">
        <v>42</v>
      </c>
      <c r="L3659" s="2" t="s">
        <v>37</v>
      </c>
      <c r="M3659" s="2" t="n">
        <v>46800</v>
      </c>
      <c r="N3659" s="2" t="n">
        <v>6</v>
      </c>
      <c r="O3659" s="2" t="n">
        <v>14</v>
      </c>
      <c r="P3659" s="2" t="n">
        <v>3</v>
      </c>
      <c r="Q3659" s="2" t="n">
        <v>24</v>
      </c>
      <c r="R3659" s="2" t="n">
        <v>0</v>
      </c>
      <c r="S3659" s="2" t="n">
        <v>19</v>
      </c>
      <c r="T3659" s="2" t="n">
        <v>3</v>
      </c>
      <c r="U3659" s="2" t="n">
        <v>8</v>
      </c>
      <c r="V3659" s="2" t="n">
        <v>1</v>
      </c>
      <c r="W3659" s="2" t="n">
        <v>3</v>
      </c>
      <c r="X3659" s="2" t="n">
        <v>2</v>
      </c>
      <c r="Y3659" s="2" t="n">
        <v>4</v>
      </c>
      <c r="Z3659" s="2" t="n">
        <v>3</v>
      </c>
    </row>
    <row r="3660" customFormat="false" ht="15" hidden="false" customHeight="true" outlineLevel="0" collapsed="false">
      <c r="A3660" s="2" t="n">
        <v>56</v>
      </c>
      <c r="B3660" s="2" t="s">
        <v>26</v>
      </c>
      <c r="C3660" s="2" t="s">
        <v>27</v>
      </c>
      <c r="D3660" s="2" t="s">
        <v>35</v>
      </c>
      <c r="E3660" s="2" t="n">
        <v>24</v>
      </c>
      <c r="F3660" s="2" t="n">
        <v>4</v>
      </c>
      <c r="G3660" s="2" t="s">
        <v>29</v>
      </c>
      <c r="H3660" s="2" t="n">
        <v>3659</v>
      </c>
      <c r="I3660" s="2" t="s">
        <v>39</v>
      </c>
      <c r="J3660" s="2" t="n">
        <v>2</v>
      </c>
      <c r="K3660" s="2" t="s">
        <v>45</v>
      </c>
      <c r="L3660" s="2" t="s">
        <v>32</v>
      </c>
      <c r="M3660" s="2" t="n">
        <v>32210</v>
      </c>
      <c r="N3660" s="2" t="n">
        <v>4</v>
      </c>
      <c r="O3660" s="2" t="n">
        <v>15</v>
      </c>
      <c r="P3660" s="2" t="n">
        <v>2</v>
      </c>
      <c r="Q3660" s="2" t="n">
        <v>33</v>
      </c>
      <c r="R3660" s="2" t="n">
        <v>2</v>
      </c>
      <c r="S3660" s="2" t="n">
        <v>19</v>
      </c>
      <c r="T3660" s="2" t="n">
        <v>15</v>
      </c>
      <c r="U3660" s="2" t="n">
        <v>9</v>
      </c>
      <c r="V3660" s="2" t="n">
        <v>4</v>
      </c>
      <c r="W3660" s="2" t="n">
        <v>2</v>
      </c>
      <c r="X3660" s="2" t="n">
        <v>3</v>
      </c>
      <c r="Y3660" s="2" t="n">
        <v>3</v>
      </c>
      <c r="Z3660" s="2" t="n">
        <v>3</v>
      </c>
    </row>
    <row r="3661" customFormat="false" ht="15" hidden="false" customHeight="true" outlineLevel="0" collapsed="false">
      <c r="A3661" s="2" t="n">
        <v>34</v>
      </c>
      <c r="B3661" s="2" t="s">
        <v>26</v>
      </c>
      <c r="C3661" s="2" t="s">
        <v>41</v>
      </c>
      <c r="D3661" s="2" t="s">
        <v>28</v>
      </c>
      <c r="E3661" s="2" t="n">
        <v>1</v>
      </c>
      <c r="F3661" s="2" t="n">
        <v>2</v>
      </c>
      <c r="G3661" s="2" t="s">
        <v>29</v>
      </c>
      <c r="H3661" s="2" t="n">
        <v>3660</v>
      </c>
      <c r="I3661" s="2" t="s">
        <v>39</v>
      </c>
      <c r="J3661" s="2" t="n">
        <v>2</v>
      </c>
      <c r="K3661" s="2" t="s">
        <v>36</v>
      </c>
      <c r="L3661" s="2" t="s">
        <v>46</v>
      </c>
      <c r="M3661" s="2" t="n">
        <v>86210</v>
      </c>
      <c r="N3661" s="2" t="n">
        <v>1</v>
      </c>
      <c r="O3661" s="2" t="n">
        <v>17</v>
      </c>
      <c r="P3661" s="2" t="n">
        <v>1</v>
      </c>
      <c r="Q3661" s="2" t="n">
        <v>5</v>
      </c>
      <c r="R3661" s="2" t="n">
        <v>1</v>
      </c>
      <c r="S3661" s="2" t="n">
        <v>5</v>
      </c>
      <c r="T3661" s="2" t="n">
        <v>0</v>
      </c>
      <c r="U3661" s="2" t="n">
        <v>0</v>
      </c>
      <c r="V3661" s="2" t="n">
        <v>1</v>
      </c>
      <c r="W3661" s="2" t="n">
        <v>3</v>
      </c>
      <c r="X3661" s="2" t="n">
        <v>3</v>
      </c>
      <c r="Y3661" s="2" t="n">
        <v>3</v>
      </c>
      <c r="Z3661" s="2" t="n">
        <v>3</v>
      </c>
    </row>
    <row r="3662" customFormat="false" ht="15" hidden="false" customHeight="true" outlineLevel="0" collapsed="false">
      <c r="A3662" s="2" t="n">
        <v>40</v>
      </c>
      <c r="B3662" s="2" t="s">
        <v>26</v>
      </c>
      <c r="C3662" s="2" t="s">
        <v>27</v>
      </c>
      <c r="D3662" s="2" t="s">
        <v>35</v>
      </c>
      <c r="E3662" s="2" t="n">
        <v>3</v>
      </c>
      <c r="F3662" s="2" t="n">
        <v>3</v>
      </c>
      <c r="G3662" s="2" t="s">
        <v>29</v>
      </c>
      <c r="H3662" s="2" t="n">
        <v>3661</v>
      </c>
      <c r="I3662" s="2" t="s">
        <v>39</v>
      </c>
      <c r="J3662" s="2" t="n">
        <v>2</v>
      </c>
      <c r="K3662" s="2" t="s">
        <v>40</v>
      </c>
      <c r="L3662" s="2" t="s">
        <v>46</v>
      </c>
      <c r="M3662" s="2" t="n">
        <v>45770</v>
      </c>
      <c r="N3662" s="2" t="n">
        <v>5</v>
      </c>
      <c r="O3662" s="2" t="n">
        <v>11</v>
      </c>
      <c r="P3662" s="2" t="n">
        <v>1</v>
      </c>
      <c r="Q3662" s="2" t="n">
        <v>15</v>
      </c>
      <c r="R3662" s="2" t="n">
        <v>3</v>
      </c>
      <c r="S3662" s="2" t="n">
        <v>12</v>
      </c>
      <c r="T3662" s="2" t="n">
        <v>11</v>
      </c>
      <c r="U3662" s="2" t="n">
        <v>8</v>
      </c>
      <c r="V3662" s="2" t="n">
        <v>2</v>
      </c>
      <c r="W3662" s="2" t="n">
        <v>3</v>
      </c>
      <c r="X3662" s="2" t="n">
        <v>3</v>
      </c>
      <c r="Y3662" s="2" t="n">
        <v>2</v>
      </c>
      <c r="Z3662" s="2" t="n">
        <v>3</v>
      </c>
    </row>
    <row r="3663" customFormat="false" ht="15" hidden="false" customHeight="true" outlineLevel="0" collapsed="false">
      <c r="A3663" s="2" t="n">
        <v>34</v>
      </c>
      <c r="B3663" s="2" t="s">
        <v>26</v>
      </c>
      <c r="C3663" s="2" t="s">
        <v>27</v>
      </c>
      <c r="D3663" s="2" t="s">
        <v>35</v>
      </c>
      <c r="E3663" s="2" t="n">
        <v>5</v>
      </c>
      <c r="F3663" s="2" t="n">
        <v>3</v>
      </c>
      <c r="G3663" s="2" t="s">
        <v>29</v>
      </c>
      <c r="H3663" s="2" t="n">
        <v>3662</v>
      </c>
      <c r="I3663" s="2" t="s">
        <v>39</v>
      </c>
      <c r="J3663" s="2" t="n">
        <v>1</v>
      </c>
      <c r="K3663" s="2" t="s">
        <v>36</v>
      </c>
      <c r="L3663" s="2" t="s">
        <v>32</v>
      </c>
      <c r="M3663" s="2" t="n">
        <v>45530</v>
      </c>
      <c r="N3663" s="2" t="n">
        <v>4</v>
      </c>
      <c r="O3663" s="2" t="n">
        <v>18</v>
      </c>
      <c r="P3663" s="2" t="n">
        <v>1</v>
      </c>
      <c r="Q3663" s="2" t="n">
        <v>10</v>
      </c>
      <c r="R3663" s="2" t="n">
        <v>2</v>
      </c>
      <c r="S3663" s="2" t="n">
        <v>8</v>
      </c>
      <c r="T3663" s="2" t="n">
        <v>7</v>
      </c>
      <c r="U3663" s="2" t="n">
        <v>7</v>
      </c>
      <c r="V3663" s="2" t="n">
        <v>2</v>
      </c>
      <c r="W3663" s="2" t="n">
        <v>3</v>
      </c>
      <c r="X3663" s="2" t="n">
        <v>3</v>
      </c>
      <c r="Y3663" s="2" t="n">
        <v>4</v>
      </c>
      <c r="Z3663" s="2" t="n">
        <v>3</v>
      </c>
    </row>
    <row r="3664" customFormat="false" ht="15" hidden="false" customHeight="true" outlineLevel="0" collapsed="false">
      <c r="A3664" s="2" t="n">
        <v>31</v>
      </c>
      <c r="B3664" s="2" t="s">
        <v>33</v>
      </c>
      <c r="C3664" s="2" t="s">
        <v>34</v>
      </c>
      <c r="D3664" s="2" t="s">
        <v>35</v>
      </c>
      <c r="E3664" s="2" t="n">
        <v>2</v>
      </c>
      <c r="F3664" s="2" t="n">
        <v>2</v>
      </c>
      <c r="G3664" s="2" t="s">
        <v>43</v>
      </c>
      <c r="H3664" s="2" t="n">
        <v>3663</v>
      </c>
      <c r="I3664" s="2" t="s">
        <v>30</v>
      </c>
      <c r="J3664" s="2" t="n">
        <v>2</v>
      </c>
      <c r="K3664" s="2" t="s">
        <v>47</v>
      </c>
      <c r="L3664" s="2" t="s">
        <v>37</v>
      </c>
      <c r="M3664" s="2" t="n">
        <v>53960</v>
      </c>
      <c r="N3664" s="2" t="n">
        <v>7</v>
      </c>
      <c r="O3664" s="2" t="n">
        <v>17</v>
      </c>
      <c r="P3664" s="2" t="n">
        <v>1</v>
      </c>
      <c r="Q3664" s="2" t="n">
        <v>3</v>
      </c>
      <c r="R3664" s="2" t="n">
        <v>2</v>
      </c>
      <c r="S3664" s="2" t="n">
        <v>1</v>
      </c>
      <c r="T3664" s="2" t="n">
        <v>0</v>
      </c>
      <c r="U3664" s="2" t="n">
        <v>0</v>
      </c>
      <c r="V3664" s="2" t="n">
        <v>3</v>
      </c>
      <c r="W3664" s="2" t="n">
        <v>4</v>
      </c>
      <c r="X3664" s="2" t="n">
        <v>4</v>
      </c>
      <c r="Y3664" s="2" t="n">
        <v>1</v>
      </c>
      <c r="Z3664" s="2" t="n">
        <v>3</v>
      </c>
    </row>
    <row r="3665" customFormat="false" ht="15" hidden="false" customHeight="true" outlineLevel="0" collapsed="false">
      <c r="A3665" s="2" t="n">
        <v>35</v>
      </c>
      <c r="B3665" s="2" t="s">
        <v>33</v>
      </c>
      <c r="C3665" s="2" t="s">
        <v>34</v>
      </c>
      <c r="D3665" s="2" t="s">
        <v>35</v>
      </c>
      <c r="E3665" s="2" t="n">
        <v>1</v>
      </c>
      <c r="F3665" s="2" t="n">
        <v>2</v>
      </c>
      <c r="G3665" s="2" t="s">
        <v>43</v>
      </c>
      <c r="H3665" s="2" t="n">
        <v>3664</v>
      </c>
      <c r="I3665" s="2" t="s">
        <v>39</v>
      </c>
      <c r="J3665" s="2" t="n">
        <v>1</v>
      </c>
      <c r="K3665" s="2" t="s">
        <v>47</v>
      </c>
      <c r="L3665" s="2" t="s">
        <v>32</v>
      </c>
      <c r="M3665" s="2" t="n">
        <v>67960</v>
      </c>
      <c r="N3665" s="2" t="n">
        <v>0</v>
      </c>
      <c r="O3665" s="2" t="n">
        <v>13</v>
      </c>
      <c r="P3665" s="2" t="n">
        <v>0</v>
      </c>
      <c r="Q3665" s="2" t="n">
        <v>5</v>
      </c>
      <c r="R3665" s="2" t="n">
        <v>2</v>
      </c>
      <c r="S3665" s="2" t="n">
        <v>4</v>
      </c>
      <c r="T3665" s="2" t="n">
        <v>3</v>
      </c>
      <c r="U3665" s="2" t="n">
        <v>2</v>
      </c>
      <c r="V3665" s="2" t="n">
        <v>4</v>
      </c>
      <c r="W3665" s="2" t="n">
        <v>3</v>
      </c>
      <c r="X3665" s="2" t="n">
        <v>2</v>
      </c>
      <c r="Y3665" s="2" t="n">
        <v>3</v>
      </c>
      <c r="Z3665" s="2" t="n">
        <v>3</v>
      </c>
    </row>
    <row r="3666" customFormat="false" ht="15" hidden="false" customHeight="true" outlineLevel="0" collapsed="false">
      <c r="A3666" s="2" t="n">
        <v>38</v>
      </c>
      <c r="B3666" s="2" t="s">
        <v>26</v>
      </c>
      <c r="C3666" s="2" t="s">
        <v>34</v>
      </c>
      <c r="D3666" s="2" t="s">
        <v>35</v>
      </c>
      <c r="E3666" s="2" t="n">
        <v>7</v>
      </c>
      <c r="F3666" s="2" t="n">
        <v>3</v>
      </c>
      <c r="G3666" s="2" t="s">
        <v>43</v>
      </c>
      <c r="H3666" s="2" t="n">
        <v>3665</v>
      </c>
      <c r="I3666" s="2" t="s">
        <v>30</v>
      </c>
      <c r="J3666" s="2" t="n">
        <v>2</v>
      </c>
      <c r="K3666" s="2" t="s">
        <v>48</v>
      </c>
      <c r="L3666" s="2" t="s">
        <v>46</v>
      </c>
      <c r="M3666" s="2" t="n">
        <v>76250</v>
      </c>
      <c r="N3666" s="2" t="n">
        <v>1</v>
      </c>
      <c r="O3666" s="2" t="n">
        <v>15</v>
      </c>
      <c r="P3666" s="2" t="n">
        <v>0</v>
      </c>
      <c r="Q3666" s="2" t="n">
        <v>4</v>
      </c>
      <c r="R3666" s="2" t="n">
        <v>2</v>
      </c>
      <c r="S3666" s="2" t="n">
        <v>4</v>
      </c>
      <c r="T3666" s="2" t="n">
        <v>0</v>
      </c>
      <c r="U3666" s="2" t="n">
        <v>3</v>
      </c>
      <c r="V3666" s="2" t="n">
        <v>4</v>
      </c>
      <c r="W3666" s="2" t="n">
        <v>3</v>
      </c>
      <c r="X3666" s="2" t="n">
        <v>3</v>
      </c>
      <c r="Y3666" s="2" t="n">
        <v>2</v>
      </c>
      <c r="Z3666" s="2" t="n">
        <v>3</v>
      </c>
    </row>
    <row r="3667" customFormat="false" ht="15" hidden="false" customHeight="true" outlineLevel="0" collapsed="false">
      <c r="A3667" s="2" t="n">
        <v>34</v>
      </c>
      <c r="B3667" s="2" t="s">
        <v>26</v>
      </c>
      <c r="C3667" s="2" t="s">
        <v>27</v>
      </c>
      <c r="D3667" s="2" t="s">
        <v>35</v>
      </c>
      <c r="E3667" s="2" t="n">
        <v>10</v>
      </c>
      <c r="F3667" s="2" t="n">
        <v>4</v>
      </c>
      <c r="G3667" s="2" t="s">
        <v>38</v>
      </c>
      <c r="H3667" s="2" t="n">
        <v>3666</v>
      </c>
      <c r="I3667" s="2" t="s">
        <v>30</v>
      </c>
      <c r="J3667" s="2" t="n">
        <v>2</v>
      </c>
      <c r="K3667" s="2" t="s">
        <v>45</v>
      </c>
      <c r="L3667" s="2" t="s">
        <v>37</v>
      </c>
      <c r="M3667" s="2" t="n">
        <v>74120</v>
      </c>
      <c r="N3667" s="2" t="n">
        <v>1</v>
      </c>
      <c r="O3667" s="2" t="n">
        <v>24</v>
      </c>
      <c r="P3667" s="2" t="n">
        <v>0</v>
      </c>
      <c r="Q3667" s="2" t="n">
        <v>14</v>
      </c>
      <c r="R3667" s="2" t="n">
        <v>4</v>
      </c>
      <c r="S3667" s="2" t="n">
        <v>14</v>
      </c>
      <c r="T3667" s="2" t="n">
        <v>4</v>
      </c>
      <c r="U3667" s="2" t="n">
        <v>11</v>
      </c>
      <c r="V3667" s="2" t="n">
        <v>3</v>
      </c>
      <c r="W3667" s="2" t="n">
        <v>4</v>
      </c>
      <c r="X3667" s="2" t="n">
        <v>4</v>
      </c>
      <c r="Y3667" s="2" t="n">
        <v>3</v>
      </c>
      <c r="Z3667" s="2" t="n">
        <v>4</v>
      </c>
    </row>
    <row r="3668" customFormat="false" ht="15" hidden="false" customHeight="true" outlineLevel="0" collapsed="false">
      <c r="A3668" s="2" t="n">
        <v>28</v>
      </c>
      <c r="B3668" s="2" t="s">
        <v>26</v>
      </c>
      <c r="C3668" s="2" t="s">
        <v>27</v>
      </c>
      <c r="D3668" s="2" t="s">
        <v>35</v>
      </c>
      <c r="E3668" s="2" t="n">
        <v>2</v>
      </c>
      <c r="F3668" s="2" t="n">
        <v>3</v>
      </c>
      <c r="G3668" s="2" t="s">
        <v>29</v>
      </c>
      <c r="H3668" s="2" t="n">
        <v>3667</v>
      </c>
      <c r="I3668" s="2" t="s">
        <v>30</v>
      </c>
      <c r="J3668" s="2" t="n">
        <v>2</v>
      </c>
      <c r="K3668" s="2" t="s">
        <v>31</v>
      </c>
      <c r="L3668" s="2" t="s">
        <v>32</v>
      </c>
      <c r="M3668" s="2" t="n">
        <v>111590</v>
      </c>
      <c r="N3668" s="2" t="n">
        <v>1</v>
      </c>
      <c r="O3668" s="2" t="n">
        <v>12</v>
      </c>
      <c r="P3668" s="2" t="n">
        <v>0</v>
      </c>
      <c r="Q3668" s="2" t="n">
        <v>5</v>
      </c>
      <c r="R3668" s="2" t="n">
        <v>2</v>
      </c>
      <c r="S3668" s="2" t="n">
        <v>5</v>
      </c>
      <c r="T3668" s="2" t="n">
        <v>0</v>
      </c>
      <c r="U3668" s="2" t="n">
        <v>4</v>
      </c>
      <c r="V3668" s="2" t="n">
        <v>3</v>
      </c>
      <c r="W3668" s="2" t="n">
        <v>1</v>
      </c>
      <c r="X3668" s="2" t="n">
        <v>3</v>
      </c>
      <c r="Y3668" s="2" t="n">
        <v>3</v>
      </c>
      <c r="Z3668" s="2" t="n">
        <v>3</v>
      </c>
    </row>
    <row r="3669" customFormat="false" ht="15" hidden="false" customHeight="true" outlineLevel="0" collapsed="false">
      <c r="A3669" s="2" t="n">
        <v>31</v>
      </c>
      <c r="B3669" s="2" t="s">
        <v>33</v>
      </c>
      <c r="C3669" s="2" t="s">
        <v>27</v>
      </c>
      <c r="D3669" s="2" t="s">
        <v>35</v>
      </c>
      <c r="E3669" s="2" t="n">
        <v>15</v>
      </c>
      <c r="F3669" s="2" t="n">
        <v>2</v>
      </c>
      <c r="G3669" s="2" t="s">
        <v>29</v>
      </c>
      <c r="H3669" s="2" t="n">
        <v>3668</v>
      </c>
      <c r="I3669" s="2" t="s">
        <v>39</v>
      </c>
      <c r="J3669" s="2" t="n">
        <v>2</v>
      </c>
      <c r="K3669" s="2" t="s">
        <v>40</v>
      </c>
      <c r="L3669" s="2" t="s">
        <v>32</v>
      </c>
      <c r="M3669" s="2" t="n">
        <v>49600</v>
      </c>
      <c r="N3669" s="2" t="n">
        <v>1</v>
      </c>
      <c r="O3669" s="2" t="n">
        <v>15</v>
      </c>
      <c r="P3669" s="2" t="n">
        <v>0</v>
      </c>
      <c r="Q3669" s="2" t="n">
        <v>10</v>
      </c>
      <c r="R3669" s="2" t="n">
        <v>3</v>
      </c>
      <c r="S3669" s="2" t="n">
        <v>10</v>
      </c>
      <c r="T3669" s="2" t="n">
        <v>6</v>
      </c>
      <c r="U3669" s="2" t="n">
        <v>7</v>
      </c>
      <c r="V3669" s="2" t="n">
        <v>4</v>
      </c>
      <c r="W3669" s="2" t="n">
        <v>3</v>
      </c>
      <c r="X3669" s="2" t="n">
        <v>2</v>
      </c>
      <c r="Y3669" s="2" t="n">
        <v>2</v>
      </c>
      <c r="Z3669" s="2" t="n">
        <v>3</v>
      </c>
    </row>
    <row r="3670" customFormat="false" ht="15" hidden="false" customHeight="true" outlineLevel="0" collapsed="false">
      <c r="A3670" s="2" t="n">
        <v>39</v>
      </c>
      <c r="B3670" s="2" t="s">
        <v>26</v>
      </c>
      <c r="C3670" s="2" t="s">
        <v>27</v>
      </c>
      <c r="D3670" s="2" t="s">
        <v>35</v>
      </c>
      <c r="E3670" s="2" t="n">
        <v>17</v>
      </c>
      <c r="F3670" s="2" t="n">
        <v>4</v>
      </c>
      <c r="G3670" s="2" t="s">
        <v>51</v>
      </c>
      <c r="H3670" s="2" t="n">
        <v>3669</v>
      </c>
      <c r="I3670" s="2" t="s">
        <v>30</v>
      </c>
      <c r="J3670" s="2" t="n">
        <v>2</v>
      </c>
      <c r="K3670" s="2" t="s">
        <v>31</v>
      </c>
      <c r="L3670" s="2" t="s">
        <v>32</v>
      </c>
      <c r="M3670" s="2" t="n">
        <v>104750</v>
      </c>
      <c r="N3670" s="2" t="n">
        <v>3</v>
      </c>
      <c r="O3670" s="2" t="n">
        <v>11</v>
      </c>
      <c r="P3670" s="2" t="n">
        <v>1</v>
      </c>
      <c r="Q3670" s="2" t="n">
        <v>8</v>
      </c>
      <c r="R3670" s="2" t="n">
        <v>3</v>
      </c>
      <c r="S3670" s="2" t="n">
        <v>5</v>
      </c>
      <c r="T3670" s="2" t="n">
        <v>1</v>
      </c>
      <c r="U3670" s="2" t="n">
        <v>4</v>
      </c>
      <c r="V3670" s="2" t="n">
        <v>1</v>
      </c>
      <c r="W3670" s="2" t="n">
        <v>4</v>
      </c>
      <c r="X3670" s="2" t="n">
        <v>4</v>
      </c>
      <c r="Y3670" s="2" t="n">
        <v>3</v>
      </c>
      <c r="Z3670" s="2" t="n">
        <v>3</v>
      </c>
    </row>
    <row r="3671" customFormat="false" ht="15" hidden="false" customHeight="true" outlineLevel="0" collapsed="false">
      <c r="A3671" s="2" t="n">
        <v>51</v>
      </c>
      <c r="B3671" s="2" t="s">
        <v>26</v>
      </c>
      <c r="C3671" s="2" t="s">
        <v>34</v>
      </c>
      <c r="D3671" s="2" t="s">
        <v>35</v>
      </c>
      <c r="E3671" s="2" t="n">
        <v>20</v>
      </c>
      <c r="F3671" s="2" t="n">
        <v>3</v>
      </c>
      <c r="G3671" s="2" t="s">
        <v>43</v>
      </c>
      <c r="H3671" s="2" t="n">
        <v>3670</v>
      </c>
      <c r="I3671" s="2" t="s">
        <v>39</v>
      </c>
      <c r="J3671" s="2" t="n">
        <v>2</v>
      </c>
      <c r="K3671" s="2" t="s">
        <v>40</v>
      </c>
      <c r="L3671" s="2" t="s">
        <v>32</v>
      </c>
      <c r="M3671" s="2" t="n">
        <v>148140</v>
      </c>
      <c r="N3671" s="2" t="n">
        <v>2</v>
      </c>
      <c r="O3671" s="2" t="n">
        <v>11</v>
      </c>
      <c r="P3671" s="2" t="n">
        <v>1</v>
      </c>
      <c r="Q3671" s="2" t="n">
        <v>14</v>
      </c>
      <c r="R3671" s="2" t="n">
        <v>2</v>
      </c>
      <c r="S3671" s="2" t="n">
        <v>4</v>
      </c>
      <c r="T3671" s="2" t="n">
        <v>3</v>
      </c>
      <c r="U3671" s="2" t="n">
        <v>2</v>
      </c>
      <c r="V3671" s="2" t="n">
        <v>2</v>
      </c>
      <c r="W3671" s="2" t="n">
        <v>2</v>
      </c>
      <c r="X3671" s="2" t="n">
        <v>3</v>
      </c>
      <c r="Y3671" s="2" t="n">
        <v>2</v>
      </c>
      <c r="Z3671" s="2" t="n">
        <v>3</v>
      </c>
    </row>
    <row r="3672" customFormat="false" ht="15" hidden="false" customHeight="true" outlineLevel="0" collapsed="false">
      <c r="A3672" s="2" t="n">
        <v>41</v>
      </c>
      <c r="B3672" s="2" t="s">
        <v>26</v>
      </c>
      <c r="C3672" s="2" t="s">
        <v>34</v>
      </c>
      <c r="D3672" s="2" t="s">
        <v>35</v>
      </c>
      <c r="E3672" s="2" t="n">
        <v>1</v>
      </c>
      <c r="F3672" s="2" t="n">
        <v>3</v>
      </c>
      <c r="G3672" s="2" t="s">
        <v>29</v>
      </c>
      <c r="H3672" s="2" t="n">
        <v>3671</v>
      </c>
      <c r="I3672" s="2" t="s">
        <v>39</v>
      </c>
      <c r="J3672" s="2" t="n">
        <v>4</v>
      </c>
      <c r="K3672" s="2" t="s">
        <v>40</v>
      </c>
      <c r="L3672" s="2" t="s">
        <v>46</v>
      </c>
      <c r="M3672" s="2" t="n">
        <v>191410</v>
      </c>
      <c r="N3672" s="2" t="n">
        <v>3</v>
      </c>
      <c r="O3672" s="2" t="n">
        <v>12</v>
      </c>
      <c r="P3672" s="2" t="n">
        <v>1</v>
      </c>
      <c r="Q3672" s="2" t="n">
        <v>12</v>
      </c>
      <c r="R3672" s="2" t="n">
        <v>2</v>
      </c>
      <c r="S3672" s="2" t="n">
        <v>6</v>
      </c>
      <c r="T3672" s="2" t="n">
        <v>3</v>
      </c>
      <c r="U3672" s="2" t="n">
        <v>3</v>
      </c>
      <c r="V3672" s="2" t="n">
        <v>4</v>
      </c>
      <c r="W3672" s="2" t="n">
        <v>4</v>
      </c>
      <c r="X3672" s="2" t="n">
        <v>2</v>
      </c>
      <c r="Y3672" s="2" t="n">
        <v>3</v>
      </c>
      <c r="Z3672" s="2" t="n">
        <v>3</v>
      </c>
    </row>
    <row r="3673" customFormat="false" ht="15" hidden="false" customHeight="true" outlineLevel="0" collapsed="false">
      <c r="A3673" s="2" t="n">
        <v>37</v>
      </c>
      <c r="B3673" s="2" t="s">
        <v>26</v>
      </c>
      <c r="C3673" s="2" t="s">
        <v>27</v>
      </c>
      <c r="D3673" s="2" t="s">
        <v>35</v>
      </c>
      <c r="E3673" s="2" t="n">
        <v>2</v>
      </c>
      <c r="F3673" s="2" t="n">
        <v>2</v>
      </c>
      <c r="G3673" s="2" t="s">
        <v>43</v>
      </c>
      <c r="H3673" s="2" t="n">
        <v>3672</v>
      </c>
      <c r="I3673" s="2" t="s">
        <v>30</v>
      </c>
      <c r="J3673" s="2" t="n">
        <v>1</v>
      </c>
      <c r="K3673" s="2" t="s">
        <v>31</v>
      </c>
      <c r="L3673" s="2" t="s">
        <v>32</v>
      </c>
      <c r="M3673" s="2" t="n">
        <v>54050</v>
      </c>
      <c r="N3673" s="2" t="n">
        <v>7</v>
      </c>
      <c r="O3673" s="2" t="n">
        <v>15</v>
      </c>
      <c r="P3673" s="2" t="n">
        <v>0</v>
      </c>
      <c r="Q3673" s="2" t="n">
        <v>8</v>
      </c>
      <c r="R3673" s="2" t="n">
        <v>3</v>
      </c>
      <c r="S3673" s="2" t="n">
        <v>6</v>
      </c>
      <c r="T3673" s="2" t="n">
        <v>1</v>
      </c>
      <c r="U3673" s="2" t="n">
        <v>3</v>
      </c>
      <c r="V3673" s="2" t="n">
        <v>3</v>
      </c>
      <c r="W3673" s="2" t="n">
        <v>3</v>
      </c>
      <c r="X3673" s="2" t="n">
        <v>3</v>
      </c>
      <c r="Y3673" s="2" t="n">
        <v>4</v>
      </c>
      <c r="Z3673" s="2" t="n">
        <v>3</v>
      </c>
    </row>
    <row r="3674" customFormat="false" ht="15" hidden="false" customHeight="true" outlineLevel="0" collapsed="false">
      <c r="A3674" s="2" t="n">
        <v>33</v>
      </c>
      <c r="B3674" s="2" t="s">
        <v>26</v>
      </c>
      <c r="C3674" s="2" t="s">
        <v>34</v>
      </c>
      <c r="D3674" s="2" t="s">
        <v>35</v>
      </c>
      <c r="E3674" s="2" t="n">
        <v>2</v>
      </c>
      <c r="F3674" s="2" t="n">
        <v>3</v>
      </c>
      <c r="G3674" s="2" t="s">
        <v>43</v>
      </c>
      <c r="H3674" s="2" t="n">
        <v>3673</v>
      </c>
      <c r="I3674" s="2" t="s">
        <v>30</v>
      </c>
      <c r="J3674" s="2" t="n">
        <v>1</v>
      </c>
      <c r="K3674" s="2" t="s">
        <v>40</v>
      </c>
      <c r="L3674" s="2" t="s">
        <v>32</v>
      </c>
      <c r="M3674" s="2" t="n">
        <v>87930</v>
      </c>
      <c r="N3674" s="2" t="n">
        <v>6</v>
      </c>
      <c r="O3674" s="2" t="n">
        <v>17</v>
      </c>
      <c r="P3674" s="2" t="n">
        <v>0</v>
      </c>
      <c r="Q3674" s="2" t="n">
        <v>8</v>
      </c>
      <c r="R3674" s="2" t="n">
        <v>2</v>
      </c>
      <c r="S3674" s="2" t="n">
        <v>5</v>
      </c>
      <c r="T3674" s="2" t="n">
        <v>1</v>
      </c>
      <c r="U3674" s="2" t="n">
        <v>2</v>
      </c>
      <c r="V3674" s="2" t="n">
        <v>2</v>
      </c>
      <c r="W3674" s="2" t="n">
        <v>4</v>
      </c>
      <c r="X3674" s="2" t="n">
        <v>4</v>
      </c>
      <c r="Y3674" s="2" t="n">
        <v>3</v>
      </c>
      <c r="Z3674" s="2" t="n">
        <v>3</v>
      </c>
    </row>
    <row r="3675" customFormat="false" ht="15" hidden="false" customHeight="true" outlineLevel="0" collapsed="false">
      <c r="A3675" s="2" t="n">
        <v>32</v>
      </c>
      <c r="B3675" s="2" t="s">
        <v>26</v>
      </c>
      <c r="C3675" s="2" t="s">
        <v>27</v>
      </c>
      <c r="D3675" s="2" t="s">
        <v>35</v>
      </c>
      <c r="E3675" s="2" t="n">
        <v>1</v>
      </c>
      <c r="F3675" s="2" t="n">
        <v>4</v>
      </c>
      <c r="G3675" s="2" t="s">
        <v>43</v>
      </c>
      <c r="H3675" s="2" t="n">
        <v>3674</v>
      </c>
      <c r="I3675" s="2" t="s">
        <v>39</v>
      </c>
      <c r="J3675" s="2" t="n">
        <v>5</v>
      </c>
      <c r="K3675" s="2" t="s">
        <v>44</v>
      </c>
      <c r="L3675" s="2" t="s">
        <v>32</v>
      </c>
      <c r="M3675" s="2" t="n">
        <v>191890</v>
      </c>
      <c r="N3675" s="2" t="n">
        <v>0</v>
      </c>
      <c r="O3675" s="2" t="n">
        <v>12</v>
      </c>
      <c r="P3675" s="2" t="n">
        <v>1</v>
      </c>
      <c r="Q3675" s="2" t="n">
        <v>4</v>
      </c>
      <c r="R3675" s="2" t="n">
        <v>3</v>
      </c>
      <c r="S3675" s="2" t="n">
        <v>3</v>
      </c>
      <c r="T3675" s="2" t="n">
        <v>1</v>
      </c>
      <c r="U3675" s="2" t="n">
        <v>2</v>
      </c>
      <c r="V3675" s="2" t="n">
        <v>3</v>
      </c>
      <c r="W3675" s="2" t="n">
        <v>2</v>
      </c>
      <c r="X3675" s="2" t="n">
        <v>2</v>
      </c>
      <c r="Y3675" s="2" t="n">
        <v>3</v>
      </c>
      <c r="Z3675" s="2" t="n">
        <v>3</v>
      </c>
    </row>
    <row r="3676" customFormat="false" ht="15" hidden="false" customHeight="true" outlineLevel="0" collapsed="false">
      <c r="A3676" s="2" t="n">
        <v>39</v>
      </c>
      <c r="B3676" s="2" t="s">
        <v>26</v>
      </c>
      <c r="C3676" s="2" t="s">
        <v>41</v>
      </c>
      <c r="D3676" s="2" t="s">
        <v>35</v>
      </c>
      <c r="E3676" s="2" t="n">
        <v>29</v>
      </c>
      <c r="F3676" s="2" t="n">
        <v>2</v>
      </c>
      <c r="G3676" s="2" t="s">
        <v>29</v>
      </c>
      <c r="H3676" s="2" t="n">
        <v>3675</v>
      </c>
      <c r="I3676" s="2" t="s">
        <v>39</v>
      </c>
      <c r="J3676" s="2" t="n">
        <v>2</v>
      </c>
      <c r="K3676" s="2" t="s">
        <v>40</v>
      </c>
      <c r="L3676" s="2" t="s">
        <v>32</v>
      </c>
      <c r="M3676" s="2" t="n">
        <v>38750</v>
      </c>
      <c r="N3676" s="2" t="n">
        <v>3</v>
      </c>
      <c r="O3676" s="2" t="n">
        <v>15</v>
      </c>
      <c r="P3676" s="2" t="n">
        <v>0</v>
      </c>
      <c r="Q3676" s="2" t="n">
        <v>13</v>
      </c>
      <c r="R3676" s="2" t="n">
        <v>3</v>
      </c>
      <c r="S3676" s="2" t="n">
        <v>6</v>
      </c>
      <c r="T3676" s="2" t="n">
        <v>0</v>
      </c>
      <c r="U3676" s="2" t="n">
        <v>5</v>
      </c>
      <c r="V3676" s="2" t="n">
        <v>3</v>
      </c>
      <c r="W3676" s="2" t="n">
        <v>3</v>
      </c>
      <c r="X3676" s="2" t="n">
        <v>3</v>
      </c>
      <c r="Y3676" s="2" t="n">
        <v>3</v>
      </c>
      <c r="Z3676" s="2" t="n">
        <v>3</v>
      </c>
    </row>
    <row r="3677" customFormat="false" ht="15" hidden="false" customHeight="true" outlineLevel="0" collapsed="false">
      <c r="A3677" s="2" t="n">
        <v>25</v>
      </c>
      <c r="B3677" s="2" t="s">
        <v>26</v>
      </c>
      <c r="C3677" s="2" t="s">
        <v>27</v>
      </c>
      <c r="D3677" s="2" t="s">
        <v>35</v>
      </c>
      <c r="E3677" s="2" t="n">
        <v>7</v>
      </c>
      <c r="F3677" s="2" t="n">
        <v>4</v>
      </c>
      <c r="G3677" s="2" t="s">
        <v>29</v>
      </c>
      <c r="H3677" s="2" t="n">
        <v>3676</v>
      </c>
      <c r="I3677" s="2" t="s">
        <v>39</v>
      </c>
      <c r="J3677" s="2" t="n">
        <v>1</v>
      </c>
      <c r="K3677" s="2" t="s">
        <v>40</v>
      </c>
      <c r="L3677" s="2" t="s">
        <v>32</v>
      </c>
      <c r="M3677" s="2" t="n">
        <v>22160</v>
      </c>
      <c r="N3677" s="2" t="n">
        <v>2</v>
      </c>
      <c r="O3677" s="2" t="n">
        <v>13</v>
      </c>
      <c r="P3677" s="2" t="n">
        <v>3</v>
      </c>
      <c r="Q3677" s="2" t="n">
        <v>6</v>
      </c>
      <c r="R3677" s="2" t="n">
        <v>2</v>
      </c>
      <c r="S3677" s="2" t="n">
        <v>3</v>
      </c>
      <c r="T3677" s="2" t="n">
        <v>1</v>
      </c>
      <c r="U3677" s="2" t="n">
        <v>2</v>
      </c>
      <c r="V3677" s="2" t="n">
        <v>1</v>
      </c>
      <c r="W3677" s="2" t="n">
        <v>3</v>
      </c>
      <c r="X3677" s="2" t="n">
        <v>2</v>
      </c>
      <c r="Y3677" s="2" t="n">
        <v>2</v>
      </c>
      <c r="Z3677" s="2" t="n">
        <v>3</v>
      </c>
    </row>
    <row r="3678" customFormat="false" ht="15" hidden="false" customHeight="true" outlineLevel="0" collapsed="false">
      <c r="A3678" s="2" t="n">
        <v>52</v>
      </c>
      <c r="B3678" s="2" t="s">
        <v>26</v>
      </c>
      <c r="C3678" s="2" t="s">
        <v>34</v>
      </c>
      <c r="D3678" s="2" t="s">
        <v>35</v>
      </c>
      <c r="E3678" s="2" t="n">
        <v>2</v>
      </c>
      <c r="F3678" s="2" t="n">
        <v>1</v>
      </c>
      <c r="G3678" s="2" t="s">
        <v>29</v>
      </c>
      <c r="H3678" s="2" t="n">
        <v>3677</v>
      </c>
      <c r="I3678" s="2" t="s">
        <v>39</v>
      </c>
      <c r="J3678" s="2" t="n">
        <v>2</v>
      </c>
      <c r="K3678" s="2" t="s">
        <v>40</v>
      </c>
      <c r="L3678" s="2" t="s">
        <v>32</v>
      </c>
      <c r="M3678" s="2" t="n">
        <v>117130</v>
      </c>
      <c r="N3678" s="2" t="n">
        <v>2</v>
      </c>
      <c r="O3678" s="2" t="n">
        <v>14</v>
      </c>
      <c r="P3678" s="2" t="n">
        <v>0</v>
      </c>
      <c r="Q3678" s="2" t="n">
        <v>24</v>
      </c>
      <c r="R3678" s="2" t="n">
        <v>2</v>
      </c>
      <c r="S3678" s="2" t="n">
        <v>5</v>
      </c>
      <c r="T3678" s="2" t="n">
        <v>0</v>
      </c>
      <c r="U3678" s="2" t="n">
        <v>2</v>
      </c>
      <c r="V3678" s="2" t="n">
        <v>4</v>
      </c>
      <c r="W3678" s="2" t="n">
        <v>3</v>
      </c>
      <c r="X3678" s="2" t="n">
        <v>2</v>
      </c>
      <c r="Y3678" s="2" t="n">
        <v>3</v>
      </c>
      <c r="Z3678" s="2" t="n">
        <v>3</v>
      </c>
    </row>
    <row r="3679" customFormat="false" ht="15" hidden="false" customHeight="true" outlineLevel="0" collapsed="false">
      <c r="A3679" s="2" t="n">
        <v>43</v>
      </c>
      <c r="B3679" s="2" t="s">
        <v>26</v>
      </c>
      <c r="C3679" s="2" t="s">
        <v>27</v>
      </c>
      <c r="D3679" s="2" t="s">
        <v>35</v>
      </c>
      <c r="E3679" s="2" t="n">
        <v>2</v>
      </c>
      <c r="F3679" s="2" t="n">
        <v>2</v>
      </c>
      <c r="G3679" s="2" t="s">
        <v>43</v>
      </c>
      <c r="H3679" s="2" t="n">
        <v>3678</v>
      </c>
      <c r="I3679" s="2" t="s">
        <v>39</v>
      </c>
      <c r="J3679" s="2" t="n">
        <v>1</v>
      </c>
      <c r="K3679" s="2" t="s">
        <v>45</v>
      </c>
      <c r="L3679" s="2" t="s">
        <v>37</v>
      </c>
      <c r="M3679" s="2" t="n">
        <v>78610</v>
      </c>
      <c r="N3679" s="2" t="n">
        <v>1</v>
      </c>
      <c r="O3679" s="2" t="n">
        <v>14</v>
      </c>
      <c r="P3679" s="2" t="n">
        <v>2</v>
      </c>
      <c r="Q3679" s="2" t="n">
        <v>20</v>
      </c>
      <c r="R3679" s="2" t="n">
        <v>1</v>
      </c>
      <c r="S3679" s="2" t="n">
        <v>20</v>
      </c>
      <c r="T3679" s="2" t="n">
        <v>1</v>
      </c>
      <c r="U3679" s="2" t="n">
        <v>8</v>
      </c>
      <c r="V3679" s="2" t="n">
        <v>1</v>
      </c>
      <c r="W3679" s="2" t="n">
        <v>3</v>
      </c>
      <c r="X3679" s="2" t="n">
        <v>1</v>
      </c>
      <c r="Y3679" s="2" t="n">
        <v>3</v>
      </c>
      <c r="Z3679" s="2" t="n">
        <v>3</v>
      </c>
    </row>
    <row r="3680" customFormat="false" ht="15" hidden="false" customHeight="true" outlineLevel="0" collapsed="false">
      <c r="A3680" s="2" t="n">
        <v>27</v>
      </c>
      <c r="B3680" s="2" t="s">
        <v>26</v>
      </c>
      <c r="C3680" s="2" t="s">
        <v>27</v>
      </c>
      <c r="D3680" s="2" t="s">
        <v>35</v>
      </c>
      <c r="E3680" s="2" t="n">
        <v>2</v>
      </c>
      <c r="F3680" s="2" t="n">
        <v>4</v>
      </c>
      <c r="G3680" s="2" t="s">
        <v>29</v>
      </c>
      <c r="H3680" s="2" t="n">
        <v>3679</v>
      </c>
      <c r="I3680" s="2" t="s">
        <v>39</v>
      </c>
      <c r="J3680" s="2" t="n">
        <v>1</v>
      </c>
      <c r="K3680" s="2" t="s">
        <v>42</v>
      </c>
      <c r="L3680" s="2" t="s">
        <v>32</v>
      </c>
      <c r="M3680" s="2" t="n">
        <v>37080</v>
      </c>
      <c r="N3680" s="2" t="n">
        <v>1</v>
      </c>
      <c r="O3680" s="2" t="n">
        <v>16</v>
      </c>
      <c r="P3680" s="2" t="n">
        <v>2</v>
      </c>
      <c r="Q3680" s="2" t="n">
        <v>6</v>
      </c>
      <c r="R3680" s="2" t="n">
        <v>2</v>
      </c>
      <c r="S3680" s="2" t="n">
        <v>6</v>
      </c>
      <c r="T3680" s="2" t="n">
        <v>4</v>
      </c>
      <c r="U3680" s="2" t="n">
        <v>4</v>
      </c>
      <c r="V3680" s="2" t="n">
        <v>4</v>
      </c>
      <c r="W3680" s="2" t="n">
        <v>4</v>
      </c>
      <c r="X3680" s="2" t="n">
        <v>3</v>
      </c>
      <c r="Y3680" s="2" t="n">
        <v>3</v>
      </c>
      <c r="Z3680" s="2" t="n">
        <v>3</v>
      </c>
    </row>
    <row r="3681" customFormat="false" ht="15" hidden="false" customHeight="true" outlineLevel="0" collapsed="false">
      <c r="A3681" s="2" t="n">
        <v>27</v>
      </c>
      <c r="B3681" s="2" t="s">
        <v>33</v>
      </c>
      <c r="C3681" s="2" t="s">
        <v>27</v>
      </c>
      <c r="D3681" s="2" t="s">
        <v>35</v>
      </c>
      <c r="E3681" s="2" t="n">
        <v>2</v>
      </c>
      <c r="F3681" s="2" t="n">
        <v>5</v>
      </c>
      <c r="G3681" s="2" t="s">
        <v>29</v>
      </c>
      <c r="H3681" s="2" t="n">
        <v>3680</v>
      </c>
      <c r="I3681" s="2" t="s">
        <v>30</v>
      </c>
      <c r="J3681" s="2" t="n">
        <v>1</v>
      </c>
      <c r="K3681" s="2" t="s">
        <v>36</v>
      </c>
      <c r="L3681" s="2" t="s">
        <v>37</v>
      </c>
      <c r="M3681" s="2" t="n">
        <v>137700</v>
      </c>
      <c r="N3681" s="2" t="n">
        <v>1</v>
      </c>
      <c r="O3681" s="2" t="n">
        <v>18</v>
      </c>
      <c r="P3681" s="2" t="n">
        <v>1</v>
      </c>
      <c r="Q3681" s="2" t="n">
        <v>8</v>
      </c>
      <c r="R3681" s="2" t="n">
        <v>3</v>
      </c>
      <c r="S3681" s="2" t="n">
        <v>8</v>
      </c>
      <c r="T3681" s="2" t="n">
        <v>7</v>
      </c>
      <c r="U3681" s="2" t="n">
        <v>7</v>
      </c>
      <c r="V3681" s="2" t="n">
        <v>4</v>
      </c>
      <c r="W3681" s="2" t="n">
        <v>3</v>
      </c>
      <c r="X3681" s="2" t="n">
        <v>3</v>
      </c>
      <c r="Y3681" s="2" t="n">
        <v>4</v>
      </c>
      <c r="Z3681" s="2" t="n">
        <v>3</v>
      </c>
    </row>
    <row r="3682" customFormat="false" ht="15" hidden="false" customHeight="true" outlineLevel="0" collapsed="false">
      <c r="A3682" s="2" t="n">
        <v>26</v>
      </c>
      <c r="B3682" s="2" t="s">
        <v>26</v>
      </c>
      <c r="C3682" s="2" t="s">
        <v>27</v>
      </c>
      <c r="D3682" s="2" t="s">
        <v>35</v>
      </c>
      <c r="E3682" s="2" t="n">
        <v>2</v>
      </c>
      <c r="F3682" s="2" t="n">
        <v>2</v>
      </c>
      <c r="G3682" s="2" t="s">
        <v>38</v>
      </c>
      <c r="H3682" s="2" t="n">
        <v>3681</v>
      </c>
      <c r="I3682" s="2" t="s">
        <v>39</v>
      </c>
      <c r="J3682" s="2" t="n">
        <v>3</v>
      </c>
      <c r="K3682" s="2" t="s">
        <v>45</v>
      </c>
      <c r="L3682" s="2" t="s">
        <v>37</v>
      </c>
      <c r="M3682" s="2" t="n">
        <v>53040</v>
      </c>
      <c r="N3682" s="2" t="n">
        <v>0</v>
      </c>
      <c r="O3682" s="2" t="n">
        <v>20</v>
      </c>
      <c r="P3682" s="2" t="n">
        <v>1</v>
      </c>
      <c r="Q3682" s="2" t="n">
        <v>5</v>
      </c>
      <c r="R3682" s="2" t="n">
        <v>2</v>
      </c>
      <c r="S3682" s="2" t="n">
        <v>4</v>
      </c>
      <c r="T3682" s="2" t="n">
        <v>1</v>
      </c>
      <c r="U3682" s="2" t="n">
        <v>1</v>
      </c>
      <c r="V3682" s="2" t="n">
        <v>1</v>
      </c>
      <c r="W3682" s="2" t="n">
        <v>4</v>
      </c>
      <c r="X3682" s="2" t="n">
        <v>3</v>
      </c>
      <c r="Y3682" s="2" t="n">
        <v>3</v>
      </c>
      <c r="Z3682" s="2" t="n">
        <v>4</v>
      </c>
    </row>
    <row r="3683" customFormat="false" ht="15" hidden="false" customHeight="true" outlineLevel="0" collapsed="false">
      <c r="A3683" s="2" t="n">
        <v>42</v>
      </c>
      <c r="B3683" s="2" t="s">
        <v>26</v>
      </c>
      <c r="C3683" s="2" t="s">
        <v>27</v>
      </c>
      <c r="D3683" s="2" t="s">
        <v>28</v>
      </c>
      <c r="E3683" s="2" t="n">
        <v>23</v>
      </c>
      <c r="F3683" s="2" t="n">
        <v>3</v>
      </c>
      <c r="G3683" s="2" t="s">
        <v>50</v>
      </c>
      <c r="H3683" s="2" t="n">
        <v>3682</v>
      </c>
      <c r="I3683" s="2" t="s">
        <v>30</v>
      </c>
      <c r="J3683" s="2" t="n">
        <v>3</v>
      </c>
      <c r="K3683" s="2" t="s">
        <v>36</v>
      </c>
      <c r="L3683" s="2" t="s">
        <v>32</v>
      </c>
      <c r="M3683" s="2" t="n">
        <v>26420</v>
      </c>
      <c r="N3683" s="2" t="n">
        <v>0</v>
      </c>
      <c r="O3683" s="2" t="n">
        <v>13</v>
      </c>
      <c r="P3683" s="2" t="n">
        <v>1</v>
      </c>
      <c r="Q3683" s="2" t="n">
        <v>21</v>
      </c>
      <c r="R3683" s="2" t="n">
        <v>3</v>
      </c>
      <c r="S3683" s="2" t="n">
        <v>20</v>
      </c>
      <c r="T3683" s="2" t="n">
        <v>0</v>
      </c>
      <c r="U3683" s="2" t="n">
        <v>9</v>
      </c>
      <c r="V3683" s="2"/>
      <c r="W3683" s="2" t="n">
        <v>1</v>
      </c>
      <c r="X3683" s="2" t="n">
        <v>3</v>
      </c>
      <c r="Y3683" s="2" t="n">
        <v>3</v>
      </c>
      <c r="Z3683" s="2" t="n">
        <v>3</v>
      </c>
    </row>
    <row r="3684" customFormat="false" ht="15" hidden="false" customHeight="true" outlineLevel="0" collapsed="false">
      <c r="A3684" s="2" t="n">
        <v>52</v>
      </c>
      <c r="B3684" s="2" t="s">
        <v>26</v>
      </c>
      <c r="C3684" s="2" t="s">
        <v>27</v>
      </c>
      <c r="D3684" s="2" t="s">
        <v>35</v>
      </c>
      <c r="E3684" s="2" t="n">
        <v>5</v>
      </c>
      <c r="F3684" s="2" t="n">
        <v>2</v>
      </c>
      <c r="G3684" s="2" t="s">
        <v>29</v>
      </c>
      <c r="H3684" s="2" t="n">
        <v>3683</v>
      </c>
      <c r="I3684" s="2" t="s">
        <v>30</v>
      </c>
      <c r="J3684" s="2" t="n">
        <v>1</v>
      </c>
      <c r="K3684" s="2" t="s">
        <v>31</v>
      </c>
      <c r="L3684" s="2" t="s">
        <v>32</v>
      </c>
      <c r="M3684" s="2" t="n">
        <v>27590</v>
      </c>
      <c r="N3684" s="2" t="n">
        <v>9</v>
      </c>
      <c r="O3684" s="2" t="n">
        <v>18</v>
      </c>
      <c r="P3684" s="2" t="n">
        <v>1</v>
      </c>
      <c r="Q3684" s="2" t="n">
        <v>12</v>
      </c>
      <c r="R3684" s="2" t="n">
        <v>6</v>
      </c>
      <c r="S3684" s="2" t="n">
        <v>5</v>
      </c>
      <c r="T3684" s="2" t="n">
        <v>0</v>
      </c>
      <c r="U3684" s="2" t="n">
        <v>4</v>
      </c>
      <c r="V3684" s="2" t="n">
        <v>3</v>
      </c>
      <c r="W3684" s="2" t="n">
        <v>1</v>
      </c>
      <c r="X3684" s="2" t="n">
        <v>1</v>
      </c>
      <c r="Y3684" s="2" t="n">
        <v>3</v>
      </c>
      <c r="Z3684" s="2" t="n">
        <v>3</v>
      </c>
    </row>
    <row r="3685" customFormat="false" ht="15" hidden="false" customHeight="true" outlineLevel="0" collapsed="false">
      <c r="A3685" s="2" t="n">
        <v>37</v>
      </c>
      <c r="B3685" s="2" t="s">
        <v>26</v>
      </c>
      <c r="C3685" s="2" t="s">
        <v>27</v>
      </c>
      <c r="D3685" s="2" t="s">
        <v>35</v>
      </c>
      <c r="E3685" s="2" t="n">
        <v>20</v>
      </c>
      <c r="F3685" s="2" t="n">
        <v>5</v>
      </c>
      <c r="G3685" s="2" t="s">
        <v>29</v>
      </c>
      <c r="H3685" s="2" t="n">
        <v>3684</v>
      </c>
      <c r="I3685" s="2" t="s">
        <v>39</v>
      </c>
      <c r="J3685" s="2" t="n">
        <v>2</v>
      </c>
      <c r="K3685" s="2" t="s">
        <v>49</v>
      </c>
      <c r="L3685" s="2" t="s">
        <v>37</v>
      </c>
      <c r="M3685" s="2" t="n">
        <v>68040</v>
      </c>
      <c r="N3685" s="2" t="n">
        <v>4</v>
      </c>
      <c r="O3685" s="2" t="n">
        <v>13</v>
      </c>
      <c r="P3685" s="2" t="n">
        <v>1</v>
      </c>
      <c r="Q3685" s="2" t="n">
        <v>8</v>
      </c>
      <c r="R3685" s="2" t="n">
        <v>1</v>
      </c>
      <c r="S3685" s="2" t="n">
        <v>3</v>
      </c>
      <c r="T3685" s="2" t="n">
        <v>0</v>
      </c>
      <c r="U3685" s="2" t="n">
        <v>2</v>
      </c>
      <c r="V3685" s="2" t="n">
        <v>1</v>
      </c>
      <c r="W3685" s="2" t="n">
        <v>3</v>
      </c>
      <c r="X3685" s="2" t="n">
        <v>3</v>
      </c>
      <c r="Y3685" s="2" t="n">
        <v>3</v>
      </c>
      <c r="Z3685" s="2" t="n">
        <v>3</v>
      </c>
    </row>
    <row r="3686" customFormat="false" ht="15" hidden="false" customHeight="true" outlineLevel="0" collapsed="false">
      <c r="A3686" s="2" t="n">
        <v>35</v>
      </c>
      <c r="B3686" s="2" t="s">
        <v>26</v>
      </c>
      <c r="C3686" s="2" t="s">
        <v>34</v>
      </c>
      <c r="D3686" s="2" t="s">
        <v>35</v>
      </c>
      <c r="E3686" s="2" t="n">
        <v>6</v>
      </c>
      <c r="F3686" s="2" t="n">
        <v>4</v>
      </c>
      <c r="G3686" s="2" t="s">
        <v>43</v>
      </c>
      <c r="H3686" s="2" t="n">
        <v>3685</v>
      </c>
      <c r="I3686" s="2" t="s">
        <v>30</v>
      </c>
      <c r="J3686" s="2" t="n">
        <v>2</v>
      </c>
      <c r="K3686" s="2" t="s">
        <v>44</v>
      </c>
      <c r="L3686" s="2" t="s">
        <v>37</v>
      </c>
      <c r="M3686" s="2" t="n">
        <v>61420</v>
      </c>
      <c r="N3686" s="2" t="n">
        <v>2</v>
      </c>
      <c r="O3686" s="2" t="n">
        <v>15</v>
      </c>
      <c r="P3686" s="2" t="n">
        <v>1</v>
      </c>
      <c r="Q3686" s="2" t="n">
        <v>10</v>
      </c>
      <c r="R3686" s="2" t="n">
        <v>2</v>
      </c>
      <c r="S3686" s="2" t="n">
        <v>2</v>
      </c>
      <c r="T3686" s="2" t="n">
        <v>2</v>
      </c>
      <c r="U3686" s="2" t="n">
        <v>2</v>
      </c>
      <c r="V3686" s="2" t="n">
        <v>3</v>
      </c>
      <c r="W3686" s="2" t="n">
        <v>4</v>
      </c>
      <c r="X3686" s="2" t="n">
        <v>3</v>
      </c>
      <c r="Y3686" s="2" t="n">
        <v>3</v>
      </c>
      <c r="Z3686" s="2" t="n">
        <v>3</v>
      </c>
    </row>
    <row r="3687" customFormat="false" ht="15" hidden="false" customHeight="true" outlineLevel="0" collapsed="false">
      <c r="A3687" s="2" t="n">
        <v>25</v>
      </c>
      <c r="B3687" s="2" t="s">
        <v>26</v>
      </c>
      <c r="C3687" s="2" t="s">
        <v>27</v>
      </c>
      <c r="D3687" s="2" t="s">
        <v>35</v>
      </c>
      <c r="E3687" s="2" t="n">
        <v>1</v>
      </c>
      <c r="F3687" s="2" t="n">
        <v>4</v>
      </c>
      <c r="G3687" s="2" t="s">
        <v>43</v>
      </c>
      <c r="H3687" s="2" t="n">
        <v>3686</v>
      </c>
      <c r="I3687" s="2" t="s">
        <v>39</v>
      </c>
      <c r="J3687" s="2" t="n">
        <v>2</v>
      </c>
      <c r="K3687" s="2" t="s">
        <v>40</v>
      </c>
      <c r="L3687" s="2" t="s">
        <v>32</v>
      </c>
      <c r="M3687" s="2" t="n">
        <v>25000</v>
      </c>
      <c r="N3687" s="2" t="n">
        <v>4</v>
      </c>
      <c r="O3687" s="2" t="n">
        <v>14</v>
      </c>
      <c r="P3687" s="2" t="n">
        <v>2</v>
      </c>
      <c r="Q3687" s="2" t="n">
        <v>7</v>
      </c>
      <c r="R3687" s="2" t="n">
        <v>2</v>
      </c>
      <c r="S3687" s="2" t="n">
        <v>3</v>
      </c>
      <c r="T3687" s="2" t="n">
        <v>0</v>
      </c>
      <c r="U3687" s="2" t="n">
        <v>2</v>
      </c>
      <c r="V3687" s="2" t="n">
        <v>1</v>
      </c>
      <c r="W3687" s="2" t="n">
        <v>4</v>
      </c>
      <c r="X3687" s="2" t="n">
        <v>2</v>
      </c>
      <c r="Y3687" s="2" t="n">
        <v>1</v>
      </c>
      <c r="Z3687" s="2" t="n">
        <v>3</v>
      </c>
    </row>
    <row r="3688" customFormat="false" ht="15" hidden="false" customHeight="true" outlineLevel="0" collapsed="false">
      <c r="A3688" s="2" t="n">
        <v>26</v>
      </c>
      <c r="B3688" s="2" t="s">
        <v>26</v>
      </c>
      <c r="C3688" s="2" t="s">
        <v>27</v>
      </c>
      <c r="D3688" s="2" t="s">
        <v>35</v>
      </c>
      <c r="E3688" s="2" t="n">
        <v>29</v>
      </c>
      <c r="F3688" s="2" t="n">
        <v>4</v>
      </c>
      <c r="G3688" s="2" t="s">
        <v>29</v>
      </c>
      <c r="H3688" s="2" t="n">
        <v>3687</v>
      </c>
      <c r="I3688" s="2" t="s">
        <v>39</v>
      </c>
      <c r="J3688" s="2" t="n">
        <v>1</v>
      </c>
      <c r="K3688" s="2" t="s">
        <v>36</v>
      </c>
      <c r="L3688" s="2" t="s">
        <v>37</v>
      </c>
      <c r="M3688" s="2" t="n">
        <v>63890</v>
      </c>
      <c r="N3688" s="2" t="n">
        <v>0</v>
      </c>
      <c r="O3688" s="2" t="n">
        <v>22</v>
      </c>
      <c r="P3688" s="2" t="n">
        <v>0</v>
      </c>
      <c r="Q3688" s="2" t="n">
        <v>8</v>
      </c>
      <c r="R3688" s="2" t="n">
        <v>2</v>
      </c>
      <c r="S3688" s="2" t="n">
        <v>7</v>
      </c>
      <c r="T3688" s="2" t="n">
        <v>0</v>
      </c>
      <c r="U3688" s="2" t="n">
        <v>7</v>
      </c>
      <c r="V3688" s="2" t="n">
        <v>3</v>
      </c>
      <c r="W3688" s="2" t="n">
        <v>1</v>
      </c>
      <c r="X3688" s="2" t="n">
        <v>3</v>
      </c>
      <c r="Y3688" s="2" t="n">
        <v>2</v>
      </c>
      <c r="Z3688" s="2" t="n">
        <v>4</v>
      </c>
    </row>
    <row r="3689" customFormat="false" ht="15" hidden="false" customHeight="true" outlineLevel="0" collapsed="false">
      <c r="A3689" s="2" t="n">
        <v>29</v>
      </c>
      <c r="B3689" s="2" t="s">
        <v>26</v>
      </c>
      <c r="C3689" s="2" t="s">
        <v>27</v>
      </c>
      <c r="D3689" s="2" t="s">
        <v>28</v>
      </c>
      <c r="E3689" s="2" t="n">
        <v>9</v>
      </c>
      <c r="F3689" s="2" t="n">
        <v>3</v>
      </c>
      <c r="G3689" s="2" t="s">
        <v>29</v>
      </c>
      <c r="H3689" s="2" t="n">
        <v>3688</v>
      </c>
      <c r="I3689" s="2" t="s">
        <v>39</v>
      </c>
      <c r="J3689" s="2" t="n">
        <v>1</v>
      </c>
      <c r="K3689" s="2" t="s">
        <v>45</v>
      </c>
      <c r="L3689" s="2" t="s">
        <v>37</v>
      </c>
      <c r="M3689" s="2" t="n">
        <v>111030</v>
      </c>
      <c r="N3689" s="2" t="n">
        <v>1</v>
      </c>
      <c r="O3689" s="2" t="n">
        <v>12</v>
      </c>
      <c r="P3689" s="2" t="n">
        <v>0</v>
      </c>
      <c r="Q3689" s="2" t="n">
        <v>10</v>
      </c>
      <c r="R3689" s="2" t="n">
        <v>5</v>
      </c>
      <c r="S3689" s="2" t="n">
        <v>10</v>
      </c>
      <c r="T3689" s="2" t="n">
        <v>0</v>
      </c>
      <c r="U3689" s="2" t="n">
        <v>9</v>
      </c>
      <c r="V3689" s="2" t="n">
        <v>2</v>
      </c>
      <c r="W3689" s="2" t="n">
        <v>1</v>
      </c>
      <c r="X3689" s="2" t="n">
        <v>2</v>
      </c>
      <c r="Y3689" s="2" t="n">
        <v>2</v>
      </c>
      <c r="Z3689" s="2" t="n">
        <v>3</v>
      </c>
    </row>
    <row r="3690" customFormat="false" ht="15" hidden="false" customHeight="true" outlineLevel="0" collapsed="false">
      <c r="A3690" s="2" t="n">
        <v>49</v>
      </c>
      <c r="B3690" s="2" t="s">
        <v>33</v>
      </c>
      <c r="C3690" s="2" t="s">
        <v>34</v>
      </c>
      <c r="D3690" s="2" t="s">
        <v>28</v>
      </c>
      <c r="E3690" s="2" t="n">
        <v>6</v>
      </c>
      <c r="F3690" s="2" t="n">
        <v>5</v>
      </c>
      <c r="G3690" s="2" t="s">
        <v>43</v>
      </c>
      <c r="H3690" s="2" t="n">
        <v>3689</v>
      </c>
      <c r="I3690" s="2" t="s">
        <v>30</v>
      </c>
      <c r="J3690" s="2" t="n">
        <v>2</v>
      </c>
      <c r="K3690" s="2" t="s">
        <v>31</v>
      </c>
      <c r="L3690" s="2" t="s">
        <v>37</v>
      </c>
      <c r="M3690" s="2" t="n">
        <v>23420</v>
      </c>
      <c r="N3690" s="2" t="n">
        <v>3</v>
      </c>
      <c r="O3690" s="2" t="n">
        <v>18</v>
      </c>
      <c r="P3690" s="2" t="n">
        <v>0</v>
      </c>
      <c r="Q3690" s="2" t="n">
        <v>20</v>
      </c>
      <c r="R3690" s="2" t="n">
        <v>2</v>
      </c>
      <c r="S3690" s="2" t="n">
        <v>4</v>
      </c>
      <c r="T3690" s="2" t="n">
        <v>1</v>
      </c>
      <c r="U3690" s="2" t="n">
        <v>3</v>
      </c>
      <c r="V3690" s="2" t="n">
        <v>1</v>
      </c>
      <c r="W3690" s="2" t="n">
        <v>1</v>
      </c>
      <c r="X3690" s="2" t="n">
        <v>3</v>
      </c>
      <c r="Y3690" s="2" t="n">
        <v>3</v>
      </c>
      <c r="Z3690" s="2" t="n">
        <v>3</v>
      </c>
    </row>
    <row r="3691" customFormat="false" ht="15" hidden="false" customHeight="true" outlineLevel="0" collapsed="false">
      <c r="A3691" s="2" t="n">
        <v>29</v>
      </c>
      <c r="B3691" s="2" t="s">
        <v>33</v>
      </c>
      <c r="C3691" s="2" t="s">
        <v>34</v>
      </c>
      <c r="D3691" s="2" t="s">
        <v>28</v>
      </c>
      <c r="E3691" s="2" t="n">
        <v>3</v>
      </c>
      <c r="F3691" s="2" t="n">
        <v>2</v>
      </c>
      <c r="G3691" s="2" t="s">
        <v>50</v>
      </c>
      <c r="H3691" s="2" t="n">
        <v>3690</v>
      </c>
      <c r="I3691" s="2" t="s">
        <v>30</v>
      </c>
      <c r="J3691" s="2" t="n">
        <v>2</v>
      </c>
      <c r="K3691" s="2" t="s">
        <v>45</v>
      </c>
      <c r="L3691" s="2" t="s">
        <v>37</v>
      </c>
      <c r="M3691" s="2" t="n">
        <v>68110</v>
      </c>
      <c r="N3691" s="2" t="n">
        <v>0</v>
      </c>
      <c r="O3691" s="2" t="n">
        <v>15</v>
      </c>
      <c r="P3691" s="2" t="n">
        <v>1</v>
      </c>
      <c r="Q3691" s="2" t="n">
        <v>9</v>
      </c>
      <c r="R3691" s="2" t="n">
        <v>2</v>
      </c>
      <c r="S3691" s="2" t="n">
        <v>8</v>
      </c>
      <c r="T3691" s="2" t="n">
        <v>7</v>
      </c>
      <c r="U3691" s="2" t="n">
        <v>7</v>
      </c>
      <c r="V3691" s="2" t="n">
        <v>3</v>
      </c>
      <c r="W3691" s="2" t="n">
        <v>4</v>
      </c>
      <c r="X3691" s="2" t="n">
        <v>3</v>
      </c>
      <c r="Y3691" s="2" t="n">
        <v>3</v>
      </c>
      <c r="Z3691" s="2" t="n">
        <v>3</v>
      </c>
    </row>
    <row r="3692" customFormat="false" ht="15" hidden="false" customHeight="true" outlineLevel="0" collapsed="false">
      <c r="A3692" s="2" t="n">
        <v>54</v>
      </c>
      <c r="B3692" s="2" t="s">
        <v>26</v>
      </c>
      <c r="C3692" s="2" t="s">
        <v>27</v>
      </c>
      <c r="D3692" s="2" t="s">
        <v>28</v>
      </c>
      <c r="E3692" s="2" t="n">
        <v>1</v>
      </c>
      <c r="F3692" s="2" t="n">
        <v>3</v>
      </c>
      <c r="G3692" s="2" t="s">
        <v>43</v>
      </c>
      <c r="H3692" s="2" t="n">
        <v>3691</v>
      </c>
      <c r="I3692" s="2" t="s">
        <v>30</v>
      </c>
      <c r="J3692" s="2" t="n">
        <v>2</v>
      </c>
      <c r="K3692" s="2" t="s">
        <v>49</v>
      </c>
      <c r="L3692" s="2" t="s">
        <v>37</v>
      </c>
      <c r="M3692" s="2" t="n">
        <v>22970</v>
      </c>
      <c r="N3692" s="2" t="n">
        <v>6</v>
      </c>
      <c r="O3692" s="2" t="n">
        <v>18</v>
      </c>
      <c r="P3692" s="2" t="n">
        <v>2</v>
      </c>
      <c r="Q3692" s="2" t="n">
        <v>29</v>
      </c>
      <c r="R3692" s="2" t="n">
        <v>2</v>
      </c>
      <c r="S3692" s="2" t="n">
        <v>20</v>
      </c>
      <c r="T3692" s="2" t="n">
        <v>12</v>
      </c>
      <c r="U3692" s="2" t="n">
        <v>7</v>
      </c>
      <c r="V3692" s="2" t="n">
        <v>4</v>
      </c>
      <c r="W3692" s="2" t="n">
        <v>4</v>
      </c>
      <c r="X3692" s="2" t="n">
        <v>2</v>
      </c>
      <c r="Y3692" s="2" t="n">
        <v>2</v>
      </c>
      <c r="Z3692" s="2" t="n">
        <v>3</v>
      </c>
    </row>
    <row r="3693" customFormat="false" ht="15" hidden="false" customHeight="true" outlineLevel="0" collapsed="false">
      <c r="A3693" s="2" t="n">
        <v>58</v>
      </c>
      <c r="B3693" s="2" t="s">
        <v>26</v>
      </c>
      <c r="C3693" s="2" t="s">
        <v>27</v>
      </c>
      <c r="D3693" s="2" t="s">
        <v>28</v>
      </c>
      <c r="E3693" s="2" t="n">
        <v>22</v>
      </c>
      <c r="F3693" s="2" t="n">
        <v>3</v>
      </c>
      <c r="G3693" s="2" t="s">
        <v>29</v>
      </c>
      <c r="H3693" s="2" t="n">
        <v>3692</v>
      </c>
      <c r="I3693" s="2" t="s">
        <v>30</v>
      </c>
      <c r="J3693" s="2" t="n">
        <v>2</v>
      </c>
      <c r="K3693" s="2" t="s">
        <v>45</v>
      </c>
      <c r="L3693" s="2" t="s">
        <v>32</v>
      </c>
      <c r="M3693" s="2" t="n">
        <v>24500</v>
      </c>
      <c r="N3693" s="2" t="n">
        <v>3</v>
      </c>
      <c r="O3693" s="2" t="n">
        <v>12</v>
      </c>
      <c r="P3693" s="2" t="n">
        <v>1</v>
      </c>
      <c r="Q3693" s="2" t="n">
        <v>32</v>
      </c>
      <c r="R3693" s="2" t="n">
        <v>2</v>
      </c>
      <c r="S3693" s="2" t="n">
        <v>9</v>
      </c>
      <c r="T3693" s="2" t="n">
        <v>1</v>
      </c>
      <c r="U3693" s="2" t="n">
        <v>5</v>
      </c>
      <c r="V3693" s="2" t="n">
        <v>4</v>
      </c>
      <c r="W3693" s="2" t="n">
        <v>1</v>
      </c>
      <c r="X3693" s="2" t="n">
        <v>3</v>
      </c>
      <c r="Y3693" s="2" t="n">
        <v>3</v>
      </c>
      <c r="Z3693" s="2" t="n">
        <v>3</v>
      </c>
    </row>
    <row r="3694" customFormat="false" ht="15" hidden="false" customHeight="true" outlineLevel="0" collapsed="false">
      <c r="A3694" s="2" t="n">
        <v>55</v>
      </c>
      <c r="B3694" s="2" t="s">
        <v>26</v>
      </c>
      <c r="C3694" s="2" t="s">
        <v>27</v>
      </c>
      <c r="D3694" s="2" t="s">
        <v>35</v>
      </c>
      <c r="E3694" s="2" t="n">
        <v>7</v>
      </c>
      <c r="F3694" s="2" t="n">
        <v>3</v>
      </c>
      <c r="G3694" s="2" t="s">
        <v>29</v>
      </c>
      <c r="H3694" s="2" t="n">
        <v>3693</v>
      </c>
      <c r="I3694" s="2" t="s">
        <v>30</v>
      </c>
      <c r="J3694" s="2" t="n">
        <v>3</v>
      </c>
      <c r="K3694" s="2" t="s">
        <v>36</v>
      </c>
      <c r="L3694" s="2" t="s">
        <v>46</v>
      </c>
      <c r="M3694" s="2" t="n">
        <v>50930</v>
      </c>
      <c r="N3694" s="2" t="n">
        <v>2</v>
      </c>
      <c r="O3694" s="2" t="n">
        <v>16</v>
      </c>
      <c r="P3694" s="2" t="n">
        <v>1</v>
      </c>
      <c r="Q3694" s="2" t="n">
        <v>31</v>
      </c>
      <c r="R3694" s="2" t="n">
        <v>3</v>
      </c>
      <c r="S3694" s="2" t="n">
        <v>7</v>
      </c>
      <c r="T3694" s="2" t="n">
        <v>0</v>
      </c>
      <c r="U3694" s="2" t="n">
        <v>0</v>
      </c>
      <c r="V3694" s="2" t="n">
        <v>2</v>
      </c>
      <c r="W3694" s="2" t="n">
        <v>4</v>
      </c>
      <c r="X3694" s="2" t="n">
        <v>4</v>
      </c>
      <c r="Y3694" s="2" t="n">
        <v>3</v>
      </c>
      <c r="Z3694" s="2" t="n">
        <v>3</v>
      </c>
    </row>
    <row r="3695" customFormat="false" ht="15" hidden="false" customHeight="true" outlineLevel="0" collapsed="false">
      <c r="A3695" s="2" t="n">
        <v>36</v>
      </c>
      <c r="B3695" s="2" t="s">
        <v>26</v>
      </c>
      <c r="C3695" s="2" t="s">
        <v>27</v>
      </c>
      <c r="D3695" s="2" t="s">
        <v>35</v>
      </c>
      <c r="E3695" s="2" t="n">
        <v>1</v>
      </c>
      <c r="F3695" s="2" t="n">
        <v>3</v>
      </c>
      <c r="G3695" s="2" t="s">
        <v>43</v>
      </c>
      <c r="H3695" s="2" t="n">
        <v>3694</v>
      </c>
      <c r="I3695" s="2" t="s">
        <v>39</v>
      </c>
      <c r="J3695" s="2" t="n">
        <v>2</v>
      </c>
      <c r="K3695" s="2" t="s">
        <v>40</v>
      </c>
      <c r="L3695" s="2" t="s">
        <v>37</v>
      </c>
      <c r="M3695" s="2" t="n">
        <v>53090</v>
      </c>
      <c r="N3695" s="2" t="n">
        <v>3</v>
      </c>
      <c r="O3695" s="2" t="n">
        <v>13</v>
      </c>
      <c r="P3695" s="2" t="n">
        <v>0</v>
      </c>
      <c r="Q3695" s="2" t="n">
        <v>15</v>
      </c>
      <c r="R3695" s="2" t="n">
        <v>5</v>
      </c>
      <c r="S3695" s="2" t="n">
        <v>5</v>
      </c>
      <c r="T3695" s="2" t="n">
        <v>0</v>
      </c>
      <c r="U3695" s="2" t="n">
        <v>1</v>
      </c>
      <c r="V3695" s="2" t="n">
        <v>1</v>
      </c>
      <c r="W3695" s="2" t="n">
        <v>2</v>
      </c>
      <c r="X3695" s="2" t="n">
        <v>3</v>
      </c>
      <c r="Y3695" s="2" t="n">
        <v>3</v>
      </c>
      <c r="Z3695" s="2" t="n">
        <v>3</v>
      </c>
    </row>
    <row r="3696" customFormat="false" ht="15" hidden="false" customHeight="true" outlineLevel="0" collapsed="false">
      <c r="A3696" s="2" t="n">
        <v>31</v>
      </c>
      <c r="B3696" s="2" t="s">
        <v>33</v>
      </c>
      <c r="C3696" s="2" t="s">
        <v>34</v>
      </c>
      <c r="D3696" s="2" t="s">
        <v>28</v>
      </c>
      <c r="E3696" s="2" t="n">
        <v>4</v>
      </c>
      <c r="F3696" s="2" t="n">
        <v>3</v>
      </c>
      <c r="G3696" s="2" t="s">
        <v>29</v>
      </c>
      <c r="H3696" s="2" t="n">
        <v>3695</v>
      </c>
      <c r="I3696" s="2" t="s">
        <v>39</v>
      </c>
      <c r="J3696" s="2" t="n">
        <v>2</v>
      </c>
      <c r="K3696" s="2" t="s">
        <v>49</v>
      </c>
      <c r="L3696" s="2" t="s">
        <v>37</v>
      </c>
      <c r="M3696" s="2" t="n">
        <v>30570</v>
      </c>
      <c r="N3696" s="2" t="n">
        <v>1</v>
      </c>
      <c r="O3696" s="2" t="n">
        <v>19</v>
      </c>
      <c r="P3696" s="2" t="n">
        <v>0</v>
      </c>
      <c r="Q3696" s="2" t="n">
        <v>1</v>
      </c>
      <c r="R3696" s="2" t="n">
        <v>3</v>
      </c>
      <c r="S3696" s="2" t="n">
        <v>1</v>
      </c>
      <c r="T3696" s="2" t="n">
        <v>0</v>
      </c>
      <c r="U3696" s="2" t="n">
        <v>0</v>
      </c>
      <c r="V3696" s="2" t="n">
        <v>2</v>
      </c>
      <c r="W3696" s="2" t="n">
        <v>3</v>
      </c>
      <c r="X3696" s="2" t="n">
        <v>3</v>
      </c>
      <c r="Y3696" s="2" t="n">
        <v>3</v>
      </c>
      <c r="Z3696" s="2" t="n">
        <v>3</v>
      </c>
    </row>
    <row r="3697" customFormat="false" ht="15" hidden="false" customHeight="true" outlineLevel="0" collapsed="false">
      <c r="A3697" s="2" t="n">
        <v>30</v>
      </c>
      <c r="B3697" s="2" t="s">
        <v>26</v>
      </c>
      <c r="C3697" s="2" t="s">
        <v>27</v>
      </c>
      <c r="D3697" s="2" t="s">
        <v>28</v>
      </c>
      <c r="E3697" s="2" t="n">
        <v>3</v>
      </c>
      <c r="F3697" s="2" t="n">
        <v>3</v>
      </c>
      <c r="G3697" s="2" t="s">
        <v>29</v>
      </c>
      <c r="H3697" s="2" t="n">
        <v>3696</v>
      </c>
      <c r="I3697" s="2" t="s">
        <v>39</v>
      </c>
      <c r="J3697" s="2" t="n">
        <v>3</v>
      </c>
      <c r="K3697" s="2" t="s">
        <v>40</v>
      </c>
      <c r="L3697" s="2" t="s">
        <v>46</v>
      </c>
      <c r="M3697" s="2" t="n">
        <v>51210</v>
      </c>
      <c r="N3697" s="2" t="n">
        <v>7</v>
      </c>
      <c r="O3697" s="2" t="n">
        <v>13</v>
      </c>
      <c r="P3697" s="2" t="n">
        <v>0</v>
      </c>
      <c r="Q3697" s="2" t="n">
        <v>8</v>
      </c>
      <c r="R3697" s="2" t="n">
        <v>4</v>
      </c>
      <c r="S3697" s="2" t="n">
        <v>3</v>
      </c>
      <c r="T3697" s="2" t="n">
        <v>0</v>
      </c>
      <c r="U3697" s="2" t="n">
        <v>2</v>
      </c>
      <c r="V3697" s="2" t="n">
        <v>4</v>
      </c>
      <c r="W3697" s="2" t="n">
        <v>1</v>
      </c>
      <c r="X3697" s="2" t="n">
        <v>3</v>
      </c>
      <c r="Y3697" s="2" t="n">
        <v>3</v>
      </c>
      <c r="Z3697" s="2" t="n">
        <v>3</v>
      </c>
    </row>
    <row r="3698" customFormat="false" ht="15" hidden="false" customHeight="true" outlineLevel="0" collapsed="false">
      <c r="A3698" s="2" t="n">
        <v>31</v>
      </c>
      <c r="B3698" s="2" t="s">
        <v>26</v>
      </c>
      <c r="C3698" s="2" t="s">
        <v>27</v>
      </c>
      <c r="D3698" s="2" t="s">
        <v>35</v>
      </c>
      <c r="E3698" s="2" t="n">
        <v>1</v>
      </c>
      <c r="F3698" s="2" t="n">
        <v>3</v>
      </c>
      <c r="G3698" s="2" t="s">
        <v>43</v>
      </c>
      <c r="H3698" s="2" t="n">
        <v>3697</v>
      </c>
      <c r="I3698" s="2" t="s">
        <v>39</v>
      </c>
      <c r="J3698" s="2" t="n">
        <v>1</v>
      </c>
      <c r="K3698" s="2" t="s">
        <v>45</v>
      </c>
      <c r="L3698" s="2" t="s">
        <v>37</v>
      </c>
      <c r="M3698" s="2" t="n">
        <v>168560</v>
      </c>
      <c r="N3698" s="2" t="n">
        <v>3</v>
      </c>
      <c r="O3698" s="2" t="n">
        <v>12</v>
      </c>
      <c r="P3698" s="2" t="n">
        <v>1</v>
      </c>
      <c r="Q3698" s="2" t="n">
        <v>9</v>
      </c>
      <c r="R3698" s="2" t="n">
        <v>3</v>
      </c>
      <c r="S3698" s="2" t="n">
        <v>3</v>
      </c>
      <c r="T3698" s="2" t="n">
        <v>1</v>
      </c>
      <c r="U3698" s="2" t="n">
        <v>0</v>
      </c>
      <c r="V3698" s="2" t="n">
        <v>1</v>
      </c>
      <c r="W3698" s="2" t="n">
        <v>2</v>
      </c>
      <c r="X3698" s="2" t="n">
        <v>4</v>
      </c>
      <c r="Y3698" s="2" t="n">
        <v>3</v>
      </c>
      <c r="Z3698" s="2" t="n">
        <v>3</v>
      </c>
    </row>
    <row r="3699" customFormat="false" ht="15" hidden="false" customHeight="true" outlineLevel="0" collapsed="false">
      <c r="A3699" s="2" t="n">
        <v>34</v>
      </c>
      <c r="B3699" s="2" t="s">
        <v>26</v>
      </c>
      <c r="C3699" s="2" t="s">
        <v>34</v>
      </c>
      <c r="D3699" s="2" t="s">
        <v>28</v>
      </c>
      <c r="E3699" s="2" t="n">
        <v>2</v>
      </c>
      <c r="F3699" s="2" t="n">
        <v>1</v>
      </c>
      <c r="G3699" s="2" t="s">
        <v>50</v>
      </c>
      <c r="H3699" s="2" t="n">
        <v>3698</v>
      </c>
      <c r="I3699" s="2" t="s">
        <v>30</v>
      </c>
      <c r="J3699" s="2" t="n">
        <v>5</v>
      </c>
      <c r="K3699" s="2" t="s">
        <v>49</v>
      </c>
      <c r="L3699" s="2" t="s">
        <v>46</v>
      </c>
      <c r="M3699" s="2" t="n">
        <v>26860</v>
      </c>
      <c r="N3699" s="2" t="n">
        <v>5</v>
      </c>
      <c r="O3699" s="2" t="n">
        <v>11</v>
      </c>
      <c r="P3699" s="2" t="n">
        <v>0</v>
      </c>
      <c r="Q3699" s="2" t="n">
        <v>10</v>
      </c>
      <c r="R3699" s="2" t="n">
        <v>3</v>
      </c>
      <c r="S3699" s="2" t="n">
        <v>4</v>
      </c>
      <c r="T3699" s="2" t="n">
        <v>1</v>
      </c>
      <c r="U3699" s="2" t="n">
        <v>3</v>
      </c>
      <c r="V3699" s="2" t="n">
        <v>4</v>
      </c>
      <c r="W3699" s="2" t="n">
        <v>1</v>
      </c>
      <c r="X3699" s="2" t="n">
        <v>3</v>
      </c>
      <c r="Y3699" s="2" t="n">
        <v>4</v>
      </c>
      <c r="Z3699" s="2" t="n">
        <v>3</v>
      </c>
    </row>
    <row r="3700" customFormat="false" ht="15" hidden="false" customHeight="true" outlineLevel="0" collapsed="false">
      <c r="A3700" s="2" t="n">
        <v>31</v>
      </c>
      <c r="B3700" s="2" t="s">
        <v>33</v>
      </c>
      <c r="C3700" s="2" t="s">
        <v>27</v>
      </c>
      <c r="D3700" s="2" t="s">
        <v>28</v>
      </c>
      <c r="E3700" s="2" t="n">
        <v>20</v>
      </c>
      <c r="F3700" s="2" t="n">
        <v>3</v>
      </c>
      <c r="G3700" s="2" t="s">
        <v>51</v>
      </c>
      <c r="H3700" s="2" t="n">
        <v>3699</v>
      </c>
      <c r="I3700" s="2" t="s">
        <v>39</v>
      </c>
      <c r="J3700" s="2" t="n">
        <v>1</v>
      </c>
      <c r="K3700" s="2" t="s">
        <v>36</v>
      </c>
      <c r="L3700" s="2" t="s">
        <v>37</v>
      </c>
      <c r="M3700" s="2" t="n">
        <v>61800</v>
      </c>
      <c r="N3700" s="2" t="n">
        <v>1</v>
      </c>
      <c r="O3700" s="2" t="n">
        <v>14</v>
      </c>
      <c r="P3700" s="2" t="n">
        <v>1</v>
      </c>
      <c r="Q3700" s="2" t="n">
        <v>1</v>
      </c>
      <c r="R3700" s="2" t="n">
        <v>2</v>
      </c>
      <c r="S3700" s="2" t="n">
        <v>1</v>
      </c>
      <c r="T3700" s="2" t="n">
        <v>0</v>
      </c>
      <c r="U3700" s="2" t="n">
        <v>0</v>
      </c>
      <c r="V3700" s="2" t="n">
        <v>1</v>
      </c>
      <c r="W3700" s="2" t="n">
        <v>2</v>
      </c>
      <c r="X3700" s="2" t="n">
        <v>4</v>
      </c>
      <c r="Y3700" s="2" t="n">
        <v>1</v>
      </c>
      <c r="Z3700" s="2" t="n">
        <v>3</v>
      </c>
    </row>
    <row r="3701" customFormat="false" ht="15" hidden="false" customHeight="true" outlineLevel="0" collapsed="false">
      <c r="A3701" s="2" t="n">
        <v>27</v>
      </c>
      <c r="B3701" s="2" t="s">
        <v>26</v>
      </c>
      <c r="C3701" s="2" t="s">
        <v>27</v>
      </c>
      <c r="D3701" s="2" t="s">
        <v>42</v>
      </c>
      <c r="E3701" s="2" t="n">
        <v>11</v>
      </c>
      <c r="F3701" s="2" t="n">
        <v>4</v>
      </c>
      <c r="G3701" s="2" t="s">
        <v>43</v>
      </c>
      <c r="H3701" s="2" t="n">
        <v>3700</v>
      </c>
      <c r="I3701" s="2" t="s">
        <v>39</v>
      </c>
      <c r="J3701" s="2" t="n">
        <v>4</v>
      </c>
      <c r="K3701" s="2" t="s">
        <v>40</v>
      </c>
      <c r="L3701" s="2" t="s">
        <v>32</v>
      </c>
      <c r="M3701" s="2" t="n">
        <v>66320</v>
      </c>
      <c r="N3701" s="2" t="n">
        <v>0</v>
      </c>
      <c r="O3701" s="2" t="n">
        <v>16</v>
      </c>
      <c r="P3701" s="2" t="n">
        <v>0</v>
      </c>
      <c r="Q3701" s="2" t="n">
        <v>6</v>
      </c>
      <c r="R3701" s="2" t="n">
        <v>3</v>
      </c>
      <c r="S3701" s="2" t="n">
        <v>5</v>
      </c>
      <c r="T3701" s="2" t="n">
        <v>1</v>
      </c>
      <c r="U3701" s="2" t="n">
        <v>4</v>
      </c>
      <c r="V3701" s="2" t="n">
        <v>2</v>
      </c>
      <c r="W3701" s="2" t="n">
        <v>1</v>
      </c>
      <c r="X3701" s="2" t="n">
        <v>4</v>
      </c>
      <c r="Y3701" s="2" t="n">
        <v>3</v>
      </c>
      <c r="Z3701" s="2" t="n">
        <v>3</v>
      </c>
    </row>
    <row r="3702" customFormat="false" ht="15" hidden="false" customHeight="true" outlineLevel="0" collapsed="false">
      <c r="A3702" s="2" t="n">
        <v>36</v>
      </c>
      <c r="B3702" s="2" t="s">
        <v>26</v>
      </c>
      <c r="C3702" s="2" t="s">
        <v>27</v>
      </c>
      <c r="D3702" s="2" t="s">
        <v>28</v>
      </c>
      <c r="E3702" s="2" t="n">
        <v>1</v>
      </c>
      <c r="F3702" s="2" t="n">
        <v>3</v>
      </c>
      <c r="G3702" s="2" t="s">
        <v>50</v>
      </c>
      <c r="H3702" s="2" t="n">
        <v>3701</v>
      </c>
      <c r="I3702" s="2" t="s">
        <v>39</v>
      </c>
      <c r="J3702" s="2" t="n">
        <v>2</v>
      </c>
      <c r="K3702" s="2" t="s">
        <v>36</v>
      </c>
      <c r="L3702" s="2" t="s">
        <v>37</v>
      </c>
      <c r="M3702" s="2" t="n">
        <v>35050</v>
      </c>
      <c r="N3702" s="2" t="n">
        <v>1</v>
      </c>
      <c r="O3702" s="2" t="n">
        <v>12</v>
      </c>
      <c r="P3702" s="2" t="n">
        <v>2</v>
      </c>
      <c r="Q3702" s="2" t="n">
        <v>10</v>
      </c>
      <c r="R3702" s="2" t="n">
        <v>2</v>
      </c>
      <c r="S3702" s="2" t="n">
        <v>10</v>
      </c>
      <c r="T3702" s="2" t="n">
        <v>1</v>
      </c>
      <c r="U3702" s="2" t="n">
        <v>8</v>
      </c>
      <c r="V3702" s="2" t="n">
        <v>1</v>
      </c>
      <c r="W3702" s="2" t="n">
        <v>4</v>
      </c>
      <c r="X3702" s="2" t="n">
        <v>2</v>
      </c>
      <c r="Y3702" s="2" t="n">
        <v>2</v>
      </c>
      <c r="Z3702" s="2" t="n">
        <v>3</v>
      </c>
    </row>
    <row r="3703" customFormat="false" ht="15" hidden="false" customHeight="true" outlineLevel="0" collapsed="false">
      <c r="A3703" s="2" t="n">
        <v>36</v>
      </c>
      <c r="B3703" s="2" t="s">
        <v>26</v>
      </c>
      <c r="C3703" s="2" t="s">
        <v>27</v>
      </c>
      <c r="D3703" s="2" t="s">
        <v>35</v>
      </c>
      <c r="E3703" s="2" t="n">
        <v>24</v>
      </c>
      <c r="F3703" s="2" t="n">
        <v>3</v>
      </c>
      <c r="G3703" s="2" t="s">
        <v>38</v>
      </c>
      <c r="H3703" s="2" t="n">
        <v>3702</v>
      </c>
      <c r="I3703" s="2" t="s">
        <v>30</v>
      </c>
      <c r="J3703" s="2" t="n">
        <v>3</v>
      </c>
      <c r="K3703" s="2" t="s">
        <v>44</v>
      </c>
      <c r="L3703" s="2" t="s">
        <v>32</v>
      </c>
      <c r="M3703" s="2" t="n">
        <v>63970</v>
      </c>
      <c r="N3703" s="2" t="n">
        <v>4</v>
      </c>
      <c r="O3703" s="2" t="n">
        <v>14</v>
      </c>
      <c r="P3703" s="2" t="n">
        <v>1</v>
      </c>
      <c r="Q3703" s="2" t="n">
        <v>11</v>
      </c>
      <c r="R3703" s="2" t="n">
        <v>3</v>
      </c>
      <c r="S3703" s="2" t="n">
        <v>3</v>
      </c>
      <c r="T3703" s="2" t="n">
        <v>0</v>
      </c>
      <c r="U3703" s="2" t="n">
        <v>2</v>
      </c>
      <c r="V3703" s="2" t="n">
        <v>3</v>
      </c>
      <c r="W3703" s="2" t="n">
        <v>1</v>
      </c>
      <c r="X3703" s="2" t="n">
        <v>2</v>
      </c>
      <c r="Y3703" s="2" t="n">
        <v>3</v>
      </c>
      <c r="Z3703" s="2" t="n">
        <v>3</v>
      </c>
    </row>
    <row r="3704" customFormat="false" ht="15" hidden="false" customHeight="true" outlineLevel="0" collapsed="false">
      <c r="A3704" s="2" t="n">
        <v>47</v>
      </c>
      <c r="B3704" s="2" t="s">
        <v>26</v>
      </c>
      <c r="C3704" s="2" t="s">
        <v>27</v>
      </c>
      <c r="D3704" s="2" t="s">
        <v>35</v>
      </c>
      <c r="E3704" s="2" t="n">
        <v>23</v>
      </c>
      <c r="F3704" s="2" t="n">
        <v>4</v>
      </c>
      <c r="G3704" s="2" t="s">
        <v>29</v>
      </c>
      <c r="H3704" s="2" t="n">
        <v>3703</v>
      </c>
      <c r="I3704" s="2" t="s">
        <v>30</v>
      </c>
      <c r="J3704" s="2" t="n">
        <v>2</v>
      </c>
      <c r="K3704" s="2" t="s">
        <v>40</v>
      </c>
      <c r="L3704" s="2" t="s">
        <v>32</v>
      </c>
      <c r="M3704" s="2" t="n">
        <v>62740</v>
      </c>
      <c r="N3704" s="2" t="n">
        <v>7</v>
      </c>
      <c r="O3704" s="2" t="n">
        <v>14</v>
      </c>
      <c r="P3704" s="2" t="n">
        <v>2</v>
      </c>
      <c r="Q3704" s="2" t="n">
        <v>17</v>
      </c>
      <c r="R3704" s="2" t="n">
        <v>0</v>
      </c>
      <c r="S3704" s="2" t="n">
        <v>6</v>
      </c>
      <c r="T3704" s="2" t="n">
        <v>1</v>
      </c>
      <c r="U3704" s="2" t="n">
        <v>2</v>
      </c>
      <c r="V3704" s="2" t="n">
        <v>1</v>
      </c>
      <c r="W3704" s="2" t="n">
        <v>4</v>
      </c>
      <c r="X3704" s="2" t="n">
        <v>2</v>
      </c>
      <c r="Y3704" s="2" t="n">
        <v>3</v>
      </c>
      <c r="Z3704" s="2" t="n">
        <v>3</v>
      </c>
    </row>
    <row r="3705" customFormat="false" ht="15" hidden="false" customHeight="true" outlineLevel="0" collapsed="false">
      <c r="A3705" s="2" t="n">
        <v>25</v>
      </c>
      <c r="B3705" s="2" t="s">
        <v>33</v>
      </c>
      <c r="C3705" s="2" t="s">
        <v>27</v>
      </c>
      <c r="D3705" s="2" t="s">
        <v>28</v>
      </c>
      <c r="E3705" s="2" t="n">
        <v>16</v>
      </c>
      <c r="F3705" s="2" t="n">
        <v>4</v>
      </c>
      <c r="G3705" s="2" t="s">
        <v>29</v>
      </c>
      <c r="H3705" s="2" t="n">
        <v>3704</v>
      </c>
      <c r="I3705" s="2" t="s">
        <v>39</v>
      </c>
      <c r="J3705" s="2" t="n">
        <v>2</v>
      </c>
      <c r="K3705" s="2" t="s">
        <v>36</v>
      </c>
      <c r="L3705" s="2" t="s">
        <v>32</v>
      </c>
      <c r="M3705" s="2" t="n">
        <v>198590</v>
      </c>
      <c r="N3705" s="2" t="n">
        <v>3</v>
      </c>
      <c r="O3705" s="2" t="n">
        <v>19</v>
      </c>
      <c r="P3705" s="2" t="n">
        <v>0</v>
      </c>
      <c r="Q3705" s="2" t="n">
        <v>6</v>
      </c>
      <c r="R3705" s="2" t="n">
        <v>3</v>
      </c>
      <c r="S3705" s="2" t="n">
        <v>3</v>
      </c>
      <c r="T3705" s="2" t="n">
        <v>2</v>
      </c>
      <c r="U3705" s="2" t="n">
        <v>2</v>
      </c>
      <c r="V3705" s="2" t="n">
        <v>1</v>
      </c>
      <c r="W3705" s="2" t="n">
        <v>1</v>
      </c>
      <c r="X3705" s="2" t="n">
        <v>3</v>
      </c>
      <c r="Y3705" s="2" t="n">
        <v>2</v>
      </c>
      <c r="Z3705" s="2" t="n">
        <v>3</v>
      </c>
    </row>
    <row r="3706" customFormat="false" ht="15" hidden="false" customHeight="true" outlineLevel="0" collapsed="false">
      <c r="A3706" s="2" t="n">
        <v>37</v>
      </c>
      <c r="B3706" s="2" t="s">
        <v>26</v>
      </c>
      <c r="C3706" s="2" t="s">
        <v>41</v>
      </c>
      <c r="D3706" s="2" t="s">
        <v>28</v>
      </c>
      <c r="E3706" s="2" t="n">
        <v>8</v>
      </c>
      <c r="F3706" s="2" t="n">
        <v>4</v>
      </c>
      <c r="G3706" s="2" t="s">
        <v>43</v>
      </c>
      <c r="H3706" s="2" t="n">
        <v>3705</v>
      </c>
      <c r="I3706" s="2" t="s">
        <v>39</v>
      </c>
      <c r="J3706" s="2" t="n">
        <v>1</v>
      </c>
      <c r="K3706" s="2" t="s">
        <v>31</v>
      </c>
      <c r="L3706" s="2" t="s">
        <v>37</v>
      </c>
      <c r="M3706" s="2" t="n">
        <v>75870</v>
      </c>
      <c r="N3706" s="2" t="n">
        <v>0</v>
      </c>
      <c r="O3706" s="2" t="n">
        <v>22</v>
      </c>
      <c r="P3706" s="2" t="n">
        <v>1</v>
      </c>
      <c r="Q3706" s="2" t="n">
        <v>7</v>
      </c>
      <c r="R3706" s="2" t="n">
        <v>5</v>
      </c>
      <c r="S3706" s="2" t="n">
        <v>6</v>
      </c>
      <c r="T3706" s="2" t="n">
        <v>1</v>
      </c>
      <c r="U3706" s="2" t="n">
        <v>3</v>
      </c>
      <c r="V3706" s="2" t="n">
        <v>3</v>
      </c>
      <c r="W3706" s="2" t="n">
        <v>3</v>
      </c>
      <c r="X3706" s="2" t="n">
        <v>1</v>
      </c>
      <c r="Y3706" s="2" t="n">
        <v>3</v>
      </c>
      <c r="Z3706" s="2" t="n">
        <v>4</v>
      </c>
    </row>
    <row r="3707" customFormat="false" ht="15" hidden="false" customHeight="true" outlineLevel="0" collapsed="false">
      <c r="A3707" s="2" t="n">
        <v>56</v>
      </c>
      <c r="B3707" s="2" t="s">
        <v>26</v>
      </c>
      <c r="C3707" s="2" t="s">
        <v>27</v>
      </c>
      <c r="D3707" s="2" t="s">
        <v>35</v>
      </c>
      <c r="E3707" s="2" t="n">
        <v>10</v>
      </c>
      <c r="F3707" s="2" t="n">
        <v>4</v>
      </c>
      <c r="G3707" s="2" t="s">
        <v>38</v>
      </c>
      <c r="H3707" s="2" t="n">
        <v>3706</v>
      </c>
      <c r="I3707" s="2" t="s">
        <v>39</v>
      </c>
      <c r="J3707" s="2" t="n">
        <v>2</v>
      </c>
      <c r="K3707" s="2" t="s">
        <v>48</v>
      </c>
      <c r="L3707" s="2" t="s">
        <v>32</v>
      </c>
      <c r="M3707" s="2" t="n">
        <v>42580</v>
      </c>
      <c r="N3707" s="2" t="n">
        <v>2</v>
      </c>
      <c r="O3707" s="2" t="n">
        <v>16</v>
      </c>
      <c r="P3707" s="2" t="n">
        <v>0</v>
      </c>
      <c r="Q3707" s="2" t="n">
        <v>5</v>
      </c>
      <c r="R3707" s="2" t="n">
        <v>2</v>
      </c>
      <c r="S3707" s="2" t="n">
        <v>3</v>
      </c>
      <c r="T3707" s="2" t="n">
        <v>1</v>
      </c>
      <c r="U3707" s="2" t="n">
        <v>0</v>
      </c>
      <c r="V3707" s="2" t="n">
        <v>1</v>
      </c>
      <c r="W3707" s="2" t="n">
        <v>1</v>
      </c>
      <c r="X3707" s="2" t="n">
        <v>4</v>
      </c>
      <c r="Y3707" s="2" t="n">
        <v>3</v>
      </c>
      <c r="Z3707" s="2" t="n">
        <v>3</v>
      </c>
    </row>
    <row r="3708" customFormat="false" ht="15" hidden="false" customHeight="true" outlineLevel="0" collapsed="false">
      <c r="A3708" s="2" t="n">
        <v>47</v>
      </c>
      <c r="B3708" s="2" t="s">
        <v>26</v>
      </c>
      <c r="C3708" s="2" t="s">
        <v>27</v>
      </c>
      <c r="D3708" s="2" t="s">
        <v>35</v>
      </c>
      <c r="E3708" s="2" t="n">
        <v>3</v>
      </c>
      <c r="F3708" s="2" t="n">
        <v>2</v>
      </c>
      <c r="G3708" s="2" t="s">
        <v>43</v>
      </c>
      <c r="H3708" s="2" t="n">
        <v>3707</v>
      </c>
      <c r="I3708" s="2" t="s">
        <v>39</v>
      </c>
      <c r="J3708" s="2" t="n">
        <v>2</v>
      </c>
      <c r="K3708" s="2" t="s">
        <v>45</v>
      </c>
      <c r="L3708" s="2" t="s">
        <v>32</v>
      </c>
      <c r="M3708" s="2" t="n">
        <v>43640</v>
      </c>
      <c r="N3708" s="2" t="n">
        <v>3</v>
      </c>
      <c r="O3708" s="2" t="n">
        <v>11</v>
      </c>
      <c r="P3708" s="2" t="n">
        <v>1</v>
      </c>
      <c r="Q3708" s="2" t="n">
        <v>26</v>
      </c>
      <c r="R3708" s="2" t="n">
        <v>3</v>
      </c>
      <c r="S3708" s="2" t="n">
        <v>20</v>
      </c>
      <c r="T3708" s="2" t="n">
        <v>5</v>
      </c>
      <c r="U3708" s="2" t="n">
        <v>6</v>
      </c>
      <c r="V3708" s="2" t="n">
        <v>1</v>
      </c>
      <c r="W3708" s="2" t="n">
        <v>3</v>
      </c>
      <c r="X3708" s="2" t="n">
        <v>4</v>
      </c>
      <c r="Y3708" s="2" t="n">
        <v>3</v>
      </c>
      <c r="Z3708" s="2" t="n">
        <v>3</v>
      </c>
    </row>
    <row r="3709" customFormat="false" ht="15" hidden="false" customHeight="true" outlineLevel="0" collapsed="false">
      <c r="A3709" s="2" t="n">
        <v>24</v>
      </c>
      <c r="B3709" s="2" t="s">
        <v>26</v>
      </c>
      <c r="C3709" s="2" t="s">
        <v>27</v>
      </c>
      <c r="D3709" s="2" t="s">
        <v>35</v>
      </c>
      <c r="E3709" s="2" t="n">
        <v>5</v>
      </c>
      <c r="F3709" s="2" t="n">
        <v>1</v>
      </c>
      <c r="G3709" s="2" t="s">
        <v>38</v>
      </c>
      <c r="H3709" s="2" t="n">
        <v>3708</v>
      </c>
      <c r="I3709" s="2" t="s">
        <v>39</v>
      </c>
      <c r="J3709" s="2" t="n">
        <v>1</v>
      </c>
      <c r="K3709" s="2" t="s">
        <v>47</v>
      </c>
      <c r="L3709" s="2" t="s">
        <v>32</v>
      </c>
      <c r="M3709" s="2" t="n">
        <v>43350</v>
      </c>
      <c r="N3709" s="2" t="n">
        <v>1</v>
      </c>
      <c r="O3709" s="2" t="n">
        <v>15</v>
      </c>
      <c r="P3709" s="2" t="n">
        <v>1</v>
      </c>
      <c r="Q3709" s="2" t="n">
        <v>5</v>
      </c>
      <c r="R3709" s="2" t="n">
        <v>5</v>
      </c>
      <c r="S3709" s="2" t="n">
        <v>5</v>
      </c>
      <c r="T3709" s="2" t="n">
        <v>0</v>
      </c>
      <c r="U3709" s="2" t="n">
        <v>3</v>
      </c>
      <c r="V3709" s="2" t="n">
        <v>4</v>
      </c>
      <c r="W3709" s="2" t="n">
        <v>3</v>
      </c>
      <c r="X3709" s="2" t="n">
        <v>3</v>
      </c>
      <c r="Y3709" s="2" t="n">
        <v>3</v>
      </c>
      <c r="Z3709" s="2" t="n">
        <v>3</v>
      </c>
    </row>
    <row r="3710" customFormat="false" ht="15" hidden="false" customHeight="true" outlineLevel="0" collapsed="false">
      <c r="A3710" s="2" t="n">
        <v>32</v>
      </c>
      <c r="B3710" s="2" t="s">
        <v>26</v>
      </c>
      <c r="C3710" s="2" t="s">
        <v>27</v>
      </c>
      <c r="D3710" s="2" t="s">
        <v>28</v>
      </c>
      <c r="E3710" s="2" t="n">
        <v>4</v>
      </c>
      <c r="F3710" s="2" t="n">
        <v>3</v>
      </c>
      <c r="G3710" s="2" t="s">
        <v>50</v>
      </c>
      <c r="H3710" s="2" t="n">
        <v>3709</v>
      </c>
      <c r="I3710" s="2" t="s">
        <v>39</v>
      </c>
      <c r="J3710" s="2" t="n">
        <v>1</v>
      </c>
      <c r="K3710" s="2" t="s">
        <v>36</v>
      </c>
      <c r="L3710" s="2" t="s">
        <v>32</v>
      </c>
      <c r="M3710" s="2" t="n">
        <v>53260</v>
      </c>
      <c r="N3710" s="2" t="n">
        <v>4</v>
      </c>
      <c r="O3710" s="2" t="n">
        <v>14</v>
      </c>
      <c r="P3710" s="2" t="n">
        <v>1</v>
      </c>
      <c r="Q3710" s="2" t="n">
        <v>7</v>
      </c>
      <c r="R3710" s="2" t="n">
        <v>2</v>
      </c>
      <c r="S3710" s="2" t="n">
        <v>4</v>
      </c>
      <c r="T3710" s="2" t="n">
        <v>0</v>
      </c>
      <c r="U3710" s="2" t="n">
        <v>3</v>
      </c>
      <c r="V3710" s="2" t="n">
        <v>4</v>
      </c>
      <c r="W3710" s="2" t="n">
        <v>4</v>
      </c>
      <c r="X3710" s="2" t="n">
        <v>2</v>
      </c>
      <c r="Y3710" s="2" t="n">
        <v>3</v>
      </c>
      <c r="Z3710" s="2" t="n">
        <v>3</v>
      </c>
    </row>
    <row r="3711" customFormat="false" ht="15" hidden="false" customHeight="true" outlineLevel="0" collapsed="false">
      <c r="A3711" s="2" t="n">
        <v>34</v>
      </c>
      <c r="B3711" s="2" t="s">
        <v>26</v>
      </c>
      <c r="C3711" s="2" t="s">
        <v>27</v>
      </c>
      <c r="D3711" s="2" t="s">
        <v>35</v>
      </c>
      <c r="E3711" s="2" t="n">
        <v>9</v>
      </c>
      <c r="F3711" s="2" t="n">
        <v>2</v>
      </c>
      <c r="G3711" s="2" t="s">
        <v>43</v>
      </c>
      <c r="H3711" s="2" t="n">
        <v>3710</v>
      </c>
      <c r="I3711" s="2" t="s">
        <v>39</v>
      </c>
      <c r="J3711" s="2" t="n">
        <v>1</v>
      </c>
      <c r="K3711" s="2" t="s">
        <v>40</v>
      </c>
      <c r="L3711" s="2" t="s">
        <v>32</v>
      </c>
      <c r="M3711" s="2" t="n">
        <v>32800</v>
      </c>
      <c r="N3711" s="2" t="n">
        <v>5</v>
      </c>
      <c r="O3711" s="2" t="n">
        <v>13</v>
      </c>
      <c r="P3711" s="2" t="n">
        <v>0</v>
      </c>
      <c r="Q3711" s="2" t="n">
        <v>7</v>
      </c>
      <c r="R3711" s="2" t="n">
        <v>3</v>
      </c>
      <c r="S3711" s="2" t="n">
        <v>5</v>
      </c>
      <c r="T3711" s="2" t="n">
        <v>0</v>
      </c>
      <c r="U3711" s="2" t="n">
        <v>2</v>
      </c>
      <c r="V3711" s="2" t="n">
        <v>4</v>
      </c>
      <c r="W3711" s="2" t="n">
        <v>2</v>
      </c>
      <c r="X3711" s="2" t="n">
        <v>2</v>
      </c>
      <c r="Y3711" s="2" t="n">
        <v>3</v>
      </c>
      <c r="Z3711" s="2" t="n">
        <v>3</v>
      </c>
    </row>
    <row r="3712" customFormat="false" ht="15" hidden="false" customHeight="true" outlineLevel="0" collapsed="false">
      <c r="A3712" s="2" t="n">
        <v>41</v>
      </c>
      <c r="B3712" s="2" t="s">
        <v>26</v>
      </c>
      <c r="C3712" s="2" t="s">
        <v>27</v>
      </c>
      <c r="D3712" s="2" t="s">
        <v>35</v>
      </c>
      <c r="E3712" s="2" t="n">
        <v>26</v>
      </c>
      <c r="F3712" s="2" t="n">
        <v>3</v>
      </c>
      <c r="G3712" s="2" t="s">
        <v>43</v>
      </c>
      <c r="H3712" s="2" t="n">
        <v>3711</v>
      </c>
      <c r="I3712" s="2" t="s">
        <v>30</v>
      </c>
      <c r="J3712" s="2" t="n">
        <v>3</v>
      </c>
      <c r="K3712" s="2" t="s">
        <v>40</v>
      </c>
      <c r="L3712" s="2" t="s">
        <v>32</v>
      </c>
      <c r="M3712" s="2" t="n">
        <v>54850</v>
      </c>
      <c r="N3712" s="2" t="n">
        <v>2</v>
      </c>
      <c r="O3712" s="2" t="n">
        <v>17</v>
      </c>
      <c r="P3712" s="2" t="n">
        <v>2</v>
      </c>
      <c r="Q3712" s="2" t="n">
        <v>7</v>
      </c>
      <c r="R3712" s="2" t="n">
        <v>2</v>
      </c>
      <c r="S3712" s="2" t="n">
        <v>4</v>
      </c>
      <c r="T3712" s="2" t="n">
        <v>0</v>
      </c>
      <c r="U3712" s="2" t="n">
        <v>3</v>
      </c>
      <c r="V3712" s="2" t="n">
        <v>2</v>
      </c>
      <c r="W3712" s="2" t="n">
        <v>3</v>
      </c>
      <c r="X3712" s="2" t="n">
        <v>2</v>
      </c>
      <c r="Y3712" s="2" t="n">
        <v>3</v>
      </c>
      <c r="Z3712" s="2" t="n">
        <v>3</v>
      </c>
    </row>
    <row r="3713" customFormat="false" ht="15" hidden="false" customHeight="true" outlineLevel="0" collapsed="false">
      <c r="A3713" s="2" t="n">
        <v>40</v>
      </c>
      <c r="B3713" s="2" t="s">
        <v>26</v>
      </c>
      <c r="C3713" s="2" t="s">
        <v>41</v>
      </c>
      <c r="D3713" s="2" t="s">
        <v>28</v>
      </c>
      <c r="E3713" s="2" t="n">
        <v>3</v>
      </c>
      <c r="F3713" s="2" t="n">
        <v>2</v>
      </c>
      <c r="G3713" s="2" t="s">
        <v>29</v>
      </c>
      <c r="H3713" s="2" t="n">
        <v>3712</v>
      </c>
      <c r="I3713" s="2" t="s">
        <v>39</v>
      </c>
      <c r="J3713" s="2" t="n">
        <v>1</v>
      </c>
      <c r="K3713" s="2" t="s">
        <v>40</v>
      </c>
      <c r="L3713" s="2" t="s">
        <v>46</v>
      </c>
      <c r="M3713" s="2" t="n">
        <v>43420</v>
      </c>
      <c r="N3713" s="2" t="n">
        <v>3</v>
      </c>
      <c r="O3713" s="2" t="n">
        <v>11</v>
      </c>
      <c r="P3713" s="2" t="n">
        <v>1</v>
      </c>
      <c r="Q3713" s="2" t="n">
        <v>11</v>
      </c>
      <c r="R3713" s="2" t="n">
        <v>6</v>
      </c>
      <c r="S3713" s="2" t="n">
        <v>8</v>
      </c>
      <c r="T3713" s="2" t="n">
        <v>0</v>
      </c>
      <c r="U3713" s="2" t="n">
        <v>7</v>
      </c>
      <c r="V3713" s="2" t="n">
        <v>3</v>
      </c>
      <c r="W3713" s="2" t="n">
        <v>3</v>
      </c>
      <c r="X3713" s="2" t="n">
        <v>4</v>
      </c>
      <c r="Y3713" s="2" t="n">
        <v>2</v>
      </c>
      <c r="Z3713" s="2" t="n">
        <v>3</v>
      </c>
    </row>
    <row r="3714" customFormat="false" ht="15" hidden="false" customHeight="true" outlineLevel="0" collapsed="false">
      <c r="A3714" s="2" t="n">
        <v>31</v>
      </c>
      <c r="B3714" s="2" t="s">
        <v>26</v>
      </c>
      <c r="C3714" s="2" t="s">
        <v>27</v>
      </c>
      <c r="D3714" s="2" t="s">
        <v>35</v>
      </c>
      <c r="E3714" s="2" t="n">
        <v>16</v>
      </c>
      <c r="F3714" s="2" t="n">
        <v>3</v>
      </c>
      <c r="G3714" s="2" t="s">
        <v>43</v>
      </c>
      <c r="H3714" s="2" t="n">
        <v>3713</v>
      </c>
      <c r="I3714" s="2" t="s">
        <v>39</v>
      </c>
      <c r="J3714" s="2" t="n">
        <v>2</v>
      </c>
      <c r="K3714" s="2" t="s">
        <v>42</v>
      </c>
      <c r="L3714" s="2" t="s">
        <v>46</v>
      </c>
      <c r="M3714" s="2" t="n">
        <v>27820</v>
      </c>
      <c r="N3714" s="2" t="n">
        <v>1</v>
      </c>
      <c r="O3714" s="2" t="n">
        <v>19</v>
      </c>
      <c r="P3714" s="2" t="n">
        <v>1</v>
      </c>
      <c r="Q3714" s="2" t="n">
        <v>13</v>
      </c>
      <c r="R3714" s="2" t="n">
        <v>5</v>
      </c>
      <c r="S3714" s="2" t="n">
        <v>13</v>
      </c>
      <c r="T3714" s="2" t="n">
        <v>9</v>
      </c>
      <c r="U3714" s="2" t="n">
        <v>9</v>
      </c>
      <c r="V3714" s="2" t="n">
        <v>1</v>
      </c>
      <c r="W3714" s="2" t="n">
        <v>4</v>
      </c>
      <c r="X3714" s="2" t="n">
        <v>3</v>
      </c>
      <c r="Y3714" s="2" t="n">
        <v>3</v>
      </c>
      <c r="Z3714" s="2" t="n">
        <v>3</v>
      </c>
    </row>
    <row r="3715" customFormat="false" ht="15" hidden="false" customHeight="true" outlineLevel="0" collapsed="false">
      <c r="A3715" s="2" t="n">
        <v>46</v>
      </c>
      <c r="B3715" s="2" t="s">
        <v>33</v>
      </c>
      <c r="C3715" s="2" t="s">
        <v>27</v>
      </c>
      <c r="D3715" s="2" t="s">
        <v>35</v>
      </c>
      <c r="E3715" s="2" t="n">
        <v>18</v>
      </c>
      <c r="F3715" s="2" t="n">
        <v>1</v>
      </c>
      <c r="G3715" s="2" t="s">
        <v>43</v>
      </c>
      <c r="H3715" s="2" t="n">
        <v>3714</v>
      </c>
      <c r="I3715" s="2" t="s">
        <v>39</v>
      </c>
      <c r="J3715" s="2" t="n">
        <v>1</v>
      </c>
      <c r="K3715" s="2" t="s">
        <v>47</v>
      </c>
      <c r="L3715" s="2" t="s">
        <v>46</v>
      </c>
      <c r="M3715" s="2" t="n">
        <v>59800</v>
      </c>
      <c r="N3715" s="2" t="n">
        <v>4</v>
      </c>
      <c r="O3715" s="2" t="n">
        <v>11</v>
      </c>
      <c r="P3715" s="2" t="n">
        <v>1</v>
      </c>
      <c r="Q3715" s="2" t="n">
        <v>28</v>
      </c>
      <c r="R3715" s="2" t="n">
        <v>2</v>
      </c>
      <c r="S3715" s="2" t="n">
        <v>7</v>
      </c>
      <c r="T3715" s="2" t="n">
        <v>4</v>
      </c>
      <c r="U3715" s="2" t="n">
        <v>3</v>
      </c>
      <c r="V3715" s="2" t="n">
        <v>1</v>
      </c>
      <c r="W3715" s="2" t="n">
        <v>4</v>
      </c>
      <c r="X3715" s="2" t="n">
        <v>4</v>
      </c>
      <c r="Y3715" s="2" t="n">
        <v>3</v>
      </c>
      <c r="Z3715" s="2" t="n">
        <v>3</v>
      </c>
    </row>
    <row r="3716" customFormat="false" ht="15" hidden="false" customHeight="true" outlineLevel="0" collapsed="false">
      <c r="A3716" s="2" t="n">
        <v>39</v>
      </c>
      <c r="B3716" s="2" t="s">
        <v>33</v>
      </c>
      <c r="C3716" s="2" t="s">
        <v>41</v>
      </c>
      <c r="D3716" s="2" t="s">
        <v>35</v>
      </c>
      <c r="E3716" s="2" t="n">
        <v>2</v>
      </c>
      <c r="F3716" s="2" t="n">
        <v>4</v>
      </c>
      <c r="G3716" s="2" t="s">
        <v>43</v>
      </c>
      <c r="H3716" s="2" t="n">
        <v>3715</v>
      </c>
      <c r="I3716" s="2" t="s">
        <v>39</v>
      </c>
      <c r="J3716" s="2" t="n">
        <v>2</v>
      </c>
      <c r="K3716" s="2" t="s">
        <v>47</v>
      </c>
      <c r="L3716" s="2" t="s">
        <v>37</v>
      </c>
      <c r="M3716" s="2" t="n">
        <v>43810</v>
      </c>
      <c r="N3716" s="2" t="n">
        <v>2</v>
      </c>
      <c r="O3716" s="2" t="n">
        <v>15</v>
      </c>
      <c r="P3716" s="2" t="n">
        <v>2</v>
      </c>
      <c r="Q3716" s="2" t="n">
        <v>11</v>
      </c>
      <c r="R3716" s="2" t="n">
        <v>1</v>
      </c>
      <c r="S3716" s="2" t="n">
        <v>1</v>
      </c>
      <c r="T3716" s="2" t="n">
        <v>0</v>
      </c>
      <c r="U3716" s="2" t="n">
        <v>0</v>
      </c>
      <c r="V3716" s="2" t="n">
        <v>1</v>
      </c>
      <c r="W3716" s="2" t="n">
        <v>1</v>
      </c>
      <c r="X3716" s="2" t="n">
        <v>4</v>
      </c>
      <c r="Y3716" s="2" t="n">
        <v>2</v>
      </c>
      <c r="Z3716" s="2" t="n">
        <v>3</v>
      </c>
    </row>
    <row r="3717" customFormat="false" ht="15" hidden="false" customHeight="true" outlineLevel="0" collapsed="false">
      <c r="A3717" s="2" t="n">
        <v>31</v>
      </c>
      <c r="B3717" s="2" t="s">
        <v>33</v>
      </c>
      <c r="C3717" s="2" t="s">
        <v>34</v>
      </c>
      <c r="D3717" s="2" t="s">
        <v>28</v>
      </c>
      <c r="E3717" s="2" t="n">
        <v>2</v>
      </c>
      <c r="F3717" s="2" t="n">
        <v>3</v>
      </c>
      <c r="G3717" s="2" t="s">
        <v>43</v>
      </c>
      <c r="H3717" s="2" t="n">
        <v>3716</v>
      </c>
      <c r="I3717" s="2" t="s">
        <v>39</v>
      </c>
      <c r="J3717" s="2" t="n">
        <v>2</v>
      </c>
      <c r="K3717" s="2" t="s">
        <v>40</v>
      </c>
      <c r="L3717" s="2" t="s">
        <v>37</v>
      </c>
      <c r="M3717" s="2" t="n">
        <v>25720</v>
      </c>
      <c r="N3717" s="2" t="n">
        <v>1</v>
      </c>
      <c r="O3717" s="2" t="n">
        <v>13</v>
      </c>
      <c r="P3717" s="2" t="n">
        <v>3</v>
      </c>
      <c r="Q3717" s="2" t="n">
        <v>10</v>
      </c>
      <c r="R3717" s="2" t="n">
        <v>3</v>
      </c>
      <c r="S3717" s="2" t="n">
        <v>10</v>
      </c>
      <c r="T3717" s="2" t="n">
        <v>4</v>
      </c>
      <c r="U3717" s="2" t="n">
        <v>7</v>
      </c>
      <c r="V3717" s="2" t="n">
        <v>3</v>
      </c>
      <c r="W3717" s="2" t="n">
        <v>2</v>
      </c>
      <c r="X3717" s="2" t="n">
        <v>3</v>
      </c>
      <c r="Y3717" s="2" t="n">
        <v>3</v>
      </c>
      <c r="Z3717" s="2" t="n">
        <v>3</v>
      </c>
    </row>
    <row r="3718" customFormat="false" ht="15" hidden="false" customHeight="true" outlineLevel="0" collapsed="false">
      <c r="A3718" s="2" t="n">
        <v>45</v>
      </c>
      <c r="B3718" s="2" t="s">
        <v>26</v>
      </c>
      <c r="C3718" s="2" t="s">
        <v>27</v>
      </c>
      <c r="D3718" s="2" t="s">
        <v>28</v>
      </c>
      <c r="E3718" s="2" t="n">
        <v>10</v>
      </c>
      <c r="F3718" s="2" t="n">
        <v>2</v>
      </c>
      <c r="G3718" s="2" t="s">
        <v>50</v>
      </c>
      <c r="H3718" s="2" t="n">
        <v>3717</v>
      </c>
      <c r="I3718" s="2" t="s">
        <v>39</v>
      </c>
      <c r="J3718" s="2" t="n">
        <v>1</v>
      </c>
      <c r="K3718" s="2" t="s">
        <v>40</v>
      </c>
      <c r="L3718" s="2" t="s">
        <v>46</v>
      </c>
      <c r="M3718" s="2" t="n">
        <v>38330</v>
      </c>
      <c r="N3718" s="2" t="n">
        <v>2</v>
      </c>
      <c r="O3718" s="2" t="n">
        <v>14</v>
      </c>
      <c r="P3718" s="2" t="n">
        <v>0</v>
      </c>
      <c r="Q3718" s="2" t="n">
        <v>24</v>
      </c>
      <c r="R3718" s="2" t="n">
        <v>1</v>
      </c>
      <c r="S3718" s="2" t="n">
        <v>7</v>
      </c>
      <c r="T3718" s="2" t="n">
        <v>0</v>
      </c>
      <c r="U3718" s="2" t="n">
        <v>7</v>
      </c>
      <c r="V3718" s="2" t="n">
        <v>2</v>
      </c>
      <c r="W3718" s="2" t="n">
        <v>1</v>
      </c>
      <c r="X3718" s="2" t="n">
        <v>3</v>
      </c>
      <c r="Y3718" s="2" t="n">
        <v>3</v>
      </c>
      <c r="Z3718" s="2" t="n">
        <v>3</v>
      </c>
    </row>
    <row r="3719" customFormat="false" ht="15" hidden="false" customHeight="true" outlineLevel="0" collapsed="false">
      <c r="A3719" s="2" t="n">
        <v>31</v>
      </c>
      <c r="B3719" s="2" t="s">
        <v>26</v>
      </c>
      <c r="C3719" s="2" t="s">
        <v>27</v>
      </c>
      <c r="D3719" s="2" t="s">
        <v>35</v>
      </c>
      <c r="E3719" s="2" t="n">
        <v>16</v>
      </c>
      <c r="F3719" s="2" t="n">
        <v>4</v>
      </c>
      <c r="G3719" s="2" t="s">
        <v>29</v>
      </c>
      <c r="H3719" s="2" t="n">
        <v>3718</v>
      </c>
      <c r="I3719" s="2" t="s">
        <v>39</v>
      </c>
      <c r="J3719" s="2" t="n">
        <v>3</v>
      </c>
      <c r="K3719" s="2" t="s">
        <v>42</v>
      </c>
      <c r="L3719" s="2" t="s">
        <v>37</v>
      </c>
      <c r="M3719" s="2" t="n">
        <v>42440</v>
      </c>
      <c r="N3719" s="2" t="n">
        <v>9</v>
      </c>
      <c r="O3719" s="2" t="n">
        <v>13</v>
      </c>
      <c r="P3719" s="2" t="n">
        <v>0</v>
      </c>
      <c r="Q3719" s="2" t="n">
        <v>8</v>
      </c>
      <c r="R3719" s="2" t="n">
        <v>3</v>
      </c>
      <c r="S3719" s="2" t="n">
        <v>3</v>
      </c>
      <c r="T3719" s="2" t="n">
        <v>0</v>
      </c>
      <c r="U3719" s="2" t="n">
        <v>2</v>
      </c>
      <c r="V3719" s="2" t="n">
        <v>4</v>
      </c>
      <c r="W3719" s="2" t="n">
        <v>2</v>
      </c>
      <c r="X3719" s="2" t="n">
        <v>3</v>
      </c>
      <c r="Y3719" s="2" t="n">
        <v>3</v>
      </c>
      <c r="Z3719" s="2" t="n">
        <v>3</v>
      </c>
    </row>
    <row r="3720" customFormat="false" ht="15" hidden="false" customHeight="true" outlineLevel="0" collapsed="false">
      <c r="A3720" s="2" t="n">
        <v>31</v>
      </c>
      <c r="B3720" s="2" t="s">
        <v>33</v>
      </c>
      <c r="C3720" s="2" t="s">
        <v>34</v>
      </c>
      <c r="D3720" s="2" t="s">
        <v>35</v>
      </c>
      <c r="E3720" s="2" t="n">
        <v>7</v>
      </c>
      <c r="F3720" s="2" t="n">
        <v>4</v>
      </c>
      <c r="G3720" s="2" t="s">
        <v>29</v>
      </c>
      <c r="H3720" s="2" t="n">
        <v>3719</v>
      </c>
      <c r="I3720" s="2" t="s">
        <v>39</v>
      </c>
      <c r="J3720" s="2" t="n">
        <v>1</v>
      </c>
      <c r="K3720" s="2" t="s">
        <v>45</v>
      </c>
      <c r="L3720" s="2" t="s">
        <v>32</v>
      </c>
      <c r="M3720" s="2" t="n">
        <v>65000</v>
      </c>
      <c r="N3720" s="2" t="n">
        <v>6</v>
      </c>
      <c r="O3720" s="2" t="n">
        <v>23</v>
      </c>
      <c r="P3720" s="2" t="n">
        <v>1</v>
      </c>
      <c r="Q3720" s="2" t="n">
        <v>7</v>
      </c>
      <c r="R3720" s="2" t="n">
        <v>5</v>
      </c>
      <c r="S3720" s="2" t="n">
        <v>2</v>
      </c>
      <c r="T3720" s="2" t="n">
        <v>2</v>
      </c>
      <c r="U3720" s="2" t="n">
        <v>2</v>
      </c>
      <c r="V3720" s="2" t="n">
        <v>2</v>
      </c>
      <c r="W3720" s="2" t="n">
        <v>4</v>
      </c>
      <c r="X3720" s="2" t="n">
        <v>1</v>
      </c>
      <c r="Y3720" s="2" t="n">
        <v>3</v>
      </c>
      <c r="Z3720" s="2" t="n">
        <v>4</v>
      </c>
    </row>
    <row r="3721" customFormat="false" ht="15" hidden="false" customHeight="true" outlineLevel="0" collapsed="false">
      <c r="A3721" s="2" t="n">
        <v>45</v>
      </c>
      <c r="B3721" s="2" t="s">
        <v>26</v>
      </c>
      <c r="C3721" s="2" t="s">
        <v>27</v>
      </c>
      <c r="D3721" s="2" t="s">
        <v>35</v>
      </c>
      <c r="E3721" s="2" t="n">
        <v>1</v>
      </c>
      <c r="F3721" s="2" t="n">
        <v>2</v>
      </c>
      <c r="G3721" s="2" t="s">
        <v>29</v>
      </c>
      <c r="H3721" s="2" t="n">
        <v>3720</v>
      </c>
      <c r="I3721" s="2" t="s">
        <v>30</v>
      </c>
      <c r="J3721" s="2" t="n">
        <v>1</v>
      </c>
      <c r="K3721" s="2" t="s">
        <v>36</v>
      </c>
      <c r="L3721" s="2" t="s">
        <v>32</v>
      </c>
      <c r="M3721" s="2" t="n">
        <v>184300</v>
      </c>
      <c r="N3721" s="2" t="n">
        <v>4</v>
      </c>
      <c r="O3721" s="2" t="n">
        <v>12</v>
      </c>
      <c r="P3721" s="2" t="n">
        <v>1</v>
      </c>
      <c r="Q3721" s="2" t="n">
        <v>10</v>
      </c>
      <c r="R3721" s="2" t="n">
        <v>5</v>
      </c>
      <c r="S3721" s="2" t="n">
        <v>3</v>
      </c>
      <c r="T3721" s="2" t="n">
        <v>1</v>
      </c>
      <c r="U3721" s="2" t="n">
        <v>2</v>
      </c>
      <c r="V3721" s="2" t="n">
        <v>2</v>
      </c>
      <c r="W3721" s="2" t="n">
        <v>4</v>
      </c>
      <c r="X3721" s="2" t="n">
        <v>4</v>
      </c>
      <c r="Y3721" s="2" t="n">
        <v>3</v>
      </c>
      <c r="Z3721" s="2" t="n">
        <v>3</v>
      </c>
    </row>
    <row r="3722" customFormat="false" ht="15" hidden="false" customHeight="true" outlineLevel="0" collapsed="false">
      <c r="A3722" s="2" t="n">
        <v>48</v>
      </c>
      <c r="B3722" s="2" t="s">
        <v>26</v>
      </c>
      <c r="C3722" s="2" t="s">
        <v>27</v>
      </c>
      <c r="D3722" s="2" t="s">
        <v>35</v>
      </c>
      <c r="E3722" s="2" t="n">
        <v>24</v>
      </c>
      <c r="F3722" s="2" t="n">
        <v>3</v>
      </c>
      <c r="G3722" s="2" t="s">
        <v>51</v>
      </c>
      <c r="H3722" s="2" t="n">
        <v>3721</v>
      </c>
      <c r="I3722" s="2" t="s">
        <v>39</v>
      </c>
      <c r="J3722" s="2" t="n">
        <v>2</v>
      </c>
      <c r="K3722" s="2" t="s">
        <v>36</v>
      </c>
      <c r="L3722" s="2" t="s">
        <v>46</v>
      </c>
      <c r="M3722" s="2" t="n">
        <v>16010</v>
      </c>
      <c r="N3722" s="2" t="n">
        <v>4</v>
      </c>
      <c r="O3722" s="2" t="n">
        <v>12</v>
      </c>
      <c r="P3722" s="2" t="n">
        <v>0</v>
      </c>
      <c r="Q3722" s="2" t="n">
        <v>15</v>
      </c>
      <c r="R3722" s="2" t="n">
        <v>3</v>
      </c>
      <c r="S3722" s="2" t="n">
        <v>2</v>
      </c>
      <c r="T3722" s="2" t="n">
        <v>2</v>
      </c>
      <c r="U3722" s="2" t="n">
        <v>2</v>
      </c>
      <c r="V3722" s="2" t="n">
        <v>3</v>
      </c>
      <c r="W3722" s="2" t="n">
        <v>1</v>
      </c>
      <c r="X3722" s="2" t="n">
        <v>3</v>
      </c>
      <c r="Y3722" s="2" t="n">
        <v>3</v>
      </c>
      <c r="Z3722" s="2" t="n">
        <v>3</v>
      </c>
    </row>
    <row r="3723" customFormat="false" ht="15" hidden="false" customHeight="true" outlineLevel="0" collapsed="false">
      <c r="A3723" s="2" t="n">
        <v>34</v>
      </c>
      <c r="B3723" s="2" t="s">
        <v>33</v>
      </c>
      <c r="C3723" s="2" t="s">
        <v>27</v>
      </c>
      <c r="D3723" s="2" t="s">
        <v>35</v>
      </c>
      <c r="E3723" s="2" t="n">
        <v>7</v>
      </c>
      <c r="F3723" s="2" t="n">
        <v>4</v>
      </c>
      <c r="G3723" s="2" t="s">
        <v>43</v>
      </c>
      <c r="H3723" s="2" t="n">
        <v>3722</v>
      </c>
      <c r="I3723" s="2" t="s">
        <v>39</v>
      </c>
      <c r="J3723" s="2" t="n">
        <v>2</v>
      </c>
      <c r="K3723" s="2" t="s">
        <v>36</v>
      </c>
      <c r="L3723" s="2" t="s">
        <v>32</v>
      </c>
      <c r="M3723" s="2" t="n">
        <v>26940</v>
      </c>
      <c r="N3723" s="2" t="n">
        <v>1</v>
      </c>
      <c r="O3723" s="2" t="n">
        <v>16</v>
      </c>
      <c r="P3723" s="2" t="n">
        <v>1</v>
      </c>
      <c r="Q3723" s="2" t="n">
        <v>2</v>
      </c>
      <c r="R3723" s="2" t="n">
        <v>3</v>
      </c>
      <c r="S3723" s="2" t="n">
        <v>2</v>
      </c>
      <c r="T3723" s="2" t="n">
        <v>2</v>
      </c>
      <c r="U3723" s="2" t="n">
        <v>2</v>
      </c>
      <c r="V3723" s="2" t="n">
        <v>1</v>
      </c>
      <c r="W3723" s="2" t="n">
        <v>3</v>
      </c>
      <c r="X3723" s="2" t="n">
        <v>3</v>
      </c>
      <c r="Y3723" s="2" t="n">
        <v>3</v>
      </c>
      <c r="Z3723" s="2" t="n">
        <v>3</v>
      </c>
    </row>
    <row r="3724" customFormat="false" ht="15" hidden="false" customHeight="true" outlineLevel="0" collapsed="false">
      <c r="A3724" s="2" t="n">
        <v>40</v>
      </c>
      <c r="B3724" s="2" t="s">
        <v>26</v>
      </c>
      <c r="C3724" s="2" t="s">
        <v>41</v>
      </c>
      <c r="D3724" s="2" t="s">
        <v>35</v>
      </c>
      <c r="E3724" s="2" t="n">
        <v>25</v>
      </c>
      <c r="F3724" s="2" t="n">
        <v>4</v>
      </c>
      <c r="G3724" s="2" t="s">
        <v>38</v>
      </c>
      <c r="H3724" s="2" t="n">
        <v>3723</v>
      </c>
      <c r="I3724" s="2" t="s">
        <v>30</v>
      </c>
      <c r="J3724" s="2" t="n">
        <v>1</v>
      </c>
      <c r="K3724" s="2" t="s">
        <v>40</v>
      </c>
      <c r="L3724" s="2" t="s">
        <v>46</v>
      </c>
      <c r="M3724" s="2" t="n">
        <v>31490</v>
      </c>
      <c r="N3724" s="2" t="n">
        <v>2</v>
      </c>
      <c r="O3724" s="2" t="n">
        <v>15</v>
      </c>
      <c r="P3724" s="2" t="n">
        <v>1</v>
      </c>
      <c r="Q3724" s="2" t="n">
        <v>16</v>
      </c>
      <c r="R3724" s="2" t="n">
        <v>1</v>
      </c>
      <c r="S3724" s="2" t="n">
        <v>9</v>
      </c>
      <c r="T3724" s="2" t="n">
        <v>4</v>
      </c>
      <c r="U3724" s="2" t="n">
        <v>8</v>
      </c>
      <c r="V3724" s="2" t="n">
        <v>4</v>
      </c>
      <c r="W3724" s="2" t="n">
        <v>2</v>
      </c>
      <c r="X3724" s="2" t="n">
        <v>3</v>
      </c>
      <c r="Y3724" s="2" t="n">
        <v>2</v>
      </c>
      <c r="Z3724" s="2" t="n">
        <v>3</v>
      </c>
    </row>
    <row r="3725" customFormat="false" ht="15" hidden="false" customHeight="true" outlineLevel="0" collapsed="false">
      <c r="A3725" s="2" t="n">
        <v>28</v>
      </c>
      <c r="B3725" s="2" t="s">
        <v>26</v>
      </c>
      <c r="C3725" s="2" t="s">
        <v>27</v>
      </c>
      <c r="D3725" s="2" t="s">
        <v>35</v>
      </c>
      <c r="E3725" s="2" t="n">
        <v>1</v>
      </c>
      <c r="F3725" s="2" t="n">
        <v>2</v>
      </c>
      <c r="G3725" s="2" t="s">
        <v>51</v>
      </c>
      <c r="H3725" s="2" t="n">
        <v>3724</v>
      </c>
      <c r="I3725" s="2" t="s">
        <v>30</v>
      </c>
      <c r="J3725" s="2" t="n">
        <v>1</v>
      </c>
      <c r="K3725" s="2" t="s">
        <v>36</v>
      </c>
      <c r="L3725" s="2" t="s">
        <v>37</v>
      </c>
      <c r="M3725" s="2" t="n">
        <v>176390</v>
      </c>
      <c r="N3725" s="2" t="n">
        <v>0</v>
      </c>
      <c r="O3725" s="2" t="n">
        <v>13</v>
      </c>
      <c r="P3725" s="2" t="n">
        <v>1</v>
      </c>
      <c r="Q3725" s="2" t="n">
        <v>6</v>
      </c>
      <c r="R3725" s="2" t="n">
        <v>0</v>
      </c>
      <c r="S3725" s="2" t="n">
        <v>5</v>
      </c>
      <c r="T3725" s="2" t="n">
        <v>1</v>
      </c>
      <c r="U3725" s="2" t="n">
        <v>3</v>
      </c>
      <c r="V3725" s="2" t="n">
        <v>4</v>
      </c>
      <c r="W3725" s="2" t="n">
        <v>1</v>
      </c>
      <c r="X3725" s="2" t="n">
        <v>3</v>
      </c>
      <c r="Y3725" s="2" t="n">
        <v>3</v>
      </c>
      <c r="Z3725" s="2" t="n">
        <v>3</v>
      </c>
    </row>
    <row r="3726" customFormat="false" ht="15" hidden="false" customHeight="true" outlineLevel="0" collapsed="false">
      <c r="A3726" s="2" t="n">
        <v>44</v>
      </c>
      <c r="B3726" s="2" t="s">
        <v>26</v>
      </c>
      <c r="C3726" s="2" t="s">
        <v>41</v>
      </c>
      <c r="D3726" s="2" t="s">
        <v>35</v>
      </c>
      <c r="E3726" s="2" t="n">
        <v>5</v>
      </c>
      <c r="F3726" s="2" t="n">
        <v>3</v>
      </c>
      <c r="G3726" s="2" t="s">
        <v>29</v>
      </c>
      <c r="H3726" s="2" t="n">
        <v>3725</v>
      </c>
      <c r="I3726" s="2" t="s">
        <v>39</v>
      </c>
      <c r="J3726" s="2" t="n">
        <v>1</v>
      </c>
      <c r="K3726" s="2" t="s">
        <v>45</v>
      </c>
      <c r="L3726" s="2" t="s">
        <v>37</v>
      </c>
      <c r="M3726" s="2" t="n">
        <v>23190</v>
      </c>
      <c r="N3726" s="2" t="n">
        <v>3</v>
      </c>
      <c r="O3726" s="2" t="n">
        <v>18</v>
      </c>
      <c r="P3726" s="2" t="n">
        <v>0</v>
      </c>
      <c r="Q3726" s="2" t="n">
        <v>7</v>
      </c>
      <c r="R3726" s="2" t="n">
        <v>4</v>
      </c>
      <c r="S3726" s="2" t="n">
        <v>5</v>
      </c>
      <c r="T3726" s="2" t="n">
        <v>0</v>
      </c>
      <c r="U3726" s="2" t="n">
        <v>3</v>
      </c>
      <c r="V3726" s="2" t="n">
        <v>3</v>
      </c>
      <c r="W3726" s="2" t="n">
        <v>3</v>
      </c>
      <c r="X3726" s="2" t="n">
        <v>3</v>
      </c>
      <c r="Y3726" s="2" t="n">
        <v>2</v>
      </c>
      <c r="Z3726" s="2" t="n">
        <v>3</v>
      </c>
    </row>
    <row r="3727" customFormat="false" ht="15" hidden="false" customHeight="true" outlineLevel="0" collapsed="false">
      <c r="A3727" s="2" t="n">
        <v>53</v>
      </c>
      <c r="B3727" s="2" t="s">
        <v>26</v>
      </c>
      <c r="C3727" s="2" t="s">
        <v>27</v>
      </c>
      <c r="D3727" s="2" t="s">
        <v>35</v>
      </c>
      <c r="E3727" s="2" t="n">
        <v>2</v>
      </c>
      <c r="F3727" s="2" t="n">
        <v>4</v>
      </c>
      <c r="G3727" s="2" t="s">
        <v>51</v>
      </c>
      <c r="H3727" s="2" t="n">
        <v>3726</v>
      </c>
      <c r="I3727" s="2" t="s">
        <v>39</v>
      </c>
      <c r="J3727" s="2" t="n">
        <v>2</v>
      </c>
      <c r="K3727" s="2" t="s">
        <v>49</v>
      </c>
      <c r="L3727" s="2" t="s">
        <v>37</v>
      </c>
      <c r="M3727" s="2" t="n">
        <v>116910</v>
      </c>
      <c r="N3727" s="2" t="n">
        <v>4</v>
      </c>
      <c r="O3727" s="2" t="n">
        <v>20</v>
      </c>
      <c r="P3727" s="2" t="n">
        <v>0</v>
      </c>
      <c r="Q3727" s="2" t="n">
        <v>35</v>
      </c>
      <c r="R3727" s="2" t="n">
        <v>2</v>
      </c>
      <c r="S3727" s="2" t="n">
        <v>9</v>
      </c>
      <c r="T3727" s="2" t="n">
        <v>8</v>
      </c>
      <c r="U3727" s="2" t="n">
        <v>8</v>
      </c>
      <c r="V3727" s="2" t="n">
        <v>4</v>
      </c>
      <c r="W3727" s="2" t="n">
        <v>2</v>
      </c>
      <c r="X3727" s="2" t="n">
        <v>2</v>
      </c>
      <c r="Y3727" s="2" t="n">
        <v>3</v>
      </c>
      <c r="Z3727" s="2" t="n">
        <v>4</v>
      </c>
    </row>
    <row r="3728" customFormat="false" ht="15" hidden="false" customHeight="true" outlineLevel="0" collapsed="false">
      <c r="A3728" s="2" t="n">
        <v>49</v>
      </c>
      <c r="B3728" s="2" t="s">
        <v>26</v>
      </c>
      <c r="C3728" s="2" t="s">
        <v>27</v>
      </c>
      <c r="D3728" s="2" t="s">
        <v>35</v>
      </c>
      <c r="E3728" s="2" t="n">
        <v>7</v>
      </c>
      <c r="F3728" s="2" t="n">
        <v>3</v>
      </c>
      <c r="G3728" s="2" t="s">
        <v>29</v>
      </c>
      <c r="H3728" s="2" t="n">
        <v>3727</v>
      </c>
      <c r="I3728" s="2" t="s">
        <v>39</v>
      </c>
      <c r="J3728" s="2" t="n">
        <v>3</v>
      </c>
      <c r="K3728" s="2" t="s">
        <v>45</v>
      </c>
      <c r="L3728" s="2" t="s">
        <v>32</v>
      </c>
      <c r="M3728" s="2" t="n">
        <v>53240</v>
      </c>
      <c r="N3728" s="2" t="n">
        <v>2</v>
      </c>
      <c r="O3728" s="2" t="n">
        <v>19</v>
      </c>
      <c r="P3728" s="2" t="n">
        <v>0</v>
      </c>
      <c r="Q3728" s="2" t="n">
        <v>20</v>
      </c>
      <c r="R3728" s="2" t="n">
        <v>2</v>
      </c>
      <c r="S3728" s="2" t="n">
        <v>3</v>
      </c>
      <c r="T3728" s="2" t="n">
        <v>1</v>
      </c>
      <c r="U3728" s="2" t="n">
        <v>2</v>
      </c>
      <c r="V3728" s="2" t="n">
        <v>1</v>
      </c>
      <c r="W3728" s="2" t="n">
        <v>3</v>
      </c>
      <c r="X3728" s="2" t="n">
        <v>2</v>
      </c>
      <c r="Y3728" s="2" t="n">
        <v>1</v>
      </c>
      <c r="Z3728" s="2" t="n">
        <v>3</v>
      </c>
    </row>
    <row r="3729" customFormat="false" ht="15" hidden="false" customHeight="true" outlineLevel="0" collapsed="false">
      <c r="A3729" s="2" t="n">
        <v>40</v>
      </c>
      <c r="B3729" s="2" t="s">
        <v>26</v>
      </c>
      <c r="C3729" s="2" t="s">
        <v>27</v>
      </c>
      <c r="D3729" s="2" t="s">
        <v>35</v>
      </c>
      <c r="E3729" s="2" t="n">
        <v>2</v>
      </c>
      <c r="F3729" s="2" t="n">
        <v>4</v>
      </c>
      <c r="G3729" s="2" t="s">
        <v>29</v>
      </c>
      <c r="H3729" s="2" t="n">
        <v>3728</v>
      </c>
      <c r="I3729" s="2" t="s">
        <v>39</v>
      </c>
      <c r="J3729" s="2" t="n">
        <v>3</v>
      </c>
      <c r="K3729" s="2" t="s">
        <v>45</v>
      </c>
      <c r="L3729" s="2" t="s">
        <v>46</v>
      </c>
      <c r="M3729" s="2" t="n">
        <v>167520</v>
      </c>
      <c r="N3729" s="2" t="n">
        <v>2</v>
      </c>
      <c r="O3729" s="2" t="n">
        <v>18</v>
      </c>
      <c r="P3729" s="2" t="n">
        <v>1</v>
      </c>
      <c r="Q3729" s="2" t="n">
        <v>8</v>
      </c>
      <c r="R3729" s="2" t="n">
        <v>3</v>
      </c>
      <c r="S3729" s="2" t="n">
        <v>3</v>
      </c>
      <c r="T3729" s="2" t="n">
        <v>1</v>
      </c>
      <c r="U3729" s="2" t="n">
        <v>2</v>
      </c>
      <c r="V3729" s="2" t="n">
        <v>3</v>
      </c>
      <c r="W3729" s="2" t="n">
        <v>3</v>
      </c>
      <c r="X3729" s="2" t="n">
        <v>4</v>
      </c>
      <c r="Y3729" s="2" t="n">
        <v>3</v>
      </c>
      <c r="Z3729" s="2" t="n">
        <v>3</v>
      </c>
    </row>
    <row r="3730" customFormat="false" ht="15" hidden="false" customHeight="true" outlineLevel="0" collapsed="false">
      <c r="A3730" s="2" t="n">
        <v>44</v>
      </c>
      <c r="B3730" s="2" t="s">
        <v>26</v>
      </c>
      <c r="C3730" s="2" t="s">
        <v>27</v>
      </c>
      <c r="D3730" s="2" t="s">
        <v>35</v>
      </c>
      <c r="E3730" s="2" t="n">
        <v>5</v>
      </c>
      <c r="F3730" s="2" t="n">
        <v>1</v>
      </c>
      <c r="G3730" s="2" t="s">
        <v>38</v>
      </c>
      <c r="H3730" s="2" t="n">
        <v>3729</v>
      </c>
      <c r="I3730" s="2" t="s">
        <v>39</v>
      </c>
      <c r="J3730" s="2" t="n">
        <v>3</v>
      </c>
      <c r="K3730" s="2" t="s">
        <v>36</v>
      </c>
      <c r="L3730" s="2" t="s">
        <v>37</v>
      </c>
      <c r="M3730" s="2" t="n">
        <v>52280</v>
      </c>
      <c r="N3730" s="2" t="n">
        <v>1</v>
      </c>
      <c r="O3730" s="2" t="n">
        <v>13</v>
      </c>
      <c r="P3730" s="2" t="n">
        <v>0</v>
      </c>
      <c r="Q3730" s="2" t="n">
        <v>6</v>
      </c>
      <c r="R3730" s="2" t="n">
        <v>2</v>
      </c>
      <c r="S3730" s="2" t="n">
        <v>5</v>
      </c>
      <c r="T3730" s="2" t="n">
        <v>1</v>
      </c>
      <c r="U3730" s="2" t="n">
        <v>3</v>
      </c>
      <c r="V3730" s="2" t="n">
        <v>4</v>
      </c>
      <c r="W3730" s="2" t="n">
        <v>2</v>
      </c>
      <c r="X3730" s="2" t="n">
        <v>2</v>
      </c>
      <c r="Y3730" s="2" t="n">
        <v>4</v>
      </c>
      <c r="Z3730" s="2" t="n">
        <v>3</v>
      </c>
    </row>
    <row r="3731" customFormat="false" ht="15" hidden="false" customHeight="true" outlineLevel="0" collapsed="false">
      <c r="A3731" s="2" t="n">
        <v>33</v>
      </c>
      <c r="B3731" s="2" t="s">
        <v>26</v>
      </c>
      <c r="C3731" s="2" t="s">
        <v>34</v>
      </c>
      <c r="D3731" s="2" t="s">
        <v>42</v>
      </c>
      <c r="E3731" s="2" t="n">
        <v>10</v>
      </c>
      <c r="F3731" s="2" t="n">
        <v>3</v>
      </c>
      <c r="G3731" s="2" t="s">
        <v>43</v>
      </c>
      <c r="H3731" s="2" t="n">
        <v>3730</v>
      </c>
      <c r="I3731" s="2" t="s">
        <v>30</v>
      </c>
      <c r="J3731" s="2" t="n">
        <v>2</v>
      </c>
      <c r="K3731" s="2" t="s">
        <v>40</v>
      </c>
      <c r="L3731" s="2" t="s">
        <v>32</v>
      </c>
      <c r="M3731" s="2" t="n">
        <v>27000</v>
      </c>
      <c r="N3731" s="2" t="n">
        <v>0</v>
      </c>
      <c r="O3731" s="2" t="n">
        <v>14</v>
      </c>
      <c r="P3731" s="2" t="n">
        <v>3</v>
      </c>
      <c r="Q3731" s="2" t="n">
        <v>5</v>
      </c>
      <c r="R3731" s="2" t="n">
        <v>2</v>
      </c>
      <c r="S3731" s="2" t="n">
        <v>4</v>
      </c>
      <c r="T3731" s="2" t="n">
        <v>0</v>
      </c>
      <c r="U3731" s="2" t="n">
        <v>3</v>
      </c>
      <c r="V3731" s="2" t="n">
        <v>4</v>
      </c>
      <c r="W3731" s="2" t="n">
        <v>1</v>
      </c>
      <c r="X3731" s="2" t="n">
        <v>3</v>
      </c>
      <c r="Y3731" s="2" t="n">
        <v>3</v>
      </c>
      <c r="Z3731" s="2" t="n">
        <v>3</v>
      </c>
    </row>
    <row r="3732" customFormat="false" ht="15" hidden="false" customHeight="true" outlineLevel="0" collapsed="false">
      <c r="A3732" s="2" t="n">
        <v>34</v>
      </c>
      <c r="B3732" s="2" t="s">
        <v>26</v>
      </c>
      <c r="C3732" s="2" t="s">
        <v>27</v>
      </c>
      <c r="D3732" s="2" t="s">
        <v>35</v>
      </c>
      <c r="E3732" s="2" t="n">
        <v>10</v>
      </c>
      <c r="F3732" s="2" t="n">
        <v>4</v>
      </c>
      <c r="G3732" s="2" t="s">
        <v>29</v>
      </c>
      <c r="H3732" s="2" t="n">
        <v>3731</v>
      </c>
      <c r="I3732" s="2" t="s">
        <v>30</v>
      </c>
      <c r="J3732" s="2" t="n">
        <v>1</v>
      </c>
      <c r="K3732" s="2" t="s">
        <v>48</v>
      </c>
      <c r="L3732" s="2" t="s">
        <v>37</v>
      </c>
      <c r="M3732" s="2" t="n">
        <v>192460</v>
      </c>
      <c r="N3732" s="2" t="n">
        <v>3</v>
      </c>
      <c r="O3732" s="2" t="n">
        <v>15</v>
      </c>
      <c r="P3732" s="2" t="n">
        <v>1</v>
      </c>
      <c r="Q3732" s="2" t="n">
        <v>15</v>
      </c>
      <c r="R3732" s="2" t="n">
        <v>5</v>
      </c>
      <c r="S3732" s="2" t="n">
        <v>13</v>
      </c>
      <c r="T3732" s="2" t="n">
        <v>3</v>
      </c>
      <c r="U3732" s="2" t="n">
        <v>12</v>
      </c>
      <c r="V3732" s="2" t="n">
        <v>4</v>
      </c>
      <c r="W3732" s="2" t="n">
        <v>1</v>
      </c>
      <c r="X3732" s="2" t="n">
        <v>3</v>
      </c>
      <c r="Y3732" s="2" t="n">
        <v>3</v>
      </c>
      <c r="Z3732" s="2" t="n">
        <v>3</v>
      </c>
    </row>
    <row r="3733" customFormat="false" ht="15" hidden="false" customHeight="true" outlineLevel="0" collapsed="false">
      <c r="A3733" s="2" t="n">
        <v>30</v>
      </c>
      <c r="B3733" s="2" t="s">
        <v>26</v>
      </c>
      <c r="C3733" s="2" t="s">
        <v>27</v>
      </c>
      <c r="D3733" s="2" t="s">
        <v>28</v>
      </c>
      <c r="E3733" s="2" t="n">
        <v>1</v>
      </c>
      <c r="F3733" s="2" t="n">
        <v>2</v>
      </c>
      <c r="G3733" s="2" t="s">
        <v>51</v>
      </c>
      <c r="H3733" s="2" t="n">
        <v>3732</v>
      </c>
      <c r="I3733" s="2" t="s">
        <v>39</v>
      </c>
      <c r="J3733" s="2" t="n">
        <v>1</v>
      </c>
      <c r="K3733" s="2" t="s">
        <v>45</v>
      </c>
      <c r="L3733" s="2" t="s">
        <v>32</v>
      </c>
      <c r="M3733" s="2" t="n">
        <v>25060</v>
      </c>
      <c r="N3733" s="2" t="n">
        <v>8</v>
      </c>
      <c r="O3733" s="2" t="n">
        <v>22</v>
      </c>
      <c r="P3733" s="2" t="n">
        <v>0</v>
      </c>
      <c r="Q3733" s="2" t="n">
        <v>4</v>
      </c>
      <c r="R3733" s="2" t="n">
        <v>3</v>
      </c>
      <c r="S3733" s="2" t="n">
        <v>2</v>
      </c>
      <c r="T3733" s="2" t="n">
        <v>2</v>
      </c>
      <c r="U3733" s="2" t="n">
        <v>2</v>
      </c>
      <c r="V3733" s="2" t="n">
        <v>4</v>
      </c>
      <c r="W3733" s="2" t="n">
        <v>3</v>
      </c>
      <c r="X3733" s="2" t="n">
        <v>2</v>
      </c>
      <c r="Y3733" s="2" t="n">
        <v>3</v>
      </c>
      <c r="Z3733" s="2" t="n">
        <v>4</v>
      </c>
    </row>
    <row r="3734" customFormat="false" ht="15" hidden="false" customHeight="true" outlineLevel="0" collapsed="false">
      <c r="A3734" s="2" t="n">
        <v>42</v>
      </c>
      <c r="B3734" s="2" t="s">
        <v>26</v>
      </c>
      <c r="C3734" s="2" t="s">
        <v>34</v>
      </c>
      <c r="D3734" s="2" t="s">
        <v>35</v>
      </c>
      <c r="E3734" s="2" t="n">
        <v>8</v>
      </c>
      <c r="F3734" s="2" t="n">
        <v>4</v>
      </c>
      <c r="G3734" s="2" t="s">
        <v>43</v>
      </c>
      <c r="H3734" s="2" t="n">
        <v>3733</v>
      </c>
      <c r="I3734" s="2" t="s">
        <v>30</v>
      </c>
      <c r="J3734" s="2" t="n">
        <v>1</v>
      </c>
      <c r="K3734" s="2" t="s">
        <v>40</v>
      </c>
      <c r="L3734" s="2" t="s">
        <v>37</v>
      </c>
      <c r="M3734" s="2" t="n">
        <v>60620</v>
      </c>
      <c r="N3734" s="2" t="n">
        <v>1</v>
      </c>
      <c r="O3734" s="2" t="n">
        <v>22</v>
      </c>
      <c r="P3734" s="2" t="n">
        <v>2</v>
      </c>
      <c r="Q3734" s="2" t="n">
        <v>12</v>
      </c>
      <c r="R3734" s="2" t="n">
        <v>2</v>
      </c>
      <c r="S3734" s="2" t="n">
        <v>12</v>
      </c>
      <c r="T3734" s="2" t="n">
        <v>5</v>
      </c>
      <c r="U3734" s="2" t="n">
        <v>8</v>
      </c>
      <c r="V3734" s="2" t="n">
        <v>1</v>
      </c>
      <c r="W3734" s="2" t="n">
        <v>4</v>
      </c>
      <c r="X3734" s="2" t="n">
        <v>3</v>
      </c>
      <c r="Y3734" s="2" t="n">
        <v>3</v>
      </c>
      <c r="Z3734" s="2" t="n">
        <v>4</v>
      </c>
    </row>
    <row r="3735" customFormat="false" ht="15" hidden="false" customHeight="true" outlineLevel="0" collapsed="false">
      <c r="A3735" s="2" t="n">
        <v>44</v>
      </c>
      <c r="B3735" s="2" t="s">
        <v>26</v>
      </c>
      <c r="C3735" s="2" t="s">
        <v>34</v>
      </c>
      <c r="D3735" s="2" t="s">
        <v>35</v>
      </c>
      <c r="E3735" s="2" t="n">
        <v>5</v>
      </c>
      <c r="F3735" s="2" t="n">
        <v>3</v>
      </c>
      <c r="G3735" s="2" t="s">
        <v>29</v>
      </c>
      <c r="H3735" s="2" t="n">
        <v>3734</v>
      </c>
      <c r="I3735" s="2" t="s">
        <v>30</v>
      </c>
      <c r="J3735" s="2" t="n">
        <v>5</v>
      </c>
      <c r="K3735" s="2" t="s">
        <v>47</v>
      </c>
      <c r="L3735" s="2" t="s">
        <v>32</v>
      </c>
      <c r="M3735" s="2" t="n">
        <v>43820</v>
      </c>
      <c r="N3735" s="2" t="n">
        <v>7</v>
      </c>
      <c r="O3735" s="2" t="n">
        <v>16</v>
      </c>
      <c r="P3735" s="2" t="n">
        <v>2</v>
      </c>
      <c r="Q3735" s="2" t="n">
        <v>11</v>
      </c>
      <c r="R3735" s="2" t="n">
        <v>2</v>
      </c>
      <c r="S3735" s="2" t="n">
        <v>1</v>
      </c>
      <c r="T3735" s="2" t="n">
        <v>0</v>
      </c>
      <c r="U3735" s="2" t="n">
        <v>0</v>
      </c>
      <c r="V3735" s="2" t="n">
        <v>1</v>
      </c>
      <c r="W3735" s="2" t="n">
        <v>3</v>
      </c>
      <c r="X3735" s="2" t="n">
        <v>2</v>
      </c>
      <c r="Y3735" s="2" t="n">
        <v>3</v>
      </c>
      <c r="Z3735" s="2" t="n">
        <v>3</v>
      </c>
    </row>
    <row r="3736" customFormat="false" ht="15" hidden="false" customHeight="true" outlineLevel="0" collapsed="false">
      <c r="A3736" s="2" t="n">
        <v>30</v>
      </c>
      <c r="B3736" s="2" t="s">
        <v>26</v>
      </c>
      <c r="C3736" s="2" t="s">
        <v>41</v>
      </c>
      <c r="D3736" s="2" t="s">
        <v>35</v>
      </c>
      <c r="E3736" s="2" t="n">
        <v>8</v>
      </c>
      <c r="F3736" s="2" t="n">
        <v>3</v>
      </c>
      <c r="G3736" s="2" t="s">
        <v>29</v>
      </c>
      <c r="H3736" s="2" t="n">
        <v>3735</v>
      </c>
      <c r="I3736" s="2" t="s">
        <v>39</v>
      </c>
      <c r="J3736" s="2" t="n">
        <v>1</v>
      </c>
      <c r="K3736" s="2" t="s">
        <v>47</v>
      </c>
      <c r="L3736" s="2" t="s">
        <v>46</v>
      </c>
      <c r="M3736" s="2" t="n">
        <v>21430</v>
      </c>
      <c r="N3736" s="2" t="n">
        <v>1</v>
      </c>
      <c r="O3736" s="2" t="n">
        <v>17</v>
      </c>
      <c r="P3736" s="2" t="n">
        <v>1</v>
      </c>
      <c r="Q3736" s="2" t="n">
        <v>1</v>
      </c>
      <c r="R3736" s="2" t="n">
        <v>2</v>
      </c>
      <c r="S3736" s="2" t="n">
        <v>1</v>
      </c>
      <c r="T3736" s="2" t="n">
        <v>0</v>
      </c>
      <c r="U3736" s="2" t="n">
        <v>0</v>
      </c>
      <c r="V3736" s="2" t="n">
        <v>3</v>
      </c>
      <c r="W3736" s="2" t="n">
        <v>3</v>
      </c>
      <c r="X3736" s="2" t="n">
        <v>2</v>
      </c>
      <c r="Y3736" s="2" t="n">
        <v>3</v>
      </c>
      <c r="Z3736" s="2" t="n">
        <v>3</v>
      </c>
    </row>
    <row r="3737" customFormat="false" ht="15" hidden="false" customHeight="true" outlineLevel="0" collapsed="false">
      <c r="A3737" s="2" t="n">
        <v>57</v>
      </c>
      <c r="B3737" s="2" t="s">
        <v>26</v>
      </c>
      <c r="C3737" s="2" t="s">
        <v>27</v>
      </c>
      <c r="D3737" s="2" t="s">
        <v>28</v>
      </c>
      <c r="E3737" s="2" t="n">
        <v>2</v>
      </c>
      <c r="F3737" s="2" t="n">
        <v>1</v>
      </c>
      <c r="G3737" s="2" t="s">
        <v>29</v>
      </c>
      <c r="H3737" s="2" t="n">
        <v>3736</v>
      </c>
      <c r="I3737" s="2" t="s">
        <v>39</v>
      </c>
      <c r="J3737" s="2" t="n">
        <v>3</v>
      </c>
      <c r="K3737" s="2" t="s">
        <v>36</v>
      </c>
      <c r="L3737" s="2" t="s">
        <v>32</v>
      </c>
      <c r="M3737" s="2" t="n">
        <v>61620</v>
      </c>
      <c r="N3737" s="2" t="n">
        <v>0</v>
      </c>
      <c r="O3737" s="2" t="n">
        <v>14</v>
      </c>
      <c r="P3737" s="2" t="n">
        <v>0</v>
      </c>
      <c r="Q3737" s="2" t="n">
        <v>13</v>
      </c>
      <c r="R3737" s="2" t="n">
        <v>5</v>
      </c>
      <c r="S3737" s="2" t="n">
        <v>12</v>
      </c>
      <c r="T3737" s="2" t="n">
        <v>2</v>
      </c>
      <c r="U3737" s="2" t="n">
        <v>8</v>
      </c>
      <c r="V3737" s="2" t="n">
        <v>2</v>
      </c>
      <c r="W3737" s="2" t="n">
        <v>3</v>
      </c>
      <c r="X3737" s="2" t="n">
        <v>2</v>
      </c>
      <c r="Y3737" s="2" t="n">
        <v>2</v>
      </c>
      <c r="Z3737" s="2" t="n">
        <v>3</v>
      </c>
    </row>
    <row r="3738" customFormat="false" ht="15" hidden="false" customHeight="true" outlineLevel="0" collapsed="false">
      <c r="A3738" s="2" t="n">
        <v>49</v>
      </c>
      <c r="B3738" s="2" t="s">
        <v>26</v>
      </c>
      <c r="C3738" s="2" t="s">
        <v>27</v>
      </c>
      <c r="D3738" s="2" t="s">
        <v>35</v>
      </c>
      <c r="E3738" s="2" t="n">
        <v>7</v>
      </c>
      <c r="F3738" s="2" t="n">
        <v>3</v>
      </c>
      <c r="G3738" s="2" t="s">
        <v>51</v>
      </c>
      <c r="H3738" s="2" t="n">
        <v>3737</v>
      </c>
      <c r="I3738" s="2" t="s">
        <v>30</v>
      </c>
      <c r="J3738" s="2" t="n">
        <v>2</v>
      </c>
      <c r="K3738" s="2" t="s">
        <v>40</v>
      </c>
      <c r="L3738" s="2" t="s">
        <v>46</v>
      </c>
      <c r="M3738" s="2" t="n">
        <v>50940</v>
      </c>
      <c r="N3738" s="2" t="n">
        <v>3</v>
      </c>
      <c r="O3738" s="2" t="n">
        <v>15</v>
      </c>
      <c r="P3738" s="2" t="n">
        <v>0</v>
      </c>
      <c r="Q3738" s="2" t="n">
        <v>29</v>
      </c>
      <c r="R3738" s="2" t="n">
        <v>5</v>
      </c>
      <c r="S3738" s="2" t="n">
        <v>8</v>
      </c>
      <c r="T3738" s="2" t="n">
        <v>0</v>
      </c>
      <c r="U3738" s="2" t="n">
        <v>7</v>
      </c>
      <c r="V3738" s="2" t="n">
        <v>3</v>
      </c>
      <c r="W3738" s="2" t="n">
        <v>2</v>
      </c>
      <c r="X3738" s="2" t="n">
        <v>3</v>
      </c>
      <c r="Y3738" s="2" t="n">
        <v>3</v>
      </c>
      <c r="Z3738" s="2" t="n">
        <v>3</v>
      </c>
    </row>
    <row r="3739" customFormat="false" ht="15" hidden="false" customHeight="true" outlineLevel="0" collapsed="false">
      <c r="A3739" s="2" t="n">
        <v>34</v>
      </c>
      <c r="B3739" s="2" t="s">
        <v>26</v>
      </c>
      <c r="C3739" s="2" t="s">
        <v>34</v>
      </c>
      <c r="D3739" s="2" t="s">
        <v>35</v>
      </c>
      <c r="E3739" s="2" t="n">
        <v>2</v>
      </c>
      <c r="F3739" s="2" t="n">
        <v>4</v>
      </c>
      <c r="G3739" s="2" t="s">
        <v>43</v>
      </c>
      <c r="H3739" s="2" t="n">
        <v>3738</v>
      </c>
      <c r="I3739" s="2" t="s">
        <v>30</v>
      </c>
      <c r="J3739" s="2" t="n">
        <v>2</v>
      </c>
      <c r="K3739" s="2" t="s">
        <v>48</v>
      </c>
      <c r="L3739" s="2" t="s">
        <v>46</v>
      </c>
      <c r="M3739" s="2" t="n">
        <v>68770</v>
      </c>
      <c r="N3739" s="2" t="n">
        <v>7</v>
      </c>
      <c r="O3739" s="2" t="n">
        <v>20</v>
      </c>
      <c r="P3739" s="2" t="n">
        <v>0</v>
      </c>
      <c r="Q3739" s="2" t="n">
        <v>16</v>
      </c>
      <c r="R3739" s="2" t="n">
        <v>3</v>
      </c>
      <c r="S3739" s="2" t="n">
        <v>14</v>
      </c>
      <c r="T3739" s="2" t="n">
        <v>6</v>
      </c>
      <c r="U3739" s="2" t="n">
        <v>9</v>
      </c>
      <c r="V3739" s="2" t="n">
        <v>2</v>
      </c>
      <c r="W3739" s="2" t="n">
        <v>1</v>
      </c>
      <c r="X3739" s="2" t="n">
        <v>2</v>
      </c>
      <c r="Y3739" s="2" t="n">
        <v>3</v>
      </c>
      <c r="Z3739" s="2" t="n">
        <v>4</v>
      </c>
    </row>
    <row r="3740" customFormat="false" ht="15" hidden="false" customHeight="true" outlineLevel="0" collapsed="false">
      <c r="A3740" s="2" t="n">
        <v>28</v>
      </c>
      <c r="B3740" s="2" t="s">
        <v>33</v>
      </c>
      <c r="C3740" s="2" t="s">
        <v>34</v>
      </c>
      <c r="D3740" s="2" t="s">
        <v>35</v>
      </c>
      <c r="E3740" s="2" t="n">
        <v>2</v>
      </c>
      <c r="F3740" s="2" t="n">
        <v>3</v>
      </c>
      <c r="G3740" s="2" t="s">
        <v>43</v>
      </c>
      <c r="H3740" s="2" t="n">
        <v>3739</v>
      </c>
      <c r="I3740" s="2" t="s">
        <v>39</v>
      </c>
      <c r="J3740" s="2" t="n">
        <v>1</v>
      </c>
      <c r="K3740" s="2" t="s">
        <v>36</v>
      </c>
      <c r="L3740" s="2" t="s">
        <v>32</v>
      </c>
      <c r="M3740" s="2" t="n">
        <v>22740</v>
      </c>
      <c r="N3740" s="2" t="n">
        <v>3</v>
      </c>
      <c r="O3740" s="2" t="n">
        <v>20</v>
      </c>
      <c r="P3740" s="2" t="n">
        <v>1</v>
      </c>
      <c r="Q3740" s="2" t="n">
        <v>5</v>
      </c>
      <c r="R3740" s="2" t="n">
        <v>5</v>
      </c>
      <c r="S3740" s="2" t="n">
        <v>3</v>
      </c>
      <c r="T3740" s="2" t="n">
        <v>1</v>
      </c>
      <c r="U3740" s="2" t="n">
        <v>2</v>
      </c>
      <c r="V3740" s="2" t="n">
        <v>1</v>
      </c>
      <c r="W3740" s="2" t="n">
        <v>3</v>
      </c>
      <c r="X3740" s="2" t="n">
        <v>4</v>
      </c>
      <c r="Y3740" s="2" t="n">
        <v>3</v>
      </c>
      <c r="Z3740" s="2" t="n">
        <v>4</v>
      </c>
    </row>
    <row r="3741" customFormat="false" ht="15" hidden="false" customHeight="true" outlineLevel="0" collapsed="false">
      <c r="A3741" s="2" t="n">
        <v>29</v>
      </c>
      <c r="B3741" s="2" t="s">
        <v>33</v>
      </c>
      <c r="C3741" s="2" t="s">
        <v>34</v>
      </c>
      <c r="D3741" s="2" t="s">
        <v>35</v>
      </c>
      <c r="E3741" s="2" t="n">
        <v>28</v>
      </c>
      <c r="F3741" s="2" t="n">
        <v>3</v>
      </c>
      <c r="G3741" s="2" t="s">
        <v>43</v>
      </c>
      <c r="H3741" s="2" t="n">
        <v>3740</v>
      </c>
      <c r="I3741" s="2" t="s">
        <v>30</v>
      </c>
      <c r="J3741" s="2" t="n">
        <v>5</v>
      </c>
      <c r="K3741" s="2" t="s">
        <v>36</v>
      </c>
      <c r="L3741" s="2" t="s">
        <v>37</v>
      </c>
      <c r="M3741" s="2" t="n">
        <v>44340</v>
      </c>
      <c r="N3741" s="2" t="n">
        <v>5</v>
      </c>
      <c r="O3741" s="2" t="n">
        <v>17</v>
      </c>
      <c r="P3741" s="2" t="n">
        <v>3</v>
      </c>
      <c r="Q3741" s="2" t="n">
        <v>7</v>
      </c>
      <c r="R3741" s="2" t="n">
        <v>1</v>
      </c>
      <c r="S3741" s="2" t="n">
        <v>5</v>
      </c>
      <c r="T3741" s="2" t="n">
        <v>0</v>
      </c>
      <c r="U3741" s="2" t="n">
        <v>0</v>
      </c>
      <c r="V3741" s="2" t="n">
        <v>1</v>
      </c>
      <c r="W3741" s="2" t="n">
        <v>2</v>
      </c>
      <c r="X3741" s="2" t="n">
        <v>1</v>
      </c>
      <c r="Y3741" s="2" t="n">
        <v>3</v>
      </c>
      <c r="Z3741" s="2" t="n">
        <v>3</v>
      </c>
    </row>
    <row r="3742" customFormat="false" ht="15" hidden="false" customHeight="true" outlineLevel="0" collapsed="false">
      <c r="A3742" s="2" t="n">
        <v>34</v>
      </c>
      <c r="B3742" s="2" t="s">
        <v>33</v>
      </c>
      <c r="C3742" s="2" t="s">
        <v>27</v>
      </c>
      <c r="D3742" s="2" t="s">
        <v>35</v>
      </c>
      <c r="E3742" s="2" t="n">
        <v>7</v>
      </c>
      <c r="F3742" s="2" t="n">
        <v>1</v>
      </c>
      <c r="G3742" s="2" t="s">
        <v>43</v>
      </c>
      <c r="H3742" s="2" t="n">
        <v>3741</v>
      </c>
      <c r="I3742" s="2" t="s">
        <v>39</v>
      </c>
      <c r="J3742" s="2" t="n">
        <v>1</v>
      </c>
      <c r="K3742" s="2" t="s">
        <v>36</v>
      </c>
      <c r="L3742" s="2" t="s">
        <v>37</v>
      </c>
      <c r="M3742" s="2" t="n">
        <v>62880</v>
      </c>
      <c r="N3742" s="2" t="n">
        <v>0</v>
      </c>
      <c r="O3742" s="2" t="n">
        <v>15</v>
      </c>
      <c r="P3742" s="2" t="n">
        <v>1</v>
      </c>
      <c r="Q3742" s="2" t="n">
        <v>16</v>
      </c>
      <c r="R3742" s="2" t="n">
        <v>2</v>
      </c>
      <c r="S3742" s="2" t="n">
        <v>15</v>
      </c>
      <c r="T3742" s="2" t="n">
        <v>10</v>
      </c>
      <c r="U3742" s="2" t="n">
        <v>10</v>
      </c>
      <c r="V3742" s="2" t="n">
        <v>1</v>
      </c>
      <c r="W3742" s="2" t="n">
        <v>2</v>
      </c>
      <c r="X3742" s="2" t="n">
        <v>4</v>
      </c>
      <c r="Y3742" s="2" t="n">
        <v>3</v>
      </c>
      <c r="Z3742" s="2" t="n">
        <v>3</v>
      </c>
    </row>
    <row r="3743" customFormat="false" ht="15" hidden="false" customHeight="true" outlineLevel="0" collapsed="false">
      <c r="A3743" s="2" t="n">
        <v>35</v>
      </c>
      <c r="B3743" s="2" t="s">
        <v>26</v>
      </c>
      <c r="C3743" s="2" t="s">
        <v>27</v>
      </c>
      <c r="D3743" s="2" t="s">
        <v>28</v>
      </c>
      <c r="E3743" s="2" t="n">
        <v>7</v>
      </c>
      <c r="F3743" s="2" t="n">
        <v>4</v>
      </c>
      <c r="G3743" s="2" t="s">
        <v>38</v>
      </c>
      <c r="H3743" s="2" t="n">
        <v>3742</v>
      </c>
      <c r="I3743" s="2" t="s">
        <v>30</v>
      </c>
      <c r="J3743" s="2" t="n">
        <v>4</v>
      </c>
      <c r="K3743" s="2" t="s">
        <v>31</v>
      </c>
      <c r="L3743" s="2" t="s">
        <v>32</v>
      </c>
      <c r="M3743" s="2" t="n">
        <v>25530</v>
      </c>
      <c r="N3743" s="2" t="n">
        <v>1</v>
      </c>
      <c r="O3743" s="2" t="n">
        <v>14</v>
      </c>
      <c r="P3743" s="2" t="n">
        <v>1</v>
      </c>
      <c r="Q3743" s="2" t="n">
        <v>1</v>
      </c>
      <c r="R3743" s="2" t="n">
        <v>4</v>
      </c>
      <c r="S3743" s="2" t="n">
        <v>1</v>
      </c>
      <c r="T3743" s="2" t="n">
        <v>0</v>
      </c>
      <c r="U3743" s="2" t="n">
        <v>0</v>
      </c>
      <c r="V3743" s="2" t="n">
        <v>4</v>
      </c>
      <c r="W3743" s="2" t="n">
        <v>3</v>
      </c>
      <c r="X3743" s="2" t="n">
        <v>3</v>
      </c>
      <c r="Y3743" s="2" t="n">
        <v>2</v>
      </c>
      <c r="Z3743" s="2" t="n">
        <v>3</v>
      </c>
    </row>
    <row r="3744" customFormat="false" ht="15" hidden="false" customHeight="true" outlineLevel="0" collapsed="false">
      <c r="A3744" s="2" t="n">
        <v>24</v>
      </c>
      <c r="B3744" s="2" t="s">
        <v>33</v>
      </c>
      <c r="C3744" s="2" t="s">
        <v>34</v>
      </c>
      <c r="D3744" s="2" t="s">
        <v>28</v>
      </c>
      <c r="E3744" s="2" t="n">
        <v>3</v>
      </c>
      <c r="F3744" s="2" t="n">
        <v>3</v>
      </c>
      <c r="G3744" s="2" t="s">
        <v>29</v>
      </c>
      <c r="H3744" s="2" t="n">
        <v>3743</v>
      </c>
      <c r="I3744" s="2" t="s">
        <v>39</v>
      </c>
      <c r="J3744" s="2" t="n">
        <v>2</v>
      </c>
      <c r="K3744" s="2" t="s">
        <v>36</v>
      </c>
      <c r="L3744" s="2" t="s">
        <v>37</v>
      </c>
      <c r="M3744" s="2" t="n">
        <v>76540</v>
      </c>
      <c r="N3744" s="2" t="n">
        <v>2</v>
      </c>
      <c r="O3744" s="2" t="n">
        <v>17</v>
      </c>
      <c r="P3744" s="2" t="n">
        <v>1</v>
      </c>
      <c r="Q3744" s="2" t="n">
        <v>4</v>
      </c>
      <c r="R3744" s="2" t="n">
        <v>3</v>
      </c>
      <c r="S3744" s="2" t="n">
        <v>0</v>
      </c>
      <c r="T3744" s="2" t="n">
        <v>0</v>
      </c>
      <c r="U3744" s="2" t="n">
        <v>0</v>
      </c>
      <c r="V3744" s="2" t="n">
        <v>2</v>
      </c>
      <c r="W3744" s="2" t="n">
        <v>1</v>
      </c>
      <c r="X3744" s="2" t="n">
        <v>2</v>
      </c>
      <c r="Y3744" s="2" t="n">
        <v>2</v>
      </c>
      <c r="Z3744" s="2" t="n">
        <v>3</v>
      </c>
    </row>
    <row r="3745" customFormat="false" ht="15" hidden="false" customHeight="true" outlineLevel="0" collapsed="false">
      <c r="A3745" s="2" t="n">
        <v>24</v>
      </c>
      <c r="B3745" s="2" t="s">
        <v>26</v>
      </c>
      <c r="C3745" s="2" t="s">
        <v>41</v>
      </c>
      <c r="D3745" s="2" t="s">
        <v>35</v>
      </c>
      <c r="E3745" s="2" t="n">
        <v>10</v>
      </c>
      <c r="F3745" s="2" t="n">
        <v>3</v>
      </c>
      <c r="G3745" s="2" t="s">
        <v>29</v>
      </c>
      <c r="H3745" s="2" t="n">
        <v>3744</v>
      </c>
      <c r="I3745" s="2" t="s">
        <v>30</v>
      </c>
      <c r="J3745" s="2" t="n">
        <v>2</v>
      </c>
      <c r="K3745" s="2" t="s">
        <v>49</v>
      </c>
      <c r="L3745" s="2" t="s">
        <v>32</v>
      </c>
      <c r="M3745" s="2" t="n">
        <v>51600</v>
      </c>
      <c r="N3745" s="2" t="n">
        <v>1</v>
      </c>
      <c r="O3745" s="2" t="n">
        <v>17</v>
      </c>
      <c r="P3745" s="2" t="n">
        <v>1</v>
      </c>
      <c r="Q3745" s="2" t="n">
        <v>1</v>
      </c>
      <c r="R3745" s="2" t="n">
        <v>3</v>
      </c>
      <c r="S3745" s="2" t="n">
        <v>1</v>
      </c>
      <c r="T3745" s="2" t="n">
        <v>0</v>
      </c>
      <c r="U3745" s="2" t="n">
        <v>0</v>
      </c>
      <c r="V3745" s="2" t="n">
        <v>4</v>
      </c>
      <c r="W3745" s="2" t="n">
        <v>2</v>
      </c>
      <c r="X3745" s="2" t="n">
        <v>3</v>
      </c>
      <c r="Y3745" s="2" t="n">
        <v>1</v>
      </c>
      <c r="Z3745" s="2" t="n">
        <v>3</v>
      </c>
    </row>
    <row r="3746" customFormat="false" ht="15" hidden="false" customHeight="true" outlineLevel="0" collapsed="false">
      <c r="A3746" s="2" t="n">
        <v>44</v>
      </c>
      <c r="B3746" s="2" t="s">
        <v>26</v>
      </c>
      <c r="C3746" s="2" t="s">
        <v>34</v>
      </c>
      <c r="D3746" s="2" t="s">
        <v>35</v>
      </c>
      <c r="E3746" s="2" t="n">
        <v>5</v>
      </c>
      <c r="F3746" s="2" t="n">
        <v>2</v>
      </c>
      <c r="G3746" s="2" t="s">
        <v>43</v>
      </c>
      <c r="H3746" s="2" t="n">
        <v>3745</v>
      </c>
      <c r="I3746" s="2" t="s">
        <v>30</v>
      </c>
      <c r="J3746" s="2" t="n">
        <v>2</v>
      </c>
      <c r="K3746" s="2" t="s">
        <v>36</v>
      </c>
      <c r="L3746" s="2" t="s">
        <v>37</v>
      </c>
      <c r="M3746" s="2" t="n">
        <v>171590</v>
      </c>
      <c r="N3746" s="2" t="n">
        <v>5</v>
      </c>
      <c r="O3746" s="2" t="n">
        <v>22</v>
      </c>
      <c r="P3746" s="2" t="n">
        <v>1</v>
      </c>
      <c r="Q3746" s="2" t="n">
        <v>16</v>
      </c>
      <c r="R3746" s="2" t="n">
        <v>1</v>
      </c>
      <c r="S3746" s="2" t="n">
        <v>2</v>
      </c>
      <c r="T3746" s="2" t="n">
        <v>2</v>
      </c>
      <c r="U3746" s="2" t="n">
        <v>2</v>
      </c>
      <c r="V3746" s="2" t="n">
        <v>2</v>
      </c>
      <c r="W3746" s="2" t="n">
        <v>3</v>
      </c>
      <c r="X3746" s="2" t="n">
        <v>2</v>
      </c>
      <c r="Y3746" s="2" t="n">
        <v>2</v>
      </c>
      <c r="Z3746" s="2" t="n">
        <v>4</v>
      </c>
    </row>
    <row r="3747" customFormat="false" ht="15" hidden="false" customHeight="true" outlineLevel="0" collapsed="false">
      <c r="A3747" s="2" t="n">
        <v>29</v>
      </c>
      <c r="B3747" s="2" t="s">
        <v>26</v>
      </c>
      <c r="C3747" s="2" t="s">
        <v>27</v>
      </c>
      <c r="D3747" s="2" t="s">
        <v>28</v>
      </c>
      <c r="E3747" s="2" t="n">
        <v>10</v>
      </c>
      <c r="F3747" s="2" t="n">
        <v>2</v>
      </c>
      <c r="G3747" s="2" t="s">
        <v>29</v>
      </c>
      <c r="H3747" s="2" t="n">
        <v>3746</v>
      </c>
      <c r="I3747" s="2" t="s">
        <v>30</v>
      </c>
      <c r="J3747" s="2" t="n">
        <v>1</v>
      </c>
      <c r="K3747" s="2" t="s">
        <v>40</v>
      </c>
      <c r="L3747" s="2" t="s">
        <v>46</v>
      </c>
      <c r="M3747" s="2" t="n">
        <v>128080</v>
      </c>
      <c r="N3747" s="2" t="n">
        <v>1</v>
      </c>
      <c r="O3747" s="2" t="n">
        <v>13</v>
      </c>
      <c r="P3747" s="2" t="n">
        <v>0</v>
      </c>
      <c r="Q3747" s="2" t="n">
        <v>10</v>
      </c>
      <c r="R3747" s="2" t="n">
        <v>6</v>
      </c>
      <c r="S3747" s="2" t="n">
        <v>10</v>
      </c>
      <c r="T3747" s="2" t="n">
        <v>0</v>
      </c>
      <c r="U3747" s="2" t="n">
        <v>4</v>
      </c>
      <c r="V3747" s="2" t="n">
        <v>3</v>
      </c>
      <c r="W3747" s="2" t="n">
        <v>3</v>
      </c>
      <c r="X3747" s="2" t="n">
        <v>3</v>
      </c>
      <c r="Y3747" s="2" t="n">
        <v>3</v>
      </c>
      <c r="Z3747" s="2" t="n">
        <v>3</v>
      </c>
    </row>
    <row r="3748" customFormat="false" ht="15" hidden="false" customHeight="true" outlineLevel="0" collapsed="false">
      <c r="A3748" s="2" t="n">
        <v>30</v>
      </c>
      <c r="B3748" s="2" t="s">
        <v>26</v>
      </c>
      <c r="C3748" s="2" t="s">
        <v>27</v>
      </c>
      <c r="D3748" s="2" t="s">
        <v>35</v>
      </c>
      <c r="E3748" s="2" t="n">
        <v>1</v>
      </c>
      <c r="F3748" s="2" t="n">
        <v>2</v>
      </c>
      <c r="G3748" s="2" t="s">
        <v>29</v>
      </c>
      <c r="H3748" s="2" t="n">
        <v>3747</v>
      </c>
      <c r="I3748" s="2" t="s">
        <v>39</v>
      </c>
      <c r="J3748" s="2" t="n">
        <v>3</v>
      </c>
      <c r="K3748" s="2" t="s">
        <v>40</v>
      </c>
      <c r="L3748" s="2" t="s">
        <v>46</v>
      </c>
      <c r="M3748" s="2" t="n">
        <v>102210</v>
      </c>
      <c r="N3748" s="2" t="n">
        <v>0</v>
      </c>
      <c r="O3748" s="2" t="n">
        <v>19</v>
      </c>
      <c r="P3748" s="2" t="n">
        <v>1</v>
      </c>
      <c r="Q3748" s="2" t="n">
        <v>6</v>
      </c>
      <c r="R3748" s="2" t="n">
        <v>2</v>
      </c>
      <c r="S3748" s="2" t="n">
        <v>5</v>
      </c>
      <c r="T3748" s="2" t="n">
        <v>1</v>
      </c>
      <c r="U3748" s="2" t="n">
        <v>3</v>
      </c>
      <c r="V3748" s="2" t="n">
        <v>3</v>
      </c>
      <c r="W3748" s="2" t="n">
        <v>3</v>
      </c>
      <c r="X3748" s="2" t="n">
        <v>4</v>
      </c>
      <c r="Y3748" s="2" t="n">
        <v>3</v>
      </c>
      <c r="Z3748" s="2" t="n">
        <v>3</v>
      </c>
    </row>
    <row r="3749" customFormat="false" ht="15" hidden="false" customHeight="true" outlineLevel="0" collapsed="false">
      <c r="A3749" s="2" t="n">
        <v>55</v>
      </c>
      <c r="B3749" s="2" t="s">
        <v>26</v>
      </c>
      <c r="C3749" s="2" t="s">
        <v>27</v>
      </c>
      <c r="D3749" s="2" t="s">
        <v>28</v>
      </c>
      <c r="E3749" s="2" t="n">
        <v>20</v>
      </c>
      <c r="F3749" s="2" t="n">
        <v>3</v>
      </c>
      <c r="G3749" s="2" t="s">
        <v>50</v>
      </c>
      <c r="H3749" s="2" t="n">
        <v>3748</v>
      </c>
      <c r="I3749" s="2" t="s">
        <v>39</v>
      </c>
      <c r="J3749" s="2" t="n">
        <v>2</v>
      </c>
      <c r="K3749" s="2" t="s">
        <v>36</v>
      </c>
      <c r="L3749" s="2" t="s">
        <v>32</v>
      </c>
      <c r="M3749" s="2" t="n">
        <v>47790</v>
      </c>
      <c r="N3749" s="2" t="n">
        <v>0</v>
      </c>
      <c r="O3749" s="2" t="n">
        <v>14</v>
      </c>
      <c r="P3749" s="2" t="n">
        <v>1</v>
      </c>
      <c r="Q3749" s="2" t="n">
        <v>4</v>
      </c>
      <c r="R3749" s="2" t="n">
        <v>6</v>
      </c>
      <c r="S3749" s="2" t="n">
        <v>3</v>
      </c>
      <c r="T3749" s="2" t="n">
        <v>1</v>
      </c>
      <c r="U3749" s="2" t="n">
        <v>2</v>
      </c>
      <c r="V3749" s="2" t="n">
        <v>4</v>
      </c>
      <c r="W3749" s="2" t="n">
        <v>3</v>
      </c>
      <c r="X3749" s="2" t="n">
        <v>3</v>
      </c>
      <c r="Y3749" s="2" t="n">
        <v>3</v>
      </c>
      <c r="Z3749" s="2" t="n">
        <v>3</v>
      </c>
    </row>
    <row r="3750" customFormat="false" ht="15" hidden="false" customHeight="true" outlineLevel="0" collapsed="false">
      <c r="A3750" s="2" t="n">
        <v>33</v>
      </c>
      <c r="B3750" s="2" t="s">
        <v>26</v>
      </c>
      <c r="C3750" s="2" t="s">
        <v>27</v>
      </c>
      <c r="D3750" s="2" t="s">
        <v>35</v>
      </c>
      <c r="E3750" s="2" t="n">
        <v>7</v>
      </c>
      <c r="F3750" s="2" t="n">
        <v>2</v>
      </c>
      <c r="G3750" s="2" t="s">
        <v>29</v>
      </c>
      <c r="H3750" s="2" t="n">
        <v>3749</v>
      </c>
      <c r="I3750" s="2" t="s">
        <v>39</v>
      </c>
      <c r="J3750" s="2" t="n">
        <v>2</v>
      </c>
      <c r="K3750" s="2" t="s">
        <v>36</v>
      </c>
      <c r="L3750" s="2" t="s">
        <v>32</v>
      </c>
      <c r="M3750" s="2" t="n">
        <v>37370</v>
      </c>
      <c r="N3750" s="2" t="n">
        <v>8</v>
      </c>
      <c r="O3750" s="2" t="n">
        <v>22</v>
      </c>
      <c r="P3750" s="2" t="n">
        <v>2</v>
      </c>
      <c r="Q3750" s="2" t="n">
        <v>8</v>
      </c>
      <c r="R3750" s="2" t="n">
        <v>2</v>
      </c>
      <c r="S3750" s="2" t="n">
        <v>5</v>
      </c>
      <c r="T3750" s="2" t="n">
        <v>0</v>
      </c>
      <c r="U3750" s="2" t="n">
        <v>2</v>
      </c>
      <c r="V3750" s="2" t="n">
        <v>1</v>
      </c>
      <c r="W3750" s="2" t="n">
        <v>2</v>
      </c>
      <c r="X3750" s="2" t="n">
        <v>3</v>
      </c>
      <c r="Y3750" s="2" t="n">
        <v>3</v>
      </c>
      <c r="Z3750" s="2" t="n">
        <v>4</v>
      </c>
    </row>
    <row r="3751" customFormat="false" ht="15" hidden="false" customHeight="true" outlineLevel="0" collapsed="false">
      <c r="A3751" s="2" t="n">
        <v>47</v>
      </c>
      <c r="B3751" s="2" t="s">
        <v>26</v>
      </c>
      <c r="C3751" s="2" t="s">
        <v>27</v>
      </c>
      <c r="D3751" s="2" t="s">
        <v>35</v>
      </c>
      <c r="E3751" s="2" t="n">
        <v>8</v>
      </c>
      <c r="F3751" s="2" t="n">
        <v>4</v>
      </c>
      <c r="G3751" s="2" t="s">
        <v>43</v>
      </c>
      <c r="H3751" s="2" t="n">
        <v>3750</v>
      </c>
      <c r="I3751" s="2" t="s">
        <v>30</v>
      </c>
      <c r="J3751" s="2" t="n">
        <v>2</v>
      </c>
      <c r="K3751" s="2" t="s">
        <v>48</v>
      </c>
      <c r="L3751" s="2" t="s">
        <v>32</v>
      </c>
      <c r="M3751" s="2" t="n">
        <v>23660</v>
      </c>
      <c r="N3751" s="2" t="n">
        <v>3</v>
      </c>
      <c r="O3751" s="2" t="n">
        <v>17</v>
      </c>
      <c r="P3751" s="2" t="n">
        <v>0</v>
      </c>
      <c r="Q3751" s="2" t="n">
        <v>11</v>
      </c>
      <c r="R3751" s="2" t="n">
        <v>5</v>
      </c>
      <c r="S3751" s="2" t="n">
        <v>5</v>
      </c>
      <c r="T3751" s="2" t="n">
        <v>1</v>
      </c>
      <c r="U3751" s="2" t="n">
        <v>2</v>
      </c>
      <c r="V3751" s="2" t="n">
        <v>3</v>
      </c>
      <c r="W3751" s="2" t="n">
        <v>3</v>
      </c>
      <c r="X3751" s="2" t="n">
        <v>2</v>
      </c>
      <c r="Y3751" s="2" t="n">
        <v>2</v>
      </c>
      <c r="Z3751" s="2" t="n">
        <v>3</v>
      </c>
    </row>
    <row r="3752" customFormat="false" ht="15" hidden="false" customHeight="true" outlineLevel="0" collapsed="false">
      <c r="A3752" s="2" t="n">
        <v>28</v>
      </c>
      <c r="B3752" s="2" t="s">
        <v>33</v>
      </c>
      <c r="C3752" s="2" t="s">
        <v>34</v>
      </c>
      <c r="D3752" s="2" t="s">
        <v>28</v>
      </c>
      <c r="E3752" s="2" t="n">
        <v>1</v>
      </c>
      <c r="F3752" s="2" t="n">
        <v>3</v>
      </c>
      <c r="G3752" s="2" t="s">
        <v>50</v>
      </c>
      <c r="H3752" s="2" t="n">
        <v>3751</v>
      </c>
      <c r="I3752" s="2" t="s">
        <v>39</v>
      </c>
      <c r="J3752" s="2" t="n">
        <v>2</v>
      </c>
      <c r="K3752" s="2" t="s">
        <v>45</v>
      </c>
      <c r="L3752" s="2" t="s">
        <v>37</v>
      </c>
      <c r="M3752" s="2" t="n">
        <v>17060</v>
      </c>
      <c r="N3752" s="2" t="n">
        <v>7</v>
      </c>
      <c r="O3752" s="2" t="n">
        <v>12</v>
      </c>
      <c r="P3752" s="2" t="n">
        <v>0</v>
      </c>
      <c r="Q3752" s="2" t="n">
        <v>8</v>
      </c>
      <c r="R3752" s="2" t="n">
        <v>3</v>
      </c>
      <c r="S3752" s="2" t="n">
        <v>0</v>
      </c>
      <c r="T3752" s="2" t="n">
        <v>0</v>
      </c>
      <c r="U3752" s="2" t="n">
        <v>0</v>
      </c>
      <c r="V3752" s="2" t="n">
        <v>3</v>
      </c>
      <c r="W3752" s="2" t="n">
        <v>1</v>
      </c>
      <c r="X3752" s="2" t="n">
        <v>2</v>
      </c>
      <c r="Y3752" s="2" t="n">
        <v>3</v>
      </c>
      <c r="Z3752" s="2" t="n">
        <v>3</v>
      </c>
    </row>
    <row r="3753" customFormat="false" ht="15" hidden="false" customHeight="true" outlineLevel="0" collapsed="false">
      <c r="A3753" s="2" t="n">
        <v>28</v>
      </c>
      <c r="B3753" s="2" t="s">
        <v>26</v>
      </c>
      <c r="C3753" s="2" t="s">
        <v>27</v>
      </c>
      <c r="D3753" s="2" t="s">
        <v>28</v>
      </c>
      <c r="E3753" s="2" t="n">
        <v>8</v>
      </c>
      <c r="F3753" s="2" t="n">
        <v>4</v>
      </c>
      <c r="G3753" s="2" t="s">
        <v>50</v>
      </c>
      <c r="H3753" s="2" t="n">
        <v>3752</v>
      </c>
      <c r="I3753" s="2" t="s">
        <v>39</v>
      </c>
      <c r="J3753" s="2" t="n">
        <v>1</v>
      </c>
      <c r="K3753" s="2" t="s">
        <v>45</v>
      </c>
      <c r="L3753" s="2" t="s">
        <v>46</v>
      </c>
      <c r="M3753" s="2" t="n">
        <v>163070</v>
      </c>
      <c r="N3753" s="2" t="n">
        <v>1</v>
      </c>
      <c r="O3753" s="2" t="n">
        <v>16</v>
      </c>
      <c r="P3753" s="2" t="n">
        <v>0</v>
      </c>
      <c r="Q3753" s="2" t="n">
        <v>1</v>
      </c>
      <c r="R3753" s="2" t="n">
        <v>3</v>
      </c>
      <c r="S3753" s="2" t="n">
        <v>1</v>
      </c>
      <c r="T3753" s="2" t="n">
        <v>0</v>
      </c>
      <c r="U3753" s="2" t="n">
        <v>0</v>
      </c>
      <c r="V3753" s="2" t="n">
        <v>1</v>
      </c>
      <c r="W3753" s="2" t="n">
        <v>3</v>
      </c>
      <c r="X3753" s="2" t="n">
        <v>1</v>
      </c>
      <c r="Y3753" s="2" t="n">
        <v>2</v>
      </c>
      <c r="Z3753" s="2" t="n">
        <v>3</v>
      </c>
    </row>
    <row r="3754" customFormat="false" ht="15" hidden="false" customHeight="true" outlineLevel="0" collapsed="false">
      <c r="A3754" s="2" t="n">
        <v>28</v>
      </c>
      <c r="B3754" s="2" t="s">
        <v>26</v>
      </c>
      <c r="C3754" s="2" t="s">
        <v>34</v>
      </c>
      <c r="D3754" s="2" t="s">
        <v>35</v>
      </c>
      <c r="E3754" s="2" t="n">
        <v>9</v>
      </c>
      <c r="F3754" s="2" t="n">
        <v>3</v>
      </c>
      <c r="G3754" s="2" t="s">
        <v>29</v>
      </c>
      <c r="H3754" s="2" t="n">
        <v>3753</v>
      </c>
      <c r="I3754" s="2" t="s">
        <v>30</v>
      </c>
      <c r="J3754" s="2" t="n">
        <v>2</v>
      </c>
      <c r="K3754" s="2" t="s">
        <v>40</v>
      </c>
      <c r="L3754" s="2" t="s">
        <v>37</v>
      </c>
      <c r="M3754" s="2" t="n">
        <v>59330</v>
      </c>
      <c r="N3754" s="2" t="n">
        <v>0</v>
      </c>
      <c r="O3754" s="2" t="n">
        <v>11</v>
      </c>
      <c r="P3754" s="2" t="n">
        <v>0</v>
      </c>
      <c r="Q3754" s="2" t="n">
        <v>5</v>
      </c>
      <c r="R3754" s="2" t="n">
        <v>3</v>
      </c>
      <c r="S3754" s="2" t="n">
        <v>4</v>
      </c>
      <c r="T3754" s="2" t="n">
        <v>1</v>
      </c>
      <c r="U3754" s="2" t="n">
        <v>3</v>
      </c>
      <c r="V3754" s="2" t="n">
        <v>3</v>
      </c>
      <c r="W3754" s="2" t="n">
        <v>1</v>
      </c>
      <c r="X3754" s="2" t="n">
        <v>3</v>
      </c>
      <c r="Y3754" s="2" t="n">
        <v>3</v>
      </c>
      <c r="Z3754" s="2" t="n">
        <v>3</v>
      </c>
    </row>
    <row r="3755" customFormat="false" ht="15" hidden="false" customHeight="true" outlineLevel="0" collapsed="false">
      <c r="A3755" s="2" t="n">
        <v>49</v>
      </c>
      <c r="B3755" s="2" t="s">
        <v>26</v>
      </c>
      <c r="C3755" s="2" t="s">
        <v>27</v>
      </c>
      <c r="D3755" s="2" t="s">
        <v>35</v>
      </c>
      <c r="E3755" s="2" t="n">
        <v>5</v>
      </c>
      <c r="F3755" s="2" t="n">
        <v>4</v>
      </c>
      <c r="G3755" s="2" t="s">
        <v>29</v>
      </c>
      <c r="H3755" s="2" t="n">
        <v>3754</v>
      </c>
      <c r="I3755" s="2" t="s">
        <v>30</v>
      </c>
      <c r="J3755" s="2" t="n">
        <v>1</v>
      </c>
      <c r="K3755" s="2" t="s">
        <v>36</v>
      </c>
      <c r="L3755" s="2" t="s">
        <v>32</v>
      </c>
      <c r="M3755" s="2" t="n">
        <v>34240</v>
      </c>
      <c r="N3755" s="2" t="n">
        <v>4</v>
      </c>
      <c r="O3755" s="2" t="n">
        <v>11</v>
      </c>
      <c r="P3755" s="2" t="n">
        <v>0</v>
      </c>
      <c r="Q3755" s="2" t="n">
        <v>10</v>
      </c>
      <c r="R3755" s="2" t="n">
        <v>3</v>
      </c>
      <c r="S3755" s="2" t="n">
        <v>3</v>
      </c>
      <c r="T3755" s="2" t="n">
        <v>1</v>
      </c>
      <c r="U3755" s="2" t="n">
        <v>2</v>
      </c>
      <c r="V3755" s="2" t="n">
        <v>3</v>
      </c>
      <c r="W3755" s="2" t="n">
        <v>1</v>
      </c>
      <c r="X3755" s="2" t="n">
        <v>3</v>
      </c>
      <c r="Y3755" s="2" t="n">
        <v>3</v>
      </c>
      <c r="Z3755" s="2" t="n">
        <v>3</v>
      </c>
    </row>
    <row r="3756" customFormat="false" ht="15" hidden="false" customHeight="true" outlineLevel="0" collapsed="false">
      <c r="A3756" s="2" t="n">
        <v>29</v>
      </c>
      <c r="B3756" s="2" t="s">
        <v>26</v>
      </c>
      <c r="C3756" s="2" t="s">
        <v>34</v>
      </c>
      <c r="D3756" s="2" t="s">
        <v>35</v>
      </c>
      <c r="E3756" s="2" t="n">
        <v>8</v>
      </c>
      <c r="F3756" s="2" t="n">
        <v>1</v>
      </c>
      <c r="G3756" s="2" t="s">
        <v>43</v>
      </c>
      <c r="H3756" s="2" t="n">
        <v>3755</v>
      </c>
      <c r="I3756" s="2" t="s">
        <v>39</v>
      </c>
      <c r="J3756" s="2" t="n">
        <v>1</v>
      </c>
      <c r="K3756" s="2" t="s">
        <v>36</v>
      </c>
      <c r="L3756" s="2" t="s">
        <v>32</v>
      </c>
      <c r="M3756" s="2" t="n">
        <v>40370</v>
      </c>
      <c r="N3756" s="2" t="n">
        <v>0</v>
      </c>
      <c r="O3756" s="2" t="n">
        <v>14</v>
      </c>
      <c r="P3756" s="2" t="n">
        <v>0</v>
      </c>
      <c r="Q3756" s="2" t="n">
        <v>4</v>
      </c>
      <c r="R3756" s="2" t="n">
        <v>2</v>
      </c>
      <c r="S3756" s="2" t="n">
        <v>3</v>
      </c>
      <c r="T3756" s="2" t="n">
        <v>0</v>
      </c>
      <c r="U3756" s="2" t="n">
        <v>2</v>
      </c>
      <c r="V3756" s="2" t="n">
        <v>4</v>
      </c>
      <c r="W3756" s="2" t="n">
        <v>2</v>
      </c>
      <c r="X3756" s="2" t="n">
        <v>3</v>
      </c>
      <c r="Y3756" s="2" t="n">
        <v>1</v>
      </c>
      <c r="Z3756" s="2" t="n">
        <v>3</v>
      </c>
    </row>
    <row r="3757" customFormat="false" ht="15" hidden="false" customHeight="true" outlineLevel="0" collapsed="false">
      <c r="A3757" s="2" t="n">
        <v>28</v>
      </c>
      <c r="B3757" s="2" t="s">
        <v>26</v>
      </c>
      <c r="C3757" s="2" t="s">
        <v>27</v>
      </c>
      <c r="D3757" s="2" t="s">
        <v>35</v>
      </c>
      <c r="E3757" s="2" t="n">
        <v>5</v>
      </c>
      <c r="F3757" s="2" t="n">
        <v>1</v>
      </c>
      <c r="G3757" s="2" t="s">
        <v>51</v>
      </c>
      <c r="H3757" s="2" t="n">
        <v>3756</v>
      </c>
      <c r="I3757" s="2" t="s">
        <v>39</v>
      </c>
      <c r="J3757" s="2" t="n">
        <v>2</v>
      </c>
      <c r="K3757" s="2" t="s">
        <v>45</v>
      </c>
      <c r="L3757" s="2" t="s">
        <v>32</v>
      </c>
      <c r="M3757" s="2" t="n">
        <v>25590</v>
      </c>
      <c r="N3757" s="2" t="n">
        <v>1</v>
      </c>
      <c r="O3757" s="2" t="n">
        <v>11</v>
      </c>
      <c r="P3757" s="2" t="n">
        <v>0</v>
      </c>
      <c r="Q3757" s="2" t="n">
        <v>8</v>
      </c>
      <c r="R3757" s="2" t="n">
        <v>3</v>
      </c>
      <c r="S3757" s="2" t="n">
        <v>8</v>
      </c>
      <c r="T3757" s="2" t="n">
        <v>1</v>
      </c>
      <c r="U3757" s="2" t="n">
        <v>7</v>
      </c>
      <c r="V3757" s="2" t="n">
        <v>3</v>
      </c>
      <c r="W3757" s="2" t="n">
        <v>2</v>
      </c>
      <c r="X3757" s="2" t="n">
        <v>2</v>
      </c>
      <c r="Y3757" s="2" t="n">
        <v>2</v>
      </c>
      <c r="Z3757" s="2" t="n">
        <v>3</v>
      </c>
    </row>
    <row r="3758" customFormat="false" ht="15" hidden="false" customHeight="true" outlineLevel="0" collapsed="false">
      <c r="A3758" s="2" t="n">
        <v>33</v>
      </c>
      <c r="B3758" s="2" t="s">
        <v>26</v>
      </c>
      <c r="C3758" s="2" t="s">
        <v>27</v>
      </c>
      <c r="D3758" s="2" t="s">
        <v>35</v>
      </c>
      <c r="E3758" s="2" t="n">
        <v>15</v>
      </c>
      <c r="F3758" s="2" t="n">
        <v>4</v>
      </c>
      <c r="G3758" s="2" t="s">
        <v>29</v>
      </c>
      <c r="H3758" s="2" t="n">
        <v>3757</v>
      </c>
      <c r="I3758" s="2" t="s">
        <v>30</v>
      </c>
      <c r="J3758" s="2" t="n">
        <v>1</v>
      </c>
      <c r="K3758" s="2" t="s">
        <v>40</v>
      </c>
      <c r="L3758" s="2" t="s">
        <v>37</v>
      </c>
      <c r="M3758" s="2" t="n">
        <v>62010</v>
      </c>
      <c r="N3758" s="2" t="n">
        <v>2</v>
      </c>
      <c r="O3758" s="2" t="n">
        <v>15</v>
      </c>
      <c r="P3758" s="2" t="n">
        <v>3</v>
      </c>
      <c r="Q3758" s="2" t="n">
        <v>14</v>
      </c>
      <c r="R3758" s="2" t="n">
        <v>2</v>
      </c>
      <c r="S3758" s="2" t="n">
        <v>0</v>
      </c>
      <c r="T3758" s="2" t="n">
        <v>0</v>
      </c>
      <c r="U3758" s="2" t="n">
        <v>0</v>
      </c>
      <c r="V3758" s="2" t="n">
        <v>4</v>
      </c>
      <c r="W3758" s="2" t="n">
        <v>3</v>
      </c>
      <c r="X3758" s="2" t="n">
        <v>3</v>
      </c>
      <c r="Y3758" s="2" t="n">
        <v>2</v>
      </c>
      <c r="Z3758" s="2" t="n">
        <v>3</v>
      </c>
    </row>
    <row r="3759" customFormat="false" ht="15" hidden="false" customHeight="true" outlineLevel="0" collapsed="false">
      <c r="A3759" s="2" t="n">
        <v>32</v>
      </c>
      <c r="B3759" s="2" t="s">
        <v>26</v>
      </c>
      <c r="C3759" s="2" t="s">
        <v>27</v>
      </c>
      <c r="D3759" s="2" t="s">
        <v>35</v>
      </c>
      <c r="E3759" s="2" t="n">
        <v>7</v>
      </c>
      <c r="F3759" s="2" t="n">
        <v>3</v>
      </c>
      <c r="G3759" s="2" t="s">
        <v>29</v>
      </c>
      <c r="H3759" s="2" t="n">
        <v>3758</v>
      </c>
      <c r="I3759" s="2" t="s">
        <v>30</v>
      </c>
      <c r="J3759" s="2" t="n">
        <v>3</v>
      </c>
      <c r="K3759" s="2" t="s">
        <v>45</v>
      </c>
      <c r="L3759" s="2" t="s">
        <v>37</v>
      </c>
      <c r="M3759" s="2" t="n">
        <v>44030</v>
      </c>
      <c r="N3759" s="2" t="n">
        <v>2</v>
      </c>
      <c r="O3759" s="2" t="n">
        <v>20</v>
      </c>
      <c r="P3759" s="2" t="n">
        <v>0</v>
      </c>
      <c r="Q3759" s="2" t="n">
        <v>10</v>
      </c>
      <c r="R3759" s="2" t="n">
        <v>3</v>
      </c>
      <c r="S3759" s="2" t="n">
        <v>5</v>
      </c>
      <c r="T3759" s="2" t="n">
        <v>0</v>
      </c>
      <c r="U3759" s="2" t="n">
        <v>0</v>
      </c>
      <c r="V3759" s="2" t="n">
        <v>3</v>
      </c>
      <c r="W3759" s="2" t="n">
        <v>4</v>
      </c>
      <c r="X3759" s="2" t="n">
        <v>4</v>
      </c>
      <c r="Y3759" s="2" t="n">
        <v>2</v>
      </c>
      <c r="Z3759" s="2" t="n">
        <v>4</v>
      </c>
    </row>
    <row r="3760" customFormat="false" ht="15" hidden="false" customHeight="true" outlineLevel="0" collapsed="false">
      <c r="A3760" s="2" t="n">
        <v>54</v>
      </c>
      <c r="B3760" s="2" t="s">
        <v>26</v>
      </c>
      <c r="C3760" s="2" t="s">
        <v>34</v>
      </c>
      <c r="D3760" s="2" t="s">
        <v>28</v>
      </c>
      <c r="E3760" s="2" t="n">
        <v>10</v>
      </c>
      <c r="F3760" s="2" t="n">
        <v>3</v>
      </c>
      <c r="G3760" s="2" t="s">
        <v>29</v>
      </c>
      <c r="H3760" s="2" t="n">
        <v>3759</v>
      </c>
      <c r="I3760" s="2" t="s">
        <v>30</v>
      </c>
      <c r="J3760" s="2" t="n">
        <v>4</v>
      </c>
      <c r="K3760" s="2" t="s">
        <v>36</v>
      </c>
      <c r="L3760" s="2" t="s">
        <v>46</v>
      </c>
      <c r="M3760" s="2" t="n">
        <v>37610</v>
      </c>
      <c r="N3760" s="2" t="n">
        <v>3</v>
      </c>
      <c r="O3760" s="2" t="n">
        <v>12</v>
      </c>
      <c r="P3760" s="2" t="n">
        <v>0</v>
      </c>
      <c r="Q3760" s="2" t="n">
        <v>26</v>
      </c>
      <c r="R3760" s="2" t="n">
        <v>3</v>
      </c>
      <c r="S3760" s="2" t="n">
        <v>14</v>
      </c>
      <c r="T3760" s="2" t="n">
        <v>1</v>
      </c>
      <c r="U3760" s="2" t="n">
        <v>12</v>
      </c>
      <c r="V3760" s="2" t="n">
        <v>2</v>
      </c>
      <c r="W3760" s="2" t="n">
        <v>4</v>
      </c>
      <c r="X3760" s="2" t="n">
        <v>3</v>
      </c>
      <c r="Y3760" s="2" t="n">
        <v>2</v>
      </c>
      <c r="Z3760" s="2" t="n">
        <v>3</v>
      </c>
    </row>
    <row r="3761" customFormat="false" ht="15" hidden="false" customHeight="true" outlineLevel="0" collapsed="false">
      <c r="A3761" s="2" t="n">
        <v>29</v>
      </c>
      <c r="B3761" s="2" t="s">
        <v>33</v>
      </c>
      <c r="C3761" s="2" t="s">
        <v>27</v>
      </c>
      <c r="D3761" s="2" t="s">
        <v>35</v>
      </c>
      <c r="E3761" s="2" t="n">
        <v>5</v>
      </c>
      <c r="F3761" s="2" t="n">
        <v>3</v>
      </c>
      <c r="G3761" s="2" t="s">
        <v>29</v>
      </c>
      <c r="H3761" s="2" t="n">
        <v>3760</v>
      </c>
      <c r="I3761" s="2" t="s">
        <v>30</v>
      </c>
      <c r="J3761" s="2" t="n">
        <v>2</v>
      </c>
      <c r="K3761" s="2" t="s">
        <v>36</v>
      </c>
      <c r="L3761" s="2" t="s">
        <v>37</v>
      </c>
      <c r="M3761" s="2" t="n">
        <v>109340</v>
      </c>
      <c r="N3761" s="2" t="n">
        <v>6</v>
      </c>
      <c r="O3761" s="2" t="n">
        <v>17</v>
      </c>
      <c r="P3761" s="2" t="n">
        <v>2</v>
      </c>
      <c r="Q3761" s="2" t="n">
        <v>11</v>
      </c>
      <c r="R3761" s="2" t="n">
        <v>2</v>
      </c>
      <c r="S3761" s="2" t="n">
        <v>9</v>
      </c>
      <c r="T3761" s="2" t="n">
        <v>0</v>
      </c>
      <c r="U3761" s="2" t="n">
        <v>7</v>
      </c>
      <c r="V3761" s="2" t="n">
        <v>1</v>
      </c>
      <c r="W3761" s="2" t="n">
        <v>1</v>
      </c>
      <c r="X3761" s="2" t="n">
        <v>1</v>
      </c>
      <c r="Y3761" s="2" t="n">
        <v>3</v>
      </c>
      <c r="Z3761" s="2" t="n">
        <v>3</v>
      </c>
    </row>
    <row r="3762" customFormat="false" ht="15" hidden="false" customHeight="true" outlineLevel="0" collapsed="false">
      <c r="A3762" s="2" t="n">
        <v>44</v>
      </c>
      <c r="B3762" s="2" t="s">
        <v>26</v>
      </c>
      <c r="C3762" s="2" t="s">
        <v>27</v>
      </c>
      <c r="D3762" s="2" t="s">
        <v>28</v>
      </c>
      <c r="E3762" s="2" t="n">
        <v>26</v>
      </c>
      <c r="F3762" s="2" t="n">
        <v>1</v>
      </c>
      <c r="G3762" s="2" t="s">
        <v>50</v>
      </c>
      <c r="H3762" s="2" t="n">
        <v>3761</v>
      </c>
      <c r="I3762" s="2" t="s">
        <v>39</v>
      </c>
      <c r="J3762" s="2" t="n">
        <v>1</v>
      </c>
      <c r="K3762" s="2" t="s">
        <v>48</v>
      </c>
      <c r="L3762" s="2" t="s">
        <v>32</v>
      </c>
      <c r="M3762" s="2" t="n">
        <v>107610</v>
      </c>
      <c r="N3762" s="2" t="n">
        <v>3</v>
      </c>
      <c r="O3762" s="2" t="n">
        <v>11</v>
      </c>
      <c r="P3762" s="2" t="n">
        <v>1</v>
      </c>
      <c r="Q3762" s="2" t="n">
        <v>24</v>
      </c>
      <c r="R3762" s="2" t="n">
        <v>5</v>
      </c>
      <c r="S3762" s="2" t="n">
        <v>20</v>
      </c>
      <c r="T3762" s="2" t="n">
        <v>14</v>
      </c>
      <c r="U3762" s="2" t="n">
        <v>17</v>
      </c>
      <c r="V3762" s="2" t="n">
        <v>4</v>
      </c>
      <c r="W3762" s="2" t="n">
        <v>1</v>
      </c>
      <c r="X3762" s="2" t="n">
        <v>4</v>
      </c>
      <c r="Y3762" s="2" t="n">
        <v>2</v>
      </c>
      <c r="Z3762" s="2" t="n">
        <v>3</v>
      </c>
    </row>
    <row r="3763" customFormat="false" ht="15" hidden="false" customHeight="true" outlineLevel="0" collapsed="false">
      <c r="A3763" s="2" t="n">
        <v>39</v>
      </c>
      <c r="B3763" s="2" t="s">
        <v>26</v>
      </c>
      <c r="C3763" s="2" t="s">
        <v>27</v>
      </c>
      <c r="D3763" s="2" t="s">
        <v>28</v>
      </c>
      <c r="E3763" s="2" t="n">
        <v>6</v>
      </c>
      <c r="F3763" s="2" t="n">
        <v>1</v>
      </c>
      <c r="G3763" s="2" t="s">
        <v>51</v>
      </c>
      <c r="H3763" s="2" t="n">
        <v>3762</v>
      </c>
      <c r="I3763" s="2" t="s">
        <v>30</v>
      </c>
      <c r="J3763" s="2" t="n">
        <v>2</v>
      </c>
      <c r="K3763" s="2" t="s">
        <v>45</v>
      </c>
      <c r="L3763" s="2" t="s">
        <v>37</v>
      </c>
      <c r="M3763" s="2" t="n">
        <v>51750</v>
      </c>
      <c r="N3763" s="2" t="n">
        <v>4</v>
      </c>
      <c r="O3763" s="2" t="n">
        <v>17</v>
      </c>
      <c r="P3763" s="2" t="n">
        <v>1</v>
      </c>
      <c r="Q3763" s="2" t="n">
        <v>9</v>
      </c>
      <c r="R3763" s="2" t="n">
        <v>2</v>
      </c>
      <c r="S3763" s="2" t="n">
        <v>2</v>
      </c>
      <c r="T3763" s="2" t="n">
        <v>2</v>
      </c>
      <c r="U3763" s="2" t="n">
        <v>2</v>
      </c>
      <c r="V3763" s="2" t="n">
        <v>2</v>
      </c>
      <c r="W3763" s="2" t="n">
        <v>2</v>
      </c>
      <c r="X3763" s="2" t="n">
        <v>3</v>
      </c>
      <c r="Y3763" s="2" t="n">
        <v>4</v>
      </c>
      <c r="Z3763" s="2" t="n">
        <v>3</v>
      </c>
    </row>
    <row r="3764" customFormat="false" ht="15" hidden="false" customHeight="true" outlineLevel="0" collapsed="false">
      <c r="A3764" s="2" t="n">
        <v>46</v>
      </c>
      <c r="B3764" s="2" t="s">
        <v>26</v>
      </c>
      <c r="C3764" s="2" t="s">
        <v>27</v>
      </c>
      <c r="D3764" s="2" t="s">
        <v>35</v>
      </c>
      <c r="E3764" s="2" t="n">
        <v>4</v>
      </c>
      <c r="F3764" s="2" t="n">
        <v>2</v>
      </c>
      <c r="G3764" s="2" t="s">
        <v>29</v>
      </c>
      <c r="H3764" s="2" t="n">
        <v>3763</v>
      </c>
      <c r="I3764" s="2" t="s">
        <v>39</v>
      </c>
      <c r="J3764" s="2" t="n">
        <v>3</v>
      </c>
      <c r="K3764" s="2" t="s">
        <v>47</v>
      </c>
      <c r="L3764" s="2" t="s">
        <v>32</v>
      </c>
      <c r="M3764" s="2" t="n">
        <v>138260</v>
      </c>
      <c r="N3764" s="2" t="n">
        <v>8</v>
      </c>
      <c r="O3764" s="2" t="n">
        <v>11</v>
      </c>
      <c r="P3764" s="2" t="n">
        <v>0</v>
      </c>
      <c r="Q3764" s="2" t="n">
        <v>23</v>
      </c>
      <c r="R3764" s="2" t="n">
        <v>1</v>
      </c>
      <c r="S3764" s="2" t="n">
        <v>13</v>
      </c>
      <c r="T3764" s="2" t="n">
        <v>5</v>
      </c>
      <c r="U3764" s="2" t="n">
        <v>1</v>
      </c>
      <c r="V3764" s="2" t="n">
        <v>3</v>
      </c>
      <c r="W3764" s="2" t="n">
        <v>2</v>
      </c>
      <c r="X3764" s="2" t="n">
        <v>4</v>
      </c>
      <c r="Y3764" s="2" t="n">
        <v>2</v>
      </c>
      <c r="Z3764" s="2" t="n">
        <v>3</v>
      </c>
    </row>
    <row r="3765" customFormat="false" ht="15" hidden="false" customHeight="true" outlineLevel="0" collapsed="false">
      <c r="A3765" s="2" t="n">
        <v>35</v>
      </c>
      <c r="B3765" s="2" t="s">
        <v>26</v>
      </c>
      <c r="C3765" s="2" t="s">
        <v>27</v>
      </c>
      <c r="D3765" s="2" t="s">
        <v>35</v>
      </c>
      <c r="E3765" s="2" t="n">
        <v>23</v>
      </c>
      <c r="F3765" s="2" t="n">
        <v>4</v>
      </c>
      <c r="G3765" s="2" t="s">
        <v>29</v>
      </c>
      <c r="H3765" s="2" t="n">
        <v>3764</v>
      </c>
      <c r="I3765" s="2" t="s">
        <v>39</v>
      </c>
      <c r="J3765" s="2" t="n">
        <v>2</v>
      </c>
      <c r="K3765" s="2" t="s">
        <v>36</v>
      </c>
      <c r="L3765" s="2" t="s">
        <v>37</v>
      </c>
      <c r="M3765" s="2" t="n">
        <v>63340</v>
      </c>
      <c r="N3765" s="2" t="n">
        <v>1</v>
      </c>
      <c r="O3765" s="2" t="n">
        <v>14</v>
      </c>
      <c r="P3765" s="2" t="n">
        <v>0</v>
      </c>
      <c r="Q3765" s="2" t="n">
        <v>11</v>
      </c>
      <c r="R3765" s="2" t="n">
        <v>2</v>
      </c>
      <c r="S3765" s="2" t="n">
        <v>11</v>
      </c>
      <c r="T3765" s="2" t="n">
        <v>3</v>
      </c>
      <c r="U3765" s="2" t="n">
        <v>3</v>
      </c>
      <c r="V3765" s="2" t="n">
        <v>4</v>
      </c>
      <c r="W3765" s="2" t="n">
        <v>2</v>
      </c>
      <c r="X3765" s="2" t="n">
        <v>1</v>
      </c>
      <c r="Y3765" s="2" t="n">
        <v>4</v>
      </c>
      <c r="Z3765" s="2" t="n">
        <v>3</v>
      </c>
    </row>
    <row r="3766" customFormat="false" ht="15" hidden="false" customHeight="true" outlineLevel="0" collapsed="false">
      <c r="A3766" s="2" t="n">
        <v>23</v>
      </c>
      <c r="B3766" s="2" t="s">
        <v>26</v>
      </c>
      <c r="C3766" s="2" t="s">
        <v>27</v>
      </c>
      <c r="D3766" s="2" t="s">
        <v>35</v>
      </c>
      <c r="E3766" s="2" t="n">
        <v>2</v>
      </c>
      <c r="F3766" s="2" t="n">
        <v>4</v>
      </c>
      <c r="G3766" s="2" t="s">
        <v>43</v>
      </c>
      <c r="H3766" s="2" t="n">
        <v>3765</v>
      </c>
      <c r="I3766" s="2" t="s">
        <v>30</v>
      </c>
      <c r="J3766" s="2" t="n">
        <v>2</v>
      </c>
      <c r="K3766" s="2" t="s">
        <v>49</v>
      </c>
      <c r="L3766" s="2" t="s">
        <v>37</v>
      </c>
      <c r="M3766" s="2" t="n">
        <v>49360</v>
      </c>
      <c r="N3766" s="2" t="n">
        <v>0</v>
      </c>
      <c r="O3766" s="2" t="n">
        <v>19</v>
      </c>
      <c r="P3766" s="2" t="n">
        <v>1</v>
      </c>
      <c r="Q3766" s="2" t="n">
        <v>5</v>
      </c>
      <c r="R3766" s="2" t="n">
        <v>2</v>
      </c>
      <c r="S3766" s="2" t="n">
        <v>4</v>
      </c>
      <c r="T3766" s="2" t="n">
        <v>1</v>
      </c>
      <c r="U3766" s="2" t="n">
        <v>2</v>
      </c>
      <c r="V3766" s="2" t="n">
        <v>1</v>
      </c>
      <c r="W3766" s="2" t="n">
        <v>3</v>
      </c>
      <c r="X3766" s="2" t="n">
        <v>3</v>
      </c>
      <c r="Y3766" s="2" t="n">
        <v>2</v>
      </c>
      <c r="Z3766" s="2" t="n">
        <v>3</v>
      </c>
    </row>
    <row r="3767" customFormat="false" ht="15" hidden="false" customHeight="true" outlineLevel="0" collapsed="false">
      <c r="A3767" s="2" t="n">
        <v>40</v>
      </c>
      <c r="B3767" s="2" t="s">
        <v>33</v>
      </c>
      <c r="C3767" s="2" t="s">
        <v>27</v>
      </c>
      <c r="D3767" s="2" t="s">
        <v>35</v>
      </c>
      <c r="E3767" s="2" t="n">
        <v>2</v>
      </c>
      <c r="F3767" s="2" t="n">
        <v>3</v>
      </c>
      <c r="G3767" s="2" t="s">
        <v>43</v>
      </c>
      <c r="H3767" s="2" t="n">
        <v>3766</v>
      </c>
      <c r="I3767" s="2" t="s">
        <v>39</v>
      </c>
      <c r="J3767" s="2" t="n">
        <v>2</v>
      </c>
      <c r="K3767" s="2" t="s">
        <v>44</v>
      </c>
      <c r="L3767" s="2" t="s">
        <v>37</v>
      </c>
      <c r="M3767" s="2" t="n">
        <v>47750</v>
      </c>
      <c r="N3767" s="2" t="n">
        <v>3</v>
      </c>
      <c r="O3767" s="2" t="n">
        <v>15</v>
      </c>
      <c r="P3767" s="2" t="n">
        <v>1</v>
      </c>
      <c r="Q3767" s="2" t="n">
        <v>15</v>
      </c>
      <c r="R3767" s="2" t="n">
        <v>3</v>
      </c>
      <c r="S3767" s="2" t="n">
        <v>5</v>
      </c>
      <c r="T3767" s="2" t="n">
        <v>1</v>
      </c>
      <c r="U3767" s="2" t="n">
        <v>0</v>
      </c>
      <c r="V3767" s="2" t="n">
        <v>4</v>
      </c>
      <c r="W3767" s="2" t="n">
        <v>1</v>
      </c>
      <c r="X3767" s="2" t="n">
        <v>1</v>
      </c>
      <c r="Y3767" s="2" t="n">
        <v>4</v>
      </c>
      <c r="Z3767" s="2" t="n">
        <v>3</v>
      </c>
    </row>
    <row r="3768" customFormat="false" ht="15" hidden="false" customHeight="true" outlineLevel="0" collapsed="false">
      <c r="A3768" s="2" t="n">
        <v>34</v>
      </c>
      <c r="B3768" s="2" t="s">
        <v>26</v>
      </c>
      <c r="C3768" s="2" t="s">
        <v>27</v>
      </c>
      <c r="D3768" s="2" t="s">
        <v>42</v>
      </c>
      <c r="E3768" s="2" t="n">
        <v>2</v>
      </c>
      <c r="F3768" s="2" t="n">
        <v>3</v>
      </c>
      <c r="G3768" s="2" t="s">
        <v>42</v>
      </c>
      <c r="H3768" s="2" t="n">
        <v>3767</v>
      </c>
      <c r="I3768" s="2" t="s">
        <v>39</v>
      </c>
      <c r="J3768" s="2" t="n">
        <v>2</v>
      </c>
      <c r="K3768" s="2" t="s">
        <v>47</v>
      </c>
      <c r="L3768" s="2" t="s">
        <v>32</v>
      </c>
      <c r="M3768" s="2" t="n">
        <v>28180</v>
      </c>
      <c r="N3768" s="2" t="n">
        <v>1</v>
      </c>
      <c r="O3768" s="2" t="n">
        <v>13</v>
      </c>
      <c r="P3768" s="2" t="n">
        <v>1</v>
      </c>
      <c r="Q3768" s="2" t="n">
        <v>10</v>
      </c>
      <c r="R3768" s="2" t="n">
        <v>2</v>
      </c>
      <c r="S3768" s="2" t="n">
        <v>10</v>
      </c>
      <c r="T3768" s="2" t="n">
        <v>8</v>
      </c>
      <c r="U3768" s="2" t="n">
        <v>6</v>
      </c>
      <c r="V3768" s="2" t="n">
        <v>4</v>
      </c>
      <c r="W3768" s="2" t="n">
        <v>3</v>
      </c>
      <c r="X3768" s="2" t="n">
        <v>3</v>
      </c>
      <c r="Y3768" s="2" t="n">
        <v>3</v>
      </c>
      <c r="Z3768" s="2" t="n">
        <v>3</v>
      </c>
    </row>
    <row r="3769" customFormat="false" ht="15" hidden="false" customHeight="true" outlineLevel="0" collapsed="false">
      <c r="A3769" s="2" t="n">
        <v>31</v>
      </c>
      <c r="B3769" s="2" t="s">
        <v>33</v>
      </c>
      <c r="C3769" s="2" t="s">
        <v>34</v>
      </c>
      <c r="D3769" s="2" t="s">
        <v>35</v>
      </c>
      <c r="E3769" s="2" t="n">
        <v>29</v>
      </c>
      <c r="F3769" s="2" t="n">
        <v>3</v>
      </c>
      <c r="G3769" s="2" t="s">
        <v>29</v>
      </c>
      <c r="H3769" s="2" t="n">
        <v>3768</v>
      </c>
      <c r="I3769" s="2" t="s">
        <v>30</v>
      </c>
      <c r="J3769" s="2" t="n">
        <v>2</v>
      </c>
      <c r="K3769" s="2" t="s">
        <v>31</v>
      </c>
      <c r="L3769" s="2" t="s">
        <v>37</v>
      </c>
      <c r="M3769" s="2" t="n">
        <v>25150</v>
      </c>
      <c r="N3769" s="2" t="n">
        <v>1</v>
      </c>
      <c r="O3769" s="2" t="n">
        <v>14</v>
      </c>
      <c r="P3769" s="2" t="n">
        <v>0</v>
      </c>
      <c r="Q3769" s="2" t="n">
        <v>7</v>
      </c>
      <c r="R3769" s="2" t="n">
        <v>3</v>
      </c>
      <c r="S3769" s="2" t="n">
        <v>7</v>
      </c>
      <c r="T3769" s="2" t="n">
        <v>7</v>
      </c>
      <c r="U3769" s="2" t="n">
        <v>7</v>
      </c>
      <c r="V3769" s="2" t="n">
        <v>4</v>
      </c>
      <c r="W3769" s="2" t="n">
        <v>3</v>
      </c>
      <c r="X3769" s="2" t="n">
        <v>1</v>
      </c>
      <c r="Y3769" s="2" t="n">
        <v>2</v>
      </c>
      <c r="Z3769" s="2" t="n">
        <v>3</v>
      </c>
    </row>
    <row r="3770" customFormat="false" ht="15" hidden="false" customHeight="true" outlineLevel="0" collapsed="false">
      <c r="A3770" s="2" t="n">
        <v>50</v>
      </c>
      <c r="B3770" s="2" t="s">
        <v>26</v>
      </c>
      <c r="C3770" s="2" t="s">
        <v>34</v>
      </c>
      <c r="D3770" s="2" t="s">
        <v>35</v>
      </c>
      <c r="E3770" s="2" t="n">
        <v>6</v>
      </c>
      <c r="F3770" s="2" t="n">
        <v>3</v>
      </c>
      <c r="G3770" s="2" t="s">
        <v>43</v>
      </c>
      <c r="H3770" s="2" t="n">
        <v>3769</v>
      </c>
      <c r="I3770" s="2" t="s">
        <v>39</v>
      </c>
      <c r="J3770" s="2" t="n">
        <v>1</v>
      </c>
      <c r="K3770" s="2" t="s">
        <v>49</v>
      </c>
      <c r="L3770" s="2" t="s">
        <v>37</v>
      </c>
      <c r="M3770" s="2" t="n">
        <v>23420</v>
      </c>
      <c r="N3770" s="2" t="n">
        <v>1</v>
      </c>
      <c r="O3770" s="2" t="n">
        <v>12</v>
      </c>
      <c r="P3770" s="2" t="n">
        <v>1</v>
      </c>
      <c r="Q3770" s="2" t="n">
        <v>32</v>
      </c>
      <c r="R3770" s="2" t="n">
        <v>2</v>
      </c>
      <c r="S3770" s="2" t="n">
        <v>32</v>
      </c>
      <c r="T3770" s="2" t="n">
        <v>13</v>
      </c>
      <c r="U3770" s="2" t="n">
        <v>9</v>
      </c>
      <c r="V3770" s="2" t="n">
        <v>3</v>
      </c>
      <c r="W3770" s="2" t="n">
        <v>4</v>
      </c>
      <c r="X3770" s="2" t="n">
        <v>3</v>
      </c>
      <c r="Y3770" s="2" t="n">
        <v>2</v>
      </c>
      <c r="Z3770" s="2" t="n">
        <v>3</v>
      </c>
    </row>
    <row r="3771" customFormat="false" ht="15" hidden="false" customHeight="true" outlineLevel="0" collapsed="false">
      <c r="A3771" s="2" t="n">
        <v>34</v>
      </c>
      <c r="B3771" s="2" t="s">
        <v>26</v>
      </c>
      <c r="C3771" s="2" t="s">
        <v>27</v>
      </c>
      <c r="D3771" s="2" t="s">
        <v>28</v>
      </c>
      <c r="E3771" s="2" t="n">
        <v>25</v>
      </c>
      <c r="F3771" s="2" t="n">
        <v>5</v>
      </c>
      <c r="G3771" s="2" t="s">
        <v>50</v>
      </c>
      <c r="H3771" s="2" t="n">
        <v>3770</v>
      </c>
      <c r="I3771" s="2" t="s">
        <v>30</v>
      </c>
      <c r="J3771" s="2" t="n">
        <v>1</v>
      </c>
      <c r="K3771" s="2" t="s">
        <v>36</v>
      </c>
      <c r="L3771" s="2" t="s">
        <v>32</v>
      </c>
      <c r="M3771" s="2" t="n">
        <v>41940</v>
      </c>
      <c r="N3771" s="2" t="n">
        <v>0</v>
      </c>
      <c r="O3771" s="2" t="n">
        <v>17</v>
      </c>
      <c r="P3771" s="2" t="n">
        <v>2</v>
      </c>
      <c r="Q3771" s="2" t="n">
        <v>12</v>
      </c>
      <c r="R3771" s="2" t="n">
        <v>3</v>
      </c>
      <c r="S3771" s="2" t="n">
        <v>11</v>
      </c>
      <c r="T3771" s="2" t="n">
        <v>5</v>
      </c>
      <c r="U3771" s="2" t="n">
        <v>7</v>
      </c>
      <c r="V3771" s="2" t="n">
        <v>2</v>
      </c>
      <c r="W3771" s="2" t="n">
        <v>3</v>
      </c>
      <c r="X3771" s="2" t="n">
        <v>3</v>
      </c>
      <c r="Y3771" s="2" t="n">
        <v>3</v>
      </c>
      <c r="Z3771" s="2" t="n">
        <v>3</v>
      </c>
    </row>
    <row r="3772" customFormat="false" ht="15" hidden="false" customHeight="true" outlineLevel="0" collapsed="false">
      <c r="A3772" s="2" t="n">
        <v>42</v>
      </c>
      <c r="B3772" s="2" t="s">
        <v>26</v>
      </c>
      <c r="C3772" s="2" t="s">
        <v>27</v>
      </c>
      <c r="D3772" s="2" t="s">
        <v>35</v>
      </c>
      <c r="E3772" s="2" t="n">
        <v>1</v>
      </c>
      <c r="F3772" s="2" t="n">
        <v>3</v>
      </c>
      <c r="G3772" s="2" t="s">
        <v>29</v>
      </c>
      <c r="H3772" s="2" t="n">
        <v>3771</v>
      </c>
      <c r="I3772" s="2" t="s">
        <v>30</v>
      </c>
      <c r="J3772" s="2" t="n">
        <v>1</v>
      </c>
      <c r="K3772" s="2" t="s">
        <v>47</v>
      </c>
      <c r="L3772" s="2" t="s">
        <v>32</v>
      </c>
      <c r="M3772" s="2" t="n">
        <v>106850</v>
      </c>
      <c r="N3772" s="2" t="n">
        <v>4</v>
      </c>
      <c r="O3772" s="2" t="n">
        <v>11</v>
      </c>
      <c r="P3772" s="2" t="n">
        <v>3</v>
      </c>
      <c r="Q3772" s="2" t="n">
        <v>4</v>
      </c>
      <c r="R3772" s="2" t="n">
        <v>2</v>
      </c>
      <c r="S3772" s="2" t="n">
        <v>1</v>
      </c>
      <c r="T3772" s="2" t="n">
        <v>0</v>
      </c>
      <c r="U3772" s="2" t="n">
        <v>0</v>
      </c>
      <c r="V3772" s="2" t="n">
        <v>3</v>
      </c>
      <c r="W3772" s="2" t="n">
        <v>2</v>
      </c>
      <c r="X3772" s="2" t="n">
        <v>3</v>
      </c>
      <c r="Y3772" s="2" t="n">
        <v>3</v>
      </c>
      <c r="Z3772" s="2" t="n">
        <v>3</v>
      </c>
    </row>
    <row r="3773" customFormat="false" ht="15" hidden="false" customHeight="true" outlineLevel="0" collapsed="false">
      <c r="A3773" s="2" t="n">
        <v>37</v>
      </c>
      <c r="B3773" s="2" t="s">
        <v>26</v>
      </c>
      <c r="C3773" s="2" t="s">
        <v>27</v>
      </c>
      <c r="D3773" s="2" t="s">
        <v>35</v>
      </c>
      <c r="E3773" s="2" t="n">
        <v>2</v>
      </c>
      <c r="F3773" s="2" t="n">
        <v>2</v>
      </c>
      <c r="G3773" s="2" t="s">
        <v>43</v>
      </c>
      <c r="H3773" s="2" t="n">
        <v>3772</v>
      </c>
      <c r="I3773" s="2" t="s">
        <v>39</v>
      </c>
      <c r="J3773" s="2" t="n">
        <v>1</v>
      </c>
      <c r="K3773" s="2" t="s">
        <v>36</v>
      </c>
      <c r="L3773" s="2" t="s">
        <v>32</v>
      </c>
      <c r="M3773" s="2" t="n">
        <v>20220</v>
      </c>
      <c r="N3773" s="2" t="n">
        <v>1</v>
      </c>
      <c r="O3773" s="2" t="n">
        <v>12</v>
      </c>
      <c r="P3773" s="2" t="n">
        <v>0</v>
      </c>
      <c r="Q3773" s="2" t="n">
        <v>10</v>
      </c>
      <c r="R3773" s="2" t="n">
        <v>1</v>
      </c>
      <c r="S3773" s="2" t="n">
        <v>10</v>
      </c>
      <c r="T3773" s="2" t="n">
        <v>3</v>
      </c>
      <c r="U3773" s="2" t="n">
        <v>7</v>
      </c>
      <c r="V3773" s="2" t="n">
        <v>1</v>
      </c>
      <c r="W3773" s="2" t="n">
        <v>4</v>
      </c>
      <c r="X3773" s="2" t="n">
        <v>3</v>
      </c>
      <c r="Y3773" s="2" t="n">
        <v>3</v>
      </c>
      <c r="Z3773" s="2" t="n">
        <v>3</v>
      </c>
    </row>
    <row r="3774" customFormat="false" ht="15" hidden="false" customHeight="true" outlineLevel="0" collapsed="false">
      <c r="A3774" s="2" t="n">
        <v>29</v>
      </c>
      <c r="B3774" s="2" t="s">
        <v>26</v>
      </c>
      <c r="C3774" s="2" t="s">
        <v>27</v>
      </c>
      <c r="D3774" s="2" t="s">
        <v>35</v>
      </c>
      <c r="E3774" s="2" t="n">
        <v>1</v>
      </c>
      <c r="F3774" s="2" t="n">
        <v>3</v>
      </c>
      <c r="G3774" s="2" t="s">
        <v>43</v>
      </c>
      <c r="H3774" s="2" t="n">
        <v>3773</v>
      </c>
      <c r="I3774" s="2" t="s">
        <v>30</v>
      </c>
      <c r="J3774" s="2" t="n">
        <v>1</v>
      </c>
      <c r="K3774" s="2" t="s">
        <v>49</v>
      </c>
      <c r="L3774" s="2" t="s">
        <v>32</v>
      </c>
      <c r="M3774" s="2" t="n">
        <v>23140</v>
      </c>
      <c r="N3774" s="2" t="n">
        <v>3</v>
      </c>
      <c r="O3774" s="2" t="n">
        <v>13</v>
      </c>
      <c r="P3774" s="2" t="n">
        <v>0</v>
      </c>
      <c r="Q3774" s="2" t="n">
        <v>9</v>
      </c>
      <c r="R3774" s="2" t="n">
        <v>5</v>
      </c>
      <c r="S3774" s="2" t="n">
        <v>7</v>
      </c>
      <c r="T3774" s="2" t="n">
        <v>0</v>
      </c>
      <c r="U3774" s="2" t="n">
        <v>7</v>
      </c>
      <c r="V3774" s="2" t="n">
        <v>3</v>
      </c>
      <c r="W3774" s="2" t="n">
        <v>1</v>
      </c>
      <c r="X3774" s="2" t="n">
        <v>3</v>
      </c>
      <c r="Y3774" s="2" t="n">
        <v>4</v>
      </c>
      <c r="Z3774" s="2" t="n">
        <v>3</v>
      </c>
    </row>
    <row r="3775" customFormat="false" ht="15" hidden="false" customHeight="true" outlineLevel="0" collapsed="false">
      <c r="A3775" s="2" t="n">
        <v>33</v>
      </c>
      <c r="B3775" s="2" t="s">
        <v>26</v>
      </c>
      <c r="C3775" s="2" t="s">
        <v>27</v>
      </c>
      <c r="D3775" s="2" t="s">
        <v>35</v>
      </c>
      <c r="E3775" s="2" t="n">
        <v>1</v>
      </c>
      <c r="F3775" s="2" t="n">
        <v>1</v>
      </c>
      <c r="G3775" s="2" t="s">
        <v>29</v>
      </c>
      <c r="H3775" s="2" t="n">
        <v>3774</v>
      </c>
      <c r="I3775" s="2" t="s">
        <v>39</v>
      </c>
      <c r="J3775" s="2" t="n">
        <v>1</v>
      </c>
      <c r="K3775" s="2" t="s">
        <v>36</v>
      </c>
      <c r="L3775" s="2" t="s">
        <v>37</v>
      </c>
      <c r="M3775" s="2" t="n">
        <v>42560</v>
      </c>
      <c r="N3775" s="2" t="n">
        <v>1</v>
      </c>
      <c r="O3775" s="2" t="n">
        <v>13</v>
      </c>
      <c r="P3775" s="2" t="n">
        <v>3</v>
      </c>
      <c r="Q3775" s="2" t="n">
        <v>5</v>
      </c>
      <c r="R3775" s="2" t="n">
        <v>1</v>
      </c>
      <c r="S3775" s="2" t="n">
        <v>5</v>
      </c>
      <c r="T3775" s="2" t="n">
        <v>0</v>
      </c>
      <c r="U3775" s="2" t="n">
        <v>2</v>
      </c>
      <c r="V3775" s="2" t="n">
        <v>4</v>
      </c>
      <c r="W3775" s="2" t="n">
        <v>2</v>
      </c>
      <c r="X3775" s="2" t="n">
        <v>3</v>
      </c>
      <c r="Y3775" s="2" t="n">
        <v>3</v>
      </c>
      <c r="Z3775" s="2" t="n">
        <v>3</v>
      </c>
    </row>
    <row r="3776" customFormat="false" ht="15" hidden="false" customHeight="true" outlineLevel="0" collapsed="false">
      <c r="A3776" s="2" t="n">
        <v>45</v>
      </c>
      <c r="B3776" s="2" t="s">
        <v>26</v>
      </c>
      <c r="C3776" s="2" t="s">
        <v>27</v>
      </c>
      <c r="D3776" s="2" t="s">
        <v>28</v>
      </c>
      <c r="E3776" s="2" t="n">
        <v>3</v>
      </c>
      <c r="F3776" s="2" t="n">
        <v>3</v>
      </c>
      <c r="G3776" s="2" t="s">
        <v>29</v>
      </c>
      <c r="H3776" s="2" t="n">
        <v>3775</v>
      </c>
      <c r="I3776" s="2" t="s">
        <v>39</v>
      </c>
      <c r="J3776" s="2" t="n">
        <v>3</v>
      </c>
      <c r="K3776" s="2" t="s">
        <v>45</v>
      </c>
      <c r="L3776" s="2" t="s">
        <v>32</v>
      </c>
      <c r="M3776" s="2" t="n">
        <v>35800</v>
      </c>
      <c r="N3776" s="2" t="n">
        <v>4</v>
      </c>
      <c r="O3776" s="2" t="n">
        <v>20</v>
      </c>
      <c r="P3776" s="2" t="n">
        <v>1</v>
      </c>
      <c r="Q3776" s="2" t="n">
        <v>8</v>
      </c>
      <c r="R3776" s="2" t="n">
        <v>1</v>
      </c>
      <c r="S3776" s="2" t="n">
        <v>5</v>
      </c>
      <c r="T3776" s="2" t="n">
        <v>0</v>
      </c>
      <c r="U3776" s="2" t="n">
        <v>3</v>
      </c>
      <c r="V3776" s="2" t="n">
        <v>4</v>
      </c>
      <c r="W3776" s="2" t="n">
        <v>4</v>
      </c>
      <c r="X3776" s="2" t="n">
        <v>3</v>
      </c>
      <c r="Y3776" s="2" t="n">
        <v>2</v>
      </c>
      <c r="Z3776" s="2" t="n">
        <v>4</v>
      </c>
    </row>
    <row r="3777" customFormat="false" ht="15" hidden="false" customHeight="true" outlineLevel="0" collapsed="false">
      <c r="A3777" s="2" t="n">
        <v>42</v>
      </c>
      <c r="B3777" s="2" t="s">
        <v>26</v>
      </c>
      <c r="C3777" s="2" t="s">
        <v>34</v>
      </c>
      <c r="D3777" s="2" t="s">
        <v>42</v>
      </c>
      <c r="E3777" s="2" t="n">
        <v>1</v>
      </c>
      <c r="F3777" s="2" t="n">
        <v>4</v>
      </c>
      <c r="G3777" s="2" t="s">
        <v>51</v>
      </c>
      <c r="H3777" s="2" t="n">
        <v>3776</v>
      </c>
      <c r="I3777" s="2" t="s">
        <v>39</v>
      </c>
      <c r="J3777" s="2" t="n">
        <v>2</v>
      </c>
      <c r="K3777" s="2" t="s">
        <v>47</v>
      </c>
      <c r="L3777" s="2" t="s">
        <v>32</v>
      </c>
      <c r="M3777" s="2" t="n">
        <v>31620</v>
      </c>
      <c r="N3777" s="2" t="n">
        <v>2</v>
      </c>
      <c r="O3777" s="2" t="n">
        <v>17</v>
      </c>
      <c r="P3777" s="2" t="n">
        <v>2</v>
      </c>
      <c r="Q3777" s="2" t="n">
        <v>24</v>
      </c>
      <c r="R3777" s="2" t="n">
        <v>1</v>
      </c>
      <c r="S3777" s="2" t="n">
        <v>20</v>
      </c>
      <c r="T3777" s="2" t="n">
        <v>13</v>
      </c>
      <c r="U3777" s="2" t="n">
        <v>9</v>
      </c>
      <c r="V3777" s="2" t="n">
        <v>4</v>
      </c>
      <c r="W3777" s="2" t="n">
        <v>4</v>
      </c>
      <c r="X3777" s="2" t="n">
        <v>1</v>
      </c>
      <c r="Y3777" s="2" t="n">
        <v>3</v>
      </c>
      <c r="Z3777" s="2" t="n">
        <v>3</v>
      </c>
    </row>
    <row r="3778" customFormat="false" ht="15" hidden="false" customHeight="true" outlineLevel="0" collapsed="false">
      <c r="A3778" s="2" t="n">
        <v>40</v>
      </c>
      <c r="B3778" s="2" t="s">
        <v>26</v>
      </c>
      <c r="C3778" s="2" t="s">
        <v>27</v>
      </c>
      <c r="D3778" s="2" t="s">
        <v>28</v>
      </c>
      <c r="E3778" s="2" t="n">
        <v>10</v>
      </c>
      <c r="F3778" s="2" t="n">
        <v>1</v>
      </c>
      <c r="G3778" s="2" t="s">
        <v>29</v>
      </c>
      <c r="H3778" s="2" t="n">
        <v>3777</v>
      </c>
      <c r="I3778" s="2" t="s">
        <v>30</v>
      </c>
      <c r="J3778" s="2" t="n">
        <v>1</v>
      </c>
      <c r="K3778" s="2" t="s">
        <v>47</v>
      </c>
      <c r="L3778" s="2" t="s">
        <v>32</v>
      </c>
      <c r="M3778" s="2" t="n">
        <v>65240</v>
      </c>
      <c r="N3778" s="2" t="n">
        <v>0</v>
      </c>
      <c r="O3778" s="2" t="n">
        <v>13</v>
      </c>
      <c r="P3778" s="2" t="n">
        <v>1</v>
      </c>
      <c r="Q3778" s="2" t="n">
        <v>9</v>
      </c>
      <c r="R3778" s="2" t="n">
        <v>2</v>
      </c>
      <c r="S3778" s="2" t="n">
        <v>8</v>
      </c>
      <c r="T3778" s="2" t="n">
        <v>7</v>
      </c>
      <c r="U3778" s="2" t="n">
        <v>1</v>
      </c>
      <c r="V3778" s="2" t="n">
        <v>1</v>
      </c>
      <c r="W3778" s="2" t="n">
        <v>1</v>
      </c>
      <c r="X3778" s="2" t="n">
        <v>4</v>
      </c>
      <c r="Y3778" s="2" t="n">
        <v>4</v>
      </c>
      <c r="Z3778" s="2" t="n">
        <v>3</v>
      </c>
    </row>
    <row r="3779" customFormat="false" ht="15" hidden="false" customHeight="true" outlineLevel="0" collapsed="false">
      <c r="A3779" s="2" t="n">
        <v>33</v>
      </c>
      <c r="B3779" s="2" t="s">
        <v>26</v>
      </c>
      <c r="C3779" s="2" t="s">
        <v>27</v>
      </c>
      <c r="D3779" s="2" t="s">
        <v>35</v>
      </c>
      <c r="E3779" s="2" t="n">
        <v>9</v>
      </c>
      <c r="F3779" s="2" t="n">
        <v>3</v>
      </c>
      <c r="G3779" s="2" t="s">
        <v>43</v>
      </c>
      <c r="H3779" s="2" t="n">
        <v>3778</v>
      </c>
      <c r="I3779" s="2" t="s">
        <v>30</v>
      </c>
      <c r="J3779" s="2" t="n">
        <v>2</v>
      </c>
      <c r="K3779" s="2" t="s">
        <v>47</v>
      </c>
      <c r="L3779" s="2" t="s">
        <v>32</v>
      </c>
      <c r="M3779" s="2" t="n">
        <v>28990</v>
      </c>
      <c r="N3779" s="2" t="n">
        <v>1</v>
      </c>
      <c r="O3779" s="2" t="n">
        <v>17</v>
      </c>
      <c r="P3779" s="2" t="n">
        <v>0</v>
      </c>
      <c r="Q3779" s="2" t="n">
        <v>15</v>
      </c>
      <c r="R3779" s="2" t="n">
        <v>3</v>
      </c>
      <c r="S3779" s="2" t="n">
        <v>15</v>
      </c>
      <c r="T3779" s="2" t="n">
        <v>5</v>
      </c>
      <c r="U3779" s="2" t="n">
        <v>7</v>
      </c>
      <c r="V3779" s="2" t="n">
        <v>2</v>
      </c>
      <c r="W3779" s="2" t="n">
        <v>3</v>
      </c>
      <c r="X3779" s="2" t="n">
        <v>3</v>
      </c>
      <c r="Y3779" s="2" t="n">
        <v>2</v>
      </c>
      <c r="Z3779" s="2" t="n">
        <v>3</v>
      </c>
    </row>
    <row r="3780" customFormat="false" ht="15" hidden="false" customHeight="true" outlineLevel="0" collapsed="false">
      <c r="A3780" s="2" t="n">
        <v>40</v>
      </c>
      <c r="B3780" s="2" t="s">
        <v>26</v>
      </c>
      <c r="C3780" s="2" t="s">
        <v>27</v>
      </c>
      <c r="D3780" s="2" t="s">
        <v>28</v>
      </c>
      <c r="E3780" s="2" t="n">
        <v>5</v>
      </c>
      <c r="F3780" s="2" t="n">
        <v>5</v>
      </c>
      <c r="G3780" s="2" t="s">
        <v>29</v>
      </c>
      <c r="H3780" s="2" t="n">
        <v>3779</v>
      </c>
      <c r="I3780" s="2" t="s">
        <v>39</v>
      </c>
      <c r="J3780" s="2" t="n">
        <v>1</v>
      </c>
      <c r="K3780" s="2" t="s">
        <v>47</v>
      </c>
      <c r="L3780" s="2" t="s">
        <v>37</v>
      </c>
      <c r="M3780" s="2" t="n">
        <v>52310</v>
      </c>
      <c r="N3780" s="2" t="n">
        <v>1</v>
      </c>
      <c r="O3780" s="2" t="n">
        <v>12</v>
      </c>
      <c r="P3780" s="2" t="n">
        <v>2</v>
      </c>
      <c r="Q3780" s="2" t="n">
        <v>21</v>
      </c>
      <c r="R3780" s="2" t="n">
        <v>4</v>
      </c>
      <c r="S3780" s="2" t="n">
        <v>21</v>
      </c>
      <c r="T3780" s="2" t="n">
        <v>7</v>
      </c>
      <c r="U3780" s="2" t="n">
        <v>7</v>
      </c>
      <c r="V3780" s="2" t="n">
        <v>3</v>
      </c>
      <c r="W3780" s="2"/>
      <c r="X3780" s="2" t="n">
        <v>3</v>
      </c>
      <c r="Y3780" s="2" t="n">
        <v>3</v>
      </c>
      <c r="Z3780" s="2" t="n">
        <v>3</v>
      </c>
    </row>
    <row r="3781" customFormat="false" ht="15" hidden="false" customHeight="true" outlineLevel="0" collapsed="false">
      <c r="A3781" s="2" t="n">
        <v>24</v>
      </c>
      <c r="B3781" s="2" t="s">
        <v>26</v>
      </c>
      <c r="C3781" s="2" t="s">
        <v>27</v>
      </c>
      <c r="D3781" s="2" t="s">
        <v>28</v>
      </c>
      <c r="E3781" s="2" t="n">
        <v>10</v>
      </c>
      <c r="F3781" s="2" t="n">
        <v>2</v>
      </c>
      <c r="G3781" s="2" t="s">
        <v>50</v>
      </c>
      <c r="H3781" s="2" t="n">
        <v>3780</v>
      </c>
      <c r="I3781" s="2" t="s">
        <v>39</v>
      </c>
      <c r="J3781" s="2" t="n">
        <v>1</v>
      </c>
      <c r="K3781" s="2" t="s">
        <v>47</v>
      </c>
      <c r="L3781" s="2" t="s">
        <v>46</v>
      </c>
      <c r="M3781" s="2" t="n">
        <v>23560</v>
      </c>
      <c r="N3781" s="2" t="n">
        <v>0</v>
      </c>
      <c r="O3781" s="2" t="n">
        <v>13</v>
      </c>
      <c r="P3781" s="2" t="n">
        <v>0</v>
      </c>
      <c r="Q3781" s="2" t="n">
        <v>2</v>
      </c>
      <c r="R3781" s="2" t="n">
        <v>5</v>
      </c>
      <c r="S3781" s="2" t="n">
        <v>1</v>
      </c>
      <c r="T3781" s="2" t="n">
        <v>0</v>
      </c>
      <c r="U3781" s="2" t="n">
        <v>0</v>
      </c>
      <c r="V3781" s="2" t="n">
        <v>3</v>
      </c>
      <c r="W3781" s="2" t="n">
        <v>1</v>
      </c>
      <c r="X3781" s="2" t="n">
        <v>3</v>
      </c>
      <c r="Y3781" s="2" t="n">
        <v>3</v>
      </c>
      <c r="Z3781" s="2" t="n">
        <v>3</v>
      </c>
    </row>
    <row r="3782" customFormat="false" ht="15" hidden="false" customHeight="true" outlineLevel="0" collapsed="false">
      <c r="A3782" s="2" t="n">
        <v>40</v>
      </c>
      <c r="B3782" s="2" t="s">
        <v>26</v>
      </c>
      <c r="C3782" s="2" t="s">
        <v>41</v>
      </c>
      <c r="D3782" s="2" t="s">
        <v>35</v>
      </c>
      <c r="E3782" s="2" t="n">
        <v>7</v>
      </c>
      <c r="F3782" s="2" t="n">
        <v>3</v>
      </c>
      <c r="G3782" s="2" t="s">
        <v>43</v>
      </c>
      <c r="H3782" s="2" t="n">
        <v>3781</v>
      </c>
      <c r="I3782" s="2" t="s">
        <v>39</v>
      </c>
      <c r="J3782" s="2" t="n">
        <v>1</v>
      </c>
      <c r="K3782" s="2" t="s">
        <v>36</v>
      </c>
      <c r="L3782" s="2" t="s">
        <v>46</v>
      </c>
      <c r="M3782" s="2" t="n">
        <v>28000</v>
      </c>
      <c r="N3782" s="2" t="n">
        <v>3</v>
      </c>
      <c r="O3782" s="2" t="n">
        <v>12</v>
      </c>
      <c r="P3782" s="2" t="n">
        <v>2</v>
      </c>
      <c r="Q3782" s="2" t="n">
        <v>8</v>
      </c>
      <c r="R3782" s="2" t="n">
        <v>0</v>
      </c>
      <c r="S3782" s="2" t="n">
        <v>2</v>
      </c>
      <c r="T3782" s="2" t="n">
        <v>2</v>
      </c>
      <c r="U3782" s="2" t="n">
        <v>2</v>
      </c>
      <c r="V3782" s="2" t="n">
        <v>4</v>
      </c>
      <c r="W3782" s="2" t="n">
        <v>4</v>
      </c>
      <c r="X3782" s="2" t="n">
        <v>3</v>
      </c>
      <c r="Y3782" s="2" t="n">
        <v>2</v>
      </c>
      <c r="Z3782" s="2" t="n">
        <v>3</v>
      </c>
    </row>
    <row r="3783" customFormat="false" ht="15" hidden="false" customHeight="true" outlineLevel="0" collapsed="false">
      <c r="A3783" s="2" t="n">
        <v>45</v>
      </c>
      <c r="B3783" s="2" t="s">
        <v>26</v>
      </c>
      <c r="C3783" s="2" t="s">
        <v>27</v>
      </c>
      <c r="D3783" s="2" t="s">
        <v>35</v>
      </c>
      <c r="E3783" s="2" t="n">
        <v>4</v>
      </c>
      <c r="F3783" s="2" t="n">
        <v>3</v>
      </c>
      <c r="G3783" s="2" t="s">
        <v>43</v>
      </c>
      <c r="H3783" s="2" t="n">
        <v>3782</v>
      </c>
      <c r="I3783" s="2" t="s">
        <v>30</v>
      </c>
      <c r="J3783" s="2" t="n">
        <v>3</v>
      </c>
      <c r="K3783" s="2" t="s">
        <v>45</v>
      </c>
      <c r="L3783" s="2" t="s">
        <v>46</v>
      </c>
      <c r="M3783" s="2" t="n">
        <v>118360</v>
      </c>
      <c r="N3783" s="2" t="n">
        <v>1</v>
      </c>
      <c r="O3783" s="2" t="n">
        <v>22</v>
      </c>
      <c r="P3783" s="2" t="n">
        <v>0</v>
      </c>
      <c r="Q3783" s="2" t="n">
        <v>10</v>
      </c>
      <c r="R3783" s="2" t="n">
        <v>2</v>
      </c>
      <c r="S3783" s="2" t="n">
        <v>10</v>
      </c>
      <c r="T3783" s="2" t="n">
        <v>7</v>
      </c>
      <c r="U3783" s="2" t="n">
        <v>7</v>
      </c>
      <c r="V3783" s="2" t="n">
        <v>1</v>
      </c>
      <c r="W3783" s="2" t="n">
        <v>2</v>
      </c>
      <c r="X3783" s="2" t="n">
        <v>3</v>
      </c>
      <c r="Y3783" s="2" t="n">
        <v>4</v>
      </c>
      <c r="Z3783" s="2" t="n">
        <v>4</v>
      </c>
    </row>
    <row r="3784" customFormat="false" ht="15" hidden="false" customHeight="true" outlineLevel="0" collapsed="false">
      <c r="A3784" s="2" t="n">
        <v>35</v>
      </c>
      <c r="B3784" s="2" t="s">
        <v>26</v>
      </c>
      <c r="C3784" s="2" t="s">
        <v>27</v>
      </c>
      <c r="D3784" s="2" t="s">
        <v>35</v>
      </c>
      <c r="E3784" s="2" t="n">
        <v>10</v>
      </c>
      <c r="F3784" s="2" t="n">
        <v>1</v>
      </c>
      <c r="G3784" s="2" t="s">
        <v>29</v>
      </c>
      <c r="H3784" s="2" t="n">
        <v>3783</v>
      </c>
      <c r="I3784" s="2" t="s">
        <v>39</v>
      </c>
      <c r="J3784" s="2" t="n">
        <v>1</v>
      </c>
      <c r="K3784" s="2" t="s">
        <v>31</v>
      </c>
      <c r="L3784" s="2" t="s">
        <v>32</v>
      </c>
      <c r="M3784" s="2" t="n">
        <v>109030</v>
      </c>
      <c r="N3784" s="2" t="n">
        <v>0</v>
      </c>
      <c r="O3784" s="2" t="n">
        <v>11</v>
      </c>
      <c r="P3784" s="2" t="n">
        <v>0</v>
      </c>
      <c r="Q3784" s="2" t="n">
        <v>6</v>
      </c>
      <c r="R3784" s="2" t="n">
        <v>3</v>
      </c>
      <c r="S3784" s="2" t="n">
        <v>5</v>
      </c>
      <c r="T3784" s="2" t="n">
        <v>4</v>
      </c>
      <c r="U3784" s="2" t="n">
        <v>2</v>
      </c>
      <c r="V3784" s="2" t="n">
        <v>2</v>
      </c>
      <c r="W3784" s="2" t="n">
        <v>3</v>
      </c>
      <c r="X3784" s="2" t="n">
        <v>3</v>
      </c>
      <c r="Y3784" s="2" t="n">
        <v>4</v>
      </c>
      <c r="Z3784" s="2" t="n">
        <v>3</v>
      </c>
    </row>
    <row r="3785" customFormat="false" ht="15" hidden="false" customHeight="true" outlineLevel="0" collapsed="false">
      <c r="A3785" s="2" t="n">
        <v>32</v>
      </c>
      <c r="B3785" s="2" t="s">
        <v>26</v>
      </c>
      <c r="C3785" s="2" t="s">
        <v>27</v>
      </c>
      <c r="D3785" s="2" t="s">
        <v>35</v>
      </c>
      <c r="E3785" s="2" t="n">
        <v>22</v>
      </c>
      <c r="F3785" s="2" t="n">
        <v>4</v>
      </c>
      <c r="G3785" s="2" t="s">
        <v>43</v>
      </c>
      <c r="H3785" s="2" t="n">
        <v>3784</v>
      </c>
      <c r="I3785" s="2" t="s">
        <v>39</v>
      </c>
      <c r="J3785" s="2" t="n">
        <v>1</v>
      </c>
      <c r="K3785" s="2" t="s">
        <v>40</v>
      </c>
      <c r="L3785" s="2" t="s">
        <v>32</v>
      </c>
      <c r="M3785" s="2" t="n">
        <v>29730</v>
      </c>
      <c r="N3785" s="2" t="n">
        <v>3</v>
      </c>
      <c r="O3785" s="2" t="n">
        <v>22</v>
      </c>
      <c r="P3785" s="2" t="n">
        <v>0</v>
      </c>
      <c r="Q3785" s="2" t="n">
        <v>12</v>
      </c>
      <c r="R3785" s="2" t="n">
        <v>0</v>
      </c>
      <c r="S3785" s="2" t="n">
        <v>7</v>
      </c>
      <c r="T3785" s="2" t="n">
        <v>2</v>
      </c>
      <c r="U3785" s="2" t="n">
        <v>5</v>
      </c>
      <c r="V3785" s="2" t="n">
        <v>4</v>
      </c>
      <c r="W3785" s="2" t="n">
        <v>2</v>
      </c>
      <c r="X3785" s="2" t="n">
        <v>3</v>
      </c>
      <c r="Y3785" s="2" t="n">
        <v>4</v>
      </c>
      <c r="Z3785" s="2" t="n">
        <v>4</v>
      </c>
    </row>
    <row r="3786" customFormat="false" ht="15" hidden="false" customHeight="true" outlineLevel="0" collapsed="false">
      <c r="A3786" s="2" t="n">
        <v>36</v>
      </c>
      <c r="B3786" s="2" t="s">
        <v>26</v>
      </c>
      <c r="C3786" s="2" t="s">
        <v>27</v>
      </c>
      <c r="D3786" s="2" t="s">
        <v>28</v>
      </c>
      <c r="E3786" s="2" t="n">
        <v>9</v>
      </c>
      <c r="F3786" s="2" t="n">
        <v>3</v>
      </c>
      <c r="G3786" s="2" t="s">
        <v>50</v>
      </c>
      <c r="H3786" s="2" t="n">
        <v>3785</v>
      </c>
      <c r="I3786" s="2" t="s">
        <v>30</v>
      </c>
      <c r="J3786" s="2" t="n">
        <v>4</v>
      </c>
      <c r="K3786" s="2" t="s">
        <v>36</v>
      </c>
      <c r="L3786" s="2" t="s">
        <v>37</v>
      </c>
      <c r="M3786" s="2" t="n">
        <v>142750</v>
      </c>
      <c r="N3786" s="2" t="n">
        <v>3</v>
      </c>
      <c r="O3786" s="2" t="n">
        <v>18</v>
      </c>
      <c r="P3786" s="2" t="n">
        <v>1</v>
      </c>
      <c r="Q3786" s="2" t="n">
        <v>7</v>
      </c>
      <c r="R3786" s="2" t="n">
        <v>5</v>
      </c>
      <c r="S3786" s="2" t="n">
        <v>3</v>
      </c>
      <c r="T3786" s="2" t="n">
        <v>1</v>
      </c>
      <c r="U3786" s="2" t="n">
        <v>2</v>
      </c>
      <c r="V3786" s="2" t="n">
        <v>3</v>
      </c>
      <c r="W3786" s="2" t="n">
        <v>4</v>
      </c>
      <c r="X3786" s="2" t="n">
        <v>2</v>
      </c>
      <c r="Y3786" s="2" t="n">
        <v>2</v>
      </c>
      <c r="Z3786" s="2" t="n">
        <v>3</v>
      </c>
    </row>
    <row r="3787" customFormat="false" ht="15" hidden="false" customHeight="true" outlineLevel="0" collapsed="false">
      <c r="A3787" s="2" t="n">
        <v>48</v>
      </c>
      <c r="B3787" s="2" t="s">
        <v>26</v>
      </c>
      <c r="C3787" s="2" t="s">
        <v>27</v>
      </c>
      <c r="D3787" s="2" t="s">
        <v>35</v>
      </c>
      <c r="E3787" s="2" t="n">
        <v>12</v>
      </c>
      <c r="F3787" s="2" t="n">
        <v>4</v>
      </c>
      <c r="G3787" s="2" t="s">
        <v>43</v>
      </c>
      <c r="H3787" s="2" t="n">
        <v>3786</v>
      </c>
      <c r="I3787" s="2" t="s">
        <v>39</v>
      </c>
      <c r="J3787" s="2" t="n">
        <v>1</v>
      </c>
      <c r="K3787" s="2" t="s">
        <v>45</v>
      </c>
      <c r="L3787" s="2" t="s">
        <v>46</v>
      </c>
      <c r="M3787" s="2" t="n">
        <v>55620</v>
      </c>
      <c r="N3787" s="2" t="n">
        <v>8</v>
      </c>
      <c r="O3787" s="2" t="n">
        <v>13</v>
      </c>
      <c r="P3787" s="2" t="n">
        <v>1</v>
      </c>
      <c r="Q3787" s="2" t="n">
        <v>18</v>
      </c>
      <c r="R3787" s="2" t="n">
        <v>2</v>
      </c>
      <c r="S3787" s="2" t="n">
        <v>8</v>
      </c>
      <c r="T3787" s="2" t="n">
        <v>7</v>
      </c>
      <c r="U3787" s="2" t="n">
        <v>7</v>
      </c>
      <c r="V3787" s="2" t="n">
        <v>3</v>
      </c>
      <c r="W3787" s="2" t="n">
        <v>3</v>
      </c>
      <c r="X3787" s="2" t="n">
        <v>3</v>
      </c>
      <c r="Y3787" s="2" t="n">
        <v>3</v>
      </c>
      <c r="Z3787" s="2" t="n">
        <v>3</v>
      </c>
    </row>
    <row r="3788" customFormat="false" ht="15" hidden="false" customHeight="true" outlineLevel="0" collapsed="false">
      <c r="A3788" s="2" t="n">
        <v>29</v>
      </c>
      <c r="B3788" s="2" t="s">
        <v>26</v>
      </c>
      <c r="C3788" s="2" t="s">
        <v>27</v>
      </c>
      <c r="D3788" s="2" t="s">
        <v>35</v>
      </c>
      <c r="E3788" s="2" t="n">
        <v>23</v>
      </c>
      <c r="F3788" s="2" t="n">
        <v>4</v>
      </c>
      <c r="G3788" s="2" t="s">
        <v>29</v>
      </c>
      <c r="H3788" s="2" t="n">
        <v>3787</v>
      </c>
      <c r="I3788" s="2" t="s">
        <v>30</v>
      </c>
      <c r="J3788" s="2" t="n">
        <v>2</v>
      </c>
      <c r="K3788" s="2" t="s">
        <v>31</v>
      </c>
      <c r="L3788" s="2" t="s">
        <v>32</v>
      </c>
      <c r="M3788" s="2" t="n">
        <v>45370</v>
      </c>
      <c r="N3788" s="2" t="n">
        <v>6</v>
      </c>
      <c r="O3788" s="2" t="n">
        <v>18</v>
      </c>
      <c r="P3788" s="2" t="n">
        <v>1</v>
      </c>
      <c r="Q3788" s="2" t="n">
        <v>5</v>
      </c>
      <c r="R3788" s="2" t="n">
        <v>5</v>
      </c>
      <c r="S3788" s="2" t="n">
        <v>1</v>
      </c>
      <c r="T3788" s="2" t="n">
        <v>0</v>
      </c>
      <c r="U3788" s="2" t="n">
        <v>0</v>
      </c>
      <c r="V3788" s="2" t="n">
        <v>3</v>
      </c>
      <c r="W3788" s="2" t="n">
        <v>3</v>
      </c>
      <c r="X3788" s="2" t="n">
        <v>2</v>
      </c>
      <c r="Y3788" s="2" t="n">
        <v>4</v>
      </c>
      <c r="Z3788" s="2" t="n">
        <v>3</v>
      </c>
    </row>
    <row r="3789" customFormat="false" ht="15" hidden="false" customHeight="true" outlineLevel="0" collapsed="false">
      <c r="A3789" s="2" t="n">
        <v>33</v>
      </c>
      <c r="B3789" s="2" t="s">
        <v>26</v>
      </c>
      <c r="C3789" s="2" t="s">
        <v>27</v>
      </c>
      <c r="D3789" s="2" t="s">
        <v>35</v>
      </c>
      <c r="E3789" s="2" t="n">
        <v>9</v>
      </c>
      <c r="F3789" s="2" t="n">
        <v>1</v>
      </c>
      <c r="G3789" s="2" t="s">
        <v>43</v>
      </c>
      <c r="H3789" s="2" t="n">
        <v>3788</v>
      </c>
      <c r="I3789" s="2" t="s">
        <v>39</v>
      </c>
      <c r="J3789" s="2" t="n">
        <v>1</v>
      </c>
      <c r="K3789" s="2" t="s">
        <v>31</v>
      </c>
      <c r="L3789" s="2" t="s">
        <v>32</v>
      </c>
      <c r="M3789" s="2" t="n">
        <v>76420</v>
      </c>
      <c r="N3789" s="2" t="n">
        <v>2</v>
      </c>
      <c r="O3789" s="2" t="n">
        <v>20</v>
      </c>
      <c r="P3789" s="2" t="n">
        <v>1</v>
      </c>
      <c r="Q3789" s="2" t="n">
        <v>8</v>
      </c>
      <c r="R3789" s="2" t="n">
        <v>2</v>
      </c>
      <c r="S3789" s="2" t="n">
        <v>2</v>
      </c>
      <c r="T3789" s="2" t="n">
        <v>2</v>
      </c>
      <c r="U3789" s="2" t="n">
        <v>2</v>
      </c>
      <c r="V3789" s="2" t="n">
        <v>1</v>
      </c>
      <c r="W3789" s="2" t="n">
        <v>1</v>
      </c>
      <c r="X3789" s="2" t="n">
        <v>1</v>
      </c>
      <c r="Y3789" s="2" t="n">
        <v>2</v>
      </c>
      <c r="Z3789" s="2" t="n">
        <v>4</v>
      </c>
    </row>
    <row r="3790" customFormat="false" ht="15" hidden="false" customHeight="true" outlineLevel="0" collapsed="false">
      <c r="A3790" s="2" t="n">
        <v>30</v>
      </c>
      <c r="B3790" s="2" t="s">
        <v>33</v>
      </c>
      <c r="C3790" s="2" t="s">
        <v>27</v>
      </c>
      <c r="D3790" s="2" t="s">
        <v>35</v>
      </c>
      <c r="E3790" s="2" t="n">
        <v>1</v>
      </c>
      <c r="F3790" s="2" t="n">
        <v>3</v>
      </c>
      <c r="G3790" s="2" t="s">
        <v>38</v>
      </c>
      <c r="H3790" s="2" t="n">
        <v>3789</v>
      </c>
      <c r="I3790" s="2" t="s">
        <v>39</v>
      </c>
      <c r="J3790" s="2" t="n">
        <v>3</v>
      </c>
      <c r="K3790" s="2" t="s">
        <v>40</v>
      </c>
      <c r="L3790" s="2" t="s">
        <v>32</v>
      </c>
      <c r="M3790" s="2" t="n">
        <v>179240</v>
      </c>
      <c r="N3790" s="2" t="n">
        <v>1</v>
      </c>
      <c r="O3790" s="2" t="n">
        <v>13</v>
      </c>
      <c r="P3790" s="2" t="n">
        <v>2</v>
      </c>
      <c r="Q3790" s="2" t="n">
        <v>10</v>
      </c>
      <c r="R3790" s="2" t="n">
        <v>2</v>
      </c>
      <c r="S3790" s="2" t="n">
        <v>10</v>
      </c>
      <c r="T3790" s="2" t="n">
        <v>6</v>
      </c>
      <c r="U3790" s="2" t="n">
        <v>7</v>
      </c>
      <c r="V3790" s="2" t="n">
        <v>2</v>
      </c>
      <c r="W3790" s="2" t="n">
        <v>1</v>
      </c>
      <c r="X3790" s="2" t="n">
        <v>3</v>
      </c>
      <c r="Y3790" s="2" t="n">
        <v>3</v>
      </c>
      <c r="Z3790" s="2" t="n">
        <v>3</v>
      </c>
    </row>
    <row r="3791" customFormat="false" ht="15" hidden="false" customHeight="true" outlineLevel="0" collapsed="false">
      <c r="A3791" s="2" t="n">
        <v>38</v>
      </c>
      <c r="B3791" s="2" t="s">
        <v>26</v>
      </c>
      <c r="C3791" s="2" t="s">
        <v>34</v>
      </c>
      <c r="D3791" s="2" t="s">
        <v>28</v>
      </c>
      <c r="E3791" s="2" t="n">
        <v>9</v>
      </c>
      <c r="F3791" s="2" t="n">
        <v>3</v>
      </c>
      <c r="G3791" s="2" t="s">
        <v>50</v>
      </c>
      <c r="H3791" s="2" t="n">
        <v>3790</v>
      </c>
      <c r="I3791" s="2" t="s">
        <v>39</v>
      </c>
      <c r="J3791" s="2" t="n">
        <v>1</v>
      </c>
      <c r="K3791" s="2" t="s">
        <v>47</v>
      </c>
      <c r="L3791" s="2" t="s">
        <v>32</v>
      </c>
      <c r="M3791" s="2" t="n">
        <v>52040</v>
      </c>
      <c r="N3791" s="2" t="n">
        <v>3</v>
      </c>
      <c r="O3791" s="2" t="n">
        <v>13</v>
      </c>
      <c r="P3791" s="2" t="n">
        <v>1</v>
      </c>
      <c r="Q3791" s="2" t="n">
        <v>10</v>
      </c>
      <c r="R3791" s="2" t="n">
        <v>2</v>
      </c>
      <c r="S3791" s="2" t="n">
        <v>6</v>
      </c>
      <c r="T3791" s="2" t="n">
        <v>1</v>
      </c>
      <c r="U3791" s="2" t="n">
        <v>2</v>
      </c>
      <c r="V3791" s="2" t="n">
        <v>3</v>
      </c>
      <c r="W3791" s="2" t="n">
        <v>3</v>
      </c>
      <c r="X3791" s="2" t="n">
        <v>3</v>
      </c>
      <c r="Y3791" s="2" t="n">
        <v>3</v>
      </c>
      <c r="Z3791" s="2" t="n">
        <v>3</v>
      </c>
    </row>
    <row r="3792" customFormat="false" ht="15" hidden="false" customHeight="true" outlineLevel="0" collapsed="false">
      <c r="A3792" s="2" t="n">
        <v>35</v>
      </c>
      <c r="B3792" s="2" t="s">
        <v>26</v>
      </c>
      <c r="C3792" s="2" t="s">
        <v>27</v>
      </c>
      <c r="D3792" s="2" t="s">
        <v>28</v>
      </c>
      <c r="E3792" s="2" t="n">
        <v>7</v>
      </c>
      <c r="F3792" s="2" t="n">
        <v>2</v>
      </c>
      <c r="G3792" s="2" t="s">
        <v>29</v>
      </c>
      <c r="H3792" s="2" t="n">
        <v>3791</v>
      </c>
      <c r="I3792" s="2" t="s">
        <v>39</v>
      </c>
      <c r="J3792" s="2" t="n">
        <v>1</v>
      </c>
      <c r="K3792" s="2" t="s">
        <v>40</v>
      </c>
      <c r="L3792" s="2" t="s">
        <v>37</v>
      </c>
      <c r="M3792" s="2" t="n">
        <v>22770</v>
      </c>
      <c r="N3792" s="2" t="n">
        <v>1</v>
      </c>
      <c r="O3792" s="2" t="n">
        <v>12</v>
      </c>
      <c r="P3792" s="2" t="n">
        <v>1</v>
      </c>
      <c r="Q3792" s="2" t="n">
        <v>3</v>
      </c>
      <c r="R3792" s="2" t="n">
        <v>2</v>
      </c>
      <c r="S3792" s="2" t="n">
        <v>3</v>
      </c>
      <c r="T3792" s="2" t="n">
        <v>1</v>
      </c>
      <c r="U3792" s="2" t="n">
        <v>2</v>
      </c>
      <c r="V3792" s="2" t="n">
        <v>4</v>
      </c>
      <c r="W3792" s="2" t="n">
        <v>1</v>
      </c>
      <c r="X3792" s="2" t="n">
        <v>3</v>
      </c>
      <c r="Y3792" s="2" t="n">
        <v>3</v>
      </c>
      <c r="Z3792" s="2" t="n">
        <v>3</v>
      </c>
    </row>
    <row r="3793" customFormat="false" ht="15" hidden="false" customHeight="true" outlineLevel="0" collapsed="false">
      <c r="A3793" s="2" t="n">
        <v>30</v>
      </c>
      <c r="B3793" s="2" t="s">
        <v>26</v>
      </c>
      <c r="C3793" s="2" t="s">
        <v>27</v>
      </c>
      <c r="D3793" s="2" t="s">
        <v>35</v>
      </c>
      <c r="E3793" s="2" t="n">
        <v>14</v>
      </c>
      <c r="F3793" s="2" t="n">
        <v>3</v>
      </c>
      <c r="G3793" s="2" t="s">
        <v>51</v>
      </c>
      <c r="H3793" s="2" t="n">
        <v>3792</v>
      </c>
      <c r="I3793" s="2" t="s">
        <v>39</v>
      </c>
      <c r="J3793" s="2" t="n">
        <v>5</v>
      </c>
      <c r="K3793" s="2" t="s">
        <v>44</v>
      </c>
      <c r="L3793" s="2" t="s">
        <v>32</v>
      </c>
      <c r="M3793" s="2" t="n">
        <v>27950</v>
      </c>
      <c r="N3793" s="2" t="n">
        <v>3</v>
      </c>
      <c r="O3793" s="2" t="n">
        <v>13</v>
      </c>
      <c r="P3793" s="2" t="n">
        <v>0</v>
      </c>
      <c r="Q3793" s="2" t="n">
        <v>9</v>
      </c>
      <c r="R3793" s="2" t="n">
        <v>4</v>
      </c>
      <c r="S3793" s="2" t="n">
        <v>4</v>
      </c>
      <c r="T3793" s="2" t="n">
        <v>1</v>
      </c>
      <c r="U3793" s="2" t="n">
        <v>3</v>
      </c>
      <c r="V3793" s="2" t="n">
        <v>3</v>
      </c>
      <c r="W3793" s="2" t="n">
        <v>2</v>
      </c>
      <c r="X3793" s="2" t="n">
        <v>3</v>
      </c>
      <c r="Y3793" s="2" t="n">
        <v>3</v>
      </c>
      <c r="Z3793" s="2" t="n">
        <v>3</v>
      </c>
    </row>
    <row r="3794" customFormat="false" ht="15" hidden="false" customHeight="true" outlineLevel="0" collapsed="false">
      <c r="A3794" s="2" t="n">
        <v>35</v>
      </c>
      <c r="B3794" s="2" t="s">
        <v>33</v>
      </c>
      <c r="C3794" s="2" t="s">
        <v>27</v>
      </c>
      <c r="D3794" s="2" t="s">
        <v>35</v>
      </c>
      <c r="E3794" s="2" t="n">
        <v>2</v>
      </c>
      <c r="F3794" s="2" t="n">
        <v>3</v>
      </c>
      <c r="G3794" s="2" t="s">
        <v>43</v>
      </c>
      <c r="H3794" s="2" t="n">
        <v>3793</v>
      </c>
      <c r="I3794" s="2" t="s">
        <v>30</v>
      </c>
      <c r="J3794" s="2" t="n">
        <v>1</v>
      </c>
      <c r="K3794" s="2" t="s">
        <v>36</v>
      </c>
      <c r="L3794" s="2" t="s">
        <v>46</v>
      </c>
      <c r="M3794" s="2" t="n">
        <v>25320</v>
      </c>
      <c r="N3794" s="2" t="n">
        <v>1</v>
      </c>
      <c r="O3794" s="2" t="n">
        <v>13</v>
      </c>
      <c r="P3794" s="2" t="n">
        <v>0</v>
      </c>
      <c r="Q3794" s="2" t="n">
        <v>1</v>
      </c>
      <c r="R3794" s="2" t="n">
        <v>2</v>
      </c>
      <c r="S3794" s="2" t="n">
        <v>1</v>
      </c>
      <c r="T3794" s="2" t="n">
        <v>0</v>
      </c>
      <c r="U3794" s="2" t="n">
        <v>0</v>
      </c>
      <c r="V3794" s="2" t="n">
        <v>1</v>
      </c>
      <c r="W3794" s="2" t="n">
        <v>1</v>
      </c>
      <c r="X3794" s="2" t="n">
        <v>3</v>
      </c>
      <c r="Y3794" s="2" t="n">
        <v>1</v>
      </c>
      <c r="Z3794" s="2" t="n">
        <v>3</v>
      </c>
    </row>
    <row r="3795" customFormat="false" ht="15" hidden="false" customHeight="true" outlineLevel="0" collapsed="false">
      <c r="A3795" s="2" t="n">
        <v>53</v>
      </c>
      <c r="B3795" s="2" t="s">
        <v>33</v>
      </c>
      <c r="C3795" s="2" t="s">
        <v>27</v>
      </c>
      <c r="D3795" s="2" t="s">
        <v>35</v>
      </c>
      <c r="E3795" s="2" t="n">
        <v>19</v>
      </c>
      <c r="F3795" s="2" t="n">
        <v>3</v>
      </c>
      <c r="G3795" s="2" t="s">
        <v>29</v>
      </c>
      <c r="H3795" s="2" t="n">
        <v>3794</v>
      </c>
      <c r="I3795" s="2" t="s">
        <v>39</v>
      </c>
      <c r="J3795" s="2" t="n">
        <v>2</v>
      </c>
      <c r="K3795" s="2" t="s">
        <v>49</v>
      </c>
      <c r="L3795" s="2" t="s">
        <v>32</v>
      </c>
      <c r="M3795" s="2" t="n">
        <v>25590</v>
      </c>
      <c r="N3795" s="2" t="n">
        <v>0</v>
      </c>
      <c r="O3795" s="2" t="n">
        <v>25</v>
      </c>
      <c r="P3795" s="2" t="n">
        <v>0</v>
      </c>
      <c r="Q3795" s="2" t="n">
        <v>34</v>
      </c>
      <c r="R3795" s="2" t="n">
        <v>2</v>
      </c>
      <c r="S3795" s="2" t="n">
        <v>33</v>
      </c>
      <c r="T3795" s="2" t="n">
        <v>1</v>
      </c>
      <c r="U3795" s="2" t="n">
        <v>9</v>
      </c>
      <c r="V3795" s="2" t="n">
        <v>3</v>
      </c>
      <c r="W3795" s="2" t="n">
        <v>4</v>
      </c>
      <c r="X3795" s="2" t="n">
        <v>3</v>
      </c>
      <c r="Y3795" s="2" t="n">
        <v>3</v>
      </c>
      <c r="Z3795" s="2" t="n">
        <v>4</v>
      </c>
    </row>
    <row r="3796" customFormat="false" ht="15" hidden="false" customHeight="true" outlineLevel="0" collapsed="false">
      <c r="A3796" s="2" t="n">
        <v>38</v>
      </c>
      <c r="B3796" s="2" t="s">
        <v>33</v>
      </c>
      <c r="C3796" s="2" t="s">
        <v>27</v>
      </c>
      <c r="D3796" s="2" t="s">
        <v>35</v>
      </c>
      <c r="E3796" s="2" t="n">
        <v>2</v>
      </c>
      <c r="F3796" s="2" t="n">
        <v>3</v>
      </c>
      <c r="G3796" s="2" t="s">
        <v>43</v>
      </c>
      <c r="H3796" s="2" t="n">
        <v>3795</v>
      </c>
      <c r="I3796" s="2" t="s">
        <v>30</v>
      </c>
      <c r="J3796" s="2" t="n">
        <v>3</v>
      </c>
      <c r="K3796" s="2" t="s">
        <v>40</v>
      </c>
      <c r="L3796" s="2" t="s">
        <v>32</v>
      </c>
      <c r="M3796" s="2" t="n">
        <v>49080</v>
      </c>
      <c r="N3796" s="2" t="n">
        <v>4</v>
      </c>
      <c r="O3796" s="2" t="n">
        <v>19</v>
      </c>
      <c r="P3796" s="2" t="n">
        <v>1</v>
      </c>
      <c r="Q3796" s="2" t="n">
        <v>7</v>
      </c>
      <c r="R3796" s="2" t="n">
        <v>3</v>
      </c>
      <c r="S3796" s="2" t="n">
        <v>5</v>
      </c>
      <c r="T3796" s="2" t="n">
        <v>1</v>
      </c>
      <c r="U3796" s="2" t="n">
        <v>4</v>
      </c>
      <c r="V3796" s="2" t="n">
        <v>3</v>
      </c>
      <c r="W3796" s="2" t="n">
        <v>2</v>
      </c>
      <c r="X3796" s="2" t="n">
        <v>3</v>
      </c>
      <c r="Y3796" s="2" t="n">
        <v>2</v>
      </c>
      <c r="Z3796" s="2" t="n">
        <v>3</v>
      </c>
    </row>
    <row r="3797" customFormat="false" ht="15" hidden="false" customHeight="true" outlineLevel="0" collapsed="false">
      <c r="A3797" s="2" t="n">
        <v>32</v>
      </c>
      <c r="B3797" s="2" t="s">
        <v>26</v>
      </c>
      <c r="C3797" s="2" t="s">
        <v>41</v>
      </c>
      <c r="D3797" s="2" t="s">
        <v>35</v>
      </c>
      <c r="E3797" s="2" t="n">
        <v>10</v>
      </c>
      <c r="F3797" s="2" t="n">
        <v>4</v>
      </c>
      <c r="G3797" s="2" t="s">
        <v>29</v>
      </c>
      <c r="H3797" s="2" t="n">
        <v>3796</v>
      </c>
      <c r="I3797" s="2" t="s">
        <v>30</v>
      </c>
      <c r="J3797" s="2" t="n">
        <v>5</v>
      </c>
      <c r="K3797" s="2" t="s">
        <v>36</v>
      </c>
      <c r="L3797" s="2" t="s">
        <v>32</v>
      </c>
      <c r="M3797" s="2" t="n">
        <v>23800</v>
      </c>
      <c r="N3797" s="2" t="n">
        <v>4</v>
      </c>
      <c r="O3797" s="2" t="n">
        <v>13</v>
      </c>
      <c r="P3797" s="2" t="n">
        <v>0</v>
      </c>
      <c r="Q3797" s="2" t="n">
        <v>9</v>
      </c>
      <c r="R3797" s="2" t="n">
        <v>5</v>
      </c>
      <c r="S3797" s="2" t="n">
        <v>6</v>
      </c>
      <c r="T3797" s="2" t="n">
        <v>1</v>
      </c>
      <c r="U3797" s="2" t="n">
        <v>2</v>
      </c>
      <c r="V3797" s="2" t="n">
        <v>4</v>
      </c>
      <c r="W3797" s="2" t="n">
        <v>1</v>
      </c>
      <c r="X3797" s="2" t="n">
        <v>2</v>
      </c>
      <c r="Y3797" s="2" t="n">
        <v>3</v>
      </c>
      <c r="Z3797" s="2" t="n">
        <v>3</v>
      </c>
    </row>
    <row r="3798" customFormat="false" ht="15" hidden="false" customHeight="true" outlineLevel="0" collapsed="false">
      <c r="A3798" s="2" t="n">
        <v>48</v>
      </c>
      <c r="B3798" s="2" t="s">
        <v>26</v>
      </c>
      <c r="C3798" s="2" t="s">
        <v>27</v>
      </c>
      <c r="D3798" s="2" t="s">
        <v>35</v>
      </c>
      <c r="E3798" s="2" t="n">
        <v>2</v>
      </c>
      <c r="F3798" s="2" t="n">
        <v>5</v>
      </c>
      <c r="G3798" s="2" t="s">
        <v>29</v>
      </c>
      <c r="H3798" s="2" t="n">
        <v>3797</v>
      </c>
      <c r="I3798" s="2" t="s">
        <v>39</v>
      </c>
      <c r="J3798" s="2" t="n">
        <v>1</v>
      </c>
      <c r="K3798" s="2" t="s">
        <v>40</v>
      </c>
      <c r="L3798" s="2" t="s">
        <v>32</v>
      </c>
      <c r="M3798" s="2" t="n">
        <v>47650</v>
      </c>
      <c r="N3798" s="2" t="n">
        <v>8</v>
      </c>
      <c r="O3798" s="2" t="n">
        <v>12</v>
      </c>
      <c r="P3798" s="2" t="n">
        <v>1</v>
      </c>
      <c r="Q3798" s="2" t="n">
        <v>10</v>
      </c>
      <c r="R3798" s="2" t="n">
        <v>4</v>
      </c>
      <c r="S3798" s="2" t="n">
        <v>8</v>
      </c>
      <c r="T3798" s="2" t="n">
        <v>7</v>
      </c>
      <c r="U3798" s="2" t="n">
        <v>6</v>
      </c>
      <c r="V3798" s="2" t="n">
        <v>3</v>
      </c>
      <c r="W3798" s="2" t="n">
        <v>1</v>
      </c>
      <c r="X3798" s="2" t="n">
        <v>2</v>
      </c>
      <c r="Y3798" s="2" t="n">
        <v>3</v>
      </c>
      <c r="Z3798" s="2" t="n">
        <v>3</v>
      </c>
    </row>
    <row r="3799" customFormat="false" ht="15" hidden="false" customHeight="true" outlineLevel="0" collapsed="false">
      <c r="A3799" s="2" t="n">
        <v>34</v>
      </c>
      <c r="B3799" s="2" t="s">
        <v>26</v>
      </c>
      <c r="C3799" s="2" t="s">
        <v>27</v>
      </c>
      <c r="D3799" s="2" t="s">
        <v>35</v>
      </c>
      <c r="E3799" s="2" t="n">
        <v>3</v>
      </c>
      <c r="F3799" s="2" t="n">
        <v>3</v>
      </c>
      <c r="G3799" s="2" t="s">
        <v>29</v>
      </c>
      <c r="H3799" s="2" t="n">
        <v>3798</v>
      </c>
      <c r="I3799" s="2" t="s">
        <v>39</v>
      </c>
      <c r="J3799" s="2" t="n">
        <v>2</v>
      </c>
      <c r="K3799" s="2" t="s">
        <v>40</v>
      </c>
      <c r="L3799" s="2" t="s">
        <v>37</v>
      </c>
      <c r="M3799" s="2" t="n">
        <v>20440</v>
      </c>
      <c r="N3799" s="2" t="n">
        <v>1</v>
      </c>
      <c r="O3799" s="2" t="n">
        <v>11</v>
      </c>
      <c r="P3799" s="2" t="n">
        <v>0</v>
      </c>
      <c r="Q3799" s="2" t="n">
        <v>1</v>
      </c>
      <c r="R3799" s="2" t="n">
        <v>2</v>
      </c>
      <c r="S3799" s="2" t="n">
        <v>1</v>
      </c>
      <c r="T3799" s="2" t="n">
        <v>0</v>
      </c>
      <c r="U3799" s="2" t="n">
        <v>0</v>
      </c>
      <c r="V3799" s="2" t="n">
        <v>1</v>
      </c>
      <c r="W3799" s="2" t="n">
        <v>4</v>
      </c>
      <c r="X3799" s="2" t="n">
        <v>1</v>
      </c>
      <c r="Y3799" s="2" t="n">
        <v>3</v>
      </c>
      <c r="Z3799" s="2" t="n">
        <v>3</v>
      </c>
    </row>
    <row r="3800" customFormat="false" ht="15" hidden="false" customHeight="true" outlineLevel="0" collapsed="false">
      <c r="A3800" s="2" t="n">
        <v>55</v>
      </c>
      <c r="B3800" s="2" t="s">
        <v>26</v>
      </c>
      <c r="C3800" s="2" t="s">
        <v>27</v>
      </c>
      <c r="D3800" s="2" t="s">
        <v>35</v>
      </c>
      <c r="E3800" s="2" t="n">
        <v>11</v>
      </c>
      <c r="F3800" s="2" t="n">
        <v>1</v>
      </c>
      <c r="G3800" s="2" t="s">
        <v>43</v>
      </c>
      <c r="H3800" s="2" t="n">
        <v>3799</v>
      </c>
      <c r="I3800" s="2" t="s">
        <v>30</v>
      </c>
      <c r="J3800" s="2" t="n">
        <v>1</v>
      </c>
      <c r="K3800" s="2" t="s">
        <v>45</v>
      </c>
      <c r="L3800" s="2" t="s">
        <v>32</v>
      </c>
      <c r="M3800" s="2" t="n">
        <v>26930</v>
      </c>
      <c r="N3800" s="2" t="n">
        <v>1</v>
      </c>
      <c r="O3800" s="2" t="n">
        <v>18</v>
      </c>
      <c r="P3800" s="2" t="n">
        <v>0</v>
      </c>
      <c r="Q3800" s="2" t="n">
        <v>36</v>
      </c>
      <c r="R3800" s="2" t="n">
        <v>6</v>
      </c>
      <c r="S3800" s="2" t="n">
        <v>36</v>
      </c>
      <c r="T3800" s="2" t="n">
        <v>2</v>
      </c>
      <c r="U3800" s="2" t="n">
        <v>13</v>
      </c>
      <c r="V3800" s="2" t="n">
        <v>3</v>
      </c>
      <c r="W3800" s="2" t="n">
        <v>4</v>
      </c>
      <c r="X3800" s="2" t="n">
        <v>3</v>
      </c>
      <c r="Y3800" s="2" t="n">
        <v>2</v>
      </c>
      <c r="Z3800" s="2" t="n">
        <v>3</v>
      </c>
    </row>
    <row r="3801" customFormat="false" ht="15" hidden="false" customHeight="true" outlineLevel="0" collapsed="false">
      <c r="A3801" s="2" t="n">
        <v>34</v>
      </c>
      <c r="B3801" s="2" t="s">
        <v>26</v>
      </c>
      <c r="C3801" s="2" t="s">
        <v>27</v>
      </c>
      <c r="D3801" s="2" t="s">
        <v>35</v>
      </c>
      <c r="E3801" s="2" t="n">
        <v>2</v>
      </c>
      <c r="F3801" s="2" t="n">
        <v>2</v>
      </c>
      <c r="G3801" s="2" t="s">
        <v>29</v>
      </c>
      <c r="H3801" s="2" t="n">
        <v>3800</v>
      </c>
      <c r="I3801" s="2" t="s">
        <v>39</v>
      </c>
      <c r="J3801" s="2" t="n">
        <v>2</v>
      </c>
      <c r="K3801" s="2" t="s">
        <v>36</v>
      </c>
      <c r="L3801" s="2" t="s">
        <v>32</v>
      </c>
      <c r="M3801" s="2" t="n">
        <v>65860</v>
      </c>
      <c r="N3801" s="2" t="n">
        <v>9</v>
      </c>
      <c r="O3801" s="2" t="n">
        <v>18</v>
      </c>
      <c r="P3801" s="2" t="n">
        <v>1</v>
      </c>
      <c r="Q3801" s="2" t="n">
        <v>9</v>
      </c>
      <c r="R3801" s="2" t="n">
        <v>3</v>
      </c>
      <c r="S3801" s="2" t="n">
        <v>2</v>
      </c>
      <c r="T3801" s="2" t="n">
        <v>2</v>
      </c>
      <c r="U3801" s="2" t="n">
        <v>1</v>
      </c>
      <c r="V3801" s="2" t="n">
        <v>2</v>
      </c>
      <c r="W3801" s="2" t="n">
        <v>4</v>
      </c>
      <c r="X3801" s="2" t="n">
        <v>2</v>
      </c>
      <c r="Y3801" s="2" t="n">
        <v>3</v>
      </c>
      <c r="Z3801" s="2" t="n">
        <v>3</v>
      </c>
    </row>
    <row r="3802" customFormat="false" ht="15" hidden="false" customHeight="true" outlineLevel="0" collapsed="false">
      <c r="A3802" s="2" t="n">
        <v>26</v>
      </c>
      <c r="B3802" s="2" t="s">
        <v>26</v>
      </c>
      <c r="C3802" s="2" t="s">
        <v>27</v>
      </c>
      <c r="D3802" s="2" t="s">
        <v>35</v>
      </c>
      <c r="E3802" s="2" t="n">
        <v>4</v>
      </c>
      <c r="F3802" s="2" t="n">
        <v>3</v>
      </c>
      <c r="G3802" s="2" t="s">
        <v>29</v>
      </c>
      <c r="H3802" s="2" t="n">
        <v>3801</v>
      </c>
      <c r="I3802" s="2" t="s">
        <v>39</v>
      </c>
      <c r="J3802" s="2" t="n">
        <v>1</v>
      </c>
      <c r="K3802" s="2" t="s">
        <v>44</v>
      </c>
      <c r="L3802" s="2" t="s">
        <v>32</v>
      </c>
      <c r="M3802" s="2" t="n">
        <v>32940</v>
      </c>
      <c r="N3802" s="2" t="n">
        <v>1</v>
      </c>
      <c r="O3802" s="2" t="n">
        <v>11</v>
      </c>
      <c r="P3802" s="2" t="n">
        <v>0</v>
      </c>
      <c r="Q3802" s="2" t="n">
        <v>1</v>
      </c>
      <c r="R3802" s="2" t="n">
        <v>6</v>
      </c>
      <c r="S3802" s="2" t="n">
        <v>1</v>
      </c>
      <c r="T3802" s="2" t="n">
        <v>0</v>
      </c>
      <c r="U3802" s="2" t="n">
        <v>0</v>
      </c>
      <c r="V3802" s="2" t="n">
        <v>1</v>
      </c>
      <c r="W3802" s="2" t="n">
        <v>4</v>
      </c>
      <c r="X3802" s="2" t="n">
        <v>3</v>
      </c>
      <c r="Y3802" s="2" t="n">
        <v>3</v>
      </c>
      <c r="Z3802" s="2" t="n">
        <v>3</v>
      </c>
    </row>
    <row r="3803" customFormat="false" ht="15" hidden="false" customHeight="true" outlineLevel="0" collapsed="false">
      <c r="A3803" s="2" t="n">
        <v>38</v>
      </c>
      <c r="B3803" s="2" t="s">
        <v>26</v>
      </c>
      <c r="C3803" s="2" t="s">
        <v>27</v>
      </c>
      <c r="D3803" s="2" t="s">
        <v>28</v>
      </c>
      <c r="E3803" s="2" t="n">
        <v>14</v>
      </c>
      <c r="F3803" s="2" t="n">
        <v>2</v>
      </c>
      <c r="G3803" s="2" t="s">
        <v>50</v>
      </c>
      <c r="H3803" s="2" t="n">
        <v>3802</v>
      </c>
      <c r="I3803" s="2" t="s">
        <v>30</v>
      </c>
      <c r="J3803" s="2" t="n">
        <v>1</v>
      </c>
      <c r="K3803" s="2" t="s">
        <v>40</v>
      </c>
      <c r="L3803" s="2" t="s">
        <v>32</v>
      </c>
      <c r="M3803" s="2" t="n">
        <v>41710</v>
      </c>
      <c r="N3803" s="2" t="n">
        <v>0</v>
      </c>
      <c r="O3803" s="2" t="n">
        <v>23</v>
      </c>
      <c r="P3803" s="2" t="n">
        <v>0</v>
      </c>
      <c r="Q3803" s="2" t="n">
        <v>10</v>
      </c>
      <c r="R3803" s="2" t="n">
        <v>4</v>
      </c>
      <c r="S3803" s="2" t="n">
        <v>9</v>
      </c>
      <c r="T3803" s="2" t="n">
        <v>7</v>
      </c>
      <c r="U3803" s="2" t="n">
        <v>7</v>
      </c>
      <c r="V3803" s="2" t="n">
        <v>3</v>
      </c>
      <c r="W3803" s="2" t="n">
        <v>2</v>
      </c>
      <c r="X3803" s="2" t="n">
        <v>3</v>
      </c>
      <c r="Y3803" s="2" t="n">
        <v>4</v>
      </c>
      <c r="Z3803" s="2" t="n">
        <v>4</v>
      </c>
    </row>
    <row r="3804" customFormat="false" ht="15" hidden="false" customHeight="true" outlineLevel="0" collapsed="false">
      <c r="A3804" s="2" t="n">
        <v>38</v>
      </c>
      <c r="B3804" s="2" t="s">
        <v>26</v>
      </c>
      <c r="C3804" s="2" t="s">
        <v>27</v>
      </c>
      <c r="D3804" s="2" t="s">
        <v>35</v>
      </c>
      <c r="E3804" s="2" t="n">
        <v>2</v>
      </c>
      <c r="F3804" s="2" t="n">
        <v>3</v>
      </c>
      <c r="G3804" s="2" t="s">
        <v>29</v>
      </c>
      <c r="H3804" s="2" t="n">
        <v>3803</v>
      </c>
      <c r="I3804" s="2" t="s">
        <v>30</v>
      </c>
      <c r="J3804" s="2" t="n">
        <v>1</v>
      </c>
      <c r="K3804" s="2" t="s">
        <v>47</v>
      </c>
      <c r="L3804" s="2" t="s">
        <v>37</v>
      </c>
      <c r="M3804" s="2" t="n">
        <v>27780</v>
      </c>
      <c r="N3804" s="2" t="n">
        <v>2</v>
      </c>
      <c r="O3804" s="2" t="n">
        <v>13</v>
      </c>
      <c r="P3804" s="2" t="n">
        <v>0</v>
      </c>
      <c r="Q3804" s="2" t="n">
        <v>8</v>
      </c>
      <c r="R3804" s="2" t="n">
        <v>5</v>
      </c>
      <c r="S3804" s="2" t="n">
        <v>3</v>
      </c>
      <c r="T3804" s="2" t="n">
        <v>1</v>
      </c>
      <c r="U3804" s="2" t="n">
        <v>2</v>
      </c>
      <c r="V3804" s="2" t="n">
        <v>2</v>
      </c>
      <c r="W3804" s="2" t="n">
        <v>2</v>
      </c>
      <c r="X3804" s="2" t="n">
        <v>4</v>
      </c>
      <c r="Y3804" s="2" t="n">
        <v>2</v>
      </c>
      <c r="Z3804" s="2" t="n">
        <v>3</v>
      </c>
    </row>
    <row r="3805" customFormat="false" ht="15" hidden="false" customHeight="true" outlineLevel="0" collapsed="false">
      <c r="A3805" s="2" t="n">
        <v>36</v>
      </c>
      <c r="B3805" s="2" t="s">
        <v>26</v>
      </c>
      <c r="C3805" s="2" t="s">
        <v>27</v>
      </c>
      <c r="D3805" s="2" t="s">
        <v>42</v>
      </c>
      <c r="E3805" s="2" t="n">
        <v>1</v>
      </c>
      <c r="F3805" s="2" t="n">
        <v>3</v>
      </c>
      <c r="G3805" s="2" t="s">
        <v>42</v>
      </c>
      <c r="H3805" s="2" t="n">
        <v>3804</v>
      </c>
      <c r="I3805" s="2" t="s">
        <v>39</v>
      </c>
      <c r="J3805" s="2" t="n">
        <v>1</v>
      </c>
      <c r="K3805" s="2" t="s">
        <v>36</v>
      </c>
      <c r="L3805" s="2" t="s">
        <v>37</v>
      </c>
      <c r="M3805" s="2" t="n">
        <v>23770</v>
      </c>
      <c r="N3805" s="2" t="n">
        <v>6</v>
      </c>
      <c r="O3805" s="2" t="n">
        <v>13</v>
      </c>
      <c r="P3805" s="2" t="n">
        <v>2</v>
      </c>
      <c r="Q3805" s="2" t="n">
        <v>15</v>
      </c>
      <c r="R3805" s="2" t="n">
        <v>3</v>
      </c>
      <c r="S3805" s="2" t="n">
        <v>1</v>
      </c>
      <c r="T3805" s="2" t="n">
        <v>0</v>
      </c>
      <c r="U3805" s="2" t="n">
        <v>0</v>
      </c>
      <c r="V3805" s="2" t="n">
        <v>2</v>
      </c>
      <c r="W3805" s="2" t="n">
        <v>3</v>
      </c>
      <c r="X3805" s="2" t="n">
        <v>3</v>
      </c>
      <c r="Y3805" s="2" t="n">
        <v>3</v>
      </c>
      <c r="Z3805" s="2" t="n">
        <v>3</v>
      </c>
    </row>
    <row r="3806" customFormat="false" ht="15" hidden="false" customHeight="true" outlineLevel="0" collapsed="false">
      <c r="A3806" s="2" t="n">
        <v>29</v>
      </c>
      <c r="B3806" s="2" t="s">
        <v>26</v>
      </c>
      <c r="C3806" s="2" t="s">
        <v>27</v>
      </c>
      <c r="D3806" s="2" t="s">
        <v>35</v>
      </c>
      <c r="E3806" s="2" t="n">
        <v>10</v>
      </c>
      <c r="F3806" s="2" t="n">
        <v>3</v>
      </c>
      <c r="G3806" s="2" t="s">
        <v>29</v>
      </c>
      <c r="H3806" s="2" t="n">
        <v>3805</v>
      </c>
      <c r="I3806" s="2" t="s">
        <v>39</v>
      </c>
      <c r="J3806" s="2" t="n">
        <v>1</v>
      </c>
      <c r="K3806" s="2" t="s">
        <v>48</v>
      </c>
      <c r="L3806" s="2" t="s">
        <v>37</v>
      </c>
      <c r="M3806" s="2" t="n">
        <v>24040</v>
      </c>
      <c r="N3806" s="2" t="n">
        <v>1</v>
      </c>
      <c r="O3806" s="2" t="n">
        <v>17</v>
      </c>
      <c r="P3806" s="2" t="n">
        <v>0</v>
      </c>
      <c r="Q3806" s="2" t="n">
        <v>10</v>
      </c>
      <c r="R3806" s="2" t="n">
        <v>3</v>
      </c>
      <c r="S3806" s="2" t="n">
        <v>10</v>
      </c>
      <c r="T3806" s="2" t="n">
        <v>1</v>
      </c>
      <c r="U3806" s="2" t="n">
        <v>5</v>
      </c>
      <c r="V3806" s="2" t="n">
        <v>2</v>
      </c>
      <c r="W3806" s="2" t="n">
        <v>1</v>
      </c>
      <c r="X3806" s="2" t="n">
        <v>3</v>
      </c>
      <c r="Y3806" s="2" t="n">
        <v>2</v>
      </c>
      <c r="Z3806" s="2" t="n">
        <v>3</v>
      </c>
    </row>
    <row r="3807" customFormat="false" ht="15" hidden="false" customHeight="true" outlineLevel="0" collapsed="false">
      <c r="A3807" s="2" t="n">
        <v>35</v>
      </c>
      <c r="B3807" s="2" t="s">
        <v>26</v>
      </c>
      <c r="C3807" s="2" t="s">
        <v>27</v>
      </c>
      <c r="D3807" s="2" t="s">
        <v>28</v>
      </c>
      <c r="E3807" s="2" t="n">
        <v>12</v>
      </c>
      <c r="F3807" s="2" t="n">
        <v>2</v>
      </c>
      <c r="G3807" s="2" t="s">
        <v>29</v>
      </c>
      <c r="H3807" s="2" t="n">
        <v>3806</v>
      </c>
      <c r="I3807" s="2" t="s">
        <v>30</v>
      </c>
      <c r="J3807" s="2" t="n">
        <v>2</v>
      </c>
      <c r="K3807" s="2" t="s">
        <v>40</v>
      </c>
      <c r="L3807" s="2" t="s">
        <v>37</v>
      </c>
      <c r="M3807" s="2" t="n">
        <v>23180</v>
      </c>
      <c r="N3807" s="2" t="n">
        <v>3</v>
      </c>
      <c r="O3807" s="2" t="n">
        <v>19</v>
      </c>
      <c r="P3807" s="2" t="n">
        <v>0</v>
      </c>
      <c r="Q3807" s="2" t="n">
        <v>10</v>
      </c>
      <c r="R3807" s="2" t="n">
        <v>4</v>
      </c>
      <c r="S3807" s="2" t="n">
        <v>5</v>
      </c>
      <c r="T3807" s="2" t="n">
        <v>0</v>
      </c>
      <c r="U3807" s="2" t="n">
        <v>4</v>
      </c>
      <c r="V3807" s="2" t="n">
        <v>1</v>
      </c>
      <c r="W3807" s="2" t="n">
        <v>3</v>
      </c>
      <c r="X3807" s="2" t="n">
        <v>3</v>
      </c>
      <c r="Y3807" s="2" t="n">
        <v>4</v>
      </c>
      <c r="Z3807" s="2" t="n">
        <v>3</v>
      </c>
    </row>
    <row r="3808" customFormat="false" ht="15" hidden="false" customHeight="true" outlineLevel="0" collapsed="false">
      <c r="A3808" s="2" t="n">
        <v>39</v>
      </c>
      <c r="B3808" s="2" t="s">
        <v>26</v>
      </c>
      <c r="C3808" s="2" t="s">
        <v>27</v>
      </c>
      <c r="D3808" s="2" t="s">
        <v>28</v>
      </c>
      <c r="E3808" s="2" t="n">
        <v>2</v>
      </c>
      <c r="F3808" s="2" t="n">
        <v>2</v>
      </c>
      <c r="G3808" s="2" t="s">
        <v>43</v>
      </c>
      <c r="H3808" s="2" t="n">
        <v>3807</v>
      </c>
      <c r="I3808" s="2" t="s">
        <v>30</v>
      </c>
      <c r="J3808" s="2" t="n">
        <v>1</v>
      </c>
      <c r="K3808" s="2" t="s">
        <v>40</v>
      </c>
      <c r="L3808" s="2" t="s">
        <v>32</v>
      </c>
      <c r="M3808" s="2" t="n">
        <v>20080</v>
      </c>
      <c r="N3808" s="2" t="n">
        <v>2</v>
      </c>
      <c r="O3808" s="2" t="n">
        <v>12</v>
      </c>
      <c r="P3808" s="2" t="n">
        <v>0</v>
      </c>
      <c r="Q3808" s="2" t="n">
        <v>11</v>
      </c>
      <c r="R3808" s="2" t="n">
        <v>3</v>
      </c>
      <c r="S3808" s="2" t="n">
        <v>7</v>
      </c>
      <c r="T3808" s="2" t="n">
        <v>7</v>
      </c>
      <c r="U3808" s="2" t="n">
        <v>6</v>
      </c>
      <c r="V3808" s="2" t="n">
        <v>4</v>
      </c>
      <c r="W3808" s="2" t="n">
        <v>3</v>
      </c>
      <c r="X3808" s="2" t="n">
        <v>3</v>
      </c>
      <c r="Y3808" s="2" t="n">
        <v>3</v>
      </c>
      <c r="Z3808" s="2" t="n">
        <v>3</v>
      </c>
    </row>
    <row r="3809" customFormat="false" ht="15" hidden="false" customHeight="true" outlineLevel="0" collapsed="false">
      <c r="A3809" s="2" t="n">
        <v>29</v>
      </c>
      <c r="B3809" s="2" t="s">
        <v>26</v>
      </c>
      <c r="C3809" s="2" t="s">
        <v>34</v>
      </c>
      <c r="D3809" s="2" t="s">
        <v>35</v>
      </c>
      <c r="E3809" s="2" t="n">
        <v>5</v>
      </c>
      <c r="F3809" s="2" t="n">
        <v>1</v>
      </c>
      <c r="G3809" s="2" t="s">
        <v>43</v>
      </c>
      <c r="H3809" s="2" t="n">
        <v>3808</v>
      </c>
      <c r="I3809" s="2" t="s">
        <v>30</v>
      </c>
      <c r="J3809" s="2" t="n">
        <v>1</v>
      </c>
      <c r="K3809" s="2" t="s">
        <v>36</v>
      </c>
      <c r="L3809" s="2" t="s">
        <v>46</v>
      </c>
      <c r="M3809" s="2" t="n">
        <v>62440</v>
      </c>
      <c r="N3809" s="2" t="n">
        <v>1</v>
      </c>
      <c r="O3809" s="2" t="n">
        <v>22</v>
      </c>
      <c r="P3809" s="2" t="n">
        <v>0</v>
      </c>
      <c r="Q3809" s="2" t="n">
        <v>6</v>
      </c>
      <c r="R3809" s="2" t="n">
        <v>3</v>
      </c>
      <c r="S3809" s="2" t="n">
        <v>6</v>
      </c>
      <c r="T3809" s="2" t="n">
        <v>1</v>
      </c>
      <c r="U3809" s="2" t="n">
        <v>3</v>
      </c>
      <c r="V3809" s="2" t="n">
        <v>1</v>
      </c>
      <c r="W3809" s="2" t="n">
        <v>4</v>
      </c>
      <c r="X3809" s="2" t="n">
        <v>4</v>
      </c>
      <c r="Y3809" s="2" t="n">
        <v>3</v>
      </c>
      <c r="Z3809" s="2" t="n">
        <v>4</v>
      </c>
    </row>
    <row r="3810" customFormat="false" ht="15" hidden="false" customHeight="true" outlineLevel="0" collapsed="false">
      <c r="A3810" s="2" t="n">
        <v>50</v>
      </c>
      <c r="B3810" s="2" t="s">
        <v>26</v>
      </c>
      <c r="C3810" s="2" t="s">
        <v>27</v>
      </c>
      <c r="D3810" s="2" t="s">
        <v>35</v>
      </c>
      <c r="E3810" s="2" t="n">
        <v>4</v>
      </c>
      <c r="F3810" s="2" t="n">
        <v>2</v>
      </c>
      <c r="G3810" s="2" t="s">
        <v>43</v>
      </c>
      <c r="H3810" s="2" t="n">
        <v>3809</v>
      </c>
      <c r="I3810" s="2" t="s">
        <v>30</v>
      </c>
      <c r="J3810" s="2" t="n">
        <v>1</v>
      </c>
      <c r="K3810" s="2" t="s">
        <v>45</v>
      </c>
      <c r="L3810" s="2" t="s">
        <v>32</v>
      </c>
      <c r="M3810" s="2" t="n">
        <v>27990</v>
      </c>
      <c r="N3810" s="2" t="n">
        <v>4</v>
      </c>
      <c r="O3810" s="2" t="n">
        <v>12</v>
      </c>
      <c r="P3810" s="2" t="n">
        <v>1</v>
      </c>
      <c r="Q3810" s="2" t="n">
        <v>27</v>
      </c>
      <c r="R3810" s="2" t="n">
        <v>0</v>
      </c>
      <c r="S3810" s="2" t="n">
        <v>1</v>
      </c>
      <c r="T3810" s="2" t="n">
        <v>0</v>
      </c>
      <c r="U3810" s="2" t="n">
        <v>0</v>
      </c>
      <c r="V3810" s="2" t="n">
        <v>3</v>
      </c>
      <c r="W3810" s="2" t="n">
        <v>3</v>
      </c>
      <c r="X3810" s="2" t="n">
        <v>3</v>
      </c>
      <c r="Y3810" s="2" t="n">
        <v>1</v>
      </c>
      <c r="Z3810" s="2" t="n">
        <v>3</v>
      </c>
    </row>
    <row r="3811" customFormat="false" ht="15" hidden="false" customHeight="true" outlineLevel="0" collapsed="false">
      <c r="A3811" s="2" t="n">
        <v>23</v>
      </c>
      <c r="B3811" s="2" t="s">
        <v>26</v>
      </c>
      <c r="C3811" s="2" t="s">
        <v>27</v>
      </c>
      <c r="D3811" s="2" t="s">
        <v>35</v>
      </c>
      <c r="E3811" s="2" t="n">
        <v>7</v>
      </c>
      <c r="F3811" s="2" t="n">
        <v>2</v>
      </c>
      <c r="G3811" s="2" t="s">
        <v>29</v>
      </c>
      <c r="H3811" s="2" t="n">
        <v>3810</v>
      </c>
      <c r="I3811" s="2" t="s">
        <v>30</v>
      </c>
      <c r="J3811" s="2" t="n">
        <v>3</v>
      </c>
      <c r="K3811" s="2" t="s">
        <v>49</v>
      </c>
      <c r="L3811" s="2" t="s">
        <v>32</v>
      </c>
      <c r="M3811" s="2" t="n">
        <v>105520</v>
      </c>
      <c r="N3811" s="2" t="n">
        <v>2</v>
      </c>
      <c r="O3811" s="2" t="n">
        <v>11</v>
      </c>
      <c r="P3811" s="2" t="n">
        <v>0</v>
      </c>
      <c r="Q3811" s="2" t="n">
        <v>4</v>
      </c>
      <c r="R3811" s="2" t="n">
        <v>2</v>
      </c>
      <c r="S3811" s="2" t="n">
        <v>2</v>
      </c>
      <c r="T3811" s="2" t="n">
        <v>2</v>
      </c>
      <c r="U3811" s="2" t="n">
        <v>2</v>
      </c>
      <c r="V3811" s="2" t="n">
        <v>4</v>
      </c>
      <c r="W3811" s="2" t="n">
        <v>3</v>
      </c>
      <c r="X3811" s="2" t="n">
        <v>3</v>
      </c>
      <c r="Y3811" s="2" t="n">
        <v>3</v>
      </c>
      <c r="Z3811" s="2" t="n">
        <v>3</v>
      </c>
    </row>
    <row r="3812" customFormat="false" ht="15" hidden="false" customHeight="true" outlineLevel="0" collapsed="false">
      <c r="A3812" s="2" t="n">
        <v>36</v>
      </c>
      <c r="B3812" s="2" t="s">
        <v>26</v>
      </c>
      <c r="C3812" s="2" t="s">
        <v>34</v>
      </c>
      <c r="D3812" s="2" t="s">
        <v>28</v>
      </c>
      <c r="E3812" s="2" t="n">
        <v>21</v>
      </c>
      <c r="F3812" s="2" t="n">
        <v>3</v>
      </c>
      <c r="G3812" s="2" t="s">
        <v>29</v>
      </c>
      <c r="H3812" s="2" t="n">
        <v>3811</v>
      </c>
      <c r="I3812" s="2" t="s">
        <v>39</v>
      </c>
      <c r="J3812" s="2" t="n">
        <v>2</v>
      </c>
      <c r="K3812" s="2" t="s">
        <v>42</v>
      </c>
      <c r="L3812" s="2" t="s">
        <v>32</v>
      </c>
      <c r="M3812" s="2" t="n">
        <v>23290</v>
      </c>
      <c r="N3812" s="2" t="n">
        <v>3</v>
      </c>
      <c r="O3812" s="2" t="n">
        <v>15</v>
      </c>
      <c r="P3812" s="2" t="n">
        <v>0</v>
      </c>
      <c r="Q3812" s="2" t="n">
        <v>9</v>
      </c>
      <c r="R3812" s="2" t="n">
        <v>2</v>
      </c>
      <c r="S3812" s="2" t="n">
        <v>3</v>
      </c>
      <c r="T3812" s="2" t="n">
        <v>0</v>
      </c>
      <c r="U3812" s="2" t="n">
        <v>2</v>
      </c>
      <c r="V3812" s="2" t="n">
        <v>1</v>
      </c>
      <c r="W3812" s="2" t="n">
        <v>1</v>
      </c>
      <c r="X3812" s="2" t="n">
        <v>3</v>
      </c>
      <c r="Y3812" s="2" t="n">
        <v>3</v>
      </c>
      <c r="Z3812" s="2" t="n">
        <v>3</v>
      </c>
    </row>
    <row r="3813" customFormat="false" ht="15" hidden="false" customHeight="true" outlineLevel="0" collapsed="false">
      <c r="A3813" s="2" t="n">
        <v>42</v>
      </c>
      <c r="B3813" s="2" t="s">
        <v>26</v>
      </c>
      <c r="C3813" s="2" t="s">
        <v>27</v>
      </c>
      <c r="D3813" s="2" t="s">
        <v>35</v>
      </c>
      <c r="E3813" s="2" t="n">
        <v>8</v>
      </c>
      <c r="F3813" s="2" t="n">
        <v>2</v>
      </c>
      <c r="G3813" s="2" t="s">
        <v>29</v>
      </c>
      <c r="H3813" s="2" t="n">
        <v>3812</v>
      </c>
      <c r="I3813" s="2" t="s">
        <v>30</v>
      </c>
      <c r="J3813" s="2" t="n">
        <v>5</v>
      </c>
      <c r="K3813" s="2" t="s">
        <v>49</v>
      </c>
      <c r="L3813" s="2" t="s">
        <v>37</v>
      </c>
      <c r="M3813" s="2" t="n">
        <v>40140</v>
      </c>
      <c r="N3813" s="2" t="n">
        <v>8</v>
      </c>
      <c r="O3813" s="2" t="n">
        <v>13</v>
      </c>
      <c r="P3813" s="2" t="n">
        <v>1</v>
      </c>
      <c r="Q3813" s="2" t="n">
        <v>24</v>
      </c>
      <c r="R3813" s="2" t="n">
        <v>3</v>
      </c>
      <c r="S3813" s="2" t="n">
        <v>1</v>
      </c>
      <c r="T3813" s="2" t="n">
        <v>0</v>
      </c>
      <c r="U3813" s="2" t="n">
        <v>1</v>
      </c>
      <c r="V3813" s="2" t="n">
        <v>4</v>
      </c>
      <c r="W3813" s="2" t="n">
        <v>4</v>
      </c>
      <c r="X3813" s="2" t="n">
        <v>3</v>
      </c>
      <c r="Y3813" s="2" t="n">
        <v>3</v>
      </c>
      <c r="Z3813" s="2" t="n">
        <v>3</v>
      </c>
    </row>
    <row r="3814" customFormat="false" ht="15" hidden="false" customHeight="true" outlineLevel="0" collapsed="false">
      <c r="A3814" s="2" t="n">
        <v>35</v>
      </c>
      <c r="B3814" s="2" t="s">
        <v>26</v>
      </c>
      <c r="C3814" s="2" t="s">
        <v>27</v>
      </c>
      <c r="D3814" s="2" t="s">
        <v>28</v>
      </c>
      <c r="E3814" s="2" t="n">
        <v>4</v>
      </c>
      <c r="F3814" s="2" t="n">
        <v>3</v>
      </c>
      <c r="G3814" s="2" t="s">
        <v>43</v>
      </c>
      <c r="H3814" s="2" t="n">
        <v>3813</v>
      </c>
      <c r="I3814" s="2" t="s">
        <v>30</v>
      </c>
      <c r="J3814" s="2" t="n">
        <v>2</v>
      </c>
      <c r="K3814" s="2" t="s">
        <v>45</v>
      </c>
      <c r="L3814" s="2" t="s">
        <v>32</v>
      </c>
      <c r="M3814" s="2" t="n">
        <v>74030</v>
      </c>
      <c r="N3814" s="2" t="n">
        <v>1</v>
      </c>
      <c r="O3814" s="2" t="n">
        <v>12</v>
      </c>
      <c r="P3814" s="2" t="n">
        <v>1</v>
      </c>
      <c r="Q3814" s="2" t="n">
        <v>10</v>
      </c>
      <c r="R3814" s="2" t="n">
        <v>4</v>
      </c>
      <c r="S3814" s="2" t="n">
        <v>10</v>
      </c>
      <c r="T3814" s="2" t="n">
        <v>6</v>
      </c>
      <c r="U3814" s="2" t="n">
        <v>8</v>
      </c>
      <c r="V3814" s="2" t="n">
        <v>2</v>
      </c>
      <c r="W3814" s="2" t="n">
        <v>3</v>
      </c>
      <c r="X3814" s="2" t="n">
        <v>2</v>
      </c>
      <c r="Y3814" s="2" t="n">
        <v>3</v>
      </c>
      <c r="Z3814" s="2" t="n">
        <v>3</v>
      </c>
    </row>
    <row r="3815" customFormat="false" ht="15" hidden="false" customHeight="true" outlineLevel="0" collapsed="false">
      <c r="A3815" s="2" t="n">
        <v>34</v>
      </c>
      <c r="B3815" s="2" t="s">
        <v>26</v>
      </c>
      <c r="C3815" s="2" t="s">
        <v>34</v>
      </c>
      <c r="D3815" s="2" t="s">
        <v>35</v>
      </c>
      <c r="E3815" s="2" t="n">
        <v>25</v>
      </c>
      <c r="F3815" s="2" t="n">
        <v>1</v>
      </c>
      <c r="G3815" s="2" t="s">
        <v>29</v>
      </c>
      <c r="H3815" s="2" t="n">
        <v>3814</v>
      </c>
      <c r="I3815" s="2" t="s">
        <v>30</v>
      </c>
      <c r="J3815" s="2" t="n">
        <v>1</v>
      </c>
      <c r="K3815" s="2" t="s">
        <v>49</v>
      </c>
      <c r="L3815" s="2" t="s">
        <v>32</v>
      </c>
      <c r="M3815" s="2" t="n">
        <v>22590</v>
      </c>
      <c r="N3815" s="2" t="n">
        <v>1</v>
      </c>
      <c r="O3815" s="2" t="n">
        <v>14</v>
      </c>
      <c r="P3815" s="2" t="n">
        <v>0</v>
      </c>
      <c r="Q3815" s="2" t="n">
        <v>8</v>
      </c>
      <c r="R3815" s="2" t="n">
        <v>2</v>
      </c>
      <c r="S3815" s="2" t="n">
        <v>8</v>
      </c>
      <c r="T3815" s="2" t="n">
        <v>7</v>
      </c>
      <c r="U3815" s="2" t="n">
        <v>7</v>
      </c>
      <c r="V3815" s="2" t="n">
        <v>4</v>
      </c>
      <c r="W3815" s="2" t="n">
        <v>3</v>
      </c>
      <c r="X3815" s="2" t="n">
        <v>2</v>
      </c>
      <c r="Y3815" s="2" t="n">
        <v>3</v>
      </c>
      <c r="Z3815" s="2" t="n">
        <v>3</v>
      </c>
    </row>
    <row r="3816" customFormat="false" ht="15" hidden="false" customHeight="true" outlineLevel="0" collapsed="false">
      <c r="A3816" s="2" t="n">
        <v>40</v>
      </c>
      <c r="B3816" s="2" t="s">
        <v>26</v>
      </c>
      <c r="C3816" s="2" t="s">
        <v>27</v>
      </c>
      <c r="D3816" s="2" t="s">
        <v>35</v>
      </c>
      <c r="E3816" s="2" t="n">
        <v>1</v>
      </c>
      <c r="F3816" s="2" t="n">
        <v>4</v>
      </c>
      <c r="G3816" s="2" t="s">
        <v>29</v>
      </c>
      <c r="H3816" s="2" t="n">
        <v>3815</v>
      </c>
      <c r="I3816" s="2" t="s">
        <v>39</v>
      </c>
      <c r="J3816" s="2" t="n">
        <v>2</v>
      </c>
      <c r="K3816" s="2" t="s">
        <v>45</v>
      </c>
      <c r="L3816" s="2" t="s">
        <v>32</v>
      </c>
      <c r="M3816" s="2" t="n">
        <v>69320</v>
      </c>
      <c r="N3816" s="2" t="n">
        <v>1</v>
      </c>
      <c r="O3816" s="2" t="n">
        <v>13</v>
      </c>
      <c r="P3816" s="2" t="n">
        <v>0</v>
      </c>
      <c r="Q3816" s="2" t="n">
        <v>5</v>
      </c>
      <c r="R3816" s="2" t="n">
        <v>5</v>
      </c>
      <c r="S3816" s="2" t="n">
        <v>5</v>
      </c>
      <c r="T3816" s="2" t="n">
        <v>1</v>
      </c>
      <c r="U3816" s="2" t="n">
        <v>2</v>
      </c>
      <c r="V3816" s="2" t="n">
        <v>4</v>
      </c>
      <c r="W3816" s="2" t="n">
        <v>1</v>
      </c>
      <c r="X3816" s="2" t="n">
        <v>3</v>
      </c>
      <c r="Y3816" s="2" t="n">
        <v>3</v>
      </c>
      <c r="Z3816" s="2" t="n">
        <v>3</v>
      </c>
    </row>
    <row r="3817" customFormat="false" ht="15" hidden="false" customHeight="true" outlineLevel="0" collapsed="false">
      <c r="A3817" s="2" t="n">
        <v>43</v>
      </c>
      <c r="B3817" s="2" t="s">
        <v>26</v>
      </c>
      <c r="C3817" s="2" t="s">
        <v>27</v>
      </c>
      <c r="D3817" s="2" t="s">
        <v>35</v>
      </c>
      <c r="E3817" s="2" t="n">
        <v>1</v>
      </c>
      <c r="F3817" s="2" t="n">
        <v>1</v>
      </c>
      <c r="G3817" s="2" t="s">
        <v>38</v>
      </c>
      <c r="H3817" s="2" t="n">
        <v>3816</v>
      </c>
      <c r="I3817" s="2" t="s">
        <v>39</v>
      </c>
      <c r="J3817" s="2" t="n">
        <v>1</v>
      </c>
      <c r="K3817" s="2" t="s">
        <v>49</v>
      </c>
      <c r="L3817" s="2" t="s">
        <v>46</v>
      </c>
      <c r="M3817" s="2" t="n">
        <v>46780</v>
      </c>
      <c r="N3817" s="2" t="n">
        <v>5</v>
      </c>
      <c r="O3817" s="2" t="n">
        <v>25</v>
      </c>
      <c r="P3817" s="2" t="n">
        <v>1</v>
      </c>
      <c r="Q3817" s="2" t="n">
        <v>8</v>
      </c>
      <c r="R3817" s="2" t="n">
        <v>0</v>
      </c>
      <c r="S3817" s="2" t="n">
        <v>6</v>
      </c>
      <c r="T3817" s="2" t="n">
        <v>0</v>
      </c>
      <c r="U3817" s="2" t="n">
        <v>2</v>
      </c>
      <c r="V3817" s="2" t="n">
        <v>4</v>
      </c>
      <c r="W3817" s="2" t="n">
        <v>2</v>
      </c>
      <c r="X3817" s="2" t="n">
        <v>3</v>
      </c>
      <c r="Y3817" s="2" t="n">
        <v>4</v>
      </c>
      <c r="Z3817" s="2" t="n">
        <v>4</v>
      </c>
    </row>
    <row r="3818" customFormat="false" ht="15" hidden="false" customHeight="true" outlineLevel="0" collapsed="false">
      <c r="A3818" s="2" t="n">
        <v>35</v>
      </c>
      <c r="B3818" s="2" t="s">
        <v>26</v>
      </c>
      <c r="C3818" s="2" t="s">
        <v>27</v>
      </c>
      <c r="D3818" s="2" t="s">
        <v>28</v>
      </c>
      <c r="E3818" s="2" t="n">
        <v>6</v>
      </c>
      <c r="F3818" s="2" t="n">
        <v>3</v>
      </c>
      <c r="G3818" s="2" t="s">
        <v>50</v>
      </c>
      <c r="H3818" s="2" t="n">
        <v>3817</v>
      </c>
      <c r="I3818" s="2" t="s">
        <v>30</v>
      </c>
      <c r="J3818" s="2" t="n">
        <v>3</v>
      </c>
      <c r="K3818" s="2" t="s">
        <v>48</v>
      </c>
      <c r="L3818" s="2" t="s">
        <v>32</v>
      </c>
      <c r="M3818" s="2" t="n">
        <v>135820</v>
      </c>
      <c r="N3818" s="2" t="n">
        <v>1</v>
      </c>
      <c r="O3818" s="2" t="n">
        <v>17</v>
      </c>
      <c r="P3818" s="2" t="n">
        <v>1</v>
      </c>
      <c r="Q3818" s="2" t="n">
        <v>1</v>
      </c>
      <c r="R3818" s="2" t="n">
        <v>3</v>
      </c>
      <c r="S3818" s="2" t="n">
        <v>1</v>
      </c>
      <c r="T3818" s="2" t="n">
        <v>0</v>
      </c>
      <c r="U3818" s="2" t="n">
        <v>1</v>
      </c>
      <c r="V3818" s="2" t="n">
        <v>3</v>
      </c>
      <c r="W3818" s="2" t="n">
        <v>4</v>
      </c>
      <c r="X3818" s="2" t="n">
        <v>2</v>
      </c>
      <c r="Y3818" s="2" t="n">
        <v>2</v>
      </c>
      <c r="Z3818" s="2" t="n">
        <v>3</v>
      </c>
    </row>
    <row r="3819" customFormat="false" ht="15" hidden="false" customHeight="true" outlineLevel="0" collapsed="false">
      <c r="A3819" s="2" t="n">
        <v>46</v>
      </c>
      <c r="B3819" s="2" t="s">
        <v>26</v>
      </c>
      <c r="C3819" s="2" t="s">
        <v>27</v>
      </c>
      <c r="D3819" s="2" t="s">
        <v>35</v>
      </c>
      <c r="E3819" s="2" t="n">
        <v>12</v>
      </c>
      <c r="F3819" s="2" t="n">
        <v>4</v>
      </c>
      <c r="G3819" s="2" t="s">
        <v>51</v>
      </c>
      <c r="H3819" s="2" t="n">
        <v>3818</v>
      </c>
      <c r="I3819" s="2" t="s">
        <v>39</v>
      </c>
      <c r="J3819" s="2" t="n">
        <v>1</v>
      </c>
      <c r="K3819" s="2" t="s">
        <v>45</v>
      </c>
      <c r="L3819" s="2" t="s">
        <v>37</v>
      </c>
      <c r="M3819" s="2" t="n">
        <v>23320</v>
      </c>
      <c r="N3819" s="2" t="n">
        <v>1</v>
      </c>
      <c r="O3819" s="2" t="n">
        <v>11</v>
      </c>
      <c r="P3819" s="2" t="n">
        <v>0</v>
      </c>
      <c r="Q3819" s="2" t="n">
        <v>27</v>
      </c>
      <c r="R3819" s="2" t="n">
        <v>2</v>
      </c>
      <c r="S3819" s="2" t="n">
        <v>26</v>
      </c>
      <c r="T3819" s="2" t="n">
        <v>0</v>
      </c>
      <c r="U3819" s="2" t="n">
        <v>12</v>
      </c>
      <c r="V3819" s="2" t="n">
        <v>4</v>
      </c>
      <c r="W3819" s="2" t="n">
        <v>1</v>
      </c>
      <c r="X3819" s="2" t="n">
        <v>1</v>
      </c>
      <c r="Y3819" s="2" t="n">
        <v>3</v>
      </c>
      <c r="Z3819" s="2" t="n">
        <v>3</v>
      </c>
    </row>
    <row r="3820" customFormat="false" ht="15" hidden="false" customHeight="true" outlineLevel="0" collapsed="false">
      <c r="A3820" s="2" t="n">
        <v>28</v>
      </c>
      <c r="B3820" s="2" t="s">
        <v>33</v>
      </c>
      <c r="C3820" s="2" t="s">
        <v>27</v>
      </c>
      <c r="D3820" s="2" t="s">
        <v>42</v>
      </c>
      <c r="E3820" s="2" t="n">
        <v>1</v>
      </c>
      <c r="F3820" s="2" t="n">
        <v>3</v>
      </c>
      <c r="G3820" s="2" t="s">
        <v>43</v>
      </c>
      <c r="H3820" s="2" t="n">
        <v>3819</v>
      </c>
      <c r="I3820" s="2" t="s">
        <v>30</v>
      </c>
      <c r="J3820" s="2" t="n">
        <v>2</v>
      </c>
      <c r="K3820" s="2" t="s">
        <v>45</v>
      </c>
      <c r="L3820" s="2" t="s">
        <v>32</v>
      </c>
      <c r="M3820" s="2" t="n">
        <v>24130</v>
      </c>
      <c r="N3820" s="2" t="n">
        <v>1</v>
      </c>
      <c r="O3820" s="2" t="n">
        <v>16</v>
      </c>
      <c r="P3820" s="2" t="n">
        <v>1</v>
      </c>
      <c r="Q3820" s="2"/>
      <c r="R3820" s="2" t="n">
        <v>2</v>
      </c>
      <c r="S3820" s="2" t="n">
        <v>1</v>
      </c>
      <c r="T3820" s="2" t="n">
        <v>0</v>
      </c>
      <c r="U3820" s="2" t="n">
        <v>0</v>
      </c>
      <c r="V3820" s="2" t="n">
        <v>3</v>
      </c>
      <c r="W3820" s="2" t="n">
        <v>2</v>
      </c>
      <c r="X3820" s="2" t="n">
        <v>3</v>
      </c>
      <c r="Y3820" s="2" t="n">
        <v>3</v>
      </c>
      <c r="Z3820" s="2" t="n">
        <v>3</v>
      </c>
    </row>
    <row r="3821" customFormat="false" ht="15" hidden="false" customHeight="true" outlineLevel="0" collapsed="false">
      <c r="A3821" s="2" t="n">
        <v>22</v>
      </c>
      <c r="B3821" s="2" t="s">
        <v>26</v>
      </c>
      <c r="C3821" s="2" t="s">
        <v>41</v>
      </c>
      <c r="D3821" s="2" t="s">
        <v>28</v>
      </c>
      <c r="E3821" s="2" t="n">
        <v>17</v>
      </c>
      <c r="F3821" s="2" t="n">
        <v>2</v>
      </c>
      <c r="G3821" s="2" t="s">
        <v>50</v>
      </c>
      <c r="H3821" s="2" t="n">
        <v>3820</v>
      </c>
      <c r="I3821" s="2" t="s">
        <v>39</v>
      </c>
      <c r="J3821" s="2" t="n">
        <v>3</v>
      </c>
      <c r="K3821" s="2" t="s">
        <v>40</v>
      </c>
      <c r="L3821" s="2" t="s">
        <v>32</v>
      </c>
      <c r="M3821" s="2" t="n">
        <v>97050</v>
      </c>
      <c r="N3821" s="2" t="n">
        <v>1</v>
      </c>
      <c r="O3821" s="2" t="n">
        <v>18</v>
      </c>
      <c r="P3821" s="2" t="n">
        <v>2</v>
      </c>
      <c r="Q3821" s="2" t="n">
        <v>4</v>
      </c>
      <c r="R3821" s="2" t="n">
        <v>3</v>
      </c>
      <c r="S3821" s="2" t="n">
        <v>4</v>
      </c>
      <c r="T3821" s="2" t="n">
        <v>1</v>
      </c>
      <c r="U3821" s="2" t="n">
        <v>3</v>
      </c>
      <c r="V3821" s="2" t="n">
        <v>2</v>
      </c>
      <c r="W3821" s="2" t="n">
        <v>3</v>
      </c>
      <c r="X3821" s="2" t="n">
        <v>2</v>
      </c>
      <c r="Y3821" s="2" t="n">
        <v>2</v>
      </c>
      <c r="Z3821" s="2" t="n">
        <v>3</v>
      </c>
    </row>
    <row r="3822" customFormat="false" ht="15" hidden="false" customHeight="true" outlineLevel="0" collapsed="false">
      <c r="A3822" s="2" t="n">
        <v>50</v>
      </c>
      <c r="B3822" s="2" t="s">
        <v>26</v>
      </c>
      <c r="C3822" s="2" t="s">
        <v>34</v>
      </c>
      <c r="D3822" s="2" t="s">
        <v>35</v>
      </c>
      <c r="E3822" s="2" t="n">
        <v>3</v>
      </c>
      <c r="F3822" s="2" t="n">
        <v>3</v>
      </c>
      <c r="G3822" s="2" t="s">
        <v>38</v>
      </c>
      <c r="H3822" s="2" t="n">
        <v>3821</v>
      </c>
      <c r="I3822" s="2" t="s">
        <v>39</v>
      </c>
      <c r="J3822" s="2" t="n">
        <v>2</v>
      </c>
      <c r="K3822" s="2" t="s">
        <v>36</v>
      </c>
      <c r="L3822" s="2" t="s">
        <v>32</v>
      </c>
      <c r="M3822" s="2" t="n">
        <v>42940</v>
      </c>
      <c r="N3822" s="2" t="n">
        <v>2</v>
      </c>
      <c r="O3822" s="2" t="n">
        <v>20</v>
      </c>
      <c r="P3822" s="2" t="n">
        <v>0</v>
      </c>
      <c r="Q3822" s="2" t="n">
        <v>32</v>
      </c>
      <c r="R3822" s="2" t="n">
        <v>2</v>
      </c>
      <c r="S3822" s="2" t="n">
        <v>30</v>
      </c>
      <c r="T3822" s="2" t="n">
        <v>12</v>
      </c>
      <c r="U3822" s="2" t="n">
        <v>13</v>
      </c>
      <c r="V3822" s="2" t="n">
        <v>2</v>
      </c>
      <c r="W3822" s="2" t="n">
        <v>3</v>
      </c>
      <c r="X3822" s="2" t="n">
        <v>3</v>
      </c>
      <c r="Y3822" s="2" t="n">
        <v>2</v>
      </c>
      <c r="Z3822" s="2" t="n">
        <v>4</v>
      </c>
    </row>
    <row r="3823" customFormat="false" ht="15" hidden="false" customHeight="true" outlineLevel="0" collapsed="false">
      <c r="A3823" s="2" t="n">
        <v>32</v>
      </c>
      <c r="B3823" s="2" t="s">
        <v>26</v>
      </c>
      <c r="C3823" s="2" t="s">
        <v>27</v>
      </c>
      <c r="D3823" s="2" t="s">
        <v>35</v>
      </c>
      <c r="E3823" s="2" t="n">
        <v>3</v>
      </c>
      <c r="F3823" s="2" t="n">
        <v>2</v>
      </c>
      <c r="G3823" s="2" t="s">
        <v>29</v>
      </c>
      <c r="H3823" s="2" t="n">
        <v>3822</v>
      </c>
      <c r="I3823" s="2" t="s">
        <v>39</v>
      </c>
      <c r="J3823" s="2" t="n">
        <v>3</v>
      </c>
      <c r="K3823" s="2" t="s">
        <v>36</v>
      </c>
      <c r="L3823" s="2" t="s">
        <v>32</v>
      </c>
      <c r="M3823" s="2" t="n">
        <v>47210</v>
      </c>
      <c r="N3823" s="2" t="n">
        <v>3</v>
      </c>
      <c r="O3823" s="2" t="n">
        <v>14</v>
      </c>
      <c r="P3823" s="2" t="n">
        <v>1</v>
      </c>
      <c r="Q3823" s="2" t="n">
        <v>6</v>
      </c>
      <c r="R3823" s="2" t="n">
        <v>3</v>
      </c>
      <c r="S3823" s="2" t="n">
        <v>3</v>
      </c>
      <c r="T3823" s="2" t="n">
        <v>0</v>
      </c>
      <c r="U3823" s="2" t="n">
        <v>2</v>
      </c>
      <c r="V3823" s="2" t="n">
        <v>2</v>
      </c>
      <c r="W3823" s="2" t="n">
        <v>4</v>
      </c>
      <c r="X3823" s="2" t="n">
        <v>3</v>
      </c>
      <c r="Y3823" s="2" t="n">
        <v>3</v>
      </c>
      <c r="Z3823" s="2" t="n">
        <v>3</v>
      </c>
    </row>
    <row r="3824" customFormat="false" ht="15" hidden="false" customHeight="true" outlineLevel="0" collapsed="false">
      <c r="A3824" s="2" t="n">
        <v>44</v>
      </c>
      <c r="B3824" s="2" t="s">
        <v>26</v>
      </c>
      <c r="C3824" s="2" t="s">
        <v>27</v>
      </c>
      <c r="D3824" s="2" t="s">
        <v>35</v>
      </c>
      <c r="E3824" s="2" t="n">
        <v>10</v>
      </c>
      <c r="F3824" s="2" t="n">
        <v>3</v>
      </c>
      <c r="G3824" s="2" t="s">
        <v>51</v>
      </c>
      <c r="H3824" s="2" t="n">
        <v>3823</v>
      </c>
      <c r="I3824" s="2" t="s">
        <v>39</v>
      </c>
      <c r="J3824" s="2" t="n">
        <v>3</v>
      </c>
      <c r="K3824" s="2" t="s">
        <v>49</v>
      </c>
      <c r="L3824" s="2" t="s">
        <v>46</v>
      </c>
      <c r="M3824" s="2" t="n">
        <v>25190</v>
      </c>
      <c r="N3824" s="2" t="n">
        <v>0</v>
      </c>
      <c r="O3824" s="2" t="n">
        <v>21</v>
      </c>
      <c r="P3824" s="2" t="n">
        <v>2</v>
      </c>
      <c r="Q3824" s="2" t="n">
        <v>23</v>
      </c>
      <c r="R3824" s="2" t="n">
        <v>2</v>
      </c>
      <c r="S3824" s="2" t="n">
        <v>22</v>
      </c>
      <c r="T3824" s="2" t="n">
        <v>1</v>
      </c>
      <c r="U3824" s="2" t="n">
        <v>10</v>
      </c>
      <c r="V3824" s="2" t="n">
        <v>2</v>
      </c>
      <c r="W3824" s="2" t="n">
        <v>4</v>
      </c>
      <c r="X3824" s="2" t="n">
        <v>2</v>
      </c>
      <c r="Y3824" s="2" t="n">
        <v>3</v>
      </c>
      <c r="Z3824" s="2" t="n">
        <v>4</v>
      </c>
    </row>
    <row r="3825" customFormat="false" ht="15" hidden="false" customHeight="true" outlineLevel="0" collapsed="false">
      <c r="A3825" s="2" t="n">
        <v>30</v>
      </c>
      <c r="B3825" s="2" t="s">
        <v>26</v>
      </c>
      <c r="C3825" s="2" t="s">
        <v>27</v>
      </c>
      <c r="D3825" s="2" t="s">
        <v>35</v>
      </c>
      <c r="E3825" s="2" t="n">
        <v>4</v>
      </c>
      <c r="F3825" s="2" t="n">
        <v>3</v>
      </c>
      <c r="G3825" s="2" t="s">
        <v>43</v>
      </c>
      <c r="H3825" s="2" t="n">
        <v>3824</v>
      </c>
      <c r="I3825" s="2" t="s">
        <v>30</v>
      </c>
      <c r="J3825" s="2" t="n">
        <v>1</v>
      </c>
      <c r="K3825" s="2" t="s">
        <v>44</v>
      </c>
      <c r="L3825" s="2" t="s">
        <v>32</v>
      </c>
      <c r="M3825" s="2" t="n">
        <v>21210</v>
      </c>
      <c r="N3825" s="2" t="n">
        <v>1</v>
      </c>
      <c r="O3825" s="2" t="n">
        <v>13</v>
      </c>
      <c r="P3825" s="2" t="n">
        <v>1</v>
      </c>
      <c r="Q3825" s="2" t="n">
        <v>6</v>
      </c>
      <c r="R3825" s="2" t="n">
        <v>2</v>
      </c>
      <c r="S3825" s="2" t="n">
        <v>6</v>
      </c>
      <c r="T3825" s="2" t="n">
        <v>1</v>
      </c>
      <c r="U3825" s="2" t="n">
        <v>1</v>
      </c>
      <c r="V3825" s="2" t="n">
        <v>2</v>
      </c>
      <c r="W3825" s="2" t="n">
        <v>2</v>
      </c>
      <c r="X3825" s="2" t="n">
        <v>2</v>
      </c>
      <c r="Y3825" s="2" t="n">
        <v>3</v>
      </c>
      <c r="Z3825" s="2" t="n">
        <v>3</v>
      </c>
    </row>
    <row r="3826" customFormat="false" ht="15" hidden="false" customHeight="true" outlineLevel="0" collapsed="false">
      <c r="A3826" s="2" t="n">
        <v>45</v>
      </c>
      <c r="B3826" s="2" t="s">
        <v>26</v>
      </c>
      <c r="C3826" s="2" t="s">
        <v>27</v>
      </c>
      <c r="D3826" s="2" t="s">
        <v>28</v>
      </c>
      <c r="E3826" s="2" t="n">
        <v>29</v>
      </c>
      <c r="F3826" s="2" t="n">
        <v>2</v>
      </c>
      <c r="G3826" s="2" t="s">
        <v>51</v>
      </c>
      <c r="H3826" s="2" t="n">
        <v>3825</v>
      </c>
      <c r="I3826" s="2" t="s">
        <v>30</v>
      </c>
      <c r="J3826" s="2" t="n">
        <v>2</v>
      </c>
      <c r="K3826" s="2" t="s">
        <v>36</v>
      </c>
      <c r="L3826" s="2" t="s">
        <v>37</v>
      </c>
      <c r="M3826" s="2" t="n">
        <v>29730</v>
      </c>
      <c r="N3826" s="2" t="n">
        <v>1</v>
      </c>
      <c r="O3826" s="2" t="n">
        <v>12</v>
      </c>
      <c r="P3826" s="2" t="n">
        <v>0</v>
      </c>
      <c r="Q3826" s="2" t="n">
        <v>10</v>
      </c>
      <c r="R3826" s="2" t="n">
        <v>2</v>
      </c>
      <c r="S3826" s="2" t="n">
        <v>10</v>
      </c>
      <c r="T3826" s="2" t="n">
        <v>1</v>
      </c>
      <c r="U3826" s="2" t="n">
        <v>4</v>
      </c>
      <c r="V3826" s="2" t="n">
        <v>3</v>
      </c>
      <c r="W3826" s="2" t="n">
        <v>1</v>
      </c>
      <c r="X3826" s="2" t="n">
        <v>3</v>
      </c>
      <c r="Y3826" s="2" t="n">
        <v>3</v>
      </c>
      <c r="Z3826" s="2" t="n">
        <v>3</v>
      </c>
    </row>
    <row r="3827" customFormat="false" ht="15" hidden="false" customHeight="true" outlineLevel="0" collapsed="false">
      <c r="A3827" s="2" t="n">
        <v>45</v>
      </c>
      <c r="B3827" s="2" t="s">
        <v>26</v>
      </c>
      <c r="C3827" s="2" t="s">
        <v>41</v>
      </c>
      <c r="D3827" s="2" t="s">
        <v>28</v>
      </c>
      <c r="E3827" s="2" t="n">
        <v>2</v>
      </c>
      <c r="F3827" s="2" t="n">
        <v>4</v>
      </c>
      <c r="G3827" s="2" t="s">
        <v>29</v>
      </c>
      <c r="H3827" s="2" t="n">
        <v>3826</v>
      </c>
      <c r="I3827" s="2" t="s">
        <v>39</v>
      </c>
      <c r="J3827" s="2" t="n">
        <v>2</v>
      </c>
      <c r="K3827" s="2" t="s">
        <v>47</v>
      </c>
      <c r="L3827" s="2" t="s">
        <v>32</v>
      </c>
      <c r="M3827" s="2" t="n">
        <v>58550</v>
      </c>
      <c r="N3827" s="2" t="n">
        <v>1</v>
      </c>
      <c r="O3827" s="2" t="n">
        <v>14</v>
      </c>
      <c r="P3827" s="2" t="n">
        <v>1</v>
      </c>
      <c r="Q3827" s="2" t="n">
        <v>10</v>
      </c>
      <c r="R3827" s="2" t="n">
        <v>3</v>
      </c>
      <c r="S3827" s="2" t="n">
        <v>10</v>
      </c>
      <c r="T3827" s="2" t="n">
        <v>4</v>
      </c>
      <c r="U3827" s="2" t="n">
        <v>5</v>
      </c>
      <c r="V3827" s="2" t="n">
        <v>1</v>
      </c>
      <c r="W3827" s="2" t="n">
        <v>1</v>
      </c>
      <c r="X3827" s="2" t="n">
        <v>3</v>
      </c>
      <c r="Y3827" s="2" t="n">
        <v>2</v>
      </c>
      <c r="Z3827" s="2" t="n">
        <v>3</v>
      </c>
    </row>
    <row r="3828" customFormat="false" ht="15" hidden="false" customHeight="true" outlineLevel="0" collapsed="false">
      <c r="A3828" s="2" t="n">
        <v>31</v>
      </c>
      <c r="B3828" s="2" t="s">
        <v>26</v>
      </c>
      <c r="C3828" s="2" t="s">
        <v>34</v>
      </c>
      <c r="D3828" s="2" t="s">
        <v>35</v>
      </c>
      <c r="E3828" s="2" t="n">
        <v>7</v>
      </c>
      <c r="F3828" s="2" t="n">
        <v>3</v>
      </c>
      <c r="G3828" s="2" t="s">
        <v>43</v>
      </c>
      <c r="H3828" s="2" t="n">
        <v>3827</v>
      </c>
      <c r="I3828" s="2" t="s">
        <v>39</v>
      </c>
      <c r="J3828" s="2" t="n">
        <v>2</v>
      </c>
      <c r="K3828" s="2" t="s">
        <v>36</v>
      </c>
      <c r="L3828" s="2" t="s">
        <v>37</v>
      </c>
      <c r="M3828" s="2" t="n">
        <v>36170</v>
      </c>
      <c r="N3828" s="2" t="n">
        <v>7</v>
      </c>
      <c r="O3828" s="2" t="n">
        <v>21</v>
      </c>
      <c r="P3828" s="2" t="n">
        <v>1</v>
      </c>
      <c r="Q3828" s="2" t="n">
        <v>10</v>
      </c>
      <c r="R3828" s="2" t="n">
        <v>5</v>
      </c>
      <c r="S3828" s="2" t="n">
        <v>5</v>
      </c>
      <c r="T3828" s="2" t="n">
        <v>0</v>
      </c>
      <c r="U3828" s="2" t="n">
        <v>3</v>
      </c>
      <c r="V3828" s="2" t="n">
        <v>4</v>
      </c>
      <c r="W3828" s="2" t="n">
        <v>1</v>
      </c>
      <c r="X3828" s="2" t="n">
        <v>3</v>
      </c>
      <c r="Y3828" s="2" t="n">
        <v>3</v>
      </c>
      <c r="Z3828" s="2" t="n">
        <v>4</v>
      </c>
    </row>
    <row r="3829" customFormat="false" ht="15" hidden="false" customHeight="true" outlineLevel="0" collapsed="false">
      <c r="A3829" s="2" t="n">
        <v>36</v>
      </c>
      <c r="B3829" s="2" t="s">
        <v>26</v>
      </c>
      <c r="C3829" s="2" t="s">
        <v>27</v>
      </c>
      <c r="D3829" s="2" t="s">
        <v>35</v>
      </c>
      <c r="E3829" s="2" t="n">
        <v>18</v>
      </c>
      <c r="F3829" s="2" t="n">
        <v>1</v>
      </c>
      <c r="G3829" s="2" t="s">
        <v>43</v>
      </c>
      <c r="H3829" s="2" t="n">
        <v>3828</v>
      </c>
      <c r="I3829" s="2" t="s">
        <v>39</v>
      </c>
      <c r="J3829" s="2" t="n">
        <v>2</v>
      </c>
      <c r="K3829" s="2" t="s">
        <v>47</v>
      </c>
      <c r="L3829" s="2" t="s">
        <v>32</v>
      </c>
      <c r="M3829" s="2" t="n">
        <v>67250</v>
      </c>
      <c r="N3829" s="2" t="n">
        <v>9</v>
      </c>
      <c r="O3829" s="2" t="n">
        <v>17</v>
      </c>
      <c r="P3829" s="2" t="n">
        <v>1</v>
      </c>
      <c r="Q3829" s="2" t="n">
        <v>7</v>
      </c>
      <c r="R3829" s="2" t="n">
        <v>3</v>
      </c>
      <c r="S3829" s="2" t="n">
        <v>3</v>
      </c>
      <c r="T3829" s="2" t="n">
        <v>1</v>
      </c>
      <c r="U3829" s="2" t="n">
        <v>1</v>
      </c>
      <c r="V3829" s="2" t="n">
        <v>3</v>
      </c>
      <c r="W3829" s="2" t="n">
        <v>3</v>
      </c>
      <c r="X3829" s="2" t="n">
        <v>3</v>
      </c>
      <c r="Y3829" s="2" t="n">
        <v>3</v>
      </c>
      <c r="Z3829" s="2" t="n">
        <v>3</v>
      </c>
    </row>
    <row r="3830" customFormat="false" ht="15" hidden="false" customHeight="true" outlineLevel="0" collapsed="false">
      <c r="A3830" s="2" t="n">
        <v>34</v>
      </c>
      <c r="B3830" s="2" t="s">
        <v>26</v>
      </c>
      <c r="C3830" s="2" t="s">
        <v>34</v>
      </c>
      <c r="D3830" s="2" t="s">
        <v>28</v>
      </c>
      <c r="E3830" s="2" t="n">
        <v>28</v>
      </c>
      <c r="F3830" s="2" t="n">
        <v>4</v>
      </c>
      <c r="G3830" s="2" t="s">
        <v>50</v>
      </c>
      <c r="H3830" s="2" t="n">
        <v>3829</v>
      </c>
      <c r="I3830" s="2" t="s">
        <v>39</v>
      </c>
      <c r="J3830" s="2" t="n">
        <v>5</v>
      </c>
      <c r="K3830" s="2" t="s">
        <v>47</v>
      </c>
      <c r="L3830" s="2" t="s">
        <v>46</v>
      </c>
      <c r="M3830" s="2" t="n">
        <v>103250</v>
      </c>
      <c r="N3830" s="2" t="n">
        <v>1</v>
      </c>
      <c r="O3830" s="2" t="n">
        <v>11</v>
      </c>
      <c r="P3830" s="2" t="n">
        <v>1</v>
      </c>
      <c r="Q3830" s="2" t="n">
        <v>9</v>
      </c>
      <c r="R3830" s="2" t="n">
        <v>3</v>
      </c>
      <c r="S3830" s="2" t="n">
        <v>9</v>
      </c>
      <c r="T3830" s="2" t="n">
        <v>7</v>
      </c>
      <c r="U3830" s="2" t="n">
        <v>2</v>
      </c>
      <c r="V3830" s="2" t="n">
        <v>3</v>
      </c>
      <c r="W3830" s="2" t="n">
        <v>4</v>
      </c>
      <c r="X3830" s="2" t="n">
        <v>3</v>
      </c>
      <c r="Y3830" s="2" t="n">
        <v>2</v>
      </c>
      <c r="Z3830" s="2" t="n">
        <v>3</v>
      </c>
    </row>
    <row r="3831" customFormat="false" ht="15" hidden="false" customHeight="true" outlineLevel="0" collapsed="false">
      <c r="A3831" s="2" t="n">
        <v>49</v>
      </c>
      <c r="B3831" s="2" t="s">
        <v>26</v>
      </c>
      <c r="C3831" s="2" t="s">
        <v>27</v>
      </c>
      <c r="D3831" s="2" t="s">
        <v>35</v>
      </c>
      <c r="E3831" s="2" t="n">
        <v>1</v>
      </c>
      <c r="F3831" s="2" t="n">
        <v>4</v>
      </c>
      <c r="G3831" s="2" t="s">
        <v>29</v>
      </c>
      <c r="H3831" s="2" t="n">
        <v>3830</v>
      </c>
      <c r="I3831" s="2" t="s">
        <v>39</v>
      </c>
      <c r="J3831" s="2" t="n">
        <v>3</v>
      </c>
      <c r="K3831" s="2" t="s">
        <v>31</v>
      </c>
      <c r="L3831" s="2" t="s">
        <v>32</v>
      </c>
      <c r="M3831" s="2" t="n">
        <v>69490</v>
      </c>
      <c r="N3831" s="2" t="n">
        <v>1</v>
      </c>
      <c r="O3831" s="2" t="n">
        <v>14</v>
      </c>
      <c r="P3831" s="2" t="n">
        <v>1</v>
      </c>
      <c r="Q3831" s="2" t="n">
        <v>10</v>
      </c>
      <c r="R3831" s="2" t="n">
        <v>2</v>
      </c>
      <c r="S3831" s="2" t="n">
        <v>9</v>
      </c>
      <c r="T3831" s="2" t="n">
        <v>1</v>
      </c>
      <c r="U3831" s="2" t="n">
        <v>4</v>
      </c>
      <c r="V3831" s="2" t="n">
        <v>3</v>
      </c>
      <c r="W3831" s="2" t="n">
        <v>1</v>
      </c>
      <c r="X3831" s="2" t="n">
        <v>2</v>
      </c>
      <c r="Y3831" s="2" t="n">
        <v>3</v>
      </c>
      <c r="Z3831" s="2" t="n">
        <v>3</v>
      </c>
    </row>
    <row r="3832" customFormat="false" ht="15" hidden="false" customHeight="true" outlineLevel="0" collapsed="false">
      <c r="A3832" s="2" t="n">
        <v>39</v>
      </c>
      <c r="B3832" s="2" t="s">
        <v>26</v>
      </c>
      <c r="C3832" s="2" t="s">
        <v>27</v>
      </c>
      <c r="D3832" s="2" t="s">
        <v>35</v>
      </c>
      <c r="E3832" s="2" t="n">
        <v>6</v>
      </c>
      <c r="F3832" s="2" t="n">
        <v>2</v>
      </c>
      <c r="G3832" s="2" t="s">
        <v>29</v>
      </c>
      <c r="H3832" s="2" t="n">
        <v>3831</v>
      </c>
      <c r="I3832" s="2" t="s">
        <v>39</v>
      </c>
      <c r="J3832" s="2" t="n">
        <v>3</v>
      </c>
      <c r="K3832" s="2" t="s">
        <v>36</v>
      </c>
      <c r="L3832" s="2" t="s">
        <v>32</v>
      </c>
      <c r="M3832" s="2" t="n">
        <v>106090</v>
      </c>
      <c r="N3832" s="2" t="n">
        <v>2</v>
      </c>
      <c r="O3832" s="2" t="n">
        <v>17</v>
      </c>
      <c r="P3832" s="2" t="n">
        <v>1</v>
      </c>
      <c r="Q3832" s="2" t="n">
        <v>10</v>
      </c>
      <c r="R3832" s="2" t="n">
        <v>2</v>
      </c>
      <c r="S3832" s="2" t="n">
        <v>7</v>
      </c>
      <c r="T3832" s="2" t="n">
        <v>7</v>
      </c>
      <c r="U3832" s="2" t="n">
        <v>7</v>
      </c>
      <c r="V3832" s="2" t="n">
        <v>2</v>
      </c>
      <c r="W3832" s="2" t="n">
        <v>1</v>
      </c>
      <c r="X3832" s="2" t="n">
        <v>3</v>
      </c>
      <c r="Y3832" s="2" t="n">
        <v>3</v>
      </c>
      <c r="Z3832" s="2" t="n">
        <v>3</v>
      </c>
    </row>
    <row r="3833" customFormat="false" ht="15" hidden="false" customHeight="true" outlineLevel="0" collapsed="false">
      <c r="A3833" s="2" t="n">
        <v>27</v>
      </c>
      <c r="B3833" s="2" t="s">
        <v>26</v>
      </c>
      <c r="C3833" s="2" t="s">
        <v>27</v>
      </c>
      <c r="D3833" s="2" t="s">
        <v>35</v>
      </c>
      <c r="E3833" s="2" t="n">
        <v>2</v>
      </c>
      <c r="F3833" s="2" t="n">
        <v>1</v>
      </c>
      <c r="G3833" s="2" t="s">
        <v>29</v>
      </c>
      <c r="H3833" s="2" t="n">
        <v>3832</v>
      </c>
      <c r="I3833" s="2" t="s">
        <v>39</v>
      </c>
      <c r="J3833" s="2" t="n">
        <v>4</v>
      </c>
      <c r="K3833" s="2" t="s">
        <v>36</v>
      </c>
      <c r="L3833" s="2" t="s">
        <v>46</v>
      </c>
      <c r="M3833" s="2" t="n">
        <v>44470</v>
      </c>
      <c r="N3833" s="2" t="n">
        <v>1</v>
      </c>
      <c r="O3833" s="2" t="n">
        <v>13</v>
      </c>
      <c r="P3833" s="2" t="n">
        <v>0</v>
      </c>
      <c r="Q3833" s="2" t="n">
        <v>7</v>
      </c>
      <c r="R3833" s="2" t="n">
        <v>4</v>
      </c>
      <c r="S3833" s="2" t="n">
        <v>7</v>
      </c>
      <c r="T3833" s="2" t="n">
        <v>0</v>
      </c>
      <c r="U3833" s="2" t="n">
        <v>7</v>
      </c>
      <c r="V3833" s="2" t="n">
        <v>4</v>
      </c>
      <c r="W3833" s="2" t="n">
        <v>1</v>
      </c>
      <c r="X3833" s="2" t="n">
        <v>3</v>
      </c>
      <c r="Y3833" s="2" t="n">
        <v>3</v>
      </c>
      <c r="Z3833" s="2" t="n">
        <v>3</v>
      </c>
    </row>
    <row r="3834" customFormat="false" ht="15" hidden="false" customHeight="true" outlineLevel="0" collapsed="false">
      <c r="A3834" s="2" t="n">
        <v>35</v>
      </c>
      <c r="B3834" s="2" t="s">
        <v>26</v>
      </c>
      <c r="C3834" s="2" t="s">
        <v>27</v>
      </c>
      <c r="D3834" s="2" t="s">
        <v>35</v>
      </c>
      <c r="E3834" s="2" t="n">
        <v>2</v>
      </c>
      <c r="F3834" s="2" t="n">
        <v>3</v>
      </c>
      <c r="G3834" s="2" t="s">
        <v>43</v>
      </c>
      <c r="H3834" s="2" t="n">
        <v>3833</v>
      </c>
      <c r="I3834" s="2" t="s">
        <v>30</v>
      </c>
      <c r="J3834" s="2" t="n">
        <v>2</v>
      </c>
      <c r="K3834" s="2" t="s">
        <v>40</v>
      </c>
      <c r="L3834" s="2" t="s">
        <v>32</v>
      </c>
      <c r="M3834" s="2" t="n">
        <v>21570</v>
      </c>
      <c r="N3834" s="2" t="n">
        <v>1</v>
      </c>
      <c r="O3834" s="2" t="n">
        <v>25</v>
      </c>
      <c r="P3834" s="2" t="n">
        <v>0</v>
      </c>
      <c r="Q3834" s="2" t="n">
        <v>16</v>
      </c>
      <c r="R3834" s="2" t="n">
        <v>1</v>
      </c>
      <c r="S3834" s="2" t="n">
        <v>16</v>
      </c>
      <c r="T3834" s="2" t="n">
        <v>1</v>
      </c>
      <c r="U3834" s="2" t="n">
        <v>10</v>
      </c>
      <c r="V3834" s="2" t="n">
        <v>2</v>
      </c>
      <c r="W3834" s="2" t="n">
        <v>1</v>
      </c>
      <c r="X3834" s="2" t="n">
        <v>3</v>
      </c>
      <c r="Y3834" s="2" t="n">
        <v>2</v>
      </c>
      <c r="Z3834" s="2" t="n">
        <v>4</v>
      </c>
    </row>
    <row r="3835" customFormat="false" ht="15" hidden="false" customHeight="true" outlineLevel="0" collapsed="false">
      <c r="A3835" s="2" t="n">
        <v>28</v>
      </c>
      <c r="B3835" s="2" t="s">
        <v>26</v>
      </c>
      <c r="C3835" s="2" t="s">
        <v>27</v>
      </c>
      <c r="D3835" s="2" t="s">
        <v>35</v>
      </c>
      <c r="E3835" s="2" t="n">
        <v>23</v>
      </c>
      <c r="F3835" s="2" t="n">
        <v>3</v>
      </c>
      <c r="G3835" s="2" t="s">
        <v>29</v>
      </c>
      <c r="H3835" s="2" t="n">
        <v>3834</v>
      </c>
      <c r="I3835" s="2" t="s">
        <v>39</v>
      </c>
      <c r="J3835" s="2" t="n">
        <v>3</v>
      </c>
      <c r="K3835" s="2" t="s">
        <v>47</v>
      </c>
      <c r="L3835" s="2" t="s">
        <v>46</v>
      </c>
      <c r="M3835" s="2" t="n">
        <v>46010</v>
      </c>
      <c r="N3835" s="2" t="n">
        <v>0</v>
      </c>
      <c r="O3835" s="2" t="n">
        <v>15</v>
      </c>
      <c r="P3835" s="2" t="n">
        <v>2</v>
      </c>
      <c r="Q3835" s="2" t="n">
        <v>6</v>
      </c>
      <c r="R3835" s="2" t="n">
        <v>2</v>
      </c>
      <c r="S3835" s="2" t="n">
        <v>5</v>
      </c>
      <c r="T3835" s="2" t="n">
        <v>0</v>
      </c>
      <c r="U3835" s="2" t="n">
        <v>0</v>
      </c>
      <c r="V3835" s="2" t="n">
        <v>2</v>
      </c>
      <c r="W3835" s="2" t="n">
        <v>1</v>
      </c>
      <c r="X3835" s="2" t="n">
        <v>2</v>
      </c>
      <c r="Y3835" s="2" t="n">
        <v>3</v>
      </c>
      <c r="Z3835" s="2" t="n">
        <v>3</v>
      </c>
    </row>
    <row r="3836" customFormat="false" ht="15" hidden="false" customHeight="true" outlineLevel="0" collapsed="false">
      <c r="A3836" s="2" t="n">
        <v>21</v>
      </c>
      <c r="B3836" s="2" t="s">
        <v>26</v>
      </c>
      <c r="C3836" s="2" t="s">
        <v>27</v>
      </c>
      <c r="D3836" s="2" t="s">
        <v>35</v>
      </c>
      <c r="E3836" s="2" t="n">
        <v>3</v>
      </c>
      <c r="F3836" s="2" t="n">
        <v>1</v>
      </c>
      <c r="G3836" s="2" t="s">
        <v>29</v>
      </c>
      <c r="H3836" s="2" t="n">
        <v>3835</v>
      </c>
      <c r="I3836" s="2" t="s">
        <v>30</v>
      </c>
      <c r="J3836" s="2" t="n">
        <v>1</v>
      </c>
      <c r="K3836" s="2" t="s">
        <v>45</v>
      </c>
      <c r="L3836" s="2" t="s">
        <v>37</v>
      </c>
      <c r="M3836" s="2" t="n">
        <v>170990</v>
      </c>
      <c r="N3836" s="2" t="n">
        <v>1</v>
      </c>
      <c r="O3836" s="2" t="n">
        <v>14</v>
      </c>
      <c r="P3836" s="2" t="n">
        <v>1</v>
      </c>
      <c r="Q3836" s="2" t="n">
        <v>3</v>
      </c>
      <c r="R3836" s="2" t="n">
        <v>2</v>
      </c>
      <c r="S3836" s="2" t="n">
        <v>2</v>
      </c>
      <c r="T3836" s="2" t="n">
        <v>2</v>
      </c>
      <c r="U3836" s="2" t="n">
        <v>2</v>
      </c>
      <c r="V3836" s="2" t="n">
        <v>3</v>
      </c>
      <c r="W3836" s="2" t="n">
        <v>4</v>
      </c>
      <c r="X3836" s="2" t="n">
        <v>3</v>
      </c>
      <c r="Y3836" s="2" t="n">
        <v>3</v>
      </c>
      <c r="Z3836" s="2" t="n">
        <v>3</v>
      </c>
    </row>
    <row r="3837" customFormat="false" ht="15" hidden="false" customHeight="true" outlineLevel="0" collapsed="false">
      <c r="A3837" s="2" t="n">
        <v>18</v>
      </c>
      <c r="B3837" s="2" t="s">
        <v>33</v>
      </c>
      <c r="C3837" s="2" t="s">
        <v>34</v>
      </c>
      <c r="D3837" s="2" t="s">
        <v>35</v>
      </c>
      <c r="E3837" s="2" t="n">
        <v>3</v>
      </c>
      <c r="F3837" s="2" t="n">
        <v>5</v>
      </c>
      <c r="G3837" s="2" t="s">
        <v>43</v>
      </c>
      <c r="H3837" s="2" t="n">
        <v>3836</v>
      </c>
      <c r="I3837" s="2" t="s">
        <v>39</v>
      </c>
      <c r="J3837" s="2" t="n">
        <v>1</v>
      </c>
      <c r="K3837" s="2" t="s">
        <v>44</v>
      </c>
      <c r="L3837" s="2" t="s">
        <v>37</v>
      </c>
      <c r="M3837" s="2" t="n">
        <v>24790</v>
      </c>
      <c r="N3837" s="2" t="n">
        <v>1</v>
      </c>
      <c r="O3837" s="2" t="n">
        <v>12</v>
      </c>
      <c r="P3837" s="2" t="n">
        <v>1</v>
      </c>
      <c r="Q3837" s="2" t="n">
        <v>0</v>
      </c>
      <c r="R3837" s="2" t="n">
        <v>2</v>
      </c>
      <c r="S3837" s="2" t="n">
        <v>0</v>
      </c>
      <c r="T3837" s="2" t="n">
        <v>0</v>
      </c>
      <c r="U3837" s="2" t="n">
        <v>0</v>
      </c>
      <c r="V3837" s="2" t="n">
        <v>2</v>
      </c>
      <c r="W3837" s="2" t="n">
        <v>4</v>
      </c>
      <c r="X3837" s="2" t="n">
        <v>4</v>
      </c>
      <c r="Y3837" s="2" t="n">
        <v>2</v>
      </c>
      <c r="Z3837" s="2" t="n">
        <v>3</v>
      </c>
    </row>
    <row r="3838" customFormat="false" ht="15" hidden="false" customHeight="true" outlineLevel="0" collapsed="false">
      <c r="A3838" s="2" t="n">
        <v>47</v>
      </c>
      <c r="B3838" s="2" t="s">
        <v>26</v>
      </c>
      <c r="C3838" s="2" t="s">
        <v>27</v>
      </c>
      <c r="D3838" s="2" t="s">
        <v>35</v>
      </c>
      <c r="E3838" s="2" t="n">
        <v>25</v>
      </c>
      <c r="F3838" s="2" t="n">
        <v>4</v>
      </c>
      <c r="G3838" s="2" t="s">
        <v>43</v>
      </c>
      <c r="H3838" s="2" t="n">
        <v>3837</v>
      </c>
      <c r="I3838" s="2" t="s">
        <v>39</v>
      </c>
      <c r="J3838" s="2" t="n">
        <v>2</v>
      </c>
      <c r="K3838" s="2" t="s">
        <v>36</v>
      </c>
      <c r="L3838" s="2" t="s">
        <v>32</v>
      </c>
      <c r="M3838" s="2" t="n">
        <v>148520</v>
      </c>
      <c r="N3838" s="2" t="n">
        <v>3</v>
      </c>
      <c r="O3838" s="2" t="n">
        <v>19</v>
      </c>
      <c r="P3838" s="2" t="n">
        <v>3</v>
      </c>
      <c r="Q3838" s="2" t="n">
        <v>27</v>
      </c>
      <c r="R3838" s="2" t="n">
        <v>3</v>
      </c>
      <c r="S3838" s="2" t="n">
        <v>5</v>
      </c>
      <c r="T3838" s="2" t="n">
        <v>1</v>
      </c>
      <c r="U3838" s="2" t="n">
        <v>0</v>
      </c>
      <c r="V3838" s="2" t="n">
        <v>4</v>
      </c>
      <c r="W3838" s="2" t="n">
        <v>3</v>
      </c>
      <c r="X3838" s="2" t="n">
        <v>3</v>
      </c>
      <c r="Y3838" s="2" t="n">
        <v>2</v>
      </c>
      <c r="Z3838" s="2" t="n">
        <v>3</v>
      </c>
    </row>
    <row r="3839" customFormat="false" ht="15" hidden="false" customHeight="true" outlineLevel="0" collapsed="false">
      <c r="A3839" s="2" t="n">
        <v>39</v>
      </c>
      <c r="B3839" s="2" t="s">
        <v>26</v>
      </c>
      <c r="C3839" s="2" t="s">
        <v>27</v>
      </c>
      <c r="D3839" s="2" t="s">
        <v>28</v>
      </c>
      <c r="E3839" s="2" t="n">
        <v>2</v>
      </c>
      <c r="F3839" s="2" t="n">
        <v>4</v>
      </c>
      <c r="G3839" s="2" t="s">
        <v>29</v>
      </c>
      <c r="H3839" s="2" t="n">
        <v>3838</v>
      </c>
      <c r="I3839" s="2" t="s">
        <v>39</v>
      </c>
      <c r="J3839" s="2" t="n">
        <v>1</v>
      </c>
      <c r="K3839" s="2" t="s">
        <v>45</v>
      </c>
      <c r="L3839" s="2" t="s">
        <v>46</v>
      </c>
      <c r="M3839" s="2" t="n">
        <v>72640</v>
      </c>
      <c r="N3839" s="2" t="n">
        <v>0</v>
      </c>
      <c r="O3839" s="2" t="n">
        <v>17</v>
      </c>
      <c r="P3839" s="2" t="n">
        <v>0</v>
      </c>
      <c r="Q3839" s="2" t="n">
        <v>11</v>
      </c>
      <c r="R3839" s="2" t="n">
        <v>5</v>
      </c>
      <c r="S3839" s="2" t="n">
        <v>10</v>
      </c>
      <c r="T3839" s="2" t="n">
        <v>0</v>
      </c>
      <c r="U3839" s="2" t="n">
        <v>7</v>
      </c>
      <c r="V3839" s="2" t="n">
        <v>3</v>
      </c>
      <c r="W3839" s="2" t="n">
        <v>3</v>
      </c>
      <c r="X3839" s="2" t="n">
        <v>3</v>
      </c>
      <c r="Y3839" s="2" t="n">
        <v>3</v>
      </c>
      <c r="Z3839" s="2" t="n">
        <v>3</v>
      </c>
    </row>
    <row r="3840" customFormat="false" ht="15" hidden="false" customHeight="true" outlineLevel="0" collapsed="false">
      <c r="A3840" s="2" t="n">
        <v>40</v>
      </c>
      <c r="B3840" s="2" t="s">
        <v>26</v>
      </c>
      <c r="C3840" s="2" t="s">
        <v>27</v>
      </c>
      <c r="D3840" s="2" t="s">
        <v>35</v>
      </c>
      <c r="E3840" s="2" t="n">
        <v>22</v>
      </c>
      <c r="F3840" s="2" t="n">
        <v>1</v>
      </c>
      <c r="G3840" s="2" t="s">
        <v>29</v>
      </c>
      <c r="H3840" s="2" t="n">
        <v>3839</v>
      </c>
      <c r="I3840" s="2" t="s">
        <v>39</v>
      </c>
      <c r="J3840" s="2" t="n">
        <v>1</v>
      </c>
      <c r="K3840" s="2" t="s">
        <v>45</v>
      </c>
      <c r="L3840" s="2" t="s">
        <v>32</v>
      </c>
      <c r="M3840" s="2" t="n">
        <v>56660</v>
      </c>
      <c r="N3840" s="2" t="n">
        <v>1</v>
      </c>
      <c r="O3840" s="2" t="n">
        <v>14</v>
      </c>
      <c r="P3840" s="2" t="n">
        <v>1</v>
      </c>
      <c r="Q3840" s="2" t="n">
        <v>18</v>
      </c>
      <c r="R3840" s="2" t="n">
        <v>2</v>
      </c>
      <c r="S3840" s="2" t="n">
        <v>18</v>
      </c>
      <c r="T3840" s="2" t="n">
        <v>14</v>
      </c>
      <c r="U3840" s="2" t="n">
        <v>12</v>
      </c>
      <c r="V3840" s="2" t="n">
        <v>1</v>
      </c>
      <c r="W3840" s="2" t="n">
        <v>3</v>
      </c>
      <c r="X3840" s="2" t="n">
        <v>3</v>
      </c>
      <c r="Y3840" s="2" t="n">
        <v>3</v>
      </c>
      <c r="Z3840" s="2" t="n">
        <v>3</v>
      </c>
    </row>
    <row r="3841" customFormat="false" ht="15" hidden="false" customHeight="true" outlineLevel="0" collapsed="false">
      <c r="A3841" s="2" t="n">
        <v>35</v>
      </c>
      <c r="B3841" s="2" t="s">
        <v>26</v>
      </c>
      <c r="C3841" s="2" t="s">
        <v>41</v>
      </c>
      <c r="D3841" s="2" t="s">
        <v>35</v>
      </c>
      <c r="E3841" s="2" t="n">
        <v>29</v>
      </c>
      <c r="F3841" s="2" t="n">
        <v>3</v>
      </c>
      <c r="G3841" s="2" t="s">
        <v>43</v>
      </c>
      <c r="H3841" s="2" t="n">
        <v>3840</v>
      </c>
      <c r="I3841" s="2" t="s">
        <v>30</v>
      </c>
      <c r="J3841" s="2" t="n">
        <v>2</v>
      </c>
      <c r="K3841" s="2" t="s">
        <v>40</v>
      </c>
      <c r="L3841" s="2" t="s">
        <v>32</v>
      </c>
      <c r="M3841" s="2" t="n">
        <v>78230</v>
      </c>
      <c r="N3841" s="2" t="n">
        <v>1</v>
      </c>
      <c r="O3841" s="2" t="n">
        <v>13</v>
      </c>
      <c r="P3841" s="2" t="n">
        <v>1</v>
      </c>
      <c r="Q3841" s="2" t="n">
        <v>15</v>
      </c>
      <c r="R3841" s="2" t="n">
        <v>3</v>
      </c>
      <c r="S3841" s="2" t="n">
        <v>14</v>
      </c>
      <c r="T3841" s="2" t="n">
        <v>2</v>
      </c>
      <c r="U3841" s="2" t="n">
        <v>9</v>
      </c>
      <c r="V3841" s="2" t="n">
        <v>3</v>
      </c>
      <c r="W3841" s="2" t="n">
        <v>3</v>
      </c>
      <c r="X3841" s="2" t="n">
        <v>3</v>
      </c>
      <c r="Y3841" s="2" t="n">
        <v>3</v>
      </c>
      <c r="Z3841" s="2" t="n">
        <v>3</v>
      </c>
    </row>
    <row r="3842" customFormat="false" ht="15" hidden="false" customHeight="true" outlineLevel="0" collapsed="false">
      <c r="A3842" s="2" t="n">
        <v>37</v>
      </c>
      <c r="B3842" s="2" t="s">
        <v>26</v>
      </c>
      <c r="C3842" s="2" t="s">
        <v>27</v>
      </c>
      <c r="D3842" s="2" t="s">
        <v>35</v>
      </c>
      <c r="E3842" s="2" t="n">
        <v>29</v>
      </c>
      <c r="F3842" s="2" t="n">
        <v>4</v>
      </c>
      <c r="G3842" s="2" t="s">
        <v>51</v>
      </c>
      <c r="H3842" s="2" t="n">
        <v>3841</v>
      </c>
      <c r="I3842" s="2" t="s">
        <v>39</v>
      </c>
      <c r="J3842" s="2" t="n">
        <v>1</v>
      </c>
      <c r="K3842" s="2" t="s">
        <v>45</v>
      </c>
      <c r="L3842" s="2" t="s">
        <v>32</v>
      </c>
      <c r="M3842" s="2" t="n">
        <v>78800</v>
      </c>
      <c r="N3842" s="2" t="n">
        <v>3</v>
      </c>
      <c r="O3842" s="2" t="n">
        <v>12</v>
      </c>
      <c r="P3842" s="2" t="n">
        <v>1</v>
      </c>
      <c r="Q3842" s="2" t="n">
        <v>9</v>
      </c>
      <c r="R3842" s="2" t="n">
        <v>2</v>
      </c>
      <c r="S3842" s="2" t="n">
        <v>4</v>
      </c>
      <c r="T3842" s="2" t="n">
        <v>0</v>
      </c>
      <c r="U3842" s="2" t="n">
        <v>2</v>
      </c>
      <c r="V3842" s="2" t="n">
        <v>3</v>
      </c>
      <c r="W3842" s="2" t="n">
        <v>3</v>
      </c>
      <c r="X3842" s="2" t="n">
        <v>2</v>
      </c>
      <c r="Y3842" s="2" t="n">
        <v>4</v>
      </c>
      <c r="Z3842" s="2" t="n">
        <v>3</v>
      </c>
    </row>
    <row r="3843" customFormat="false" ht="15" hidden="false" customHeight="true" outlineLevel="0" collapsed="false">
      <c r="A3843" s="2" t="n">
        <v>39</v>
      </c>
      <c r="B3843" s="2" t="s">
        <v>26</v>
      </c>
      <c r="C3843" s="2" t="s">
        <v>34</v>
      </c>
      <c r="D3843" s="2" t="s">
        <v>35</v>
      </c>
      <c r="E3843" s="2" t="n">
        <v>2</v>
      </c>
      <c r="F3843" s="2" t="n">
        <v>3</v>
      </c>
      <c r="G3843" s="2" t="s">
        <v>51</v>
      </c>
      <c r="H3843" s="2" t="n">
        <v>3842</v>
      </c>
      <c r="I3843" s="2" t="s">
        <v>30</v>
      </c>
      <c r="J3843" s="2" t="n">
        <v>2</v>
      </c>
      <c r="K3843" s="2" t="s">
        <v>49</v>
      </c>
      <c r="L3843" s="2" t="s">
        <v>37</v>
      </c>
      <c r="M3843" s="2" t="n">
        <v>131940</v>
      </c>
      <c r="N3843" s="2" t="n">
        <v>0</v>
      </c>
      <c r="O3843" s="2" t="n">
        <v>11</v>
      </c>
      <c r="P3843" s="2" t="n">
        <v>0</v>
      </c>
      <c r="Q3843" s="2" t="n">
        <v>10</v>
      </c>
      <c r="R3843" s="2" t="n">
        <v>2</v>
      </c>
      <c r="S3843" s="2" t="n">
        <v>9</v>
      </c>
      <c r="T3843" s="2" t="n">
        <v>3</v>
      </c>
      <c r="U3843" s="2" t="n">
        <v>8</v>
      </c>
      <c r="V3843" s="2" t="n">
        <v>1</v>
      </c>
      <c r="W3843" s="2" t="n">
        <v>3</v>
      </c>
      <c r="X3843" s="2" t="n">
        <v>1</v>
      </c>
      <c r="Y3843" s="2" t="n">
        <v>3</v>
      </c>
      <c r="Z3843" s="2" t="n">
        <v>3</v>
      </c>
    </row>
    <row r="3844" customFormat="false" ht="15" hidden="false" customHeight="true" outlineLevel="0" collapsed="false">
      <c r="A3844" s="2" t="n">
        <v>45</v>
      </c>
      <c r="B3844" s="2" t="s">
        <v>26</v>
      </c>
      <c r="C3844" s="2" t="s">
        <v>27</v>
      </c>
      <c r="D3844" s="2" t="s">
        <v>35</v>
      </c>
      <c r="E3844" s="2" t="n">
        <v>28</v>
      </c>
      <c r="F3844" s="2" t="n">
        <v>3</v>
      </c>
      <c r="G3844" s="2" t="s">
        <v>29</v>
      </c>
      <c r="H3844" s="2" t="n">
        <v>3843</v>
      </c>
      <c r="I3844" s="2" t="s">
        <v>30</v>
      </c>
      <c r="J3844" s="2" t="n">
        <v>2</v>
      </c>
      <c r="K3844" s="2" t="s">
        <v>45</v>
      </c>
      <c r="L3844" s="2" t="s">
        <v>46</v>
      </c>
      <c r="M3844" s="2" t="n">
        <v>50670</v>
      </c>
      <c r="N3844" s="2" t="n">
        <v>1</v>
      </c>
      <c r="O3844" s="2" t="n">
        <v>11</v>
      </c>
      <c r="P3844" s="2" t="n">
        <v>2</v>
      </c>
      <c r="Q3844" s="2" t="n">
        <v>10</v>
      </c>
      <c r="R3844" s="2" t="n">
        <v>3</v>
      </c>
      <c r="S3844" s="2" t="n">
        <v>10</v>
      </c>
      <c r="T3844" s="2" t="n">
        <v>3</v>
      </c>
      <c r="U3844" s="2" t="n">
        <v>9</v>
      </c>
      <c r="V3844" s="2" t="n">
        <v>4</v>
      </c>
      <c r="W3844" s="2" t="n">
        <v>4</v>
      </c>
      <c r="X3844" s="2" t="n">
        <v>3</v>
      </c>
      <c r="Y3844" s="2" t="n">
        <v>2</v>
      </c>
      <c r="Z3844" s="2" t="n">
        <v>3</v>
      </c>
    </row>
    <row r="3845" customFormat="false" ht="15" hidden="false" customHeight="true" outlineLevel="0" collapsed="false">
      <c r="A3845" s="2" t="n">
        <v>38</v>
      </c>
      <c r="B3845" s="2" t="s">
        <v>26</v>
      </c>
      <c r="C3845" s="2" t="s">
        <v>27</v>
      </c>
      <c r="D3845" s="2" t="s">
        <v>35</v>
      </c>
      <c r="E3845" s="2" t="n">
        <v>2</v>
      </c>
      <c r="F3845" s="2" t="n">
        <v>4</v>
      </c>
      <c r="G3845" s="2" t="s">
        <v>29</v>
      </c>
      <c r="H3845" s="2" t="n">
        <v>3844</v>
      </c>
      <c r="I3845" s="2" t="s">
        <v>30</v>
      </c>
      <c r="J3845" s="2" t="n">
        <v>3</v>
      </c>
      <c r="K3845" s="2" t="s">
        <v>40</v>
      </c>
      <c r="L3845" s="2" t="s">
        <v>32</v>
      </c>
      <c r="M3845" s="2" t="n">
        <v>50790</v>
      </c>
      <c r="N3845" s="2" t="n">
        <v>3</v>
      </c>
      <c r="O3845" s="2" t="n">
        <v>11</v>
      </c>
      <c r="P3845" s="2" t="n">
        <v>0</v>
      </c>
      <c r="Q3845" s="2" t="n">
        <v>10</v>
      </c>
      <c r="R3845" s="2" t="n">
        <v>3</v>
      </c>
      <c r="S3845" s="2" t="n">
        <v>5</v>
      </c>
      <c r="T3845" s="2" t="n">
        <v>0</v>
      </c>
      <c r="U3845" s="2" t="n">
        <v>2</v>
      </c>
      <c r="V3845" s="2" t="n">
        <v>4</v>
      </c>
      <c r="W3845" s="2" t="n">
        <v>3</v>
      </c>
      <c r="X3845" s="2" t="n">
        <v>4</v>
      </c>
      <c r="Y3845" s="2" t="n">
        <v>3</v>
      </c>
      <c r="Z3845" s="2" t="n">
        <v>3</v>
      </c>
    </row>
    <row r="3846" customFormat="false" ht="15" hidden="false" customHeight="true" outlineLevel="0" collapsed="false">
      <c r="A3846" s="2" t="n">
        <v>35</v>
      </c>
      <c r="B3846" s="2" t="s">
        <v>33</v>
      </c>
      <c r="C3846" s="2" t="s">
        <v>27</v>
      </c>
      <c r="D3846" s="2" t="s">
        <v>35</v>
      </c>
      <c r="E3846" s="2" t="n">
        <v>2</v>
      </c>
      <c r="F3846" s="2" t="n">
        <v>3</v>
      </c>
      <c r="G3846" s="2" t="s">
        <v>29</v>
      </c>
      <c r="H3846" s="2" t="n">
        <v>3845</v>
      </c>
      <c r="I3846" s="2" t="s">
        <v>39</v>
      </c>
      <c r="J3846" s="2" t="n">
        <v>3</v>
      </c>
      <c r="K3846" s="2" t="s">
        <v>31</v>
      </c>
      <c r="L3846" s="2" t="s">
        <v>32</v>
      </c>
      <c r="M3846" s="2" t="n">
        <v>23210</v>
      </c>
      <c r="N3846" s="2" t="n">
        <v>9</v>
      </c>
      <c r="O3846" s="2" t="n">
        <v>12</v>
      </c>
      <c r="P3846" s="2" t="n">
        <v>1</v>
      </c>
      <c r="Q3846" s="2" t="n">
        <v>15</v>
      </c>
      <c r="R3846" s="2" t="n">
        <v>0</v>
      </c>
      <c r="S3846" s="2" t="n">
        <v>13</v>
      </c>
      <c r="T3846" s="2" t="n">
        <v>6</v>
      </c>
      <c r="U3846" s="2" t="n">
        <v>0</v>
      </c>
      <c r="V3846" s="2" t="n">
        <v>4</v>
      </c>
      <c r="W3846" s="2" t="n">
        <v>1</v>
      </c>
      <c r="X3846" s="2" t="n">
        <v>3</v>
      </c>
      <c r="Y3846" s="2" t="n">
        <v>3</v>
      </c>
      <c r="Z3846" s="2" t="n">
        <v>3</v>
      </c>
    </row>
    <row r="3847" customFormat="false" ht="15" hidden="false" customHeight="true" outlineLevel="0" collapsed="false">
      <c r="A3847" s="2" t="n">
        <v>37</v>
      </c>
      <c r="B3847" s="2" t="s">
        <v>26</v>
      </c>
      <c r="C3847" s="2" t="s">
        <v>27</v>
      </c>
      <c r="D3847" s="2" t="s">
        <v>35</v>
      </c>
      <c r="E3847" s="2" t="n">
        <v>22</v>
      </c>
      <c r="F3847" s="2" t="n">
        <v>3</v>
      </c>
      <c r="G3847" s="2" t="s">
        <v>29</v>
      </c>
      <c r="H3847" s="2" t="n">
        <v>3846</v>
      </c>
      <c r="I3847" s="2" t="s">
        <v>30</v>
      </c>
      <c r="J3847" s="2" t="n">
        <v>2</v>
      </c>
      <c r="K3847" s="2" t="s">
        <v>31</v>
      </c>
      <c r="L3847" s="2" t="s">
        <v>32</v>
      </c>
      <c r="M3847" s="2" t="n">
        <v>174440</v>
      </c>
      <c r="N3847" s="2" t="n">
        <v>1</v>
      </c>
      <c r="O3847" s="2" t="n">
        <v>14</v>
      </c>
      <c r="P3847" s="2" t="n">
        <v>0</v>
      </c>
      <c r="Q3847" s="2" t="n">
        <v>8</v>
      </c>
      <c r="R3847" s="2" t="n">
        <v>4</v>
      </c>
      <c r="S3847" s="2" t="n">
        <v>8</v>
      </c>
      <c r="T3847" s="2" t="n">
        <v>7</v>
      </c>
      <c r="U3847" s="2" t="n">
        <v>7</v>
      </c>
      <c r="V3847" s="2" t="n">
        <v>2</v>
      </c>
      <c r="W3847" s="2" t="n">
        <v>2</v>
      </c>
      <c r="X3847" s="2" t="n">
        <v>1</v>
      </c>
      <c r="Y3847" s="2" t="n">
        <v>3</v>
      </c>
      <c r="Z3847" s="2" t="n">
        <v>3</v>
      </c>
    </row>
    <row r="3848" customFormat="false" ht="15" hidden="false" customHeight="true" outlineLevel="0" collapsed="false">
      <c r="A3848" s="2" t="n">
        <v>40</v>
      </c>
      <c r="B3848" s="2" t="s">
        <v>26</v>
      </c>
      <c r="C3848" s="2" t="s">
        <v>27</v>
      </c>
      <c r="D3848" s="2" t="s">
        <v>35</v>
      </c>
      <c r="E3848" s="2" t="n">
        <v>8</v>
      </c>
      <c r="F3848" s="2" t="n">
        <v>3</v>
      </c>
      <c r="G3848" s="2" t="s">
        <v>51</v>
      </c>
      <c r="H3848" s="2" t="n">
        <v>3847</v>
      </c>
      <c r="I3848" s="2" t="s">
        <v>30</v>
      </c>
      <c r="J3848" s="2" t="n">
        <v>2</v>
      </c>
      <c r="K3848" s="2" t="s">
        <v>31</v>
      </c>
      <c r="L3848" s="2" t="s">
        <v>37</v>
      </c>
      <c r="M3848" s="2" t="n">
        <v>24040</v>
      </c>
      <c r="N3848" s="2" t="n">
        <v>6</v>
      </c>
      <c r="O3848" s="2" t="n">
        <v>17</v>
      </c>
      <c r="P3848" s="2" t="n">
        <v>0</v>
      </c>
      <c r="Q3848" s="2" t="n">
        <v>18</v>
      </c>
      <c r="R3848" s="2" t="n">
        <v>2</v>
      </c>
      <c r="S3848" s="2" t="n">
        <v>4</v>
      </c>
      <c r="T3848" s="2" t="n">
        <v>3</v>
      </c>
      <c r="U3848" s="2" t="n">
        <v>3</v>
      </c>
      <c r="V3848" s="2" t="n">
        <v>3</v>
      </c>
      <c r="W3848" s="2" t="n">
        <v>4</v>
      </c>
      <c r="X3848" s="2" t="n">
        <v>2</v>
      </c>
      <c r="Y3848" s="2" t="n">
        <v>2</v>
      </c>
      <c r="Z3848" s="2" t="n">
        <v>3</v>
      </c>
    </row>
    <row r="3849" customFormat="false" ht="15" hidden="false" customHeight="true" outlineLevel="0" collapsed="false">
      <c r="A3849" s="2" t="n">
        <v>44</v>
      </c>
      <c r="B3849" s="2" t="s">
        <v>26</v>
      </c>
      <c r="C3849" s="2" t="s">
        <v>34</v>
      </c>
      <c r="D3849" s="2" t="s">
        <v>28</v>
      </c>
      <c r="E3849" s="2" t="n">
        <v>2</v>
      </c>
      <c r="F3849" s="2" t="n">
        <v>2</v>
      </c>
      <c r="G3849" s="2" t="s">
        <v>50</v>
      </c>
      <c r="H3849" s="2" t="n">
        <v>3848</v>
      </c>
      <c r="I3849" s="2" t="s">
        <v>39</v>
      </c>
      <c r="J3849" s="2" t="n">
        <v>1</v>
      </c>
      <c r="K3849" s="2" t="s">
        <v>45</v>
      </c>
      <c r="L3849" s="2" t="s">
        <v>32</v>
      </c>
      <c r="M3849" s="2" t="n">
        <v>34520</v>
      </c>
      <c r="N3849" s="2" t="n">
        <v>4</v>
      </c>
      <c r="O3849" s="2" t="n">
        <v>11</v>
      </c>
      <c r="P3849" s="2" t="n">
        <v>1</v>
      </c>
      <c r="Q3849" s="2" t="n">
        <v>14</v>
      </c>
      <c r="R3849" s="2" t="n">
        <v>2</v>
      </c>
      <c r="S3849" s="2" t="n">
        <v>10</v>
      </c>
      <c r="T3849" s="2" t="n">
        <v>0</v>
      </c>
      <c r="U3849" s="2" t="n">
        <v>2</v>
      </c>
      <c r="V3849" s="2" t="n">
        <v>1</v>
      </c>
      <c r="W3849" s="2" t="n">
        <v>4</v>
      </c>
      <c r="X3849" s="2" t="n">
        <v>3</v>
      </c>
      <c r="Y3849" s="2" t="n">
        <v>2</v>
      </c>
      <c r="Z3849" s="2" t="n">
        <v>3</v>
      </c>
    </row>
    <row r="3850" customFormat="false" ht="15" hidden="false" customHeight="true" outlineLevel="0" collapsed="false">
      <c r="A3850" s="2" t="n">
        <v>48</v>
      </c>
      <c r="B3850" s="2" t="s">
        <v>26</v>
      </c>
      <c r="C3850" s="2" t="s">
        <v>34</v>
      </c>
      <c r="D3850" s="2" t="s">
        <v>28</v>
      </c>
      <c r="E3850" s="2" t="n">
        <v>10</v>
      </c>
      <c r="F3850" s="2" t="n">
        <v>4</v>
      </c>
      <c r="G3850" s="2" t="s">
        <v>50</v>
      </c>
      <c r="H3850" s="2" t="n">
        <v>3849</v>
      </c>
      <c r="I3850" s="2" t="s">
        <v>30</v>
      </c>
      <c r="J3850" s="2" t="n">
        <v>3</v>
      </c>
      <c r="K3850" s="2" t="s">
        <v>49</v>
      </c>
      <c r="L3850" s="2" t="s">
        <v>32</v>
      </c>
      <c r="M3850" s="2" t="n">
        <v>22700</v>
      </c>
      <c r="N3850" s="2" t="n">
        <v>2</v>
      </c>
      <c r="O3850" s="2" t="n">
        <v>14</v>
      </c>
      <c r="P3850" s="2" t="n">
        <v>3</v>
      </c>
      <c r="Q3850" s="2" t="n">
        <v>23</v>
      </c>
      <c r="R3850" s="2" t="n">
        <v>2</v>
      </c>
      <c r="S3850" s="2" t="n">
        <v>2</v>
      </c>
      <c r="T3850" s="2" t="n">
        <v>2</v>
      </c>
      <c r="U3850" s="2" t="n">
        <v>2</v>
      </c>
      <c r="V3850" s="2" t="n">
        <v>3</v>
      </c>
      <c r="W3850" s="2" t="n">
        <v>4</v>
      </c>
      <c r="X3850" s="2" t="n">
        <v>3</v>
      </c>
      <c r="Y3850" s="2" t="n">
        <v>3</v>
      </c>
      <c r="Z3850" s="2" t="n">
        <v>3</v>
      </c>
    </row>
    <row r="3851" customFormat="false" ht="15" hidden="false" customHeight="true" outlineLevel="0" collapsed="false">
      <c r="A3851" s="2" t="n">
        <v>35</v>
      </c>
      <c r="B3851" s="2" t="s">
        <v>33</v>
      </c>
      <c r="C3851" s="2" t="s">
        <v>27</v>
      </c>
      <c r="D3851" s="2" t="s">
        <v>35</v>
      </c>
      <c r="E3851" s="2" t="n">
        <v>9</v>
      </c>
      <c r="F3851" s="2" t="n">
        <v>3</v>
      </c>
      <c r="G3851" s="2" t="s">
        <v>29</v>
      </c>
      <c r="H3851" s="2" t="n">
        <v>3850</v>
      </c>
      <c r="I3851" s="2" t="s">
        <v>39</v>
      </c>
      <c r="J3851" s="2" t="n">
        <v>2</v>
      </c>
      <c r="K3851" s="2" t="s">
        <v>49</v>
      </c>
      <c r="L3851" s="2" t="s">
        <v>46</v>
      </c>
      <c r="M3851" s="2" t="n">
        <v>173990</v>
      </c>
      <c r="N3851" s="2" t="n">
        <v>6</v>
      </c>
      <c r="O3851" s="2" t="n">
        <v>12</v>
      </c>
      <c r="P3851" s="2" t="n">
        <v>0</v>
      </c>
      <c r="Q3851" s="2" t="n">
        <v>7</v>
      </c>
      <c r="R3851" s="2" t="n">
        <v>3</v>
      </c>
      <c r="S3851" s="2" t="n">
        <v>2</v>
      </c>
      <c r="T3851" s="2" t="n">
        <v>2</v>
      </c>
      <c r="U3851" s="2" t="n">
        <v>2</v>
      </c>
      <c r="V3851" s="2" t="n">
        <v>1</v>
      </c>
      <c r="W3851" s="2" t="n">
        <v>4</v>
      </c>
      <c r="X3851" s="2" t="n">
        <v>2</v>
      </c>
      <c r="Y3851" s="2" t="n">
        <v>1</v>
      </c>
      <c r="Z3851" s="2" t="n">
        <v>3</v>
      </c>
    </row>
    <row r="3852" customFormat="false" ht="15" hidden="false" customHeight="true" outlineLevel="0" collapsed="false">
      <c r="A3852" s="2" t="n">
        <v>24</v>
      </c>
      <c r="B3852" s="2" t="s">
        <v>26</v>
      </c>
      <c r="C3852" s="2" t="s">
        <v>34</v>
      </c>
      <c r="D3852" s="2" t="s">
        <v>35</v>
      </c>
      <c r="E3852" s="2" t="n">
        <v>15</v>
      </c>
      <c r="F3852" s="2" t="n">
        <v>3</v>
      </c>
      <c r="G3852" s="2" t="s">
        <v>29</v>
      </c>
      <c r="H3852" s="2" t="n">
        <v>3851</v>
      </c>
      <c r="I3852" s="2" t="s">
        <v>39</v>
      </c>
      <c r="J3852" s="2" t="n">
        <v>2</v>
      </c>
      <c r="K3852" s="2" t="s">
        <v>36</v>
      </c>
      <c r="L3852" s="2" t="s">
        <v>37</v>
      </c>
      <c r="M3852" s="2" t="n">
        <v>54880</v>
      </c>
      <c r="N3852" s="2" t="n">
        <v>1</v>
      </c>
      <c r="O3852" s="2" t="n">
        <v>22</v>
      </c>
      <c r="P3852" s="2" t="n">
        <v>1</v>
      </c>
      <c r="Q3852" s="2" t="n">
        <v>6</v>
      </c>
      <c r="R3852" s="2" t="n">
        <v>6</v>
      </c>
      <c r="S3852" s="2" t="n">
        <v>6</v>
      </c>
      <c r="T3852" s="2" t="n">
        <v>1</v>
      </c>
      <c r="U3852" s="2" t="n">
        <v>3</v>
      </c>
      <c r="V3852" s="2" t="n">
        <v>1</v>
      </c>
      <c r="W3852" s="2" t="n">
        <v>4</v>
      </c>
      <c r="X3852" s="2" t="n">
        <v>3</v>
      </c>
      <c r="Y3852" s="2" t="n">
        <v>3</v>
      </c>
      <c r="Z3852" s="2" t="n">
        <v>4</v>
      </c>
    </row>
    <row r="3853" customFormat="false" ht="15" hidden="false" customHeight="true" outlineLevel="0" collapsed="false">
      <c r="A3853" s="2" t="n">
        <v>27</v>
      </c>
      <c r="B3853" s="2" t="s">
        <v>26</v>
      </c>
      <c r="C3853" s="2" t="s">
        <v>27</v>
      </c>
      <c r="D3853" s="2" t="s">
        <v>28</v>
      </c>
      <c r="E3853" s="2" t="n">
        <v>10</v>
      </c>
      <c r="F3853" s="2" t="n">
        <v>4</v>
      </c>
      <c r="G3853" s="2" t="s">
        <v>29</v>
      </c>
      <c r="H3853" s="2" t="n">
        <v>3852</v>
      </c>
      <c r="I3853" s="2" t="s">
        <v>39</v>
      </c>
      <c r="J3853" s="2" t="n">
        <v>3</v>
      </c>
      <c r="K3853" s="2" t="s">
        <v>40</v>
      </c>
      <c r="L3853" s="2" t="s">
        <v>32</v>
      </c>
      <c r="M3853" s="2" t="n">
        <v>194190</v>
      </c>
      <c r="N3853" s="2" t="n">
        <v>7</v>
      </c>
      <c r="O3853" s="2" t="n">
        <v>14</v>
      </c>
      <c r="P3853" s="2" t="n">
        <v>1</v>
      </c>
      <c r="Q3853" s="2" t="n">
        <v>5</v>
      </c>
      <c r="R3853" s="2" t="n">
        <v>2</v>
      </c>
      <c r="S3853" s="2" t="n">
        <v>3</v>
      </c>
      <c r="T3853" s="2" t="n">
        <v>0</v>
      </c>
      <c r="U3853" s="2" t="n">
        <v>2</v>
      </c>
      <c r="V3853" s="2" t="n">
        <v>2</v>
      </c>
      <c r="W3853" s="2" t="n">
        <v>3</v>
      </c>
      <c r="X3853" s="2" t="n">
        <v>3</v>
      </c>
      <c r="Y3853" s="2" t="n">
        <v>1</v>
      </c>
      <c r="Z3853" s="2" t="n">
        <v>3</v>
      </c>
    </row>
    <row r="3854" customFormat="false" ht="15" hidden="false" customHeight="true" outlineLevel="0" collapsed="false">
      <c r="A3854" s="2" t="n">
        <v>27</v>
      </c>
      <c r="B3854" s="2" t="s">
        <v>26</v>
      </c>
      <c r="C3854" s="2" t="s">
        <v>34</v>
      </c>
      <c r="D3854" s="2" t="s">
        <v>35</v>
      </c>
      <c r="E3854" s="2" t="n">
        <v>7</v>
      </c>
      <c r="F3854" s="2" t="n">
        <v>3</v>
      </c>
      <c r="G3854" s="2" t="s">
        <v>29</v>
      </c>
      <c r="H3854" s="2" t="n">
        <v>3853</v>
      </c>
      <c r="I3854" s="2" t="s">
        <v>39</v>
      </c>
      <c r="J3854" s="2" t="n">
        <v>1</v>
      </c>
      <c r="K3854" s="2" t="s">
        <v>36</v>
      </c>
      <c r="L3854" s="2" t="s">
        <v>37</v>
      </c>
      <c r="M3854" s="2" t="n">
        <v>28110</v>
      </c>
      <c r="N3854" s="2" t="n">
        <v>2</v>
      </c>
      <c r="O3854" s="2" t="n">
        <v>20</v>
      </c>
      <c r="P3854" s="2" t="n">
        <v>0</v>
      </c>
      <c r="Q3854" s="2" t="n">
        <v>6</v>
      </c>
      <c r="R3854" s="2" t="n">
        <v>3</v>
      </c>
      <c r="S3854" s="2" t="n">
        <v>4</v>
      </c>
      <c r="T3854" s="2" t="n">
        <v>1</v>
      </c>
      <c r="U3854" s="2" t="n">
        <v>2</v>
      </c>
      <c r="V3854" s="2" t="n">
        <v>4</v>
      </c>
      <c r="W3854" s="2" t="n">
        <v>4</v>
      </c>
      <c r="X3854" s="2" t="n">
        <v>2</v>
      </c>
      <c r="Y3854" s="2" t="n">
        <v>3</v>
      </c>
      <c r="Z3854" s="2" t="n">
        <v>4</v>
      </c>
    </row>
    <row r="3855" customFormat="false" ht="15" hidden="false" customHeight="true" outlineLevel="0" collapsed="false">
      <c r="A3855" s="2" t="n">
        <v>40</v>
      </c>
      <c r="B3855" s="2" t="s">
        <v>33</v>
      </c>
      <c r="C3855" s="2" t="s">
        <v>27</v>
      </c>
      <c r="D3855" s="2" t="s">
        <v>28</v>
      </c>
      <c r="E3855" s="2" t="n">
        <v>16</v>
      </c>
      <c r="F3855" s="2" t="n">
        <v>4</v>
      </c>
      <c r="G3855" s="2" t="s">
        <v>50</v>
      </c>
      <c r="H3855" s="2" t="n">
        <v>3854</v>
      </c>
      <c r="I3855" s="2" t="s">
        <v>39</v>
      </c>
      <c r="J3855" s="2" t="n">
        <v>1</v>
      </c>
      <c r="K3855" s="2" t="s">
        <v>44</v>
      </c>
      <c r="L3855" s="2" t="s">
        <v>37</v>
      </c>
      <c r="M3855" s="2" t="n">
        <v>36330</v>
      </c>
      <c r="N3855" s="2" t="n">
        <v>3</v>
      </c>
      <c r="O3855" s="2" t="n">
        <v>16</v>
      </c>
      <c r="P3855" s="2" t="n">
        <v>2</v>
      </c>
      <c r="Q3855" s="2" t="n">
        <v>10</v>
      </c>
      <c r="R3855" s="2" t="n">
        <v>0</v>
      </c>
      <c r="S3855" s="2" t="n">
        <v>4</v>
      </c>
      <c r="T3855" s="2" t="n">
        <v>0</v>
      </c>
      <c r="U3855" s="2" t="n">
        <v>3</v>
      </c>
      <c r="V3855" s="2" t="n">
        <v>1</v>
      </c>
      <c r="W3855" s="2" t="n">
        <v>1</v>
      </c>
      <c r="X3855" s="2" t="n">
        <v>1</v>
      </c>
      <c r="Y3855" s="2" t="n">
        <v>3</v>
      </c>
      <c r="Z3855" s="2" t="n">
        <v>3</v>
      </c>
    </row>
    <row r="3856" customFormat="false" ht="15" hidden="false" customHeight="true" outlineLevel="0" collapsed="false">
      <c r="A3856" s="2" t="n">
        <v>29</v>
      </c>
      <c r="B3856" s="2" t="s">
        <v>26</v>
      </c>
      <c r="C3856" s="2" t="s">
        <v>27</v>
      </c>
      <c r="D3856" s="2" t="s">
        <v>35</v>
      </c>
      <c r="E3856" s="2" t="n">
        <v>20</v>
      </c>
      <c r="F3856" s="2" t="n">
        <v>1</v>
      </c>
      <c r="G3856" s="2" t="s">
        <v>43</v>
      </c>
      <c r="H3856" s="2" t="n">
        <v>3855</v>
      </c>
      <c r="I3856" s="2" t="s">
        <v>30</v>
      </c>
      <c r="J3856" s="2" t="n">
        <v>2</v>
      </c>
      <c r="K3856" s="2" t="s">
        <v>49</v>
      </c>
      <c r="L3856" s="2" t="s">
        <v>37</v>
      </c>
      <c r="M3856" s="2" t="n">
        <v>41630</v>
      </c>
      <c r="N3856" s="2" t="n">
        <v>9</v>
      </c>
      <c r="O3856" s="2" t="n">
        <v>15</v>
      </c>
      <c r="P3856" s="2" t="n">
        <v>1</v>
      </c>
      <c r="Q3856" s="2" t="n">
        <v>8</v>
      </c>
      <c r="R3856" s="2" t="n">
        <v>4</v>
      </c>
      <c r="S3856" s="2" t="n">
        <v>5</v>
      </c>
      <c r="T3856" s="2" t="n">
        <v>1</v>
      </c>
      <c r="U3856" s="2" t="n">
        <v>4</v>
      </c>
      <c r="V3856" s="2" t="n">
        <v>3</v>
      </c>
      <c r="W3856" s="2" t="n">
        <v>3</v>
      </c>
      <c r="X3856" s="2" t="n">
        <v>3</v>
      </c>
      <c r="Y3856" s="2" t="n">
        <v>2</v>
      </c>
      <c r="Z3856" s="2" t="n">
        <v>3</v>
      </c>
    </row>
    <row r="3857" customFormat="false" ht="15" hidden="false" customHeight="true" outlineLevel="0" collapsed="false">
      <c r="A3857" s="2" t="n">
        <v>36</v>
      </c>
      <c r="B3857" s="2" t="s">
        <v>26</v>
      </c>
      <c r="C3857" s="2" t="s">
        <v>27</v>
      </c>
      <c r="D3857" s="2" t="s">
        <v>35</v>
      </c>
      <c r="E3857" s="2" t="n">
        <v>23</v>
      </c>
      <c r="F3857" s="2" t="n">
        <v>3</v>
      </c>
      <c r="G3857" s="2" t="s">
        <v>29</v>
      </c>
      <c r="H3857" s="2" t="n">
        <v>3856</v>
      </c>
      <c r="I3857" s="2" t="s">
        <v>30</v>
      </c>
      <c r="J3857" s="2" t="n">
        <v>3</v>
      </c>
      <c r="K3857" s="2" t="s">
        <v>40</v>
      </c>
      <c r="L3857" s="2" t="s">
        <v>32</v>
      </c>
      <c r="M3857" s="2" t="n">
        <v>21320</v>
      </c>
      <c r="N3857" s="2" t="n">
        <v>4</v>
      </c>
      <c r="O3857" s="2" t="n">
        <v>20</v>
      </c>
      <c r="P3857" s="2" t="n">
        <v>0</v>
      </c>
      <c r="Q3857" s="2" t="n">
        <v>9</v>
      </c>
      <c r="R3857" s="2" t="n">
        <v>1</v>
      </c>
      <c r="S3857" s="2" t="n">
        <v>3</v>
      </c>
      <c r="T3857" s="2" t="n">
        <v>0</v>
      </c>
      <c r="U3857" s="2" t="n">
        <v>2</v>
      </c>
      <c r="V3857" s="2" t="n">
        <v>2</v>
      </c>
      <c r="W3857" s="2" t="n">
        <v>1</v>
      </c>
      <c r="X3857" s="2" t="n">
        <v>3</v>
      </c>
      <c r="Y3857" s="2" t="n">
        <v>2</v>
      </c>
      <c r="Z3857" s="2" t="n">
        <v>4</v>
      </c>
    </row>
    <row r="3858" customFormat="false" ht="15" hidden="false" customHeight="true" outlineLevel="0" collapsed="false">
      <c r="A3858" s="2" t="n">
        <v>25</v>
      </c>
      <c r="B3858" s="2" t="s">
        <v>26</v>
      </c>
      <c r="C3858" s="2" t="s">
        <v>34</v>
      </c>
      <c r="D3858" s="2" t="s">
        <v>28</v>
      </c>
      <c r="E3858" s="2" t="n">
        <v>5</v>
      </c>
      <c r="F3858" s="2" t="n">
        <v>1</v>
      </c>
      <c r="G3858" s="2" t="s">
        <v>50</v>
      </c>
      <c r="H3858" s="2" t="n">
        <v>3857</v>
      </c>
      <c r="I3858" s="2" t="s">
        <v>39</v>
      </c>
      <c r="J3858" s="2" t="n">
        <v>4</v>
      </c>
      <c r="K3858" s="2" t="s">
        <v>47</v>
      </c>
      <c r="L3858" s="2" t="s">
        <v>46</v>
      </c>
      <c r="M3858" s="2" t="n">
        <v>139730</v>
      </c>
      <c r="N3858" s="2" t="n">
        <v>1</v>
      </c>
      <c r="O3858" s="2" t="n">
        <v>14</v>
      </c>
      <c r="P3858" s="2" t="n">
        <v>0</v>
      </c>
      <c r="Q3858" s="2" t="n">
        <v>7</v>
      </c>
      <c r="R3858" s="2" t="n">
        <v>3</v>
      </c>
      <c r="S3858" s="2" t="n">
        <v>7</v>
      </c>
      <c r="T3858" s="2" t="n">
        <v>0</v>
      </c>
      <c r="U3858" s="2" t="n">
        <v>7</v>
      </c>
      <c r="V3858" s="2" t="n">
        <v>4</v>
      </c>
      <c r="W3858" s="2" t="n">
        <v>3</v>
      </c>
      <c r="X3858" s="2" t="n">
        <v>3</v>
      </c>
      <c r="Y3858" s="2" t="n">
        <v>2</v>
      </c>
      <c r="Z3858" s="2" t="n">
        <v>3</v>
      </c>
    </row>
    <row r="3859" customFormat="false" ht="15" hidden="false" customHeight="true" outlineLevel="0" collapsed="false">
      <c r="A3859" s="2" t="n">
        <v>39</v>
      </c>
      <c r="B3859" s="2" t="s">
        <v>26</v>
      </c>
      <c r="C3859" s="2" t="s">
        <v>27</v>
      </c>
      <c r="D3859" s="2" t="s">
        <v>28</v>
      </c>
      <c r="E3859" s="2" t="n">
        <v>10</v>
      </c>
      <c r="F3859" s="2" t="n">
        <v>3</v>
      </c>
      <c r="G3859" s="2" t="s">
        <v>50</v>
      </c>
      <c r="H3859" s="2" t="n">
        <v>3858</v>
      </c>
      <c r="I3859" s="2" t="s">
        <v>30</v>
      </c>
      <c r="J3859" s="2" t="n">
        <v>2</v>
      </c>
      <c r="K3859" s="2" t="s">
        <v>44</v>
      </c>
      <c r="L3859" s="2" t="s">
        <v>32</v>
      </c>
      <c r="M3859" s="2" t="n">
        <v>26840</v>
      </c>
      <c r="N3859" s="2" t="n">
        <v>4</v>
      </c>
      <c r="O3859" s="2" t="n">
        <v>12</v>
      </c>
      <c r="P3859" s="2" t="n">
        <v>0</v>
      </c>
      <c r="Q3859" s="2" t="n">
        <v>7</v>
      </c>
      <c r="R3859" s="2" t="n">
        <v>2</v>
      </c>
      <c r="S3859" s="2" t="n">
        <v>5</v>
      </c>
      <c r="T3859" s="2" t="n">
        <v>1</v>
      </c>
      <c r="U3859" s="2" t="n">
        <v>0</v>
      </c>
      <c r="V3859" s="2" t="n">
        <v>4</v>
      </c>
      <c r="W3859" s="2" t="n">
        <v>2</v>
      </c>
      <c r="X3859" s="2" t="n">
        <v>3</v>
      </c>
      <c r="Y3859" s="2" t="n">
        <v>3</v>
      </c>
      <c r="Z3859" s="2" t="n">
        <v>3</v>
      </c>
    </row>
    <row r="3860" customFormat="false" ht="15" hidden="false" customHeight="true" outlineLevel="0" collapsed="false">
      <c r="A3860" s="2" t="n">
        <v>49</v>
      </c>
      <c r="B3860" s="2" t="s">
        <v>26</v>
      </c>
      <c r="C3860" s="2" t="s">
        <v>27</v>
      </c>
      <c r="D3860" s="2" t="s">
        <v>28</v>
      </c>
      <c r="E3860" s="2" t="n">
        <v>4</v>
      </c>
      <c r="F3860" s="2" t="n">
        <v>2</v>
      </c>
      <c r="G3860" s="2" t="s">
        <v>29</v>
      </c>
      <c r="H3860" s="2" t="n">
        <v>3859</v>
      </c>
      <c r="I3860" s="2" t="s">
        <v>39</v>
      </c>
      <c r="J3860" s="2" t="n">
        <v>2</v>
      </c>
      <c r="K3860" s="2" t="s">
        <v>44</v>
      </c>
      <c r="L3860" s="2" t="s">
        <v>32</v>
      </c>
      <c r="M3860" s="2" t="n">
        <v>108450</v>
      </c>
      <c r="N3860" s="2" t="n">
        <v>3</v>
      </c>
      <c r="O3860" s="2" t="n">
        <v>24</v>
      </c>
      <c r="P3860" s="2" t="n">
        <v>0</v>
      </c>
      <c r="Q3860" s="2" t="n">
        <v>27</v>
      </c>
      <c r="R3860" s="2" t="n">
        <v>4</v>
      </c>
      <c r="S3860" s="2" t="n">
        <v>4</v>
      </c>
      <c r="T3860" s="2" t="n">
        <v>1</v>
      </c>
      <c r="U3860" s="2" t="n">
        <v>2</v>
      </c>
      <c r="V3860" s="2" t="n">
        <v>1</v>
      </c>
      <c r="W3860" s="2" t="n">
        <v>2</v>
      </c>
      <c r="X3860" s="2" t="n">
        <v>3</v>
      </c>
      <c r="Y3860" s="2" t="n">
        <v>2</v>
      </c>
      <c r="Z3860" s="2" t="n">
        <v>4</v>
      </c>
    </row>
    <row r="3861" customFormat="false" ht="15" hidden="false" customHeight="true" outlineLevel="0" collapsed="false">
      <c r="A3861" s="2" t="n">
        <v>50</v>
      </c>
      <c r="B3861" s="2" t="s">
        <v>26</v>
      </c>
      <c r="C3861" s="2" t="s">
        <v>27</v>
      </c>
      <c r="D3861" s="2" t="s">
        <v>35</v>
      </c>
      <c r="E3861" s="2" t="n">
        <v>2</v>
      </c>
      <c r="F3861" s="2" t="n">
        <v>2</v>
      </c>
      <c r="G3861" s="2" t="s">
        <v>43</v>
      </c>
      <c r="H3861" s="2" t="n">
        <v>3860</v>
      </c>
      <c r="I3861" s="2" t="s">
        <v>39</v>
      </c>
      <c r="J3861" s="2" t="n">
        <v>3</v>
      </c>
      <c r="K3861" s="2" t="s">
        <v>40</v>
      </c>
      <c r="L3861" s="2" t="s">
        <v>46</v>
      </c>
      <c r="M3861" s="2" t="n">
        <v>43770</v>
      </c>
      <c r="N3861" s="2" t="n">
        <v>5</v>
      </c>
      <c r="O3861" s="2" t="n">
        <v>12</v>
      </c>
      <c r="P3861" s="2" t="n">
        <v>1</v>
      </c>
      <c r="Q3861" s="2" t="n">
        <v>19</v>
      </c>
      <c r="R3861" s="2" t="n">
        <v>2</v>
      </c>
      <c r="S3861" s="2" t="n">
        <v>14</v>
      </c>
      <c r="T3861" s="2" t="n">
        <v>1</v>
      </c>
      <c r="U3861" s="2" t="n">
        <v>11</v>
      </c>
      <c r="V3861" s="2" t="n">
        <v>4</v>
      </c>
      <c r="W3861" s="2" t="n">
        <v>1</v>
      </c>
      <c r="X3861" s="2" t="n">
        <v>3</v>
      </c>
      <c r="Y3861" s="2" t="n">
        <v>2</v>
      </c>
      <c r="Z3861" s="2" t="n">
        <v>3</v>
      </c>
    </row>
    <row r="3862" customFormat="false" ht="15" hidden="false" customHeight="true" outlineLevel="0" collapsed="false">
      <c r="A3862" s="2" t="n">
        <v>20</v>
      </c>
      <c r="B3862" s="2" t="s">
        <v>26</v>
      </c>
      <c r="C3862" s="2" t="s">
        <v>27</v>
      </c>
      <c r="D3862" s="2" t="s">
        <v>35</v>
      </c>
      <c r="E3862" s="2" t="n">
        <v>18</v>
      </c>
      <c r="F3862" s="2" t="n">
        <v>4</v>
      </c>
      <c r="G3862" s="2" t="s">
        <v>43</v>
      </c>
      <c r="H3862" s="2" t="n">
        <v>3861</v>
      </c>
      <c r="I3862" s="2" t="s">
        <v>30</v>
      </c>
      <c r="J3862" s="2" t="n">
        <v>2</v>
      </c>
      <c r="K3862" s="2" t="s">
        <v>40</v>
      </c>
      <c r="L3862" s="2" t="s">
        <v>37</v>
      </c>
      <c r="M3862" s="2" t="n">
        <v>37430</v>
      </c>
      <c r="N3862" s="2" t="n">
        <v>1</v>
      </c>
      <c r="O3862" s="2" t="n">
        <v>13</v>
      </c>
      <c r="P3862" s="2" t="n">
        <v>1</v>
      </c>
      <c r="Q3862" s="2" t="n">
        <v>2</v>
      </c>
      <c r="R3862" s="2" t="n">
        <v>2</v>
      </c>
      <c r="S3862" s="2" t="n">
        <v>2</v>
      </c>
      <c r="T3862" s="2" t="n">
        <v>2</v>
      </c>
      <c r="U3862" s="2" t="n">
        <v>2</v>
      </c>
      <c r="V3862" s="2" t="n">
        <v>3</v>
      </c>
      <c r="W3862" s="2" t="n">
        <v>3</v>
      </c>
      <c r="X3862" s="2" t="n">
        <v>3</v>
      </c>
      <c r="Y3862" s="2" t="n">
        <v>3</v>
      </c>
      <c r="Z3862" s="2" t="n">
        <v>3</v>
      </c>
    </row>
    <row r="3863" customFormat="false" ht="15" hidden="false" customHeight="true" outlineLevel="0" collapsed="false">
      <c r="A3863" s="2" t="n">
        <v>34</v>
      </c>
      <c r="B3863" s="2" t="s">
        <v>26</v>
      </c>
      <c r="C3863" s="2" t="s">
        <v>27</v>
      </c>
      <c r="D3863" s="2" t="s">
        <v>35</v>
      </c>
      <c r="E3863" s="2" t="n">
        <v>10</v>
      </c>
      <c r="F3863" s="2" t="n">
        <v>3</v>
      </c>
      <c r="G3863" s="2" t="s">
        <v>43</v>
      </c>
      <c r="H3863" s="2" t="n">
        <v>3862</v>
      </c>
      <c r="I3863" s="2" t="s">
        <v>39</v>
      </c>
      <c r="J3863" s="2" t="n">
        <v>3</v>
      </c>
      <c r="K3863" s="2" t="s">
        <v>45</v>
      </c>
      <c r="L3863" s="2" t="s">
        <v>46</v>
      </c>
      <c r="M3863" s="2" t="n">
        <v>41480</v>
      </c>
      <c r="N3863" s="2" t="n">
        <v>1</v>
      </c>
      <c r="O3863" s="2" t="n">
        <v>11</v>
      </c>
      <c r="P3863" s="2" t="n">
        <v>0</v>
      </c>
      <c r="Q3863" s="2" t="n">
        <v>11</v>
      </c>
      <c r="R3863" s="2" t="n">
        <v>3</v>
      </c>
      <c r="S3863" s="2" t="n">
        <v>11</v>
      </c>
      <c r="T3863" s="2" t="n">
        <v>7</v>
      </c>
      <c r="U3863" s="2" t="n">
        <v>9</v>
      </c>
      <c r="V3863" s="2" t="n">
        <v>4</v>
      </c>
      <c r="W3863" s="2" t="n">
        <v>2</v>
      </c>
      <c r="X3863" s="2" t="n">
        <v>3</v>
      </c>
      <c r="Y3863" s="2" t="n">
        <v>3</v>
      </c>
      <c r="Z3863" s="2" t="n">
        <v>3</v>
      </c>
    </row>
    <row r="3864" customFormat="false" ht="15" hidden="false" customHeight="true" outlineLevel="0" collapsed="false">
      <c r="A3864" s="2" t="n">
        <v>36</v>
      </c>
      <c r="B3864" s="2" t="s">
        <v>26</v>
      </c>
      <c r="C3864" s="2" t="s">
        <v>27</v>
      </c>
      <c r="D3864" s="2" t="s">
        <v>35</v>
      </c>
      <c r="E3864" s="2" t="n">
        <v>1</v>
      </c>
      <c r="F3864" s="2" t="n">
        <v>3</v>
      </c>
      <c r="G3864" s="2" t="s">
        <v>29</v>
      </c>
      <c r="H3864" s="2" t="n">
        <v>3863</v>
      </c>
      <c r="I3864" s="2" t="s">
        <v>30</v>
      </c>
      <c r="J3864" s="2" t="n">
        <v>2</v>
      </c>
      <c r="K3864" s="2" t="s">
        <v>31</v>
      </c>
      <c r="L3864" s="2" t="s">
        <v>37</v>
      </c>
      <c r="M3864" s="2" t="n">
        <v>10510</v>
      </c>
      <c r="N3864" s="2" t="n">
        <v>2</v>
      </c>
      <c r="O3864" s="2" t="n">
        <v>14</v>
      </c>
      <c r="P3864" s="2" t="n">
        <v>0</v>
      </c>
      <c r="Q3864" s="2" t="n">
        <v>15</v>
      </c>
      <c r="R3864" s="2" t="n">
        <v>2</v>
      </c>
      <c r="S3864" s="2" t="n">
        <v>4</v>
      </c>
      <c r="T3864" s="2" t="n">
        <v>1</v>
      </c>
      <c r="U3864" s="2" t="n">
        <v>3</v>
      </c>
      <c r="V3864" s="2" t="n">
        <v>1</v>
      </c>
      <c r="W3864" s="2" t="n">
        <v>2</v>
      </c>
      <c r="X3864" s="2" t="n">
        <v>3</v>
      </c>
      <c r="Y3864" s="2" t="n">
        <v>3</v>
      </c>
      <c r="Z3864" s="2" t="n">
        <v>3</v>
      </c>
    </row>
    <row r="3865" customFormat="false" ht="15" hidden="false" customHeight="true" outlineLevel="0" collapsed="false">
      <c r="A3865" s="2" t="n">
        <v>49</v>
      </c>
      <c r="B3865" s="2" t="s">
        <v>26</v>
      </c>
      <c r="C3865" s="2" t="s">
        <v>27</v>
      </c>
      <c r="D3865" s="2" t="s">
        <v>42</v>
      </c>
      <c r="E3865" s="2" t="n">
        <v>6</v>
      </c>
      <c r="F3865" s="2" t="n">
        <v>2</v>
      </c>
      <c r="G3865" s="2" t="s">
        <v>29</v>
      </c>
      <c r="H3865" s="2" t="n">
        <v>3864</v>
      </c>
      <c r="I3865" s="2" t="s">
        <v>30</v>
      </c>
      <c r="J3865" s="2" t="n">
        <v>2</v>
      </c>
      <c r="K3865" s="2" t="s">
        <v>36</v>
      </c>
      <c r="L3865" s="2" t="s">
        <v>32</v>
      </c>
      <c r="M3865" s="2" t="n">
        <v>107390</v>
      </c>
      <c r="N3865" s="2" t="n">
        <v>2</v>
      </c>
      <c r="O3865" s="2" t="n">
        <v>11</v>
      </c>
      <c r="P3865" s="2" t="n">
        <v>3</v>
      </c>
      <c r="Q3865" s="2" t="n">
        <v>30</v>
      </c>
      <c r="R3865" s="2" t="n">
        <v>3</v>
      </c>
      <c r="S3865" s="2" t="n">
        <v>15</v>
      </c>
      <c r="T3865" s="2" t="n">
        <v>2</v>
      </c>
      <c r="U3865" s="2" t="n">
        <v>12</v>
      </c>
      <c r="V3865" s="2" t="n">
        <v>3</v>
      </c>
      <c r="W3865" s="2" t="n">
        <v>3</v>
      </c>
      <c r="X3865" s="2" t="n">
        <v>3</v>
      </c>
      <c r="Y3865" s="2" t="n">
        <v>3</v>
      </c>
      <c r="Z3865" s="2" t="n">
        <v>3</v>
      </c>
    </row>
    <row r="3866" customFormat="false" ht="15" hidden="false" customHeight="true" outlineLevel="0" collapsed="false">
      <c r="A3866" s="2" t="n">
        <v>36</v>
      </c>
      <c r="B3866" s="2" t="s">
        <v>26</v>
      </c>
      <c r="C3866" s="2" t="s">
        <v>41</v>
      </c>
      <c r="D3866" s="2" t="s">
        <v>35</v>
      </c>
      <c r="E3866" s="2" t="n">
        <v>8</v>
      </c>
      <c r="F3866" s="2" t="n">
        <v>4</v>
      </c>
      <c r="G3866" s="2" t="s">
        <v>29</v>
      </c>
      <c r="H3866" s="2" t="n">
        <v>3865</v>
      </c>
      <c r="I3866" s="2" t="s">
        <v>39</v>
      </c>
      <c r="J3866" s="2" t="n">
        <v>4</v>
      </c>
      <c r="K3866" s="2" t="s">
        <v>45</v>
      </c>
      <c r="L3866" s="2" t="s">
        <v>32</v>
      </c>
      <c r="M3866" s="2" t="n">
        <v>103880</v>
      </c>
      <c r="N3866" s="2" t="n">
        <v>0</v>
      </c>
      <c r="O3866" s="2" t="n">
        <v>14</v>
      </c>
      <c r="P3866" s="2" t="n">
        <v>0</v>
      </c>
      <c r="Q3866" s="2" t="n">
        <v>4</v>
      </c>
      <c r="R3866" s="2" t="n">
        <v>2</v>
      </c>
      <c r="S3866" s="2" t="n">
        <v>3</v>
      </c>
      <c r="T3866" s="2" t="n">
        <v>1</v>
      </c>
      <c r="U3866" s="2" t="n">
        <v>2</v>
      </c>
      <c r="V3866" s="2" t="n">
        <v>4</v>
      </c>
      <c r="W3866" s="2" t="n">
        <v>3</v>
      </c>
      <c r="X3866" s="2" t="n">
        <v>3</v>
      </c>
      <c r="Y3866" s="2" t="n">
        <v>3</v>
      </c>
      <c r="Z3866" s="2" t="n">
        <v>3</v>
      </c>
    </row>
    <row r="3867" customFormat="false" ht="15" hidden="false" customHeight="true" outlineLevel="0" collapsed="false">
      <c r="A3867" s="2" t="n">
        <v>36</v>
      </c>
      <c r="B3867" s="2" t="s">
        <v>26</v>
      </c>
      <c r="C3867" s="2" t="s">
        <v>27</v>
      </c>
      <c r="D3867" s="2" t="s">
        <v>35</v>
      </c>
      <c r="E3867" s="2" t="n">
        <v>2</v>
      </c>
      <c r="F3867" s="2" t="n">
        <v>2</v>
      </c>
      <c r="G3867" s="2" t="s">
        <v>43</v>
      </c>
      <c r="H3867" s="2" t="n">
        <v>3866</v>
      </c>
      <c r="I3867" s="2" t="s">
        <v>30</v>
      </c>
      <c r="J3867" s="2" t="n">
        <v>2</v>
      </c>
      <c r="K3867" s="2" t="s">
        <v>31</v>
      </c>
      <c r="L3867" s="2" t="s">
        <v>46</v>
      </c>
      <c r="M3867" s="2" t="n">
        <v>114160</v>
      </c>
      <c r="N3867" s="2" t="n">
        <v>6</v>
      </c>
      <c r="O3867" s="2" t="n">
        <v>16</v>
      </c>
      <c r="P3867" s="2" t="n">
        <v>0</v>
      </c>
      <c r="Q3867" s="2" t="n">
        <v>13</v>
      </c>
      <c r="R3867" s="2" t="n">
        <v>2</v>
      </c>
      <c r="S3867" s="2" t="n">
        <v>5</v>
      </c>
      <c r="T3867" s="2" t="n">
        <v>0</v>
      </c>
      <c r="U3867" s="2" t="n">
        <v>4</v>
      </c>
      <c r="V3867" s="2" t="n">
        <v>4</v>
      </c>
      <c r="W3867" s="2" t="n">
        <v>1</v>
      </c>
      <c r="X3867" s="2" t="n">
        <v>3</v>
      </c>
      <c r="Y3867" s="2" t="n">
        <v>3</v>
      </c>
      <c r="Z3867" s="2" t="n">
        <v>3</v>
      </c>
    </row>
    <row r="3868" customFormat="false" ht="15" hidden="false" customHeight="true" outlineLevel="0" collapsed="false">
      <c r="A3868" s="2" t="n">
        <v>54</v>
      </c>
      <c r="B3868" s="2" t="s">
        <v>26</v>
      </c>
      <c r="C3868" s="2" t="s">
        <v>27</v>
      </c>
      <c r="D3868" s="2" t="s">
        <v>28</v>
      </c>
      <c r="E3868" s="2" t="n">
        <v>24</v>
      </c>
      <c r="F3868" s="2" t="n">
        <v>3</v>
      </c>
      <c r="G3868" s="2" t="s">
        <v>50</v>
      </c>
      <c r="H3868" s="2" t="n">
        <v>3867</v>
      </c>
      <c r="I3868" s="2" t="s">
        <v>39</v>
      </c>
      <c r="J3868" s="2" t="n">
        <v>1</v>
      </c>
      <c r="K3868" s="2" t="s">
        <v>45</v>
      </c>
      <c r="L3868" s="2" t="s">
        <v>32</v>
      </c>
      <c r="M3868" s="2" t="n">
        <v>26000</v>
      </c>
      <c r="N3868" s="2" t="n">
        <v>3</v>
      </c>
      <c r="O3868" s="2" t="n">
        <v>14</v>
      </c>
      <c r="P3868" s="2" t="n">
        <v>0</v>
      </c>
      <c r="Q3868" s="2" t="n">
        <v>36</v>
      </c>
      <c r="R3868" s="2" t="n">
        <v>5</v>
      </c>
      <c r="S3868" s="2" t="n">
        <v>10</v>
      </c>
      <c r="T3868" s="2" t="n">
        <v>4</v>
      </c>
      <c r="U3868" s="2" t="n">
        <v>7</v>
      </c>
      <c r="V3868" s="2" t="n">
        <v>2</v>
      </c>
      <c r="W3868" s="2" t="n">
        <v>3</v>
      </c>
      <c r="X3868" s="2" t="n">
        <v>3</v>
      </c>
      <c r="Y3868" s="2" t="n">
        <v>3</v>
      </c>
      <c r="Z3868" s="2" t="n">
        <v>3</v>
      </c>
    </row>
    <row r="3869" customFormat="false" ht="15" hidden="false" customHeight="true" outlineLevel="0" collapsed="false">
      <c r="A3869" s="2" t="n">
        <v>43</v>
      </c>
      <c r="B3869" s="2" t="s">
        <v>26</v>
      </c>
      <c r="C3869" s="2" t="s">
        <v>27</v>
      </c>
      <c r="D3869" s="2" t="s">
        <v>35</v>
      </c>
      <c r="E3869" s="2" t="n">
        <v>2</v>
      </c>
      <c r="F3869" s="2" t="n">
        <v>4</v>
      </c>
      <c r="G3869" s="2" t="s">
        <v>29</v>
      </c>
      <c r="H3869" s="2" t="n">
        <v>3868</v>
      </c>
      <c r="I3869" s="2" t="s">
        <v>30</v>
      </c>
      <c r="J3869" s="2" t="n">
        <v>1</v>
      </c>
      <c r="K3869" s="2" t="s">
        <v>36</v>
      </c>
      <c r="L3869" s="2" t="s">
        <v>32</v>
      </c>
      <c r="M3869" s="2" t="n">
        <v>24220</v>
      </c>
      <c r="N3869" s="2" t="n">
        <v>1</v>
      </c>
      <c r="O3869" s="2" t="n">
        <v>11</v>
      </c>
      <c r="P3869" s="2" t="n">
        <v>1</v>
      </c>
      <c r="Q3869" s="2" t="n">
        <v>14</v>
      </c>
      <c r="R3869" s="2" t="n">
        <v>2</v>
      </c>
      <c r="S3869" s="2" t="n">
        <v>14</v>
      </c>
      <c r="T3869" s="2" t="n">
        <v>6</v>
      </c>
      <c r="U3869" s="2" t="n">
        <v>11</v>
      </c>
      <c r="V3869" s="2" t="n">
        <v>3</v>
      </c>
      <c r="W3869" s="2" t="n">
        <v>3</v>
      </c>
      <c r="X3869" s="2" t="n">
        <v>3</v>
      </c>
      <c r="Y3869" s="2" t="n">
        <v>3</v>
      </c>
      <c r="Z3869" s="2" t="n">
        <v>3</v>
      </c>
    </row>
    <row r="3870" customFormat="false" ht="15" hidden="false" customHeight="true" outlineLevel="0" collapsed="false">
      <c r="A3870" s="2" t="n">
        <v>35</v>
      </c>
      <c r="B3870" s="2" t="s">
        <v>33</v>
      </c>
      <c r="C3870" s="2" t="s">
        <v>34</v>
      </c>
      <c r="D3870" s="2" t="s">
        <v>35</v>
      </c>
      <c r="E3870" s="2" t="n">
        <v>17</v>
      </c>
      <c r="F3870" s="2" t="n">
        <v>4</v>
      </c>
      <c r="G3870" s="2" t="s">
        <v>43</v>
      </c>
      <c r="H3870" s="2" t="n">
        <v>3869</v>
      </c>
      <c r="I3870" s="2" t="s">
        <v>39</v>
      </c>
      <c r="J3870" s="2" t="n">
        <v>1</v>
      </c>
      <c r="K3870" s="2" t="s">
        <v>44</v>
      </c>
      <c r="L3870" s="2" t="s">
        <v>37</v>
      </c>
      <c r="M3870" s="2" t="n">
        <v>54720</v>
      </c>
      <c r="N3870" s="2" t="n">
        <v>3</v>
      </c>
      <c r="O3870" s="2" t="n">
        <v>11</v>
      </c>
      <c r="P3870" s="2" t="n">
        <v>1</v>
      </c>
      <c r="Q3870" s="2" t="n">
        <v>13</v>
      </c>
      <c r="R3870" s="2" t="n">
        <v>3</v>
      </c>
      <c r="S3870" s="2" t="n">
        <v>11</v>
      </c>
      <c r="T3870" s="2" t="n">
        <v>6</v>
      </c>
      <c r="U3870" s="2" t="n">
        <v>7</v>
      </c>
      <c r="V3870" s="2" t="n">
        <v>4</v>
      </c>
      <c r="W3870" s="2" t="n">
        <v>4</v>
      </c>
      <c r="X3870" s="2" t="n">
        <v>4</v>
      </c>
      <c r="Y3870" s="2" t="n">
        <v>2</v>
      </c>
      <c r="Z3870" s="2" t="n">
        <v>3</v>
      </c>
    </row>
    <row r="3871" customFormat="false" ht="15" hidden="false" customHeight="true" outlineLevel="0" collapsed="false">
      <c r="A3871" s="2" t="n">
        <v>38</v>
      </c>
      <c r="B3871" s="2" t="s">
        <v>26</v>
      </c>
      <c r="C3871" s="2" t="s">
        <v>34</v>
      </c>
      <c r="D3871" s="2" t="s">
        <v>35</v>
      </c>
      <c r="E3871" s="2" t="n">
        <v>19</v>
      </c>
      <c r="F3871" s="2" t="n">
        <v>2</v>
      </c>
      <c r="G3871" s="2" t="s">
        <v>29</v>
      </c>
      <c r="H3871" s="2" t="n">
        <v>3870</v>
      </c>
      <c r="I3871" s="2" t="s">
        <v>39</v>
      </c>
      <c r="J3871" s="2" t="n">
        <v>2</v>
      </c>
      <c r="K3871" s="2" t="s">
        <v>36</v>
      </c>
      <c r="L3871" s="2" t="s">
        <v>32</v>
      </c>
      <c r="M3871" s="2" t="n">
        <v>24510</v>
      </c>
      <c r="N3871" s="2" t="n">
        <v>7</v>
      </c>
      <c r="O3871" s="2" t="n">
        <v>12</v>
      </c>
      <c r="P3871" s="2" t="n">
        <v>1</v>
      </c>
      <c r="Q3871" s="2" t="n">
        <v>19</v>
      </c>
      <c r="R3871" s="2" t="n">
        <v>3</v>
      </c>
      <c r="S3871" s="2" t="n">
        <v>13</v>
      </c>
      <c r="T3871" s="2" t="n">
        <v>2</v>
      </c>
      <c r="U3871" s="2" t="n">
        <v>9</v>
      </c>
      <c r="V3871" s="2" t="n">
        <v>4</v>
      </c>
      <c r="W3871" s="2" t="n">
        <v>4</v>
      </c>
      <c r="X3871" s="2" t="n">
        <v>4</v>
      </c>
      <c r="Y3871" s="2" t="n">
        <v>3</v>
      </c>
      <c r="Z3871" s="2" t="n">
        <v>3</v>
      </c>
    </row>
    <row r="3872" customFormat="false" ht="15" hidden="false" customHeight="true" outlineLevel="0" collapsed="false">
      <c r="A3872" s="2" t="n">
        <v>29</v>
      </c>
      <c r="B3872" s="2" t="s">
        <v>26</v>
      </c>
      <c r="C3872" s="2" t="s">
        <v>27</v>
      </c>
      <c r="D3872" s="2" t="s">
        <v>35</v>
      </c>
      <c r="E3872" s="2" t="n">
        <v>1</v>
      </c>
      <c r="F3872" s="2" t="n">
        <v>2</v>
      </c>
      <c r="G3872" s="2" t="s">
        <v>43</v>
      </c>
      <c r="H3872" s="2" t="n">
        <v>3871</v>
      </c>
      <c r="I3872" s="2" t="s">
        <v>39</v>
      </c>
      <c r="J3872" s="2" t="n">
        <v>2</v>
      </c>
      <c r="K3872" s="2" t="s">
        <v>48</v>
      </c>
      <c r="L3872" s="2" t="s">
        <v>46</v>
      </c>
      <c r="M3872" s="2" t="n">
        <v>42400</v>
      </c>
      <c r="N3872" s="2" t="n">
        <v>1</v>
      </c>
      <c r="O3872" s="2" t="n">
        <v>14</v>
      </c>
      <c r="P3872" s="2" t="n">
        <v>0</v>
      </c>
      <c r="Q3872" s="2" t="n">
        <v>10</v>
      </c>
      <c r="R3872" s="2" t="n">
        <v>2</v>
      </c>
      <c r="S3872" s="2" t="n">
        <v>10</v>
      </c>
      <c r="T3872" s="2" t="n">
        <v>0</v>
      </c>
      <c r="U3872" s="2" t="n">
        <v>9</v>
      </c>
      <c r="V3872" s="2" t="n">
        <v>1</v>
      </c>
      <c r="W3872" s="2" t="n">
        <v>2</v>
      </c>
      <c r="X3872" s="2" t="n">
        <v>2</v>
      </c>
      <c r="Y3872" s="2" t="n">
        <v>2</v>
      </c>
      <c r="Z3872" s="2" t="n">
        <v>3</v>
      </c>
    </row>
    <row r="3873" customFormat="false" ht="15" hidden="false" customHeight="true" outlineLevel="0" collapsed="false">
      <c r="A3873" s="2" t="n">
        <v>33</v>
      </c>
      <c r="B3873" s="2" t="s">
        <v>26</v>
      </c>
      <c r="C3873" s="2" t="s">
        <v>27</v>
      </c>
      <c r="D3873" s="2" t="s">
        <v>35</v>
      </c>
      <c r="E3873" s="2" t="n">
        <v>7</v>
      </c>
      <c r="F3873" s="2" t="n">
        <v>3</v>
      </c>
      <c r="G3873" s="2" t="s">
        <v>43</v>
      </c>
      <c r="H3873" s="2" t="n">
        <v>3872</v>
      </c>
      <c r="I3873" s="2" t="s">
        <v>39</v>
      </c>
      <c r="J3873" s="2" t="n">
        <v>5</v>
      </c>
      <c r="K3873" s="2" t="s">
        <v>40</v>
      </c>
      <c r="L3873" s="2" t="s">
        <v>46</v>
      </c>
      <c r="M3873" s="2" t="n">
        <v>109990</v>
      </c>
      <c r="N3873" s="2" t="n">
        <v>1</v>
      </c>
      <c r="O3873" s="2" t="n">
        <v>18</v>
      </c>
      <c r="P3873" s="2" t="n">
        <v>3</v>
      </c>
      <c r="Q3873" s="2" t="n">
        <v>6</v>
      </c>
      <c r="R3873" s="2" t="n">
        <v>3</v>
      </c>
      <c r="S3873" s="2" t="n">
        <v>6</v>
      </c>
      <c r="T3873" s="2" t="n">
        <v>0</v>
      </c>
      <c r="U3873" s="2" t="n">
        <v>4</v>
      </c>
      <c r="V3873" s="2" t="n">
        <v>4</v>
      </c>
      <c r="W3873" s="2" t="n">
        <v>4</v>
      </c>
      <c r="X3873" s="2" t="n">
        <v>3</v>
      </c>
      <c r="Y3873" s="2" t="n">
        <v>2</v>
      </c>
      <c r="Z3873" s="2" t="n">
        <v>3</v>
      </c>
    </row>
    <row r="3874" customFormat="false" ht="15" hidden="false" customHeight="true" outlineLevel="0" collapsed="false">
      <c r="A3874" s="2" t="n">
        <v>32</v>
      </c>
      <c r="B3874" s="2" t="s">
        <v>26</v>
      </c>
      <c r="C3874" s="2" t="s">
        <v>27</v>
      </c>
      <c r="D3874" s="2" t="s">
        <v>35</v>
      </c>
      <c r="E3874" s="2" t="n">
        <v>5</v>
      </c>
      <c r="F3874" s="2" t="n">
        <v>4</v>
      </c>
      <c r="G3874" s="2" t="s">
        <v>51</v>
      </c>
      <c r="H3874" s="2" t="n">
        <v>3873</v>
      </c>
      <c r="I3874" s="2" t="s">
        <v>39</v>
      </c>
      <c r="J3874" s="2" t="n">
        <v>5</v>
      </c>
      <c r="K3874" s="2" t="s">
        <v>36</v>
      </c>
      <c r="L3874" s="2" t="s">
        <v>46</v>
      </c>
      <c r="M3874" s="2" t="n">
        <v>50030</v>
      </c>
      <c r="N3874" s="2" t="n">
        <v>0</v>
      </c>
      <c r="O3874" s="2" t="n">
        <v>13</v>
      </c>
      <c r="P3874" s="2" t="n">
        <v>0</v>
      </c>
      <c r="Q3874" s="2" t="n">
        <v>10</v>
      </c>
      <c r="R3874" s="2" t="n">
        <v>5</v>
      </c>
      <c r="S3874" s="2" t="n">
        <v>9</v>
      </c>
      <c r="T3874" s="2" t="n">
        <v>1</v>
      </c>
      <c r="U3874" s="2" t="n">
        <v>6</v>
      </c>
      <c r="V3874" s="2" t="n">
        <v>4</v>
      </c>
      <c r="W3874" s="2" t="n">
        <v>2</v>
      </c>
      <c r="X3874" s="2" t="n">
        <v>2</v>
      </c>
      <c r="Y3874" s="2" t="n">
        <v>3</v>
      </c>
      <c r="Z3874" s="2" t="n">
        <v>3</v>
      </c>
    </row>
    <row r="3875" customFormat="false" ht="15" hidden="false" customHeight="true" outlineLevel="0" collapsed="false">
      <c r="A3875" s="2" t="n">
        <v>31</v>
      </c>
      <c r="B3875" s="2" t="s">
        <v>26</v>
      </c>
      <c r="C3875" s="2" t="s">
        <v>27</v>
      </c>
      <c r="D3875" s="2" t="s">
        <v>35</v>
      </c>
      <c r="E3875" s="2" t="n">
        <v>28</v>
      </c>
      <c r="F3875" s="2" t="n">
        <v>4</v>
      </c>
      <c r="G3875" s="2" t="s">
        <v>51</v>
      </c>
      <c r="H3875" s="2" t="n">
        <v>3874</v>
      </c>
      <c r="I3875" s="2" t="s">
        <v>30</v>
      </c>
      <c r="J3875" s="2" t="n">
        <v>2</v>
      </c>
      <c r="K3875" s="2" t="s">
        <v>40</v>
      </c>
      <c r="L3875" s="2" t="s">
        <v>32</v>
      </c>
      <c r="M3875" s="2" t="n">
        <v>127420</v>
      </c>
      <c r="N3875" s="2" t="n">
        <v>1</v>
      </c>
      <c r="O3875" s="2" t="n">
        <v>11</v>
      </c>
      <c r="P3875" s="2" t="n">
        <v>0</v>
      </c>
      <c r="Q3875" s="2" t="n">
        <v>10</v>
      </c>
      <c r="R3875" s="2" t="n">
        <v>4</v>
      </c>
      <c r="S3875" s="2" t="n">
        <v>10</v>
      </c>
      <c r="T3875" s="2" t="n">
        <v>0</v>
      </c>
      <c r="U3875" s="2" t="n">
        <v>2</v>
      </c>
      <c r="V3875" s="2" t="n">
        <v>1</v>
      </c>
      <c r="W3875" s="2" t="n">
        <v>4</v>
      </c>
      <c r="X3875" s="2" t="n">
        <v>3</v>
      </c>
      <c r="Y3875" s="2" t="n">
        <v>2</v>
      </c>
      <c r="Z3875" s="2" t="n">
        <v>3</v>
      </c>
    </row>
    <row r="3876" customFormat="false" ht="15" hidden="false" customHeight="true" outlineLevel="0" collapsed="false">
      <c r="A3876" s="2" t="n">
        <v>49</v>
      </c>
      <c r="B3876" s="2" t="s">
        <v>26</v>
      </c>
      <c r="C3876" s="2" t="s">
        <v>27</v>
      </c>
      <c r="D3876" s="2" t="s">
        <v>35</v>
      </c>
      <c r="E3876" s="2" t="n">
        <v>2</v>
      </c>
      <c r="F3876" s="2" t="n">
        <v>4</v>
      </c>
      <c r="G3876" s="2" t="s">
        <v>43</v>
      </c>
      <c r="H3876" s="2" t="n">
        <v>3875</v>
      </c>
      <c r="I3876" s="2" t="s">
        <v>39</v>
      </c>
      <c r="J3876" s="2" t="n">
        <v>1</v>
      </c>
      <c r="K3876" s="2" t="s">
        <v>45</v>
      </c>
      <c r="L3876" s="2" t="s">
        <v>46</v>
      </c>
      <c r="M3876" s="2" t="n">
        <v>42270</v>
      </c>
      <c r="N3876" s="2" t="n">
        <v>4</v>
      </c>
      <c r="O3876" s="2" t="n">
        <v>18</v>
      </c>
      <c r="P3876" s="2" t="n">
        <v>0</v>
      </c>
      <c r="Q3876" s="2" t="n">
        <v>17</v>
      </c>
      <c r="R3876" s="2" t="n">
        <v>3</v>
      </c>
      <c r="S3876" s="2" t="n">
        <v>2</v>
      </c>
      <c r="T3876" s="2" t="n">
        <v>2</v>
      </c>
      <c r="U3876" s="2" t="n">
        <v>2</v>
      </c>
      <c r="V3876" s="2" t="n">
        <v>4</v>
      </c>
      <c r="W3876" s="2" t="n">
        <v>1</v>
      </c>
      <c r="X3876" s="2" t="n">
        <v>2</v>
      </c>
      <c r="Y3876" s="2" t="n">
        <v>2</v>
      </c>
      <c r="Z3876" s="2" t="n">
        <v>3</v>
      </c>
    </row>
    <row r="3877" customFormat="false" ht="15" hidden="false" customHeight="true" outlineLevel="0" collapsed="false">
      <c r="A3877" s="2" t="n">
        <v>38</v>
      </c>
      <c r="B3877" s="2" t="s">
        <v>26</v>
      </c>
      <c r="C3877" s="2" t="s">
        <v>34</v>
      </c>
      <c r="D3877" s="2" t="s">
        <v>28</v>
      </c>
      <c r="E3877" s="2" t="n">
        <v>29</v>
      </c>
      <c r="F3877" s="2" t="n">
        <v>2</v>
      </c>
      <c r="G3877" s="2" t="s">
        <v>43</v>
      </c>
      <c r="H3877" s="2" t="n">
        <v>3876</v>
      </c>
      <c r="I3877" s="2" t="s">
        <v>30</v>
      </c>
      <c r="J3877" s="2" t="n">
        <v>1</v>
      </c>
      <c r="K3877" s="2" t="s">
        <v>40</v>
      </c>
      <c r="L3877" s="2" t="s">
        <v>37</v>
      </c>
      <c r="M3877" s="2" t="n">
        <v>39170</v>
      </c>
      <c r="N3877" s="2" t="n">
        <v>1</v>
      </c>
      <c r="O3877" s="2" t="n">
        <v>15</v>
      </c>
      <c r="P3877" s="2" t="n">
        <v>3</v>
      </c>
      <c r="Q3877" s="2" t="n">
        <v>4</v>
      </c>
      <c r="R3877" s="2" t="n">
        <v>2</v>
      </c>
      <c r="S3877" s="2" t="n">
        <v>4</v>
      </c>
      <c r="T3877" s="2" t="n">
        <v>3</v>
      </c>
      <c r="U3877" s="2" t="n">
        <v>3</v>
      </c>
      <c r="V3877" s="2" t="n">
        <v>4</v>
      </c>
      <c r="W3877" s="2" t="n">
        <v>2</v>
      </c>
      <c r="X3877" s="2" t="n">
        <v>3</v>
      </c>
      <c r="Y3877" s="2" t="n">
        <v>3</v>
      </c>
      <c r="Z3877" s="2" t="n">
        <v>3</v>
      </c>
    </row>
    <row r="3878" customFormat="false" ht="15" hidden="false" customHeight="true" outlineLevel="0" collapsed="false">
      <c r="A3878" s="2" t="n">
        <v>47</v>
      </c>
      <c r="B3878" s="2" t="s">
        <v>26</v>
      </c>
      <c r="C3878" s="2" t="s">
        <v>27</v>
      </c>
      <c r="D3878" s="2" t="s">
        <v>35</v>
      </c>
      <c r="E3878" s="2" t="n">
        <v>1</v>
      </c>
      <c r="F3878" s="2" t="n">
        <v>4</v>
      </c>
      <c r="G3878" s="2" t="s">
        <v>43</v>
      </c>
      <c r="H3878" s="2" t="n">
        <v>3877</v>
      </c>
      <c r="I3878" s="2" t="s">
        <v>39</v>
      </c>
      <c r="J3878" s="2" t="n">
        <v>3</v>
      </c>
      <c r="K3878" s="2" t="s">
        <v>45</v>
      </c>
      <c r="L3878" s="2" t="s">
        <v>46</v>
      </c>
      <c r="M3878" s="2" t="n">
        <v>183030</v>
      </c>
      <c r="N3878" s="2" t="n">
        <v>6</v>
      </c>
      <c r="O3878" s="2" t="n">
        <v>22</v>
      </c>
      <c r="P3878" s="2" t="n">
        <v>1</v>
      </c>
      <c r="Q3878" s="2" t="n">
        <v>29</v>
      </c>
      <c r="R3878" s="2" t="n">
        <v>2</v>
      </c>
      <c r="S3878" s="2" t="n">
        <v>3</v>
      </c>
      <c r="T3878" s="2" t="n">
        <v>1</v>
      </c>
      <c r="U3878" s="2" t="n">
        <v>2</v>
      </c>
      <c r="V3878" s="2" t="n">
        <v>2</v>
      </c>
      <c r="W3878" s="2" t="n">
        <v>2</v>
      </c>
      <c r="X3878" s="2" t="n">
        <v>3</v>
      </c>
      <c r="Y3878" s="2" t="n">
        <v>2</v>
      </c>
      <c r="Z3878" s="2" t="n">
        <v>4</v>
      </c>
    </row>
    <row r="3879" customFormat="false" ht="15" hidden="false" customHeight="true" outlineLevel="0" collapsed="false">
      <c r="A3879" s="2" t="n">
        <v>49</v>
      </c>
      <c r="B3879" s="2" t="s">
        <v>26</v>
      </c>
      <c r="C3879" s="2" t="s">
        <v>27</v>
      </c>
      <c r="D3879" s="2" t="s">
        <v>35</v>
      </c>
      <c r="E3879" s="2" t="n">
        <v>21</v>
      </c>
      <c r="F3879" s="2" t="n">
        <v>3</v>
      </c>
      <c r="G3879" s="2" t="s">
        <v>43</v>
      </c>
      <c r="H3879" s="2" t="n">
        <v>3878</v>
      </c>
      <c r="I3879" s="2" t="s">
        <v>39</v>
      </c>
      <c r="J3879" s="2" t="n">
        <v>2</v>
      </c>
      <c r="K3879" s="2" t="s">
        <v>47</v>
      </c>
      <c r="L3879" s="2" t="s">
        <v>37</v>
      </c>
      <c r="M3879" s="2" t="n">
        <v>23800</v>
      </c>
      <c r="N3879" s="2" t="n">
        <v>4</v>
      </c>
      <c r="O3879" s="2" t="n">
        <v>13</v>
      </c>
      <c r="P3879" s="2" t="n">
        <v>0</v>
      </c>
      <c r="Q3879" s="2" t="n">
        <v>23</v>
      </c>
      <c r="R3879" s="2" t="n">
        <v>3</v>
      </c>
      <c r="S3879" s="2" t="n">
        <v>8</v>
      </c>
      <c r="T3879" s="2" t="n">
        <v>0</v>
      </c>
      <c r="U3879" s="2" t="n">
        <v>0</v>
      </c>
      <c r="V3879" s="2" t="n">
        <v>3</v>
      </c>
      <c r="W3879" s="2" t="n">
        <v>3</v>
      </c>
      <c r="X3879" s="2" t="n">
        <v>3</v>
      </c>
      <c r="Y3879" s="2" t="n">
        <v>1</v>
      </c>
      <c r="Z3879" s="2" t="n">
        <v>3</v>
      </c>
    </row>
    <row r="3880" customFormat="false" ht="15" hidden="false" customHeight="true" outlineLevel="0" collapsed="false">
      <c r="A3880" s="2" t="n">
        <v>41</v>
      </c>
      <c r="B3880" s="2" t="s">
        <v>26</v>
      </c>
      <c r="C3880" s="2" t="s">
        <v>27</v>
      </c>
      <c r="D3880" s="2" t="s">
        <v>35</v>
      </c>
      <c r="E3880" s="2" t="n">
        <v>24</v>
      </c>
      <c r="F3880" s="2" t="n">
        <v>4</v>
      </c>
      <c r="G3880" s="2" t="s">
        <v>29</v>
      </c>
      <c r="H3880" s="2" t="n">
        <v>3879</v>
      </c>
      <c r="I3880" s="2" t="s">
        <v>30</v>
      </c>
      <c r="J3880" s="2" t="n">
        <v>4</v>
      </c>
      <c r="K3880" s="2" t="s">
        <v>49</v>
      </c>
      <c r="L3880" s="2" t="s">
        <v>37</v>
      </c>
      <c r="M3880" s="2" t="n">
        <v>137260</v>
      </c>
      <c r="N3880" s="2" t="n">
        <v>3</v>
      </c>
      <c r="O3880" s="2" t="n">
        <v>12</v>
      </c>
      <c r="P3880" s="2" t="n">
        <v>0</v>
      </c>
      <c r="Q3880" s="2" t="n">
        <v>21</v>
      </c>
      <c r="R3880" s="2" t="n">
        <v>6</v>
      </c>
      <c r="S3880" s="2" t="n">
        <v>2</v>
      </c>
      <c r="T3880" s="2" t="n">
        <v>0</v>
      </c>
      <c r="U3880" s="2" t="n">
        <v>2</v>
      </c>
      <c r="V3880" s="2" t="n">
        <v>4</v>
      </c>
      <c r="W3880" s="2" t="n">
        <v>3</v>
      </c>
      <c r="X3880" s="2" t="n">
        <v>3</v>
      </c>
      <c r="Y3880" s="2" t="n">
        <v>4</v>
      </c>
      <c r="Z3880" s="2" t="n">
        <v>3</v>
      </c>
    </row>
    <row r="3881" customFormat="false" ht="15" hidden="false" customHeight="true" outlineLevel="0" collapsed="false">
      <c r="A3881" s="2" t="n">
        <v>20</v>
      </c>
      <c r="B3881" s="2" t="s">
        <v>26</v>
      </c>
      <c r="C3881" s="2" t="s">
        <v>27</v>
      </c>
      <c r="D3881" s="2" t="s">
        <v>35</v>
      </c>
      <c r="E3881" s="2" t="n">
        <v>1</v>
      </c>
      <c r="F3881" s="2" t="n">
        <v>3</v>
      </c>
      <c r="G3881" s="2" t="s">
        <v>29</v>
      </c>
      <c r="H3881" s="2" t="n">
        <v>3880</v>
      </c>
      <c r="I3881" s="2" t="s">
        <v>39</v>
      </c>
      <c r="J3881" s="2" t="n">
        <v>1</v>
      </c>
      <c r="K3881" s="2" t="s">
        <v>48</v>
      </c>
      <c r="L3881" s="2" t="s">
        <v>37</v>
      </c>
      <c r="M3881" s="2" t="n">
        <v>47770</v>
      </c>
      <c r="N3881" s="2" t="n">
        <v>1</v>
      </c>
      <c r="O3881" s="2" t="n">
        <v>18</v>
      </c>
      <c r="P3881" s="2" t="n">
        <v>1</v>
      </c>
      <c r="Q3881" s="2" t="n">
        <v>2</v>
      </c>
      <c r="R3881" s="2" t="n">
        <v>3</v>
      </c>
      <c r="S3881" s="2" t="n">
        <v>2</v>
      </c>
      <c r="T3881" s="2" t="n">
        <v>0</v>
      </c>
      <c r="U3881" s="2" t="n">
        <v>2</v>
      </c>
      <c r="V3881" s="2" t="n">
        <v>4</v>
      </c>
      <c r="W3881" s="2" t="n">
        <v>1</v>
      </c>
      <c r="X3881" s="2" t="n">
        <v>3</v>
      </c>
      <c r="Y3881" s="2" t="n">
        <v>3</v>
      </c>
      <c r="Z3881" s="2" t="n">
        <v>3</v>
      </c>
    </row>
    <row r="3882" customFormat="false" ht="15" hidden="false" customHeight="true" outlineLevel="0" collapsed="false">
      <c r="A3882" s="2" t="n">
        <v>33</v>
      </c>
      <c r="B3882" s="2" t="s">
        <v>26</v>
      </c>
      <c r="C3882" s="2" t="s">
        <v>41</v>
      </c>
      <c r="D3882" s="2" t="s">
        <v>35</v>
      </c>
      <c r="E3882" s="2" t="n">
        <v>18</v>
      </c>
      <c r="F3882" s="2" t="n">
        <v>2</v>
      </c>
      <c r="G3882" s="2" t="s">
        <v>43</v>
      </c>
      <c r="H3882" s="2" t="n">
        <v>3881</v>
      </c>
      <c r="I3882" s="2" t="s">
        <v>30</v>
      </c>
      <c r="J3882" s="2" t="n">
        <v>2</v>
      </c>
      <c r="K3882" s="2" t="s">
        <v>31</v>
      </c>
      <c r="L3882" s="2" t="s">
        <v>46</v>
      </c>
      <c r="M3882" s="2" t="n">
        <v>63850</v>
      </c>
      <c r="N3882" s="2" t="n">
        <v>1</v>
      </c>
      <c r="O3882" s="2" t="n">
        <v>13</v>
      </c>
      <c r="P3882" s="2" t="n">
        <v>0</v>
      </c>
      <c r="Q3882" s="2" t="n">
        <v>7</v>
      </c>
      <c r="R3882" s="2" t="n">
        <v>6</v>
      </c>
      <c r="S3882" s="2" t="n">
        <v>6</v>
      </c>
      <c r="T3882" s="2" t="n">
        <v>1</v>
      </c>
      <c r="U3882" s="2" t="n">
        <v>2</v>
      </c>
      <c r="V3882" s="2" t="n">
        <v>3</v>
      </c>
      <c r="W3882" s="2" t="n">
        <v>4</v>
      </c>
      <c r="X3882" s="2" t="n">
        <v>3</v>
      </c>
      <c r="Y3882" s="2" t="n">
        <v>2</v>
      </c>
      <c r="Z3882" s="2" t="n">
        <v>3</v>
      </c>
    </row>
    <row r="3883" customFormat="false" ht="15" hidden="false" customHeight="true" outlineLevel="0" collapsed="false">
      <c r="A3883" s="2" t="n">
        <v>36</v>
      </c>
      <c r="B3883" s="2" t="s">
        <v>26</v>
      </c>
      <c r="C3883" s="2" t="s">
        <v>27</v>
      </c>
      <c r="D3883" s="2" t="s">
        <v>35</v>
      </c>
      <c r="E3883" s="2" t="n">
        <v>2</v>
      </c>
      <c r="F3883" s="2" t="n">
        <v>2</v>
      </c>
      <c r="G3883" s="2" t="s">
        <v>51</v>
      </c>
      <c r="H3883" s="2" t="n">
        <v>3882</v>
      </c>
      <c r="I3883" s="2" t="s">
        <v>39</v>
      </c>
      <c r="J3883" s="2" t="n">
        <v>3</v>
      </c>
      <c r="K3883" s="2" t="s">
        <v>40</v>
      </c>
      <c r="L3883" s="2" t="s">
        <v>32</v>
      </c>
      <c r="M3883" s="2" t="n">
        <v>199730</v>
      </c>
      <c r="N3883" s="2" t="n">
        <v>6</v>
      </c>
      <c r="O3883" s="2" t="n">
        <v>12</v>
      </c>
      <c r="P3883" s="2" t="n">
        <v>0</v>
      </c>
      <c r="Q3883" s="2" t="n">
        <v>10</v>
      </c>
      <c r="R3883" s="2" t="n">
        <v>2</v>
      </c>
      <c r="S3883" s="2" t="n">
        <v>3</v>
      </c>
      <c r="T3883" s="2" t="n">
        <v>0</v>
      </c>
      <c r="U3883" s="2" t="n">
        <v>2</v>
      </c>
      <c r="V3883" s="2" t="n">
        <v>1</v>
      </c>
      <c r="W3883" s="2" t="n">
        <v>3</v>
      </c>
      <c r="X3883" s="2" t="n">
        <v>2</v>
      </c>
      <c r="Y3883" s="2" t="n">
        <v>3</v>
      </c>
      <c r="Z3883" s="2" t="n">
        <v>3</v>
      </c>
    </row>
    <row r="3884" customFormat="false" ht="15" hidden="false" customHeight="true" outlineLevel="0" collapsed="false">
      <c r="A3884" s="2" t="n">
        <v>44</v>
      </c>
      <c r="B3884" s="2" t="s">
        <v>26</v>
      </c>
      <c r="C3884" s="2" t="s">
        <v>27</v>
      </c>
      <c r="D3884" s="2" t="s">
        <v>35</v>
      </c>
      <c r="E3884" s="2" t="n">
        <v>9</v>
      </c>
      <c r="F3884" s="2" t="n">
        <v>3</v>
      </c>
      <c r="G3884" s="2" t="s">
        <v>51</v>
      </c>
      <c r="H3884" s="2" t="n">
        <v>3883</v>
      </c>
      <c r="I3884" s="2" t="s">
        <v>30</v>
      </c>
      <c r="J3884" s="2" t="n">
        <v>3</v>
      </c>
      <c r="K3884" s="2" t="s">
        <v>31</v>
      </c>
      <c r="L3884" s="2" t="s">
        <v>46</v>
      </c>
      <c r="M3884" s="2" t="n">
        <v>68610</v>
      </c>
      <c r="N3884" s="2" t="n">
        <v>4</v>
      </c>
      <c r="O3884" s="2" t="n">
        <v>12</v>
      </c>
      <c r="P3884" s="2" t="n">
        <v>0</v>
      </c>
      <c r="Q3884" s="2" t="n">
        <v>8</v>
      </c>
      <c r="R3884" s="2" t="n">
        <v>2</v>
      </c>
      <c r="S3884" s="2" t="n">
        <v>2</v>
      </c>
      <c r="T3884" s="2" t="n">
        <v>2</v>
      </c>
      <c r="U3884" s="2" t="n">
        <v>2</v>
      </c>
      <c r="V3884" s="2" t="n">
        <v>3</v>
      </c>
      <c r="W3884" s="2" t="n">
        <v>4</v>
      </c>
      <c r="X3884" s="2" t="n">
        <v>3</v>
      </c>
      <c r="Y3884" s="2" t="n">
        <v>2</v>
      </c>
      <c r="Z3884" s="2" t="n">
        <v>3</v>
      </c>
    </row>
    <row r="3885" customFormat="false" ht="15" hidden="false" customHeight="true" outlineLevel="0" collapsed="false">
      <c r="A3885" s="2" t="n">
        <v>23</v>
      </c>
      <c r="B3885" s="2" t="s">
        <v>33</v>
      </c>
      <c r="C3885" s="2" t="s">
        <v>27</v>
      </c>
      <c r="D3885" s="2" t="s">
        <v>42</v>
      </c>
      <c r="E3885" s="2" t="n">
        <v>6</v>
      </c>
      <c r="F3885" s="2" t="n">
        <v>3</v>
      </c>
      <c r="G3885" s="2" t="s">
        <v>29</v>
      </c>
      <c r="H3885" s="2" t="n">
        <v>3884</v>
      </c>
      <c r="I3885" s="2" t="s">
        <v>30</v>
      </c>
      <c r="J3885" s="2" t="n">
        <v>3</v>
      </c>
      <c r="K3885" s="2" t="s">
        <v>45</v>
      </c>
      <c r="L3885" s="2" t="s">
        <v>37</v>
      </c>
      <c r="M3885" s="2" t="n">
        <v>49690</v>
      </c>
      <c r="N3885" s="2" t="n">
        <v>1</v>
      </c>
      <c r="O3885" s="2" t="n">
        <v>12</v>
      </c>
      <c r="P3885" s="2" t="n">
        <v>0</v>
      </c>
      <c r="Q3885" s="2" t="n">
        <v>5</v>
      </c>
      <c r="R3885" s="2" t="n">
        <v>3</v>
      </c>
      <c r="S3885" s="2" t="n">
        <v>5</v>
      </c>
      <c r="T3885" s="2" t="n">
        <v>1</v>
      </c>
      <c r="U3885" s="2" t="n">
        <v>2</v>
      </c>
      <c r="V3885" s="2" t="n">
        <v>4</v>
      </c>
      <c r="W3885" s="2" t="n">
        <v>3</v>
      </c>
      <c r="X3885" s="2" t="n">
        <v>3</v>
      </c>
      <c r="Y3885" s="2" t="n">
        <v>3</v>
      </c>
      <c r="Z3885" s="2" t="n">
        <v>3</v>
      </c>
    </row>
    <row r="3886" customFormat="false" ht="15" hidden="false" customHeight="true" outlineLevel="0" collapsed="false">
      <c r="A3886" s="2" t="n">
        <v>38</v>
      </c>
      <c r="B3886" s="2" t="s">
        <v>26</v>
      </c>
      <c r="C3886" s="2" t="s">
        <v>27</v>
      </c>
      <c r="D3886" s="2" t="s">
        <v>35</v>
      </c>
      <c r="E3886" s="2" t="n">
        <v>11</v>
      </c>
      <c r="F3886" s="2" t="n">
        <v>2</v>
      </c>
      <c r="G3886" s="2" t="s">
        <v>29</v>
      </c>
      <c r="H3886" s="2" t="n">
        <v>3885</v>
      </c>
      <c r="I3886" s="2" t="s">
        <v>39</v>
      </c>
      <c r="J3886" s="2" t="n">
        <v>1</v>
      </c>
      <c r="K3886" s="2" t="s">
        <v>40</v>
      </c>
      <c r="L3886" s="2" t="s">
        <v>32</v>
      </c>
      <c r="M3886" s="2" t="n">
        <v>198450</v>
      </c>
      <c r="N3886" s="2" t="n">
        <v>7</v>
      </c>
      <c r="O3886" s="2" t="n">
        <v>11</v>
      </c>
      <c r="P3886" s="2" t="n">
        <v>1</v>
      </c>
      <c r="Q3886" s="2" t="n">
        <v>7</v>
      </c>
      <c r="R3886" s="2" t="n">
        <v>3</v>
      </c>
      <c r="S3886" s="2" t="n">
        <v>0</v>
      </c>
      <c r="T3886" s="2" t="n">
        <v>0</v>
      </c>
      <c r="U3886" s="2" t="n">
        <v>0</v>
      </c>
      <c r="V3886" s="2" t="n">
        <v>4</v>
      </c>
      <c r="W3886" s="2" t="n">
        <v>3</v>
      </c>
      <c r="X3886" s="2" t="n">
        <v>2</v>
      </c>
      <c r="Y3886" s="2" t="n">
        <v>3</v>
      </c>
      <c r="Z3886" s="2" t="n">
        <v>3</v>
      </c>
    </row>
    <row r="3887" customFormat="false" ht="15" hidden="false" customHeight="true" outlineLevel="0" collapsed="false">
      <c r="A3887" s="2" t="n">
        <v>53</v>
      </c>
      <c r="B3887" s="2" t="s">
        <v>26</v>
      </c>
      <c r="C3887" s="2" t="s">
        <v>27</v>
      </c>
      <c r="D3887" s="2" t="s">
        <v>35</v>
      </c>
      <c r="E3887" s="2" t="n">
        <v>24</v>
      </c>
      <c r="F3887" s="2" t="n">
        <v>3</v>
      </c>
      <c r="G3887" s="2" t="s">
        <v>29</v>
      </c>
      <c r="H3887" s="2" t="n">
        <v>3886</v>
      </c>
      <c r="I3887" s="2" t="s">
        <v>39</v>
      </c>
      <c r="J3887" s="2" t="n">
        <v>4</v>
      </c>
      <c r="K3887" s="2" t="s">
        <v>44</v>
      </c>
      <c r="L3887" s="2" t="s">
        <v>32</v>
      </c>
      <c r="M3887" s="2" t="n">
        <v>133200</v>
      </c>
      <c r="N3887" s="2" t="n">
        <v>3</v>
      </c>
      <c r="O3887" s="2" t="n">
        <v>11</v>
      </c>
      <c r="P3887" s="2" t="n">
        <v>0</v>
      </c>
      <c r="Q3887" s="2" t="n">
        <v>11</v>
      </c>
      <c r="R3887" s="2" t="n">
        <v>2</v>
      </c>
      <c r="S3887" s="2" t="n">
        <v>4</v>
      </c>
      <c r="T3887" s="2" t="n">
        <v>1</v>
      </c>
      <c r="U3887" s="2" t="n">
        <v>2</v>
      </c>
      <c r="V3887" s="2" t="n">
        <v>2</v>
      </c>
      <c r="W3887" s="2" t="n">
        <v>4</v>
      </c>
      <c r="X3887" s="2"/>
      <c r="Y3887" s="2" t="n">
        <v>3</v>
      </c>
      <c r="Z3887" s="2" t="n">
        <v>3</v>
      </c>
    </row>
    <row r="3888" customFormat="false" ht="15" hidden="false" customHeight="true" outlineLevel="0" collapsed="false">
      <c r="A3888" s="2" t="n">
        <v>48</v>
      </c>
      <c r="B3888" s="2" t="s">
        <v>33</v>
      </c>
      <c r="C3888" s="2" t="s">
        <v>34</v>
      </c>
      <c r="D3888" s="2" t="s">
        <v>28</v>
      </c>
      <c r="E3888" s="2" t="n">
        <v>10</v>
      </c>
      <c r="F3888" s="2" t="n">
        <v>2</v>
      </c>
      <c r="G3888" s="2" t="s">
        <v>50</v>
      </c>
      <c r="H3888" s="2" t="n">
        <v>3887</v>
      </c>
      <c r="I3888" s="2" t="s">
        <v>39</v>
      </c>
      <c r="J3888" s="2" t="n">
        <v>1</v>
      </c>
      <c r="K3888" s="2" t="s">
        <v>31</v>
      </c>
      <c r="L3888" s="2" t="s">
        <v>32</v>
      </c>
      <c r="M3888" s="2" t="n">
        <v>63470</v>
      </c>
      <c r="N3888" s="2" t="n">
        <v>2</v>
      </c>
      <c r="O3888" s="2" t="n">
        <v>12</v>
      </c>
      <c r="P3888" s="2" t="n">
        <v>1</v>
      </c>
      <c r="Q3888" s="2" t="n">
        <v>19</v>
      </c>
      <c r="R3888" s="2" t="n">
        <v>3</v>
      </c>
      <c r="S3888" s="2" t="n">
        <v>9</v>
      </c>
      <c r="T3888" s="2" t="n">
        <v>7</v>
      </c>
      <c r="U3888" s="2" t="n">
        <v>7</v>
      </c>
      <c r="V3888" s="2" t="n">
        <v>4</v>
      </c>
      <c r="W3888" s="2" t="n">
        <v>3</v>
      </c>
      <c r="X3888" s="2" t="n">
        <v>3</v>
      </c>
      <c r="Y3888" s="2" t="n">
        <v>1</v>
      </c>
      <c r="Z3888" s="2" t="n">
        <v>3</v>
      </c>
    </row>
    <row r="3889" customFormat="false" ht="15" hidden="false" customHeight="true" outlineLevel="0" collapsed="false">
      <c r="A3889" s="2" t="n">
        <v>32</v>
      </c>
      <c r="B3889" s="2" t="s">
        <v>33</v>
      </c>
      <c r="C3889" s="2" t="s">
        <v>27</v>
      </c>
      <c r="D3889" s="2" t="s">
        <v>28</v>
      </c>
      <c r="E3889" s="2" t="n">
        <v>1</v>
      </c>
      <c r="F3889" s="2" t="n">
        <v>3</v>
      </c>
      <c r="G3889" s="2" t="s">
        <v>29</v>
      </c>
      <c r="H3889" s="2" t="n">
        <v>3888</v>
      </c>
      <c r="I3889" s="2" t="s">
        <v>39</v>
      </c>
      <c r="J3889" s="2" t="n">
        <v>2</v>
      </c>
      <c r="K3889" s="2" t="s">
        <v>36</v>
      </c>
      <c r="L3889" s="2" t="s">
        <v>37</v>
      </c>
      <c r="M3889" s="2" t="n">
        <v>27430</v>
      </c>
      <c r="N3889" s="2" t="n">
        <v>1</v>
      </c>
      <c r="O3889" s="2" t="n">
        <v>19</v>
      </c>
      <c r="P3889" s="2" t="n">
        <v>1</v>
      </c>
      <c r="Q3889" s="2" t="n">
        <v>1</v>
      </c>
      <c r="R3889" s="2" t="n">
        <v>2</v>
      </c>
      <c r="S3889" s="2" t="n">
        <v>1</v>
      </c>
      <c r="T3889" s="2" t="n">
        <v>0</v>
      </c>
      <c r="U3889" s="2" t="n">
        <v>0</v>
      </c>
      <c r="V3889" s="2" t="n">
        <v>4</v>
      </c>
      <c r="W3889" s="2" t="n">
        <v>2</v>
      </c>
      <c r="X3889" s="2" t="n">
        <v>3</v>
      </c>
      <c r="Y3889" s="2" t="n">
        <v>3</v>
      </c>
      <c r="Z3889" s="2" t="n">
        <v>3</v>
      </c>
    </row>
    <row r="3890" customFormat="false" ht="15" hidden="false" customHeight="true" outlineLevel="0" collapsed="false">
      <c r="A3890" s="2" t="n">
        <v>26</v>
      </c>
      <c r="B3890" s="2" t="s">
        <v>26</v>
      </c>
      <c r="C3890" s="2" t="s">
        <v>41</v>
      </c>
      <c r="D3890" s="2" t="s">
        <v>35</v>
      </c>
      <c r="E3890" s="2" t="n">
        <v>18</v>
      </c>
      <c r="F3890" s="2" t="n">
        <v>2</v>
      </c>
      <c r="G3890" s="2" t="s">
        <v>43</v>
      </c>
      <c r="H3890" s="2" t="n">
        <v>3889</v>
      </c>
      <c r="I3890" s="2" t="s">
        <v>39</v>
      </c>
      <c r="J3890" s="2" t="n">
        <v>1</v>
      </c>
      <c r="K3890" s="2" t="s">
        <v>42</v>
      </c>
      <c r="L3890" s="2" t="s">
        <v>37</v>
      </c>
      <c r="M3890" s="2" t="n">
        <v>108800</v>
      </c>
      <c r="N3890" s="2" t="n">
        <v>1</v>
      </c>
      <c r="O3890" s="2" t="n">
        <v>23</v>
      </c>
      <c r="P3890" s="2" t="n">
        <v>1</v>
      </c>
      <c r="Q3890" s="2" t="n">
        <v>7</v>
      </c>
      <c r="R3890" s="2" t="n">
        <v>5</v>
      </c>
      <c r="S3890" s="2" t="n">
        <v>7</v>
      </c>
      <c r="T3890" s="2" t="n">
        <v>5</v>
      </c>
      <c r="U3890" s="2" t="n">
        <v>7</v>
      </c>
      <c r="V3890" s="2" t="n">
        <v>4</v>
      </c>
      <c r="W3890" s="2" t="n">
        <v>4</v>
      </c>
      <c r="X3890" s="2" t="n">
        <v>3</v>
      </c>
      <c r="Y3890" s="2" t="n">
        <v>3</v>
      </c>
      <c r="Z3890" s="2" t="n">
        <v>4</v>
      </c>
    </row>
    <row r="3891" customFormat="false" ht="15" hidden="false" customHeight="true" outlineLevel="0" collapsed="false">
      <c r="A3891" s="2" t="n">
        <v>55</v>
      </c>
      <c r="B3891" s="2" t="s">
        <v>26</v>
      </c>
      <c r="C3891" s="2" t="s">
        <v>27</v>
      </c>
      <c r="D3891" s="2" t="s">
        <v>35</v>
      </c>
      <c r="E3891" s="2" t="n">
        <v>23</v>
      </c>
      <c r="F3891" s="2" t="n">
        <v>1</v>
      </c>
      <c r="G3891" s="2" t="s">
        <v>29</v>
      </c>
      <c r="H3891" s="2" t="n">
        <v>3890</v>
      </c>
      <c r="I3891" s="2" t="s">
        <v>39</v>
      </c>
      <c r="J3891" s="2" t="n">
        <v>5</v>
      </c>
      <c r="K3891" s="2" t="s">
        <v>45</v>
      </c>
      <c r="L3891" s="2" t="s">
        <v>46</v>
      </c>
      <c r="M3891" s="2" t="n">
        <v>23420</v>
      </c>
      <c r="N3891" s="2" t="n">
        <v>5</v>
      </c>
      <c r="O3891" s="2" t="n">
        <v>11</v>
      </c>
      <c r="P3891" s="2" t="n">
        <v>2</v>
      </c>
      <c r="Q3891" s="2" t="n">
        <v>8</v>
      </c>
      <c r="R3891" s="2" t="n">
        <v>2</v>
      </c>
      <c r="S3891" s="2" t="n">
        <v>4</v>
      </c>
      <c r="T3891" s="2" t="n">
        <v>1</v>
      </c>
      <c r="U3891" s="2" t="n">
        <v>2</v>
      </c>
      <c r="V3891" s="2" t="n">
        <v>1</v>
      </c>
      <c r="W3891" s="2" t="n">
        <v>2</v>
      </c>
      <c r="X3891" s="2" t="n">
        <v>3</v>
      </c>
      <c r="Y3891" s="2" t="n">
        <v>3</v>
      </c>
      <c r="Z3891" s="2" t="n">
        <v>3</v>
      </c>
    </row>
    <row r="3892" customFormat="false" ht="15" hidden="false" customHeight="true" outlineLevel="0" collapsed="false">
      <c r="A3892" s="2" t="n">
        <v>34</v>
      </c>
      <c r="B3892" s="2" t="s">
        <v>26</v>
      </c>
      <c r="C3892" s="2" t="s">
        <v>27</v>
      </c>
      <c r="D3892" s="2" t="s">
        <v>28</v>
      </c>
      <c r="E3892" s="2" t="n">
        <v>28</v>
      </c>
      <c r="F3892" s="2" t="n">
        <v>3</v>
      </c>
      <c r="G3892" s="2" t="s">
        <v>29</v>
      </c>
      <c r="H3892" s="2" t="n">
        <v>3891</v>
      </c>
      <c r="I3892" s="2" t="s">
        <v>30</v>
      </c>
      <c r="J3892" s="2" t="n">
        <v>2</v>
      </c>
      <c r="K3892" s="2" t="s">
        <v>36</v>
      </c>
      <c r="L3892" s="2" t="s">
        <v>32</v>
      </c>
      <c r="M3892" s="2" t="n">
        <v>176500</v>
      </c>
      <c r="N3892" s="2" t="n">
        <v>1</v>
      </c>
      <c r="O3892" s="2" t="n">
        <v>19</v>
      </c>
      <c r="P3892" s="2" t="n">
        <v>1</v>
      </c>
      <c r="Q3892" s="2" t="n">
        <v>15</v>
      </c>
      <c r="R3892" s="2" t="n">
        <v>6</v>
      </c>
      <c r="S3892" s="2" t="n">
        <v>15</v>
      </c>
      <c r="T3892" s="2" t="n">
        <v>4</v>
      </c>
      <c r="U3892" s="2" t="n">
        <v>13</v>
      </c>
      <c r="V3892" s="2" t="n">
        <v>2</v>
      </c>
      <c r="W3892" s="2" t="n">
        <v>4</v>
      </c>
      <c r="X3892" s="2" t="n">
        <v>4</v>
      </c>
      <c r="Y3892" s="2" t="n">
        <v>1</v>
      </c>
      <c r="Z3892" s="2" t="n">
        <v>3</v>
      </c>
    </row>
    <row r="3893" customFormat="false" ht="15" hidden="false" customHeight="true" outlineLevel="0" collapsed="false">
      <c r="A3893" s="2" t="n">
        <v>60</v>
      </c>
      <c r="B3893" s="2" t="s">
        <v>26</v>
      </c>
      <c r="C3893" s="2" t="s">
        <v>27</v>
      </c>
      <c r="D3893" s="2" t="s">
        <v>28</v>
      </c>
      <c r="E3893" s="2" t="n">
        <v>17</v>
      </c>
      <c r="F3893" s="2" t="n">
        <v>4</v>
      </c>
      <c r="G3893" s="2" t="s">
        <v>43</v>
      </c>
      <c r="H3893" s="2" t="n">
        <v>3892</v>
      </c>
      <c r="I3893" s="2" t="s">
        <v>39</v>
      </c>
      <c r="J3893" s="2" t="n">
        <v>1</v>
      </c>
      <c r="K3893" s="2" t="s">
        <v>49</v>
      </c>
      <c r="L3893" s="2" t="s">
        <v>46</v>
      </c>
      <c r="M3893" s="2" t="n">
        <v>40250</v>
      </c>
      <c r="N3893" s="2" t="n">
        <v>3</v>
      </c>
      <c r="O3893" s="2" t="n">
        <v>13</v>
      </c>
      <c r="P3893" s="2" t="n">
        <v>1</v>
      </c>
      <c r="Q3893" s="2" t="n">
        <v>19</v>
      </c>
      <c r="R3893" s="2" t="n">
        <v>5</v>
      </c>
      <c r="S3893" s="2" t="n">
        <v>1</v>
      </c>
      <c r="T3893" s="2" t="n">
        <v>0</v>
      </c>
      <c r="U3893" s="2" t="n">
        <v>0</v>
      </c>
      <c r="V3893" s="2" t="n">
        <v>3</v>
      </c>
      <c r="W3893" s="2" t="n">
        <v>4</v>
      </c>
      <c r="X3893" s="2" t="n">
        <v>4</v>
      </c>
      <c r="Y3893" s="2" t="n">
        <v>2</v>
      </c>
      <c r="Z3893" s="2" t="n">
        <v>3</v>
      </c>
    </row>
    <row r="3894" customFormat="false" ht="15" hidden="false" customHeight="true" outlineLevel="0" collapsed="false">
      <c r="A3894" s="2" t="n">
        <v>33</v>
      </c>
      <c r="B3894" s="2" t="s">
        <v>26</v>
      </c>
      <c r="C3894" s="2" t="s">
        <v>27</v>
      </c>
      <c r="D3894" s="2" t="s">
        <v>28</v>
      </c>
      <c r="E3894" s="2" t="n">
        <v>3</v>
      </c>
      <c r="F3894" s="2" t="n">
        <v>3</v>
      </c>
      <c r="G3894" s="2" t="s">
        <v>29</v>
      </c>
      <c r="H3894" s="2" t="n">
        <v>3893</v>
      </c>
      <c r="I3894" s="2" t="s">
        <v>39</v>
      </c>
      <c r="J3894" s="2" t="n">
        <v>3</v>
      </c>
      <c r="K3894" s="2" t="s">
        <v>49</v>
      </c>
      <c r="L3894" s="2" t="s">
        <v>32</v>
      </c>
      <c r="M3894" s="2" t="n">
        <v>97250</v>
      </c>
      <c r="N3894" s="2" t="n">
        <v>1</v>
      </c>
      <c r="O3894" s="2" t="n">
        <v>11</v>
      </c>
      <c r="P3894" s="2" t="n">
        <v>0</v>
      </c>
      <c r="Q3894" s="2" t="n">
        <v>14</v>
      </c>
      <c r="R3894" s="2" t="n">
        <v>0</v>
      </c>
      <c r="S3894" s="2" t="n">
        <v>14</v>
      </c>
      <c r="T3894" s="2" t="n">
        <v>2</v>
      </c>
      <c r="U3894" s="2" t="n">
        <v>13</v>
      </c>
      <c r="V3894" s="2" t="n">
        <v>2</v>
      </c>
      <c r="W3894" s="2" t="n">
        <v>2</v>
      </c>
      <c r="X3894" s="2" t="n">
        <v>3</v>
      </c>
      <c r="Y3894" s="2" t="n">
        <v>3</v>
      </c>
      <c r="Z3894" s="2" t="n">
        <v>3</v>
      </c>
    </row>
    <row r="3895" customFormat="false" ht="15" hidden="false" customHeight="true" outlineLevel="0" collapsed="false">
      <c r="A3895" s="2" t="n">
        <v>37</v>
      </c>
      <c r="B3895" s="2" t="s">
        <v>26</v>
      </c>
      <c r="C3895" s="2" t="s">
        <v>34</v>
      </c>
      <c r="D3895" s="2" t="s">
        <v>35</v>
      </c>
      <c r="E3895" s="2" t="n">
        <v>13</v>
      </c>
      <c r="F3895" s="2" t="n">
        <v>3</v>
      </c>
      <c r="G3895" s="2" t="s">
        <v>29</v>
      </c>
      <c r="H3895" s="2" t="n">
        <v>3894</v>
      </c>
      <c r="I3895" s="2" t="s">
        <v>39</v>
      </c>
      <c r="J3895" s="2" t="n">
        <v>1</v>
      </c>
      <c r="K3895" s="2" t="s">
        <v>45</v>
      </c>
      <c r="L3895" s="2" t="s">
        <v>46</v>
      </c>
      <c r="M3895" s="2" t="n">
        <v>119040</v>
      </c>
      <c r="N3895" s="2" t="n">
        <v>1</v>
      </c>
      <c r="O3895" s="2" t="n">
        <v>12</v>
      </c>
      <c r="P3895" s="2" t="n">
        <v>1</v>
      </c>
      <c r="Q3895" s="2" t="n">
        <v>6</v>
      </c>
      <c r="R3895" s="2" t="n">
        <v>4</v>
      </c>
      <c r="S3895" s="2" t="n">
        <v>6</v>
      </c>
      <c r="T3895" s="2" t="n">
        <v>1</v>
      </c>
      <c r="U3895" s="2" t="n">
        <v>3</v>
      </c>
      <c r="V3895" s="2" t="n">
        <v>3</v>
      </c>
      <c r="W3895" s="2" t="n">
        <v>4</v>
      </c>
      <c r="X3895" s="2" t="n">
        <v>2</v>
      </c>
      <c r="Y3895" s="2" t="n">
        <v>3</v>
      </c>
      <c r="Z3895" s="2" t="n">
        <v>3</v>
      </c>
    </row>
    <row r="3896" customFormat="false" ht="15" hidden="false" customHeight="true" outlineLevel="0" collapsed="false">
      <c r="A3896" s="2" t="n">
        <v>34</v>
      </c>
      <c r="B3896" s="2" t="s">
        <v>26</v>
      </c>
      <c r="C3896" s="2" t="s">
        <v>27</v>
      </c>
      <c r="D3896" s="2" t="s">
        <v>35</v>
      </c>
      <c r="E3896" s="2" t="n">
        <v>7</v>
      </c>
      <c r="F3896" s="2" t="n">
        <v>2</v>
      </c>
      <c r="G3896" s="2" t="s">
        <v>29</v>
      </c>
      <c r="H3896" s="2" t="n">
        <v>3895</v>
      </c>
      <c r="I3896" s="2" t="s">
        <v>39</v>
      </c>
      <c r="J3896" s="2" t="n">
        <v>1</v>
      </c>
      <c r="K3896" s="2" t="s">
        <v>31</v>
      </c>
      <c r="L3896" s="2" t="s">
        <v>32</v>
      </c>
      <c r="M3896" s="2" t="n">
        <v>21770</v>
      </c>
      <c r="N3896" s="2" t="n">
        <v>1</v>
      </c>
      <c r="O3896" s="2" t="n">
        <v>13</v>
      </c>
      <c r="P3896" s="2" t="n">
        <v>0</v>
      </c>
      <c r="Q3896" s="2" t="n">
        <v>10</v>
      </c>
      <c r="R3896" s="2" t="n">
        <v>5</v>
      </c>
      <c r="S3896" s="2" t="n">
        <v>10</v>
      </c>
      <c r="T3896" s="2" t="n">
        <v>8</v>
      </c>
      <c r="U3896" s="2" t="n">
        <v>7</v>
      </c>
      <c r="V3896" s="2" t="n">
        <v>2</v>
      </c>
      <c r="W3896" s="2" t="n">
        <v>4</v>
      </c>
      <c r="X3896" s="2" t="n">
        <v>3</v>
      </c>
      <c r="Y3896" s="2" t="n">
        <v>3</v>
      </c>
      <c r="Z3896" s="2" t="n">
        <v>3</v>
      </c>
    </row>
    <row r="3897" customFormat="false" ht="15" hidden="false" customHeight="true" outlineLevel="0" collapsed="false">
      <c r="A3897" s="2" t="n">
        <v>23</v>
      </c>
      <c r="B3897" s="2" t="s">
        <v>33</v>
      </c>
      <c r="C3897" s="2" t="s">
        <v>27</v>
      </c>
      <c r="D3897" s="2" t="s">
        <v>35</v>
      </c>
      <c r="E3897" s="2" t="n">
        <v>12</v>
      </c>
      <c r="F3897" s="2" t="n">
        <v>2</v>
      </c>
      <c r="G3897" s="2" t="s">
        <v>43</v>
      </c>
      <c r="H3897" s="2" t="n">
        <v>3896</v>
      </c>
      <c r="I3897" s="2" t="s">
        <v>39</v>
      </c>
      <c r="J3897" s="2" t="n">
        <v>2</v>
      </c>
      <c r="K3897" s="2" t="s">
        <v>36</v>
      </c>
      <c r="L3897" s="2" t="s">
        <v>46</v>
      </c>
      <c r="M3897" s="2" t="n">
        <v>75250</v>
      </c>
      <c r="N3897" s="2" t="n">
        <v>1</v>
      </c>
      <c r="O3897" s="2" t="n">
        <v>14</v>
      </c>
      <c r="P3897" s="2" t="n">
        <v>2</v>
      </c>
      <c r="Q3897" s="2" t="n">
        <v>3</v>
      </c>
      <c r="R3897" s="2" t="n">
        <v>2</v>
      </c>
      <c r="S3897" s="2" t="n">
        <v>3</v>
      </c>
      <c r="T3897" s="2" t="n">
        <v>0</v>
      </c>
      <c r="U3897" s="2" t="n">
        <v>2</v>
      </c>
      <c r="V3897" s="2" t="n">
        <v>3</v>
      </c>
      <c r="W3897" s="2" t="n">
        <v>4</v>
      </c>
      <c r="X3897" s="2" t="n">
        <v>3</v>
      </c>
      <c r="Y3897" s="2" t="n">
        <v>3</v>
      </c>
      <c r="Z3897" s="2" t="n">
        <v>3</v>
      </c>
    </row>
    <row r="3898" customFormat="false" ht="15" hidden="false" customHeight="true" outlineLevel="0" collapsed="false">
      <c r="A3898" s="2" t="n">
        <v>44</v>
      </c>
      <c r="B3898" s="2" t="s">
        <v>26</v>
      </c>
      <c r="C3898" s="2" t="s">
        <v>27</v>
      </c>
      <c r="D3898" s="2" t="s">
        <v>42</v>
      </c>
      <c r="E3898" s="2" t="n">
        <v>1</v>
      </c>
      <c r="F3898" s="2" t="n">
        <v>3</v>
      </c>
      <c r="G3898" s="2" t="s">
        <v>29</v>
      </c>
      <c r="H3898" s="2" t="n">
        <v>3897</v>
      </c>
      <c r="I3898" s="2" t="s">
        <v>39</v>
      </c>
      <c r="J3898" s="2" t="n">
        <v>1</v>
      </c>
      <c r="K3898" s="2" t="s">
        <v>36</v>
      </c>
      <c r="L3898" s="2" t="s">
        <v>32</v>
      </c>
      <c r="M3898" s="2" t="n">
        <v>48340</v>
      </c>
      <c r="N3898" s="2" t="n">
        <v>1</v>
      </c>
      <c r="O3898" s="2" t="n">
        <v>14</v>
      </c>
      <c r="P3898" s="2" t="n">
        <v>0</v>
      </c>
      <c r="Q3898" s="2" t="n">
        <v>9</v>
      </c>
      <c r="R3898" s="2" t="n">
        <v>1</v>
      </c>
      <c r="S3898" s="2" t="n">
        <v>8</v>
      </c>
      <c r="T3898" s="2" t="n">
        <v>6</v>
      </c>
      <c r="U3898" s="2" t="n">
        <v>7</v>
      </c>
      <c r="V3898" s="2" t="n">
        <v>3</v>
      </c>
      <c r="W3898" s="2" t="n">
        <v>4</v>
      </c>
      <c r="X3898" s="2" t="n">
        <v>3</v>
      </c>
      <c r="Y3898" s="2" t="n">
        <v>4</v>
      </c>
      <c r="Z3898" s="2" t="n">
        <v>3</v>
      </c>
    </row>
    <row r="3899" customFormat="false" ht="15" hidden="false" customHeight="true" outlineLevel="0" collapsed="false">
      <c r="A3899" s="2" t="n">
        <v>35</v>
      </c>
      <c r="B3899" s="2" t="s">
        <v>26</v>
      </c>
      <c r="C3899" s="2" t="s">
        <v>34</v>
      </c>
      <c r="D3899" s="2" t="s">
        <v>35</v>
      </c>
      <c r="E3899" s="2" t="n">
        <v>13</v>
      </c>
      <c r="F3899" s="2" t="n">
        <v>3</v>
      </c>
      <c r="G3899" s="2" t="s">
        <v>29</v>
      </c>
      <c r="H3899" s="2" t="n">
        <v>3898</v>
      </c>
      <c r="I3899" s="2" t="s">
        <v>39</v>
      </c>
      <c r="J3899" s="2" t="n">
        <v>3</v>
      </c>
      <c r="K3899" s="2" t="s">
        <v>40</v>
      </c>
      <c r="L3899" s="2" t="s">
        <v>37</v>
      </c>
      <c r="M3899" s="2" t="n">
        <v>20420</v>
      </c>
      <c r="N3899" s="2" t="n">
        <v>0</v>
      </c>
      <c r="O3899" s="2" t="n">
        <v>16</v>
      </c>
      <c r="P3899" s="2" t="n">
        <v>0</v>
      </c>
      <c r="Q3899" s="2" t="n">
        <v>6</v>
      </c>
      <c r="R3899" s="2" t="n">
        <v>2</v>
      </c>
      <c r="S3899" s="2" t="n">
        <v>5</v>
      </c>
      <c r="T3899" s="2" t="n">
        <v>1</v>
      </c>
      <c r="U3899" s="2" t="n">
        <v>4</v>
      </c>
      <c r="V3899" s="2" t="n">
        <v>1</v>
      </c>
      <c r="W3899" s="2" t="n">
        <v>4</v>
      </c>
      <c r="X3899" s="2" t="n">
        <v>4</v>
      </c>
      <c r="Y3899" s="2" t="n">
        <v>3</v>
      </c>
      <c r="Z3899" s="2" t="n">
        <v>3</v>
      </c>
    </row>
    <row r="3900" customFormat="false" ht="15" hidden="false" customHeight="true" outlineLevel="0" collapsed="false">
      <c r="A3900" s="2" t="n">
        <v>43</v>
      </c>
      <c r="B3900" s="2" t="s">
        <v>26</v>
      </c>
      <c r="C3900" s="2" t="s">
        <v>27</v>
      </c>
      <c r="D3900" s="2" t="s">
        <v>35</v>
      </c>
      <c r="E3900" s="2" t="n">
        <v>25</v>
      </c>
      <c r="F3900" s="2" t="n">
        <v>4</v>
      </c>
      <c r="G3900" s="2" t="s">
        <v>29</v>
      </c>
      <c r="H3900" s="2" t="n">
        <v>3899</v>
      </c>
      <c r="I3900" s="2" t="s">
        <v>39</v>
      </c>
      <c r="J3900" s="2" t="n">
        <v>2</v>
      </c>
      <c r="K3900" s="2" t="s">
        <v>40</v>
      </c>
      <c r="L3900" s="2" t="s">
        <v>32</v>
      </c>
      <c r="M3900" s="2" t="n">
        <v>22200</v>
      </c>
      <c r="N3900" s="2" t="n">
        <v>1</v>
      </c>
      <c r="O3900" s="2" t="n">
        <v>11</v>
      </c>
      <c r="P3900" s="2" t="n">
        <v>0</v>
      </c>
      <c r="Q3900" s="2" t="n">
        <v>10</v>
      </c>
      <c r="R3900" s="2" t="n">
        <v>2</v>
      </c>
      <c r="S3900" s="2" t="n">
        <v>10</v>
      </c>
      <c r="T3900" s="2" t="n">
        <v>8</v>
      </c>
      <c r="U3900" s="2" t="n">
        <v>8</v>
      </c>
      <c r="V3900" s="2" t="n">
        <v>4</v>
      </c>
      <c r="W3900" s="2" t="n">
        <v>4</v>
      </c>
      <c r="X3900" s="2" t="n">
        <v>3</v>
      </c>
      <c r="Y3900" s="2" t="n">
        <v>1</v>
      </c>
      <c r="Z3900" s="2" t="n">
        <v>3</v>
      </c>
    </row>
    <row r="3901" customFormat="false" ht="15" hidden="false" customHeight="true" outlineLevel="0" collapsed="false">
      <c r="A3901" s="2" t="n">
        <v>24</v>
      </c>
      <c r="B3901" s="2" t="s">
        <v>26</v>
      </c>
      <c r="C3901" s="2" t="s">
        <v>27</v>
      </c>
      <c r="D3901" s="2" t="s">
        <v>35</v>
      </c>
      <c r="E3901" s="2" t="n">
        <v>6</v>
      </c>
      <c r="F3901" s="2" t="n">
        <v>3</v>
      </c>
      <c r="G3901" s="2" t="s">
        <v>29</v>
      </c>
      <c r="H3901" s="2" t="n">
        <v>3900</v>
      </c>
      <c r="I3901" s="2" t="s">
        <v>39</v>
      </c>
      <c r="J3901" s="2" t="n">
        <v>3</v>
      </c>
      <c r="K3901" s="2" t="s">
        <v>40</v>
      </c>
      <c r="L3901" s="2" t="s">
        <v>32</v>
      </c>
      <c r="M3901" s="2" t="n">
        <v>10520</v>
      </c>
      <c r="N3901" s="2" t="n">
        <v>1</v>
      </c>
      <c r="O3901" s="2" t="n">
        <v>13</v>
      </c>
      <c r="P3901" s="2" t="n">
        <v>0</v>
      </c>
      <c r="Q3901" s="2" t="n">
        <v>5</v>
      </c>
      <c r="R3901" s="2" t="n">
        <v>3</v>
      </c>
      <c r="S3901" s="2" t="n">
        <v>5</v>
      </c>
      <c r="T3901" s="2" t="n">
        <v>0</v>
      </c>
      <c r="U3901" s="2" t="n">
        <v>4</v>
      </c>
      <c r="V3901" s="2" t="n">
        <v>3</v>
      </c>
      <c r="W3901" s="2" t="n">
        <v>3</v>
      </c>
      <c r="X3901" s="2" t="n">
        <v>3</v>
      </c>
      <c r="Y3901" s="2" t="n">
        <v>3</v>
      </c>
      <c r="Z3901" s="2" t="n">
        <v>3</v>
      </c>
    </row>
    <row r="3902" customFormat="false" ht="15" hidden="false" customHeight="true" outlineLevel="0" collapsed="false">
      <c r="A3902" s="2" t="n">
        <v>41</v>
      </c>
      <c r="B3902" s="2" t="s">
        <v>26</v>
      </c>
      <c r="C3902" s="2" t="s">
        <v>27</v>
      </c>
      <c r="D3902" s="2" t="s">
        <v>28</v>
      </c>
      <c r="E3902" s="2" t="n">
        <v>6</v>
      </c>
      <c r="F3902" s="2" t="n">
        <v>4</v>
      </c>
      <c r="G3902" s="2" t="s">
        <v>50</v>
      </c>
      <c r="H3902" s="2" t="n">
        <v>3901</v>
      </c>
      <c r="I3902" s="2" t="s">
        <v>39</v>
      </c>
      <c r="J3902" s="2" t="n">
        <v>1</v>
      </c>
      <c r="K3902" s="2" t="s">
        <v>36</v>
      </c>
      <c r="L3902" s="2" t="s">
        <v>37</v>
      </c>
      <c r="M3902" s="2" t="n">
        <v>28210</v>
      </c>
      <c r="N3902" s="2" t="n">
        <v>1</v>
      </c>
      <c r="O3902" s="2" t="n">
        <v>17</v>
      </c>
      <c r="P3902" s="2" t="n">
        <v>0</v>
      </c>
      <c r="Q3902" s="2" t="n">
        <v>10</v>
      </c>
      <c r="R3902" s="2" t="n">
        <v>3</v>
      </c>
      <c r="S3902" s="2" t="n">
        <v>10</v>
      </c>
      <c r="T3902" s="2" t="n">
        <v>8</v>
      </c>
      <c r="U3902" s="2" t="n">
        <v>7</v>
      </c>
      <c r="V3902" s="2" t="n">
        <v>4</v>
      </c>
      <c r="W3902" s="2" t="n">
        <v>3</v>
      </c>
      <c r="X3902" s="2" t="n">
        <v>3</v>
      </c>
      <c r="Y3902" s="2" t="n">
        <v>3</v>
      </c>
      <c r="Z3902" s="2" t="n">
        <v>3</v>
      </c>
    </row>
    <row r="3903" customFormat="false" ht="15" hidden="false" customHeight="true" outlineLevel="0" collapsed="false">
      <c r="A3903" s="2" t="n">
        <v>29</v>
      </c>
      <c r="B3903" s="2" t="s">
        <v>26</v>
      </c>
      <c r="C3903" s="2" t="s">
        <v>27</v>
      </c>
      <c r="D3903" s="2" t="s">
        <v>35</v>
      </c>
      <c r="E3903" s="2" t="n">
        <v>2</v>
      </c>
      <c r="F3903" s="2" t="n">
        <v>2</v>
      </c>
      <c r="G3903" s="2" t="s">
        <v>29</v>
      </c>
      <c r="H3903" s="2" t="n">
        <v>3902</v>
      </c>
      <c r="I3903" s="2" t="s">
        <v>39</v>
      </c>
      <c r="J3903" s="2" t="n">
        <v>2</v>
      </c>
      <c r="K3903" s="2" t="s">
        <v>36</v>
      </c>
      <c r="L3903" s="2" t="s">
        <v>32</v>
      </c>
      <c r="M3903" s="2" t="n">
        <v>192370</v>
      </c>
      <c r="N3903" s="2" t="n">
        <v>9</v>
      </c>
      <c r="O3903" s="2" t="n">
        <v>11</v>
      </c>
      <c r="P3903" s="2" t="n">
        <v>1</v>
      </c>
      <c r="Q3903" s="2" t="n">
        <v>9</v>
      </c>
      <c r="R3903" s="2" t="n">
        <v>2</v>
      </c>
      <c r="S3903" s="2" t="n">
        <v>5</v>
      </c>
      <c r="T3903" s="2" t="n">
        <v>1</v>
      </c>
      <c r="U3903" s="2" t="n">
        <v>2</v>
      </c>
      <c r="V3903" s="2" t="n">
        <v>4</v>
      </c>
      <c r="W3903" s="2" t="n">
        <v>3</v>
      </c>
      <c r="X3903" s="2" t="n">
        <v>3</v>
      </c>
      <c r="Y3903" s="2" t="n">
        <v>3</v>
      </c>
      <c r="Z3903" s="2" t="n">
        <v>3</v>
      </c>
    </row>
    <row r="3904" customFormat="false" ht="15" hidden="false" customHeight="true" outlineLevel="0" collapsed="false">
      <c r="A3904" s="2" t="n">
        <v>36</v>
      </c>
      <c r="B3904" s="2" t="s">
        <v>26</v>
      </c>
      <c r="C3904" s="2" t="s">
        <v>27</v>
      </c>
      <c r="D3904" s="2" t="s">
        <v>42</v>
      </c>
      <c r="E3904" s="2" t="n">
        <v>1</v>
      </c>
      <c r="F3904" s="2" t="n">
        <v>4</v>
      </c>
      <c r="G3904" s="2" t="s">
        <v>29</v>
      </c>
      <c r="H3904" s="2" t="n">
        <v>3903</v>
      </c>
      <c r="I3904" s="2" t="s">
        <v>30</v>
      </c>
      <c r="J3904" s="2" t="n">
        <v>3</v>
      </c>
      <c r="K3904" s="2" t="s">
        <v>36</v>
      </c>
      <c r="L3904" s="2" t="s">
        <v>37</v>
      </c>
      <c r="M3904" s="2" t="n">
        <v>41070</v>
      </c>
      <c r="N3904" s="2" t="n">
        <v>3</v>
      </c>
      <c r="O3904" s="2" t="n">
        <v>11</v>
      </c>
      <c r="P3904" s="2" t="n">
        <v>1</v>
      </c>
      <c r="Q3904" s="2" t="n">
        <v>17</v>
      </c>
      <c r="R3904" s="2" t="n">
        <v>2</v>
      </c>
      <c r="S3904" s="2" t="n">
        <v>13</v>
      </c>
      <c r="T3904" s="2" t="n">
        <v>6</v>
      </c>
      <c r="U3904" s="2" t="n">
        <v>7</v>
      </c>
      <c r="V3904" s="2" t="n">
        <v>3</v>
      </c>
      <c r="W3904" s="2" t="n">
        <v>4</v>
      </c>
      <c r="X3904" s="2" t="n">
        <v>2</v>
      </c>
      <c r="Y3904" s="2" t="n">
        <v>1</v>
      </c>
      <c r="Z3904" s="2" t="n">
        <v>3</v>
      </c>
    </row>
    <row r="3905" customFormat="false" ht="15" hidden="false" customHeight="true" outlineLevel="0" collapsed="false">
      <c r="A3905" s="2" t="n">
        <v>45</v>
      </c>
      <c r="B3905" s="2" t="s">
        <v>26</v>
      </c>
      <c r="C3905" s="2" t="s">
        <v>41</v>
      </c>
      <c r="D3905" s="2" t="s">
        <v>28</v>
      </c>
      <c r="E3905" s="2" t="n">
        <v>2</v>
      </c>
      <c r="F3905" s="2" t="n">
        <v>3</v>
      </c>
      <c r="G3905" s="2" t="s">
        <v>29</v>
      </c>
      <c r="H3905" s="2" t="n">
        <v>3904</v>
      </c>
      <c r="I3905" s="2" t="s">
        <v>30</v>
      </c>
      <c r="J3905" s="2" t="n">
        <v>2</v>
      </c>
      <c r="K3905" s="2" t="s">
        <v>47</v>
      </c>
      <c r="L3905" s="2" t="s">
        <v>32</v>
      </c>
      <c r="M3905" s="2" t="n">
        <v>83960</v>
      </c>
      <c r="N3905" s="2" t="n">
        <v>3</v>
      </c>
      <c r="O3905" s="2" t="n">
        <v>15</v>
      </c>
      <c r="P3905" s="2" t="n">
        <v>2</v>
      </c>
      <c r="Q3905" s="2" t="n">
        <v>25</v>
      </c>
      <c r="R3905" s="2" t="n">
        <v>3</v>
      </c>
      <c r="S3905" s="2" t="n">
        <v>23</v>
      </c>
      <c r="T3905" s="2" t="n">
        <v>14</v>
      </c>
      <c r="U3905" s="2" t="n">
        <v>4</v>
      </c>
      <c r="V3905" s="2" t="n">
        <v>3</v>
      </c>
      <c r="W3905" s="2" t="n">
        <v>3</v>
      </c>
      <c r="X3905" s="2" t="n">
        <v>2</v>
      </c>
      <c r="Y3905" s="2" t="n">
        <v>2</v>
      </c>
      <c r="Z3905" s="2" t="n">
        <v>3</v>
      </c>
    </row>
    <row r="3906" customFormat="false" ht="15" hidden="false" customHeight="true" outlineLevel="0" collapsed="false">
      <c r="A3906" s="2" t="n">
        <v>24</v>
      </c>
      <c r="B3906" s="2" t="s">
        <v>33</v>
      </c>
      <c r="C3906" s="2" t="s">
        <v>27</v>
      </c>
      <c r="D3906" s="2" t="s">
        <v>28</v>
      </c>
      <c r="E3906" s="2" t="n">
        <v>6</v>
      </c>
      <c r="F3906" s="2" t="n">
        <v>2</v>
      </c>
      <c r="G3906" s="2" t="s">
        <v>43</v>
      </c>
      <c r="H3906" s="2" t="n">
        <v>3905</v>
      </c>
      <c r="I3906" s="2" t="s">
        <v>30</v>
      </c>
      <c r="J3906" s="2" t="n">
        <v>2</v>
      </c>
      <c r="K3906" s="2" t="s">
        <v>49</v>
      </c>
      <c r="L3906" s="2" t="s">
        <v>32</v>
      </c>
      <c r="M3906" s="2" t="n">
        <v>20070</v>
      </c>
      <c r="N3906" s="2" t="n">
        <v>1</v>
      </c>
      <c r="O3906" s="2" t="n">
        <v>12</v>
      </c>
      <c r="P3906" s="2" t="n">
        <v>0</v>
      </c>
      <c r="Q3906" s="2" t="n">
        <v>1</v>
      </c>
      <c r="R3906" s="2" t="n">
        <v>2</v>
      </c>
      <c r="S3906" s="2" t="n">
        <v>1</v>
      </c>
      <c r="T3906" s="2" t="n">
        <v>0</v>
      </c>
      <c r="U3906" s="2" t="n">
        <v>0</v>
      </c>
      <c r="V3906" s="2" t="n">
        <v>4</v>
      </c>
      <c r="W3906" s="2" t="n">
        <v>3</v>
      </c>
      <c r="X3906" s="2" t="n">
        <v>3</v>
      </c>
      <c r="Y3906" s="2" t="n">
        <v>2</v>
      </c>
      <c r="Z3906" s="2" t="n">
        <v>3</v>
      </c>
    </row>
    <row r="3907" customFormat="false" ht="15" hidden="false" customHeight="true" outlineLevel="0" collapsed="false">
      <c r="A3907" s="2" t="n">
        <v>47</v>
      </c>
      <c r="B3907" s="2" t="s">
        <v>33</v>
      </c>
      <c r="C3907" s="2" t="s">
        <v>34</v>
      </c>
      <c r="D3907" s="2" t="s">
        <v>35</v>
      </c>
      <c r="E3907" s="2" t="n">
        <v>1</v>
      </c>
      <c r="F3907" s="2" t="n">
        <v>3</v>
      </c>
      <c r="G3907" s="2" t="s">
        <v>43</v>
      </c>
      <c r="H3907" s="2" t="n">
        <v>3906</v>
      </c>
      <c r="I3907" s="2" t="s">
        <v>30</v>
      </c>
      <c r="J3907" s="2" t="n">
        <v>2</v>
      </c>
      <c r="K3907" s="2" t="s">
        <v>40</v>
      </c>
      <c r="L3907" s="2" t="s">
        <v>32</v>
      </c>
      <c r="M3907" s="2" t="n">
        <v>196270</v>
      </c>
      <c r="N3907" s="2" t="n">
        <v>7</v>
      </c>
      <c r="O3907" s="2" t="n">
        <v>11</v>
      </c>
      <c r="P3907" s="2" t="n">
        <v>2</v>
      </c>
      <c r="Q3907" s="2" t="n">
        <v>25</v>
      </c>
      <c r="R3907" s="2" t="n">
        <v>1</v>
      </c>
      <c r="S3907" s="2" t="n">
        <v>23</v>
      </c>
      <c r="T3907" s="2" t="n">
        <v>14</v>
      </c>
      <c r="U3907" s="2" t="n">
        <v>10</v>
      </c>
      <c r="V3907" s="2" t="n">
        <v>3</v>
      </c>
      <c r="W3907" s="2" t="n">
        <v>3</v>
      </c>
      <c r="X3907" s="2" t="n">
        <v>1</v>
      </c>
      <c r="Y3907" s="2" t="n">
        <v>3</v>
      </c>
      <c r="Z3907" s="2" t="n">
        <v>3</v>
      </c>
    </row>
    <row r="3908" customFormat="false" ht="15" hidden="false" customHeight="true" outlineLevel="0" collapsed="false">
      <c r="A3908" s="2" t="n">
        <v>26</v>
      </c>
      <c r="B3908" s="2" t="s">
        <v>26</v>
      </c>
      <c r="C3908" s="2" t="s">
        <v>27</v>
      </c>
      <c r="D3908" s="2" t="s">
        <v>35</v>
      </c>
      <c r="E3908" s="2" t="n">
        <v>9</v>
      </c>
      <c r="F3908" s="2" t="n">
        <v>1</v>
      </c>
      <c r="G3908" s="2" t="s">
        <v>43</v>
      </c>
      <c r="H3908" s="2" t="n">
        <v>3907</v>
      </c>
      <c r="I3908" s="2" t="s">
        <v>39</v>
      </c>
      <c r="J3908" s="2" t="n">
        <v>1</v>
      </c>
      <c r="K3908" s="2" t="s">
        <v>40</v>
      </c>
      <c r="L3908" s="2" t="s">
        <v>32</v>
      </c>
      <c r="M3908" s="2" t="n">
        <v>106860</v>
      </c>
      <c r="N3908" s="2" t="n">
        <v>1</v>
      </c>
      <c r="O3908" s="2" t="n">
        <v>14</v>
      </c>
      <c r="P3908" s="2" t="n">
        <v>1</v>
      </c>
      <c r="Q3908" s="2" t="n">
        <v>3</v>
      </c>
      <c r="R3908" s="2" t="n">
        <v>2</v>
      </c>
      <c r="S3908" s="2" t="n">
        <v>3</v>
      </c>
      <c r="T3908" s="2" t="n">
        <v>0</v>
      </c>
      <c r="U3908" s="2" t="n">
        <v>2</v>
      </c>
      <c r="V3908" s="2" t="n">
        <v>4</v>
      </c>
      <c r="W3908" s="2" t="n">
        <v>3</v>
      </c>
      <c r="X3908" s="2" t="n">
        <v>4</v>
      </c>
      <c r="Y3908" s="2" t="n">
        <v>3</v>
      </c>
      <c r="Z3908" s="2" t="n">
        <v>3</v>
      </c>
    </row>
    <row r="3909" customFormat="false" ht="15" hidden="false" customHeight="true" outlineLevel="0" collapsed="false">
      <c r="A3909" s="2" t="n">
        <v>45</v>
      </c>
      <c r="B3909" s="2" t="s">
        <v>26</v>
      </c>
      <c r="C3909" s="2" t="s">
        <v>27</v>
      </c>
      <c r="D3909" s="2" t="s">
        <v>35</v>
      </c>
      <c r="E3909" s="2" t="n">
        <v>1</v>
      </c>
      <c r="F3909" s="2" t="n">
        <v>4</v>
      </c>
      <c r="G3909" s="2" t="s">
        <v>29</v>
      </c>
      <c r="H3909" s="2" t="n">
        <v>3908</v>
      </c>
      <c r="I3909" s="2" t="s">
        <v>39</v>
      </c>
      <c r="J3909" s="2" t="n">
        <v>1</v>
      </c>
      <c r="K3909" s="2" t="s">
        <v>44</v>
      </c>
      <c r="L3909" s="2" t="s">
        <v>37</v>
      </c>
      <c r="M3909" s="2" t="n">
        <v>29420</v>
      </c>
      <c r="N3909" s="2" t="n">
        <v>1</v>
      </c>
      <c r="O3909" s="2" t="n">
        <v>22</v>
      </c>
      <c r="P3909" s="2" t="n">
        <v>1</v>
      </c>
      <c r="Q3909" s="2" t="n">
        <v>21</v>
      </c>
      <c r="R3909" s="2" t="n">
        <v>4</v>
      </c>
      <c r="S3909" s="2" t="n">
        <v>21</v>
      </c>
      <c r="T3909" s="2" t="n">
        <v>8</v>
      </c>
      <c r="U3909" s="2" t="n">
        <v>6</v>
      </c>
      <c r="V3909" s="2" t="n">
        <v>4</v>
      </c>
      <c r="W3909" s="2" t="n">
        <v>2</v>
      </c>
      <c r="X3909" s="2" t="n">
        <v>3</v>
      </c>
      <c r="Y3909" s="2" t="n">
        <v>3</v>
      </c>
      <c r="Z3909" s="2" t="n">
        <v>4</v>
      </c>
    </row>
    <row r="3910" customFormat="false" ht="15" hidden="false" customHeight="true" outlineLevel="0" collapsed="false">
      <c r="A3910" s="2" t="n">
        <v>32</v>
      </c>
      <c r="B3910" s="2" t="s">
        <v>26</v>
      </c>
      <c r="C3910" s="2" t="s">
        <v>34</v>
      </c>
      <c r="D3910" s="2" t="s">
        <v>28</v>
      </c>
      <c r="E3910" s="2" t="n">
        <v>1</v>
      </c>
      <c r="F3910" s="2" t="n">
        <v>1</v>
      </c>
      <c r="G3910" s="2" t="s">
        <v>50</v>
      </c>
      <c r="H3910" s="2" t="n">
        <v>3909</v>
      </c>
      <c r="I3910" s="2" t="s">
        <v>39</v>
      </c>
      <c r="J3910" s="2" t="n">
        <v>2</v>
      </c>
      <c r="K3910" s="2" t="s">
        <v>45</v>
      </c>
      <c r="L3910" s="2" t="s">
        <v>32</v>
      </c>
      <c r="M3910" s="2" t="n">
        <v>88580</v>
      </c>
      <c r="N3910" s="2" t="n">
        <v>6</v>
      </c>
      <c r="O3910" s="2" t="n">
        <v>16</v>
      </c>
      <c r="P3910" s="2" t="n">
        <v>1</v>
      </c>
      <c r="Q3910" s="2" t="n">
        <v>10</v>
      </c>
      <c r="R3910" s="2" t="n">
        <v>2</v>
      </c>
      <c r="S3910" s="2" t="n">
        <v>5</v>
      </c>
      <c r="T3910" s="2" t="n">
        <v>1</v>
      </c>
      <c r="U3910" s="2" t="n">
        <v>3</v>
      </c>
      <c r="V3910" s="2" t="n">
        <v>1</v>
      </c>
      <c r="W3910" s="2" t="n">
        <v>3</v>
      </c>
      <c r="X3910" s="2" t="n">
        <v>2</v>
      </c>
      <c r="Y3910" s="2" t="n">
        <v>3</v>
      </c>
      <c r="Z3910" s="2" t="n">
        <v>3</v>
      </c>
    </row>
    <row r="3911" customFormat="false" ht="15" hidden="false" customHeight="true" outlineLevel="0" collapsed="false">
      <c r="A3911" s="2" t="n">
        <v>31</v>
      </c>
      <c r="B3911" s="2" t="s">
        <v>26</v>
      </c>
      <c r="C3911" s="2" t="s">
        <v>27</v>
      </c>
      <c r="D3911" s="2" t="s">
        <v>35</v>
      </c>
      <c r="E3911" s="2" t="n">
        <v>14</v>
      </c>
      <c r="F3911" s="2" t="n">
        <v>2</v>
      </c>
      <c r="G3911" s="2" t="s">
        <v>29</v>
      </c>
      <c r="H3911" s="2" t="n">
        <v>3910</v>
      </c>
      <c r="I3911" s="2" t="s">
        <v>39</v>
      </c>
      <c r="J3911" s="2" t="n">
        <v>1</v>
      </c>
      <c r="K3911" s="2" t="s">
        <v>40</v>
      </c>
      <c r="L3911" s="2" t="s">
        <v>32</v>
      </c>
      <c r="M3911" s="2" t="n">
        <v>167560</v>
      </c>
      <c r="N3911" s="2" t="n">
        <v>1</v>
      </c>
      <c r="O3911" s="2" t="n">
        <v>11</v>
      </c>
      <c r="P3911" s="2" t="n">
        <v>2</v>
      </c>
      <c r="Q3911" s="2" t="n">
        <v>6</v>
      </c>
      <c r="R3911" s="2" t="n">
        <v>5</v>
      </c>
      <c r="S3911" s="2" t="n">
        <v>5</v>
      </c>
      <c r="T3911" s="2" t="n">
        <v>0</v>
      </c>
      <c r="U3911" s="2" t="n">
        <v>3</v>
      </c>
      <c r="V3911" s="2" t="n">
        <v>2</v>
      </c>
      <c r="W3911" s="2" t="n">
        <v>3</v>
      </c>
      <c r="X3911" s="2" t="n">
        <v>4</v>
      </c>
      <c r="Y3911" s="2" t="n">
        <v>3</v>
      </c>
      <c r="Z3911" s="2" t="n">
        <v>3</v>
      </c>
    </row>
    <row r="3912" customFormat="false" ht="15" hidden="false" customHeight="true" outlineLevel="0" collapsed="false">
      <c r="A3912" s="2" t="n">
        <v>41</v>
      </c>
      <c r="B3912" s="2" t="s">
        <v>26</v>
      </c>
      <c r="C3912" s="2" t="s">
        <v>41</v>
      </c>
      <c r="D3912" s="2" t="s">
        <v>28</v>
      </c>
      <c r="E3912" s="2" t="n">
        <v>2</v>
      </c>
      <c r="F3912" s="2" t="n">
        <v>2</v>
      </c>
      <c r="G3912" s="2" t="s">
        <v>43</v>
      </c>
      <c r="H3912" s="2" t="n">
        <v>3911</v>
      </c>
      <c r="I3912" s="2" t="s">
        <v>39</v>
      </c>
      <c r="J3912" s="2" t="n">
        <v>2</v>
      </c>
      <c r="K3912" s="2" t="s">
        <v>36</v>
      </c>
      <c r="L3912" s="2" t="s">
        <v>32</v>
      </c>
      <c r="M3912" s="2" t="n">
        <v>107980</v>
      </c>
      <c r="N3912" s="2"/>
      <c r="O3912" s="2" t="n">
        <v>14</v>
      </c>
      <c r="P3912" s="2" t="n">
        <v>2</v>
      </c>
      <c r="Q3912" s="2" t="n">
        <v>10</v>
      </c>
      <c r="R3912" s="2" t="n">
        <v>5</v>
      </c>
      <c r="S3912" s="2" t="n">
        <v>3</v>
      </c>
      <c r="T3912" s="2" t="n">
        <v>1</v>
      </c>
      <c r="U3912" s="2" t="n">
        <v>2</v>
      </c>
      <c r="V3912" s="2" t="n">
        <v>3</v>
      </c>
      <c r="W3912" s="2" t="n">
        <v>2</v>
      </c>
      <c r="X3912" s="2" t="n">
        <v>3</v>
      </c>
      <c r="Y3912" s="2" t="n">
        <v>1</v>
      </c>
      <c r="Z3912" s="2" t="n">
        <v>3</v>
      </c>
    </row>
    <row r="3913" customFormat="false" ht="15" hidden="false" customHeight="true" outlineLevel="0" collapsed="false">
      <c r="A3913" s="2" t="n">
        <v>40</v>
      </c>
      <c r="B3913" s="2" t="s">
        <v>26</v>
      </c>
      <c r="C3913" s="2" t="s">
        <v>27</v>
      </c>
      <c r="D3913" s="2" t="s">
        <v>35</v>
      </c>
      <c r="E3913" s="2" t="n">
        <v>22</v>
      </c>
      <c r="F3913" s="2" t="n">
        <v>2</v>
      </c>
      <c r="G3913" s="2" t="s">
        <v>51</v>
      </c>
      <c r="H3913" s="2" t="n">
        <v>3912</v>
      </c>
      <c r="I3913" s="2" t="s">
        <v>39</v>
      </c>
      <c r="J3913" s="2" t="n">
        <v>1</v>
      </c>
      <c r="K3913" s="2" t="s">
        <v>31</v>
      </c>
      <c r="L3913" s="2" t="s">
        <v>32</v>
      </c>
      <c r="M3913" s="2" t="n">
        <v>23230</v>
      </c>
      <c r="N3913" s="2" t="n">
        <v>2</v>
      </c>
      <c r="O3913" s="2" t="n">
        <v>16</v>
      </c>
      <c r="P3913" s="2" t="n">
        <v>1</v>
      </c>
      <c r="Q3913" s="2" t="n">
        <v>18</v>
      </c>
      <c r="R3913" s="2" t="n">
        <v>2</v>
      </c>
      <c r="S3913" s="2" t="n">
        <v>1</v>
      </c>
      <c r="T3913" s="2" t="n">
        <v>0</v>
      </c>
      <c r="U3913" s="2" t="n">
        <v>0</v>
      </c>
      <c r="V3913" s="2" t="n">
        <v>2</v>
      </c>
      <c r="W3913" s="2" t="n">
        <v>1</v>
      </c>
      <c r="X3913" s="2" t="n">
        <v>3</v>
      </c>
      <c r="Y3913" s="2" t="n">
        <v>3</v>
      </c>
      <c r="Z3913" s="2" t="n">
        <v>3</v>
      </c>
    </row>
    <row r="3914" customFormat="false" ht="15" hidden="false" customHeight="true" outlineLevel="0" collapsed="false">
      <c r="A3914" s="2" t="n">
        <v>24</v>
      </c>
      <c r="B3914" s="2" t="s">
        <v>26</v>
      </c>
      <c r="C3914" s="2" t="s">
        <v>27</v>
      </c>
      <c r="D3914" s="2" t="s">
        <v>35</v>
      </c>
      <c r="E3914" s="2" t="n">
        <v>3</v>
      </c>
      <c r="F3914" s="2" t="n">
        <v>3</v>
      </c>
      <c r="G3914" s="2" t="s">
        <v>29</v>
      </c>
      <c r="H3914" s="2" t="n">
        <v>3913</v>
      </c>
      <c r="I3914" s="2" t="s">
        <v>30</v>
      </c>
      <c r="J3914" s="2" t="n">
        <v>1</v>
      </c>
      <c r="K3914" s="2" t="s">
        <v>36</v>
      </c>
      <c r="L3914" s="2" t="s">
        <v>46</v>
      </c>
      <c r="M3914" s="2" t="n">
        <v>14160</v>
      </c>
      <c r="N3914" s="2" t="n">
        <v>1</v>
      </c>
      <c r="O3914" s="2" t="n">
        <v>15</v>
      </c>
      <c r="P3914" s="2" t="n">
        <v>1</v>
      </c>
      <c r="Q3914" s="2" t="n">
        <v>6</v>
      </c>
      <c r="R3914" s="2" t="n">
        <v>3</v>
      </c>
      <c r="S3914" s="2" t="n">
        <v>6</v>
      </c>
      <c r="T3914" s="2" t="n">
        <v>1</v>
      </c>
      <c r="U3914" s="2" t="n">
        <v>2</v>
      </c>
      <c r="V3914" s="2" t="n">
        <v>2</v>
      </c>
      <c r="W3914" s="2" t="n">
        <v>1</v>
      </c>
      <c r="X3914" s="2" t="n">
        <v>4</v>
      </c>
      <c r="Y3914" s="2" t="n">
        <v>2</v>
      </c>
      <c r="Z3914" s="2" t="n">
        <v>3</v>
      </c>
    </row>
    <row r="3915" customFormat="false" ht="15" hidden="false" customHeight="true" outlineLevel="0" collapsed="false">
      <c r="A3915" s="2" t="n">
        <v>46</v>
      </c>
      <c r="B3915" s="2" t="s">
        <v>26</v>
      </c>
      <c r="C3915" s="2" t="s">
        <v>27</v>
      </c>
      <c r="D3915" s="2" t="s">
        <v>35</v>
      </c>
      <c r="E3915" s="2" t="n">
        <v>6</v>
      </c>
      <c r="F3915" s="2" t="n">
        <v>3</v>
      </c>
      <c r="G3915" s="2" t="s">
        <v>43</v>
      </c>
      <c r="H3915" s="2" t="n">
        <v>3914</v>
      </c>
      <c r="I3915" s="2" t="s">
        <v>39</v>
      </c>
      <c r="J3915" s="2" t="n">
        <v>4</v>
      </c>
      <c r="K3915" s="2" t="s">
        <v>40</v>
      </c>
      <c r="L3915" s="2" t="s">
        <v>37</v>
      </c>
      <c r="M3915" s="2" t="n">
        <v>46150</v>
      </c>
      <c r="N3915" s="2" t="n">
        <v>6</v>
      </c>
      <c r="O3915" s="2" t="n">
        <v>12</v>
      </c>
      <c r="P3915" s="2" t="n">
        <v>0</v>
      </c>
      <c r="Q3915" s="2" t="n">
        <v>19</v>
      </c>
      <c r="R3915" s="2" t="n">
        <v>3</v>
      </c>
      <c r="S3915" s="2" t="n">
        <v>10</v>
      </c>
      <c r="T3915" s="2" t="n">
        <v>0</v>
      </c>
      <c r="U3915" s="2" t="n">
        <v>9</v>
      </c>
      <c r="V3915" s="2" t="n">
        <v>3</v>
      </c>
      <c r="W3915" s="2" t="n">
        <v>2</v>
      </c>
      <c r="X3915" s="2" t="n">
        <v>3</v>
      </c>
      <c r="Y3915" s="2" t="n">
        <v>2</v>
      </c>
      <c r="Z3915" s="2" t="n">
        <v>3</v>
      </c>
    </row>
    <row r="3916" customFormat="false" ht="15" hidden="false" customHeight="true" outlineLevel="0" collapsed="false">
      <c r="A3916" s="2" t="n">
        <v>35</v>
      </c>
      <c r="B3916" s="2" t="s">
        <v>26</v>
      </c>
      <c r="C3916" s="2" t="s">
        <v>27</v>
      </c>
      <c r="D3916" s="2" t="s">
        <v>28</v>
      </c>
      <c r="E3916" s="2" t="n">
        <v>8</v>
      </c>
      <c r="F3916" s="2" t="n">
        <v>4</v>
      </c>
      <c r="G3916" s="2" t="s">
        <v>29</v>
      </c>
      <c r="H3916" s="2" t="n">
        <v>3915</v>
      </c>
      <c r="I3916" s="2" t="s">
        <v>39</v>
      </c>
      <c r="J3916" s="2" t="n">
        <v>1</v>
      </c>
      <c r="K3916" s="2" t="s">
        <v>45</v>
      </c>
      <c r="L3916" s="2" t="s">
        <v>32</v>
      </c>
      <c r="M3916" s="2" t="n">
        <v>24610</v>
      </c>
      <c r="N3916" s="2" t="n">
        <v>2</v>
      </c>
      <c r="O3916" s="2" t="n">
        <v>20</v>
      </c>
      <c r="P3916" s="2" t="n">
        <v>1</v>
      </c>
      <c r="Q3916" s="2" t="n">
        <v>17</v>
      </c>
      <c r="R3916" s="2" t="n">
        <v>4</v>
      </c>
      <c r="S3916" s="2" t="n">
        <v>7</v>
      </c>
      <c r="T3916" s="2" t="n">
        <v>0</v>
      </c>
      <c r="U3916" s="2" t="n">
        <v>7</v>
      </c>
      <c r="V3916" s="2" t="n">
        <v>4</v>
      </c>
      <c r="W3916" s="2" t="n">
        <v>3</v>
      </c>
      <c r="X3916" s="2" t="n">
        <v>3</v>
      </c>
      <c r="Y3916" s="2" t="n">
        <v>3</v>
      </c>
      <c r="Z3916" s="2" t="n">
        <v>4</v>
      </c>
    </row>
    <row r="3917" customFormat="false" ht="15" hidden="false" customHeight="true" outlineLevel="0" collapsed="false">
      <c r="A3917" s="2" t="n">
        <v>30</v>
      </c>
      <c r="B3917" s="2" t="s">
        <v>26</v>
      </c>
      <c r="C3917" s="2" t="s">
        <v>27</v>
      </c>
      <c r="D3917" s="2" t="s">
        <v>28</v>
      </c>
      <c r="E3917" s="2" t="n">
        <v>9</v>
      </c>
      <c r="F3917" s="2" t="n">
        <v>4</v>
      </c>
      <c r="G3917" s="2" t="s">
        <v>50</v>
      </c>
      <c r="H3917" s="2" t="n">
        <v>3916</v>
      </c>
      <c r="I3917" s="2" t="s">
        <v>39</v>
      </c>
      <c r="J3917" s="2" t="n">
        <v>1</v>
      </c>
      <c r="K3917" s="2" t="s">
        <v>45</v>
      </c>
      <c r="L3917" s="2" t="s">
        <v>32</v>
      </c>
      <c r="M3917" s="2" t="n">
        <v>87220</v>
      </c>
      <c r="N3917" s="2" t="n">
        <v>1</v>
      </c>
      <c r="O3917" s="2" t="n">
        <v>17</v>
      </c>
      <c r="P3917" s="2" t="n">
        <v>1</v>
      </c>
      <c r="Q3917" s="2" t="n">
        <v>10</v>
      </c>
      <c r="R3917" s="2" t="n">
        <v>3</v>
      </c>
      <c r="S3917" s="2" t="n">
        <v>10</v>
      </c>
      <c r="T3917" s="2" t="n">
        <v>0</v>
      </c>
      <c r="U3917" s="2" t="n">
        <v>8</v>
      </c>
      <c r="V3917" s="2" t="n">
        <v>2</v>
      </c>
      <c r="W3917" s="2" t="n">
        <v>4</v>
      </c>
      <c r="X3917" s="2" t="n">
        <v>2</v>
      </c>
      <c r="Y3917" s="2" t="n">
        <v>3</v>
      </c>
      <c r="Z3917" s="2" t="n">
        <v>3</v>
      </c>
    </row>
    <row r="3918" customFormat="false" ht="15" hidden="false" customHeight="true" outlineLevel="0" collapsed="false">
      <c r="A3918" s="2" t="n">
        <v>47</v>
      </c>
      <c r="B3918" s="2" t="s">
        <v>26</v>
      </c>
      <c r="C3918" s="2" t="s">
        <v>41</v>
      </c>
      <c r="D3918" s="2" t="s">
        <v>35</v>
      </c>
      <c r="E3918" s="2" t="n">
        <v>3</v>
      </c>
      <c r="F3918" s="2" t="n">
        <v>2</v>
      </c>
      <c r="G3918" s="2" t="s">
        <v>29</v>
      </c>
      <c r="H3918" s="2" t="n">
        <v>3917</v>
      </c>
      <c r="I3918" s="2" t="s">
        <v>30</v>
      </c>
      <c r="J3918" s="2" t="n">
        <v>2</v>
      </c>
      <c r="K3918" s="2" t="s">
        <v>40</v>
      </c>
      <c r="L3918" s="2" t="s">
        <v>32</v>
      </c>
      <c r="M3918" s="2" t="n">
        <v>39550</v>
      </c>
      <c r="N3918" s="2" t="n">
        <v>7</v>
      </c>
      <c r="O3918" s="2" t="n">
        <v>12</v>
      </c>
      <c r="P3918" s="2" t="n">
        <v>1</v>
      </c>
      <c r="Q3918" s="2" t="n">
        <v>4</v>
      </c>
      <c r="R3918" s="2" t="n">
        <v>5</v>
      </c>
      <c r="S3918" s="2" t="n">
        <v>1</v>
      </c>
      <c r="T3918" s="2" t="n">
        <v>0</v>
      </c>
      <c r="U3918" s="2" t="n">
        <v>0</v>
      </c>
      <c r="V3918" s="2" t="n">
        <v>3</v>
      </c>
      <c r="W3918" s="2" t="n">
        <v>2</v>
      </c>
      <c r="X3918" s="2" t="n">
        <v>1</v>
      </c>
      <c r="Y3918" s="2" t="n">
        <v>3</v>
      </c>
      <c r="Z3918" s="2" t="n">
        <v>3</v>
      </c>
    </row>
    <row r="3919" customFormat="false" ht="15" hidden="false" customHeight="true" outlineLevel="0" collapsed="false">
      <c r="A3919" s="2" t="n">
        <v>46</v>
      </c>
      <c r="B3919" s="2" t="s">
        <v>26</v>
      </c>
      <c r="C3919" s="2" t="s">
        <v>27</v>
      </c>
      <c r="D3919" s="2" t="s">
        <v>35</v>
      </c>
      <c r="E3919" s="2" t="n">
        <v>1</v>
      </c>
      <c r="F3919" s="2" t="n">
        <v>4</v>
      </c>
      <c r="G3919" s="2" t="s">
        <v>51</v>
      </c>
      <c r="H3919" s="2" t="n">
        <v>3918</v>
      </c>
      <c r="I3919" s="2" t="s">
        <v>30</v>
      </c>
      <c r="J3919" s="2" t="n">
        <v>3</v>
      </c>
      <c r="K3919" s="2" t="s">
        <v>40</v>
      </c>
      <c r="L3919" s="2" t="s">
        <v>46</v>
      </c>
      <c r="M3919" s="2" t="n">
        <v>99570</v>
      </c>
      <c r="N3919" s="2" t="n">
        <v>4</v>
      </c>
      <c r="O3919" s="2" t="n">
        <v>20</v>
      </c>
      <c r="P3919" s="2" t="n">
        <v>0</v>
      </c>
      <c r="Q3919" s="2" t="n">
        <v>13</v>
      </c>
      <c r="R3919" s="2" t="n">
        <v>1</v>
      </c>
      <c r="S3919" s="2" t="n">
        <v>10</v>
      </c>
      <c r="T3919" s="2" t="n">
        <v>0</v>
      </c>
      <c r="U3919" s="2" t="n">
        <v>3</v>
      </c>
      <c r="V3919" s="2" t="n">
        <v>3</v>
      </c>
      <c r="W3919" s="2" t="n">
        <v>4</v>
      </c>
      <c r="X3919" s="2" t="n">
        <v>2</v>
      </c>
      <c r="Y3919" s="2" t="n">
        <v>3</v>
      </c>
      <c r="Z3919" s="2" t="n">
        <v>4</v>
      </c>
    </row>
    <row r="3920" customFormat="false" ht="15" hidden="false" customHeight="true" outlineLevel="0" collapsed="false">
      <c r="A3920" s="2" t="n">
        <v>36</v>
      </c>
      <c r="B3920" s="2" t="s">
        <v>33</v>
      </c>
      <c r="C3920" s="2" t="s">
        <v>27</v>
      </c>
      <c r="D3920" s="2" t="s">
        <v>35</v>
      </c>
      <c r="E3920" s="2" t="n">
        <v>1</v>
      </c>
      <c r="F3920" s="2" t="n">
        <v>3</v>
      </c>
      <c r="G3920" s="2" t="s">
        <v>43</v>
      </c>
      <c r="H3920" s="2" t="n">
        <v>3919</v>
      </c>
      <c r="I3920" s="2" t="s">
        <v>39</v>
      </c>
      <c r="J3920" s="2" t="n">
        <v>2</v>
      </c>
      <c r="K3920" s="2" t="s">
        <v>47</v>
      </c>
      <c r="L3920" s="2" t="s">
        <v>46</v>
      </c>
      <c r="M3920" s="2" t="n">
        <v>33760</v>
      </c>
      <c r="N3920" s="2" t="n">
        <v>5</v>
      </c>
      <c r="O3920" s="2" t="n">
        <v>20</v>
      </c>
      <c r="P3920" s="2" t="n">
        <v>0</v>
      </c>
      <c r="Q3920" s="2" t="n">
        <v>16</v>
      </c>
      <c r="R3920" s="2" t="n">
        <v>3</v>
      </c>
      <c r="S3920" s="2" t="n">
        <v>2</v>
      </c>
      <c r="T3920" s="2" t="n">
        <v>2</v>
      </c>
      <c r="U3920" s="2" t="n">
        <v>2</v>
      </c>
      <c r="V3920" s="2" t="n">
        <v>2</v>
      </c>
      <c r="W3920" s="2" t="n">
        <v>1</v>
      </c>
      <c r="X3920" s="2" t="n">
        <v>3</v>
      </c>
      <c r="Y3920" s="2" t="n">
        <v>3</v>
      </c>
      <c r="Z3920" s="2" t="n">
        <v>4</v>
      </c>
    </row>
    <row r="3921" customFormat="false" ht="15" hidden="false" customHeight="true" outlineLevel="0" collapsed="false">
      <c r="A3921" s="2" t="n">
        <v>32</v>
      </c>
      <c r="B3921" s="2" t="s">
        <v>33</v>
      </c>
      <c r="C3921" s="2" t="s">
        <v>27</v>
      </c>
      <c r="D3921" s="2" t="s">
        <v>35</v>
      </c>
      <c r="E3921" s="2" t="n">
        <v>26</v>
      </c>
      <c r="F3921" s="2" t="n">
        <v>3</v>
      </c>
      <c r="G3921" s="2" t="s">
        <v>43</v>
      </c>
      <c r="H3921" s="2" t="n">
        <v>3920</v>
      </c>
      <c r="I3921" s="2" t="s">
        <v>30</v>
      </c>
      <c r="J3921" s="2" t="n">
        <v>2</v>
      </c>
      <c r="K3921" s="2" t="s">
        <v>44</v>
      </c>
      <c r="L3921" s="2" t="s">
        <v>37</v>
      </c>
      <c r="M3921" s="2" t="n">
        <v>88230</v>
      </c>
      <c r="N3921" s="2" t="n">
        <v>6</v>
      </c>
      <c r="O3921" s="2" t="n">
        <v>13</v>
      </c>
      <c r="P3921" s="2" t="n">
        <v>2</v>
      </c>
      <c r="Q3921" s="2" t="n">
        <v>10</v>
      </c>
      <c r="R3921" s="2" t="n">
        <v>3</v>
      </c>
      <c r="S3921" s="2" t="n">
        <v>0</v>
      </c>
      <c r="T3921" s="2" t="n">
        <v>0</v>
      </c>
      <c r="U3921" s="2" t="n">
        <v>0</v>
      </c>
      <c r="V3921" s="2" t="n">
        <v>1</v>
      </c>
      <c r="W3921" s="2" t="n">
        <v>2</v>
      </c>
      <c r="X3921" s="2" t="n">
        <v>3</v>
      </c>
      <c r="Y3921" s="2" t="n">
        <v>3</v>
      </c>
      <c r="Z3921" s="2" t="n">
        <v>3</v>
      </c>
    </row>
    <row r="3922" customFormat="false" ht="15" hidden="false" customHeight="true" outlineLevel="0" collapsed="false">
      <c r="A3922" s="2" t="n">
        <v>23</v>
      </c>
      <c r="B3922" s="2" t="s">
        <v>26</v>
      </c>
      <c r="C3922" s="2" t="s">
        <v>27</v>
      </c>
      <c r="D3922" s="2" t="s">
        <v>28</v>
      </c>
      <c r="E3922" s="2" t="n">
        <v>6</v>
      </c>
      <c r="F3922" s="2" t="n">
        <v>4</v>
      </c>
      <c r="G3922" s="2" t="s">
        <v>29</v>
      </c>
      <c r="H3922" s="2" t="n">
        <v>3921</v>
      </c>
      <c r="I3922" s="2" t="s">
        <v>39</v>
      </c>
      <c r="J3922" s="2" t="n">
        <v>3</v>
      </c>
      <c r="K3922" s="2" t="s">
        <v>47</v>
      </c>
      <c r="L3922" s="2" t="s">
        <v>37</v>
      </c>
      <c r="M3922" s="2" t="n">
        <v>103220</v>
      </c>
      <c r="N3922" s="2" t="n">
        <v>1</v>
      </c>
      <c r="O3922" s="2" t="n">
        <v>14</v>
      </c>
      <c r="P3922" s="2" t="n">
        <v>2</v>
      </c>
      <c r="Q3922" s="2" t="n">
        <v>3</v>
      </c>
      <c r="R3922" s="2" t="n">
        <v>2</v>
      </c>
      <c r="S3922" s="2" t="n">
        <v>3</v>
      </c>
      <c r="T3922" s="2" t="n">
        <v>1</v>
      </c>
      <c r="U3922" s="2" t="n">
        <v>2</v>
      </c>
      <c r="V3922" s="2" t="n">
        <v>3</v>
      </c>
      <c r="W3922" s="2" t="n">
        <v>2</v>
      </c>
      <c r="X3922" s="2" t="n">
        <v>1</v>
      </c>
      <c r="Y3922" s="2" t="n">
        <v>3</v>
      </c>
      <c r="Z3922" s="2" t="n">
        <v>3</v>
      </c>
    </row>
    <row r="3923" customFormat="false" ht="15" hidden="false" customHeight="true" outlineLevel="0" collapsed="false">
      <c r="A3923" s="2" t="n">
        <v>31</v>
      </c>
      <c r="B3923" s="2" t="s">
        <v>26</v>
      </c>
      <c r="C3923" s="2" t="s">
        <v>34</v>
      </c>
      <c r="D3923" s="2" t="s">
        <v>28</v>
      </c>
      <c r="E3923" s="2" t="n">
        <v>3</v>
      </c>
      <c r="F3923" s="2" t="n">
        <v>3</v>
      </c>
      <c r="G3923" s="2" t="s">
        <v>50</v>
      </c>
      <c r="H3923" s="2" t="n">
        <v>3922</v>
      </c>
      <c r="I3923" s="2" t="s">
        <v>39</v>
      </c>
      <c r="J3923" s="2" t="n">
        <v>2</v>
      </c>
      <c r="K3923" s="2" t="s">
        <v>40</v>
      </c>
      <c r="L3923" s="2" t="s">
        <v>37</v>
      </c>
      <c r="M3923" s="2" t="n">
        <v>46210</v>
      </c>
      <c r="N3923" s="2" t="n">
        <v>2</v>
      </c>
      <c r="O3923" s="2" t="n">
        <v>18</v>
      </c>
      <c r="P3923" s="2" t="n">
        <v>1</v>
      </c>
      <c r="Q3923" s="2" t="n">
        <v>9</v>
      </c>
      <c r="R3923" s="2" t="n">
        <v>3</v>
      </c>
      <c r="S3923" s="2" t="n">
        <v>5</v>
      </c>
      <c r="T3923" s="2" t="n">
        <v>1</v>
      </c>
      <c r="U3923" s="2" t="n">
        <v>4</v>
      </c>
      <c r="V3923" s="2" t="n">
        <v>4</v>
      </c>
      <c r="W3923" s="2" t="n">
        <v>4</v>
      </c>
      <c r="X3923" s="2" t="n">
        <v>2</v>
      </c>
      <c r="Y3923" s="2" t="n">
        <v>3</v>
      </c>
      <c r="Z3923" s="2" t="n">
        <v>3</v>
      </c>
    </row>
    <row r="3924" customFormat="false" ht="15" hidden="false" customHeight="true" outlineLevel="0" collapsed="false">
      <c r="A3924" s="2" t="n">
        <v>39</v>
      </c>
      <c r="B3924" s="2" t="s">
        <v>26</v>
      </c>
      <c r="C3924" s="2" t="s">
        <v>41</v>
      </c>
      <c r="D3924" s="2" t="s">
        <v>35</v>
      </c>
      <c r="E3924" s="2" t="n">
        <v>3</v>
      </c>
      <c r="F3924" s="2" t="n">
        <v>3</v>
      </c>
      <c r="G3924" s="2" t="s">
        <v>29</v>
      </c>
      <c r="H3924" s="2" t="n">
        <v>3923</v>
      </c>
      <c r="I3924" s="2" t="s">
        <v>30</v>
      </c>
      <c r="J3924" s="2" t="n">
        <v>2</v>
      </c>
      <c r="K3924" s="2" t="s">
        <v>47</v>
      </c>
      <c r="L3924" s="2" t="s">
        <v>32</v>
      </c>
      <c r="M3924" s="2" t="n">
        <v>109760</v>
      </c>
      <c r="N3924" s="2" t="n">
        <v>1</v>
      </c>
      <c r="O3924" s="2" t="n">
        <v>11</v>
      </c>
      <c r="P3924" s="2" t="n">
        <v>0</v>
      </c>
      <c r="Q3924" s="2" t="n">
        <v>9</v>
      </c>
      <c r="R3924" s="2" t="n">
        <v>3</v>
      </c>
      <c r="S3924" s="2" t="n">
        <v>9</v>
      </c>
      <c r="T3924" s="2" t="n">
        <v>5</v>
      </c>
      <c r="U3924" s="2" t="n">
        <v>8</v>
      </c>
      <c r="V3924" s="2" t="n">
        <v>4</v>
      </c>
      <c r="W3924" s="2" t="n">
        <v>4</v>
      </c>
      <c r="X3924" s="2" t="n">
        <v>3</v>
      </c>
      <c r="Y3924" s="2" t="n">
        <v>2</v>
      </c>
      <c r="Z3924" s="2" t="n">
        <v>3</v>
      </c>
    </row>
    <row r="3925" customFormat="false" ht="15" hidden="false" customHeight="true" outlineLevel="0" collapsed="false">
      <c r="A3925" s="2" t="n">
        <v>32</v>
      </c>
      <c r="B3925" s="2" t="s">
        <v>26</v>
      </c>
      <c r="C3925" s="2" t="s">
        <v>27</v>
      </c>
      <c r="D3925" s="2" t="s">
        <v>35</v>
      </c>
      <c r="E3925" s="2" t="n">
        <v>6</v>
      </c>
      <c r="F3925" s="2" t="n">
        <v>3</v>
      </c>
      <c r="G3925" s="2" t="s">
        <v>51</v>
      </c>
      <c r="H3925" s="2" t="n">
        <v>3924</v>
      </c>
      <c r="I3925" s="2" t="s">
        <v>39</v>
      </c>
      <c r="J3925" s="2" t="n">
        <v>1</v>
      </c>
      <c r="K3925" s="2" t="s">
        <v>36</v>
      </c>
      <c r="L3925" s="2" t="s">
        <v>32</v>
      </c>
      <c r="M3925" s="2" t="n">
        <v>36600</v>
      </c>
      <c r="N3925" s="2" t="n">
        <v>3</v>
      </c>
      <c r="O3925" s="2" t="n">
        <v>11</v>
      </c>
      <c r="P3925" s="2" t="n">
        <v>2</v>
      </c>
      <c r="Q3925" s="2" t="n">
        <v>10</v>
      </c>
      <c r="R3925" s="2" t="n">
        <v>0</v>
      </c>
      <c r="S3925" s="2" t="n">
        <v>4</v>
      </c>
      <c r="T3925" s="2" t="n">
        <v>0</v>
      </c>
      <c r="U3925" s="2" t="n">
        <v>2</v>
      </c>
      <c r="V3925" s="2" t="n">
        <v>4</v>
      </c>
      <c r="W3925" s="2" t="n">
        <v>3</v>
      </c>
      <c r="X3925" s="2" t="n">
        <v>1</v>
      </c>
      <c r="Y3925" s="2" t="n">
        <v>2</v>
      </c>
      <c r="Z3925" s="2" t="n">
        <v>3</v>
      </c>
    </row>
    <row r="3926" customFormat="false" ht="15" hidden="false" customHeight="true" outlineLevel="0" collapsed="false">
      <c r="A3926" s="2" t="n">
        <v>40</v>
      </c>
      <c r="B3926" s="2" t="s">
        <v>26</v>
      </c>
      <c r="C3926" s="2" t="s">
        <v>27</v>
      </c>
      <c r="D3926" s="2" t="s">
        <v>28</v>
      </c>
      <c r="E3926" s="2" t="n">
        <v>6</v>
      </c>
      <c r="F3926" s="2" t="n">
        <v>3</v>
      </c>
      <c r="G3926" s="2" t="s">
        <v>29</v>
      </c>
      <c r="H3926" s="2" t="n">
        <v>3925</v>
      </c>
      <c r="I3926" s="2" t="s">
        <v>39</v>
      </c>
      <c r="J3926" s="2" t="n">
        <v>3</v>
      </c>
      <c r="K3926" s="2" t="s">
        <v>47</v>
      </c>
      <c r="L3926" s="2" t="s">
        <v>37</v>
      </c>
      <c r="M3926" s="2" t="n">
        <v>104820</v>
      </c>
      <c r="N3926" s="2" t="n">
        <v>1</v>
      </c>
      <c r="O3926" s="2" t="n">
        <v>11</v>
      </c>
      <c r="P3926" s="2" t="n">
        <v>1</v>
      </c>
      <c r="Q3926" s="2" t="n">
        <v>21</v>
      </c>
      <c r="R3926" s="2" t="n">
        <v>6</v>
      </c>
      <c r="S3926" s="2" t="n">
        <v>21</v>
      </c>
      <c r="T3926" s="2" t="n">
        <v>12</v>
      </c>
      <c r="U3926" s="2" t="n">
        <v>8</v>
      </c>
      <c r="V3926" s="2" t="n">
        <v>2</v>
      </c>
      <c r="W3926" s="2" t="n">
        <v>2</v>
      </c>
      <c r="X3926" s="2" t="n">
        <v>2</v>
      </c>
      <c r="Y3926" s="2" t="n">
        <v>2</v>
      </c>
      <c r="Z3926" s="2" t="n">
        <v>3</v>
      </c>
    </row>
    <row r="3927" customFormat="false" ht="15" hidden="false" customHeight="true" outlineLevel="0" collapsed="false">
      <c r="A3927" s="2" t="n">
        <v>45</v>
      </c>
      <c r="B3927" s="2" t="s">
        <v>26</v>
      </c>
      <c r="C3927" s="2" t="s">
        <v>27</v>
      </c>
      <c r="D3927" s="2" t="s">
        <v>35</v>
      </c>
      <c r="E3927" s="2" t="n">
        <v>19</v>
      </c>
      <c r="F3927" s="2" t="n">
        <v>4</v>
      </c>
      <c r="G3927" s="2" t="s">
        <v>43</v>
      </c>
      <c r="H3927" s="2" t="n">
        <v>3926</v>
      </c>
      <c r="I3927" s="2" t="s">
        <v>39</v>
      </c>
      <c r="J3927" s="2" t="n">
        <v>1</v>
      </c>
      <c r="K3927" s="2" t="s">
        <v>48</v>
      </c>
      <c r="L3927" s="2" t="s">
        <v>32</v>
      </c>
      <c r="M3927" s="2" t="n">
        <v>71190</v>
      </c>
      <c r="N3927" s="2" t="n">
        <v>4</v>
      </c>
      <c r="O3927" s="2" t="n">
        <v>15</v>
      </c>
      <c r="P3927" s="2" t="n">
        <v>0</v>
      </c>
      <c r="Q3927" s="2" t="n">
        <v>9</v>
      </c>
      <c r="R3927" s="2" t="n">
        <v>2</v>
      </c>
      <c r="S3927" s="2" t="n">
        <v>5</v>
      </c>
      <c r="T3927" s="2" t="n">
        <v>0</v>
      </c>
      <c r="U3927" s="2" t="n">
        <v>3</v>
      </c>
      <c r="V3927" s="2" t="n">
        <v>3</v>
      </c>
      <c r="W3927" s="2" t="n">
        <v>3</v>
      </c>
      <c r="X3927" s="2" t="n">
        <v>4</v>
      </c>
      <c r="Y3927" s="2" t="n">
        <v>3</v>
      </c>
      <c r="Z3927" s="2" t="n">
        <v>3</v>
      </c>
    </row>
    <row r="3928" customFormat="false" ht="15" hidden="false" customHeight="true" outlineLevel="0" collapsed="false">
      <c r="A3928" s="2" t="n">
        <v>30</v>
      </c>
      <c r="B3928" s="2" t="s">
        <v>26</v>
      </c>
      <c r="C3928" s="2" t="s">
        <v>34</v>
      </c>
      <c r="D3928" s="2" t="s">
        <v>28</v>
      </c>
      <c r="E3928" s="2" t="n">
        <v>9</v>
      </c>
      <c r="F3928" s="2" t="n">
        <v>3</v>
      </c>
      <c r="G3928" s="2" t="s">
        <v>29</v>
      </c>
      <c r="H3928" s="2" t="n">
        <v>3927</v>
      </c>
      <c r="I3928" s="2" t="s">
        <v>39</v>
      </c>
      <c r="J3928" s="2" t="n">
        <v>1</v>
      </c>
      <c r="K3928" s="2" t="s">
        <v>44</v>
      </c>
      <c r="L3928" s="2" t="s">
        <v>37</v>
      </c>
      <c r="M3928" s="2" t="n">
        <v>95820</v>
      </c>
      <c r="N3928" s="2" t="n">
        <v>0</v>
      </c>
      <c r="O3928" s="2" t="n">
        <v>12</v>
      </c>
      <c r="P3928" s="2" t="n">
        <v>1</v>
      </c>
      <c r="Q3928" s="2" t="n">
        <v>10</v>
      </c>
      <c r="R3928" s="2" t="n">
        <v>2</v>
      </c>
      <c r="S3928" s="2" t="n">
        <v>9</v>
      </c>
      <c r="T3928" s="2" t="n">
        <v>0</v>
      </c>
      <c r="U3928" s="2" t="n">
        <v>7</v>
      </c>
      <c r="V3928" s="2" t="n">
        <v>4</v>
      </c>
      <c r="W3928" s="2" t="n">
        <v>1</v>
      </c>
      <c r="X3928" s="2" t="n">
        <v>3</v>
      </c>
      <c r="Y3928" s="2" t="n">
        <v>3</v>
      </c>
      <c r="Z3928" s="2" t="n">
        <v>3</v>
      </c>
    </row>
    <row r="3929" customFormat="false" ht="15" hidden="false" customHeight="true" outlineLevel="0" collapsed="false">
      <c r="A3929" s="2" t="n">
        <v>24</v>
      </c>
      <c r="B3929" s="2" t="s">
        <v>26</v>
      </c>
      <c r="C3929" s="2" t="s">
        <v>34</v>
      </c>
      <c r="D3929" s="2" t="s">
        <v>28</v>
      </c>
      <c r="E3929" s="2" t="n">
        <v>3</v>
      </c>
      <c r="F3929" s="2" t="n">
        <v>4</v>
      </c>
      <c r="G3929" s="2" t="s">
        <v>50</v>
      </c>
      <c r="H3929" s="2" t="n">
        <v>3928</v>
      </c>
      <c r="I3929" s="2" t="s">
        <v>39</v>
      </c>
      <c r="J3929" s="2" t="n">
        <v>1</v>
      </c>
      <c r="K3929" s="2" t="s">
        <v>40</v>
      </c>
      <c r="L3929" s="2" t="s">
        <v>32</v>
      </c>
      <c r="M3929" s="2" t="n">
        <v>45080</v>
      </c>
      <c r="N3929" s="2" t="n">
        <v>0</v>
      </c>
      <c r="O3929" s="2" t="n">
        <v>11</v>
      </c>
      <c r="P3929" s="2" t="n">
        <v>1</v>
      </c>
      <c r="Q3929" s="2" t="n">
        <v>3</v>
      </c>
      <c r="R3929" s="2" t="n">
        <v>5</v>
      </c>
      <c r="S3929" s="2" t="n">
        <v>2</v>
      </c>
      <c r="T3929" s="2" t="n">
        <v>2</v>
      </c>
      <c r="U3929" s="2" t="n">
        <v>1</v>
      </c>
      <c r="V3929" s="2" t="n">
        <v>1</v>
      </c>
      <c r="W3929" s="2" t="n">
        <v>4</v>
      </c>
      <c r="X3929" s="2" t="n">
        <v>3</v>
      </c>
      <c r="Y3929" s="2" t="n">
        <v>3</v>
      </c>
      <c r="Z3929" s="2" t="n">
        <v>3</v>
      </c>
    </row>
    <row r="3930" customFormat="false" ht="15" hidden="false" customHeight="true" outlineLevel="0" collapsed="false">
      <c r="A3930" s="2" t="n">
        <v>30</v>
      </c>
      <c r="B3930" s="2" t="s">
        <v>33</v>
      </c>
      <c r="C3930" s="2" t="s">
        <v>34</v>
      </c>
      <c r="D3930" s="2" t="s">
        <v>35</v>
      </c>
      <c r="E3930" s="2" t="n">
        <v>10</v>
      </c>
      <c r="F3930" s="2" t="n">
        <v>3</v>
      </c>
      <c r="G3930" s="2" t="s">
        <v>29</v>
      </c>
      <c r="H3930" s="2" t="n">
        <v>3929</v>
      </c>
      <c r="I3930" s="2" t="s">
        <v>30</v>
      </c>
      <c r="J3930" s="2" t="n">
        <v>1</v>
      </c>
      <c r="K3930" s="2" t="s">
        <v>42</v>
      </c>
      <c r="L3930" s="2" t="s">
        <v>46</v>
      </c>
      <c r="M3930" s="2" t="n">
        <v>22070</v>
      </c>
      <c r="N3930" s="2" t="n">
        <v>6</v>
      </c>
      <c r="O3930" s="2" t="n">
        <v>14</v>
      </c>
      <c r="P3930" s="2" t="n">
        <v>0</v>
      </c>
      <c r="Q3930" s="2" t="n">
        <v>6</v>
      </c>
      <c r="R3930" s="2" t="n">
        <v>4</v>
      </c>
      <c r="S3930" s="2" t="n">
        <v>4</v>
      </c>
      <c r="T3930" s="2" t="n">
        <v>1</v>
      </c>
      <c r="U3930" s="2" t="n">
        <v>2</v>
      </c>
      <c r="V3930" s="2" t="n">
        <v>3</v>
      </c>
      <c r="W3930" s="2" t="n">
        <v>4</v>
      </c>
      <c r="X3930" s="2" t="n">
        <v>2</v>
      </c>
      <c r="Y3930" s="2" t="n">
        <v>3</v>
      </c>
      <c r="Z3930" s="2" t="n">
        <v>3</v>
      </c>
    </row>
    <row r="3931" customFormat="false" ht="15" hidden="false" customHeight="true" outlineLevel="0" collapsed="false">
      <c r="A3931" s="2" t="n">
        <v>31</v>
      </c>
      <c r="B3931" s="2" t="s">
        <v>26</v>
      </c>
      <c r="C3931" s="2" t="s">
        <v>27</v>
      </c>
      <c r="D3931" s="2" t="s">
        <v>35</v>
      </c>
      <c r="E3931" s="2" t="n">
        <v>3</v>
      </c>
      <c r="F3931" s="2" t="n">
        <v>2</v>
      </c>
      <c r="G3931" s="2" t="s">
        <v>29</v>
      </c>
      <c r="H3931" s="2" t="n">
        <v>3930</v>
      </c>
      <c r="I3931" s="2" t="s">
        <v>39</v>
      </c>
      <c r="J3931" s="2" t="n">
        <v>3</v>
      </c>
      <c r="K3931" s="2" t="s">
        <v>45</v>
      </c>
      <c r="L3931" s="2" t="s">
        <v>32</v>
      </c>
      <c r="M3931" s="2" t="n">
        <v>77560</v>
      </c>
      <c r="N3931" s="2" t="n">
        <v>1</v>
      </c>
      <c r="O3931" s="2" t="n">
        <v>15</v>
      </c>
      <c r="P3931" s="2" t="n">
        <v>2</v>
      </c>
      <c r="Q3931" s="2" t="n">
        <v>6</v>
      </c>
      <c r="R3931" s="2" t="n">
        <v>3</v>
      </c>
      <c r="S3931" s="2" t="n">
        <v>5</v>
      </c>
      <c r="T3931" s="2" t="n">
        <v>0</v>
      </c>
      <c r="U3931" s="2" t="n">
        <v>2</v>
      </c>
      <c r="V3931" s="2" t="n">
        <v>1</v>
      </c>
      <c r="W3931" s="2" t="n">
        <v>3</v>
      </c>
      <c r="X3931" s="2" t="n">
        <v>3</v>
      </c>
      <c r="Y3931" s="2" t="n">
        <v>4</v>
      </c>
      <c r="Z3931" s="2" t="n">
        <v>3</v>
      </c>
    </row>
    <row r="3932" customFormat="false" ht="15" hidden="false" customHeight="true" outlineLevel="0" collapsed="false">
      <c r="A3932" s="2" t="n">
        <v>27</v>
      </c>
      <c r="B3932" s="2" t="s">
        <v>26</v>
      </c>
      <c r="C3932" s="2" t="s">
        <v>27</v>
      </c>
      <c r="D3932" s="2" t="s">
        <v>28</v>
      </c>
      <c r="E3932" s="2" t="n">
        <v>3</v>
      </c>
      <c r="F3932" s="2" t="n">
        <v>3</v>
      </c>
      <c r="G3932" s="2" t="s">
        <v>29</v>
      </c>
      <c r="H3932" s="2" t="n">
        <v>3931</v>
      </c>
      <c r="I3932" s="2" t="s">
        <v>39</v>
      </c>
      <c r="J3932" s="2" t="n">
        <v>1</v>
      </c>
      <c r="K3932" s="2" t="s">
        <v>49</v>
      </c>
      <c r="L3932" s="2" t="s">
        <v>37</v>
      </c>
      <c r="M3932" s="2" t="n">
        <v>66940</v>
      </c>
      <c r="N3932" s="2" t="n">
        <v>1</v>
      </c>
      <c r="O3932" s="2" t="n">
        <v>13</v>
      </c>
      <c r="P3932" s="2" t="n">
        <v>1</v>
      </c>
      <c r="Q3932" s="2" t="n">
        <v>6</v>
      </c>
      <c r="R3932" s="2" t="n">
        <v>2</v>
      </c>
      <c r="S3932" s="2" t="n">
        <v>6</v>
      </c>
      <c r="T3932" s="2" t="n">
        <v>1</v>
      </c>
      <c r="U3932" s="2" t="n">
        <v>4</v>
      </c>
      <c r="V3932" s="2" t="n">
        <v>3</v>
      </c>
      <c r="W3932" s="2" t="n">
        <v>4</v>
      </c>
      <c r="X3932" s="2" t="n">
        <v>2</v>
      </c>
      <c r="Y3932" s="2" t="n">
        <v>2</v>
      </c>
      <c r="Z3932" s="2" t="n">
        <v>3</v>
      </c>
    </row>
    <row r="3933" customFormat="false" ht="15" hidden="false" customHeight="true" outlineLevel="0" collapsed="false">
      <c r="A3933" s="2" t="n">
        <v>29</v>
      </c>
      <c r="B3933" s="2" t="s">
        <v>33</v>
      </c>
      <c r="C3933" s="2" t="s">
        <v>27</v>
      </c>
      <c r="D3933" s="2" t="s">
        <v>28</v>
      </c>
      <c r="E3933" s="2" t="n">
        <v>4</v>
      </c>
      <c r="F3933" s="2" t="n">
        <v>3</v>
      </c>
      <c r="G3933" s="2" t="s">
        <v>50</v>
      </c>
      <c r="H3933" s="2" t="n">
        <v>3932</v>
      </c>
      <c r="I3933" s="2" t="s">
        <v>39</v>
      </c>
      <c r="J3933" s="2" t="n">
        <v>5</v>
      </c>
      <c r="K3933" s="2" t="s">
        <v>36</v>
      </c>
      <c r="L3933" s="2" t="s">
        <v>37</v>
      </c>
      <c r="M3933" s="2" t="n">
        <v>36910</v>
      </c>
      <c r="N3933" s="2" t="n">
        <v>1</v>
      </c>
      <c r="O3933" s="2" t="n">
        <v>13</v>
      </c>
      <c r="P3933" s="2" t="n">
        <v>0</v>
      </c>
      <c r="Q3933" s="2" t="n">
        <v>2</v>
      </c>
      <c r="R3933" s="2" t="n">
        <v>3</v>
      </c>
      <c r="S3933" s="2" t="n">
        <v>2</v>
      </c>
      <c r="T3933" s="2" t="n">
        <v>2</v>
      </c>
      <c r="U3933" s="2" t="n">
        <v>2</v>
      </c>
      <c r="V3933" s="2" t="n">
        <v>2</v>
      </c>
      <c r="W3933" s="2" t="n">
        <v>2</v>
      </c>
      <c r="X3933" s="2" t="n">
        <v>3</v>
      </c>
      <c r="Y3933" s="2" t="n">
        <v>3</v>
      </c>
      <c r="Z3933" s="2" t="n">
        <v>3</v>
      </c>
    </row>
    <row r="3934" customFormat="false" ht="15" hidden="false" customHeight="true" outlineLevel="0" collapsed="false">
      <c r="A3934" s="2" t="n">
        <v>29</v>
      </c>
      <c r="B3934" s="2" t="s">
        <v>26</v>
      </c>
      <c r="C3934" s="2" t="s">
        <v>34</v>
      </c>
      <c r="D3934" s="2" t="s">
        <v>35</v>
      </c>
      <c r="E3934" s="2" t="n">
        <v>8</v>
      </c>
      <c r="F3934" s="2" t="n">
        <v>4</v>
      </c>
      <c r="G3934" s="2" t="s">
        <v>29</v>
      </c>
      <c r="H3934" s="2" t="n">
        <v>3933</v>
      </c>
      <c r="I3934" s="2" t="s">
        <v>30</v>
      </c>
      <c r="J3934" s="2" t="n">
        <v>1</v>
      </c>
      <c r="K3934" s="2" t="s">
        <v>40</v>
      </c>
      <c r="L3934" s="2" t="s">
        <v>37</v>
      </c>
      <c r="M3934" s="2" t="n">
        <v>23770</v>
      </c>
      <c r="N3934" s="2" t="n">
        <v>8</v>
      </c>
      <c r="O3934" s="2" t="n">
        <v>21</v>
      </c>
      <c r="P3934" s="2" t="n">
        <v>1</v>
      </c>
      <c r="Q3934" s="2" t="n">
        <v>10</v>
      </c>
      <c r="R3934" s="2" t="n">
        <v>2</v>
      </c>
      <c r="S3934" s="2" t="n">
        <v>3</v>
      </c>
      <c r="T3934" s="2" t="n">
        <v>0</v>
      </c>
      <c r="U3934" s="2" t="n">
        <v>2</v>
      </c>
      <c r="V3934" s="2" t="n">
        <v>4</v>
      </c>
      <c r="W3934" s="2" t="n">
        <v>3</v>
      </c>
      <c r="X3934" s="2" t="n">
        <v>4</v>
      </c>
      <c r="Y3934" s="2" t="n">
        <v>3</v>
      </c>
      <c r="Z3934" s="2" t="n">
        <v>4</v>
      </c>
    </row>
    <row r="3935" customFormat="false" ht="15" hidden="false" customHeight="true" outlineLevel="0" collapsed="false">
      <c r="A3935" s="2" t="n">
        <v>30</v>
      </c>
      <c r="B3935" s="2" t="s">
        <v>26</v>
      </c>
      <c r="C3935" s="2" t="s">
        <v>27</v>
      </c>
      <c r="D3935" s="2" t="s">
        <v>28</v>
      </c>
      <c r="E3935" s="2" t="n">
        <v>7</v>
      </c>
      <c r="F3935" s="2" t="n">
        <v>3</v>
      </c>
      <c r="G3935" s="2" t="s">
        <v>29</v>
      </c>
      <c r="H3935" s="2" t="n">
        <v>3934</v>
      </c>
      <c r="I3935" s="2" t="s">
        <v>39</v>
      </c>
      <c r="J3935" s="2" t="n">
        <v>3</v>
      </c>
      <c r="K3935" s="2" t="s">
        <v>40</v>
      </c>
      <c r="L3935" s="2" t="s">
        <v>46</v>
      </c>
      <c r="M3935" s="2" t="n">
        <v>23130</v>
      </c>
      <c r="N3935" s="2" t="n">
        <v>2</v>
      </c>
      <c r="O3935" s="2" t="n">
        <v>11</v>
      </c>
      <c r="P3935" s="2" t="n">
        <v>0</v>
      </c>
      <c r="Q3935" s="2" t="n">
        <v>12</v>
      </c>
      <c r="R3935" s="2" t="n">
        <v>5</v>
      </c>
      <c r="S3935" s="2" t="n">
        <v>7</v>
      </c>
      <c r="T3935" s="2" t="n">
        <v>1</v>
      </c>
      <c r="U3935" s="2" t="n">
        <v>7</v>
      </c>
      <c r="V3935" s="2" t="n">
        <v>3</v>
      </c>
      <c r="W3935" s="2" t="n">
        <v>1</v>
      </c>
      <c r="X3935" s="2" t="n">
        <v>3</v>
      </c>
      <c r="Y3935" s="2" t="n">
        <v>3</v>
      </c>
      <c r="Z3935" s="2" t="n">
        <v>3</v>
      </c>
    </row>
    <row r="3936" customFormat="false" ht="15" hidden="false" customHeight="true" outlineLevel="0" collapsed="false">
      <c r="A3936" s="2" t="n">
        <v>34</v>
      </c>
      <c r="B3936" s="2" t="s">
        <v>26</v>
      </c>
      <c r="C3936" s="2" t="s">
        <v>27</v>
      </c>
      <c r="D3936" s="2" t="s">
        <v>35</v>
      </c>
      <c r="E3936" s="2" t="n">
        <v>1</v>
      </c>
      <c r="F3936" s="2" t="n">
        <v>2</v>
      </c>
      <c r="G3936" s="2" t="s">
        <v>43</v>
      </c>
      <c r="H3936" s="2" t="n">
        <v>3935</v>
      </c>
      <c r="I3936" s="2" t="s">
        <v>30</v>
      </c>
      <c r="J3936" s="2" t="n">
        <v>2</v>
      </c>
      <c r="K3936" s="2" t="s">
        <v>31</v>
      </c>
      <c r="L3936" s="2" t="s">
        <v>32</v>
      </c>
      <c r="M3936" s="2" t="n">
        <v>176650</v>
      </c>
      <c r="N3936" s="2" t="n">
        <v>0</v>
      </c>
      <c r="O3936" s="2" t="n">
        <v>11</v>
      </c>
      <c r="P3936" s="2" t="n">
        <v>0</v>
      </c>
      <c r="Q3936" s="2" t="n">
        <v>6</v>
      </c>
      <c r="R3936" s="2" t="n">
        <v>5</v>
      </c>
      <c r="S3936" s="2" t="n">
        <v>5</v>
      </c>
      <c r="T3936" s="2" t="n">
        <v>1</v>
      </c>
      <c r="U3936" s="2" t="n">
        <v>2</v>
      </c>
      <c r="V3936" s="2" t="n">
        <v>4</v>
      </c>
      <c r="W3936" s="2" t="n">
        <v>4</v>
      </c>
      <c r="X3936" s="2" t="n">
        <v>3</v>
      </c>
      <c r="Y3936" s="2" t="n">
        <v>2</v>
      </c>
      <c r="Z3936" s="2" t="n">
        <v>3</v>
      </c>
    </row>
    <row r="3937" customFormat="false" ht="15" hidden="false" customHeight="true" outlineLevel="0" collapsed="false">
      <c r="A3937" s="2" t="n">
        <v>33</v>
      </c>
      <c r="B3937" s="2" t="s">
        <v>26</v>
      </c>
      <c r="C3937" s="2" t="s">
        <v>41</v>
      </c>
      <c r="D3937" s="2" t="s">
        <v>35</v>
      </c>
      <c r="E3937" s="2" t="n">
        <v>2</v>
      </c>
      <c r="F3937" s="2" t="n">
        <v>4</v>
      </c>
      <c r="G3937" s="2" t="s">
        <v>43</v>
      </c>
      <c r="H3937" s="2" t="n">
        <v>3936</v>
      </c>
      <c r="I3937" s="2" t="s">
        <v>39</v>
      </c>
      <c r="J3937" s="2" t="n">
        <v>1</v>
      </c>
      <c r="K3937" s="2" t="s">
        <v>48</v>
      </c>
      <c r="L3937" s="2" t="s">
        <v>37</v>
      </c>
      <c r="M3937" s="2" t="n">
        <v>25960</v>
      </c>
      <c r="N3937" s="2" t="n">
        <v>8</v>
      </c>
      <c r="O3937" s="2" t="n">
        <v>14</v>
      </c>
      <c r="P3937" s="2" t="n">
        <v>1</v>
      </c>
      <c r="Q3937" s="2" t="n">
        <v>13</v>
      </c>
      <c r="R3937" s="2" t="n">
        <v>4</v>
      </c>
      <c r="S3937" s="2" t="n">
        <v>11</v>
      </c>
      <c r="T3937" s="2" t="n">
        <v>1</v>
      </c>
      <c r="U3937" s="2" t="n">
        <v>7</v>
      </c>
      <c r="V3937" s="2" t="n">
        <v>4</v>
      </c>
      <c r="W3937" s="2" t="n">
        <v>2</v>
      </c>
      <c r="X3937" s="2" t="n">
        <v>2</v>
      </c>
      <c r="Y3937" s="2" t="n">
        <v>3</v>
      </c>
      <c r="Z3937" s="2" t="n">
        <v>3</v>
      </c>
    </row>
    <row r="3938" customFormat="false" ht="15" hidden="false" customHeight="true" outlineLevel="0" collapsed="false">
      <c r="A3938" s="2" t="n">
        <v>49</v>
      </c>
      <c r="B3938" s="2" t="s">
        <v>26</v>
      </c>
      <c r="C3938" s="2" t="s">
        <v>27</v>
      </c>
      <c r="D3938" s="2" t="s">
        <v>28</v>
      </c>
      <c r="E3938" s="2" t="n">
        <v>3</v>
      </c>
      <c r="F3938" s="2" t="n">
        <v>4</v>
      </c>
      <c r="G3938" s="2" t="s">
        <v>50</v>
      </c>
      <c r="H3938" s="2" t="n">
        <v>3937</v>
      </c>
      <c r="I3938" s="2" t="s">
        <v>39</v>
      </c>
      <c r="J3938" s="2" t="n">
        <v>1</v>
      </c>
      <c r="K3938" s="2" t="s">
        <v>40</v>
      </c>
      <c r="L3938" s="2" t="s">
        <v>37</v>
      </c>
      <c r="M3938" s="2" t="n">
        <v>47280</v>
      </c>
      <c r="N3938" s="2" t="n">
        <v>3</v>
      </c>
      <c r="O3938" s="2" t="n">
        <v>11</v>
      </c>
      <c r="P3938" s="2" t="n">
        <v>1</v>
      </c>
      <c r="Q3938" s="2" t="n">
        <v>8</v>
      </c>
      <c r="R3938" s="2" t="n">
        <v>4</v>
      </c>
      <c r="S3938" s="2" t="n">
        <v>5</v>
      </c>
      <c r="T3938" s="2" t="n">
        <v>0</v>
      </c>
      <c r="U3938" s="2" t="n">
        <v>4</v>
      </c>
      <c r="V3938" s="2" t="n">
        <v>4</v>
      </c>
      <c r="W3938" s="2" t="n">
        <v>4</v>
      </c>
      <c r="X3938" s="2" t="n">
        <v>4</v>
      </c>
      <c r="Y3938" s="2" t="n">
        <v>3</v>
      </c>
      <c r="Z3938" s="2" t="n">
        <v>3</v>
      </c>
    </row>
    <row r="3939" customFormat="false" ht="15" hidden="false" customHeight="true" outlineLevel="0" collapsed="false">
      <c r="A3939" s="2" t="n">
        <v>33</v>
      </c>
      <c r="B3939" s="2" t="s">
        <v>33</v>
      </c>
      <c r="C3939" s="2" t="s">
        <v>27</v>
      </c>
      <c r="D3939" s="2" t="s">
        <v>35</v>
      </c>
      <c r="E3939" s="2" t="n">
        <v>10</v>
      </c>
      <c r="F3939" s="2" t="n">
        <v>3</v>
      </c>
      <c r="G3939" s="2" t="s">
        <v>29</v>
      </c>
      <c r="H3939" s="2" t="n">
        <v>3938</v>
      </c>
      <c r="I3939" s="2" t="s">
        <v>39</v>
      </c>
      <c r="J3939" s="2" t="n">
        <v>1</v>
      </c>
      <c r="K3939" s="2" t="s">
        <v>40</v>
      </c>
      <c r="L3939" s="2" t="s">
        <v>37</v>
      </c>
      <c r="M3939" s="2" t="n">
        <v>43020</v>
      </c>
      <c r="N3939" s="2" t="n">
        <v>2</v>
      </c>
      <c r="O3939" s="2" t="n">
        <v>13</v>
      </c>
      <c r="P3939" s="2" t="n">
        <v>0</v>
      </c>
      <c r="Q3939" s="2" t="n">
        <v>11</v>
      </c>
      <c r="R3939" s="2" t="n">
        <v>3</v>
      </c>
      <c r="S3939" s="2" t="n">
        <v>0</v>
      </c>
      <c r="T3939" s="2" t="n">
        <v>0</v>
      </c>
      <c r="U3939" s="2" t="n">
        <v>0</v>
      </c>
      <c r="V3939" s="2" t="n">
        <v>1</v>
      </c>
      <c r="W3939" s="2" t="n">
        <v>1</v>
      </c>
      <c r="X3939" s="2" t="n">
        <v>2</v>
      </c>
      <c r="Y3939" s="2" t="n">
        <v>1</v>
      </c>
      <c r="Z3939" s="2" t="n">
        <v>3</v>
      </c>
    </row>
    <row r="3940" customFormat="false" ht="15" hidden="false" customHeight="true" outlineLevel="0" collapsed="false">
      <c r="A3940" s="2" t="n">
        <v>38</v>
      </c>
      <c r="B3940" s="2" t="s">
        <v>26</v>
      </c>
      <c r="C3940" s="2" t="s">
        <v>34</v>
      </c>
      <c r="D3940" s="2" t="s">
        <v>35</v>
      </c>
      <c r="E3940" s="2" t="n">
        <v>28</v>
      </c>
      <c r="F3940" s="2" t="n">
        <v>3</v>
      </c>
      <c r="G3940" s="2" t="s">
        <v>43</v>
      </c>
      <c r="H3940" s="2" t="n">
        <v>3939</v>
      </c>
      <c r="I3940" s="2" t="s">
        <v>39</v>
      </c>
      <c r="J3940" s="2" t="n">
        <v>1</v>
      </c>
      <c r="K3940" s="2" t="s">
        <v>31</v>
      </c>
      <c r="L3940" s="2" t="s">
        <v>32</v>
      </c>
      <c r="M3940" s="2" t="n">
        <v>29790</v>
      </c>
      <c r="N3940" s="2" t="n">
        <v>4</v>
      </c>
      <c r="O3940" s="2" t="n">
        <v>12</v>
      </c>
      <c r="P3940" s="2" t="n">
        <v>1</v>
      </c>
      <c r="Q3940" s="2" t="n">
        <v>9</v>
      </c>
      <c r="R3940" s="2" t="n">
        <v>3</v>
      </c>
      <c r="S3940" s="2" t="n">
        <v>6</v>
      </c>
      <c r="T3940" s="2" t="n">
        <v>0</v>
      </c>
      <c r="U3940" s="2" t="n">
        <v>5</v>
      </c>
      <c r="V3940" s="2" t="n">
        <v>3</v>
      </c>
      <c r="W3940" s="2" t="n">
        <v>2</v>
      </c>
      <c r="X3940" s="2" t="n">
        <v>2</v>
      </c>
      <c r="Y3940" s="2" t="n">
        <v>3</v>
      </c>
      <c r="Z3940" s="2" t="n">
        <v>3</v>
      </c>
    </row>
    <row r="3941" customFormat="false" ht="15" hidden="false" customHeight="true" outlineLevel="0" collapsed="false">
      <c r="A3941" s="2" t="n">
        <v>31</v>
      </c>
      <c r="B3941" s="2" t="s">
        <v>33</v>
      </c>
      <c r="C3941" s="2" t="s">
        <v>27</v>
      </c>
      <c r="D3941" s="2" t="s">
        <v>42</v>
      </c>
      <c r="E3941" s="2" t="n">
        <v>9</v>
      </c>
      <c r="F3941" s="2" t="n">
        <v>4</v>
      </c>
      <c r="G3941" s="2" t="s">
        <v>42</v>
      </c>
      <c r="H3941" s="2" t="n">
        <v>3940</v>
      </c>
      <c r="I3941" s="2" t="s">
        <v>39</v>
      </c>
      <c r="J3941" s="2" t="n">
        <v>2</v>
      </c>
      <c r="K3941" s="2" t="s">
        <v>45</v>
      </c>
      <c r="L3941" s="2" t="s">
        <v>32</v>
      </c>
      <c r="M3941" s="2" t="n">
        <v>168850</v>
      </c>
      <c r="N3941" s="2" t="n">
        <v>2</v>
      </c>
      <c r="O3941" s="2" t="n">
        <v>14</v>
      </c>
      <c r="P3941" s="2" t="n">
        <v>2</v>
      </c>
      <c r="Q3941" s="2" t="n">
        <v>10</v>
      </c>
      <c r="R3941" s="2" t="n">
        <v>2</v>
      </c>
      <c r="S3941" s="2" t="n">
        <v>1</v>
      </c>
      <c r="T3941" s="2" t="n">
        <v>0</v>
      </c>
      <c r="U3941" s="2" t="n">
        <v>0</v>
      </c>
      <c r="V3941" s="2" t="n">
        <v>1</v>
      </c>
      <c r="W3941" s="2" t="n">
        <v>3</v>
      </c>
      <c r="X3941" s="2" t="n">
        <v>3</v>
      </c>
      <c r="Y3941" s="2" t="n">
        <v>3</v>
      </c>
      <c r="Z3941" s="2" t="n">
        <v>3</v>
      </c>
    </row>
    <row r="3942" customFormat="false" ht="15" hidden="false" customHeight="true" outlineLevel="0" collapsed="false">
      <c r="A3942" s="2" t="n">
        <v>29</v>
      </c>
      <c r="B3942" s="2" t="s">
        <v>26</v>
      </c>
      <c r="C3942" s="2" t="s">
        <v>27</v>
      </c>
      <c r="D3942" s="2" t="s">
        <v>35</v>
      </c>
      <c r="E3942" s="2" t="n">
        <v>3</v>
      </c>
      <c r="F3942" s="2" t="n">
        <v>4</v>
      </c>
      <c r="G3942" s="2" t="s">
        <v>38</v>
      </c>
      <c r="H3942" s="2" t="n">
        <v>3941</v>
      </c>
      <c r="I3942" s="2" t="s">
        <v>30</v>
      </c>
      <c r="J3942" s="2" t="n">
        <v>2</v>
      </c>
      <c r="K3942" s="2" t="s">
        <v>48</v>
      </c>
      <c r="L3942" s="2" t="s">
        <v>46</v>
      </c>
      <c r="M3942" s="2" t="n">
        <v>55930</v>
      </c>
      <c r="N3942" s="2" t="n">
        <v>1</v>
      </c>
      <c r="O3942" s="2" t="n">
        <v>13</v>
      </c>
      <c r="P3942" s="2" t="n">
        <v>1</v>
      </c>
      <c r="Q3942" s="2" t="n">
        <v>1</v>
      </c>
      <c r="R3942" s="2" t="n">
        <v>3</v>
      </c>
      <c r="S3942" s="2" t="n">
        <v>1</v>
      </c>
      <c r="T3942" s="2" t="n">
        <v>0</v>
      </c>
      <c r="U3942" s="2" t="n">
        <v>0</v>
      </c>
      <c r="V3942" s="2" t="n">
        <v>4</v>
      </c>
      <c r="W3942" s="2" t="n">
        <v>1</v>
      </c>
      <c r="X3942" s="2" t="n">
        <v>3</v>
      </c>
      <c r="Y3942" s="2" t="n">
        <v>3</v>
      </c>
      <c r="Z3942" s="2" t="n">
        <v>3</v>
      </c>
    </row>
    <row r="3943" customFormat="false" ht="15" hidden="false" customHeight="true" outlineLevel="0" collapsed="false">
      <c r="A3943" s="2" t="n">
        <v>30</v>
      </c>
      <c r="B3943" s="2" t="s">
        <v>26</v>
      </c>
      <c r="C3943" s="2" t="s">
        <v>27</v>
      </c>
      <c r="D3943" s="2" t="s">
        <v>35</v>
      </c>
      <c r="E3943" s="2" t="n">
        <v>2</v>
      </c>
      <c r="F3943" s="2" t="n">
        <v>1</v>
      </c>
      <c r="G3943" s="2" t="s">
        <v>43</v>
      </c>
      <c r="H3943" s="2" t="n">
        <v>3942</v>
      </c>
      <c r="I3943" s="2" t="s">
        <v>39</v>
      </c>
      <c r="J3943" s="2" t="n">
        <v>1</v>
      </c>
      <c r="K3943" s="2" t="s">
        <v>48</v>
      </c>
      <c r="L3943" s="2" t="s">
        <v>32</v>
      </c>
      <c r="M3943" s="2" t="n">
        <v>104450</v>
      </c>
      <c r="N3943" s="2" t="n">
        <v>3</v>
      </c>
      <c r="O3943" s="2" t="n">
        <v>18</v>
      </c>
      <c r="P3943" s="2" t="n">
        <v>1</v>
      </c>
      <c r="Q3943" s="2" t="n">
        <v>10</v>
      </c>
      <c r="R3943" s="2" t="n">
        <v>3</v>
      </c>
      <c r="S3943" s="2" t="n">
        <v>7</v>
      </c>
      <c r="T3943" s="2" t="n">
        <v>1</v>
      </c>
      <c r="U3943" s="2" t="n">
        <v>7</v>
      </c>
      <c r="V3943" s="2" t="n">
        <v>3</v>
      </c>
      <c r="W3943" s="2" t="n">
        <v>3</v>
      </c>
      <c r="X3943" s="2" t="n">
        <v>3</v>
      </c>
      <c r="Y3943" s="2" t="n">
        <v>3</v>
      </c>
      <c r="Z3943" s="2" t="n">
        <v>3</v>
      </c>
    </row>
    <row r="3944" customFormat="false" ht="15" hidden="false" customHeight="true" outlineLevel="0" collapsed="false">
      <c r="A3944" s="2" t="n">
        <v>32</v>
      </c>
      <c r="B3944" s="2" t="s">
        <v>26</v>
      </c>
      <c r="C3944" s="2" t="s">
        <v>41</v>
      </c>
      <c r="D3944" s="2" t="s">
        <v>35</v>
      </c>
      <c r="E3944" s="2" t="n">
        <v>10</v>
      </c>
      <c r="F3944" s="2" t="n">
        <v>4</v>
      </c>
      <c r="G3944" s="2" t="s">
        <v>29</v>
      </c>
      <c r="H3944" s="2" t="n">
        <v>3943</v>
      </c>
      <c r="I3944" s="2" t="s">
        <v>30</v>
      </c>
      <c r="J3944" s="2" t="n">
        <v>1</v>
      </c>
      <c r="K3944" s="2" t="s">
        <v>45</v>
      </c>
      <c r="L3944" s="2" t="s">
        <v>37</v>
      </c>
      <c r="M3944" s="2" t="n">
        <v>87400</v>
      </c>
      <c r="N3944" s="2" t="n">
        <v>2</v>
      </c>
      <c r="O3944" s="2" t="n">
        <v>11</v>
      </c>
      <c r="P3944" s="2" t="n">
        <v>1</v>
      </c>
      <c r="Q3944" s="2" t="n">
        <v>12</v>
      </c>
      <c r="R3944" s="2" t="n">
        <v>2</v>
      </c>
      <c r="S3944" s="2" t="n">
        <v>7</v>
      </c>
      <c r="T3944" s="2" t="n">
        <v>0</v>
      </c>
      <c r="U3944" s="2" t="n">
        <v>7</v>
      </c>
      <c r="V3944" s="2" t="n">
        <v>2</v>
      </c>
      <c r="W3944" s="2" t="n">
        <v>2</v>
      </c>
      <c r="X3944" s="2" t="n">
        <v>3</v>
      </c>
      <c r="Y3944" s="2" t="n">
        <v>3</v>
      </c>
      <c r="Z3944" s="2" t="n">
        <v>3</v>
      </c>
    </row>
    <row r="3945" customFormat="false" ht="15" hidden="false" customHeight="true" outlineLevel="0" collapsed="false">
      <c r="A3945" s="2" t="n">
        <v>38</v>
      </c>
      <c r="B3945" s="2" t="s">
        <v>26</v>
      </c>
      <c r="C3945" s="2" t="s">
        <v>27</v>
      </c>
      <c r="D3945" s="2" t="s">
        <v>35</v>
      </c>
      <c r="E3945" s="2" t="n">
        <v>8</v>
      </c>
      <c r="F3945" s="2" t="n">
        <v>2</v>
      </c>
      <c r="G3945" s="2" t="s">
        <v>51</v>
      </c>
      <c r="H3945" s="2" t="n">
        <v>3944</v>
      </c>
      <c r="I3945" s="2" t="s">
        <v>30</v>
      </c>
      <c r="J3945" s="2" t="n">
        <v>1</v>
      </c>
      <c r="K3945" s="2" t="s">
        <v>47</v>
      </c>
      <c r="L3945" s="2" t="s">
        <v>32</v>
      </c>
      <c r="M3945" s="2" t="n">
        <v>25140</v>
      </c>
      <c r="N3945" s="2" t="n">
        <v>3</v>
      </c>
      <c r="O3945" s="2" t="n">
        <v>11</v>
      </c>
      <c r="P3945" s="2" t="n">
        <v>0</v>
      </c>
      <c r="Q3945" s="2" t="n">
        <v>15</v>
      </c>
      <c r="R3945" s="2" t="n">
        <v>2</v>
      </c>
      <c r="S3945" s="2" t="n">
        <v>1</v>
      </c>
      <c r="T3945" s="2" t="n">
        <v>1</v>
      </c>
      <c r="U3945" s="2" t="n">
        <v>0</v>
      </c>
      <c r="V3945" s="2" t="n">
        <v>2</v>
      </c>
      <c r="W3945" s="2" t="n">
        <v>4</v>
      </c>
      <c r="X3945" s="2" t="n">
        <v>3</v>
      </c>
      <c r="Y3945" s="2" t="n">
        <v>2</v>
      </c>
      <c r="Z3945" s="2" t="n">
        <v>3</v>
      </c>
    </row>
    <row r="3946" customFormat="false" ht="15" hidden="false" customHeight="true" outlineLevel="0" collapsed="false">
      <c r="A3946" s="2" t="n">
        <v>43</v>
      </c>
      <c r="B3946" s="2" t="s">
        <v>33</v>
      </c>
      <c r="C3946" s="2" t="s">
        <v>34</v>
      </c>
      <c r="D3946" s="2" t="s">
        <v>35</v>
      </c>
      <c r="E3946" s="2" t="n">
        <v>1</v>
      </c>
      <c r="F3946" s="2" t="n">
        <v>4</v>
      </c>
      <c r="G3946" s="2" t="s">
        <v>38</v>
      </c>
      <c r="H3946" s="2" t="n">
        <v>3945</v>
      </c>
      <c r="I3946" s="2" t="s">
        <v>39</v>
      </c>
      <c r="J3946" s="2" t="n">
        <v>3</v>
      </c>
      <c r="K3946" s="2" t="s">
        <v>40</v>
      </c>
      <c r="L3946" s="2" t="s">
        <v>32</v>
      </c>
      <c r="M3946" s="2" t="n">
        <v>76550</v>
      </c>
      <c r="N3946" s="2" t="n">
        <v>9</v>
      </c>
      <c r="O3946" s="2" t="n">
        <v>12</v>
      </c>
      <c r="P3946" s="2" t="n">
        <v>1</v>
      </c>
      <c r="Q3946" s="2" t="n">
        <v>6</v>
      </c>
      <c r="R3946" s="2" t="n">
        <v>3</v>
      </c>
      <c r="S3946" s="2" t="n">
        <v>1</v>
      </c>
      <c r="T3946" s="2" t="n">
        <v>0</v>
      </c>
      <c r="U3946" s="2" t="n">
        <v>0</v>
      </c>
      <c r="V3946" s="2" t="n">
        <v>3</v>
      </c>
      <c r="W3946" s="2" t="n">
        <v>3</v>
      </c>
      <c r="X3946" s="2" t="n">
        <v>3</v>
      </c>
      <c r="Y3946" s="2" t="n">
        <v>3</v>
      </c>
      <c r="Z3946" s="2" t="n">
        <v>3</v>
      </c>
    </row>
    <row r="3947" customFormat="false" ht="15" hidden="false" customHeight="true" outlineLevel="0" collapsed="false">
      <c r="A3947" s="2" t="n">
        <v>42</v>
      </c>
      <c r="B3947" s="2" t="s">
        <v>26</v>
      </c>
      <c r="C3947" s="2" t="s">
        <v>27</v>
      </c>
      <c r="D3947" s="2" t="s">
        <v>42</v>
      </c>
      <c r="E3947" s="2" t="n">
        <v>1</v>
      </c>
      <c r="F3947" s="2" t="n">
        <v>3</v>
      </c>
      <c r="G3947" s="2" t="s">
        <v>38</v>
      </c>
      <c r="H3947" s="2" t="n">
        <v>3946</v>
      </c>
      <c r="I3947" s="2" t="s">
        <v>30</v>
      </c>
      <c r="J3947" s="2" t="n">
        <v>1</v>
      </c>
      <c r="K3947" s="2" t="s">
        <v>31</v>
      </c>
      <c r="L3947" s="2" t="s">
        <v>46</v>
      </c>
      <c r="M3947" s="2" t="n">
        <v>174650</v>
      </c>
      <c r="N3947" s="2" t="n">
        <v>8</v>
      </c>
      <c r="O3947" s="2" t="n">
        <v>13</v>
      </c>
      <c r="P3947" s="2" t="n">
        <v>1</v>
      </c>
      <c r="Q3947" s="2" t="n">
        <v>7</v>
      </c>
      <c r="R3947" s="2" t="n">
        <v>3</v>
      </c>
      <c r="S3947" s="2" t="n">
        <v>5</v>
      </c>
      <c r="T3947" s="2" t="n">
        <v>0</v>
      </c>
      <c r="U3947" s="2" t="n">
        <v>4</v>
      </c>
      <c r="V3947" s="2" t="n">
        <v>2</v>
      </c>
      <c r="W3947" s="2" t="n">
        <v>2</v>
      </c>
      <c r="X3947" s="2" t="n">
        <v>2</v>
      </c>
      <c r="Y3947" s="2" t="n">
        <v>3</v>
      </c>
      <c r="Z3947" s="2" t="n">
        <v>3</v>
      </c>
    </row>
    <row r="3948" customFormat="false" ht="15" hidden="false" customHeight="true" outlineLevel="0" collapsed="false">
      <c r="A3948" s="2" t="n">
        <v>55</v>
      </c>
      <c r="B3948" s="2" t="s">
        <v>26</v>
      </c>
      <c r="C3948" s="2" t="s">
        <v>27</v>
      </c>
      <c r="D3948" s="2" t="s">
        <v>35</v>
      </c>
      <c r="E3948" s="2" t="n">
        <v>3</v>
      </c>
      <c r="F3948" s="2" t="n">
        <v>2</v>
      </c>
      <c r="G3948" s="2" t="s">
        <v>29</v>
      </c>
      <c r="H3948" s="2" t="n">
        <v>3947</v>
      </c>
      <c r="I3948" s="2" t="s">
        <v>30</v>
      </c>
      <c r="J3948" s="2" t="n">
        <v>1</v>
      </c>
      <c r="K3948" s="2" t="s">
        <v>40</v>
      </c>
      <c r="L3948" s="2" t="s">
        <v>32</v>
      </c>
      <c r="M3948" s="2" t="n">
        <v>73510</v>
      </c>
      <c r="N3948" s="2" t="n">
        <v>8</v>
      </c>
      <c r="O3948" s="2" t="n">
        <v>20</v>
      </c>
      <c r="P3948" s="2" t="n">
        <v>1</v>
      </c>
      <c r="Q3948" s="2" t="n">
        <v>34</v>
      </c>
      <c r="R3948" s="2" t="n">
        <v>3</v>
      </c>
      <c r="S3948" s="2" t="n">
        <v>1</v>
      </c>
      <c r="T3948" s="2" t="n">
        <v>0</v>
      </c>
      <c r="U3948" s="2" t="n">
        <v>0</v>
      </c>
      <c r="V3948" s="2" t="n">
        <v>3</v>
      </c>
      <c r="W3948" s="2" t="n">
        <v>1</v>
      </c>
      <c r="X3948" s="2" t="n">
        <v>3</v>
      </c>
      <c r="Y3948" s="2" t="n">
        <v>3</v>
      </c>
      <c r="Z3948" s="2" t="n">
        <v>4</v>
      </c>
    </row>
    <row r="3949" customFormat="false" ht="15" hidden="false" customHeight="true" outlineLevel="0" collapsed="false">
      <c r="A3949" s="2" t="n">
        <v>33</v>
      </c>
      <c r="B3949" s="2" t="s">
        <v>26</v>
      </c>
      <c r="C3949" s="2" t="s">
        <v>41</v>
      </c>
      <c r="D3949" s="2" t="s">
        <v>35</v>
      </c>
      <c r="E3949" s="2" t="n">
        <v>14</v>
      </c>
      <c r="F3949" s="2" t="n">
        <v>3</v>
      </c>
      <c r="G3949" s="2" t="s">
        <v>38</v>
      </c>
      <c r="H3949" s="2" t="n">
        <v>3948</v>
      </c>
      <c r="I3949" s="2" t="s">
        <v>39</v>
      </c>
      <c r="J3949" s="2" t="n">
        <v>1</v>
      </c>
      <c r="K3949" s="2" t="s">
        <v>36</v>
      </c>
      <c r="L3949" s="2" t="s">
        <v>46</v>
      </c>
      <c r="M3949" s="2" t="n">
        <v>108200</v>
      </c>
      <c r="N3949" s="2" t="n">
        <v>5</v>
      </c>
      <c r="O3949" s="2" t="n">
        <v>12</v>
      </c>
      <c r="P3949" s="2" t="n">
        <v>0</v>
      </c>
      <c r="Q3949" s="2" t="n">
        <v>11</v>
      </c>
      <c r="R3949" s="2" t="n">
        <v>2</v>
      </c>
      <c r="S3949" s="2" t="n">
        <v>9</v>
      </c>
      <c r="T3949" s="2" t="n">
        <v>1</v>
      </c>
      <c r="U3949" s="2" t="n">
        <v>7</v>
      </c>
      <c r="V3949" s="2" t="n">
        <v>4</v>
      </c>
      <c r="W3949" s="2" t="n">
        <v>2</v>
      </c>
      <c r="X3949" s="2" t="n">
        <v>2</v>
      </c>
      <c r="Y3949" s="2" t="n">
        <v>3</v>
      </c>
      <c r="Z3949" s="2" t="n">
        <v>3</v>
      </c>
    </row>
    <row r="3950" customFormat="false" ht="15" hidden="false" customHeight="true" outlineLevel="0" collapsed="false">
      <c r="A3950" s="2" t="n">
        <v>41</v>
      </c>
      <c r="B3950" s="2" t="s">
        <v>26</v>
      </c>
      <c r="C3950" s="2" t="s">
        <v>27</v>
      </c>
      <c r="D3950" s="2" t="s">
        <v>35</v>
      </c>
      <c r="E3950" s="2" t="n">
        <v>5</v>
      </c>
      <c r="F3950" s="2" t="n">
        <v>3</v>
      </c>
      <c r="G3950" s="2" t="s">
        <v>43</v>
      </c>
      <c r="H3950" s="2" t="n">
        <v>3949</v>
      </c>
      <c r="I3950" s="2" t="s">
        <v>39</v>
      </c>
      <c r="J3950" s="2" t="n">
        <v>1</v>
      </c>
      <c r="K3950" s="2" t="s">
        <v>48</v>
      </c>
      <c r="L3950" s="2" t="s">
        <v>46</v>
      </c>
      <c r="M3950" s="2" t="n">
        <v>121690</v>
      </c>
      <c r="N3950" s="2" t="n">
        <v>1</v>
      </c>
      <c r="O3950" s="2" t="n">
        <v>19</v>
      </c>
      <c r="P3950" s="2" t="n">
        <v>0</v>
      </c>
      <c r="Q3950" s="2" t="n">
        <v>5</v>
      </c>
      <c r="R3950" s="2" t="n">
        <v>2</v>
      </c>
      <c r="S3950" s="2" t="n">
        <v>5</v>
      </c>
      <c r="T3950" s="2" t="n">
        <v>0</v>
      </c>
      <c r="U3950" s="2" t="n">
        <v>4</v>
      </c>
      <c r="V3950" s="2" t="n">
        <v>3</v>
      </c>
      <c r="W3950" s="2" t="n">
        <v>1</v>
      </c>
      <c r="X3950" s="2" t="n">
        <v>3</v>
      </c>
      <c r="Y3950" s="2" t="n">
        <v>3</v>
      </c>
      <c r="Z3950" s="2" t="n">
        <v>3</v>
      </c>
    </row>
    <row r="3951" customFormat="false" ht="15" hidden="false" customHeight="true" outlineLevel="0" collapsed="false">
      <c r="A3951" s="2" t="n">
        <v>34</v>
      </c>
      <c r="B3951" s="2" t="s">
        <v>26</v>
      </c>
      <c r="C3951" s="2" t="s">
        <v>41</v>
      </c>
      <c r="D3951" s="2" t="s">
        <v>35</v>
      </c>
      <c r="E3951" s="2" t="n">
        <v>7</v>
      </c>
      <c r="F3951" s="2" t="n">
        <v>4</v>
      </c>
      <c r="G3951" s="2" t="s">
        <v>43</v>
      </c>
      <c r="H3951" s="2" t="n">
        <v>3950</v>
      </c>
      <c r="I3951" s="2" t="s">
        <v>30</v>
      </c>
      <c r="J3951" s="2" t="n">
        <v>1</v>
      </c>
      <c r="K3951" s="2" t="s">
        <v>36</v>
      </c>
      <c r="L3951" s="2" t="s">
        <v>46</v>
      </c>
      <c r="M3951" s="2" t="n">
        <v>196260</v>
      </c>
      <c r="N3951" s="2" t="n">
        <v>1</v>
      </c>
      <c r="O3951" s="2" t="n">
        <v>21</v>
      </c>
      <c r="P3951" s="2" t="n">
        <v>0</v>
      </c>
      <c r="Q3951" s="2" t="n">
        <v>15</v>
      </c>
      <c r="R3951" s="2" t="n">
        <v>5</v>
      </c>
      <c r="S3951" s="2" t="n">
        <v>15</v>
      </c>
      <c r="T3951" s="2" t="n">
        <v>0</v>
      </c>
      <c r="U3951" s="2" t="n">
        <v>7</v>
      </c>
      <c r="V3951" s="2" t="n">
        <v>4</v>
      </c>
      <c r="W3951" s="2" t="n">
        <v>3</v>
      </c>
      <c r="X3951" s="2" t="n">
        <v>3</v>
      </c>
      <c r="Y3951" s="2" t="n">
        <v>2</v>
      </c>
      <c r="Z3951" s="2" t="n">
        <v>4</v>
      </c>
    </row>
    <row r="3952" customFormat="false" ht="15" hidden="false" customHeight="true" outlineLevel="0" collapsed="false">
      <c r="A3952" s="2" t="n">
        <v>53</v>
      </c>
      <c r="B3952" s="2" t="s">
        <v>26</v>
      </c>
      <c r="C3952" s="2" t="s">
        <v>41</v>
      </c>
      <c r="D3952" s="2" t="s">
        <v>35</v>
      </c>
      <c r="E3952" s="2" t="n">
        <v>10</v>
      </c>
      <c r="F3952" s="2" t="n">
        <v>4</v>
      </c>
      <c r="G3952" s="2" t="s">
        <v>43</v>
      </c>
      <c r="H3952" s="2" t="n">
        <v>3951</v>
      </c>
      <c r="I3952" s="2" t="s">
        <v>39</v>
      </c>
      <c r="J3952" s="2" t="n">
        <v>2</v>
      </c>
      <c r="K3952" s="2" t="s">
        <v>31</v>
      </c>
      <c r="L3952" s="2" t="s">
        <v>32</v>
      </c>
      <c r="M3952" s="2" t="n">
        <v>20700</v>
      </c>
      <c r="N3952" s="2" t="n">
        <v>4</v>
      </c>
      <c r="O3952" s="2" t="n">
        <v>13</v>
      </c>
      <c r="P3952" s="2" t="n">
        <v>2</v>
      </c>
      <c r="Q3952" s="2" t="n">
        <v>27</v>
      </c>
      <c r="R3952" s="2" t="n">
        <v>2</v>
      </c>
      <c r="S3952" s="2" t="n">
        <v>3</v>
      </c>
      <c r="T3952" s="2" t="n">
        <v>0</v>
      </c>
      <c r="U3952" s="2" t="n">
        <v>2</v>
      </c>
      <c r="V3952" s="2" t="n">
        <v>1</v>
      </c>
      <c r="W3952" s="2" t="n">
        <v>3</v>
      </c>
      <c r="X3952" s="2" t="n">
        <v>2</v>
      </c>
      <c r="Y3952" s="2" t="n">
        <v>4</v>
      </c>
      <c r="Z3952" s="2" t="n">
        <v>3</v>
      </c>
    </row>
    <row r="3953" customFormat="false" ht="15" hidden="false" customHeight="true" outlineLevel="0" collapsed="false">
      <c r="A3953" s="2" t="n">
        <v>43</v>
      </c>
      <c r="B3953" s="2" t="s">
        <v>26</v>
      </c>
      <c r="C3953" s="2" t="s">
        <v>27</v>
      </c>
      <c r="D3953" s="2" t="s">
        <v>28</v>
      </c>
      <c r="E3953" s="2" t="n">
        <v>16</v>
      </c>
      <c r="F3953" s="2" t="n">
        <v>2</v>
      </c>
      <c r="G3953" s="2" t="s">
        <v>50</v>
      </c>
      <c r="H3953" s="2" t="n">
        <v>3952</v>
      </c>
      <c r="I3953" s="2" t="s">
        <v>30</v>
      </c>
      <c r="J3953" s="2" t="n">
        <v>1</v>
      </c>
      <c r="K3953" s="2" t="s">
        <v>45</v>
      </c>
      <c r="L3953" s="2" t="s">
        <v>37</v>
      </c>
      <c r="M3953" s="2" t="n">
        <v>67820</v>
      </c>
      <c r="N3953" s="2" t="n">
        <v>0</v>
      </c>
      <c r="O3953" s="2" t="n">
        <v>16</v>
      </c>
      <c r="P3953" s="2" t="n">
        <v>1</v>
      </c>
      <c r="Q3953" s="2" t="n">
        <v>10</v>
      </c>
      <c r="R3953" s="2" t="n">
        <v>2</v>
      </c>
      <c r="S3953" s="2" t="n">
        <v>9</v>
      </c>
      <c r="T3953" s="2" t="n">
        <v>1</v>
      </c>
      <c r="U3953" s="2" t="n">
        <v>8</v>
      </c>
      <c r="V3953" s="2" t="n">
        <v>2</v>
      </c>
      <c r="W3953" s="2" t="n">
        <v>4</v>
      </c>
      <c r="X3953" s="2" t="n">
        <v>3</v>
      </c>
      <c r="Y3953" s="2" t="n">
        <v>3</v>
      </c>
      <c r="Z3953" s="2" t="n">
        <v>3</v>
      </c>
    </row>
    <row r="3954" customFormat="false" ht="15" hidden="false" customHeight="true" outlineLevel="0" collapsed="false">
      <c r="A3954" s="2" t="n">
        <v>34</v>
      </c>
      <c r="B3954" s="2" t="s">
        <v>26</v>
      </c>
      <c r="C3954" s="2" t="s">
        <v>27</v>
      </c>
      <c r="D3954" s="2" t="s">
        <v>28</v>
      </c>
      <c r="E3954" s="2" t="n">
        <v>10</v>
      </c>
      <c r="F3954" s="2" t="n">
        <v>2</v>
      </c>
      <c r="G3954" s="2" t="s">
        <v>29</v>
      </c>
      <c r="H3954" s="2" t="n">
        <v>3953</v>
      </c>
      <c r="I3954" s="2" t="s">
        <v>30</v>
      </c>
      <c r="J3954" s="2" t="n">
        <v>5</v>
      </c>
      <c r="K3954" s="2" t="s">
        <v>40</v>
      </c>
      <c r="L3954" s="2" t="s">
        <v>37</v>
      </c>
      <c r="M3954" s="2" t="n">
        <v>77790</v>
      </c>
      <c r="N3954" s="2" t="n">
        <v>5</v>
      </c>
      <c r="O3954" s="2" t="n">
        <v>12</v>
      </c>
      <c r="P3954" s="2" t="n">
        <v>1</v>
      </c>
      <c r="Q3954" s="2" t="n">
        <v>6</v>
      </c>
      <c r="R3954" s="2" t="n">
        <v>2</v>
      </c>
      <c r="S3954" s="2" t="n">
        <v>2</v>
      </c>
      <c r="T3954" s="2" t="n">
        <v>2</v>
      </c>
      <c r="U3954" s="2" t="n">
        <v>2</v>
      </c>
      <c r="V3954" s="2" t="n">
        <v>4</v>
      </c>
      <c r="W3954" s="2" t="n">
        <v>4</v>
      </c>
      <c r="X3954" s="2" t="n">
        <v>3</v>
      </c>
      <c r="Y3954" s="2" t="n">
        <v>3</v>
      </c>
      <c r="Z3954" s="2" t="n">
        <v>3</v>
      </c>
    </row>
    <row r="3955" customFormat="false" ht="15" hidden="false" customHeight="true" outlineLevel="0" collapsed="false">
      <c r="A3955" s="2" t="n">
        <v>21</v>
      </c>
      <c r="B3955" s="2" t="s">
        <v>33</v>
      </c>
      <c r="C3955" s="2" t="s">
        <v>27</v>
      </c>
      <c r="D3955" s="2" t="s">
        <v>28</v>
      </c>
      <c r="E3955" s="2" t="n">
        <v>1</v>
      </c>
      <c r="F3955" s="2" t="n">
        <v>2</v>
      </c>
      <c r="G3955" s="2" t="s">
        <v>50</v>
      </c>
      <c r="H3955" s="2" t="n">
        <v>3954</v>
      </c>
      <c r="I3955" s="2" t="s">
        <v>39</v>
      </c>
      <c r="J3955" s="2" t="n">
        <v>5</v>
      </c>
      <c r="K3955" s="2" t="s">
        <v>31</v>
      </c>
      <c r="L3955" s="2" t="s">
        <v>37</v>
      </c>
      <c r="M3955" s="2" t="n">
        <v>27910</v>
      </c>
      <c r="N3955" s="2" t="n">
        <v>1</v>
      </c>
      <c r="O3955" s="2" t="n">
        <v>14</v>
      </c>
      <c r="P3955" s="2" t="n">
        <v>0</v>
      </c>
      <c r="Q3955" s="2" t="n">
        <v>1</v>
      </c>
      <c r="R3955" s="2" t="n">
        <v>3</v>
      </c>
      <c r="S3955" s="2" t="n">
        <v>1</v>
      </c>
      <c r="T3955" s="2" t="n">
        <v>1</v>
      </c>
      <c r="U3955" s="2" t="n">
        <v>0</v>
      </c>
      <c r="V3955" s="2" t="n">
        <v>2</v>
      </c>
      <c r="W3955" s="2" t="n">
        <v>2</v>
      </c>
      <c r="X3955" s="2" t="n">
        <v>3</v>
      </c>
      <c r="Y3955" s="2" t="n">
        <v>4</v>
      </c>
      <c r="Z3955" s="2" t="n">
        <v>3</v>
      </c>
    </row>
    <row r="3956" customFormat="false" ht="15" hidden="false" customHeight="true" outlineLevel="0" collapsed="false">
      <c r="A3956" s="2" t="n">
        <v>38</v>
      </c>
      <c r="B3956" s="2" t="s">
        <v>26</v>
      </c>
      <c r="C3956" s="2" t="s">
        <v>27</v>
      </c>
      <c r="D3956" s="2" t="s">
        <v>35</v>
      </c>
      <c r="E3956" s="2" t="n">
        <v>8</v>
      </c>
      <c r="F3956" s="2" t="n">
        <v>2</v>
      </c>
      <c r="G3956" s="2" t="s">
        <v>29</v>
      </c>
      <c r="H3956" s="2" t="n">
        <v>3955</v>
      </c>
      <c r="I3956" s="2" t="s">
        <v>30</v>
      </c>
      <c r="J3956" s="2" t="n">
        <v>2</v>
      </c>
      <c r="K3956" s="2" t="s">
        <v>40</v>
      </c>
      <c r="L3956" s="2" t="s">
        <v>32</v>
      </c>
      <c r="M3956" s="2" t="n">
        <v>32010</v>
      </c>
      <c r="N3956" s="2" t="n">
        <v>1</v>
      </c>
      <c r="O3956" s="2" t="n">
        <v>11</v>
      </c>
      <c r="P3956" s="2" t="n">
        <v>1</v>
      </c>
      <c r="Q3956" s="2" t="n">
        <v>5</v>
      </c>
      <c r="R3956" s="2" t="n">
        <v>3</v>
      </c>
      <c r="S3956" s="2" t="n">
        <v>5</v>
      </c>
      <c r="T3956" s="2" t="n">
        <v>0</v>
      </c>
      <c r="U3956" s="2" t="n">
        <v>4</v>
      </c>
      <c r="V3956" s="2" t="n">
        <v>4</v>
      </c>
      <c r="W3956" s="2" t="n">
        <v>3</v>
      </c>
      <c r="X3956" s="2" t="n">
        <v>3</v>
      </c>
      <c r="Y3956" s="2" t="n">
        <v>2</v>
      </c>
      <c r="Z3956" s="2" t="n">
        <v>3</v>
      </c>
    </row>
    <row r="3957" customFormat="false" ht="15" hidden="false" customHeight="true" outlineLevel="0" collapsed="false">
      <c r="A3957" s="2" t="n">
        <v>22</v>
      </c>
      <c r="B3957" s="2" t="s">
        <v>33</v>
      </c>
      <c r="C3957" s="2" t="s">
        <v>27</v>
      </c>
      <c r="D3957" s="2" t="s">
        <v>35</v>
      </c>
      <c r="E3957" s="2" t="n">
        <v>1</v>
      </c>
      <c r="F3957" s="2" t="n">
        <v>3</v>
      </c>
      <c r="G3957" s="2" t="s">
        <v>38</v>
      </c>
      <c r="H3957" s="2" t="n">
        <v>3956</v>
      </c>
      <c r="I3957" s="2" t="s">
        <v>39</v>
      </c>
      <c r="J3957" s="2" t="n">
        <v>4</v>
      </c>
      <c r="K3957" s="2" t="s">
        <v>36</v>
      </c>
      <c r="L3957" s="2" t="s">
        <v>32</v>
      </c>
      <c r="M3957" s="2" t="n">
        <v>49680</v>
      </c>
      <c r="N3957" s="2" t="n">
        <v>1</v>
      </c>
      <c r="O3957" s="2" t="n">
        <v>14</v>
      </c>
      <c r="P3957" s="2" t="n">
        <v>0</v>
      </c>
      <c r="Q3957" s="2" t="n">
        <v>1</v>
      </c>
      <c r="R3957" s="2" t="n">
        <v>3</v>
      </c>
      <c r="S3957" s="2" t="n">
        <v>1</v>
      </c>
      <c r="T3957" s="2" t="n">
        <v>0</v>
      </c>
      <c r="U3957" s="2" t="n">
        <v>0</v>
      </c>
      <c r="V3957" s="2" t="n">
        <v>3</v>
      </c>
      <c r="W3957" s="2" t="n">
        <v>1</v>
      </c>
      <c r="X3957" s="2" t="n">
        <v>3</v>
      </c>
      <c r="Y3957" s="2" t="n">
        <v>3</v>
      </c>
      <c r="Z3957" s="2" t="n">
        <v>3</v>
      </c>
    </row>
    <row r="3958" customFormat="false" ht="15" hidden="false" customHeight="true" outlineLevel="0" collapsed="false">
      <c r="A3958" s="2" t="n">
        <v>31</v>
      </c>
      <c r="B3958" s="2" t="s">
        <v>26</v>
      </c>
      <c r="C3958" s="2" t="s">
        <v>27</v>
      </c>
      <c r="D3958" s="2" t="s">
        <v>35</v>
      </c>
      <c r="E3958" s="2" t="n">
        <v>8</v>
      </c>
      <c r="F3958" s="2" t="n">
        <v>5</v>
      </c>
      <c r="G3958" s="2" t="s">
        <v>29</v>
      </c>
      <c r="H3958" s="2" t="n">
        <v>3957</v>
      </c>
      <c r="I3958" s="2" t="s">
        <v>39</v>
      </c>
      <c r="J3958" s="2" t="n">
        <v>5</v>
      </c>
      <c r="K3958" s="2" t="s">
        <v>40</v>
      </c>
      <c r="L3958" s="2" t="s">
        <v>32</v>
      </c>
      <c r="M3958" s="2" t="n">
        <v>131200</v>
      </c>
      <c r="N3958" s="2" t="n">
        <v>1</v>
      </c>
      <c r="O3958" s="2" t="n">
        <v>12</v>
      </c>
      <c r="P3958" s="2" t="n">
        <v>2</v>
      </c>
      <c r="Q3958" s="2" t="n">
        <v>13</v>
      </c>
      <c r="R3958" s="2" t="n">
        <v>6</v>
      </c>
      <c r="S3958" s="2" t="n">
        <v>12</v>
      </c>
      <c r="T3958" s="2" t="n">
        <v>5</v>
      </c>
      <c r="U3958" s="2" t="n">
        <v>7</v>
      </c>
      <c r="V3958" s="2" t="n">
        <v>1</v>
      </c>
      <c r="W3958" s="2" t="n">
        <v>4</v>
      </c>
      <c r="X3958" s="2" t="n">
        <v>3</v>
      </c>
      <c r="Y3958" s="2" t="n">
        <v>2</v>
      </c>
      <c r="Z3958" s="2" t="n">
        <v>3</v>
      </c>
    </row>
    <row r="3959" customFormat="false" ht="15" hidden="false" customHeight="true" outlineLevel="0" collapsed="false">
      <c r="A3959" s="2" t="n">
        <v>51</v>
      </c>
      <c r="B3959" s="2" t="s">
        <v>26</v>
      </c>
      <c r="C3959" s="2" t="s">
        <v>27</v>
      </c>
      <c r="D3959" s="2" t="s">
        <v>35</v>
      </c>
      <c r="E3959" s="2" t="n">
        <v>1</v>
      </c>
      <c r="F3959" s="2" t="n">
        <v>4</v>
      </c>
      <c r="G3959" s="2" t="s">
        <v>29</v>
      </c>
      <c r="H3959" s="2" t="n">
        <v>3958</v>
      </c>
      <c r="I3959" s="2" t="s">
        <v>30</v>
      </c>
      <c r="J3959" s="2" t="n">
        <v>1</v>
      </c>
      <c r="K3959" s="2" t="s">
        <v>49</v>
      </c>
      <c r="L3959" s="2" t="s">
        <v>32</v>
      </c>
      <c r="M3959" s="2" t="n">
        <v>40330</v>
      </c>
      <c r="N3959" s="2" t="n">
        <v>2</v>
      </c>
      <c r="O3959" s="2" t="n">
        <v>14</v>
      </c>
      <c r="P3959" s="2" t="n">
        <v>0</v>
      </c>
      <c r="Q3959" s="2" t="n">
        <v>15</v>
      </c>
      <c r="R3959" s="2" t="n">
        <v>2</v>
      </c>
      <c r="S3959" s="2" t="n">
        <v>2</v>
      </c>
      <c r="T3959" s="2" t="n">
        <v>2</v>
      </c>
      <c r="U3959" s="2" t="n">
        <v>2</v>
      </c>
      <c r="V3959" s="2" t="n">
        <v>1</v>
      </c>
      <c r="W3959" s="2" t="n">
        <v>3</v>
      </c>
      <c r="X3959" s="2" t="n">
        <v>3</v>
      </c>
      <c r="Y3959" s="2" t="n">
        <v>3</v>
      </c>
      <c r="Z3959" s="2" t="n">
        <v>3</v>
      </c>
    </row>
    <row r="3960" customFormat="false" ht="15" hidden="false" customHeight="true" outlineLevel="0" collapsed="false">
      <c r="A3960" s="2" t="n">
        <v>37</v>
      </c>
      <c r="B3960" s="2" t="s">
        <v>26</v>
      </c>
      <c r="C3960" s="2" t="s">
        <v>27</v>
      </c>
      <c r="D3960" s="2" t="s">
        <v>35</v>
      </c>
      <c r="E3960" s="2" t="n">
        <v>24</v>
      </c>
      <c r="F3960" s="2" t="n">
        <v>1</v>
      </c>
      <c r="G3960" s="2" t="s">
        <v>29</v>
      </c>
      <c r="H3960" s="2" t="n">
        <v>3959</v>
      </c>
      <c r="I3960" s="2" t="s">
        <v>39</v>
      </c>
      <c r="J3960" s="2" t="n">
        <v>2</v>
      </c>
      <c r="K3960" s="2" t="s">
        <v>40</v>
      </c>
      <c r="L3960" s="2" t="s">
        <v>32</v>
      </c>
      <c r="M3960" s="2" t="n">
        <v>32910</v>
      </c>
      <c r="N3960" s="2" t="n">
        <v>1</v>
      </c>
      <c r="O3960" s="2" t="n">
        <v>16</v>
      </c>
      <c r="P3960" s="2" t="n">
        <v>3</v>
      </c>
      <c r="Q3960" s="2" t="n">
        <v>5</v>
      </c>
      <c r="R3960" s="2" t="n">
        <v>2</v>
      </c>
      <c r="S3960" s="2" t="n">
        <v>5</v>
      </c>
      <c r="T3960" s="2" t="n">
        <v>0</v>
      </c>
      <c r="U3960" s="2" t="n">
        <v>3</v>
      </c>
      <c r="V3960" s="2" t="n">
        <v>2</v>
      </c>
      <c r="W3960" s="2" t="n">
        <v>2</v>
      </c>
      <c r="X3960" s="2" t="n">
        <v>3</v>
      </c>
      <c r="Y3960" s="2" t="n">
        <v>2</v>
      </c>
      <c r="Z3960" s="2" t="n">
        <v>3</v>
      </c>
    </row>
    <row r="3961" customFormat="false" ht="15" hidden="false" customHeight="true" outlineLevel="0" collapsed="false">
      <c r="A3961" s="2" t="n">
        <v>46</v>
      </c>
      <c r="B3961" s="2" t="s">
        <v>26</v>
      </c>
      <c r="C3961" s="2" t="s">
        <v>27</v>
      </c>
      <c r="D3961" s="2" t="s">
        <v>28</v>
      </c>
      <c r="E3961" s="2" t="n">
        <v>3</v>
      </c>
      <c r="F3961" s="2" t="n">
        <v>4</v>
      </c>
      <c r="G3961" s="2" t="s">
        <v>50</v>
      </c>
      <c r="H3961" s="2" t="n">
        <v>3960</v>
      </c>
      <c r="I3961" s="2" t="s">
        <v>30</v>
      </c>
      <c r="J3961" s="2" t="n">
        <v>1</v>
      </c>
      <c r="K3961" s="2" t="s">
        <v>48</v>
      </c>
      <c r="L3961" s="2" t="s">
        <v>46</v>
      </c>
      <c r="M3961" s="2" t="n">
        <v>42720</v>
      </c>
      <c r="N3961" s="2" t="n">
        <v>7</v>
      </c>
      <c r="O3961" s="2" t="n">
        <v>13</v>
      </c>
      <c r="P3961" s="2" t="n">
        <v>0</v>
      </c>
      <c r="Q3961" s="2" t="n">
        <v>24</v>
      </c>
      <c r="R3961" s="2" t="n">
        <v>3</v>
      </c>
      <c r="S3961" s="2" t="n">
        <v>2</v>
      </c>
      <c r="T3961" s="2" t="n">
        <v>2</v>
      </c>
      <c r="U3961" s="2" t="n">
        <v>2</v>
      </c>
      <c r="V3961" s="2" t="n">
        <v>3</v>
      </c>
      <c r="W3961" s="2" t="n">
        <v>4</v>
      </c>
      <c r="X3961" s="2" t="n">
        <v>3</v>
      </c>
      <c r="Y3961" s="2" t="n">
        <v>4</v>
      </c>
      <c r="Z3961" s="2" t="n">
        <v>3</v>
      </c>
    </row>
    <row r="3962" customFormat="false" ht="15" hidden="false" customHeight="true" outlineLevel="0" collapsed="false">
      <c r="A3962" s="2" t="n">
        <v>36</v>
      </c>
      <c r="B3962" s="2" t="s">
        <v>26</v>
      </c>
      <c r="C3962" s="2" t="s">
        <v>27</v>
      </c>
      <c r="D3962" s="2" t="s">
        <v>35</v>
      </c>
      <c r="E3962" s="2" t="n">
        <v>27</v>
      </c>
      <c r="F3962" s="2" t="n">
        <v>3</v>
      </c>
      <c r="G3962" s="2" t="s">
        <v>51</v>
      </c>
      <c r="H3962" s="2" t="n">
        <v>3961</v>
      </c>
      <c r="I3962" s="2" t="s">
        <v>30</v>
      </c>
      <c r="J3962" s="2" t="n">
        <v>4</v>
      </c>
      <c r="K3962" s="2" t="s">
        <v>36</v>
      </c>
      <c r="L3962" s="2" t="s">
        <v>32</v>
      </c>
      <c r="M3962" s="2" t="n">
        <v>50560</v>
      </c>
      <c r="N3962" s="2" t="n">
        <v>7</v>
      </c>
      <c r="O3962" s="2" t="n">
        <v>12</v>
      </c>
      <c r="P3962" s="2" t="n">
        <v>0</v>
      </c>
      <c r="Q3962" s="2" t="n">
        <v>15</v>
      </c>
      <c r="R3962" s="2" t="n">
        <v>2</v>
      </c>
      <c r="S3962" s="2" t="n">
        <v>12</v>
      </c>
      <c r="T3962" s="2" t="n">
        <v>5</v>
      </c>
      <c r="U3962" s="2" t="n">
        <v>7</v>
      </c>
      <c r="V3962" s="2" t="n">
        <v>4</v>
      </c>
      <c r="W3962" s="2" t="n">
        <v>1</v>
      </c>
      <c r="X3962" s="2" t="n">
        <v>3</v>
      </c>
      <c r="Y3962" s="2" t="n">
        <v>2</v>
      </c>
      <c r="Z3962" s="2" t="n">
        <v>3</v>
      </c>
    </row>
    <row r="3963" customFormat="false" ht="15" hidden="false" customHeight="true" outlineLevel="0" collapsed="false">
      <c r="A3963" s="2" t="n">
        <v>44</v>
      </c>
      <c r="B3963" s="2" t="s">
        <v>33</v>
      </c>
      <c r="C3963" s="2" t="s">
        <v>34</v>
      </c>
      <c r="D3963" s="2" t="s">
        <v>28</v>
      </c>
      <c r="E3963" s="2" t="n">
        <v>10</v>
      </c>
      <c r="F3963" s="2" t="n">
        <v>4</v>
      </c>
      <c r="G3963" s="2" t="s">
        <v>29</v>
      </c>
      <c r="H3963" s="2" t="n">
        <v>3962</v>
      </c>
      <c r="I3963" s="2" t="s">
        <v>39</v>
      </c>
      <c r="J3963" s="2" t="n">
        <v>1</v>
      </c>
      <c r="K3963" s="2" t="s">
        <v>36</v>
      </c>
      <c r="L3963" s="2" t="s">
        <v>46</v>
      </c>
      <c r="M3963" s="2" t="n">
        <v>28440</v>
      </c>
      <c r="N3963" s="2" t="n">
        <v>1</v>
      </c>
      <c r="O3963" s="2" t="n">
        <v>12</v>
      </c>
      <c r="P3963" s="2" t="n">
        <v>0</v>
      </c>
      <c r="Q3963" s="2" t="n">
        <v>6</v>
      </c>
      <c r="R3963" s="2" t="n">
        <v>2</v>
      </c>
      <c r="S3963" s="2" t="n">
        <v>5</v>
      </c>
      <c r="T3963" s="2" t="n">
        <v>2</v>
      </c>
      <c r="U3963" s="2" t="n">
        <v>3</v>
      </c>
      <c r="V3963" s="2" t="n">
        <v>3</v>
      </c>
      <c r="W3963" s="2" t="n">
        <v>2</v>
      </c>
      <c r="X3963" s="2" t="n">
        <v>2</v>
      </c>
      <c r="Y3963" s="2" t="n">
        <v>4</v>
      </c>
      <c r="Z3963" s="2" t="n">
        <v>3</v>
      </c>
    </row>
    <row r="3964" customFormat="false" ht="15" hidden="false" customHeight="true" outlineLevel="0" collapsed="false">
      <c r="A3964" s="2" t="n">
        <v>37</v>
      </c>
      <c r="B3964" s="2" t="s">
        <v>26</v>
      </c>
      <c r="C3964" s="2" t="s">
        <v>27</v>
      </c>
      <c r="D3964" s="2" t="s">
        <v>35</v>
      </c>
      <c r="E3964" s="2" t="n">
        <v>19</v>
      </c>
      <c r="F3964" s="2" t="n">
        <v>2</v>
      </c>
      <c r="G3964" s="2" t="s">
        <v>51</v>
      </c>
      <c r="H3964" s="2" t="n">
        <v>3963</v>
      </c>
      <c r="I3964" s="2" t="s">
        <v>39</v>
      </c>
      <c r="J3964" s="2" t="n">
        <v>2</v>
      </c>
      <c r="K3964" s="2" t="s">
        <v>40</v>
      </c>
      <c r="L3964" s="2" t="s">
        <v>46</v>
      </c>
      <c r="M3964" s="2" t="n">
        <v>27030</v>
      </c>
      <c r="N3964" s="2" t="n">
        <v>2</v>
      </c>
      <c r="O3964" s="2" t="n">
        <v>14</v>
      </c>
      <c r="P3964" s="2" t="n">
        <v>0</v>
      </c>
      <c r="Q3964" s="2" t="n">
        <v>19</v>
      </c>
      <c r="R3964" s="2" t="n">
        <v>2</v>
      </c>
      <c r="S3964" s="2" t="n">
        <v>10</v>
      </c>
      <c r="T3964" s="2" t="n">
        <v>4</v>
      </c>
      <c r="U3964" s="2" t="n">
        <v>7</v>
      </c>
      <c r="V3964" s="2" t="n">
        <v>3</v>
      </c>
      <c r="W3964" s="2" t="n">
        <v>2</v>
      </c>
      <c r="X3964" s="2" t="n">
        <v>2</v>
      </c>
      <c r="Y3964" s="2" t="n">
        <v>3</v>
      </c>
      <c r="Z3964" s="2" t="n">
        <v>3</v>
      </c>
    </row>
    <row r="3965" customFormat="false" ht="15" hidden="false" customHeight="true" outlineLevel="0" collapsed="false">
      <c r="A3965" s="2" t="n">
        <v>35</v>
      </c>
      <c r="B3965" s="2" t="s">
        <v>33</v>
      </c>
      <c r="C3965" s="2" t="s">
        <v>27</v>
      </c>
      <c r="D3965" s="2" t="s">
        <v>35</v>
      </c>
      <c r="E3965" s="2" t="n">
        <v>15</v>
      </c>
      <c r="F3965" s="2" t="n">
        <v>4</v>
      </c>
      <c r="G3965" s="2" t="s">
        <v>29</v>
      </c>
      <c r="H3965" s="2" t="n">
        <v>3964</v>
      </c>
      <c r="I3965" s="2" t="s">
        <v>39</v>
      </c>
      <c r="J3965" s="2" t="n">
        <v>2</v>
      </c>
      <c r="K3965" s="2" t="s">
        <v>36</v>
      </c>
      <c r="L3965" s="2" t="s">
        <v>37</v>
      </c>
      <c r="M3965" s="2" t="n">
        <v>19040</v>
      </c>
      <c r="N3965" s="2" t="n">
        <v>1</v>
      </c>
      <c r="O3965" s="2" t="n">
        <v>22</v>
      </c>
      <c r="P3965" s="2" t="n">
        <v>1</v>
      </c>
      <c r="Q3965" s="2" t="n">
        <v>10</v>
      </c>
      <c r="R3965" s="2" t="n">
        <v>4</v>
      </c>
      <c r="S3965" s="2" t="n">
        <v>10</v>
      </c>
      <c r="T3965" s="2" t="n">
        <v>7</v>
      </c>
      <c r="U3965" s="2" t="n">
        <v>7</v>
      </c>
      <c r="V3965" s="2" t="n">
        <v>3</v>
      </c>
      <c r="W3965" s="2" t="n">
        <v>4</v>
      </c>
      <c r="X3965" s="2" t="n">
        <v>3</v>
      </c>
      <c r="Y3965" s="2" t="n">
        <v>3</v>
      </c>
      <c r="Z3965" s="2" t="n">
        <v>4</v>
      </c>
    </row>
    <row r="3966" customFormat="false" ht="15" hidden="false" customHeight="true" outlineLevel="0" collapsed="false">
      <c r="A3966" s="2" t="n">
        <v>33</v>
      </c>
      <c r="B3966" s="2" t="s">
        <v>26</v>
      </c>
      <c r="C3966" s="2" t="s">
        <v>27</v>
      </c>
      <c r="D3966" s="2" t="s">
        <v>35</v>
      </c>
      <c r="E3966" s="2" t="n">
        <v>8</v>
      </c>
      <c r="F3966" s="2" t="n">
        <v>5</v>
      </c>
      <c r="G3966" s="2" t="s">
        <v>43</v>
      </c>
      <c r="H3966" s="2" t="n">
        <v>3965</v>
      </c>
      <c r="I3966" s="2" t="s">
        <v>39</v>
      </c>
      <c r="J3966" s="2" t="n">
        <v>2</v>
      </c>
      <c r="K3966" s="2" t="s">
        <v>45</v>
      </c>
      <c r="L3966" s="2" t="s">
        <v>32</v>
      </c>
      <c r="M3966" s="2" t="n">
        <v>82240</v>
      </c>
      <c r="N3966" s="2" t="n">
        <v>6</v>
      </c>
      <c r="O3966" s="2" t="n">
        <v>19</v>
      </c>
      <c r="P3966" s="2" t="n">
        <v>0</v>
      </c>
      <c r="Q3966" s="2" t="n">
        <v>14</v>
      </c>
      <c r="R3966" s="2" t="n">
        <v>3</v>
      </c>
      <c r="S3966" s="2" t="n">
        <v>10</v>
      </c>
      <c r="T3966" s="2" t="n">
        <v>7</v>
      </c>
      <c r="U3966" s="2" t="n">
        <v>6</v>
      </c>
      <c r="V3966" s="2" t="n">
        <v>4</v>
      </c>
      <c r="W3966" s="2" t="n">
        <v>1</v>
      </c>
      <c r="X3966" s="2" t="n">
        <v>3</v>
      </c>
      <c r="Y3966" s="2" t="n">
        <v>3</v>
      </c>
      <c r="Z3966" s="2" t="n">
        <v>3</v>
      </c>
    </row>
    <row r="3967" customFormat="false" ht="15" hidden="false" customHeight="true" outlineLevel="0" collapsed="false">
      <c r="A3967" s="2" t="n">
        <v>28</v>
      </c>
      <c r="B3967" s="2" t="s">
        <v>26</v>
      </c>
      <c r="C3967" s="2" t="s">
        <v>27</v>
      </c>
      <c r="D3967" s="2" t="s">
        <v>28</v>
      </c>
      <c r="E3967" s="2" t="n">
        <v>9</v>
      </c>
      <c r="F3967" s="2" t="n">
        <v>3</v>
      </c>
      <c r="G3967" s="2" t="s">
        <v>43</v>
      </c>
      <c r="H3967" s="2" t="n">
        <v>3966</v>
      </c>
      <c r="I3967" s="2" t="s">
        <v>30</v>
      </c>
      <c r="J3967" s="2" t="n">
        <v>2</v>
      </c>
      <c r="K3967" s="2" t="s">
        <v>40</v>
      </c>
      <c r="L3967" s="2" t="s">
        <v>32</v>
      </c>
      <c r="M3967" s="2" t="n">
        <v>47660</v>
      </c>
      <c r="N3967" s="2" t="n">
        <v>1</v>
      </c>
      <c r="O3967" s="2" t="n">
        <v>12</v>
      </c>
      <c r="P3967" s="2" t="n">
        <v>0</v>
      </c>
      <c r="Q3967" s="2" t="n">
        <v>5</v>
      </c>
      <c r="R3967" s="2" t="n">
        <v>3</v>
      </c>
      <c r="S3967" s="2" t="n">
        <v>5</v>
      </c>
      <c r="T3967" s="2" t="n">
        <v>0</v>
      </c>
      <c r="U3967" s="2" t="n">
        <v>3</v>
      </c>
      <c r="V3967" s="2" t="n">
        <v>3</v>
      </c>
      <c r="W3967" s="2" t="n">
        <v>4</v>
      </c>
      <c r="X3967" s="2" t="n">
        <v>4</v>
      </c>
      <c r="Y3967" s="2" t="n">
        <v>3</v>
      </c>
      <c r="Z3967" s="2" t="n">
        <v>3</v>
      </c>
    </row>
    <row r="3968" customFormat="false" ht="15" hidden="false" customHeight="true" outlineLevel="0" collapsed="false">
      <c r="A3968" s="2" t="n">
        <v>39</v>
      </c>
      <c r="B3968" s="2" t="s">
        <v>26</v>
      </c>
      <c r="C3968" s="2" t="s">
        <v>27</v>
      </c>
      <c r="D3968" s="2" t="s">
        <v>28</v>
      </c>
      <c r="E3968" s="2" t="n">
        <v>3</v>
      </c>
      <c r="F3968" s="2" t="n">
        <v>4</v>
      </c>
      <c r="G3968" s="2" t="s">
        <v>50</v>
      </c>
      <c r="H3968" s="2" t="n">
        <v>3967</v>
      </c>
      <c r="I3968" s="2" t="s">
        <v>30</v>
      </c>
      <c r="J3968" s="2" t="n">
        <v>2</v>
      </c>
      <c r="K3968" s="2" t="s">
        <v>45</v>
      </c>
      <c r="L3968" s="2" t="s">
        <v>37</v>
      </c>
      <c r="M3968" s="2" t="n">
        <v>26100</v>
      </c>
      <c r="N3968" s="2" t="n">
        <v>7</v>
      </c>
      <c r="O3968" s="2" t="n">
        <v>12</v>
      </c>
      <c r="P3968" s="2" t="n">
        <v>0</v>
      </c>
      <c r="Q3968" s="2" t="n">
        <v>9</v>
      </c>
      <c r="R3968" s="2" t="n">
        <v>2</v>
      </c>
      <c r="S3968" s="2" t="n">
        <v>4</v>
      </c>
      <c r="T3968" s="2" t="n">
        <v>2</v>
      </c>
      <c r="U3968" s="2" t="n">
        <v>2</v>
      </c>
      <c r="V3968" s="2" t="n">
        <v>3</v>
      </c>
      <c r="W3968" s="2" t="n">
        <v>3</v>
      </c>
      <c r="X3968" s="2" t="n">
        <v>3</v>
      </c>
      <c r="Y3968" s="2" t="n">
        <v>2</v>
      </c>
      <c r="Z3968" s="2" t="n">
        <v>3</v>
      </c>
    </row>
    <row r="3969" customFormat="false" ht="15" hidden="false" customHeight="true" outlineLevel="0" collapsed="false">
      <c r="A3969" s="2" t="n">
        <v>46</v>
      </c>
      <c r="B3969" s="2" t="s">
        <v>26</v>
      </c>
      <c r="C3969" s="2" t="s">
        <v>41</v>
      </c>
      <c r="D3969" s="2" t="s">
        <v>35</v>
      </c>
      <c r="E3969" s="2" t="n">
        <v>9</v>
      </c>
      <c r="F3969" s="2" t="n">
        <v>2</v>
      </c>
      <c r="G3969" s="2" t="s">
        <v>29</v>
      </c>
      <c r="H3969" s="2" t="n">
        <v>3968</v>
      </c>
      <c r="I3969" s="2" t="s">
        <v>39</v>
      </c>
      <c r="J3969" s="2" t="n">
        <v>2</v>
      </c>
      <c r="K3969" s="2" t="s">
        <v>47</v>
      </c>
      <c r="L3969" s="2" t="s">
        <v>37</v>
      </c>
      <c r="M3969" s="2" t="n">
        <v>57310</v>
      </c>
      <c r="N3969" s="2" t="n">
        <v>8</v>
      </c>
      <c r="O3969" s="2" t="n">
        <v>17</v>
      </c>
      <c r="P3969" s="2" t="n">
        <v>0</v>
      </c>
      <c r="Q3969" s="2" t="n">
        <v>6</v>
      </c>
      <c r="R3969" s="2" t="n">
        <v>2</v>
      </c>
      <c r="S3969" s="2" t="n">
        <v>2</v>
      </c>
      <c r="T3969" s="2" t="n">
        <v>2</v>
      </c>
      <c r="U3969" s="2" t="n">
        <v>2</v>
      </c>
      <c r="V3969" s="2" t="n">
        <v>2</v>
      </c>
      <c r="W3969" s="2" t="n">
        <v>2</v>
      </c>
      <c r="X3969" s="2" t="n">
        <v>3</v>
      </c>
      <c r="Y3969" s="2" t="n">
        <v>3</v>
      </c>
      <c r="Z3969" s="2" t="n">
        <v>3</v>
      </c>
    </row>
    <row r="3970" customFormat="false" ht="15" hidden="false" customHeight="true" outlineLevel="0" collapsed="false">
      <c r="A3970" s="2" t="n">
        <v>40</v>
      </c>
      <c r="B3970" s="2" t="s">
        <v>26</v>
      </c>
      <c r="C3970" s="2" t="s">
        <v>27</v>
      </c>
      <c r="D3970" s="2" t="s">
        <v>35</v>
      </c>
      <c r="E3970" s="2" t="n">
        <v>2</v>
      </c>
      <c r="F3970" s="2" t="n">
        <v>2</v>
      </c>
      <c r="G3970" s="2" t="s">
        <v>43</v>
      </c>
      <c r="H3970" s="2" t="n">
        <v>3969</v>
      </c>
      <c r="I3970" s="2" t="s">
        <v>39</v>
      </c>
      <c r="J3970" s="2" t="n">
        <v>1</v>
      </c>
      <c r="K3970" s="2" t="s">
        <v>44</v>
      </c>
      <c r="L3970" s="2" t="s">
        <v>32</v>
      </c>
      <c r="M3970" s="2" t="n">
        <v>25390</v>
      </c>
      <c r="N3970" s="2" t="n">
        <v>4</v>
      </c>
      <c r="O3970" s="2" t="n">
        <v>12</v>
      </c>
      <c r="P3970" s="2" t="n">
        <v>1</v>
      </c>
      <c r="Q3970" s="2" t="n">
        <v>7</v>
      </c>
      <c r="R3970" s="2" t="n">
        <v>3</v>
      </c>
      <c r="S3970" s="2" t="n">
        <v>4</v>
      </c>
      <c r="T3970" s="2" t="n">
        <v>0</v>
      </c>
      <c r="U3970" s="2" t="n">
        <v>2</v>
      </c>
      <c r="V3970" s="2" t="n">
        <v>3</v>
      </c>
      <c r="W3970" s="2" t="n">
        <v>1</v>
      </c>
      <c r="X3970" s="2" t="n">
        <v>2</v>
      </c>
      <c r="Y3970" s="2" t="n">
        <v>3</v>
      </c>
      <c r="Z3970" s="2" t="n">
        <v>3</v>
      </c>
    </row>
    <row r="3971" customFormat="false" ht="15" hidden="false" customHeight="true" outlineLevel="0" collapsed="false">
      <c r="A3971" s="2" t="n">
        <v>42</v>
      </c>
      <c r="B3971" s="2" t="s">
        <v>26</v>
      </c>
      <c r="C3971" s="2" t="s">
        <v>27</v>
      </c>
      <c r="D3971" s="2" t="s">
        <v>35</v>
      </c>
      <c r="E3971" s="2" t="n">
        <v>7</v>
      </c>
      <c r="F3971" s="2" t="n">
        <v>4</v>
      </c>
      <c r="G3971" s="2" t="s">
        <v>38</v>
      </c>
      <c r="H3971" s="2" t="n">
        <v>3970</v>
      </c>
      <c r="I3971" s="2" t="s">
        <v>30</v>
      </c>
      <c r="J3971" s="2" t="n">
        <v>2</v>
      </c>
      <c r="K3971" s="2" t="s">
        <v>45</v>
      </c>
      <c r="L3971" s="2" t="s">
        <v>32</v>
      </c>
      <c r="M3971" s="2" t="n">
        <v>57140</v>
      </c>
      <c r="N3971" s="2" t="n">
        <v>5</v>
      </c>
      <c r="O3971" s="2" t="n">
        <v>11</v>
      </c>
      <c r="P3971" s="2" t="n">
        <v>0</v>
      </c>
      <c r="Q3971" s="2" t="n">
        <v>10</v>
      </c>
      <c r="R3971" s="2" t="n">
        <v>2</v>
      </c>
      <c r="S3971" s="2" t="n">
        <v>0</v>
      </c>
      <c r="T3971" s="2" t="n">
        <v>0</v>
      </c>
      <c r="U3971" s="2" t="n">
        <v>0</v>
      </c>
      <c r="V3971" s="2" t="n">
        <v>2</v>
      </c>
      <c r="W3971" s="2" t="n">
        <v>1</v>
      </c>
      <c r="X3971" s="2" t="n">
        <v>2</v>
      </c>
      <c r="Y3971" s="2" t="n">
        <v>3</v>
      </c>
      <c r="Z3971" s="2" t="n">
        <v>3</v>
      </c>
    </row>
    <row r="3972" customFormat="false" ht="15" hidden="false" customHeight="true" outlineLevel="0" collapsed="false">
      <c r="A3972" s="2" t="n">
        <v>35</v>
      </c>
      <c r="B3972" s="2" t="s">
        <v>26</v>
      </c>
      <c r="C3972" s="2" t="s">
        <v>41</v>
      </c>
      <c r="D3972" s="2" t="s">
        <v>28</v>
      </c>
      <c r="E3972" s="2" t="n">
        <v>10</v>
      </c>
      <c r="F3972" s="2" t="n">
        <v>1</v>
      </c>
      <c r="G3972" s="2" t="s">
        <v>29</v>
      </c>
      <c r="H3972" s="2" t="n">
        <v>3971</v>
      </c>
      <c r="I3972" s="2" t="s">
        <v>30</v>
      </c>
      <c r="J3972" s="2" t="n">
        <v>2</v>
      </c>
      <c r="K3972" s="2" t="s">
        <v>44</v>
      </c>
      <c r="L3972" s="2" t="s">
        <v>46</v>
      </c>
      <c r="M3972" s="2" t="n">
        <v>43230</v>
      </c>
      <c r="N3972" s="2" t="n">
        <v>2</v>
      </c>
      <c r="O3972" s="2" t="n">
        <v>18</v>
      </c>
      <c r="P3972" s="2" t="n">
        <v>3</v>
      </c>
      <c r="Q3972" s="2" t="n">
        <v>15</v>
      </c>
      <c r="R3972" s="2" t="n">
        <v>3</v>
      </c>
      <c r="S3972" s="2" t="n">
        <v>7</v>
      </c>
      <c r="T3972" s="2" t="n">
        <v>1</v>
      </c>
      <c r="U3972" s="2" t="n">
        <v>7</v>
      </c>
      <c r="V3972" s="2" t="n">
        <v>2</v>
      </c>
      <c r="W3972" s="2" t="n">
        <v>4</v>
      </c>
      <c r="X3972" s="2" t="n">
        <v>3</v>
      </c>
      <c r="Y3972" s="2" t="n">
        <v>3</v>
      </c>
      <c r="Z3972" s="2" t="n">
        <v>3</v>
      </c>
    </row>
    <row r="3973" customFormat="false" ht="15" hidden="false" customHeight="true" outlineLevel="0" collapsed="false">
      <c r="A3973" s="2" t="n">
        <v>38</v>
      </c>
      <c r="B3973" s="2" t="s">
        <v>26</v>
      </c>
      <c r="C3973" s="2" t="s">
        <v>41</v>
      </c>
      <c r="D3973" s="2" t="s">
        <v>28</v>
      </c>
      <c r="E3973" s="2" t="n">
        <v>6</v>
      </c>
      <c r="F3973" s="2" t="n">
        <v>4</v>
      </c>
      <c r="G3973" s="2" t="s">
        <v>50</v>
      </c>
      <c r="H3973" s="2" t="n">
        <v>3972</v>
      </c>
      <c r="I3973" s="2" t="s">
        <v>39</v>
      </c>
      <c r="J3973" s="2" t="n">
        <v>3</v>
      </c>
      <c r="K3973" s="2" t="s">
        <v>40</v>
      </c>
      <c r="L3973" s="2" t="s">
        <v>46</v>
      </c>
      <c r="M3973" s="2" t="n">
        <v>73360</v>
      </c>
      <c r="N3973" s="2" t="n">
        <v>5</v>
      </c>
      <c r="O3973" s="2" t="n">
        <v>11</v>
      </c>
      <c r="P3973" s="2" t="n">
        <v>0</v>
      </c>
      <c r="Q3973" s="2" t="n">
        <v>13</v>
      </c>
      <c r="R3973" s="2" t="n">
        <v>3</v>
      </c>
      <c r="S3973" s="2" t="n">
        <v>11</v>
      </c>
      <c r="T3973" s="2" t="n">
        <v>3</v>
      </c>
      <c r="U3973" s="2" t="n">
        <v>8</v>
      </c>
      <c r="V3973" s="2" t="n">
        <v>1</v>
      </c>
      <c r="W3973" s="2" t="n">
        <v>2</v>
      </c>
      <c r="X3973" s="2" t="n">
        <v>3</v>
      </c>
      <c r="Y3973" s="2" t="n">
        <v>3</v>
      </c>
      <c r="Z3973" s="2" t="n">
        <v>3</v>
      </c>
    </row>
    <row r="3974" customFormat="false" ht="15" hidden="false" customHeight="true" outlineLevel="0" collapsed="false">
      <c r="A3974" s="2" t="n">
        <v>34</v>
      </c>
      <c r="B3974" s="2" t="s">
        <v>33</v>
      </c>
      <c r="C3974" s="2" t="s">
        <v>34</v>
      </c>
      <c r="D3974" s="2" t="s">
        <v>35</v>
      </c>
      <c r="E3974" s="2" t="n">
        <v>2</v>
      </c>
      <c r="F3974" s="2" t="n">
        <v>1</v>
      </c>
      <c r="G3974" s="2" t="s">
        <v>29</v>
      </c>
      <c r="H3974" s="2" t="n">
        <v>3973</v>
      </c>
      <c r="I3974" s="2" t="s">
        <v>39</v>
      </c>
      <c r="J3974" s="2" t="n">
        <v>1</v>
      </c>
      <c r="K3974" s="2" t="s">
        <v>47</v>
      </c>
      <c r="L3974" s="2" t="s">
        <v>32</v>
      </c>
      <c r="M3974" s="2" t="n">
        <v>134990</v>
      </c>
      <c r="N3974" s="2" t="n">
        <v>4</v>
      </c>
      <c r="O3974" s="2" t="n">
        <v>23</v>
      </c>
      <c r="P3974" s="2" t="n">
        <v>2</v>
      </c>
      <c r="Q3974" s="2" t="n">
        <v>11</v>
      </c>
      <c r="R3974" s="2" t="n">
        <v>2</v>
      </c>
      <c r="S3974" s="2" t="n">
        <v>7</v>
      </c>
      <c r="T3974" s="2" t="n">
        <v>0</v>
      </c>
      <c r="U3974" s="2" t="n">
        <v>7</v>
      </c>
      <c r="V3974" s="2" t="n">
        <v>4</v>
      </c>
      <c r="W3974" s="2" t="n">
        <v>1</v>
      </c>
      <c r="X3974" s="2" t="n">
        <v>2</v>
      </c>
      <c r="Y3974" s="2" t="n">
        <v>4</v>
      </c>
      <c r="Z3974" s="2" t="n">
        <v>4</v>
      </c>
    </row>
    <row r="3975" customFormat="false" ht="15" hidden="false" customHeight="true" outlineLevel="0" collapsed="false">
      <c r="A3975" s="2" t="n">
        <v>37</v>
      </c>
      <c r="B3975" s="2" t="s">
        <v>33</v>
      </c>
      <c r="C3975" s="2" t="s">
        <v>27</v>
      </c>
      <c r="D3975" s="2" t="s">
        <v>35</v>
      </c>
      <c r="E3975" s="2" t="n">
        <v>24</v>
      </c>
      <c r="F3975" s="2" t="n">
        <v>3</v>
      </c>
      <c r="G3975" s="2" t="s">
        <v>29</v>
      </c>
      <c r="H3975" s="2" t="n">
        <v>3974</v>
      </c>
      <c r="I3975" s="2" t="s">
        <v>39</v>
      </c>
      <c r="J3975" s="2" t="n">
        <v>1</v>
      </c>
      <c r="K3975" s="2" t="s">
        <v>45</v>
      </c>
      <c r="L3975" s="2" t="s">
        <v>37</v>
      </c>
      <c r="M3975" s="2" t="n">
        <v>137580</v>
      </c>
      <c r="N3975" s="2" t="n">
        <v>1</v>
      </c>
      <c r="O3975" s="2" t="n">
        <v>11</v>
      </c>
      <c r="P3975" s="2" t="n">
        <v>1</v>
      </c>
      <c r="Q3975" s="2" t="n">
        <v>10</v>
      </c>
      <c r="R3975" s="2" t="n">
        <v>5</v>
      </c>
      <c r="S3975" s="2" t="n">
        <v>10</v>
      </c>
      <c r="T3975" s="2" t="n">
        <v>0</v>
      </c>
      <c r="U3975" s="2" t="n">
        <v>8</v>
      </c>
      <c r="V3975" s="2" t="n">
        <v>4</v>
      </c>
      <c r="W3975" s="2" t="n">
        <v>1</v>
      </c>
      <c r="X3975" s="2" t="n">
        <v>1</v>
      </c>
      <c r="Y3975" s="2" t="n">
        <v>3</v>
      </c>
      <c r="Z3975" s="2" t="n">
        <v>3</v>
      </c>
    </row>
    <row r="3976" customFormat="false" ht="15" hidden="false" customHeight="true" outlineLevel="0" collapsed="false">
      <c r="A3976" s="2" t="n">
        <v>39</v>
      </c>
      <c r="B3976" s="2" t="s">
        <v>26</v>
      </c>
      <c r="C3976" s="2" t="s">
        <v>34</v>
      </c>
      <c r="D3976" s="2" t="s">
        <v>35</v>
      </c>
      <c r="E3976" s="2" t="n">
        <v>2</v>
      </c>
      <c r="F3976" s="2" t="n">
        <v>1</v>
      </c>
      <c r="G3976" s="2" t="s">
        <v>43</v>
      </c>
      <c r="H3976" s="2" t="n">
        <v>3975</v>
      </c>
      <c r="I3976" s="2" t="s">
        <v>39</v>
      </c>
      <c r="J3976" s="2" t="n">
        <v>2</v>
      </c>
      <c r="K3976" s="2" t="s">
        <v>31</v>
      </c>
      <c r="L3976" s="2" t="s">
        <v>46</v>
      </c>
      <c r="M3976" s="2" t="n">
        <v>51550</v>
      </c>
      <c r="N3976" s="2" t="n">
        <v>2</v>
      </c>
      <c r="O3976" s="2" t="n">
        <v>18</v>
      </c>
      <c r="P3976" s="2" t="n">
        <v>1</v>
      </c>
      <c r="Q3976" s="2" t="n">
        <v>7</v>
      </c>
      <c r="R3976" s="2" t="n">
        <v>3</v>
      </c>
      <c r="S3976" s="2" t="n">
        <v>2</v>
      </c>
      <c r="T3976" s="2" t="n">
        <v>2</v>
      </c>
      <c r="U3976" s="2" t="n">
        <v>2</v>
      </c>
      <c r="V3976" s="2" t="n">
        <v>3</v>
      </c>
      <c r="W3976" s="2" t="n">
        <v>4</v>
      </c>
      <c r="X3976" s="2" t="n">
        <v>3</v>
      </c>
      <c r="Y3976" s="2" t="n">
        <v>2</v>
      </c>
      <c r="Z3976" s="2" t="n">
        <v>3</v>
      </c>
    </row>
    <row r="3977" customFormat="false" ht="15" hidden="false" customHeight="true" outlineLevel="0" collapsed="false">
      <c r="A3977" s="2" t="n">
        <v>43</v>
      </c>
      <c r="B3977" s="2" t="s">
        <v>26</v>
      </c>
      <c r="C3977" s="2" t="s">
        <v>41</v>
      </c>
      <c r="D3977" s="2" t="s">
        <v>42</v>
      </c>
      <c r="E3977" s="2" t="n">
        <v>8</v>
      </c>
      <c r="F3977" s="2" t="n">
        <v>5</v>
      </c>
      <c r="G3977" s="2" t="s">
        <v>43</v>
      </c>
      <c r="H3977" s="2" t="n">
        <v>3976</v>
      </c>
      <c r="I3977" s="2" t="s">
        <v>30</v>
      </c>
      <c r="J3977" s="2" t="n">
        <v>3</v>
      </c>
      <c r="K3977" s="2" t="s">
        <v>40</v>
      </c>
      <c r="L3977" s="2" t="s">
        <v>37</v>
      </c>
      <c r="M3977" s="2" t="n">
        <v>22580</v>
      </c>
      <c r="N3977" s="2" t="n">
        <v>4</v>
      </c>
      <c r="O3977" s="2" t="n">
        <v>18</v>
      </c>
      <c r="P3977" s="2" t="n">
        <v>0</v>
      </c>
      <c r="Q3977" s="2" t="n">
        <v>7</v>
      </c>
      <c r="R3977" s="2" t="n">
        <v>2</v>
      </c>
      <c r="S3977" s="2" t="n">
        <v>3</v>
      </c>
      <c r="T3977" s="2" t="n">
        <v>1</v>
      </c>
      <c r="U3977" s="2" t="n">
        <v>2</v>
      </c>
      <c r="V3977" s="2" t="n">
        <v>1</v>
      </c>
      <c r="W3977" s="2" t="n">
        <v>3</v>
      </c>
      <c r="X3977" s="2" t="n">
        <v>2</v>
      </c>
      <c r="Y3977" s="2" t="n">
        <v>3</v>
      </c>
      <c r="Z3977" s="2" t="n">
        <v>3</v>
      </c>
    </row>
    <row r="3978" customFormat="false" ht="15" hidden="false" customHeight="true" outlineLevel="0" collapsed="false">
      <c r="A3978" s="2" t="n">
        <v>41</v>
      </c>
      <c r="B3978" s="2" t="s">
        <v>26</v>
      </c>
      <c r="C3978" s="2" t="s">
        <v>27</v>
      </c>
      <c r="D3978" s="2" t="s">
        <v>35</v>
      </c>
      <c r="E3978" s="2" t="n">
        <v>3</v>
      </c>
      <c r="F3978" s="2" t="n">
        <v>3</v>
      </c>
      <c r="G3978" s="2" t="s">
        <v>29</v>
      </c>
      <c r="H3978" s="2" t="n">
        <v>3977</v>
      </c>
      <c r="I3978" s="2" t="s">
        <v>39</v>
      </c>
      <c r="J3978" s="2" t="n">
        <v>3</v>
      </c>
      <c r="K3978" s="2" t="s">
        <v>36</v>
      </c>
      <c r="L3978" s="2" t="s">
        <v>37</v>
      </c>
      <c r="M3978" s="2" t="n">
        <v>35970</v>
      </c>
      <c r="N3978" s="2" t="n">
        <v>3</v>
      </c>
      <c r="O3978" s="2" t="n">
        <v>13</v>
      </c>
      <c r="P3978" s="2" t="n">
        <v>1</v>
      </c>
      <c r="Q3978" s="2" t="n">
        <v>11</v>
      </c>
      <c r="R3978" s="2" t="n">
        <v>2</v>
      </c>
      <c r="S3978" s="2" t="n">
        <v>3</v>
      </c>
      <c r="T3978" s="2" t="n">
        <v>1</v>
      </c>
      <c r="U3978" s="2" t="n">
        <v>2</v>
      </c>
      <c r="V3978" s="2" t="n">
        <v>2</v>
      </c>
      <c r="W3978" s="2" t="n">
        <v>2</v>
      </c>
      <c r="X3978" s="2" t="n">
        <v>1</v>
      </c>
      <c r="Y3978" s="2" t="n">
        <v>1</v>
      </c>
      <c r="Z3978" s="2" t="n">
        <v>3</v>
      </c>
    </row>
    <row r="3979" customFormat="false" ht="15" hidden="false" customHeight="true" outlineLevel="0" collapsed="false">
      <c r="A3979" s="2" t="n">
        <v>41</v>
      </c>
      <c r="B3979" s="2" t="s">
        <v>26</v>
      </c>
      <c r="C3979" s="2" t="s">
        <v>27</v>
      </c>
      <c r="D3979" s="2" t="s">
        <v>35</v>
      </c>
      <c r="E3979" s="2" t="n">
        <v>1</v>
      </c>
      <c r="F3979" s="2" t="n">
        <v>1</v>
      </c>
      <c r="G3979" s="2" t="s">
        <v>51</v>
      </c>
      <c r="H3979" s="2" t="n">
        <v>3978</v>
      </c>
      <c r="I3979" s="2" t="s">
        <v>39</v>
      </c>
      <c r="J3979" s="2" t="n">
        <v>3</v>
      </c>
      <c r="K3979" s="2" t="s">
        <v>45</v>
      </c>
      <c r="L3979" s="2" t="s">
        <v>46</v>
      </c>
      <c r="M3979" s="2" t="n">
        <v>25150</v>
      </c>
      <c r="N3979" s="2" t="n">
        <v>0</v>
      </c>
      <c r="O3979" s="2" t="n">
        <v>18</v>
      </c>
      <c r="P3979" s="2" t="n">
        <v>0</v>
      </c>
      <c r="Q3979" s="2" t="n">
        <v>23</v>
      </c>
      <c r="R3979" s="2" t="n">
        <v>2</v>
      </c>
      <c r="S3979" s="2" t="n">
        <v>22</v>
      </c>
      <c r="T3979" s="2" t="n">
        <v>13</v>
      </c>
      <c r="U3979" s="2" t="n">
        <v>5</v>
      </c>
      <c r="V3979" s="2" t="n">
        <v>3</v>
      </c>
      <c r="W3979" s="2" t="n">
        <v>3</v>
      </c>
      <c r="X3979" s="2" t="n">
        <v>4</v>
      </c>
      <c r="Y3979" s="2" t="n">
        <v>2</v>
      </c>
      <c r="Z3979" s="2" t="n">
        <v>3</v>
      </c>
    </row>
    <row r="3980" customFormat="false" ht="15" hidden="false" customHeight="true" outlineLevel="0" collapsed="false">
      <c r="A3980" s="2" t="n">
        <v>30</v>
      </c>
      <c r="B3980" s="2" t="s">
        <v>26</v>
      </c>
      <c r="C3980" s="2" t="s">
        <v>27</v>
      </c>
      <c r="D3980" s="2" t="s">
        <v>28</v>
      </c>
      <c r="E3980" s="2" t="n">
        <v>26</v>
      </c>
      <c r="F3980" s="2" t="n">
        <v>3</v>
      </c>
      <c r="G3980" s="2" t="s">
        <v>50</v>
      </c>
      <c r="H3980" s="2" t="n">
        <v>3979</v>
      </c>
      <c r="I3980" s="2" t="s">
        <v>30</v>
      </c>
      <c r="J3980" s="2" t="n">
        <v>2</v>
      </c>
      <c r="K3980" s="2" t="s">
        <v>49</v>
      </c>
      <c r="L3980" s="2" t="s">
        <v>37</v>
      </c>
      <c r="M3980" s="2" t="n">
        <v>44200</v>
      </c>
      <c r="N3980" s="2" t="n">
        <v>9</v>
      </c>
      <c r="O3980" s="2" t="n">
        <v>11</v>
      </c>
      <c r="P3980" s="2" t="n">
        <v>0</v>
      </c>
      <c r="Q3980" s="2" t="n">
        <v>9</v>
      </c>
      <c r="R3980" s="2" t="n">
        <v>3</v>
      </c>
      <c r="S3980" s="2" t="n">
        <v>7</v>
      </c>
      <c r="T3980" s="2" t="n">
        <v>0</v>
      </c>
      <c r="U3980" s="2" t="n">
        <v>2</v>
      </c>
      <c r="V3980" s="2" t="n">
        <v>1</v>
      </c>
      <c r="W3980" s="2" t="n">
        <v>3</v>
      </c>
      <c r="X3980" s="2" t="n">
        <v>3</v>
      </c>
      <c r="Y3980" s="2" t="n">
        <v>3</v>
      </c>
      <c r="Z3980" s="2" t="n">
        <v>3</v>
      </c>
    </row>
    <row r="3981" customFormat="false" ht="15" hidden="false" customHeight="true" outlineLevel="0" collapsed="false">
      <c r="A3981" s="2" t="n">
        <v>26</v>
      </c>
      <c r="B3981" s="2" t="s">
        <v>33</v>
      </c>
      <c r="C3981" s="2" t="s">
        <v>27</v>
      </c>
      <c r="D3981" s="2" t="s">
        <v>42</v>
      </c>
      <c r="E3981" s="2" t="n">
        <v>2</v>
      </c>
      <c r="F3981" s="2" t="n">
        <v>1</v>
      </c>
      <c r="G3981" s="2" t="s">
        <v>51</v>
      </c>
      <c r="H3981" s="2" t="n">
        <v>3980</v>
      </c>
      <c r="I3981" s="2" t="s">
        <v>30</v>
      </c>
      <c r="J3981" s="2" t="n">
        <v>3</v>
      </c>
      <c r="K3981" s="2" t="s">
        <v>40</v>
      </c>
      <c r="L3981" s="2" t="s">
        <v>32</v>
      </c>
      <c r="M3981" s="2" t="n">
        <v>65780</v>
      </c>
      <c r="N3981" s="2" t="n">
        <v>0</v>
      </c>
      <c r="O3981" s="2" t="n">
        <v>15</v>
      </c>
      <c r="P3981" s="2" t="n">
        <v>2</v>
      </c>
      <c r="Q3981" s="2" t="n">
        <v>6</v>
      </c>
      <c r="R3981" s="2" t="n">
        <v>3</v>
      </c>
      <c r="S3981" s="2" t="n">
        <v>5</v>
      </c>
      <c r="T3981" s="2" t="n">
        <v>1</v>
      </c>
      <c r="U3981" s="2" t="n">
        <v>4</v>
      </c>
      <c r="V3981" s="2" t="n">
        <v>4</v>
      </c>
      <c r="W3981" s="2" t="n">
        <v>2</v>
      </c>
      <c r="X3981" s="2" t="n">
        <v>3</v>
      </c>
      <c r="Y3981" s="2" t="n">
        <v>2</v>
      </c>
      <c r="Z3981" s="2" t="n">
        <v>3</v>
      </c>
    </row>
    <row r="3982" customFormat="false" ht="15" hidden="false" customHeight="true" outlineLevel="0" collapsed="false">
      <c r="A3982" s="2" t="n">
        <v>46</v>
      </c>
      <c r="B3982" s="2" t="s">
        <v>33</v>
      </c>
      <c r="C3982" s="2" t="s">
        <v>27</v>
      </c>
      <c r="D3982" s="2" t="s">
        <v>35</v>
      </c>
      <c r="E3982" s="2" t="n">
        <v>10</v>
      </c>
      <c r="F3982" s="2" t="n">
        <v>3</v>
      </c>
      <c r="G3982" s="2" t="s">
        <v>43</v>
      </c>
      <c r="H3982" s="2" t="n">
        <v>3981</v>
      </c>
      <c r="I3982" s="2" t="s">
        <v>39</v>
      </c>
      <c r="J3982" s="2" t="n">
        <v>1</v>
      </c>
      <c r="K3982" s="2" t="s">
        <v>40</v>
      </c>
      <c r="L3982" s="2" t="s">
        <v>32</v>
      </c>
      <c r="M3982" s="2" t="n">
        <v>44220</v>
      </c>
      <c r="N3982" s="2" t="n">
        <v>4</v>
      </c>
      <c r="O3982" s="2" t="n">
        <v>11</v>
      </c>
      <c r="P3982" s="2" t="n">
        <v>1</v>
      </c>
      <c r="Q3982" s="2" t="n">
        <v>13</v>
      </c>
      <c r="R3982" s="2" t="n">
        <v>2</v>
      </c>
      <c r="S3982" s="2" t="n">
        <v>9</v>
      </c>
      <c r="T3982" s="2" t="n">
        <v>3</v>
      </c>
      <c r="U3982" s="2" t="n">
        <v>7</v>
      </c>
      <c r="V3982" s="2" t="n">
        <v>4</v>
      </c>
      <c r="W3982" s="2" t="n">
        <v>2</v>
      </c>
      <c r="X3982" s="2" t="n">
        <v>4</v>
      </c>
      <c r="Y3982" s="2" t="n">
        <v>3</v>
      </c>
      <c r="Z3982" s="2" t="n">
        <v>3</v>
      </c>
    </row>
    <row r="3983" customFormat="false" ht="15" hidden="false" customHeight="true" outlineLevel="0" collapsed="false">
      <c r="A3983" s="2" t="n">
        <v>40</v>
      </c>
      <c r="B3983" s="2" t="s">
        <v>26</v>
      </c>
      <c r="C3983" s="2" t="s">
        <v>27</v>
      </c>
      <c r="D3983" s="2" t="s">
        <v>28</v>
      </c>
      <c r="E3983" s="2" t="n">
        <v>27</v>
      </c>
      <c r="F3983" s="2" t="n">
        <v>2</v>
      </c>
      <c r="G3983" s="2" t="s">
        <v>43</v>
      </c>
      <c r="H3983" s="2" t="n">
        <v>3982</v>
      </c>
      <c r="I3983" s="2" t="s">
        <v>30</v>
      </c>
      <c r="J3983" s="2" t="n">
        <v>3</v>
      </c>
      <c r="K3983" s="2" t="s">
        <v>40</v>
      </c>
      <c r="L3983" s="2" t="s">
        <v>46</v>
      </c>
      <c r="M3983" s="2" t="n">
        <v>102740</v>
      </c>
      <c r="N3983" s="2" t="n">
        <v>4</v>
      </c>
      <c r="O3983" s="2" t="n">
        <v>18</v>
      </c>
      <c r="P3983" s="2" t="n">
        <v>0</v>
      </c>
      <c r="Q3983" s="2" t="n">
        <v>12</v>
      </c>
      <c r="R3983" s="2" t="n">
        <v>3</v>
      </c>
      <c r="S3983" s="2" t="n">
        <v>5</v>
      </c>
      <c r="T3983" s="2" t="n">
        <v>0</v>
      </c>
      <c r="U3983" s="2" t="n">
        <v>3</v>
      </c>
      <c r="V3983" s="2" t="n">
        <v>3</v>
      </c>
      <c r="W3983" s="2" t="n">
        <v>4</v>
      </c>
      <c r="X3983" s="2" t="n">
        <v>3</v>
      </c>
      <c r="Y3983" s="2" t="n">
        <v>3</v>
      </c>
      <c r="Z3983" s="2" t="n">
        <v>3</v>
      </c>
    </row>
    <row r="3984" customFormat="false" ht="15" hidden="false" customHeight="true" outlineLevel="0" collapsed="false">
      <c r="A3984" s="2" t="n">
        <v>34</v>
      </c>
      <c r="B3984" s="2" t="s">
        <v>26</v>
      </c>
      <c r="C3984" s="2" t="s">
        <v>27</v>
      </c>
      <c r="D3984" s="2" t="s">
        <v>35</v>
      </c>
      <c r="E3984" s="2" t="n">
        <v>2</v>
      </c>
      <c r="F3984" s="2" t="n">
        <v>3</v>
      </c>
      <c r="G3984" s="2" t="s">
        <v>29</v>
      </c>
      <c r="H3984" s="2" t="n">
        <v>3983</v>
      </c>
      <c r="I3984" s="2" t="s">
        <v>39</v>
      </c>
      <c r="J3984" s="2" t="n">
        <v>2</v>
      </c>
      <c r="K3984" s="2" t="s">
        <v>45</v>
      </c>
      <c r="L3984" s="2" t="s">
        <v>32</v>
      </c>
      <c r="M3984" s="2" t="n">
        <v>53430</v>
      </c>
      <c r="N3984" s="2" t="n">
        <v>1</v>
      </c>
      <c r="O3984" s="2" t="n">
        <v>14</v>
      </c>
      <c r="P3984" s="2" t="n">
        <v>0</v>
      </c>
      <c r="Q3984" s="2" t="n">
        <v>10</v>
      </c>
      <c r="R3984" s="2" t="n">
        <v>5</v>
      </c>
      <c r="S3984" s="2" t="n">
        <v>10</v>
      </c>
      <c r="T3984" s="2" t="n">
        <v>4</v>
      </c>
      <c r="U3984" s="2" t="n">
        <v>8</v>
      </c>
      <c r="V3984" s="2" t="n">
        <v>2</v>
      </c>
      <c r="W3984" s="2" t="n">
        <v>3</v>
      </c>
      <c r="X3984" s="2" t="n">
        <v>3</v>
      </c>
      <c r="Y3984" s="2" t="n">
        <v>2</v>
      </c>
      <c r="Z3984" s="2" t="n">
        <v>3</v>
      </c>
    </row>
    <row r="3985" customFormat="false" ht="15" hidden="false" customHeight="true" outlineLevel="0" collapsed="false">
      <c r="A3985" s="2" t="n">
        <v>58</v>
      </c>
      <c r="B3985" s="2" t="s">
        <v>26</v>
      </c>
      <c r="C3985" s="2" t="s">
        <v>41</v>
      </c>
      <c r="D3985" s="2" t="s">
        <v>35</v>
      </c>
      <c r="E3985" s="2" t="n">
        <v>2</v>
      </c>
      <c r="F3985" s="2" t="n">
        <v>4</v>
      </c>
      <c r="G3985" s="2" t="s">
        <v>43</v>
      </c>
      <c r="H3985" s="2" t="n">
        <v>3984</v>
      </c>
      <c r="I3985" s="2" t="s">
        <v>39</v>
      </c>
      <c r="J3985" s="2" t="n">
        <v>1</v>
      </c>
      <c r="K3985" s="2" t="s">
        <v>45</v>
      </c>
      <c r="L3985" s="2" t="s">
        <v>46</v>
      </c>
      <c r="M3985" s="2" t="n">
        <v>23760</v>
      </c>
      <c r="N3985" s="2" t="n">
        <v>4</v>
      </c>
      <c r="O3985" s="2" t="n">
        <v>12</v>
      </c>
      <c r="P3985" s="2" t="n">
        <v>1</v>
      </c>
      <c r="Q3985" s="2" t="n">
        <v>37</v>
      </c>
      <c r="R3985" s="2" t="n">
        <v>3</v>
      </c>
      <c r="S3985" s="2" t="n">
        <v>16</v>
      </c>
      <c r="T3985" s="2" t="n">
        <v>14</v>
      </c>
      <c r="U3985" s="2" t="n">
        <v>14</v>
      </c>
      <c r="V3985" s="2" t="n">
        <v>2</v>
      </c>
      <c r="W3985" s="2" t="n">
        <v>2</v>
      </c>
      <c r="X3985" s="2" t="n">
        <v>2</v>
      </c>
      <c r="Y3985" s="2" t="n">
        <v>3</v>
      </c>
      <c r="Z3985" s="2" t="n">
        <v>3</v>
      </c>
    </row>
    <row r="3986" customFormat="false" ht="15" hidden="false" customHeight="true" outlineLevel="0" collapsed="false">
      <c r="A3986" s="2" t="n">
        <v>35</v>
      </c>
      <c r="B3986" s="2" t="s">
        <v>26</v>
      </c>
      <c r="C3986" s="2" t="s">
        <v>27</v>
      </c>
      <c r="D3986" s="2" t="s">
        <v>35</v>
      </c>
      <c r="E3986" s="2" t="n">
        <v>8</v>
      </c>
      <c r="F3986" s="2" t="n">
        <v>1</v>
      </c>
      <c r="G3986" s="2" t="s">
        <v>51</v>
      </c>
      <c r="H3986" s="2" t="n">
        <v>3985</v>
      </c>
      <c r="I3986" s="2" t="s">
        <v>30</v>
      </c>
      <c r="J3986" s="2" t="n">
        <v>3</v>
      </c>
      <c r="K3986" s="2" t="s">
        <v>47</v>
      </c>
      <c r="L3986" s="2" t="s">
        <v>32</v>
      </c>
      <c r="M3986" s="2" t="n">
        <v>53460</v>
      </c>
      <c r="N3986" s="2" t="n">
        <v>0</v>
      </c>
      <c r="O3986" s="2" t="n">
        <v>14</v>
      </c>
      <c r="P3986" s="2" t="n">
        <v>0</v>
      </c>
      <c r="Q3986" s="2" t="n">
        <v>6</v>
      </c>
      <c r="R3986" s="2" t="n">
        <v>3</v>
      </c>
      <c r="S3986" s="2" t="n">
        <v>5</v>
      </c>
      <c r="T3986" s="2" t="n">
        <v>0</v>
      </c>
      <c r="U3986" s="2" t="n">
        <v>3</v>
      </c>
      <c r="V3986" s="2" t="n">
        <v>2</v>
      </c>
      <c r="W3986" s="2" t="n">
        <v>3</v>
      </c>
      <c r="X3986" s="2" t="n">
        <v>4</v>
      </c>
      <c r="Y3986" s="2" t="n">
        <v>2</v>
      </c>
      <c r="Z3986" s="2" t="n">
        <v>3</v>
      </c>
    </row>
    <row r="3987" customFormat="false" ht="15" hidden="false" customHeight="true" outlineLevel="0" collapsed="false">
      <c r="A3987" s="2" t="n">
        <v>47</v>
      </c>
      <c r="B3987" s="2" t="s">
        <v>26</v>
      </c>
      <c r="C3987" s="2" t="s">
        <v>27</v>
      </c>
      <c r="D3987" s="2" t="s">
        <v>35</v>
      </c>
      <c r="E3987" s="2" t="n">
        <v>19</v>
      </c>
      <c r="F3987" s="2" t="n">
        <v>5</v>
      </c>
      <c r="G3987" s="2" t="s">
        <v>43</v>
      </c>
      <c r="H3987" s="2" t="n">
        <v>3986</v>
      </c>
      <c r="I3987" s="2" t="s">
        <v>30</v>
      </c>
      <c r="J3987" s="2" t="n">
        <v>2</v>
      </c>
      <c r="K3987" s="2" t="s">
        <v>36</v>
      </c>
      <c r="L3987" s="2" t="s">
        <v>46</v>
      </c>
      <c r="M3987" s="2" t="n">
        <v>28270</v>
      </c>
      <c r="N3987" s="2" t="n">
        <v>8</v>
      </c>
      <c r="O3987" s="2" t="n">
        <v>14</v>
      </c>
      <c r="P3987" s="2" t="n">
        <v>1</v>
      </c>
      <c r="Q3987" s="2" t="n">
        <v>28</v>
      </c>
      <c r="R3987" s="2" t="n">
        <v>3</v>
      </c>
      <c r="S3987" s="2" t="n">
        <v>22</v>
      </c>
      <c r="T3987" s="2" t="n">
        <v>14</v>
      </c>
      <c r="U3987" s="2" t="n">
        <v>10</v>
      </c>
      <c r="V3987" s="2" t="n">
        <v>3</v>
      </c>
      <c r="W3987" s="2" t="n">
        <v>2</v>
      </c>
      <c r="X3987" s="2" t="n">
        <v>3</v>
      </c>
      <c r="Y3987" s="2" t="n">
        <v>3</v>
      </c>
      <c r="Z3987" s="2" t="n">
        <v>3</v>
      </c>
    </row>
    <row r="3988" customFormat="false" ht="15" hidden="false" customHeight="true" outlineLevel="0" collapsed="false">
      <c r="A3988" s="2" t="n">
        <v>40</v>
      </c>
      <c r="B3988" s="2" t="s">
        <v>26</v>
      </c>
      <c r="C3988" s="2" t="s">
        <v>27</v>
      </c>
      <c r="D3988" s="2" t="s">
        <v>35</v>
      </c>
      <c r="E3988" s="2" t="n">
        <v>1</v>
      </c>
      <c r="F3988" s="2" t="n">
        <v>4</v>
      </c>
      <c r="G3988" s="2" t="s">
        <v>29</v>
      </c>
      <c r="H3988" s="2" t="n">
        <v>3987</v>
      </c>
      <c r="I3988" s="2" t="s">
        <v>39</v>
      </c>
      <c r="J3988" s="2" t="n">
        <v>2</v>
      </c>
      <c r="K3988" s="2" t="s">
        <v>49</v>
      </c>
      <c r="L3988" s="2" t="s">
        <v>46</v>
      </c>
      <c r="M3988" s="2" t="n">
        <v>199430</v>
      </c>
      <c r="N3988" s="2" t="n">
        <v>2</v>
      </c>
      <c r="O3988" s="2" t="n">
        <v>13</v>
      </c>
      <c r="P3988" s="2" t="n">
        <v>1</v>
      </c>
      <c r="Q3988" s="2" t="n">
        <v>15</v>
      </c>
      <c r="R3988" s="2" t="n">
        <v>3</v>
      </c>
      <c r="S3988" s="2" t="n">
        <v>7</v>
      </c>
      <c r="T3988" s="2" t="n">
        <v>7</v>
      </c>
      <c r="U3988" s="2" t="n">
        <v>7</v>
      </c>
      <c r="V3988" s="2" t="n">
        <v>2</v>
      </c>
      <c r="W3988" s="2" t="n">
        <v>1</v>
      </c>
      <c r="X3988" s="2" t="n">
        <v>3</v>
      </c>
      <c r="Y3988" s="2" t="n">
        <v>3</v>
      </c>
      <c r="Z3988" s="2" t="n">
        <v>3</v>
      </c>
    </row>
    <row r="3989" customFormat="false" ht="15" hidden="false" customHeight="true" outlineLevel="0" collapsed="false">
      <c r="A3989" s="2" t="n">
        <v>54</v>
      </c>
      <c r="B3989" s="2" t="s">
        <v>26</v>
      </c>
      <c r="C3989" s="2" t="s">
        <v>27</v>
      </c>
      <c r="D3989" s="2" t="s">
        <v>28</v>
      </c>
      <c r="E3989" s="2" t="n">
        <v>27</v>
      </c>
      <c r="F3989" s="2" t="n">
        <v>4</v>
      </c>
      <c r="G3989" s="2" t="s">
        <v>43</v>
      </c>
      <c r="H3989" s="2" t="n">
        <v>3988</v>
      </c>
      <c r="I3989" s="2" t="s">
        <v>39</v>
      </c>
      <c r="J3989" s="2" t="n">
        <v>1</v>
      </c>
      <c r="K3989" s="2" t="s">
        <v>36</v>
      </c>
      <c r="L3989" s="2" t="s">
        <v>32</v>
      </c>
      <c r="M3989" s="2" t="n">
        <v>31310</v>
      </c>
      <c r="N3989" s="2" t="n">
        <v>4</v>
      </c>
      <c r="O3989" s="2" t="n">
        <v>14</v>
      </c>
      <c r="P3989" s="2" t="n">
        <v>0</v>
      </c>
      <c r="Q3989" s="2" t="n">
        <v>14</v>
      </c>
      <c r="R3989" s="2" t="n">
        <v>3</v>
      </c>
      <c r="S3989" s="2" t="n">
        <v>7</v>
      </c>
      <c r="T3989" s="2" t="n">
        <v>1</v>
      </c>
      <c r="U3989" s="2" t="n">
        <v>7</v>
      </c>
      <c r="V3989" s="2" t="n">
        <v>4</v>
      </c>
      <c r="W3989" s="2" t="n">
        <v>4</v>
      </c>
      <c r="X3989" s="2" t="n">
        <v>2</v>
      </c>
      <c r="Y3989" s="2" t="n">
        <v>2</v>
      </c>
      <c r="Z3989" s="2" t="n">
        <v>3</v>
      </c>
    </row>
    <row r="3990" customFormat="false" ht="15" hidden="false" customHeight="true" outlineLevel="0" collapsed="false">
      <c r="A3990" s="2" t="n">
        <v>31</v>
      </c>
      <c r="B3990" s="2" t="s">
        <v>26</v>
      </c>
      <c r="C3990" s="2" t="s">
        <v>34</v>
      </c>
      <c r="D3990" s="2" t="s">
        <v>28</v>
      </c>
      <c r="E3990" s="2" t="n">
        <v>8</v>
      </c>
      <c r="F3990" s="2" t="n">
        <v>4</v>
      </c>
      <c r="G3990" s="2" t="s">
        <v>38</v>
      </c>
      <c r="H3990" s="2" t="n">
        <v>3989</v>
      </c>
      <c r="I3990" s="2" t="s">
        <v>30</v>
      </c>
      <c r="J3990" s="2" t="n">
        <v>3</v>
      </c>
      <c r="K3990" s="2" t="s">
        <v>47</v>
      </c>
      <c r="L3990" s="2" t="s">
        <v>32</v>
      </c>
      <c r="M3990" s="2" t="n">
        <v>25520</v>
      </c>
      <c r="N3990" s="2" t="n">
        <v>2</v>
      </c>
      <c r="O3990" s="2" t="n">
        <v>18</v>
      </c>
      <c r="P3990" s="2" t="n">
        <v>0</v>
      </c>
      <c r="Q3990" s="2" t="n">
        <v>9</v>
      </c>
      <c r="R3990" s="2" t="n">
        <v>2</v>
      </c>
      <c r="S3990" s="2" t="n">
        <v>3</v>
      </c>
      <c r="T3990" s="2" t="n">
        <v>2</v>
      </c>
      <c r="U3990" s="2" t="n">
        <v>2</v>
      </c>
      <c r="V3990" s="2" t="n">
        <v>1</v>
      </c>
      <c r="W3990" s="2" t="n">
        <v>1</v>
      </c>
      <c r="X3990" s="2" t="n">
        <v>3</v>
      </c>
      <c r="Y3990" s="2" t="n">
        <v>3</v>
      </c>
      <c r="Z3990" s="2" t="n">
        <v>3</v>
      </c>
    </row>
    <row r="3991" customFormat="false" ht="15" hidden="false" customHeight="true" outlineLevel="0" collapsed="false">
      <c r="A3991" s="2" t="n">
        <v>28</v>
      </c>
      <c r="B3991" s="2" t="s">
        <v>26</v>
      </c>
      <c r="C3991" s="2" t="s">
        <v>27</v>
      </c>
      <c r="D3991" s="2" t="s">
        <v>28</v>
      </c>
      <c r="E3991" s="2" t="n">
        <v>1</v>
      </c>
      <c r="F3991" s="2" t="n">
        <v>2</v>
      </c>
      <c r="G3991" s="2" t="s">
        <v>29</v>
      </c>
      <c r="H3991" s="2" t="n">
        <v>3990</v>
      </c>
      <c r="I3991" s="2" t="s">
        <v>39</v>
      </c>
      <c r="J3991" s="2" t="n">
        <v>3</v>
      </c>
      <c r="K3991" s="2" t="s">
        <v>49</v>
      </c>
      <c r="L3991" s="2" t="s">
        <v>32</v>
      </c>
      <c r="M3991" s="2" t="n">
        <v>44770</v>
      </c>
      <c r="N3991" s="2" t="n">
        <v>1</v>
      </c>
      <c r="O3991" s="2" t="n">
        <v>15</v>
      </c>
      <c r="P3991" s="2" t="n">
        <v>0</v>
      </c>
      <c r="Q3991" s="2" t="n">
        <v>3</v>
      </c>
      <c r="R3991" s="2" t="n">
        <v>6</v>
      </c>
      <c r="S3991" s="2" t="n">
        <v>3</v>
      </c>
      <c r="T3991" s="2" t="n">
        <v>1</v>
      </c>
      <c r="U3991" s="2" t="n">
        <v>2</v>
      </c>
      <c r="V3991" s="2" t="n">
        <v>3</v>
      </c>
      <c r="W3991" s="2" t="n">
        <v>1</v>
      </c>
      <c r="X3991" s="2" t="n">
        <v>3</v>
      </c>
      <c r="Y3991" s="2" t="n">
        <v>3</v>
      </c>
      <c r="Z3991" s="2" t="n">
        <v>3</v>
      </c>
    </row>
    <row r="3992" customFormat="false" ht="15" hidden="false" customHeight="true" outlineLevel="0" collapsed="false">
      <c r="A3992" s="2" t="n">
        <v>38</v>
      </c>
      <c r="B3992" s="2" t="s">
        <v>26</v>
      </c>
      <c r="C3992" s="2" t="s">
        <v>27</v>
      </c>
      <c r="D3992" s="2" t="s">
        <v>35</v>
      </c>
      <c r="E3992" s="2" t="n">
        <v>19</v>
      </c>
      <c r="F3992" s="2" t="n">
        <v>3</v>
      </c>
      <c r="G3992" s="2" t="s">
        <v>43</v>
      </c>
      <c r="H3992" s="2" t="n">
        <v>3991</v>
      </c>
      <c r="I3992" s="2" t="s">
        <v>30</v>
      </c>
      <c r="J3992" s="2" t="n">
        <v>2</v>
      </c>
      <c r="K3992" s="2" t="s">
        <v>47</v>
      </c>
      <c r="L3992" s="2" t="s">
        <v>32</v>
      </c>
      <c r="M3992" s="2" t="n">
        <v>64740</v>
      </c>
      <c r="N3992" s="2" t="n">
        <v>2</v>
      </c>
      <c r="O3992" s="2" t="n">
        <v>13</v>
      </c>
      <c r="P3992" s="2" t="n">
        <v>2</v>
      </c>
      <c r="Q3992" s="2" t="n">
        <v>20</v>
      </c>
      <c r="R3992" s="2" t="n">
        <v>3</v>
      </c>
      <c r="S3992" s="2" t="n">
        <v>4</v>
      </c>
      <c r="T3992" s="2" t="n">
        <v>0</v>
      </c>
      <c r="U3992" s="2" t="n">
        <v>3</v>
      </c>
      <c r="V3992" s="2" t="n">
        <v>2</v>
      </c>
      <c r="W3992" s="2" t="n">
        <v>4</v>
      </c>
      <c r="X3992" s="2" t="n">
        <v>2</v>
      </c>
      <c r="Y3992" s="2" t="n">
        <v>1</v>
      </c>
      <c r="Z3992" s="2" t="n">
        <v>3</v>
      </c>
    </row>
    <row r="3993" customFormat="false" ht="15" hidden="false" customHeight="true" outlineLevel="0" collapsed="false">
      <c r="A3993" s="2" t="n">
        <v>26</v>
      </c>
      <c r="B3993" s="2" t="s">
        <v>26</v>
      </c>
      <c r="C3993" s="2" t="s">
        <v>27</v>
      </c>
      <c r="D3993" s="2" t="s">
        <v>28</v>
      </c>
      <c r="E3993" s="2" t="n">
        <v>8</v>
      </c>
      <c r="F3993" s="2" t="n">
        <v>3</v>
      </c>
      <c r="G3993" s="2" t="s">
        <v>50</v>
      </c>
      <c r="H3993" s="2" t="n">
        <v>3992</v>
      </c>
      <c r="I3993" s="2" t="s">
        <v>30</v>
      </c>
      <c r="J3993" s="2" t="n">
        <v>1</v>
      </c>
      <c r="K3993" s="2" t="s">
        <v>31</v>
      </c>
      <c r="L3993" s="2" t="s">
        <v>37</v>
      </c>
      <c r="M3993" s="2" t="n">
        <v>30330</v>
      </c>
      <c r="N3993" s="2" t="n">
        <v>1</v>
      </c>
      <c r="O3993" s="2" t="n">
        <v>12</v>
      </c>
      <c r="P3993" s="2" t="n">
        <v>0</v>
      </c>
      <c r="Q3993" s="2" t="n">
        <v>5</v>
      </c>
      <c r="R3993" s="2" t="n">
        <v>2</v>
      </c>
      <c r="S3993" s="2" t="n">
        <v>5</v>
      </c>
      <c r="T3993" s="2" t="n">
        <v>1</v>
      </c>
      <c r="U3993" s="2" t="n">
        <v>2</v>
      </c>
      <c r="V3993" s="2" t="n">
        <v>3</v>
      </c>
      <c r="W3993" s="2" t="n">
        <v>4</v>
      </c>
      <c r="X3993" s="2" t="n">
        <v>3</v>
      </c>
      <c r="Y3993" s="2" t="n">
        <v>2</v>
      </c>
      <c r="Z3993" s="2" t="n">
        <v>3</v>
      </c>
    </row>
    <row r="3994" customFormat="false" ht="15" hidden="false" customHeight="true" outlineLevel="0" collapsed="false">
      <c r="A3994" s="2" t="n">
        <v>58</v>
      </c>
      <c r="B3994" s="2" t="s">
        <v>26</v>
      </c>
      <c r="C3994" s="2" t="s">
        <v>34</v>
      </c>
      <c r="D3994" s="2" t="s">
        <v>35</v>
      </c>
      <c r="E3994" s="2" t="n">
        <v>10</v>
      </c>
      <c r="F3994" s="2" t="n">
        <v>4</v>
      </c>
      <c r="G3994" s="2" t="s">
        <v>51</v>
      </c>
      <c r="H3994" s="2" t="n">
        <v>3993</v>
      </c>
      <c r="I3994" s="2" t="s">
        <v>30</v>
      </c>
      <c r="J3994" s="2" t="n">
        <v>1</v>
      </c>
      <c r="K3994" s="2" t="s">
        <v>48</v>
      </c>
      <c r="L3994" s="2" t="s">
        <v>32</v>
      </c>
      <c r="M3994" s="2" t="n">
        <v>29360</v>
      </c>
      <c r="N3994" s="2" t="n">
        <v>2</v>
      </c>
      <c r="O3994" s="2" t="n">
        <v>13</v>
      </c>
      <c r="P3994" s="2" t="n">
        <v>1</v>
      </c>
      <c r="Q3994" s="2" t="n">
        <v>23</v>
      </c>
      <c r="R3994" s="2" t="n">
        <v>3</v>
      </c>
      <c r="S3994" s="2" t="n">
        <v>2</v>
      </c>
      <c r="T3994" s="2" t="n">
        <v>2</v>
      </c>
      <c r="U3994" s="2" t="n">
        <v>2</v>
      </c>
      <c r="V3994" s="2" t="n">
        <v>1</v>
      </c>
      <c r="W3994" s="2" t="n">
        <v>3</v>
      </c>
      <c r="X3994" s="2" t="n">
        <v>3</v>
      </c>
      <c r="Y3994" s="2" t="n">
        <v>3</v>
      </c>
      <c r="Z3994" s="2" t="n">
        <v>3</v>
      </c>
    </row>
    <row r="3995" customFormat="false" ht="15" hidden="false" customHeight="true" outlineLevel="0" collapsed="false">
      <c r="A3995" s="2" t="n">
        <v>18</v>
      </c>
      <c r="B3995" s="2" t="s">
        <v>26</v>
      </c>
      <c r="C3995" s="2" t="s">
        <v>41</v>
      </c>
      <c r="D3995" s="2" t="s">
        <v>35</v>
      </c>
      <c r="E3995" s="2" t="n">
        <v>2</v>
      </c>
      <c r="F3995" s="2" t="n">
        <v>3</v>
      </c>
      <c r="G3995" s="2" t="s">
        <v>29</v>
      </c>
      <c r="H3995" s="2" t="n">
        <v>3994</v>
      </c>
      <c r="I3995" s="2" t="s">
        <v>39</v>
      </c>
      <c r="J3995" s="2" t="n">
        <v>3</v>
      </c>
      <c r="K3995" s="2" t="s">
        <v>48</v>
      </c>
      <c r="L3995" s="2" t="s">
        <v>37</v>
      </c>
      <c r="M3995" s="2" t="n">
        <v>186060</v>
      </c>
      <c r="N3995" s="2" t="n">
        <v>1</v>
      </c>
      <c r="O3995" s="2" t="n">
        <v>24</v>
      </c>
      <c r="P3995" s="2" t="n">
        <v>2</v>
      </c>
      <c r="Q3995" s="2" t="n">
        <v>0</v>
      </c>
      <c r="R3995" s="2" t="n">
        <v>4</v>
      </c>
      <c r="S3995" s="2" t="n">
        <v>0</v>
      </c>
      <c r="T3995" s="2" t="n">
        <v>0</v>
      </c>
      <c r="U3995" s="2" t="n">
        <v>0</v>
      </c>
      <c r="V3995" s="2" t="n">
        <v>2</v>
      </c>
      <c r="W3995" s="2" t="n">
        <v>3</v>
      </c>
      <c r="X3995" s="2" t="n">
        <v>1</v>
      </c>
      <c r="Y3995" s="2" t="n">
        <v>3</v>
      </c>
      <c r="Z3995" s="2" t="n">
        <v>4</v>
      </c>
    </row>
    <row r="3996" customFormat="false" ht="15" hidden="false" customHeight="true" outlineLevel="0" collapsed="false">
      <c r="A3996" s="2" t="n">
        <v>31</v>
      </c>
      <c r="B3996" s="2" t="s">
        <v>33</v>
      </c>
      <c r="C3996" s="2" t="s">
        <v>27</v>
      </c>
      <c r="D3996" s="2" t="s">
        <v>35</v>
      </c>
      <c r="E3996" s="2" t="n">
        <v>2</v>
      </c>
      <c r="F3996" s="2" t="n">
        <v>3</v>
      </c>
      <c r="G3996" s="2" t="s">
        <v>29</v>
      </c>
      <c r="H3996" s="2" t="n">
        <v>3995</v>
      </c>
      <c r="I3996" s="2" t="s">
        <v>39</v>
      </c>
      <c r="J3996" s="2" t="n">
        <v>3</v>
      </c>
      <c r="K3996" s="2" t="s">
        <v>45</v>
      </c>
      <c r="L3996" s="2" t="s">
        <v>32</v>
      </c>
      <c r="M3996" s="2" t="n">
        <v>21680</v>
      </c>
      <c r="N3996" s="2" t="n">
        <v>0</v>
      </c>
      <c r="O3996" s="2" t="n">
        <v>14</v>
      </c>
      <c r="P3996" s="2" t="n">
        <v>1</v>
      </c>
      <c r="Q3996" s="2" t="n">
        <v>2</v>
      </c>
      <c r="R3996" s="2" t="n">
        <v>2</v>
      </c>
      <c r="S3996" s="2" t="n">
        <v>1</v>
      </c>
      <c r="T3996" s="2" t="n">
        <v>0</v>
      </c>
      <c r="U3996" s="2" t="n">
        <v>0</v>
      </c>
      <c r="V3996" s="2" t="n">
        <v>4</v>
      </c>
      <c r="W3996" s="2" t="n">
        <v>1</v>
      </c>
      <c r="X3996" s="2" t="n">
        <v>3</v>
      </c>
      <c r="Y3996" s="2" t="n">
        <v>3</v>
      </c>
      <c r="Z3996" s="2" t="n">
        <v>3</v>
      </c>
    </row>
    <row r="3997" customFormat="false" ht="15" hidden="false" customHeight="true" outlineLevel="0" collapsed="false">
      <c r="A3997" s="2" t="n">
        <v>29</v>
      </c>
      <c r="B3997" s="2" t="s">
        <v>33</v>
      </c>
      <c r="C3997" s="2" t="s">
        <v>27</v>
      </c>
      <c r="D3997" s="2" t="s">
        <v>35</v>
      </c>
      <c r="E3997" s="2" t="n">
        <v>8</v>
      </c>
      <c r="F3997" s="2" t="n">
        <v>2</v>
      </c>
      <c r="G3997" s="2" t="s">
        <v>43</v>
      </c>
      <c r="H3997" s="2" t="n">
        <v>3996</v>
      </c>
      <c r="I3997" s="2" t="s">
        <v>39</v>
      </c>
      <c r="J3997" s="2" t="n">
        <v>1</v>
      </c>
      <c r="K3997" s="2" t="s">
        <v>49</v>
      </c>
      <c r="L3997" s="2" t="s">
        <v>46</v>
      </c>
      <c r="M3997" s="2" t="n">
        <v>28530</v>
      </c>
      <c r="N3997" s="2" t="n">
        <v>4</v>
      </c>
      <c r="O3997" s="2" t="n">
        <v>14</v>
      </c>
      <c r="P3997" s="2" t="n">
        <v>1</v>
      </c>
      <c r="Q3997" s="2" t="n">
        <v>4</v>
      </c>
      <c r="R3997" s="2" t="n">
        <v>5</v>
      </c>
      <c r="S3997" s="2" t="n">
        <v>2</v>
      </c>
      <c r="T3997" s="2" t="n">
        <v>2</v>
      </c>
      <c r="U3997" s="2" t="n">
        <v>0</v>
      </c>
      <c r="V3997" s="2" t="n">
        <v>1</v>
      </c>
      <c r="W3997" s="2" t="n">
        <v>1</v>
      </c>
      <c r="X3997" s="2" t="n">
        <v>3</v>
      </c>
      <c r="Y3997" s="2" t="n">
        <v>2</v>
      </c>
      <c r="Z3997" s="2" t="n">
        <v>3</v>
      </c>
    </row>
    <row r="3998" customFormat="false" ht="15" hidden="false" customHeight="true" outlineLevel="0" collapsed="false">
      <c r="A3998" s="2" t="n">
        <v>45</v>
      </c>
      <c r="B3998" s="2" t="s">
        <v>26</v>
      </c>
      <c r="C3998" s="2" t="s">
        <v>41</v>
      </c>
      <c r="D3998" s="2" t="s">
        <v>28</v>
      </c>
      <c r="E3998" s="2" t="n">
        <v>1</v>
      </c>
      <c r="F3998" s="2" t="n">
        <v>4</v>
      </c>
      <c r="G3998" s="2" t="s">
        <v>51</v>
      </c>
      <c r="H3998" s="2" t="n">
        <v>3997</v>
      </c>
      <c r="I3998" s="2" t="s">
        <v>39</v>
      </c>
      <c r="J3998" s="2" t="n">
        <v>1</v>
      </c>
      <c r="K3998" s="2" t="s">
        <v>36</v>
      </c>
      <c r="L3998" s="2" t="s">
        <v>32</v>
      </c>
      <c r="M3998" s="2" t="n">
        <v>170480</v>
      </c>
      <c r="N3998" s="2" t="n">
        <v>4</v>
      </c>
      <c r="O3998" s="2" t="n">
        <v>15</v>
      </c>
      <c r="P3998" s="2" t="n">
        <v>0</v>
      </c>
      <c r="Q3998" s="2" t="n">
        <v>10</v>
      </c>
      <c r="R3998" s="2" t="n">
        <v>3</v>
      </c>
      <c r="S3998" s="2" t="n">
        <v>8</v>
      </c>
      <c r="T3998" s="2" t="n">
        <v>5</v>
      </c>
      <c r="U3998" s="2" t="n">
        <v>7</v>
      </c>
      <c r="V3998" s="2"/>
      <c r="W3998" s="2" t="n">
        <v>3</v>
      </c>
      <c r="X3998" s="2" t="n">
        <v>4</v>
      </c>
      <c r="Y3998" s="2" t="n">
        <v>2</v>
      </c>
      <c r="Z3998" s="2" t="n">
        <v>3</v>
      </c>
    </row>
    <row r="3999" customFormat="false" ht="15" hidden="false" customHeight="true" outlineLevel="0" collapsed="false">
      <c r="A3999" s="2" t="n">
        <v>36</v>
      </c>
      <c r="B3999" s="2" t="s">
        <v>26</v>
      </c>
      <c r="C3999" s="2" t="s">
        <v>27</v>
      </c>
      <c r="D3999" s="2" t="s">
        <v>28</v>
      </c>
      <c r="E3999" s="2" t="n">
        <v>2</v>
      </c>
      <c r="F3999" s="2" t="n">
        <v>3</v>
      </c>
      <c r="G3999" s="2" t="s">
        <v>51</v>
      </c>
      <c r="H3999" s="2" t="n">
        <v>3998</v>
      </c>
      <c r="I3999" s="2" t="s">
        <v>30</v>
      </c>
      <c r="J3999" s="2" t="n">
        <v>5</v>
      </c>
      <c r="K3999" s="2" t="s">
        <v>45</v>
      </c>
      <c r="L3999" s="2" t="s">
        <v>32</v>
      </c>
      <c r="M3999" s="2" t="n">
        <v>22900</v>
      </c>
      <c r="N3999" s="2" t="n">
        <v>4</v>
      </c>
      <c r="O3999" s="2" t="n">
        <v>11</v>
      </c>
      <c r="P3999" s="2" t="n">
        <v>0</v>
      </c>
      <c r="Q3999" s="2" t="n">
        <v>15</v>
      </c>
      <c r="R3999" s="2" t="n">
        <v>5</v>
      </c>
      <c r="S3999" s="2" t="n">
        <v>1</v>
      </c>
      <c r="T3999" s="2" t="n">
        <v>0</v>
      </c>
      <c r="U3999" s="2" t="n">
        <v>0</v>
      </c>
      <c r="V3999" s="2" t="n">
        <v>4</v>
      </c>
      <c r="W3999" s="2" t="n">
        <v>2</v>
      </c>
      <c r="X3999" s="2" t="n">
        <v>3</v>
      </c>
      <c r="Y3999" s="2" t="n">
        <v>3</v>
      </c>
      <c r="Z3999" s="2" t="n">
        <v>3</v>
      </c>
    </row>
    <row r="4000" customFormat="false" ht="15" hidden="false" customHeight="true" outlineLevel="0" collapsed="false">
      <c r="A4000" s="2" t="n">
        <v>43</v>
      </c>
      <c r="B4000" s="2" t="s">
        <v>26</v>
      </c>
      <c r="C4000" s="2" t="s">
        <v>34</v>
      </c>
      <c r="D4000" s="2" t="s">
        <v>28</v>
      </c>
      <c r="E4000" s="2" t="n">
        <v>8</v>
      </c>
      <c r="F4000" s="2" t="n">
        <v>3</v>
      </c>
      <c r="G4000" s="2" t="s">
        <v>43</v>
      </c>
      <c r="H4000" s="2" t="n">
        <v>3999</v>
      </c>
      <c r="I4000" s="2" t="s">
        <v>39</v>
      </c>
      <c r="J4000" s="2" t="n">
        <v>1</v>
      </c>
      <c r="K4000" s="2" t="s">
        <v>44</v>
      </c>
      <c r="L4000" s="2" t="s">
        <v>32</v>
      </c>
      <c r="M4000" s="2" t="n">
        <v>36000</v>
      </c>
      <c r="N4000" s="2" t="n">
        <v>1</v>
      </c>
      <c r="O4000" s="2" t="n">
        <v>23</v>
      </c>
      <c r="P4000" s="2" t="n">
        <v>0</v>
      </c>
      <c r="Q4000" s="2" t="n">
        <v>7</v>
      </c>
      <c r="R4000" s="2" t="n">
        <v>2</v>
      </c>
      <c r="S4000" s="2" t="n">
        <v>7</v>
      </c>
      <c r="T4000" s="2" t="n">
        <v>7</v>
      </c>
      <c r="U4000" s="2" t="n">
        <v>7</v>
      </c>
      <c r="V4000" s="2" t="n">
        <v>1</v>
      </c>
      <c r="W4000" s="2" t="n">
        <v>4</v>
      </c>
      <c r="X4000" s="2" t="n">
        <v>3</v>
      </c>
      <c r="Y4000" s="2" t="n">
        <v>3</v>
      </c>
      <c r="Z4000" s="2" t="n">
        <v>4</v>
      </c>
    </row>
    <row r="4001" customFormat="false" ht="15" hidden="false" customHeight="true" outlineLevel="0" collapsed="false">
      <c r="A4001" s="2" t="n">
        <v>27</v>
      </c>
      <c r="B4001" s="2" t="s">
        <v>26</v>
      </c>
      <c r="C4001" s="2" t="s">
        <v>34</v>
      </c>
      <c r="D4001" s="2" t="s">
        <v>28</v>
      </c>
      <c r="E4001" s="2" t="n">
        <v>8</v>
      </c>
      <c r="F4001" s="2" t="n">
        <v>4</v>
      </c>
      <c r="G4001" s="2" t="s">
        <v>29</v>
      </c>
      <c r="H4001" s="2" t="n">
        <v>4000</v>
      </c>
      <c r="I4001" s="2" t="s">
        <v>39</v>
      </c>
      <c r="J4001" s="2" t="n">
        <v>5</v>
      </c>
      <c r="K4001" s="2" t="s">
        <v>36</v>
      </c>
      <c r="L4001" s="2" t="s">
        <v>37</v>
      </c>
      <c r="M4001" s="2" t="n">
        <v>21070</v>
      </c>
      <c r="N4001" s="2" t="n">
        <v>0</v>
      </c>
      <c r="O4001" s="2" t="n">
        <v>13</v>
      </c>
      <c r="P4001" s="2" t="n">
        <v>0</v>
      </c>
      <c r="Q4001" s="2" t="n">
        <v>6</v>
      </c>
      <c r="R4001" s="2" t="n">
        <v>2</v>
      </c>
      <c r="S4001" s="2" t="n">
        <v>5</v>
      </c>
      <c r="T4001" s="2" t="n">
        <v>0</v>
      </c>
      <c r="U4001" s="2" t="n">
        <v>2</v>
      </c>
      <c r="V4001" s="2" t="n">
        <v>4</v>
      </c>
      <c r="W4001" s="2" t="n">
        <v>4</v>
      </c>
      <c r="X4001" s="2" t="n">
        <v>2</v>
      </c>
      <c r="Y4001" s="2" t="n">
        <v>3</v>
      </c>
      <c r="Z4001" s="2" t="n">
        <v>3</v>
      </c>
    </row>
    <row r="4002" customFormat="false" ht="15" hidden="false" customHeight="true" outlineLevel="0" collapsed="false">
      <c r="A4002" s="2" t="n">
        <v>29</v>
      </c>
      <c r="B4002" s="2" t="s">
        <v>26</v>
      </c>
      <c r="C4002" s="2" t="s">
        <v>34</v>
      </c>
      <c r="D4002" s="2" t="s">
        <v>35</v>
      </c>
      <c r="E4002" s="2" t="n">
        <v>6</v>
      </c>
      <c r="F4002" s="2" t="n">
        <v>2</v>
      </c>
      <c r="G4002" s="2" t="s">
        <v>43</v>
      </c>
      <c r="H4002" s="2" t="n">
        <v>4001</v>
      </c>
      <c r="I4002" s="2" t="s">
        <v>39</v>
      </c>
      <c r="J4002" s="2" t="n">
        <v>1</v>
      </c>
      <c r="K4002" s="2" t="s">
        <v>42</v>
      </c>
      <c r="L4002" s="2" t="s">
        <v>32</v>
      </c>
      <c r="M4002" s="2" t="n">
        <v>41150</v>
      </c>
      <c r="N4002" s="2" t="n">
        <v>1</v>
      </c>
      <c r="O4002" s="2" t="n">
        <v>11</v>
      </c>
      <c r="P4002" s="2" t="n">
        <v>0</v>
      </c>
      <c r="Q4002" s="2" t="n">
        <v>11</v>
      </c>
      <c r="R4002" s="2" t="n">
        <v>1</v>
      </c>
      <c r="S4002" s="2" t="n">
        <v>11</v>
      </c>
      <c r="T4002" s="2" t="n">
        <v>3</v>
      </c>
      <c r="U4002" s="2" t="n">
        <v>10</v>
      </c>
      <c r="V4002" s="2" t="n">
        <v>4</v>
      </c>
      <c r="W4002" s="2" t="n">
        <v>4</v>
      </c>
      <c r="X4002" s="2" t="n">
        <v>4</v>
      </c>
      <c r="Y4002" s="2" t="n">
        <v>3</v>
      </c>
      <c r="Z4002" s="2" t="n">
        <v>3</v>
      </c>
    </row>
    <row r="4003" customFormat="false" ht="15" hidden="false" customHeight="true" outlineLevel="0" collapsed="false">
      <c r="A4003" s="2" t="n">
        <v>32</v>
      </c>
      <c r="B4003" s="2" t="s">
        <v>26</v>
      </c>
      <c r="C4003" s="2" t="s">
        <v>34</v>
      </c>
      <c r="D4003" s="2" t="s">
        <v>28</v>
      </c>
      <c r="E4003" s="2" t="n">
        <v>9</v>
      </c>
      <c r="F4003" s="2" t="n">
        <v>4</v>
      </c>
      <c r="G4003" s="2" t="s">
        <v>29</v>
      </c>
      <c r="H4003" s="2" t="n">
        <v>4002</v>
      </c>
      <c r="I4003" s="2" t="s">
        <v>39</v>
      </c>
      <c r="J4003" s="2" t="n">
        <v>4</v>
      </c>
      <c r="K4003" s="2" t="s">
        <v>40</v>
      </c>
      <c r="L4003" s="2" t="s">
        <v>37</v>
      </c>
      <c r="M4003" s="2" t="n">
        <v>43270</v>
      </c>
      <c r="N4003" s="2" t="n">
        <v>8</v>
      </c>
      <c r="O4003" s="2" t="n">
        <v>13</v>
      </c>
      <c r="P4003" s="2" t="n">
        <v>0</v>
      </c>
      <c r="Q4003" s="2" t="n">
        <v>4</v>
      </c>
      <c r="R4003" s="2" t="n">
        <v>4</v>
      </c>
      <c r="S4003" s="2" t="n">
        <v>0</v>
      </c>
      <c r="T4003" s="2" t="n">
        <v>0</v>
      </c>
      <c r="U4003" s="2" t="n">
        <v>0</v>
      </c>
      <c r="V4003" s="2" t="n">
        <v>4</v>
      </c>
      <c r="W4003" s="2" t="n">
        <v>4</v>
      </c>
      <c r="X4003" s="2" t="n">
        <v>4</v>
      </c>
      <c r="Y4003" s="2" t="n">
        <v>3</v>
      </c>
      <c r="Z4003" s="2" t="n">
        <v>3</v>
      </c>
    </row>
    <row r="4004" customFormat="false" ht="15" hidden="false" customHeight="true" outlineLevel="0" collapsed="false">
      <c r="A4004" s="2" t="n">
        <v>42</v>
      </c>
      <c r="B4004" s="2" t="s">
        <v>26</v>
      </c>
      <c r="C4004" s="2" t="s">
        <v>41</v>
      </c>
      <c r="D4004" s="2" t="s">
        <v>35</v>
      </c>
      <c r="E4004" s="2" t="n">
        <v>11</v>
      </c>
      <c r="F4004" s="2" t="n">
        <v>3</v>
      </c>
      <c r="G4004" s="2" t="s">
        <v>43</v>
      </c>
      <c r="H4004" s="2" t="n">
        <v>4003</v>
      </c>
      <c r="I4004" s="2" t="s">
        <v>39</v>
      </c>
      <c r="J4004" s="2" t="n">
        <v>1</v>
      </c>
      <c r="K4004" s="2" t="s">
        <v>49</v>
      </c>
      <c r="L4004" s="2" t="s">
        <v>32</v>
      </c>
      <c r="M4004" s="2" t="n">
        <v>178560</v>
      </c>
      <c r="N4004" s="2" t="n">
        <v>3</v>
      </c>
      <c r="O4004" s="2" t="n">
        <v>18</v>
      </c>
      <c r="P4004" s="2" t="n">
        <v>0</v>
      </c>
      <c r="Q4004" s="2" t="n">
        <v>10</v>
      </c>
      <c r="R4004" s="2" t="n">
        <v>2</v>
      </c>
      <c r="S4004" s="2" t="n">
        <v>6</v>
      </c>
      <c r="T4004" s="2" t="n">
        <v>3</v>
      </c>
      <c r="U4004" s="2" t="n">
        <v>3</v>
      </c>
      <c r="V4004" s="2" t="n">
        <v>3</v>
      </c>
      <c r="W4004" s="2" t="n">
        <v>3</v>
      </c>
      <c r="X4004" s="2" t="n">
        <v>2</v>
      </c>
      <c r="Y4004" s="2" t="n">
        <v>3</v>
      </c>
      <c r="Z4004" s="2" t="n">
        <v>3</v>
      </c>
    </row>
    <row r="4005" customFormat="false" ht="15" hidden="false" customHeight="true" outlineLevel="0" collapsed="false">
      <c r="A4005" s="2" t="n">
        <v>47</v>
      </c>
      <c r="B4005" s="2" t="s">
        <v>26</v>
      </c>
      <c r="C4005" s="2" t="s">
        <v>27</v>
      </c>
      <c r="D4005" s="2" t="s">
        <v>28</v>
      </c>
      <c r="E4005" s="2" t="n">
        <v>2</v>
      </c>
      <c r="F4005" s="2" t="n">
        <v>2</v>
      </c>
      <c r="G4005" s="2" t="s">
        <v>29</v>
      </c>
      <c r="H4005" s="2" t="n">
        <v>4004</v>
      </c>
      <c r="I4005" s="2" t="s">
        <v>30</v>
      </c>
      <c r="J4005" s="2" t="n">
        <v>5</v>
      </c>
      <c r="K4005" s="2" t="s">
        <v>49</v>
      </c>
      <c r="L4005" s="2" t="s">
        <v>37</v>
      </c>
      <c r="M4005" s="2" t="n">
        <v>31960</v>
      </c>
      <c r="N4005" s="2" t="n">
        <v>4</v>
      </c>
      <c r="O4005" s="2" t="n">
        <v>14</v>
      </c>
      <c r="P4005" s="2" t="n">
        <v>1</v>
      </c>
      <c r="Q4005" s="2" t="n">
        <v>7</v>
      </c>
      <c r="R4005" s="2" t="n">
        <v>3</v>
      </c>
      <c r="S4005" s="2" t="n">
        <v>2</v>
      </c>
      <c r="T4005" s="2" t="n">
        <v>2</v>
      </c>
      <c r="U4005" s="2" t="n">
        <v>0</v>
      </c>
      <c r="V4005" s="2" t="n">
        <v>2</v>
      </c>
      <c r="W4005" s="2" t="n">
        <v>3</v>
      </c>
      <c r="X4005" s="2" t="n">
        <v>3</v>
      </c>
      <c r="Y4005" s="2" t="n">
        <v>2</v>
      </c>
      <c r="Z4005" s="2" t="n">
        <v>3</v>
      </c>
    </row>
    <row r="4006" customFormat="false" ht="15" hidden="false" customHeight="true" outlineLevel="0" collapsed="false">
      <c r="A4006" s="2" t="n">
        <v>46</v>
      </c>
      <c r="B4006" s="2" t="s">
        <v>26</v>
      </c>
      <c r="C4006" s="2" t="s">
        <v>27</v>
      </c>
      <c r="D4006" s="2" t="s">
        <v>42</v>
      </c>
      <c r="E4006" s="2" t="n">
        <v>1</v>
      </c>
      <c r="F4006" s="2" t="n">
        <v>3</v>
      </c>
      <c r="G4006" s="2" t="s">
        <v>29</v>
      </c>
      <c r="H4006" s="2" t="n">
        <v>4005</v>
      </c>
      <c r="I4006" s="2" t="s">
        <v>30</v>
      </c>
      <c r="J4006" s="2" t="n">
        <v>1</v>
      </c>
      <c r="K4006" s="2" t="s">
        <v>45</v>
      </c>
      <c r="L4006" s="2" t="s">
        <v>46</v>
      </c>
      <c r="M4006" s="2" t="n">
        <v>190810</v>
      </c>
      <c r="N4006" s="2" t="n">
        <v>3</v>
      </c>
      <c r="O4006" s="2" t="n">
        <v>21</v>
      </c>
      <c r="P4006" s="2" t="n">
        <v>0</v>
      </c>
      <c r="Q4006" s="2" t="n">
        <v>12</v>
      </c>
      <c r="R4006" s="2" t="n">
        <v>2</v>
      </c>
      <c r="S4006" s="2" t="n">
        <v>9</v>
      </c>
      <c r="T4006" s="2" t="n">
        <v>4</v>
      </c>
      <c r="U4006" s="2" t="n">
        <v>7</v>
      </c>
      <c r="V4006" s="2" t="n">
        <v>4</v>
      </c>
      <c r="W4006" s="2" t="n">
        <v>4</v>
      </c>
      <c r="X4006" s="2" t="n">
        <v>2</v>
      </c>
      <c r="Y4006" s="2" t="n">
        <v>3</v>
      </c>
      <c r="Z4006" s="2" t="n">
        <v>4</v>
      </c>
    </row>
    <row r="4007" customFormat="false" ht="15" hidden="false" customHeight="true" outlineLevel="0" collapsed="false">
      <c r="A4007" s="2" t="n">
        <v>28</v>
      </c>
      <c r="B4007" s="2" t="s">
        <v>26</v>
      </c>
      <c r="C4007" s="2" t="s">
        <v>41</v>
      </c>
      <c r="D4007" s="2" t="s">
        <v>35</v>
      </c>
      <c r="E4007" s="2" t="n">
        <v>7</v>
      </c>
      <c r="F4007" s="2" t="n">
        <v>3</v>
      </c>
      <c r="G4007" s="2" t="s">
        <v>29</v>
      </c>
      <c r="H4007" s="2" t="n">
        <v>4006</v>
      </c>
      <c r="I4007" s="2" t="s">
        <v>39</v>
      </c>
      <c r="J4007" s="2" t="n">
        <v>1</v>
      </c>
      <c r="K4007" s="2" t="s">
        <v>40</v>
      </c>
      <c r="L4007" s="2" t="s">
        <v>46</v>
      </c>
      <c r="M4007" s="2" t="n">
        <v>89660</v>
      </c>
      <c r="N4007" s="2" t="n">
        <v>1</v>
      </c>
      <c r="O4007" s="2" t="n">
        <v>16</v>
      </c>
      <c r="P4007" s="2" t="n">
        <v>1</v>
      </c>
      <c r="Q4007" s="2" t="n">
        <v>3</v>
      </c>
      <c r="R4007" s="2" t="n">
        <v>3</v>
      </c>
      <c r="S4007" s="2" t="n">
        <v>3</v>
      </c>
      <c r="T4007" s="2" t="n">
        <v>2</v>
      </c>
      <c r="U4007" s="2" t="n">
        <v>2</v>
      </c>
      <c r="V4007" s="2" t="n">
        <v>3</v>
      </c>
      <c r="W4007" s="2" t="n">
        <v>4</v>
      </c>
      <c r="X4007" s="2" t="n">
        <v>3</v>
      </c>
      <c r="Y4007" s="2" t="n">
        <v>2</v>
      </c>
      <c r="Z4007" s="2" t="n">
        <v>3</v>
      </c>
    </row>
    <row r="4008" customFormat="false" ht="15" hidden="false" customHeight="true" outlineLevel="0" collapsed="false">
      <c r="A4008" s="2" t="n">
        <v>29</v>
      </c>
      <c r="B4008" s="2" t="s">
        <v>26</v>
      </c>
      <c r="C4008" s="2" t="s">
        <v>27</v>
      </c>
      <c r="D4008" s="2" t="s">
        <v>35</v>
      </c>
      <c r="E4008" s="2" t="n">
        <v>16</v>
      </c>
      <c r="F4008" s="2" t="n">
        <v>3</v>
      </c>
      <c r="G4008" s="2" t="s">
        <v>43</v>
      </c>
      <c r="H4008" s="2" t="n">
        <v>4007</v>
      </c>
      <c r="I4008" s="2" t="s">
        <v>30</v>
      </c>
      <c r="J4008" s="2" t="n">
        <v>1</v>
      </c>
      <c r="K4008" s="2" t="s">
        <v>47</v>
      </c>
      <c r="L4008" s="2" t="s">
        <v>46</v>
      </c>
      <c r="M4008" s="2" t="n">
        <v>22100</v>
      </c>
      <c r="N4008" s="2" t="n">
        <v>8</v>
      </c>
      <c r="O4008" s="2" t="n">
        <v>11</v>
      </c>
      <c r="P4008" s="2" t="n">
        <v>1</v>
      </c>
      <c r="Q4008" s="2" t="n">
        <v>11</v>
      </c>
      <c r="R4008" s="2" t="n">
        <v>4</v>
      </c>
      <c r="S4008" s="2" t="n">
        <v>7</v>
      </c>
      <c r="T4008" s="2" t="n">
        <v>1</v>
      </c>
      <c r="U4008" s="2" t="n">
        <v>6</v>
      </c>
      <c r="V4008" s="2" t="n">
        <v>4</v>
      </c>
      <c r="W4008" s="2" t="n">
        <v>3</v>
      </c>
      <c r="X4008" s="2" t="n">
        <v>3</v>
      </c>
      <c r="Y4008" s="2" t="n">
        <v>3</v>
      </c>
      <c r="Z4008" s="2" t="n">
        <v>3</v>
      </c>
    </row>
    <row r="4009" customFormat="false" ht="15" hidden="false" customHeight="true" outlineLevel="0" collapsed="false">
      <c r="A4009" s="2" t="n">
        <v>42</v>
      </c>
      <c r="B4009" s="2" t="s">
        <v>26</v>
      </c>
      <c r="C4009" s="2" t="s">
        <v>27</v>
      </c>
      <c r="D4009" s="2" t="s">
        <v>28</v>
      </c>
      <c r="E4009" s="2" t="n">
        <v>2</v>
      </c>
      <c r="F4009" s="2" t="n">
        <v>4</v>
      </c>
      <c r="G4009" s="2" t="s">
        <v>43</v>
      </c>
      <c r="H4009" s="2" t="n">
        <v>4008</v>
      </c>
      <c r="I4009" s="2" t="s">
        <v>30</v>
      </c>
      <c r="J4009" s="2" t="n">
        <v>2</v>
      </c>
      <c r="K4009" s="2" t="s">
        <v>44</v>
      </c>
      <c r="L4009" s="2" t="s">
        <v>37</v>
      </c>
      <c r="M4009" s="2" t="n">
        <v>45390</v>
      </c>
      <c r="N4009" s="2" t="n">
        <v>4</v>
      </c>
      <c r="O4009" s="2" t="n">
        <v>17</v>
      </c>
      <c r="P4009" s="2" t="n">
        <v>1</v>
      </c>
      <c r="Q4009" s="2" t="n">
        <v>8</v>
      </c>
      <c r="R4009" s="2" t="n">
        <v>5</v>
      </c>
      <c r="S4009" s="2" t="n">
        <v>0</v>
      </c>
      <c r="T4009" s="2" t="n">
        <v>0</v>
      </c>
      <c r="U4009" s="2" t="n">
        <v>0</v>
      </c>
      <c r="V4009" s="2" t="n">
        <v>4</v>
      </c>
      <c r="W4009" s="2" t="n">
        <v>3</v>
      </c>
      <c r="X4009" s="2" t="n">
        <v>3</v>
      </c>
      <c r="Y4009" s="2" t="n">
        <v>3</v>
      </c>
      <c r="Z4009" s="2" t="n">
        <v>3</v>
      </c>
    </row>
    <row r="4010" customFormat="false" ht="15" hidden="false" customHeight="true" outlineLevel="0" collapsed="false">
      <c r="A4010" s="2" t="n">
        <v>32</v>
      </c>
      <c r="B4010" s="2" t="s">
        <v>33</v>
      </c>
      <c r="C4010" s="2" t="s">
        <v>27</v>
      </c>
      <c r="D4010" s="2" t="s">
        <v>35</v>
      </c>
      <c r="E4010" s="2" t="n">
        <v>1</v>
      </c>
      <c r="F4010" s="2" t="n">
        <v>1</v>
      </c>
      <c r="G4010" s="2" t="s">
        <v>43</v>
      </c>
      <c r="H4010" s="2" t="n">
        <v>4009</v>
      </c>
      <c r="I4010" s="2" t="s">
        <v>39</v>
      </c>
      <c r="J4010" s="2" t="n">
        <v>2</v>
      </c>
      <c r="K4010" s="2" t="s">
        <v>45</v>
      </c>
      <c r="L4010" s="2" t="s">
        <v>37</v>
      </c>
      <c r="M4010" s="2" t="n">
        <v>27410</v>
      </c>
      <c r="N4010" s="2" t="n">
        <v>7</v>
      </c>
      <c r="O4010" s="2" t="n">
        <v>11</v>
      </c>
      <c r="P4010" s="2" t="n">
        <v>0</v>
      </c>
      <c r="Q4010" s="2" t="n">
        <v>7</v>
      </c>
      <c r="R4010" s="2" t="n">
        <v>3</v>
      </c>
      <c r="S4010" s="2" t="n">
        <v>2</v>
      </c>
      <c r="T4010" s="2" t="n">
        <v>2</v>
      </c>
      <c r="U4010" s="2" t="n">
        <v>2</v>
      </c>
      <c r="V4010" s="2" t="n">
        <v>3</v>
      </c>
      <c r="W4010" s="2" t="n">
        <v>2</v>
      </c>
      <c r="X4010" s="2" t="n">
        <v>2</v>
      </c>
      <c r="Y4010" s="2" t="n">
        <v>3</v>
      </c>
      <c r="Z4010" s="2" t="n">
        <v>3</v>
      </c>
    </row>
    <row r="4011" customFormat="false" ht="15" hidden="false" customHeight="true" outlineLevel="0" collapsed="false">
      <c r="A4011" s="2" t="n">
        <v>46</v>
      </c>
      <c r="B4011" s="2" t="s">
        <v>26</v>
      </c>
      <c r="C4011" s="2" t="s">
        <v>27</v>
      </c>
      <c r="D4011" s="2" t="s">
        <v>35</v>
      </c>
      <c r="E4011" s="2" t="n">
        <v>23</v>
      </c>
      <c r="F4011" s="2" t="n">
        <v>1</v>
      </c>
      <c r="G4011" s="2" t="s">
        <v>29</v>
      </c>
      <c r="H4011" s="2" t="n">
        <v>4010</v>
      </c>
      <c r="I4011" s="2" t="s">
        <v>39</v>
      </c>
      <c r="J4011" s="2" t="n">
        <v>2</v>
      </c>
      <c r="K4011" s="2" t="s">
        <v>45</v>
      </c>
      <c r="L4011" s="2" t="s">
        <v>46</v>
      </c>
      <c r="M4011" s="2" t="n">
        <v>34910</v>
      </c>
      <c r="N4011" s="2" t="n">
        <v>2</v>
      </c>
      <c r="O4011" s="2" t="n">
        <v>14</v>
      </c>
      <c r="P4011" s="2" t="n">
        <v>0</v>
      </c>
      <c r="Q4011" s="2" t="n">
        <v>25</v>
      </c>
      <c r="R4011" s="2" t="n">
        <v>0</v>
      </c>
      <c r="S4011" s="2" t="n">
        <v>19</v>
      </c>
      <c r="T4011" s="2" t="n">
        <v>2</v>
      </c>
      <c r="U4011" s="2" t="n">
        <v>8</v>
      </c>
      <c r="V4011" s="2" t="n">
        <v>1</v>
      </c>
      <c r="W4011" s="2" t="n">
        <v>1</v>
      </c>
      <c r="X4011" s="2" t="n">
        <v>3</v>
      </c>
      <c r="Y4011" s="2" t="n">
        <v>3</v>
      </c>
      <c r="Z4011" s="2" t="n">
        <v>3</v>
      </c>
    </row>
    <row r="4012" customFormat="false" ht="15" hidden="false" customHeight="true" outlineLevel="0" collapsed="false">
      <c r="A4012" s="2" t="n">
        <v>27</v>
      </c>
      <c r="B4012" s="2" t="s">
        <v>26</v>
      </c>
      <c r="C4012" s="2" t="s">
        <v>27</v>
      </c>
      <c r="D4012" s="2" t="s">
        <v>28</v>
      </c>
      <c r="E4012" s="2" t="n">
        <v>2</v>
      </c>
      <c r="F4012" s="2" t="n">
        <v>3</v>
      </c>
      <c r="G4012" s="2" t="s">
        <v>29</v>
      </c>
      <c r="H4012" s="2" t="n">
        <v>4011</v>
      </c>
      <c r="I4012" s="2" t="s">
        <v>30</v>
      </c>
      <c r="J4012" s="2" t="n">
        <v>5</v>
      </c>
      <c r="K4012" s="2" t="s">
        <v>36</v>
      </c>
      <c r="L4012" s="2" t="s">
        <v>32</v>
      </c>
      <c r="M4012" s="2" t="n">
        <v>45410</v>
      </c>
      <c r="N4012" s="2" t="n">
        <v>1</v>
      </c>
      <c r="O4012" s="2" t="n">
        <v>14</v>
      </c>
      <c r="P4012" s="2" t="n">
        <v>2</v>
      </c>
      <c r="Q4012" s="2" t="n">
        <v>9</v>
      </c>
      <c r="R4012" s="2" t="n">
        <v>4</v>
      </c>
      <c r="S4012" s="2" t="n">
        <v>9</v>
      </c>
      <c r="T4012" s="2" t="n">
        <v>5</v>
      </c>
      <c r="U4012" s="2" t="n">
        <v>8</v>
      </c>
      <c r="V4012" s="2" t="n">
        <v>2</v>
      </c>
      <c r="W4012" s="2" t="n">
        <v>3</v>
      </c>
      <c r="X4012" s="2" t="n">
        <v>3</v>
      </c>
      <c r="Y4012" s="2" t="n">
        <v>4</v>
      </c>
      <c r="Z4012" s="2" t="n">
        <v>3</v>
      </c>
    </row>
    <row r="4013" customFormat="false" ht="15" hidden="false" customHeight="true" outlineLevel="0" collapsed="false">
      <c r="A4013" s="2" t="n">
        <v>29</v>
      </c>
      <c r="B4013" s="2" t="s">
        <v>26</v>
      </c>
      <c r="C4013" s="2" t="s">
        <v>27</v>
      </c>
      <c r="D4013" s="2" t="s">
        <v>35</v>
      </c>
      <c r="E4013" s="2" t="n">
        <v>1</v>
      </c>
      <c r="F4013" s="2" t="n">
        <v>2</v>
      </c>
      <c r="G4013" s="2" t="s">
        <v>43</v>
      </c>
      <c r="H4013" s="2" t="n">
        <v>4012</v>
      </c>
      <c r="I4013" s="2" t="s">
        <v>39</v>
      </c>
      <c r="J4013" s="2" t="n">
        <v>3</v>
      </c>
      <c r="K4013" s="2" t="s">
        <v>40</v>
      </c>
      <c r="L4013" s="2" t="s">
        <v>32</v>
      </c>
      <c r="M4013" s="2" t="n">
        <v>26780</v>
      </c>
      <c r="N4013" s="2" t="n">
        <v>1</v>
      </c>
      <c r="O4013" s="2" t="n">
        <v>25</v>
      </c>
      <c r="P4013" s="2" t="n">
        <v>1</v>
      </c>
      <c r="Q4013" s="2" t="n">
        <v>1</v>
      </c>
      <c r="R4013" s="2" t="n">
        <v>3</v>
      </c>
      <c r="S4013" s="2" t="n">
        <v>1</v>
      </c>
      <c r="T4013" s="2" t="n">
        <v>0</v>
      </c>
      <c r="U4013" s="2" t="n">
        <v>0</v>
      </c>
      <c r="V4013" s="2" t="n">
        <v>4</v>
      </c>
      <c r="W4013" s="2" t="n">
        <v>2</v>
      </c>
      <c r="X4013" s="2" t="n">
        <v>3</v>
      </c>
      <c r="Y4013" s="2" t="n">
        <v>3</v>
      </c>
      <c r="Z4013" s="2" t="n">
        <v>4</v>
      </c>
    </row>
    <row r="4014" customFormat="false" ht="15" hidden="false" customHeight="true" outlineLevel="0" collapsed="false">
      <c r="A4014" s="2" t="n">
        <v>43</v>
      </c>
      <c r="B4014" s="2" t="s">
        <v>26</v>
      </c>
      <c r="C4014" s="2" t="s">
        <v>27</v>
      </c>
      <c r="D4014" s="2" t="s">
        <v>35</v>
      </c>
      <c r="E4014" s="2" t="n">
        <v>1</v>
      </c>
      <c r="F4014" s="2" t="n">
        <v>3</v>
      </c>
      <c r="G4014" s="2" t="s">
        <v>29</v>
      </c>
      <c r="H4014" s="2" t="n">
        <v>4013</v>
      </c>
      <c r="I4014" s="2" t="s">
        <v>39</v>
      </c>
      <c r="J4014" s="2" t="n">
        <v>1</v>
      </c>
      <c r="K4014" s="2" t="s">
        <v>47</v>
      </c>
      <c r="L4014" s="2" t="s">
        <v>32</v>
      </c>
      <c r="M4014" s="2" t="n">
        <v>73790</v>
      </c>
      <c r="N4014" s="2" t="n">
        <v>7</v>
      </c>
      <c r="O4014" s="2" t="n">
        <v>13</v>
      </c>
      <c r="P4014" s="2" t="n">
        <v>2</v>
      </c>
      <c r="Q4014" s="2" t="n">
        <v>21</v>
      </c>
      <c r="R4014" s="2" t="n">
        <v>3</v>
      </c>
      <c r="S4014" s="2" t="n">
        <v>16</v>
      </c>
      <c r="T4014" s="2" t="n">
        <v>6</v>
      </c>
      <c r="U4014" s="2" t="n">
        <v>14</v>
      </c>
      <c r="V4014" s="2" t="n">
        <v>1</v>
      </c>
      <c r="W4014" s="2" t="n">
        <v>3</v>
      </c>
      <c r="X4014" s="2" t="n">
        <v>3</v>
      </c>
      <c r="Y4014" s="2" t="n">
        <v>2</v>
      </c>
      <c r="Z4014" s="2" t="n">
        <v>3</v>
      </c>
    </row>
    <row r="4015" customFormat="false" ht="15" hidden="false" customHeight="true" outlineLevel="0" collapsed="false">
      <c r="A4015" s="2" t="n">
        <v>48</v>
      </c>
      <c r="B4015" s="2" t="s">
        <v>26</v>
      </c>
      <c r="C4015" s="2" t="s">
        <v>27</v>
      </c>
      <c r="D4015" s="2" t="s">
        <v>35</v>
      </c>
      <c r="E4015" s="2" t="n">
        <v>2</v>
      </c>
      <c r="F4015" s="2" t="n">
        <v>3</v>
      </c>
      <c r="G4015" s="2" t="s">
        <v>29</v>
      </c>
      <c r="H4015" s="2" t="n">
        <v>4014</v>
      </c>
      <c r="I4015" s="2" t="s">
        <v>30</v>
      </c>
      <c r="J4015" s="2" t="n">
        <v>2</v>
      </c>
      <c r="K4015" s="2" t="s">
        <v>49</v>
      </c>
      <c r="L4015" s="2" t="s">
        <v>32</v>
      </c>
      <c r="M4015" s="2" t="n">
        <v>62720</v>
      </c>
      <c r="N4015" s="2" t="n">
        <v>4</v>
      </c>
      <c r="O4015" s="2" t="n">
        <v>14</v>
      </c>
      <c r="P4015" s="2" t="n">
        <v>0</v>
      </c>
      <c r="Q4015" s="2" t="n">
        <v>29</v>
      </c>
      <c r="R4015" s="2" t="n">
        <v>3</v>
      </c>
      <c r="S4015" s="2" t="n">
        <v>22</v>
      </c>
      <c r="T4015" s="2" t="n">
        <v>12</v>
      </c>
      <c r="U4015" s="2" t="n">
        <v>9</v>
      </c>
      <c r="V4015" s="2" t="n">
        <v>4</v>
      </c>
      <c r="W4015" s="2" t="n">
        <v>2</v>
      </c>
      <c r="X4015" s="2" t="n">
        <v>3</v>
      </c>
      <c r="Y4015" s="2" t="n">
        <v>2</v>
      </c>
      <c r="Z4015" s="2" t="n">
        <v>3</v>
      </c>
    </row>
    <row r="4016" customFormat="false" ht="15" hidden="false" customHeight="true" outlineLevel="0" collapsed="false">
      <c r="A4016" s="2" t="n">
        <v>29</v>
      </c>
      <c r="B4016" s="2" t="s">
        <v>33</v>
      </c>
      <c r="C4016" s="2" t="s">
        <v>34</v>
      </c>
      <c r="D4016" s="2" t="s">
        <v>35</v>
      </c>
      <c r="E4016" s="2" t="n">
        <v>13</v>
      </c>
      <c r="F4016" s="2" t="n">
        <v>2</v>
      </c>
      <c r="G4016" s="2" t="s">
        <v>29</v>
      </c>
      <c r="H4016" s="2" t="n">
        <v>4015</v>
      </c>
      <c r="I4016" s="2" t="s">
        <v>30</v>
      </c>
      <c r="J4016" s="2" t="n">
        <v>1</v>
      </c>
      <c r="K4016" s="2" t="s">
        <v>45</v>
      </c>
      <c r="L4016" s="2" t="s">
        <v>37</v>
      </c>
      <c r="M4016" s="2" t="n">
        <v>52200</v>
      </c>
      <c r="N4016" s="2" t="n">
        <v>1</v>
      </c>
      <c r="O4016" s="2" t="n">
        <v>17</v>
      </c>
      <c r="P4016" s="2" t="n">
        <v>0</v>
      </c>
      <c r="Q4016" s="2" t="n">
        <v>1</v>
      </c>
      <c r="R4016" s="2" t="n">
        <v>3</v>
      </c>
      <c r="S4016" s="2" t="n">
        <v>1</v>
      </c>
      <c r="T4016" s="2" t="n">
        <v>1</v>
      </c>
      <c r="U4016" s="2" t="n">
        <v>0</v>
      </c>
      <c r="V4016" s="2" t="n">
        <v>4</v>
      </c>
      <c r="W4016" s="2" t="n">
        <v>4</v>
      </c>
      <c r="X4016" s="2" t="n">
        <v>2</v>
      </c>
      <c r="Y4016" s="2" t="n">
        <v>2</v>
      </c>
      <c r="Z4016" s="2" t="n">
        <v>3</v>
      </c>
    </row>
    <row r="4017" customFormat="false" ht="15" hidden="false" customHeight="true" outlineLevel="0" collapsed="false">
      <c r="A4017" s="2" t="n">
        <v>46</v>
      </c>
      <c r="B4017" s="2" t="s">
        <v>33</v>
      </c>
      <c r="C4017" s="2" t="s">
        <v>27</v>
      </c>
      <c r="D4017" s="2" t="s">
        <v>35</v>
      </c>
      <c r="E4017" s="2" t="n">
        <v>4</v>
      </c>
      <c r="F4017" s="2" t="n">
        <v>4</v>
      </c>
      <c r="G4017" s="2" t="s">
        <v>43</v>
      </c>
      <c r="H4017" s="2" t="n">
        <v>4016</v>
      </c>
      <c r="I4017" s="2" t="s">
        <v>30</v>
      </c>
      <c r="J4017" s="2" t="n">
        <v>2</v>
      </c>
      <c r="K4017" s="2" t="s">
        <v>48</v>
      </c>
      <c r="L4017" s="2" t="s">
        <v>32</v>
      </c>
      <c r="M4017" s="2" t="n">
        <v>27430</v>
      </c>
      <c r="N4017" s="2" t="n">
        <v>5</v>
      </c>
      <c r="O4017" s="2" t="n">
        <v>25</v>
      </c>
      <c r="P4017" s="2" t="n">
        <v>1</v>
      </c>
      <c r="Q4017" s="2" t="n">
        <v>14</v>
      </c>
      <c r="R4017" s="2" t="n">
        <v>1</v>
      </c>
      <c r="S4017" s="2" t="n">
        <v>8</v>
      </c>
      <c r="T4017" s="2" t="n">
        <v>0</v>
      </c>
      <c r="U4017" s="2" t="n">
        <v>7</v>
      </c>
      <c r="V4017" s="2" t="n">
        <v>3</v>
      </c>
      <c r="W4017" s="2" t="n">
        <v>2</v>
      </c>
      <c r="X4017" s="2" t="n">
        <v>3</v>
      </c>
      <c r="Y4017" s="2" t="n">
        <v>4</v>
      </c>
      <c r="Z4017" s="2" t="n">
        <v>4</v>
      </c>
    </row>
    <row r="4018" customFormat="false" ht="15" hidden="false" customHeight="true" outlineLevel="0" collapsed="false">
      <c r="A4018" s="2" t="n">
        <v>27</v>
      </c>
      <c r="B4018" s="2" t="s">
        <v>26</v>
      </c>
      <c r="C4018" s="2" t="s">
        <v>34</v>
      </c>
      <c r="D4018" s="2" t="s">
        <v>35</v>
      </c>
      <c r="E4018" s="2" t="n">
        <v>16</v>
      </c>
      <c r="F4018" s="2" t="n">
        <v>4</v>
      </c>
      <c r="G4018" s="2" t="s">
        <v>43</v>
      </c>
      <c r="H4018" s="2" t="n">
        <v>4017</v>
      </c>
      <c r="I4018" s="2" t="s">
        <v>39</v>
      </c>
      <c r="J4018" s="2" t="n">
        <v>3</v>
      </c>
      <c r="K4018" s="2" t="s">
        <v>31</v>
      </c>
      <c r="L4018" s="2" t="s">
        <v>32</v>
      </c>
      <c r="M4018" s="2" t="n">
        <v>49980</v>
      </c>
      <c r="N4018" s="2" t="n">
        <v>0</v>
      </c>
      <c r="O4018" s="2" t="n">
        <v>20</v>
      </c>
      <c r="P4018" s="2" t="n">
        <v>2</v>
      </c>
      <c r="Q4018" s="2" t="n">
        <v>8</v>
      </c>
      <c r="R4018" s="2" t="n">
        <v>3</v>
      </c>
      <c r="S4018" s="2" t="n">
        <v>7</v>
      </c>
      <c r="T4018" s="2" t="n">
        <v>7</v>
      </c>
      <c r="U4018" s="2" t="n">
        <v>3</v>
      </c>
      <c r="V4018" s="2" t="n">
        <v>4</v>
      </c>
      <c r="W4018" s="2" t="n">
        <v>1</v>
      </c>
      <c r="X4018" s="2" t="n">
        <v>2</v>
      </c>
      <c r="Y4018" s="2" t="n">
        <v>3</v>
      </c>
      <c r="Z4018" s="2" t="n">
        <v>4</v>
      </c>
    </row>
    <row r="4019" customFormat="false" ht="15" hidden="false" customHeight="true" outlineLevel="0" collapsed="false">
      <c r="A4019" s="2" t="n">
        <v>39</v>
      </c>
      <c r="B4019" s="2" t="s">
        <v>26</v>
      </c>
      <c r="C4019" s="2" t="s">
        <v>27</v>
      </c>
      <c r="D4019" s="2" t="s">
        <v>35</v>
      </c>
      <c r="E4019" s="2" t="n">
        <v>2</v>
      </c>
      <c r="F4019" s="2" t="n">
        <v>3</v>
      </c>
      <c r="G4019" s="2" t="s">
        <v>51</v>
      </c>
      <c r="H4019" s="2" t="n">
        <v>4018</v>
      </c>
      <c r="I4019" s="2" t="s">
        <v>39</v>
      </c>
      <c r="J4019" s="2" t="n">
        <v>3</v>
      </c>
      <c r="K4019" s="2" t="s">
        <v>31</v>
      </c>
      <c r="L4019" s="2" t="s">
        <v>46</v>
      </c>
      <c r="M4019" s="2" t="n">
        <v>102520</v>
      </c>
      <c r="N4019" s="2" t="n">
        <v>8</v>
      </c>
      <c r="O4019" s="2" t="n">
        <v>13</v>
      </c>
      <c r="P4019" s="2" t="n">
        <v>1</v>
      </c>
      <c r="Q4019" s="2" t="n">
        <v>7</v>
      </c>
      <c r="R4019" s="2" t="n">
        <v>3</v>
      </c>
      <c r="S4019" s="2" t="n">
        <v>2</v>
      </c>
      <c r="T4019" s="2" t="n">
        <v>2</v>
      </c>
      <c r="U4019" s="2" t="n">
        <v>2</v>
      </c>
      <c r="V4019" s="2" t="n">
        <v>4</v>
      </c>
      <c r="W4019" s="2" t="n">
        <v>4</v>
      </c>
      <c r="X4019" s="2" t="n">
        <v>3</v>
      </c>
      <c r="Y4019" s="2" t="n">
        <v>3</v>
      </c>
      <c r="Z4019" s="2" t="n">
        <v>3</v>
      </c>
    </row>
    <row r="4020" customFormat="false" ht="15" hidden="false" customHeight="true" outlineLevel="0" collapsed="false">
      <c r="A4020" s="2" t="n">
        <v>55</v>
      </c>
      <c r="B4020" s="2" t="s">
        <v>26</v>
      </c>
      <c r="C4020" s="2" t="s">
        <v>27</v>
      </c>
      <c r="D4020" s="2" t="s">
        <v>35</v>
      </c>
      <c r="E4020" s="2" t="n">
        <v>2</v>
      </c>
      <c r="F4020" s="2" t="n">
        <v>3</v>
      </c>
      <c r="G4020" s="2" t="s">
        <v>29</v>
      </c>
      <c r="H4020" s="2" t="n">
        <v>4019</v>
      </c>
      <c r="I4020" s="2" t="s">
        <v>30</v>
      </c>
      <c r="J4020" s="2" t="n">
        <v>1</v>
      </c>
      <c r="K4020" s="2" t="s">
        <v>42</v>
      </c>
      <c r="L4020" s="2" t="s">
        <v>32</v>
      </c>
      <c r="M4020" s="2" t="n">
        <v>27810</v>
      </c>
      <c r="N4020" s="2" t="n">
        <v>8</v>
      </c>
      <c r="O4020" s="2" t="n">
        <v>13</v>
      </c>
      <c r="P4020" s="2" t="n">
        <v>1</v>
      </c>
      <c r="Q4020" s="2" t="n">
        <v>19</v>
      </c>
      <c r="R4020" s="2" t="n">
        <v>2</v>
      </c>
      <c r="S4020" s="2" t="n">
        <v>5</v>
      </c>
      <c r="T4020" s="2" t="n">
        <v>0</v>
      </c>
      <c r="U4020" s="2" t="n">
        <v>4</v>
      </c>
      <c r="V4020" s="2" t="n">
        <v>2</v>
      </c>
      <c r="W4020" s="2" t="n">
        <v>4</v>
      </c>
      <c r="X4020" s="2" t="n">
        <v>4</v>
      </c>
      <c r="Y4020" s="2" t="n">
        <v>3</v>
      </c>
      <c r="Z4020" s="2" t="n">
        <v>3</v>
      </c>
    </row>
    <row r="4021" customFormat="false" ht="15" hidden="false" customHeight="true" outlineLevel="0" collapsed="false">
      <c r="A4021" s="2" t="n">
        <v>28</v>
      </c>
      <c r="B4021" s="2" t="s">
        <v>26</v>
      </c>
      <c r="C4021" s="2" t="s">
        <v>27</v>
      </c>
      <c r="D4021" s="2" t="s">
        <v>35</v>
      </c>
      <c r="E4021" s="2" t="n">
        <v>29</v>
      </c>
      <c r="F4021" s="2" t="n">
        <v>2</v>
      </c>
      <c r="G4021" s="2" t="s">
        <v>29</v>
      </c>
      <c r="H4021" s="2" t="n">
        <v>4020</v>
      </c>
      <c r="I4021" s="2" t="s">
        <v>39</v>
      </c>
      <c r="J4021" s="2" t="n">
        <v>2</v>
      </c>
      <c r="K4021" s="2" t="s">
        <v>45</v>
      </c>
      <c r="L4021" s="2" t="s">
        <v>32</v>
      </c>
      <c r="M4021" s="2" t="n">
        <v>68520</v>
      </c>
      <c r="N4021" s="2" t="n">
        <v>1</v>
      </c>
      <c r="O4021" s="2" t="n">
        <v>18</v>
      </c>
      <c r="P4021" s="2" t="n">
        <v>1</v>
      </c>
      <c r="Q4021" s="2" t="n">
        <v>1</v>
      </c>
      <c r="R4021" s="2" t="n">
        <v>2</v>
      </c>
      <c r="S4021" s="2" t="n">
        <v>1</v>
      </c>
      <c r="T4021" s="2" t="n">
        <v>0</v>
      </c>
      <c r="U4021" s="2" t="n">
        <v>0</v>
      </c>
      <c r="V4021" s="2" t="n">
        <v>2</v>
      </c>
      <c r="W4021" s="2" t="n">
        <v>2</v>
      </c>
      <c r="X4021" s="2" t="n">
        <v>3</v>
      </c>
      <c r="Y4021" s="2" t="n">
        <v>4</v>
      </c>
      <c r="Z4021" s="2" t="n">
        <v>3</v>
      </c>
    </row>
    <row r="4022" customFormat="false" ht="15" hidden="false" customHeight="true" outlineLevel="0" collapsed="false">
      <c r="A4022" s="2" t="n">
        <v>30</v>
      </c>
      <c r="B4022" s="2" t="s">
        <v>33</v>
      </c>
      <c r="C4022" s="2" t="s">
        <v>27</v>
      </c>
      <c r="D4022" s="2" t="s">
        <v>28</v>
      </c>
      <c r="E4022" s="2" t="n">
        <v>12</v>
      </c>
      <c r="F4022" s="2" t="n">
        <v>4</v>
      </c>
      <c r="G4022" s="2" t="s">
        <v>29</v>
      </c>
      <c r="H4022" s="2" t="n">
        <v>4021</v>
      </c>
      <c r="I4022" s="2" t="s">
        <v>30</v>
      </c>
      <c r="J4022" s="2" t="n">
        <v>2</v>
      </c>
      <c r="K4022" s="2" t="s">
        <v>40</v>
      </c>
      <c r="L4022" s="2" t="s">
        <v>37</v>
      </c>
      <c r="M4022" s="2" t="n">
        <v>49500</v>
      </c>
      <c r="N4022" s="2" t="n">
        <v>1</v>
      </c>
      <c r="O4022" s="2" t="n">
        <v>12</v>
      </c>
      <c r="P4022" s="2" t="n">
        <v>2</v>
      </c>
      <c r="Q4022" s="2" t="n">
        <v>1</v>
      </c>
      <c r="R4022" s="2" t="n">
        <v>3</v>
      </c>
      <c r="S4022" s="2" t="n">
        <v>1</v>
      </c>
      <c r="T4022" s="2" t="n">
        <v>0</v>
      </c>
      <c r="U4022" s="2" t="n">
        <v>0</v>
      </c>
      <c r="V4022" s="2" t="n">
        <v>2</v>
      </c>
      <c r="W4022" s="2" t="n">
        <v>4</v>
      </c>
      <c r="X4022" s="2" t="n">
        <v>2</v>
      </c>
      <c r="Y4022" s="2" t="n">
        <v>3</v>
      </c>
      <c r="Z4022" s="2" t="n">
        <v>3</v>
      </c>
    </row>
    <row r="4023" customFormat="false" ht="15" hidden="false" customHeight="true" outlineLevel="0" collapsed="false">
      <c r="A4023" s="2" t="n">
        <v>22</v>
      </c>
      <c r="B4023" s="2" t="s">
        <v>33</v>
      </c>
      <c r="C4023" s="2" t="s">
        <v>27</v>
      </c>
      <c r="D4023" s="2" t="s">
        <v>35</v>
      </c>
      <c r="E4023" s="2" t="n">
        <v>16</v>
      </c>
      <c r="F4023" s="2" t="n">
        <v>2</v>
      </c>
      <c r="G4023" s="2" t="s">
        <v>29</v>
      </c>
      <c r="H4023" s="2" t="n">
        <v>4022</v>
      </c>
      <c r="I4023" s="2" t="s">
        <v>30</v>
      </c>
      <c r="J4023" s="2" t="n">
        <v>2</v>
      </c>
      <c r="K4023" s="2" t="s">
        <v>45</v>
      </c>
      <c r="L4023" s="2" t="s">
        <v>37</v>
      </c>
      <c r="M4023" s="2" t="n">
        <v>35790</v>
      </c>
      <c r="N4023" s="2" t="n">
        <v>1</v>
      </c>
      <c r="O4023" s="2" t="n">
        <v>19</v>
      </c>
      <c r="P4023" s="2" t="n">
        <v>3</v>
      </c>
      <c r="Q4023" s="2" t="n">
        <v>1</v>
      </c>
      <c r="R4023" s="2" t="n">
        <v>3</v>
      </c>
      <c r="S4023" s="2" t="n">
        <v>1</v>
      </c>
      <c r="T4023" s="2" t="n">
        <v>0</v>
      </c>
      <c r="U4023" s="2" t="n">
        <v>0</v>
      </c>
      <c r="V4023" s="2" t="n">
        <v>4</v>
      </c>
      <c r="W4023" s="2" t="n">
        <v>2</v>
      </c>
      <c r="X4023" s="2" t="n">
        <v>3</v>
      </c>
      <c r="Y4023" s="2" t="n">
        <v>3</v>
      </c>
      <c r="Z4023" s="2" t="n">
        <v>3</v>
      </c>
    </row>
    <row r="4024" customFormat="false" ht="15" hidden="false" customHeight="true" outlineLevel="0" collapsed="false">
      <c r="A4024" s="2" t="n">
        <v>36</v>
      </c>
      <c r="B4024" s="2" t="s">
        <v>26</v>
      </c>
      <c r="C4024" s="2" t="s">
        <v>27</v>
      </c>
      <c r="D4024" s="2" t="s">
        <v>35</v>
      </c>
      <c r="E4024" s="2" t="n">
        <v>11</v>
      </c>
      <c r="F4024" s="2" t="n">
        <v>3</v>
      </c>
      <c r="G4024" s="2" t="s">
        <v>29</v>
      </c>
      <c r="H4024" s="2" t="n">
        <v>4023</v>
      </c>
      <c r="I4024" s="2" t="s">
        <v>39</v>
      </c>
      <c r="J4024" s="2" t="n">
        <v>1</v>
      </c>
      <c r="K4024" s="2" t="s">
        <v>40</v>
      </c>
      <c r="L4024" s="2" t="s">
        <v>32</v>
      </c>
      <c r="M4024" s="2" t="n">
        <v>131910</v>
      </c>
      <c r="N4024" s="2" t="n">
        <v>1</v>
      </c>
      <c r="O4024" s="2" t="n">
        <v>14</v>
      </c>
      <c r="P4024" s="2" t="n">
        <v>1</v>
      </c>
      <c r="Q4024" s="2" t="n">
        <v>10</v>
      </c>
      <c r="R4024" s="2" t="n">
        <v>2</v>
      </c>
      <c r="S4024" s="2" t="n">
        <v>10</v>
      </c>
      <c r="T4024" s="2" t="n">
        <v>1</v>
      </c>
      <c r="U4024" s="2" t="n">
        <v>7</v>
      </c>
      <c r="V4024" s="2" t="n">
        <v>2</v>
      </c>
      <c r="W4024" s="2" t="n">
        <v>3</v>
      </c>
      <c r="X4024" s="2" t="n">
        <v>3</v>
      </c>
      <c r="Y4024" s="2" t="n">
        <v>2</v>
      </c>
      <c r="Z4024" s="2" t="n">
        <v>3</v>
      </c>
    </row>
    <row r="4025" customFormat="false" ht="15" hidden="false" customHeight="true" outlineLevel="0" collapsed="false">
      <c r="A4025" s="2" t="n">
        <v>31</v>
      </c>
      <c r="B4025" s="2" t="s">
        <v>26</v>
      </c>
      <c r="C4025" s="2" t="s">
        <v>27</v>
      </c>
      <c r="D4025" s="2" t="s">
        <v>35</v>
      </c>
      <c r="E4025" s="2" t="n">
        <v>2</v>
      </c>
      <c r="F4025" s="2" t="n">
        <v>4</v>
      </c>
      <c r="G4025" s="2" t="s">
        <v>29</v>
      </c>
      <c r="H4025" s="2" t="n">
        <v>4024</v>
      </c>
      <c r="I4025" s="2" t="s">
        <v>30</v>
      </c>
      <c r="J4025" s="2" t="n">
        <v>5</v>
      </c>
      <c r="K4025" s="2" t="s">
        <v>49</v>
      </c>
      <c r="L4025" s="2" t="s">
        <v>46</v>
      </c>
      <c r="M4025" s="2" t="n">
        <v>103770</v>
      </c>
      <c r="N4025" s="2" t="n">
        <v>1</v>
      </c>
      <c r="O4025" s="2" t="n">
        <v>14</v>
      </c>
      <c r="P4025" s="2" t="n">
        <v>0</v>
      </c>
      <c r="Q4025" s="2" t="n">
        <v>10</v>
      </c>
      <c r="R4025" s="2" t="n">
        <v>2</v>
      </c>
      <c r="S4025" s="2" t="n">
        <v>10</v>
      </c>
      <c r="T4025" s="2" t="n">
        <v>0</v>
      </c>
      <c r="U4025" s="2" t="n">
        <v>2</v>
      </c>
      <c r="V4025" s="2" t="n">
        <v>2</v>
      </c>
      <c r="W4025" s="2" t="n">
        <v>3</v>
      </c>
      <c r="X4025" s="2" t="n">
        <v>3</v>
      </c>
      <c r="Y4025" s="2" t="n">
        <v>3</v>
      </c>
      <c r="Z4025" s="2" t="n">
        <v>3</v>
      </c>
    </row>
    <row r="4026" customFormat="false" ht="15" hidden="false" customHeight="true" outlineLevel="0" collapsed="false">
      <c r="A4026" s="2" t="n">
        <v>34</v>
      </c>
      <c r="B4026" s="2" t="s">
        <v>26</v>
      </c>
      <c r="C4026" s="2" t="s">
        <v>27</v>
      </c>
      <c r="D4026" s="2" t="s">
        <v>28</v>
      </c>
      <c r="E4026" s="2" t="n">
        <v>14</v>
      </c>
      <c r="F4026" s="2" t="n">
        <v>2</v>
      </c>
      <c r="G4026" s="2" t="s">
        <v>51</v>
      </c>
      <c r="H4026" s="2" t="n">
        <v>4025</v>
      </c>
      <c r="I4026" s="2" t="s">
        <v>30</v>
      </c>
      <c r="J4026" s="2" t="n">
        <v>1</v>
      </c>
      <c r="K4026" s="2" t="s">
        <v>40</v>
      </c>
      <c r="L4026" s="2" t="s">
        <v>32</v>
      </c>
      <c r="M4026" s="2" t="n">
        <v>22350</v>
      </c>
      <c r="N4026" s="2" t="n">
        <v>2</v>
      </c>
      <c r="O4026" s="2" t="n">
        <v>14</v>
      </c>
      <c r="P4026" s="2" t="n">
        <v>1</v>
      </c>
      <c r="Q4026" s="2" t="n">
        <v>9</v>
      </c>
      <c r="R4026" s="2" t="n">
        <v>2</v>
      </c>
      <c r="S4026" s="2" t="n">
        <v>5</v>
      </c>
      <c r="T4026" s="2" t="n">
        <v>1</v>
      </c>
      <c r="U4026" s="2" t="n">
        <v>0</v>
      </c>
      <c r="V4026" s="2" t="n">
        <v>3</v>
      </c>
      <c r="W4026" s="2" t="n">
        <v>4</v>
      </c>
      <c r="X4026" s="2" t="n">
        <v>3</v>
      </c>
      <c r="Y4026" s="2" t="n">
        <v>3</v>
      </c>
      <c r="Z4026" s="2" t="n">
        <v>3</v>
      </c>
    </row>
    <row r="4027" customFormat="false" ht="15" hidden="false" customHeight="true" outlineLevel="0" collapsed="false">
      <c r="A4027" s="2" t="n">
        <v>29</v>
      </c>
      <c r="B4027" s="2" t="s">
        <v>26</v>
      </c>
      <c r="C4027" s="2" t="s">
        <v>27</v>
      </c>
      <c r="D4027" s="2" t="s">
        <v>35</v>
      </c>
      <c r="E4027" s="2" t="n">
        <v>5</v>
      </c>
      <c r="F4027" s="2" t="n">
        <v>5</v>
      </c>
      <c r="G4027" s="2" t="s">
        <v>29</v>
      </c>
      <c r="H4027" s="2" t="n">
        <v>4026</v>
      </c>
      <c r="I4027" s="2" t="s">
        <v>30</v>
      </c>
      <c r="J4027" s="2" t="n">
        <v>1</v>
      </c>
      <c r="K4027" s="2" t="s">
        <v>40</v>
      </c>
      <c r="L4027" s="2" t="s">
        <v>37</v>
      </c>
      <c r="M4027" s="2" t="n">
        <v>105020</v>
      </c>
      <c r="N4027" s="2" t="n">
        <v>3</v>
      </c>
      <c r="O4027" s="2" t="n">
        <v>12</v>
      </c>
      <c r="P4027" s="2" t="n">
        <v>0</v>
      </c>
      <c r="Q4027" s="2" t="n">
        <v>11</v>
      </c>
      <c r="R4027" s="2" t="n">
        <v>4</v>
      </c>
      <c r="S4027" s="2" t="n">
        <v>3</v>
      </c>
      <c r="T4027" s="2" t="n">
        <v>1</v>
      </c>
      <c r="U4027" s="2" t="n">
        <v>2</v>
      </c>
      <c r="V4027" s="2" t="n">
        <v>4</v>
      </c>
      <c r="W4027" s="2" t="n">
        <v>1</v>
      </c>
      <c r="X4027" s="2" t="n">
        <v>3</v>
      </c>
      <c r="Y4027" s="2" t="n">
        <v>2</v>
      </c>
      <c r="Z4027" s="2" t="n">
        <v>3</v>
      </c>
    </row>
    <row r="4028" customFormat="false" ht="15" hidden="false" customHeight="true" outlineLevel="0" collapsed="false">
      <c r="A4028" s="2" t="n">
        <v>37</v>
      </c>
      <c r="B4028" s="2" t="s">
        <v>26</v>
      </c>
      <c r="C4028" s="2" t="s">
        <v>27</v>
      </c>
      <c r="D4028" s="2" t="s">
        <v>35</v>
      </c>
      <c r="E4028" s="2" t="n">
        <v>7</v>
      </c>
      <c r="F4028" s="2" t="n">
        <v>2</v>
      </c>
      <c r="G4028" s="2" t="s">
        <v>43</v>
      </c>
      <c r="H4028" s="2" t="n">
        <v>4027</v>
      </c>
      <c r="I4028" s="2" t="s">
        <v>39</v>
      </c>
      <c r="J4028" s="2" t="n">
        <v>1</v>
      </c>
      <c r="K4028" s="2" t="s">
        <v>47</v>
      </c>
      <c r="L4028" s="2" t="s">
        <v>32</v>
      </c>
      <c r="M4028" s="2" t="n">
        <v>20110</v>
      </c>
      <c r="N4028" s="2" t="n">
        <v>5</v>
      </c>
      <c r="O4028" s="2" t="n">
        <v>13</v>
      </c>
      <c r="P4028" s="2" t="n">
        <v>0</v>
      </c>
      <c r="Q4028" s="2" t="n">
        <v>16</v>
      </c>
      <c r="R4028" s="2" t="n">
        <v>4</v>
      </c>
      <c r="S4028" s="2" t="n">
        <v>5</v>
      </c>
      <c r="T4028" s="2" t="n">
        <v>0</v>
      </c>
      <c r="U4028" s="2" t="n">
        <v>4</v>
      </c>
      <c r="V4028" s="2" t="n">
        <v>4</v>
      </c>
      <c r="W4028" s="2" t="n">
        <v>1</v>
      </c>
      <c r="X4028" s="2" t="n">
        <v>3</v>
      </c>
      <c r="Y4028" s="2" t="n">
        <v>4</v>
      </c>
      <c r="Z4028" s="2" t="n">
        <v>3</v>
      </c>
    </row>
    <row r="4029" customFormat="false" ht="15" hidden="false" customHeight="true" outlineLevel="0" collapsed="false">
      <c r="A4029" s="2" t="n">
        <v>35</v>
      </c>
      <c r="B4029" s="2" t="s">
        <v>26</v>
      </c>
      <c r="C4029" s="2" t="s">
        <v>27</v>
      </c>
      <c r="D4029" s="2" t="s">
        <v>28</v>
      </c>
      <c r="E4029" s="2" t="n">
        <v>2</v>
      </c>
      <c r="F4029" s="2" t="n">
        <v>1</v>
      </c>
      <c r="G4029" s="2" t="s">
        <v>51</v>
      </c>
      <c r="H4029" s="2" t="n">
        <v>4028</v>
      </c>
      <c r="I4029" s="2" t="s">
        <v>39</v>
      </c>
      <c r="J4029" s="2" t="n">
        <v>2</v>
      </c>
      <c r="K4029" s="2" t="s">
        <v>45</v>
      </c>
      <c r="L4029" s="2" t="s">
        <v>32</v>
      </c>
      <c r="M4029" s="2" t="n">
        <v>18590</v>
      </c>
      <c r="N4029" s="2" t="n">
        <v>0</v>
      </c>
      <c r="O4029" s="2" t="n">
        <v>25</v>
      </c>
      <c r="P4029" s="2" t="n">
        <v>1</v>
      </c>
      <c r="Q4029" s="2" t="n">
        <v>4</v>
      </c>
      <c r="R4029" s="2" t="n">
        <v>2</v>
      </c>
      <c r="S4029" s="2" t="n">
        <v>3</v>
      </c>
      <c r="T4029" s="2" t="n">
        <v>0</v>
      </c>
      <c r="U4029" s="2" t="n">
        <v>2</v>
      </c>
      <c r="V4029" s="2" t="n">
        <v>4</v>
      </c>
      <c r="W4029" s="2" t="n">
        <v>2</v>
      </c>
      <c r="X4029" s="2" t="n">
        <v>3</v>
      </c>
      <c r="Y4029" s="2" t="n">
        <v>2</v>
      </c>
      <c r="Z4029" s="2" t="n">
        <v>4</v>
      </c>
    </row>
    <row r="4030" customFormat="false" ht="15" hidden="false" customHeight="true" outlineLevel="0" collapsed="false">
      <c r="A4030" s="2" t="n">
        <v>45</v>
      </c>
      <c r="B4030" s="2" t="s">
        <v>26</v>
      </c>
      <c r="C4030" s="2" t="s">
        <v>27</v>
      </c>
      <c r="D4030" s="2" t="s">
        <v>35</v>
      </c>
      <c r="E4030" s="2" t="n">
        <v>3</v>
      </c>
      <c r="F4030" s="2" t="n">
        <v>3</v>
      </c>
      <c r="G4030" s="2" t="s">
        <v>43</v>
      </c>
      <c r="H4030" s="2" t="n">
        <v>4029</v>
      </c>
      <c r="I4030" s="2" t="s">
        <v>30</v>
      </c>
      <c r="J4030" s="2" t="n">
        <v>2</v>
      </c>
      <c r="K4030" s="2" t="s">
        <v>40</v>
      </c>
      <c r="L4030" s="2" t="s">
        <v>32</v>
      </c>
      <c r="M4030" s="2" t="n">
        <v>37600</v>
      </c>
      <c r="N4030" s="2" t="n">
        <v>0</v>
      </c>
      <c r="O4030" s="2" t="n">
        <v>14</v>
      </c>
      <c r="P4030" s="2" t="n">
        <v>1</v>
      </c>
      <c r="Q4030" s="2" t="n">
        <v>10</v>
      </c>
      <c r="R4030" s="2" t="n">
        <v>2</v>
      </c>
      <c r="S4030" s="2" t="n">
        <v>9</v>
      </c>
      <c r="T4030" s="2" t="n">
        <v>3</v>
      </c>
      <c r="U4030" s="2" t="n">
        <v>8</v>
      </c>
      <c r="V4030" s="2" t="n">
        <v>2</v>
      </c>
      <c r="W4030" s="2" t="n">
        <v>4</v>
      </c>
      <c r="X4030" s="2" t="n">
        <v>2</v>
      </c>
      <c r="Y4030" s="2" t="n">
        <v>2</v>
      </c>
      <c r="Z4030" s="2" t="n">
        <v>3</v>
      </c>
    </row>
    <row r="4031" customFormat="false" ht="15" hidden="false" customHeight="true" outlineLevel="0" collapsed="false">
      <c r="A4031" s="2" t="n">
        <v>36</v>
      </c>
      <c r="B4031" s="2" t="s">
        <v>26</v>
      </c>
      <c r="C4031" s="2" t="s">
        <v>34</v>
      </c>
      <c r="D4031" s="2" t="s">
        <v>35</v>
      </c>
      <c r="E4031" s="2" t="n">
        <v>5</v>
      </c>
      <c r="F4031" s="2" t="n">
        <v>3</v>
      </c>
      <c r="G4031" s="2" t="s">
        <v>43</v>
      </c>
      <c r="H4031" s="2" t="n">
        <v>4030</v>
      </c>
      <c r="I4031" s="2" t="s">
        <v>30</v>
      </c>
      <c r="J4031" s="2" t="n">
        <v>4</v>
      </c>
      <c r="K4031" s="2" t="s">
        <v>47</v>
      </c>
      <c r="L4031" s="2" t="s">
        <v>37</v>
      </c>
      <c r="M4031" s="2" t="n">
        <v>177790</v>
      </c>
      <c r="N4031" s="2" t="n">
        <v>1</v>
      </c>
      <c r="O4031" s="2" t="n">
        <v>17</v>
      </c>
      <c r="P4031" s="2" t="n">
        <v>1</v>
      </c>
      <c r="Q4031" s="2" t="n">
        <v>10</v>
      </c>
      <c r="R4031" s="2" t="n">
        <v>5</v>
      </c>
      <c r="S4031" s="2" t="n">
        <v>10</v>
      </c>
      <c r="T4031" s="2" t="n">
        <v>0</v>
      </c>
      <c r="U4031" s="2" t="n">
        <v>8</v>
      </c>
      <c r="V4031" s="2" t="n">
        <v>2</v>
      </c>
      <c r="W4031" s="2" t="n">
        <v>4</v>
      </c>
      <c r="X4031" s="2" t="n">
        <v>2</v>
      </c>
      <c r="Y4031" s="2" t="n">
        <v>1</v>
      </c>
      <c r="Z4031" s="2" t="n">
        <v>3</v>
      </c>
    </row>
    <row r="4032" customFormat="false" ht="15" hidden="false" customHeight="true" outlineLevel="0" collapsed="false">
      <c r="A4032" s="2" t="n">
        <v>40</v>
      </c>
      <c r="B4032" s="2" t="s">
        <v>26</v>
      </c>
      <c r="C4032" s="2" t="s">
        <v>27</v>
      </c>
      <c r="D4032" s="2" t="s">
        <v>35</v>
      </c>
      <c r="E4032" s="2" t="n">
        <v>3</v>
      </c>
      <c r="F4032" s="2" t="n">
        <v>3</v>
      </c>
      <c r="G4032" s="2" t="s">
        <v>38</v>
      </c>
      <c r="H4032" s="2" t="n">
        <v>4031</v>
      </c>
      <c r="I4032" s="2" t="s">
        <v>39</v>
      </c>
      <c r="J4032" s="2" t="n">
        <v>1</v>
      </c>
      <c r="K4032" s="2" t="s">
        <v>40</v>
      </c>
      <c r="L4032" s="2" t="s">
        <v>46</v>
      </c>
      <c r="M4032" s="2" t="n">
        <v>68330</v>
      </c>
      <c r="N4032" s="2" t="n">
        <v>2</v>
      </c>
      <c r="O4032" s="2" t="n">
        <v>13</v>
      </c>
      <c r="P4032" s="2" t="n">
        <v>0</v>
      </c>
      <c r="Q4032" s="2" t="n">
        <v>22</v>
      </c>
      <c r="R4032" s="2" t="n">
        <v>3</v>
      </c>
      <c r="S4032" s="2" t="n">
        <v>19</v>
      </c>
      <c r="T4032" s="2" t="n">
        <v>11</v>
      </c>
      <c r="U4032" s="2" t="n">
        <v>16</v>
      </c>
      <c r="V4032" s="2" t="n">
        <v>1</v>
      </c>
      <c r="W4032" s="2"/>
      <c r="X4032" s="2" t="n">
        <v>3</v>
      </c>
      <c r="Y4032" s="2" t="n">
        <v>3</v>
      </c>
      <c r="Z4032" s="2" t="n">
        <v>3</v>
      </c>
    </row>
    <row r="4033" customFormat="false" ht="15" hidden="false" customHeight="true" outlineLevel="0" collapsed="false">
      <c r="A4033" s="2" t="n">
        <v>26</v>
      </c>
      <c r="B4033" s="2" t="s">
        <v>26</v>
      </c>
      <c r="C4033" s="2" t="s">
        <v>27</v>
      </c>
      <c r="D4033" s="2" t="s">
        <v>35</v>
      </c>
      <c r="E4033" s="2" t="n">
        <v>26</v>
      </c>
      <c r="F4033" s="2" t="n">
        <v>2</v>
      </c>
      <c r="G4033" s="2" t="s">
        <v>29</v>
      </c>
      <c r="H4033" s="2" t="n">
        <v>4032</v>
      </c>
      <c r="I4033" s="2" t="s">
        <v>39</v>
      </c>
      <c r="J4033" s="2" t="n">
        <v>2</v>
      </c>
      <c r="K4033" s="2" t="s">
        <v>42</v>
      </c>
      <c r="L4033" s="2" t="s">
        <v>32</v>
      </c>
      <c r="M4033" s="2" t="n">
        <v>68120</v>
      </c>
      <c r="N4033" s="2" t="n">
        <v>1</v>
      </c>
      <c r="O4033" s="2" t="n">
        <v>13</v>
      </c>
      <c r="P4033" s="2" t="n">
        <v>0</v>
      </c>
      <c r="Q4033" s="2" t="n">
        <v>1</v>
      </c>
      <c r="R4033" s="2" t="n">
        <v>2</v>
      </c>
      <c r="S4033" s="2" t="n">
        <v>1</v>
      </c>
      <c r="T4033" s="2" t="n">
        <v>1</v>
      </c>
      <c r="U4033" s="2" t="n">
        <v>0</v>
      </c>
      <c r="V4033" s="2" t="n">
        <v>2</v>
      </c>
      <c r="W4033" s="2" t="n">
        <v>3</v>
      </c>
      <c r="X4033" s="2" t="n">
        <v>2</v>
      </c>
      <c r="Y4033" s="2" t="n">
        <v>2</v>
      </c>
      <c r="Z4033" s="2" t="n">
        <v>3</v>
      </c>
    </row>
    <row r="4034" customFormat="false" ht="15" hidden="false" customHeight="true" outlineLevel="0" collapsed="false">
      <c r="A4034" s="2" t="n">
        <v>27</v>
      </c>
      <c r="B4034" s="2" t="s">
        <v>26</v>
      </c>
      <c r="C4034" s="2" t="s">
        <v>27</v>
      </c>
      <c r="D4034" s="2" t="s">
        <v>35</v>
      </c>
      <c r="E4034" s="2" t="n">
        <v>4</v>
      </c>
      <c r="F4034" s="2" t="n">
        <v>3</v>
      </c>
      <c r="G4034" s="2" t="s">
        <v>51</v>
      </c>
      <c r="H4034" s="2" t="n">
        <v>4033</v>
      </c>
      <c r="I4034" s="2" t="s">
        <v>39</v>
      </c>
      <c r="J4034" s="2" t="n">
        <v>2</v>
      </c>
      <c r="K4034" s="2" t="s">
        <v>47</v>
      </c>
      <c r="L4034" s="2" t="s">
        <v>37</v>
      </c>
      <c r="M4034" s="2" t="n">
        <v>51710</v>
      </c>
      <c r="N4034" s="2" t="n">
        <v>0</v>
      </c>
      <c r="O4034" s="2" t="n">
        <v>20</v>
      </c>
      <c r="P4034" s="2" t="n">
        <v>1</v>
      </c>
      <c r="Q4034" s="2" t="n">
        <v>9</v>
      </c>
      <c r="R4034" s="2" t="n">
        <v>1</v>
      </c>
      <c r="S4034" s="2" t="n">
        <v>8</v>
      </c>
      <c r="T4034" s="2" t="n">
        <v>0</v>
      </c>
      <c r="U4034" s="2" t="n">
        <v>7</v>
      </c>
      <c r="V4034" s="2" t="n">
        <v>1</v>
      </c>
      <c r="W4034" s="2" t="n">
        <v>3</v>
      </c>
      <c r="X4034" s="2" t="n">
        <v>2</v>
      </c>
      <c r="Y4034" s="2" t="n">
        <v>2</v>
      </c>
      <c r="Z4034" s="2" t="n">
        <v>4</v>
      </c>
    </row>
    <row r="4035" customFormat="false" ht="15" hidden="false" customHeight="true" outlineLevel="0" collapsed="false">
      <c r="A4035" s="2" t="n">
        <v>48</v>
      </c>
      <c r="B4035" s="2" t="s">
        <v>26</v>
      </c>
      <c r="C4035" s="2" t="s">
        <v>34</v>
      </c>
      <c r="D4035" s="2" t="s">
        <v>35</v>
      </c>
      <c r="E4035" s="2" t="n">
        <v>2</v>
      </c>
      <c r="F4035" s="2" t="n">
        <v>3</v>
      </c>
      <c r="G4035" s="2" t="s">
        <v>29</v>
      </c>
      <c r="H4035" s="2" t="n">
        <v>4034</v>
      </c>
      <c r="I4035" s="2" t="s">
        <v>39</v>
      </c>
      <c r="J4035" s="2" t="n">
        <v>2</v>
      </c>
      <c r="K4035" s="2" t="s">
        <v>44</v>
      </c>
      <c r="L4035" s="2" t="s">
        <v>46</v>
      </c>
      <c r="M4035" s="2" t="n">
        <v>197400</v>
      </c>
      <c r="N4035" s="2" t="n">
        <v>3</v>
      </c>
      <c r="O4035" s="2" t="n">
        <v>14</v>
      </c>
      <c r="P4035" s="2" t="n">
        <v>0</v>
      </c>
      <c r="Q4035" s="2" t="n">
        <v>24</v>
      </c>
      <c r="R4035" s="2" t="n">
        <v>2</v>
      </c>
      <c r="S4035" s="2" t="n">
        <v>22</v>
      </c>
      <c r="T4035" s="2" t="n">
        <v>4</v>
      </c>
      <c r="U4035" s="2" t="n">
        <v>7</v>
      </c>
      <c r="V4035" s="2" t="n">
        <v>4</v>
      </c>
      <c r="W4035" s="2" t="n">
        <v>4</v>
      </c>
      <c r="X4035" s="2" t="n">
        <v>3</v>
      </c>
      <c r="Y4035" s="2" t="n">
        <v>4</v>
      </c>
      <c r="Z4035" s="2" t="n">
        <v>3</v>
      </c>
    </row>
    <row r="4036" customFormat="false" ht="15" hidden="false" customHeight="true" outlineLevel="0" collapsed="false">
      <c r="A4036" s="2" t="n">
        <v>44</v>
      </c>
      <c r="B4036" s="2" t="s">
        <v>26</v>
      </c>
      <c r="C4036" s="2" t="s">
        <v>27</v>
      </c>
      <c r="D4036" s="2" t="s">
        <v>28</v>
      </c>
      <c r="E4036" s="2" t="n">
        <v>1</v>
      </c>
      <c r="F4036" s="2" t="n">
        <v>2</v>
      </c>
      <c r="G4036" s="2" t="s">
        <v>43</v>
      </c>
      <c r="H4036" s="2" t="n">
        <v>4035</v>
      </c>
      <c r="I4036" s="2" t="s">
        <v>39</v>
      </c>
      <c r="J4036" s="2" t="n">
        <v>4</v>
      </c>
      <c r="K4036" s="2" t="s">
        <v>49</v>
      </c>
      <c r="L4036" s="2" t="s">
        <v>32</v>
      </c>
      <c r="M4036" s="2" t="n">
        <v>187110</v>
      </c>
      <c r="N4036" s="2" t="n">
        <v>2</v>
      </c>
      <c r="O4036" s="2" t="n">
        <v>12</v>
      </c>
      <c r="P4036" s="2" t="n">
        <v>1</v>
      </c>
      <c r="Q4036" s="2" t="n">
        <v>10</v>
      </c>
      <c r="R4036" s="2" t="n">
        <v>0</v>
      </c>
      <c r="S4036" s="2" t="n">
        <v>2</v>
      </c>
      <c r="T4036" s="2" t="n">
        <v>2</v>
      </c>
      <c r="U4036" s="2" t="n">
        <v>2</v>
      </c>
      <c r="V4036" s="2" t="n">
        <v>2</v>
      </c>
      <c r="W4036" s="2" t="n">
        <v>1</v>
      </c>
      <c r="X4036" s="2" t="n">
        <v>3</v>
      </c>
      <c r="Y4036" s="2" t="n">
        <v>3</v>
      </c>
      <c r="Z4036" s="2" t="n">
        <v>3</v>
      </c>
    </row>
    <row r="4037" customFormat="false" ht="15" hidden="false" customHeight="true" outlineLevel="0" collapsed="false">
      <c r="A4037" s="2" t="n">
        <v>34</v>
      </c>
      <c r="B4037" s="2" t="s">
        <v>33</v>
      </c>
      <c r="C4037" s="2" t="s">
        <v>41</v>
      </c>
      <c r="D4037" s="2" t="s">
        <v>35</v>
      </c>
      <c r="E4037" s="2" t="n">
        <v>27</v>
      </c>
      <c r="F4037" s="2" t="n">
        <v>2</v>
      </c>
      <c r="G4037" s="2" t="s">
        <v>29</v>
      </c>
      <c r="H4037" s="2" t="n">
        <v>4036</v>
      </c>
      <c r="I4037" s="2" t="s">
        <v>30</v>
      </c>
      <c r="J4037" s="2" t="n">
        <v>1</v>
      </c>
      <c r="K4037" s="2" t="s">
        <v>48</v>
      </c>
      <c r="L4037" s="2" t="s">
        <v>32</v>
      </c>
      <c r="M4037" s="2" t="n">
        <v>36920</v>
      </c>
      <c r="N4037" s="2" t="n">
        <v>1</v>
      </c>
      <c r="O4037" s="2" t="n">
        <v>12</v>
      </c>
      <c r="P4037" s="2" t="n">
        <v>1</v>
      </c>
      <c r="Q4037" s="2" t="n">
        <v>5</v>
      </c>
      <c r="R4037" s="2" t="n">
        <v>5</v>
      </c>
      <c r="S4037" s="2" t="n">
        <v>5</v>
      </c>
      <c r="T4037" s="2" t="n">
        <v>3</v>
      </c>
      <c r="U4037" s="2" t="n">
        <v>0</v>
      </c>
      <c r="V4037" s="2" t="n">
        <v>4</v>
      </c>
      <c r="W4037" s="2" t="n">
        <v>1</v>
      </c>
      <c r="X4037" s="2" t="n">
        <v>3</v>
      </c>
      <c r="Y4037" s="2" t="n">
        <v>3</v>
      </c>
      <c r="Z4037" s="2" t="n">
        <v>3</v>
      </c>
    </row>
    <row r="4038" customFormat="false" ht="15" hidden="false" customHeight="true" outlineLevel="0" collapsed="false">
      <c r="A4038" s="2" t="n">
        <v>56</v>
      </c>
      <c r="B4038" s="2" t="s">
        <v>33</v>
      </c>
      <c r="C4038" s="2" t="s">
        <v>27</v>
      </c>
      <c r="D4038" s="2" t="s">
        <v>42</v>
      </c>
      <c r="E4038" s="2" t="n">
        <v>1</v>
      </c>
      <c r="F4038" s="2" t="n">
        <v>2</v>
      </c>
      <c r="G4038" s="2" t="s">
        <v>43</v>
      </c>
      <c r="H4038" s="2" t="n">
        <v>4037</v>
      </c>
      <c r="I4038" s="2" t="s">
        <v>30</v>
      </c>
      <c r="J4038" s="2" t="n">
        <v>5</v>
      </c>
      <c r="K4038" s="2" t="s">
        <v>40</v>
      </c>
      <c r="L4038" s="2" t="s">
        <v>37</v>
      </c>
      <c r="M4038" s="2" t="n">
        <v>25590</v>
      </c>
      <c r="N4038" s="2" t="n">
        <v>1</v>
      </c>
      <c r="O4038" s="2" t="n">
        <v>21</v>
      </c>
      <c r="P4038" s="2" t="n">
        <v>0</v>
      </c>
      <c r="Q4038" s="2" t="n">
        <v>5</v>
      </c>
      <c r="R4038" s="2" t="n">
        <v>3</v>
      </c>
      <c r="S4038" s="2" t="n">
        <v>4</v>
      </c>
      <c r="T4038" s="2" t="n">
        <v>1</v>
      </c>
      <c r="U4038" s="2" t="n">
        <v>0</v>
      </c>
      <c r="V4038" s="2" t="n">
        <v>1</v>
      </c>
      <c r="W4038" s="2" t="n">
        <v>4</v>
      </c>
      <c r="X4038" s="2" t="n">
        <v>3</v>
      </c>
      <c r="Y4038" s="2" t="n">
        <v>3</v>
      </c>
      <c r="Z4038" s="2" t="n">
        <v>4</v>
      </c>
    </row>
    <row r="4039" customFormat="false" ht="15" hidden="false" customHeight="true" outlineLevel="0" collapsed="false">
      <c r="A4039" s="2" t="n">
        <v>36</v>
      </c>
      <c r="B4039" s="2" t="s">
        <v>26</v>
      </c>
      <c r="C4039" s="2" t="s">
        <v>27</v>
      </c>
      <c r="D4039" s="2" t="s">
        <v>35</v>
      </c>
      <c r="E4039" s="2" t="n">
        <v>13</v>
      </c>
      <c r="F4039" s="2" t="n">
        <v>3</v>
      </c>
      <c r="G4039" s="2" t="s">
        <v>51</v>
      </c>
      <c r="H4039" s="2" t="n">
        <v>4038</v>
      </c>
      <c r="I4039" s="2" t="s">
        <v>30</v>
      </c>
      <c r="J4039" s="2" t="n">
        <v>3</v>
      </c>
      <c r="K4039" s="2" t="s">
        <v>31</v>
      </c>
      <c r="L4039" s="2" t="s">
        <v>32</v>
      </c>
      <c r="M4039" s="2" t="n">
        <v>25170</v>
      </c>
      <c r="N4039" s="2" t="n">
        <v>2</v>
      </c>
      <c r="O4039" s="2" t="n">
        <v>14</v>
      </c>
      <c r="P4039" s="2" t="n">
        <v>0</v>
      </c>
      <c r="Q4039" s="2" t="n">
        <v>12</v>
      </c>
      <c r="R4039" s="2" t="n">
        <v>3</v>
      </c>
      <c r="S4039" s="2" t="n">
        <v>4</v>
      </c>
      <c r="T4039" s="2" t="n">
        <v>1</v>
      </c>
      <c r="U4039" s="2" t="n">
        <v>3</v>
      </c>
      <c r="V4039" s="2" t="n">
        <v>3</v>
      </c>
      <c r="W4039" s="2" t="n">
        <v>2</v>
      </c>
      <c r="X4039" s="2" t="n">
        <v>1</v>
      </c>
      <c r="Y4039" s="2" t="n">
        <v>3</v>
      </c>
      <c r="Z4039" s="2" t="n">
        <v>3</v>
      </c>
    </row>
    <row r="4040" customFormat="false" ht="15" hidden="false" customHeight="true" outlineLevel="0" collapsed="false">
      <c r="A4040" s="2" t="n">
        <v>41</v>
      </c>
      <c r="B4040" s="2" t="s">
        <v>26</v>
      </c>
      <c r="C4040" s="2" t="s">
        <v>27</v>
      </c>
      <c r="D4040" s="2" t="s">
        <v>35</v>
      </c>
      <c r="E4040" s="2" t="n">
        <v>5</v>
      </c>
      <c r="F4040" s="2" t="n">
        <v>3</v>
      </c>
      <c r="G4040" s="2" t="s">
        <v>29</v>
      </c>
      <c r="H4040" s="2" t="n">
        <v>4039</v>
      </c>
      <c r="I4040" s="2" t="s">
        <v>30</v>
      </c>
      <c r="J4040" s="2" t="n">
        <v>1</v>
      </c>
      <c r="K4040" s="2" t="s">
        <v>40</v>
      </c>
      <c r="L4040" s="2" t="s">
        <v>32</v>
      </c>
      <c r="M4040" s="2" t="n">
        <v>66230</v>
      </c>
      <c r="N4040" s="2" t="n">
        <v>5</v>
      </c>
      <c r="O4040" s="2" t="n">
        <v>18</v>
      </c>
      <c r="P4040" s="2" t="n">
        <v>0</v>
      </c>
      <c r="Q4040" s="2" t="n">
        <v>14</v>
      </c>
      <c r="R4040" s="2" t="n">
        <v>3</v>
      </c>
      <c r="S4040" s="2" t="n">
        <v>5</v>
      </c>
      <c r="T4040" s="2" t="n">
        <v>1</v>
      </c>
      <c r="U4040" s="2" t="n">
        <v>4</v>
      </c>
      <c r="V4040" s="2" t="n">
        <v>3</v>
      </c>
      <c r="W4040" s="2" t="n">
        <v>2</v>
      </c>
      <c r="X4040" s="2" t="n">
        <v>3</v>
      </c>
      <c r="Y4040" s="2" t="n">
        <v>3</v>
      </c>
      <c r="Z4040" s="2" t="n">
        <v>3</v>
      </c>
    </row>
    <row r="4041" customFormat="false" ht="15" hidden="false" customHeight="true" outlineLevel="0" collapsed="false">
      <c r="A4041" s="2" t="n">
        <v>42</v>
      </c>
      <c r="B4041" s="2" t="s">
        <v>26</v>
      </c>
      <c r="C4041" s="2" t="s">
        <v>27</v>
      </c>
      <c r="D4041" s="2" t="s">
        <v>35</v>
      </c>
      <c r="E4041" s="2" t="n">
        <v>7</v>
      </c>
      <c r="F4041" s="2" t="n">
        <v>3</v>
      </c>
      <c r="G4041" s="2" t="s">
        <v>51</v>
      </c>
      <c r="H4041" s="2" t="n">
        <v>4040</v>
      </c>
      <c r="I4041" s="2" t="s">
        <v>30</v>
      </c>
      <c r="J4041" s="2" t="n">
        <v>2</v>
      </c>
      <c r="K4041" s="2" t="s">
        <v>40</v>
      </c>
      <c r="L4041" s="2" t="s">
        <v>32</v>
      </c>
      <c r="M4041" s="2" t="n">
        <v>182650</v>
      </c>
      <c r="N4041" s="2" t="n">
        <v>9</v>
      </c>
      <c r="O4041" s="2" t="n">
        <v>12</v>
      </c>
      <c r="P4041" s="2" t="n">
        <v>1</v>
      </c>
      <c r="Q4041" s="2" t="n">
        <v>18</v>
      </c>
      <c r="R4041" s="2" t="n">
        <v>4</v>
      </c>
      <c r="S4041" s="2" t="n">
        <v>13</v>
      </c>
      <c r="T4041" s="2" t="n">
        <v>5</v>
      </c>
      <c r="U4041" s="2" t="n">
        <v>7</v>
      </c>
      <c r="V4041" s="2" t="n">
        <v>3</v>
      </c>
      <c r="W4041" s="2" t="n">
        <v>1</v>
      </c>
      <c r="X4041" s="2" t="n">
        <v>4</v>
      </c>
      <c r="Y4041" s="2" t="n">
        <v>3</v>
      </c>
      <c r="Z4041" s="2" t="n">
        <v>3</v>
      </c>
    </row>
    <row r="4042" customFormat="false" ht="15" hidden="false" customHeight="true" outlineLevel="0" collapsed="false">
      <c r="A4042" s="2" t="n">
        <v>31</v>
      </c>
      <c r="B4042" s="2" t="s">
        <v>26</v>
      </c>
      <c r="C4042" s="2" t="s">
        <v>27</v>
      </c>
      <c r="D4042" s="2" t="s">
        <v>28</v>
      </c>
      <c r="E4042" s="2" t="n">
        <v>9</v>
      </c>
      <c r="F4042" s="2" t="n">
        <v>4</v>
      </c>
      <c r="G4042" s="2" t="s">
        <v>29</v>
      </c>
      <c r="H4042" s="2" t="n">
        <v>4041</v>
      </c>
      <c r="I4042" s="2" t="s">
        <v>30</v>
      </c>
      <c r="J4042" s="2" t="n">
        <v>1</v>
      </c>
      <c r="K4042" s="2" t="s">
        <v>40</v>
      </c>
      <c r="L4042" s="2" t="s">
        <v>46</v>
      </c>
      <c r="M4042" s="2" t="n">
        <v>161240</v>
      </c>
      <c r="N4042" s="2" t="n">
        <v>2</v>
      </c>
      <c r="O4042" s="2" t="n">
        <v>23</v>
      </c>
      <c r="P4042" s="2" t="n">
        <v>1</v>
      </c>
      <c r="Q4042" s="2" t="n">
        <v>8</v>
      </c>
      <c r="R4042" s="2" t="n">
        <v>2</v>
      </c>
      <c r="S4042" s="2" t="n">
        <v>5</v>
      </c>
      <c r="T4042" s="2" t="n">
        <v>1</v>
      </c>
      <c r="U4042" s="2" t="n">
        <v>4</v>
      </c>
      <c r="V4042" s="2" t="n">
        <v>3</v>
      </c>
      <c r="W4042" s="2" t="n">
        <v>4</v>
      </c>
      <c r="X4042" s="2" t="n">
        <v>3</v>
      </c>
      <c r="Y4042" s="2" t="n">
        <v>2</v>
      </c>
      <c r="Z4042" s="2" t="n">
        <v>4</v>
      </c>
    </row>
    <row r="4043" customFormat="false" ht="15" hidden="false" customHeight="true" outlineLevel="0" collapsed="false">
      <c r="A4043" s="2" t="n">
        <v>34</v>
      </c>
      <c r="B4043" s="2" t="s">
        <v>26</v>
      </c>
      <c r="C4043" s="2" t="s">
        <v>27</v>
      </c>
      <c r="D4043" s="2" t="s">
        <v>35</v>
      </c>
      <c r="E4043" s="2" t="n">
        <v>8</v>
      </c>
      <c r="F4043" s="2" t="n">
        <v>1</v>
      </c>
      <c r="G4043" s="2" t="s">
        <v>29</v>
      </c>
      <c r="H4043" s="2" t="n">
        <v>4042</v>
      </c>
      <c r="I4043" s="2" t="s">
        <v>30</v>
      </c>
      <c r="J4043" s="2" t="n">
        <v>3</v>
      </c>
      <c r="K4043" s="2" t="s">
        <v>45</v>
      </c>
      <c r="L4043" s="2" t="s">
        <v>32</v>
      </c>
      <c r="M4043" s="2" t="n">
        <v>25850</v>
      </c>
      <c r="N4043" s="2" t="n">
        <v>3</v>
      </c>
      <c r="O4043" s="2" t="n">
        <v>12</v>
      </c>
      <c r="P4043" s="2" t="n">
        <v>0</v>
      </c>
      <c r="Q4043" s="2" t="n">
        <v>9</v>
      </c>
      <c r="R4043" s="2" t="n">
        <v>5</v>
      </c>
      <c r="S4043" s="2" t="n">
        <v>4</v>
      </c>
      <c r="T4043" s="2" t="n">
        <v>0</v>
      </c>
      <c r="U4043" s="2" t="n">
        <v>1</v>
      </c>
      <c r="V4043" s="2" t="n">
        <v>4</v>
      </c>
      <c r="W4043" s="2" t="n">
        <v>4</v>
      </c>
      <c r="X4043" s="2" t="n">
        <v>2</v>
      </c>
      <c r="Y4043" s="2" t="n">
        <v>3</v>
      </c>
      <c r="Z4043" s="2" t="n">
        <v>3</v>
      </c>
    </row>
    <row r="4044" customFormat="false" ht="15" hidden="false" customHeight="true" outlineLevel="0" collapsed="false">
      <c r="A4044" s="2" t="n">
        <v>31</v>
      </c>
      <c r="B4044" s="2" t="s">
        <v>26</v>
      </c>
      <c r="C4044" s="2" t="s">
        <v>27</v>
      </c>
      <c r="D4044" s="2" t="s">
        <v>28</v>
      </c>
      <c r="E4044" s="2" t="n">
        <v>25</v>
      </c>
      <c r="F4044" s="2" t="n">
        <v>2</v>
      </c>
      <c r="G4044" s="2" t="s">
        <v>29</v>
      </c>
      <c r="H4044" s="2" t="n">
        <v>4043</v>
      </c>
      <c r="I4044" s="2" t="s">
        <v>30</v>
      </c>
      <c r="J4044" s="2" t="n">
        <v>3</v>
      </c>
      <c r="K4044" s="2" t="s">
        <v>47</v>
      </c>
      <c r="L4044" s="2" t="s">
        <v>46</v>
      </c>
      <c r="M4044" s="2" t="n">
        <v>182130</v>
      </c>
      <c r="N4044" s="2" t="n">
        <v>8</v>
      </c>
      <c r="O4044" s="2" t="n">
        <v>21</v>
      </c>
      <c r="P4044" s="2" t="n">
        <v>2</v>
      </c>
      <c r="Q4044" s="2" t="n">
        <v>4</v>
      </c>
      <c r="R4044" s="2" t="n">
        <v>3</v>
      </c>
      <c r="S4044" s="2" t="n">
        <v>2</v>
      </c>
      <c r="T4044" s="2" t="n">
        <v>2</v>
      </c>
      <c r="U4044" s="2" t="n">
        <v>2</v>
      </c>
      <c r="V4044" s="2" t="n">
        <v>1</v>
      </c>
      <c r="W4044" s="2" t="n">
        <v>3</v>
      </c>
      <c r="X4044" s="2" t="n">
        <v>2</v>
      </c>
      <c r="Y4044" s="2" t="n">
        <v>4</v>
      </c>
      <c r="Z4044" s="2" t="n">
        <v>4</v>
      </c>
    </row>
    <row r="4045" customFormat="false" ht="15" hidden="false" customHeight="true" outlineLevel="0" collapsed="false">
      <c r="A4045" s="2" t="n">
        <v>26</v>
      </c>
      <c r="B4045" s="2" t="s">
        <v>26</v>
      </c>
      <c r="C4045" s="2" t="s">
        <v>34</v>
      </c>
      <c r="D4045" s="2" t="s">
        <v>28</v>
      </c>
      <c r="E4045" s="2" t="n">
        <v>16</v>
      </c>
      <c r="F4045" s="2" t="n">
        <v>2</v>
      </c>
      <c r="G4045" s="2" t="s">
        <v>29</v>
      </c>
      <c r="H4045" s="2" t="n">
        <v>4044</v>
      </c>
      <c r="I4045" s="2" t="s">
        <v>39</v>
      </c>
      <c r="J4045" s="2" t="n">
        <v>2</v>
      </c>
      <c r="K4045" s="2" t="s">
        <v>31</v>
      </c>
      <c r="L4045" s="2" t="s">
        <v>32</v>
      </c>
      <c r="M4045" s="2" t="n">
        <v>83800</v>
      </c>
      <c r="N4045" s="2" t="n">
        <v>0</v>
      </c>
      <c r="O4045" s="2" t="n">
        <v>14</v>
      </c>
      <c r="P4045" s="2" t="n">
        <v>0</v>
      </c>
      <c r="Q4045" s="2" t="n">
        <v>8</v>
      </c>
      <c r="R4045" s="2" t="n">
        <v>3</v>
      </c>
      <c r="S4045" s="2" t="n">
        <v>7</v>
      </c>
      <c r="T4045" s="2" t="n">
        <v>7</v>
      </c>
      <c r="U4045" s="2" t="n">
        <v>7</v>
      </c>
      <c r="V4045" s="2" t="n">
        <v>3</v>
      </c>
      <c r="W4045" s="2" t="n">
        <v>4</v>
      </c>
      <c r="X4045" s="2" t="n">
        <v>3</v>
      </c>
      <c r="Y4045" s="2" t="n">
        <v>4</v>
      </c>
      <c r="Z4045" s="2" t="n">
        <v>3</v>
      </c>
    </row>
    <row r="4046" customFormat="false" ht="15" hidden="false" customHeight="true" outlineLevel="0" collapsed="false">
      <c r="A4046" s="2" t="n">
        <v>45</v>
      </c>
      <c r="B4046" s="2" t="s">
        <v>26</v>
      </c>
      <c r="C4046" s="2" t="s">
        <v>34</v>
      </c>
      <c r="D4046" s="2" t="s">
        <v>35</v>
      </c>
      <c r="E4046" s="2" t="n">
        <v>8</v>
      </c>
      <c r="F4046" s="2" t="n">
        <v>4</v>
      </c>
      <c r="G4046" s="2" t="s">
        <v>29</v>
      </c>
      <c r="H4046" s="2" t="n">
        <v>4045</v>
      </c>
      <c r="I4046" s="2" t="s">
        <v>30</v>
      </c>
      <c r="J4046" s="2" t="n">
        <v>2</v>
      </c>
      <c r="K4046" s="2" t="s">
        <v>49</v>
      </c>
      <c r="L4046" s="2" t="s">
        <v>37</v>
      </c>
      <c r="M4046" s="2" t="n">
        <v>29940</v>
      </c>
      <c r="N4046" s="2" t="n">
        <v>4</v>
      </c>
      <c r="O4046" s="2" t="n">
        <v>18</v>
      </c>
      <c r="P4046" s="2" t="n">
        <v>1</v>
      </c>
      <c r="Q4046" s="2" t="n">
        <v>12</v>
      </c>
      <c r="R4046" s="2" t="n">
        <v>2</v>
      </c>
      <c r="S4046" s="2" t="n">
        <v>4</v>
      </c>
      <c r="T4046" s="2" t="n">
        <v>0</v>
      </c>
      <c r="U4046" s="2" t="n">
        <v>3</v>
      </c>
      <c r="V4046" s="2" t="n">
        <v>2</v>
      </c>
      <c r="W4046" s="2" t="n">
        <v>3</v>
      </c>
      <c r="X4046" s="2" t="n">
        <v>3</v>
      </c>
      <c r="Y4046" s="2" t="n">
        <v>3</v>
      </c>
      <c r="Z4046" s="2" t="n">
        <v>3</v>
      </c>
    </row>
    <row r="4047" customFormat="false" ht="15" hidden="false" customHeight="true" outlineLevel="0" collapsed="false">
      <c r="A4047" s="2" t="n">
        <v>33</v>
      </c>
      <c r="B4047" s="2" t="s">
        <v>26</v>
      </c>
      <c r="C4047" s="2" t="s">
        <v>27</v>
      </c>
      <c r="D4047" s="2" t="s">
        <v>28</v>
      </c>
      <c r="E4047" s="2" t="n">
        <v>1</v>
      </c>
      <c r="F4047" s="2" t="n">
        <v>3</v>
      </c>
      <c r="G4047" s="2" t="s">
        <v>29</v>
      </c>
      <c r="H4047" s="2" t="n">
        <v>4046</v>
      </c>
      <c r="I4047" s="2" t="s">
        <v>30</v>
      </c>
      <c r="J4047" s="2" t="n">
        <v>5</v>
      </c>
      <c r="K4047" s="2" t="s">
        <v>40</v>
      </c>
      <c r="L4047" s="2" t="s">
        <v>37</v>
      </c>
      <c r="M4047" s="2" t="n">
        <v>12230</v>
      </c>
      <c r="N4047" s="2" t="n">
        <v>1</v>
      </c>
      <c r="O4047" s="2" t="n">
        <v>13</v>
      </c>
      <c r="P4047" s="2" t="n">
        <v>1</v>
      </c>
      <c r="Q4047" s="2" t="n">
        <v>10</v>
      </c>
      <c r="R4047" s="2" t="n">
        <v>3</v>
      </c>
      <c r="S4047" s="2" t="n">
        <v>10</v>
      </c>
      <c r="T4047" s="2" t="n">
        <v>0</v>
      </c>
      <c r="U4047" s="2" t="n">
        <v>9</v>
      </c>
      <c r="V4047" s="2" t="n">
        <v>2</v>
      </c>
      <c r="W4047" s="2" t="n">
        <v>3</v>
      </c>
      <c r="X4047" s="2" t="n">
        <v>2</v>
      </c>
      <c r="Y4047" s="2" t="n">
        <v>3</v>
      </c>
      <c r="Z4047" s="2" t="n">
        <v>3</v>
      </c>
    </row>
    <row r="4048" customFormat="false" ht="15" hidden="false" customHeight="true" outlineLevel="0" collapsed="false">
      <c r="A4048" s="2" t="n">
        <v>28</v>
      </c>
      <c r="B4048" s="2" t="s">
        <v>26</v>
      </c>
      <c r="C4048" s="2" t="s">
        <v>34</v>
      </c>
      <c r="D4048" s="2" t="s">
        <v>28</v>
      </c>
      <c r="E4048" s="2" t="n">
        <v>8</v>
      </c>
      <c r="F4048" s="2" t="n">
        <v>3</v>
      </c>
      <c r="G4048" s="2" t="s">
        <v>29</v>
      </c>
      <c r="H4048" s="2" t="n">
        <v>4047</v>
      </c>
      <c r="I4048" s="2" t="s">
        <v>39</v>
      </c>
      <c r="J4048" s="2" t="n">
        <v>4</v>
      </c>
      <c r="K4048" s="2" t="s">
        <v>36</v>
      </c>
      <c r="L4048" s="2" t="s">
        <v>32</v>
      </c>
      <c r="M4048" s="2" t="n">
        <v>11180</v>
      </c>
      <c r="N4048" s="2" t="n">
        <v>1</v>
      </c>
      <c r="O4048" s="2" t="n">
        <v>11</v>
      </c>
      <c r="P4048" s="2" t="n">
        <v>0</v>
      </c>
      <c r="Q4048" s="2" t="n">
        <v>7</v>
      </c>
      <c r="R4048" s="2" t="n">
        <v>3</v>
      </c>
      <c r="S4048" s="2" t="n">
        <v>7</v>
      </c>
      <c r="T4048" s="2" t="n">
        <v>0</v>
      </c>
      <c r="U4048" s="2" t="n">
        <v>7</v>
      </c>
      <c r="V4048" s="2" t="n">
        <v>3</v>
      </c>
      <c r="W4048" s="2" t="n">
        <v>4</v>
      </c>
      <c r="X4048" s="2" t="n">
        <v>3</v>
      </c>
      <c r="Y4048" s="2" t="n">
        <v>3</v>
      </c>
      <c r="Z4048" s="2" t="n">
        <v>3</v>
      </c>
    </row>
    <row r="4049" customFormat="false" ht="15" hidden="false" customHeight="true" outlineLevel="0" collapsed="false">
      <c r="A4049" s="2" t="n">
        <v>29</v>
      </c>
      <c r="B4049" s="2" t="s">
        <v>33</v>
      </c>
      <c r="C4049" s="2" t="s">
        <v>34</v>
      </c>
      <c r="D4049" s="2" t="s">
        <v>42</v>
      </c>
      <c r="E4049" s="2" t="n">
        <v>2</v>
      </c>
      <c r="F4049" s="2" t="n">
        <v>4</v>
      </c>
      <c r="G4049" s="2" t="s">
        <v>42</v>
      </c>
      <c r="H4049" s="2" t="n">
        <v>4048</v>
      </c>
      <c r="I4049" s="2" t="s">
        <v>39</v>
      </c>
      <c r="J4049" s="2" t="n">
        <v>2</v>
      </c>
      <c r="K4049" s="2" t="s">
        <v>40</v>
      </c>
      <c r="L4049" s="2" t="s">
        <v>37</v>
      </c>
      <c r="M4049" s="2" t="n">
        <v>28750</v>
      </c>
      <c r="N4049" s="2" t="n">
        <v>1</v>
      </c>
      <c r="O4049" s="2" t="n">
        <v>11</v>
      </c>
      <c r="P4049" s="2" t="n">
        <v>0</v>
      </c>
      <c r="Q4049" s="2" t="n">
        <v>1</v>
      </c>
      <c r="R4049" s="2" t="n">
        <v>3</v>
      </c>
      <c r="S4049" s="2" t="n">
        <v>1</v>
      </c>
      <c r="T4049" s="2" t="n">
        <v>0</v>
      </c>
      <c r="U4049" s="2" t="n">
        <v>0</v>
      </c>
      <c r="V4049" s="2" t="n">
        <v>3</v>
      </c>
      <c r="W4049" s="2" t="n">
        <v>1</v>
      </c>
      <c r="X4049" s="2" t="n">
        <v>3</v>
      </c>
      <c r="Y4049" s="2" t="n">
        <v>3</v>
      </c>
      <c r="Z4049" s="2" t="n">
        <v>3</v>
      </c>
    </row>
    <row r="4050" customFormat="false" ht="15" hidden="false" customHeight="true" outlineLevel="0" collapsed="false">
      <c r="A4050" s="2" t="n">
        <v>39</v>
      </c>
      <c r="B4050" s="2" t="s">
        <v>26</v>
      </c>
      <c r="C4050" s="2" t="s">
        <v>41</v>
      </c>
      <c r="D4050" s="2" t="s">
        <v>35</v>
      </c>
      <c r="E4050" s="2" t="n">
        <v>8</v>
      </c>
      <c r="F4050" s="2" t="n">
        <v>5</v>
      </c>
      <c r="G4050" s="2" t="s">
        <v>43</v>
      </c>
      <c r="H4050" s="2" t="n">
        <v>4049</v>
      </c>
      <c r="I4050" s="2" t="s">
        <v>30</v>
      </c>
      <c r="J4050" s="2" t="n">
        <v>2</v>
      </c>
      <c r="K4050" s="2" t="s">
        <v>48</v>
      </c>
      <c r="L4050" s="2" t="s">
        <v>32</v>
      </c>
      <c r="M4050" s="2" t="n">
        <v>188240</v>
      </c>
      <c r="N4050" s="2" t="n">
        <v>6</v>
      </c>
      <c r="O4050" s="2" t="n">
        <v>19</v>
      </c>
      <c r="P4050" s="2" t="n">
        <v>1</v>
      </c>
      <c r="Q4050" s="2" t="n">
        <v>10</v>
      </c>
      <c r="R4050" s="2" t="n">
        <v>4</v>
      </c>
      <c r="S4050" s="2" t="n">
        <v>3</v>
      </c>
      <c r="T4050" s="2" t="n">
        <v>1</v>
      </c>
      <c r="U4050" s="2" t="n">
        <v>2</v>
      </c>
      <c r="V4050" s="2" t="n">
        <v>1</v>
      </c>
      <c r="W4050" s="2" t="n">
        <v>3</v>
      </c>
      <c r="X4050" s="2" t="n">
        <v>3</v>
      </c>
      <c r="Y4050" s="2" t="n">
        <v>3</v>
      </c>
      <c r="Z4050" s="2" t="n">
        <v>3</v>
      </c>
    </row>
    <row r="4051" customFormat="false" ht="15" hidden="false" customHeight="true" outlineLevel="0" collapsed="false">
      <c r="A4051" s="2" t="n">
        <v>27</v>
      </c>
      <c r="B4051" s="2" t="s">
        <v>26</v>
      </c>
      <c r="C4051" s="2" t="s">
        <v>27</v>
      </c>
      <c r="D4051" s="2" t="s">
        <v>28</v>
      </c>
      <c r="E4051" s="2" t="n">
        <v>3</v>
      </c>
      <c r="F4051" s="2" t="n">
        <v>2</v>
      </c>
      <c r="G4051" s="2" t="s">
        <v>51</v>
      </c>
      <c r="H4051" s="2" t="n">
        <v>4050</v>
      </c>
      <c r="I4051" s="2" t="s">
        <v>39</v>
      </c>
      <c r="J4051" s="2" t="n">
        <v>2</v>
      </c>
      <c r="K4051" s="2" t="s">
        <v>31</v>
      </c>
      <c r="L4051" s="2" t="s">
        <v>32</v>
      </c>
      <c r="M4051" s="2" t="n">
        <v>135770</v>
      </c>
      <c r="N4051" s="2" t="n">
        <v>1</v>
      </c>
      <c r="O4051" s="2" t="n">
        <v>12</v>
      </c>
      <c r="P4051" s="2" t="n">
        <v>1</v>
      </c>
      <c r="Q4051" s="2" t="n">
        <v>6</v>
      </c>
      <c r="R4051" s="2" t="n">
        <v>2</v>
      </c>
      <c r="S4051" s="2" t="n">
        <v>5</v>
      </c>
      <c r="T4051" s="2" t="n">
        <v>1</v>
      </c>
      <c r="U4051" s="2" t="n">
        <v>2</v>
      </c>
      <c r="V4051" s="2" t="n">
        <v>2</v>
      </c>
      <c r="W4051" s="2" t="n">
        <v>2</v>
      </c>
      <c r="X4051" s="2" t="n">
        <v>2</v>
      </c>
      <c r="Y4051" s="2" t="n">
        <v>3</v>
      </c>
      <c r="Z4051" s="2" t="n">
        <v>3</v>
      </c>
    </row>
    <row r="4052" customFormat="false" ht="15" hidden="false" customHeight="true" outlineLevel="0" collapsed="false">
      <c r="A4052" s="2" t="n">
        <v>34</v>
      </c>
      <c r="B4052" s="2" t="s">
        <v>26</v>
      </c>
      <c r="C4052" s="2" t="s">
        <v>34</v>
      </c>
      <c r="D4052" s="2" t="s">
        <v>35</v>
      </c>
      <c r="E4052" s="2" t="n">
        <v>9</v>
      </c>
      <c r="F4052" s="2" t="n">
        <v>4</v>
      </c>
      <c r="G4052" s="2" t="s">
        <v>29</v>
      </c>
      <c r="H4052" s="2" t="n">
        <v>4051</v>
      </c>
      <c r="I4052" s="2" t="s">
        <v>30</v>
      </c>
      <c r="J4052" s="2" t="n">
        <v>2</v>
      </c>
      <c r="K4052" s="2" t="s">
        <v>47</v>
      </c>
      <c r="L4052" s="2" t="s">
        <v>32</v>
      </c>
      <c r="M4052" s="2" t="n">
        <v>26250</v>
      </c>
      <c r="N4052" s="2" t="n">
        <v>1</v>
      </c>
      <c r="O4052" s="2" t="n">
        <v>12</v>
      </c>
      <c r="P4052" s="2" t="n">
        <v>3</v>
      </c>
      <c r="Q4052" s="2" t="n">
        <v>16</v>
      </c>
      <c r="R4052" s="2" t="n">
        <v>4</v>
      </c>
      <c r="S4052" s="2" t="n">
        <v>15</v>
      </c>
      <c r="T4052" s="2" t="n">
        <v>6</v>
      </c>
      <c r="U4052" s="2" t="n">
        <v>11</v>
      </c>
      <c r="V4052" s="2" t="n">
        <v>3</v>
      </c>
      <c r="W4052" s="2" t="n">
        <v>4</v>
      </c>
      <c r="X4052" s="2" t="n">
        <v>3</v>
      </c>
      <c r="Y4052" s="2" t="n">
        <v>3</v>
      </c>
      <c r="Z4052" s="2" t="n">
        <v>3</v>
      </c>
    </row>
    <row r="4053" customFormat="false" ht="15" hidden="false" customHeight="true" outlineLevel="0" collapsed="false">
      <c r="A4053" s="2" t="n">
        <v>28</v>
      </c>
      <c r="B4053" s="2" t="s">
        <v>33</v>
      </c>
      <c r="C4053" s="2" t="s">
        <v>27</v>
      </c>
      <c r="D4053" s="2" t="s">
        <v>35</v>
      </c>
      <c r="E4053" s="2" t="n">
        <v>25</v>
      </c>
      <c r="F4053" s="2" t="n">
        <v>3</v>
      </c>
      <c r="G4053" s="2" t="s">
        <v>51</v>
      </c>
      <c r="H4053" s="2" t="n">
        <v>4052</v>
      </c>
      <c r="I4053" s="2" t="s">
        <v>39</v>
      </c>
      <c r="J4053" s="2" t="n">
        <v>1</v>
      </c>
      <c r="K4053" s="2" t="s">
        <v>44</v>
      </c>
      <c r="L4053" s="2" t="s">
        <v>37</v>
      </c>
      <c r="M4053" s="2" t="n">
        <v>187890</v>
      </c>
      <c r="N4053" s="2" t="n">
        <v>3</v>
      </c>
      <c r="O4053" s="2" t="n">
        <v>16</v>
      </c>
      <c r="P4053" s="2" t="n">
        <v>1</v>
      </c>
      <c r="Q4053" s="2" t="n">
        <v>6</v>
      </c>
      <c r="R4053" s="2" t="n">
        <v>4</v>
      </c>
      <c r="S4053" s="2" t="n">
        <v>2</v>
      </c>
      <c r="T4053" s="2" t="n">
        <v>2</v>
      </c>
      <c r="U4053" s="2" t="n">
        <v>2</v>
      </c>
      <c r="V4053" s="2" t="n">
        <v>4</v>
      </c>
      <c r="W4053" s="2" t="n">
        <v>3</v>
      </c>
      <c r="X4053" s="2" t="n">
        <v>3</v>
      </c>
      <c r="Y4053" s="2" t="n">
        <v>3</v>
      </c>
      <c r="Z4053" s="2" t="n">
        <v>3</v>
      </c>
    </row>
    <row r="4054" customFormat="false" ht="15" hidden="false" customHeight="true" outlineLevel="0" collapsed="false">
      <c r="A4054" s="2" t="n">
        <v>47</v>
      </c>
      <c r="B4054" s="2" t="s">
        <v>26</v>
      </c>
      <c r="C4054" s="2" t="s">
        <v>41</v>
      </c>
      <c r="D4054" s="2" t="s">
        <v>35</v>
      </c>
      <c r="E4054" s="2" t="n">
        <v>1</v>
      </c>
      <c r="F4054" s="2" t="n">
        <v>4</v>
      </c>
      <c r="G4054" s="2" t="s">
        <v>43</v>
      </c>
      <c r="H4054" s="2" t="n">
        <v>4053</v>
      </c>
      <c r="I4054" s="2" t="s">
        <v>39</v>
      </c>
      <c r="J4054" s="2" t="n">
        <v>1</v>
      </c>
      <c r="K4054" s="2" t="s">
        <v>36</v>
      </c>
      <c r="L4054" s="2" t="s">
        <v>32</v>
      </c>
      <c r="M4054" s="2" t="n">
        <v>45380</v>
      </c>
      <c r="N4054" s="2" t="n">
        <v>8</v>
      </c>
      <c r="O4054" s="2" t="n">
        <v>11</v>
      </c>
      <c r="P4054" s="2" t="n">
        <v>0</v>
      </c>
      <c r="Q4054" s="2" t="n">
        <v>16</v>
      </c>
      <c r="R4054" s="2" t="n">
        <v>3</v>
      </c>
      <c r="S4054" s="2" t="n">
        <v>8</v>
      </c>
      <c r="T4054" s="2" t="n">
        <v>1</v>
      </c>
      <c r="U4054" s="2" t="n">
        <v>7</v>
      </c>
      <c r="V4054" s="2" t="n">
        <v>3</v>
      </c>
      <c r="W4054" s="2" t="n">
        <v>2</v>
      </c>
      <c r="X4054" s="2" t="n">
        <v>4</v>
      </c>
      <c r="Y4054" s="2" t="n">
        <v>3</v>
      </c>
      <c r="Z4054" s="2" t="n">
        <v>3</v>
      </c>
    </row>
    <row r="4055" customFormat="false" ht="15" hidden="false" customHeight="true" outlineLevel="0" collapsed="false">
      <c r="A4055" s="2" t="n">
        <v>56</v>
      </c>
      <c r="B4055" s="2" t="s">
        <v>26</v>
      </c>
      <c r="C4055" s="2" t="s">
        <v>27</v>
      </c>
      <c r="D4055" s="2" t="s">
        <v>35</v>
      </c>
      <c r="E4055" s="2" t="n">
        <v>4</v>
      </c>
      <c r="F4055" s="2" t="n">
        <v>3</v>
      </c>
      <c r="G4055" s="2" t="s">
        <v>51</v>
      </c>
      <c r="H4055" s="2" t="n">
        <v>4054</v>
      </c>
      <c r="I4055" s="2" t="s">
        <v>30</v>
      </c>
      <c r="J4055" s="2" t="n">
        <v>2</v>
      </c>
      <c r="K4055" s="2" t="s">
        <v>40</v>
      </c>
      <c r="L4055" s="2" t="s">
        <v>32</v>
      </c>
      <c r="M4055" s="2" t="n">
        <v>198470</v>
      </c>
      <c r="N4055" s="2" t="n">
        <v>4</v>
      </c>
      <c r="O4055" s="2" t="n">
        <v>14</v>
      </c>
      <c r="P4055" s="2" t="n">
        <v>0</v>
      </c>
      <c r="Q4055" s="2" t="n">
        <v>6</v>
      </c>
      <c r="R4055" s="2" t="n">
        <v>6</v>
      </c>
      <c r="S4055" s="2" t="n">
        <v>0</v>
      </c>
      <c r="T4055" s="2" t="n">
        <v>0</v>
      </c>
      <c r="U4055" s="2" t="n">
        <v>0</v>
      </c>
      <c r="V4055" s="2" t="n">
        <v>4</v>
      </c>
      <c r="W4055" s="2" t="n">
        <v>1</v>
      </c>
      <c r="X4055" s="2" t="n">
        <v>3</v>
      </c>
      <c r="Y4055" s="2" t="n">
        <v>3</v>
      </c>
      <c r="Z4055" s="2" t="n">
        <v>3</v>
      </c>
    </row>
    <row r="4056" customFormat="false" ht="15" hidden="false" customHeight="true" outlineLevel="0" collapsed="false">
      <c r="A4056" s="2" t="n">
        <v>39</v>
      </c>
      <c r="B4056" s="2" t="s">
        <v>26</v>
      </c>
      <c r="C4056" s="2" t="s">
        <v>27</v>
      </c>
      <c r="D4056" s="2" t="s">
        <v>35</v>
      </c>
      <c r="E4056" s="2" t="n">
        <v>1</v>
      </c>
      <c r="F4056" s="2" t="n">
        <v>3</v>
      </c>
      <c r="G4056" s="2" t="s">
        <v>38</v>
      </c>
      <c r="H4056" s="2" t="n">
        <v>4055</v>
      </c>
      <c r="I4056" s="2" t="s">
        <v>30</v>
      </c>
      <c r="J4056" s="2" t="n">
        <v>1</v>
      </c>
      <c r="K4056" s="2" t="s">
        <v>45</v>
      </c>
      <c r="L4056" s="2" t="s">
        <v>32</v>
      </c>
      <c r="M4056" s="2" t="n">
        <v>105120</v>
      </c>
      <c r="N4056" s="2" t="n">
        <v>1</v>
      </c>
      <c r="O4056" s="2" t="n">
        <v>12</v>
      </c>
      <c r="P4056" s="2" t="n">
        <v>1</v>
      </c>
      <c r="Q4056" s="2" t="n">
        <v>10</v>
      </c>
      <c r="R4056" s="2" t="n">
        <v>2</v>
      </c>
      <c r="S4056" s="2" t="n">
        <v>10</v>
      </c>
      <c r="T4056" s="2" t="n">
        <v>7</v>
      </c>
      <c r="U4056" s="2" t="n">
        <v>9</v>
      </c>
      <c r="V4056" s="2" t="n">
        <v>1</v>
      </c>
      <c r="W4056" s="2" t="n">
        <v>1</v>
      </c>
      <c r="X4056" s="2" t="n">
        <v>3</v>
      </c>
      <c r="Y4056" s="2" t="n">
        <v>3</v>
      </c>
      <c r="Z4056" s="2" t="n">
        <v>3</v>
      </c>
    </row>
    <row r="4057" customFormat="false" ht="15" hidden="false" customHeight="true" outlineLevel="0" collapsed="false">
      <c r="A4057" s="2" t="n">
        <v>38</v>
      </c>
      <c r="B4057" s="2" t="s">
        <v>26</v>
      </c>
      <c r="C4057" s="2" t="s">
        <v>34</v>
      </c>
      <c r="D4057" s="2" t="s">
        <v>35</v>
      </c>
      <c r="E4057" s="2" t="n">
        <v>4</v>
      </c>
      <c r="F4057" s="2" t="n">
        <v>2</v>
      </c>
      <c r="G4057" s="2" t="s">
        <v>43</v>
      </c>
      <c r="H4057" s="2" t="n">
        <v>4056</v>
      </c>
      <c r="I4057" s="2" t="s">
        <v>30</v>
      </c>
      <c r="J4057" s="2" t="n">
        <v>1</v>
      </c>
      <c r="K4057" s="2" t="s">
        <v>49</v>
      </c>
      <c r="L4057" s="2" t="s">
        <v>46</v>
      </c>
      <c r="M4057" s="2" t="n">
        <v>44440</v>
      </c>
      <c r="N4057" s="2" t="n">
        <v>1</v>
      </c>
      <c r="O4057" s="2" t="n">
        <v>13</v>
      </c>
      <c r="P4057" s="2" t="n">
        <v>0</v>
      </c>
      <c r="Q4057" s="2" t="n">
        <v>20</v>
      </c>
      <c r="R4057" s="2" t="n">
        <v>2</v>
      </c>
      <c r="S4057" s="2" t="n">
        <v>20</v>
      </c>
      <c r="T4057" s="2" t="n">
        <v>0</v>
      </c>
      <c r="U4057" s="2" t="n">
        <v>7</v>
      </c>
      <c r="V4057" s="2" t="n">
        <v>4</v>
      </c>
      <c r="W4057" s="2" t="n">
        <v>2</v>
      </c>
      <c r="X4057" s="2" t="n">
        <v>3</v>
      </c>
      <c r="Y4057" s="2" t="n">
        <v>3</v>
      </c>
      <c r="Z4057" s="2" t="n">
        <v>3</v>
      </c>
    </row>
    <row r="4058" customFormat="false" ht="15" hidden="false" customHeight="true" outlineLevel="0" collapsed="false">
      <c r="A4058" s="2" t="n">
        <v>58</v>
      </c>
      <c r="B4058" s="2" t="s">
        <v>26</v>
      </c>
      <c r="C4058" s="2" t="s">
        <v>27</v>
      </c>
      <c r="D4058" s="2" t="s">
        <v>28</v>
      </c>
      <c r="E4058" s="2" t="n">
        <v>5</v>
      </c>
      <c r="F4058" s="2" t="n">
        <v>3</v>
      </c>
      <c r="G4058" s="2" t="s">
        <v>50</v>
      </c>
      <c r="H4058" s="2" t="n">
        <v>4057</v>
      </c>
      <c r="I4058" s="2" t="s">
        <v>39</v>
      </c>
      <c r="J4058" s="2" t="n">
        <v>5</v>
      </c>
      <c r="K4058" s="2" t="s">
        <v>48</v>
      </c>
      <c r="L4058" s="2" t="s">
        <v>32</v>
      </c>
      <c r="M4058" s="2" t="n">
        <v>21540</v>
      </c>
      <c r="N4058" s="2" t="n">
        <v>4</v>
      </c>
      <c r="O4058" s="2" t="n">
        <v>21</v>
      </c>
      <c r="P4058" s="2" t="n">
        <v>1</v>
      </c>
      <c r="Q4058" s="2" t="n">
        <v>29</v>
      </c>
      <c r="R4058" s="2" t="n">
        <v>3</v>
      </c>
      <c r="S4058" s="2" t="n">
        <v>1</v>
      </c>
      <c r="T4058" s="2" t="n">
        <v>0</v>
      </c>
      <c r="U4058" s="2" t="n">
        <v>0</v>
      </c>
      <c r="V4058" s="2" t="n">
        <v>4</v>
      </c>
      <c r="W4058" s="2" t="n">
        <v>4</v>
      </c>
      <c r="X4058" s="2" t="n">
        <v>2</v>
      </c>
      <c r="Y4058" s="2" t="n">
        <v>3</v>
      </c>
      <c r="Z4058" s="2" t="n">
        <v>4</v>
      </c>
    </row>
    <row r="4059" customFormat="false" ht="15" hidden="false" customHeight="true" outlineLevel="0" collapsed="false">
      <c r="A4059" s="2" t="n">
        <v>32</v>
      </c>
      <c r="B4059" s="2" t="s">
        <v>33</v>
      </c>
      <c r="C4059" s="2" t="s">
        <v>34</v>
      </c>
      <c r="D4059" s="2" t="s">
        <v>35</v>
      </c>
      <c r="E4059" s="2" t="n">
        <v>9</v>
      </c>
      <c r="F4059" s="2" t="n">
        <v>3</v>
      </c>
      <c r="G4059" s="2" t="s">
        <v>29</v>
      </c>
      <c r="H4059" s="2" t="n">
        <v>4058</v>
      </c>
      <c r="I4059" s="2" t="s">
        <v>39</v>
      </c>
      <c r="J4059" s="2" t="n">
        <v>2</v>
      </c>
      <c r="K4059" s="2" t="s">
        <v>45</v>
      </c>
      <c r="L4059" s="2" t="s">
        <v>37</v>
      </c>
      <c r="M4059" s="2" t="n">
        <v>191900</v>
      </c>
      <c r="N4059" s="2" t="n">
        <v>3</v>
      </c>
      <c r="O4059" s="2" t="n">
        <v>17</v>
      </c>
      <c r="P4059" s="2" t="n">
        <v>1</v>
      </c>
      <c r="Q4059" s="2" t="n">
        <v>8</v>
      </c>
      <c r="R4059" s="2" t="n">
        <v>2</v>
      </c>
      <c r="S4059" s="2" t="n">
        <v>4</v>
      </c>
      <c r="T4059" s="2" t="n">
        <v>0</v>
      </c>
      <c r="U4059" s="2" t="n">
        <v>3</v>
      </c>
      <c r="V4059" s="2" t="n">
        <v>1</v>
      </c>
      <c r="W4059" s="2" t="n">
        <v>3</v>
      </c>
      <c r="X4059" s="2" t="n">
        <v>3</v>
      </c>
      <c r="Y4059" s="2" t="n">
        <v>3</v>
      </c>
      <c r="Z4059" s="2" t="n">
        <v>3</v>
      </c>
    </row>
    <row r="4060" customFormat="false" ht="15" hidden="false" customHeight="true" outlineLevel="0" collapsed="false">
      <c r="A4060" s="2" t="n">
        <v>38</v>
      </c>
      <c r="B4060" s="2" t="s">
        <v>26</v>
      </c>
      <c r="C4060" s="2" t="s">
        <v>27</v>
      </c>
      <c r="D4060" s="2" t="s">
        <v>35</v>
      </c>
      <c r="E4060" s="2" t="n">
        <v>3</v>
      </c>
      <c r="F4060" s="2" t="n">
        <v>4</v>
      </c>
      <c r="G4060" s="2" t="s">
        <v>29</v>
      </c>
      <c r="H4060" s="2" t="n">
        <v>4059</v>
      </c>
      <c r="I4060" s="2" t="s">
        <v>30</v>
      </c>
      <c r="J4060" s="2" t="n">
        <v>1</v>
      </c>
      <c r="K4060" s="2" t="s">
        <v>48</v>
      </c>
      <c r="L4060" s="2" t="s">
        <v>46</v>
      </c>
      <c r="M4060" s="2" t="n">
        <v>44900</v>
      </c>
      <c r="N4060" s="2" t="n">
        <v>2</v>
      </c>
      <c r="O4060" s="2" t="n">
        <v>21</v>
      </c>
      <c r="P4060" s="2" t="n">
        <v>1</v>
      </c>
      <c r="Q4060" s="2" t="n">
        <v>10</v>
      </c>
      <c r="R4060" s="2" t="n">
        <v>1</v>
      </c>
      <c r="S4060" s="2" t="n">
        <v>5</v>
      </c>
      <c r="T4060" s="2" t="n">
        <v>0</v>
      </c>
      <c r="U4060" s="2" t="n">
        <v>3</v>
      </c>
      <c r="V4060" s="2" t="n">
        <v>2</v>
      </c>
      <c r="W4060" s="2" t="n">
        <v>4</v>
      </c>
      <c r="X4060" s="2" t="n">
        <v>4</v>
      </c>
      <c r="Y4060" s="2" t="n">
        <v>3</v>
      </c>
      <c r="Z4060" s="2" t="n">
        <v>4</v>
      </c>
    </row>
    <row r="4061" customFormat="false" ht="15" hidden="false" customHeight="true" outlineLevel="0" collapsed="false">
      <c r="A4061" s="2" t="n">
        <v>49</v>
      </c>
      <c r="B4061" s="2" t="s">
        <v>26</v>
      </c>
      <c r="C4061" s="2" t="s">
        <v>34</v>
      </c>
      <c r="D4061" s="2" t="s">
        <v>28</v>
      </c>
      <c r="E4061" s="2" t="n">
        <v>11</v>
      </c>
      <c r="F4061" s="2" t="n">
        <v>4</v>
      </c>
      <c r="G4061" s="2" t="s">
        <v>29</v>
      </c>
      <c r="H4061" s="2" t="n">
        <v>4060</v>
      </c>
      <c r="I4061" s="2" t="s">
        <v>39</v>
      </c>
      <c r="J4061" s="2" t="n">
        <v>2</v>
      </c>
      <c r="K4061" s="2" t="s">
        <v>36</v>
      </c>
      <c r="L4061" s="2" t="s">
        <v>32</v>
      </c>
      <c r="M4061" s="2" t="n">
        <v>35060</v>
      </c>
      <c r="N4061" s="2" t="n">
        <v>3</v>
      </c>
      <c r="O4061" s="2" t="n">
        <v>11</v>
      </c>
      <c r="P4061" s="2" t="n">
        <v>1</v>
      </c>
      <c r="Q4061" s="2" t="n">
        <v>28</v>
      </c>
      <c r="R4061" s="2" t="n">
        <v>4</v>
      </c>
      <c r="S4061" s="2" t="n">
        <v>5</v>
      </c>
      <c r="T4061" s="2" t="n">
        <v>4</v>
      </c>
      <c r="U4061" s="2" t="n">
        <v>3</v>
      </c>
      <c r="V4061" s="2" t="n">
        <v>2</v>
      </c>
      <c r="W4061" s="2" t="n">
        <v>4</v>
      </c>
      <c r="X4061" s="2" t="n">
        <v>3</v>
      </c>
      <c r="Y4061" s="2" t="n">
        <v>2</v>
      </c>
      <c r="Z4061" s="2" t="n">
        <v>3</v>
      </c>
    </row>
    <row r="4062" customFormat="false" ht="15" hidden="false" customHeight="true" outlineLevel="0" collapsed="false">
      <c r="A4062" s="2" t="n">
        <v>42</v>
      </c>
      <c r="B4062" s="2" t="s">
        <v>26</v>
      </c>
      <c r="C4062" s="2" t="s">
        <v>27</v>
      </c>
      <c r="D4062" s="2" t="s">
        <v>28</v>
      </c>
      <c r="E4062" s="2" t="n">
        <v>1</v>
      </c>
      <c r="F4062" s="2" t="n">
        <v>3</v>
      </c>
      <c r="G4062" s="2" t="s">
        <v>29</v>
      </c>
      <c r="H4062" s="2" t="n">
        <v>4061</v>
      </c>
      <c r="I4062" s="2" t="s">
        <v>30</v>
      </c>
      <c r="J4062" s="2" t="n">
        <v>1</v>
      </c>
      <c r="K4062" s="2" t="s">
        <v>40</v>
      </c>
      <c r="L4062" s="2" t="s">
        <v>46</v>
      </c>
      <c r="M4062" s="2" t="n">
        <v>23720</v>
      </c>
      <c r="N4062" s="2" t="n">
        <v>3</v>
      </c>
      <c r="O4062" s="2" t="n">
        <v>12</v>
      </c>
      <c r="P4062" s="2" t="n">
        <v>1</v>
      </c>
      <c r="Q4062" s="2" t="n">
        <v>14</v>
      </c>
      <c r="R4062" s="2" t="n">
        <v>3</v>
      </c>
      <c r="S4062" s="2" t="n">
        <v>0</v>
      </c>
      <c r="T4062" s="2" t="n">
        <v>0</v>
      </c>
      <c r="U4062" s="2" t="n">
        <v>0</v>
      </c>
      <c r="V4062" s="2" t="n">
        <v>2</v>
      </c>
      <c r="W4062" s="2" t="n">
        <v>4</v>
      </c>
      <c r="X4062" s="2" t="n">
        <v>3</v>
      </c>
      <c r="Y4062" s="2" t="n">
        <v>3</v>
      </c>
      <c r="Z4062" s="2" t="n">
        <v>3</v>
      </c>
    </row>
    <row r="4063" customFormat="false" ht="15" hidden="false" customHeight="true" outlineLevel="0" collapsed="false">
      <c r="A4063" s="2" t="n">
        <v>27</v>
      </c>
      <c r="B4063" s="2" t="s">
        <v>33</v>
      </c>
      <c r="C4063" s="2" t="s">
        <v>34</v>
      </c>
      <c r="D4063" s="2" t="s">
        <v>28</v>
      </c>
      <c r="E4063" s="2" t="n">
        <v>8</v>
      </c>
      <c r="F4063" s="2" t="n">
        <v>1</v>
      </c>
      <c r="G4063" s="2" t="s">
        <v>29</v>
      </c>
      <c r="H4063" s="2" t="n">
        <v>4062</v>
      </c>
      <c r="I4063" s="2" t="s">
        <v>39</v>
      </c>
      <c r="J4063" s="2" t="n">
        <v>4</v>
      </c>
      <c r="K4063" s="2" t="s">
        <v>45</v>
      </c>
      <c r="L4063" s="2" t="s">
        <v>32</v>
      </c>
      <c r="M4063" s="2" t="n">
        <v>102310</v>
      </c>
      <c r="N4063" s="2" t="n">
        <v>1</v>
      </c>
      <c r="O4063" s="2" t="n">
        <v>13</v>
      </c>
      <c r="P4063" s="2" t="n">
        <v>1</v>
      </c>
      <c r="Q4063" s="2" t="n">
        <v>1</v>
      </c>
      <c r="R4063" s="2" t="n">
        <v>2</v>
      </c>
      <c r="S4063" s="2" t="n">
        <v>1</v>
      </c>
      <c r="T4063" s="2" t="n">
        <v>0</v>
      </c>
      <c r="U4063" s="2" t="n">
        <v>0</v>
      </c>
      <c r="V4063" s="2" t="n">
        <v>1</v>
      </c>
      <c r="W4063" s="2" t="n">
        <v>2</v>
      </c>
      <c r="X4063" s="2" t="n">
        <v>3</v>
      </c>
      <c r="Y4063" s="2" t="n">
        <v>3</v>
      </c>
      <c r="Z4063" s="2" t="n">
        <v>3</v>
      </c>
    </row>
    <row r="4064" customFormat="false" ht="15" hidden="false" customHeight="true" outlineLevel="0" collapsed="false">
      <c r="A4064" s="2" t="n">
        <v>35</v>
      </c>
      <c r="B4064" s="2" t="s">
        <v>26</v>
      </c>
      <c r="C4064" s="2" t="s">
        <v>27</v>
      </c>
      <c r="D4064" s="2" t="s">
        <v>35</v>
      </c>
      <c r="E4064" s="2" t="n">
        <v>25</v>
      </c>
      <c r="F4064" s="2" t="n">
        <v>1</v>
      </c>
      <c r="G4064" s="2" t="s">
        <v>43</v>
      </c>
      <c r="H4064" s="2" t="n">
        <v>4063</v>
      </c>
      <c r="I4064" s="2" t="s">
        <v>39</v>
      </c>
      <c r="J4064" s="2" t="n">
        <v>1</v>
      </c>
      <c r="K4064" s="2" t="s">
        <v>40</v>
      </c>
      <c r="L4064" s="2" t="s">
        <v>32</v>
      </c>
      <c r="M4064" s="2" t="n">
        <v>54100</v>
      </c>
      <c r="N4064" s="2" t="n">
        <v>0</v>
      </c>
      <c r="O4064" s="2" t="n">
        <v>18</v>
      </c>
      <c r="P4064" s="2" t="n">
        <v>0</v>
      </c>
      <c r="Q4064" s="2" t="n">
        <v>6</v>
      </c>
      <c r="R4064" s="2" t="n">
        <v>4</v>
      </c>
      <c r="S4064" s="2" t="n">
        <v>5</v>
      </c>
      <c r="T4064" s="2" t="n">
        <v>0</v>
      </c>
      <c r="U4064" s="2" t="n">
        <v>4</v>
      </c>
      <c r="V4064" s="2" t="n">
        <v>2</v>
      </c>
      <c r="W4064" s="2" t="n">
        <v>1</v>
      </c>
      <c r="X4064" s="2" t="n">
        <v>1</v>
      </c>
      <c r="Y4064" s="2" t="n">
        <v>3</v>
      </c>
      <c r="Z4064" s="2" t="n">
        <v>3</v>
      </c>
    </row>
    <row r="4065" customFormat="false" ht="15" hidden="false" customHeight="true" outlineLevel="0" collapsed="false">
      <c r="A4065" s="2" t="n">
        <v>28</v>
      </c>
      <c r="B4065" s="2" t="s">
        <v>26</v>
      </c>
      <c r="C4065" s="2" t="s">
        <v>41</v>
      </c>
      <c r="D4065" s="2" t="s">
        <v>35</v>
      </c>
      <c r="E4065" s="2" t="n">
        <v>21</v>
      </c>
      <c r="F4065" s="2" t="n">
        <v>1</v>
      </c>
      <c r="G4065" s="2" t="s">
        <v>43</v>
      </c>
      <c r="H4065" s="2" t="n">
        <v>4064</v>
      </c>
      <c r="I4065" s="2" t="s">
        <v>39</v>
      </c>
      <c r="J4065" s="2" t="n">
        <v>3</v>
      </c>
      <c r="K4065" s="2" t="s">
        <v>36</v>
      </c>
      <c r="L4065" s="2" t="s">
        <v>37</v>
      </c>
      <c r="M4065" s="2" t="n">
        <v>79780</v>
      </c>
      <c r="N4065" s="2" t="n">
        <v>1</v>
      </c>
      <c r="O4065" s="2" t="n">
        <v>16</v>
      </c>
      <c r="P4065" s="2" t="n">
        <v>2</v>
      </c>
      <c r="Q4065" s="2" t="n">
        <v>5</v>
      </c>
      <c r="R4065" s="2" t="n">
        <v>2</v>
      </c>
      <c r="S4065" s="2" t="n">
        <v>5</v>
      </c>
      <c r="T4065" s="2" t="n">
        <v>1</v>
      </c>
      <c r="U4065" s="2" t="n">
        <v>4</v>
      </c>
      <c r="V4065" s="2" t="n">
        <v>3</v>
      </c>
      <c r="W4065" s="2" t="n">
        <v>3</v>
      </c>
      <c r="X4065" s="2" t="n">
        <v>2</v>
      </c>
      <c r="Y4065" s="2" t="n">
        <v>3</v>
      </c>
      <c r="Z4065" s="2" t="n">
        <v>3</v>
      </c>
    </row>
    <row r="4066" customFormat="false" ht="15" hidden="false" customHeight="true" outlineLevel="0" collapsed="false">
      <c r="A4066" s="2" t="n">
        <v>31</v>
      </c>
      <c r="B4066" s="2" t="s">
        <v>26</v>
      </c>
      <c r="C4066" s="2" t="s">
        <v>41</v>
      </c>
      <c r="D4066" s="2" t="s">
        <v>28</v>
      </c>
      <c r="E4066" s="2" t="n">
        <v>23</v>
      </c>
      <c r="F4066" s="2" t="n">
        <v>1</v>
      </c>
      <c r="G4066" s="2" t="s">
        <v>43</v>
      </c>
      <c r="H4066" s="2" t="n">
        <v>4065</v>
      </c>
      <c r="I4066" s="2" t="s">
        <v>39</v>
      </c>
      <c r="J4066" s="2" t="n">
        <v>1</v>
      </c>
      <c r="K4066" s="2" t="s">
        <v>40</v>
      </c>
      <c r="L4066" s="2" t="s">
        <v>46</v>
      </c>
      <c r="M4066" s="2" t="n">
        <v>38670</v>
      </c>
      <c r="N4066" s="2" t="n">
        <v>1</v>
      </c>
      <c r="O4066" s="2" t="n">
        <v>11</v>
      </c>
      <c r="P4066" s="2" t="n">
        <v>1</v>
      </c>
      <c r="Q4066" s="2" t="n">
        <v>4</v>
      </c>
      <c r="R4066" s="2" t="n">
        <v>4</v>
      </c>
      <c r="S4066" s="2" t="n">
        <v>4</v>
      </c>
      <c r="T4066" s="2" t="n">
        <v>2</v>
      </c>
      <c r="U4066" s="2" t="n">
        <v>3</v>
      </c>
      <c r="V4066" s="2" t="n">
        <v>3</v>
      </c>
      <c r="W4066" s="2" t="n">
        <v>1</v>
      </c>
      <c r="X4066" s="2" t="n">
        <v>4</v>
      </c>
      <c r="Y4066" s="2" t="n">
        <v>4</v>
      </c>
      <c r="Z4066" s="2" t="n">
        <v>3</v>
      </c>
    </row>
    <row r="4067" customFormat="false" ht="15" hidden="false" customHeight="true" outlineLevel="0" collapsed="false">
      <c r="A4067" s="2" t="n">
        <v>36</v>
      </c>
      <c r="B4067" s="2" t="s">
        <v>26</v>
      </c>
      <c r="C4067" s="2" t="s">
        <v>41</v>
      </c>
      <c r="D4067" s="2" t="s">
        <v>35</v>
      </c>
      <c r="E4067" s="2" t="n">
        <v>1</v>
      </c>
      <c r="F4067" s="2" t="n">
        <v>3</v>
      </c>
      <c r="G4067" s="2" t="s">
        <v>29</v>
      </c>
      <c r="H4067" s="2" t="n">
        <v>4066</v>
      </c>
      <c r="I4067" s="2" t="s">
        <v>39</v>
      </c>
      <c r="J4067" s="2" t="n">
        <v>2</v>
      </c>
      <c r="K4067" s="2" t="s">
        <v>36</v>
      </c>
      <c r="L4067" s="2" t="s">
        <v>32</v>
      </c>
      <c r="M4067" s="2" t="n">
        <v>28380</v>
      </c>
      <c r="N4067" s="2" t="n">
        <v>1</v>
      </c>
      <c r="O4067" s="2" t="n">
        <v>19</v>
      </c>
      <c r="P4067" s="2" t="n">
        <v>2</v>
      </c>
      <c r="Q4067" s="2" t="n">
        <v>5</v>
      </c>
      <c r="R4067" s="2" t="n">
        <v>5</v>
      </c>
      <c r="S4067" s="2" t="n">
        <v>5</v>
      </c>
      <c r="T4067" s="2" t="n">
        <v>0</v>
      </c>
      <c r="U4067" s="2" t="n">
        <v>2</v>
      </c>
      <c r="V4067" s="2" t="n">
        <v>1</v>
      </c>
      <c r="W4067" s="2" t="n">
        <v>2</v>
      </c>
      <c r="X4067" s="2" t="n">
        <v>3</v>
      </c>
      <c r="Y4067" s="2" t="n">
        <v>1</v>
      </c>
      <c r="Z4067" s="2" t="n">
        <v>3</v>
      </c>
    </row>
    <row r="4068" customFormat="false" ht="15" hidden="false" customHeight="true" outlineLevel="0" collapsed="false">
      <c r="A4068" s="2" t="n">
        <v>34</v>
      </c>
      <c r="B4068" s="2" t="s">
        <v>26</v>
      </c>
      <c r="C4068" s="2" t="s">
        <v>27</v>
      </c>
      <c r="D4068" s="2" t="s">
        <v>28</v>
      </c>
      <c r="E4068" s="2" t="n">
        <v>2</v>
      </c>
      <c r="F4068" s="2" t="n">
        <v>3</v>
      </c>
      <c r="G4068" s="2" t="s">
        <v>50</v>
      </c>
      <c r="H4068" s="2" t="n">
        <v>4067</v>
      </c>
      <c r="I4068" s="2" t="s">
        <v>39</v>
      </c>
      <c r="J4068" s="2" t="n">
        <v>4</v>
      </c>
      <c r="K4068" s="2" t="s">
        <v>31</v>
      </c>
      <c r="L4068" s="2" t="s">
        <v>37</v>
      </c>
      <c r="M4068" s="2" t="n">
        <v>46950</v>
      </c>
      <c r="N4068" s="2" t="n">
        <v>1</v>
      </c>
      <c r="O4068" s="2" t="n">
        <v>16</v>
      </c>
      <c r="P4068" s="2" t="n">
        <v>1</v>
      </c>
      <c r="Q4068" s="2" t="n">
        <v>14</v>
      </c>
      <c r="R4068" s="2" t="n">
        <v>2</v>
      </c>
      <c r="S4068" s="2" t="n">
        <v>14</v>
      </c>
      <c r="T4068" s="2" t="n">
        <v>2</v>
      </c>
      <c r="U4068" s="2" t="n">
        <v>1</v>
      </c>
      <c r="V4068" s="2" t="n">
        <v>1</v>
      </c>
      <c r="W4068" s="2" t="n">
        <v>4</v>
      </c>
      <c r="X4068" s="2" t="n">
        <v>2</v>
      </c>
      <c r="Y4068" s="2" t="n">
        <v>3</v>
      </c>
      <c r="Z4068" s="2" t="n">
        <v>3</v>
      </c>
    </row>
    <row r="4069" customFormat="false" ht="15" hidden="false" customHeight="true" outlineLevel="0" collapsed="false">
      <c r="A4069" s="2" t="n">
        <v>34</v>
      </c>
      <c r="B4069" s="2" t="s">
        <v>26</v>
      </c>
      <c r="C4069" s="2" t="s">
        <v>27</v>
      </c>
      <c r="D4069" s="2" t="s">
        <v>35</v>
      </c>
      <c r="E4069" s="2" t="n">
        <v>19</v>
      </c>
      <c r="F4069" s="2" t="n">
        <v>3</v>
      </c>
      <c r="G4069" s="2" t="s">
        <v>51</v>
      </c>
      <c r="H4069" s="2" t="n">
        <v>4068</v>
      </c>
      <c r="I4069" s="2" t="s">
        <v>30</v>
      </c>
      <c r="J4069" s="2" t="n">
        <v>1</v>
      </c>
      <c r="K4069" s="2" t="s">
        <v>44</v>
      </c>
      <c r="L4069" s="2" t="s">
        <v>46</v>
      </c>
      <c r="M4069" s="2" t="n">
        <v>33390</v>
      </c>
      <c r="N4069" s="2" t="n">
        <v>1</v>
      </c>
      <c r="O4069" s="2" t="n">
        <v>16</v>
      </c>
      <c r="P4069" s="2" t="n">
        <v>0</v>
      </c>
      <c r="Q4069" s="2" t="n">
        <v>9</v>
      </c>
      <c r="R4069" s="2" t="n">
        <v>2</v>
      </c>
      <c r="S4069" s="2" t="n">
        <v>8</v>
      </c>
      <c r="T4069" s="2" t="n">
        <v>1</v>
      </c>
      <c r="U4069" s="2" t="n">
        <v>1</v>
      </c>
      <c r="V4069" s="2" t="n">
        <v>4</v>
      </c>
      <c r="W4069" s="2" t="n">
        <v>3</v>
      </c>
      <c r="X4069" s="2" t="n">
        <v>2</v>
      </c>
      <c r="Y4069" s="2" t="n">
        <v>2</v>
      </c>
      <c r="Z4069" s="2" t="n">
        <v>3</v>
      </c>
    </row>
    <row r="4070" customFormat="false" ht="15" hidden="false" customHeight="true" outlineLevel="0" collapsed="false">
      <c r="A4070" s="2" t="n">
        <v>26</v>
      </c>
      <c r="B4070" s="2" t="s">
        <v>26</v>
      </c>
      <c r="C4070" s="2" t="s">
        <v>27</v>
      </c>
      <c r="D4070" s="2" t="s">
        <v>35</v>
      </c>
      <c r="E4070" s="2" t="n">
        <v>2</v>
      </c>
      <c r="F4070" s="2" t="n">
        <v>2</v>
      </c>
      <c r="G4070" s="2" t="s">
        <v>29</v>
      </c>
      <c r="H4070" s="2" t="n">
        <v>4069</v>
      </c>
      <c r="I4070" s="2" t="s">
        <v>39</v>
      </c>
      <c r="J4070" s="2" t="n">
        <v>2</v>
      </c>
      <c r="K4070" s="2" t="s">
        <v>36</v>
      </c>
      <c r="L4070" s="2" t="s">
        <v>37</v>
      </c>
      <c r="M4070" s="2" t="n">
        <v>20800</v>
      </c>
      <c r="N4070" s="2" t="n">
        <v>0</v>
      </c>
      <c r="O4070" s="2" t="n">
        <v>13</v>
      </c>
      <c r="P4070" s="2" t="n">
        <v>0</v>
      </c>
      <c r="Q4070" s="2" t="n">
        <v>8</v>
      </c>
      <c r="R4070" s="2" t="n">
        <v>6</v>
      </c>
      <c r="S4070" s="2" t="n">
        <v>7</v>
      </c>
      <c r="T4070" s="2" t="n">
        <v>7</v>
      </c>
      <c r="U4070" s="2" t="n">
        <v>6</v>
      </c>
      <c r="V4070" s="2" t="n">
        <v>3</v>
      </c>
      <c r="W4070" s="2" t="n">
        <v>1</v>
      </c>
      <c r="X4070" s="2" t="n">
        <v>2</v>
      </c>
      <c r="Y4070" s="2" t="n">
        <v>4</v>
      </c>
      <c r="Z4070" s="2" t="n">
        <v>3</v>
      </c>
    </row>
    <row r="4071" customFormat="false" ht="15" hidden="false" customHeight="true" outlineLevel="0" collapsed="false">
      <c r="A4071" s="2" t="n">
        <v>29</v>
      </c>
      <c r="B4071" s="2" t="s">
        <v>26</v>
      </c>
      <c r="C4071" s="2" t="s">
        <v>27</v>
      </c>
      <c r="D4071" s="2" t="s">
        <v>35</v>
      </c>
      <c r="E4071" s="2" t="n">
        <v>2</v>
      </c>
      <c r="F4071" s="2" t="n">
        <v>4</v>
      </c>
      <c r="G4071" s="2" t="s">
        <v>38</v>
      </c>
      <c r="H4071" s="2" t="n">
        <v>4070</v>
      </c>
      <c r="I4071" s="2" t="s">
        <v>39</v>
      </c>
      <c r="J4071" s="2" t="n">
        <v>2</v>
      </c>
      <c r="K4071" s="2" t="s">
        <v>45</v>
      </c>
      <c r="L4071" s="2" t="s">
        <v>32</v>
      </c>
      <c r="M4071" s="2" t="n">
        <v>20960</v>
      </c>
      <c r="N4071" s="2" t="n">
        <v>0</v>
      </c>
      <c r="O4071" s="2" t="n">
        <v>22</v>
      </c>
      <c r="P4071" s="2" t="n">
        <v>0</v>
      </c>
      <c r="Q4071" s="2" t="n">
        <v>6</v>
      </c>
      <c r="R4071" s="2" t="n">
        <v>2</v>
      </c>
      <c r="S4071" s="2" t="n">
        <v>5</v>
      </c>
      <c r="T4071" s="2" t="n">
        <v>0</v>
      </c>
      <c r="U4071" s="2" t="n">
        <v>2</v>
      </c>
      <c r="V4071" s="2" t="n">
        <v>1</v>
      </c>
      <c r="W4071" s="2" t="n">
        <v>1</v>
      </c>
      <c r="X4071" s="2" t="n">
        <v>2</v>
      </c>
      <c r="Y4071" s="2" t="n">
        <v>4</v>
      </c>
      <c r="Z4071" s="2" t="n">
        <v>4</v>
      </c>
    </row>
    <row r="4072" customFormat="false" ht="15" hidden="false" customHeight="true" outlineLevel="0" collapsed="false">
      <c r="A4072" s="2" t="n">
        <v>32</v>
      </c>
      <c r="B4072" s="2" t="s">
        <v>26</v>
      </c>
      <c r="C4072" s="2" t="s">
        <v>41</v>
      </c>
      <c r="D4072" s="2" t="s">
        <v>35</v>
      </c>
      <c r="E4072" s="2" t="n">
        <v>3</v>
      </c>
      <c r="F4072" s="2" t="n">
        <v>1</v>
      </c>
      <c r="G4072" s="2" t="s">
        <v>29</v>
      </c>
      <c r="H4072" s="2" t="n">
        <v>4071</v>
      </c>
      <c r="I4072" s="2" t="s">
        <v>39</v>
      </c>
      <c r="J4072" s="2" t="n">
        <v>3</v>
      </c>
      <c r="K4072" s="2" t="s">
        <v>49</v>
      </c>
      <c r="L4072" s="2" t="s">
        <v>46</v>
      </c>
      <c r="M4072" s="2" t="n">
        <v>62090</v>
      </c>
      <c r="N4072" s="2" t="n">
        <v>5</v>
      </c>
      <c r="O4072" s="2" t="n">
        <v>17</v>
      </c>
      <c r="P4072" s="2" t="n">
        <v>1</v>
      </c>
      <c r="Q4072" s="2" t="n">
        <v>9</v>
      </c>
      <c r="R4072" s="2" t="n">
        <v>5</v>
      </c>
      <c r="S4072" s="2" t="n">
        <v>5</v>
      </c>
      <c r="T4072" s="2" t="n">
        <v>1</v>
      </c>
      <c r="U4072" s="2" t="n">
        <v>2</v>
      </c>
      <c r="V4072" s="2" t="n">
        <v>3</v>
      </c>
      <c r="W4072" s="2" t="n">
        <v>4</v>
      </c>
      <c r="X4072" s="2" t="n">
        <v>3</v>
      </c>
      <c r="Y4072" s="2" t="n">
        <v>4</v>
      </c>
      <c r="Z4072" s="2" t="n">
        <v>3</v>
      </c>
    </row>
    <row r="4073" customFormat="false" ht="15" hidden="false" customHeight="true" outlineLevel="0" collapsed="false">
      <c r="A4073" s="2" t="n">
        <v>31</v>
      </c>
      <c r="B4073" s="2" t="s">
        <v>26</v>
      </c>
      <c r="C4073" s="2" t="s">
        <v>34</v>
      </c>
      <c r="D4073" s="2" t="s">
        <v>35</v>
      </c>
      <c r="E4073" s="2" t="n">
        <v>25</v>
      </c>
      <c r="F4073" s="2" t="n">
        <v>5</v>
      </c>
      <c r="G4073" s="2" t="s">
        <v>51</v>
      </c>
      <c r="H4073" s="2" t="n">
        <v>4072</v>
      </c>
      <c r="I4073" s="2" t="s">
        <v>30</v>
      </c>
      <c r="J4073" s="2" t="n">
        <v>2</v>
      </c>
      <c r="K4073" s="2" t="s">
        <v>42</v>
      </c>
      <c r="L4073" s="2" t="s">
        <v>32</v>
      </c>
      <c r="M4073" s="2" t="n">
        <v>180610</v>
      </c>
      <c r="N4073" s="2" t="n">
        <v>1</v>
      </c>
      <c r="O4073" s="2" t="n">
        <v>14</v>
      </c>
      <c r="P4073" s="2" t="n">
        <v>1</v>
      </c>
      <c r="Q4073" s="2" t="n">
        <v>10</v>
      </c>
      <c r="R4073" s="2" t="n">
        <v>2</v>
      </c>
      <c r="S4073" s="2" t="n">
        <v>10</v>
      </c>
      <c r="T4073" s="2" t="n">
        <v>8</v>
      </c>
      <c r="U4073" s="2" t="n">
        <v>7</v>
      </c>
      <c r="V4073" s="2" t="n">
        <v>4</v>
      </c>
      <c r="W4073" s="2" t="n">
        <v>1</v>
      </c>
      <c r="X4073" s="2" t="n">
        <v>3</v>
      </c>
      <c r="Y4073" s="2" t="n">
        <v>3</v>
      </c>
      <c r="Z4073" s="2" t="n">
        <v>3</v>
      </c>
    </row>
    <row r="4074" customFormat="false" ht="15" hidden="false" customHeight="true" outlineLevel="0" collapsed="false">
      <c r="A4074" s="2" t="n">
        <v>28</v>
      </c>
      <c r="B4074" s="2" t="s">
        <v>33</v>
      </c>
      <c r="C4074" s="2" t="s">
        <v>27</v>
      </c>
      <c r="D4074" s="2" t="s">
        <v>28</v>
      </c>
      <c r="E4074" s="2" t="n">
        <v>7</v>
      </c>
      <c r="F4074" s="2" t="n">
        <v>5</v>
      </c>
      <c r="G4074" s="2" t="s">
        <v>29</v>
      </c>
      <c r="H4074" s="2" t="n">
        <v>4073</v>
      </c>
      <c r="I4074" s="2" t="s">
        <v>30</v>
      </c>
      <c r="J4074" s="2" t="n">
        <v>2</v>
      </c>
      <c r="K4074" s="2" t="s">
        <v>48</v>
      </c>
      <c r="L4074" s="2" t="s">
        <v>46</v>
      </c>
      <c r="M4074" s="2" t="n">
        <v>171230</v>
      </c>
      <c r="N4074" s="2" t="n">
        <v>5</v>
      </c>
      <c r="O4074" s="2" t="n">
        <v>15</v>
      </c>
      <c r="P4074" s="2" t="n">
        <v>1</v>
      </c>
      <c r="Q4074" s="2" t="n">
        <v>6</v>
      </c>
      <c r="R4074" s="2" t="n">
        <v>2</v>
      </c>
      <c r="S4074" s="2" t="n">
        <v>4</v>
      </c>
      <c r="T4074" s="2" t="n">
        <v>0</v>
      </c>
      <c r="U4074" s="2" t="n">
        <v>3</v>
      </c>
      <c r="V4074" s="2" t="n">
        <v>3</v>
      </c>
      <c r="W4074" s="2" t="n">
        <v>4</v>
      </c>
      <c r="X4074" s="2" t="n">
        <v>2</v>
      </c>
      <c r="Y4074" s="2" t="n">
        <v>2</v>
      </c>
      <c r="Z4074" s="2" t="n">
        <v>3</v>
      </c>
    </row>
    <row r="4075" customFormat="false" ht="15" hidden="false" customHeight="true" outlineLevel="0" collapsed="false">
      <c r="A4075" s="2" t="n">
        <v>38</v>
      </c>
      <c r="B4075" s="2" t="s">
        <v>26</v>
      </c>
      <c r="C4075" s="2" t="s">
        <v>27</v>
      </c>
      <c r="D4075" s="2" t="s">
        <v>35</v>
      </c>
      <c r="E4075" s="2" t="n">
        <v>9</v>
      </c>
      <c r="F4075" s="2" t="n">
        <v>2</v>
      </c>
      <c r="G4075" s="2" t="s">
        <v>51</v>
      </c>
      <c r="H4075" s="2" t="n">
        <v>4074</v>
      </c>
      <c r="I4075" s="2" t="s">
        <v>39</v>
      </c>
      <c r="J4075" s="2" t="n">
        <v>3</v>
      </c>
      <c r="K4075" s="2" t="s">
        <v>48</v>
      </c>
      <c r="L4075" s="2" t="s">
        <v>37</v>
      </c>
      <c r="M4075" s="2" t="n">
        <v>23720</v>
      </c>
      <c r="N4075" s="2" t="n">
        <v>4</v>
      </c>
      <c r="O4075" s="2" t="n">
        <v>12</v>
      </c>
      <c r="P4075" s="2" t="n">
        <v>0</v>
      </c>
      <c r="Q4075" s="2" t="n">
        <v>20</v>
      </c>
      <c r="R4075" s="2" t="n">
        <v>3</v>
      </c>
      <c r="S4075" s="2" t="n">
        <v>1</v>
      </c>
      <c r="T4075" s="2" t="n">
        <v>0</v>
      </c>
      <c r="U4075" s="2" t="n">
        <v>0</v>
      </c>
      <c r="V4075" s="2" t="n">
        <v>1</v>
      </c>
      <c r="W4075" s="2" t="n">
        <v>1</v>
      </c>
      <c r="X4075" s="2" t="n">
        <v>2</v>
      </c>
      <c r="Y4075" s="2" t="n">
        <v>2</v>
      </c>
      <c r="Z4075" s="2" t="n">
        <v>3</v>
      </c>
    </row>
    <row r="4076" customFormat="false" ht="15" hidden="false" customHeight="true" outlineLevel="0" collapsed="false">
      <c r="A4076" s="2" t="n">
        <v>35</v>
      </c>
      <c r="B4076" s="2" t="s">
        <v>26</v>
      </c>
      <c r="C4076" s="2" t="s">
        <v>27</v>
      </c>
      <c r="D4076" s="2" t="s">
        <v>35</v>
      </c>
      <c r="E4076" s="2" t="n">
        <v>5</v>
      </c>
      <c r="F4076" s="2" t="n">
        <v>3</v>
      </c>
      <c r="G4076" s="2" t="s">
        <v>29</v>
      </c>
      <c r="H4076" s="2" t="n">
        <v>4075</v>
      </c>
      <c r="I4076" s="2" t="s">
        <v>39</v>
      </c>
      <c r="J4076" s="2" t="n">
        <v>2</v>
      </c>
      <c r="K4076" s="2" t="s">
        <v>48</v>
      </c>
      <c r="L4076" s="2" t="s">
        <v>32</v>
      </c>
      <c r="M4076" s="2" t="n">
        <v>48830</v>
      </c>
      <c r="N4076" s="2" t="n">
        <v>1</v>
      </c>
      <c r="O4076" s="2" t="n">
        <v>18</v>
      </c>
      <c r="P4076" s="2" t="n">
        <v>1</v>
      </c>
      <c r="Q4076" s="2" t="n">
        <v>10</v>
      </c>
      <c r="R4076" s="2" t="n">
        <v>1</v>
      </c>
      <c r="S4076" s="2" t="n">
        <v>10</v>
      </c>
      <c r="T4076" s="2" t="n">
        <v>0</v>
      </c>
      <c r="U4076" s="2" t="n">
        <v>9</v>
      </c>
      <c r="V4076" s="2" t="n">
        <v>3</v>
      </c>
      <c r="W4076" s="2" t="n">
        <v>4</v>
      </c>
      <c r="X4076" s="2" t="n">
        <v>3</v>
      </c>
      <c r="Y4076" s="2" t="n">
        <v>1</v>
      </c>
      <c r="Z4076" s="2" t="n">
        <v>3</v>
      </c>
    </row>
    <row r="4077" customFormat="false" ht="15" hidden="false" customHeight="true" outlineLevel="0" collapsed="false">
      <c r="A4077" s="2" t="n">
        <v>27</v>
      </c>
      <c r="B4077" s="2" t="s">
        <v>26</v>
      </c>
      <c r="C4077" s="2" t="s">
        <v>27</v>
      </c>
      <c r="D4077" s="2" t="s">
        <v>28</v>
      </c>
      <c r="E4077" s="2" t="n">
        <v>2</v>
      </c>
      <c r="F4077" s="2" t="n">
        <v>3</v>
      </c>
      <c r="G4077" s="2" t="s">
        <v>29</v>
      </c>
      <c r="H4077" s="2" t="n">
        <v>4076</v>
      </c>
      <c r="I4077" s="2" t="s">
        <v>30</v>
      </c>
      <c r="J4077" s="2" t="n">
        <v>1</v>
      </c>
      <c r="K4077" s="2" t="s">
        <v>49</v>
      </c>
      <c r="L4077" s="2" t="s">
        <v>37</v>
      </c>
      <c r="M4077" s="2" t="n">
        <v>39040</v>
      </c>
      <c r="N4077" s="2" t="n">
        <v>1</v>
      </c>
      <c r="O4077" s="2" t="n">
        <v>15</v>
      </c>
      <c r="P4077" s="2" t="n">
        <v>0</v>
      </c>
      <c r="Q4077" s="2" t="n">
        <v>7</v>
      </c>
      <c r="R4077" s="2" t="n">
        <v>2</v>
      </c>
      <c r="S4077" s="2" t="n">
        <v>7</v>
      </c>
      <c r="T4077" s="2" t="n">
        <v>0</v>
      </c>
      <c r="U4077" s="2" t="n">
        <v>7</v>
      </c>
      <c r="V4077" s="2" t="n">
        <v>4</v>
      </c>
      <c r="W4077" s="2" t="n">
        <v>4</v>
      </c>
      <c r="X4077" s="2" t="n">
        <v>3</v>
      </c>
      <c r="Y4077" s="2" t="n">
        <v>3</v>
      </c>
      <c r="Z4077" s="2" t="n">
        <v>3</v>
      </c>
    </row>
    <row r="4078" customFormat="false" ht="15" hidden="false" customHeight="true" outlineLevel="0" collapsed="false">
      <c r="A4078" s="2" t="n">
        <v>32</v>
      </c>
      <c r="B4078" s="2" t="s">
        <v>26</v>
      </c>
      <c r="C4078" s="2" t="s">
        <v>27</v>
      </c>
      <c r="D4078" s="2" t="s">
        <v>35</v>
      </c>
      <c r="E4078" s="2" t="n">
        <v>8</v>
      </c>
      <c r="F4078" s="2" t="n">
        <v>1</v>
      </c>
      <c r="G4078" s="2" t="s">
        <v>43</v>
      </c>
      <c r="H4078" s="2" t="n">
        <v>4077</v>
      </c>
      <c r="I4078" s="2" t="s">
        <v>30</v>
      </c>
      <c r="J4078" s="2" t="n">
        <v>2</v>
      </c>
      <c r="K4078" s="2" t="s">
        <v>36</v>
      </c>
      <c r="L4078" s="2" t="s">
        <v>37</v>
      </c>
      <c r="M4078" s="2" t="n">
        <v>46270</v>
      </c>
      <c r="N4078" s="2" t="n">
        <v>8</v>
      </c>
      <c r="O4078" s="2" t="n">
        <v>17</v>
      </c>
      <c r="P4078" s="2" t="n">
        <v>1</v>
      </c>
      <c r="Q4078" s="2" t="n">
        <v>8</v>
      </c>
      <c r="R4078" s="2" t="n">
        <v>2</v>
      </c>
      <c r="S4078" s="2" t="n">
        <v>1</v>
      </c>
      <c r="T4078" s="2" t="n">
        <v>0</v>
      </c>
      <c r="U4078" s="2" t="n">
        <v>0</v>
      </c>
      <c r="V4078" s="2" t="n">
        <v>4</v>
      </c>
      <c r="W4078" s="2" t="n">
        <v>4</v>
      </c>
      <c r="X4078" s="2" t="n">
        <v>3</v>
      </c>
      <c r="Y4078" s="2" t="n">
        <v>2</v>
      </c>
      <c r="Z4078" s="2" t="n">
        <v>3</v>
      </c>
    </row>
    <row r="4079" customFormat="false" ht="15" hidden="false" customHeight="true" outlineLevel="0" collapsed="false">
      <c r="A4079" s="2" t="n">
        <v>31</v>
      </c>
      <c r="B4079" s="2" t="s">
        <v>33</v>
      </c>
      <c r="C4079" s="2" t="s">
        <v>34</v>
      </c>
      <c r="D4079" s="2" t="s">
        <v>35</v>
      </c>
      <c r="E4079" s="2" t="n">
        <v>2</v>
      </c>
      <c r="F4079" s="2" t="n">
        <v>1</v>
      </c>
      <c r="G4079" s="2" t="s">
        <v>38</v>
      </c>
      <c r="H4079" s="2" t="n">
        <v>4078</v>
      </c>
      <c r="I4079" s="2" t="s">
        <v>39</v>
      </c>
      <c r="J4079" s="2" t="n">
        <v>3</v>
      </c>
      <c r="K4079" s="2" t="s">
        <v>40</v>
      </c>
      <c r="L4079" s="2" t="s">
        <v>32</v>
      </c>
      <c r="M4079" s="2" t="n">
        <v>70940</v>
      </c>
      <c r="N4079" s="2" t="n">
        <v>1</v>
      </c>
      <c r="O4079" s="2" t="n">
        <v>14</v>
      </c>
      <c r="P4079" s="2" t="n">
        <v>1</v>
      </c>
      <c r="Q4079" s="2" t="n">
        <v>10</v>
      </c>
      <c r="R4079" s="2" t="n">
        <v>2</v>
      </c>
      <c r="S4079" s="2" t="n">
        <v>10</v>
      </c>
      <c r="T4079" s="2" t="n">
        <v>0</v>
      </c>
      <c r="U4079" s="2" t="n">
        <v>8</v>
      </c>
      <c r="V4079" s="2" t="n">
        <v>1</v>
      </c>
      <c r="W4079" s="2" t="n">
        <v>4</v>
      </c>
      <c r="X4079" s="2" t="n">
        <v>3</v>
      </c>
      <c r="Y4079" s="2" t="n">
        <v>3</v>
      </c>
      <c r="Z4079" s="2" t="n">
        <v>3</v>
      </c>
    </row>
    <row r="4080" customFormat="false" ht="15" hidden="false" customHeight="true" outlineLevel="0" collapsed="false">
      <c r="A4080" s="2" t="n">
        <v>53</v>
      </c>
      <c r="B4080" s="2" t="s">
        <v>33</v>
      </c>
      <c r="C4080" s="2" t="s">
        <v>27</v>
      </c>
      <c r="D4080" s="2" t="s">
        <v>35</v>
      </c>
      <c r="E4080" s="2" t="n">
        <v>18</v>
      </c>
      <c r="F4080" s="2" t="n">
        <v>3</v>
      </c>
      <c r="G4080" s="2" t="s">
        <v>43</v>
      </c>
      <c r="H4080" s="2" t="n">
        <v>4079</v>
      </c>
      <c r="I4080" s="2" t="s">
        <v>39</v>
      </c>
      <c r="J4080" s="2" t="n">
        <v>1</v>
      </c>
      <c r="K4080" s="2" t="s">
        <v>36</v>
      </c>
      <c r="L4080" s="2" t="s">
        <v>37</v>
      </c>
      <c r="M4080" s="2" t="n">
        <v>34230</v>
      </c>
      <c r="N4080" s="2" t="n">
        <v>6</v>
      </c>
      <c r="O4080" s="2" t="n">
        <v>15</v>
      </c>
      <c r="P4080" s="2" t="n">
        <v>1</v>
      </c>
      <c r="Q4080" s="2" t="n">
        <v>15</v>
      </c>
      <c r="R4080" s="2" t="n">
        <v>4</v>
      </c>
      <c r="S4080" s="2" t="n">
        <v>2</v>
      </c>
      <c r="T4080" s="2" t="n">
        <v>2</v>
      </c>
      <c r="U4080" s="2" t="n">
        <v>2</v>
      </c>
      <c r="V4080" s="2" t="n">
        <v>1</v>
      </c>
      <c r="W4080" s="2" t="n">
        <v>1</v>
      </c>
      <c r="X4080" s="2" t="n">
        <v>2</v>
      </c>
      <c r="Y4080" s="2" t="n">
        <v>3</v>
      </c>
      <c r="Z4080" s="2" t="n">
        <v>3</v>
      </c>
    </row>
    <row r="4081" customFormat="false" ht="15" hidden="false" customHeight="true" outlineLevel="0" collapsed="false">
      <c r="A4081" s="2" t="n">
        <v>54</v>
      </c>
      <c r="B4081" s="2" t="s">
        <v>26</v>
      </c>
      <c r="C4081" s="2" t="s">
        <v>27</v>
      </c>
      <c r="D4081" s="2" t="s">
        <v>35</v>
      </c>
      <c r="E4081" s="2" t="n">
        <v>14</v>
      </c>
      <c r="F4081" s="2" t="n">
        <v>3</v>
      </c>
      <c r="G4081" s="2" t="s">
        <v>38</v>
      </c>
      <c r="H4081" s="2" t="n">
        <v>4080</v>
      </c>
      <c r="I4081" s="2" t="s">
        <v>39</v>
      </c>
      <c r="J4081" s="2" t="n">
        <v>3</v>
      </c>
      <c r="K4081" s="2" t="s">
        <v>36</v>
      </c>
      <c r="L4081" s="2" t="s">
        <v>32</v>
      </c>
      <c r="M4081" s="2" t="n">
        <v>66740</v>
      </c>
      <c r="N4081" s="2" t="n">
        <v>3</v>
      </c>
      <c r="O4081" s="2" t="n">
        <v>17</v>
      </c>
      <c r="P4081" s="2" t="n">
        <v>1</v>
      </c>
      <c r="Q4081" s="2" t="n">
        <v>9</v>
      </c>
      <c r="R4081" s="2" t="n">
        <v>2</v>
      </c>
      <c r="S4081" s="2" t="n">
        <v>4</v>
      </c>
      <c r="T4081" s="2" t="n">
        <v>2</v>
      </c>
      <c r="U4081" s="2" t="n">
        <v>3</v>
      </c>
      <c r="V4081" s="2" t="n">
        <v>1</v>
      </c>
      <c r="W4081" s="2" t="n">
        <v>3</v>
      </c>
      <c r="X4081" s="2" t="n">
        <v>2</v>
      </c>
      <c r="Y4081" s="2" t="n">
        <v>3</v>
      </c>
      <c r="Z4081" s="2" t="n">
        <v>3</v>
      </c>
    </row>
    <row r="4082" customFormat="false" ht="15" hidden="false" customHeight="true" outlineLevel="0" collapsed="false">
      <c r="A4082" s="2" t="n">
        <v>33</v>
      </c>
      <c r="B4082" s="2" t="s">
        <v>26</v>
      </c>
      <c r="C4082" s="2" t="s">
        <v>34</v>
      </c>
      <c r="D4082" s="2" t="s">
        <v>35</v>
      </c>
      <c r="E4082" s="2" t="n">
        <v>2</v>
      </c>
      <c r="F4082" s="2" t="n">
        <v>4</v>
      </c>
      <c r="G4082" s="2" t="s">
        <v>43</v>
      </c>
      <c r="H4082" s="2" t="n">
        <v>4081</v>
      </c>
      <c r="I4082" s="2" t="s">
        <v>30</v>
      </c>
      <c r="J4082" s="2" t="n">
        <v>4</v>
      </c>
      <c r="K4082" s="2" t="s">
        <v>40</v>
      </c>
      <c r="L4082" s="2" t="s">
        <v>46</v>
      </c>
      <c r="M4082" s="2" t="n">
        <v>168800</v>
      </c>
      <c r="N4082" s="2" t="n">
        <v>1</v>
      </c>
      <c r="O4082" s="2" t="n">
        <v>14</v>
      </c>
      <c r="P4082" s="2" t="n">
        <v>3</v>
      </c>
      <c r="Q4082" s="2" t="n">
        <v>9</v>
      </c>
      <c r="R4082" s="2" t="n">
        <v>2</v>
      </c>
      <c r="S4082" s="2" t="n">
        <v>9</v>
      </c>
      <c r="T4082" s="2" t="n">
        <v>2</v>
      </c>
      <c r="U4082" s="2" t="n">
        <v>8</v>
      </c>
      <c r="V4082" s="2" t="n">
        <v>4</v>
      </c>
      <c r="W4082" s="2" t="n">
        <v>3</v>
      </c>
      <c r="X4082" s="2" t="n">
        <v>3</v>
      </c>
      <c r="Y4082" s="2" t="n">
        <v>3</v>
      </c>
      <c r="Z4082" s="2" t="n">
        <v>3</v>
      </c>
    </row>
    <row r="4083" customFormat="false" ht="15" hidden="false" customHeight="true" outlineLevel="0" collapsed="false">
      <c r="A4083" s="2" t="n">
        <v>43</v>
      </c>
      <c r="B4083" s="2" t="s">
        <v>26</v>
      </c>
      <c r="C4083" s="2" t="s">
        <v>27</v>
      </c>
      <c r="D4083" s="2" t="s">
        <v>35</v>
      </c>
      <c r="E4083" s="2" t="n">
        <v>3</v>
      </c>
      <c r="F4083" s="2" t="n">
        <v>3</v>
      </c>
      <c r="G4083" s="2" t="s">
        <v>43</v>
      </c>
      <c r="H4083" s="2" t="n">
        <v>4082</v>
      </c>
      <c r="I4083" s="2" t="s">
        <v>39</v>
      </c>
      <c r="J4083" s="2" t="n">
        <v>1</v>
      </c>
      <c r="K4083" s="2" t="s">
        <v>36</v>
      </c>
      <c r="L4083" s="2" t="s">
        <v>32</v>
      </c>
      <c r="M4083" s="2" t="n">
        <v>90940</v>
      </c>
      <c r="N4083" s="2" t="n">
        <v>1</v>
      </c>
      <c r="O4083" s="2" t="n">
        <v>12</v>
      </c>
      <c r="P4083" s="2" t="n">
        <v>1</v>
      </c>
      <c r="Q4083" s="2" t="n">
        <v>10</v>
      </c>
      <c r="R4083" s="2" t="n">
        <v>0</v>
      </c>
      <c r="S4083" s="2" t="n">
        <v>10</v>
      </c>
      <c r="T4083" s="2" t="n">
        <v>0</v>
      </c>
      <c r="U4083" s="2" t="n">
        <v>9</v>
      </c>
      <c r="V4083" s="2" t="n">
        <v>1</v>
      </c>
      <c r="W4083" s="2" t="n">
        <v>3</v>
      </c>
      <c r="X4083" s="2" t="n">
        <v>3</v>
      </c>
      <c r="Y4083" s="2" t="n">
        <v>3</v>
      </c>
      <c r="Z4083" s="2" t="n">
        <v>3</v>
      </c>
    </row>
    <row r="4084" customFormat="false" ht="15" hidden="false" customHeight="true" outlineLevel="0" collapsed="false">
      <c r="A4084" s="2" t="n">
        <v>38</v>
      </c>
      <c r="B4084" s="2" t="s">
        <v>26</v>
      </c>
      <c r="C4084" s="2" t="s">
        <v>34</v>
      </c>
      <c r="D4084" s="2" t="s">
        <v>35</v>
      </c>
      <c r="E4084" s="2" t="n">
        <v>2</v>
      </c>
      <c r="F4084" s="2" t="n">
        <v>5</v>
      </c>
      <c r="G4084" s="2" t="s">
        <v>43</v>
      </c>
      <c r="H4084" s="2" t="n">
        <v>4083</v>
      </c>
      <c r="I4084" s="2" t="s">
        <v>30</v>
      </c>
      <c r="J4084" s="2" t="n">
        <v>4</v>
      </c>
      <c r="K4084" s="2" t="s">
        <v>40</v>
      </c>
      <c r="L4084" s="2" t="s">
        <v>32</v>
      </c>
      <c r="M4084" s="2" t="n">
        <v>84460</v>
      </c>
      <c r="N4084" s="2" t="n">
        <v>0</v>
      </c>
      <c r="O4084" s="2" t="n">
        <v>14</v>
      </c>
      <c r="P4084" s="2" t="n">
        <v>0</v>
      </c>
      <c r="Q4084" s="2" t="n">
        <v>7</v>
      </c>
      <c r="R4084" s="2" t="n">
        <v>3</v>
      </c>
      <c r="S4084" s="2" t="n">
        <v>6</v>
      </c>
      <c r="T4084" s="2" t="n">
        <v>1</v>
      </c>
      <c r="U4084" s="2" t="n">
        <v>2</v>
      </c>
      <c r="V4084" s="2" t="n">
        <v>4</v>
      </c>
      <c r="W4084" s="2" t="n">
        <v>2</v>
      </c>
      <c r="X4084" s="2" t="n">
        <v>3</v>
      </c>
      <c r="Y4084" s="2" t="n">
        <v>2</v>
      </c>
      <c r="Z4084" s="2" t="n">
        <v>3</v>
      </c>
    </row>
    <row r="4085" customFormat="false" ht="15" hidden="false" customHeight="true" outlineLevel="0" collapsed="false">
      <c r="A4085" s="2" t="n">
        <v>55</v>
      </c>
      <c r="B4085" s="2" t="s">
        <v>26</v>
      </c>
      <c r="C4085" s="2" t="s">
        <v>27</v>
      </c>
      <c r="D4085" s="2" t="s">
        <v>28</v>
      </c>
      <c r="E4085" s="2" t="n">
        <v>9</v>
      </c>
      <c r="F4085" s="2" t="n">
        <v>3</v>
      </c>
      <c r="G4085" s="2" t="s">
        <v>50</v>
      </c>
      <c r="H4085" s="2" t="n">
        <v>4084</v>
      </c>
      <c r="I4085" s="2" t="s">
        <v>39</v>
      </c>
      <c r="J4085" s="2" t="n">
        <v>2</v>
      </c>
      <c r="K4085" s="2" t="s">
        <v>45</v>
      </c>
      <c r="L4085" s="2" t="s">
        <v>32</v>
      </c>
      <c r="M4085" s="2" t="n">
        <v>119160</v>
      </c>
      <c r="N4085" s="2" t="n">
        <v>4</v>
      </c>
      <c r="O4085" s="2" t="n">
        <v>15</v>
      </c>
      <c r="P4085" s="2" t="n">
        <v>1</v>
      </c>
      <c r="Q4085" s="2" t="n">
        <v>35</v>
      </c>
      <c r="R4085" s="2" t="n">
        <v>3</v>
      </c>
      <c r="S4085" s="2" t="n">
        <v>10</v>
      </c>
      <c r="T4085" s="2" t="n">
        <v>1</v>
      </c>
      <c r="U4085" s="2" t="n">
        <v>4</v>
      </c>
      <c r="V4085" s="2" t="n">
        <v>3</v>
      </c>
      <c r="W4085" s="2" t="n">
        <v>2</v>
      </c>
      <c r="X4085" s="2" t="n">
        <v>3</v>
      </c>
      <c r="Y4085" s="2" t="n">
        <v>2</v>
      </c>
      <c r="Z4085" s="2" t="n">
        <v>3</v>
      </c>
    </row>
    <row r="4086" customFormat="false" ht="15" hidden="false" customHeight="true" outlineLevel="0" collapsed="false">
      <c r="A4086" s="2" t="n">
        <v>31</v>
      </c>
      <c r="B4086" s="2" t="s">
        <v>26</v>
      </c>
      <c r="C4086" s="2" t="s">
        <v>27</v>
      </c>
      <c r="D4086" s="2" t="s">
        <v>28</v>
      </c>
      <c r="E4086" s="2" t="n">
        <v>6</v>
      </c>
      <c r="F4086" s="2" t="n">
        <v>3</v>
      </c>
      <c r="G4086" s="2" t="s">
        <v>38</v>
      </c>
      <c r="H4086" s="2" t="n">
        <v>4085</v>
      </c>
      <c r="I4086" s="2" t="s">
        <v>39</v>
      </c>
      <c r="J4086" s="2" t="n">
        <v>1</v>
      </c>
      <c r="K4086" s="2" t="s">
        <v>47</v>
      </c>
      <c r="L4086" s="2" t="s">
        <v>46</v>
      </c>
      <c r="M4086" s="2" t="n">
        <v>45340</v>
      </c>
      <c r="N4086" s="2" t="n">
        <v>1</v>
      </c>
      <c r="O4086" s="2" t="n">
        <v>13</v>
      </c>
      <c r="P4086" s="2" t="n">
        <v>0</v>
      </c>
      <c r="Q4086" s="2" t="n">
        <v>1</v>
      </c>
      <c r="R4086" s="2" t="n">
        <v>2</v>
      </c>
      <c r="S4086" s="2" t="n">
        <v>1</v>
      </c>
      <c r="T4086" s="2" t="n">
        <v>0</v>
      </c>
      <c r="U4086" s="2" t="n">
        <v>0</v>
      </c>
      <c r="V4086" s="2" t="n">
        <v>4</v>
      </c>
      <c r="W4086" s="2" t="n">
        <v>4</v>
      </c>
      <c r="X4086" s="2" t="n">
        <v>3</v>
      </c>
      <c r="Y4086" s="2" t="n">
        <v>3</v>
      </c>
      <c r="Z4086" s="2" t="n">
        <v>3</v>
      </c>
    </row>
    <row r="4087" customFormat="false" ht="15" hidden="false" customHeight="true" outlineLevel="0" collapsed="false">
      <c r="A4087" s="2" t="n">
        <v>39</v>
      </c>
      <c r="B4087" s="2" t="s">
        <v>26</v>
      </c>
      <c r="C4087" s="2" t="s">
        <v>27</v>
      </c>
      <c r="D4087" s="2" t="s">
        <v>35</v>
      </c>
      <c r="E4087" s="2" t="n">
        <v>4</v>
      </c>
      <c r="F4087" s="2" t="n">
        <v>3</v>
      </c>
      <c r="G4087" s="2" t="s">
        <v>29</v>
      </c>
      <c r="H4087" s="2" t="n">
        <v>4086</v>
      </c>
      <c r="I4087" s="2" t="s">
        <v>39</v>
      </c>
      <c r="J4087" s="2" t="n">
        <v>2</v>
      </c>
      <c r="K4087" s="2" t="s">
        <v>40</v>
      </c>
      <c r="L4087" s="2" t="s">
        <v>37</v>
      </c>
      <c r="M4087" s="2" t="n">
        <v>98520</v>
      </c>
      <c r="N4087" s="2" t="n">
        <v>0</v>
      </c>
      <c r="O4087" s="2" t="n">
        <v>12</v>
      </c>
      <c r="P4087" s="2" t="n">
        <v>1</v>
      </c>
      <c r="Q4087" s="2" t="n">
        <v>21</v>
      </c>
      <c r="R4087" s="2" t="n">
        <v>5</v>
      </c>
      <c r="S4087" s="2" t="n">
        <v>20</v>
      </c>
      <c r="T4087" s="2" t="n">
        <v>11</v>
      </c>
      <c r="U4087" s="2" t="n">
        <v>10</v>
      </c>
      <c r="V4087" s="2" t="n">
        <v>2</v>
      </c>
      <c r="W4087" s="2" t="n">
        <v>1</v>
      </c>
      <c r="X4087" s="2" t="n">
        <v>3</v>
      </c>
      <c r="Y4087" s="2" t="n">
        <v>2</v>
      </c>
      <c r="Z4087" s="2" t="n">
        <v>3</v>
      </c>
    </row>
    <row r="4088" customFormat="false" ht="15" hidden="false" customHeight="true" outlineLevel="0" collapsed="false">
      <c r="A4088" s="2" t="n">
        <v>42</v>
      </c>
      <c r="B4088" s="2" t="s">
        <v>26</v>
      </c>
      <c r="C4088" s="2" t="s">
        <v>41</v>
      </c>
      <c r="D4088" s="2" t="s">
        <v>35</v>
      </c>
      <c r="E4088" s="2" t="n">
        <v>10</v>
      </c>
      <c r="F4088" s="2" t="n">
        <v>4</v>
      </c>
      <c r="G4088" s="2" t="s">
        <v>29</v>
      </c>
      <c r="H4088" s="2" t="n">
        <v>4087</v>
      </c>
      <c r="I4088" s="2" t="s">
        <v>30</v>
      </c>
      <c r="J4088" s="2" t="n">
        <v>2</v>
      </c>
      <c r="K4088" s="2" t="s">
        <v>36</v>
      </c>
      <c r="L4088" s="2" t="s">
        <v>37</v>
      </c>
      <c r="M4088" s="2" t="n">
        <v>61510</v>
      </c>
      <c r="N4088" s="2" t="n">
        <v>1</v>
      </c>
      <c r="O4088" s="2" t="n">
        <v>13</v>
      </c>
      <c r="P4088" s="2" t="n">
        <v>1</v>
      </c>
      <c r="Q4088" s="2" t="n">
        <v>20</v>
      </c>
      <c r="R4088" s="2" t="n">
        <v>3</v>
      </c>
      <c r="S4088" s="2" t="n">
        <v>20</v>
      </c>
      <c r="T4088" s="2" t="n">
        <v>3</v>
      </c>
      <c r="U4088" s="2" t="n">
        <v>7</v>
      </c>
      <c r="V4088" s="2" t="n">
        <v>4</v>
      </c>
      <c r="W4088" s="2" t="n">
        <v>3</v>
      </c>
      <c r="X4088" s="2" t="n">
        <v>3</v>
      </c>
      <c r="Y4088" s="2" t="n">
        <v>3</v>
      </c>
      <c r="Z4088" s="2" t="n">
        <v>3</v>
      </c>
    </row>
    <row r="4089" customFormat="false" ht="15" hidden="false" customHeight="true" outlineLevel="0" collapsed="false">
      <c r="A4089" s="2" t="n">
        <v>31</v>
      </c>
      <c r="B4089" s="2" t="s">
        <v>26</v>
      </c>
      <c r="C4089" s="2" t="s">
        <v>41</v>
      </c>
      <c r="D4089" s="2" t="s">
        <v>35</v>
      </c>
      <c r="E4089" s="2" t="n">
        <v>14</v>
      </c>
      <c r="F4089" s="2" t="n">
        <v>2</v>
      </c>
      <c r="G4089" s="2" t="s">
        <v>29</v>
      </c>
      <c r="H4089" s="2" t="n">
        <v>4088</v>
      </c>
      <c r="I4089" s="2" t="s">
        <v>39</v>
      </c>
      <c r="J4089" s="2" t="n">
        <v>2</v>
      </c>
      <c r="K4089" s="2" t="s">
        <v>31</v>
      </c>
      <c r="L4089" s="2" t="s">
        <v>32</v>
      </c>
      <c r="M4089" s="2" t="n">
        <v>23020</v>
      </c>
      <c r="N4089" s="2" t="n">
        <v>4</v>
      </c>
      <c r="O4089" s="2" t="n">
        <v>14</v>
      </c>
      <c r="P4089" s="2" t="n">
        <v>0</v>
      </c>
      <c r="Q4089" s="2" t="n">
        <v>13</v>
      </c>
      <c r="R4089" s="2" t="n">
        <v>3</v>
      </c>
      <c r="S4089" s="2" t="n">
        <v>11</v>
      </c>
      <c r="T4089" s="2" t="n">
        <v>4</v>
      </c>
      <c r="U4089" s="2" t="n">
        <v>8</v>
      </c>
      <c r="V4089" s="2" t="n">
        <v>3</v>
      </c>
      <c r="W4089" s="2" t="n">
        <v>3</v>
      </c>
      <c r="X4089" s="2" t="n">
        <v>4</v>
      </c>
      <c r="Y4089" s="2" t="n">
        <v>3</v>
      </c>
      <c r="Z4089" s="2" t="n">
        <v>3</v>
      </c>
    </row>
    <row r="4090" customFormat="false" ht="15" hidden="false" customHeight="true" outlineLevel="0" collapsed="false">
      <c r="A4090" s="2" t="n">
        <v>54</v>
      </c>
      <c r="B4090" s="2" t="s">
        <v>26</v>
      </c>
      <c r="C4090" s="2" t="s">
        <v>27</v>
      </c>
      <c r="D4090" s="2" t="s">
        <v>35</v>
      </c>
      <c r="E4090" s="2" t="n">
        <v>1</v>
      </c>
      <c r="F4090" s="2" t="n">
        <v>3</v>
      </c>
      <c r="G4090" s="2" t="s">
        <v>43</v>
      </c>
      <c r="H4090" s="2" t="n">
        <v>4089</v>
      </c>
      <c r="I4090" s="2" t="s">
        <v>30</v>
      </c>
      <c r="J4090" s="2" t="n">
        <v>2</v>
      </c>
      <c r="K4090" s="2" t="s">
        <v>42</v>
      </c>
      <c r="L4090" s="2" t="s">
        <v>37</v>
      </c>
      <c r="M4090" s="2" t="n">
        <v>23620</v>
      </c>
      <c r="N4090" s="2" t="n">
        <v>6</v>
      </c>
      <c r="O4090" s="2" t="n">
        <v>13</v>
      </c>
      <c r="P4090" s="2" t="n">
        <v>1</v>
      </c>
      <c r="Q4090" s="2" t="n">
        <v>9</v>
      </c>
      <c r="R4090" s="2" t="n">
        <v>2</v>
      </c>
      <c r="S4090" s="2" t="n">
        <v>5</v>
      </c>
      <c r="T4090" s="2" t="n">
        <v>1</v>
      </c>
      <c r="U4090" s="2" t="n">
        <v>4</v>
      </c>
      <c r="V4090" s="2" t="n">
        <v>3</v>
      </c>
      <c r="W4090" s="2" t="n">
        <v>1</v>
      </c>
      <c r="X4090" s="2" t="n">
        <v>3</v>
      </c>
      <c r="Y4090" s="2" t="n">
        <v>4</v>
      </c>
      <c r="Z4090" s="2" t="n">
        <v>3</v>
      </c>
    </row>
    <row r="4091" customFormat="false" ht="15" hidden="false" customHeight="true" outlineLevel="0" collapsed="false">
      <c r="A4091" s="2" t="n">
        <v>24</v>
      </c>
      <c r="B4091" s="2" t="s">
        <v>26</v>
      </c>
      <c r="C4091" s="2" t="s">
        <v>27</v>
      </c>
      <c r="D4091" s="2" t="s">
        <v>35</v>
      </c>
      <c r="E4091" s="2" t="n">
        <v>5</v>
      </c>
      <c r="F4091" s="2" t="n">
        <v>4</v>
      </c>
      <c r="G4091" s="2" t="s">
        <v>38</v>
      </c>
      <c r="H4091" s="2" t="n">
        <v>4090</v>
      </c>
      <c r="I4091" s="2" t="s">
        <v>39</v>
      </c>
      <c r="J4091" s="2" t="n">
        <v>1</v>
      </c>
      <c r="K4091" s="2" t="s">
        <v>47</v>
      </c>
      <c r="L4091" s="2" t="s">
        <v>37</v>
      </c>
      <c r="M4091" s="2" t="n">
        <v>178610</v>
      </c>
      <c r="N4091" s="2" t="n">
        <v>1</v>
      </c>
      <c r="O4091" s="2" t="n">
        <v>11</v>
      </c>
      <c r="P4091" s="2" t="n">
        <v>2</v>
      </c>
      <c r="Q4091" s="2" t="n">
        <v>4</v>
      </c>
      <c r="R4091" s="2" t="n">
        <v>5</v>
      </c>
      <c r="S4091" s="2" t="n">
        <v>4</v>
      </c>
      <c r="T4091" s="2" t="n">
        <v>1</v>
      </c>
      <c r="U4091" s="2" t="n">
        <v>2</v>
      </c>
      <c r="V4091" s="2" t="n">
        <v>2</v>
      </c>
      <c r="W4091" s="2" t="n">
        <v>3</v>
      </c>
      <c r="X4091" s="2" t="n">
        <v>2</v>
      </c>
      <c r="Y4091" s="2" t="n">
        <v>1</v>
      </c>
      <c r="Z4091" s="2" t="n">
        <v>3</v>
      </c>
    </row>
    <row r="4092" customFormat="false" ht="15" hidden="false" customHeight="true" outlineLevel="0" collapsed="false">
      <c r="A4092" s="2" t="n">
        <v>23</v>
      </c>
      <c r="B4092" s="2" t="s">
        <v>26</v>
      </c>
      <c r="C4092" s="2" t="s">
        <v>27</v>
      </c>
      <c r="D4092" s="2" t="s">
        <v>35</v>
      </c>
      <c r="E4092" s="2" t="n">
        <v>7</v>
      </c>
      <c r="F4092" s="2" t="n">
        <v>3</v>
      </c>
      <c r="G4092" s="2" t="s">
        <v>29</v>
      </c>
      <c r="H4092" s="2" t="n">
        <v>4091</v>
      </c>
      <c r="I4092" s="2" t="s">
        <v>39</v>
      </c>
      <c r="J4092" s="2" t="n">
        <v>2</v>
      </c>
      <c r="K4092" s="2" t="s">
        <v>36</v>
      </c>
      <c r="L4092" s="2" t="s">
        <v>37</v>
      </c>
      <c r="M4092" s="2" t="n">
        <v>191870</v>
      </c>
      <c r="N4092" s="2" t="n">
        <v>1</v>
      </c>
      <c r="O4092" s="2" t="n">
        <v>11</v>
      </c>
      <c r="P4092" s="2" t="n">
        <v>1</v>
      </c>
      <c r="Q4092" s="2" t="n">
        <v>5</v>
      </c>
      <c r="R4092" s="2" t="n">
        <v>2</v>
      </c>
      <c r="S4092" s="2" t="n">
        <v>5</v>
      </c>
      <c r="T4092" s="2" t="n">
        <v>1</v>
      </c>
      <c r="U4092" s="2" t="n">
        <v>4</v>
      </c>
      <c r="V4092" s="2" t="n">
        <v>4</v>
      </c>
      <c r="W4092" s="2" t="n">
        <v>4</v>
      </c>
      <c r="X4092" s="2" t="n">
        <v>4</v>
      </c>
      <c r="Y4092" s="2" t="n">
        <v>3</v>
      </c>
      <c r="Z4092" s="2" t="n">
        <v>3</v>
      </c>
    </row>
    <row r="4093" customFormat="false" ht="15" hidden="false" customHeight="true" outlineLevel="0" collapsed="false">
      <c r="A4093" s="2" t="n">
        <v>40</v>
      </c>
      <c r="B4093" s="2" t="s">
        <v>26</v>
      </c>
      <c r="C4093" s="2" t="s">
        <v>34</v>
      </c>
      <c r="D4093" s="2" t="s">
        <v>35</v>
      </c>
      <c r="E4093" s="2" t="n">
        <v>21</v>
      </c>
      <c r="F4093" s="2" t="n">
        <v>3</v>
      </c>
      <c r="G4093" s="2" t="s">
        <v>43</v>
      </c>
      <c r="H4093" s="2" t="n">
        <v>4092</v>
      </c>
      <c r="I4093" s="2" t="s">
        <v>30</v>
      </c>
      <c r="J4093" s="2" t="n">
        <v>3</v>
      </c>
      <c r="K4093" s="2" t="s">
        <v>36</v>
      </c>
      <c r="L4093" s="2" t="s">
        <v>32</v>
      </c>
      <c r="M4093" s="2" t="n">
        <v>197170</v>
      </c>
      <c r="N4093" s="2" t="n">
        <v>1</v>
      </c>
      <c r="O4093" s="2" t="n">
        <v>21</v>
      </c>
      <c r="P4093" s="2" t="n">
        <v>0</v>
      </c>
      <c r="Q4093" s="2" t="n">
        <v>10</v>
      </c>
      <c r="R4093" s="2" t="n">
        <v>1</v>
      </c>
      <c r="S4093" s="2" t="n">
        <v>10</v>
      </c>
      <c r="T4093" s="2" t="n">
        <v>9</v>
      </c>
      <c r="U4093" s="2" t="n">
        <v>4</v>
      </c>
      <c r="V4093" s="2" t="n">
        <v>4</v>
      </c>
      <c r="W4093" s="2" t="n">
        <v>3</v>
      </c>
      <c r="X4093" s="2" t="n">
        <v>4</v>
      </c>
      <c r="Y4093" s="2" t="n">
        <v>2</v>
      </c>
      <c r="Z4093" s="2" t="n">
        <v>4</v>
      </c>
    </row>
    <row r="4094" customFormat="false" ht="15" hidden="false" customHeight="true" outlineLevel="0" collapsed="false">
      <c r="A4094" s="2" t="n">
        <v>40</v>
      </c>
      <c r="B4094" s="2" t="s">
        <v>26</v>
      </c>
      <c r="C4094" s="2" t="s">
        <v>27</v>
      </c>
      <c r="D4094" s="2" t="s">
        <v>35</v>
      </c>
      <c r="E4094" s="2" t="n">
        <v>8</v>
      </c>
      <c r="F4094" s="2" t="n">
        <v>1</v>
      </c>
      <c r="G4094" s="2" t="s">
        <v>43</v>
      </c>
      <c r="H4094" s="2" t="n">
        <v>4093</v>
      </c>
      <c r="I4094" s="2" t="s">
        <v>30</v>
      </c>
      <c r="J4094" s="2" t="n">
        <v>5</v>
      </c>
      <c r="K4094" s="2" t="s">
        <v>36</v>
      </c>
      <c r="L4094" s="2" t="s">
        <v>32</v>
      </c>
      <c r="M4094" s="2" t="n">
        <v>35440</v>
      </c>
      <c r="N4094" s="2" t="n">
        <v>3</v>
      </c>
      <c r="O4094" s="2" t="n">
        <v>18</v>
      </c>
      <c r="P4094" s="2" t="n">
        <v>3</v>
      </c>
      <c r="Q4094" s="2" t="n">
        <v>15</v>
      </c>
      <c r="R4094" s="2" t="n">
        <v>3</v>
      </c>
      <c r="S4094" s="2" t="n">
        <v>11</v>
      </c>
      <c r="T4094" s="2" t="n">
        <v>5</v>
      </c>
      <c r="U4094" s="2" t="n">
        <v>10</v>
      </c>
      <c r="V4094" s="2" t="n">
        <v>2</v>
      </c>
      <c r="W4094" s="2" t="n">
        <v>2</v>
      </c>
      <c r="X4094" s="2" t="n">
        <v>3</v>
      </c>
      <c r="Y4094" s="2" t="n">
        <v>2</v>
      </c>
      <c r="Z4094" s="2" t="n">
        <v>3</v>
      </c>
    </row>
    <row r="4095" customFormat="false" ht="15" hidden="false" customHeight="true" outlineLevel="0" collapsed="false">
      <c r="A4095" s="2" t="n">
        <v>25</v>
      </c>
      <c r="B4095" s="2" t="s">
        <v>26</v>
      </c>
      <c r="C4095" s="2" t="s">
        <v>27</v>
      </c>
      <c r="D4095" s="2" t="s">
        <v>28</v>
      </c>
      <c r="E4095" s="2" t="n">
        <v>20</v>
      </c>
      <c r="F4095" s="2" t="n">
        <v>5</v>
      </c>
      <c r="G4095" s="2" t="s">
        <v>43</v>
      </c>
      <c r="H4095" s="2" t="n">
        <v>4094</v>
      </c>
      <c r="I4095" s="2" t="s">
        <v>30</v>
      </c>
      <c r="J4095" s="2" t="n">
        <v>2</v>
      </c>
      <c r="K4095" s="2" t="s">
        <v>45</v>
      </c>
      <c r="L4095" s="2" t="s">
        <v>32</v>
      </c>
      <c r="M4095" s="2" t="n">
        <v>85000</v>
      </c>
      <c r="N4095" s="2" t="n">
        <v>4</v>
      </c>
      <c r="O4095" s="2" t="n">
        <v>12</v>
      </c>
      <c r="P4095" s="2" t="n">
        <v>0</v>
      </c>
      <c r="Q4095" s="2" t="n">
        <v>6</v>
      </c>
      <c r="R4095" s="2" t="n">
        <v>2</v>
      </c>
      <c r="S4095" s="2" t="n">
        <v>2</v>
      </c>
      <c r="T4095" s="2" t="n">
        <v>1</v>
      </c>
      <c r="U4095" s="2" t="n">
        <v>2</v>
      </c>
      <c r="V4095" s="2" t="n">
        <v>3</v>
      </c>
      <c r="W4095" s="2" t="n">
        <v>2</v>
      </c>
      <c r="X4095" s="2" t="n">
        <v>3</v>
      </c>
      <c r="Y4095" s="2" t="n">
        <v>3</v>
      </c>
      <c r="Z4095" s="2" t="n">
        <v>3</v>
      </c>
    </row>
    <row r="4096" customFormat="false" ht="15" hidden="false" customHeight="true" outlineLevel="0" collapsed="false">
      <c r="A4096" s="2" t="n">
        <v>30</v>
      </c>
      <c r="B4096" s="2" t="s">
        <v>26</v>
      </c>
      <c r="C4096" s="2" t="s">
        <v>27</v>
      </c>
      <c r="D4096" s="2" t="s">
        <v>42</v>
      </c>
      <c r="E4096" s="2" t="n">
        <v>20</v>
      </c>
      <c r="F4096" s="2" t="n">
        <v>4</v>
      </c>
      <c r="G4096" s="2" t="s">
        <v>29</v>
      </c>
      <c r="H4096" s="2" t="n">
        <v>4095</v>
      </c>
      <c r="I4096" s="2" t="s">
        <v>39</v>
      </c>
      <c r="J4096" s="2" t="n">
        <v>2</v>
      </c>
      <c r="K4096" s="2" t="s">
        <v>36</v>
      </c>
      <c r="L4096" s="2" t="s">
        <v>32</v>
      </c>
      <c r="M4096" s="2" t="n">
        <v>46610</v>
      </c>
      <c r="N4096" s="2" t="n">
        <v>1</v>
      </c>
      <c r="O4096" s="2" t="n">
        <v>11</v>
      </c>
      <c r="P4096" s="2" t="n">
        <v>0</v>
      </c>
      <c r="Q4096" s="2" t="n">
        <v>12</v>
      </c>
      <c r="R4096" s="2" t="n">
        <v>3</v>
      </c>
      <c r="S4096" s="2" t="n">
        <v>12</v>
      </c>
      <c r="T4096" s="2" t="n">
        <v>1</v>
      </c>
      <c r="U4096" s="2" t="n">
        <v>7</v>
      </c>
      <c r="V4096" s="2" t="n">
        <v>4</v>
      </c>
      <c r="W4096" s="2" t="n">
        <v>2</v>
      </c>
      <c r="X4096" s="2" t="n">
        <v>2</v>
      </c>
      <c r="Y4096" s="2" t="n">
        <v>2</v>
      </c>
      <c r="Z4096" s="2" t="n">
        <v>3</v>
      </c>
    </row>
    <row r="4097" customFormat="false" ht="15" hidden="false" customHeight="true" outlineLevel="0" collapsed="false">
      <c r="A4097" s="2" t="n">
        <v>25</v>
      </c>
      <c r="B4097" s="2" t="s">
        <v>26</v>
      </c>
      <c r="C4097" s="2" t="s">
        <v>27</v>
      </c>
      <c r="D4097" s="2" t="s">
        <v>35</v>
      </c>
      <c r="E4097" s="2" t="n">
        <v>7</v>
      </c>
      <c r="F4097" s="2" t="n">
        <v>2</v>
      </c>
      <c r="G4097" s="2" t="s">
        <v>43</v>
      </c>
      <c r="H4097" s="2" t="n">
        <v>4096</v>
      </c>
      <c r="I4097" s="2" t="s">
        <v>39</v>
      </c>
      <c r="J4097" s="2" t="n">
        <v>5</v>
      </c>
      <c r="K4097" s="2" t="s">
        <v>40</v>
      </c>
      <c r="L4097" s="2" t="s">
        <v>46</v>
      </c>
      <c r="M4097" s="2" t="n">
        <v>41030</v>
      </c>
      <c r="N4097" s="2" t="n">
        <v>6</v>
      </c>
      <c r="O4097" s="2" t="n">
        <v>15</v>
      </c>
      <c r="P4097" s="2" t="n">
        <v>1</v>
      </c>
      <c r="Q4097" s="2" t="n">
        <v>7</v>
      </c>
      <c r="R4097" s="2" t="n">
        <v>2</v>
      </c>
      <c r="S4097" s="2" t="n">
        <v>2</v>
      </c>
      <c r="T4097" s="2" t="n">
        <v>0</v>
      </c>
      <c r="U4097" s="2" t="n">
        <v>2</v>
      </c>
      <c r="V4097" s="2" t="n">
        <v>4</v>
      </c>
      <c r="W4097" s="2" t="n">
        <v>3</v>
      </c>
      <c r="X4097" s="2" t="n">
        <v>2</v>
      </c>
      <c r="Y4097" s="2" t="n">
        <v>3</v>
      </c>
      <c r="Z4097" s="2" t="n">
        <v>3</v>
      </c>
    </row>
    <row r="4098" customFormat="false" ht="15" hidden="false" customHeight="true" outlineLevel="0" collapsed="false">
      <c r="A4098" s="2" t="n">
        <v>47</v>
      </c>
      <c r="B4098" s="2" t="s">
        <v>26</v>
      </c>
      <c r="C4098" s="2" t="s">
        <v>27</v>
      </c>
      <c r="D4098" s="2" t="s">
        <v>35</v>
      </c>
      <c r="E4098" s="2" t="n">
        <v>1</v>
      </c>
      <c r="F4098" s="2" t="n">
        <v>4</v>
      </c>
      <c r="G4098" s="2" t="s">
        <v>29</v>
      </c>
      <c r="H4098" s="2" t="n">
        <v>4097</v>
      </c>
      <c r="I4098" s="2" t="s">
        <v>39</v>
      </c>
      <c r="J4098" s="2" t="n">
        <v>2</v>
      </c>
      <c r="K4098" s="2" t="s">
        <v>40</v>
      </c>
      <c r="L4098" s="2" t="s">
        <v>37</v>
      </c>
      <c r="M4098" s="2" t="n">
        <v>42490</v>
      </c>
      <c r="N4098" s="2" t="n">
        <v>2</v>
      </c>
      <c r="O4098" s="2" t="n">
        <v>13</v>
      </c>
      <c r="P4098" s="2" t="n">
        <v>1</v>
      </c>
      <c r="Q4098" s="2" t="n">
        <v>25</v>
      </c>
      <c r="R4098" s="2" t="n">
        <v>2</v>
      </c>
      <c r="S4098" s="2" t="n">
        <v>17</v>
      </c>
      <c r="T4098" s="2" t="n">
        <v>12</v>
      </c>
      <c r="U4098" s="2" t="n">
        <v>11</v>
      </c>
      <c r="V4098" s="2" t="n">
        <v>1</v>
      </c>
      <c r="W4098" s="2" t="n">
        <v>3</v>
      </c>
      <c r="X4098" s="2" t="n">
        <v>3</v>
      </c>
      <c r="Y4098" s="2" t="n">
        <v>2</v>
      </c>
      <c r="Z4098" s="2" t="n">
        <v>3</v>
      </c>
    </row>
    <row r="4099" customFormat="false" ht="15" hidden="false" customHeight="true" outlineLevel="0" collapsed="false">
      <c r="A4099" s="2" t="n">
        <v>33</v>
      </c>
      <c r="B4099" s="2" t="s">
        <v>26</v>
      </c>
      <c r="C4099" s="2" t="s">
        <v>41</v>
      </c>
      <c r="D4099" s="2" t="s">
        <v>35</v>
      </c>
      <c r="E4099" s="2" t="n">
        <v>1</v>
      </c>
      <c r="F4099" s="2" t="n">
        <v>3</v>
      </c>
      <c r="G4099" s="2" t="s">
        <v>29</v>
      </c>
      <c r="H4099" s="2" t="n">
        <v>4098</v>
      </c>
      <c r="I4099" s="2" t="s">
        <v>39</v>
      </c>
      <c r="J4099" s="2" t="n">
        <v>2</v>
      </c>
      <c r="K4099" s="2" t="s">
        <v>36</v>
      </c>
      <c r="L4099" s="2" t="s">
        <v>46</v>
      </c>
      <c r="M4099" s="2" t="n">
        <v>140260</v>
      </c>
      <c r="N4099" s="2" t="n">
        <v>1</v>
      </c>
      <c r="O4099" s="2" t="n">
        <v>12</v>
      </c>
      <c r="P4099" s="2" t="n">
        <v>0</v>
      </c>
      <c r="Q4099" s="2" t="n">
        <v>1</v>
      </c>
      <c r="R4099" s="2" t="n">
        <v>4</v>
      </c>
      <c r="S4099" s="2" t="n">
        <v>1</v>
      </c>
      <c r="T4099" s="2" t="n">
        <v>0</v>
      </c>
      <c r="U4099" s="2" t="n">
        <v>0</v>
      </c>
      <c r="V4099" s="2" t="n">
        <v>2</v>
      </c>
      <c r="W4099" s="2" t="n">
        <v>3</v>
      </c>
      <c r="X4099" s="2" t="n">
        <v>2</v>
      </c>
      <c r="Y4099" s="2" t="n">
        <v>3</v>
      </c>
      <c r="Z4099" s="2" t="n">
        <v>3</v>
      </c>
    </row>
    <row r="4100" customFormat="false" ht="15" hidden="false" customHeight="true" outlineLevel="0" collapsed="false">
      <c r="A4100" s="2" t="n">
        <v>38</v>
      </c>
      <c r="B4100" s="2" t="s">
        <v>26</v>
      </c>
      <c r="C4100" s="2" t="s">
        <v>27</v>
      </c>
      <c r="D4100" s="2" t="s">
        <v>35</v>
      </c>
      <c r="E4100" s="2" t="n">
        <v>19</v>
      </c>
      <c r="F4100" s="2" t="n">
        <v>3</v>
      </c>
      <c r="G4100" s="2" t="s">
        <v>29</v>
      </c>
      <c r="H4100" s="2" t="n">
        <v>4099</v>
      </c>
      <c r="I4100" s="2" t="s">
        <v>30</v>
      </c>
      <c r="J4100" s="2" t="n">
        <v>2</v>
      </c>
      <c r="K4100" s="2" t="s">
        <v>40</v>
      </c>
      <c r="L4100" s="2" t="s">
        <v>32</v>
      </c>
      <c r="M4100" s="2" t="n">
        <v>68930</v>
      </c>
      <c r="N4100" s="2" t="n">
        <v>0</v>
      </c>
      <c r="O4100" s="2" t="n">
        <v>17</v>
      </c>
      <c r="P4100" s="2" t="n">
        <v>0</v>
      </c>
      <c r="Q4100" s="2" t="n">
        <v>16</v>
      </c>
      <c r="R4100" s="2" t="n">
        <v>3</v>
      </c>
      <c r="S4100" s="2" t="n">
        <v>15</v>
      </c>
      <c r="T4100" s="2" t="n">
        <v>5</v>
      </c>
      <c r="U4100" s="2" t="n">
        <v>8</v>
      </c>
      <c r="V4100" s="2" t="n">
        <v>4</v>
      </c>
      <c r="W4100" s="2" t="n">
        <v>2</v>
      </c>
      <c r="X4100" s="2" t="n">
        <v>3</v>
      </c>
      <c r="Y4100" s="2" t="n">
        <v>3</v>
      </c>
      <c r="Z4100" s="2" t="n">
        <v>3</v>
      </c>
    </row>
    <row r="4101" customFormat="false" ht="15" hidden="false" customHeight="true" outlineLevel="0" collapsed="false">
      <c r="A4101" s="2" t="n">
        <v>31</v>
      </c>
      <c r="B4101" s="2" t="s">
        <v>26</v>
      </c>
      <c r="C4101" s="2" t="s">
        <v>27</v>
      </c>
      <c r="D4101" s="2" t="s">
        <v>35</v>
      </c>
      <c r="E4101" s="2" t="n">
        <v>10</v>
      </c>
      <c r="F4101" s="2" t="n">
        <v>4</v>
      </c>
      <c r="G4101" s="2" t="s">
        <v>43</v>
      </c>
      <c r="H4101" s="2" t="n">
        <v>4100</v>
      </c>
      <c r="I4101" s="2" t="s">
        <v>30</v>
      </c>
      <c r="J4101" s="2" t="n">
        <v>3</v>
      </c>
      <c r="K4101" s="2" t="s">
        <v>40</v>
      </c>
      <c r="L4101" s="2" t="s">
        <v>32</v>
      </c>
      <c r="M4101" s="2" t="n">
        <v>61250</v>
      </c>
      <c r="N4101" s="2" t="n">
        <v>0</v>
      </c>
      <c r="O4101" s="2" t="n">
        <v>13</v>
      </c>
      <c r="P4101" s="2" t="n">
        <v>1</v>
      </c>
      <c r="Q4101" s="2" t="n">
        <v>3</v>
      </c>
      <c r="R4101" s="2" t="n">
        <v>3</v>
      </c>
      <c r="S4101" s="2" t="n">
        <v>2</v>
      </c>
      <c r="T4101" s="2" t="n">
        <v>1</v>
      </c>
      <c r="U4101" s="2" t="n">
        <v>2</v>
      </c>
      <c r="V4101" s="2" t="n">
        <v>1</v>
      </c>
      <c r="W4101" s="2" t="n">
        <v>3</v>
      </c>
      <c r="X4101" s="2" t="n">
        <v>3</v>
      </c>
      <c r="Y4101" s="2" t="n">
        <v>3</v>
      </c>
      <c r="Z4101" s="2" t="n">
        <v>3</v>
      </c>
    </row>
    <row r="4102" customFormat="false" ht="15" hidden="false" customHeight="true" outlineLevel="0" collapsed="false">
      <c r="A4102" s="2" t="n">
        <v>38</v>
      </c>
      <c r="B4102" s="2" t="s">
        <v>26</v>
      </c>
      <c r="C4102" s="2" t="s">
        <v>34</v>
      </c>
      <c r="D4102" s="2" t="s">
        <v>35</v>
      </c>
      <c r="E4102" s="2" t="n">
        <v>1</v>
      </c>
      <c r="F4102" s="2" t="n">
        <v>4</v>
      </c>
      <c r="G4102" s="2" t="s">
        <v>38</v>
      </c>
      <c r="H4102" s="2" t="n">
        <v>4101</v>
      </c>
      <c r="I4102" s="2" t="s">
        <v>39</v>
      </c>
      <c r="J4102" s="2" t="n">
        <v>2</v>
      </c>
      <c r="K4102" s="2" t="s">
        <v>36</v>
      </c>
      <c r="L4102" s="2" t="s">
        <v>32</v>
      </c>
      <c r="M4102" s="2" t="n">
        <v>36690</v>
      </c>
      <c r="N4102" s="2" t="n">
        <v>2</v>
      </c>
      <c r="O4102" s="2" t="n">
        <v>19</v>
      </c>
      <c r="P4102" s="2" t="n">
        <v>0</v>
      </c>
      <c r="Q4102" s="2" t="n">
        <v>10</v>
      </c>
      <c r="R4102" s="2" t="n">
        <v>2</v>
      </c>
      <c r="S4102" s="2" t="n">
        <v>8</v>
      </c>
      <c r="T4102" s="2" t="n">
        <v>7</v>
      </c>
      <c r="U4102" s="2" t="n">
        <v>7</v>
      </c>
      <c r="V4102" s="2" t="n">
        <v>1</v>
      </c>
      <c r="W4102" s="2" t="n">
        <v>3</v>
      </c>
      <c r="X4102" s="2" t="n">
        <v>3</v>
      </c>
      <c r="Y4102" s="2" t="n">
        <v>3</v>
      </c>
      <c r="Z4102" s="2" t="n">
        <v>3</v>
      </c>
    </row>
    <row r="4103" customFormat="false" ht="15" hidden="false" customHeight="true" outlineLevel="0" collapsed="false">
      <c r="A4103" s="2" t="n">
        <v>42</v>
      </c>
      <c r="B4103" s="2" t="s">
        <v>26</v>
      </c>
      <c r="C4103" s="2" t="s">
        <v>27</v>
      </c>
      <c r="D4103" s="2" t="s">
        <v>35</v>
      </c>
      <c r="E4103" s="2" t="n">
        <v>6</v>
      </c>
      <c r="F4103" s="2" t="n">
        <v>3</v>
      </c>
      <c r="G4103" s="2" t="s">
        <v>43</v>
      </c>
      <c r="H4103" s="2" t="n">
        <v>4102</v>
      </c>
      <c r="I4103" s="2" t="s">
        <v>39</v>
      </c>
      <c r="J4103" s="2" t="n">
        <v>2</v>
      </c>
      <c r="K4103" s="2" t="s">
        <v>45</v>
      </c>
      <c r="L4103" s="2" t="s">
        <v>46</v>
      </c>
      <c r="M4103" s="2" t="n">
        <v>100080</v>
      </c>
      <c r="N4103" s="2" t="n">
        <v>6</v>
      </c>
      <c r="O4103" s="2" t="n">
        <v>19</v>
      </c>
      <c r="P4103" s="2" t="n">
        <v>1</v>
      </c>
      <c r="Q4103" s="2" t="n">
        <v>9</v>
      </c>
      <c r="R4103" s="2" t="n">
        <v>3</v>
      </c>
      <c r="S4103" s="2" t="n">
        <v>4</v>
      </c>
      <c r="T4103" s="2" t="n">
        <v>1</v>
      </c>
      <c r="U4103" s="2" t="n">
        <v>2</v>
      </c>
      <c r="V4103" s="2" t="n">
        <v>4</v>
      </c>
      <c r="W4103" s="2" t="n">
        <v>1</v>
      </c>
      <c r="X4103" s="2" t="n">
        <v>2</v>
      </c>
      <c r="Y4103" s="2" t="n">
        <v>1</v>
      </c>
      <c r="Z4103" s="2" t="n">
        <v>3</v>
      </c>
    </row>
    <row r="4104" customFormat="false" ht="15" hidden="false" customHeight="true" outlineLevel="0" collapsed="false">
      <c r="A4104" s="2" t="n">
        <v>41</v>
      </c>
      <c r="B4104" s="2" t="s">
        <v>26</v>
      </c>
      <c r="C4104" s="2" t="s">
        <v>27</v>
      </c>
      <c r="D4104" s="2" t="s">
        <v>28</v>
      </c>
      <c r="E4104" s="2" t="n">
        <v>2</v>
      </c>
      <c r="F4104" s="2" t="n">
        <v>2</v>
      </c>
      <c r="G4104" s="2" t="s">
        <v>43</v>
      </c>
      <c r="H4104" s="2" t="n">
        <v>4103</v>
      </c>
      <c r="I4104" s="2" t="s">
        <v>39</v>
      </c>
      <c r="J4104" s="2" t="n">
        <v>1</v>
      </c>
      <c r="K4104" s="2" t="s">
        <v>31</v>
      </c>
      <c r="L4104" s="2" t="s">
        <v>32</v>
      </c>
      <c r="M4104" s="2" t="n">
        <v>23870</v>
      </c>
      <c r="N4104" s="2" t="n">
        <v>3</v>
      </c>
      <c r="O4104" s="2" t="n">
        <v>17</v>
      </c>
      <c r="P4104" s="2" t="n">
        <v>1</v>
      </c>
      <c r="Q4104" s="2" t="n">
        <v>12</v>
      </c>
      <c r="R4104" s="2" t="n">
        <v>1</v>
      </c>
      <c r="S4104" s="2" t="n">
        <v>5</v>
      </c>
      <c r="T4104" s="2" t="n">
        <v>1</v>
      </c>
      <c r="U4104" s="2" t="n">
        <v>0</v>
      </c>
      <c r="V4104" s="2" t="n">
        <v>4</v>
      </c>
      <c r="W4104" s="2" t="n">
        <v>4</v>
      </c>
      <c r="X4104" s="2" t="n">
        <v>3</v>
      </c>
      <c r="Y4104" s="2" t="n">
        <v>1</v>
      </c>
      <c r="Z4104" s="2" t="n">
        <v>3</v>
      </c>
    </row>
    <row r="4105" customFormat="false" ht="15" hidden="false" customHeight="true" outlineLevel="0" collapsed="false">
      <c r="A4105" s="2" t="n">
        <v>47</v>
      </c>
      <c r="B4105" s="2" t="s">
        <v>26</v>
      </c>
      <c r="C4105" s="2" t="s">
        <v>41</v>
      </c>
      <c r="D4105" s="2" t="s">
        <v>35</v>
      </c>
      <c r="E4105" s="2" t="n">
        <v>21</v>
      </c>
      <c r="F4105" s="2" t="n">
        <v>2</v>
      </c>
      <c r="G4105" s="2" t="s">
        <v>43</v>
      </c>
      <c r="H4105" s="2" t="n">
        <v>4104</v>
      </c>
      <c r="I4105" s="2" t="s">
        <v>39</v>
      </c>
      <c r="J4105" s="2" t="n">
        <v>1</v>
      </c>
      <c r="K4105" s="2" t="s">
        <v>40</v>
      </c>
      <c r="L4105" s="2" t="s">
        <v>32</v>
      </c>
      <c r="M4105" s="2" t="n">
        <v>46390</v>
      </c>
      <c r="N4105" s="2" t="n">
        <v>0</v>
      </c>
      <c r="O4105" s="2" t="n">
        <v>11</v>
      </c>
      <c r="P4105" s="2" t="n">
        <v>1</v>
      </c>
      <c r="Q4105" s="2" t="n">
        <v>14</v>
      </c>
      <c r="R4105" s="2" t="n">
        <v>2</v>
      </c>
      <c r="S4105" s="2" t="n">
        <v>13</v>
      </c>
      <c r="T4105" s="2" t="n">
        <v>5</v>
      </c>
      <c r="U4105" s="2" t="n">
        <v>12</v>
      </c>
      <c r="V4105" s="2" t="n">
        <v>3</v>
      </c>
      <c r="W4105" s="2" t="n">
        <v>2</v>
      </c>
      <c r="X4105" s="2" t="n">
        <v>1</v>
      </c>
      <c r="Y4105" s="2" t="n">
        <v>2</v>
      </c>
      <c r="Z4105" s="2" t="n">
        <v>3</v>
      </c>
    </row>
    <row r="4106" customFormat="false" ht="15" hidden="false" customHeight="true" outlineLevel="0" collapsed="false">
      <c r="A4106" s="2" t="n">
        <v>35</v>
      </c>
      <c r="B4106" s="2" t="s">
        <v>26</v>
      </c>
      <c r="C4106" s="2" t="s">
        <v>27</v>
      </c>
      <c r="D4106" s="2" t="s">
        <v>35</v>
      </c>
      <c r="E4106" s="2" t="n">
        <v>4</v>
      </c>
      <c r="F4106" s="2" t="n">
        <v>3</v>
      </c>
      <c r="G4106" s="2" t="s">
        <v>29</v>
      </c>
      <c r="H4106" s="2" t="n">
        <v>4105</v>
      </c>
      <c r="I4106" s="2" t="s">
        <v>39</v>
      </c>
      <c r="J4106" s="2" t="n">
        <v>2</v>
      </c>
      <c r="K4106" s="2" t="s">
        <v>31</v>
      </c>
      <c r="L4106" s="2" t="s">
        <v>32</v>
      </c>
      <c r="M4106" s="2" t="n">
        <v>78980</v>
      </c>
      <c r="N4106" s="2" t="n">
        <v>7</v>
      </c>
      <c r="O4106" s="2" t="n">
        <v>15</v>
      </c>
      <c r="P4106" s="2" t="n">
        <v>0</v>
      </c>
      <c r="Q4106" s="2" t="n">
        <v>5</v>
      </c>
      <c r="R4106" s="2" t="n">
        <v>2</v>
      </c>
      <c r="S4106" s="2" t="n">
        <v>2</v>
      </c>
      <c r="T4106" s="2" t="n">
        <v>2</v>
      </c>
      <c r="U4106" s="2" t="n">
        <v>2</v>
      </c>
      <c r="V4106" s="2" t="n">
        <v>4</v>
      </c>
      <c r="W4106" s="2" t="n">
        <v>3</v>
      </c>
      <c r="X4106" s="2" t="n">
        <v>3</v>
      </c>
      <c r="Y4106" s="2" t="n">
        <v>2</v>
      </c>
      <c r="Z4106" s="2" t="n">
        <v>3</v>
      </c>
    </row>
    <row r="4107" customFormat="false" ht="15" hidden="false" customHeight="true" outlineLevel="0" collapsed="false">
      <c r="A4107" s="2" t="n">
        <v>22</v>
      </c>
      <c r="B4107" s="2" t="s">
        <v>26</v>
      </c>
      <c r="C4107" s="2" t="s">
        <v>27</v>
      </c>
      <c r="D4107" s="2" t="s">
        <v>42</v>
      </c>
      <c r="E4107" s="2" t="n">
        <v>12</v>
      </c>
      <c r="F4107" s="2" t="n">
        <v>1</v>
      </c>
      <c r="G4107" s="2" t="s">
        <v>42</v>
      </c>
      <c r="H4107" s="2" t="n">
        <v>4106</v>
      </c>
      <c r="I4107" s="2" t="s">
        <v>39</v>
      </c>
      <c r="J4107" s="2" t="n">
        <v>2</v>
      </c>
      <c r="K4107" s="2" t="s">
        <v>40</v>
      </c>
      <c r="L4107" s="2" t="s">
        <v>37</v>
      </c>
      <c r="M4107" s="2" t="n">
        <v>25340</v>
      </c>
      <c r="N4107" s="2" t="n">
        <v>0</v>
      </c>
      <c r="O4107" s="2" t="n">
        <v>11</v>
      </c>
      <c r="P4107" s="2" t="n">
        <v>0</v>
      </c>
      <c r="Q4107" s="2" t="n">
        <v>4</v>
      </c>
      <c r="R4107" s="2" t="n">
        <v>1</v>
      </c>
      <c r="S4107" s="2" t="n">
        <v>3</v>
      </c>
      <c r="T4107" s="2" t="n">
        <v>1</v>
      </c>
      <c r="U4107" s="2" t="n">
        <v>2</v>
      </c>
      <c r="V4107" s="2" t="n">
        <v>4</v>
      </c>
      <c r="W4107" s="2" t="n">
        <v>3</v>
      </c>
      <c r="X4107" s="2" t="n">
        <v>4</v>
      </c>
      <c r="Y4107" s="2" t="n">
        <v>3</v>
      </c>
      <c r="Z4107" s="2" t="n">
        <v>3</v>
      </c>
    </row>
    <row r="4108" customFormat="false" ht="15" hidden="false" customHeight="true" outlineLevel="0" collapsed="false">
      <c r="A4108" s="2" t="n">
        <v>35</v>
      </c>
      <c r="B4108" s="2" t="s">
        <v>26</v>
      </c>
      <c r="C4108" s="2" t="s">
        <v>27</v>
      </c>
      <c r="D4108" s="2" t="s">
        <v>35</v>
      </c>
      <c r="E4108" s="2" t="n">
        <v>9</v>
      </c>
      <c r="F4108" s="2" t="n">
        <v>3</v>
      </c>
      <c r="G4108" s="2" t="s">
        <v>43</v>
      </c>
      <c r="H4108" s="2" t="n">
        <v>4107</v>
      </c>
      <c r="I4108" s="2" t="s">
        <v>30</v>
      </c>
      <c r="J4108" s="2" t="n">
        <v>2</v>
      </c>
      <c r="K4108" s="2" t="s">
        <v>40</v>
      </c>
      <c r="L4108" s="2" t="s">
        <v>37</v>
      </c>
      <c r="M4108" s="2" t="n">
        <v>131420</v>
      </c>
      <c r="N4108" s="2" t="n">
        <v>1</v>
      </c>
      <c r="O4108" s="2" t="n">
        <v>25</v>
      </c>
      <c r="P4108" s="2" t="n">
        <v>2</v>
      </c>
      <c r="Q4108" s="2" t="n">
        <v>10</v>
      </c>
      <c r="R4108" s="2" t="n">
        <v>4</v>
      </c>
      <c r="S4108" s="2" t="n">
        <v>10</v>
      </c>
      <c r="T4108" s="2" t="n">
        <v>0</v>
      </c>
      <c r="U4108" s="2" t="n">
        <v>8</v>
      </c>
      <c r="V4108" s="2" t="n">
        <v>2</v>
      </c>
      <c r="W4108" s="2" t="n">
        <v>3</v>
      </c>
      <c r="X4108" s="2" t="n">
        <v>3</v>
      </c>
      <c r="Y4108" s="2" t="n">
        <v>3</v>
      </c>
      <c r="Z4108" s="2" t="n">
        <v>4</v>
      </c>
    </row>
    <row r="4109" customFormat="false" ht="15" hidden="false" customHeight="true" outlineLevel="0" collapsed="false">
      <c r="A4109" s="2" t="n">
        <v>33</v>
      </c>
      <c r="B4109" s="2" t="s">
        <v>26</v>
      </c>
      <c r="C4109" s="2" t="s">
        <v>27</v>
      </c>
      <c r="D4109" s="2" t="s">
        <v>28</v>
      </c>
      <c r="E4109" s="2" t="n">
        <v>3</v>
      </c>
      <c r="F4109" s="2" t="n">
        <v>4</v>
      </c>
      <c r="G4109" s="2" t="s">
        <v>43</v>
      </c>
      <c r="H4109" s="2" t="n">
        <v>4108</v>
      </c>
      <c r="I4109" s="2" t="s">
        <v>39</v>
      </c>
      <c r="J4109" s="2" t="n">
        <v>3</v>
      </c>
      <c r="K4109" s="2" t="s">
        <v>31</v>
      </c>
      <c r="L4109" s="2" t="s">
        <v>32</v>
      </c>
      <c r="M4109" s="2" t="n">
        <v>16110</v>
      </c>
      <c r="N4109" s="2" t="n">
        <v>0</v>
      </c>
      <c r="O4109" s="2" t="n">
        <v>14</v>
      </c>
      <c r="P4109" s="2" t="n">
        <v>0</v>
      </c>
      <c r="Q4109" s="2" t="n">
        <v>10</v>
      </c>
      <c r="R4109" s="2" t="n">
        <v>2</v>
      </c>
      <c r="S4109" s="2" t="n">
        <v>9</v>
      </c>
      <c r="T4109" s="2" t="n">
        <v>8</v>
      </c>
      <c r="U4109" s="2" t="n">
        <v>1</v>
      </c>
      <c r="V4109" s="2" t="n">
        <v>2</v>
      </c>
      <c r="W4109" s="2" t="n">
        <v>4</v>
      </c>
      <c r="X4109" s="2" t="n">
        <v>3</v>
      </c>
      <c r="Y4109" s="2" t="n">
        <v>2</v>
      </c>
      <c r="Z4109" s="2" t="n">
        <v>3</v>
      </c>
    </row>
    <row r="4110" customFormat="false" ht="15" hidden="false" customHeight="true" outlineLevel="0" collapsed="false">
      <c r="A4110" s="2" t="n">
        <v>32</v>
      </c>
      <c r="B4110" s="2" t="s">
        <v>26</v>
      </c>
      <c r="C4110" s="2" t="s">
        <v>27</v>
      </c>
      <c r="D4110" s="2" t="s">
        <v>35</v>
      </c>
      <c r="E4110" s="2" t="n">
        <v>3</v>
      </c>
      <c r="F4110" s="2" t="n">
        <v>2</v>
      </c>
      <c r="G4110" s="2" t="s">
        <v>51</v>
      </c>
      <c r="H4110" s="2" t="n">
        <v>4109</v>
      </c>
      <c r="I4110" s="2" t="s">
        <v>39</v>
      </c>
      <c r="J4110" s="2" t="n">
        <v>3</v>
      </c>
      <c r="K4110" s="2" t="s">
        <v>47</v>
      </c>
      <c r="L4110" s="2" t="s">
        <v>37</v>
      </c>
      <c r="M4110" s="2" t="n">
        <v>53630</v>
      </c>
      <c r="N4110" s="2" t="n">
        <v>1</v>
      </c>
      <c r="O4110" s="2" t="n">
        <v>13</v>
      </c>
      <c r="P4110" s="2" t="n">
        <v>0</v>
      </c>
      <c r="Q4110" s="2" t="n">
        <v>6</v>
      </c>
      <c r="R4110" s="2" t="n">
        <v>4</v>
      </c>
      <c r="S4110" s="2" t="n">
        <v>6</v>
      </c>
      <c r="T4110" s="2" t="n">
        <v>4</v>
      </c>
      <c r="U4110" s="2" t="n">
        <v>1</v>
      </c>
      <c r="V4110" s="2" t="n">
        <v>3</v>
      </c>
      <c r="W4110" s="2" t="n">
        <v>2</v>
      </c>
      <c r="X4110" s="2" t="n">
        <v>3</v>
      </c>
      <c r="Y4110" s="2" t="n">
        <v>3</v>
      </c>
      <c r="Z4110" s="2" t="n">
        <v>3</v>
      </c>
    </row>
    <row r="4111" customFormat="false" ht="15" hidden="false" customHeight="true" outlineLevel="0" collapsed="false">
      <c r="A4111" s="2" t="n">
        <v>40</v>
      </c>
      <c r="B4111" s="2" t="s">
        <v>26</v>
      </c>
      <c r="C4111" s="2" t="s">
        <v>27</v>
      </c>
      <c r="D4111" s="2" t="s">
        <v>35</v>
      </c>
      <c r="E4111" s="2" t="n">
        <v>1</v>
      </c>
      <c r="F4111" s="2" t="n">
        <v>4</v>
      </c>
      <c r="G4111" s="2" t="s">
        <v>43</v>
      </c>
      <c r="H4111" s="2" t="n">
        <v>4110</v>
      </c>
      <c r="I4111" s="2" t="s">
        <v>39</v>
      </c>
      <c r="J4111" s="2" t="n">
        <v>2</v>
      </c>
      <c r="K4111" s="2" t="s">
        <v>44</v>
      </c>
      <c r="L4111" s="2" t="s">
        <v>32</v>
      </c>
      <c r="M4111" s="2" t="n">
        <v>50710</v>
      </c>
      <c r="N4111" s="2" t="n">
        <v>8</v>
      </c>
      <c r="O4111" s="2" t="n">
        <v>17</v>
      </c>
      <c r="P4111" s="2" t="n">
        <v>1</v>
      </c>
      <c r="Q4111" s="2" t="n">
        <v>8</v>
      </c>
      <c r="R4111" s="2" t="n">
        <v>3</v>
      </c>
      <c r="S4111" s="2" t="n">
        <v>1</v>
      </c>
      <c r="T4111" s="2" t="n">
        <v>0</v>
      </c>
      <c r="U4111" s="2" t="n">
        <v>0</v>
      </c>
      <c r="V4111" s="2" t="n">
        <v>1</v>
      </c>
      <c r="W4111" s="2" t="n">
        <v>4</v>
      </c>
      <c r="X4111" s="2" t="n">
        <v>2</v>
      </c>
      <c r="Y4111" s="2" t="n">
        <v>2</v>
      </c>
      <c r="Z4111" s="2" t="n">
        <v>3</v>
      </c>
    </row>
    <row r="4112" customFormat="false" ht="15" hidden="false" customHeight="true" outlineLevel="0" collapsed="false">
      <c r="A4112" s="2" t="n">
        <v>32</v>
      </c>
      <c r="B4112" s="2" t="s">
        <v>26</v>
      </c>
      <c r="C4112" s="2" t="s">
        <v>27</v>
      </c>
      <c r="D4112" s="2" t="s">
        <v>35</v>
      </c>
      <c r="E4112" s="2" t="n">
        <v>1</v>
      </c>
      <c r="F4112" s="2" t="n">
        <v>2</v>
      </c>
      <c r="G4112" s="2" t="s">
        <v>43</v>
      </c>
      <c r="H4112" s="2" t="n">
        <v>4111</v>
      </c>
      <c r="I4112" s="2" t="s">
        <v>39</v>
      </c>
      <c r="J4112" s="2" t="n">
        <v>3</v>
      </c>
      <c r="K4112" s="2" t="s">
        <v>40</v>
      </c>
      <c r="L4112" s="2" t="s">
        <v>32</v>
      </c>
      <c r="M4112" s="2" t="n">
        <v>136950</v>
      </c>
      <c r="N4112" s="2" t="n">
        <v>0</v>
      </c>
      <c r="O4112" s="2" t="n">
        <v>13</v>
      </c>
      <c r="P4112" s="2" t="n">
        <v>0</v>
      </c>
      <c r="Q4112" s="2" t="n">
        <v>3</v>
      </c>
      <c r="R4112" s="2" t="n">
        <v>3</v>
      </c>
      <c r="S4112" s="2" t="n">
        <v>2</v>
      </c>
      <c r="T4112" s="2" t="n">
        <v>2</v>
      </c>
      <c r="U4112" s="2" t="n">
        <v>2</v>
      </c>
      <c r="V4112" s="2" t="n">
        <v>2</v>
      </c>
      <c r="W4112" s="2" t="n">
        <v>2</v>
      </c>
      <c r="X4112" s="2" t="n">
        <v>3</v>
      </c>
      <c r="Y4112" s="2" t="n">
        <v>3</v>
      </c>
      <c r="Z4112" s="2" t="n">
        <v>3</v>
      </c>
    </row>
    <row r="4113" customFormat="false" ht="15" hidden="false" customHeight="true" outlineLevel="0" collapsed="false">
      <c r="A4113" s="2" t="n">
        <v>39</v>
      </c>
      <c r="B4113" s="2" t="s">
        <v>26</v>
      </c>
      <c r="C4113" s="2" t="s">
        <v>27</v>
      </c>
      <c r="D4113" s="2" t="s">
        <v>35</v>
      </c>
      <c r="E4113" s="2" t="n">
        <v>4</v>
      </c>
      <c r="F4113" s="2" t="n">
        <v>4</v>
      </c>
      <c r="G4113" s="2" t="s">
        <v>29</v>
      </c>
      <c r="H4113" s="2" t="n">
        <v>4112</v>
      </c>
      <c r="I4113" s="2" t="s">
        <v>39</v>
      </c>
      <c r="J4113" s="2" t="n">
        <v>1</v>
      </c>
      <c r="K4113" s="2" t="s">
        <v>40</v>
      </c>
      <c r="L4113" s="2" t="s">
        <v>37</v>
      </c>
      <c r="M4113" s="2" t="n">
        <v>134020</v>
      </c>
      <c r="N4113" s="2" t="n">
        <v>7</v>
      </c>
      <c r="O4113" s="2" t="n">
        <v>14</v>
      </c>
      <c r="P4113" s="2" t="n">
        <v>1</v>
      </c>
      <c r="Q4113" s="2" t="n">
        <v>18</v>
      </c>
      <c r="R4113" s="2" t="n">
        <v>1</v>
      </c>
      <c r="S4113" s="2" t="n">
        <v>7</v>
      </c>
      <c r="T4113" s="2" t="n">
        <v>1</v>
      </c>
      <c r="U4113" s="2" t="n">
        <v>7</v>
      </c>
      <c r="V4113" s="2" t="n">
        <v>1</v>
      </c>
      <c r="W4113" s="2" t="n">
        <v>4</v>
      </c>
      <c r="X4113" s="2" t="n">
        <v>3</v>
      </c>
      <c r="Y4113" s="2" t="n">
        <v>3</v>
      </c>
      <c r="Z4113" s="2" t="n">
        <v>3</v>
      </c>
    </row>
    <row r="4114" customFormat="false" ht="15" hidden="false" customHeight="true" outlineLevel="0" collapsed="false">
      <c r="A4114" s="2" t="n">
        <v>38</v>
      </c>
      <c r="B4114" s="2" t="s">
        <v>26</v>
      </c>
      <c r="C4114" s="2" t="s">
        <v>27</v>
      </c>
      <c r="D4114" s="2" t="s">
        <v>28</v>
      </c>
      <c r="E4114" s="2" t="n">
        <v>20</v>
      </c>
      <c r="F4114" s="2" t="n">
        <v>4</v>
      </c>
      <c r="G4114" s="2" t="s">
        <v>43</v>
      </c>
      <c r="H4114" s="2" t="n">
        <v>4113</v>
      </c>
      <c r="I4114" s="2" t="s">
        <v>30</v>
      </c>
      <c r="J4114" s="2" t="n">
        <v>2</v>
      </c>
      <c r="K4114" s="2" t="s">
        <v>44</v>
      </c>
      <c r="L4114" s="2" t="s">
        <v>32</v>
      </c>
      <c r="M4114" s="2" t="n">
        <v>20290</v>
      </c>
      <c r="N4114" s="2" t="n">
        <v>3</v>
      </c>
      <c r="O4114" s="2" t="n">
        <v>11</v>
      </c>
      <c r="P4114" s="2" t="n">
        <v>1</v>
      </c>
      <c r="Q4114" s="2" t="n">
        <v>20</v>
      </c>
      <c r="R4114" s="2" t="n">
        <v>3</v>
      </c>
      <c r="S4114" s="2" t="n">
        <v>18</v>
      </c>
      <c r="T4114" s="2" t="n">
        <v>1</v>
      </c>
      <c r="U4114" s="2" t="n">
        <v>11</v>
      </c>
      <c r="V4114" s="2" t="n">
        <v>2</v>
      </c>
      <c r="W4114" s="2" t="n">
        <v>3</v>
      </c>
      <c r="X4114" s="2" t="n">
        <v>3</v>
      </c>
      <c r="Y4114" s="2" t="n">
        <v>2</v>
      </c>
      <c r="Z4114" s="2" t="n">
        <v>3</v>
      </c>
    </row>
    <row r="4115" customFormat="false" ht="15" hidden="false" customHeight="true" outlineLevel="0" collapsed="false">
      <c r="A4115" s="2" t="n">
        <v>32</v>
      </c>
      <c r="B4115" s="2" t="s">
        <v>26</v>
      </c>
      <c r="C4115" s="2" t="s">
        <v>27</v>
      </c>
      <c r="D4115" s="2" t="s">
        <v>35</v>
      </c>
      <c r="E4115" s="2" t="n">
        <v>18</v>
      </c>
      <c r="F4115" s="2" t="n">
        <v>3</v>
      </c>
      <c r="G4115" s="2" t="s">
        <v>29</v>
      </c>
      <c r="H4115" s="2" t="n">
        <v>4114</v>
      </c>
      <c r="I4115" s="2" t="s">
        <v>39</v>
      </c>
      <c r="J4115" s="2" t="n">
        <v>2</v>
      </c>
      <c r="K4115" s="2" t="s">
        <v>49</v>
      </c>
      <c r="L4115" s="2" t="s">
        <v>32</v>
      </c>
      <c r="M4115" s="2" t="n">
        <v>63770</v>
      </c>
      <c r="N4115" s="2" t="n">
        <v>1</v>
      </c>
      <c r="O4115" s="2" t="n">
        <v>12</v>
      </c>
      <c r="P4115" s="2" t="n">
        <v>2</v>
      </c>
      <c r="Q4115" s="2" t="n">
        <v>14</v>
      </c>
      <c r="R4115" s="2" t="n">
        <v>3</v>
      </c>
      <c r="S4115" s="2" t="n">
        <v>14</v>
      </c>
      <c r="T4115" s="2" t="n">
        <v>5</v>
      </c>
      <c r="U4115" s="2" t="n">
        <v>7</v>
      </c>
      <c r="V4115" s="2" t="n">
        <v>3</v>
      </c>
      <c r="W4115" s="2" t="n">
        <v>4</v>
      </c>
      <c r="X4115" s="2" t="n">
        <v>3</v>
      </c>
      <c r="Y4115" s="2" t="n">
        <v>3</v>
      </c>
      <c r="Z4115" s="2" t="n">
        <v>3</v>
      </c>
    </row>
    <row r="4116" customFormat="false" ht="15" hidden="false" customHeight="true" outlineLevel="0" collapsed="false">
      <c r="A4116" s="2" t="n">
        <v>37</v>
      </c>
      <c r="B4116" s="2" t="s">
        <v>26</v>
      </c>
      <c r="C4116" s="2" t="s">
        <v>27</v>
      </c>
      <c r="D4116" s="2" t="s">
        <v>35</v>
      </c>
      <c r="E4116" s="2" t="n">
        <v>1</v>
      </c>
      <c r="F4116" s="2" t="n">
        <v>3</v>
      </c>
      <c r="G4116" s="2" t="s">
        <v>29</v>
      </c>
      <c r="H4116" s="2" t="n">
        <v>4115</v>
      </c>
      <c r="I4116" s="2" t="s">
        <v>30</v>
      </c>
      <c r="J4116" s="2" t="n">
        <v>4</v>
      </c>
      <c r="K4116" s="2" t="s">
        <v>40</v>
      </c>
      <c r="L4116" s="2" t="s">
        <v>32</v>
      </c>
      <c r="M4116" s="2" t="n">
        <v>54290</v>
      </c>
      <c r="N4116" s="2" t="n">
        <v>1</v>
      </c>
      <c r="O4116" s="2" t="n">
        <v>17</v>
      </c>
      <c r="P4116" s="2" t="n">
        <v>1</v>
      </c>
      <c r="Q4116" s="2" t="n">
        <v>16</v>
      </c>
      <c r="R4116" s="2" t="n">
        <v>3</v>
      </c>
      <c r="S4116" s="2" t="n">
        <v>16</v>
      </c>
      <c r="T4116" s="2" t="n">
        <v>6</v>
      </c>
      <c r="U4116" s="2" t="n">
        <v>8</v>
      </c>
      <c r="V4116" s="2" t="n">
        <v>3</v>
      </c>
      <c r="W4116" s="2" t="n">
        <v>4</v>
      </c>
      <c r="X4116" s="2" t="n">
        <v>3</v>
      </c>
      <c r="Y4116" s="2" t="n">
        <v>3</v>
      </c>
      <c r="Z4116" s="2" t="n">
        <v>3</v>
      </c>
    </row>
    <row r="4117" customFormat="false" ht="15" hidden="false" customHeight="true" outlineLevel="0" collapsed="false">
      <c r="A4117" s="2" t="n">
        <v>25</v>
      </c>
      <c r="B4117" s="2" t="s">
        <v>26</v>
      </c>
      <c r="C4117" s="2" t="s">
        <v>27</v>
      </c>
      <c r="D4117" s="2" t="s">
        <v>35</v>
      </c>
      <c r="E4117" s="2" t="n">
        <v>2</v>
      </c>
      <c r="F4117" s="2" t="n">
        <v>4</v>
      </c>
      <c r="G4117" s="2" t="s">
        <v>43</v>
      </c>
      <c r="H4117" s="2" t="n">
        <v>4116</v>
      </c>
      <c r="I4117" s="2" t="s">
        <v>30</v>
      </c>
      <c r="J4117" s="2" t="n">
        <v>2</v>
      </c>
      <c r="K4117" s="2" t="s">
        <v>47</v>
      </c>
      <c r="L4117" s="2" t="s">
        <v>46</v>
      </c>
      <c r="M4117" s="2" t="n">
        <v>27850</v>
      </c>
      <c r="N4117" s="2" t="n">
        <v>0</v>
      </c>
      <c r="O4117" s="2" t="n">
        <v>21</v>
      </c>
      <c r="P4117" s="2" t="n">
        <v>0</v>
      </c>
      <c r="Q4117" s="2" t="n">
        <v>6</v>
      </c>
      <c r="R4117" s="2" t="n">
        <v>2</v>
      </c>
      <c r="S4117" s="2" t="n">
        <v>5</v>
      </c>
      <c r="T4117" s="2" t="n">
        <v>0</v>
      </c>
      <c r="U4117" s="2" t="n">
        <v>4</v>
      </c>
      <c r="V4117" s="2" t="n">
        <v>1</v>
      </c>
      <c r="W4117" s="2" t="n">
        <v>3</v>
      </c>
      <c r="X4117" s="2" t="n">
        <v>2</v>
      </c>
      <c r="Y4117" s="2" t="n">
        <v>3</v>
      </c>
      <c r="Z4117" s="2" t="n">
        <v>4</v>
      </c>
    </row>
    <row r="4118" customFormat="false" ht="15" hidden="false" customHeight="true" outlineLevel="0" collapsed="false">
      <c r="A4118" s="2" t="n">
        <v>52</v>
      </c>
      <c r="B4118" s="2" t="s">
        <v>26</v>
      </c>
      <c r="C4118" s="2" t="s">
        <v>41</v>
      </c>
      <c r="D4118" s="2" t="s">
        <v>35</v>
      </c>
      <c r="E4118" s="2" t="n">
        <v>2</v>
      </c>
      <c r="F4118" s="2" t="n">
        <v>4</v>
      </c>
      <c r="G4118" s="2" t="s">
        <v>38</v>
      </c>
      <c r="H4118" s="2" t="n">
        <v>4117</v>
      </c>
      <c r="I4118" s="2" t="s">
        <v>39</v>
      </c>
      <c r="J4118" s="2" t="n">
        <v>1</v>
      </c>
      <c r="K4118" s="2" t="s">
        <v>49</v>
      </c>
      <c r="L4118" s="2" t="s">
        <v>46</v>
      </c>
      <c r="M4118" s="2" t="n">
        <v>46140</v>
      </c>
      <c r="N4118" s="2" t="n">
        <v>2</v>
      </c>
      <c r="O4118" s="2" t="n">
        <v>16</v>
      </c>
      <c r="P4118" s="2" t="n">
        <v>1</v>
      </c>
      <c r="Q4118" s="2" t="n">
        <v>16</v>
      </c>
      <c r="R4118" s="2" t="n">
        <v>3</v>
      </c>
      <c r="S4118" s="2" t="n">
        <v>9</v>
      </c>
      <c r="T4118" s="2" t="n">
        <v>0</v>
      </c>
      <c r="U4118" s="2" t="n">
        <v>0</v>
      </c>
      <c r="V4118" s="2" t="n">
        <v>1</v>
      </c>
      <c r="W4118" s="2" t="n">
        <v>4</v>
      </c>
      <c r="X4118" s="2"/>
      <c r="Y4118" s="2" t="n">
        <v>3</v>
      </c>
      <c r="Z4118" s="2" t="n">
        <v>3</v>
      </c>
    </row>
    <row r="4119" customFormat="false" ht="15" hidden="false" customHeight="true" outlineLevel="0" collapsed="false">
      <c r="A4119" s="2" t="n">
        <v>44</v>
      </c>
      <c r="B4119" s="2" t="s">
        <v>26</v>
      </c>
      <c r="C4119" s="2" t="s">
        <v>27</v>
      </c>
      <c r="D4119" s="2" t="s">
        <v>35</v>
      </c>
      <c r="E4119" s="2" t="n">
        <v>8</v>
      </c>
      <c r="F4119" s="2" t="n">
        <v>1</v>
      </c>
      <c r="G4119" s="2" t="s">
        <v>29</v>
      </c>
      <c r="H4119" s="2" t="n">
        <v>4118</v>
      </c>
      <c r="I4119" s="2" t="s">
        <v>30</v>
      </c>
      <c r="J4119" s="2" t="n">
        <v>1</v>
      </c>
      <c r="K4119" s="2" t="s">
        <v>48</v>
      </c>
      <c r="L4119" s="2" t="s">
        <v>37</v>
      </c>
      <c r="M4119" s="2" t="n">
        <v>26100</v>
      </c>
      <c r="N4119" s="2" t="n">
        <v>6</v>
      </c>
      <c r="O4119" s="2" t="n">
        <v>15</v>
      </c>
      <c r="P4119" s="2" t="n">
        <v>0</v>
      </c>
      <c r="Q4119" s="2" t="n">
        <v>6</v>
      </c>
      <c r="R4119" s="2" t="n">
        <v>2</v>
      </c>
      <c r="S4119" s="2" t="n">
        <v>4</v>
      </c>
      <c r="T4119" s="2" t="n">
        <v>1</v>
      </c>
      <c r="U4119" s="2" t="n">
        <v>2</v>
      </c>
      <c r="V4119" s="2" t="n">
        <v>2</v>
      </c>
      <c r="W4119" s="2" t="n">
        <v>4</v>
      </c>
      <c r="X4119" s="2" t="n">
        <v>3</v>
      </c>
      <c r="Y4119" s="2" t="n">
        <v>3</v>
      </c>
      <c r="Z4119" s="2" t="n">
        <v>3</v>
      </c>
    </row>
    <row r="4120" customFormat="false" ht="15" hidden="false" customHeight="true" outlineLevel="0" collapsed="false">
      <c r="A4120" s="2" t="n">
        <v>21</v>
      </c>
      <c r="B4120" s="2" t="s">
        <v>26</v>
      </c>
      <c r="C4120" s="2" t="s">
        <v>27</v>
      </c>
      <c r="D4120" s="2" t="s">
        <v>28</v>
      </c>
      <c r="E4120" s="2" t="n">
        <v>10</v>
      </c>
      <c r="F4120" s="2" t="n">
        <v>5</v>
      </c>
      <c r="G4120" s="2" t="s">
        <v>43</v>
      </c>
      <c r="H4120" s="2" t="n">
        <v>4119</v>
      </c>
      <c r="I4120" s="2" t="s">
        <v>39</v>
      </c>
      <c r="J4120" s="2" t="n">
        <v>3</v>
      </c>
      <c r="K4120" s="2" t="s">
        <v>36</v>
      </c>
      <c r="L4120" s="2" t="s">
        <v>37</v>
      </c>
      <c r="M4120" s="2" t="n">
        <v>66870</v>
      </c>
      <c r="N4120" s="2" t="n">
        <v>1</v>
      </c>
      <c r="O4120" s="2" t="n">
        <v>19</v>
      </c>
      <c r="P4120" s="2" t="n">
        <v>3</v>
      </c>
      <c r="Q4120" s="2" t="n">
        <v>2</v>
      </c>
      <c r="R4120" s="2" t="n">
        <v>0</v>
      </c>
      <c r="S4120" s="2" t="n">
        <v>2</v>
      </c>
      <c r="T4120" s="2" t="n">
        <v>1</v>
      </c>
      <c r="U4120" s="2" t="n">
        <v>2</v>
      </c>
      <c r="V4120" s="2" t="n">
        <v>3</v>
      </c>
      <c r="W4120" s="2" t="n">
        <v>1</v>
      </c>
      <c r="X4120" s="2" t="n">
        <v>3</v>
      </c>
      <c r="Y4120" s="2" t="n">
        <v>3</v>
      </c>
      <c r="Z4120" s="2" t="n">
        <v>3</v>
      </c>
    </row>
    <row r="4121" customFormat="false" ht="15" hidden="false" customHeight="true" outlineLevel="0" collapsed="false">
      <c r="A4121" s="2" t="n">
        <v>39</v>
      </c>
      <c r="B4121" s="2" t="s">
        <v>26</v>
      </c>
      <c r="C4121" s="2" t="s">
        <v>41</v>
      </c>
      <c r="D4121" s="2" t="s">
        <v>35</v>
      </c>
      <c r="E4121" s="2" t="n">
        <v>3</v>
      </c>
      <c r="F4121" s="2" t="n">
        <v>4</v>
      </c>
      <c r="G4121" s="2" t="s">
        <v>29</v>
      </c>
      <c r="H4121" s="2" t="n">
        <v>4120</v>
      </c>
      <c r="I4121" s="2" t="s">
        <v>30</v>
      </c>
      <c r="J4121" s="2" t="n">
        <v>2</v>
      </c>
      <c r="K4121" s="2" t="s">
        <v>44</v>
      </c>
      <c r="L4121" s="2" t="s">
        <v>37</v>
      </c>
      <c r="M4121" s="2" t="n">
        <v>47240</v>
      </c>
      <c r="N4121" s="2" t="n">
        <v>2</v>
      </c>
      <c r="O4121" s="2" t="n">
        <v>12</v>
      </c>
      <c r="P4121" s="2" t="n">
        <v>1</v>
      </c>
      <c r="Q4121" s="2" t="n">
        <v>21</v>
      </c>
      <c r="R4121" s="2" t="n">
        <v>4</v>
      </c>
      <c r="S4121" s="2" t="n">
        <v>6</v>
      </c>
      <c r="T4121" s="2" t="n">
        <v>1</v>
      </c>
      <c r="U4121" s="2" t="n">
        <v>3</v>
      </c>
      <c r="V4121" s="2" t="n">
        <v>4</v>
      </c>
      <c r="W4121" s="2" t="n">
        <v>4</v>
      </c>
      <c r="X4121" s="2" t="n">
        <v>2</v>
      </c>
      <c r="Y4121" s="2" t="n">
        <v>4</v>
      </c>
      <c r="Z4121" s="2" t="n">
        <v>3</v>
      </c>
    </row>
    <row r="4122" customFormat="false" ht="15" hidden="false" customHeight="true" outlineLevel="0" collapsed="false">
      <c r="A4122" s="2" t="n">
        <v>23</v>
      </c>
      <c r="B4122" s="2" t="s">
        <v>33</v>
      </c>
      <c r="C4122" s="2" t="s">
        <v>34</v>
      </c>
      <c r="D4122" s="2" t="s">
        <v>35</v>
      </c>
      <c r="E4122" s="2" t="n">
        <v>2</v>
      </c>
      <c r="F4122" s="2" t="n">
        <v>4</v>
      </c>
      <c r="G4122" s="2" t="s">
        <v>29</v>
      </c>
      <c r="H4122" s="2" t="n">
        <v>4121</v>
      </c>
      <c r="I4122" s="2" t="s">
        <v>30</v>
      </c>
      <c r="J4122" s="2" t="n">
        <v>2</v>
      </c>
      <c r="K4122" s="2" t="s">
        <v>47</v>
      </c>
      <c r="L4122" s="2" t="s">
        <v>32</v>
      </c>
      <c r="M4122" s="2" t="n">
        <v>61790</v>
      </c>
      <c r="N4122" s="2" t="n">
        <v>1</v>
      </c>
      <c r="O4122" s="2" t="n">
        <v>11</v>
      </c>
      <c r="P4122" s="2" t="n">
        <v>0</v>
      </c>
      <c r="Q4122" s="2" t="n">
        <v>1</v>
      </c>
      <c r="R4122" s="2" t="n">
        <v>3</v>
      </c>
      <c r="S4122" s="2" t="n">
        <v>1</v>
      </c>
      <c r="T4122" s="2" t="n">
        <v>1</v>
      </c>
      <c r="U4122" s="2" t="n">
        <v>0</v>
      </c>
      <c r="V4122" s="2" t="n">
        <v>4</v>
      </c>
      <c r="W4122" s="2" t="n">
        <v>1</v>
      </c>
      <c r="X4122" s="2" t="n">
        <v>2</v>
      </c>
      <c r="Y4122" s="2" t="n">
        <v>3</v>
      </c>
      <c r="Z4122" s="2" t="n">
        <v>3</v>
      </c>
    </row>
    <row r="4123" customFormat="false" ht="15" hidden="false" customHeight="true" outlineLevel="0" collapsed="false">
      <c r="A4123" s="2" t="n">
        <v>36</v>
      </c>
      <c r="B4123" s="2" t="s">
        <v>26</v>
      </c>
      <c r="C4123" s="2" t="s">
        <v>27</v>
      </c>
      <c r="D4123" s="2" t="s">
        <v>35</v>
      </c>
      <c r="E4123" s="2" t="n">
        <v>24</v>
      </c>
      <c r="F4123" s="2" t="n">
        <v>3</v>
      </c>
      <c r="G4123" s="2" t="s">
        <v>29</v>
      </c>
      <c r="H4123" s="2" t="n">
        <v>4122</v>
      </c>
      <c r="I4123" s="2" t="s">
        <v>30</v>
      </c>
      <c r="J4123" s="2" t="n">
        <v>2</v>
      </c>
      <c r="K4123" s="2" t="s">
        <v>45</v>
      </c>
      <c r="L4123" s="2" t="s">
        <v>32</v>
      </c>
      <c r="M4123" s="2" t="n">
        <v>61200</v>
      </c>
      <c r="N4123" s="2" t="n">
        <v>0</v>
      </c>
      <c r="O4123" s="2" t="n">
        <v>19</v>
      </c>
      <c r="P4123" s="2" t="n">
        <v>0</v>
      </c>
      <c r="Q4123" s="2" t="n">
        <v>10</v>
      </c>
      <c r="R4123" s="2" t="n">
        <v>2</v>
      </c>
      <c r="S4123" s="2" t="n">
        <v>9</v>
      </c>
      <c r="T4123" s="2" t="n">
        <v>3</v>
      </c>
      <c r="U4123" s="2" t="n">
        <v>4</v>
      </c>
      <c r="V4123" s="2" t="n">
        <v>1</v>
      </c>
      <c r="W4123" s="2" t="n">
        <v>4</v>
      </c>
      <c r="X4123" s="2" t="n">
        <v>3</v>
      </c>
      <c r="Y4123" s="2" t="n">
        <v>3</v>
      </c>
      <c r="Z4123" s="2" t="n">
        <v>3</v>
      </c>
    </row>
    <row r="4124" customFormat="false" ht="15" hidden="false" customHeight="true" outlineLevel="0" collapsed="false">
      <c r="A4124" s="2" t="n">
        <v>36</v>
      </c>
      <c r="B4124" s="2" t="s">
        <v>26</v>
      </c>
      <c r="C4124" s="2" t="s">
        <v>34</v>
      </c>
      <c r="D4124" s="2" t="s">
        <v>35</v>
      </c>
      <c r="E4124" s="2" t="n">
        <v>16</v>
      </c>
      <c r="F4124" s="2" t="n">
        <v>1</v>
      </c>
      <c r="G4124" s="2" t="s">
        <v>43</v>
      </c>
      <c r="H4124" s="2" t="n">
        <v>4123</v>
      </c>
      <c r="I4124" s="2" t="s">
        <v>39</v>
      </c>
      <c r="J4124" s="2" t="n">
        <v>2</v>
      </c>
      <c r="K4124" s="2" t="s">
        <v>40</v>
      </c>
      <c r="L4124" s="2" t="s">
        <v>46</v>
      </c>
      <c r="M4124" s="2" t="n">
        <v>105960</v>
      </c>
      <c r="N4124" s="2" t="n">
        <v>7</v>
      </c>
      <c r="O4124" s="2" t="n">
        <v>15</v>
      </c>
      <c r="P4124" s="2" t="n">
        <v>0</v>
      </c>
      <c r="Q4124" s="2" t="n">
        <v>18</v>
      </c>
      <c r="R4124" s="2" t="n">
        <v>3</v>
      </c>
      <c r="S4124" s="2" t="n">
        <v>4</v>
      </c>
      <c r="T4124" s="2" t="n">
        <v>0</v>
      </c>
      <c r="U4124" s="2" t="n">
        <v>2</v>
      </c>
      <c r="V4124" s="2" t="n">
        <v>4</v>
      </c>
      <c r="W4124" s="2" t="n">
        <v>2</v>
      </c>
      <c r="X4124" s="2" t="n">
        <v>3</v>
      </c>
      <c r="Y4124" s="2" t="n">
        <v>2</v>
      </c>
      <c r="Z4124" s="2" t="n">
        <v>3</v>
      </c>
    </row>
    <row r="4125" customFormat="false" ht="15" hidden="false" customHeight="true" outlineLevel="0" collapsed="false">
      <c r="A4125" s="2" t="n">
        <v>56</v>
      </c>
      <c r="B4125" s="2" t="s">
        <v>26</v>
      </c>
      <c r="C4125" s="2" t="s">
        <v>41</v>
      </c>
      <c r="D4125" s="2" t="s">
        <v>35</v>
      </c>
      <c r="E4125" s="2" t="n">
        <v>8</v>
      </c>
      <c r="F4125" s="2" t="n">
        <v>1</v>
      </c>
      <c r="G4125" s="2" t="s">
        <v>29</v>
      </c>
      <c r="H4125" s="2" t="n">
        <v>4124</v>
      </c>
      <c r="I4125" s="2" t="s">
        <v>39</v>
      </c>
      <c r="J4125" s="2" t="n">
        <v>1</v>
      </c>
      <c r="K4125" s="2" t="s">
        <v>40</v>
      </c>
      <c r="L4125" s="2" t="s">
        <v>46</v>
      </c>
      <c r="M4125" s="2" t="n">
        <v>54670</v>
      </c>
      <c r="N4125" s="2" t="n">
        <v>1</v>
      </c>
      <c r="O4125" s="2" t="n">
        <v>20</v>
      </c>
      <c r="P4125" s="2" t="n">
        <v>0</v>
      </c>
      <c r="Q4125" s="2" t="n">
        <v>13</v>
      </c>
      <c r="R4125" s="2" t="n">
        <v>6</v>
      </c>
      <c r="S4125" s="2" t="n">
        <v>13</v>
      </c>
      <c r="T4125" s="2" t="n">
        <v>1</v>
      </c>
      <c r="U4125" s="2" t="n">
        <v>9</v>
      </c>
      <c r="V4125" s="2" t="n">
        <v>3</v>
      </c>
      <c r="W4125" s="2" t="n">
        <v>3</v>
      </c>
      <c r="X4125" s="2" t="n">
        <v>2</v>
      </c>
      <c r="Y4125" s="2" t="n">
        <v>2</v>
      </c>
      <c r="Z4125" s="2" t="n">
        <v>4</v>
      </c>
    </row>
    <row r="4126" customFormat="false" ht="15" hidden="false" customHeight="true" outlineLevel="0" collapsed="false">
      <c r="A4126" s="2" t="n">
        <v>29</v>
      </c>
      <c r="B4126" s="2" t="s">
        <v>33</v>
      </c>
      <c r="C4126" s="2" t="s">
        <v>27</v>
      </c>
      <c r="D4126" s="2" t="s">
        <v>35</v>
      </c>
      <c r="E4126" s="2" t="n">
        <v>9</v>
      </c>
      <c r="F4126" s="2" t="n">
        <v>4</v>
      </c>
      <c r="G4126" s="2" t="s">
        <v>43</v>
      </c>
      <c r="H4126" s="2" t="n">
        <v>4125</v>
      </c>
      <c r="I4126" s="2" t="s">
        <v>39</v>
      </c>
      <c r="J4126" s="2" t="n">
        <v>2</v>
      </c>
      <c r="K4126" s="2" t="s">
        <v>48</v>
      </c>
      <c r="L4126" s="2" t="s">
        <v>32</v>
      </c>
      <c r="M4126" s="2" t="n">
        <v>29960</v>
      </c>
      <c r="N4126" s="2" t="n">
        <v>9</v>
      </c>
      <c r="O4126" s="2" t="n">
        <v>25</v>
      </c>
      <c r="P4126" s="2" t="n">
        <v>0</v>
      </c>
      <c r="Q4126" s="2" t="n">
        <v>4</v>
      </c>
      <c r="R4126" s="2" t="n">
        <v>4</v>
      </c>
      <c r="S4126" s="2" t="n">
        <v>2</v>
      </c>
      <c r="T4126" s="2" t="n">
        <v>2</v>
      </c>
      <c r="U4126" s="2" t="n">
        <v>2</v>
      </c>
      <c r="V4126" s="2" t="n">
        <v>1</v>
      </c>
      <c r="W4126" s="2" t="n">
        <v>4</v>
      </c>
      <c r="X4126" s="2" t="n">
        <v>4</v>
      </c>
      <c r="Y4126" s="2" t="n">
        <v>3</v>
      </c>
      <c r="Z4126" s="2" t="n">
        <v>4</v>
      </c>
    </row>
    <row r="4127" customFormat="false" ht="15" hidden="false" customHeight="true" outlineLevel="0" collapsed="false">
      <c r="A4127" s="2" t="n">
        <v>42</v>
      </c>
      <c r="B4127" s="2" t="s">
        <v>26</v>
      </c>
      <c r="C4127" s="2" t="s">
        <v>27</v>
      </c>
      <c r="D4127" s="2" t="s">
        <v>35</v>
      </c>
      <c r="E4127" s="2" t="n">
        <v>17</v>
      </c>
      <c r="F4127" s="2" t="n">
        <v>1</v>
      </c>
      <c r="G4127" s="2" t="s">
        <v>29</v>
      </c>
      <c r="H4127" s="2" t="n">
        <v>4126</v>
      </c>
      <c r="I4127" s="2" t="s">
        <v>39</v>
      </c>
      <c r="J4127" s="2" t="n">
        <v>3</v>
      </c>
      <c r="K4127" s="2" t="s">
        <v>36</v>
      </c>
      <c r="L4127" s="2" t="s">
        <v>32</v>
      </c>
      <c r="M4127" s="2" t="n">
        <v>99980</v>
      </c>
      <c r="N4127" s="2" t="n">
        <v>5</v>
      </c>
      <c r="O4127" s="2" t="n">
        <v>24</v>
      </c>
      <c r="P4127" s="2" t="n">
        <v>2</v>
      </c>
      <c r="Q4127" s="2" t="n">
        <v>24</v>
      </c>
      <c r="R4127" s="2" t="n">
        <v>3</v>
      </c>
      <c r="S4127" s="2" t="n">
        <v>22</v>
      </c>
      <c r="T4127" s="2" t="n">
        <v>4</v>
      </c>
      <c r="U4127" s="2" t="n">
        <v>14</v>
      </c>
      <c r="V4127" s="2" t="n">
        <v>1</v>
      </c>
      <c r="W4127" s="2" t="n">
        <v>3</v>
      </c>
      <c r="X4127" s="2" t="n">
        <v>2</v>
      </c>
      <c r="Y4127" s="2" t="n">
        <v>2</v>
      </c>
      <c r="Z4127" s="2" t="n">
        <v>4</v>
      </c>
    </row>
    <row r="4128" customFormat="false" ht="15" hidden="false" customHeight="true" outlineLevel="0" collapsed="false">
      <c r="A4128" s="2" t="n">
        <v>56</v>
      </c>
      <c r="B4128" s="2" t="s">
        <v>33</v>
      </c>
      <c r="C4128" s="2" t="s">
        <v>27</v>
      </c>
      <c r="D4128" s="2" t="s">
        <v>28</v>
      </c>
      <c r="E4128" s="2" t="n">
        <v>10</v>
      </c>
      <c r="F4128" s="2" t="n">
        <v>4</v>
      </c>
      <c r="G4128" s="2" t="s">
        <v>38</v>
      </c>
      <c r="H4128" s="2" t="n">
        <v>4127</v>
      </c>
      <c r="I4128" s="2" t="s">
        <v>39</v>
      </c>
      <c r="J4128" s="2" t="n">
        <v>2</v>
      </c>
      <c r="K4128" s="2" t="s">
        <v>40</v>
      </c>
      <c r="L4128" s="2" t="s">
        <v>32</v>
      </c>
      <c r="M4128" s="2" t="n">
        <v>40780</v>
      </c>
      <c r="N4128" s="2" t="n">
        <v>8</v>
      </c>
      <c r="O4128" s="2" t="n">
        <v>24</v>
      </c>
      <c r="P4128" s="2" t="n">
        <v>1</v>
      </c>
      <c r="Q4128" s="2" t="n">
        <v>14</v>
      </c>
      <c r="R4128" s="2" t="n">
        <v>3</v>
      </c>
      <c r="S4128" s="2" t="n">
        <v>10</v>
      </c>
      <c r="T4128" s="2" t="n">
        <v>9</v>
      </c>
      <c r="U4128" s="2" t="n">
        <v>8</v>
      </c>
      <c r="V4128" s="2" t="n">
        <v>4</v>
      </c>
      <c r="W4128" s="2" t="n">
        <v>3</v>
      </c>
      <c r="X4128" s="2" t="n">
        <v>1</v>
      </c>
      <c r="Y4128" s="2" t="n">
        <v>3</v>
      </c>
      <c r="Z4128" s="2" t="n">
        <v>4</v>
      </c>
    </row>
    <row r="4129" customFormat="false" ht="15" hidden="false" customHeight="true" outlineLevel="0" collapsed="false">
      <c r="A4129" s="2" t="n">
        <v>41</v>
      </c>
      <c r="B4129" s="2" t="s">
        <v>26</v>
      </c>
      <c r="C4129" s="2" t="s">
        <v>27</v>
      </c>
      <c r="D4129" s="2" t="s">
        <v>35</v>
      </c>
      <c r="E4129" s="2" t="n">
        <v>13</v>
      </c>
      <c r="F4129" s="2" t="n">
        <v>4</v>
      </c>
      <c r="G4129" s="2" t="s">
        <v>29</v>
      </c>
      <c r="H4129" s="2" t="n">
        <v>4128</v>
      </c>
      <c r="I4129" s="2" t="s">
        <v>30</v>
      </c>
      <c r="J4129" s="2" t="n">
        <v>1</v>
      </c>
      <c r="K4129" s="2" t="s">
        <v>31</v>
      </c>
      <c r="L4129" s="2" t="s">
        <v>32</v>
      </c>
      <c r="M4129" s="2" t="n">
        <v>109200</v>
      </c>
      <c r="N4129" s="2" t="n">
        <v>0</v>
      </c>
      <c r="O4129" s="2" t="n">
        <v>15</v>
      </c>
      <c r="P4129" s="2" t="n">
        <v>1</v>
      </c>
      <c r="Q4129" s="2" t="n">
        <v>21</v>
      </c>
      <c r="R4129" s="2" t="n">
        <v>3</v>
      </c>
      <c r="S4129" s="2" t="n">
        <v>20</v>
      </c>
      <c r="T4129" s="2" t="n">
        <v>0</v>
      </c>
      <c r="U4129" s="2" t="n">
        <v>10</v>
      </c>
      <c r="V4129" s="2" t="n">
        <v>1</v>
      </c>
      <c r="W4129" s="2" t="n">
        <v>2</v>
      </c>
      <c r="X4129" s="2" t="n">
        <v>3</v>
      </c>
      <c r="Y4129" s="2" t="n">
        <v>4</v>
      </c>
      <c r="Z4129" s="2" t="n">
        <v>3</v>
      </c>
    </row>
    <row r="4130" customFormat="false" ht="15" hidden="false" customHeight="true" outlineLevel="0" collapsed="false">
      <c r="A4130" s="2" t="n">
        <v>34</v>
      </c>
      <c r="B4130" s="2" t="s">
        <v>26</v>
      </c>
      <c r="C4130" s="2" t="s">
        <v>27</v>
      </c>
      <c r="D4130" s="2" t="s">
        <v>28</v>
      </c>
      <c r="E4130" s="2" t="n">
        <v>1</v>
      </c>
      <c r="F4130" s="2" t="n">
        <v>3</v>
      </c>
      <c r="G4130" s="2" t="s">
        <v>43</v>
      </c>
      <c r="H4130" s="2" t="n">
        <v>4129</v>
      </c>
      <c r="I4130" s="2" t="s">
        <v>30</v>
      </c>
      <c r="J4130" s="2" t="n">
        <v>1</v>
      </c>
      <c r="K4130" s="2" t="s">
        <v>45</v>
      </c>
      <c r="L4130" s="2" t="s">
        <v>32</v>
      </c>
      <c r="M4130" s="2" t="n">
        <v>62320</v>
      </c>
      <c r="N4130" s="2" t="n">
        <v>1</v>
      </c>
      <c r="O4130" s="2" t="n">
        <v>13</v>
      </c>
      <c r="P4130" s="2" t="n">
        <v>1</v>
      </c>
      <c r="Q4130" s="2" t="n">
        <v>8</v>
      </c>
      <c r="R4130" s="2" t="n">
        <v>3</v>
      </c>
      <c r="S4130" s="2" t="n">
        <v>8</v>
      </c>
      <c r="T4130" s="2" t="n">
        <v>1</v>
      </c>
      <c r="U4130" s="2" t="n">
        <v>7</v>
      </c>
      <c r="V4130" s="2" t="n">
        <v>4</v>
      </c>
      <c r="W4130" s="2" t="n">
        <v>3</v>
      </c>
      <c r="X4130" s="2" t="n">
        <v>3</v>
      </c>
      <c r="Y4130" s="2" t="n">
        <v>3</v>
      </c>
      <c r="Z4130" s="2" t="n">
        <v>3</v>
      </c>
    </row>
    <row r="4131" customFormat="false" ht="15" hidden="false" customHeight="true" outlineLevel="0" collapsed="false">
      <c r="A4131" s="2" t="n">
        <v>36</v>
      </c>
      <c r="B4131" s="2" t="s">
        <v>26</v>
      </c>
      <c r="C4131" s="2" t="s">
        <v>41</v>
      </c>
      <c r="D4131" s="2" t="s">
        <v>28</v>
      </c>
      <c r="E4131" s="2" t="n">
        <v>1</v>
      </c>
      <c r="F4131" s="2" t="n">
        <v>1</v>
      </c>
      <c r="G4131" s="2" t="s">
        <v>43</v>
      </c>
      <c r="H4131" s="2" t="n">
        <v>4130</v>
      </c>
      <c r="I4131" s="2" t="s">
        <v>30</v>
      </c>
      <c r="J4131" s="2" t="n">
        <v>1</v>
      </c>
      <c r="K4131" s="2" t="s">
        <v>42</v>
      </c>
      <c r="L4131" s="2" t="s">
        <v>46</v>
      </c>
      <c r="M4131" s="2" t="n">
        <v>132470</v>
      </c>
      <c r="N4131" s="2" t="n">
        <v>1</v>
      </c>
      <c r="O4131" s="2" t="n">
        <v>14</v>
      </c>
      <c r="P4131" s="2" t="n">
        <v>0</v>
      </c>
      <c r="Q4131" s="2" t="n">
        <v>15</v>
      </c>
      <c r="R4131" s="2" t="n">
        <v>3</v>
      </c>
      <c r="S4131" s="2" t="n">
        <v>15</v>
      </c>
      <c r="T4131" s="2" t="n">
        <v>11</v>
      </c>
      <c r="U4131" s="2" t="n">
        <v>11</v>
      </c>
      <c r="V4131" s="2" t="n">
        <v>4</v>
      </c>
      <c r="W4131" s="2" t="n">
        <v>4</v>
      </c>
      <c r="X4131" s="2" t="n">
        <v>2</v>
      </c>
      <c r="Y4131" s="2" t="n">
        <v>3</v>
      </c>
      <c r="Z4131" s="2" t="n">
        <v>3</v>
      </c>
    </row>
    <row r="4132" customFormat="false" ht="15" hidden="false" customHeight="true" outlineLevel="0" collapsed="false">
      <c r="A4132" s="2" t="n">
        <v>41</v>
      </c>
      <c r="B4132" s="2" t="s">
        <v>26</v>
      </c>
      <c r="C4132" s="2" t="s">
        <v>27</v>
      </c>
      <c r="D4132" s="2" t="s">
        <v>35</v>
      </c>
      <c r="E4132" s="2" t="n">
        <v>1</v>
      </c>
      <c r="F4132" s="2" t="n">
        <v>5</v>
      </c>
      <c r="G4132" s="2" t="s">
        <v>43</v>
      </c>
      <c r="H4132" s="2" t="n">
        <v>4131</v>
      </c>
      <c r="I4132" s="2" t="s">
        <v>39</v>
      </c>
      <c r="J4132" s="2" t="n">
        <v>1</v>
      </c>
      <c r="K4132" s="2" t="s">
        <v>31</v>
      </c>
      <c r="L4132" s="2" t="s">
        <v>46</v>
      </c>
      <c r="M4132" s="2" t="n">
        <v>40810</v>
      </c>
      <c r="N4132" s="2" t="n">
        <v>2</v>
      </c>
      <c r="O4132" s="2" t="n">
        <v>13</v>
      </c>
      <c r="P4132" s="2" t="n">
        <v>0</v>
      </c>
      <c r="Q4132" s="2" t="n">
        <v>14</v>
      </c>
      <c r="R4132" s="2" t="n">
        <v>3</v>
      </c>
      <c r="S4132" s="2" t="n">
        <v>5</v>
      </c>
      <c r="T4132" s="2" t="n">
        <v>0</v>
      </c>
      <c r="U4132" s="2" t="n">
        <v>4</v>
      </c>
      <c r="V4132" s="2" t="n">
        <v>3</v>
      </c>
      <c r="W4132" s="2" t="n">
        <v>2</v>
      </c>
      <c r="X4132" s="2" t="n">
        <v>3</v>
      </c>
      <c r="Y4132" s="2" t="n">
        <v>3</v>
      </c>
      <c r="Z4132" s="2" t="n">
        <v>3</v>
      </c>
    </row>
    <row r="4133" customFormat="false" ht="15" hidden="false" customHeight="true" outlineLevel="0" collapsed="false">
      <c r="A4133" s="2" t="n">
        <v>32</v>
      </c>
      <c r="B4133" s="2" t="s">
        <v>26</v>
      </c>
      <c r="C4133" s="2" t="s">
        <v>27</v>
      </c>
      <c r="D4133" s="2" t="s">
        <v>28</v>
      </c>
      <c r="E4133" s="2" t="n">
        <v>9</v>
      </c>
      <c r="F4133" s="2" t="n">
        <v>4</v>
      </c>
      <c r="G4133" s="2" t="s">
        <v>29</v>
      </c>
      <c r="H4133" s="2" t="n">
        <v>4132</v>
      </c>
      <c r="I4133" s="2" t="s">
        <v>30</v>
      </c>
      <c r="J4133" s="2" t="n">
        <v>2</v>
      </c>
      <c r="K4133" s="2" t="s">
        <v>36</v>
      </c>
      <c r="L4133" s="2" t="s">
        <v>37</v>
      </c>
      <c r="M4133" s="2" t="n">
        <v>57690</v>
      </c>
      <c r="N4133" s="2" t="n">
        <v>1</v>
      </c>
      <c r="O4133" s="2" t="n">
        <v>11</v>
      </c>
      <c r="P4133" s="2" t="n">
        <v>0</v>
      </c>
      <c r="Q4133" s="2" t="n">
        <v>4</v>
      </c>
      <c r="R4133" s="2" t="n">
        <v>3</v>
      </c>
      <c r="S4133" s="2" t="n">
        <v>4</v>
      </c>
      <c r="T4133" s="2" t="n">
        <v>1</v>
      </c>
      <c r="U4133" s="2" t="n">
        <v>2</v>
      </c>
      <c r="V4133" s="2" t="n">
        <v>4</v>
      </c>
      <c r="W4133" s="2" t="n">
        <v>1</v>
      </c>
      <c r="X4133" s="2" t="n">
        <v>3</v>
      </c>
      <c r="Y4133" s="2" t="n">
        <v>3</v>
      </c>
      <c r="Z4133" s="2" t="n">
        <v>3</v>
      </c>
    </row>
    <row r="4134" customFormat="false" ht="15" hidden="false" customHeight="true" outlineLevel="0" collapsed="false">
      <c r="A4134" s="2" t="n">
        <v>35</v>
      </c>
      <c r="B4134" s="2" t="s">
        <v>26</v>
      </c>
      <c r="C4134" s="2" t="s">
        <v>27</v>
      </c>
      <c r="D4134" s="2" t="s">
        <v>35</v>
      </c>
      <c r="E4134" s="2" t="n">
        <v>16</v>
      </c>
      <c r="F4134" s="2" t="n">
        <v>3</v>
      </c>
      <c r="G4134" s="2" t="s">
        <v>43</v>
      </c>
      <c r="H4134" s="2" t="n">
        <v>4133</v>
      </c>
      <c r="I4134" s="2" t="s">
        <v>30</v>
      </c>
      <c r="J4134" s="2" t="n">
        <v>2</v>
      </c>
      <c r="K4134" s="2" t="s">
        <v>31</v>
      </c>
      <c r="L4134" s="2" t="s">
        <v>37</v>
      </c>
      <c r="M4134" s="2" t="n">
        <v>23940</v>
      </c>
      <c r="N4134" s="2" t="n">
        <v>1</v>
      </c>
      <c r="O4134" s="2" t="n">
        <v>16</v>
      </c>
      <c r="P4134" s="2" t="n">
        <v>1</v>
      </c>
      <c r="Q4134" s="2" t="n">
        <v>9</v>
      </c>
      <c r="R4134" s="2" t="n">
        <v>3</v>
      </c>
      <c r="S4134" s="2" t="n">
        <v>9</v>
      </c>
      <c r="T4134" s="2" t="n">
        <v>1</v>
      </c>
      <c r="U4134" s="2" t="n">
        <v>7</v>
      </c>
      <c r="V4134" s="2" t="n">
        <v>3</v>
      </c>
      <c r="W4134" s="2" t="n">
        <v>4</v>
      </c>
      <c r="X4134" s="2" t="n">
        <v>3</v>
      </c>
      <c r="Y4134" s="2" t="n">
        <v>3</v>
      </c>
      <c r="Z4134" s="2" t="n">
        <v>3</v>
      </c>
    </row>
    <row r="4135" customFormat="false" ht="15" hidden="false" customHeight="true" outlineLevel="0" collapsed="false">
      <c r="A4135" s="2" t="n">
        <v>38</v>
      </c>
      <c r="B4135" s="2" t="s">
        <v>26</v>
      </c>
      <c r="C4135" s="2" t="s">
        <v>27</v>
      </c>
      <c r="D4135" s="2" t="s">
        <v>35</v>
      </c>
      <c r="E4135" s="2" t="n">
        <v>23</v>
      </c>
      <c r="F4135" s="2" t="n">
        <v>3</v>
      </c>
      <c r="G4135" s="2" t="s">
        <v>43</v>
      </c>
      <c r="H4135" s="2" t="n">
        <v>4134</v>
      </c>
      <c r="I4135" s="2" t="s">
        <v>39</v>
      </c>
      <c r="J4135" s="2" t="n">
        <v>3</v>
      </c>
      <c r="K4135" s="2" t="s">
        <v>48</v>
      </c>
      <c r="L4135" s="2" t="s">
        <v>32</v>
      </c>
      <c r="M4135" s="2" t="n">
        <v>39040</v>
      </c>
      <c r="N4135" s="2" t="n">
        <v>1</v>
      </c>
      <c r="O4135" s="2" t="n">
        <v>22</v>
      </c>
      <c r="P4135" s="2" t="n">
        <v>0</v>
      </c>
      <c r="Q4135" s="2" t="n">
        <v>10</v>
      </c>
      <c r="R4135" s="2" t="n">
        <v>3</v>
      </c>
      <c r="S4135" s="2" t="n">
        <v>10</v>
      </c>
      <c r="T4135" s="2" t="n">
        <v>1</v>
      </c>
      <c r="U4135" s="2" t="n">
        <v>9</v>
      </c>
      <c r="V4135" s="2" t="n">
        <v>1</v>
      </c>
      <c r="W4135" s="2" t="n">
        <v>4</v>
      </c>
      <c r="X4135" s="2" t="n">
        <v>3</v>
      </c>
      <c r="Y4135" s="2" t="n">
        <v>2</v>
      </c>
      <c r="Z4135" s="2" t="n">
        <v>4</v>
      </c>
    </row>
    <row r="4136" customFormat="false" ht="15" hidden="false" customHeight="true" outlineLevel="0" collapsed="false">
      <c r="A4136" s="2" t="n">
        <v>50</v>
      </c>
      <c r="B4136" s="2" t="s">
        <v>33</v>
      </c>
      <c r="C4136" s="2" t="s">
        <v>34</v>
      </c>
      <c r="D4136" s="2" t="s">
        <v>28</v>
      </c>
      <c r="E4136" s="2" t="n">
        <v>4</v>
      </c>
      <c r="F4136" s="2" t="n">
        <v>2</v>
      </c>
      <c r="G4136" s="2" t="s">
        <v>29</v>
      </c>
      <c r="H4136" s="2" t="n">
        <v>4135</v>
      </c>
      <c r="I4136" s="2" t="s">
        <v>30</v>
      </c>
      <c r="J4136" s="2" t="n">
        <v>2</v>
      </c>
      <c r="K4136" s="2" t="s">
        <v>45</v>
      </c>
      <c r="L4136" s="2" t="s">
        <v>46</v>
      </c>
      <c r="M4136" s="2" t="n">
        <v>167990</v>
      </c>
      <c r="N4136" s="2" t="n">
        <v>7</v>
      </c>
      <c r="O4136" s="2" t="n">
        <v>14</v>
      </c>
      <c r="P4136" s="2" t="n">
        <v>1</v>
      </c>
      <c r="Q4136" s="2" t="n">
        <v>12</v>
      </c>
      <c r="R4136" s="2" t="n">
        <v>2</v>
      </c>
      <c r="S4136" s="2" t="n">
        <v>6</v>
      </c>
      <c r="T4136" s="2" t="n">
        <v>0</v>
      </c>
      <c r="U4136" s="2" t="n">
        <v>1</v>
      </c>
      <c r="V4136" s="2" t="n">
        <v>2</v>
      </c>
      <c r="W4136" s="2" t="n">
        <v>3</v>
      </c>
      <c r="X4136" s="2" t="n">
        <v>3</v>
      </c>
      <c r="Y4136" s="2" t="n">
        <v>2</v>
      </c>
      <c r="Z4136" s="2" t="n">
        <v>3</v>
      </c>
    </row>
    <row r="4137" customFormat="false" ht="15" hidden="false" customHeight="true" outlineLevel="0" collapsed="false">
      <c r="A4137" s="2" t="n">
        <v>36</v>
      </c>
      <c r="B4137" s="2" t="s">
        <v>26</v>
      </c>
      <c r="C4137" s="2" t="s">
        <v>27</v>
      </c>
      <c r="D4137" s="2" t="s">
        <v>35</v>
      </c>
      <c r="E4137" s="2" t="n">
        <v>22</v>
      </c>
      <c r="F4137" s="2" t="n">
        <v>4</v>
      </c>
      <c r="G4137" s="2" t="s">
        <v>29</v>
      </c>
      <c r="H4137" s="2" t="n">
        <v>4136</v>
      </c>
      <c r="I4137" s="2" t="s">
        <v>39</v>
      </c>
      <c r="J4137" s="2" t="n">
        <v>1</v>
      </c>
      <c r="K4137" s="2" t="s">
        <v>31</v>
      </c>
      <c r="L4137" s="2" t="s">
        <v>32</v>
      </c>
      <c r="M4137" s="2" t="n">
        <v>29500</v>
      </c>
      <c r="N4137" s="2" t="n">
        <v>4</v>
      </c>
      <c r="O4137" s="2" t="n">
        <v>14</v>
      </c>
      <c r="P4137" s="2" t="n">
        <v>0</v>
      </c>
      <c r="Q4137" s="2" t="n">
        <v>8</v>
      </c>
      <c r="R4137" s="2" t="n">
        <v>1</v>
      </c>
      <c r="S4137" s="2" t="n">
        <v>6</v>
      </c>
      <c r="T4137" s="2" t="n">
        <v>0</v>
      </c>
      <c r="U4137" s="2" t="n">
        <v>0</v>
      </c>
      <c r="V4137" s="2" t="n">
        <v>2</v>
      </c>
      <c r="W4137" s="2" t="n">
        <v>4</v>
      </c>
      <c r="X4137" s="2" t="n">
        <v>2</v>
      </c>
      <c r="Y4137" s="2" t="n">
        <v>2</v>
      </c>
      <c r="Z4137" s="2" t="n">
        <v>3</v>
      </c>
    </row>
    <row r="4138" customFormat="false" ht="15" hidden="false" customHeight="true" outlineLevel="0" collapsed="false">
      <c r="A4138" s="2" t="n">
        <v>45</v>
      </c>
      <c r="B4138" s="2" t="s">
        <v>26</v>
      </c>
      <c r="C4138" s="2" t="s">
        <v>27</v>
      </c>
      <c r="D4138" s="2" t="s">
        <v>28</v>
      </c>
      <c r="E4138" s="2" t="n">
        <v>24</v>
      </c>
      <c r="F4138" s="2" t="n">
        <v>3</v>
      </c>
      <c r="G4138" s="2" t="s">
        <v>29</v>
      </c>
      <c r="H4138" s="2" t="n">
        <v>4137</v>
      </c>
      <c r="I4138" s="2" t="s">
        <v>39</v>
      </c>
      <c r="J4138" s="2" t="n">
        <v>1</v>
      </c>
      <c r="K4138" s="2" t="s">
        <v>45</v>
      </c>
      <c r="L4138" s="2" t="s">
        <v>37</v>
      </c>
      <c r="M4138" s="2" t="n">
        <v>36290</v>
      </c>
      <c r="N4138" s="2" t="n">
        <v>8</v>
      </c>
      <c r="O4138" s="2" t="n">
        <v>16</v>
      </c>
      <c r="P4138" s="2" t="n">
        <v>1</v>
      </c>
      <c r="Q4138" s="2" t="n">
        <v>8</v>
      </c>
      <c r="R4138" s="2" t="n">
        <v>2</v>
      </c>
      <c r="S4138" s="2" t="n">
        <v>5</v>
      </c>
      <c r="T4138" s="2" t="n">
        <v>0</v>
      </c>
      <c r="U4138" s="2" t="n">
        <v>1</v>
      </c>
      <c r="V4138" s="2" t="n">
        <v>4</v>
      </c>
      <c r="W4138" s="2" t="n">
        <v>3</v>
      </c>
      <c r="X4138" s="2" t="n">
        <v>3</v>
      </c>
      <c r="Y4138" s="2" t="n">
        <v>4</v>
      </c>
      <c r="Z4138" s="2" t="n">
        <v>3</v>
      </c>
    </row>
    <row r="4139" customFormat="false" ht="15" hidden="false" customHeight="true" outlineLevel="0" collapsed="false">
      <c r="A4139" s="2" t="n">
        <v>40</v>
      </c>
      <c r="B4139" s="2" t="s">
        <v>26</v>
      </c>
      <c r="C4139" s="2" t="s">
        <v>27</v>
      </c>
      <c r="D4139" s="2" t="s">
        <v>28</v>
      </c>
      <c r="E4139" s="2" t="n">
        <v>10</v>
      </c>
      <c r="F4139" s="2" t="n">
        <v>4</v>
      </c>
      <c r="G4139" s="2" t="s">
        <v>29</v>
      </c>
      <c r="H4139" s="2" t="n">
        <v>4138</v>
      </c>
      <c r="I4139" s="2" t="s">
        <v>39</v>
      </c>
      <c r="J4139" s="2" t="n">
        <v>1</v>
      </c>
      <c r="K4139" s="2" t="s">
        <v>36</v>
      </c>
      <c r="L4139" s="2" t="s">
        <v>37</v>
      </c>
      <c r="M4139" s="2" t="n">
        <v>93620</v>
      </c>
      <c r="N4139" s="2" t="n">
        <v>2</v>
      </c>
      <c r="O4139" s="2" t="n">
        <v>11</v>
      </c>
      <c r="P4139" s="2" t="n">
        <v>1</v>
      </c>
      <c r="Q4139" s="2" t="n">
        <v>8</v>
      </c>
      <c r="R4139" s="2" t="n">
        <v>6</v>
      </c>
      <c r="S4139" s="2" t="n">
        <v>2</v>
      </c>
      <c r="T4139" s="2" t="n">
        <v>2</v>
      </c>
      <c r="U4139" s="2" t="n">
        <v>2</v>
      </c>
      <c r="V4139" s="2" t="n">
        <v>3</v>
      </c>
      <c r="W4139" s="2" t="n">
        <v>3</v>
      </c>
      <c r="X4139" s="2" t="n">
        <v>3</v>
      </c>
      <c r="Y4139" s="2" t="n">
        <v>3</v>
      </c>
      <c r="Z4139" s="2" t="n">
        <v>3</v>
      </c>
    </row>
    <row r="4140" customFormat="false" ht="15" hidden="false" customHeight="true" outlineLevel="0" collapsed="false">
      <c r="A4140" s="2" t="n">
        <v>35</v>
      </c>
      <c r="B4140" s="2" t="s">
        <v>26</v>
      </c>
      <c r="C4140" s="2" t="s">
        <v>34</v>
      </c>
      <c r="D4140" s="2" t="s">
        <v>28</v>
      </c>
      <c r="E4140" s="2" t="n">
        <v>7</v>
      </c>
      <c r="F4140" s="2" t="n">
        <v>2</v>
      </c>
      <c r="G4140" s="2" t="s">
        <v>29</v>
      </c>
      <c r="H4140" s="2" t="n">
        <v>4139</v>
      </c>
      <c r="I4140" s="2" t="s">
        <v>39</v>
      </c>
      <c r="J4140" s="2" t="n">
        <v>2</v>
      </c>
      <c r="K4140" s="2" t="s">
        <v>47</v>
      </c>
      <c r="L4140" s="2" t="s">
        <v>32</v>
      </c>
      <c r="M4140" s="2" t="n">
        <v>32290</v>
      </c>
      <c r="N4140" s="2" t="n">
        <v>1</v>
      </c>
      <c r="O4140" s="2" t="n">
        <v>25</v>
      </c>
      <c r="P4140" s="2" t="n">
        <v>0</v>
      </c>
      <c r="Q4140" s="2" t="n">
        <v>10</v>
      </c>
      <c r="R4140" s="2" t="n">
        <v>2</v>
      </c>
      <c r="S4140" s="2" t="n">
        <v>10</v>
      </c>
      <c r="T4140" s="2" t="n">
        <v>0</v>
      </c>
      <c r="U4140" s="2" t="n">
        <v>2</v>
      </c>
      <c r="V4140" s="2" t="n">
        <v>3</v>
      </c>
      <c r="W4140" s="2" t="n">
        <v>3</v>
      </c>
      <c r="X4140" s="2" t="n">
        <v>4</v>
      </c>
      <c r="Y4140" s="2" t="n">
        <v>2</v>
      </c>
      <c r="Z4140" s="2" t="n">
        <v>4</v>
      </c>
    </row>
    <row r="4141" customFormat="false" ht="15" hidden="false" customHeight="true" outlineLevel="0" collapsed="false">
      <c r="A4141" s="2" t="n">
        <v>40</v>
      </c>
      <c r="B4141" s="2" t="s">
        <v>26</v>
      </c>
      <c r="C4141" s="2" t="s">
        <v>27</v>
      </c>
      <c r="D4141" s="2" t="s">
        <v>35</v>
      </c>
      <c r="E4141" s="2" t="n">
        <v>17</v>
      </c>
      <c r="F4141" s="2" t="n">
        <v>4</v>
      </c>
      <c r="G4141" s="2" t="s">
        <v>29</v>
      </c>
      <c r="H4141" s="2" t="n">
        <v>4140</v>
      </c>
      <c r="I4141" s="2" t="s">
        <v>39</v>
      </c>
      <c r="J4141" s="2" t="n">
        <v>1</v>
      </c>
      <c r="K4141" s="2" t="s">
        <v>49</v>
      </c>
      <c r="L4141" s="2" t="s">
        <v>32</v>
      </c>
      <c r="M4141" s="2" t="n">
        <v>35780</v>
      </c>
      <c r="N4141" s="2" t="n">
        <v>2</v>
      </c>
      <c r="O4141" s="2" t="n">
        <v>14</v>
      </c>
      <c r="P4141" s="2" t="n">
        <v>1</v>
      </c>
      <c r="Q4141" s="2" t="n">
        <v>20</v>
      </c>
      <c r="R4141" s="2" t="n">
        <v>2</v>
      </c>
      <c r="S4141" s="2" t="n">
        <v>5</v>
      </c>
      <c r="T4141" s="2" t="n">
        <v>0</v>
      </c>
      <c r="U4141" s="2" t="n">
        <v>2</v>
      </c>
      <c r="V4141" s="2" t="n">
        <v>3</v>
      </c>
      <c r="W4141" s="2" t="n">
        <v>3</v>
      </c>
      <c r="X4141" s="2" t="n">
        <v>3</v>
      </c>
      <c r="Y4141" s="2" t="n">
        <v>3</v>
      </c>
      <c r="Z4141" s="2" t="n">
        <v>3</v>
      </c>
    </row>
    <row r="4142" customFormat="false" ht="15" hidden="false" customHeight="true" outlineLevel="0" collapsed="false">
      <c r="A4142" s="2" t="n">
        <v>35</v>
      </c>
      <c r="B4142" s="2" t="s">
        <v>26</v>
      </c>
      <c r="C4142" s="2" t="s">
        <v>27</v>
      </c>
      <c r="D4142" s="2" t="s">
        <v>42</v>
      </c>
      <c r="E4142" s="2" t="n">
        <v>14</v>
      </c>
      <c r="F4142" s="2" t="n">
        <v>1</v>
      </c>
      <c r="G4142" s="2" t="s">
        <v>29</v>
      </c>
      <c r="H4142" s="2" t="n">
        <v>4141</v>
      </c>
      <c r="I4142" s="2" t="s">
        <v>39</v>
      </c>
      <c r="J4142" s="2" t="n">
        <v>2</v>
      </c>
      <c r="K4142" s="2" t="s">
        <v>36</v>
      </c>
      <c r="L4142" s="2" t="s">
        <v>32</v>
      </c>
      <c r="M4142" s="2" t="n">
        <v>79880</v>
      </c>
      <c r="N4142" s="2" t="n">
        <v>1</v>
      </c>
      <c r="O4142" s="2" t="n">
        <v>18</v>
      </c>
      <c r="P4142" s="2" t="n">
        <v>0</v>
      </c>
      <c r="Q4142" s="2" t="n">
        <v>4</v>
      </c>
      <c r="R4142" s="2" t="n">
        <v>3</v>
      </c>
      <c r="S4142" s="2" t="n">
        <v>4</v>
      </c>
      <c r="T4142" s="2" t="n">
        <v>1</v>
      </c>
      <c r="U4142" s="2" t="n">
        <v>1</v>
      </c>
      <c r="V4142" s="2" t="n">
        <v>3</v>
      </c>
      <c r="W4142" s="2" t="n">
        <v>4</v>
      </c>
      <c r="X4142" s="2" t="n">
        <v>3</v>
      </c>
      <c r="Y4142" s="2" t="n">
        <v>3</v>
      </c>
      <c r="Z4142" s="2" t="n">
        <v>3</v>
      </c>
    </row>
    <row r="4143" customFormat="false" ht="15" hidden="false" customHeight="true" outlineLevel="0" collapsed="false">
      <c r="A4143" s="2" t="n">
        <v>29</v>
      </c>
      <c r="B4143" s="2" t="s">
        <v>26</v>
      </c>
      <c r="C4143" s="2" t="s">
        <v>27</v>
      </c>
      <c r="D4143" s="2" t="s">
        <v>35</v>
      </c>
      <c r="E4143" s="2" t="n">
        <v>1</v>
      </c>
      <c r="F4143" s="2" t="n">
        <v>3</v>
      </c>
      <c r="G4143" s="2" t="s">
        <v>43</v>
      </c>
      <c r="H4143" s="2" t="n">
        <v>4142</v>
      </c>
      <c r="I4143" s="2" t="s">
        <v>39</v>
      </c>
      <c r="J4143" s="2" t="n">
        <v>3</v>
      </c>
      <c r="K4143" s="2" t="s">
        <v>40</v>
      </c>
      <c r="L4143" s="2" t="s">
        <v>32</v>
      </c>
      <c r="M4143" s="2" t="n">
        <v>42840</v>
      </c>
      <c r="N4143" s="2" t="n">
        <v>4</v>
      </c>
      <c r="O4143" s="2" t="n">
        <v>11</v>
      </c>
      <c r="P4143" s="2" t="n">
        <v>0</v>
      </c>
      <c r="Q4143" s="2" t="n">
        <v>10</v>
      </c>
      <c r="R4143" s="2" t="n">
        <v>5</v>
      </c>
      <c r="S4143" s="2" t="n">
        <v>4</v>
      </c>
      <c r="T4143" s="2" t="n">
        <v>0</v>
      </c>
      <c r="U4143" s="2" t="n">
        <v>3</v>
      </c>
      <c r="V4143" s="2" t="n">
        <v>4</v>
      </c>
      <c r="W4143" s="2" t="n">
        <v>2</v>
      </c>
      <c r="X4143" s="2" t="n">
        <v>3</v>
      </c>
      <c r="Y4143" s="2" t="n">
        <v>2</v>
      </c>
      <c r="Z4143" s="2" t="n">
        <v>3</v>
      </c>
    </row>
    <row r="4144" customFormat="false" ht="15" hidden="false" customHeight="true" outlineLevel="0" collapsed="false">
      <c r="A4144" s="2" t="n">
        <v>29</v>
      </c>
      <c r="B4144" s="2" t="s">
        <v>26</v>
      </c>
      <c r="C4144" s="2" t="s">
        <v>27</v>
      </c>
      <c r="D4144" s="2" t="s">
        <v>35</v>
      </c>
      <c r="E4144" s="2" t="n">
        <v>5</v>
      </c>
      <c r="F4144" s="2" t="n">
        <v>3</v>
      </c>
      <c r="G4144" s="2" t="s">
        <v>43</v>
      </c>
      <c r="H4144" s="2" t="n">
        <v>4143</v>
      </c>
      <c r="I4144" s="2" t="s">
        <v>39</v>
      </c>
      <c r="J4144" s="2" t="n">
        <v>2</v>
      </c>
      <c r="K4144" s="2" t="s">
        <v>48</v>
      </c>
      <c r="L4144" s="2" t="s">
        <v>37</v>
      </c>
      <c r="M4144" s="2" t="n">
        <v>75530</v>
      </c>
      <c r="N4144" s="2" t="n">
        <v>1</v>
      </c>
      <c r="O4144" s="2" t="n">
        <v>19</v>
      </c>
      <c r="P4144" s="2" t="n">
        <v>0</v>
      </c>
      <c r="Q4144" s="2" t="n">
        <v>5</v>
      </c>
      <c r="R4144" s="2" t="n">
        <v>3</v>
      </c>
      <c r="S4144" s="2" t="n">
        <v>5</v>
      </c>
      <c r="T4144" s="2" t="n">
        <v>0</v>
      </c>
      <c r="U4144" s="2" t="n">
        <v>4</v>
      </c>
      <c r="V4144" s="2" t="n">
        <v>4</v>
      </c>
      <c r="W4144" s="2" t="n">
        <v>1</v>
      </c>
      <c r="X4144" s="2" t="n">
        <v>1</v>
      </c>
      <c r="Y4144" s="2" t="n">
        <v>3</v>
      </c>
      <c r="Z4144" s="2" t="n">
        <v>3</v>
      </c>
    </row>
    <row r="4145" customFormat="false" ht="15" hidden="false" customHeight="true" outlineLevel="0" collapsed="false">
      <c r="A4145" s="2" t="n">
        <v>50</v>
      </c>
      <c r="B4145" s="2" t="s">
        <v>33</v>
      </c>
      <c r="C4145" s="2" t="s">
        <v>27</v>
      </c>
      <c r="D4145" s="2" t="s">
        <v>35</v>
      </c>
      <c r="E4145" s="2" t="n">
        <v>17</v>
      </c>
      <c r="F4145" s="2" t="n">
        <v>3</v>
      </c>
      <c r="G4145" s="2" t="s">
        <v>43</v>
      </c>
      <c r="H4145" s="2" t="n">
        <v>4144</v>
      </c>
      <c r="I4145" s="2" t="s">
        <v>39</v>
      </c>
      <c r="J4145" s="2" t="n">
        <v>1</v>
      </c>
      <c r="K4145" s="2" t="s">
        <v>36</v>
      </c>
      <c r="L4145" s="2" t="s">
        <v>46</v>
      </c>
      <c r="M4145" s="2" t="n">
        <v>173280</v>
      </c>
      <c r="N4145" s="2" t="n">
        <v>4</v>
      </c>
      <c r="O4145" s="2" t="n">
        <v>15</v>
      </c>
      <c r="P4145" s="2" t="n">
        <v>2</v>
      </c>
      <c r="Q4145" s="2" t="n">
        <v>20</v>
      </c>
      <c r="R4145" s="2" t="n">
        <v>1</v>
      </c>
      <c r="S4145" s="2" t="n">
        <v>3</v>
      </c>
      <c r="T4145" s="2" t="n">
        <v>2</v>
      </c>
      <c r="U4145" s="2" t="n">
        <v>0</v>
      </c>
      <c r="V4145" s="2" t="n">
        <v>4</v>
      </c>
      <c r="W4145" s="2" t="n">
        <v>1</v>
      </c>
      <c r="X4145" s="2" t="n">
        <v>3</v>
      </c>
      <c r="Y4145" s="2" t="n">
        <v>3</v>
      </c>
      <c r="Z4145" s="2" t="n">
        <v>3</v>
      </c>
    </row>
    <row r="4146" customFormat="false" ht="15" hidden="false" customHeight="true" outlineLevel="0" collapsed="false">
      <c r="A4146" s="2" t="n">
        <v>39</v>
      </c>
      <c r="B4146" s="2" t="s">
        <v>26</v>
      </c>
      <c r="C4146" s="2" t="s">
        <v>27</v>
      </c>
      <c r="D4146" s="2" t="s">
        <v>28</v>
      </c>
      <c r="E4146" s="2" t="n">
        <v>25</v>
      </c>
      <c r="F4146" s="2" t="n">
        <v>3</v>
      </c>
      <c r="G4146" s="2" t="s">
        <v>43</v>
      </c>
      <c r="H4146" s="2" t="n">
        <v>4145</v>
      </c>
      <c r="I4146" s="2" t="s">
        <v>39</v>
      </c>
      <c r="J4146" s="2" t="n">
        <v>2</v>
      </c>
      <c r="K4146" s="2" t="s">
        <v>40</v>
      </c>
      <c r="L4146" s="2" t="s">
        <v>32</v>
      </c>
      <c r="M4146" s="2" t="n">
        <v>197010</v>
      </c>
      <c r="N4146" s="2" t="n">
        <v>0</v>
      </c>
      <c r="O4146" s="2" t="n">
        <v>11</v>
      </c>
      <c r="P4146" s="2" t="n">
        <v>0</v>
      </c>
      <c r="Q4146" s="2" t="n">
        <v>21</v>
      </c>
      <c r="R4146" s="2" t="n">
        <v>3</v>
      </c>
      <c r="S4146" s="2" t="n">
        <v>20</v>
      </c>
      <c r="T4146" s="2" t="n">
        <v>9</v>
      </c>
      <c r="U4146" s="2" t="n">
        <v>6</v>
      </c>
      <c r="V4146" s="2" t="n">
        <v>2</v>
      </c>
      <c r="W4146" s="2" t="n">
        <v>4</v>
      </c>
      <c r="X4146" s="2" t="n">
        <v>2</v>
      </c>
      <c r="Y4146" s="2" t="n">
        <v>4</v>
      </c>
      <c r="Z4146" s="2" t="n">
        <v>3</v>
      </c>
    </row>
    <row r="4147" customFormat="false" ht="15" hidden="false" customHeight="true" outlineLevel="0" collapsed="false">
      <c r="A4147" s="2" t="n">
        <v>31</v>
      </c>
      <c r="B4147" s="2" t="s">
        <v>26</v>
      </c>
      <c r="C4147" s="2" t="s">
        <v>41</v>
      </c>
      <c r="D4147" s="2" t="s">
        <v>35</v>
      </c>
      <c r="E4147" s="2" t="n">
        <v>8</v>
      </c>
      <c r="F4147" s="2" t="n">
        <v>4</v>
      </c>
      <c r="G4147" s="2" t="s">
        <v>29</v>
      </c>
      <c r="H4147" s="2" t="n">
        <v>4146</v>
      </c>
      <c r="I4147" s="2" t="s">
        <v>30</v>
      </c>
      <c r="J4147" s="2" t="n">
        <v>4</v>
      </c>
      <c r="K4147" s="2" t="s">
        <v>40</v>
      </c>
      <c r="L4147" s="2" t="s">
        <v>37</v>
      </c>
      <c r="M4147" s="2" t="n">
        <v>147320</v>
      </c>
      <c r="N4147" s="2" t="n">
        <v>0</v>
      </c>
      <c r="O4147" s="2" t="n">
        <v>12</v>
      </c>
      <c r="P4147" s="2" t="n">
        <v>0</v>
      </c>
      <c r="Q4147" s="2" t="n">
        <v>10</v>
      </c>
      <c r="R4147" s="2" t="n">
        <v>3</v>
      </c>
      <c r="S4147" s="2" t="n">
        <v>9</v>
      </c>
      <c r="T4147" s="2" t="n">
        <v>1</v>
      </c>
      <c r="U4147" s="2" t="n">
        <v>7</v>
      </c>
      <c r="V4147" s="2" t="n">
        <v>2</v>
      </c>
      <c r="W4147" s="2" t="n">
        <v>1</v>
      </c>
      <c r="X4147" s="2" t="n">
        <v>3</v>
      </c>
      <c r="Y4147" s="2" t="n">
        <v>3</v>
      </c>
      <c r="Z4147" s="2" t="n">
        <v>3</v>
      </c>
    </row>
    <row r="4148" customFormat="false" ht="15" hidden="false" customHeight="true" outlineLevel="0" collapsed="false">
      <c r="A4148" s="2" t="n">
        <v>26</v>
      </c>
      <c r="B4148" s="2" t="s">
        <v>26</v>
      </c>
      <c r="C4148" s="2" t="s">
        <v>27</v>
      </c>
      <c r="D4148" s="2" t="s">
        <v>35</v>
      </c>
      <c r="E4148" s="2" t="n">
        <v>11</v>
      </c>
      <c r="F4148" s="2" t="n">
        <v>4</v>
      </c>
      <c r="G4148" s="2" t="s">
        <v>43</v>
      </c>
      <c r="H4148" s="2" t="n">
        <v>4147</v>
      </c>
      <c r="I4148" s="2" t="s">
        <v>39</v>
      </c>
      <c r="J4148" s="2" t="n">
        <v>2</v>
      </c>
      <c r="K4148" s="2" t="s">
        <v>49</v>
      </c>
      <c r="L4148" s="2" t="s">
        <v>37</v>
      </c>
      <c r="M4148" s="2" t="n">
        <v>92780</v>
      </c>
      <c r="N4148" s="2" t="n">
        <v>0</v>
      </c>
      <c r="O4148" s="2" t="n">
        <v>20</v>
      </c>
      <c r="P4148" s="2" t="n">
        <v>0</v>
      </c>
      <c r="Q4148" s="2" t="n">
        <v>5</v>
      </c>
      <c r="R4148" s="2" t="n">
        <v>3</v>
      </c>
      <c r="S4148" s="2" t="n">
        <v>4</v>
      </c>
      <c r="T4148" s="2" t="n">
        <v>0</v>
      </c>
      <c r="U4148" s="2" t="n">
        <v>0</v>
      </c>
      <c r="V4148" s="2" t="n">
        <v>4</v>
      </c>
      <c r="W4148" s="2" t="n">
        <v>3</v>
      </c>
      <c r="X4148" s="2" t="n">
        <v>3</v>
      </c>
      <c r="Y4148" s="2" t="n">
        <v>3</v>
      </c>
      <c r="Z4148" s="2" t="n">
        <v>4</v>
      </c>
    </row>
    <row r="4149" customFormat="false" ht="15" hidden="false" customHeight="true" outlineLevel="0" collapsed="false">
      <c r="A4149" s="2" t="n">
        <v>36</v>
      </c>
      <c r="B4149" s="2" t="s">
        <v>26</v>
      </c>
      <c r="C4149" s="2" t="s">
        <v>34</v>
      </c>
      <c r="D4149" s="2" t="s">
        <v>35</v>
      </c>
      <c r="E4149" s="2" t="n">
        <v>5</v>
      </c>
      <c r="F4149" s="2" t="n">
        <v>1</v>
      </c>
      <c r="G4149" s="2" t="s">
        <v>51</v>
      </c>
      <c r="H4149" s="2" t="n">
        <v>4148</v>
      </c>
      <c r="I4149" s="2" t="s">
        <v>39</v>
      </c>
      <c r="J4149" s="2" t="n">
        <v>1</v>
      </c>
      <c r="K4149" s="2" t="s">
        <v>40</v>
      </c>
      <c r="L4149" s="2" t="s">
        <v>32</v>
      </c>
      <c r="M4149" s="2" t="n">
        <v>13590</v>
      </c>
      <c r="N4149" s="2" t="n">
        <v>4</v>
      </c>
      <c r="O4149" s="2" t="n">
        <v>12</v>
      </c>
      <c r="P4149" s="2" t="n">
        <v>0</v>
      </c>
      <c r="Q4149" s="2" t="n">
        <v>17</v>
      </c>
      <c r="R4149" s="2" t="n">
        <v>2</v>
      </c>
      <c r="S4149" s="2" t="n">
        <v>5</v>
      </c>
      <c r="T4149" s="2" t="n">
        <v>0</v>
      </c>
      <c r="U4149" s="2" t="n">
        <v>3</v>
      </c>
      <c r="V4149" s="2" t="n">
        <v>3</v>
      </c>
      <c r="W4149" s="2" t="n">
        <v>4</v>
      </c>
      <c r="X4149" s="2" t="n">
        <v>3</v>
      </c>
      <c r="Y4149" s="2" t="n">
        <v>3</v>
      </c>
      <c r="Z4149" s="2" t="n">
        <v>3</v>
      </c>
    </row>
    <row r="4150" customFormat="false" ht="15" hidden="false" customHeight="true" outlineLevel="0" collapsed="false">
      <c r="A4150" s="2" t="n">
        <v>39</v>
      </c>
      <c r="B4150" s="2" t="s">
        <v>26</v>
      </c>
      <c r="C4150" s="2" t="s">
        <v>27</v>
      </c>
      <c r="D4150" s="2" t="s">
        <v>35</v>
      </c>
      <c r="E4150" s="2" t="n">
        <v>2</v>
      </c>
      <c r="F4150" s="2" t="n">
        <v>1</v>
      </c>
      <c r="G4150" s="2" t="s">
        <v>43</v>
      </c>
      <c r="H4150" s="2" t="n">
        <v>4149</v>
      </c>
      <c r="I4150" s="2" t="s">
        <v>30</v>
      </c>
      <c r="J4150" s="2" t="n">
        <v>1</v>
      </c>
      <c r="K4150" s="2" t="s">
        <v>36</v>
      </c>
      <c r="L4150" s="2" t="s">
        <v>32</v>
      </c>
      <c r="M4150" s="2" t="n">
        <v>47790</v>
      </c>
      <c r="N4150" s="2" t="n">
        <v>4</v>
      </c>
      <c r="O4150" s="2" t="n">
        <v>14</v>
      </c>
      <c r="P4150" s="2" t="n">
        <v>2</v>
      </c>
      <c r="Q4150" s="2" t="n">
        <v>9</v>
      </c>
      <c r="R4150" s="2" t="n">
        <v>3</v>
      </c>
      <c r="S4150" s="2" t="n">
        <v>7</v>
      </c>
      <c r="T4150" s="2" t="n">
        <v>1</v>
      </c>
      <c r="U4150" s="2" t="n">
        <v>7</v>
      </c>
      <c r="V4150" s="2" t="n">
        <v>4</v>
      </c>
      <c r="W4150" s="2" t="n">
        <v>1</v>
      </c>
      <c r="X4150" s="2" t="n">
        <v>3</v>
      </c>
      <c r="Y4150" s="2" t="n">
        <v>3</v>
      </c>
      <c r="Z4150" s="2" t="n">
        <v>3</v>
      </c>
    </row>
    <row r="4151" customFormat="false" ht="15" hidden="false" customHeight="true" outlineLevel="0" collapsed="false">
      <c r="A4151" s="2" t="n">
        <v>27</v>
      </c>
      <c r="B4151" s="2" t="s">
        <v>26</v>
      </c>
      <c r="C4151" s="2" t="s">
        <v>27</v>
      </c>
      <c r="D4151" s="2" t="s">
        <v>35</v>
      </c>
      <c r="E4151" s="2" t="n">
        <v>8</v>
      </c>
      <c r="F4151" s="2" t="n">
        <v>2</v>
      </c>
      <c r="G4151" s="2" t="s">
        <v>43</v>
      </c>
      <c r="H4151" s="2" t="n">
        <v>4150</v>
      </c>
      <c r="I4151" s="2" t="s">
        <v>39</v>
      </c>
      <c r="J4151" s="2" t="n">
        <v>1</v>
      </c>
      <c r="K4151" s="2" t="s">
        <v>45</v>
      </c>
      <c r="L4151" s="2" t="s">
        <v>32</v>
      </c>
      <c r="M4151" s="2" t="n">
        <v>164220</v>
      </c>
      <c r="N4151" s="2" t="n">
        <v>1</v>
      </c>
      <c r="O4151" s="2" t="n">
        <v>20</v>
      </c>
      <c r="P4151" s="2" t="n">
        <v>1</v>
      </c>
      <c r="Q4151" s="2" t="n">
        <v>6</v>
      </c>
      <c r="R4151" s="2" t="n">
        <v>3</v>
      </c>
      <c r="S4151" s="2" t="n">
        <v>6</v>
      </c>
      <c r="T4151" s="2" t="n">
        <v>0</v>
      </c>
      <c r="U4151" s="2" t="n">
        <v>3</v>
      </c>
      <c r="V4151" s="2" t="n">
        <v>2</v>
      </c>
      <c r="W4151" s="2" t="n">
        <v>2</v>
      </c>
      <c r="X4151" s="2" t="n">
        <v>3</v>
      </c>
      <c r="Y4151" s="2" t="n">
        <v>3</v>
      </c>
      <c r="Z4151" s="2" t="n">
        <v>4</v>
      </c>
    </row>
    <row r="4152" customFormat="false" ht="15" hidden="false" customHeight="true" outlineLevel="0" collapsed="false">
      <c r="A4152" s="2" t="n">
        <v>49</v>
      </c>
      <c r="B4152" s="2" t="s">
        <v>26</v>
      </c>
      <c r="C4152" s="2" t="s">
        <v>34</v>
      </c>
      <c r="D4152" s="2" t="s">
        <v>35</v>
      </c>
      <c r="E4152" s="2" t="n">
        <v>6</v>
      </c>
      <c r="F4152" s="2" t="n">
        <v>1</v>
      </c>
      <c r="G4152" s="2" t="s">
        <v>43</v>
      </c>
      <c r="H4152" s="2" t="n">
        <v>4151</v>
      </c>
      <c r="I4152" s="2" t="s">
        <v>39</v>
      </c>
      <c r="J4152" s="2" t="n">
        <v>3</v>
      </c>
      <c r="K4152" s="2" t="s">
        <v>31</v>
      </c>
      <c r="L4152" s="2" t="s">
        <v>32</v>
      </c>
      <c r="M4152" s="2" t="n">
        <v>29960</v>
      </c>
      <c r="N4152" s="2" t="n">
        <v>2</v>
      </c>
      <c r="O4152" s="2" t="n">
        <v>18</v>
      </c>
      <c r="P4152" s="2" t="n">
        <v>1</v>
      </c>
      <c r="Q4152" s="2" t="n">
        <v>17</v>
      </c>
      <c r="R4152" s="2" t="n">
        <v>2</v>
      </c>
      <c r="S4152" s="2" t="n">
        <v>9</v>
      </c>
      <c r="T4152" s="2" t="n">
        <v>0</v>
      </c>
      <c r="U4152" s="2" t="n">
        <v>8</v>
      </c>
      <c r="V4152" s="2" t="n">
        <v>4</v>
      </c>
      <c r="W4152" s="2" t="n">
        <v>2</v>
      </c>
      <c r="X4152" s="2" t="n">
        <v>2</v>
      </c>
      <c r="Y4152" s="2" t="n">
        <v>2</v>
      </c>
      <c r="Z4152" s="2" t="n">
        <v>3</v>
      </c>
    </row>
    <row r="4153" customFormat="false" ht="15" hidden="false" customHeight="true" outlineLevel="0" collapsed="false">
      <c r="A4153" s="2" t="n">
        <v>34</v>
      </c>
      <c r="B4153" s="2" t="s">
        <v>26</v>
      </c>
      <c r="C4153" s="2" t="s">
        <v>27</v>
      </c>
      <c r="D4153" s="2" t="s">
        <v>28</v>
      </c>
      <c r="E4153" s="2" t="n">
        <v>4</v>
      </c>
      <c r="F4153" s="2" t="n">
        <v>3</v>
      </c>
      <c r="G4153" s="2" t="s">
        <v>43</v>
      </c>
      <c r="H4153" s="2" t="n">
        <v>4152</v>
      </c>
      <c r="I4153" s="2" t="s">
        <v>30</v>
      </c>
      <c r="J4153" s="2" t="n">
        <v>1</v>
      </c>
      <c r="K4153" s="2" t="s">
        <v>40</v>
      </c>
      <c r="L4153" s="2" t="s">
        <v>32</v>
      </c>
      <c r="M4153" s="2" t="n">
        <v>12610</v>
      </c>
      <c r="N4153" s="2" t="n">
        <v>2</v>
      </c>
      <c r="O4153" s="2" t="n">
        <v>14</v>
      </c>
      <c r="P4153" s="2" t="n">
        <v>1</v>
      </c>
      <c r="Q4153" s="2" t="n">
        <v>6</v>
      </c>
      <c r="R4153" s="2" t="n">
        <v>6</v>
      </c>
      <c r="S4153" s="2" t="n">
        <v>4</v>
      </c>
      <c r="T4153" s="2" t="n">
        <v>1</v>
      </c>
      <c r="U4153" s="2" t="n">
        <v>2</v>
      </c>
      <c r="V4153" s="2" t="n">
        <v>2</v>
      </c>
      <c r="W4153" s="2" t="n">
        <v>3</v>
      </c>
      <c r="X4153" s="2" t="n">
        <v>4</v>
      </c>
      <c r="Y4153" s="2" t="n">
        <v>3</v>
      </c>
      <c r="Z4153" s="2" t="n">
        <v>3</v>
      </c>
    </row>
    <row r="4154" customFormat="false" ht="15" hidden="false" customHeight="true" outlineLevel="0" collapsed="false">
      <c r="A4154" s="2" t="n">
        <v>41</v>
      </c>
      <c r="B4154" s="2" t="s">
        <v>33</v>
      </c>
      <c r="C4154" s="2" t="s">
        <v>27</v>
      </c>
      <c r="D4154" s="2" t="s">
        <v>35</v>
      </c>
      <c r="E4154" s="2" t="n">
        <v>7</v>
      </c>
      <c r="F4154" s="2" t="n">
        <v>2</v>
      </c>
      <c r="G4154" s="2" t="s">
        <v>29</v>
      </c>
      <c r="H4154" s="2" t="n">
        <v>4153</v>
      </c>
      <c r="I4154" s="2" t="s">
        <v>30</v>
      </c>
      <c r="J4154" s="2" t="n">
        <v>1</v>
      </c>
      <c r="K4154" s="2" t="s">
        <v>36</v>
      </c>
      <c r="L4154" s="2" t="s">
        <v>37</v>
      </c>
      <c r="M4154" s="2" t="n">
        <v>20990</v>
      </c>
      <c r="N4154" s="2" t="n">
        <v>8</v>
      </c>
      <c r="O4154" s="2" t="n">
        <v>12</v>
      </c>
      <c r="P4154" s="2" t="n">
        <v>1</v>
      </c>
      <c r="Q4154" s="2" t="n">
        <v>8</v>
      </c>
      <c r="R4154" s="2" t="n">
        <v>2</v>
      </c>
      <c r="S4154" s="2" t="n">
        <v>6</v>
      </c>
      <c r="T4154" s="2" t="n">
        <v>0</v>
      </c>
      <c r="U4154" s="2" t="n">
        <v>5</v>
      </c>
      <c r="V4154" s="2" t="n">
        <v>2</v>
      </c>
      <c r="W4154" s="2" t="n">
        <v>4</v>
      </c>
      <c r="X4154" s="2" t="n">
        <v>1</v>
      </c>
      <c r="Y4154" s="2" t="n">
        <v>3</v>
      </c>
      <c r="Z4154" s="2" t="n">
        <v>3</v>
      </c>
    </row>
    <row r="4155" customFormat="false" ht="15" hidden="false" customHeight="true" outlineLevel="0" collapsed="false">
      <c r="A4155" s="2" t="n">
        <v>49</v>
      </c>
      <c r="B4155" s="2" t="s">
        <v>26</v>
      </c>
      <c r="C4155" s="2" t="s">
        <v>34</v>
      </c>
      <c r="D4155" s="2" t="s">
        <v>28</v>
      </c>
      <c r="E4155" s="2" t="n">
        <v>1</v>
      </c>
      <c r="F4155" s="2" t="n">
        <v>4</v>
      </c>
      <c r="G4155" s="2" t="s">
        <v>29</v>
      </c>
      <c r="H4155" s="2" t="n">
        <v>4154</v>
      </c>
      <c r="I4155" s="2" t="s">
        <v>30</v>
      </c>
      <c r="J4155" s="2" t="n">
        <v>2</v>
      </c>
      <c r="K4155" s="2" t="s">
        <v>47</v>
      </c>
      <c r="L4155" s="2" t="s">
        <v>32</v>
      </c>
      <c r="M4155" s="2" t="n">
        <v>58100</v>
      </c>
      <c r="N4155" s="2" t="n">
        <v>1</v>
      </c>
      <c r="O4155" s="2" t="n">
        <v>21</v>
      </c>
      <c r="P4155" s="2" t="n">
        <v>1</v>
      </c>
      <c r="Q4155" s="2" t="n">
        <v>10</v>
      </c>
      <c r="R4155" s="2" t="n">
        <v>2</v>
      </c>
      <c r="S4155" s="2" t="n">
        <v>10</v>
      </c>
      <c r="T4155" s="2" t="n">
        <v>1</v>
      </c>
      <c r="U4155" s="2" t="n">
        <v>7</v>
      </c>
      <c r="V4155" s="2" t="n">
        <v>3</v>
      </c>
      <c r="W4155" s="2" t="n">
        <v>2</v>
      </c>
      <c r="X4155" s="2" t="n">
        <v>3</v>
      </c>
      <c r="Y4155" s="2" t="n">
        <v>3</v>
      </c>
      <c r="Z4155" s="2" t="n">
        <v>4</v>
      </c>
    </row>
    <row r="4156" customFormat="false" ht="15" hidden="false" customHeight="true" outlineLevel="0" collapsed="false">
      <c r="A4156" s="2" t="n">
        <v>37</v>
      </c>
      <c r="B4156" s="2" t="s">
        <v>33</v>
      </c>
      <c r="C4156" s="2" t="s">
        <v>27</v>
      </c>
      <c r="D4156" s="2" t="s">
        <v>35</v>
      </c>
      <c r="E4156" s="2" t="n">
        <v>2</v>
      </c>
      <c r="F4156" s="2" t="n">
        <v>3</v>
      </c>
      <c r="G4156" s="2" t="s">
        <v>29</v>
      </c>
      <c r="H4156" s="2" t="n">
        <v>4155</v>
      </c>
      <c r="I4156" s="2" t="s">
        <v>39</v>
      </c>
      <c r="J4156" s="2" t="n">
        <v>1</v>
      </c>
      <c r="K4156" s="2" t="s">
        <v>40</v>
      </c>
      <c r="L4156" s="2" t="s">
        <v>37</v>
      </c>
      <c r="M4156" s="2" t="n">
        <v>56470</v>
      </c>
      <c r="N4156" s="2" t="n">
        <v>6</v>
      </c>
      <c r="O4156" s="2" t="n">
        <v>19</v>
      </c>
      <c r="P4156" s="2" t="n">
        <v>0</v>
      </c>
      <c r="Q4156" s="2" t="n">
        <v>7</v>
      </c>
      <c r="R4156" s="2" t="n">
        <v>2</v>
      </c>
      <c r="S4156" s="2" t="n">
        <v>0</v>
      </c>
      <c r="T4156" s="2" t="n">
        <v>0</v>
      </c>
      <c r="U4156" s="2" t="n">
        <v>0</v>
      </c>
      <c r="V4156" s="2" t="n">
        <v>4</v>
      </c>
      <c r="W4156" s="2" t="n">
        <v>3</v>
      </c>
      <c r="X4156" s="2" t="n">
        <v>3</v>
      </c>
      <c r="Y4156" s="2" t="n">
        <v>3</v>
      </c>
      <c r="Z4156" s="2" t="n">
        <v>3</v>
      </c>
    </row>
    <row r="4157" customFormat="false" ht="15" hidden="false" customHeight="true" outlineLevel="0" collapsed="false">
      <c r="A4157" s="2" t="n">
        <v>33</v>
      </c>
      <c r="B4157" s="2" t="s">
        <v>26</v>
      </c>
      <c r="C4157" s="2" t="s">
        <v>34</v>
      </c>
      <c r="D4157" s="2" t="s">
        <v>35</v>
      </c>
      <c r="E4157" s="2" t="n">
        <v>10</v>
      </c>
      <c r="F4157" s="2" t="n">
        <v>2</v>
      </c>
      <c r="G4157" s="2" t="s">
        <v>43</v>
      </c>
      <c r="H4157" s="2" t="n">
        <v>4156</v>
      </c>
      <c r="I4157" s="2" t="s">
        <v>39</v>
      </c>
      <c r="J4157" s="2" t="n">
        <v>2</v>
      </c>
      <c r="K4157" s="2" t="s">
        <v>36</v>
      </c>
      <c r="L4157" s="2" t="s">
        <v>32</v>
      </c>
      <c r="M4157" s="2" t="n">
        <v>34200</v>
      </c>
      <c r="N4157" s="2" t="n">
        <v>1</v>
      </c>
      <c r="O4157" s="2" t="n">
        <v>14</v>
      </c>
      <c r="P4157" s="2" t="n">
        <v>0</v>
      </c>
      <c r="Q4157" s="2" t="n">
        <v>8</v>
      </c>
      <c r="R4157" s="2" t="n">
        <v>3</v>
      </c>
      <c r="S4157" s="2" t="n">
        <v>8</v>
      </c>
      <c r="T4157" s="2" t="n">
        <v>3</v>
      </c>
      <c r="U4157" s="2" t="n">
        <v>0</v>
      </c>
      <c r="V4157" s="2" t="n">
        <v>4</v>
      </c>
      <c r="W4157" s="2" t="n">
        <v>3</v>
      </c>
      <c r="X4157" s="2" t="n">
        <v>3</v>
      </c>
      <c r="Y4157" s="2" t="n">
        <v>3</v>
      </c>
      <c r="Z4157" s="2" t="n">
        <v>3</v>
      </c>
    </row>
    <row r="4158" customFormat="false" ht="15" hidden="false" customHeight="true" outlineLevel="0" collapsed="false">
      <c r="A4158" s="2" t="n">
        <v>27</v>
      </c>
      <c r="B4158" s="2" t="s">
        <v>26</v>
      </c>
      <c r="C4158" s="2" t="s">
        <v>27</v>
      </c>
      <c r="D4158" s="2" t="s">
        <v>28</v>
      </c>
      <c r="E4158" s="2" t="n">
        <v>5</v>
      </c>
      <c r="F4158" s="2" t="n">
        <v>4</v>
      </c>
      <c r="G4158" s="2" t="s">
        <v>43</v>
      </c>
      <c r="H4158" s="2" t="n">
        <v>4157</v>
      </c>
      <c r="I4158" s="2" t="s">
        <v>30</v>
      </c>
      <c r="J4158" s="2" t="n">
        <v>4</v>
      </c>
      <c r="K4158" s="2" t="s">
        <v>47</v>
      </c>
      <c r="L4158" s="2" t="s">
        <v>32</v>
      </c>
      <c r="M4158" s="2" t="n">
        <v>44000</v>
      </c>
      <c r="N4158" s="2" t="n">
        <v>9</v>
      </c>
      <c r="O4158" s="2" t="n">
        <v>17</v>
      </c>
      <c r="P4158" s="2" t="n">
        <v>1</v>
      </c>
      <c r="Q4158" s="2" t="n">
        <v>6</v>
      </c>
      <c r="R4158" s="2" t="n">
        <v>3</v>
      </c>
      <c r="S4158" s="2" t="n">
        <v>2</v>
      </c>
      <c r="T4158" s="2" t="n">
        <v>2</v>
      </c>
      <c r="U4158" s="2" t="n">
        <v>2</v>
      </c>
      <c r="V4158" s="2" t="n">
        <v>1</v>
      </c>
      <c r="W4158" s="2" t="n">
        <v>2</v>
      </c>
      <c r="X4158" s="2" t="n">
        <v>3</v>
      </c>
      <c r="Y4158" s="2" t="n">
        <v>2</v>
      </c>
      <c r="Z4158" s="2" t="n">
        <v>3</v>
      </c>
    </row>
    <row r="4159" customFormat="false" ht="15" hidden="false" customHeight="true" outlineLevel="0" collapsed="false">
      <c r="A4159" s="2" t="n">
        <v>32</v>
      </c>
      <c r="B4159" s="2" t="s">
        <v>26</v>
      </c>
      <c r="C4159" s="2" t="s">
        <v>34</v>
      </c>
      <c r="D4159" s="2" t="s">
        <v>35</v>
      </c>
      <c r="E4159" s="2" t="n">
        <v>9</v>
      </c>
      <c r="F4159" s="2" t="n">
        <v>2</v>
      </c>
      <c r="G4159" s="2" t="s">
        <v>43</v>
      </c>
      <c r="H4159" s="2" t="n">
        <v>4158</v>
      </c>
      <c r="I4159" s="2" t="s">
        <v>30</v>
      </c>
      <c r="J4159" s="2" t="n">
        <v>2</v>
      </c>
      <c r="K4159" s="2" t="s">
        <v>36</v>
      </c>
      <c r="L4159" s="2" t="s">
        <v>37</v>
      </c>
      <c r="M4159" s="2" t="n">
        <v>35000</v>
      </c>
      <c r="N4159" s="2" t="n">
        <v>0</v>
      </c>
      <c r="O4159" s="2" t="n">
        <v>16</v>
      </c>
      <c r="P4159" s="2" t="n">
        <v>1</v>
      </c>
      <c r="Q4159" s="2" t="n">
        <v>8</v>
      </c>
      <c r="R4159" s="2" t="n">
        <v>2</v>
      </c>
      <c r="S4159" s="2" t="n">
        <v>7</v>
      </c>
      <c r="T4159" s="2" t="n">
        <v>3</v>
      </c>
      <c r="U4159" s="2" t="n">
        <v>6</v>
      </c>
      <c r="V4159" s="2" t="n">
        <v>4</v>
      </c>
      <c r="W4159" s="2" t="n">
        <v>4</v>
      </c>
      <c r="X4159" s="2" t="n">
        <v>2</v>
      </c>
      <c r="Y4159" s="2" t="n">
        <v>2</v>
      </c>
      <c r="Z4159" s="2" t="n">
        <v>3</v>
      </c>
    </row>
    <row r="4160" customFormat="false" ht="15" hidden="false" customHeight="true" outlineLevel="0" collapsed="false">
      <c r="A4160" s="2" t="n">
        <v>59</v>
      </c>
      <c r="B4160" s="2" t="s">
        <v>26</v>
      </c>
      <c r="C4160" s="2" t="s">
        <v>27</v>
      </c>
      <c r="D4160" s="2" t="s">
        <v>28</v>
      </c>
      <c r="E4160" s="2" t="n">
        <v>2</v>
      </c>
      <c r="F4160" s="2" t="n">
        <v>2</v>
      </c>
      <c r="G4160" s="2" t="s">
        <v>50</v>
      </c>
      <c r="H4160" s="2" t="n">
        <v>4159</v>
      </c>
      <c r="I4160" s="2" t="s">
        <v>30</v>
      </c>
      <c r="J4160" s="2" t="n">
        <v>5</v>
      </c>
      <c r="K4160" s="2" t="s">
        <v>48</v>
      </c>
      <c r="L4160" s="2" t="s">
        <v>32</v>
      </c>
      <c r="M4160" s="2" t="n">
        <v>20660</v>
      </c>
      <c r="N4160" s="2" t="n">
        <v>4</v>
      </c>
      <c r="O4160" s="2" t="n">
        <v>12</v>
      </c>
      <c r="P4160" s="2" t="n">
        <v>1</v>
      </c>
      <c r="Q4160" s="2" t="n">
        <v>12</v>
      </c>
      <c r="R4160" s="2" t="n">
        <v>3</v>
      </c>
      <c r="S4160" s="2" t="n">
        <v>1</v>
      </c>
      <c r="T4160" s="2" t="n">
        <v>0</v>
      </c>
      <c r="U4160" s="2" t="n">
        <v>0</v>
      </c>
      <c r="V4160" s="2" t="n">
        <v>3</v>
      </c>
      <c r="W4160" s="2" t="n">
        <v>1</v>
      </c>
      <c r="X4160" s="2" t="n">
        <v>2</v>
      </c>
      <c r="Y4160" s="2" t="n">
        <v>3</v>
      </c>
      <c r="Z4160" s="2" t="n">
        <v>3</v>
      </c>
    </row>
    <row r="4161" customFormat="false" ht="15" hidden="false" customHeight="true" outlineLevel="0" collapsed="false">
      <c r="A4161" s="2" t="n">
        <v>30</v>
      </c>
      <c r="B4161" s="2" t="s">
        <v>26</v>
      </c>
      <c r="C4161" s="2" t="s">
        <v>27</v>
      </c>
      <c r="D4161" s="2" t="s">
        <v>35</v>
      </c>
      <c r="E4161" s="2" t="n">
        <v>11</v>
      </c>
      <c r="F4161" s="2" t="n">
        <v>4</v>
      </c>
      <c r="G4161" s="2" t="s">
        <v>43</v>
      </c>
      <c r="H4161" s="2" t="n">
        <v>4160</v>
      </c>
      <c r="I4161" s="2" t="s">
        <v>39</v>
      </c>
      <c r="J4161" s="2" t="n">
        <v>2</v>
      </c>
      <c r="K4161" s="2" t="s">
        <v>45</v>
      </c>
      <c r="L4161" s="2" t="s">
        <v>46</v>
      </c>
      <c r="M4161" s="2" t="n">
        <v>171690</v>
      </c>
      <c r="N4161" s="2" t="n">
        <v>1</v>
      </c>
      <c r="O4161" s="2" t="n">
        <v>17</v>
      </c>
      <c r="P4161" s="2" t="n">
        <v>2</v>
      </c>
      <c r="Q4161" s="2" t="n">
        <v>1</v>
      </c>
      <c r="R4161" s="2" t="n">
        <v>2</v>
      </c>
      <c r="S4161" s="2" t="n">
        <v>1</v>
      </c>
      <c r="T4161" s="2" t="n">
        <v>0</v>
      </c>
      <c r="U4161" s="2" t="n">
        <v>0</v>
      </c>
      <c r="V4161" s="2" t="n">
        <v>4</v>
      </c>
      <c r="W4161" s="2" t="n">
        <v>3</v>
      </c>
      <c r="X4161" s="2" t="n">
        <v>3</v>
      </c>
      <c r="Y4161" s="2" t="n">
        <v>3</v>
      </c>
      <c r="Z4161" s="2" t="n">
        <v>3</v>
      </c>
    </row>
    <row r="4162" customFormat="false" ht="15" hidden="false" customHeight="true" outlineLevel="0" collapsed="false">
      <c r="A4162" s="2" t="n">
        <v>38</v>
      </c>
      <c r="B4162" s="2" t="s">
        <v>26</v>
      </c>
      <c r="C4162" s="2" t="s">
        <v>34</v>
      </c>
      <c r="D4162" s="2" t="s">
        <v>28</v>
      </c>
      <c r="E4162" s="2" t="n">
        <v>18</v>
      </c>
      <c r="F4162" s="2" t="n">
        <v>4</v>
      </c>
      <c r="G4162" s="2" t="s">
        <v>29</v>
      </c>
      <c r="H4162" s="2" t="n">
        <v>4161</v>
      </c>
      <c r="I4162" s="2" t="s">
        <v>39</v>
      </c>
      <c r="J4162" s="2" t="n">
        <v>2</v>
      </c>
      <c r="K4162" s="2" t="s">
        <v>31</v>
      </c>
      <c r="L4162" s="2" t="s">
        <v>37</v>
      </c>
      <c r="M4162" s="2" t="n">
        <v>41620</v>
      </c>
      <c r="N4162" s="2" t="n">
        <v>0</v>
      </c>
      <c r="O4162" s="2" t="n">
        <v>15</v>
      </c>
      <c r="P4162" s="2" t="n">
        <v>1</v>
      </c>
      <c r="Q4162" s="2" t="n">
        <v>10</v>
      </c>
      <c r="R4162" s="2" t="n">
        <v>1</v>
      </c>
      <c r="S4162" s="2" t="n">
        <v>9</v>
      </c>
      <c r="T4162" s="2" t="n">
        <v>1</v>
      </c>
      <c r="U4162" s="2" t="n">
        <v>8</v>
      </c>
      <c r="V4162" s="2" t="n">
        <v>4</v>
      </c>
      <c r="W4162" s="2" t="n">
        <v>3</v>
      </c>
      <c r="X4162" s="2" t="n">
        <v>3</v>
      </c>
      <c r="Y4162" s="2" t="n">
        <v>3</v>
      </c>
      <c r="Z4162" s="2" t="n">
        <v>3</v>
      </c>
    </row>
    <row r="4163" customFormat="false" ht="15" hidden="false" customHeight="true" outlineLevel="0" collapsed="false">
      <c r="A4163" s="2" t="n">
        <v>36</v>
      </c>
      <c r="B4163" s="2" t="s">
        <v>26</v>
      </c>
      <c r="C4163" s="2" t="s">
        <v>27</v>
      </c>
      <c r="D4163" s="2" t="s">
        <v>35</v>
      </c>
      <c r="E4163" s="2" t="n">
        <v>7</v>
      </c>
      <c r="F4163" s="2" t="n">
        <v>3</v>
      </c>
      <c r="G4163" s="2" t="s">
        <v>29</v>
      </c>
      <c r="H4163" s="2" t="n">
        <v>4162</v>
      </c>
      <c r="I4163" s="2" t="s">
        <v>39</v>
      </c>
      <c r="J4163" s="2" t="n">
        <v>1</v>
      </c>
      <c r="K4163" s="2" t="s">
        <v>40</v>
      </c>
      <c r="L4163" s="2" t="s">
        <v>32</v>
      </c>
      <c r="M4163" s="2" t="n">
        <v>92040</v>
      </c>
      <c r="N4163" s="2" t="n">
        <v>6</v>
      </c>
      <c r="O4163" s="2" t="n">
        <v>23</v>
      </c>
      <c r="P4163" s="2" t="n">
        <v>1</v>
      </c>
      <c r="Q4163" s="2" t="n">
        <v>17</v>
      </c>
      <c r="R4163" s="2" t="n">
        <v>2</v>
      </c>
      <c r="S4163" s="2" t="n">
        <v>7</v>
      </c>
      <c r="T4163" s="2" t="n">
        <v>7</v>
      </c>
      <c r="U4163" s="2" t="n">
        <v>7</v>
      </c>
      <c r="V4163" s="2" t="n">
        <v>3</v>
      </c>
      <c r="W4163" s="2" t="n">
        <v>3</v>
      </c>
      <c r="X4163" s="2" t="n">
        <v>2</v>
      </c>
      <c r="Y4163" s="2" t="n">
        <v>3</v>
      </c>
      <c r="Z4163" s="2" t="n">
        <v>4</v>
      </c>
    </row>
    <row r="4164" customFormat="false" ht="15" hidden="false" customHeight="true" outlineLevel="0" collapsed="false">
      <c r="A4164" s="2" t="n">
        <v>35</v>
      </c>
      <c r="B4164" s="2" t="s">
        <v>26</v>
      </c>
      <c r="C4164" s="2" t="s">
        <v>27</v>
      </c>
      <c r="D4164" s="2" t="s">
        <v>42</v>
      </c>
      <c r="E4164" s="2" t="n">
        <v>3</v>
      </c>
      <c r="F4164" s="2" t="n">
        <v>4</v>
      </c>
      <c r="G4164" s="2" t="s">
        <v>42</v>
      </c>
      <c r="H4164" s="2" t="n">
        <v>4163</v>
      </c>
      <c r="I4164" s="2" t="s">
        <v>39</v>
      </c>
      <c r="J4164" s="2" t="n">
        <v>2</v>
      </c>
      <c r="K4164" s="2" t="s">
        <v>49</v>
      </c>
      <c r="L4164" s="2" t="s">
        <v>32</v>
      </c>
      <c r="M4164" s="2" t="n">
        <v>32940</v>
      </c>
      <c r="N4164" s="2" t="n">
        <v>0</v>
      </c>
      <c r="O4164" s="2" t="n">
        <v>11</v>
      </c>
      <c r="P4164" s="2" t="n">
        <v>0</v>
      </c>
      <c r="Q4164" s="2" t="n">
        <v>6</v>
      </c>
      <c r="R4164" s="2" t="n">
        <v>2</v>
      </c>
      <c r="S4164" s="2" t="n">
        <v>5</v>
      </c>
      <c r="T4164" s="2" t="n">
        <v>0</v>
      </c>
      <c r="U4164" s="2" t="n">
        <v>3</v>
      </c>
      <c r="V4164" s="2" t="n">
        <v>1</v>
      </c>
      <c r="W4164" s="2" t="n">
        <v>2</v>
      </c>
      <c r="X4164" s="2" t="n">
        <v>3</v>
      </c>
      <c r="Y4164" s="2" t="n">
        <v>3</v>
      </c>
      <c r="Z4164" s="2" t="n">
        <v>3</v>
      </c>
    </row>
    <row r="4165" customFormat="false" ht="15" hidden="false" customHeight="true" outlineLevel="0" collapsed="false">
      <c r="A4165" s="2" t="n">
        <v>29</v>
      </c>
      <c r="B4165" s="2" t="s">
        <v>26</v>
      </c>
      <c r="C4165" s="2" t="s">
        <v>27</v>
      </c>
      <c r="D4165" s="2" t="s">
        <v>28</v>
      </c>
      <c r="E4165" s="2" t="n">
        <v>29</v>
      </c>
      <c r="F4165" s="2" t="n">
        <v>4</v>
      </c>
      <c r="G4165" s="2" t="s">
        <v>29</v>
      </c>
      <c r="H4165" s="2" t="n">
        <v>4164</v>
      </c>
      <c r="I4165" s="2" t="s">
        <v>39</v>
      </c>
      <c r="J4165" s="2" t="n">
        <v>2</v>
      </c>
      <c r="K4165" s="2" t="s">
        <v>45</v>
      </c>
      <c r="L4165" s="2" t="s">
        <v>37</v>
      </c>
      <c r="M4165" s="2" t="n">
        <v>21270</v>
      </c>
      <c r="N4165" s="2" t="n">
        <v>0</v>
      </c>
      <c r="O4165" s="2" t="n">
        <v>11</v>
      </c>
      <c r="P4165" s="2" t="n">
        <v>1</v>
      </c>
      <c r="Q4165" s="2" t="n">
        <v>10</v>
      </c>
      <c r="R4165" s="2" t="n">
        <v>3</v>
      </c>
      <c r="S4165" s="2" t="n">
        <v>9</v>
      </c>
      <c r="T4165" s="2" t="n">
        <v>0</v>
      </c>
      <c r="U4165" s="2" t="n">
        <v>8</v>
      </c>
      <c r="V4165" s="2" t="n">
        <v>4</v>
      </c>
      <c r="W4165" s="2" t="n">
        <v>3</v>
      </c>
      <c r="X4165" s="2" t="n">
        <v>3</v>
      </c>
      <c r="Y4165" s="2" t="n">
        <v>2</v>
      </c>
      <c r="Z4165" s="2" t="n">
        <v>3</v>
      </c>
    </row>
    <row r="4166" customFormat="false" ht="15" hidden="false" customHeight="true" outlineLevel="0" collapsed="false">
      <c r="A4166" s="2" t="n">
        <v>31</v>
      </c>
      <c r="B4166" s="2" t="s">
        <v>26</v>
      </c>
      <c r="C4166" s="2" t="s">
        <v>27</v>
      </c>
      <c r="D4166" s="2" t="s">
        <v>35</v>
      </c>
      <c r="E4166" s="2" t="n">
        <v>2</v>
      </c>
      <c r="F4166" s="2" t="n">
        <v>2</v>
      </c>
      <c r="G4166" s="2" t="s">
        <v>43</v>
      </c>
      <c r="H4166" s="2" t="n">
        <v>4165</v>
      </c>
      <c r="I4166" s="2" t="s">
        <v>39</v>
      </c>
      <c r="J4166" s="2" t="n">
        <v>2</v>
      </c>
      <c r="K4166" s="2" t="s">
        <v>45</v>
      </c>
      <c r="L4166" s="2" t="s">
        <v>46</v>
      </c>
      <c r="M4166" s="2" t="n">
        <v>39750</v>
      </c>
      <c r="N4166" s="2" t="n">
        <v>1</v>
      </c>
      <c r="O4166" s="2" t="n">
        <v>15</v>
      </c>
      <c r="P4166" s="2" t="n">
        <v>1</v>
      </c>
      <c r="Q4166" s="2" t="n">
        <v>5</v>
      </c>
      <c r="R4166" s="2" t="n">
        <v>3</v>
      </c>
      <c r="S4166" s="2" t="n">
        <v>5</v>
      </c>
      <c r="T4166" s="2" t="n">
        <v>4</v>
      </c>
      <c r="U4166" s="2" t="n">
        <v>3</v>
      </c>
      <c r="V4166" s="2" t="n">
        <v>1</v>
      </c>
      <c r="W4166" s="2" t="n">
        <v>3</v>
      </c>
      <c r="X4166" s="2" t="n">
        <v>2</v>
      </c>
      <c r="Y4166" s="2" t="n">
        <v>3</v>
      </c>
      <c r="Z4166" s="2" t="n">
        <v>3</v>
      </c>
    </row>
    <row r="4167" customFormat="false" ht="15" hidden="false" customHeight="true" outlineLevel="0" collapsed="false">
      <c r="A4167" s="2" t="n">
        <v>34</v>
      </c>
      <c r="B4167" s="2" t="s">
        <v>26</v>
      </c>
      <c r="C4167" s="2" t="s">
        <v>27</v>
      </c>
      <c r="D4167" s="2" t="s">
        <v>35</v>
      </c>
      <c r="E4167" s="2" t="n">
        <v>28</v>
      </c>
      <c r="F4167" s="2" t="n">
        <v>3</v>
      </c>
      <c r="G4167" s="2" t="s">
        <v>51</v>
      </c>
      <c r="H4167" s="2" t="n">
        <v>4166</v>
      </c>
      <c r="I4167" s="2" t="s">
        <v>39</v>
      </c>
      <c r="J4167" s="2" t="n">
        <v>1</v>
      </c>
      <c r="K4167" s="2" t="s">
        <v>45</v>
      </c>
      <c r="L4167" s="2" t="s">
        <v>46</v>
      </c>
      <c r="M4167" s="2" t="n">
        <v>107930</v>
      </c>
      <c r="N4167" s="2" t="n">
        <v>0</v>
      </c>
      <c r="O4167" s="2" t="n">
        <v>11</v>
      </c>
      <c r="P4167" s="2" t="n">
        <v>3</v>
      </c>
      <c r="Q4167" s="2" t="n">
        <v>3</v>
      </c>
      <c r="R4167" s="2" t="n">
        <v>1</v>
      </c>
      <c r="S4167" s="2" t="n">
        <v>2</v>
      </c>
      <c r="T4167" s="2" t="n">
        <v>1</v>
      </c>
      <c r="U4167" s="2" t="n">
        <v>2</v>
      </c>
      <c r="V4167" s="2" t="n">
        <v>2</v>
      </c>
      <c r="W4167" s="2" t="n">
        <v>4</v>
      </c>
      <c r="X4167" s="2" t="n">
        <v>3</v>
      </c>
      <c r="Y4167" s="2" t="n">
        <v>2</v>
      </c>
      <c r="Z4167" s="2" t="n">
        <v>3</v>
      </c>
    </row>
    <row r="4168" customFormat="false" ht="15" hidden="false" customHeight="true" outlineLevel="0" collapsed="false">
      <c r="A4168" s="2" t="n">
        <v>28</v>
      </c>
      <c r="B4168" s="2" t="s">
        <v>33</v>
      </c>
      <c r="C4168" s="2" t="s">
        <v>27</v>
      </c>
      <c r="D4168" s="2" t="s">
        <v>35</v>
      </c>
      <c r="E4168" s="2" t="n">
        <v>1</v>
      </c>
      <c r="F4168" s="2" t="n">
        <v>4</v>
      </c>
      <c r="G4168" s="2" t="s">
        <v>29</v>
      </c>
      <c r="H4168" s="2" t="n">
        <v>4167</v>
      </c>
      <c r="I4168" s="2" t="s">
        <v>39</v>
      </c>
      <c r="J4168" s="2" t="n">
        <v>5</v>
      </c>
      <c r="K4168" s="2" t="s">
        <v>44</v>
      </c>
      <c r="L4168" s="2" t="s">
        <v>37</v>
      </c>
      <c r="M4168" s="2" t="n">
        <v>100960</v>
      </c>
      <c r="N4168" s="2" t="n">
        <v>5</v>
      </c>
      <c r="O4168" s="2" t="n">
        <v>13</v>
      </c>
      <c r="P4168" s="2" t="n">
        <v>0</v>
      </c>
      <c r="Q4168" s="2" t="n">
        <v>6</v>
      </c>
      <c r="R4168" s="2" t="n">
        <v>2</v>
      </c>
      <c r="S4168" s="2" t="n">
        <v>4</v>
      </c>
      <c r="T4168" s="2" t="n">
        <v>0</v>
      </c>
      <c r="U4168" s="2" t="n">
        <v>3</v>
      </c>
      <c r="V4168" s="2" t="n">
        <v>3</v>
      </c>
      <c r="W4168" s="2" t="n">
        <v>3</v>
      </c>
      <c r="X4168" s="2" t="n">
        <v>3</v>
      </c>
      <c r="Y4168" s="2" t="n">
        <v>3</v>
      </c>
      <c r="Z4168" s="2" t="n">
        <v>3</v>
      </c>
    </row>
    <row r="4169" customFormat="false" ht="15" hidden="false" customHeight="true" outlineLevel="0" collapsed="false">
      <c r="A4169" s="2" t="n">
        <v>29</v>
      </c>
      <c r="B4169" s="2" t="s">
        <v>26</v>
      </c>
      <c r="C4169" s="2" t="s">
        <v>27</v>
      </c>
      <c r="D4169" s="2" t="s">
        <v>35</v>
      </c>
      <c r="E4169" s="2" t="n">
        <v>16</v>
      </c>
      <c r="F4169" s="2" t="n">
        <v>2</v>
      </c>
      <c r="G4169" s="2" t="s">
        <v>29</v>
      </c>
      <c r="H4169" s="2" t="n">
        <v>4168</v>
      </c>
      <c r="I4169" s="2" t="s">
        <v>30</v>
      </c>
      <c r="J4169" s="2" t="n">
        <v>4</v>
      </c>
      <c r="K4169" s="2" t="s">
        <v>45</v>
      </c>
      <c r="L4169" s="2" t="s">
        <v>46</v>
      </c>
      <c r="M4169" s="2" t="n">
        <v>36460</v>
      </c>
      <c r="N4169" s="2" t="n">
        <v>1</v>
      </c>
      <c r="O4169" s="2" t="n">
        <v>14</v>
      </c>
      <c r="P4169" s="2" t="n">
        <v>0</v>
      </c>
      <c r="Q4169" s="2" t="n">
        <v>10</v>
      </c>
      <c r="R4169" s="2" t="n">
        <v>3</v>
      </c>
      <c r="S4169" s="2" t="n">
        <v>10</v>
      </c>
      <c r="T4169" s="2" t="n">
        <v>8</v>
      </c>
      <c r="U4169" s="2" t="n">
        <v>8</v>
      </c>
      <c r="V4169" s="2" t="n">
        <v>2</v>
      </c>
      <c r="W4169" s="2" t="n">
        <v>1</v>
      </c>
      <c r="X4169" s="2" t="n">
        <v>3</v>
      </c>
      <c r="Y4169" s="2" t="n">
        <v>4</v>
      </c>
      <c r="Z4169" s="2" t="n">
        <v>3</v>
      </c>
    </row>
    <row r="4170" customFormat="false" ht="15" hidden="false" customHeight="true" outlineLevel="0" collapsed="false">
      <c r="A4170" s="2" t="n">
        <v>32</v>
      </c>
      <c r="B4170" s="2" t="s">
        <v>26</v>
      </c>
      <c r="C4170" s="2" t="s">
        <v>27</v>
      </c>
      <c r="D4170" s="2" t="s">
        <v>42</v>
      </c>
      <c r="E4170" s="2" t="n">
        <v>22</v>
      </c>
      <c r="F4170" s="2" t="n">
        <v>3</v>
      </c>
      <c r="G4170" s="2" t="s">
        <v>42</v>
      </c>
      <c r="H4170" s="2" t="n">
        <v>4169</v>
      </c>
      <c r="I4170" s="2" t="s">
        <v>30</v>
      </c>
      <c r="J4170" s="2" t="n">
        <v>2</v>
      </c>
      <c r="K4170" s="2" t="s">
        <v>44</v>
      </c>
      <c r="L4170" s="2" t="s">
        <v>46</v>
      </c>
      <c r="M4170" s="2" t="n">
        <v>74460</v>
      </c>
      <c r="N4170" s="2" t="n">
        <v>0</v>
      </c>
      <c r="O4170" s="2" t="n">
        <v>19</v>
      </c>
      <c r="P4170" s="2" t="n">
        <v>0</v>
      </c>
      <c r="Q4170" s="2" t="n">
        <v>7</v>
      </c>
      <c r="R4170" s="2" t="n">
        <v>3</v>
      </c>
      <c r="S4170" s="2" t="n">
        <v>6</v>
      </c>
      <c r="T4170" s="2" t="n">
        <v>0</v>
      </c>
      <c r="U4170" s="2" t="n">
        <v>5</v>
      </c>
      <c r="V4170" s="2" t="n">
        <v>1</v>
      </c>
      <c r="W4170" s="2" t="n">
        <v>2</v>
      </c>
      <c r="X4170" s="2" t="n">
        <v>2</v>
      </c>
      <c r="Y4170" s="2" t="n">
        <v>3</v>
      </c>
      <c r="Z4170" s="2" t="n">
        <v>3</v>
      </c>
    </row>
    <row r="4171" customFormat="false" ht="15" hidden="false" customHeight="true" outlineLevel="0" collapsed="false">
      <c r="A4171" s="2" t="n">
        <v>22</v>
      </c>
      <c r="B4171" s="2" t="s">
        <v>26</v>
      </c>
      <c r="C4171" s="2" t="s">
        <v>41</v>
      </c>
      <c r="D4171" s="2" t="s">
        <v>35</v>
      </c>
      <c r="E4171" s="2" t="n">
        <v>8</v>
      </c>
      <c r="F4171" s="2" t="n">
        <v>3</v>
      </c>
      <c r="G4171" s="2" t="s">
        <v>29</v>
      </c>
      <c r="H4171" s="2" t="n">
        <v>4170</v>
      </c>
      <c r="I4171" s="2" t="s">
        <v>30</v>
      </c>
      <c r="J4171" s="2" t="n">
        <v>3</v>
      </c>
      <c r="K4171" s="2" t="s">
        <v>40</v>
      </c>
      <c r="L4171" s="2" t="s">
        <v>46</v>
      </c>
      <c r="M4171" s="2" t="n">
        <v>108510</v>
      </c>
      <c r="N4171" s="2" t="n">
        <v>1</v>
      </c>
      <c r="O4171" s="2" t="n">
        <v>16</v>
      </c>
      <c r="P4171" s="2" t="n">
        <v>1</v>
      </c>
      <c r="Q4171" s="2" t="n">
        <v>1</v>
      </c>
      <c r="R4171" s="2" t="n">
        <v>2</v>
      </c>
      <c r="S4171" s="2" t="n">
        <v>1</v>
      </c>
      <c r="T4171" s="2" t="n">
        <v>0</v>
      </c>
      <c r="U4171" s="2" t="n">
        <v>0</v>
      </c>
      <c r="V4171" s="2" t="n">
        <v>4</v>
      </c>
      <c r="W4171" s="2" t="n">
        <v>4</v>
      </c>
      <c r="X4171" s="2" t="n">
        <v>2</v>
      </c>
      <c r="Y4171" s="2" t="n">
        <v>4</v>
      </c>
      <c r="Z4171" s="2" t="n">
        <v>3</v>
      </c>
    </row>
    <row r="4172" customFormat="false" ht="15" hidden="false" customHeight="true" outlineLevel="0" collapsed="false">
      <c r="A4172" s="2" t="n">
        <v>53</v>
      </c>
      <c r="B4172" s="2" t="s">
        <v>26</v>
      </c>
      <c r="C4172" s="2" t="s">
        <v>27</v>
      </c>
      <c r="D4172" s="2" t="s">
        <v>35</v>
      </c>
      <c r="E4172" s="2" t="n">
        <v>11</v>
      </c>
      <c r="F4172" s="2" t="n">
        <v>3</v>
      </c>
      <c r="G4172" s="2" t="s">
        <v>43</v>
      </c>
      <c r="H4172" s="2" t="n">
        <v>4171</v>
      </c>
      <c r="I4172" s="2" t="s">
        <v>39</v>
      </c>
      <c r="J4172" s="2" t="n">
        <v>2</v>
      </c>
      <c r="K4172" s="2" t="s">
        <v>49</v>
      </c>
      <c r="L4172" s="2" t="s">
        <v>32</v>
      </c>
      <c r="M4172" s="2" t="n">
        <v>21090</v>
      </c>
      <c r="N4172" s="2" t="n">
        <v>2</v>
      </c>
      <c r="O4172" s="2" t="n">
        <v>13</v>
      </c>
      <c r="P4172" s="2" t="n">
        <v>0</v>
      </c>
      <c r="Q4172" s="2" t="n">
        <v>31</v>
      </c>
      <c r="R4172" s="2" t="n">
        <v>3</v>
      </c>
      <c r="S4172" s="2" t="n">
        <v>25</v>
      </c>
      <c r="T4172" s="2" t="n">
        <v>3</v>
      </c>
      <c r="U4172" s="2" t="n">
        <v>7</v>
      </c>
      <c r="V4172" s="2" t="n">
        <v>1</v>
      </c>
      <c r="W4172" s="2" t="n">
        <v>4</v>
      </c>
      <c r="X4172" s="2" t="n">
        <v>3</v>
      </c>
      <c r="Y4172" s="2" t="n">
        <v>3</v>
      </c>
      <c r="Z4172" s="2" t="n">
        <v>3</v>
      </c>
    </row>
    <row r="4173" customFormat="false" ht="15" hidden="false" customHeight="true" outlineLevel="0" collapsed="false">
      <c r="A4173" s="2" t="n">
        <v>38</v>
      </c>
      <c r="B4173" s="2" t="s">
        <v>26</v>
      </c>
      <c r="C4173" s="2" t="s">
        <v>27</v>
      </c>
      <c r="D4173" s="2" t="s">
        <v>35</v>
      </c>
      <c r="E4173" s="2" t="n">
        <v>29</v>
      </c>
      <c r="F4173" s="2" t="n">
        <v>3</v>
      </c>
      <c r="G4173" s="2" t="s">
        <v>29</v>
      </c>
      <c r="H4173" s="2" t="n">
        <v>4172</v>
      </c>
      <c r="I4173" s="2" t="s">
        <v>30</v>
      </c>
      <c r="J4173" s="2" t="n">
        <v>1</v>
      </c>
      <c r="K4173" s="2" t="s">
        <v>47</v>
      </c>
      <c r="L4173" s="2" t="s">
        <v>37</v>
      </c>
      <c r="M4173" s="2" t="n">
        <v>37220</v>
      </c>
      <c r="N4173" s="2" t="n">
        <v>5</v>
      </c>
      <c r="O4173" s="2" t="n">
        <v>14</v>
      </c>
      <c r="P4173" s="2" t="n">
        <v>0</v>
      </c>
      <c r="Q4173" s="2" t="n">
        <v>6</v>
      </c>
      <c r="R4173" s="2" t="n">
        <v>0</v>
      </c>
      <c r="S4173" s="2" t="n">
        <v>3</v>
      </c>
      <c r="T4173" s="2" t="n">
        <v>1</v>
      </c>
      <c r="U4173" s="2" t="n">
        <v>2</v>
      </c>
      <c r="V4173" s="2" t="n">
        <v>4</v>
      </c>
      <c r="W4173" s="2" t="n">
        <v>4</v>
      </c>
      <c r="X4173" s="2" t="n">
        <v>3</v>
      </c>
      <c r="Y4173" s="2" t="n">
        <v>3</v>
      </c>
      <c r="Z4173" s="2" t="n">
        <v>3</v>
      </c>
    </row>
    <row r="4174" customFormat="false" ht="15" hidden="false" customHeight="true" outlineLevel="0" collapsed="false">
      <c r="A4174" s="2" t="n">
        <v>24</v>
      </c>
      <c r="B4174" s="2" t="s">
        <v>26</v>
      </c>
      <c r="C4174" s="2" t="s">
        <v>41</v>
      </c>
      <c r="D4174" s="2" t="s">
        <v>35</v>
      </c>
      <c r="E4174" s="2" t="n">
        <v>1</v>
      </c>
      <c r="F4174" s="2" t="n">
        <v>5</v>
      </c>
      <c r="G4174" s="2" t="s">
        <v>29</v>
      </c>
      <c r="H4174" s="2" t="n">
        <v>4173</v>
      </c>
      <c r="I4174" s="2" t="s">
        <v>39</v>
      </c>
      <c r="J4174" s="2" t="n">
        <v>3</v>
      </c>
      <c r="K4174" s="2" t="s">
        <v>36</v>
      </c>
      <c r="L4174" s="2" t="s">
        <v>46</v>
      </c>
      <c r="M4174" s="2" t="n">
        <v>93800</v>
      </c>
      <c r="N4174" s="2" t="n">
        <v>0</v>
      </c>
      <c r="O4174" s="2" t="n">
        <v>16</v>
      </c>
      <c r="P4174" s="2" t="n">
        <v>0</v>
      </c>
      <c r="Q4174" s="2" t="n">
        <v>5</v>
      </c>
      <c r="R4174" s="2" t="n">
        <v>2</v>
      </c>
      <c r="S4174" s="2" t="n">
        <v>4</v>
      </c>
      <c r="T4174" s="2" t="n">
        <v>1</v>
      </c>
      <c r="U4174" s="2" t="n">
        <v>3</v>
      </c>
      <c r="V4174" s="2" t="n">
        <v>1</v>
      </c>
      <c r="W4174" s="2" t="n">
        <v>3</v>
      </c>
      <c r="X4174" s="2" t="n">
        <v>2</v>
      </c>
      <c r="Y4174" s="2" t="n">
        <v>2</v>
      </c>
      <c r="Z4174" s="2" t="n">
        <v>3</v>
      </c>
    </row>
    <row r="4175" customFormat="false" ht="15" hidden="false" customHeight="true" outlineLevel="0" collapsed="false">
      <c r="A4175" s="2" t="n">
        <v>36</v>
      </c>
      <c r="B4175" s="2" t="s">
        <v>33</v>
      </c>
      <c r="C4175" s="2" t="s">
        <v>27</v>
      </c>
      <c r="D4175" s="2" t="s">
        <v>35</v>
      </c>
      <c r="E4175" s="2" t="n">
        <v>1</v>
      </c>
      <c r="F4175" s="2" t="n">
        <v>3</v>
      </c>
      <c r="G4175" s="2" t="s">
        <v>29</v>
      </c>
      <c r="H4175" s="2" t="n">
        <v>4174</v>
      </c>
      <c r="I4175" s="2" t="s">
        <v>39</v>
      </c>
      <c r="J4175" s="2" t="n">
        <v>1</v>
      </c>
      <c r="K4175" s="2" t="s">
        <v>44</v>
      </c>
      <c r="L4175" s="2" t="s">
        <v>37</v>
      </c>
      <c r="M4175" s="2" t="n">
        <v>54860</v>
      </c>
      <c r="N4175" s="2" t="n">
        <v>7</v>
      </c>
      <c r="O4175" s="2" t="n">
        <v>12</v>
      </c>
      <c r="P4175" s="2" t="n">
        <v>1</v>
      </c>
      <c r="Q4175" s="2" t="n">
        <v>10</v>
      </c>
      <c r="R4175" s="2" t="n">
        <v>2</v>
      </c>
      <c r="S4175" s="2" t="n">
        <v>5</v>
      </c>
      <c r="T4175" s="2" t="n">
        <v>0</v>
      </c>
      <c r="U4175" s="2" t="n">
        <v>3</v>
      </c>
      <c r="V4175" s="2" t="n">
        <v>3</v>
      </c>
      <c r="W4175" s="2" t="n">
        <v>1</v>
      </c>
      <c r="X4175" s="2" t="n">
        <v>3</v>
      </c>
      <c r="Y4175" s="2" t="n">
        <v>3</v>
      </c>
      <c r="Z4175" s="2" t="n">
        <v>3</v>
      </c>
    </row>
    <row r="4176" customFormat="false" ht="15" hidden="false" customHeight="true" outlineLevel="0" collapsed="false">
      <c r="A4176" s="2" t="n">
        <v>34</v>
      </c>
      <c r="B4176" s="2" t="s">
        <v>26</v>
      </c>
      <c r="C4176" s="2" t="s">
        <v>27</v>
      </c>
      <c r="D4176" s="2" t="s">
        <v>28</v>
      </c>
      <c r="E4176" s="2" t="n">
        <v>24</v>
      </c>
      <c r="F4176" s="2" t="n">
        <v>3</v>
      </c>
      <c r="G4176" s="2" t="s">
        <v>50</v>
      </c>
      <c r="H4176" s="2" t="n">
        <v>4175</v>
      </c>
      <c r="I4176" s="2" t="s">
        <v>39</v>
      </c>
      <c r="J4176" s="2" t="n">
        <v>4</v>
      </c>
      <c r="K4176" s="2" t="s">
        <v>36</v>
      </c>
      <c r="L4176" s="2" t="s">
        <v>37</v>
      </c>
      <c r="M4176" s="2" t="n">
        <v>27420</v>
      </c>
      <c r="N4176" s="2" t="n">
        <v>0</v>
      </c>
      <c r="O4176" s="2" t="n">
        <v>11</v>
      </c>
      <c r="P4176" s="2" t="n">
        <v>1</v>
      </c>
      <c r="Q4176" s="2" t="n">
        <v>13</v>
      </c>
      <c r="R4176" s="2" t="n">
        <v>2</v>
      </c>
      <c r="S4176" s="2" t="n">
        <v>12</v>
      </c>
      <c r="T4176" s="2" t="n">
        <v>2</v>
      </c>
      <c r="U4176" s="2" t="n">
        <v>11</v>
      </c>
      <c r="V4176" s="2" t="n">
        <v>1</v>
      </c>
      <c r="W4176" s="2" t="n">
        <v>2</v>
      </c>
      <c r="X4176" s="2" t="n">
        <v>3</v>
      </c>
      <c r="Y4176" s="2" t="n">
        <v>3</v>
      </c>
      <c r="Z4176" s="2" t="n">
        <v>3</v>
      </c>
    </row>
    <row r="4177" customFormat="false" ht="15" hidden="false" customHeight="true" outlineLevel="0" collapsed="false">
      <c r="A4177" s="2" t="n">
        <v>21</v>
      </c>
      <c r="B4177" s="2" t="s">
        <v>26</v>
      </c>
      <c r="C4177" s="2" t="s">
        <v>27</v>
      </c>
      <c r="D4177" s="2" t="s">
        <v>28</v>
      </c>
      <c r="E4177" s="2" t="n">
        <v>2</v>
      </c>
      <c r="F4177" s="2" t="n">
        <v>3</v>
      </c>
      <c r="G4177" s="2" t="s">
        <v>29</v>
      </c>
      <c r="H4177" s="2" t="n">
        <v>4176</v>
      </c>
      <c r="I4177" s="2" t="s">
        <v>39</v>
      </c>
      <c r="J4177" s="2" t="n">
        <v>2</v>
      </c>
      <c r="K4177" s="2" t="s">
        <v>47</v>
      </c>
      <c r="L4177" s="2" t="s">
        <v>37</v>
      </c>
      <c r="M4177" s="2" t="n">
        <v>137570</v>
      </c>
      <c r="N4177" s="2" t="n">
        <v>1</v>
      </c>
      <c r="O4177" s="2" t="n">
        <v>12</v>
      </c>
      <c r="P4177" s="2" t="n">
        <v>1</v>
      </c>
      <c r="Q4177" s="2" t="n">
        <v>0</v>
      </c>
      <c r="R4177" s="2" t="n">
        <v>3</v>
      </c>
      <c r="S4177" s="2" t="n">
        <v>0</v>
      </c>
      <c r="T4177" s="2" t="n">
        <v>0</v>
      </c>
      <c r="U4177" s="2" t="n">
        <v>0</v>
      </c>
      <c r="V4177" s="2" t="n">
        <v>3</v>
      </c>
      <c r="W4177" s="2" t="n">
        <v>4</v>
      </c>
      <c r="X4177" s="2" t="n">
        <v>3</v>
      </c>
      <c r="Y4177" s="2" t="n">
        <v>3</v>
      </c>
      <c r="Z4177" s="2" t="n">
        <v>3</v>
      </c>
    </row>
    <row r="4178" customFormat="false" ht="15" hidden="false" customHeight="true" outlineLevel="0" collapsed="false">
      <c r="A4178" s="2" t="n">
        <v>34</v>
      </c>
      <c r="B4178" s="2" t="s">
        <v>33</v>
      </c>
      <c r="C4178" s="2" t="s">
        <v>27</v>
      </c>
      <c r="D4178" s="2" t="s">
        <v>28</v>
      </c>
      <c r="E4178" s="2" t="n">
        <v>15</v>
      </c>
      <c r="F4178" s="2" t="n">
        <v>2</v>
      </c>
      <c r="G4178" s="2" t="s">
        <v>50</v>
      </c>
      <c r="H4178" s="2" t="n">
        <v>4177</v>
      </c>
      <c r="I4178" s="2" t="s">
        <v>30</v>
      </c>
      <c r="J4178" s="2" t="n">
        <v>2</v>
      </c>
      <c r="K4178" s="2" t="s">
        <v>36</v>
      </c>
      <c r="L4178" s="2" t="s">
        <v>37</v>
      </c>
      <c r="M4178" s="2" t="n">
        <v>84630</v>
      </c>
      <c r="N4178" s="2" t="n">
        <v>2</v>
      </c>
      <c r="O4178" s="2" t="n">
        <v>13</v>
      </c>
      <c r="P4178" s="2" t="n">
        <v>0</v>
      </c>
      <c r="Q4178" s="2" t="n">
        <v>8</v>
      </c>
      <c r="R4178" s="2" t="n">
        <v>2</v>
      </c>
      <c r="S4178" s="2" t="n">
        <v>4</v>
      </c>
      <c r="T4178" s="2" t="n">
        <v>1</v>
      </c>
      <c r="U4178" s="2" t="n">
        <v>3</v>
      </c>
      <c r="V4178" s="2" t="n">
        <v>2</v>
      </c>
      <c r="W4178" s="2" t="n">
        <v>1</v>
      </c>
      <c r="X4178" s="2" t="n">
        <v>3</v>
      </c>
      <c r="Y4178" s="2" t="n">
        <v>1</v>
      </c>
      <c r="Z4178" s="2" t="n">
        <v>3</v>
      </c>
    </row>
    <row r="4179" customFormat="false" ht="15" hidden="false" customHeight="true" outlineLevel="0" collapsed="false">
      <c r="A4179" s="2" t="n">
        <v>53</v>
      </c>
      <c r="B4179" s="2" t="s">
        <v>26</v>
      </c>
      <c r="C4179" s="2" t="s">
        <v>27</v>
      </c>
      <c r="D4179" s="2" t="s">
        <v>28</v>
      </c>
      <c r="E4179" s="2" t="n">
        <v>2</v>
      </c>
      <c r="F4179" s="2" t="n">
        <v>1</v>
      </c>
      <c r="G4179" s="2" t="s">
        <v>29</v>
      </c>
      <c r="H4179" s="2" t="n">
        <v>4178</v>
      </c>
      <c r="I4179" s="2" t="s">
        <v>39</v>
      </c>
      <c r="J4179" s="2" t="n">
        <v>5</v>
      </c>
      <c r="K4179" s="2" t="s">
        <v>42</v>
      </c>
      <c r="L4179" s="2" t="s">
        <v>46</v>
      </c>
      <c r="M4179" s="2" t="n">
        <v>31620</v>
      </c>
      <c r="N4179" s="2" t="n">
        <v>4</v>
      </c>
      <c r="O4179" s="2" t="n">
        <v>15</v>
      </c>
      <c r="P4179" s="2" t="n">
        <v>0</v>
      </c>
      <c r="Q4179" s="2" t="n">
        <v>26</v>
      </c>
      <c r="R4179" s="2" t="n">
        <v>4</v>
      </c>
      <c r="S4179" s="2" t="n">
        <v>14</v>
      </c>
      <c r="T4179" s="2" t="n">
        <v>4</v>
      </c>
      <c r="U4179" s="2" t="n">
        <v>8</v>
      </c>
      <c r="V4179" s="2" t="n">
        <v>3</v>
      </c>
      <c r="W4179" s="2" t="n">
        <v>3</v>
      </c>
      <c r="X4179" s="2" t="n">
        <v>2</v>
      </c>
      <c r="Y4179" s="2" t="n">
        <v>3</v>
      </c>
      <c r="Z4179" s="2" t="n">
        <v>3</v>
      </c>
    </row>
    <row r="4180" customFormat="false" ht="15" hidden="false" customHeight="true" outlineLevel="0" collapsed="false">
      <c r="A4180" s="2" t="n">
        <v>32</v>
      </c>
      <c r="B4180" s="2" t="s">
        <v>33</v>
      </c>
      <c r="C4180" s="2" t="s">
        <v>34</v>
      </c>
      <c r="D4180" s="2" t="s">
        <v>35</v>
      </c>
      <c r="E4180" s="2" t="n">
        <v>10</v>
      </c>
      <c r="F4180" s="2" t="n">
        <v>3</v>
      </c>
      <c r="G4180" s="2" t="s">
        <v>43</v>
      </c>
      <c r="H4180" s="2" t="n">
        <v>4179</v>
      </c>
      <c r="I4180" s="2" t="s">
        <v>30</v>
      </c>
      <c r="J4180" s="2" t="n">
        <v>2</v>
      </c>
      <c r="K4180" s="2" t="s">
        <v>47</v>
      </c>
      <c r="L4180" s="2" t="s">
        <v>37</v>
      </c>
      <c r="M4180" s="2" t="n">
        <v>165980</v>
      </c>
      <c r="N4180" s="2" t="n">
        <v>1</v>
      </c>
      <c r="O4180" s="2" t="n">
        <v>13</v>
      </c>
      <c r="P4180" s="2" t="n">
        <v>0</v>
      </c>
      <c r="Q4180" s="2" t="n">
        <v>10</v>
      </c>
      <c r="R4180" s="2" t="n">
        <v>2</v>
      </c>
      <c r="S4180" s="2" t="n">
        <v>10</v>
      </c>
      <c r="T4180" s="2" t="n">
        <v>6</v>
      </c>
      <c r="U4180" s="2" t="n">
        <v>7</v>
      </c>
      <c r="V4180" s="2" t="n">
        <v>2</v>
      </c>
      <c r="W4180" s="2" t="n">
        <v>1</v>
      </c>
      <c r="X4180" s="2" t="n">
        <v>3</v>
      </c>
      <c r="Y4180" s="2" t="n">
        <v>3</v>
      </c>
      <c r="Z4180" s="2" t="n">
        <v>3</v>
      </c>
    </row>
    <row r="4181" customFormat="false" ht="15" hidden="false" customHeight="true" outlineLevel="0" collapsed="false">
      <c r="A4181" s="2" t="n">
        <v>42</v>
      </c>
      <c r="B4181" s="2" t="s">
        <v>26</v>
      </c>
      <c r="C4181" s="2" t="s">
        <v>27</v>
      </c>
      <c r="D4181" s="2" t="s">
        <v>35</v>
      </c>
      <c r="E4181" s="2" t="n">
        <v>10</v>
      </c>
      <c r="F4181" s="2" t="n">
        <v>3</v>
      </c>
      <c r="G4181" s="2" t="s">
        <v>51</v>
      </c>
      <c r="H4181" s="2" t="n">
        <v>4180</v>
      </c>
      <c r="I4181" s="2" t="s">
        <v>39</v>
      </c>
      <c r="J4181" s="2" t="n">
        <v>2</v>
      </c>
      <c r="K4181" s="2" t="s">
        <v>45</v>
      </c>
      <c r="L4181" s="2" t="s">
        <v>32</v>
      </c>
      <c r="M4181" s="2" t="n">
        <v>66510</v>
      </c>
      <c r="N4181" s="2" t="n">
        <v>0</v>
      </c>
      <c r="O4181" s="2" t="n">
        <v>20</v>
      </c>
      <c r="P4181" s="2" t="n">
        <v>0</v>
      </c>
      <c r="Q4181" s="2" t="n">
        <v>10</v>
      </c>
      <c r="R4181" s="2" t="n">
        <v>5</v>
      </c>
      <c r="S4181" s="2" t="n">
        <v>9</v>
      </c>
      <c r="T4181" s="2" t="n">
        <v>4</v>
      </c>
      <c r="U4181" s="2" t="n">
        <v>2</v>
      </c>
      <c r="V4181" s="2" t="n">
        <v>3</v>
      </c>
      <c r="W4181" s="2" t="n">
        <v>2</v>
      </c>
      <c r="X4181" s="2" t="n">
        <v>3</v>
      </c>
      <c r="Y4181" s="2" t="n">
        <v>2</v>
      </c>
      <c r="Z4181" s="2" t="n">
        <v>4</v>
      </c>
    </row>
    <row r="4182" customFormat="false" ht="15" hidden="false" customHeight="true" outlineLevel="0" collapsed="false">
      <c r="A4182" s="2" t="n">
        <v>44</v>
      </c>
      <c r="B4182" s="2" t="s">
        <v>26</v>
      </c>
      <c r="C4182" s="2" t="s">
        <v>27</v>
      </c>
      <c r="D4182" s="2" t="s">
        <v>35</v>
      </c>
      <c r="E4182" s="2" t="n">
        <v>3</v>
      </c>
      <c r="F4182" s="2" t="n">
        <v>1</v>
      </c>
      <c r="G4182" s="2" t="s">
        <v>29</v>
      </c>
      <c r="H4182" s="2" t="n">
        <v>4181</v>
      </c>
      <c r="I4182" s="2" t="s">
        <v>30</v>
      </c>
      <c r="J4182" s="2" t="n">
        <v>1</v>
      </c>
      <c r="K4182" s="2" t="s">
        <v>47</v>
      </c>
      <c r="L4182" s="2" t="s">
        <v>32</v>
      </c>
      <c r="M4182" s="2" t="n">
        <v>23450</v>
      </c>
      <c r="N4182" s="2" t="n">
        <v>3</v>
      </c>
      <c r="O4182" s="2" t="n">
        <v>15</v>
      </c>
      <c r="P4182" s="2" t="n">
        <v>2</v>
      </c>
      <c r="Q4182" s="2" t="n">
        <v>24</v>
      </c>
      <c r="R4182" s="2" t="n">
        <v>0</v>
      </c>
      <c r="S4182" s="2" t="n">
        <v>22</v>
      </c>
      <c r="T4182" s="2" t="n">
        <v>5</v>
      </c>
      <c r="U4182" s="2" t="n">
        <v>17</v>
      </c>
      <c r="V4182" s="2" t="n">
        <v>1</v>
      </c>
      <c r="W4182" s="2" t="n">
        <v>4</v>
      </c>
      <c r="X4182" s="2" t="n">
        <v>3</v>
      </c>
      <c r="Y4182" s="2" t="n">
        <v>3</v>
      </c>
      <c r="Z4182" s="2" t="n">
        <v>3</v>
      </c>
    </row>
    <row r="4183" customFormat="false" ht="15" hidden="false" customHeight="true" outlineLevel="0" collapsed="false">
      <c r="A4183" s="2" t="n">
        <v>46</v>
      </c>
      <c r="B4183" s="2" t="s">
        <v>26</v>
      </c>
      <c r="C4183" s="2" t="s">
        <v>27</v>
      </c>
      <c r="D4183" s="2" t="s">
        <v>28</v>
      </c>
      <c r="E4183" s="2" t="n">
        <v>2</v>
      </c>
      <c r="F4183" s="2" t="n">
        <v>3</v>
      </c>
      <c r="G4183" s="2" t="s">
        <v>29</v>
      </c>
      <c r="H4183" s="2" t="n">
        <v>4182</v>
      </c>
      <c r="I4183" s="2" t="s">
        <v>30</v>
      </c>
      <c r="J4183" s="2" t="n">
        <v>1</v>
      </c>
      <c r="K4183" s="2" t="s">
        <v>36</v>
      </c>
      <c r="L4183" s="2" t="s">
        <v>37</v>
      </c>
      <c r="M4183" s="2" t="n">
        <v>34200</v>
      </c>
      <c r="N4183" s="2" t="n">
        <v>3</v>
      </c>
      <c r="O4183" s="2" t="n">
        <v>13</v>
      </c>
      <c r="P4183" s="2" t="n">
        <v>2</v>
      </c>
      <c r="Q4183" s="2" t="n">
        <v>22</v>
      </c>
      <c r="R4183" s="2" t="n">
        <v>3</v>
      </c>
      <c r="S4183" s="2" t="n">
        <v>2</v>
      </c>
      <c r="T4183" s="2" t="n">
        <v>2</v>
      </c>
      <c r="U4183" s="2" t="n">
        <v>1</v>
      </c>
      <c r="V4183" s="2" t="n">
        <v>2</v>
      </c>
      <c r="W4183" s="2" t="n">
        <v>1</v>
      </c>
      <c r="X4183" s="2" t="n">
        <v>2</v>
      </c>
      <c r="Y4183" s="2" t="n">
        <v>1</v>
      </c>
      <c r="Z4183" s="2" t="n">
        <v>3</v>
      </c>
    </row>
    <row r="4184" customFormat="false" ht="15" hidden="false" customHeight="true" outlineLevel="0" collapsed="false">
      <c r="A4184" s="2" t="n">
        <v>33</v>
      </c>
      <c r="B4184" s="2" t="s">
        <v>26</v>
      </c>
      <c r="C4184" s="2" t="s">
        <v>27</v>
      </c>
      <c r="D4184" s="2" t="s">
        <v>28</v>
      </c>
      <c r="E4184" s="2" t="n">
        <v>3</v>
      </c>
      <c r="F4184" s="2" t="n">
        <v>3</v>
      </c>
      <c r="G4184" s="2" t="s">
        <v>43</v>
      </c>
      <c r="H4184" s="2" t="n">
        <v>4183</v>
      </c>
      <c r="I4184" s="2" t="s">
        <v>39</v>
      </c>
      <c r="J4184" s="2" t="n">
        <v>1</v>
      </c>
      <c r="K4184" s="2" t="s">
        <v>47</v>
      </c>
      <c r="L4184" s="2" t="s">
        <v>37</v>
      </c>
      <c r="M4184" s="2" t="n">
        <v>43730</v>
      </c>
      <c r="N4184" s="2" t="n">
        <v>4</v>
      </c>
      <c r="O4184" s="2" t="n">
        <v>14</v>
      </c>
      <c r="P4184" s="2" t="n">
        <v>0</v>
      </c>
      <c r="Q4184" s="2" t="n">
        <v>7</v>
      </c>
      <c r="R4184" s="2" t="n">
        <v>3</v>
      </c>
      <c r="S4184" s="2" t="n">
        <v>1</v>
      </c>
      <c r="T4184" s="2" t="n">
        <v>0</v>
      </c>
      <c r="U4184" s="2" t="n">
        <v>0</v>
      </c>
      <c r="V4184" s="2" t="n">
        <v>3</v>
      </c>
      <c r="W4184" s="2" t="n">
        <v>4</v>
      </c>
      <c r="X4184" s="2" t="n">
        <v>3</v>
      </c>
      <c r="Y4184" s="2" t="n">
        <v>3</v>
      </c>
      <c r="Z4184" s="2" t="n">
        <v>3</v>
      </c>
    </row>
    <row r="4185" customFormat="false" ht="15" hidden="false" customHeight="true" outlineLevel="0" collapsed="false">
      <c r="A4185" s="2" t="n">
        <v>44</v>
      </c>
      <c r="B4185" s="2" t="s">
        <v>26</v>
      </c>
      <c r="C4185" s="2" t="s">
        <v>27</v>
      </c>
      <c r="D4185" s="2" t="s">
        <v>42</v>
      </c>
      <c r="E4185" s="2" t="n">
        <v>26</v>
      </c>
      <c r="F4185" s="2" t="n">
        <v>3</v>
      </c>
      <c r="G4185" s="2" t="s">
        <v>29</v>
      </c>
      <c r="H4185" s="2" t="n">
        <v>4184</v>
      </c>
      <c r="I4185" s="2" t="s">
        <v>39</v>
      </c>
      <c r="J4185" s="2" t="n">
        <v>5</v>
      </c>
      <c r="K4185" s="2" t="s">
        <v>31</v>
      </c>
      <c r="L4185" s="2" t="s">
        <v>32</v>
      </c>
      <c r="M4185" s="2" t="n">
        <v>47590</v>
      </c>
      <c r="N4185" s="2" t="n">
        <v>2</v>
      </c>
      <c r="O4185" s="2" t="n">
        <v>21</v>
      </c>
      <c r="P4185" s="2" t="n">
        <v>0</v>
      </c>
      <c r="Q4185" s="2" t="n">
        <v>9</v>
      </c>
      <c r="R4185" s="2" t="n">
        <v>2</v>
      </c>
      <c r="S4185" s="2" t="n">
        <v>4</v>
      </c>
      <c r="T4185" s="2" t="n">
        <v>1</v>
      </c>
      <c r="U4185" s="2" t="n">
        <v>3</v>
      </c>
      <c r="V4185" s="2" t="n">
        <v>4</v>
      </c>
      <c r="W4185" s="2" t="n">
        <v>4</v>
      </c>
      <c r="X4185" s="2" t="n">
        <v>4</v>
      </c>
      <c r="Y4185" s="2" t="n">
        <v>3</v>
      </c>
      <c r="Z4185" s="2" t="n">
        <v>4</v>
      </c>
    </row>
    <row r="4186" customFormat="false" ht="15" hidden="false" customHeight="true" outlineLevel="0" collapsed="false">
      <c r="A4186" s="2" t="n">
        <v>30</v>
      </c>
      <c r="B4186" s="2" t="s">
        <v>26</v>
      </c>
      <c r="C4186" s="2" t="s">
        <v>27</v>
      </c>
      <c r="D4186" s="2" t="s">
        <v>35</v>
      </c>
      <c r="E4186" s="2" t="n">
        <v>1</v>
      </c>
      <c r="F4186" s="2" t="n">
        <v>4</v>
      </c>
      <c r="G4186" s="2" t="s">
        <v>51</v>
      </c>
      <c r="H4186" s="2" t="n">
        <v>4185</v>
      </c>
      <c r="I4186" s="2" t="s">
        <v>30</v>
      </c>
      <c r="J4186" s="2" t="n">
        <v>1</v>
      </c>
      <c r="K4186" s="2" t="s">
        <v>36</v>
      </c>
      <c r="L4186" s="2" t="s">
        <v>37</v>
      </c>
      <c r="M4186" s="2" t="n">
        <v>53010</v>
      </c>
      <c r="N4186" s="2" t="n">
        <v>1</v>
      </c>
      <c r="O4186" s="2" t="n">
        <v>16</v>
      </c>
      <c r="P4186" s="2" t="n">
        <v>1</v>
      </c>
      <c r="Q4186" s="2" t="n">
        <v>10</v>
      </c>
      <c r="R4186" s="2" t="n">
        <v>3</v>
      </c>
      <c r="S4186" s="2" t="n">
        <v>10</v>
      </c>
      <c r="T4186" s="2" t="n">
        <v>1</v>
      </c>
      <c r="U4186" s="2" t="n">
        <v>8</v>
      </c>
      <c r="V4186" s="2" t="n">
        <v>4</v>
      </c>
      <c r="W4186" s="2" t="n">
        <v>3</v>
      </c>
      <c r="X4186" s="2" t="n">
        <v>3</v>
      </c>
      <c r="Y4186" s="2" t="n">
        <v>3</v>
      </c>
      <c r="Z4186" s="2" t="n">
        <v>3</v>
      </c>
    </row>
    <row r="4187" customFormat="false" ht="15" hidden="false" customHeight="true" outlineLevel="0" collapsed="false">
      <c r="A4187" s="2" t="n">
        <v>39</v>
      </c>
      <c r="B4187" s="2" t="s">
        <v>33</v>
      </c>
      <c r="C4187" s="2" t="s">
        <v>27</v>
      </c>
      <c r="D4187" s="2" t="s">
        <v>42</v>
      </c>
      <c r="E4187" s="2" t="n">
        <v>1</v>
      </c>
      <c r="F4187" s="2" t="n">
        <v>4</v>
      </c>
      <c r="G4187" s="2" t="s">
        <v>43</v>
      </c>
      <c r="H4187" s="2" t="n">
        <v>4186</v>
      </c>
      <c r="I4187" s="2" t="s">
        <v>39</v>
      </c>
      <c r="J4187" s="2" t="n">
        <v>1</v>
      </c>
      <c r="K4187" s="2" t="s">
        <v>40</v>
      </c>
      <c r="L4187" s="2" t="s">
        <v>32</v>
      </c>
      <c r="M4187" s="2" t="n">
        <v>36730</v>
      </c>
      <c r="N4187" s="2" t="n">
        <v>3</v>
      </c>
      <c r="O4187" s="2" t="n">
        <v>14</v>
      </c>
      <c r="P4187" s="2" t="n">
        <v>1</v>
      </c>
      <c r="Q4187" s="2" t="n">
        <v>19</v>
      </c>
      <c r="R4187" s="2" t="n">
        <v>3</v>
      </c>
      <c r="S4187" s="2" t="n">
        <v>1</v>
      </c>
      <c r="T4187" s="2" t="n">
        <v>0</v>
      </c>
      <c r="U4187" s="2" t="n">
        <v>0</v>
      </c>
      <c r="V4187" s="2" t="n">
        <v>4</v>
      </c>
      <c r="W4187" s="2" t="n">
        <v>4</v>
      </c>
      <c r="X4187" s="2" t="n">
        <v>4</v>
      </c>
      <c r="Y4187" s="2" t="n">
        <v>3</v>
      </c>
      <c r="Z4187" s="2" t="n">
        <v>3</v>
      </c>
    </row>
    <row r="4188" customFormat="false" ht="15" hidden="false" customHeight="true" outlineLevel="0" collapsed="false">
      <c r="A4188" s="2" t="n">
        <v>24</v>
      </c>
      <c r="B4188" s="2" t="s">
        <v>33</v>
      </c>
      <c r="C4188" s="2" t="s">
        <v>27</v>
      </c>
      <c r="D4188" s="2" t="s">
        <v>42</v>
      </c>
      <c r="E4188" s="2" t="n">
        <v>2</v>
      </c>
      <c r="F4188" s="2" t="n">
        <v>5</v>
      </c>
      <c r="G4188" s="2" t="s">
        <v>42</v>
      </c>
      <c r="H4188" s="2" t="n">
        <v>4187</v>
      </c>
      <c r="I4188" s="2" t="s">
        <v>39</v>
      </c>
      <c r="J4188" s="2" t="n">
        <v>3</v>
      </c>
      <c r="K4188" s="2" t="s">
        <v>40</v>
      </c>
      <c r="L4188" s="2" t="s">
        <v>32</v>
      </c>
      <c r="M4188" s="2" t="n">
        <v>47680</v>
      </c>
      <c r="N4188" s="2" t="n">
        <v>2</v>
      </c>
      <c r="O4188" s="2" t="n">
        <v>11</v>
      </c>
      <c r="P4188" s="2" t="n">
        <v>1</v>
      </c>
      <c r="Q4188" s="2" t="n">
        <v>6</v>
      </c>
      <c r="R4188" s="2" t="n">
        <v>2</v>
      </c>
      <c r="S4188" s="2" t="n">
        <v>2</v>
      </c>
      <c r="T4188" s="2" t="n">
        <v>2</v>
      </c>
      <c r="U4188" s="2" t="n">
        <v>0</v>
      </c>
      <c r="V4188" s="2" t="n">
        <v>2</v>
      </c>
      <c r="W4188" s="2" t="n">
        <v>4</v>
      </c>
      <c r="X4188" s="2" t="n">
        <v>2</v>
      </c>
      <c r="Y4188" s="2" t="n">
        <v>2</v>
      </c>
      <c r="Z4188" s="2" t="n">
        <v>3</v>
      </c>
    </row>
    <row r="4189" customFormat="false" ht="15" hidden="false" customHeight="true" outlineLevel="0" collapsed="false">
      <c r="A4189" s="2" t="n">
        <v>43</v>
      </c>
      <c r="B4189" s="2" t="s">
        <v>26</v>
      </c>
      <c r="C4189" s="2" t="s">
        <v>27</v>
      </c>
      <c r="D4189" s="2" t="s">
        <v>28</v>
      </c>
      <c r="E4189" s="2" t="n">
        <v>9</v>
      </c>
      <c r="F4189" s="2" t="n">
        <v>5</v>
      </c>
      <c r="G4189" s="2" t="s">
        <v>51</v>
      </c>
      <c r="H4189" s="2" t="n">
        <v>4188</v>
      </c>
      <c r="I4189" s="2" t="s">
        <v>30</v>
      </c>
      <c r="J4189" s="2" t="n">
        <v>1</v>
      </c>
      <c r="K4189" s="2" t="s">
        <v>44</v>
      </c>
      <c r="L4189" s="2" t="s">
        <v>46</v>
      </c>
      <c r="M4189" s="2" t="n">
        <v>12740</v>
      </c>
      <c r="N4189" s="2" t="n">
        <v>1</v>
      </c>
      <c r="O4189" s="2" t="n">
        <v>19</v>
      </c>
      <c r="P4189" s="2" t="n">
        <v>0</v>
      </c>
      <c r="Q4189" s="2" t="n">
        <v>6</v>
      </c>
      <c r="R4189" s="2" t="n">
        <v>3</v>
      </c>
      <c r="S4189" s="2" t="n">
        <v>5</v>
      </c>
      <c r="T4189" s="2" t="n">
        <v>1</v>
      </c>
      <c r="U4189" s="2" t="n">
        <v>4</v>
      </c>
      <c r="V4189" s="2" t="n">
        <v>4</v>
      </c>
      <c r="W4189" s="2" t="n">
        <v>3</v>
      </c>
      <c r="X4189" s="2" t="n">
        <v>2</v>
      </c>
      <c r="Y4189" s="2" t="n">
        <v>2</v>
      </c>
      <c r="Z4189" s="2" t="n">
        <v>3</v>
      </c>
    </row>
    <row r="4190" customFormat="false" ht="15" hidden="false" customHeight="true" outlineLevel="0" collapsed="false">
      <c r="A4190" s="2" t="n">
        <v>50</v>
      </c>
      <c r="B4190" s="2" t="s">
        <v>33</v>
      </c>
      <c r="C4190" s="2" t="s">
        <v>27</v>
      </c>
      <c r="D4190" s="2" t="s">
        <v>35</v>
      </c>
      <c r="E4190" s="2" t="n">
        <v>12</v>
      </c>
      <c r="F4190" s="2" t="n">
        <v>4</v>
      </c>
      <c r="G4190" s="2" t="s">
        <v>43</v>
      </c>
      <c r="H4190" s="2" t="n">
        <v>4189</v>
      </c>
      <c r="I4190" s="2" t="s">
        <v>39</v>
      </c>
      <c r="J4190" s="2" t="n">
        <v>1</v>
      </c>
      <c r="K4190" s="2" t="s">
        <v>44</v>
      </c>
      <c r="L4190" s="2" t="s">
        <v>32</v>
      </c>
      <c r="M4190" s="2" t="n">
        <v>49000</v>
      </c>
      <c r="N4190" s="2" t="n">
        <v>1</v>
      </c>
      <c r="O4190" s="2" t="n">
        <v>11</v>
      </c>
      <c r="P4190" s="2" t="n">
        <v>0</v>
      </c>
      <c r="Q4190" s="2" t="n">
        <v>3</v>
      </c>
      <c r="R4190" s="2" t="n">
        <v>3</v>
      </c>
      <c r="S4190" s="2" t="n">
        <v>3</v>
      </c>
      <c r="T4190" s="2" t="n">
        <v>0</v>
      </c>
      <c r="U4190" s="2" t="n">
        <v>2</v>
      </c>
      <c r="V4190" s="2" t="n">
        <v>1</v>
      </c>
      <c r="W4190" s="2" t="n">
        <v>3</v>
      </c>
      <c r="X4190" s="2" t="n">
        <v>3</v>
      </c>
      <c r="Y4190" s="2" t="n">
        <v>2</v>
      </c>
      <c r="Z4190" s="2" t="n">
        <v>3</v>
      </c>
    </row>
    <row r="4191" customFormat="false" ht="15" hidden="false" customHeight="true" outlineLevel="0" collapsed="false">
      <c r="A4191" s="2" t="n">
        <v>35</v>
      </c>
      <c r="B4191" s="2" t="s">
        <v>26</v>
      </c>
      <c r="C4191" s="2" t="s">
        <v>27</v>
      </c>
      <c r="D4191" s="2" t="s">
        <v>28</v>
      </c>
      <c r="E4191" s="2" t="n">
        <v>2</v>
      </c>
      <c r="F4191" s="2" t="n">
        <v>4</v>
      </c>
      <c r="G4191" s="2" t="s">
        <v>50</v>
      </c>
      <c r="H4191" s="2" t="n">
        <v>4190</v>
      </c>
      <c r="I4191" s="2" t="s">
        <v>39</v>
      </c>
      <c r="J4191" s="2" t="n">
        <v>3</v>
      </c>
      <c r="K4191" s="2" t="s">
        <v>47</v>
      </c>
      <c r="L4191" s="2" t="s">
        <v>32</v>
      </c>
      <c r="M4191" s="2" t="n">
        <v>104660</v>
      </c>
      <c r="N4191" s="2" t="n">
        <v>1</v>
      </c>
      <c r="O4191" s="2" t="n">
        <v>13</v>
      </c>
      <c r="P4191" s="2" t="n">
        <v>0</v>
      </c>
      <c r="Q4191" s="2" t="n">
        <v>2</v>
      </c>
      <c r="R4191" s="2" t="n">
        <v>1</v>
      </c>
      <c r="S4191" s="2" t="n">
        <v>2</v>
      </c>
      <c r="T4191" s="2" t="n">
        <v>2</v>
      </c>
      <c r="U4191" s="2" t="n">
        <v>2</v>
      </c>
      <c r="V4191" s="2" t="n">
        <v>4</v>
      </c>
      <c r="W4191" s="2" t="n">
        <v>4</v>
      </c>
      <c r="X4191" s="2" t="n">
        <v>3</v>
      </c>
      <c r="Y4191" s="2" t="n">
        <v>3</v>
      </c>
      <c r="Z4191" s="2" t="n">
        <v>3</v>
      </c>
    </row>
    <row r="4192" customFormat="false" ht="15" hidden="false" customHeight="true" outlineLevel="0" collapsed="false">
      <c r="A4192" s="2" t="n">
        <v>36</v>
      </c>
      <c r="B4192" s="2" t="s">
        <v>26</v>
      </c>
      <c r="C4192" s="2" t="s">
        <v>27</v>
      </c>
      <c r="D4192" s="2" t="s">
        <v>35</v>
      </c>
      <c r="E4192" s="2" t="n">
        <v>25</v>
      </c>
      <c r="F4192" s="2" t="n">
        <v>1</v>
      </c>
      <c r="G4192" s="2" t="s">
        <v>29</v>
      </c>
      <c r="H4192" s="2" t="n">
        <v>4191</v>
      </c>
      <c r="I4192" s="2" t="s">
        <v>30</v>
      </c>
      <c r="J4192" s="2" t="n">
        <v>4</v>
      </c>
      <c r="K4192" s="2" t="s">
        <v>40</v>
      </c>
      <c r="L4192" s="2" t="s">
        <v>32</v>
      </c>
      <c r="M4192" s="2" t="n">
        <v>170070</v>
      </c>
      <c r="N4192" s="2" t="n">
        <v>9</v>
      </c>
      <c r="O4192" s="2" t="n">
        <v>12</v>
      </c>
      <c r="P4192" s="2" t="n">
        <v>1</v>
      </c>
      <c r="Q4192" s="2" t="n">
        <v>6</v>
      </c>
      <c r="R4192" s="2" t="n">
        <v>2</v>
      </c>
      <c r="S4192" s="2" t="n">
        <v>1</v>
      </c>
      <c r="T4192" s="2" t="n">
        <v>0</v>
      </c>
      <c r="U4192" s="2" t="n">
        <v>0</v>
      </c>
      <c r="V4192" s="2" t="n">
        <v>2</v>
      </c>
      <c r="W4192" s="2" t="n">
        <v>1</v>
      </c>
      <c r="X4192" s="2" t="n">
        <v>4</v>
      </c>
      <c r="Y4192" s="2" t="n">
        <v>2</v>
      </c>
      <c r="Z4192" s="2" t="n">
        <v>3</v>
      </c>
    </row>
    <row r="4193" customFormat="false" ht="15" hidden="false" customHeight="true" outlineLevel="0" collapsed="false">
      <c r="A4193" s="2" t="n">
        <v>33</v>
      </c>
      <c r="B4193" s="2" t="s">
        <v>26</v>
      </c>
      <c r="C4193" s="2" t="s">
        <v>34</v>
      </c>
      <c r="D4193" s="2" t="s">
        <v>28</v>
      </c>
      <c r="E4193" s="2" t="n">
        <v>9</v>
      </c>
      <c r="F4193" s="2" t="n">
        <v>2</v>
      </c>
      <c r="G4193" s="2" t="s">
        <v>50</v>
      </c>
      <c r="H4193" s="2" t="n">
        <v>4192</v>
      </c>
      <c r="I4193" s="2" t="s">
        <v>39</v>
      </c>
      <c r="J4193" s="2" t="n">
        <v>4</v>
      </c>
      <c r="K4193" s="2" t="s">
        <v>42</v>
      </c>
      <c r="L4193" s="2" t="s">
        <v>32</v>
      </c>
      <c r="M4193" s="2" t="n">
        <v>29090</v>
      </c>
      <c r="N4193" s="2" t="n">
        <v>2</v>
      </c>
      <c r="O4193" s="2" t="n">
        <v>11</v>
      </c>
      <c r="P4193" s="2" t="n">
        <v>0</v>
      </c>
      <c r="Q4193" s="2" t="n">
        <v>10</v>
      </c>
      <c r="R4193" s="2" t="n">
        <v>2</v>
      </c>
      <c r="S4193" s="2" t="n">
        <v>5</v>
      </c>
      <c r="T4193" s="2" t="n">
        <v>1</v>
      </c>
      <c r="U4193" s="2" t="n">
        <v>3</v>
      </c>
      <c r="V4193" s="2" t="n">
        <v>3</v>
      </c>
      <c r="W4193" s="2" t="n">
        <v>1</v>
      </c>
      <c r="X4193" s="2" t="n">
        <v>3</v>
      </c>
      <c r="Y4193" s="2" t="n">
        <v>2</v>
      </c>
      <c r="Z4193" s="2" t="n">
        <v>3</v>
      </c>
    </row>
    <row r="4194" customFormat="false" ht="15" hidden="false" customHeight="true" outlineLevel="0" collapsed="false">
      <c r="A4194" s="2" t="n">
        <v>35</v>
      </c>
      <c r="B4194" s="2" t="s">
        <v>26</v>
      </c>
      <c r="C4194" s="2" t="s">
        <v>27</v>
      </c>
      <c r="D4194" s="2" t="s">
        <v>35</v>
      </c>
      <c r="E4194" s="2" t="n">
        <v>10</v>
      </c>
      <c r="F4194" s="2" t="n">
        <v>1</v>
      </c>
      <c r="G4194" s="2" t="s">
        <v>43</v>
      </c>
      <c r="H4194" s="2" t="n">
        <v>4193</v>
      </c>
      <c r="I4194" s="2" t="s">
        <v>39</v>
      </c>
      <c r="J4194" s="2" t="n">
        <v>1</v>
      </c>
      <c r="K4194" s="2" t="s">
        <v>36</v>
      </c>
      <c r="L4194" s="2" t="s">
        <v>46</v>
      </c>
      <c r="M4194" s="2" t="n">
        <v>57650</v>
      </c>
      <c r="N4194" s="2" t="n">
        <v>1</v>
      </c>
      <c r="O4194" s="2" t="n">
        <v>14</v>
      </c>
      <c r="P4194" s="2" t="n">
        <v>1</v>
      </c>
      <c r="Q4194" s="2" t="n">
        <v>1</v>
      </c>
      <c r="R4194" s="2" t="n">
        <v>2</v>
      </c>
      <c r="S4194" s="2" t="n">
        <v>1</v>
      </c>
      <c r="T4194" s="2" t="n">
        <v>0</v>
      </c>
      <c r="U4194" s="2" t="n">
        <v>0</v>
      </c>
      <c r="V4194" s="2" t="n">
        <v>3</v>
      </c>
      <c r="W4194" s="2" t="n">
        <v>4</v>
      </c>
      <c r="X4194" s="2" t="n">
        <v>3</v>
      </c>
      <c r="Y4194" s="2" t="n">
        <v>3</v>
      </c>
      <c r="Z4194" s="2" t="n">
        <v>3</v>
      </c>
    </row>
    <row r="4195" customFormat="false" ht="15" hidden="false" customHeight="true" outlineLevel="0" collapsed="false">
      <c r="A4195" s="2" t="n">
        <v>27</v>
      </c>
      <c r="B4195" s="2" t="s">
        <v>26</v>
      </c>
      <c r="C4195" s="2" t="s">
        <v>27</v>
      </c>
      <c r="D4195" s="2" t="s">
        <v>28</v>
      </c>
      <c r="E4195" s="2" t="n">
        <v>8</v>
      </c>
      <c r="F4195" s="2" t="n">
        <v>2</v>
      </c>
      <c r="G4195" s="2" t="s">
        <v>50</v>
      </c>
      <c r="H4195" s="2" t="n">
        <v>4194</v>
      </c>
      <c r="I4195" s="2" t="s">
        <v>30</v>
      </c>
      <c r="J4195" s="2" t="n">
        <v>3</v>
      </c>
      <c r="K4195" s="2" t="s">
        <v>36</v>
      </c>
      <c r="L4195" s="2" t="s">
        <v>46</v>
      </c>
      <c r="M4195" s="2" t="n">
        <v>45990</v>
      </c>
      <c r="N4195" s="2" t="n">
        <v>1</v>
      </c>
      <c r="O4195" s="2" t="n">
        <v>15</v>
      </c>
      <c r="P4195" s="2" t="n">
        <v>1</v>
      </c>
      <c r="Q4195" s="2" t="n">
        <v>1</v>
      </c>
      <c r="R4195" s="2" t="n">
        <v>3</v>
      </c>
      <c r="S4195" s="2" t="n">
        <v>1</v>
      </c>
      <c r="T4195" s="2" t="n">
        <v>0</v>
      </c>
      <c r="U4195" s="2" t="n">
        <v>0</v>
      </c>
      <c r="V4195" s="2" t="n">
        <v>4</v>
      </c>
      <c r="W4195" s="2" t="n">
        <v>1</v>
      </c>
      <c r="X4195" s="2" t="n">
        <v>3</v>
      </c>
      <c r="Y4195" s="2" t="n">
        <v>2</v>
      </c>
      <c r="Z4195" s="2" t="n">
        <v>3</v>
      </c>
    </row>
    <row r="4196" customFormat="false" ht="15" hidden="false" customHeight="true" outlineLevel="0" collapsed="false">
      <c r="A4196" s="2" t="n">
        <v>26</v>
      </c>
      <c r="B4196" s="2" t="s">
        <v>33</v>
      </c>
      <c r="C4196" s="2" t="s">
        <v>27</v>
      </c>
      <c r="D4196" s="2" t="s">
        <v>28</v>
      </c>
      <c r="E4196" s="2" t="n">
        <v>4</v>
      </c>
      <c r="F4196" s="2" t="n">
        <v>3</v>
      </c>
      <c r="G4196" s="2" t="s">
        <v>50</v>
      </c>
      <c r="H4196" s="2" t="n">
        <v>4195</v>
      </c>
      <c r="I4196" s="2" t="s">
        <v>39</v>
      </c>
      <c r="J4196" s="2" t="n">
        <v>2</v>
      </c>
      <c r="K4196" s="2" t="s">
        <v>49</v>
      </c>
      <c r="L4196" s="2" t="s">
        <v>37</v>
      </c>
      <c r="M4196" s="2" t="n">
        <v>24040</v>
      </c>
      <c r="N4196" s="2" t="n">
        <v>1</v>
      </c>
      <c r="O4196" s="2" t="n">
        <v>12</v>
      </c>
      <c r="P4196" s="2" t="n">
        <v>0</v>
      </c>
      <c r="Q4196" s="2" t="n">
        <v>1</v>
      </c>
      <c r="R4196" s="2" t="n">
        <v>6</v>
      </c>
      <c r="S4196" s="2" t="n">
        <v>1</v>
      </c>
      <c r="T4196" s="2" t="n">
        <v>0</v>
      </c>
      <c r="U4196" s="2" t="n">
        <v>1</v>
      </c>
      <c r="V4196" s="2" t="n">
        <v>1</v>
      </c>
      <c r="W4196" s="2" t="n">
        <v>3</v>
      </c>
      <c r="X4196" s="2" t="n">
        <v>2</v>
      </c>
      <c r="Y4196" s="2" t="n">
        <v>3</v>
      </c>
      <c r="Z4196" s="2" t="n">
        <v>3</v>
      </c>
    </row>
    <row r="4197" customFormat="false" ht="15" hidden="false" customHeight="true" outlineLevel="0" collapsed="false">
      <c r="A4197" s="2" t="n">
        <v>27</v>
      </c>
      <c r="B4197" s="2" t="s">
        <v>26</v>
      </c>
      <c r="C4197" s="2" t="s">
        <v>34</v>
      </c>
      <c r="D4197" s="2" t="s">
        <v>28</v>
      </c>
      <c r="E4197" s="2" t="n">
        <v>24</v>
      </c>
      <c r="F4197" s="2" t="n">
        <v>3</v>
      </c>
      <c r="G4197" s="2" t="s">
        <v>29</v>
      </c>
      <c r="H4197" s="2" t="n">
        <v>4196</v>
      </c>
      <c r="I4197" s="2" t="s">
        <v>39</v>
      </c>
      <c r="J4197" s="2" t="n">
        <v>4</v>
      </c>
      <c r="K4197" s="2" t="s">
        <v>31</v>
      </c>
      <c r="L4197" s="2" t="s">
        <v>37</v>
      </c>
      <c r="M4197" s="2" t="n">
        <v>31720</v>
      </c>
      <c r="N4197" s="2" t="n">
        <v>1</v>
      </c>
      <c r="O4197" s="2" t="n">
        <v>20</v>
      </c>
      <c r="P4197" s="2" t="n">
        <v>1</v>
      </c>
      <c r="Q4197" s="2" t="n">
        <v>9</v>
      </c>
      <c r="R4197" s="2" t="n">
        <v>1</v>
      </c>
      <c r="S4197" s="2" t="n">
        <v>9</v>
      </c>
      <c r="T4197" s="2" t="n">
        <v>1</v>
      </c>
      <c r="U4197" s="2" t="n">
        <v>7</v>
      </c>
      <c r="V4197" s="2" t="n">
        <v>4</v>
      </c>
      <c r="W4197" s="2" t="n">
        <v>3</v>
      </c>
      <c r="X4197" s="2" t="n">
        <v>3</v>
      </c>
      <c r="Y4197" s="2" t="n">
        <v>3</v>
      </c>
      <c r="Z4197" s="2" t="n">
        <v>4</v>
      </c>
    </row>
    <row r="4198" customFormat="false" ht="15" hidden="false" customHeight="true" outlineLevel="0" collapsed="false">
      <c r="A4198" s="2" t="n">
        <v>30</v>
      </c>
      <c r="B4198" s="2" t="s">
        <v>26</v>
      </c>
      <c r="C4198" s="2" t="s">
        <v>34</v>
      </c>
      <c r="D4198" s="2" t="s">
        <v>35</v>
      </c>
      <c r="E4198" s="2" t="n">
        <v>1</v>
      </c>
      <c r="F4198" s="2" t="n">
        <v>4</v>
      </c>
      <c r="G4198" s="2" t="s">
        <v>43</v>
      </c>
      <c r="H4198" s="2" t="n">
        <v>4197</v>
      </c>
      <c r="I4198" s="2" t="s">
        <v>39</v>
      </c>
      <c r="J4198" s="2" t="n">
        <v>1</v>
      </c>
      <c r="K4198" s="2" t="s">
        <v>36</v>
      </c>
      <c r="L4198" s="2" t="s">
        <v>37</v>
      </c>
      <c r="M4198" s="2" t="n">
        <v>20330</v>
      </c>
      <c r="N4198" s="2" t="n">
        <v>1</v>
      </c>
      <c r="O4198" s="2" t="n">
        <v>14</v>
      </c>
      <c r="P4198" s="2" t="n">
        <v>1</v>
      </c>
      <c r="Q4198" s="2" t="n">
        <v>12</v>
      </c>
      <c r="R4198" s="2" t="n">
        <v>3</v>
      </c>
      <c r="S4198" s="2" t="n">
        <v>12</v>
      </c>
      <c r="T4198" s="2" t="n">
        <v>3</v>
      </c>
      <c r="U4198" s="2" t="n">
        <v>7</v>
      </c>
      <c r="V4198" s="2" t="n">
        <v>3</v>
      </c>
      <c r="W4198" s="2" t="n">
        <v>4</v>
      </c>
      <c r="X4198" s="2" t="n">
        <v>3</v>
      </c>
      <c r="Y4198" s="2" t="n">
        <v>1</v>
      </c>
      <c r="Z4198" s="2" t="n">
        <v>3</v>
      </c>
    </row>
    <row r="4199" customFormat="false" ht="15" hidden="false" customHeight="true" outlineLevel="0" collapsed="false">
      <c r="A4199" s="2" t="n">
        <v>41</v>
      </c>
      <c r="B4199" s="2" t="s">
        <v>33</v>
      </c>
      <c r="C4199" s="2" t="s">
        <v>27</v>
      </c>
      <c r="D4199" s="2" t="s">
        <v>28</v>
      </c>
      <c r="E4199" s="2" t="n">
        <v>20</v>
      </c>
      <c r="F4199" s="2" t="n">
        <v>4</v>
      </c>
      <c r="G4199" s="2" t="s">
        <v>50</v>
      </c>
      <c r="H4199" s="2" t="n">
        <v>4198</v>
      </c>
      <c r="I4199" s="2" t="s">
        <v>39</v>
      </c>
      <c r="J4199" s="2" t="n">
        <v>2</v>
      </c>
      <c r="K4199" s="2" t="s">
        <v>40</v>
      </c>
      <c r="L4199" s="2" t="s">
        <v>32</v>
      </c>
      <c r="M4199" s="2" t="n">
        <v>102090</v>
      </c>
      <c r="N4199" s="2" t="n">
        <v>1</v>
      </c>
      <c r="O4199" s="2" t="n">
        <v>13</v>
      </c>
      <c r="P4199" s="2" t="n">
        <v>1</v>
      </c>
      <c r="Q4199" s="2" t="n">
        <v>23</v>
      </c>
      <c r="R4199" s="2" t="n">
        <v>2</v>
      </c>
      <c r="S4199" s="2" t="n">
        <v>22</v>
      </c>
      <c r="T4199" s="2" t="n">
        <v>15</v>
      </c>
      <c r="U4199" s="2" t="n">
        <v>8</v>
      </c>
      <c r="V4199" s="2" t="n">
        <v>2</v>
      </c>
      <c r="W4199" s="2" t="n">
        <v>3</v>
      </c>
      <c r="X4199" s="2" t="n">
        <v>3</v>
      </c>
      <c r="Y4199" s="2" t="n">
        <v>3</v>
      </c>
      <c r="Z4199" s="2" t="n">
        <v>3</v>
      </c>
    </row>
    <row r="4200" customFormat="false" ht="15" hidden="false" customHeight="true" outlineLevel="0" collapsed="false">
      <c r="A4200" s="2" t="n">
        <v>34</v>
      </c>
      <c r="B4200" s="2" t="s">
        <v>26</v>
      </c>
      <c r="C4200" s="2" t="s">
        <v>41</v>
      </c>
      <c r="D4200" s="2" t="s">
        <v>35</v>
      </c>
      <c r="E4200" s="2" t="n">
        <v>7</v>
      </c>
      <c r="F4200" s="2" t="n">
        <v>2</v>
      </c>
      <c r="G4200" s="2" t="s">
        <v>51</v>
      </c>
      <c r="H4200" s="2" t="n">
        <v>4199</v>
      </c>
      <c r="I4200" s="2" t="s">
        <v>30</v>
      </c>
      <c r="J4200" s="2" t="n">
        <v>1</v>
      </c>
      <c r="K4200" s="2" t="s">
        <v>36</v>
      </c>
      <c r="L4200" s="2" t="s">
        <v>37</v>
      </c>
      <c r="M4200" s="2" t="n">
        <v>86200</v>
      </c>
      <c r="N4200" s="2" t="n">
        <v>0</v>
      </c>
      <c r="O4200" s="2" t="n">
        <v>13</v>
      </c>
      <c r="P4200" s="2" t="n">
        <v>1</v>
      </c>
      <c r="Q4200" s="2" t="n">
        <v>10</v>
      </c>
      <c r="R4200" s="2" t="n">
        <v>2</v>
      </c>
      <c r="S4200" s="2" t="n">
        <v>9</v>
      </c>
      <c r="T4200" s="2" t="n">
        <v>8</v>
      </c>
      <c r="U4200" s="2" t="n">
        <v>7</v>
      </c>
      <c r="V4200" s="2" t="n">
        <v>2</v>
      </c>
      <c r="W4200" s="2" t="n">
        <v>3</v>
      </c>
      <c r="X4200" s="2" t="n">
        <v>3</v>
      </c>
      <c r="Y4200" s="2" t="n">
        <v>2</v>
      </c>
      <c r="Z4200" s="2" t="n">
        <v>3</v>
      </c>
    </row>
    <row r="4201" customFormat="false" ht="15" hidden="false" customHeight="true" outlineLevel="0" collapsed="false">
      <c r="A4201" s="2" t="n">
        <v>37</v>
      </c>
      <c r="B4201" s="2" t="s">
        <v>26</v>
      </c>
      <c r="C4201" s="2" t="s">
        <v>27</v>
      </c>
      <c r="D4201" s="2" t="s">
        <v>35</v>
      </c>
      <c r="E4201" s="2" t="n">
        <v>17</v>
      </c>
      <c r="F4201" s="2" t="n">
        <v>3</v>
      </c>
      <c r="G4201" s="2" t="s">
        <v>29</v>
      </c>
      <c r="H4201" s="2" t="n">
        <v>4200</v>
      </c>
      <c r="I4201" s="2" t="s">
        <v>30</v>
      </c>
      <c r="J4201" s="2" t="n">
        <v>3</v>
      </c>
      <c r="K4201" s="2" t="s">
        <v>40</v>
      </c>
      <c r="L4201" s="2" t="s">
        <v>32</v>
      </c>
      <c r="M4201" s="2" t="n">
        <v>20640</v>
      </c>
      <c r="N4201" s="2" t="n">
        <v>4</v>
      </c>
      <c r="O4201" s="2" t="n">
        <v>16</v>
      </c>
      <c r="P4201" s="2" t="n">
        <v>0</v>
      </c>
      <c r="Q4201" s="2" t="n">
        <v>8</v>
      </c>
      <c r="R4201" s="2" t="n">
        <v>3</v>
      </c>
      <c r="S4201" s="2" t="n">
        <v>1</v>
      </c>
      <c r="T4201" s="2" t="n">
        <v>0</v>
      </c>
      <c r="U4201" s="2" t="n">
        <v>0</v>
      </c>
      <c r="V4201" s="2" t="n">
        <v>2</v>
      </c>
      <c r="W4201" s="2" t="n">
        <v>2</v>
      </c>
      <c r="X4201" s="2" t="n">
        <v>3</v>
      </c>
      <c r="Y4201" s="2" t="n">
        <v>2</v>
      </c>
      <c r="Z4201" s="2" t="n">
        <v>3</v>
      </c>
    </row>
    <row r="4202" customFormat="false" ht="15" hidden="false" customHeight="true" outlineLevel="0" collapsed="false">
      <c r="A4202" s="2" t="n">
        <v>46</v>
      </c>
      <c r="B4202" s="2" t="s">
        <v>26</v>
      </c>
      <c r="C4202" s="2" t="s">
        <v>34</v>
      </c>
      <c r="D4202" s="2" t="s">
        <v>35</v>
      </c>
      <c r="E4202" s="2" t="n">
        <v>20</v>
      </c>
      <c r="F4202" s="2" t="n">
        <v>3</v>
      </c>
      <c r="G4202" s="2" t="s">
        <v>51</v>
      </c>
      <c r="H4202" s="2" t="n">
        <v>4201</v>
      </c>
      <c r="I4202" s="2" t="s">
        <v>39</v>
      </c>
      <c r="J4202" s="2" t="n">
        <v>3</v>
      </c>
      <c r="K4202" s="2" t="s">
        <v>40</v>
      </c>
      <c r="L4202" s="2" t="s">
        <v>37</v>
      </c>
      <c r="M4202" s="2" t="n">
        <v>40350</v>
      </c>
      <c r="N4202" s="2" t="n">
        <v>4</v>
      </c>
      <c r="O4202" s="2" t="n">
        <v>14</v>
      </c>
      <c r="P4202" s="2" t="n">
        <v>1</v>
      </c>
      <c r="Q4202" s="2" t="n">
        <v>14</v>
      </c>
      <c r="R4202" s="2" t="n">
        <v>2</v>
      </c>
      <c r="S4202" s="2" t="n">
        <v>9</v>
      </c>
      <c r="T4202" s="2" t="n">
        <v>0</v>
      </c>
      <c r="U4202" s="2" t="n">
        <v>8</v>
      </c>
      <c r="V4202" s="2" t="n">
        <v>1</v>
      </c>
      <c r="W4202" s="2" t="n">
        <v>4</v>
      </c>
      <c r="X4202" s="2" t="n">
        <v>3</v>
      </c>
      <c r="Y4202" s="2" t="n">
        <v>3</v>
      </c>
      <c r="Z4202" s="2" t="n">
        <v>3</v>
      </c>
    </row>
    <row r="4203" customFormat="false" ht="15" hidden="false" customHeight="true" outlineLevel="0" collapsed="false">
      <c r="A4203" s="2" t="n">
        <v>35</v>
      </c>
      <c r="B4203" s="2" t="s">
        <v>26</v>
      </c>
      <c r="C4203" s="2" t="s">
        <v>27</v>
      </c>
      <c r="D4203" s="2" t="s">
        <v>35</v>
      </c>
      <c r="E4203" s="2" t="n">
        <v>8</v>
      </c>
      <c r="F4203" s="2" t="n">
        <v>4</v>
      </c>
      <c r="G4203" s="2" t="s">
        <v>43</v>
      </c>
      <c r="H4203" s="2" t="n">
        <v>4202</v>
      </c>
      <c r="I4203" s="2" t="s">
        <v>30</v>
      </c>
      <c r="J4203" s="2" t="n">
        <v>3</v>
      </c>
      <c r="K4203" s="2" t="s">
        <v>36</v>
      </c>
      <c r="L4203" s="2" t="s">
        <v>32</v>
      </c>
      <c r="M4203" s="2" t="n">
        <v>38380</v>
      </c>
      <c r="N4203" s="2" t="n">
        <v>1</v>
      </c>
      <c r="O4203" s="2" t="n">
        <v>16</v>
      </c>
      <c r="P4203" s="2" t="n">
        <v>1</v>
      </c>
      <c r="Q4203" s="2" t="n">
        <v>1</v>
      </c>
      <c r="R4203" s="2" t="n">
        <v>2</v>
      </c>
      <c r="S4203" s="2" t="n">
        <v>1</v>
      </c>
      <c r="T4203" s="2" t="n">
        <v>0</v>
      </c>
      <c r="U4203" s="2" t="n">
        <v>1</v>
      </c>
      <c r="V4203" s="2" t="n">
        <v>4</v>
      </c>
      <c r="W4203" s="2" t="n">
        <v>4</v>
      </c>
      <c r="X4203" s="2" t="n">
        <v>3</v>
      </c>
      <c r="Y4203" s="2" t="n">
        <v>3</v>
      </c>
      <c r="Z4203" s="2" t="n">
        <v>3</v>
      </c>
    </row>
    <row r="4204" customFormat="false" ht="15" hidden="false" customHeight="true" outlineLevel="0" collapsed="false">
      <c r="A4204" s="2" t="n">
        <v>48</v>
      </c>
      <c r="B4204" s="2" t="s">
        <v>33</v>
      </c>
      <c r="C4204" s="2" t="s">
        <v>27</v>
      </c>
      <c r="D4204" s="2" t="s">
        <v>35</v>
      </c>
      <c r="E4204" s="2" t="n">
        <v>2</v>
      </c>
      <c r="F4204" s="2" t="n">
        <v>4</v>
      </c>
      <c r="G4204" s="2" t="s">
        <v>51</v>
      </c>
      <c r="H4204" s="2" t="n">
        <v>4203</v>
      </c>
      <c r="I4204" s="2" t="s">
        <v>30</v>
      </c>
      <c r="J4204" s="2" t="n">
        <v>1</v>
      </c>
      <c r="K4204" s="2" t="s">
        <v>40</v>
      </c>
      <c r="L4204" s="2" t="s">
        <v>37</v>
      </c>
      <c r="M4204" s="2" t="n">
        <v>45910</v>
      </c>
      <c r="N4204" s="2" t="n">
        <v>9</v>
      </c>
      <c r="O4204" s="2" t="n">
        <v>16</v>
      </c>
      <c r="P4204" s="2" t="n">
        <v>0</v>
      </c>
      <c r="Q4204" s="2" t="n">
        <v>23</v>
      </c>
      <c r="R4204" s="2" t="n">
        <v>6</v>
      </c>
      <c r="S4204" s="2" t="n">
        <v>1</v>
      </c>
      <c r="T4204" s="2" t="n">
        <v>0</v>
      </c>
      <c r="U4204" s="2" t="n">
        <v>0</v>
      </c>
      <c r="V4204" s="2" t="n">
        <v>1</v>
      </c>
      <c r="W4204" s="2" t="n">
        <v>3</v>
      </c>
      <c r="X4204" s="2" t="n">
        <v>3</v>
      </c>
      <c r="Y4204" s="2" t="n">
        <v>1</v>
      </c>
      <c r="Z4204" s="2" t="n">
        <v>3</v>
      </c>
    </row>
    <row r="4205" customFormat="false" ht="15" hidden="false" customHeight="true" outlineLevel="0" collapsed="false">
      <c r="A4205" s="2" t="n">
        <v>28</v>
      </c>
      <c r="B4205" s="2" t="s">
        <v>33</v>
      </c>
      <c r="C4205" s="2" t="s">
        <v>27</v>
      </c>
      <c r="D4205" s="2" t="s">
        <v>35</v>
      </c>
      <c r="E4205" s="2" t="n">
        <v>10</v>
      </c>
      <c r="F4205" s="2" t="n">
        <v>1</v>
      </c>
      <c r="G4205" s="2" t="s">
        <v>43</v>
      </c>
      <c r="H4205" s="2" t="n">
        <v>4204</v>
      </c>
      <c r="I4205" s="2" t="s">
        <v>39</v>
      </c>
      <c r="J4205" s="2" t="n">
        <v>1</v>
      </c>
      <c r="K4205" s="2" t="s">
        <v>40</v>
      </c>
      <c r="L4205" s="2" t="s">
        <v>37</v>
      </c>
      <c r="M4205" s="2" t="n">
        <v>25610</v>
      </c>
      <c r="N4205" s="2" t="n">
        <v>1</v>
      </c>
      <c r="O4205" s="2" t="n">
        <v>22</v>
      </c>
      <c r="P4205" s="2" t="n">
        <v>1</v>
      </c>
      <c r="Q4205" s="2" t="n">
        <v>2</v>
      </c>
      <c r="R4205" s="2" t="n">
        <v>3</v>
      </c>
      <c r="S4205" s="2" t="n">
        <v>2</v>
      </c>
      <c r="T4205" s="2" t="n">
        <v>2</v>
      </c>
      <c r="U4205" s="2" t="n">
        <v>2</v>
      </c>
      <c r="V4205" s="2" t="n">
        <v>3</v>
      </c>
      <c r="W4205" s="2" t="n">
        <v>3</v>
      </c>
      <c r="X4205" s="2" t="n">
        <v>2</v>
      </c>
      <c r="Y4205" s="2" t="n">
        <v>3</v>
      </c>
      <c r="Z4205" s="2" t="n">
        <v>4</v>
      </c>
    </row>
    <row r="4206" customFormat="false" ht="15" hidden="false" customHeight="true" outlineLevel="0" collapsed="false">
      <c r="A4206" s="2" t="n">
        <v>44</v>
      </c>
      <c r="B4206" s="2" t="s">
        <v>26</v>
      </c>
      <c r="C4206" s="2" t="s">
        <v>27</v>
      </c>
      <c r="D4206" s="2" t="s">
        <v>35</v>
      </c>
      <c r="E4206" s="2" t="n">
        <v>1</v>
      </c>
      <c r="F4206" s="2" t="n">
        <v>1</v>
      </c>
      <c r="G4206" s="2" t="s">
        <v>43</v>
      </c>
      <c r="H4206" s="2" t="n">
        <v>4205</v>
      </c>
      <c r="I4206" s="2" t="s">
        <v>30</v>
      </c>
      <c r="J4206" s="2" t="n">
        <v>3</v>
      </c>
      <c r="K4206" s="2" t="s">
        <v>36</v>
      </c>
      <c r="L4206" s="2" t="s">
        <v>46</v>
      </c>
      <c r="M4206" s="2" t="n">
        <v>15630</v>
      </c>
      <c r="N4206" s="2" t="n">
        <v>5</v>
      </c>
      <c r="O4206" s="2" t="n">
        <v>12</v>
      </c>
      <c r="P4206" s="2" t="n">
        <v>2</v>
      </c>
      <c r="Q4206" s="2" t="n">
        <v>9</v>
      </c>
      <c r="R4206" s="2" t="n">
        <v>3</v>
      </c>
      <c r="S4206" s="2" t="n">
        <v>4</v>
      </c>
      <c r="T4206" s="2" t="n">
        <v>1</v>
      </c>
      <c r="U4206" s="2" t="n">
        <v>3</v>
      </c>
      <c r="V4206" s="2" t="n">
        <v>2</v>
      </c>
      <c r="W4206" s="2" t="n">
        <v>1</v>
      </c>
      <c r="X4206" s="2" t="n">
        <v>2</v>
      </c>
      <c r="Y4206" s="2" t="n">
        <v>3</v>
      </c>
      <c r="Z4206" s="2" t="n">
        <v>3</v>
      </c>
    </row>
    <row r="4207" customFormat="false" ht="15" hidden="false" customHeight="true" outlineLevel="0" collapsed="false">
      <c r="A4207" s="2" t="n">
        <v>35</v>
      </c>
      <c r="B4207" s="2" t="s">
        <v>26</v>
      </c>
      <c r="C4207" s="2" t="s">
        <v>41</v>
      </c>
      <c r="D4207" s="2" t="s">
        <v>35</v>
      </c>
      <c r="E4207" s="2" t="n">
        <v>5</v>
      </c>
      <c r="F4207" s="2" t="n">
        <v>4</v>
      </c>
      <c r="G4207" s="2" t="s">
        <v>51</v>
      </c>
      <c r="H4207" s="2" t="n">
        <v>4206</v>
      </c>
      <c r="I4207" s="2" t="s">
        <v>30</v>
      </c>
      <c r="J4207" s="2" t="n">
        <v>3</v>
      </c>
      <c r="K4207" s="2" t="s">
        <v>47</v>
      </c>
      <c r="L4207" s="2" t="s">
        <v>32</v>
      </c>
      <c r="M4207" s="2" t="n">
        <v>48980</v>
      </c>
      <c r="N4207" s="2" t="n">
        <v>2</v>
      </c>
      <c r="O4207" s="2" t="n">
        <v>15</v>
      </c>
      <c r="P4207" s="2" t="n">
        <v>2</v>
      </c>
      <c r="Q4207" s="2" t="n">
        <v>10</v>
      </c>
      <c r="R4207" s="2" t="n">
        <v>2</v>
      </c>
      <c r="S4207" s="2" t="n">
        <v>4</v>
      </c>
      <c r="T4207" s="2" t="n">
        <v>2</v>
      </c>
      <c r="U4207" s="2" t="n">
        <v>3</v>
      </c>
      <c r="V4207" s="2" t="n">
        <v>3</v>
      </c>
      <c r="W4207" s="2" t="n">
        <v>1</v>
      </c>
      <c r="X4207" s="2" t="n">
        <v>3</v>
      </c>
      <c r="Y4207" s="2" t="n">
        <v>3</v>
      </c>
      <c r="Z4207" s="2" t="n">
        <v>3</v>
      </c>
    </row>
    <row r="4208" customFormat="false" ht="15" hidden="false" customHeight="true" outlineLevel="0" collapsed="false">
      <c r="A4208" s="2" t="n">
        <v>26</v>
      </c>
      <c r="B4208" s="2" t="s">
        <v>26</v>
      </c>
      <c r="C4208" s="2" t="s">
        <v>27</v>
      </c>
      <c r="D4208" s="2" t="s">
        <v>35</v>
      </c>
      <c r="E4208" s="2" t="n">
        <v>4</v>
      </c>
      <c r="F4208" s="2" t="n">
        <v>4</v>
      </c>
      <c r="G4208" s="2" t="s">
        <v>29</v>
      </c>
      <c r="H4208" s="2" t="n">
        <v>4207</v>
      </c>
      <c r="I4208" s="2" t="s">
        <v>30</v>
      </c>
      <c r="J4208" s="2" t="n">
        <v>3</v>
      </c>
      <c r="K4208" s="2" t="s">
        <v>40</v>
      </c>
      <c r="L4208" s="2" t="s">
        <v>32</v>
      </c>
      <c r="M4208" s="2" t="n">
        <v>47890</v>
      </c>
      <c r="N4208" s="2" t="n">
        <v>7</v>
      </c>
      <c r="O4208" s="2" t="n">
        <v>20</v>
      </c>
      <c r="P4208" s="2" t="n">
        <v>1</v>
      </c>
      <c r="Q4208" s="2" t="n">
        <v>5</v>
      </c>
      <c r="R4208" s="2" t="n">
        <v>2</v>
      </c>
      <c r="S4208" s="2" t="n">
        <v>2</v>
      </c>
      <c r="T4208" s="2" t="n">
        <v>0</v>
      </c>
      <c r="U4208" s="2" t="n">
        <v>0</v>
      </c>
      <c r="V4208" s="2" t="n">
        <v>3</v>
      </c>
      <c r="W4208" s="2" t="n">
        <v>4</v>
      </c>
      <c r="X4208" s="2" t="n">
        <v>2</v>
      </c>
      <c r="Y4208" s="2" t="n">
        <v>3</v>
      </c>
      <c r="Z4208" s="2" t="n">
        <v>4</v>
      </c>
    </row>
    <row r="4209" customFormat="false" ht="15" hidden="false" customHeight="true" outlineLevel="0" collapsed="false">
      <c r="A4209" s="2" t="n">
        <v>33</v>
      </c>
      <c r="B4209" s="2" t="s">
        <v>26</v>
      </c>
      <c r="C4209" s="2" t="s">
        <v>34</v>
      </c>
      <c r="D4209" s="2" t="s">
        <v>28</v>
      </c>
      <c r="E4209" s="2" t="n">
        <v>29</v>
      </c>
      <c r="F4209" s="2" t="n">
        <v>4</v>
      </c>
      <c r="G4209" s="2" t="s">
        <v>29</v>
      </c>
      <c r="H4209" s="2" t="n">
        <v>4208</v>
      </c>
      <c r="I4209" s="2" t="s">
        <v>30</v>
      </c>
      <c r="J4209" s="2" t="n">
        <v>1</v>
      </c>
      <c r="K4209" s="2" t="s">
        <v>42</v>
      </c>
      <c r="L4209" s="2" t="s">
        <v>37</v>
      </c>
      <c r="M4209" s="2" t="n">
        <v>31800</v>
      </c>
      <c r="N4209" s="2" t="n">
        <v>1</v>
      </c>
      <c r="O4209" s="2" t="n">
        <v>14</v>
      </c>
      <c r="P4209" s="2" t="n">
        <v>1</v>
      </c>
      <c r="Q4209" s="2" t="n">
        <v>15</v>
      </c>
      <c r="R4209" s="2" t="n">
        <v>2</v>
      </c>
      <c r="S4209" s="2" t="n">
        <v>15</v>
      </c>
      <c r="T4209" s="2" t="n">
        <v>8</v>
      </c>
      <c r="U4209" s="2" t="n">
        <v>12</v>
      </c>
      <c r="V4209" s="2" t="n">
        <v>1</v>
      </c>
      <c r="W4209" s="2" t="n">
        <v>4</v>
      </c>
      <c r="X4209" s="2" t="n">
        <v>3</v>
      </c>
      <c r="Y4209" s="2" t="n">
        <v>3</v>
      </c>
      <c r="Z4209" s="2" t="n">
        <v>3</v>
      </c>
    </row>
    <row r="4210" customFormat="false" ht="15" hidden="false" customHeight="true" outlineLevel="0" collapsed="false">
      <c r="A4210" s="2" t="n">
        <v>35</v>
      </c>
      <c r="B4210" s="2" t="s">
        <v>26</v>
      </c>
      <c r="C4210" s="2" t="s">
        <v>34</v>
      </c>
      <c r="D4210" s="2" t="s">
        <v>35</v>
      </c>
      <c r="E4210" s="2" t="n">
        <v>15</v>
      </c>
      <c r="F4210" s="2" t="n">
        <v>3</v>
      </c>
      <c r="G4210" s="2" t="s">
        <v>43</v>
      </c>
      <c r="H4210" s="2" t="n">
        <v>4209</v>
      </c>
      <c r="I4210" s="2" t="s">
        <v>39</v>
      </c>
      <c r="J4210" s="2" t="n">
        <v>3</v>
      </c>
      <c r="K4210" s="2" t="s">
        <v>47</v>
      </c>
      <c r="L4210" s="2" t="s">
        <v>32</v>
      </c>
      <c r="M4210" s="2" t="n">
        <v>65490</v>
      </c>
      <c r="N4210" s="2" t="n">
        <v>1</v>
      </c>
      <c r="O4210" s="2" t="n">
        <v>20</v>
      </c>
      <c r="P4210" s="2" t="n">
        <v>0</v>
      </c>
      <c r="Q4210" s="2" t="n">
        <v>9</v>
      </c>
      <c r="R4210" s="2" t="n">
        <v>3</v>
      </c>
      <c r="S4210" s="2" t="n">
        <v>9</v>
      </c>
      <c r="T4210" s="2" t="n">
        <v>1</v>
      </c>
      <c r="U4210" s="2" t="n">
        <v>8</v>
      </c>
      <c r="V4210" s="2" t="n">
        <v>2</v>
      </c>
      <c r="W4210" s="2" t="n">
        <v>1</v>
      </c>
      <c r="X4210" s="2" t="n">
        <v>2</v>
      </c>
      <c r="Y4210" s="2" t="n">
        <v>3</v>
      </c>
      <c r="Z4210" s="2" t="n">
        <v>4</v>
      </c>
    </row>
    <row r="4211" customFormat="false" ht="15" hidden="false" customHeight="true" outlineLevel="0" collapsed="false">
      <c r="A4211" s="2" t="n">
        <v>35</v>
      </c>
      <c r="B4211" s="2" t="s">
        <v>26</v>
      </c>
      <c r="C4211" s="2" t="s">
        <v>27</v>
      </c>
      <c r="D4211" s="2" t="s">
        <v>42</v>
      </c>
      <c r="E4211" s="2" t="n">
        <v>3</v>
      </c>
      <c r="F4211" s="2" t="n">
        <v>2</v>
      </c>
      <c r="G4211" s="2" t="s">
        <v>29</v>
      </c>
      <c r="H4211" s="2" t="n">
        <v>4210</v>
      </c>
      <c r="I4211" s="2" t="s">
        <v>30</v>
      </c>
      <c r="J4211" s="2" t="n">
        <v>1</v>
      </c>
      <c r="K4211" s="2" t="s">
        <v>45</v>
      </c>
      <c r="L4211" s="2" t="s">
        <v>32</v>
      </c>
      <c r="M4211" s="2" t="n">
        <v>63880</v>
      </c>
      <c r="N4211" s="2" t="n">
        <v>3</v>
      </c>
      <c r="O4211" s="2" t="n">
        <v>13</v>
      </c>
      <c r="P4211" s="2" t="n">
        <v>0</v>
      </c>
      <c r="Q4211" s="2" t="n">
        <v>4</v>
      </c>
      <c r="R4211" s="2" t="n">
        <v>6</v>
      </c>
      <c r="S4211" s="2" t="n">
        <v>2</v>
      </c>
      <c r="T4211" s="2" t="n">
        <v>2</v>
      </c>
      <c r="U4211" s="2" t="n">
        <v>2</v>
      </c>
      <c r="V4211" s="2" t="n">
        <v>3</v>
      </c>
      <c r="W4211" s="2" t="n">
        <v>1</v>
      </c>
      <c r="X4211" s="2" t="n">
        <v>3</v>
      </c>
      <c r="Y4211" s="2" t="n">
        <v>2</v>
      </c>
      <c r="Z4211" s="2" t="n">
        <v>3</v>
      </c>
    </row>
    <row r="4212" customFormat="false" ht="15" hidden="false" customHeight="true" outlineLevel="0" collapsed="false">
      <c r="A4212" s="2" t="n">
        <v>31</v>
      </c>
      <c r="B4212" s="2" t="s">
        <v>26</v>
      </c>
      <c r="C4212" s="2" t="s">
        <v>27</v>
      </c>
      <c r="D4212" s="2" t="s">
        <v>28</v>
      </c>
      <c r="E4212" s="2" t="n">
        <v>10</v>
      </c>
      <c r="F4212" s="2" t="n">
        <v>2</v>
      </c>
      <c r="G4212" s="2" t="s">
        <v>29</v>
      </c>
      <c r="H4212" s="2" t="n">
        <v>4211</v>
      </c>
      <c r="I4212" s="2" t="s">
        <v>30</v>
      </c>
      <c r="J4212" s="2" t="n">
        <v>2</v>
      </c>
      <c r="K4212" s="2" t="s">
        <v>36</v>
      </c>
      <c r="L4212" s="2" t="s">
        <v>46</v>
      </c>
      <c r="M4212" s="2" t="n">
        <v>112440</v>
      </c>
      <c r="N4212" s="2" t="n">
        <v>3</v>
      </c>
      <c r="O4212" s="2" t="n">
        <v>12</v>
      </c>
      <c r="P4212" s="2" t="n">
        <v>1</v>
      </c>
      <c r="Q4212" s="2" t="n">
        <v>10</v>
      </c>
      <c r="R4212" s="2" t="n">
        <v>3</v>
      </c>
      <c r="S4212" s="2" t="n">
        <v>7</v>
      </c>
      <c r="T4212" s="2" t="n">
        <v>1</v>
      </c>
      <c r="U4212" s="2" t="n">
        <v>7</v>
      </c>
      <c r="V4212" s="2" t="n">
        <v>4</v>
      </c>
      <c r="W4212" s="2" t="n">
        <v>4</v>
      </c>
      <c r="X4212" s="2" t="n">
        <v>2</v>
      </c>
      <c r="Y4212" s="2" t="n">
        <v>3</v>
      </c>
      <c r="Z4212" s="2" t="n">
        <v>3</v>
      </c>
    </row>
    <row r="4213" customFormat="false" ht="15" hidden="false" customHeight="true" outlineLevel="0" collapsed="false">
      <c r="A4213" s="2" t="n">
        <v>37</v>
      </c>
      <c r="B4213" s="2" t="s">
        <v>26</v>
      </c>
      <c r="C4213" s="2" t="s">
        <v>27</v>
      </c>
      <c r="D4213" s="2" t="s">
        <v>28</v>
      </c>
      <c r="E4213" s="2" t="n">
        <v>4</v>
      </c>
      <c r="F4213" s="2" t="n">
        <v>3</v>
      </c>
      <c r="G4213" s="2" t="s">
        <v>50</v>
      </c>
      <c r="H4213" s="2" t="n">
        <v>4212</v>
      </c>
      <c r="I4213" s="2" t="s">
        <v>39</v>
      </c>
      <c r="J4213" s="2" t="n">
        <v>4</v>
      </c>
      <c r="K4213" s="2" t="s">
        <v>42</v>
      </c>
      <c r="L4213" s="2" t="s">
        <v>46</v>
      </c>
      <c r="M4213" s="2" t="n">
        <v>160320</v>
      </c>
      <c r="N4213" s="2" t="n">
        <v>1</v>
      </c>
      <c r="O4213" s="2" t="n">
        <v>13</v>
      </c>
      <c r="P4213" s="2" t="n">
        <v>0</v>
      </c>
      <c r="Q4213" s="2" t="n">
        <v>7</v>
      </c>
      <c r="R4213" s="2" t="n">
        <v>2</v>
      </c>
      <c r="S4213" s="2" t="n">
        <v>7</v>
      </c>
      <c r="T4213" s="2" t="n">
        <v>0</v>
      </c>
      <c r="U4213" s="2" t="n">
        <v>7</v>
      </c>
      <c r="V4213" s="2" t="n">
        <v>1</v>
      </c>
      <c r="W4213" s="2" t="n">
        <v>3</v>
      </c>
      <c r="X4213" s="2" t="n">
        <v>4</v>
      </c>
      <c r="Y4213" s="2" t="n">
        <v>3</v>
      </c>
      <c r="Z4213" s="2" t="n">
        <v>3</v>
      </c>
    </row>
    <row r="4214" customFormat="false" ht="15" hidden="false" customHeight="true" outlineLevel="0" collapsed="false">
      <c r="A4214" s="2" t="n">
        <v>32</v>
      </c>
      <c r="B4214" s="2" t="s">
        <v>26</v>
      </c>
      <c r="C4214" s="2" t="s">
        <v>27</v>
      </c>
      <c r="D4214" s="2" t="s">
        <v>35</v>
      </c>
      <c r="E4214" s="2" t="n">
        <v>21</v>
      </c>
      <c r="F4214" s="2" t="n">
        <v>3</v>
      </c>
      <c r="G4214" s="2" t="s">
        <v>38</v>
      </c>
      <c r="H4214" s="2" t="n">
        <v>4213</v>
      </c>
      <c r="I4214" s="2" t="s">
        <v>39</v>
      </c>
      <c r="J4214" s="2" t="n">
        <v>2</v>
      </c>
      <c r="K4214" s="2" t="s">
        <v>40</v>
      </c>
      <c r="L4214" s="2" t="s">
        <v>32</v>
      </c>
      <c r="M4214" s="2" t="n">
        <v>23620</v>
      </c>
      <c r="N4214" s="2" t="n">
        <v>1</v>
      </c>
      <c r="O4214" s="2" t="n">
        <v>11</v>
      </c>
      <c r="P4214" s="2" t="n">
        <v>0</v>
      </c>
      <c r="Q4214" s="2" t="n">
        <v>9</v>
      </c>
      <c r="R4214" s="2" t="n">
        <v>2</v>
      </c>
      <c r="S4214" s="2" t="n">
        <v>9</v>
      </c>
      <c r="T4214" s="2" t="n">
        <v>7</v>
      </c>
      <c r="U4214" s="2" t="n">
        <v>8</v>
      </c>
      <c r="V4214" s="2" t="n">
        <v>1</v>
      </c>
      <c r="W4214" s="2" t="n">
        <v>4</v>
      </c>
      <c r="X4214" s="2" t="n">
        <v>3</v>
      </c>
      <c r="Y4214" s="2" t="n">
        <v>3</v>
      </c>
      <c r="Z4214" s="2" t="n">
        <v>3</v>
      </c>
    </row>
    <row r="4215" customFormat="false" ht="15" hidden="false" customHeight="true" outlineLevel="0" collapsed="false">
      <c r="A4215" s="2" t="n">
        <v>38</v>
      </c>
      <c r="B4215" s="2" t="s">
        <v>26</v>
      </c>
      <c r="C4215" s="2" t="s">
        <v>34</v>
      </c>
      <c r="D4215" s="2" t="s">
        <v>35</v>
      </c>
      <c r="E4215" s="2" t="n">
        <v>25</v>
      </c>
      <c r="F4215" s="2" t="n">
        <v>3</v>
      </c>
      <c r="G4215" s="2" t="s">
        <v>43</v>
      </c>
      <c r="H4215" s="2" t="n">
        <v>4214</v>
      </c>
      <c r="I4215" s="2" t="s">
        <v>39</v>
      </c>
      <c r="J4215" s="2" t="n">
        <v>2</v>
      </c>
      <c r="K4215" s="2" t="s">
        <v>47</v>
      </c>
      <c r="L4215" s="2" t="s">
        <v>37</v>
      </c>
      <c r="M4215" s="2" t="n">
        <v>163280</v>
      </c>
      <c r="N4215" s="2" t="n">
        <v>1</v>
      </c>
      <c r="O4215" s="2" t="n">
        <v>17</v>
      </c>
      <c r="P4215" s="2" t="n">
        <v>3</v>
      </c>
      <c r="Q4215" s="2" t="n">
        <v>10</v>
      </c>
      <c r="R4215" s="2" t="n">
        <v>2</v>
      </c>
      <c r="S4215" s="2" t="n">
        <v>10</v>
      </c>
      <c r="T4215" s="2" t="n">
        <v>9</v>
      </c>
      <c r="U4215" s="2" t="n">
        <v>9</v>
      </c>
      <c r="V4215" s="2" t="n">
        <v>4</v>
      </c>
      <c r="W4215" s="2" t="n">
        <v>4</v>
      </c>
      <c r="X4215" s="2" t="n">
        <v>3</v>
      </c>
      <c r="Y4215" s="2" t="n">
        <v>3</v>
      </c>
      <c r="Z4215" s="2" t="n">
        <v>3</v>
      </c>
    </row>
    <row r="4216" customFormat="false" ht="15" hidden="false" customHeight="true" outlineLevel="0" collapsed="false">
      <c r="A4216" s="2" t="n">
        <v>50</v>
      </c>
      <c r="B4216" s="2" t="s">
        <v>26</v>
      </c>
      <c r="C4216" s="2" t="s">
        <v>27</v>
      </c>
      <c r="D4216" s="2" t="s">
        <v>28</v>
      </c>
      <c r="E4216" s="2" t="n">
        <v>2</v>
      </c>
      <c r="F4216" s="2" t="n">
        <v>4</v>
      </c>
      <c r="G4216" s="2" t="s">
        <v>50</v>
      </c>
      <c r="H4216" s="2" t="n">
        <v>4215</v>
      </c>
      <c r="I4216" s="2" t="s">
        <v>30</v>
      </c>
      <c r="J4216" s="2" t="n">
        <v>4</v>
      </c>
      <c r="K4216" s="2" t="s">
        <v>36</v>
      </c>
      <c r="L4216" s="2" t="s">
        <v>46</v>
      </c>
      <c r="M4216" s="2" t="n">
        <v>83760</v>
      </c>
      <c r="N4216" s="2" t="n">
        <v>5</v>
      </c>
      <c r="O4216" s="2" t="n">
        <v>14</v>
      </c>
      <c r="P4216" s="2" t="n">
        <v>3</v>
      </c>
      <c r="Q4216" s="2" t="n">
        <v>29</v>
      </c>
      <c r="R4216" s="2" t="n">
        <v>2</v>
      </c>
      <c r="S4216" s="2" t="n">
        <v>27</v>
      </c>
      <c r="T4216" s="2" t="n">
        <v>13</v>
      </c>
      <c r="U4216" s="2" t="n">
        <v>8</v>
      </c>
      <c r="V4216" s="2" t="n">
        <v>2</v>
      </c>
      <c r="W4216" s="2" t="n">
        <v>3</v>
      </c>
      <c r="X4216" s="2" t="n">
        <v>2</v>
      </c>
      <c r="Y4216" s="2" t="n">
        <v>3</v>
      </c>
      <c r="Z4216" s="2" t="n">
        <v>3</v>
      </c>
    </row>
    <row r="4217" customFormat="false" ht="15" hidden="false" customHeight="true" outlineLevel="0" collapsed="false">
      <c r="A4217" s="2" t="n">
        <v>59</v>
      </c>
      <c r="B4217" s="2" t="s">
        <v>26</v>
      </c>
      <c r="C4217" s="2" t="s">
        <v>27</v>
      </c>
      <c r="D4217" s="2" t="s">
        <v>35</v>
      </c>
      <c r="E4217" s="2" t="n">
        <v>1</v>
      </c>
      <c r="F4217" s="2" t="n">
        <v>3</v>
      </c>
      <c r="G4217" s="2" t="s">
        <v>51</v>
      </c>
      <c r="H4217" s="2" t="n">
        <v>4216</v>
      </c>
      <c r="I4217" s="2" t="s">
        <v>39</v>
      </c>
      <c r="J4217" s="2" t="n">
        <v>1</v>
      </c>
      <c r="K4217" s="2" t="s">
        <v>45</v>
      </c>
      <c r="L4217" s="2" t="s">
        <v>37</v>
      </c>
      <c r="M4217" s="2" t="n">
        <v>166060</v>
      </c>
      <c r="N4217" s="2" t="n">
        <v>7</v>
      </c>
      <c r="O4217" s="2" t="n">
        <v>11</v>
      </c>
      <c r="P4217" s="2" t="n">
        <v>0</v>
      </c>
      <c r="Q4217" s="2" t="n">
        <v>28</v>
      </c>
      <c r="R4217" s="2" t="n">
        <v>6</v>
      </c>
      <c r="S4217" s="2" t="n">
        <v>21</v>
      </c>
      <c r="T4217" s="2" t="n">
        <v>7</v>
      </c>
      <c r="U4217" s="2" t="n">
        <v>9</v>
      </c>
      <c r="V4217" s="2" t="n">
        <v>1</v>
      </c>
      <c r="W4217" s="2" t="n">
        <v>1</v>
      </c>
      <c r="X4217" s="2" t="n">
        <v>2</v>
      </c>
      <c r="Y4217" s="2" t="n">
        <v>3</v>
      </c>
      <c r="Z4217" s="2" t="n">
        <v>3</v>
      </c>
    </row>
    <row r="4218" customFormat="false" ht="15" hidden="false" customHeight="true" outlineLevel="0" collapsed="false">
      <c r="A4218" s="2" t="n">
        <v>36</v>
      </c>
      <c r="B4218" s="2" t="s">
        <v>26</v>
      </c>
      <c r="C4218" s="2" t="s">
        <v>27</v>
      </c>
      <c r="D4218" s="2" t="s">
        <v>28</v>
      </c>
      <c r="E4218" s="2" t="n">
        <v>1</v>
      </c>
      <c r="F4218" s="2" t="n">
        <v>2</v>
      </c>
      <c r="G4218" s="2" t="s">
        <v>50</v>
      </c>
      <c r="H4218" s="2" t="n">
        <v>4217</v>
      </c>
      <c r="I4218" s="2" t="s">
        <v>30</v>
      </c>
      <c r="J4218" s="2" t="n">
        <v>2</v>
      </c>
      <c r="K4218" s="2" t="s">
        <v>40</v>
      </c>
      <c r="L4218" s="2" t="s">
        <v>46</v>
      </c>
      <c r="M4218" s="2" t="n">
        <v>86060</v>
      </c>
      <c r="N4218" s="2" t="n">
        <v>1</v>
      </c>
      <c r="O4218" s="2" t="n">
        <v>14</v>
      </c>
      <c r="P4218" s="2" t="n">
        <v>2</v>
      </c>
      <c r="Q4218" s="2" t="n">
        <v>17</v>
      </c>
      <c r="R4218" s="2" t="n">
        <v>3</v>
      </c>
      <c r="S4218" s="2" t="n">
        <v>17</v>
      </c>
      <c r="T4218" s="2" t="n">
        <v>12</v>
      </c>
      <c r="U4218" s="2" t="n">
        <v>8</v>
      </c>
      <c r="V4218" s="2" t="n">
        <v>3</v>
      </c>
      <c r="W4218" s="2" t="n">
        <v>3</v>
      </c>
      <c r="X4218" s="2" t="n">
        <v>3</v>
      </c>
      <c r="Y4218" s="2" t="n">
        <v>3</v>
      </c>
      <c r="Z4218" s="2" t="n">
        <v>3</v>
      </c>
    </row>
    <row r="4219" customFormat="false" ht="15" hidden="false" customHeight="true" outlineLevel="0" collapsed="false">
      <c r="A4219" s="2" t="n">
        <v>55</v>
      </c>
      <c r="B4219" s="2" t="s">
        <v>26</v>
      </c>
      <c r="C4219" s="2" t="s">
        <v>27</v>
      </c>
      <c r="D4219" s="2" t="s">
        <v>35</v>
      </c>
      <c r="E4219" s="2" t="n">
        <v>7</v>
      </c>
      <c r="F4219" s="2" t="n">
        <v>3</v>
      </c>
      <c r="G4219" s="2" t="s">
        <v>43</v>
      </c>
      <c r="H4219" s="2" t="n">
        <v>4218</v>
      </c>
      <c r="I4219" s="2" t="s">
        <v>39</v>
      </c>
      <c r="J4219" s="2" t="n">
        <v>3</v>
      </c>
      <c r="K4219" s="2" t="s">
        <v>36</v>
      </c>
      <c r="L4219" s="2" t="s">
        <v>46</v>
      </c>
      <c r="M4219" s="2" t="n">
        <v>22720</v>
      </c>
      <c r="N4219" s="2" t="n">
        <v>2</v>
      </c>
      <c r="O4219" s="2" t="n">
        <v>17</v>
      </c>
      <c r="P4219" s="2" t="n">
        <v>1</v>
      </c>
      <c r="Q4219" s="2" t="n">
        <v>21</v>
      </c>
      <c r="R4219" s="2" t="n">
        <v>2</v>
      </c>
      <c r="S4219" s="2" t="n">
        <v>5</v>
      </c>
      <c r="T4219" s="2" t="n">
        <v>0</v>
      </c>
      <c r="U4219" s="2" t="n">
        <v>2</v>
      </c>
      <c r="V4219" s="2" t="n">
        <v>4</v>
      </c>
      <c r="W4219" s="2" t="n">
        <v>3</v>
      </c>
      <c r="X4219" s="2" t="n">
        <v>3</v>
      </c>
      <c r="Y4219" s="2" t="n">
        <v>3</v>
      </c>
      <c r="Z4219" s="2" t="n">
        <v>3</v>
      </c>
    </row>
    <row r="4220" customFormat="false" ht="15" hidden="false" customHeight="true" outlineLevel="0" collapsed="false">
      <c r="A4220" s="2" t="n">
        <v>36</v>
      </c>
      <c r="B4220" s="2" t="s">
        <v>26</v>
      </c>
      <c r="C4220" s="2" t="s">
        <v>34</v>
      </c>
      <c r="D4220" s="2" t="s">
        <v>35</v>
      </c>
      <c r="E4220" s="2" t="n">
        <v>3</v>
      </c>
      <c r="F4220" s="2" t="n">
        <v>3</v>
      </c>
      <c r="G4220" s="2" t="s">
        <v>29</v>
      </c>
      <c r="H4220" s="2" t="n">
        <v>4219</v>
      </c>
      <c r="I4220" s="2" t="s">
        <v>30</v>
      </c>
      <c r="J4220" s="2" t="n">
        <v>2</v>
      </c>
      <c r="K4220" s="2" t="s">
        <v>45</v>
      </c>
      <c r="L4220" s="2" t="s">
        <v>37</v>
      </c>
      <c r="M4220" s="2" t="n">
        <v>20180</v>
      </c>
      <c r="N4220" s="2" t="n">
        <v>1</v>
      </c>
      <c r="O4220" s="2" t="n">
        <v>13</v>
      </c>
      <c r="P4220" s="2" t="n">
        <v>0</v>
      </c>
      <c r="Q4220" s="2" t="n">
        <v>6</v>
      </c>
      <c r="R4220" s="2" t="n">
        <v>5</v>
      </c>
      <c r="S4220" s="2" t="n">
        <v>6</v>
      </c>
      <c r="T4220" s="2" t="n">
        <v>0</v>
      </c>
      <c r="U4220" s="2" t="n">
        <v>3</v>
      </c>
      <c r="V4220" s="2" t="n">
        <v>2</v>
      </c>
      <c r="W4220" s="2" t="n">
        <v>2</v>
      </c>
      <c r="X4220" s="2" t="n">
        <v>3</v>
      </c>
      <c r="Y4220" s="2" t="n">
        <v>3</v>
      </c>
      <c r="Z4220" s="2" t="n">
        <v>3</v>
      </c>
    </row>
    <row r="4221" customFormat="false" ht="15" hidden="false" customHeight="true" outlineLevel="0" collapsed="false">
      <c r="A4221" s="2" t="n">
        <v>45</v>
      </c>
      <c r="B4221" s="2" t="s">
        <v>26</v>
      </c>
      <c r="C4221" s="2" t="s">
        <v>27</v>
      </c>
      <c r="D4221" s="2" t="s">
        <v>35</v>
      </c>
      <c r="E4221" s="2" t="n">
        <v>1</v>
      </c>
      <c r="F4221" s="2" t="n">
        <v>2</v>
      </c>
      <c r="G4221" s="2" t="s">
        <v>43</v>
      </c>
      <c r="H4221" s="2" t="n">
        <v>4220</v>
      </c>
      <c r="I4221" s="2" t="s">
        <v>30</v>
      </c>
      <c r="J4221" s="2" t="n">
        <v>1</v>
      </c>
      <c r="K4221" s="2" t="s">
        <v>40</v>
      </c>
      <c r="L4221" s="2" t="s">
        <v>46</v>
      </c>
      <c r="M4221" s="2" t="n">
        <v>70830</v>
      </c>
      <c r="N4221" s="2" t="n">
        <v>2</v>
      </c>
      <c r="O4221" s="2" t="n">
        <v>12</v>
      </c>
      <c r="P4221" s="2" t="n">
        <v>1</v>
      </c>
      <c r="Q4221" s="2" t="n">
        <v>25</v>
      </c>
      <c r="R4221" s="2" t="n">
        <v>5</v>
      </c>
      <c r="S4221" s="2" t="n">
        <v>1</v>
      </c>
      <c r="T4221" s="2" t="n">
        <v>0</v>
      </c>
      <c r="U4221" s="2" t="n">
        <v>0</v>
      </c>
      <c r="V4221" s="2" t="n">
        <v>2</v>
      </c>
      <c r="W4221" s="2"/>
      <c r="X4221" s="2" t="n">
        <v>3</v>
      </c>
      <c r="Y4221" s="2" t="n">
        <v>3</v>
      </c>
      <c r="Z4221" s="2" t="n">
        <v>3</v>
      </c>
    </row>
    <row r="4222" customFormat="false" ht="15" hidden="false" customHeight="true" outlineLevel="0" collapsed="false">
      <c r="A4222" s="2" t="n">
        <v>35</v>
      </c>
      <c r="B4222" s="2" t="s">
        <v>26</v>
      </c>
      <c r="C4222" s="2" t="s">
        <v>34</v>
      </c>
      <c r="D4222" s="2" t="s">
        <v>42</v>
      </c>
      <c r="E4222" s="2" t="n">
        <v>9</v>
      </c>
      <c r="F4222" s="2" t="n">
        <v>3</v>
      </c>
      <c r="G4222" s="2" t="s">
        <v>38</v>
      </c>
      <c r="H4222" s="2" t="n">
        <v>4221</v>
      </c>
      <c r="I4222" s="2" t="s">
        <v>30</v>
      </c>
      <c r="J4222" s="2" t="n">
        <v>2</v>
      </c>
      <c r="K4222" s="2" t="s">
        <v>48</v>
      </c>
      <c r="L4222" s="2" t="s">
        <v>32</v>
      </c>
      <c r="M4222" s="2" t="n">
        <v>40840</v>
      </c>
      <c r="N4222" s="2" t="n">
        <v>4</v>
      </c>
      <c r="O4222" s="2" t="n">
        <v>13</v>
      </c>
      <c r="P4222" s="2" t="n">
        <v>1</v>
      </c>
      <c r="Q4222" s="2" t="n">
        <v>5</v>
      </c>
      <c r="R4222" s="2" t="n">
        <v>3</v>
      </c>
      <c r="S4222" s="2" t="n">
        <v>3</v>
      </c>
      <c r="T4222" s="2" t="n">
        <v>1</v>
      </c>
      <c r="U4222" s="2" t="n">
        <v>2</v>
      </c>
      <c r="V4222" s="2" t="n">
        <v>2</v>
      </c>
      <c r="W4222" s="2" t="n">
        <v>1</v>
      </c>
      <c r="X4222" s="2" t="n">
        <v>2</v>
      </c>
      <c r="Y4222" s="2" t="n">
        <v>3</v>
      </c>
      <c r="Z4222" s="2" t="n">
        <v>3</v>
      </c>
    </row>
    <row r="4223" customFormat="false" ht="15" hidden="false" customHeight="true" outlineLevel="0" collapsed="false">
      <c r="A4223" s="2" t="n">
        <v>36</v>
      </c>
      <c r="B4223" s="2" t="s">
        <v>33</v>
      </c>
      <c r="C4223" s="2" t="s">
        <v>27</v>
      </c>
      <c r="D4223" s="2" t="s">
        <v>28</v>
      </c>
      <c r="E4223" s="2" t="n">
        <v>7</v>
      </c>
      <c r="F4223" s="2" t="n">
        <v>2</v>
      </c>
      <c r="G4223" s="2" t="s">
        <v>29</v>
      </c>
      <c r="H4223" s="2" t="n">
        <v>4222</v>
      </c>
      <c r="I4223" s="2" t="s">
        <v>39</v>
      </c>
      <c r="J4223" s="2" t="n">
        <v>4</v>
      </c>
      <c r="K4223" s="2" t="s">
        <v>45</v>
      </c>
      <c r="L4223" s="2" t="s">
        <v>32</v>
      </c>
      <c r="M4223" s="2" t="n">
        <v>144110</v>
      </c>
      <c r="N4223" s="2" t="n">
        <v>0</v>
      </c>
      <c r="O4223" s="2" t="n">
        <v>18</v>
      </c>
      <c r="P4223" s="2" t="n">
        <v>3</v>
      </c>
      <c r="Q4223" s="2" t="n">
        <v>2</v>
      </c>
      <c r="R4223" s="2" t="n">
        <v>2</v>
      </c>
      <c r="S4223" s="2" t="n">
        <v>1</v>
      </c>
      <c r="T4223" s="2" t="n">
        <v>0</v>
      </c>
      <c r="U4223" s="2" t="n">
        <v>0</v>
      </c>
      <c r="V4223" s="2" t="n">
        <v>4</v>
      </c>
      <c r="W4223" s="2" t="n">
        <v>3</v>
      </c>
      <c r="X4223" s="2" t="n">
        <v>2</v>
      </c>
      <c r="Y4223" s="2" t="n">
        <v>4</v>
      </c>
      <c r="Z4223" s="2" t="n">
        <v>3</v>
      </c>
    </row>
    <row r="4224" customFormat="false" ht="15" hidden="false" customHeight="true" outlineLevel="0" collapsed="false">
      <c r="A4224" s="2" t="n">
        <v>59</v>
      </c>
      <c r="B4224" s="2" t="s">
        <v>26</v>
      </c>
      <c r="C4224" s="2" t="s">
        <v>34</v>
      </c>
      <c r="D4224" s="2" t="s">
        <v>35</v>
      </c>
      <c r="E4224" s="2" t="n">
        <v>10</v>
      </c>
      <c r="F4224" s="2" t="n">
        <v>4</v>
      </c>
      <c r="G4224" s="2" t="s">
        <v>29</v>
      </c>
      <c r="H4224" s="2" t="n">
        <v>4223</v>
      </c>
      <c r="I4224" s="2" t="s">
        <v>39</v>
      </c>
      <c r="J4224" s="2" t="n">
        <v>3</v>
      </c>
      <c r="K4224" s="2" t="s">
        <v>36</v>
      </c>
      <c r="L4224" s="2" t="s">
        <v>37</v>
      </c>
      <c r="M4224" s="2" t="n">
        <v>23080</v>
      </c>
      <c r="N4224" s="2" t="n">
        <v>7</v>
      </c>
      <c r="O4224" s="2" t="n">
        <v>19</v>
      </c>
      <c r="P4224" s="2" t="n">
        <v>1</v>
      </c>
      <c r="Q4224" s="2" t="n">
        <v>20</v>
      </c>
      <c r="R4224" s="2" t="n">
        <v>4</v>
      </c>
      <c r="S4224" s="2" t="n">
        <v>4</v>
      </c>
      <c r="T4224" s="2" t="n">
        <v>1</v>
      </c>
      <c r="U4224" s="2" t="n">
        <v>3</v>
      </c>
      <c r="V4224" s="2" t="n">
        <v>1</v>
      </c>
      <c r="W4224" s="2" t="n">
        <v>3</v>
      </c>
      <c r="X4224" s="2" t="n">
        <v>2</v>
      </c>
      <c r="Y4224" s="2" t="n">
        <v>2</v>
      </c>
      <c r="Z4224" s="2" t="n">
        <v>3</v>
      </c>
    </row>
    <row r="4225" customFormat="false" ht="15" hidden="false" customHeight="true" outlineLevel="0" collapsed="false">
      <c r="A4225" s="2" t="n">
        <v>29</v>
      </c>
      <c r="B4225" s="2" t="s">
        <v>26</v>
      </c>
      <c r="C4225" s="2" t="s">
        <v>27</v>
      </c>
      <c r="D4225" s="2" t="s">
        <v>35</v>
      </c>
      <c r="E4225" s="2" t="n">
        <v>28</v>
      </c>
      <c r="F4225" s="2" t="n">
        <v>4</v>
      </c>
      <c r="G4225" s="2" t="s">
        <v>29</v>
      </c>
      <c r="H4225" s="2" t="n">
        <v>4224</v>
      </c>
      <c r="I4225" s="2" t="s">
        <v>30</v>
      </c>
      <c r="J4225" s="2" t="n">
        <v>1</v>
      </c>
      <c r="K4225" s="2" t="s">
        <v>48</v>
      </c>
      <c r="L4225" s="2" t="s">
        <v>32</v>
      </c>
      <c r="M4225" s="2" t="n">
        <v>48410</v>
      </c>
      <c r="N4225" s="2" t="n">
        <v>0</v>
      </c>
      <c r="O4225" s="2" t="n">
        <v>11</v>
      </c>
      <c r="P4225" s="2" t="n">
        <v>0</v>
      </c>
      <c r="Q4225" s="2" t="n">
        <v>6</v>
      </c>
      <c r="R4225" s="2" t="n">
        <v>3</v>
      </c>
      <c r="S4225" s="2" t="n">
        <v>5</v>
      </c>
      <c r="T4225" s="2" t="n">
        <v>0</v>
      </c>
      <c r="U4225" s="2" t="n">
        <v>4</v>
      </c>
      <c r="V4225" s="2" t="n">
        <v>3</v>
      </c>
      <c r="W4225" s="2" t="n">
        <v>2</v>
      </c>
      <c r="X4225" s="2" t="n">
        <v>3</v>
      </c>
      <c r="Y4225" s="2" t="n">
        <v>3</v>
      </c>
      <c r="Z4225" s="2" t="n">
        <v>3</v>
      </c>
    </row>
    <row r="4226" customFormat="false" ht="15" hidden="false" customHeight="true" outlineLevel="0" collapsed="false">
      <c r="A4226" s="2" t="n">
        <v>31</v>
      </c>
      <c r="B4226" s="2" t="s">
        <v>26</v>
      </c>
      <c r="C4226" s="2" t="s">
        <v>27</v>
      </c>
      <c r="D4226" s="2" t="s">
        <v>35</v>
      </c>
      <c r="E4226" s="2" t="n">
        <v>3</v>
      </c>
      <c r="F4226" s="2" t="n">
        <v>2</v>
      </c>
      <c r="G4226" s="2" t="s">
        <v>43</v>
      </c>
      <c r="H4226" s="2" t="n">
        <v>4225</v>
      </c>
      <c r="I4226" s="2" t="s">
        <v>30</v>
      </c>
      <c r="J4226" s="2" t="n">
        <v>3</v>
      </c>
      <c r="K4226" s="2" t="s">
        <v>40</v>
      </c>
      <c r="L4226" s="2" t="s">
        <v>37</v>
      </c>
      <c r="M4226" s="2" t="n">
        <v>42850</v>
      </c>
      <c r="N4226" s="2" t="n">
        <v>1</v>
      </c>
      <c r="O4226" s="2" t="n">
        <v>21</v>
      </c>
      <c r="P4226" s="2" t="n">
        <v>1</v>
      </c>
      <c r="Q4226" s="2" t="n">
        <v>1</v>
      </c>
      <c r="R4226" s="2" t="n">
        <v>2</v>
      </c>
      <c r="S4226" s="2" t="n">
        <v>1</v>
      </c>
      <c r="T4226" s="2" t="n">
        <v>1</v>
      </c>
      <c r="U4226" s="2" t="n">
        <v>0</v>
      </c>
      <c r="V4226" s="2" t="n">
        <v>3</v>
      </c>
      <c r="W4226" s="2" t="n">
        <v>2</v>
      </c>
      <c r="X4226" s="2" t="n">
        <v>3</v>
      </c>
      <c r="Y4226" s="2" t="n">
        <v>1</v>
      </c>
      <c r="Z4226" s="2" t="n">
        <v>4</v>
      </c>
    </row>
    <row r="4227" customFormat="false" ht="15" hidden="false" customHeight="true" outlineLevel="0" collapsed="false">
      <c r="A4227" s="2" t="n">
        <v>32</v>
      </c>
      <c r="B4227" s="2" t="s">
        <v>26</v>
      </c>
      <c r="C4227" s="2" t="s">
        <v>27</v>
      </c>
      <c r="D4227" s="2" t="s">
        <v>28</v>
      </c>
      <c r="E4227" s="2" t="n">
        <v>3</v>
      </c>
      <c r="F4227" s="2" t="n">
        <v>4</v>
      </c>
      <c r="G4227" s="2" t="s">
        <v>29</v>
      </c>
      <c r="H4227" s="2" t="n">
        <v>4226</v>
      </c>
      <c r="I4227" s="2" t="s">
        <v>39</v>
      </c>
      <c r="J4227" s="2" t="n">
        <v>2</v>
      </c>
      <c r="K4227" s="2" t="s">
        <v>47</v>
      </c>
      <c r="L4227" s="2" t="s">
        <v>32</v>
      </c>
      <c r="M4227" s="2" t="n">
        <v>97150</v>
      </c>
      <c r="N4227" s="2" t="n">
        <v>1</v>
      </c>
      <c r="O4227" s="2" t="n">
        <v>15</v>
      </c>
      <c r="P4227" s="2" t="n">
        <v>1</v>
      </c>
      <c r="Q4227" s="2" t="n">
        <v>10</v>
      </c>
      <c r="R4227" s="2" t="n">
        <v>1</v>
      </c>
      <c r="S4227" s="2" t="n">
        <v>10</v>
      </c>
      <c r="T4227" s="2" t="n">
        <v>0</v>
      </c>
      <c r="U4227" s="2" t="n">
        <v>9</v>
      </c>
      <c r="V4227" s="2" t="n">
        <v>2</v>
      </c>
      <c r="W4227" s="2" t="n">
        <v>2</v>
      </c>
      <c r="X4227" s="2" t="n">
        <v>3</v>
      </c>
      <c r="Y4227" s="2" t="n">
        <v>2</v>
      </c>
      <c r="Z4227" s="2" t="n">
        <v>3</v>
      </c>
    </row>
    <row r="4228" customFormat="false" ht="15" hidden="false" customHeight="true" outlineLevel="0" collapsed="false">
      <c r="A4228" s="2" t="n">
        <v>36</v>
      </c>
      <c r="B4228" s="2" t="s">
        <v>26</v>
      </c>
      <c r="C4228" s="2" t="s">
        <v>27</v>
      </c>
      <c r="D4228" s="2" t="s">
        <v>35</v>
      </c>
      <c r="E4228" s="2" t="n">
        <v>2</v>
      </c>
      <c r="F4228" s="2" t="n">
        <v>3</v>
      </c>
      <c r="G4228" s="2" t="s">
        <v>29</v>
      </c>
      <c r="H4228" s="2" t="n">
        <v>4227</v>
      </c>
      <c r="I4228" s="2" t="s">
        <v>39</v>
      </c>
      <c r="J4228" s="2" t="n">
        <v>2</v>
      </c>
      <c r="K4228" s="2" t="s">
        <v>48</v>
      </c>
      <c r="L4228" s="2" t="s">
        <v>32</v>
      </c>
      <c r="M4228" s="2" t="n">
        <v>43200</v>
      </c>
      <c r="N4228" s="2"/>
      <c r="O4228" s="2" t="n">
        <v>17</v>
      </c>
      <c r="P4228" s="2" t="n">
        <v>0</v>
      </c>
      <c r="Q4228" s="2" t="n">
        <v>5</v>
      </c>
      <c r="R4228" s="2" t="n">
        <v>2</v>
      </c>
      <c r="S4228" s="2" t="n">
        <v>1</v>
      </c>
      <c r="T4228" s="2" t="n">
        <v>0</v>
      </c>
      <c r="U4228" s="2" t="n">
        <v>0</v>
      </c>
      <c r="V4228" s="2" t="n">
        <v>2</v>
      </c>
      <c r="W4228" s="2" t="n">
        <v>4</v>
      </c>
      <c r="X4228" s="2" t="n">
        <v>3</v>
      </c>
      <c r="Y4228" s="2" t="n">
        <v>3</v>
      </c>
      <c r="Z4228" s="2" t="n">
        <v>3</v>
      </c>
    </row>
    <row r="4229" customFormat="false" ht="15" hidden="false" customHeight="true" outlineLevel="0" collapsed="false">
      <c r="A4229" s="2" t="n">
        <v>31</v>
      </c>
      <c r="B4229" s="2" t="s">
        <v>26</v>
      </c>
      <c r="C4229" s="2" t="s">
        <v>27</v>
      </c>
      <c r="D4229" s="2" t="s">
        <v>35</v>
      </c>
      <c r="E4229" s="2" t="n">
        <v>27</v>
      </c>
      <c r="F4229" s="2" t="n">
        <v>3</v>
      </c>
      <c r="G4229" s="2" t="s">
        <v>43</v>
      </c>
      <c r="H4229" s="2" t="n">
        <v>4228</v>
      </c>
      <c r="I4229" s="2" t="s">
        <v>30</v>
      </c>
      <c r="J4229" s="2" t="n">
        <v>2</v>
      </c>
      <c r="K4229" s="2" t="s">
        <v>44</v>
      </c>
      <c r="L4229" s="2" t="s">
        <v>37</v>
      </c>
      <c r="M4229" s="2" t="n">
        <v>21320</v>
      </c>
      <c r="N4229" s="2" t="n">
        <v>1</v>
      </c>
      <c r="O4229" s="2" t="n">
        <v>18</v>
      </c>
      <c r="P4229" s="2" t="n">
        <v>0</v>
      </c>
      <c r="Q4229" s="2" t="n">
        <v>11</v>
      </c>
      <c r="R4229" s="2" t="n">
        <v>3</v>
      </c>
      <c r="S4229" s="2" t="n">
        <v>11</v>
      </c>
      <c r="T4229" s="2" t="n">
        <v>1</v>
      </c>
      <c r="U4229" s="2" t="n">
        <v>8</v>
      </c>
      <c r="V4229" s="2" t="n">
        <v>3</v>
      </c>
      <c r="W4229" s="2" t="n">
        <v>4</v>
      </c>
      <c r="X4229" s="2" t="n">
        <v>3</v>
      </c>
      <c r="Y4229" s="2" t="n">
        <v>3</v>
      </c>
      <c r="Z4229" s="2" t="n">
        <v>3</v>
      </c>
    </row>
    <row r="4230" customFormat="false" ht="15" hidden="false" customHeight="true" outlineLevel="0" collapsed="false">
      <c r="A4230" s="2" t="n">
        <v>35</v>
      </c>
      <c r="B4230" s="2" t="s">
        <v>26</v>
      </c>
      <c r="C4230" s="2" t="s">
        <v>27</v>
      </c>
      <c r="D4230" s="2" t="s">
        <v>35</v>
      </c>
      <c r="E4230" s="2" t="n">
        <v>2</v>
      </c>
      <c r="F4230" s="2" t="n">
        <v>4</v>
      </c>
      <c r="G4230" s="2" t="s">
        <v>43</v>
      </c>
      <c r="H4230" s="2" t="n">
        <v>4229</v>
      </c>
      <c r="I4230" s="2" t="s">
        <v>39</v>
      </c>
      <c r="J4230" s="2" t="n">
        <v>2</v>
      </c>
      <c r="K4230" s="2" t="s">
        <v>31</v>
      </c>
      <c r="L4230" s="2" t="s">
        <v>37</v>
      </c>
      <c r="M4230" s="2" t="n">
        <v>101240</v>
      </c>
      <c r="N4230" s="2" t="n">
        <v>0</v>
      </c>
      <c r="O4230" s="2" t="n">
        <v>14</v>
      </c>
      <c r="P4230" s="2" t="n">
        <v>1</v>
      </c>
      <c r="Q4230" s="2" t="n">
        <v>16</v>
      </c>
      <c r="R4230" s="2" t="n">
        <v>2</v>
      </c>
      <c r="S4230" s="2" t="n">
        <v>15</v>
      </c>
      <c r="T4230" s="2" t="n">
        <v>2</v>
      </c>
      <c r="U4230" s="2" t="n">
        <v>8</v>
      </c>
      <c r="V4230" s="2" t="n">
        <v>3</v>
      </c>
      <c r="W4230" s="2" t="n">
        <v>1</v>
      </c>
      <c r="X4230" s="2" t="n">
        <v>3</v>
      </c>
      <c r="Y4230" s="2" t="n">
        <v>4</v>
      </c>
      <c r="Z4230" s="2" t="n">
        <v>3</v>
      </c>
    </row>
    <row r="4231" customFormat="false" ht="15" hidden="false" customHeight="true" outlineLevel="0" collapsed="false">
      <c r="A4231" s="2" t="n">
        <v>45</v>
      </c>
      <c r="B4231" s="2" t="s">
        <v>26</v>
      </c>
      <c r="C4231" s="2" t="s">
        <v>27</v>
      </c>
      <c r="D4231" s="2" t="s">
        <v>42</v>
      </c>
      <c r="E4231" s="2" t="n">
        <v>14</v>
      </c>
      <c r="F4231" s="2" t="n">
        <v>3</v>
      </c>
      <c r="G4231" s="2" t="s">
        <v>42</v>
      </c>
      <c r="H4231" s="2" t="n">
        <v>4230</v>
      </c>
      <c r="I4231" s="2" t="s">
        <v>30</v>
      </c>
      <c r="J4231" s="2" t="n">
        <v>1</v>
      </c>
      <c r="K4231" s="2" t="s">
        <v>40</v>
      </c>
      <c r="L4231" s="2" t="s">
        <v>32</v>
      </c>
      <c r="M4231" s="2" t="n">
        <v>54730</v>
      </c>
      <c r="N4231" s="2" t="n">
        <v>4</v>
      </c>
      <c r="O4231" s="2" t="n">
        <v>13</v>
      </c>
      <c r="P4231" s="2" t="n">
        <v>0</v>
      </c>
      <c r="Q4231" s="2" t="n">
        <v>17</v>
      </c>
      <c r="R4231" s="2" t="n">
        <v>3</v>
      </c>
      <c r="S4231" s="2" t="n">
        <v>0</v>
      </c>
      <c r="T4231" s="2" t="n">
        <v>0</v>
      </c>
      <c r="U4231" s="2" t="n">
        <v>0</v>
      </c>
      <c r="V4231" s="2" t="n">
        <v>4</v>
      </c>
      <c r="W4231" s="2" t="n">
        <v>1</v>
      </c>
      <c r="X4231" s="2" t="n">
        <v>4</v>
      </c>
      <c r="Y4231" s="2" t="n">
        <v>1</v>
      </c>
      <c r="Z4231" s="2" t="n">
        <v>3</v>
      </c>
    </row>
    <row r="4232" customFormat="false" ht="15" hidden="false" customHeight="true" outlineLevel="0" collapsed="false">
      <c r="A4232" s="2" t="n">
        <v>37</v>
      </c>
      <c r="B4232" s="2" t="s">
        <v>26</v>
      </c>
      <c r="C4232" s="2" t="s">
        <v>27</v>
      </c>
      <c r="D4232" s="2" t="s">
        <v>35</v>
      </c>
      <c r="E4232" s="2" t="n">
        <v>1</v>
      </c>
      <c r="F4232" s="2" t="n">
        <v>3</v>
      </c>
      <c r="G4232" s="2" t="s">
        <v>29</v>
      </c>
      <c r="H4232" s="2" t="n">
        <v>4231</v>
      </c>
      <c r="I4232" s="2" t="s">
        <v>30</v>
      </c>
      <c r="J4232" s="2" t="n">
        <v>3</v>
      </c>
      <c r="K4232" s="2" t="s">
        <v>40</v>
      </c>
      <c r="L4232" s="2" t="s">
        <v>37</v>
      </c>
      <c r="M4232" s="2" t="n">
        <v>52070</v>
      </c>
      <c r="N4232" s="2" t="n">
        <v>4</v>
      </c>
      <c r="O4232" s="2" t="n">
        <v>17</v>
      </c>
      <c r="P4232" s="2" t="n">
        <v>3</v>
      </c>
      <c r="Q4232" s="2" t="n">
        <v>16</v>
      </c>
      <c r="R4232" s="2" t="n">
        <v>3</v>
      </c>
      <c r="S4232" s="2" t="n">
        <v>5</v>
      </c>
      <c r="T4232" s="2" t="n">
        <v>0</v>
      </c>
      <c r="U4232" s="2" t="n">
        <v>2</v>
      </c>
      <c r="V4232" s="2" t="n">
        <v>1</v>
      </c>
      <c r="W4232" s="2" t="n">
        <v>3</v>
      </c>
      <c r="X4232" s="2" t="n">
        <v>4</v>
      </c>
      <c r="Y4232" s="2" t="n">
        <v>3</v>
      </c>
      <c r="Z4232" s="2" t="n">
        <v>3</v>
      </c>
    </row>
    <row r="4233" customFormat="false" ht="15" hidden="false" customHeight="true" outlineLevel="0" collapsed="false">
      <c r="A4233" s="2" t="n">
        <v>46</v>
      </c>
      <c r="B4233" s="2" t="s">
        <v>26</v>
      </c>
      <c r="C4233" s="2" t="s">
        <v>27</v>
      </c>
      <c r="D4233" s="2" t="s">
        <v>35</v>
      </c>
      <c r="E4233" s="2" t="n">
        <v>9</v>
      </c>
      <c r="F4233" s="2" t="n">
        <v>3</v>
      </c>
      <c r="G4233" s="2" t="s">
        <v>43</v>
      </c>
      <c r="H4233" s="2" t="n">
        <v>4232</v>
      </c>
      <c r="I4233" s="2" t="s">
        <v>39</v>
      </c>
      <c r="J4233" s="2" t="n">
        <v>3</v>
      </c>
      <c r="K4233" s="2" t="s">
        <v>49</v>
      </c>
      <c r="L4233" s="2" t="s">
        <v>46</v>
      </c>
      <c r="M4233" s="2" t="n">
        <v>164370</v>
      </c>
      <c r="N4233" s="2" t="n">
        <v>8</v>
      </c>
      <c r="O4233" s="2" t="n">
        <v>15</v>
      </c>
      <c r="P4233" s="2" t="n">
        <v>1</v>
      </c>
      <c r="Q4233" s="2" t="n">
        <v>16</v>
      </c>
      <c r="R4233" s="2" t="n">
        <v>0</v>
      </c>
      <c r="S4233" s="2" t="n">
        <v>4</v>
      </c>
      <c r="T4233" s="2" t="n">
        <v>0</v>
      </c>
      <c r="U4233" s="2" t="n">
        <v>2</v>
      </c>
      <c r="V4233" s="2" t="n">
        <v>2</v>
      </c>
      <c r="W4233" s="2" t="n">
        <v>2</v>
      </c>
      <c r="X4233" s="2" t="n">
        <v>3</v>
      </c>
      <c r="Y4233" s="2" t="n">
        <v>3</v>
      </c>
      <c r="Z4233" s="2" t="n">
        <v>3</v>
      </c>
    </row>
    <row r="4234" customFormat="false" ht="15" hidden="false" customHeight="true" outlineLevel="0" collapsed="false">
      <c r="A4234" s="2" t="n">
        <v>30</v>
      </c>
      <c r="B4234" s="2" t="s">
        <v>26</v>
      </c>
      <c r="C4234" s="2" t="s">
        <v>27</v>
      </c>
      <c r="D4234" s="2" t="s">
        <v>28</v>
      </c>
      <c r="E4234" s="2" t="n">
        <v>18</v>
      </c>
      <c r="F4234" s="2" t="n">
        <v>3</v>
      </c>
      <c r="G4234" s="2" t="s">
        <v>29</v>
      </c>
      <c r="H4234" s="2" t="n">
        <v>4233</v>
      </c>
      <c r="I4234" s="2" t="s">
        <v>39</v>
      </c>
      <c r="J4234" s="2" t="n">
        <v>4</v>
      </c>
      <c r="K4234" s="2" t="s">
        <v>42</v>
      </c>
      <c r="L4234" s="2" t="s">
        <v>32</v>
      </c>
      <c r="M4234" s="2" t="n">
        <v>22960</v>
      </c>
      <c r="N4234" s="2" t="n">
        <v>1</v>
      </c>
      <c r="O4234" s="2" t="n">
        <v>18</v>
      </c>
      <c r="P4234" s="2" t="n">
        <v>1</v>
      </c>
      <c r="Q4234" s="2" t="n">
        <v>10</v>
      </c>
      <c r="R4234" s="2" t="n">
        <v>2</v>
      </c>
      <c r="S4234" s="2" t="n">
        <v>10</v>
      </c>
      <c r="T4234" s="2" t="n">
        <v>3</v>
      </c>
      <c r="U4234" s="2" t="n">
        <v>0</v>
      </c>
      <c r="V4234" s="2" t="n">
        <v>4</v>
      </c>
      <c r="W4234" s="2" t="n">
        <v>4</v>
      </c>
      <c r="X4234" s="2" t="n">
        <v>2</v>
      </c>
      <c r="Y4234" s="2" t="n">
        <v>3</v>
      </c>
      <c r="Z4234" s="2" t="n">
        <v>3</v>
      </c>
    </row>
    <row r="4235" customFormat="false" ht="15" hidden="false" customHeight="true" outlineLevel="0" collapsed="false">
      <c r="A4235" s="2" t="n">
        <v>35</v>
      </c>
      <c r="B4235" s="2" t="s">
        <v>26</v>
      </c>
      <c r="C4235" s="2" t="s">
        <v>27</v>
      </c>
      <c r="D4235" s="2" t="s">
        <v>35</v>
      </c>
      <c r="E4235" s="2" t="n">
        <v>20</v>
      </c>
      <c r="F4235" s="2" t="n">
        <v>4</v>
      </c>
      <c r="G4235" s="2" t="s">
        <v>29</v>
      </c>
      <c r="H4235" s="2" t="n">
        <v>4234</v>
      </c>
      <c r="I4235" s="2" t="s">
        <v>30</v>
      </c>
      <c r="J4235" s="2" t="n">
        <v>3</v>
      </c>
      <c r="K4235" s="2" t="s">
        <v>42</v>
      </c>
      <c r="L4235" s="2" t="s">
        <v>37</v>
      </c>
      <c r="M4235" s="2" t="n">
        <v>40690</v>
      </c>
      <c r="N4235" s="2" t="n">
        <v>1</v>
      </c>
      <c r="O4235" s="2" t="n">
        <v>13</v>
      </c>
      <c r="P4235" s="2" t="n">
        <v>0</v>
      </c>
      <c r="Q4235" s="2" t="n">
        <v>6</v>
      </c>
      <c r="R4235" s="2" t="n">
        <v>5</v>
      </c>
      <c r="S4235" s="2" t="n">
        <v>6</v>
      </c>
      <c r="T4235" s="2" t="n">
        <v>0</v>
      </c>
      <c r="U4235" s="2" t="n">
        <v>4</v>
      </c>
      <c r="V4235" s="2" t="n">
        <v>2</v>
      </c>
      <c r="W4235" s="2" t="n">
        <v>3</v>
      </c>
      <c r="X4235" s="2" t="n">
        <v>3</v>
      </c>
      <c r="Y4235" s="2" t="n">
        <v>3</v>
      </c>
      <c r="Z4235" s="2" t="n">
        <v>3</v>
      </c>
    </row>
    <row r="4236" customFormat="false" ht="15" hidden="false" customHeight="true" outlineLevel="0" collapsed="false">
      <c r="A4236" s="2" t="n">
        <v>55</v>
      </c>
      <c r="B4236" s="2" t="s">
        <v>26</v>
      </c>
      <c r="C4236" s="2" t="s">
        <v>27</v>
      </c>
      <c r="D4236" s="2" t="s">
        <v>35</v>
      </c>
      <c r="E4236" s="2" t="n">
        <v>2</v>
      </c>
      <c r="F4236" s="2" t="n">
        <v>3</v>
      </c>
      <c r="G4236" s="2" t="s">
        <v>29</v>
      </c>
      <c r="H4236" s="2" t="n">
        <v>4235</v>
      </c>
      <c r="I4236" s="2" t="s">
        <v>30</v>
      </c>
      <c r="J4236" s="2" t="n">
        <v>2</v>
      </c>
      <c r="K4236" s="2" t="s">
        <v>45</v>
      </c>
      <c r="L4236" s="2" t="s">
        <v>32</v>
      </c>
      <c r="M4236" s="2" t="n">
        <v>74410</v>
      </c>
      <c r="N4236" s="2" t="n">
        <v>3</v>
      </c>
      <c r="O4236" s="2" t="n">
        <v>12</v>
      </c>
      <c r="P4236" s="2" t="n">
        <v>1</v>
      </c>
      <c r="Q4236" s="2" t="n">
        <v>24</v>
      </c>
      <c r="R4236" s="2" t="n">
        <v>4</v>
      </c>
      <c r="S4236" s="2" t="n">
        <v>1</v>
      </c>
      <c r="T4236" s="2" t="n">
        <v>1</v>
      </c>
      <c r="U4236" s="2" t="n">
        <v>0</v>
      </c>
      <c r="V4236" s="2" t="n">
        <v>1</v>
      </c>
      <c r="W4236" s="2" t="n">
        <v>4</v>
      </c>
      <c r="X4236" s="2" t="n">
        <v>3</v>
      </c>
      <c r="Y4236" s="2" t="n">
        <v>3</v>
      </c>
      <c r="Z4236" s="2" t="n">
        <v>3</v>
      </c>
    </row>
    <row r="4237" customFormat="false" ht="15" hidden="false" customHeight="true" outlineLevel="0" collapsed="false">
      <c r="A4237" s="2" t="n">
        <v>38</v>
      </c>
      <c r="B4237" s="2" t="s">
        <v>26</v>
      </c>
      <c r="C4237" s="2" t="s">
        <v>41</v>
      </c>
      <c r="D4237" s="2" t="s">
        <v>28</v>
      </c>
      <c r="E4237" s="2" t="n">
        <v>11</v>
      </c>
      <c r="F4237" s="2" t="n">
        <v>1</v>
      </c>
      <c r="G4237" s="2" t="s">
        <v>50</v>
      </c>
      <c r="H4237" s="2" t="n">
        <v>4236</v>
      </c>
      <c r="I4237" s="2" t="s">
        <v>39</v>
      </c>
      <c r="J4237" s="2" t="n">
        <v>2</v>
      </c>
      <c r="K4237" s="2" t="s">
        <v>45</v>
      </c>
      <c r="L4237" s="2" t="s">
        <v>46</v>
      </c>
      <c r="M4237" s="2" t="n">
        <v>24300</v>
      </c>
      <c r="N4237" s="2" t="n">
        <v>7</v>
      </c>
      <c r="O4237" s="2" t="n">
        <v>13</v>
      </c>
      <c r="P4237" s="2" t="n">
        <v>2</v>
      </c>
      <c r="Q4237" s="2" t="n">
        <v>17</v>
      </c>
      <c r="R4237" s="2" t="n">
        <v>2</v>
      </c>
      <c r="S4237" s="2" t="n">
        <v>13</v>
      </c>
      <c r="T4237" s="2" t="n">
        <v>1</v>
      </c>
      <c r="U4237" s="2" t="n">
        <v>9</v>
      </c>
      <c r="V4237" s="2" t="n">
        <v>2</v>
      </c>
      <c r="W4237" s="2" t="n">
        <v>4</v>
      </c>
      <c r="X4237" s="2" t="n">
        <v>3</v>
      </c>
      <c r="Y4237" s="2" t="n">
        <v>4</v>
      </c>
      <c r="Z4237" s="2" t="n">
        <v>3</v>
      </c>
    </row>
    <row r="4238" customFormat="false" ht="15" hidden="false" customHeight="true" outlineLevel="0" collapsed="false">
      <c r="A4238" s="2" t="n">
        <v>34</v>
      </c>
      <c r="B4238" s="2" t="s">
        <v>26</v>
      </c>
      <c r="C4238" s="2" t="s">
        <v>27</v>
      </c>
      <c r="D4238" s="2" t="s">
        <v>35</v>
      </c>
      <c r="E4238" s="2" t="n">
        <v>8</v>
      </c>
      <c r="F4238" s="2" t="n">
        <v>2</v>
      </c>
      <c r="G4238" s="2" t="s">
        <v>43</v>
      </c>
      <c r="H4238" s="2" t="n">
        <v>4237</v>
      </c>
      <c r="I4238" s="2" t="s">
        <v>39</v>
      </c>
      <c r="J4238" s="2" t="n">
        <v>1</v>
      </c>
      <c r="K4238" s="2" t="s">
        <v>36</v>
      </c>
      <c r="L4238" s="2" t="s">
        <v>32</v>
      </c>
      <c r="M4238" s="2" t="n">
        <v>58780</v>
      </c>
      <c r="N4238" s="2" t="n">
        <v>1</v>
      </c>
      <c r="O4238" s="2" t="n">
        <v>14</v>
      </c>
      <c r="P4238" s="2" t="n">
        <v>0</v>
      </c>
      <c r="Q4238" s="2" t="n">
        <v>5</v>
      </c>
      <c r="R4238" s="2" t="n">
        <v>1</v>
      </c>
      <c r="S4238" s="2" t="n">
        <v>5</v>
      </c>
      <c r="T4238" s="2" t="n">
        <v>1</v>
      </c>
      <c r="U4238" s="2" t="n">
        <v>3</v>
      </c>
      <c r="V4238" s="2" t="n">
        <v>1</v>
      </c>
      <c r="W4238" s="2" t="n">
        <v>2</v>
      </c>
      <c r="X4238" s="2" t="n">
        <v>3</v>
      </c>
      <c r="Y4238" s="2" t="n">
        <v>3</v>
      </c>
      <c r="Z4238" s="2" t="n">
        <v>3</v>
      </c>
    </row>
    <row r="4239" customFormat="false" ht="15" hidden="false" customHeight="true" outlineLevel="0" collapsed="false">
      <c r="A4239" s="2" t="n">
        <v>56</v>
      </c>
      <c r="B4239" s="2" t="s">
        <v>26</v>
      </c>
      <c r="C4239" s="2" t="s">
        <v>27</v>
      </c>
      <c r="D4239" s="2" t="s">
        <v>42</v>
      </c>
      <c r="E4239" s="2" t="n">
        <v>2</v>
      </c>
      <c r="F4239" s="2" t="n">
        <v>1</v>
      </c>
      <c r="G4239" s="2" t="s">
        <v>43</v>
      </c>
      <c r="H4239" s="2" t="n">
        <v>4238</v>
      </c>
      <c r="I4239" s="2" t="s">
        <v>39</v>
      </c>
      <c r="J4239" s="2" t="n">
        <v>2</v>
      </c>
      <c r="K4239" s="2" t="s">
        <v>40</v>
      </c>
      <c r="L4239" s="2" t="s">
        <v>37</v>
      </c>
      <c r="M4239" s="2" t="n">
        <v>26440</v>
      </c>
      <c r="N4239" s="2" t="n">
        <v>4</v>
      </c>
      <c r="O4239" s="2" t="n">
        <v>11</v>
      </c>
      <c r="P4239" s="2" t="n">
        <v>1</v>
      </c>
      <c r="Q4239" s="2" t="n">
        <v>37</v>
      </c>
      <c r="R4239" s="2" t="n">
        <v>2</v>
      </c>
      <c r="S4239" s="2" t="n">
        <v>6</v>
      </c>
      <c r="T4239" s="2" t="n">
        <v>0</v>
      </c>
      <c r="U4239" s="2" t="n">
        <v>2</v>
      </c>
      <c r="V4239" s="2" t="n">
        <v>4</v>
      </c>
      <c r="W4239" s="2" t="n">
        <v>4</v>
      </c>
      <c r="X4239" s="2" t="n">
        <v>2</v>
      </c>
      <c r="Y4239" s="2" t="n">
        <v>3</v>
      </c>
      <c r="Z4239" s="2" t="n">
        <v>3</v>
      </c>
    </row>
    <row r="4240" customFormat="false" ht="15" hidden="false" customHeight="true" outlineLevel="0" collapsed="false">
      <c r="A4240" s="2" t="n">
        <v>23</v>
      </c>
      <c r="B4240" s="2" t="s">
        <v>26</v>
      </c>
      <c r="C4240" s="2" t="s">
        <v>27</v>
      </c>
      <c r="D4240" s="2" t="s">
        <v>35</v>
      </c>
      <c r="E4240" s="2" t="n">
        <v>10</v>
      </c>
      <c r="F4240" s="2" t="n">
        <v>3</v>
      </c>
      <c r="G4240" s="2" t="s">
        <v>43</v>
      </c>
      <c r="H4240" s="2" t="n">
        <v>4239</v>
      </c>
      <c r="I4240" s="2" t="s">
        <v>39</v>
      </c>
      <c r="J4240" s="2" t="n">
        <v>2</v>
      </c>
      <c r="K4240" s="2" t="s">
        <v>45</v>
      </c>
      <c r="L4240" s="2" t="s">
        <v>46</v>
      </c>
      <c r="M4240" s="2" t="n">
        <v>64390</v>
      </c>
      <c r="N4240" s="2" t="n">
        <v>3</v>
      </c>
      <c r="O4240" s="2" t="n">
        <v>22</v>
      </c>
      <c r="P4240" s="2" t="n">
        <v>3</v>
      </c>
      <c r="Q4240" s="2" t="n">
        <v>3</v>
      </c>
      <c r="R4240" s="2" t="n">
        <v>2</v>
      </c>
      <c r="S4240" s="2" t="n">
        <v>0</v>
      </c>
      <c r="T4240" s="2" t="n">
        <v>0</v>
      </c>
      <c r="U4240" s="2" t="n">
        <v>0</v>
      </c>
      <c r="V4240" s="2" t="n">
        <v>3</v>
      </c>
      <c r="W4240" s="2" t="n">
        <v>1</v>
      </c>
      <c r="X4240" s="2" t="n">
        <v>3</v>
      </c>
      <c r="Y4240" s="2" t="n">
        <v>3</v>
      </c>
      <c r="Z4240" s="2" t="n">
        <v>4</v>
      </c>
    </row>
    <row r="4241" customFormat="false" ht="15" hidden="false" customHeight="true" outlineLevel="0" collapsed="false">
      <c r="A4241" s="2" t="n">
        <v>51</v>
      </c>
      <c r="B4241" s="2" t="s">
        <v>26</v>
      </c>
      <c r="C4241" s="2" t="s">
        <v>27</v>
      </c>
      <c r="D4241" s="2" t="s">
        <v>35</v>
      </c>
      <c r="E4241" s="2" t="n">
        <v>29</v>
      </c>
      <c r="F4241" s="2" t="n">
        <v>4</v>
      </c>
      <c r="G4241" s="2" t="s">
        <v>29</v>
      </c>
      <c r="H4241" s="2" t="n">
        <v>4240</v>
      </c>
      <c r="I4241" s="2" t="s">
        <v>30</v>
      </c>
      <c r="J4241" s="2" t="n">
        <v>5</v>
      </c>
      <c r="K4241" s="2" t="s">
        <v>47</v>
      </c>
      <c r="L4241" s="2" t="s">
        <v>32</v>
      </c>
      <c r="M4241" s="2" t="n">
        <v>24510</v>
      </c>
      <c r="N4241" s="2" t="n">
        <v>3</v>
      </c>
      <c r="O4241" s="2" t="n">
        <v>17</v>
      </c>
      <c r="P4241" s="2" t="n">
        <v>0</v>
      </c>
      <c r="Q4241" s="2" t="n">
        <v>10</v>
      </c>
      <c r="R4241" s="2" t="n">
        <v>2</v>
      </c>
      <c r="S4241" s="2" t="n">
        <v>4</v>
      </c>
      <c r="T4241" s="2" t="n">
        <v>0</v>
      </c>
      <c r="U4241" s="2" t="n">
        <v>3</v>
      </c>
      <c r="V4241" s="2" t="n">
        <v>4</v>
      </c>
      <c r="W4241" s="2" t="n">
        <v>4</v>
      </c>
      <c r="X4241" s="2" t="n">
        <v>3</v>
      </c>
      <c r="Y4241" s="2" t="n">
        <v>2</v>
      </c>
      <c r="Z4241" s="2" t="n">
        <v>3</v>
      </c>
    </row>
    <row r="4242" customFormat="false" ht="15" hidden="false" customHeight="true" outlineLevel="0" collapsed="false">
      <c r="A4242" s="2" t="n">
        <v>30</v>
      </c>
      <c r="B4242" s="2" t="s">
        <v>26</v>
      </c>
      <c r="C4242" s="2" t="s">
        <v>27</v>
      </c>
      <c r="D4242" s="2" t="s">
        <v>28</v>
      </c>
      <c r="E4242" s="2" t="n">
        <v>8</v>
      </c>
      <c r="F4242" s="2" t="n">
        <v>2</v>
      </c>
      <c r="G4242" s="2" t="s">
        <v>51</v>
      </c>
      <c r="H4242" s="2" t="n">
        <v>4241</v>
      </c>
      <c r="I4242" s="2" t="s">
        <v>39</v>
      </c>
      <c r="J4242" s="2" t="n">
        <v>1</v>
      </c>
      <c r="K4242" s="2" t="s">
        <v>48</v>
      </c>
      <c r="L4242" s="2" t="s">
        <v>32</v>
      </c>
      <c r="M4242" s="2" t="n">
        <v>63920</v>
      </c>
      <c r="N4242" s="2" t="n">
        <v>1</v>
      </c>
      <c r="O4242" s="2" t="n">
        <v>21</v>
      </c>
      <c r="P4242" s="2" t="n">
        <v>1</v>
      </c>
      <c r="Q4242" s="2" t="n">
        <v>11</v>
      </c>
      <c r="R4242" s="2" t="n">
        <v>2</v>
      </c>
      <c r="S4242" s="2" t="n">
        <v>11</v>
      </c>
      <c r="T4242" s="2" t="n">
        <v>10</v>
      </c>
      <c r="U4242" s="2" t="n">
        <v>8</v>
      </c>
      <c r="V4242" s="2" t="n">
        <v>3</v>
      </c>
      <c r="W4242" s="2" t="n">
        <v>4</v>
      </c>
      <c r="X4242" s="2" t="n">
        <v>3</v>
      </c>
      <c r="Y4242" s="2" t="n">
        <v>4</v>
      </c>
      <c r="Z4242" s="2" t="n">
        <v>4</v>
      </c>
    </row>
    <row r="4243" customFormat="false" ht="15" hidden="false" customHeight="true" outlineLevel="0" collapsed="false">
      <c r="A4243" s="2" t="n">
        <v>46</v>
      </c>
      <c r="B4243" s="2" t="s">
        <v>33</v>
      </c>
      <c r="C4243" s="2" t="s">
        <v>27</v>
      </c>
      <c r="D4243" s="2" t="s">
        <v>28</v>
      </c>
      <c r="E4243" s="2" t="n">
        <v>1</v>
      </c>
      <c r="F4243" s="2" t="n">
        <v>2</v>
      </c>
      <c r="G4243" s="2" t="s">
        <v>43</v>
      </c>
      <c r="H4243" s="2" t="n">
        <v>4242</v>
      </c>
      <c r="I4243" s="2" t="s">
        <v>30</v>
      </c>
      <c r="J4243" s="2" t="n">
        <v>2</v>
      </c>
      <c r="K4243" s="2" t="s">
        <v>36</v>
      </c>
      <c r="L4243" s="2" t="s">
        <v>37</v>
      </c>
      <c r="M4243" s="2" t="n">
        <v>97140</v>
      </c>
      <c r="N4243" s="2" t="n">
        <v>1</v>
      </c>
      <c r="O4243" s="2" t="n">
        <v>22</v>
      </c>
      <c r="P4243" s="2" t="n">
        <v>0</v>
      </c>
      <c r="Q4243" s="2" t="n">
        <v>9</v>
      </c>
      <c r="R4243" s="2" t="n">
        <v>0</v>
      </c>
      <c r="S4243" s="2" t="n">
        <v>9</v>
      </c>
      <c r="T4243" s="2" t="n">
        <v>4</v>
      </c>
      <c r="U4243" s="2" t="n">
        <v>7</v>
      </c>
      <c r="V4243" s="2" t="n">
        <v>3</v>
      </c>
      <c r="W4243" s="2" t="n">
        <v>4</v>
      </c>
      <c r="X4243" s="2" t="n">
        <v>3</v>
      </c>
      <c r="Y4243" s="2" t="n">
        <v>3</v>
      </c>
      <c r="Z4243" s="2" t="n">
        <v>4</v>
      </c>
    </row>
    <row r="4244" customFormat="false" ht="15" hidden="false" customHeight="true" outlineLevel="0" collapsed="false">
      <c r="A4244" s="2" t="n">
        <v>40</v>
      </c>
      <c r="B4244" s="2" t="s">
        <v>26</v>
      </c>
      <c r="C4244" s="2" t="s">
        <v>34</v>
      </c>
      <c r="D4244" s="2" t="s">
        <v>35</v>
      </c>
      <c r="E4244" s="2" t="n">
        <v>6</v>
      </c>
      <c r="F4244" s="2" t="n">
        <v>3</v>
      </c>
      <c r="G4244" s="2" t="s">
        <v>43</v>
      </c>
      <c r="H4244" s="2" t="n">
        <v>4243</v>
      </c>
      <c r="I4244" s="2" t="s">
        <v>39</v>
      </c>
      <c r="J4244" s="2" t="n">
        <v>1</v>
      </c>
      <c r="K4244" s="2" t="s">
        <v>31</v>
      </c>
      <c r="L4244" s="2" t="s">
        <v>32</v>
      </c>
      <c r="M4244" s="2" t="n">
        <v>60770</v>
      </c>
      <c r="N4244" s="2" t="n">
        <v>1</v>
      </c>
      <c r="O4244" s="2" t="n">
        <v>16</v>
      </c>
      <c r="P4244" s="2" t="n">
        <v>2</v>
      </c>
      <c r="Q4244" s="2" t="n">
        <v>22</v>
      </c>
      <c r="R4244" s="2" t="n">
        <v>2</v>
      </c>
      <c r="S4244" s="2" t="n">
        <v>22</v>
      </c>
      <c r="T4244" s="2" t="n">
        <v>11</v>
      </c>
      <c r="U4244" s="2" t="n">
        <v>11</v>
      </c>
      <c r="V4244" s="2" t="n">
        <v>3</v>
      </c>
      <c r="W4244" s="2" t="n">
        <v>2</v>
      </c>
      <c r="X4244" s="2" t="n">
        <v>2</v>
      </c>
      <c r="Y4244" s="2" t="n">
        <v>2</v>
      </c>
      <c r="Z4244" s="2" t="n">
        <v>3</v>
      </c>
    </row>
    <row r="4245" customFormat="false" ht="15" hidden="false" customHeight="true" outlineLevel="0" collapsed="false">
      <c r="A4245" s="2" t="n">
        <v>51</v>
      </c>
      <c r="B4245" s="2" t="s">
        <v>26</v>
      </c>
      <c r="C4245" s="2" t="s">
        <v>27</v>
      </c>
      <c r="D4245" s="2" t="s">
        <v>35</v>
      </c>
      <c r="E4245" s="2" t="n">
        <v>8</v>
      </c>
      <c r="F4245" s="2" t="n">
        <v>4</v>
      </c>
      <c r="G4245" s="2" t="s">
        <v>29</v>
      </c>
      <c r="H4245" s="2" t="n">
        <v>4244</v>
      </c>
      <c r="I4245" s="2" t="s">
        <v>30</v>
      </c>
      <c r="J4245" s="2" t="n">
        <v>5</v>
      </c>
      <c r="K4245" s="2" t="s">
        <v>48</v>
      </c>
      <c r="L4245" s="2" t="s">
        <v>37</v>
      </c>
      <c r="M4245" s="2" t="n">
        <v>24500</v>
      </c>
      <c r="N4245" s="2" t="n">
        <v>0</v>
      </c>
      <c r="O4245" s="2" t="n">
        <v>12</v>
      </c>
      <c r="P4245" s="2" t="n">
        <v>1</v>
      </c>
      <c r="Q4245" s="2" t="n">
        <v>11</v>
      </c>
      <c r="R4245" s="2" t="n">
        <v>2</v>
      </c>
      <c r="S4245" s="2" t="n">
        <v>10</v>
      </c>
      <c r="T4245" s="2" t="n">
        <v>1</v>
      </c>
      <c r="U4245" s="2" t="n">
        <v>0</v>
      </c>
      <c r="V4245" s="2" t="n">
        <v>3</v>
      </c>
      <c r="W4245" s="2" t="n">
        <v>4</v>
      </c>
      <c r="X4245" s="2" t="n">
        <v>1</v>
      </c>
      <c r="Y4245" s="2" t="n">
        <v>3</v>
      </c>
      <c r="Z4245" s="2" t="n">
        <v>3</v>
      </c>
    </row>
    <row r="4246" customFormat="false" ht="15" hidden="false" customHeight="true" outlineLevel="0" collapsed="false">
      <c r="A4246" s="2" t="n">
        <v>30</v>
      </c>
      <c r="B4246" s="2" t="s">
        <v>26</v>
      </c>
      <c r="C4246" s="2" t="s">
        <v>27</v>
      </c>
      <c r="D4246" s="2" t="s">
        <v>35</v>
      </c>
      <c r="E4246" s="2" t="n">
        <v>9</v>
      </c>
      <c r="F4246" s="2" t="n">
        <v>3</v>
      </c>
      <c r="G4246" s="2" t="s">
        <v>29</v>
      </c>
      <c r="H4246" s="2" t="n">
        <v>4245</v>
      </c>
      <c r="I4246" s="2" t="s">
        <v>39</v>
      </c>
      <c r="J4246" s="2" t="n">
        <v>1</v>
      </c>
      <c r="K4246" s="2" t="s">
        <v>47</v>
      </c>
      <c r="L4246" s="2" t="s">
        <v>46</v>
      </c>
      <c r="M4246" s="2" t="n">
        <v>92500</v>
      </c>
      <c r="N4246" s="2" t="n">
        <v>1</v>
      </c>
      <c r="O4246" s="2" t="n">
        <v>12</v>
      </c>
      <c r="P4246" s="2" t="n">
        <v>3</v>
      </c>
      <c r="Q4246" s="2" t="n">
        <v>11</v>
      </c>
      <c r="R4246" s="2" t="n">
        <v>0</v>
      </c>
      <c r="S4246" s="2" t="n">
        <v>11</v>
      </c>
      <c r="T4246" s="2" t="n">
        <v>2</v>
      </c>
      <c r="U4246" s="2" t="n">
        <v>7</v>
      </c>
      <c r="V4246" s="2" t="n">
        <v>3</v>
      </c>
      <c r="W4246" s="2" t="n">
        <v>2</v>
      </c>
      <c r="X4246" s="2" t="n">
        <v>2</v>
      </c>
      <c r="Y4246" s="2" t="n">
        <v>3</v>
      </c>
      <c r="Z4246" s="2" t="n">
        <v>3</v>
      </c>
    </row>
    <row r="4247" customFormat="false" ht="15" hidden="false" customHeight="true" outlineLevel="0" collapsed="false">
      <c r="A4247" s="2" t="n">
        <v>46</v>
      </c>
      <c r="B4247" s="2" t="s">
        <v>26</v>
      </c>
      <c r="C4247" s="2" t="s">
        <v>34</v>
      </c>
      <c r="D4247" s="2" t="s">
        <v>35</v>
      </c>
      <c r="E4247" s="2" t="n">
        <v>12</v>
      </c>
      <c r="F4247" s="2" t="n">
        <v>1</v>
      </c>
      <c r="G4247" s="2" t="s">
        <v>43</v>
      </c>
      <c r="H4247" s="2" t="n">
        <v>4246</v>
      </c>
      <c r="I4247" s="2" t="s">
        <v>39</v>
      </c>
      <c r="J4247" s="2" t="n">
        <v>1</v>
      </c>
      <c r="K4247" s="2" t="s">
        <v>45</v>
      </c>
      <c r="L4247" s="2" t="s">
        <v>32</v>
      </c>
      <c r="M4247" s="2" t="n">
        <v>20740</v>
      </c>
      <c r="N4247" s="2" t="n">
        <v>2</v>
      </c>
      <c r="O4247" s="2" t="n">
        <v>15</v>
      </c>
      <c r="P4247" s="2" t="n">
        <v>1</v>
      </c>
      <c r="Q4247" s="2" t="n">
        <v>21</v>
      </c>
      <c r="R4247" s="2" t="n">
        <v>3</v>
      </c>
      <c r="S4247" s="2" t="n">
        <v>10</v>
      </c>
      <c r="T4247" s="2" t="n">
        <v>9</v>
      </c>
      <c r="U4247" s="2" t="n">
        <v>5</v>
      </c>
      <c r="V4247" s="2" t="n">
        <v>3</v>
      </c>
      <c r="W4247" s="2" t="n">
        <v>1</v>
      </c>
      <c r="X4247" s="2" t="n">
        <v>2</v>
      </c>
      <c r="Y4247" s="2" t="n">
        <v>3</v>
      </c>
      <c r="Z4247" s="2" t="n">
        <v>3</v>
      </c>
    </row>
    <row r="4248" customFormat="false" ht="15" hidden="false" customHeight="true" outlineLevel="0" collapsed="false">
      <c r="A4248" s="2" t="n">
        <v>32</v>
      </c>
      <c r="B4248" s="2" t="s">
        <v>26</v>
      </c>
      <c r="C4248" s="2" t="s">
        <v>27</v>
      </c>
      <c r="D4248" s="2" t="s">
        <v>28</v>
      </c>
      <c r="E4248" s="2" t="n">
        <v>15</v>
      </c>
      <c r="F4248" s="2" t="n">
        <v>3</v>
      </c>
      <c r="G4248" s="2" t="s">
        <v>50</v>
      </c>
      <c r="H4248" s="2" t="n">
        <v>4247</v>
      </c>
      <c r="I4248" s="2" t="s">
        <v>39</v>
      </c>
      <c r="J4248" s="2" t="n">
        <v>1</v>
      </c>
      <c r="K4248" s="2" t="s">
        <v>36</v>
      </c>
      <c r="L4248" s="2" t="s">
        <v>37</v>
      </c>
      <c r="M4248" s="2" t="n">
        <v>101690</v>
      </c>
      <c r="N4248" s="2" t="n">
        <v>1</v>
      </c>
      <c r="O4248" s="2" t="n">
        <v>14</v>
      </c>
      <c r="P4248" s="2" t="n">
        <v>0</v>
      </c>
      <c r="Q4248" s="2" t="n">
        <v>12</v>
      </c>
      <c r="R4248" s="2" t="n">
        <v>6</v>
      </c>
      <c r="S4248" s="2" t="n">
        <v>11</v>
      </c>
      <c r="T4248" s="2" t="n">
        <v>5</v>
      </c>
      <c r="U4248" s="2" t="n">
        <v>7</v>
      </c>
      <c r="V4248" s="2" t="n">
        <v>2</v>
      </c>
      <c r="W4248" s="2" t="n">
        <v>3</v>
      </c>
      <c r="X4248" s="2" t="n">
        <v>3</v>
      </c>
      <c r="Y4248" s="2" t="n">
        <v>2</v>
      </c>
      <c r="Z4248" s="2" t="n">
        <v>3</v>
      </c>
    </row>
    <row r="4249" customFormat="false" ht="15" hidden="false" customHeight="true" outlineLevel="0" collapsed="false">
      <c r="A4249" s="2" t="n">
        <v>54</v>
      </c>
      <c r="B4249" s="2" t="s">
        <v>26</v>
      </c>
      <c r="C4249" s="2" t="s">
        <v>27</v>
      </c>
      <c r="D4249" s="2" t="s">
        <v>35</v>
      </c>
      <c r="E4249" s="2" t="n">
        <v>25</v>
      </c>
      <c r="F4249" s="2" t="n">
        <v>1</v>
      </c>
      <c r="G4249" s="2" t="s">
        <v>43</v>
      </c>
      <c r="H4249" s="2" t="n">
        <v>4248</v>
      </c>
      <c r="I4249" s="2" t="s">
        <v>30</v>
      </c>
      <c r="J4249" s="2" t="n">
        <v>1</v>
      </c>
      <c r="K4249" s="2" t="s">
        <v>45</v>
      </c>
      <c r="L4249" s="2" t="s">
        <v>32</v>
      </c>
      <c r="M4249" s="2" t="n">
        <v>48550</v>
      </c>
      <c r="N4249" s="2" t="n">
        <v>9</v>
      </c>
      <c r="O4249" s="2" t="n">
        <v>25</v>
      </c>
      <c r="P4249" s="2" t="n">
        <v>1</v>
      </c>
      <c r="Q4249" s="2" t="n">
        <v>16</v>
      </c>
      <c r="R4249" s="2" t="n">
        <v>2</v>
      </c>
      <c r="S4249" s="2" t="n">
        <v>4</v>
      </c>
      <c r="T4249" s="2" t="n">
        <v>0</v>
      </c>
      <c r="U4249" s="2" t="n">
        <v>3</v>
      </c>
      <c r="V4249" s="2" t="n">
        <v>1</v>
      </c>
      <c r="W4249" s="2" t="n">
        <v>3</v>
      </c>
      <c r="X4249" s="2" t="n">
        <v>1</v>
      </c>
      <c r="Y4249" s="2" t="n">
        <v>2</v>
      </c>
      <c r="Z4249" s="2" t="n">
        <v>4</v>
      </c>
    </row>
    <row r="4250" customFormat="false" ht="15" hidden="false" customHeight="true" outlineLevel="0" collapsed="false">
      <c r="A4250" s="2" t="n">
        <v>24</v>
      </c>
      <c r="B4250" s="2" t="s">
        <v>26</v>
      </c>
      <c r="C4250" s="2" t="s">
        <v>27</v>
      </c>
      <c r="D4250" s="2" t="s">
        <v>28</v>
      </c>
      <c r="E4250" s="2" t="n">
        <v>6</v>
      </c>
      <c r="F4250" s="2" t="n">
        <v>2</v>
      </c>
      <c r="G4250" s="2" t="s">
        <v>50</v>
      </c>
      <c r="H4250" s="2" t="n">
        <v>4249</v>
      </c>
      <c r="I4250" s="2" t="s">
        <v>39</v>
      </c>
      <c r="J4250" s="2" t="n">
        <v>2</v>
      </c>
      <c r="K4250" s="2" t="s">
        <v>36</v>
      </c>
      <c r="L4250" s="2" t="s">
        <v>32</v>
      </c>
      <c r="M4250" s="2" t="n">
        <v>40870</v>
      </c>
      <c r="N4250" s="2" t="n">
        <v>0</v>
      </c>
      <c r="O4250" s="2" t="n">
        <v>20</v>
      </c>
      <c r="P4250" s="2" t="n">
        <v>3</v>
      </c>
      <c r="Q4250" s="2" t="n">
        <v>4</v>
      </c>
      <c r="R4250" s="2" t="n">
        <v>1</v>
      </c>
      <c r="S4250" s="2" t="n">
        <v>3</v>
      </c>
      <c r="T4250" s="2" t="n">
        <v>0</v>
      </c>
      <c r="U4250" s="2" t="n">
        <v>2</v>
      </c>
      <c r="V4250" s="2" t="n">
        <v>1</v>
      </c>
      <c r="W4250" s="2" t="n">
        <v>3</v>
      </c>
      <c r="X4250" s="2" t="n">
        <v>2</v>
      </c>
      <c r="Y4250" s="2" t="n">
        <v>3</v>
      </c>
      <c r="Z4250" s="2" t="n">
        <v>4</v>
      </c>
    </row>
    <row r="4251" customFormat="false" ht="15" hidden="false" customHeight="true" outlineLevel="0" collapsed="false">
      <c r="A4251" s="2" t="n">
        <v>28</v>
      </c>
      <c r="B4251" s="2" t="s">
        <v>26</v>
      </c>
      <c r="C4251" s="2" t="s">
        <v>41</v>
      </c>
      <c r="D4251" s="2" t="s">
        <v>28</v>
      </c>
      <c r="E4251" s="2" t="n">
        <v>9</v>
      </c>
      <c r="F4251" s="2" t="n">
        <v>4</v>
      </c>
      <c r="G4251" s="2" t="s">
        <v>43</v>
      </c>
      <c r="H4251" s="2" t="n">
        <v>4250</v>
      </c>
      <c r="I4251" s="2" t="s">
        <v>39</v>
      </c>
      <c r="J4251" s="2" t="n">
        <v>2</v>
      </c>
      <c r="K4251" s="2" t="s">
        <v>45</v>
      </c>
      <c r="L4251" s="2" t="s">
        <v>32</v>
      </c>
      <c r="M4251" s="2" t="n">
        <v>23670</v>
      </c>
      <c r="N4251" s="2" t="n">
        <v>1</v>
      </c>
      <c r="O4251" s="2" t="n">
        <v>13</v>
      </c>
      <c r="P4251" s="2" t="n">
        <v>0</v>
      </c>
      <c r="Q4251" s="2" t="n">
        <v>5</v>
      </c>
      <c r="R4251" s="2" t="n">
        <v>2</v>
      </c>
      <c r="S4251" s="2" t="n">
        <v>5</v>
      </c>
      <c r="T4251" s="2" t="n">
        <v>0</v>
      </c>
      <c r="U4251" s="2" t="n">
        <v>4</v>
      </c>
      <c r="V4251" s="2" t="n">
        <v>2</v>
      </c>
      <c r="W4251" s="2" t="n">
        <v>3</v>
      </c>
      <c r="X4251" s="2" t="n">
        <v>4</v>
      </c>
      <c r="Y4251" s="2" t="n">
        <v>2</v>
      </c>
      <c r="Z4251" s="2" t="n">
        <v>3</v>
      </c>
    </row>
    <row r="4252" customFormat="false" ht="15" hidden="false" customHeight="true" outlineLevel="0" collapsed="false">
      <c r="A4252" s="2" t="n">
        <v>58</v>
      </c>
      <c r="B4252" s="2" t="s">
        <v>26</v>
      </c>
      <c r="C4252" s="2" t="s">
        <v>27</v>
      </c>
      <c r="D4252" s="2" t="s">
        <v>35</v>
      </c>
      <c r="E4252" s="2" t="n">
        <v>8</v>
      </c>
      <c r="F4252" s="2" t="n">
        <v>4</v>
      </c>
      <c r="G4252" s="2" t="s">
        <v>29</v>
      </c>
      <c r="H4252" s="2" t="n">
        <v>4251</v>
      </c>
      <c r="I4252" s="2" t="s">
        <v>39</v>
      </c>
      <c r="J4252" s="2" t="n">
        <v>2</v>
      </c>
      <c r="K4252" s="2" t="s">
        <v>40</v>
      </c>
      <c r="L4252" s="2" t="s">
        <v>37</v>
      </c>
      <c r="M4252" s="2" t="n">
        <v>29720</v>
      </c>
      <c r="N4252" s="2" t="n">
        <v>0</v>
      </c>
      <c r="O4252" s="2" t="n">
        <v>14</v>
      </c>
      <c r="P4252" s="2" t="n">
        <v>0</v>
      </c>
      <c r="Q4252" s="2" t="n">
        <v>38</v>
      </c>
      <c r="R4252" s="2" t="n">
        <v>2</v>
      </c>
      <c r="S4252" s="2" t="n">
        <v>37</v>
      </c>
      <c r="T4252" s="2" t="n">
        <v>1</v>
      </c>
      <c r="U4252" s="2" t="n">
        <v>8</v>
      </c>
      <c r="V4252" s="2" t="n">
        <v>4</v>
      </c>
      <c r="W4252" s="2" t="n">
        <v>3</v>
      </c>
      <c r="X4252" s="2" t="n">
        <v>2</v>
      </c>
      <c r="Y4252" s="2" t="n">
        <v>4</v>
      </c>
      <c r="Z4252" s="2" t="n">
        <v>3</v>
      </c>
    </row>
    <row r="4253" customFormat="false" ht="15" hidden="false" customHeight="true" outlineLevel="0" collapsed="false">
      <c r="A4253" s="2" t="n">
        <v>44</v>
      </c>
      <c r="B4253" s="2" t="s">
        <v>26</v>
      </c>
      <c r="C4253" s="2" t="s">
        <v>41</v>
      </c>
      <c r="D4253" s="2" t="s">
        <v>35</v>
      </c>
      <c r="E4253" s="2" t="n">
        <v>23</v>
      </c>
      <c r="F4253" s="2" t="n">
        <v>2</v>
      </c>
      <c r="G4253" s="2" t="s">
        <v>43</v>
      </c>
      <c r="H4253" s="2" t="n">
        <v>4252</v>
      </c>
      <c r="I4253" s="2" t="s">
        <v>30</v>
      </c>
      <c r="J4253" s="2" t="n">
        <v>1</v>
      </c>
      <c r="K4253" s="2" t="s">
        <v>36</v>
      </c>
      <c r="L4253" s="2" t="s">
        <v>32</v>
      </c>
      <c r="M4253" s="2" t="n">
        <v>195860</v>
      </c>
      <c r="N4253" s="2" t="n">
        <v>4</v>
      </c>
      <c r="O4253" s="2" t="n">
        <v>16</v>
      </c>
      <c r="P4253" s="2" t="n">
        <v>0</v>
      </c>
      <c r="Q4253" s="2" t="n">
        <v>17</v>
      </c>
      <c r="R4253" s="2" t="n">
        <v>3</v>
      </c>
      <c r="S4253" s="2" t="n">
        <v>3</v>
      </c>
      <c r="T4253" s="2" t="n">
        <v>1</v>
      </c>
      <c r="U4253" s="2" t="n">
        <v>2</v>
      </c>
      <c r="V4253" s="2" t="n">
        <v>2</v>
      </c>
      <c r="W4253" s="2" t="n">
        <v>2</v>
      </c>
      <c r="X4253" s="2" t="n">
        <v>4</v>
      </c>
      <c r="Y4253" s="2" t="n">
        <v>2</v>
      </c>
      <c r="Z4253" s="2" t="n">
        <v>3</v>
      </c>
    </row>
    <row r="4254" customFormat="false" ht="15" hidden="false" customHeight="true" outlineLevel="0" collapsed="false">
      <c r="A4254" s="2" t="n">
        <v>37</v>
      </c>
      <c r="B4254" s="2" t="s">
        <v>33</v>
      </c>
      <c r="C4254" s="2" t="s">
        <v>27</v>
      </c>
      <c r="D4254" s="2" t="s">
        <v>42</v>
      </c>
      <c r="E4254" s="2" t="n">
        <v>9</v>
      </c>
      <c r="F4254" s="2" t="n">
        <v>3</v>
      </c>
      <c r="G4254" s="2" t="s">
        <v>42</v>
      </c>
      <c r="H4254" s="2" t="n">
        <v>4253</v>
      </c>
      <c r="I4254" s="2" t="s">
        <v>39</v>
      </c>
      <c r="J4254" s="2" t="n">
        <v>2</v>
      </c>
      <c r="K4254" s="2" t="s">
        <v>31</v>
      </c>
      <c r="L4254" s="2" t="s">
        <v>46</v>
      </c>
      <c r="M4254" s="2" t="n">
        <v>54840</v>
      </c>
      <c r="N4254" s="2" t="n">
        <v>4</v>
      </c>
      <c r="O4254" s="2" t="n">
        <v>17</v>
      </c>
      <c r="P4254" s="2" t="n">
        <v>0</v>
      </c>
      <c r="Q4254" s="2" t="n">
        <v>7</v>
      </c>
      <c r="R4254" s="2" t="n">
        <v>4</v>
      </c>
      <c r="S4254" s="2" t="n">
        <v>3</v>
      </c>
      <c r="T4254" s="2" t="n">
        <v>0</v>
      </c>
      <c r="U4254" s="2" t="n">
        <v>2</v>
      </c>
      <c r="V4254" s="2" t="n">
        <v>3</v>
      </c>
      <c r="W4254" s="2" t="n">
        <v>1</v>
      </c>
      <c r="X4254" s="2" t="n">
        <v>3</v>
      </c>
      <c r="Y4254" s="2" t="n">
        <v>3</v>
      </c>
      <c r="Z4254" s="2" t="n">
        <v>3</v>
      </c>
    </row>
    <row r="4255" customFormat="false" ht="15" hidden="false" customHeight="true" outlineLevel="0" collapsed="false">
      <c r="A4255" s="2" t="n">
        <v>32</v>
      </c>
      <c r="B4255" s="2" t="s">
        <v>26</v>
      </c>
      <c r="C4255" s="2" t="s">
        <v>27</v>
      </c>
      <c r="D4255" s="2" t="s">
        <v>42</v>
      </c>
      <c r="E4255" s="2" t="n">
        <v>12</v>
      </c>
      <c r="F4255" s="2" t="n">
        <v>2</v>
      </c>
      <c r="G4255" s="2" t="s">
        <v>42</v>
      </c>
      <c r="H4255" s="2" t="n">
        <v>4254</v>
      </c>
      <c r="I4255" s="2" t="s">
        <v>30</v>
      </c>
      <c r="J4255" s="2" t="n">
        <v>1</v>
      </c>
      <c r="K4255" s="2" t="s">
        <v>48</v>
      </c>
      <c r="L4255" s="2" t="s">
        <v>37</v>
      </c>
      <c r="M4255" s="2" t="n">
        <v>20610</v>
      </c>
      <c r="N4255" s="2" t="n">
        <v>1</v>
      </c>
      <c r="O4255" s="2" t="n">
        <v>15</v>
      </c>
      <c r="P4255" s="2" t="n">
        <v>1</v>
      </c>
      <c r="Q4255" s="2" t="n">
        <v>1</v>
      </c>
      <c r="R4255" s="2" t="n">
        <v>2</v>
      </c>
      <c r="S4255" s="2" t="n">
        <v>1</v>
      </c>
      <c r="T4255" s="2" t="n">
        <v>0</v>
      </c>
      <c r="U4255" s="2" t="n">
        <v>0</v>
      </c>
      <c r="V4255" s="2" t="n">
        <v>4</v>
      </c>
      <c r="W4255" s="2" t="n">
        <v>1</v>
      </c>
      <c r="X4255" s="2" t="n">
        <v>3</v>
      </c>
      <c r="Y4255" s="2" t="n">
        <v>2</v>
      </c>
      <c r="Z4255" s="2" t="n">
        <v>3</v>
      </c>
    </row>
    <row r="4256" customFormat="false" ht="15" hidden="false" customHeight="true" outlineLevel="0" collapsed="false">
      <c r="A4256" s="2" t="n">
        <v>20</v>
      </c>
      <c r="B4256" s="2" t="s">
        <v>33</v>
      </c>
      <c r="C4256" s="2" t="s">
        <v>34</v>
      </c>
      <c r="D4256" s="2" t="s">
        <v>28</v>
      </c>
      <c r="E4256" s="2" t="n">
        <v>4</v>
      </c>
      <c r="F4256" s="2" t="n">
        <v>4</v>
      </c>
      <c r="G4256" s="2" t="s">
        <v>29</v>
      </c>
      <c r="H4256" s="2" t="n">
        <v>4255</v>
      </c>
      <c r="I4256" s="2" t="s">
        <v>30</v>
      </c>
      <c r="J4256" s="2" t="n">
        <v>2</v>
      </c>
      <c r="K4256" s="2" t="s">
        <v>31</v>
      </c>
      <c r="L4256" s="2" t="s">
        <v>37</v>
      </c>
      <c r="M4256" s="2" t="n">
        <v>99240</v>
      </c>
      <c r="N4256" s="2" t="n">
        <v>1</v>
      </c>
      <c r="O4256" s="2" t="n">
        <v>22</v>
      </c>
      <c r="P4256" s="2" t="n">
        <v>0</v>
      </c>
      <c r="Q4256" s="2" t="n">
        <v>1</v>
      </c>
      <c r="R4256" s="2" t="n">
        <v>3</v>
      </c>
      <c r="S4256" s="2" t="n">
        <v>1</v>
      </c>
      <c r="T4256" s="2" t="n">
        <v>1</v>
      </c>
      <c r="U4256" s="2" t="n">
        <v>0</v>
      </c>
      <c r="V4256" s="2" t="n">
        <v>4</v>
      </c>
      <c r="W4256" s="2" t="n">
        <v>4</v>
      </c>
      <c r="X4256" s="2" t="n">
        <v>3</v>
      </c>
      <c r="Y4256" s="2" t="n">
        <v>3</v>
      </c>
      <c r="Z4256" s="2" t="n">
        <v>4</v>
      </c>
    </row>
    <row r="4257" customFormat="false" ht="15" hidden="false" customHeight="true" outlineLevel="0" collapsed="false">
      <c r="A4257" s="2" t="n">
        <v>34</v>
      </c>
      <c r="B4257" s="2" t="s">
        <v>26</v>
      </c>
      <c r="C4257" s="2" t="s">
        <v>27</v>
      </c>
      <c r="D4257" s="2" t="s">
        <v>35</v>
      </c>
      <c r="E4257" s="2" t="n">
        <v>1</v>
      </c>
      <c r="F4257" s="2" t="n">
        <v>4</v>
      </c>
      <c r="G4257" s="2" t="s">
        <v>38</v>
      </c>
      <c r="H4257" s="2" t="n">
        <v>4256</v>
      </c>
      <c r="I4257" s="2" t="s">
        <v>39</v>
      </c>
      <c r="J4257" s="2" t="n">
        <v>4</v>
      </c>
      <c r="K4257" s="2" t="s">
        <v>45</v>
      </c>
      <c r="L4257" s="2" t="s">
        <v>37</v>
      </c>
      <c r="M4257" s="2" t="n">
        <v>41980</v>
      </c>
      <c r="N4257" s="2" t="n">
        <v>1</v>
      </c>
      <c r="O4257" s="2" t="n">
        <v>22</v>
      </c>
      <c r="P4257" s="2" t="n">
        <v>1</v>
      </c>
      <c r="Q4257" s="2" t="n">
        <v>16</v>
      </c>
      <c r="R4257" s="2" t="n">
        <v>2</v>
      </c>
      <c r="S4257" s="2" t="n">
        <v>16</v>
      </c>
      <c r="T4257" s="2" t="n">
        <v>2</v>
      </c>
      <c r="U4257" s="2" t="n">
        <v>10</v>
      </c>
      <c r="V4257" s="2" t="n">
        <v>1</v>
      </c>
      <c r="W4257" s="2" t="n">
        <v>3</v>
      </c>
      <c r="X4257" s="2" t="n">
        <v>3</v>
      </c>
      <c r="Y4257" s="2" t="n">
        <v>2</v>
      </c>
      <c r="Z4257" s="2" t="n">
        <v>4</v>
      </c>
    </row>
    <row r="4258" customFormat="false" ht="15" hidden="false" customHeight="true" outlineLevel="0" collapsed="false">
      <c r="A4258" s="2" t="n">
        <v>37</v>
      </c>
      <c r="B4258" s="2" t="s">
        <v>26</v>
      </c>
      <c r="C4258" s="2" t="s">
        <v>41</v>
      </c>
      <c r="D4258" s="2" t="s">
        <v>28</v>
      </c>
      <c r="E4258" s="2" t="n">
        <v>24</v>
      </c>
      <c r="F4258" s="2" t="n">
        <v>2</v>
      </c>
      <c r="G4258" s="2" t="s">
        <v>29</v>
      </c>
      <c r="H4258" s="2" t="n">
        <v>4257</v>
      </c>
      <c r="I4258" s="2" t="s">
        <v>39</v>
      </c>
      <c r="J4258" s="2" t="n">
        <v>1</v>
      </c>
      <c r="K4258" s="2" t="s">
        <v>36</v>
      </c>
      <c r="L4258" s="2" t="s">
        <v>46</v>
      </c>
      <c r="M4258" s="2" t="n">
        <v>68150</v>
      </c>
      <c r="N4258" s="2" t="n">
        <v>5</v>
      </c>
      <c r="O4258" s="2" t="n">
        <v>20</v>
      </c>
      <c r="P4258" s="2" t="n">
        <v>1</v>
      </c>
      <c r="Q4258" s="2" t="n">
        <v>17</v>
      </c>
      <c r="R4258" s="2" t="n">
        <v>3</v>
      </c>
      <c r="S4258" s="2" t="n">
        <v>1</v>
      </c>
      <c r="T4258" s="2" t="n">
        <v>0</v>
      </c>
      <c r="U4258" s="2" t="n">
        <v>0</v>
      </c>
      <c r="V4258" s="2" t="n">
        <v>3</v>
      </c>
      <c r="W4258" s="2" t="n">
        <v>4</v>
      </c>
      <c r="X4258" s="2" t="n">
        <v>4</v>
      </c>
      <c r="Y4258" s="2" t="n">
        <v>3</v>
      </c>
      <c r="Z4258" s="2" t="n">
        <v>4</v>
      </c>
    </row>
    <row r="4259" customFormat="false" ht="15" hidden="false" customHeight="true" outlineLevel="0" collapsed="false">
      <c r="A4259" s="2" t="n">
        <v>59</v>
      </c>
      <c r="B4259" s="2" t="s">
        <v>26</v>
      </c>
      <c r="C4259" s="2" t="s">
        <v>41</v>
      </c>
      <c r="D4259" s="2" t="s">
        <v>35</v>
      </c>
      <c r="E4259" s="2" t="n">
        <v>12</v>
      </c>
      <c r="F4259" s="2" t="n">
        <v>2</v>
      </c>
      <c r="G4259" s="2" t="s">
        <v>29</v>
      </c>
      <c r="H4259" s="2" t="n">
        <v>4258</v>
      </c>
      <c r="I4259" s="2" t="s">
        <v>39</v>
      </c>
      <c r="J4259" s="2" t="n">
        <v>2</v>
      </c>
      <c r="K4259" s="2" t="s">
        <v>40</v>
      </c>
      <c r="L4259" s="2" t="s">
        <v>32</v>
      </c>
      <c r="M4259" s="2" t="n">
        <v>47230</v>
      </c>
      <c r="N4259" s="2" t="n">
        <v>9</v>
      </c>
      <c r="O4259" s="2" t="n">
        <v>14</v>
      </c>
      <c r="P4259" s="2" t="n">
        <v>0</v>
      </c>
      <c r="Q4259" s="2" t="n">
        <v>30</v>
      </c>
      <c r="R4259" s="2" t="n">
        <v>0</v>
      </c>
      <c r="S4259" s="2" t="n">
        <v>3</v>
      </c>
      <c r="T4259" s="2" t="n">
        <v>2</v>
      </c>
      <c r="U4259" s="2" t="n">
        <v>2</v>
      </c>
      <c r="V4259" s="2" t="n">
        <v>3</v>
      </c>
      <c r="W4259" s="2" t="n">
        <v>4</v>
      </c>
      <c r="X4259" s="2" t="n">
        <v>3</v>
      </c>
      <c r="Y4259" s="2" t="n">
        <v>3</v>
      </c>
      <c r="Z4259" s="2" t="n">
        <v>3</v>
      </c>
    </row>
    <row r="4260" customFormat="false" ht="15" hidden="false" customHeight="true" outlineLevel="0" collapsed="false">
      <c r="A4260" s="2" t="n">
        <v>50</v>
      </c>
      <c r="B4260" s="2" t="s">
        <v>26</v>
      </c>
      <c r="C4260" s="2" t="s">
        <v>34</v>
      </c>
      <c r="D4260" s="2" t="s">
        <v>35</v>
      </c>
      <c r="E4260" s="2" t="n">
        <v>3</v>
      </c>
      <c r="F4260" s="2" t="n">
        <v>4</v>
      </c>
      <c r="G4260" s="2" t="s">
        <v>43</v>
      </c>
      <c r="H4260" s="2" t="n">
        <v>4259</v>
      </c>
      <c r="I4260" s="2" t="s">
        <v>39</v>
      </c>
      <c r="J4260" s="2" t="n">
        <v>4</v>
      </c>
      <c r="K4260" s="2" t="s">
        <v>36</v>
      </c>
      <c r="L4260" s="2" t="s">
        <v>32</v>
      </c>
      <c r="M4260" s="2" t="n">
        <v>61420</v>
      </c>
      <c r="N4260" s="2" t="n">
        <v>3</v>
      </c>
      <c r="O4260" s="2" t="n">
        <v>13</v>
      </c>
      <c r="P4260" s="2" t="n">
        <v>2</v>
      </c>
      <c r="Q4260" s="2" t="n">
        <v>28</v>
      </c>
      <c r="R4260" s="2" t="n">
        <v>3</v>
      </c>
      <c r="S4260" s="2" t="n">
        <v>8</v>
      </c>
      <c r="T4260" s="2" t="n">
        <v>0</v>
      </c>
      <c r="U4260" s="2" t="n">
        <v>7</v>
      </c>
      <c r="V4260" s="2" t="n">
        <v>1</v>
      </c>
      <c r="W4260" s="2" t="n">
        <v>2</v>
      </c>
      <c r="X4260" s="2" t="n">
        <v>2</v>
      </c>
      <c r="Y4260" s="2" t="n">
        <v>2</v>
      </c>
      <c r="Z4260" s="2" t="n">
        <v>3</v>
      </c>
    </row>
    <row r="4261" customFormat="false" ht="15" hidden="false" customHeight="true" outlineLevel="0" collapsed="false">
      <c r="A4261" s="2" t="n">
        <v>25</v>
      </c>
      <c r="B4261" s="2" t="s">
        <v>33</v>
      </c>
      <c r="C4261" s="2" t="s">
        <v>27</v>
      </c>
      <c r="D4261" s="2" t="s">
        <v>28</v>
      </c>
      <c r="E4261" s="2" t="n">
        <v>10</v>
      </c>
      <c r="F4261" s="2" t="n">
        <v>1</v>
      </c>
      <c r="G4261" s="2" t="s">
        <v>50</v>
      </c>
      <c r="H4261" s="2" t="n">
        <v>4260</v>
      </c>
      <c r="I4261" s="2" t="s">
        <v>39</v>
      </c>
      <c r="J4261" s="2" t="n">
        <v>2</v>
      </c>
      <c r="K4261" s="2" t="s">
        <v>44</v>
      </c>
      <c r="L4261" s="2" t="s">
        <v>37</v>
      </c>
      <c r="M4261" s="2" t="n">
        <v>82370</v>
      </c>
      <c r="N4261" s="2" t="n">
        <v>1</v>
      </c>
      <c r="O4261" s="2" t="n">
        <v>13</v>
      </c>
      <c r="P4261" s="2" t="n">
        <v>0</v>
      </c>
      <c r="Q4261" s="2" t="n">
        <v>6</v>
      </c>
      <c r="R4261" s="2" t="n">
        <v>6</v>
      </c>
      <c r="S4261" s="2" t="n">
        <v>6</v>
      </c>
      <c r="T4261" s="2" t="n">
        <v>0</v>
      </c>
      <c r="U4261" s="2" t="n">
        <v>3</v>
      </c>
      <c r="V4261" s="2" t="n">
        <v>3</v>
      </c>
      <c r="W4261" s="2" t="n">
        <v>3</v>
      </c>
      <c r="X4261" s="2" t="n">
        <v>3</v>
      </c>
      <c r="Y4261" s="2" t="n">
        <v>2</v>
      </c>
      <c r="Z4261" s="2" t="n">
        <v>3</v>
      </c>
    </row>
    <row r="4262" customFormat="false" ht="15" hidden="false" customHeight="true" outlineLevel="0" collapsed="false">
      <c r="A4262" s="2" t="n">
        <v>25</v>
      </c>
      <c r="B4262" s="2" t="s">
        <v>26</v>
      </c>
      <c r="C4262" s="2" t="s">
        <v>27</v>
      </c>
      <c r="D4262" s="2" t="s">
        <v>35</v>
      </c>
      <c r="E4262" s="2" t="n">
        <v>26</v>
      </c>
      <c r="F4262" s="2" t="n">
        <v>3</v>
      </c>
      <c r="G4262" s="2" t="s">
        <v>51</v>
      </c>
      <c r="H4262" s="2" t="n">
        <v>4261</v>
      </c>
      <c r="I4262" s="2" t="s">
        <v>39</v>
      </c>
      <c r="J4262" s="2" t="n">
        <v>1</v>
      </c>
      <c r="K4262" s="2" t="s">
        <v>45</v>
      </c>
      <c r="L4262" s="2" t="s">
        <v>32</v>
      </c>
      <c r="M4262" s="2" t="n">
        <v>88530</v>
      </c>
      <c r="N4262" s="2" t="n">
        <v>1</v>
      </c>
      <c r="O4262" s="2" t="n">
        <v>22</v>
      </c>
      <c r="P4262" s="2" t="n">
        <v>1</v>
      </c>
      <c r="Q4262" s="2" t="n">
        <v>2</v>
      </c>
      <c r="R4262" s="2" t="n">
        <v>3</v>
      </c>
      <c r="S4262" s="2" t="n">
        <v>2</v>
      </c>
      <c r="T4262" s="2" t="n">
        <v>2</v>
      </c>
      <c r="U4262" s="2" t="n">
        <v>1</v>
      </c>
      <c r="V4262" s="2" t="n">
        <v>4</v>
      </c>
      <c r="W4262" s="2" t="n">
        <v>4</v>
      </c>
      <c r="X4262" s="2" t="n">
        <v>3</v>
      </c>
      <c r="Y4262" s="2" t="n">
        <v>3</v>
      </c>
      <c r="Z4262" s="2" t="n">
        <v>4</v>
      </c>
    </row>
    <row r="4263" customFormat="false" ht="15" hidden="false" customHeight="true" outlineLevel="0" collapsed="false">
      <c r="A4263" s="2" t="n">
        <v>22</v>
      </c>
      <c r="B4263" s="2" t="s">
        <v>26</v>
      </c>
      <c r="C4263" s="2" t="s">
        <v>27</v>
      </c>
      <c r="D4263" s="2" t="s">
        <v>35</v>
      </c>
      <c r="E4263" s="2" t="n">
        <v>2</v>
      </c>
      <c r="F4263" s="2" t="n">
        <v>1</v>
      </c>
      <c r="G4263" s="2" t="s">
        <v>29</v>
      </c>
      <c r="H4263" s="2" t="n">
        <v>4262</v>
      </c>
      <c r="I4263" s="2" t="s">
        <v>39</v>
      </c>
      <c r="J4263" s="2" t="n">
        <v>1</v>
      </c>
      <c r="K4263" s="2" t="s">
        <v>48</v>
      </c>
      <c r="L4263" s="2" t="s">
        <v>37</v>
      </c>
      <c r="M4263" s="2" t="n">
        <v>193310</v>
      </c>
      <c r="N4263" s="2" t="n">
        <v>1</v>
      </c>
      <c r="O4263" s="2" t="n">
        <v>12</v>
      </c>
      <c r="P4263" s="2" t="n">
        <v>1</v>
      </c>
      <c r="Q4263" s="2" t="n">
        <v>1</v>
      </c>
      <c r="R4263" s="2" t="n">
        <v>2</v>
      </c>
      <c r="S4263" s="2" t="n">
        <v>0</v>
      </c>
      <c r="T4263" s="2" t="n">
        <v>0</v>
      </c>
      <c r="U4263" s="2" t="n">
        <v>0</v>
      </c>
      <c r="V4263" s="2" t="n">
        <v>2</v>
      </c>
      <c r="W4263" s="2" t="n">
        <v>4</v>
      </c>
      <c r="X4263" s="2" t="n">
        <v>3</v>
      </c>
      <c r="Y4263" s="2" t="n">
        <v>3</v>
      </c>
      <c r="Z4263" s="2" t="n">
        <v>3</v>
      </c>
    </row>
    <row r="4264" customFormat="false" ht="15" hidden="false" customHeight="true" outlineLevel="0" collapsed="false">
      <c r="A4264" s="2" t="n">
        <v>51</v>
      </c>
      <c r="B4264" s="2" t="s">
        <v>26</v>
      </c>
      <c r="C4264" s="2" t="s">
        <v>34</v>
      </c>
      <c r="D4264" s="2" t="s">
        <v>35</v>
      </c>
      <c r="E4264" s="2" t="n">
        <v>1</v>
      </c>
      <c r="F4264" s="2" t="n">
        <v>3</v>
      </c>
      <c r="G4264" s="2" t="s">
        <v>29</v>
      </c>
      <c r="H4264" s="2" t="n">
        <v>4263</v>
      </c>
      <c r="I4264" s="2" t="s">
        <v>30</v>
      </c>
      <c r="J4264" s="2" t="n">
        <v>1</v>
      </c>
      <c r="K4264" s="2" t="s">
        <v>40</v>
      </c>
      <c r="L4264" s="2" t="s">
        <v>37</v>
      </c>
      <c r="M4264" s="2" t="n">
        <v>20730</v>
      </c>
      <c r="N4264" s="2" t="n">
        <v>3</v>
      </c>
      <c r="O4264" s="2" t="n">
        <v>14</v>
      </c>
      <c r="P4264" s="2" t="n">
        <v>1</v>
      </c>
      <c r="Q4264" s="2" t="n">
        <v>23</v>
      </c>
      <c r="R4264" s="2" t="n">
        <v>4</v>
      </c>
      <c r="S4264" s="2" t="n">
        <v>13</v>
      </c>
      <c r="T4264" s="2" t="n">
        <v>12</v>
      </c>
      <c r="U4264" s="2" t="n">
        <v>8</v>
      </c>
      <c r="V4264" s="2" t="n">
        <v>1</v>
      </c>
      <c r="W4264" s="2" t="n">
        <v>1</v>
      </c>
      <c r="X4264" s="2" t="n">
        <v>2</v>
      </c>
      <c r="Y4264" s="2" t="n">
        <v>3</v>
      </c>
      <c r="Z4264" s="2" t="n">
        <v>3</v>
      </c>
    </row>
    <row r="4265" customFormat="false" ht="15" hidden="false" customHeight="true" outlineLevel="0" collapsed="false">
      <c r="A4265" s="2" t="n">
        <v>34</v>
      </c>
      <c r="B4265" s="2" t="s">
        <v>33</v>
      </c>
      <c r="C4265" s="2" t="s">
        <v>34</v>
      </c>
      <c r="D4265" s="2" t="s">
        <v>42</v>
      </c>
      <c r="E4265" s="2" t="n">
        <v>4</v>
      </c>
      <c r="F4265" s="2" t="n">
        <v>4</v>
      </c>
      <c r="G4265" s="2" t="s">
        <v>29</v>
      </c>
      <c r="H4265" s="2" t="n">
        <v>4264</v>
      </c>
      <c r="I4265" s="2" t="s">
        <v>30</v>
      </c>
      <c r="J4265" s="2" t="n">
        <v>5</v>
      </c>
      <c r="K4265" s="2" t="s">
        <v>40</v>
      </c>
      <c r="L4265" s="2" t="s">
        <v>37</v>
      </c>
      <c r="M4265" s="2" t="n">
        <v>55620</v>
      </c>
      <c r="N4265" s="2" t="n">
        <v>1</v>
      </c>
      <c r="O4265" s="2" t="n">
        <v>15</v>
      </c>
      <c r="P4265" s="2" t="n">
        <v>0</v>
      </c>
      <c r="Q4265" s="2" t="n">
        <v>9</v>
      </c>
      <c r="R4265" s="2" t="n">
        <v>3</v>
      </c>
      <c r="S4265" s="2" t="n">
        <v>9</v>
      </c>
      <c r="T4265" s="2" t="n">
        <v>0</v>
      </c>
      <c r="U4265" s="2" t="n">
        <v>6</v>
      </c>
      <c r="V4265" s="2" t="n">
        <v>1</v>
      </c>
      <c r="W4265" s="2" t="n">
        <v>3</v>
      </c>
      <c r="X4265" s="2" t="n">
        <v>3</v>
      </c>
      <c r="Y4265" s="2" t="n">
        <v>3</v>
      </c>
      <c r="Z4265" s="2" t="n">
        <v>3</v>
      </c>
    </row>
    <row r="4266" customFormat="false" ht="15" hidden="false" customHeight="true" outlineLevel="0" collapsed="false">
      <c r="A4266" s="2" t="n">
        <v>54</v>
      </c>
      <c r="B4266" s="2" t="s">
        <v>26</v>
      </c>
      <c r="C4266" s="2" t="s">
        <v>41</v>
      </c>
      <c r="D4266" s="2" t="s">
        <v>35</v>
      </c>
      <c r="E4266" s="2" t="n">
        <v>9</v>
      </c>
      <c r="F4266" s="2" t="n">
        <v>3</v>
      </c>
      <c r="G4266" s="2" t="s">
        <v>29</v>
      </c>
      <c r="H4266" s="2" t="n">
        <v>4265</v>
      </c>
      <c r="I4266" s="2" t="s">
        <v>39</v>
      </c>
      <c r="J4266" s="2" t="n">
        <v>1</v>
      </c>
      <c r="K4266" s="2" t="s">
        <v>45</v>
      </c>
      <c r="L4266" s="2" t="s">
        <v>37</v>
      </c>
      <c r="M4266" s="2" t="n">
        <v>196130</v>
      </c>
      <c r="N4266" s="2" t="n">
        <v>2</v>
      </c>
      <c r="O4266" s="2" t="n">
        <v>17</v>
      </c>
      <c r="P4266" s="2" t="n">
        <v>0</v>
      </c>
      <c r="Q4266" s="2" t="n">
        <v>23</v>
      </c>
      <c r="R4266" s="2" t="n">
        <v>5</v>
      </c>
      <c r="S4266" s="2" t="n">
        <v>5</v>
      </c>
      <c r="T4266" s="2" t="n">
        <v>4</v>
      </c>
      <c r="U4266" s="2" t="n">
        <v>4</v>
      </c>
      <c r="V4266" s="2" t="n">
        <v>4</v>
      </c>
      <c r="W4266" s="2" t="n">
        <v>4</v>
      </c>
      <c r="X4266" s="2" t="n">
        <v>3</v>
      </c>
      <c r="Y4266" s="2" t="n">
        <v>3</v>
      </c>
      <c r="Z4266" s="2" t="n">
        <v>3</v>
      </c>
    </row>
    <row r="4267" customFormat="false" ht="15" hidden="false" customHeight="true" outlineLevel="0" collapsed="false">
      <c r="A4267" s="2" t="n">
        <v>24</v>
      </c>
      <c r="B4267" s="2" t="s">
        <v>26</v>
      </c>
      <c r="C4267" s="2" t="s">
        <v>27</v>
      </c>
      <c r="D4267" s="2" t="s">
        <v>35</v>
      </c>
      <c r="E4267" s="2" t="n">
        <v>2</v>
      </c>
      <c r="F4267" s="2" t="n">
        <v>1</v>
      </c>
      <c r="G4267" s="2" t="s">
        <v>29</v>
      </c>
      <c r="H4267" s="2" t="n">
        <v>4266</v>
      </c>
      <c r="I4267" s="2" t="s">
        <v>39</v>
      </c>
      <c r="J4267" s="2" t="n">
        <v>2</v>
      </c>
      <c r="K4267" s="2" t="s">
        <v>45</v>
      </c>
      <c r="L4267" s="2" t="s">
        <v>32</v>
      </c>
      <c r="M4267" s="2" t="n">
        <v>34070</v>
      </c>
      <c r="N4267" s="2" t="n">
        <v>0</v>
      </c>
      <c r="O4267" s="2" t="n">
        <v>13</v>
      </c>
      <c r="P4267" s="2" t="n">
        <v>1</v>
      </c>
      <c r="Q4267" s="2" t="n">
        <v>6</v>
      </c>
      <c r="R4267" s="2" t="n">
        <v>4</v>
      </c>
      <c r="S4267" s="2" t="n">
        <v>5</v>
      </c>
      <c r="T4267" s="2" t="n">
        <v>1</v>
      </c>
      <c r="U4267" s="2" t="n">
        <v>2</v>
      </c>
      <c r="V4267" s="2" t="n">
        <v>2</v>
      </c>
      <c r="W4267" s="2" t="n">
        <v>3</v>
      </c>
      <c r="X4267" s="2" t="n">
        <v>3</v>
      </c>
      <c r="Y4267" s="2" t="n">
        <v>3</v>
      </c>
      <c r="Z4267" s="2" t="n">
        <v>3</v>
      </c>
    </row>
    <row r="4268" customFormat="false" ht="15" hidden="false" customHeight="true" outlineLevel="0" collapsed="false">
      <c r="A4268" s="2" t="n">
        <v>34</v>
      </c>
      <c r="B4268" s="2" t="s">
        <v>26</v>
      </c>
      <c r="C4268" s="2" t="s">
        <v>27</v>
      </c>
      <c r="D4268" s="2" t="s">
        <v>28</v>
      </c>
      <c r="E4268" s="2" t="n">
        <v>4</v>
      </c>
      <c r="F4268" s="2" t="n">
        <v>3</v>
      </c>
      <c r="G4268" s="2" t="s">
        <v>50</v>
      </c>
      <c r="H4268" s="2" t="n">
        <v>4267</v>
      </c>
      <c r="I4268" s="2" t="s">
        <v>30</v>
      </c>
      <c r="J4268" s="2" t="n">
        <v>2</v>
      </c>
      <c r="K4268" s="2" t="s">
        <v>48</v>
      </c>
      <c r="L4268" s="2" t="s">
        <v>46</v>
      </c>
      <c r="M4268" s="2" t="n">
        <v>50630</v>
      </c>
      <c r="N4268" s="2" t="n">
        <v>6</v>
      </c>
      <c r="O4268" s="2" t="n">
        <v>12</v>
      </c>
      <c r="P4268" s="2" t="n">
        <v>1</v>
      </c>
      <c r="Q4268" s="2" t="n">
        <v>12</v>
      </c>
      <c r="R4268" s="2" t="n">
        <v>2</v>
      </c>
      <c r="S4268" s="2" t="n">
        <v>1</v>
      </c>
      <c r="T4268" s="2" t="n">
        <v>0</v>
      </c>
      <c r="U4268" s="2" t="n">
        <v>0</v>
      </c>
      <c r="V4268" s="2" t="n">
        <v>3</v>
      </c>
      <c r="W4268" s="2" t="n">
        <v>2</v>
      </c>
      <c r="X4268" s="2" t="n">
        <v>3</v>
      </c>
      <c r="Y4268" s="2" t="n">
        <v>3</v>
      </c>
      <c r="Z4268" s="2" t="n">
        <v>3</v>
      </c>
    </row>
    <row r="4269" customFormat="false" ht="15" hidden="false" customHeight="true" outlineLevel="0" collapsed="false">
      <c r="A4269" s="2" t="n">
        <v>37</v>
      </c>
      <c r="B4269" s="2" t="s">
        <v>26</v>
      </c>
      <c r="C4269" s="2" t="s">
        <v>27</v>
      </c>
      <c r="D4269" s="2" t="s">
        <v>28</v>
      </c>
      <c r="E4269" s="2" t="n">
        <v>6</v>
      </c>
      <c r="F4269" s="2" t="n">
        <v>1</v>
      </c>
      <c r="G4269" s="2" t="s">
        <v>51</v>
      </c>
      <c r="H4269" s="2" t="n">
        <v>4268</v>
      </c>
      <c r="I4269" s="2" t="s">
        <v>39</v>
      </c>
      <c r="J4269" s="2" t="n">
        <v>1</v>
      </c>
      <c r="K4269" s="2" t="s">
        <v>45</v>
      </c>
      <c r="L4269" s="2" t="s">
        <v>37</v>
      </c>
      <c r="M4269" s="2" t="n">
        <v>46390</v>
      </c>
      <c r="N4269" s="2" t="n">
        <v>2</v>
      </c>
      <c r="O4269" s="2" t="n">
        <v>12</v>
      </c>
      <c r="P4269" s="2" t="n">
        <v>2</v>
      </c>
      <c r="Q4269" s="2" t="n">
        <v>12</v>
      </c>
      <c r="R4269" s="2" t="n">
        <v>3</v>
      </c>
      <c r="S4269" s="2" t="n">
        <v>5</v>
      </c>
      <c r="T4269" s="2" t="n">
        <v>1</v>
      </c>
      <c r="U4269" s="2" t="n">
        <v>3</v>
      </c>
      <c r="V4269" s="2" t="n">
        <v>3</v>
      </c>
      <c r="W4269" s="2" t="n">
        <v>4</v>
      </c>
      <c r="X4269" s="2" t="n">
        <v>3</v>
      </c>
      <c r="Y4269" s="2" t="n">
        <v>3</v>
      </c>
      <c r="Z4269" s="2" t="n">
        <v>3</v>
      </c>
    </row>
    <row r="4270" customFormat="false" ht="15" hidden="false" customHeight="true" outlineLevel="0" collapsed="false">
      <c r="A4270" s="2" t="n">
        <v>34</v>
      </c>
      <c r="B4270" s="2" t="s">
        <v>26</v>
      </c>
      <c r="C4270" s="2" t="s">
        <v>27</v>
      </c>
      <c r="D4270" s="2" t="s">
        <v>28</v>
      </c>
      <c r="E4270" s="2" t="n">
        <v>9</v>
      </c>
      <c r="F4270" s="2" t="n">
        <v>2</v>
      </c>
      <c r="G4270" s="2" t="s">
        <v>43</v>
      </c>
      <c r="H4270" s="2" t="n">
        <v>4269</v>
      </c>
      <c r="I4270" s="2" t="s">
        <v>39</v>
      </c>
      <c r="J4270" s="2" t="n">
        <v>2</v>
      </c>
      <c r="K4270" s="2" t="s">
        <v>31</v>
      </c>
      <c r="L4270" s="2" t="s">
        <v>37</v>
      </c>
      <c r="M4270" s="2" t="n">
        <v>48760</v>
      </c>
      <c r="N4270" s="2" t="n">
        <v>2</v>
      </c>
      <c r="O4270" s="2" t="n">
        <v>21</v>
      </c>
      <c r="P4270" s="2" t="n">
        <v>1</v>
      </c>
      <c r="Q4270" s="2" t="n">
        <v>14</v>
      </c>
      <c r="R4270" s="2" t="n">
        <v>3</v>
      </c>
      <c r="S4270" s="2" t="n">
        <v>11</v>
      </c>
      <c r="T4270" s="2" t="n">
        <v>5</v>
      </c>
      <c r="U4270" s="2" t="n">
        <v>8</v>
      </c>
      <c r="V4270" s="2" t="n">
        <v>3</v>
      </c>
      <c r="W4270" s="2" t="n">
        <v>1</v>
      </c>
      <c r="X4270" s="2" t="n">
        <v>3</v>
      </c>
      <c r="Y4270" s="2" t="n">
        <v>3</v>
      </c>
      <c r="Z4270" s="2" t="n">
        <v>4</v>
      </c>
    </row>
    <row r="4271" customFormat="false" ht="15" hidden="false" customHeight="true" outlineLevel="0" collapsed="false">
      <c r="A4271" s="2" t="n">
        <v>36</v>
      </c>
      <c r="B4271" s="2" t="s">
        <v>26</v>
      </c>
      <c r="C4271" s="2" t="s">
        <v>34</v>
      </c>
      <c r="D4271" s="2" t="s">
        <v>42</v>
      </c>
      <c r="E4271" s="2" t="n">
        <v>7</v>
      </c>
      <c r="F4271" s="2" t="n">
        <v>3</v>
      </c>
      <c r="G4271" s="2" t="s">
        <v>43</v>
      </c>
      <c r="H4271" s="2" t="n">
        <v>4270</v>
      </c>
      <c r="I4271" s="2" t="s">
        <v>39</v>
      </c>
      <c r="J4271" s="2" t="n">
        <v>1</v>
      </c>
      <c r="K4271" s="2" t="s">
        <v>36</v>
      </c>
      <c r="L4271" s="2" t="s">
        <v>32</v>
      </c>
      <c r="M4271" s="2" t="n">
        <v>26900</v>
      </c>
      <c r="N4271" s="2" t="n">
        <v>0</v>
      </c>
      <c r="O4271" s="2" t="n">
        <v>11</v>
      </c>
      <c r="P4271" s="2" t="n">
        <v>0</v>
      </c>
      <c r="Q4271" s="2" t="n">
        <v>10</v>
      </c>
      <c r="R4271" s="2" t="n">
        <v>1</v>
      </c>
      <c r="S4271" s="2" t="n">
        <v>9</v>
      </c>
      <c r="T4271" s="2" t="n">
        <v>2</v>
      </c>
      <c r="U4271" s="2" t="n">
        <v>8</v>
      </c>
      <c r="V4271" s="2" t="n">
        <v>2</v>
      </c>
      <c r="W4271" s="2" t="n">
        <v>4</v>
      </c>
      <c r="X4271" s="2" t="n">
        <v>3</v>
      </c>
      <c r="Y4271" s="2" t="n">
        <v>3</v>
      </c>
      <c r="Z4271" s="2" t="n">
        <v>3</v>
      </c>
    </row>
    <row r="4272" customFormat="false" ht="15" hidden="false" customHeight="true" outlineLevel="0" collapsed="false">
      <c r="A4272" s="2" t="n">
        <v>36</v>
      </c>
      <c r="B4272" s="2" t="s">
        <v>26</v>
      </c>
      <c r="C4272" s="2" t="s">
        <v>27</v>
      </c>
      <c r="D4272" s="2" t="s">
        <v>35</v>
      </c>
      <c r="E4272" s="2" t="n">
        <v>1</v>
      </c>
      <c r="F4272" s="2" t="n">
        <v>3</v>
      </c>
      <c r="G4272" s="2" t="s">
        <v>43</v>
      </c>
      <c r="H4272" s="2" t="n">
        <v>4271</v>
      </c>
      <c r="I4272" s="2" t="s">
        <v>30</v>
      </c>
      <c r="J4272" s="2" t="n">
        <v>2</v>
      </c>
      <c r="K4272" s="2" t="s">
        <v>47</v>
      </c>
      <c r="L4272" s="2" t="s">
        <v>46</v>
      </c>
      <c r="M4272" s="2" t="n">
        <v>175670</v>
      </c>
      <c r="N4272" s="2" t="n">
        <v>5</v>
      </c>
      <c r="O4272" s="2" t="n">
        <v>13</v>
      </c>
      <c r="P4272" s="2" t="n">
        <v>0</v>
      </c>
      <c r="Q4272" s="2" t="n">
        <v>7</v>
      </c>
      <c r="R4272" s="2" t="n">
        <v>6</v>
      </c>
      <c r="S4272" s="2" t="n">
        <v>1</v>
      </c>
      <c r="T4272" s="2" t="n">
        <v>0</v>
      </c>
      <c r="U4272" s="2" t="n">
        <v>0</v>
      </c>
      <c r="V4272" s="2" t="n">
        <v>1</v>
      </c>
      <c r="W4272" s="2" t="n">
        <v>4</v>
      </c>
      <c r="X4272" s="2" t="n">
        <v>3</v>
      </c>
      <c r="Y4272" s="2" t="n">
        <v>3</v>
      </c>
      <c r="Z4272" s="2" t="n">
        <v>3</v>
      </c>
    </row>
    <row r="4273" customFormat="false" ht="15" hidden="false" customHeight="true" outlineLevel="0" collapsed="false">
      <c r="A4273" s="2" t="n">
        <v>43</v>
      </c>
      <c r="B4273" s="2" t="s">
        <v>26</v>
      </c>
      <c r="C4273" s="2" t="s">
        <v>34</v>
      </c>
      <c r="D4273" s="2" t="s">
        <v>35</v>
      </c>
      <c r="E4273" s="2" t="n">
        <v>3</v>
      </c>
      <c r="F4273" s="2" t="n">
        <v>4</v>
      </c>
      <c r="G4273" s="2" t="s">
        <v>29</v>
      </c>
      <c r="H4273" s="2" t="n">
        <v>4272</v>
      </c>
      <c r="I4273" s="2" t="s">
        <v>39</v>
      </c>
      <c r="J4273" s="2" t="n">
        <v>1</v>
      </c>
      <c r="K4273" s="2" t="s">
        <v>40</v>
      </c>
      <c r="L4273" s="2" t="s">
        <v>32</v>
      </c>
      <c r="M4273" s="2" t="n">
        <v>24080</v>
      </c>
      <c r="N4273" s="2" t="n">
        <v>1</v>
      </c>
      <c r="O4273" s="2" t="n">
        <v>12</v>
      </c>
      <c r="P4273" s="2" t="n">
        <v>1</v>
      </c>
      <c r="Q4273" s="2" t="n">
        <v>25</v>
      </c>
      <c r="R4273" s="2" t="n">
        <v>3</v>
      </c>
      <c r="S4273" s="2" t="n">
        <v>25</v>
      </c>
      <c r="T4273" s="2" t="n">
        <v>4</v>
      </c>
      <c r="U4273" s="2" t="n">
        <v>12</v>
      </c>
      <c r="V4273" s="2" t="n">
        <v>3</v>
      </c>
      <c r="W4273" s="2" t="n">
        <v>4</v>
      </c>
      <c r="X4273" s="2" t="n">
        <v>4</v>
      </c>
      <c r="Y4273" s="2" t="n">
        <v>3</v>
      </c>
      <c r="Z4273" s="2" t="n">
        <v>3</v>
      </c>
    </row>
    <row r="4274" customFormat="false" ht="15" hidden="false" customHeight="true" outlineLevel="0" collapsed="false">
      <c r="A4274" s="2" t="n">
        <v>30</v>
      </c>
      <c r="B4274" s="2" t="s">
        <v>26</v>
      </c>
      <c r="C4274" s="2" t="s">
        <v>34</v>
      </c>
      <c r="D4274" s="2" t="s">
        <v>35</v>
      </c>
      <c r="E4274" s="2" t="n">
        <v>10</v>
      </c>
      <c r="F4274" s="2" t="n">
        <v>3</v>
      </c>
      <c r="G4274" s="2" t="s">
        <v>29</v>
      </c>
      <c r="H4274" s="2" t="n">
        <v>4273</v>
      </c>
      <c r="I4274" s="2" t="s">
        <v>30</v>
      </c>
      <c r="J4274" s="2" t="n">
        <v>3</v>
      </c>
      <c r="K4274" s="2" t="s">
        <v>31</v>
      </c>
      <c r="L4274" s="2" t="s">
        <v>46</v>
      </c>
      <c r="M4274" s="2" t="n">
        <v>28140</v>
      </c>
      <c r="N4274" s="2" t="n">
        <v>1</v>
      </c>
      <c r="O4274" s="2" t="n">
        <v>24</v>
      </c>
      <c r="P4274" s="2" t="n">
        <v>0</v>
      </c>
      <c r="Q4274" s="2" t="n">
        <v>10</v>
      </c>
      <c r="R4274" s="2" t="n">
        <v>2</v>
      </c>
      <c r="S4274" s="2" t="n">
        <v>10</v>
      </c>
      <c r="T4274" s="2" t="n">
        <v>0</v>
      </c>
      <c r="U4274" s="2" t="n">
        <v>9</v>
      </c>
      <c r="V4274" s="2" t="n">
        <v>1</v>
      </c>
      <c r="W4274" s="2" t="n">
        <v>3</v>
      </c>
      <c r="X4274" s="2" t="n">
        <v>2</v>
      </c>
      <c r="Y4274" s="2" t="n">
        <v>3</v>
      </c>
      <c r="Z4274" s="2" t="n">
        <v>4</v>
      </c>
    </row>
    <row r="4275" customFormat="false" ht="15" hidden="false" customHeight="true" outlineLevel="0" collapsed="false">
      <c r="A4275" s="2" t="n">
        <v>33</v>
      </c>
      <c r="B4275" s="2" t="s">
        <v>26</v>
      </c>
      <c r="C4275" s="2" t="s">
        <v>41</v>
      </c>
      <c r="D4275" s="2" t="s">
        <v>28</v>
      </c>
      <c r="E4275" s="2" t="n">
        <v>7</v>
      </c>
      <c r="F4275" s="2" t="n">
        <v>3</v>
      </c>
      <c r="G4275" s="2" t="s">
        <v>29</v>
      </c>
      <c r="H4275" s="2" t="n">
        <v>4274</v>
      </c>
      <c r="I4275" s="2" t="s">
        <v>39</v>
      </c>
      <c r="J4275" s="2" t="n">
        <v>2</v>
      </c>
      <c r="K4275" s="2" t="s">
        <v>40</v>
      </c>
      <c r="L4275" s="2" t="s">
        <v>32</v>
      </c>
      <c r="M4275" s="2" t="n">
        <v>112450</v>
      </c>
      <c r="N4275" s="2" t="n">
        <v>0</v>
      </c>
      <c r="O4275" s="2" t="n">
        <v>21</v>
      </c>
      <c r="P4275" s="2" t="n">
        <v>0</v>
      </c>
      <c r="Q4275" s="2" t="n">
        <v>8</v>
      </c>
      <c r="R4275" s="2" t="n">
        <v>3</v>
      </c>
      <c r="S4275" s="2" t="n">
        <v>7</v>
      </c>
      <c r="T4275" s="2" t="n">
        <v>0</v>
      </c>
      <c r="U4275" s="2" t="n">
        <v>7</v>
      </c>
      <c r="V4275" s="2" t="n">
        <v>3</v>
      </c>
      <c r="W4275" s="2" t="n">
        <v>2</v>
      </c>
      <c r="X4275" s="2" t="n">
        <v>4</v>
      </c>
      <c r="Y4275" s="2" t="n">
        <v>3</v>
      </c>
      <c r="Z4275" s="2" t="n">
        <v>4</v>
      </c>
    </row>
    <row r="4276" customFormat="false" ht="15" hidden="false" customHeight="true" outlineLevel="0" collapsed="false">
      <c r="A4276" s="2" t="n">
        <v>56</v>
      </c>
      <c r="B4276" s="2" t="s">
        <v>33</v>
      </c>
      <c r="C4276" s="2" t="s">
        <v>27</v>
      </c>
      <c r="D4276" s="2" t="s">
        <v>35</v>
      </c>
      <c r="E4276" s="2" t="n">
        <v>15</v>
      </c>
      <c r="F4276" s="2" t="n">
        <v>3</v>
      </c>
      <c r="G4276" s="2" t="s">
        <v>29</v>
      </c>
      <c r="H4276" s="2" t="n">
        <v>4275</v>
      </c>
      <c r="I4276" s="2" t="s">
        <v>39</v>
      </c>
      <c r="J4276" s="2" t="n">
        <v>2</v>
      </c>
      <c r="K4276" s="2" t="s">
        <v>45</v>
      </c>
      <c r="L4276" s="2" t="s">
        <v>32</v>
      </c>
      <c r="M4276" s="2" t="n">
        <v>33120</v>
      </c>
      <c r="N4276" s="2" t="n">
        <v>9</v>
      </c>
      <c r="O4276" s="2" t="n">
        <v>19</v>
      </c>
      <c r="P4276" s="2" t="n">
        <v>0</v>
      </c>
      <c r="Q4276" s="2" t="n">
        <v>7</v>
      </c>
      <c r="R4276" s="2" t="n">
        <v>1</v>
      </c>
      <c r="S4276" s="2" t="n">
        <v>5</v>
      </c>
      <c r="T4276" s="2" t="n">
        <v>4</v>
      </c>
      <c r="U4276" s="2" t="n">
        <v>3</v>
      </c>
      <c r="V4276" s="2" t="n">
        <v>2</v>
      </c>
      <c r="W4276" s="2" t="n">
        <v>2</v>
      </c>
      <c r="X4276" s="2" t="n">
        <v>3</v>
      </c>
      <c r="Y4276" s="2" t="n">
        <v>1</v>
      </c>
      <c r="Z4276" s="2" t="n">
        <v>3</v>
      </c>
    </row>
    <row r="4277" customFormat="false" ht="15" hidden="false" customHeight="true" outlineLevel="0" collapsed="false">
      <c r="A4277" s="2" t="n">
        <v>51</v>
      </c>
      <c r="B4277" s="2" t="s">
        <v>26</v>
      </c>
      <c r="C4277" s="2" t="s">
        <v>27</v>
      </c>
      <c r="D4277" s="2" t="s">
        <v>35</v>
      </c>
      <c r="E4277" s="2" t="n">
        <v>3</v>
      </c>
      <c r="F4277" s="2" t="n">
        <v>2</v>
      </c>
      <c r="G4277" s="2" t="s">
        <v>38</v>
      </c>
      <c r="H4277" s="2" t="n">
        <v>4276</v>
      </c>
      <c r="I4277" s="2" t="s">
        <v>30</v>
      </c>
      <c r="J4277" s="2" t="n">
        <v>2</v>
      </c>
      <c r="K4277" s="2" t="s">
        <v>48</v>
      </c>
      <c r="L4277" s="2" t="s">
        <v>37</v>
      </c>
      <c r="M4277" s="2" t="n">
        <v>190490</v>
      </c>
      <c r="N4277" s="2" t="n">
        <v>7</v>
      </c>
      <c r="O4277" s="2" t="n">
        <v>14</v>
      </c>
      <c r="P4277" s="2" t="n">
        <v>1</v>
      </c>
      <c r="Q4277" s="2" t="n">
        <v>23</v>
      </c>
      <c r="R4277" s="2" t="n">
        <v>2</v>
      </c>
      <c r="S4277" s="2" t="n">
        <v>20</v>
      </c>
      <c r="T4277" s="2" t="n">
        <v>15</v>
      </c>
      <c r="U4277" s="2" t="n">
        <v>15</v>
      </c>
      <c r="V4277" s="2" t="n">
        <v>1</v>
      </c>
      <c r="W4277" s="2" t="n">
        <v>3</v>
      </c>
      <c r="X4277" s="2" t="n">
        <v>3</v>
      </c>
      <c r="Y4277" s="2" t="n">
        <v>3</v>
      </c>
      <c r="Z4277" s="2" t="n">
        <v>3</v>
      </c>
    </row>
    <row r="4278" customFormat="false" ht="15" hidden="false" customHeight="true" outlineLevel="0" collapsed="false">
      <c r="A4278" s="2" t="n">
        <v>31</v>
      </c>
      <c r="B4278" s="2" t="s">
        <v>33</v>
      </c>
      <c r="C4278" s="2" t="s">
        <v>27</v>
      </c>
      <c r="D4278" s="2" t="s">
        <v>35</v>
      </c>
      <c r="E4278" s="2" t="n">
        <v>2</v>
      </c>
      <c r="F4278" s="2" t="n">
        <v>4</v>
      </c>
      <c r="G4278" s="2" t="s">
        <v>51</v>
      </c>
      <c r="H4278" s="2" t="n">
        <v>4277</v>
      </c>
      <c r="I4278" s="2" t="s">
        <v>30</v>
      </c>
      <c r="J4278" s="2" t="n">
        <v>3</v>
      </c>
      <c r="K4278" s="2" t="s">
        <v>40</v>
      </c>
      <c r="L4278" s="2" t="s">
        <v>32</v>
      </c>
      <c r="M4278" s="2" t="n">
        <v>21410</v>
      </c>
      <c r="N4278" s="2" t="n">
        <v>4</v>
      </c>
      <c r="O4278" s="2" t="n">
        <v>20</v>
      </c>
      <c r="P4278" s="2" t="n">
        <v>0</v>
      </c>
      <c r="Q4278" s="2" t="n">
        <v>12</v>
      </c>
      <c r="R4278" s="2" t="n">
        <v>2</v>
      </c>
      <c r="S4278" s="2" t="n">
        <v>7</v>
      </c>
      <c r="T4278" s="2" t="n">
        <v>7</v>
      </c>
      <c r="U4278" s="2" t="n">
        <v>7</v>
      </c>
      <c r="V4278" s="2" t="n">
        <v>2</v>
      </c>
      <c r="W4278" s="2" t="n">
        <v>3</v>
      </c>
      <c r="X4278" s="2" t="n">
        <v>2</v>
      </c>
      <c r="Y4278" s="2" t="n">
        <v>3</v>
      </c>
      <c r="Z4278" s="2" t="n">
        <v>4</v>
      </c>
    </row>
    <row r="4279" customFormat="false" ht="15" hidden="false" customHeight="true" outlineLevel="0" collapsed="false">
      <c r="A4279" s="2" t="n">
        <v>26</v>
      </c>
      <c r="B4279" s="2" t="s">
        <v>26</v>
      </c>
      <c r="C4279" s="2" t="s">
        <v>27</v>
      </c>
      <c r="D4279" s="2" t="s">
        <v>28</v>
      </c>
      <c r="E4279" s="2" t="n">
        <v>17</v>
      </c>
      <c r="F4279" s="2" t="n">
        <v>3</v>
      </c>
      <c r="G4279" s="2" t="s">
        <v>43</v>
      </c>
      <c r="H4279" s="2" t="n">
        <v>4278</v>
      </c>
      <c r="I4279" s="2" t="s">
        <v>30</v>
      </c>
      <c r="J4279" s="2" t="n">
        <v>2</v>
      </c>
      <c r="K4279" s="2" t="s">
        <v>49</v>
      </c>
      <c r="L4279" s="2" t="s">
        <v>32</v>
      </c>
      <c r="M4279" s="2" t="n">
        <v>57690</v>
      </c>
      <c r="N4279" s="2" t="n">
        <v>1</v>
      </c>
      <c r="O4279" s="2" t="n">
        <v>19</v>
      </c>
      <c r="P4279" s="2" t="n">
        <v>0</v>
      </c>
      <c r="Q4279" s="2" t="n">
        <v>5</v>
      </c>
      <c r="R4279" s="2" t="n">
        <v>4</v>
      </c>
      <c r="S4279" s="2" t="n">
        <v>5</v>
      </c>
      <c r="T4279" s="2" t="n">
        <v>4</v>
      </c>
      <c r="U4279" s="2" t="n">
        <v>3</v>
      </c>
      <c r="V4279" s="2" t="n">
        <v>3</v>
      </c>
      <c r="W4279" s="2" t="n">
        <v>2</v>
      </c>
      <c r="X4279" s="2" t="n">
        <v>2</v>
      </c>
      <c r="Y4279" s="2" t="n">
        <v>2</v>
      </c>
      <c r="Z4279" s="2" t="n">
        <v>3</v>
      </c>
    </row>
    <row r="4280" customFormat="false" ht="15" hidden="false" customHeight="true" outlineLevel="0" collapsed="false">
      <c r="A4280" s="2" t="n">
        <v>58</v>
      </c>
      <c r="B4280" s="2" t="s">
        <v>33</v>
      </c>
      <c r="C4280" s="2" t="s">
        <v>27</v>
      </c>
      <c r="D4280" s="2" t="s">
        <v>28</v>
      </c>
      <c r="E4280" s="2" t="n">
        <v>2</v>
      </c>
      <c r="F4280" s="2" t="n">
        <v>2</v>
      </c>
      <c r="G4280" s="2" t="s">
        <v>43</v>
      </c>
      <c r="H4280" s="2" t="n">
        <v>4279</v>
      </c>
      <c r="I4280" s="2" t="s">
        <v>30</v>
      </c>
      <c r="J4280" s="2" t="n">
        <v>1</v>
      </c>
      <c r="K4280" s="2" t="s">
        <v>36</v>
      </c>
      <c r="L4280" s="2" t="s">
        <v>32</v>
      </c>
      <c r="M4280" s="2" t="n">
        <v>43850</v>
      </c>
      <c r="N4280" s="2" t="n">
        <v>1</v>
      </c>
      <c r="O4280" s="2" t="n">
        <v>13</v>
      </c>
      <c r="P4280" s="2" t="n">
        <v>1</v>
      </c>
      <c r="Q4280" s="2" t="n">
        <v>40</v>
      </c>
      <c r="R4280" s="2" t="n">
        <v>2</v>
      </c>
      <c r="S4280" s="2" t="n">
        <v>40</v>
      </c>
      <c r="T4280" s="2" t="n">
        <v>15</v>
      </c>
      <c r="U4280" s="2" t="n">
        <v>6</v>
      </c>
      <c r="V4280" s="2" t="n">
        <v>4</v>
      </c>
      <c r="W4280" s="2" t="n">
        <v>4</v>
      </c>
      <c r="X4280" s="2" t="n">
        <v>2</v>
      </c>
      <c r="Y4280" s="2" t="n">
        <v>2</v>
      </c>
      <c r="Z4280" s="2" t="n">
        <v>3</v>
      </c>
    </row>
    <row r="4281" customFormat="false" ht="15" hidden="false" customHeight="true" outlineLevel="0" collapsed="false">
      <c r="A4281" s="2" t="n">
        <v>19</v>
      </c>
      <c r="B4281" s="2" t="s">
        <v>33</v>
      </c>
      <c r="C4281" s="2" t="s">
        <v>27</v>
      </c>
      <c r="D4281" s="2" t="s">
        <v>35</v>
      </c>
      <c r="E4281" s="2" t="n">
        <v>5</v>
      </c>
      <c r="F4281" s="2" t="n">
        <v>2</v>
      </c>
      <c r="G4281" s="2" t="s">
        <v>29</v>
      </c>
      <c r="H4281" s="2" t="n">
        <v>4280</v>
      </c>
      <c r="I4281" s="2" t="s">
        <v>39</v>
      </c>
      <c r="J4281" s="2" t="n">
        <v>1</v>
      </c>
      <c r="K4281" s="2" t="s">
        <v>49</v>
      </c>
      <c r="L4281" s="2" t="s">
        <v>37</v>
      </c>
      <c r="M4281" s="2" t="n">
        <v>53320</v>
      </c>
      <c r="N4281" s="2" t="n">
        <v>1</v>
      </c>
      <c r="O4281" s="2" t="n">
        <v>23</v>
      </c>
      <c r="P4281" s="2" t="n">
        <v>1</v>
      </c>
      <c r="Q4281" s="2" t="n">
        <v>0</v>
      </c>
      <c r="R4281" s="2" t="n">
        <v>2</v>
      </c>
      <c r="S4281" s="2" t="n">
        <v>0</v>
      </c>
      <c r="T4281" s="2" t="n">
        <v>0</v>
      </c>
      <c r="U4281" s="2" t="n">
        <v>0</v>
      </c>
      <c r="V4281" s="2" t="n">
        <v>4</v>
      </c>
      <c r="W4281" s="2" t="n">
        <v>3</v>
      </c>
      <c r="X4281" s="2" t="n">
        <v>2</v>
      </c>
      <c r="Y4281" s="2" t="n">
        <v>3</v>
      </c>
      <c r="Z4281" s="2" t="n">
        <v>4</v>
      </c>
    </row>
    <row r="4282" customFormat="false" ht="15" hidden="false" customHeight="true" outlineLevel="0" collapsed="false">
      <c r="A4282" s="2" t="n">
        <v>22</v>
      </c>
      <c r="B4282" s="2" t="s">
        <v>26</v>
      </c>
      <c r="C4282" s="2" t="s">
        <v>27</v>
      </c>
      <c r="D4282" s="2" t="s">
        <v>28</v>
      </c>
      <c r="E4282" s="2" t="n">
        <v>29</v>
      </c>
      <c r="F4282" s="2" t="n">
        <v>4</v>
      </c>
      <c r="G4282" s="2" t="s">
        <v>51</v>
      </c>
      <c r="H4282" s="2" t="n">
        <v>4281</v>
      </c>
      <c r="I4282" s="2" t="s">
        <v>39</v>
      </c>
      <c r="J4282" s="2" t="n">
        <v>1</v>
      </c>
      <c r="K4282" s="2" t="s">
        <v>40</v>
      </c>
      <c r="L4282" s="2" t="s">
        <v>32</v>
      </c>
      <c r="M4282" s="2" t="n">
        <v>46630</v>
      </c>
      <c r="N4282" s="2" t="n">
        <v>0</v>
      </c>
      <c r="O4282" s="2" t="n">
        <v>13</v>
      </c>
      <c r="P4282" s="2" t="n">
        <v>1</v>
      </c>
      <c r="Q4282" s="2" t="n">
        <v>3</v>
      </c>
      <c r="R4282" s="2" t="n">
        <v>1</v>
      </c>
      <c r="S4282" s="2" t="n">
        <v>2</v>
      </c>
      <c r="T4282" s="2" t="n">
        <v>2</v>
      </c>
      <c r="U4282" s="2" t="n">
        <v>1</v>
      </c>
      <c r="V4282" s="2" t="n">
        <v>3</v>
      </c>
      <c r="W4282" s="2" t="n">
        <v>4</v>
      </c>
      <c r="X4282" s="2" t="n">
        <v>3</v>
      </c>
      <c r="Y4282" s="2" t="n">
        <v>3</v>
      </c>
      <c r="Z4282" s="2" t="n">
        <v>3</v>
      </c>
    </row>
    <row r="4283" customFormat="false" ht="15" hidden="false" customHeight="true" outlineLevel="0" collapsed="false">
      <c r="A4283" s="2" t="n">
        <v>49</v>
      </c>
      <c r="B4283" s="2" t="s">
        <v>26</v>
      </c>
      <c r="C4283" s="2" t="s">
        <v>27</v>
      </c>
      <c r="D4283" s="2" t="s">
        <v>35</v>
      </c>
      <c r="E4283" s="2" t="n">
        <v>2</v>
      </c>
      <c r="F4283" s="2" t="n">
        <v>3</v>
      </c>
      <c r="G4283" s="2" t="s">
        <v>29</v>
      </c>
      <c r="H4283" s="2" t="n">
        <v>4282</v>
      </c>
      <c r="I4283" s="2" t="s">
        <v>30</v>
      </c>
      <c r="J4283" s="2" t="n">
        <v>1</v>
      </c>
      <c r="K4283" s="2" t="s">
        <v>40</v>
      </c>
      <c r="L4283" s="2" t="s">
        <v>32</v>
      </c>
      <c r="M4283" s="2" t="n">
        <v>47240</v>
      </c>
      <c r="N4283" s="2" t="n">
        <v>1</v>
      </c>
      <c r="O4283" s="2" t="n">
        <v>11</v>
      </c>
      <c r="P4283" s="2" t="n">
        <v>1</v>
      </c>
      <c r="Q4283" s="2" t="n">
        <v>16</v>
      </c>
      <c r="R4283" s="2" t="n">
        <v>3</v>
      </c>
      <c r="S4283" s="2" t="n">
        <v>15</v>
      </c>
      <c r="T4283" s="2" t="n">
        <v>5</v>
      </c>
      <c r="U4283" s="2" t="n">
        <v>11</v>
      </c>
      <c r="V4283" s="2" t="n">
        <v>3</v>
      </c>
      <c r="W4283" s="2" t="n">
        <v>1</v>
      </c>
      <c r="X4283" s="2" t="n">
        <v>2</v>
      </c>
      <c r="Y4283" s="2" t="n">
        <v>2</v>
      </c>
      <c r="Z4283" s="2" t="n">
        <v>3</v>
      </c>
    </row>
    <row r="4284" customFormat="false" ht="15" hidden="false" customHeight="true" outlineLevel="0" collapsed="false">
      <c r="A4284" s="2" t="n">
        <v>43</v>
      </c>
      <c r="B4284" s="2" t="s">
        <v>26</v>
      </c>
      <c r="C4284" s="2" t="s">
        <v>34</v>
      </c>
      <c r="D4284" s="2" t="s">
        <v>28</v>
      </c>
      <c r="E4284" s="2" t="n">
        <v>2</v>
      </c>
      <c r="F4284" s="2" t="n">
        <v>2</v>
      </c>
      <c r="G4284" s="2" t="s">
        <v>29</v>
      </c>
      <c r="H4284" s="2" t="n">
        <v>4283</v>
      </c>
      <c r="I4284" s="2" t="s">
        <v>39</v>
      </c>
      <c r="J4284" s="2" t="n">
        <v>1</v>
      </c>
      <c r="K4284" s="2" t="s">
        <v>40</v>
      </c>
      <c r="L4284" s="2" t="s">
        <v>37</v>
      </c>
      <c r="M4284" s="2" t="n">
        <v>32110</v>
      </c>
      <c r="N4284" s="2" t="n">
        <v>4</v>
      </c>
      <c r="O4284" s="2" t="n">
        <v>13</v>
      </c>
      <c r="P4284" s="2" t="n">
        <v>0</v>
      </c>
      <c r="Q4284" s="2" t="n">
        <v>18</v>
      </c>
      <c r="R4284" s="2" t="n">
        <v>2</v>
      </c>
      <c r="S4284" s="2" t="n">
        <v>3</v>
      </c>
      <c r="T4284" s="2" t="n">
        <v>1</v>
      </c>
      <c r="U4284" s="2" t="n">
        <v>2</v>
      </c>
      <c r="V4284" s="2" t="n">
        <v>2</v>
      </c>
      <c r="W4284" s="2" t="n">
        <v>3</v>
      </c>
      <c r="X4284" s="2" t="n">
        <v>3</v>
      </c>
      <c r="Y4284" s="2" t="n">
        <v>4</v>
      </c>
      <c r="Z4284" s="2" t="n">
        <v>3</v>
      </c>
    </row>
    <row r="4285" customFormat="false" ht="15" hidden="false" customHeight="true" outlineLevel="0" collapsed="false">
      <c r="A4285" s="2" t="n">
        <v>50</v>
      </c>
      <c r="B4285" s="2" t="s">
        <v>26</v>
      </c>
      <c r="C4285" s="2" t="s">
        <v>34</v>
      </c>
      <c r="D4285" s="2" t="s">
        <v>35</v>
      </c>
      <c r="E4285" s="2" t="n">
        <v>19</v>
      </c>
      <c r="F4285" s="2" t="n">
        <v>4</v>
      </c>
      <c r="G4285" s="2" t="s">
        <v>29</v>
      </c>
      <c r="H4285" s="2" t="n">
        <v>4284</v>
      </c>
      <c r="I4285" s="2" t="s">
        <v>39</v>
      </c>
      <c r="J4285" s="2" t="n">
        <v>2</v>
      </c>
      <c r="K4285" s="2" t="s">
        <v>40</v>
      </c>
      <c r="L4285" s="2" t="s">
        <v>37</v>
      </c>
      <c r="M4285" s="2" t="n">
        <v>53770</v>
      </c>
      <c r="N4285" s="2" t="n">
        <v>4</v>
      </c>
      <c r="O4285" s="2" t="n">
        <v>14</v>
      </c>
      <c r="P4285" s="2" t="n">
        <v>1</v>
      </c>
      <c r="Q4285" s="2" t="n">
        <v>16</v>
      </c>
      <c r="R4285" s="2" t="n">
        <v>3</v>
      </c>
      <c r="S4285" s="2" t="n">
        <v>2</v>
      </c>
      <c r="T4285" s="2" t="n">
        <v>2</v>
      </c>
      <c r="U4285" s="2" t="n">
        <v>1</v>
      </c>
      <c r="V4285" s="2" t="n">
        <v>3</v>
      </c>
      <c r="W4285" s="2" t="n">
        <v>4</v>
      </c>
      <c r="X4285" s="2" t="n">
        <v>3</v>
      </c>
      <c r="Y4285" s="2" t="n">
        <v>4</v>
      </c>
      <c r="Z4285" s="2" t="n">
        <v>3</v>
      </c>
    </row>
    <row r="4286" customFormat="false" ht="15" hidden="false" customHeight="true" outlineLevel="0" collapsed="false">
      <c r="A4286" s="2" t="n">
        <v>31</v>
      </c>
      <c r="B4286" s="2" t="s">
        <v>33</v>
      </c>
      <c r="C4286" s="2" t="s">
        <v>27</v>
      </c>
      <c r="D4286" s="2" t="s">
        <v>35</v>
      </c>
      <c r="E4286" s="2" t="n">
        <v>15</v>
      </c>
      <c r="F4286" s="2" t="n">
        <v>1</v>
      </c>
      <c r="G4286" s="2" t="s">
        <v>43</v>
      </c>
      <c r="H4286" s="2" t="n">
        <v>4285</v>
      </c>
      <c r="I4286" s="2" t="s">
        <v>30</v>
      </c>
      <c r="J4286" s="2" t="n">
        <v>2</v>
      </c>
      <c r="K4286" s="2" t="s">
        <v>40</v>
      </c>
      <c r="L4286" s="2" t="s">
        <v>32</v>
      </c>
      <c r="M4286" s="2" t="n">
        <v>40660</v>
      </c>
      <c r="N4286" s="2" t="n">
        <v>3</v>
      </c>
      <c r="O4286" s="2" t="n">
        <v>22</v>
      </c>
      <c r="P4286" s="2" t="n">
        <v>0</v>
      </c>
      <c r="Q4286" s="2" t="n">
        <v>4</v>
      </c>
      <c r="R4286" s="2" t="n">
        <v>2</v>
      </c>
      <c r="S4286" s="2" t="n">
        <v>2</v>
      </c>
      <c r="T4286" s="2" t="n">
        <v>2</v>
      </c>
      <c r="U4286" s="2" t="n">
        <v>2</v>
      </c>
      <c r="V4286" s="2" t="n">
        <v>2</v>
      </c>
      <c r="W4286" s="2" t="n">
        <v>3</v>
      </c>
      <c r="X4286" s="2" t="n">
        <v>3</v>
      </c>
      <c r="Y4286" s="2" t="n">
        <v>2</v>
      </c>
      <c r="Z4286" s="2" t="n">
        <v>4</v>
      </c>
    </row>
    <row r="4287" customFormat="false" ht="15" hidden="false" customHeight="true" outlineLevel="0" collapsed="false">
      <c r="A4287" s="2" t="n">
        <v>41</v>
      </c>
      <c r="B4287" s="2" t="s">
        <v>26</v>
      </c>
      <c r="C4287" s="2" t="s">
        <v>27</v>
      </c>
      <c r="D4287" s="2" t="s">
        <v>35</v>
      </c>
      <c r="E4287" s="2" t="n">
        <v>17</v>
      </c>
      <c r="F4287" s="2" t="n">
        <v>2</v>
      </c>
      <c r="G4287" s="2" t="s">
        <v>38</v>
      </c>
      <c r="H4287" s="2" t="n">
        <v>4286</v>
      </c>
      <c r="I4287" s="2" t="s">
        <v>39</v>
      </c>
      <c r="J4287" s="2" t="n">
        <v>1</v>
      </c>
      <c r="K4287" s="2" t="s">
        <v>47</v>
      </c>
      <c r="L4287" s="2" t="s">
        <v>46</v>
      </c>
      <c r="M4287" s="2" t="n">
        <v>52080</v>
      </c>
      <c r="N4287" s="2" t="n">
        <v>3</v>
      </c>
      <c r="O4287" s="2" t="n">
        <v>11</v>
      </c>
      <c r="P4287" s="2" t="n">
        <v>3</v>
      </c>
      <c r="Q4287" s="2" t="n">
        <v>12</v>
      </c>
      <c r="R4287" s="2" t="n">
        <v>2</v>
      </c>
      <c r="S4287" s="2" t="n">
        <v>9</v>
      </c>
      <c r="T4287" s="2" t="n">
        <v>0</v>
      </c>
      <c r="U4287" s="2" t="n">
        <v>7</v>
      </c>
      <c r="V4287" s="2" t="n">
        <v>3</v>
      </c>
      <c r="W4287" s="2" t="n">
        <v>3</v>
      </c>
      <c r="X4287" s="2" t="n">
        <v>3</v>
      </c>
      <c r="Y4287" s="2" t="n">
        <v>1</v>
      </c>
      <c r="Z4287" s="2" t="n">
        <v>3</v>
      </c>
    </row>
    <row r="4288" customFormat="false" ht="15" hidden="false" customHeight="true" outlineLevel="0" collapsed="false">
      <c r="A4288" s="2" t="n">
        <v>26</v>
      </c>
      <c r="B4288" s="2" t="s">
        <v>26</v>
      </c>
      <c r="C4288" s="2" t="s">
        <v>27</v>
      </c>
      <c r="D4288" s="2" t="s">
        <v>35</v>
      </c>
      <c r="E4288" s="2" t="n">
        <v>17</v>
      </c>
      <c r="F4288" s="2" t="n">
        <v>4</v>
      </c>
      <c r="G4288" s="2" t="s">
        <v>29</v>
      </c>
      <c r="H4288" s="2" t="n">
        <v>4287</v>
      </c>
      <c r="I4288" s="2" t="s">
        <v>39</v>
      </c>
      <c r="J4288" s="2" t="n">
        <v>2</v>
      </c>
      <c r="K4288" s="2" t="s">
        <v>40</v>
      </c>
      <c r="L4288" s="2" t="s">
        <v>32</v>
      </c>
      <c r="M4288" s="2" t="n">
        <v>48770</v>
      </c>
      <c r="N4288" s="2" t="n">
        <v>1</v>
      </c>
      <c r="O4288" s="2" t="n">
        <v>13</v>
      </c>
      <c r="P4288" s="2" t="n">
        <v>1</v>
      </c>
      <c r="Q4288" s="2" t="n">
        <v>8</v>
      </c>
      <c r="R4288" s="2" t="n">
        <v>5</v>
      </c>
      <c r="S4288" s="2" t="n">
        <v>8</v>
      </c>
      <c r="T4288" s="2" t="n">
        <v>5</v>
      </c>
      <c r="U4288" s="2" t="n">
        <v>7</v>
      </c>
      <c r="V4288" s="2" t="n">
        <v>3</v>
      </c>
      <c r="W4288" s="2" t="n">
        <v>3</v>
      </c>
      <c r="X4288" s="2" t="n">
        <v>3</v>
      </c>
      <c r="Y4288" s="2" t="n">
        <v>4</v>
      </c>
      <c r="Z4288" s="2" t="n">
        <v>3</v>
      </c>
    </row>
    <row r="4289" customFormat="false" ht="15" hidden="false" customHeight="true" outlineLevel="0" collapsed="false">
      <c r="A4289" s="2" t="n">
        <v>36</v>
      </c>
      <c r="B4289" s="2" t="s">
        <v>26</v>
      </c>
      <c r="C4289" s="2" t="s">
        <v>27</v>
      </c>
      <c r="D4289" s="2" t="s">
        <v>42</v>
      </c>
      <c r="E4289" s="2" t="n">
        <v>25</v>
      </c>
      <c r="F4289" s="2" t="n">
        <v>1</v>
      </c>
      <c r="G4289" s="2" t="s">
        <v>42</v>
      </c>
      <c r="H4289" s="2" t="n">
        <v>4288</v>
      </c>
      <c r="I4289" s="2" t="s">
        <v>39</v>
      </c>
      <c r="J4289" s="2" t="n">
        <v>2</v>
      </c>
      <c r="K4289" s="2" t="s">
        <v>36</v>
      </c>
      <c r="L4289" s="2" t="s">
        <v>46</v>
      </c>
      <c r="M4289" s="2" t="n">
        <v>31170</v>
      </c>
      <c r="N4289" s="2" t="n">
        <v>6</v>
      </c>
      <c r="O4289" s="2" t="n">
        <v>21</v>
      </c>
      <c r="P4289" s="2" t="n">
        <v>1</v>
      </c>
      <c r="Q4289" s="2" t="n">
        <v>7</v>
      </c>
      <c r="R4289" s="2" t="n">
        <v>2</v>
      </c>
      <c r="S4289" s="2" t="n">
        <v>3</v>
      </c>
      <c r="T4289" s="2" t="n">
        <v>0</v>
      </c>
      <c r="U4289" s="2" t="n">
        <v>1</v>
      </c>
      <c r="V4289" s="2" t="n">
        <v>2</v>
      </c>
      <c r="W4289" s="2" t="n">
        <v>2</v>
      </c>
      <c r="X4289" s="2" t="n">
        <v>3</v>
      </c>
      <c r="Y4289" s="2" t="n">
        <v>4</v>
      </c>
      <c r="Z4289" s="2" t="n">
        <v>4</v>
      </c>
    </row>
    <row r="4290" customFormat="false" ht="15" hidden="false" customHeight="true" outlineLevel="0" collapsed="false">
      <c r="A4290" s="2" t="n">
        <v>51</v>
      </c>
      <c r="B4290" s="2" t="s">
        <v>33</v>
      </c>
      <c r="C4290" s="2" t="s">
        <v>34</v>
      </c>
      <c r="D4290" s="2" t="s">
        <v>35</v>
      </c>
      <c r="E4290" s="2" t="n">
        <v>6</v>
      </c>
      <c r="F4290" s="2" t="n">
        <v>3</v>
      </c>
      <c r="G4290" s="2" t="s">
        <v>29</v>
      </c>
      <c r="H4290" s="2" t="n">
        <v>4289</v>
      </c>
      <c r="I4290" s="2" t="s">
        <v>30</v>
      </c>
      <c r="J4290" s="2" t="n">
        <v>1</v>
      </c>
      <c r="K4290" s="2" t="s">
        <v>49</v>
      </c>
      <c r="L4290" s="2" t="s">
        <v>37</v>
      </c>
      <c r="M4290" s="2" t="n">
        <v>15690</v>
      </c>
      <c r="N4290" s="2" t="n">
        <v>2</v>
      </c>
      <c r="O4290" s="2" t="n">
        <v>11</v>
      </c>
      <c r="P4290" s="2" t="n">
        <v>0</v>
      </c>
      <c r="Q4290" s="2" t="n">
        <v>18</v>
      </c>
      <c r="R4290" s="2" t="n">
        <v>2</v>
      </c>
      <c r="S4290" s="2" t="n">
        <v>4</v>
      </c>
      <c r="T4290" s="2" t="n">
        <v>0</v>
      </c>
      <c r="U4290" s="2" t="n">
        <v>3</v>
      </c>
      <c r="V4290" s="2" t="n">
        <v>1</v>
      </c>
      <c r="W4290" s="2" t="n">
        <v>4</v>
      </c>
      <c r="X4290" s="2" t="n">
        <v>3</v>
      </c>
      <c r="Y4290" s="2" t="n">
        <v>4</v>
      </c>
      <c r="Z4290" s="2" t="n">
        <v>3</v>
      </c>
    </row>
    <row r="4291" customFormat="false" ht="15" hidden="false" customHeight="true" outlineLevel="0" collapsed="false">
      <c r="A4291" s="2" t="n">
        <v>39</v>
      </c>
      <c r="B4291" s="2" t="s">
        <v>26</v>
      </c>
      <c r="C4291" s="2" t="s">
        <v>27</v>
      </c>
      <c r="D4291" s="2" t="s">
        <v>35</v>
      </c>
      <c r="E4291" s="2" t="n">
        <v>7</v>
      </c>
      <c r="F4291" s="2" t="n">
        <v>3</v>
      </c>
      <c r="G4291" s="2" t="s">
        <v>29</v>
      </c>
      <c r="H4291" s="2" t="n">
        <v>4290</v>
      </c>
      <c r="I4291" s="2" t="s">
        <v>30</v>
      </c>
      <c r="J4291" s="2" t="n">
        <v>1</v>
      </c>
      <c r="K4291" s="2" t="s">
        <v>36</v>
      </c>
      <c r="L4291" s="2" t="s">
        <v>32</v>
      </c>
      <c r="M4291" s="2" t="n">
        <v>196580</v>
      </c>
      <c r="N4291" s="2" t="n">
        <v>4</v>
      </c>
      <c r="O4291" s="2" t="n">
        <v>13</v>
      </c>
      <c r="P4291" s="2" t="n">
        <v>1</v>
      </c>
      <c r="Q4291" s="2" t="n">
        <v>17</v>
      </c>
      <c r="R4291" s="2" t="n">
        <v>3</v>
      </c>
      <c r="S4291" s="2" t="n">
        <v>15</v>
      </c>
      <c r="T4291" s="2" t="n">
        <v>5</v>
      </c>
      <c r="U4291" s="2" t="n">
        <v>9</v>
      </c>
      <c r="V4291" s="2" t="n">
        <v>4</v>
      </c>
      <c r="W4291" s="2" t="n">
        <v>3</v>
      </c>
      <c r="X4291" s="2" t="n">
        <v>4</v>
      </c>
      <c r="Y4291" s="2" t="n">
        <v>4</v>
      </c>
      <c r="Z4291" s="2" t="n">
        <v>3</v>
      </c>
    </row>
    <row r="4292" customFormat="false" ht="15" hidden="false" customHeight="true" outlineLevel="0" collapsed="false">
      <c r="A4292" s="2" t="n">
        <v>25</v>
      </c>
      <c r="B4292" s="2" t="s">
        <v>26</v>
      </c>
      <c r="C4292" s="2" t="s">
        <v>27</v>
      </c>
      <c r="D4292" s="2" t="s">
        <v>28</v>
      </c>
      <c r="E4292" s="2" t="n">
        <v>29</v>
      </c>
      <c r="F4292" s="2" t="n">
        <v>1</v>
      </c>
      <c r="G4292" s="2" t="s">
        <v>43</v>
      </c>
      <c r="H4292" s="2" t="n">
        <v>4291</v>
      </c>
      <c r="I4292" s="2" t="s">
        <v>30</v>
      </c>
      <c r="J4292" s="2" t="n">
        <v>3</v>
      </c>
      <c r="K4292" s="2" t="s">
        <v>36</v>
      </c>
      <c r="L4292" s="2" t="s">
        <v>32</v>
      </c>
      <c r="M4292" s="2" t="n">
        <v>30690</v>
      </c>
      <c r="N4292" s="2" t="n">
        <v>2</v>
      </c>
      <c r="O4292" s="2" t="n">
        <v>14</v>
      </c>
      <c r="P4292" s="2" t="n">
        <v>1</v>
      </c>
      <c r="Q4292" s="2" t="n">
        <v>6</v>
      </c>
      <c r="R4292" s="2" t="n">
        <v>3</v>
      </c>
      <c r="S4292" s="2" t="n">
        <v>2</v>
      </c>
      <c r="T4292" s="2" t="n">
        <v>2</v>
      </c>
      <c r="U4292" s="2" t="n">
        <v>2</v>
      </c>
      <c r="V4292" s="2" t="n">
        <v>1</v>
      </c>
      <c r="W4292" s="2" t="n">
        <v>3</v>
      </c>
      <c r="X4292" s="2" t="n">
        <v>3</v>
      </c>
      <c r="Y4292" s="2" t="n">
        <v>2</v>
      </c>
      <c r="Z4292" s="2" t="n">
        <v>3</v>
      </c>
    </row>
    <row r="4293" customFormat="false" ht="15" hidden="false" customHeight="true" outlineLevel="0" collapsed="false">
      <c r="A4293" s="2" t="n">
        <v>30</v>
      </c>
      <c r="B4293" s="2" t="s">
        <v>26</v>
      </c>
      <c r="C4293" s="2" t="s">
        <v>27</v>
      </c>
      <c r="D4293" s="2" t="s">
        <v>35</v>
      </c>
      <c r="E4293" s="2" t="n">
        <v>21</v>
      </c>
      <c r="F4293" s="2" t="n">
        <v>1</v>
      </c>
      <c r="G4293" s="2" t="s">
        <v>43</v>
      </c>
      <c r="H4293" s="2" t="n">
        <v>4292</v>
      </c>
      <c r="I4293" s="2" t="s">
        <v>39</v>
      </c>
      <c r="J4293" s="2" t="n">
        <v>2</v>
      </c>
      <c r="K4293" s="2" t="s">
        <v>45</v>
      </c>
      <c r="L4293" s="2" t="s">
        <v>32</v>
      </c>
      <c r="M4293" s="2" t="n">
        <v>104350</v>
      </c>
      <c r="N4293" s="2" t="n">
        <v>0</v>
      </c>
      <c r="O4293" s="2" t="n">
        <v>11</v>
      </c>
      <c r="P4293" s="2" t="n">
        <v>0</v>
      </c>
      <c r="Q4293" s="2" t="n">
        <v>12</v>
      </c>
      <c r="R4293" s="2" t="n">
        <v>5</v>
      </c>
      <c r="S4293" s="2" t="n">
        <v>11</v>
      </c>
      <c r="T4293" s="2" t="n">
        <v>4</v>
      </c>
      <c r="U4293" s="2" t="n">
        <v>7</v>
      </c>
      <c r="V4293" s="2" t="n">
        <v>3</v>
      </c>
      <c r="W4293" s="2" t="n">
        <v>4</v>
      </c>
      <c r="X4293" s="2" t="n">
        <v>1</v>
      </c>
      <c r="Y4293" s="2" t="n">
        <v>3</v>
      </c>
      <c r="Z4293" s="2" t="n">
        <v>3</v>
      </c>
    </row>
    <row r="4294" customFormat="false" ht="15" hidden="false" customHeight="true" outlineLevel="0" collapsed="false">
      <c r="A4294" s="2" t="n">
        <v>32</v>
      </c>
      <c r="B4294" s="2" t="s">
        <v>33</v>
      </c>
      <c r="C4294" s="2" t="s">
        <v>27</v>
      </c>
      <c r="D4294" s="2" t="s">
        <v>35</v>
      </c>
      <c r="E4294" s="2" t="n">
        <v>2</v>
      </c>
      <c r="F4294" s="2" t="n">
        <v>4</v>
      </c>
      <c r="G4294" s="2" t="s">
        <v>29</v>
      </c>
      <c r="H4294" s="2" t="n">
        <v>4293</v>
      </c>
      <c r="I4294" s="2" t="s">
        <v>30</v>
      </c>
      <c r="J4294" s="2" t="n">
        <v>2</v>
      </c>
      <c r="K4294" s="2" t="s">
        <v>44</v>
      </c>
      <c r="L4294" s="2" t="s">
        <v>37</v>
      </c>
      <c r="M4294" s="2" t="n">
        <v>41480</v>
      </c>
      <c r="N4294" s="2" t="n">
        <v>7</v>
      </c>
      <c r="O4294" s="2" t="n">
        <v>15</v>
      </c>
      <c r="P4294" s="2" t="n">
        <v>0</v>
      </c>
      <c r="Q4294" s="2" t="n">
        <v>10</v>
      </c>
      <c r="R4294" s="2" t="n">
        <v>0</v>
      </c>
      <c r="S4294" s="2" t="n">
        <v>5</v>
      </c>
      <c r="T4294" s="2" t="n">
        <v>0</v>
      </c>
      <c r="U4294" s="2" t="n">
        <v>4</v>
      </c>
      <c r="V4294" s="2" t="n">
        <v>1</v>
      </c>
      <c r="W4294" s="2" t="n">
        <v>1</v>
      </c>
      <c r="X4294" s="2" t="n">
        <v>4</v>
      </c>
      <c r="Y4294" s="2" t="n">
        <v>2</v>
      </c>
      <c r="Z4294" s="2" t="n">
        <v>3</v>
      </c>
    </row>
    <row r="4295" customFormat="false" ht="15" hidden="false" customHeight="true" outlineLevel="0" collapsed="false">
      <c r="A4295" s="2" t="n">
        <v>45</v>
      </c>
      <c r="B4295" s="2" t="s">
        <v>26</v>
      </c>
      <c r="C4295" s="2" t="s">
        <v>27</v>
      </c>
      <c r="D4295" s="2" t="s">
        <v>35</v>
      </c>
      <c r="E4295" s="2" t="n">
        <v>2</v>
      </c>
      <c r="F4295" s="2" t="n">
        <v>1</v>
      </c>
      <c r="G4295" s="2" t="s">
        <v>51</v>
      </c>
      <c r="H4295" s="2" t="n">
        <v>4294</v>
      </c>
      <c r="I4295" s="2" t="s">
        <v>30</v>
      </c>
      <c r="J4295" s="2" t="n">
        <v>2</v>
      </c>
      <c r="K4295" s="2" t="s">
        <v>31</v>
      </c>
      <c r="L4295" s="2" t="s">
        <v>37</v>
      </c>
      <c r="M4295" s="2" t="n">
        <v>57680</v>
      </c>
      <c r="N4295" s="2" t="n">
        <v>5</v>
      </c>
      <c r="O4295" s="2" t="n">
        <v>23</v>
      </c>
      <c r="P4295" s="2" t="n">
        <v>1</v>
      </c>
      <c r="Q4295" s="2" t="n">
        <v>9</v>
      </c>
      <c r="R4295" s="2" t="n">
        <v>4</v>
      </c>
      <c r="S4295" s="2" t="n">
        <v>6</v>
      </c>
      <c r="T4295" s="2" t="n">
        <v>0</v>
      </c>
      <c r="U4295" s="2" t="n">
        <v>3</v>
      </c>
      <c r="V4295" s="2" t="n">
        <v>3</v>
      </c>
      <c r="W4295" s="2" t="n">
        <v>4</v>
      </c>
      <c r="X4295" s="2" t="n">
        <v>2</v>
      </c>
      <c r="Y4295" s="2" t="n">
        <v>3</v>
      </c>
      <c r="Z4295" s="2" t="n">
        <v>4</v>
      </c>
    </row>
    <row r="4296" customFormat="false" ht="15" hidden="false" customHeight="true" outlineLevel="0" collapsed="false">
      <c r="A4296" s="2" t="n">
        <v>38</v>
      </c>
      <c r="B4296" s="2" t="s">
        <v>26</v>
      </c>
      <c r="C4296" s="2" t="s">
        <v>27</v>
      </c>
      <c r="D4296" s="2" t="s">
        <v>35</v>
      </c>
      <c r="E4296" s="2" t="n">
        <v>7</v>
      </c>
      <c r="F4296" s="2" t="n">
        <v>4</v>
      </c>
      <c r="G4296" s="2" t="s">
        <v>29</v>
      </c>
      <c r="H4296" s="2" t="n">
        <v>4295</v>
      </c>
      <c r="I4296" s="2" t="s">
        <v>30</v>
      </c>
      <c r="J4296" s="2" t="n">
        <v>2</v>
      </c>
      <c r="K4296" s="2" t="s">
        <v>44</v>
      </c>
      <c r="L4296" s="2" t="s">
        <v>37</v>
      </c>
      <c r="M4296" s="2" t="n">
        <v>50420</v>
      </c>
      <c r="N4296" s="2" t="n">
        <v>3</v>
      </c>
      <c r="O4296" s="2" t="n">
        <v>16</v>
      </c>
      <c r="P4296" s="2" t="n">
        <v>1</v>
      </c>
      <c r="Q4296" s="2" t="n">
        <v>19</v>
      </c>
      <c r="R4296" s="2" t="n">
        <v>4</v>
      </c>
      <c r="S4296" s="2" t="n">
        <v>3</v>
      </c>
      <c r="T4296" s="2" t="n">
        <v>2</v>
      </c>
      <c r="U4296" s="2" t="n">
        <v>2</v>
      </c>
      <c r="V4296" s="2" t="n">
        <v>4</v>
      </c>
      <c r="W4296" s="2" t="n">
        <v>3</v>
      </c>
      <c r="X4296" s="2" t="n">
        <v>3</v>
      </c>
      <c r="Y4296" s="2" t="n">
        <v>3</v>
      </c>
      <c r="Z4296" s="2" t="n">
        <v>3</v>
      </c>
    </row>
    <row r="4297" customFormat="false" ht="15" hidden="false" customHeight="true" outlineLevel="0" collapsed="false">
      <c r="A4297" s="2" t="n">
        <v>30</v>
      </c>
      <c r="B4297" s="2" t="s">
        <v>26</v>
      </c>
      <c r="C4297" s="2" t="s">
        <v>27</v>
      </c>
      <c r="D4297" s="2" t="s">
        <v>28</v>
      </c>
      <c r="E4297" s="2" t="n">
        <v>13</v>
      </c>
      <c r="F4297" s="2" t="n">
        <v>3</v>
      </c>
      <c r="G4297" s="2" t="s">
        <v>50</v>
      </c>
      <c r="H4297" s="2" t="n">
        <v>4296</v>
      </c>
      <c r="I4297" s="2" t="s">
        <v>30</v>
      </c>
      <c r="J4297" s="2" t="n">
        <v>2</v>
      </c>
      <c r="K4297" s="2" t="s">
        <v>45</v>
      </c>
      <c r="L4297" s="2" t="s">
        <v>37</v>
      </c>
      <c r="M4297" s="2" t="n">
        <v>57700</v>
      </c>
      <c r="N4297" s="2" t="n">
        <v>1</v>
      </c>
      <c r="O4297" s="2" t="n">
        <v>16</v>
      </c>
      <c r="P4297" s="2" t="n">
        <v>1</v>
      </c>
      <c r="Q4297" s="2" t="n">
        <v>5</v>
      </c>
      <c r="R4297" s="2" t="n">
        <v>2</v>
      </c>
      <c r="S4297" s="2" t="n">
        <v>5</v>
      </c>
      <c r="T4297" s="2" t="n">
        <v>0</v>
      </c>
      <c r="U4297" s="2" t="n">
        <v>4</v>
      </c>
      <c r="V4297" s="2" t="n">
        <v>1</v>
      </c>
      <c r="W4297" s="2" t="n">
        <v>3</v>
      </c>
      <c r="X4297" s="2" t="n">
        <v>2</v>
      </c>
      <c r="Y4297" s="2" t="n">
        <v>4</v>
      </c>
      <c r="Z4297" s="2" t="n">
        <v>3</v>
      </c>
    </row>
    <row r="4298" customFormat="false" ht="15" hidden="false" customHeight="true" outlineLevel="0" collapsed="false">
      <c r="A4298" s="2" t="n">
        <v>32</v>
      </c>
      <c r="B4298" s="2" t="s">
        <v>26</v>
      </c>
      <c r="C4298" s="2" t="s">
        <v>34</v>
      </c>
      <c r="D4298" s="2" t="s">
        <v>28</v>
      </c>
      <c r="E4298" s="2" t="n">
        <v>2</v>
      </c>
      <c r="F4298" s="2" t="n">
        <v>3</v>
      </c>
      <c r="G4298" s="2" t="s">
        <v>50</v>
      </c>
      <c r="H4298" s="2" t="n">
        <v>4297</v>
      </c>
      <c r="I4298" s="2" t="s">
        <v>39</v>
      </c>
      <c r="J4298" s="2" t="n">
        <v>3</v>
      </c>
      <c r="K4298" s="2" t="s">
        <v>45</v>
      </c>
      <c r="L4298" s="2" t="s">
        <v>46</v>
      </c>
      <c r="M4298" s="2" t="n">
        <v>77560</v>
      </c>
      <c r="N4298" s="2" t="n">
        <v>0</v>
      </c>
      <c r="O4298" s="2" t="n">
        <v>21</v>
      </c>
      <c r="P4298" s="2" t="n">
        <v>0</v>
      </c>
      <c r="Q4298" s="2" t="n">
        <v>9</v>
      </c>
      <c r="R4298" s="2" t="n">
        <v>3</v>
      </c>
      <c r="S4298" s="2" t="n">
        <v>8</v>
      </c>
      <c r="T4298" s="2" t="n">
        <v>0</v>
      </c>
      <c r="U4298" s="2" t="n">
        <v>7</v>
      </c>
      <c r="V4298" s="2" t="n">
        <v>4</v>
      </c>
      <c r="W4298" s="2" t="n">
        <v>4</v>
      </c>
      <c r="X4298" s="2" t="n">
        <v>4</v>
      </c>
      <c r="Y4298" s="2" t="n">
        <v>3</v>
      </c>
      <c r="Z4298" s="2" t="n">
        <v>4</v>
      </c>
    </row>
    <row r="4299" customFormat="false" ht="15" hidden="false" customHeight="true" outlineLevel="0" collapsed="false">
      <c r="A4299" s="2" t="n">
        <v>30</v>
      </c>
      <c r="B4299" s="2" t="s">
        <v>26</v>
      </c>
      <c r="C4299" s="2" t="s">
        <v>27</v>
      </c>
      <c r="D4299" s="2" t="s">
        <v>35</v>
      </c>
      <c r="E4299" s="2" t="n">
        <v>1</v>
      </c>
      <c r="F4299" s="2" t="n">
        <v>3</v>
      </c>
      <c r="G4299" s="2" t="s">
        <v>43</v>
      </c>
      <c r="H4299" s="2" t="n">
        <v>4298</v>
      </c>
      <c r="I4299" s="2" t="s">
        <v>30</v>
      </c>
      <c r="J4299" s="2" t="n">
        <v>3</v>
      </c>
      <c r="K4299" s="2" t="s">
        <v>40</v>
      </c>
      <c r="L4299" s="2" t="s">
        <v>46</v>
      </c>
      <c r="M4299" s="2" t="n">
        <v>103060</v>
      </c>
      <c r="N4299" s="2" t="n">
        <v>5</v>
      </c>
      <c r="O4299" s="2" t="n">
        <v>13</v>
      </c>
      <c r="P4299" s="2" t="n">
        <v>0</v>
      </c>
      <c r="Q4299" s="2" t="n">
        <v>8</v>
      </c>
      <c r="R4299" s="2" t="n">
        <v>5</v>
      </c>
      <c r="S4299" s="2" t="n">
        <v>3</v>
      </c>
      <c r="T4299" s="2" t="n">
        <v>2</v>
      </c>
      <c r="U4299" s="2" t="n">
        <v>2</v>
      </c>
      <c r="V4299" s="2" t="n">
        <v>4</v>
      </c>
      <c r="W4299" s="2" t="n">
        <v>1</v>
      </c>
      <c r="X4299" s="2" t="n">
        <v>3</v>
      </c>
      <c r="Y4299" s="2" t="n">
        <v>3</v>
      </c>
      <c r="Z4299" s="2" t="n">
        <v>3</v>
      </c>
    </row>
    <row r="4300" customFormat="false" ht="15" hidden="false" customHeight="true" outlineLevel="0" collapsed="false">
      <c r="A4300" s="2" t="n">
        <v>30</v>
      </c>
      <c r="B4300" s="2" t="s">
        <v>26</v>
      </c>
      <c r="C4300" s="2" t="s">
        <v>27</v>
      </c>
      <c r="D4300" s="2" t="s">
        <v>28</v>
      </c>
      <c r="E4300" s="2" t="n">
        <v>9</v>
      </c>
      <c r="F4300" s="2" t="n">
        <v>3</v>
      </c>
      <c r="G4300" s="2" t="s">
        <v>43</v>
      </c>
      <c r="H4300" s="2" t="n">
        <v>4299</v>
      </c>
      <c r="I4300" s="2" t="s">
        <v>39</v>
      </c>
      <c r="J4300" s="2" t="n">
        <v>2</v>
      </c>
      <c r="K4300" s="2" t="s">
        <v>36</v>
      </c>
      <c r="L4300" s="2" t="s">
        <v>37</v>
      </c>
      <c r="M4300" s="2" t="n">
        <v>39360</v>
      </c>
      <c r="N4300" s="2" t="n">
        <v>0</v>
      </c>
      <c r="O4300" s="2" t="n">
        <v>11</v>
      </c>
      <c r="P4300" s="2" t="n">
        <v>1</v>
      </c>
      <c r="Q4300" s="2" t="n">
        <v>6</v>
      </c>
      <c r="R4300" s="2" t="n">
        <v>3</v>
      </c>
      <c r="S4300" s="2" t="n">
        <v>5</v>
      </c>
      <c r="T4300" s="2" t="n">
        <v>1</v>
      </c>
      <c r="U4300" s="2" t="n">
        <v>2</v>
      </c>
      <c r="V4300" s="2" t="n">
        <v>2</v>
      </c>
      <c r="W4300" s="2" t="n">
        <v>4</v>
      </c>
      <c r="X4300" s="2" t="n">
        <v>3</v>
      </c>
      <c r="Y4300" s="2" t="n">
        <v>3</v>
      </c>
      <c r="Z4300" s="2" t="n">
        <v>3</v>
      </c>
    </row>
    <row r="4301" customFormat="false" ht="15" hidden="false" customHeight="true" outlineLevel="0" collapsed="false">
      <c r="A4301" s="2" t="n">
        <v>41</v>
      </c>
      <c r="B4301" s="2" t="s">
        <v>26</v>
      </c>
      <c r="C4301" s="2" t="s">
        <v>34</v>
      </c>
      <c r="D4301" s="2" t="s">
        <v>28</v>
      </c>
      <c r="E4301" s="2" t="n">
        <v>10</v>
      </c>
      <c r="F4301" s="2" t="n">
        <v>2</v>
      </c>
      <c r="G4301" s="2" t="s">
        <v>43</v>
      </c>
      <c r="H4301" s="2" t="n">
        <v>4300</v>
      </c>
      <c r="I4301" s="2" t="s">
        <v>30</v>
      </c>
      <c r="J4301" s="2" t="n">
        <v>3</v>
      </c>
      <c r="K4301" s="2" t="s">
        <v>47</v>
      </c>
      <c r="L4301" s="2" t="s">
        <v>46</v>
      </c>
      <c r="M4301" s="2" t="n">
        <v>79450</v>
      </c>
      <c r="N4301" s="2" t="n">
        <v>4</v>
      </c>
      <c r="O4301" s="2" t="n">
        <v>12</v>
      </c>
      <c r="P4301" s="2" t="n">
        <v>1</v>
      </c>
      <c r="Q4301" s="2" t="n">
        <v>21</v>
      </c>
      <c r="R4301" s="2" t="n">
        <v>6</v>
      </c>
      <c r="S4301" s="2" t="n">
        <v>7</v>
      </c>
      <c r="T4301" s="2" t="n">
        <v>7</v>
      </c>
      <c r="U4301" s="2" t="n">
        <v>7</v>
      </c>
      <c r="V4301" s="2" t="n">
        <v>4</v>
      </c>
      <c r="W4301" s="2" t="n">
        <v>1</v>
      </c>
      <c r="X4301" s="2" t="n">
        <v>2</v>
      </c>
      <c r="Y4301" s="2" t="n">
        <v>2</v>
      </c>
      <c r="Z4301" s="2" t="n">
        <v>3</v>
      </c>
    </row>
    <row r="4302" customFormat="false" ht="15" hidden="false" customHeight="true" outlineLevel="0" collapsed="false">
      <c r="A4302" s="2" t="n">
        <v>41</v>
      </c>
      <c r="B4302" s="2" t="s">
        <v>26</v>
      </c>
      <c r="C4302" s="2" t="s">
        <v>27</v>
      </c>
      <c r="D4302" s="2" t="s">
        <v>35</v>
      </c>
      <c r="E4302" s="2" t="n">
        <v>10</v>
      </c>
      <c r="F4302" s="2" t="n">
        <v>4</v>
      </c>
      <c r="G4302" s="2" t="s">
        <v>43</v>
      </c>
      <c r="H4302" s="2" t="n">
        <v>4301</v>
      </c>
      <c r="I4302" s="2" t="s">
        <v>39</v>
      </c>
      <c r="J4302" s="2" t="n">
        <v>4</v>
      </c>
      <c r="K4302" s="2" t="s">
        <v>36</v>
      </c>
      <c r="L4302" s="2" t="s">
        <v>32</v>
      </c>
      <c r="M4302" s="2" t="n">
        <v>57430</v>
      </c>
      <c r="N4302" s="2" t="n">
        <v>2</v>
      </c>
      <c r="O4302" s="2" t="n">
        <v>12</v>
      </c>
      <c r="P4302" s="2" t="n">
        <v>3</v>
      </c>
      <c r="Q4302" s="2" t="n">
        <v>7</v>
      </c>
      <c r="R4302" s="2" t="n">
        <v>2</v>
      </c>
      <c r="S4302" s="2" t="n">
        <v>5</v>
      </c>
      <c r="T4302" s="2" t="n">
        <v>1</v>
      </c>
      <c r="U4302" s="2" t="n">
        <v>4</v>
      </c>
      <c r="V4302" s="2" t="n">
        <v>3</v>
      </c>
      <c r="W4302" s="2" t="n">
        <v>1</v>
      </c>
      <c r="X4302" s="2" t="n">
        <v>3</v>
      </c>
      <c r="Y4302" s="2" t="n">
        <v>4</v>
      </c>
      <c r="Z4302" s="2" t="n">
        <v>3</v>
      </c>
    </row>
    <row r="4303" customFormat="false" ht="15" hidden="false" customHeight="true" outlineLevel="0" collapsed="false">
      <c r="A4303" s="2" t="n">
        <v>19</v>
      </c>
      <c r="B4303" s="2" t="s">
        <v>26</v>
      </c>
      <c r="C4303" s="2" t="s">
        <v>27</v>
      </c>
      <c r="D4303" s="2" t="s">
        <v>35</v>
      </c>
      <c r="E4303" s="2" t="n">
        <v>1</v>
      </c>
      <c r="F4303" s="2" t="n">
        <v>3</v>
      </c>
      <c r="G4303" s="2" t="s">
        <v>38</v>
      </c>
      <c r="H4303" s="2" t="n">
        <v>4302</v>
      </c>
      <c r="I4303" s="2" t="s">
        <v>30</v>
      </c>
      <c r="J4303" s="2" t="n">
        <v>5</v>
      </c>
      <c r="K4303" s="2" t="s">
        <v>47</v>
      </c>
      <c r="L4303" s="2" t="s">
        <v>37</v>
      </c>
      <c r="M4303" s="2" t="n">
        <v>152020</v>
      </c>
      <c r="N4303" s="2" t="n">
        <v>1</v>
      </c>
      <c r="O4303" s="2" t="n">
        <v>18</v>
      </c>
      <c r="P4303" s="2" t="n">
        <v>3</v>
      </c>
      <c r="Q4303" s="2" t="n">
        <v>1</v>
      </c>
      <c r="R4303" s="2" t="n">
        <v>2</v>
      </c>
      <c r="S4303" s="2" t="n">
        <v>1</v>
      </c>
      <c r="T4303" s="2" t="n">
        <v>0</v>
      </c>
      <c r="U4303" s="2" t="n">
        <v>0</v>
      </c>
      <c r="V4303" s="2" t="n">
        <v>2</v>
      </c>
      <c r="W4303" s="2" t="n">
        <v>2</v>
      </c>
      <c r="X4303" s="2" t="n">
        <v>3</v>
      </c>
      <c r="Y4303" s="2" t="n">
        <v>2</v>
      </c>
      <c r="Z4303" s="2" t="n">
        <v>3</v>
      </c>
    </row>
    <row r="4304" customFormat="false" ht="15" hidden="false" customHeight="true" outlineLevel="0" collapsed="false">
      <c r="A4304" s="2" t="n">
        <v>40</v>
      </c>
      <c r="B4304" s="2" t="s">
        <v>26</v>
      </c>
      <c r="C4304" s="2" t="s">
        <v>34</v>
      </c>
      <c r="D4304" s="2" t="s">
        <v>35</v>
      </c>
      <c r="E4304" s="2" t="n">
        <v>26</v>
      </c>
      <c r="F4304" s="2" t="n">
        <v>4</v>
      </c>
      <c r="G4304" s="2" t="s">
        <v>43</v>
      </c>
      <c r="H4304" s="2" t="n">
        <v>4303</v>
      </c>
      <c r="I4304" s="2" t="s">
        <v>39</v>
      </c>
      <c r="J4304" s="2" t="n">
        <v>2</v>
      </c>
      <c r="K4304" s="2" t="s">
        <v>47</v>
      </c>
      <c r="L4304" s="2" t="s">
        <v>46</v>
      </c>
      <c r="M4304" s="2" t="n">
        <v>54400</v>
      </c>
      <c r="N4304" s="2" t="n">
        <v>1</v>
      </c>
      <c r="O4304" s="2" t="n">
        <v>12</v>
      </c>
      <c r="P4304" s="2" t="n">
        <v>1</v>
      </c>
      <c r="Q4304" s="2" t="n">
        <v>20</v>
      </c>
      <c r="R4304" s="2" t="n">
        <v>2</v>
      </c>
      <c r="S4304" s="2" t="n">
        <v>20</v>
      </c>
      <c r="T4304" s="2" t="n">
        <v>2</v>
      </c>
      <c r="U4304" s="2" t="n">
        <v>13</v>
      </c>
      <c r="V4304" s="2" t="n">
        <v>2</v>
      </c>
      <c r="W4304" s="2" t="n">
        <v>2</v>
      </c>
      <c r="X4304" s="2" t="n">
        <v>3</v>
      </c>
      <c r="Y4304" s="2" t="n">
        <v>3</v>
      </c>
      <c r="Z4304" s="2" t="n">
        <v>3</v>
      </c>
    </row>
    <row r="4305" customFormat="false" ht="15" hidden="false" customHeight="true" outlineLevel="0" collapsed="false">
      <c r="A4305" s="2" t="n">
        <v>35</v>
      </c>
      <c r="B4305" s="2" t="s">
        <v>26</v>
      </c>
      <c r="C4305" s="2" t="s">
        <v>27</v>
      </c>
      <c r="D4305" s="2" t="s">
        <v>28</v>
      </c>
      <c r="E4305" s="2" t="n">
        <v>8</v>
      </c>
      <c r="F4305" s="2" t="n">
        <v>1</v>
      </c>
      <c r="G4305" s="2" t="s">
        <v>50</v>
      </c>
      <c r="H4305" s="2" t="n">
        <v>4304</v>
      </c>
      <c r="I4305" s="2" t="s">
        <v>30</v>
      </c>
      <c r="J4305" s="2" t="n">
        <v>3</v>
      </c>
      <c r="K4305" s="2" t="s">
        <v>45</v>
      </c>
      <c r="L4305" s="2" t="s">
        <v>32</v>
      </c>
      <c r="M4305" s="2" t="n">
        <v>37600</v>
      </c>
      <c r="N4305" s="2" t="n">
        <v>1</v>
      </c>
      <c r="O4305" s="2" t="n">
        <v>14</v>
      </c>
      <c r="P4305" s="2" t="n">
        <v>3</v>
      </c>
      <c r="Q4305" s="2" t="n">
        <v>10</v>
      </c>
      <c r="R4305" s="2" t="n">
        <v>2</v>
      </c>
      <c r="S4305" s="2" t="n">
        <v>10</v>
      </c>
      <c r="T4305" s="2" t="n">
        <v>0</v>
      </c>
      <c r="U4305" s="2" t="n">
        <v>6</v>
      </c>
      <c r="V4305" s="2" t="n">
        <v>3</v>
      </c>
      <c r="W4305" s="2" t="n">
        <v>2</v>
      </c>
      <c r="X4305" s="2" t="n">
        <v>3</v>
      </c>
      <c r="Y4305" s="2" t="n">
        <v>3</v>
      </c>
      <c r="Z4305" s="2" t="n">
        <v>3</v>
      </c>
    </row>
    <row r="4306" customFormat="false" ht="15" hidden="false" customHeight="true" outlineLevel="0" collapsed="false">
      <c r="A4306" s="2" t="n">
        <v>53</v>
      </c>
      <c r="B4306" s="2" t="s">
        <v>26</v>
      </c>
      <c r="C4306" s="2" t="s">
        <v>27</v>
      </c>
      <c r="D4306" s="2" t="s">
        <v>28</v>
      </c>
      <c r="E4306" s="2" t="n">
        <v>14</v>
      </c>
      <c r="F4306" s="2" t="n">
        <v>2</v>
      </c>
      <c r="G4306" s="2" t="s">
        <v>29</v>
      </c>
      <c r="H4306" s="2" t="n">
        <v>4305</v>
      </c>
      <c r="I4306" s="2" t="s">
        <v>30</v>
      </c>
      <c r="J4306" s="2" t="n">
        <v>5</v>
      </c>
      <c r="K4306" s="2" t="s">
        <v>47</v>
      </c>
      <c r="L4306" s="2" t="s">
        <v>32</v>
      </c>
      <c r="M4306" s="2" t="n">
        <v>35170</v>
      </c>
      <c r="N4306" s="2" t="n">
        <v>2</v>
      </c>
      <c r="O4306" s="2" t="n">
        <v>12</v>
      </c>
      <c r="P4306" s="2" t="n">
        <v>1</v>
      </c>
      <c r="Q4306" s="2" t="n">
        <v>13</v>
      </c>
      <c r="R4306" s="2" t="n">
        <v>1</v>
      </c>
      <c r="S4306" s="2" t="n">
        <v>7</v>
      </c>
      <c r="T4306" s="2" t="n">
        <v>4</v>
      </c>
      <c r="U4306" s="2" t="n">
        <v>5</v>
      </c>
      <c r="V4306" s="2" t="n">
        <v>2</v>
      </c>
      <c r="W4306" s="2" t="n">
        <v>3</v>
      </c>
      <c r="X4306" s="2" t="n">
        <v>1</v>
      </c>
      <c r="Y4306" s="2" t="n">
        <v>2</v>
      </c>
      <c r="Z4306" s="2" t="n">
        <v>3</v>
      </c>
    </row>
    <row r="4307" customFormat="false" ht="15" hidden="false" customHeight="true" outlineLevel="0" collapsed="false">
      <c r="A4307" s="2" t="n">
        <v>45</v>
      </c>
      <c r="B4307" s="2" t="s">
        <v>26</v>
      </c>
      <c r="C4307" s="2" t="s">
        <v>27</v>
      </c>
      <c r="D4307" s="2" t="s">
        <v>28</v>
      </c>
      <c r="E4307" s="2" t="n">
        <v>1</v>
      </c>
      <c r="F4307" s="2" t="n">
        <v>4</v>
      </c>
      <c r="G4307" s="2" t="s">
        <v>51</v>
      </c>
      <c r="H4307" s="2" t="n">
        <v>4306</v>
      </c>
      <c r="I4307" s="2" t="s">
        <v>39</v>
      </c>
      <c r="J4307" s="2" t="n">
        <v>1</v>
      </c>
      <c r="K4307" s="2" t="s">
        <v>36</v>
      </c>
      <c r="L4307" s="2" t="s">
        <v>46</v>
      </c>
      <c r="M4307" s="2" t="n">
        <v>25800</v>
      </c>
      <c r="N4307" s="2" t="n">
        <v>8</v>
      </c>
      <c r="O4307" s="2" t="n">
        <v>17</v>
      </c>
      <c r="P4307" s="2" t="n">
        <v>3</v>
      </c>
      <c r="Q4307" s="2" t="n">
        <v>20</v>
      </c>
      <c r="R4307" s="2" t="n">
        <v>3</v>
      </c>
      <c r="S4307" s="2" t="n">
        <v>17</v>
      </c>
      <c r="T4307" s="2" t="n">
        <v>0</v>
      </c>
      <c r="U4307" s="2" t="n">
        <v>15</v>
      </c>
      <c r="V4307" s="2" t="n">
        <v>2</v>
      </c>
      <c r="W4307" s="2" t="n">
        <v>2</v>
      </c>
      <c r="X4307" s="2"/>
      <c r="Y4307" s="2" t="n">
        <v>3</v>
      </c>
      <c r="Z4307" s="2" t="n">
        <v>3</v>
      </c>
    </row>
    <row r="4308" customFormat="false" ht="15" hidden="false" customHeight="true" outlineLevel="0" collapsed="false">
      <c r="A4308" s="2" t="n">
        <v>32</v>
      </c>
      <c r="B4308" s="2" t="s">
        <v>26</v>
      </c>
      <c r="C4308" s="2" t="s">
        <v>34</v>
      </c>
      <c r="D4308" s="2" t="s">
        <v>28</v>
      </c>
      <c r="E4308" s="2" t="n">
        <v>2</v>
      </c>
      <c r="F4308" s="2" t="n">
        <v>2</v>
      </c>
      <c r="G4308" s="2" t="s">
        <v>29</v>
      </c>
      <c r="H4308" s="2" t="n">
        <v>4307</v>
      </c>
      <c r="I4308" s="2" t="s">
        <v>30</v>
      </c>
      <c r="J4308" s="2" t="n">
        <v>1</v>
      </c>
      <c r="K4308" s="2" t="s">
        <v>47</v>
      </c>
      <c r="L4308" s="2" t="s">
        <v>37</v>
      </c>
      <c r="M4308" s="2" t="n">
        <v>21660</v>
      </c>
      <c r="N4308" s="2" t="n">
        <v>1</v>
      </c>
      <c r="O4308" s="2" t="n">
        <v>19</v>
      </c>
      <c r="P4308" s="2" t="n">
        <v>1</v>
      </c>
      <c r="Q4308" s="2" t="n">
        <v>9</v>
      </c>
      <c r="R4308" s="2" t="n">
        <v>4</v>
      </c>
      <c r="S4308" s="2" t="n">
        <v>9</v>
      </c>
      <c r="T4308" s="2" t="n">
        <v>3</v>
      </c>
      <c r="U4308" s="2" t="n">
        <v>7</v>
      </c>
      <c r="V4308" s="2" t="n">
        <v>2</v>
      </c>
      <c r="W4308" s="2" t="n">
        <v>4</v>
      </c>
      <c r="X4308" s="2" t="n">
        <v>3</v>
      </c>
      <c r="Y4308" s="2" t="n">
        <v>1</v>
      </c>
      <c r="Z4308" s="2" t="n">
        <v>3</v>
      </c>
    </row>
    <row r="4309" customFormat="false" ht="15" hidden="false" customHeight="true" outlineLevel="0" collapsed="false">
      <c r="A4309" s="2" t="n">
        <v>29</v>
      </c>
      <c r="B4309" s="2" t="s">
        <v>26</v>
      </c>
      <c r="C4309" s="2" t="s">
        <v>41</v>
      </c>
      <c r="D4309" s="2" t="s">
        <v>35</v>
      </c>
      <c r="E4309" s="2" t="n">
        <v>10</v>
      </c>
      <c r="F4309" s="2" t="n">
        <v>4</v>
      </c>
      <c r="G4309" s="2" t="s">
        <v>51</v>
      </c>
      <c r="H4309" s="2" t="n">
        <v>4308</v>
      </c>
      <c r="I4309" s="2" t="s">
        <v>39</v>
      </c>
      <c r="J4309" s="2" t="n">
        <v>3</v>
      </c>
      <c r="K4309" s="2" t="s">
        <v>31</v>
      </c>
      <c r="L4309" s="2" t="s">
        <v>32</v>
      </c>
      <c r="M4309" s="2" t="n">
        <v>58690</v>
      </c>
      <c r="N4309" s="2" t="n">
        <v>1</v>
      </c>
      <c r="O4309" s="2" t="n">
        <v>11</v>
      </c>
      <c r="P4309" s="2" t="n">
        <v>1</v>
      </c>
      <c r="Q4309" s="2" t="n">
        <v>10</v>
      </c>
      <c r="R4309" s="2" t="n">
        <v>6</v>
      </c>
      <c r="S4309" s="2" t="n">
        <v>10</v>
      </c>
      <c r="T4309" s="2" t="n">
        <v>0</v>
      </c>
      <c r="U4309" s="2" t="n">
        <v>9</v>
      </c>
      <c r="V4309" s="2" t="n">
        <v>4</v>
      </c>
      <c r="W4309" s="2" t="n">
        <v>3</v>
      </c>
      <c r="X4309" s="2" t="n">
        <v>3</v>
      </c>
      <c r="Y4309" s="2" t="n">
        <v>4</v>
      </c>
      <c r="Z4309" s="2" t="n">
        <v>3</v>
      </c>
    </row>
    <row r="4310" customFormat="false" ht="15" hidden="false" customHeight="true" outlineLevel="0" collapsed="false">
      <c r="A4310" s="2" t="n">
        <v>51</v>
      </c>
      <c r="B4310" s="2" t="s">
        <v>26</v>
      </c>
      <c r="C4310" s="2" t="s">
        <v>27</v>
      </c>
      <c r="D4310" s="2" t="s">
        <v>35</v>
      </c>
      <c r="E4310" s="2" t="n">
        <v>1</v>
      </c>
      <c r="F4310" s="2" t="n">
        <v>3</v>
      </c>
      <c r="G4310" s="2" t="s">
        <v>38</v>
      </c>
      <c r="H4310" s="2" t="n">
        <v>4309</v>
      </c>
      <c r="I4310" s="2" t="s">
        <v>30</v>
      </c>
      <c r="J4310" s="2" t="n">
        <v>3</v>
      </c>
      <c r="K4310" s="2" t="s">
        <v>44</v>
      </c>
      <c r="L4310" s="2" t="s">
        <v>32</v>
      </c>
      <c r="M4310" s="2" t="n">
        <v>80080</v>
      </c>
      <c r="N4310" s="2" t="n">
        <v>2</v>
      </c>
      <c r="O4310" s="2" t="n">
        <v>15</v>
      </c>
      <c r="P4310" s="2" t="n">
        <v>1</v>
      </c>
      <c r="Q4310" s="2" t="n">
        <v>10</v>
      </c>
      <c r="R4310" s="2" t="n">
        <v>4</v>
      </c>
      <c r="S4310" s="2" t="n">
        <v>1</v>
      </c>
      <c r="T4310" s="2" t="n">
        <v>0</v>
      </c>
      <c r="U4310" s="2" t="n">
        <v>0</v>
      </c>
      <c r="V4310" s="2" t="n">
        <v>2</v>
      </c>
      <c r="W4310" s="2" t="n">
        <v>3</v>
      </c>
      <c r="X4310" s="2" t="n">
        <v>3</v>
      </c>
      <c r="Y4310" s="2" t="n">
        <v>3</v>
      </c>
      <c r="Z4310" s="2" t="n">
        <v>3</v>
      </c>
    </row>
    <row r="4311" customFormat="false" ht="15" hidden="false" customHeight="true" outlineLevel="0" collapsed="false">
      <c r="A4311" s="2" t="n">
        <v>58</v>
      </c>
      <c r="B4311" s="2" t="s">
        <v>26</v>
      </c>
      <c r="C4311" s="2" t="s">
        <v>27</v>
      </c>
      <c r="D4311" s="2" t="s">
        <v>28</v>
      </c>
      <c r="E4311" s="2" t="n">
        <v>3</v>
      </c>
      <c r="F4311" s="2" t="n">
        <v>3</v>
      </c>
      <c r="G4311" s="2" t="s">
        <v>50</v>
      </c>
      <c r="H4311" s="2" t="n">
        <v>4310</v>
      </c>
      <c r="I4311" s="2" t="s">
        <v>30</v>
      </c>
      <c r="J4311" s="2" t="n">
        <v>1</v>
      </c>
      <c r="K4311" s="2" t="s">
        <v>36</v>
      </c>
      <c r="L4311" s="2" t="s">
        <v>32</v>
      </c>
      <c r="M4311" s="2" t="n">
        <v>52060</v>
      </c>
      <c r="N4311" s="2" t="n">
        <v>4</v>
      </c>
      <c r="O4311" s="2" t="n">
        <v>11</v>
      </c>
      <c r="P4311" s="2" t="n">
        <v>3</v>
      </c>
      <c r="Q4311" s="2" t="n">
        <v>9</v>
      </c>
      <c r="R4311" s="2" t="n">
        <v>4</v>
      </c>
      <c r="S4311" s="2" t="n">
        <v>1</v>
      </c>
      <c r="T4311" s="2" t="n">
        <v>0</v>
      </c>
      <c r="U4311" s="2" t="n">
        <v>0</v>
      </c>
      <c r="V4311" s="2" t="n">
        <v>2</v>
      </c>
      <c r="W4311" s="2" t="n">
        <v>2</v>
      </c>
      <c r="X4311" s="2" t="n">
        <v>2</v>
      </c>
      <c r="Y4311" s="2" t="n">
        <v>1</v>
      </c>
      <c r="Z4311" s="2" t="n">
        <v>3</v>
      </c>
    </row>
    <row r="4312" customFormat="false" ht="15" hidden="false" customHeight="true" outlineLevel="0" collapsed="false">
      <c r="A4312" s="2" t="n">
        <v>40</v>
      </c>
      <c r="B4312" s="2" t="s">
        <v>26</v>
      </c>
      <c r="C4312" s="2" t="s">
        <v>27</v>
      </c>
      <c r="D4312" s="2" t="s">
        <v>35</v>
      </c>
      <c r="E4312" s="2" t="n">
        <v>11</v>
      </c>
      <c r="F4312" s="2" t="n">
        <v>2</v>
      </c>
      <c r="G4312" s="2" t="s">
        <v>51</v>
      </c>
      <c r="H4312" s="2" t="n">
        <v>4311</v>
      </c>
      <c r="I4312" s="2" t="s">
        <v>39</v>
      </c>
      <c r="J4312" s="2" t="n">
        <v>4</v>
      </c>
      <c r="K4312" s="2" t="s">
        <v>45</v>
      </c>
      <c r="L4312" s="2" t="s">
        <v>32</v>
      </c>
      <c r="M4312" s="2" t="n">
        <v>52950</v>
      </c>
      <c r="N4312" s="2" t="n">
        <v>7</v>
      </c>
      <c r="O4312" s="2" t="n">
        <v>18</v>
      </c>
      <c r="P4312" s="2" t="n">
        <v>0</v>
      </c>
      <c r="Q4312" s="2" t="n">
        <v>15</v>
      </c>
      <c r="R4312" s="2" t="n">
        <v>4</v>
      </c>
      <c r="S4312" s="2" t="n">
        <v>12</v>
      </c>
      <c r="T4312" s="2" t="n">
        <v>2</v>
      </c>
      <c r="U4312" s="2" t="n">
        <v>11</v>
      </c>
      <c r="V4312" s="2" t="n">
        <v>3</v>
      </c>
      <c r="W4312" s="2" t="n">
        <v>4</v>
      </c>
      <c r="X4312" s="2" t="n">
        <v>2</v>
      </c>
      <c r="Y4312" s="2" t="n">
        <v>3</v>
      </c>
      <c r="Z4312" s="2" t="n">
        <v>3</v>
      </c>
    </row>
    <row r="4313" customFormat="false" ht="15" hidden="false" customHeight="true" outlineLevel="0" collapsed="false">
      <c r="A4313" s="2" t="n">
        <v>34</v>
      </c>
      <c r="B4313" s="2" t="s">
        <v>26</v>
      </c>
      <c r="C4313" s="2" t="s">
        <v>34</v>
      </c>
      <c r="D4313" s="2" t="s">
        <v>28</v>
      </c>
      <c r="E4313" s="2" t="n">
        <v>24</v>
      </c>
      <c r="F4313" s="2" t="n">
        <v>4</v>
      </c>
      <c r="G4313" s="2" t="s">
        <v>50</v>
      </c>
      <c r="H4313" s="2" t="n">
        <v>4312</v>
      </c>
      <c r="I4313" s="2" t="s">
        <v>39</v>
      </c>
      <c r="J4313" s="2" t="n">
        <v>2</v>
      </c>
      <c r="K4313" s="2" t="s">
        <v>47</v>
      </c>
      <c r="L4313" s="2" t="s">
        <v>32</v>
      </c>
      <c r="M4313" s="2" t="n">
        <v>164130</v>
      </c>
      <c r="N4313" s="2" t="n">
        <v>6</v>
      </c>
      <c r="O4313" s="2" t="n">
        <v>16</v>
      </c>
      <c r="P4313" s="2" t="n">
        <v>0</v>
      </c>
      <c r="Q4313" s="2" t="n">
        <v>6</v>
      </c>
      <c r="R4313" s="2" t="n">
        <v>1</v>
      </c>
      <c r="S4313" s="2" t="n">
        <v>4</v>
      </c>
      <c r="T4313" s="2" t="n">
        <v>1</v>
      </c>
      <c r="U4313" s="2" t="n">
        <v>2</v>
      </c>
      <c r="V4313" s="2" t="n">
        <v>3</v>
      </c>
      <c r="W4313" s="2" t="n">
        <v>3</v>
      </c>
      <c r="X4313" s="2" t="n">
        <v>3</v>
      </c>
      <c r="Y4313" s="2" t="n">
        <v>3</v>
      </c>
      <c r="Z4313" s="2" t="n">
        <v>3</v>
      </c>
    </row>
    <row r="4314" customFormat="false" ht="15" hidden="false" customHeight="true" outlineLevel="0" collapsed="false">
      <c r="A4314" s="2" t="n">
        <v>22</v>
      </c>
      <c r="B4314" s="2" t="s">
        <v>26</v>
      </c>
      <c r="C4314" s="2" t="s">
        <v>27</v>
      </c>
      <c r="D4314" s="2" t="s">
        <v>35</v>
      </c>
      <c r="E4314" s="2" t="n">
        <v>3</v>
      </c>
      <c r="F4314" s="2" t="n">
        <v>3</v>
      </c>
      <c r="G4314" s="2" t="s">
        <v>43</v>
      </c>
      <c r="H4314" s="2" t="n">
        <v>4313</v>
      </c>
      <c r="I4314" s="2" t="s">
        <v>39</v>
      </c>
      <c r="J4314" s="2" t="n">
        <v>1</v>
      </c>
      <c r="K4314" s="2" t="s">
        <v>45</v>
      </c>
      <c r="L4314" s="2" t="s">
        <v>32</v>
      </c>
      <c r="M4314" s="2" t="n">
        <v>132690</v>
      </c>
      <c r="N4314" s="2" t="n">
        <v>1</v>
      </c>
      <c r="O4314" s="2" t="n">
        <v>25</v>
      </c>
      <c r="P4314" s="2" t="n">
        <v>1</v>
      </c>
      <c r="Q4314" s="2" t="n">
        <v>2</v>
      </c>
      <c r="R4314" s="2" t="n">
        <v>2</v>
      </c>
      <c r="S4314" s="2" t="n">
        <v>2</v>
      </c>
      <c r="T4314" s="2" t="n">
        <v>2</v>
      </c>
      <c r="U4314" s="2" t="n">
        <v>2</v>
      </c>
      <c r="V4314" s="2" t="n">
        <v>3</v>
      </c>
      <c r="W4314" s="2" t="n">
        <v>4</v>
      </c>
      <c r="X4314" s="2" t="n">
        <v>3</v>
      </c>
      <c r="Y4314" s="2" t="n">
        <v>3</v>
      </c>
      <c r="Z4314" s="2" t="n">
        <v>4</v>
      </c>
    </row>
    <row r="4315" customFormat="false" ht="15" hidden="false" customHeight="true" outlineLevel="0" collapsed="false">
      <c r="A4315" s="2" t="n">
        <v>27</v>
      </c>
      <c r="B4315" s="2" t="s">
        <v>26</v>
      </c>
      <c r="C4315" s="2" t="s">
        <v>41</v>
      </c>
      <c r="D4315" s="2" t="s">
        <v>35</v>
      </c>
      <c r="E4315" s="2" t="n">
        <v>3</v>
      </c>
      <c r="F4315" s="2" t="n">
        <v>3</v>
      </c>
      <c r="G4315" s="2" t="s">
        <v>43</v>
      </c>
      <c r="H4315" s="2" t="n">
        <v>4314</v>
      </c>
      <c r="I4315" s="2" t="s">
        <v>39</v>
      </c>
      <c r="J4315" s="2" t="n">
        <v>1</v>
      </c>
      <c r="K4315" s="2" t="s">
        <v>31</v>
      </c>
      <c r="L4315" s="2" t="s">
        <v>46</v>
      </c>
      <c r="M4315" s="2" t="n">
        <v>27830</v>
      </c>
      <c r="N4315" s="2" t="n">
        <v>6</v>
      </c>
      <c r="O4315" s="2" t="n">
        <v>16</v>
      </c>
      <c r="P4315" s="2" t="n">
        <v>1</v>
      </c>
      <c r="Q4315" s="2" t="n">
        <v>6</v>
      </c>
      <c r="R4315" s="2" t="n">
        <v>2</v>
      </c>
      <c r="S4315" s="2" t="n">
        <v>2</v>
      </c>
      <c r="T4315" s="2" t="n">
        <v>2</v>
      </c>
      <c r="U4315" s="2" t="n">
        <v>2</v>
      </c>
      <c r="V4315" s="2" t="n">
        <v>4</v>
      </c>
      <c r="W4315" s="2" t="n">
        <v>2</v>
      </c>
      <c r="X4315" s="2" t="n">
        <v>1</v>
      </c>
      <c r="Y4315" s="2" t="n">
        <v>4</v>
      </c>
      <c r="Z4315" s="2" t="n">
        <v>3</v>
      </c>
    </row>
    <row r="4316" customFormat="false" ht="15" hidden="false" customHeight="true" outlineLevel="0" collapsed="false">
      <c r="A4316" s="2" t="n">
        <v>28</v>
      </c>
      <c r="B4316" s="2" t="s">
        <v>26</v>
      </c>
      <c r="C4316" s="2" t="s">
        <v>27</v>
      </c>
      <c r="D4316" s="2" t="s">
        <v>28</v>
      </c>
      <c r="E4316" s="2" t="n">
        <v>4</v>
      </c>
      <c r="F4316" s="2" t="n">
        <v>4</v>
      </c>
      <c r="G4316" s="2" t="s">
        <v>29</v>
      </c>
      <c r="H4316" s="2" t="n">
        <v>4315</v>
      </c>
      <c r="I4316" s="2" t="s">
        <v>39</v>
      </c>
      <c r="J4316" s="2" t="n">
        <v>2</v>
      </c>
      <c r="K4316" s="2" t="s">
        <v>31</v>
      </c>
      <c r="L4316" s="2" t="s">
        <v>32</v>
      </c>
      <c r="M4316" s="2" t="n">
        <v>54330</v>
      </c>
      <c r="N4316" s="2" t="n">
        <v>1</v>
      </c>
      <c r="O4316" s="2" t="n">
        <v>13</v>
      </c>
      <c r="P4316" s="2" t="n">
        <v>1</v>
      </c>
      <c r="Q4316" s="2" t="n">
        <v>5</v>
      </c>
      <c r="R4316" s="2" t="n">
        <v>4</v>
      </c>
      <c r="S4316" s="2" t="n">
        <v>5</v>
      </c>
      <c r="T4316" s="2" t="n">
        <v>0</v>
      </c>
      <c r="U4316" s="2" t="n">
        <v>2</v>
      </c>
      <c r="V4316" s="2" t="n">
        <v>3</v>
      </c>
      <c r="W4316" s="2" t="n">
        <v>4</v>
      </c>
      <c r="X4316" s="2" t="n">
        <v>1</v>
      </c>
      <c r="Y4316" s="2" t="n">
        <v>2</v>
      </c>
      <c r="Z4316" s="2" t="n">
        <v>3</v>
      </c>
    </row>
    <row r="4317" customFormat="false" ht="15" hidden="false" customHeight="true" outlineLevel="0" collapsed="false">
      <c r="A4317" s="2" t="n">
        <v>57</v>
      </c>
      <c r="B4317" s="2" t="s">
        <v>26</v>
      </c>
      <c r="C4317" s="2" t="s">
        <v>27</v>
      </c>
      <c r="D4317" s="2" t="s">
        <v>35</v>
      </c>
      <c r="E4317" s="2" t="n">
        <v>3</v>
      </c>
      <c r="F4317" s="2" t="n">
        <v>3</v>
      </c>
      <c r="G4317" s="2" t="s">
        <v>29</v>
      </c>
      <c r="H4317" s="2" t="n">
        <v>4316</v>
      </c>
      <c r="I4317" s="2" t="s">
        <v>39</v>
      </c>
      <c r="J4317" s="2" t="n">
        <v>2</v>
      </c>
      <c r="K4317" s="2" t="s">
        <v>47</v>
      </c>
      <c r="L4317" s="2" t="s">
        <v>46</v>
      </c>
      <c r="M4317" s="2" t="n">
        <v>20130</v>
      </c>
      <c r="N4317" s="2" t="n">
        <v>3</v>
      </c>
      <c r="O4317" s="2" t="n">
        <v>14</v>
      </c>
      <c r="P4317" s="2" t="n">
        <v>1</v>
      </c>
      <c r="Q4317" s="2" t="n">
        <v>12</v>
      </c>
      <c r="R4317" s="2" t="n">
        <v>5</v>
      </c>
      <c r="S4317" s="2" t="n">
        <v>5</v>
      </c>
      <c r="T4317" s="2" t="n">
        <v>1</v>
      </c>
      <c r="U4317" s="2" t="n">
        <v>4</v>
      </c>
      <c r="V4317" s="2" t="n">
        <v>3</v>
      </c>
      <c r="W4317" s="2" t="n">
        <v>4</v>
      </c>
      <c r="X4317" s="2" t="n">
        <v>1</v>
      </c>
      <c r="Y4317" s="2" t="n">
        <v>3</v>
      </c>
      <c r="Z4317" s="2" t="n">
        <v>3</v>
      </c>
    </row>
    <row r="4318" customFormat="false" ht="15" hidden="false" customHeight="true" outlineLevel="0" collapsed="false">
      <c r="A4318" s="2" t="n">
        <v>27</v>
      </c>
      <c r="B4318" s="2" t="s">
        <v>26</v>
      </c>
      <c r="C4318" s="2" t="s">
        <v>41</v>
      </c>
      <c r="D4318" s="2" t="s">
        <v>35</v>
      </c>
      <c r="E4318" s="2" t="n">
        <v>2</v>
      </c>
      <c r="F4318" s="2" t="n">
        <v>3</v>
      </c>
      <c r="G4318" s="2" t="s">
        <v>29</v>
      </c>
      <c r="H4318" s="2" t="n">
        <v>4317</v>
      </c>
      <c r="I4318" s="2" t="s">
        <v>39</v>
      </c>
      <c r="J4318" s="2" t="n">
        <v>1</v>
      </c>
      <c r="K4318" s="2" t="s">
        <v>47</v>
      </c>
      <c r="L4318" s="2" t="s">
        <v>46</v>
      </c>
      <c r="M4318" s="2" t="n">
        <v>139660</v>
      </c>
      <c r="N4318" s="2" t="n">
        <v>1</v>
      </c>
      <c r="O4318" s="2" t="n">
        <v>19</v>
      </c>
      <c r="P4318" s="2" t="n">
        <v>0</v>
      </c>
      <c r="Q4318" s="2" t="n">
        <v>1</v>
      </c>
      <c r="R4318" s="2" t="n">
        <v>1</v>
      </c>
      <c r="S4318" s="2" t="n">
        <v>1</v>
      </c>
      <c r="T4318" s="2" t="n">
        <v>0</v>
      </c>
      <c r="U4318" s="2" t="n">
        <v>1</v>
      </c>
      <c r="V4318" s="2" t="n">
        <v>3</v>
      </c>
      <c r="W4318" s="2" t="n">
        <v>3</v>
      </c>
      <c r="X4318" s="2" t="n">
        <v>2</v>
      </c>
      <c r="Y4318" s="2" t="n">
        <v>3</v>
      </c>
      <c r="Z4318" s="2" t="n">
        <v>3</v>
      </c>
    </row>
    <row r="4319" customFormat="false" ht="15" hidden="false" customHeight="true" outlineLevel="0" collapsed="false">
      <c r="A4319" s="2" t="n">
        <v>50</v>
      </c>
      <c r="B4319" s="2" t="s">
        <v>26</v>
      </c>
      <c r="C4319" s="2" t="s">
        <v>27</v>
      </c>
      <c r="D4319" s="2" t="s">
        <v>35</v>
      </c>
      <c r="E4319" s="2" t="n">
        <v>4</v>
      </c>
      <c r="F4319" s="2" t="n">
        <v>3</v>
      </c>
      <c r="G4319" s="2" t="s">
        <v>29</v>
      </c>
      <c r="H4319" s="2" t="n">
        <v>4318</v>
      </c>
      <c r="I4319" s="2" t="s">
        <v>30</v>
      </c>
      <c r="J4319" s="2" t="n">
        <v>2</v>
      </c>
      <c r="K4319" s="2" t="s">
        <v>47</v>
      </c>
      <c r="L4319" s="2" t="s">
        <v>37</v>
      </c>
      <c r="M4319" s="2" t="n">
        <v>43740</v>
      </c>
      <c r="N4319" s="2" t="n">
        <v>3</v>
      </c>
      <c r="O4319" s="2" t="n">
        <v>15</v>
      </c>
      <c r="P4319" s="2" t="n">
        <v>1</v>
      </c>
      <c r="Q4319" s="2" t="n">
        <v>21</v>
      </c>
      <c r="R4319" s="2" t="n">
        <v>5</v>
      </c>
      <c r="S4319" s="2" t="n">
        <v>5</v>
      </c>
      <c r="T4319" s="2" t="n">
        <v>4</v>
      </c>
      <c r="U4319" s="2" t="n">
        <v>4</v>
      </c>
      <c r="V4319" s="2" t="n">
        <v>3</v>
      </c>
      <c r="W4319" s="2" t="n">
        <v>2</v>
      </c>
      <c r="X4319" s="2" t="n">
        <v>3</v>
      </c>
      <c r="Y4319" s="2" t="n">
        <v>4</v>
      </c>
      <c r="Z4319" s="2" t="n">
        <v>3</v>
      </c>
    </row>
    <row r="4320" customFormat="false" ht="15" hidden="false" customHeight="true" outlineLevel="0" collapsed="false">
      <c r="A4320" s="2" t="n">
        <v>41</v>
      </c>
      <c r="B4320" s="2" t="s">
        <v>26</v>
      </c>
      <c r="C4320" s="2" t="s">
        <v>27</v>
      </c>
      <c r="D4320" s="2" t="s">
        <v>28</v>
      </c>
      <c r="E4320" s="2" t="n">
        <v>7</v>
      </c>
      <c r="F4320" s="2" t="n">
        <v>4</v>
      </c>
      <c r="G4320" s="2" t="s">
        <v>50</v>
      </c>
      <c r="H4320" s="2" t="n">
        <v>4319</v>
      </c>
      <c r="I4320" s="2" t="s">
        <v>39</v>
      </c>
      <c r="J4320" s="2" t="n">
        <v>4</v>
      </c>
      <c r="K4320" s="2" t="s">
        <v>45</v>
      </c>
      <c r="L4320" s="2" t="s">
        <v>46</v>
      </c>
      <c r="M4320" s="2" t="n">
        <v>68420</v>
      </c>
      <c r="N4320" s="2" t="n">
        <v>4</v>
      </c>
      <c r="O4320" s="2" t="n">
        <v>12</v>
      </c>
      <c r="P4320" s="2" t="n">
        <v>1</v>
      </c>
      <c r="Q4320" s="2" t="n">
        <v>13</v>
      </c>
      <c r="R4320" s="2" t="n">
        <v>3</v>
      </c>
      <c r="S4320" s="2" t="n">
        <v>9</v>
      </c>
      <c r="T4320" s="2" t="n">
        <v>1</v>
      </c>
      <c r="U4320" s="2" t="n">
        <v>8</v>
      </c>
      <c r="V4320" s="2" t="n">
        <v>1</v>
      </c>
      <c r="W4320" s="2" t="n">
        <v>3</v>
      </c>
      <c r="X4320" s="2" t="n">
        <v>3</v>
      </c>
      <c r="Y4320" s="2" t="n">
        <v>3</v>
      </c>
      <c r="Z4320" s="2" t="n">
        <v>3</v>
      </c>
    </row>
    <row r="4321" customFormat="false" ht="15" hidden="false" customHeight="true" outlineLevel="0" collapsed="false">
      <c r="A4321" s="2" t="n">
        <v>30</v>
      </c>
      <c r="B4321" s="2" t="s">
        <v>26</v>
      </c>
      <c r="C4321" s="2" t="s">
        <v>27</v>
      </c>
      <c r="D4321" s="2" t="s">
        <v>42</v>
      </c>
      <c r="E4321" s="2" t="n">
        <v>1</v>
      </c>
      <c r="F4321" s="2" t="n">
        <v>4</v>
      </c>
      <c r="G4321" s="2" t="s">
        <v>42</v>
      </c>
      <c r="H4321" s="2" t="n">
        <v>4320</v>
      </c>
      <c r="I4321" s="2" t="s">
        <v>30</v>
      </c>
      <c r="J4321" s="2" t="n">
        <v>1</v>
      </c>
      <c r="K4321" s="2" t="s">
        <v>49</v>
      </c>
      <c r="L4321" s="2" t="s">
        <v>32</v>
      </c>
      <c r="M4321" s="2" t="n">
        <v>174260</v>
      </c>
      <c r="N4321" s="2" t="n">
        <v>2</v>
      </c>
      <c r="O4321" s="2" t="n">
        <v>12</v>
      </c>
      <c r="P4321" s="2" t="n">
        <v>1</v>
      </c>
      <c r="Q4321" s="2" t="n">
        <v>12</v>
      </c>
      <c r="R4321" s="2" t="n">
        <v>0</v>
      </c>
      <c r="S4321" s="2" t="n">
        <v>10</v>
      </c>
      <c r="T4321" s="2" t="n">
        <v>7</v>
      </c>
      <c r="U4321" s="2" t="n">
        <v>4</v>
      </c>
      <c r="V4321" s="2" t="n">
        <v>2</v>
      </c>
      <c r="W4321" s="2" t="n">
        <v>4</v>
      </c>
      <c r="X4321" s="2" t="n">
        <v>3</v>
      </c>
      <c r="Y4321" s="2" t="n">
        <v>2</v>
      </c>
      <c r="Z4321" s="2" t="n">
        <v>3</v>
      </c>
    </row>
    <row r="4322" customFormat="false" ht="15" hidden="false" customHeight="true" outlineLevel="0" collapsed="false">
      <c r="A4322" s="2" t="n">
        <v>38</v>
      </c>
      <c r="B4322" s="2" t="s">
        <v>26</v>
      </c>
      <c r="C4322" s="2" t="s">
        <v>27</v>
      </c>
      <c r="D4322" s="2" t="s">
        <v>28</v>
      </c>
      <c r="E4322" s="2" t="n">
        <v>1</v>
      </c>
      <c r="F4322" s="2" t="n">
        <v>1</v>
      </c>
      <c r="G4322" s="2" t="s">
        <v>43</v>
      </c>
      <c r="H4322" s="2" t="n">
        <v>4321</v>
      </c>
      <c r="I4322" s="2" t="s">
        <v>39</v>
      </c>
      <c r="J4322" s="2" t="n">
        <v>2</v>
      </c>
      <c r="K4322" s="2" t="s">
        <v>45</v>
      </c>
      <c r="L4322" s="2" t="s">
        <v>37</v>
      </c>
      <c r="M4322" s="2" t="n">
        <v>176030</v>
      </c>
      <c r="N4322" s="2" t="n">
        <v>4</v>
      </c>
      <c r="O4322" s="2" t="n">
        <v>16</v>
      </c>
      <c r="P4322" s="2" t="n">
        <v>0</v>
      </c>
      <c r="Q4322" s="2" t="n">
        <v>12</v>
      </c>
      <c r="R4322" s="2" t="n">
        <v>0</v>
      </c>
      <c r="S4322" s="2" t="n">
        <v>8</v>
      </c>
      <c r="T4322" s="2" t="n">
        <v>0</v>
      </c>
      <c r="U4322" s="2" t="n">
        <v>7</v>
      </c>
      <c r="V4322" s="2" t="n">
        <v>1</v>
      </c>
      <c r="W4322" s="2" t="n">
        <v>4</v>
      </c>
      <c r="X4322" s="2" t="n">
        <v>4</v>
      </c>
      <c r="Y4322" s="2" t="n">
        <v>2</v>
      </c>
      <c r="Z4322" s="2" t="n">
        <v>3</v>
      </c>
    </row>
    <row r="4323" customFormat="false" ht="15" hidden="false" customHeight="true" outlineLevel="0" collapsed="false">
      <c r="A4323" s="2" t="n">
        <v>32</v>
      </c>
      <c r="B4323" s="2" t="s">
        <v>26</v>
      </c>
      <c r="C4323" s="2" t="s">
        <v>27</v>
      </c>
      <c r="D4323" s="2" t="s">
        <v>35</v>
      </c>
      <c r="E4323" s="2" t="n">
        <v>20</v>
      </c>
      <c r="F4323" s="2" t="n">
        <v>3</v>
      </c>
      <c r="G4323" s="2" t="s">
        <v>43</v>
      </c>
      <c r="H4323" s="2" t="n">
        <v>4322</v>
      </c>
      <c r="I4323" s="2" t="s">
        <v>30</v>
      </c>
      <c r="J4323" s="2" t="n">
        <v>1</v>
      </c>
      <c r="K4323" s="2" t="s">
        <v>47</v>
      </c>
      <c r="L4323" s="2" t="s">
        <v>37</v>
      </c>
      <c r="M4323" s="2" t="n">
        <v>45810</v>
      </c>
      <c r="N4323" s="2" t="n">
        <v>3</v>
      </c>
      <c r="O4323" s="2" t="n">
        <v>14</v>
      </c>
      <c r="P4323" s="2" t="n">
        <v>1</v>
      </c>
      <c r="Q4323" s="2" t="n">
        <v>8</v>
      </c>
      <c r="R4323" s="2" t="n">
        <v>3</v>
      </c>
      <c r="S4323" s="2" t="n">
        <v>5</v>
      </c>
      <c r="T4323" s="2" t="n">
        <v>1</v>
      </c>
      <c r="U4323" s="2" t="n">
        <v>4</v>
      </c>
      <c r="V4323" s="2" t="n">
        <v>3</v>
      </c>
      <c r="W4323" s="2" t="n">
        <v>3</v>
      </c>
      <c r="X4323" s="2" t="n">
        <v>3</v>
      </c>
      <c r="Y4323" s="2" t="n">
        <v>3</v>
      </c>
      <c r="Z4323" s="2" t="n">
        <v>3</v>
      </c>
    </row>
    <row r="4324" customFormat="false" ht="15" hidden="false" customHeight="true" outlineLevel="0" collapsed="false">
      <c r="A4324" s="2" t="n">
        <v>27</v>
      </c>
      <c r="B4324" s="2" t="s">
        <v>26</v>
      </c>
      <c r="C4324" s="2" t="s">
        <v>27</v>
      </c>
      <c r="D4324" s="2" t="s">
        <v>35</v>
      </c>
      <c r="E4324" s="2" t="n">
        <v>5</v>
      </c>
      <c r="F4324" s="2" t="n">
        <v>4</v>
      </c>
      <c r="G4324" s="2" t="s">
        <v>43</v>
      </c>
      <c r="H4324" s="2" t="n">
        <v>4323</v>
      </c>
      <c r="I4324" s="2" t="s">
        <v>39</v>
      </c>
      <c r="J4324" s="2" t="n">
        <v>2</v>
      </c>
      <c r="K4324" s="2" t="s">
        <v>31</v>
      </c>
      <c r="L4324" s="2" t="s">
        <v>32</v>
      </c>
      <c r="M4324" s="2" t="n">
        <v>47350</v>
      </c>
      <c r="N4324" s="2" t="n">
        <v>0</v>
      </c>
      <c r="O4324" s="2" t="n">
        <v>13</v>
      </c>
      <c r="P4324" s="2" t="n">
        <v>0</v>
      </c>
      <c r="Q4324" s="2" t="n">
        <v>6</v>
      </c>
      <c r="R4324" s="2" t="n">
        <v>2</v>
      </c>
      <c r="S4324" s="2" t="n">
        <v>5</v>
      </c>
      <c r="T4324" s="2" t="n">
        <v>1</v>
      </c>
      <c r="U4324" s="2" t="n">
        <v>1</v>
      </c>
      <c r="V4324" s="2" t="n">
        <v>3</v>
      </c>
      <c r="W4324" s="2" t="n">
        <v>2</v>
      </c>
      <c r="X4324" s="2" t="n">
        <v>2</v>
      </c>
      <c r="Y4324" s="2" t="n">
        <v>3</v>
      </c>
      <c r="Z4324" s="2" t="n">
        <v>3</v>
      </c>
    </row>
    <row r="4325" customFormat="false" ht="15" hidden="false" customHeight="true" outlineLevel="0" collapsed="false">
      <c r="A4325" s="2" t="n">
        <v>19</v>
      </c>
      <c r="B4325" s="2" t="s">
        <v>33</v>
      </c>
      <c r="C4325" s="2" t="s">
        <v>34</v>
      </c>
      <c r="D4325" s="2" t="s">
        <v>35</v>
      </c>
      <c r="E4325" s="2" t="n">
        <v>10</v>
      </c>
      <c r="F4325" s="2" t="n">
        <v>2</v>
      </c>
      <c r="G4325" s="2" t="s">
        <v>29</v>
      </c>
      <c r="H4325" s="2" t="n">
        <v>4324</v>
      </c>
      <c r="I4325" s="2" t="s">
        <v>39</v>
      </c>
      <c r="J4325" s="2" t="n">
        <v>2</v>
      </c>
      <c r="K4325" s="2" t="s">
        <v>31</v>
      </c>
      <c r="L4325" s="2" t="s">
        <v>37</v>
      </c>
      <c r="M4325" s="2" t="n">
        <v>41870</v>
      </c>
      <c r="N4325" s="2" t="n">
        <v>0</v>
      </c>
      <c r="O4325" s="2" t="n">
        <v>22</v>
      </c>
      <c r="P4325" s="2" t="n">
        <v>1</v>
      </c>
      <c r="Q4325" s="2" t="n">
        <v>1</v>
      </c>
      <c r="R4325" s="2" t="n">
        <v>4</v>
      </c>
      <c r="S4325" s="2" t="n">
        <v>0</v>
      </c>
      <c r="T4325" s="2" t="n">
        <v>0</v>
      </c>
      <c r="U4325" s="2" t="n">
        <v>0</v>
      </c>
      <c r="V4325" s="2" t="n">
        <v>3</v>
      </c>
      <c r="W4325" s="2" t="n">
        <v>1</v>
      </c>
      <c r="X4325" s="2" t="n">
        <v>4</v>
      </c>
      <c r="Y4325" s="2" t="n">
        <v>3</v>
      </c>
      <c r="Z4325" s="2" t="n">
        <v>4</v>
      </c>
    </row>
    <row r="4326" customFormat="false" ht="15" hidden="false" customHeight="true" outlineLevel="0" collapsed="false">
      <c r="A4326" s="2" t="n">
        <v>36</v>
      </c>
      <c r="B4326" s="2" t="s">
        <v>26</v>
      </c>
      <c r="C4326" s="2" t="s">
        <v>34</v>
      </c>
      <c r="D4326" s="2" t="s">
        <v>28</v>
      </c>
      <c r="E4326" s="2" t="n">
        <v>25</v>
      </c>
      <c r="F4326" s="2" t="n">
        <v>3</v>
      </c>
      <c r="G4326" s="2" t="s">
        <v>50</v>
      </c>
      <c r="H4326" s="2" t="n">
        <v>4325</v>
      </c>
      <c r="I4326" s="2" t="s">
        <v>30</v>
      </c>
      <c r="J4326" s="2" t="n">
        <v>2</v>
      </c>
      <c r="K4326" s="2" t="s">
        <v>44</v>
      </c>
      <c r="L4326" s="2" t="s">
        <v>37</v>
      </c>
      <c r="M4326" s="2" t="n">
        <v>55050</v>
      </c>
      <c r="N4326" s="2" t="n">
        <v>4</v>
      </c>
      <c r="O4326" s="2" t="n">
        <v>21</v>
      </c>
      <c r="P4326" s="2" t="n">
        <v>2</v>
      </c>
      <c r="Q4326" s="2" t="n">
        <v>13</v>
      </c>
      <c r="R4326" s="2" t="n">
        <v>3</v>
      </c>
      <c r="S4326" s="2" t="n">
        <v>8</v>
      </c>
      <c r="T4326" s="2" t="n">
        <v>7</v>
      </c>
      <c r="U4326" s="2" t="n">
        <v>2</v>
      </c>
      <c r="V4326" s="2" t="n">
        <v>4</v>
      </c>
      <c r="W4326" s="2" t="n">
        <v>2</v>
      </c>
      <c r="X4326" s="2" t="n">
        <v>2</v>
      </c>
      <c r="Y4326" s="2" t="n">
        <v>3</v>
      </c>
      <c r="Z4326" s="2" t="n">
        <v>4</v>
      </c>
    </row>
    <row r="4327" customFormat="false" ht="15" hidden="false" customHeight="true" outlineLevel="0" collapsed="false">
      <c r="A4327" s="2" t="n">
        <v>30</v>
      </c>
      <c r="B4327" s="2" t="s">
        <v>26</v>
      </c>
      <c r="C4327" s="2" t="s">
        <v>41</v>
      </c>
      <c r="D4327" s="2" t="s">
        <v>28</v>
      </c>
      <c r="E4327" s="2" t="n">
        <v>1</v>
      </c>
      <c r="F4327" s="2" t="n">
        <v>3</v>
      </c>
      <c r="G4327" s="2" t="s">
        <v>43</v>
      </c>
      <c r="H4327" s="2" t="n">
        <v>4326</v>
      </c>
      <c r="I4327" s="2" t="s">
        <v>30</v>
      </c>
      <c r="J4327" s="2" t="n">
        <v>1</v>
      </c>
      <c r="K4327" s="2" t="s">
        <v>40</v>
      </c>
      <c r="L4327" s="2" t="s">
        <v>46</v>
      </c>
      <c r="M4327" s="2" t="n">
        <v>54700</v>
      </c>
      <c r="N4327" s="2" t="n">
        <v>1</v>
      </c>
      <c r="O4327" s="2" t="n">
        <v>18</v>
      </c>
      <c r="P4327" s="2" t="n">
        <v>1</v>
      </c>
      <c r="Q4327" s="2" t="n">
        <v>12</v>
      </c>
      <c r="R4327" s="2" t="n">
        <v>2</v>
      </c>
      <c r="S4327" s="2" t="n">
        <v>12</v>
      </c>
      <c r="T4327" s="2" t="n">
        <v>6</v>
      </c>
      <c r="U4327" s="2" t="n">
        <v>10</v>
      </c>
      <c r="V4327" s="2" t="n">
        <v>3</v>
      </c>
      <c r="W4327" s="2" t="n">
        <v>1</v>
      </c>
      <c r="X4327" s="2" t="n">
        <v>3</v>
      </c>
      <c r="Y4327" s="2" t="n">
        <v>3</v>
      </c>
      <c r="Z4327" s="2" t="n">
        <v>3</v>
      </c>
    </row>
    <row r="4328" customFormat="false" ht="15" hidden="false" customHeight="true" outlineLevel="0" collapsed="false">
      <c r="A4328" s="2" t="n">
        <v>45</v>
      </c>
      <c r="B4328" s="2" t="s">
        <v>26</v>
      </c>
      <c r="C4328" s="2" t="s">
        <v>27</v>
      </c>
      <c r="D4328" s="2" t="s">
        <v>35</v>
      </c>
      <c r="E4328" s="2" t="n">
        <v>24</v>
      </c>
      <c r="F4328" s="2" t="n">
        <v>2</v>
      </c>
      <c r="G4328" s="2" t="s">
        <v>43</v>
      </c>
      <c r="H4328" s="2" t="n">
        <v>4327</v>
      </c>
      <c r="I4328" s="2" t="s">
        <v>39</v>
      </c>
      <c r="J4328" s="2" t="n">
        <v>2</v>
      </c>
      <c r="K4328" s="2" t="s">
        <v>40</v>
      </c>
      <c r="L4328" s="2" t="s">
        <v>46</v>
      </c>
      <c r="M4328" s="2" t="n">
        <v>54760</v>
      </c>
      <c r="N4328" s="2" t="n">
        <v>4</v>
      </c>
      <c r="O4328" s="2" t="n">
        <v>13</v>
      </c>
      <c r="P4328" s="2" t="n">
        <v>1</v>
      </c>
      <c r="Q4328" s="2" t="n">
        <v>9</v>
      </c>
      <c r="R4328" s="2" t="n">
        <v>3</v>
      </c>
      <c r="S4328" s="2" t="n">
        <v>5</v>
      </c>
      <c r="T4328" s="2" t="n">
        <v>0</v>
      </c>
      <c r="U4328" s="2" t="n">
        <v>3</v>
      </c>
      <c r="V4328" s="2" t="n">
        <v>3</v>
      </c>
      <c r="W4328" s="2" t="n">
        <v>1</v>
      </c>
      <c r="X4328" s="2" t="n">
        <v>4</v>
      </c>
      <c r="Y4328" s="2" t="n">
        <v>3</v>
      </c>
      <c r="Z4328" s="2" t="n">
        <v>3</v>
      </c>
    </row>
    <row r="4329" customFormat="false" ht="15" hidden="false" customHeight="true" outlineLevel="0" collapsed="false">
      <c r="A4329" s="2" t="n">
        <v>56</v>
      </c>
      <c r="B4329" s="2" t="s">
        <v>26</v>
      </c>
      <c r="C4329" s="2" t="s">
        <v>27</v>
      </c>
      <c r="D4329" s="2" t="s">
        <v>35</v>
      </c>
      <c r="E4329" s="2" t="n">
        <v>4</v>
      </c>
      <c r="F4329" s="2" t="n">
        <v>3</v>
      </c>
      <c r="G4329" s="2" t="s">
        <v>29</v>
      </c>
      <c r="H4329" s="2" t="n">
        <v>4328</v>
      </c>
      <c r="I4329" s="2" t="s">
        <v>39</v>
      </c>
      <c r="J4329" s="2" t="n">
        <v>4</v>
      </c>
      <c r="K4329" s="2" t="s">
        <v>49</v>
      </c>
      <c r="L4329" s="2" t="s">
        <v>46</v>
      </c>
      <c r="M4329" s="2" t="n">
        <v>25870</v>
      </c>
      <c r="N4329" s="2" t="n">
        <v>4</v>
      </c>
      <c r="O4329" s="2" t="n">
        <v>12</v>
      </c>
      <c r="P4329" s="2" t="n">
        <v>0</v>
      </c>
      <c r="Q4329" s="2" t="n">
        <v>19</v>
      </c>
      <c r="R4329" s="2" t="n">
        <v>2</v>
      </c>
      <c r="S4329" s="2" t="n">
        <v>2</v>
      </c>
      <c r="T4329" s="2" t="n">
        <v>2</v>
      </c>
      <c r="U4329" s="2" t="n">
        <v>2</v>
      </c>
      <c r="V4329" s="2" t="n">
        <v>3</v>
      </c>
      <c r="W4329" s="2" t="n">
        <v>1</v>
      </c>
      <c r="X4329" s="2" t="n">
        <v>3</v>
      </c>
      <c r="Y4329" s="2" t="n">
        <v>2</v>
      </c>
      <c r="Z4329" s="2" t="n">
        <v>3</v>
      </c>
    </row>
    <row r="4330" customFormat="false" ht="15" hidden="false" customHeight="true" outlineLevel="0" collapsed="false">
      <c r="A4330" s="2" t="n">
        <v>33</v>
      </c>
      <c r="B4330" s="2" t="s">
        <v>26</v>
      </c>
      <c r="C4330" s="2" t="s">
        <v>27</v>
      </c>
      <c r="D4330" s="2" t="s">
        <v>35</v>
      </c>
      <c r="E4330" s="2" t="n">
        <v>2</v>
      </c>
      <c r="F4330" s="2" t="n">
        <v>2</v>
      </c>
      <c r="G4330" s="2" t="s">
        <v>43</v>
      </c>
      <c r="H4330" s="2" t="n">
        <v>4329</v>
      </c>
      <c r="I4330" s="2" t="s">
        <v>39</v>
      </c>
      <c r="J4330" s="2" t="n">
        <v>1</v>
      </c>
      <c r="K4330" s="2" t="s">
        <v>40</v>
      </c>
      <c r="L4330" s="2" t="s">
        <v>37</v>
      </c>
      <c r="M4330" s="2" t="n">
        <v>24400</v>
      </c>
      <c r="N4330" s="2" t="n">
        <v>0</v>
      </c>
      <c r="O4330" s="2" t="n">
        <v>18</v>
      </c>
      <c r="P4330" s="2" t="n">
        <v>3</v>
      </c>
      <c r="Q4330" s="2" t="n">
        <v>4</v>
      </c>
      <c r="R4330" s="2" t="n">
        <v>4</v>
      </c>
      <c r="S4330" s="2" t="n">
        <v>3</v>
      </c>
      <c r="T4330" s="2" t="n">
        <v>0</v>
      </c>
      <c r="U4330" s="2" t="n">
        <v>2</v>
      </c>
      <c r="V4330" s="2" t="n">
        <v>3</v>
      </c>
      <c r="W4330" s="2" t="n">
        <v>4</v>
      </c>
      <c r="X4330" s="2" t="n">
        <v>4</v>
      </c>
      <c r="Y4330" s="2" t="n">
        <v>3</v>
      </c>
      <c r="Z4330" s="2" t="n">
        <v>3</v>
      </c>
    </row>
    <row r="4331" customFormat="false" ht="15" hidden="false" customHeight="true" outlineLevel="0" collapsed="false">
      <c r="A4331" s="2" t="n">
        <v>19</v>
      </c>
      <c r="B4331" s="2" t="s">
        <v>33</v>
      </c>
      <c r="C4331" s="2" t="s">
        <v>27</v>
      </c>
      <c r="D4331" s="2" t="s">
        <v>35</v>
      </c>
      <c r="E4331" s="2" t="n">
        <v>8</v>
      </c>
      <c r="F4331" s="2" t="n">
        <v>2</v>
      </c>
      <c r="G4331" s="2" t="s">
        <v>29</v>
      </c>
      <c r="H4331" s="2" t="n">
        <v>4330</v>
      </c>
      <c r="I4331" s="2" t="s">
        <v>39</v>
      </c>
      <c r="J4331" s="2" t="n">
        <v>2</v>
      </c>
      <c r="K4331" s="2" t="s">
        <v>40</v>
      </c>
      <c r="L4331" s="2" t="s">
        <v>37</v>
      </c>
      <c r="M4331" s="2" t="n">
        <v>159720</v>
      </c>
      <c r="N4331" s="2" t="n">
        <v>1</v>
      </c>
      <c r="O4331" s="2" t="n">
        <v>21</v>
      </c>
      <c r="P4331" s="2" t="n">
        <v>0</v>
      </c>
      <c r="Q4331" s="2" t="n">
        <v>1</v>
      </c>
      <c r="R4331" s="2" t="n">
        <v>2</v>
      </c>
      <c r="S4331" s="2" t="n">
        <v>1</v>
      </c>
      <c r="T4331" s="2" t="n">
        <v>1</v>
      </c>
      <c r="U4331" s="2" t="n">
        <v>0</v>
      </c>
      <c r="V4331" s="2" t="n">
        <v>2</v>
      </c>
      <c r="W4331" s="2" t="n">
        <v>4</v>
      </c>
      <c r="X4331" s="2" t="n">
        <v>2</v>
      </c>
      <c r="Y4331" s="2" t="n">
        <v>3</v>
      </c>
      <c r="Z4331" s="2" t="n">
        <v>4</v>
      </c>
    </row>
    <row r="4332" customFormat="false" ht="15" hidden="false" customHeight="true" outlineLevel="0" collapsed="false">
      <c r="A4332" s="2" t="n">
        <v>46</v>
      </c>
      <c r="B4332" s="2" t="s">
        <v>26</v>
      </c>
      <c r="C4332" s="2" t="s">
        <v>27</v>
      </c>
      <c r="D4332" s="2" t="s">
        <v>35</v>
      </c>
      <c r="E4332" s="2" t="n">
        <v>10</v>
      </c>
      <c r="F4332" s="2" t="n">
        <v>3</v>
      </c>
      <c r="G4332" s="2" t="s">
        <v>51</v>
      </c>
      <c r="H4332" s="2" t="n">
        <v>4331</v>
      </c>
      <c r="I4332" s="2" t="s">
        <v>30</v>
      </c>
      <c r="J4332" s="2" t="n">
        <v>2</v>
      </c>
      <c r="K4332" s="2" t="s">
        <v>45</v>
      </c>
      <c r="L4332" s="2" t="s">
        <v>46</v>
      </c>
      <c r="M4332" s="2" t="n">
        <v>153790</v>
      </c>
      <c r="N4332" s="2" t="n">
        <v>1</v>
      </c>
      <c r="O4332" s="2" t="n">
        <v>12</v>
      </c>
      <c r="P4332" s="2" t="n">
        <v>0</v>
      </c>
      <c r="Q4332" s="2" t="n">
        <v>24</v>
      </c>
      <c r="R4332" s="2" t="n">
        <v>1</v>
      </c>
      <c r="S4332" s="2" t="n">
        <v>24</v>
      </c>
      <c r="T4332" s="2" t="n">
        <v>15</v>
      </c>
      <c r="U4332" s="2" t="n">
        <v>7</v>
      </c>
      <c r="V4332" s="2" t="n">
        <v>2</v>
      </c>
      <c r="W4332" s="2" t="n">
        <v>1</v>
      </c>
      <c r="X4332" s="2" t="n">
        <v>3</v>
      </c>
      <c r="Y4332" s="2" t="n">
        <v>1</v>
      </c>
      <c r="Z4332" s="2" t="n">
        <v>3</v>
      </c>
    </row>
    <row r="4333" customFormat="false" ht="15" hidden="false" customHeight="true" outlineLevel="0" collapsed="false">
      <c r="A4333" s="2" t="n">
        <v>38</v>
      </c>
      <c r="B4333" s="2" t="s">
        <v>26</v>
      </c>
      <c r="C4333" s="2" t="s">
        <v>27</v>
      </c>
      <c r="D4333" s="2" t="s">
        <v>28</v>
      </c>
      <c r="E4333" s="2" t="n">
        <v>4</v>
      </c>
      <c r="F4333" s="2" t="n">
        <v>4</v>
      </c>
      <c r="G4333" s="2" t="s">
        <v>29</v>
      </c>
      <c r="H4333" s="2" t="n">
        <v>4332</v>
      </c>
      <c r="I4333" s="2" t="s">
        <v>39</v>
      </c>
      <c r="J4333" s="2" t="n">
        <v>1</v>
      </c>
      <c r="K4333" s="2" t="s">
        <v>47</v>
      </c>
      <c r="L4333" s="2" t="s">
        <v>37</v>
      </c>
      <c r="M4333" s="2" t="n">
        <v>70820</v>
      </c>
      <c r="N4333" s="2" t="n">
        <v>1</v>
      </c>
      <c r="O4333" s="2" t="n">
        <v>14</v>
      </c>
      <c r="P4333" s="2" t="n">
        <v>0</v>
      </c>
      <c r="Q4333" s="2" t="n">
        <v>2</v>
      </c>
      <c r="R4333" s="2" t="n">
        <v>3</v>
      </c>
      <c r="S4333" s="2" t="n">
        <v>2</v>
      </c>
      <c r="T4333" s="2" t="n">
        <v>2</v>
      </c>
      <c r="U4333" s="2" t="n">
        <v>1</v>
      </c>
      <c r="V4333" s="2" t="n">
        <v>3</v>
      </c>
      <c r="W4333" s="2" t="n">
        <v>4</v>
      </c>
      <c r="X4333" s="2" t="n">
        <v>3</v>
      </c>
      <c r="Y4333" s="2" t="n">
        <v>4</v>
      </c>
      <c r="Z4333" s="2" t="n">
        <v>3</v>
      </c>
    </row>
    <row r="4334" customFormat="false" ht="15" hidden="false" customHeight="true" outlineLevel="0" collapsed="false">
      <c r="A4334" s="2" t="n">
        <v>31</v>
      </c>
      <c r="B4334" s="2" t="s">
        <v>26</v>
      </c>
      <c r="C4334" s="2" t="s">
        <v>27</v>
      </c>
      <c r="D4334" s="2" t="s">
        <v>28</v>
      </c>
      <c r="E4334" s="2" t="n">
        <v>2</v>
      </c>
      <c r="F4334" s="2" t="n">
        <v>5</v>
      </c>
      <c r="G4334" s="2" t="s">
        <v>29</v>
      </c>
      <c r="H4334" s="2" t="n">
        <v>4333</v>
      </c>
      <c r="I4334" s="2" t="s">
        <v>39</v>
      </c>
      <c r="J4334" s="2" t="n">
        <v>2</v>
      </c>
      <c r="K4334" s="2" t="s">
        <v>48</v>
      </c>
      <c r="L4334" s="2" t="s">
        <v>32</v>
      </c>
      <c r="M4334" s="2" t="n">
        <v>27280</v>
      </c>
      <c r="N4334" s="2" t="n">
        <v>8</v>
      </c>
      <c r="O4334" s="2" t="n">
        <v>11</v>
      </c>
      <c r="P4334" s="2" t="n">
        <v>0</v>
      </c>
      <c r="Q4334" s="2" t="n">
        <v>7</v>
      </c>
      <c r="R4334" s="2" t="n">
        <v>3</v>
      </c>
      <c r="S4334" s="2" t="n">
        <v>4</v>
      </c>
      <c r="T4334" s="2" t="n">
        <v>0</v>
      </c>
      <c r="U4334" s="2" t="n">
        <v>2</v>
      </c>
      <c r="V4334" s="2"/>
      <c r="W4334" s="2" t="n">
        <v>4</v>
      </c>
      <c r="X4334" s="2" t="n">
        <v>3</v>
      </c>
      <c r="Y4334" s="2" t="n">
        <v>4</v>
      </c>
      <c r="Z4334" s="2" t="n">
        <v>3</v>
      </c>
    </row>
    <row r="4335" customFormat="false" ht="15" hidden="false" customHeight="true" outlineLevel="0" collapsed="false">
      <c r="A4335" s="2" t="n">
        <v>34</v>
      </c>
      <c r="B4335" s="2" t="s">
        <v>26</v>
      </c>
      <c r="C4335" s="2" t="s">
        <v>27</v>
      </c>
      <c r="D4335" s="2" t="s">
        <v>28</v>
      </c>
      <c r="E4335" s="2" t="n">
        <v>9</v>
      </c>
      <c r="F4335" s="2" t="n">
        <v>3</v>
      </c>
      <c r="G4335" s="2" t="s">
        <v>50</v>
      </c>
      <c r="H4335" s="2" t="n">
        <v>4334</v>
      </c>
      <c r="I4335" s="2" t="s">
        <v>30</v>
      </c>
      <c r="J4335" s="2" t="n">
        <v>2</v>
      </c>
      <c r="K4335" s="2" t="s">
        <v>49</v>
      </c>
      <c r="L4335" s="2" t="s">
        <v>37</v>
      </c>
      <c r="M4335" s="2" t="n">
        <v>53680</v>
      </c>
      <c r="N4335" s="2" t="n">
        <v>2</v>
      </c>
      <c r="O4335" s="2" t="n">
        <v>14</v>
      </c>
      <c r="P4335" s="2" t="n">
        <v>1</v>
      </c>
      <c r="Q4335" s="2" t="n">
        <v>9</v>
      </c>
      <c r="R4335" s="2" t="n">
        <v>2</v>
      </c>
      <c r="S4335" s="2" t="n">
        <v>3</v>
      </c>
      <c r="T4335" s="2" t="n">
        <v>1</v>
      </c>
      <c r="U4335" s="2" t="n">
        <v>2</v>
      </c>
      <c r="V4335" s="2" t="n">
        <v>4</v>
      </c>
      <c r="W4335" s="2" t="n">
        <v>2</v>
      </c>
      <c r="X4335" s="2" t="n">
        <v>3</v>
      </c>
      <c r="Y4335" s="2" t="n">
        <v>3</v>
      </c>
      <c r="Z4335" s="2" t="n">
        <v>3</v>
      </c>
    </row>
    <row r="4336" customFormat="false" ht="15" hidden="false" customHeight="true" outlineLevel="0" collapsed="false">
      <c r="A4336" s="2" t="n">
        <v>41</v>
      </c>
      <c r="B4336" s="2" t="s">
        <v>33</v>
      </c>
      <c r="C4336" s="2" t="s">
        <v>27</v>
      </c>
      <c r="D4336" s="2" t="s">
        <v>35</v>
      </c>
      <c r="E4336" s="2" t="n">
        <v>18</v>
      </c>
      <c r="F4336" s="2" t="n">
        <v>4</v>
      </c>
      <c r="G4336" s="2" t="s">
        <v>29</v>
      </c>
      <c r="H4336" s="2" t="n">
        <v>4335</v>
      </c>
      <c r="I4336" s="2" t="s">
        <v>39</v>
      </c>
      <c r="J4336" s="2" t="n">
        <v>5</v>
      </c>
      <c r="K4336" s="2" t="s">
        <v>45</v>
      </c>
      <c r="L4336" s="2" t="s">
        <v>37</v>
      </c>
      <c r="M4336" s="2" t="n">
        <v>53470</v>
      </c>
      <c r="N4336" s="2" t="n">
        <v>1</v>
      </c>
      <c r="O4336" s="2" t="n">
        <v>24</v>
      </c>
      <c r="P4336" s="2" t="n">
        <v>1</v>
      </c>
      <c r="Q4336" s="2" t="n">
        <v>4</v>
      </c>
      <c r="R4336" s="2" t="n">
        <v>1</v>
      </c>
      <c r="S4336" s="2" t="n">
        <v>4</v>
      </c>
      <c r="T4336" s="2" t="n">
        <v>0</v>
      </c>
      <c r="U4336" s="2" t="n">
        <v>2</v>
      </c>
      <c r="V4336" s="2" t="n">
        <v>2</v>
      </c>
      <c r="W4336" s="2" t="n">
        <v>2</v>
      </c>
      <c r="X4336" s="2" t="n">
        <v>2</v>
      </c>
      <c r="Y4336" s="2" t="n">
        <v>3</v>
      </c>
      <c r="Z4336" s="2" t="n">
        <v>4</v>
      </c>
    </row>
    <row r="4337" customFormat="false" ht="15" hidden="false" customHeight="true" outlineLevel="0" collapsed="false">
      <c r="A4337" s="2" t="n">
        <v>50</v>
      </c>
      <c r="B4337" s="2" t="s">
        <v>26</v>
      </c>
      <c r="C4337" s="2" t="s">
        <v>27</v>
      </c>
      <c r="D4337" s="2" t="s">
        <v>28</v>
      </c>
      <c r="E4337" s="2" t="n">
        <v>19</v>
      </c>
      <c r="F4337" s="2" t="n">
        <v>4</v>
      </c>
      <c r="G4337" s="2" t="s">
        <v>50</v>
      </c>
      <c r="H4337" s="2" t="n">
        <v>4336</v>
      </c>
      <c r="I4337" s="2" t="s">
        <v>39</v>
      </c>
      <c r="J4337" s="2" t="n">
        <v>3</v>
      </c>
      <c r="K4337" s="2" t="s">
        <v>40</v>
      </c>
      <c r="L4337" s="2" t="s">
        <v>32</v>
      </c>
      <c r="M4337" s="2" t="n">
        <v>31950</v>
      </c>
      <c r="N4337" s="2" t="n">
        <v>2</v>
      </c>
      <c r="O4337" s="2" t="n">
        <v>11</v>
      </c>
      <c r="P4337" s="2" t="n">
        <v>0</v>
      </c>
      <c r="Q4337" s="2" t="n">
        <v>5</v>
      </c>
      <c r="R4337" s="2" t="n">
        <v>4</v>
      </c>
      <c r="S4337" s="2" t="n">
        <v>3</v>
      </c>
      <c r="T4337" s="2" t="n">
        <v>0</v>
      </c>
      <c r="U4337" s="2" t="n">
        <v>2</v>
      </c>
      <c r="V4337" s="2" t="n">
        <v>3</v>
      </c>
      <c r="W4337" s="2" t="n">
        <v>3</v>
      </c>
      <c r="X4337" s="2" t="n">
        <v>2</v>
      </c>
      <c r="Y4337" s="2" t="n">
        <v>2</v>
      </c>
      <c r="Z4337" s="2" t="n">
        <v>3</v>
      </c>
    </row>
    <row r="4338" customFormat="false" ht="15" hidden="false" customHeight="true" outlineLevel="0" collapsed="false">
      <c r="A4338" s="2" t="n">
        <v>53</v>
      </c>
      <c r="B4338" s="2" t="s">
        <v>26</v>
      </c>
      <c r="C4338" s="2" t="s">
        <v>27</v>
      </c>
      <c r="D4338" s="2" t="s">
        <v>28</v>
      </c>
      <c r="E4338" s="2" t="n">
        <v>1</v>
      </c>
      <c r="F4338" s="2" t="n">
        <v>2</v>
      </c>
      <c r="G4338" s="2" t="s">
        <v>29</v>
      </c>
      <c r="H4338" s="2" t="n">
        <v>4337</v>
      </c>
      <c r="I4338" s="2" t="s">
        <v>39</v>
      </c>
      <c r="J4338" s="2" t="n">
        <v>1</v>
      </c>
      <c r="K4338" s="2" t="s">
        <v>49</v>
      </c>
      <c r="L4338" s="2" t="s">
        <v>46</v>
      </c>
      <c r="M4338" s="2" t="n">
        <v>39890</v>
      </c>
      <c r="N4338" s="2" t="n">
        <v>1</v>
      </c>
      <c r="O4338" s="2" t="n">
        <v>13</v>
      </c>
      <c r="P4338" s="2" t="n">
        <v>0</v>
      </c>
      <c r="Q4338" s="2" t="n">
        <v>5</v>
      </c>
      <c r="R4338" s="2" t="n">
        <v>2</v>
      </c>
      <c r="S4338" s="2" t="n">
        <v>4</v>
      </c>
      <c r="T4338" s="2" t="n">
        <v>1</v>
      </c>
      <c r="U4338" s="2" t="n">
        <v>3</v>
      </c>
      <c r="V4338" s="2" t="n">
        <v>4</v>
      </c>
      <c r="W4338" s="2" t="n">
        <v>1</v>
      </c>
      <c r="X4338" s="2" t="n">
        <v>3</v>
      </c>
      <c r="Y4338" s="2" t="n">
        <v>3</v>
      </c>
      <c r="Z4338" s="2" t="n">
        <v>3</v>
      </c>
    </row>
    <row r="4339" customFormat="false" ht="15" hidden="false" customHeight="true" outlineLevel="0" collapsed="false">
      <c r="A4339" s="2" t="n">
        <v>33</v>
      </c>
      <c r="B4339" s="2" t="s">
        <v>26</v>
      </c>
      <c r="C4339" s="2" t="s">
        <v>27</v>
      </c>
      <c r="D4339" s="2" t="s">
        <v>35</v>
      </c>
      <c r="E4339" s="2" t="n">
        <v>4</v>
      </c>
      <c r="F4339" s="2" t="n">
        <v>3</v>
      </c>
      <c r="G4339" s="2" t="s">
        <v>29</v>
      </c>
      <c r="H4339" s="2" t="n">
        <v>4338</v>
      </c>
      <c r="I4339" s="2" t="s">
        <v>39</v>
      </c>
      <c r="J4339" s="2" t="n">
        <v>1</v>
      </c>
      <c r="K4339" s="2" t="s">
        <v>42</v>
      </c>
      <c r="L4339" s="2" t="s">
        <v>32</v>
      </c>
      <c r="M4339" s="2" t="n">
        <v>33060</v>
      </c>
      <c r="N4339" s="2" t="n">
        <v>1</v>
      </c>
      <c r="O4339" s="2" t="n">
        <v>11</v>
      </c>
      <c r="P4339" s="2" t="n">
        <v>3</v>
      </c>
      <c r="Q4339" s="2" t="n">
        <v>8</v>
      </c>
      <c r="R4339" s="2" t="n">
        <v>6</v>
      </c>
      <c r="S4339" s="2" t="n">
        <v>8</v>
      </c>
      <c r="T4339" s="2" t="n">
        <v>1</v>
      </c>
      <c r="U4339" s="2" t="n">
        <v>6</v>
      </c>
      <c r="V4339" s="2" t="n">
        <v>4</v>
      </c>
      <c r="W4339" s="2" t="n">
        <v>2</v>
      </c>
      <c r="X4339" s="2" t="n">
        <v>3</v>
      </c>
      <c r="Y4339" s="2" t="n">
        <v>1</v>
      </c>
      <c r="Z4339" s="2" t="n">
        <v>3</v>
      </c>
    </row>
    <row r="4340" customFormat="false" ht="15" hidden="false" customHeight="true" outlineLevel="0" collapsed="false">
      <c r="A4340" s="2" t="n">
        <v>40</v>
      </c>
      <c r="B4340" s="2" t="s">
        <v>26</v>
      </c>
      <c r="C4340" s="2" t="s">
        <v>27</v>
      </c>
      <c r="D4340" s="2" t="s">
        <v>35</v>
      </c>
      <c r="E4340" s="2" t="n">
        <v>11</v>
      </c>
      <c r="F4340" s="2" t="n">
        <v>3</v>
      </c>
      <c r="G4340" s="2" t="s">
        <v>29</v>
      </c>
      <c r="H4340" s="2" t="n">
        <v>4339</v>
      </c>
      <c r="I4340" s="2" t="s">
        <v>30</v>
      </c>
      <c r="J4340" s="2" t="n">
        <v>2</v>
      </c>
      <c r="K4340" s="2" t="s">
        <v>40</v>
      </c>
      <c r="L4340" s="2" t="s">
        <v>32</v>
      </c>
      <c r="M4340" s="2" t="n">
        <v>70050</v>
      </c>
      <c r="N4340" s="2" t="n">
        <v>1</v>
      </c>
      <c r="O4340" s="2" t="n">
        <v>20</v>
      </c>
      <c r="P4340" s="2" t="n">
        <v>2</v>
      </c>
      <c r="Q4340" s="2" t="n">
        <v>21</v>
      </c>
      <c r="R4340" s="2" t="n">
        <v>2</v>
      </c>
      <c r="S4340" s="2" t="n">
        <v>20</v>
      </c>
      <c r="T4340" s="2" t="n">
        <v>9</v>
      </c>
      <c r="U4340" s="2" t="n">
        <v>9</v>
      </c>
      <c r="V4340" s="2" t="n">
        <v>4</v>
      </c>
      <c r="W4340" s="2" t="n">
        <v>3</v>
      </c>
      <c r="X4340" s="2" t="n">
        <v>3</v>
      </c>
      <c r="Y4340" s="2" t="n">
        <v>3</v>
      </c>
      <c r="Z4340" s="2" t="n">
        <v>4</v>
      </c>
    </row>
    <row r="4341" customFormat="false" ht="15" hidden="false" customHeight="true" outlineLevel="0" collapsed="false">
      <c r="A4341" s="2" t="n">
        <v>55</v>
      </c>
      <c r="B4341" s="2" t="s">
        <v>26</v>
      </c>
      <c r="C4341" s="2" t="s">
        <v>27</v>
      </c>
      <c r="D4341" s="2" t="s">
        <v>35</v>
      </c>
      <c r="E4341" s="2" t="n">
        <v>6</v>
      </c>
      <c r="F4341" s="2" t="n">
        <v>1</v>
      </c>
      <c r="G4341" s="2" t="s">
        <v>29</v>
      </c>
      <c r="H4341" s="2" t="n">
        <v>4340</v>
      </c>
      <c r="I4341" s="2" t="s">
        <v>30</v>
      </c>
      <c r="J4341" s="2" t="n">
        <v>2</v>
      </c>
      <c r="K4341" s="2" t="s">
        <v>45</v>
      </c>
      <c r="L4341" s="2" t="s">
        <v>37</v>
      </c>
      <c r="M4341" s="2" t="n">
        <v>26550</v>
      </c>
      <c r="N4341" s="2" t="n">
        <v>8</v>
      </c>
      <c r="O4341" s="2" t="n">
        <v>17</v>
      </c>
      <c r="P4341" s="2" t="n">
        <v>0</v>
      </c>
      <c r="Q4341" s="2" t="n">
        <v>36</v>
      </c>
      <c r="R4341" s="2" t="n">
        <v>0</v>
      </c>
      <c r="S4341" s="2" t="n">
        <v>24</v>
      </c>
      <c r="T4341" s="2" t="n">
        <v>2</v>
      </c>
      <c r="U4341" s="2" t="n">
        <v>15</v>
      </c>
      <c r="V4341" s="2" t="n">
        <v>3</v>
      </c>
      <c r="W4341" s="2" t="n">
        <v>2</v>
      </c>
      <c r="X4341" s="2" t="n">
        <v>3</v>
      </c>
      <c r="Y4341" s="2" t="n">
        <v>2</v>
      </c>
      <c r="Z4341" s="2" t="n">
        <v>3</v>
      </c>
    </row>
    <row r="4342" customFormat="false" ht="15" hidden="false" customHeight="true" outlineLevel="0" collapsed="false">
      <c r="A4342" s="2" t="n">
        <v>34</v>
      </c>
      <c r="B4342" s="2" t="s">
        <v>26</v>
      </c>
      <c r="C4342" s="2" t="s">
        <v>34</v>
      </c>
      <c r="D4342" s="2" t="s">
        <v>42</v>
      </c>
      <c r="E4342" s="2" t="n">
        <v>7</v>
      </c>
      <c r="F4342" s="2" t="n">
        <v>4</v>
      </c>
      <c r="G4342" s="2" t="s">
        <v>38</v>
      </c>
      <c r="H4342" s="2" t="n">
        <v>4341</v>
      </c>
      <c r="I4342" s="2" t="s">
        <v>30</v>
      </c>
      <c r="J4342" s="2" t="n">
        <v>1</v>
      </c>
      <c r="K4342" s="2" t="s">
        <v>36</v>
      </c>
      <c r="L4342" s="2" t="s">
        <v>32</v>
      </c>
      <c r="M4342" s="2" t="n">
        <v>13930</v>
      </c>
      <c r="N4342" s="2" t="n">
        <v>1</v>
      </c>
      <c r="O4342" s="2" t="n">
        <v>11</v>
      </c>
      <c r="P4342" s="2" t="n">
        <v>2</v>
      </c>
      <c r="Q4342" s="2" t="n">
        <v>10</v>
      </c>
      <c r="R4342" s="2" t="n">
        <v>4</v>
      </c>
      <c r="S4342" s="2" t="n">
        <v>10</v>
      </c>
      <c r="T4342" s="2" t="n">
        <v>1</v>
      </c>
      <c r="U4342" s="2" t="n">
        <v>9</v>
      </c>
      <c r="V4342" s="2" t="n">
        <v>4</v>
      </c>
      <c r="W4342" s="2" t="n">
        <v>3</v>
      </c>
      <c r="X4342" s="2" t="n">
        <v>2</v>
      </c>
      <c r="Y4342" s="2" t="n">
        <v>4</v>
      </c>
      <c r="Z4342" s="2" t="n">
        <v>3</v>
      </c>
    </row>
    <row r="4343" customFormat="false" ht="15" hidden="false" customHeight="true" outlineLevel="0" collapsed="false">
      <c r="A4343" s="2" t="n">
        <v>51</v>
      </c>
      <c r="B4343" s="2" t="s">
        <v>26</v>
      </c>
      <c r="C4343" s="2" t="s">
        <v>27</v>
      </c>
      <c r="D4343" s="2" t="s">
        <v>42</v>
      </c>
      <c r="E4343" s="2" t="n">
        <v>4</v>
      </c>
      <c r="F4343" s="2" t="n">
        <v>2</v>
      </c>
      <c r="G4343" s="2" t="s">
        <v>42</v>
      </c>
      <c r="H4343" s="2" t="n">
        <v>4342</v>
      </c>
      <c r="I4343" s="2" t="s">
        <v>39</v>
      </c>
      <c r="J4343" s="2" t="n">
        <v>2</v>
      </c>
      <c r="K4343" s="2" t="s">
        <v>48</v>
      </c>
      <c r="L4343" s="2" t="s">
        <v>37</v>
      </c>
      <c r="M4343" s="2" t="n">
        <v>25700</v>
      </c>
      <c r="N4343" s="2" t="n">
        <v>3</v>
      </c>
      <c r="O4343" s="2" t="n">
        <v>18</v>
      </c>
      <c r="P4343" s="2" t="n">
        <v>0</v>
      </c>
      <c r="Q4343" s="2" t="n">
        <v>21</v>
      </c>
      <c r="R4343" s="2" t="n">
        <v>2</v>
      </c>
      <c r="S4343" s="2" t="n">
        <v>7</v>
      </c>
      <c r="T4343" s="2" t="n">
        <v>1</v>
      </c>
      <c r="U4343" s="2" t="n">
        <v>0</v>
      </c>
      <c r="V4343" s="2" t="n">
        <v>4</v>
      </c>
      <c r="W4343" s="2" t="n">
        <v>2</v>
      </c>
      <c r="X4343" s="2" t="n">
        <v>3</v>
      </c>
      <c r="Y4343" s="2" t="n">
        <v>3</v>
      </c>
      <c r="Z4343" s="2" t="n">
        <v>3</v>
      </c>
    </row>
    <row r="4344" customFormat="false" ht="15" hidden="false" customHeight="true" outlineLevel="0" collapsed="false">
      <c r="A4344" s="2" t="n">
        <v>52</v>
      </c>
      <c r="B4344" s="2" t="s">
        <v>26</v>
      </c>
      <c r="C4344" s="2" t="s">
        <v>27</v>
      </c>
      <c r="D4344" s="2" t="s">
        <v>35</v>
      </c>
      <c r="E4344" s="2" t="n">
        <v>2</v>
      </c>
      <c r="F4344" s="2" t="n">
        <v>4</v>
      </c>
      <c r="G4344" s="2" t="s">
        <v>43</v>
      </c>
      <c r="H4344" s="2" t="n">
        <v>4343</v>
      </c>
      <c r="I4344" s="2" t="s">
        <v>30</v>
      </c>
      <c r="J4344" s="2" t="n">
        <v>2</v>
      </c>
      <c r="K4344" s="2" t="s">
        <v>48</v>
      </c>
      <c r="L4344" s="2" t="s">
        <v>32</v>
      </c>
      <c r="M4344" s="2" t="n">
        <v>35370</v>
      </c>
      <c r="N4344" s="2" t="n">
        <v>0</v>
      </c>
      <c r="O4344" s="2" t="n">
        <v>11</v>
      </c>
      <c r="P4344" s="2" t="n">
        <v>1</v>
      </c>
      <c r="Q4344" s="2" t="n">
        <v>34</v>
      </c>
      <c r="R4344" s="2" t="n">
        <v>3</v>
      </c>
      <c r="S4344" s="2" t="n">
        <v>33</v>
      </c>
      <c r="T4344" s="2" t="n">
        <v>11</v>
      </c>
      <c r="U4344" s="2" t="n">
        <v>9</v>
      </c>
      <c r="V4344" s="2" t="n">
        <v>3</v>
      </c>
      <c r="W4344" s="2" t="n">
        <v>3</v>
      </c>
      <c r="X4344" s="2" t="n">
        <v>3</v>
      </c>
      <c r="Y4344" s="2" t="n">
        <v>3</v>
      </c>
      <c r="Z4344" s="2" t="n">
        <v>3</v>
      </c>
    </row>
    <row r="4345" customFormat="false" ht="15" hidden="false" customHeight="true" outlineLevel="0" collapsed="false">
      <c r="A4345" s="2" t="n">
        <v>27</v>
      </c>
      <c r="B4345" s="2" t="s">
        <v>26</v>
      </c>
      <c r="C4345" s="2" t="s">
        <v>27</v>
      </c>
      <c r="D4345" s="2" t="s">
        <v>28</v>
      </c>
      <c r="E4345" s="2" t="n">
        <v>15</v>
      </c>
      <c r="F4345" s="2" t="n">
        <v>3</v>
      </c>
      <c r="G4345" s="2" t="s">
        <v>50</v>
      </c>
      <c r="H4345" s="2" t="n">
        <v>4344</v>
      </c>
      <c r="I4345" s="2" t="s">
        <v>39</v>
      </c>
      <c r="J4345" s="2" t="n">
        <v>1</v>
      </c>
      <c r="K4345" s="2" t="s">
        <v>36</v>
      </c>
      <c r="L4345" s="2" t="s">
        <v>37</v>
      </c>
      <c r="M4345" s="2" t="n">
        <v>39860</v>
      </c>
      <c r="N4345" s="2" t="n">
        <v>1</v>
      </c>
      <c r="O4345" s="2" t="n">
        <v>12</v>
      </c>
      <c r="P4345" s="2" t="n">
        <v>2</v>
      </c>
      <c r="Q4345" s="2" t="n">
        <v>7</v>
      </c>
      <c r="R4345" s="2" t="n">
        <v>3</v>
      </c>
      <c r="S4345" s="2" t="n">
        <v>7</v>
      </c>
      <c r="T4345" s="2" t="n">
        <v>0</v>
      </c>
      <c r="U4345" s="2" t="n">
        <v>3</v>
      </c>
      <c r="V4345" s="2" t="n">
        <v>4</v>
      </c>
      <c r="W4345" s="2" t="n">
        <v>2</v>
      </c>
      <c r="X4345" s="2" t="n">
        <v>2</v>
      </c>
      <c r="Y4345" s="2" t="n">
        <v>3</v>
      </c>
      <c r="Z4345" s="2" t="n">
        <v>3</v>
      </c>
    </row>
    <row r="4346" customFormat="false" ht="15" hidden="false" customHeight="true" outlineLevel="0" collapsed="false">
      <c r="A4346" s="2" t="n">
        <v>35</v>
      </c>
      <c r="B4346" s="2" t="s">
        <v>33</v>
      </c>
      <c r="C4346" s="2" t="s">
        <v>27</v>
      </c>
      <c r="D4346" s="2" t="s">
        <v>35</v>
      </c>
      <c r="E4346" s="2" t="n">
        <v>2</v>
      </c>
      <c r="F4346" s="2" t="n">
        <v>4</v>
      </c>
      <c r="G4346" s="2" t="s">
        <v>29</v>
      </c>
      <c r="H4346" s="2" t="n">
        <v>4345</v>
      </c>
      <c r="I4346" s="2" t="s">
        <v>30</v>
      </c>
      <c r="J4346" s="2" t="n">
        <v>2</v>
      </c>
      <c r="K4346" s="2" t="s">
        <v>44</v>
      </c>
      <c r="L4346" s="2" t="s">
        <v>32</v>
      </c>
      <c r="M4346" s="2" t="n">
        <v>108830</v>
      </c>
      <c r="N4346" s="2" t="n">
        <v>3</v>
      </c>
      <c r="O4346" s="2" t="n">
        <v>12</v>
      </c>
      <c r="P4346" s="2" t="n">
        <v>0</v>
      </c>
      <c r="Q4346" s="2" t="n">
        <v>8</v>
      </c>
      <c r="R4346" s="2" t="n">
        <v>3</v>
      </c>
      <c r="S4346" s="2" t="n">
        <v>1</v>
      </c>
      <c r="T4346" s="2" t="n">
        <v>0</v>
      </c>
      <c r="U4346" s="2" t="n">
        <v>1</v>
      </c>
      <c r="V4346" s="2" t="n">
        <v>2</v>
      </c>
      <c r="W4346" s="2" t="n">
        <v>3</v>
      </c>
      <c r="X4346" s="2" t="n">
        <v>3</v>
      </c>
      <c r="Y4346" s="2" t="n">
        <v>4</v>
      </c>
      <c r="Z4346" s="2" t="n">
        <v>3</v>
      </c>
    </row>
    <row r="4347" customFormat="false" ht="15" hidden="false" customHeight="true" outlineLevel="0" collapsed="false">
      <c r="A4347" s="2" t="n">
        <v>43</v>
      </c>
      <c r="B4347" s="2" t="s">
        <v>26</v>
      </c>
      <c r="C4347" s="2" t="s">
        <v>41</v>
      </c>
      <c r="D4347" s="2" t="s">
        <v>35</v>
      </c>
      <c r="E4347" s="2" t="n">
        <v>6</v>
      </c>
      <c r="F4347" s="2" t="n">
        <v>2</v>
      </c>
      <c r="G4347" s="2" t="s">
        <v>43</v>
      </c>
      <c r="H4347" s="2" t="n">
        <v>4346</v>
      </c>
      <c r="I4347" s="2" t="s">
        <v>39</v>
      </c>
      <c r="J4347" s="2" t="n">
        <v>1</v>
      </c>
      <c r="K4347" s="2" t="s">
        <v>31</v>
      </c>
      <c r="L4347" s="2" t="s">
        <v>46</v>
      </c>
      <c r="M4347" s="2" t="n">
        <v>20280</v>
      </c>
      <c r="N4347" s="2" t="n">
        <v>4</v>
      </c>
      <c r="O4347" s="2" t="n">
        <v>20</v>
      </c>
      <c r="P4347" s="2" t="n">
        <v>1</v>
      </c>
      <c r="Q4347" s="2" t="n">
        <v>7</v>
      </c>
      <c r="R4347" s="2" t="n">
        <v>2</v>
      </c>
      <c r="S4347" s="2" t="n">
        <v>5</v>
      </c>
      <c r="T4347" s="2" t="n">
        <v>2</v>
      </c>
      <c r="U4347" s="2" t="n">
        <v>2</v>
      </c>
      <c r="V4347" s="2" t="n">
        <v>4</v>
      </c>
      <c r="W4347" s="2"/>
      <c r="X4347" s="2" t="n">
        <v>4</v>
      </c>
      <c r="Y4347" s="2" t="n">
        <v>2</v>
      </c>
      <c r="Z4347" s="2" t="n">
        <v>4</v>
      </c>
    </row>
    <row r="4348" customFormat="false" ht="15" hidden="false" customHeight="true" outlineLevel="0" collapsed="false">
      <c r="A4348" s="2" t="n">
        <v>45</v>
      </c>
      <c r="B4348" s="2" t="s">
        <v>26</v>
      </c>
      <c r="C4348" s="2" t="s">
        <v>41</v>
      </c>
      <c r="D4348" s="2" t="s">
        <v>35</v>
      </c>
      <c r="E4348" s="2" t="n">
        <v>9</v>
      </c>
      <c r="F4348" s="2" t="n">
        <v>2</v>
      </c>
      <c r="G4348" s="2" t="s">
        <v>43</v>
      </c>
      <c r="H4348" s="2" t="n">
        <v>4347</v>
      </c>
      <c r="I4348" s="2" t="s">
        <v>30</v>
      </c>
      <c r="J4348" s="2" t="n">
        <v>1</v>
      </c>
      <c r="K4348" s="2" t="s">
        <v>40</v>
      </c>
      <c r="L4348" s="2" t="s">
        <v>32</v>
      </c>
      <c r="M4348" s="2" t="n">
        <v>95250</v>
      </c>
      <c r="N4348" s="2" t="n">
        <v>9</v>
      </c>
      <c r="O4348" s="2" t="n">
        <v>19</v>
      </c>
      <c r="P4348" s="2" t="n">
        <v>0</v>
      </c>
      <c r="Q4348" s="2" t="n">
        <v>22</v>
      </c>
      <c r="R4348" s="2" t="n">
        <v>3</v>
      </c>
      <c r="S4348" s="2" t="n">
        <v>20</v>
      </c>
      <c r="T4348" s="2" t="n">
        <v>11</v>
      </c>
      <c r="U4348" s="2" t="n">
        <v>8</v>
      </c>
      <c r="V4348" s="2" t="n">
        <v>1</v>
      </c>
      <c r="W4348" s="2" t="n">
        <v>4</v>
      </c>
      <c r="X4348" s="2" t="n">
        <v>3</v>
      </c>
      <c r="Y4348" s="2" t="n">
        <v>3</v>
      </c>
      <c r="Z4348" s="2" t="n">
        <v>3</v>
      </c>
    </row>
    <row r="4349" customFormat="false" ht="15" hidden="false" customHeight="true" outlineLevel="0" collapsed="false">
      <c r="A4349" s="2" t="n">
        <v>37</v>
      </c>
      <c r="B4349" s="2" t="s">
        <v>26</v>
      </c>
      <c r="C4349" s="2" t="s">
        <v>27</v>
      </c>
      <c r="D4349" s="2" t="s">
        <v>35</v>
      </c>
      <c r="E4349" s="2" t="n">
        <v>7</v>
      </c>
      <c r="F4349" s="2" t="n">
        <v>3</v>
      </c>
      <c r="G4349" s="2" t="s">
        <v>29</v>
      </c>
      <c r="H4349" s="2" t="n">
        <v>4348</v>
      </c>
      <c r="I4349" s="2" t="s">
        <v>30</v>
      </c>
      <c r="J4349" s="2" t="n">
        <v>1</v>
      </c>
      <c r="K4349" s="2" t="s">
        <v>36</v>
      </c>
      <c r="L4349" s="2" t="s">
        <v>32</v>
      </c>
      <c r="M4349" s="2" t="n">
        <v>29290</v>
      </c>
      <c r="N4349" s="2" t="n">
        <v>1</v>
      </c>
      <c r="O4349" s="2" t="n">
        <v>12</v>
      </c>
      <c r="P4349" s="2" t="n">
        <v>0</v>
      </c>
      <c r="Q4349" s="2" t="n">
        <v>8</v>
      </c>
      <c r="R4349" s="2" t="n">
        <v>2</v>
      </c>
      <c r="S4349" s="2" t="n">
        <v>8</v>
      </c>
      <c r="T4349" s="2" t="n">
        <v>1</v>
      </c>
      <c r="U4349" s="2" t="n">
        <v>7</v>
      </c>
      <c r="V4349" s="2" t="n">
        <v>2</v>
      </c>
      <c r="W4349" s="2" t="n">
        <v>1</v>
      </c>
      <c r="X4349" s="2" t="n">
        <v>2</v>
      </c>
      <c r="Y4349" s="2" t="n">
        <v>1</v>
      </c>
      <c r="Z4349" s="2" t="n">
        <v>3</v>
      </c>
    </row>
    <row r="4350" customFormat="false" ht="15" hidden="false" customHeight="true" outlineLevel="0" collapsed="false">
      <c r="A4350" s="2" t="n">
        <v>35</v>
      </c>
      <c r="B4350" s="2" t="s">
        <v>26</v>
      </c>
      <c r="C4350" s="2" t="s">
        <v>34</v>
      </c>
      <c r="D4350" s="2" t="s">
        <v>35</v>
      </c>
      <c r="E4350" s="2" t="n">
        <v>1</v>
      </c>
      <c r="F4350" s="2" t="n">
        <v>3</v>
      </c>
      <c r="G4350" s="2" t="s">
        <v>38</v>
      </c>
      <c r="H4350" s="2" t="n">
        <v>4349</v>
      </c>
      <c r="I4350" s="2" t="s">
        <v>39</v>
      </c>
      <c r="J4350" s="2" t="n">
        <v>2</v>
      </c>
      <c r="K4350" s="2" t="s">
        <v>44</v>
      </c>
      <c r="L4350" s="2" t="s">
        <v>37</v>
      </c>
      <c r="M4350" s="2" t="n">
        <v>22750</v>
      </c>
      <c r="N4350" s="2" t="n">
        <v>5</v>
      </c>
      <c r="O4350" s="2" t="n">
        <v>13</v>
      </c>
      <c r="P4350" s="2" t="n">
        <v>0</v>
      </c>
      <c r="Q4350" s="2" t="n">
        <v>10</v>
      </c>
      <c r="R4350" s="2" t="n">
        <v>2</v>
      </c>
      <c r="S4350" s="2" t="n">
        <v>6</v>
      </c>
      <c r="T4350" s="2" t="n">
        <v>1</v>
      </c>
      <c r="U4350" s="2" t="n">
        <v>2</v>
      </c>
      <c r="V4350" s="2" t="n">
        <v>2</v>
      </c>
      <c r="W4350" s="2" t="n">
        <v>2</v>
      </c>
      <c r="X4350" s="2" t="n">
        <v>3</v>
      </c>
      <c r="Y4350" s="2" t="n">
        <v>4</v>
      </c>
      <c r="Z4350" s="2" t="n">
        <v>3</v>
      </c>
    </row>
    <row r="4351" customFormat="false" ht="15" hidden="false" customHeight="true" outlineLevel="0" collapsed="false">
      <c r="A4351" s="2" t="n">
        <v>42</v>
      </c>
      <c r="B4351" s="2" t="s">
        <v>26</v>
      </c>
      <c r="C4351" s="2" t="s">
        <v>41</v>
      </c>
      <c r="D4351" s="2" t="s">
        <v>35</v>
      </c>
      <c r="E4351" s="2" t="n">
        <v>1</v>
      </c>
      <c r="F4351" s="2" t="n">
        <v>1</v>
      </c>
      <c r="G4351" s="2" t="s">
        <v>51</v>
      </c>
      <c r="H4351" s="2" t="n">
        <v>4350</v>
      </c>
      <c r="I4351" s="2" t="s">
        <v>39</v>
      </c>
      <c r="J4351" s="2" t="n">
        <v>2</v>
      </c>
      <c r="K4351" s="2" t="s">
        <v>40</v>
      </c>
      <c r="L4351" s="2" t="s">
        <v>46</v>
      </c>
      <c r="M4351" s="2" t="n">
        <v>78790</v>
      </c>
      <c r="N4351" s="2" t="n">
        <v>2</v>
      </c>
      <c r="O4351" s="2" t="n">
        <v>11</v>
      </c>
      <c r="P4351" s="2" t="n">
        <v>1</v>
      </c>
      <c r="Q4351" s="2" t="n">
        <v>11</v>
      </c>
      <c r="R4351" s="2" t="n">
        <v>2</v>
      </c>
      <c r="S4351" s="2" t="n">
        <v>5</v>
      </c>
      <c r="T4351" s="2" t="n">
        <v>0</v>
      </c>
      <c r="U4351" s="2" t="n">
        <v>2</v>
      </c>
      <c r="V4351" s="2" t="n">
        <v>3</v>
      </c>
      <c r="W4351" s="2" t="n">
        <v>3</v>
      </c>
      <c r="X4351" s="2" t="n">
        <v>3</v>
      </c>
      <c r="Y4351" s="2" t="n">
        <v>3</v>
      </c>
      <c r="Z4351" s="2" t="n">
        <v>3</v>
      </c>
    </row>
    <row r="4352" customFormat="false" ht="15" hidden="false" customHeight="true" outlineLevel="0" collapsed="false">
      <c r="A4352" s="2" t="n">
        <v>38</v>
      </c>
      <c r="B4352" s="2" t="s">
        <v>26</v>
      </c>
      <c r="C4352" s="2" t="s">
        <v>27</v>
      </c>
      <c r="D4352" s="2" t="s">
        <v>28</v>
      </c>
      <c r="E4352" s="2" t="n">
        <v>8</v>
      </c>
      <c r="F4352" s="2" t="n">
        <v>2</v>
      </c>
      <c r="G4352" s="2" t="s">
        <v>50</v>
      </c>
      <c r="H4352" s="2" t="n">
        <v>4351</v>
      </c>
      <c r="I4352" s="2" t="s">
        <v>39</v>
      </c>
      <c r="J4352" s="2" t="n">
        <v>5</v>
      </c>
      <c r="K4352" s="2" t="s">
        <v>36</v>
      </c>
      <c r="L4352" s="2" t="s">
        <v>32</v>
      </c>
      <c r="M4352" s="2" t="n">
        <v>49300</v>
      </c>
      <c r="N4352" s="2" t="n">
        <v>9</v>
      </c>
      <c r="O4352" s="2" t="n">
        <v>14</v>
      </c>
      <c r="P4352" s="2" t="n">
        <v>0</v>
      </c>
      <c r="Q4352" s="2" t="n">
        <v>14</v>
      </c>
      <c r="R4352" s="2" t="n">
        <v>0</v>
      </c>
      <c r="S4352" s="2" t="n">
        <v>1</v>
      </c>
      <c r="T4352" s="2" t="n">
        <v>0</v>
      </c>
      <c r="U4352" s="2" t="n">
        <v>0</v>
      </c>
      <c r="V4352" s="2" t="n">
        <v>4</v>
      </c>
      <c r="W4352" s="2" t="n">
        <v>3</v>
      </c>
      <c r="X4352" s="2" t="n">
        <v>3</v>
      </c>
      <c r="Y4352" s="2" t="n">
        <v>3</v>
      </c>
      <c r="Z4352" s="2" t="n">
        <v>3</v>
      </c>
    </row>
    <row r="4353" customFormat="false" ht="15" hidden="false" customHeight="true" outlineLevel="0" collapsed="false">
      <c r="A4353" s="2" t="n">
        <v>38</v>
      </c>
      <c r="B4353" s="2" t="s">
        <v>26</v>
      </c>
      <c r="C4353" s="2" t="s">
        <v>27</v>
      </c>
      <c r="D4353" s="2" t="s">
        <v>42</v>
      </c>
      <c r="E4353" s="2" t="n">
        <v>25</v>
      </c>
      <c r="F4353" s="2" t="n">
        <v>1</v>
      </c>
      <c r="G4353" s="2" t="s">
        <v>42</v>
      </c>
      <c r="H4353" s="2" t="n">
        <v>4352</v>
      </c>
      <c r="I4353" s="2" t="s">
        <v>30</v>
      </c>
      <c r="J4353" s="2" t="n">
        <v>1</v>
      </c>
      <c r="K4353" s="2" t="s">
        <v>47</v>
      </c>
      <c r="L4353" s="2" t="s">
        <v>32</v>
      </c>
      <c r="M4353" s="2" t="n">
        <v>78470</v>
      </c>
      <c r="N4353" s="2" t="n">
        <v>3</v>
      </c>
      <c r="O4353" s="2" t="n">
        <v>14</v>
      </c>
      <c r="P4353" s="2" t="n">
        <v>1</v>
      </c>
      <c r="Q4353" s="2" t="n">
        <v>9</v>
      </c>
      <c r="R4353" s="2" t="n">
        <v>3</v>
      </c>
      <c r="S4353" s="2" t="n">
        <v>7</v>
      </c>
      <c r="T4353" s="2" t="n">
        <v>1</v>
      </c>
      <c r="U4353" s="2" t="n">
        <v>7</v>
      </c>
      <c r="V4353" s="2" t="n">
        <v>4</v>
      </c>
      <c r="W4353" s="2" t="n">
        <v>4</v>
      </c>
      <c r="X4353" s="2" t="n">
        <v>1</v>
      </c>
      <c r="Y4353" s="2" t="n">
        <v>4</v>
      </c>
      <c r="Z4353" s="2" t="n">
        <v>3</v>
      </c>
    </row>
    <row r="4354" customFormat="false" ht="15" hidden="false" customHeight="true" outlineLevel="0" collapsed="false">
      <c r="A4354" s="2" t="n">
        <v>27</v>
      </c>
      <c r="B4354" s="2" t="s">
        <v>26</v>
      </c>
      <c r="C4354" s="2" t="s">
        <v>34</v>
      </c>
      <c r="D4354" s="2" t="s">
        <v>35</v>
      </c>
      <c r="E4354" s="2" t="n">
        <v>13</v>
      </c>
      <c r="F4354" s="2" t="n">
        <v>4</v>
      </c>
      <c r="G4354" s="2" t="s">
        <v>43</v>
      </c>
      <c r="H4354" s="2" t="n">
        <v>4353</v>
      </c>
      <c r="I4354" s="2" t="s">
        <v>39</v>
      </c>
      <c r="J4354" s="2" t="n">
        <v>1</v>
      </c>
      <c r="K4354" s="2" t="s">
        <v>49</v>
      </c>
      <c r="L4354" s="2" t="s">
        <v>32</v>
      </c>
      <c r="M4354" s="2" t="n">
        <v>44010</v>
      </c>
      <c r="N4354" s="2" t="n">
        <v>5</v>
      </c>
      <c r="O4354" s="2" t="n">
        <v>13</v>
      </c>
      <c r="P4354" s="2" t="n">
        <v>0</v>
      </c>
      <c r="Q4354" s="2" t="n">
        <v>6</v>
      </c>
      <c r="R4354" s="2" t="n">
        <v>4</v>
      </c>
      <c r="S4354" s="2" t="n">
        <v>2</v>
      </c>
      <c r="T4354" s="2" t="n">
        <v>2</v>
      </c>
      <c r="U4354" s="2" t="n">
        <v>0</v>
      </c>
      <c r="V4354" s="2" t="n">
        <v>3</v>
      </c>
      <c r="W4354" s="2" t="n">
        <v>1</v>
      </c>
      <c r="X4354" s="2" t="n">
        <v>3</v>
      </c>
      <c r="Y4354" s="2" t="n">
        <v>2</v>
      </c>
      <c r="Z4354" s="2" t="n">
        <v>3</v>
      </c>
    </row>
    <row r="4355" customFormat="false" ht="15" hidden="false" customHeight="true" outlineLevel="0" collapsed="false">
      <c r="A4355" s="2" t="n">
        <v>49</v>
      </c>
      <c r="B4355" s="2" t="s">
        <v>26</v>
      </c>
      <c r="C4355" s="2" t="s">
        <v>41</v>
      </c>
      <c r="D4355" s="2" t="s">
        <v>35</v>
      </c>
      <c r="E4355" s="2" t="n">
        <v>23</v>
      </c>
      <c r="F4355" s="2" t="n">
        <v>1</v>
      </c>
      <c r="G4355" s="2" t="s">
        <v>38</v>
      </c>
      <c r="H4355" s="2" t="n">
        <v>4354</v>
      </c>
      <c r="I4355" s="2" t="s">
        <v>30</v>
      </c>
      <c r="J4355" s="2" t="n">
        <v>2</v>
      </c>
      <c r="K4355" s="2" t="s">
        <v>40</v>
      </c>
      <c r="L4355" s="2" t="s">
        <v>46</v>
      </c>
      <c r="M4355" s="2" t="n">
        <v>92410</v>
      </c>
      <c r="N4355" s="2" t="n">
        <v>1</v>
      </c>
      <c r="O4355" s="2" t="n">
        <v>19</v>
      </c>
      <c r="P4355" s="2" t="n">
        <v>1</v>
      </c>
      <c r="Q4355" s="2" t="n">
        <v>7</v>
      </c>
      <c r="R4355" s="2" t="n">
        <v>5</v>
      </c>
      <c r="S4355" s="2" t="n">
        <v>7</v>
      </c>
      <c r="T4355" s="2" t="n">
        <v>1</v>
      </c>
      <c r="U4355" s="2" t="n">
        <v>7</v>
      </c>
      <c r="V4355" s="2" t="n">
        <v>4</v>
      </c>
      <c r="W4355" s="2" t="n">
        <v>4</v>
      </c>
      <c r="X4355" s="2" t="n">
        <v>3</v>
      </c>
      <c r="Y4355" s="2" t="n">
        <v>3</v>
      </c>
      <c r="Z4355" s="2" t="n">
        <v>3</v>
      </c>
    </row>
    <row r="4356" customFormat="false" ht="15" hidden="false" customHeight="true" outlineLevel="0" collapsed="false">
      <c r="A4356" s="2" t="n">
        <v>34</v>
      </c>
      <c r="B4356" s="2" t="s">
        <v>26</v>
      </c>
      <c r="C4356" s="2" t="s">
        <v>34</v>
      </c>
      <c r="D4356" s="2" t="s">
        <v>35</v>
      </c>
      <c r="E4356" s="2" t="n">
        <v>7</v>
      </c>
      <c r="F4356" s="2" t="n">
        <v>2</v>
      </c>
      <c r="G4356" s="2" t="s">
        <v>43</v>
      </c>
      <c r="H4356" s="2" t="n">
        <v>4355</v>
      </c>
      <c r="I4356" s="2" t="s">
        <v>39</v>
      </c>
      <c r="J4356" s="2" t="n">
        <v>4</v>
      </c>
      <c r="K4356" s="2" t="s">
        <v>48</v>
      </c>
      <c r="L4356" s="2" t="s">
        <v>46</v>
      </c>
      <c r="M4356" s="2" t="n">
        <v>29740</v>
      </c>
      <c r="N4356" s="2" t="n">
        <v>1</v>
      </c>
      <c r="O4356" s="2" t="n">
        <v>23</v>
      </c>
      <c r="P4356" s="2" t="n">
        <v>0</v>
      </c>
      <c r="Q4356" s="2" t="n">
        <v>5</v>
      </c>
      <c r="R4356" s="2" t="n">
        <v>2</v>
      </c>
      <c r="S4356" s="2" t="n">
        <v>5</v>
      </c>
      <c r="T4356" s="2" t="n">
        <v>2</v>
      </c>
      <c r="U4356" s="2" t="n">
        <v>0</v>
      </c>
      <c r="V4356" s="2" t="n">
        <v>4</v>
      </c>
      <c r="W4356" s="2" t="n">
        <v>3</v>
      </c>
      <c r="X4356" s="2" t="n">
        <v>4</v>
      </c>
      <c r="Y4356" s="2" t="n">
        <v>3</v>
      </c>
      <c r="Z4356" s="2" t="n">
        <v>4</v>
      </c>
    </row>
    <row r="4357" customFormat="false" ht="15" hidden="false" customHeight="true" outlineLevel="0" collapsed="false">
      <c r="A4357" s="2" t="n">
        <v>40</v>
      </c>
      <c r="B4357" s="2" t="s">
        <v>26</v>
      </c>
      <c r="C4357" s="2" t="s">
        <v>27</v>
      </c>
      <c r="D4357" s="2" t="s">
        <v>35</v>
      </c>
      <c r="E4357" s="2" t="n">
        <v>23</v>
      </c>
      <c r="F4357" s="2" t="n">
        <v>3</v>
      </c>
      <c r="G4357" s="2" t="s">
        <v>43</v>
      </c>
      <c r="H4357" s="2" t="n">
        <v>4356</v>
      </c>
      <c r="I4357" s="2" t="s">
        <v>30</v>
      </c>
      <c r="J4357" s="2" t="n">
        <v>1</v>
      </c>
      <c r="K4357" s="2" t="s">
        <v>45</v>
      </c>
      <c r="L4357" s="2" t="s">
        <v>32</v>
      </c>
      <c r="M4357" s="2" t="n">
        <v>45020</v>
      </c>
      <c r="N4357" s="2" t="n">
        <v>8</v>
      </c>
      <c r="O4357" s="2" t="n">
        <v>12</v>
      </c>
      <c r="P4357" s="2" t="n">
        <v>2</v>
      </c>
      <c r="Q4357" s="2" t="n">
        <v>15</v>
      </c>
      <c r="R4357" s="2" t="n">
        <v>0</v>
      </c>
      <c r="S4357" s="2" t="n">
        <v>7</v>
      </c>
      <c r="T4357" s="2" t="n">
        <v>3</v>
      </c>
      <c r="U4357" s="2" t="n">
        <v>7</v>
      </c>
      <c r="V4357" s="2" t="n">
        <v>3</v>
      </c>
      <c r="W4357" s="2" t="n">
        <v>4</v>
      </c>
      <c r="X4357" s="2" t="n">
        <v>4</v>
      </c>
      <c r="Y4357" s="2" t="n">
        <v>2</v>
      </c>
      <c r="Z4357" s="2" t="n">
        <v>3</v>
      </c>
    </row>
    <row r="4358" customFormat="false" ht="15" hidden="false" customHeight="true" outlineLevel="0" collapsed="false">
      <c r="A4358" s="2" t="n">
        <v>38</v>
      </c>
      <c r="B4358" s="2" t="s">
        <v>33</v>
      </c>
      <c r="C4358" s="2" t="s">
        <v>27</v>
      </c>
      <c r="D4358" s="2" t="s">
        <v>28</v>
      </c>
      <c r="E4358" s="2" t="n">
        <v>6</v>
      </c>
      <c r="F4358" s="2" t="n">
        <v>4</v>
      </c>
      <c r="G4358" s="2" t="s">
        <v>29</v>
      </c>
      <c r="H4358" s="2" t="n">
        <v>4357</v>
      </c>
      <c r="I4358" s="2" t="s">
        <v>30</v>
      </c>
      <c r="J4358" s="2" t="n">
        <v>3</v>
      </c>
      <c r="K4358" s="2" t="s">
        <v>36</v>
      </c>
      <c r="L4358" s="2" t="s">
        <v>32</v>
      </c>
      <c r="M4358" s="2" t="n">
        <v>107480</v>
      </c>
      <c r="N4358" s="2" t="n">
        <v>7</v>
      </c>
      <c r="O4358" s="2" t="n">
        <v>15</v>
      </c>
      <c r="P4358" s="2" t="n">
        <v>0</v>
      </c>
      <c r="Q4358" s="2" t="n">
        <v>17</v>
      </c>
      <c r="R4358" s="2" t="n">
        <v>3</v>
      </c>
      <c r="S4358" s="2" t="n">
        <v>1</v>
      </c>
      <c r="T4358" s="2" t="n">
        <v>0</v>
      </c>
      <c r="U4358" s="2" t="n">
        <v>0</v>
      </c>
      <c r="V4358" s="2" t="n">
        <v>2</v>
      </c>
      <c r="W4358" s="2" t="n">
        <v>1</v>
      </c>
      <c r="X4358" s="2" t="n">
        <v>3</v>
      </c>
      <c r="Y4358" s="2" t="n">
        <v>3</v>
      </c>
      <c r="Z4358" s="2" t="n">
        <v>3</v>
      </c>
    </row>
    <row r="4359" customFormat="false" ht="15" hidden="false" customHeight="true" outlineLevel="0" collapsed="false">
      <c r="A4359" s="2" t="n">
        <v>29</v>
      </c>
      <c r="B4359" s="2" t="s">
        <v>33</v>
      </c>
      <c r="C4359" s="2" t="s">
        <v>27</v>
      </c>
      <c r="D4359" s="2" t="s">
        <v>28</v>
      </c>
      <c r="E4359" s="2" t="n">
        <v>10</v>
      </c>
      <c r="F4359" s="2" t="n">
        <v>2</v>
      </c>
      <c r="G4359" s="2" t="s">
        <v>29</v>
      </c>
      <c r="H4359" s="2" t="n">
        <v>4358</v>
      </c>
      <c r="I4359" s="2" t="s">
        <v>30</v>
      </c>
      <c r="J4359" s="2" t="n">
        <v>2</v>
      </c>
      <c r="K4359" s="2" t="s">
        <v>36</v>
      </c>
      <c r="L4359" s="2" t="s">
        <v>32</v>
      </c>
      <c r="M4359" s="2" t="n">
        <v>15550</v>
      </c>
      <c r="N4359" s="2" t="n">
        <v>1</v>
      </c>
      <c r="O4359" s="2" t="n">
        <v>19</v>
      </c>
      <c r="P4359" s="2" t="n">
        <v>2</v>
      </c>
      <c r="Q4359" s="2" t="n">
        <v>10</v>
      </c>
      <c r="R4359" s="2" t="n">
        <v>2</v>
      </c>
      <c r="S4359" s="2" t="n">
        <v>10</v>
      </c>
      <c r="T4359" s="2" t="n">
        <v>1</v>
      </c>
      <c r="U4359" s="2" t="n">
        <v>9</v>
      </c>
      <c r="V4359" s="2" t="n">
        <v>2</v>
      </c>
      <c r="W4359" s="2" t="n">
        <v>4</v>
      </c>
      <c r="X4359" s="2" t="n">
        <v>2</v>
      </c>
      <c r="Y4359" s="2" t="n">
        <v>3</v>
      </c>
      <c r="Z4359" s="2" t="n">
        <v>3</v>
      </c>
    </row>
    <row r="4360" customFormat="false" ht="15" hidden="false" customHeight="true" outlineLevel="0" collapsed="false">
      <c r="A4360" s="2" t="n">
        <v>22</v>
      </c>
      <c r="B4360" s="2" t="s">
        <v>26</v>
      </c>
      <c r="C4360" s="2" t="s">
        <v>27</v>
      </c>
      <c r="D4360" s="2" t="s">
        <v>35</v>
      </c>
      <c r="E4360" s="2" t="n">
        <v>1</v>
      </c>
      <c r="F4360" s="2" t="n">
        <v>3</v>
      </c>
      <c r="G4360" s="2" t="s">
        <v>29</v>
      </c>
      <c r="H4360" s="2" t="n">
        <v>4359</v>
      </c>
      <c r="I4360" s="2" t="s">
        <v>30</v>
      </c>
      <c r="J4360" s="2" t="n">
        <v>4</v>
      </c>
      <c r="K4360" s="2" t="s">
        <v>31</v>
      </c>
      <c r="L4360" s="2" t="s">
        <v>46</v>
      </c>
      <c r="M4360" s="2" t="n">
        <v>129360</v>
      </c>
      <c r="N4360" s="2" t="n">
        <v>1</v>
      </c>
      <c r="O4360" s="2" t="n">
        <v>11</v>
      </c>
      <c r="P4360" s="2" t="n">
        <v>2</v>
      </c>
      <c r="Q4360" s="2" t="n">
        <v>4</v>
      </c>
      <c r="R4360" s="2" t="n">
        <v>3</v>
      </c>
      <c r="S4360" s="2" t="n">
        <v>4</v>
      </c>
      <c r="T4360" s="2" t="n">
        <v>2</v>
      </c>
      <c r="U4360" s="2" t="n">
        <v>2</v>
      </c>
      <c r="V4360" s="2" t="n">
        <v>4</v>
      </c>
      <c r="W4360" s="2" t="n">
        <v>2</v>
      </c>
      <c r="X4360" s="2" t="n">
        <v>2</v>
      </c>
      <c r="Y4360" s="2" t="n">
        <v>3</v>
      </c>
      <c r="Z4360" s="2" t="n">
        <v>3</v>
      </c>
    </row>
    <row r="4361" customFormat="false" ht="15" hidden="false" customHeight="true" outlineLevel="0" collapsed="false">
      <c r="A4361" s="2" t="n">
        <v>36</v>
      </c>
      <c r="B4361" s="2" t="s">
        <v>26</v>
      </c>
      <c r="C4361" s="2" t="s">
        <v>34</v>
      </c>
      <c r="D4361" s="2" t="s">
        <v>35</v>
      </c>
      <c r="E4361" s="2" t="n">
        <v>1</v>
      </c>
      <c r="F4361" s="2" t="n">
        <v>3</v>
      </c>
      <c r="G4361" s="2" t="s">
        <v>29</v>
      </c>
      <c r="H4361" s="2" t="n">
        <v>4360</v>
      </c>
      <c r="I4361" s="2" t="s">
        <v>30</v>
      </c>
      <c r="J4361" s="2" t="n">
        <v>2</v>
      </c>
      <c r="K4361" s="2" t="s">
        <v>45</v>
      </c>
      <c r="L4361" s="2" t="s">
        <v>37</v>
      </c>
      <c r="M4361" s="2" t="n">
        <v>23050</v>
      </c>
      <c r="N4361" s="2" t="n">
        <v>1</v>
      </c>
      <c r="O4361" s="2" t="n">
        <v>17</v>
      </c>
      <c r="P4361" s="2" t="n">
        <v>0</v>
      </c>
      <c r="Q4361" s="2" t="n">
        <v>8</v>
      </c>
      <c r="R4361" s="2" t="n">
        <v>3</v>
      </c>
      <c r="S4361" s="2" t="n">
        <v>8</v>
      </c>
      <c r="T4361" s="2" t="n">
        <v>1</v>
      </c>
      <c r="U4361" s="2" t="n">
        <v>7</v>
      </c>
      <c r="V4361" s="2" t="n">
        <v>2</v>
      </c>
      <c r="W4361" s="2" t="n">
        <v>4</v>
      </c>
      <c r="X4361" s="2" t="n">
        <v>3</v>
      </c>
      <c r="Y4361" s="2" t="n">
        <v>3</v>
      </c>
      <c r="Z4361" s="2" t="n">
        <v>3</v>
      </c>
    </row>
    <row r="4362" customFormat="false" ht="15" hidden="false" customHeight="true" outlineLevel="0" collapsed="false">
      <c r="A4362" s="2" t="n">
        <v>40</v>
      </c>
      <c r="B4362" s="2" t="s">
        <v>26</v>
      </c>
      <c r="C4362" s="2" t="s">
        <v>41</v>
      </c>
      <c r="D4362" s="2" t="s">
        <v>35</v>
      </c>
      <c r="E4362" s="2" t="n">
        <v>28</v>
      </c>
      <c r="F4362" s="2" t="n">
        <v>2</v>
      </c>
      <c r="G4362" s="2" t="s">
        <v>29</v>
      </c>
      <c r="H4362" s="2" t="n">
        <v>4361</v>
      </c>
      <c r="I4362" s="2" t="s">
        <v>39</v>
      </c>
      <c r="J4362" s="2" t="n">
        <v>1</v>
      </c>
      <c r="K4362" s="2" t="s">
        <v>47</v>
      </c>
      <c r="L4362" s="2" t="s">
        <v>32</v>
      </c>
      <c r="M4362" s="2" t="n">
        <v>167040</v>
      </c>
      <c r="N4362" s="2" t="n">
        <v>9</v>
      </c>
      <c r="O4362" s="2" t="n">
        <v>22</v>
      </c>
      <c r="P4362" s="2" t="n">
        <v>0</v>
      </c>
      <c r="Q4362" s="2" t="n">
        <v>5</v>
      </c>
      <c r="R4362" s="2" t="n">
        <v>2</v>
      </c>
      <c r="S4362" s="2" t="n">
        <v>3</v>
      </c>
      <c r="T4362" s="2" t="n">
        <v>0</v>
      </c>
      <c r="U4362" s="2" t="n">
        <v>2</v>
      </c>
      <c r="V4362" s="2" t="n">
        <v>4</v>
      </c>
      <c r="W4362" s="2" t="n">
        <v>4</v>
      </c>
      <c r="X4362" s="2" t="n">
        <v>1</v>
      </c>
      <c r="Y4362" s="2" t="n">
        <v>4</v>
      </c>
      <c r="Z4362" s="2" t="n">
        <v>4</v>
      </c>
    </row>
    <row r="4363" customFormat="false" ht="15" hidden="false" customHeight="true" outlineLevel="0" collapsed="false">
      <c r="A4363" s="2" t="n">
        <v>46</v>
      </c>
      <c r="B4363" s="2" t="s">
        <v>26</v>
      </c>
      <c r="C4363" s="2" t="s">
        <v>27</v>
      </c>
      <c r="D4363" s="2" t="s">
        <v>35</v>
      </c>
      <c r="E4363" s="2" t="n">
        <v>25</v>
      </c>
      <c r="F4363" s="2" t="n">
        <v>1</v>
      </c>
      <c r="G4363" s="2" t="s">
        <v>43</v>
      </c>
      <c r="H4363" s="2" t="n">
        <v>4362</v>
      </c>
      <c r="I4363" s="2" t="s">
        <v>39</v>
      </c>
      <c r="J4363" s="2" t="n">
        <v>5</v>
      </c>
      <c r="K4363" s="2" t="s">
        <v>36</v>
      </c>
      <c r="L4363" s="2" t="s">
        <v>46</v>
      </c>
      <c r="M4363" s="2" t="n">
        <v>34330</v>
      </c>
      <c r="N4363" s="2" t="n">
        <v>7</v>
      </c>
      <c r="O4363" s="2" t="n">
        <v>18</v>
      </c>
      <c r="P4363" s="2" t="n">
        <v>0</v>
      </c>
      <c r="Q4363" s="2" t="n">
        <v>17</v>
      </c>
      <c r="R4363" s="2" t="n">
        <v>3</v>
      </c>
      <c r="S4363" s="2" t="n">
        <v>4</v>
      </c>
      <c r="T4363" s="2" t="n">
        <v>0</v>
      </c>
      <c r="U4363" s="2" t="n">
        <v>3</v>
      </c>
      <c r="V4363" s="2" t="n">
        <v>4</v>
      </c>
      <c r="W4363" s="2" t="n">
        <v>1</v>
      </c>
      <c r="X4363" s="2" t="n">
        <v>3</v>
      </c>
      <c r="Y4363" s="2" t="n">
        <v>3</v>
      </c>
      <c r="Z4363" s="2" t="n">
        <v>3</v>
      </c>
    </row>
    <row r="4364" customFormat="false" ht="15" hidden="false" customHeight="true" outlineLevel="0" collapsed="false">
      <c r="A4364" s="2" t="n">
        <v>32</v>
      </c>
      <c r="B4364" s="2" t="s">
        <v>33</v>
      </c>
      <c r="C4364" s="2" t="s">
        <v>27</v>
      </c>
      <c r="D4364" s="2" t="s">
        <v>35</v>
      </c>
      <c r="E4364" s="2" t="n">
        <v>5</v>
      </c>
      <c r="F4364" s="2" t="n">
        <v>3</v>
      </c>
      <c r="G4364" s="2" t="s">
        <v>43</v>
      </c>
      <c r="H4364" s="2" t="n">
        <v>4363</v>
      </c>
      <c r="I4364" s="2" t="s">
        <v>39</v>
      </c>
      <c r="J4364" s="2" t="n">
        <v>1</v>
      </c>
      <c r="K4364" s="2" t="s">
        <v>31</v>
      </c>
      <c r="L4364" s="2" t="s">
        <v>32</v>
      </c>
      <c r="M4364" s="2" t="n">
        <v>34770</v>
      </c>
      <c r="N4364" s="2" t="n">
        <v>1</v>
      </c>
      <c r="O4364" s="2" t="n">
        <v>11</v>
      </c>
      <c r="P4364" s="2" t="n">
        <v>0</v>
      </c>
      <c r="Q4364" s="2" t="n">
        <v>14</v>
      </c>
      <c r="R4364" s="2" t="n">
        <v>2</v>
      </c>
      <c r="S4364" s="2" t="n">
        <v>14</v>
      </c>
      <c r="T4364" s="2" t="n">
        <v>9</v>
      </c>
      <c r="U4364" s="2" t="n">
        <v>8</v>
      </c>
      <c r="V4364" s="2" t="n">
        <v>4</v>
      </c>
      <c r="W4364" s="2" t="n">
        <v>4</v>
      </c>
      <c r="X4364" s="2" t="n">
        <v>2</v>
      </c>
      <c r="Y4364" s="2" t="n">
        <v>4</v>
      </c>
      <c r="Z4364" s="2" t="n">
        <v>3</v>
      </c>
    </row>
    <row r="4365" customFormat="false" ht="15" hidden="false" customHeight="true" outlineLevel="0" collapsed="false">
      <c r="A4365" s="2" t="n">
        <v>30</v>
      </c>
      <c r="B4365" s="2" t="s">
        <v>26</v>
      </c>
      <c r="C4365" s="2" t="s">
        <v>41</v>
      </c>
      <c r="D4365" s="2" t="s">
        <v>35</v>
      </c>
      <c r="E4365" s="2" t="n">
        <v>17</v>
      </c>
      <c r="F4365" s="2" t="n">
        <v>4</v>
      </c>
      <c r="G4365" s="2" t="s">
        <v>29</v>
      </c>
      <c r="H4365" s="2" t="n">
        <v>4364</v>
      </c>
      <c r="I4365" s="2" t="s">
        <v>39</v>
      </c>
      <c r="J4365" s="2" t="n">
        <v>2</v>
      </c>
      <c r="K4365" s="2" t="s">
        <v>31</v>
      </c>
      <c r="L4365" s="2" t="s">
        <v>37</v>
      </c>
      <c r="M4365" s="2" t="n">
        <v>64300</v>
      </c>
      <c r="N4365" s="2" t="n">
        <v>1</v>
      </c>
      <c r="O4365" s="2" t="n">
        <v>12</v>
      </c>
      <c r="P4365" s="2" t="n">
        <v>1</v>
      </c>
      <c r="Q4365" s="2" t="n">
        <v>12</v>
      </c>
      <c r="R4365" s="2" t="n">
        <v>2</v>
      </c>
      <c r="S4365" s="2" t="n">
        <v>11</v>
      </c>
      <c r="T4365" s="2" t="n">
        <v>5</v>
      </c>
      <c r="U4365" s="2" t="n">
        <v>8</v>
      </c>
      <c r="V4365" s="2" t="n">
        <v>3</v>
      </c>
      <c r="W4365" s="2" t="n">
        <v>3</v>
      </c>
      <c r="X4365" s="2" t="n">
        <v>3</v>
      </c>
      <c r="Y4365" s="2" t="n">
        <v>2</v>
      </c>
      <c r="Z4365" s="2" t="n">
        <v>3</v>
      </c>
    </row>
    <row r="4366" customFormat="false" ht="15" hidden="false" customHeight="true" outlineLevel="0" collapsed="false">
      <c r="A4366" s="2" t="n">
        <v>27</v>
      </c>
      <c r="B4366" s="2" t="s">
        <v>26</v>
      </c>
      <c r="C4366" s="2" t="s">
        <v>34</v>
      </c>
      <c r="D4366" s="2" t="s">
        <v>35</v>
      </c>
      <c r="E4366" s="2" t="n">
        <v>18</v>
      </c>
      <c r="F4366" s="2" t="n">
        <v>2</v>
      </c>
      <c r="G4366" s="2" t="s">
        <v>43</v>
      </c>
      <c r="H4366" s="2" t="n">
        <v>4365</v>
      </c>
      <c r="I4366" s="2" t="s">
        <v>30</v>
      </c>
      <c r="J4366" s="2" t="n">
        <v>1</v>
      </c>
      <c r="K4366" s="2" t="s">
        <v>45</v>
      </c>
      <c r="L4366" s="2" t="s">
        <v>37</v>
      </c>
      <c r="M4366" s="2" t="n">
        <v>65160</v>
      </c>
      <c r="N4366" s="2" t="n">
        <v>1</v>
      </c>
      <c r="O4366" s="2" t="n">
        <v>19</v>
      </c>
      <c r="P4366" s="2" t="n">
        <v>1</v>
      </c>
      <c r="Q4366" s="2" t="n">
        <v>7</v>
      </c>
      <c r="R4366" s="2" t="n">
        <v>4</v>
      </c>
      <c r="S4366" s="2" t="n">
        <v>7</v>
      </c>
      <c r="T4366" s="2" t="n">
        <v>0</v>
      </c>
      <c r="U4366" s="2" t="n">
        <v>7</v>
      </c>
      <c r="V4366" s="2" t="n">
        <v>4</v>
      </c>
      <c r="W4366" s="2" t="n">
        <v>3</v>
      </c>
      <c r="X4366" s="2" t="n">
        <v>3</v>
      </c>
      <c r="Y4366" s="2" t="n">
        <v>3</v>
      </c>
      <c r="Z4366" s="2" t="n">
        <v>3</v>
      </c>
    </row>
    <row r="4367" customFormat="false" ht="15" hidden="false" customHeight="true" outlineLevel="0" collapsed="false">
      <c r="A4367" s="2" t="n">
        <v>51</v>
      </c>
      <c r="B4367" s="2" t="s">
        <v>26</v>
      </c>
      <c r="C4367" s="2" t="s">
        <v>27</v>
      </c>
      <c r="D4367" s="2" t="s">
        <v>35</v>
      </c>
      <c r="E4367" s="2" t="n">
        <v>2</v>
      </c>
      <c r="F4367" s="2" t="n">
        <v>1</v>
      </c>
      <c r="G4367" s="2" t="s">
        <v>43</v>
      </c>
      <c r="H4367" s="2" t="n">
        <v>4366</v>
      </c>
      <c r="I4367" s="2" t="s">
        <v>30</v>
      </c>
      <c r="J4367" s="2" t="n">
        <v>1</v>
      </c>
      <c r="K4367" s="2" t="s">
        <v>47</v>
      </c>
      <c r="L4367" s="2" t="s">
        <v>32</v>
      </c>
      <c r="M4367" s="2" t="n">
        <v>39070</v>
      </c>
      <c r="N4367" s="2" t="n">
        <v>5</v>
      </c>
      <c r="O4367" s="2" t="n">
        <v>13</v>
      </c>
      <c r="P4367" s="2" t="n">
        <v>0</v>
      </c>
      <c r="Q4367" s="2" t="n">
        <v>16</v>
      </c>
      <c r="R4367" s="2" t="n">
        <v>2</v>
      </c>
      <c r="S4367" s="2" t="n">
        <v>10</v>
      </c>
      <c r="T4367" s="2" t="n">
        <v>4</v>
      </c>
      <c r="U4367" s="2" t="n">
        <v>7</v>
      </c>
      <c r="V4367" s="2" t="n">
        <v>2</v>
      </c>
      <c r="W4367" s="2" t="n">
        <v>2</v>
      </c>
      <c r="X4367" s="2" t="n">
        <v>1</v>
      </c>
      <c r="Y4367" s="2" t="n">
        <v>3</v>
      </c>
      <c r="Z4367" s="2" t="n">
        <v>3</v>
      </c>
    </row>
    <row r="4368" customFormat="false" ht="15" hidden="false" customHeight="true" outlineLevel="0" collapsed="false">
      <c r="A4368" s="2" t="n">
        <v>30</v>
      </c>
      <c r="B4368" s="2" t="s">
        <v>33</v>
      </c>
      <c r="C4368" s="2" t="s">
        <v>27</v>
      </c>
      <c r="D4368" s="2" t="s">
        <v>35</v>
      </c>
      <c r="E4368" s="2" t="n">
        <v>10</v>
      </c>
      <c r="F4368" s="2" t="n">
        <v>4</v>
      </c>
      <c r="G4368" s="2" t="s">
        <v>29</v>
      </c>
      <c r="H4368" s="2" t="n">
        <v>4367</v>
      </c>
      <c r="I4368" s="2" t="s">
        <v>30</v>
      </c>
      <c r="J4368" s="2" t="n">
        <v>2</v>
      </c>
      <c r="K4368" s="2" t="s">
        <v>36</v>
      </c>
      <c r="L4368" s="2" t="s">
        <v>37</v>
      </c>
      <c r="M4368" s="2" t="n">
        <v>55620</v>
      </c>
      <c r="N4368" s="2" t="n">
        <v>5</v>
      </c>
      <c r="O4368" s="2" t="n">
        <v>13</v>
      </c>
      <c r="P4368" s="2" t="n">
        <v>0</v>
      </c>
      <c r="Q4368" s="2" t="n">
        <v>8</v>
      </c>
      <c r="R4368" s="2" t="n">
        <v>3</v>
      </c>
      <c r="S4368" s="2" t="n">
        <v>5</v>
      </c>
      <c r="T4368" s="2" t="n">
        <v>0</v>
      </c>
      <c r="U4368" s="2" t="n">
        <v>4</v>
      </c>
      <c r="V4368" s="2" t="n">
        <v>4</v>
      </c>
      <c r="W4368" s="2" t="n">
        <v>1</v>
      </c>
      <c r="X4368" s="2" t="n">
        <v>3</v>
      </c>
      <c r="Y4368" s="2" t="n">
        <v>2</v>
      </c>
      <c r="Z4368" s="2" t="n">
        <v>3</v>
      </c>
    </row>
    <row r="4369" customFormat="false" ht="15" hidden="false" customHeight="true" outlineLevel="0" collapsed="false">
      <c r="A4369" s="2" t="n">
        <v>41</v>
      </c>
      <c r="B4369" s="2" t="s">
        <v>26</v>
      </c>
      <c r="C4369" s="2" t="s">
        <v>27</v>
      </c>
      <c r="D4369" s="2" t="s">
        <v>35</v>
      </c>
      <c r="E4369" s="2" t="n">
        <v>1</v>
      </c>
      <c r="F4369" s="2" t="n">
        <v>3</v>
      </c>
      <c r="G4369" s="2" t="s">
        <v>29</v>
      </c>
      <c r="H4369" s="2" t="n">
        <v>4368</v>
      </c>
      <c r="I4369" s="2" t="s">
        <v>39</v>
      </c>
      <c r="J4369" s="2" t="n">
        <v>2</v>
      </c>
      <c r="K4369" s="2" t="s">
        <v>42</v>
      </c>
      <c r="L4369" s="2" t="s">
        <v>37</v>
      </c>
      <c r="M4369" s="2" t="n">
        <v>68830</v>
      </c>
      <c r="N4369" s="2" t="n">
        <v>3</v>
      </c>
      <c r="O4369" s="2" t="n">
        <v>19</v>
      </c>
      <c r="P4369" s="2" t="n">
        <v>2</v>
      </c>
      <c r="Q4369" s="2" t="n">
        <v>16</v>
      </c>
      <c r="R4369" s="2" t="n">
        <v>3</v>
      </c>
      <c r="S4369" s="2" t="n">
        <v>1</v>
      </c>
      <c r="T4369" s="2" t="n">
        <v>0</v>
      </c>
      <c r="U4369" s="2" t="n">
        <v>0</v>
      </c>
      <c r="V4369" s="2" t="n">
        <v>4</v>
      </c>
      <c r="W4369" s="2" t="n">
        <v>4</v>
      </c>
      <c r="X4369" s="2" t="n">
        <v>3</v>
      </c>
      <c r="Y4369" s="2" t="n">
        <v>2</v>
      </c>
      <c r="Z4369" s="2" t="n">
        <v>3</v>
      </c>
    </row>
    <row r="4370" customFormat="false" ht="15" hidden="false" customHeight="true" outlineLevel="0" collapsed="false">
      <c r="A4370" s="2" t="n">
        <v>30</v>
      </c>
      <c r="B4370" s="2" t="s">
        <v>33</v>
      </c>
      <c r="C4370" s="2" t="s">
        <v>34</v>
      </c>
      <c r="D4370" s="2" t="s">
        <v>28</v>
      </c>
      <c r="E4370" s="2" t="n">
        <v>3</v>
      </c>
      <c r="F4370" s="2" t="n">
        <v>2</v>
      </c>
      <c r="G4370" s="2" t="s">
        <v>43</v>
      </c>
      <c r="H4370" s="2" t="n">
        <v>4369</v>
      </c>
      <c r="I4370" s="2" t="s">
        <v>39</v>
      </c>
      <c r="J4370" s="2" t="n">
        <v>2</v>
      </c>
      <c r="K4370" s="2" t="s">
        <v>31</v>
      </c>
      <c r="L4370" s="2" t="s">
        <v>37</v>
      </c>
      <c r="M4370" s="2" t="n">
        <v>28620</v>
      </c>
      <c r="N4370" s="2" t="n">
        <v>5</v>
      </c>
      <c r="O4370" s="2" t="n">
        <v>14</v>
      </c>
      <c r="P4370" s="2" t="n">
        <v>0</v>
      </c>
      <c r="Q4370" s="2" t="n">
        <v>9</v>
      </c>
      <c r="R4370" s="2" t="n">
        <v>2</v>
      </c>
      <c r="S4370" s="2" t="n">
        <v>6</v>
      </c>
      <c r="T4370" s="2" t="n">
        <v>0</v>
      </c>
      <c r="U4370" s="2" t="n">
        <v>1</v>
      </c>
      <c r="V4370" s="2" t="n">
        <v>3</v>
      </c>
      <c r="W4370" s="2" t="n">
        <v>1</v>
      </c>
      <c r="X4370" s="2" t="n">
        <v>2</v>
      </c>
      <c r="Y4370" s="2" t="n">
        <v>2</v>
      </c>
      <c r="Z4370" s="2" t="n">
        <v>3</v>
      </c>
    </row>
    <row r="4371" customFormat="false" ht="15" hidden="false" customHeight="true" outlineLevel="0" collapsed="false">
      <c r="A4371" s="2" t="n">
        <v>29</v>
      </c>
      <c r="B4371" s="2" t="s">
        <v>33</v>
      </c>
      <c r="C4371" s="2" t="s">
        <v>27</v>
      </c>
      <c r="D4371" s="2" t="s">
        <v>35</v>
      </c>
      <c r="E4371" s="2" t="n">
        <v>2</v>
      </c>
      <c r="F4371" s="2" t="n">
        <v>3</v>
      </c>
      <c r="G4371" s="2" t="s">
        <v>29</v>
      </c>
      <c r="H4371" s="2" t="n">
        <v>4370</v>
      </c>
      <c r="I4371" s="2" t="s">
        <v>39</v>
      </c>
      <c r="J4371" s="2" t="n">
        <v>1</v>
      </c>
      <c r="K4371" s="2" t="s">
        <v>40</v>
      </c>
      <c r="L4371" s="2" t="s">
        <v>37</v>
      </c>
      <c r="M4371" s="2" t="n">
        <v>49780</v>
      </c>
      <c r="N4371" s="2" t="n">
        <v>0</v>
      </c>
      <c r="O4371" s="2" t="n">
        <v>13</v>
      </c>
      <c r="P4371" s="2" t="n">
        <v>0</v>
      </c>
      <c r="Q4371" s="2" t="n">
        <v>7</v>
      </c>
      <c r="R4371" s="2" t="n">
        <v>3</v>
      </c>
      <c r="S4371" s="2" t="n">
        <v>6</v>
      </c>
      <c r="T4371" s="2" t="n">
        <v>1</v>
      </c>
      <c r="U4371" s="2" t="n">
        <v>5</v>
      </c>
      <c r="V4371" s="2" t="n">
        <v>3</v>
      </c>
      <c r="W4371" s="2" t="n">
        <v>3</v>
      </c>
      <c r="X4371" s="2" t="n">
        <v>2</v>
      </c>
      <c r="Y4371" s="2" t="n">
        <v>2</v>
      </c>
      <c r="Z4371" s="2" t="n">
        <v>3</v>
      </c>
    </row>
    <row r="4372" customFormat="false" ht="15" hidden="false" customHeight="true" outlineLevel="0" collapsed="false">
      <c r="A4372" s="2" t="n">
        <v>45</v>
      </c>
      <c r="B4372" s="2" t="s">
        <v>26</v>
      </c>
      <c r="C4372" s="2" t="s">
        <v>41</v>
      </c>
      <c r="D4372" s="2" t="s">
        <v>35</v>
      </c>
      <c r="E4372" s="2" t="n">
        <v>2</v>
      </c>
      <c r="F4372" s="2" t="n">
        <v>3</v>
      </c>
      <c r="G4372" s="2" t="s">
        <v>43</v>
      </c>
      <c r="H4372" s="2" t="n">
        <v>4371</v>
      </c>
      <c r="I4372" s="2" t="s">
        <v>30</v>
      </c>
      <c r="J4372" s="2" t="n">
        <v>2</v>
      </c>
      <c r="K4372" s="2" t="s">
        <v>36</v>
      </c>
      <c r="L4372" s="2" t="s">
        <v>37</v>
      </c>
      <c r="M4372" s="2" t="n">
        <v>103680</v>
      </c>
      <c r="N4372" s="2" t="n">
        <v>6</v>
      </c>
      <c r="O4372" s="2" t="n">
        <v>12</v>
      </c>
      <c r="P4372" s="2" t="n">
        <v>2</v>
      </c>
      <c r="Q4372" s="2" t="n">
        <v>23</v>
      </c>
      <c r="R4372" s="2" t="n">
        <v>2</v>
      </c>
      <c r="S4372" s="2" t="n">
        <v>19</v>
      </c>
      <c r="T4372" s="2" t="n">
        <v>12</v>
      </c>
      <c r="U4372" s="2" t="n">
        <v>8</v>
      </c>
      <c r="V4372" s="2" t="n">
        <v>4</v>
      </c>
      <c r="W4372" s="2" t="n">
        <v>4</v>
      </c>
      <c r="X4372" s="2" t="n">
        <v>3</v>
      </c>
      <c r="Y4372" s="2" t="n">
        <v>3</v>
      </c>
      <c r="Z4372" s="2" t="n">
        <v>3</v>
      </c>
    </row>
    <row r="4373" customFormat="false" ht="15" hidden="false" customHeight="true" outlineLevel="0" collapsed="false">
      <c r="A4373" s="2" t="n">
        <v>54</v>
      </c>
      <c r="B4373" s="2" t="s">
        <v>26</v>
      </c>
      <c r="C4373" s="2" t="s">
        <v>27</v>
      </c>
      <c r="D4373" s="2" t="s">
        <v>28</v>
      </c>
      <c r="E4373" s="2" t="n">
        <v>8</v>
      </c>
      <c r="F4373" s="2" t="n">
        <v>2</v>
      </c>
      <c r="G4373" s="2" t="s">
        <v>50</v>
      </c>
      <c r="H4373" s="2" t="n">
        <v>4372</v>
      </c>
      <c r="I4373" s="2" t="s">
        <v>30</v>
      </c>
      <c r="J4373" s="2" t="n">
        <v>2</v>
      </c>
      <c r="K4373" s="2" t="s">
        <v>45</v>
      </c>
      <c r="L4373" s="2" t="s">
        <v>32</v>
      </c>
      <c r="M4373" s="2" t="n">
        <v>61340</v>
      </c>
      <c r="N4373" s="2" t="n">
        <v>2</v>
      </c>
      <c r="O4373" s="2" t="n">
        <v>19</v>
      </c>
      <c r="P4373" s="2" t="n">
        <v>0</v>
      </c>
      <c r="Q4373" s="2" t="n">
        <v>16</v>
      </c>
      <c r="R4373" s="2" t="n">
        <v>2</v>
      </c>
      <c r="S4373" s="2" t="n">
        <v>6</v>
      </c>
      <c r="T4373" s="2" t="n">
        <v>0</v>
      </c>
      <c r="U4373" s="2" t="n">
        <v>5</v>
      </c>
      <c r="V4373" s="2" t="n">
        <v>4</v>
      </c>
      <c r="W4373" s="2" t="n">
        <v>1</v>
      </c>
      <c r="X4373" s="2" t="n">
        <v>3</v>
      </c>
      <c r="Y4373" s="2" t="n">
        <v>2</v>
      </c>
      <c r="Z4373" s="2" t="n">
        <v>3</v>
      </c>
    </row>
    <row r="4374" customFormat="false" ht="15" hidden="false" customHeight="true" outlineLevel="0" collapsed="false">
      <c r="A4374" s="2" t="n">
        <v>36</v>
      </c>
      <c r="B4374" s="2" t="s">
        <v>26</v>
      </c>
      <c r="C4374" s="2" t="s">
        <v>27</v>
      </c>
      <c r="D4374" s="2" t="s">
        <v>35</v>
      </c>
      <c r="E4374" s="2" t="n">
        <v>16</v>
      </c>
      <c r="F4374" s="2" t="n">
        <v>4</v>
      </c>
      <c r="G4374" s="2" t="s">
        <v>29</v>
      </c>
      <c r="H4374" s="2" t="n">
        <v>4373</v>
      </c>
      <c r="I4374" s="2" t="s">
        <v>39</v>
      </c>
      <c r="J4374" s="2" t="n">
        <v>1</v>
      </c>
      <c r="K4374" s="2" t="s">
        <v>31</v>
      </c>
      <c r="L4374" s="2" t="s">
        <v>37</v>
      </c>
      <c r="M4374" s="2" t="n">
        <v>67350</v>
      </c>
      <c r="N4374" s="2" t="n">
        <v>8</v>
      </c>
      <c r="O4374" s="2" t="n">
        <v>25</v>
      </c>
      <c r="P4374" s="2" t="n">
        <v>2</v>
      </c>
      <c r="Q4374" s="2" t="n">
        <v>16</v>
      </c>
      <c r="R4374" s="2" t="n">
        <v>3</v>
      </c>
      <c r="S4374" s="2" t="n">
        <v>13</v>
      </c>
      <c r="T4374" s="2" t="n">
        <v>3</v>
      </c>
      <c r="U4374" s="2" t="n">
        <v>7</v>
      </c>
      <c r="V4374" s="2" t="n">
        <v>4</v>
      </c>
      <c r="W4374" s="2" t="n">
        <v>2</v>
      </c>
      <c r="X4374" s="2" t="n">
        <v>4</v>
      </c>
      <c r="Y4374" s="2" t="n">
        <v>2</v>
      </c>
      <c r="Z4374" s="2" t="n">
        <v>4</v>
      </c>
    </row>
    <row r="4375" customFormat="false" ht="15" hidden="false" customHeight="true" outlineLevel="0" collapsed="false">
      <c r="A4375" s="2" t="n">
        <v>33</v>
      </c>
      <c r="B4375" s="2" t="s">
        <v>26</v>
      </c>
      <c r="C4375" s="2" t="s">
        <v>27</v>
      </c>
      <c r="D4375" s="2" t="s">
        <v>28</v>
      </c>
      <c r="E4375" s="2" t="n">
        <v>9</v>
      </c>
      <c r="F4375" s="2" t="n">
        <v>1</v>
      </c>
      <c r="G4375" s="2" t="s">
        <v>38</v>
      </c>
      <c r="H4375" s="2" t="n">
        <v>4374</v>
      </c>
      <c r="I4375" s="2" t="s">
        <v>30</v>
      </c>
      <c r="J4375" s="2" t="n">
        <v>3</v>
      </c>
      <c r="K4375" s="2" t="s">
        <v>40</v>
      </c>
      <c r="L4375" s="2" t="s">
        <v>32</v>
      </c>
      <c r="M4375" s="2" t="n">
        <v>32950</v>
      </c>
      <c r="N4375" s="2" t="n">
        <v>6</v>
      </c>
      <c r="O4375" s="2" t="n">
        <v>22</v>
      </c>
      <c r="P4375" s="2" t="n">
        <v>2</v>
      </c>
      <c r="Q4375" s="2" t="n">
        <v>7</v>
      </c>
      <c r="R4375" s="2" t="n">
        <v>2</v>
      </c>
      <c r="S4375" s="2" t="n">
        <v>3</v>
      </c>
      <c r="T4375" s="2" t="n">
        <v>1</v>
      </c>
      <c r="U4375" s="2" t="n">
        <v>1</v>
      </c>
      <c r="V4375" s="2" t="n">
        <v>3</v>
      </c>
      <c r="W4375" s="2" t="n">
        <v>2</v>
      </c>
      <c r="X4375" s="2" t="n">
        <v>3</v>
      </c>
      <c r="Y4375" s="2" t="n">
        <v>3</v>
      </c>
      <c r="Z4375" s="2" t="n">
        <v>4</v>
      </c>
    </row>
    <row r="4376" customFormat="false" ht="15" hidden="false" customHeight="true" outlineLevel="0" collapsed="false">
      <c r="A4376" s="2" t="n">
        <v>37</v>
      </c>
      <c r="B4376" s="2" t="s">
        <v>26</v>
      </c>
      <c r="C4376" s="2" t="s">
        <v>34</v>
      </c>
      <c r="D4376" s="2" t="s">
        <v>28</v>
      </c>
      <c r="E4376" s="2" t="n">
        <v>2</v>
      </c>
      <c r="F4376" s="2" t="n">
        <v>4</v>
      </c>
      <c r="G4376" s="2" t="s">
        <v>29</v>
      </c>
      <c r="H4376" s="2" t="n">
        <v>4375</v>
      </c>
      <c r="I4376" s="2" t="s">
        <v>39</v>
      </c>
      <c r="J4376" s="2" t="n">
        <v>2</v>
      </c>
      <c r="K4376" s="2" t="s">
        <v>45</v>
      </c>
      <c r="L4376" s="2" t="s">
        <v>46</v>
      </c>
      <c r="M4376" s="2" t="n">
        <v>52380</v>
      </c>
      <c r="N4376" s="2" t="n">
        <v>1</v>
      </c>
      <c r="O4376" s="2" t="n">
        <v>15</v>
      </c>
      <c r="P4376" s="2" t="n">
        <v>1</v>
      </c>
      <c r="Q4376" s="2" t="n">
        <v>10</v>
      </c>
      <c r="R4376" s="2" t="n">
        <v>5</v>
      </c>
      <c r="S4376" s="2" t="n">
        <v>10</v>
      </c>
      <c r="T4376" s="2" t="n">
        <v>0</v>
      </c>
      <c r="U4376" s="2" t="n">
        <v>7</v>
      </c>
      <c r="V4376" s="2" t="n">
        <v>2</v>
      </c>
      <c r="W4376" s="2" t="n">
        <v>4</v>
      </c>
      <c r="X4376" s="2" t="n">
        <v>3</v>
      </c>
      <c r="Y4376" s="2" t="n">
        <v>3</v>
      </c>
      <c r="Z4376" s="2" t="n">
        <v>3</v>
      </c>
    </row>
    <row r="4377" customFormat="false" ht="15" hidden="false" customHeight="true" outlineLevel="0" collapsed="false">
      <c r="A4377" s="2" t="n">
        <v>38</v>
      </c>
      <c r="B4377" s="2" t="s">
        <v>26</v>
      </c>
      <c r="C4377" s="2" t="s">
        <v>27</v>
      </c>
      <c r="D4377" s="2" t="s">
        <v>35</v>
      </c>
      <c r="E4377" s="2" t="n">
        <v>1</v>
      </c>
      <c r="F4377" s="2" t="n">
        <v>2</v>
      </c>
      <c r="G4377" s="2" t="s">
        <v>43</v>
      </c>
      <c r="H4377" s="2" t="n">
        <v>4376</v>
      </c>
      <c r="I4377" s="2" t="s">
        <v>39</v>
      </c>
      <c r="J4377" s="2" t="n">
        <v>4</v>
      </c>
      <c r="K4377" s="2" t="s">
        <v>45</v>
      </c>
      <c r="L4377" s="2" t="s">
        <v>46</v>
      </c>
      <c r="M4377" s="2" t="n">
        <v>64720</v>
      </c>
      <c r="N4377" s="2" t="n">
        <v>0</v>
      </c>
      <c r="O4377" s="2" t="n">
        <v>12</v>
      </c>
      <c r="P4377" s="2" t="n">
        <v>0</v>
      </c>
      <c r="Q4377" s="2" t="n">
        <v>17</v>
      </c>
      <c r="R4377" s="2" t="n">
        <v>4</v>
      </c>
      <c r="S4377" s="2" t="n">
        <v>16</v>
      </c>
      <c r="T4377" s="2" t="n">
        <v>5</v>
      </c>
      <c r="U4377" s="2" t="n">
        <v>13</v>
      </c>
      <c r="V4377" s="2" t="n">
        <v>1</v>
      </c>
      <c r="W4377" s="2" t="n">
        <v>3</v>
      </c>
      <c r="X4377" s="2" t="n">
        <v>2</v>
      </c>
      <c r="Y4377" s="2" t="n">
        <v>3</v>
      </c>
      <c r="Z4377" s="2" t="n">
        <v>3</v>
      </c>
    </row>
    <row r="4378" customFormat="false" ht="15" hidden="false" customHeight="true" outlineLevel="0" collapsed="false">
      <c r="A4378" s="2" t="n">
        <v>31</v>
      </c>
      <c r="B4378" s="2" t="s">
        <v>26</v>
      </c>
      <c r="C4378" s="2" t="s">
        <v>41</v>
      </c>
      <c r="D4378" s="2" t="s">
        <v>28</v>
      </c>
      <c r="E4378" s="2" t="n">
        <v>4</v>
      </c>
      <c r="F4378" s="2" t="n">
        <v>1</v>
      </c>
      <c r="G4378" s="2" t="s">
        <v>43</v>
      </c>
      <c r="H4378" s="2" t="n">
        <v>4377</v>
      </c>
      <c r="I4378" s="2" t="s">
        <v>30</v>
      </c>
      <c r="J4378" s="2" t="n">
        <v>3</v>
      </c>
      <c r="K4378" s="2" t="s">
        <v>36</v>
      </c>
      <c r="L4378" s="2" t="s">
        <v>32</v>
      </c>
      <c r="M4378" s="2" t="n">
        <v>96100</v>
      </c>
      <c r="N4378" s="2" t="n">
        <v>0</v>
      </c>
      <c r="O4378" s="2" t="n">
        <v>11</v>
      </c>
      <c r="P4378" s="2" t="n">
        <v>1</v>
      </c>
      <c r="Q4378" s="2" t="n">
        <v>6</v>
      </c>
      <c r="R4378" s="2" t="n">
        <v>2</v>
      </c>
      <c r="S4378" s="2" t="n">
        <v>5</v>
      </c>
      <c r="T4378" s="2" t="n">
        <v>1</v>
      </c>
      <c r="U4378" s="2" t="n">
        <v>4</v>
      </c>
      <c r="V4378" s="2" t="n">
        <v>3</v>
      </c>
      <c r="W4378" s="2" t="n">
        <v>3</v>
      </c>
      <c r="X4378" s="2" t="n">
        <v>3</v>
      </c>
      <c r="Y4378" s="2" t="n">
        <v>2</v>
      </c>
      <c r="Z4378" s="2" t="n">
        <v>3</v>
      </c>
    </row>
    <row r="4379" customFormat="false" ht="15" hidden="false" customHeight="true" outlineLevel="0" collapsed="false">
      <c r="A4379" s="2" t="n">
        <v>59</v>
      </c>
      <c r="B4379" s="2" t="s">
        <v>26</v>
      </c>
      <c r="C4379" s="2" t="s">
        <v>27</v>
      </c>
      <c r="D4379" s="2" t="s">
        <v>35</v>
      </c>
      <c r="E4379" s="2" t="n">
        <v>5</v>
      </c>
      <c r="F4379" s="2" t="n">
        <v>3</v>
      </c>
      <c r="G4379" s="2" t="s">
        <v>29</v>
      </c>
      <c r="H4379" s="2" t="n">
        <v>4378</v>
      </c>
      <c r="I4379" s="2" t="s">
        <v>30</v>
      </c>
      <c r="J4379" s="2" t="n">
        <v>3</v>
      </c>
      <c r="K4379" s="2" t="s">
        <v>49</v>
      </c>
      <c r="L4379" s="2" t="s">
        <v>32</v>
      </c>
      <c r="M4379" s="2" t="n">
        <v>198330</v>
      </c>
      <c r="N4379" s="2" t="n">
        <v>3</v>
      </c>
      <c r="O4379" s="2" t="n">
        <v>13</v>
      </c>
      <c r="P4379" s="2" t="n">
        <v>0</v>
      </c>
      <c r="Q4379" s="2" t="n">
        <v>7</v>
      </c>
      <c r="R4379" s="2" t="n">
        <v>2</v>
      </c>
      <c r="S4379" s="2" t="n">
        <v>1</v>
      </c>
      <c r="T4379" s="2" t="n">
        <v>0</v>
      </c>
      <c r="U4379" s="2" t="n">
        <v>0</v>
      </c>
      <c r="V4379" s="2" t="n">
        <v>3</v>
      </c>
      <c r="W4379" s="2" t="n">
        <v>4</v>
      </c>
      <c r="X4379" s="2" t="n">
        <v>3</v>
      </c>
      <c r="Y4379" s="2" t="n">
        <v>3</v>
      </c>
      <c r="Z4379" s="2" t="n">
        <v>3</v>
      </c>
    </row>
    <row r="4380" customFormat="false" ht="15" hidden="false" customHeight="true" outlineLevel="0" collapsed="false">
      <c r="A4380" s="2" t="n">
        <v>37</v>
      </c>
      <c r="B4380" s="2" t="s">
        <v>26</v>
      </c>
      <c r="C4380" s="2" t="s">
        <v>34</v>
      </c>
      <c r="D4380" s="2" t="s">
        <v>28</v>
      </c>
      <c r="E4380" s="2" t="n">
        <v>2</v>
      </c>
      <c r="F4380" s="2" t="n">
        <v>3</v>
      </c>
      <c r="G4380" s="2" t="s">
        <v>50</v>
      </c>
      <c r="H4380" s="2" t="n">
        <v>4379</v>
      </c>
      <c r="I4380" s="2" t="s">
        <v>30</v>
      </c>
      <c r="J4380" s="2" t="n">
        <v>2</v>
      </c>
      <c r="K4380" s="2" t="s">
        <v>45</v>
      </c>
      <c r="L4380" s="2" t="s">
        <v>46</v>
      </c>
      <c r="M4380" s="2" t="n">
        <v>97560</v>
      </c>
      <c r="N4380" s="2" t="n">
        <v>4</v>
      </c>
      <c r="O4380" s="2" t="n">
        <v>19</v>
      </c>
      <c r="P4380" s="2" t="n">
        <v>0</v>
      </c>
      <c r="Q4380" s="2" t="n">
        <v>13</v>
      </c>
      <c r="R4380" s="2" t="n">
        <v>2</v>
      </c>
      <c r="S4380" s="2" t="n">
        <v>9</v>
      </c>
      <c r="T4380" s="2" t="n">
        <v>5</v>
      </c>
      <c r="U4380" s="2" t="n">
        <v>8</v>
      </c>
      <c r="V4380" s="2" t="n">
        <v>1</v>
      </c>
      <c r="W4380" s="2" t="n">
        <v>4</v>
      </c>
      <c r="X4380" s="2" t="n">
        <v>3</v>
      </c>
      <c r="Y4380" s="2" t="n">
        <v>3</v>
      </c>
      <c r="Z4380" s="2" t="n">
        <v>3</v>
      </c>
    </row>
    <row r="4381" customFormat="false" ht="15" hidden="false" customHeight="true" outlineLevel="0" collapsed="false">
      <c r="A4381" s="2" t="n">
        <v>29</v>
      </c>
      <c r="B4381" s="2" t="s">
        <v>26</v>
      </c>
      <c r="C4381" s="2" t="s">
        <v>34</v>
      </c>
      <c r="D4381" s="2" t="s">
        <v>28</v>
      </c>
      <c r="E4381" s="2" t="n">
        <v>15</v>
      </c>
      <c r="F4381" s="2" t="n">
        <v>4</v>
      </c>
      <c r="G4381" s="2" t="s">
        <v>43</v>
      </c>
      <c r="H4381" s="2" t="n">
        <v>4380</v>
      </c>
      <c r="I4381" s="2" t="s">
        <v>30</v>
      </c>
      <c r="J4381" s="2" t="n">
        <v>1</v>
      </c>
      <c r="K4381" s="2" t="s">
        <v>40</v>
      </c>
      <c r="L4381" s="2" t="s">
        <v>32</v>
      </c>
      <c r="M4381" s="2" t="n">
        <v>49680</v>
      </c>
      <c r="N4381" s="2" t="n">
        <v>1</v>
      </c>
      <c r="O4381" s="2" t="n">
        <v>19</v>
      </c>
      <c r="P4381" s="2" t="n">
        <v>3</v>
      </c>
      <c r="Q4381" s="2" t="n">
        <v>11</v>
      </c>
      <c r="R4381" s="2" t="n">
        <v>4</v>
      </c>
      <c r="S4381" s="2" t="n">
        <v>11</v>
      </c>
      <c r="T4381" s="2" t="n">
        <v>4</v>
      </c>
      <c r="U4381" s="2" t="n">
        <v>1</v>
      </c>
      <c r="V4381" s="2" t="n">
        <v>2</v>
      </c>
      <c r="W4381" s="2" t="n">
        <v>4</v>
      </c>
      <c r="X4381" s="2" t="n">
        <v>3</v>
      </c>
      <c r="Y4381" s="2" t="n">
        <v>3</v>
      </c>
      <c r="Z4381" s="2" t="n">
        <v>3</v>
      </c>
    </row>
    <row r="4382" customFormat="false" ht="15" hidden="false" customHeight="true" outlineLevel="0" collapsed="false">
      <c r="A4382" s="2" t="n">
        <v>35</v>
      </c>
      <c r="B4382" s="2" t="s">
        <v>26</v>
      </c>
      <c r="C4382" s="2" t="s">
        <v>34</v>
      </c>
      <c r="D4382" s="2" t="s">
        <v>35</v>
      </c>
      <c r="E4382" s="2" t="n">
        <v>19</v>
      </c>
      <c r="F4382" s="2" t="n">
        <v>3</v>
      </c>
      <c r="G4382" s="2" t="s">
        <v>29</v>
      </c>
      <c r="H4382" s="2" t="n">
        <v>4381</v>
      </c>
      <c r="I4382" s="2" t="s">
        <v>30</v>
      </c>
      <c r="J4382" s="2" t="n">
        <v>1</v>
      </c>
      <c r="K4382" s="2" t="s">
        <v>40</v>
      </c>
      <c r="L4382" s="2" t="s">
        <v>37</v>
      </c>
      <c r="M4382" s="2" t="n">
        <v>21450</v>
      </c>
      <c r="N4382" s="2" t="n">
        <v>1</v>
      </c>
      <c r="O4382" s="2" t="n">
        <v>13</v>
      </c>
      <c r="P4382" s="2" t="n">
        <v>0</v>
      </c>
      <c r="Q4382" s="2" t="n">
        <v>10</v>
      </c>
      <c r="R4382" s="2" t="n">
        <v>6</v>
      </c>
      <c r="S4382" s="2" t="n">
        <v>10</v>
      </c>
      <c r="T4382" s="2" t="n">
        <v>0</v>
      </c>
      <c r="U4382" s="2" t="n">
        <v>8</v>
      </c>
      <c r="V4382" s="2" t="n">
        <v>3</v>
      </c>
      <c r="W4382" s="2" t="n">
        <v>3</v>
      </c>
      <c r="X4382" s="2" t="n">
        <v>4</v>
      </c>
      <c r="Y4382" s="2" t="n">
        <v>2</v>
      </c>
      <c r="Z4382" s="2" t="n">
        <v>3</v>
      </c>
    </row>
    <row r="4383" customFormat="false" ht="15" hidden="false" customHeight="true" outlineLevel="0" collapsed="false">
      <c r="A4383" s="2" t="n">
        <v>29</v>
      </c>
      <c r="B4383" s="2" t="s">
        <v>33</v>
      </c>
      <c r="C4383" s="2" t="s">
        <v>27</v>
      </c>
      <c r="D4383" s="2" t="s">
        <v>35</v>
      </c>
      <c r="E4383" s="2" t="n">
        <v>7</v>
      </c>
      <c r="F4383" s="2" t="n">
        <v>1</v>
      </c>
      <c r="G4383" s="2" t="s">
        <v>29</v>
      </c>
      <c r="H4383" s="2" t="n">
        <v>4382</v>
      </c>
      <c r="I4383" s="2" t="s">
        <v>30</v>
      </c>
      <c r="J4383" s="2" t="n">
        <v>1</v>
      </c>
      <c r="K4383" s="2" t="s">
        <v>36</v>
      </c>
      <c r="L4383" s="2" t="s">
        <v>37</v>
      </c>
      <c r="M4383" s="2" t="n">
        <v>21800</v>
      </c>
      <c r="N4383" s="2" t="n">
        <v>1</v>
      </c>
      <c r="O4383" s="2" t="n">
        <v>21</v>
      </c>
      <c r="P4383" s="2" t="n">
        <v>0</v>
      </c>
      <c r="Q4383" s="2" t="n">
        <v>4</v>
      </c>
      <c r="R4383" s="2" t="n">
        <v>2</v>
      </c>
      <c r="S4383" s="2" t="n">
        <v>4</v>
      </c>
      <c r="T4383" s="2" t="n">
        <v>0</v>
      </c>
      <c r="U4383" s="2" t="n">
        <v>1</v>
      </c>
      <c r="V4383" s="2" t="n">
        <v>3</v>
      </c>
      <c r="W4383" s="2" t="n">
        <v>4</v>
      </c>
      <c r="X4383" s="2" t="n">
        <v>2</v>
      </c>
      <c r="Y4383" s="2" t="n">
        <v>3</v>
      </c>
      <c r="Z4383" s="2" t="n">
        <v>4</v>
      </c>
    </row>
    <row r="4384" customFormat="false" ht="15" hidden="false" customHeight="true" outlineLevel="0" collapsed="false">
      <c r="A4384" s="2" t="n">
        <v>52</v>
      </c>
      <c r="B4384" s="2" t="s">
        <v>26</v>
      </c>
      <c r="C4384" s="2" t="s">
        <v>27</v>
      </c>
      <c r="D4384" s="2" t="s">
        <v>35</v>
      </c>
      <c r="E4384" s="2" t="n">
        <v>1</v>
      </c>
      <c r="F4384" s="2" t="n">
        <v>2</v>
      </c>
      <c r="G4384" s="2" t="s">
        <v>43</v>
      </c>
      <c r="H4384" s="2" t="n">
        <v>4383</v>
      </c>
      <c r="I4384" s="2" t="s">
        <v>30</v>
      </c>
      <c r="J4384" s="2" t="n">
        <v>4</v>
      </c>
      <c r="K4384" s="2" t="s">
        <v>49</v>
      </c>
      <c r="L4384" s="2" t="s">
        <v>37</v>
      </c>
      <c r="M4384" s="2" t="n">
        <v>83460</v>
      </c>
      <c r="N4384" s="2" t="n">
        <v>7</v>
      </c>
      <c r="O4384" s="2" t="n">
        <v>14</v>
      </c>
      <c r="P4384" s="2" t="n">
        <v>0</v>
      </c>
      <c r="Q4384" s="2" t="n">
        <v>6</v>
      </c>
      <c r="R4384" s="2" t="n">
        <v>5</v>
      </c>
      <c r="S4384" s="2" t="n">
        <v>2</v>
      </c>
      <c r="T4384" s="2" t="n">
        <v>2</v>
      </c>
      <c r="U4384" s="2" t="n">
        <v>2</v>
      </c>
      <c r="V4384" s="2" t="n">
        <v>3</v>
      </c>
      <c r="W4384" s="2" t="n">
        <v>4</v>
      </c>
      <c r="X4384" s="2" t="n">
        <v>2</v>
      </c>
      <c r="Y4384" s="2" t="n">
        <v>3</v>
      </c>
      <c r="Z4384" s="2" t="n">
        <v>3</v>
      </c>
    </row>
    <row r="4385" customFormat="false" ht="15" hidden="false" customHeight="true" outlineLevel="0" collapsed="false">
      <c r="A4385" s="2" t="n">
        <v>42</v>
      </c>
      <c r="B4385" s="2" t="s">
        <v>26</v>
      </c>
      <c r="C4385" s="2" t="s">
        <v>27</v>
      </c>
      <c r="D4385" s="2" t="s">
        <v>35</v>
      </c>
      <c r="E4385" s="2" t="n">
        <v>7</v>
      </c>
      <c r="F4385" s="2" t="n">
        <v>4</v>
      </c>
      <c r="G4385" s="2" t="s">
        <v>29</v>
      </c>
      <c r="H4385" s="2" t="n">
        <v>4384</v>
      </c>
      <c r="I4385" s="2" t="s">
        <v>30</v>
      </c>
      <c r="J4385" s="2" t="n">
        <v>2</v>
      </c>
      <c r="K4385" s="2" t="s">
        <v>40</v>
      </c>
      <c r="L4385" s="2" t="s">
        <v>32</v>
      </c>
      <c r="M4385" s="2" t="n">
        <v>34450</v>
      </c>
      <c r="N4385" s="2" t="n">
        <v>1</v>
      </c>
      <c r="O4385" s="2" t="n">
        <v>11</v>
      </c>
      <c r="P4385" s="2" t="n">
        <v>2</v>
      </c>
      <c r="Q4385" s="2" t="n">
        <v>22</v>
      </c>
      <c r="R4385" s="2" t="n">
        <v>2</v>
      </c>
      <c r="S4385" s="2" t="n">
        <v>22</v>
      </c>
      <c r="T4385" s="2" t="n">
        <v>11</v>
      </c>
      <c r="U4385" s="2" t="n">
        <v>15</v>
      </c>
      <c r="V4385" s="2" t="n">
        <v>3</v>
      </c>
      <c r="W4385" s="2" t="n">
        <v>4</v>
      </c>
      <c r="X4385" s="2" t="n">
        <v>3</v>
      </c>
      <c r="Y4385" s="2" t="n">
        <v>3</v>
      </c>
      <c r="Z4385" s="2" t="n">
        <v>3</v>
      </c>
    </row>
    <row r="4386" customFormat="false" ht="15" hidden="false" customHeight="true" outlineLevel="0" collapsed="false">
      <c r="A4386" s="2" t="n">
        <v>59</v>
      </c>
      <c r="B4386" s="2" t="s">
        <v>26</v>
      </c>
      <c r="C4386" s="2" t="s">
        <v>27</v>
      </c>
      <c r="D4386" s="2" t="s">
        <v>35</v>
      </c>
      <c r="E4386" s="2" t="n">
        <v>4</v>
      </c>
      <c r="F4386" s="2" t="n">
        <v>4</v>
      </c>
      <c r="G4386" s="2" t="s">
        <v>51</v>
      </c>
      <c r="H4386" s="2" t="n">
        <v>4385</v>
      </c>
      <c r="I4386" s="2" t="s">
        <v>39</v>
      </c>
      <c r="J4386" s="2" t="n">
        <v>1</v>
      </c>
      <c r="K4386" s="2" t="s">
        <v>31</v>
      </c>
      <c r="L4386" s="2" t="s">
        <v>32</v>
      </c>
      <c r="M4386" s="2" t="n">
        <v>27600</v>
      </c>
      <c r="N4386" s="2" t="n">
        <v>8</v>
      </c>
      <c r="O4386" s="2" t="n">
        <v>11</v>
      </c>
      <c r="P4386" s="2" t="n">
        <v>0</v>
      </c>
      <c r="Q4386" s="2" t="n">
        <v>7</v>
      </c>
      <c r="R4386" s="2" t="n">
        <v>3</v>
      </c>
      <c r="S4386" s="2" t="n">
        <v>2</v>
      </c>
      <c r="T4386" s="2" t="n">
        <v>2</v>
      </c>
      <c r="U4386" s="2" t="n">
        <v>2</v>
      </c>
      <c r="V4386" s="2" t="n">
        <v>2</v>
      </c>
      <c r="W4386" s="2" t="n">
        <v>3</v>
      </c>
      <c r="X4386" s="2" t="n">
        <v>2</v>
      </c>
      <c r="Y4386" s="2" t="n">
        <v>4</v>
      </c>
      <c r="Z4386" s="2" t="n">
        <v>3</v>
      </c>
    </row>
    <row r="4387" customFormat="false" ht="15" hidden="false" customHeight="true" outlineLevel="0" collapsed="false">
      <c r="A4387" s="2" t="n">
        <v>50</v>
      </c>
      <c r="B4387" s="2" t="s">
        <v>26</v>
      </c>
      <c r="C4387" s="2" t="s">
        <v>27</v>
      </c>
      <c r="D4387" s="2" t="s">
        <v>35</v>
      </c>
      <c r="E4387" s="2" t="n">
        <v>11</v>
      </c>
      <c r="F4387" s="2" t="n">
        <v>2</v>
      </c>
      <c r="G4387" s="2" t="s">
        <v>29</v>
      </c>
      <c r="H4387" s="2" t="n">
        <v>4386</v>
      </c>
      <c r="I4387" s="2" t="s">
        <v>39</v>
      </c>
      <c r="J4387" s="2" t="n">
        <v>2</v>
      </c>
      <c r="K4387" s="2" t="s">
        <v>40</v>
      </c>
      <c r="L4387" s="2" t="s">
        <v>46</v>
      </c>
      <c r="M4387" s="2" t="n">
        <v>62940</v>
      </c>
      <c r="N4387" s="2" t="n">
        <v>3</v>
      </c>
      <c r="O4387" s="2" t="n">
        <v>23</v>
      </c>
      <c r="P4387" s="2" t="n">
        <v>1</v>
      </c>
      <c r="Q4387" s="2" t="n">
        <v>32</v>
      </c>
      <c r="R4387" s="2" t="n">
        <v>2</v>
      </c>
      <c r="S4387" s="2" t="n">
        <v>7</v>
      </c>
      <c r="T4387" s="2" t="n">
        <v>0</v>
      </c>
      <c r="U4387" s="2" t="n">
        <v>6</v>
      </c>
      <c r="V4387" s="2" t="n">
        <v>4</v>
      </c>
      <c r="W4387" s="2" t="n">
        <v>4</v>
      </c>
      <c r="X4387" s="2" t="n">
        <v>2</v>
      </c>
      <c r="Y4387" s="2" t="n">
        <v>4</v>
      </c>
      <c r="Z4387" s="2" t="n">
        <v>4</v>
      </c>
    </row>
    <row r="4388" customFormat="false" ht="15" hidden="false" customHeight="true" outlineLevel="0" collapsed="false">
      <c r="A4388" s="2" t="n">
        <v>33</v>
      </c>
      <c r="B4388" s="2" t="s">
        <v>33</v>
      </c>
      <c r="C4388" s="2" t="s">
        <v>27</v>
      </c>
      <c r="D4388" s="2" t="s">
        <v>28</v>
      </c>
      <c r="E4388" s="2" t="n">
        <v>11</v>
      </c>
      <c r="F4388" s="2" t="n">
        <v>4</v>
      </c>
      <c r="G4388" s="2" t="s">
        <v>50</v>
      </c>
      <c r="H4388" s="2" t="n">
        <v>4387</v>
      </c>
      <c r="I4388" s="2" t="s">
        <v>39</v>
      </c>
      <c r="J4388" s="2" t="n">
        <v>1</v>
      </c>
      <c r="K4388" s="2" t="s">
        <v>36</v>
      </c>
      <c r="L4388" s="2" t="s">
        <v>32</v>
      </c>
      <c r="M4388" s="2" t="n">
        <v>71400</v>
      </c>
      <c r="N4388" s="2" t="n">
        <v>5</v>
      </c>
      <c r="O4388" s="2" t="n">
        <v>21</v>
      </c>
      <c r="P4388" s="2" t="n">
        <v>0</v>
      </c>
      <c r="Q4388" s="2" t="n">
        <v>8</v>
      </c>
      <c r="R4388" s="2" t="n">
        <v>2</v>
      </c>
      <c r="S4388" s="2" t="n">
        <v>5</v>
      </c>
      <c r="T4388" s="2" t="n">
        <v>0</v>
      </c>
      <c r="U4388" s="2" t="n">
        <v>4</v>
      </c>
      <c r="V4388" s="2" t="n">
        <v>3</v>
      </c>
      <c r="W4388" s="2" t="n">
        <v>4</v>
      </c>
      <c r="X4388" s="2" t="n">
        <v>1</v>
      </c>
      <c r="Y4388" s="2" t="n">
        <v>2</v>
      </c>
      <c r="Z4388" s="2" t="n">
        <v>4</v>
      </c>
    </row>
    <row r="4389" customFormat="false" ht="15" hidden="false" customHeight="true" outlineLevel="0" collapsed="false">
      <c r="A4389" s="2" t="n">
        <v>43</v>
      </c>
      <c r="B4389" s="2" t="s">
        <v>26</v>
      </c>
      <c r="C4389" s="2" t="s">
        <v>27</v>
      </c>
      <c r="D4389" s="2" t="s">
        <v>28</v>
      </c>
      <c r="E4389" s="2" t="n">
        <v>1</v>
      </c>
      <c r="F4389" s="2" t="n">
        <v>3</v>
      </c>
      <c r="G4389" s="2" t="s">
        <v>50</v>
      </c>
      <c r="H4389" s="2" t="n">
        <v>4388</v>
      </c>
      <c r="I4389" s="2" t="s">
        <v>30</v>
      </c>
      <c r="J4389" s="2" t="n">
        <v>2</v>
      </c>
      <c r="K4389" s="2" t="s">
        <v>47</v>
      </c>
      <c r="L4389" s="2" t="s">
        <v>32</v>
      </c>
      <c r="M4389" s="2" t="n">
        <v>29320</v>
      </c>
      <c r="N4389" s="2" t="n">
        <v>5</v>
      </c>
      <c r="O4389" s="2" t="n">
        <v>24</v>
      </c>
      <c r="P4389" s="2" t="n">
        <v>0</v>
      </c>
      <c r="Q4389" s="2" t="n">
        <v>22</v>
      </c>
      <c r="R4389" s="2" t="n">
        <v>3</v>
      </c>
      <c r="S4389" s="2" t="n">
        <v>17</v>
      </c>
      <c r="T4389" s="2" t="n">
        <v>1</v>
      </c>
      <c r="U4389" s="2" t="n">
        <v>9</v>
      </c>
      <c r="V4389" s="2" t="n">
        <v>4</v>
      </c>
      <c r="W4389" s="2" t="n">
        <v>4</v>
      </c>
      <c r="X4389" s="2" t="n">
        <v>3</v>
      </c>
      <c r="Y4389" s="2" t="n">
        <v>3</v>
      </c>
      <c r="Z4389" s="2" t="n">
        <v>4</v>
      </c>
    </row>
    <row r="4390" customFormat="false" ht="15" hidden="false" customHeight="true" outlineLevel="0" collapsed="false">
      <c r="A4390" s="2" t="n">
        <v>33</v>
      </c>
      <c r="B4390" s="2" t="s">
        <v>33</v>
      </c>
      <c r="C4390" s="2" t="s">
        <v>27</v>
      </c>
      <c r="D4390" s="2" t="s">
        <v>28</v>
      </c>
      <c r="E4390" s="2" t="n">
        <v>1</v>
      </c>
      <c r="F4390" s="2" t="n">
        <v>3</v>
      </c>
      <c r="G4390" s="2" t="s">
        <v>29</v>
      </c>
      <c r="H4390" s="2" t="n">
        <v>4389</v>
      </c>
      <c r="I4390" s="2" t="s">
        <v>39</v>
      </c>
      <c r="J4390" s="2" t="n">
        <v>2</v>
      </c>
      <c r="K4390" s="2" t="s">
        <v>49</v>
      </c>
      <c r="L4390" s="2" t="s">
        <v>32</v>
      </c>
      <c r="M4390" s="2" t="n">
        <v>51470</v>
      </c>
      <c r="N4390" s="2" t="n">
        <v>7</v>
      </c>
      <c r="O4390" s="2" t="n">
        <v>11</v>
      </c>
      <c r="P4390" s="2" t="n">
        <v>0</v>
      </c>
      <c r="Q4390" s="2" t="n">
        <v>13</v>
      </c>
      <c r="R4390" s="2" t="n">
        <v>2</v>
      </c>
      <c r="S4390" s="2" t="n">
        <v>9</v>
      </c>
      <c r="T4390" s="2" t="n">
        <v>1</v>
      </c>
      <c r="U4390" s="2" t="n">
        <v>7</v>
      </c>
      <c r="V4390" s="2" t="n">
        <v>1</v>
      </c>
      <c r="W4390" s="2" t="n">
        <v>1</v>
      </c>
      <c r="X4390" s="2" t="n">
        <v>4</v>
      </c>
      <c r="Y4390" s="2" t="n">
        <v>3</v>
      </c>
      <c r="Z4390" s="2" t="n">
        <v>3</v>
      </c>
    </row>
    <row r="4391" customFormat="false" ht="15" hidden="false" customHeight="true" outlineLevel="0" collapsed="false">
      <c r="A4391" s="2" t="n">
        <v>52</v>
      </c>
      <c r="B4391" s="2" t="s">
        <v>26</v>
      </c>
      <c r="C4391" s="2" t="s">
        <v>41</v>
      </c>
      <c r="D4391" s="2" t="s">
        <v>35</v>
      </c>
      <c r="E4391" s="2" t="n">
        <v>2</v>
      </c>
      <c r="F4391" s="2" t="n">
        <v>3</v>
      </c>
      <c r="G4391" s="2" t="s">
        <v>51</v>
      </c>
      <c r="H4391" s="2" t="n">
        <v>4390</v>
      </c>
      <c r="I4391" s="2" t="s">
        <v>39</v>
      </c>
      <c r="J4391" s="2" t="n">
        <v>1</v>
      </c>
      <c r="K4391" s="2" t="s">
        <v>40</v>
      </c>
      <c r="L4391" s="2" t="s">
        <v>37</v>
      </c>
      <c r="M4391" s="2" t="n">
        <v>45070</v>
      </c>
      <c r="N4391" s="2" t="n">
        <v>1</v>
      </c>
      <c r="O4391" s="2" t="n">
        <v>14</v>
      </c>
      <c r="P4391" s="2" t="n">
        <v>0</v>
      </c>
      <c r="Q4391" s="2" t="n">
        <v>33</v>
      </c>
      <c r="R4391" s="2" t="n">
        <v>3</v>
      </c>
      <c r="S4391" s="2" t="n">
        <v>33</v>
      </c>
      <c r="T4391" s="2" t="n">
        <v>15</v>
      </c>
      <c r="U4391" s="2" t="n">
        <v>12</v>
      </c>
      <c r="V4391" s="2" t="n">
        <v>1</v>
      </c>
      <c r="W4391" s="2" t="n">
        <v>3</v>
      </c>
      <c r="X4391" s="2" t="n">
        <v>4</v>
      </c>
      <c r="Y4391" s="2" t="n">
        <v>2</v>
      </c>
      <c r="Z4391" s="2" t="n">
        <v>3</v>
      </c>
    </row>
    <row r="4392" customFormat="false" ht="15" hidden="false" customHeight="true" outlineLevel="0" collapsed="false">
      <c r="A4392" s="2" t="n">
        <v>32</v>
      </c>
      <c r="B4392" s="2" t="s">
        <v>26</v>
      </c>
      <c r="C4392" s="2" t="s">
        <v>27</v>
      </c>
      <c r="D4392" s="2" t="s">
        <v>42</v>
      </c>
      <c r="E4392" s="2" t="n">
        <v>13</v>
      </c>
      <c r="F4392" s="2" t="n">
        <v>4</v>
      </c>
      <c r="G4392" s="2" t="s">
        <v>29</v>
      </c>
      <c r="H4392" s="2" t="n">
        <v>4391</v>
      </c>
      <c r="I4392" s="2" t="s">
        <v>30</v>
      </c>
      <c r="J4392" s="2" t="n">
        <v>3</v>
      </c>
      <c r="K4392" s="2" t="s">
        <v>47</v>
      </c>
      <c r="L4392" s="2" t="s">
        <v>32</v>
      </c>
      <c r="M4392" s="2" t="n">
        <v>85640</v>
      </c>
      <c r="N4392" s="2" t="n">
        <v>2</v>
      </c>
      <c r="O4392" s="2" t="n">
        <v>16</v>
      </c>
      <c r="P4392" s="2" t="n">
        <v>1</v>
      </c>
      <c r="Q4392" s="2" t="n">
        <v>6</v>
      </c>
      <c r="R4392" s="2" t="n">
        <v>2</v>
      </c>
      <c r="S4392" s="2" t="n">
        <v>4</v>
      </c>
      <c r="T4392" s="2" t="n">
        <v>1</v>
      </c>
      <c r="U4392" s="2" t="n">
        <v>2</v>
      </c>
      <c r="V4392" s="2" t="n">
        <v>3</v>
      </c>
      <c r="W4392" s="2" t="n">
        <v>2</v>
      </c>
      <c r="X4392" s="2" t="n">
        <v>3</v>
      </c>
      <c r="Y4392" s="2" t="n">
        <v>2</v>
      </c>
      <c r="Z4392" s="2" t="n">
        <v>3</v>
      </c>
    </row>
    <row r="4393" customFormat="false" ht="15" hidden="false" customHeight="true" outlineLevel="0" collapsed="false">
      <c r="A4393" s="2" t="n">
        <v>32</v>
      </c>
      <c r="B4393" s="2" t="s">
        <v>33</v>
      </c>
      <c r="C4393" s="2" t="s">
        <v>27</v>
      </c>
      <c r="D4393" s="2" t="s">
        <v>28</v>
      </c>
      <c r="E4393" s="2" t="n">
        <v>23</v>
      </c>
      <c r="F4393" s="2" t="n">
        <v>1</v>
      </c>
      <c r="G4393" s="2" t="s">
        <v>29</v>
      </c>
      <c r="H4393" s="2" t="n">
        <v>4392</v>
      </c>
      <c r="I4393" s="2" t="s">
        <v>39</v>
      </c>
      <c r="J4393" s="2" t="n">
        <v>3</v>
      </c>
      <c r="K4393" s="2" t="s">
        <v>31</v>
      </c>
      <c r="L4393" s="2" t="s">
        <v>37</v>
      </c>
      <c r="M4393" s="2" t="n">
        <v>24680</v>
      </c>
      <c r="N4393" s="2" t="n">
        <v>0</v>
      </c>
      <c r="O4393" s="2" t="n">
        <v>11</v>
      </c>
      <c r="P4393" s="2" t="n">
        <v>0</v>
      </c>
      <c r="Q4393" s="2" t="n">
        <v>4</v>
      </c>
      <c r="R4393" s="2" t="n">
        <v>2</v>
      </c>
      <c r="S4393" s="2" t="n">
        <v>3</v>
      </c>
      <c r="T4393" s="2" t="n">
        <v>1</v>
      </c>
      <c r="U4393" s="2" t="n">
        <v>2</v>
      </c>
      <c r="V4393" s="2" t="n">
        <v>4</v>
      </c>
      <c r="W4393" s="2" t="n">
        <v>3</v>
      </c>
      <c r="X4393" s="2" t="n">
        <v>1</v>
      </c>
      <c r="Y4393" s="2" t="n">
        <v>3</v>
      </c>
      <c r="Z4393" s="2" t="n">
        <v>3</v>
      </c>
    </row>
    <row r="4394" customFormat="false" ht="15" hidden="false" customHeight="true" outlineLevel="0" collapsed="false">
      <c r="A4394" s="2" t="n">
        <v>39</v>
      </c>
      <c r="B4394" s="2" t="s">
        <v>26</v>
      </c>
      <c r="C4394" s="2" t="s">
        <v>27</v>
      </c>
      <c r="D4394" s="2" t="s">
        <v>28</v>
      </c>
      <c r="E4394" s="2" t="n">
        <v>26</v>
      </c>
      <c r="F4394" s="2" t="n">
        <v>4</v>
      </c>
      <c r="G4394" s="2" t="s">
        <v>29</v>
      </c>
      <c r="H4394" s="2" t="n">
        <v>4393</v>
      </c>
      <c r="I4394" s="2" t="s">
        <v>39</v>
      </c>
      <c r="J4394" s="2" t="n">
        <v>2</v>
      </c>
      <c r="K4394" s="2" t="s">
        <v>44</v>
      </c>
      <c r="L4394" s="2" t="s">
        <v>46</v>
      </c>
      <c r="M4394" s="2" t="n">
        <v>81610</v>
      </c>
      <c r="N4394" s="2" t="n">
        <v>7</v>
      </c>
      <c r="O4394" s="2" t="n">
        <v>12</v>
      </c>
      <c r="P4394" s="2" t="n">
        <v>1</v>
      </c>
      <c r="Q4394" s="2" t="n">
        <v>7</v>
      </c>
      <c r="R4394" s="2" t="n">
        <v>2</v>
      </c>
      <c r="S4394" s="2" t="n">
        <v>3</v>
      </c>
      <c r="T4394" s="2" t="n">
        <v>1</v>
      </c>
      <c r="U4394" s="2" t="n">
        <v>2</v>
      </c>
      <c r="V4394" s="2" t="n">
        <v>3</v>
      </c>
      <c r="W4394" s="2" t="n">
        <v>3</v>
      </c>
      <c r="X4394" s="2" t="n">
        <v>3</v>
      </c>
      <c r="Y4394" s="2" t="n">
        <v>4</v>
      </c>
      <c r="Z4394" s="2" t="n">
        <v>3</v>
      </c>
    </row>
    <row r="4395" customFormat="false" ht="15" hidden="false" customHeight="true" outlineLevel="0" collapsed="false">
      <c r="A4395" s="2" t="n">
        <v>32</v>
      </c>
      <c r="B4395" s="2" t="s">
        <v>26</v>
      </c>
      <c r="C4395" s="2" t="s">
        <v>41</v>
      </c>
      <c r="D4395" s="2" t="s">
        <v>28</v>
      </c>
      <c r="E4395" s="2" t="n">
        <v>2</v>
      </c>
      <c r="F4395" s="2" t="n">
        <v>4</v>
      </c>
      <c r="G4395" s="2" t="s">
        <v>50</v>
      </c>
      <c r="H4395" s="2" t="n">
        <v>4394</v>
      </c>
      <c r="I4395" s="2" t="s">
        <v>39</v>
      </c>
      <c r="J4395" s="2" t="n">
        <v>4</v>
      </c>
      <c r="K4395" s="2" t="s">
        <v>36</v>
      </c>
      <c r="L4395" s="2" t="s">
        <v>32</v>
      </c>
      <c r="M4395" s="2" t="n">
        <v>21090</v>
      </c>
      <c r="N4395" s="2" t="n">
        <v>0</v>
      </c>
      <c r="O4395" s="2" t="n">
        <v>13</v>
      </c>
      <c r="P4395" s="2" t="n">
        <v>1</v>
      </c>
      <c r="Q4395" s="2" t="n">
        <v>4</v>
      </c>
      <c r="R4395" s="2" t="n">
        <v>3</v>
      </c>
      <c r="S4395" s="2" t="n">
        <v>3</v>
      </c>
      <c r="T4395" s="2" t="n">
        <v>2</v>
      </c>
      <c r="U4395" s="2" t="n">
        <v>2</v>
      </c>
      <c r="V4395" s="2" t="n">
        <v>3</v>
      </c>
      <c r="W4395" s="2" t="n">
        <v>4</v>
      </c>
      <c r="X4395" s="2" t="n">
        <v>3</v>
      </c>
      <c r="Y4395" s="2" t="n">
        <v>2</v>
      </c>
      <c r="Z4395" s="2" t="n">
        <v>3</v>
      </c>
    </row>
    <row r="4396" customFormat="false" ht="15" hidden="false" customHeight="true" outlineLevel="0" collapsed="false">
      <c r="A4396" s="2" t="n">
        <v>41</v>
      </c>
      <c r="B4396" s="2" t="s">
        <v>26</v>
      </c>
      <c r="C4396" s="2" t="s">
        <v>27</v>
      </c>
      <c r="D4396" s="2" t="s">
        <v>28</v>
      </c>
      <c r="E4396" s="2" t="n">
        <v>29</v>
      </c>
      <c r="F4396" s="2" t="n">
        <v>3</v>
      </c>
      <c r="G4396" s="2" t="s">
        <v>29</v>
      </c>
      <c r="H4396" s="2" t="n">
        <v>4395</v>
      </c>
      <c r="I4396" s="2" t="s">
        <v>30</v>
      </c>
      <c r="J4396" s="2" t="n">
        <v>2</v>
      </c>
      <c r="K4396" s="2" t="s">
        <v>45</v>
      </c>
      <c r="L4396" s="2" t="s">
        <v>46</v>
      </c>
      <c r="M4396" s="2" t="n">
        <v>52940</v>
      </c>
      <c r="N4396" s="2" t="n">
        <v>2</v>
      </c>
      <c r="O4396" s="2" t="n">
        <v>15</v>
      </c>
      <c r="P4396" s="2" t="n">
        <v>0</v>
      </c>
      <c r="Q4396" s="2" t="n">
        <v>17</v>
      </c>
      <c r="R4396" s="2" t="n">
        <v>3</v>
      </c>
      <c r="S4396" s="2" t="n">
        <v>1</v>
      </c>
      <c r="T4396" s="2" t="n">
        <v>0</v>
      </c>
      <c r="U4396" s="2" t="n">
        <v>0</v>
      </c>
      <c r="V4396" s="2" t="n">
        <v>3</v>
      </c>
      <c r="W4396" s="2" t="n">
        <v>1</v>
      </c>
      <c r="X4396" s="2" t="n">
        <v>2</v>
      </c>
      <c r="Y4396" s="2" t="n">
        <v>2</v>
      </c>
      <c r="Z4396" s="2" t="n">
        <v>3</v>
      </c>
    </row>
    <row r="4397" customFormat="false" ht="15" hidden="false" customHeight="true" outlineLevel="0" collapsed="false">
      <c r="A4397" s="2" t="n">
        <v>40</v>
      </c>
      <c r="B4397" s="2" t="s">
        <v>26</v>
      </c>
      <c r="C4397" s="2" t="s">
        <v>27</v>
      </c>
      <c r="D4397" s="2" t="s">
        <v>35</v>
      </c>
      <c r="E4397" s="2" t="n">
        <v>2</v>
      </c>
      <c r="F4397" s="2" t="n">
        <v>3</v>
      </c>
      <c r="G4397" s="2" t="s">
        <v>29</v>
      </c>
      <c r="H4397" s="2" t="n">
        <v>4396</v>
      </c>
      <c r="I4397" s="2" t="s">
        <v>39</v>
      </c>
      <c r="J4397" s="2" t="n">
        <v>1</v>
      </c>
      <c r="K4397" s="2" t="s">
        <v>47</v>
      </c>
      <c r="L4397" s="2" t="s">
        <v>46</v>
      </c>
      <c r="M4397" s="2" t="n">
        <v>27180</v>
      </c>
      <c r="N4397" s="2"/>
      <c r="O4397" s="2" t="n">
        <v>14</v>
      </c>
      <c r="P4397" s="2" t="n">
        <v>1</v>
      </c>
      <c r="Q4397" s="2" t="n">
        <v>9</v>
      </c>
      <c r="R4397" s="2" t="n">
        <v>4</v>
      </c>
      <c r="S4397" s="2" t="n">
        <v>9</v>
      </c>
      <c r="T4397" s="2" t="n">
        <v>4</v>
      </c>
      <c r="U4397" s="2" t="n">
        <v>7</v>
      </c>
      <c r="V4397" s="2" t="n">
        <v>1</v>
      </c>
      <c r="W4397" s="2" t="n">
        <v>4</v>
      </c>
      <c r="X4397" s="2" t="n">
        <v>3</v>
      </c>
      <c r="Y4397" s="2" t="n">
        <v>2</v>
      </c>
      <c r="Z4397" s="2" t="n">
        <v>3</v>
      </c>
    </row>
    <row r="4398" customFormat="false" ht="15" hidden="false" customHeight="true" outlineLevel="0" collapsed="false">
      <c r="A4398" s="2" t="n">
        <v>45</v>
      </c>
      <c r="B4398" s="2" t="s">
        <v>26</v>
      </c>
      <c r="C4398" s="2" t="s">
        <v>27</v>
      </c>
      <c r="D4398" s="2" t="s">
        <v>35</v>
      </c>
      <c r="E4398" s="2" t="n">
        <v>18</v>
      </c>
      <c r="F4398" s="2" t="n">
        <v>1</v>
      </c>
      <c r="G4398" s="2" t="s">
        <v>29</v>
      </c>
      <c r="H4398" s="2" t="n">
        <v>4397</v>
      </c>
      <c r="I4398" s="2" t="s">
        <v>30</v>
      </c>
      <c r="J4398" s="2" t="n">
        <v>2</v>
      </c>
      <c r="K4398" s="2" t="s">
        <v>48</v>
      </c>
      <c r="L4398" s="2" t="s">
        <v>32</v>
      </c>
      <c r="M4398" s="2" t="n">
        <v>58110</v>
      </c>
      <c r="N4398" s="2" t="n">
        <v>0</v>
      </c>
      <c r="O4398" s="2" t="n">
        <v>14</v>
      </c>
      <c r="P4398" s="2" t="n">
        <v>0</v>
      </c>
      <c r="Q4398" s="2" t="n">
        <v>25</v>
      </c>
      <c r="R4398" s="2" t="n">
        <v>4</v>
      </c>
      <c r="S4398" s="2" t="n">
        <v>24</v>
      </c>
      <c r="T4398" s="2" t="n">
        <v>1</v>
      </c>
      <c r="U4398" s="2" t="n">
        <v>7</v>
      </c>
      <c r="V4398" s="2" t="n">
        <v>3</v>
      </c>
      <c r="W4398" s="2" t="n">
        <v>4</v>
      </c>
      <c r="X4398" s="2" t="n">
        <v>3</v>
      </c>
      <c r="Y4398" s="2" t="n">
        <v>2</v>
      </c>
      <c r="Z4398" s="2" t="n">
        <v>3</v>
      </c>
    </row>
    <row r="4399" customFormat="false" ht="15" hidden="false" customHeight="true" outlineLevel="0" collapsed="false">
      <c r="A4399" s="2" t="n">
        <v>31</v>
      </c>
      <c r="B4399" s="2" t="s">
        <v>26</v>
      </c>
      <c r="C4399" s="2" t="s">
        <v>34</v>
      </c>
      <c r="D4399" s="2" t="s">
        <v>35</v>
      </c>
      <c r="E4399" s="2" t="n">
        <v>7</v>
      </c>
      <c r="F4399" s="2" t="n">
        <v>4</v>
      </c>
      <c r="G4399" s="2" t="s">
        <v>43</v>
      </c>
      <c r="H4399" s="2" t="n">
        <v>4398</v>
      </c>
      <c r="I4399" s="2" t="s">
        <v>39</v>
      </c>
      <c r="J4399" s="2" t="n">
        <v>1</v>
      </c>
      <c r="K4399" s="2" t="s">
        <v>36</v>
      </c>
      <c r="L4399" s="2" t="s">
        <v>46</v>
      </c>
      <c r="M4399" s="2" t="n">
        <v>24370</v>
      </c>
      <c r="N4399" s="2" t="n">
        <v>9</v>
      </c>
      <c r="O4399" s="2" t="n">
        <v>14</v>
      </c>
      <c r="P4399" s="2" t="n">
        <v>1</v>
      </c>
      <c r="Q4399" s="2" t="n">
        <v>9</v>
      </c>
      <c r="R4399" s="2" t="n">
        <v>3</v>
      </c>
      <c r="S4399" s="2" t="n">
        <v>2</v>
      </c>
      <c r="T4399" s="2" t="n">
        <v>2</v>
      </c>
      <c r="U4399" s="2" t="n">
        <v>2</v>
      </c>
      <c r="V4399" s="2" t="n">
        <v>2</v>
      </c>
      <c r="W4399" s="2" t="n">
        <v>3</v>
      </c>
      <c r="X4399" s="2" t="n">
        <v>3</v>
      </c>
      <c r="Y4399" s="2" t="n">
        <v>4</v>
      </c>
      <c r="Z4399" s="2" t="n">
        <v>3</v>
      </c>
    </row>
    <row r="4400" customFormat="false" ht="15" hidden="false" customHeight="true" outlineLevel="0" collapsed="false">
      <c r="A4400" s="2" t="n">
        <v>33</v>
      </c>
      <c r="B4400" s="2" t="s">
        <v>26</v>
      </c>
      <c r="C4400" s="2" t="s">
        <v>27</v>
      </c>
      <c r="D4400" s="2" t="s">
        <v>35</v>
      </c>
      <c r="E4400" s="2" t="n">
        <v>2</v>
      </c>
      <c r="F4400" s="2" t="n">
        <v>4</v>
      </c>
      <c r="G4400" s="2" t="s">
        <v>29</v>
      </c>
      <c r="H4400" s="2" t="n">
        <v>4399</v>
      </c>
      <c r="I4400" s="2" t="s">
        <v>30</v>
      </c>
      <c r="J4400" s="2" t="n">
        <v>1</v>
      </c>
      <c r="K4400" s="2" t="s">
        <v>40</v>
      </c>
      <c r="L4400" s="2" t="s">
        <v>32</v>
      </c>
      <c r="M4400" s="2" t="n">
        <v>27660</v>
      </c>
      <c r="N4400" s="2" t="n">
        <v>1</v>
      </c>
      <c r="O4400" s="2" t="n">
        <v>12</v>
      </c>
      <c r="P4400" s="2" t="n">
        <v>1</v>
      </c>
      <c r="Q4400" s="2" t="n">
        <v>2</v>
      </c>
      <c r="R4400" s="2" t="n">
        <v>2</v>
      </c>
      <c r="S4400" s="2" t="n">
        <v>2</v>
      </c>
      <c r="T4400" s="2" t="n">
        <v>0</v>
      </c>
      <c r="U4400" s="2" t="n">
        <v>2</v>
      </c>
      <c r="V4400" s="2" t="n">
        <v>3</v>
      </c>
      <c r="W4400" s="2" t="n">
        <v>4</v>
      </c>
      <c r="X4400" s="2" t="n">
        <v>2</v>
      </c>
      <c r="Y4400" s="2" t="n">
        <v>3</v>
      </c>
      <c r="Z4400" s="2" t="n">
        <v>3</v>
      </c>
    </row>
    <row r="4401" customFormat="false" ht="15" hidden="false" customHeight="true" outlineLevel="0" collapsed="false">
      <c r="A4401" s="2" t="n">
        <v>34</v>
      </c>
      <c r="B4401" s="2" t="s">
        <v>26</v>
      </c>
      <c r="C4401" s="2" t="s">
        <v>27</v>
      </c>
      <c r="D4401" s="2" t="s">
        <v>35</v>
      </c>
      <c r="E4401" s="2" t="n">
        <v>26</v>
      </c>
      <c r="F4401" s="2" t="n">
        <v>3</v>
      </c>
      <c r="G4401" s="2" t="s">
        <v>38</v>
      </c>
      <c r="H4401" s="2" t="n">
        <v>4400</v>
      </c>
      <c r="I4401" s="2" t="s">
        <v>30</v>
      </c>
      <c r="J4401" s="2" t="n">
        <v>1</v>
      </c>
      <c r="K4401" s="2" t="s">
        <v>40</v>
      </c>
      <c r="L4401" s="2" t="s">
        <v>32</v>
      </c>
      <c r="M4401" s="2" t="n">
        <v>190380</v>
      </c>
      <c r="N4401" s="2" t="n">
        <v>6</v>
      </c>
      <c r="O4401" s="2" t="n">
        <v>13</v>
      </c>
      <c r="P4401" s="2" t="n">
        <v>0</v>
      </c>
      <c r="Q4401" s="2" t="n">
        <v>13</v>
      </c>
      <c r="R4401" s="2" t="n">
        <v>3</v>
      </c>
      <c r="S4401" s="2" t="n">
        <v>11</v>
      </c>
      <c r="T4401" s="2" t="n">
        <v>5</v>
      </c>
      <c r="U4401" s="2" t="n">
        <v>9</v>
      </c>
      <c r="V4401" s="2" t="n">
        <v>4</v>
      </c>
      <c r="W4401" s="2" t="n">
        <v>1</v>
      </c>
      <c r="X4401" s="2" t="n">
        <v>3</v>
      </c>
      <c r="Y4401" s="2" t="n">
        <v>2</v>
      </c>
      <c r="Z4401" s="2" t="n">
        <v>3</v>
      </c>
    </row>
    <row r="4402" customFormat="false" ht="15" hidden="false" customHeight="true" outlineLevel="0" collapsed="false">
      <c r="A4402" s="2" t="n">
        <v>37</v>
      </c>
      <c r="B4402" s="2" t="s">
        <v>26</v>
      </c>
      <c r="C4402" s="2" t="s">
        <v>27</v>
      </c>
      <c r="D4402" s="2" t="s">
        <v>35</v>
      </c>
      <c r="E4402" s="2" t="n">
        <v>22</v>
      </c>
      <c r="F4402" s="2" t="n">
        <v>5</v>
      </c>
      <c r="G4402" s="2" t="s">
        <v>43</v>
      </c>
      <c r="H4402" s="2" t="n">
        <v>4401</v>
      </c>
      <c r="I4402" s="2" t="s">
        <v>30</v>
      </c>
      <c r="J4402" s="2" t="n">
        <v>2</v>
      </c>
      <c r="K4402" s="2" t="s">
        <v>47</v>
      </c>
      <c r="L4402" s="2" t="s">
        <v>32</v>
      </c>
      <c r="M4402" s="2" t="n">
        <v>30550</v>
      </c>
      <c r="N4402" s="2" t="n">
        <v>2</v>
      </c>
      <c r="O4402" s="2" t="n">
        <v>14</v>
      </c>
      <c r="P4402" s="2" t="n">
        <v>3</v>
      </c>
      <c r="Q4402" s="2" t="n">
        <v>17</v>
      </c>
      <c r="R4402" s="2" t="n">
        <v>3</v>
      </c>
      <c r="S4402" s="2" t="n">
        <v>3</v>
      </c>
      <c r="T4402" s="2" t="n">
        <v>0</v>
      </c>
      <c r="U4402" s="2" t="n">
        <v>2</v>
      </c>
      <c r="V4402" s="2" t="n">
        <v>3</v>
      </c>
      <c r="W4402" s="2" t="n">
        <v>1</v>
      </c>
      <c r="X4402" s="2" t="n">
        <v>2</v>
      </c>
      <c r="Y4402" s="2" t="n">
        <v>3</v>
      </c>
      <c r="Z4402" s="2" t="n">
        <v>3</v>
      </c>
    </row>
    <row r="4403" customFormat="false" ht="15" hidden="false" customHeight="true" outlineLevel="0" collapsed="false">
      <c r="A4403" s="2" t="n">
        <v>45</v>
      </c>
      <c r="B4403" s="2" t="s">
        <v>26</v>
      </c>
      <c r="C4403" s="2" t="s">
        <v>34</v>
      </c>
      <c r="D4403" s="2" t="s">
        <v>28</v>
      </c>
      <c r="E4403" s="2" t="n">
        <v>21</v>
      </c>
      <c r="F4403" s="2" t="n">
        <v>1</v>
      </c>
      <c r="G4403" s="2" t="s">
        <v>50</v>
      </c>
      <c r="H4403" s="2" t="n">
        <v>4402</v>
      </c>
      <c r="I4403" s="2" t="s">
        <v>39</v>
      </c>
      <c r="J4403" s="2" t="n">
        <v>3</v>
      </c>
      <c r="K4403" s="2" t="s">
        <v>36</v>
      </c>
      <c r="L4403" s="2" t="s">
        <v>32</v>
      </c>
      <c r="M4403" s="2" t="n">
        <v>22890</v>
      </c>
      <c r="N4403" s="2" t="n">
        <v>4</v>
      </c>
      <c r="O4403" s="2" t="n">
        <v>13</v>
      </c>
      <c r="P4403" s="2" t="n">
        <v>0</v>
      </c>
      <c r="Q4403" s="2" t="n">
        <v>9</v>
      </c>
      <c r="R4403" s="2" t="n">
        <v>3</v>
      </c>
      <c r="S4403" s="2" t="n">
        <v>3</v>
      </c>
      <c r="T4403" s="2" t="n">
        <v>0</v>
      </c>
      <c r="U4403" s="2" t="n">
        <v>2</v>
      </c>
      <c r="V4403" s="2" t="n">
        <v>1</v>
      </c>
      <c r="W4403" s="2" t="n">
        <v>3</v>
      </c>
      <c r="X4403" s="2" t="n">
        <v>3</v>
      </c>
      <c r="Y4403" s="2" t="n">
        <v>2</v>
      </c>
      <c r="Z4403" s="2" t="n">
        <v>3</v>
      </c>
    </row>
    <row r="4404" customFormat="false" ht="15" hidden="false" customHeight="true" outlineLevel="0" collapsed="false">
      <c r="A4404" s="2" t="n">
        <v>37</v>
      </c>
      <c r="B4404" s="2" t="s">
        <v>33</v>
      </c>
      <c r="C4404" s="2" t="s">
        <v>34</v>
      </c>
      <c r="D4404" s="2" t="s">
        <v>28</v>
      </c>
      <c r="E4404" s="2" t="n">
        <v>2</v>
      </c>
      <c r="F4404" s="2" t="n">
        <v>3</v>
      </c>
      <c r="G4404" s="2" t="s">
        <v>50</v>
      </c>
      <c r="H4404" s="2" t="n">
        <v>4403</v>
      </c>
      <c r="I4404" s="2" t="s">
        <v>39</v>
      </c>
      <c r="J4404" s="2" t="n">
        <v>1</v>
      </c>
      <c r="K4404" s="2" t="s">
        <v>45</v>
      </c>
      <c r="L4404" s="2" t="s">
        <v>46</v>
      </c>
      <c r="M4404" s="2" t="n">
        <v>40010</v>
      </c>
      <c r="N4404" s="2" t="n">
        <v>6</v>
      </c>
      <c r="O4404" s="2" t="n">
        <v>11</v>
      </c>
      <c r="P4404" s="2" t="n">
        <v>1</v>
      </c>
      <c r="Q4404" s="2" t="n">
        <v>17</v>
      </c>
      <c r="R4404" s="2" t="n">
        <v>2</v>
      </c>
      <c r="S4404" s="2" t="n">
        <v>1</v>
      </c>
      <c r="T4404" s="2" t="n">
        <v>0</v>
      </c>
      <c r="U4404" s="2" t="n">
        <v>0</v>
      </c>
      <c r="V4404" s="2" t="n">
        <v>1</v>
      </c>
      <c r="W4404" s="2" t="n">
        <v>3</v>
      </c>
      <c r="X4404" s="2" t="n">
        <v>3</v>
      </c>
      <c r="Y4404" s="2" t="n">
        <v>3</v>
      </c>
      <c r="Z4404" s="2" t="n">
        <v>3</v>
      </c>
    </row>
    <row r="4405" customFormat="false" ht="15" hidden="false" customHeight="true" outlineLevel="0" collapsed="false">
      <c r="A4405" s="2" t="n">
        <v>39</v>
      </c>
      <c r="B4405" s="2" t="s">
        <v>26</v>
      </c>
      <c r="C4405" s="2" t="s">
        <v>34</v>
      </c>
      <c r="D4405" s="2" t="s">
        <v>35</v>
      </c>
      <c r="E4405" s="2" t="n">
        <v>22</v>
      </c>
      <c r="F4405" s="2" t="n">
        <v>3</v>
      </c>
      <c r="G4405" s="2" t="s">
        <v>43</v>
      </c>
      <c r="H4405" s="2" t="n">
        <v>4404</v>
      </c>
      <c r="I4405" s="2" t="s">
        <v>30</v>
      </c>
      <c r="J4405" s="2" t="n">
        <v>1</v>
      </c>
      <c r="K4405" s="2" t="s">
        <v>47</v>
      </c>
      <c r="L4405" s="2" t="s">
        <v>37</v>
      </c>
      <c r="M4405" s="2" t="n">
        <v>129650</v>
      </c>
      <c r="N4405" s="2" t="n">
        <v>0</v>
      </c>
      <c r="O4405" s="2" t="n">
        <v>19</v>
      </c>
      <c r="P4405" s="2" t="n">
        <v>1</v>
      </c>
      <c r="Q4405" s="2" t="n">
        <v>20</v>
      </c>
      <c r="R4405" s="2" t="n">
        <v>2</v>
      </c>
      <c r="S4405" s="2" t="n">
        <v>19</v>
      </c>
      <c r="T4405" s="2" t="n">
        <v>11</v>
      </c>
      <c r="U4405" s="2" t="n">
        <v>8</v>
      </c>
      <c r="V4405" s="2" t="n">
        <v>3</v>
      </c>
      <c r="W4405" s="2" t="n">
        <v>3</v>
      </c>
      <c r="X4405" s="2" t="n">
        <v>3</v>
      </c>
      <c r="Y4405" s="2" t="n">
        <v>3</v>
      </c>
      <c r="Z4405" s="2" t="n">
        <v>3</v>
      </c>
    </row>
    <row r="4406" customFormat="false" ht="15" hidden="false" customHeight="true" outlineLevel="0" collapsed="false">
      <c r="A4406" s="2" t="n">
        <v>29</v>
      </c>
      <c r="B4406" s="2" t="s">
        <v>26</v>
      </c>
      <c r="C4406" s="2" t="s">
        <v>27</v>
      </c>
      <c r="D4406" s="2" t="s">
        <v>28</v>
      </c>
      <c r="E4406" s="2" t="n">
        <v>4</v>
      </c>
      <c r="F4406" s="2" t="n">
        <v>3</v>
      </c>
      <c r="G4406" s="2" t="s">
        <v>38</v>
      </c>
      <c r="H4406" s="2" t="n">
        <v>4405</v>
      </c>
      <c r="I4406" s="2" t="s">
        <v>30</v>
      </c>
      <c r="J4406" s="2" t="n">
        <v>2</v>
      </c>
      <c r="K4406" s="2" t="s">
        <v>42</v>
      </c>
      <c r="L4406" s="2" t="s">
        <v>37</v>
      </c>
      <c r="M4406" s="2" t="n">
        <v>35390</v>
      </c>
      <c r="N4406" s="2" t="n">
        <v>1</v>
      </c>
      <c r="O4406" s="2" t="n">
        <v>18</v>
      </c>
      <c r="P4406" s="2" t="n">
        <v>0</v>
      </c>
      <c r="Q4406" s="2" t="n">
        <v>6</v>
      </c>
      <c r="R4406" s="2" t="n">
        <v>2</v>
      </c>
      <c r="S4406" s="2" t="n">
        <v>6</v>
      </c>
      <c r="T4406" s="2" t="n">
        <v>1</v>
      </c>
      <c r="U4406" s="2" t="n">
        <v>5</v>
      </c>
      <c r="V4406" s="2" t="n">
        <v>3</v>
      </c>
      <c r="W4406" s="2" t="n">
        <v>4</v>
      </c>
      <c r="X4406" s="2" t="n">
        <v>3</v>
      </c>
      <c r="Y4406" s="2" t="n">
        <v>2</v>
      </c>
      <c r="Z4406" s="2" t="n">
        <v>3</v>
      </c>
    </row>
    <row r="4407" customFormat="false" ht="15" hidden="false" customHeight="true" outlineLevel="0" collapsed="false">
      <c r="A4407" s="2" t="n">
        <v>42</v>
      </c>
      <c r="B4407" s="2" t="s">
        <v>26</v>
      </c>
      <c r="C4407" s="2" t="s">
        <v>27</v>
      </c>
      <c r="D4407" s="2" t="s">
        <v>35</v>
      </c>
      <c r="E4407" s="2" t="n">
        <v>5</v>
      </c>
      <c r="F4407" s="2" t="n">
        <v>4</v>
      </c>
      <c r="G4407" s="2" t="s">
        <v>43</v>
      </c>
      <c r="H4407" s="2" t="n">
        <v>4406</v>
      </c>
      <c r="I4407" s="2" t="s">
        <v>30</v>
      </c>
      <c r="J4407" s="2" t="n">
        <v>1</v>
      </c>
      <c r="K4407" s="2" t="s">
        <v>36</v>
      </c>
      <c r="L4407" s="2" t="s">
        <v>37</v>
      </c>
      <c r="M4407" s="2" t="n">
        <v>60290</v>
      </c>
      <c r="N4407" s="2" t="n">
        <v>3</v>
      </c>
      <c r="O4407" s="2" t="n">
        <v>17</v>
      </c>
      <c r="P4407" s="2" t="n">
        <v>1</v>
      </c>
      <c r="Q4407" s="2" t="n">
        <v>10</v>
      </c>
      <c r="R4407" s="2" t="n">
        <v>5</v>
      </c>
      <c r="S4407" s="2" t="n">
        <v>3</v>
      </c>
      <c r="T4407" s="2" t="n">
        <v>0</v>
      </c>
      <c r="U4407" s="2" t="n">
        <v>2</v>
      </c>
      <c r="V4407" s="2" t="n">
        <v>4</v>
      </c>
      <c r="W4407" s="2" t="n">
        <v>1</v>
      </c>
      <c r="X4407" s="2" t="n">
        <v>3</v>
      </c>
      <c r="Y4407" s="2" t="n">
        <v>3</v>
      </c>
      <c r="Z4407" s="2" t="n">
        <v>3</v>
      </c>
    </row>
    <row r="4408" customFormat="false" ht="15" hidden="false" customHeight="true" outlineLevel="0" collapsed="false">
      <c r="A4408" s="2" t="n">
        <v>29</v>
      </c>
      <c r="B4408" s="2" t="s">
        <v>26</v>
      </c>
      <c r="C4408" s="2" t="s">
        <v>27</v>
      </c>
      <c r="D4408" s="2" t="s">
        <v>35</v>
      </c>
      <c r="E4408" s="2" t="n">
        <v>2</v>
      </c>
      <c r="F4408" s="2" t="n">
        <v>4</v>
      </c>
      <c r="G4408" s="2" t="s">
        <v>43</v>
      </c>
      <c r="H4408" s="2" t="n">
        <v>4407</v>
      </c>
      <c r="I4408" s="2" t="s">
        <v>39</v>
      </c>
      <c r="J4408" s="2" t="n">
        <v>1</v>
      </c>
      <c r="K4408" s="2" t="s">
        <v>45</v>
      </c>
      <c r="L4408" s="2" t="s">
        <v>46</v>
      </c>
      <c r="M4408" s="2" t="n">
        <v>26790</v>
      </c>
      <c r="N4408" s="2" t="n">
        <v>2</v>
      </c>
      <c r="O4408" s="2" t="n">
        <v>15</v>
      </c>
      <c r="P4408" s="2" t="n">
        <v>0</v>
      </c>
      <c r="Q4408" s="2" t="n">
        <v>10</v>
      </c>
      <c r="R4408" s="2" t="n">
        <v>2</v>
      </c>
      <c r="S4408" s="2" t="n">
        <v>3</v>
      </c>
      <c r="T4408" s="2" t="n">
        <v>0</v>
      </c>
      <c r="U4408" s="2" t="n">
        <v>2</v>
      </c>
      <c r="V4408" s="2" t="n">
        <v>4</v>
      </c>
      <c r="W4408" s="2" t="n">
        <v>4</v>
      </c>
      <c r="X4408" s="2" t="n">
        <v>3</v>
      </c>
      <c r="Y4408" s="2" t="n">
        <v>2</v>
      </c>
      <c r="Z4408" s="2" t="n">
        <v>3</v>
      </c>
    </row>
    <row r="4409" customFormat="false" ht="15" hidden="false" customHeight="true" outlineLevel="0" collapsed="false">
      <c r="A4409" s="2" t="n">
        <v>25</v>
      </c>
      <c r="B4409" s="2" t="s">
        <v>26</v>
      </c>
      <c r="C4409" s="2" t="s">
        <v>27</v>
      </c>
      <c r="D4409" s="2" t="s">
        <v>35</v>
      </c>
      <c r="E4409" s="2" t="n">
        <v>25</v>
      </c>
      <c r="F4409" s="2" t="n">
        <v>2</v>
      </c>
      <c r="G4409" s="2" t="s">
        <v>29</v>
      </c>
      <c r="H4409" s="2" t="n">
        <v>4408</v>
      </c>
      <c r="I4409" s="2" t="s">
        <v>39</v>
      </c>
      <c r="J4409" s="2" t="n">
        <v>2</v>
      </c>
      <c r="K4409" s="2" t="s">
        <v>40</v>
      </c>
      <c r="L4409" s="2" t="s">
        <v>32</v>
      </c>
      <c r="M4409" s="2" t="n">
        <v>37020</v>
      </c>
      <c r="N4409" s="2" t="n">
        <v>0</v>
      </c>
      <c r="O4409" s="2" t="n">
        <v>20</v>
      </c>
      <c r="P4409" s="2" t="n">
        <v>0</v>
      </c>
      <c r="Q4409" s="2" t="n">
        <v>5</v>
      </c>
      <c r="R4409" s="2" t="n">
        <v>4</v>
      </c>
      <c r="S4409" s="2" t="n">
        <v>4</v>
      </c>
      <c r="T4409" s="2" t="n">
        <v>1</v>
      </c>
      <c r="U4409" s="2" t="n">
        <v>2</v>
      </c>
      <c r="V4409" s="2" t="n">
        <v>1</v>
      </c>
      <c r="W4409" s="2" t="n">
        <v>3</v>
      </c>
      <c r="X4409" s="2" t="n">
        <v>3</v>
      </c>
      <c r="Y4409" s="2" t="n">
        <v>3</v>
      </c>
      <c r="Z4409" s="2" t="n">
        <v>4</v>
      </c>
    </row>
    <row r="4410" customFormat="false" ht="15" hidden="false" customHeight="true" outlineLevel="0" collapsed="false">
      <c r="A4410" s="2" t="n">
        <v>42</v>
      </c>
      <c r="B4410" s="2" t="s">
        <v>26</v>
      </c>
      <c r="C4410" s="2" t="s">
        <v>27</v>
      </c>
      <c r="D4410" s="2" t="s">
        <v>28</v>
      </c>
      <c r="E4410" s="2" t="n">
        <v>18</v>
      </c>
      <c r="F4410" s="2" t="n">
        <v>2</v>
      </c>
      <c r="G4410" s="2" t="s">
        <v>43</v>
      </c>
      <c r="H4410" s="2" t="n">
        <v>4409</v>
      </c>
      <c r="I4410" s="2" t="s">
        <v>39</v>
      </c>
      <c r="J4410" s="2" t="n">
        <v>1</v>
      </c>
      <c r="K4410" s="2" t="s">
        <v>45</v>
      </c>
      <c r="L4410" s="2" t="s">
        <v>46</v>
      </c>
      <c r="M4410" s="2" t="n">
        <v>23980</v>
      </c>
      <c r="N4410" s="2" t="n">
        <v>0</v>
      </c>
      <c r="O4410" s="2" t="n">
        <v>14</v>
      </c>
      <c r="P4410" s="2" t="n">
        <v>1</v>
      </c>
      <c r="Q4410" s="2" t="n">
        <v>10</v>
      </c>
      <c r="R4410" s="2" t="n">
        <v>2</v>
      </c>
      <c r="S4410" s="2" t="n">
        <v>9</v>
      </c>
      <c r="T4410" s="2" t="n">
        <v>7</v>
      </c>
      <c r="U4410" s="2" t="n">
        <v>8</v>
      </c>
      <c r="V4410" s="2" t="n">
        <v>4</v>
      </c>
      <c r="W4410" s="2" t="n">
        <v>1</v>
      </c>
      <c r="X4410" s="2" t="n">
        <v>3</v>
      </c>
      <c r="Y4410" s="2" t="n">
        <v>2</v>
      </c>
      <c r="Z4410" s="2" t="n">
        <v>3</v>
      </c>
    </row>
    <row r="4411" customFormat="false" ht="15" hidden="false" customHeight="true" outlineLevel="0" collapsed="false">
      <c r="A4411" s="2" t="n">
        <v>40</v>
      </c>
      <c r="B4411" s="2" t="s">
        <v>26</v>
      </c>
      <c r="C4411" s="2" t="s">
        <v>27</v>
      </c>
      <c r="D4411" s="2" t="s">
        <v>35</v>
      </c>
      <c r="E4411" s="2" t="n">
        <v>28</v>
      </c>
      <c r="F4411" s="2" t="n">
        <v>3</v>
      </c>
      <c r="G4411" s="2" t="s">
        <v>43</v>
      </c>
      <c r="H4411" s="2" t="n">
        <v>4410</v>
      </c>
      <c r="I4411" s="2" t="s">
        <v>39</v>
      </c>
      <c r="J4411" s="2" t="n">
        <v>2</v>
      </c>
      <c r="K4411" s="2" t="s">
        <v>45</v>
      </c>
      <c r="L4411" s="2" t="s">
        <v>46</v>
      </c>
      <c r="M4411" s="2" t="n">
        <v>54680</v>
      </c>
      <c r="N4411" s="2" t="n">
        <v>0</v>
      </c>
      <c r="O4411" s="2" t="n">
        <v>12</v>
      </c>
      <c r="P4411" s="2" t="n">
        <v>0</v>
      </c>
      <c r="Q4411" s="2"/>
      <c r="R4411" s="2" t="n">
        <v>6</v>
      </c>
      <c r="S4411" s="2" t="n">
        <v>21</v>
      </c>
      <c r="T4411" s="2" t="n">
        <v>3</v>
      </c>
      <c r="U4411" s="2" t="n">
        <v>9</v>
      </c>
      <c r="V4411" s="2" t="n">
        <v>1</v>
      </c>
      <c r="W4411" s="2" t="n">
        <v>3</v>
      </c>
      <c r="X4411" s="2"/>
      <c r="Y4411" s="2" t="n">
        <v>4</v>
      </c>
      <c r="Z4411" s="2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28"/>
    <col collapsed="false" customWidth="true" hidden="false" outlineLevel="0" max="2" min="2" style="3" width="14"/>
  </cols>
  <sheetData>
    <row r="1" customFormat="false" ht="15.75" hidden="false" customHeight="true" outlineLevel="0" collapsed="false">
      <c r="A1" s="4" t="s">
        <v>52</v>
      </c>
    </row>
    <row r="3" customFormat="false" ht="15" hidden="false" customHeight="true" outlineLevel="0" collapsed="false">
      <c r="A3" s="1" t="s">
        <v>53</v>
      </c>
      <c r="B3" s="1" t="s">
        <v>54</v>
      </c>
    </row>
    <row r="4" customFormat="false" ht="15" hidden="false" customHeight="true" outlineLevel="0" collapsed="false">
      <c r="A4" s="2" t="s">
        <v>55</v>
      </c>
      <c r="B4" s="2" t="n">
        <f aca="false">COUNTA('Raw Data'!H2:H4411)</f>
        <v>4410</v>
      </c>
    </row>
    <row r="5" customFormat="false" ht="15" hidden="false" customHeight="true" outlineLevel="0" collapsed="false">
      <c r="A5" s="2" t="s">
        <v>56</v>
      </c>
      <c r="B5" s="2" t="n">
        <f aca="false">SUMPRODUCT((COUNTIF('Raw Data'!H2:H4411,'Raw Data'!H2:H4411)&gt;1)*1)</f>
        <v>0</v>
      </c>
    </row>
    <row r="6" customFormat="false" ht="15" hidden="false" customHeight="true" outlineLevel="0" collapsed="false">
      <c r="A6" s="2" t="s">
        <v>57</v>
      </c>
      <c r="B6" s="2" t="n">
        <f aca="false">COUNTBLANK('Raw Data'!A2:A4411)</f>
        <v>0</v>
      </c>
    </row>
    <row r="7" customFormat="false" ht="15" hidden="false" customHeight="true" outlineLevel="0" collapsed="false">
      <c r="A7" s="2" t="s">
        <v>58</v>
      </c>
      <c r="B7" s="2" t="n">
        <f aca="false">COUNTBLANK('Raw Data'!M2:M4411)</f>
        <v>0</v>
      </c>
    </row>
    <row r="8" customFormat="false" ht="15" hidden="false" customHeight="true" outlineLevel="0" collapsed="false">
      <c r="A8" s="2" t="s">
        <v>59</v>
      </c>
      <c r="B8" s="2" t="n">
        <f aca="false">COUNTBLANK('Raw Data'!W2:W4411)</f>
        <v>20</v>
      </c>
    </row>
    <row r="9" customFormat="false" ht="15" hidden="false" customHeight="true" outlineLevel="0" collapsed="false">
      <c r="A9" s="2" t="s">
        <v>60</v>
      </c>
      <c r="B9" s="2" t="n">
        <f aca="false">COUNTBLANK('Raw Data'!V2:V4411)</f>
        <v>25</v>
      </c>
    </row>
    <row r="11" customFormat="false" ht="15" hidden="false" customHeight="true" outlineLevel="0" collapsed="false">
      <c r="A11" s="2" t="s">
        <v>61</v>
      </c>
      <c r="B11" s="2" t="n">
        <f aca="false">MIN('Raw Data'!A2:A4411)</f>
        <v>18</v>
      </c>
    </row>
    <row r="12" customFormat="false" ht="15" hidden="false" customHeight="true" outlineLevel="0" collapsed="false">
      <c r="A12" s="2" t="s">
        <v>62</v>
      </c>
      <c r="B12" s="2" t="n">
        <f aca="false">MAX('Raw Data'!A2:A4411)</f>
        <v>60</v>
      </c>
    </row>
    <row r="13" customFormat="false" ht="15" hidden="false" customHeight="true" outlineLevel="0" collapsed="false">
      <c r="A13" s="2" t="s">
        <v>63</v>
      </c>
      <c r="B13" s="2" t="n">
        <f aca="false">COUNTIF('Raw Data'!B2:B4411,"Yes")</f>
        <v>711</v>
      </c>
    </row>
    <row r="14" customFormat="false" ht="15" hidden="false" customHeight="true" outlineLevel="0" collapsed="false">
      <c r="A14" s="2" t="s">
        <v>64</v>
      </c>
      <c r="B14" s="2" t="n">
        <f aca="false">ROUND(COUNTIF('Raw Data'!B2:B4411,"Yes")/COUNTA('Raw Data'!H2:H4411)*100,1)</f>
        <v>16.1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12"/>
    <col collapsed="false" customWidth="true" hidden="false" outlineLevel="0" max="2" min="2" style="3" width="6"/>
    <col collapsed="false" customWidth="true" hidden="false" outlineLevel="0" max="3" min="3" style="3" width="20"/>
    <col collapsed="false" customWidth="true" hidden="false" outlineLevel="0" max="4" min="4" style="3" width="22"/>
    <col collapsed="false" customWidth="true" hidden="false" outlineLevel="0" max="6" min="5" style="3" width="16"/>
    <col collapsed="false" customWidth="true" hidden="false" outlineLevel="0" max="7" min="7" style="3" width="14"/>
    <col collapsed="false" customWidth="true" hidden="false" outlineLevel="0" max="8" min="8" style="3" width="18"/>
    <col collapsed="false" customWidth="true" hidden="false" outlineLevel="0" max="10" min="9" style="3" width="10"/>
  </cols>
  <sheetData>
    <row r="1" customFormat="false" ht="15" hidden="false" customHeight="true" outlineLevel="0" collapsed="false">
      <c r="A1" s="1" t="s">
        <v>7</v>
      </c>
      <c r="B1" s="1" t="s">
        <v>0</v>
      </c>
      <c r="C1" s="1" t="s">
        <v>3</v>
      </c>
      <c r="D1" s="1" t="s">
        <v>10</v>
      </c>
      <c r="E1" s="1" t="s">
        <v>16</v>
      </c>
      <c r="F1" s="1" t="s">
        <v>20</v>
      </c>
      <c r="G1" s="1" t="s">
        <v>22</v>
      </c>
      <c r="H1" s="1" t="s">
        <v>21</v>
      </c>
      <c r="I1" s="1" t="s">
        <v>65</v>
      </c>
      <c r="J1" s="1" t="s">
        <v>66</v>
      </c>
    </row>
    <row r="2" customFormat="false" ht="15" hidden="false" customHeight="true" outlineLevel="0" collapsed="false">
      <c r="A2" s="2" t="n">
        <f aca="false">'Raw Data'!H2</f>
        <v>1</v>
      </c>
      <c r="B2" s="2" t="n">
        <f aca="false">'Raw Data'!A2</f>
        <v>51</v>
      </c>
      <c r="C2" s="2" t="str">
        <f aca="false">'Raw Data'!D2</f>
        <v>Sales</v>
      </c>
      <c r="D2" s="2" t="str">
        <f aca="false">'Raw Data'!K2</f>
        <v>Healthcare Representative</v>
      </c>
      <c r="E2" s="2" t="n">
        <f aca="false">'Raw Data'!Q2</f>
        <v>1</v>
      </c>
      <c r="F2" s="2" t="n">
        <f aca="false">'Raw Data'!U2</f>
        <v>0</v>
      </c>
      <c r="G2" s="2" t="n">
        <f aca="false">'Raw Data'!W2</f>
        <v>4</v>
      </c>
      <c r="H2" s="2" t="n">
        <f aca="false">'Raw Data'!V2</f>
        <v>3</v>
      </c>
      <c r="I2" s="2" t="n">
        <f aca="false">IF(AND(ISNUMBER(B2),B2&lt;=25),2,0)+IF(AND(ISNUMBER(E2),E2&lt;=5),2,0)+IF(AND(ISNUMBER(F2),F2&lt;=1),2,0)+IF(AND(ISNUMBER(G2),G2&lt;=2),1,0)+IF(AND(ISNUMBER(H2),H2&lt;=2),1,0)</f>
        <v>4</v>
      </c>
      <c r="J2" s="2" t="str">
        <f aca="false">IF(I2&gt;=6,"High",IF(I2&gt;=3,"Medium","Low"))</f>
        <v>Medium</v>
      </c>
    </row>
    <row r="3" customFormat="false" ht="15" hidden="false" customHeight="true" outlineLevel="0" collapsed="false">
      <c r="A3" s="2" t="n">
        <f aca="false">'Raw Data'!H3</f>
        <v>2</v>
      </c>
      <c r="B3" s="2" t="n">
        <f aca="false">'Raw Data'!A3</f>
        <v>31</v>
      </c>
      <c r="C3" s="2" t="str">
        <f aca="false">'Raw Data'!D3</f>
        <v>Research &amp; Development</v>
      </c>
      <c r="D3" s="2" t="str">
        <f aca="false">'Raw Data'!K3</f>
        <v>Research Scientist</v>
      </c>
      <c r="E3" s="2" t="n">
        <f aca="false">'Raw Data'!Q3</f>
        <v>6</v>
      </c>
      <c r="F3" s="2" t="n">
        <f aca="false">'Raw Data'!U3</f>
        <v>4</v>
      </c>
      <c r="G3" s="2" t="n">
        <f aca="false">'Raw Data'!W3</f>
        <v>2</v>
      </c>
      <c r="H3" s="2" t="n">
        <f aca="false">'Raw Data'!V3</f>
        <v>3</v>
      </c>
      <c r="I3" s="2" t="n">
        <f aca="false">IF(AND(ISNUMBER(B3),B3&lt;=25),2,0)+IF(AND(ISNUMBER(E3),E3&lt;=5),2,0)+IF(AND(ISNUMBER(F3),F3&lt;=1),2,0)+IF(AND(ISNUMBER(G3),G3&lt;=2),1,0)+IF(AND(ISNUMBER(H3),H3&lt;=2),1,0)</f>
        <v>1</v>
      </c>
      <c r="J3" s="2" t="str">
        <f aca="false">IF(I3&gt;=6,"High",IF(I3&gt;=3,"Medium","Low"))</f>
        <v>Low</v>
      </c>
    </row>
    <row r="4" customFormat="false" ht="15" hidden="false" customHeight="true" outlineLevel="0" collapsed="false">
      <c r="A4" s="2" t="n">
        <f aca="false">'Raw Data'!H4</f>
        <v>3</v>
      </c>
      <c r="B4" s="2" t="n">
        <f aca="false">'Raw Data'!A4</f>
        <v>32</v>
      </c>
      <c r="C4" s="2" t="str">
        <f aca="false">'Raw Data'!D4</f>
        <v>Research &amp; Development</v>
      </c>
      <c r="D4" s="2" t="str">
        <f aca="false">'Raw Data'!K4</f>
        <v>Sales Executive</v>
      </c>
      <c r="E4" s="2" t="n">
        <f aca="false">'Raw Data'!Q4</f>
        <v>5</v>
      </c>
      <c r="F4" s="2" t="n">
        <f aca="false">'Raw Data'!U4</f>
        <v>3</v>
      </c>
      <c r="G4" s="2" t="n">
        <f aca="false">'Raw Data'!W4</f>
        <v>2</v>
      </c>
      <c r="H4" s="2" t="n">
        <f aca="false">'Raw Data'!V4</f>
        <v>2</v>
      </c>
      <c r="I4" s="2" t="n">
        <f aca="false">IF(AND(ISNUMBER(B4),B4&lt;=25),2,0)+IF(AND(ISNUMBER(E4),E4&lt;=5),2,0)+IF(AND(ISNUMBER(F4),F4&lt;=1),2,0)+IF(AND(ISNUMBER(G4),G4&lt;=2),1,0)+IF(AND(ISNUMBER(H4),H4&lt;=2),1,0)</f>
        <v>4</v>
      </c>
      <c r="J4" s="2" t="str">
        <f aca="false">IF(I4&gt;=6,"High",IF(I4&gt;=3,"Medium","Low"))</f>
        <v>Medium</v>
      </c>
    </row>
    <row r="5" customFormat="false" ht="15" hidden="false" customHeight="true" outlineLevel="0" collapsed="false">
      <c r="A5" s="2" t="n">
        <f aca="false">'Raw Data'!H5</f>
        <v>4</v>
      </c>
      <c r="B5" s="2" t="n">
        <f aca="false">'Raw Data'!A5</f>
        <v>38</v>
      </c>
      <c r="C5" s="2" t="str">
        <f aca="false">'Raw Data'!D5</f>
        <v>Research &amp; Development</v>
      </c>
      <c r="D5" s="2" t="str">
        <f aca="false">'Raw Data'!K5</f>
        <v>Human Resources</v>
      </c>
      <c r="E5" s="2" t="n">
        <f aca="false">'Raw Data'!Q5</f>
        <v>13</v>
      </c>
      <c r="F5" s="2" t="n">
        <f aca="false">'Raw Data'!U5</f>
        <v>5</v>
      </c>
      <c r="G5" s="2" t="n">
        <f aca="false">'Raw Data'!W5</f>
        <v>4</v>
      </c>
      <c r="H5" s="2" t="n">
        <f aca="false">'Raw Data'!V5</f>
        <v>4</v>
      </c>
      <c r="I5" s="2" t="n">
        <f aca="false">IF(AND(ISNUMBER(B5),B5&lt;=25),2,0)+IF(AND(ISNUMBER(E5),E5&lt;=5),2,0)+IF(AND(ISNUMBER(F5),F5&lt;=1),2,0)+IF(AND(ISNUMBER(G5),G5&lt;=2),1,0)+IF(AND(ISNUMBER(H5),H5&lt;=2),1,0)</f>
        <v>0</v>
      </c>
      <c r="J5" s="2" t="str">
        <f aca="false">IF(I5&gt;=6,"High",IF(I5&gt;=3,"Medium","Low"))</f>
        <v>Low</v>
      </c>
    </row>
    <row r="6" customFormat="false" ht="15" hidden="false" customHeight="true" outlineLevel="0" collapsed="false">
      <c r="A6" s="2" t="n">
        <f aca="false">'Raw Data'!H6</f>
        <v>5</v>
      </c>
      <c r="B6" s="2" t="n">
        <f aca="false">'Raw Data'!A6</f>
        <v>32</v>
      </c>
      <c r="C6" s="2" t="str">
        <f aca="false">'Raw Data'!D6</f>
        <v>Research &amp; Development</v>
      </c>
      <c r="D6" s="2" t="str">
        <f aca="false">'Raw Data'!K6</f>
        <v>Sales Executive</v>
      </c>
      <c r="E6" s="2" t="n">
        <f aca="false">'Raw Data'!Q6</f>
        <v>9</v>
      </c>
      <c r="F6" s="2" t="n">
        <f aca="false">'Raw Data'!U6</f>
        <v>4</v>
      </c>
      <c r="G6" s="2" t="n">
        <f aca="false">'Raw Data'!W6</f>
        <v>1</v>
      </c>
      <c r="H6" s="2" t="n">
        <f aca="false">'Raw Data'!V6</f>
        <v>4</v>
      </c>
      <c r="I6" s="2" t="n">
        <f aca="false">IF(AND(ISNUMBER(B6),B6&lt;=25),2,0)+IF(AND(ISNUMBER(E6),E6&lt;=5),2,0)+IF(AND(ISNUMBER(F6),F6&lt;=1),2,0)+IF(AND(ISNUMBER(G6),G6&lt;=2),1,0)+IF(AND(ISNUMBER(H6),H6&lt;=2),1,0)</f>
        <v>1</v>
      </c>
      <c r="J6" s="2" t="str">
        <f aca="false">IF(I6&gt;=6,"High",IF(I6&gt;=3,"Medium","Low"))</f>
        <v>Low</v>
      </c>
    </row>
    <row r="7" customFormat="false" ht="15" hidden="false" customHeight="true" outlineLevel="0" collapsed="false">
      <c r="A7" s="2" t="n">
        <f aca="false">'Raw Data'!H7</f>
        <v>6</v>
      </c>
      <c r="B7" s="2" t="n">
        <f aca="false">'Raw Data'!A7</f>
        <v>46</v>
      </c>
      <c r="C7" s="2" t="str">
        <f aca="false">'Raw Data'!D7</f>
        <v>Research &amp; Development</v>
      </c>
      <c r="D7" s="2" t="str">
        <f aca="false">'Raw Data'!K7</f>
        <v>Research Director</v>
      </c>
      <c r="E7" s="2" t="n">
        <f aca="false">'Raw Data'!Q7</f>
        <v>28</v>
      </c>
      <c r="F7" s="2" t="n">
        <f aca="false">'Raw Data'!U7</f>
        <v>7</v>
      </c>
      <c r="G7" s="2" t="n">
        <f aca="false">'Raw Data'!W7</f>
        <v>2</v>
      </c>
      <c r="H7" s="2" t="n">
        <f aca="false">'Raw Data'!V7</f>
        <v>3</v>
      </c>
      <c r="I7" s="2" t="n">
        <f aca="false">IF(AND(ISNUMBER(B7),B7&lt;=25),2,0)+IF(AND(ISNUMBER(E7),E7&lt;=5),2,0)+IF(AND(ISNUMBER(F7),F7&lt;=1),2,0)+IF(AND(ISNUMBER(G7),G7&lt;=2),1,0)+IF(AND(ISNUMBER(H7),H7&lt;=2),1,0)</f>
        <v>1</v>
      </c>
      <c r="J7" s="2" t="str">
        <f aca="false">IF(I7&gt;=6,"High",IF(I7&gt;=3,"Medium","Low"))</f>
        <v>Low</v>
      </c>
    </row>
    <row r="8" customFormat="false" ht="15" hidden="false" customHeight="true" outlineLevel="0" collapsed="false">
      <c r="A8" s="2" t="n">
        <f aca="false">'Raw Data'!H8</f>
        <v>7</v>
      </c>
      <c r="B8" s="2" t="n">
        <f aca="false">'Raw Data'!A8</f>
        <v>28</v>
      </c>
      <c r="C8" s="2" t="str">
        <f aca="false">'Raw Data'!D8</f>
        <v>Research &amp; Development</v>
      </c>
      <c r="D8" s="2" t="str">
        <f aca="false">'Raw Data'!K8</f>
        <v>Sales Executive</v>
      </c>
      <c r="E8" s="2" t="n">
        <f aca="false">'Raw Data'!Q8</f>
        <v>5</v>
      </c>
      <c r="F8" s="2" t="n">
        <f aca="false">'Raw Data'!U8</f>
        <v>0</v>
      </c>
      <c r="G8" s="2" t="n">
        <f aca="false">'Raw Data'!W8</f>
        <v>3</v>
      </c>
      <c r="H8" s="2" t="n">
        <f aca="false">'Raw Data'!V8</f>
        <v>1</v>
      </c>
      <c r="I8" s="2" t="n">
        <f aca="false">IF(AND(ISNUMBER(B8),B8&lt;=25),2,0)+IF(AND(ISNUMBER(E8),E8&lt;=5),2,0)+IF(AND(ISNUMBER(F8),F8&lt;=1),2,0)+IF(AND(ISNUMBER(G8),G8&lt;=2),1,0)+IF(AND(ISNUMBER(H8),H8&lt;=2),1,0)</f>
        <v>5</v>
      </c>
      <c r="J8" s="2" t="str">
        <f aca="false">IF(I8&gt;=6,"High",IF(I8&gt;=3,"Medium","Low"))</f>
        <v>Medium</v>
      </c>
    </row>
    <row r="9" customFormat="false" ht="15" hidden="false" customHeight="true" outlineLevel="0" collapsed="false">
      <c r="A9" s="2" t="n">
        <f aca="false">'Raw Data'!H9</f>
        <v>8</v>
      </c>
      <c r="B9" s="2" t="n">
        <f aca="false">'Raw Data'!A9</f>
        <v>29</v>
      </c>
      <c r="C9" s="2" t="str">
        <f aca="false">'Raw Data'!D9</f>
        <v>Research &amp; Development</v>
      </c>
      <c r="D9" s="2" t="str">
        <f aca="false">'Raw Data'!K9</f>
        <v>Sales Executive</v>
      </c>
      <c r="E9" s="2" t="n">
        <f aca="false">'Raw Data'!Q9</f>
        <v>10</v>
      </c>
      <c r="F9" s="2" t="n">
        <f aca="false">'Raw Data'!U9</f>
        <v>0</v>
      </c>
      <c r="G9" s="2" t="n">
        <f aca="false">'Raw Data'!W9</f>
        <v>2</v>
      </c>
      <c r="H9" s="2" t="n">
        <f aca="false">'Raw Data'!V9</f>
        <v>1</v>
      </c>
      <c r="I9" s="2" t="n">
        <f aca="false">IF(AND(ISNUMBER(B9),B9&lt;=25),2,0)+IF(AND(ISNUMBER(E9),E9&lt;=5),2,0)+IF(AND(ISNUMBER(F9),F9&lt;=1),2,0)+IF(AND(ISNUMBER(G9),G9&lt;=2),1,0)+IF(AND(ISNUMBER(H9),H9&lt;=2),1,0)</f>
        <v>4</v>
      </c>
      <c r="J9" s="2" t="str">
        <f aca="false">IF(I9&gt;=6,"High",IF(I9&gt;=3,"Medium","Low"))</f>
        <v>Medium</v>
      </c>
    </row>
    <row r="10" customFormat="false" ht="15" hidden="false" customHeight="true" outlineLevel="0" collapsed="false">
      <c r="A10" s="2" t="n">
        <f aca="false">'Raw Data'!H10</f>
        <v>9</v>
      </c>
      <c r="B10" s="2" t="n">
        <f aca="false">'Raw Data'!A10</f>
        <v>31</v>
      </c>
      <c r="C10" s="2" t="str">
        <f aca="false">'Raw Data'!D10</f>
        <v>Research &amp; Development</v>
      </c>
      <c r="D10" s="2" t="str">
        <f aca="false">'Raw Data'!K10</f>
        <v>Laboratory Technician</v>
      </c>
      <c r="E10" s="2" t="n">
        <f aca="false">'Raw Data'!Q10</f>
        <v>10</v>
      </c>
      <c r="F10" s="2" t="n">
        <f aca="false">'Raw Data'!U10</f>
        <v>8</v>
      </c>
      <c r="G10" s="2" t="n">
        <f aca="false">'Raw Data'!W10</f>
        <v>4</v>
      </c>
      <c r="H10" s="2" t="n">
        <f aca="false">'Raw Data'!V10</f>
        <v>2</v>
      </c>
      <c r="I10" s="2" t="n">
        <f aca="false">IF(AND(ISNUMBER(B10),B10&lt;=25),2,0)+IF(AND(ISNUMBER(E10),E10&lt;=5),2,0)+IF(AND(ISNUMBER(F10),F10&lt;=1),2,0)+IF(AND(ISNUMBER(G10),G10&lt;=2),1,0)+IF(AND(ISNUMBER(H10),H10&lt;=2),1,0)</f>
        <v>1</v>
      </c>
      <c r="J10" s="2" t="str">
        <f aca="false">IF(I10&gt;=6,"High",IF(I10&gt;=3,"Medium","Low"))</f>
        <v>Low</v>
      </c>
    </row>
    <row r="11" customFormat="false" ht="15" hidden="false" customHeight="true" outlineLevel="0" collapsed="false">
      <c r="A11" s="2" t="n">
        <f aca="false">'Raw Data'!H11</f>
        <v>10</v>
      </c>
      <c r="B11" s="2" t="n">
        <f aca="false">'Raw Data'!A11</f>
        <v>25</v>
      </c>
      <c r="C11" s="2" t="str">
        <f aca="false">'Raw Data'!D11</f>
        <v>Research &amp; Development</v>
      </c>
      <c r="D11" s="2" t="str">
        <f aca="false">'Raw Data'!K11</f>
        <v>Laboratory Technician</v>
      </c>
      <c r="E11" s="2" t="n">
        <f aca="false">'Raw Data'!Q11</f>
        <v>6</v>
      </c>
      <c r="F11" s="2" t="n">
        <f aca="false">'Raw Data'!U11</f>
        <v>5</v>
      </c>
      <c r="G11" s="2" t="n">
        <f aca="false">'Raw Data'!W11</f>
        <v>1</v>
      </c>
      <c r="H11" s="2" t="n">
        <f aca="false">'Raw Data'!V11</f>
        <v>2</v>
      </c>
      <c r="I11" s="2" t="n">
        <f aca="false">IF(AND(ISNUMBER(B11),B11&lt;=25),2,0)+IF(AND(ISNUMBER(E11),E11&lt;=5),2,0)+IF(AND(ISNUMBER(F11),F11&lt;=1),2,0)+IF(AND(ISNUMBER(G11),G11&lt;=2),1,0)+IF(AND(ISNUMBER(H11),H11&lt;=2),1,0)</f>
        <v>4</v>
      </c>
      <c r="J11" s="2" t="str">
        <f aca="false">IF(I11&gt;=6,"High",IF(I11&gt;=3,"Medium","Low"))</f>
        <v>Medium</v>
      </c>
    </row>
    <row r="12" customFormat="false" ht="15" hidden="false" customHeight="true" outlineLevel="0" collapsed="false">
      <c r="A12" s="2" t="n">
        <f aca="false">'Raw Data'!H12</f>
        <v>11</v>
      </c>
      <c r="B12" s="2" t="n">
        <f aca="false">'Raw Data'!A12</f>
        <v>45</v>
      </c>
      <c r="C12" s="2" t="str">
        <f aca="false">'Raw Data'!D12</f>
        <v>Research &amp; Development</v>
      </c>
      <c r="D12" s="2" t="str">
        <f aca="false">'Raw Data'!K12</f>
        <v>Laboratory Technician</v>
      </c>
      <c r="E12" s="2" t="n">
        <f aca="false">'Raw Data'!Q12</f>
        <v>21</v>
      </c>
      <c r="F12" s="2" t="n">
        <f aca="false">'Raw Data'!U12</f>
        <v>10</v>
      </c>
      <c r="G12" s="2" t="n">
        <f aca="false">'Raw Data'!W12</f>
        <v>4</v>
      </c>
      <c r="H12" s="2" t="n">
        <f aca="false">'Raw Data'!V12</f>
        <v>3</v>
      </c>
      <c r="I12" s="2" t="n">
        <f aca="false">IF(AND(ISNUMBER(B12),B12&lt;=25),2,0)+IF(AND(ISNUMBER(E12),E12&lt;=5),2,0)+IF(AND(ISNUMBER(F12),F12&lt;=1),2,0)+IF(AND(ISNUMBER(G12),G12&lt;=2),1,0)+IF(AND(ISNUMBER(H12),H12&lt;=2),1,0)</f>
        <v>0</v>
      </c>
      <c r="J12" s="2" t="str">
        <f aca="false">IF(I12&gt;=6,"High",IF(I12&gt;=3,"Medium","Low"))</f>
        <v>Low</v>
      </c>
    </row>
    <row r="13" customFormat="false" ht="15" hidden="false" customHeight="true" outlineLevel="0" collapsed="false">
      <c r="A13" s="2" t="n">
        <f aca="false">'Raw Data'!H13</f>
        <v>12</v>
      </c>
      <c r="B13" s="2" t="n">
        <f aca="false">'Raw Data'!A13</f>
        <v>36</v>
      </c>
      <c r="C13" s="2" t="str">
        <f aca="false">'Raw Data'!D13</f>
        <v>Research &amp; Development</v>
      </c>
      <c r="D13" s="2" t="str">
        <f aca="false">'Raw Data'!K13</f>
        <v>Laboratory Technician</v>
      </c>
      <c r="E13" s="2" t="n">
        <f aca="false">'Raw Data'!Q13</f>
        <v>16</v>
      </c>
      <c r="F13" s="2" t="n">
        <f aca="false">'Raw Data'!U13</f>
        <v>11</v>
      </c>
      <c r="G13" s="2" t="n">
        <f aca="false">'Raw Data'!W13</f>
        <v>4</v>
      </c>
      <c r="H13" s="2" t="n">
        <f aca="false">'Raw Data'!V13</f>
        <v>0</v>
      </c>
      <c r="I13" s="2" t="n">
        <f aca="false">IF(AND(ISNUMBER(B13),B13&lt;=25),2,0)+IF(AND(ISNUMBER(E13),E13&lt;=5),2,0)+IF(AND(ISNUMBER(F13),F13&lt;=1),2,0)+IF(AND(ISNUMBER(G13),G13&lt;=2),1,0)+IF(AND(ISNUMBER(H13),H13&lt;=2),1,0)</f>
        <v>0</v>
      </c>
      <c r="J13" s="2" t="str">
        <f aca="false">IF(I13&gt;=6,"High",IF(I13&gt;=3,"Medium","Low"))</f>
        <v>Low</v>
      </c>
    </row>
    <row r="14" customFormat="false" ht="15" hidden="false" customHeight="true" outlineLevel="0" collapsed="false">
      <c r="A14" s="2" t="n">
        <f aca="false">'Raw Data'!H14</f>
        <v>13</v>
      </c>
      <c r="B14" s="2" t="n">
        <f aca="false">'Raw Data'!A14</f>
        <v>55</v>
      </c>
      <c r="C14" s="2" t="str">
        <f aca="false">'Raw Data'!D14</f>
        <v>Research &amp; Development</v>
      </c>
      <c r="D14" s="2" t="str">
        <f aca="false">'Raw Data'!K14</f>
        <v>Sales Executive</v>
      </c>
      <c r="E14" s="2" t="n">
        <f aca="false">'Raw Data'!Q14</f>
        <v>37</v>
      </c>
      <c r="F14" s="2" t="n">
        <f aca="false">'Raw Data'!U14</f>
        <v>13</v>
      </c>
      <c r="G14" s="2" t="n">
        <f aca="false">'Raw Data'!W14</f>
        <v>1</v>
      </c>
      <c r="H14" s="2" t="n">
        <f aca="false">'Raw Data'!V14</f>
        <v>4</v>
      </c>
      <c r="I14" s="2" t="n">
        <f aca="false">IF(AND(ISNUMBER(B14),B14&lt;=25),2,0)+IF(AND(ISNUMBER(E14),E14&lt;=5),2,0)+IF(AND(ISNUMBER(F14),F14&lt;=1),2,0)+IF(AND(ISNUMBER(G14),G14&lt;=2),1,0)+IF(AND(ISNUMBER(H14),H14&lt;=2),1,0)</f>
        <v>1</v>
      </c>
      <c r="J14" s="2" t="str">
        <f aca="false">IF(I14&gt;=6,"High",IF(I14&gt;=3,"Medium","Low"))</f>
        <v>Low</v>
      </c>
    </row>
    <row r="15" customFormat="false" ht="15" hidden="false" customHeight="true" outlineLevel="0" collapsed="false">
      <c r="A15" s="2" t="n">
        <f aca="false">'Raw Data'!H15</f>
        <v>14</v>
      </c>
      <c r="B15" s="2" t="n">
        <f aca="false">'Raw Data'!A15</f>
        <v>47</v>
      </c>
      <c r="C15" s="2" t="str">
        <f aca="false">'Raw Data'!D15</f>
        <v>Research &amp; Development</v>
      </c>
      <c r="D15" s="2" t="str">
        <f aca="false">'Raw Data'!K15</f>
        <v>Research Scientist</v>
      </c>
      <c r="E15" s="2" t="n">
        <f aca="false">'Raw Data'!Q15</f>
        <v>10</v>
      </c>
      <c r="F15" s="2" t="n">
        <f aca="false">'Raw Data'!U15</f>
        <v>9</v>
      </c>
      <c r="G15" s="2" t="n">
        <f aca="false">'Raw Data'!W15</f>
        <v>2</v>
      </c>
      <c r="H15" s="2" t="n">
        <f aca="false">'Raw Data'!V15</f>
        <v>1</v>
      </c>
      <c r="I15" s="2" t="n">
        <f aca="false">IF(AND(ISNUMBER(B15),B15&lt;=25),2,0)+IF(AND(ISNUMBER(E15),E15&lt;=5),2,0)+IF(AND(ISNUMBER(F15),F15&lt;=1),2,0)+IF(AND(ISNUMBER(G15),G15&lt;=2),1,0)+IF(AND(ISNUMBER(H15),H15&lt;=2),1,0)</f>
        <v>2</v>
      </c>
      <c r="J15" s="2" t="str">
        <f aca="false">IF(I15&gt;=6,"High",IF(I15&gt;=3,"Medium","Low"))</f>
        <v>Low</v>
      </c>
    </row>
    <row r="16" customFormat="false" ht="15" hidden="false" customHeight="true" outlineLevel="0" collapsed="false">
      <c r="A16" s="2" t="n">
        <f aca="false">'Raw Data'!H16</f>
        <v>15</v>
      </c>
      <c r="B16" s="2" t="n">
        <f aca="false">'Raw Data'!A16</f>
        <v>28</v>
      </c>
      <c r="C16" s="2" t="str">
        <f aca="false">'Raw Data'!D16</f>
        <v>Research &amp; Development</v>
      </c>
      <c r="D16" s="2" t="str">
        <f aca="false">'Raw Data'!K16</f>
        <v>Manufacturing Director</v>
      </c>
      <c r="E16" s="2" t="n">
        <f aca="false">'Raw Data'!Q16</f>
        <v>5</v>
      </c>
      <c r="F16" s="2" t="n">
        <f aca="false">'Raw Data'!U16</f>
        <v>4</v>
      </c>
      <c r="G16" s="2" t="n">
        <f aca="false">'Raw Data'!W16</f>
        <v>4</v>
      </c>
      <c r="H16" s="2" t="n">
        <f aca="false">'Raw Data'!V16</f>
        <v>4</v>
      </c>
      <c r="I16" s="2" t="n">
        <f aca="false">IF(AND(ISNUMBER(B16),B16&lt;=25),2,0)+IF(AND(ISNUMBER(E16),E16&lt;=5),2,0)+IF(AND(ISNUMBER(F16),F16&lt;=1),2,0)+IF(AND(ISNUMBER(G16),G16&lt;=2),1,0)+IF(AND(ISNUMBER(H16),H16&lt;=2),1,0)</f>
        <v>2</v>
      </c>
      <c r="J16" s="2" t="str">
        <f aca="false">IF(I16&gt;=6,"High",IF(I16&gt;=3,"Medium","Low"))</f>
        <v>Low</v>
      </c>
    </row>
    <row r="17" customFormat="false" ht="15" hidden="false" customHeight="true" outlineLevel="0" collapsed="false">
      <c r="A17" s="2" t="n">
        <f aca="false">'Raw Data'!H17</f>
        <v>16</v>
      </c>
      <c r="B17" s="2" t="n">
        <f aca="false">'Raw Data'!A17</f>
        <v>37</v>
      </c>
      <c r="C17" s="2" t="str">
        <f aca="false">'Raw Data'!D17</f>
        <v>Research &amp; Development</v>
      </c>
      <c r="D17" s="2" t="str">
        <f aca="false">'Raw Data'!K17</f>
        <v>Healthcare Representative</v>
      </c>
      <c r="E17" s="2" t="n">
        <f aca="false">'Raw Data'!Q17</f>
        <v>7</v>
      </c>
      <c r="F17" s="2" t="n">
        <f aca="false">'Raw Data'!U17</f>
        <v>1</v>
      </c>
      <c r="G17" s="2" t="n">
        <f aca="false">'Raw Data'!W17</f>
        <v>4</v>
      </c>
      <c r="H17" s="2" t="n">
        <f aca="false">'Raw Data'!V17</f>
        <v>3</v>
      </c>
      <c r="I17" s="2" t="n">
        <f aca="false">IF(AND(ISNUMBER(B17),B17&lt;=25),2,0)+IF(AND(ISNUMBER(E17),E17&lt;=5),2,0)+IF(AND(ISNUMBER(F17),F17&lt;=1),2,0)+IF(AND(ISNUMBER(G17),G17&lt;=2),1,0)+IF(AND(ISNUMBER(H17),H17&lt;=2),1,0)</f>
        <v>2</v>
      </c>
      <c r="J17" s="2" t="str">
        <f aca="false">IF(I17&gt;=6,"High",IF(I17&gt;=3,"Medium","Low"))</f>
        <v>Low</v>
      </c>
    </row>
    <row r="18" customFormat="false" ht="15" hidden="false" customHeight="true" outlineLevel="0" collapsed="false">
      <c r="A18" s="2" t="n">
        <f aca="false">'Raw Data'!H18</f>
        <v>17</v>
      </c>
      <c r="B18" s="2" t="n">
        <f aca="false">'Raw Data'!A18</f>
        <v>21</v>
      </c>
      <c r="C18" s="2" t="str">
        <f aca="false">'Raw Data'!D18</f>
        <v>Research &amp; Development</v>
      </c>
      <c r="D18" s="2" t="str">
        <f aca="false">'Raw Data'!K18</f>
        <v>Laboratory Technician</v>
      </c>
      <c r="E18" s="2" t="n">
        <f aca="false">'Raw Data'!Q18</f>
        <v>3</v>
      </c>
      <c r="F18" s="2" t="n">
        <f aca="false">'Raw Data'!U18</f>
        <v>0</v>
      </c>
      <c r="G18" s="2" t="n">
        <f aca="false">'Raw Data'!W18</f>
        <v>3</v>
      </c>
      <c r="H18" s="2" t="n">
        <f aca="false">'Raw Data'!V18</f>
        <v>4</v>
      </c>
      <c r="I18" s="2" t="n">
        <f aca="false">IF(AND(ISNUMBER(B18),B18&lt;=25),2,0)+IF(AND(ISNUMBER(E18),E18&lt;=5),2,0)+IF(AND(ISNUMBER(F18),F18&lt;=1),2,0)+IF(AND(ISNUMBER(G18),G18&lt;=2),1,0)+IF(AND(ISNUMBER(H18),H18&lt;=2),1,0)</f>
        <v>6</v>
      </c>
      <c r="J18" s="2" t="str">
        <f aca="false">IF(I18&gt;=6,"High",IF(I18&gt;=3,"Medium","Low"))</f>
        <v>High</v>
      </c>
    </row>
    <row r="19" customFormat="false" ht="15" hidden="false" customHeight="true" outlineLevel="0" collapsed="false">
      <c r="A19" s="2" t="n">
        <f aca="false">'Raw Data'!H19</f>
        <v>18</v>
      </c>
      <c r="B19" s="2" t="n">
        <f aca="false">'Raw Data'!A19</f>
        <v>37</v>
      </c>
      <c r="C19" s="2" t="str">
        <f aca="false">'Raw Data'!D19</f>
        <v>Research &amp; Development</v>
      </c>
      <c r="D19" s="2" t="str">
        <f aca="false">'Raw Data'!K19</f>
        <v>Sales Executive</v>
      </c>
      <c r="E19" s="2" t="n">
        <f aca="false">'Raw Data'!Q19</f>
        <v>15</v>
      </c>
      <c r="F19" s="2" t="n">
        <f aca="false">'Raw Data'!U19</f>
        <v>2</v>
      </c>
      <c r="G19" s="2" t="n">
        <f aca="false">'Raw Data'!W19</f>
        <v>4</v>
      </c>
      <c r="H19" s="2" t="n">
        <f aca="false">'Raw Data'!V19</f>
        <v>1</v>
      </c>
      <c r="I19" s="2" t="n">
        <f aca="false">IF(AND(ISNUMBER(B19),B19&lt;=25),2,0)+IF(AND(ISNUMBER(E19),E19&lt;=5),2,0)+IF(AND(ISNUMBER(F19),F19&lt;=1),2,0)+IF(AND(ISNUMBER(G19),G19&lt;=2),1,0)+IF(AND(ISNUMBER(H19),H19&lt;=2),1,0)</f>
        <v>1</v>
      </c>
      <c r="J19" s="2" t="str">
        <f aca="false">IF(I19&gt;=6,"High",IF(I19&gt;=3,"Medium","Low"))</f>
        <v>Low</v>
      </c>
    </row>
    <row r="20" customFormat="false" ht="15" hidden="false" customHeight="true" outlineLevel="0" collapsed="false">
      <c r="A20" s="2" t="n">
        <f aca="false">'Raw Data'!H20</f>
        <v>19</v>
      </c>
      <c r="B20" s="2" t="n">
        <f aca="false">'Raw Data'!A20</f>
        <v>35</v>
      </c>
      <c r="C20" s="2" t="str">
        <f aca="false">'Raw Data'!D20</f>
        <v>Sales</v>
      </c>
      <c r="D20" s="2" t="str">
        <f aca="false">'Raw Data'!K20</f>
        <v>Sales Representative</v>
      </c>
      <c r="E20" s="2" t="n">
        <f aca="false">'Raw Data'!Q20</f>
        <v>10</v>
      </c>
      <c r="F20" s="2" t="n">
        <f aca="false">'Raw Data'!U20</f>
        <v>2</v>
      </c>
      <c r="G20" s="2" t="n">
        <f aca="false">'Raw Data'!W20</f>
        <v>2</v>
      </c>
      <c r="H20" s="2" t="n">
        <f aca="false">'Raw Data'!V20</f>
        <v>2</v>
      </c>
      <c r="I20" s="2" t="n">
        <f aca="false">IF(AND(ISNUMBER(B20),B20&lt;=25),2,0)+IF(AND(ISNUMBER(E20),E20&lt;=5),2,0)+IF(AND(ISNUMBER(F20),F20&lt;=1),2,0)+IF(AND(ISNUMBER(G20),G20&lt;=2),1,0)+IF(AND(ISNUMBER(H20),H20&lt;=2),1,0)</f>
        <v>2</v>
      </c>
      <c r="J20" s="2" t="str">
        <f aca="false">IF(I20&gt;=6,"High",IF(I20&gt;=3,"Medium","Low"))</f>
        <v>Low</v>
      </c>
    </row>
    <row r="21" customFormat="false" ht="15" hidden="false" customHeight="true" outlineLevel="0" collapsed="false">
      <c r="A21" s="2" t="n">
        <f aca="false">'Raw Data'!H21</f>
        <v>20</v>
      </c>
      <c r="B21" s="2" t="n">
        <f aca="false">'Raw Data'!A21</f>
        <v>38</v>
      </c>
      <c r="C21" s="2" t="str">
        <f aca="false">'Raw Data'!D21</f>
        <v>Research &amp; Development</v>
      </c>
      <c r="D21" s="2" t="str">
        <f aca="false">'Raw Data'!K21</f>
        <v>Manager</v>
      </c>
      <c r="E21" s="2" t="n">
        <f aca="false">'Raw Data'!Q21</f>
        <v>8</v>
      </c>
      <c r="F21" s="2" t="n">
        <f aca="false">'Raw Data'!U21</f>
        <v>7</v>
      </c>
      <c r="G21" s="2" t="n">
        <f aca="false">'Raw Data'!W21</f>
        <v>1</v>
      </c>
      <c r="H21" s="2" t="n">
        <f aca="false">'Raw Data'!V21</f>
        <v>1</v>
      </c>
      <c r="I21" s="2" t="n">
        <f aca="false">IF(AND(ISNUMBER(B21),B21&lt;=25),2,0)+IF(AND(ISNUMBER(E21),E21&lt;=5),2,0)+IF(AND(ISNUMBER(F21),F21&lt;=1),2,0)+IF(AND(ISNUMBER(G21),G21&lt;=2),1,0)+IF(AND(ISNUMBER(H21),H21&lt;=2),1,0)</f>
        <v>2</v>
      </c>
      <c r="J21" s="2" t="str">
        <f aca="false">IF(I21&gt;=6,"High",IF(I21&gt;=3,"Medium","Low"))</f>
        <v>Low</v>
      </c>
    </row>
    <row r="22" customFormat="false" ht="15" hidden="false" customHeight="true" outlineLevel="0" collapsed="false">
      <c r="A22" s="2" t="n">
        <f aca="false">'Raw Data'!H22</f>
        <v>21</v>
      </c>
      <c r="B22" s="2" t="n">
        <f aca="false">'Raw Data'!A22</f>
        <v>26</v>
      </c>
      <c r="C22" s="2" t="str">
        <f aca="false">'Raw Data'!D22</f>
        <v>Research &amp; Development</v>
      </c>
      <c r="D22" s="2" t="str">
        <f aca="false">'Raw Data'!K22</f>
        <v>Laboratory Technician</v>
      </c>
      <c r="E22" s="2" t="n">
        <f aca="false">'Raw Data'!Q22</f>
        <v>6</v>
      </c>
      <c r="F22" s="2" t="n">
        <f aca="false">'Raw Data'!U22</f>
        <v>4</v>
      </c>
      <c r="G22" s="2" t="n">
        <f aca="false">'Raw Data'!W22</f>
        <v>2</v>
      </c>
      <c r="H22" s="2" t="n">
        <f aca="false">'Raw Data'!V22</f>
        <v>3</v>
      </c>
      <c r="I22" s="2" t="n">
        <f aca="false">IF(AND(ISNUMBER(B22),B22&lt;=25),2,0)+IF(AND(ISNUMBER(E22),E22&lt;=5),2,0)+IF(AND(ISNUMBER(F22),F22&lt;=1),2,0)+IF(AND(ISNUMBER(G22),G22&lt;=2),1,0)+IF(AND(ISNUMBER(H22),H22&lt;=2),1,0)</f>
        <v>1</v>
      </c>
      <c r="J22" s="2" t="str">
        <f aca="false">IF(I22&gt;=6,"High",IF(I22&gt;=3,"Medium","Low"))</f>
        <v>Low</v>
      </c>
    </row>
    <row r="23" customFormat="false" ht="15" hidden="false" customHeight="true" outlineLevel="0" collapsed="false">
      <c r="A23" s="2" t="n">
        <f aca="false">'Raw Data'!H23</f>
        <v>22</v>
      </c>
      <c r="B23" s="2" t="n">
        <f aca="false">'Raw Data'!A23</f>
        <v>50</v>
      </c>
      <c r="C23" s="2" t="str">
        <f aca="false">'Raw Data'!D23</f>
        <v>Sales</v>
      </c>
      <c r="D23" s="2" t="str">
        <f aca="false">'Raw Data'!K23</f>
        <v>Research Scientist</v>
      </c>
      <c r="E23" s="2" t="n">
        <f aca="false">'Raw Data'!Q23</f>
        <v>28</v>
      </c>
      <c r="F23" s="2" t="n">
        <f aca="false">'Raw Data'!U23</f>
        <v>6</v>
      </c>
      <c r="G23" s="2" t="n">
        <f aca="false">'Raw Data'!W23</f>
        <v>2</v>
      </c>
      <c r="H23" s="2" t="n">
        <f aca="false">'Raw Data'!V23</f>
        <v>1</v>
      </c>
      <c r="I23" s="2" t="n">
        <f aca="false">IF(AND(ISNUMBER(B23),B23&lt;=25),2,0)+IF(AND(ISNUMBER(E23),E23&lt;=5),2,0)+IF(AND(ISNUMBER(F23),F23&lt;=1),2,0)+IF(AND(ISNUMBER(G23),G23&lt;=2),1,0)+IF(AND(ISNUMBER(H23),H23&lt;=2),1,0)</f>
        <v>2</v>
      </c>
      <c r="J23" s="2" t="str">
        <f aca="false">IF(I23&gt;=6,"High",IF(I23&gt;=3,"Medium","Low"))</f>
        <v>Low</v>
      </c>
    </row>
    <row r="24" customFormat="false" ht="15" hidden="false" customHeight="true" outlineLevel="0" collapsed="false">
      <c r="A24" s="2" t="n">
        <f aca="false">'Raw Data'!H24</f>
        <v>23</v>
      </c>
      <c r="B24" s="2" t="n">
        <f aca="false">'Raw Data'!A24</f>
        <v>53</v>
      </c>
      <c r="C24" s="2" t="str">
        <f aca="false">'Raw Data'!D24</f>
        <v>Research &amp; Development</v>
      </c>
      <c r="D24" s="2" t="str">
        <f aca="false">'Raw Data'!K24</f>
        <v>Research Scientist</v>
      </c>
      <c r="E24" s="2" t="n">
        <f aca="false">'Raw Data'!Q24</f>
        <v>21</v>
      </c>
      <c r="F24" s="2" t="n">
        <f aca="false">'Raw Data'!U24</f>
        <v>3</v>
      </c>
      <c r="G24" s="2" t="n">
        <f aca="false">'Raw Data'!W24</f>
        <v>3</v>
      </c>
      <c r="H24" s="2" t="n">
        <f aca="false">'Raw Data'!V24</f>
        <v>3</v>
      </c>
      <c r="I24" s="2" t="n">
        <f aca="false">IF(AND(ISNUMBER(B24),B24&lt;=25),2,0)+IF(AND(ISNUMBER(E24),E24&lt;=5),2,0)+IF(AND(ISNUMBER(F24),F24&lt;=1),2,0)+IF(AND(ISNUMBER(G24),G24&lt;=2),1,0)+IF(AND(ISNUMBER(H24),H24&lt;=2),1,0)</f>
        <v>0</v>
      </c>
      <c r="J24" s="2" t="str">
        <f aca="false">IF(I24&gt;=6,"High",IF(I24&gt;=3,"Medium","Low"))</f>
        <v>Low</v>
      </c>
    </row>
    <row r="25" customFormat="false" ht="15" hidden="false" customHeight="true" outlineLevel="0" collapsed="false">
      <c r="A25" s="2" t="n">
        <f aca="false">'Raw Data'!H25</f>
        <v>24</v>
      </c>
      <c r="B25" s="2" t="n">
        <f aca="false">'Raw Data'!A25</f>
        <v>42</v>
      </c>
      <c r="C25" s="2" t="str">
        <f aca="false">'Raw Data'!D25</f>
        <v>Research &amp; Development</v>
      </c>
      <c r="D25" s="2" t="str">
        <f aca="false">'Raw Data'!K25</f>
        <v>Manufacturing Director</v>
      </c>
      <c r="E25" s="2" t="n">
        <f aca="false">'Raw Data'!Q25</f>
        <v>0</v>
      </c>
      <c r="F25" s="2" t="n">
        <f aca="false">'Raw Data'!U25</f>
        <v>6</v>
      </c>
      <c r="G25" s="2" t="n">
        <f aca="false">'Raw Data'!W25</f>
        <v>3</v>
      </c>
      <c r="H25" s="2" t="n">
        <f aca="false">'Raw Data'!V25</f>
        <v>2</v>
      </c>
      <c r="I25" s="2" t="n">
        <f aca="false">IF(AND(ISNUMBER(B25),B25&lt;=25),2,0)+IF(AND(ISNUMBER(E25),E25&lt;=5),2,0)+IF(AND(ISNUMBER(F25),F25&lt;=1),2,0)+IF(AND(ISNUMBER(G25),G25&lt;=2),1,0)+IF(AND(ISNUMBER(H25),H25&lt;=2),1,0)</f>
        <v>1</v>
      </c>
      <c r="J25" s="2" t="str">
        <f aca="false">IF(I25&gt;=6,"High",IF(I25&gt;=3,"Medium","Low"))</f>
        <v>Low</v>
      </c>
    </row>
    <row r="26" customFormat="false" ht="15" hidden="false" customHeight="true" outlineLevel="0" collapsed="false">
      <c r="A26" s="2" t="n">
        <f aca="false">'Raw Data'!H26</f>
        <v>25</v>
      </c>
      <c r="B26" s="2" t="n">
        <f aca="false">'Raw Data'!A26</f>
        <v>29</v>
      </c>
      <c r="C26" s="2" t="str">
        <f aca="false">'Raw Data'!D26</f>
        <v>Research &amp; Development</v>
      </c>
      <c r="D26" s="2" t="str">
        <f aca="false">'Raw Data'!K26</f>
        <v>Laboratory Technician</v>
      </c>
      <c r="E26" s="2" t="n">
        <f aca="false">'Raw Data'!Q26</f>
        <v>10</v>
      </c>
      <c r="F26" s="2" t="n">
        <f aca="false">'Raw Data'!U26</f>
        <v>9</v>
      </c>
      <c r="G26" s="2" t="n">
        <f aca="false">'Raw Data'!W26</f>
        <v>4</v>
      </c>
      <c r="H26" s="2" t="n">
        <f aca="false">'Raw Data'!V26</f>
        <v>2</v>
      </c>
      <c r="I26" s="2" t="n">
        <f aca="false">IF(AND(ISNUMBER(B26),B26&lt;=25),2,0)+IF(AND(ISNUMBER(E26),E26&lt;=5),2,0)+IF(AND(ISNUMBER(F26),F26&lt;=1),2,0)+IF(AND(ISNUMBER(G26),G26&lt;=2),1,0)+IF(AND(ISNUMBER(H26),H26&lt;=2),1,0)</f>
        <v>1</v>
      </c>
      <c r="J26" s="2" t="str">
        <f aca="false">IF(I26&gt;=6,"High",IF(I26&gt;=3,"Medium","Low"))</f>
        <v>Low</v>
      </c>
    </row>
    <row r="27" customFormat="false" ht="15" hidden="false" customHeight="true" outlineLevel="0" collapsed="false">
      <c r="A27" s="2" t="n">
        <f aca="false">'Raw Data'!H27</f>
        <v>26</v>
      </c>
      <c r="B27" s="2" t="n">
        <f aca="false">'Raw Data'!A27</f>
        <v>55</v>
      </c>
      <c r="C27" s="2" t="str">
        <f aca="false">'Raw Data'!D27</f>
        <v>Research &amp; Development</v>
      </c>
      <c r="D27" s="2" t="str">
        <f aca="false">'Raw Data'!K27</f>
        <v>Research Scientist</v>
      </c>
      <c r="E27" s="2" t="n">
        <f aca="false">'Raw Data'!Q27</f>
        <v>12</v>
      </c>
      <c r="F27" s="2" t="n">
        <f aca="false">'Raw Data'!U27</f>
        <v>8</v>
      </c>
      <c r="G27" s="2" t="n">
        <f aca="false">'Raw Data'!W27</f>
        <v>4</v>
      </c>
      <c r="H27" s="2" t="n">
        <f aca="false">'Raw Data'!V27</f>
        <v>2</v>
      </c>
      <c r="I27" s="2" t="n">
        <f aca="false">IF(AND(ISNUMBER(B27),B27&lt;=25),2,0)+IF(AND(ISNUMBER(E27),E27&lt;=5),2,0)+IF(AND(ISNUMBER(F27),F27&lt;=1),2,0)+IF(AND(ISNUMBER(G27),G27&lt;=2),1,0)+IF(AND(ISNUMBER(H27),H27&lt;=2),1,0)</f>
        <v>1</v>
      </c>
      <c r="J27" s="2" t="str">
        <f aca="false">IF(I27&gt;=6,"High",IF(I27&gt;=3,"Medium","Low"))</f>
        <v>Low</v>
      </c>
    </row>
    <row r="28" customFormat="false" ht="15" hidden="false" customHeight="true" outlineLevel="0" collapsed="false">
      <c r="A28" s="2" t="n">
        <f aca="false">'Raw Data'!H28</f>
        <v>27</v>
      </c>
      <c r="B28" s="2" t="n">
        <f aca="false">'Raw Data'!A28</f>
        <v>26</v>
      </c>
      <c r="C28" s="2" t="str">
        <f aca="false">'Raw Data'!D28</f>
        <v>Research &amp; Development</v>
      </c>
      <c r="D28" s="2" t="str">
        <f aca="false">'Raw Data'!K28</f>
        <v>Manager</v>
      </c>
      <c r="E28" s="2" t="n">
        <f aca="false">'Raw Data'!Q28</f>
        <v>5</v>
      </c>
      <c r="F28" s="2" t="n">
        <f aca="false">'Raw Data'!U28</f>
        <v>3</v>
      </c>
      <c r="G28" s="2" t="n">
        <f aca="false">'Raw Data'!W28</f>
        <v>1</v>
      </c>
      <c r="H28" s="2" t="n">
        <f aca="false">'Raw Data'!V28</f>
        <v>1</v>
      </c>
      <c r="I28" s="2" t="n">
        <f aca="false">IF(AND(ISNUMBER(B28),B28&lt;=25),2,0)+IF(AND(ISNUMBER(E28),E28&lt;=5),2,0)+IF(AND(ISNUMBER(F28),F28&lt;=1),2,0)+IF(AND(ISNUMBER(G28),G28&lt;=2),1,0)+IF(AND(ISNUMBER(H28),H28&lt;=2),1,0)</f>
        <v>4</v>
      </c>
      <c r="J28" s="2" t="str">
        <f aca="false">IF(I28&gt;=6,"High",IF(I28&gt;=3,"Medium","Low"))</f>
        <v>Medium</v>
      </c>
    </row>
    <row r="29" customFormat="false" ht="15" hidden="false" customHeight="true" outlineLevel="0" collapsed="false">
      <c r="A29" s="2" t="n">
        <f aca="false">'Raw Data'!H29</f>
        <v>28</v>
      </c>
      <c r="B29" s="2" t="n">
        <f aca="false">'Raw Data'!A29</f>
        <v>37</v>
      </c>
      <c r="C29" s="2" t="str">
        <f aca="false">'Raw Data'!D29</f>
        <v>Sales</v>
      </c>
      <c r="D29" s="2" t="str">
        <f aca="false">'Raw Data'!K29</f>
        <v>Research Scientist</v>
      </c>
      <c r="E29" s="2" t="n">
        <f aca="false">'Raw Data'!Q29</f>
        <v>17</v>
      </c>
      <c r="F29" s="2" t="n">
        <f aca="false">'Raw Data'!U29</f>
        <v>7</v>
      </c>
      <c r="G29" s="2" t="n">
        <f aca="false">'Raw Data'!W29</f>
        <v>4</v>
      </c>
      <c r="H29" s="2" t="n">
        <f aca="false">'Raw Data'!V29</f>
        <v>4</v>
      </c>
      <c r="I29" s="2" t="n">
        <f aca="false">IF(AND(ISNUMBER(B29),B29&lt;=25),2,0)+IF(AND(ISNUMBER(E29),E29&lt;=5),2,0)+IF(AND(ISNUMBER(F29),F29&lt;=1),2,0)+IF(AND(ISNUMBER(G29),G29&lt;=2),1,0)+IF(AND(ISNUMBER(H29),H29&lt;=2),1,0)</f>
        <v>0</v>
      </c>
      <c r="J29" s="2" t="str">
        <f aca="false">IF(I29&gt;=6,"High",IF(I29&gt;=3,"Medium","Low"))</f>
        <v>Low</v>
      </c>
    </row>
    <row r="30" customFormat="false" ht="15" hidden="false" customHeight="true" outlineLevel="0" collapsed="false">
      <c r="A30" s="2" t="n">
        <f aca="false">'Raw Data'!H30</f>
        <v>29</v>
      </c>
      <c r="B30" s="2" t="n">
        <f aca="false">'Raw Data'!A30</f>
        <v>44</v>
      </c>
      <c r="C30" s="2" t="str">
        <f aca="false">'Raw Data'!D30</f>
        <v>Research &amp; Development</v>
      </c>
      <c r="D30" s="2" t="str">
        <f aca="false">'Raw Data'!K30</f>
        <v>Research Scientist</v>
      </c>
      <c r="E30" s="2" t="n">
        <f aca="false">'Raw Data'!Q30</f>
        <v>19</v>
      </c>
      <c r="F30" s="2" t="n">
        <f aca="false">'Raw Data'!U30</f>
        <v>0</v>
      </c>
      <c r="G30" s="2" t="n">
        <f aca="false">'Raw Data'!W30</f>
        <v>3</v>
      </c>
      <c r="H30" s="2" t="n">
        <f aca="false">'Raw Data'!V30</f>
        <v>4</v>
      </c>
      <c r="I30" s="2" t="n">
        <f aca="false">IF(AND(ISNUMBER(B30),B30&lt;=25),2,0)+IF(AND(ISNUMBER(E30),E30&lt;=5),2,0)+IF(AND(ISNUMBER(F30),F30&lt;=1),2,0)+IF(AND(ISNUMBER(G30),G30&lt;=2),1,0)+IF(AND(ISNUMBER(H30),H30&lt;=2),1,0)</f>
        <v>2</v>
      </c>
      <c r="J30" s="2" t="str">
        <f aca="false">IF(I30&gt;=6,"High",IF(I30&gt;=3,"Medium","Low"))</f>
        <v>Low</v>
      </c>
    </row>
    <row r="31" customFormat="false" ht="15" hidden="false" customHeight="true" outlineLevel="0" collapsed="false">
      <c r="A31" s="2" t="n">
        <f aca="false">'Raw Data'!H31</f>
        <v>30</v>
      </c>
      <c r="B31" s="2" t="n">
        <f aca="false">'Raw Data'!A31</f>
        <v>38</v>
      </c>
      <c r="C31" s="2" t="str">
        <f aca="false">'Raw Data'!D31</f>
        <v>Sales</v>
      </c>
      <c r="D31" s="2" t="str">
        <f aca="false">'Raw Data'!K31</f>
        <v>Manager</v>
      </c>
      <c r="E31" s="2" t="n">
        <f aca="false">'Raw Data'!Q31</f>
        <v>10</v>
      </c>
      <c r="F31" s="2" t="n">
        <f aca="false">'Raw Data'!U31</f>
        <v>2</v>
      </c>
      <c r="G31" s="2" t="n">
        <f aca="false">'Raw Data'!W31</f>
        <v>4</v>
      </c>
      <c r="H31" s="2" t="n">
        <f aca="false">'Raw Data'!V31</f>
        <v>4</v>
      </c>
      <c r="I31" s="2" t="n">
        <f aca="false">IF(AND(ISNUMBER(B31),B31&lt;=25),2,0)+IF(AND(ISNUMBER(E31),E31&lt;=5),2,0)+IF(AND(ISNUMBER(F31),F31&lt;=1),2,0)+IF(AND(ISNUMBER(G31),G31&lt;=2),1,0)+IF(AND(ISNUMBER(H31),H31&lt;=2),1,0)</f>
        <v>0</v>
      </c>
      <c r="J31" s="2" t="str">
        <f aca="false">IF(I31&gt;=6,"High",IF(I31&gt;=3,"Medium","Low"))</f>
        <v>Low</v>
      </c>
    </row>
    <row r="32" customFormat="false" ht="15" hidden="false" customHeight="true" outlineLevel="0" collapsed="false">
      <c r="A32" s="2" t="n">
        <f aca="false">'Raw Data'!H32</f>
        <v>31</v>
      </c>
      <c r="B32" s="2" t="n">
        <f aca="false">'Raw Data'!A32</f>
        <v>26</v>
      </c>
      <c r="C32" s="2" t="str">
        <f aca="false">'Raw Data'!D32</f>
        <v>Research &amp; Development</v>
      </c>
      <c r="D32" s="2" t="str">
        <f aca="false">'Raw Data'!K32</f>
        <v>Research Scientist</v>
      </c>
      <c r="E32" s="2" t="n">
        <f aca="false">'Raw Data'!Q32</f>
        <v>5</v>
      </c>
      <c r="F32" s="2" t="n">
        <f aca="false">'Raw Data'!U32</f>
        <v>2</v>
      </c>
      <c r="G32" s="2" t="n">
        <f aca="false">'Raw Data'!W32</f>
        <v>2</v>
      </c>
      <c r="H32" s="2" t="n">
        <f aca="false">'Raw Data'!V32</f>
        <v>1</v>
      </c>
      <c r="I32" s="2" t="n">
        <f aca="false">IF(AND(ISNUMBER(B32),B32&lt;=25),2,0)+IF(AND(ISNUMBER(E32),E32&lt;=5),2,0)+IF(AND(ISNUMBER(F32),F32&lt;=1),2,0)+IF(AND(ISNUMBER(G32),G32&lt;=2),1,0)+IF(AND(ISNUMBER(H32),H32&lt;=2),1,0)</f>
        <v>4</v>
      </c>
      <c r="J32" s="2" t="str">
        <f aca="false">IF(I32&gt;=6,"High",IF(I32&gt;=3,"Medium","Low"))</f>
        <v>Medium</v>
      </c>
    </row>
    <row r="33" customFormat="false" ht="15" hidden="false" customHeight="true" outlineLevel="0" collapsed="false">
      <c r="A33" s="2" t="n">
        <f aca="false">'Raw Data'!H33</f>
        <v>32</v>
      </c>
      <c r="B33" s="2" t="n">
        <f aca="false">'Raw Data'!A33</f>
        <v>28</v>
      </c>
      <c r="C33" s="2" t="str">
        <f aca="false">'Raw Data'!D33</f>
        <v>Research &amp; Development</v>
      </c>
      <c r="D33" s="2" t="str">
        <f aca="false">'Raw Data'!K33</f>
        <v>Human Resources</v>
      </c>
      <c r="E33" s="2" t="n">
        <f aca="false">'Raw Data'!Q33</f>
        <v>5</v>
      </c>
      <c r="F33" s="2" t="n">
        <f aca="false">'Raw Data'!U33</f>
        <v>2</v>
      </c>
      <c r="G33" s="2" t="n">
        <f aca="false">'Raw Data'!W33</f>
        <v>4</v>
      </c>
      <c r="H33" s="2" t="n">
        <f aca="false">'Raw Data'!V33</f>
        <v>4</v>
      </c>
      <c r="I33" s="2" t="n">
        <f aca="false">IF(AND(ISNUMBER(B33),B33&lt;=25),2,0)+IF(AND(ISNUMBER(E33),E33&lt;=5),2,0)+IF(AND(ISNUMBER(F33),F33&lt;=1),2,0)+IF(AND(ISNUMBER(G33),G33&lt;=2),1,0)+IF(AND(ISNUMBER(H33),H33&lt;=2),1,0)</f>
        <v>2</v>
      </c>
      <c r="J33" s="2" t="str">
        <f aca="false">IF(I33&gt;=6,"High",IF(I33&gt;=3,"Medium","Low"))</f>
        <v>Low</v>
      </c>
    </row>
    <row r="34" customFormat="false" ht="15" hidden="false" customHeight="true" outlineLevel="0" collapsed="false">
      <c r="A34" s="2" t="n">
        <f aca="false">'Raw Data'!H34</f>
        <v>33</v>
      </c>
      <c r="B34" s="2" t="n">
        <f aca="false">'Raw Data'!A34</f>
        <v>49</v>
      </c>
      <c r="C34" s="2" t="str">
        <f aca="false">'Raw Data'!D34</f>
        <v>Research &amp; Development</v>
      </c>
      <c r="D34" s="2" t="str">
        <f aca="false">'Raw Data'!K34</f>
        <v>Research Scientist</v>
      </c>
      <c r="E34" s="2" t="n">
        <f aca="false">'Raw Data'!Q34</f>
        <v>22</v>
      </c>
      <c r="F34" s="2" t="n">
        <f aca="false">'Raw Data'!U34</f>
        <v>2</v>
      </c>
      <c r="G34" s="2" t="n">
        <f aca="false">'Raw Data'!W34</f>
        <v>1</v>
      </c>
      <c r="H34" s="2" t="n">
        <f aca="false">'Raw Data'!V34</f>
        <v>3</v>
      </c>
      <c r="I34" s="2" t="n">
        <f aca="false">IF(AND(ISNUMBER(B34),B34&lt;=25),2,0)+IF(AND(ISNUMBER(E34),E34&lt;=5),2,0)+IF(AND(ISNUMBER(F34),F34&lt;=1),2,0)+IF(AND(ISNUMBER(G34),G34&lt;=2),1,0)+IF(AND(ISNUMBER(H34),H34&lt;=2),1,0)</f>
        <v>1</v>
      </c>
      <c r="J34" s="2" t="str">
        <f aca="false">IF(I34&gt;=6,"High",IF(I34&gt;=3,"Medium","Low"))</f>
        <v>Low</v>
      </c>
    </row>
    <row r="35" customFormat="false" ht="15" hidden="false" customHeight="true" outlineLevel="0" collapsed="false">
      <c r="A35" s="2" t="n">
        <f aca="false">'Raw Data'!H35</f>
        <v>34</v>
      </c>
      <c r="B35" s="2" t="n">
        <f aca="false">'Raw Data'!A35</f>
        <v>36</v>
      </c>
      <c r="C35" s="2" t="str">
        <f aca="false">'Raw Data'!D35</f>
        <v>Sales</v>
      </c>
      <c r="D35" s="2" t="str">
        <f aca="false">'Raw Data'!K35</f>
        <v>Sales Executive</v>
      </c>
      <c r="E35" s="2" t="n">
        <f aca="false">'Raw Data'!Q35</f>
        <v>10</v>
      </c>
      <c r="F35" s="2" t="n">
        <f aca="false">'Raw Data'!U35</f>
        <v>7</v>
      </c>
      <c r="G35" s="2" t="n">
        <f aca="false">'Raw Data'!W35</f>
        <v>2</v>
      </c>
      <c r="H35" s="2" t="n">
        <f aca="false">'Raw Data'!V35</f>
        <v>3</v>
      </c>
      <c r="I35" s="2" t="n">
        <f aca="false">IF(AND(ISNUMBER(B35),B35&lt;=25),2,0)+IF(AND(ISNUMBER(E35),E35&lt;=5),2,0)+IF(AND(ISNUMBER(F35),F35&lt;=1),2,0)+IF(AND(ISNUMBER(G35),G35&lt;=2),1,0)+IF(AND(ISNUMBER(H35),H35&lt;=2),1,0)</f>
        <v>1</v>
      </c>
      <c r="J35" s="2" t="str">
        <f aca="false">IF(I35&gt;=6,"High",IF(I35&gt;=3,"Medium","Low"))</f>
        <v>Low</v>
      </c>
    </row>
    <row r="36" customFormat="false" ht="15" hidden="false" customHeight="true" outlineLevel="0" collapsed="false">
      <c r="A36" s="2" t="n">
        <f aca="false">'Raw Data'!H36</f>
        <v>35</v>
      </c>
      <c r="B36" s="2" t="n">
        <f aca="false">'Raw Data'!A36</f>
        <v>31</v>
      </c>
      <c r="C36" s="2" t="str">
        <f aca="false">'Raw Data'!D36</f>
        <v>Research &amp; Development</v>
      </c>
      <c r="D36" s="2" t="str">
        <f aca="false">'Raw Data'!K36</f>
        <v>Sales Executive</v>
      </c>
      <c r="E36" s="2" t="n">
        <f aca="false">'Raw Data'!Q36</f>
        <v>2</v>
      </c>
      <c r="F36" s="2" t="n">
        <f aca="false">'Raw Data'!U36</f>
        <v>2</v>
      </c>
      <c r="G36" s="2" t="n">
        <f aca="false">'Raw Data'!W36</f>
        <v>2</v>
      </c>
      <c r="H36" s="2" t="n">
        <f aca="false">'Raw Data'!V36</f>
        <v>4</v>
      </c>
      <c r="I36" s="2" t="n">
        <f aca="false">IF(AND(ISNUMBER(B36),B36&lt;=25),2,0)+IF(AND(ISNUMBER(E36),E36&lt;=5),2,0)+IF(AND(ISNUMBER(F36),F36&lt;=1),2,0)+IF(AND(ISNUMBER(G36),G36&lt;=2),1,0)+IF(AND(ISNUMBER(H36),H36&lt;=2),1,0)</f>
        <v>3</v>
      </c>
      <c r="J36" s="2" t="str">
        <f aca="false">IF(I36&gt;=6,"High",IF(I36&gt;=3,"Medium","Low"))</f>
        <v>Medium</v>
      </c>
    </row>
    <row r="37" customFormat="false" ht="15" hidden="false" customHeight="true" outlineLevel="0" collapsed="false">
      <c r="A37" s="2" t="n">
        <f aca="false">'Raw Data'!H37</f>
        <v>36</v>
      </c>
      <c r="B37" s="2" t="n">
        <f aca="false">'Raw Data'!A37</f>
        <v>26</v>
      </c>
      <c r="C37" s="2" t="str">
        <f aca="false">'Raw Data'!D37</f>
        <v>Research &amp; Development</v>
      </c>
      <c r="D37" s="2" t="str">
        <f aca="false">'Raw Data'!K37</f>
        <v>Manager</v>
      </c>
      <c r="E37" s="2" t="n">
        <f aca="false">'Raw Data'!Q37</f>
        <v>8</v>
      </c>
      <c r="F37" s="2" t="n">
        <f aca="false">'Raw Data'!U37</f>
        <v>4</v>
      </c>
      <c r="G37" s="2" t="n">
        <f aca="false">'Raw Data'!W37</f>
        <v>4</v>
      </c>
      <c r="H37" s="2" t="n">
        <f aca="false">'Raw Data'!V37</f>
        <v>4</v>
      </c>
      <c r="I37" s="2" t="n">
        <f aca="false">IF(AND(ISNUMBER(B37),B37&lt;=25),2,0)+IF(AND(ISNUMBER(E37),E37&lt;=5),2,0)+IF(AND(ISNUMBER(F37),F37&lt;=1),2,0)+IF(AND(ISNUMBER(G37),G37&lt;=2),1,0)+IF(AND(ISNUMBER(H37),H37&lt;=2),1,0)</f>
        <v>0</v>
      </c>
      <c r="J37" s="2" t="str">
        <f aca="false">IF(I37&gt;=6,"High",IF(I37&gt;=3,"Medium","Low"))</f>
        <v>Low</v>
      </c>
    </row>
    <row r="38" customFormat="false" ht="15" hidden="false" customHeight="true" outlineLevel="0" collapsed="false">
      <c r="A38" s="2" t="n">
        <f aca="false">'Raw Data'!H38</f>
        <v>37</v>
      </c>
      <c r="B38" s="2" t="n">
        <f aca="false">'Raw Data'!A38</f>
        <v>37</v>
      </c>
      <c r="C38" s="2" t="str">
        <f aca="false">'Raw Data'!D38</f>
        <v>Sales</v>
      </c>
      <c r="D38" s="2" t="str">
        <f aca="false">'Raw Data'!K38</f>
        <v>Laboratory Technician</v>
      </c>
      <c r="E38" s="2" t="n">
        <f aca="false">'Raw Data'!Q38</f>
        <v>4</v>
      </c>
      <c r="F38" s="2" t="n">
        <f aca="false">'Raw Data'!U38</f>
        <v>2</v>
      </c>
      <c r="G38" s="2" t="n">
        <f aca="false">'Raw Data'!W38</f>
        <v>4</v>
      </c>
      <c r="H38" s="2" t="n">
        <f aca="false">'Raw Data'!V38</f>
        <v>2</v>
      </c>
      <c r="I38" s="2" t="n">
        <f aca="false">IF(AND(ISNUMBER(B38),B38&lt;=25),2,0)+IF(AND(ISNUMBER(E38),E38&lt;=5),2,0)+IF(AND(ISNUMBER(F38),F38&lt;=1),2,0)+IF(AND(ISNUMBER(G38),G38&lt;=2),1,0)+IF(AND(ISNUMBER(H38),H38&lt;=2),1,0)</f>
        <v>3</v>
      </c>
      <c r="J38" s="2" t="str">
        <f aca="false">IF(I38&gt;=6,"High",IF(I38&gt;=3,"Medium","Low"))</f>
        <v>Medium</v>
      </c>
    </row>
    <row r="39" customFormat="false" ht="15" hidden="false" customHeight="true" outlineLevel="0" collapsed="false">
      <c r="A39" s="2" t="n">
        <f aca="false">'Raw Data'!H39</f>
        <v>38</v>
      </c>
      <c r="B39" s="2" t="n">
        <f aca="false">'Raw Data'!A39</f>
        <v>42</v>
      </c>
      <c r="C39" s="2" t="str">
        <f aca="false">'Raw Data'!D39</f>
        <v>Sales</v>
      </c>
      <c r="D39" s="2" t="str">
        <f aca="false">'Raw Data'!K39</f>
        <v>Research Director</v>
      </c>
      <c r="E39" s="2" t="n">
        <f aca="false">'Raw Data'!Q39</f>
        <v>23</v>
      </c>
      <c r="F39" s="2" t="n">
        <f aca="false">'Raw Data'!U39</f>
        <v>8</v>
      </c>
      <c r="G39" s="2" t="n">
        <f aca="false">'Raw Data'!W39</f>
        <v>2</v>
      </c>
      <c r="H39" s="2" t="n">
        <f aca="false">'Raw Data'!V39</f>
        <v>3</v>
      </c>
      <c r="I39" s="2" t="n">
        <f aca="false">IF(AND(ISNUMBER(B39),B39&lt;=25),2,0)+IF(AND(ISNUMBER(E39),E39&lt;=5),2,0)+IF(AND(ISNUMBER(F39),F39&lt;=1),2,0)+IF(AND(ISNUMBER(G39),G39&lt;=2),1,0)+IF(AND(ISNUMBER(H39),H39&lt;=2),1,0)</f>
        <v>1</v>
      </c>
      <c r="J39" s="2" t="str">
        <f aca="false">IF(I39&gt;=6,"High",IF(I39&gt;=3,"Medium","Low"))</f>
        <v>Low</v>
      </c>
    </row>
    <row r="40" customFormat="false" ht="15" hidden="false" customHeight="true" outlineLevel="0" collapsed="false">
      <c r="A40" s="2" t="n">
        <f aca="false">'Raw Data'!H40</f>
        <v>39</v>
      </c>
      <c r="B40" s="2" t="n">
        <f aca="false">'Raw Data'!A40</f>
        <v>18</v>
      </c>
      <c r="C40" s="2" t="str">
        <f aca="false">'Raw Data'!D40</f>
        <v>Research &amp; Development</v>
      </c>
      <c r="D40" s="2" t="str">
        <f aca="false">'Raw Data'!K40</f>
        <v>Sales Executive</v>
      </c>
      <c r="E40" s="2" t="n">
        <f aca="false">'Raw Data'!Q40</f>
        <v>0</v>
      </c>
      <c r="F40" s="2" t="n">
        <f aca="false">'Raw Data'!U40</f>
        <v>0</v>
      </c>
      <c r="G40" s="2" t="n">
        <f aca="false">'Raw Data'!W40</f>
        <v>3</v>
      </c>
      <c r="H40" s="2" t="n">
        <f aca="false">'Raw Data'!V40</f>
        <v>3</v>
      </c>
      <c r="I40" s="2" t="n">
        <f aca="false">IF(AND(ISNUMBER(B40),B40&lt;=25),2,0)+IF(AND(ISNUMBER(E40),E40&lt;=5),2,0)+IF(AND(ISNUMBER(F40),F40&lt;=1),2,0)+IF(AND(ISNUMBER(G40),G40&lt;=2),1,0)+IF(AND(ISNUMBER(H40),H40&lt;=2),1,0)</f>
        <v>6</v>
      </c>
      <c r="J40" s="2" t="str">
        <f aca="false">IF(I40&gt;=6,"High",IF(I40&gt;=3,"Medium","Low"))</f>
        <v>High</v>
      </c>
    </row>
    <row r="41" customFormat="false" ht="15" hidden="false" customHeight="true" outlineLevel="0" collapsed="false">
      <c r="A41" s="2" t="n">
        <f aca="false">'Raw Data'!H41</f>
        <v>40</v>
      </c>
      <c r="B41" s="2" t="n">
        <f aca="false">'Raw Data'!A41</f>
        <v>35</v>
      </c>
      <c r="C41" s="2" t="str">
        <f aca="false">'Raw Data'!D41</f>
        <v>Sales</v>
      </c>
      <c r="D41" s="2" t="str">
        <f aca="false">'Raw Data'!K41</f>
        <v>Laboratory Technician</v>
      </c>
      <c r="E41" s="2" t="n">
        <f aca="false">'Raw Data'!Q41</f>
        <v>12</v>
      </c>
      <c r="F41" s="2" t="n">
        <f aca="false">'Raw Data'!U41</f>
        <v>9</v>
      </c>
      <c r="G41" s="2" t="n">
        <f aca="false">'Raw Data'!W41</f>
        <v>2</v>
      </c>
      <c r="H41" s="2" t="n">
        <f aca="false">'Raw Data'!V41</f>
        <v>3</v>
      </c>
      <c r="I41" s="2" t="n">
        <f aca="false">IF(AND(ISNUMBER(B41),B41&lt;=25),2,0)+IF(AND(ISNUMBER(E41),E41&lt;=5),2,0)+IF(AND(ISNUMBER(F41),F41&lt;=1),2,0)+IF(AND(ISNUMBER(G41),G41&lt;=2),1,0)+IF(AND(ISNUMBER(H41),H41&lt;=2),1,0)</f>
        <v>1</v>
      </c>
      <c r="J41" s="2" t="str">
        <f aca="false">IF(I41&gt;=6,"High",IF(I41&gt;=3,"Medium","Low"))</f>
        <v>Low</v>
      </c>
    </row>
    <row r="42" customFormat="false" ht="15" hidden="false" customHeight="true" outlineLevel="0" collapsed="false">
      <c r="A42" s="2" t="n">
        <f aca="false">'Raw Data'!H42</f>
        <v>41</v>
      </c>
      <c r="B42" s="2" t="n">
        <f aca="false">'Raw Data'!A42</f>
        <v>36</v>
      </c>
      <c r="C42" s="2" t="str">
        <f aca="false">'Raw Data'!D42</f>
        <v>Research &amp; Development</v>
      </c>
      <c r="D42" s="2" t="str">
        <f aca="false">'Raw Data'!K42</f>
        <v>Sales Executive</v>
      </c>
      <c r="E42" s="2" t="n">
        <f aca="false">'Raw Data'!Q42</f>
        <v>4</v>
      </c>
      <c r="F42" s="2" t="n">
        <f aca="false">'Raw Data'!U42</f>
        <v>0</v>
      </c>
      <c r="G42" s="2" t="n">
        <f aca="false">'Raw Data'!W42</f>
        <v>0</v>
      </c>
      <c r="H42" s="2" t="n">
        <f aca="false">'Raw Data'!V42</f>
        <v>3</v>
      </c>
      <c r="I42" s="2" t="n">
        <f aca="false">IF(AND(ISNUMBER(B42),B42&lt;=25),2,0)+IF(AND(ISNUMBER(E42),E42&lt;=5),2,0)+IF(AND(ISNUMBER(F42),F42&lt;=1),2,0)+IF(AND(ISNUMBER(G42),G42&lt;=2),1,0)+IF(AND(ISNUMBER(H42),H42&lt;=2),1,0)</f>
        <v>4</v>
      </c>
      <c r="J42" s="2" t="str">
        <f aca="false">IF(I42&gt;=6,"High",IF(I42&gt;=3,"Medium","Low"))</f>
        <v>Medium</v>
      </c>
    </row>
    <row r="43" customFormat="false" ht="15" hidden="false" customHeight="true" outlineLevel="0" collapsed="false">
      <c r="A43" s="2" t="n">
        <f aca="false">'Raw Data'!H43</f>
        <v>42</v>
      </c>
      <c r="B43" s="2" t="n">
        <f aca="false">'Raw Data'!A43</f>
        <v>51</v>
      </c>
      <c r="C43" s="2" t="str">
        <f aca="false">'Raw Data'!D43</f>
        <v>Research &amp; Development</v>
      </c>
      <c r="D43" s="2" t="str">
        <f aca="false">'Raw Data'!K43</f>
        <v>Laboratory Technician</v>
      </c>
      <c r="E43" s="2" t="n">
        <f aca="false">'Raw Data'!Q43</f>
        <v>13</v>
      </c>
      <c r="F43" s="2" t="n">
        <f aca="false">'Raw Data'!U43</f>
        <v>2</v>
      </c>
      <c r="G43" s="2" t="n">
        <f aca="false">'Raw Data'!W43</f>
        <v>2</v>
      </c>
      <c r="H43" s="2" t="n">
        <f aca="false">'Raw Data'!V43</f>
        <v>4</v>
      </c>
      <c r="I43" s="2" t="n">
        <f aca="false">IF(AND(ISNUMBER(B43),B43&lt;=25),2,0)+IF(AND(ISNUMBER(E43),E43&lt;=5),2,0)+IF(AND(ISNUMBER(F43),F43&lt;=1),2,0)+IF(AND(ISNUMBER(G43),G43&lt;=2),1,0)+IF(AND(ISNUMBER(H43),H43&lt;=2),1,0)</f>
        <v>1</v>
      </c>
      <c r="J43" s="2" t="str">
        <f aca="false">IF(I43&gt;=6,"High",IF(I43&gt;=3,"Medium","Low"))</f>
        <v>Low</v>
      </c>
    </row>
    <row r="44" customFormat="false" ht="15" hidden="false" customHeight="true" outlineLevel="0" collapsed="false">
      <c r="A44" s="2" t="n">
        <f aca="false">'Raw Data'!H44</f>
        <v>43</v>
      </c>
      <c r="B44" s="2" t="n">
        <f aca="false">'Raw Data'!A44</f>
        <v>41</v>
      </c>
      <c r="C44" s="2" t="str">
        <f aca="false">'Raw Data'!D44</f>
        <v>Research &amp; Development</v>
      </c>
      <c r="D44" s="2" t="str">
        <f aca="false">'Raw Data'!K44</f>
        <v>Laboratory Technician</v>
      </c>
      <c r="E44" s="2" t="n">
        <f aca="false">'Raw Data'!Q44</f>
        <v>22</v>
      </c>
      <c r="F44" s="2" t="n">
        <f aca="false">'Raw Data'!U44</f>
        <v>4</v>
      </c>
      <c r="G44" s="2" t="n">
        <f aca="false">'Raw Data'!W44</f>
        <v>2</v>
      </c>
      <c r="H44" s="2" t="n">
        <f aca="false">'Raw Data'!V44</f>
        <v>4</v>
      </c>
      <c r="I44" s="2" t="n">
        <f aca="false">IF(AND(ISNUMBER(B44),B44&lt;=25),2,0)+IF(AND(ISNUMBER(E44),E44&lt;=5),2,0)+IF(AND(ISNUMBER(F44),F44&lt;=1),2,0)+IF(AND(ISNUMBER(G44),G44&lt;=2),1,0)+IF(AND(ISNUMBER(H44),H44&lt;=2),1,0)</f>
        <v>1</v>
      </c>
      <c r="J44" s="2" t="str">
        <f aca="false">IF(I44&gt;=6,"High",IF(I44&gt;=3,"Medium","Low"))</f>
        <v>Low</v>
      </c>
    </row>
    <row r="45" customFormat="false" ht="15" hidden="false" customHeight="true" outlineLevel="0" collapsed="false">
      <c r="A45" s="2" t="n">
        <f aca="false">'Raw Data'!H45</f>
        <v>44</v>
      </c>
      <c r="B45" s="2" t="n">
        <f aca="false">'Raw Data'!A45</f>
        <v>18</v>
      </c>
      <c r="C45" s="2" t="str">
        <f aca="false">'Raw Data'!D45</f>
        <v>Sales</v>
      </c>
      <c r="D45" s="2" t="str">
        <f aca="false">'Raw Data'!K45</f>
        <v>Research Scientist</v>
      </c>
      <c r="E45" s="2" t="n">
        <f aca="false">'Raw Data'!Q45</f>
        <v>0</v>
      </c>
      <c r="F45" s="2" t="n">
        <f aca="false">'Raw Data'!U45</f>
        <v>0</v>
      </c>
      <c r="G45" s="2" t="n">
        <f aca="false">'Raw Data'!W45</f>
        <v>3</v>
      </c>
      <c r="H45" s="2" t="n">
        <f aca="false">'Raw Data'!V45</f>
        <v>4</v>
      </c>
      <c r="I45" s="2" t="n">
        <f aca="false">IF(AND(ISNUMBER(B45),B45&lt;=25),2,0)+IF(AND(ISNUMBER(E45),E45&lt;=5),2,0)+IF(AND(ISNUMBER(F45),F45&lt;=1),2,0)+IF(AND(ISNUMBER(G45),G45&lt;=2),1,0)+IF(AND(ISNUMBER(H45),H45&lt;=2),1,0)</f>
        <v>6</v>
      </c>
      <c r="J45" s="2" t="str">
        <f aca="false">IF(I45&gt;=6,"High",IF(I45&gt;=3,"Medium","Low"))</f>
        <v>High</v>
      </c>
    </row>
    <row r="46" customFormat="false" ht="15" hidden="false" customHeight="true" outlineLevel="0" collapsed="false">
      <c r="A46" s="2" t="n">
        <f aca="false">'Raw Data'!H46</f>
        <v>45</v>
      </c>
      <c r="B46" s="2" t="n">
        <f aca="false">'Raw Data'!A46</f>
        <v>28</v>
      </c>
      <c r="C46" s="2" t="str">
        <f aca="false">'Raw Data'!D46</f>
        <v>Research &amp; Development</v>
      </c>
      <c r="D46" s="2" t="str">
        <f aca="false">'Raw Data'!K46</f>
        <v>Sales Representative</v>
      </c>
      <c r="E46" s="2" t="n">
        <f aca="false">'Raw Data'!Q46</f>
        <v>9</v>
      </c>
      <c r="F46" s="2" t="n">
        <f aca="false">'Raw Data'!U46</f>
        <v>7</v>
      </c>
      <c r="G46" s="2" t="n">
        <f aca="false">'Raw Data'!W46</f>
        <v>1</v>
      </c>
      <c r="H46" s="2" t="n">
        <f aca="false">'Raw Data'!V46</f>
        <v>2</v>
      </c>
      <c r="I46" s="2" t="n">
        <f aca="false">IF(AND(ISNUMBER(B46),B46&lt;=25),2,0)+IF(AND(ISNUMBER(E46),E46&lt;=5),2,0)+IF(AND(ISNUMBER(F46),F46&lt;=1),2,0)+IF(AND(ISNUMBER(G46),G46&lt;=2),1,0)+IF(AND(ISNUMBER(H46),H46&lt;=2),1,0)</f>
        <v>2</v>
      </c>
      <c r="J46" s="2" t="str">
        <f aca="false">IF(I46&gt;=6,"High",IF(I46&gt;=3,"Medium","Low"))</f>
        <v>Low</v>
      </c>
    </row>
    <row r="47" customFormat="false" ht="15" hidden="false" customHeight="true" outlineLevel="0" collapsed="false">
      <c r="A47" s="2" t="n">
        <f aca="false">'Raw Data'!H47</f>
        <v>46</v>
      </c>
      <c r="B47" s="2" t="n">
        <f aca="false">'Raw Data'!A47</f>
        <v>31</v>
      </c>
      <c r="C47" s="2" t="str">
        <f aca="false">'Raw Data'!D47</f>
        <v>Research &amp; Development</v>
      </c>
      <c r="D47" s="2" t="str">
        <f aca="false">'Raw Data'!K47</f>
        <v>Manufacturing Director</v>
      </c>
      <c r="E47" s="2" t="n">
        <f aca="false">'Raw Data'!Q47</f>
        <v>10</v>
      </c>
      <c r="F47" s="2" t="n">
        <f aca="false">'Raw Data'!U47</f>
        <v>7</v>
      </c>
      <c r="G47" s="2" t="n">
        <f aca="false">'Raw Data'!W47</f>
        <v>4</v>
      </c>
      <c r="H47" s="2" t="n">
        <f aca="false">'Raw Data'!V47</f>
        <v>2</v>
      </c>
      <c r="I47" s="2" t="n">
        <f aca="false">IF(AND(ISNUMBER(B47),B47&lt;=25),2,0)+IF(AND(ISNUMBER(E47),E47&lt;=5),2,0)+IF(AND(ISNUMBER(F47),F47&lt;=1),2,0)+IF(AND(ISNUMBER(G47),G47&lt;=2),1,0)+IF(AND(ISNUMBER(H47),H47&lt;=2),1,0)</f>
        <v>1</v>
      </c>
      <c r="J47" s="2" t="str">
        <f aca="false">IF(I47&gt;=6,"High",IF(I47&gt;=3,"Medium","Low"))</f>
        <v>Low</v>
      </c>
    </row>
    <row r="48" customFormat="false" ht="15" hidden="false" customHeight="true" outlineLevel="0" collapsed="false">
      <c r="A48" s="2" t="n">
        <f aca="false">'Raw Data'!H48</f>
        <v>47</v>
      </c>
      <c r="B48" s="2" t="n">
        <f aca="false">'Raw Data'!A48</f>
        <v>39</v>
      </c>
      <c r="C48" s="2" t="str">
        <f aca="false">'Raw Data'!D48</f>
        <v>Sales</v>
      </c>
      <c r="D48" s="2" t="str">
        <f aca="false">'Raw Data'!K48</f>
        <v>Human Resources</v>
      </c>
      <c r="E48" s="2" t="n">
        <f aca="false">'Raw Data'!Q48</f>
        <v>19</v>
      </c>
      <c r="F48" s="2" t="n">
        <f aca="false">'Raw Data'!U48</f>
        <v>7</v>
      </c>
      <c r="G48" s="2" t="n">
        <f aca="false">'Raw Data'!W48</f>
        <v>4</v>
      </c>
      <c r="H48" s="2" t="n">
        <f aca="false">'Raw Data'!V48</f>
        <v>3</v>
      </c>
      <c r="I48" s="2" t="n">
        <f aca="false">IF(AND(ISNUMBER(B48),B48&lt;=25),2,0)+IF(AND(ISNUMBER(E48),E48&lt;=5),2,0)+IF(AND(ISNUMBER(F48),F48&lt;=1),2,0)+IF(AND(ISNUMBER(G48),G48&lt;=2),1,0)+IF(AND(ISNUMBER(H48),H48&lt;=2),1,0)</f>
        <v>0</v>
      </c>
      <c r="J48" s="2" t="str">
        <f aca="false">IF(I48&gt;=6,"High",IF(I48&gt;=3,"Medium","Low"))</f>
        <v>Low</v>
      </c>
    </row>
    <row r="49" customFormat="false" ht="15" hidden="false" customHeight="true" outlineLevel="0" collapsed="false">
      <c r="A49" s="2" t="n">
        <f aca="false">'Raw Data'!H49</f>
        <v>48</v>
      </c>
      <c r="B49" s="2" t="n">
        <f aca="false">'Raw Data'!A49</f>
        <v>36</v>
      </c>
      <c r="C49" s="2" t="str">
        <f aca="false">'Raw Data'!D49</f>
        <v>Research &amp; Development</v>
      </c>
      <c r="D49" s="2" t="str">
        <f aca="false">'Raw Data'!K49</f>
        <v>Sales Executive</v>
      </c>
      <c r="E49" s="2" t="n">
        <f aca="false">'Raw Data'!Q49</f>
        <v>11</v>
      </c>
      <c r="F49" s="2" t="n">
        <f aca="false">'Raw Data'!U49</f>
        <v>8</v>
      </c>
      <c r="G49" s="2" t="n">
        <f aca="false">'Raw Data'!W49</f>
        <v>2</v>
      </c>
      <c r="H49" s="2" t="n">
        <f aca="false">'Raw Data'!V49</f>
        <v>2</v>
      </c>
      <c r="I49" s="2" t="n">
        <f aca="false">IF(AND(ISNUMBER(B49),B49&lt;=25),2,0)+IF(AND(ISNUMBER(E49),E49&lt;=5),2,0)+IF(AND(ISNUMBER(F49),F49&lt;=1),2,0)+IF(AND(ISNUMBER(G49),G49&lt;=2),1,0)+IF(AND(ISNUMBER(H49),H49&lt;=2),1,0)</f>
        <v>2</v>
      </c>
      <c r="J49" s="2" t="str">
        <f aca="false">IF(I49&gt;=6,"High",IF(I49&gt;=3,"Medium","Low"))</f>
        <v>Low</v>
      </c>
    </row>
    <row r="50" customFormat="false" ht="15" hidden="false" customHeight="true" outlineLevel="0" collapsed="false">
      <c r="A50" s="2" t="n">
        <f aca="false">'Raw Data'!H50</f>
        <v>49</v>
      </c>
      <c r="B50" s="2" t="n">
        <f aca="false">'Raw Data'!A50</f>
        <v>32</v>
      </c>
      <c r="C50" s="2" t="str">
        <f aca="false">'Raw Data'!D50</f>
        <v>Sales</v>
      </c>
      <c r="D50" s="2" t="str">
        <f aca="false">'Raw Data'!K50</f>
        <v>Laboratory Technician</v>
      </c>
      <c r="E50" s="2" t="n">
        <f aca="false">'Raw Data'!Q50</f>
        <v>13</v>
      </c>
      <c r="F50" s="2" t="n">
        <f aca="false">'Raw Data'!U50</f>
        <v>8</v>
      </c>
      <c r="G50" s="2" t="n">
        <f aca="false">'Raw Data'!W50</f>
        <v>3</v>
      </c>
      <c r="H50" s="2" t="n">
        <f aca="false">'Raw Data'!V50</f>
        <v>4</v>
      </c>
      <c r="I50" s="2" t="n">
        <f aca="false">IF(AND(ISNUMBER(B50),B50&lt;=25),2,0)+IF(AND(ISNUMBER(E50),E50&lt;=5),2,0)+IF(AND(ISNUMBER(F50),F50&lt;=1),2,0)+IF(AND(ISNUMBER(G50),G50&lt;=2),1,0)+IF(AND(ISNUMBER(H50),H50&lt;=2),1,0)</f>
        <v>0</v>
      </c>
      <c r="J50" s="2" t="str">
        <f aca="false">IF(I50&gt;=6,"High",IF(I50&gt;=3,"Medium","Low"))</f>
        <v>Low</v>
      </c>
    </row>
    <row r="51" customFormat="false" ht="15" hidden="false" customHeight="true" outlineLevel="0" collapsed="false">
      <c r="A51" s="2" t="n">
        <f aca="false">'Raw Data'!H51</f>
        <v>50</v>
      </c>
      <c r="B51" s="2" t="n">
        <f aca="false">'Raw Data'!A51</f>
        <v>38</v>
      </c>
      <c r="C51" s="2" t="str">
        <f aca="false">'Raw Data'!D51</f>
        <v>Research &amp; Development</v>
      </c>
      <c r="D51" s="2" t="str">
        <f aca="false">'Raw Data'!K51</f>
        <v>Research Scientist</v>
      </c>
      <c r="E51" s="2" t="n">
        <f aca="false">'Raw Data'!Q51</f>
        <v>19</v>
      </c>
      <c r="F51" s="2" t="n">
        <f aca="false">'Raw Data'!U51</f>
        <v>1</v>
      </c>
      <c r="G51" s="2" t="n">
        <f aca="false">'Raw Data'!W51</f>
        <v>2</v>
      </c>
      <c r="H51" s="2" t="n">
        <f aca="false">'Raw Data'!V51</f>
        <v>1</v>
      </c>
      <c r="I51" s="2" t="n">
        <f aca="false">IF(AND(ISNUMBER(B51),B51&lt;=25),2,0)+IF(AND(ISNUMBER(E51),E51&lt;=5),2,0)+IF(AND(ISNUMBER(F51),F51&lt;=1),2,0)+IF(AND(ISNUMBER(G51),G51&lt;=2),1,0)+IF(AND(ISNUMBER(H51),H51&lt;=2),1,0)</f>
        <v>4</v>
      </c>
      <c r="J51" s="2" t="str">
        <f aca="false">IF(I51&gt;=6,"High",IF(I51&gt;=3,"Medium","Low"))</f>
        <v>Medium</v>
      </c>
    </row>
    <row r="52" customFormat="false" ht="15" hidden="false" customHeight="true" outlineLevel="0" collapsed="false">
      <c r="A52" s="2" t="n">
        <f aca="false">'Raw Data'!H52</f>
        <v>51</v>
      </c>
      <c r="B52" s="2" t="n">
        <f aca="false">'Raw Data'!A52</f>
        <v>58</v>
      </c>
      <c r="C52" s="2" t="str">
        <f aca="false">'Raw Data'!D52</f>
        <v>Research &amp; Development</v>
      </c>
      <c r="D52" s="2" t="str">
        <f aca="false">'Raw Data'!K52</f>
        <v>Manufacturing Director</v>
      </c>
      <c r="E52" s="2" t="n">
        <f aca="false">'Raw Data'!Q52</f>
        <v>12</v>
      </c>
      <c r="F52" s="2" t="n">
        <f aca="false">'Raw Data'!U52</f>
        <v>2</v>
      </c>
      <c r="G52" s="2" t="n">
        <f aca="false">'Raw Data'!W52</f>
        <v>3</v>
      </c>
      <c r="H52" s="2" t="n">
        <f aca="false">'Raw Data'!V52</f>
        <v>4</v>
      </c>
      <c r="I52" s="2" t="n">
        <f aca="false">IF(AND(ISNUMBER(B52),B52&lt;=25),2,0)+IF(AND(ISNUMBER(E52),E52&lt;=5),2,0)+IF(AND(ISNUMBER(F52),F52&lt;=1),2,0)+IF(AND(ISNUMBER(G52),G52&lt;=2),1,0)+IF(AND(ISNUMBER(H52),H52&lt;=2),1,0)</f>
        <v>0</v>
      </c>
      <c r="J52" s="2" t="str">
        <f aca="false">IF(I52&gt;=6,"High",IF(I52&gt;=3,"Medium","Low"))</f>
        <v>Low</v>
      </c>
    </row>
    <row r="53" customFormat="false" ht="15" hidden="false" customHeight="true" outlineLevel="0" collapsed="false">
      <c r="A53" s="2" t="n">
        <f aca="false">'Raw Data'!H53</f>
        <v>52</v>
      </c>
      <c r="B53" s="2" t="n">
        <f aca="false">'Raw Data'!A53</f>
        <v>31</v>
      </c>
      <c r="C53" s="2" t="str">
        <f aca="false">'Raw Data'!D53</f>
        <v>Research &amp; Development</v>
      </c>
      <c r="D53" s="2" t="str">
        <f aca="false">'Raw Data'!K53</f>
        <v>Research Scientist</v>
      </c>
      <c r="E53" s="2" t="n">
        <f aca="false">'Raw Data'!Q53</f>
        <v>6</v>
      </c>
      <c r="F53" s="2" t="n">
        <f aca="false">'Raw Data'!U53</f>
        <v>3</v>
      </c>
      <c r="G53" s="2" t="n">
        <f aca="false">'Raw Data'!W53</f>
        <v>4</v>
      </c>
      <c r="H53" s="2" t="n">
        <f aca="false">'Raw Data'!V53</f>
        <v>3</v>
      </c>
      <c r="I53" s="2" t="n">
        <f aca="false">IF(AND(ISNUMBER(B53),B53&lt;=25),2,0)+IF(AND(ISNUMBER(E53),E53&lt;=5),2,0)+IF(AND(ISNUMBER(F53),F53&lt;=1),2,0)+IF(AND(ISNUMBER(G53),G53&lt;=2),1,0)+IF(AND(ISNUMBER(H53),H53&lt;=2),1,0)</f>
        <v>0</v>
      </c>
      <c r="J53" s="2" t="str">
        <f aca="false">IF(I53&gt;=6,"High",IF(I53&gt;=3,"Medium","Low"))</f>
        <v>Low</v>
      </c>
    </row>
    <row r="54" customFormat="false" ht="15" hidden="false" customHeight="true" outlineLevel="0" collapsed="false">
      <c r="A54" s="2" t="n">
        <f aca="false">'Raw Data'!H54</f>
        <v>53</v>
      </c>
      <c r="B54" s="2" t="n">
        <f aca="false">'Raw Data'!A54</f>
        <v>31</v>
      </c>
      <c r="C54" s="2" t="str">
        <f aca="false">'Raw Data'!D54</f>
        <v>Sales</v>
      </c>
      <c r="D54" s="2" t="str">
        <f aca="false">'Raw Data'!K54</f>
        <v>Sales Executive</v>
      </c>
      <c r="E54" s="2" t="n">
        <f aca="false">'Raw Data'!Q54</f>
        <v>9</v>
      </c>
      <c r="F54" s="2" t="n">
        <f aca="false">'Raw Data'!U54</f>
        <v>0</v>
      </c>
      <c r="G54" s="2" t="n">
        <f aca="false">'Raw Data'!W54</f>
        <v>1</v>
      </c>
      <c r="H54" s="2" t="n">
        <f aca="false">'Raw Data'!V54</f>
        <v>1</v>
      </c>
      <c r="I54" s="2" t="n">
        <f aca="false">IF(AND(ISNUMBER(B54),B54&lt;=25),2,0)+IF(AND(ISNUMBER(E54),E54&lt;=5),2,0)+IF(AND(ISNUMBER(F54),F54&lt;=1),2,0)+IF(AND(ISNUMBER(G54),G54&lt;=2),1,0)+IF(AND(ISNUMBER(H54),H54&lt;=2),1,0)</f>
        <v>4</v>
      </c>
      <c r="J54" s="2" t="str">
        <f aca="false">IF(I54&gt;=6,"High",IF(I54&gt;=3,"Medium","Low"))</f>
        <v>Medium</v>
      </c>
    </row>
    <row r="55" customFormat="false" ht="15" hidden="false" customHeight="true" outlineLevel="0" collapsed="false">
      <c r="A55" s="2" t="n">
        <f aca="false">'Raw Data'!H55</f>
        <v>54</v>
      </c>
      <c r="B55" s="2" t="n">
        <f aca="false">'Raw Data'!A55</f>
        <v>45</v>
      </c>
      <c r="C55" s="2" t="str">
        <f aca="false">'Raw Data'!D55</f>
        <v>Research &amp; Development</v>
      </c>
      <c r="D55" s="2" t="str">
        <f aca="false">'Raw Data'!K55</f>
        <v>Sales Executive</v>
      </c>
      <c r="E55" s="2" t="n">
        <f aca="false">'Raw Data'!Q55</f>
        <v>24</v>
      </c>
      <c r="F55" s="2" t="n">
        <f aca="false">'Raw Data'!U55</f>
        <v>11</v>
      </c>
      <c r="G55" s="2" t="n">
        <f aca="false">'Raw Data'!W55</f>
        <v>1</v>
      </c>
      <c r="H55" s="2" t="n">
        <f aca="false">'Raw Data'!V55</f>
        <v>1</v>
      </c>
      <c r="I55" s="2" t="n">
        <f aca="false">IF(AND(ISNUMBER(B55),B55&lt;=25),2,0)+IF(AND(ISNUMBER(E55),E55&lt;=5),2,0)+IF(AND(ISNUMBER(F55),F55&lt;=1),2,0)+IF(AND(ISNUMBER(G55),G55&lt;=2),1,0)+IF(AND(ISNUMBER(H55),H55&lt;=2),1,0)</f>
        <v>2</v>
      </c>
      <c r="J55" s="2" t="str">
        <f aca="false">IF(I55&gt;=6,"High",IF(I55&gt;=3,"Medium","Low"))</f>
        <v>Low</v>
      </c>
    </row>
    <row r="56" customFormat="false" ht="15" hidden="false" customHeight="true" outlineLevel="0" collapsed="false">
      <c r="A56" s="2" t="n">
        <f aca="false">'Raw Data'!H56</f>
        <v>55</v>
      </c>
      <c r="B56" s="2" t="n">
        <f aca="false">'Raw Data'!A56</f>
        <v>31</v>
      </c>
      <c r="C56" s="2" t="str">
        <f aca="false">'Raw Data'!D56</f>
        <v>Sales</v>
      </c>
      <c r="D56" s="2" t="str">
        <f aca="false">'Raw Data'!K56</f>
        <v>Research Scientist</v>
      </c>
      <c r="E56" s="2" t="n">
        <f aca="false">'Raw Data'!Q56</f>
        <v>3</v>
      </c>
      <c r="F56" s="2" t="n">
        <f aca="false">'Raw Data'!U56</f>
        <v>2</v>
      </c>
      <c r="G56" s="2" t="n">
        <f aca="false">'Raw Data'!W56</f>
        <v>4</v>
      </c>
      <c r="H56" s="2" t="n">
        <f aca="false">'Raw Data'!V56</f>
        <v>3</v>
      </c>
      <c r="I56" s="2" t="n">
        <f aca="false">IF(AND(ISNUMBER(B56),B56&lt;=25),2,0)+IF(AND(ISNUMBER(E56),E56&lt;=5),2,0)+IF(AND(ISNUMBER(F56),F56&lt;=1),2,0)+IF(AND(ISNUMBER(G56),G56&lt;=2),1,0)+IF(AND(ISNUMBER(H56),H56&lt;=2),1,0)</f>
        <v>2</v>
      </c>
      <c r="J56" s="2" t="str">
        <f aca="false">IF(I56&gt;=6,"High",IF(I56&gt;=3,"Medium","Low"))</f>
        <v>Low</v>
      </c>
    </row>
    <row r="57" customFormat="false" ht="15" hidden="false" customHeight="true" outlineLevel="0" collapsed="false">
      <c r="A57" s="2" t="n">
        <f aca="false">'Raw Data'!H57</f>
        <v>56</v>
      </c>
      <c r="B57" s="2" t="n">
        <f aca="false">'Raw Data'!A57</f>
        <v>33</v>
      </c>
      <c r="C57" s="2" t="str">
        <f aca="false">'Raw Data'!D57</f>
        <v>Research &amp; Development</v>
      </c>
      <c r="D57" s="2" t="str">
        <f aca="false">'Raw Data'!K57</f>
        <v>Research Director</v>
      </c>
      <c r="E57" s="2" t="n">
        <f aca="false">'Raw Data'!Q57</f>
        <v>12</v>
      </c>
      <c r="F57" s="2" t="n">
        <f aca="false">'Raw Data'!U57</f>
        <v>8</v>
      </c>
      <c r="G57" s="2" t="n">
        <f aca="false">'Raw Data'!W57</f>
        <v>2</v>
      </c>
      <c r="H57" s="2" t="n">
        <f aca="false">'Raw Data'!V57</f>
        <v>4</v>
      </c>
      <c r="I57" s="2" t="n">
        <f aca="false">IF(AND(ISNUMBER(B57),B57&lt;=25),2,0)+IF(AND(ISNUMBER(E57),E57&lt;=5),2,0)+IF(AND(ISNUMBER(F57),F57&lt;=1),2,0)+IF(AND(ISNUMBER(G57),G57&lt;=2),1,0)+IF(AND(ISNUMBER(H57),H57&lt;=2),1,0)</f>
        <v>1</v>
      </c>
      <c r="J57" s="2" t="str">
        <f aca="false">IF(I57&gt;=6,"High",IF(I57&gt;=3,"Medium","Low"))</f>
        <v>Low</v>
      </c>
    </row>
    <row r="58" customFormat="false" ht="15" hidden="false" customHeight="true" outlineLevel="0" collapsed="false">
      <c r="A58" s="2" t="n">
        <f aca="false">'Raw Data'!H58</f>
        <v>57</v>
      </c>
      <c r="B58" s="2" t="n">
        <f aca="false">'Raw Data'!A58</f>
        <v>39</v>
      </c>
      <c r="C58" s="2" t="str">
        <f aca="false">'Raw Data'!D58</f>
        <v>Sales</v>
      </c>
      <c r="D58" s="2" t="str">
        <f aca="false">'Raw Data'!K58</f>
        <v>Sales Executive</v>
      </c>
      <c r="E58" s="2" t="n">
        <f aca="false">'Raw Data'!Q58</f>
        <v>21</v>
      </c>
      <c r="F58" s="2" t="n">
        <f aca="false">'Raw Data'!U58</f>
        <v>10</v>
      </c>
      <c r="G58" s="2" t="n">
        <f aca="false">'Raw Data'!W58</f>
        <v>1</v>
      </c>
      <c r="H58" s="2" t="n">
        <f aca="false">'Raw Data'!V58</f>
        <v>3</v>
      </c>
      <c r="I58" s="2" t="n">
        <f aca="false">IF(AND(ISNUMBER(B58),B58&lt;=25),2,0)+IF(AND(ISNUMBER(E58),E58&lt;=5),2,0)+IF(AND(ISNUMBER(F58),F58&lt;=1),2,0)+IF(AND(ISNUMBER(G58),G58&lt;=2),1,0)+IF(AND(ISNUMBER(H58),H58&lt;=2),1,0)</f>
        <v>1</v>
      </c>
      <c r="J58" s="2" t="str">
        <f aca="false">IF(I58&gt;=6,"High",IF(I58&gt;=3,"Medium","Low"))</f>
        <v>Low</v>
      </c>
    </row>
    <row r="59" customFormat="false" ht="15" hidden="false" customHeight="true" outlineLevel="0" collapsed="false">
      <c r="A59" s="2" t="n">
        <f aca="false">'Raw Data'!H59</f>
        <v>58</v>
      </c>
      <c r="B59" s="2" t="n">
        <f aca="false">'Raw Data'!A59</f>
        <v>43</v>
      </c>
      <c r="C59" s="2" t="str">
        <f aca="false">'Raw Data'!D59</f>
        <v>Research &amp; Development</v>
      </c>
      <c r="D59" s="2" t="str">
        <f aca="false">'Raw Data'!K59</f>
        <v>Research Scientist</v>
      </c>
      <c r="E59" s="2" t="n">
        <f aca="false">'Raw Data'!Q59</f>
        <v>9</v>
      </c>
      <c r="F59" s="2" t="n">
        <f aca="false">'Raw Data'!U59</f>
        <v>7</v>
      </c>
      <c r="G59" s="2" t="n">
        <f aca="false">'Raw Data'!W59</f>
        <v>4</v>
      </c>
      <c r="H59" s="2" t="n">
        <f aca="false">'Raw Data'!V59</f>
        <v>3</v>
      </c>
      <c r="I59" s="2" t="n">
        <f aca="false">IF(AND(ISNUMBER(B59),B59&lt;=25),2,0)+IF(AND(ISNUMBER(E59),E59&lt;=5),2,0)+IF(AND(ISNUMBER(F59),F59&lt;=1),2,0)+IF(AND(ISNUMBER(G59),G59&lt;=2),1,0)+IF(AND(ISNUMBER(H59),H59&lt;=2),1,0)</f>
        <v>0</v>
      </c>
      <c r="J59" s="2" t="str">
        <f aca="false">IF(I59&gt;=6,"High",IF(I59&gt;=3,"Medium","Low"))</f>
        <v>Low</v>
      </c>
    </row>
    <row r="60" customFormat="false" ht="15" hidden="false" customHeight="true" outlineLevel="0" collapsed="false">
      <c r="A60" s="2" t="n">
        <f aca="false">'Raw Data'!H60</f>
        <v>59</v>
      </c>
      <c r="B60" s="2" t="n">
        <f aca="false">'Raw Data'!A60</f>
        <v>49</v>
      </c>
      <c r="C60" s="2" t="str">
        <f aca="false">'Raw Data'!D60</f>
        <v>Research &amp; Development</v>
      </c>
      <c r="D60" s="2" t="str">
        <f aca="false">'Raw Data'!K60</f>
        <v>Manufacturing Director</v>
      </c>
      <c r="E60" s="2" t="n">
        <f aca="false">'Raw Data'!Q60</f>
        <v>25</v>
      </c>
      <c r="F60" s="2" t="n">
        <f aca="false">'Raw Data'!U60</f>
        <v>7</v>
      </c>
      <c r="G60" s="2" t="n">
        <f aca="false">'Raw Data'!W60</f>
        <v>3</v>
      </c>
      <c r="H60" s="2" t="n">
        <f aca="false">'Raw Data'!V60</f>
        <v>3</v>
      </c>
      <c r="I60" s="2" t="n">
        <f aca="false">IF(AND(ISNUMBER(B60),B60&lt;=25),2,0)+IF(AND(ISNUMBER(E60),E60&lt;=5),2,0)+IF(AND(ISNUMBER(F60),F60&lt;=1),2,0)+IF(AND(ISNUMBER(G60),G60&lt;=2),1,0)+IF(AND(ISNUMBER(H60),H60&lt;=2),1,0)</f>
        <v>0</v>
      </c>
      <c r="J60" s="2" t="str">
        <f aca="false">IF(I60&gt;=6,"High",IF(I60&gt;=3,"Medium","Low"))</f>
        <v>Low</v>
      </c>
    </row>
    <row r="61" customFormat="false" ht="15" hidden="false" customHeight="true" outlineLevel="0" collapsed="false">
      <c r="A61" s="2" t="n">
        <f aca="false">'Raw Data'!H61</f>
        <v>60</v>
      </c>
      <c r="B61" s="2" t="n">
        <f aca="false">'Raw Data'!A61</f>
        <v>52</v>
      </c>
      <c r="C61" s="2" t="str">
        <f aca="false">'Raw Data'!D61</f>
        <v>Research &amp; Development</v>
      </c>
      <c r="D61" s="2" t="str">
        <f aca="false">'Raw Data'!K61</f>
        <v>Research Scientist</v>
      </c>
      <c r="E61" s="2" t="n">
        <f aca="false">'Raw Data'!Q61</f>
        <v>11</v>
      </c>
      <c r="F61" s="2" t="n">
        <f aca="false">'Raw Data'!U61</f>
        <v>7</v>
      </c>
      <c r="G61" s="2" t="n">
        <f aca="false">'Raw Data'!W61</f>
        <v>2</v>
      </c>
      <c r="H61" s="2" t="n">
        <f aca="false">'Raw Data'!V61</f>
        <v>3</v>
      </c>
      <c r="I61" s="2" t="n">
        <f aca="false">IF(AND(ISNUMBER(B61),B61&lt;=25),2,0)+IF(AND(ISNUMBER(E61),E61&lt;=5),2,0)+IF(AND(ISNUMBER(F61),F61&lt;=1),2,0)+IF(AND(ISNUMBER(G61),G61&lt;=2),1,0)+IF(AND(ISNUMBER(H61),H61&lt;=2),1,0)</f>
        <v>1</v>
      </c>
      <c r="J61" s="2" t="str">
        <f aca="false">IF(I61&gt;=6,"High",IF(I61&gt;=3,"Medium","Low"))</f>
        <v>Low</v>
      </c>
    </row>
    <row r="62" customFormat="false" ht="15" hidden="false" customHeight="true" outlineLevel="0" collapsed="false">
      <c r="A62" s="2" t="n">
        <f aca="false">'Raw Data'!H62</f>
        <v>61</v>
      </c>
      <c r="B62" s="2" t="n">
        <f aca="false">'Raw Data'!A62</f>
        <v>27</v>
      </c>
      <c r="C62" s="2" t="str">
        <f aca="false">'Raw Data'!D62</f>
        <v>Research &amp; Development</v>
      </c>
      <c r="D62" s="2" t="str">
        <f aca="false">'Raw Data'!K62</f>
        <v>Research Scientist</v>
      </c>
      <c r="E62" s="2" t="n">
        <f aca="false">'Raw Data'!Q62</f>
        <v>4</v>
      </c>
      <c r="F62" s="2" t="n">
        <f aca="false">'Raw Data'!U62</f>
        <v>2</v>
      </c>
      <c r="G62" s="2" t="n">
        <f aca="false">'Raw Data'!W62</f>
        <v>2</v>
      </c>
      <c r="H62" s="2" t="n">
        <f aca="false">'Raw Data'!V62</f>
        <v>3</v>
      </c>
      <c r="I62" s="2" t="n">
        <f aca="false">IF(AND(ISNUMBER(B62),B62&lt;=25),2,0)+IF(AND(ISNUMBER(E62),E62&lt;=5),2,0)+IF(AND(ISNUMBER(F62),F62&lt;=1),2,0)+IF(AND(ISNUMBER(G62),G62&lt;=2),1,0)+IF(AND(ISNUMBER(H62),H62&lt;=2),1,0)</f>
        <v>3</v>
      </c>
      <c r="J62" s="2" t="str">
        <f aca="false">IF(I62&gt;=6,"High",IF(I62&gt;=3,"Medium","Low"))</f>
        <v>Medium</v>
      </c>
    </row>
    <row r="63" customFormat="false" ht="15" hidden="false" customHeight="true" outlineLevel="0" collapsed="false">
      <c r="A63" s="2" t="n">
        <f aca="false">'Raw Data'!H63</f>
        <v>62</v>
      </c>
      <c r="B63" s="2" t="n">
        <f aca="false">'Raw Data'!A63</f>
        <v>32</v>
      </c>
      <c r="C63" s="2" t="str">
        <f aca="false">'Raw Data'!D63</f>
        <v>Research &amp; Development</v>
      </c>
      <c r="D63" s="2" t="str">
        <f aca="false">'Raw Data'!K63</f>
        <v>Research Scientist</v>
      </c>
      <c r="E63" s="2" t="n">
        <f aca="false">'Raw Data'!Q63</f>
        <v>13</v>
      </c>
      <c r="F63" s="2" t="n">
        <f aca="false">'Raw Data'!U63</f>
        <v>9</v>
      </c>
      <c r="G63" s="2" t="n">
        <f aca="false">'Raw Data'!W63</f>
        <v>2</v>
      </c>
      <c r="H63" s="2" t="n">
        <f aca="false">'Raw Data'!V63</f>
        <v>3</v>
      </c>
      <c r="I63" s="2" t="n">
        <f aca="false">IF(AND(ISNUMBER(B63),B63&lt;=25),2,0)+IF(AND(ISNUMBER(E63),E63&lt;=5),2,0)+IF(AND(ISNUMBER(F63),F63&lt;=1),2,0)+IF(AND(ISNUMBER(G63),G63&lt;=2),1,0)+IF(AND(ISNUMBER(H63),H63&lt;=2),1,0)</f>
        <v>1</v>
      </c>
      <c r="J63" s="2" t="str">
        <f aca="false">IF(I63&gt;=6,"High",IF(I63&gt;=3,"Medium","Low"))</f>
        <v>Low</v>
      </c>
    </row>
    <row r="64" customFormat="false" ht="15" hidden="false" customHeight="true" outlineLevel="0" collapsed="false">
      <c r="A64" s="2" t="n">
        <f aca="false">'Raw Data'!H64</f>
        <v>63</v>
      </c>
      <c r="B64" s="2" t="n">
        <f aca="false">'Raw Data'!A64</f>
        <v>27</v>
      </c>
      <c r="C64" s="2" t="str">
        <f aca="false">'Raw Data'!D64</f>
        <v>Research &amp; Development</v>
      </c>
      <c r="D64" s="2" t="str">
        <f aca="false">'Raw Data'!K64</f>
        <v>Research Director</v>
      </c>
      <c r="E64" s="2" t="n">
        <f aca="false">'Raw Data'!Q64</f>
        <v>5</v>
      </c>
      <c r="F64" s="2" t="n">
        <f aca="false">'Raw Data'!U64</f>
        <v>4</v>
      </c>
      <c r="G64" s="2" t="n">
        <f aca="false">'Raw Data'!W64</f>
        <v>3</v>
      </c>
      <c r="H64" s="2" t="n">
        <f aca="false">'Raw Data'!V64</f>
        <v>4</v>
      </c>
      <c r="I64" s="2" t="n">
        <f aca="false">IF(AND(ISNUMBER(B64),B64&lt;=25),2,0)+IF(AND(ISNUMBER(E64),E64&lt;=5),2,0)+IF(AND(ISNUMBER(F64),F64&lt;=1),2,0)+IF(AND(ISNUMBER(G64),G64&lt;=2),1,0)+IF(AND(ISNUMBER(H64),H64&lt;=2),1,0)</f>
        <v>2</v>
      </c>
      <c r="J64" s="2" t="str">
        <f aca="false">IF(I64&gt;=6,"High",IF(I64&gt;=3,"Medium","Low"))</f>
        <v>Low</v>
      </c>
    </row>
    <row r="65" customFormat="false" ht="15" hidden="false" customHeight="true" outlineLevel="0" collapsed="false">
      <c r="A65" s="2" t="n">
        <f aca="false">'Raw Data'!H65</f>
        <v>64</v>
      </c>
      <c r="B65" s="2" t="n">
        <f aca="false">'Raw Data'!A65</f>
        <v>31</v>
      </c>
      <c r="C65" s="2" t="str">
        <f aca="false">'Raw Data'!D65</f>
        <v>Sales</v>
      </c>
      <c r="D65" s="2" t="str">
        <f aca="false">'Raw Data'!K65</f>
        <v>Healthcare Representative</v>
      </c>
      <c r="E65" s="2" t="n">
        <f aca="false">'Raw Data'!Q65</f>
        <v>13</v>
      </c>
      <c r="F65" s="2" t="n">
        <f aca="false">'Raw Data'!U65</f>
        <v>7</v>
      </c>
      <c r="G65" s="2" t="n">
        <f aca="false">'Raw Data'!W65</f>
        <v>4</v>
      </c>
      <c r="H65" s="2" t="n">
        <f aca="false">'Raw Data'!V65</f>
        <v>4</v>
      </c>
      <c r="I65" s="2" t="n">
        <f aca="false">IF(AND(ISNUMBER(B65),B65&lt;=25),2,0)+IF(AND(ISNUMBER(E65),E65&lt;=5),2,0)+IF(AND(ISNUMBER(F65),F65&lt;=1),2,0)+IF(AND(ISNUMBER(G65),G65&lt;=2),1,0)+IF(AND(ISNUMBER(H65),H65&lt;=2),1,0)</f>
        <v>0</v>
      </c>
      <c r="J65" s="2" t="str">
        <f aca="false">IF(I65&gt;=6,"High",IF(I65&gt;=3,"Medium","Low"))</f>
        <v>Low</v>
      </c>
    </row>
    <row r="66" customFormat="false" ht="15" hidden="false" customHeight="true" outlineLevel="0" collapsed="false">
      <c r="A66" s="2" t="n">
        <f aca="false">'Raw Data'!H66</f>
        <v>65</v>
      </c>
      <c r="B66" s="2" t="n">
        <f aca="false">'Raw Data'!A66</f>
        <v>32</v>
      </c>
      <c r="C66" s="2" t="str">
        <f aca="false">'Raw Data'!D66</f>
        <v>Research &amp; Development</v>
      </c>
      <c r="D66" s="2" t="str">
        <f aca="false">'Raw Data'!K66</f>
        <v>Healthcare Representative</v>
      </c>
      <c r="E66" s="2" t="n">
        <f aca="false">'Raw Data'!Q66</f>
        <v>10</v>
      </c>
      <c r="F66" s="2" t="n">
        <f aca="false">'Raw Data'!U66</f>
        <v>7</v>
      </c>
      <c r="G66" s="2" t="n">
        <f aca="false">'Raw Data'!W66</f>
        <v>4</v>
      </c>
      <c r="H66" s="2" t="n">
        <f aca="false">'Raw Data'!V66</f>
        <v>1</v>
      </c>
      <c r="I66" s="2" t="n">
        <f aca="false">IF(AND(ISNUMBER(B66),B66&lt;=25),2,0)+IF(AND(ISNUMBER(E66),E66&lt;=5),2,0)+IF(AND(ISNUMBER(F66),F66&lt;=1),2,0)+IF(AND(ISNUMBER(G66),G66&lt;=2),1,0)+IF(AND(ISNUMBER(H66),H66&lt;=2),1,0)</f>
        <v>1</v>
      </c>
      <c r="J66" s="2" t="str">
        <f aca="false">IF(I66&gt;=6,"High",IF(I66&gt;=3,"Medium","Low"))</f>
        <v>Low</v>
      </c>
    </row>
    <row r="67" customFormat="false" ht="15" hidden="false" customHeight="true" outlineLevel="0" collapsed="false">
      <c r="A67" s="2" t="n">
        <f aca="false">'Raw Data'!H67</f>
        <v>66</v>
      </c>
      <c r="B67" s="2" t="n">
        <f aca="false">'Raw Data'!A67</f>
        <v>28</v>
      </c>
      <c r="C67" s="2" t="str">
        <f aca="false">'Raw Data'!D67</f>
        <v>Research &amp; Development</v>
      </c>
      <c r="D67" s="2" t="str">
        <f aca="false">'Raw Data'!K67</f>
        <v>Sales Executive</v>
      </c>
      <c r="E67" s="2" t="n">
        <f aca="false">'Raw Data'!Q67</f>
        <v>5</v>
      </c>
      <c r="F67" s="2" t="n">
        <f aca="false">'Raw Data'!U67</f>
        <v>2</v>
      </c>
      <c r="G67" s="2" t="n">
        <f aca="false">'Raw Data'!W67</f>
        <v>4</v>
      </c>
      <c r="H67" s="2" t="n">
        <f aca="false">'Raw Data'!V67</f>
        <v>1</v>
      </c>
      <c r="I67" s="2" t="n">
        <f aca="false">IF(AND(ISNUMBER(B67),B67&lt;=25),2,0)+IF(AND(ISNUMBER(E67),E67&lt;=5),2,0)+IF(AND(ISNUMBER(F67),F67&lt;=1),2,0)+IF(AND(ISNUMBER(G67),G67&lt;=2),1,0)+IF(AND(ISNUMBER(H67),H67&lt;=2),1,0)</f>
        <v>3</v>
      </c>
      <c r="J67" s="2" t="str">
        <f aca="false">IF(I67&gt;=6,"High",IF(I67&gt;=3,"Medium","Low"))</f>
        <v>Medium</v>
      </c>
    </row>
    <row r="68" customFormat="false" ht="15" hidden="false" customHeight="true" outlineLevel="0" collapsed="false">
      <c r="A68" s="2" t="n">
        <f aca="false">'Raw Data'!H68</f>
        <v>67</v>
      </c>
      <c r="B68" s="2" t="n">
        <f aca="false">'Raw Data'!A68</f>
        <v>30</v>
      </c>
      <c r="C68" s="2" t="str">
        <f aca="false">'Raw Data'!D68</f>
        <v>Research &amp; Development</v>
      </c>
      <c r="D68" s="2" t="str">
        <f aca="false">'Raw Data'!K68</f>
        <v>Research Director</v>
      </c>
      <c r="E68" s="2" t="n">
        <f aca="false">'Raw Data'!Q68</f>
        <v>11</v>
      </c>
      <c r="F68" s="2" t="n">
        <f aca="false">'Raw Data'!U68</f>
        <v>9</v>
      </c>
      <c r="G68" s="2" t="n">
        <f aca="false">'Raw Data'!W68</f>
        <v>4</v>
      </c>
      <c r="H68" s="2" t="n">
        <f aca="false">'Raw Data'!V68</f>
        <v>4</v>
      </c>
      <c r="I68" s="2" t="n">
        <f aca="false">IF(AND(ISNUMBER(B68),B68&lt;=25),2,0)+IF(AND(ISNUMBER(E68),E68&lt;=5),2,0)+IF(AND(ISNUMBER(F68),F68&lt;=1),2,0)+IF(AND(ISNUMBER(G68),G68&lt;=2),1,0)+IF(AND(ISNUMBER(H68),H68&lt;=2),1,0)</f>
        <v>0</v>
      </c>
      <c r="J68" s="2" t="str">
        <f aca="false">IF(I68&gt;=6,"High",IF(I68&gt;=3,"Medium","Low"))</f>
        <v>Low</v>
      </c>
    </row>
    <row r="69" customFormat="false" ht="15" hidden="false" customHeight="true" outlineLevel="0" collapsed="false">
      <c r="A69" s="2" t="n">
        <f aca="false">'Raw Data'!H69</f>
        <v>68</v>
      </c>
      <c r="B69" s="2" t="n">
        <f aca="false">'Raw Data'!A69</f>
        <v>31</v>
      </c>
      <c r="C69" s="2" t="str">
        <f aca="false">'Raw Data'!D69</f>
        <v>Research &amp; Development</v>
      </c>
      <c r="D69" s="2" t="str">
        <f aca="false">'Raw Data'!K69</f>
        <v>Manager</v>
      </c>
      <c r="E69" s="2" t="n">
        <f aca="false">'Raw Data'!Q69</f>
        <v>10</v>
      </c>
      <c r="F69" s="2" t="n">
        <f aca="false">'Raw Data'!U69</f>
        <v>9</v>
      </c>
      <c r="G69" s="2" t="n">
        <f aca="false">'Raw Data'!W69</f>
        <v>3</v>
      </c>
      <c r="H69" s="2" t="n">
        <f aca="false">'Raw Data'!V69</f>
        <v>3</v>
      </c>
      <c r="I69" s="2" t="n">
        <f aca="false">IF(AND(ISNUMBER(B69),B69&lt;=25),2,0)+IF(AND(ISNUMBER(E69),E69&lt;=5),2,0)+IF(AND(ISNUMBER(F69),F69&lt;=1),2,0)+IF(AND(ISNUMBER(G69),G69&lt;=2),1,0)+IF(AND(ISNUMBER(H69),H69&lt;=2),1,0)</f>
        <v>0</v>
      </c>
      <c r="J69" s="2" t="str">
        <f aca="false">IF(I69&gt;=6,"High",IF(I69&gt;=3,"Medium","Low"))</f>
        <v>Low</v>
      </c>
    </row>
    <row r="70" customFormat="false" ht="15" hidden="false" customHeight="true" outlineLevel="0" collapsed="false">
      <c r="A70" s="2" t="n">
        <f aca="false">'Raw Data'!H70</f>
        <v>69</v>
      </c>
      <c r="B70" s="2" t="n">
        <f aca="false">'Raw Data'!A70</f>
        <v>39</v>
      </c>
      <c r="C70" s="2" t="str">
        <f aca="false">'Raw Data'!D70</f>
        <v>Research &amp; Development</v>
      </c>
      <c r="D70" s="2" t="str">
        <f aca="false">'Raw Data'!K70</f>
        <v>Research Scientist</v>
      </c>
      <c r="E70" s="2" t="n">
        <f aca="false">'Raw Data'!Q70</f>
        <v>21</v>
      </c>
      <c r="F70" s="2" t="n">
        <f aca="false">'Raw Data'!U70</f>
        <v>3</v>
      </c>
      <c r="G70" s="2" t="n">
        <f aca="false">'Raw Data'!W70</f>
        <v>4</v>
      </c>
      <c r="H70" s="2" t="n">
        <f aca="false">'Raw Data'!V70</f>
        <v>3</v>
      </c>
      <c r="I70" s="2" t="n">
        <f aca="false">IF(AND(ISNUMBER(B70),B70&lt;=25),2,0)+IF(AND(ISNUMBER(E70),E70&lt;=5),2,0)+IF(AND(ISNUMBER(F70),F70&lt;=1),2,0)+IF(AND(ISNUMBER(G70),G70&lt;=2),1,0)+IF(AND(ISNUMBER(H70),H70&lt;=2),1,0)</f>
        <v>0</v>
      </c>
      <c r="J70" s="2" t="str">
        <f aca="false">IF(I70&gt;=6,"High",IF(I70&gt;=3,"Medium","Low"))</f>
        <v>Low</v>
      </c>
    </row>
    <row r="71" customFormat="false" ht="15" hidden="false" customHeight="true" outlineLevel="0" collapsed="false">
      <c r="A71" s="2" t="n">
        <f aca="false">'Raw Data'!H71</f>
        <v>70</v>
      </c>
      <c r="B71" s="2" t="n">
        <f aca="false">'Raw Data'!A71</f>
        <v>39</v>
      </c>
      <c r="C71" s="2" t="str">
        <f aca="false">'Raw Data'!D71</f>
        <v>Research &amp; Development</v>
      </c>
      <c r="D71" s="2" t="str">
        <f aca="false">'Raw Data'!K71</f>
        <v>Laboratory Technician</v>
      </c>
      <c r="E71" s="2" t="n">
        <f aca="false">'Raw Data'!Q71</f>
        <v>12</v>
      </c>
      <c r="F71" s="2" t="n">
        <f aca="false">'Raw Data'!U71</f>
        <v>0</v>
      </c>
      <c r="G71" s="2" t="n">
        <f aca="false">'Raw Data'!W71</f>
        <v>3</v>
      </c>
      <c r="H71" s="2" t="n">
        <f aca="false">'Raw Data'!V71</f>
        <v>4</v>
      </c>
      <c r="I71" s="2" t="n">
        <f aca="false">IF(AND(ISNUMBER(B71),B71&lt;=25),2,0)+IF(AND(ISNUMBER(E71),E71&lt;=5),2,0)+IF(AND(ISNUMBER(F71),F71&lt;=1),2,0)+IF(AND(ISNUMBER(G71),G71&lt;=2),1,0)+IF(AND(ISNUMBER(H71),H71&lt;=2),1,0)</f>
        <v>2</v>
      </c>
      <c r="J71" s="2" t="str">
        <f aca="false">IF(I71&gt;=6,"High",IF(I71&gt;=3,"Medium","Low"))</f>
        <v>Low</v>
      </c>
    </row>
    <row r="72" customFormat="false" ht="15" hidden="false" customHeight="true" outlineLevel="0" collapsed="false">
      <c r="A72" s="2" t="n">
        <f aca="false">'Raw Data'!H72</f>
        <v>71</v>
      </c>
      <c r="B72" s="2" t="n">
        <f aca="false">'Raw Data'!A72</f>
        <v>33</v>
      </c>
      <c r="C72" s="2" t="str">
        <f aca="false">'Raw Data'!D72</f>
        <v>Sales</v>
      </c>
      <c r="D72" s="2" t="str">
        <f aca="false">'Raw Data'!K72</f>
        <v>Research Scientist</v>
      </c>
      <c r="E72" s="2" t="n">
        <f aca="false">'Raw Data'!Q72</f>
        <v>9</v>
      </c>
      <c r="F72" s="2" t="n">
        <f aca="false">'Raw Data'!U72</f>
        <v>1</v>
      </c>
      <c r="G72" s="2" t="n">
        <f aca="false">'Raw Data'!W72</f>
        <v>4</v>
      </c>
      <c r="H72" s="2" t="n">
        <f aca="false">'Raw Data'!V72</f>
        <v>2</v>
      </c>
      <c r="I72" s="2" t="n">
        <f aca="false">IF(AND(ISNUMBER(B72),B72&lt;=25),2,0)+IF(AND(ISNUMBER(E72),E72&lt;=5),2,0)+IF(AND(ISNUMBER(F72),F72&lt;=1),2,0)+IF(AND(ISNUMBER(G72),G72&lt;=2),1,0)+IF(AND(ISNUMBER(H72),H72&lt;=2),1,0)</f>
        <v>3</v>
      </c>
      <c r="J72" s="2" t="str">
        <f aca="false">IF(I72&gt;=6,"High",IF(I72&gt;=3,"Medium","Low"))</f>
        <v>Medium</v>
      </c>
    </row>
    <row r="73" customFormat="false" ht="15" hidden="false" customHeight="true" outlineLevel="0" collapsed="false">
      <c r="A73" s="2" t="n">
        <f aca="false">'Raw Data'!H73</f>
        <v>72</v>
      </c>
      <c r="B73" s="2" t="n">
        <f aca="false">'Raw Data'!A73</f>
        <v>47</v>
      </c>
      <c r="C73" s="2" t="str">
        <f aca="false">'Raw Data'!D73</f>
        <v>Research &amp; Development</v>
      </c>
      <c r="D73" s="2" t="str">
        <f aca="false">'Raw Data'!K73</f>
        <v>Healthcare Representative</v>
      </c>
      <c r="E73" s="2" t="n">
        <f aca="false">'Raw Data'!Q73</f>
        <v>21</v>
      </c>
      <c r="F73" s="2" t="n">
        <f aca="false">'Raw Data'!U73</f>
        <v>1</v>
      </c>
      <c r="G73" s="2" t="n">
        <f aca="false">'Raw Data'!W73</f>
        <v>3</v>
      </c>
      <c r="H73" s="2" t="n">
        <f aca="false">'Raw Data'!V73</f>
        <v>4</v>
      </c>
      <c r="I73" s="2" t="n">
        <f aca="false">IF(AND(ISNUMBER(B73),B73&lt;=25),2,0)+IF(AND(ISNUMBER(E73),E73&lt;=5),2,0)+IF(AND(ISNUMBER(F73),F73&lt;=1),2,0)+IF(AND(ISNUMBER(G73),G73&lt;=2),1,0)+IF(AND(ISNUMBER(H73),H73&lt;=2),1,0)</f>
        <v>2</v>
      </c>
      <c r="J73" s="2" t="str">
        <f aca="false">IF(I73&gt;=6,"High",IF(I73&gt;=3,"Medium","Low"))</f>
        <v>Low</v>
      </c>
    </row>
    <row r="74" customFormat="false" ht="15" hidden="false" customHeight="true" outlineLevel="0" collapsed="false">
      <c r="A74" s="2" t="n">
        <f aca="false">'Raw Data'!H74</f>
        <v>73</v>
      </c>
      <c r="B74" s="2" t="n">
        <f aca="false">'Raw Data'!A74</f>
        <v>43</v>
      </c>
      <c r="C74" s="2" t="str">
        <f aca="false">'Raw Data'!D74</f>
        <v>Research &amp; Development</v>
      </c>
      <c r="D74" s="2" t="str">
        <f aca="false">'Raw Data'!K74</f>
        <v>Research Director</v>
      </c>
      <c r="E74" s="2" t="n">
        <f aca="false">'Raw Data'!Q74</f>
        <v>9</v>
      </c>
      <c r="F74" s="2" t="n">
        <f aca="false">'Raw Data'!U74</f>
        <v>0</v>
      </c>
      <c r="G74" s="2" t="n">
        <f aca="false">'Raw Data'!W74</f>
        <v>3</v>
      </c>
      <c r="H74" s="2" t="n">
        <f aca="false">'Raw Data'!V74</f>
        <v>3</v>
      </c>
      <c r="I74" s="2" t="n">
        <f aca="false">IF(AND(ISNUMBER(B74),B74&lt;=25),2,0)+IF(AND(ISNUMBER(E74),E74&lt;=5),2,0)+IF(AND(ISNUMBER(F74),F74&lt;=1),2,0)+IF(AND(ISNUMBER(G74),G74&lt;=2),1,0)+IF(AND(ISNUMBER(H74),H74&lt;=2),1,0)</f>
        <v>2</v>
      </c>
      <c r="J74" s="2" t="str">
        <f aca="false">IF(I74&gt;=6,"High",IF(I74&gt;=3,"Medium","Low"))</f>
        <v>Low</v>
      </c>
    </row>
    <row r="75" customFormat="false" ht="15" hidden="false" customHeight="true" outlineLevel="0" collapsed="false">
      <c r="A75" s="2" t="n">
        <f aca="false">'Raw Data'!H75</f>
        <v>74</v>
      </c>
      <c r="B75" s="2" t="n">
        <f aca="false">'Raw Data'!A75</f>
        <v>27</v>
      </c>
      <c r="C75" s="2" t="str">
        <f aca="false">'Raw Data'!D75</f>
        <v>Research &amp; Development</v>
      </c>
      <c r="D75" s="2" t="str">
        <f aca="false">'Raw Data'!K75</f>
        <v>Research Director</v>
      </c>
      <c r="E75" s="2" t="n">
        <f aca="false">'Raw Data'!Q75</f>
        <v>6</v>
      </c>
      <c r="F75" s="2" t="n">
        <f aca="false">'Raw Data'!U75</f>
        <v>4</v>
      </c>
      <c r="G75" s="2" t="n">
        <f aca="false">'Raw Data'!W75</f>
        <v>2</v>
      </c>
      <c r="H75" s="2" t="n">
        <f aca="false">'Raw Data'!V75</f>
        <v>3</v>
      </c>
      <c r="I75" s="2" t="n">
        <f aca="false">IF(AND(ISNUMBER(B75),B75&lt;=25),2,0)+IF(AND(ISNUMBER(E75),E75&lt;=5),2,0)+IF(AND(ISNUMBER(F75),F75&lt;=1),2,0)+IF(AND(ISNUMBER(G75),G75&lt;=2),1,0)+IF(AND(ISNUMBER(H75),H75&lt;=2),1,0)</f>
        <v>1</v>
      </c>
      <c r="J75" s="2" t="str">
        <f aca="false">IF(I75&gt;=6,"High",IF(I75&gt;=3,"Medium","Low"))</f>
        <v>Low</v>
      </c>
    </row>
    <row r="76" customFormat="false" ht="15" hidden="false" customHeight="true" outlineLevel="0" collapsed="false">
      <c r="A76" s="2" t="n">
        <f aca="false">'Raw Data'!H76</f>
        <v>75</v>
      </c>
      <c r="B76" s="2" t="n">
        <f aca="false">'Raw Data'!A76</f>
        <v>54</v>
      </c>
      <c r="C76" s="2" t="str">
        <f aca="false">'Raw Data'!D76</f>
        <v>Research &amp; Development</v>
      </c>
      <c r="D76" s="2" t="str">
        <f aca="false">'Raw Data'!K76</f>
        <v>Research Scientist</v>
      </c>
      <c r="E76" s="2" t="n">
        <f aca="false">'Raw Data'!Q76</f>
        <v>20</v>
      </c>
      <c r="F76" s="2" t="n">
        <f aca="false">'Raw Data'!U76</f>
        <v>3</v>
      </c>
      <c r="G76" s="2" t="n">
        <f aca="false">'Raw Data'!W76</f>
        <v>3</v>
      </c>
      <c r="H76" s="2" t="n">
        <f aca="false">'Raw Data'!V76</f>
        <v>4</v>
      </c>
      <c r="I76" s="2" t="n">
        <f aca="false">IF(AND(ISNUMBER(B76),B76&lt;=25),2,0)+IF(AND(ISNUMBER(E76),E76&lt;=5),2,0)+IF(AND(ISNUMBER(F76),F76&lt;=1),2,0)+IF(AND(ISNUMBER(G76),G76&lt;=2),1,0)+IF(AND(ISNUMBER(H76),H76&lt;=2),1,0)</f>
        <v>0</v>
      </c>
      <c r="J76" s="2" t="str">
        <f aca="false">IF(I76&gt;=6,"High",IF(I76&gt;=3,"Medium","Low"))</f>
        <v>Low</v>
      </c>
    </row>
    <row r="77" customFormat="false" ht="15" hidden="false" customHeight="true" outlineLevel="0" collapsed="false">
      <c r="A77" s="2" t="n">
        <f aca="false">'Raw Data'!H77</f>
        <v>76</v>
      </c>
      <c r="B77" s="2" t="n">
        <f aca="false">'Raw Data'!A77</f>
        <v>43</v>
      </c>
      <c r="C77" s="2" t="str">
        <f aca="false">'Raw Data'!D77</f>
        <v>Research &amp; Development</v>
      </c>
      <c r="D77" s="2" t="str">
        <f aca="false">'Raw Data'!K77</f>
        <v>Manager</v>
      </c>
      <c r="E77" s="2" t="n">
        <f aca="false">'Raw Data'!Q77</f>
        <v>10</v>
      </c>
      <c r="F77" s="2" t="n">
        <f aca="false">'Raw Data'!U77</f>
        <v>0</v>
      </c>
      <c r="G77" s="2" t="n">
        <f aca="false">'Raw Data'!W77</f>
        <v>1</v>
      </c>
      <c r="H77" s="2" t="n">
        <f aca="false">'Raw Data'!V77</f>
        <v>3</v>
      </c>
      <c r="I77" s="2" t="n">
        <f aca="false">IF(AND(ISNUMBER(B77),B77&lt;=25),2,0)+IF(AND(ISNUMBER(E77),E77&lt;=5),2,0)+IF(AND(ISNUMBER(F77),F77&lt;=1),2,0)+IF(AND(ISNUMBER(G77),G77&lt;=2),1,0)+IF(AND(ISNUMBER(H77),H77&lt;=2),1,0)</f>
        <v>3</v>
      </c>
      <c r="J77" s="2" t="str">
        <f aca="false">IF(I77&gt;=6,"High",IF(I77&gt;=3,"Medium","Low"))</f>
        <v>Medium</v>
      </c>
    </row>
    <row r="78" customFormat="false" ht="15" hidden="false" customHeight="true" outlineLevel="0" collapsed="false">
      <c r="A78" s="2" t="n">
        <f aca="false">'Raw Data'!H78</f>
        <v>77</v>
      </c>
      <c r="B78" s="2" t="n">
        <f aca="false">'Raw Data'!A78</f>
        <v>45</v>
      </c>
      <c r="C78" s="2" t="str">
        <f aca="false">'Raw Data'!D78</f>
        <v>Sales</v>
      </c>
      <c r="D78" s="2" t="str">
        <f aca="false">'Raw Data'!K78</f>
        <v>Sales Executive</v>
      </c>
      <c r="E78" s="2" t="n">
        <f aca="false">'Raw Data'!Q78</f>
        <v>12</v>
      </c>
      <c r="F78" s="2" t="n">
        <f aca="false">'Raw Data'!U78</f>
        <v>8</v>
      </c>
      <c r="G78" s="2" t="n">
        <f aca="false">'Raw Data'!W78</f>
        <v>4</v>
      </c>
      <c r="H78" s="2" t="n">
        <f aca="false">'Raw Data'!V78</f>
        <v>4</v>
      </c>
      <c r="I78" s="2" t="n">
        <f aca="false">IF(AND(ISNUMBER(B78),B78&lt;=25),2,0)+IF(AND(ISNUMBER(E78),E78&lt;=5),2,0)+IF(AND(ISNUMBER(F78),F78&lt;=1),2,0)+IF(AND(ISNUMBER(G78),G78&lt;=2),1,0)+IF(AND(ISNUMBER(H78),H78&lt;=2),1,0)</f>
        <v>0</v>
      </c>
      <c r="J78" s="2" t="str">
        <f aca="false">IF(I78&gt;=6,"High",IF(I78&gt;=3,"Medium","Low"))</f>
        <v>Low</v>
      </c>
    </row>
    <row r="79" customFormat="false" ht="15" hidden="false" customHeight="true" outlineLevel="0" collapsed="false">
      <c r="A79" s="2" t="n">
        <f aca="false">'Raw Data'!H79</f>
        <v>78</v>
      </c>
      <c r="B79" s="2" t="n">
        <f aca="false">'Raw Data'!A79</f>
        <v>40</v>
      </c>
      <c r="C79" s="2" t="str">
        <f aca="false">'Raw Data'!D79</f>
        <v>Research &amp; Development</v>
      </c>
      <c r="D79" s="2" t="str">
        <f aca="false">'Raw Data'!K79</f>
        <v>Research Scientist</v>
      </c>
      <c r="E79" s="2" t="n">
        <f aca="false">'Raw Data'!Q79</f>
        <v>6</v>
      </c>
      <c r="F79" s="2" t="n">
        <f aca="false">'Raw Data'!U79</f>
        <v>2</v>
      </c>
      <c r="G79" s="2" t="n">
        <f aca="false">'Raw Data'!W79</f>
        <v>4</v>
      </c>
      <c r="H79" s="2" t="n">
        <f aca="false">'Raw Data'!V79</f>
        <v>2</v>
      </c>
      <c r="I79" s="2" t="n">
        <f aca="false">IF(AND(ISNUMBER(B79),B79&lt;=25),2,0)+IF(AND(ISNUMBER(E79),E79&lt;=5),2,0)+IF(AND(ISNUMBER(F79),F79&lt;=1),2,0)+IF(AND(ISNUMBER(G79),G79&lt;=2),1,0)+IF(AND(ISNUMBER(H79),H79&lt;=2),1,0)</f>
        <v>1</v>
      </c>
      <c r="J79" s="2" t="str">
        <f aca="false">IF(I79&gt;=6,"High",IF(I79&gt;=3,"Medium","Low"))</f>
        <v>Low</v>
      </c>
    </row>
    <row r="80" customFormat="false" ht="15" hidden="false" customHeight="true" outlineLevel="0" collapsed="false">
      <c r="A80" s="2" t="n">
        <f aca="false">'Raw Data'!H80</f>
        <v>79</v>
      </c>
      <c r="B80" s="2" t="n">
        <f aca="false">'Raw Data'!A80</f>
        <v>29</v>
      </c>
      <c r="C80" s="2" t="str">
        <f aca="false">'Raw Data'!D80</f>
        <v>Research &amp; Development</v>
      </c>
      <c r="D80" s="2" t="str">
        <f aca="false">'Raw Data'!K80</f>
        <v>Research Scientist</v>
      </c>
      <c r="E80" s="2" t="n">
        <f aca="false">'Raw Data'!Q80</f>
        <v>7</v>
      </c>
      <c r="F80" s="2" t="n">
        <f aca="false">'Raw Data'!U80</f>
        <v>7</v>
      </c>
      <c r="G80" s="2" t="n">
        <f aca="false">'Raw Data'!W80</f>
        <v>1</v>
      </c>
      <c r="H80" s="2" t="n">
        <f aca="false">'Raw Data'!V80</f>
        <v>2</v>
      </c>
      <c r="I80" s="2" t="n">
        <f aca="false">IF(AND(ISNUMBER(B80),B80&lt;=25),2,0)+IF(AND(ISNUMBER(E80),E80&lt;=5),2,0)+IF(AND(ISNUMBER(F80),F80&lt;=1),2,0)+IF(AND(ISNUMBER(G80),G80&lt;=2),1,0)+IF(AND(ISNUMBER(H80),H80&lt;=2),1,0)</f>
        <v>2</v>
      </c>
      <c r="J80" s="2" t="str">
        <f aca="false">IF(I80&gt;=6,"High",IF(I80&gt;=3,"Medium","Low"))</f>
        <v>Low</v>
      </c>
    </row>
    <row r="81" customFormat="false" ht="15" hidden="false" customHeight="true" outlineLevel="0" collapsed="false">
      <c r="A81" s="2" t="n">
        <f aca="false">'Raw Data'!H81</f>
        <v>80</v>
      </c>
      <c r="B81" s="2" t="n">
        <f aca="false">'Raw Data'!A81</f>
        <v>29</v>
      </c>
      <c r="C81" s="2" t="str">
        <f aca="false">'Raw Data'!D81</f>
        <v>Human Resources</v>
      </c>
      <c r="D81" s="2" t="str">
        <f aca="false">'Raw Data'!K81</f>
        <v>Sales Representative</v>
      </c>
      <c r="E81" s="2" t="n">
        <f aca="false">'Raw Data'!Q81</f>
        <v>4</v>
      </c>
      <c r="F81" s="2" t="n">
        <f aca="false">'Raw Data'!U81</f>
        <v>2</v>
      </c>
      <c r="G81" s="2" t="n">
        <f aca="false">'Raw Data'!W81</f>
        <v>4</v>
      </c>
      <c r="H81" s="2" t="n">
        <f aca="false">'Raw Data'!V81</f>
        <v>2</v>
      </c>
      <c r="I81" s="2" t="n">
        <f aca="false">IF(AND(ISNUMBER(B81),B81&lt;=25),2,0)+IF(AND(ISNUMBER(E81),E81&lt;=5),2,0)+IF(AND(ISNUMBER(F81),F81&lt;=1),2,0)+IF(AND(ISNUMBER(G81),G81&lt;=2),1,0)+IF(AND(ISNUMBER(H81),H81&lt;=2),1,0)</f>
        <v>3</v>
      </c>
      <c r="J81" s="2" t="str">
        <f aca="false">IF(I81&gt;=6,"High",IF(I81&gt;=3,"Medium","Low"))</f>
        <v>Medium</v>
      </c>
    </row>
    <row r="82" customFormat="false" ht="15" hidden="false" customHeight="true" outlineLevel="0" collapsed="false">
      <c r="A82" s="2" t="n">
        <f aca="false">'Raw Data'!H82</f>
        <v>81</v>
      </c>
      <c r="B82" s="2" t="n">
        <f aca="false">'Raw Data'!A82</f>
        <v>30</v>
      </c>
      <c r="C82" s="2" t="str">
        <f aca="false">'Raw Data'!D82</f>
        <v>Research &amp; Development</v>
      </c>
      <c r="D82" s="2" t="str">
        <f aca="false">'Raw Data'!K82</f>
        <v>Research Scientist</v>
      </c>
      <c r="E82" s="2" t="n">
        <f aca="false">'Raw Data'!Q82</f>
        <v>10</v>
      </c>
      <c r="F82" s="2" t="n">
        <f aca="false">'Raw Data'!U82</f>
        <v>2</v>
      </c>
      <c r="G82" s="2" t="n">
        <f aca="false">'Raw Data'!W82</f>
        <v>3</v>
      </c>
      <c r="H82" s="2" t="n">
        <f aca="false">'Raw Data'!V82</f>
        <v>4</v>
      </c>
      <c r="I82" s="2" t="n">
        <f aca="false">IF(AND(ISNUMBER(B82),B82&lt;=25),2,0)+IF(AND(ISNUMBER(E82),E82&lt;=5),2,0)+IF(AND(ISNUMBER(F82),F82&lt;=1),2,0)+IF(AND(ISNUMBER(G82),G82&lt;=2),1,0)+IF(AND(ISNUMBER(H82),H82&lt;=2),1,0)</f>
        <v>0</v>
      </c>
      <c r="J82" s="2" t="str">
        <f aca="false">IF(I82&gt;=6,"High",IF(I82&gt;=3,"Medium","Low"))</f>
        <v>Low</v>
      </c>
    </row>
    <row r="83" customFormat="false" ht="15" hidden="false" customHeight="true" outlineLevel="0" collapsed="false">
      <c r="A83" s="2" t="n">
        <f aca="false">'Raw Data'!H83</f>
        <v>82</v>
      </c>
      <c r="B83" s="2" t="n">
        <f aca="false">'Raw Data'!A83</f>
        <v>27</v>
      </c>
      <c r="C83" s="2" t="str">
        <f aca="false">'Raw Data'!D83</f>
        <v>Research &amp; Development</v>
      </c>
      <c r="D83" s="2" t="str">
        <f aca="false">'Raw Data'!K83</f>
        <v>Manager</v>
      </c>
      <c r="E83" s="2" t="n">
        <f aca="false">'Raw Data'!Q83</f>
        <v>8</v>
      </c>
      <c r="F83" s="2" t="n">
        <f aca="false">'Raw Data'!U83</f>
        <v>7</v>
      </c>
      <c r="G83" s="2" t="n">
        <f aca="false">'Raw Data'!W83</f>
        <v>2</v>
      </c>
      <c r="H83" s="2" t="n">
        <f aca="false">'Raw Data'!V83</f>
        <v>2</v>
      </c>
      <c r="I83" s="2" t="n">
        <f aca="false">IF(AND(ISNUMBER(B83),B83&lt;=25),2,0)+IF(AND(ISNUMBER(E83),E83&lt;=5),2,0)+IF(AND(ISNUMBER(F83),F83&lt;=1),2,0)+IF(AND(ISNUMBER(G83),G83&lt;=2),1,0)+IF(AND(ISNUMBER(H83),H83&lt;=2),1,0)</f>
        <v>2</v>
      </c>
      <c r="J83" s="2" t="str">
        <f aca="false">IF(I83&gt;=6,"High",IF(I83&gt;=3,"Medium","Low"))</f>
        <v>Low</v>
      </c>
    </row>
    <row r="84" customFormat="false" ht="15" hidden="false" customHeight="true" outlineLevel="0" collapsed="false">
      <c r="A84" s="2" t="n">
        <f aca="false">'Raw Data'!H84</f>
        <v>83</v>
      </c>
      <c r="B84" s="2" t="n">
        <f aca="false">'Raw Data'!A84</f>
        <v>37</v>
      </c>
      <c r="C84" s="2" t="str">
        <f aca="false">'Raw Data'!D84</f>
        <v>Sales</v>
      </c>
      <c r="D84" s="2" t="str">
        <f aca="false">'Raw Data'!K84</f>
        <v>Healthcare Representative</v>
      </c>
      <c r="E84" s="2" t="n">
        <f aca="false">'Raw Data'!Q84</f>
        <v>8</v>
      </c>
      <c r="F84" s="2" t="n">
        <f aca="false">'Raw Data'!U84</f>
        <v>4</v>
      </c>
      <c r="G84" s="2" t="n">
        <f aca="false">'Raw Data'!W84</f>
        <v>4</v>
      </c>
      <c r="H84" s="2" t="n">
        <f aca="false">'Raw Data'!V84</f>
        <v>4</v>
      </c>
      <c r="I84" s="2" t="n">
        <f aca="false">IF(AND(ISNUMBER(B84),B84&lt;=25),2,0)+IF(AND(ISNUMBER(E84),E84&lt;=5),2,0)+IF(AND(ISNUMBER(F84),F84&lt;=1),2,0)+IF(AND(ISNUMBER(G84),G84&lt;=2),1,0)+IF(AND(ISNUMBER(H84),H84&lt;=2),1,0)</f>
        <v>0</v>
      </c>
      <c r="J84" s="2" t="str">
        <f aca="false">IF(I84&gt;=6,"High",IF(I84&gt;=3,"Medium","Low"))</f>
        <v>Low</v>
      </c>
    </row>
    <row r="85" customFormat="false" ht="15" hidden="false" customHeight="true" outlineLevel="0" collapsed="false">
      <c r="A85" s="2" t="n">
        <f aca="false">'Raw Data'!H85</f>
        <v>84</v>
      </c>
      <c r="B85" s="2" t="n">
        <f aca="false">'Raw Data'!A85</f>
        <v>38</v>
      </c>
      <c r="C85" s="2" t="str">
        <f aca="false">'Raw Data'!D85</f>
        <v>Research &amp; Development</v>
      </c>
      <c r="D85" s="2" t="str">
        <f aca="false">'Raw Data'!K85</f>
        <v>Laboratory Technician</v>
      </c>
      <c r="E85" s="2" t="n">
        <f aca="false">'Raw Data'!Q85</f>
        <v>12</v>
      </c>
      <c r="F85" s="2" t="n">
        <f aca="false">'Raw Data'!U85</f>
        <v>9</v>
      </c>
      <c r="G85" s="2" t="n">
        <f aca="false">'Raw Data'!W85</f>
        <v>4</v>
      </c>
      <c r="H85" s="2" t="n">
        <f aca="false">'Raw Data'!V85</f>
        <v>3</v>
      </c>
      <c r="I85" s="2" t="n">
        <f aca="false">IF(AND(ISNUMBER(B85),B85&lt;=25),2,0)+IF(AND(ISNUMBER(E85),E85&lt;=5),2,0)+IF(AND(ISNUMBER(F85),F85&lt;=1),2,0)+IF(AND(ISNUMBER(G85),G85&lt;=2),1,0)+IF(AND(ISNUMBER(H85),H85&lt;=2),1,0)</f>
        <v>0</v>
      </c>
      <c r="J85" s="2" t="str">
        <f aca="false">IF(I85&gt;=6,"High",IF(I85&gt;=3,"Medium","Low"))</f>
        <v>Low</v>
      </c>
    </row>
    <row r="86" customFormat="false" ht="15" hidden="false" customHeight="true" outlineLevel="0" collapsed="false">
      <c r="A86" s="2" t="n">
        <f aca="false">'Raw Data'!H86</f>
        <v>85</v>
      </c>
      <c r="B86" s="2" t="n">
        <f aca="false">'Raw Data'!A86</f>
        <v>31</v>
      </c>
      <c r="C86" s="2" t="str">
        <f aca="false">'Raw Data'!D86</f>
        <v>Research &amp; Development</v>
      </c>
      <c r="D86" s="2" t="str">
        <f aca="false">'Raw Data'!K86</f>
        <v>Manager</v>
      </c>
      <c r="E86" s="2" t="n">
        <f aca="false">'Raw Data'!Q86</f>
        <v>11</v>
      </c>
      <c r="F86" s="2" t="n">
        <f aca="false">'Raw Data'!U86</f>
        <v>10</v>
      </c>
      <c r="G86" s="2" t="n">
        <f aca="false">'Raw Data'!W86</f>
        <v>4</v>
      </c>
      <c r="H86" s="2" t="n">
        <f aca="false">'Raw Data'!V86</f>
        <v>3</v>
      </c>
      <c r="I86" s="2" t="n">
        <f aca="false">IF(AND(ISNUMBER(B86),B86&lt;=25),2,0)+IF(AND(ISNUMBER(E86),E86&lt;=5),2,0)+IF(AND(ISNUMBER(F86),F86&lt;=1),2,0)+IF(AND(ISNUMBER(G86),G86&lt;=2),1,0)+IF(AND(ISNUMBER(H86),H86&lt;=2),1,0)</f>
        <v>0</v>
      </c>
      <c r="J86" s="2" t="str">
        <f aca="false">IF(I86&gt;=6,"High",IF(I86&gt;=3,"Medium","Low"))</f>
        <v>Low</v>
      </c>
    </row>
    <row r="87" customFormat="false" ht="15" hidden="false" customHeight="true" outlineLevel="0" collapsed="false">
      <c r="A87" s="2" t="n">
        <f aca="false">'Raw Data'!H87</f>
        <v>86</v>
      </c>
      <c r="B87" s="2" t="n">
        <f aca="false">'Raw Data'!A87</f>
        <v>29</v>
      </c>
      <c r="C87" s="2" t="str">
        <f aca="false">'Raw Data'!D87</f>
        <v>Research &amp; Development</v>
      </c>
      <c r="D87" s="2" t="str">
        <f aca="false">'Raw Data'!K87</f>
        <v>Sales Executive</v>
      </c>
      <c r="E87" s="2" t="n">
        <f aca="false">'Raw Data'!Q87</f>
        <v>7</v>
      </c>
      <c r="F87" s="2" t="n">
        <f aca="false">'Raw Data'!U87</f>
        <v>7</v>
      </c>
      <c r="G87" s="2" t="n">
        <f aca="false">'Raw Data'!W87</f>
        <v>2</v>
      </c>
      <c r="H87" s="2" t="n">
        <f aca="false">'Raw Data'!V87</f>
        <v>4</v>
      </c>
      <c r="I87" s="2" t="n">
        <f aca="false">IF(AND(ISNUMBER(B87),B87&lt;=25),2,0)+IF(AND(ISNUMBER(E87),E87&lt;=5),2,0)+IF(AND(ISNUMBER(F87),F87&lt;=1),2,0)+IF(AND(ISNUMBER(G87),G87&lt;=2),1,0)+IF(AND(ISNUMBER(H87),H87&lt;=2),1,0)</f>
        <v>1</v>
      </c>
      <c r="J87" s="2" t="str">
        <f aca="false">IF(I87&gt;=6,"High",IF(I87&gt;=3,"Medium","Low"))</f>
        <v>Low</v>
      </c>
    </row>
    <row r="88" customFormat="false" ht="15" hidden="false" customHeight="true" outlineLevel="0" collapsed="false">
      <c r="A88" s="2" t="n">
        <f aca="false">'Raw Data'!H88</f>
        <v>87</v>
      </c>
      <c r="B88" s="2" t="n">
        <f aca="false">'Raw Data'!A88</f>
        <v>35</v>
      </c>
      <c r="C88" s="2" t="str">
        <f aca="false">'Raw Data'!D88</f>
        <v>Sales</v>
      </c>
      <c r="D88" s="2" t="str">
        <f aca="false">'Raw Data'!K88</f>
        <v>Manager</v>
      </c>
      <c r="E88" s="2" t="n">
        <f aca="false">'Raw Data'!Q88</f>
        <v>17</v>
      </c>
      <c r="F88" s="2" t="n">
        <f aca="false">'Raw Data'!U88</f>
        <v>13</v>
      </c>
      <c r="G88" s="2" t="n">
        <f aca="false">'Raw Data'!W88</f>
        <v>2</v>
      </c>
      <c r="H88" s="2" t="n">
        <f aca="false">'Raw Data'!V88</f>
        <v>3</v>
      </c>
      <c r="I88" s="2" t="n">
        <f aca="false">IF(AND(ISNUMBER(B88),B88&lt;=25),2,0)+IF(AND(ISNUMBER(E88),E88&lt;=5),2,0)+IF(AND(ISNUMBER(F88),F88&lt;=1),2,0)+IF(AND(ISNUMBER(G88),G88&lt;=2),1,0)+IF(AND(ISNUMBER(H88),H88&lt;=2),1,0)</f>
        <v>1</v>
      </c>
      <c r="J88" s="2" t="str">
        <f aca="false">IF(I88&gt;=6,"High",IF(I88&gt;=3,"Medium","Low"))</f>
        <v>Low</v>
      </c>
    </row>
    <row r="89" customFormat="false" ht="15" hidden="false" customHeight="true" outlineLevel="0" collapsed="false">
      <c r="A89" s="2" t="n">
        <f aca="false">'Raw Data'!H89</f>
        <v>88</v>
      </c>
      <c r="B89" s="2" t="n">
        <f aca="false">'Raw Data'!A89</f>
        <v>23</v>
      </c>
      <c r="C89" s="2" t="str">
        <f aca="false">'Raw Data'!D89</f>
        <v>Research &amp; Development</v>
      </c>
      <c r="D89" s="2" t="str">
        <f aca="false">'Raw Data'!K89</f>
        <v>Manufacturing Director</v>
      </c>
      <c r="E89" s="2" t="n">
        <f aca="false">'Raw Data'!Q89</f>
        <v>4</v>
      </c>
      <c r="F89" s="2" t="n">
        <f aca="false">'Raw Data'!U89</f>
        <v>2</v>
      </c>
      <c r="G89" s="2" t="n">
        <f aca="false">'Raw Data'!W89</f>
        <v>4</v>
      </c>
      <c r="H89" s="2" t="n">
        <f aca="false">'Raw Data'!V89</f>
        <v>3</v>
      </c>
      <c r="I89" s="2" t="n">
        <f aca="false">IF(AND(ISNUMBER(B89),B89&lt;=25),2,0)+IF(AND(ISNUMBER(E89),E89&lt;=5),2,0)+IF(AND(ISNUMBER(F89),F89&lt;=1),2,0)+IF(AND(ISNUMBER(G89),G89&lt;=2),1,0)+IF(AND(ISNUMBER(H89),H89&lt;=2),1,0)</f>
        <v>4</v>
      </c>
      <c r="J89" s="2" t="str">
        <f aca="false">IF(I89&gt;=6,"High",IF(I89&gt;=3,"Medium","Low"))</f>
        <v>Medium</v>
      </c>
    </row>
    <row r="90" customFormat="false" ht="15" hidden="false" customHeight="true" outlineLevel="0" collapsed="false">
      <c r="A90" s="2" t="n">
        <f aca="false">'Raw Data'!H90</f>
        <v>89</v>
      </c>
      <c r="B90" s="2" t="n">
        <f aca="false">'Raw Data'!A90</f>
        <v>41</v>
      </c>
      <c r="C90" s="2" t="str">
        <f aca="false">'Raw Data'!D90</f>
        <v>Research &amp; Development</v>
      </c>
      <c r="D90" s="2" t="str">
        <f aca="false">'Raw Data'!K90</f>
        <v>Laboratory Technician</v>
      </c>
      <c r="E90" s="2" t="n">
        <f aca="false">'Raw Data'!Q90</f>
        <v>8</v>
      </c>
      <c r="F90" s="2" t="n">
        <f aca="false">'Raw Data'!U90</f>
        <v>2</v>
      </c>
      <c r="G90" s="2" t="n">
        <f aca="false">'Raw Data'!W90</f>
        <v>2</v>
      </c>
      <c r="H90" s="2" t="n">
        <f aca="false">'Raw Data'!V90</f>
        <v>4</v>
      </c>
      <c r="I90" s="2" t="n">
        <f aca="false">IF(AND(ISNUMBER(B90),B90&lt;=25),2,0)+IF(AND(ISNUMBER(E90),E90&lt;=5),2,0)+IF(AND(ISNUMBER(F90),F90&lt;=1),2,0)+IF(AND(ISNUMBER(G90),G90&lt;=2),1,0)+IF(AND(ISNUMBER(H90),H90&lt;=2),1,0)</f>
        <v>1</v>
      </c>
      <c r="J90" s="2" t="str">
        <f aca="false">IF(I90&gt;=6,"High",IF(I90&gt;=3,"Medium","Low"))</f>
        <v>Low</v>
      </c>
    </row>
    <row r="91" customFormat="false" ht="15" hidden="false" customHeight="true" outlineLevel="0" collapsed="false">
      <c r="A91" s="2" t="n">
        <f aca="false">'Raw Data'!H91</f>
        <v>90</v>
      </c>
      <c r="B91" s="2" t="n">
        <f aca="false">'Raw Data'!A91</f>
        <v>47</v>
      </c>
      <c r="C91" s="2" t="str">
        <f aca="false">'Raw Data'!D91</f>
        <v>Sales</v>
      </c>
      <c r="D91" s="2" t="str">
        <f aca="false">'Raw Data'!K91</f>
        <v>Laboratory Technician</v>
      </c>
      <c r="E91" s="2" t="n">
        <f aca="false">'Raw Data'!Q91</f>
        <v>5</v>
      </c>
      <c r="F91" s="2" t="n">
        <f aca="false">'Raw Data'!U91</f>
        <v>0</v>
      </c>
      <c r="G91" s="2" t="n">
        <f aca="false">'Raw Data'!W91</f>
        <v>3</v>
      </c>
      <c r="H91" s="2" t="n">
        <f aca="false">'Raw Data'!V91</f>
        <v>2</v>
      </c>
      <c r="I91" s="2" t="n">
        <f aca="false">IF(AND(ISNUMBER(B91),B91&lt;=25),2,0)+IF(AND(ISNUMBER(E91),E91&lt;=5),2,0)+IF(AND(ISNUMBER(F91),F91&lt;=1),2,0)+IF(AND(ISNUMBER(G91),G91&lt;=2),1,0)+IF(AND(ISNUMBER(H91),H91&lt;=2),1,0)</f>
        <v>5</v>
      </c>
      <c r="J91" s="2" t="str">
        <f aca="false">IF(I91&gt;=6,"High",IF(I91&gt;=3,"Medium","Low"))</f>
        <v>Medium</v>
      </c>
    </row>
    <row r="92" customFormat="false" ht="15" hidden="false" customHeight="true" outlineLevel="0" collapsed="false">
      <c r="A92" s="2" t="n">
        <f aca="false">'Raw Data'!H92</f>
        <v>91</v>
      </c>
      <c r="B92" s="2" t="n">
        <f aca="false">'Raw Data'!A92</f>
        <v>42</v>
      </c>
      <c r="C92" s="2" t="str">
        <f aca="false">'Raw Data'!D92</f>
        <v>Research &amp; Development</v>
      </c>
      <c r="D92" s="2" t="str">
        <f aca="false">'Raw Data'!K92</f>
        <v>Manager</v>
      </c>
      <c r="E92" s="2" t="n">
        <f aca="false">'Raw Data'!Q92</f>
        <v>16</v>
      </c>
      <c r="F92" s="2" t="n">
        <f aca="false">'Raw Data'!U92</f>
        <v>0</v>
      </c>
      <c r="G92" s="2" t="n">
        <f aca="false">'Raw Data'!W92</f>
        <v>4</v>
      </c>
      <c r="H92" s="2" t="n">
        <f aca="false">'Raw Data'!V92</f>
        <v>1</v>
      </c>
      <c r="I92" s="2" t="n">
        <f aca="false">IF(AND(ISNUMBER(B92),B92&lt;=25),2,0)+IF(AND(ISNUMBER(E92),E92&lt;=5),2,0)+IF(AND(ISNUMBER(F92),F92&lt;=1),2,0)+IF(AND(ISNUMBER(G92),G92&lt;=2),1,0)+IF(AND(ISNUMBER(H92),H92&lt;=2),1,0)</f>
        <v>3</v>
      </c>
      <c r="J92" s="2" t="str">
        <f aca="false">IF(I92&gt;=6,"High",IF(I92&gt;=3,"Medium","Low"))</f>
        <v>Medium</v>
      </c>
    </row>
    <row r="93" customFormat="false" ht="15" hidden="false" customHeight="true" outlineLevel="0" collapsed="false">
      <c r="A93" s="2" t="n">
        <f aca="false">'Raw Data'!H93</f>
        <v>92</v>
      </c>
      <c r="B93" s="2" t="n">
        <f aca="false">'Raw Data'!A93</f>
        <v>29</v>
      </c>
      <c r="C93" s="2" t="str">
        <f aca="false">'Raw Data'!D93</f>
        <v>Sales</v>
      </c>
      <c r="D93" s="2" t="str">
        <f aca="false">'Raw Data'!K93</f>
        <v>Human Resources</v>
      </c>
      <c r="E93" s="2" t="n">
        <f aca="false">'Raw Data'!Q93</f>
        <v>4</v>
      </c>
      <c r="F93" s="2" t="n">
        <f aca="false">'Raw Data'!U93</f>
        <v>2</v>
      </c>
      <c r="G93" s="2" t="n">
        <f aca="false">'Raw Data'!W93</f>
        <v>3</v>
      </c>
      <c r="H93" s="2" t="n">
        <f aca="false">'Raw Data'!V93</f>
        <v>4</v>
      </c>
      <c r="I93" s="2" t="n">
        <f aca="false">IF(AND(ISNUMBER(B93),B93&lt;=25),2,0)+IF(AND(ISNUMBER(E93),E93&lt;=5),2,0)+IF(AND(ISNUMBER(F93),F93&lt;=1),2,0)+IF(AND(ISNUMBER(G93),G93&lt;=2),1,0)+IF(AND(ISNUMBER(H93),H93&lt;=2),1,0)</f>
        <v>2</v>
      </c>
      <c r="J93" s="2" t="str">
        <f aca="false">IF(I93&gt;=6,"High",IF(I93&gt;=3,"Medium","Low"))</f>
        <v>Low</v>
      </c>
    </row>
    <row r="94" customFormat="false" ht="15" hidden="false" customHeight="true" outlineLevel="0" collapsed="false">
      <c r="A94" s="2" t="n">
        <f aca="false">'Raw Data'!H94</f>
        <v>93</v>
      </c>
      <c r="B94" s="2" t="n">
        <f aca="false">'Raw Data'!A94</f>
        <v>42</v>
      </c>
      <c r="C94" s="2" t="str">
        <f aca="false">'Raw Data'!D94</f>
        <v>Sales</v>
      </c>
      <c r="D94" s="2" t="str">
        <f aca="false">'Raw Data'!K94</f>
        <v>Research Scientist</v>
      </c>
      <c r="E94" s="2" t="n">
        <f aca="false">'Raw Data'!Q94</f>
        <v>4</v>
      </c>
      <c r="F94" s="2" t="n">
        <f aca="false">'Raw Data'!U94</f>
        <v>0</v>
      </c>
      <c r="G94" s="2" t="n">
        <f aca="false">'Raw Data'!W94</f>
        <v>3</v>
      </c>
      <c r="H94" s="2" t="n">
        <f aca="false">'Raw Data'!V94</f>
        <v>3</v>
      </c>
      <c r="I94" s="2" t="n">
        <f aca="false">IF(AND(ISNUMBER(B94),B94&lt;=25),2,0)+IF(AND(ISNUMBER(E94),E94&lt;=5),2,0)+IF(AND(ISNUMBER(F94),F94&lt;=1),2,0)+IF(AND(ISNUMBER(G94),G94&lt;=2),1,0)+IF(AND(ISNUMBER(H94),H94&lt;=2),1,0)</f>
        <v>4</v>
      </c>
      <c r="J94" s="2" t="str">
        <f aca="false">IF(I94&gt;=6,"High",IF(I94&gt;=3,"Medium","Low"))</f>
        <v>Medium</v>
      </c>
    </row>
    <row r="95" customFormat="false" ht="15" hidden="false" customHeight="true" outlineLevel="0" collapsed="false">
      <c r="A95" s="2" t="n">
        <f aca="false">'Raw Data'!H95</f>
        <v>94</v>
      </c>
      <c r="B95" s="2" t="n">
        <f aca="false">'Raw Data'!A95</f>
        <v>32</v>
      </c>
      <c r="C95" s="2" t="str">
        <f aca="false">'Raw Data'!D95</f>
        <v>Research &amp; Development</v>
      </c>
      <c r="D95" s="2" t="str">
        <f aca="false">'Raw Data'!K95</f>
        <v>Research Scientist</v>
      </c>
      <c r="E95" s="2" t="n">
        <f aca="false">'Raw Data'!Q95</f>
        <v>8</v>
      </c>
      <c r="F95" s="2" t="n">
        <f aca="false">'Raw Data'!U95</f>
        <v>7</v>
      </c>
      <c r="G95" s="2" t="n">
        <f aca="false">'Raw Data'!W95</f>
        <v>2</v>
      </c>
      <c r="H95" s="2" t="n">
        <f aca="false">'Raw Data'!V95</f>
        <v>3</v>
      </c>
      <c r="I95" s="2" t="n">
        <f aca="false">IF(AND(ISNUMBER(B95),B95&lt;=25),2,0)+IF(AND(ISNUMBER(E95),E95&lt;=5),2,0)+IF(AND(ISNUMBER(F95),F95&lt;=1),2,0)+IF(AND(ISNUMBER(G95),G95&lt;=2),1,0)+IF(AND(ISNUMBER(H95),H95&lt;=2),1,0)</f>
        <v>1</v>
      </c>
      <c r="J95" s="2" t="str">
        <f aca="false">IF(I95&gt;=6,"High",IF(I95&gt;=3,"Medium","Low"))</f>
        <v>Low</v>
      </c>
    </row>
    <row r="96" customFormat="false" ht="15" hidden="false" customHeight="true" outlineLevel="0" collapsed="false">
      <c r="A96" s="2" t="n">
        <f aca="false">'Raw Data'!H96</f>
        <v>95</v>
      </c>
      <c r="B96" s="2" t="n">
        <f aca="false">'Raw Data'!A96</f>
        <v>48</v>
      </c>
      <c r="C96" s="2" t="str">
        <f aca="false">'Raw Data'!D96</f>
        <v>Sales</v>
      </c>
      <c r="D96" s="2" t="str">
        <f aca="false">'Raw Data'!K96</f>
        <v>Sales Executive</v>
      </c>
      <c r="E96" s="2" t="n">
        <f aca="false">'Raw Data'!Q96</f>
        <v>15</v>
      </c>
      <c r="F96" s="2" t="n">
        <f aca="false">'Raw Data'!U96</f>
        <v>0</v>
      </c>
      <c r="G96" s="2" t="n">
        <f aca="false">'Raw Data'!W96</f>
        <v>3</v>
      </c>
      <c r="H96" s="2" t="n">
        <f aca="false">'Raw Data'!V96</f>
        <v>1</v>
      </c>
      <c r="I96" s="2" t="n">
        <f aca="false">IF(AND(ISNUMBER(B96),B96&lt;=25),2,0)+IF(AND(ISNUMBER(E96),E96&lt;=5),2,0)+IF(AND(ISNUMBER(F96),F96&lt;=1),2,0)+IF(AND(ISNUMBER(G96),G96&lt;=2),1,0)+IF(AND(ISNUMBER(H96),H96&lt;=2),1,0)</f>
        <v>3</v>
      </c>
      <c r="J96" s="2" t="str">
        <f aca="false">IF(I96&gt;=6,"High",IF(I96&gt;=3,"Medium","Low"))</f>
        <v>Medium</v>
      </c>
    </row>
    <row r="97" customFormat="false" ht="15" hidden="false" customHeight="true" outlineLevel="0" collapsed="false">
      <c r="A97" s="2" t="n">
        <f aca="false">'Raw Data'!H97</f>
        <v>96</v>
      </c>
      <c r="B97" s="2" t="n">
        <f aca="false">'Raw Data'!A97</f>
        <v>37</v>
      </c>
      <c r="C97" s="2" t="str">
        <f aca="false">'Raw Data'!D97</f>
        <v>Research &amp; Development</v>
      </c>
      <c r="D97" s="2" t="str">
        <f aca="false">'Raw Data'!K97</f>
        <v>Manufacturing Director</v>
      </c>
      <c r="E97" s="2" t="n">
        <f aca="false">'Raw Data'!Q97</f>
        <v>13</v>
      </c>
      <c r="F97" s="2" t="n">
        <f aca="false">'Raw Data'!U97</f>
        <v>7</v>
      </c>
      <c r="G97" s="2" t="n">
        <f aca="false">'Raw Data'!W97</f>
        <v>1</v>
      </c>
      <c r="H97" s="2" t="n">
        <f aca="false">'Raw Data'!V97</f>
        <v>3</v>
      </c>
      <c r="I97" s="2" t="n">
        <f aca="false">IF(AND(ISNUMBER(B97),B97&lt;=25),2,0)+IF(AND(ISNUMBER(E97),E97&lt;=5),2,0)+IF(AND(ISNUMBER(F97),F97&lt;=1),2,0)+IF(AND(ISNUMBER(G97),G97&lt;=2),1,0)+IF(AND(ISNUMBER(H97),H97&lt;=2),1,0)</f>
        <v>1</v>
      </c>
      <c r="J97" s="2" t="str">
        <f aca="false">IF(I97&gt;=6,"High",IF(I97&gt;=3,"Medium","Low"))</f>
        <v>Low</v>
      </c>
    </row>
    <row r="98" customFormat="false" ht="15" hidden="false" customHeight="true" outlineLevel="0" collapsed="false">
      <c r="A98" s="2" t="n">
        <f aca="false">'Raw Data'!H98</f>
        <v>97</v>
      </c>
      <c r="B98" s="2" t="n">
        <f aca="false">'Raw Data'!A98</f>
        <v>30</v>
      </c>
      <c r="C98" s="2" t="str">
        <f aca="false">'Raw Data'!D98</f>
        <v>Sales</v>
      </c>
      <c r="D98" s="2" t="str">
        <f aca="false">'Raw Data'!K98</f>
        <v>Healthcare Representative</v>
      </c>
      <c r="E98" s="2" t="n">
        <f aca="false">'Raw Data'!Q98</f>
        <v>4</v>
      </c>
      <c r="F98" s="2" t="n">
        <f aca="false">'Raw Data'!U98</f>
        <v>2</v>
      </c>
      <c r="G98" s="2" t="n">
        <f aca="false">'Raw Data'!W98</f>
        <v>3</v>
      </c>
      <c r="H98" s="2" t="n">
        <f aca="false">'Raw Data'!V98</f>
        <v>4</v>
      </c>
      <c r="I98" s="2" t="n">
        <f aca="false">IF(AND(ISNUMBER(B98),B98&lt;=25),2,0)+IF(AND(ISNUMBER(E98),E98&lt;=5),2,0)+IF(AND(ISNUMBER(F98),F98&lt;=1),2,0)+IF(AND(ISNUMBER(G98),G98&lt;=2),1,0)+IF(AND(ISNUMBER(H98),H98&lt;=2),1,0)</f>
        <v>2</v>
      </c>
      <c r="J98" s="2" t="str">
        <f aca="false">IF(I98&gt;=6,"High",IF(I98&gt;=3,"Medium","Low"))</f>
        <v>Low</v>
      </c>
    </row>
    <row r="99" customFormat="false" ht="15" hidden="false" customHeight="true" outlineLevel="0" collapsed="false">
      <c r="A99" s="2" t="n">
        <f aca="false">'Raw Data'!H99</f>
        <v>98</v>
      </c>
      <c r="B99" s="2" t="n">
        <f aca="false">'Raw Data'!A99</f>
        <v>26</v>
      </c>
      <c r="C99" s="2" t="str">
        <f aca="false">'Raw Data'!D99</f>
        <v>Sales</v>
      </c>
      <c r="D99" s="2" t="str">
        <f aca="false">'Raw Data'!K99</f>
        <v>Laboratory Technician</v>
      </c>
      <c r="E99" s="2" t="n">
        <f aca="false">'Raw Data'!Q99</f>
        <v>8</v>
      </c>
      <c r="F99" s="2" t="n">
        <f aca="false">'Raw Data'!U99</f>
        <v>7</v>
      </c>
      <c r="G99" s="2" t="n">
        <f aca="false">'Raw Data'!W99</f>
        <v>3</v>
      </c>
      <c r="H99" s="2" t="n">
        <f aca="false">'Raw Data'!V99</f>
        <v>3</v>
      </c>
      <c r="I99" s="2" t="n">
        <f aca="false">IF(AND(ISNUMBER(B99),B99&lt;=25),2,0)+IF(AND(ISNUMBER(E99),E99&lt;=5),2,0)+IF(AND(ISNUMBER(F99),F99&lt;=1),2,0)+IF(AND(ISNUMBER(G99),G99&lt;=2),1,0)+IF(AND(ISNUMBER(H99),H99&lt;=2),1,0)</f>
        <v>0</v>
      </c>
      <c r="J99" s="2" t="str">
        <f aca="false">IF(I99&gt;=6,"High",IF(I99&gt;=3,"Medium","Low"))</f>
        <v>Low</v>
      </c>
    </row>
    <row r="100" customFormat="false" ht="15" hidden="false" customHeight="true" outlineLevel="0" collapsed="false">
      <c r="A100" s="2" t="n">
        <f aca="false">'Raw Data'!H100</f>
        <v>99</v>
      </c>
      <c r="B100" s="2" t="n">
        <f aca="false">'Raw Data'!A100</f>
        <v>42</v>
      </c>
      <c r="C100" s="2" t="str">
        <f aca="false">'Raw Data'!D100</f>
        <v>Sales</v>
      </c>
      <c r="D100" s="2" t="str">
        <f aca="false">'Raw Data'!K100</f>
        <v>Laboratory Technician</v>
      </c>
      <c r="E100" s="2" t="n">
        <f aca="false">'Raw Data'!Q100</f>
        <v>14</v>
      </c>
      <c r="F100" s="2" t="n">
        <f aca="false">'Raw Data'!U100</f>
        <v>0</v>
      </c>
      <c r="G100" s="2" t="n">
        <f aca="false">'Raw Data'!W100</f>
        <v>4</v>
      </c>
      <c r="H100" s="2" t="n">
        <f aca="false">'Raw Data'!V100</f>
        <v>1</v>
      </c>
      <c r="I100" s="2" t="n">
        <f aca="false">IF(AND(ISNUMBER(B100),B100&lt;=25),2,0)+IF(AND(ISNUMBER(E100),E100&lt;=5),2,0)+IF(AND(ISNUMBER(F100),F100&lt;=1),2,0)+IF(AND(ISNUMBER(G100),G100&lt;=2),1,0)+IF(AND(ISNUMBER(H100),H100&lt;=2),1,0)</f>
        <v>3</v>
      </c>
      <c r="J100" s="2" t="str">
        <f aca="false">IF(I100&gt;=6,"High",IF(I100&gt;=3,"Medium","Low"))</f>
        <v>Medium</v>
      </c>
    </row>
    <row r="101" customFormat="false" ht="15" hidden="false" customHeight="true" outlineLevel="0" collapsed="false">
      <c r="A101" s="2" t="n">
        <f aca="false">'Raw Data'!H101</f>
        <v>100</v>
      </c>
      <c r="B101" s="2" t="n">
        <f aca="false">'Raw Data'!A101</f>
        <v>21</v>
      </c>
      <c r="C101" s="2" t="str">
        <f aca="false">'Raw Data'!D101</f>
        <v>Research &amp; Development</v>
      </c>
      <c r="D101" s="2" t="str">
        <f aca="false">'Raw Data'!K101</f>
        <v>Manufacturing Director</v>
      </c>
      <c r="E101" s="2" t="n">
        <f aca="false">'Raw Data'!Q101</f>
        <v>3</v>
      </c>
      <c r="F101" s="2" t="n">
        <f aca="false">'Raw Data'!U101</f>
        <v>2</v>
      </c>
      <c r="G101" s="2" t="n">
        <f aca="false">'Raw Data'!W101</f>
        <v>2</v>
      </c>
      <c r="H101" s="2" t="n">
        <f aca="false">'Raw Data'!V101</f>
        <v>1</v>
      </c>
      <c r="I101" s="2" t="n">
        <f aca="false">IF(AND(ISNUMBER(B101),B101&lt;=25),2,0)+IF(AND(ISNUMBER(E101),E101&lt;=5),2,0)+IF(AND(ISNUMBER(F101),F101&lt;=1),2,0)+IF(AND(ISNUMBER(G101),G101&lt;=2),1,0)+IF(AND(ISNUMBER(H101),H101&lt;=2),1,0)</f>
        <v>6</v>
      </c>
      <c r="J101" s="2" t="str">
        <f aca="false">IF(I101&gt;=6,"High",IF(I101&gt;=3,"Medium","Low"))</f>
        <v>High</v>
      </c>
    </row>
    <row r="102" customFormat="false" ht="15" hidden="false" customHeight="true" outlineLevel="0" collapsed="false">
      <c r="A102" s="2" t="n">
        <f aca="false">'Raw Data'!H102</f>
        <v>101</v>
      </c>
      <c r="B102" s="2" t="n">
        <f aca="false">'Raw Data'!A102</f>
        <v>36</v>
      </c>
      <c r="C102" s="2" t="str">
        <f aca="false">'Raw Data'!D102</f>
        <v>Human Resources</v>
      </c>
      <c r="D102" s="2" t="str">
        <f aca="false">'Raw Data'!K102</f>
        <v>Laboratory Technician</v>
      </c>
      <c r="E102" s="2" t="n">
        <f aca="false">'Raw Data'!Q102</f>
        <v>7</v>
      </c>
      <c r="F102" s="2" t="n">
        <f aca="false">'Raw Data'!U102</f>
        <v>0</v>
      </c>
      <c r="G102" s="2" t="n">
        <f aca="false">'Raw Data'!W102</f>
        <v>4</v>
      </c>
      <c r="H102" s="2" t="n">
        <f aca="false">'Raw Data'!V102</f>
        <v>4</v>
      </c>
      <c r="I102" s="2" t="n">
        <f aca="false">IF(AND(ISNUMBER(B102),B102&lt;=25),2,0)+IF(AND(ISNUMBER(E102),E102&lt;=5),2,0)+IF(AND(ISNUMBER(F102),F102&lt;=1),2,0)+IF(AND(ISNUMBER(G102),G102&lt;=2),1,0)+IF(AND(ISNUMBER(H102),H102&lt;=2),1,0)</f>
        <v>2</v>
      </c>
      <c r="J102" s="2" t="str">
        <f aca="false">IF(I102&gt;=6,"High",IF(I102&gt;=3,"Medium","Low"))</f>
        <v>Low</v>
      </c>
    </row>
    <row r="103" customFormat="false" ht="15" hidden="false" customHeight="true" outlineLevel="0" collapsed="false">
      <c r="A103" s="2" t="n">
        <f aca="false">'Raw Data'!H103</f>
        <v>102</v>
      </c>
      <c r="B103" s="2" t="n">
        <f aca="false">'Raw Data'!A103</f>
        <v>36</v>
      </c>
      <c r="C103" s="2" t="str">
        <f aca="false">'Raw Data'!D103</f>
        <v>Research &amp; Development</v>
      </c>
      <c r="D103" s="2" t="str">
        <f aca="false">'Raw Data'!K103</f>
        <v>Research Scientist</v>
      </c>
      <c r="E103" s="2" t="n">
        <f aca="false">'Raw Data'!Q103</f>
        <v>16</v>
      </c>
      <c r="F103" s="2" t="n">
        <f aca="false">'Raw Data'!U103</f>
        <v>12</v>
      </c>
      <c r="G103" s="2" t="n">
        <f aca="false">'Raw Data'!W103</f>
        <v>4</v>
      </c>
      <c r="H103" s="2" t="n">
        <f aca="false">'Raw Data'!V103</f>
        <v>1</v>
      </c>
      <c r="I103" s="2" t="n">
        <f aca="false">IF(AND(ISNUMBER(B103),B103&lt;=25),2,0)+IF(AND(ISNUMBER(E103),E103&lt;=5),2,0)+IF(AND(ISNUMBER(F103),F103&lt;=1),2,0)+IF(AND(ISNUMBER(G103),G103&lt;=2),1,0)+IF(AND(ISNUMBER(H103),H103&lt;=2),1,0)</f>
        <v>1</v>
      </c>
      <c r="J103" s="2" t="str">
        <f aca="false">IF(I103&gt;=6,"High",IF(I103&gt;=3,"Medium","Low"))</f>
        <v>Low</v>
      </c>
    </row>
    <row r="104" customFormat="false" ht="15" hidden="false" customHeight="true" outlineLevel="0" collapsed="false">
      <c r="A104" s="2" t="n">
        <f aca="false">'Raw Data'!H104</f>
        <v>103</v>
      </c>
      <c r="B104" s="2" t="n">
        <f aca="false">'Raw Data'!A104</f>
        <v>57</v>
      </c>
      <c r="C104" s="2" t="str">
        <f aca="false">'Raw Data'!D104</f>
        <v>Research &amp; Development</v>
      </c>
      <c r="D104" s="2" t="str">
        <f aca="false">'Raw Data'!K104</f>
        <v>Research Scientist</v>
      </c>
      <c r="E104" s="2" t="n">
        <f aca="false">'Raw Data'!Q104</f>
        <v>15</v>
      </c>
      <c r="F104" s="2" t="n">
        <f aca="false">'Raw Data'!U104</f>
        <v>2</v>
      </c>
      <c r="G104" s="2" t="n">
        <f aca="false">'Raw Data'!W104</f>
        <v>3</v>
      </c>
      <c r="H104" s="2" t="n">
        <f aca="false">'Raw Data'!V104</f>
        <v>4</v>
      </c>
      <c r="I104" s="2" t="n">
        <f aca="false">IF(AND(ISNUMBER(B104),B104&lt;=25),2,0)+IF(AND(ISNUMBER(E104),E104&lt;=5),2,0)+IF(AND(ISNUMBER(F104),F104&lt;=1),2,0)+IF(AND(ISNUMBER(G104),G104&lt;=2),1,0)+IF(AND(ISNUMBER(H104),H104&lt;=2),1,0)</f>
        <v>0</v>
      </c>
      <c r="J104" s="2" t="str">
        <f aca="false">IF(I104&gt;=6,"High",IF(I104&gt;=3,"Medium","Low"))</f>
        <v>Low</v>
      </c>
    </row>
    <row r="105" customFormat="false" ht="15" hidden="false" customHeight="true" outlineLevel="0" collapsed="false">
      <c r="A105" s="2" t="n">
        <f aca="false">'Raw Data'!H105</f>
        <v>104</v>
      </c>
      <c r="B105" s="2" t="n">
        <f aca="false">'Raw Data'!A105</f>
        <v>40</v>
      </c>
      <c r="C105" s="2" t="str">
        <f aca="false">'Raw Data'!D105</f>
        <v>Research &amp; Development</v>
      </c>
      <c r="D105" s="2" t="str">
        <f aca="false">'Raw Data'!K105</f>
        <v>Sales Executive</v>
      </c>
      <c r="E105" s="2" t="n">
        <f aca="false">'Raw Data'!Q105</f>
        <v>10</v>
      </c>
      <c r="F105" s="2" t="n">
        <f aca="false">'Raw Data'!U105</f>
        <v>7</v>
      </c>
      <c r="G105" s="2" t="n">
        <f aca="false">'Raw Data'!W105</f>
        <v>3</v>
      </c>
      <c r="H105" s="2" t="n">
        <f aca="false">'Raw Data'!V105</f>
        <v>4</v>
      </c>
      <c r="I105" s="2" t="n">
        <f aca="false">IF(AND(ISNUMBER(B105),B105&lt;=25),2,0)+IF(AND(ISNUMBER(E105),E105&lt;=5),2,0)+IF(AND(ISNUMBER(F105),F105&lt;=1),2,0)+IF(AND(ISNUMBER(G105),G105&lt;=2),1,0)+IF(AND(ISNUMBER(H105),H105&lt;=2),1,0)</f>
        <v>0</v>
      </c>
      <c r="J105" s="2" t="str">
        <f aca="false">IF(I105&gt;=6,"High",IF(I105&gt;=3,"Medium","Low"))</f>
        <v>Low</v>
      </c>
    </row>
    <row r="106" customFormat="false" ht="15" hidden="false" customHeight="true" outlineLevel="0" collapsed="false">
      <c r="A106" s="2" t="n">
        <f aca="false">'Raw Data'!H106</f>
        <v>105</v>
      </c>
      <c r="B106" s="2" t="n">
        <f aca="false">'Raw Data'!A106</f>
        <v>21</v>
      </c>
      <c r="C106" s="2" t="str">
        <f aca="false">'Raw Data'!D106</f>
        <v>Research &amp; Development</v>
      </c>
      <c r="D106" s="2" t="str">
        <f aca="false">'Raw Data'!K106</f>
        <v>Manager</v>
      </c>
      <c r="E106" s="2" t="n">
        <f aca="false">'Raw Data'!Q106</f>
        <v>3</v>
      </c>
      <c r="F106" s="2" t="n">
        <f aca="false">'Raw Data'!U106</f>
        <v>2</v>
      </c>
      <c r="G106" s="2" t="n">
        <f aca="false">'Raw Data'!W106</f>
        <v>4</v>
      </c>
      <c r="H106" s="2" t="n">
        <f aca="false">'Raw Data'!V106</f>
        <v>1</v>
      </c>
      <c r="I106" s="2" t="n">
        <f aca="false">IF(AND(ISNUMBER(B106),B106&lt;=25),2,0)+IF(AND(ISNUMBER(E106),E106&lt;=5),2,0)+IF(AND(ISNUMBER(F106),F106&lt;=1),2,0)+IF(AND(ISNUMBER(G106),G106&lt;=2),1,0)+IF(AND(ISNUMBER(H106),H106&lt;=2),1,0)</f>
        <v>5</v>
      </c>
      <c r="J106" s="2" t="str">
        <f aca="false">IF(I106&gt;=6,"High",IF(I106&gt;=3,"Medium","Low"))</f>
        <v>Medium</v>
      </c>
    </row>
    <row r="107" customFormat="false" ht="15" hidden="false" customHeight="true" outlineLevel="0" collapsed="false">
      <c r="A107" s="2" t="n">
        <f aca="false">'Raw Data'!H107</f>
        <v>106</v>
      </c>
      <c r="B107" s="2" t="n">
        <f aca="false">'Raw Data'!A107</f>
        <v>33</v>
      </c>
      <c r="C107" s="2" t="str">
        <f aca="false">'Raw Data'!D107</f>
        <v>Human Resources</v>
      </c>
      <c r="D107" s="2" t="str">
        <f aca="false">'Raw Data'!K107</f>
        <v>Manager</v>
      </c>
      <c r="E107" s="2" t="n">
        <f aca="false">'Raw Data'!Q107</f>
        <v>1</v>
      </c>
      <c r="F107" s="2" t="n">
        <f aca="false">'Raw Data'!U107</f>
        <v>0</v>
      </c>
      <c r="G107" s="2" t="n">
        <f aca="false">'Raw Data'!W107</f>
        <v>3</v>
      </c>
      <c r="H107" s="2" t="n">
        <f aca="false">'Raw Data'!V107</f>
        <v>4</v>
      </c>
      <c r="I107" s="2" t="n">
        <f aca="false">IF(AND(ISNUMBER(B107),B107&lt;=25),2,0)+IF(AND(ISNUMBER(E107),E107&lt;=5),2,0)+IF(AND(ISNUMBER(F107),F107&lt;=1),2,0)+IF(AND(ISNUMBER(G107),G107&lt;=2),1,0)+IF(AND(ISNUMBER(H107),H107&lt;=2),1,0)</f>
        <v>4</v>
      </c>
      <c r="J107" s="2" t="str">
        <f aca="false">IF(I107&gt;=6,"High",IF(I107&gt;=3,"Medium","Low"))</f>
        <v>Medium</v>
      </c>
    </row>
    <row r="108" customFormat="false" ht="15" hidden="false" customHeight="true" outlineLevel="0" collapsed="false">
      <c r="A108" s="2" t="n">
        <f aca="false">'Raw Data'!H108</f>
        <v>107</v>
      </c>
      <c r="B108" s="2" t="n">
        <f aca="false">'Raw Data'!A108</f>
        <v>37</v>
      </c>
      <c r="C108" s="2" t="str">
        <f aca="false">'Raw Data'!D108</f>
        <v>Research &amp; Development</v>
      </c>
      <c r="D108" s="2" t="str">
        <f aca="false">'Raw Data'!K108</f>
        <v>Research Scientist</v>
      </c>
      <c r="E108" s="2" t="n">
        <f aca="false">'Raw Data'!Q108</f>
        <v>17</v>
      </c>
      <c r="F108" s="2" t="n">
        <f aca="false">'Raw Data'!U108</f>
        <v>3</v>
      </c>
      <c r="G108" s="2" t="n">
        <f aca="false">'Raw Data'!W108</f>
        <v>1</v>
      </c>
      <c r="H108" s="2" t="n">
        <f aca="false">'Raw Data'!V108</f>
        <v>3</v>
      </c>
      <c r="I108" s="2" t="n">
        <f aca="false">IF(AND(ISNUMBER(B108),B108&lt;=25),2,0)+IF(AND(ISNUMBER(E108),E108&lt;=5),2,0)+IF(AND(ISNUMBER(F108),F108&lt;=1),2,0)+IF(AND(ISNUMBER(G108),G108&lt;=2),1,0)+IF(AND(ISNUMBER(H108),H108&lt;=2),1,0)</f>
        <v>1</v>
      </c>
      <c r="J108" s="2" t="str">
        <f aca="false">IF(I108&gt;=6,"High",IF(I108&gt;=3,"Medium","Low"))</f>
        <v>Low</v>
      </c>
    </row>
    <row r="109" customFormat="false" ht="15" hidden="false" customHeight="true" outlineLevel="0" collapsed="false">
      <c r="A109" s="2" t="n">
        <f aca="false">'Raw Data'!H109</f>
        <v>108</v>
      </c>
      <c r="B109" s="2" t="n">
        <f aca="false">'Raw Data'!A109</f>
        <v>46</v>
      </c>
      <c r="C109" s="2" t="str">
        <f aca="false">'Raw Data'!D109</f>
        <v>Sales</v>
      </c>
      <c r="D109" s="2" t="str">
        <f aca="false">'Raw Data'!K109</f>
        <v>Laboratory Technician</v>
      </c>
      <c r="E109" s="2" t="n">
        <f aca="false">'Raw Data'!Q109</f>
        <v>7</v>
      </c>
      <c r="F109" s="2" t="n">
        <f aca="false">'Raw Data'!U109</f>
        <v>0</v>
      </c>
      <c r="G109" s="2" t="n">
        <f aca="false">'Raw Data'!W109</f>
        <v>3</v>
      </c>
      <c r="H109" s="2" t="n">
        <f aca="false">'Raw Data'!V109</f>
        <v>3</v>
      </c>
      <c r="I109" s="2" t="n">
        <f aca="false">IF(AND(ISNUMBER(B109),B109&lt;=25),2,0)+IF(AND(ISNUMBER(E109),E109&lt;=5),2,0)+IF(AND(ISNUMBER(F109),F109&lt;=1),2,0)+IF(AND(ISNUMBER(G109),G109&lt;=2),1,0)+IF(AND(ISNUMBER(H109),H109&lt;=2),1,0)</f>
        <v>2</v>
      </c>
      <c r="J109" s="2" t="str">
        <f aca="false">IF(I109&gt;=6,"High",IF(I109&gt;=3,"Medium","Low"))</f>
        <v>Low</v>
      </c>
    </row>
    <row r="110" customFormat="false" ht="15" hidden="false" customHeight="true" outlineLevel="0" collapsed="false">
      <c r="A110" s="2" t="n">
        <f aca="false">'Raw Data'!H110</f>
        <v>109</v>
      </c>
      <c r="B110" s="2" t="n">
        <f aca="false">'Raw Data'!A110</f>
        <v>41</v>
      </c>
      <c r="C110" s="2" t="str">
        <f aca="false">'Raw Data'!D110</f>
        <v>Research &amp; Development</v>
      </c>
      <c r="D110" s="2" t="str">
        <f aca="false">'Raw Data'!K110</f>
        <v>Research Scientist</v>
      </c>
      <c r="E110" s="2" t="n">
        <f aca="false">'Raw Data'!Q110</f>
        <v>8</v>
      </c>
      <c r="F110" s="2" t="n">
        <f aca="false">'Raw Data'!U110</f>
        <v>7</v>
      </c>
      <c r="G110" s="2" t="n">
        <f aca="false">'Raw Data'!W110</f>
        <v>2</v>
      </c>
      <c r="H110" s="2" t="n">
        <f aca="false">'Raw Data'!V110</f>
        <v>1</v>
      </c>
      <c r="I110" s="2" t="n">
        <f aca="false">IF(AND(ISNUMBER(B110),B110&lt;=25),2,0)+IF(AND(ISNUMBER(E110),E110&lt;=5),2,0)+IF(AND(ISNUMBER(F110),F110&lt;=1),2,0)+IF(AND(ISNUMBER(G110),G110&lt;=2),1,0)+IF(AND(ISNUMBER(H110),H110&lt;=2),1,0)</f>
        <v>2</v>
      </c>
      <c r="J110" s="2" t="str">
        <f aca="false">IF(I110&gt;=6,"High",IF(I110&gt;=3,"Medium","Low"))</f>
        <v>Low</v>
      </c>
    </row>
    <row r="111" customFormat="false" ht="15" hidden="false" customHeight="true" outlineLevel="0" collapsed="false">
      <c r="A111" s="2" t="n">
        <f aca="false">'Raw Data'!H111</f>
        <v>110</v>
      </c>
      <c r="B111" s="2" t="n">
        <f aca="false">'Raw Data'!A111</f>
        <v>50</v>
      </c>
      <c r="C111" s="2" t="str">
        <f aca="false">'Raw Data'!D111</f>
        <v>Research &amp; Development</v>
      </c>
      <c r="D111" s="2" t="str">
        <f aca="false">'Raw Data'!K111</f>
        <v>Laboratory Technician</v>
      </c>
      <c r="E111" s="2" t="n">
        <f aca="false">'Raw Data'!Q111</f>
        <v>20</v>
      </c>
      <c r="F111" s="2" t="n">
        <f aca="false">'Raw Data'!U111</f>
        <v>3</v>
      </c>
      <c r="G111" s="2" t="n">
        <f aca="false">'Raw Data'!W111</f>
        <v>4</v>
      </c>
      <c r="H111" s="2" t="n">
        <f aca="false">'Raw Data'!V111</f>
        <v>4</v>
      </c>
      <c r="I111" s="2" t="n">
        <f aca="false">IF(AND(ISNUMBER(B111),B111&lt;=25),2,0)+IF(AND(ISNUMBER(E111),E111&lt;=5),2,0)+IF(AND(ISNUMBER(F111),F111&lt;=1),2,0)+IF(AND(ISNUMBER(G111),G111&lt;=2),1,0)+IF(AND(ISNUMBER(H111),H111&lt;=2),1,0)</f>
        <v>0</v>
      </c>
      <c r="J111" s="2" t="str">
        <f aca="false">IF(I111&gt;=6,"High",IF(I111&gt;=3,"Medium","Low"))</f>
        <v>Low</v>
      </c>
    </row>
    <row r="112" customFormat="false" ht="15" hidden="false" customHeight="true" outlineLevel="0" collapsed="false">
      <c r="A112" s="2" t="n">
        <f aca="false">'Raw Data'!H112</f>
        <v>111</v>
      </c>
      <c r="B112" s="2" t="n">
        <f aca="false">'Raw Data'!A112</f>
        <v>40</v>
      </c>
      <c r="C112" s="2" t="str">
        <f aca="false">'Raw Data'!D112</f>
        <v>Research &amp; Development</v>
      </c>
      <c r="D112" s="2" t="str">
        <f aca="false">'Raw Data'!K112</f>
        <v>Healthcare Representative</v>
      </c>
      <c r="E112" s="2" t="n">
        <f aca="false">'Raw Data'!Q112</f>
        <v>8</v>
      </c>
      <c r="F112" s="2" t="n">
        <f aca="false">'Raw Data'!U112</f>
        <v>0</v>
      </c>
      <c r="G112" s="2" t="n">
        <f aca="false">'Raw Data'!W112</f>
        <v>3</v>
      </c>
      <c r="H112" s="2" t="n">
        <f aca="false">'Raw Data'!V112</f>
        <v>3</v>
      </c>
      <c r="I112" s="2" t="n">
        <f aca="false">IF(AND(ISNUMBER(B112),B112&lt;=25),2,0)+IF(AND(ISNUMBER(E112),E112&lt;=5),2,0)+IF(AND(ISNUMBER(F112),F112&lt;=1),2,0)+IF(AND(ISNUMBER(G112),G112&lt;=2),1,0)+IF(AND(ISNUMBER(H112),H112&lt;=2),1,0)</f>
        <v>2</v>
      </c>
      <c r="J112" s="2" t="str">
        <f aca="false">IF(I112&gt;=6,"High",IF(I112&gt;=3,"Medium","Low"))</f>
        <v>Low</v>
      </c>
    </row>
    <row r="113" customFormat="false" ht="15" hidden="false" customHeight="true" outlineLevel="0" collapsed="false">
      <c r="A113" s="2" t="n">
        <f aca="false">'Raw Data'!H113</f>
        <v>112</v>
      </c>
      <c r="B113" s="2" t="n">
        <f aca="false">'Raw Data'!A113</f>
        <v>31</v>
      </c>
      <c r="C113" s="2" t="str">
        <f aca="false">'Raw Data'!D113</f>
        <v>Research &amp; Development</v>
      </c>
      <c r="D113" s="2" t="str">
        <f aca="false">'Raw Data'!K113</f>
        <v>Human Resources</v>
      </c>
      <c r="E113" s="2" t="n">
        <f aca="false">'Raw Data'!Q113</f>
        <v>3</v>
      </c>
      <c r="F113" s="2" t="n">
        <f aca="false">'Raw Data'!U113</f>
        <v>2</v>
      </c>
      <c r="G113" s="2" t="n">
        <f aca="false">'Raw Data'!W113</f>
        <v>2</v>
      </c>
      <c r="H113" s="2" t="n">
        <f aca="false">'Raw Data'!V113</f>
        <v>0</v>
      </c>
      <c r="I113" s="2" t="n">
        <f aca="false">IF(AND(ISNUMBER(B113),B113&lt;=25),2,0)+IF(AND(ISNUMBER(E113),E113&lt;=5),2,0)+IF(AND(ISNUMBER(F113),F113&lt;=1),2,0)+IF(AND(ISNUMBER(G113),G113&lt;=2),1,0)+IF(AND(ISNUMBER(H113),H113&lt;=2),1,0)</f>
        <v>3</v>
      </c>
      <c r="J113" s="2" t="str">
        <f aca="false">IF(I113&gt;=6,"High",IF(I113&gt;=3,"Medium","Low"))</f>
        <v>Medium</v>
      </c>
    </row>
    <row r="114" customFormat="false" ht="15" hidden="false" customHeight="true" outlineLevel="0" collapsed="false">
      <c r="A114" s="2" t="n">
        <f aca="false">'Raw Data'!H114</f>
        <v>113</v>
      </c>
      <c r="B114" s="2" t="n">
        <f aca="false">'Raw Data'!A114</f>
        <v>21</v>
      </c>
      <c r="C114" s="2" t="str">
        <f aca="false">'Raw Data'!D114</f>
        <v>Human Resources</v>
      </c>
      <c r="D114" s="2" t="str">
        <f aca="false">'Raw Data'!K114</f>
        <v>Laboratory Technician</v>
      </c>
      <c r="E114" s="2" t="n">
        <f aca="false">'Raw Data'!Q114</f>
        <v>1</v>
      </c>
      <c r="F114" s="2" t="n">
        <f aca="false">'Raw Data'!U114</f>
        <v>0</v>
      </c>
      <c r="G114" s="2" t="n">
        <f aca="false">'Raw Data'!W114</f>
        <v>2</v>
      </c>
      <c r="H114" s="2" t="n">
        <f aca="false">'Raw Data'!V114</f>
        <v>3</v>
      </c>
      <c r="I114" s="2" t="n">
        <f aca="false">IF(AND(ISNUMBER(B114),B114&lt;=25),2,0)+IF(AND(ISNUMBER(E114),E114&lt;=5),2,0)+IF(AND(ISNUMBER(F114),F114&lt;=1),2,0)+IF(AND(ISNUMBER(G114),G114&lt;=2),1,0)+IF(AND(ISNUMBER(H114),H114&lt;=2),1,0)</f>
        <v>7</v>
      </c>
      <c r="J114" s="2" t="str">
        <f aca="false">IF(I114&gt;=6,"High",IF(I114&gt;=3,"Medium","Low"))</f>
        <v>High</v>
      </c>
    </row>
    <row r="115" customFormat="false" ht="15" hidden="false" customHeight="true" outlineLevel="0" collapsed="false">
      <c r="A115" s="2" t="n">
        <f aca="false">'Raw Data'!H115</f>
        <v>114</v>
      </c>
      <c r="B115" s="2" t="n">
        <f aca="false">'Raw Data'!A115</f>
        <v>29</v>
      </c>
      <c r="C115" s="2" t="str">
        <f aca="false">'Raw Data'!D115</f>
        <v>Research &amp; Development</v>
      </c>
      <c r="D115" s="2" t="str">
        <f aca="false">'Raw Data'!K115</f>
        <v>Research Director</v>
      </c>
      <c r="E115" s="2" t="n">
        <f aca="false">'Raw Data'!Q115</f>
        <v>6</v>
      </c>
      <c r="F115" s="2" t="n">
        <f aca="false">'Raw Data'!U115</f>
        <v>2</v>
      </c>
      <c r="G115" s="2" t="n">
        <f aca="false">'Raw Data'!W115</f>
        <v>4</v>
      </c>
      <c r="H115" s="2" t="n">
        <f aca="false">'Raw Data'!V115</f>
        <v>4</v>
      </c>
      <c r="I115" s="2" t="n">
        <f aca="false">IF(AND(ISNUMBER(B115),B115&lt;=25),2,0)+IF(AND(ISNUMBER(E115),E115&lt;=5),2,0)+IF(AND(ISNUMBER(F115),F115&lt;=1),2,0)+IF(AND(ISNUMBER(G115),G115&lt;=2),1,0)+IF(AND(ISNUMBER(H115),H115&lt;=2),1,0)</f>
        <v>0</v>
      </c>
      <c r="J115" s="2" t="str">
        <f aca="false">IF(I115&gt;=6,"High",IF(I115&gt;=3,"Medium","Low"))</f>
        <v>Low</v>
      </c>
    </row>
    <row r="116" customFormat="false" ht="15" hidden="false" customHeight="true" outlineLevel="0" collapsed="false">
      <c r="A116" s="2" t="n">
        <f aca="false">'Raw Data'!H116</f>
        <v>115</v>
      </c>
      <c r="B116" s="2" t="n">
        <f aca="false">'Raw Data'!A116</f>
        <v>35</v>
      </c>
      <c r="C116" s="2" t="str">
        <f aca="false">'Raw Data'!D116</f>
        <v>Research &amp; Development</v>
      </c>
      <c r="D116" s="2" t="str">
        <f aca="false">'Raw Data'!K116</f>
        <v>Sales Executive</v>
      </c>
      <c r="E116" s="2" t="n">
        <f aca="false">'Raw Data'!Q116</f>
        <v>10</v>
      </c>
      <c r="F116" s="2" t="n">
        <f aca="false">'Raw Data'!U116</f>
        <v>0</v>
      </c>
      <c r="G116" s="2" t="n">
        <f aca="false">'Raw Data'!W116</f>
        <v>2</v>
      </c>
      <c r="H116" s="2" t="n">
        <f aca="false">'Raw Data'!V116</f>
        <v>3</v>
      </c>
      <c r="I116" s="2" t="n">
        <f aca="false">IF(AND(ISNUMBER(B116),B116&lt;=25),2,0)+IF(AND(ISNUMBER(E116),E116&lt;=5),2,0)+IF(AND(ISNUMBER(F116),F116&lt;=1),2,0)+IF(AND(ISNUMBER(G116),G116&lt;=2),1,0)+IF(AND(ISNUMBER(H116),H116&lt;=2),1,0)</f>
        <v>3</v>
      </c>
      <c r="J116" s="2" t="str">
        <f aca="false">IF(I116&gt;=6,"High",IF(I116&gt;=3,"Medium","Low"))</f>
        <v>Medium</v>
      </c>
    </row>
    <row r="117" customFormat="false" ht="15" hidden="false" customHeight="true" outlineLevel="0" collapsed="false">
      <c r="A117" s="2" t="n">
        <f aca="false">'Raw Data'!H117</f>
        <v>116</v>
      </c>
      <c r="B117" s="2" t="n">
        <f aca="false">'Raw Data'!A117</f>
        <v>27</v>
      </c>
      <c r="C117" s="2" t="str">
        <f aca="false">'Raw Data'!D117</f>
        <v>Sales</v>
      </c>
      <c r="D117" s="2" t="str">
        <f aca="false">'Raw Data'!K117</f>
        <v>Sales Executive</v>
      </c>
      <c r="E117" s="2" t="n">
        <f aca="false">'Raw Data'!Q117</f>
        <v>5</v>
      </c>
      <c r="F117" s="2" t="n">
        <f aca="false">'Raw Data'!U117</f>
        <v>4</v>
      </c>
      <c r="G117" s="2" t="n">
        <f aca="false">'Raw Data'!W117</f>
        <v>2</v>
      </c>
      <c r="H117" s="2" t="n">
        <f aca="false">'Raw Data'!V117</f>
        <v>4</v>
      </c>
      <c r="I117" s="2" t="n">
        <f aca="false">IF(AND(ISNUMBER(B117),B117&lt;=25),2,0)+IF(AND(ISNUMBER(E117),E117&lt;=5),2,0)+IF(AND(ISNUMBER(F117),F117&lt;=1),2,0)+IF(AND(ISNUMBER(G117),G117&lt;=2),1,0)+IF(AND(ISNUMBER(H117),H117&lt;=2),1,0)</f>
        <v>3</v>
      </c>
      <c r="J117" s="2" t="str">
        <f aca="false">IF(I117&gt;=6,"High",IF(I117&gt;=3,"Medium","Low"))</f>
        <v>Medium</v>
      </c>
    </row>
    <row r="118" customFormat="false" ht="15" hidden="false" customHeight="true" outlineLevel="0" collapsed="false">
      <c r="A118" s="2" t="n">
        <f aca="false">'Raw Data'!H118</f>
        <v>117</v>
      </c>
      <c r="B118" s="2" t="n">
        <f aca="false">'Raw Data'!A118</f>
        <v>28</v>
      </c>
      <c r="C118" s="2" t="str">
        <f aca="false">'Raw Data'!D118</f>
        <v>Research &amp; Development</v>
      </c>
      <c r="D118" s="2" t="str">
        <f aca="false">'Raw Data'!K118</f>
        <v>Manager</v>
      </c>
      <c r="E118" s="2" t="n">
        <f aca="false">'Raw Data'!Q118</f>
        <v>7</v>
      </c>
      <c r="F118" s="2" t="n">
        <f aca="false">'Raw Data'!U118</f>
        <v>7</v>
      </c>
      <c r="G118" s="2" t="n">
        <f aca="false">'Raw Data'!W118</f>
        <v>4</v>
      </c>
      <c r="H118" s="2" t="n">
        <f aca="false">'Raw Data'!V118</f>
        <v>2</v>
      </c>
      <c r="I118" s="2" t="n">
        <f aca="false">IF(AND(ISNUMBER(B118),B118&lt;=25),2,0)+IF(AND(ISNUMBER(E118),E118&lt;=5),2,0)+IF(AND(ISNUMBER(F118),F118&lt;=1),2,0)+IF(AND(ISNUMBER(G118),G118&lt;=2),1,0)+IF(AND(ISNUMBER(H118),H118&lt;=2),1,0)</f>
        <v>1</v>
      </c>
      <c r="J118" s="2" t="str">
        <f aca="false">IF(I118&gt;=6,"High",IF(I118&gt;=3,"Medium","Low"))</f>
        <v>Low</v>
      </c>
    </row>
    <row r="119" customFormat="false" ht="15" hidden="false" customHeight="true" outlineLevel="0" collapsed="false">
      <c r="A119" s="2" t="n">
        <f aca="false">'Raw Data'!H119</f>
        <v>118</v>
      </c>
      <c r="B119" s="2" t="n">
        <f aca="false">'Raw Data'!A119</f>
        <v>49</v>
      </c>
      <c r="C119" s="2" t="str">
        <f aca="false">'Raw Data'!D119</f>
        <v>Sales</v>
      </c>
      <c r="D119" s="2" t="str">
        <f aca="false">'Raw Data'!K119</f>
        <v>Manufacturing Director</v>
      </c>
      <c r="E119" s="2" t="n">
        <f aca="false">'Raw Data'!Q119</f>
        <v>26</v>
      </c>
      <c r="F119" s="2" t="n">
        <f aca="false">'Raw Data'!U119</f>
        <v>0</v>
      </c>
      <c r="G119" s="2" t="n">
        <f aca="false">'Raw Data'!W119</f>
        <v>3</v>
      </c>
      <c r="H119" s="2" t="n">
        <f aca="false">'Raw Data'!V119</f>
        <v>2</v>
      </c>
      <c r="I119" s="2" t="n">
        <f aca="false">IF(AND(ISNUMBER(B119),B119&lt;=25),2,0)+IF(AND(ISNUMBER(E119),E119&lt;=5),2,0)+IF(AND(ISNUMBER(F119),F119&lt;=1),2,0)+IF(AND(ISNUMBER(G119),G119&lt;=2),1,0)+IF(AND(ISNUMBER(H119),H119&lt;=2),1,0)</f>
        <v>3</v>
      </c>
      <c r="J119" s="2" t="str">
        <f aca="false">IF(I119&gt;=6,"High",IF(I119&gt;=3,"Medium","Low"))</f>
        <v>Medium</v>
      </c>
    </row>
    <row r="120" customFormat="false" ht="15" hidden="false" customHeight="true" outlineLevel="0" collapsed="false">
      <c r="A120" s="2" t="n">
        <f aca="false">'Raw Data'!H120</f>
        <v>119</v>
      </c>
      <c r="B120" s="2" t="n">
        <f aca="false">'Raw Data'!A120</f>
        <v>51</v>
      </c>
      <c r="C120" s="2" t="str">
        <f aca="false">'Raw Data'!D120</f>
        <v>Research &amp; Development</v>
      </c>
      <c r="D120" s="2" t="str">
        <f aca="false">'Raw Data'!K120</f>
        <v>Sales Executive</v>
      </c>
      <c r="E120" s="2" t="n">
        <f aca="false">'Raw Data'!Q120</f>
        <v>18</v>
      </c>
      <c r="F120" s="2" t="n">
        <f aca="false">'Raw Data'!U120</f>
        <v>7</v>
      </c>
      <c r="G120" s="2" t="n">
        <f aca="false">'Raw Data'!W120</f>
        <v>4</v>
      </c>
      <c r="H120" s="2" t="n">
        <f aca="false">'Raw Data'!V120</f>
        <v>3</v>
      </c>
      <c r="I120" s="2" t="n">
        <f aca="false">IF(AND(ISNUMBER(B120),B120&lt;=25),2,0)+IF(AND(ISNUMBER(E120),E120&lt;=5),2,0)+IF(AND(ISNUMBER(F120),F120&lt;=1),2,0)+IF(AND(ISNUMBER(G120),G120&lt;=2),1,0)+IF(AND(ISNUMBER(H120),H120&lt;=2),1,0)</f>
        <v>0</v>
      </c>
      <c r="J120" s="2" t="str">
        <f aca="false">IF(I120&gt;=6,"High",IF(I120&gt;=3,"Medium","Low"))</f>
        <v>Low</v>
      </c>
    </row>
    <row r="121" customFormat="false" ht="15" hidden="false" customHeight="true" outlineLevel="0" collapsed="false">
      <c r="A121" s="2" t="n">
        <f aca="false">'Raw Data'!H121</f>
        <v>120</v>
      </c>
      <c r="B121" s="2" t="n">
        <f aca="false">'Raw Data'!A121</f>
        <v>36</v>
      </c>
      <c r="C121" s="2" t="str">
        <f aca="false">'Raw Data'!D121</f>
        <v>Sales</v>
      </c>
      <c r="D121" s="2" t="str">
        <f aca="false">'Raw Data'!K121</f>
        <v>Sales Executive</v>
      </c>
      <c r="E121" s="2" t="n">
        <f aca="false">'Raw Data'!Q121</f>
        <v>6</v>
      </c>
      <c r="F121" s="2" t="n">
        <f aca="false">'Raw Data'!U121</f>
        <v>2</v>
      </c>
      <c r="G121" s="2" t="n">
        <f aca="false">'Raw Data'!W121</f>
        <v>3</v>
      </c>
      <c r="H121" s="2" t="n">
        <f aca="false">'Raw Data'!V121</f>
        <v>4</v>
      </c>
      <c r="I121" s="2" t="n">
        <f aca="false">IF(AND(ISNUMBER(B121),B121&lt;=25),2,0)+IF(AND(ISNUMBER(E121),E121&lt;=5),2,0)+IF(AND(ISNUMBER(F121),F121&lt;=1),2,0)+IF(AND(ISNUMBER(G121),G121&lt;=2),1,0)+IF(AND(ISNUMBER(H121),H121&lt;=2),1,0)</f>
        <v>0</v>
      </c>
      <c r="J121" s="2" t="str">
        <f aca="false">IF(I121&gt;=6,"High",IF(I121&gt;=3,"Medium","Low"))</f>
        <v>Low</v>
      </c>
    </row>
    <row r="122" customFormat="false" ht="15" hidden="false" customHeight="true" outlineLevel="0" collapsed="false">
      <c r="A122" s="2" t="n">
        <f aca="false">'Raw Data'!H122</f>
        <v>121</v>
      </c>
      <c r="B122" s="2" t="n">
        <f aca="false">'Raw Data'!A122</f>
        <v>34</v>
      </c>
      <c r="C122" s="2" t="str">
        <f aca="false">'Raw Data'!D122</f>
        <v>Research &amp; Development</v>
      </c>
      <c r="D122" s="2" t="str">
        <f aca="false">'Raw Data'!K122</f>
        <v>Sales Representative</v>
      </c>
      <c r="E122" s="2" t="n">
        <f aca="false">'Raw Data'!Q122</f>
        <v>9</v>
      </c>
      <c r="F122" s="2" t="n">
        <f aca="false">'Raw Data'!U122</f>
        <v>4</v>
      </c>
      <c r="G122" s="2" t="n">
        <f aca="false">'Raw Data'!W122</f>
        <v>4</v>
      </c>
      <c r="H122" s="2" t="n">
        <f aca="false">'Raw Data'!V122</f>
        <v>1</v>
      </c>
      <c r="I122" s="2" t="n">
        <f aca="false">IF(AND(ISNUMBER(B122),B122&lt;=25),2,0)+IF(AND(ISNUMBER(E122),E122&lt;=5),2,0)+IF(AND(ISNUMBER(F122),F122&lt;=1),2,0)+IF(AND(ISNUMBER(G122),G122&lt;=2),1,0)+IF(AND(ISNUMBER(H122),H122&lt;=2),1,0)</f>
        <v>1</v>
      </c>
      <c r="J122" s="2" t="str">
        <f aca="false">IF(I122&gt;=6,"High",IF(I122&gt;=3,"Medium","Low"))</f>
        <v>Low</v>
      </c>
    </row>
    <row r="123" customFormat="false" ht="15" hidden="false" customHeight="true" outlineLevel="0" collapsed="false">
      <c r="A123" s="2" t="n">
        <f aca="false">'Raw Data'!H123</f>
        <v>122</v>
      </c>
      <c r="B123" s="2" t="n">
        <f aca="false">'Raw Data'!A123</f>
        <v>55</v>
      </c>
      <c r="C123" s="2" t="str">
        <f aca="false">'Raw Data'!D123</f>
        <v>Sales</v>
      </c>
      <c r="D123" s="2" t="str">
        <f aca="false">'Raw Data'!K123</f>
        <v>Laboratory Technician</v>
      </c>
      <c r="E123" s="2" t="n">
        <f aca="false">'Raw Data'!Q123</f>
        <v>30</v>
      </c>
      <c r="F123" s="2" t="n">
        <f aca="false">'Raw Data'!U123</f>
        <v>2</v>
      </c>
      <c r="G123" s="2" t="n">
        <f aca="false">'Raw Data'!W123</f>
        <v>4</v>
      </c>
      <c r="H123" s="2" t="n">
        <f aca="false">'Raw Data'!V123</f>
        <v>3</v>
      </c>
      <c r="I123" s="2" t="n">
        <f aca="false">IF(AND(ISNUMBER(B123),B123&lt;=25),2,0)+IF(AND(ISNUMBER(E123),E123&lt;=5),2,0)+IF(AND(ISNUMBER(F123),F123&lt;=1),2,0)+IF(AND(ISNUMBER(G123),G123&lt;=2),1,0)+IF(AND(ISNUMBER(H123),H123&lt;=2),1,0)</f>
        <v>0</v>
      </c>
      <c r="J123" s="2" t="str">
        <f aca="false">IF(I123&gt;=6,"High",IF(I123&gt;=3,"Medium","Low"))</f>
        <v>Low</v>
      </c>
    </row>
    <row r="124" customFormat="false" ht="15" hidden="false" customHeight="true" outlineLevel="0" collapsed="false">
      <c r="A124" s="2" t="n">
        <f aca="false">'Raw Data'!H124</f>
        <v>123</v>
      </c>
      <c r="B124" s="2" t="n">
        <f aca="false">'Raw Data'!A124</f>
        <v>24</v>
      </c>
      <c r="C124" s="2" t="str">
        <f aca="false">'Raw Data'!D124</f>
        <v>Research &amp; Development</v>
      </c>
      <c r="D124" s="2" t="str">
        <f aca="false">'Raw Data'!K124</f>
        <v>Manager</v>
      </c>
      <c r="E124" s="2" t="n">
        <f aca="false">'Raw Data'!Q124</f>
        <v>5</v>
      </c>
      <c r="F124" s="2" t="n">
        <f aca="false">'Raw Data'!U124</f>
        <v>3</v>
      </c>
      <c r="G124" s="2" t="n">
        <f aca="false">'Raw Data'!W124</f>
        <v>3</v>
      </c>
      <c r="H124" s="2" t="n">
        <f aca="false">'Raw Data'!V124</f>
        <v>4</v>
      </c>
      <c r="I124" s="2" t="n">
        <f aca="false">IF(AND(ISNUMBER(B124),B124&lt;=25),2,0)+IF(AND(ISNUMBER(E124),E124&lt;=5),2,0)+IF(AND(ISNUMBER(F124),F124&lt;=1),2,0)+IF(AND(ISNUMBER(G124),G124&lt;=2),1,0)+IF(AND(ISNUMBER(H124),H124&lt;=2),1,0)</f>
        <v>4</v>
      </c>
      <c r="J124" s="2" t="str">
        <f aca="false">IF(I124&gt;=6,"High",IF(I124&gt;=3,"Medium","Low"))</f>
        <v>Medium</v>
      </c>
    </row>
    <row r="125" customFormat="false" ht="15" hidden="false" customHeight="true" outlineLevel="0" collapsed="false">
      <c r="A125" s="2" t="n">
        <f aca="false">'Raw Data'!H125</f>
        <v>124</v>
      </c>
      <c r="B125" s="2" t="n">
        <f aca="false">'Raw Data'!A125</f>
        <v>30</v>
      </c>
      <c r="C125" s="2" t="str">
        <f aca="false">'Raw Data'!D125</f>
        <v>Research &amp; Development</v>
      </c>
      <c r="D125" s="2" t="str">
        <f aca="false">'Raw Data'!K125</f>
        <v>Manager</v>
      </c>
      <c r="E125" s="2" t="n">
        <f aca="false">'Raw Data'!Q125</f>
        <v>1</v>
      </c>
      <c r="F125" s="2" t="n">
        <f aca="false">'Raw Data'!U125</f>
        <v>0</v>
      </c>
      <c r="G125" s="2" t="n">
        <f aca="false">'Raw Data'!W125</f>
        <v>2</v>
      </c>
      <c r="H125" s="2" t="n">
        <f aca="false">'Raw Data'!V125</f>
        <v>3</v>
      </c>
      <c r="I125" s="2" t="n">
        <f aca="false">IF(AND(ISNUMBER(B125),B125&lt;=25),2,0)+IF(AND(ISNUMBER(E125),E125&lt;=5),2,0)+IF(AND(ISNUMBER(F125),F125&lt;=1),2,0)+IF(AND(ISNUMBER(G125),G125&lt;=2),1,0)+IF(AND(ISNUMBER(H125),H125&lt;=2),1,0)</f>
        <v>5</v>
      </c>
      <c r="J125" s="2" t="str">
        <f aca="false">IF(I125&gt;=6,"High",IF(I125&gt;=3,"Medium","Low"))</f>
        <v>Medium</v>
      </c>
    </row>
    <row r="126" customFormat="false" ht="15" hidden="false" customHeight="true" outlineLevel="0" collapsed="false">
      <c r="A126" s="2" t="n">
        <f aca="false">'Raw Data'!H126</f>
        <v>125</v>
      </c>
      <c r="B126" s="2" t="n">
        <f aca="false">'Raw Data'!A126</f>
        <v>26</v>
      </c>
      <c r="C126" s="2" t="str">
        <f aca="false">'Raw Data'!D126</f>
        <v>Sales</v>
      </c>
      <c r="D126" s="2" t="str">
        <f aca="false">'Raw Data'!K126</f>
        <v>Manager</v>
      </c>
      <c r="E126" s="2" t="n">
        <f aca="false">'Raw Data'!Q126</f>
        <v>7</v>
      </c>
      <c r="F126" s="2" t="n">
        <f aca="false">'Raw Data'!U126</f>
        <v>4</v>
      </c>
      <c r="G126" s="2" t="n">
        <f aca="false">'Raw Data'!W126</f>
        <v>0</v>
      </c>
      <c r="H126" s="2" t="n">
        <f aca="false">'Raw Data'!V126</f>
        <v>3</v>
      </c>
      <c r="I126" s="2" t="n">
        <f aca="false">IF(AND(ISNUMBER(B126),B126&lt;=25),2,0)+IF(AND(ISNUMBER(E126),E126&lt;=5),2,0)+IF(AND(ISNUMBER(F126),F126&lt;=1),2,0)+IF(AND(ISNUMBER(G126),G126&lt;=2),1,0)+IF(AND(ISNUMBER(H126),H126&lt;=2),1,0)</f>
        <v>0</v>
      </c>
      <c r="J126" s="2" t="str">
        <f aca="false">IF(I126&gt;=6,"High",IF(I126&gt;=3,"Medium","Low"))</f>
        <v>Low</v>
      </c>
    </row>
    <row r="127" customFormat="false" ht="15" hidden="false" customHeight="true" outlineLevel="0" collapsed="false">
      <c r="A127" s="2" t="n">
        <f aca="false">'Raw Data'!H127</f>
        <v>126</v>
      </c>
      <c r="B127" s="2" t="n">
        <f aca="false">'Raw Data'!A127</f>
        <v>22</v>
      </c>
      <c r="C127" s="2" t="str">
        <f aca="false">'Raw Data'!D127</f>
        <v>Research &amp; Development</v>
      </c>
      <c r="D127" s="2" t="str">
        <f aca="false">'Raw Data'!K127</f>
        <v>Research Scientist</v>
      </c>
      <c r="E127" s="2" t="n">
        <f aca="false">'Raw Data'!Q127</f>
        <v>2</v>
      </c>
      <c r="F127" s="2" t="n">
        <f aca="false">'Raw Data'!U127</f>
        <v>2</v>
      </c>
      <c r="G127" s="2" t="n">
        <f aca="false">'Raw Data'!W127</f>
        <v>2</v>
      </c>
      <c r="H127" s="2" t="n">
        <f aca="false">'Raw Data'!V127</f>
        <v>1</v>
      </c>
      <c r="I127" s="2" t="n">
        <f aca="false">IF(AND(ISNUMBER(B127),B127&lt;=25),2,0)+IF(AND(ISNUMBER(E127),E127&lt;=5),2,0)+IF(AND(ISNUMBER(F127),F127&lt;=1),2,0)+IF(AND(ISNUMBER(G127),G127&lt;=2),1,0)+IF(AND(ISNUMBER(H127),H127&lt;=2),1,0)</f>
        <v>6</v>
      </c>
      <c r="J127" s="2" t="str">
        <f aca="false">IF(I127&gt;=6,"High",IF(I127&gt;=3,"Medium","Low"))</f>
        <v>High</v>
      </c>
    </row>
    <row r="128" customFormat="false" ht="15" hidden="false" customHeight="true" outlineLevel="0" collapsed="false">
      <c r="A128" s="2" t="n">
        <f aca="false">'Raw Data'!H128</f>
        <v>127</v>
      </c>
      <c r="B128" s="2" t="n">
        <f aca="false">'Raw Data'!A128</f>
        <v>36</v>
      </c>
      <c r="C128" s="2" t="str">
        <f aca="false">'Raw Data'!D128</f>
        <v>Research &amp; Development</v>
      </c>
      <c r="D128" s="2" t="str">
        <f aca="false">'Raw Data'!K128</f>
        <v>Healthcare Representative</v>
      </c>
      <c r="E128" s="2" t="n">
        <f aca="false">'Raw Data'!Q128</f>
        <v>10</v>
      </c>
      <c r="F128" s="2" t="n">
        <f aca="false">'Raw Data'!U128</f>
        <v>0</v>
      </c>
      <c r="G128" s="2" t="n">
        <f aca="false">'Raw Data'!W128</f>
        <v>3</v>
      </c>
      <c r="H128" s="2" t="n">
        <f aca="false">'Raw Data'!V128</f>
        <v>2</v>
      </c>
      <c r="I128" s="2" t="n">
        <f aca="false">IF(AND(ISNUMBER(B128),B128&lt;=25),2,0)+IF(AND(ISNUMBER(E128),E128&lt;=5),2,0)+IF(AND(ISNUMBER(F128),F128&lt;=1),2,0)+IF(AND(ISNUMBER(G128),G128&lt;=2),1,0)+IF(AND(ISNUMBER(H128),H128&lt;=2),1,0)</f>
        <v>3</v>
      </c>
      <c r="J128" s="2" t="str">
        <f aca="false">IF(I128&gt;=6,"High",IF(I128&gt;=3,"Medium","Low"))</f>
        <v>Medium</v>
      </c>
    </row>
    <row r="129" customFormat="false" ht="15" hidden="false" customHeight="true" outlineLevel="0" collapsed="false">
      <c r="A129" s="2" t="n">
        <f aca="false">'Raw Data'!H129</f>
        <v>128</v>
      </c>
      <c r="B129" s="2" t="n">
        <f aca="false">'Raw Data'!A129</f>
        <v>30</v>
      </c>
      <c r="C129" s="2" t="str">
        <f aca="false">'Raw Data'!D129</f>
        <v>Sales</v>
      </c>
      <c r="D129" s="2" t="str">
        <f aca="false">'Raw Data'!K129</f>
        <v>Research Scientist</v>
      </c>
      <c r="E129" s="2" t="n">
        <f aca="false">'Raw Data'!Q129</f>
        <v>3</v>
      </c>
      <c r="F129" s="2" t="n">
        <f aca="false">'Raw Data'!U129</f>
        <v>0</v>
      </c>
      <c r="G129" s="2" t="n">
        <f aca="false">'Raw Data'!W129</f>
        <v>4</v>
      </c>
      <c r="H129" s="2" t="n">
        <f aca="false">'Raw Data'!V129</f>
        <v>3</v>
      </c>
      <c r="I129" s="2" t="n">
        <f aca="false">IF(AND(ISNUMBER(B129),B129&lt;=25),2,0)+IF(AND(ISNUMBER(E129),E129&lt;=5),2,0)+IF(AND(ISNUMBER(F129),F129&lt;=1),2,0)+IF(AND(ISNUMBER(G129),G129&lt;=2),1,0)+IF(AND(ISNUMBER(H129),H129&lt;=2),1,0)</f>
        <v>4</v>
      </c>
      <c r="J129" s="2" t="str">
        <f aca="false">IF(I129&gt;=6,"High",IF(I129&gt;=3,"Medium","Low"))</f>
        <v>Medium</v>
      </c>
    </row>
    <row r="130" customFormat="false" ht="15" hidden="false" customHeight="true" outlineLevel="0" collapsed="false">
      <c r="A130" s="2" t="n">
        <f aca="false">'Raw Data'!H130</f>
        <v>129</v>
      </c>
      <c r="B130" s="2" t="n">
        <f aca="false">'Raw Data'!A130</f>
        <v>37</v>
      </c>
      <c r="C130" s="2" t="str">
        <f aca="false">'Raw Data'!D130</f>
        <v>Research &amp; Development</v>
      </c>
      <c r="D130" s="2" t="str">
        <f aca="false">'Raw Data'!K130</f>
        <v>Sales Executive</v>
      </c>
      <c r="E130" s="2" t="n">
        <f aca="false">'Raw Data'!Q130</f>
        <v>18</v>
      </c>
      <c r="F130" s="2" t="n">
        <f aca="false">'Raw Data'!U130</f>
        <v>17</v>
      </c>
      <c r="G130" s="2" t="n">
        <f aca="false">'Raw Data'!W130</f>
        <v>1</v>
      </c>
      <c r="H130" s="2" t="n">
        <f aca="false">'Raw Data'!V130</f>
        <v>4</v>
      </c>
      <c r="I130" s="2" t="n">
        <f aca="false">IF(AND(ISNUMBER(B130),B130&lt;=25),2,0)+IF(AND(ISNUMBER(E130),E130&lt;=5),2,0)+IF(AND(ISNUMBER(F130),F130&lt;=1),2,0)+IF(AND(ISNUMBER(G130),G130&lt;=2),1,0)+IF(AND(ISNUMBER(H130),H130&lt;=2),1,0)</f>
        <v>1</v>
      </c>
      <c r="J130" s="2" t="str">
        <f aca="false">IF(I130&gt;=6,"High",IF(I130&gt;=3,"Medium","Low"))</f>
        <v>Low</v>
      </c>
    </row>
    <row r="131" customFormat="false" ht="15" hidden="false" customHeight="true" outlineLevel="0" collapsed="false">
      <c r="A131" s="2" t="n">
        <f aca="false">'Raw Data'!H131</f>
        <v>130</v>
      </c>
      <c r="B131" s="2" t="n">
        <f aca="false">'Raw Data'!A131</f>
        <v>40</v>
      </c>
      <c r="C131" s="2" t="str">
        <f aca="false">'Raw Data'!D131</f>
        <v>Research &amp; Development</v>
      </c>
      <c r="D131" s="2" t="str">
        <f aca="false">'Raw Data'!K131</f>
        <v>Research Scientist</v>
      </c>
      <c r="E131" s="2" t="n">
        <f aca="false">'Raw Data'!Q131</f>
        <v>8</v>
      </c>
      <c r="F131" s="2" t="n">
        <f aca="false">'Raw Data'!U131</f>
        <v>3</v>
      </c>
      <c r="G131" s="2" t="n">
        <f aca="false">'Raw Data'!W131</f>
        <v>2</v>
      </c>
      <c r="H131" s="2" t="n">
        <f aca="false">'Raw Data'!V131</f>
        <v>4</v>
      </c>
      <c r="I131" s="2" t="n">
        <f aca="false">IF(AND(ISNUMBER(B131),B131&lt;=25),2,0)+IF(AND(ISNUMBER(E131),E131&lt;=5),2,0)+IF(AND(ISNUMBER(F131),F131&lt;=1),2,0)+IF(AND(ISNUMBER(G131),G131&lt;=2),1,0)+IF(AND(ISNUMBER(H131),H131&lt;=2),1,0)</f>
        <v>1</v>
      </c>
      <c r="J131" s="2" t="str">
        <f aca="false">IF(I131&gt;=6,"High",IF(I131&gt;=3,"Medium","Low"))</f>
        <v>Low</v>
      </c>
    </row>
    <row r="132" customFormat="false" ht="15" hidden="false" customHeight="true" outlineLevel="0" collapsed="false">
      <c r="A132" s="2" t="n">
        <f aca="false">'Raw Data'!H132</f>
        <v>131</v>
      </c>
      <c r="B132" s="2" t="n">
        <f aca="false">'Raw Data'!A132</f>
        <v>42</v>
      </c>
      <c r="C132" s="2" t="str">
        <f aca="false">'Raw Data'!D132</f>
        <v>Research &amp; Development</v>
      </c>
      <c r="D132" s="2" t="str">
        <f aca="false">'Raw Data'!K132</f>
        <v>Manager</v>
      </c>
      <c r="E132" s="2" t="n">
        <f aca="false">'Raw Data'!Q132</f>
        <v>8</v>
      </c>
      <c r="F132" s="2" t="n">
        <f aca="false">'Raw Data'!U132</f>
        <v>2</v>
      </c>
      <c r="G132" s="2" t="n">
        <f aca="false">'Raw Data'!W132</f>
        <v>1</v>
      </c>
      <c r="H132" s="2" t="n">
        <f aca="false">'Raw Data'!V132</f>
        <v>2</v>
      </c>
      <c r="I132" s="2" t="n">
        <f aca="false">IF(AND(ISNUMBER(B132),B132&lt;=25),2,0)+IF(AND(ISNUMBER(E132),E132&lt;=5),2,0)+IF(AND(ISNUMBER(F132),F132&lt;=1),2,0)+IF(AND(ISNUMBER(G132),G132&lt;=2),1,0)+IF(AND(ISNUMBER(H132),H132&lt;=2),1,0)</f>
        <v>2</v>
      </c>
      <c r="J132" s="2" t="str">
        <f aca="false">IF(I132&gt;=6,"High",IF(I132&gt;=3,"Medium","Low"))</f>
        <v>Low</v>
      </c>
    </row>
    <row r="133" customFormat="false" ht="15" hidden="false" customHeight="true" outlineLevel="0" collapsed="false">
      <c r="A133" s="2" t="n">
        <f aca="false">'Raw Data'!H133</f>
        <v>132</v>
      </c>
      <c r="B133" s="2" t="n">
        <f aca="false">'Raw Data'!A133</f>
        <v>37</v>
      </c>
      <c r="C133" s="2" t="str">
        <f aca="false">'Raw Data'!D133</f>
        <v>Sales</v>
      </c>
      <c r="D133" s="2" t="str">
        <f aca="false">'Raw Data'!K133</f>
        <v>Sales Executive</v>
      </c>
      <c r="E133" s="2" t="n">
        <f aca="false">'Raw Data'!Q133</f>
        <v>18</v>
      </c>
      <c r="F133" s="2" t="n">
        <f aca="false">'Raw Data'!U133</f>
        <v>1</v>
      </c>
      <c r="G133" s="2" t="n">
        <f aca="false">'Raw Data'!W133</f>
        <v>2</v>
      </c>
      <c r="H133" s="2" t="n">
        <f aca="false">'Raw Data'!V133</f>
        <v>3</v>
      </c>
      <c r="I133" s="2" t="n">
        <f aca="false">IF(AND(ISNUMBER(B133),B133&lt;=25),2,0)+IF(AND(ISNUMBER(E133),E133&lt;=5),2,0)+IF(AND(ISNUMBER(F133),F133&lt;=1),2,0)+IF(AND(ISNUMBER(G133),G133&lt;=2),1,0)+IF(AND(ISNUMBER(H133),H133&lt;=2),1,0)</f>
        <v>3</v>
      </c>
      <c r="J133" s="2" t="str">
        <f aca="false">IF(I133&gt;=6,"High",IF(I133&gt;=3,"Medium","Low"))</f>
        <v>Medium</v>
      </c>
    </row>
    <row r="134" customFormat="false" ht="15" hidden="false" customHeight="true" outlineLevel="0" collapsed="false">
      <c r="A134" s="2" t="n">
        <f aca="false">'Raw Data'!H134</f>
        <v>133</v>
      </c>
      <c r="B134" s="2" t="n">
        <f aca="false">'Raw Data'!A134</f>
        <v>43</v>
      </c>
      <c r="C134" s="2" t="str">
        <f aca="false">'Raw Data'!D134</f>
        <v>Sales</v>
      </c>
      <c r="D134" s="2" t="str">
        <f aca="false">'Raw Data'!K134</f>
        <v>Sales Executive</v>
      </c>
      <c r="E134" s="2" t="n">
        <f aca="false">'Raw Data'!Q134</f>
        <v>25</v>
      </c>
      <c r="F134" s="2" t="n">
        <f aca="false">'Raw Data'!U134</f>
        <v>9</v>
      </c>
      <c r="G134" s="2" t="n">
        <f aca="false">'Raw Data'!W134</f>
        <v>2</v>
      </c>
      <c r="H134" s="2" t="n">
        <f aca="false">'Raw Data'!V134</f>
        <v>1</v>
      </c>
      <c r="I134" s="2" t="n">
        <f aca="false">IF(AND(ISNUMBER(B134),B134&lt;=25),2,0)+IF(AND(ISNUMBER(E134),E134&lt;=5),2,0)+IF(AND(ISNUMBER(F134),F134&lt;=1),2,0)+IF(AND(ISNUMBER(G134),G134&lt;=2),1,0)+IF(AND(ISNUMBER(H134),H134&lt;=2),1,0)</f>
        <v>2</v>
      </c>
      <c r="J134" s="2" t="str">
        <f aca="false">IF(I134&gt;=6,"High",IF(I134&gt;=3,"Medium","Low"))</f>
        <v>Low</v>
      </c>
    </row>
    <row r="135" customFormat="false" ht="15" hidden="false" customHeight="true" outlineLevel="0" collapsed="false">
      <c r="A135" s="2" t="n">
        <f aca="false">'Raw Data'!H135</f>
        <v>134</v>
      </c>
      <c r="B135" s="2" t="n">
        <f aca="false">'Raw Data'!A135</f>
        <v>40</v>
      </c>
      <c r="C135" s="2" t="str">
        <f aca="false">'Raw Data'!D135</f>
        <v>Sales</v>
      </c>
      <c r="D135" s="2" t="str">
        <f aca="false">'Raw Data'!K135</f>
        <v>Laboratory Technician</v>
      </c>
      <c r="E135" s="2" t="n">
        <f aca="false">'Raw Data'!Q135</f>
        <v>20</v>
      </c>
      <c r="F135" s="2" t="n">
        <f aca="false">'Raw Data'!U135</f>
        <v>0</v>
      </c>
      <c r="G135" s="2" t="n">
        <f aca="false">'Raw Data'!W135</f>
        <v>3</v>
      </c>
      <c r="H135" s="2" t="n">
        <f aca="false">'Raw Data'!V135</f>
        <v>2</v>
      </c>
      <c r="I135" s="2" t="n">
        <f aca="false">IF(AND(ISNUMBER(B135),B135&lt;=25),2,0)+IF(AND(ISNUMBER(E135),E135&lt;=5),2,0)+IF(AND(ISNUMBER(F135),F135&lt;=1),2,0)+IF(AND(ISNUMBER(G135),G135&lt;=2),1,0)+IF(AND(ISNUMBER(H135),H135&lt;=2),1,0)</f>
        <v>3</v>
      </c>
      <c r="J135" s="2" t="str">
        <f aca="false">IF(I135&gt;=6,"High",IF(I135&gt;=3,"Medium","Low"))</f>
        <v>Medium</v>
      </c>
    </row>
    <row r="136" customFormat="false" ht="15" hidden="false" customHeight="true" outlineLevel="0" collapsed="false">
      <c r="A136" s="2" t="n">
        <f aca="false">'Raw Data'!H136</f>
        <v>135</v>
      </c>
      <c r="B136" s="2" t="n">
        <f aca="false">'Raw Data'!A136</f>
        <v>54</v>
      </c>
      <c r="C136" s="2" t="str">
        <f aca="false">'Raw Data'!D136</f>
        <v>Human Resources</v>
      </c>
      <c r="D136" s="2" t="str">
        <f aca="false">'Raw Data'!K136</f>
        <v>Manufacturing Director</v>
      </c>
      <c r="E136" s="2" t="n">
        <f aca="false">'Raw Data'!Q136</f>
        <v>24</v>
      </c>
      <c r="F136" s="2" t="n">
        <f aca="false">'Raw Data'!U136</f>
        <v>2</v>
      </c>
      <c r="G136" s="2" t="n">
        <f aca="false">'Raw Data'!W136</f>
        <v>1</v>
      </c>
      <c r="H136" s="2" t="n">
        <f aca="false">'Raw Data'!V136</f>
        <v>1</v>
      </c>
      <c r="I136" s="2" t="n">
        <f aca="false">IF(AND(ISNUMBER(B136),B136&lt;=25),2,0)+IF(AND(ISNUMBER(E136),E136&lt;=5),2,0)+IF(AND(ISNUMBER(F136),F136&lt;=1),2,0)+IF(AND(ISNUMBER(G136),G136&lt;=2),1,0)+IF(AND(ISNUMBER(H136),H136&lt;=2),1,0)</f>
        <v>2</v>
      </c>
      <c r="J136" s="2" t="str">
        <f aca="false">IF(I136&gt;=6,"High",IF(I136&gt;=3,"Medium","Low"))</f>
        <v>Low</v>
      </c>
    </row>
    <row r="137" customFormat="false" ht="15" hidden="false" customHeight="true" outlineLevel="0" collapsed="false">
      <c r="A137" s="2" t="n">
        <f aca="false">'Raw Data'!H137</f>
        <v>136</v>
      </c>
      <c r="B137" s="2" t="n">
        <f aca="false">'Raw Data'!A137</f>
        <v>34</v>
      </c>
      <c r="C137" s="2" t="str">
        <f aca="false">'Raw Data'!D137</f>
        <v>Research &amp; Development</v>
      </c>
      <c r="D137" s="2" t="str">
        <f aca="false">'Raw Data'!K137</f>
        <v>Laboratory Technician</v>
      </c>
      <c r="E137" s="2" t="n">
        <f aca="false">'Raw Data'!Q137</f>
        <v>6</v>
      </c>
      <c r="F137" s="2" t="n">
        <f aca="false">'Raw Data'!U137</f>
        <v>2</v>
      </c>
      <c r="G137" s="2" t="n">
        <f aca="false">'Raw Data'!W137</f>
        <v>3</v>
      </c>
      <c r="H137" s="2" t="n">
        <f aca="false">'Raw Data'!V137</f>
        <v>3</v>
      </c>
      <c r="I137" s="2" t="n">
        <f aca="false">IF(AND(ISNUMBER(B137),B137&lt;=25),2,0)+IF(AND(ISNUMBER(E137),E137&lt;=5),2,0)+IF(AND(ISNUMBER(F137),F137&lt;=1),2,0)+IF(AND(ISNUMBER(G137),G137&lt;=2),1,0)+IF(AND(ISNUMBER(H137),H137&lt;=2),1,0)</f>
        <v>0</v>
      </c>
      <c r="J137" s="2" t="str">
        <f aca="false">IF(I137&gt;=6,"High",IF(I137&gt;=3,"Medium","Low"))</f>
        <v>Low</v>
      </c>
    </row>
    <row r="138" customFormat="false" ht="15" hidden="false" customHeight="true" outlineLevel="0" collapsed="false">
      <c r="A138" s="2" t="n">
        <f aca="false">'Raw Data'!H138</f>
        <v>137</v>
      </c>
      <c r="B138" s="2" t="n">
        <f aca="false">'Raw Data'!A138</f>
        <v>31</v>
      </c>
      <c r="C138" s="2" t="str">
        <f aca="false">'Raw Data'!D138</f>
        <v>Research &amp; Development</v>
      </c>
      <c r="D138" s="2" t="str">
        <f aca="false">'Raw Data'!K138</f>
        <v>Sales Executive</v>
      </c>
      <c r="E138" s="2" t="n">
        <f aca="false">'Raw Data'!Q138</f>
        <v>13</v>
      </c>
      <c r="F138" s="2" t="n">
        <f aca="false">'Raw Data'!U138</f>
        <v>12</v>
      </c>
      <c r="G138" s="2" t="n">
        <f aca="false">'Raw Data'!W138</f>
        <v>1</v>
      </c>
      <c r="H138" s="2" t="n">
        <f aca="false">'Raw Data'!V138</f>
        <v>2</v>
      </c>
      <c r="I138" s="2" t="n">
        <f aca="false">IF(AND(ISNUMBER(B138),B138&lt;=25),2,0)+IF(AND(ISNUMBER(E138),E138&lt;=5),2,0)+IF(AND(ISNUMBER(F138),F138&lt;=1),2,0)+IF(AND(ISNUMBER(G138),G138&lt;=2),1,0)+IF(AND(ISNUMBER(H138),H138&lt;=2),1,0)</f>
        <v>2</v>
      </c>
      <c r="J138" s="2" t="str">
        <f aca="false">IF(I138&gt;=6,"High",IF(I138&gt;=3,"Medium","Low"))</f>
        <v>Low</v>
      </c>
    </row>
    <row r="139" customFormat="false" ht="15" hidden="false" customHeight="true" outlineLevel="0" collapsed="false">
      <c r="A139" s="2" t="n">
        <f aca="false">'Raw Data'!H139</f>
        <v>138</v>
      </c>
      <c r="B139" s="2" t="n">
        <f aca="false">'Raw Data'!A139</f>
        <v>43</v>
      </c>
      <c r="C139" s="2" t="str">
        <f aca="false">'Raw Data'!D139</f>
        <v>Sales</v>
      </c>
      <c r="D139" s="2" t="str">
        <f aca="false">'Raw Data'!K139</f>
        <v>Manufacturing Director</v>
      </c>
      <c r="E139" s="2" t="n">
        <f aca="false">'Raw Data'!Q139</f>
        <v>0</v>
      </c>
      <c r="F139" s="2" t="n">
        <f aca="false">'Raw Data'!U139</f>
        <v>2</v>
      </c>
      <c r="G139" s="2" t="n">
        <f aca="false">'Raw Data'!W139</f>
        <v>4</v>
      </c>
      <c r="H139" s="2" t="n">
        <f aca="false">'Raw Data'!V139</f>
        <v>4</v>
      </c>
      <c r="I139" s="2" t="n">
        <f aca="false">IF(AND(ISNUMBER(B139),B139&lt;=25),2,0)+IF(AND(ISNUMBER(E139),E139&lt;=5),2,0)+IF(AND(ISNUMBER(F139),F139&lt;=1),2,0)+IF(AND(ISNUMBER(G139),G139&lt;=2),1,0)+IF(AND(ISNUMBER(H139),H139&lt;=2),1,0)</f>
        <v>0</v>
      </c>
      <c r="J139" s="2" t="str">
        <f aca="false">IF(I139&gt;=6,"High",IF(I139&gt;=3,"Medium","Low"))</f>
        <v>Low</v>
      </c>
    </row>
    <row r="140" customFormat="false" ht="15" hidden="false" customHeight="true" outlineLevel="0" collapsed="false">
      <c r="A140" s="2" t="n">
        <f aca="false">'Raw Data'!H140</f>
        <v>139</v>
      </c>
      <c r="B140" s="2" t="n">
        <f aca="false">'Raw Data'!A140</f>
        <v>43</v>
      </c>
      <c r="C140" s="2" t="str">
        <f aca="false">'Raw Data'!D140</f>
        <v>Sales</v>
      </c>
      <c r="D140" s="2" t="str">
        <f aca="false">'Raw Data'!K140</f>
        <v>Sales Representative</v>
      </c>
      <c r="E140" s="2" t="n">
        <f aca="false">'Raw Data'!Q140</f>
        <v>8</v>
      </c>
      <c r="F140" s="2" t="n">
        <f aca="false">'Raw Data'!U140</f>
        <v>2</v>
      </c>
      <c r="G140" s="2" t="n">
        <f aca="false">'Raw Data'!W140</f>
        <v>3</v>
      </c>
      <c r="H140" s="2" t="n">
        <f aca="false">'Raw Data'!V140</f>
        <v>3</v>
      </c>
      <c r="I140" s="2" t="n">
        <f aca="false">IF(AND(ISNUMBER(B140),B140&lt;=25),2,0)+IF(AND(ISNUMBER(E140),E140&lt;=5),2,0)+IF(AND(ISNUMBER(F140),F140&lt;=1),2,0)+IF(AND(ISNUMBER(G140),G140&lt;=2),1,0)+IF(AND(ISNUMBER(H140),H140&lt;=2),1,0)</f>
        <v>0</v>
      </c>
      <c r="J140" s="2" t="str">
        <f aca="false">IF(I140&gt;=6,"High",IF(I140&gt;=3,"Medium","Low"))</f>
        <v>Low</v>
      </c>
    </row>
    <row r="141" customFormat="false" ht="15" hidden="false" customHeight="true" outlineLevel="0" collapsed="false">
      <c r="A141" s="2" t="n">
        <f aca="false">'Raw Data'!H141</f>
        <v>140</v>
      </c>
      <c r="B141" s="2" t="n">
        <f aca="false">'Raw Data'!A141</f>
        <v>25</v>
      </c>
      <c r="C141" s="2" t="str">
        <f aca="false">'Raw Data'!D141</f>
        <v>Human Resources</v>
      </c>
      <c r="D141" s="2" t="str">
        <f aca="false">'Raw Data'!K141</f>
        <v>Manufacturing Director</v>
      </c>
      <c r="E141" s="2" t="n">
        <f aca="false">'Raw Data'!Q141</f>
        <v>5</v>
      </c>
      <c r="F141" s="2" t="n">
        <f aca="false">'Raw Data'!U141</f>
        <v>3</v>
      </c>
      <c r="G141" s="2" t="n">
        <f aca="false">'Raw Data'!W141</f>
        <v>4</v>
      </c>
      <c r="H141" s="2" t="n">
        <f aca="false">'Raw Data'!V141</f>
        <v>2</v>
      </c>
      <c r="I141" s="2" t="n">
        <f aca="false">IF(AND(ISNUMBER(B141),B141&lt;=25),2,0)+IF(AND(ISNUMBER(E141),E141&lt;=5),2,0)+IF(AND(ISNUMBER(F141),F141&lt;=1),2,0)+IF(AND(ISNUMBER(G141),G141&lt;=2),1,0)+IF(AND(ISNUMBER(H141),H141&lt;=2),1,0)</f>
        <v>5</v>
      </c>
      <c r="J141" s="2" t="str">
        <f aca="false">IF(I141&gt;=6,"High",IF(I141&gt;=3,"Medium","Low"))</f>
        <v>Medium</v>
      </c>
    </row>
    <row r="142" customFormat="false" ht="15" hidden="false" customHeight="true" outlineLevel="0" collapsed="false">
      <c r="A142" s="2" t="n">
        <f aca="false">'Raw Data'!H142</f>
        <v>141</v>
      </c>
      <c r="B142" s="2" t="n">
        <f aca="false">'Raw Data'!A142</f>
        <v>37</v>
      </c>
      <c r="C142" s="2" t="str">
        <f aca="false">'Raw Data'!D142</f>
        <v>Research &amp; Development</v>
      </c>
      <c r="D142" s="2" t="str">
        <f aca="false">'Raw Data'!K142</f>
        <v>Laboratory Technician</v>
      </c>
      <c r="E142" s="2" t="n">
        <f aca="false">'Raw Data'!Q142</f>
        <v>15</v>
      </c>
      <c r="F142" s="2" t="n">
        <f aca="false">'Raw Data'!U142</f>
        <v>7</v>
      </c>
      <c r="G142" s="2" t="n">
        <f aca="false">'Raw Data'!W142</f>
        <v>3</v>
      </c>
      <c r="H142" s="2" t="n">
        <f aca="false">'Raw Data'!V142</f>
        <v>2</v>
      </c>
      <c r="I142" s="2" t="n">
        <f aca="false">IF(AND(ISNUMBER(B142),B142&lt;=25),2,0)+IF(AND(ISNUMBER(E142),E142&lt;=5),2,0)+IF(AND(ISNUMBER(F142),F142&lt;=1),2,0)+IF(AND(ISNUMBER(G142),G142&lt;=2),1,0)+IF(AND(ISNUMBER(H142),H142&lt;=2),1,0)</f>
        <v>1</v>
      </c>
      <c r="J142" s="2" t="str">
        <f aca="false">IF(I142&gt;=6,"High",IF(I142&gt;=3,"Medium","Low"))</f>
        <v>Low</v>
      </c>
    </row>
    <row r="143" customFormat="false" ht="15" hidden="false" customHeight="true" outlineLevel="0" collapsed="false">
      <c r="A143" s="2" t="n">
        <f aca="false">'Raw Data'!H143</f>
        <v>142</v>
      </c>
      <c r="B143" s="2" t="n">
        <f aca="false">'Raw Data'!A143</f>
        <v>31</v>
      </c>
      <c r="C143" s="2" t="str">
        <f aca="false">'Raw Data'!D143</f>
        <v>Research &amp; Development</v>
      </c>
      <c r="D143" s="2" t="str">
        <f aca="false">'Raw Data'!K143</f>
        <v>Laboratory Technician</v>
      </c>
      <c r="E143" s="2" t="n">
        <f aca="false">'Raw Data'!Q143</f>
        <v>4</v>
      </c>
      <c r="F143" s="2" t="n">
        <f aca="false">'Raw Data'!U143</f>
        <v>2</v>
      </c>
      <c r="G143" s="2" t="n">
        <f aca="false">'Raw Data'!W143</f>
        <v>1</v>
      </c>
      <c r="H143" s="2" t="n">
        <f aca="false">'Raw Data'!V143</f>
        <v>4</v>
      </c>
      <c r="I143" s="2" t="n">
        <f aca="false">IF(AND(ISNUMBER(B143),B143&lt;=25),2,0)+IF(AND(ISNUMBER(E143),E143&lt;=5),2,0)+IF(AND(ISNUMBER(F143),F143&lt;=1),2,0)+IF(AND(ISNUMBER(G143),G143&lt;=2),1,0)+IF(AND(ISNUMBER(H143),H143&lt;=2),1,0)</f>
        <v>3</v>
      </c>
      <c r="J143" s="2" t="str">
        <f aca="false">IF(I143&gt;=6,"High",IF(I143&gt;=3,"Medium","Low"))</f>
        <v>Medium</v>
      </c>
    </row>
    <row r="144" customFormat="false" ht="15" hidden="false" customHeight="true" outlineLevel="0" collapsed="false">
      <c r="A144" s="2" t="n">
        <f aca="false">'Raw Data'!H144</f>
        <v>143</v>
      </c>
      <c r="B144" s="2" t="n">
        <f aca="false">'Raw Data'!A144</f>
        <v>39</v>
      </c>
      <c r="C144" s="2" t="str">
        <f aca="false">'Raw Data'!D144</f>
        <v>Research &amp; Development</v>
      </c>
      <c r="D144" s="2" t="str">
        <f aca="false">'Raw Data'!K144</f>
        <v>Sales Executive</v>
      </c>
      <c r="E144" s="2" t="n">
        <f aca="false">'Raw Data'!Q144</f>
        <v>21</v>
      </c>
      <c r="F144" s="2" t="n">
        <f aca="false">'Raw Data'!U144</f>
        <v>6</v>
      </c>
      <c r="G144" s="2" t="n">
        <f aca="false">'Raw Data'!W144</f>
        <v>3</v>
      </c>
      <c r="H144" s="2" t="n">
        <f aca="false">'Raw Data'!V144</f>
        <v>2</v>
      </c>
      <c r="I144" s="2" t="n">
        <f aca="false">IF(AND(ISNUMBER(B144),B144&lt;=25),2,0)+IF(AND(ISNUMBER(E144),E144&lt;=5),2,0)+IF(AND(ISNUMBER(F144),F144&lt;=1),2,0)+IF(AND(ISNUMBER(G144),G144&lt;=2),1,0)+IF(AND(ISNUMBER(H144),H144&lt;=2),1,0)</f>
        <v>1</v>
      </c>
      <c r="J144" s="2" t="str">
        <f aca="false">IF(I144&gt;=6,"High",IF(I144&gt;=3,"Medium","Low"))</f>
        <v>Low</v>
      </c>
    </row>
    <row r="145" customFormat="false" ht="15" hidden="false" customHeight="true" outlineLevel="0" collapsed="false">
      <c r="A145" s="2" t="n">
        <f aca="false">'Raw Data'!H145</f>
        <v>144</v>
      </c>
      <c r="B145" s="2" t="n">
        <f aca="false">'Raw Data'!A145</f>
        <v>56</v>
      </c>
      <c r="C145" s="2" t="str">
        <f aca="false">'Raw Data'!D145</f>
        <v>Research &amp; Development</v>
      </c>
      <c r="D145" s="2" t="str">
        <f aca="false">'Raw Data'!K145</f>
        <v>Sales Executive</v>
      </c>
      <c r="E145" s="2" t="n">
        <f aca="false">'Raw Data'!Q145</f>
        <v>36</v>
      </c>
      <c r="F145" s="2" t="n">
        <f aca="false">'Raw Data'!U145</f>
        <v>7</v>
      </c>
      <c r="G145" s="2" t="n">
        <f aca="false">'Raw Data'!W145</f>
        <v>1</v>
      </c>
      <c r="H145" s="2" t="n">
        <f aca="false">'Raw Data'!V145</f>
        <v>3</v>
      </c>
      <c r="I145" s="2" t="n">
        <f aca="false">IF(AND(ISNUMBER(B145),B145&lt;=25),2,0)+IF(AND(ISNUMBER(E145),E145&lt;=5),2,0)+IF(AND(ISNUMBER(F145),F145&lt;=1),2,0)+IF(AND(ISNUMBER(G145),G145&lt;=2),1,0)+IF(AND(ISNUMBER(H145),H145&lt;=2),1,0)</f>
        <v>1</v>
      </c>
      <c r="J145" s="2" t="str">
        <f aca="false">IF(I145&gt;=6,"High",IF(I145&gt;=3,"Medium","Low"))</f>
        <v>Low</v>
      </c>
    </row>
    <row r="146" customFormat="false" ht="15" hidden="false" customHeight="true" outlineLevel="0" collapsed="false">
      <c r="A146" s="2" t="n">
        <f aca="false">'Raw Data'!H146</f>
        <v>145</v>
      </c>
      <c r="B146" s="2" t="n">
        <f aca="false">'Raw Data'!A146</f>
        <v>30</v>
      </c>
      <c r="C146" s="2" t="str">
        <f aca="false">'Raw Data'!D146</f>
        <v>Sales</v>
      </c>
      <c r="D146" s="2" t="str">
        <f aca="false">'Raw Data'!K146</f>
        <v>Manufacturing Director</v>
      </c>
      <c r="E146" s="2" t="n">
        <f aca="false">'Raw Data'!Q146</f>
        <v>6</v>
      </c>
      <c r="F146" s="2" t="n">
        <f aca="false">'Raw Data'!U146</f>
        <v>4</v>
      </c>
      <c r="G146" s="2" t="n">
        <f aca="false">'Raw Data'!W146</f>
        <v>3</v>
      </c>
      <c r="H146" s="2" t="n">
        <f aca="false">'Raw Data'!V146</f>
        <v>2</v>
      </c>
      <c r="I146" s="2" t="n">
        <f aca="false">IF(AND(ISNUMBER(B146),B146&lt;=25),2,0)+IF(AND(ISNUMBER(E146),E146&lt;=5),2,0)+IF(AND(ISNUMBER(F146),F146&lt;=1),2,0)+IF(AND(ISNUMBER(G146),G146&lt;=2),1,0)+IF(AND(ISNUMBER(H146),H146&lt;=2),1,0)</f>
        <v>1</v>
      </c>
      <c r="J146" s="2" t="str">
        <f aca="false">IF(I146&gt;=6,"High",IF(I146&gt;=3,"Medium","Low"))</f>
        <v>Low</v>
      </c>
    </row>
    <row r="147" customFormat="false" ht="15" hidden="false" customHeight="true" outlineLevel="0" collapsed="false">
      <c r="A147" s="2" t="n">
        <f aca="false">'Raw Data'!H147</f>
        <v>146</v>
      </c>
      <c r="B147" s="2" t="n">
        <f aca="false">'Raw Data'!A147</f>
        <v>41</v>
      </c>
      <c r="C147" s="2" t="str">
        <f aca="false">'Raw Data'!D147</f>
        <v>Research &amp; Development</v>
      </c>
      <c r="D147" s="2" t="str">
        <f aca="false">'Raw Data'!K147</f>
        <v>Research Scientist</v>
      </c>
      <c r="E147" s="2" t="n">
        <f aca="false">'Raw Data'!Q147</f>
        <v>10</v>
      </c>
      <c r="F147" s="2" t="n">
        <f aca="false">'Raw Data'!U147</f>
        <v>7</v>
      </c>
      <c r="G147" s="2" t="n">
        <f aca="false">'Raw Data'!W147</f>
        <v>1</v>
      </c>
      <c r="H147" s="2" t="n">
        <f aca="false">'Raw Data'!V147</f>
        <v>2</v>
      </c>
      <c r="I147" s="2" t="n">
        <f aca="false">IF(AND(ISNUMBER(B147),B147&lt;=25),2,0)+IF(AND(ISNUMBER(E147),E147&lt;=5),2,0)+IF(AND(ISNUMBER(F147),F147&lt;=1),2,0)+IF(AND(ISNUMBER(G147),G147&lt;=2),1,0)+IF(AND(ISNUMBER(H147),H147&lt;=2),1,0)</f>
        <v>2</v>
      </c>
      <c r="J147" s="2" t="str">
        <f aca="false">IF(I147&gt;=6,"High",IF(I147&gt;=3,"Medium","Low"))</f>
        <v>Low</v>
      </c>
    </row>
    <row r="148" customFormat="false" ht="15" hidden="false" customHeight="true" outlineLevel="0" collapsed="false">
      <c r="A148" s="2" t="n">
        <f aca="false">'Raw Data'!H148</f>
        <v>147</v>
      </c>
      <c r="B148" s="2" t="n">
        <f aca="false">'Raw Data'!A148</f>
        <v>28</v>
      </c>
      <c r="C148" s="2" t="str">
        <f aca="false">'Raw Data'!D148</f>
        <v>Research &amp; Development</v>
      </c>
      <c r="D148" s="2" t="str">
        <f aca="false">'Raw Data'!K148</f>
        <v>Healthcare Representative</v>
      </c>
      <c r="E148" s="2" t="n">
        <f aca="false">'Raw Data'!Q148</f>
        <v>10</v>
      </c>
      <c r="F148" s="2" t="n">
        <f aca="false">'Raw Data'!U148</f>
        <v>8</v>
      </c>
      <c r="G148" s="2" t="n">
        <f aca="false">'Raw Data'!W148</f>
        <v>1</v>
      </c>
      <c r="H148" s="2" t="n">
        <f aca="false">'Raw Data'!V148</f>
        <v>3</v>
      </c>
      <c r="I148" s="2" t="n">
        <f aca="false">IF(AND(ISNUMBER(B148),B148&lt;=25),2,0)+IF(AND(ISNUMBER(E148),E148&lt;=5),2,0)+IF(AND(ISNUMBER(F148),F148&lt;=1),2,0)+IF(AND(ISNUMBER(G148),G148&lt;=2),1,0)+IF(AND(ISNUMBER(H148),H148&lt;=2),1,0)</f>
        <v>1</v>
      </c>
      <c r="J148" s="2" t="str">
        <f aca="false">IF(I148&gt;=6,"High",IF(I148&gt;=3,"Medium","Low"))</f>
        <v>Low</v>
      </c>
    </row>
    <row r="149" customFormat="false" ht="15" hidden="false" customHeight="true" outlineLevel="0" collapsed="false">
      <c r="A149" s="2" t="n">
        <f aca="false">'Raw Data'!H149</f>
        <v>148</v>
      </c>
      <c r="B149" s="2" t="n">
        <f aca="false">'Raw Data'!A149</f>
        <v>25</v>
      </c>
      <c r="C149" s="2" t="str">
        <f aca="false">'Raw Data'!D149</f>
        <v>Research &amp; Development</v>
      </c>
      <c r="D149" s="2" t="str">
        <f aca="false">'Raw Data'!K149</f>
        <v>Laboratory Technician</v>
      </c>
      <c r="E149" s="2" t="n">
        <f aca="false">'Raw Data'!Q149</f>
        <v>6</v>
      </c>
      <c r="F149" s="2" t="n">
        <f aca="false">'Raw Data'!U149</f>
        <v>2</v>
      </c>
      <c r="G149" s="2" t="n">
        <f aca="false">'Raw Data'!W149</f>
        <v>1</v>
      </c>
      <c r="H149" s="2" t="n">
        <f aca="false">'Raw Data'!V149</f>
        <v>1</v>
      </c>
      <c r="I149" s="2" t="n">
        <f aca="false">IF(AND(ISNUMBER(B149),B149&lt;=25),2,0)+IF(AND(ISNUMBER(E149),E149&lt;=5),2,0)+IF(AND(ISNUMBER(F149),F149&lt;=1),2,0)+IF(AND(ISNUMBER(G149),G149&lt;=2),1,0)+IF(AND(ISNUMBER(H149),H149&lt;=2),1,0)</f>
        <v>4</v>
      </c>
      <c r="J149" s="2" t="str">
        <f aca="false">IF(I149&gt;=6,"High",IF(I149&gt;=3,"Medium","Low"))</f>
        <v>Medium</v>
      </c>
    </row>
    <row r="150" customFormat="false" ht="15" hidden="false" customHeight="true" outlineLevel="0" collapsed="false">
      <c r="A150" s="2" t="n">
        <f aca="false">'Raw Data'!H150</f>
        <v>149</v>
      </c>
      <c r="B150" s="2" t="n">
        <f aca="false">'Raw Data'!A150</f>
        <v>52</v>
      </c>
      <c r="C150" s="2" t="str">
        <f aca="false">'Raw Data'!D150</f>
        <v>Research &amp; Development</v>
      </c>
      <c r="D150" s="2" t="str">
        <f aca="false">'Raw Data'!K150</f>
        <v>Sales Representative</v>
      </c>
      <c r="E150" s="2" t="n">
        <f aca="false">'Raw Data'!Q150</f>
        <v>28</v>
      </c>
      <c r="F150" s="2" t="n">
        <f aca="false">'Raw Data'!U150</f>
        <v>4</v>
      </c>
      <c r="G150" s="2" t="n">
        <f aca="false">'Raw Data'!W150</f>
        <v>3</v>
      </c>
      <c r="H150" s="2" t="n">
        <f aca="false">'Raw Data'!V150</f>
        <v>4</v>
      </c>
      <c r="I150" s="2" t="n">
        <f aca="false">IF(AND(ISNUMBER(B150),B150&lt;=25),2,0)+IF(AND(ISNUMBER(E150),E150&lt;=5),2,0)+IF(AND(ISNUMBER(F150),F150&lt;=1),2,0)+IF(AND(ISNUMBER(G150),G150&lt;=2),1,0)+IF(AND(ISNUMBER(H150),H150&lt;=2),1,0)</f>
        <v>0</v>
      </c>
      <c r="J150" s="2" t="str">
        <f aca="false">IF(I150&gt;=6,"High",IF(I150&gt;=3,"Medium","Low"))</f>
        <v>Low</v>
      </c>
    </row>
    <row r="151" customFormat="false" ht="15" hidden="false" customHeight="true" outlineLevel="0" collapsed="false">
      <c r="A151" s="2" t="n">
        <f aca="false">'Raw Data'!H151</f>
        <v>150</v>
      </c>
      <c r="B151" s="2" t="n">
        <f aca="false">'Raw Data'!A151</f>
        <v>45</v>
      </c>
      <c r="C151" s="2" t="str">
        <f aca="false">'Raw Data'!D151</f>
        <v>Research &amp; Development</v>
      </c>
      <c r="D151" s="2" t="str">
        <f aca="false">'Raw Data'!K151</f>
        <v>Sales Executive</v>
      </c>
      <c r="E151" s="2" t="n">
        <f aca="false">'Raw Data'!Q151</f>
        <v>8</v>
      </c>
      <c r="F151" s="2" t="n">
        <f aca="false">'Raw Data'!U151</f>
        <v>2</v>
      </c>
      <c r="G151" s="2" t="n">
        <f aca="false">'Raw Data'!W151</f>
        <v>4</v>
      </c>
      <c r="H151" s="2" t="n">
        <f aca="false">'Raw Data'!V151</f>
        <v>1</v>
      </c>
      <c r="I151" s="2" t="n">
        <f aca="false">IF(AND(ISNUMBER(B151),B151&lt;=25),2,0)+IF(AND(ISNUMBER(E151),E151&lt;=5),2,0)+IF(AND(ISNUMBER(F151),F151&lt;=1),2,0)+IF(AND(ISNUMBER(G151),G151&lt;=2),1,0)+IF(AND(ISNUMBER(H151),H151&lt;=2),1,0)</f>
        <v>1</v>
      </c>
      <c r="J151" s="2" t="str">
        <f aca="false">IF(I151&gt;=6,"High",IF(I151&gt;=3,"Medium","Low"))</f>
        <v>Low</v>
      </c>
    </row>
    <row r="152" customFormat="false" ht="15" hidden="false" customHeight="true" outlineLevel="0" collapsed="false">
      <c r="A152" s="2" t="n">
        <f aca="false">'Raw Data'!H152</f>
        <v>151</v>
      </c>
      <c r="B152" s="2" t="n">
        <f aca="false">'Raw Data'!A152</f>
        <v>52</v>
      </c>
      <c r="C152" s="2" t="str">
        <f aca="false">'Raw Data'!D152</f>
        <v>Research &amp; Development</v>
      </c>
      <c r="D152" s="2" t="str">
        <f aca="false">'Raw Data'!K152</f>
        <v>Research Scientist</v>
      </c>
      <c r="E152" s="2" t="n">
        <f aca="false">'Raw Data'!Q152</f>
        <v>31</v>
      </c>
      <c r="F152" s="2" t="n">
        <f aca="false">'Raw Data'!U152</f>
        <v>4</v>
      </c>
      <c r="G152" s="2" t="n">
        <f aca="false">'Raw Data'!W152</f>
        <v>4</v>
      </c>
      <c r="H152" s="2" t="n">
        <f aca="false">'Raw Data'!V152</f>
        <v>4</v>
      </c>
      <c r="I152" s="2" t="n">
        <f aca="false">IF(AND(ISNUMBER(B152),B152&lt;=25),2,0)+IF(AND(ISNUMBER(E152),E152&lt;=5),2,0)+IF(AND(ISNUMBER(F152),F152&lt;=1),2,0)+IF(AND(ISNUMBER(G152),G152&lt;=2),1,0)+IF(AND(ISNUMBER(H152),H152&lt;=2),1,0)</f>
        <v>0</v>
      </c>
      <c r="J152" s="2" t="str">
        <f aca="false">IF(I152&gt;=6,"High",IF(I152&gt;=3,"Medium","Low"))</f>
        <v>Low</v>
      </c>
    </row>
    <row r="153" customFormat="false" ht="15" hidden="false" customHeight="true" outlineLevel="0" collapsed="false">
      <c r="A153" s="2" t="n">
        <f aca="false">'Raw Data'!H153</f>
        <v>152</v>
      </c>
      <c r="B153" s="2" t="n">
        <f aca="false">'Raw Data'!A153</f>
        <v>42</v>
      </c>
      <c r="C153" s="2" t="str">
        <f aca="false">'Raw Data'!D153</f>
        <v>Sales</v>
      </c>
      <c r="D153" s="2" t="str">
        <f aca="false">'Raw Data'!K153</f>
        <v>Healthcare Representative</v>
      </c>
      <c r="E153" s="2" t="n">
        <f aca="false">'Raw Data'!Q153</f>
        <v>19</v>
      </c>
      <c r="F153" s="2" t="n">
        <f aca="false">'Raw Data'!U153</f>
        <v>2</v>
      </c>
      <c r="G153" s="2" t="n">
        <f aca="false">'Raw Data'!W153</f>
        <v>3</v>
      </c>
      <c r="H153" s="2" t="n">
        <f aca="false">'Raw Data'!V153</f>
        <v>1</v>
      </c>
      <c r="I153" s="2" t="n">
        <f aca="false">IF(AND(ISNUMBER(B153),B153&lt;=25),2,0)+IF(AND(ISNUMBER(E153),E153&lt;=5),2,0)+IF(AND(ISNUMBER(F153),F153&lt;=1),2,0)+IF(AND(ISNUMBER(G153),G153&lt;=2),1,0)+IF(AND(ISNUMBER(H153),H153&lt;=2),1,0)</f>
        <v>1</v>
      </c>
      <c r="J153" s="2" t="str">
        <f aca="false">IF(I153&gt;=6,"High",IF(I153&gt;=3,"Medium","Low"))</f>
        <v>Low</v>
      </c>
    </row>
    <row r="154" customFormat="false" ht="15" hidden="false" customHeight="true" outlineLevel="0" collapsed="false">
      <c r="A154" s="2" t="n">
        <f aca="false">'Raw Data'!H154</f>
        <v>153</v>
      </c>
      <c r="B154" s="2" t="n">
        <f aca="false">'Raw Data'!A154</f>
        <v>30</v>
      </c>
      <c r="C154" s="2" t="str">
        <f aca="false">'Raw Data'!D154</f>
        <v>Sales</v>
      </c>
      <c r="D154" s="2" t="str">
        <f aca="false">'Raw Data'!K154</f>
        <v>Sales Executive</v>
      </c>
      <c r="E154" s="2" t="n">
        <f aca="false">'Raw Data'!Q154</f>
        <v>11</v>
      </c>
      <c r="F154" s="2" t="n">
        <f aca="false">'Raw Data'!U154</f>
        <v>2</v>
      </c>
      <c r="G154" s="2" t="n">
        <f aca="false">'Raw Data'!W154</f>
        <v>4</v>
      </c>
      <c r="H154" s="2" t="n">
        <f aca="false">'Raw Data'!V154</f>
        <v>3</v>
      </c>
      <c r="I154" s="2" t="n">
        <f aca="false">IF(AND(ISNUMBER(B154),B154&lt;=25),2,0)+IF(AND(ISNUMBER(E154),E154&lt;=5),2,0)+IF(AND(ISNUMBER(F154),F154&lt;=1),2,0)+IF(AND(ISNUMBER(G154),G154&lt;=2),1,0)+IF(AND(ISNUMBER(H154),H154&lt;=2),1,0)</f>
        <v>0</v>
      </c>
      <c r="J154" s="2" t="str">
        <f aca="false">IF(I154&gt;=6,"High",IF(I154&gt;=3,"Medium","Low"))</f>
        <v>Low</v>
      </c>
    </row>
    <row r="155" customFormat="false" ht="15" hidden="false" customHeight="true" outlineLevel="0" collapsed="false">
      <c r="A155" s="2" t="n">
        <f aca="false">'Raw Data'!H155</f>
        <v>154</v>
      </c>
      <c r="B155" s="2" t="n">
        <f aca="false">'Raw Data'!A155</f>
        <v>60</v>
      </c>
      <c r="C155" s="2" t="str">
        <f aca="false">'Raw Data'!D155</f>
        <v>Research &amp; Development</v>
      </c>
      <c r="D155" s="2" t="str">
        <f aca="false">'Raw Data'!K155</f>
        <v>Manufacturing Director</v>
      </c>
      <c r="E155" s="2" t="n">
        <f aca="false">'Raw Data'!Q155</f>
        <v>33</v>
      </c>
      <c r="F155" s="2" t="n">
        <f aca="false">'Raw Data'!U155</f>
        <v>10</v>
      </c>
      <c r="G155" s="2" t="n">
        <f aca="false">'Raw Data'!W155</f>
        <v>1</v>
      </c>
      <c r="H155" s="2" t="n">
        <f aca="false">'Raw Data'!V155</f>
        <v>1</v>
      </c>
      <c r="I155" s="2" t="n">
        <f aca="false">IF(AND(ISNUMBER(B155),B155&lt;=25),2,0)+IF(AND(ISNUMBER(E155),E155&lt;=5),2,0)+IF(AND(ISNUMBER(F155),F155&lt;=1),2,0)+IF(AND(ISNUMBER(G155),G155&lt;=2),1,0)+IF(AND(ISNUMBER(H155),H155&lt;=2),1,0)</f>
        <v>2</v>
      </c>
      <c r="J155" s="2" t="str">
        <f aca="false">IF(I155&gt;=6,"High",IF(I155&gt;=3,"Medium","Low"))</f>
        <v>Low</v>
      </c>
    </row>
    <row r="156" customFormat="false" ht="15" hidden="false" customHeight="true" outlineLevel="0" collapsed="false">
      <c r="A156" s="2" t="n">
        <f aca="false">'Raw Data'!H156</f>
        <v>155</v>
      </c>
      <c r="B156" s="2" t="n">
        <f aca="false">'Raw Data'!A156</f>
        <v>46</v>
      </c>
      <c r="C156" s="2" t="str">
        <f aca="false">'Raw Data'!D156</f>
        <v>Sales</v>
      </c>
      <c r="D156" s="2" t="str">
        <f aca="false">'Raw Data'!K156</f>
        <v>Sales Executive</v>
      </c>
      <c r="E156" s="2" t="n">
        <f aca="false">'Raw Data'!Q156</f>
        <v>19</v>
      </c>
      <c r="F156" s="2" t="n">
        <f aca="false">'Raw Data'!U156</f>
        <v>8</v>
      </c>
      <c r="G156" s="2" t="n">
        <f aca="false">'Raw Data'!W156</f>
        <v>3</v>
      </c>
      <c r="H156" s="2" t="n">
        <f aca="false">'Raw Data'!V156</f>
        <v>3</v>
      </c>
      <c r="I156" s="2" t="n">
        <f aca="false">IF(AND(ISNUMBER(B156),B156&lt;=25),2,0)+IF(AND(ISNUMBER(E156),E156&lt;=5),2,0)+IF(AND(ISNUMBER(F156),F156&lt;=1),2,0)+IF(AND(ISNUMBER(G156),G156&lt;=2),1,0)+IF(AND(ISNUMBER(H156),H156&lt;=2),1,0)</f>
        <v>0</v>
      </c>
      <c r="J156" s="2" t="str">
        <f aca="false">IF(I156&gt;=6,"High",IF(I156&gt;=3,"Medium","Low"))</f>
        <v>Low</v>
      </c>
    </row>
    <row r="157" customFormat="false" ht="15" hidden="false" customHeight="true" outlineLevel="0" collapsed="false">
      <c r="A157" s="2" t="n">
        <f aca="false">'Raw Data'!H157</f>
        <v>156</v>
      </c>
      <c r="B157" s="2" t="n">
        <f aca="false">'Raw Data'!A157</f>
        <v>42</v>
      </c>
      <c r="C157" s="2" t="str">
        <f aca="false">'Raw Data'!D157</f>
        <v>Research &amp; Development</v>
      </c>
      <c r="D157" s="2" t="str">
        <f aca="false">'Raw Data'!K157</f>
        <v>Sales Executive</v>
      </c>
      <c r="E157" s="2" t="n">
        <f aca="false">'Raw Data'!Q157</f>
        <v>7</v>
      </c>
      <c r="F157" s="2" t="n">
        <f aca="false">'Raw Data'!U157</f>
        <v>4</v>
      </c>
      <c r="G157" s="2" t="n">
        <f aca="false">'Raw Data'!W157</f>
        <v>4</v>
      </c>
      <c r="H157" s="2" t="n">
        <f aca="false">'Raw Data'!V157</f>
        <v>4</v>
      </c>
      <c r="I157" s="2" t="n">
        <f aca="false">IF(AND(ISNUMBER(B157),B157&lt;=25),2,0)+IF(AND(ISNUMBER(E157),E157&lt;=5),2,0)+IF(AND(ISNUMBER(F157),F157&lt;=1),2,0)+IF(AND(ISNUMBER(G157),G157&lt;=2),1,0)+IF(AND(ISNUMBER(H157),H157&lt;=2),1,0)</f>
        <v>0</v>
      </c>
      <c r="J157" s="2" t="str">
        <f aca="false">IF(I157&gt;=6,"High",IF(I157&gt;=3,"Medium","Low"))</f>
        <v>Low</v>
      </c>
    </row>
    <row r="158" customFormat="false" ht="15" hidden="false" customHeight="true" outlineLevel="0" collapsed="false">
      <c r="A158" s="2" t="n">
        <f aca="false">'Raw Data'!H158</f>
        <v>157</v>
      </c>
      <c r="B158" s="2" t="n">
        <f aca="false">'Raw Data'!A158</f>
        <v>24</v>
      </c>
      <c r="C158" s="2" t="str">
        <f aca="false">'Raw Data'!D158</f>
        <v>Research &amp; Development</v>
      </c>
      <c r="D158" s="2" t="str">
        <f aca="false">'Raw Data'!K158</f>
        <v>Research Scientist</v>
      </c>
      <c r="E158" s="2" t="n">
        <f aca="false">'Raw Data'!Q158</f>
        <v>6</v>
      </c>
      <c r="F158" s="2" t="n">
        <f aca="false">'Raw Data'!U158</f>
        <v>4</v>
      </c>
      <c r="G158" s="2" t="n">
        <f aca="false">'Raw Data'!W158</f>
        <v>2</v>
      </c>
      <c r="H158" s="2" t="n">
        <f aca="false">'Raw Data'!V158</f>
        <v>1</v>
      </c>
      <c r="I158" s="2" t="n">
        <f aca="false">IF(AND(ISNUMBER(B158),B158&lt;=25),2,0)+IF(AND(ISNUMBER(E158),E158&lt;=5),2,0)+IF(AND(ISNUMBER(F158),F158&lt;=1),2,0)+IF(AND(ISNUMBER(G158),G158&lt;=2),1,0)+IF(AND(ISNUMBER(H158),H158&lt;=2),1,0)</f>
        <v>4</v>
      </c>
      <c r="J158" s="2" t="str">
        <f aca="false">IF(I158&gt;=6,"High",IF(I158&gt;=3,"Medium","Low"))</f>
        <v>Medium</v>
      </c>
    </row>
    <row r="159" customFormat="false" ht="15" hidden="false" customHeight="true" outlineLevel="0" collapsed="false">
      <c r="A159" s="2" t="n">
        <f aca="false">'Raw Data'!H159</f>
        <v>158</v>
      </c>
      <c r="B159" s="2" t="n">
        <f aca="false">'Raw Data'!A159</f>
        <v>34</v>
      </c>
      <c r="C159" s="2" t="str">
        <f aca="false">'Raw Data'!D159</f>
        <v>Research &amp; Development</v>
      </c>
      <c r="D159" s="2" t="str">
        <f aca="false">'Raw Data'!K159</f>
        <v>Research Scientist</v>
      </c>
      <c r="E159" s="2" t="n">
        <f aca="false">'Raw Data'!Q159</f>
        <v>3</v>
      </c>
      <c r="F159" s="2" t="n">
        <f aca="false">'Raw Data'!U159</f>
        <v>0</v>
      </c>
      <c r="G159" s="2" t="n">
        <f aca="false">'Raw Data'!W159</f>
        <v>3</v>
      </c>
      <c r="H159" s="2" t="n">
        <f aca="false">'Raw Data'!V159</f>
        <v>4</v>
      </c>
      <c r="I159" s="2" t="n">
        <f aca="false">IF(AND(ISNUMBER(B159),B159&lt;=25),2,0)+IF(AND(ISNUMBER(E159),E159&lt;=5),2,0)+IF(AND(ISNUMBER(F159),F159&lt;=1),2,0)+IF(AND(ISNUMBER(G159),G159&lt;=2),1,0)+IF(AND(ISNUMBER(H159),H159&lt;=2),1,0)</f>
        <v>4</v>
      </c>
      <c r="J159" s="2" t="str">
        <f aca="false">IF(I159&gt;=6,"High",IF(I159&gt;=3,"Medium","Low"))</f>
        <v>Medium</v>
      </c>
    </row>
    <row r="160" customFormat="false" ht="15" hidden="false" customHeight="true" outlineLevel="0" collapsed="false">
      <c r="A160" s="2" t="n">
        <f aca="false">'Raw Data'!H160</f>
        <v>159</v>
      </c>
      <c r="B160" s="2" t="n">
        <f aca="false">'Raw Data'!A160</f>
        <v>38</v>
      </c>
      <c r="C160" s="2" t="str">
        <f aca="false">'Raw Data'!D160</f>
        <v>Sales</v>
      </c>
      <c r="D160" s="2" t="str">
        <f aca="false">'Raw Data'!K160</f>
        <v>Sales Executive</v>
      </c>
      <c r="E160" s="2" t="n">
        <f aca="false">'Raw Data'!Q160</f>
        <v>1</v>
      </c>
      <c r="F160" s="2" t="n">
        <f aca="false">'Raw Data'!U160</f>
        <v>0</v>
      </c>
      <c r="G160" s="2" t="n">
        <f aca="false">'Raw Data'!W160</f>
        <v>4</v>
      </c>
      <c r="H160" s="2" t="n">
        <f aca="false">'Raw Data'!V160</f>
        <v>4</v>
      </c>
      <c r="I160" s="2" t="n">
        <f aca="false">IF(AND(ISNUMBER(B160),B160&lt;=25),2,0)+IF(AND(ISNUMBER(E160),E160&lt;=5),2,0)+IF(AND(ISNUMBER(F160),F160&lt;=1),2,0)+IF(AND(ISNUMBER(G160),G160&lt;=2),1,0)+IF(AND(ISNUMBER(H160),H160&lt;=2),1,0)</f>
        <v>4</v>
      </c>
      <c r="J160" s="2" t="str">
        <f aca="false">IF(I160&gt;=6,"High",IF(I160&gt;=3,"Medium","Low"))</f>
        <v>Medium</v>
      </c>
    </row>
    <row r="161" customFormat="false" ht="15" hidden="false" customHeight="true" outlineLevel="0" collapsed="false">
      <c r="A161" s="2" t="n">
        <f aca="false">'Raw Data'!H161</f>
        <v>160</v>
      </c>
      <c r="B161" s="2" t="n">
        <f aca="false">'Raw Data'!A161</f>
        <v>40</v>
      </c>
      <c r="C161" s="2" t="str">
        <f aca="false">'Raw Data'!D161</f>
        <v>Sales</v>
      </c>
      <c r="D161" s="2" t="str">
        <f aca="false">'Raw Data'!K161</f>
        <v>Sales Executive</v>
      </c>
      <c r="E161" s="2" t="n">
        <f aca="false">'Raw Data'!Q161</f>
        <v>21</v>
      </c>
      <c r="F161" s="2" t="n">
        <f aca="false">'Raw Data'!U161</f>
        <v>12</v>
      </c>
      <c r="G161" s="2" t="n">
        <f aca="false">'Raw Data'!W161</f>
        <v>3</v>
      </c>
      <c r="H161" s="2" t="n">
        <f aca="false">'Raw Data'!V161</f>
        <v>3</v>
      </c>
      <c r="I161" s="2" t="n">
        <f aca="false">IF(AND(ISNUMBER(B161),B161&lt;=25),2,0)+IF(AND(ISNUMBER(E161),E161&lt;=5),2,0)+IF(AND(ISNUMBER(F161),F161&lt;=1),2,0)+IF(AND(ISNUMBER(G161),G161&lt;=2),1,0)+IF(AND(ISNUMBER(H161),H161&lt;=2),1,0)</f>
        <v>0</v>
      </c>
      <c r="J161" s="2" t="str">
        <f aca="false">IF(I161&gt;=6,"High",IF(I161&gt;=3,"Medium","Low"))</f>
        <v>Low</v>
      </c>
    </row>
    <row r="162" customFormat="false" ht="15" hidden="false" customHeight="true" outlineLevel="0" collapsed="false">
      <c r="A162" s="2" t="n">
        <f aca="false">'Raw Data'!H162</f>
        <v>161</v>
      </c>
      <c r="B162" s="2" t="n">
        <f aca="false">'Raw Data'!A162</f>
        <v>26</v>
      </c>
      <c r="C162" s="2" t="str">
        <f aca="false">'Raw Data'!D162</f>
        <v>Research &amp; Development</v>
      </c>
      <c r="D162" s="2" t="str">
        <f aca="false">'Raw Data'!K162</f>
        <v>Healthcare Representative</v>
      </c>
      <c r="E162" s="2" t="n">
        <f aca="false">'Raw Data'!Q162</f>
        <v>3</v>
      </c>
      <c r="F162" s="2" t="n">
        <f aca="false">'Raw Data'!U162</f>
        <v>2</v>
      </c>
      <c r="G162" s="2" t="n">
        <f aca="false">'Raw Data'!W162</f>
        <v>4</v>
      </c>
      <c r="H162" s="2" t="n">
        <f aca="false">'Raw Data'!V162</f>
        <v>1</v>
      </c>
      <c r="I162" s="2" t="n">
        <f aca="false">IF(AND(ISNUMBER(B162),B162&lt;=25),2,0)+IF(AND(ISNUMBER(E162),E162&lt;=5),2,0)+IF(AND(ISNUMBER(F162),F162&lt;=1),2,0)+IF(AND(ISNUMBER(G162),G162&lt;=2),1,0)+IF(AND(ISNUMBER(H162),H162&lt;=2),1,0)</f>
        <v>3</v>
      </c>
      <c r="J162" s="2" t="str">
        <f aca="false">IF(I162&gt;=6,"High",IF(I162&gt;=3,"Medium","Low"))</f>
        <v>Medium</v>
      </c>
    </row>
    <row r="163" customFormat="false" ht="15" hidden="false" customHeight="true" outlineLevel="0" collapsed="false">
      <c r="A163" s="2" t="n">
        <f aca="false">'Raw Data'!H163</f>
        <v>162</v>
      </c>
      <c r="B163" s="2" t="n">
        <f aca="false">'Raw Data'!A163</f>
        <v>30</v>
      </c>
      <c r="C163" s="2" t="str">
        <f aca="false">'Raw Data'!D163</f>
        <v>Research &amp; Development</v>
      </c>
      <c r="D163" s="2" t="str">
        <f aca="false">'Raw Data'!K163</f>
        <v>Sales Executive</v>
      </c>
      <c r="E163" s="2" t="n">
        <f aca="false">'Raw Data'!Q163</f>
        <v>9</v>
      </c>
      <c r="F163" s="2" t="n">
        <f aca="false">'Raw Data'!U163</f>
        <v>4</v>
      </c>
      <c r="G163" s="2" t="n">
        <f aca="false">'Raw Data'!W163</f>
        <v>4</v>
      </c>
      <c r="H163" s="2" t="n">
        <f aca="false">'Raw Data'!V163</f>
        <v>3</v>
      </c>
      <c r="I163" s="2" t="n">
        <f aca="false">IF(AND(ISNUMBER(B163),B163&lt;=25),2,0)+IF(AND(ISNUMBER(E163),E163&lt;=5),2,0)+IF(AND(ISNUMBER(F163),F163&lt;=1),2,0)+IF(AND(ISNUMBER(G163),G163&lt;=2),1,0)+IF(AND(ISNUMBER(H163),H163&lt;=2),1,0)</f>
        <v>0</v>
      </c>
      <c r="J163" s="2" t="str">
        <f aca="false">IF(I163&gt;=6,"High",IF(I163&gt;=3,"Medium","Low"))</f>
        <v>Low</v>
      </c>
    </row>
    <row r="164" customFormat="false" ht="15" hidden="false" customHeight="true" outlineLevel="0" collapsed="false">
      <c r="A164" s="2" t="n">
        <f aca="false">'Raw Data'!H164</f>
        <v>163</v>
      </c>
      <c r="B164" s="2" t="n">
        <f aca="false">'Raw Data'!A164</f>
        <v>29</v>
      </c>
      <c r="C164" s="2" t="str">
        <f aca="false">'Raw Data'!D164</f>
        <v>Research &amp; Development</v>
      </c>
      <c r="D164" s="2" t="str">
        <f aca="false">'Raw Data'!K164</f>
        <v>Manufacturing Director</v>
      </c>
      <c r="E164" s="2" t="n">
        <f aca="false">'Raw Data'!Q164</f>
        <v>10</v>
      </c>
      <c r="F164" s="2" t="n">
        <f aca="false">'Raw Data'!U164</f>
        <v>7</v>
      </c>
      <c r="G164" s="2" t="n">
        <f aca="false">'Raw Data'!W164</f>
        <v>3</v>
      </c>
      <c r="H164" s="2" t="n">
        <f aca="false">'Raw Data'!V164</f>
        <v>2</v>
      </c>
      <c r="I164" s="2" t="n">
        <f aca="false">IF(AND(ISNUMBER(B164),B164&lt;=25),2,0)+IF(AND(ISNUMBER(E164),E164&lt;=5),2,0)+IF(AND(ISNUMBER(F164),F164&lt;=1),2,0)+IF(AND(ISNUMBER(G164),G164&lt;=2),1,0)+IF(AND(ISNUMBER(H164),H164&lt;=2),1,0)</f>
        <v>1</v>
      </c>
      <c r="J164" s="2" t="str">
        <f aca="false">IF(I164&gt;=6,"High",IF(I164&gt;=3,"Medium","Low"))</f>
        <v>Low</v>
      </c>
    </row>
    <row r="165" customFormat="false" ht="15" hidden="false" customHeight="true" outlineLevel="0" collapsed="false">
      <c r="A165" s="2" t="n">
        <f aca="false">'Raw Data'!H165</f>
        <v>164</v>
      </c>
      <c r="B165" s="2" t="n">
        <f aca="false">'Raw Data'!A165</f>
        <v>29</v>
      </c>
      <c r="C165" s="2" t="str">
        <f aca="false">'Raw Data'!D165</f>
        <v>Research &amp; Development</v>
      </c>
      <c r="D165" s="2" t="str">
        <f aca="false">'Raw Data'!K165</f>
        <v>Research Scientist</v>
      </c>
      <c r="E165" s="2" t="n">
        <f aca="false">'Raw Data'!Q165</f>
        <v>6</v>
      </c>
      <c r="F165" s="2" t="n">
        <f aca="false">'Raw Data'!U165</f>
        <v>1</v>
      </c>
      <c r="G165" s="2" t="n">
        <f aca="false">'Raw Data'!W165</f>
        <v>2</v>
      </c>
      <c r="H165" s="2" t="n">
        <f aca="false">'Raw Data'!V165</f>
        <v>3</v>
      </c>
      <c r="I165" s="2" t="n">
        <f aca="false">IF(AND(ISNUMBER(B165),B165&lt;=25),2,0)+IF(AND(ISNUMBER(E165),E165&lt;=5),2,0)+IF(AND(ISNUMBER(F165),F165&lt;=1),2,0)+IF(AND(ISNUMBER(G165),G165&lt;=2),1,0)+IF(AND(ISNUMBER(H165),H165&lt;=2),1,0)</f>
        <v>3</v>
      </c>
      <c r="J165" s="2" t="str">
        <f aca="false">IF(I165&gt;=6,"High",IF(I165&gt;=3,"Medium","Low"))</f>
        <v>Medium</v>
      </c>
    </row>
    <row r="166" customFormat="false" ht="15" hidden="false" customHeight="true" outlineLevel="0" collapsed="false">
      <c r="A166" s="2" t="n">
        <f aca="false">'Raw Data'!H166</f>
        <v>165</v>
      </c>
      <c r="B166" s="2" t="n">
        <f aca="false">'Raw Data'!A166</f>
        <v>19</v>
      </c>
      <c r="C166" s="2" t="str">
        <f aca="false">'Raw Data'!D166</f>
        <v>Research &amp; Development</v>
      </c>
      <c r="D166" s="2" t="str">
        <f aca="false">'Raw Data'!K166</f>
        <v>Sales Executive</v>
      </c>
      <c r="E166" s="2" t="n">
        <f aca="false">'Raw Data'!Q166</f>
        <v>1</v>
      </c>
      <c r="F166" s="2" t="n">
        <f aca="false">'Raw Data'!U166</f>
        <v>0</v>
      </c>
      <c r="G166" s="2" t="n">
        <f aca="false">'Raw Data'!W166</f>
        <v>4</v>
      </c>
      <c r="H166" s="2" t="n">
        <f aca="false">'Raw Data'!V166</f>
        <v>1</v>
      </c>
      <c r="I166" s="2" t="n">
        <f aca="false">IF(AND(ISNUMBER(B166),B166&lt;=25),2,0)+IF(AND(ISNUMBER(E166),E166&lt;=5),2,0)+IF(AND(ISNUMBER(F166),F166&lt;=1),2,0)+IF(AND(ISNUMBER(G166),G166&lt;=2),1,0)+IF(AND(ISNUMBER(H166),H166&lt;=2),1,0)</f>
        <v>7</v>
      </c>
      <c r="J166" s="2" t="str">
        <f aca="false">IF(I166&gt;=6,"High",IF(I166&gt;=3,"Medium","Low"))</f>
        <v>High</v>
      </c>
    </row>
    <row r="167" customFormat="false" ht="15" hidden="false" customHeight="true" outlineLevel="0" collapsed="false">
      <c r="A167" s="2" t="n">
        <f aca="false">'Raw Data'!H167</f>
        <v>166</v>
      </c>
      <c r="B167" s="2" t="n">
        <f aca="false">'Raw Data'!A167</f>
        <v>30</v>
      </c>
      <c r="C167" s="2" t="str">
        <f aca="false">'Raw Data'!D167</f>
        <v>Research &amp; Development</v>
      </c>
      <c r="D167" s="2" t="str">
        <f aca="false">'Raw Data'!K167</f>
        <v>Research Scientist</v>
      </c>
      <c r="E167" s="2" t="n">
        <f aca="false">'Raw Data'!Q167</f>
        <v>10</v>
      </c>
      <c r="F167" s="2" t="n">
        <f aca="false">'Raw Data'!U167</f>
        <v>8</v>
      </c>
      <c r="G167" s="2" t="n">
        <f aca="false">'Raw Data'!W167</f>
        <v>1</v>
      </c>
      <c r="H167" s="2" t="n">
        <f aca="false">'Raw Data'!V167</f>
        <v>3</v>
      </c>
      <c r="I167" s="2" t="n">
        <f aca="false">IF(AND(ISNUMBER(B167),B167&lt;=25),2,0)+IF(AND(ISNUMBER(E167),E167&lt;=5),2,0)+IF(AND(ISNUMBER(F167),F167&lt;=1),2,0)+IF(AND(ISNUMBER(G167),G167&lt;=2),1,0)+IF(AND(ISNUMBER(H167),H167&lt;=2),1,0)</f>
        <v>1</v>
      </c>
      <c r="J167" s="2" t="str">
        <f aca="false">IF(I167&gt;=6,"High",IF(I167&gt;=3,"Medium","Low"))</f>
        <v>Low</v>
      </c>
    </row>
    <row r="168" customFormat="false" ht="15" hidden="false" customHeight="true" outlineLevel="0" collapsed="false">
      <c r="A168" s="2" t="n">
        <f aca="false">'Raw Data'!H168</f>
        <v>167</v>
      </c>
      <c r="B168" s="2" t="n">
        <f aca="false">'Raw Data'!A168</f>
        <v>57</v>
      </c>
      <c r="C168" s="2" t="str">
        <f aca="false">'Raw Data'!D168</f>
        <v>Research &amp; Development</v>
      </c>
      <c r="D168" s="2" t="str">
        <f aca="false">'Raw Data'!K168</f>
        <v>Research Scientist</v>
      </c>
      <c r="E168" s="2" t="n">
        <f aca="false">'Raw Data'!Q168</f>
        <v>32</v>
      </c>
      <c r="F168" s="2" t="n">
        <f aca="false">'Raw Data'!U168</f>
        <v>0</v>
      </c>
      <c r="G168" s="2" t="n">
        <f aca="false">'Raw Data'!W168</f>
        <v>4</v>
      </c>
      <c r="H168" s="2" t="n">
        <f aca="false">'Raw Data'!V168</f>
        <v>1</v>
      </c>
      <c r="I168" s="2" t="n">
        <f aca="false">IF(AND(ISNUMBER(B168),B168&lt;=25),2,0)+IF(AND(ISNUMBER(E168),E168&lt;=5),2,0)+IF(AND(ISNUMBER(F168),F168&lt;=1),2,0)+IF(AND(ISNUMBER(G168),G168&lt;=2),1,0)+IF(AND(ISNUMBER(H168),H168&lt;=2),1,0)</f>
        <v>3</v>
      </c>
      <c r="J168" s="2" t="str">
        <f aca="false">IF(I168&gt;=6,"High",IF(I168&gt;=3,"Medium","Low"))</f>
        <v>Medium</v>
      </c>
    </row>
    <row r="169" customFormat="false" ht="15" hidden="false" customHeight="true" outlineLevel="0" collapsed="false">
      <c r="A169" s="2" t="n">
        <f aca="false">'Raw Data'!H169</f>
        <v>168</v>
      </c>
      <c r="B169" s="2" t="n">
        <f aca="false">'Raw Data'!A169</f>
        <v>50</v>
      </c>
      <c r="C169" s="2" t="str">
        <f aca="false">'Raw Data'!D169</f>
        <v>Sales</v>
      </c>
      <c r="D169" s="2" t="str">
        <f aca="false">'Raw Data'!K169</f>
        <v>Manager</v>
      </c>
      <c r="E169" s="2" t="n">
        <f aca="false">'Raw Data'!Q169</f>
        <v>28</v>
      </c>
      <c r="F169" s="2" t="n">
        <f aca="false">'Raw Data'!U169</f>
        <v>7</v>
      </c>
      <c r="G169" s="2" t="n">
        <f aca="false">'Raw Data'!W169</f>
        <v>3</v>
      </c>
      <c r="H169" s="2" t="n">
        <f aca="false">'Raw Data'!V169</f>
        <v>2</v>
      </c>
      <c r="I169" s="2" t="n">
        <f aca="false">IF(AND(ISNUMBER(B169),B169&lt;=25),2,0)+IF(AND(ISNUMBER(E169),E169&lt;=5),2,0)+IF(AND(ISNUMBER(F169),F169&lt;=1),2,0)+IF(AND(ISNUMBER(G169),G169&lt;=2),1,0)+IF(AND(ISNUMBER(H169),H169&lt;=2),1,0)</f>
        <v>1</v>
      </c>
      <c r="J169" s="2" t="str">
        <f aca="false">IF(I169&gt;=6,"High",IF(I169&gt;=3,"Medium","Low"))</f>
        <v>Low</v>
      </c>
    </row>
    <row r="170" customFormat="false" ht="15" hidden="false" customHeight="true" outlineLevel="0" collapsed="false">
      <c r="A170" s="2" t="n">
        <f aca="false">'Raw Data'!H170</f>
        <v>169</v>
      </c>
      <c r="B170" s="2" t="n">
        <f aca="false">'Raw Data'!A170</f>
        <v>30</v>
      </c>
      <c r="C170" s="2" t="str">
        <f aca="false">'Raw Data'!D170</f>
        <v>Sales</v>
      </c>
      <c r="D170" s="2" t="str">
        <f aca="false">'Raw Data'!K170</f>
        <v>Laboratory Technician</v>
      </c>
      <c r="E170" s="2" t="n">
        <f aca="false">'Raw Data'!Q170</f>
        <v>12</v>
      </c>
      <c r="F170" s="2" t="n">
        <f aca="false">'Raw Data'!U170</f>
        <v>7</v>
      </c>
      <c r="G170" s="2" t="n">
        <f aca="false">'Raw Data'!W170</f>
        <v>4</v>
      </c>
      <c r="H170" s="2" t="n">
        <f aca="false">'Raw Data'!V170</f>
        <v>3</v>
      </c>
      <c r="I170" s="2" t="n">
        <f aca="false">IF(AND(ISNUMBER(B170),B170&lt;=25),2,0)+IF(AND(ISNUMBER(E170),E170&lt;=5),2,0)+IF(AND(ISNUMBER(F170),F170&lt;=1),2,0)+IF(AND(ISNUMBER(G170),G170&lt;=2),1,0)+IF(AND(ISNUMBER(H170),H170&lt;=2),1,0)</f>
        <v>0</v>
      </c>
      <c r="J170" s="2" t="str">
        <f aca="false">IF(I170&gt;=6,"High",IF(I170&gt;=3,"Medium","Low"))</f>
        <v>Low</v>
      </c>
    </row>
    <row r="171" customFormat="false" ht="15" hidden="false" customHeight="true" outlineLevel="0" collapsed="false">
      <c r="A171" s="2" t="n">
        <f aca="false">'Raw Data'!H171</f>
        <v>170</v>
      </c>
      <c r="B171" s="2" t="n">
        <f aca="false">'Raw Data'!A171</f>
        <v>60</v>
      </c>
      <c r="C171" s="2" t="str">
        <f aca="false">'Raw Data'!D171</f>
        <v>Research &amp; Development</v>
      </c>
      <c r="D171" s="2" t="str">
        <f aca="false">'Raw Data'!K171</f>
        <v>Laboratory Technician</v>
      </c>
      <c r="E171" s="2" t="n">
        <f aca="false">'Raw Data'!Q171</f>
        <v>22</v>
      </c>
      <c r="F171" s="2" t="n">
        <f aca="false">'Raw Data'!U171</f>
        <v>11</v>
      </c>
      <c r="G171" s="2" t="n">
        <f aca="false">'Raw Data'!W171</f>
        <v>1</v>
      </c>
      <c r="H171" s="2" t="n">
        <f aca="false">'Raw Data'!V171</f>
        <v>3</v>
      </c>
      <c r="I171" s="2" t="n">
        <f aca="false">IF(AND(ISNUMBER(B171),B171&lt;=25),2,0)+IF(AND(ISNUMBER(E171),E171&lt;=5),2,0)+IF(AND(ISNUMBER(F171),F171&lt;=1),2,0)+IF(AND(ISNUMBER(G171),G171&lt;=2),1,0)+IF(AND(ISNUMBER(H171),H171&lt;=2),1,0)</f>
        <v>1</v>
      </c>
      <c r="J171" s="2" t="str">
        <f aca="false">IF(I171&gt;=6,"High",IF(I171&gt;=3,"Medium","Low"))</f>
        <v>Low</v>
      </c>
    </row>
    <row r="172" customFormat="false" ht="15" hidden="false" customHeight="true" outlineLevel="0" collapsed="false">
      <c r="A172" s="2" t="n">
        <f aca="false">'Raw Data'!H172</f>
        <v>171</v>
      </c>
      <c r="B172" s="2" t="n">
        <f aca="false">'Raw Data'!A172</f>
        <v>47</v>
      </c>
      <c r="C172" s="2" t="str">
        <f aca="false">'Raw Data'!D172</f>
        <v>Research &amp; Development</v>
      </c>
      <c r="D172" s="2" t="str">
        <f aca="false">'Raw Data'!K172</f>
        <v>Manufacturing Director</v>
      </c>
      <c r="E172" s="2" t="n">
        <f aca="false">'Raw Data'!Q172</f>
        <v>20</v>
      </c>
      <c r="F172" s="2" t="n">
        <f aca="false">'Raw Data'!U172</f>
        <v>4</v>
      </c>
      <c r="G172" s="2" t="n">
        <f aca="false">'Raw Data'!W172</f>
        <v>4</v>
      </c>
      <c r="H172" s="2" t="n">
        <f aca="false">'Raw Data'!V172</f>
        <v>1</v>
      </c>
      <c r="I172" s="2" t="n">
        <f aca="false">IF(AND(ISNUMBER(B172),B172&lt;=25),2,0)+IF(AND(ISNUMBER(E172),E172&lt;=5),2,0)+IF(AND(ISNUMBER(F172),F172&lt;=1),2,0)+IF(AND(ISNUMBER(G172),G172&lt;=2),1,0)+IF(AND(ISNUMBER(H172),H172&lt;=2),1,0)</f>
        <v>1</v>
      </c>
      <c r="J172" s="2" t="str">
        <f aca="false">IF(I172&gt;=6,"High",IF(I172&gt;=3,"Medium","Low"))</f>
        <v>Low</v>
      </c>
    </row>
    <row r="173" customFormat="false" ht="15" hidden="false" customHeight="true" outlineLevel="0" collapsed="false">
      <c r="A173" s="2" t="n">
        <f aca="false">'Raw Data'!H173</f>
        <v>172</v>
      </c>
      <c r="B173" s="2" t="n">
        <f aca="false">'Raw Data'!A173</f>
        <v>46</v>
      </c>
      <c r="C173" s="2" t="str">
        <f aca="false">'Raw Data'!D173</f>
        <v>Sales</v>
      </c>
      <c r="D173" s="2" t="str">
        <f aca="false">'Raw Data'!K173</f>
        <v>Laboratory Technician</v>
      </c>
      <c r="E173" s="2" t="n">
        <f aca="false">'Raw Data'!Q173</f>
        <v>26</v>
      </c>
      <c r="F173" s="2" t="n">
        <f aca="false">'Raw Data'!U173</f>
        <v>1</v>
      </c>
      <c r="G173" s="2" t="n">
        <f aca="false">'Raw Data'!W173</f>
        <v>3</v>
      </c>
      <c r="H173" s="2" t="n">
        <f aca="false">'Raw Data'!V173</f>
        <v>1</v>
      </c>
      <c r="I173" s="2" t="n">
        <f aca="false">IF(AND(ISNUMBER(B173),B173&lt;=25),2,0)+IF(AND(ISNUMBER(E173),E173&lt;=5),2,0)+IF(AND(ISNUMBER(F173),F173&lt;=1),2,0)+IF(AND(ISNUMBER(G173),G173&lt;=2),1,0)+IF(AND(ISNUMBER(H173),H173&lt;=2),1,0)</f>
        <v>3</v>
      </c>
      <c r="J173" s="2" t="str">
        <f aca="false">IF(I173&gt;=6,"High",IF(I173&gt;=3,"Medium","Low"))</f>
        <v>Medium</v>
      </c>
    </row>
    <row r="174" customFormat="false" ht="15" hidden="false" customHeight="true" outlineLevel="0" collapsed="false">
      <c r="A174" s="2" t="n">
        <f aca="false">'Raw Data'!H174</f>
        <v>173</v>
      </c>
      <c r="B174" s="2" t="n">
        <f aca="false">'Raw Data'!A174</f>
        <v>35</v>
      </c>
      <c r="C174" s="2" t="str">
        <f aca="false">'Raw Data'!D174</f>
        <v>Research &amp; Development</v>
      </c>
      <c r="D174" s="2" t="str">
        <f aca="false">'Raw Data'!K174</f>
        <v>Laboratory Technician</v>
      </c>
      <c r="E174" s="2" t="n">
        <f aca="false">'Raw Data'!Q174</f>
        <v>6</v>
      </c>
      <c r="F174" s="2" t="n">
        <f aca="false">'Raw Data'!U174</f>
        <v>3</v>
      </c>
      <c r="G174" s="2" t="n">
        <f aca="false">'Raw Data'!W174</f>
        <v>3</v>
      </c>
      <c r="H174" s="2" t="n">
        <f aca="false">'Raw Data'!V174</f>
        <v>4</v>
      </c>
      <c r="I174" s="2" t="n">
        <f aca="false">IF(AND(ISNUMBER(B174),B174&lt;=25),2,0)+IF(AND(ISNUMBER(E174),E174&lt;=5),2,0)+IF(AND(ISNUMBER(F174),F174&lt;=1),2,0)+IF(AND(ISNUMBER(G174),G174&lt;=2),1,0)+IF(AND(ISNUMBER(H174),H174&lt;=2),1,0)</f>
        <v>0</v>
      </c>
      <c r="J174" s="2" t="str">
        <f aca="false">IF(I174&gt;=6,"High",IF(I174&gt;=3,"Medium","Low"))</f>
        <v>Low</v>
      </c>
    </row>
    <row r="175" customFormat="false" ht="15" hidden="false" customHeight="true" outlineLevel="0" collapsed="false">
      <c r="A175" s="2" t="n">
        <f aca="false">'Raw Data'!H175</f>
        <v>174</v>
      </c>
      <c r="B175" s="2" t="n">
        <f aca="false">'Raw Data'!A175</f>
        <v>54</v>
      </c>
      <c r="C175" s="2" t="str">
        <f aca="false">'Raw Data'!D175</f>
        <v>Research &amp; Development</v>
      </c>
      <c r="D175" s="2" t="str">
        <f aca="false">'Raw Data'!K175</f>
        <v>Human Resources</v>
      </c>
      <c r="E175" s="2" t="n">
        <f aca="false">'Raw Data'!Q175</f>
        <v>19</v>
      </c>
      <c r="F175" s="2" t="n">
        <f aca="false">'Raw Data'!U175</f>
        <v>0</v>
      </c>
      <c r="G175" s="2" t="n">
        <f aca="false">'Raw Data'!W175</f>
        <v>3</v>
      </c>
      <c r="H175" s="2" t="n">
        <f aca="false">'Raw Data'!V175</f>
        <v>3</v>
      </c>
      <c r="I175" s="2" t="n">
        <f aca="false">IF(AND(ISNUMBER(B175),B175&lt;=25),2,0)+IF(AND(ISNUMBER(E175),E175&lt;=5),2,0)+IF(AND(ISNUMBER(F175),F175&lt;=1),2,0)+IF(AND(ISNUMBER(G175),G175&lt;=2),1,0)+IF(AND(ISNUMBER(H175),H175&lt;=2),1,0)</f>
        <v>2</v>
      </c>
      <c r="J175" s="2" t="str">
        <f aca="false">IF(I175&gt;=6,"High",IF(I175&gt;=3,"Medium","Low"))</f>
        <v>Low</v>
      </c>
    </row>
    <row r="176" customFormat="false" ht="15" hidden="false" customHeight="true" outlineLevel="0" collapsed="false">
      <c r="A176" s="2" t="n">
        <f aca="false">'Raw Data'!H176</f>
        <v>175</v>
      </c>
      <c r="B176" s="2" t="n">
        <f aca="false">'Raw Data'!A176</f>
        <v>34</v>
      </c>
      <c r="C176" s="2" t="str">
        <f aca="false">'Raw Data'!D176</f>
        <v>Sales</v>
      </c>
      <c r="D176" s="2" t="str">
        <f aca="false">'Raw Data'!K176</f>
        <v>Laboratory Technician</v>
      </c>
      <c r="E176" s="2" t="n">
        <f aca="false">'Raw Data'!Q176</f>
        <v>14</v>
      </c>
      <c r="F176" s="2" t="n">
        <f aca="false">'Raw Data'!U176</f>
        <v>7</v>
      </c>
      <c r="G176" s="2" t="n">
        <f aca="false">'Raw Data'!W176</f>
        <v>3</v>
      </c>
      <c r="H176" s="2" t="n">
        <f aca="false">'Raw Data'!V176</f>
        <v>4</v>
      </c>
      <c r="I176" s="2" t="n">
        <f aca="false">IF(AND(ISNUMBER(B176),B176&lt;=25),2,0)+IF(AND(ISNUMBER(E176),E176&lt;=5),2,0)+IF(AND(ISNUMBER(F176),F176&lt;=1),2,0)+IF(AND(ISNUMBER(G176),G176&lt;=2),1,0)+IF(AND(ISNUMBER(H176),H176&lt;=2),1,0)</f>
        <v>0</v>
      </c>
      <c r="J176" s="2" t="str">
        <f aca="false">IF(I176&gt;=6,"High",IF(I176&gt;=3,"Medium","Low"))</f>
        <v>Low</v>
      </c>
    </row>
    <row r="177" customFormat="false" ht="15" hidden="false" customHeight="true" outlineLevel="0" collapsed="false">
      <c r="A177" s="2" t="n">
        <f aca="false">'Raw Data'!H177</f>
        <v>176</v>
      </c>
      <c r="B177" s="2" t="n">
        <f aca="false">'Raw Data'!A177</f>
        <v>46</v>
      </c>
      <c r="C177" s="2" t="str">
        <f aca="false">'Raw Data'!D177</f>
        <v>Research &amp; Development</v>
      </c>
      <c r="D177" s="2" t="str">
        <f aca="false">'Raw Data'!K177</f>
        <v>Healthcare Representative</v>
      </c>
      <c r="E177" s="2" t="n">
        <f aca="false">'Raw Data'!Q177</f>
        <v>15</v>
      </c>
      <c r="F177" s="2" t="n">
        <f aca="false">'Raw Data'!U177</f>
        <v>2</v>
      </c>
      <c r="G177" s="2" t="n">
        <f aca="false">'Raw Data'!W177</f>
        <v>4</v>
      </c>
      <c r="H177" s="2" t="n">
        <f aca="false">'Raw Data'!V177</f>
        <v>3</v>
      </c>
      <c r="I177" s="2" t="n">
        <f aca="false">IF(AND(ISNUMBER(B177),B177&lt;=25),2,0)+IF(AND(ISNUMBER(E177),E177&lt;=5),2,0)+IF(AND(ISNUMBER(F177),F177&lt;=1),2,0)+IF(AND(ISNUMBER(G177),G177&lt;=2),1,0)+IF(AND(ISNUMBER(H177),H177&lt;=2),1,0)</f>
        <v>0</v>
      </c>
      <c r="J177" s="2" t="str">
        <f aca="false">IF(I177&gt;=6,"High",IF(I177&gt;=3,"Medium","Low"))</f>
        <v>Low</v>
      </c>
    </row>
    <row r="178" customFormat="false" ht="15" hidden="false" customHeight="true" outlineLevel="0" collapsed="false">
      <c r="A178" s="2" t="n">
        <f aca="false">'Raw Data'!H178</f>
        <v>177</v>
      </c>
      <c r="B178" s="2" t="n">
        <f aca="false">'Raw Data'!A178</f>
        <v>31</v>
      </c>
      <c r="C178" s="2" t="str">
        <f aca="false">'Raw Data'!D178</f>
        <v>Research &amp; Development</v>
      </c>
      <c r="D178" s="2" t="str">
        <f aca="false">'Raw Data'!K178</f>
        <v>Research Director</v>
      </c>
      <c r="E178" s="2" t="n">
        <f aca="false">'Raw Data'!Q178</f>
        <v>13</v>
      </c>
      <c r="F178" s="2" t="n">
        <f aca="false">'Raw Data'!U178</f>
        <v>8</v>
      </c>
      <c r="G178" s="2" t="n">
        <f aca="false">'Raw Data'!W178</f>
        <v>2</v>
      </c>
      <c r="H178" s="2" t="n">
        <f aca="false">'Raw Data'!V178</f>
        <v>3</v>
      </c>
      <c r="I178" s="2" t="n">
        <f aca="false">IF(AND(ISNUMBER(B178),B178&lt;=25),2,0)+IF(AND(ISNUMBER(E178),E178&lt;=5),2,0)+IF(AND(ISNUMBER(F178),F178&lt;=1),2,0)+IF(AND(ISNUMBER(G178),G178&lt;=2),1,0)+IF(AND(ISNUMBER(H178),H178&lt;=2),1,0)</f>
        <v>1</v>
      </c>
      <c r="J178" s="2" t="str">
        <f aca="false">IF(I178&gt;=6,"High",IF(I178&gt;=3,"Medium","Low"))</f>
        <v>Low</v>
      </c>
    </row>
    <row r="179" customFormat="false" ht="15" hidden="false" customHeight="true" outlineLevel="0" collapsed="false">
      <c r="A179" s="2" t="n">
        <f aca="false">'Raw Data'!H179</f>
        <v>178</v>
      </c>
      <c r="B179" s="2" t="n">
        <f aca="false">'Raw Data'!A179</f>
        <v>33</v>
      </c>
      <c r="C179" s="2" t="str">
        <f aca="false">'Raw Data'!D179</f>
        <v>Research &amp; Development</v>
      </c>
      <c r="D179" s="2" t="str">
        <f aca="false">'Raw Data'!K179</f>
        <v>Research Director</v>
      </c>
      <c r="E179" s="2" t="n">
        <f aca="false">'Raw Data'!Q179</f>
        <v>15</v>
      </c>
      <c r="F179" s="2" t="n">
        <f aca="false">'Raw Data'!U179</f>
        <v>7</v>
      </c>
      <c r="G179" s="2" t="n">
        <f aca="false">'Raw Data'!W179</f>
        <v>3</v>
      </c>
      <c r="H179" s="2" t="n">
        <f aca="false">'Raw Data'!V179</f>
        <v>2</v>
      </c>
      <c r="I179" s="2" t="n">
        <f aca="false">IF(AND(ISNUMBER(B179),B179&lt;=25),2,0)+IF(AND(ISNUMBER(E179),E179&lt;=5),2,0)+IF(AND(ISNUMBER(F179),F179&lt;=1),2,0)+IF(AND(ISNUMBER(G179),G179&lt;=2),1,0)+IF(AND(ISNUMBER(H179),H179&lt;=2),1,0)</f>
        <v>1</v>
      </c>
      <c r="J179" s="2" t="str">
        <f aca="false">IF(I179&gt;=6,"High",IF(I179&gt;=3,"Medium","Low"))</f>
        <v>Low</v>
      </c>
    </row>
    <row r="180" customFormat="false" ht="15" hidden="false" customHeight="true" outlineLevel="0" collapsed="false">
      <c r="A180" s="2" t="n">
        <f aca="false">'Raw Data'!H180</f>
        <v>179</v>
      </c>
      <c r="B180" s="2" t="n">
        <f aca="false">'Raw Data'!A180</f>
        <v>33</v>
      </c>
      <c r="C180" s="2" t="str">
        <f aca="false">'Raw Data'!D180</f>
        <v>Sales</v>
      </c>
      <c r="D180" s="2" t="str">
        <f aca="false">'Raw Data'!K180</f>
        <v>Research Director</v>
      </c>
      <c r="E180" s="2" t="n">
        <f aca="false">'Raw Data'!Q180</f>
        <v>8</v>
      </c>
      <c r="F180" s="2" t="n">
        <f aca="false">'Raw Data'!U180</f>
        <v>3</v>
      </c>
      <c r="G180" s="2" t="n">
        <f aca="false">'Raw Data'!W180</f>
        <v>4</v>
      </c>
      <c r="H180" s="2" t="n">
        <f aca="false">'Raw Data'!V180</f>
        <v>1</v>
      </c>
      <c r="I180" s="2" t="n">
        <f aca="false">IF(AND(ISNUMBER(B180),B180&lt;=25),2,0)+IF(AND(ISNUMBER(E180),E180&lt;=5),2,0)+IF(AND(ISNUMBER(F180),F180&lt;=1),2,0)+IF(AND(ISNUMBER(G180),G180&lt;=2),1,0)+IF(AND(ISNUMBER(H180),H180&lt;=2),1,0)</f>
        <v>1</v>
      </c>
      <c r="J180" s="2" t="str">
        <f aca="false">IF(I180&gt;=6,"High",IF(I180&gt;=3,"Medium","Low"))</f>
        <v>Low</v>
      </c>
    </row>
    <row r="181" customFormat="false" ht="15" hidden="false" customHeight="true" outlineLevel="0" collapsed="false">
      <c r="A181" s="2" t="n">
        <f aca="false">'Raw Data'!H181</f>
        <v>180</v>
      </c>
      <c r="B181" s="2" t="n">
        <f aca="false">'Raw Data'!A181</f>
        <v>30</v>
      </c>
      <c r="C181" s="2" t="str">
        <f aca="false">'Raw Data'!D181</f>
        <v>Research &amp; Development</v>
      </c>
      <c r="D181" s="2" t="str">
        <f aca="false">'Raw Data'!K181</f>
        <v>Sales Executive</v>
      </c>
      <c r="E181" s="2" t="n">
        <f aca="false">'Raw Data'!Q181</f>
        <v>4</v>
      </c>
      <c r="F181" s="2" t="n">
        <f aca="false">'Raw Data'!U181</f>
        <v>2</v>
      </c>
      <c r="G181" s="2" t="n">
        <f aca="false">'Raw Data'!W181</f>
        <v>2</v>
      </c>
      <c r="H181" s="2" t="n">
        <f aca="false">'Raw Data'!V181</f>
        <v>4</v>
      </c>
      <c r="I181" s="2" t="n">
        <f aca="false">IF(AND(ISNUMBER(B181),B181&lt;=25),2,0)+IF(AND(ISNUMBER(E181),E181&lt;=5),2,0)+IF(AND(ISNUMBER(F181),F181&lt;=1),2,0)+IF(AND(ISNUMBER(G181),G181&lt;=2),1,0)+IF(AND(ISNUMBER(H181),H181&lt;=2),1,0)</f>
        <v>3</v>
      </c>
      <c r="J181" s="2" t="str">
        <f aca="false">IF(I181&gt;=6,"High",IF(I181&gt;=3,"Medium","Low"))</f>
        <v>Medium</v>
      </c>
    </row>
    <row r="182" customFormat="false" ht="15" hidden="false" customHeight="true" outlineLevel="0" collapsed="false">
      <c r="A182" s="2" t="n">
        <f aca="false">'Raw Data'!H182</f>
        <v>181</v>
      </c>
      <c r="B182" s="2" t="n">
        <f aca="false">'Raw Data'!A182</f>
        <v>35</v>
      </c>
      <c r="C182" s="2" t="str">
        <f aca="false">'Raw Data'!D182</f>
        <v>Research &amp; Development</v>
      </c>
      <c r="D182" s="2" t="str">
        <f aca="false">'Raw Data'!K182</f>
        <v>Sales Representative</v>
      </c>
      <c r="E182" s="2" t="n">
        <f aca="false">'Raw Data'!Q182</f>
        <v>10</v>
      </c>
      <c r="F182" s="2" t="n">
        <f aca="false">'Raw Data'!U182</f>
        <v>0</v>
      </c>
      <c r="G182" s="2" t="n">
        <f aca="false">'Raw Data'!W182</f>
        <v>3</v>
      </c>
      <c r="H182" s="2" t="n">
        <f aca="false">'Raw Data'!V182</f>
        <v>4</v>
      </c>
      <c r="I182" s="2" t="n">
        <f aca="false">IF(AND(ISNUMBER(B182),B182&lt;=25),2,0)+IF(AND(ISNUMBER(E182),E182&lt;=5),2,0)+IF(AND(ISNUMBER(F182),F182&lt;=1),2,0)+IF(AND(ISNUMBER(G182),G182&lt;=2),1,0)+IF(AND(ISNUMBER(H182),H182&lt;=2),1,0)</f>
        <v>2</v>
      </c>
      <c r="J182" s="2" t="str">
        <f aca="false">IF(I182&gt;=6,"High",IF(I182&gt;=3,"Medium","Low"))</f>
        <v>Low</v>
      </c>
    </row>
    <row r="183" customFormat="false" ht="15" hidden="false" customHeight="true" outlineLevel="0" collapsed="false">
      <c r="A183" s="2" t="n">
        <f aca="false">'Raw Data'!H183</f>
        <v>182</v>
      </c>
      <c r="B183" s="2" t="n">
        <f aca="false">'Raw Data'!A183</f>
        <v>31</v>
      </c>
      <c r="C183" s="2" t="str">
        <f aca="false">'Raw Data'!D183</f>
        <v>Research &amp; Development</v>
      </c>
      <c r="D183" s="2" t="str">
        <f aca="false">'Raw Data'!K183</f>
        <v>Sales Executive</v>
      </c>
      <c r="E183" s="2" t="n">
        <f aca="false">'Raw Data'!Q183</f>
        <v>12</v>
      </c>
      <c r="F183" s="2" t="n">
        <f aca="false">'Raw Data'!U183</f>
        <v>0</v>
      </c>
      <c r="G183" s="2" t="n">
        <f aca="false">'Raw Data'!W183</f>
        <v>3</v>
      </c>
      <c r="H183" s="2" t="n">
        <f aca="false">'Raw Data'!V183</f>
        <v>1</v>
      </c>
      <c r="I183" s="2" t="n">
        <f aca="false">IF(AND(ISNUMBER(B183),B183&lt;=25),2,0)+IF(AND(ISNUMBER(E183),E183&lt;=5),2,0)+IF(AND(ISNUMBER(F183),F183&lt;=1),2,0)+IF(AND(ISNUMBER(G183),G183&lt;=2),1,0)+IF(AND(ISNUMBER(H183),H183&lt;=2),1,0)</f>
        <v>3</v>
      </c>
      <c r="J183" s="2" t="str">
        <f aca="false">IF(I183&gt;=6,"High",IF(I183&gt;=3,"Medium","Low"))</f>
        <v>Medium</v>
      </c>
    </row>
    <row r="184" customFormat="false" ht="15" hidden="false" customHeight="true" outlineLevel="0" collapsed="false">
      <c r="A184" s="2" t="n">
        <f aca="false">'Raw Data'!H184</f>
        <v>183</v>
      </c>
      <c r="B184" s="2" t="n">
        <f aca="false">'Raw Data'!A184</f>
        <v>34</v>
      </c>
      <c r="C184" s="2" t="str">
        <f aca="false">'Raw Data'!D184</f>
        <v>Sales</v>
      </c>
      <c r="D184" s="2" t="str">
        <f aca="false">'Raw Data'!K184</f>
        <v>Research Director</v>
      </c>
      <c r="E184" s="2" t="n">
        <f aca="false">'Raw Data'!Q184</f>
        <v>11</v>
      </c>
      <c r="F184" s="2" t="n">
        <f aca="false">'Raw Data'!U184</f>
        <v>2</v>
      </c>
      <c r="G184" s="2" t="n">
        <f aca="false">'Raw Data'!W184</f>
        <v>1</v>
      </c>
      <c r="H184" s="2" t="n">
        <f aca="false">'Raw Data'!V184</f>
        <v>2</v>
      </c>
      <c r="I184" s="2" t="n">
        <f aca="false">IF(AND(ISNUMBER(B184),B184&lt;=25),2,0)+IF(AND(ISNUMBER(E184),E184&lt;=5),2,0)+IF(AND(ISNUMBER(F184),F184&lt;=1),2,0)+IF(AND(ISNUMBER(G184),G184&lt;=2),1,0)+IF(AND(ISNUMBER(H184),H184&lt;=2),1,0)</f>
        <v>2</v>
      </c>
      <c r="J184" s="2" t="str">
        <f aca="false">IF(I184&gt;=6,"High",IF(I184&gt;=3,"Medium","Low"))</f>
        <v>Low</v>
      </c>
    </row>
    <row r="185" customFormat="false" ht="15" hidden="false" customHeight="true" outlineLevel="0" collapsed="false">
      <c r="A185" s="2" t="n">
        <f aca="false">'Raw Data'!H185</f>
        <v>184</v>
      </c>
      <c r="B185" s="2" t="n">
        <f aca="false">'Raw Data'!A185</f>
        <v>42</v>
      </c>
      <c r="C185" s="2" t="str">
        <f aca="false">'Raw Data'!D185</f>
        <v>Research &amp; Development</v>
      </c>
      <c r="D185" s="2" t="str">
        <f aca="false">'Raw Data'!K185</f>
        <v>Research Scientist</v>
      </c>
      <c r="E185" s="2" t="n">
        <f aca="false">'Raw Data'!Q185</f>
        <v>8</v>
      </c>
      <c r="F185" s="2" t="n">
        <f aca="false">'Raw Data'!U185</f>
        <v>0</v>
      </c>
      <c r="G185" s="2" t="n">
        <f aca="false">'Raw Data'!W185</f>
        <v>3</v>
      </c>
      <c r="H185" s="2" t="n">
        <f aca="false">'Raw Data'!V185</f>
        <v>2</v>
      </c>
      <c r="I185" s="2" t="n">
        <f aca="false">IF(AND(ISNUMBER(B185),B185&lt;=25),2,0)+IF(AND(ISNUMBER(E185),E185&lt;=5),2,0)+IF(AND(ISNUMBER(F185),F185&lt;=1),2,0)+IF(AND(ISNUMBER(G185),G185&lt;=2),1,0)+IF(AND(ISNUMBER(H185),H185&lt;=2),1,0)</f>
        <v>3</v>
      </c>
      <c r="J185" s="2" t="str">
        <f aca="false">IF(I185&gt;=6,"High",IF(I185&gt;=3,"Medium","Low"))</f>
        <v>Medium</v>
      </c>
    </row>
    <row r="186" customFormat="false" ht="15" hidden="false" customHeight="true" outlineLevel="0" collapsed="false">
      <c r="A186" s="2" t="n">
        <f aca="false">'Raw Data'!H186</f>
        <v>185</v>
      </c>
      <c r="B186" s="2" t="n">
        <f aca="false">'Raw Data'!A186</f>
        <v>36</v>
      </c>
      <c r="C186" s="2" t="str">
        <f aca="false">'Raw Data'!D186</f>
        <v>Research &amp; Development</v>
      </c>
      <c r="D186" s="2" t="str">
        <f aca="false">'Raw Data'!K186</f>
        <v>Research Scientist</v>
      </c>
      <c r="E186" s="2" t="n">
        <f aca="false">'Raw Data'!Q186</f>
        <v>10</v>
      </c>
      <c r="F186" s="2" t="n">
        <f aca="false">'Raw Data'!U186</f>
        <v>7</v>
      </c>
      <c r="G186" s="2" t="n">
        <f aca="false">'Raw Data'!W186</f>
        <v>4</v>
      </c>
      <c r="H186" s="2" t="n">
        <f aca="false">'Raw Data'!V186</f>
        <v>2</v>
      </c>
      <c r="I186" s="2" t="n">
        <f aca="false">IF(AND(ISNUMBER(B186),B186&lt;=25),2,0)+IF(AND(ISNUMBER(E186),E186&lt;=5),2,0)+IF(AND(ISNUMBER(F186),F186&lt;=1),2,0)+IF(AND(ISNUMBER(G186),G186&lt;=2),1,0)+IF(AND(ISNUMBER(H186),H186&lt;=2),1,0)</f>
        <v>1</v>
      </c>
      <c r="J186" s="2" t="str">
        <f aca="false">IF(I186&gt;=6,"High",IF(I186&gt;=3,"Medium","Low"))</f>
        <v>Low</v>
      </c>
    </row>
    <row r="187" customFormat="false" ht="15" hidden="false" customHeight="true" outlineLevel="0" collapsed="false">
      <c r="A187" s="2" t="n">
        <f aca="false">'Raw Data'!H187</f>
        <v>186</v>
      </c>
      <c r="B187" s="2" t="n">
        <f aca="false">'Raw Data'!A187</f>
        <v>22</v>
      </c>
      <c r="C187" s="2" t="str">
        <f aca="false">'Raw Data'!D187</f>
        <v>Research &amp; Development</v>
      </c>
      <c r="D187" s="2" t="str">
        <f aca="false">'Raw Data'!K187</f>
        <v>Laboratory Technician</v>
      </c>
      <c r="E187" s="2" t="n">
        <f aca="false">'Raw Data'!Q187</f>
        <v>4</v>
      </c>
      <c r="F187" s="2" t="n">
        <f aca="false">'Raw Data'!U187</f>
        <v>2</v>
      </c>
      <c r="G187" s="2" t="n">
        <f aca="false">'Raw Data'!W187</f>
        <v>3</v>
      </c>
      <c r="H187" s="2" t="n">
        <f aca="false">'Raw Data'!V187</f>
        <v>3</v>
      </c>
      <c r="I187" s="2" t="n">
        <f aca="false">IF(AND(ISNUMBER(B187),B187&lt;=25),2,0)+IF(AND(ISNUMBER(E187),E187&lt;=5),2,0)+IF(AND(ISNUMBER(F187),F187&lt;=1),2,0)+IF(AND(ISNUMBER(G187),G187&lt;=2),1,0)+IF(AND(ISNUMBER(H187),H187&lt;=2),1,0)</f>
        <v>4</v>
      </c>
      <c r="J187" s="2" t="str">
        <f aca="false">IF(I187&gt;=6,"High",IF(I187&gt;=3,"Medium","Low"))</f>
        <v>Medium</v>
      </c>
    </row>
    <row r="188" customFormat="false" ht="15" hidden="false" customHeight="true" outlineLevel="0" collapsed="false">
      <c r="A188" s="2" t="n">
        <f aca="false">'Raw Data'!H188</f>
        <v>187</v>
      </c>
      <c r="B188" s="2" t="n">
        <f aca="false">'Raw Data'!A188</f>
        <v>48</v>
      </c>
      <c r="C188" s="2" t="str">
        <f aca="false">'Raw Data'!D188</f>
        <v>Research &amp; Development</v>
      </c>
      <c r="D188" s="2" t="str">
        <f aca="false">'Raw Data'!K188</f>
        <v>Laboratory Technician</v>
      </c>
      <c r="E188" s="2" t="n">
        <f aca="false">'Raw Data'!Q188</f>
        <v>14</v>
      </c>
      <c r="F188" s="2" t="n">
        <f aca="false">'Raw Data'!U188</f>
        <v>7</v>
      </c>
      <c r="G188" s="2" t="n">
        <f aca="false">'Raw Data'!W188</f>
        <v>4</v>
      </c>
      <c r="H188" s="2" t="n">
        <f aca="false">'Raw Data'!V188</f>
        <v>2</v>
      </c>
      <c r="I188" s="2" t="n">
        <f aca="false">IF(AND(ISNUMBER(B188),B188&lt;=25),2,0)+IF(AND(ISNUMBER(E188),E188&lt;=5),2,0)+IF(AND(ISNUMBER(F188),F188&lt;=1),2,0)+IF(AND(ISNUMBER(G188),G188&lt;=2),1,0)+IF(AND(ISNUMBER(H188),H188&lt;=2),1,0)</f>
        <v>1</v>
      </c>
      <c r="J188" s="2" t="str">
        <f aca="false">IF(I188&gt;=6,"High",IF(I188&gt;=3,"Medium","Low"))</f>
        <v>Low</v>
      </c>
    </row>
    <row r="189" customFormat="false" ht="15" hidden="false" customHeight="true" outlineLevel="0" collapsed="false">
      <c r="A189" s="2" t="n">
        <f aca="false">'Raw Data'!H189</f>
        <v>188</v>
      </c>
      <c r="B189" s="2" t="n">
        <f aca="false">'Raw Data'!A189</f>
        <v>55</v>
      </c>
      <c r="C189" s="2" t="str">
        <f aca="false">'Raw Data'!D189</f>
        <v>Research &amp; Development</v>
      </c>
      <c r="D189" s="2" t="str">
        <f aca="false">'Raw Data'!K189</f>
        <v>Sales Executive</v>
      </c>
      <c r="E189" s="2" t="n">
        <f aca="false">'Raw Data'!Q189</f>
        <v>37</v>
      </c>
      <c r="F189" s="2" t="n">
        <f aca="false">'Raw Data'!U189</f>
        <v>7</v>
      </c>
      <c r="G189" s="2" t="n">
        <f aca="false">'Raw Data'!W189</f>
        <v>2</v>
      </c>
      <c r="H189" s="2" t="n">
        <f aca="false">'Raw Data'!V189</f>
        <v>1</v>
      </c>
      <c r="I189" s="2" t="n">
        <f aca="false">IF(AND(ISNUMBER(B189),B189&lt;=25),2,0)+IF(AND(ISNUMBER(E189),E189&lt;=5),2,0)+IF(AND(ISNUMBER(F189),F189&lt;=1),2,0)+IF(AND(ISNUMBER(G189),G189&lt;=2),1,0)+IF(AND(ISNUMBER(H189),H189&lt;=2),1,0)</f>
        <v>2</v>
      </c>
      <c r="J189" s="2" t="str">
        <f aca="false">IF(I189&gt;=6,"High",IF(I189&gt;=3,"Medium","Low"))</f>
        <v>Low</v>
      </c>
    </row>
    <row r="190" customFormat="false" ht="15" hidden="false" customHeight="true" outlineLevel="0" collapsed="false">
      <c r="A190" s="2" t="n">
        <f aca="false">'Raw Data'!H190</f>
        <v>189</v>
      </c>
      <c r="B190" s="2" t="n">
        <f aca="false">'Raw Data'!A190</f>
        <v>41</v>
      </c>
      <c r="C190" s="2" t="str">
        <f aca="false">'Raw Data'!D190</f>
        <v>Research &amp; Development</v>
      </c>
      <c r="D190" s="2" t="str">
        <f aca="false">'Raw Data'!K190</f>
        <v>Research Scientist</v>
      </c>
      <c r="E190" s="2" t="n">
        <f aca="false">'Raw Data'!Q190</f>
        <v>16</v>
      </c>
      <c r="F190" s="2" t="n">
        <f aca="false">'Raw Data'!U190</f>
        <v>10</v>
      </c>
      <c r="G190" s="2" t="n">
        <f aca="false">'Raw Data'!W190</f>
        <v>4</v>
      </c>
      <c r="H190" s="2" t="n">
        <f aca="false">'Raw Data'!V190</f>
        <v>4</v>
      </c>
      <c r="I190" s="2" t="n">
        <f aca="false">IF(AND(ISNUMBER(B190),B190&lt;=25),2,0)+IF(AND(ISNUMBER(E190),E190&lt;=5),2,0)+IF(AND(ISNUMBER(F190),F190&lt;=1),2,0)+IF(AND(ISNUMBER(G190),G190&lt;=2),1,0)+IF(AND(ISNUMBER(H190),H190&lt;=2),1,0)</f>
        <v>0</v>
      </c>
      <c r="J190" s="2" t="str">
        <f aca="false">IF(I190&gt;=6,"High",IF(I190&gt;=3,"Medium","Low"))</f>
        <v>Low</v>
      </c>
    </row>
    <row r="191" customFormat="false" ht="15" hidden="false" customHeight="true" outlineLevel="0" collapsed="false">
      <c r="A191" s="2" t="n">
        <f aca="false">'Raw Data'!H191</f>
        <v>190</v>
      </c>
      <c r="B191" s="2" t="n">
        <f aca="false">'Raw Data'!A191</f>
        <v>35</v>
      </c>
      <c r="C191" s="2" t="str">
        <f aca="false">'Raw Data'!D191</f>
        <v>Research &amp; Development</v>
      </c>
      <c r="D191" s="2" t="str">
        <f aca="false">'Raw Data'!K191</f>
        <v>Sales Representative</v>
      </c>
      <c r="E191" s="2" t="n">
        <f aca="false">'Raw Data'!Q191</f>
        <v>15</v>
      </c>
      <c r="F191" s="2" t="n">
        <f aca="false">'Raw Data'!U191</f>
        <v>9</v>
      </c>
      <c r="G191" s="2" t="n">
        <f aca="false">'Raw Data'!W191</f>
        <v>3</v>
      </c>
      <c r="H191" s="2" t="n">
        <f aca="false">'Raw Data'!V191</f>
        <v>2</v>
      </c>
      <c r="I191" s="2" t="n">
        <f aca="false">IF(AND(ISNUMBER(B191),B191&lt;=25),2,0)+IF(AND(ISNUMBER(E191),E191&lt;=5),2,0)+IF(AND(ISNUMBER(F191),F191&lt;=1),2,0)+IF(AND(ISNUMBER(G191),G191&lt;=2),1,0)+IF(AND(ISNUMBER(H191),H191&lt;=2),1,0)</f>
        <v>1</v>
      </c>
      <c r="J191" s="2" t="str">
        <f aca="false">IF(I191&gt;=6,"High",IF(I191&gt;=3,"Medium","Low"))</f>
        <v>Low</v>
      </c>
    </row>
    <row r="192" customFormat="false" ht="15" hidden="false" customHeight="true" outlineLevel="0" collapsed="false">
      <c r="A192" s="2" t="n">
        <f aca="false">'Raw Data'!H192</f>
        <v>191</v>
      </c>
      <c r="B192" s="2" t="n">
        <f aca="false">'Raw Data'!A192</f>
        <v>40</v>
      </c>
      <c r="C192" s="2" t="str">
        <f aca="false">'Raw Data'!D192</f>
        <v>Research &amp; Development</v>
      </c>
      <c r="D192" s="2" t="str">
        <f aca="false">'Raw Data'!K192</f>
        <v>Laboratory Technician</v>
      </c>
      <c r="E192" s="2" t="n">
        <f aca="false">'Raw Data'!Q192</f>
        <v>22</v>
      </c>
      <c r="F192" s="2" t="n">
        <f aca="false">'Raw Data'!U192</f>
        <v>13</v>
      </c>
      <c r="G192" s="2" t="n">
        <f aca="false">'Raw Data'!W192</f>
        <v>3</v>
      </c>
      <c r="H192" s="2" t="n">
        <f aca="false">'Raw Data'!V192</f>
        <v>2</v>
      </c>
      <c r="I192" s="2" t="n">
        <f aca="false">IF(AND(ISNUMBER(B192),B192&lt;=25),2,0)+IF(AND(ISNUMBER(E192),E192&lt;=5),2,0)+IF(AND(ISNUMBER(F192),F192&lt;=1),2,0)+IF(AND(ISNUMBER(G192),G192&lt;=2),1,0)+IF(AND(ISNUMBER(H192),H192&lt;=2),1,0)</f>
        <v>1</v>
      </c>
      <c r="J192" s="2" t="str">
        <f aca="false">IF(I192&gt;=6,"High",IF(I192&gt;=3,"Medium","Low"))</f>
        <v>Low</v>
      </c>
    </row>
    <row r="193" customFormat="false" ht="15" hidden="false" customHeight="true" outlineLevel="0" collapsed="false">
      <c r="A193" s="2" t="n">
        <f aca="false">'Raw Data'!H193</f>
        <v>192</v>
      </c>
      <c r="B193" s="2" t="n">
        <f aca="false">'Raw Data'!A193</f>
        <v>39</v>
      </c>
      <c r="C193" s="2" t="str">
        <f aca="false">'Raw Data'!D193</f>
        <v>Research &amp; Development</v>
      </c>
      <c r="D193" s="2" t="str">
        <f aca="false">'Raw Data'!K193</f>
        <v>Research Scientist</v>
      </c>
      <c r="E193" s="2" t="n">
        <f aca="false">'Raw Data'!Q193</f>
        <v>8</v>
      </c>
      <c r="F193" s="2" t="n">
        <f aca="false">'Raw Data'!U193</f>
        <v>7</v>
      </c>
      <c r="G193" s="2" t="n">
        <f aca="false">'Raw Data'!W193</f>
        <v>3</v>
      </c>
      <c r="H193" s="2" t="n">
        <f aca="false">'Raw Data'!V193</f>
        <v>3</v>
      </c>
      <c r="I193" s="2" t="n">
        <f aca="false">IF(AND(ISNUMBER(B193),B193&lt;=25),2,0)+IF(AND(ISNUMBER(E193),E193&lt;=5),2,0)+IF(AND(ISNUMBER(F193),F193&lt;=1),2,0)+IF(AND(ISNUMBER(G193),G193&lt;=2),1,0)+IF(AND(ISNUMBER(H193),H193&lt;=2),1,0)</f>
        <v>0</v>
      </c>
      <c r="J193" s="2" t="str">
        <f aca="false">IF(I193&gt;=6,"High",IF(I193&gt;=3,"Medium","Low"))</f>
        <v>Low</v>
      </c>
    </row>
    <row r="194" customFormat="false" ht="15" hidden="false" customHeight="true" outlineLevel="0" collapsed="false">
      <c r="A194" s="2" t="n">
        <f aca="false">'Raw Data'!H194</f>
        <v>193</v>
      </c>
      <c r="B194" s="2" t="n">
        <f aca="false">'Raw Data'!A194</f>
        <v>31</v>
      </c>
      <c r="C194" s="2" t="str">
        <f aca="false">'Raw Data'!D194</f>
        <v>Research &amp; Development</v>
      </c>
      <c r="D194" s="2" t="str">
        <f aca="false">'Raw Data'!K194</f>
        <v>Research Director</v>
      </c>
      <c r="E194" s="2" t="n">
        <f aca="false">'Raw Data'!Q194</f>
        <v>10</v>
      </c>
      <c r="F194" s="2" t="n">
        <f aca="false">'Raw Data'!U194</f>
        <v>5</v>
      </c>
      <c r="G194" s="2" t="n">
        <f aca="false">'Raw Data'!W194</f>
        <v>4</v>
      </c>
      <c r="H194" s="2" t="n">
        <f aca="false">'Raw Data'!V194</f>
        <v>2</v>
      </c>
      <c r="I194" s="2" t="n">
        <f aca="false">IF(AND(ISNUMBER(B194),B194&lt;=25),2,0)+IF(AND(ISNUMBER(E194),E194&lt;=5),2,0)+IF(AND(ISNUMBER(F194),F194&lt;=1),2,0)+IF(AND(ISNUMBER(G194),G194&lt;=2),1,0)+IF(AND(ISNUMBER(H194),H194&lt;=2),1,0)</f>
        <v>1</v>
      </c>
      <c r="J194" s="2" t="str">
        <f aca="false">IF(I194&gt;=6,"High",IF(I194&gt;=3,"Medium","Low"))</f>
        <v>Low</v>
      </c>
    </row>
    <row r="195" customFormat="false" ht="15" hidden="false" customHeight="true" outlineLevel="0" collapsed="false">
      <c r="A195" s="2" t="n">
        <f aca="false">'Raw Data'!H195</f>
        <v>194</v>
      </c>
      <c r="B195" s="2" t="n">
        <f aca="false">'Raw Data'!A195</f>
        <v>42</v>
      </c>
      <c r="C195" s="2" t="str">
        <f aca="false">'Raw Data'!D195</f>
        <v>Research &amp; Development</v>
      </c>
      <c r="D195" s="2" t="str">
        <f aca="false">'Raw Data'!K195</f>
        <v>Sales Executive</v>
      </c>
      <c r="E195" s="2" t="n">
        <f aca="false">'Raw Data'!Q195</f>
        <v>10</v>
      </c>
      <c r="F195" s="2" t="n">
        <f aca="false">'Raw Data'!U195</f>
        <v>8</v>
      </c>
      <c r="G195" s="2" t="n">
        <f aca="false">'Raw Data'!W195</f>
        <v>1</v>
      </c>
      <c r="H195" s="2" t="n">
        <f aca="false">'Raw Data'!V195</f>
        <v>4</v>
      </c>
      <c r="I195" s="2" t="n">
        <f aca="false">IF(AND(ISNUMBER(B195),B195&lt;=25),2,0)+IF(AND(ISNUMBER(E195),E195&lt;=5),2,0)+IF(AND(ISNUMBER(F195),F195&lt;=1),2,0)+IF(AND(ISNUMBER(G195),G195&lt;=2),1,0)+IF(AND(ISNUMBER(H195),H195&lt;=2),1,0)</f>
        <v>1</v>
      </c>
      <c r="J195" s="2" t="str">
        <f aca="false">IF(I195&gt;=6,"High",IF(I195&gt;=3,"Medium","Low"))</f>
        <v>Low</v>
      </c>
    </row>
    <row r="196" customFormat="false" ht="15" hidden="false" customHeight="true" outlineLevel="0" collapsed="false">
      <c r="A196" s="2" t="n">
        <f aca="false">'Raw Data'!H196</f>
        <v>195</v>
      </c>
      <c r="B196" s="2" t="n">
        <f aca="false">'Raw Data'!A196</f>
        <v>45</v>
      </c>
      <c r="C196" s="2" t="str">
        <f aca="false">'Raw Data'!D196</f>
        <v>Research &amp; Development</v>
      </c>
      <c r="D196" s="2" t="str">
        <f aca="false">'Raw Data'!K196</f>
        <v>Sales Executive</v>
      </c>
      <c r="E196" s="2" t="n">
        <f aca="false">'Raw Data'!Q196</f>
        <v>9</v>
      </c>
      <c r="F196" s="2" t="n">
        <f aca="false">'Raw Data'!U196</f>
        <v>7</v>
      </c>
      <c r="G196" s="2" t="n">
        <f aca="false">'Raw Data'!W196</f>
        <v>2</v>
      </c>
      <c r="H196" s="2" t="n">
        <f aca="false">'Raw Data'!V196</f>
        <v>4</v>
      </c>
      <c r="I196" s="2" t="n">
        <f aca="false">IF(AND(ISNUMBER(B196),B196&lt;=25),2,0)+IF(AND(ISNUMBER(E196),E196&lt;=5),2,0)+IF(AND(ISNUMBER(F196),F196&lt;=1),2,0)+IF(AND(ISNUMBER(G196),G196&lt;=2),1,0)+IF(AND(ISNUMBER(H196),H196&lt;=2),1,0)</f>
        <v>1</v>
      </c>
      <c r="J196" s="2" t="str">
        <f aca="false">IF(I196&gt;=6,"High",IF(I196&gt;=3,"Medium","Low"))</f>
        <v>Low</v>
      </c>
    </row>
    <row r="197" customFormat="false" ht="15" hidden="false" customHeight="true" outlineLevel="0" collapsed="false">
      <c r="A197" s="2" t="n">
        <f aca="false">'Raw Data'!H197</f>
        <v>196</v>
      </c>
      <c r="B197" s="2" t="n">
        <f aca="false">'Raw Data'!A197</f>
        <v>26</v>
      </c>
      <c r="C197" s="2" t="str">
        <f aca="false">'Raw Data'!D197</f>
        <v>Research &amp; Development</v>
      </c>
      <c r="D197" s="2" t="str">
        <f aca="false">'Raw Data'!K197</f>
        <v>Laboratory Technician</v>
      </c>
      <c r="E197" s="2" t="n">
        <f aca="false">'Raw Data'!Q197</f>
        <v>8</v>
      </c>
      <c r="F197" s="2" t="n">
        <f aca="false">'Raw Data'!U197</f>
        <v>0</v>
      </c>
      <c r="G197" s="2" t="n">
        <f aca="false">'Raw Data'!W197</f>
        <v>3</v>
      </c>
      <c r="H197" s="2" t="n">
        <f aca="false">'Raw Data'!V197</f>
        <v>0</v>
      </c>
      <c r="I197" s="2" t="n">
        <f aca="false">IF(AND(ISNUMBER(B197),B197&lt;=25),2,0)+IF(AND(ISNUMBER(E197),E197&lt;=5),2,0)+IF(AND(ISNUMBER(F197),F197&lt;=1),2,0)+IF(AND(ISNUMBER(G197),G197&lt;=2),1,0)+IF(AND(ISNUMBER(H197),H197&lt;=2),1,0)</f>
        <v>2</v>
      </c>
      <c r="J197" s="2" t="str">
        <f aca="false">IF(I197&gt;=6,"High",IF(I197&gt;=3,"Medium","Low"))</f>
        <v>Low</v>
      </c>
    </row>
    <row r="198" customFormat="false" ht="15" hidden="false" customHeight="true" outlineLevel="0" collapsed="false">
      <c r="A198" s="2" t="n">
        <f aca="false">'Raw Data'!H198</f>
        <v>197</v>
      </c>
      <c r="B198" s="2" t="n">
        <f aca="false">'Raw Data'!A198</f>
        <v>29</v>
      </c>
      <c r="C198" s="2" t="str">
        <f aca="false">'Raw Data'!D198</f>
        <v>Research &amp; Development</v>
      </c>
      <c r="D198" s="2" t="str">
        <f aca="false">'Raw Data'!K198</f>
        <v>Research Scientist</v>
      </c>
      <c r="E198" s="2" t="n">
        <f aca="false">'Raw Data'!Q198</f>
        <v>8</v>
      </c>
      <c r="F198" s="2" t="n">
        <f aca="false">'Raw Data'!U198</f>
        <v>2</v>
      </c>
      <c r="G198" s="2" t="n">
        <f aca="false">'Raw Data'!W198</f>
        <v>4</v>
      </c>
      <c r="H198" s="2" t="n">
        <f aca="false">'Raw Data'!V198</f>
        <v>4</v>
      </c>
      <c r="I198" s="2" t="n">
        <f aca="false">IF(AND(ISNUMBER(B198),B198&lt;=25),2,0)+IF(AND(ISNUMBER(E198),E198&lt;=5),2,0)+IF(AND(ISNUMBER(F198),F198&lt;=1),2,0)+IF(AND(ISNUMBER(G198),G198&lt;=2),1,0)+IF(AND(ISNUMBER(H198),H198&lt;=2),1,0)</f>
        <v>0</v>
      </c>
      <c r="J198" s="2" t="str">
        <f aca="false">IF(I198&gt;=6,"High",IF(I198&gt;=3,"Medium","Low"))</f>
        <v>Low</v>
      </c>
    </row>
    <row r="199" customFormat="false" ht="15" hidden="false" customHeight="true" outlineLevel="0" collapsed="false">
      <c r="A199" s="2" t="n">
        <f aca="false">'Raw Data'!H199</f>
        <v>198</v>
      </c>
      <c r="B199" s="2" t="n">
        <f aca="false">'Raw Data'!A199</f>
        <v>33</v>
      </c>
      <c r="C199" s="2" t="str">
        <f aca="false">'Raw Data'!D199</f>
        <v>Research &amp; Development</v>
      </c>
      <c r="D199" s="2" t="str">
        <f aca="false">'Raw Data'!K199</f>
        <v>Laboratory Technician</v>
      </c>
      <c r="E199" s="2" t="n">
        <f aca="false">'Raw Data'!Q199</f>
        <v>10</v>
      </c>
      <c r="F199" s="2" t="n">
        <f aca="false">'Raw Data'!U199</f>
        <v>5</v>
      </c>
      <c r="G199" s="2" t="n">
        <f aca="false">'Raw Data'!W199</f>
        <v>3</v>
      </c>
      <c r="H199" s="2" t="n">
        <f aca="false">'Raw Data'!V199</f>
        <v>1</v>
      </c>
      <c r="I199" s="2" t="n">
        <f aca="false">IF(AND(ISNUMBER(B199),B199&lt;=25),2,0)+IF(AND(ISNUMBER(E199),E199&lt;=5),2,0)+IF(AND(ISNUMBER(F199),F199&lt;=1),2,0)+IF(AND(ISNUMBER(G199),G199&lt;=2),1,0)+IF(AND(ISNUMBER(H199),H199&lt;=2),1,0)</f>
        <v>1</v>
      </c>
      <c r="J199" s="2" t="str">
        <f aca="false">IF(I199&gt;=6,"High",IF(I199&gt;=3,"Medium","Low"))</f>
        <v>Low</v>
      </c>
    </row>
    <row r="200" customFormat="false" ht="15" hidden="false" customHeight="true" outlineLevel="0" collapsed="false">
      <c r="A200" s="2" t="n">
        <f aca="false">'Raw Data'!H200</f>
        <v>199</v>
      </c>
      <c r="B200" s="2" t="n">
        <f aca="false">'Raw Data'!A200</f>
        <v>31</v>
      </c>
      <c r="C200" s="2" t="str">
        <f aca="false">'Raw Data'!D200</f>
        <v>Research &amp; Development</v>
      </c>
      <c r="D200" s="2" t="str">
        <f aca="false">'Raw Data'!K200</f>
        <v>Sales Executive</v>
      </c>
      <c r="E200" s="2" t="n">
        <f aca="false">'Raw Data'!Q200</f>
        <v>10</v>
      </c>
      <c r="F200" s="2" t="n">
        <f aca="false">'Raw Data'!U200</f>
        <v>1</v>
      </c>
      <c r="G200" s="2" t="n">
        <f aca="false">'Raw Data'!W200</f>
        <v>4</v>
      </c>
      <c r="H200" s="2" t="n">
        <f aca="false">'Raw Data'!V200</f>
        <v>3</v>
      </c>
      <c r="I200" s="2" t="n">
        <f aca="false">IF(AND(ISNUMBER(B200),B200&lt;=25),2,0)+IF(AND(ISNUMBER(E200),E200&lt;=5),2,0)+IF(AND(ISNUMBER(F200),F200&lt;=1),2,0)+IF(AND(ISNUMBER(G200),G200&lt;=2),1,0)+IF(AND(ISNUMBER(H200),H200&lt;=2),1,0)</f>
        <v>2</v>
      </c>
      <c r="J200" s="2" t="str">
        <f aca="false">IF(I200&gt;=6,"High",IF(I200&gt;=3,"Medium","Low"))</f>
        <v>Low</v>
      </c>
    </row>
    <row r="201" customFormat="false" ht="15" hidden="false" customHeight="true" outlineLevel="0" collapsed="false">
      <c r="A201" s="2" t="n">
        <f aca="false">'Raw Data'!H201</f>
        <v>200</v>
      </c>
      <c r="B201" s="2" t="n">
        <f aca="false">'Raw Data'!A201</f>
        <v>18</v>
      </c>
      <c r="C201" s="2" t="str">
        <f aca="false">'Raw Data'!D201</f>
        <v>Research &amp; Development</v>
      </c>
      <c r="D201" s="2" t="str">
        <f aca="false">'Raw Data'!K201</f>
        <v>Sales Executive</v>
      </c>
      <c r="E201" s="2" t="n">
        <f aca="false">'Raw Data'!Q201</f>
        <v>0</v>
      </c>
      <c r="F201" s="2" t="n">
        <f aca="false">'Raw Data'!U201</f>
        <v>0</v>
      </c>
      <c r="G201" s="2" t="n">
        <f aca="false">'Raw Data'!W201</f>
        <v>2</v>
      </c>
      <c r="H201" s="2" t="n">
        <f aca="false">'Raw Data'!V201</f>
        <v>2</v>
      </c>
      <c r="I201" s="2" t="n">
        <f aca="false">IF(AND(ISNUMBER(B201),B201&lt;=25),2,0)+IF(AND(ISNUMBER(E201),E201&lt;=5),2,0)+IF(AND(ISNUMBER(F201),F201&lt;=1),2,0)+IF(AND(ISNUMBER(G201),G201&lt;=2),1,0)+IF(AND(ISNUMBER(H201),H201&lt;=2),1,0)</f>
        <v>8</v>
      </c>
      <c r="J201" s="2" t="str">
        <f aca="false">IF(I201&gt;=6,"High",IF(I201&gt;=3,"Medium","Low"))</f>
        <v>High</v>
      </c>
    </row>
    <row r="202" customFormat="false" ht="15" hidden="false" customHeight="true" outlineLevel="0" collapsed="false">
      <c r="A202" s="2" t="n">
        <f aca="false">'Raw Data'!H202</f>
        <v>201</v>
      </c>
      <c r="B202" s="2" t="n">
        <f aca="false">'Raw Data'!A202</f>
        <v>40</v>
      </c>
      <c r="C202" s="2" t="str">
        <f aca="false">'Raw Data'!D202</f>
        <v>Research &amp; Development</v>
      </c>
      <c r="D202" s="2" t="str">
        <f aca="false">'Raw Data'!K202</f>
        <v>Laboratory Technician</v>
      </c>
      <c r="E202" s="2" t="n">
        <f aca="false">'Raw Data'!Q202</f>
        <v>20</v>
      </c>
      <c r="F202" s="2" t="n">
        <f aca="false">'Raw Data'!U202</f>
        <v>1</v>
      </c>
      <c r="G202" s="2" t="n">
        <f aca="false">'Raw Data'!W202</f>
        <v>1</v>
      </c>
      <c r="H202" s="2" t="n">
        <f aca="false">'Raw Data'!V202</f>
        <v>3</v>
      </c>
      <c r="I202" s="2" t="n">
        <f aca="false">IF(AND(ISNUMBER(B202),B202&lt;=25),2,0)+IF(AND(ISNUMBER(E202),E202&lt;=5),2,0)+IF(AND(ISNUMBER(F202),F202&lt;=1),2,0)+IF(AND(ISNUMBER(G202),G202&lt;=2),1,0)+IF(AND(ISNUMBER(H202),H202&lt;=2),1,0)</f>
        <v>3</v>
      </c>
      <c r="J202" s="2" t="str">
        <f aca="false">IF(I202&gt;=6,"High",IF(I202&gt;=3,"Medium","Low"))</f>
        <v>Medium</v>
      </c>
    </row>
    <row r="203" customFormat="false" ht="15" hidden="false" customHeight="true" outlineLevel="0" collapsed="false">
      <c r="A203" s="2" t="n">
        <f aca="false">'Raw Data'!H203</f>
        <v>202</v>
      </c>
      <c r="B203" s="2" t="n">
        <f aca="false">'Raw Data'!A203</f>
        <v>41</v>
      </c>
      <c r="C203" s="2" t="str">
        <f aca="false">'Raw Data'!D203</f>
        <v>Research &amp; Development</v>
      </c>
      <c r="D203" s="2" t="str">
        <f aca="false">'Raw Data'!K203</f>
        <v>Manufacturing Director</v>
      </c>
      <c r="E203" s="2" t="n">
        <f aca="false">'Raw Data'!Q203</f>
        <v>10</v>
      </c>
      <c r="F203" s="2" t="n">
        <f aca="false">'Raw Data'!U203</f>
        <v>7</v>
      </c>
      <c r="G203" s="2" t="n">
        <f aca="false">'Raw Data'!W203</f>
        <v>3</v>
      </c>
      <c r="H203" s="2" t="n">
        <f aca="false">'Raw Data'!V203</f>
        <v>1</v>
      </c>
      <c r="I203" s="2" t="n">
        <f aca="false">IF(AND(ISNUMBER(B203),B203&lt;=25),2,0)+IF(AND(ISNUMBER(E203),E203&lt;=5),2,0)+IF(AND(ISNUMBER(F203),F203&lt;=1),2,0)+IF(AND(ISNUMBER(G203),G203&lt;=2),1,0)+IF(AND(ISNUMBER(H203),H203&lt;=2),1,0)</f>
        <v>1</v>
      </c>
      <c r="J203" s="2" t="str">
        <f aca="false">IF(I203&gt;=6,"High",IF(I203&gt;=3,"Medium","Low"))</f>
        <v>Low</v>
      </c>
    </row>
    <row r="204" customFormat="false" ht="15" hidden="false" customHeight="true" outlineLevel="0" collapsed="false">
      <c r="A204" s="2" t="n">
        <f aca="false">'Raw Data'!H204</f>
        <v>203</v>
      </c>
      <c r="B204" s="2" t="n">
        <f aca="false">'Raw Data'!A204</f>
        <v>26</v>
      </c>
      <c r="C204" s="2" t="str">
        <f aca="false">'Raw Data'!D204</f>
        <v>Research &amp; Development</v>
      </c>
      <c r="D204" s="2" t="str">
        <f aca="false">'Raw Data'!K204</f>
        <v>Healthcare Representative</v>
      </c>
      <c r="E204" s="2" t="n">
        <f aca="false">'Raw Data'!Q204</f>
        <v>8</v>
      </c>
      <c r="F204" s="2" t="n">
        <f aca="false">'Raw Data'!U204</f>
        <v>0</v>
      </c>
      <c r="G204" s="2" t="n">
        <f aca="false">'Raw Data'!W204</f>
        <v>3</v>
      </c>
      <c r="H204" s="2" t="n">
        <f aca="false">'Raw Data'!V204</f>
        <v>1</v>
      </c>
      <c r="I204" s="2" t="n">
        <f aca="false">IF(AND(ISNUMBER(B204),B204&lt;=25),2,0)+IF(AND(ISNUMBER(E204),E204&lt;=5),2,0)+IF(AND(ISNUMBER(F204),F204&lt;=1),2,0)+IF(AND(ISNUMBER(G204),G204&lt;=2),1,0)+IF(AND(ISNUMBER(H204),H204&lt;=2),1,0)</f>
        <v>3</v>
      </c>
      <c r="J204" s="2" t="str">
        <f aca="false">IF(I204&gt;=6,"High",IF(I204&gt;=3,"Medium","Low"))</f>
        <v>Medium</v>
      </c>
    </row>
    <row r="205" customFormat="false" ht="15" hidden="false" customHeight="true" outlineLevel="0" collapsed="false">
      <c r="A205" s="2" t="n">
        <f aca="false">'Raw Data'!H205</f>
        <v>204</v>
      </c>
      <c r="B205" s="2" t="n">
        <f aca="false">'Raw Data'!A205</f>
        <v>35</v>
      </c>
      <c r="C205" s="2" t="str">
        <f aca="false">'Raw Data'!D205</f>
        <v>Research &amp; Development</v>
      </c>
      <c r="D205" s="2" t="str">
        <f aca="false">'Raw Data'!K205</f>
        <v>Human Resources</v>
      </c>
      <c r="E205" s="2" t="n">
        <f aca="false">'Raw Data'!Q205</f>
        <v>5</v>
      </c>
      <c r="F205" s="2" t="n">
        <f aca="false">'Raw Data'!U205</f>
        <v>3</v>
      </c>
      <c r="G205" s="2" t="n">
        <f aca="false">'Raw Data'!W205</f>
        <v>3</v>
      </c>
      <c r="H205" s="2" t="n">
        <f aca="false">'Raw Data'!V205</f>
        <v>1</v>
      </c>
      <c r="I205" s="2" t="n">
        <f aca="false">IF(AND(ISNUMBER(B205),B205&lt;=25),2,0)+IF(AND(ISNUMBER(E205),E205&lt;=5),2,0)+IF(AND(ISNUMBER(F205),F205&lt;=1),2,0)+IF(AND(ISNUMBER(G205),G205&lt;=2),1,0)+IF(AND(ISNUMBER(H205),H205&lt;=2),1,0)</f>
        <v>3</v>
      </c>
      <c r="J205" s="2" t="str">
        <f aca="false">IF(I205&gt;=6,"High",IF(I205&gt;=3,"Medium","Low"))</f>
        <v>Medium</v>
      </c>
    </row>
    <row r="206" customFormat="false" ht="15" hidden="false" customHeight="true" outlineLevel="0" collapsed="false">
      <c r="A206" s="2" t="n">
        <f aca="false">'Raw Data'!H206</f>
        <v>205</v>
      </c>
      <c r="B206" s="2" t="n">
        <f aca="false">'Raw Data'!A206</f>
        <v>34</v>
      </c>
      <c r="C206" s="2" t="str">
        <f aca="false">'Raw Data'!D206</f>
        <v>Research &amp; Development</v>
      </c>
      <c r="D206" s="2" t="str">
        <f aca="false">'Raw Data'!K206</f>
        <v>Laboratory Technician</v>
      </c>
      <c r="E206" s="2" t="n">
        <f aca="false">'Raw Data'!Q206</f>
        <v>10</v>
      </c>
      <c r="F206" s="2" t="n">
        <f aca="false">'Raw Data'!U206</f>
        <v>7</v>
      </c>
      <c r="G206" s="2" t="n">
        <f aca="false">'Raw Data'!W206</f>
        <v>4</v>
      </c>
      <c r="H206" s="2" t="n">
        <f aca="false">'Raw Data'!V206</f>
        <v>4</v>
      </c>
      <c r="I206" s="2" t="n">
        <f aca="false">IF(AND(ISNUMBER(B206),B206&lt;=25),2,0)+IF(AND(ISNUMBER(E206),E206&lt;=5),2,0)+IF(AND(ISNUMBER(F206),F206&lt;=1),2,0)+IF(AND(ISNUMBER(G206),G206&lt;=2),1,0)+IF(AND(ISNUMBER(H206),H206&lt;=2),1,0)</f>
        <v>0</v>
      </c>
      <c r="J206" s="2" t="str">
        <f aca="false">IF(I206&gt;=6,"High",IF(I206&gt;=3,"Medium","Low"))</f>
        <v>Low</v>
      </c>
    </row>
    <row r="207" customFormat="false" ht="15" hidden="false" customHeight="true" outlineLevel="0" collapsed="false">
      <c r="A207" s="2" t="n">
        <f aca="false">'Raw Data'!H207</f>
        <v>206</v>
      </c>
      <c r="B207" s="2" t="n">
        <f aca="false">'Raw Data'!A207</f>
        <v>26</v>
      </c>
      <c r="C207" s="2" t="str">
        <f aca="false">'Raw Data'!D207</f>
        <v>Sales</v>
      </c>
      <c r="D207" s="2" t="str">
        <f aca="false">'Raw Data'!K207</f>
        <v>Manufacturing Director</v>
      </c>
      <c r="E207" s="2" t="n">
        <f aca="false">'Raw Data'!Q207</f>
        <v>1</v>
      </c>
      <c r="F207" s="2" t="n">
        <f aca="false">'Raw Data'!U207</f>
        <v>0</v>
      </c>
      <c r="G207" s="2" t="n">
        <f aca="false">'Raw Data'!W207</f>
        <v>4</v>
      </c>
      <c r="H207" s="2" t="n">
        <f aca="false">'Raw Data'!V207</f>
        <v>3</v>
      </c>
      <c r="I207" s="2" t="n">
        <f aca="false">IF(AND(ISNUMBER(B207),B207&lt;=25),2,0)+IF(AND(ISNUMBER(E207),E207&lt;=5),2,0)+IF(AND(ISNUMBER(F207),F207&lt;=1),2,0)+IF(AND(ISNUMBER(G207),G207&lt;=2),1,0)+IF(AND(ISNUMBER(H207),H207&lt;=2),1,0)</f>
        <v>4</v>
      </c>
      <c r="J207" s="2" t="str">
        <f aca="false">IF(I207&gt;=6,"High",IF(I207&gt;=3,"Medium","Low"))</f>
        <v>Medium</v>
      </c>
    </row>
    <row r="208" customFormat="false" ht="15" hidden="false" customHeight="true" outlineLevel="0" collapsed="false">
      <c r="A208" s="2" t="n">
        <f aca="false">'Raw Data'!H208</f>
        <v>207</v>
      </c>
      <c r="B208" s="2" t="n">
        <f aca="false">'Raw Data'!A208</f>
        <v>37</v>
      </c>
      <c r="C208" s="2" t="str">
        <f aca="false">'Raw Data'!D208</f>
        <v>Research &amp; Development</v>
      </c>
      <c r="D208" s="2" t="str">
        <f aca="false">'Raw Data'!K208</f>
        <v>Sales Executive</v>
      </c>
      <c r="E208" s="2" t="n">
        <f aca="false">'Raw Data'!Q208</f>
        <v>12</v>
      </c>
      <c r="F208" s="2" t="n">
        <f aca="false">'Raw Data'!U208</f>
        <v>2</v>
      </c>
      <c r="G208" s="2" t="n">
        <f aca="false">'Raw Data'!W208</f>
        <v>4</v>
      </c>
      <c r="H208" s="2" t="n">
        <f aca="false">'Raw Data'!V208</f>
        <v>2</v>
      </c>
      <c r="I208" s="2" t="n">
        <f aca="false">IF(AND(ISNUMBER(B208),B208&lt;=25),2,0)+IF(AND(ISNUMBER(E208),E208&lt;=5),2,0)+IF(AND(ISNUMBER(F208),F208&lt;=1),2,0)+IF(AND(ISNUMBER(G208),G208&lt;=2),1,0)+IF(AND(ISNUMBER(H208),H208&lt;=2),1,0)</f>
        <v>1</v>
      </c>
      <c r="J208" s="2" t="str">
        <f aca="false">IF(I208&gt;=6,"High",IF(I208&gt;=3,"Medium","Low"))</f>
        <v>Low</v>
      </c>
    </row>
    <row r="209" customFormat="false" ht="15" hidden="false" customHeight="true" outlineLevel="0" collapsed="false">
      <c r="A209" s="2" t="n">
        <f aca="false">'Raw Data'!H209</f>
        <v>208</v>
      </c>
      <c r="B209" s="2" t="n">
        <f aca="false">'Raw Data'!A209</f>
        <v>46</v>
      </c>
      <c r="C209" s="2" t="str">
        <f aca="false">'Raw Data'!D209</f>
        <v>Research &amp; Development</v>
      </c>
      <c r="D209" s="2" t="str">
        <f aca="false">'Raw Data'!K209</f>
        <v>Human Resources</v>
      </c>
      <c r="E209" s="2" t="n">
        <f aca="false">'Raw Data'!Q209</f>
        <v>28</v>
      </c>
      <c r="F209" s="2" t="n">
        <f aca="false">'Raw Data'!U209</f>
        <v>2</v>
      </c>
      <c r="G209" s="2" t="n">
        <f aca="false">'Raw Data'!W209</f>
        <v>3</v>
      </c>
      <c r="H209" s="2" t="n">
        <f aca="false">'Raw Data'!V209</f>
        <v>1</v>
      </c>
      <c r="I209" s="2" t="n">
        <f aca="false">IF(AND(ISNUMBER(B209),B209&lt;=25),2,0)+IF(AND(ISNUMBER(E209),E209&lt;=5),2,0)+IF(AND(ISNUMBER(F209),F209&lt;=1),2,0)+IF(AND(ISNUMBER(G209),G209&lt;=2),1,0)+IF(AND(ISNUMBER(H209),H209&lt;=2),1,0)</f>
        <v>1</v>
      </c>
      <c r="J209" s="2" t="str">
        <f aca="false">IF(I209&gt;=6,"High",IF(I209&gt;=3,"Medium","Low"))</f>
        <v>Low</v>
      </c>
    </row>
    <row r="210" customFormat="false" ht="15" hidden="false" customHeight="true" outlineLevel="0" collapsed="false">
      <c r="A210" s="2" t="n">
        <f aca="false">'Raw Data'!H210</f>
        <v>209</v>
      </c>
      <c r="B210" s="2" t="n">
        <f aca="false">'Raw Data'!A210</f>
        <v>41</v>
      </c>
      <c r="C210" s="2" t="str">
        <f aca="false">'Raw Data'!D210</f>
        <v>Research &amp; Development</v>
      </c>
      <c r="D210" s="2" t="str">
        <f aca="false">'Raw Data'!K210</f>
        <v>Research Director</v>
      </c>
      <c r="E210" s="2" t="n">
        <f aca="false">'Raw Data'!Q210</f>
        <v>22</v>
      </c>
      <c r="F210" s="2" t="n">
        <f aca="false">'Raw Data'!U210</f>
        <v>8</v>
      </c>
      <c r="G210" s="2" t="n">
        <f aca="false">'Raw Data'!W210</f>
        <v>1</v>
      </c>
      <c r="H210" s="2" t="n">
        <f aca="false">'Raw Data'!V210</f>
        <v>2</v>
      </c>
      <c r="I210" s="2" t="n">
        <f aca="false">IF(AND(ISNUMBER(B210),B210&lt;=25),2,0)+IF(AND(ISNUMBER(E210),E210&lt;=5),2,0)+IF(AND(ISNUMBER(F210),F210&lt;=1),2,0)+IF(AND(ISNUMBER(G210),G210&lt;=2),1,0)+IF(AND(ISNUMBER(H210),H210&lt;=2),1,0)</f>
        <v>2</v>
      </c>
      <c r="J210" s="2" t="str">
        <f aca="false">IF(I210&gt;=6,"High",IF(I210&gt;=3,"Medium","Low"))</f>
        <v>Low</v>
      </c>
    </row>
    <row r="211" customFormat="false" ht="15" hidden="false" customHeight="true" outlineLevel="0" collapsed="false">
      <c r="A211" s="2" t="n">
        <f aca="false">'Raw Data'!H211</f>
        <v>210</v>
      </c>
      <c r="B211" s="2" t="n">
        <f aca="false">'Raw Data'!A211</f>
        <v>37</v>
      </c>
      <c r="C211" s="2" t="str">
        <f aca="false">'Raw Data'!D211</f>
        <v>Research &amp; Development</v>
      </c>
      <c r="D211" s="2" t="str">
        <f aca="false">'Raw Data'!K211</f>
        <v>Sales Executive</v>
      </c>
      <c r="E211" s="2" t="n">
        <f aca="false">'Raw Data'!Q211</f>
        <v>9</v>
      </c>
      <c r="F211" s="2" t="n">
        <f aca="false">'Raw Data'!U211</f>
        <v>7</v>
      </c>
      <c r="G211" s="2" t="n">
        <f aca="false">'Raw Data'!W211</f>
        <v>2</v>
      </c>
      <c r="H211" s="2" t="n">
        <f aca="false">'Raw Data'!V211</f>
        <v>1</v>
      </c>
      <c r="I211" s="2" t="n">
        <f aca="false">IF(AND(ISNUMBER(B211),B211&lt;=25),2,0)+IF(AND(ISNUMBER(E211),E211&lt;=5),2,0)+IF(AND(ISNUMBER(F211),F211&lt;=1),2,0)+IF(AND(ISNUMBER(G211),G211&lt;=2),1,0)+IF(AND(ISNUMBER(H211),H211&lt;=2),1,0)</f>
        <v>2</v>
      </c>
      <c r="J211" s="2" t="str">
        <f aca="false">IF(I211&gt;=6,"High",IF(I211&gt;=3,"Medium","Low"))</f>
        <v>Low</v>
      </c>
    </row>
    <row r="212" customFormat="false" ht="15" hidden="false" customHeight="true" outlineLevel="0" collapsed="false">
      <c r="A212" s="2" t="n">
        <f aca="false">'Raw Data'!H212</f>
        <v>211</v>
      </c>
      <c r="B212" s="2" t="n">
        <f aca="false">'Raw Data'!A212</f>
        <v>52</v>
      </c>
      <c r="C212" s="2" t="str">
        <f aca="false">'Raw Data'!D212</f>
        <v>Sales</v>
      </c>
      <c r="D212" s="2" t="str">
        <f aca="false">'Raw Data'!K212</f>
        <v>Laboratory Technician</v>
      </c>
      <c r="E212" s="2" t="n">
        <f aca="false">'Raw Data'!Q212</f>
        <v>18</v>
      </c>
      <c r="F212" s="2" t="n">
        <f aca="false">'Raw Data'!U212</f>
        <v>9</v>
      </c>
      <c r="G212" s="2" t="n">
        <f aca="false">'Raw Data'!W212</f>
        <v>1</v>
      </c>
      <c r="H212" s="2" t="n">
        <f aca="false">'Raw Data'!V212</f>
        <v>4</v>
      </c>
      <c r="I212" s="2" t="n">
        <f aca="false">IF(AND(ISNUMBER(B212),B212&lt;=25),2,0)+IF(AND(ISNUMBER(E212),E212&lt;=5),2,0)+IF(AND(ISNUMBER(F212),F212&lt;=1),2,0)+IF(AND(ISNUMBER(G212),G212&lt;=2),1,0)+IF(AND(ISNUMBER(H212),H212&lt;=2),1,0)</f>
        <v>1</v>
      </c>
      <c r="J212" s="2" t="str">
        <f aca="false">IF(I212&gt;=6,"High",IF(I212&gt;=3,"Medium","Low"))</f>
        <v>Low</v>
      </c>
    </row>
    <row r="213" customFormat="false" ht="15" hidden="false" customHeight="true" outlineLevel="0" collapsed="false">
      <c r="A213" s="2" t="n">
        <f aca="false">'Raw Data'!H213</f>
        <v>212</v>
      </c>
      <c r="B213" s="2" t="n">
        <f aca="false">'Raw Data'!A213</f>
        <v>32</v>
      </c>
      <c r="C213" s="2" t="str">
        <f aca="false">'Raw Data'!D213</f>
        <v>Research &amp; Development</v>
      </c>
      <c r="D213" s="2" t="str">
        <f aca="false">'Raw Data'!K213</f>
        <v>Research Director</v>
      </c>
      <c r="E213" s="2" t="n">
        <f aca="false">'Raw Data'!Q213</f>
        <v>6</v>
      </c>
      <c r="F213" s="2" t="n">
        <f aca="false">'Raw Data'!U213</f>
        <v>2</v>
      </c>
      <c r="G213" s="2" t="n">
        <f aca="false">'Raw Data'!W213</f>
        <v>3</v>
      </c>
      <c r="H213" s="2" t="n">
        <f aca="false">'Raw Data'!V213</f>
        <v>4</v>
      </c>
      <c r="I213" s="2" t="n">
        <f aca="false">IF(AND(ISNUMBER(B213),B213&lt;=25),2,0)+IF(AND(ISNUMBER(E213),E213&lt;=5),2,0)+IF(AND(ISNUMBER(F213),F213&lt;=1),2,0)+IF(AND(ISNUMBER(G213),G213&lt;=2),1,0)+IF(AND(ISNUMBER(H213),H213&lt;=2),1,0)</f>
        <v>0</v>
      </c>
      <c r="J213" s="2" t="str">
        <f aca="false">IF(I213&gt;=6,"High",IF(I213&gt;=3,"Medium","Low"))</f>
        <v>Low</v>
      </c>
    </row>
    <row r="214" customFormat="false" ht="15" hidden="false" customHeight="true" outlineLevel="0" collapsed="false">
      <c r="A214" s="2" t="n">
        <f aca="false">'Raw Data'!H214</f>
        <v>213</v>
      </c>
      <c r="B214" s="2" t="n">
        <f aca="false">'Raw Data'!A214</f>
        <v>24</v>
      </c>
      <c r="C214" s="2" t="str">
        <f aca="false">'Raw Data'!D214</f>
        <v>Sales</v>
      </c>
      <c r="D214" s="2" t="str">
        <f aca="false">'Raw Data'!K214</f>
        <v>Healthcare Representative</v>
      </c>
      <c r="E214" s="2" t="n">
        <f aca="false">'Raw Data'!Q214</f>
        <v>3</v>
      </c>
      <c r="F214" s="2" t="n">
        <f aca="false">'Raw Data'!U214</f>
        <v>1</v>
      </c>
      <c r="G214" s="2" t="n">
        <f aca="false">'Raw Data'!W214</f>
        <v>4</v>
      </c>
      <c r="H214" s="2" t="n">
        <f aca="false">'Raw Data'!V214</f>
        <v>4</v>
      </c>
      <c r="I214" s="2" t="n">
        <f aca="false">IF(AND(ISNUMBER(B214),B214&lt;=25),2,0)+IF(AND(ISNUMBER(E214),E214&lt;=5),2,0)+IF(AND(ISNUMBER(F214),F214&lt;=1),2,0)+IF(AND(ISNUMBER(G214),G214&lt;=2),1,0)+IF(AND(ISNUMBER(H214),H214&lt;=2),1,0)</f>
        <v>6</v>
      </c>
      <c r="J214" s="2" t="str">
        <f aca="false">IF(I214&gt;=6,"High",IF(I214&gt;=3,"Medium","Low"))</f>
        <v>High</v>
      </c>
    </row>
    <row r="215" customFormat="false" ht="15" hidden="false" customHeight="true" outlineLevel="0" collapsed="false">
      <c r="A215" s="2" t="n">
        <f aca="false">'Raw Data'!H215</f>
        <v>214</v>
      </c>
      <c r="B215" s="2" t="n">
        <f aca="false">'Raw Data'!A215</f>
        <v>38</v>
      </c>
      <c r="C215" s="2" t="str">
        <f aca="false">'Raw Data'!D215</f>
        <v>Research &amp; Development</v>
      </c>
      <c r="D215" s="2" t="str">
        <f aca="false">'Raw Data'!K215</f>
        <v>Research Scientist</v>
      </c>
      <c r="E215" s="2" t="n">
        <f aca="false">'Raw Data'!Q215</f>
        <v>18</v>
      </c>
      <c r="F215" s="2" t="n">
        <f aca="false">'Raw Data'!U215</f>
        <v>0</v>
      </c>
      <c r="G215" s="2" t="n">
        <f aca="false">'Raw Data'!W215</f>
        <v>3</v>
      </c>
      <c r="H215" s="2" t="n">
        <f aca="false">'Raw Data'!V215</f>
        <v>3</v>
      </c>
      <c r="I215" s="2" t="n">
        <f aca="false">IF(AND(ISNUMBER(B215),B215&lt;=25),2,0)+IF(AND(ISNUMBER(E215),E215&lt;=5),2,0)+IF(AND(ISNUMBER(F215),F215&lt;=1),2,0)+IF(AND(ISNUMBER(G215),G215&lt;=2),1,0)+IF(AND(ISNUMBER(H215),H215&lt;=2),1,0)</f>
        <v>2</v>
      </c>
      <c r="J215" s="2" t="str">
        <f aca="false">IF(I215&gt;=6,"High",IF(I215&gt;=3,"Medium","Low"))</f>
        <v>Low</v>
      </c>
    </row>
    <row r="216" customFormat="false" ht="15" hidden="false" customHeight="true" outlineLevel="0" collapsed="false">
      <c r="A216" s="2" t="n">
        <f aca="false">'Raw Data'!H216</f>
        <v>215</v>
      </c>
      <c r="B216" s="2" t="n">
        <f aca="false">'Raw Data'!A216</f>
        <v>37</v>
      </c>
      <c r="C216" s="2" t="str">
        <f aca="false">'Raw Data'!D216</f>
        <v>Research &amp; Development</v>
      </c>
      <c r="D216" s="2" t="str">
        <f aca="false">'Raw Data'!K216</f>
        <v>Research Scientist</v>
      </c>
      <c r="E216" s="2" t="n">
        <f aca="false">'Raw Data'!Q216</f>
        <v>8</v>
      </c>
      <c r="F216" s="2" t="n">
        <f aca="false">'Raw Data'!U216</f>
        <v>3</v>
      </c>
      <c r="G216" s="2" t="n">
        <f aca="false">'Raw Data'!W216</f>
        <v>2</v>
      </c>
      <c r="H216" s="2" t="n">
        <f aca="false">'Raw Data'!V216</f>
        <v>2</v>
      </c>
      <c r="I216" s="2" t="n">
        <f aca="false">IF(AND(ISNUMBER(B216),B216&lt;=25),2,0)+IF(AND(ISNUMBER(E216),E216&lt;=5),2,0)+IF(AND(ISNUMBER(F216),F216&lt;=1),2,0)+IF(AND(ISNUMBER(G216),G216&lt;=2),1,0)+IF(AND(ISNUMBER(H216),H216&lt;=2),1,0)</f>
        <v>2</v>
      </c>
      <c r="J216" s="2" t="str">
        <f aca="false">IF(I216&gt;=6,"High",IF(I216&gt;=3,"Medium","Low"))</f>
        <v>Low</v>
      </c>
    </row>
    <row r="217" customFormat="false" ht="15" hidden="false" customHeight="true" outlineLevel="0" collapsed="false">
      <c r="A217" s="2" t="n">
        <f aca="false">'Raw Data'!H217</f>
        <v>216</v>
      </c>
      <c r="B217" s="2" t="n">
        <f aca="false">'Raw Data'!A217</f>
        <v>49</v>
      </c>
      <c r="C217" s="2" t="str">
        <f aca="false">'Raw Data'!D217</f>
        <v>Sales</v>
      </c>
      <c r="D217" s="2" t="str">
        <f aca="false">'Raw Data'!K217</f>
        <v>Sales Executive</v>
      </c>
      <c r="E217" s="2" t="n">
        <f aca="false">'Raw Data'!Q217</f>
        <v>31</v>
      </c>
      <c r="F217" s="2" t="n">
        <f aca="false">'Raw Data'!U217</f>
        <v>9</v>
      </c>
      <c r="G217" s="2" t="n">
        <f aca="false">'Raw Data'!W217</f>
        <v>3</v>
      </c>
      <c r="H217" s="2" t="n">
        <f aca="false">'Raw Data'!V217</f>
        <v>4</v>
      </c>
      <c r="I217" s="2" t="n">
        <f aca="false">IF(AND(ISNUMBER(B217),B217&lt;=25),2,0)+IF(AND(ISNUMBER(E217),E217&lt;=5),2,0)+IF(AND(ISNUMBER(F217),F217&lt;=1),2,0)+IF(AND(ISNUMBER(G217),G217&lt;=2),1,0)+IF(AND(ISNUMBER(H217),H217&lt;=2),1,0)</f>
        <v>0</v>
      </c>
      <c r="J217" s="2" t="str">
        <f aca="false">IF(I217&gt;=6,"High",IF(I217&gt;=3,"Medium","Low"))</f>
        <v>Low</v>
      </c>
    </row>
    <row r="218" customFormat="false" ht="15" hidden="false" customHeight="true" outlineLevel="0" collapsed="false">
      <c r="A218" s="2" t="n">
        <f aca="false">'Raw Data'!H218</f>
        <v>217</v>
      </c>
      <c r="B218" s="2" t="n">
        <f aca="false">'Raw Data'!A218</f>
        <v>24</v>
      </c>
      <c r="C218" s="2" t="str">
        <f aca="false">'Raw Data'!D218</f>
        <v>Sales</v>
      </c>
      <c r="D218" s="2" t="str">
        <f aca="false">'Raw Data'!K218</f>
        <v>Sales Executive</v>
      </c>
      <c r="E218" s="2" t="n">
        <f aca="false">'Raw Data'!Q218</f>
        <v>6</v>
      </c>
      <c r="F218" s="2" t="n">
        <f aca="false">'Raw Data'!U218</f>
        <v>4</v>
      </c>
      <c r="G218" s="2" t="n">
        <f aca="false">'Raw Data'!W218</f>
        <v>4</v>
      </c>
      <c r="H218" s="2" t="n">
        <f aca="false">'Raw Data'!V218</f>
        <v>2</v>
      </c>
      <c r="I218" s="2" t="n">
        <f aca="false">IF(AND(ISNUMBER(B218),B218&lt;=25),2,0)+IF(AND(ISNUMBER(E218),E218&lt;=5),2,0)+IF(AND(ISNUMBER(F218),F218&lt;=1),2,0)+IF(AND(ISNUMBER(G218),G218&lt;=2),1,0)+IF(AND(ISNUMBER(H218),H218&lt;=2),1,0)</f>
        <v>3</v>
      </c>
      <c r="J218" s="2" t="str">
        <f aca="false">IF(I218&gt;=6,"High",IF(I218&gt;=3,"Medium","Low"))</f>
        <v>Medium</v>
      </c>
    </row>
    <row r="219" customFormat="false" ht="15" hidden="false" customHeight="true" outlineLevel="0" collapsed="false">
      <c r="A219" s="2" t="n">
        <f aca="false">'Raw Data'!H219</f>
        <v>218</v>
      </c>
      <c r="B219" s="2" t="n">
        <f aca="false">'Raw Data'!A219</f>
        <v>26</v>
      </c>
      <c r="C219" s="2" t="str">
        <f aca="false">'Raw Data'!D219</f>
        <v>Research &amp; Development</v>
      </c>
      <c r="D219" s="2" t="str">
        <f aca="false">'Raw Data'!K219</f>
        <v>Sales Executive</v>
      </c>
      <c r="E219" s="2" t="n">
        <f aca="false">'Raw Data'!Q219</f>
        <v>6</v>
      </c>
      <c r="F219" s="2" t="n">
        <f aca="false">'Raw Data'!U219</f>
        <v>4</v>
      </c>
      <c r="G219" s="2" t="n">
        <f aca="false">'Raw Data'!W219</f>
        <v>2</v>
      </c>
      <c r="H219" s="2" t="n">
        <f aca="false">'Raw Data'!V219</f>
        <v>1</v>
      </c>
      <c r="I219" s="2" t="n">
        <f aca="false">IF(AND(ISNUMBER(B219),B219&lt;=25),2,0)+IF(AND(ISNUMBER(E219),E219&lt;=5),2,0)+IF(AND(ISNUMBER(F219),F219&lt;=1),2,0)+IF(AND(ISNUMBER(G219),G219&lt;=2),1,0)+IF(AND(ISNUMBER(H219),H219&lt;=2),1,0)</f>
        <v>2</v>
      </c>
      <c r="J219" s="2" t="str">
        <f aca="false">IF(I219&gt;=6,"High",IF(I219&gt;=3,"Medium","Low"))</f>
        <v>Low</v>
      </c>
    </row>
    <row r="220" customFormat="false" ht="15" hidden="false" customHeight="true" outlineLevel="0" collapsed="false">
      <c r="A220" s="2" t="n">
        <f aca="false">'Raw Data'!H220</f>
        <v>219</v>
      </c>
      <c r="B220" s="2" t="n">
        <f aca="false">'Raw Data'!A220</f>
        <v>24</v>
      </c>
      <c r="C220" s="2" t="str">
        <f aca="false">'Raw Data'!D220</f>
        <v>Sales</v>
      </c>
      <c r="D220" s="2" t="str">
        <f aca="false">'Raw Data'!K220</f>
        <v>Laboratory Technician</v>
      </c>
      <c r="E220" s="2" t="n">
        <f aca="false">'Raw Data'!Q220</f>
        <v>1</v>
      </c>
      <c r="F220" s="2" t="n">
        <f aca="false">'Raw Data'!U220</f>
        <v>0</v>
      </c>
      <c r="G220" s="2" t="n">
        <f aca="false">'Raw Data'!W220</f>
        <v>2</v>
      </c>
      <c r="H220" s="2" t="n">
        <f aca="false">'Raw Data'!V220</f>
        <v>4</v>
      </c>
      <c r="I220" s="2" t="n">
        <f aca="false">IF(AND(ISNUMBER(B220),B220&lt;=25),2,0)+IF(AND(ISNUMBER(E220),E220&lt;=5),2,0)+IF(AND(ISNUMBER(F220),F220&lt;=1),2,0)+IF(AND(ISNUMBER(G220),G220&lt;=2),1,0)+IF(AND(ISNUMBER(H220),H220&lt;=2),1,0)</f>
        <v>7</v>
      </c>
      <c r="J220" s="2" t="str">
        <f aca="false">IF(I220&gt;=6,"High",IF(I220&gt;=3,"Medium","Low"))</f>
        <v>High</v>
      </c>
    </row>
    <row r="221" customFormat="false" ht="15" hidden="false" customHeight="true" outlineLevel="0" collapsed="false">
      <c r="A221" s="2" t="n">
        <f aca="false">'Raw Data'!H221</f>
        <v>220</v>
      </c>
      <c r="B221" s="2" t="n">
        <f aca="false">'Raw Data'!A221</f>
        <v>50</v>
      </c>
      <c r="C221" s="2" t="str">
        <f aca="false">'Raw Data'!D221</f>
        <v>Sales</v>
      </c>
      <c r="D221" s="2" t="str">
        <f aca="false">'Raw Data'!K221</f>
        <v>Sales Executive</v>
      </c>
      <c r="E221" s="2" t="n">
        <f aca="false">'Raw Data'!Q221</f>
        <v>32</v>
      </c>
      <c r="F221" s="2" t="n">
        <f aca="false">'Raw Data'!U221</f>
        <v>7</v>
      </c>
      <c r="G221" s="2" t="n">
        <f aca="false">'Raw Data'!W221</f>
        <v>2</v>
      </c>
      <c r="H221" s="2" t="n">
        <f aca="false">'Raw Data'!V221</f>
        <v>1</v>
      </c>
      <c r="I221" s="2" t="n">
        <f aca="false">IF(AND(ISNUMBER(B221),B221&lt;=25),2,0)+IF(AND(ISNUMBER(E221),E221&lt;=5),2,0)+IF(AND(ISNUMBER(F221),F221&lt;=1),2,0)+IF(AND(ISNUMBER(G221),G221&lt;=2),1,0)+IF(AND(ISNUMBER(H221),H221&lt;=2),1,0)</f>
        <v>2</v>
      </c>
      <c r="J221" s="2" t="str">
        <f aca="false">IF(I221&gt;=6,"High",IF(I221&gt;=3,"Medium","Low"))</f>
        <v>Low</v>
      </c>
    </row>
    <row r="222" customFormat="false" ht="15" hidden="false" customHeight="true" outlineLevel="0" collapsed="false">
      <c r="A222" s="2" t="n">
        <f aca="false">'Raw Data'!H222</f>
        <v>221</v>
      </c>
      <c r="B222" s="2" t="n">
        <f aca="false">'Raw Data'!A222</f>
        <v>25</v>
      </c>
      <c r="C222" s="2" t="str">
        <f aca="false">'Raw Data'!D222</f>
        <v>Research &amp; Development</v>
      </c>
      <c r="D222" s="2" t="str">
        <f aca="false">'Raw Data'!K222</f>
        <v>Research Scientist</v>
      </c>
      <c r="E222" s="2" t="n">
        <f aca="false">'Raw Data'!Q222</f>
        <v>7</v>
      </c>
      <c r="F222" s="2" t="n">
        <f aca="false">'Raw Data'!U222</f>
        <v>6</v>
      </c>
      <c r="G222" s="2" t="n">
        <f aca="false">'Raw Data'!W222</f>
        <v>3</v>
      </c>
      <c r="H222" s="2" t="n">
        <f aca="false">'Raw Data'!V222</f>
        <v>2</v>
      </c>
      <c r="I222" s="2" t="n">
        <f aca="false">IF(AND(ISNUMBER(B222),B222&lt;=25),2,0)+IF(AND(ISNUMBER(E222),E222&lt;=5),2,0)+IF(AND(ISNUMBER(F222),F222&lt;=1),2,0)+IF(AND(ISNUMBER(G222),G222&lt;=2),1,0)+IF(AND(ISNUMBER(H222),H222&lt;=2),1,0)</f>
        <v>3</v>
      </c>
      <c r="J222" s="2" t="str">
        <f aca="false">IF(I222&gt;=6,"High",IF(I222&gt;=3,"Medium","Low"))</f>
        <v>Medium</v>
      </c>
    </row>
    <row r="223" customFormat="false" ht="15" hidden="false" customHeight="true" outlineLevel="0" collapsed="false">
      <c r="A223" s="2" t="n">
        <f aca="false">'Raw Data'!H223</f>
        <v>222</v>
      </c>
      <c r="B223" s="2" t="n">
        <f aca="false">'Raw Data'!A223</f>
        <v>24</v>
      </c>
      <c r="C223" s="2" t="str">
        <f aca="false">'Raw Data'!D223</f>
        <v>Research &amp; Development</v>
      </c>
      <c r="D223" s="2" t="str">
        <f aca="false">'Raw Data'!K223</f>
        <v>Research Scientist</v>
      </c>
      <c r="E223" s="2" t="n">
        <f aca="false">'Raw Data'!Q223</f>
        <v>6</v>
      </c>
      <c r="F223" s="2" t="n">
        <f aca="false">'Raw Data'!U223</f>
        <v>2</v>
      </c>
      <c r="G223" s="2" t="n">
        <f aca="false">'Raw Data'!W223</f>
        <v>3</v>
      </c>
      <c r="H223" s="2" t="n">
        <f aca="false">'Raw Data'!V223</f>
        <v>1</v>
      </c>
      <c r="I223" s="2" t="n">
        <f aca="false">IF(AND(ISNUMBER(B223),B223&lt;=25),2,0)+IF(AND(ISNUMBER(E223),E223&lt;=5),2,0)+IF(AND(ISNUMBER(F223),F223&lt;=1),2,0)+IF(AND(ISNUMBER(G223),G223&lt;=2),1,0)+IF(AND(ISNUMBER(H223),H223&lt;=2),1,0)</f>
        <v>3</v>
      </c>
      <c r="J223" s="2" t="str">
        <f aca="false">IF(I223&gt;=6,"High",IF(I223&gt;=3,"Medium","Low"))</f>
        <v>Medium</v>
      </c>
    </row>
    <row r="224" customFormat="false" ht="15" hidden="false" customHeight="true" outlineLevel="0" collapsed="false">
      <c r="A224" s="2" t="n">
        <f aca="false">'Raw Data'!H224</f>
        <v>223</v>
      </c>
      <c r="B224" s="2" t="n">
        <f aca="false">'Raw Data'!A224</f>
        <v>30</v>
      </c>
      <c r="C224" s="2" t="str">
        <f aca="false">'Raw Data'!D224</f>
        <v>Research &amp; Development</v>
      </c>
      <c r="D224" s="2" t="str">
        <f aca="false">'Raw Data'!K224</f>
        <v>Healthcare Representative</v>
      </c>
      <c r="E224" s="2" t="n">
        <f aca="false">'Raw Data'!Q224</f>
        <v>1</v>
      </c>
      <c r="F224" s="2" t="n">
        <f aca="false">'Raw Data'!U224</f>
        <v>0</v>
      </c>
      <c r="G224" s="2" t="n">
        <f aca="false">'Raw Data'!W224</f>
        <v>1</v>
      </c>
      <c r="H224" s="2" t="n">
        <f aca="false">'Raw Data'!V224</f>
        <v>2</v>
      </c>
      <c r="I224" s="2" t="n">
        <f aca="false">IF(AND(ISNUMBER(B224),B224&lt;=25),2,0)+IF(AND(ISNUMBER(E224),E224&lt;=5),2,0)+IF(AND(ISNUMBER(F224),F224&lt;=1),2,0)+IF(AND(ISNUMBER(G224),G224&lt;=2),1,0)+IF(AND(ISNUMBER(H224),H224&lt;=2),1,0)</f>
        <v>6</v>
      </c>
      <c r="J224" s="2" t="str">
        <f aca="false">IF(I224&gt;=6,"High",IF(I224&gt;=3,"Medium","Low"))</f>
        <v>High</v>
      </c>
    </row>
    <row r="225" customFormat="false" ht="15" hidden="false" customHeight="true" outlineLevel="0" collapsed="false">
      <c r="A225" s="2" t="n">
        <f aca="false">'Raw Data'!H225</f>
        <v>224</v>
      </c>
      <c r="B225" s="2" t="n">
        <f aca="false">'Raw Data'!A225</f>
        <v>34</v>
      </c>
      <c r="C225" s="2" t="str">
        <f aca="false">'Raw Data'!D225</f>
        <v>Sales</v>
      </c>
      <c r="D225" s="2" t="str">
        <f aca="false">'Raw Data'!K225</f>
        <v>Research Director</v>
      </c>
      <c r="E225" s="2" t="n">
        <f aca="false">'Raw Data'!Q225</f>
        <v>6</v>
      </c>
      <c r="F225" s="2" t="n">
        <f aca="false">'Raw Data'!U225</f>
        <v>3</v>
      </c>
      <c r="G225" s="2" t="n">
        <f aca="false">'Raw Data'!W225</f>
        <v>4</v>
      </c>
      <c r="H225" s="2" t="n">
        <f aca="false">'Raw Data'!V225</f>
        <v>2</v>
      </c>
      <c r="I225" s="2" t="n">
        <f aca="false">IF(AND(ISNUMBER(B225),B225&lt;=25),2,0)+IF(AND(ISNUMBER(E225),E225&lt;=5),2,0)+IF(AND(ISNUMBER(F225),F225&lt;=1),2,0)+IF(AND(ISNUMBER(G225),G225&lt;=2),1,0)+IF(AND(ISNUMBER(H225),H225&lt;=2),1,0)</f>
        <v>1</v>
      </c>
      <c r="J225" s="2" t="str">
        <f aca="false">IF(I225&gt;=6,"High",IF(I225&gt;=3,"Medium","Low"))</f>
        <v>Low</v>
      </c>
    </row>
    <row r="226" customFormat="false" ht="15" hidden="false" customHeight="true" outlineLevel="0" collapsed="false">
      <c r="A226" s="2" t="n">
        <f aca="false">'Raw Data'!H226</f>
        <v>225</v>
      </c>
      <c r="B226" s="2" t="n">
        <f aca="false">'Raw Data'!A226</f>
        <v>31</v>
      </c>
      <c r="C226" s="2" t="str">
        <f aca="false">'Raw Data'!D226</f>
        <v>Research &amp; Development</v>
      </c>
      <c r="D226" s="2" t="str">
        <f aca="false">'Raw Data'!K226</f>
        <v>Sales Representative</v>
      </c>
      <c r="E226" s="2" t="n">
        <f aca="false">'Raw Data'!Q226</f>
        <v>9</v>
      </c>
      <c r="F226" s="2" t="n">
        <f aca="false">'Raw Data'!U226</f>
        <v>2</v>
      </c>
      <c r="G226" s="2" t="n">
        <f aca="false">'Raw Data'!W226</f>
        <v>1</v>
      </c>
      <c r="H226" s="2" t="n">
        <f aca="false">'Raw Data'!V226</f>
        <v>2</v>
      </c>
      <c r="I226" s="2" t="n">
        <f aca="false">IF(AND(ISNUMBER(B226),B226&lt;=25),2,0)+IF(AND(ISNUMBER(E226),E226&lt;=5),2,0)+IF(AND(ISNUMBER(F226),F226&lt;=1),2,0)+IF(AND(ISNUMBER(G226),G226&lt;=2),1,0)+IF(AND(ISNUMBER(H226),H226&lt;=2),1,0)</f>
        <v>2</v>
      </c>
      <c r="J226" s="2" t="str">
        <f aca="false">IF(I226&gt;=6,"High",IF(I226&gt;=3,"Medium","Low"))</f>
        <v>Low</v>
      </c>
    </row>
    <row r="227" customFormat="false" ht="15" hidden="false" customHeight="true" outlineLevel="0" collapsed="false">
      <c r="A227" s="2" t="n">
        <f aca="false">'Raw Data'!H227</f>
        <v>226</v>
      </c>
      <c r="B227" s="2" t="n">
        <f aca="false">'Raw Data'!A227</f>
        <v>35</v>
      </c>
      <c r="C227" s="2" t="str">
        <f aca="false">'Raw Data'!D227</f>
        <v>Research &amp; Development</v>
      </c>
      <c r="D227" s="2" t="str">
        <f aca="false">'Raw Data'!K227</f>
        <v>Sales Executive</v>
      </c>
      <c r="E227" s="2" t="n">
        <f aca="false">'Raw Data'!Q227</f>
        <v>9</v>
      </c>
      <c r="F227" s="2" t="n">
        <f aca="false">'Raw Data'!U227</f>
        <v>2</v>
      </c>
      <c r="G227" s="2" t="n">
        <f aca="false">'Raw Data'!W227</f>
        <v>4</v>
      </c>
      <c r="H227" s="2" t="n">
        <f aca="false">'Raw Data'!V227</f>
        <v>1</v>
      </c>
      <c r="I227" s="2" t="n">
        <f aca="false">IF(AND(ISNUMBER(B227),B227&lt;=25),2,0)+IF(AND(ISNUMBER(E227),E227&lt;=5),2,0)+IF(AND(ISNUMBER(F227),F227&lt;=1),2,0)+IF(AND(ISNUMBER(G227),G227&lt;=2),1,0)+IF(AND(ISNUMBER(H227),H227&lt;=2),1,0)</f>
        <v>1</v>
      </c>
      <c r="J227" s="2" t="str">
        <f aca="false">IF(I227&gt;=6,"High",IF(I227&gt;=3,"Medium","Low"))</f>
        <v>Low</v>
      </c>
    </row>
    <row r="228" customFormat="false" ht="15" hidden="false" customHeight="true" outlineLevel="0" collapsed="false">
      <c r="A228" s="2" t="n">
        <f aca="false">'Raw Data'!H228</f>
        <v>227</v>
      </c>
      <c r="B228" s="2" t="n">
        <f aca="false">'Raw Data'!A228</f>
        <v>31</v>
      </c>
      <c r="C228" s="2" t="str">
        <f aca="false">'Raw Data'!D228</f>
        <v>Sales</v>
      </c>
      <c r="D228" s="2" t="str">
        <f aca="false">'Raw Data'!K228</f>
        <v>Sales Executive</v>
      </c>
      <c r="E228" s="2" t="n">
        <f aca="false">'Raw Data'!Q228</f>
        <v>13</v>
      </c>
      <c r="F228" s="2" t="n">
        <f aca="false">'Raw Data'!U228</f>
        <v>7</v>
      </c>
      <c r="G228" s="2" t="n">
        <f aca="false">'Raw Data'!W228</f>
        <v>4</v>
      </c>
      <c r="H228" s="2" t="n">
        <f aca="false">'Raw Data'!V228</f>
        <v>1</v>
      </c>
      <c r="I228" s="2" t="n">
        <f aca="false">IF(AND(ISNUMBER(B228),B228&lt;=25),2,0)+IF(AND(ISNUMBER(E228),E228&lt;=5),2,0)+IF(AND(ISNUMBER(F228),F228&lt;=1),2,0)+IF(AND(ISNUMBER(G228),G228&lt;=2),1,0)+IF(AND(ISNUMBER(H228),H228&lt;=2),1,0)</f>
        <v>1</v>
      </c>
      <c r="J228" s="2" t="str">
        <f aca="false">IF(I228&gt;=6,"High",IF(I228&gt;=3,"Medium","Low"))</f>
        <v>Low</v>
      </c>
    </row>
    <row r="229" customFormat="false" ht="15" hidden="false" customHeight="true" outlineLevel="0" collapsed="false">
      <c r="A229" s="2" t="n">
        <f aca="false">'Raw Data'!H229</f>
        <v>228</v>
      </c>
      <c r="B229" s="2" t="n">
        <f aca="false">'Raw Data'!A229</f>
        <v>27</v>
      </c>
      <c r="C229" s="2" t="str">
        <f aca="false">'Raw Data'!D229</f>
        <v>Sales</v>
      </c>
      <c r="D229" s="2" t="str">
        <f aca="false">'Raw Data'!K229</f>
        <v>Sales Representative</v>
      </c>
      <c r="E229" s="2" t="n">
        <f aca="false">'Raw Data'!Q229</f>
        <v>6</v>
      </c>
      <c r="F229" s="2" t="n">
        <f aca="false">'Raw Data'!U229</f>
        <v>3</v>
      </c>
      <c r="G229" s="2" t="n">
        <f aca="false">'Raw Data'!W229</f>
        <v>3</v>
      </c>
      <c r="H229" s="2" t="n">
        <f aca="false">'Raw Data'!V229</f>
        <v>1</v>
      </c>
      <c r="I229" s="2" t="n">
        <f aca="false">IF(AND(ISNUMBER(B229),B229&lt;=25),2,0)+IF(AND(ISNUMBER(E229),E229&lt;=5),2,0)+IF(AND(ISNUMBER(F229),F229&lt;=1),2,0)+IF(AND(ISNUMBER(G229),G229&lt;=2),1,0)+IF(AND(ISNUMBER(H229),H229&lt;=2),1,0)</f>
        <v>1</v>
      </c>
      <c r="J229" s="2" t="str">
        <f aca="false">IF(I229&gt;=6,"High",IF(I229&gt;=3,"Medium","Low"))</f>
        <v>Low</v>
      </c>
    </row>
    <row r="230" customFormat="false" ht="15" hidden="false" customHeight="true" outlineLevel="0" collapsed="false">
      <c r="A230" s="2" t="n">
        <f aca="false">'Raw Data'!H230</f>
        <v>229</v>
      </c>
      <c r="B230" s="2" t="n">
        <f aca="false">'Raw Data'!A230</f>
        <v>37</v>
      </c>
      <c r="C230" s="2" t="str">
        <f aca="false">'Raw Data'!D230</f>
        <v>Sales</v>
      </c>
      <c r="D230" s="2" t="str">
        <f aca="false">'Raw Data'!K230</f>
        <v>Laboratory Technician</v>
      </c>
      <c r="E230" s="2" t="n">
        <f aca="false">'Raw Data'!Q230</f>
        <v>17</v>
      </c>
      <c r="F230" s="2" t="n">
        <f aca="false">'Raw Data'!U230</f>
        <v>0</v>
      </c>
      <c r="G230" s="2" t="n">
        <f aca="false">'Raw Data'!W230</f>
        <v>3</v>
      </c>
      <c r="H230" s="2" t="n">
        <f aca="false">'Raw Data'!V230</f>
        <v>4</v>
      </c>
      <c r="I230" s="2" t="n">
        <f aca="false">IF(AND(ISNUMBER(B230),B230&lt;=25),2,0)+IF(AND(ISNUMBER(E230),E230&lt;=5),2,0)+IF(AND(ISNUMBER(F230),F230&lt;=1),2,0)+IF(AND(ISNUMBER(G230),G230&lt;=2),1,0)+IF(AND(ISNUMBER(H230),H230&lt;=2),1,0)</f>
        <v>2</v>
      </c>
      <c r="J230" s="2" t="str">
        <f aca="false">IF(I230&gt;=6,"High",IF(I230&gt;=3,"Medium","Low"))</f>
        <v>Low</v>
      </c>
    </row>
    <row r="231" customFormat="false" ht="15" hidden="false" customHeight="true" outlineLevel="0" collapsed="false">
      <c r="A231" s="2" t="n">
        <f aca="false">'Raw Data'!H231</f>
        <v>230</v>
      </c>
      <c r="B231" s="2" t="n">
        <f aca="false">'Raw Data'!A231</f>
        <v>20</v>
      </c>
      <c r="C231" s="2" t="str">
        <f aca="false">'Raw Data'!D231</f>
        <v>Research &amp; Development</v>
      </c>
      <c r="D231" s="2" t="str">
        <f aca="false">'Raw Data'!K231</f>
        <v>Sales Representative</v>
      </c>
      <c r="E231" s="2" t="n">
        <f aca="false">'Raw Data'!Q231</f>
        <v>1</v>
      </c>
      <c r="F231" s="2" t="n">
        <f aca="false">'Raw Data'!U231</f>
        <v>0</v>
      </c>
      <c r="G231" s="2" t="n">
        <f aca="false">'Raw Data'!W231</f>
        <v>2</v>
      </c>
      <c r="H231" s="2" t="n">
        <f aca="false">'Raw Data'!V231</f>
        <v>4</v>
      </c>
      <c r="I231" s="2" t="n">
        <f aca="false">IF(AND(ISNUMBER(B231),B231&lt;=25),2,0)+IF(AND(ISNUMBER(E231),E231&lt;=5),2,0)+IF(AND(ISNUMBER(F231),F231&lt;=1),2,0)+IF(AND(ISNUMBER(G231),G231&lt;=2),1,0)+IF(AND(ISNUMBER(H231),H231&lt;=2),1,0)</f>
        <v>7</v>
      </c>
      <c r="J231" s="2" t="str">
        <f aca="false">IF(I231&gt;=6,"High",IF(I231&gt;=3,"Medium","Low"))</f>
        <v>High</v>
      </c>
    </row>
    <row r="232" customFormat="false" ht="15" hidden="false" customHeight="true" outlineLevel="0" collapsed="false">
      <c r="A232" s="2" t="n">
        <f aca="false">'Raw Data'!H232</f>
        <v>231</v>
      </c>
      <c r="B232" s="2" t="n">
        <f aca="false">'Raw Data'!A232</f>
        <v>42</v>
      </c>
      <c r="C232" s="2" t="str">
        <f aca="false">'Raw Data'!D232</f>
        <v>Research &amp; Development</v>
      </c>
      <c r="D232" s="2" t="str">
        <f aca="false">'Raw Data'!K232</f>
        <v>Manufacturing Director</v>
      </c>
      <c r="E232" s="2" t="n">
        <f aca="false">'Raw Data'!Q232</f>
        <v>10</v>
      </c>
      <c r="F232" s="2" t="n">
        <f aca="false">'Raw Data'!U232</f>
        <v>2</v>
      </c>
      <c r="G232" s="2" t="n">
        <f aca="false">'Raw Data'!W232</f>
        <v>4</v>
      </c>
      <c r="H232" s="2" t="n">
        <f aca="false">'Raw Data'!V232</f>
        <v>3</v>
      </c>
      <c r="I232" s="2" t="n">
        <f aca="false">IF(AND(ISNUMBER(B232),B232&lt;=25),2,0)+IF(AND(ISNUMBER(E232),E232&lt;=5),2,0)+IF(AND(ISNUMBER(F232),F232&lt;=1),2,0)+IF(AND(ISNUMBER(G232),G232&lt;=2),1,0)+IF(AND(ISNUMBER(H232),H232&lt;=2),1,0)</f>
        <v>0</v>
      </c>
      <c r="J232" s="2" t="str">
        <f aca="false">IF(I232&gt;=6,"High",IF(I232&gt;=3,"Medium","Low"))</f>
        <v>Low</v>
      </c>
    </row>
    <row r="233" customFormat="false" ht="15" hidden="false" customHeight="true" outlineLevel="0" collapsed="false">
      <c r="A233" s="2" t="n">
        <f aca="false">'Raw Data'!H233</f>
        <v>232</v>
      </c>
      <c r="B233" s="2" t="n">
        <f aca="false">'Raw Data'!A233</f>
        <v>43</v>
      </c>
      <c r="C233" s="2" t="str">
        <f aca="false">'Raw Data'!D233</f>
        <v>Research &amp; Development</v>
      </c>
      <c r="D233" s="2" t="str">
        <f aca="false">'Raw Data'!K233</f>
        <v>Sales Executive</v>
      </c>
      <c r="E233" s="2" t="n">
        <f aca="false">'Raw Data'!Q233</f>
        <v>21</v>
      </c>
      <c r="F233" s="2" t="n">
        <f aca="false">'Raw Data'!U233</f>
        <v>0</v>
      </c>
      <c r="G233" s="2" t="n">
        <f aca="false">'Raw Data'!W233</f>
        <v>4</v>
      </c>
      <c r="H233" s="2" t="n">
        <f aca="false">'Raw Data'!V233</f>
        <v>2</v>
      </c>
      <c r="I233" s="2" t="n">
        <f aca="false">IF(AND(ISNUMBER(B233),B233&lt;=25),2,0)+IF(AND(ISNUMBER(E233),E233&lt;=5),2,0)+IF(AND(ISNUMBER(F233),F233&lt;=1),2,0)+IF(AND(ISNUMBER(G233),G233&lt;=2),1,0)+IF(AND(ISNUMBER(H233),H233&lt;=2),1,0)</f>
        <v>3</v>
      </c>
      <c r="J233" s="2" t="str">
        <f aca="false">IF(I233&gt;=6,"High",IF(I233&gt;=3,"Medium","Low"))</f>
        <v>Medium</v>
      </c>
    </row>
    <row r="234" customFormat="false" ht="15" hidden="false" customHeight="true" outlineLevel="0" collapsed="false">
      <c r="A234" s="2" t="n">
        <f aca="false">'Raw Data'!H234</f>
        <v>233</v>
      </c>
      <c r="B234" s="2" t="n">
        <f aca="false">'Raw Data'!A234</f>
        <v>38</v>
      </c>
      <c r="C234" s="2" t="str">
        <f aca="false">'Raw Data'!D234</f>
        <v>Human Resources</v>
      </c>
      <c r="D234" s="2" t="str">
        <f aca="false">'Raw Data'!K234</f>
        <v>Human Resources</v>
      </c>
      <c r="E234" s="2" t="n">
        <f aca="false">'Raw Data'!Q234</f>
        <v>8</v>
      </c>
      <c r="F234" s="2" t="n">
        <f aca="false">'Raw Data'!U234</f>
        <v>0</v>
      </c>
      <c r="G234" s="2" t="n">
        <f aca="false">'Raw Data'!W234</f>
        <v>1</v>
      </c>
      <c r="H234" s="2" t="n">
        <f aca="false">'Raw Data'!V234</f>
        <v>3</v>
      </c>
      <c r="I234" s="2" t="n">
        <f aca="false">IF(AND(ISNUMBER(B234),B234&lt;=25),2,0)+IF(AND(ISNUMBER(E234),E234&lt;=5),2,0)+IF(AND(ISNUMBER(F234),F234&lt;=1),2,0)+IF(AND(ISNUMBER(G234),G234&lt;=2),1,0)+IF(AND(ISNUMBER(H234),H234&lt;=2),1,0)</f>
        <v>3</v>
      </c>
      <c r="J234" s="2" t="str">
        <f aca="false">IF(I234&gt;=6,"High",IF(I234&gt;=3,"Medium","Low"))</f>
        <v>Medium</v>
      </c>
    </row>
    <row r="235" customFormat="false" ht="15" hidden="false" customHeight="true" outlineLevel="0" collapsed="false">
      <c r="A235" s="2" t="n">
        <f aca="false">'Raw Data'!H235</f>
        <v>234</v>
      </c>
      <c r="B235" s="2" t="n">
        <f aca="false">'Raw Data'!A235</f>
        <v>43</v>
      </c>
      <c r="C235" s="2" t="str">
        <f aca="false">'Raw Data'!D235</f>
        <v>Sales</v>
      </c>
      <c r="D235" s="2" t="str">
        <f aca="false">'Raw Data'!K235</f>
        <v>Healthcare Representative</v>
      </c>
      <c r="E235" s="2" t="n">
        <f aca="false">'Raw Data'!Q235</f>
        <v>10</v>
      </c>
      <c r="F235" s="2" t="n">
        <f aca="false">'Raw Data'!U235</f>
        <v>7</v>
      </c>
      <c r="G235" s="2" t="n">
        <f aca="false">'Raw Data'!W235</f>
        <v>3</v>
      </c>
      <c r="H235" s="2" t="n">
        <f aca="false">'Raw Data'!V235</f>
        <v>4</v>
      </c>
      <c r="I235" s="2" t="n">
        <f aca="false">IF(AND(ISNUMBER(B235),B235&lt;=25),2,0)+IF(AND(ISNUMBER(E235),E235&lt;=5),2,0)+IF(AND(ISNUMBER(F235),F235&lt;=1),2,0)+IF(AND(ISNUMBER(G235),G235&lt;=2),1,0)+IF(AND(ISNUMBER(H235),H235&lt;=2),1,0)</f>
        <v>0</v>
      </c>
      <c r="J235" s="2" t="str">
        <f aca="false">IF(I235&gt;=6,"High",IF(I235&gt;=3,"Medium","Low"))</f>
        <v>Low</v>
      </c>
    </row>
    <row r="236" customFormat="false" ht="15" hidden="false" customHeight="true" outlineLevel="0" collapsed="false">
      <c r="A236" s="2" t="n">
        <f aca="false">'Raw Data'!H236</f>
        <v>235</v>
      </c>
      <c r="B236" s="2" t="n">
        <f aca="false">'Raw Data'!A236</f>
        <v>48</v>
      </c>
      <c r="C236" s="2" t="str">
        <f aca="false">'Raw Data'!D236</f>
        <v>Research &amp; Development</v>
      </c>
      <c r="D236" s="2" t="str">
        <f aca="false">'Raw Data'!K236</f>
        <v>Laboratory Technician</v>
      </c>
      <c r="E236" s="2" t="n">
        <f aca="false">'Raw Data'!Q236</f>
        <v>21</v>
      </c>
      <c r="F236" s="2" t="n">
        <f aca="false">'Raw Data'!U236</f>
        <v>2</v>
      </c>
      <c r="G236" s="2" t="n">
        <f aca="false">'Raw Data'!W236</f>
        <v>1</v>
      </c>
      <c r="H236" s="2" t="n">
        <f aca="false">'Raw Data'!V236</f>
        <v>4</v>
      </c>
      <c r="I236" s="2" t="n">
        <f aca="false">IF(AND(ISNUMBER(B236),B236&lt;=25),2,0)+IF(AND(ISNUMBER(E236),E236&lt;=5),2,0)+IF(AND(ISNUMBER(F236),F236&lt;=1),2,0)+IF(AND(ISNUMBER(G236),G236&lt;=2),1,0)+IF(AND(ISNUMBER(H236),H236&lt;=2),1,0)</f>
        <v>1</v>
      </c>
      <c r="J236" s="2" t="str">
        <f aca="false">IF(I236&gt;=6,"High",IF(I236&gt;=3,"Medium","Low"))</f>
        <v>Low</v>
      </c>
    </row>
    <row r="237" customFormat="false" ht="15" hidden="false" customHeight="true" outlineLevel="0" collapsed="false">
      <c r="A237" s="2" t="n">
        <f aca="false">'Raw Data'!H237</f>
        <v>236</v>
      </c>
      <c r="B237" s="2" t="n">
        <f aca="false">'Raw Data'!A237</f>
        <v>44</v>
      </c>
      <c r="C237" s="2" t="str">
        <f aca="false">'Raw Data'!D237</f>
        <v>Sales</v>
      </c>
      <c r="D237" s="2" t="str">
        <f aca="false">'Raw Data'!K237</f>
        <v>Sales Executive</v>
      </c>
      <c r="E237" s="2" t="n">
        <f aca="false">'Raw Data'!Q237</f>
        <v>10</v>
      </c>
      <c r="F237" s="2" t="n">
        <f aca="false">'Raw Data'!U237</f>
        <v>2</v>
      </c>
      <c r="G237" s="2" t="n">
        <f aca="false">'Raw Data'!W237</f>
        <v>3</v>
      </c>
      <c r="H237" s="2" t="n">
        <f aca="false">'Raw Data'!V237</f>
        <v>1</v>
      </c>
      <c r="I237" s="2" t="n">
        <f aca="false">IF(AND(ISNUMBER(B237),B237&lt;=25),2,0)+IF(AND(ISNUMBER(E237),E237&lt;=5),2,0)+IF(AND(ISNUMBER(F237),F237&lt;=1),2,0)+IF(AND(ISNUMBER(G237),G237&lt;=2),1,0)+IF(AND(ISNUMBER(H237),H237&lt;=2),1,0)</f>
        <v>1</v>
      </c>
      <c r="J237" s="2" t="str">
        <f aca="false">IF(I237&gt;=6,"High",IF(I237&gt;=3,"Medium","Low"))</f>
        <v>Low</v>
      </c>
    </row>
    <row r="238" customFormat="false" ht="15" hidden="false" customHeight="true" outlineLevel="0" collapsed="false">
      <c r="A238" s="2" t="n">
        <f aca="false">'Raw Data'!H238</f>
        <v>237</v>
      </c>
      <c r="B238" s="2" t="n">
        <f aca="false">'Raw Data'!A238</f>
        <v>34</v>
      </c>
      <c r="C238" s="2" t="str">
        <f aca="false">'Raw Data'!D238</f>
        <v>Research &amp; Development</v>
      </c>
      <c r="D238" s="2" t="str">
        <f aca="false">'Raw Data'!K238</f>
        <v>Laboratory Technician</v>
      </c>
      <c r="E238" s="2" t="n">
        <f aca="false">'Raw Data'!Q238</f>
        <v>8</v>
      </c>
      <c r="F238" s="2" t="n">
        <f aca="false">'Raw Data'!U238</f>
        <v>6</v>
      </c>
      <c r="G238" s="2" t="n">
        <f aca="false">'Raw Data'!W238</f>
        <v>3</v>
      </c>
      <c r="H238" s="2" t="n">
        <f aca="false">'Raw Data'!V238</f>
        <v>3</v>
      </c>
      <c r="I238" s="2" t="n">
        <f aca="false">IF(AND(ISNUMBER(B238),B238&lt;=25),2,0)+IF(AND(ISNUMBER(E238),E238&lt;=5),2,0)+IF(AND(ISNUMBER(F238),F238&lt;=1),2,0)+IF(AND(ISNUMBER(G238),G238&lt;=2),1,0)+IF(AND(ISNUMBER(H238),H238&lt;=2),1,0)</f>
        <v>0</v>
      </c>
      <c r="J238" s="2" t="str">
        <f aca="false">IF(I238&gt;=6,"High",IF(I238&gt;=3,"Medium","Low"))</f>
        <v>Low</v>
      </c>
    </row>
    <row r="239" customFormat="false" ht="15" hidden="false" customHeight="true" outlineLevel="0" collapsed="false">
      <c r="A239" s="2" t="n">
        <f aca="false">'Raw Data'!H239</f>
        <v>238</v>
      </c>
      <c r="B239" s="2" t="n">
        <f aca="false">'Raw Data'!A239</f>
        <v>27</v>
      </c>
      <c r="C239" s="2" t="str">
        <f aca="false">'Raw Data'!D239</f>
        <v>Sales</v>
      </c>
      <c r="D239" s="2" t="str">
        <f aca="false">'Raw Data'!K239</f>
        <v>Research Scientist</v>
      </c>
      <c r="E239" s="2" t="n">
        <f aca="false">'Raw Data'!Q239</f>
        <v>5</v>
      </c>
      <c r="F239" s="2" t="n">
        <f aca="false">'Raw Data'!U239</f>
        <v>2</v>
      </c>
      <c r="G239" s="2" t="n">
        <f aca="false">'Raw Data'!W239</f>
        <v>1</v>
      </c>
      <c r="H239" s="2" t="n">
        <f aca="false">'Raw Data'!V239</f>
        <v>3</v>
      </c>
      <c r="I239" s="2" t="n">
        <f aca="false">IF(AND(ISNUMBER(B239),B239&lt;=25),2,0)+IF(AND(ISNUMBER(E239),E239&lt;=5),2,0)+IF(AND(ISNUMBER(F239),F239&lt;=1),2,0)+IF(AND(ISNUMBER(G239),G239&lt;=2),1,0)+IF(AND(ISNUMBER(H239),H239&lt;=2),1,0)</f>
        <v>3</v>
      </c>
      <c r="J239" s="2" t="str">
        <f aca="false">IF(I239&gt;=6,"High",IF(I239&gt;=3,"Medium","Low"))</f>
        <v>Medium</v>
      </c>
    </row>
    <row r="240" customFormat="false" ht="15" hidden="false" customHeight="true" outlineLevel="0" collapsed="false">
      <c r="A240" s="2" t="n">
        <f aca="false">'Raw Data'!H240</f>
        <v>239</v>
      </c>
      <c r="B240" s="2" t="n">
        <f aca="false">'Raw Data'!A240</f>
        <v>21</v>
      </c>
      <c r="C240" s="2" t="str">
        <f aca="false">'Raw Data'!D240</f>
        <v>Sales</v>
      </c>
      <c r="D240" s="2" t="str">
        <f aca="false">'Raw Data'!K240</f>
        <v>Sales Executive</v>
      </c>
      <c r="E240" s="2" t="n">
        <f aca="false">'Raw Data'!Q240</f>
        <v>3</v>
      </c>
      <c r="F240" s="2" t="n">
        <f aca="false">'Raw Data'!U240</f>
        <v>2</v>
      </c>
      <c r="G240" s="2" t="n">
        <f aca="false">'Raw Data'!W240</f>
        <v>3</v>
      </c>
      <c r="H240" s="2" t="n">
        <f aca="false">'Raw Data'!V240</f>
        <v>3</v>
      </c>
      <c r="I240" s="2" t="n">
        <f aca="false">IF(AND(ISNUMBER(B240),B240&lt;=25),2,0)+IF(AND(ISNUMBER(E240),E240&lt;=5),2,0)+IF(AND(ISNUMBER(F240),F240&lt;=1),2,0)+IF(AND(ISNUMBER(G240),G240&lt;=2),1,0)+IF(AND(ISNUMBER(H240),H240&lt;=2),1,0)</f>
        <v>4</v>
      </c>
      <c r="J240" s="2" t="str">
        <f aca="false">IF(I240&gt;=6,"High",IF(I240&gt;=3,"Medium","Low"))</f>
        <v>Medium</v>
      </c>
    </row>
    <row r="241" customFormat="false" ht="15" hidden="false" customHeight="true" outlineLevel="0" collapsed="false">
      <c r="A241" s="2" t="n">
        <f aca="false">'Raw Data'!H241</f>
        <v>240</v>
      </c>
      <c r="B241" s="2" t="n">
        <f aca="false">'Raw Data'!A241</f>
        <v>44</v>
      </c>
      <c r="C241" s="2" t="str">
        <f aca="false">'Raw Data'!D241</f>
        <v>Research &amp; Development</v>
      </c>
      <c r="D241" s="2" t="str">
        <f aca="false">'Raw Data'!K241</f>
        <v>Laboratory Technician</v>
      </c>
      <c r="E241" s="2" t="n">
        <f aca="false">'Raw Data'!Q241</f>
        <v>26</v>
      </c>
      <c r="F241" s="2" t="n">
        <f aca="false">'Raw Data'!U241</f>
        <v>1</v>
      </c>
      <c r="G241" s="2" t="n">
        <f aca="false">'Raw Data'!W241</f>
        <v>4</v>
      </c>
      <c r="H241" s="2" t="n">
        <f aca="false">'Raw Data'!V241</f>
        <v>4</v>
      </c>
      <c r="I241" s="2" t="n">
        <f aca="false">IF(AND(ISNUMBER(B241),B241&lt;=25),2,0)+IF(AND(ISNUMBER(E241),E241&lt;=5),2,0)+IF(AND(ISNUMBER(F241),F241&lt;=1),2,0)+IF(AND(ISNUMBER(G241),G241&lt;=2),1,0)+IF(AND(ISNUMBER(H241),H241&lt;=2),1,0)</f>
        <v>2</v>
      </c>
      <c r="J241" s="2" t="str">
        <f aca="false">IF(I241&gt;=6,"High",IF(I241&gt;=3,"Medium","Low"))</f>
        <v>Low</v>
      </c>
    </row>
    <row r="242" customFormat="false" ht="15" hidden="false" customHeight="true" outlineLevel="0" collapsed="false">
      <c r="A242" s="2" t="n">
        <f aca="false">'Raw Data'!H242</f>
        <v>241</v>
      </c>
      <c r="B242" s="2" t="n">
        <f aca="false">'Raw Data'!A242</f>
        <v>22</v>
      </c>
      <c r="C242" s="2" t="str">
        <f aca="false">'Raw Data'!D242</f>
        <v>Research &amp; Development</v>
      </c>
      <c r="D242" s="2" t="str">
        <f aca="false">'Raw Data'!K242</f>
        <v>Laboratory Technician</v>
      </c>
      <c r="E242" s="2" t="n">
        <f aca="false">'Raw Data'!Q242</f>
        <v>3</v>
      </c>
      <c r="F242" s="2" t="n">
        <f aca="false">'Raw Data'!U242</f>
        <v>2</v>
      </c>
      <c r="G242" s="2" t="n">
        <f aca="false">'Raw Data'!W242</f>
        <v>3</v>
      </c>
      <c r="H242" s="2" t="n">
        <f aca="false">'Raw Data'!V242</f>
        <v>1</v>
      </c>
      <c r="I242" s="2" t="n">
        <f aca="false">IF(AND(ISNUMBER(B242),B242&lt;=25),2,0)+IF(AND(ISNUMBER(E242),E242&lt;=5),2,0)+IF(AND(ISNUMBER(F242),F242&lt;=1),2,0)+IF(AND(ISNUMBER(G242),G242&lt;=2),1,0)+IF(AND(ISNUMBER(H242),H242&lt;=2),1,0)</f>
        <v>5</v>
      </c>
      <c r="J242" s="2" t="str">
        <f aca="false">IF(I242&gt;=6,"High",IF(I242&gt;=3,"Medium","Low"))</f>
        <v>Medium</v>
      </c>
    </row>
    <row r="243" customFormat="false" ht="15" hidden="false" customHeight="true" outlineLevel="0" collapsed="false">
      <c r="A243" s="2" t="n">
        <f aca="false">'Raw Data'!H243</f>
        <v>242</v>
      </c>
      <c r="B243" s="2" t="n">
        <f aca="false">'Raw Data'!A243</f>
        <v>33</v>
      </c>
      <c r="C243" s="2" t="str">
        <f aca="false">'Raw Data'!D243</f>
        <v>Sales</v>
      </c>
      <c r="D243" s="2" t="str">
        <f aca="false">'Raw Data'!K243</f>
        <v>Manufacturing Director</v>
      </c>
      <c r="E243" s="2" t="n">
        <f aca="false">'Raw Data'!Q243</f>
        <v>6</v>
      </c>
      <c r="F243" s="2" t="n">
        <f aca="false">'Raw Data'!U243</f>
        <v>2</v>
      </c>
      <c r="G243" s="2" t="n">
        <f aca="false">'Raw Data'!W243</f>
        <v>3</v>
      </c>
      <c r="H243" s="2" t="n">
        <f aca="false">'Raw Data'!V243</f>
        <v>3</v>
      </c>
      <c r="I243" s="2" t="n">
        <f aca="false">IF(AND(ISNUMBER(B243),B243&lt;=25),2,0)+IF(AND(ISNUMBER(E243),E243&lt;=5),2,0)+IF(AND(ISNUMBER(F243),F243&lt;=1),2,0)+IF(AND(ISNUMBER(G243),G243&lt;=2),1,0)+IF(AND(ISNUMBER(H243),H243&lt;=2),1,0)</f>
        <v>0</v>
      </c>
      <c r="J243" s="2" t="str">
        <f aca="false">IF(I243&gt;=6,"High",IF(I243&gt;=3,"Medium","Low"))</f>
        <v>Low</v>
      </c>
    </row>
    <row r="244" customFormat="false" ht="15" hidden="false" customHeight="true" outlineLevel="0" collapsed="false">
      <c r="A244" s="2" t="n">
        <f aca="false">'Raw Data'!H244</f>
        <v>243</v>
      </c>
      <c r="B244" s="2" t="n">
        <f aca="false">'Raw Data'!A244</f>
        <v>32</v>
      </c>
      <c r="C244" s="2" t="str">
        <f aca="false">'Raw Data'!D244</f>
        <v>Research &amp; Development</v>
      </c>
      <c r="D244" s="2" t="str">
        <f aca="false">'Raw Data'!K244</f>
        <v>Healthcare Representative</v>
      </c>
      <c r="E244" s="2" t="n">
        <f aca="false">'Raw Data'!Q244</f>
        <v>6</v>
      </c>
      <c r="F244" s="2" t="n">
        <f aca="false">'Raw Data'!U244</f>
        <v>5</v>
      </c>
      <c r="G244" s="2" t="n">
        <f aca="false">'Raw Data'!W244</f>
        <v>4</v>
      </c>
      <c r="H244" s="2" t="n">
        <f aca="false">'Raw Data'!V244</f>
        <v>1</v>
      </c>
      <c r="I244" s="2" t="n">
        <f aca="false">IF(AND(ISNUMBER(B244),B244&lt;=25),2,0)+IF(AND(ISNUMBER(E244),E244&lt;=5),2,0)+IF(AND(ISNUMBER(F244),F244&lt;=1),2,0)+IF(AND(ISNUMBER(G244),G244&lt;=2),1,0)+IF(AND(ISNUMBER(H244),H244&lt;=2),1,0)</f>
        <v>1</v>
      </c>
      <c r="J244" s="2" t="str">
        <f aca="false">IF(I244&gt;=6,"High",IF(I244&gt;=3,"Medium","Low"))</f>
        <v>Low</v>
      </c>
    </row>
    <row r="245" customFormat="false" ht="15" hidden="false" customHeight="true" outlineLevel="0" collapsed="false">
      <c r="A245" s="2" t="n">
        <f aca="false">'Raw Data'!H245</f>
        <v>244</v>
      </c>
      <c r="B245" s="2" t="n">
        <f aca="false">'Raw Data'!A245</f>
        <v>30</v>
      </c>
      <c r="C245" s="2" t="str">
        <f aca="false">'Raw Data'!D245</f>
        <v>Research &amp; Development</v>
      </c>
      <c r="D245" s="2" t="str">
        <f aca="false">'Raw Data'!K245</f>
        <v>Manager</v>
      </c>
      <c r="E245" s="2" t="n">
        <f aca="false">'Raw Data'!Q245</f>
        <v>1</v>
      </c>
      <c r="F245" s="2" t="n">
        <f aca="false">'Raw Data'!U245</f>
        <v>0</v>
      </c>
      <c r="G245" s="2" t="n">
        <f aca="false">'Raw Data'!W245</f>
        <v>3</v>
      </c>
      <c r="H245" s="2" t="n">
        <f aca="false">'Raw Data'!V245</f>
        <v>3</v>
      </c>
      <c r="I245" s="2" t="n">
        <f aca="false">IF(AND(ISNUMBER(B245),B245&lt;=25),2,0)+IF(AND(ISNUMBER(E245),E245&lt;=5),2,0)+IF(AND(ISNUMBER(F245),F245&lt;=1),2,0)+IF(AND(ISNUMBER(G245),G245&lt;=2),1,0)+IF(AND(ISNUMBER(H245),H245&lt;=2),1,0)</f>
        <v>4</v>
      </c>
      <c r="J245" s="2" t="str">
        <f aca="false">IF(I245&gt;=6,"High",IF(I245&gt;=3,"Medium","Low"))</f>
        <v>Medium</v>
      </c>
    </row>
    <row r="246" customFormat="false" ht="15" hidden="false" customHeight="true" outlineLevel="0" collapsed="false">
      <c r="A246" s="2" t="n">
        <f aca="false">'Raw Data'!H246</f>
        <v>245</v>
      </c>
      <c r="B246" s="2" t="n">
        <f aca="false">'Raw Data'!A246</f>
        <v>53</v>
      </c>
      <c r="C246" s="2" t="str">
        <f aca="false">'Raw Data'!D246</f>
        <v>Research &amp; Development</v>
      </c>
      <c r="D246" s="2" t="str">
        <f aca="false">'Raw Data'!K246</f>
        <v>Manager</v>
      </c>
      <c r="E246" s="2" t="n">
        <f aca="false">'Raw Data'!Q246</f>
        <v>18</v>
      </c>
      <c r="F246" s="2" t="n">
        <f aca="false">'Raw Data'!U246</f>
        <v>10</v>
      </c>
      <c r="G246" s="2" t="n">
        <f aca="false">'Raw Data'!W246</f>
        <v>1</v>
      </c>
      <c r="H246" s="2" t="n">
        <f aca="false">'Raw Data'!V246</f>
        <v>4</v>
      </c>
      <c r="I246" s="2" t="n">
        <f aca="false">IF(AND(ISNUMBER(B246),B246&lt;=25),2,0)+IF(AND(ISNUMBER(E246),E246&lt;=5),2,0)+IF(AND(ISNUMBER(F246),F246&lt;=1),2,0)+IF(AND(ISNUMBER(G246),G246&lt;=2),1,0)+IF(AND(ISNUMBER(H246),H246&lt;=2),1,0)</f>
        <v>1</v>
      </c>
      <c r="J246" s="2" t="str">
        <f aca="false">IF(I246&gt;=6,"High",IF(I246&gt;=3,"Medium","Low"))</f>
        <v>Low</v>
      </c>
    </row>
    <row r="247" customFormat="false" ht="15" hidden="false" customHeight="true" outlineLevel="0" collapsed="false">
      <c r="A247" s="2" t="n">
        <f aca="false">'Raw Data'!H247</f>
        <v>246</v>
      </c>
      <c r="B247" s="2" t="n">
        <f aca="false">'Raw Data'!A247</f>
        <v>34</v>
      </c>
      <c r="C247" s="2" t="str">
        <f aca="false">'Raw Data'!D247</f>
        <v>Research &amp; Development</v>
      </c>
      <c r="D247" s="2" t="str">
        <f aca="false">'Raw Data'!K247</f>
        <v>Research Scientist</v>
      </c>
      <c r="E247" s="2" t="n">
        <f aca="false">'Raw Data'!Q247</f>
        <v>10</v>
      </c>
      <c r="F247" s="2" t="n">
        <f aca="false">'Raw Data'!U247</f>
        <v>8</v>
      </c>
      <c r="G247" s="2" t="n">
        <f aca="false">'Raw Data'!W247</f>
        <v>4</v>
      </c>
      <c r="H247" s="2" t="n">
        <f aca="false">'Raw Data'!V247</f>
        <v>2</v>
      </c>
      <c r="I247" s="2" t="n">
        <f aca="false">IF(AND(ISNUMBER(B247),B247&lt;=25),2,0)+IF(AND(ISNUMBER(E247),E247&lt;=5),2,0)+IF(AND(ISNUMBER(F247),F247&lt;=1),2,0)+IF(AND(ISNUMBER(G247),G247&lt;=2),1,0)+IF(AND(ISNUMBER(H247),H247&lt;=2),1,0)</f>
        <v>1</v>
      </c>
      <c r="J247" s="2" t="str">
        <f aca="false">IF(I247&gt;=6,"High",IF(I247&gt;=3,"Medium","Low"))</f>
        <v>Low</v>
      </c>
    </row>
    <row r="248" customFormat="false" ht="15" hidden="false" customHeight="true" outlineLevel="0" collapsed="false">
      <c r="A248" s="2" t="n">
        <f aca="false">'Raw Data'!H248</f>
        <v>247</v>
      </c>
      <c r="B248" s="2" t="n">
        <f aca="false">'Raw Data'!A248</f>
        <v>45</v>
      </c>
      <c r="C248" s="2" t="str">
        <f aca="false">'Raw Data'!D248</f>
        <v>Research &amp; Development</v>
      </c>
      <c r="D248" s="2" t="str">
        <f aca="false">'Raw Data'!K248</f>
        <v>Research Director</v>
      </c>
      <c r="E248" s="2" t="n">
        <f aca="false">'Raw Data'!Q248</f>
        <v>5</v>
      </c>
      <c r="F248" s="2" t="n">
        <f aca="false">'Raw Data'!U248</f>
        <v>0</v>
      </c>
      <c r="G248" s="2" t="n">
        <f aca="false">'Raw Data'!W248</f>
        <v>1</v>
      </c>
      <c r="H248" s="2" t="n">
        <f aca="false">'Raw Data'!V248</f>
        <v>1</v>
      </c>
      <c r="I248" s="2" t="n">
        <f aca="false">IF(AND(ISNUMBER(B248),B248&lt;=25),2,0)+IF(AND(ISNUMBER(E248),E248&lt;=5),2,0)+IF(AND(ISNUMBER(F248),F248&lt;=1),2,0)+IF(AND(ISNUMBER(G248),G248&lt;=2),1,0)+IF(AND(ISNUMBER(H248),H248&lt;=2),1,0)</f>
        <v>6</v>
      </c>
      <c r="J248" s="2" t="str">
        <f aca="false">IF(I248&gt;=6,"High",IF(I248&gt;=3,"Medium","Low"))</f>
        <v>High</v>
      </c>
    </row>
    <row r="249" customFormat="false" ht="15" hidden="false" customHeight="true" outlineLevel="0" collapsed="false">
      <c r="A249" s="2" t="n">
        <f aca="false">'Raw Data'!H249</f>
        <v>248</v>
      </c>
      <c r="B249" s="2" t="n">
        <f aca="false">'Raw Data'!A249</f>
        <v>26</v>
      </c>
      <c r="C249" s="2" t="str">
        <f aca="false">'Raw Data'!D249</f>
        <v>Research &amp; Development</v>
      </c>
      <c r="D249" s="2" t="str">
        <f aca="false">'Raw Data'!K249</f>
        <v>Manufacturing Director</v>
      </c>
      <c r="E249" s="2" t="n">
        <f aca="false">'Raw Data'!Q249</f>
        <v>3</v>
      </c>
      <c r="F249" s="2" t="n">
        <f aca="false">'Raw Data'!U249</f>
        <v>2</v>
      </c>
      <c r="G249" s="2" t="n">
        <f aca="false">'Raw Data'!W249</f>
        <v>4</v>
      </c>
      <c r="H249" s="2" t="n">
        <f aca="false">'Raw Data'!V249</f>
        <v>3</v>
      </c>
      <c r="I249" s="2" t="n">
        <f aca="false">IF(AND(ISNUMBER(B249),B249&lt;=25),2,0)+IF(AND(ISNUMBER(E249),E249&lt;=5),2,0)+IF(AND(ISNUMBER(F249),F249&lt;=1),2,0)+IF(AND(ISNUMBER(G249),G249&lt;=2),1,0)+IF(AND(ISNUMBER(H249),H249&lt;=2),1,0)</f>
        <v>2</v>
      </c>
      <c r="J249" s="2" t="str">
        <f aca="false">IF(I249&gt;=6,"High",IF(I249&gt;=3,"Medium","Low"))</f>
        <v>Low</v>
      </c>
    </row>
    <row r="250" customFormat="false" ht="15" hidden="false" customHeight="true" outlineLevel="0" collapsed="false">
      <c r="A250" s="2" t="n">
        <f aca="false">'Raw Data'!H250</f>
        <v>249</v>
      </c>
      <c r="B250" s="2" t="n">
        <f aca="false">'Raw Data'!A250</f>
        <v>37</v>
      </c>
      <c r="C250" s="2" t="str">
        <f aca="false">'Raw Data'!D250</f>
        <v>Research &amp; Development</v>
      </c>
      <c r="D250" s="2" t="str">
        <f aca="false">'Raw Data'!K250</f>
        <v>Manager</v>
      </c>
      <c r="E250" s="2" t="n">
        <f aca="false">'Raw Data'!Q250</f>
        <v>10</v>
      </c>
      <c r="F250" s="2" t="n">
        <f aca="false">'Raw Data'!U250</f>
        <v>8</v>
      </c>
      <c r="G250" s="2" t="n">
        <f aca="false">'Raw Data'!W250</f>
        <v>3</v>
      </c>
      <c r="H250" s="2" t="n">
        <f aca="false">'Raw Data'!V250</f>
        <v>3</v>
      </c>
      <c r="I250" s="2" t="n">
        <f aca="false">IF(AND(ISNUMBER(B250),B250&lt;=25),2,0)+IF(AND(ISNUMBER(E250),E250&lt;=5),2,0)+IF(AND(ISNUMBER(F250),F250&lt;=1),2,0)+IF(AND(ISNUMBER(G250),G250&lt;=2),1,0)+IF(AND(ISNUMBER(H250),H250&lt;=2),1,0)</f>
        <v>0</v>
      </c>
      <c r="J250" s="2" t="str">
        <f aca="false">IF(I250&gt;=6,"High",IF(I250&gt;=3,"Medium","Low"))</f>
        <v>Low</v>
      </c>
    </row>
    <row r="251" customFormat="false" ht="15" hidden="false" customHeight="true" outlineLevel="0" collapsed="false">
      <c r="A251" s="2" t="n">
        <f aca="false">'Raw Data'!H251</f>
        <v>250</v>
      </c>
      <c r="B251" s="2" t="n">
        <f aca="false">'Raw Data'!A251</f>
        <v>29</v>
      </c>
      <c r="C251" s="2" t="str">
        <f aca="false">'Raw Data'!D251</f>
        <v>Research &amp; Development</v>
      </c>
      <c r="D251" s="2" t="str">
        <f aca="false">'Raw Data'!K251</f>
        <v>Healthcare Representative</v>
      </c>
      <c r="E251" s="2" t="n">
        <f aca="false">'Raw Data'!Q251</f>
        <v>6</v>
      </c>
      <c r="F251" s="2" t="n">
        <f aca="false">'Raw Data'!U251</f>
        <v>2</v>
      </c>
      <c r="G251" s="2" t="n">
        <f aca="false">'Raw Data'!W251</f>
        <v>3</v>
      </c>
      <c r="H251" s="2" t="n">
        <f aca="false">'Raw Data'!V251</f>
        <v>2</v>
      </c>
      <c r="I251" s="2" t="n">
        <f aca="false">IF(AND(ISNUMBER(B251),B251&lt;=25),2,0)+IF(AND(ISNUMBER(E251),E251&lt;=5),2,0)+IF(AND(ISNUMBER(F251),F251&lt;=1),2,0)+IF(AND(ISNUMBER(G251),G251&lt;=2),1,0)+IF(AND(ISNUMBER(H251),H251&lt;=2),1,0)</f>
        <v>1</v>
      </c>
      <c r="J251" s="2" t="str">
        <f aca="false">IF(I251&gt;=6,"High",IF(I251&gt;=3,"Medium","Low"))</f>
        <v>Low</v>
      </c>
    </row>
    <row r="252" customFormat="false" ht="15" hidden="false" customHeight="true" outlineLevel="0" collapsed="false">
      <c r="A252" s="2" t="n">
        <f aca="false">'Raw Data'!H252</f>
        <v>251</v>
      </c>
      <c r="B252" s="2" t="n">
        <f aca="false">'Raw Data'!A252</f>
        <v>35</v>
      </c>
      <c r="C252" s="2" t="str">
        <f aca="false">'Raw Data'!D252</f>
        <v>Research &amp; Development</v>
      </c>
      <c r="D252" s="2" t="str">
        <f aca="false">'Raw Data'!K252</f>
        <v>Laboratory Technician</v>
      </c>
      <c r="E252" s="2" t="n">
        <f aca="false">'Raw Data'!Q252</f>
        <v>17</v>
      </c>
      <c r="F252" s="2" t="n">
        <f aca="false">'Raw Data'!U252</f>
        <v>8</v>
      </c>
      <c r="G252" s="2" t="n">
        <f aca="false">'Raw Data'!W252</f>
        <v>4</v>
      </c>
      <c r="H252" s="2" t="n">
        <f aca="false">'Raw Data'!V252</f>
        <v>2</v>
      </c>
      <c r="I252" s="2" t="n">
        <f aca="false">IF(AND(ISNUMBER(B252),B252&lt;=25),2,0)+IF(AND(ISNUMBER(E252),E252&lt;=5),2,0)+IF(AND(ISNUMBER(F252),F252&lt;=1),2,0)+IF(AND(ISNUMBER(G252),G252&lt;=2),1,0)+IF(AND(ISNUMBER(H252),H252&lt;=2),1,0)</f>
        <v>1</v>
      </c>
      <c r="J252" s="2" t="str">
        <f aca="false">IF(I252&gt;=6,"High",IF(I252&gt;=3,"Medium","Low"))</f>
        <v>Low</v>
      </c>
    </row>
    <row r="253" customFormat="false" ht="15" hidden="false" customHeight="true" outlineLevel="0" collapsed="false">
      <c r="A253" s="2" t="n">
        <f aca="false">'Raw Data'!H253</f>
        <v>252</v>
      </c>
      <c r="B253" s="2" t="n">
        <f aca="false">'Raw Data'!A253</f>
        <v>33</v>
      </c>
      <c r="C253" s="2" t="str">
        <f aca="false">'Raw Data'!D253</f>
        <v>Research &amp; Development</v>
      </c>
      <c r="D253" s="2" t="str">
        <f aca="false">'Raw Data'!K253</f>
        <v>Laboratory Technician</v>
      </c>
      <c r="E253" s="2" t="n">
        <f aca="false">'Raw Data'!Q253</f>
        <v>15</v>
      </c>
      <c r="F253" s="2" t="n">
        <f aca="false">'Raw Data'!U253</f>
        <v>7</v>
      </c>
      <c r="G253" s="2" t="n">
        <f aca="false">'Raw Data'!W253</f>
        <v>4</v>
      </c>
      <c r="H253" s="2" t="n">
        <f aca="false">'Raw Data'!V253</f>
        <v>3</v>
      </c>
      <c r="I253" s="2" t="n">
        <f aca="false">IF(AND(ISNUMBER(B253),B253&lt;=25),2,0)+IF(AND(ISNUMBER(E253),E253&lt;=5),2,0)+IF(AND(ISNUMBER(F253),F253&lt;=1),2,0)+IF(AND(ISNUMBER(G253),G253&lt;=2),1,0)+IF(AND(ISNUMBER(H253),H253&lt;=2),1,0)</f>
        <v>0</v>
      </c>
      <c r="J253" s="2" t="str">
        <f aca="false">IF(I253&gt;=6,"High",IF(I253&gt;=3,"Medium","Low"))</f>
        <v>Low</v>
      </c>
    </row>
    <row r="254" customFormat="false" ht="15" hidden="false" customHeight="true" outlineLevel="0" collapsed="false">
      <c r="A254" s="2" t="n">
        <f aca="false">'Raw Data'!H254</f>
        <v>253</v>
      </c>
      <c r="B254" s="2" t="n">
        <f aca="false">'Raw Data'!A254</f>
        <v>54</v>
      </c>
      <c r="C254" s="2" t="str">
        <f aca="false">'Raw Data'!D254</f>
        <v>Research &amp; Development</v>
      </c>
      <c r="D254" s="2" t="str">
        <f aca="false">'Raw Data'!K254</f>
        <v>Sales Executive</v>
      </c>
      <c r="E254" s="2" t="n">
        <f aca="false">'Raw Data'!Q254</f>
        <v>16</v>
      </c>
      <c r="F254" s="2" t="n">
        <f aca="false">'Raw Data'!U254</f>
        <v>1</v>
      </c>
      <c r="G254" s="2" t="n">
        <f aca="false">'Raw Data'!W254</f>
        <v>2</v>
      </c>
      <c r="H254" s="2" t="n">
        <f aca="false">'Raw Data'!V254</f>
        <v>3</v>
      </c>
      <c r="I254" s="2" t="n">
        <f aca="false">IF(AND(ISNUMBER(B254),B254&lt;=25),2,0)+IF(AND(ISNUMBER(E254),E254&lt;=5),2,0)+IF(AND(ISNUMBER(F254),F254&lt;=1),2,0)+IF(AND(ISNUMBER(G254),G254&lt;=2),1,0)+IF(AND(ISNUMBER(H254),H254&lt;=2),1,0)</f>
        <v>3</v>
      </c>
      <c r="J254" s="2" t="str">
        <f aca="false">IF(I254&gt;=6,"High",IF(I254&gt;=3,"Medium","Low"))</f>
        <v>Medium</v>
      </c>
    </row>
    <row r="255" customFormat="false" ht="15" hidden="false" customHeight="true" outlineLevel="0" collapsed="false">
      <c r="A255" s="2" t="n">
        <f aca="false">'Raw Data'!H255</f>
        <v>254</v>
      </c>
      <c r="B255" s="2" t="n">
        <f aca="false">'Raw Data'!A255</f>
        <v>36</v>
      </c>
      <c r="C255" s="2" t="str">
        <f aca="false">'Raw Data'!D255</f>
        <v>Research &amp; Development</v>
      </c>
      <c r="D255" s="2" t="str">
        <f aca="false">'Raw Data'!K255</f>
        <v>Research Scientist</v>
      </c>
      <c r="E255" s="2" t="n">
        <f aca="false">'Raw Data'!Q255</f>
        <v>13</v>
      </c>
      <c r="F255" s="2" t="n">
        <f aca="false">'Raw Data'!U255</f>
        <v>2</v>
      </c>
      <c r="G255" s="2" t="n">
        <f aca="false">'Raw Data'!W255</f>
        <v>2</v>
      </c>
      <c r="H255" s="2" t="n">
        <f aca="false">'Raw Data'!V255</f>
        <v>2</v>
      </c>
      <c r="I255" s="2" t="n">
        <f aca="false">IF(AND(ISNUMBER(B255),B255&lt;=25),2,0)+IF(AND(ISNUMBER(E255),E255&lt;=5),2,0)+IF(AND(ISNUMBER(F255),F255&lt;=1),2,0)+IF(AND(ISNUMBER(G255),G255&lt;=2),1,0)+IF(AND(ISNUMBER(H255),H255&lt;=2),1,0)</f>
        <v>2</v>
      </c>
      <c r="J255" s="2" t="str">
        <f aca="false">IF(I255&gt;=6,"High",IF(I255&gt;=3,"Medium","Low"))</f>
        <v>Low</v>
      </c>
    </row>
    <row r="256" customFormat="false" ht="15" hidden="false" customHeight="true" outlineLevel="0" collapsed="false">
      <c r="A256" s="2" t="n">
        <f aca="false">'Raw Data'!H256</f>
        <v>255</v>
      </c>
      <c r="B256" s="2" t="n">
        <f aca="false">'Raw Data'!A256</f>
        <v>27</v>
      </c>
      <c r="C256" s="2" t="str">
        <f aca="false">'Raw Data'!D256</f>
        <v>Sales</v>
      </c>
      <c r="D256" s="2" t="str">
        <f aca="false">'Raw Data'!K256</f>
        <v>Research Director</v>
      </c>
      <c r="E256" s="2" t="n">
        <f aca="false">'Raw Data'!Q256</f>
        <v>5</v>
      </c>
      <c r="F256" s="2" t="n">
        <f aca="false">'Raw Data'!U256</f>
        <v>1</v>
      </c>
      <c r="G256" s="2" t="n">
        <f aca="false">'Raw Data'!W256</f>
        <v>4</v>
      </c>
      <c r="H256" s="2" t="n">
        <f aca="false">'Raw Data'!V256</f>
        <v>1</v>
      </c>
      <c r="I256" s="2" t="n">
        <f aca="false">IF(AND(ISNUMBER(B256),B256&lt;=25),2,0)+IF(AND(ISNUMBER(E256),E256&lt;=5),2,0)+IF(AND(ISNUMBER(F256),F256&lt;=1),2,0)+IF(AND(ISNUMBER(G256),G256&lt;=2),1,0)+IF(AND(ISNUMBER(H256),H256&lt;=2),1,0)</f>
        <v>5</v>
      </c>
      <c r="J256" s="2" t="str">
        <f aca="false">IF(I256&gt;=6,"High",IF(I256&gt;=3,"Medium","Low"))</f>
        <v>Medium</v>
      </c>
    </row>
    <row r="257" customFormat="false" ht="15" hidden="false" customHeight="true" outlineLevel="0" collapsed="false">
      <c r="A257" s="2" t="n">
        <f aca="false">'Raw Data'!H257</f>
        <v>256</v>
      </c>
      <c r="B257" s="2" t="n">
        <f aca="false">'Raw Data'!A257</f>
        <v>20</v>
      </c>
      <c r="C257" s="2" t="str">
        <f aca="false">'Raw Data'!D257</f>
        <v>Research &amp; Development</v>
      </c>
      <c r="D257" s="2" t="str">
        <f aca="false">'Raw Data'!K257</f>
        <v>Sales Representative</v>
      </c>
      <c r="E257" s="2" t="n">
        <f aca="false">'Raw Data'!Q257</f>
        <v>1</v>
      </c>
      <c r="F257" s="2" t="n">
        <f aca="false">'Raw Data'!U257</f>
        <v>1</v>
      </c>
      <c r="G257" s="2" t="n">
        <f aca="false">'Raw Data'!W257</f>
        <v>3</v>
      </c>
      <c r="H257" s="2" t="n">
        <f aca="false">'Raw Data'!V257</f>
        <v>4</v>
      </c>
      <c r="I257" s="2" t="n">
        <f aca="false">IF(AND(ISNUMBER(B257),B257&lt;=25),2,0)+IF(AND(ISNUMBER(E257),E257&lt;=5),2,0)+IF(AND(ISNUMBER(F257),F257&lt;=1),2,0)+IF(AND(ISNUMBER(G257),G257&lt;=2),1,0)+IF(AND(ISNUMBER(H257),H257&lt;=2),1,0)</f>
        <v>6</v>
      </c>
      <c r="J257" s="2" t="str">
        <f aca="false">IF(I257&gt;=6,"High",IF(I257&gt;=3,"Medium","Low"))</f>
        <v>High</v>
      </c>
    </row>
    <row r="258" customFormat="false" ht="15" hidden="false" customHeight="true" outlineLevel="0" collapsed="false">
      <c r="A258" s="2" t="n">
        <f aca="false">'Raw Data'!H258</f>
        <v>257</v>
      </c>
      <c r="B258" s="2" t="n">
        <f aca="false">'Raw Data'!A258</f>
        <v>33</v>
      </c>
      <c r="C258" s="2" t="str">
        <f aca="false">'Raw Data'!D258</f>
        <v>Research &amp; Development</v>
      </c>
      <c r="D258" s="2" t="str">
        <f aca="false">'Raw Data'!K258</f>
        <v>Laboratory Technician</v>
      </c>
      <c r="E258" s="2" t="n">
        <f aca="false">'Raw Data'!Q258</f>
        <v>10</v>
      </c>
      <c r="F258" s="2" t="n">
        <f aca="false">'Raw Data'!U258</f>
        <v>7</v>
      </c>
      <c r="G258" s="2" t="n">
        <f aca="false">'Raw Data'!W258</f>
        <v>1</v>
      </c>
      <c r="H258" s="2" t="n">
        <f aca="false">'Raw Data'!V258</f>
        <v>1</v>
      </c>
      <c r="I258" s="2" t="n">
        <f aca="false">IF(AND(ISNUMBER(B258),B258&lt;=25),2,0)+IF(AND(ISNUMBER(E258),E258&lt;=5),2,0)+IF(AND(ISNUMBER(F258),F258&lt;=1),2,0)+IF(AND(ISNUMBER(G258),G258&lt;=2),1,0)+IF(AND(ISNUMBER(H258),H258&lt;=2),1,0)</f>
        <v>2</v>
      </c>
      <c r="J258" s="2" t="str">
        <f aca="false">IF(I258&gt;=6,"High",IF(I258&gt;=3,"Medium","Low"))</f>
        <v>Low</v>
      </c>
    </row>
    <row r="259" customFormat="false" ht="15" hidden="false" customHeight="true" outlineLevel="0" collapsed="false">
      <c r="A259" s="2" t="n">
        <f aca="false">'Raw Data'!H259</f>
        <v>258</v>
      </c>
      <c r="B259" s="2" t="n">
        <f aca="false">'Raw Data'!A259</f>
        <v>35</v>
      </c>
      <c r="C259" s="2" t="str">
        <f aca="false">'Raw Data'!D259</f>
        <v>Research &amp; Development</v>
      </c>
      <c r="D259" s="2" t="str">
        <f aca="false">'Raw Data'!K259</f>
        <v>Research Scientist</v>
      </c>
      <c r="E259" s="2" t="n">
        <f aca="false">'Raw Data'!Q259</f>
        <v>1</v>
      </c>
      <c r="F259" s="2" t="n">
        <f aca="false">'Raw Data'!U259</f>
        <v>0</v>
      </c>
      <c r="G259" s="2" t="n">
        <f aca="false">'Raw Data'!W259</f>
        <v>3</v>
      </c>
      <c r="H259" s="2" t="n">
        <f aca="false">'Raw Data'!V259</f>
        <v>3</v>
      </c>
      <c r="I259" s="2" t="n">
        <f aca="false">IF(AND(ISNUMBER(B259),B259&lt;=25),2,0)+IF(AND(ISNUMBER(E259),E259&lt;=5),2,0)+IF(AND(ISNUMBER(F259),F259&lt;=1),2,0)+IF(AND(ISNUMBER(G259),G259&lt;=2),1,0)+IF(AND(ISNUMBER(H259),H259&lt;=2),1,0)</f>
        <v>4</v>
      </c>
      <c r="J259" s="2" t="str">
        <f aca="false">IF(I259&gt;=6,"High",IF(I259&gt;=3,"Medium","Low"))</f>
        <v>Medium</v>
      </c>
    </row>
    <row r="260" customFormat="false" ht="15" hidden="false" customHeight="true" outlineLevel="0" collapsed="false">
      <c r="A260" s="2" t="n">
        <f aca="false">'Raw Data'!H260</f>
        <v>259</v>
      </c>
      <c r="B260" s="2" t="n">
        <f aca="false">'Raw Data'!A260</f>
        <v>23</v>
      </c>
      <c r="C260" s="2" t="str">
        <f aca="false">'Raw Data'!D260</f>
        <v>Research &amp; Development</v>
      </c>
      <c r="D260" s="2" t="str">
        <f aca="false">'Raw Data'!K260</f>
        <v>Healthcare Representative</v>
      </c>
      <c r="E260" s="2" t="n">
        <f aca="false">'Raw Data'!Q260</f>
        <v>5</v>
      </c>
      <c r="F260" s="2" t="n">
        <f aca="false">'Raw Data'!U260</f>
        <v>2</v>
      </c>
      <c r="G260" s="2" t="n">
        <f aca="false">'Raw Data'!W260</f>
        <v>1</v>
      </c>
      <c r="H260" s="2" t="n">
        <f aca="false">'Raw Data'!V260</f>
        <v>1</v>
      </c>
      <c r="I260" s="2" t="n">
        <f aca="false">IF(AND(ISNUMBER(B260),B260&lt;=25),2,0)+IF(AND(ISNUMBER(E260),E260&lt;=5),2,0)+IF(AND(ISNUMBER(F260),F260&lt;=1),2,0)+IF(AND(ISNUMBER(G260),G260&lt;=2),1,0)+IF(AND(ISNUMBER(H260),H260&lt;=2),1,0)</f>
        <v>6</v>
      </c>
      <c r="J260" s="2" t="str">
        <f aca="false">IF(I260&gt;=6,"High",IF(I260&gt;=3,"Medium","Low"))</f>
        <v>High</v>
      </c>
    </row>
    <row r="261" customFormat="false" ht="15" hidden="false" customHeight="true" outlineLevel="0" collapsed="false">
      <c r="A261" s="2" t="n">
        <f aca="false">'Raw Data'!H261</f>
        <v>260</v>
      </c>
      <c r="B261" s="2" t="n">
        <f aca="false">'Raw Data'!A261</f>
        <v>25</v>
      </c>
      <c r="C261" s="2" t="str">
        <f aca="false">'Raw Data'!D261</f>
        <v>Research &amp; Development</v>
      </c>
      <c r="D261" s="2" t="str">
        <f aca="false">'Raw Data'!K261</f>
        <v>Manufacturing Director</v>
      </c>
      <c r="E261" s="2" t="n">
        <f aca="false">'Raw Data'!Q261</f>
        <v>4</v>
      </c>
      <c r="F261" s="2" t="n">
        <f aca="false">'Raw Data'!U261</f>
        <v>2</v>
      </c>
      <c r="G261" s="2" t="n">
        <f aca="false">'Raw Data'!W261</f>
        <v>2</v>
      </c>
      <c r="H261" s="2" t="n">
        <f aca="false">'Raw Data'!V261</f>
        <v>4</v>
      </c>
      <c r="I261" s="2" t="n">
        <f aca="false">IF(AND(ISNUMBER(B261),B261&lt;=25),2,0)+IF(AND(ISNUMBER(E261),E261&lt;=5),2,0)+IF(AND(ISNUMBER(F261),F261&lt;=1),2,0)+IF(AND(ISNUMBER(G261),G261&lt;=2),1,0)+IF(AND(ISNUMBER(H261),H261&lt;=2),1,0)</f>
        <v>5</v>
      </c>
      <c r="J261" s="2" t="str">
        <f aca="false">IF(I261&gt;=6,"High",IF(I261&gt;=3,"Medium","Low"))</f>
        <v>Medium</v>
      </c>
    </row>
    <row r="262" customFormat="false" ht="15" hidden="false" customHeight="true" outlineLevel="0" collapsed="false">
      <c r="A262" s="2" t="n">
        <f aca="false">'Raw Data'!H262</f>
        <v>261</v>
      </c>
      <c r="B262" s="2" t="n">
        <f aca="false">'Raw Data'!A262</f>
        <v>38</v>
      </c>
      <c r="C262" s="2" t="str">
        <f aca="false">'Raw Data'!D262</f>
        <v>Research &amp; Development</v>
      </c>
      <c r="D262" s="2" t="str">
        <f aca="false">'Raw Data'!K262</f>
        <v>Research Scientist</v>
      </c>
      <c r="E262" s="2" t="n">
        <f aca="false">'Raw Data'!Q262</f>
        <v>8</v>
      </c>
      <c r="F262" s="2" t="n">
        <f aca="false">'Raw Data'!U262</f>
        <v>5</v>
      </c>
      <c r="G262" s="2" t="n">
        <f aca="false">'Raw Data'!W262</f>
        <v>4</v>
      </c>
      <c r="H262" s="2" t="n">
        <f aca="false">'Raw Data'!V262</f>
        <v>4</v>
      </c>
      <c r="I262" s="2" t="n">
        <f aca="false">IF(AND(ISNUMBER(B262),B262&lt;=25),2,0)+IF(AND(ISNUMBER(E262),E262&lt;=5),2,0)+IF(AND(ISNUMBER(F262),F262&lt;=1),2,0)+IF(AND(ISNUMBER(G262),G262&lt;=2),1,0)+IF(AND(ISNUMBER(H262),H262&lt;=2),1,0)</f>
        <v>0</v>
      </c>
      <c r="J262" s="2" t="str">
        <f aca="false">IF(I262&gt;=6,"High",IF(I262&gt;=3,"Medium","Low"))</f>
        <v>Low</v>
      </c>
    </row>
    <row r="263" customFormat="false" ht="15" hidden="false" customHeight="true" outlineLevel="0" collapsed="false">
      <c r="A263" s="2" t="n">
        <f aca="false">'Raw Data'!H263</f>
        <v>262</v>
      </c>
      <c r="B263" s="2" t="n">
        <f aca="false">'Raw Data'!A263</f>
        <v>29</v>
      </c>
      <c r="C263" s="2" t="str">
        <f aca="false">'Raw Data'!D263</f>
        <v>Sales</v>
      </c>
      <c r="D263" s="2" t="str">
        <f aca="false">'Raw Data'!K263</f>
        <v>Healthcare Representative</v>
      </c>
      <c r="E263" s="2" t="n">
        <f aca="false">'Raw Data'!Q263</f>
        <v>10</v>
      </c>
      <c r="F263" s="2" t="n">
        <f aca="false">'Raw Data'!U263</f>
        <v>8</v>
      </c>
      <c r="G263" s="2" t="n">
        <f aca="false">'Raw Data'!W263</f>
        <v>4</v>
      </c>
      <c r="H263" s="2" t="n">
        <f aca="false">'Raw Data'!V263</f>
        <v>2</v>
      </c>
      <c r="I263" s="2" t="n">
        <f aca="false">IF(AND(ISNUMBER(B263),B263&lt;=25),2,0)+IF(AND(ISNUMBER(E263),E263&lt;=5),2,0)+IF(AND(ISNUMBER(F263),F263&lt;=1),2,0)+IF(AND(ISNUMBER(G263),G263&lt;=2),1,0)+IF(AND(ISNUMBER(H263),H263&lt;=2),1,0)</f>
        <v>1</v>
      </c>
      <c r="J263" s="2" t="str">
        <f aca="false">IF(I263&gt;=6,"High",IF(I263&gt;=3,"Medium","Low"))</f>
        <v>Low</v>
      </c>
    </row>
    <row r="264" customFormat="false" ht="15" hidden="false" customHeight="true" outlineLevel="0" collapsed="false">
      <c r="A264" s="2" t="n">
        <f aca="false">'Raw Data'!H264</f>
        <v>263</v>
      </c>
      <c r="B264" s="2" t="n">
        <f aca="false">'Raw Data'!A264</f>
        <v>48</v>
      </c>
      <c r="C264" s="2" t="str">
        <f aca="false">'Raw Data'!D264</f>
        <v>Research &amp; Development</v>
      </c>
      <c r="D264" s="2" t="str">
        <f aca="false">'Raw Data'!K264</f>
        <v>Sales Executive</v>
      </c>
      <c r="E264" s="2" t="n">
        <f aca="false">'Raw Data'!Q264</f>
        <v>12</v>
      </c>
      <c r="F264" s="2" t="n">
        <f aca="false">'Raw Data'!U264</f>
        <v>2</v>
      </c>
      <c r="G264" s="2" t="n">
        <f aca="false">'Raw Data'!W264</f>
        <v>2</v>
      </c>
      <c r="H264" s="2" t="n">
        <f aca="false">'Raw Data'!V264</f>
        <v>2</v>
      </c>
      <c r="I264" s="2" t="n">
        <f aca="false">IF(AND(ISNUMBER(B264),B264&lt;=25),2,0)+IF(AND(ISNUMBER(E264),E264&lt;=5),2,0)+IF(AND(ISNUMBER(F264),F264&lt;=1),2,0)+IF(AND(ISNUMBER(G264),G264&lt;=2),1,0)+IF(AND(ISNUMBER(H264),H264&lt;=2),1,0)</f>
        <v>2</v>
      </c>
      <c r="J264" s="2" t="str">
        <f aca="false">IF(I264&gt;=6,"High",IF(I264&gt;=3,"Medium","Low"))</f>
        <v>Low</v>
      </c>
    </row>
    <row r="265" customFormat="false" ht="15" hidden="false" customHeight="true" outlineLevel="0" collapsed="false">
      <c r="A265" s="2" t="n">
        <f aca="false">'Raw Data'!H265</f>
        <v>264</v>
      </c>
      <c r="B265" s="2" t="n">
        <f aca="false">'Raw Data'!A265</f>
        <v>27</v>
      </c>
      <c r="C265" s="2" t="str">
        <f aca="false">'Raw Data'!D265</f>
        <v>Sales</v>
      </c>
      <c r="D265" s="2" t="str">
        <f aca="false">'Raw Data'!K265</f>
        <v>Laboratory Technician</v>
      </c>
      <c r="E265" s="2" t="n">
        <f aca="false">'Raw Data'!Q265</f>
        <v>6</v>
      </c>
      <c r="F265" s="2" t="n">
        <f aca="false">'Raw Data'!U265</f>
        <v>4</v>
      </c>
      <c r="G265" s="2" t="n">
        <f aca="false">'Raw Data'!W265</f>
        <v>4</v>
      </c>
      <c r="H265" s="2" t="n">
        <f aca="false">'Raw Data'!V265</f>
        <v>4</v>
      </c>
      <c r="I265" s="2" t="n">
        <f aca="false">IF(AND(ISNUMBER(B265),B265&lt;=25),2,0)+IF(AND(ISNUMBER(E265),E265&lt;=5),2,0)+IF(AND(ISNUMBER(F265),F265&lt;=1),2,0)+IF(AND(ISNUMBER(G265),G265&lt;=2),1,0)+IF(AND(ISNUMBER(H265),H265&lt;=2),1,0)</f>
        <v>0</v>
      </c>
      <c r="J265" s="2" t="str">
        <f aca="false">IF(I265&gt;=6,"High",IF(I265&gt;=3,"Medium","Low"))</f>
        <v>Low</v>
      </c>
    </row>
    <row r="266" customFormat="false" ht="15" hidden="false" customHeight="true" outlineLevel="0" collapsed="false">
      <c r="A266" s="2" t="n">
        <f aca="false">'Raw Data'!H266</f>
        <v>265</v>
      </c>
      <c r="B266" s="2" t="n">
        <f aca="false">'Raw Data'!A266</f>
        <v>37</v>
      </c>
      <c r="C266" s="2" t="str">
        <f aca="false">'Raw Data'!D266</f>
        <v>Research &amp; Development</v>
      </c>
      <c r="D266" s="2" t="str">
        <f aca="false">'Raw Data'!K266</f>
        <v>Manager</v>
      </c>
      <c r="E266" s="2" t="n">
        <f aca="false">'Raw Data'!Q266</f>
        <v>4</v>
      </c>
      <c r="F266" s="2" t="n">
        <f aca="false">'Raw Data'!U266</f>
        <v>0</v>
      </c>
      <c r="G266" s="2" t="n">
        <f aca="false">'Raw Data'!W266</f>
        <v>4</v>
      </c>
      <c r="H266" s="2" t="n">
        <f aca="false">'Raw Data'!V266</f>
        <v>4</v>
      </c>
      <c r="I266" s="2" t="n">
        <f aca="false">IF(AND(ISNUMBER(B266),B266&lt;=25),2,0)+IF(AND(ISNUMBER(E266),E266&lt;=5),2,0)+IF(AND(ISNUMBER(F266),F266&lt;=1),2,0)+IF(AND(ISNUMBER(G266),G266&lt;=2),1,0)+IF(AND(ISNUMBER(H266),H266&lt;=2),1,0)</f>
        <v>4</v>
      </c>
      <c r="J266" s="2" t="str">
        <f aca="false">IF(I266&gt;=6,"High",IF(I266&gt;=3,"Medium","Low"))</f>
        <v>Medium</v>
      </c>
    </row>
    <row r="267" customFormat="false" ht="15" hidden="false" customHeight="true" outlineLevel="0" collapsed="false">
      <c r="A267" s="2" t="n">
        <f aca="false">'Raw Data'!H267</f>
        <v>266</v>
      </c>
      <c r="B267" s="2" t="n">
        <f aca="false">'Raw Data'!A267</f>
        <v>50</v>
      </c>
      <c r="C267" s="2" t="str">
        <f aca="false">'Raw Data'!D267</f>
        <v>Sales</v>
      </c>
      <c r="D267" s="2" t="str">
        <f aca="false">'Raw Data'!K267</f>
        <v>Laboratory Technician</v>
      </c>
      <c r="E267" s="2" t="n">
        <f aca="false">'Raw Data'!Q267</f>
        <v>20</v>
      </c>
      <c r="F267" s="2" t="n">
        <f aca="false">'Raw Data'!U267</f>
        <v>8</v>
      </c>
      <c r="G267" s="2" t="n">
        <f aca="false">'Raw Data'!W267</f>
        <v>3</v>
      </c>
      <c r="H267" s="2" t="n">
        <f aca="false">'Raw Data'!V267</f>
        <v>4</v>
      </c>
      <c r="I267" s="2" t="n">
        <f aca="false">IF(AND(ISNUMBER(B267),B267&lt;=25),2,0)+IF(AND(ISNUMBER(E267),E267&lt;=5),2,0)+IF(AND(ISNUMBER(F267),F267&lt;=1),2,0)+IF(AND(ISNUMBER(G267),G267&lt;=2),1,0)+IF(AND(ISNUMBER(H267),H267&lt;=2),1,0)</f>
        <v>0</v>
      </c>
      <c r="J267" s="2" t="str">
        <f aca="false">IF(I267&gt;=6,"High",IF(I267&gt;=3,"Medium","Low"))</f>
        <v>Low</v>
      </c>
    </row>
    <row r="268" customFormat="false" ht="15" hidden="false" customHeight="true" outlineLevel="0" collapsed="false">
      <c r="A268" s="2" t="n">
        <f aca="false">'Raw Data'!H268</f>
        <v>267</v>
      </c>
      <c r="B268" s="2" t="n">
        <f aca="false">'Raw Data'!A268</f>
        <v>34</v>
      </c>
      <c r="C268" s="2" t="str">
        <f aca="false">'Raw Data'!D268</f>
        <v>Research &amp; Development</v>
      </c>
      <c r="D268" s="2" t="str">
        <f aca="false">'Raw Data'!K268</f>
        <v>Healthcare Representative</v>
      </c>
      <c r="E268" s="2" t="n">
        <f aca="false">'Raw Data'!Q268</f>
        <v>9</v>
      </c>
      <c r="F268" s="2" t="n">
        <f aca="false">'Raw Data'!U268</f>
        <v>7</v>
      </c>
      <c r="G268" s="2" t="n">
        <f aca="false">'Raw Data'!W268</f>
        <v>2</v>
      </c>
      <c r="H268" s="2" t="n">
        <f aca="false">'Raw Data'!V268</f>
        <v>4</v>
      </c>
      <c r="I268" s="2" t="n">
        <f aca="false">IF(AND(ISNUMBER(B268),B268&lt;=25),2,0)+IF(AND(ISNUMBER(E268),E268&lt;=5),2,0)+IF(AND(ISNUMBER(F268),F268&lt;=1),2,0)+IF(AND(ISNUMBER(G268),G268&lt;=2),1,0)+IF(AND(ISNUMBER(H268),H268&lt;=2),1,0)</f>
        <v>1</v>
      </c>
      <c r="J268" s="2" t="str">
        <f aca="false">IF(I268&gt;=6,"High",IF(I268&gt;=3,"Medium","Low"))</f>
        <v>Low</v>
      </c>
    </row>
    <row r="269" customFormat="false" ht="15" hidden="false" customHeight="true" outlineLevel="0" collapsed="false">
      <c r="A269" s="2" t="n">
        <f aca="false">'Raw Data'!H269</f>
        <v>268</v>
      </c>
      <c r="B269" s="2" t="n">
        <f aca="false">'Raw Data'!A269</f>
        <v>24</v>
      </c>
      <c r="C269" s="2" t="str">
        <f aca="false">'Raw Data'!D269</f>
        <v>Research &amp; Development</v>
      </c>
      <c r="D269" s="2" t="str">
        <f aca="false">'Raw Data'!K269</f>
        <v>Healthcare Representative</v>
      </c>
      <c r="E269" s="2" t="n">
        <f aca="false">'Raw Data'!Q269</f>
        <v>4</v>
      </c>
      <c r="F269" s="2" t="n">
        <f aca="false">'Raw Data'!U269</f>
        <v>0</v>
      </c>
      <c r="G269" s="2" t="n">
        <f aca="false">'Raw Data'!W269</f>
        <v>3</v>
      </c>
      <c r="H269" s="2" t="n">
        <f aca="false">'Raw Data'!V269</f>
        <v>1</v>
      </c>
      <c r="I269" s="2" t="n">
        <f aca="false">IF(AND(ISNUMBER(B269),B269&lt;=25),2,0)+IF(AND(ISNUMBER(E269),E269&lt;=5),2,0)+IF(AND(ISNUMBER(F269),F269&lt;=1),2,0)+IF(AND(ISNUMBER(G269),G269&lt;=2),1,0)+IF(AND(ISNUMBER(H269),H269&lt;=2),1,0)</f>
        <v>7</v>
      </c>
      <c r="J269" s="2" t="str">
        <f aca="false">IF(I269&gt;=6,"High",IF(I269&gt;=3,"Medium","Low"))</f>
        <v>High</v>
      </c>
    </row>
    <row r="270" customFormat="false" ht="15" hidden="false" customHeight="true" outlineLevel="0" collapsed="false">
      <c r="A270" s="2" t="n">
        <f aca="false">'Raw Data'!H270</f>
        <v>269</v>
      </c>
      <c r="B270" s="2" t="n">
        <f aca="false">'Raw Data'!A270</f>
        <v>39</v>
      </c>
      <c r="C270" s="2" t="str">
        <f aca="false">'Raw Data'!D270</f>
        <v>Research &amp; Development</v>
      </c>
      <c r="D270" s="2" t="str">
        <f aca="false">'Raw Data'!K270</f>
        <v>Sales Representative</v>
      </c>
      <c r="E270" s="2" t="n">
        <f aca="false">'Raw Data'!Q270</f>
        <v>20</v>
      </c>
      <c r="F270" s="2" t="n">
        <f aca="false">'Raw Data'!U270</f>
        <v>10</v>
      </c>
      <c r="G270" s="2" t="n">
        <f aca="false">'Raw Data'!W270</f>
        <v>3</v>
      </c>
      <c r="H270" s="2" t="n">
        <f aca="false">'Raw Data'!V270</f>
        <v>4</v>
      </c>
      <c r="I270" s="2" t="n">
        <f aca="false">IF(AND(ISNUMBER(B270),B270&lt;=25),2,0)+IF(AND(ISNUMBER(E270),E270&lt;=5),2,0)+IF(AND(ISNUMBER(F270),F270&lt;=1),2,0)+IF(AND(ISNUMBER(G270),G270&lt;=2),1,0)+IF(AND(ISNUMBER(H270),H270&lt;=2),1,0)</f>
        <v>0</v>
      </c>
      <c r="J270" s="2" t="str">
        <f aca="false">IF(I270&gt;=6,"High",IF(I270&gt;=3,"Medium","Low"))</f>
        <v>Low</v>
      </c>
    </row>
    <row r="271" customFormat="false" ht="15" hidden="false" customHeight="true" outlineLevel="0" collapsed="false">
      <c r="A271" s="2" t="n">
        <f aca="false">'Raw Data'!H271</f>
        <v>270</v>
      </c>
      <c r="B271" s="2" t="n">
        <f aca="false">'Raw Data'!A271</f>
        <v>32</v>
      </c>
      <c r="C271" s="2" t="str">
        <f aca="false">'Raw Data'!D271</f>
        <v>Research &amp; Development</v>
      </c>
      <c r="D271" s="2" t="str">
        <f aca="false">'Raw Data'!K271</f>
        <v>Research Scientist</v>
      </c>
      <c r="E271" s="2" t="n">
        <f aca="false">'Raw Data'!Q271</f>
        <v>10</v>
      </c>
      <c r="F271" s="2" t="n">
        <f aca="false">'Raw Data'!U271</f>
        <v>8</v>
      </c>
      <c r="G271" s="2" t="n">
        <f aca="false">'Raw Data'!W271</f>
        <v>4</v>
      </c>
      <c r="H271" s="2" t="n">
        <f aca="false">'Raw Data'!V271</f>
        <v>4</v>
      </c>
      <c r="I271" s="2" t="n">
        <f aca="false">IF(AND(ISNUMBER(B271),B271&lt;=25),2,0)+IF(AND(ISNUMBER(E271),E271&lt;=5),2,0)+IF(AND(ISNUMBER(F271),F271&lt;=1),2,0)+IF(AND(ISNUMBER(G271),G271&lt;=2),1,0)+IF(AND(ISNUMBER(H271),H271&lt;=2),1,0)</f>
        <v>0</v>
      </c>
      <c r="J271" s="2" t="str">
        <f aca="false">IF(I271&gt;=6,"High",IF(I271&gt;=3,"Medium","Low"))</f>
        <v>Low</v>
      </c>
    </row>
    <row r="272" customFormat="false" ht="15" hidden="false" customHeight="true" outlineLevel="0" collapsed="false">
      <c r="A272" s="2" t="n">
        <f aca="false">'Raw Data'!H272</f>
        <v>271</v>
      </c>
      <c r="B272" s="2" t="n">
        <f aca="false">'Raw Data'!A272</f>
        <v>50</v>
      </c>
      <c r="C272" s="2" t="str">
        <f aca="false">'Raw Data'!D272</f>
        <v>Research &amp; Development</v>
      </c>
      <c r="D272" s="2" t="str">
        <f aca="false">'Raw Data'!K272</f>
        <v>Sales Representative</v>
      </c>
      <c r="E272" s="2" t="n">
        <f aca="false">'Raw Data'!Q272</f>
        <v>18</v>
      </c>
      <c r="F272" s="2" t="n">
        <f aca="false">'Raw Data'!U272</f>
        <v>3</v>
      </c>
      <c r="G272" s="2" t="n">
        <f aca="false">'Raw Data'!W272</f>
        <v>3</v>
      </c>
      <c r="H272" s="2" t="n">
        <f aca="false">'Raw Data'!V272</f>
        <v>2</v>
      </c>
      <c r="I272" s="2" t="n">
        <f aca="false">IF(AND(ISNUMBER(B272),B272&lt;=25),2,0)+IF(AND(ISNUMBER(E272),E272&lt;=5),2,0)+IF(AND(ISNUMBER(F272),F272&lt;=1),2,0)+IF(AND(ISNUMBER(G272),G272&lt;=2),1,0)+IF(AND(ISNUMBER(H272),H272&lt;=2),1,0)</f>
        <v>1</v>
      </c>
      <c r="J272" s="2" t="str">
        <f aca="false">IF(I272&gt;=6,"High",IF(I272&gt;=3,"Medium","Low"))</f>
        <v>Low</v>
      </c>
    </row>
    <row r="273" customFormat="false" ht="15" hidden="false" customHeight="true" outlineLevel="0" collapsed="false">
      <c r="A273" s="2" t="n">
        <f aca="false">'Raw Data'!H273</f>
        <v>272</v>
      </c>
      <c r="B273" s="2" t="n">
        <f aca="false">'Raw Data'!A273</f>
        <v>38</v>
      </c>
      <c r="C273" s="2" t="str">
        <f aca="false">'Raw Data'!D273</f>
        <v>Research &amp; Development</v>
      </c>
      <c r="D273" s="2" t="str">
        <f aca="false">'Raw Data'!K273</f>
        <v>Sales Executive</v>
      </c>
      <c r="E273" s="2" t="n">
        <f aca="false">'Raw Data'!Q273</f>
        <v>10</v>
      </c>
      <c r="F273" s="2" t="n">
        <f aca="false">'Raw Data'!U273</f>
        <v>8</v>
      </c>
      <c r="G273" s="2" t="n">
        <f aca="false">'Raw Data'!W273</f>
        <v>4</v>
      </c>
      <c r="H273" s="2" t="n">
        <f aca="false">'Raw Data'!V273</f>
        <v>2</v>
      </c>
      <c r="I273" s="2" t="n">
        <f aca="false">IF(AND(ISNUMBER(B273),B273&lt;=25),2,0)+IF(AND(ISNUMBER(E273),E273&lt;=5),2,0)+IF(AND(ISNUMBER(F273),F273&lt;=1),2,0)+IF(AND(ISNUMBER(G273),G273&lt;=2),1,0)+IF(AND(ISNUMBER(H273),H273&lt;=2),1,0)</f>
        <v>1</v>
      </c>
      <c r="J273" s="2" t="str">
        <f aca="false">IF(I273&gt;=6,"High",IF(I273&gt;=3,"Medium","Low"))</f>
        <v>Low</v>
      </c>
    </row>
    <row r="274" customFormat="false" ht="15" hidden="false" customHeight="true" outlineLevel="0" collapsed="false">
      <c r="A274" s="2" t="n">
        <f aca="false">'Raw Data'!H274</f>
        <v>273</v>
      </c>
      <c r="B274" s="2" t="n">
        <f aca="false">'Raw Data'!A274</f>
        <v>27</v>
      </c>
      <c r="C274" s="2" t="str">
        <f aca="false">'Raw Data'!D274</f>
        <v>Research &amp; Development</v>
      </c>
      <c r="D274" s="2" t="str">
        <f aca="false">'Raw Data'!K274</f>
        <v>Research Scientist</v>
      </c>
      <c r="E274" s="2" t="n">
        <f aca="false">'Raw Data'!Q274</f>
        <v>9</v>
      </c>
      <c r="F274" s="2" t="n">
        <f aca="false">'Raw Data'!U274</f>
        <v>7</v>
      </c>
      <c r="G274" s="2" t="n">
        <f aca="false">'Raw Data'!W274</f>
        <v>1</v>
      </c>
      <c r="H274" s="2" t="n">
        <f aca="false">'Raw Data'!V274</f>
        <v>3</v>
      </c>
      <c r="I274" s="2" t="n">
        <f aca="false">IF(AND(ISNUMBER(B274),B274&lt;=25),2,0)+IF(AND(ISNUMBER(E274),E274&lt;=5),2,0)+IF(AND(ISNUMBER(F274),F274&lt;=1),2,0)+IF(AND(ISNUMBER(G274),G274&lt;=2),1,0)+IF(AND(ISNUMBER(H274),H274&lt;=2),1,0)</f>
        <v>1</v>
      </c>
      <c r="J274" s="2" t="str">
        <f aca="false">IF(I274&gt;=6,"High",IF(I274&gt;=3,"Medium","Low"))</f>
        <v>Low</v>
      </c>
    </row>
    <row r="275" customFormat="false" ht="15" hidden="false" customHeight="true" outlineLevel="0" collapsed="false">
      <c r="A275" s="2" t="n">
        <f aca="false">'Raw Data'!H275</f>
        <v>274</v>
      </c>
      <c r="B275" s="2" t="n">
        <f aca="false">'Raw Data'!A275</f>
        <v>32</v>
      </c>
      <c r="C275" s="2" t="str">
        <f aca="false">'Raw Data'!D275</f>
        <v>Sales</v>
      </c>
      <c r="D275" s="2" t="str">
        <f aca="false">'Raw Data'!K275</f>
        <v>Sales Executive</v>
      </c>
      <c r="E275" s="2" t="n">
        <f aca="false">'Raw Data'!Q275</f>
        <v>10</v>
      </c>
      <c r="F275" s="2" t="n">
        <f aca="false">'Raw Data'!U275</f>
        <v>7</v>
      </c>
      <c r="G275" s="2" t="n">
        <f aca="false">'Raw Data'!W275</f>
        <v>4</v>
      </c>
      <c r="H275" s="2" t="n">
        <f aca="false">'Raw Data'!V275</f>
        <v>3</v>
      </c>
      <c r="I275" s="2" t="n">
        <f aca="false">IF(AND(ISNUMBER(B275),B275&lt;=25),2,0)+IF(AND(ISNUMBER(E275),E275&lt;=5),2,0)+IF(AND(ISNUMBER(F275),F275&lt;=1),2,0)+IF(AND(ISNUMBER(G275),G275&lt;=2),1,0)+IF(AND(ISNUMBER(H275),H275&lt;=2),1,0)</f>
        <v>0</v>
      </c>
      <c r="J275" s="2" t="str">
        <f aca="false">IF(I275&gt;=6,"High",IF(I275&gt;=3,"Medium","Low"))</f>
        <v>Low</v>
      </c>
    </row>
    <row r="276" customFormat="false" ht="15" hidden="false" customHeight="true" outlineLevel="0" collapsed="false">
      <c r="A276" s="2" t="n">
        <f aca="false">'Raw Data'!H276</f>
        <v>275</v>
      </c>
      <c r="B276" s="2" t="n">
        <f aca="false">'Raw Data'!A276</f>
        <v>47</v>
      </c>
      <c r="C276" s="2" t="str">
        <f aca="false">'Raw Data'!D276</f>
        <v>Research &amp; Development</v>
      </c>
      <c r="D276" s="2" t="str">
        <f aca="false">'Raw Data'!K276</f>
        <v>Sales Executive</v>
      </c>
      <c r="E276" s="2" t="n">
        <f aca="false">'Raw Data'!Q276</f>
        <v>20</v>
      </c>
      <c r="F276" s="2" t="n">
        <f aca="false">'Raw Data'!U276</f>
        <v>7</v>
      </c>
      <c r="G276" s="2" t="n">
        <f aca="false">'Raw Data'!W276</f>
        <v>1</v>
      </c>
      <c r="H276" s="2" t="n">
        <f aca="false">'Raw Data'!V276</f>
        <v>4</v>
      </c>
      <c r="I276" s="2" t="n">
        <f aca="false">IF(AND(ISNUMBER(B276),B276&lt;=25),2,0)+IF(AND(ISNUMBER(E276),E276&lt;=5),2,0)+IF(AND(ISNUMBER(F276),F276&lt;=1),2,0)+IF(AND(ISNUMBER(G276),G276&lt;=2),1,0)+IF(AND(ISNUMBER(H276),H276&lt;=2),1,0)</f>
        <v>1</v>
      </c>
      <c r="J276" s="2" t="str">
        <f aca="false">IF(I276&gt;=6,"High",IF(I276&gt;=3,"Medium","Low"))</f>
        <v>Low</v>
      </c>
    </row>
    <row r="277" customFormat="false" ht="15" hidden="false" customHeight="true" outlineLevel="0" collapsed="false">
      <c r="A277" s="2" t="n">
        <f aca="false">'Raw Data'!H277</f>
        <v>276</v>
      </c>
      <c r="B277" s="2" t="n">
        <f aca="false">'Raw Data'!A277</f>
        <v>40</v>
      </c>
      <c r="C277" s="2" t="str">
        <f aca="false">'Raw Data'!D277</f>
        <v>Research &amp; Development</v>
      </c>
      <c r="D277" s="2" t="str">
        <f aca="false">'Raw Data'!K277</f>
        <v>Human Resources</v>
      </c>
      <c r="E277" s="2" t="n">
        <f aca="false">'Raw Data'!Q277</f>
        <v>20</v>
      </c>
      <c r="F277" s="2" t="n">
        <f aca="false">'Raw Data'!U277</f>
        <v>12</v>
      </c>
      <c r="G277" s="2" t="n">
        <f aca="false">'Raw Data'!W277</f>
        <v>1</v>
      </c>
      <c r="H277" s="2" t="n">
        <f aca="false">'Raw Data'!V277</f>
        <v>4</v>
      </c>
      <c r="I277" s="2" t="n">
        <f aca="false">IF(AND(ISNUMBER(B277),B277&lt;=25),2,0)+IF(AND(ISNUMBER(E277),E277&lt;=5),2,0)+IF(AND(ISNUMBER(F277),F277&lt;=1),2,0)+IF(AND(ISNUMBER(G277),G277&lt;=2),1,0)+IF(AND(ISNUMBER(H277),H277&lt;=2),1,0)</f>
        <v>1</v>
      </c>
      <c r="J277" s="2" t="str">
        <f aca="false">IF(I277&gt;=6,"High",IF(I277&gt;=3,"Medium","Low"))</f>
        <v>Low</v>
      </c>
    </row>
    <row r="278" customFormat="false" ht="15" hidden="false" customHeight="true" outlineLevel="0" collapsed="false">
      <c r="A278" s="2" t="n">
        <f aca="false">'Raw Data'!H278</f>
        <v>277</v>
      </c>
      <c r="B278" s="2" t="n">
        <f aca="false">'Raw Data'!A278</f>
        <v>53</v>
      </c>
      <c r="C278" s="2" t="str">
        <f aca="false">'Raw Data'!D278</f>
        <v>Research &amp; Development</v>
      </c>
      <c r="D278" s="2" t="str">
        <f aca="false">'Raw Data'!K278</f>
        <v>Laboratory Technician</v>
      </c>
      <c r="E278" s="2" t="n">
        <f aca="false">'Raw Data'!Q278</f>
        <v>32</v>
      </c>
      <c r="F278" s="2" t="n">
        <f aca="false">'Raw Data'!U278</f>
        <v>3</v>
      </c>
      <c r="G278" s="2" t="n">
        <f aca="false">'Raw Data'!W278</f>
        <v>3</v>
      </c>
      <c r="H278" s="2" t="n">
        <f aca="false">'Raw Data'!V278</f>
        <v>3</v>
      </c>
      <c r="I278" s="2" t="n">
        <f aca="false">IF(AND(ISNUMBER(B278),B278&lt;=25),2,0)+IF(AND(ISNUMBER(E278),E278&lt;=5),2,0)+IF(AND(ISNUMBER(F278),F278&lt;=1),2,0)+IF(AND(ISNUMBER(G278),G278&lt;=2),1,0)+IF(AND(ISNUMBER(H278),H278&lt;=2),1,0)</f>
        <v>0</v>
      </c>
      <c r="J278" s="2" t="str">
        <f aca="false">IF(I278&gt;=6,"High",IF(I278&gt;=3,"Medium","Low"))</f>
        <v>Low</v>
      </c>
    </row>
    <row r="279" customFormat="false" ht="15" hidden="false" customHeight="true" outlineLevel="0" collapsed="false">
      <c r="A279" s="2" t="n">
        <f aca="false">'Raw Data'!H279</f>
        <v>278</v>
      </c>
      <c r="B279" s="2" t="n">
        <f aca="false">'Raw Data'!A279</f>
        <v>41</v>
      </c>
      <c r="C279" s="2" t="str">
        <f aca="false">'Raw Data'!D279</f>
        <v>Sales</v>
      </c>
      <c r="D279" s="2" t="str">
        <f aca="false">'Raw Data'!K279</f>
        <v>Sales Executive</v>
      </c>
      <c r="E279" s="2" t="n">
        <f aca="false">'Raw Data'!Q279</f>
        <v>23</v>
      </c>
      <c r="F279" s="2" t="n">
        <f aca="false">'Raw Data'!U279</f>
        <v>6</v>
      </c>
      <c r="G279" s="2" t="n">
        <f aca="false">'Raw Data'!W279</f>
        <v>4</v>
      </c>
      <c r="H279" s="2" t="n">
        <f aca="false">'Raw Data'!V279</f>
        <v>2</v>
      </c>
      <c r="I279" s="2" t="n">
        <f aca="false">IF(AND(ISNUMBER(B279),B279&lt;=25),2,0)+IF(AND(ISNUMBER(E279),E279&lt;=5),2,0)+IF(AND(ISNUMBER(F279),F279&lt;=1),2,0)+IF(AND(ISNUMBER(G279),G279&lt;=2),1,0)+IF(AND(ISNUMBER(H279),H279&lt;=2),1,0)</f>
        <v>1</v>
      </c>
      <c r="J279" s="2" t="str">
        <f aca="false">IF(I279&gt;=6,"High",IF(I279&gt;=3,"Medium","Low"))</f>
        <v>Low</v>
      </c>
    </row>
    <row r="280" customFormat="false" ht="15" hidden="false" customHeight="true" outlineLevel="0" collapsed="false">
      <c r="A280" s="2" t="n">
        <f aca="false">'Raw Data'!H280</f>
        <v>279</v>
      </c>
      <c r="B280" s="2" t="n">
        <f aca="false">'Raw Data'!A280</f>
        <v>60</v>
      </c>
      <c r="C280" s="2" t="str">
        <f aca="false">'Raw Data'!D280</f>
        <v>Research &amp; Development</v>
      </c>
      <c r="D280" s="2" t="str">
        <f aca="false">'Raw Data'!K280</f>
        <v>Laboratory Technician</v>
      </c>
      <c r="E280" s="2" t="n">
        <f aca="false">'Raw Data'!Q280</f>
        <v>10</v>
      </c>
      <c r="F280" s="2" t="n">
        <f aca="false">'Raw Data'!U280</f>
        <v>2</v>
      </c>
      <c r="G280" s="2" t="n">
        <f aca="false">'Raw Data'!W280</f>
        <v>1</v>
      </c>
      <c r="H280" s="2" t="n">
        <f aca="false">'Raw Data'!V280</f>
        <v>1</v>
      </c>
      <c r="I280" s="2" t="n">
        <f aca="false">IF(AND(ISNUMBER(B280),B280&lt;=25),2,0)+IF(AND(ISNUMBER(E280),E280&lt;=5),2,0)+IF(AND(ISNUMBER(F280),F280&lt;=1),2,0)+IF(AND(ISNUMBER(G280),G280&lt;=2),1,0)+IF(AND(ISNUMBER(H280),H280&lt;=2),1,0)</f>
        <v>2</v>
      </c>
      <c r="J280" s="2" t="str">
        <f aca="false">IF(I280&gt;=6,"High",IF(I280&gt;=3,"Medium","Low"))</f>
        <v>Low</v>
      </c>
    </row>
    <row r="281" customFormat="false" ht="15" hidden="false" customHeight="true" outlineLevel="0" collapsed="false">
      <c r="A281" s="2" t="n">
        <f aca="false">'Raw Data'!H281</f>
        <v>280</v>
      </c>
      <c r="B281" s="2" t="n">
        <f aca="false">'Raw Data'!A281</f>
        <v>27</v>
      </c>
      <c r="C281" s="2" t="str">
        <f aca="false">'Raw Data'!D281</f>
        <v>Research &amp; Development</v>
      </c>
      <c r="D281" s="2" t="str">
        <f aca="false">'Raw Data'!K281</f>
        <v>Manufacturing Director</v>
      </c>
      <c r="E281" s="2" t="n">
        <f aca="false">'Raw Data'!Q281</f>
        <v>9</v>
      </c>
      <c r="F281" s="2" t="n">
        <f aca="false">'Raw Data'!U281</f>
        <v>7</v>
      </c>
      <c r="G281" s="2" t="n">
        <f aca="false">'Raw Data'!W281</f>
        <v>1</v>
      </c>
      <c r="H281" s="2" t="n">
        <f aca="false">'Raw Data'!V281</f>
        <v>4</v>
      </c>
      <c r="I281" s="2" t="n">
        <f aca="false">IF(AND(ISNUMBER(B281),B281&lt;=25),2,0)+IF(AND(ISNUMBER(E281),E281&lt;=5),2,0)+IF(AND(ISNUMBER(F281),F281&lt;=1),2,0)+IF(AND(ISNUMBER(G281),G281&lt;=2),1,0)+IF(AND(ISNUMBER(H281),H281&lt;=2),1,0)</f>
        <v>1</v>
      </c>
      <c r="J281" s="2" t="str">
        <f aca="false">IF(I281&gt;=6,"High",IF(I281&gt;=3,"Medium","Low"))</f>
        <v>Low</v>
      </c>
    </row>
    <row r="282" customFormat="false" ht="15" hidden="false" customHeight="true" outlineLevel="0" collapsed="false">
      <c r="A282" s="2" t="n">
        <f aca="false">'Raw Data'!H282</f>
        <v>281</v>
      </c>
      <c r="B282" s="2" t="n">
        <f aca="false">'Raw Data'!A282</f>
        <v>41</v>
      </c>
      <c r="C282" s="2" t="str">
        <f aca="false">'Raw Data'!D282</f>
        <v>Research &amp; Development</v>
      </c>
      <c r="D282" s="2" t="str">
        <f aca="false">'Raw Data'!K282</f>
        <v>Manufacturing Director</v>
      </c>
      <c r="E282" s="2" t="n">
        <f aca="false">'Raw Data'!Q282</f>
        <v>22</v>
      </c>
      <c r="F282" s="2" t="n">
        <f aca="false">'Raw Data'!U282</f>
        <v>10</v>
      </c>
      <c r="G282" s="2" t="n">
        <f aca="false">'Raw Data'!W282</f>
        <v>3</v>
      </c>
      <c r="H282" s="2" t="n">
        <f aca="false">'Raw Data'!V282</f>
        <v>4</v>
      </c>
      <c r="I282" s="2" t="n">
        <f aca="false">IF(AND(ISNUMBER(B282),B282&lt;=25),2,0)+IF(AND(ISNUMBER(E282),E282&lt;=5),2,0)+IF(AND(ISNUMBER(F282),F282&lt;=1),2,0)+IF(AND(ISNUMBER(G282),G282&lt;=2),1,0)+IF(AND(ISNUMBER(H282),H282&lt;=2),1,0)</f>
        <v>0</v>
      </c>
      <c r="J282" s="2" t="str">
        <f aca="false">IF(I282&gt;=6,"High",IF(I282&gt;=3,"Medium","Low"))</f>
        <v>Low</v>
      </c>
    </row>
    <row r="283" customFormat="false" ht="15" hidden="false" customHeight="true" outlineLevel="0" collapsed="false">
      <c r="A283" s="2" t="n">
        <f aca="false">'Raw Data'!H283</f>
        <v>282</v>
      </c>
      <c r="B283" s="2" t="n">
        <f aca="false">'Raw Data'!A283</f>
        <v>50</v>
      </c>
      <c r="C283" s="2" t="str">
        <f aca="false">'Raw Data'!D283</f>
        <v>Sales</v>
      </c>
      <c r="D283" s="2" t="str">
        <f aca="false">'Raw Data'!K283</f>
        <v>Research Scientist</v>
      </c>
      <c r="E283" s="2" t="n">
        <f aca="false">'Raw Data'!Q283</f>
        <v>4</v>
      </c>
      <c r="F283" s="2" t="n">
        <f aca="false">'Raw Data'!U283</f>
        <v>2</v>
      </c>
      <c r="G283" s="2" t="n">
        <f aca="false">'Raw Data'!W283</f>
        <v>2</v>
      </c>
      <c r="H283" s="2" t="n">
        <f aca="false">'Raw Data'!V283</f>
        <v>4</v>
      </c>
      <c r="I283" s="2" t="n">
        <f aca="false">IF(AND(ISNUMBER(B283),B283&lt;=25),2,0)+IF(AND(ISNUMBER(E283),E283&lt;=5),2,0)+IF(AND(ISNUMBER(F283),F283&lt;=1),2,0)+IF(AND(ISNUMBER(G283),G283&lt;=2),1,0)+IF(AND(ISNUMBER(H283),H283&lt;=2),1,0)</f>
        <v>3</v>
      </c>
      <c r="J283" s="2" t="str">
        <f aca="false">IF(I283&gt;=6,"High",IF(I283&gt;=3,"Medium","Low"))</f>
        <v>Medium</v>
      </c>
    </row>
    <row r="284" customFormat="false" ht="15" hidden="false" customHeight="true" outlineLevel="0" collapsed="false">
      <c r="A284" s="2" t="n">
        <f aca="false">'Raw Data'!H284</f>
        <v>283</v>
      </c>
      <c r="B284" s="2" t="n">
        <f aca="false">'Raw Data'!A284</f>
        <v>28</v>
      </c>
      <c r="C284" s="2" t="str">
        <f aca="false">'Raw Data'!D284</f>
        <v>Sales</v>
      </c>
      <c r="D284" s="2" t="str">
        <f aca="false">'Raw Data'!K284</f>
        <v>Research Scientist</v>
      </c>
      <c r="E284" s="2" t="n">
        <f aca="false">'Raw Data'!Q284</f>
        <v>10</v>
      </c>
      <c r="F284" s="2" t="n">
        <f aca="false">'Raw Data'!U284</f>
        <v>7</v>
      </c>
      <c r="G284" s="2" t="n">
        <f aca="false">'Raw Data'!W284</f>
        <v>2</v>
      </c>
      <c r="H284" s="2" t="n">
        <f aca="false">'Raw Data'!V284</f>
        <v>1</v>
      </c>
      <c r="I284" s="2" t="n">
        <f aca="false">IF(AND(ISNUMBER(B284),B284&lt;=25),2,0)+IF(AND(ISNUMBER(E284),E284&lt;=5),2,0)+IF(AND(ISNUMBER(F284),F284&lt;=1),2,0)+IF(AND(ISNUMBER(G284),G284&lt;=2),1,0)+IF(AND(ISNUMBER(H284),H284&lt;=2),1,0)</f>
        <v>2</v>
      </c>
      <c r="J284" s="2" t="str">
        <f aca="false">IF(I284&gt;=6,"High",IF(I284&gt;=3,"Medium","Low"))</f>
        <v>Low</v>
      </c>
    </row>
    <row r="285" customFormat="false" ht="15" hidden="false" customHeight="true" outlineLevel="0" collapsed="false">
      <c r="A285" s="2" t="n">
        <f aca="false">'Raw Data'!H285</f>
        <v>284</v>
      </c>
      <c r="B285" s="2" t="n">
        <f aca="false">'Raw Data'!A285</f>
        <v>36</v>
      </c>
      <c r="C285" s="2" t="str">
        <f aca="false">'Raw Data'!D285</f>
        <v>Research &amp; Development</v>
      </c>
      <c r="D285" s="2" t="str">
        <f aca="false">'Raw Data'!K285</f>
        <v>Research Scientist</v>
      </c>
      <c r="E285" s="2" t="n">
        <f aca="false">'Raw Data'!Q285</f>
        <v>10</v>
      </c>
      <c r="F285" s="2" t="n">
        <f aca="false">'Raw Data'!U285</f>
        <v>5</v>
      </c>
      <c r="G285" s="2" t="n">
        <f aca="false">'Raw Data'!W285</f>
        <v>1</v>
      </c>
      <c r="H285" s="2" t="n">
        <f aca="false">'Raw Data'!V285</f>
        <v>1</v>
      </c>
      <c r="I285" s="2" t="n">
        <f aca="false">IF(AND(ISNUMBER(B285),B285&lt;=25),2,0)+IF(AND(ISNUMBER(E285),E285&lt;=5),2,0)+IF(AND(ISNUMBER(F285),F285&lt;=1),2,0)+IF(AND(ISNUMBER(G285),G285&lt;=2),1,0)+IF(AND(ISNUMBER(H285),H285&lt;=2),1,0)</f>
        <v>2</v>
      </c>
      <c r="J285" s="2" t="str">
        <f aca="false">IF(I285&gt;=6,"High",IF(I285&gt;=3,"Medium","Low"))</f>
        <v>Low</v>
      </c>
    </row>
    <row r="286" customFormat="false" ht="15" hidden="false" customHeight="true" outlineLevel="0" collapsed="false">
      <c r="A286" s="2" t="n">
        <f aca="false">'Raw Data'!H286</f>
        <v>285</v>
      </c>
      <c r="B286" s="2" t="n">
        <f aca="false">'Raw Data'!A286</f>
        <v>38</v>
      </c>
      <c r="C286" s="2" t="str">
        <f aca="false">'Raw Data'!D286</f>
        <v>Research &amp; Development</v>
      </c>
      <c r="D286" s="2" t="str">
        <f aca="false">'Raw Data'!K286</f>
        <v>Manager</v>
      </c>
      <c r="E286" s="2" t="n">
        <f aca="false">'Raw Data'!Q286</f>
        <v>10</v>
      </c>
      <c r="F286" s="2" t="n">
        <f aca="false">'Raw Data'!U286</f>
        <v>0</v>
      </c>
      <c r="G286" s="2" t="n">
        <f aca="false">'Raw Data'!W286</f>
        <v>3</v>
      </c>
      <c r="H286" s="2" t="n">
        <f aca="false">'Raw Data'!V286</f>
        <v>3</v>
      </c>
      <c r="I286" s="2" t="n">
        <f aca="false">IF(AND(ISNUMBER(B286),B286&lt;=25),2,0)+IF(AND(ISNUMBER(E286),E286&lt;=5),2,0)+IF(AND(ISNUMBER(F286),F286&lt;=1),2,0)+IF(AND(ISNUMBER(G286),G286&lt;=2),1,0)+IF(AND(ISNUMBER(H286),H286&lt;=2),1,0)</f>
        <v>2</v>
      </c>
      <c r="J286" s="2" t="str">
        <f aca="false">IF(I286&gt;=6,"High",IF(I286&gt;=3,"Medium","Low"))</f>
        <v>Low</v>
      </c>
    </row>
    <row r="287" customFormat="false" ht="15" hidden="false" customHeight="true" outlineLevel="0" collapsed="false">
      <c r="A287" s="2" t="n">
        <f aca="false">'Raw Data'!H287</f>
        <v>286</v>
      </c>
      <c r="B287" s="2" t="n">
        <f aca="false">'Raw Data'!A287</f>
        <v>44</v>
      </c>
      <c r="C287" s="2" t="str">
        <f aca="false">'Raw Data'!D287</f>
        <v>Research &amp; Development</v>
      </c>
      <c r="D287" s="2" t="str">
        <f aca="false">'Raw Data'!K287</f>
        <v>Research Scientist</v>
      </c>
      <c r="E287" s="2" t="n">
        <f aca="false">'Raw Data'!Q287</f>
        <v>9</v>
      </c>
      <c r="F287" s="2" t="n">
        <f aca="false">'Raw Data'!U287</f>
        <v>4</v>
      </c>
      <c r="G287" s="2" t="n">
        <f aca="false">'Raw Data'!W287</f>
        <v>3</v>
      </c>
      <c r="H287" s="2" t="n">
        <f aca="false">'Raw Data'!V287</f>
        <v>1</v>
      </c>
      <c r="I287" s="2" t="n">
        <f aca="false">IF(AND(ISNUMBER(B287),B287&lt;=25),2,0)+IF(AND(ISNUMBER(E287),E287&lt;=5),2,0)+IF(AND(ISNUMBER(F287),F287&lt;=1),2,0)+IF(AND(ISNUMBER(G287),G287&lt;=2),1,0)+IF(AND(ISNUMBER(H287),H287&lt;=2),1,0)</f>
        <v>1</v>
      </c>
      <c r="J287" s="2" t="str">
        <f aca="false">IF(I287&gt;=6,"High",IF(I287&gt;=3,"Medium","Low"))</f>
        <v>Low</v>
      </c>
    </row>
    <row r="288" customFormat="false" ht="15" hidden="false" customHeight="true" outlineLevel="0" collapsed="false">
      <c r="A288" s="2" t="n">
        <f aca="false">'Raw Data'!H288</f>
        <v>287</v>
      </c>
      <c r="B288" s="2" t="n">
        <f aca="false">'Raw Data'!A288</f>
        <v>47</v>
      </c>
      <c r="C288" s="2" t="str">
        <f aca="false">'Raw Data'!D288</f>
        <v>Research &amp; Development</v>
      </c>
      <c r="D288" s="2" t="str">
        <f aca="false">'Raw Data'!K288</f>
        <v>Research Scientist</v>
      </c>
      <c r="E288" s="2" t="n">
        <f aca="false">'Raw Data'!Q288</f>
        <v>28</v>
      </c>
      <c r="F288" s="2" t="n">
        <f aca="false">'Raw Data'!U288</f>
        <v>13</v>
      </c>
      <c r="G288" s="2" t="n">
        <f aca="false">'Raw Data'!W288</f>
        <v>3</v>
      </c>
      <c r="H288" s="2" t="n">
        <f aca="false">'Raw Data'!V288</f>
        <v>4</v>
      </c>
      <c r="I288" s="2" t="n">
        <f aca="false">IF(AND(ISNUMBER(B288),B288&lt;=25),2,0)+IF(AND(ISNUMBER(E288),E288&lt;=5),2,0)+IF(AND(ISNUMBER(F288),F288&lt;=1),2,0)+IF(AND(ISNUMBER(G288),G288&lt;=2),1,0)+IF(AND(ISNUMBER(H288),H288&lt;=2),1,0)</f>
        <v>0</v>
      </c>
      <c r="J288" s="2" t="str">
        <f aca="false">IF(I288&gt;=6,"High",IF(I288&gt;=3,"Medium","Low"))</f>
        <v>Low</v>
      </c>
    </row>
    <row r="289" customFormat="false" ht="15" hidden="false" customHeight="true" outlineLevel="0" collapsed="false">
      <c r="A289" s="2" t="n">
        <f aca="false">'Raw Data'!H289</f>
        <v>288</v>
      </c>
      <c r="B289" s="2" t="n">
        <f aca="false">'Raw Data'!A289</f>
        <v>30</v>
      </c>
      <c r="C289" s="2" t="str">
        <f aca="false">'Raw Data'!D289</f>
        <v>Research &amp; Development</v>
      </c>
      <c r="D289" s="2" t="str">
        <f aca="false">'Raw Data'!K289</f>
        <v>Sales Executive</v>
      </c>
      <c r="E289" s="2" t="n">
        <f aca="false">'Raw Data'!Q289</f>
        <v>10</v>
      </c>
      <c r="F289" s="2" t="n">
        <f aca="false">'Raw Data'!U289</f>
        <v>7</v>
      </c>
      <c r="G289" s="2" t="n">
        <f aca="false">'Raw Data'!W289</f>
        <v>4</v>
      </c>
      <c r="H289" s="2" t="n">
        <f aca="false">'Raw Data'!V289</f>
        <v>3</v>
      </c>
      <c r="I289" s="2" t="n">
        <f aca="false">IF(AND(ISNUMBER(B289),B289&lt;=25),2,0)+IF(AND(ISNUMBER(E289),E289&lt;=5),2,0)+IF(AND(ISNUMBER(F289),F289&lt;=1),2,0)+IF(AND(ISNUMBER(G289),G289&lt;=2),1,0)+IF(AND(ISNUMBER(H289),H289&lt;=2),1,0)</f>
        <v>0</v>
      </c>
      <c r="J289" s="2" t="str">
        <f aca="false">IF(I289&gt;=6,"High",IF(I289&gt;=3,"Medium","Low"))</f>
        <v>Low</v>
      </c>
    </row>
    <row r="290" customFormat="false" ht="15" hidden="false" customHeight="true" outlineLevel="0" collapsed="false">
      <c r="A290" s="2" t="n">
        <f aca="false">'Raw Data'!H290</f>
        <v>289</v>
      </c>
      <c r="B290" s="2" t="n">
        <f aca="false">'Raw Data'!A290</f>
        <v>29</v>
      </c>
      <c r="C290" s="2" t="str">
        <f aca="false">'Raw Data'!D290</f>
        <v>Research &amp; Development</v>
      </c>
      <c r="D290" s="2" t="str">
        <f aca="false">'Raw Data'!K290</f>
        <v>Sales Executive</v>
      </c>
      <c r="E290" s="2" t="n">
        <f aca="false">'Raw Data'!Q290</f>
        <v>1</v>
      </c>
      <c r="F290" s="2" t="n">
        <f aca="false">'Raw Data'!U290</f>
        <v>0</v>
      </c>
      <c r="G290" s="2" t="n">
        <f aca="false">'Raw Data'!W290</f>
        <v>3</v>
      </c>
      <c r="H290" s="2" t="n">
        <f aca="false">'Raw Data'!V290</f>
        <v>3</v>
      </c>
      <c r="I290" s="2" t="n">
        <f aca="false">IF(AND(ISNUMBER(B290),B290&lt;=25),2,0)+IF(AND(ISNUMBER(E290),E290&lt;=5),2,0)+IF(AND(ISNUMBER(F290),F290&lt;=1),2,0)+IF(AND(ISNUMBER(G290),G290&lt;=2),1,0)+IF(AND(ISNUMBER(H290),H290&lt;=2),1,0)</f>
        <v>4</v>
      </c>
      <c r="J290" s="2" t="str">
        <f aca="false">IF(I290&gt;=6,"High",IF(I290&gt;=3,"Medium","Low"))</f>
        <v>Medium</v>
      </c>
    </row>
    <row r="291" customFormat="false" ht="15" hidden="false" customHeight="true" outlineLevel="0" collapsed="false">
      <c r="A291" s="2" t="n">
        <f aca="false">'Raw Data'!H291</f>
        <v>290</v>
      </c>
      <c r="B291" s="2" t="n">
        <f aca="false">'Raw Data'!A291</f>
        <v>42</v>
      </c>
      <c r="C291" s="2" t="str">
        <f aca="false">'Raw Data'!D291</f>
        <v>Research &amp; Development</v>
      </c>
      <c r="D291" s="2" t="str">
        <f aca="false">'Raw Data'!K291</f>
        <v>Sales Executive</v>
      </c>
      <c r="E291" s="2" t="n">
        <f aca="false">'Raw Data'!Q291</f>
        <v>7</v>
      </c>
      <c r="F291" s="2" t="n">
        <f aca="false">'Raw Data'!U291</f>
        <v>2</v>
      </c>
      <c r="G291" s="2" t="n">
        <f aca="false">'Raw Data'!W291</f>
        <v>3</v>
      </c>
      <c r="H291" s="2" t="n">
        <f aca="false">'Raw Data'!V291</f>
        <v>3</v>
      </c>
      <c r="I291" s="2" t="n">
        <f aca="false">IF(AND(ISNUMBER(B291),B291&lt;=25),2,0)+IF(AND(ISNUMBER(E291),E291&lt;=5),2,0)+IF(AND(ISNUMBER(F291),F291&lt;=1),2,0)+IF(AND(ISNUMBER(G291),G291&lt;=2),1,0)+IF(AND(ISNUMBER(H291),H291&lt;=2),1,0)</f>
        <v>0</v>
      </c>
      <c r="J291" s="2" t="str">
        <f aca="false">IF(I291&gt;=6,"High",IF(I291&gt;=3,"Medium","Low"))</f>
        <v>Low</v>
      </c>
    </row>
    <row r="292" customFormat="false" ht="15" hidden="false" customHeight="true" outlineLevel="0" collapsed="false">
      <c r="A292" s="2" t="n">
        <f aca="false">'Raw Data'!H292</f>
        <v>291</v>
      </c>
      <c r="B292" s="2" t="n">
        <f aca="false">'Raw Data'!A292</f>
        <v>43</v>
      </c>
      <c r="C292" s="2" t="str">
        <f aca="false">'Raw Data'!D292</f>
        <v>Research &amp; Development</v>
      </c>
      <c r="D292" s="2" t="str">
        <f aca="false">'Raw Data'!K292</f>
        <v>Laboratory Technician</v>
      </c>
      <c r="E292" s="2" t="n">
        <f aca="false">'Raw Data'!Q292</f>
        <v>7</v>
      </c>
      <c r="F292" s="2" t="n">
        <f aca="false">'Raw Data'!U292</f>
        <v>2</v>
      </c>
      <c r="G292" s="2" t="n">
        <f aca="false">'Raw Data'!W292</f>
        <v>4</v>
      </c>
      <c r="H292" s="2" t="n">
        <f aca="false">'Raw Data'!V292</f>
        <v>4</v>
      </c>
      <c r="I292" s="2" t="n">
        <f aca="false">IF(AND(ISNUMBER(B292),B292&lt;=25),2,0)+IF(AND(ISNUMBER(E292),E292&lt;=5),2,0)+IF(AND(ISNUMBER(F292),F292&lt;=1),2,0)+IF(AND(ISNUMBER(G292),G292&lt;=2),1,0)+IF(AND(ISNUMBER(H292),H292&lt;=2),1,0)</f>
        <v>0</v>
      </c>
      <c r="J292" s="2" t="str">
        <f aca="false">IF(I292&gt;=6,"High",IF(I292&gt;=3,"Medium","Low"))</f>
        <v>Low</v>
      </c>
    </row>
    <row r="293" customFormat="false" ht="15" hidden="false" customHeight="true" outlineLevel="0" collapsed="false">
      <c r="A293" s="2" t="n">
        <f aca="false">'Raw Data'!H293</f>
        <v>292</v>
      </c>
      <c r="B293" s="2" t="n">
        <f aca="false">'Raw Data'!A293</f>
        <v>34</v>
      </c>
      <c r="C293" s="2" t="str">
        <f aca="false">'Raw Data'!D293</f>
        <v>Research &amp; Development</v>
      </c>
      <c r="D293" s="2" t="str">
        <f aca="false">'Raw Data'!K293</f>
        <v>Healthcare Representative</v>
      </c>
      <c r="E293" s="2" t="n">
        <f aca="false">'Raw Data'!Q293</f>
        <v>10</v>
      </c>
      <c r="F293" s="2" t="n">
        <f aca="false">'Raw Data'!U293</f>
        <v>3</v>
      </c>
      <c r="G293" s="2" t="n">
        <f aca="false">'Raw Data'!W293</f>
        <v>3</v>
      </c>
      <c r="H293" s="2" t="n">
        <f aca="false">'Raw Data'!V293</f>
        <v>2</v>
      </c>
      <c r="I293" s="2" t="n">
        <f aca="false">IF(AND(ISNUMBER(B293),B293&lt;=25),2,0)+IF(AND(ISNUMBER(E293),E293&lt;=5),2,0)+IF(AND(ISNUMBER(F293),F293&lt;=1),2,0)+IF(AND(ISNUMBER(G293),G293&lt;=2),1,0)+IF(AND(ISNUMBER(H293),H293&lt;=2),1,0)</f>
        <v>1</v>
      </c>
      <c r="J293" s="2" t="str">
        <f aca="false">IF(I293&gt;=6,"High",IF(I293&gt;=3,"Medium","Low"))</f>
        <v>Low</v>
      </c>
    </row>
    <row r="294" customFormat="false" ht="15" hidden="false" customHeight="true" outlineLevel="0" collapsed="false">
      <c r="A294" s="2" t="n">
        <f aca="false">'Raw Data'!H294</f>
        <v>293</v>
      </c>
      <c r="B294" s="2" t="n">
        <f aca="false">'Raw Data'!A294</f>
        <v>23</v>
      </c>
      <c r="C294" s="2" t="str">
        <f aca="false">'Raw Data'!D294</f>
        <v>Sales</v>
      </c>
      <c r="D294" s="2" t="str">
        <f aca="false">'Raw Data'!K294</f>
        <v>Sales Executive</v>
      </c>
      <c r="E294" s="2" t="n">
        <f aca="false">'Raw Data'!Q294</f>
        <v>5</v>
      </c>
      <c r="F294" s="2" t="n">
        <f aca="false">'Raw Data'!U294</f>
        <v>2</v>
      </c>
      <c r="G294" s="2" t="n">
        <f aca="false">'Raw Data'!W294</f>
        <v>1</v>
      </c>
      <c r="H294" s="2" t="n">
        <f aca="false">'Raw Data'!V294</f>
        <v>2</v>
      </c>
      <c r="I294" s="2" t="n">
        <f aca="false">IF(AND(ISNUMBER(B294),B294&lt;=25),2,0)+IF(AND(ISNUMBER(E294),E294&lt;=5),2,0)+IF(AND(ISNUMBER(F294),F294&lt;=1),2,0)+IF(AND(ISNUMBER(G294),G294&lt;=2),1,0)+IF(AND(ISNUMBER(H294),H294&lt;=2),1,0)</f>
        <v>6</v>
      </c>
      <c r="J294" s="2" t="str">
        <f aca="false">IF(I294&gt;=6,"High",IF(I294&gt;=3,"Medium","Low"))</f>
        <v>High</v>
      </c>
    </row>
    <row r="295" customFormat="false" ht="15" hidden="false" customHeight="true" outlineLevel="0" collapsed="false">
      <c r="A295" s="2" t="n">
        <f aca="false">'Raw Data'!H295</f>
        <v>294</v>
      </c>
      <c r="B295" s="2" t="n">
        <f aca="false">'Raw Data'!A295</f>
        <v>39</v>
      </c>
      <c r="C295" s="2" t="str">
        <f aca="false">'Raw Data'!D295</f>
        <v>Sales</v>
      </c>
      <c r="D295" s="2" t="str">
        <f aca="false">'Raw Data'!K295</f>
        <v>Healthcare Representative</v>
      </c>
      <c r="E295" s="2" t="n">
        <f aca="false">'Raw Data'!Q295</f>
        <v>12</v>
      </c>
      <c r="F295" s="2" t="n">
        <f aca="false">'Raw Data'!U295</f>
        <v>6</v>
      </c>
      <c r="G295" s="2" t="n">
        <f aca="false">'Raw Data'!W295</f>
        <v>2</v>
      </c>
      <c r="H295" s="2" t="n">
        <f aca="false">'Raw Data'!V295</f>
        <v>3</v>
      </c>
      <c r="I295" s="2" t="n">
        <f aca="false">IF(AND(ISNUMBER(B295),B295&lt;=25),2,0)+IF(AND(ISNUMBER(E295),E295&lt;=5),2,0)+IF(AND(ISNUMBER(F295),F295&lt;=1),2,0)+IF(AND(ISNUMBER(G295),G295&lt;=2),1,0)+IF(AND(ISNUMBER(H295),H295&lt;=2),1,0)</f>
        <v>1</v>
      </c>
      <c r="J295" s="2" t="str">
        <f aca="false">IF(I295&gt;=6,"High",IF(I295&gt;=3,"Medium","Low"))</f>
        <v>Low</v>
      </c>
    </row>
    <row r="296" customFormat="false" ht="15" hidden="false" customHeight="true" outlineLevel="0" collapsed="false">
      <c r="A296" s="2" t="n">
        <f aca="false">'Raw Data'!H296</f>
        <v>295</v>
      </c>
      <c r="B296" s="2" t="n">
        <f aca="false">'Raw Data'!A296</f>
        <v>56</v>
      </c>
      <c r="C296" s="2" t="str">
        <f aca="false">'Raw Data'!D296</f>
        <v>Research &amp; Development</v>
      </c>
      <c r="D296" s="2" t="str">
        <f aca="false">'Raw Data'!K296</f>
        <v>Manager</v>
      </c>
      <c r="E296" s="2" t="n">
        <f aca="false">'Raw Data'!Q296</f>
        <v>30</v>
      </c>
      <c r="F296" s="2" t="n">
        <f aca="false">'Raw Data'!U296</f>
        <v>1</v>
      </c>
      <c r="G296" s="2" t="n">
        <f aca="false">'Raw Data'!W296</f>
        <v>4</v>
      </c>
      <c r="H296" s="2" t="n">
        <f aca="false">'Raw Data'!V296</f>
        <v>3</v>
      </c>
      <c r="I296" s="2" t="n">
        <f aca="false">IF(AND(ISNUMBER(B296),B296&lt;=25),2,0)+IF(AND(ISNUMBER(E296),E296&lt;=5),2,0)+IF(AND(ISNUMBER(F296),F296&lt;=1),2,0)+IF(AND(ISNUMBER(G296),G296&lt;=2),1,0)+IF(AND(ISNUMBER(H296),H296&lt;=2),1,0)</f>
        <v>2</v>
      </c>
      <c r="J296" s="2" t="str">
        <f aca="false">IF(I296&gt;=6,"High",IF(I296&gt;=3,"Medium","Low"))</f>
        <v>Low</v>
      </c>
    </row>
    <row r="297" customFormat="false" ht="15" hidden="false" customHeight="true" outlineLevel="0" collapsed="false">
      <c r="A297" s="2" t="n">
        <f aca="false">'Raw Data'!H297</f>
        <v>296</v>
      </c>
      <c r="B297" s="2" t="n">
        <f aca="false">'Raw Data'!A297</f>
        <v>40</v>
      </c>
      <c r="C297" s="2" t="str">
        <f aca="false">'Raw Data'!D297</f>
        <v>Sales</v>
      </c>
      <c r="D297" s="2" t="str">
        <f aca="false">'Raw Data'!K297</f>
        <v>Research Scientist</v>
      </c>
      <c r="E297" s="2" t="n">
        <f aca="false">'Raw Data'!Q297</f>
        <v>5</v>
      </c>
      <c r="F297" s="2" t="n">
        <f aca="false">'Raw Data'!U297</f>
        <v>3</v>
      </c>
      <c r="G297" s="2" t="n">
        <f aca="false">'Raw Data'!W297</f>
        <v>4</v>
      </c>
      <c r="H297" s="2" t="n">
        <f aca="false">'Raw Data'!V297</f>
        <v>4</v>
      </c>
      <c r="I297" s="2" t="n">
        <f aca="false">IF(AND(ISNUMBER(B297),B297&lt;=25),2,0)+IF(AND(ISNUMBER(E297),E297&lt;=5),2,0)+IF(AND(ISNUMBER(F297),F297&lt;=1),2,0)+IF(AND(ISNUMBER(G297),G297&lt;=2),1,0)+IF(AND(ISNUMBER(H297),H297&lt;=2),1,0)</f>
        <v>2</v>
      </c>
      <c r="J297" s="2" t="str">
        <f aca="false">IF(I297&gt;=6,"High",IF(I297&gt;=3,"Medium","Low"))</f>
        <v>Low</v>
      </c>
    </row>
    <row r="298" customFormat="false" ht="15" hidden="false" customHeight="true" outlineLevel="0" collapsed="false">
      <c r="A298" s="2" t="n">
        <f aca="false">'Raw Data'!H298</f>
        <v>297</v>
      </c>
      <c r="B298" s="2" t="n">
        <f aca="false">'Raw Data'!A298</f>
        <v>27</v>
      </c>
      <c r="C298" s="2" t="str">
        <f aca="false">'Raw Data'!D298</f>
        <v>Research &amp; Development</v>
      </c>
      <c r="D298" s="2" t="str">
        <f aca="false">'Raw Data'!K298</f>
        <v>Laboratory Technician</v>
      </c>
      <c r="E298" s="2" t="n">
        <f aca="false">'Raw Data'!Q298</f>
        <v>9</v>
      </c>
      <c r="F298" s="2" t="n">
        <f aca="false">'Raw Data'!U298</f>
        <v>7</v>
      </c>
      <c r="G298" s="2" t="n">
        <f aca="false">'Raw Data'!W298</f>
        <v>1</v>
      </c>
      <c r="H298" s="2" t="n">
        <f aca="false">'Raw Data'!V298</f>
        <v>4</v>
      </c>
      <c r="I298" s="2" t="n">
        <f aca="false">IF(AND(ISNUMBER(B298),B298&lt;=25),2,0)+IF(AND(ISNUMBER(E298),E298&lt;=5),2,0)+IF(AND(ISNUMBER(F298),F298&lt;=1),2,0)+IF(AND(ISNUMBER(G298),G298&lt;=2),1,0)+IF(AND(ISNUMBER(H298),H298&lt;=2),1,0)</f>
        <v>1</v>
      </c>
      <c r="J298" s="2" t="str">
        <f aca="false">IF(I298&gt;=6,"High",IF(I298&gt;=3,"Medium","Low"))</f>
        <v>Low</v>
      </c>
    </row>
    <row r="299" customFormat="false" ht="15" hidden="false" customHeight="true" outlineLevel="0" collapsed="false">
      <c r="A299" s="2" t="n">
        <f aca="false">'Raw Data'!H299</f>
        <v>298</v>
      </c>
      <c r="B299" s="2" t="n">
        <f aca="false">'Raw Data'!A299</f>
        <v>29</v>
      </c>
      <c r="C299" s="2" t="str">
        <f aca="false">'Raw Data'!D299</f>
        <v>Sales</v>
      </c>
      <c r="D299" s="2" t="str">
        <f aca="false">'Raw Data'!K299</f>
        <v>Manager</v>
      </c>
      <c r="E299" s="2" t="n">
        <f aca="false">'Raw Data'!Q299</f>
        <v>2</v>
      </c>
      <c r="F299" s="2" t="n">
        <f aca="false">'Raw Data'!U299</f>
        <v>2</v>
      </c>
      <c r="G299" s="2" t="n">
        <f aca="false">'Raw Data'!W299</f>
        <v>2</v>
      </c>
      <c r="H299" s="2" t="n">
        <f aca="false">'Raw Data'!V299</f>
        <v>4</v>
      </c>
      <c r="I299" s="2" t="n">
        <f aca="false">IF(AND(ISNUMBER(B299),B299&lt;=25),2,0)+IF(AND(ISNUMBER(E299),E299&lt;=5),2,0)+IF(AND(ISNUMBER(F299),F299&lt;=1),2,0)+IF(AND(ISNUMBER(G299),G299&lt;=2),1,0)+IF(AND(ISNUMBER(H299),H299&lt;=2),1,0)</f>
        <v>3</v>
      </c>
      <c r="J299" s="2" t="str">
        <f aca="false">IF(I299&gt;=6,"High",IF(I299&gt;=3,"Medium","Low"))</f>
        <v>Medium</v>
      </c>
    </row>
    <row r="300" customFormat="false" ht="15" hidden="false" customHeight="true" outlineLevel="0" collapsed="false">
      <c r="A300" s="2" t="n">
        <f aca="false">'Raw Data'!H300</f>
        <v>299</v>
      </c>
      <c r="B300" s="2" t="n">
        <f aca="false">'Raw Data'!A300</f>
        <v>53</v>
      </c>
      <c r="C300" s="2" t="str">
        <f aca="false">'Raw Data'!D300</f>
        <v>Research &amp; Development</v>
      </c>
      <c r="D300" s="2" t="str">
        <f aca="false">'Raw Data'!K300</f>
        <v>Laboratory Technician</v>
      </c>
      <c r="E300" s="2" t="n">
        <f aca="false">'Raw Data'!Q300</f>
        <v>19</v>
      </c>
      <c r="F300" s="2" t="n">
        <f aca="false">'Raw Data'!U300</f>
        <v>2</v>
      </c>
      <c r="G300" s="2" t="n">
        <f aca="false">'Raw Data'!W300</f>
        <v>4</v>
      </c>
      <c r="H300" s="2" t="n">
        <f aca="false">'Raw Data'!V300</f>
        <v>4</v>
      </c>
      <c r="I300" s="2" t="n">
        <f aca="false">IF(AND(ISNUMBER(B300),B300&lt;=25),2,0)+IF(AND(ISNUMBER(E300),E300&lt;=5),2,0)+IF(AND(ISNUMBER(F300),F300&lt;=1),2,0)+IF(AND(ISNUMBER(G300),G300&lt;=2),1,0)+IF(AND(ISNUMBER(H300),H300&lt;=2),1,0)</f>
        <v>0</v>
      </c>
      <c r="J300" s="2" t="str">
        <f aca="false">IF(I300&gt;=6,"High",IF(I300&gt;=3,"Medium","Low"))</f>
        <v>Low</v>
      </c>
    </row>
    <row r="301" customFormat="false" ht="15" hidden="false" customHeight="true" outlineLevel="0" collapsed="false">
      <c r="A301" s="2" t="n">
        <f aca="false">'Raw Data'!H301</f>
        <v>300</v>
      </c>
      <c r="B301" s="2" t="n">
        <f aca="false">'Raw Data'!A301</f>
        <v>35</v>
      </c>
      <c r="C301" s="2" t="str">
        <f aca="false">'Raw Data'!D301</f>
        <v>Research &amp; Development</v>
      </c>
      <c r="D301" s="2" t="str">
        <f aca="false">'Raw Data'!K301</f>
        <v>Healthcare Representative</v>
      </c>
      <c r="E301" s="2" t="n">
        <f aca="false">'Raw Data'!Q301</f>
        <v>16</v>
      </c>
      <c r="F301" s="2" t="n">
        <f aca="false">'Raw Data'!U301</f>
        <v>0</v>
      </c>
      <c r="G301" s="2" t="n">
        <f aca="false">'Raw Data'!W301</f>
        <v>1</v>
      </c>
      <c r="H301" s="2" t="n">
        <f aca="false">'Raw Data'!V301</f>
        <v>4</v>
      </c>
      <c r="I301" s="2" t="n">
        <f aca="false">IF(AND(ISNUMBER(B301),B301&lt;=25),2,0)+IF(AND(ISNUMBER(E301),E301&lt;=5),2,0)+IF(AND(ISNUMBER(F301),F301&lt;=1),2,0)+IF(AND(ISNUMBER(G301),G301&lt;=2),1,0)+IF(AND(ISNUMBER(H301),H301&lt;=2),1,0)</f>
        <v>3</v>
      </c>
      <c r="J301" s="2" t="str">
        <f aca="false">IF(I301&gt;=6,"High",IF(I301&gt;=3,"Medium","Low"))</f>
        <v>Medium</v>
      </c>
    </row>
    <row r="302" customFormat="false" ht="15" hidden="false" customHeight="true" outlineLevel="0" collapsed="false">
      <c r="A302" s="2" t="n">
        <f aca="false">'Raw Data'!H302</f>
        <v>301</v>
      </c>
      <c r="B302" s="2" t="n">
        <f aca="false">'Raw Data'!A302</f>
        <v>32</v>
      </c>
      <c r="C302" s="2" t="str">
        <f aca="false">'Raw Data'!D302</f>
        <v>Sales</v>
      </c>
      <c r="D302" s="2" t="str">
        <f aca="false">'Raw Data'!K302</f>
        <v>Sales Executive</v>
      </c>
      <c r="E302" s="2" t="n">
        <f aca="false">'Raw Data'!Q302</f>
        <v>10</v>
      </c>
      <c r="F302" s="2" t="n">
        <f aca="false">'Raw Data'!U302</f>
        <v>7</v>
      </c>
      <c r="G302" s="2" t="n">
        <f aca="false">'Raw Data'!W302</f>
        <v>4</v>
      </c>
      <c r="H302" s="2" t="n">
        <f aca="false">'Raw Data'!V302</f>
        <v>0</v>
      </c>
      <c r="I302" s="2" t="n">
        <f aca="false">IF(AND(ISNUMBER(B302),B302&lt;=25),2,0)+IF(AND(ISNUMBER(E302),E302&lt;=5),2,0)+IF(AND(ISNUMBER(F302),F302&lt;=1),2,0)+IF(AND(ISNUMBER(G302),G302&lt;=2),1,0)+IF(AND(ISNUMBER(H302),H302&lt;=2),1,0)</f>
        <v>0</v>
      </c>
      <c r="J302" s="2" t="str">
        <f aca="false">IF(I302&gt;=6,"High",IF(I302&gt;=3,"Medium","Low"))</f>
        <v>Low</v>
      </c>
    </row>
    <row r="303" customFormat="false" ht="15" hidden="false" customHeight="true" outlineLevel="0" collapsed="false">
      <c r="A303" s="2" t="n">
        <f aca="false">'Raw Data'!H303</f>
        <v>302</v>
      </c>
      <c r="B303" s="2" t="n">
        <f aca="false">'Raw Data'!A303</f>
        <v>38</v>
      </c>
      <c r="C303" s="2" t="str">
        <f aca="false">'Raw Data'!D303</f>
        <v>Sales</v>
      </c>
      <c r="D303" s="2" t="str">
        <f aca="false">'Raw Data'!K303</f>
        <v>Laboratory Technician</v>
      </c>
      <c r="E303" s="2" t="n">
        <f aca="false">'Raw Data'!Q303</f>
        <v>6</v>
      </c>
      <c r="F303" s="2" t="n">
        <f aca="false">'Raw Data'!U303</f>
        <v>1</v>
      </c>
      <c r="G303" s="2" t="n">
        <f aca="false">'Raw Data'!W303</f>
        <v>3</v>
      </c>
      <c r="H303" s="2" t="n">
        <f aca="false">'Raw Data'!V303</f>
        <v>4</v>
      </c>
      <c r="I303" s="2" t="n">
        <f aca="false">IF(AND(ISNUMBER(B303),B303&lt;=25),2,0)+IF(AND(ISNUMBER(E303),E303&lt;=5),2,0)+IF(AND(ISNUMBER(F303),F303&lt;=1),2,0)+IF(AND(ISNUMBER(G303),G303&lt;=2),1,0)+IF(AND(ISNUMBER(H303),H303&lt;=2),1,0)</f>
        <v>2</v>
      </c>
      <c r="J303" s="2" t="str">
        <f aca="false">IF(I303&gt;=6,"High",IF(I303&gt;=3,"Medium","Low"))</f>
        <v>Low</v>
      </c>
    </row>
    <row r="304" customFormat="false" ht="15" hidden="false" customHeight="true" outlineLevel="0" collapsed="false">
      <c r="A304" s="2" t="n">
        <f aca="false">'Raw Data'!H304</f>
        <v>303</v>
      </c>
      <c r="B304" s="2" t="n">
        <f aca="false">'Raw Data'!A304</f>
        <v>34</v>
      </c>
      <c r="C304" s="2" t="str">
        <f aca="false">'Raw Data'!D304</f>
        <v>Research &amp; Development</v>
      </c>
      <c r="D304" s="2" t="str">
        <f aca="false">'Raw Data'!K304</f>
        <v>Laboratory Technician</v>
      </c>
      <c r="E304" s="2" t="n">
        <f aca="false">'Raw Data'!Q304</f>
        <v>7</v>
      </c>
      <c r="F304" s="2" t="n">
        <f aca="false">'Raw Data'!U304</f>
        <v>0</v>
      </c>
      <c r="G304" s="2" t="n">
        <f aca="false">'Raw Data'!W304</f>
        <v>1</v>
      </c>
      <c r="H304" s="2" t="n">
        <f aca="false">'Raw Data'!V304</f>
        <v>2</v>
      </c>
      <c r="I304" s="2" t="n">
        <f aca="false">IF(AND(ISNUMBER(B304),B304&lt;=25),2,0)+IF(AND(ISNUMBER(E304),E304&lt;=5),2,0)+IF(AND(ISNUMBER(F304),F304&lt;=1),2,0)+IF(AND(ISNUMBER(G304),G304&lt;=2),1,0)+IF(AND(ISNUMBER(H304),H304&lt;=2),1,0)</f>
        <v>4</v>
      </c>
      <c r="J304" s="2" t="str">
        <f aca="false">IF(I304&gt;=6,"High",IF(I304&gt;=3,"Medium","Low"))</f>
        <v>Medium</v>
      </c>
    </row>
    <row r="305" customFormat="false" ht="15" hidden="false" customHeight="true" outlineLevel="0" collapsed="false">
      <c r="A305" s="2" t="n">
        <f aca="false">'Raw Data'!H305</f>
        <v>304</v>
      </c>
      <c r="B305" s="2" t="n">
        <f aca="false">'Raw Data'!A305</f>
        <v>52</v>
      </c>
      <c r="C305" s="2" t="str">
        <f aca="false">'Raw Data'!D305</f>
        <v>Sales</v>
      </c>
      <c r="D305" s="2" t="str">
        <f aca="false">'Raw Data'!K305</f>
        <v>Manager</v>
      </c>
      <c r="E305" s="2" t="n">
        <f aca="false">'Raw Data'!Q305</f>
        <v>34</v>
      </c>
      <c r="F305" s="2" t="n">
        <f aca="false">'Raw Data'!U305</f>
        <v>16</v>
      </c>
      <c r="G305" s="2" t="n">
        <f aca="false">'Raw Data'!W305</f>
        <v>1</v>
      </c>
      <c r="H305" s="2" t="n">
        <f aca="false">'Raw Data'!V305</f>
        <v>3</v>
      </c>
      <c r="I305" s="2" t="n">
        <f aca="false">IF(AND(ISNUMBER(B305),B305&lt;=25),2,0)+IF(AND(ISNUMBER(E305),E305&lt;=5),2,0)+IF(AND(ISNUMBER(F305),F305&lt;=1),2,0)+IF(AND(ISNUMBER(G305),G305&lt;=2),1,0)+IF(AND(ISNUMBER(H305),H305&lt;=2),1,0)</f>
        <v>1</v>
      </c>
      <c r="J305" s="2" t="str">
        <f aca="false">IF(I305&gt;=6,"High",IF(I305&gt;=3,"Medium","Low"))</f>
        <v>Low</v>
      </c>
    </row>
    <row r="306" customFormat="false" ht="15" hidden="false" customHeight="true" outlineLevel="0" collapsed="false">
      <c r="A306" s="2" t="n">
        <f aca="false">'Raw Data'!H306</f>
        <v>305</v>
      </c>
      <c r="B306" s="2" t="n">
        <f aca="false">'Raw Data'!A306</f>
        <v>33</v>
      </c>
      <c r="C306" s="2" t="str">
        <f aca="false">'Raw Data'!D306</f>
        <v>Research &amp; Development</v>
      </c>
      <c r="D306" s="2" t="str">
        <f aca="false">'Raw Data'!K306</f>
        <v>Laboratory Technician</v>
      </c>
      <c r="E306" s="2" t="n">
        <f aca="false">'Raw Data'!Q306</f>
        <v>10</v>
      </c>
      <c r="F306" s="2" t="n">
        <f aca="false">'Raw Data'!U306</f>
        <v>8</v>
      </c>
      <c r="G306" s="2" t="n">
        <f aca="false">'Raw Data'!W306</f>
        <v>4</v>
      </c>
      <c r="H306" s="2" t="n">
        <f aca="false">'Raw Data'!V306</f>
        <v>4</v>
      </c>
      <c r="I306" s="2" t="n">
        <f aca="false">IF(AND(ISNUMBER(B306),B306&lt;=25),2,0)+IF(AND(ISNUMBER(E306),E306&lt;=5),2,0)+IF(AND(ISNUMBER(F306),F306&lt;=1),2,0)+IF(AND(ISNUMBER(G306),G306&lt;=2),1,0)+IF(AND(ISNUMBER(H306),H306&lt;=2),1,0)</f>
        <v>0</v>
      </c>
      <c r="J306" s="2" t="str">
        <f aca="false">IF(I306&gt;=6,"High",IF(I306&gt;=3,"Medium","Low"))</f>
        <v>Low</v>
      </c>
    </row>
    <row r="307" customFormat="false" ht="15" hidden="false" customHeight="true" outlineLevel="0" collapsed="false">
      <c r="A307" s="2" t="n">
        <f aca="false">'Raw Data'!H307</f>
        <v>306</v>
      </c>
      <c r="B307" s="2" t="n">
        <f aca="false">'Raw Data'!A307</f>
        <v>25</v>
      </c>
      <c r="C307" s="2" t="str">
        <f aca="false">'Raw Data'!D307</f>
        <v>Research &amp; Development</v>
      </c>
      <c r="D307" s="2" t="str">
        <f aca="false">'Raw Data'!K307</f>
        <v>Research Scientist</v>
      </c>
      <c r="E307" s="2" t="n">
        <f aca="false">'Raw Data'!Q307</f>
        <v>6</v>
      </c>
      <c r="F307" s="2" t="n">
        <f aca="false">'Raw Data'!U307</f>
        <v>4</v>
      </c>
      <c r="G307" s="2" t="n">
        <f aca="false">'Raw Data'!W307</f>
        <v>4</v>
      </c>
      <c r="H307" s="2" t="n">
        <f aca="false">'Raw Data'!V307</f>
        <v>3</v>
      </c>
      <c r="I307" s="2" t="n">
        <f aca="false">IF(AND(ISNUMBER(B307),B307&lt;=25),2,0)+IF(AND(ISNUMBER(E307),E307&lt;=5),2,0)+IF(AND(ISNUMBER(F307),F307&lt;=1),2,0)+IF(AND(ISNUMBER(G307),G307&lt;=2),1,0)+IF(AND(ISNUMBER(H307),H307&lt;=2),1,0)</f>
        <v>2</v>
      </c>
      <c r="J307" s="2" t="str">
        <f aca="false">IF(I307&gt;=6,"High",IF(I307&gt;=3,"Medium","Low"))</f>
        <v>Low</v>
      </c>
    </row>
    <row r="308" customFormat="false" ht="15" hidden="false" customHeight="true" outlineLevel="0" collapsed="false">
      <c r="A308" s="2" t="n">
        <f aca="false">'Raw Data'!H308</f>
        <v>307</v>
      </c>
      <c r="B308" s="2" t="n">
        <f aca="false">'Raw Data'!A308</f>
        <v>45</v>
      </c>
      <c r="C308" s="2" t="str">
        <f aca="false">'Raw Data'!D308</f>
        <v>Sales</v>
      </c>
      <c r="D308" s="2" t="str">
        <f aca="false">'Raw Data'!K308</f>
        <v>Healthcare Representative</v>
      </c>
      <c r="E308" s="2" t="n">
        <f aca="false">'Raw Data'!Q308</f>
        <v>9</v>
      </c>
      <c r="F308" s="2" t="n">
        <f aca="false">'Raw Data'!U308</f>
        <v>1</v>
      </c>
      <c r="G308" s="2" t="n">
        <f aca="false">'Raw Data'!W308</f>
        <v>3</v>
      </c>
      <c r="H308" s="2" t="n">
        <f aca="false">'Raw Data'!V308</f>
        <v>2</v>
      </c>
      <c r="I308" s="2" t="n">
        <f aca="false">IF(AND(ISNUMBER(B308),B308&lt;=25),2,0)+IF(AND(ISNUMBER(E308),E308&lt;=5),2,0)+IF(AND(ISNUMBER(F308),F308&lt;=1),2,0)+IF(AND(ISNUMBER(G308),G308&lt;=2),1,0)+IF(AND(ISNUMBER(H308),H308&lt;=2),1,0)</f>
        <v>3</v>
      </c>
      <c r="J308" s="2" t="str">
        <f aca="false">IF(I308&gt;=6,"High",IF(I308&gt;=3,"Medium","Low"))</f>
        <v>Medium</v>
      </c>
    </row>
    <row r="309" customFormat="false" ht="15" hidden="false" customHeight="true" outlineLevel="0" collapsed="false">
      <c r="A309" s="2" t="n">
        <f aca="false">'Raw Data'!H309</f>
        <v>308</v>
      </c>
      <c r="B309" s="2" t="n">
        <f aca="false">'Raw Data'!A309</f>
        <v>23</v>
      </c>
      <c r="C309" s="2" t="str">
        <f aca="false">'Raw Data'!D309</f>
        <v>Research &amp; Development</v>
      </c>
      <c r="D309" s="2" t="str">
        <f aca="false">'Raw Data'!K309</f>
        <v>Research Scientist</v>
      </c>
      <c r="E309" s="2" t="n">
        <f aca="false">'Raw Data'!Q309</f>
        <v>2</v>
      </c>
      <c r="F309" s="2" t="n">
        <f aca="false">'Raw Data'!U309</f>
        <v>2</v>
      </c>
      <c r="G309" s="2" t="n">
        <f aca="false">'Raw Data'!W309</f>
        <v>3</v>
      </c>
      <c r="H309" s="2" t="n">
        <f aca="false">'Raw Data'!V309</f>
        <v>1</v>
      </c>
      <c r="I309" s="2" t="n">
        <f aca="false">IF(AND(ISNUMBER(B309),B309&lt;=25),2,0)+IF(AND(ISNUMBER(E309),E309&lt;=5),2,0)+IF(AND(ISNUMBER(F309),F309&lt;=1),2,0)+IF(AND(ISNUMBER(G309),G309&lt;=2),1,0)+IF(AND(ISNUMBER(H309),H309&lt;=2),1,0)</f>
        <v>5</v>
      </c>
      <c r="J309" s="2" t="str">
        <f aca="false">IF(I309&gt;=6,"High",IF(I309&gt;=3,"Medium","Low"))</f>
        <v>Medium</v>
      </c>
    </row>
    <row r="310" customFormat="false" ht="15" hidden="false" customHeight="true" outlineLevel="0" collapsed="false">
      <c r="A310" s="2" t="n">
        <f aca="false">'Raw Data'!H310</f>
        <v>309</v>
      </c>
      <c r="B310" s="2" t="n">
        <f aca="false">'Raw Data'!A310</f>
        <v>47</v>
      </c>
      <c r="C310" s="2" t="str">
        <f aca="false">'Raw Data'!D310</f>
        <v>Research &amp; Development</v>
      </c>
      <c r="D310" s="2" t="str">
        <f aca="false">'Raw Data'!K310</f>
        <v>Research Director</v>
      </c>
      <c r="E310" s="2" t="n">
        <f aca="false">'Raw Data'!Q310</f>
        <v>0</v>
      </c>
      <c r="F310" s="2" t="n">
        <f aca="false">'Raw Data'!U310</f>
        <v>3</v>
      </c>
      <c r="G310" s="2" t="n">
        <f aca="false">'Raw Data'!W310</f>
        <v>3</v>
      </c>
      <c r="H310" s="2" t="n">
        <f aca="false">'Raw Data'!V310</f>
        <v>2</v>
      </c>
      <c r="I310" s="2" t="n">
        <f aca="false">IF(AND(ISNUMBER(B310),B310&lt;=25),2,0)+IF(AND(ISNUMBER(E310),E310&lt;=5),2,0)+IF(AND(ISNUMBER(F310),F310&lt;=1),2,0)+IF(AND(ISNUMBER(G310),G310&lt;=2),1,0)+IF(AND(ISNUMBER(H310),H310&lt;=2),1,0)</f>
        <v>1</v>
      </c>
      <c r="J310" s="2" t="str">
        <f aca="false">IF(I310&gt;=6,"High",IF(I310&gt;=3,"Medium","Low"))</f>
        <v>Low</v>
      </c>
    </row>
    <row r="311" customFormat="false" ht="15" hidden="false" customHeight="true" outlineLevel="0" collapsed="false">
      <c r="A311" s="2" t="n">
        <f aca="false">'Raw Data'!H311</f>
        <v>310</v>
      </c>
      <c r="B311" s="2" t="n">
        <f aca="false">'Raw Data'!A311</f>
        <v>34</v>
      </c>
      <c r="C311" s="2" t="str">
        <f aca="false">'Raw Data'!D311</f>
        <v>Research &amp; Development</v>
      </c>
      <c r="D311" s="2" t="str">
        <f aca="false">'Raw Data'!K311</f>
        <v>Research Scientist</v>
      </c>
      <c r="E311" s="2" t="n">
        <f aca="false">'Raw Data'!Q311</f>
        <v>6</v>
      </c>
      <c r="F311" s="2" t="n">
        <f aca="false">'Raw Data'!U311</f>
        <v>4</v>
      </c>
      <c r="G311" s="2" t="n">
        <f aca="false">'Raw Data'!W311</f>
        <v>4</v>
      </c>
      <c r="H311" s="2" t="n">
        <f aca="false">'Raw Data'!V311</f>
        <v>4</v>
      </c>
      <c r="I311" s="2" t="n">
        <f aca="false">IF(AND(ISNUMBER(B311),B311&lt;=25),2,0)+IF(AND(ISNUMBER(E311),E311&lt;=5),2,0)+IF(AND(ISNUMBER(F311),F311&lt;=1),2,0)+IF(AND(ISNUMBER(G311),G311&lt;=2),1,0)+IF(AND(ISNUMBER(H311),H311&lt;=2),1,0)</f>
        <v>0</v>
      </c>
      <c r="J311" s="2" t="str">
        <f aca="false">IF(I311&gt;=6,"High",IF(I311&gt;=3,"Medium","Low"))</f>
        <v>Low</v>
      </c>
    </row>
    <row r="312" customFormat="false" ht="15" hidden="false" customHeight="true" outlineLevel="0" collapsed="false">
      <c r="A312" s="2" t="n">
        <f aca="false">'Raw Data'!H312</f>
        <v>311</v>
      </c>
      <c r="B312" s="2" t="n">
        <f aca="false">'Raw Data'!A312</f>
        <v>55</v>
      </c>
      <c r="C312" s="2" t="str">
        <f aca="false">'Raw Data'!D312</f>
        <v>Human Resources</v>
      </c>
      <c r="D312" s="2" t="str">
        <f aca="false">'Raw Data'!K312</f>
        <v>Laboratory Technician</v>
      </c>
      <c r="E312" s="2" t="n">
        <f aca="false">'Raw Data'!Q312</f>
        <v>24</v>
      </c>
      <c r="F312" s="2" t="n">
        <f aca="false">'Raw Data'!U312</f>
        <v>4</v>
      </c>
      <c r="G312" s="2" t="n">
        <f aca="false">'Raw Data'!W312</f>
        <v>1</v>
      </c>
      <c r="H312" s="2" t="n">
        <f aca="false">'Raw Data'!V312</f>
        <v>4</v>
      </c>
      <c r="I312" s="2" t="n">
        <f aca="false">IF(AND(ISNUMBER(B312),B312&lt;=25),2,0)+IF(AND(ISNUMBER(E312),E312&lt;=5),2,0)+IF(AND(ISNUMBER(F312),F312&lt;=1),2,0)+IF(AND(ISNUMBER(G312),G312&lt;=2),1,0)+IF(AND(ISNUMBER(H312),H312&lt;=2),1,0)</f>
        <v>1</v>
      </c>
      <c r="J312" s="2" t="str">
        <f aca="false">IF(I312&gt;=6,"High",IF(I312&gt;=3,"Medium","Low"))</f>
        <v>Low</v>
      </c>
    </row>
    <row r="313" customFormat="false" ht="15" hidden="false" customHeight="true" outlineLevel="0" collapsed="false">
      <c r="A313" s="2" t="n">
        <f aca="false">'Raw Data'!H313</f>
        <v>312</v>
      </c>
      <c r="B313" s="2" t="n">
        <f aca="false">'Raw Data'!A313</f>
        <v>36</v>
      </c>
      <c r="C313" s="2" t="str">
        <f aca="false">'Raw Data'!D313</f>
        <v>Research &amp; Development</v>
      </c>
      <c r="D313" s="2" t="str">
        <f aca="false">'Raw Data'!K313</f>
        <v>Sales Executive</v>
      </c>
      <c r="E313" s="2" t="n">
        <f aca="false">'Raw Data'!Q313</f>
        <v>10</v>
      </c>
      <c r="F313" s="2" t="n">
        <f aca="false">'Raw Data'!U313</f>
        <v>9</v>
      </c>
      <c r="G313" s="2" t="n">
        <f aca="false">'Raw Data'!W313</f>
        <v>1</v>
      </c>
      <c r="H313" s="2" t="n">
        <f aca="false">'Raw Data'!V313</f>
        <v>1</v>
      </c>
      <c r="I313" s="2" t="n">
        <f aca="false">IF(AND(ISNUMBER(B313),B313&lt;=25),2,0)+IF(AND(ISNUMBER(E313),E313&lt;=5),2,0)+IF(AND(ISNUMBER(F313),F313&lt;=1),2,0)+IF(AND(ISNUMBER(G313),G313&lt;=2),1,0)+IF(AND(ISNUMBER(H313),H313&lt;=2),1,0)</f>
        <v>2</v>
      </c>
      <c r="J313" s="2" t="str">
        <f aca="false">IF(I313&gt;=6,"High",IF(I313&gt;=3,"Medium","Low"))</f>
        <v>Low</v>
      </c>
    </row>
    <row r="314" customFormat="false" ht="15" hidden="false" customHeight="true" outlineLevel="0" collapsed="false">
      <c r="A314" s="2" t="n">
        <f aca="false">'Raw Data'!H314</f>
        <v>313</v>
      </c>
      <c r="B314" s="2" t="n">
        <f aca="false">'Raw Data'!A314</f>
        <v>52</v>
      </c>
      <c r="C314" s="2" t="str">
        <f aca="false">'Raw Data'!D314</f>
        <v>Research &amp; Development</v>
      </c>
      <c r="D314" s="2" t="str">
        <f aca="false">'Raw Data'!K314</f>
        <v>Sales Executive</v>
      </c>
      <c r="E314" s="2" t="n">
        <f aca="false">'Raw Data'!Q314</f>
        <v>5</v>
      </c>
      <c r="F314" s="2" t="n">
        <f aca="false">'Raw Data'!U314</f>
        <v>2</v>
      </c>
      <c r="G314" s="2" t="n">
        <f aca="false">'Raw Data'!W314</f>
        <v>4</v>
      </c>
      <c r="H314" s="2" t="n">
        <f aca="false">'Raw Data'!V314</f>
        <v>4</v>
      </c>
      <c r="I314" s="2" t="n">
        <f aca="false">IF(AND(ISNUMBER(B314),B314&lt;=25),2,0)+IF(AND(ISNUMBER(E314),E314&lt;=5),2,0)+IF(AND(ISNUMBER(F314),F314&lt;=1),2,0)+IF(AND(ISNUMBER(G314),G314&lt;=2),1,0)+IF(AND(ISNUMBER(H314),H314&lt;=2),1,0)</f>
        <v>2</v>
      </c>
      <c r="J314" s="2" t="str">
        <f aca="false">IF(I314&gt;=6,"High",IF(I314&gt;=3,"Medium","Low"))</f>
        <v>Low</v>
      </c>
    </row>
    <row r="315" customFormat="false" ht="15" hidden="false" customHeight="true" outlineLevel="0" collapsed="false">
      <c r="A315" s="2" t="n">
        <f aca="false">'Raw Data'!H315</f>
        <v>314</v>
      </c>
      <c r="B315" s="2" t="n">
        <f aca="false">'Raw Data'!A315</f>
        <v>26</v>
      </c>
      <c r="C315" s="2" t="str">
        <f aca="false">'Raw Data'!D315</f>
        <v>Research &amp; Development</v>
      </c>
      <c r="D315" s="2" t="str">
        <f aca="false">'Raw Data'!K315</f>
        <v>Manufacturing Director</v>
      </c>
      <c r="E315" s="2" t="n">
        <f aca="false">'Raw Data'!Q315</f>
        <v>5</v>
      </c>
      <c r="F315" s="2" t="n">
        <f aca="false">'Raw Data'!U315</f>
        <v>0</v>
      </c>
      <c r="G315" s="2" t="n">
        <f aca="false">'Raw Data'!W315</f>
        <v>0</v>
      </c>
      <c r="H315" s="2" t="n">
        <f aca="false">'Raw Data'!V315</f>
        <v>1</v>
      </c>
      <c r="I315" s="2" t="n">
        <f aca="false">IF(AND(ISNUMBER(B315),B315&lt;=25),2,0)+IF(AND(ISNUMBER(E315),E315&lt;=5),2,0)+IF(AND(ISNUMBER(F315),F315&lt;=1),2,0)+IF(AND(ISNUMBER(G315),G315&lt;=2),1,0)+IF(AND(ISNUMBER(H315),H315&lt;=2),1,0)</f>
        <v>5</v>
      </c>
      <c r="J315" s="2" t="str">
        <f aca="false">IF(I315&gt;=6,"High",IF(I315&gt;=3,"Medium","Low"))</f>
        <v>Medium</v>
      </c>
    </row>
    <row r="316" customFormat="false" ht="15" hidden="false" customHeight="true" outlineLevel="0" collapsed="false">
      <c r="A316" s="2" t="n">
        <f aca="false">'Raw Data'!H316</f>
        <v>315</v>
      </c>
      <c r="B316" s="2" t="n">
        <f aca="false">'Raw Data'!A316</f>
        <v>29</v>
      </c>
      <c r="C316" s="2" t="str">
        <f aca="false">'Raw Data'!D316</f>
        <v>Research &amp; Development</v>
      </c>
      <c r="D316" s="2" t="str">
        <f aca="false">'Raw Data'!K316</f>
        <v>Manufacturing Director</v>
      </c>
      <c r="E316" s="2" t="n">
        <f aca="false">'Raw Data'!Q316</f>
        <v>11</v>
      </c>
      <c r="F316" s="2" t="n">
        <f aca="false">'Raw Data'!U316</f>
        <v>1</v>
      </c>
      <c r="G316" s="2" t="n">
        <f aca="false">'Raw Data'!W316</f>
        <v>3</v>
      </c>
      <c r="H316" s="2" t="n">
        <f aca="false">'Raw Data'!V316</f>
        <v>2</v>
      </c>
      <c r="I316" s="2" t="n">
        <f aca="false">IF(AND(ISNUMBER(B316),B316&lt;=25),2,0)+IF(AND(ISNUMBER(E316),E316&lt;=5),2,0)+IF(AND(ISNUMBER(F316),F316&lt;=1),2,0)+IF(AND(ISNUMBER(G316),G316&lt;=2),1,0)+IF(AND(ISNUMBER(H316),H316&lt;=2),1,0)</f>
        <v>3</v>
      </c>
      <c r="J316" s="2" t="str">
        <f aca="false">IF(I316&gt;=6,"High",IF(I316&gt;=3,"Medium","Low"))</f>
        <v>Medium</v>
      </c>
    </row>
    <row r="317" customFormat="false" ht="15" hidden="false" customHeight="true" outlineLevel="0" collapsed="false">
      <c r="A317" s="2" t="n">
        <f aca="false">'Raw Data'!H317</f>
        <v>316</v>
      </c>
      <c r="B317" s="2" t="n">
        <f aca="false">'Raw Data'!A317</f>
        <v>26</v>
      </c>
      <c r="C317" s="2" t="str">
        <f aca="false">'Raw Data'!D317</f>
        <v>Research &amp; Development</v>
      </c>
      <c r="D317" s="2" t="str">
        <f aca="false">'Raw Data'!K317</f>
        <v>Laboratory Technician</v>
      </c>
      <c r="E317" s="2" t="n">
        <f aca="false">'Raw Data'!Q317</f>
        <v>6</v>
      </c>
      <c r="F317" s="2" t="n">
        <f aca="false">'Raw Data'!U317</f>
        <v>2</v>
      </c>
      <c r="G317" s="2" t="n">
        <f aca="false">'Raw Data'!W317</f>
        <v>1</v>
      </c>
      <c r="H317" s="2" t="n">
        <f aca="false">'Raw Data'!V317</f>
        <v>4</v>
      </c>
      <c r="I317" s="2" t="n">
        <f aca="false">IF(AND(ISNUMBER(B317),B317&lt;=25),2,0)+IF(AND(ISNUMBER(E317),E317&lt;=5),2,0)+IF(AND(ISNUMBER(F317),F317&lt;=1),2,0)+IF(AND(ISNUMBER(G317),G317&lt;=2),1,0)+IF(AND(ISNUMBER(H317),H317&lt;=2),1,0)</f>
        <v>1</v>
      </c>
      <c r="J317" s="2" t="str">
        <f aca="false">IF(I317&gt;=6,"High",IF(I317&gt;=3,"Medium","Low"))</f>
        <v>Low</v>
      </c>
    </row>
    <row r="318" customFormat="false" ht="15" hidden="false" customHeight="true" outlineLevel="0" collapsed="false">
      <c r="A318" s="2" t="n">
        <f aca="false">'Raw Data'!H318</f>
        <v>317</v>
      </c>
      <c r="B318" s="2" t="n">
        <f aca="false">'Raw Data'!A318</f>
        <v>34</v>
      </c>
      <c r="C318" s="2" t="str">
        <f aca="false">'Raw Data'!D318</f>
        <v>Research &amp; Development</v>
      </c>
      <c r="D318" s="2" t="str">
        <f aca="false">'Raw Data'!K318</f>
        <v>Manufacturing Director</v>
      </c>
      <c r="E318" s="2" t="n">
        <f aca="false">'Raw Data'!Q318</f>
        <v>10</v>
      </c>
      <c r="F318" s="2" t="n">
        <f aca="false">'Raw Data'!U318</f>
        <v>3</v>
      </c>
      <c r="G318" s="2" t="n">
        <f aca="false">'Raw Data'!W318</f>
        <v>4</v>
      </c>
      <c r="H318" s="2" t="n">
        <f aca="false">'Raw Data'!V318</f>
        <v>2</v>
      </c>
      <c r="I318" s="2" t="n">
        <f aca="false">IF(AND(ISNUMBER(B318),B318&lt;=25),2,0)+IF(AND(ISNUMBER(E318),E318&lt;=5),2,0)+IF(AND(ISNUMBER(F318),F318&lt;=1),2,0)+IF(AND(ISNUMBER(G318),G318&lt;=2),1,0)+IF(AND(ISNUMBER(H318),H318&lt;=2),1,0)</f>
        <v>1</v>
      </c>
      <c r="J318" s="2" t="str">
        <f aca="false">IF(I318&gt;=6,"High",IF(I318&gt;=3,"Medium","Low"))</f>
        <v>Low</v>
      </c>
    </row>
    <row r="319" customFormat="false" ht="15" hidden="false" customHeight="true" outlineLevel="0" collapsed="false">
      <c r="A319" s="2" t="n">
        <f aca="false">'Raw Data'!H319</f>
        <v>318</v>
      </c>
      <c r="B319" s="2" t="n">
        <f aca="false">'Raw Data'!A319</f>
        <v>54</v>
      </c>
      <c r="C319" s="2" t="str">
        <f aca="false">'Raw Data'!D319</f>
        <v>Research &amp; Development</v>
      </c>
      <c r="D319" s="2" t="str">
        <f aca="false">'Raw Data'!K319</f>
        <v>Laboratory Technician</v>
      </c>
      <c r="E319" s="2" t="n">
        <f aca="false">'Raw Data'!Q319</f>
        <v>9</v>
      </c>
      <c r="F319" s="2" t="n">
        <f aca="false">'Raw Data'!U319</f>
        <v>4</v>
      </c>
      <c r="G319" s="2" t="n">
        <f aca="false">'Raw Data'!W319</f>
        <v>1</v>
      </c>
      <c r="H319" s="2" t="n">
        <f aca="false">'Raw Data'!V319</f>
        <v>4</v>
      </c>
      <c r="I319" s="2" t="n">
        <f aca="false">IF(AND(ISNUMBER(B319),B319&lt;=25),2,0)+IF(AND(ISNUMBER(E319),E319&lt;=5),2,0)+IF(AND(ISNUMBER(F319),F319&lt;=1),2,0)+IF(AND(ISNUMBER(G319),G319&lt;=2),1,0)+IF(AND(ISNUMBER(H319),H319&lt;=2),1,0)</f>
        <v>1</v>
      </c>
      <c r="J319" s="2" t="str">
        <f aca="false">IF(I319&gt;=6,"High",IF(I319&gt;=3,"Medium","Low"))</f>
        <v>Low</v>
      </c>
    </row>
    <row r="320" customFormat="false" ht="15" hidden="false" customHeight="true" outlineLevel="0" collapsed="false">
      <c r="A320" s="2" t="n">
        <f aca="false">'Raw Data'!H320</f>
        <v>319</v>
      </c>
      <c r="B320" s="2" t="n">
        <f aca="false">'Raw Data'!A320</f>
        <v>27</v>
      </c>
      <c r="C320" s="2" t="str">
        <f aca="false">'Raw Data'!D320</f>
        <v>Research &amp; Development</v>
      </c>
      <c r="D320" s="2" t="str">
        <f aca="false">'Raw Data'!K320</f>
        <v>Research Scientist</v>
      </c>
      <c r="E320" s="2" t="n">
        <f aca="false">'Raw Data'!Q320</f>
        <v>5</v>
      </c>
      <c r="F320" s="2" t="n">
        <f aca="false">'Raw Data'!U320</f>
        <v>1</v>
      </c>
      <c r="G320" s="2" t="n">
        <f aca="false">'Raw Data'!W320</f>
        <v>4</v>
      </c>
      <c r="H320" s="2" t="n">
        <f aca="false">'Raw Data'!V320</f>
        <v>3</v>
      </c>
      <c r="I320" s="2" t="n">
        <f aca="false">IF(AND(ISNUMBER(B320),B320&lt;=25),2,0)+IF(AND(ISNUMBER(E320),E320&lt;=5),2,0)+IF(AND(ISNUMBER(F320),F320&lt;=1),2,0)+IF(AND(ISNUMBER(G320),G320&lt;=2),1,0)+IF(AND(ISNUMBER(H320),H320&lt;=2),1,0)</f>
        <v>4</v>
      </c>
      <c r="J320" s="2" t="str">
        <f aca="false">IF(I320&gt;=6,"High",IF(I320&gt;=3,"Medium","Low"))</f>
        <v>Medium</v>
      </c>
    </row>
    <row r="321" customFormat="false" ht="15" hidden="false" customHeight="true" outlineLevel="0" collapsed="false">
      <c r="A321" s="2" t="n">
        <f aca="false">'Raw Data'!H321</f>
        <v>320</v>
      </c>
      <c r="B321" s="2" t="n">
        <f aca="false">'Raw Data'!A321</f>
        <v>37</v>
      </c>
      <c r="C321" s="2" t="str">
        <f aca="false">'Raw Data'!D321</f>
        <v>Sales</v>
      </c>
      <c r="D321" s="2" t="str">
        <f aca="false">'Raw Data'!K321</f>
        <v>Manufacturing Director</v>
      </c>
      <c r="E321" s="2" t="n">
        <f aca="false">'Raw Data'!Q321</f>
        <v>6</v>
      </c>
      <c r="F321" s="2" t="n">
        <f aca="false">'Raw Data'!U321</f>
        <v>3</v>
      </c>
      <c r="G321" s="2" t="n">
        <f aca="false">'Raw Data'!W321</f>
        <v>1</v>
      </c>
      <c r="H321" s="2" t="n">
        <f aca="false">'Raw Data'!V321</f>
        <v>4</v>
      </c>
      <c r="I321" s="2" t="n">
        <f aca="false">IF(AND(ISNUMBER(B321),B321&lt;=25),2,0)+IF(AND(ISNUMBER(E321),E321&lt;=5),2,0)+IF(AND(ISNUMBER(F321),F321&lt;=1),2,0)+IF(AND(ISNUMBER(G321),G321&lt;=2),1,0)+IF(AND(ISNUMBER(H321),H321&lt;=2),1,0)</f>
        <v>1</v>
      </c>
      <c r="J321" s="2" t="str">
        <f aca="false">IF(I321&gt;=6,"High",IF(I321&gt;=3,"Medium","Low"))</f>
        <v>Low</v>
      </c>
    </row>
    <row r="322" customFormat="false" ht="15" hidden="false" customHeight="true" outlineLevel="0" collapsed="false">
      <c r="A322" s="2" t="n">
        <f aca="false">'Raw Data'!H322</f>
        <v>321</v>
      </c>
      <c r="B322" s="2" t="n">
        <f aca="false">'Raw Data'!A322</f>
        <v>38</v>
      </c>
      <c r="C322" s="2" t="str">
        <f aca="false">'Raw Data'!D322</f>
        <v>Sales</v>
      </c>
      <c r="D322" s="2" t="str">
        <f aca="false">'Raw Data'!K322</f>
        <v>Research Scientist</v>
      </c>
      <c r="E322" s="2" t="n">
        <f aca="false">'Raw Data'!Q322</f>
        <v>17</v>
      </c>
      <c r="F322" s="2" t="n">
        <f aca="false">'Raw Data'!U322</f>
        <v>12</v>
      </c>
      <c r="G322" s="2" t="n">
        <f aca="false">'Raw Data'!W322</f>
        <v>1</v>
      </c>
      <c r="H322" s="2" t="n">
        <f aca="false">'Raw Data'!V322</f>
        <v>1</v>
      </c>
      <c r="I322" s="2" t="n">
        <f aca="false">IF(AND(ISNUMBER(B322),B322&lt;=25),2,0)+IF(AND(ISNUMBER(E322),E322&lt;=5),2,0)+IF(AND(ISNUMBER(F322),F322&lt;=1),2,0)+IF(AND(ISNUMBER(G322),G322&lt;=2),1,0)+IF(AND(ISNUMBER(H322),H322&lt;=2),1,0)</f>
        <v>2</v>
      </c>
      <c r="J322" s="2" t="str">
        <f aca="false">IF(I322&gt;=6,"High",IF(I322&gt;=3,"Medium","Low"))</f>
        <v>Low</v>
      </c>
    </row>
    <row r="323" customFormat="false" ht="15" hidden="false" customHeight="true" outlineLevel="0" collapsed="false">
      <c r="A323" s="2" t="n">
        <f aca="false">'Raw Data'!H323</f>
        <v>322</v>
      </c>
      <c r="B323" s="2" t="n">
        <f aca="false">'Raw Data'!A323</f>
        <v>34</v>
      </c>
      <c r="C323" s="2" t="str">
        <f aca="false">'Raw Data'!D323</f>
        <v>Sales</v>
      </c>
      <c r="D323" s="2" t="str">
        <f aca="false">'Raw Data'!K323</f>
        <v>Sales Representative</v>
      </c>
      <c r="E323" s="2" t="n">
        <f aca="false">'Raw Data'!Q323</f>
        <v>6</v>
      </c>
      <c r="F323" s="2" t="n">
        <f aca="false">'Raw Data'!U323</f>
        <v>3</v>
      </c>
      <c r="G323" s="2" t="n">
        <f aca="false">'Raw Data'!W323</f>
        <v>1</v>
      </c>
      <c r="H323" s="2" t="n">
        <f aca="false">'Raw Data'!V323</f>
        <v>3</v>
      </c>
      <c r="I323" s="2" t="n">
        <f aca="false">IF(AND(ISNUMBER(B323),B323&lt;=25),2,0)+IF(AND(ISNUMBER(E323),E323&lt;=5),2,0)+IF(AND(ISNUMBER(F323),F323&lt;=1),2,0)+IF(AND(ISNUMBER(G323),G323&lt;=2),1,0)+IF(AND(ISNUMBER(H323),H323&lt;=2),1,0)</f>
        <v>1</v>
      </c>
      <c r="J323" s="2" t="str">
        <f aca="false">IF(I323&gt;=6,"High",IF(I323&gt;=3,"Medium","Low"))</f>
        <v>Low</v>
      </c>
    </row>
    <row r="324" customFormat="false" ht="15" hidden="false" customHeight="true" outlineLevel="0" collapsed="false">
      <c r="A324" s="2" t="n">
        <f aca="false">'Raw Data'!H324</f>
        <v>323</v>
      </c>
      <c r="B324" s="2" t="n">
        <f aca="false">'Raw Data'!A324</f>
        <v>35</v>
      </c>
      <c r="C324" s="2" t="str">
        <f aca="false">'Raw Data'!D324</f>
        <v>Research &amp; Development</v>
      </c>
      <c r="D324" s="2" t="str">
        <f aca="false">'Raw Data'!K324</f>
        <v>Manager</v>
      </c>
      <c r="E324" s="2" t="n">
        <f aca="false">'Raw Data'!Q324</f>
        <v>3</v>
      </c>
      <c r="F324" s="2" t="n">
        <f aca="false">'Raw Data'!U324</f>
        <v>2</v>
      </c>
      <c r="G324" s="2" t="n">
        <f aca="false">'Raw Data'!W324</f>
        <v>4</v>
      </c>
      <c r="H324" s="2" t="n">
        <f aca="false">'Raw Data'!V324</f>
        <v>1</v>
      </c>
      <c r="I324" s="2" t="n">
        <f aca="false">IF(AND(ISNUMBER(B324),B324&lt;=25),2,0)+IF(AND(ISNUMBER(E324),E324&lt;=5),2,0)+IF(AND(ISNUMBER(F324),F324&lt;=1),2,0)+IF(AND(ISNUMBER(G324),G324&lt;=2),1,0)+IF(AND(ISNUMBER(H324),H324&lt;=2),1,0)</f>
        <v>3</v>
      </c>
      <c r="J324" s="2" t="str">
        <f aca="false">IF(I324&gt;=6,"High",IF(I324&gt;=3,"Medium","Low"))</f>
        <v>Medium</v>
      </c>
    </row>
    <row r="325" customFormat="false" ht="15" hidden="false" customHeight="true" outlineLevel="0" collapsed="false">
      <c r="A325" s="2" t="n">
        <f aca="false">'Raw Data'!H325</f>
        <v>324</v>
      </c>
      <c r="B325" s="2" t="n">
        <f aca="false">'Raw Data'!A325</f>
        <v>30</v>
      </c>
      <c r="C325" s="2" t="str">
        <f aca="false">'Raw Data'!D325</f>
        <v>Research &amp; Development</v>
      </c>
      <c r="D325" s="2" t="str">
        <f aca="false">'Raw Data'!K325</f>
        <v>Laboratory Technician</v>
      </c>
      <c r="E325" s="2" t="n">
        <f aca="false">'Raw Data'!Q325</f>
        <v>7</v>
      </c>
      <c r="F325" s="2" t="n">
        <f aca="false">'Raw Data'!U325</f>
        <v>2</v>
      </c>
      <c r="G325" s="2" t="n">
        <f aca="false">'Raw Data'!W325</f>
        <v>3</v>
      </c>
      <c r="H325" s="2" t="n">
        <f aca="false">'Raw Data'!V325</f>
        <v>4</v>
      </c>
      <c r="I325" s="2" t="n">
        <f aca="false">IF(AND(ISNUMBER(B325),B325&lt;=25),2,0)+IF(AND(ISNUMBER(E325),E325&lt;=5),2,0)+IF(AND(ISNUMBER(F325),F325&lt;=1),2,0)+IF(AND(ISNUMBER(G325),G325&lt;=2),1,0)+IF(AND(ISNUMBER(H325),H325&lt;=2),1,0)</f>
        <v>0</v>
      </c>
      <c r="J325" s="2" t="str">
        <f aca="false">IF(I325&gt;=6,"High",IF(I325&gt;=3,"Medium","Low"))</f>
        <v>Low</v>
      </c>
    </row>
    <row r="326" customFormat="false" ht="15" hidden="false" customHeight="true" outlineLevel="0" collapsed="false">
      <c r="A326" s="2" t="n">
        <f aca="false">'Raw Data'!H326</f>
        <v>325</v>
      </c>
      <c r="B326" s="2" t="n">
        <f aca="false">'Raw Data'!A326</f>
        <v>40</v>
      </c>
      <c r="C326" s="2" t="str">
        <f aca="false">'Raw Data'!D326</f>
        <v>Research &amp; Development</v>
      </c>
      <c r="D326" s="2" t="str">
        <f aca="false">'Raw Data'!K326</f>
        <v>Manufacturing Director</v>
      </c>
      <c r="E326" s="2" t="n">
        <f aca="false">'Raw Data'!Q326</f>
        <v>8</v>
      </c>
      <c r="F326" s="2" t="n">
        <f aca="false">'Raw Data'!U326</f>
        <v>7</v>
      </c>
      <c r="G326" s="2" t="n">
        <f aca="false">'Raw Data'!W326</f>
        <v>2</v>
      </c>
      <c r="H326" s="2" t="n">
        <f aca="false">'Raw Data'!V326</f>
        <v>3</v>
      </c>
      <c r="I326" s="2" t="n">
        <f aca="false">IF(AND(ISNUMBER(B326),B326&lt;=25),2,0)+IF(AND(ISNUMBER(E326),E326&lt;=5),2,0)+IF(AND(ISNUMBER(F326),F326&lt;=1),2,0)+IF(AND(ISNUMBER(G326),G326&lt;=2),1,0)+IF(AND(ISNUMBER(H326),H326&lt;=2),1,0)</f>
        <v>1</v>
      </c>
      <c r="J326" s="2" t="str">
        <f aca="false">IF(I326&gt;=6,"High",IF(I326&gt;=3,"Medium","Low"))</f>
        <v>Low</v>
      </c>
    </row>
    <row r="327" customFormat="false" ht="15" hidden="false" customHeight="true" outlineLevel="0" collapsed="false">
      <c r="A327" s="2" t="n">
        <f aca="false">'Raw Data'!H327</f>
        <v>326</v>
      </c>
      <c r="B327" s="2" t="n">
        <f aca="false">'Raw Data'!A327</f>
        <v>34</v>
      </c>
      <c r="C327" s="2" t="str">
        <f aca="false">'Raw Data'!D327</f>
        <v>Research &amp; Development</v>
      </c>
      <c r="D327" s="2" t="str">
        <f aca="false">'Raw Data'!K327</f>
        <v>Healthcare Representative</v>
      </c>
      <c r="E327" s="2" t="n">
        <f aca="false">'Raw Data'!Q327</f>
        <v>6</v>
      </c>
      <c r="F327" s="2" t="n">
        <f aca="false">'Raw Data'!U327</f>
        <v>2</v>
      </c>
      <c r="G327" s="2" t="n">
        <f aca="false">'Raw Data'!W327</f>
        <v>1</v>
      </c>
      <c r="H327" s="2" t="n">
        <f aca="false">'Raw Data'!V327</f>
        <v>3</v>
      </c>
      <c r="I327" s="2" t="n">
        <f aca="false">IF(AND(ISNUMBER(B327),B327&lt;=25),2,0)+IF(AND(ISNUMBER(E327),E327&lt;=5),2,0)+IF(AND(ISNUMBER(F327),F327&lt;=1),2,0)+IF(AND(ISNUMBER(G327),G327&lt;=2),1,0)+IF(AND(ISNUMBER(H327),H327&lt;=2),1,0)</f>
        <v>1</v>
      </c>
      <c r="J327" s="2" t="str">
        <f aca="false">IF(I327&gt;=6,"High",IF(I327&gt;=3,"Medium","Low"))</f>
        <v>Low</v>
      </c>
    </row>
    <row r="328" customFormat="false" ht="15" hidden="false" customHeight="true" outlineLevel="0" collapsed="false">
      <c r="A328" s="2" t="n">
        <f aca="false">'Raw Data'!H328</f>
        <v>327</v>
      </c>
      <c r="B328" s="2" t="n">
        <f aca="false">'Raw Data'!A328</f>
        <v>42</v>
      </c>
      <c r="C328" s="2" t="str">
        <f aca="false">'Raw Data'!D328</f>
        <v>Research &amp; Development</v>
      </c>
      <c r="D328" s="2" t="str">
        <f aca="false">'Raw Data'!K328</f>
        <v>Manufacturing Director</v>
      </c>
      <c r="E328" s="2" t="n">
        <f aca="false">'Raw Data'!Q328</f>
        <v>24</v>
      </c>
      <c r="F328" s="2" t="n">
        <f aca="false">'Raw Data'!U328</f>
        <v>9</v>
      </c>
      <c r="G328" s="2" t="n">
        <f aca="false">'Raw Data'!W328</f>
        <v>4</v>
      </c>
      <c r="H328" s="2" t="n">
        <f aca="false">'Raw Data'!V328</f>
        <v>2</v>
      </c>
      <c r="I328" s="2" t="n">
        <f aca="false">IF(AND(ISNUMBER(B328),B328&lt;=25),2,0)+IF(AND(ISNUMBER(E328),E328&lt;=5),2,0)+IF(AND(ISNUMBER(F328),F328&lt;=1),2,0)+IF(AND(ISNUMBER(G328),G328&lt;=2),1,0)+IF(AND(ISNUMBER(H328),H328&lt;=2),1,0)</f>
        <v>1</v>
      </c>
      <c r="J328" s="2" t="str">
        <f aca="false">IF(I328&gt;=6,"High",IF(I328&gt;=3,"Medium","Low"))</f>
        <v>Low</v>
      </c>
    </row>
    <row r="329" customFormat="false" ht="15" hidden="false" customHeight="true" outlineLevel="0" collapsed="false">
      <c r="A329" s="2" t="n">
        <f aca="false">'Raw Data'!H329</f>
        <v>328</v>
      </c>
      <c r="B329" s="2" t="n">
        <f aca="false">'Raw Data'!A329</f>
        <v>23</v>
      </c>
      <c r="C329" s="2" t="str">
        <f aca="false">'Raw Data'!D329</f>
        <v>Sales</v>
      </c>
      <c r="D329" s="2" t="str">
        <f aca="false">'Raw Data'!K329</f>
        <v>Manufacturing Director</v>
      </c>
      <c r="E329" s="2" t="n">
        <f aca="false">'Raw Data'!Q329</f>
        <v>1</v>
      </c>
      <c r="F329" s="2" t="n">
        <f aca="false">'Raw Data'!U329</f>
        <v>0</v>
      </c>
      <c r="G329" s="2" t="n">
        <f aca="false">'Raw Data'!W329</f>
        <v>1</v>
      </c>
      <c r="H329" s="2" t="n">
        <f aca="false">'Raw Data'!V329</f>
        <v>3</v>
      </c>
      <c r="I329" s="2" t="n">
        <f aca="false">IF(AND(ISNUMBER(B329),B329&lt;=25),2,0)+IF(AND(ISNUMBER(E329),E329&lt;=5),2,0)+IF(AND(ISNUMBER(F329),F329&lt;=1),2,0)+IF(AND(ISNUMBER(G329),G329&lt;=2),1,0)+IF(AND(ISNUMBER(H329),H329&lt;=2),1,0)</f>
        <v>7</v>
      </c>
      <c r="J329" s="2" t="str">
        <f aca="false">IF(I329&gt;=6,"High",IF(I329&gt;=3,"Medium","Low"))</f>
        <v>High</v>
      </c>
    </row>
    <row r="330" customFormat="false" ht="15" hidden="false" customHeight="true" outlineLevel="0" collapsed="false">
      <c r="A330" s="2" t="n">
        <f aca="false">'Raw Data'!H330</f>
        <v>329</v>
      </c>
      <c r="B330" s="2" t="n">
        <f aca="false">'Raw Data'!A330</f>
        <v>24</v>
      </c>
      <c r="C330" s="2" t="str">
        <f aca="false">'Raw Data'!D330</f>
        <v>Sales</v>
      </c>
      <c r="D330" s="2" t="str">
        <f aca="false">'Raw Data'!K330</f>
        <v>Manufacturing Director</v>
      </c>
      <c r="E330" s="2" t="n">
        <f aca="false">'Raw Data'!Q330</f>
        <v>1</v>
      </c>
      <c r="F330" s="2" t="n">
        <f aca="false">'Raw Data'!U330</f>
        <v>0</v>
      </c>
      <c r="G330" s="2" t="n">
        <f aca="false">'Raw Data'!W330</f>
        <v>2</v>
      </c>
      <c r="H330" s="2" t="n">
        <f aca="false">'Raw Data'!V330</f>
        <v>3</v>
      </c>
      <c r="I330" s="2" t="n">
        <f aca="false">IF(AND(ISNUMBER(B330),B330&lt;=25),2,0)+IF(AND(ISNUMBER(E330),E330&lt;=5),2,0)+IF(AND(ISNUMBER(F330),F330&lt;=1),2,0)+IF(AND(ISNUMBER(G330),G330&lt;=2),1,0)+IF(AND(ISNUMBER(H330),H330&lt;=2),1,0)</f>
        <v>7</v>
      </c>
      <c r="J330" s="2" t="str">
        <f aca="false">IF(I330&gt;=6,"High",IF(I330&gt;=3,"Medium","Low"))</f>
        <v>High</v>
      </c>
    </row>
    <row r="331" customFormat="false" ht="15" hidden="false" customHeight="true" outlineLevel="0" collapsed="false">
      <c r="A331" s="2" t="n">
        <f aca="false">'Raw Data'!H331</f>
        <v>330</v>
      </c>
      <c r="B331" s="2" t="n">
        <f aca="false">'Raw Data'!A331</f>
        <v>52</v>
      </c>
      <c r="C331" s="2" t="str">
        <f aca="false">'Raw Data'!D331</f>
        <v>Research &amp; Development</v>
      </c>
      <c r="D331" s="2" t="str">
        <f aca="false">'Raw Data'!K331</f>
        <v>Manufacturing Director</v>
      </c>
      <c r="E331" s="2" t="n">
        <f aca="false">'Raw Data'!Q331</f>
        <v>9</v>
      </c>
      <c r="F331" s="2" t="n">
        <f aca="false">'Raw Data'!U331</f>
        <v>4</v>
      </c>
      <c r="G331" s="2" t="n">
        <f aca="false">'Raw Data'!W331</f>
        <v>3</v>
      </c>
      <c r="H331" s="2" t="n">
        <f aca="false">'Raw Data'!V331</f>
        <v>4</v>
      </c>
      <c r="I331" s="2" t="n">
        <f aca="false">IF(AND(ISNUMBER(B331),B331&lt;=25),2,0)+IF(AND(ISNUMBER(E331),E331&lt;=5),2,0)+IF(AND(ISNUMBER(F331),F331&lt;=1),2,0)+IF(AND(ISNUMBER(G331),G331&lt;=2),1,0)+IF(AND(ISNUMBER(H331),H331&lt;=2),1,0)</f>
        <v>0</v>
      </c>
      <c r="J331" s="2" t="str">
        <f aca="false">IF(I331&gt;=6,"High",IF(I331&gt;=3,"Medium","Low"))</f>
        <v>Low</v>
      </c>
    </row>
    <row r="332" customFormat="false" ht="15" hidden="false" customHeight="true" outlineLevel="0" collapsed="false">
      <c r="A332" s="2" t="n">
        <f aca="false">'Raw Data'!H332</f>
        <v>331</v>
      </c>
      <c r="B332" s="2" t="n">
        <f aca="false">'Raw Data'!A332</f>
        <v>50</v>
      </c>
      <c r="C332" s="2" t="str">
        <f aca="false">'Raw Data'!D332</f>
        <v>Research &amp; Development</v>
      </c>
      <c r="D332" s="2" t="str">
        <f aca="false">'Raw Data'!K332</f>
        <v>Sales Executive</v>
      </c>
      <c r="E332" s="2" t="n">
        <f aca="false">'Raw Data'!Q332</f>
        <v>30</v>
      </c>
      <c r="F332" s="2" t="n">
        <f aca="false">'Raw Data'!U332</f>
        <v>3</v>
      </c>
      <c r="G332" s="2" t="n">
        <f aca="false">'Raw Data'!W332</f>
        <v>3</v>
      </c>
      <c r="H332" s="2" t="n">
        <f aca="false">'Raw Data'!V332</f>
        <v>3</v>
      </c>
      <c r="I332" s="2" t="n">
        <f aca="false">IF(AND(ISNUMBER(B332),B332&lt;=25),2,0)+IF(AND(ISNUMBER(E332),E332&lt;=5),2,0)+IF(AND(ISNUMBER(F332),F332&lt;=1),2,0)+IF(AND(ISNUMBER(G332),G332&lt;=2),1,0)+IF(AND(ISNUMBER(H332),H332&lt;=2),1,0)</f>
        <v>0</v>
      </c>
      <c r="J332" s="2" t="str">
        <f aca="false">IF(I332&gt;=6,"High",IF(I332&gt;=3,"Medium","Low"))</f>
        <v>Low</v>
      </c>
    </row>
    <row r="333" customFormat="false" ht="15" hidden="false" customHeight="true" outlineLevel="0" collapsed="false">
      <c r="A333" s="2" t="n">
        <f aca="false">'Raw Data'!H333</f>
        <v>332</v>
      </c>
      <c r="B333" s="2" t="n">
        <f aca="false">'Raw Data'!A333</f>
        <v>29</v>
      </c>
      <c r="C333" s="2" t="str">
        <f aca="false">'Raw Data'!D333</f>
        <v>Sales</v>
      </c>
      <c r="D333" s="2" t="str">
        <f aca="false">'Raw Data'!K333</f>
        <v>Research Scientist</v>
      </c>
      <c r="E333" s="2" t="n">
        <f aca="false">'Raw Data'!Q333</f>
        <v>1</v>
      </c>
      <c r="F333" s="2" t="n">
        <f aca="false">'Raw Data'!U333</f>
        <v>0</v>
      </c>
      <c r="G333" s="2" t="n">
        <f aca="false">'Raw Data'!W333</f>
        <v>1</v>
      </c>
      <c r="H333" s="2" t="n">
        <f aca="false">'Raw Data'!V333</f>
        <v>2</v>
      </c>
      <c r="I333" s="2" t="n">
        <f aca="false">IF(AND(ISNUMBER(B333),B333&lt;=25),2,0)+IF(AND(ISNUMBER(E333),E333&lt;=5),2,0)+IF(AND(ISNUMBER(F333),F333&lt;=1),2,0)+IF(AND(ISNUMBER(G333),G333&lt;=2),1,0)+IF(AND(ISNUMBER(H333),H333&lt;=2),1,0)</f>
        <v>6</v>
      </c>
      <c r="J333" s="2" t="str">
        <f aca="false">IF(I333&gt;=6,"High",IF(I333&gt;=3,"Medium","Low"))</f>
        <v>High</v>
      </c>
    </row>
    <row r="334" customFormat="false" ht="15" hidden="false" customHeight="true" outlineLevel="0" collapsed="false">
      <c r="A334" s="2" t="n">
        <f aca="false">'Raw Data'!H334</f>
        <v>333</v>
      </c>
      <c r="B334" s="2" t="n">
        <f aca="false">'Raw Data'!A334</f>
        <v>33</v>
      </c>
      <c r="C334" s="2" t="str">
        <f aca="false">'Raw Data'!D334</f>
        <v>Research &amp; Development</v>
      </c>
      <c r="D334" s="2" t="str">
        <f aca="false">'Raw Data'!K334</f>
        <v>Manufacturing Director</v>
      </c>
      <c r="E334" s="2" t="n">
        <f aca="false">'Raw Data'!Q334</f>
        <v>14</v>
      </c>
      <c r="F334" s="2" t="n">
        <f aca="false">'Raw Data'!U334</f>
        <v>7</v>
      </c>
      <c r="G334" s="2" t="n">
        <f aca="false">'Raw Data'!W334</f>
        <v>3</v>
      </c>
      <c r="H334" s="2" t="n">
        <f aca="false">'Raw Data'!V334</f>
        <v>3</v>
      </c>
      <c r="I334" s="2" t="n">
        <f aca="false">IF(AND(ISNUMBER(B334),B334&lt;=25),2,0)+IF(AND(ISNUMBER(E334),E334&lt;=5),2,0)+IF(AND(ISNUMBER(F334),F334&lt;=1),2,0)+IF(AND(ISNUMBER(G334),G334&lt;=2),1,0)+IF(AND(ISNUMBER(H334),H334&lt;=2),1,0)</f>
        <v>0</v>
      </c>
      <c r="J334" s="2" t="str">
        <f aca="false">IF(I334&gt;=6,"High",IF(I334&gt;=3,"Medium","Low"))</f>
        <v>Low</v>
      </c>
    </row>
    <row r="335" customFormat="false" ht="15" hidden="false" customHeight="true" outlineLevel="0" collapsed="false">
      <c r="A335" s="2" t="n">
        <f aca="false">'Raw Data'!H335</f>
        <v>334</v>
      </c>
      <c r="B335" s="2" t="n">
        <f aca="false">'Raw Data'!A335</f>
        <v>33</v>
      </c>
      <c r="C335" s="2" t="str">
        <f aca="false">'Raw Data'!D335</f>
        <v>Research &amp; Development</v>
      </c>
      <c r="D335" s="2" t="str">
        <f aca="false">'Raw Data'!K335</f>
        <v>Human Resources</v>
      </c>
      <c r="E335" s="2" t="n">
        <f aca="false">'Raw Data'!Q335</f>
        <v>6</v>
      </c>
      <c r="F335" s="2" t="n">
        <f aca="false">'Raw Data'!U335</f>
        <v>2</v>
      </c>
      <c r="G335" s="2" t="n">
        <f aca="false">'Raw Data'!W335</f>
        <v>1</v>
      </c>
      <c r="H335" s="2" t="n">
        <f aca="false">'Raw Data'!V335</f>
        <v>1</v>
      </c>
      <c r="I335" s="2" t="n">
        <f aca="false">IF(AND(ISNUMBER(B335),B335&lt;=25),2,0)+IF(AND(ISNUMBER(E335),E335&lt;=5),2,0)+IF(AND(ISNUMBER(F335),F335&lt;=1),2,0)+IF(AND(ISNUMBER(G335),G335&lt;=2),1,0)+IF(AND(ISNUMBER(H335),H335&lt;=2),1,0)</f>
        <v>2</v>
      </c>
      <c r="J335" s="2" t="str">
        <f aca="false">IF(I335&gt;=6,"High",IF(I335&gt;=3,"Medium","Low"))</f>
        <v>Low</v>
      </c>
    </row>
    <row r="336" customFormat="false" ht="15" hidden="false" customHeight="true" outlineLevel="0" collapsed="false">
      <c r="A336" s="2" t="n">
        <f aca="false">'Raw Data'!H336</f>
        <v>335</v>
      </c>
      <c r="B336" s="2" t="n">
        <f aca="false">'Raw Data'!A336</f>
        <v>47</v>
      </c>
      <c r="C336" s="2" t="str">
        <f aca="false">'Raw Data'!D336</f>
        <v>Research &amp; Development</v>
      </c>
      <c r="D336" s="2" t="str">
        <f aca="false">'Raw Data'!K336</f>
        <v>Manager</v>
      </c>
      <c r="E336" s="2" t="n">
        <f aca="false">'Raw Data'!Q336</f>
        <v>26</v>
      </c>
      <c r="F336" s="2" t="n">
        <f aca="false">'Raw Data'!U336</f>
        <v>0</v>
      </c>
      <c r="G336" s="2" t="n">
        <f aca="false">'Raw Data'!W336</f>
        <v>4</v>
      </c>
      <c r="H336" s="2" t="n">
        <f aca="false">'Raw Data'!V336</f>
        <v>3</v>
      </c>
      <c r="I336" s="2" t="n">
        <f aca="false">IF(AND(ISNUMBER(B336),B336&lt;=25),2,0)+IF(AND(ISNUMBER(E336),E336&lt;=5),2,0)+IF(AND(ISNUMBER(F336),F336&lt;=1),2,0)+IF(AND(ISNUMBER(G336),G336&lt;=2),1,0)+IF(AND(ISNUMBER(H336),H336&lt;=2),1,0)</f>
        <v>2</v>
      </c>
      <c r="J336" s="2" t="str">
        <f aca="false">IF(I336&gt;=6,"High",IF(I336&gt;=3,"Medium","Low"))</f>
        <v>Low</v>
      </c>
    </row>
    <row r="337" customFormat="false" ht="15" hidden="false" customHeight="true" outlineLevel="0" collapsed="false">
      <c r="A337" s="2" t="n">
        <f aca="false">'Raw Data'!H337</f>
        <v>336</v>
      </c>
      <c r="B337" s="2" t="n">
        <f aca="false">'Raw Data'!A337</f>
        <v>36</v>
      </c>
      <c r="C337" s="2" t="str">
        <f aca="false">'Raw Data'!D337</f>
        <v>Sales</v>
      </c>
      <c r="D337" s="2" t="str">
        <f aca="false">'Raw Data'!K337</f>
        <v>Sales Executive</v>
      </c>
      <c r="E337" s="2" t="n">
        <f aca="false">'Raw Data'!Q337</f>
        <v>10</v>
      </c>
      <c r="F337" s="2" t="n">
        <f aca="false">'Raw Data'!U337</f>
        <v>5</v>
      </c>
      <c r="G337" s="2" t="n">
        <f aca="false">'Raw Data'!W337</f>
        <v>2</v>
      </c>
      <c r="H337" s="2" t="n">
        <f aca="false">'Raw Data'!V337</f>
        <v>3</v>
      </c>
      <c r="I337" s="2" t="n">
        <f aca="false">IF(AND(ISNUMBER(B337),B337&lt;=25),2,0)+IF(AND(ISNUMBER(E337),E337&lt;=5),2,0)+IF(AND(ISNUMBER(F337),F337&lt;=1),2,0)+IF(AND(ISNUMBER(G337),G337&lt;=2),1,0)+IF(AND(ISNUMBER(H337),H337&lt;=2),1,0)</f>
        <v>1</v>
      </c>
      <c r="J337" s="2" t="str">
        <f aca="false">IF(I337&gt;=6,"High",IF(I337&gt;=3,"Medium","Low"))</f>
        <v>Low</v>
      </c>
    </row>
    <row r="338" customFormat="false" ht="15" hidden="false" customHeight="true" outlineLevel="0" collapsed="false">
      <c r="A338" s="2" t="n">
        <f aca="false">'Raw Data'!H338</f>
        <v>337</v>
      </c>
      <c r="B338" s="2" t="n">
        <f aca="false">'Raw Data'!A338</f>
        <v>29</v>
      </c>
      <c r="C338" s="2" t="str">
        <f aca="false">'Raw Data'!D338</f>
        <v>Research &amp; Development</v>
      </c>
      <c r="D338" s="2" t="str">
        <f aca="false">'Raw Data'!K338</f>
        <v>Research Scientist</v>
      </c>
      <c r="E338" s="2" t="n">
        <f aca="false">'Raw Data'!Q338</f>
        <v>10</v>
      </c>
      <c r="F338" s="2" t="n">
        <f aca="false">'Raw Data'!U338</f>
        <v>7</v>
      </c>
      <c r="G338" s="2" t="n">
        <f aca="false">'Raw Data'!W338</f>
        <v>3</v>
      </c>
      <c r="H338" s="2" t="n">
        <f aca="false">'Raw Data'!V338</f>
        <v>3</v>
      </c>
      <c r="I338" s="2" t="n">
        <f aca="false">IF(AND(ISNUMBER(B338),B338&lt;=25),2,0)+IF(AND(ISNUMBER(E338),E338&lt;=5),2,0)+IF(AND(ISNUMBER(F338),F338&lt;=1),2,0)+IF(AND(ISNUMBER(G338),G338&lt;=2),1,0)+IF(AND(ISNUMBER(H338),H338&lt;=2),1,0)</f>
        <v>0</v>
      </c>
      <c r="J338" s="2" t="str">
        <f aca="false">IF(I338&gt;=6,"High",IF(I338&gt;=3,"Medium","Low"))</f>
        <v>Low</v>
      </c>
    </row>
    <row r="339" customFormat="false" ht="15" hidden="false" customHeight="true" outlineLevel="0" collapsed="false">
      <c r="A339" s="2" t="n">
        <f aca="false">'Raw Data'!H339</f>
        <v>338</v>
      </c>
      <c r="B339" s="2" t="n">
        <f aca="false">'Raw Data'!A339</f>
        <v>58</v>
      </c>
      <c r="C339" s="2" t="str">
        <f aca="false">'Raw Data'!D339</f>
        <v>Research &amp; Development</v>
      </c>
      <c r="D339" s="2" t="str">
        <f aca="false">'Raw Data'!K339</f>
        <v>Research Scientist</v>
      </c>
      <c r="E339" s="2" t="n">
        <f aca="false">'Raw Data'!Q339</f>
        <v>40</v>
      </c>
      <c r="F339" s="2" t="n">
        <f aca="false">'Raw Data'!U339</f>
        <v>8</v>
      </c>
      <c r="G339" s="2" t="n">
        <f aca="false">'Raw Data'!W339</f>
        <v>2</v>
      </c>
      <c r="H339" s="2" t="n">
        <f aca="false">'Raw Data'!V339</f>
        <v>4</v>
      </c>
      <c r="I339" s="2" t="n">
        <f aca="false">IF(AND(ISNUMBER(B339),B339&lt;=25),2,0)+IF(AND(ISNUMBER(E339),E339&lt;=5),2,0)+IF(AND(ISNUMBER(F339),F339&lt;=1),2,0)+IF(AND(ISNUMBER(G339),G339&lt;=2),1,0)+IF(AND(ISNUMBER(H339),H339&lt;=2),1,0)</f>
        <v>1</v>
      </c>
      <c r="J339" s="2" t="str">
        <f aca="false">IF(I339&gt;=6,"High",IF(I339&gt;=3,"Medium","Low"))</f>
        <v>Low</v>
      </c>
    </row>
    <row r="340" customFormat="false" ht="15" hidden="false" customHeight="true" outlineLevel="0" collapsed="false">
      <c r="A340" s="2" t="n">
        <f aca="false">'Raw Data'!H340</f>
        <v>339</v>
      </c>
      <c r="B340" s="2" t="n">
        <f aca="false">'Raw Data'!A340</f>
        <v>35</v>
      </c>
      <c r="C340" s="2" t="str">
        <f aca="false">'Raw Data'!D340</f>
        <v>Sales</v>
      </c>
      <c r="D340" s="2" t="str">
        <f aca="false">'Raw Data'!K340</f>
        <v>Research Scientist</v>
      </c>
      <c r="E340" s="2" t="n">
        <f aca="false">'Raw Data'!Q340</f>
        <v>7</v>
      </c>
      <c r="F340" s="2" t="n">
        <f aca="false">'Raw Data'!U340</f>
        <v>2</v>
      </c>
      <c r="G340" s="2" t="n">
        <f aca="false">'Raw Data'!W340</f>
        <v>3</v>
      </c>
      <c r="H340" s="2" t="n">
        <f aca="false">'Raw Data'!V340</f>
        <v>4</v>
      </c>
      <c r="I340" s="2" t="n">
        <f aca="false">IF(AND(ISNUMBER(B340),B340&lt;=25),2,0)+IF(AND(ISNUMBER(E340),E340&lt;=5),2,0)+IF(AND(ISNUMBER(F340),F340&lt;=1),2,0)+IF(AND(ISNUMBER(G340),G340&lt;=2),1,0)+IF(AND(ISNUMBER(H340),H340&lt;=2),1,0)</f>
        <v>0</v>
      </c>
      <c r="J340" s="2" t="str">
        <f aca="false">IF(I340&gt;=6,"High",IF(I340&gt;=3,"Medium","Low"))</f>
        <v>Low</v>
      </c>
    </row>
    <row r="341" customFormat="false" ht="15" hidden="false" customHeight="true" outlineLevel="0" collapsed="false">
      <c r="A341" s="2" t="n">
        <f aca="false">'Raw Data'!H341</f>
        <v>340</v>
      </c>
      <c r="B341" s="2" t="n">
        <f aca="false">'Raw Data'!A341</f>
        <v>42</v>
      </c>
      <c r="C341" s="2" t="str">
        <f aca="false">'Raw Data'!D341</f>
        <v>Sales</v>
      </c>
      <c r="D341" s="2" t="str">
        <f aca="false">'Raw Data'!K341</f>
        <v>Laboratory Technician</v>
      </c>
      <c r="E341" s="2" t="n">
        <f aca="false">'Raw Data'!Q341</f>
        <v>8</v>
      </c>
      <c r="F341" s="2" t="n">
        <f aca="false">'Raw Data'!U341</f>
        <v>2</v>
      </c>
      <c r="G341" s="2" t="n">
        <f aca="false">'Raw Data'!W341</f>
        <v>4</v>
      </c>
      <c r="H341" s="2" t="n">
        <f aca="false">'Raw Data'!V341</f>
        <v>4</v>
      </c>
      <c r="I341" s="2" t="n">
        <f aca="false">IF(AND(ISNUMBER(B341),B341&lt;=25),2,0)+IF(AND(ISNUMBER(E341),E341&lt;=5),2,0)+IF(AND(ISNUMBER(F341),F341&lt;=1),2,0)+IF(AND(ISNUMBER(G341),G341&lt;=2),1,0)+IF(AND(ISNUMBER(H341),H341&lt;=2),1,0)</f>
        <v>0</v>
      </c>
      <c r="J341" s="2" t="str">
        <f aca="false">IF(I341&gt;=6,"High",IF(I341&gt;=3,"Medium","Low"))</f>
        <v>Low</v>
      </c>
    </row>
    <row r="342" customFormat="false" ht="15" hidden="false" customHeight="true" outlineLevel="0" collapsed="false">
      <c r="A342" s="2" t="n">
        <f aca="false">'Raw Data'!H342</f>
        <v>341</v>
      </c>
      <c r="B342" s="2" t="n">
        <f aca="false">'Raw Data'!A342</f>
        <v>28</v>
      </c>
      <c r="C342" s="2" t="str">
        <f aca="false">'Raw Data'!D342</f>
        <v>Research &amp; Development</v>
      </c>
      <c r="D342" s="2" t="str">
        <f aca="false">'Raw Data'!K342</f>
        <v>Sales Executive</v>
      </c>
      <c r="E342" s="2" t="n">
        <f aca="false">'Raw Data'!Q342</f>
        <v>5</v>
      </c>
      <c r="F342" s="2" t="n">
        <f aca="false">'Raw Data'!U342</f>
        <v>1</v>
      </c>
      <c r="G342" s="2" t="n">
        <f aca="false">'Raw Data'!W342</f>
        <v>3</v>
      </c>
      <c r="H342" s="2" t="n">
        <f aca="false">'Raw Data'!V342</f>
        <v>3</v>
      </c>
      <c r="I342" s="2" t="n">
        <f aca="false">IF(AND(ISNUMBER(B342),B342&lt;=25),2,0)+IF(AND(ISNUMBER(E342),E342&lt;=5),2,0)+IF(AND(ISNUMBER(F342),F342&lt;=1),2,0)+IF(AND(ISNUMBER(G342),G342&lt;=2),1,0)+IF(AND(ISNUMBER(H342),H342&lt;=2),1,0)</f>
        <v>4</v>
      </c>
      <c r="J342" s="2" t="str">
        <f aca="false">IF(I342&gt;=6,"High",IF(I342&gt;=3,"Medium","Low"))</f>
        <v>Medium</v>
      </c>
    </row>
    <row r="343" customFormat="false" ht="15" hidden="false" customHeight="true" outlineLevel="0" collapsed="false">
      <c r="A343" s="2" t="n">
        <f aca="false">'Raw Data'!H343</f>
        <v>342</v>
      </c>
      <c r="B343" s="2" t="n">
        <f aca="false">'Raw Data'!A343</f>
        <v>36</v>
      </c>
      <c r="C343" s="2" t="str">
        <f aca="false">'Raw Data'!D343</f>
        <v>Research &amp; Development</v>
      </c>
      <c r="D343" s="2" t="str">
        <f aca="false">'Raw Data'!K343</f>
        <v>Healthcare Representative</v>
      </c>
      <c r="E343" s="2" t="n">
        <f aca="false">'Raw Data'!Q343</f>
        <v>8</v>
      </c>
      <c r="F343" s="2" t="n">
        <f aca="false">'Raw Data'!U343</f>
        <v>4</v>
      </c>
      <c r="G343" s="2" t="n">
        <f aca="false">'Raw Data'!W343</f>
        <v>2</v>
      </c>
      <c r="H343" s="2" t="n">
        <f aca="false">'Raw Data'!V343</f>
        <v>3</v>
      </c>
      <c r="I343" s="2" t="n">
        <f aca="false">IF(AND(ISNUMBER(B343),B343&lt;=25),2,0)+IF(AND(ISNUMBER(E343),E343&lt;=5),2,0)+IF(AND(ISNUMBER(F343),F343&lt;=1),2,0)+IF(AND(ISNUMBER(G343),G343&lt;=2),1,0)+IF(AND(ISNUMBER(H343),H343&lt;=2),1,0)</f>
        <v>1</v>
      </c>
      <c r="J343" s="2" t="str">
        <f aca="false">IF(I343&gt;=6,"High",IF(I343&gt;=3,"Medium","Low"))</f>
        <v>Low</v>
      </c>
    </row>
    <row r="344" customFormat="false" ht="15" hidden="false" customHeight="true" outlineLevel="0" collapsed="false">
      <c r="A344" s="2" t="n">
        <f aca="false">'Raw Data'!H344</f>
        <v>343</v>
      </c>
      <c r="B344" s="2" t="n">
        <f aca="false">'Raw Data'!A344</f>
        <v>32</v>
      </c>
      <c r="C344" s="2" t="str">
        <f aca="false">'Raw Data'!D344</f>
        <v>Research &amp; Development</v>
      </c>
      <c r="D344" s="2" t="str">
        <f aca="false">'Raw Data'!K344</f>
        <v>Manufacturing Director</v>
      </c>
      <c r="E344" s="2" t="n">
        <f aca="false">'Raw Data'!Q344</f>
        <v>14</v>
      </c>
      <c r="F344" s="2" t="n">
        <f aca="false">'Raw Data'!U344</f>
        <v>8</v>
      </c>
      <c r="G344" s="2" t="n">
        <f aca="false">'Raw Data'!W344</f>
        <v>3</v>
      </c>
      <c r="H344" s="2" t="n">
        <f aca="false">'Raw Data'!V344</f>
        <v>3</v>
      </c>
      <c r="I344" s="2" t="n">
        <f aca="false">IF(AND(ISNUMBER(B344),B344&lt;=25),2,0)+IF(AND(ISNUMBER(E344),E344&lt;=5),2,0)+IF(AND(ISNUMBER(F344),F344&lt;=1),2,0)+IF(AND(ISNUMBER(G344),G344&lt;=2),1,0)+IF(AND(ISNUMBER(H344),H344&lt;=2),1,0)</f>
        <v>0</v>
      </c>
      <c r="J344" s="2" t="str">
        <f aca="false">IF(I344&gt;=6,"High",IF(I344&gt;=3,"Medium","Low"))</f>
        <v>Low</v>
      </c>
    </row>
    <row r="345" customFormat="false" ht="15" hidden="false" customHeight="true" outlineLevel="0" collapsed="false">
      <c r="A345" s="2" t="n">
        <f aca="false">'Raw Data'!H345</f>
        <v>344</v>
      </c>
      <c r="B345" s="2" t="n">
        <f aca="false">'Raw Data'!A345</f>
        <v>40</v>
      </c>
      <c r="C345" s="2" t="str">
        <f aca="false">'Raw Data'!D345</f>
        <v>Sales</v>
      </c>
      <c r="D345" s="2" t="str">
        <f aca="false">'Raw Data'!K345</f>
        <v>Manufacturing Director</v>
      </c>
      <c r="E345" s="2" t="n">
        <f aca="false">'Raw Data'!Q345</f>
        <v>10</v>
      </c>
      <c r="F345" s="2" t="n">
        <f aca="false">'Raw Data'!U345</f>
        <v>0</v>
      </c>
      <c r="G345" s="2" t="n">
        <f aca="false">'Raw Data'!W345</f>
        <v>3</v>
      </c>
      <c r="H345" s="2" t="n">
        <f aca="false">'Raw Data'!V345</f>
        <v>1</v>
      </c>
      <c r="I345" s="2" t="n">
        <f aca="false">IF(AND(ISNUMBER(B345),B345&lt;=25),2,0)+IF(AND(ISNUMBER(E345),E345&lt;=5),2,0)+IF(AND(ISNUMBER(F345),F345&lt;=1),2,0)+IF(AND(ISNUMBER(G345),G345&lt;=2),1,0)+IF(AND(ISNUMBER(H345),H345&lt;=2),1,0)</f>
        <v>3</v>
      </c>
      <c r="J345" s="2" t="str">
        <f aca="false">IF(I345&gt;=6,"High",IF(I345&gt;=3,"Medium","Low"))</f>
        <v>Medium</v>
      </c>
    </row>
    <row r="346" customFormat="false" ht="15" hidden="false" customHeight="true" outlineLevel="0" collapsed="false">
      <c r="A346" s="2" t="n">
        <f aca="false">'Raw Data'!H346</f>
        <v>345</v>
      </c>
      <c r="B346" s="2" t="n">
        <f aca="false">'Raw Data'!A346</f>
        <v>30</v>
      </c>
      <c r="C346" s="2" t="str">
        <f aca="false">'Raw Data'!D346</f>
        <v>Research &amp; Development</v>
      </c>
      <c r="D346" s="2" t="str">
        <f aca="false">'Raw Data'!K346</f>
        <v>Research Director</v>
      </c>
      <c r="E346" s="2" t="n">
        <f aca="false">'Raw Data'!Q346</f>
        <v>12</v>
      </c>
      <c r="F346" s="2" t="n">
        <f aca="false">'Raw Data'!U346</f>
        <v>0</v>
      </c>
      <c r="G346" s="2" t="n">
        <f aca="false">'Raw Data'!W346</f>
        <v>4</v>
      </c>
      <c r="H346" s="2" t="n">
        <f aca="false">'Raw Data'!V346</f>
        <v>3</v>
      </c>
      <c r="I346" s="2" t="n">
        <f aca="false">IF(AND(ISNUMBER(B346),B346&lt;=25),2,0)+IF(AND(ISNUMBER(E346),E346&lt;=5),2,0)+IF(AND(ISNUMBER(F346),F346&lt;=1),2,0)+IF(AND(ISNUMBER(G346),G346&lt;=2),1,0)+IF(AND(ISNUMBER(H346),H346&lt;=2),1,0)</f>
        <v>2</v>
      </c>
      <c r="J346" s="2" t="str">
        <f aca="false">IF(I346&gt;=6,"High",IF(I346&gt;=3,"Medium","Low"))</f>
        <v>Low</v>
      </c>
    </row>
    <row r="347" customFormat="false" ht="15" hidden="false" customHeight="true" outlineLevel="0" collapsed="false">
      <c r="A347" s="2" t="n">
        <f aca="false">'Raw Data'!H347</f>
        <v>346</v>
      </c>
      <c r="B347" s="2" t="n">
        <f aca="false">'Raw Data'!A347</f>
        <v>45</v>
      </c>
      <c r="C347" s="2" t="str">
        <f aca="false">'Raw Data'!D347</f>
        <v>Research &amp; Development</v>
      </c>
      <c r="D347" s="2" t="str">
        <f aca="false">'Raw Data'!K347</f>
        <v>Research Director</v>
      </c>
      <c r="E347" s="2" t="n">
        <f aca="false">'Raw Data'!Q347</f>
        <v>1</v>
      </c>
      <c r="F347" s="2" t="n">
        <f aca="false">'Raw Data'!U347</f>
        <v>0</v>
      </c>
      <c r="G347" s="2" t="n">
        <f aca="false">'Raw Data'!W347</f>
        <v>3</v>
      </c>
      <c r="H347" s="2" t="n">
        <f aca="false">'Raw Data'!V347</f>
        <v>2</v>
      </c>
      <c r="I347" s="2" t="n">
        <f aca="false">IF(AND(ISNUMBER(B347),B347&lt;=25),2,0)+IF(AND(ISNUMBER(E347),E347&lt;=5),2,0)+IF(AND(ISNUMBER(F347),F347&lt;=1),2,0)+IF(AND(ISNUMBER(G347),G347&lt;=2),1,0)+IF(AND(ISNUMBER(H347),H347&lt;=2),1,0)</f>
        <v>5</v>
      </c>
      <c r="J347" s="2" t="str">
        <f aca="false">IF(I347&gt;=6,"High",IF(I347&gt;=3,"Medium","Low"))</f>
        <v>Medium</v>
      </c>
    </row>
    <row r="348" customFormat="false" ht="15" hidden="false" customHeight="true" outlineLevel="0" collapsed="false">
      <c r="A348" s="2" t="n">
        <f aca="false">'Raw Data'!H348</f>
        <v>347</v>
      </c>
      <c r="B348" s="2" t="n">
        <f aca="false">'Raw Data'!A348</f>
        <v>42</v>
      </c>
      <c r="C348" s="2" t="str">
        <f aca="false">'Raw Data'!D348</f>
        <v>Research &amp; Development</v>
      </c>
      <c r="D348" s="2" t="str">
        <f aca="false">'Raw Data'!K348</f>
        <v>Sales Representative</v>
      </c>
      <c r="E348" s="2" t="n">
        <f aca="false">'Raw Data'!Q348</f>
        <v>10</v>
      </c>
      <c r="F348" s="2" t="n">
        <f aca="false">'Raw Data'!U348</f>
        <v>8</v>
      </c>
      <c r="G348" s="2" t="n">
        <f aca="false">'Raw Data'!W348</f>
        <v>2</v>
      </c>
      <c r="H348" s="2" t="n">
        <f aca="false">'Raw Data'!V348</f>
        <v>2</v>
      </c>
      <c r="I348" s="2" t="n">
        <f aca="false">IF(AND(ISNUMBER(B348),B348&lt;=25),2,0)+IF(AND(ISNUMBER(E348),E348&lt;=5),2,0)+IF(AND(ISNUMBER(F348),F348&lt;=1),2,0)+IF(AND(ISNUMBER(G348),G348&lt;=2),1,0)+IF(AND(ISNUMBER(H348),H348&lt;=2),1,0)</f>
        <v>2</v>
      </c>
      <c r="J348" s="2" t="str">
        <f aca="false">IF(I348&gt;=6,"High",IF(I348&gt;=3,"Medium","Low"))</f>
        <v>Low</v>
      </c>
    </row>
    <row r="349" customFormat="false" ht="15" hidden="false" customHeight="true" outlineLevel="0" collapsed="false">
      <c r="A349" s="2" t="n">
        <f aca="false">'Raw Data'!H349</f>
        <v>348</v>
      </c>
      <c r="B349" s="2" t="n">
        <f aca="false">'Raw Data'!A349</f>
        <v>38</v>
      </c>
      <c r="C349" s="2" t="str">
        <f aca="false">'Raw Data'!D349</f>
        <v>Sales</v>
      </c>
      <c r="D349" s="2" t="str">
        <f aca="false">'Raw Data'!K349</f>
        <v>Research Scientist</v>
      </c>
      <c r="E349" s="2" t="n">
        <f aca="false">'Raw Data'!Q349</f>
        <v>13</v>
      </c>
      <c r="F349" s="2" t="n">
        <f aca="false">'Raw Data'!U349</f>
        <v>2</v>
      </c>
      <c r="G349" s="2" t="n">
        <f aca="false">'Raw Data'!W349</f>
        <v>1</v>
      </c>
      <c r="H349" s="2" t="n">
        <f aca="false">'Raw Data'!V349</f>
        <v>1</v>
      </c>
      <c r="I349" s="2" t="n">
        <f aca="false">IF(AND(ISNUMBER(B349),B349&lt;=25),2,0)+IF(AND(ISNUMBER(E349),E349&lt;=5),2,0)+IF(AND(ISNUMBER(F349),F349&lt;=1),2,0)+IF(AND(ISNUMBER(G349),G349&lt;=2),1,0)+IF(AND(ISNUMBER(H349),H349&lt;=2),1,0)</f>
        <v>2</v>
      </c>
      <c r="J349" s="2" t="str">
        <f aca="false">IF(I349&gt;=6,"High",IF(I349&gt;=3,"Medium","Low"))</f>
        <v>Low</v>
      </c>
    </row>
    <row r="350" customFormat="false" ht="15" hidden="false" customHeight="true" outlineLevel="0" collapsed="false">
      <c r="A350" s="2" t="n">
        <f aca="false">'Raw Data'!H350</f>
        <v>349</v>
      </c>
      <c r="B350" s="2" t="n">
        <f aca="false">'Raw Data'!A350</f>
        <v>34</v>
      </c>
      <c r="C350" s="2" t="str">
        <f aca="false">'Raw Data'!D350</f>
        <v>Research &amp; Development</v>
      </c>
      <c r="D350" s="2" t="str">
        <f aca="false">'Raw Data'!K350</f>
        <v>Laboratory Technician</v>
      </c>
      <c r="E350" s="2" t="n">
        <f aca="false">'Raw Data'!Q350</f>
        <v>6</v>
      </c>
      <c r="F350" s="2" t="n">
        <f aca="false">'Raw Data'!U350</f>
        <v>3</v>
      </c>
      <c r="G350" s="2" t="n">
        <f aca="false">'Raw Data'!W350</f>
        <v>4</v>
      </c>
      <c r="H350" s="2" t="n">
        <f aca="false">'Raw Data'!V350</f>
        <v>3</v>
      </c>
      <c r="I350" s="2" t="n">
        <f aca="false">IF(AND(ISNUMBER(B350),B350&lt;=25),2,0)+IF(AND(ISNUMBER(E350),E350&lt;=5),2,0)+IF(AND(ISNUMBER(F350),F350&lt;=1),2,0)+IF(AND(ISNUMBER(G350),G350&lt;=2),1,0)+IF(AND(ISNUMBER(H350),H350&lt;=2),1,0)</f>
        <v>0</v>
      </c>
      <c r="J350" s="2" t="str">
        <f aca="false">IF(I350&gt;=6,"High",IF(I350&gt;=3,"Medium","Low"))</f>
        <v>Low</v>
      </c>
    </row>
    <row r="351" customFormat="false" ht="15" hidden="false" customHeight="true" outlineLevel="0" collapsed="false">
      <c r="A351" s="2" t="n">
        <f aca="false">'Raw Data'!H351</f>
        <v>350</v>
      </c>
      <c r="B351" s="2" t="n">
        <f aca="false">'Raw Data'!A351</f>
        <v>49</v>
      </c>
      <c r="C351" s="2" t="str">
        <f aca="false">'Raw Data'!D351</f>
        <v>Sales</v>
      </c>
      <c r="D351" s="2" t="str">
        <f aca="false">'Raw Data'!K351</f>
        <v>Healthcare Representative</v>
      </c>
      <c r="E351" s="2" t="n">
        <f aca="false">'Raw Data'!Q351</f>
        <v>9</v>
      </c>
      <c r="F351" s="2" t="n">
        <f aca="false">'Raw Data'!U351</f>
        <v>7</v>
      </c>
      <c r="G351" s="2" t="n">
        <f aca="false">'Raw Data'!W351</f>
        <v>4</v>
      </c>
      <c r="H351" s="2" t="n">
        <f aca="false">'Raw Data'!V351</f>
        <v>3</v>
      </c>
      <c r="I351" s="2" t="n">
        <f aca="false">IF(AND(ISNUMBER(B351),B351&lt;=25),2,0)+IF(AND(ISNUMBER(E351),E351&lt;=5),2,0)+IF(AND(ISNUMBER(F351),F351&lt;=1),2,0)+IF(AND(ISNUMBER(G351),G351&lt;=2),1,0)+IF(AND(ISNUMBER(H351),H351&lt;=2),1,0)</f>
        <v>0</v>
      </c>
      <c r="J351" s="2" t="str">
        <f aca="false">IF(I351&gt;=6,"High",IF(I351&gt;=3,"Medium","Low"))</f>
        <v>Low</v>
      </c>
    </row>
    <row r="352" customFormat="false" ht="15" hidden="false" customHeight="true" outlineLevel="0" collapsed="false">
      <c r="A352" s="2" t="n">
        <f aca="false">'Raw Data'!H352</f>
        <v>351</v>
      </c>
      <c r="B352" s="2" t="n">
        <f aca="false">'Raw Data'!A352</f>
        <v>55</v>
      </c>
      <c r="C352" s="2" t="str">
        <f aca="false">'Raw Data'!D352</f>
        <v>Human Resources</v>
      </c>
      <c r="D352" s="2" t="str">
        <f aca="false">'Raw Data'!K352</f>
        <v>Manufacturing Director</v>
      </c>
      <c r="E352" s="2" t="n">
        <f aca="false">'Raw Data'!Q352</f>
        <v>12</v>
      </c>
      <c r="F352" s="2" t="n">
        <f aca="false">'Raw Data'!U352</f>
        <v>3</v>
      </c>
      <c r="G352" s="2" t="n">
        <f aca="false">'Raw Data'!W352</f>
        <v>4</v>
      </c>
      <c r="H352" s="2" t="n">
        <f aca="false">'Raw Data'!V352</f>
        <v>3</v>
      </c>
      <c r="I352" s="2" t="n">
        <f aca="false">IF(AND(ISNUMBER(B352),B352&lt;=25),2,0)+IF(AND(ISNUMBER(E352),E352&lt;=5),2,0)+IF(AND(ISNUMBER(F352),F352&lt;=1),2,0)+IF(AND(ISNUMBER(G352),G352&lt;=2),1,0)+IF(AND(ISNUMBER(H352),H352&lt;=2),1,0)</f>
        <v>0</v>
      </c>
      <c r="J352" s="2" t="str">
        <f aca="false">IF(I352&gt;=6,"High",IF(I352&gt;=3,"Medium","Low"))</f>
        <v>Low</v>
      </c>
    </row>
    <row r="353" customFormat="false" ht="15" hidden="false" customHeight="true" outlineLevel="0" collapsed="false">
      <c r="A353" s="2" t="n">
        <f aca="false">'Raw Data'!H353</f>
        <v>352</v>
      </c>
      <c r="B353" s="2" t="n">
        <f aca="false">'Raw Data'!A353</f>
        <v>43</v>
      </c>
      <c r="C353" s="2" t="str">
        <f aca="false">'Raw Data'!D353</f>
        <v>Research &amp; Development</v>
      </c>
      <c r="D353" s="2" t="str">
        <f aca="false">'Raw Data'!K353</f>
        <v>Healthcare Representative</v>
      </c>
      <c r="E353" s="2" t="n">
        <f aca="false">'Raw Data'!Q353</f>
        <v>22</v>
      </c>
      <c r="F353" s="2" t="n">
        <f aca="false">'Raw Data'!U353</f>
        <v>0</v>
      </c>
      <c r="G353" s="2" t="n">
        <f aca="false">'Raw Data'!W353</f>
        <v>1</v>
      </c>
      <c r="H353" s="2" t="n">
        <f aca="false">'Raw Data'!V353</f>
        <v>2</v>
      </c>
      <c r="I353" s="2" t="n">
        <f aca="false">IF(AND(ISNUMBER(B353),B353&lt;=25),2,0)+IF(AND(ISNUMBER(E353),E353&lt;=5),2,0)+IF(AND(ISNUMBER(F353),F353&lt;=1),2,0)+IF(AND(ISNUMBER(G353),G353&lt;=2),1,0)+IF(AND(ISNUMBER(H353),H353&lt;=2),1,0)</f>
        <v>4</v>
      </c>
      <c r="J353" s="2" t="str">
        <f aca="false">IF(I353&gt;=6,"High",IF(I353&gt;=3,"Medium","Low"))</f>
        <v>Medium</v>
      </c>
    </row>
    <row r="354" customFormat="false" ht="15" hidden="false" customHeight="true" outlineLevel="0" collapsed="false">
      <c r="A354" s="2" t="n">
        <f aca="false">'Raw Data'!H354</f>
        <v>353</v>
      </c>
      <c r="B354" s="2" t="n">
        <f aca="false">'Raw Data'!A354</f>
        <v>27</v>
      </c>
      <c r="C354" s="2" t="str">
        <f aca="false">'Raw Data'!D354</f>
        <v>Sales</v>
      </c>
      <c r="D354" s="2" t="str">
        <f aca="false">'Raw Data'!K354</f>
        <v>Manager</v>
      </c>
      <c r="E354" s="2" t="n">
        <f aca="false">'Raw Data'!Q354</f>
        <v>9</v>
      </c>
      <c r="F354" s="2" t="n">
        <f aca="false">'Raw Data'!U354</f>
        <v>8</v>
      </c>
      <c r="G354" s="2" t="n">
        <f aca="false">'Raw Data'!W354</f>
        <v>4</v>
      </c>
      <c r="H354" s="2" t="n">
        <f aca="false">'Raw Data'!V354</f>
        <v>3</v>
      </c>
      <c r="I354" s="2" t="n">
        <f aca="false">IF(AND(ISNUMBER(B354),B354&lt;=25),2,0)+IF(AND(ISNUMBER(E354),E354&lt;=5),2,0)+IF(AND(ISNUMBER(F354),F354&lt;=1),2,0)+IF(AND(ISNUMBER(G354),G354&lt;=2),1,0)+IF(AND(ISNUMBER(H354),H354&lt;=2),1,0)</f>
        <v>0</v>
      </c>
      <c r="J354" s="2" t="str">
        <f aca="false">IF(I354&gt;=6,"High",IF(I354&gt;=3,"Medium","Low"))</f>
        <v>Low</v>
      </c>
    </row>
    <row r="355" customFormat="false" ht="15" hidden="false" customHeight="true" outlineLevel="0" collapsed="false">
      <c r="A355" s="2" t="n">
        <f aca="false">'Raw Data'!H355</f>
        <v>354</v>
      </c>
      <c r="B355" s="2" t="n">
        <f aca="false">'Raw Data'!A355</f>
        <v>35</v>
      </c>
      <c r="C355" s="2" t="str">
        <f aca="false">'Raw Data'!D355</f>
        <v>Research &amp; Development</v>
      </c>
      <c r="D355" s="2" t="str">
        <f aca="false">'Raw Data'!K355</f>
        <v>Research Director</v>
      </c>
      <c r="E355" s="2" t="n">
        <f aca="false">'Raw Data'!Q355</f>
        <v>17</v>
      </c>
      <c r="F355" s="2" t="n">
        <f aca="false">'Raw Data'!U355</f>
        <v>6</v>
      </c>
      <c r="G355" s="2" t="n">
        <f aca="false">'Raw Data'!W355</f>
        <v>3</v>
      </c>
      <c r="H355" s="2" t="n">
        <f aca="false">'Raw Data'!V355</f>
        <v>3</v>
      </c>
      <c r="I355" s="2" t="n">
        <f aca="false">IF(AND(ISNUMBER(B355),B355&lt;=25),2,0)+IF(AND(ISNUMBER(E355),E355&lt;=5),2,0)+IF(AND(ISNUMBER(F355),F355&lt;=1),2,0)+IF(AND(ISNUMBER(G355),G355&lt;=2),1,0)+IF(AND(ISNUMBER(H355),H355&lt;=2),1,0)</f>
        <v>0</v>
      </c>
      <c r="J355" s="2" t="str">
        <f aca="false">IF(I355&gt;=6,"High",IF(I355&gt;=3,"Medium","Low"))</f>
        <v>Low</v>
      </c>
    </row>
    <row r="356" customFormat="false" ht="15" hidden="false" customHeight="true" outlineLevel="0" collapsed="false">
      <c r="A356" s="2" t="n">
        <f aca="false">'Raw Data'!H356</f>
        <v>355</v>
      </c>
      <c r="B356" s="2" t="n">
        <f aca="false">'Raw Data'!A356</f>
        <v>28</v>
      </c>
      <c r="C356" s="2" t="str">
        <f aca="false">'Raw Data'!D356</f>
        <v>Sales</v>
      </c>
      <c r="D356" s="2" t="str">
        <f aca="false">'Raw Data'!K356</f>
        <v>Sales Executive</v>
      </c>
      <c r="E356" s="2" t="n">
        <f aca="false">'Raw Data'!Q356</f>
        <v>8</v>
      </c>
      <c r="F356" s="2" t="n">
        <f aca="false">'Raw Data'!U356</f>
        <v>5</v>
      </c>
      <c r="G356" s="2" t="n">
        <f aca="false">'Raw Data'!W356</f>
        <v>2</v>
      </c>
      <c r="H356" s="2" t="n">
        <f aca="false">'Raw Data'!V356</f>
        <v>2</v>
      </c>
      <c r="I356" s="2" t="n">
        <f aca="false">IF(AND(ISNUMBER(B356),B356&lt;=25),2,0)+IF(AND(ISNUMBER(E356),E356&lt;=5),2,0)+IF(AND(ISNUMBER(F356),F356&lt;=1),2,0)+IF(AND(ISNUMBER(G356),G356&lt;=2),1,0)+IF(AND(ISNUMBER(H356),H356&lt;=2),1,0)</f>
        <v>2</v>
      </c>
      <c r="J356" s="2" t="str">
        <f aca="false">IF(I356&gt;=6,"High",IF(I356&gt;=3,"Medium","Low"))</f>
        <v>Low</v>
      </c>
    </row>
    <row r="357" customFormat="false" ht="15" hidden="false" customHeight="true" outlineLevel="0" collapsed="false">
      <c r="A357" s="2" t="n">
        <f aca="false">'Raw Data'!H357</f>
        <v>356</v>
      </c>
      <c r="B357" s="2" t="n">
        <f aca="false">'Raw Data'!A357</f>
        <v>34</v>
      </c>
      <c r="C357" s="2" t="str">
        <f aca="false">'Raw Data'!D357</f>
        <v>Sales</v>
      </c>
      <c r="D357" s="2" t="str">
        <f aca="false">'Raw Data'!K357</f>
        <v>Research Scientist</v>
      </c>
      <c r="E357" s="2" t="n">
        <f aca="false">'Raw Data'!Q357</f>
        <v>4</v>
      </c>
      <c r="F357" s="2" t="n">
        <f aca="false">'Raw Data'!U357</f>
        <v>2</v>
      </c>
      <c r="G357" s="2" t="n">
        <f aca="false">'Raw Data'!W357</f>
        <v>4</v>
      </c>
      <c r="H357" s="2" t="n">
        <f aca="false">'Raw Data'!V357</f>
        <v>3</v>
      </c>
      <c r="I357" s="2" t="n">
        <f aca="false">IF(AND(ISNUMBER(B357),B357&lt;=25),2,0)+IF(AND(ISNUMBER(E357),E357&lt;=5),2,0)+IF(AND(ISNUMBER(F357),F357&lt;=1),2,0)+IF(AND(ISNUMBER(G357),G357&lt;=2),1,0)+IF(AND(ISNUMBER(H357),H357&lt;=2),1,0)</f>
        <v>2</v>
      </c>
      <c r="J357" s="2" t="str">
        <f aca="false">IF(I357&gt;=6,"High",IF(I357&gt;=3,"Medium","Low"))</f>
        <v>Low</v>
      </c>
    </row>
    <row r="358" customFormat="false" ht="15" hidden="false" customHeight="true" outlineLevel="0" collapsed="false">
      <c r="A358" s="2" t="n">
        <f aca="false">'Raw Data'!H358</f>
        <v>357</v>
      </c>
      <c r="B358" s="2" t="n">
        <f aca="false">'Raw Data'!A358</f>
        <v>26</v>
      </c>
      <c r="C358" s="2" t="str">
        <f aca="false">'Raw Data'!D358</f>
        <v>Research &amp; Development</v>
      </c>
      <c r="D358" s="2" t="str">
        <f aca="false">'Raw Data'!K358</f>
        <v>Sales Executive</v>
      </c>
      <c r="E358" s="2" t="n">
        <f aca="false">'Raw Data'!Q358</f>
        <v>8</v>
      </c>
      <c r="F358" s="2" t="n">
        <f aca="false">'Raw Data'!U358</f>
        <v>7</v>
      </c>
      <c r="G358" s="2" t="n">
        <f aca="false">'Raw Data'!W358</f>
        <v>3</v>
      </c>
      <c r="H358" s="2" t="n">
        <f aca="false">'Raw Data'!V358</f>
        <v>3</v>
      </c>
      <c r="I358" s="2" t="n">
        <f aca="false">IF(AND(ISNUMBER(B358),B358&lt;=25),2,0)+IF(AND(ISNUMBER(E358),E358&lt;=5),2,0)+IF(AND(ISNUMBER(F358),F358&lt;=1),2,0)+IF(AND(ISNUMBER(G358),G358&lt;=2),1,0)+IF(AND(ISNUMBER(H358),H358&lt;=2),1,0)</f>
        <v>0</v>
      </c>
      <c r="J358" s="2" t="str">
        <f aca="false">IF(I358&gt;=6,"High",IF(I358&gt;=3,"Medium","Low"))</f>
        <v>Low</v>
      </c>
    </row>
    <row r="359" customFormat="false" ht="15" hidden="false" customHeight="true" outlineLevel="0" collapsed="false">
      <c r="A359" s="2" t="n">
        <f aca="false">'Raw Data'!H359</f>
        <v>358</v>
      </c>
      <c r="B359" s="2" t="n">
        <f aca="false">'Raw Data'!A359</f>
        <v>27</v>
      </c>
      <c r="C359" s="2" t="str">
        <f aca="false">'Raw Data'!D359</f>
        <v>Sales</v>
      </c>
      <c r="D359" s="2" t="str">
        <f aca="false">'Raw Data'!K359</f>
        <v>Sales Executive</v>
      </c>
      <c r="E359" s="2" t="n">
        <f aca="false">'Raw Data'!Q359</f>
        <v>0</v>
      </c>
      <c r="F359" s="2" t="n">
        <f aca="false">'Raw Data'!U359</f>
        <v>0</v>
      </c>
      <c r="G359" s="2" t="n">
        <f aca="false">'Raw Data'!W359</f>
        <v>4</v>
      </c>
      <c r="H359" s="2" t="n">
        <f aca="false">'Raw Data'!V359</f>
        <v>4</v>
      </c>
      <c r="I359" s="2" t="n">
        <f aca="false">IF(AND(ISNUMBER(B359),B359&lt;=25),2,0)+IF(AND(ISNUMBER(E359),E359&lt;=5),2,0)+IF(AND(ISNUMBER(F359),F359&lt;=1),2,0)+IF(AND(ISNUMBER(G359),G359&lt;=2),1,0)+IF(AND(ISNUMBER(H359),H359&lt;=2),1,0)</f>
        <v>4</v>
      </c>
      <c r="J359" s="2" t="str">
        <f aca="false">IF(I359&gt;=6,"High",IF(I359&gt;=3,"Medium","Low"))</f>
        <v>Medium</v>
      </c>
    </row>
    <row r="360" customFormat="false" ht="15" hidden="false" customHeight="true" outlineLevel="0" collapsed="false">
      <c r="A360" s="2" t="n">
        <f aca="false">'Raw Data'!H360</f>
        <v>359</v>
      </c>
      <c r="B360" s="2" t="n">
        <f aca="false">'Raw Data'!A360</f>
        <v>51</v>
      </c>
      <c r="C360" s="2" t="str">
        <f aca="false">'Raw Data'!D360</f>
        <v>Sales</v>
      </c>
      <c r="D360" s="2" t="str">
        <f aca="false">'Raw Data'!K360</f>
        <v>Research Scientist</v>
      </c>
      <c r="E360" s="2" t="n">
        <f aca="false">'Raw Data'!Q360</f>
        <v>29</v>
      </c>
      <c r="F360" s="2" t="n">
        <f aca="false">'Raw Data'!U360</f>
        <v>17</v>
      </c>
      <c r="G360" s="2" t="n">
        <f aca="false">'Raw Data'!W360</f>
        <v>3</v>
      </c>
      <c r="H360" s="2" t="n">
        <f aca="false">'Raw Data'!V360</f>
        <v>1</v>
      </c>
      <c r="I360" s="2" t="n">
        <f aca="false">IF(AND(ISNUMBER(B360),B360&lt;=25),2,0)+IF(AND(ISNUMBER(E360),E360&lt;=5),2,0)+IF(AND(ISNUMBER(F360),F360&lt;=1),2,0)+IF(AND(ISNUMBER(G360),G360&lt;=2),1,0)+IF(AND(ISNUMBER(H360),H360&lt;=2),1,0)</f>
        <v>1</v>
      </c>
      <c r="J360" s="2" t="str">
        <f aca="false">IF(I360&gt;=6,"High",IF(I360&gt;=3,"Medium","Low"))</f>
        <v>Low</v>
      </c>
    </row>
    <row r="361" customFormat="false" ht="15" hidden="false" customHeight="true" outlineLevel="0" collapsed="false">
      <c r="A361" s="2" t="n">
        <f aca="false">'Raw Data'!H361</f>
        <v>360</v>
      </c>
      <c r="B361" s="2" t="n">
        <f aca="false">'Raw Data'!A361</f>
        <v>44</v>
      </c>
      <c r="C361" s="2" t="str">
        <f aca="false">'Raw Data'!D361</f>
        <v>Sales</v>
      </c>
      <c r="D361" s="2" t="str">
        <f aca="false">'Raw Data'!K361</f>
        <v>Sales Executive</v>
      </c>
      <c r="E361" s="2" t="n">
        <f aca="false">'Raw Data'!Q361</f>
        <v>10</v>
      </c>
      <c r="F361" s="2" t="n">
        <f aca="false">'Raw Data'!U361</f>
        <v>3</v>
      </c>
      <c r="G361" s="2" t="n">
        <f aca="false">'Raw Data'!W361</f>
        <v>2</v>
      </c>
      <c r="H361" s="2" t="n">
        <f aca="false">'Raw Data'!V361</f>
        <v>4</v>
      </c>
      <c r="I361" s="2" t="n">
        <f aca="false">IF(AND(ISNUMBER(B361),B361&lt;=25),2,0)+IF(AND(ISNUMBER(E361),E361&lt;=5),2,0)+IF(AND(ISNUMBER(F361),F361&lt;=1),2,0)+IF(AND(ISNUMBER(G361),G361&lt;=2),1,0)+IF(AND(ISNUMBER(H361),H361&lt;=2),1,0)</f>
        <v>1</v>
      </c>
      <c r="J361" s="2" t="str">
        <f aca="false">IF(I361&gt;=6,"High",IF(I361&gt;=3,"Medium","Low"))</f>
        <v>Low</v>
      </c>
    </row>
    <row r="362" customFormat="false" ht="15" hidden="false" customHeight="true" outlineLevel="0" collapsed="false">
      <c r="A362" s="2" t="n">
        <f aca="false">'Raw Data'!H362</f>
        <v>361</v>
      </c>
      <c r="B362" s="2" t="n">
        <f aca="false">'Raw Data'!A362</f>
        <v>25</v>
      </c>
      <c r="C362" s="2" t="str">
        <f aca="false">'Raw Data'!D362</f>
        <v>Research &amp; Development</v>
      </c>
      <c r="D362" s="2" t="str">
        <f aca="false">'Raw Data'!K362</f>
        <v>Laboratory Technician</v>
      </c>
      <c r="E362" s="2" t="n">
        <f aca="false">'Raw Data'!Q362</f>
        <v>6</v>
      </c>
      <c r="F362" s="2" t="n">
        <f aca="false">'Raw Data'!U362</f>
        <v>1</v>
      </c>
      <c r="G362" s="2" t="n">
        <f aca="false">'Raw Data'!W362</f>
        <v>1</v>
      </c>
      <c r="H362" s="2" t="n">
        <f aca="false">'Raw Data'!V362</f>
        <v>1</v>
      </c>
      <c r="I362" s="2" t="n">
        <f aca="false">IF(AND(ISNUMBER(B362),B362&lt;=25),2,0)+IF(AND(ISNUMBER(E362),E362&lt;=5),2,0)+IF(AND(ISNUMBER(F362),F362&lt;=1),2,0)+IF(AND(ISNUMBER(G362),G362&lt;=2),1,0)+IF(AND(ISNUMBER(H362),H362&lt;=2),1,0)</f>
        <v>6</v>
      </c>
      <c r="J362" s="2" t="str">
        <f aca="false">IF(I362&gt;=6,"High",IF(I362&gt;=3,"Medium","Low"))</f>
        <v>High</v>
      </c>
    </row>
    <row r="363" customFormat="false" ht="15" hidden="false" customHeight="true" outlineLevel="0" collapsed="false">
      <c r="A363" s="2" t="n">
        <f aca="false">'Raw Data'!H363</f>
        <v>362</v>
      </c>
      <c r="B363" s="2" t="n">
        <f aca="false">'Raw Data'!A363</f>
        <v>33</v>
      </c>
      <c r="C363" s="2" t="str">
        <f aca="false">'Raw Data'!D363</f>
        <v>Research &amp; Development</v>
      </c>
      <c r="D363" s="2" t="str">
        <f aca="false">'Raw Data'!K363</f>
        <v>Laboratory Technician</v>
      </c>
      <c r="E363" s="2" t="n">
        <f aca="false">'Raw Data'!Q363</f>
        <v>9</v>
      </c>
      <c r="F363" s="2" t="n">
        <f aca="false">'Raw Data'!U363</f>
        <v>8</v>
      </c>
      <c r="G363" s="2" t="n">
        <f aca="false">'Raw Data'!W363</f>
        <v>1</v>
      </c>
      <c r="H363" s="2" t="n">
        <f aca="false">'Raw Data'!V363</f>
        <v>1</v>
      </c>
      <c r="I363" s="2" t="n">
        <f aca="false">IF(AND(ISNUMBER(B363),B363&lt;=25),2,0)+IF(AND(ISNUMBER(E363),E363&lt;=5),2,0)+IF(AND(ISNUMBER(F363),F363&lt;=1),2,0)+IF(AND(ISNUMBER(G363),G363&lt;=2),1,0)+IF(AND(ISNUMBER(H363),H363&lt;=2),1,0)</f>
        <v>2</v>
      </c>
      <c r="J363" s="2" t="str">
        <f aca="false">IF(I363&gt;=6,"High",IF(I363&gt;=3,"Medium","Low"))</f>
        <v>Low</v>
      </c>
    </row>
    <row r="364" customFormat="false" ht="15" hidden="false" customHeight="true" outlineLevel="0" collapsed="false">
      <c r="A364" s="2" t="n">
        <f aca="false">'Raw Data'!H364</f>
        <v>363</v>
      </c>
      <c r="B364" s="2" t="n">
        <f aca="false">'Raw Data'!A364</f>
        <v>35</v>
      </c>
      <c r="C364" s="2" t="str">
        <f aca="false">'Raw Data'!D364</f>
        <v>Sales</v>
      </c>
      <c r="D364" s="2" t="str">
        <f aca="false">'Raw Data'!K364</f>
        <v>Manager</v>
      </c>
      <c r="E364" s="2" t="n">
        <f aca="false">'Raw Data'!Q364</f>
        <v>6</v>
      </c>
      <c r="F364" s="2" t="n">
        <f aca="false">'Raw Data'!U364</f>
        <v>1</v>
      </c>
      <c r="G364" s="2" t="n">
        <f aca="false">'Raw Data'!W364</f>
        <v>1</v>
      </c>
      <c r="H364" s="2" t="n">
        <f aca="false">'Raw Data'!V364</f>
        <v>3</v>
      </c>
      <c r="I364" s="2" t="n">
        <f aca="false">IF(AND(ISNUMBER(B364),B364&lt;=25),2,0)+IF(AND(ISNUMBER(E364),E364&lt;=5),2,0)+IF(AND(ISNUMBER(F364),F364&lt;=1),2,0)+IF(AND(ISNUMBER(G364),G364&lt;=2),1,0)+IF(AND(ISNUMBER(H364),H364&lt;=2),1,0)</f>
        <v>3</v>
      </c>
      <c r="J364" s="2" t="str">
        <f aca="false">IF(I364&gt;=6,"High",IF(I364&gt;=3,"Medium","Low"))</f>
        <v>Medium</v>
      </c>
    </row>
    <row r="365" customFormat="false" ht="15" hidden="false" customHeight="true" outlineLevel="0" collapsed="false">
      <c r="A365" s="2" t="n">
        <f aca="false">'Raw Data'!H365</f>
        <v>364</v>
      </c>
      <c r="B365" s="2" t="n">
        <f aca="false">'Raw Data'!A365</f>
        <v>36</v>
      </c>
      <c r="C365" s="2" t="str">
        <f aca="false">'Raw Data'!D365</f>
        <v>Sales</v>
      </c>
      <c r="D365" s="2" t="str">
        <f aca="false">'Raw Data'!K365</f>
        <v>Manager</v>
      </c>
      <c r="E365" s="2" t="n">
        <f aca="false">'Raw Data'!Q365</f>
        <v>18</v>
      </c>
      <c r="F365" s="2" t="n">
        <f aca="false">'Raw Data'!U365</f>
        <v>11</v>
      </c>
      <c r="G365" s="2" t="n">
        <f aca="false">'Raw Data'!W365</f>
        <v>4</v>
      </c>
      <c r="H365" s="2" t="n">
        <f aca="false">'Raw Data'!V365</f>
        <v>2</v>
      </c>
      <c r="I365" s="2" t="n">
        <f aca="false">IF(AND(ISNUMBER(B365),B365&lt;=25),2,0)+IF(AND(ISNUMBER(E365),E365&lt;=5),2,0)+IF(AND(ISNUMBER(F365),F365&lt;=1),2,0)+IF(AND(ISNUMBER(G365),G365&lt;=2),1,0)+IF(AND(ISNUMBER(H365),H365&lt;=2),1,0)</f>
        <v>1</v>
      </c>
      <c r="J365" s="2" t="str">
        <f aca="false">IF(I365&gt;=6,"High",IF(I365&gt;=3,"Medium","Low"))</f>
        <v>Low</v>
      </c>
    </row>
    <row r="366" customFormat="false" ht="15" hidden="false" customHeight="true" outlineLevel="0" collapsed="false">
      <c r="A366" s="2" t="n">
        <f aca="false">'Raw Data'!H366</f>
        <v>365</v>
      </c>
      <c r="B366" s="2" t="n">
        <f aca="false">'Raw Data'!A366</f>
        <v>32</v>
      </c>
      <c r="C366" s="2" t="str">
        <f aca="false">'Raw Data'!D366</f>
        <v>Research &amp; Development</v>
      </c>
      <c r="D366" s="2" t="str">
        <f aca="false">'Raw Data'!K366</f>
        <v>Sales Executive</v>
      </c>
      <c r="E366" s="2" t="n">
        <f aca="false">'Raw Data'!Q366</f>
        <v>8</v>
      </c>
      <c r="F366" s="2" t="n">
        <f aca="false">'Raw Data'!U366</f>
        <v>3</v>
      </c>
      <c r="G366" s="2" t="n">
        <f aca="false">'Raw Data'!W366</f>
        <v>4</v>
      </c>
      <c r="H366" s="2" t="n">
        <f aca="false">'Raw Data'!V366</f>
        <v>2</v>
      </c>
      <c r="I366" s="2" t="n">
        <f aca="false">IF(AND(ISNUMBER(B366),B366&lt;=25),2,0)+IF(AND(ISNUMBER(E366),E366&lt;=5),2,0)+IF(AND(ISNUMBER(F366),F366&lt;=1),2,0)+IF(AND(ISNUMBER(G366),G366&lt;=2),1,0)+IF(AND(ISNUMBER(H366),H366&lt;=2),1,0)</f>
        <v>1</v>
      </c>
      <c r="J366" s="2" t="str">
        <f aca="false">IF(I366&gt;=6,"High",IF(I366&gt;=3,"Medium","Low"))</f>
        <v>Low</v>
      </c>
    </row>
    <row r="367" customFormat="false" ht="15" hidden="false" customHeight="true" outlineLevel="0" collapsed="false">
      <c r="A367" s="2" t="n">
        <f aca="false">'Raw Data'!H367</f>
        <v>366</v>
      </c>
      <c r="B367" s="2" t="n">
        <f aca="false">'Raw Data'!A367</f>
        <v>30</v>
      </c>
      <c r="C367" s="2" t="str">
        <f aca="false">'Raw Data'!D367</f>
        <v>Research &amp; Development</v>
      </c>
      <c r="D367" s="2" t="str">
        <f aca="false">'Raw Data'!K367</f>
        <v>Sales Representative</v>
      </c>
      <c r="E367" s="2" t="n">
        <f aca="false">'Raw Data'!Q367</f>
        <v>10</v>
      </c>
      <c r="F367" s="2" t="n">
        <f aca="false">'Raw Data'!U367</f>
        <v>3</v>
      </c>
      <c r="G367" s="2" t="n">
        <f aca="false">'Raw Data'!W367</f>
        <v>4</v>
      </c>
      <c r="H367" s="2" t="n">
        <f aca="false">'Raw Data'!V367</f>
        <v>2</v>
      </c>
      <c r="I367" s="2" t="n">
        <f aca="false">IF(AND(ISNUMBER(B367),B367&lt;=25),2,0)+IF(AND(ISNUMBER(E367),E367&lt;=5),2,0)+IF(AND(ISNUMBER(F367),F367&lt;=1),2,0)+IF(AND(ISNUMBER(G367),G367&lt;=2),1,0)+IF(AND(ISNUMBER(H367),H367&lt;=2),1,0)</f>
        <v>1</v>
      </c>
      <c r="J367" s="2" t="str">
        <f aca="false">IF(I367&gt;=6,"High",IF(I367&gt;=3,"Medium","Low"))</f>
        <v>Low</v>
      </c>
    </row>
    <row r="368" customFormat="false" ht="15" hidden="false" customHeight="true" outlineLevel="0" collapsed="false">
      <c r="A368" s="2" t="n">
        <f aca="false">'Raw Data'!H368</f>
        <v>367</v>
      </c>
      <c r="B368" s="2" t="n">
        <f aca="false">'Raw Data'!A368</f>
        <v>53</v>
      </c>
      <c r="C368" s="2" t="str">
        <f aca="false">'Raw Data'!D368</f>
        <v>Sales</v>
      </c>
      <c r="D368" s="2" t="str">
        <f aca="false">'Raw Data'!K368</f>
        <v>Sales Executive</v>
      </c>
      <c r="E368" s="2" t="n">
        <f aca="false">'Raw Data'!Q368</f>
        <v>35</v>
      </c>
      <c r="F368" s="2" t="n">
        <f aca="false">'Raw Data'!U368</f>
        <v>4</v>
      </c>
      <c r="G368" s="2" t="n">
        <f aca="false">'Raw Data'!W368</f>
        <v>4</v>
      </c>
      <c r="H368" s="2" t="n">
        <f aca="false">'Raw Data'!V368</f>
        <v>1</v>
      </c>
      <c r="I368" s="2" t="n">
        <f aca="false">IF(AND(ISNUMBER(B368),B368&lt;=25),2,0)+IF(AND(ISNUMBER(E368),E368&lt;=5),2,0)+IF(AND(ISNUMBER(F368),F368&lt;=1),2,0)+IF(AND(ISNUMBER(G368),G368&lt;=2),1,0)+IF(AND(ISNUMBER(H368),H368&lt;=2),1,0)</f>
        <v>1</v>
      </c>
      <c r="J368" s="2" t="str">
        <f aca="false">IF(I368&gt;=6,"High",IF(I368&gt;=3,"Medium","Low"))</f>
        <v>Low</v>
      </c>
    </row>
    <row r="369" customFormat="false" ht="15" hidden="false" customHeight="true" outlineLevel="0" collapsed="false">
      <c r="A369" s="2" t="n">
        <f aca="false">'Raw Data'!H369</f>
        <v>368</v>
      </c>
      <c r="B369" s="2" t="n">
        <f aca="false">'Raw Data'!A369</f>
        <v>45</v>
      </c>
      <c r="C369" s="2" t="str">
        <f aca="false">'Raw Data'!D369</f>
        <v>Research &amp; Development</v>
      </c>
      <c r="D369" s="2" t="str">
        <f aca="false">'Raw Data'!K369</f>
        <v>Healthcare Representative</v>
      </c>
      <c r="E369" s="2" t="n">
        <f aca="false">'Raw Data'!Q369</f>
        <v>18</v>
      </c>
      <c r="F369" s="2" t="n">
        <f aca="false">'Raw Data'!U369</f>
        <v>2</v>
      </c>
      <c r="G369" s="2" t="n">
        <f aca="false">'Raw Data'!W369</f>
        <v>1</v>
      </c>
      <c r="H369" s="2" t="n">
        <f aca="false">'Raw Data'!V369</f>
        <v>4</v>
      </c>
      <c r="I369" s="2" t="n">
        <f aca="false">IF(AND(ISNUMBER(B369),B369&lt;=25),2,0)+IF(AND(ISNUMBER(E369),E369&lt;=5),2,0)+IF(AND(ISNUMBER(F369),F369&lt;=1),2,0)+IF(AND(ISNUMBER(G369),G369&lt;=2),1,0)+IF(AND(ISNUMBER(H369),H369&lt;=2),1,0)</f>
        <v>1</v>
      </c>
      <c r="J369" s="2" t="str">
        <f aca="false">IF(I369&gt;=6,"High",IF(I369&gt;=3,"Medium","Low"))</f>
        <v>Low</v>
      </c>
    </row>
    <row r="370" customFormat="false" ht="15" hidden="false" customHeight="true" outlineLevel="0" collapsed="false">
      <c r="A370" s="2" t="n">
        <f aca="false">'Raw Data'!H370</f>
        <v>369</v>
      </c>
      <c r="B370" s="2" t="n">
        <f aca="false">'Raw Data'!A370</f>
        <v>32</v>
      </c>
      <c r="C370" s="2" t="str">
        <f aca="false">'Raw Data'!D370</f>
        <v>Sales</v>
      </c>
      <c r="D370" s="2" t="str">
        <f aca="false">'Raw Data'!K370</f>
        <v>Human Resources</v>
      </c>
      <c r="E370" s="2" t="n">
        <f aca="false">'Raw Data'!Q370</f>
        <v>9</v>
      </c>
      <c r="F370" s="2" t="n">
        <f aca="false">'Raw Data'!U370</f>
        <v>3</v>
      </c>
      <c r="G370" s="2" t="n">
        <f aca="false">'Raw Data'!W370</f>
        <v>3</v>
      </c>
      <c r="H370" s="2" t="n">
        <f aca="false">'Raw Data'!V370</f>
        <v>3</v>
      </c>
      <c r="I370" s="2" t="n">
        <f aca="false">IF(AND(ISNUMBER(B370),B370&lt;=25),2,0)+IF(AND(ISNUMBER(E370),E370&lt;=5),2,0)+IF(AND(ISNUMBER(F370),F370&lt;=1),2,0)+IF(AND(ISNUMBER(G370),G370&lt;=2),1,0)+IF(AND(ISNUMBER(H370),H370&lt;=2),1,0)</f>
        <v>0</v>
      </c>
      <c r="J370" s="2" t="str">
        <f aca="false">IF(I370&gt;=6,"High",IF(I370&gt;=3,"Medium","Low"))</f>
        <v>Low</v>
      </c>
    </row>
    <row r="371" customFormat="false" ht="15" hidden="false" customHeight="true" outlineLevel="0" collapsed="false">
      <c r="A371" s="2" t="n">
        <f aca="false">'Raw Data'!H371</f>
        <v>370</v>
      </c>
      <c r="B371" s="2" t="n">
        <f aca="false">'Raw Data'!A371</f>
        <v>52</v>
      </c>
      <c r="C371" s="2" t="str">
        <f aca="false">'Raw Data'!D371</f>
        <v>Research &amp; Development</v>
      </c>
      <c r="D371" s="2" t="str">
        <f aca="false">'Raw Data'!K371</f>
        <v>Laboratory Technician</v>
      </c>
      <c r="E371" s="2" t="n">
        <f aca="false">'Raw Data'!Q371</f>
        <v>31</v>
      </c>
      <c r="F371" s="2" t="n">
        <f aca="false">'Raw Data'!U371</f>
        <v>0</v>
      </c>
      <c r="G371" s="2" t="n">
        <f aca="false">'Raw Data'!W371</f>
        <v>4</v>
      </c>
      <c r="H371" s="2" t="n">
        <f aca="false">'Raw Data'!V371</f>
        <v>3</v>
      </c>
      <c r="I371" s="2" t="n">
        <f aca="false">IF(AND(ISNUMBER(B371),B371&lt;=25),2,0)+IF(AND(ISNUMBER(E371),E371&lt;=5),2,0)+IF(AND(ISNUMBER(F371),F371&lt;=1),2,0)+IF(AND(ISNUMBER(G371),G371&lt;=2),1,0)+IF(AND(ISNUMBER(H371),H371&lt;=2),1,0)</f>
        <v>2</v>
      </c>
      <c r="J371" s="2" t="str">
        <f aca="false">IF(I371&gt;=6,"High",IF(I371&gt;=3,"Medium","Low"))</f>
        <v>Low</v>
      </c>
    </row>
    <row r="372" customFormat="false" ht="15" hidden="false" customHeight="true" outlineLevel="0" collapsed="false">
      <c r="A372" s="2" t="n">
        <f aca="false">'Raw Data'!H372</f>
        <v>371</v>
      </c>
      <c r="B372" s="2" t="n">
        <f aca="false">'Raw Data'!A372</f>
        <v>37</v>
      </c>
      <c r="C372" s="2" t="str">
        <f aca="false">'Raw Data'!D372</f>
        <v>Sales</v>
      </c>
      <c r="D372" s="2" t="str">
        <f aca="false">'Raw Data'!K372</f>
        <v>Laboratory Technician</v>
      </c>
      <c r="E372" s="2" t="n">
        <f aca="false">'Raw Data'!Q372</f>
        <v>9</v>
      </c>
      <c r="F372" s="2" t="n">
        <f aca="false">'Raw Data'!U372</f>
        <v>0</v>
      </c>
      <c r="G372" s="2" t="n">
        <f aca="false">'Raw Data'!W372</f>
        <v>3</v>
      </c>
      <c r="H372" s="2" t="n">
        <f aca="false">'Raw Data'!V372</f>
        <v>4</v>
      </c>
      <c r="I372" s="2" t="n">
        <f aca="false">IF(AND(ISNUMBER(B372),B372&lt;=25),2,0)+IF(AND(ISNUMBER(E372),E372&lt;=5),2,0)+IF(AND(ISNUMBER(F372),F372&lt;=1),2,0)+IF(AND(ISNUMBER(G372),G372&lt;=2),1,0)+IF(AND(ISNUMBER(H372),H372&lt;=2),1,0)</f>
        <v>2</v>
      </c>
      <c r="J372" s="2" t="str">
        <f aca="false">IF(I372&gt;=6,"High",IF(I372&gt;=3,"Medium","Low"))</f>
        <v>Low</v>
      </c>
    </row>
    <row r="373" customFormat="false" ht="15" hidden="false" customHeight="true" outlineLevel="0" collapsed="false">
      <c r="A373" s="2" t="n">
        <f aca="false">'Raw Data'!H373</f>
        <v>372</v>
      </c>
      <c r="B373" s="2" t="n">
        <f aca="false">'Raw Data'!A373</f>
        <v>28</v>
      </c>
      <c r="C373" s="2" t="str">
        <f aca="false">'Raw Data'!D373</f>
        <v>Research &amp; Development</v>
      </c>
      <c r="D373" s="2" t="str">
        <f aca="false">'Raw Data'!K373</f>
        <v>Healthcare Representative</v>
      </c>
      <c r="E373" s="2" t="n">
        <f aca="false">'Raw Data'!Q373</f>
        <v>6</v>
      </c>
      <c r="F373" s="2" t="n">
        <f aca="false">'Raw Data'!U373</f>
        <v>4</v>
      </c>
      <c r="G373" s="2" t="n">
        <f aca="false">'Raw Data'!W373</f>
        <v>4</v>
      </c>
      <c r="H373" s="2" t="n">
        <f aca="false">'Raw Data'!V373</f>
        <v>2</v>
      </c>
      <c r="I373" s="2" t="n">
        <f aca="false">IF(AND(ISNUMBER(B373),B373&lt;=25),2,0)+IF(AND(ISNUMBER(E373),E373&lt;=5),2,0)+IF(AND(ISNUMBER(F373),F373&lt;=1),2,0)+IF(AND(ISNUMBER(G373),G373&lt;=2),1,0)+IF(AND(ISNUMBER(H373),H373&lt;=2),1,0)</f>
        <v>1</v>
      </c>
      <c r="J373" s="2" t="str">
        <f aca="false">IF(I373&gt;=6,"High",IF(I373&gt;=3,"Medium","Low"))</f>
        <v>Low</v>
      </c>
    </row>
    <row r="374" customFormat="false" ht="15" hidden="false" customHeight="true" outlineLevel="0" collapsed="false">
      <c r="A374" s="2" t="n">
        <f aca="false">'Raw Data'!H374</f>
        <v>373</v>
      </c>
      <c r="B374" s="2" t="n">
        <f aca="false">'Raw Data'!A374</f>
        <v>22</v>
      </c>
      <c r="C374" s="2" t="str">
        <f aca="false">'Raw Data'!D374</f>
        <v>Research &amp; Development</v>
      </c>
      <c r="D374" s="2" t="str">
        <f aca="false">'Raw Data'!K374</f>
        <v>Sales Representative</v>
      </c>
      <c r="E374" s="2" t="n">
        <f aca="false">'Raw Data'!Q374</f>
        <v>4</v>
      </c>
      <c r="F374" s="2" t="n">
        <f aca="false">'Raw Data'!U374</f>
        <v>2</v>
      </c>
      <c r="G374" s="2" t="n">
        <f aca="false">'Raw Data'!W374</f>
        <v>4</v>
      </c>
      <c r="H374" s="2" t="n">
        <f aca="false">'Raw Data'!V374</f>
        <v>4</v>
      </c>
      <c r="I374" s="2" t="n">
        <f aca="false">IF(AND(ISNUMBER(B374),B374&lt;=25),2,0)+IF(AND(ISNUMBER(E374),E374&lt;=5),2,0)+IF(AND(ISNUMBER(F374),F374&lt;=1),2,0)+IF(AND(ISNUMBER(G374),G374&lt;=2),1,0)+IF(AND(ISNUMBER(H374),H374&lt;=2),1,0)</f>
        <v>4</v>
      </c>
      <c r="J374" s="2" t="str">
        <f aca="false">IF(I374&gt;=6,"High",IF(I374&gt;=3,"Medium","Low"))</f>
        <v>Medium</v>
      </c>
    </row>
    <row r="375" customFormat="false" ht="15" hidden="false" customHeight="true" outlineLevel="0" collapsed="false">
      <c r="A375" s="2" t="n">
        <f aca="false">'Raw Data'!H375</f>
        <v>374</v>
      </c>
      <c r="B375" s="2" t="n">
        <f aca="false">'Raw Data'!A375</f>
        <v>44</v>
      </c>
      <c r="C375" s="2" t="str">
        <f aca="false">'Raw Data'!D375</f>
        <v>Research &amp; Development</v>
      </c>
      <c r="D375" s="2" t="str">
        <f aca="false">'Raw Data'!K375</f>
        <v>Laboratory Technician</v>
      </c>
      <c r="E375" s="2" t="n">
        <f aca="false">'Raw Data'!Q375</f>
        <v>10</v>
      </c>
      <c r="F375" s="2" t="n">
        <f aca="false">'Raw Data'!U375</f>
        <v>2</v>
      </c>
      <c r="G375" s="2" t="n">
        <f aca="false">'Raw Data'!W375</f>
        <v>4</v>
      </c>
      <c r="H375" s="2" t="n">
        <f aca="false">'Raw Data'!V375</f>
        <v>1</v>
      </c>
      <c r="I375" s="2" t="n">
        <f aca="false">IF(AND(ISNUMBER(B375),B375&lt;=25),2,0)+IF(AND(ISNUMBER(E375),E375&lt;=5),2,0)+IF(AND(ISNUMBER(F375),F375&lt;=1),2,0)+IF(AND(ISNUMBER(G375),G375&lt;=2),1,0)+IF(AND(ISNUMBER(H375),H375&lt;=2),1,0)</f>
        <v>1</v>
      </c>
      <c r="J375" s="2" t="str">
        <f aca="false">IF(I375&gt;=6,"High",IF(I375&gt;=3,"Medium","Low"))</f>
        <v>Low</v>
      </c>
    </row>
    <row r="376" customFormat="false" ht="15" hidden="false" customHeight="true" outlineLevel="0" collapsed="false">
      <c r="A376" s="2" t="n">
        <f aca="false">'Raw Data'!H376</f>
        <v>375</v>
      </c>
      <c r="B376" s="2" t="n">
        <f aca="false">'Raw Data'!A376</f>
        <v>42</v>
      </c>
      <c r="C376" s="2" t="str">
        <f aca="false">'Raw Data'!D376</f>
        <v>Sales</v>
      </c>
      <c r="D376" s="2" t="str">
        <f aca="false">'Raw Data'!K376</f>
        <v>Laboratory Technician</v>
      </c>
      <c r="E376" s="2" t="n">
        <f aca="false">'Raw Data'!Q376</f>
        <v>8</v>
      </c>
      <c r="F376" s="2" t="n">
        <f aca="false">'Raw Data'!U376</f>
        <v>2</v>
      </c>
      <c r="G376" s="2" t="n">
        <f aca="false">'Raw Data'!W376</f>
        <v>4</v>
      </c>
      <c r="H376" s="2" t="n">
        <f aca="false">'Raw Data'!V376</f>
        <v>2</v>
      </c>
      <c r="I376" s="2" t="n">
        <f aca="false">IF(AND(ISNUMBER(B376),B376&lt;=25),2,0)+IF(AND(ISNUMBER(E376),E376&lt;=5),2,0)+IF(AND(ISNUMBER(F376),F376&lt;=1),2,0)+IF(AND(ISNUMBER(G376),G376&lt;=2),1,0)+IF(AND(ISNUMBER(H376),H376&lt;=2),1,0)</f>
        <v>1</v>
      </c>
      <c r="J376" s="2" t="str">
        <f aca="false">IF(I376&gt;=6,"High",IF(I376&gt;=3,"Medium","Low"))</f>
        <v>Low</v>
      </c>
    </row>
    <row r="377" customFormat="false" ht="15" hidden="false" customHeight="true" outlineLevel="0" collapsed="false">
      <c r="A377" s="2" t="n">
        <f aca="false">'Raw Data'!H377</f>
        <v>376</v>
      </c>
      <c r="B377" s="2" t="n">
        <f aca="false">'Raw Data'!A377</f>
        <v>36</v>
      </c>
      <c r="C377" s="2" t="str">
        <f aca="false">'Raw Data'!D377</f>
        <v>Research &amp; Development</v>
      </c>
      <c r="D377" s="2" t="str">
        <f aca="false">'Raw Data'!K377</f>
        <v>Research Scientist</v>
      </c>
      <c r="E377" s="2" t="n">
        <f aca="false">'Raw Data'!Q377</f>
        <v>6</v>
      </c>
      <c r="F377" s="2" t="n">
        <f aca="false">'Raw Data'!U377</f>
        <v>3</v>
      </c>
      <c r="G377" s="2" t="n">
        <f aca="false">'Raw Data'!W377</f>
        <v>1</v>
      </c>
      <c r="H377" s="2" t="n">
        <f aca="false">'Raw Data'!V377</f>
        <v>1</v>
      </c>
      <c r="I377" s="2" t="n">
        <f aca="false">IF(AND(ISNUMBER(B377),B377&lt;=25),2,0)+IF(AND(ISNUMBER(E377),E377&lt;=5),2,0)+IF(AND(ISNUMBER(F377),F377&lt;=1),2,0)+IF(AND(ISNUMBER(G377),G377&lt;=2),1,0)+IF(AND(ISNUMBER(H377),H377&lt;=2),1,0)</f>
        <v>2</v>
      </c>
      <c r="J377" s="2" t="str">
        <f aca="false">IF(I377&gt;=6,"High",IF(I377&gt;=3,"Medium","Low"))</f>
        <v>Low</v>
      </c>
    </row>
    <row r="378" customFormat="false" ht="15" hidden="false" customHeight="true" outlineLevel="0" collapsed="false">
      <c r="A378" s="2" t="n">
        <f aca="false">'Raw Data'!H378</f>
        <v>377</v>
      </c>
      <c r="B378" s="2" t="n">
        <f aca="false">'Raw Data'!A378</f>
        <v>25</v>
      </c>
      <c r="C378" s="2" t="str">
        <f aca="false">'Raw Data'!D378</f>
        <v>Sales</v>
      </c>
      <c r="D378" s="2" t="str">
        <f aca="false">'Raw Data'!K378</f>
        <v>Laboratory Technician</v>
      </c>
      <c r="E378" s="2" t="n">
        <f aca="false">'Raw Data'!Q378</f>
        <v>5</v>
      </c>
      <c r="F378" s="2" t="n">
        <f aca="false">'Raw Data'!U378</f>
        <v>3</v>
      </c>
      <c r="G378" s="2" t="n">
        <f aca="false">'Raw Data'!W378</f>
        <v>1</v>
      </c>
      <c r="H378" s="2" t="n">
        <f aca="false">'Raw Data'!V378</f>
        <v>3</v>
      </c>
      <c r="I378" s="2" t="n">
        <f aca="false">IF(AND(ISNUMBER(B378),B378&lt;=25),2,0)+IF(AND(ISNUMBER(E378),E378&lt;=5),2,0)+IF(AND(ISNUMBER(F378),F378&lt;=1),2,0)+IF(AND(ISNUMBER(G378),G378&lt;=2),1,0)+IF(AND(ISNUMBER(H378),H378&lt;=2),1,0)</f>
        <v>5</v>
      </c>
      <c r="J378" s="2" t="str">
        <f aca="false">IF(I378&gt;=6,"High",IF(I378&gt;=3,"Medium","Low"))</f>
        <v>Medium</v>
      </c>
    </row>
    <row r="379" customFormat="false" ht="15" hidden="false" customHeight="true" outlineLevel="0" collapsed="false">
      <c r="A379" s="2" t="n">
        <f aca="false">'Raw Data'!H379</f>
        <v>378</v>
      </c>
      <c r="B379" s="2" t="n">
        <f aca="false">'Raw Data'!A379</f>
        <v>35</v>
      </c>
      <c r="C379" s="2" t="str">
        <f aca="false">'Raw Data'!D379</f>
        <v>Research &amp; Development</v>
      </c>
      <c r="D379" s="2" t="str">
        <f aca="false">'Raw Data'!K379</f>
        <v>Healthcare Representative</v>
      </c>
      <c r="E379" s="2" t="n">
        <f aca="false">'Raw Data'!Q379</f>
        <v>17</v>
      </c>
      <c r="F379" s="2" t="n">
        <f aca="false">'Raw Data'!U379</f>
        <v>15</v>
      </c>
      <c r="G379" s="2" t="n">
        <f aca="false">'Raw Data'!W379</f>
        <v>3</v>
      </c>
      <c r="H379" s="2" t="n">
        <f aca="false">'Raw Data'!V379</f>
        <v>4</v>
      </c>
      <c r="I379" s="2" t="n">
        <f aca="false">IF(AND(ISNUMBER(B379),B379&lt;=25),2,0)+IF(AND(ISNUMBER(E379),E379&lt;=5),2,0)+IF(AND(ISNUMBER(F379),F379&lt;=1),2,0)+IF(AND(ISNUMBER(G379),G379&lt;=2),1,0)+IF(AND(ISNUMBER(H379),H379&lt;=2),1,0)</f>
        <v>0</v>
      </c>
      <c r="J379" s="2" t="str">
        <f aca="false">IF(I379&gt;=6,"High",IF(I379&gt;=3,"Medium","Low"))</f>
        <v>Low</v>
      </c>
    </row>
    <row r="380" customFormat="false" ht="15" hidden="false" customHeight="true" outlineLevel="0" collapsed="false">
      <c r="A380" s="2" t="n">
        <f aca="false">'Raw Data'!H380</f>
        <v>379</v>
      </c>
      <c r="B380" s="2" t="n">
        <f aca="false">'Raw Data'!A380</f>
        <v>35</v>
      </c>
      <c r="C380" s="2" t="str">
        <f aca="false">'Raw Data'!D380</f>
        <v>Sales</v>
      </c>
      <c r="D380" s="2" t="str">
        <f aca="false">'Raw Data'!K380</f>
        <v>Laboratory Technician</v>
      </c>
      <c r="E380" s="2" t="n">
        <f aca="false">'Raw Data'!Q380</f>
        <v>10</v>
      </c>
      <c r="F380" s="2" t="n">
        <f aca="false">'Raw Data'!U380</f>
        <v>8</v>
      </c>
      <c r="G380" s="2" t="n">
        <f aca="false">'Raw Data'!W380</f>
        <v>2</v>
      </c>
      <c r="H380" s="2" t="n">
        <f aca="false">'Raw Data'!V380</f>
        <v>4</v>
      </c>
      <c r="I380" s="2" t="n">
        <f aca="false">IF(AND(ISNUMBER(B380),B380&lt;=25),2,0)+IF(AND(ISNUMBER(E380),E380&lt;=5),2,0)+IF(AND(ISNUMBER(F380),F380&lt;=1),2,0)+IF(AND(ISNUMBER(G380),G380&lt;=2),1,0)+IF(AND(ISNUMBER(H380),H380&lt;=2),1,0)</f>
        <v>1</v>
      </c>
      <c r="J380" s="2" t="str">
        <f aca="false">IF(I380&gt;=6,"High",IF(I380&gt;=3,"Medium","Low"))</f>
        <v>Low</v>
      </c>
    </row>
    <row r="381" customFormat="false" ht="15" hidden="false" customHeight="true" outlineLevel="0" collapsed="false">
      <c r="A381" s="2" t="n">
        <f aca="false">'Raw Data'!H381</f>
        <v>380</v>
      </c>
      <c r="B381" s="2" t="n">
        <f aca="false">'Raw Data'!A381</f>
        <v>32</v>
      </c>
      <c r="C381" s="2" t="str">
        <f aca="false">'Raw Data'!D381</f>
        <v>Research &amp; Development</v>
      </c>
      <c r="D381" s="2" t="str">
        <f aca="false">'Raw Data'!K381</f>
        <v>Sales Executive</v>
      </c>
      <c r="E381" s="2" t="n">
        <f aca="false">'Raw Data'!Q381</f>
        <v>4</v>
      </c>
      <c r="F381" s="2" t="n">
        <f aca="false">'Raw Data'!U381</f>
        <v>2</v>
      </c>
      <c r="G381" s="2" t="n">
        <f aca="false">'Raw Data'!W381</f>
        <v>4</v>
      </c>
      <c r="H381" s="2" t="n">
        <f aca="false">'Raw Data'!V381</f>
        <v>4</v>
      </c>
      <c r="I381" s="2" t="n">
        <f aca="false">IF(AND(ISNUMBER(B381),B381&lt;=25),2,0)+IF(AND(ISNUMBER(E381),E381&lt;=5),2,0)+IF(AND(ISNUMBER(F381),F381&lt;=1),2,0)+IF(AND(ISNUMBER(G381),G381&lt;=2),1,0)+IF(AND(ISNUMBER(H381),H381&lt;=2),1,0)</f>
        <v>2</v>
      </c>
      <c r="J381" s="2" t="str">
        <f aca="false">IF(I381&gt;=6,"High",IF(I381&gt;=3,"Medium","Low"))</f>
        <v>Low</v>
      </c>
    </row>
    <row r="382" customFormat="false" ht="15" hidden="false" customHeight="true" outlineLevel="0" collapsed="false">
      <c r="A382" s="2" t="n">
        <f aca="false">'Raw Data'!H382</f>
        <v>381</v>
      </c>
      <c r="B382" s="2" t="n">
        <f aca="false">'Raw Data'!A382</f>
        <v>25</v>
      </c>
      <c r="C382" s="2" t="str">
        <f aca="false">'Raw Data'!D382</f>
        <v>Sales</v>
      </c>
      <c r="D382" s="2" t="str">
        <f aca="false">'Raw Data'!K382</f>
        <v>Research Scientist</v>
      </c>
      <c r="E382" s="2" t="n">
        <f aca="false">'Raw Data'!Q382</f>
        <v>5</v>
      </c>
      <c r="F382" s="2" t="n">
        <f aca="false">'Raw Data'!U382</f>
        <v>3</v>
      </c>
      <c r="G382" s="2" t="n">
        <f aca="false">'Raw Data'!W382</f>
        <v>1</v>
      </c>
      <c r="H382" s="2" t="n">
        <f aca="false">'Raw Data'!V382</f>
        <v>3</v>
      </c>
      <c r="I382" s="2" t="n">
        <f aca="false">IF(AND(ISNUMBER(B382),B382&lt;=25),2,0)+IF(AND(ISNUMBER(E382),E382&lt;=5),2,0)+IF(AND(ISNUMBER(F382),F382&lt;=1),2,0)+IF(AND(ISNUMBER(G382),G382&lt;=2),1,0)+IF(AND(ISNUMBER(H382),H382&lt;=2),1,0)</f>
        <v>5</v>
      </c>
      <c r="J382" s="2" t="str">
        <f aca="false">IF(I382&gt;=6,"High",IF(I382&gt;=3,"Medium","Low"))</f>
        <v>Medium</v>
      </c>
    </row>
    <row r="383" customFormat="false" ht="15" hidden="false" customHeight="true" outlineLevel="0" collapsed="false">
      <c r="A383" s="2" t="n">
        <f aca="false">'Raw Data'!H383</f>
        <v>382</v>
      </c>
      <c r="B383" s="2" t="n">
        <f aca="false">'Raw Data'!A383</f>
        <v>49</v>
      </c>
      <c r="C383" s="2" t="str">
        <f aca="false">'Raw Data'!D383</f>
        <v>Sales</v>
      </c>
      <c r="D383" s="2" t="str">
        <f aca="false">'Raw Data'!K383</f>
        <v>Sales Representative</v>
      </c>
      <c r="E383" s="2" t="n">
        <f aca="false">'Raw Data'!Q383</f>
        <v>7</v>
      </c>
      <c r="F383" s="2" t="n">
        <f aca="false">'Raw Data'!U383</f>
        <v>2</v>
      </c>
      <c r="G383" s="2" t="n">
        <f aca="false">'Raw Data'!W383</f>
        <v>1</v>
      </c>
      <c r="H383" s="2" t="n">
        <f aca="false">'Raw Data'!V383</f>
        <v>3</v>
      </c>
      <c r="I383" s="2" t="n">
        <f aca="false">IF(AND(ISNUMBER(B383),B383&lt;=25),2,0)+IF(AND(ISNUMBER(E383),E383&lt;=5),2,0)+IF(AND(ISNUMBER(F383),F383&lt;=1),2,0)+IF(AND(ISNUMBER(G383),G383&lt;=2),1,0)+IF(AND(ISNUMBER(H383),H383&lt;=2),1,0)</f>
        <v>1</v>
      </c>
      <c r="J383" s="2" t="str">
        <f aca="false">IF(I383&gt;=6,"High",IF(I383&gt;=3,"Medium","Low"))</f>
        <v>Low</v>
      </c>
    </row>
    <row r="384" customFormat="false" ht="15" hidden="false" customHeight="true" outlineLevel="0" collapsed="false">
      <c r="A384" s="2" t="n">
        <f aca="false">'Raw Data'!H384</f>
        <v>383</v>
      </c>
      <c r="B384" s="2" t="n">
        <f aca="false">'Raw Data'!A384</f>
        <v>24</v>
      </c>
      <c r="C384" s="2" t="str">
        <f aca="false">'Raw Data'!D384</f>
        <v>Research &amp; Development</v>
      </c>
      <c r="D384" s="2" t="str">
        <f aca="false">'Raw Data'!K384</f>
        <v>Healthcare Representative</v>
      </c>
      <c r="E384" s="2" t="n">
        <f aca="false">'Raw Data'!Q384</f>
        <v>6</v>
      </c>
      <c r="F384" s="2" t="n">
        <f aca="false">'Raw Data'!U384</f>
        <v>4</v>
      </c>
      <c r="G384" s="2" t="n">
        <f aca="false">'Raw Data'!W384</f>
        <v>4</v>
      </c>
      <c r="H384" s="2" t="n">
        <f aca="false">'Raw Data'!V384</f>
        <v>1</v>
      </c>
      <c r="I384" s="2" t="n">
        <f aca="false">IF(AND(ISNUMBER(B384),B384&lt;=25),2,0)+IF(AND(ISNUMBER(E384),E384&lt;=5),2,0)+IF(AND(ISNUMBER(F384),F384&lt;=1),2,0)+IF(AND(ISNUMBER(G384),G384&lt;=2),1,0)+IF(AND(ISNUMBER(H384),H384&lt;=2),1,0)</f>
        <v>3</v>
      </c>
      <c r="J384" s="2" t="str">
        <f aca="false">IF(I384&gt;=6,"High",IF(I384&gt;=3,"Medium","Low"))</f>
        <v>Medium</v>
      </c>
    </row>
    <row r="385" customFormat="false" ht="15" hidden="false" customHeight="true" outlineLevel="0" collapsed="false">
      <c r="A385" s="2" t="n">
        <f aca="false">'Raw Data'!H385</f>
        <v>384</v>
      </c>
      <c r="B385" s="2" t="n">
        <f aca="false">'Raw Data'!A385</f>
        <v>32</v>
      </c>
      <c r="C385" s="2" t="str">
        <f aca="false">'Raw Data'!D385</f>
        <v>Research &amp; Development</v>
      </c>
      <c r="D385" s="2" t="str">
        <f aca="false">'Raw Data'!K385</f>
        <v>Research Scientist</v>
      </c>
      <c r="E385" s="2" t="n">
        <f aca="false">'Raw Data'!Q385</f>
        <v>10</v>
      </c>
      <c r="F385" s="2" t="n">
        <f aca="false">'Raw Data'!U385</f>
        <v>3</v>
      </c>
      <c r="G385" s="2" t="n">
        <f aca="false">'Raw Data'!W385</f>
        <v>2</v>
      </c>
      <c r="H385" s="2" t="n">
        <f aca="false">'Raw Data'!V385</f>
        <v>2</v>
      </c>
      <c r="I385" s="2" t="n">
        <f aca="false">IF(AND(ISNUMBER(B385),B385&lt;=25),2,0)+IF(AND(ISNUMBER(E385),E385&lt;=5),2,0)+IF(AND(ISNUMBER(F385),F385&lt;=1),2,0)+IF(AND(ISNUMBER(G385),G385&lt;=2),1,0)+IF(AND(ISNUMBER(H385),H385&lt;=2),1,0)</f>
        <v>2</v>
      </c>
      <c r="J385" s="2" t="str">
        <f aca="false">IF(I385&gt;=6,"High",IF(I385&gt;=3,"Medium","Low"))</f>
        <v>Low</v>
      </c>
    </row>
    <row r="386" customFormat="false" ht="15" hidden="false" customHeight="true" outlineLevel="0" collapsed="false">
      <c r="A386" s="2" t="n">
        <f aca="false">'Raw Data'!H386</f>
        <v>385</v>
      </c>
      <c r="B386" s="2" t="n">
        <f aca="false">'Raw Data'!A386</f>
        <v>38</v>
      </c>
      <c r="C386" s="2" t="str">
        <f aca="false">'Raw Data'!D386</f>
        <v>Sales</v>
      </c>
      <c r="D386" s="2" t="str">
        <f aca="false">'Raw Data'!K386</f>
        <v>Sales Executive</v>
      </c>
      <c r="E386" s="2" t="n">
        <f aca="false">'Raw Data'!Q386</f>
        <v>3</v>
      </c>
      <c r="F386" s="2" t="n">
        <f aca="false">'Raw Data'!U386</f>
        <v>2</v>
      </c>
      <c r="G386" s="2" t="n">
        <f aca="false">'Raw Data'!W386</f>
        <v>2</v>
      </c>
      <c r="H386" s="2" t="n">
        <f aca="false">'Raw Data'!V386</f>
        <v>2</v>
      </c>
      <c r="I386" s="2" t="n">
        <f aca="false">IF(AND(ISNUMBER(B386),B386&lt;=25),2,0)+IF(AND(ISNUMBER(E386),E386&lt;=5),2,0)+IF(AND(ISNUMBER(F386),F386&lt;=1),2,0)+IF(AND(ISNUMBER(G386),G386&lt;=2),1,0)+IF(AND(ISNUMBER(H386),H386&lt;=2),1,0)</f>
        <v>4</v>
      </c>
      <c r="J386" s="2" t="str">
        <f aca="false">IF(I386&gt;=6,"High",IF(I386&gt;=3,"Medium","Low"))</f>
        <v>Medium</v>
      </c>
    </row>
    <row r="387" customFormat="false" ht="15" hidden="false" customHeight="true" outlineLevel="0" collapsed="false">
      <c r="A387" s="2" t="n">
        <f aca="false">'Raw Data'!H387</f>
        <v>386</v>
      </c>
      <c r="B387" s="2" t="n">
        <f aca="false">'Raw Data'!A387</f>
        <v>42</v>
      </c>
      <c r="C387" s="2" t="str">
        <f aca="false">'Raw Data'!D387</f>
        <v>Research &amp; Development</v>
      </c>
      <c r="D387" s="2" t="str">
        <f aca="false">'Raw Data'!K387</f>
        <v>Research Scientist</v>
      </c>
      <c r="E387" s="2" t="n">
        <f aca="false">'Raw Data'!Q387</f>
        <v>17</v>
      </c>
      <c r="F387" s="2" t="n">
        <f aca="false">'Raw Data'!U387</f>
        <v>3</v>
      </c>
      <c r="G387" s="2" t="n">
        <f aca="false">'Raw Data'!W387</f>
        <v>4</v>
      </c>
      <c r="H387" s="2" t="n">
        <f aca="false">'Raw Data'!V387</f>
        <v>3</v>
      </c>
      <c r="I387" s="2" t="n">
        <f aca="false">IF(AND(ISNUMBER(B387),B387&lt;=25),2,0)+IF(AND(ISNUMBER(E387),E387&lt;=5),2,0)+IF(AND(ISNUMBER(F387),F387&lt;=1),2,0)+IF(AND(ISNUMBER(G387),G387&lt;=2),1,0)+IF(AND(ISNUMBER(H387),H387&lt;=2),1,0)</f>
        <v>0</v>
      </c>
      <c r="J387" s="2" t="str">
        <f aca="false">IF(I387&gt;=6,"High",IF(I387&gt;=3,"Medium","Low"))</f>
        <v>Low</v>
      </c>
    </row>
    <row r="388" customFormat="false" ht="15" hidden="false" customHeight="true" outlineLevel="0" collapsed="false">
      <c r="A388" s="2" t="n">
        <f aca="false">'Raw Data'!H388</f>
        <v>387</v>
      </c>
      <c r="B388" s="2" t="n">
        <f aca="false">'Raw Data'!A388</f>
        <v>31</v>
      </c>
      <c r="C388" s="2" t="str">
        <f aca="false">'Raw Data'!D388</f>
        <v>Research &amp; Development</v>
      </c>
      <c r="D388" s="2" t="str">
        <f aca="false">'Raw Data'!K388</f>
        <v>Sales Executive</v>
      </c>
      <c r="E388" s="2" t="n">
        <f aca="false">'Raw Data'!Q388</f>
        <v>8</v>
      </c>
      <c r="F388" s="2" t="n">
        <f aca="false">'Raw Data'!U388</f>
        <v>2</v>
      </c>
      <c r="G388" s="2" t="n">
        <f aca="false">'Raw Data'!W388</f>
        <v>4</v>
      </c>
      <c r="H388" s="2" t="n">
        <f aca="false">'Raw Data'!V388</f>
        <v>4</v>
      </c>
      <c r="I388" s="2" t="n">
        <f aca="false">IF(AND(ISNUMBER(B388),B388&lt;=25),2,0)+IF(AND(ISNUMBER(E388),E388&lt;=5),2,0)+IF(AND(ISNUMBER(F388),F388&lt;=1),2,0)+IF(AND(ISNUMBER(G388),G388&lt;=2),1,0)+IF(AND(ISNUMBER(H388),H388&lt;=2),1,0)</f>
        <v>0</v>
      </c>
      <c r="J388" s="2" t="str">
        <f aca="false">IF(I388&gt;=6,"High",IF(I388&gt;=3,"Medium","Low"))</f>
        <v>Low</v>
      </c>
    </row>
    <row r="389" customFormat="false" ht="15" hidden="false" customHeight="true" outlineLevel="0" collapsed="false">
      <c r="A389" s="2" t="n">
        <f aca="false">'Raw Data'!H389</f>
        <v>388</v>
      </c>
      <c r="B389" s="2" t="n">
        <f aca="false">'Raw Data'!A389</f>
        <v>29</v>
      </c>
      <c r="C389" s="2" t="str">
        <f aca="false">'Raw Data'!D389</f>
        <v>Sales</v>
      </c>
      <c r="D389" s="2" t="str">
        <f aca="false">'Raw Data'!K389</f>
        <v>Laboratory Technician</v>
      </c>
      <c r="E389" s="2" t="n">
        <f aca="false">'Raw Data'!Q389</f>
        <v>5</v>
      </c>
      <c r="F389" s="2" t="n">
        <f aca="false">'Raw Data'!U389</f>
        <v>2</v>
      </c>
      <c r="G389" s="2" t="n">
        <f aca="false">'Raw Data'!W389</f>
        <v>3</v>
      </c>
      <c r="H389" s="2" t="n">
        <f aca="false">'Raw Data'!V389</f>
        <v>2</v>
      </c>
      <c r="I389" s="2" t="n">
        <f aca="false">IF(AND(ISNUMBER(B389),B389&lt;=25),2,0)+IF(AND(ISNUMBER(E389),E389&lt;=5),2,0)+IF(AND(ISNUMBER(F389),F389&lt;=1),2,0)+IF(AND(ISNUMBER(G389),G389&lt;=2),1,0)+IF(AND(ISNUMBER(H389),H389&lt;=2),1,0)</f>
        <v>3</v>
      </c>
      <c r="J389" s="2" t="str">
        <f aca="false">IF(I389&gt;=6,"High",IF(I389&gt;=3,"Medium","Low"))</f>
        <v>Medium</v>
      </c>
    </row>
    <row r="390" customFormat="false" ht="15" hidden="false" customHeight="true" outlineLevel="0" collapsed="false">
      <c r="A390" s="2" t="n">
        <f aca="false">'Raw Data'!H390</f>
        <v>389</v>
      </c>
      <c r="B390" s="2" t="n">
        <f aca="false">'Raw Data'!A390</f>
        <v>53</v>
      </c>
      <c r="C390" s="2" t="str">
        <f aca="false">'Raw Data'!D390</f>
        <v>Research &amp; Development</v>
      </c>
      <c r="D390" s="2" t="str">
        <f aca="false">'Raw Data'!K390</f>
        <v>Sales Representative</v>
      </c>
      <c r="E390" s="2" t="n">
        <f aca="false">'Raw Data'!Q390</f>
        <v>28</v>
      </c>
      <c r="F390" s="2" t="n">
        <f aca="false">'Raw Data'!U390</f>
        <v>2</v>
      </c>
      <c r="G390" s="2" t="n">
        <f aca="false">'Raw Data'!W390</f>
        <v>4</v>
      </c>
      <c r="H390" s="2" t="n">
        <f aca="false">'Raw Data'!V390</f>
        <v>1</v>
      </c>
      <c r="I390" s="2" t="n">
        <f aca="false">IF(AND(ISNUMBER(B390),B390&lt;=25),2,0)+IF(AND(ISNUMBER(E390),E390&lt;=5),2,0)+IF(AND(ISNUMBER(F390),F390&lt;=1),2,0)+IF(AND(ISNUMBER(G390),G390&lt;=2),1,0)+IF(AND(ISNUMBER(H390),H390&lt;=2),1,0)</f>
        <v>1</v>
      </c>
      <c r="J390" s="2" t="str">
        <f aca="false">IF(I390&gt;=6,"High",IF(I390&gt;=3,"Medium","Low"))</f>
        <v>Low</v>
      </c>
    </row>
    <row r="391" customFormat="false" ht="15" hidden="false" customHeight="true" outlineLevel="0" collapsed="false">
      <c r="A391" s="2" t="n">
        <f aca="false">'Raw Data'!H391</f>
        <v>390</v>
      </c>
      <c r="B391" s="2" t="n">
        <f aca="false">'Raw Data'!A391</f>
        <v>35</v>
      </c>
      <c r="C391" s="2" t="str">
        <f aca="false">'Raw Data'!D391</f>
        <v>Research &amp; Development</v>
      </c>
      <c r="D391" s="2" t="str">
        <f aca="false">'Raw Data'!K391</f>
        <v>Healthcare Representative</v>
      </c>
      <c r="E391" s="2" t="n">
        <f aca="false">'Raw Data'!Q391</f>
        <v>16</v>
      </c>
      <c r="F391" s="2" t="n">
        <f aca="false">'Raw Data'!U391</f>
        <v>8</v>
      </c>
      <c r="G391" s="2" t="n">
        <f aca="false">'Raw Data'!W391</f>
        <v>2</v>
      </c>
      <c r="H391" s="2" t="n">
        <f aca="false">'Raw Data'!V391</f>
        <v>4</v>
      </c>
      <c r="I391" s="2" t="n">
        <f aca="false">IF(AND(ISNUMBER(B391),B391&lt;=25),2,0)+IF(AND(ISNUMBER(E391),E391&lt;=5),2,0)+IF(AND(ISNUMBER(F391),F391&lt;=1),2,0)+IF(AND(ISNUMBER(G391),G391&lt;=2),1,0)+IF(AND(ISNUMBER(H391),H391&lt;=2),1,0)</f>
        <v>1</v>
      </c>
      <c r="J391" s="2" t="str">
        <f aca="false">IF(I391&gt;=6,"High",IF(I391&gt;=3,"Medium","Low"))</f>
        <v>Low</v>
      </c>
    </row>
    <row r="392" customFormat="false" ht="15" hidden="false" customHeight="true" outlineLevel="0" collapsed="false">
      <c r="A392" s="2" t="n">
        <f aca="false">'Raw Data'!H392</f>
        <v>391</v>
      </c>
      <c r="B392" s="2" t="n">
        <f aca="false">'Raw Data'!A392</f>
        <v>37</v>
      </c>
      <c r="C392" s="2" t="str">
        <f aca="false">'Raw Data'!D392</f>
        <v>Research &amp; Development</v>
      </c>
      <c r="D392" s="2" t="str">
        <f aca="false">'Raw Data'!K392</f>
        <v>Human Resources</v>
      </c>
      <c r="E392" s="2" t="n">
        <f aca="false">'Raw Data'!Q392</f>
        <v>10</v>
      </c>
      <c r="F392" s="2" t="n">
        <f aca="false">'Raw Data'!U392</f>
        <v>0</v>
      </c>
      <c r="G392" s="2" t="n">
        <f aca="false">'Raw Data'!W392</f>
        <v>4</v>
      </c>
      <c r="H392" s="2" t="n">
        <f aca="false">'Raw Data'!V392</f>
        <v>3</v>
      </c>
      <c r="I392" s="2" t="n">
        <f aca="false">IF(AND(ISNUMBER(B392),B392&lt;=25),2,0)+IF(AND(ISNUMBER(E392),E392&lt;=5),2,0)+IF(AND(ISNUMBER(F392),F392&lt;=1),2,0)+IF(AND(ISNUMBER(G392),G392&lt;=2),1,0)+IF(AND(ISNUMBER(H392),H392&lt;=2),1,0)</f>
        <v>2</v>
      </c>
      <c r="J392" s="2" t="str">
        <f aca="false">IF(I392&gt;=6,"High",IF(I392&gt;=3,"Medium","Low"))</f>
        <v>Low</v>
      </c>
    </row>
    <row r="393" customFormat="false" ht="15" hidden="false" customHeight="true" outlineLevel="0" collapsed="false">
      <c r="A393" s="2" t="n">
        <f aca="false">'Raw Data'!H393</f>
        <v>392</v>
      </c>
      <c r="B393" s="2" t="n">
        <f aca="false">'Raw Data'!A393</f>
        <v>53</v>
      </c>
      <c r="C393" s="2" t="str">
        <f aca="false">'Raw Data'!D393</f>
        <v>Research &amp; Development</v>
      </c>
      <c r="D393" s="2" t="str">
        <f aca="false">'Raw Data'!K393</f>
        <v>Sales Executive</v>
      </c>
      <c r="E393" s="2" t="n">
        <f aca="false">'Raw Data'!Q393</f>
        <v>33</v>
      </c>
      <c r="F393" s="2" t="n">
        <f aca="false">'Raw Data'!U393</f>
        <v>8</v>
      </c>
      <c r="G393" s="2" t="n">
        <f aca="false">'Raw Data'!W393</f>
        <v>4</v>
      </c>
      <c r="H393" s="2" t="n">
        <f aca="false">'Raw Data'!V393</f>
        <v>4</v>
      </c>
      <c r="I393" s="2" t="n">
        <f aca="false">IF(AND(ISNUMBER(B393),B393&lt;=25),2,0)+IF(AND(ISNUMBER(E393),E393&lt;=5),2,0)+IF(AND(ISNUMBER(F393),F393&lt;=1),2,0)+IF(AND(ISNUMBER(G393),G393&lt;=2),1,0)+IF(AND(ISNUMBER(H393),H393&lt;=2),1,0)</f>
        <v>0</v>
      </c>
      <c r="J393" s="2" t="str">
        <f aca="false">IF(I393&gt;=6,"High",IF(I393&gt;=3,"Medium","Low"))</f>
        <v>Low</v>
      </c>
    </row>
    <row r="394" customFormat="false" ht="15" hidden="false" customHeight="true" outlineLevel="0" collapsed="false">
      <c r="A394" s="2" t="n">
        <f aca="false">'Raw Data'!H394</f>
        <v>393</v>
      </c>
      <c r="B394" s="2" t="n">
        <f aca="false">'Raw Data'!A394</f>
        <v>43</v>
      </c>
      <c r="C394" s="2" t="str">
        <f aca="false">'Raw Data'!D394</f>
        <v>Research &amp; Development</v>
      </c>
      <c r="D394" s="2" t="str">
        <f aca="false">'Raw Data'!K394</f>
        <v>Laboratory Technician</v>
      </c>
      <c r="E394" s="2" t="n">
        <f aca="false">'Raw Data'!Q394</f>
        <v>12</v>
      </c>
      <c r="F394" s="2" t="n">
        <f aca="false">'Raw Data'!U394</f>
        <v>2</v>
      </c>
      <c r="G394" s="2" t="n">
        <f aca="false">'Raw Data'!W394</f>
        <v>4</v>
      </c>
      <c r="H394" s="2" t="n">
        <f aca="false">'Raw Data'!V394</f>
        <v>4</v>
      </c>
      <c r="I394" s="2" t="n">
        <f aca="false">IF(AND(ISNUMBER(B394),B394&lt;=25),2,0)+IF(AND(ISNUMBER(E394),E394&lt;=5),2,0)+IF(AND(ISNUMBER(F394),F394&lt;=1),2,0)+IF(AND(ISNUMBER(G394),G394&lt;=2),1,0)+IF(AND(ISNUMBER(H394),H394&lt;=2),1,0)</f>
        <v>0</v>
      </c>
      <c r="J394" s="2" t="str">
        <f aca="false">IF(I394&gt;=6,"High",IF(I394&gt;=3,"Medium","Low"))</f>
        <v>Low</v>
      </c>
    </row>
    <row r="395" customFormat="false" ht="15" hidden="false" customHeight="true" outlineLevel="0" collapsed="false">
      <c r="A395" s="2" t="n">
        <f aca="false">'Raw Data'!H395</f>
        <v>394</v>
      </c>
      <c r="B395" s="2" t="n">
        <f aca="false">'Raw Data'!A395</f>
        <v>47</v>
      </c>
      <c r="C395" s="2" t="str">
        <f aca="false">'Raw Data'!D395</f>
        <v>Sales</v>
      </c>
      <c r="D395" s="2" t="str">
        <f aca="false">'Raw Data'!K395</f>
        <v>Research Director</v>
      </c>
      <c r="E395" s="2" t="n">
        <f aca="false">'Raw Data'!Q395</f>
        <v>8</v>
      </c>
      <c r="F395" s="2" t="n">
        <f aca="false">'Raw Data'!U395</f>
        <v>7</v>
      </c>
      <c r="G395" s="2" t="n">
        <f aca="false">'Raw Data'!W395</f>
        <v>4</v>
      </c>
      <c r="H395" s="2" t="n">
        <f aca="false">'Raw Data'!V395</f>
        <v>3</v>
      </c>
      <c r="I395" s="2" t="n">
        <f aca="false">IF(AND(ISNUMBER(B395),B395&lt;=25),2,0)+IF(AND(ISNUMBER(E395),E395&lt;=5),2,0)+IF(AND(ISNUMBER(F395),F395&lt;=1),2,0)+IF(AND(ISNUMBER(G395),G395&lt;=2),1,0)+IF(AND(ISNUMBER(H395),H395&lt;=2),1,0)</f>
        <v>0</v>
      </c>
      <c r="J395" s="2" t="str">
        <f aca="false">IF(I395&gt;=6,"High",IF(I395&gt;=3,"Medium","Low"))</f>
        <v>Low</v>
      </c>
    </row>
    <row r="396" customFormat="false" ht="15" hidden="false" customHeight="true" outlineLevel="0" collapsed="false">
      <c r="A396" s="2" t="n">
        <f aca="false">'Raw Data'!H396</f>
        <v>395</v>
      </c>
      <c r="B396" s="2" t="n">
        <f aca="false">'Raw Data'!A396</f>
        <v>37</v>
      </c>
      <c r="C396" s="2" t="str">
        <f aca="false">'Raw Data'!D396</f>
        <v>Research &amp; Development</v>
      </c>
      <c r="D396" s="2" t="str">
        <f aca="false">'Raw Data'!K396</f>
        <v>Research Scientist</v>
      </c>
      <c r="E396" s="2" t="n">
        <f aca="false">'Raw Data'!Q396</f>
        <v>10</v>
      </c>
      <c r="F396" s="2" t="n">
        <f aca="false">'Raw Data'!U396</f>
        <v>9</v>
      </c>
      <c r="G396" s="2" t="n">
        <f aca="false">'Raw Data'!W396</f>
        <v>2</v>
      </c>
      <c r="H396" s="2" t="n">
        <f aca="false">'Raw Data'!V396</f>
        <v>1</v>
      </c>
      <c r="I396" s="2" t="n">
        <f aca="false">IF(AND(ISNUMBER(B396),B396&lt;=25),2,0)+IF(AND(ISNUMBER(E396),E396&lt;=5),2,0)+IF(AND(ISNUMBER(F396),F396&lt;=1),2,0)+IF(AND(ISNUMBER(G396),G396&lt;=2),1,0)+IF(AND(ISNUMBER(H396),H396&lt;=2),1,0)</f>
        <v>2</v>
      </c>
      <c r="J396" s="2" t="str">
        <f aca="false">IF(I396&gt;=6,"High",IF(I396&gt;=3,"Medium","Low"))</f>
        <v>Low</v>
      </c>
    </row>
    <row r="397" customFormat="false" ht="15" hidden="false" customHeight="true" outlineLevel="0" collapsed="false">
      <c r="A397" s="2" t="n">
        <f aca="false">'Raw Data'!H397</f>
        <v>396</v>
      </c>
      <c r="B397" s="2" t="n">
        <f aca="false">'Raw Data'!A397</f>
        <v>50</v>
      </c>
      <c r="C397" s="2" t="str">
        <f aca="false">'Raw Data'!D397</f>
        <v>Research &amp; Development</v>
      </c>
      <c r="D397" s="2" t="str">
        <f aca="false">'Raw Data'!K397</f>
        <v>Laboratory Technician</v>
      </c>
      <c r="E397" s="2" t="n">
        <f aca="false">'Raw Data'!Q397</f>
        <v>31</v>
      </c>
      <c r="F397" s="2" t="n">
        <f aca="false">'Raw Data'!U397</f>
        <v>7</v>
      </c>
      <c r="G397" s="2" t="n">
        <f aca="false">'Raw Data'!W397</f>
        <v>1</v>
      </c>
      <c r="H397" s="2" t="n">
        <f aca="false">'Raw Data'!V397</f>
        <v>1</v>
      </c>
      <c r="I397" s="2" t="n">
        <f aca="false">IF(AND(ISNUMBER(B397),B397&lt;=25),2,0)+IF(AND(ISNUMBER(E397),E397&lt;=5),2,0)+IF(AND(ISNUMBER(F397),F397&lt;=1),2,0)+IF(AND(ISNUMBER(G397),G397&lt;=2),1,0)+IF(AND(ISNUMBER(H397),H397&lt;=2),1,0)</f>
        <v>2</v>
      </c>
      <c r="J397" s="2" t="str">
        <f aca="false">IF(I397&gt;=6,"High",IF(I397&gt;=3,"Medium","Low"))</f>
        <v>Low</v>
      </c>
    </row>
    <row r="398" customFormat="false" ht="15" hidden="false" customHeight="true" outlineLevel="0" collapsed="false">
      <c r="A398" s="2" t="n">
        <f aca="false">'Raw Data'!H398</f>
        <v>397</v>
      </c>
      <c r="B398" s="2" t="n">
        <f aca="false">'Raw Data'!A398</f>
        <v>39</v>
      </c>
      <c r="C398" s="2" t="str">
        <f aca="false">'Raw Data'!D398</f>
        <v>Research &amp; Development</v>
      </c>
      <c r="D398" s="2" t="str">
        <f aca="false">'Raw Data'!K398</f>
        <v>Human Resources</v>
      </c>
      <c r="E398" s="2" t="n">
        <f aca="false">'Raw Data'!Q398</f>
        <v>13</v>
      </c>
      <c r="F398" s="2" t="n">
        <f aca="false">'Raw Data'!U398</f>
        <v>4</v>
      </c>
      <c r="G398" s="2" t="n">
        <f aca="false">'Raw Data'!W398</f>
        <v>4</v>
      </c>
      <c r="H398" s="2" t="n">
        <f aca="false">'Raw Data'!V398</f>
        <v>4</v>
      </c>
      <c r="I398" s="2" t="n">
        <f aca="false">IF(AND(ISNUMBER(B398),B398&lt;=25),2,0)+IF(AND(ISNUMBER(E398),E398&lt;=5),2,0)+IF(AND(ISNUMBER(F398),F398&lt;=1),2,0)+IF(AND(ISNUMBER(G398),G398&lt;=2),1,0)+IF(AND(ISNUMBER(H398),H398&lt;=2),1,0)</f>
        <v>0</v>
      </c>
      <c r="J398" s="2" t="str">
        <f aca="false">IF(I398&gt;=6,"High",IF(I398&gt;=3,"Medium","Low"))</f>
        <v>Low</v>
      </c>
    </row>
    <row r="399" customFormat="false" ht="15" hidden="false" customHeight="true" outlineLevel="0" collapsed="false">
      <c r="A399" s="2" t="n">
        <f aca="false">'Raw Data'!H399</f>
        <v>398</v>
      </c>
      <c r="B399" s="2" t="n">
        <f aca="false">'Raw Data'!A399</f>
        <v>33</v>
      </c>
      <c r="C399" s="2" t="str">
        <f aca="false">'Raw Data'!D399</f>
        <v>Sales</v>
      </c>
      <c r="D399" s="2" t="str">
        <f aca="false">'Raw Data'!K399</f>
        <v>Manufacturing Director</v>
      </c>
      <c r="E399" s="2" t="n">
        <f aca="false">'Raw Data'!Q399</f>
        <v>7</v>
      </c>
      <c r="F399" s="2" t="n">
        <f aca="false">'Raw Data'!U399</f>
        <v>3</v>
      </c>
      <c r="G399" s="2" t="n">
        <f aca="false">'Raw Data'!W399</f>
        <v>2</v>
      </c>
      <c r="H399" s="2" t="n">
        <f aca="false">'Raw Data'!V399</f>
        <v>4</v>
      </c>
      <c r="I399" s="2" t="n">
        <f aca="false">IF(AND(ISNUMBER(B399),B399&lt;=25),2,0)+IF(AND(ISNUMBER(E399),E399&lt;=5),2,0)+IF(AND(ISNUMBER(F399),F399&lt;=1),2,0)+IF(AND(ISNUMBER(G399),G399&lt;=2),1,0)+IF(AND(ISNUMBER(H399),H399&lt;=2),1,0)</f>
        <v>1</v>
      </c>
      <c r="J399" s="2" t="str">
        <f aca="false">IF(I399&gt;=6,"High",IF(I399&gt;=3,"Medium","Low"))</f>
        <v>Low</v>
      </c>
    </row>
    <row r="400" customFormat="false" ht="15" hidden="false" customHeight="true" outlineLevel="0" collapsed="false">
      <c r="A400" s="2" t="n">
        <f aca="false">'Raw Data'!H400</f>
        <v>399</v>
      </c>
      <c r="B400" s="2" t="n">
        <f aca="false">'Raw Data'!A400</f>
        <v>32</v>
      </c>
      <c r="C400" s="2" t="str">
        <f aca="false">'Raw Data'!D400</f>
        <v>Research &amp; Development</v>
      </c>
      <c r="D400" s="2" t="str">
        <f aca="false">'Raw Data'!K400</f>
        <v>Laboratory Technician</v>
      </c>
      <c r="E400" s="2" t="n">
        <f aca="false">'Raw Data'!Q400</f>
        <v>1</v>
      </c>
      <c r="F400" s="2" t="n">
        <f aca="false">'Raw Data'!U400</f>
        <v>1</v>
      </c>
      <c r="G400" s="2" t="n">
        <f aca="false">'Raw Data'!W400</f>
        <v>4</v>
      </c>
      <c r="H400" s="2" t="n">
        <f aca="false">'Raw Data'!V400</f>
        <v>1</v>
      </c>
      <c r="I400" s="2" t="n">
        <f aca="false">IF(AND(ISNUMBER(B400),B400&lt;=25),2,0)+IF(AND(ISNUMBER(E400),E400&lt;=5),2,0)+IF(AND(ISNUMBER(F400),F400&lt;=1),2,0)+IF(AND(ISNUMBER(G400),G400&lt;=2),1,0)+IF(AND(ISNUMBER(H400),H400&lt;=2),1,0)</f>
        <v>5</v>
      </c>
      <c r="J400" s="2" t="str">
        <f aca="false">IF(I400&gt;=6,"High",IF(I400&gt;=3,"Medium","Low"))</f>
        <v>Medium</v>
      </c>
    </row>
    <row r="401" customFormat="false" ht="15" hidden="false" customHeight="true" outlineLevel="0" collapsed="false">
      <c r="A401" s="2" t="n">
        <f aca="false">'Raw Data'!H401</f>
        <v>400</v>
      </c>
      <c r="B401" s="2" t="n">
        <f aca="false">'Raw Data'!A401</f>
        <v>29</v>
      </c>
      <c r="C401" s="2" t="str">
        <f aca="false">'Raw Data'!D401</f>
        <v>Research &amp; Development</v>
      </c>
      <c r="D401" s="2" t="str">
        <f aca="false">'Raw Data'!K401</f>
        <v>Healthcare Representative</v>
      </c>
      <c r="E401" s="2" t="n">
        <f aca="false">'Raw Data'!Q401</f>
        <v>8</v>
      </c>
      <c r="F401" s="2" t="n">
        <f aca="false">'Raw Data'!U401</f>
        <v>3</v>
      </c>
      <c r="G401" s="2" t="n">
        <f aca="false">'Raw Data'!W401</f>
        <v>4</v>
      </c>
      <c r="H401" s="2" t="n">
        <f aca="false">'Raw Data'!V401</f>
        <v>1</v>
      </c>
      <c r="I401" s="2" t="n">
        <f aca="false">IF(AND(ISNUMBER(B401),B401&lt;=25),2,0)+IF(AND(ISNUMBER(E401),E401&lt;=5),2,0)+IF(AND(ISNUMBER(F401),F401&lt;=1),2,0)+IF(AND(ISNUMBER(G401),G401&lt;=2),1,0)+IF(AND(ISNUMBER(H401),H401&lt;=2),1,0)</f>
        <v>1</v>
      </c>
      <c r="J401" s="2" t="str">
        <f aca="false">IF(I401&gt;=6,"High",IF(I401&gt;=3,"Medium","Low"))</f>
        <v>Low</v>
      </c>
    </row>
    <row r="402" customFormat="false" ht="15" hidden="false" customHeight="true" outlineLevel="0" collapsed="false">
      <c r="A402" s="2" t="n">
        <f aca="false">'Raw Data'!H402</f>
        <v>401</v>
      </c>
      <c r="B402" s="2" t="n">
        <f aca="false">'Raw Data'!A402</f>
        <v>44</v>
      </c>
      <c r="C402" s="2" t="str">
        <f aca="false">'Raw Data'!D402</f>
        <v>Research &amp; Development</v>
      </c>
      <c r="D402" s="2" t="str">
        <f aca="false">'Raw Data'!K402</f>
        <v>Manufacturing Director</v>
      </c>
      <c r="E402" s="2" t="n">
        <f aca="false">'Raw Data'!Q402</f>
        <v>8</v>
      </c>
      <c r="F402" s="2" t="n">
        <f aca="false">'Raw Data'!U402</f>
        <v>1</v>
      </c>
      <c r="G402" s="2" t="n">
        <f aca="false">'Raw Data'!W402</f>
        <v>1</v>
      </c>
      <c r="H402" s="2" t="n">
        <f aca="false">'Raw Data'!V402</f>
        <v>2</v>
      </c>
      <c r="I402" s="2" t="n">
        <f aca="false">IF(AND(ISNUMBER(B402),B402&lt;=25),2,0)+IF(AND(ISNUMBER(E402),E402&lt;=5),2,0)+IF(AND(ISNUMBER(F402),F402&lt;=1),2,0)+IF(AND(ISNUMBER(G402),G402&lt;=2),1,0)+IF(AND(ISNUMBER(H402),H402&lt;=2),1,0)</f>
        <v>4</v>
      </c>
      <c r="J402" s="2" t="str">
        <f aca="false">IF(I402&gt;=6,"High",IF(I402&gt;=3,"Medium","Low"))</f>
        <v>Medium</v>
      </c>
    </row>
    <row r="403" customFormat="false" ht="15" hidden="false" customHeight="true" outlineLevel="0" collapsed="false">
      <c r="A403" s="2" t="n">
        <f aca="false">'Raw Data'!H403</f>
        <v>402</v>
      </c>
      <c r="B403" s="2" t="n">
        <f aca="false">'Raw Data'!A403</f>
        <v>28</v>
      </c>
      <c r="C403" s="2" t="str">
        <f aca="false">'Raw Data'!D403</f>
        <v>Sales</v>
      </c>
      <c r="D403" s="2" t="str">
        <f aca="false">'Raw Data'!K403</f>
        <v>Research Scientist</v>
      </c>
      <c r="E403" s="2" t="n">
        <f aca="false">'Raw Data'!Q403</f>
        <v>4</v>
      </c>
      <c r="F403" s="2" t="n">
        <f aca="false">'Raw Data'!U403</f>
        <v>2</v>
      </c>
      <c r="G403" s="2" t="n">
        <f aca="false">'Raw Data'!W403</f>
        <v>4</v>
      </c>
      <c r="H403" s="2" t="n">
        <f aca="false">'Raw Data'!V403</f>
        <v>1</v>
      </c>
      <c r="I403" s="2" t="n">
        <f aca="false">IF(AND(ISNUMBER(B403),B403&lt;=25),2,0)+IF(AND(ISNUMBER(E403),E403&lt;=5),2,0)+IF(AND(ISNUMBER(F403),F403&lt;=1),2,0)+IF(AND(ISNUMBER(G403),G403&lt;=2),1,0)+IF(AND(ISNUMBER(H403),H403&lt;=2),1,0)</f>
        <v>3</v>
      </c>
      <c r="J403" s="2" t="str">
        <f aca="false">IF(I403&gt;=6,"High",IF(I403&gt;=3,"Medium","Low"))</f>
        <v>Medium</v>
      </c>
    </row>
    <row r="404" customFormat="false" ht="15" hidden="false" customHeight="true" outlineLevel="0" collapsed="false">
      <c r="A404" s="2" t="n">
        <f aca="false">'Raw Data'!H404</f>
        <v>403</v>
      </c>
      <c r="B404" s="2" t="n">
        <f aca="false">'Raw Data'!A404</f>
        <v>58</v>
      </c>
      <c r="C404" s="2" t="str">
        <f aca="false">'Raw Data'!D404</f>
        <v>Sales</v>
      </c>
      <c r="D404" s="2" t="str">
        <f aca="false">'Raw Data'!K404</f>
        <v>Sales Executive</v>
      </c>
      <c r="E404" s="2" t="n">
        <f aca="false">'Raw Data'!Q404</f>
        <v>3</v>
      </c>
      <c r="F404" s="2" t="n">
        <f aca="false">'Raw Data'!U404</f>
        <v>0</v>
      </c>
      <c r="G404" s="2" t="n">
        <f aca="false">'Raw Data'!W404</f>
        <v>4</v>
      </c>
      <c r="H404" s="2" t="n">
        <f aca="false">'Raw Data'!V404</f>
        <v>4</v>
      </c>
      <c r="I404" s="2" t="n">
        <f aca="false">IF(AND(ISNUMBER(B404),B404&lt;=25),2,0)+IF(AND(ISNUMBER(E404),E404&lt;=5),2,0)+IF(AND(ISNUMBER(F404),F404&lt;=1),2,0)+IF(AND(ISNUMBER(G404),G404&lt;=2),1,0)+IF(AND(ISNUMBER(H404),H404&lt;=2),1,0)</f>
        <v>4</v>
      </c>
      <c r="J404" s="2" t="str">
        <f aca="false">IF(I404&gt;=6,"High",IF(I404&gt;=3,"Medium","Low"))</f>
        <v>Medium</v>
      </c>
    </row>
    <row r="405" customFormat="false" ht="15" hidden="false" customHeight="true" outlineLevel="0" collapsed="false">
      <c r="A405" s="2" t="n">
        <f aca="false">'Raw Data'!H405</f>
        <v>404</v>
      </c>
      <c r="B405" s="2" t="n">
        <f aca="false">'Raw Data'!A405</f>
        <v>43</v>
      </c>
      <c r="C405" s="2" t="str">
        <f aca="false">'Raw Data'!D405</f>
        <v>Sales</v>
      </c>
      <c r="D405" s="2" t="str">
        <f aca="false">'Raw Data'!K405</f>
        <v>Sales Executive</v>
      </c>
      <c r="E405" s="2" t="n">
        <f aca="false">'Raw Data'!Q405</f>
        <v>4</v>
      </c>
      <c r="F405" s="2" t="n">
        <f aca="false">'Raw Data'!U405</f>
        <v>0</v>
      </c>
      <c r="G405" s="2" t="n">
        <f aca="false">'Raw Data'!W405</f>
        <v>2</v>
      </c>
      <c r="H405" s="2" t="n">
        <f aca="false">'Raw Data'!V405</f>
        <v>1</v>
      </c>
      <c r="I405" s="2" t="n">
        <f aca="false">IF(AND(ISNUMBER(B405),B405&lt;=25),2,0)+IF(AND(ISNUMBER(E405),E405&lt;=5),2,0)+IF(AND(ISNUMBER(F405),F405&lt;=1),2,0)+IF(AND(ISNUMBER(G405),G405&lt;=2),1,0)+IF(AND(ISNUMBER(H405),H405&lt;=2),1,0)</f>
        <v>6</v>
      </c>
      <c r="J405" s="2" t="str">
        <f aca="false">IF(I405&gt;=6,"High",IF(I405&gt;=3,"Medium","Low"))</f>
        <v>High</v>
      </c>
    </row>
    <row r="406" customFormat="false" ht="15" hidden="false" customHeight="true" outlineLevel="0" collapsed="false">
      <c r="A406" s="2" t="n">
        <f aca="false">'Raw Data'!H406</f>
        <v>405</v>
      </c>
      <c r="B406" s="2" t="n">
        <f aca="false">'Raw Data'!A406</f>
        <v>20</v>
      </c>
      <c r="C406" s="2" t="str">
        <f aca="false">'Raw Data'!D406</f>
        <v>Research &amp; Development</v>
      </c>
      <c r="D406" s="2" t="str">
        <f aca="false">'Raw Data'!K406</f>
        <v>Sales Executive</v>
      </c>
      <c r="E406" s="2" t="n">
        <f aca="false">'Raw Data'!Q406</f>
        <v>2</v>
      </c>
      <c r="F406" s="2" t="n">
        <f aca="false">'Raw Data'!U406</f>
        <v>2</v>
      </c>
      <c r="G406" s="2" t="n">
        <f aca="false">'Raw Data'!W406</f>
        <v>3</v>
      </c>
      <c r="H406" s="2" t="n">
        <f aca="false">'Raw Data'!V406</f>
        <v>3</v>
      </c>
      <c r="I406" s="2" t="n">
        <f aca="false">IF(AND(ISNUMBER(B406),B406&lt;=25),2,0)+IF(AND(ISNUMBER(E406),E406&lt;=5),2,0)+IF(AND(ISNUMBER(F406),F406&lt;=1),2,0)+IF(AND(ISNUMBER(G406),G406&lt;=2),1,0)+IF(AND(ISNUMBER(H406),H406&lt;=2),1,0)</f>
        <v>4</v>
      </c>
      <c r="J406" s="2" t="str">
        <f aca="false">IF(I406&gt;=6,"High",IF(I406&gt;=3,"Medium","Low"))</f>
        <v>Medium</v>
      </c>
    </row>
    <row r="407" customFormat="false" ht="15" hidden="false" customHeight="true" outlineLevel="0" collapsed="false">
      <c r="A407" s="2" t="n">
        <f aca="false">'Raw Data'!H407</f>
        <v>406</v>
      </c>
      <c r="B407" s="2" t="n">
        <f aca="false">'Raw Data'!A407</f>
        <v>21</v>
      </c>
      <c r="C407" s="2" t="str">
        <f aca="false">'Raw Data'!D407</f>
        <v>Research &amp; Development</v>
      </c>
      <c r="D407" s="2" t="str">
        <f aca="false">'Raw Data'!K407</f>
        <v>Sales Executive</v>
      </c>
      <c r="E407" s="2" t="n">
        <f aca="false">'Raw Data'!Q407</f>
        <v>1</v>
      </c>
      <c r="F407" s="2" t="n">
        <f aca="false">'Raw Data'!U407</f>
        <v>0</v>
      </c>
      <c r="G407" s="2" t="n">
        <f aca="false">'Raw Data'!W407</f>
        <v>4</v>
      </c>
      <c r="H407" s="2" t="n">
        <f aca="false">'Raw Data'!V407</f>
        <v>0</v>
      </c>
      <c r="I407" s="2" t="n">
        <f aca="false">IF(AND(ISNUMBER(B407),B407&lt;=25),2,0)+IF(AND(ISNUMBER(E407),E407&lt;=5),2,0)+IF(AND(ISNUMBER(F407),F407&lt;=1),2,0)+IF(AND(ISNUMBER(G407),G407&lt;=2),1,0)+IF(AND(ISNUMBER(H407),H407&lt;=2),1,0)</f>
        <v>6</v>
      </c>
      <c r="J407" s="2" t="str">
        <f aca="false">IF(I407&gt;=6,"High",IF(I407&gt;=3,"Medium","Low"))</f>
        <v>High</v>
      </c>
    </row>
    <row r="408" customFormat="false" ht="15" hidden="false" customHeight="true" outlineLevel="0" collapsed="false">
      <c r="A408" s="2" t="n">
        <f aca="false">'Raw Data'!H408</f>
        <v>407</v>
      </c>
      <c r="B408" s="2" t="n">
        <f aca="false">'Raw Data'!A408</f>
        <v>36</v>
      </c>
      <c r="C408" s="2" t="str">
        <f aca="false">'Raw Data'!D408</f>
        <v>Research &amp; Development</v>
      </c>
      <c r="D408" s="2" t="str">
        <f aca="false">'Raw Data'!K408</f>
        <v>Laboratory Technician</v>
      </c>
      <c r="E408" s="2" t="n">
        <f aca="false">'Raw Data'!Q408</f>
        <v>17</v>
      </c>
      <c r="F408" s="2" t="n">
        <f aca="false">'Raw Data'!U408</f>
        <v>11</v>
      </c>
      <c r="G408" s="2" t="n">
        <f aca="false">'Raw Data'!W408</f>
        <v>4</v>
      </c>
      <c r="H408" s="2" t="n">
        <f aca="false">'Raw Data'!V408</f>
        <v>3</v>
      </c>
      <c r="I408" s="2" t="n">
        <f aca="false">IF(AND(ISNUMBER(B408),B408&lt;=25),2,0)+IF(AND(ISNUMBER(E408),E408&lt;=5),2,0)+IF(AND(ISNUMBER(F408),F408&lt;=1),2,0)+IF(AND(ISNUMBER(G408),G408&lt;=2),1,0)+IF(AND(ISNUMBER(H408),H408&lt;=2),1,0)</f>
        <v>0</v>
      </c>
      <c r="J408" s="2" t="str">
        <f aca="false">IF(I408&gt;=6,"High",IF(I408&gt;=3,"Medium","Low"))</f>
        <v>Low</v>
      </c>
    </row>
    <row r="409" customFormat="false" ht="15" hidden="false" customHeight="true" outlineLevel="0" collapsed="false">
      <c r="A409" s="2" t="n">
        <f aca="false">'Raw Data'!H409</f>
        <v>408</v>
      </c>
      <c r="B409" s="2" t="n">
        <f aca="false">'Raw Data'!A409</f>
        <v>47</v>
      </c>
      <c r="C409" s="2" t="str">
        <f aca="false">'Raw Data'!D409</f>
        <v>Research &amp; Development</v>
      </c>
      <c r="D409" s="2" t="str">
        <f aca="false">'Raw Data'!K409</f>
        <v>Manufacturing Director</v>
      </c>
      <c r="E409" s="2" t="n">
        <f aca="false">'Raw Data'!Q409</f>
        <v>3</v>
      </c>
      <c r="F409" s="2" t="n">
        <f aca="false">'Raw Data'!U409</f>
        <v>2</v>
      </c>
      <c r="G409" s="2" t="n">
        <f aca="false">'Raw Data'!W409</f>
        <v>4</v>
      </c>
      <c r="H409" s="2" t="n">
        <f aca="false">'Raw Data'!V409</f>
        <v>4</v>
      </c>
      <c r="I409" s="2" t="n">
        <f aca="false">IF(AND(ISNUMBER(B409),B409&lt;=25),2,0)+IF(AND(ISNUMBER(E409),E409&lt;=5),2,0)+IF(AND(ISNUMBER(F409),F409&lt;=1),2,0)+IF(AND(ISNUMBER(G409),G409&lt;=2),1,0)+IF(AND(ISNUMBER(H409),H409&lt;=2),1,0)</f>
        <v>2</v>
      </c>
      <c r="J409" s="2" t="str">
        <f aca="false">IF(I409&gt;=6,"High",IF(I409&gt;=3,"Medium","Low"))</f>
        <v>Low</v>
      </c>
    </row>
    <row r="410" customFormat="false" ht="15" hidden="false" customHeight="true" outlineLevel="0" collapsed="false">
      <c r="A410" s="2" t="n">
        <f aca="false">'Raw Data'!H410</f>
        <v>409</v>
      </c>
      <c r="B410" s="2" t="n">
        <f aca="false">'Raw Data'!A410</f>
        <v>22</v>
      </c>
      <c r="C410" s="2" t="str">
        <f aca="false">'Raw Data'!D410</f>
        <v>Research &amp; Development</v>
      </c>
      <c r="D410" s="2" t="str">
        <f aca="false">'Raw Data'!K410</f>
        <v>Laboratory Technician</v>
      </c>
      <c r="E410" s="2" t="n">
        <f aca="false">'Raw Data'!Q410</f>
        <v>4</v>
      </c>
      <c r="F410" s="2" t="n">
        <f aca="false">'Raw Data'!U410</f>
        <v>2</v>
      </c>
      <c r="G410" s="2" t="n">
        <f aca="false">'Raw Data'!W410</f>
        <v>3</v>
      </c>
      <c r="H410" s="2" t="n">
        <f aca="false">'Raw Data'!V410</f>
        <v>2</v>
      </c>
      <c r="I410" s="2" t="n">
        <f aca="false">IF(AND(ISNUMBER(B410),B410&lt;=25),2,0)+IF(AND(ISNUMBER(E410),E410&lt;=5),2,0)+IF(AND(ISNUMBER(F410),F410&lt;=1),2,0)+IF(AND(ISNUMBER(G410),G410&lt;=2),1,0)+IF(AND(ISNUMBER(H410),H410&lt;=2),1,0)</f>
        <v>5</v>
      </c>
      <c r="J410" s="2" t="str">
        <f aca="false">IF(I410&gt;=6,"High",IF(I410&gt;=3,"Medium","Low"))</f>
        <v>Medium</v>
      </c>
    </row>
    <row r="411" customFormat="false" ht="15" hidden="false" customHeight="true" outlineLevel="0" collapsed="false">
      <c r="A411" s="2" t="n">
        <f aca="false">'Raw Data'!H411</f>
        <v>410</v>
      </c>
      <c r="B411" s="2" t="n">
        <f aca="false">'Raw Data'!A411</f>
        <v>41</v>
      </c>
      <c r="C411" s="2" t="str">
        <f aca="false">'Raw Data'!D411</f>
        <v>Research &amp; Development</v>
      </c>
      <c r="D411" s="2" t="str">
        <f aca="false">'Raw Data'!K411</f>
        <v>Sales Executive</v>
      </c>
      <c r="E411" s="2" t="n">
        <f aca="false">'Raw Data'!Q411</f>
        <v>10</v>
      </c>
      <c r="F411" s="2" t="n">
        <f aca="false">'Raw Data'!U411</f>
        <v>0</v>
      </c>
      <c r="G411" s="2" t="n">
        <f aca="false">'Raw Data'!W411</f>
        <v>4</v>
      </c>
      <c r="H411" s="2" t="n">
        <f aca="false">'Raw Data'!V411</f>
        <v>2</v>
      </c>
      <c r="I411" s="2" t="n">
        <f aca="false">IF(AND(ISNUMBER(B411),B411&lt;=25),2,0)+IF(AND(ISNUMBER(E411),E411&lt;=5),2,0)+IF(AND(ISNUMBER(F411),F411&lt;=1),2,0)+IF(AND(ISNUMBER(G411),G411&lt;=2),1,0)+IF(AND(ISNUMBER(H411),H411&lt;=2),1,0)</f>
        <v>3</v>
      </c>
      <c r="J411" s="2" t="str">
        <f aca="false">IF(I411&gt;=6,"High",IF(I411&gt;=3,"Medium","Low"))</f>
        <v>Medium</v>
      </c>
    </row>
    <row r="412" customFormat="false" ht="15" hidden="false" customHeight="true" outlineLevel="0" collapsed="false">
      <c r="A412" s="2" t="n">
        <f aca="false">'Raw Data'!H412</f>
        <v>411</v>
      </c>
      <c r="B412" s="2" t="n">
        <f aca="false">'Raw Data'!A412</f>
        <v>28</v>
      </c>
      <c r="C412" s="2" t="str">
        <f aca="false">'Raw Data'!D412</f>
        <v>Research &amp; Development</v>
      </c>
      <c r="D412" s="2" t="str">
        <f aca="false">'Raw Data'!K412</f>
        <v>Manager</v>
      </c>
      <c r="E412" s="2" t="n">
        <f aca="false">'Raw Data'!Q412</f>
        <v>6</v>
      </c>
      <c r="F412" s="2" t="n">
        <f aca="false">'Raw Data'!U412</f>
        <v>2</v>
      </c>
      <c r="G412" s="2" t="n">
        <f aca="false">'Raw Data'!W412</f>
        <v>3</v>
      </c>
      <c r="H412" s="2" t="n">
        <f aca="false">'Raw Data'!V412</f>
        <v>3</v>
      </c>
      <c r="I412" s="2" t="n">
        <f aca="false">IF(AND(ISNUMBER(B412),B412&lt;=25),2,0)+IF(AND(ISNUMBER(E412),E412&lt;=5),2,0)+IF(AND(ISNUMBER(F412),F412&lt;=1),2,0)+IF(AND(ISNUMBER(G412),G412&lt;=2),1,0)+IF(AND(ISNUMBER(H412),H412&lt;=2),1,0)</f>
        <v>0</v>
      </c>
      <c r="J412" s="2" t="str">
        <f aca="false">IF(I412&gt;=6,"High",IF(I412&gt;=3,"Medium","Low"))</f>
        <v>Low</v>
      </c>
    </row>
    <row r="413" customFormat="false" ht="15" hidden="false" customHeight="true" outlineLevel="0" collapsed="false">
      <c r="A413" s="2" t="n">
        <f aca="false">'Raw Data'!H413</f>
        <v>412</v>
      </c>
      <c r="B413" s="2" t="n">
        <f aca="false">'Raw Data'!A413</f>
        <v>39</v>
      </c>
      <c r="C413" s="2" t="str">
        <f aca="false">'Raw Data'!D413</f>
        <v>Research &amp; Development</v>
      </c>
      <c r="D413" s="2" t="str">
        <f aca="false">'Raw Data'!K413</f>
        <v>Human Resources</v>
      </c>
      <c r="E413" s="2" t="n">
        <f aca="false">'Raw Data'!Q413</f>
        <v>8</v>
      </c>
      <c r="F413" s="2" t="n">
        <f aca="false">'Raw Data'!U413</f>
        <v>2</v>
      </c>
      <c r="G413" s="2" t="n">
        <f aca="false">'Raw Data'!W413</f>
        <v>1</v>
      </c>
      <c r="H413" s="2" t="n">
        <f aca="false">'Raw Data'!V413</f>
        <v>4</v>
      </c>
      <c r="I413" s="2" t="n">
        <f aca="false">IF(AND(ISNUMBER(B413),B413&lt;=25),2,0)+IF(AND(ISNUMBER(E413),E413&lt;=5),2,0)+IF(AND(ISNUMBER(F413),F413&lt;=1),2,0)+IF(AND(ISNUMBER(G413),G413&lt;=2),1,0)+IF(AND(ISNUMBER(H413),H413&lt;=2),1,0)</f>
        <v>1</v>
      </c>
      <c r="J413" s="2" t="str">
        <f aca="false">IF(I413&gt;=6,"High",IF(I413&gt;=3,"Medium","Low"))</f>
        <v>Low</v>
      </c>
    </row>
    <row r="414" customFormat="false" ht="15" hidden="false" customHeight="true" outlineLevel="0" collapsed="false">
      <c r="A414" s="2" t="n">
        <f aca="false">'Raw Data'!H414</f>
        <v>413</v>
      </c>
      <c r="B414" s="2" t="n">
        <f aca="false">'Raw Data'!A414</f>
        <v>27</v>
      </c>
      <c r="C414" s="2" t="str">
        <f aca="false">'Raw Data'!D414</f>
        <v>Research &amp; Development</v>
      </c>
      <c r="D414" s="2" t="str">
        <f aca="false">'Raw Data'!K414</f>
        <v>Research Scientist</v>
      </c>
      <c r="E414" s="2" t="n">
        <f aca="false">'Raw Data'!Q414</f>
        <v>1</v>
      </c>
      <c r="F414" s="2" t="n">
        <f aca="false">'Raw Data'!U414</f>
        <v>0</v>
      </c>
      <c r="G414" s="2" t="n">
        <f aca="false">'Raw Data'!W414</f>
        <v>3</v>
      </c>
      <c r="H414" s="2" t="n">
        <f aca="false">'Raw Data'!V414</f>
        <v>2</v>
      </c>
      <c r="I414" s="2" t="n">
        <f aca="false">IF(AND(ISNUMBER(B414),B414&lt;=25),2,0)+IF(AND(ISNUMBER(E414),E414&lt;=5),2,0)+IF(AND(ISNUMBER(F414),F414&lt;=1),2,0)+IF(AND(ISNUMBER(G414),G414&lt;=2),1,0)+IF(AND(ISNUMBER(H414),H414&lt;=2),1,0)</f>
        <v>5</v>
      </c>
      <c r="J414" s="2" t="str">
        <f aca="false">IF(I414&gt;=6,"High",IF(I414&gt;=3,"Medium","Low"))</f>
        <v>Medium</v>
      </c>
    </row>
    <row r="415" customFormat="false" ht="15" hidden="false" customHeight="true" outlineLevel="0" collapsed="false">
      <c r="A415" s="2" t="n">
        <f aca="false">'Raw Data'!H415</f>
        <v>414</v>
      </c>
      <c r="B415" s="2" t="n">
        <f aca="false">'Raw Data'!A415</f>
        <v>34</v>
      </c>
      <c r="C415" s="2" t="str">
        <f aca="false">'Raw Data'!D415</f>
        <v>Research &amp; Development</v>
      </c>
      <c r="D415" s="2" t="str">
        <f aca="false">'Raw Data'!K415</f>
        <v>Human Resources</v>
      </c>
      <c r="E415" s="2" t="n">
        <f aca="false">'Raw Data'!Q415</f>
        <v>1</v>
      </c>
      <c r="F415" s="2" t="n">
        <f aca="false">'Raw Data'!U415</f>
        <v>0</v>
      </c>
      <c r="G415" s="2" t="n">
        <f aca="false">'Raw Data'!W415</f>
        <v>2</v>
      </c>
      <c r="H415" s="2" t="n">
        <f aca="false">'Raw Data'!V415</f>
        <v>2</v>
      </c>
      <c r="I415" s="2" t="n">
        <f aca="false">IF(AND(ISNUMBER(B415),B415&lt;=25),2,0)+IF(AND(ISNUMBER(E415),E415&lt;=5),2,0)+IF(AND(ISNUMBER(F415),F415&lt;=1),2,0)+IF(AND(ISNUMBER(G415),G415&lt;=2),1,0)+IF(AND(ISNUMBER(H415),H415&lt;=2),1,0)</f>
        <v>6</v>
      </c>
      <c r="J415" s="2" t="str">
        <f aca="false">IF(I415&gt;=6,"High",IF(I415&gt;=3,"Medium","Low"))</f>
        <v>High</v>
      </c>
    </row>
    <row r="416" customFormat="false" ht="15" hidden="false" customHeight="true" outlineLevel="0" collapsed="false">
      <c r="A416" s="2" t="n">
        <f aca="false">'Raw Data'!H416</f>
        <v>415</v>
      </c>
      <c r="B416" s="2" t="n">
        <f aca="false">'Raw Data'!A416</f>
        <v>42</v>
      </c>
      <c r="C416" s="2" t="str">
        <f aca="false">'Raw Data'!D416</f>
        <v>Sales</v>
      </c>
      <c r="D416" s="2" t="str">
        <f aca="false">'Raw Data'!K416</f>
        <v>Human Resources</v>
      </c>
      <c r="E416" s="2" t="n">
        <f aca="false">'Raw Data'!Q416</f>
        <v>10</v>
      </c>
      <c r="F416" s="2" t="n">
        <f aca="false">'Raw Data'!U416</f>
        <v>3</v>
      </c>
      <c r="G416" s="2" t="n">
        <f aca="false">'Raw Data'!W416</f>
        <v>3</v>
      </c>
      <c r="H416" s="2" t="n">
        <f aca="false">'Raw Data'!V416</f>
        <v>3</v>
      </c>
      <c r="I416" s="2" t="n">
        <f aca="false">IF(AND(ISNUMBER(B416),B416&lt;=25),2,0)+IF(AND(ISNUMBER(E416),E416&lt;=5),2,0)+IF(AND(ISNUMBER(F416),F416&lt;=1),2,0)+IF(AND(ISNUMBER(G416),G416&lt;=2),1,0)+IF(AND(ISNUMBER(H416),H416&lt;=2),1,0)</f>
        <v>0</v>
      </c>
      <c r="J416" s="2" t="str">
        <f aca="false">IF(I416&gt;=6,"High",IF(I416&gt;=3,"Medium","Low"))</f>
        <v>Low</v>
      </c>
    </row>
    <row r="417" customFormat="false" ht="15" hidden="false" customHeight="true" outlineLevel="0" collapsed="false">
      <c r="A417" s="2" t="n">
        <f aca="false">'Raw Data'!H417</f>
        <v>416</v>
      </c>
      <c r="B417" s="2" t="n">
        <f aca="false">'Raw Data'!A417</f>
        <v>33</v>
      </c>
      <c r="C417" s="2" t="str">
        <f aca="false">'Raw Data'!D417</f>
        <v>Sales</v>
      </c>
      <c r="D417" s="2" t="str">
        <f aca="false">'Raw Data'!K417</f>
        <v>Sales Executive</v>
      </c>
      <c r="E417" s="2" t="n">
        <f aca="false">'Raw Data'!Q417</f>
        <v>6</v>
      </c>
      <c r="F417" s="2" t="n">
        <f aca="false">'Raw Data'!U417</f>
        <v>2</v>
      </c>
      <c r="G417" s="2" t="n">
        <f aca="false">'Raw Data'!W417</f>
        <v>1</v>
      </c>
      <c r="H417" s="2" t="n">
        <f aca="false">'Raw Data'!V417</f>
        <v>3</v>
      </c>
      <c r="I417" s="2" t="n">
        <f aca="false">IF(AND(ISNUMBER(B417),B417&lt;=25),2,0)+IF(AND(ISNUMBER(E417),E417&lt;=5),2,0)+IF(AND(ISNUMBER(F417),F417&lt;=1),2,0)+IF(AND(ISNUMBER(G417),G417&lt;=2),1,0)+IF(AND(ISNUMBER(H417),H417&lt;=2),1,0)</f>
        <v>1</v>
      </c>
      <c r="J417" s="2" t="str">
        <f aca="false">IF(I417&gt;=6,"High",IF(I417&gt;=3,"Medium","Low"))</f>
        <v>Low</v>
      </c>
    </row>
    <row r="418" customFormat="false" ht="15" hidden="false" customHeight="true" outlineLevel="0" collapsed="false">
      <c r="A418" s="2" t="n">
        <f aca="false">'Raw Data'!H418</f>
        <v>417</v>
      </c>
      <c r="B418" s="2" t="n">
        <f aca="false">'Raw Data'!A418</f>
        <v>58</v>
      </c>
      <c r="C418" s="2" t="str">
        <f aca="false">'Raw Data'!D418</f>
        <v>Research &amp; Development</v>
      </c>
      <c r="D418" s="2" t="str">
        <f aca="false">'Raw Data'!K418</f>
        <v>Research Scientist</v>
      </c>
      <c r="E418" s="2" t="n">
        <f aca="false">'Raw Data'!Q418</f>
        <v>24</v>
      </c>
      <c r="F418" s="2" t="n">
        <f aca="false">'Raw Data'!U418</f>
        <v>4</v>
      </c>
      <c r="G418" s="2" t="n">
        <f aca="false">'Raw Data'!W418</f>
        <v>2</v>
      </c>
      <c r="H418" s="2" t="n">
        <f aca="false">'Raw Data'!V418</f>
        <v>3</v>
      </c>
      <c r="I418" s="2" t="n">
        <f aca="false">IF(AND(ISNUMBER(B418),B418&lt;=25),2,0)+IF(AND(ISNUMBER(E418),E418&lt;=5),2,0)+IF(AND(ISNUMBER(F418),F418&lt;=1),2,0)+IF(AND(ISNUMBER(G418),G418&lt;=2),1,0)+IF(AND(ISNUMBER(H418),H418&lt;=2),1,0)</f>
        <v>1</v>
      </c>
      <c r="J418" s="2" t="str">
        <f aca="false">IF(I418&gt;=6,"High",IF(I418&gt;=3,"Medium","Low"))</f>
        <v>Low</v>
      </c>
    </row>
    <row r="419" customFormat="false" ht="15" hidden="false" customHeight="true" outlineLevel="0" collapsed="false">
      <c r="A419" s="2" t="n">
        <f aca="false">'Raw Data'!H419</f>
        <v>418</v>
      </c>
      <c r="B419" s="2" t="n">
        <f aca="false">'Raw Data'!A419</f>
        <v>31</v>
      </c>
      <c r="C419" s="2" t="str">
        <f aca="false">'Raw Data'!D419</f>
        <v>Sales</v>
      </c>
      <c r="D419" s="2" t="str">
        <f aca="false">'Raw Data'!K419</f>
        <v>Sales Representative</v>
      </c>
      <c r="E419" s="2" t="n">
        <f aca="false">'Raw Data'!Q419</f>
        <v>13</v>
      </c>
      <c r="F419" s="2" t="n">
        <f aca="false">'Raw Data'!U419</f>
        <v>2</v>
      </c>
      <c r="G419" s="2" t="n">
        <f aca="false">'Raw Data'!W419</f>
        <v>3</v>
      </c>
      <c r="H419" s="2" t="n">
        <f aca="false">'Raw Data'!V419</f>
        <v>2</v>
      </c>
      <c r="I419" s="2" t="n">
        <f aca="false">IF(AND(ISNUMBER(B419),B419&lt;=25),2,0)+IF(AND(ISNUMBER(E419),E419&lt;=5),2,0)+IF(AND(ISNUMBER(F419),F419&lt;=1),2,0)+IF(AND(ISNUMBER(G419),G419&lt;=2),1,0)+IF(AND(ISNUMBER(H419),H419&lt;=2),1,0)</f>
        <v>1</v>
      </c>
      <c r="J419" s="2" t="str">
        <f aca="false">IF(I419&gt;=6,"High",IF(I419&gt;=3,"Medium","Low"))</f>
        <v>Low</v>
      </c>
    </row>
    <row r="420" customFormat="false" ht="15" hidden="false" customHeight="true" outlineLevel="0" collapsed="false">
      <c r="A420" s="2" t="n">
        <f aca="false">'Raw Data'!H420</f>
        <v>419</v>
      </c>
      <c r="B420" s="2" t="n">
        <f aca="false">'Raw Data'!A420</f>
        <v>35</v>
      </c>
      <c r="C420" s="2" t="str">
        <f aca="false">'Raw Data'!D420</f>
        <v>Research &amp; Development</v>
      </c>
      <c r="D420" s="2" t="str">
        <f aca="false">'Raw Data'!K420</f>
        <v>Healthcare Representative</v>
      </c>
      <c r="E420" s="2" t="n">
        <f aca="false">'Raw Data'!Q420</f>
        <v>10</v>
      </c>
      <c r="F420" s="2" t="n">
        <f aca="false">'Raw Data'!U420</f>
        <v>7</v>
      </c>
      <c r="G420" s="2" t="n">
        <f aca="false">'Raw Data'!W420</f>
        <v>4</v>
      </c>
      <c r="H420" s="2" t="n">
        <f aca="false">'Raw Data'!V420</f>
        <v>4</v>
      </c>
      <c r="I420" s="2" t="n">
        <f aca="false">IF(AND(ISNUMBER(B420),B420&lt;=25),2,0)+IF(AND(ISNUMBER(E420),E420&lt;=5),2,0)+IF(AND(ISNUMBER(F420),F420&lt;=1),2,0)+IF(AND(ISNUMBER(G420),G420&lt;=2),1,0)+IF(AND(ISNUMBER(H420),H420&lt;=2),1,0)</f>
        <v>0</v>
      </c>
      <c r="J420" s="2" t="str">
        <f aca="false">IF(I420&gt;=6,"High",IF(I420&gt;=3,"Medium","Low"))</f>
        <v>Low</v>
      </c>
    </row>
    <row r="421" customFormat="false" ht="15" hidden="false" customHeight="true" outlineLevel="0" collapsed="false">
      <c r="A421" s="2" t="n">
        <f aca="false">'Raw Data'!H421</f>
        <v>420</v>
      </c>
      <c r="B421" s="2" t="n">
        <f aca="false">'Raw Data'!A421</f>
        <v>49</v>
      </c>
      <c r="C421" s="2" t="str">
        <f aca="false">'Raw Data'!D421</f>
        <v>Research &amp; Development</v>
      </c>
      <c r="D421" s="2" t="str">
        <f aca="false">'Raw Data'!K421</f>
        <v>Sales Executive</v>
      </c>
      <c r="E421" s="2" t="n">
        <f aca="false">'Raw Data'!Q421</f>
        <v>29</v>
      </c>
      <c r="F421" s="2" t="n">
        <f aca="false">'Raw Data'!U421</f>
        <v>7</v>
      </c>
      <c r="G421" s="2" t="n">
        <f aca="false">'Raw Data'!W421</f>
        <v>2</v>
      </c>
      <c r="H421" s="2" t="n">
        <f aca="false">'Raw Data'!V421</f>
        <v>1</v>
      </c>
      <c r="I421" s="2" t="n">
        <f aca="false">IF(AND(ISNUMBER(B421),B421&lt;=25),2,0)+IF(AND(ISNUMBER(E421),E421&lt;=5),2,0)+IF(AND(ISNUMBER(F421),F421&lt;=1),2,0)+IF(AND(ISNUMBER(G421),G421&lt;=2),1,0)+IF(AND(ISNUMBER(H421),H421&lt;=2),1,0)</f>
        <v>2</v>
      </c>
      <c r="J421" s="2" t="str">
        <f aca="false">IF(I421&gt;=6,"High",IF(I421&gt;=3,"Medium","Low"))</f>
        <v>Low</v>
      </c>
    </row>
    <row r="422" customFormat="false" ht="15" hidden="false" customHeight="true" outlineLevel="0" collapsed="false">
      <c r="A422" s="2" t="n">
        <f aca="false">'Raw Data'!H422</f>
        <v>421</v>
      </c>
      <c r="B422" s="2" t="n">
        <f aca="false">'Raw Data'!A422</f>
        <v>48</v>
      </c>
      <c r="C422" s="2" t="str">
        <f aca="false">'Raw Data'!D422</f>
        <v>Research &amp; Development</v>
      </c>
      <c r="D422" s="2" t="str">
        <f aca="false">'Raw Data'!K422</f>
        <v>Research Scientist</v>
      </c>
      <c r="E422" s="2" t="n">
        <f aca="false">'Raw Data'!Q422</f>
        <v>13</v>
      </c>
      <c r="F422" s="2" t="n">
        <f aca="false">'Raw Data'!U422</f>
        <v>0</v>
      </c>
      <c r="G422" s="2" t="n">
        <f aca="false">'Raw Data'!W422</f>
        <v>3</v>
      </c>
      <c r="H422" s="2" t="n">
        <f aca="false">'Raw Data'!V422</f>
        <v>4</v>
      </c>
      <c r="I422" s="2" t="n">
        <f aca="false">IF(AND(ISNUMBER(B422),B422&lt;=25),2,0)+IF(AND(ISNUMBER(E422),E422&lt;=5),2,0)+IF(AND(ISNUMBER(F422),F422&lt;=1),2,0)+IF(AND(ISNUMBER(G422),G422&lt;=2),1,0)+IF(AND(ISNUMBER(H422),H422&lt;=2),1,0)</f>
        <v>2</v>
      </c>
      <c r="J422" s="2" t="str">
        <f aca="false">IF(I422&gt;=6,"High",IF(I422&gt;=3,"Medium","Low"))</f>
        <v>Low</v>
      </c>
    </row>
    <row r="423" customFormat="false" ht="15" hidden="false" customHeight="true" outlineLevel="0" collapsed="false">
      <c r="A423" s="2" t="n">
        <f aca="false">'Raw Data'!H423</f>
        <v>422</v>
      </c>
      <c r="B423" s="2" t="n">
        <f aca="false">'Raw Data'!A423</f>
        <v>31</v>
      </c>
      <c r="C423" s="2" t="str">
        <f aca="false">'Raw Data'!D423</f>
        <v>Research &amp; Development</v>
      </c>
      <c r="D423" s="2" t="str">
        <f aca="false">'Raw Data'!K423</f>
        <v>Sales Executive</v>
      </c>
      <c r="E423" s="2" t="n">
        <f aca="false">'Raw Data'!Q423</f>
        <v>9</v>
      </c>
      <c r="F423" s="2" t="n">
        <f aca="false">'Raw Data'!U423</f>
        <v>0</v>
      </c>
      <c r="G423" s="2" t="n">
        <f aca="false">'Raw Data'!W423</f>
        <v>3</v>
      </c>
      <c r="H423" s="2" t="n">
        <f aca="false">'Raw Data'!V423</f>
        <v>4</v>
      </c>
      <c r="I423" s="2" t="n">
        <f aca="false">IF(AND(ISNUMBER(B423),B423&lt;=25),2,0)+IF(AND(ISNUMBER(E423),E423&lt;=5),2,0)+IF(AND(ISNUMBER(F423),F423&lt;=1),2,0)+IF(AND(ISNUMBER(G423),G423&lt;=2),1,0)+IF(AND(ISNUMBER(H423),H423&lt;=2),1,0)</f>
        <v>2</v>
      </c>
      <c r="J423" s="2" t="str">
        <f aca="false">IF(I423&gt;=6,"High",IF(I423&gt;=3,"Medium","Low"))</f>
        <v>Low</v>
      </c>
    </row>
    <row r="424" customFormat="false" ht="15" hidden="false" customHeight="true" outlineLevel="0" collapsed="false">
      <c r="A424" s="2" t="n">
        <f aca="false">'Raw Data'!H424</f>
        <v>423</v>
      </c>
      <c r="B424" s="2" t="n">
        <f aca="false">'Raw Data'!A424</f>
        <v>36</v>
      </c>
      <c r="C424" s="2" t="str">
        <f aca="false">'Raw Data'!D424</f>
        <v>Human Resources</v>
      </c>
      <c r="D424" s="2" t="str">
        <f aca="false">'Raw Data'!K424</f>
        <v>Sales Executive</v>
      </c>
      <c r="E424" s="2" t="n">
        <f aca="false">'Raw Data'!Q424</f>
        <v>8</v>
      </c>
      <c r="F424" s="2" t="n">
        <f aca="false">'Raw Data'!U424</f>
        <v>1</v>
      </c>
      <c r="G424" s="2" t="n">
        <f aca="false">'Raw Data'!W424</f>
        <v>4</v>
      </c>
      <c r="H424" s="2" t="n">
        <f aca="false">'Raw Data'!V424</f>
        <v>2</v>
      </c>
      <c r="I424" s="2" t="n">
        <f aca="false">IF(AND(ISNUMBER(B424),B424&lt;=25),2,0)+IF(AND(ISNUMBER(E424),E424&lt;=5),2,0)+IF(AND(ISNUMBER(F424),F424&lt;=1),2,0)+IF(AND(ISNUMBER(G424),G424&lt;=2),1,0)+IF(AND(ISNUMBER(H424),H424&lt;=2),1,0)</f>
        <v>3</v>
      </c>
      <c r="J424" s="2" t="str">
        <f aca="false">IF(I424&gt;=6,"High",IF(I424&gt;=3,"Medium","Low"))</f>
        <v>Medium</v>
      </c>
    </row>
    <row r="425" customFormat="false" ht="15" hidden="false" customHeight="true" outlineLevel="0" collapsed="false">
      <c r="A425" s="2" t="n">
        <f aca="false">'Raw Data'!H425</f>
        <v>424</v>
      </c>
      <c r="B425" s="2" t="n">
        <f aca="false">'Raw Data'!A425</f>
        <v>38</v>
      </c>
      <c r="C425" s="2" t="str">
        <f aca="false">'Raw Data'!D425</f>
        <v>Sales</v>
      </c>
      <c r="D425" s="2" t="str">
        <f aca="false">'Raw Data'!K425</f>
        <v>Sales Executive</v>
      </c>
      <c r="E425" s="2" t="n">
        <f aca="false">'Raw Data'!Q425</f>
        <v>15</v>
      </c>
      <c r="F425" s="2" t="n">
        <f aca="false">'Raw Data'!U425</f>
        <v>11</v>
      </c>
      <c r="G425" s="2" t="n">
        <f aca="false">'Raw Data'!W425</f>
        <v>1</v>
      </c>
      <c r="H425" s="2" t="n">
        <f aca="false">'Raw Data'!V425</f>
        <v>4</v>
      </c>
      <c r="I425" s="2" t="n">
        <f aca="false">IF(AND(ISNUMBER(B425),B425&lt;=25),2,0)+IF(AND(ISNUMBER(E425),E425&lt;=5),2,0)+IF(AND(ISNUMBER(F425),F425&lt;=1),2,0)+IF(AND(ISNUMBER(G425),G425&lt;=2),1,0)+IF(AND(ISNUMBER(H425),H425&lt;=2),1,0)</f>
        <v>1</v>
      </c>
      <c r="J425" s="2" t="str">
        <f aca="false">IF(I425&gt;=6,"High",IF(I425&gt;=3,"Medium","Low"))</f>
        <v>Low</v>
      </c>
    </row>
    <row r="426" customFormat="false" ht="15" hidden="false" customHeight="true" outlineLevel="0" collapsed="false">
      <c r="A426" s="2" t="n">
        <f aca="false">'Raw Data'!H426</f>
        <v>425</v>
      </c>
      <c r="B426" s="2" t="n">
        <f aca="false">'Raw Data'!A426</f>
        <v>32</v>
      </c>
      <c r="C426" s="2" t="str">
        <f aca="false">'Raw Data'!D426</f>
        <v>Sales</v>
      </c>
      <c r="D426" s="2" t="str">
        <f aca="false">'Raw Data'!K426</f>
        <v>Laboratory Technician</v>
      </c>
      <c r="E426" s="2" t="n">
        <f aca="false">'Raw Data'!Q426</f>
        <v>5</v>
      </c>
      <c r="F426" s="2" t="n">
        <f aca="false">'Raw Data'!U426</f>
        <v>2</v>
      </c>
      <c r="G426" s="2" t="n">
        <f aca="false">'Raw Data'!W426</f>
        <v>2</v>
      </c>
      <c r="H426" s="2" t="n">
        <f aca="false">'Raw Data'!V426</f>
        <v>3</v>
      </c>
      <c r="I426" s="2" t="n">
        <f aca="false">IF(AND(ISNUMBER(B426),B426&lt;=25),2,0)+IF(AND(ISNUMBER(E426),E426&lt;=5),2,0)+IF(AND(ISNUMBER(F426),F426&lt;=1),2,0)+IF(AND(ISNUMBER(G426),G426&lt;=2),1,0)+IF(AND(ISNUMBER(H426),H426&lt;=2),1,0)</f>
        <v>3</v>
      </c>
      <c r="J426" s="2" t="str">
        <f aca="false">IF(I426&gt;=6,"High",IF(I426&gt;=3,"Medium","Low"))</f>
        <v>Medium</v>
      </c>
    </row>
    <row r="427" customFormat="false" ht="15" hidden="false" customHeight="true" outlineLevel="0" collapsed="false">
      <c r="A427" s="2" t="n">
        <f aca="false">'Raw Data'!H427</f>
        <v>426</v>
      </c>
      <c r="B427" s="2" t="n">
        <f aca="false">'Raw Data'!A427</f>
        <v>25</v>
      </c>
      <c r="C427" s="2" t="str">
        <f aca="false">'Raw Data'!D427</f>
        <v>Research &amp; Development</v>
      </c>
      <c r="D427" s="2" t="str">
        <f aca="false">'Raw Data'!K427</f>
        <v>Sales Executive</v>
      </c>
      <c r="E427" s="2" t="n">
        <f aca="false">'Raw Data'!Q427</f>
        <v>1</v>
      </c>
      <c r="F427" s="2" t="n">
        <f aca="false">'Raw Data'!U427</f>
        <v>0</v>
      </c>
      <c r="G427" s="2" t="n">
        <f aca="false">'Raw Data'!W427</f>
        <v>2</v>
      </c>
      <c r="H427" s="2" t="n">
        <f aca="false">'Raw Data'!V427</f>
        <v>3</v>
      </c>
      <c r="I427" s="2" t="n">
        <f aca="false">IF(AND(ISNUMBER(B427),B427&lt;=25),2,0)+IF(AND(ISNUMBER(E427),E427&lt;=5),2,0)+IF(AND(ISNUMBER(F427),F427&lt;=1),2,0)+IF(AND(ISNUMBER(G427),G427&lt;=2),1,0)+IF(AND(ISNUMBER(H427),H427&lt;=2),1,0)</f>
        <v>7</v>
      </c>
      <c r="J427" s="2" t="str">
        <f aca="false">IF(I427&gt;=6,"High",IF(I427&gt;=3,"Medium","Low"))</f>
        <v>High</v>
      </c>
    </row>
    <row r="428" customFormat="false" ht="15" hidden="false" customHeight="true" outlineLevel="0" collapsed="false">
      <c r="A428" s="2" t="n">
        <f aca="false">'Raw Data'!H428</f>
        <v>427</v>
      </c>
      <c r="B428" s="2" t="n">
        <f aca="false">'Raw Data'!A428</f>
        <v>40</v>
      </c>
      <c r="C428" s="2" t="str">
        <f aca="false">'Raw Data'!D428</f>
        <v>Research &amp; Development</v>
      </c>
      <c r="D428" s="2" t="str">
        <f aca="false">'Raw Data'!K428</f>
        <v>Research Scientist</v>
      </c>
      <c r="E428" s="2" t="n">
        <f aca="false">'Raw Data'!Q428</f>
        <v>11</v>
      </c>
      <c r="F428" s="2" t="n">
        <f aca="false">'Raw Data'!U428</f>
        <v>0</v>
      </c>
      <c r="G428" s="2" t="n">
        <f aca="false">'Raw Data'!W428</f>
        <v>2</v>
      </c>
      <c r="H428" s="2" t="n">
        <f aca="false">'Raw Data'!V428</f>
        <v>1</v>
      </c>
      <c r="I428" s="2" t="n">
        <f aca="false">IF(AND(ISNUMBER(B428),B428&lt;=25),2,0)+IF(AND(ISNUMBER(E428),E428&lt;=5),2,0)+IF(AND(ISNUMBER(F428),F428&lt;=1),2,0)+IF(AND(ISNUMBER(G428),G428&lt;=2),1,0)+IF(AND(ISNUMBER(H428),H428&lt;=2),1,0)</f>
        <v>4</v>
      </c>
      <c r="J428" s="2" t="str">
        <f aca="false">IF(I428&gt;=6,"High",IF(I428&gt;=3,"Medium","Low"))</f>
        <v>Medium</v>
      </c>
    </row>
    <row r="429" customFormat="false" ht="15" hidden="false" customHeight="true" outlineLevel="0" collapsed="false">
      <c r="A429" s="2" t="n">
        <f aca="false">'Raw Data'!H429</f>
        <v>428</v>
      </c>
      <c r="B429" s="2" t="n">
        <f aca="false">'Raw Data'!A429</f>
        <v>26</v>
      </c>
      <c r="C429" s="2" t="str">
        <f aca="false">'Raw Data'!D429</f>
        <v>Sales</v>
      </c>
      <c r="D429" s="2" t="str">
        <f aca="false">'Raw Data'!K429</f>
        <v>Healthcare Representative</v>
      </c>
      <c r="E429" s="2" t="n">
        <f aca="false">'Raw Data'!Q429</f>
        <v>7</v>
      </c>
      <c r="F429" s="2" t="n">
        <f aca="false">'Raw Data'!U429</f>
        <v>7</v>
      </c>
      <c r="G429" s="2" t="n">
        <f aca="false">'Raw Data'!W429</f>
        <v>1</v>
      </c>
      <c r="H429" s="2" t="n">
        <f aca="false">'Raw Data'!V429</f>
        <v>3</v>
      </c>
      <c r="I429" s="2" t="n">
        <f aca="false">IF(AND(ISNUMBER(B429),B429&lt;=25),2,0)+IF(AND(ISNUMBER(E429),E429&lt;=5),2,0)+IF(AND(ISNUMBER(F429),F429&lt;=1),2,0)+IF(AND(ISNUMBER(G429),G429&lt;=2),1,0)+IF(AND(ISNUMBER(H429),H429&lt;=2),1,0)</f>
        <v>1</v>
      </c>
      <c r="J429" s="2" t="str">
        <f aca="false">IF(I429&gt;=6,"High",IF(I429&gt;=3,"Medium","Low"))</f>
        <v>Low</v>
      </c>
    </row>
    <row r="430" customFormat="false" ht="15" hidden="false" customHeight="true" outlineLevel="0" collapsed="false">
      <c r="A430" s="2" t="n">
        <f aca="false">'Raw Data'!H430</f>
        <v>429</v>
      </c>
      <c r="B430" s="2" t="n">
        <f aca="false">'Raw Data'!A430</f>
        <v>41</v>
      </c>
      <c r="C430" s="2" t="str">
        <f aca="false">'Raw Data'!D430</f>
        <v>Research &amp; Development</v>
      </c>
      <c r="D430" s="2" t="str">
        <f aca="false">'Raw Data'!K430</f>
        <v>Research Scientist</v>
      </c>
      <c r="E430" s="2" t="n">
        <f aca="false">'Raw Data'!Q430</f>
        <v>20</v>
      </c>
      <c r="F430" s="2" t="n">
        <f aca="false">'Raw Data'!U430</f>
        <v>17</v>
      </c>
      <c r="G430" s="2" t="n">
        <f aca="false">'Raw Data'!W430</f>
        <v>1</v>
      </c>
      <c r="H430" s="2" t="n">
        <f aca="false">'Raw Data'!V430</f>
        <v>4</v>
      </c>
      <c r="I430" s="2" t="n">
        <f aca="false">IF(AND(ISNUMBER(B430),B430&lt;=25),2,0)+IF(AND(ISNUMBER(E430),E430&lt;=5),2,0)+IF(AND(ISNUMBER(F430),F430&lt;=1),2,0)+IF(AND(ISNUMBER(G430),G430&lt;=2),1,0)+IF(AND(ISNUMBER(H430),H430&lt;=2),1,0)</f>
        <v>1</v>
      </c>
      <c r="J430" s="2" t="str">
        <f aca="false">IF(I430&gt;=6,"High",IF(I430&gt;=3,"Medium","Low"))</f>
        <v>Low</v>
      </c>
    </row>
    <row r="431" customFormat="false" ht="15" hidden="false" customHeight="true" outlineLevel="0" collapsed="false">
      <c r="A431" s="2" t="n">
        <f aca="false">'Raw Data'!H431</f>
        <v>430</v>
      </c>
      <c r="B431" s="2" t="n">
        <f aca="false">'Raw Data'!A431</f>
        <v>36</v>
      </c>
      <c r="C431" s="2" t="str">
        <f aca="false">'Raw Data'!D431</f>
        <v>Research &amp; Development</v>
      </c>
      <c r="D431" s="2" t="str">
        <f aca="false">'Raw Data'!K431</f>
        <v>Healthcare Representative</v>
      </c>
      <c r="E431" s="2" t="n">
        <f aca="false">'Raw Data'!Q431</f>
        <v>16</v>
      </c>
      <c r="F431" s="2" t="n">
        <f aca="false">'Raw Data'!U431</f>
        <v>9</v>
      </c>
      <c r="G431" s="2" t="n">
        <f aca="false">'Raw Data'!W431</f>
        <v>3</v>
      </c>
      <c r="H431" s="2" t="n">
        <f aca="false">'Raw Data'!V431</f>
        <v>3</v>
      </c>
      <c r="I431" s="2" t="n">
        <f aca="false">IF(AND(ISNUMBER(B431),B431&lt;=25),2,0)+IF(AND(ISNUMBER(E431),E431&lt;=5),2,0)+IF(AND(ISNUMBER(F431),F431&lt;=1),2,0)+IF(AND(ISNUMBER(G431),G431&lt;=2),1,0)+IF(AND(ISNUMBER(H431),H431&lt;=2),1,0)</f>
        <v>0</v>
      </c>
      <c r="J431" s="2" t="str">
        <f aca="false">IF(I431&gt;=6,"High",IF(I431&gt;=3,"Medium","Low"))</f>
        <v>Low</v>
      </c>
    </row>
    <row r="432" customFormat="false" ht="15" hidden="false" customHeight="true" outlineLevel="0" collapsed="false">
      <c r="A432" s="2" t="n">
        <f aca="false">'Raw Data'!H432</f>
        <v>431</v>
      </c>
      <c r="B432" s="2" t="n">
        <f aca="false">'Raw Data'!A432</f>
        <v>19</v>
      </c>
      <c r="C432" s="2" t="str">
        <f aca="false">'Raw Data'!D432</f>
        <v>Research &amp; Development</v>
      </c>
      <c r="D432" s="2" t="str">
        <f aca="false">'Raw Data'!K432</f>
        <v>Research Scientist</v>
      </c>
      <c r="E432" s="2" t="n">
        <f aca="false">'Raw Data'!Q432</f>
        <v>1</v>
      </c>
      <c r="F432" s="2" t="n">
        <f aca="false">'Raw Data'!U432</f>
        <v>0</v>
      </c>
      <c r="G432" s="2" t="n">
        <f aca="false">'Raw Data'!W432</f>
        <v>2</v>
      </c>
      <c r="H432" s="2" t="n">
        <f aca="false">'Raw Data'!V432</f>
        <v>4</v>
      </c>
      <c r="I432" s="2" t="n">
        <f aca="false">IF(AND(ISNUMBER(B432),B432&lt;=25),2,0)+IF(AND(ISNUMBER(E432),E432&lt;=5),2,0)+IF(AND(ISNUMBER(F432),F432&lt;=1),2,0)+IF(AND(ISNUMBER(G432),G432&lt;=2),1,0)+IF(AND(ISNUMBER(H432),H432&lt;=2),1,0)</f>
        <v>7</v>
      </c>
      <c r="J432" s="2" t="str">
        <f aca="false">IF(I432&gt;=6,"High",IF(I432&gt;=3,"Medium","Low"))</f>
        <v>High</v>
      </c>
    </row>
    <row r="433" customFormat="false" ht="15" hidden="false" customHeight="true" outlineLevel="0" collapsed="false">
      <c r="A433" s="2" t="n">
        <f aca="false">'Raw Data'!H433</f>
        <v>432</v>
      </c>
      <c r="B433" s="2" t="n">
        <f aca="false">'Raw Data'!A433</f>
        <v>20</v>
      </c>
      <c r="C433" s="2" t="str">
        <f aca="false">'Raw Data'!D433</f>
        <v>Research &amp; Development</v>
      </c>
      <c r="D433" s="2" t="str">
        <f aca="false">'Raw Data'!K433</f>
        <v>Laboratory Technician</v>
      </c>
      <c r="E433" s="2" t="n">
        <f aca="false">'Raw Data'!Q433</f>
        <v>1</v>
      </c>
      <c r="F433" s="2" t="n">
        <f aca="false">'Raw Data'!U433</f>
        <v>0</v>
      </c>
      <c r="G433" s="2" t="n">
        <f aca="false">'Raw Data'!W433</f>
        <v>1</v>
      </c>
      <c r="H433" s="2" t="n">
        <f aca="false">'Raw Data'!V433</f>
        <v>1</v>
      </c>
      <c r="I433" s="2" t="n">
        <f aca="false">IF(AND(ISNUMBER(B433),B433&lt;=25),2,0)+IF(AND(ISNUMBER(E433),E433&lt;=5),2,0)+IF(AND(ISNUMBER(F433),F433&lt;=1),2,0)+IF(AND(ISNUMBER(G433),G433&lt;=2),1,0)+IF(AND(ISNUMBER(H433),H433&lt;=2),1,0)</f>
        <v>8</v>
      </c>
      <c r="J433" s="2" t="str">
        <f aca="false">IF(I433&gt;=6,"High",IF(I433&gt;=3,"Medium","Low"))</f>
        <v>High</v>
      </c>
    </row>
    <row r="434" customFormat="false" ht="15" hidden="false" customHeight="true" outlineLevel="0" collapsed="false">
      <c r="A434" s="2" t="n">
        <f aca="false">'Raw Data'!H434</f>
        <v>433</v>
      </c>
      <c r="B434" s="2" t="n">
        <f aca="false">'Raw Data'!A434</f>
        <v>31</v>
      </c>
      <c r="C434" s="2" t="str">
        <f aca="false">'Raw Data'!D434</f>
        <v>Research &amp; Development</v>
      </c>
      <c r="D434" s="2" t="str">
        <f aca="false">'Raw Data'!K434</f>
        <v>Research Director</v>
      </c>
      <c r="E434" s="2" t="n">
        <f aca="false">'Raw Data'!Q434</f>
        <v>10</v>
      </c>
      <c r="F434" s="2" t="n">
        <f aca="false">'Raw Data'!U434</f>
        <v>5</v>
      </c>
      <c r="G434" s="2" t="n">
        <f aca="false">'Raw Data'!W434</f>
        <v>4</v>
      </c>
      <c r="H434" s="2" t="n">
        <f aca="false">'Raw Data'!V434</f>
        <v>4</v>
      </c>
      <c r="I434" s="2" t="n">
        <f aca="false">IF(AND(ISNUMBER(B434),B434&lt;=25),2,0)+IF(AND(ISNUMBER(E434),E434&lt;=5),2,0)+IF(AND(ISNUMBER(F434),F434&lt;=1),2,0)+IF(AND(ISNUMBER(G434),G434&lt;=2),1,0)+IF(AND(ISNUMBER(H434),H434&lt;=2),1,0)</f>
        <v>0</v>
      </c>
      <c r="J434" s="2" t="str">
        <f aca="false">IF(I434&gt;=6,"High",IF(I434&gt;=3,"Medium","Low"))</f>
        <v>Low</v>
      </c>
    </row>
    <row r="435" customFormat="false" ht="15" hidden="false" customHeight="true" outlineLevel="0" collapsed="false">
      <c r="A435" s="2" t="n">
        <f aca="false">'Raw Data'!H435</f>
        <v>434</v>
      </c>
      <c r="B435" s="2" t="n">
        <f aca="false">'Raw Data'!A435</f>
        <v>40</v>
      </c>
      <c r="C435" s="2" t="str">
        <f aca="false">'Raw Data'!D435</f>
        <v>Sales</v>
      </c>
      <c r="D435" s="2" t="str">
        <f aca="false">'Raw Data'!K435</f>
        <v>Research Scientist</v>
      </c>
      <c r="E435" s="2" t="n">
        <f aca="false">'Raw Data'!Q435</f>
        <v>3</v>
      </c>
      <c r="F435" s="2" t="n">
        <f aca="false">'Raw Data'!U435</f>
        <v>0</v>
      </c>
      <c r="G435" s="2" t="n">
        <f aca="false">'Raw Data'!W435</f>
        <v>2</v>
      </c>
      <c r="H435" s="2" t="n">
        <f aca="false">'Raw Data'!V435</f>
        <v>4</v>
      </c>
      <c r="I435" s="2" t="n">
        <f aca="false">IF(AND(ISNUMBER(B435),B435&lt;=25),2,0)+IF(AND(ISNUMBER(E435),E435&lt;=5),2,0)+IF(AND(ISNUMBER(F435),F435&lt;=1),2,0)+IF(AND(ISNUMBER(G435),G435&lt;=2),1,0)+IF(AND(ISNUMBER(H435),H435&lt;=2),1,0)</f>
        <v>5</v>
      </c>
      <c r="J435" s="2" t="str">
        <f aca="false">IF(I435&gt;=6,"High",IF(I435&gt;=3,"Medium","Low"))</f>
        <v>Medium</v>
      </c>
    </row>
    <row r="436" customFormat="false" ht="15" hidden="false" customHeight="true" outlineLevel="0" collapsed="false">
      <c r="A436" s="2" t="n">
        <f aca="false">'Raw Data'!H436</f>
        <v>435</v>
      </c>
      <c r="B436" s="2" t="n">
        <f aca="false">'Raw Data'!A436</f>
        <v>32</v>
      </c>
      <c r="C436" s="2" t="str">
        <f aca="false">'Raw Data'!D436</f>
        <v>Research &amp; Development</v>
      </c>
      <c r="D436" s="2" t="str">
        <f aca="false">'Raw Data'!K436</f>
        <v>Laboratory Technician</v>
      </c>
      <c r="E436" s="2" t="n">
        <f aca="false">'Raw Data'!Q436</f>
        <v>8</v>
      </c>
      <c r="F436" s="2" t="n">
        <f aca="false">'Raw Data'!U436</f>
        <v>3</v>
      </c>
      <c r="G436" s="2" t="n">
        <f aca="false">'Raw Data'!W436</f>
        <v>1</v>
      </c>
      <c r="H436" s="2" t="n">
        <f aca="false">'Raw Data'!V436</f>
        <v>3</v>
      </c>
      <c r="I436" s="2" t="n">
        <f aca="false">IF(AND(ISNUMBER(B436),B436&lt;=25),2,0)+IF(AND(ISNUMBER(E436),E436&lt;=5),2,0)+IF(AND(ISNUMBER(F436),F436&lt;=1),2,0)+IF(AND(ISNUMBER(G436),G436&lt;=2),1,0)+IF(AND(ISNUMBER(H436),H436&lt;=2),1,0)</f>
        <v>1</v>
      </c>
      <c r="J436" s="2" t="str">
        <f aca="false">IF(I436&gt;=6,"High",IF(I436&gt;=3,"Medium","Low"))</f>
        <v>Low</v>
      </c>
    </row>
    <row r="437" customFormat="false" ht="15" hidden="false" customHeight="true" outlineLevel="0" collapsed="false">
      <c r="A437" s="2" t="n">
        <f aca="false">'Raw Data'!H437</f>
        <v>436</v>
      </c>
      <c r="B437" s="2" t="n">
        <f aca="false">'Raw Data'!A437</f>
        <v>36</v>
      </c>
      <c r="C437" s="2" t="str">
        <f aca="false">'Raw Data'!D437</f>
        <v>Research &amp; Development</v>
      </c>
      <c r="D437" s="2" t="str">
        <f aca="false">'Raw Data'!K437</f>
        <v>Sales Executive</v>
      </c>
      <c r="E437" s="2" t="n">
        <f aca="false">'Raw Data'!Q437</f>
        <v>16</v>
      </c>
      <c r="F437" s="2" t="n">
        <f aca="false">'Raw Data'!U437</f>
        <v>7</v>
      </c>
      <c r="G437" s="2" t="n">
        <f aca="false">'Raw Data'!W437</f>
        <v>4</v>
      </c>
      <c r="H437" s="2" t="n">
        <f aca="false">'Raw Data'!V437</f>
        <v>3</v>
      </c>
      <c r="I437" s="2" t="n">
        <f aca="false">IF(AND(ISNUMBER(B437),B437&lt;=25),2,0)+IF(AND(ISNUMBER(E437),E437&lt;=5),2,0)+IF(AND(ISNUMBER(F437),F437&lt;=1),2,0)+IF(AND(ISNUMBER(G437),G437&lt;=2),1,0)+IF(AND(ISNUMBER(H437),H437&lt;=2),1,0)</f>
        <v>0</v>
      </c>
      <c r="J437" s="2" t="str">
        <f aca="false">IF(I437&gt;=6,"High",IF(I437&gt;=3,"Medium","Low"))</f>
        <v>Low</v>
      </c>
    </row>
    <row r="438" customFormat="false" ht="15" hidden="false" customHeight="true" outlineLevel="0" collapsed="false">
      <c r="A438" s="2" t="n">
        <f aca="false">'Raw Data'!H438</f>
        <v>437</v>
      </c>
      <c r="B438" s="2" t="n">
        <f aca="false">'Raw Data'!A438</f>
        <v>33</v>
      </c>
      <c r="C438" s="2" t="str">
        <f aca="false">'Raw Data'!D438</f>
        <v>Research &amp; Development</v>
      </c>
      <c r="D438" s="2" t="str">
        <f aca="false">'Raw Data'!K438</f>
        <v>Manufacturing Director</v>
      </c>
      <c r="E438" s="2" t="n">
        <f aca="false">'Raw Data'!Q438</f>
        <v>6</v>
      </c>
      <c r="F438" s="2" t="n">
        <f aca="false">'Raw Data'!U438</f>
        <v>4</v>
      </c>
      <c r="G438" s="2" t="n">
        <f aca="false">'Raw Data'!W438</f>
        <v>4</v>
      </c>
      <c r="H438" s="2" t="n">
        <f aca="false">'Raw Data'!V438</f>
        <v>2</v>
      </c>
      <c r="I438" s="2" t="n">
        <f aca="false">IF(AND(ISNUMBER(B438),B438&lt;=25),2,0)+IF(AND(ISNUMBER(E438),E438&lt;=5),2,0)+IF(AND(ISNUMBER(F438),F438&lt;=1),2,0)+IF(AND(ISNUMBER(G438),G438&lt;=2),1,0)+IF(AND(ISNUMBER(H438),H438&lt;=2),1,0)</f>
        <v>1</v>
      </c>
      <c r="J438" s="2" t="str">
        <f aca="false">IF(I438&gt;=6,"High",IF(I438&gt;=3,"Medium","Low"))</f>
        <v>Low</v>
      </c>
    </row>
    <row r="439" customFormat="false" ht="15" hidden="false" customHeight="true" outlineLevel="0" collapsed="false">
      <c r="A439" s="2" t="n">
        <f aca="false">'Raw Data'!H439</f>
        <v>438</v>
      </c>
      <c r="B439" s="2" t="n">
        <f aca="false">'Raw Data'!A439</f>
        <v>37</v>
      </c>
      <c r="C439" s="2" t="str">
        <f aca="false">'Raw Data'!D439</f>
        <v>Sales</v>
      </c>
      <c r="D439" s="2" t="str">
        <f aca="false">'Raw Data'!K439</f>
        <v>Human Resources</v>
      </c>
      <c r="E439" s="2" t="n">
        <f aca="false">'Raw Data'!Q439</f>
        <v>17</v>
      </c>
      <c r="F439" s="2" t="n">
        <f aca="false">'Raw Data'!U439</f>
        <v>7</v>
      </c>
      <c r="G439" s="2" t="n">
        <f aca="false">'Raw Data'!W439</f>
        <v>3</v>
      </c>
      <c r="H439" s="2" t="n">
        <f aca="false">'Raw Data'!V439</f>
        <v>1</v>
      </c>
      <c r="I439" s="2" t="n">
        <f aca="false">IF(AND(ISNUMBER(B439),B439&lt;=25),2,0)+IF(AND(ISNUMBER(E439),E439&lt;=5),2,0)+IF(AND(ISNUMBER(F439),F439&lt;=1),2,0)+IF(AND(ISNUMBER(G439),G439&lt;=2),1,0)+IF(AND(ISNUMBER(H439),H439&lt;=2),1,0)</f>
        <v>1</v>
      </c>
      <c r="J439" s="2" t="str">
        <f aca="false">IF(I439&gt;=6,"High",IF(I439&gt;=3,"Medium","Low"))</f>
        <v>Low</v>
      </c>
    </row>
    <row r="440" customFormat="false" ht="15" hidden="false" customHeight="true" outlineLevel="0" collapsed="false">
      <c r="A440" s="2" t="n">
        <f aca="false">'Raw Data'!H440</f>
        <v>439</v>
      </c>
      <c r="B440" s="2" t="n">
        <f aca="false">'Raw Data'!A440</f>
        <v>45</v>
      </c>
      <c r="C440" s="2" t="str">
        <f aca="false">'Raw Data'!D440</f>
        <v>Research &amp; Development</v>
      </c>
      <c r="D440" s="2" t="str">
        <f aca="false">'Raw Data'!K440</f>
        <v>Sales Executive</v>
      </c>
      <c r="E440" s="2" t="n">
        <f aca="false">'Raw Data'!Q440</f>
        <v>9</v>
      </c>
      <c r="F440" s="2" t="n">
        <f aca="false">'Raw Data'!U440</f>
        <v>8</v>
      </c>
      <c r="G440" s="2" t="n">
        <f aca="false">'Raw Data'!W440</f>
        <v>2</v>
      </c>
      <c r="H440" s="2" t="n">
        <f aca="false">'Raw Data'!V440</f>
        <v>3</v>
      </c>
      <c r="I440" s="2" t="n">
        <f aca="false">IF(AND(ISNUMBER(B440),B440&lt;=25),2,0)+IF(AND(ISNUMBER(E440),E440&lt;=5),2,0)+IF(AND(ISNUMBER(F440),F440&lt;=1),2,0)+IF(AND(ISNUMBER(G440),G440&lt;=2),1,0)+IF(AND(ISNUMBER(H440),H440&lt;=2),1,0)</f>
        <v>1</v>
      </c>
      <c r="J440" s="2" t="str">
        <f aca="false">IF(I440&gt;=6,"High",IF(I440&gt;=3,"Medium","Low"))</f>
        <v>Low</v>
      </c>
    </row>
    <row r="441" customFormat="false" ht="15" hidden="false" customHeight="true" outlineLevel="0" collapsed="false">
      <c r="A441" s="2" t="n">
        <f aca="false">'Raw Data'!H441</f>
        <v>440</v>
      </c>
      <c r="B441" s="2" t="n">
        <f aca="false">'Raw Data'!A441</f>
        <v>29</v>
      </c>
      <c r="C441" s="2" t="str">
        <f aca="false">'Raw Data'!D441</f>
        <v>Research &amp; Development</v>
      </c>
      <c r="D441" s="2" t="str">
        <f aca="false">'Raw Data'!K441</f>
        <v>Sales Representative</v>
      </c>
      <c r="E441" s="2" t="n">
        <f aca="false">'Raw Data'!Q441</f>
        <v>3</v>
      </c>
      <c r="F441" s="2" t="n">
        <f aca="false">'Raw Data'!U441</f>
        <v>2</v>
      </c>
      <c r="G441" s="2" t="n">
        <f aca="false">'Raw Data'!W441</f>
        <v>4</v>
      </c>
      <c r="H441" s="2" t="n">
        <f aca="false">'Raw Data'!V441</f>
        <v>3</v>
      </c>
      <c r="I441" s="2" t="n">
        <f aca="false">IF(AND(ISNUMBER(B441),B441&lt;=25),2,0)+IF(AND(ISNUMBER(E441),E441&lt;=5),2,0)+IF(AND(ISNUMBER(F441),F441&lt;=1),2,0)+IF(AND(ISNUMBER(G441),G441&lt;=2),1,0)+IF(AND(ISNUMBER(H441),H441&lt;=2),1,0)</f>
        <v>2</v>
      </c>
      <c r="J441" s="2" t="str">
        <f aca="false">IF(I441&gt;=6,"High",IF(I441&gt;=3,"Medium","Low"))</f>
        <v>Low</v>
      </c>
    </row>
    <row r="442" customFormat="false" ht="15" hidden="false" customHeight="true" outlineLevel="0" collapsed="false">
      <c r="A442" s="2" t="n">
        <f aca="false">'Raw Data'!H442</f>
        <v>441</v>
      </c>
      <c r="B442" s="2" t="n">
        <f aca="false">'Raw Data'!A442</f>
        <v>35</v>
      </c>
      <c r="C442" s="2" t="str">
        <f aca="false">'Raw Data'!D442</f>
        <v>Human Resources</v>
      </c>
      <c r="D442" s="2" t="str">
        <f aca="false">'Raw Data'!K442</f>
        <v>Laboratory Technician</v>
      </c>
      <c r="E442" s="2" t="n">
        <f aca="false">'Raw Data'!Q442</f>
        <v>5</v>
      </c>
      <c r="F442" s="2" t="n">
        <f aca="false">'Raw Data'!U442</f>
        <v>0</v>
      </c>
      <c r="G442" s="2" t="n">
        <f aca="false">'Raw Data'!W442</f>
        <v>3</v>
      </c>
      <c r="H442" s="2" t="n">
        <f aca="false">'Raw Data'!V442</f>
        <v>3</v>
      </c>
      <c r="I442" s="2" t="n">
        <f aca="false">IF(AND(ISNUMBER(B442),B442&lt;=25),2,0)+IF(AND(ISNUMBER(E442),E442&lt;=5),2,0)+IF(AND(ISNUMBER(F442),F442&lt;=1),2,0)+IF(AND(ISNUMBER(G442),G442&lt;=2),1,0)+IF(AND(ISNUMBER(H442),H442&lt;=2),1,0)</f>
        <v>4</v>
      </c>
      <c r="J442" s="2" t="str">
        <f aca="false">IF(I442&gt;=6,"High",IF(I442&gt;=3,"Medium","Low"))</f>
        <v>Medium</v>
      </c>
    </row>
    <row r="443" customFormat="false" ht="15" hidden="false" customHeight="true" outlineLevel="0" collapsed="false">
      <c r="A443" s="2" t="n">
        <f aca="false">'Raw Data'!H443</f>
        <v>442</v>
      </c>
      <c r="B443" s="2" t="n">
        <f aca="false">'Raw Data'!A443</f>
        <v>52</v>
      </c>
      <c r="C443" s="2" t="str">
        <f aca="false">'Raw Data'!D443</f>
        <v>Research &amp; Development</v>
      </c>
      <c r="D443" s="2" t="str">
        <f aca="false">'Raw Data'!K443</f>
        <v>Laboratory Technician</v>
      </c>
      <c r="E443" s="2" t="n">
        <f aca="false">'Raw Data'!Q443</f>
        <v>26</v>
      </c>
      <c r="F443" s="2" t="n">
        <f aca="false">'Raw Data'!U443</f>
        <v>8</v>
      </c>
      <c r="G443" s="2" t="n">
        <f aca="false">'Raw Data'!W443</f>
        <v>4</v>
      </c>
      <c r="H443" s="2" t="n">
        <f aca="false">'Raw Data'!V443</f>
        <v>4</v>
      </c>
      <c r="I443" s="2" t="n">
        <f aca="false">IF(AND(ISNUMBER(B443),B443&lt;=25),2,0)+IF(AND(ISNUMBER(E443),E443&lt;=5),2,0)+IF(AND(ISNUMBER(F443),F443&lt;=1),2,0)+IF(AND(ISNUMBER(G443),G443&lt;=2),1,0)+IF(AND(ISNUMBER(H443),H443&lt;=2),1,0)</f>
        <v>0</v>
      </c>
      <c r="J443" s="2" t="str">
        <f aca="false">IF(I443&gt;=6,"High",IF(I443&gt;=3,"Medium","Low"))</f>
        <v>Low</v>
      </c>
    </row>
    <row r="444" customFormat="false" ht="15" hidden="false" customHeight="true" outlineLevel="0" collapsed="false">
      <c r="A444" s="2" t="n">
        <f aca="false">'Raw Data'!H444</f>
        <v>443</v>
      </c>
      <c r="B444" s="2" t="n">
        <f aca="false">'Raw Data'!A444</f>
        <v>58</v>
      </c>
      <c r="C444" s="2" t="str">
        <f aca="false">'Raw Data'!D444</f>
        <v>Sales</v>
      </c>
      <c r="D444" s="2" t="str">
        <f aca="false">'Raw Data'!K444</f>
        <v>Sales Executive</v>
      </c>
      <c r="E444" s="2" t="n">
        <f aca="false">'Raw Data'!Q444</f>
        <v>7</v>
      </c>
      <c r="F444" s="2" t="n">
        <f aca="false">'Raw Data'!U444</f>
        <v>0</v>
      </c>
      <c r="G444" s="2" t="n">
        <f aca="false">'Raw Data'!W444</f>
        <v>3</v>
      </c>
      <c r="H444" s="2" t="n">
        <f aca="false">'Raw Data'!V444</f>
        <v>4</v>
      </c>
      <c r="I444" s="2" t="n">
        <f aca="false">IF(AND(ISNUMBER(B444),B444&lt;=25),2,0)+IF(AND(ISNUMBER(E444),E444&lt;=5),2,0)+IF(AND(ISNUMBER(F444),F444&lt;=1),2,0)+IF(AND(ISNUMBER(G444),G444&lt;=2),1,0)+IF(AND(ISNUMBER(H444),H444&lt;=2),1,0)</f>
        <v>2</v>
      </c>
      <c r="J444" s="2" t="str">
        <f aca="false">IF(I444&gt;=6,"High",IF(I444&gt;=3,"Medium","Low"))</f>
        <v>Low</v>
      </c>
    </row>
    <row r="445" customFormat="false" ht="15" hidden="false" customHeight="true" outlineLevel="0" collapsed="false">
      <c r="A445" s="2" t="n">
        <f aca="false">'Raw Data'!H445</f>
        <v>444</v>
      </c>
      <c r="B445" s="2" t="n">
        <f aca="false">'Raw Data'!A445</f>
        <v>53</v>
      </c>
      <c r="C445" s="2" t="str">
        <f aca="false">'Raw Data'!D445</f>
        <v>Research &amp; Development</v>
      </c>
      <c r="D445" s="2" t="str">
        <f aca="false">'Raw Data'!K445</f>
        <v>Manager</v>
      </c>
      <c r="E445" s="2" t="n">
        <f aca="false">'Raw Data'!Q445</f>
        <v>22</v>
      </c>
      <c r="F445" s="2" t="n">
        <f aca="false">'Raw Data'!U445</f>
        <v>2</v>
      </c>
      <c r="G445" s="2" t="n">
        <f aca="false">'Raw Data'!W445</f>
        <v>3</v>
      </c>
      <c r="H445" s="2" t="n">
        <f aca="false">'Raw Data'!V445</f>
        <v>3</v>
      </c>
      <c r="I445" s="2" t="n">
        <f aca="false">IF(AND(ISNUMBER(B445),B445&lt;=25),2,0)+IF(AND(ISNUMBER(E445),E445&lt;=5),2,0)+IF(AND(ISNUMBER(F445),F445&lt;=1),2,0)+IF(AND(ISNUMBER(G445),G445&lt;=2),1,0)+IF(AND(ISNUMBER(H445),H445&lt;=2),1,0)</f>
        <v>0</v>
      </c>
      <c r="J445" s="2" t="str">
        <f aca="false">IF(I445&gt;=6,"High",IF(I445&gt;=3,"Medium","Low"))</f>
        <v>Low</v>
      </c>
    </row>
    <row r="446" customFormat="false" ht="15" hidden="false" customHeight="true" outlineLevel="0" collapsed="false">
      <c r="A446" s="2" t="n">
        <f aca="false">'Raw Data'!H446</f>
        <v>445</v>
      </c>
      <c r="B446" s="2" t="n">
        <f aca="false">'Raw Data'!A446</f>
        <v>30</v>
      </c>
      <c r="C446" s="2" t="str">
        <f aca="false">'Raw Data'!D446</f>
        <v>Sales</v>
      </c>
      <c r="D446" s="2" t="str">
        <f aca="false">'Raw Data'!K446</f>
        <v>Sales Executive</v>
      </c>
      <c r="E446" s="2" t="n">
        <f aca="false">'Raw Data'!Q446</f>
        <v>10</v>
      </c>
      <c r="F446" s="2" t="n">
        <f aca="false">'Raw Data'!U446</f>
        <v>7</v>
      </c>
      <c r="G446" s="2" t="n">
        <f aca="false">'Raw Data'!W446</f>
        <v>3</v>
      </c>
      <c r="H446" s="2" t="n">
        <f aca="false">'Raw Data'!V446</f>
        <v>3</v>
      </c>
      <c r="I446" s="2" t="n">
        <f aca="false">IF(AND(ISNUMBER(B446),B446&lt;=25),2,0)+IF(AND(ISNUMBER(E446),E446&lt;=5),2,0)+IF(AND(ISNUMBER(F446),F446&lt;=1),2,0)+IF(AND(ISNUMBER(G446),G446&lt;=2),1,0)+IF(AND(ISNUMBER(H446),H446&lt;=2),1,0)</f>
        <v>0</v>
      </c>
      <c r="J446" s="2" t="str">
        <f aca="false">IF(I446&gt;=6,"High",IF(I446&gt;=3,"Medium","Low"))</f>
        <v>Low</v>
      </c>
    </row>
    <row r="447" customFormat="false" ht="15" hidden="false" customHeight="true" outlineLevel="0" collapsed="false">
      <c r="A447" s="2" t="n">
        <f aca="false">'Raw Data'!H447</f>
        <v>446</v>
      </c>
      <c r="B447" s="2" t="n">
        <f aca="false">'Raw Data'!A447</f>
        <v>38</v>
      </c>
      <c r="C447" s="2" t="str">
        <f aca="false">'Raw Data'!D447</f>
        <v>Sales</v>
      </c>
      <c r="D447" s="2" t="str">
        <f aca="false">'Raw Data'!K447</f>
        <v>Research Director</v>
      </c>
      <c r="E447" s="2" t="n">
        <f aca="false">'Raw Data'!Q447</f>
        <v>6</v>
      </c>
      <c r="F447" s="2" t="n">
        <f aca="false">'Raw Data'!U447</f>
        <v>3</v>
      </c>
      <c r="G447" s="2" t="n">
        <f aca="false">'Raw Data'!W447</f>
        <v>4</v>
      </c>
      <c r="H447" s="2" t="n">
        <f aca="false">'Raw Data'!V447</f>
        <v>3</v>
      </c>
      <c r="I447" s="2" t="n">
        <f aca="false">IF(AND(ISNUMBER(B447),B447&lt;=25),2,0)+IF(AND(ISNUMBER(E447),E447&lt;=5),2,0)+IF(AND(ISNUMBER(F447),F447&lt;=1),2,0)+IF(AND(ISNUMBER(G447),G447&lt;=2),1,0)+IF(AND(ISNUMBER(H447),H447&lt;=2),1,0)</f>
        <v>0</v>
      </c>
      <c r="J447" s="2" t="str">
        <f aca="false">IF(I447&gt;=6,"High",IF(I447&gt;=3,"Medium","Low"))</f>
        <v>Low</v>
      </c>
    </row>
    <row r="448" customFormat="false" ht="15" hidden="false" customHeight="true" outlineLevel="0" collapsed="false">
      <c r="A448" s="2" t="n">
        <f aca="false">'Raw Data'!H448</f>
        <v>447</v>
      </c>
      <c r="B448" s="2" t="n">
        <f aca="false">'Raw Data'!A448</f>
        <v>35</v>
      </c>
      <c r="C448" s="2" t="str">
        <f aca="false">'Raw Data'!D448</f>
        <v>Sales</v>
      </c>
      <c r="D448" s="2" t="str">
        <f aca="false">'Raw Data'!K448</f>
        <v>Healthcare Representative</v>
      </c>
      <c r="E448" s="2" t="n">
        <f aca="false">'Raw Data'!Q448</f>
        <v>12</v>
      </c>
      <c r="F448" s="2" t="n">
        <f aca="false">'Raw Data'!U448</f>
        <v>8</v>
      </c>
      <c r="G448" s="2" t="n">
        <f aca="false">'Raw Data'!W448</f>
        <v>4</v>
      </c>
      <c r="H448" s="2" t="n">
        <f aca="false">'Raw Data'!V448</f>
        <v>4</v>
      </c>
      <c r="I448" s="2" t="n">
        <f aca="false">IF(AND(ISNUMBER(B448),B448&lt;=25),2,0)+IF(AND(ISNUMBER(E448),E448&lt;=5),2,0)+IF(AND(ISNUMBER(F448),F448&lt;=1),2,0)+IF(AND(ISNUMBER(G448),G448&lt;=2),1,0)+IF(AND(ISNUMBER(H448),H448&lt;=2),1,0)</f>
        <v>0</v>
      </c>
      <c r="J448" s="2" t="str">
        <f aca="false">IF(I448&gt;=6,"High",IF(I448&gt;=3,"Medium","Low"))</f>
        <v>Low</v>
      </c>
    </row>
    <row r="449" customFormat="false" ht="15" hidden="false" customHeight="true" outlineLevel="0" collapsed="false">
      <c r="A449" s="2" t="n">
        <f aca="false">'Raw Data'!H449</f>
        <v>448</v>
      </c>
      <c r="B449" s="2" t="n">
        <f aca="false">'Raw Data'!A449</f>
        <v>39</v>
      </c>
      <c r="C449" s="2" t="str">
        <f aca="false">'Raw Data'!D449</f>
        <v>Sales</v>
      </c>
      <c r="D449" s="2" t="str">
        <f aca="false">'Raw Data'!K449</f>
        <v>Research Scientist</v>
      </c>
      <c r="E449" s="2" t="n">
        <f aca="false">'Raw Data'!Q449</f>
        <v>9</v>
      </c>
      <c r="F449" s="2" t="n">
        <f aca="false">'Raw Data'!U449</f>
        <v>7</v>
      </c>
      <c r="G449" s="2" t="n">
        <f aca="false">'Raw Data'!W449</f>
        <v>3</v>
      </c>
      <c r="H449" s="2" t="n">
        <f aca="false">'Raw Data'!V449</f>
        <v>1</v>
      </c>
      <c r="I449" s="2" t="n">
        <f aca="false">IF(AND(ISNUMBER(B449),B449&lt;=25),2,0)+IF(AND(ISNUMBER(E449),E449&lt;=5),2,0)+IF(AND(ISNUMBER(F449),F449&lt;=1),2,0)+IF(AND(ISNUMBER(G449),G449&lt;=2),1,0)+IF(AND(ISNUMBER(H449),H449&lt;=2),1,0)</f>
        <v>1</v>
      </c>
      <c r="J449" s="2" t="str">
        <f aca="false">IF(I449&gt;=6,"High",IF(I449&gt;=3,"Medium","Low"))</f>
        <v>Low</v>
      </c>
    </row>
    <row r="450" customFormat="false" ht="15" hidden="false" customHeight="true" outlineLevel="0" collapsed="false">
      <c r="A450" s="2" t="n">
        <f aca="false">'Raw Data'!H450</f>
        <v>449</v>
      </c>
      <c r="B450" s="2" t="n">
        <f aca="false">'Raw Data'!A450</f>
        <v>40</v>
      </c>
      <c r="C450" s="2" t="str">
        <f aca="false">'Raw Data'!D450</f>
        <v>Research &amp; Development</v>
      </c>
      <c r="D450" s="2" t="str">
        <f aca="false">'Raw Data'!K450</f>
        <v>Human Resources</v>
      </c>
      <c r="E450" s="2" t="n">
        <f aca="false">'Raw Data'!Q450</f>
        <v>22</v>
      </c>
      <c r="F450" s="2" t="n">
        <f aca="false">'Raw Data'!U450</f>
        <v>0</v>
      </c>
      <c r="G450" s="2" t="n">
        <f aca="false">'Raw Data'!W450</f>
        <v>2</v>
      </c>
      <c r="H450" s="2" t="n">
        <f aca="false">'Raw Data'!V450</f>
        <v>2</v>
      </c>
      <c r="I450" s="2" t="n">
        <f aca="false">IF(AND(ISNUMBER(B450),B450&lt;=25),2,0)+IF(AND(ISNUMBER(E450),E450&lt;=5),2,0)+IF(AND(ISNUMBER(F450),F450&lt;=1),2,0)+IF(AND(ISNUMBER(G450),G450&lt;=2),1,0)+IF(AND(ISNUMBER(H450),H450&lt;=2),1,0)</f>
        <v>4</v>
      </c>
      <c r="J450" s="2" t="str">
        <f aca="false">IF(I450&gt;=6,"High",IF(I450&gt;=3,"Medium","Low"))</f>
        <v>Medium</v>
      </c>
    </row>
    <row r="451" customFormat="false" ht="15" hidden="false" customHeight="true" outlineLevel="0" collapsed="false">
      <c r="A451" s="2" t="n">
        <f aca="false">'Raw Data'!H451</f>
        <v>450</v>
      </c>
      <c r="B451" s="2" t="n">
        <f aca="false">'Raw Data'!A451</f>
        <v>47</v>
      </c>
      <c r="C451" s="2" t="str">
        <f aca="false">'Raw Data'!D451</f>
        <v>Research &amp; Development</v>
      </c>
      <c r="D451" s="2" t="str">
        <f aca="false">'Raw Data'!K451</f>
        <v>Sales Executive</v>
      </c>
      <c r="E451" s="2" t="n">
        <f aca="false">'Raw Data'!Q451</f>
        <v>20</v>
      </c>
      <c r="F451" s="2" t="n">
        <f aca="false">'Raw Data'!U451</f>
        <v>7</v>
      </c>
      <c r="G451" s="2" t="n">
        <f aca="false">'Raw Data'!W451</f>
        <v>3</v>
      </c>
      <c r="H451" s="2" t="n">
        <f aca="false">'Raw Data'!V451</f>
        <v>3</v>
      </c>
      <c r="I451" s="2" t="n">
        <f aca="false">IF(AND(ISNUMBER(B451),B451&lt;=25),2,0)+IF(AND(ISNUMBER(E451),E451&lt;=5),2,0)+IF(AND(ISNUMBER(F451),F451&lt;=1),2,0)+IF(AND(ISNUMBER(G451),G451&lt;=2),1,0)+IF(AND(ISNUMBER(H451),H451&lt;=2),1,0)</f>
        <v>0</v>
      </c>
      <c r="J451" s="2" t="str">
        <f aca="false">IF(I451&gt;=6,"High",IF(I451&gt;=3,"Medium","Low"))</f>
        <v>Low</v>
      </c>
    </row>
    <row r="452" customFormat="false" ht="15" hidden="false" customHeight="true" outlineLevel="0" collapsed="false">
      <c r="A452" s="2" t="n">
        <f aca="false">'Raw Data'!H452</f>
        <v>451</v>
      </c>
      <c r="B452" s="2" t="n">
        <f aca="false">'Raw Data'!A452</f>
        <v>36</v>
      </c>
      <c r="C452" s="2" t="str">
        <f aca="false">'Raw Data'!D452</f>
        <v>Sales</v>
      </c>
      <c r="D452" s="2" t="str">
        <f aca="false">'Raw Data'!K452</f>
        <v>Research Scientist</v>
      </c>
      <c r="E452" s="2" t="n">
        <f aca="false">'Raw Data'!Q452</f>
        <v>12</v>
      </c>
      <c r="F452" s="2" t="n">
        <f aca="false">'Raw Data'!U452</f>
        <v>7</v>
      </c>
      <c r="G452" s="2" t="n">
        <f aca="false">'Raw Data'!W452</f>
        <v>4</v>
      </c>
      <c r="H452" s="2" t="n">
        <f aca="false">'Raw Data'!V452</f>
        <v>1</v>
      </c>
      <c r="I452" s="2" t="n">
        <f aca="false">IF(AND(ISNUMBER(B452),B452&lt;=25),2,0)+IF(AND(ISNUMBER(E452),E452&lt;=5),2,0)+IF(AND(ISNUMBER(F452),F452&lt;=1),2,0)+IF(AND(ISNUMBER(G452),G452&lt;=2),1,0)+IF(AND(ISNUMBER(H452),H452&lt;=2),1,0)</f>
        <v>1</v>
      </c>
      <c r="J452" s="2" t="str">
        <f aca="false">IF(I452&gt;=6,"High",IF(I452&gt;=3,"Medium","Low"))</f>
        <v>Low</v>
      </c>
    </row>
    <row r="453" customFormat="false" ht="15" hidden="false" customHeight="true" outlineLevel="0" collapsed="false">
      <c r="A453" s="2" t="n">
        <f aca="false">'Raw Data'!H453</f>
        <v>452</v>
      </c>
      <c r="B453" s="2" t="n">
        <f aca="false">'Raw Data'!A453</f>
        <v>31</v>
      </c>
      <c r="C453" s="2" t="str">
        <f aca="false">'Raw Data'!D453</f>
        <v>Research &amp; Development</v>
      </c>
      <c r="D453" s="2" t="str">
        <f aca="false">'Raw Data'!K453</f>
        <v>Research Scientist</v>
      </c>
      <c r="E453" s="2" t="n">
        <f aca="false">'Raw Data'!Q453</f>
        <v>4</v>
      </c>
      <c r="F453" s="2" t="n">
        <f aca="false">'Raw Data'!U453</f>
        <v>2</v>
      </c>
      <c r="G453" s="2" t="n">
        <f aca="false">'Raw Data'!W453</f>
        <v>1</v>
      </c>
      <c r="H453" s="2" t="n">
        <f aca="false">'Raw Data'!V453</f>
        <v>3</v>
      </c>
      <c r="I453" s="2" t="n">
        <f aca="false">IF(AND(ISNUMBER(B453),B453&lt;=25),2,0)+IF(AND(ISNUMBER(E453),E453&lt;=5),2,0)+IF(AND(ISNUMBER(F453),F453&lt;=1),2,0)+IF(AND(ISNUMBER(G453),G453&lt;=2),1,0)+IF(AND(ISNUMBER(H453),H453&lt;=2),1,0)</f>
        <v>3</v>
      </c>
      <c r="J453" s="2" t="str">
        <f aca="false">IF(I453&gt;=6,"High",IF(I453&gt;=3,"Medium","Low"))</f>
        <v>Medium</v>
      </c>
    </row>
    <row r="454" customFormat="false" ht="15" hidden="false" customHeight="true" outlineLevel="0" collapsed="false">
      <c r="A454" s="2" t="n">
        <f aca="false">'Raw Data'!H454</f>
        <v>453</v>
      </c>
      <c r="B454" s="2" t="n">
        <f aca="false">'Raw Data'!A454</f>
        <v>33</v>
      </c>
      <c r="C454" s="2" t="str">
        <f aca="false">'Raw Data'!D454</f>
        <v>Sales</v>
      </c>
      <c r="D454" s="2" t="str">
        <f aca="false">'Raw Data'!K454</f>
        <v>Research Director</v>
      </c>
      <c r="E454" s="2" t="n">
        <f aca="false">'Raw Data'!Q454</f>
        <v>10</v>
      </c>
      <c r="F454" s="2" t="n">
        <f aca="false">'Raw Data'!U454</f>
        <v>0</v>
      </c>
      <c r="G454" s="2" t="n">
        <f aca="false">'Raw Data'!W454</f>
        <v>3</v>
      </c>
      <c r="H454" s="2" t="n">
        <f aca="false">'Raw Data'!V454</f>
        <v>4</v>
      </c>
      <c r="I454" s="2" t="n">
        <f aca="false">IF(AND(ISNUMBER(B454),B454&lt;=25),2,0)+IF(AND(ISNUMBER(E454),E454&lt;=5),2,0)+IF(AND(ISNUMBER(F454),F454&lt;=1),2,0)+IF(AND(ISNUMBER(G454),G454&lt;=2),1,0)+IF(AND(ISNUMBER(H454),H454&lt;=2),1,0)</f>
        <v>2</v>
      </c>
      <c r="J454" s="2" t="str">
        <f aca="false">IF(I454&gt;=6,"High",IF(I454&gt;=3,"Medium","Low"))</f>
        <v>Low</v>
      </c>
    </row>
    <row r="455" customFormat="false" ht="15" hidden="false" customHeight="true" outlineLevel="0" collapsed="false">
      <c r="A455" s="2" t="n">
        <f aca="false">'Raw Data'!H455</f>
        <v>454</v>
      </c>
      <c r="B455" s="2" t="n">
        <f aca="false">'Raw Data'!A455</f>
        <v>29</v>
      </c>
      <c r="C455" s="2" t="str">
        <f aca="false">'Raw Data'!D455</f>
        <v>Human Resources</v>
      </c>
      <c r="D455" s="2" t="str">
        <f aca="false">'Raw Data'!K455</f>
        <v>Sales Executive</v>
      </c>
      <c r="E455" s="2" t="n">
        <f aca="false">'Raw Data'!Q455</f>
        <v>3</v>
      </c>
      <c r="F455" s="2" t="n">
        <f aca="false">'Raw Data'!U455</f>
        <v>0</v>
      </c>
      <c r="G455" s="2" t="n">
        <f aca="false">'Raw Data'!W455</f>
        <v>1</v>
      </c>
      <c r="H455" s="2" t="n">
        <f aca="false">'Raw Data'!V455</f>
        <v>4</v>
      </c>
      <c r="I455" s="2" t="n">
        <f aca="false">IF(AND(ISNUMBER(B455),B455&lt;=25),2,0)+IF(AND(ISNUMBER(E455),E455&lt;=5),2,0)+IF(AND(ISNUMBER(F455),F455&lt;=1),2,0)+IF(AND(ISNUMBER(G455),G455&lt;=2),1,0)+IF(AND(ISNUMBER(H455),H455&lt;=2),1,0)</f>
        <v>5</v>
      </c>
      <c r="J455" s="2" t="str">
        <f aca="false">IF(I455&gt;=6,"High",IF(I455&gt;=3,"Medium","Low"))</f>
        <v>Medium</v>
      </c>
    </row>
    <row r="456" customFormat="false" ht="15" hidden="false" customHeight="true" outlineLevel="0" collapsed="false">
      <c r="A456" s="2" t="n">
        <f aca="false">'Raw Data'!H456</f>
        <v>455</v>
      </c>
      <c r="B456" s="2" t="n">
        <f aca="false">'Raw Data'!A456</f>
        <v>33</v>
      </c>
      <c r="C456" s="2" t="str">
        <f aca="false">'Raw Data'!D456</f>
        <v>Research &amp; Development</v>
      </c>
      <c r="D456" s="2" t="str">
        <f aca="false">'Raw Data'!K456</f>
        <v>Laboratory Technician</v>
      </c>
      <c r="E456" s="2" t="n">
        <f aca="false">'Raw Data'!Q456</f>
        <v>5</v>
      </c>
      <c r="F456" s="2" t="n">
        <f aca="false">'Raw Data'!U456</f>
        <v>2</v>
      </c>
      <c r="G456" s="2" t="n">
        <f aca="false">'Raw Data'!W456</f>
        <v>4</v>
      </c>
      <c r="H456" s="2" t="n">
        <f aca="false">'Raw Data'!V456</f>
        <v>2</v>
      </c>
      <c r="I456" s="2" t="n">
        <f aca="false">IF(AND(ISNUMBER(B456),B456&lt;=25),2,0)+IF(AND(ISNUMBER(E456),E456&lt;=5),2,0)+IF(AND(ISNUMBER(F456),F456&lt;=1),2,0)+IF(AND(ISNUMBER(G456),G456&lt;=2),1,0)+IF(AND(ISNUMBER(H456),H456&lt;=2),1,0)</f>
        <v>3</v>
      </c>
      <c r="J456" s="2" t="str">
        <f aca="false">IF(I456&gt;=6,"High",IF(I456&gt;=3,"Medium","Low"))</f>
        <v>Medium</v>
      </c>
    </row>
    <row r="457" customFormat="false" ht="15" hidden="false" customHeight="true" outlineLevel="0" collapsed="false">
      <c r="A457" s="2" t="n">
        <f aca="false">'Raw Data'!H457</f>
        <v>456</v>
      </c>
      <c r="B457" s="2" t="n">
        <f aca="false">'Raw Data'!A457</f>
        <v>45</v>
      </c>
      <c r="C457" s="2" t="str">
        <f aca="false">'Raw Data'!D457</f>
        <v>Research &amp; Development</v>
      </c>
      <c r="D457" s="2" t="str">
        <f aca="false">'Raw Data'!K457</f>
        <v>Healthcare Representative</v>
      </c>
      <c r="E457" s="2" t="n">
        <f aca="false">'Raw Data'!Q457</f>
        <v>8</v>
      </c>
      <c r="F457" s="2" t="n">
        <f aca="false">'Raw Data'!U457</f>
        <v>2</v>
      </c>
      <c r="G457" s="2" t="n">
        <f aca="false">'Raw Data'!W457</f>
        <v>4</v>
      </c>
      <c r="H457" s="2" t="n">
        <f aca="false">'Raw Data'!V457</f>
        <v>4</v>
      </c>
      <c r="I457" s="2" t="n">
        <f aca="false">IF(AND(ISNUMBER(B457),B457&lt;=25),2,0)+IF(AND(ISNUMBER(E457),E457&lt;=5),2,0)+IF(AND(ISNUMBER(F457),F457&lt;=1),2,0)+IF(AND(ISNUMBER(G457),G457&lt;=2),1,0)+IF(AND(ISNUMBER(H457),H457&lt;=2),1,0)</f>
        <v>0</v>
      </c>
      <c r="J457" s="2" t="str">
        <f aca="false">IF(I457&gt;=6,"High",IF(I457&gt;=3,"Medium","Low"))</f>
        <v>Low</v>
      </c>
    </row>
    <row r="458" customFormat="false" ht="15" hidden="false" customHeight="true" outlineLevel="0" collapsed="false">
      <c r="A458" s="2" t="n">
        <f aca="false">'Raw Data'!H458</f>
        <v>457</v>
      </c>
      <c r="B458" s="2" t="n">
        <f aca="false">'Raw Data'!A458</f>
        <v>50</v>
      </c>
      <c r="C458" s="2" t="str">
        <f aca="false">'Raw Data'!D458</f>
        <v>Sales</v>
      </c>
      <c r="D458" s="2" t="str">
        <f aca="false">'Raw Data'!K458</f>
        <v>Manufacturing Director</v>
      </c>
      <c r="E458" s="2" t="n">
        <f aca="false">'Raw Data'!Q458</f>
        <v>32</v>
      </c>
      <c r="F458" s="2" t="n">
        <f aca="false">'Raw Data'!U458</f>
        <v>3</v>
      </c>
      <c r="G458" s="2" t="n">
        <f aca="false">'Raw Data'!W458</f>
        <v>4</v>
      </c>
      <c r="H458" s="2" t="n">
        <f aca="false">'Raw Data'!V458</f>
        <v>4</v>
      </c>
      <c r="I458" s="2" t="n">
        <f aca="false">IF(AND(ISNUMBER(B458),B458&lt;=25),2,0)+IF(AND(ISNUMBER(E458),E458&lt;=5),2,0)+IF(AND(ISNUMBER(F458),F458&lt;=1),2,0)+IF(AND(ISNUMBER(G458),G458&lt;=2),1,0)+IF(AND(ISNUMBER(H458),H458&lt;=2),1,0)</f>
        <v>0</v>
      </c>
      <c r="J458" s="2" t="str">
        <f aca="false">IF(I458&gt;=6,"High",IF(I458&gt;=3,"Medium","Low"))</f>
        <v>Low</v>
      </c>
    </row>
    <row r="459" customFormat="false" ht="15" hidden="false" customHeight="true" outlineLevel="0" collapsed="false">
      <c r="A459" s="2" t="n">
        <f aca="false">'Raw Data'!H459</f>
        <v>458</v>
      </c>
      <c r="B459" s="2" t="n">
        <f aca="false">'Raw Data'!A459</f>
        <v>33</v>
      </c>
      <c r="C459" s="2" t="str">
        <f aca="false">'Raw Data'!D459</f>
        <v>Sales</v>
      </c>
      <c r="D459" s="2" t="str">
        <f aca="false">'Raw Data'!K459</f>
        <v>Human Resources</v>
      </c>
      <c r="E459" s="2" t="n">
        <f aca="false">'Raw Data'!Q459</f>
        <v>6</v>
      </c>
      <c r="F459" s="2" t="n">
        <f aca="false">'Raw Data'!U459</f>
        <v>2</v>
      </c>
      <c r="G459" s="2" t="n">
        <f aca="false">'Raw Data'!W459</f>
        <v>2</v>
      </c>
      <c r="H459" s="2" t="n">
        <f aca="false">'Raw Data'!V459</f>
        <v>3</v>
      </c>
      <c r="I459" s="2" t="n">
        <f aca="false">IF(AND(ISNUMBER(B459),B459&lt;=25),2,0)+IF(AND(ISNUMBER(E459),E459&lt;=5),2,0)+IF(AND(ISNUMBER(F459),F459&lt;=1),2,0)+IF(AND(ISNUMBER(G459),G459&lt;=2),1,0)+IF(AND(ISNUMBER(H459),H459&lt;=2),1,0)</f>
        <v>1</v>
      </c>
      <c r="J459" s="2" t="str">
        <f aca="false">IF(I459&gt;=6,"High",IF(I459&gt;=3,"Medium","Low"))</f>
        <v>Low</v>
      </c>
    </row>
    <row r="460" customFormat="false" ht="15" hidden="false" customHeight="true" outlineLevel="0" collapsed="false">
      <c r="A460" s="2" t="n">
        <f aca="false">'Raw Data'!H460</f>
        <v>459</v>
      </c>
      <c r="B460" s="2" t="n">
        <f aca="false">'Raw Data'!A460</f>
        <v>41</v>
      </c>
      <c r="C460" s="2" t="str">
        <f aca="false">'Raw Data'!D460</f>
        <v>Sales</v>
      </c>
      <c r="D460" s="2" t="str">
        <f aca="false">'Raw Data'!K460</f>
        <v>Laboratory Technician</v>
      </c>
      <c r="E460" s="2" t="n">
        <f aca="false">'Raw Data'!Q460</f>
        <v>21</v>
      </c>
      <c r="F460" s="2" t="n">
        <f aca="false">'Raw Data'!U460</f>
        <v>11</v>
      </c>
      <c r="G460" s="2" t="n">
        <f aca="false">'Raw Data'!W460</f>
        <v>3</v>
      </c>
      <c r="H460" s="2" t="n">
        <f aca="false">'Raw Data'!V460</f>
        <v>1</v>
      </c>
      <c r="I460" s="2" t="n">
        <f aca="false">IF(AND(ISNUMBER(B460),B460&lt;=25),2,0)+IF(AND(ISNUMBER(E460),E460&lt;=5),2,0)+IF(AND(ISNUMBER(F460),F460&lt;=1),2,0)+IF(AND(ISNUMBER(G460),G460&lt;=2),1,0)+IF(AND(ISNUMBER(H460),H460&lt;=2),1,0)</f>
        <v>1</v>
      </c>
      <c r="J460" s="2" t="str">
        <f aca="false">IF(I460&gt;=6,"High",IF(I460&gt;=3,"Medium","Low"))</f>
        <v>Low</v>
      </c>
    </row>
    <row r="461" customFormat="false" ht="15" hidden="false" customHeight="true" outlineLevel="0" collapsed="false">
      <c r="A461" s="2" t="n">
        <f aca="false">'Raw Data'!H461</f>
        <v>460</v>
      </c>
      <c r="B461" s="2" t="n">
        <f aca="false">'Raw Data'!A461</f>
        <v>27</v>
      </c>
      <c r="C461" s="2" t="str">
        <f aca="false">'Raw Data'!D461</f>
        <v>Research &amp; Development</v>
      </c>
      <c r="D461" s="2" t="str">
        <f aca="false">'Raw Data'!K461</f>
        <v>Manufacturing Director</v>
      </c>
      <c r="E461" s="2" t="n">
        <f aca="false">'Raw Data'!Q461</f>
        <v>4</v>
      </c>
      <c r="F461" s="2" t="n">
        <f aca="false">'Raw Data'!U461</f>
        <v>2</v>
      </c>
      <c r="G461" s="2" t="n">
        <f aca="false">'Raw Data'!W461</f>
        <v>2</v>
      </c>
      <c r="H461" s="2" t="n">
        <f aca="false">'Raw Data'!V461</f>
        <v>3</v>
      </c>
      <c r="I461" s="2" t="n">
        <f aca="false">IF(AND(ISNUMBER(B461),B461&lt;=25),2,0)+IF(AND(ISNUMBER(E461),E461&lt;=5),2,0)+IF(AND(ISNUMBER(F461),F461&lt;=1),2,0)+IF(AND(ISNUMBER(G461),G461&lt;=2),1,0)+IF(AND(ISNUMBER(H461),H461&lt;=2),1,0)</f>
        <v>3</v>
      </c>
      <c r="J461" s="2" t="str">
        <f aca="false">IF(I461&gt;=6,"High",IF(I461&gt;=3,"Medium","Low"))</f>
        <v>Medium</v>
      </c>
    </row>
    <row r="462" customFormat="false" ht="15" hidden="false" customHeight="true" outlineLevel="0" collapsed="false">
      <c r="A462" s="2" t="n">
        <f aca="false">'Raw Data'!H462</f>
        <v>461</v>
      </c>
      <c r="B462" s="2" t="n">
        <f aca="false">'Raw Data'!A462</f>
        <v>45</v>
      </c>
      <c r="C462" s="2" t="str">
        <f aca="false">'Raw Data'!D462</f>
        <v>Sales</v>
      </c>
      <c r="D462" s="2" t="str">
        <f aca="false">'Raw Data'!K462</f>
        <v>Sales Executive</v>
      </c>
      <c r="E462" s="2" t="n">
        <f aca="false">'Raw Data'!Q462</f>
        <v>9</v>
      </c>
      <c r="F462" s="2" t="n">
        <f aca="false">'Raw Data'!U462</f>
        <v>8</v>
      </c>
      <c r="G462" s="2" t="n">
        <f aca="false">'Raw Data'!W462</f>
        <v>1</v>
      </c>
      <c r="H462" s="2" t="n">
        <f aca="false">'Raw Data'!V462</f>
        <v>4</v>
      </c>
      <c r="I462" s="2" t="n">
        <f aca="false">IF(AND(ISNUMBER(B462),B462&lt;=25),2,0)+IF(AND(ISNUMBER(E462),E462&lt;=5),2,0)+IF(AND(ISNUMBER(F462),F462&lt;=1),2,0)+IF(AND(ISNUMBER(G462),G462&lt;=2),1,0)+IF(AND(ISNUMBER(H462),H462&lt;=2),1,0)</f>
        <v>1</v>
      </c>
      <c r="J462" s="2" t="str">
        <f aca="false">IF(I462&gt;=6,"High",IF(I462&gt;=3,"Medium","Low"))</f>
        <v>Low</v>
      </c>
    </row>
    <row r="463" customFormat="false" ht="15" hidden="false" customHeight="true" outlineLevel="0" collapsed="false">
      <c r="A463" s="2" t="n">
        <f aca="false">'Raw Data'!H463</f>
        <v>462</v>
      </c>
      <c r="B463" s="2" t="n">
        <f aca="false">'Raw Data'!A463</f>
        <v>47</v>
      </c>
      <c r="C463" s="2" t="str">
        <f aca="false">'Raw Data'!D463</f>
        <v>Sales</v>
      </c>
      <c r="D463" s="2" t="str">
        <f aca="false">'Raw Data'!K463</f>
        <v>Research Scientist</v>
      </c>
      <c r="E463" s="2" t="n">
        <f aca="false">'Raw Data'!Q463</f>
        <v>9</v>
      </c>
      <c r="F463" s="2" t="n">
        <f aca="false">'Raw Data'!U463</f>
        <v>7</v>
      </c>
      <c r="G463" s="2" t="n">
        <f aca="false">'Raw Data'!W463</f>
        <v>4</v>
      </c>
      <c r="H463" s="2" t="n">
        <f aca="false">'Raw Data'!V463</f>
        <v>4</v>
      </c>
      <c r="I463" s="2" t="n">
        <f aca="false">IF(AND(ISNUMBER(B463),B463&lt;=25),2,0)+IF(AND(ISNUMBER(E463),E463&lt;=5),2,0)+IF(AND(ISNUMBER(F463),F463&lt;=1),2,0)+IF(AND(ISNUMBER(G463),G463&lt;=2),1,0)+IF(AND(ISNUMBER(H463),H463&lt;=2),1,0)</f>
        <v>0</v>
      </c>
      <c r="J463" s="2" t="str">
        <f aca="false">IF(I463&gt;=6,"High",IF(I463&gt;=3,"Medium","Low"))</f>
        <v>Low</v>
      </c>
    </row>
    <row r="464" customFormat="false" ht="15" hidden="false" customHeight="true" outlineLevel="0" collapsed="false">
      <c r="A464" s="2" t="n">
        <f aca="false">'Raw Data'!H464</f>
        <v>463</v>
      </c>
      <c r="B464" s="2" t="n">
        <f aca="false">'Raw Data'!A464</f>
        <v>30</v>
      </c>
      <c r="C464" s="2" t="str">
        <f aca="false">'Raw Data'!D464</f>
        <v>Sales</v>
      </c>
      <c r="D464" s="2" t="str">
        <f aca="false">'Raw Data'!K464</f>
        <v>Healthcare Representative</v>
      </c>
      <c r="E464" s="2" t="n">
        <f aca="false">'Raw Data'!Q464</f>
        <v>7</v>
      </c>
      <c r="F464" s="2" t="n">
        <f aca="false">'Raw Data'!U464</f>
        <v>1</v>
      </c>
      <c r="G464" s="2" t="n">
        <f aca="false">'Raw Data'!W464</f>
        <v>3</v>
      </c>
      <c r="H464" s="2" t="n">
        <f aca="false">'Raw Data'!V464</f>
        <v>1</v>
      </c>
      <c r="I464" s="2" t="n">
        <f aca="false">IF(AND(ISNUMBER(B464),B464&lt;=25),2,0)+IF(AND(ISNUMBER(E464),E464&lt;=5),2,0)+IF(AND(ISNUMBER(F464),F464&lt;=1),2,0)+IF(AND(ISNUMBER(G464),G464&lt;=2),1,0)+IF(AND(ISNUMBER(H464),H464&lt;=2),1,0)</f>
        <v>3</v>
      </c>
      <c r="J464" s="2" t="str">
        <f aca="false">IF(I464&gt;=6,"High",IF(I464&gt;=3,"Medium","Low"))</f>
        <v>Medium</v>
      </c>
    </row>
    <row r="465" customFormat="false" ht="15" hidden="false" customHeight="true" outlineLevel="0" collapsed="false">
      <c r="A465" s="2" t="n">
        <f aca="false">'Raw Data'!H465</f>
        <v>464</v>
      </c>
      <c r="B465" s="2" t="n">
        <f aca="false">'Raw Data'!A465</f>
        <v>50</v>
      </c>
      <c r="C465" s="2" t="str">
        <f aca="false">'Raw Data'!D465</f>
        <v>Research &amp; Development</v>
      </c>
      <c r="D465" s="2" t="str">
        <f aca="false">'Raw Data'!K465</f>
        <v>Sales Executive</v>
      </c>
      <c r="E465" s="2" t="n">
        <f aca="false">'Raw Data'!Q465</f>
        <v>22</v>
      </c>
      <c r="F465" s="2" t="n">
        <f aca="false">'Raw Data'!U465</f>
        <v>5</v>
      </c>
      <c r="G465" s="2" t="n">
        <f aca="false">'Raw Data'!W465</f>
        <v>3</v>
      </c>
      <c r="H465" s="2" t="n">
        <f aca="false">'Raw Data'!V465</f>
        <v>4</v>
      </c>
      <c r="I465" s="2" t="n">
        <f aca="false">IF(AND(ISNUMBER(B465),B465&lt;=25),2,0)+IF(AND(ISNUMBER(E465),E465&lt;=5),2,0)+IF(AND(ISNUMBER(F465),F465&lt;=1),2,0)+IF(AND(ISNUMBER(G465),G465&lt;=2),1,0)+IF(AND(ISNUMBER(H465),H465&lt;=2),1,0)</f>
        <v>0</v>
      </c>
      <c r="J465" s="2" t="str">
        <f aca="false">IF(I465&gt;=6,"High",IF(I465&gt;=3,"Medium","Low"))</f>
        <v>Low</v>
      </c>
    </row>
    <row r="466" customFormat="false" ht="15" hidden="false" customHeight="true" outlineLevel="0" collapsed="false">
      <c r="A466" s="2" t="n">
        <f aca="false">'Raw Data'!H466</f>
        <v>465</v>
      </c>
      <c r="B466" s="2" t="n">
        <f aca="false">'Raw Data'!A466</f>
        <v>38</v>
      </c>
      <c r="C466" s="2" t="str">
        <f aca="false">'Raw Data'!D466</f>
        <v>Research &amp; Development</v>
      </c>
      <c r="D466" s="2" t="str">
        <f aca="false">'Raw Data'!K466</f>
        <v>Manufacturing Director</v>
      </c>
      <c r="E466" s="2" t="n">
        <f aca="false">'Raw Data'!Q466</f>
        <v>3</v>
      </c>
      <c r="F466" s="2" t="n">
        <f aca="false">'Raw Data'!U466</f>
        <v>2</v>
      </c>
      <c r="G466" s="2" t="n">
        <f aca="false">'Raw Data'!W466</f>
        <v>3</v>
      </c>
      <c r="H466" s="2" t="n">
        <f aca="false">'Raw Data'!V466</f>
        <v>3</v>
      </c>
      <c r="I466" s="2" t="n">
        <f aca="false">IF(AND(ISNUMBER(B466),B466&lt;=25),2,0)+IF(AND(ISNUMBER(E466),E466&lt;=5),2,0)+IF(AND(ISNUMBER(F466),F466&lt;=1),2,0)+IF(AND(ISNUMBER(G466),G466&lt;=2),1,0)+IF(AND(ISNUMBER(H466),H466&lt;=2),1,0)</f>
        <v>2</v>
      </c>
      <c r="J466" s="2" t="str">
        <f aca="false">IF(I466&gt;=6,"High",IF(I466&gt;=3,"Medium","Low"))</f>
        <v>Low</v>
      </c>
    </row>
    <row r="467" customFormat="false" ht="15" hidden="false" customHeight="true" outlineLevel="0" collapsed="false">
      <c r="A467" s="2" t="n">
        <f aca="false">'Raw Data'!H467</f>
        <v>466</v>
      </c>
      <c r="B467" s="2" t="n">
        <f aca="false">'Raw Data'!A467</f>
        <v>46</v>
      </c>
      <c r="C467" s="2" t="str">
        <f aca="false">'Raw Data'!D467</f>
        <v>Research &amp; Development</v>
      </c>
      <c r="D467" s="2" t="str">
        <f aca="false">'Raw Data'!K467</f>
        <v>Human Resources</v>
      </c>
      <c r="E467" s="2" t="n">
        <f aca="false">'Raw Data'!Q467</f>
        <v>13</v>
      </c>
      <c r="F467" s="2" t="n">
        <f aca="false">'Raw Data'!U467</f>
        <v>7</v>
      </c>
      <c r="G467" s="2" t="n">
        <f aca="false">'Raw Data'!W467</f>
        <v>3</v>
      </c>
      <c r="H467" s="2" t="n">
        <f aca="false">'Raw Data'!V467</f>
        <v>4</v>
      </c>
      <c r="I467" s="2" t="n">
        <f aca="false">IF(AND(ISNUMBER(B467),B467&lt;=25),2,0)+IF(AND(ISNUMBER(E467),E467&lt;=5),2,0)+IF(AND(ISNUMBER(F467),F467&lt;=1),2,0)+IF(AND(ISNUMBER(G467),G467&lt;=2),1,0)+IF(AND(ISNUMBER(H467),H467&lt;=2),1,0)</f>
        <v>0</v>
      </c>
      <c r="J467" s="2" t="str">
        <f aca="false">IF(I467&gt;=6,"High",IF(I467&gt;=3,"Medium","Low"))</f>
        <v>Low</v>
      </c>
    </row>
    <row r="468" customFormat="false" ht="15" hidden="false" customHeight="true" outlineLevel="0" collapsed="false">
      <c r="A468" s="2" t="n">
        <f aca="false">'Raw Data'!H468</f>
        <v>467</v>
      </c>
      <c r="B468" s="2" t="n">
        <f aca="false">'Raw Data'!A468</f>
        <v>24</v>
      </c>
      <c r="C468" s="2" t="str">
        <f aca="false">'Raw Data'!D468</f>
        <v>Sales</v>
      </c>
      <c r="D468" s="2" t="str">
        <f aca="false">'Raw Data'!K468</f>
        <v>Healthcare Representative</v>
      </c>
      <c r="E468" s="2" t="n">
        <f aca="false">'Raw Data'!Q468</f>
        <v>5</v>
      </c>
      <c r="F468" s="2" t="n">
        <f aca="false">'Raw Data'!U468</f>
        <v>2</v>
      </c>
      <c r="G468" s="2" t="n">
        <f aca="false">'Raw Data'!W468</f>
        <v>3</v>
      </c>
      <c r="H468" s="2" t="n">
        <f aca="false">'Raw Data'!V468</f>
        <v>4</v>
      </c>
      <c r="I468" s="2" t="n">
        <f aca="false">IF(AND(ISNUMBER(B468),B468&lt;=25),2,0)+IF(AND(ISNUMBER(E468),E468&lt;=5),2,0)+IF(AND(ISNUMBER(F468),F468&lt;=1),2,0)+IF(AND(ISNUMBER(G468),G468&lt;=2),1,0)+IF(AND(ISNUMBER(H468),H468&lt;=2),1,0)</f>
        <v>4</v>
      </c>
      <c r="J468" s="2" t="str">
        <f aca="false">IF(I468&gt;=6,"High",IF(I468&gt;=3,"Medium","Low"))</f>
        <v>Medium</v>
      </c>
    </row>
    <row r="469" customFormat="false" ht="15" hidden="false" customHeight="true" outlineLevel="0" collapsed="false">
      <c r="A469" s="2" t="n">
        <f aca="false">'Raw Data'!H469</f>
        <v>468</v>
      </c>
      <c r="B469" s="2" t="n">
        <f aca="false">'Raw Data'!A469</f>
        <v>35</v>
      </c>
      <c r="C469" s="2" t="str">
        <f aca="false">'Raw Data'!D469</f>
        <v>Sales</v>
      </c>
      <c r="D469" s="2" t="str">
        <f aca="false">'Raw Data'!K469</f>
        <v>Healthcare Representative</v>
      </c>
      <c r="E469" s="2" t="n">
        <f aca="false">'Raw Data'!Q469</f>
        <v>5</v>
      </c>
      <c r="F469" s="2" t="n">
        <f aca="false">'Raw Data'!U469</f>
        <v>2</v>
      </c>
      <c r="G469" s="2" t="n">
        <f aca="false">'Raw Data'!W469</f>
        <v>2</v>
      </c>
      <c r="H469" s="2" t="n">
        <f aca="false">'Raw Data'!V469</f>
        <v>3</v>
      </c>
      <c r="I469" s="2" t="n">
        <f aca="false">IF(AND(ISNUMBER(B469),B469&lt;=25),2,0)+IF(AND(ISNUMBER(E469),E469&lt;=5),2,0)+IF(AND(ISNUMBER(F469),F469&lt;=1),2,0)+IF(AND(ISNUMBER(G469),G469&lt;=2),1,0)+IF(AND(ISNUMBER(H469),H469&lt;=2),1,0)</f>
        <v>3</v>
      </c>
      <c r="J469" s="2" t="str">
        <f aca="false">IF(I469&gt;=6,"High",IF(I469&gt;=3,"Medium","Low"))</f>
        <v>Medium</v>
      </c>
    </row>
    <row r="470" customFormat="false" ht="15" hidden="false" customHeight="true" outlineLevel="0" collapsed="false">
      <c r="A470" s="2" t="n">
        <f aca="false">'Raw Data'!H470</f>
        <v>469</v>
      </c>
      <c r="B470" s="2" t="n">
        <f aca="false">'Raw Data'!A470</f>
        <v>31</v>
      </c>
      <c r="C470" s="2" t="str">
        <f aca="false">'Raw Data'!D470</f>
        <v>Research &amp; Development</v>
      </c>
      <c r="D470" s="2" t="str">
        <f aca="false">'Raw Data'!K470</f>
        <v>Sales Executive</v>
      </c>
      <c r="E470" s="2" t="n">
        <f aca="false">'Raw Data'!Q470</f>
        <v>4</v>
      </c>
      <c r="F470" s="2" t="n">
        <f aca="false">'Raw Data'!U470</f>
        <v>3</v>
      </c>
      <c r="G470" s="2" t="n">
        <f aca="false">'Raw Data'!W470</f>
        <v>1</v>
      </c>
      <c r="H470" s="2" t="n">
        <f aca="false">'Raw Data'!V470</f>
        <v>3</v>
      </c>
      <c r="I470" s="2" t="n">
        <f aca="false">IF(AND(ISNUMBER(B470),B470&lt;=25),2,0)+IF(AND(ISNUMBER(E470),E470&lt;=5),2,0)+IF(AND(ISNUMBER(F470),F470&lt;=1),2,0)+IF(AND(ISNUMBER(G470),G470&lt;=2),1,0)+IF(AND(ISNUMBER(H470),H470&lt;=2),1,0)</f>
        <v>3</v>
      </c>
      <c r="J470" s="2" t="str">
        <f aca="false">IF(I470&gt;=6,"High",IF(I470&gt;=3,"Medium","Low"))</f>
        <v>Medium</v>
      </c>
    </row>
    <row r="471" customFormat="false" ht="15" hidden="false" customHeight="true" outlineLevel="0" collapsed="false">
      <c r="A471" s="2" t="n">
        <f aca="false">'Raw Data'!H471</f>
        <v>470</v>
      </c>
      <c r="B471" s="2" t="n">
        <f aca="false">'Raw Data'!A471</f>
        <v>18</v>
      </c>
      <c r="C471" s="2" t="str">
        <f aca="false">'Raw Data'!D471</f>
        <v>Sales</v>
      </c>
      <c r="D471" s="2" t="str">
        <f aca="false">'Raw Data'!K471</f>
        <v>Manager</v>
      </c>
      <c r="E471" s="2" t="n">
        <f aca="false">'Raw Data'!Q471</f>
        <v>0</v>
      </c>
      <c r="F471" s="2" t="n">
        <f aca="false">'Raw Data'!U471</f>
        <v>0</v>
      </c>
      <c r="G471" s="2" t="n">
        <f aca="false">'Raw Data'!W471</f>
        <v>4</v>
      </c>
      <c r="H471" s="2" t="n">
        <f aca="false">'Raw Data'!V471</f>
        <v>2</v>
      </c>
      <c r="I471" s="2" t="n">
        <f aca="false">IF(AND(ISNUMBER(B471),B471&lt;=25),2,0)+IF(AND(ISNUMBER(E471),E471&lt;=5),2,0)+IF(AND(ISNUMBER(F471),F471&lt;=1),2,0)+IF(AND(ISNUMBER(G471),G471&lt;=2),1,0)+IF(AND(ISNUMBER(H471),H471&lt;=2),1,0)</f>
        <v>7</v>
      </c>
      <c r="J471" s="2" t="str">
        <f aca="false">IF(I471&gt;=6,"High",IF(I471&gt;=3,"Medium","Low"))</f>
        <v>High</v>
      </c>
    </row>
    <row r="472" customFormat="false" ht="15" hidden="false" customHeight="true" outlineLevel="0" collapsed="false">
      <c r="A472" s="2" t="n">
        <f aca="false">'Raw Data'!H472</f>
        <v>471</v>
      </c>
      <c r="B472" s="2" t="n">
        <f aca="false">'Raw Data'!A472</f>
        <v>54</v>
      </c>
      <c r="C472" s="2" t="str">
        <f aca="false">'Raw Data'!D472</f>
        <v>Sales</v>
      </c>
      <c r="D472" s="2" t="str">
        <f aca="false">'Raw Data'!K472</f>
        <v>Laboratory Technician</v>
      </c>
      <c r="E472" s="2" t="n">
        <f aca="false">'Raw Data'!Q472</f>
        <v>22</v>
      </c>
      <c r="F472" s="2" t="n">
        <f aca="false">'Raw Data'!U472</f>
        <v>8</v>
      </c>
      <c r="G472" s="2" t="n">
        <f aca="false">'Raw Data'!W472</f>
        <v>3</v>
      </c>
      <c r="H472" s="2" t="n">
        <f aca="false">'Raw Data'!V472</f>
        <v>3</v>
      </c>
      <c r="I472" s="2" t="n">
        <f aca="false">IF(AND(ISNUMBER(B472),B472&lt;=25),2,0)+IF(AND(ISNUMBER(E472),E472&lt;=5),2,0)+IF(AND(ISNUMBER(F472),F472&lt;=1),2,0)+IF(AND(ISNUMBER(G472),G472&lt;=2),1,0)+IF(AND(ISNUMBER(H472),H472&lt;=2),1,0)</f>
        <v>0</v>
      </c>
      <c r="J472" s="2" t="str">
        <f aca="false">IF(I472&gt;=6,"High",IF(I472&gt;=3,"Medium","Low"))</f>
        <v>Low</v>
      </c>
    </row>
    <row r="473" customFormat="false" ht="15" hidden="false" customHeight="true" outlineLevel="0" collapsed="false">
      <c r="A473" s="2" t="n">
        <f aca="false">'Raw Data'!H473</f>
        <v>472</v>
      </c>
      <c r="B473" s="2" t="n">
        <f aca="false">'Raw Data'!A473</f>
        <v>35</v>
      </c>
      <c r="C473" s="2" t="str">
        <f aca="false">'Raw Data'!D473</f>
        <v>Research &amp; Development</v>
      </c>
      <c r="D473" s="2" t="str">
        <f aca="false">'Raw Data'!K473</f>
        <v>Manufacturing Director</v>
      </c>
      <c r="E473" s="2" t="n">
        <f aca="false">'Raw Data'!Q473</f>
        <v>16</v>
      </c>
      <c r="F473" s="2" t="n">
        <f aca="false">'Raw Data'!U473</f>
        <v>1</v>
      </c>
      <c r="G473" s="2" t="n">
        <f aca="false">'Raw Data'!W473</f>
        <v>3</v>
      </c>
      <c r="H473" s="2" t="n">
        <f aca="false">'Raw Data'!V473</f>
        <v>3</v>
      </c>
      <c r="I473" s="2" t="n">
        <f aca="false">IF(AND(ISNUMBER(B473),B473&lt;=25),2,0)+IF(AND(ISNUMBER(E473),E473&lt;=5),2,0)+IF(AND(ISNUMBER(F473),F473&lt;=1),2,0)+IF(AND(ISNUMBER(G473),G473&lt;=2),1,0)+IF(AND(ISNUMBER(H473),H473&lt;=2),1,0)</f>
        <v>2</v>
      </c>
      <c r="J473" s="2" t="str">
        <f aca="false">IF(I473&gt;=6,"High",IF(I473&gt;=3,"Medium","Low"))</f>
        <v>Low</v>
      </c>
    </row>
    <row r="474" customFormat="false" ht="15" hidden="false" customHeight="true" outlineLevel="0" collapsed="false">
      <c r="A474" s="2" t="n">
        <f aca="false">'Raw Data'!H474</f>
        <v>473</v>
      </c>
      <c r="B474" s="2" t="n">
        <f aca="false">'Raw Data'!A474</f>
        <v>30</v>
      </c>
      <c r="C474" s="2" t="str">
        <f aca="false">'Raw Data'!D474</f>
        <v>Research &amp; Development</v>
      </c>
      <c r="D474" s="2" t="str">
        <f aca="false">'Raw Data'!K474</f>
        <v>Healthcare Representative</v>
      </c>
      <c r="E474" s="2" t="n">
        <f aca="false">'Raw Data'!Q474</f>
        <v>9</v>
      </c>
      <c r="F474" s="2" t="n">
        <f aca="false">'Raw Data'!U474</f>
        <v>7</v>
      </c>
      <c r="G474" s="2" t="n">
        <f aca="false">'Raw Data'!W474</f>
        <v>1</v>
      </c>
      <c r="H474" s="2" t="n">
        <f aca="false">'Raw Data'!V474</f>
        <v>2</v>
      </c>
      <c r="I474" s="2" t="n">
        <f aca="false">IF(AND(ISNUMBER(B474),B474&lt;=25),2,0)+IF(AND(ISNUMBER(E474),E474&lt;=5),2,0)+IF(AND(ISNUMBER(F474),F474&lt;=1),2,0)+IF(AND(ISNUMBER(G474),G474&lt;=2),1,0)+IF(AND(ISNUMBER(H474),H474&lt;=2),1,0)</f>
        <v>2</v>
      </c>
      <c r="J474" s="2" t="str">
        <f aca="false">IF(I474&gt;=6,"High",IF(I474&gt;=3,"Medium","Low"))</f>
        <v>Low</v>
      </c>
    </row>
    <row r="475" customFormat="false" ht="15" hidden="false" customHeight="true" outlineLevel="0" collapsed="false">
      <c r="A475" s="2" t="n">
        <f aca="false">'Raw Data'!H475</f>
        <v>474</v>
      </c>
      <c r="B475" s="2" t="n">
        <f aca="false">'Raw Data'!A475</f>
        <v>20</v>
      </c>
      <c r="C475" s="2" t="str">
        <f aca="false">'Raw Data'!D475</f>
        <v>Research &amp; Development</v>
      </c>
      <c r="D475" s="2" t="str">
        <f aca="false">'Raw Data'!K475</f>
        <v>Research Scientist</v>
      </c>
      <c r="E475" s="2" t="n">
        <f aca="false">'Raw Data'!Q475</f>
        <v>1</v>
      </c>
      <c r="F475" s="2" t="n">
        <f aca="false">'Raw Data'!U475</f>
        <v>0</v>
      </c>
      <c r="G475" s="2" t="n">
        <f aca="false">'Raw Data'!W475</f>
        <v>1</v>
      </c>
      <c r="H475" s="2" t="n">
        <f aca="false">'Raw Data'!V475</f>
        <v>4</v>
      </c>
      <c r="I475" s="2" t="n">
        <f aca="false">IF(AND(ISNUMBER(B475),B475&lt;=25),2,0)+IF(AND(ISNUMBER(E475),E475&lt;=5),2,0)+IF(AND(ISNUMBER(F475),F475&lt;=1),2,0)+IF(AND(ISNUMBER(G475),G475&lt;=2),1,0)+IF(AND(ISNUMBER(H475),H475&lt;=2),1,0)</f>
        <v>7</v>
      </c>
      <c r="J475" s="2" t="str">
        <f aca="false">IF(I475&gt;=6,"High",IF(I475&gt;=3,"Medium","Low"))</f>
        <v>High</v>
      </c>
    </row>
    <row r="476" customFormat="false" ht="15" hidden="false" customHeight="true" outlineLevel="0" collapsed="false">
      <c r="A476" s="2" t="n">
        <f aca="false">'Raw Data'!H476</f>
        <v>475</v>
      </c>
      <c r="B476" s="2" t="n">
        <f aca="false">'Raw Data'!A476</f>
        <v>30</v>
      </c>
      <c r="C476" s="2" t="str">
        <f aca="false">'Raw Data'!D476</f>
        <v>Research &amp; Development</v>
      </c>
      <c r="D476" s="2" t="str">
        <f aca="false">'Raw Data'!K476</f>
        <v>Sales Executive</v>
      </c>
      <c r="E476" s="2" t="n">
        <f aca="false">'Raw Data'!Q476</f>
        <v>4</v>
      </c>
      <c r="F476" s="2" t="n">
        <f aca="false">'Raw Data'!U476</f>
        <v>2</v>
      </c>
      <c r="G476" s="2" t="n">
        <f aca="false">'Raw Data'!W476</f>
        <v>2</v>
      </c>
      <c r="H476" s="2" t="n">
        <f aca="false">'Raw Data'!V476</f>
        <v>2</v>
      </c>
      <c r="I476" s="2" t="n">
        <f aca="false">IF(AND(ISNUMBER(B476),B476&lt;=25),2,0)+IF(AND(ISNUMBER(E476),E476&lt;=5),2,0)+IF(AND(ISNUMBER(F476),F476&lt;=1),2,0)+IF(AND(ISNUMBER(G476),G476&lt;=2),1,0)+IF(AND(ISNUMBER(H476),H476&lt;=2),1,0)</f>
        <v>4</v>
      </c>
      <c r="J476" s="2" t="str">
        <f aca="false">IF(I476&gt;=6,"High",IF(I476&gt;=3,"Medium","Low"))</f>
        <v>Medium</v>
      </c>
    </row>
    <row r="477" customFormat="false" ht="15" hidden="false" customHeight="true" outlineLevel="0" collapsed="false">
      <c r="A477" s="2" t="n">
        <f aca="false">'Raw Data'!H477</f>
        <v>476</v>
      </c>
      <c r="B477" s="2" t="n">
        <f aca="false">'Raw Data'!A477</f>
        <v>26</v>
      </c>
      <c r="C477" s="2" t="str">
        <f aca="false">'Raw Data'!D477</f>
        <v>Sales</v>
      </c>
      <c r="D477" s="2" t="str">
        <f aca="false">'Raw Data'!K477</f>
        <v>Research Scientist</v>
      </c>
      <c r="E477" s="2" t="n">
        <f aca="false">'Raw Data'!Q477</f>
        <v>8</v>
      </c>
      <c r="F477" s="2" t="n">
        <f aca="false">'Raw Data'!U477</f>
        <v>3</v>
      </c>
      <c r="G477" s="2" t="n">
        <f aca="false">'Raw Data'!W477</f>
        <v>4</v>
      </c>
      <c r="H477" s="2" t="n">
        <f aca="false">'Raw Data'!V477</f>
        <v>4</v>
      </c>
      <c r="I477" s="2" t="n">
        <f aca="false">IF(AND(ISNUMBER(B477),B477&lt;=25),2,0)+IF(AND(ISNUMBER(E477),E477&lt;=5),2,0)+IF(AND(ISNUMBER(F477),F477&lt;=1),2,0)+IF(AND(ISNUMBER(G477),G477&lt;=2),1,0)+IF(AND(ISNUMBER(H477),H477&lt;=2),1,0)</f>
        <v>0</v>
      </c>
      <c r="J477" s="2" t="str">
        <f aca="false">IF(I477&gt;=6,"High",IF(I477&gt;=3,"Medium","Low"))</f>
        <v>Low</v>
      </c>
    </row>
    <row r="478" customFormat="false" ht="15" hidden="false" customHeight="true" outlineLevel="0" collapsed="false">
      <c r="A478" s="2" t="n">
        <f aca="false">'Raw Data'!H478</f>
        <v>477</v>
      </c>
      <c r="B478" s="2" t="n">
        <f aca="false">'Raw Data'!A478</f>
        <v>22</v>
      </c>
      <c r="C478" s="2" t="str">
        <f aca="false">'Raw Data'!D478</f>
        <v>Research &amp; Development</v>
      </c>
      <c r="D478" s="2" t="str">
        <f aca="false">'Raw Data'!K478</f>
        <v>Sales Representative</v>
      </c>
      <c r="E478" s="2" t="n">
        <f aca="false">'Raw Data'!Q478</f>
        <v>4</v>
      </c>
      <c r="F478" s="2" t="n">
        <f aca="false">'Raw Data'!U478</f>
        <v>1</v>
      </c>
      <c r="G478" s="2" t="n">
        <f aca="false">'Raw Data'!W478</f>
        <v>1</v>
      </c>
      <c r="H478" s="2" t="n">
        <f aca="false">'Raw Data'!V478</f>
        <v>2</v>
      </c>
      <c r="I478" s="2" t="n">
        <f aca="false">IF(AND(ISNUMBER(B478),B478&lt;=25),2,0)+IF(AND(ISNUMBER(E478),E478&lt;=5),2,0)+IF(AND(ISNUMBER(F478),F478&lt;=1),2,0)+IF(AND(ISNUMBER(G478),G478&lt;=2),1,0)+IF(AND(ISNUMBER(H478),H478&lt;=2),1,0)</f>
        <v>8</v>
      </c>
      <c r="J478" s="2" t="str">
        <f aca="false">IF(I478&gt;=6,"High",IF(I478&gt;=3,"Medium","Low"))</f>
        <v>High</v>
      </c>
    </row>
    <row r="479" customFormat="false" ht="15" hidden="false" customHeight="true" outlineLevel="0" collapsed="false">
      <c r="A479" s="2" t="n">
        <f aca="false">'Raw Data'!H479</f>
        <v>478</v>
      </c>
      <c r="B479" s="2" t="n">
        <f aca="false">'Raw Data'!A479</f>
        <v>48</v>
      </c>
      <c r="C479" s="2" t="str">
        <f aca="false">'Raw Data'!D479</f>
        <v>Human Resources</v>
      </c>
      <c r="D479" s="2" t="str">
        <f aca="false">'Raw Data'!K479</f>
        <v>Sales Executive</v>
      </c>
      <c r="E479" s="2" t="n">
        <f aca="false">'Raw Data'!Q479</f>
        <v>19</v>
      </c>
      <c r="F479" s="2" t="n">
        <f aca="false">'Raw Data'!U479</f>
        <v>2</v>
      </c>
      <c r="G479" s="2" t="n">
        <f aca="false">'Raw Data'!W479</f>
        <v>3</v>
      </c>
      <c r="H479" s="2" t="n">
        <f aca="false">'Raw Data'!V479</f>
        <v>1</v>
      </c>
      <c r="I479" s="2" t="n">
        <f aca="false">IF(AND(ISNUMBER(B479),B479&lt;=25),2,0)+IF(AND(ISNUMBER(E479),E479&lt;=5),2,0)+IF(AND(ISNUMBER(F479),F479&lt;=1),2,0)+IF(AND(ISNUMBER(G479),G479&lt;=2),1,0)+IF(AND(ISNUMBER(H479),H479&lt;=2),1,0)</f>
        <v>1</v>
      </c>
      <c r="J479" s="2" t="str">
        <f aca="false">IF(I479&gt;=6,"High",IF(I479&gt;=3,"Medium","Low"))</f>
        <v>Low</v>
      </c>
    </row>
    <row r="480" customFormat="false" ht="15" hidden="false" customHeight="true" outlineLevel="0" collapsed="false">
      <c r="A480" s="2" t="n">
        <f aca="false">'Raw Data'!H480</f>
        <v>479</v>
      </c>
      <c r="B480" s="2" t="n">
        <f aca="false">'Raw Data'!A480</f>
        <v>48</v>
      </c>
      <c r="C480" s="2" t="str">
        <f aca="false">'Raw Data'!D480</f>
        <v>Sales</v>
      </c>
      <c r="D480" s="2" t="str">
        <f aca="false">'Raw Data'!K480</f>
        <v>Research Director</v>
      </c>
      <c r="E480" s="2" t="n">
        <f aca="false">'Raw Data'!Q480</f>
        <v>27</v>
      </c>
      <c r="F480" s="2" t="n">
        <f aca="false">'Raw Data'!U480</f>
        <v>8</v>
      </c>
      <c r="G480" s="2" t="n">
        <f aca="false">'Raw Data'!W480</f>
        <v>3</v>
      </c>
      <c r="H480" s="2" t="n">
        <f aca="false">'Raw Data'!V480</f>
        <v>3</v>
      </c>
      <c r="I480" s="2" t="n">
        <f aca="false">IF(AND(ISNUMBER(B480),B480&lt;=25),2,0)+IF(AND(ISNUMBER(E480),E480&lt;=5),2,0)+IF(AND(ISNUMBER(F480),F480&lt;=1),2,0)+IF(AND(ISNUMBER(G480),G480&lt;=2),1,0)+IF(AND(ISNUMBER(H480),H480&lt;=2),1,0)</f>
        <v>0</v>
      </c>
      <c r="J480" s="2" t="str">
        <f aca="false">IF(I480&gt;=6,"High",IF(I480&gt;=3,"Medium","Low"))</f>
        <v>Low</v>
      </c>
    </row>
    <row r="481" customFormat="false" ht="15" hidden="false" customHeight="true" outlineLevel="0" collapsed="false">
      <c r="A481" s="2" t="n">
        <f aca="false">'Raw Data'!H481</f>
        <v>480</v>
      </c>
      <c r="B481" s="2" t="n">
        <f aca="false">'Raw Data'!A481</f>
        <v>41</v>
      </c>
      <c r="C481" s="2" t="str">
        <f aca="false">'Raw Data'!D481</f>
        <v>Research &amp; Development</v>
      </c>
      <c r="D481" s="2" t="str">
        <f aca="false">'Raw Data'!K481</f>
        <v>Research Scientist</v>
      </c>
      <c r="E481" s="2" t="n">
        <f aca="false">'Raw Data'!Q481</f>
        <v>8</v>
      </c>
      <c r="F481" s="2" t="n">
        <f aca="false">'Raw Data'!U481</f>
        <v>1</v>
      </c>
      <c r="G481" s="2" t="n">
        <f aca="false">'Raw Data'!W481</f>
        <v>3</v>
      </c>
      <c r="H481" s="2" t="n">
        <f aca="false">'Raw Data'!V481</f>
        <v>4</v>
      </c>
      <c r="I481" s="2" t="n">
        <f aca="false">IF(AND(ISNUMBER(B481),B481&lt;=25),2,0)+IF(AND(ISNUMBER(E481),E481&lt;=5),2,0)+IF(AND(ISNUMBER(F481),F481&lt;=1),2,0)+IF(AND(ISNUMBER(G481),G481&lt;=2),1,0)+IF(AND(ISNUMBER(H481),H481&lt;=2),1,0)</f>
        <v>2</v>
      </c>
      <c r="J481" s="2" t="str">
        <f aca="false">IF(I481&gt;=6,"High",IF(I481&gt;=3,"Medium","Low"))</f>
        <v>Low</v>
      </c>
    </row>
    <row r="482" customFormat="false" ht="15" hidden="false" customHeight="true" outlineLevel="0" collapsed="false">
      <c r="A482" s="2" t="n">
        <f aca="false">'Raw Data'!H482</f>
        <v>481</v>
      </c>
      <c r="B482" s="2" t="n">
        <f aca="false">'Raw Data'!A482</f>
        <v>39</v>
      </c>
      <c r="C482" s="2" t="str">
        <f aca="false">'Raw Data'!D482</f>
        <v>Sales</v>
      </c>
      <c r="D482" s="2" t="str">
        <f aca="false">'Raw Data'!K482</f>
        <v>Human Resources</v>
      </c>
      <c r="E482" s="2" t="n">
        <f aca="false">'Raw Data'!Q482</f>
        <v>21</v>
      </c>
      <c r="F482" s="2" t="n">
        <f aca="false">'Raw Data'!U482</f>
        <v>8</v>
      </c>
      <c r="G482" s="2" t="n">
        <f aca="false">'Raw Data'!W482</f>
        <v>4</v>
      </c>
      <c r="H482" s="2" t="n">
        <f aca="false">'Raw Data'!V482</f>
        <v>4</v>
      </c>
      <c r="I482" s="2" t="n">
        <f aca="false">IF(AND(ISNUMBER(B482),B482&lt;=25),2,0)+IF(AND(ISNUMBER(E482),E482&lt;=5),2,0)+IF(AND(ISNUMBER(F482),F482&lt;=1),2,0)+IF(AND(ISNUMBER(G482),G482&lt;=2),1,0)+IF(AND(ISNUMBER(H482),H482&lt;=2),1,0)</f>
        <v>0</v>
      </c>
      <c r="J482" s="2" t="str">
        <f aca="false">IF(I482&gt;=6,"High",IF(I482&gt;=3,"Medium","Low"))</f>
        <v>Low</v>
      </c>
    </row>
    <row r="483" customFormat="false" ht="15" hidden="false" customHeight="true" outlineLevel="0" collapsed="false">
      <c r="A483" s="2" t="n">
        <f aca="false">'Raw Data'!H483</f>
        <v>482</v>
      </c>
      <c r="B483" s="2" t="n">
        <f aca="false">'Raw Data'!A483</f>
        <v>27</v>
      </c>
      <c r="C483" s="2" t="str">
        <f aca="false">'Raw Data'!D483</f>
        <v>Research &amp; Development</v>
      </c>
      <c r="D483" s="2" t="str">
        <f aca="false">'Raw Data'!K483</f>
        <v>Human Resources</v>
      </c>
      <c r="E483" s="2" t="n">
        <f aca="false">'Raw Data'!Q483</f>
        <v>4</v>
      </c>
      <c r="F483" s="2" t="n">
        <f aca="false">'Raw Data'!U483</f>
        <v>2</v>
      </c>
      <c r="G483" s="2" t="n">
        <f aca="false">'Raw Data'!W483</f>
        <v>4</v>
      </c>
      <c r="H483" s="2" t="n">
        <f aca="false">'Raw Data'!V483</f>
        <v>1</v>
      </c>
      <c r="I483" s="2" t="n">
        <f aca="false">IF(AND(ISNUMBER(B483),B483&lt;=25),2,0)+IF(AND(ISNUMBER(E483),E483&lt;=5),2,0)+IF(AND(ISNUMBER(F483),F483&lt;=1),2,0)+IF(AND(ISNUMBER(G483),G483&lt;=2),1,0)+IF(AND(ISNUMBER(H483),H483&lt;=2),1,0)</f>
        <v>3</v>
      </c>
      <c r="J483" s="2" t="str">
        <f aca="false">IF(I483&gt;=6,"High",IF(I483&gt;=3,"Medium","Low"))</f>
        <v>Medium</v>
      </c>
    </row>
    <row r="484" customFormat="false" ht="15" hidden="false" customHeight="true" outlineLevel="0" collapsed="false">
      <c r="A484" s="2" t="n">
        <f aca="false">'Raw Data'!H484</f>
        <v>483</v>
      </c>
      <c r="B484" s="2" t="n">
        <f aca="false">'Raw Data'!A484</f>
        <v>35</v>
      </c>
      <c r="C484" s="2" t="str">
        <f aca="false">'Raw Data'!D484</f>
        <v>Sales</v>
      </c>
      <c r="D484" s="2" t="str">
        <f aca="false">'Raw Data'!K484</f>
        <v>Sales Executive</v>
      </c>
      <c r="E484" s="2" t="n">
        <f aca="false">'Raw Data'!Q484</f>
        <v>3</v>
      </c>
      <c r="F484" s="2" t="n">
        <f aca="false">'Raw Data'!U484</f>
        <v>2</v>
      </c>
      <c r="G484" s="2" t="n">
        <f aca="false">'Raw Data'!W484</f>
        <v>4</v>
      </c>
      <c r="H484" s="2" t="n">
        <f aca="false">'Raw Data'!V484</f>
        <v>2</v>
      </c>
      <c r="I484" s="2" t="n">
        <f aca="false">IF(AND(ISNUMBER(B484),B484&lt;=25),2,0)+IF(AND(ISNUMBER(E484),E484&lt;=5),2,0)+IF(AND(ISNUMBER(F484),F484&lt;=1),2,0)+IF(AND(ISNUMBER(G484),G484&lt;=2),1,0)+IF(AND(ISNUMBER(H484),H484&lt;=2),1,0)</f>
        <v>3</v>
      </c>
      <c r="J484" s="2" t="str">
        <f aca="false">IF(I484&gt;=6,"High",IF(I484&gt;=3,"Medium","Low"))</f>
        <v>Medium</v>
      </c>
    </row>
    <row r="485" customFormat="false" ht="15" hidden="false" customHeight="true" outlineLevel="0" collapsed="false">
      <c r="A485" s="2" t="n">
        <f aca="false">'Raw Data'!H485</f>
        <v>484</v>
      </c>
      <c r="B485" s="2" t="n">
        <f aca="false">'Raw Data'!A485</f>
        <v>42</v>
      </c>
      <c r="C485" s="2" t="str">
        <f aca="false">'Raw Data'!D485</f>
        <v>Research &amp; Development</v>
      </c>
      <c r="D485" s="2" t="str">
        <f aca="false">'Raw Data'!K485</f>
        <v>Research Scientist</v>
      </c>
      <c r="E485" s="2" t="n">
        <f aca="false">'Raw Data'!Q485</f>
        <v>21</v>
      </c>
      <c r="F485" s="2" t="n">
        <f aca="false">'Raw Data'!U485</f>
        <v>0</v>
      </c>
      <c r="G485" s="2" t="n">
        <f aca="false">'Raw Data'!W485</f>
        <v>3</v>
      </c>
      <c r="H485" s="2" t="n">
        <f aca="false">'Raw Data'!V485</f>
        <v>4</v>
      </c>
      <c r="I485" s="2" t="n">
        <f aca="false">IF(AND(ISNUMBER(B485),B485&lt;=25),2,0)+IF(AND(ISNUMBER(E485),E485&lt;=5),2,0)+IF(AND(ISNUMBER(F485),F485&lt;=1),2,0)+IF(AND(ISNUMBER(G485),G485&lt;=2),1,0)+IF(AND(ISNUMBER(H485),H485&lt;=2),1,0)</f>
        <v>2</v>
      </c>
      <c r="J485" s="2" t="str">
        <f aca="false">IF(I485&gt;=6,"High",IF(I485&gt;=3,"Medium","Low"))</f>
        <v>Low</v>
      </c>
    </row>
    <row r="486" customFormat="false" ht="15" hidden="false" customHeight="true" outlineLevel="0" collapsed="false">
      <c r="A486" s="2" t="n">
        <f aca="false">'Raw Data'!H486</f>
        <v>485</v>
      </c>
      <c r="B486" s="2" t="n">
        <f aca="false">'Raw Data'!A486</f>
        <v>50</v>
      </c>
      <c r="C486" s="2" t="str">
        <f aca="false">'Raw Data'!D486</f>
        <v>Sales</v>
      </c>
      <c r="D486" s="2" t="str">
        <f aca="false">'Raw Data'!K486</f>
        <v>Sales Executive</v>
      </c>
      <c r="E486" s="2" t="n">
        <f aca="false">'Raw Data'!Q486</f>
        <v>8</v>
      </c>
      <c r="F486" s="2" t="n">
        <f aca="false">'Raw Data'!U486</f>
        <v>0</v>
      </c>
      <c r="G486" s="2" t="n">
        <f aca="false">'Raw Data'!W486</f>
        <v>4</v>
      </c>
      <c r="H486" s="2" t="n">
        <f aca="false">'Raw Data'!V486</f>
        <v>1</v>
      </c>
      <c r="I486" s="2" t="n">
        <f aca="false">IF(AND(ISNUMBER(B486),B486&lt;=25),2,0)+IF(AND(ISNUMBER(E486),E486&lt;=5),2,0)+IF(AND(ISNUMBER(F486),F486&lt;=1),2,0)+IF(AND(ISNUMBER(G486),G486&lt;=2),1,0)+IF(AND(ISNUMBER(H486),H486&lt;=2),1,0)</f>
        <v>3</v>
      </c>
      <c r="J486" s="2" t="str">
        <f aca="false">IF(I486&gt;=6,"High",IF(I486&gt;=3,"Medium","Low"))</f>
        <v>Medium</v>
      </c>
    </row>
    <row r="487" customFormat="false" ht="15" hidden="false" customHeight="true" outlineLevel="0" collapsed="false">
      <c r="A487" s="2" t="n">
        <f aca="false">'Raw Data'!H487</f>
        <v>486</v>
      </c>
      <c r="B487" s="2" t="n">
        <f aca="false">'Raw Data'!A487</f>
        <v>59</v>
      </c>
      <c r="C487" s="2" t="str">
        <f aca="false">'Raw Data'!D487</f>
        <v>Research &amp; Development</v>
      </c>
      <c r="D487" s="2" t="str">
        <f aca="false">'Raw Data'!K487</f>
        <v>Laboratory Technician</v>
      </c>
      <c r="E487" s="2" t="n">
        <f aca="false">'Raw Data'!Q487</f>
        <v>30</v>
      </c>
      <c r="F487" s="2" t="n">
        <f aca="false">'Raw Data'!U487</f>
        <v>3</v>
      </c>
      <c r="G487" s="2" t="n">
        <f aca="false">'Raw Data'!W487</f>
        <v>4</v>
      </c>
      <c r="H487" s="2" t="n">
        <f aca="false">'Raw Data'!V487</f>
        <v>3</v>
      </c>
      <c r="I487" s="2" t="n">
        <f aca="false">IF(AND(ISNUMBER(B487),B487&lt;=25),2,0)+IF(AND(ISNUMBER(E487),E487&lt;=5),2,0)+IF(AND(ISNUMBER(F487),F487&lt;=1),2,0)+IF(AND(ISNUMBER(G487),G487&lt;=2),1,0)+IF(AND(ISNUMBER(H487),H487&lt;=2),1,0)</f>
        <v>0</v>
      </c>
      <c r="J487" s="2" t="str">
        <f aca="false">IF(I487&gt;=6,"High",IF(I487&gt;=3,"Medium","Low"))</f>
        <v>Low</v>
      </c>
    </row>
    <row r="488" customFormat="false" ht="15" hidden="false" customHeight="true" outlineLevel="0" collapsed="false">
      <c r="A488" s="2" t="n">
        <f aca="false">'Raw Data'!H488</f>
        <v>487</v>
      </c>
      <c r="B488" s="2" t="n">
        <f aca="false">'Raw Data'!A488</f>
        <v>37</v>
      </c>
      <c r="C488" s="2" t="str">
        <f aca="false">'Raw Data'!D488</f>
        <v>Sales</v>
      </c>
      <c r="D488" s="2" t="str">
        <f aca="false">'Raw Data'!K488</f>
        <v>Laboratory Technician</v>
      </c>
      <c r="E488" s="2" t="n">
        <f aca="false">'Raw Data'!Q488</f>
        <v>15</v>
      </c>
      <c r="F488" s="2" t="n">
        <f aca="false">'Raw Data'!U488</f>
        <v>0</v>
      </c>
      <c r="G488" s="2" t="n">
        <f aca="false">'Raw Data'!W488</f>
        <v>2</v>
      </c>
      <c r="H488" s="2" t="n">
        <f aca="false">'Raw Data'!V488</f>
        <v>1</v>
      </c>
      <c r="I488" s="2" t="n">
        <f aca="false">IF(AND(ISNUMBER(B488),B488&lt;=25),2,0)+IF(AND(ISNUMBER(E488),E488&lt;=5),2,0)+IF(AND(ISNUMBER(F488),F488&lt;=1),2,0)+IF(AND(ISNUMBER(G488),G488&lt;=2),1,0)+IF(AND(ISNUMBER(H488),H488&lt;=2),1,0)</f>
        <v>4</v>
      </c>
      <c r="J488" s="2" t="str">
        <f aca="false">IF(I488&gt;=6,"High",IF(I488&gt;=3,"Medium","Low"))</f>
        <v>Medium</v>
      </c>
    </row>
    <row r="489" customFormat="false" ht="15" hidden="false" customHeight="true" outlineLevel="0" collapsed="false">
      <c r="A489" s="2" t="n">
        <f aca="false">'Raw Data'!H489</f>
        <v>488</v>
      </c>
      <c r="B489" s="2" t="n">
        <f aca="false">'Raw Data'!A489</f>
        <v>55</v>
      </c>
      <c r="C489" s="2" t="str">
        <f aca="false">'Raw Data'!D489</f>
        <v>Research &amp; Development</v>
      </c>
      <c r="D489" s="2" t="str">
        <f aca="false">'Raw Data'!K489</f>
        <v>Sales Executive</v>
      </c>
      <c r="E489" s="2" t="n">
        <f aca="false">'Raw Data'!Q489</f>
        <v>17</v>
      </c>
      <c r="F489" s="2" t="n">
        <f aca="false">'Raw Data'!U489</f>
        <v>7</v>
      </c>
      <c r="G489" s="2" t="n">
        <f aca="false">'Raw Data'!W489</f>
        <v>2</v>
      </c>
      <c r="H489" s="2" t="n">
        <f aca="false">'Raw Data'!V489</f>
        <v>3</v>
      </c>
      <c r="I489" s="2" t="n">
        <f aca="false">IF(AND(ISNUMBER(B489),B489&lt;=25),2,0)+IF(AND(ISNUMBER(E489),E489&lt;=5),2,0)+IF(AND(ISNUMBER(F489),F489&lt;=1),2,0)+IF(AND(ISNUMBER(G489),G489&lt;=2),1,0)+IF(AND(ISNUMBER(H489),H489&lt;=2),1,0)</f>
        <v>1</v>
      </c>
      <c r="J489" s="2" t="str">
        <f aca="false">IF(I489&gt;=6,"High",IF(I489&gt;=3,"Medium","Low"))</f>
        <v>Low</v>
      </c>
    </row>
    <row r="490" customFormat="false" ht="15" hidden="false" customHeight="true" outlineLevel="0" collapsed="false">
      <c r="A490" s="2" t="n">
        <f aca="false">'Raw Data'!H490</f>
        <v>489</v>
      </c>
      <c r="B490" s="2" t="n">
        <f aca="false">'Raw Data'!A490</f>
        <v>41</v>
      </c>
      <c r="C490" s="2" t="str">
        <f aca="false">'Raw Data'!D490</f>
        <v>Research &amp; Development</v>
      </c>
      <c r="D490" s="2" t="str">
        <f aca="false">'Raw Data'!K490</f>
        <v>Research Scientist</v>
      </c>
      <c r="E490" s="2" t="n">
        <f aca="false">'Raw Data'!Q490</f>
        <v>21</v>
      </c>
      <c r="F490" s="2" t="n">
        <f aca="false">'Raw Data'!U490</f>
        <v>10</v>
      </c>
      <c r="G490" s="2" t="n">
        <f aca="false">'Raw Data'!W490</f>
        <v>3</v>
      </c>
      <c r="H490" s="2" t="n">
        <f aca="false">'Raw Data'!V490</f>
        <v>2</v>
      </c>
      <c r="I490" s="2" t="n">
        <f aca="false">IF(AND(ISNUMBER(B490),B490&lt;=25),2,0)+IF(AND(ISNUMBER(E490),E490&lt;=5),2,0)+IF(AND(ISNUMBER(F490),F490&lt;=1),2,0)+IF(AND(ISNUMBER(G490),G490&lt;=2),1,0)+IF(AND(ISNUMBER(H490),H490&lt;=2),1,0)</f>
        <v>1</v>
      </c>
      <c r="J490" s="2" t="str">
        <f aca="false">IF(I490&gt;=6,"High",IF(I490&gt;=3,"Medium","Low"))</f>
        <v>Low</v>
      </c>
    </row>
    <row r="491" customFormat="false" ht="15" hidden="false" customHeight="true" outlineLevel="0" collapsed="false">
      <c r="A491" s="2" t="n">
        <f aca="false">'Raw Data'!H491</f>
        <v>490</v>
      </c>
      <c r="B491" s="2" t="n">
        <f aca="false">'Raw Data'!A491</f>
        <v>38</v>
      </c>
      <c r="C491" s="2" t="str">
        <f aca="false">'Raw Data'!D491</f>
        <v>Research &amp; Development</v>
      </c>
      <c r="D491" s="2" t="str">
        <f aca="false">'Raw Data'!K491</f>
        <v>Laboratory Technician</v>
      </c>
      <c r="E491" s="2" t="n">
        <f aca="false">'Raw Data'!Q491</f>
        <v>19</v>
      </c>
      <c r="F491" s="2" t="n">
        <f aca="false">'Raw Data'!U491</f>
        <v>0</v>
      </c>
      <c r="G491" s="2" t="n">
        <f aca="false">'Raw Data'!W491</f>
        <v>4</v>
      </c>
      <c r="H491" s="2" t="n">
        <f aca="false">'Raw Data'!V491</f>
        <v>0</v>
      </c>
      <c r="I491" s="2" t="n">
        <f aca="false">IF(AND(ISNUMBER(B491),B491&lt;=25),2,0)+IF(AND(ISNUMBER(E491),E491&lt;=5),2,0)+IF(AND(ISNUMBER(F491),F491&lt;=1),2,0)+IF(AND(ISNUMBER(G491),G491&lt;=2),1,0)+IF(AND(ISNUMBER(H491),H491&lt;=2),1,0)</f>
        <v>2</v>
      </c>
      <c r="J491" s="2" t="str">
        <f aca="false">IF(I491&gt;=6,"High",IF(I491&gt;=3,"Medium","Low"))</f>
        <v>Low</v>
      </c>
    </row>
    <row r="492" customFormat="false" ht="15" hidden="false" customHeight="true" outlineLevel="0" collapsed="false">
      <c r="A492" s="2" t="n">
        <f aca="false">'Raw Data'!H492</f>
        <v>491</v>
      </c>
      <c r="B492" s="2" t="n">
        <f aca="false">'Raw Data'!A492</f>
        <v>26</v>
      </c>
      <c r="C492" s="2" t="str">
        <f aca="false">'Raw Data'!D492</f>
        <v>Research &amp; Development</v>
      </c>
      <c r="D492" s="2" t="str">
        <f aca="false">'Raw Data'!K492</f>
        <v>Manufacturing Director</v>
      </c>
      <c r="E492" s="2" t="n">
        <f aca="false">'Raw Data'!Q492</f>
        <v>7</v>
      </c>
      <c r="F492" s="2" t="n">
        <f aca="false">'Raw Data'!U492</f>
        <v>2</v>
      </c>
      <c r="G492" s="2" t="n">
        <f aca="false">'Raw Data'!W492</f>
        <v>1</v>
      </c>
      <c r="H492" s="2" t="n">
        <f aca="false">'Raw Data'!V492</f>
        <v>2</v>
      </c>
      <c r="I492" s="2" t="n">
        <f aca="false">IF(AND(ISNUMBER(B492),B492&lt;=25),2,0)+IF(AND(ISNUMBER(E492),E492&lt;=5),2,0)+IF(AND(ISNUMBER(F492),F492&lt;=1),2,0)+IF(AND(ISNUMBER(G492),G492&lt;=2),1,0)+IF(AND(ISNUMBER(H492),H492&lt;=2),1,0)</f>
        <v>2</v>
      </c>
      <c r="J492" s="2" t="str">
        <f aca="false">IF(I492&gt;=6,"High",IF(I492&gt;=3,"Medium","Low"))</f>
        <v>Low</v>
      </c>
    </row>
    <row r="493" customFormat="false" ht="15" hidden="false" customHeight="true" outlineLevel="0" collapsed="false">
      <c r="A493" s="2" t="n">
        <f aca="false">'Raw Data'!H493</f>
        <v>492</v>
      </c>
      <c r="B493" s="2" t="n">
        <f aca="false">'Raw Data'!A493</f>
        <v>52</v>
      </c>
      <c r="C493" s="2" t="str">
        <f aca="false">'Raw Data'!D493</f>
        <v>Research &amp; Development</v>
      </c>
      <c r="D493" s="2" t="str">
        <f aca="false">'Raw Data'!K493</f>
        <v>Human Resources</v>
      </c>
      <c r="E493" s="2" t="n">
        <f aca="false">'Raw Data'!Q493</f>
        <v>33</v>
      </c>
      <c r="F493" s="2" t="n">
        <f aca="false">'Raw Data'!U493</f>
        <v>9</v>
      </c>
      <c r="G493" s="2" t="n">
        <f aca="false">'Raw Data'!W493</f>
        <v>4</v>
      </c>
      <c r="H493" s="2" t="n">
        <f aca="false">'Raw Data'!V493</f>
        <v>1</v>
      </c>
      <c r="I493" s="2" t="n">
        <f aca="false">IF(AND(ISNUMBER(B493),B493&lt;=25),2,0)+IF(AND(ISNUMBER(E493),E493&lt;=5),2,0)+IF(AND(ISNUMBER(F493),F493&lt;=1),2,0)+IF(AND(ISNUMBER(G493),G493&lt;=2),1,0)+IF(AND(ISNUMBER(H493),H493&lt;=2),1,0)</f>
        <v>1</v>
      </c>
      <c r="J493" s="2" t="str">
        <f aca="false">IF(I493&gt;=6,"High",IF(I493&gt;=3,"Medium","Low"))</f>
        <v>Low</v>
      </c>
    </row>
    <row r="494" customFormat="false" ht="15" hidden="false" customHeight="true" outlineLevel="0" collapsed="false">
      <c r="A494" s="2" t="n">
        <f aca="false">'Raw Data'!H494</f>
        <v>493</v>
      </c>
      <c r="B494" s="2" t="n">
        <f aca="false">'Raw Data'!A494</f>
        <v>44</v>
      </c>
      <c r="C494" s="2" t="str">
        <f aca="false">'Raw Data'!D494</f>
        <v>Research &amp; Development</v>
      </c>
      <c r="D494" s="2" t="str">
        <f aca="false">'Raw Data'!K494</f>
        <v>Healthcare Representative</v>
      </c>
      <c r="E494" s="2" t="n">
        <f aca="false">'Raw Data'!Q494</f>
        <v>23</v>
      </c>
      <c r="F494" s="2" t="n">
        <f aca="false">'Raw Data'!U494</f>
        <v>11</v>
      </c>
      <c r="G494" s="2" t="n">
        <f aca="false">'Raw Data'!W494</f>
        <v>4</v>
      </c>
      <c r="H494" s="2" t="n">
        <f aca="false">'Raw Data'!V494</f>
        <v>4</v>
      </c>
      <c r="I494" s="2" t="n">
        <f aca="false">IF(AND(ISNUMBER(B494),B494&lt;=25),2,0)+IF(AND(ISNUMBER(E494),E494&lt;=5),2,0)+IF(AND(ISNUMBER(F494),F494&lt;=1),2,0)+IF(AND(ISNUMBER(G494),G494&lt;=2),1,0)+IF(AND(ISNUMBER(H494),H494&lt;=2),1,0)</f>
        <v>0</v>
      </c>
      <c r="J494" s="2" t="str">
        <f aca="false">IF(I494&gt;=6,"High",IF(I494&gt;=3,"Medium","Low"))</f>
        <v>Low</v>
      </c>
    </row>
    <row r="495" customFormat="false" ht="15" hidden="false" customHeight="true" outlineLevel="0" collapsed="false">
      <c r="A495" s="2" t="n">
        <f aca="false">'Raw Data'!H495</f>
        <v>494</v>
      </c>
      <c r="B495" s="2" t="n">
        <f aca="false">'Raw Data'!A495</f>
        <v>50</v>
      </c>
      <c r="C495" s="2" t="str">
        <f aca="false">'Raw Data'!D495</f>
        <v>Human Resources</v>
      </c>
      <c r="D495" s="2" t="str">
        <f aca="false">'Raw Data'!K495</f>
        <v>Laboratory Technician</v>
      </c>
      <c r="E495" s="2" t="n">
        <f aca="false">'Raw Data'!Q495</f>
        <v>19</v>
      </c>
      <c r="F495" s="2" t="n">
        <f aca="false">'Raw Data'!U495</f>
        <v>13</v>
      </c>
      <c r="G495" s="2" t="n">
        <f aca="false">'Raw Data'!W495</f>
        <v>3</v>
      </c>
      <c r="H495" s="2" t="n">
        <f aca="false">'Raw Data'!V495</f>
        <v>4</v>
      </c>
      <c r="I495" s="2" t="n">
        <f aca="false">IF(AND(ISNUMBER(B495),B495&lt;=25),2,0)+IF(AND(ISNUMBER(E495),E495&lt;=5),2,0)+IF(AND(ISNUMBER(F495),F495&lt;=1),2,0)+IF(AND(ISNUMBER(G495),G495&lt;=2),1,0)+IF(AND(ISNUMBER(H495),H495&lt;=2),1,0)</f>
        <v>0</v>
      </c>
      <c r="J495" s="2" t="str">
        <f aca="false">IF(I495&gt;=6,"High",IF(I495&gt;=3,"Medium","Low"))</f>
        <v>Low</v>
      </c>
    </row>
    <row r="496" customFormat="false" ht="15" hidden="false" customHeight="true" outlineLevel="0" collapsed="false">
      <c r="A496" s="2" t="n">
        <f aca="false">'Raw Data'!H496</f>
        <v>495</v>
      </c>
      <c r="B496" s="2" t="n">
        <f aca="false">'Raw Data'!A496</f>
        <v>36</v>
      </c>
      <c r="C496" s="2" t="str">
        <f aca="false">'Raw Data'!D496</f>
        <v>Sales</v>
      </c>
      <c r="D496" s="2" t="str">
        <f aca="false">'Raw Data'!K496</f>
        <v>Sales Executive</v>
      </c>
      <c r="E496" s="2" t="n">
        <f aca="false">'Raw Data'!Q496</f>
        <v>18</v>
      </c>
      <c r="F496" s="2" t="n">
        <f aca="false">'Raw Data'!U496</f>
        <v>14</v>
      </c>
      <c r="G496" s="2" t="n">
        <f aca="false">'Raw Data'!W496</f>
        <v>1</v>
      </c>
      <c r="H496" s="2" t="n">
        <f aca="false">'Raw Data'!V496</f>
        <v>3</v>
      </c>
      <c r="I496" s="2" t="n">
        <f aca="false">IF(AND(ISNUMBER(B496),B496&lt;=25),2,0)+IF(AND(ISNUMBER(E496),E496&lt;=5),2,0)+IF(AND(ISNUMBER(F496),F496&lt;=1),2,0)+IF(AND(ISNUMBER(G496),G496&lt;=2),1,0)+IF(AND(ISNUMBER(H496),H496&lt;=2),1,0)</f>
        <v>1</v>
      </c>
      <c r="J496" s="2" t="str">
        <f aca="false">IF(I496&gt;=6,"High",IF(I496&gt;=3,"Medium","Low"))</f>
        <v>Low</v>
      </c>
    </row>
    <row r="497" customFormat="false" ht="15" hidden="false" customHeight="true" outlineLevel="0" collapsed="false">
      <c r="A497" s="2" t="n">
        <f aca="false">'Raw Data'!H497</f>
        <v>496</v>
      </c>
      <c r="B497" s="2" t="n">
        <f aca="false">'Raw Data'!A497</f>
        <v>39</v>
      </c>
      <c r="C497" s="2" t="str">
        <f aca="false">'Raw Data'!D497</f>
        <v>Sales</v>
      </c>
      <c r="D497" s="2" t="str">
        <f aca="false">'Raw Data'!K497</f>
        <v>Sales Executive</v>
      </c>
      <c r="E497" s="2" t="n">
        <f aca="false">'Raw Data'!Q497</f>
        <v>21</v>
      </c>
      <c r="F497" s="2" t="n">
        <f aca="false">'Raw Data'!U497</f>
        <v>8</v>
      </c>
      <c r="G497" s="2" t="n">
        <f aca="false">'Raw Data'!W497</f>
        <v>1</v>
      </c>
      <c r="H497" s="2" t="n">
        <f aca="false">'Raw Data'!V497</f>
        <v>4</v>
      </c>
      <c r="I497" s="2" t="n">
        <f aca="false">IF(AND(ISNUMBER(B497),B497&lt;=25),2,0)+IF(AND(ISNUMBER(E497),E497&lt;=5),2,0)+IF(AND(ISNUMBER(F497),F497&lt;=1),2,0)+IF(AND(ISNUMBER(G497),G497&lt;=2),1,0)+IF(AND(ISNUMBER(H497),H497&lt;=2),1,0)</f>
        <v>1</v>
      </c>
      <c r="J497" s="2" t="str">
        <f aca="false">IF(I497&gt;=6,"High",IF(I497&gt;=3,"Medium","Low"))</f>
        <v>Low</v>
      </c>
    </row>
    <row r="498" customFormat="false" ht="15" hidden="false" customHeight="true" outlineLevel="0" collapsed="false">
      <c r="A498" s="2" t="n">
        <f aca="false">'Raw Data'!H498</f>
        <v>497</v>
      </c>
      <c r="B498" s="2" t="n">
        <f aca="false">'Raw Data'!A498</f>
        <v>33</v>
      </c>
      <c r="C498" s="2" t="str">
        <f aca="false">'Raw Data'!D498</f>
        <v>Sales</v>
      </c>
      <c r="D498" s="2" t="str">
        <f aca="false">'Raw Data'!K498</f>
        <v>Sales Representative</v>
      </c>
      <c r="E498" s="2" t="n">
        <f aca="false">'Raw Data'!Q498</f>
        <v>3</v>
      </c>
      <c r="F498" s="2" t="n">
        <f aca="false">'Raw Data'!U498</f>
        <v>2</v>
      </c>
      <c r="G498" s="2" t="n">
        <f aca="false">'Raw Data'!W498</f>
        <v>4</v>
      </c>
      <c r="H498" s="2" t="n">
        <f aca="false">'Raw Data'!V498</f>
        <v>2</v>
      </c>
      <c r="I498" s="2" t="n">
        <f aca="false">IF(AND(ISNUMBER(B498),B498&lt;=25),2,0)+IF(AND(ISNUMBER(E498),E498&lt;=5),2,0)+IF(AND(ISNUMBER(F498),F498&lt;=1),2,0)+IF(AND(ISNUMBER(G498),G498&lt;=2),1,0)+IF(AND(ISNUMBER(H498),H498&lt;=2),1,0)</f>
        <v>3</v>
      </c>
      <c r="J498" s="2" t="str">
        <f aca="false">IF(I498&gt;=6,"High",IF(I498&gt;=3,"Medium","Low"))</f>
        <v>Medium</v>
      </c>
    </row>
    <row r="499" customFormat="false" ht="15" hidden="false" customHeight="true" outlineLevel="0" collapsed="false">
      <c r="A499" s="2" t="n">
        <f aca="false">'Raw Data'!H499</f>
        <v>498</v>
      </c>
      <c r="B499" s="2" t="n">
        <f aca="false">'Raw Data'!A499</f>
        <v>45</v>
      </c>
      <c r="C499" s="2" t="str">
        <f aca="false">'Raw Data'!D499</f>
        <v>Research &amp; Development</v>
      </c>
      <c r="D499" s="2" t="str">
        <f aca="false">'Raw Data'!K499</f>
        <v>Human Resources</v>
      </c>
      <c r="E499" s="2" t="n">
        <f aca="false">'Raw Data'!Q499</f>
        <v>26</v>
      </c>
      <c r="F499" s="2" t="n">
        <f aca="false">'Raw Data'!U499</f>
        <v>1</v>
      </c>
      <c r="G499" s="2" t="n">
        <f aca="false">'Raw Data'!W499</f>
        <v>4</v>
      </c>
      <c r="H499" s="2" t="n">
        <f aca="false">'Raw Data'!V499</f>
        <v>4</v>
      </c>
      <c r="I499" s="2" t="n">
        <f aca="false">IF(AND(ISNUMBER(B499),B499&lt;=25),2,0)+IF(AND(ISNUMBER(E499),E499&lt;=5),2,0)+IF(AND(ISNUMBER(F499),F499&lt;=1),2,0)+IF(AND(ISNUMBER(G499),G499&lt;=2),1,0)+IF(AND(ISNUMBER(H499),H499&lt;=2),1,0)</f>
        <v>2</v>
      </c>
      <c r="J499" s="2" t="str">
        <f aca="false">IF(I499&gt;=6,"High",IF(I499&gt;=3,"Medium","Low"))</f>
        <v>Low</v>
      </c>
    </row>
    <row r="500" customFormat="false" ht="15" hidden="false" customHeight="true" outlineLevel="0" collapsed="false">
      <c r="A500" s="2" t="n">
        <f aca="false">'Raw Data'!H500</f>
        <v>499</v>
      </c>
      <c r="B500" s="2" t="n">
        <f aca="false">'Raw Data'!A500</f>
        <v>32</v>
      </c>
      <c r="C500" s="2" t="str">
        <f aca="false">'Raw Data'!D500</f>
        <v>Research &amp; Development</v>
      </c>
      <c r="D500" s="2" t="str">
        <f aca="false">'Raw Data'!K500</f>
        <v>Manager</v>
      </c>
      <c r="E500" s="2" t="n">
        <f aca="false">'Raw Data'!Q500</f>
        <v>10</v>
      </c>
      <c r="F500" s="2" t="n">
        <f aca="false">'Raw Data'!U500</f>
        <v>7</v>
      </c>
      <c r="G500" s="2" t="n">
        <f aca="false">'Raw Data'!W500</f>
        <v>3</v>
      </c>
      <c r="H500" s="2" t="n">
        <f aca="false">'Raw Data'!V500</f>
        <v>4</v>
      </c>
      <c r="I500" s="2" t="n">
        <f aca="false">IF(AND(ISNUMBER(B500),B500&lt;=25),2,0)+IF(AND(ISNUMBER(E500),E500&lt;=5),2,0)+IF(AND(ISNUMBER(F500),F500&lt;=1),2,0)+IF(AND(ISNUMBER(G500),G500&lt;=2),1,0)+IF(AND(ISNUMBER(H500),H500&lt;=2),1,0)</f>
        <v>0</v>
      </c>
      <c r="J500" s="2" t="str">
        <f aca="false">IF(I500&gt;=6,"High",IF(I500&gt;=3,"Medium","Low"))</f>
        <v>Low</v>
      </c>
    </row>
    <row r="501" customFormat="false" ht="15" hidden="false" customHeight="true" outlineLevel="0" collapsed="false">
      <c r="A501" s="2" t="n">
        <f aca="false">'Raw Data'!H501</f>
        <v>500</v>
      </c>
      <c r="B501" s="2" t="n">
        <f aca="false">'Raw Data'!A501</f>
        <v>34</v>
      </c>
      <c r="C501" s="2" t="str">
        <f aca="false">'Raw Data'!D501</f>
        <v>Sales</v>
      </c>
      <c r="D501" s="2" t="str">
        <f aca="false">'Raw Data'!K501</f>
        <v>Research Director</v>
      </c>
      <c r="E501" s="2" t="n">
        <f aca="false">'Raw Data'!Q501</f>
        <v>16</v>
      </c>
      <c r="F501" s="2" t="n">
        <f aca="false">'Raw Data'!U501</f>
        <v>9</v>
      </c>
      <c r="G501" s="2" t="n">
        <f aca="false">'Raw Data'!W501</f>
        <v>4</v>
      </c>
      <c r="H501" s="2" t="n">
        <f aca="false">'Raw Data'!V501</f>
        <v>2</v>
      </c>
      <c r="I501" s="2" t="n">
        <f aca="false">IF(AND(ISNUMBER(B501),B501&lt;=25),2,0)+IF(AND(ISNUMBER(E501),E501&lt;=5),2,0)+IF(AND(ISNUMBER(F501),F501&lt;=1),2,0)+IF(AND(ISNUMBER(G501),G501&lt;=2),1,0)+IF(AND(ISNUMBER(H501),H501&lt;=2),1,0)</f>
        <v>1</v>
      </c>
      <c r="J501" s="2" t="str">
        <f aca="false">IF(I501&gt;=6,"High",IF(I501&gt;=3,"Medium","Low"))</f>
        <v>Low</v>
      </c>
    </row>
    <row r="502" customFormat="false" ht="15" hidden="false" customHeight="true" outlineLevel="0" collapsed="false">
      <c r="A502" s="2" t="n">
        <f aca="false">'Raw Data'!H502</f>
        <v>501</v>
      </c>
      <c r="B502" s="2" t="n">
        <f aca="false">'Raw Data'!A502</f>
        <v>59</v>
      </c>
      <c r="C502" s="2" t="str">
        <f aca="false">'Raw Data'!D502</f>
        <v>Research &amp; Development</v>
      </c>
      <c r="D502" s="2" t="str">
        <f aca="false">'Raw Data'!K502</f>
        <v>Research Scientist</v>
      </c>
      <c r="E502" s="2" t="n">
        <f aca="false">'Raw Data'!Q502</f>
        <v>14</v>
      </c>
      <c r="F502" s="2" t="n">
        <f aca="false">'Raw Data'!U502</f>
        <v>4</v>
      </c>
      <c r="G502" s="2" t="n">
        <f aca="false">'Raw Data'!W502</f>
        <v>4</v>
      </c>
      <c r="H502" s="2" t="n">
        <f aca="false">'Raw Data'!V502</f>
        <v>2</v>
      </c>
      <c r="I502" s="2" t="n">
        <f aca="false">IF(AND(ISNUMBER(B502),B502&lt;=25),2,0)+IF(AND(ISNUMBER(E502),E502&lt;=5),2,0)+IF(AND(ISNUMBER(F502),F502&lt;=1),2,0)+IF(AND(ISNUMBER(G502),G502&lt;=2),1,0)+IF(AND(ISNUMBER(H502),H502&lt;=2),1,0)</f>
        <v>1</v>
      </c>
      <c r="J502" s="2" t="str">
        <f aca="false">IF(I502&gt;=6,"High",IF(I502&gt;=3,"Medium","Low"))</f>
        <v>Low</v>
      </c>
    </row>
    <row r="503" customFormat="false" ht="15" hidden="false" customHeight="true" outlineLevel="0" collapsed="false">
      <c r="A503" s="2" t="n">
        <f aca="false">'Raw Data'!H503</f>
        <v>502</v>
      </c>
      <c r="B503" s="2" t="n">
        <f aca="false">'Raw Data'!A503</f>
        <v>45</v>
      </c>
      <c r="C503" s="2" t="str">
        <f aca="false">'Raw Data'!D503</f>
        <v>Research &amp; Development</v>
      </c>
      <c r="D503" s="2" t="str">
        <f aca="false">'Raw Data'!K503</f>
        <v>Sales Executive</v>
      </c>
      <c r="E503" s="2" t="n">
        <f aca="false">'Raw Data'!Q503</f>
        <v>6</v>
      </c>
      <c r="F503" s="2" t="n">
        <f aca="false">'Raw Data'!U503</f>
        <v>4</v>
      </c>
      <c r="G503" s="2" t="n">
        <f aca="false">'Raw Data'!W503</f>
        <v>2</v>
      </c>
      <c r="H503" s="2" t="n">
        <f aca="false">'Raw Data'!V503</f>
        <v>2</v>
      </c>
      <c r="I503" s="2" t="n">
        <f aca="false">IF(AND(ISNUMBER(B503),B503&lt;=25),2,0)+IF(AND(ISNUMBER(E503),E503&lt;=5),2,0)+IF(AND(ISNUMBER(F503),F503&lt;=1),2,0)+IF(AND(ISNUMBER(G503),G503&lt;=2),1,0)+IF(AND(ISNUMBER(H503),H503&lt;=2),1,0)</f>
        <v>2</v>
      </c>
      <c r="J503" s="2" t="str">
        <f aca="false">IF(I503&gt;=6,"High",IF(I503&gt;=3,"Medium","Low"))</f>
        <v>Low</v>
      </c>
    </row>
    <row r="504" customFormat="false" ht="15" hidden="false" customHeight="true" outlineLevel="0" collapsed="false">
      <c r="A504" s="2" t="n">
        <f aca="false">'Raw Data'!H504</f>
        <v>503</v>
      </c>
      <c r="B504" s="2" t="n">
        <f aca="false">'Raw Data'!A504</f>
        <v>53</v>
      </c>
      <c r="C504" s="2" t="str">
        <f aca="false">'Raw Data'!D504</f>
        <v>Sales</v>
      </c>
      <c r="D504" s="2" t="str">
        <f aca="false">'Raw Data'!K504</f>
        <v>Research Scientist</v>
      </c>
      <c r="E504" s="2" t="n">
        <f aca="false">'Raw Data'!Q504</f>
        <v>30</v>
      </c>
      <c r="F504" s="2" t="n">
        <f aca="false">'Raw Data'!U504</f>
        <v>12</v>
      </c>
      <c r="G504" s="2" t="n">
        <f aca="false">'Raw Data'!W504</f>
        <v>2</v>
      </c>
      <c r="H504" s="2" t="n">
        <f aca="false">'Raw Data'!V504</f>
        <v>3</v>
      </c>
      <c r="I504" s="2" t="n">
        <f aca="false">IF(AND(ISNUMBER(B504),B504&lt;=25),2,0)+IF(AND(ISNUMBER(E504),E504&lt;=5),2,0)+IF(AND(ISNUMBER(F504),F504&lt;=1),2,0)+IF(AND(ISNUMBER(G504),G504&lt;=2),1,0)+IF(AND(ISNUMBER(H504),H504&lt;=2),1,0)</f>
        <v>1</v>
      </c>
      <c r="J504" s="2" t="str">
        <f aca="false">IF(I504&gt;=6,"High",IF(I504&gt;=3,"Medium","Low"))</f>
        <v>Low</v>
      </c>
    </row>
    <row r="505" customFormat="false" ht="15" hidden="false" customHeight="true" outlineLevel="0" collapsed="false">
      <c r="A505" s="2" t="n">
        <f aca="false">'Raw Data'!H505</f>
        <v>504</v>
      </c>
      <c r="B505" s="2" t="n">
        <f aca="false">'Raw Data'!A505</f>
        <v>36</v>
      </c>
      <c r="C505" s="2" t="str">
        <f aca="false">'Raw Data'!D505</f>
        <v>Research &amp; Development</v>
      </c>
      <c r="D505" s="2" t="str">
        <f aca="false">'Raw Data'!K505</f>
        <v>Research Scientist</v>
      </c>
      <c r="E505" s="2" t="n">
        <f aca="false">'Raw Data'!Q505</f>
        <v>9</v>
      </c>
      <c r="F505" s="2" t="n">
        <f aca="false">'Raw Data'!U505</f>
        <v>0</v>
      </c>
      <c r="G505" s="2" t="n">
        <f aca="false">'Raw Data'!W505</f>
        <v>3</v>
      </c>
      <c r="H505" s="2" t="n">
        <f aca="false">'Raw Data'!V505</f>
        <v>1</v>
      </c>
      <c r="I505" s="2" t="n">
        <f aca="false">IF(AND(ISNUMBER(B505),B505&lt;=25),2,0)+IF(AND(ISNUMBER(E505),E505&lt;=5),2,0)+IF(AND(ISNUMBER(F505),F505&lt;=1),2,0)+IF(AND(ISNUMBER(G505),G505&lt;=2),1,0)+IF(AND(ISNUMBER(H505),H505&lt;=2),1,0)</f>
        <v>3</v>
      </c>
      <c r="J505" s="2" t="str">
        <f aca="false">IF(I505&gt;=6,"High",IF(I505&gt;=3,"Medium","Low"))</f>
        <v>Medium</v>
      </c>
    </row>
    <row r="506" customFormat="false" ht="15" hidden="false" customHeight="true" outlineLevel="0" collapsed="false">
      <c r="A506" s="2" t="n">
        <f aca="false">'Raw Data'!H506</f>
        <v>505</v>
      </c>
      <c r="B506" s="2" t="n">
        <f aca="false">'Raw Data'!A506</f>
        <v>26</v>
      </c>
      <c r="C506" s="2" t="str">
        <f aca="false">'Raw Data'!D506</f>
        <v>Sales</v>
      </c>
      <c r="D506" s="2" t="str">
        <f aca="false">'Raw Data'!K506</f>
        <v>Research Scientist</v>
      </c>
      <c r="E506" s="2" t="n">
        <f aca="false">'Raw Data'!Q506</f>
        <v>6</v>
      </c>
      <c r="F506" s="2" t="n">
        <f aca="false">'Raw Data'!U506</f>
        <v>2</v>
      </c>
      <c r="G506" s="2" t="n">
        <f aca="false">'Raw Data'!W506</f>
        <v>1</v>
      </c>
      <c r="H506" s="2" t="n">
        <f aca="false">'Raw Data'!V506</f>
        <v>1</v>
      </c>
      <c r="I506" s="2" t="n">
        <f aca="false">IF(AND(ISNUMBER(B506),B506&lt;=25),2,0)+IF(AND(ISNUMBER(E506),E506&lt;=5),2,0)+IF(AND(ISNUMBER(F506),F506&lt;=1),2,0)+IF(AND(ISNUMBER(G506),G506&lt;=2),1,0)+IF(AND(ISNUMBER(H506),H506&lt;=2),1,0)</f>
        <v>2</v>
      </c>
      <c r="J506" s="2" t="str">
        <f aca="false">IF(I506&gt;=6,"High",IF(I506&gt;=3,"Medium","Low"))</f>
        <v>Low</v>
      </c>
    </row>
    <row r="507" customFormat="false" ht="15" hidden="false" customHeight="true" outlineLevel="0" collapsed="false">
      <c r="A507" s="2" t="n">
        <f aca="false">'Raw Data'!H507</f>
        <v>506</v>
      </c>
      <c r="B507" s="2" t="n">
        <f aca="false">'Raw Data'!A507</f>
        <v>34</v>
      </c>
      <c r="C507" s="2" t="str">
        <f aca="false">'Raw Data'!D507</f>
        <v>Research &amp; Development</v>
      </c>
      <c r="D507" s="2" t="str">
        <f aca="false">'Raw Data'!K507</f>
        <v>Sales Representative</v>
      </c>
      <c r="E507" s="2" t="n">
        <f aca="false">'Raw Data'!Q507</f>
        <v>1</v>
      </c>
      <c r="F507" s="2" t="n">
        <f aca="false">'Raw Data'!U507</f>
        <v>0</v>
      </c>
      <c r="G507" s="2" t="n">
        <f aca="false">'Raw Data'!W507</f>
        <v>3</v>
      </c>
      <c r="H507" s="2" t="n">
        <f aca="false">'Raw Data'!V507</f>
        <v>3</v>
      </c>
      <c r="I507" s="2" t="n">
        <f aca="false">IF(AND(ISNUMBER(B507),B507&lt;=25),2,0)+IF(AND(ISNUMBER(E507),E507&lt;=5),2,0)+IF(AND(ISNUMBER(F507),F507&lt;=1),2,0)+IF(AND(ISNUMBER(G507),G507&lt;=2),1,0)+IF(AND(ISNUMBER(H507),H507&lt;=2),1,0)</f>
        <v>4</v>
      </c>
      <c r="J507" s="2" t="str">
        <f aca="false">IF(I507&gt;=6,"High",IF(I507&gt;=3,"Medium","Low"))</f>
        <v>Medium</v>
      </c>
    </row>
    <row r="508" customFormat="false" ht="15" hidden="false" customHeight="true" outlineLevel="0" collapsed="false">
      <c r="A508" s="2" t="n">
        <f aca="false">'Raw Data'!H508</f>
        <v>507</v>
      </c>
      <c r="B508" s="2" t="n">
        <f aca="false">'Raw Data'!A508</f>
        <v>28</v>
      </c>
      <c r="C508" s="2" t="str">
        <f aca="false">'Raw Data'!D508</f>
        <v>Research &amp; Development</v>
      </c>
      <c r="D508" s="2" t="str">
        <f aca="false">'Raw Data'!K508</f>
        <v>Sales Representative</v>
      </c>
      <c r="E508" s="2" t="n">
        <f aca="false">'Raw Data'!Q508</f>
        <v>1</v>
      </c>
      <c r="F508" s="2" t="n">
        <f aca="false">'Raw Data'!U508</f>
        <v>0</v>
      </c>
      <c r="G508" s="2" t="n">
        <f aca="false">'Raw Data'!W508</f>
        <v>2</v>
      </c>
      <c r="H508" s="2" t="n">
        <f aca="false">'Raw Data'!V508</f>
        <v>4</v>
      </c>
      <c r="I508" s="2" t="n">
        <f aca="false">IF(AND(ISNUMBER(B508),B508&lt;=25),2,0)+IF(AND(ISNUMBER(E508),E508&lt;=5),2,0)+IF(AND(ISNUMBER(F508),F508&lt;=1),2,0)+IF(AND(ISNUMBER(G508),G508&lt;=2),1,0)+IF(AND(ISNUMBER(H508),H508&lt;=2),1,0)</f>
        <v>5</v>
      </c>
      <c r="J508" s="2" t="str">
        <f aca="false">IF(I508&gt;=6,"High",IF(I508&gt;=3,"Medium","Low"))</f>
        <v>Medium</v>
      </c>
    </row>
    <row r="509" customFormat="false" ht="15" hidden="false" customHeight="true" outlineLevel="0" collapsed="false">
      <c r="A509" s="2" t="n">
        <f aca="false">'Raw Data'!H509</f>
        <v>508</v>
      </c>
      <c r="B509" s="2" t="n">
        <f aca="false">'Raw Data'!A509</f>
        <v>38</v>
      </c>
      <c r="C509" s="2" t="str">
        <f aca="false">'Raw Data'!D509</f>
        <v>Sales</v>
      </c>
      <c r="D509" s="2" t="str">
        <f aca="false">'Raw Data'!K509</f>
        <v>Research Scientist</v>
      </c>
      <c r="E509" s="2" t="n">
        <f aca="false">'Raw Data'!Q509</f>
        <v>8</v>
      </c>
      <c r="F509" s="2" t="n">
        <f aca="false">'Raw Data'!U509</f>
        <v>2</v>
      </c>
      <c r="G509" s="2" t="n">
        <f aca="false">'Raw Data'!W509</f>
        <v>3</v>
      </c>
      <c r="H509" s="2" t="n">
        <f aca="false">'Raw Data'!V509</f>
        <v>3</v>
      </c>
      <c r="I509" s="2" t="n">
        <f aca="false">IF(AND(ISNUMBER(B509),B509&lt;=25),2,0)+IF(AND(ISNUMBER(E509),E509&lt;=5),2,0)+IF(AND(ISNUMBER(F509),F509&lt;=1),2,0)+IF(AND(ISNUMBER(G509),G509&lt;=2),1,0)+IF(AND(ISNUMBER(H509),H509&lt;=2),1,0)</f>
        <v>0</v>
      </c>
      <c r="J509" s="2" t="str">
        <f aca="false">IF(I509&gt;=6,"High",IF(I509&gt;=3,"Medium","Low"))</f>
        <v>Low</v>
      </c>
    </row>
    <row r="510" customFormat="false" ht="15" hidden="false" customHeight="true" outlineLevel="0" collapsed="false">
      <c r="A510" s="2" t="n">
        <f aca="false">'Raw Data'!H510</f>
        <v>509</v>
      </c>
      <c r="B510" s="2" t="n">
        <f aca="false">'Raw Data'!A510</f>
        <v>50</v>
      </c>
      <c r="C510" s="2" t="str">
        <f aca="false">'Raw Data'!D510</f>
        <v>Research &amp; Development</v>
      </c>
      <c r="D510" s="2" t="str">
        <f aca="false">'Raw Data'!K510</f>
        <v>Sales Executive</v>
      </c>
      <c r="E510" s="2" t="n">
        <f aca="false">'Raw Data'!Q510</f>
        <v>29</v>
      </c>
      <c r="F510" s="2" t="n">
        <f aca="false">'Raw Data'!U510</f>
        <v>7</v>
      </c>
      <c r="G510" s="2" t="n">
        <f aca="false">'Raw Data'!W510</f>
        <v>3</v>
      </c>
      <c r="H510" s="2" t="n">
        <f aca="false">'Raw Data'!V510</f>
        <v>2</v>
      </c>
      <c r="I510" s="2" t="n">
        <f aca="false">IF(AND(ISNUMBER(B510),B510&lt;=25),2,0)+IF(AND(ISNUMBER(E510),E510&lt;=5),2,0)+IF(AND(ISNUMBER(F510),F510&lt;=1),2,0)+IF(AND(ISNUMBER(G510),G510&lt;=2),1,0)+IF(AND(ISNUMBER(H510),H510&lt;=2),1,0)</f>
        <v>1</v>
      </c>
      <c r="J510" s="2" t="str">
        <f aca="false">IF(I510&gt;=6,"High",IF(I510&gt;=3,"Medium","Low"))</f>
        <v>Low</v>
      </c>
    </row>
    <row r="511" customFormat="false" ht="15" hidden="false" customHeight="true" outlineLevel="0" collapsed="false">
      <c r="A511" s="2" t="n">
        <f aca="false">'Raw Data'!H511</f>
        <v>510</v>
      </c>
      <c r="B511" s="2" t="n">
        <f aca="false">'Raw Data'!A511</f>
        <v>37</v>
      </c>
      <c r="C511" s="2" t="str">
        <f aca="false">'Raw Data'!D511</f>
        <v>Research &amp; Development</v>
      </c>
      <c r="D511" s="2" t="str">
        <f aca="false">'Raw Data'!K511</f>
        <v>Laboratory Technician</v>
      </c>
      <c r="E511" s="2" t="n">
        <f aca="false">'Raw Data'!Q511</f>
        <v>8</v>
      </c>
      <c r="F511" s="2" t="n">
        <f aca="false">'Raw Data'!U511</f>
        <v>1</v>
      </c>
      <c r="G511" s="2" t="n">
        <f aca="false">'Raw Data'!W511</f>
        <v>2</v>
      </c>
      <c r="H511" s="2" t="n">
        <f aca="false">'Raw Data'!V511</f>
        <v>4</v>
      </c>
      <c r="I511" s="2" t="n">
        <f aca="false">IF(AND(ISNUMBER(B511),B511&lt;=25),2,0)+IF(AND(ISNUMBER(E511),E511&lt;=5),2,0)+IF(AND(ISNUMBER(F511),F511&lt;=1),2,0)+IF(AND(ISNUMBER(G511),G511&lt;=2),1,0)+IF(AND(ISNUMBER(H511),H511&lt;=2),1,0)</f>
        <v>3</v>
      </c>
      <c r="J511" s="2" t="str">
        <f aca="false">IF(I511&gt;=6,"High",IF(I511&gt;=3,"Medium","Low"))</f>
        <v>Medium</v>
      </c>
    </row>
    <row r="512" customFormat="false" ht="15" hidden="false" customHeight="true" outlineLevel="0" collapsed="false">
      <c r="A512" s="2" t="n">
        <f aca="false">'Raw Data'!H512</f>
        <v>511</v>
      </c>
      <c r="B512" s="2" t="n">
        <f aca="false">'Raw Data'!A512</f>
        <v>40</v>
      </c>
      <c r="C512" s="2" t="str">
        <f aca="false">'Raw Data'!D512</f>
        <v>Human Resources</v>
      </c>
      <c r="D512" s="2" t="str">
        <f aca="false">'Raw Data'!K512</f>
        <v>Sales Executive</v>
      </c>
      <c r="E512" s="2" t="n">
        <f aca="false">'Raw Data'!Q512</f>
        <v>8</v>
      </c>
      <c r="F512" s="2" t="n">
        <f aca="false">'Raw Data'!U512</f>
        <v>5</v>
      </c>
      <c r="G512" s="2" t="n">
        <f aca="false">'Raw Data'!W512</f>
        <v>1</v>
      </c>
      <c r="H512" s="2" t="n">
        <f aca="false">'Raw Data'!V512</f>
        <v>3</v>
      </c>
      <c r="I512" s="2" t="n">
        <f aca="false">IF(AND(ISNUMBER(B512),B512&lt;=25),2,0)+IF(AND(ISNUMBER(E512),E512&lt;=5),2,0)+IF(AND(ISNUMBER(F512),F512&lt;=1),2,0)+IF(AND(ISNUMBER(G512),G512&lt;=2),1,0)+IF(AND(ISNUMBER(H512),H512&lt;=2),1,0)</f>
        <v>1</v>
      </c>
      <c r="J512" s="2" t="str">
        <f aca="false">IF(I512&gt;=6,"High",IF(I512&gt;=3,"Medium","Low"))</f>
        <v>Low</v>
      </c>
    </row>
    <row r="513" customFormat="false" ht="15" hidden="false" customHeight="true" outlineLevel="0" collapsed="false">
      <c r="A513" s="2" t="n">
        <f aca="false">'Raw Data'!H513</f>
        <v>512</v>
      </c>
      <c r="B513" s="2" t="n">
        <f aca="false">'Raw Data'!A513</f>
        <v>26</v>
      </c>
      <c r="C513" s="2" t="str">
        <f aca="false">'Raw Data'!D513</f>
        <v>Research &amp; Development</v>
      </c>
      <c r="D513" s="2" t="str">
        <f aca="false">'Raw Data'!K513</f>
        <v>Laboratory Technician</v>
      </c>
      <c r="E513" s="2" t="n">
        <f aca="false">'Raw Data'!Q513</f>
        <v>5</v>
      </c>
      <c r="F513" s="2" t="n">
        <f aca="false">'Raw Data'!U513</f>
        <v>3</v>
      </c>
      <c r="G513" s="2" t="n">
        <f aca="false">'Raw Data'!W513</f>
        <v>3</v>
      </c>
      <c r="H513" s="2" t="n">
        <f aca="false">'Raw Data'!V513</f>
        <v>1</v>
      </c>
      <c r="I513" s="2" t="n">
        <f aca="false">IF(AND(ISNUMBER(B513),B513&lt;=25),2,0)+IF(AND(ISNUMBER(E513),E513&lt;=5),2,0)+IF(AND(ISNUMBER(F513),F513&lt;=1),2,0)+IF(AND(ISNUMBER(G513),G513&lt;=2),1,0)+IF(AND(ISNUMBER(H513),H513&lt;=2),1,0)</f>
        <v>3</v>
      </c>
      <c r="J513" s="2" t="str">
        <f aca="false">IF(I513&gt;=6,"High",IF(I513&gt;=3,"Medium","Low"))</f>
        <v>Medium</v>
      </c>
    </row>
    <row r="514" customFormat="false" ht="15" hidden="false" customHeight="true" outlineLevel="0" collapsed="false">
      <c r="A514" s="2" t="n">
        <f aca="false">'Raw Data'!H514</f>
        <v>513</v>
      </c>
      <c r="B514" s="2" t="n">
        <f aca="false">'Raw Data'!A514</f>
        <v>46</v>
      </c>
      <c r="C514" s="2" t="str">
        <f aca="false">'Raw Data'!D514</f>
        <v>Research &amp; Development</v>
      </c>
      <c r="D514" s="2" t="str">
        <f aca="false">'Raw Data'!K514</f>
        <v>Research Scientist</v>
      </c>
      <c r="E514" s="2" t="n">
        <f aca="false">'Raw Data'!Q514</f>
        <v>23</v>
      </c>
      <c r="F514" s="2" t="n">
        <f aca="false">'Raw Data'!U514</f>
        <v>2</v>
      </c>
      <c r="G514" s="2" t="n">
        <f aca="false">'Raw Data'!W514</f>
        <v>4</v>
      </c>
      <c r="H514" s="2" t="n">
        <f aca="false">'Raw Data'!V514</f>
        <v>4</v>
      </c>
      <c r="I514" s="2" t="n">
        <f aca="false">IF(AND(ISNUMBER(B514),B514&lt;=25),2,0)+IF(AND(ISNUMBER(E514),E514&lt;=5),2,0)+IF(AND(ISNUMBER(F514),F514&lt;=1),2,0)+IF(AND(ISNUMBER(G514),G514&lt;=2),1,0)+IF(AND(ISNUMBER(H514),H514&lt;=2),1,0)</f>
        <v>0</v>
      </c>
      <c r="J514" s="2" t="str">
        <f aca="false">IF(I514&gt;=6,"High",IF(I514&gt;=3,"Medium","Low"))</f>
        <v>Low</v>
      </c>
    </row>
    <row r="515" customFormat="false" ht="15" hidden="false" customHeight="true" outlineLevel="0" collapsed="false">
      <c r="A515" s="2" t="n">
        <f aca="false">'Raw Data'!H515</f>
        <v>514</v>
      </c>
      <c r="B515" s="2" t="n">
        <f aca="false">'Raw Data'!A515</f>
        <v>54</v>
      </c>
      <c r="C515" s="2" t="str">
        <f aca="false">'Raw Data'!D515</f>
        <v>Research &amp; Development</v>
      </c>
      <c r="D515" s="2" t="str">
        <f aca="false">'Raw Data'!K515</f>
        <v>Manufacturing Director</v>
      </c>
      <c r="E515" s="2" t="n">
        <f aca="false">'Raw Data'!Q515</f>
        <v>13</v>
      </c>
      <c r="F515" s="2" t="n">
        <f aca="false">'Raw Data'!U515</f>
        <v>0</v>
      </c>
      <c r="G515" s="2" t="n">
        <f aca="false">'Raw Data'!W515</f>
        <v>3</v>
      </c>
      <c r="H515" s="2" t="n">
        <f aca="false">'Raw Data'!V515</f>
        <v>3</v>
      </c>
      <c r="I515" s="2" t="n">
        <f aca="false">IF(AND(ISNUMBER(B515),B515&lt;=25),2,0)+IF(AND(ISNUMBER(E515),E515&lt;=5),2,0)+IF(AND(ISNUMBER(F515),F515&lt;=1),2,0)+IF(AND(ISNUMBER(G515),G515&lt;=2),1,0)+IF(AND(ISNUMBER(H515),H515&lt;=2),1,0)</f>
        <v>2</v>
      </c>
      <c r="J515" s="2" t="str">
        <f aca="false">IF(I515&gt;=6,"High",IF(I515&gt;=3,"Medium","Low"))</f>
        <v>Low</v>
      </c>
    </row>
    <row r="516" customFormat="false" ht="15" hidden="false" customHeight="true" outlineLevel="0" collapsed="false">
      <c r="A516" s="2" t="n">
        <f aca="false">'Raw Data'!H516</f>
        <v>515</v>
      </c>
      <c r="B516" s="2" t="n">
        <f aca="false">'Raw Data'!A516</f>
        <v>56</v>
      </c>
      <c r="C516" s="2" t="str">
        <f aca="false">'Raw Data'!D516</f>
        <v>Research &amp; Development</v>
      </c>
      <c r="D516" s="2" t="str">
        <f aca="false">'Raw Data'!K516</f>
        <v>Manufacturing Director</v>
      </c>
      <c r="E516" s="2" t="n">
        <f aca="false">'Raw Data'!Q516</f>
        <v>18</v>
      </c>
      <c r="F516" s="2" t="n">
        <f aca="false">'Raw Data'!U516</f>
        <v>3</v>
      </c>
      <c r="G516" s="2" t="n">
        <f aca="false">'Raw Data'!W516</f>
        <v>3</v>
      </c>
      <c r="H516" s="2" t="n">
        <f aca="false">'Raw Data'!V516</f>
        <v>1</v>
      </c>
      <c r="I516" s="2" t="n">
        <f aca="false">IF(AND(ISNUMBER(B516),B516&lt;=25),2,0)+IF(AND(ISNUMBER(E516),E516&lt;=5),2,0)+IF(AND(ISNUMBER(F516),F516&lt;=1),2,0)+IF(AND(ISNUMBER(G516),G516&lt;=2),1,0)+IF(AND(ISNUMBER(H516),H516&lt;=2),1,0)</f>
        <v>1</v>
      </c>
      <c r="J516" s="2" t="str">
        <f aca="false">IF(I516&gt;=6,"High",IF(I516&gt;=3,"Medium","Low"))</f>
        <v>Low</v>
      </c>
    </row>
    <row r="517" customFormat="false" ht="15" hidden="false" customHeight="true" outlineLevel="0" collapsed="false">
      <c r="A517" s="2" t="n">
        <f aca="false">'Raw Data'!H517</f>
        <v>516</v>
      </c>
      <c r="B517" s="2" t="n">
        <f aca="false">'Raw Data'!A517</f>
        <v>36</v>
      </c>
      <c r="C517" s="2" t="str">
        <f aca="false">'Raw Data'!D517</f>
        <v>Research &amp; Development</v>
      </c>
      <c r="D517" s="2" t="str">
        <f aca="false">'Raw Data'!K517</f>
        <v>Human Resources</v>
      </c>
      <c r="E517" s="2" t="n">
        <f aca="false">'Raw Data'!Q517</f>
        <v>15</v>
      </c>
      <c r="F517" s="2" t="n">
        <f aca="false">'Raw Data'!U517</f>
        <v>8</v>
      </c>
      <c r="G517" s="2" t="n">
        <f aca="false">'Raw Data'!W517</f>
        <v>4</v>
      </c>
      <c r="H517" s="2" t="n">
        <f aca="false">'Raw Data'!V517</f>
        <v>4</v>
      </c>
      <c r="I517" s="2" t="n">
        <f aca="false">IF(AND(ISNUMBER(B517),B517&lt;=25),2,0)+IF(AND(ISNUMBER(E517),E517&lt;=5),2,0)+IF(AND(ISNUMBER(F517),F517&lt;=1),2,0)+IF(AND(ISNUMBER(G517),G517&lt;=2),1,0)+IF(AND(ISNUMBER(H517),H517&lt;=2),1,0)</f>
        <v>0</v>
      </c>
      <c r="J517" s="2" t="str">
        <f aca="false">IF(I517&gt;=6,"High",IF(I517&gt;=3,"Medium","Low"))</f>
        <v>Low</v>
      </c>
    </row>
    <row r="518" customFormat="false" ht="15" hidden="false" customHeight="true" outlineLevel="0" collapsed="false">
      <c r="A518" s="2" t="n">
        <f aca="false">'Raw Data'!H518</f>
        <v>517</v>
      </c>
      <c r="B518" s="2" t="n">
        <f aca="false">'Raw Data'!A518</f>
        <v>55</v>
      </c>
      <c r="C518" s="2" t="str">
        <f aca="false">'Raw Data'!D518</f>
        <v>Research &amp; Development</v>
      </c>
      <c r="D518" s="2" t="str">
        <f aca="false">'Raw Data'!K518</f>
        <v>Manager</v>
      </c>
      <c r="E518" s="2" t="n">
        <f aca="false">'Raw Data'!Q518</f>
        <v>31</v>
      </c>
      <c r="F518" s="2" t="n">
        <f aca="false">'Raw Data'!U518</f>
        <v>2</v>
      </c>
      <c r="G518" s="2" t="n">
        <f aca="false">'Raw Data'!W518</f>
        <v>1</v>
      </c>
      <c r="H518" s="2" t="n">
        <f aca="false">'Raw Data'!V518</f>
        <v>3</v>
      </c>
      <c r="I518" s="2" t="n">
        <f aca="false">IF(AND(ISNUMBER(B518),B518&lt;=25),2,0)+IF(AND(ISNUMBER(E518),E518&lt;=5),2,0)+IF(AND(ISNUMBER(F518),F518&lt;=1),2,0)+IF(AND(ISNUMBER(G518),G518&lt;=2),1,0)+IF(AND(ISNUMBER(H518),H518&lt;=2),1,0)</f>
        <v>1</v>
      </c>
      <c r="J518" s="2" t="str">
        <f aca="false">IF(I518&gt;=6,"High",IF(I518&gt;=3,"Medium","Low"))</f>
        <v>Low</v>
      </c>
    </row>
    <row r="519" customFormat="false" ht="15" hidden="false" customHeight="true" outlineLevel="0" collapsed="false">
      <c r="A519" s="2" t="n">
        <f aca="false">'Raw Data'!H519</f>
        <v>518</v>
      </c>
      <c r="B519" s="2" t="n">
        <f aca="false">'Raw Data'!A519</f>
        <v>43</v>
      </c>
      <c r="C519" s="2" t="str">
        <f aca="false">'Raw Data'!D519</f>
        <v>Sales</v>
      </c>
      <c r="D519" s="2" t="str">
        <f aca="false">'Raw Data'!K519</f>
        <v>Research Scientist</v>
      </c>
      <c r="E519" s="2" t="n">
        <f aca="false">'Raw Data'!Q519</f>
        <v>18</v>
      </c>
      <c r="F519" s="2" t="n">
        <f aca="false">'Raw Data'!U519</f>
        <v>0</v>
      </c>
      <c r="G519" s="2" t="n">
        <f aca="false">'Raw Data'!W519</f>
        <v>4</v>
      </c>
      <c r="H519" s="2" t="n">
        <f aca="false">'Raw Data'!V519</f>
        <v>3</v>
      </c>
      <c r="I519" s="2" t="n">
        <f aca="false">IF(AND(ISNUMBER(B519),B519&lt;=25),2,0)+IF(AND(ISNUMBER(E519),E519&lt;=5),2,0)+IF(AND(ISNUMBER(F519),F519&lt;=1),2,0)+IF(AND(ISNUMBER(G519),G519&lt;=2),1,0)+IF(AND(ISNUMBER(H519),H519&lt;=2),1,0)</f>
        <v>2</v>
      </c>
      <c r="J519" s="2" t="str">
        <f aca="false">IF(I519&gt;=6,"High",IF(I519&gt;=3,"Medium","Low"))</f>
        <v>Low</v>
      </c>
    </row>
    <row r="520" customFormat="false" ht="15" hidden="false" customHeight="true" outlineLevel="0" collapsed="false">
      <c r="A520" s="2" t="n">
        <f aca="false">'Raw Data'!H520</f>
        <v>519</v>
      </c>
      <c r="B520" s="2" t="n">
        <f aca="false">'Raw Data'!A520</f>
        <v>20</v>
      </c>
      <c r="C520" s="2" t="str">
        <f aca="false">'Raw Data'!D520</f>
        <v>Sales</v>
      </c>
      <c r="D520" s="2" t="str">
        <f aca="false">'Raw Data'!K520</f>
        <v>Sales Executive</v>
      </c>
      <c r="E520" s="2" t="n">
        <f aca="false">'Raw Data'!Q520</f>
        <v>2</v>
      </c>
      <c r="F520" s="2" t="n">
        <f aca="false">'Raw Data'!U520</f>
        <v>2</v>
      </c>
      <c r="G520" s="2" t="n">
        <f aca="false">'Raw Data'!W520</f>
        <v>4</v>
      </c>
      <c r="H520" s="2" t="n">
        <f aca="false">'Raw Data'!V520</f>
        <v>4</v>
      </c>
      <c r="I520" s="2" t="n">
        <f aca="false">IF(AND(ISNUMBER(B520),B520&lt;=25),2,0)+IF(AND(ISNUMBER(E520),E520&lt;=5),2,0)+IF(AND(ISNUMBER(F520),F520&lt;=1),2,0)+IF(AND(ISNUMBER(G520),G520&lt;=2),1,0)+IF(AND(ISNUMBER(H520),H520&lt;=2),1,0)</f>
        <v>4</v>
      </c>
      <c r="J520" s="2" t="str">
        <f aca="false">IF(I520&gt;=6,"High",IF(I520&gt;=3,"Medium","Low"))</f>
        <v>Medium</v>
      </c>
    </row>
    <row r="521" customFormat="false" ht="15" hidden="false" customHeight="true" outlineLevel="0" collapsed="false">
      <c r="A521" s="2" t="n">
        <f aca="false">'Raw Data'!H521</f>
        <v>520</v>
      </c>
      <c r="B521" s="2" t="n">
        <f aca="false">'Raw Data'!A521</f>
        <v>21</v>
      </c>
      <c r="C521" s="2" t="str">
        <f aca="false">'Raw Data'!D521</f>
        <v>Research &amp; Development</v>
      </c>
      <c r="D521" s="2" t="str">
        <f aca="false">'Raw Data'!K521</f>
        <v>Manager</v>
      </c>
      <c r="E521" s="2" t="n">
        <f aca="false">'Raw Data'!Q521</f>
        <v>1</v>
      </c>
      <c r="F521" s="2" t="n">
        <f aca="false">'Raw Data'!U521</f>
        <v>0</v>
      </c>
      <c r="G521" s="2" t="n">
        <f aca="false">'Raw Data'!W521</f>
        <v>1</v>
      </c>
      <c r="H521" s="2" t="n">
        <f aca="false">'Raw Data'!V521</f>
        <v>3</v>
      </c>
      <c r="I521" s="2" t="n">
        <f aca="false">IF(AND(ISNUMBER(B521),B521&lt;=25),2,0)+IF(AND(ISNUMBER(E521),E521&lt;=5),2,0)+IF(AND(ISNUMBER(F521),F521&lt;=1),2,0)+IF(AND(ISNUMBER(G521),G521&lt;=2),1,0)+IF(AND(ISNUMBER(H521),H521&lt;=2),1,0)</f>
        <v>7</v>
      </c>
      <c r="J521" s="2" t="str">
        <f aca="false">IF(I521&gt;=6,"High",IF(I521&gt;=3,"Medium","Low"))</f>
        <v>High</v>
      </c>
    </row>
    <row r="522" customFormat="false" ht="15" hidden="false" customHeight="true" outlineLevel="0" collapsed="false">
      <c r="A522" s="2" t="n">
        <f aca="false">'Raw Data'!H522</f>
        <v>521</v>
      </c>
      <c r="B522" s="2" t="n">
        <f aca="false">'Raw Data'!A522</f>
        <v>46</v>
      </c>
      <c r="C522" s="2" t="str">
        <f aca="false">'Raw Data'!D522</f>
        <v>Sales</v>
      </c>
      <c r="D522" s="2" t="str">
        <f aca="false">'Raw Data'!K522</f>
        <v>Healthcare Representative</v>
      </c>
      <c r="E522" s="2" t="n">
        <f aca="false">'Raw Data'!Q522</f>
        <v>19</v>
      </c>
      <c r="F522" s="2" t="n">
        <f aca="false">'Raw Data'!U522</f>
        <v>7</v>
      </c>
      <c r="G522" s="2" t="n">
        <f aca="false">'Raw Data'!W522</f>
        <v>1</v>
      </c>
      <c r="H522" s="2" t="n">
        <f aca="false">'Raw Data'!V522</f>
        <v>4</v>
      </c>
      <c r="I522" s="2" t="n">
        <f aca="false">IF(AND(ISNUMBER(B522),B522&lt;=25),2,0)+IF(AND(ISNUMBER(E522),E522&lt;=5),2,0)+IF(AND(ISNUMBER(F522),F522&lt;=1),2,0)+IF(AND(ISNUMBER(G522),G522&lt;=2),1,0)+IF(AND(ISNUMBER(H522),H522&lt;=2),1,0)</f>
        <v>1</v>
      </c>
      <c r="J522" s="2" t="str">
        <f aca="false">IF(I522&gt;=6,"High",IF(I522&gt;=3,"Medium","Low"))</f>
        <v>Low</v>
      </c>
    </row>
    <row r="523" customFormat="false" ht="15" hidden="false" customHeight="true" outlineLevel="0" collapsed="false">
      <c r="A523" s="2" t="n">
        <f aca="false">'Raw Data'!H523</f>
        <v>522</v>
      </c>
      <c r="B523" s="2" t="n">
        <f aca="false">'Raw Data'!A523</f>
        <v>51</v>
      </c>
      <c r="C523" s="2" t="str">
        <f aca="false">'Raw Data'!D523</f>
        <v>Sales</v>
      </c>
      <c r="D523" s="2" t="str">
        <f aca="false">'Raw Data'!K523</f>
        <v>Research Scientist</v>
      </c>
      <c r="E523" s="2" t="n">
        <f aca="false">'Raw Data'!Q523</f>
        <v>18</v>
      </c>
      <c r="F523" s="2" t="n">
        <f aca="false">'Raw Data'!U523</f>
        <v>7</v>
      </c>
      <c r="G523" s="2" t="n">
        <f aca="false">'Raw Data'!W523</f>
        <v>3</v>
      </c>
      <c r="H523" s="2" t="n">
        <f aca="false">'Raw Data'!V523</f>
        <v>1</v>
      </c>
      <c r="I523" s="2" t="n">
        <f aca="false">IF(AND(ISNUMBER(B523),B523&lt;=25),2,0)+IF(AND(ISNUMBER(E523),E523&lt;=5),2,0)+IF(AND(ISNUMBER(F523),F523&lt;=1),2,0)+IF(AND(ISNUMBER(G523),G523&lt;=2),1,0)+IF(AND(ISNUMBER(H523),H523&lt;=2),1,0)</f>
        <v>1</v>
      </c>
      <c r="J523" s="2" t="str">
        <f aca="false">IF(I523&gt;=6,"High",IF(I523&gt;=3,"Medium","Low"))</f>
        <v>Low</v>
      </c>
    </row>
    <row r="524" customFormat="false" ht="15" hidden="false" customHeight="true" outlineLevel="0" collapsed="false">
      <c r="A524" s="2" t="n">
        <f aca="false">'Raw Data'!H524</f>
        <v>523</v>
      </c>
      <c r="B524" s="2" t="n">
        <f aca="false">'Raw Data'!A524</f>
        <v>28</v>
      </c>
      <c r="C524" s="2" t="str">
        <f aca="false">'Raw Data'!D524</f>
        <v>Research &amp; Development</v>
      </c>
      <c r="D524" s="2" t="str">
        <f aca="false">'Raw Data'!K524</f>
        <v>Laboratory Technician</v>
      </c>
      <c r="E524" s="2" t="n">
        <f aca="false">'Raw Data'!Q524</f>
        <v>10</v>
      </c>
      <c r="F524" s="2" t="n">
        <f aca="false">'Raw Data'!U524</f>
        <v>9</v>
      </c>
      <c r="G524" s="2" t="n">
        <f aca="false">'Raw Data'!W524</f>
        <v>1</v>
      </c>
      <c r="H524" s="2" t="n">
        <f aca="false">'Raw Data'!V524</f>
        <v>2</v>
      </c>
      <c r="I524" s="2" t="n">
        <f aca="false">IF(AND(ISNUMBER(B524),B524&lt;=25),2,0)+IF(AND(ISNUMBER(E524),E524&lt;=5),2,0)+IF(AND(ISNUMBER(F524),F524&lt;=1),2,0)+IF(AND(ISNUMBER(G524),G524&lt;=2),1,0)+IF(AND(ISNUMBER(H524),H524&lt;=2),1,0)</f>
        <v>2</v>
      </c>
      <c r="J524" s="2" t="str">
        <f aca="false">IF(I524&gt;=6,"High",IF(I524&gt;=3,"Medium","Low"))</f>
        <v>Low</v>
      </c>
    </row>
    <row r="525" customFormat="false" ht="15" hidden="false" customHeight="true" outlineLevel="0" collapsed="false">
      <c r="A525" s="2" t="n">
        <f aca="false">'Raw Data'!H525</f>
        <v>524</v>
      </c>
      <c r="B525" s="2" t="n">
        <f aca="false">'Raw Data'!A525</f>
        <v>26</v>
      </c>
      <c r="C525" s="2" t="str">
        <f aca="false">'Raw Data'!D525</f>
        <v>Research &amp; Development</v>
      </c>
      <c r="D525" s="2" t="str">
        <f aca="false">'Raw Data'!K525</f>
        <v>Sales Executive</v>
      </c>
      <c r="E525" s="2" t="n">
        <f aca="false">'Raw Data'!Q525</f>
        <v>6</v>
      </c>
      <c r="F525" s="2" t="n">
        <f aca="false">'Raw Data'!U525</f>
        <v>3</v>
      </c>
      <c r="G525" s="2" t="n">
        <f aca="false">'Raw Data'!W525</f>
        <v>1</v>
      </c>
      <c r="H525" s="2" t="n">
        <f aca="false">'Raw Data'!V525</f>
        <v>1</v>
      </c>
      <c r="I525" s="2" t="n">
        <f aca="false">IF(AND(ISNUMBER(B525),B525&lt;=25),2,0)+IF(AND(ISNUMBER(E525),E525&lt;=5),2,0)+IF(AND(ISNUMBER(F525),F525&lt;=1),2,0)+IF(AND(ISNUMBER(G525),G525&lt;=2),1,0)+IF(AND(ISNUMBER(H525),H525&lt;=2),1,0)</f>
        <v>2</v>
      </c>
      <c r="J525" s="2" t="str">
        <f aca="false">IF(I525&gt;=6,"High",IF(I525&gt;=3,"Medium","Low"))</f>
        <v>Low</v>
      </c>
    </row>
    <row r="526" customFormat="false" ht="15" hidden="false" customHeight="true" outlineLevel="0" collapsed="false">
      <c r="A526" s="2" t="n">
        <f aca="false">'Raw Data'!H526</f>
        <v>525</v>
      </c>
      <c r="B526" s="2" t="n">
        <f aca="false">'Raw Data'!A526</f>
        <v>30</v>
      </c>
      <c r="C526" s="2" t="str">
        <f aca="false">'Raw Data'!D526</f>
        <v>Research &amp; Development</v>
      </c>
      <c r="D526" s="2" t="str">
        <f aca="false">'Raw Data'!K526</f>
        <v>Sales Executive</v>
      </c>
      <c r="E526" s="2" t="n">
        <f aca="false">'Raw Data'!Q526</f>
        <v>7</v>
      </c>
      <c r="F526" s="2" t="n">
        <f aca="false">'Raw Data'!U526</f>
        <v>2</v>
      </c>
      <c r="G526" s="2" t="n">
        <f aca="false">'Raw Data'!W526</f>
        <v>1</v>
      </c>
      <c r="H526" s="2" t="n">
        <f aca="false">'Raw Data'!V526</f>
        <v>3</v>
      </c>
      <c r="I526" s="2" t="n">
        <f aca="false">IF(AND(ISNUMBER(B526),B526&lt;=25),2,0)+IF(AND(ISNUMBER(E526),E526&lt;=5),2,0)+IF(AND(ISNUMBER(F526),F526&lt;=1),2,0)+IF(AND(ISNUMBER(G526),G526&lt;=2),1,0)+IF(AND(ISNUMBER(H526),H526&lt;=2),1,0)</f>
        <v>1</v>
      </c>
      <c r="J526" s="2" t="str">
        <f aca="false">IF(I526&gt;=6,"High",IF(I526&gt;=3,"Medium","Low"))</f>
        <v>Low</v>
      </c>
    </row>
    <row r="527" customFormat="false" ht="15" hidden="false" customHeight="true" outlineLevel="0" collapsed="false">
      <c r="A527" s="2" t="n">
        <f aca="false">'Raw Data'!H527</f>
        <v>526</v>
      </c>
      <c r="B527" s="2" t="n">
        <f aca="false">'Raw Data'!A527</f>
        <v>41</v>
      </c>
      <c r="C527" s="2" t="str">
        <f aca="false">'Raw Data'!D527</f>
        <v>Sales</v>
      </c>
      <c r="D527" s="2" t="str">
        <f aca="false">'Raw Data'!K527</f>
        <v>Research Director</v>
      </c>
      <c r="E527" s="2" t="n">
        <f aca="false">'Raw Data'!Q527</f>
        <v>10</v>
      </c>
      <c r="F527" s="2" t="n">
        <f aca="false">'Raw Data'!U527</f>
        <v>8</v>
      </c>
      <c r="G527" s="2" t="n">
        <f aca="false">'Raw Data'!W527</f>
        <v>3</v>
      </c>
      <c r="H527" s="2" t="n">
        <f aca="false">'Raw Data'!V527</f>
        <v>2</v>
      </c>
      <c r="I527" s="2" t="n">
        <f aca="false">IF(AND(ISNUMBER(B527),B527&lt;=25),2,0)+IF(AND(ISNUMBER(E527),E527&lt;=5),2,0)+IF(AND(ISNUMBER(F527),F527&lt;=1),2,0)+IF(AND(ISNUMBER(G527),G527&lt;=2),1,0)+IF(AND(ISNUMBER(H527),H527&lt;=2),1,0)</f>
        <v>1</v>
      </c>
      <c r="J527" s="2" t="str">
        <f aca="false">IF(I527&gt;=6,"High",IF(I527&gt;=3,"Medium","Low"))</f>
        <v>Low</v>
      </c>
    </row>
    <row r="528" customFormat="false" ht="15" hidden="false" customHeight="true" outlineLevel="0" collapsed="false">
      <c r="A528" s="2" t="n">
        <f aca="false">'Raw Data'!H528</f>
        <v>527</v>
      </c>
      <c r="B528" s="2" t="n">
        <f aca="false">'Raw Data'!A528</f>
        <v>38</v>
      </c>
      <c r="C528" s="2" t="str">
        <f aca="false">'Raw Data'!D528</f>
        <v>Research &amp; Development</v>
      </c>
      <c r="D528" s="2" t="str">
        <f aca="false">'Raw Data'!K528</f>
        <v>Sales Executive</v>
      </c>
      <c r="E528" s="2" t="n">
        <f aca="false">'Raw Data'!Q528</f>
        <v>20</v>
      </c>
      <c r="F528" s="2" t="n">
        <f aca="false">'Raw Data'!U528</f>
        <v>9</v>
      </c>
      <c r="G528" s="2" t="n">
        <f aca="false">'Raw Data'!W528</f>
        <v>3</v>
      </c>
      <c r="H528" s="2" t="n">
        <f aca="false">'Raw Data'!V528</f>
        <v>3</v>
      </c>
      <c r="I528" s="2" t="n">
        <f aca="false">IF(AND(ISNUMBER(B528),B528&lt;=25),2,0)+IF(AND(ISNUMBER(E528),E528&lt;=5),2,0)+IF(AND(ISNUMBER(F528),F528&lt;=1),2,0)+IF(AND(ISNUMBER(G528),G528&lt;=2),1,0)+IF(AND(ISNUMBER(H528),H528&lt;=2),1,0)</f>
        <v>0</v>
      </c>
      <c r="J528" s="2" t="str">
        <f aca="false">IF(I528&gt;=6,"High",IF(I528&gt;=3,"Medium","Low"))</f>
        <v>Low</v>
      </c>
    </row>
    <row r="529" customFormat="false" ht="15" hidden="false" customHeight="true" outlineLevel="0" collapsed="false">
      <c r="A529" s="2" t="n">
        <f aca="false">'Raw Data'!H529</f>
        <v>528</v>
      </c>
      <c r="B529" s="2" t="n">
        <f aca="false">'Raw Data'!A529</f>
        <v>40</v>
      </c>
      <c r="C529" s="2" t="str">
        <f aca="false">'Raw Data'!D529</f>
        <v>Sales</v>
      </c>
      <c r="D529" s="2" t="str">
        <f aca="false">'Raw Data'!K529</f>
        <v>Sales Executive</v>
      </c>
      <c r="E529" s="2" t="n">
        <f aca="false">'Raw Data'!Q529</f>
        <v>14</v>
      </c>
      <c r="F529" s="2" t="n">
        <f aca="false">'Raw Data'!U529</f>
        <v>1</v>
      </c>
      <c r="G529" s="2" t="n">
        <f aca="false">'Raw Data'!W529</f>
        <v>4</v>
      </c>
      <c r="H529" s="2" t="n">
        <f aca="false">'Raw Data'!V529</f>
        <v>1</v>
      </c>
      <c r="I529" s="2" t="n">
        <f aca="false">IF(AND(ISNUMBER(B529),B529&lt;=25),2,0)+IF(AND(ISNUMBER(E529),E529&lt;=5),2,0)+IF(AND(ISNUMBER(F529),F529&lt;=1),2,0)+IF(AND(ISNUMBER(G529),G529&lt;=2),1,0)+IF(AND(ISNUMBER(H529),H529&lt;=2),1,0)</f>
        <v>3</v>
      </c>
      <c r="J529" s="2" t="str">
        <f aca="false">IF(I529&gt;=6,"High",IF(I529&gt;=3,"Medium","Low"))</f>
        <v>Medium</v>
      </c>
    </row>
    <row r="530" customFormat="false" ht="15" hidden="false" customHeight="true" outlineLevel="0" collapsed="false">
      <c r="A530" s="2" t="n">
        <f aca="false">'Raw Data'!H530</f>
        <v>529</v>
      </c>
      <c r="B530" s="2" t="n">
        <f aca="false">'Raw Data'!A530</f>
        <v>27</v>
      </c>
      <c r="C530" s="2" t="str">
        <f aca="false">'Raw Data'!D530</f>
        <v>Sales</v>
      </c>
      <c r="D530" s="2" t="str">
        <f aca="false">'Raw Data'!K530</f>
        <v>Laboratory Technician</v>
      </c>
      <c r="E530" s="2" t="n">
        <f aca="false">'Raw Data'!Q530</f>
        <v>3</v>
      </c>
      <c r="F530" s="2" t="n">
        <f aca="false">'Raw Data'!U530</f>
        <v>2</v>
      </c>
      <c r="G530" s="2" t="n">
        <f aca="false">'Raw Data'!W530</f>
        <v>3</v>
      </c>
      <c r="H530" s="2" t="n">
        <f aca="false">'Raw Data'!V530</f>
        <v>1</v>
      </c>
      <c r="I530" s="2" t="n">
        <f aca="false">IF(AND(ISNUMBER(B530),B530&lt;=25),2,0)+IF(AND(ISNUMBER(E530),E530&lt;=5),2,0)+IF(AND(ISNUMBER(F530),F530&lt;=1),2,0)+IF(AND(ISNUMBER(G530),G530&lt;=2),1,0)+IF(AND(ISNUMBER(H530),H530&lt;=2),1,0)</f>
        <v>3</v>
      </c>
      <c r="J530" s="2" t="str">
        <f aca="false">IF(I530&gt;=6,"High",IF(I530&gt;=3,"Medium","Low"))</f>
        <v>Medium</v>
      </c>
    </row>
    <row r="531" customFormat="false" ht="15" hidden="false" customHeight="true" outlineLevel="0" collapsed="false">
      <c r="A531" s="2" t="n">
        <f aca="false">'Raw Data'!H531</f>
        <v>530</v>
      </c>
      <c r="B531" s="2" t="n">
        <f aca="false">'Raw Data'!A531</f>
        <v>55</v>
      </c>
      <c r="C531" s="2" t="str">
        <f aca="false">'Raw Data'!D531</f>
        <v>Research &amp; Development</v>
      </c>
      <c r="D531" s="2" t="str">
        <f aca="false">'Raw Data'!K531</f>
        <v>Laboratory Technician</v>
      </c>
      <c r="E531" s="2" t="n">
        <f aca="false">'Raw Data'!Q531</f>
        <v>23</v>
      </c>
      <c r="F531" s="2" t="n">
        <f aca="false">'Raw Data'!U531</f>
        <v>2</v>
      </c>
      <c r="G531" s="2" t="n">
        <f aca="false">'Raw Data'!W531</f>
        <v>2</v>
      </c>
      <c r="H531" s="2" t="n">
        <f aca="false">'Raw Data'!V531</f>
        <v>4</v>
      </c>
      <c r="I531" s="2" t="n">
        <f aca="false">IF(AND(ISNUMBER(B531),B531&lt;=25),2,0)+IF(AND(ISNUMBER(E531),E531&lt;=5),2,0)+IF(AND(ISNUMBER(F531),F531&lt;=1),2,0)+IF(AND(ISNUMBER(G531),G531&lt;=2),1,0)+IF(AND(ISNUMBER(H531),H531&lt;=2),1,0)</f>
        <v>1</v>
      </c>
      <c r="J531" s="2" t="str">
        <f aca="false">IF(I531&gt;=6,"High",IF(I531&gt;=3,"Medium","Low"))</f>
        <v>Low</v>
      </c>
    </row>
    <row r="532" customFormat="false" ht="15" hidden="false" customHeight="true" outlineLevel="0" collapsed="false">
      <c r="A532" s="2" t="n">
        <f aca="false">'Raw Data'!H532</f>
        <v>531</v>
      </c>
      <c r="B532" s="2" t="n">
        <f aca="false">'Raw Data'!A532</f>
        <v>28</v>
      </c>
      <c r="C532" s="2" t="str">
        <f aca="false">'Raw Data'!D532</f>
        <v>Research &amp; Development</v>
      </c>
      <c r="D532" s="2" t="str">
        <f aca="false">'Raw Data'!K532</f>
        <v>Healthcare Representative</v>
      </c>
      <c r="E532" s="2" t="n">
        <f aca="false">'Raw Data'!Q532</f>
        <v>10</v>
      </c>
      <c r="F532" s="2" t="n">
        <f aca="false">'Raw Data'!U532</f>
        <v>7</v>
      </c>
      <c r="G532" s="2" t="n">
        <f aca="false">'Raw Data'!W532</f>
        <v>3</v>
      </c>
      <c r="H532" s="2" t="n">
        <f aca="false">'Raw Data'!V532</f>
        <v>3</v>
      </c>
      <c r="I532" s="2" t="n">
        <f aca="false">IF(AND(ISNUMBER(B532),B532&lt;=25),2,0)+IF(AND(ISNUMBER(E532),E532&lt;=5),2,0)+IF(AND(ISNUMBER(F532),F532&lt;=1),2,0)+IF(AND(ISNUMBER(G532),G532&lt;=2),1,0)+IF(AND(ISNUMBER(H532),H532&lt;=2),1,0)</f>
        <v>0</v>
      </c>
      <c r="J532" s="2" t="str">
        <f aca="false">IF(I532&gt;=6,"High",IF(I532&gt;=3,"Medium","Low"))</f>
        <v>Low</v>
      </c>
    </row>
    <row r="533" customFormat="false" ht="15" hidden="false" customHeight="true" outlineLevel="0" collapsed="false">
      <c r="A533" s="2" t="n">
        <f aca="false">'Raw Data'!H533</f>
        <v>532</v>
      </c>
      <c r="B533" s="2" t="n">
        <f aca="false">'Raw Data'!A533</f>
        <v>44</v>
      </c>
      <c r="C533" s="2" t="str">
        <f aca="false">'Raw Data'!D533</f>
        <v>Research &amp; Development</v>
      </c>
      <c r="D533" s="2" t="str">
        <f aca="false">'Raw Data'!K533</f>
        <v>Sales Executive</v>
      </c>
      <c r="E533" s="2" t="n">
        <f aca="false">'Raw Data'!Q533</f>
        <v>24</v>
      </c>
      <c r="F533" s="2" t="n">
        <f aca="false">'Raw Data'!U533</f>
        <v>6</v>
      </c>
      <c r="G533" s="2" t="n">
        <f aca="false">'Raw Data'!W533</f>
        <v>1</v>
      </c>
      <c r="H533" s="2" t="n">
        <f aca="false">'Raw Data'!V533</f>
        <v>2</v>
      </c>
      <c r="I533" s="2" t="n">
        <f aca="false">IF(AND(ISNUMBER(B533),B533&lt;=25),2,0)+IF(AND(ISNUMBER(E533),E533&lt;=5),2,0)+IF(AND(ISNUMBER(F533),F533&lt;=1),2,0)+IF(AND(ISNUMBER(G533),G533&lt;=2),1,0)+IF(AND(ISNUMBER(H533),H533&lt;=2),1,0)</f>
        <v>2</v>
      </c>
      <c r="J533" s="2" t="str">
        <f aca="false">IF(I533&gt;=6,"High",IF(I533&gt;=3,"Medium","Low"))</f>
        <v>Low</v>
      </c>
    </row>
    <row r="534" customFormat="false" ht="15" hidden="false" customHeight="true" outlineLevel="0" collapsed="false">
      <c r="A534" s="2" t="n">
        <f aca="false">'Raw Data'!H534</f>
        <v>533</v>
      </c>
      <c r="B534" s="2" t="n">
        <f aca="false">'Raw Data'!A534</f>
        <v>33</v>
      </c>
      <c r="C534" s="2" t="str">
        <f aca="false">'Raw Data'!D534</f>
        <v>Sales</v>
      </c>
      <c r="D534" s="2" t="str">
        <f aca="false">'Raw Data'!K534</f>
        <v>Sales Executive</v>
      </c>
      <c r="E534" s="2" t="n">
        <f aca="false">'Raw Data'!Q534</f>
        <v>9</v>
      </c>
      <c r="F534" s="2" t="n">
        <f aca="false">'Raw Data'!U534</f>
        <v>2</v>
      </c>
      <c r="G534" s="2" t="n">
        <f aca="false">'Raw Data'!W534</f>
        <v>4</v>
      </c>
      <c r="H534" s="2" t="n">
        <f aca="false">'Raw Data'!V534</f>
        <v>4</v>
      </c>
      <c r="I534" s="2" t="n">
        <f aca="false">IF(AND(ISNUMBER(B534),B534&lt;=25),2,0)+IF(AND(ISNUMBER(E534),E534&lt;=5),2,0)+IF(AND(ISNUMBER(F534),F534&lt;=1),2,0)+IF(AND(ISNUMBER(G534),G534&lt;=2),1,0)+IF(AND(ISNUMBER(H534),H534&lt;=2),1,0)</f>
        <v>0</v>
      </c>
      <c r="J534" s="2" t="str">
        <f aca="false">IF(I534&gt;=6,"High",IF(I534&gt;=3,"Medium","Low"))</f>
        <v>Low</v>
      </c>
    </row>
    <row r="535" customFormat="false" ht="15" hidden="false" customHeight="true" outlineLevel="0" collapsed="false">
      <c r="A535" s="2" t="n">
        <f aca="false">'Raw Data'!H535</f>
        <v>534</v>
      </c>
      <c r="B535" s="2" t="n">
        <f aca="false">'Raw Data'!A535</f>
        <v>35</v>
      </c>
      <c r="C535" s="2" t="str">
        <f aca="false">'Raw Data'!D535</f>
        <v>Sales</v>
      </c>
      <c r="D535" s="2" t="str">
        <f aca="false">'Raw Data'!K535</f>
        <v>Sales Representative</v>
      </c>
      <c r="E535" s="2" t="n">
        <f aca="false">'Raw Data'!Q535</f>
        <v>9</v>
      </c>
      <c r="F535" s="2" t="n">
        <f aca="false">'Raw Data'!U535</f>
        <v>7</v>
      </c>
      <c r="G535" s="2" t="n">
        <f aca="false">'Raw Data'!W535</f>
        <v>1</v>
      </c>
      <c r="H535" s="2" t="n">
        <f aca="false">'Raw Data'!V535</f>
        <v>4</v>
      </c>
      <c r="I535" s="2" t="n">
        <f aca="false">IF(AND(ISNUMBER(B535),B535&lt;=25),2,0)+IF(AND(ISNUMBER(E535),E535&lt;=5),2,0)+IF(AND(ISNUMBER(F535),F535&lt;=1),2,0)+IF(AND(ISNUMBER(G535),G535&lt;=2),1,0)+IF(AND(ISNUMBER(H535),H535&lt;=2),1,0)</f>
        <v>1</v>
      </c>
      <c r="J535" s="2" t="str">
        <f aca="false">IF(I535&gt;=6,"High",IF(I535&gt;=3,"Medium","Low"))</f>
        <v>Low</v>
      </c>
    </row>
    <row r="536" customFormat="false" ht="15" hidden="false" customHeight="true" outlineLevel="0" collapsed="false">
      <c r="A536" s="2" t="n">
        <f aca="false">'Raw Data'!H536</f>
        <v>535</v>
      </c>
      <c r="B536" s="2" t="n">
        <f aca="false">'Raw Data'!A536</f>
        <v>33</v>
      </c>
      <c r="C536" s="2" t="str">
        <f aca="false">'Raw Data'!D536</f>
        <v>Research &amp; Development</v>
      </c>
      <c r="D536" s="2" t="str">
        <f aca="false">'Raw Data'!K536</f>
        <v>Sales Executive</v>
      </c>
      <c r="E536" s="2" t="n">
        <f aca="false">'Raw Data'!Q536</f>
        <v>14</v>
      </c>
      <c r="F536" s="2" t="n">
        <f aca="false">'Raw Data'!U536</f>
        <v>8</v>
      </c>
      <c r="G536" s="2" t="n">
        <f aca="false">'Raw Data'!W536</f>
        <v>3</v>
      </c>
      <c r="H536" s="2" t="n">
        <f aca="false">'Raw Data'!V536</f>
        <v>1</v>
      </c>
      <c r="I536" s="2" t="n">
        <f aca="false">IF(AND(ISNUMBER(B536),B536&lt;=25),2,0)+IF(AND(ISNUMBER(E536),E536&lt;=5),2,0)+IF(AND(ISNUMBER(F536),F536&lt;=1),2,0)+IF(AND(ISNUMBER(G536),G536&lt;=2),1,0)+IF(AND(ISNUMBER(H536),H536&lt;=2),1,0)</f>
        <v>1</v>
      </c>
      <c r="J536" s="2" t="str">
        <f aca="false">IF(I536&gt;=6,"High",IF(I536&gt;=3,"Medium","Low"))</f>
        <v>Low</v>
      </c>
    </row>
    <row r="537" customFormat="false" ht="15" hidden="false" customHeight="true" outlineLevel="0" collapsed="false">
      <c r="A537" s="2" t="n">
        <f aca="false">'Raw Data'!H537</f>
        <v>536</v>
      </c>
      <c r="B537" s="2" t="n">
        <f aca="false">'Raw Data'!A537</f>
        <v>28</v>
      </c>
      <c r="C537" s="2" t="str">
        <f aca="false">'Raw Data'!D537</f>
        <v>Human Resources</v>
      </c>
      <c r="D537" s="2" t="str">
        <f aca="false">'Raw Data'!K537</f>
        <v>Research Scientist</v>
      </c>
      <c r="E537" s="2" t="n">
        <f aca="false">'Raw Data'!Q537</f>
        <v>4</v>
      </c>
      <c r="F537" s="2" t="n">
        <f aca="false">'Raw Data'!U537</f>
        <v>2</v>
      </c>
      <c r="G537" s="2" t="n">
        <f aca="false">'Raw Data'!W537</f>
        <v>3</v>
      </c>
      <c r="H537" s="2" t="n">
        <f aca="false">'Raw Data'!V537</f>
        <v>1</v>
      </c>
      <c r="I537" s="2" t="n">
        <f aca="false">IF(AND(ISNUMBER(B537),B537&lt;=25),2,0)+IF(AND(ISNUMBER(E537),E537&lt;=5),2,0)+IF(AND(ISNUMBER(F537),F537&lt;=1),2,0)+IF(AND(ISNUMBER(G537),G537&lt;=2),1,0)+IF(AND(ISNUMBER(H537),H537&lt;=2),1,0)</f>
        <v>3</v>
      </c>
      <c r="J537" s="2" t="str">
        <f aca="false">IF(I537&gt;=6,"High",IF(I537&gt;=3,"Medium","Low"))</f>
        <v>Medium</v>
      </c>
    </row>
    <row r="538" customFormat="false" ht="15" hidden="false" customHeight="true" outlineLevel="0" collapsed="false">
      <c r="A538" s="2" t="n">
        <f aca="false">'Raw Data'!H538</f>
        <v>537</v>
      </c>
      <c r="B538" s="2" t="n">
        <f aca="false">'Raw Data'!A538</f>
        <v>34</v>
      </c>
      <c r="C538" s="2" t="str">
        <f aca="false">'Raw Data'!D538</f>
        <v>Sales</v>
      </c>
      <c r="D538" s="2" t="str">
        <f aca="false">'Raw Data'!K538</f>
        <v>Research Scientist</v>
      </c>
      <c r="E538" s="2" t="n">
        <f aca="false">'Raw Data'!Q538</f>
        <v>7</v>
      </c>
      <c r="F538" s="2" t="n">
        <f aca="false">'Raw Data'!U538</f>
        <v>4</v>
      </c>
      <c r="G538" s="2" t="n">
        <f aca="false">'Raw Data'!W538</f>
        <v>4</v>
      </c>
      <c r="H538" s="2" t="n">
        <f aca="false">'Raw Data'!V538</f>
        <v>1</v>
      </c>
      <c r="I538" s="2" t="n">
        <f aca="false">IF(AND(ISNUMBER(B538),B538&lt;=25),2,0)+IF(AND(ISNUMBER(E538),E538&lt;=5),2,0)+IF(AND(ISNUMBER(F538),F538&lt;=1),2,0)+IF(AND(ISNUMBER(G538),G538&lt;=2),1,0)+IF(AND(ISNUMBER(H538),H538&lt;=2),1,0)</f>
        <v>1</v>
      </c>
      <c r="J538" s="2" t="str">
        <f aca="false">IF(I538&gt;=6,"High",IF(I538&gt;=3,"Medium","Low"))</f>
        <v>Low</v>
      </c>
    </row>
    <row r="539" customFormat="false" ht="15" hidden="false" customHeight="true" outlineLevel="0" collapsed="false">
      <c r="A539" s="2" t="n">
        <f aca="false">'Raw Data'!H539</f>
        <v>538</v>
      </c>
      <c r="B539" s="2" t="n">
        <f aca="false">'Raw Data'!A539</f>
        <v>37</v>
      </c>
      <c r="C539" s="2" t="str">
        <f aca="false">'Raw Data'!D539</f>
        <v>Research &amp; Development</v>
      </c>
      <c r="D539" s="2" t="str">
        <f aca="false">'Raw Data'!K539</f>
        <v>Sales Executive</v>
      </c>
      <c r="E539" s="2" t="n">
        <f aca="false">'Raw Data'!Q539</f>
        <v>8</v>
      </c>
      <c r="F539" s="2" t="n">
        <f aca="false">'Raw Data'!U539</f>
        <v>0</v>
      </c>
      <c r="G539" s="2" t="n">
        <f aca="false">'Raw Data'!W539</f>
        <v>4</v>
      </c>
      <c r="H539" s="2" t="n">
        <f aca="false">'Raw Data'!V539</f>
        <v>4</v>
      </c>
      <c r="I539" s="2" t="n">
        <f aca="false">IF(AND(ISNUMBER(B539),B539&lt;=25),2,0)+IF(AND(ISNUMBER(E539),E539&lt;=5),2,0)+IF(AND(ISNUMBER(F539),F539&lt;=1),2,0)+IF(AND(ISNUMBER(G539),G539&lt;=2),1,0)+IF(AND(ISNUMBER(H539),H539&lt;=2),1,0)</f>
        <v>2</v>
      </c>
      <c r="J539" s="2" t="str">
        <f aca="false">IF(I539&gt;=6,"High",IF(I539&gt;=3,"Medium","Low"))</f>
        <v>Low</v>
      </c>
    </row>
    <row r="540" customFormat="false" ht="15" hidden="false" customHeight="true" outlineLevel="0" collapsed="false">
      <c r="A540" s="2" t="n">
        <f aca="false">'Raw Data'!H540</f>
        <v>539</v>
      </c>
      <c r="B540" s="2" t="n">
        <f aca="false">'Raw Data'!A540</f>
        <v>25</v>
      </c>
      <c r="C540" s="2" t="str">
        <f aca="false">'Raw Data'!D540</f>
        <v>Human Resources</v>
      </c>
      <c r="D540" s="2" t="str">
        <f aca="false">'Raw Data'!K540</f>
        <v>Research Scientist</v>
      </c>
      <c r="E540" s="2" t="n">
        <f aca="false">'Raw Data'!Q540</f>
        <v>7</v>
      </c>
      <c r="F540" s="2" t="n">
        <f aca="false">'Raw Data'!U540</f>
        <v>6</v>
      </c>
      <c r="G540" s="2" t="n">
        <f aca="false">'Raw Data'!W540</f>
        <v>4</v>
      </c>
      <c r="H540" s="2" t="n">
        <f aca="false">'Raw Data'!V540</f>
        <v>4</v>
      </c>
      <c r="I540" s="2" t="n">
        <f aca="false">IF(AND(ISNUMBER(B540),B540&lt;=25),2,0)+IF(AND(ISNUMBER(E540),E540&lt;=5),2,0)+IF(AND(ISNUMBER(F540),F540&lt;=1),2,0)+IF(AND(ISNUMBER(G540),G540&lt;=2),1,0)+IF(AND(ISNUMBER(H540),H540&lt;=2),1,0)</f>
        <v>2</v>
      </c>
      <c r="J540" s="2" t="str">
        <f aca="false">IF(I540&gt;=6,"High",IF(I540&gt;=3,"Medium","Low"))</f>
        <v>Low</v>
      </c>
    </row>
    <row r="541" customFormat="false" ht="15" hidden="false" customHeight="true" outlineLevel="0" collapsed="false">
      <c r="A541" s="2" t="n">
        <f aca="false">'Raw Data'!H541</f>
        <v>540</v>
      </c>
      <c r="B541" s="2" t="n">
        <f aca="false">'Raw Data'!A541</f>
        <v>26</v>
      </c>
      <c r="C541" s="2" t="str">
        <f aca="false">'Raw Data'!D541</f>
        <v>Sales</v>
      </c>
      <c r="D541" s="2" t="str">
        <f aca="false">'Raw Data'!K541</f>
        <v>Sales Executive</v>
      </c>
      <c r="E541" s="2" t="n">
        <f aca="false">'Raw Data'!Q541</f>
        <v>1</v>
      </c>
      <c r="F541" s="2" t="n">
        <f aca="false">'Raw Data'!U541</f>
        <v>0</v>
      </c>
      <c r="G541" s="2" t="n">
        <f aca="false">'Raw Data'!W541</f>
        <v>3</v>
      </c>
      <c r="H541" s="2" t="n">
        <f aca="false">'Raw Data'!V541</f>
        <v>1</v>
      </c>
      <c r="I541" s="2" t="n">
        <f aca="false">IF(AND(ISNUMBER(B541),B541&lt;=25),2,0)+IF(AND(ISNUMBER(E541),E541&lt;=5),2,0)+IF(AND(ISNUMBER(F541),F541&lt;=1),2,0)+IF(AND(ISNUMBER(G541),G541&lt;=2),1,0)+IF(AND(ISNUMBER(H541),H541&lt;=2),1,0)</f>
        <v>5</v>
      </c>
      <c r="J541" s="2" t="str">
        <f aca="false">IF(I541&gt;=6,"High",IF(I541&gt;=3,"Medium","Low"))</f>
        <v>Medium</v>
      </c>
    </row>
    <row r="542" customFormat="false" ht="15" hidden="false" customHeight="true" outlineLevel="0" collapsed="false">
      <c r="A542" s="2" t="n">
        <f aca="false">'Raw Data'!H542</f>
        <v>541</v>
      </c>
      <c r="B542" s="2" t="n">
        <f aca="false">'Raw Data'!A542</f>
        <v>33</v>
      </c>
      <c r="C542" s="2" t="str">
        <f aca="false">'Raw Data'!D542</f>
        <v>Research &amp; Development</v>
      </c>
      <c r="D542" s="2" t="str">
        <f aca="false">'Raw Data'!K542</f>
        <v>Manufacturing Director</v>
      </c>
      <c r="E542" s="2" t="n">
        <f aca="false">'Raw Data'!Q542</f>
        <v>5</v>
      </c>
      <c r="F542" s="2" t="n">
        <f aca="false">'Raw Data'!U542</f>
        <v>2</v>
      </c>
      <c r="G542" s="2" t="n">
        <f aca="false">'Raw Data'!W542</f>
        <v>2</v>
      </c>
      <c r="H542" s="2" t="n">
        <f aca="false">'Raw Data'!V542</f>
        <v>1</v>
      </c>
      <c r="I542" s="2" t="n">
        <f aca="false">IF(AND(ISNUMBER(B542),B542&lt;=25),2,0)+IF(AND(ISNUMBER(E542),E542&lt;=5),2,0)+IF(AND(ISNUMBER(F542),F542&lt;=1),2,0)+IF(AND(ISNUMBER(G542),G542&lt;=2),1,0)+IF(AND(ISNUMBER(H542),H542&lt;=2),1,0)</f>
        <v>4</v>
      </c>
      <c r="J542" s="2" t="str">
        <f aca="false">IF(I542&gt;=6,"High",IF(I542&gt;=3,"Medium","Low"))</f>
        <v>Medium</v>
      </c>
    </row>
    <row r="543" customFormat="false" ht="15" hidden="false" customHeight="true" outlineLevel="0" collapsed="false">
      <c r="A543" s="2" t="n">
        <f aca="false">'Raw Data'!H543</f>
        <v>542</v>
      </c>
      <c r="B543" s="2" t="n">
        <f aca="false">'Raw Data'!A543</f>
        <v>42</v>
      </c>
      <c r="C543" s="2" t="str">
        <f aca="false">'Raw Data'!D543</f>
        <v>Research &amp; Development</v>
      </c>
      <c r="D543" s="2" t="str">
        <f aca="false">'Raw Data'!K543</f>
        <v>Research Scientist</v>
      </c>
      <c r="E543" s="2" t="n">
        <f aca="false">'Raw Data'!Q543</f>
        <v>23</v>
      </c>
      <c r="F543" s="2" t="n">
        <f aca="false">'Raw Data'!U543</f>
        <v>7</v>
      </c>
      <c r="G543" s="2" t="n">
        <f aca="false">'Raw Data'!W543</f>
        <v>1</v>
      </c>
      <c r="H543" s="2" t="n">
        <f aca="false">'Raw Data'!V543</f>
        <v>4</v>
      </c>
      <c r="I543" s="2" t="n">
        <f aca="false">IF(AND(ISNUMBER(B543),B543&lt;=25),2,0)+IF(AND(ISNUMBER(E543),E543&lt;=5),2,0)+IF(AND(ISNUMBER(F543),F543&lt;=1),2,0)+IF(AND(ISNUMBER(G543),G543&lt;=2),1,0)+IF(AND(ISNUMBER(H543),H543&lt;=2),1,0)</f>
        <v>1</v>
      </c>
      <c r="J543" s="2" t="str">
        <f aca="false">IF(I543&gt;=6,"High",IF(I543&gt;=3,"Medium","Low"))</f>
        <v>Low</v>
      </c>
    </row>
    <row r="544" customFormat="false" ht="15" hidden="false" customHeight="true" outlineLevel="0" collapsed="false">
      <c r="A544" s="2" t="n">
        <f aca="false">'Raw Data'!H544</f>
        <v>543</v>
      </c>
      <c r="B544" s="2" t="n">
        <f aca="false">'Raw Data'!A544</f>
        <v>28</v>
      </c>
      <c r="C544" s="2" t="str">
        <f aca="false">'Raw Data'!D544</f>
        <v>Research &amp; Development</v>
      </c>
      <c r="D544" s="2" t="str">
        <f aca="false">'Raw Data'!K544</f>
        <v>Manager</v>
      </c>
      <c r="E544" s="2" t="n">
        <f aca="false">'Raw Data'!Q544</f>
        <v>1</v>
      </c>
      <c r="F544" s="2" t="n">
        <f aca="false">'Raw Data'!U544</f>
        <v>0</v>
      </c>
      <c r="G544" s="2" t="n">
        <f aca="false">'Raw Data'!W544</f>
        <v>2</v>
      </c>
      <c r="H544" s="2" t="n">
        <f aca="false">'Raw Data'!V544</f>
        <v>1</v>
      </c>
      <c r="I544" s="2" t="n">
        <f aca="false">IF(AND(ISNUMBER(B544),B544&lt;=25),2,0)+IF(AND(ISNUMBER(E544),E544&lt;=5),2,0)+IF(AND(ISNUMBER(F544),F544&lt;=1),2,0)+IF(AND(ISNUMBER(G544),G544&lt;=2),1,0)+IF(AND(ISNUMBER(H544),H544&lt;=2),1,0)</f>
        <v>6</v>
      </c>
      <c r="J544" s="2" t="str">
        <f aca="false">IF(I544&gt;=6,"High",IF(I544&gt;=3,"Medium","Low"))</f>
        <v>High</v>
      </c>
    </row>
    <row r="545" customFormat="false" ht="15" hidden="false" customHeight="true" outlineLevel="0" collapsed="false">
      <c r="A545" s="2" t="n">
        <f aca="false">'Raw Data'!H545</f>
        <v>544</v>
      </c>
      <c r="B545" s="2" t="n">
        <f aca="false">'Raw Data'!A545</f>
        <v>50</v>
      </c>
      <c r="C545" s="2" t="str">
        <f aca="false">'Raw Data'!D545</f>
        <v>Research &amp; Development</v>
      </c>
      <c r="D545" s="2" t="str">
        <f aca="false">'Raw Data'!K545</f>
        <v>Research Scientist</v>
      </c>
      <c r="E545" s="2" t="n">
        <f aca="false">'Raw Data'!Q545</f>
        <v>5</v>
      </c>
      <c r="F545" s="2" t="n">
        <f aca="false">'Raw Data'!U545</f>
        <v>0</v>
      </c>
      <c r="G545" s="2" t="n">
        <f aca="false">'Raw Data'!W545</f>
        <v>3</v>
      </c>
      <c r="H545" s="2" t="n">
        <f aca="false">'Raw Data'!V545</f>
        <v>4</v>
      </c>
      <c r="I545" s="2" t="n">
        <f aca="false">IF(AND(ISNUMBER(B545),B545&lt;=25),2,0)+IF(AND(ISNUMBER(E545),E545&lt;=5),2,0)+IF(AND(ISNUMBER(F545),F545&lt;=1),2,0)+IF(AND(ISNUMBER(G545),G545&lt;=2),1,0)+IF(AND(ISNUMBER(H545),H545&lt;=2),1,0)</f>
        <v>4</v>
      </c>
      <c r="J545" s="2" t="str">
        <f aca="false">IF(I545&gt;=6,"High",IF(I545&gt;=3,"Medium","Low"))</f>
        <v>Medium</v>
      </c>
    </row>
    <row r="546" customFormat="false" ht="15" hidden="false" customHeight="true" outlineLevel="0" collapsed="false">
      <c r="A546" s="2" t="n">
        <f aca="false">'Raw Data'!H546</f>
        <v>545</v>
      </c>
      <c r="B546" s="2" t="n">
        <f aca="false">'Raw Data'!A546</f>
        <v>33</v>
      </c>
      <c r="C546" s="2" t="str">
        <f aca="false">'Raw Data'!D546</f>
        <v>Sales</v>
      </c>
      <c r="D546" s="2" t="str">
        <f aca="false">'Raw Data'!K546</f>
        <v>Research Scientist</v>
      </c>
      <c r="E546" s="2" t="n">
        <f aca="false">'Raw Data'!Q546</f>
        <v>4</v>
      </c>
      <c r="F546" s="2" t="n">
        <f aca="false">'Raw Data'!U546</f>
        <v>2</v>
      </c>
      <c r="G546" s="2" t="n">
        <f aca="false">'Raw Data'!W546</f>
        <v>2</v>
      </c>
      <c r="H546" s="2" t="n">
        <f aca="false">'Raw Data'!V546</f>
        <v>4</v>
      </c>
      <c r="I546" s="2" t="n">
        <f aca="false">IF(AND(ISNUMBER(B546),B546&lt;=25),2,0)+IF(AND(ISNUMBER(E546),E546&lt;=5),2,0)+IF(AND(ISNUMBER(F546),F546&lt;=1),2,0)+IF(AND(ISNUMBER(G546),G546&lt;=2),1,0)+IF(AND(ISNUMBER(H546),H546&lt;=2),1,0)</f>
        <v>3</v>
      </c>
      <c r="J546" s="2" t="str">
        <f aca="false">IF(I546&gt;=6,"High",IF(I546&gt;=3,"Medium","Low"))</f>
        <v>Medium</v>
      </c>
    </row>
    <row r="547" customFormat="false" ht="15" hidden="false" customHeight="true" outlineLevel="0" collapsed="false">
      <c r="A547" s="2" t="n">
        <f aca="false">'Raw Data'!H547</f>
        <v>546</v>
      </c>
      <c r="B547" s="2" t="n">
        <f aca="false">'Raw Data'!A547</f>
        <v>34</v>
      </c>
      <c r="C547" s="2" t="str">
        <f aca="false">'Raw Data'!D547</f>
        <v>Sales</v>
      </c>
      <c r="D547" s="2" t="str">
        <f aca="false">'Raw Data'!K547</f>
        <v>Research Director</v>
      </c>
      <c r="E547" s="2" t="n">
        <f aca="false">'Raw Data'!Q547</f>
        <v>6</v>
      </c>
      <c r="F547" s="2" t="n">
        <f aca="false">'Raw Data'!U547</f>
        <v>0</v>
      </c>
      <c r="G547" s="2" t="n">
        <f aca="false">'Raw Data'!W547</f>
        <v>4</v>
      </c>
      <c r="H547" s="2" t="n">
        <f aca="false">'Raw Data'!V547</f>
        <v>3</v>
      </c>
      <c r="I547" s="2" t="n">
        <f aca="false">IF(AND(ISNUMBER(B547),B547&lt;=25),2,0)+IF(AND(ISNUMBER(E547),E547&lt;=5),2,0)+IF(AND(ISNUMBER(F547),F547&lt;=1),2,0)+IF(AND(ISNUMBER(G547),G547&lt;=2),1,0)+IF(AND(ISNUMBER(H547),H547&lt;=2),1,0)</f>
        <v>2</v>
      </c>
      <c r="J547" s="2" t="str">
        <f aca="false">IF(I547&gt;=6,"High",IF(I547&gt;=3,"Medium","Low"))</f>
        <v>Low</v>
      </c>
    </row>
    <row r="548" customFormat="false" ht="15" hidden="false" customHeight="true" outlineLevel="0" collapsed="false">
      <c r="A548" s="2" t="n">
        <f aca="false">'Raw Data'!H548</f>
        <v>547</v>
      </c>
      <c r="B548" s="2" t="n">
        <f aca="false">'Raw Data'!A548</f>
        <v>48</v>
      </c>
      <c r="C548" s="2" t="str">
        <f aca="false">'Raw Data'!D548</f>
        <v>Sales</v>
      </c>
      <c r="D548" s="2" t="str">
        <f aca="false">'Raw Data'!K548</f>
        <v>Sales Executive</v>
      </c>
      <c r="E548" s="2" t="n">
        <f aca="false">'Raw Data'!Q548</f>
        <v>27</v>
      </c>
      <c r="F548" s="2" t="n">
        <f aca="false">'Raw Data'!U548</f>
        <v>1</v>
      </c>
      <c r="G548" s="2" t="n">
        <f aca="false">'Raw Data'!W548</f>
        <v>4</v>
      </c>
      <c r="H548" s="2" t="n">
        <f aca="false">'Raw Data'!V548</f>
        <v>1</v>
      </c>
      <c r="I548" s="2" t="n">
        <f aca="false">IF(AND(ISNUMBER(B548),B548&lt;=25),2,0)+IF(AND(ISNUMBER(E548),E548&lt;=5),2,0)+IF(AND(ISNUMBER(F548),F548&lt;=1),2,0)+IF(AND(ISNUMBER(G548),G548&lt;=2),1,0)+IF(AND(ISNUMBER(H548),H548&lt;=2),1,0)</f>
        <v>3</v>
      </c>
      <c r="J548" s="2" t="str">
        <f aca="false">IF(I548&gt;=6,"High",IF(I548&gt;=3,"Medium","Low"))</f>
        <v>Medium</v>
      </c>
    </row>
    <row r="549" customFormat="false" ht="15" hidden="false" customHeight="true" outlineLevel="0" collapsed="false">
      <c r="A549" s="2" t="n">
        <f aca="false">'Raw Data'!H549</f>
        <v>548</v>
      </c>
      <c r="B549" s="2" t="n">
        <f aca="false">'Raw Data'!A549</f>
        <v>45</v>
      </c>
      <c r="C549" s="2" t="str">
        <f aca="false">'Raw Data'!D549</f>
        <v>Research &amp; Development</v>
      </c>
      <c r="D549" s="2" t="str">
        <f aca="false">'Raw Data'!K549</f>
        <v>Human Resources</v>
      </c>
      <c r="E549" s="2" t="n">
        <f aca="false">'Raw Data'!Q549</f>
        <v>15</v>
      </c>
      <c r="F549" s="2" t="n">
        <f aca="false">'Raw Data'!U549</f>
        <v>12</v>
      </c>
      <c r="G549" s="2" t="n">
        <f aca="false">'Raw Data'!W549</f>
        <v>3</v>
      </c>
      <c r="H549" s="2" t="n">
        <f aca="false">'Raw Data'!V549</f>
        <v>2</v>
      </c>
      <c r="I549" s="2" t="n">
        <f aca="false">IF(AND(ISNUMBER(B549),B549&lt;=25),2,0)+IF(AND(ISNUMBER(E549),E549&lt;=5),2,0)+IF(AND(ISNUMBER(F549),F549&lt;=1),2,0)+IF(AND(ISNUMBER(G549),G549&lt;=2),1,0)+IF(AND(ISNUMBER(H549),H549&lt;=2),1,0)</f>
        <v>1</v>
      </c>
      <c r="J549" s="2" t="str">
        <f aca="false">IF(I549&gt;=6,"High",IF(I549&gt;=3,"Medium","Low"))</f>
        <v>Low</v>
      </c>
    </row>
    <row r="550" customFormat="false" ht="15" hidden="false" customHeight="true" outlineLevel="0" collapsed="false">
      <c r="A550" s="2" t="n">
        <f aca="false">'Raw Data'!H550</f>
        <v>549</v>
      </c>
      <c r="B550" s="2" t="n">
        <f aca="false">'Raw Data'!A550</f>
        <v>52</v>
      </c>
      <c r="C550" s="2" t="str">
        <f aca="false">'Raw Data'!D550</f>
        <v>Sales</v>
      </c>
      <c r="D550" s="2" t="str">
        <f aca="false">'Raw Data'!K550</f>
        <v>Sales Executive</v>
      </c>
      <c r="E550" s="2" t="n">
        <f aca="false">'Raw Data'!Q550</f>
        <v>18</v>
      </c>
      <c r="F550" s="2" t="n">
        <f aca="false">'Raw Data'!U550</f>
        <v>0</v>
      </c>
      <c r="G550" s="2" t="n">
        <f aca="false">'Raw Data'!W550</f>
        <v>2</v>
      </c>
      <c r="H550" s="2" t="n">
        <f aca="false">'Raw Data'!V550</f>
        <v>2</v>
      </c>
      <c r="I550" s="2" t="n">
        <f aca="false">IF(AND(ISNUMBER(B550),B550&lt;=25),2,0)+IF(AND(ISNUMBER(E550),E550&lt;=5),2,0)+IF(AND(ISNUMBER(F550),F550&lt;=1),2,0)+IF(AND(ISNUMBER(G550),G550&lt;=2),1,0)+IF(AND(ISNUMBER(H550),H550&lt;=2),1,0)</f>
        <v>4</v>
      </c>
      <c r="J550" s="2" t="str">
        <f aca="false">IF(I550&gt;=6,"High",IF(I550&gt;=3,"Medium","Low"))</f>
        <v>Medium</v>
      </c>
    </row>
    <row r="551" customFormat="false" ht="15" hidden="false" customHeight="true" outlineLevel="0" collapsed="false">
      <c r="A551" s="2" t="n">
        <f aca="false">'Raw Data'!H551</f>
        <v>550</v>
      </c>
      <c r="B551" s="2" t="n">
        <f aca="false">'Raw Data'!A551</f>
        <v>38</v>
      </c>
      <c r="C551" s="2" t="str">
        <f aca="false">'Raw Data'!D551</f>
        <v>Research &amp; Development</v>
      </c>
      <c r="D551" s="2" t="str">
        <f aca="false">'Raw Data'!K551</f>
        <v>Research Scientist</v>
      </c>
      <c r="E551" s="2" t="n">
        <f aca="false">'Raw Data'!Q551</f>
        <v>9</v>
      </c>
      <c r="F551" s="2" t="n">
        <f aca="false">'Raw Data'!U551</f>
        <v>7</v>
      </c>
      <c r="G551" s="2" t="n">
        <f aca="false">'Raw Data'!W551</f>
        <v>3</v>
      </c>
      <c r="H551" s="2" t="n">
        <f aca="false">'Raw Data'!V551</f>
        <v>3</v>
      </c>
      <c r="I551" s="2" t="n">
        <f aca="false">IF(AND(ISNUMBER(B551),B551&lt;=25),2,0)+IF(AND(ISNUMBER(E551),E551&lt;=5),2,0)+IF(AND(ISNUMBER(F551),F551&lt;=1),2,0)+IF(AND(ISNUMBER(G551),G551&lt;=2),1,0)+IF(AND(ISNUMBER(H551),H551&lt;=2),1,0)</f>
        <v>0</v>
      </c>
      <c r="J551" s="2" t="str">
        <f aca="false">IF(I551&gt;=6,"High",IF(I551&gt;=3,"Medium","Low"))</f>
        <v>Low</v>
      </c>
    </row>
    <row r="552" customFormat="false" ht="15" hidden="false" customHeight="true" outlineLevel="0" collapsed="false">
      <c r="A552" s="2" t="n">
        <f aca="false">'Raw Data'!H552</f>
        <v>551</v>
      </c>
      <c r="B552" s="2" t="n">
        <f aca="false">'Raw Data'!A552</f>
        <v>29</v>
      </c>
      <c r="C552" s="2" t="str">
        <f aca="false">'Raw Data'!D552</f>
        <v>Research &amp; Development</v>
      </c>
      <c r="D552" s="2" t="str">
        <f aca="false">'Raw Data'!K552</f>
        <v>Research Scientist</v>
      </c>
      <c r="E552" s="2" t="n">
        <f aca="false">'Raw Data'!Q552</f>
        <v>11</v>
      </c>
      <c r="F552" s="2" t="n">
        <f aca="false">'Raw Data'!U552</f>
        <v>7</v>
      </c>
      <c r="G552" s="2" t="n">
        <f aca="false">'Raw Data'!W552</f>
        <v>4</v>
      </c>
      <c r="H552" s="2" t="n">
        <f aca="false">'Raw Data'!V552</f>
        <v>3</v>
      </c>
      <c r="I552" s="2" t="n">
        <f aca="false">IF(AND(ISNUMBER(B552),B552&lt;=25),2,0)+IF(AND(ISNUMBER(E552),E552&lt;=5),2,0)+IF(AND(ISNUMBER(F552),F552&lt;=1),2,0)+IF(AND(ISNUMBER(G552),G552&lt;=2),1,0)+IF(AND(ISNUMBER(H552),H552&lt;=2),1,0)</f>
        <v>0</v>
      </c>
      <c r="J552" s="2" t="str">
        <f aca="false">IF(I552&gt;=6,"High",IF(I552&gt;=3,"Medium","Low"))</f>
        <v>Low</v>
      </c>
    </row>
    <row r="553" customFormat="false" ht="15" hidden="false" customHeight="true" outlineLevel="0" collapsed="false">
      <c r="A553" s="2" t="n">
        <f aca="false">'Raw Data'!H553</f>
        <v>552</v>
      </c>
      <c r="B553" s="2" t="n">
        <f aca="false">'Raw Data'!A553</f>
        <v>28</v>
      </c>
      <c r="C553" s="2" t="str">
        <f aca="false">'Raw Data'!D553</f>
        <v>Human Resources</v>
      </c>
      <c r="D553" s="2" t="str">
        <f aca="false">'Raw Data'!K553</f>
        <v>Laboratory Technician</v>
      </c>
      <c r="E553" s="2" t="n">
        <f aca="false">'Raw Data'!Q553</f>
        <v>10</v>
      </c>
      <c r="F553" s="2" t="n">
        <f aca="false">'Raw Data'!U553</f>
        <v>7</v>
      </c>
      <c r="G553" s="2" t="n">
        <f aca="false">'Raw Data'!W553</f>
        <v>2</v>
      </c>
      <c r="H553" s="2" t="n">
        <f aca="false">'Raw Data'!V553</f>
        <v>4</v>
      </c>
      <c r="I553" s="2" t="n">
        <f aca="false">IF(AND(ISNUMBER(B553),B553&lt;=25),2,0)+IF(AND(ISNUMBER(E553),E553&lt;=5),2,0)+IF(AND(ISNUMBER(F553),F553&lt;=1),2,0)+IF(AND(ISNUMBER(G553),G553&lt;=2),1,0)+IF(AND(ISNUMBER(H553),H553&lt;=2),1,0)</f>
        <v>1</v>
      </c>
      <c r="J553" s="2" t="str">
        <f aca="false">IF(I553&gt;=6,"High",IF(I553&gt;=3,"Medium","Low"))</f>
        <v>Low</v>
      </c>
    </row>
    <row r="554" customFormat="false" ht="15" hidden="false" customHeight="true" outlineLevel="0" collapsed="false">
      <c r="A554" s="2" t="n">
        <f aca="false">'Raw Data'!H554</f>
        <v>553</v>
      </c>
      <c r="B554" s="2" t="n">
        <f aca="false">'Raw Data'!A554</f>
        <v>46</v>
      </c>
      <c r="C554" s="2" t="str">
        <f aca="false">'Raw Data'!D554</f>
        <v>Research &amp; Development</v>
      </c>
      <c r="D554" s="2" t="str">
        <f aca="false">'Raw Data'!K554</f>
        <v>Sales Executive</v>
      </c>
      <c r="E554" s="2" t="n">
        <f aca="false">'Raw Data'!Q554</f>
        <v>23</v>
      </c>
      <c r="F554" s="2" t="n">
        <f aca="false">'Raw Data'!U554</f>
        <v>9</v>
      </c>
      <c r="G554" s="2" t="n">
        <f aca="false">'Raw Data'!W554</f>
        <v>3</v>
      </c>
      <c r="H554" s="2" t="n">
        <f aca="false">'Raw Data'!V554</f>
        <v>1</v>
      </c>
      <c r="I554" s="2" t="n">
        <f aca="false">IF(AND(ISNUMBER(B554),B554&lt;=25),2,0)+IF(AND(ISNUMBER(E554),E554&lt;=5),2,0)+IF(AND(ISNUMBER(F554),F554&lt;=1),2,0)+IF(AND(ISNUMBER(G554),G554&lt;=2),1,0)+IF(AND(ISNUMBER(H554),H554&lt;=2),1,0)</f>
        <v>1</v>
      </c>
      <c r="J554" s="2" t="str">
        <f aca="false">IF(I554&gt;=6,"High",IF(I554&gt;=3,"Medium","Low"))</f>
        <v>Low</v>
      </c>
    </row>
    <row r="555" customFormat="false" ht="15" hidden="false" customHeight="true" outlineLevel="0" collapsed="false">
      <c r="A555" s="2" t="n">
        <f aca="false">'Raw Data'!H555</f>
        <v>554</v>
      </c>
      <c r="B555" s="2" t="n">
        <f aca="false">'Raw Data'!A555</f>
        <v>38</v>
      </c>
      <c r="C555" s="2" t="str">
        <f aca="false">'Raw Data'!D555</f>
        <v>Research &amp; Development</v>
      </c>
      <c r="D555" s="2" t="str">
        <f aca="false">'Raw Data'!K555</f>
        <v>Sales Executive</v>
      </c>
      <c r="E555" s="2" t="n">
        <f aca="false">'Raw Data'!Q555</f>
        <v>10</v>
      </c>
      <c r="F555" s="2" t="n">
        <f aca="false">'Raw Data'!U555</f>
        <v>0</v>
      </c>
      <c r="G555" s="2" t="n">
        <f aca="false">'Raw Data'!W555</f>
        <v>2</v>
      </c>
      <c r="H555" s="2" t="n">
        <f aca="false">'Raw Data'!V555</f>
        <v>4</v>
      </c>
      <c r="I555" s="2" t="n">
        <f aca="false">IF(AND(ISNUMBER(B555),B555&lt;=25),2,0)+IF(AND(ISNUMBER(E555),E555&lt;=5),2,0)+IF(AND(ISNUMBER(F555),F555&lt;=1),2,0)+IF(AND(ISNUMBER(G555),G555&lt;=2),1,0)+IF(AND(ISNUMBER(H555),H555&lt;=2),1,0)</f>
        <v>3</v>
      </c>
      <c r="J555" s="2" t="str">
        <f aca="false">IF(I555&gt;=6,"High",IF(I555&gt;=3,"Medium","Low"))</f>
        <v>Medium</v>
      </c>
    </row>
    <row r="556" customFormat="false" ht="15" hidden="false" customHeight="true" outlineLevel="0" collapsed="false">
      <c r="A556" s="2" t="n">
        <f aca="false">'Raw Data'!H556</f>
        <v>555</v>
      </c>
      <c r="B556" s="2" t="n">
        <f aca="false">'Raw Data'!A556</f>
        <v>43</v>
      </c>
      <c r="C556" s="2" t="str">
        <f aca="false">'Raw Data'!D556</f>
        <v>Research &amp; Development</v>
      </c>
      <c r="D556" s="2" t="str">
        <f aca="false">'Raw Data'!K556</f>
        <v>Laboratory Technician</v>
      </c>
      <c r="E556" s="2" t="n">
        <f aca="false">'Raw Data'!Q556</f>
        <v>18</v>
      </c>
      <c r="F556" s="2" t="n">
        <f aca="false">'Raw Data'!U556</f>
        <v>1</v>
      </c>
      <c r="G556" s="2" t="n">
        <f aca="false">'Raw Data'!W556</f>
        <v>1</v>
      </c>
      <c r="H556" s="2" t="n">
        <f aca="false">'Raw Data'!V556</f>
        <v>3</v>
      </c>
      <c r="I556" s="2" t="n">
        <f aca="false">IF(AND(ISNUMBER(B556),B556&lt;=25),2,0)+IF(AND(ISNUMBER(E556),E556&lt;=5),2,0)+IF(AND(ISNUMBER(F556),F556&lt;=1),2,0)+IF(AND(ISNUMBER(G556),G556&lt;=2),1,0)+IF(AND(ISNUMBER(H556),H556&lt;=2),1,0)</f>
        <v>3</v>
      </c>
      <c r="J556" s="2" t="str">
        <f aca="false">IF(I556&gt;=6,"High",IF(I556&gt;=3,"Medium","Low"))</f>
        <v>Medium</v>
      </c>
    </row>
    <row r="557" customFormat="false" ht="15" hidden="false" customHeight="true" outlineLevel="0" collapsed="false">
      <c r="A557" s="2" t="n">
        <f aca="false">'Raw Data'!H557</f>
        <v>556</v>
      </c>
      <c r="B557" s="2" t="n">
        <f aca="false">'Raw Data'!A557</f>
        <v>39</v>
      </c>
      <c r="C557" s="2" t="str">
        <f aca="false">'Raw Data'!D557</f>
        <v>Sales</v>
      </c>
      <c r="D557" s="2" t="str">
        <f aca="false">'Raw Data'!K557</f>
        <v>Healthcare Representative</v>
      </c>
      <c r="E557" s="2" t="n">
        <f aca="false">'Raw Data'!Q557</f>
        <v>21</v>
      </c>
      <c r="F557" s="2" t="n">
        <f aca="false">'Raw Data'!U557</f>
        <v>5</v>
      </c>
      <c r="G557" s="2" t="n">
        <f aca="false">'Raw Data'!W557</f>
        <v>4</v>
      </c>
      <c r="H557" s="2" t="n">
        <f aca="false">'Raw Data'!V557</f>
        <v>1</v>
      </c>
      <c r="I557" s="2" t="n">
        <f aca="false">IF(AND(ISNUMBER(B557),B557&lt;=25),2,0)+IF(AND(ISNUMBER(E557),E557&lt;=5),2,0)+IF(AND(ISNUMBER(F557),F557&lt;=1),2,0)+IF(AND(ISNUMBER(G557),G557&lt;=2),1,0)+IF(AND(ISNUMBER(H557),H557&lt;=2),1,0)</f>
        <v>1</v>
      </c>
      <c r="J557" s="2" t="str">
        <f aca="false">IF(I557&gt;=6,"High",IF(I557&gt;=3,"Medium","Low"))</f>
        <v>Low</v>
      </c>
    </row>
    <row r="558" customFormat="false" ht="15" hidden="false" customHeight="true" outlineLevel="0" collapsed="false">
      <c r="A558" s="2" t="n">
        <f aca="false">'Raw Data'!H558</f>
        <v>557</v>
      </c>
      <c r="B558" s="2" t="n">
        <f aca="false">'Raw Data'!A558</f>
        <v>40</v>
      </c>
      <c r="C558" s="2" t="str">
        <f aca="false">'Raw Data'!D558</f>
        <v>Research &amp; Development</v>
      </c>
      <c r="D558" s="2" t="str">
        <f aca="false">'Raw Data'!K558</f>
        <v>Healthcare Representative</v>
      </c>
      <c r="E558" s="2" t="n">
        <f aca="false">'Raw Data'!Q558</f>
        <v>21</v>
      </c>
      <c r="F558" s="2" t="n">
        <f aca="false">'Raw Data'!U558</f>
        <v>9</v>
      </c>
      <c r="G558" s="2" t="n">
        <f aca="false">'Raw Data'!W558</f>
        <v>3</v>
      </c>
      <c r="H558" s="2" t="n">
        <f aca="false">'Raw Data'!V558</f>
        <v>3</v>
      </c>
      <c r="I558" s="2" t="n">
        <f aca="false">IF(AND(ISNUMBER(B558),B558&lt;=25),2,0)+IF(AND(ISNUMBER(E558),E558&lt;=5),2,0)+IF(AND(ISNUMBER(F558),F558&lt;=1),2,0)+IF(AND(ISNUMBER(G558),G558&lt;=2),1,0)+IF(AND(ISNUMBER(H558),H558&lt;=2),1,0)</f>
        <v>0</v>
      </c>
      <c r="J558" s="2" t="str">
        <f aca="false">IF(I558&gt;=6,"High",IF(I558&gt;=3,"Medium","Low"))</f>
        <v>Low</v>
      </c>
    </row>
    <row r="559" customFormat="false" ht="15" hidden="false" customHeight="true" outlineLevel="0" collapsed="false">
      <c r="A559" s="2" t="n">
        <f aca="false">'Raw Data'!H559</f>
        <v>558</v>
      </c>
      <c r="B559" s="2" t="n">
        <f aca="false">'Raw Data'!A559</f>
        <v>21</v>
      </c>
      <c r="C559" s="2" t="str">
        <f aca="false">'Raw Data'!D559</f>
        <v>Research &amp; Development</v>
      </c>
      <c r="D559" s="2" t="str">
        <f aca="false">'Raw Data'!K559</f>
        <v>Research Scientist</v>
      </c>
      <c r="E559" s="2" t="n">
        <f aca="false">'Raw Data'!Q559</f>
        <v>2</v>
      </c>
      <c r="F559" s="2" t="n">
        <f aca="false">'Raw Data'!U559</f>
        <v>2</v>
      </c>
      <c r="G559" s="2" t="n">
        <f aca="false">'Raw Data'!W559</f>
        <v>2</v>
      </c>
      <c r="H559" s="2" t="n">
        <f aca="false">'Raw Data'!V559</f>
        <v>4</v>
      </c>
      <c r="I559" s="2" t="n">
        <f aca="false">IF(AND(ISNUMBER(B559),B559&lt;=25),2,0)+IF(AND(ISNUMBER(E559),E559&lt;=5),2,0)+IF(AND(ISNUMBER(F559),F559&lt;=1),2,0)+IF(AND(ISNUMBER(G559),G559&lt;=2),1,0)+IF(AND(ISNUMBER(H559),H559&lt;=2),1,0)</f>
        <v>5</v>
      </c>
      <c r="J559" s="2" t="str">
        <f aca="false">IF(I559&gt;=6,"High",IF(I559&gt;=3,"Medium","Low"))</f>
        <v>Medium</v>
      </c>
    </row>
    <row r="560" customFormat="false" ht="15" hidden="false" customHeight="true" outlineLevel="0" collapsed="false">
      <c r="A560" s="2" t="n">
        <f aca="false">'Raw Data'!H560</f>
        <v>559</v>
      </c>
      <c r="B560" s="2" t="n">
        <f aca="false">'Raw Data'!A560</f>
        <v>39</v>
      </c>
      <c r="C560" s="2" t="str">
        <f aca="false">'Raw Data'!D560</f>
        <v>Research &amp; Development</v>
      </c>
      <c r="D560" s="2" t="str">
        <f aca="false">'Raw Data'!K560</f>
        <v>Laboratory Technician</v>
      </c>
      <c r="E560" s="2" t="n">
        <f aca="false">'Raw Data'!Q560</f>
        <v>9</v>
      </c>
      <c r="F560" s="2" t="n">
        <f aca="false">'Raw Data'!U560</f>
        <v>3</v>
      </c>
      <c r="G560" s="2" t="n">
        <f aca="false">'Raw Data'!W560</f>
        <v>2</v>
      </c>
      <c r="H560" s="2" t="n">
        <f aca="false">'Raw Data'!V560</f>
        <v>3</v>
      </c>
      <c r="I560" s="2" t="n">
        <f aca="false">IF(AND(ISNUMBER(B560),B560&lt;=25),2,0)+IF(AND(ISNUMBER(E560),E560&lt;=5),2,0)+IF(AND(ISNUMBER(F560),F560&lt;=1),2,0)+IF(AND(ISNUMBER(G560),G560&lt;=2),1,0)+IF(AND(ISNUMBER(H560),H560&lt;=2),1,0)</f>
        <v>1</v>
      </c>
      <c r="J560" s="2" t="str">
        <f aca="false">IF(I560&gt;=6,"High",IF(I560&gt;=3,"Medium","Low"))</f>
        <v>Low</v>
      </c>
    </row>
    <row r="561" customFormat="false" ht="15" hidden="false" customHeight="true" outlineLevel="0" collapsed="false">
      <c r="A561" s="2" t="n">
        <f aca="false">'Raw Data'!H561</f>
        <v>560</v>
      </c>
      <c r="B561" s="2" t="n">
        <f aca="false">'Raw Data'!A561</f>
        <v>36</v>
      </c>
      <c r="C561" s="2" t="str">
        <f aca="false">'Raw Data'!D561</f>
        <v>Research &amp; Development</v>
      </c>
      <c r="D561" s="2" t="str">
        <f aca="false">'Raw Data'!K561</f>
        <v>Sales Representative</v>
      </c>
      <c r="E561" s="2" t="n">
        <f aca="false">'Raw Data'!Q561</f>
        <v>18</v>
      </c>
      <c r="F561" s="2" t="n">
        <f aca="false">'Raw Data'!U561</f>
        <v>9</v>
      </c>
      <c r="G561" s="2" t="n">
        <f aca="false">'Raw Data'!W561</f>
        <v>4</v>
      </c>
      <c r="H561" s="2" t="n">
        <f aca="false">'Raw Data'!V561</f>
        <v>1</v>
      </c>
      <c r="I561" s="2" t="n">
        <f aca="false">IF(AND(ISNUMBER(B561),B561&lt;=25),2,0)+IF(AND(ISNUMBER(E561),E561&lt;=5),2,0)+IF(AND(ISNUMBER(F561),F561&lt;=1),2,0)+IF(AND(ISNUMBER(G561),G561&lt;=2),1,0)+IF(AND(ISNUMBER(H561),H561&lt;=2),1,0)</f>
        <v>1</v>
      </c>
      <c r="J561" s="2" t="str">
        <f aca="false">IF(I561&gt;=6,"High",IF(I561&gt;=3,"Medium","Low"))</f>
        <v>Low</v>
      </c>
    </row>
    <row r="562" customFormat="false" ht="15" hidden="false" customHeight="true" outlineLevel="0" collapsed="false">
      <c r="A562" s="2" t="n">
        <f aca="false">'Raw Data'!H562</f>
        <v>561</v>
      </c>
      <c r="B562" s="2" t="n">
        <f aca="false">'Raw Data'!A562</f>
        <v>31</v>
      </c>
      <c r="C562" s="2" t="str">
        <f aca="false">'Raw Data'!D562</f>
        <v>Research &amp; Development</v>
      </c>
      <c r="D562" s="2" t="str">
        <f aca="false">'Raw Data'!K562</f>
        <v>Sales Executive</v>
      </c>
      <c r="E562" s="2" t="n">
        <f aca="false">'Raw Data'!Q562</f>
        <v>3</v>
      </c>
      <c r="F562" s="2" t="n">
        <f aca="false">'Raw Data'!U562</f>
        <v>2</v>
      </c>
      <c r="G562" s="2" t="n">
        <f aca="false">'Raw Data'!W562</f>
        <v>4</v>
      </c>
      <c r="H562" s="2" t="n">
        <f aca="false">'Raw Data'!V562</f>
        <v>3</v>
      </c>
      <c r="I562" s="2" t="n">
        <f aca="false">IF(AND(ISNUMBER(B562),B562&lt;=25),2,0)+IF(AND(ISNUMBER(E562),E562&lt;=5),2,0)+IF(AND(ISNUMBER(F562),F562&lt;=1),2,0)+IF(AND(ISNUMBER(G562),G562&lt;=2),1,0)+IF(AND(ISNUMBER(H562),H562&lt;=2),1,0)</f>
        <v>2</v>
      </c>
      <c r="J562" s="2" t="str">
        <f aca="false">IF(I562&gt;=6,"High",IF(I562&gt;=3,"Medium","Low"))</f>
        <v>Low</v>
      </c>
    </row>
    <row r="563" customFormat="false" ht="15" hidden="false" customHeight="true" outlineLevel="0" collapsed="false">
      <c r="A563" s="2" t="n">
        <f aca="false">'Raw Data'!H563</f>
        <v>562</v>
      </c>
      <c r="B563" s="2" t="n">
        <f aca="false">'Raw Data'!A563</f>
        <v>28</v>
      </c>
      <c r="C563" s="2" t="str">
        <f aca="false">'Raw Data'!D563</f>
        <v>Sales</v>
      </c>
      <c r="D563" s="2" t="str">
        <f aca="false">'Raw Data'!K563</f>
        <v>Sales Executive</v>
      </c>
      <c r="E563" s="2" t="n">
        <f aca="false">'Raw Data'!Q563</f>
        <v>6</v>
      </c>
      <c r="F563" s="2" t="n">
        <f aca="false">'Raw Data'!U563</f>
        <v>4</v>
      </c>
      <c r="G563" s="2" t="n">
        <f aca="false">'Raw Data'!W563</f>
        <v>2</v>
      </c>
      <c r="H563" s="2" t="n">
        <f aca="false">'Raw Data'!V563</f>
        <v>1</v>
      </c>
      <c r="I563" s="2" t="n">
        <f aca="false">IF(AND(ISNUMBER(B563),B563&lt;=25),2,0)+IF(AND(ISNUMBER(E563),E563&lt;=5),2,0)+IF(AND(ISNUMBER(F563),F563&lt;=1),2,0)+IF(AND(ISNUMBER(G563),G563&lt;=2),1,0)+IF(AND(ISNUMBER(H563),H563&lt;=2),1,0)</f>
        <v>2</v>
      </c>
      <c r="J563" s="2" t="str">
        <f aca="false">IF(I563&gt;=6,"High",IF(I563&gt;=3,"Medium","Low"))</f>
        <v>Low</v>
      </c>
    </row>
    <row r="564" customFormat="false" ht="15" hidden="false" customHeight="true" outlineLevel="0" collapsed="false">
      <c r="A564" s="2" t="n">
        <f aca="false">'Raw Data'!H564</f>
        <v>563</v>
      </c>
      <c r="B564" s="2" t="n">
        <f aca="false">'Raw Data'!A564</f>
        <v>35</v>
      </c>
      <c r="C564" s="2" t="str">
        <f aca="false">'Raw Data'!D564</f>
        <v>Research &amp; Development</v>
      </c>
      <c r="D564" s="2" t="str">
        <f aca="false">'Raw Data'!K564</f>
        <v>Manufacturing Director</v>
      </c>
      <c r="E564" s="2" t="n">
        <f aca="false">'Raw Data'!Q564</f>
        <v>5</v>
      </c>
      <c r="F564" s="2" t="n">
        <f aca="false">'Raw Data'!U564</f>
        <v>2</v>
      </c>
      <c r="G564" s="2" t="n">
        <f aca="false">'Raw Data'!W564</f>
        <v>4</v>
      </c>
      <c r="H564" s="2" t="n">
        <f aca="false">'Raw Data'!V564</f>
        <v>4</v>
      </c>
      <c r="I564" s="2" t="n">
        <f aca="false">IF(AND(ISNUMBER(B564),B564&lt;=25),2,0)+IF(AND(ISNUMBER(E564),E564&lt;=5),2,0)+IF(AND(ISNUMBER(F564),F564&lt;=1),2,0)+IF(AND(ISNUMBER(G564),G564&lt;=2),1,0)+IF(AND(ISNUMBER(H564),H564&lt;=2),1,0)</f>
        <v>2</v>
      </c>
      <c r="J564" s="2" t="str">
        <f aca="false">IF(I564&gt;=6,"High",IF(I564&gt;=3,"Medium","Low"))</f>
        <v>Low</v>
      </c>
    </row>
    <row r="565" customFormat="false" ht="15" hidden="false" customHeight="true" outlineLevel="0" collapsed="false">
      <c r="A565" s="2" t="n">
        <f aca="false">'Raw Data'!H565</f>
        <v>564</v>
      </c>
      <c r="B565" s="2" t="n">
        <f aca="false">'Raw Data'!A565</f>
        <v>49</v>
      </c>
      <c r="C565" s="2" t="str">
        <f aca="false">'Raw Data'!D565</f>
        <v>Sales</v>
      </c>
      <c r="D565" s="2" t="str">
        <f aca="false">'Raw Data'!K565</f>
        <v>Sales Executive</v>
      </c>
      <c r="E565" s="2" t="n">
        <f aca="false">'Raw Data'!Q565</f>
        <v>22</v>
      </c>
      <c r="F565" s="2" t="n">
        <f aca="false">'Raw Data'!U565</f>
        <v>3</v>
      </c>
      <c r="G565" s="2" t="n">
        <f aca="false">'Raw Data'!W565</f>
        <v>2</v>
      </c>
      <c r="H565" s="2" t="n">
        <f aca="false">'Raw Data'!V565</f>
        <v>4</v>
      </c>
      <c r="I565" s="2" t="n">
        <f aca="false">IF(AND(ISNUMBER(B565),B565&lt;=25),2,0)+IF(AND(ISNUMBER(E565),E565&lt;=5),2,0)+IF(AND(ISNUMBER(F565),F565&lt;=1),2,0)+IF(AND(ISNUMBER(G565),G565&lt;=2),1,0)+IF(AND(ISNUMBER(H565),H565&lt;=2),1,0)</f>
        <v>1</v>
      </c>
      <c r="J565" s="2" t="str">
        <f aca="false">IF(I565&gt;=6,"High",IF(I565&gt;=3,"Medium","Low"))</f>
        <v>Low</v>
      </c>
    </row>
    <row r="566" customFormat="false" ht="15" hidden="false" customHeight="true" outlineLevel="0" collapsed="false">
      <c r="A566" s="2" t="n">
        <f aca="false">'Raw Data'!H566</f>
        <v>565</v>
      </c>
      <c r="B566" s="2" t="n">
        <f aca="false">'Raw Data'!A566</f>
        <v>34</v>
      </c>
      <c r="C566" s="2" t="str">
        <f aca="false">'Raw Data'!D566</f>
        <v>Sales</v>
      </c>
      <c r="D566" s="2" t="str">
        <f aca="false">'Raw Data'!K566</f>
        <v>Sales Executive</v>
      </c>
      <c r="E566" s="2" t="n">
        <f aca="false">'Raw Data'!Q566</f>
        <v>5</v>
      </c>
      <c r="F566" s="2" t="n">
        <f aca="false">'Raw Data'!U566</f>
        <v>2</v>
      </c>
      <c r="G566" s="2" t="n">
        <f aca="false">'Raw Data'!W566</f>
        <v>3</v>
      </c>
      <c r="H566" s="2" t="n">
        <f aca="false">'Raw Data'!V566</f>
        <v>4</v>
      </c>
      <c r="I566" s="2" t="n">
        <f aca="false">IF(AND(ISNUMBER(B566),B566&lt;=25),2,0)+IF(AND(ISNUMBER(E566),E566&lt;=5),2,0)+IF(AND(ISNUMBER(F566),F566&lt;=1),2,0)+IF(AND(ISNUMBER(G566),G566&lt;=2),1,0)+IF(AND(ISNUMBER(H566),H566&lt;=2),1,0)</f>
        <v>2</v>
      </c>
      <c r="J566" s="2" t="str">
        <f aca="false">IF(I566&gt;=6,"High",IF(I566&gt;=3,"Medium","Low"))</f>
        <v>Low</v>
      </c>
    </row>
    <row r="567" customFormat="false" ht="15" hidden="false" customHeight="true" outlineLevel="0" collapsed="false">
      <c r="A567" s="2" t="n">
        <f aca="false">'Raw Data'!H567</f>
        <v>566</v>
      </c>
      <c r="B567" s="2" t="n">
        <f aca="false">'Raw Data'!A567</f>
        <v>29</v>
      </c>
      <c r="C567" s="2" t="str">
        <f aca="false">'Raw Data'!D567</f>
        <v>Research &amp; Development</v>
      </c>
      <c r="D567" s="2" t="str">
        <f aca="false">'Raw Data'!K567</f>
        <v>Research Scientist</v>
      </c>
      <c r="E567" s="2" t="n">
        <f aca="false">'Raw Data'!Q567</f>
        <v>8</v>
      </c>
      <c r="F567" s="2" t="n">
        <f aca="false">'Raw Data'!U567</f>
        <v>1</v>
      </c>
      <c r="G567" s="2" t="n">
        <f aca="false">'Raw Data'!W567</f>
        <v>2</v>
      </c>
      <c r="H567" s="2" t="n">
        <f aca="false">'Raw Data'!V567</f>
        <v>4</v>
      </c>
      <c r="I567" s="2" t="n">
        <f aca="false">IF(AND(ISNUMBER(B567),B567&lt;=25),2,0)+IF(AND(ISNUMBER(E567),E567&lt;=5),2,0)+IF(AND(ISNUMBER(F567),F567&lt;=1),2,0)+IF(AND(ISNUMBER(G567),G567&lt;=2),1,0)+IF(AND(ISNUMBER(H567),H567&lt;=2),1,0)</f>
        <v>3</v>
      </c>
      <c r="J567" s="2" t="str">
        <f aca="false">IF(I567&gt;=6,"High",IF(I567&gt;=3,"Medium","Low"))</f>
        <v>Medium</v>
      </c>
    </row>
    <row r="568" customFormat="false" ht="15" hidden="false" customHeight="true" outlineLevel="0" collapsed="false">
      <c r="A568" s="2" t="n">
        <f aca="false">'Raw Data'!H568</f>
        <v>567</v>
      </c>
      <c r="B568" s="2" t="n">
        <f aca="false">'Raw Data'!A568</f>
        <v>42</v>
      </c>
      <c r="C568" s="2" t="str">
        <f aca="false">'Raw Data'!D568</f>
        <v>Sales</v>
      </c>
      <c r="D568" s="2" t="str">
        <f aca="false">'Raw Data'!K568</f>
        <v>Healthcare Representative</v>
      </c>
      <c r="E568" s="2" t="n">
        <f aca="false">'Raw Data'!Q568</f>
        <v>16</v>
      </c>
      <c r="F568" s="2" t="n">
        <f aca="false">'Raw Data'!U568</f>
        <v>0</v>
      </c>
      <c r="G568" s="2" t="n">
        <f aca="false">'Raw Data'!W568</f>
        <v>4</v>
      </c>
      <c r="H568" s="2" t="n">
        <f aca="false">'Raw Data'!V568</f>
        <v>2</v>
      </c>
      <c r="I568" s="2" t="n">
        <f aca="false">IF(AND(ISNUMBER(B568),B568&lt;=25),2,0)+IF(AND(ISNUMBER(E568),E568&lt;=5),2,0)+IF(AND(ISNUMBER(F568),F568&lt;=1),2,0)+IF(AND(ISNUMBER(G568),G568&lt;=2),1,0)+IF(AND(ISNUMBER(H568),H568&lt;=2),1,0)</f>
        <v>3</v>
      </c>
      <c r="J568" s="2" t="str">
        <f aca="false">IF(I568&gt;=6,"High",IF(I568&gt;=3,"Medium","Low"))</f>
        <v>Medium</v>
      </c>
    </row>
    <row r="569" customFormat="false" ht="15" hidden="false" customHeight="true" outlineLevel="0" collapsed="false">
      <c r="A569" s="2" t="n">
        <f aca="false">'Raw Data'!H569</f>
        <v>568</v>
      </c>
      <c r="B569" s="2" t="n">
        <f aca="false">'Raw Data'!A569</f>
        <v>29</v>
      </c>
      <c r="C569" s="2" t="str">
        <f aca="false">'Raw Data'!D569</f>
        <v>Sales</v>
      </c>
      <c r="D569" s="2" t="str">
        <f aca="false">'Raw Data'!K569</f>
        <v>Healthcare Representative</v>
      </c>
      <c r="E569" s="2" t="n">
        <f aca="false">'Raw Data'!Q569</f>
        <v>10</v>
      </c>
      <c r="F569" s="2" t="n">
        <f aca="false">'Raw Data'!U569</f>
        <v>2</v>
      </c>
      <c r="G569" s="2" t="n">
        <f aca="false">'Raw Data'!W569</f>
        <v>4</v>
      </c>
      <c r="H569" s="2" t="n">
        <f aca="false">'Raw Data'!V569</f>
        <v>2</v>
      </c>
      <c r="I569" s="2" t="n">
        <f aca="false">IF(AND(ISNUMBER(B569),B569&lt;=25),2,0)+IF(AND(ISNUMBER(E569),E569&lt;=5),2,0)+IF(AND(ISNUMBER(F569),F569&lt;=1),2,0)+IF(AND(ISNUMBER(G569),G569&lt;=2),1,0)+IF(AND(ISNUMBER(H569),H569&lt;=2),1,0)</f>
        <v>1</v>
      </c>
      <c r="J569" s="2" t="str">
        <f aca="false">IF(I569&gt;=6,"High",IF(I569&gt;=3,"Medium","Low"))</f>
        <v>Low</v>
      </c>
    </row>
    <row r="570" customFormat="false" ht="15" hidden="false" customHeight="true" outlineLevel="0" collapsed="false">
      <c r="A570" s="2" t="n">
        <f aca="false">'Raw Data'!H570</f>
        <v>569</v>
      </c>
      <c r="B570" s="2" t="n">
        <f aca="false">'Raw Data'!A570</f>
        <v>38</v>
      </c>
      <c r="C570" s="2" t="str">
        <f aca="false">'Raw Data'!D570</f>
        <v>Research &amp; Development</v>
      </c>
      <c r="D570" s="2" t="str">
        <f aca="false">'Raw Data'!K570</f>
        <v>Human Resources</v>
      </c>
      <c r="E570" s="2" t="n">
        <f aca="false">'Raw Data'!Q570</f>
        <v>7</v>
      </c>
      <c r="F570" s="2" t="n">
        <f aca="false">'Raw Data'!U570</f>
        <v>0</v>
      </c>
      <c r="G570" s="2" t="n">
        <f aca="false">'Raw Data'!W570</f>
        <v>3</v>
      </c>
      <c r="H570" s="2" t="n">
        <f aca="false">'Raw Data'!V570</f>
        <v>3</v>
      </c>
      <c r="I570" s="2" t="n">
        <f aca="false">IF(AND(ISNUMBER(B570),B570&lt;=25),2,0)+IF(AND(ISNUMBER(E570),E570&lt;=5),2,0)+IF(AND(ISNUMBER(F570),F570&lt;=1),2,0)+IF(AND(ISNUMBER(G570),G570&lt;=2),1,0)+IF(AND(ISNUMBER(H570),H570&lt;=2),1,0)</f>
        <v>2</v>
      </c>
      <c r="J570" s="2" t="str">
        <f aca="false">IF(I570&gt;=6,"High",IF(I570&gt;=3,"Medium","Low"))</f>
        <v>Low</v>
      </c>
    </row>
    <row r="571" customFormat="false" ht="15" hidden="false" customHeight="true" outlineLevel="0" collapsed="false">
      <c r="A571" s="2" t="n">
        <f aca="false">'Raw Data'!H571</f>
        <v>570</v>
      </c>
      <c r="B571" s="2" t="n">
        <f aca="false">'Raw Data'!A571</f>
        <v>28</v>
      </c>
      <c r="C571" s="2" t="str">
        <f aca="false">'Raw Data'!D571</f>
        <v>Sales</v>
      </c>
      <c r="D571" s="2" t="str">
        <f aca="false">'Raw Data'!K571</f>
        <v>Manager</v>
      </c>
      <c r="E571" s="2" t="n">
        <f aca="false">'Raw Data'!Q571</f>
        <v>3</v>
      </c>
      <c r="F571" s="2" t="n">
        <f aca="false">'Raw Data'!U571</f>
        <v>2</v>
      </c>
      <c r="G571" s="2" t="n">
        <f aca="false">'Raw Data'!W571</f>
        <v>3</v>
      </c>
      <c r="H571" s="2" t="n">
        <f aca="false">'Raw Data'!V571</f>
        <v>3</v>
      </c>
      <c r="I571" s="2" t="n">
        <f aca="false">IF(AND(ISNUMBER(B571),B571&lt;=25),2,0)+IF(AND(ISNUMBER(E571),E571&lt;=5),2,0)+IF(AND(ISNUMBER(F571),F571&lt;=1),2,0)+IF(AND(ISNUMBER(G571),G571&lt;=2),1,0)+IF(AND(ISNUMBER(H571),H571&lt;=2),1,0)</f>
        <v>2</v>
      </c>
      <c r="J571" s="2" t="str">
        <f aca="false">IF(I571&gt;=6,"High",IF(I571&gt;=3,"Medium","Low"))</f>
        <v>Low</v>
      </c>
    </row>
    <row r="572" customFormat="false" ht="15" hidden="false" customHeight="true" outlineLevel="0" collapsed="false">
      <c r="A572" s="2" t="n">
        <f aca="false">'Raw Data'!H572</f>
        <v>571</v>
      </c>
      <c r="B572" s="2" t="n">
        <f aca="false">'Raw Data'!A572</f>
        <v>18</v>
      </c>
      <c r="C572" s="2" t="str">
        <f aca="false">'Raw Data'!D572</f>
        <v>Research &amp; Development</v>
      </c>
      <c r="D572" s="2" t="str">
        <f aca="false">'Raw Data'!K572</f>
        <v>Laboratory Technician</v>
      </c>
      <c r="E572" s="2" t="n">
        <f aca="false">'Raw Data'!Q572</f>
        <v>0</v>
      </c>
      <c r="F572" s="2" t="n">
        <f aca="false">'Raw Data'!U572</f>
        <v>0</v>
      </c>
      <c r="G572" s="2" t="n">
        <f aca="false">'Raw Data'!W572</f>
        <v>3</v>
      </c>
      <c r="H572" s="2" t="n">
        <f aca="false">'Raw Data'!V572</f>
        <v>3</v>
      </c>
      <c r="I572" s="2" t="n">
        <f aca="false">IF(AND(ISNUMBER(B572),B572&lt;=25),2,0)+IF(AND(ISNUMBER(E572),E572&lt;=5),2,0)+IF(AND(ISNUMBER(F572),F572&lt;=1),2,0)+IF(AND(ISNUMBER(G572),G572&lt;=2),1,0)+IF(AND(ISNUMBER(H572),H572&lt;=2),1,0)</f>
        <v>6</v>
      </c>
      <c r="J572" s="2" t="str">
        <f aca="false">IF(I572&gt;=6,"High",IF(I572&gt;=3,"Medium","Low"))</f>
        <v>High</v>
      </c>
    </row>
    <row r="573" customFormat="false" ht="15" hidden="false" customHeight="true" outlineLevel="0" collapsed="false">
      <c r="A573" s="2" t="n">
        <f aca="false">'Raw Data'!H573</f>
        <v>572</v>
      </c>
      <c r="B573" s="2" t="n">
        <f aca="false">'Raw Data'!A573</f>
        <v>33</v>
      </c>
      <c r="C573" s="2" t="str">
        <f aca="false">'Raw Data'!D573</f>
        <v>Research &amp; Development</v>
      </c>
      <c r="D573" s="2" t="str">
        <f aca="false">'Raw Data'!K573</f>
        <v>Sales Executive</v>
      </c>
      <c r="E573" s="2" t="n">
        <f aca="false">'Raw Data'!Q573</f>
        <v>6</v>
      </c>
      <c r="F573" s="2" t="n">
        <f aca="false">'Raw Data'!U573</f>
        <v>3</v>
      </c>
      <c r="G573" s="2" t="n">
        <f aca="false">'Raw Data'!W573</f>
        <v>1</v>
      </c>
      <c r="H573" s="2" t="n">
        <f aca="false">'Raw Data'!V573</f>
        <v>1</v>
      </c>
      <c r="I573" s="2" t="n">
        <f aca="false">IF(AND(ISNUMBER(B573),B573&lt;=25),2,0)+IF(AND(ISNUMBER(E573),E573&lt;=5),2,0)+IF(AND(ISNUMBER(F573),F573&lt;=1),2,0)+IF(AND(ISNUMBER(G573),G573&lt;=2),1,0)+IF(AND(ISNUMBER(H573),H573&lt;=2),1,0)</f>
        <v>2</v>
      </c>
      <c r="J573" s="2" t="str">
        <f aca="false">IF(I573&gt;=6,"High",IF(I573&gt;=3,"Medium","Low"))</f>
        <v>Low</v>
      </c>
    </row>
    <row r="574" customFormat="false" ht="15" hidden="false" customHeight="true" outlineLevel="0" collapsed="false">
      <c r="A574" s="2" t="n">
        <f aca="false">'Raw Data'!H574</f>
        <v>573</v>
      </c>
      <c r="B574" s="2" t="n">
        <f aca="false">'Raw Data'!A574</f>
        <v>41</v>
      </c>
      <c r="C574" s="2" t="str">
        <f aca="false">'Raw Data'!D574</f>
        <v>Research &amp; Development</v>
      </c>
      <c r="D574" s="2" t="str">
        <f aca="false">'Raw Data'!K574</f>
        <v>Research Scientist</v>
      </c>
      <c r="E574" s="2" t="n">
        <f aca="false">'Raw Data'!Q574</f>
        <v>6</v>
      </c>
      <c r="F574" s="2" t="n">
        <f aca="false">'Raw Data'!U574</f>
        <v>0</v>
      </c>
      <c r="G574" s="2" t="n">
        <f aca="false">'Raw Data'!W574</f>
        <v>4</v>
      </c>
      <c r="H574" s="2" t="n">
        <f aca="false">'Raw Data'!V574</f>
        <v>2</v>
      </c>
      <c r="I574" s="2" t="n">
        <f aca="false">IF(AND(ISNUMBER(B574),B574&lt;=25),2,0)+IF(AND(ISNUMBER(E574),E574&lt;=5),2,0)+IF(AND(ISNUMBER(F574),F574&lt;=1),2,0)+IF(AND(ISNUMBER(G574),G574&lt;=2),1,0)+IF(AND(ISNUMBER(H574),H574&lt;=2),1,0)</f>
        <v>3</v>
      </c>
      <c r="J574" s="2" t="str">
        <f aca="false">IF(I574&gt;=6,"High",IF(I574&gt;=3,"Medium","Low"))</f>
        <v>Medium</v>
      </c>
    </row>
    <row r="575" customFormat="false" ht="15" hidden="false" customHeight="true" outlineLevel="0" collapsed="false">
      <c r="A575" s="2" t="n">
        <f aca="false">'Raw Data'!H575</f>
        <v>574</v>
      </c>
      <c r="B575" s="2" t="n">
        <f aca="false">'Raw Data'!A575</f>
        <v>31</v>
      </c>
      <c r="C575" s="2" t="str">
        <f aca="false">'Raw Data'!D575</f>
        <v>Sales</v>
      </c>
      <c r="D575" s="2" t="str">
        <f aca="false">'Raw Data'!K575</f>
        <v>Research Director</v>
      </c>
      <c r="E575" s="2" t="n">
        <f aca="false">'Raw Data'!Q575</f>
        <v>2</v>
      </c>
      <c r="F575" s="2" t="n">
        <f aca="false">'Raw Data'!U575</f>
        <v>2</v>
      </c>
      <c r="G575" s="2" t="n">
        <f aca="false">'Raw Data'!W575</f>
        <v>3</v>
      </c>
      <c r="H575" s="2" t="n">
        <f aca="false">'Raw Data'!V575</f>
        <v>3</v>
      </c>
      <c r="I575" s="2" t="n">
        <f aca="false">IF(AND(ISNUMBER(B575),B575&lt;=25),2,0)+IF(AND(ISNUMBER(E575),E575&lt;=5),2,0)+IF(AND(ISNUMBER(F575),F575&lt;=1),2,0)+IF(AND(ISNUMBER(G575),G575&lt;=2),1,0)+IF(AND(ISNUMBER(H575),H575&lt;=2),1,0)</f>
        <v>2</v>
      </c>
      <c r="J575" s="2" t="str">
        <f aca="false">IF(I575&gt;=6,"High",IF(I575&gt;=3,"Medium","Low"))</f>
        <v>Low</v>
      </c>
    </row>
    <row r="576" customFormat="false" ht="15" hidden="false" customHeight="true" outlineLevel="0" collapsed="false">
      <c r="A576" s="2" t="n">
        <f aca="false">'Raw Data'!H576</f>
        <v>575</v>
      </c>
      <c r="B576" s="2" t="n">
        <f aca="false">'Raw Data'!A576</f>
        <v>37</v>
      </c>
      <c r="C576" s="2" t="str">
        <f aca="false">'Raw Data'!D576</f>
        <v>Research &amp; Development</v>
      </c>
      <c r="D576" s="2" t="str">
        <f aca="false">'Raw Data'!K576</f>
        <v>Manufacturing Director</v>
      </c>
      <c r="E576" s="2" t="n">
        <f aca="false">'Raw Data'!Q576</f>
        <v>0</v>
      </c>
      <c r="F576" s="2" t="n">
        <f aca="false">'Raw Data'!U576</f>
        <v>3</v>
      </c>
      <c r="G576" s="2" t="n">
        <f aca="false">'Raw Data'!W576</f>
        <v>4</v>
      </c>
      <c r="H576" s="2" t="n">
        <f aca="false">'Raw Data'!V576</f>
        <v>3</v>
      </c>
      <c r="I576" s="2" t="n">
        <f aca="false">IF(AND(ISNUMBER(B576),B576&lt;=25),2,0)+IF(AND(ISNUMBER(E576),E576&lt;=5),2,0)+IF(AND(ISNUMBER(F576),F576&lt;=1),2,0)+IF(AND(ISNUMBER(G576),G576&lt;=2),1,0)+IF(AND(ISNUMBER(H576),H576&lt;=2),1,0)</f>
        <v>0</v>
      </c>
      <c r="J576" s="2" t="str">
        <f aca="false">IF(I576&gt;=6,"High",IF(I576&gt;=3,"Medium","Low"))</f>
        <v>Low</v>
      </c>
    </row>
    <row r="577" customFormat="false" ht="15" hidden="false" customHeight="true" outlineLevel="0" collapsed="false">
      <c r="A577" s="2" t="n">
        <f aca="false">'Raw Data'!H577</f>
        <v>576</v>
      </c>
      <c r="B577" s="2" t="n">
        <f aca="false">'Raw Data'!A577</f>
        <v>27</v>
      </c>
      <c r="C577" s="2" t="str">
        <f aca="false">'Raw Data'!D577</f>
        <v>Research &amp; Development</v>
      </c>
      <c r="D577" s="2" t="str">
        <f aca="false">'Raw Data'!K577</f>
        <v>Healthcare Representative</v>
      </c>
      <c r="E577" s="2" t="n">
        <f aca="false">'Raw Data'!Q577</f>
        <v>4</v>
      </c>
      <c r="F577" s="2" t="n">
        <f aca="false">'Raw Data'!U577</f>
        <v>2</v>
      </c>
      <c r="G577" s="2" t="n">
        <f aca="false">'Raw Data'!W577</f>
        <v>3</v>
      </c>
      <c r="H577" s="2" t="n">
        <f aca="false">'Raw Data'!V577</f>
        <v>4</v>
      </c>
      <c r="I577" s="2" t="n">
        <f aca="false">IF(AND(ISNUMBER(B577),B577&lt;=25),2,0)+IF(AND(ISNUMBER(E577),E577&lt;=5),2,0)+IF(AND(ISNUMBER(F577),F577&lt;=1),2,0)+IF(AND(ISNUMBER(G577),G577&lt;=2),1,0)+IF(AND(ISNUMBER(H577),H577&lt;=2),1,0)</f>
        <v>2</v>
      </c>
      <c r="J577" s="2" t="str">
        <f aca="false">IF(I577&gt;=6,"High",IF(I577&gt;=3,"Medium","Low"))</f>
        <v>Low</v>
      </c>
    </row>
    <row r="578" customFormat="false" ht="15" hidden="false" customHeight="true" outlineLevel="0" collapsed="false">
      <c r="A578" s="2" t="n">
        <f aca="false">'Raw Data'!H578</f>
        <v>577</v>
      </c>
      <c r="B578" s="2" t="n">
        <f aca="false">'Raw Data'!A578</f>
        <v>34</v>
      </c>
      <c r="C578" s="2" t="str">
        <f aca="false">'Raw Data'!D578</f>
        <v>Sales</v>
      </c>
      <c r="D578" s="2" t="str">
        <f aca="false">'Raw Data'!K578</f>
        <v>Laboratory Technician</v>
      </c>
      <c r="E578" s="2" t="n">
        <f aca="false">'Raw Data'!Q578</f>
        <v>6</v>
      </c>
      <c r="F578" s="2" t="n">
        <f aca="false">'Raw Data'!U578</f>
        <v>3</v>
      </c>
      <c r="G578" s="2" t="n">
        <f aca="false">'Raw Data'!W578</f>
        <v>3</v>
      </c>
      <c r="H578" s="2" t="n">
        <f aca="false">'Raw Data'!V578</f>
        <v>2</v>
      </c>
      <c r="I578" s="2" t="n">
        <f aca="false">IF(AND(ISNUMBER(B578),B578&lt;=25),2,0)+IF(AND(ISNUMBER(E578),E578&lt;=5),2,0)+IF(AND(ISNUMBER(F578),F578&lt;=1),2,0)+IF(AND(ISNUMBER(G578),G578&lt;=2),1,0)+IF(AND(ISNUMBER(H578),H578&lt;=2),1,0)</f>
        <v>1</v>
      </c>
      <c r="J578" s="2" t="str">
        <f aca="false">IF(I578&gt;=6,"High",IF(I578&gt;=3,"Medium","Low"))</f>
        <v>Low</v>
      </c>
    </row>
    <row r="579" customFormat="false" ht="15" hidden="false" customHeight="true" outlineLevel="0" collapsed="false">
      <c r="A579" s="2" t="n">
        <f aca="false">'Raw Data'!H579</f>
        <v>578</v>
      </c>
      <c r="B579" s="2" t="n">
        <f aca="false">'Raw Data'!A579</f>
        <v>35</v>
      </c>
      <c r="C579" s="2" t="str">
        <f aca="false">'Raw Data'!D579</f>
        <v>Research &amp; Development</v>
      </c>
      <c r="D579" s="2" t="str">
        <f aca="false">'Raw Data'!K579</f>
        <v>Laboratory Technician</v>
      </c>
      <c r="E579" s="2" t="n">
        <f aca="false">'Raw Data'!Q579</f>
        <v>6</v>
      </c>
      <c r="F579" s="2" t="n">
        <f aca="false">'Raw Data'!U579</f>
        <v>4</v>
      </c>
      <c r="G579" s="2" t="n">
        <f aca="false">'Raw Data'!W579</f>
        <v>3</v>
      </c>
      <c r="H579" s="2" t="n">
        <f aca="false">'Raw Data'!V579</f>
        <v>3</v>
      </c>
      <c r="I579" s="2" t="n">
        <f aca="false">IF(AND(ISNUMBER(B579),B579&lt;=25),2,0)+IF(AND(ISNUMBER(E579),E579&lt;=5),2,0)+IF(AND(ISNUMBER(F579),F579&lt;=1),2,0)+IF(AND(ISNUMBER(G579),G579&lt;=2),1,0)+IF(AND(ISNUMBER(H579),H579&lt;=2),1,0)</f>
        <v>0</v>
      </c>
      <c r="J579" s="2" t="str">
        <f aca="false">IF(I579&gt;=6,"High",IF(I579&gt;=3,"Medium","Low"))</f>
        <v>Low</v>
      </c>
    </row>
    <row r="580" customFormat="false" ht="15" hidden="false" customHeight="true" outlineLevel="0" collapsed="false">
      <c r="A580" s="2" t="n">
        <f aca="false">'Raw Data'!H580</f>
        <v>579</v>
      </c>
      <c r="B580" s="2" t="n">
        <f aca="false">'Raw Data'!A580</f>
        <v>29</v>
      </c>
      <c r="C580" s="2" t="str">
        <f aca="false">'Raw Data'!D580</f>
        <v>Research &amp; Development</v>
      </c>
      <c r="D580" s="2" t="str">
        <f aca="false">'Raw Data'!K580</f>
        <v>Sales Executive</v>
      </c>
      <c r="E580" s="2" t="n">
        <f aca="false">'Raw Data'!Q580</f>
        <v>11</v>
      </c>
      <c r="F580" s="2" t="n">
        <f aca="false">'Raw Data'!U580</f>
        <v>10</v>
      </c>
      <c r="G580" s="2" t="n">
        <f aca="false">'Raw Data'!W580</f>
        <v>1</v>
      </c>
      <c r="H580" s="2" t="n">
        <f aca="false">'Raw Data'!V580</f>
        <v>4</v>
      </c>
      <c r="I580" s="2" t="n">
        <f aca="false">IF(AND(ISNUMBER(B580),B580&lt;=25),2,0)+IF(AND(ISNUMBER(E580),E580&lt;=5),2,0)+IF(AND(ISNUMBER(F580),F580&lt;=1),2,0)+IF(AND(ISNUMBER(G580),G580&lt;=2),1,0)+IF(AND(ISNUMBER(H580),H580&lt;=2),1,0)</f>
        <v>1</v>
      </c>
      <c r="J580" s="2" t="str">
        <f aca="false">IF(I580&gt;=6,"High",IF(I580&gt;=3,"Medium","Low"))</f>
        <v>Low</v>
      </c>
    </row>
    <row r="581" customFormat="false" ht="15" hidden="false" customHeight="true" outlineLevel="0" collapsed="false">
      <c r="A581" s="2" t="n">
        <f aca="false">'Raw Data'!H581</f>
        <v>580</v>
      </c>
      <c r="B581" s="2" t="n">
        <f aca="false">'Raw Data'!A581</f>
        <v>40</v>
      </c>
      <c r="C581" s="2" t="str">
        <f aca="false">'Raw Data'!D581</f>
        <v>Research &amp; Development</v>
      </c>
      <c r="D581" s="2" t="str">
        <f aca="false">'Raw Data'!K581</f>
        <v>Human Resources</v>
      </c>
      <c r="E581" s="2" t="n">
        <f aca="false">'Raw Data'!Q581</f>
        <v>20</v>
      </c>
      <c r="F581" s="2" t="n">
        <f aca="false">'Raw Data'!U581</f>
        <v>13</v>
      </c>
      <c r="G581" s="2" t="n">
        <f aca="false">'Raw Data'!W581</f>
        <v>3</v>
      </c>
      <c r="H581" s="2" t="n">
        <f aca="false">'Raw Data'!V581</f>
        <v>2</v>
      </c>
      <c r="I581" s="2" t="n">
        <f aca="false">IF(AND(ISNUMBER(B581),B581&lt;=25),2,0)+IF(AND(ISNUMBER(E581),E581&lt;=5),2,0)+IF(AND(ISNUMBER(F581),F581&lt;=1),2,0)+IF(AND(ISNUMBER(G581),G581&lt;=2),1,0)+IF(AND(ISNUMBER(H581),H581&lt;=2),1,0)</f>
        <v>1</v>
      </c>
      <c r="J581" s="2" t="str">
        <f aca="false">IF(I581&gt;=6,"High",IF(I581&gt;=3,"Medium","Low"))</f>
        <v>Low</v>
      </c>
    </row>
    <row r="582" customFormat="false" ht="15" hidden="false" customHeight="true" outlineLevel="0" collapsed="false">
      <c r="A582" s="2" t="n">
        <f aca="false">'Raw Data'!H582</f>
        <v>581</v>
      </c>
      <c r="B582" s="2" t="n">
        <f aca="false">'Raw Data'!A582</f>
        <v>42</v>
      </c>
      <c r="C582" s="2" t="str">
        <f aca="false">'Raw Data'!D582</f>
        <v>Sales</v>
      </c>
      <c r="D582" s="2" t="str">
        <f aca="false">'Raw Data'!K582</f>
        <v>Laboratory Technician</v>
      </c>
      <c r="E582" s="2" t="n">
        <f aca="false">'Raw Data'!Q582</f>
        <v>22</v>
      </c>
      <c r="F582" s="2" t="n">
        <f aca="false">'Raw Data'!U582</f>
        <v>14</v>
      </c>
      <c r="G582" s="2" t="n">
        <f aca="false">'Raw Data'!W582</f>
        <v>1</v>
      </c>
      <c r="H582" s="2" t="n">
        <f aca="false">'Raw Data'!V582</f>
        <v>3</v>
      </c>
      <c r="I582" s="2" t="n">
        <f aca="false">IF(AND(ISNUMBER(B582),B582&lt;=25),2,0)+IF(AND(ISNUMBER(E582),E582&lt;=5),2,0)+IF(AND(ISNUMBER(F582),F582&lt;=1),2,0)+IF(AND(ISNUMBER(G582),G582&lt;=2),1,0)+IF(AND(ISNUMBER(H582),H582&lt;=2),1,0)</f>
        <v>1</v>
      </c>
      <c r="J582" s="2" t="str">
        <f aca="false">IF(I582&gt;=6,"High",IF(I582&gt;=3,"Medium","Low"))</f>
        <v>Low</v>
      </c>
    </row>
    <row r="583" customFormat="false" ht="15" hidden="false" customHeight="true" outlineLevel="0" collapsed="false">
      <c r="A583" s="2" t="n">
        <f aca="false">'Raw Data'!H583</f>
        <v>582</v>
      </c>
      <c r="B583" s="2" t="n">
        <f aca="false">'Raw Data'!A583</f>
        <v>42</v>
      </c>
      <c r="C583" s="2" t="str">
        <f aca="false">'Raw Data'!D583</f>
        <v>Research &amp; Development</v>
      </c>
      <c r="D583" s="2" t="str">
        <f aca="false">'Raw Data'!K583</f>
        <v>Laboratory Technician</v>
      </c>
      <c r="E583" s="2" t="n">
        <f aca="false">'Raw Data'!Q583</f>
        <v>9</v>
      </c>
      <c r="F583" s="2" t="n">
        <f aca="false">'Raw Data'!U583</f>
        <v>5</v>
      </c>
      <c r="G583" s="2" t="n">
        <f aca="false">'Raw Data'!W583</f>
        <v>1</v>
      </c>
      <c r="H583" s="2" t="n">
        <f aca="false">'Raw Data'!V583</f>
        <v>2</v>
      </c>
      <c r="I583" s="2" t="n">
        <f aca="false">IF(AND(ISNUMBER(B583),B583&lt;=25),2,0)+IF(AND(ISNUMBER(E583),E583&lt;=5),2,0)+IF(AND(ISNUMBER(F583),F583&lt;=1),2,0)+IF(AND(ISNUMBER(G583),G583&lt;=2),1,0)+IF(AND(ISNUMBER(H583),H583&lt;=2),1,0)</f>
        <v>2</v>
      </c>
      <c r="J583" s="2" t="str">
        <f aca="false">IF(I583&gt;=6,"High",IF(I583&gt;=3,"Medium","Low"))</f>
        <v>Low</v>
      </c>
    </row>
    <row r="584" customFormat="false" ht="15" hidden="false" customHeight="true" outlineLevel="0" collapsed="false">
      <c r="A584" s="2" t="n">
        <f aca="false">'Raw Data'!H584</f>
        <v>583</v>
      </c>
      <c r="B584" s="2" t="n">
        <f aca="false">'Raw Data'!A584</f>
        <v>35</v>
      </c>
      <c r="C584" s="2" t="str">
        <f aca="false">'Raw Data'!D584</f>
        <v>Research &amp; Development</v>
      </c>
      <c r="D584" s="2" t="str">
        <f aca="false">'Raw Data'!K584</f>
        <v>Healthcare Representative</v>
      </c>
      <c r="E584" s="2" t="n">
        <f aca="false">'Raw Data'!Q584</f>
        <v>10</v>
      </c>
      <c r="F584" s="2" t="n">
        <f aca="false">'Raw Data'!U584</f>
        <v>7</v>
      </c>
      <c r="G584" s="2" t="n">
        <f aca="false">'Raw Data'!W584</f>
        <v>3</v>
      </c>
      <c r="H584" s="2" t="n">
        <f aca="false">'Raw Data'!V584</f>
        <v>4</v>
      </c>
      <c r="I584" s="2" t="n">
        <f aca="false">IF(AND(ISNUMBER(B584),B584&lt;=25),2,0)+IF(AND(ISNUMBER(E584),E584&lt;=5),2,0)+IF(AND(ISNUMBER(F584),F584&lt;=1),2,0)+IF(AND(ISNUMBER(G584),G584&lt;=2),1,0)+IF(AND(ISNUMBER(H584),H584&lt;=2),1,0)</f>
        <v>0</v>
      </c>
      <c r="J584" s="2" t="str">
        <f aca="false">IF(I584&gt;=6,"High",IF(I584&gt;=3,"Medium","Low"))</f>
        <v>Low</v>
      </c>
    </row>
    <row r="585" customFormat="false" ht="15" hidden="false" customHeight="true" outlineLevel="0" collapsed="false">
      <c r="A585" s="2" t="n">
        <f aca="false">'Raw Data'!H585</f>
        <v>584</v>
      </c>
      <c r="B585" s="2" t="n">
        <f aca="false">'Raw Data'!A585</f>
        <v>24</v>
      </c>
      <c r="C585" s="2" t="str">
        <f aca="false">'Raw Data'!D585</f>
        <v>Sales</v>
      </c>
      <c r="D585" s="2" t="str">
        <f aca="false">'Raw Data'!K585</f>
        <v>Laboratory Technician</v>
      </c>
      <c r="E585" s="2" t="n">
        <f aca="false">'Raw Data'!Q585</f>
        <v>6</v>
      </c>
      <c r="F585" s="2" t="n">
        <f aca="false">'Raw Data'!U585</f>
        <v>2</v>
      </c>
      <c r="G585" s="2" t="n">
        <f aca="false">'Raw Data'!W585</f>
        <v>2</v>
      </c>
      <c r="H585" s="2" t="n">
        <f aca="false">'Raw Data'!V585</f>
        <v>4</v>
      </c>
      <c r="I585" s="2" t="n">
        <f aca="false">IF(AND(ISNUMBER(B585),B585&lt;=25),2,0)+IF(AND(ISNUMBER(E585),E585&lt;=5),2,0)+IF(AND(ISNUMBER(F585),F585&lt;=1),2,0)+IF(AND(ISNUMBER(G585),G585&lt;=2),1,0)+IF(AND(ISNUMBER(H585),H585&lt;=2),1,0)</f>
        <v>3</v>
      </c>
      <c r="J585" s="2" t="str">
        <f aca="false">IF(I585&gt;=6,"High",IF(I585&gt;=3,"Medium","Low"))</f>
        <v>Medium</v>
      </c>
    </row>
    <row r="586" customFormat="false" ht="15" hidden="false" customHeight="true" outlineLevel="0" collapsed="false">
      <c r="A586" s="2" t="n">
        <f aca="false">'Raw Data'!H586</f>
        <v>585</v>
      </c>
      <c r="B586" s="2" t="n">
        <f aca="false">'Raw Data'!A586</f>
        <v>28</v>
      </c>
      <c r="C586" s="2" t="str">
        <f aca="false">'Raw Data'!D586</f>
        <v>Research &amp; Development</v>
      </c>
      <c r="D586" s="2" t="str">
        <f aca="false">'Raw Data'!K586</f>
        <v>Sales Executive</v>
      </c>
      <c r="E586" s="2" t="n">
        <f aca="false">'Raw Data'!Q586</f>
        <v>1</v>
      </c>
      <c r="F586" s="2" t="n">
        <f aca="false">'Raw Data'!U586</f>
        <v>0</v>
      </c>
      <c r="G586" s="2" t="n">
        <f aca="false">'Raw Data'!W586</f>
        <v>4</v>
      </c>
      <c r="H586" s="2" t="n">
        <f aca="false">'Raw Data'!V586</f>
        <v>3</v>
      </c>
      <c r="I586" s="2" t="n">
        <f aca="false">IF(AND(ISNUMBER(B586),B586&lt;=25),2,0)+IF(AND(ISNUMBER(E586),E586&lt;=5),2,0)+IF(AND(ISNUMBER(F586),F586&lt;=1),2,0)+IF(AND(ISNUMBER(G586),G586&lt;=2),1,0)+IF(AND(ISNUMBER(H586),H586&lt;=2),1,0)</f>
        <v>4</v>
      </c>
      <c r="J586" s="2" t="str">
        <f aca="false">IF(I586&gt;=6,"High",IF(I586&gt;=3,"Medium","Low"))</f>
        <v>Medium</v>
      </c>
    </row>
    <row r="587" customFormat="false" ht="15" hidden="false" customHeight="true" outlineLevel="0" collapsed="false">
      <c r="A587" s="2" t="n">
        <f aca="false">'Raw Data'!H587</f>
        <v>586</v>
      </c>
      <c r="B587" s="2" t="n">
        <f aca="false">'Raw Data'!A587</f>
        <v>26</v>
      </c>
      <c r="C587" s="2" t="str">
        <f aca="false">'Raw Data'!D587</f>
        <v>Research &amp; Development</v>
      </c>
      <c r="D587" s="2" t="str">
        <f aca="false">'Raw Data'!K587</f>
        <v>Sales Representative</v>
      </c>
      <c r="E587" s="2" t="n">
        <f aca="false">'Raw Data'!Q587</f>
        <v>8</v>
      </c>
      <c r="F587" s="2" t="n">
        <f aca="false">'Raw Data'!U587</f>
        <v>7</v>
      </c>
      <c r="G587" s="2" t="n">
        <f aca="false">'Raw Data'!W587</f>
        <v>4</v>
      </c>
      <c r="H587" s="2" t="n">
        <f aca="false">'Raw Data'!V587</f>
        <v>1</v>
      </c>
      <c r="I587" s="2" t="n">
        <f aca="false">IF(AND(ISNUMBER(B587),B587&lt;=25),2,0)+IF(AND(ISNUMBER(E587),E587&lt;=5),2,0)+IF(AND(ISNUMBER(F587),F587&lt;=1),2,0)+IF(AND(ISNUMBER(G587),G587&lt;=2),1,0)+IF(AND(ISNUMBER(H587),H587&lt;=2),1,0)</f>
        <v>1</v>
      </c>
      <c r="J587" s="2" t="str">
        <f aca="false">IF(I587&gt;=6,"High",IF(I587&gt;=3,"Medium","Low"))</f>
        <v>Low</v>
      </c>
    </row>
    <row r="588" customFormat="false" ht="15" hidden="false" customHeight="true" outlineLevel="0" collapsed="false">
      <c r="A588" s="2" t="n">
        <f aca="false">'Raw Data'!H588</f>
        <v>587</v>
      </c>
      <c r="B588" s="2" t="n">
        <f aca="false">'Raw Data'!A588</f>
        <v>30</v>
      </c>
      <c r="C588" s="2" t="str">
        <f aca="false">'Raw Data'!D588</f>
        <v>Research &amp; Development</v>
      </c>
      <c r="D588" s="2" t="str">
        <f aca="false">'Raw Data'!K588</f>
        <v>Manufacturing Director</v>
      </c>
      <c r="E588" s="2" t="n">
        <f aca="false">'Raw Data'!Q588</f>
        <v>10</v>
      </c>
      <c r="F588" s="2" t="n">
        <f aca="false">'Raw Data'!U588</f>
        <v>4</v>
      </c>
      <c r="G588" s="2" t="n">
        <f aca="false">'Raw Data'!W588</f>
        <v>0</v>
      </c>
      <c r="H588" s="2" t="n">
        <f aca="false">'Raw Data'!V588</f>
        <v>3</v>
      </c>
      <c r="I588" s="2" t="n">
        <f aca="false">IF(AND(ISNUMBER(B588),B588&lt;=25),2,0)+IF(AND(ISNUMBER(E588),E588&lt;=5),2,0)+IF(AND(ISNUMBER(F588),F588&lt;=1),2,0)+IF(AND(ISNUMBER(G588),G588&lt;=2),1,0)+IF(AND(ISNUMBER(H588),H588&lt;=2),1,0)</f>
        <v>0</v>
      </c>
      <c r="J588" s="2" t="str">
        <f aca="false">IF(I588&gt;=6,"High",IF(I588&gt;=3,"Medium","Low"))</f>
        <v>Low</v>
      </c>
    </row>
    <row r="589" customFormat="false" ht="15" hidden="false" customHeight="true" outlineLevel="0" collapsed="false">
      <c r="A589" s="2" t="n">
        <f aca="false">'Raw Data'!H589</f>
        <v>588</v>
      </c>
      <c r="B589" s="2" t="n">
        <f aca="false">'Raw Data'!A589</f>
        <v>40</v>
      </c>
      <c r="C589" s="2" t="str">
        <f aca="false">'Raw Data'!D589</f>
        <v>Research &amp; Development</v>
      </c>
      <c r="D589" s="2" t="str">
        <f aca="false">'Raw Data'!K589</f>
        <v>Research Scientist</v>
      </c>
      <c r="E589" s="2" t="n">
        <f aca="false">'Raw Data'!Q589</f>
        <v>16</v>
      </c>
      <c r="F589" s="2" t="n">
        <f aca="false">'Raw Data'!U589</f>
        <v>0</v>
      </c>
      <c r="G589" s="2" t="n">
        <f aca="false">'Raw Data'!W589</f>
        <v>4</v>
      </c>
      <c r="H589" s="2" t="n">
        <f aca="false">'Raw Data'!V589</f>
        <v>3</v>
      </c>
      <c r="I589" s="2" t="n">
        <f aca="false">IF(AND(ISNUMBER(B589),B589&lt;=25),2,0)+IF(AND(ISNUMBER(E589),E589&lt;=5),2,0)+IF(AND(ISNUMBER(F589),F589&lt;=1),2,0)+IF(AND(ISNUMBER(G589),G589&lt;=2),1,0)+IF(AND(ISNUMBER(H589),H589&lt;=2),1,0)</f>
        <v>2</v>
      </c>
      <c r="J589" s="2" t="str">
        <f aca="false">IF(I589&gt;=6,"High",IF(I589&gt;=3,"Medium","Low"))</f>
        <v>Low</v>
      </c>
    </row>
    <row r="590" customFormat="false" ht="15" hidden="false" customHeight="true" outlineLevel="0" collapsed="false">
      <c r="A590" s="2" t="n">
        <f aca="false">'Raw Data'!H590</f>
        <v>589</v>
      </c>
      <c r="B590" s="2" t="n">
        <f aca="false">'Raw Data'!A590</f>
        <v>35</v>
      </c>
      <c r="C590" s="2" t="str">
        <f aca="false">'Raw Data'!D590</f>
        <v>Research &amp; Development</v>
      </c>
      <c r="D590" s="2" t="str">
        <f aca="false">'Raw Data'!K590</f>
        <v>Research Scientist</v>
      </c>
      <c r="E590" s="2" t="n">
        <f aca="false">'Raw Data'!Q590</f>
        <v>15</v>
      </c>
      <c r="F590" s="2" t="n">
        <f aca="false">'Raw Data'!U590</f>
        <v>4</v>
      </c>
      <c r="G590" s="2" t="n">
        <f aca="false">'Raw Data'!W590</f>
        <v>2</v>
      </c>
      <c r="H590" s="2" t="n">
        <f aca="false">'Raw Data'!V590</f>
        <v>3</v>
      </c>
      <c r="I590" s="2" t="n">
        <f aca="false">IF(AND(ISNUMBER(B590),B590&lt;=25),2,0)+IF(AND(ISNUMBER(E590),E590&lt;=5),2,0)+IF(AND(ISNUMBER(F590),F590&lt;=1),2,0)+IF(AND(ISNUMBER(G590),G590&lt;=2),1,0)+IF(AND(ISNUMBER(H590),H590&lt;=2),1,0)</f>
        <v>1</v>
      </c>
      <c r="J590" s="2" t="str">
        <f aca="false">IF(I590&gt;=6,"High",IF(I590&gt;=3,"Medium","Low"))</f>
        <v>Low</v>
      </c>
    </row>
    <row r="591" customFormat="false" ht="15" hidden="false" customHeight="true" outlineLevel="0" collapsed="false">
      <c r="A591" s="2" t="n">
        <f aca="false">'Raw Data'!H591</f>
        <v>590</v>
      </c>
      <c r="B591" s="2" t="n">
        <f aca="false">'Raw Data'!A591</f>
        <v>34</v>
      </c>
      <c r="C591" s="2" t="str">
        <f aca="false">'Raw Data'!D591</f>
        <v>Research &amp; Development</v>
      </c>
      <c r="D591" s="2" t="str">
        <f aca="false">'Raw Data'!K591</f>
        <v>Research Director</v>
      </c>
      <c r="E591" s="2" t="n">
        <f aca="false">'Raw Data'!Q591</f>
        <v>14</v>
      </c>
      <c r="F591" s="2" t="n">
        <f aca="false">'Raw Data'!U591</f>
        <v>9</v>
      </c>
      <c r="G591" s="2" t="n">
        <f aca="false">'Raw Data'!W591</f>
        <v>1</v>
      </c>
      <c r="H591" s="2" t="n">
        <f aca="false">'Raw Data'!V591</f>
        <v>4</v>
      </c>
      <c r="I591" s="2" t="n">
        <f aca="false">IF(AND(ISNUMBER(B591),B591&lt;=25),2,0)+IF(AND(ISNUMBER(E591),E591&lt;=5),2,0)+IF(AND(ISNUMBER(F591),F591&lt;=1),2,0)+IF(AND(ISNUMBER(G591),G591&lt;=2),1,0)+IF(AND(ISNUMBER(H591),H591&lt;=2),1,0)</f>
        <v>1</v>
      </c>
      <c r="J591" s="2" t="str">
        <f aca="false">IF(I591&gt;=6,"High",IF(I591&gt;=3,"Medium","Low"))</f>
        <v>Low</v>
      </c>
    </row>
    <row r="592" customFormat="false" ht="15" hidden="false" customHeight="true" outlineLevel="0" collapsed="false">
      <c r="A592" s="2" t="n">
        <f aca="false">'Raw Data'!H592</f>
        <v>591</v>
      </c>
      <c r="B592" s="2" t="n">
        <f aca="false">'Raw Data'!A592</f>
        <v>35</v>
      </c>
      <c r="C592" s="2" t="str">
        <f aca="false">'Raw Data'!D592</f>
        <v>Research &amp; Development</v>
      </c>
      <c r="D592" s="2" t="str">
        <f aca="false">'Raw Data'!K592</f>
        <v>Laboratory Technician</v>
      </c>
      <c r="E592" s="2" t="n">
        <f aca="false">'Raw Data'!Q592</f>
        <v>2</v>
      </c>
      <c r="F592" s="2" t="n">
        <f aca="false">'Raw Data'!U592</f>
        <v>2</v>
      </c>
      <c r="G592" s="2" t="n">
        <f aca="false">'Raw Data'!W592</f>
        <v>4</v>
      </c>
      <c r="H592" s="2" t="n">
        <f aca="false">'Raw Data'!V592</f>
        <v>4</v>
      </c>
      <c r="I592" s="2" t="n">
        <f aca="false">IF(AND(ISNUMBER(B592),B592&lt;=25),2,0)+IF(AND(ISNUMBER(E592),E592&lt;=5),2,0)+IF(AND(ISNUMBER(F592),F592&lt;=1),2,0)+IF(AND(ISNUMBER(G592),G592&lt;=2),1,0)+IF(AND(ISNUMBER(H592),H592&lt;=2),1,0)</f>
        <v>2</v>
      </c>
      <c r="J592" s="2" t="str">
        <f aca="false">IF(I592&gt;=6,"High",IF(I592&gt;=3,"Medium","Low"))</f>
        <v>Low</v>
      </c>
    </row>
    <row r="593" customFormat="false" ht="15" hidden="false" customHeight="true" outlineLevel="0" collapsed="false">
      <c r="A593" s="2" t="n">
        <f aca="false">'Raw Data'!H593</f>
        <v>592</v>
      </c>
      <c r="B593" s="2" t="n">
        <f aca="false">'Raw Data'!A593</f>
        <v>43</v>
      </c>
      <c r="C593" s="2" t="str">
        <f aca="false">'Raw Data'!D593</f>
        <v>Sales</v>
      </c>
      <c r="D593" s="2" t="str">
        <f aca="false">'Raw Data'!K593</f>
        <v>Research Scientist</v>
      </c>
      <c r="E593" s="2" t="n">
        <f aca="false">'Raw Data'!Q593</f>
        <v>7</v>
      </c>
      <c r="F593" s="2" t="n">
        <f aca="false">'Raw Data'!U593</f>
        <v>3</v>
      </c>
      <c r="G593" s="2" t="n">
        <f aca="false">'Raw Data'!W593</f>
        <v>3</v>
      </c>
      <c r="H593" s="2" t="n">
        <f aca="false">'Raw Data'!V593</f>
        <v>1</v>
      </c>
      <c r="I593" s="2" t="n">
        <f aca="false">IF(AND(ISNUMBER(B593),B593&lt;=25),2,0)+IF(AND(ISNUMBER(E593),E593&lt;=5),2,0)+IF(AND(ISNUMBER(F593),F593&lt;=1),2,0)+IF(AND(ISNUMBER(G593),G593&lt;=2),1,0)+IF(AND(ISNUMBER(H593),H593&lt;=2),1,0)</f>
        <v>1</v>
      </c>
      <c r="J593" s="2" t="str">
        <f aca="false">IF(I593&gt;=6,"High",IF(I593&gt;=3,"Medium","Low"))</f>
        <v>Low</v>
      </c>
    </row>
    <row r="594" customFormat="false" ht="15" hidden="false" customHeight="true" outlineLevel="0" collapsed="false">
      <c r="A594" s="2" t="n">
        <f aca="false">'Raw Data'!H594</f>
        <v>593</v>
      </c>
      <c r="B594" s="2" t="n">
        <f aca="false">'Raw Data'!A594</f>
        <v>32</v>
      </c>
      <c r="C594" s="2" t="str">
        <f aca="false">'Raw Data'!D594</f>
        <v>Research &amp; Development</v>
      </c>
      <c r="D594" s="2" t="str">
        <f aca="false">'Raw Data'!K594</f>
        <v>Research Scientist</v>
      </c>
      <c r="E594" s="2" t="n">
        <f aca="false">'Raw Data'!Q594</f>
        <v>1</v>
      </c>
      <c r="F594" s="2" t="n">
        <f aca="false">'Raw Data'!U594</f>
        <v>0</v>
      </c>
      <c r="G594" s="2" t="n">
        <f aca="false">'Raw Data'!W594</f>
        <v>1</v>
      </c>
      <c r="H594" s="2" t="n">
        <f aca="false">'Raw Data'!V594</f>
        <v>3</v>
      </c>
      <c r="I594" s="2" t="n">
        <f aca="false">IF(AND(ISNUMBER(B594),B594&lt;=25),2,0)+IF(AND(ISNUMBER(E594),E594&lt;=5),2,0)+IF(AND(ISNUMBER(F594),F594&lt;=1),2,0)+IF(AND(ISNUMBER(G594),G594&lt;=2),1,0)+IF(AND(ISNUMBER(H594),H594&lt;=2),1,0)</f>
        <v>5</v>
      </c>
      <c r="J594" s="2" t="str">
        <f aca="false">IF(I594&gt;=6,"High",IF(I594&gt;=3,"Medium","Low"))</f>
        <v>Medium</v>
      </c>
    </row>
    <row r="595" customFormat="false" ht="15" hidden="false" customHeight="true" outlineLevel="0" collapsed="false">
      <c r="A595" s="2" t="n">
        <f aca="false">'Raw Data'!H595</f>
        <v>594</v>
      </c>
      <c r="B595" s="2" t="n">
        <f aca="false">'Raw Data'!A595</f>
        <v>56</v>
      </c>
      <c r="C595" s="2" t="str">
        <f aca="false">'Raw Data'!D595</f>
        <v>Research &amp; Development</v>
      </c>
      <c r="D595" s="2" t="str">
        <f aca="false">'Raw Data'!K595</f>
        <v>Healthcare Representative</v>
      </c>
      <c r="E595" s="2" t="n">
        <f aca="false">'Raw Data'!Q595</f>
        <v>28</v>
      </c>
      <c r="F595" s="2" t="n">
        <f aca="false">'Raw Data'!U595</f>
        <v>2</v>
      </c>
      <c r="G595" s="2" t="n">
        <f aca="false">'Raw Data'!W595</f>
        <v>1</v>
      </c>
      <c r="H595" s="2" t="n">
        <f aca="false">'Raw Data'!V595</f>
        <v>4</v>
      </c>
      <c r="I595" s="2" t="n">
        <f aca="false">IF(AND(ISNUMBER(B595),B595&lt;=25),2,0)+IF(AND(ISNUMBER(E595),E595&lt;=5),2,0)+IF(AND(ISNUMBER(F595),F595&lt;=1),2,0)+IF(AND(ISNUMBER(G595),G595&lt;=2),1,0)+IF(AND(ISNUMBER(H595),H595&lt;=2),1,0)</f>
        <v>1</v>
      </c>
      <c r="J595" s="2" t="str">
        <f aca="false">IF(I595&gt;=6,"High",IF(I595&gt;=3,"Medium","Low"))</f>
        <v>Low</v>
      </c>
    </row>
    <row r="596" customFormat="false" ht="15" hidden="false" customHeight="true" outlineLevel="0" collapsed="false">
      <c r="A596" s="2" t="n">
        <f aca="false">'Raw Data'!H596</f>
        <v>595</v>
      </c>
      <c r="B596" s="2" t="n">
        <f aca="false">'Raw Data'!A596</f>
        <v>29</v>
      </c>
      <c r="C596" s="2" t="str">
        <f aca="false">'Raw Data'!D596</f>
        <v>Research &amp; Development</v>
      </c>
      <c r="D596" s="2" t="str">
        <f aca="false">'Raw Data'!K596</f>
        <v>Laboratory Technician</v>
      </c>
      <c r="E596" s="2" t="n">
        <f aca="false">'Raw Data'!Q596</f>
        <v>10</v>
      </c>
      <c r="F596" s="2" t="n">
        <f aca="false">'Raw Data'!U596</f>
        <v>8</v>
      </c>
      <c r="G596" s="2" t="n">
        <f aca="false">'Raw Data'!W596</f>
        <v>4</v>
      </c>
      <c r="H596" s="2" t="n">
        <f aca="false">'Raw Data'!V596</f>
        <v>2</v>
      </c>
      <c r="I596" s="2" t="n">
        <f aca="false">IF(AND(ISNUMBER(B596),B596&lt;=25),2,0)+IF(AND(ISNUMBER(E596),E596&lt;=5),2,0)+IF(AND(ISNUMBER(F596),F596&lt;=1),2,0)+IF(AND(ISNUMBER(G596),G596&lt;=2),1,0)+IF(AND(ISNUMBER(H596),H596&lt;=2),1,0)</f>
        <v>1</v>
      </c>
      <c r="J596" s="2" t="str">
        <f aca="false">IF(I596&gt;=6,"High",IF(I596&gt;=3,"Medium","Low"))</f>
        <v>Low</v>
      </c>
    </row>
    <row r="597" customFormat="false" ht="15" hidden="false" customHeight="true" outlineLevel="0" collapsed="false">
      <c r="A597" s="2" t="n">
        <f aca="false">'Raw Data'!H597</f>
        <v>596</v>
      </c>
      <c r="B597" s="2" t="n">
        <f aca="false">'Raw Data'!A597</f>
        <v>19</v>
      </c>
      <c r="C597" s="2" t="str">
        <f aca="false">'Raw Data'!D597</f>
        <v>Research &amp; Development</v>
      </c>
      <c r="D597" s="2" t="str">
        <f aca="false">'Raw Data'!K597</f>
        <v>Laboratory Technician</v>
      </c>
      <c r="E597" s="2" t="n">
        <f aca="false">'Raw Data'!Q597</f>
        <v>1</v>
      </c>
      <c r="F597" s="2" t="n">
        <f aca="false">'Raw Data'!U597</f>
        <v>0</v>
      </c>
      <c r="G597" s="2" t="n">
        <f aca="false">'Raw Data'!W597</f>
        <v>1</v>
      </c>
      <c r="H597" s="2" t="n">
        <f aca="false">'Raw Data'!V597</f>
        <v>3</v>
      </c>
      <c r="I597" s="2" t="n">
        <f aca="false">IF(AND(ISNUMBER(B597),B597&lt;=25),2,0)+IF(AND(ISNUMBER(E597),E597&lt;=5),2,0)+IF(AND(ISNUMBER(F597),F597&lt;=1),2,0)+IF(AND(ISNUMBER(G597),G597&lt;=2),1,0)+IF(AND(ISNUMBER(H597),H597&lt;=2),1,0)</f>
        <v>7</v>
      </c>
      <c r="J597" s="2" t="str">
        <f aca="false">IF(I597&gt;=6,"High",IF(I597&gt;=3,"Medium","Low"))</f>
        <v>High</v>
      </c>
    </row>
    <row r="598" customFormat="false" ht="15" hidden="false" customHeight="true" outlineLevel="0" collapsed="false">
      <c r="A598" s="2" t="n">
        <f aca="false">'Raw Data'!H598</f>
        <v>597</v>
      </c>
      <c r="B598" s="2" t="n">
        <f aca="false">'Raw Data'!A598</f>
        <v>45</v>
      </c>
      <c r="C598" s="2" t="str">
        <f aca="false">'Raw Data'!D598</f>
        <v>Research &amp; Development</v>
      </c>
      <c r="D598" s="2" t="str">
        <f aca="false">'Raw Data'!K598</f>
        <v>Sales Representative</v>
      </c>
      <c r="E598" s="2" t="n">
        <f aca="false">'Raw Data'!Q598</f>
        <v>7</v>
      </c>
      <c r="F598" s="2" t="n">
        <f aca="false">'Raw Data'!U598</f>
        <v>2</v>
      </c>
      <c r="G598" s="2" t="n">
        <f aca="false">'Raw Data'!W598</f>
        <v>3</v>
      </c>
      <c r="H598" s="2" t="n">
        <f aca="false">'Raw Data'!V598</f>
        <v>1</v>
      </c>
      <c r="I598" s="2" t="n">
        <f aca="false">IF(AND(ISNUMBER(B598),B598&lt;=25),2,0)+IF(AND(ISNUMBER(E598),E598&lt;=5),2,0)+IF(AND(ISNUMBER(F598),F598&lt;=1),2,0)+IF(AND(ISNUMBER(G598),G598&lt;=2),1,0)+IF(AND(ISNUMBER(H598),H598&lt;=2),1,0)</f>
        <v>1</v>
      </c>
      <c r="J598" s="2" t="str">
        <f aca="false">IF(I598&gt;=6,"High",IF(I598&gt;=3,"Medium","Low"))</f>
        <v>Low</v>
      </c>
    </row>
    <row r="599" customFormat="false" ht="15" hidden="false" customHeight="true" outlineLevel="0" collapsed="false">
      <c r="A599" s="2" t="n">
        <f aca="false">'Raw Data'!H599</f>
        <v>598</v>
      </c>
      <c r="B599" s="2" t="n">
        <f aca="false">'Raw Data'!A599</f>
        <v>37</v>
      </c>
      <c r="C599" s="2" t="str">
        <f aca="false">'Raw Data'!D599</f>
        <v>Research &amp; Development</v>
      </c>
      <c r="D599" s="2" t="str">
        <f aca="false">'Raw Data'!K599</f>
        <v>Research Scientist</v>
      </c>
      <c r="E599" s="2" t="n">
        <f aca="false">'Raw Data'!Q599</f>
        <v>14</v>
      </c>
      <c r="F599" s="2" t="n">
        <f aca="false">'Raw Data'!U599</f>
        <v>11</v>
      </c>
      <c r="G599" s="2" t="n">
        <f aca="false">'Raw Data'!W599</f>
        <v>4</v>
      </c>
      <c r="H599" s="2" t="n">
        <f aca="false">'Raw Data'!V599</f>
        <v>4</v>
      </c>
      <c r="I599" s="2" t="n">
        <f aca="false">IF(AND(ISNUMBER(B599),B599&lt;=25),2,0)+IF(AND(ISNUMBER(E599),E599&lt;=5),2,0)+IF(AND(ISNUMBER(F599),F599&lt;=1),2,0)+IF(AND(ISNUMBER(G599),G599&lt;=2),1,0)+IF(AND(ISNUMBER(H599),H599&lt;=2),1,0)</f>
        <v>0</v>
      </c>
      <c r="J599" s="2" t="str">
        <f aca="false">IF(I599&gt;=6,"High",IF(I599&gt;=3,"Medium","Low"))</f>
        <v>Low</v>
      </c>
    </row>
    <row r="600" customFormat="false" ht="15" hidden="false" customHeight="true" outlineLevel="0" collapsed="false">
      <c r="A600" s="2" t="n">
        <f aca="false">'Raw Data'!H600</f>
        <v>599</v>
      </c>
      <c r="B600" s="2" t="n">
        <f aca="false">'Raw Data'!A600</f>
        <v>20</v>
      </c>
      <c r="C600" s="2" t="str">
        <f aca="false">'Raw Data'!D600</f>
        <v>Research &amp; Development</v>
      </c>
      <c r="D600" s="2" t="str">
        <f aca="false">'Raw Data'!K600</f>
        <v>Research Director</v>
      </c>
      <c r="E600" s="2" t="n">
        <f aca="false">'Raw Data'!Q600</f>
        <v>2</v>
      </c>
      <c r="F600" s="2" t="n">
        <f aca="false">'Raw Data'!U600</f>
        <v>2</v>
      </c>
      <c r="G600" s="2" t="n">
        <f aca="false">'Raw Data'!W600</f>
        <v>3</v>
      </c>
      <c r="H600" s="2" t="n">
        <f aca="false">'Raw Data'!V600</f>
        <v>1</v>
      </c>
      <c r="I600" s="2" t="n">
        <f aca="false">IF(AND(ISNUMBER(B600),B600&lt;=25),2,0)+IF(AND(ISNUMBER(E600),E600&lt;=5),2,0)+IF(AND(ISNUMBER(F600),F600&lt;=1),2,0)+IF(AND(ISNUMBER(G600),G600&lt;=2),1,0)+IF(AND(ISNUMBER(H600),H600&lt;=2),1,0)</f>
        <v>5</v>
      </c>
      <c r="J600" s="2" t="str">
        <f aca="false">IF(I600&gt;=6,"High",IF(I600&gt;=3,"Medium","Low"))</f>
        <v>Medium</v>
      </c>
    </row>
    <row r="601" customFormat="false" ht="15" hidden="false" customHeight="true" outlineLevel="0" collapsed="false">
      <c r="A601" s="2" t="n">
        <f aca="false">'Raw Data'!H601</f>
        <v>600</v>
      </c>
      <c r="B601" s="2" t="n">
        <f aca="false">'Raw Data'!A601</f>
        <v>44</v>
      </c>
      <c r="C601" s="2" t="str">
        <f aca="false">'Raw Data'!D601</f>
        <v>Human Resources</v>
      </c>
      <c r="D601" s="2" t="str">
        <f aca="false">'Raw Data'!K601</f>
        <v>Sales Executive</v>
      </c>
      <c r="E601" s="2" t="n">
        <f aca="false">'Raw Data'!Q601</f>
        <v>6</v>
      </c>
      <c r="F601" s="2" t="n">
        <f aca="false">'Raw Data'!U601</f>
        <v>2</v>
      </c>
      <c r="G601" s="2" t="n">
        <f aca="false">'Raw Data'!W601</f>
        <v>3</v>
      </c>
      <c r="H601" s="2" t="n">
        <f aca="false">'Raw Data'!V601</f>
        <v>3</v>
      </c>
      <c r="I601" s="2" t="n">
        <f aca="false">IF(AND(ISNUMBER(B601),B601&lt;=25),2,0)+IF(AND(ISNUMBER(E601),E601&lt;=5),2,0)+IF(AND(ISNUMBER(F601),F601&lt;=1),2,0)+IF(AND(ISNUMBER(G601),G601&lt;=2),1,0)+IF(AND(ISNUMBER(H601),H601&lt;=2),1,0)</f>
        <v>0</v>
      </c>
      <c r="J601" s="2" t="str">
        <f aca="false">IF(I601&gt;=6,"High",IF(I601&gt;=3,"Medium","Low"))</f>
        <v>Low</v>
      </c>
    </row>
    <row r="602" customFormat="false" ht="15" hidden="false" customHeight="true" outlineLevel="0" collapsed="false">
      <c r="A602" s="2" t="n">
        <f aca="false">'Raw Data'!H602</f>
        <v>601</v>
      </c>
      <c r="B602" s="2" t="n">
        <f aca="false">'Raw Data'!A602</f>
        <v>53</v>
      </c>
      <c r="C602" s="2" t="str">
        <f aca="false">'Raw Data'!D602</f>
        <v>Research &amp; Development</v>
      </c>
      <c r="D602" s="2" t="str">
        <f aca="false">'Raw Data'!K602</f>
        <v>Research Director</v>
      </c>
      <c r="E602" s="2" t="n">
        <f aca="false">'Raw Data'!Q602</f>
        <v>26</v>
      </c>
      <c r="F602" s="2" t="n">
        <f aca="false">'Raw Data'!U602</f>
        <v>7</v>
      </c>
      <c r="G602" s="2" t="n">
        <f aca="false">'Raw Data'!W602</f>
        <v>3</v>
      </c>
      <c r="H602" s="2" t="n">
        <f aca="false">'Raw Data'!V602</f>
        <v>4</v>
      </c>
      <c r="I602" s="2" t="n">
        <f aca="false">IF(AND(ISNUMBER(B602),B602&lt;=25),2,0)+IF(AND(ISNUMBER(E602),E602&lt;=5),2,0)+IF(AND(ISNUMBER(F602),F602&lt;=1),2,0)+IF(AND(ISNUMBER(G602),G602&lt;=2),1,0)+IF(AND(ISNUMBER(H602),H602&lt;=2),1,0)</f>
        <v>0</v>
      </c>
      <c r="J602" s="2" t="str">
        <f aca="false">IF(I602&gt;=6,"High",IF(I602&gt;=3,"Medium","Low"))</f>
        <v>Low</v>
      </c>
    </row>
    <row r="603" customFormat="false" ht="15" hidden="false" customHeight="true" outlineLevel="0" collapsed="false">
      <c r="A603" s="2" t="n">
        <f aca="false">'Raw Data'!H603</f>
        <v>602</v>
      </c>
      <c r="B603" s="2" t="n">
        <f aca="false">'Raw Data'!A603</f>
        <v>29</v>
      </c>
      <c r="C603" s="2" t="str">
        <f aca="false">'Raw Data'!D603</f>
        <v>Research &amp; Development</v>
      </c>
      <c r="D603" s="2" t="str">
        <f aca="false">'Raw Data'!K603</f>
        <v>Sales Executive</v>
      </c>
      <c r="E603" s="2" t="n">
        <f aca="false">'Raw Data'!Q603</f>
        <v>6</v>
      </c>
      <c r="F603" s="2" t="n">
        <f aca="false">'Raw Data'!U603</f>
        <v>3</v>
      </c>
      <c r="G603" s="2" t="n">
        <f aca="false">'Raw Data'!W603</f>
        <v>4</v>
      </c>
      <c r="H603" s="2" t="n">
        <f aca="false">'Raw Data'!V603</f>
        <v>2</v>
      </c>
      <c r="I603" s="2" t="n">
        <f aca="false">IF(AND(ISNUMBER(B603),B603&lt;=25),2,0)+IF(AND(ISNUMBER(E603),E603&lt;=5),2,0)+IF(AND(ISNUMBER(F603),F603&lt;=1),2,0)+IF(AND(ISNUMBER(G603),G603&lt;=2),1,0)+IF(AND(ISNUMBER(H603),H603&lt;=2),1,0)</f>
        <v>1</v>
      </c>
      <c r="J603" s="2" t="str">
        <f aca="false">IF(I603&gt;=6,"High",IF(I603&gt;=3,"Medium","Low"))</f>
        <v>Low</v>
      </c>
    </row>
    <row r="604" customFormat="false" ht="15" hidden="false" customHeight="true" outlineLevel="0" collapsed="false">
      <c r="A604" s="2" t="n">
        <f aca="false">'Raw Data'!H604</f>
        <v>603</v>
      </c>
      <c r="B604" s="2" t="n">
        <f aca="false">'Raw Data'!A604</f>
        <v>22</v>
      </c>
      <c r="C604" s="2" t="str">
        <f aca="false">'Raw Data'!D604</f>
        <v>Research &amp; Development</v>
      </c>
      <c r="D604" s="2" t="str">
        <f aca="false">'Raw Data'!K604</f>
        <v>Sales Representative</v>
      </c>
      <c r="E604" s="2" t="n">
        <f aca="false">'Raw Data'!Q604</f>
        <v>1</v>
      </c>
      <c r="F604" s="2" t="n">
        <f aca="false">'Raw Data'!U604</f>
        <v>0</v>
      </c>
      <c r="G604" s="2" t="n">
        <f aca="false">'Raw Data'!W604</f>
        <v>4</v>
      </c>
      <c r="H604" s="2" t="n">
        <f aca="false">'Raw Data'!V604</f>
        <v>3</v>
      </c>
      <c r="I604" s="2" t="n">
        <f aca="false">IF(AND(ISNUMBER(B604),B604&lt;=25),2,0)+IF(AND(ISNUMBER(E604),E604&lt;=5),2,0)+IF(AND(ISNUMBER(F604),F604&lt;=1),2,0)+IF(AND(ISNUMBER(G604),G604&lt;=2),1,0)+IF(AND(ISNUMBER(H604),H604&lt;=2),1,0)</f>
        <v>6</v>
      </c>
      <c r="J604" s="2" t="str">
        <f aca="false">IF(I604&gt;=6,"High",IF(I604&gt;=3,"Medium","Low"))</f>
        <v>High</v>
      </c>
    </row>
    <row r="605" customFormat="false" ht="15" hidden="false" customHeight="true" outlineLevel="0" collapsed="false">
      <c r="A605" s="2" t="n">
        <f aca="false">'Raw Data'!H605</f>
        <v>604</v>
      </c>
      <c r="B605" s="2" t="n">
        <f aca="false">'Raw Data'!A605</f>
        <v>46</v>
      </c>
      <c r="C605" s="2" t="str">
        <f aca="false">'Raw Data'!D605</f>
        <v>Research &amp; Development</v>
      </c>
      <c r="D605" s="2" t="str">
        <f aca="false">'Raw Data'!K605</f>
        <v>Research Scientist</v>
      </c>
      <c r="E605" s="2" t="n">
        <f aca="false">'Raw Data'!Q605</f>
        <v>28</v>
      </c>
      <c r="F605" s="2" t="n">
        <f aca="false">'Raw Data'!U605</f>
        <v>9</v>
      </c>
      <c r="G605" s="2" t="n">
        <f aca="false">'Raw Data'!W605</f>
        <v>1</v>
      </c>
      <c r="H605" s="2" t="n">
        <f aca="false">'Raw Data'!V605</f>
        <v>3</v>
      </c>
      <c r="I605" s="2" t="n">
        <f aca="false">IF(AND(ISNUMBER(B605),B605&lt;=25),2,0)+IF(AND(ISNUMBER(E605),E605&lt;=5),2,0)+IF(AND(ISNUMBER(F605),F605&lt;=1),2,0)+IF(AND(ISNUMBER(G605),G605&lt;=2),1,0)+IF(AND(ISNUMBER(H605),H605&lt;=2),1,0)</f>
        <v>1</v>
      </c>
      <c r="J605" s="2" t="str">
        <f aca="false">IF(I605&gt;=6,"High",IF(I605&gt;=3,"Medium","Low"))</f>
        <v>Low</v>
      </c>
    </row>
    <row r="606" customFormat="false" ht="15" hidden="false" customHeight="true" outlineLevel="0" collapsed="false">
      <c r="A606" s="2" t="n">
        <f aca="false">'Raw Data'!H606</f>
        <v>605</v>
      </c>
      <c r="B606" s="2" t="n">
        <f aca="false">'Raw Data'!A606</f>
        <v>44</v>
      </c>
      <c r="C606" s="2" t="str">
        <f aca="false">'Raw Data'!D606</f>
        <v>Research &amp; Development</v>
      </c>
      <c r="D606" s="2" t="str">
        <f aca="false">'Raw Data'!K606</f>
        <v>Sales Representative</v>
      </c>
      <c r="E606" s="2" t="n">
        <f aca="false">'Raw Data'!Q606</f>
        <v>6</v>
      </c>
      <c r="F606" s="2" t="n">
        <f aca="false">'Raw Data'!U606</f>
        <v>0</v>
      </c>
      <c r="G606" s="2" t="n">
        <f aca="false">'Raw Data'!W606</f>
        <v>3</v>
      </c>
      <c r="H606" s="2" t="n">
        <f aca="false">'Raw Data'!V606</f>
        <v>4</v>
      </c>
      <c r="I606" s="2" t="n">
        <f aca="false">IF(AND(ISNUMBER(B606),B606&lt;=25),2,0)+IF(AND(ISNUMBER(E606),E606&lt;=5),2,0)+IF(AND(ISNUMBER(F606),F606&lt;=1),2,0)+IF(AND(ISNUMBER(G606),G606&lt;=2),1,0)+IF(AND(ISNUMBER(H606),H606&lt;=2),1,0)</f>
        <v>2</v>
      </c>
      <c r="J606" s="2" t="str">
        <f aca="false">IF(I606&gt;=6,"High",IF(I606&gt;=3,"Medium","Low"))</f>
        <v>Low</v>
      </c>
    </row>
    <row r="607" customFormat="false" ht="15" hidden="false" customHeight="true" outlineLevel="0" collapsed="false">
      <c r="A607" s="2" t="n">
        <f aca="false">'Raw Data'!H607</f>
        <v>606</v>
      </c>
      <c r="B607" s="2" t="n">
        <f aca="false">'Raw Data'!A607</f>
        <v>33</v>
      </c>
      <c r="C607" s="2" t="str">
        <f aca="false">'Raw Data'!D607</f>
        <v>Research &amp; Development</v>
      </c>
      <c r="D607" s="2" t="str">
        <f aca="false">'Raw Data'!K607</f>
        <v>Manager</v>
      </c>
      <c r="E607" s="2" t="n">
        <f aca="false">'Raw Data'!Q607</f>
        <v>5</v>
      </c>
      <c r="F607" s="2" t="n">
        <f aca="false">'Raw Data'!U607</f>
        <v>4</v>
      </c>
      <c r="G607" s="2" t="n">
        <f aca="false">'Raw Data'!W607</f>
        <v>3</v>
      </c>
      <c r="H607" s="2" t="n">
        <f aca="false">'Raw Data'!V607</f>
        <v>2</v>
      </c>
      <c r="I607" s="2" t="n">
        <f aca="false">IF(AND(ISNUMBER(B607),B607&lt;=25),2,0)+IF(AND(ISNUMBER(E607),E607&lt;=5),2,0)+IF(AND(ISNUMBER(F607),F607&lt;=1),2,0)+IF(AND(ISNUMBER(G607),G607&lt;=2),1,0)+IF(AND(ISNUMBER(H607),H607&lt;=2),1,0)</f>
        <v>3</v>
      </c>
      <c r="J607" s="2" t="str">
        <f aca="false">IF(I607&gt;=6,"High",IF(I607&gt;=3,"Medium","Low"))</f>
        <v>Medium</v>
      </c>
    </row>
    <row r="608" customFormat="false" ht="15" hidden="false" customHeight="true" outlineLevel="0" collapsed="false">
      <c r="A608" s="2" t="n">
        <f aca="false">'Raw Data'!H608</f>
        <v>607</v>
      </c>
      <c r="B608" s="2" t="n">
        <f aca="false">'Raw Data'!A608</f>
        <v>41</v>
      </c>
      <c r="C608" s="2" t="str">
        <f aca="false">'Raw Data'!D608</f>
        <v>Research &amp; Development</v>
      </c>
      <c r="D608" s="2" t="str">
        <f aca="false">'Raw Data'!K608</f>
        <v>Sales Representative</v>
      </c>
      <c r="E608" s="2" t="n">
        <f aca="false">'Raw Data'!Q608</f>
        <v>5</v>
      </c>
      <c r="F608" s="2" t="n">
        <f aca="false">'Raw Data'!U608</f>
        <v>0</v>
      </c>
      <c r="G608" s="2" t="n">
        <f aca="false">'Raw Data'!W608</f>
        <v>1</v>
      </c>
      <c r="H608" s="2" t="n">
        <f aca="false">'Raw Data'!V608</f>
        <v>1</v>
      </c>
      <c r="I608" s="2" t="n">
        <f aca="false">IF(AND(ISNUMBER(B608),B608&lt;=25),2,0)+IF(AND(ISNUMBER(E608),E608&lt;=5),2,0)+IF(AND(ISNUMBER(F608),F608&lt;=1),2,0)+IF(AND(ISNUMBER(G608),G608&lt;=2),1,0)+IF(AND(ISNUMBER(H608),H608&lt;=2),1,0)</f>
        <v>6</v>
      </c>
      <c r="J608" s="2" t="str">
        <f aca="false">IF(I608&gt;=6,"High",IF(I608&gt;=3,"Medium","Low"))</f>
        <v>High</v>
      </c>
    </row>
    <row r="609" customFormat="false" ht="15" hidden="false" customHeight="true" outlineLevel="0" collapsed="false">
      <c r="A609" s="2" t="n">
        <f aca="false">'Raw Data'!H609</f>
        <v>608</v>
      </c>
      <c r="B609" s="2" t="n">
        <f aca="false">'Raw Data'!A609</f>
        <v>30</v>
      </c>
      <c r="C609" s="2" t="str">
        <f aca="false">'Raw Data'!D609</f>
        <v>Sales</v>
      </c>
      <c r="D609" s="2" t="str">
        <f aca="false">'Raw Data'!K609</f>
        <v>Sales Executive</v>
      </c>
      <c r="E609" s="2" t="n">
        <f aca="false">'Raw Data'!Q609</f>
        <v>8</v>
      </c>
      <c r="F609" s="2" t="n">
        <f aca="false">'Raw Data'!U609</f>
        <v>3</v>
      </c>
      <c r="G609" s="2" t="n">
        <f aca="false">'Raw Data'!W609</f>
        <v>1</v>
      </c>
      <c r="H609" s="2" t="n">
        <f aca="false">'Raw Data'!V609</f>
        <v>3</v>
      </c>
      <c r="I609" s="2" t="n">
        <f aca="false">IF(AND(ISNUMBER(B609),B609&lt;=25),2,0)+IF(AND(ISNUMBER(E609),E609&lt;=5),2,0)+IF(AND(ISNUMBER(F609),F609&lt;=1),2,0)+IF(AND(ISNUMBER(G609),G609&lt;=2),1,0)+IF(AND(ISNUMBER(H609),H609&lt;=2),1,0)</f>
        <v>1</v>
      </c>
      <c r="J609" s="2" t="str">
        <f aca="false">IF(I609&gt;=6,"High",IF(I609&gt;=3,"Medium","Low"))</f>
        <v>Low</v>
      </c>
    </row>
    <row r="610" customFormat="false" ht="15" hidden="false" customHeight="true" outlineLevel="0" collapsed="false">
      <c r="A610" s="2" t="n">
        <f aca="false">'Raw Data'!H610</f>
        <v>609</v>
      </c>
      <c r="B610" s="2" t="n">
        <f aca="false">'Raw Data'!A610</f>
        <v>40</v>
      </c>
      <c r="C610" s="2" t="str">
        <f aca="false">'Raw Data'!D610</f>
        <v>Sales</v>
      </c>
      <c r="D610" s="2" t="str">
        <f aca="false">'Raw Data'!K610</f>
        <v>Manufacturing Director</v>
      </c>
      <c r="E610" s="2" t="n">
        <f aca="false">'Raw Data'!Q610</f>
        <v>5</v>
      </c>
      <c r="F610" s="2" t="n">
        <f aca="false">'Raw Data'!U610</f>
        <v>0</v>
      </c>
      <c r="G610" s="2" t="n">
        <f aca="false">'Raw Data'!W610</f>
        <v>2</v>
      </c>
      <c r="H610" s="2" t="n">
        <f aca="false">'Raw Data'!V610</f>
        <v>2</v>
      </c>
      <c r="I610" s="2" t="n">
        <f aca="false">IF(AND(ISNUMBER(B610),B610&lt;=25),2,0)+IF(AND(ISNUMBER(E610),E610&lt;=5),2,0)+IF(AND(ISNUMBER(F610),F610&lt;=1),2,0)+IF(AND(ISNUMBER(G610),G610&lt;=2),1,0)+IF(AND(ISNUMBER(H610),H610&lt;=2),1,0)</f>
        <v>6</v>
      </c>
      <c r="J610" s="2" t="str">
        <f aca="false">IF(I610&gt;=6,"High",IF(I610&gt;=3,"Medium","Low"))</f>
        <v>High</v>
      </c>
    </row>
    <row r="611" customFormat="false" ht="15" hidden="false" customHeight="true" outlineLevel="0" collapsed="false">
      <c r="A611" s="2" t="n">
        <f aca="false">'Raw Data'!H611</f>
        <v>610</v>
      </c>
      <c r="B611" s="2" t="n">
        <f aca="false">'Raw Data'!A611</f>
        <v>50</v>
      </c>
      <c r="C611" s="2" t="str">
        <f aca="false">'Raw Data'!D611</f>
        <v>Research &amp; Development</v>
      </c>
      <c r="D611" s="2" t="str">
        <f aca="false">'Raw Data'!K611</f>
        <v>Healthcare Representative</v>
      </c>
      <c r="E611" s="2" t="n">
        <f aca="false">'Raw Data'!Q611</f>
        <v>32</v>
      </c>
      <c r="F611" s="2" t="n">
        <f aca="false">'Raw Data'!U611</f>
        <v>2</v>
      </c>
      <c r="G611" s="2" t="n">
        <f aca="false">'Raw Data'!W611</f>
        <v>1</v>
      </c>
      <c r="H611" s="2" t="n">
        <f aca="false">'Raw Data'!V611</f>
        <v>4</v>
      </c>
      <c r="I611" s="2" t="n">
        <f aca="false">IF(AND(ISNUMBER(B611),B611&lt;=25),2,0)+IF(AND(ISNUMBER(E611),E611&lt;=5),2,0)+IF(AND(ISNUMBER(F611),F611&lt;=1),2,0)+IF(AND(ISNUMBER(G611),G611&lt;=2),1,0)+IF(AND(ISNUMBER(H611),H611&lt;=2),1,0)</f>
        <v>1</v>
      </c>
      <c r="J611" s="2" t="str">
        <f aca="false">IF(I611&gt;=6,"High",IF(I611&gt;=3,"Medium","Low"))</f>
        <v>Low</v>
      </c>
    </row>
    <row r="612" customFormat="false" ht="15" hidden="false" customHeight="true" outlineLevel="0" collapsed="false">
      <c r="A612" s="2" t="n">
        <f aca="false">'Raw Data'!H612</f>
        <v>611</v>
      </c>
      <c r="B612" s="2" t="n">
        <f aca="false">'Raw Data'!A612</f>
        <v>28</v>
      </c>
      <c r="C612" s="2" t="str">
        <f aca="false">'Raw Data'!D612</f>
        <v>Research &amp; Development</v>
      </c>
      <c r="D612" s="2" t="str">
        <f aca="false">'Raw Data'!K612</f>
        <v>Research Scientist</v>
      </c>
      <c r="E612" s="2" t="n">
        <f aca="false">'Raw Data'!Q612</f>
        <v>6</v>
      </c>
      <c r="F612" s="2" t="n">
        <f aca="false">'Raw Data'!U612</f>
        <v>3</v>
      </c>
      <c r="G612" s="2" t="n">
        <f aca="false">'Raw Data'!W612</f>
        <v>1</v>
      </c>
      <c r="H612" s="2" t="n">
        <f aca="false">'Raw Data'!V612</f>
        <v>4</v>
      </c>
      <c r="I612" s="2" t="n">
        <f aca="false">IF(AND(ISNUMBER(B612),B612&lt;=25),2,0)+IF(AND(ISNUMBER(E612),E612&lt;=5),2,0)+IF(AND(ISNUMBER(F612),F612&lt;=1),2,0)+IF(AND(ISNUMBER(G612),G612&lt;=2),1,0)+IF(AND(ISNUMBER(H612),H612&lt;=2),1,0)</f>
        <v>1</v>
      </c>
      <c r="J612" s="2" t="str">
        <f aca="false">IF(I612&gt;=6,"High",IF(I612&gt;=3,"Medium","Low"))</f>
        <v>Low</v>
      </c>
    </row>
    <row r="613" customFormat="false" ht="15" hidden="false" customHeight="true" outlineLevel="0" collapsed="false">
      <c r="A613" s="2" t="n">
        <f aca="false">'Raw Data'!H613</f>
        <v>612</v>
      </c>
      <c r="B613" s="2" t="n">
        <f aca="false">'Raw Data'!A613</f>
        <v>46</v>
      </c>
      <c r="C613" s="2" t="str">
        <f aca="false">'Raw Data'!D613</f>
        <v>Research &amp; Development</v>
      </c>
      <c r="D613" s="2" t="str">
        <f aca="false">'Raw Data'!K613</f>
        <v>Manager</v>
      </c>
      <c r="E613" s="2" t="n">
        <f aca="false">'Raw Data'!Q613</f>
        <v>25</v>
      </c>
      <c r="F613" s="2" t="n">
        <f aca="false">'Raw Data'!U613</f>
        <v>3</v>
      </c>
      <c r="G613" s="2" t="n">
        <f aca="false">'Raw Data'!W613</f>
        <v>2</v>
      </c>
      <c r="H613" s="2" t="n">
        <f aca="false">'Raw Data'!V613</f>
        <v>4</v>
      </c>
      <c r="I613" s="2" t="n">
        <f aca="false">IF(AND(ISNUMBER(B613),B613&lt;=25),2,0)+IF(AND(ISNUMBER(E613),E613&lt;=5),2,0)+IF(AND(ISNUMBER(F613),F613&lt;=1),2,0)+IF(AND(ISNUMBER(G613),G613&lt;=2),1,0)+IF(AND(ISNUMBER(H613),H613&lt;=2),1,0)</f>
        <v>1</v>
      </c>
      <c r="J613" s="2" t="str">
        <f aca="false">IF(I613&gt;=6,"High",IF(I613&gt;=3,"Medium","Low"))</f>
        <v>Low</v>
      </c>
    </row>
    <row r="614" customFormat="false" ht="15" hidden="false" customHeight="true" outlineLevel="0" collapsed="false">
      <c r="A614" s="2" t="n">
        <f aca="false">'Raw Data'!H614</f>
        <v>613</v>
      </c>
      <c r="B614" s="2" t="n">
        <f aca="false">'Raw Data'!A614</f>
        <v>35</v>
      </c>
      <c r="C614" s="2" t="str">
        <f aca="false">'Raw Data'!D614</f>
        <v>Sales</v>
      </c>
      <c r="D614" s="2" t="str">
        <f aca="false">'Raw Data'!K614</f>
        <v>Laboratory Technician</v>
      </c>
      <c r="E614" s="2" t="n">
        <f aca="false">'Raw Data'!Q614</f>
        <v>15</v>
      </c>
      <c r="F614" s="2" t="n">
        <f aca="false">'Raw Data'!U614</f>
        <v>7</v>
      </c>
      <c r="G614" s="2" t="n">
        <f aca="false">'Raw Data'!W614</f>
        <v>1</v>
      </c>
      <c r="H614" s="2" t="n">
        <f aca="false">'Raw Data'!V614</f>
        <v>3</v>
      </c>
      <c r="I614" s="2" t="n">
        <f aca="false">IF(AND(ISNUMBER(B614),B614&lt;=25),2,0)+IF(AND(ISNUMBER(E614),E614&lt;=5),2,0)+IF(AND(ISNUMBER(F614),F614&lt;=1),2,0)+IF(AND(ISNUMBER(G614),G614&lt;=2),1,0)+IF(AND(ISNUMBER(H614),H614&lt;=2),1,0)</f>
        <v>1</v>
      </c>
      <c r="J614" s="2" t="str">
        <f aca="false">IF(I614&gt;=6,"High",IF(I614&gt;=3,"Medium","Low"))</f>
        <v>Low</v>
      </c>
    </row>
    <row r="615" customFormat="false" ht="15" hidden="false" customHeight="true" outlineLevel="0" collapsed="false">
      <c r="A615" s="2" t="n">
        <f aca="false">'Raw Data'!H615</f>
        <v>614</v>
      </c>
      <c r="B615" s="2" t="n">
        <f aca="false">'Raw Data'!A615</f>
        <v>24</v>
      </c>
      <c r="C615" s="2" t="str">
        <f aca="false">'Raw Data'!D615</f>
        <v>Human Resources</v>
      </c>
      <c r="D615" s="2" t="str">
        <f aca="false">'Raw Data'!K615</f>
        <v>Manufacturing Director</v>
      </c>
      <c r="E615" s="2" t="n">
        <f aca="false">'Raw Data'!Q615</f>
        <v>1</v>
      </c>
      <c r="F615" s="2" t="n">
        <f aca="false">'Raw Data'!U615</f>
        <v>0</v>
      </c>
      <c r="G615" s="2" t="n">
        <f aca="false">'Raw Data'!W615</f>
        <v>2</v>
      </c>
      <c r="H615" s="2" t="n">
        <f aca="false">'Raw Data'!V615</f>
        <v>4</v>
      </c>
      <c r="I615" s="2" t="n">
        <f aca="false">IF(AND(ISNUMBER(B615),B615&lt;=25),2,0)+IF(AND(ISNUMBER(E615),E615&lt;=5),2,0)+IF(AND(ISNUMBER(F615),F615&lt;=1),2,0)+IF(AND(ISNUMBER(G615),G615&lt;=2),1,0)+IF(AND(ISNUMBER(H615),H615&lt;=2),1,0)</f>
        <v>7</v>
      </c>
      <c r="J615" s="2" t="str">
        <f aca="false">IF(I615&gt;=6,"High",IF(I615&gt;=3,"Medium","Low"))</f>
        <v>High</v>
      </c>
    </row>
    <row r="616" customFormat="false" ht="15" hidden="false" customHeight="true" outlineLevel="0" collapsed="false">
      <c r="A616" s="2" t="n">
        <f aca="false">'Raw Data'!H616</f>
        <v>615</v>
      </c>
      <c r="B616" s="2" t="n">
        <f aca="false">'Raw Data'!A616</f>
        <v>33</v>
      </c>
      <c r="C616" s="2" t="str">
        <f aca="false">'Raw Data'!D616</f>
        <v>Research &amp; Development</v>
      </c>
      <c r="D616" s="2" t="str">
        <f aca="false">'Raw Data'!K616</f>
        <v>Sales Executive</v>
      </c>
      <c r="E616" s="2" t="n">
        <f aca="false">'Raw Data'!Q616</f>
        <v>10</v>
      </c>
      <c r="F616" s="2" t="n">
        <f aca="false">'Raw Data'!U616</f>
        <v>1</v>
      </c>
      <c r="G616" s="2" t="n">
        <f aca="false">'Raw Data'!W616</f>
        <v>3</v>
      </c>
      <c r="H616" s="2" t="n">
        <f aca="false">'Raw Data'!V616</f>
        <v>2</v>
      </c>
      <c r="I616" s="2" t="n">
        <f aca="false">IF(AND(ISNUMBER(B616),B616&lt;=25),2,0)+IF(AND(ISNUMBER(E616),E616&lt;=5),2,0)+IF(AND(ISNUMBER(F616),F616&lt;=1),2,0)+IF(AND(ISNUMBER(G616),G616&lt;=2),1,0)+IF(AND(ISNUMBER(H616),H616&lt;=2),1,0)</f>
        <v>3</v>
      </c>
      <c r="J616" s="2" t="str">
        <f aca="false">IF(I616&gt;=6,"High",IF(I616&gt;=3,"Medium","Low"))</f>
        <v>Medium</v>
      </c>
    </row>
    <row r="617" customFormat="false" ht="15" hidden="false" customHeight="true" outlineLevel="0" collapsed="false">
      <c r="A617" s="2" t="n">
        <f aca="false">'Raw Data'!H617</f>
        <v>616</v>
      </c>
      <c r="B617" s="2" t="n">
        <f aca="false">'Raw Data'!A617</f>
        <v>36</v>
      </c>
      <c r="C617" s="2" t="str">
        <f aca="false">'Raw Data'!D617</f>
        <v>Research &amp; Development</v>
      </c>
      <c r="D617" s="2" t="str">
        <f aca="false">'Raw Data'!K617</f>
        <v>Sales Executive</v>
      </c>
      <c r="E617" s="2" t="n">
        <f aca="false">'Raw Data'!Q617</f>
        <v>7</v>
      </c>
      <c r="F617" s="2" t="n">
        <f aca="false">'Raw Data'!U617</f>
        <v>7</v>
      </c>
      <c r="G617" s="2" t="n">
        <f aca="false">'Raw Data'!W617</f>
        <v>3</v>
      </c>
      <c r="H617" s="2" t="n">
        <f aca="false">'Raw Data'!V617</f>
        <v>3</v>
      </c>
      <c r="I617" s="2" t="n">
        <f aca="false">IF(AND(ISNUMBER(B617),B617&lt;=25),2,0)+IF(AND(ISNUMBER(E617),E617&lt;=5),2,0)+IF(AND(ISNUMBER(F617),F617&lt;=1),2,0)+IF(AND(ISNUMBER(G617),G617&lt;=2),1,0)+IF(AND(ISNUMBER(H617),H617&lt;=2),1,0)</f>
        <v>0</v>
      </c>
      <c r="J617" s="2" t="str">
        <f aca="false">IF(I617&gt;=6,"High",IF(I617&gt;=3,"Medium","Low"))</f>
        <v>Low</v>
      </c>
    </row>
    <row r="618" customFormat="false" ht="15" hidden="false" customHeight="true" outlineLevel="0" collapsed="false">
      <c r="A618" s="2" t="n">
        <f aca="false">'Raw Data'!H618</f>
        <v>617</v>
      </c>
      <c r="B618" s="2" t="n">
        <f aca="false">'Raw Data'!A618</f>
        <v>30</v>
      </c>
      <c r="C618" s="2" t="str">
        <f aca="false">'Raw Data'!D618</f>
        <v>Sales</v>
      </c>
      <c r="D618" s="2" t="str">
        <f aca="false">'Raw Data'!K618</f>
        <v>Sales Executive</v>
      </c>
      <c r="E618" s="2" t="n">
        <f aca="false">'Raw Data'!Q618</f>
        <v>10</v>
      </c>
      <c r="F618" s="2" t="n">
        <f aca="false">'Raw Data'!U618</f>
        <v>9</v>
      </c>
      <c r="G618" s="2" t="n">
        <f aca="false">'Raw Data'!W618</f>
        <v>3</v>
      </c>
      <c r="H618" s="2" t="n">
        <f aca="false">'Raw Data'!V618</f>
        <v>3</v>
      </c>
      <c r="I618" s="2" t="n">
        <f aca="false">IF(AND(ISNUMBER(B618),B618&lt;=25),2,0)+IF(AND(ISNUMBER(E618),E618&lt;=5),2,0)+IF(AND(ISNUMBER(F618),F618&lt;=1),2,0)+IF(AND(ISNUMBER(G618),G618&lt;=2),1,0)+IF(AND(ISNUMBER(H618),H618&lt;=2),1,0)</f>
        <v>0</v>
      </c>
      <c r="J618" s="2" t="str">
        <f aca="false">IF(I618&gt;=6,"High",IF(I618&gt;=3,"Medium","Low"))</f>
        <v>Low</v>
      </c>
    </row>
    <row r="619" customFormat="false" ht="15" hidden="false" customHeight="true" outlineLevel="0" collapsed="false">
      <c r="A619" s="2" t="n">
        <f aca="false">'Raw Data'!H619</f>
        <v>618</v>
      </c>
      <c r="B619" s="2" t="n">
        <f aca="false">'Raw Data'!A619</f>
        <v>44</v>
      </c>
      <c r="C619" s="2" t="str">
        <f aca="false">'Raw Data'!D619</f>
        <v>Research &amp; Development</v>
      </c>
      <c r="D619" s="2" t="str">
        <f aca="false">'Raw Data'!K619</f>
        <v>Research Scientist</v>
      </c>
      <c r="E619" s="2" t="n">
        <f aca="false">'Raw Data'!Q619</f>
        <v>20</v>
      </c>
      <c r="F619" s="2" t="n">
        <f aca="false">'Raw Data'!U619</f>
        <v>17</v>
      </c>
      <c r="G619" s="2" t="n">
        <f aca="false">'Raw Data'!W619</f>
        <v>4</v>
      </c>
      <c r="H619" s="2" t="n">
        <f aca="false">'Raw Data'!V619</f>
        <v>4</v>
      </c>
      <c r="I619" s="2" t="n">
        <f aca="false">IF(AND(ISNUMBER(B619),B619&lt;=25),2,0)+IF(AND(ISNUMBER(E619),E619&lt;=5),2,0)+IF(AND(ISNUMBER(F619),F619&lt;=1),2,0)+IF(AND(ISNUMBER(G619),G619&lt;=2),1,0)+IF(AND(ISNUMBER(H619),H619&lt;=2),1,0)</f>
        <v>0</v>
      </c>
      <c r="J619" s="2" t="str">
        <f aca="false">IF(I619&gt;=6,"High",IF(I619&gt;=3,"Medium","Low"))</f>
        <v>Low</v>
      </c>
    </row>
    <row r="620" customFormat="false" ht="15" hidden="false" customHeight="true" outlineLevel="0" collapsed="false">
      <c r="A620" s="2" t="n">
        <f aca="false">'Raw Data'!H620</f>
        <v>619</v>
      </c>
      <c r="B620" s="2" t="n">
        <f aca="false">'Raw Data'!A620</f>
        <v>20</v>
      </c>
      <c r="C620" s="2" t="str">
        <f aca="false">'Raw Data'!D620</f>
        <v>Research &amp; Development</v>
      </c>
      <c r="D620" s="2" t="str">
        <f aca="false">'Raw Data'!K620</f>
        <v>Human Resources</v>
      </c>
      <c r="E620" s="2" t="n">
        <f aca="false">'Raw Data'!Q620</f>
        <v>2</v>
      </c>
      <c r="F620" s="2" t="n">
        <f aca="false">'Raw Data'!U620</f>
        <v>2</v>
      </c>
      <c r="G620" s="2" t="n">
        <f aca="false">'Raw Data'!W620</f>
        <v>4</v>
      </c>
      <c r="H620" s="2" t="n">
        <f aca="false">'Raw Data'!V620</f>
        <v>3</v>
      </c>
      <c r="I620" s="2" t="n">
        <f aca="false">IF(AND(ISNUMBER(B620),B620&lt;=25),2,0)+IF(AND(ISNUMBER(E620),E620&lt;=5),2,0)+IF(AND(ISNUMBER(F620),F620&lt;=1),2,0)+IF(AND(ISNUMBER(G620),G620&lt;=2),1,0)+IF(AND(ISNUMBER(H620),H620&lt;=2),1,0)</f>
        <v>4</v>
      </c>
      <c r="J620" s="2" t="str">
        <f aca="false">IF(I620&gt;=6,"High",IF(I620&gt;=3,"Medium","Low"))</f>
        <v>Medium</v>
      </c>
    </row>
    <row r="621" customFormat="false" ht="15" hidden="false" customHeight="true" outlineLevel="0" collapsed="false">
      <c r="A621" s="2" t="n">
        <f aca="false">'Raw Data'!H621</f>
        <v>620</v>
      </c>
      <c r="B621" s="2" t="n">
        <f aca="false">'Raw Data'!A621</f>
        <v>46</v>
      </c>
      <c r="C621" s="2" t="str">
        <f aca="false">'Raw Data'!D621</f>
        <v>Sales</v>
      </c>
      <c r="D621" s="2" t="str">
        <f aca="false">'Raw Data'!K621</f>
        <v>Sales Executive</v>
      </c>
      <c r="E621" s="2" t="n">
        <f aca="false">'Raw Data'!Q621</f>
        <v>12</v>
      </c>
      <c r="F621" s="2" t="n">
        <f aca="false">'Raw Data'!U621</f>
        <v>4</v>
      </c>
      <c r="G621" s="2" t="n">
        <f aca="false">'Raw Data'!W621</f>
        <v>4</v>
      </c>
      <c r="H621" s="2" t="n">
        <f aca="false">'Raw Data'!V621</f>
        <v>4</v>
      </c>
      <c r="I621" s="2" t="n">
        <f aca="false">IF(AND(ISNUMBER(B621),B621&lt;=25),2,0)+IF(AND(ISNUMBER(E621),E621&lt;=5),2,0)+IF(AND(ISNUMBER(F621),F621&lt;=1),2,0)+IF(AND(ISNUMBER(G621),G621&lt;=2),1,0)+IF(AND(ISNUMBER(H621),H621&lt;=2),1,0)</f>
        <v>0</v>
      </c>
      <c r="J621" s="2" t="str">
        <f aca="false">IF(I621&gt;=6,"High",IF(I621&gt;=3,"Medium","Low"))</f>
        <v>Low</v>
      </c>
    </row>
    <row r="622" customFormat="false" ht="15" hidden="false" customHeight="true" outlineLevel="0" collapsed="false">
      <c r="A622" s="2" t="n">
        <f aca="false">'Raw Data'!H622</f>
        <v>621</v>
      </c>
      <c r="B622" s="2" t="n">
        <f aca="false">'Raw Data'!A622</f>
        <v>42</v>
      </c>
      <c r="C622" s="2" t="str">
        <f aca="false">'Raw Data'!D622</f>
        <v>Research &amp; Development</v>
      </c>
      <c r="D622" s="2" t="str">
        <f aca="false">'Raw Data'!K622</f>
        <v>Sales Executive</v>
      </c>
      <c r="E622" s="2" t="n">
        <f aca="false">'Raw Data'!Q622</f>
        <v>10</v>
      </c>
      <c r="F622" s="2" t="n">
        <f aca="false">'Raw Data'!U622</f>
        <v>3</v>
      </c>
      <c r="G622" s="2" t="n">
        <f aca="false">'Raw Data'!W622</f>
        <v>1</v>
      </c>
      <c r="H622" s="2" t="n">
        <f aca="false">'Raw Data'!V622</f>
        <v>4</v>
      </c>
      <c r="I622" s="2" t="n">
        <f aca="false">IF(AND(ISNUMBER(B622),B622&lt;=25),2,0)+IF(AND(ISNUMBER(E622),E622&lt;=5),2,0)+IF(AND(ISNUMBER(F622),F622&lt;=1),2,0)+IF(AND(ISNUMBER(G622),G622&lt;=2),1,0)+IF(AND(ISNUMBER(H622),H622&lt;=2),1,0)</f>
        <v>1</v>
      </c>
      <c r="J622" s="2" t="str">
        <f aca="false">IF(I622&gt;=6,"High",IF(I622&gt;=3,"Medium","Low"))</f>
        <v>Low</v>
      </c>
    </row>
    <row r="623" customFormat="false" ht="15" hidden="false" customHeight="true" outlineLevel="0" collapsed="false">
      <c r="A623" s="2" t="n">
        <f aca="false">'Raw Data'!H623</f>
        <v>622</v>
      </c>
      <c r="B623" s="2" t="n">
        <f aca="false">'Raw Data'!A623</f>
        <v>60</v>
      </c>
      <c r="C623" s="2" t="str">
        <f aca="false">'Raw Data'!D623</f>
        <v>Sales</v>
      </c>
      <c r="D623" s="2" t="str">
        <f aca="false">'Raw Data'!K623</f>
        <v>Sales Executive</v>
      </c>
      <c r="E623" s="2" t="n">
        <f aca="false">'Raw Data'!Q623</f>
        <v>12</v>
      </c>
      <c r="F623" s="2" t="n">
        <f aca="false">'Raw Data'!U623</f>
        <v>9</v>
      </c>
      <c r="G623" s="2" t="n">
        <f aca="false">'Raw Data'!W623</f>
        <v>4</v>
      </c>
      <c r="H623" s="2" t="n">
        <f aca="false">'Raw Data'!V623</f>
        <v>2</v>
      </c>
      <c r="I623" s="2" t="n">
        <f aca="false">IF(AND(ISNUMBER(B623),B623&lt;=25),2,0)+IF(AND(ISNUMBER(E623),E623&lt;=5),2,0)+IF(AND(ISNUMBER(F623),F623&lt;=1),2,0)+IF(AND(ISNUMBER(G623),G623&lt;=2),1,0)+IF(AND(ISNUMBER(H623),H623&lt;=2),1,0)</f>
        <v>1</v>
      </c>
      <c r="J623" s="2" t="str">
        <f aca="false">IF(I623&gt;=6,"High",IF(I623&gt;=3,"Medium","Low"))</f>
        <v>Low</v>
      </c>
    </row>
    <row r="624" customFormat="false" ht="15" hidden="false" customHeight="true" outlineLevel="0" collapsed="false">
      <c r="A624" s="2" t="n">
        <f aca="false">'Raw Data'!H624</f>
        <v>623</v>
      </c>
      <c r="B624" s="2" t="n">
        <f aca="false">'Raw Data'!A624</f>
        <v>32</v>
      </c>
      <c r="C624" s="2" t="str">
        <f aca="false">'Raw Data'!D624</f>
        <v>Sales</v>
      </c>
      <c r="D624" s="2" t="str">
        <f aca="false">'Raw Data'!K624</f>
        <v>Sales Executive</v>
      </c>
      <c r="E624" s="2" t="n">
        <f aca="false">'Raw Data'!Q624</f>
        <v>2</v>
      </c>
      <c r="F624" s="2" t="n">
        <f aca="false">'Raw Data'!U624</f>
        <v>2</v>
      </c>
      <c r="G624" s="2" t="n">
        <f aca="false">'Raw Data'!W624</f>
        <v>2</v>
      </c>
      <c r="H624" s="2" t="n">
        <f aca="false">'Raw Data'!V624</f>
        <v>3</v>
      </c>
      <c r="I624" s="2" t="n">
        <f aca="false">IF(AND(ISNUMBER(B624),B624&lt;=25),2,0)+IF(AND(ISNUMBER(E624),E624&lt;=5),2,0)+IF(AND(ISNUMBER(F624),F624&lt;=1),2,0)+IF(AND(ISNUMBER(G624),G624&lt;=2),1,0)+IF(AND(ISNUMBER(H624),H624&lt;=2),1,0)</f>
        <v>3</v>
      </c>
      <c r="J624" s="2" t="str">
        <f aca="false">IF(I624&gt;=6,"High",IF(I624&gt;=3,"Medium","Low"))</f>
        <v>Medium</v>
      </c>
    </row>
    <row r="625" customFormat="false" ht="15" hidden="false" customHeight="true" outlineLevel="0" collapsed="false">
      <c r="A625" s="2" t="n">
        <f aca="false">'Raw Data'!H625</f>
        <v>624</v>
      </c>
      <c r="B625" s="2" t="n">
        <f aca="false">'Raw Data'!A625</f>
        <v>32</v>
      </c>
      <c r="C625" s="2" t="str">
        <f aca="false">'Raw Data'!D625</f>
        <v>Research &amp; Development</v>
      </c>
      <c r="D625" s="2" t="str">
        <f aca="false">'Raw Data'!K625</f>
        <v>Research Scientist</v>
      </c>
      <c r="E625" s="2" t="n">
        <f aca="false">'Raw Data'!Q625</f>
        <v>10</v>
      </c>
      <c r="F625" s="2" t="n">
        <f aca="false">'Raw Data'!U625</f>
        <v>7</v>
      </c>
      <c r="G625" s="2" t="n">
        <f aca="false">'Raw Data'!W625</f>
        <v>3</v>
      </c>
      <c r="H625" s="2" t="n">
        <f aca="false">'Raw Data'!V625</f>
        <v>4</v>
      </c>
      <c r="I625" s="2" t="n">
        <f aca="false">IF(AND(ISNUMBER(B625),B625&lt;=25),2,0)+IF(AND(ISNUMBER(E625),E625&lt;=5),2,0)+IF(AND(ISNUMBER(F625),F625&lt;=1),2,0)+IF(AND(ISNUMBER(G625),G625&lt;=2),1,0)+IF(AND(ISNUMBER(H625),H625&lt;=2),1,0)</f>
        <v>0</v>
      </c>
      <c r="J625" s="2" t="str">
        <f aca="false">IF(I625&gt;=6,"High",IF(I625&gt;=3,"Medium","Low"))</f>
        <v>Low</v>
      </c>
    </row>
    <row r="626" customFormat="false" ht="15" hidden="false" customHeight="true" outlineLevel="0" collapsed="false">
      <c r="A626" s="2" t="n">
        <f aca="false">'Raw Data'!H626</f>
        <v>625</v>
      </c>
      <c r="B626" s="2" t="n">
        <f aca="false">'Raw Data'!A626</f>
        <v>36</v>
      </c>
      <c r="C626" s="2" t="str">
        <f aca="false">'Raw Data'!D626</f>
        <v>Sales</v>
      </c>
      <c r="D626" s="2" t="str">
        <f aca="false">'Raw Data'!K626</f>
        <v>Healthcare Representative</v>
      </c>
      <c r="E626" s="2" t="n">
        <f aca="false">'Raw Data'!Q626</f>
        <v>17</v>
      </c>
      <c r="F626" s="2" t="n">
        <f aca="false">'Raw Data'!U626</f>
        <v>7</v>
      </c>
      <c r="G626" s="2" t="n">
        <f aca="false">'Raw Data'!W626</f>
        <v>1</v>
      </c>
      <c r="H626" s="2" t="n">
        <f aca="false">'Raw Data'!V626</f>
        <v>3</v>
      </c>
      <c r="I626" s="2" t="n">
        <f aca="false">IF(AND(ISNUMBER(B626),B626&lt;=25),2,0)+IF(AND(ISNUMBER(E626),E626&lt;=5),2,0)+IF(AND(ISNUMBER(F626),F626&lt;=1),2,0)+IF(AND(ISNUMBER(G626),G626&lt;=2),1,0)+IF(AND(ISNUMBER(H626),H626&lt;=2),1,0)</f>
        <v>1</v>
      </c>
      <c r="J626" s="2" t="str">
        <f aca="false">IF(I626&gt;=6,"High",IF(I626&gt;=3,"Medium","Low"))</f>
        <v>Low</v>
      </c>
    </row>
    <row r="627" customFormat="false" ht="15" hidden="false" customHeight="true" outlineLevel="0" collapsed="false">
      <c r="A627" s="2" t="n">
        <f aca="false">'Raw Data'!H627</f>
        <v>626</v>
      </c>
      <c r="B627" s="2" t="n">
        <f aca="false">'Raw Data'!A627</f>
        <v>33</v>
      </c>
      <c r="C627" s="2" t="str">
        <f aca="false">'Raw Data'!D627</f>
        <v>Sales</v>
      </c>
      <c r="D627" s="2" t="str">
        <f aca="false">'Raw Data'!K627</f>
        <v>Research Scientist</v>
      </c>
      <c r="E627" s="2" t="n">
        <f aca="false">'Raw Data'!Q627</f>
        <v>15</v>
      </c>
      <c r="F627" s="2" t="n">
        <f aca="false">'Raw Data'!U627</f>
        <v>10</v>
      </c>
      <c r="G627" s="2" t="n">
        <f aca="false">'Raw Data'!W627</f>
        <v>4</v>
      </c>
      <c r="H627" s="2" t="n">
        <f aca="false">'Raw Data'!V627</f>
        <v>1</v>
      </c>
      <c r="I627" s="2" t="n">
        <f aca="false">IF(AND(ISNUMBER(B627),B627&lt;=25),2,0)+IF(AND(ISNUMBER(E627),E627&lt;=5),2,0)+IF(AND(ISNUMBER(F627),F627&lt;=1),2,0)+IF(AND(ISNUMBER(G627),G627&lt;=2),1,0)+IF(AND(ISNUMBER(H627),H627&lt;=2),1,0)</f>
        <v>1</v>
      </c>
      <c r="J627" s="2" t="str">
        <f aca="false">IF(I627&gt;=6,"High",IF(I627&gt;=3,"Medium","Low"))</f>
        <v>Low</v>
      </c>
    </row>
    <row r="628" customFormat="false" ht="15" hidden="false" customHeight="true" outlineLevel="0" collapsed="false">
      <c r="A628" s="2" t="n">
        <f aca="false">'Raw Data'!H628</f>
        <v>627</v>
      </c>
      <c r="B628" s="2" t="n">
        <f aca="false">'Raw Data'!A628</f>
        <v>40</v>
      </c>
      <c r="C628" s="2" t="str">
        <f aca="false">'Raw Data'!D628</f>
        <v>Research &amp; Development</v>
      </c>
      <c r="D628" s="2" t="str">
        <f aca="false">'Raw Data'!K628</f>
        <v>Research Scientist</v>
      </c>
      <c r="E628" s="2" t="n">
        <f aca="false">'Raw Data'!Q628</f>
        <v>7</v>
      </c>
      <c r="F628" s="2" t="n">
        <f aca="false">'Raw Data'!U628</f>
        <v>3</v>
      </c>
      <c r="G628" s="2" t="n">
        <f aca="false">'Raw Data'!W628</f>
        <v>2</v>
      </c>
      <c r="H628" s="2" t="n">
        <f aca="false">'Raw Data'!V628</f>
        <v>2</v>
      </c>
      <c r="I628" s="2" t="n">
        <f aca="false">IF(AND(ISNUMBER(B628),B628&lt;=25),2,0)+IF(AND(ISNUMBER(E628),E628&lt;=5),2,0)+IF(AND(ISNUMBER(F628),F628&lt;=1),2,0)+IF(AND(ISNUMBER(G628),G628&lt;=2),1,0)+IF(AND(ISNUMBER(H628),H628&lt;=2),1,0)</f>
        <v>2</v>
      </c>
      <c r="J628" s="2" t="str">
        <f aca="false">IF(I628&gt;=6,"High",IF(I628&gt;=3,"Medium","Low"))</f>
        <v>Low</v>
      </c>
    </row>
    <row r="629" customFormat="false" ht="15" hidden="false" customHeight="true" outlineLevel="0" collapsed="false">
      <c r="A629" s="2" t="n">
        <f aca="false">'Raw Data'!H629</f>
        <v>628</v>
      </c>
      <c r="B629" s="2" t="n">
        <f aca="false">'Raw Data'!A629</f>
        <v>25</v>
      </c>
      <c r="C629" s="2" t="str">
        <f aca="false">'Raw Data'!D629</f>
        <v>Research &amp; Development</v>
      </c>
      <c r="D629" s="2" t="str">
        <f aca="false">'Raw Data'!K629</f>
        <v>Laboratory Technician</v>
      </c>
      <c r="E629" s="2" t="n">
        <f aca="false">'Raw Data'!Q629</f>
        <v>5</v>
      </c>
      <c r="F629" s="2" t="n">
        <f aca="false">'Raw Data'!U629</f>
        <v>1</v>
      </c>
      <c r="G629" s="2" t="n">
        <f aca="false">'Raw Data'!W629</f>
        <v>4</v>
      </c>
      <c r="H629" s="2" t="n">
        <f aca="false">'Raw Data'!V629</f>
        <v>3</v>
      </c>
      <c r="I629" s="2" t="n">
        <f aca="false">IF(AND(ISNUMBER(B629),B629&lt;=25),2,0)+IF(AND(ISNUMBER(E629),E629&lt;=5),2,0)+IF(AND(ISNUMBER(F629),F629&lt;=1),2,0)+IF(AND(ISNUMBER(G629),G629&lt;=2),1,0)+IF(AND(ISNUMBER(H629),H629&lt;=2),1,0)</f>
        <v>6</v>
      </c>
      <c r="J629" s="2" t="str">
        <f aca="false">IF(I629&gt;=6,"High",IF(I629&gt;=3,"Medium","Low"))</f>
        <v>High</v>
      </c>
    </row>
    <row r="630" customFormat="false" ht="15" hidden="false" customHeight="true" outlineLevel="0" collapsed="false">
      <c r="A630" s="2" t="n">
        <f aca="false">'Raw Data'!H630</f>
        <v>629</v>
      </c>
      <c r="B630" s="2" t="n">
        <f aca="false">'Raw Data'!A630</f>
        <v>30</v>
      </c>
      <c r="C630" s="2" t="str">
        <f aca="false">'Raw Data'!D630</f>
        <v>Sales</v>
      </c>
      <c r="D630" s="2" t="str">
        <f aca="false">'Raw Data'!K630</f>
        <v>Research Scientist</v>
      </c>
      <c r="E630" s="2" t="n">
        <f aca="false">'Raw Data'!Q630</f>
        <v>12</v>
      </c>
      <c r="F630" s="2" t="n">
        <f aca="false">'Raw Data'!U630</f>
        <v>7</v>
      </c>
      <c r="G630" s="2" t="n">
        <f aca="false">'Raw Data'!W630</f>
        <v>2</v>
      </c>
      <c r="H630" s="2" t="n">
        <f aca="false">'Raw Data'!V630</f>
        <v>4</v>
      </c>
      <c r="I630" s="2" t="n">
        <f aca="false">IF(AND(ISNUMBER(B630),B630&lt;=25),2,0)+IF(AND(ISNUMBER(E630),E630&lt;=5),2,0)+IF(AND(ISNUMBER(F630),F630&lt;=1),2,0)+IF(AND(ISNUMBER(G630),G630&lt;=2),1,0)+IF(AND(ISNUMBER(H630),H630&lt;=2),1,0)</f>
        <v>1</v>
      </c>
      <c r="J630" s="2" t="str">
        <f aca="false">IF(I630&gt;=6,"High",IF(I630&gt;=3,"Medium","Low"))</f>
        <v>Low</v>
      </c>
    </row>
    <row r="631" customFormat="false" ht="15" hidden="false" customHeight="true" outlineLevel="0" collapsed="false">
      <c r="A631" s="2" t="n">
        <f aca="false">'Raw Data'!H631</f>
        <v>630</v>
      </c>
      <c r="B631" s="2" t="n">
        <f aca="false">'Raw Data'!A631</f>
        <v>42</v>
      </c>
      <c r="C631" s="2" t="str">
        <f aca="false">'Raw Data'!D631</f>
        <v>Human Resources</v>
      </c>
      <c r="D631" s="2" t="str">
        <f aca="false">'Raw Data'!K631</f>
        <v>Sales Executive</v>
      </c>
      <c r="E631" s="2" t="n">
        <f aca="false">'Raw Data'!Q631</f>
        <v>20</v>
      </c>
      <c r="F631" s="2" t="n">
        <f aca="false">'Raw Data'!U631</f>
        <v>0</v>
      </c>
      <c r="G631" s="2" t="n">
        <f aca="false">'Raw Data'!W631</f>
        <v>1</v>
      </c>
      <c r="H631" s="2" t="n">
        <f aca="false">'Raw Data'!V631</f>
        <v>1</v>
      </c>
      <c r="I631" s="2" t="n">
        <f aca="false">IF(AND(ISNUMBER(B631),B631&lt;=25),2,0)+IF(AND(ISNUMBER(E631),E631&lt;=5),2,0)+IF(AND(ISNUMBER(F631),F631&lt;=1),2,0)+IF(AND(ISNUMBER(G631),G631&lt;=2),1,0)+IF(AND(ISNUMBER(H631),H631&lt;=2),1,0)</f>
        <v>4</v>
      </c>
      <c r="J631" s="2" t="str">
        <f aca="false">IF(I631&gt;=6,"High",IF(I631&gt;=3,"Medium","Low"))</f>
        <v>Medium</v>
      </c>
    </row>
    <row r="632" customFormat="false" ht="15" hidden="false" customHeight="true" outlineLevel="0" collapsed="false">
      <c r="A632" s="2" t="n">
        <f aca="false">'Raw Data'!H632</f>
        <v>631</v>
      </c>
      <c r="B632" s="2" t="n">
        <f aca="false">'Raw Data'!A632</f>
        <v>35</v>
      </c>
      <c r="C632" s="2" t="str">
        <f aca="false">'Raw Data'!D632</f>
        <v>Research &amp; Development</v>
      </c>
      <c r="D632" s="2" t="str">
        <f aca="false">'Raw Data'!K632</f>
        <v>Sales Executive</v>
      </c>
      <c r="E632" s="2" t="n">
        <f aca="false">'Raw Data'!Q632</f>
        <v>16</v>
      </c>
      <c r="F632" s="2" t="n">
        <f aca="false">'Raw Data'!U632</f>
        <v>12</v>
      </c>
      <c r="G632" s="2" t="n">
        <f aca="false">'Raw Data'!W632</f>
        <v>4</v>
      </c>
      <c r="H632" s="2" t="n">
        <f aca="false">'Raw Data'!V632</f>
        <v>3</v>
      </c>
      <c r="I632" s="2" t="n">
        <f aca="false">IF(AND(ISNUMBER(B632),B632&lt;=25),2,0)+IF(AND(ISNUMBER(E632),E632&lt;=5),2,0)+IF(AND(ISNUMBER(F632),F632&lt;=1),2,0)+IF(AND(ISNUMBER(G632),G632&lt;=2),1,0)+IF(AND(ISNUMBER(H632),H632&lt;=2),1,0)</f>
        <v>0</v>
      </c>
      <c r="J632" s="2" t="str">
        <f aca="false">IF(I632&gt;=6,"High",IF(I632&gt;=3,"Medium","Low"))</f>
        <v>Low</v>
      </c>
    </row>
    <row r="633" customFormat="false" ht="15" hidden="false" customHeight="true" outlineLevel="0" collapsed="false">
      <c r="A633" s="2" t="n">
        <f aca="false">'Raw Data'!H633</f>
        <v>632</v>
      </c>
      <c r="B633" s="2" t="n">
        <f aca="false">'Raw Data'!A633</f>
        <v>27</v>
      </c>
      <c r="C633" s="2" t="str">
        <f aca="false">'Raw Data'!D633</f>
        <v>Research &amp; Development</v>
      </c>
      <c r="D633" s="2" t="str">
        <f aca="false">'Raw Data'!K633</f>
        <v>Manufacturing Director</v>
      </c>
      <c r="E633" s="2" t="n">
        <f aca="false">'Raw Data'!Q633</f>
        <v>9</v>
      </c>
      <c r="F633" s="2" t="n">
        <f aca="false">'Raw Data'!U633</f>
        <v>8</v>
      </c>
      <c r="G633" s="2" t="n">
        <f aca="false">'Raw Data'!W633</f>
        <v>1</v>
      </c>
      <c r="H633" s="2" t="n">
        <f aca="false">'Raw Data'!V633</f>
        <v>1</v>
      </c>
      <c r="I633" s="2" t="n">
        <f aca="false">IF(AND(ISNUMBER(B633),B633&lt;=25),2,0)+IF(AND(ISNUMBER(E633),E633&lt;=5),2,0)+IF(AND(ISNUMBER(F633),F633&lt;=1),2,0)+IF(AND(ISNUMBER(G633),G633&lt;=2),1,0)+IF(AND(ISNUMBER(H633),H633&lt;=2),1,0)</f>
        <v>2</v>
      </c>
      <c r="J633" s="2" t="str">
        <f aca="false">IF(I633&gt;=6,"High",IF(I633&gt;=3,"Medium","Low"))</f>
        <v>Low</v>
      </c>
    </row>
    <row r="634" customFormat="false" ht="15" hidden="false" customHeight="true" outlineLevel="0" collapsed="false">
      <c r="A634" s="2" t="n">
        <f aca="false">'Raw Data'!H634</f>
        <v>633</v>
      </c>
      <c r="B634" s="2" t="n">
        <f aca="false">'Raw Data'!A634</f>
        <v>54</v>
      </c>
      <c r="C634" s="2" t="str">
        <f aca="false">'Raw Data'!D634</f>
        <v>Research &amp; Development</v>
      </c>
      <c r="D634" s="2" t="str">
        <f aca="false">'Raw Data'!K634</f>
        <v>Sales Representative</v>
      </c>
      <c r="E634" s="2" t="n">
        <f aca="false">'Raw Data'!Q634</f>
        <v>33</v>
      </c>
      <c r="F634" s="2" t="n">
        <f aca="false">'Raw Data'!U634</f>
        <v>4</v>
      </c>
      <c r="G634" s="2" t="n">
        <f aca="false">'Raw Data'!W634</f>
        <v>3</v>
      </c>
      <c r="H634" s="2" t="n">
        <f aca="false">'Raw Data'!V634</f>
        <v>4</v>
      </c>
      <c r="I634" s="2" t="n">
        <f aca="false">IF(AND(ISNUMBER(B634),B634&lt;=25),2,0)+IF(AND(ISNUMBER(E634),E634&lt;=5),2,0)+IF(AND(ISNUMBER(F634),F634&lt;=1),2,0)+IF(AND(ISNUMBER(G634),G634&lt;=2),1,0)+IF(AND(ISNUMBER(H634),H634&lt;=2),1,0)</f>
        <v>0</v>
      </c>
      <c r="J634" s="2" t="str">
        <f aca="false">IF(I634&gt;=6,"High",IF(I634&gt;=3,"Medium","Low"))</f>
        <v>Low</v>
      </c>
    </row>
    <row r="635" customFormat="false" ht="15" hidden="false" customHeight="true" outlineLevel="0" collapsed="false">
      <c r="A635" s="2" t="n">
        <f aca="false">'Raw Data'!H635</f>
        <v>634</v>
      </c>
      <c r="B635" s="2" t="n">
        <f aca="false">'Raw Data'!A635</f>
        <v>44</v>
      </c>
      <c r="C635" s="2" t="str">
        <f aca="false">'Raw Data'!D635</f>
        <v>Human Resources</v>
      </c>
      <c r="D635" s="2" t="str">
        <f aca="false">'Raw Data'!K635</f>
        <v>Laboratory Technician</v>
      </c>
      <c r="E635" s="2" t="n">
        <f aca="false">'Raw Data'!Q635</f>
        <v>10</v>
      </c>
      <c r="F635" s="2" t="n">
        <f aca="false">'Raw Data'!U635</f>
        <v>7</v>
      </c>
      <c r="G635" s="2" t="n">
        <f aca="false">'Raw Data'!W635</f>
        <v>4</v>
      </c>
      <c r="H635" s="2" t="n">
        <f aca="false">'Raw Data'!V635</f>
        <v>1</v>
      </c>
      <c r="I635" s="2" t="n">
        <f aca="false">IF(AND(ISNUMBER(B635),B635&lt;=25),2,0)+IF(AND(ISNUMBER(E635),E635&lt;=5),2,0)+IF(AND(ISNUMBER(F635),F635&lt;=1),2,0)+IF(AND(ISNUMBER(G635),G635&lt;=2),1,0)+IF(AND(ISNUMBER(H635),H635&lt;=2),1,0)</f>
        <v>1</v>
      </c>
      <c r="J635" s="2" t="str">
        <f aca="false">IF(I635&gt;=6,"High",IF(I635&gt;=3,"Medium","Low"))</f>
        <v>Low</v>
      </c>
    </row>
    <row r="636" customFormat="false" ht="15" hidden="false" customHeight="true" outlineLevel="0" collapsed="false">
      <c r="A636" s="2" t="n">
        <f aca="false">'Raw Data'!H636</f>
        <v>635</v>
      </c>
      <c r="B636" s="2" t="n">
        <f aca="false">'Raw Data'!A636</f>
        <v>19</v>
      </c>
      <c r="C636" s="2" t="str">
        <f aca="false">'Raw Data'!D636</f>
        <v>Sales</v>
      </c>
      <c r="D636" s="2" t="str">
        <f aca="false">'Raw Data'!K636</f>
        <v>Healthcare Representative</v>
      </c>
      <c r="E636" s="2" t="n">
        <f aca="false">'Raw Data'!Q636</f>
        <v>1</v>
      </c>
      <c r="F636" s="2" t="n">
        <f aca="false">'Raw Data'!U636</f>
        <v>0</v>
      </c>
      <c r="G636" s="2" t="n">
        <f aca="false">'Raw Data'!W636</f>
        <v>2</v>
      </c>
      <c r="H636" s="2" t="n">
        <f aca="false">'Raw Data'!V636</f>
        <v>1</v>
      </c>
      <c r="I636" s="2" t="n">
        <f aca="false">IF(AND(ISNUMBER(B636),B636&lt;=25),2,0)+IF(AND(ISNUMBER(E636),E636&lt;=5),2,0)+IF(AND(ISNUMBER(F636),F636&lt;=1),2,0)+IF(AND(ISNUMBER(G636),G636&lt;=2),1,0)+IF(AND(ISNUMBER(H636),H636&lt;=2),1,0)</f>
        <v>8</v>
      </c>
      <c r="J636" s="2" t="str">
        <f aca="false">IF(I636&gt;=6,"High",IF(I636&gt;=3,"Medium","Low"))</f>
        <v>High</v>
      </c>
    </row>
    <row r="637" customFormat="false" ht="15" hidden="false" customHeight="true" outlineLevel="0" collapsed="false">
      <c r="A637" s="2" t="n">
        <f aca="false">'Raw Data'!H637</f>
        <v>636</v>
      </c>
      <c r="B637" s="2" t="n">
        <f aca="false">'Raw Data'!A637</f>
        <v>29</v>
      </c>
      <c r="C637" s="2" t="str">
        <f aca="false">'Raw Data'!D637</f>
        <v>Research &amp; Development</v>
      </c>
      <c r="D637" s="2" t="str">
        <f aca="false">'Raw Data'!K637</f>
        <v>Manufacturing Director</v>
      </c>
      <c r="E637" s="2" t="n">
        <f aca="false">'Raw Data'!Q637</f>
        <v>3</v>
      </c>
      <c r="F637" s="2" t="n">
        <f aca="false">'Raw Data'!U637</f>
        <v>2</v>
      </c>
      <c r="G637" s="2" t="n">
        <f aca="false">'Raw Data'!W637</f>
        <v>4</v>
      </c>
      <c r="H637" s="2" t="n">
        <f aca="false">'Raw Data'!V637</f>
        <v>1</v>
      </c>
      <c r="I637" s="2" t="n">
        <f aca="false">IF(AND(ISNUMBER(B637),B637&lt;=25),2,0)+IF(AND(ISNUMBER(E637),E637&lt;=5),2,0)+IF(AND(ISNUMBER(F637),F637&lt;=1),2,0)+IF(AND(ISNUMBER(G637),G637&lt;=2),1,0)+IF(AND(ISNUMBER(H637),H637&lt;=2),1,0)</f>
        <v>3</v>
      </c>
      <c r="J637" s="2" t="str">
        <f aca="false">IF(I637&gt;=6,"High",IF(I637&gt;=3,"Medium","Low"))</f>
        <v>Medium</v>
      </c>
    </row>
    <row r="638" customFormat="false" ht="15" hidden="false" customHeight="true" outlineLevel="0" collapsed="false">
      <c r="A638" s="2" t="n">
        <f aca="false">'Raw Data'!H638</f>
        <v>637</v>
      </c>
      <c r="B638" s="2" t="n">
        <f aca="false">'Raw Data'!A638</f>
        <v>54</v>
      </c>
      <c r="C638" s="2" t="str">
        <f aca="false">'Raw Data'!D638</f>
        <v>Research &amp; Development</v>
      </c>
      <c r="D638" s="2" t="str">
        <f aca="false">'Raw Data'!K638</f>
        <v>Sales Executive</v>
      </c>
      <c r="E638" s="2" t="n">
        <f aca="false">'Raw Data'!Q638</f>
        <v>36</v>
      </c>
      <c r="F638" s="2" t="n">
        <f aca="false">'Raw Data'!U638</f>
        <v>9</v>
      </c>
      <c r="G638" s="2" t="n">
        <f aca="false">'Raw Data'!W638</f>
        <v>4</v>
      </c>
      <c r="H638" s="2" t="n">
        <f aca="false">'Raw Data'!V638</f>
        <v>4</v>
      </c>
      <c r="I638" s="2" t="n">
        <f aca="false">IF(AND(ISNUMBER(B638),B638&lt;=25),2,0)+IF(AND(ISNUMBER(E638),E638&lt;=5),2,0)+IF(AND(ISNUMBER(F638),F638&lt;=1),2,0)+IF(AND(ISNUMBER(G638),G638&lt;=2),1,0)+IF(AND(ISNUMBER(H638),H638&lt;=2),1,0)</f>
        <v>0</v>
      </c>
      <c r="J638" s="2" t="str">
        <f aca="false">IF(I638&gt;=6,"High",IF(I638&gt;=3,"Medium","Low"))</f>
        <v>Low</v>
      </c>
    </row>
    <row r="639" customFormat="false" ht="15" hidden="false" customHeight="true" outlineLevel="0" collapsed="false">
      <c r="A639" s="2" t="n">
        <f aca="false">'Raw Data'!H639</f>
        <v>638</v>
      </c>
      <c r="B639" s="2" t="n">
        <f aca="false">'Raw Data'!A639</f>
        <v>31</v>
      </c>
      <c r="C639" s="2" t="str">
        <f aca="false">'Raw Data'!D639</f>
        <v>Research &amp; Development</v>
      </c>
      <c r="D639" s="2" t="str">
        <f aca="false">'Raw Data'!K639</f>
        <v>Laboratory Technician</v>
      </c>
      <c r="E639" s="2" t="n">
        <f aca="false">'Raw Data'!Q639</f>
        <v>6</v>
      </c>
      <c r="F639" s="2" t="n">
        <f aca="false">'Raw Data'!U639</f>
        <v>1</v>
      </c>
      <c r="G639" s="2" t="n">
        <f aca="false">'Raw Data'!W639</f>
        <v>1</v>
      </c>
      <c r="H639" s="2" t="n">
        <f aca="false">'Raw Data'!V639</f>
        <v>3</v>
      </c>
      <c r="I639" s="2" t="n">
        <f aca="false">IF(AND(ISNUMBER(B639),B639&lt;=25),2,0)+IF(AND(ISNUMBER(E639),E639&lt;=5),2,0)+IF(AND(ISNUMBER(F639),F639&lt;=1),2,0)+IF(AND(ISNUMBER(G639),G639&lt;=2),1,0)+IF(AND(ISNUMBER(H639),H639&lt;=2),1,0)</f>
        <v>3</v>
      </c>
      <c r="J639" s="2" t="str">
        <f aca="false">IF(I639&gt;=6,"High",IF(I639&gt;=3,"Medium","Low"))</f>
        <v>Medium</v>
      </c>
    </row>
    <row r="640" customFormat="false" ht="15" hidden="false" customHeight="true" outlineLevel="0" collapsed="false">
      <c r="A640" s="2" t="n">
        <f aca="false">'Raw Data'!H640</f>
        <v>639</v>
      </c>
      <c r="B640" s="2" t="n">
        <f aca="false">'Raw Data'!A640</f>
        <v>31</v>
      </c>
      <c r="C640" s="2" t="str">
        <f aca="false">'Raw Data'!D640</f>
        <v>Sales</v>
      </c>
      <c r="D640" s="2" t="str">
        <f aca="false">'Raw Data'!K640</f>
        <v>Sales Executive</v>
      </c>
      <c r="E640" s="2" t="n">
        <f aca="false">'Raw Data'!Q640</f>
        <v>10</v>
      </c>
      <c r="F640" s="2" t="n">
        <f aca="false">'Raw Data'!U640</f>
        <v>8</v>
      </c>
      <c r="G640" s="2" t="n">
        <f aca="false">'Raw Data'!W640</f>
        <v>1</v>
      </c>
      <c r="H640" s="2" t="n">
        <f aca="false">'Raw Data'!V640</f>
        <v>3</v>
      </c>
      <c r="I640" s="2" t="n">
        <f aca="false">IF(AND(ISNUMBER(B640),B640&lt;=25),2,0)+IF(AND(ISNUMBER(E640),E640&lt;=5),2,0)+IF(AND(ISNUMBER(F640),F640&lt;=1),2,0)+IF(AND(ISNUMBER(G640),G640&lt;=2),1,0)+IF(AND(ISNUMBER(H640),H640&lt;=2),1,0)</f>
        <v>1</v>
      </c>
      <c r="J640" s="2" t="str">
        <f aca="false">IF(I640&gt;=6,"High",IF(I640&gt;=3,"Medium","Low"))</f>
        <v>Low</v>
      </c>
    </row>
    <row r="641" customFormat="false" ht="15" hidden="false" customHeight="true" outlineLevel="0" collapsed="false">
      <c r="A641" s="2" t="n">
        <f aca="false">'Raw Data'!H641</f>
        <v>640</v>
      </c>
      <c r="B641" s="2" t="n">
        <f aca="false">'Raw Data'!A641</f>
        <v>59</v>
      </c>
      <c r="C641" s="2" t="str">
        <f aca="false">'Raw Data'!D641</f>
        <v>Research &amp; Development</v>
      </c>
      <c r="D641" s="2" t="str">
        <f aca="false">'Raw Data'!K641</f>
        <v>Research Scientist</v>
      </c>
      <c r="E641" s="2" t="n">
        <f aca="false">'Raw Data'!Q641</f>
        <v>13</v>
      </c>
      <c r="F641" s="2" t="n">
        <f aca="false">'Raw Data'!U641</f>
        <v>5</v>
      </c>
      <c r="G641" s="2" t="n">
        <f aca="false">'Raw Data'!W641</f>
        <v>4</v>
      </c>
      <c r="H641" s="2" t="n">
        <f aca="false">'Raw Data'!V641</f>
        <v>3</v>
      </c>
      <c r="I641" s="2" t="n">
        <f aca="false">IF(AND(ISNUMBER(B641),B641&lt;=25),2,0)+IF(AND(ISNUMBER(E641),E641&lt;=5),2,0)+IF(AND(ISNUMBER(F641),F641&lt;=1),2,0)+IF(AND(ISNUMBER(G641),G641&lt;=2),1,0)+IF(AND(ISNUMBER(H641),H641&lt;=2),1,0)</f>
        <v>0</v>
      </c>
      <c r="J641" s="2" t="str">
        <f aca="false">IF(I641&gt;=6,"High",IF(I641&gt;=3,"Medium","Low"))</f>
        <v>Low</v>
      </c>
    </row>
    <row r="642" customFormat="false" ht="15" hidden="false" customHeight="true" outlineLevel="0" collapsed="false">
      <c r="A642" s="2" t="n">
        <f aca="false">'Raw Data'!H642</f>
        <v>641</v>
      </c>
      <c r="B642" s="2" t="n">
        <f aca="false">'Raw Data'!A642</f>
        <v>43</v>
      </c>
      <c r="C642" s="2" t="str">
        <f aca="false">'Raw Data'!D642</f>
        <v>Research &amp; Development</v>
      </c>
      <c r="D642" s="2" t="str">
        <f aca="false">'Raw Data'!K642</f>
        <v>Laboratory Technician</v>
      </c>
      <c r="E642" s="2" t="n">
        <f aca="false">'Raw Data'!Q642</f>
        <v>25</v>
      </c>
      <c r="F642" s="2" t="n">
        <f aca="false">'Raw Data'!U642</f>
        <v>7</v>
      </c>
      <c r="G642" s="2" t="n">
        <f aca="false">'Raw Data'!W642</f>
        <v>4</v>
      </c>
      <c r="H642" s="2" t="n">
        <f aca="false">'Raw Data'!V642</f>
        <v>3</v>
      </c>
      <c r="I642" s="2" t="n">
        <f aca="false">IF(AND(ISNUMBER(B642),B642&lt;=25),2,0)+IF(AND(ISNUMBER(E642),E642&lt;=5),2,0)+IF(AND(ISNUMBER(F642),F642&lt;=1),2,0)+IF(AND(ISNUMBER(G642),G642&lt;=2),1,0)+IF(AND(ISNUMBER(H642),H642&lt;=2),1,0)</f>
        <v>0</v>
      </c>
      <c r="J642" s="2" t="str">
        <f aca="false">IF(I642&gt;=6,"High",IF(I642&gt;=3,"Medium","Low"))</f>
        <v>Low</v>
      </c>
    </row>
    <row r="643" customFormat="false" ht="15" hidden="false" customHeight="true" outlineLevel="0" collapsed="false">
      <c r="A643" s="2" t="n">
        <f aca="false">'Raw Data'!H643</f>
        <v>642</v>
      </c>
      <c r="B643" s="2" t="n">
        <f aca="false">'Raw Data'!A643</f>
        <v>49</v>
      </c>
      <c r="C643" s="2" t="str">
        <f aca="false">'Raw Data'!D643</f>
        <v>Sales</v>
      </c>
      <c r="D643" s="2" t="str">
        <f aca="false">'Raw Data'!K643</f>
        <v>Research Scientist</v>
      </c>
      <c r="E643" s="2" t="n">
        <f aca="false">'Raw Data'!Q643</f>
        <v>23</v>
      </c>
      <c r="F643" s="2" t="n">
        <f aca="false">'Raw Data'!U643</f>
        <v>0</v>
      </c>
      <c r="G643" s="2" t="n">
        <f aca="false">'Raw Data'!W643</f>
        <v>3</v>
      </c>
      <c r="H643" s="2" t="n">
        <f aca="false">'Raw Data'!V643</f>
        <v>1</v>
      </c>
      <c r="I643" s="2" t="n">
        <f aca="false">IF(AND(ISNUMBER(B643),B643&lt;=25),2,0)+IF(AND(ISNUMBER(E643),E643&lt;=5),2,0)+IF(AND(ISNUMBER(F643),F643&lt;=1),2,0)+IF(AND(ISNUMBER(G643),G643&lt;=2),1,0)+IF(AND(ISNUMBER(H643),H643&lt;=2),1,0)</f>
        <v>3</v>
      </c>
      <c r="J643" s="2" t="str">
        <f aca="false">IF(I643&gt;=6,"High",IF(I643&gt;=3,"Medium","Low"))</f>
        <v>Medium</v>
      </c>
    </row>
    <row r="644" customFormat="false" ht="15" hidden="false" customHeight="true" outlineLevel="0" collapsed="false">
      <c r="A644" s="2" t="n">
        <f aca="false">'Raw Data'!H644</f>
        <v>643</v>
      </c>
      <c r="B644" s="2" t="n">
        <f aca="false">'Raw Data'!A644</f>
        <v>36</v>
      </c>
      <c r="C644" s="2" t="str">
        <f aca="false">'Raw Data'!D644</f>
        <v>Sales</v>
      </c>
      <c r="D644" s="2" t="str">
        <f aca="false">'Raw Data'!K644</f>
        <v>Laboratory Technician</v>
      </c>
      <c r="E644" s="2" t="n">
        <f aca="false">'Raw Data'!Q644</f>
        <v>12</v>
      </c>
      <c r="F644" s="2" t="n">
        <f aca="false">'Raw Data'!U644</f>
        <v>7</v>
      </c>
      <c r="G644" s="2" t="n">
        <f aca="false">'Raw Data'!W644</f>
        <v>2</v>
      </c>
      <c r="H644" s="2" t="n">
        <f aca="false">'Raw Data'!V644</f>
        <v>3</v>
      </c>
      <c r="I644" s="2" t="n">
        <f aca="false">IF(AND(ISNUMBER(B644),B644&lt;=25),2,0)+IF(AND(ISNUMBER(E644),E644&lt;=5),2,0)+IF(AND(ISNUMBER(F644),F644&lt;=1),2,0)+IF(AND(ISNUMBER(G644),G644&lt;=2),1,0)+IF(AND(ISNUMBER(H644),H644&lt;=2),1,0)</f>
        <v>1</v>
      </c>
      <c r="J644" s="2" t="str">
        <f aca="false">IF(I644&gt;=6,"High",IF(I644&gt;=3,"Medium","Low"))</f>
        <v>Low</v>
      </c>
    </row>
    <row r="645" customFormat="false" ht="15" hidden="false" customHeight="true" outlineLevel="0" collapsed="false">
      <c r="A645" s="2" t="n">
        <f aca="false">'Raw Data'!H645</f>
        <v>644</v>
      </c>
      <c r="B645" s="2" t="n">
        <f aca="false">'Raw Data'!A645</f>
        <v>48</v>
      </c>
      <c r="C645" s="2" t="str">
        <f aca="false">'Raw Data'!D645</f>
        <v>Research &amp; Development</v>
      </c>
      <c r="D645" s="2" t="str">
        <f aca="false">'Raw Data'!K645</f>
        <v>Laboratory Technician</v>
      </c>
      <c r="E645" s="2" t="n">
        <f aca="false">'Raw Data'!Q645</f>
        <v>7</v>
      </c>
      <c r="F645" s="2" t="n">
        <f aca="false">'Raw Data'!U645</f>
        <v>0</v>
      </c>
      <c r="G645" s="2" t="n">
        <f aca="false">'Raw Data'!W645</f>
        <v>2</v>
      </c>
      <c r="H645" s="2" t="n">
        <f aca="false">'Raw Data'!V645</f>
        <v>4</v>
      </c>
      <c r="I645" s="2" t="n">
        <f aca="false">IF(AND(ISNUMBER(B645),B645&lt;=25),2,0)+IF(AND(ISNUMBER(E645),E645&lt;=5),2,0)+IF(AND(ISNUMBER(F645),F645&lt;=1),2,0)+IF(AND(ISNUMBER(G645),G645&lt;=2),1,0)+IF(AND(ISNUMBER(H645),H645&lt;=2),1,0)</f>
        <v>3</v>
      </c>
      <c r="J645" s="2" t="str">
        <f aca="false">IF(I645&gt;=6,"High",IF(I645&gt;=3,"Medium","Low"))</f>
        <v>Medium</v>
      </c>
    </row>
    <row r="646" customFormat="false" ht="15" hidden="false" customHeight="true" outlineLevel="0" collapsed="false">
      <c r="A646" s="2" t="n">
        <f aca="false">'Raw Data'!H646</f>
        <v>645</v>
      </c>
      <c r="B646" s="2" t="n">
        <f aca="false">'Raw Data'!A646</f>
        <v>27</v>
      </c>
      <c r="C646" s="2" t="str">
        <f aca="false">'Raw Data'!D646</f>
        <v>Research &amp; Development</v>
      </c>
      <c r="D646" s="2" t="str">
        <f aca="false">'Raw Data'!K646</f>
        <v>Laboratory Technician</v>
      </c>
      <c r="E646" s="2" t="n">
        <f aca="false">'Raw Data'!Q646</f>
        <v>5</v>
      </c>
      <c r="F646" s="2" t="n">
        <f aca="false">'Raw Data'!U646</f>
        <v>3</v>
      </c>
      <c r="G646" s="2" t="n">
        <f aca="false">'Raw Data'!W646</f>
        <v>3</v>
      </c>
      <c r="H646" s="2" t="n">
        <f aca="false">'Raw Data'!V646</f>
        <v>1</v>
      </c>
      <c r="I646" s="2" t="n">
        <f aca="false">IF(AND(ISNUMBER(B646),B646&lt;=25),2,0)+IF(AND(ISNUMBER(E646),E646&lt;=5),2,0)+IF(AND(ISNUMBER(F646),F646&lt;=1),2,0)+IF(AND(ISNUMBER(G646),G646&lt;=2),1,0)+IF(AND(ISNUMBER(H646),H646&lt;=2),1,0)</f>
        <v>3</v>
      </c>
      <c r="J646" s="2" t="str">
        <f aca="false">IF(I646&gt;=6,"High",IF(I646&gt;=3,"Medium","Low"))</f>
        <v>Medium</v>
      </c>
    </row>
    <row r="647" customFormat="false" ht="15" hidden="false" customHeight="true" outlineLevel="0" collapsed="false">
      <c r="A647" s="2" t="n">
        <f aca="false">'Raw Data'!H647</f>
        <v>646</v>
      </c>
      <c r="B647" s="2" t="n">
        <f aca="false">'Raw Data'!A647</f>
        <v>29</v>
      </c>
      <c r="C647" s="2" t="str">
        <f aca="false">'Raw Data'!D647</f>
        <v>Sales</v>
      </c>
      <c r="D647" s="2" t="str">
        <f aca="false">'Raw Data'!K647</f>
        <v>Laboratory Technician</v>
      </c>
      <c r="E647" s="2" t="n">
        <f aca="false">'Raw Data'!Q647</f>
        <v>6</v>
      </c>
      <c r="F647" s="2" t="n">
        <f aca="false">'Raw Data'!U647</f>
        <v>0</v>
      </c>
      <c r="G647" s="2" t="n">
        <f aca="false">'Raw Data'!W647</f>
        <v>4</v>
      </c>
      <c r="H647" s="2" t="n">
        <f aca="false">'Raw Data'!V647</f>
        <v>3</v>
      </c>
      <c r="I647" s="2" t="n">
        <f aca="false">IF(AND(ISNUMBER(B647),B647&lt;=25),2,0)+IF(AND(ISNUMBER(E647),E647&lt;=5),2,0)+IF(AND(ISNUMBER(F647),F647&lt;=1),2,0)+IF(AND(ISNUMBER(G647),G647&lt;=2),1,0)+IF(AND(ISNUMBER(H647),H647&lt;=2),1,0)</f>
        <v>2</v>
      </c>
      <c r="J647" s="2" t="str">
        <f aca="false">IF(I647&gt;=6,"High",IF(I647&gt;=3,"Medium","Low"))</f>
        <v>Low</v>
      </c>
    </row>
    <row r="648" customFormat="false" ht="15" hidden="false" customHeight="true" outlineLevel="0" collapsed="false">
      <c r="A648" s="2" t="n">
        <f aca="false">'Raw Data'!H648</f>
        <v>647</v>
      </c>
      <c r="B648" s="2" t="n">
        <f aca="false">'Raw Data'!A648</f>
        <v>48</v>
      </c>
      <c r="C648" s="2" t="str">
        <f aca="false">'Raw Data'!D648</f>
        <v>Sales</v>
      </c>
      <c r="D648" s="2" t="str">
        <f aca="false">'Raw Data'!K648</f>
        <v>Manufacturing Director</v>
      </c>
      <c r="E648" s="2" t="n">
        <f aca="false">'Raw Data'!Q648</f>
        <v>25</v>
      </c>
      <c r="F648" s="2" t="n">
        <f aca="false">'Raw Data'!U648</f>
        <v>0</v>
      </c>
      <c r="G648" s="2" t="n">
        <f aca="false">'Raw Data'!W648</f>
        <v>4</v>
      </c>
      <c r="H648" s="2" t="n">
        <f aca="false">'Raw Data'!V648</f>
        <v>4</v>
      </c>
      <c r="I648" s="2" t="n">
        <f aca="false">IF(AND(ISNUMBER(B648),B648&lt;=25),2,0)+IF(AND(ISNUMBER(E648),E648&lt;=5),2,0)+IF(AND(ISNUMBER(F648),F648&lt;=1),2,0)+IF(AND(ISNUMBER(G648),G648&lt;=2),1,0)+IF(AND(ISNUMBER(H648),H648&lt;=2),1,0)</f>
        <v>2</v>
      </c>
      <c r="J648" s="2" t="str">
        <f aca="false">IF(I648&gt;=6,"High",IF(I648&gt;=3,"Medium","Low"))</f>
        <v>Low</v>
      </c>
    </row>
    <row r="649" customFormat="false" ht="15" hidden="false" customHeight="true" outlineLevel="0" collapsed="false">
      <c r="A649" s="2" t="n">
        <f aca="false">'Raw Data'!H649</f>
        <v>648</v>
      </c>
      <c r="B649" s="2" t="n">
        <f aca="false">'Raw Data'!A649</f>
        <v>29</v>
      </c>
      <c r="C649" s="2" t="str">
        <f aca="false">'Raw Data'!D649</f>
        <v>Research &amp; Development</v>
      </c>
      <c r="D649" s="2" t="str">
        <f aca="false">'Raw Data'!K649</f>
        <v>Healthcare Representative</v>
      </c>
      <c r="E649" s="2" t="n">
        <f aca="false">'Raw Data'!Q649</f>
        <v>9</v>
      </c>
      <c r="F649" s="2" t="n">
        <f aca="false">'Raw Data'!U649</f>
        <v>7</v>
      </c>
      <c r="G649" s="2" t="n">
        <f aca="false">'Raw Data'!W649</f>
        <v>4</v>
      </c>
      <c r="H649" s="2" t="n">
        <f aca="false">'Raw Data'!V649</f>
        <v>4</v>
      </c>
      <c r="I649" s="2" t="n">
        <f aca="false">IF(AND(ISNUMBER(B649),B649&lt;=25),2,0)+IF(AND(ISNUMBER(E649),E649&lt;=5),2,0)+IF(AND(ISNUMBER(F649),F649&lt;=1),2,0)+IF(AND(ISNUMBER(G649),G649&lt;=2),1,0)+IF(AND(ISNUMBER(H649),H649&lt;=2),1,0)</f>
        <v>0</v>
      </c>
      <c r="J649" s="2" t="str">
        <f aca="false">IF(I649&gt;=6,"High",IF(I649&gt;=3,"Medium","Low"))</f>
        <v>Low</v>
      </c>
    </row>
    <row r="650" customFormat="false" ht="15" hidden="false" customHeight="true" outlineLevel="0" collapsed="false">
      <c r="A650" s="2" t="n">
        <f aca="false">'Raw Data'!H650</f>
        <v>649</v>
      </c>
      <c r="B650" s="2" t="n">
        <f aca="false">'Raw Data'!A650</f>
        <v>34</v>
      </c>
      <c r="C650" s="2" t="str">
        <f aca="false">'Raw Data'!D650</f>
        <v>Sales</v>
      </c>
      <c r="D650" s="2" t="str">
        <f aca="false">'Raw Data'!K650</f>
        <v>Laboratory Technician</v>
      </c>
      <c r="E650" s="2" t="n">
        <f aca="false">'Raw Data'!Q650</f>
        <v>2</v>
      </c>
      <c r="F650" s="2" t="n">
        <f aca="false">'Raw Data'!U650</f>
        <v>0</v>
      </c>
      <c r="G650" s="2" t="n">
        <f aca="false">'Raw Data'!W650</f>
        <v>3</v>
      </c>
      <c r="H650" s="2" t="n">
        <f aca="false">'Raw Data'!V650</f>
        <v>3</v>
      </c>
      <c r="I650" s="2" t="n">
        <f aca="false">IF(AND(ISNUMBER(B650),B650&lt;=25),2,0)+IF(AND(ISNUMBER(E650),E650&lt;=5),2,0)+IF(AND(ISNUMBER(F650),F650&lt;=1),2,0)+IF(AND(ISNUMBER(G650),G650&lt;=2),1,0)+IF(AND(ISNUMBER(H650),H650&lt;=2),1,0)</f>
        <v>4</v>
      </c>
      <c r="J650" s="2" t="str">
        <f aca="false">IF(I650&gt;=6,"High",IF(I650&gt;=3,"Medium","Low"))</f>
        <v>Medium</v>
      </c>
    </row>
    <row r="651" customFormat="false" ht="15" hidden="false" customHeight="true" outlineLevel="0" collapsed="false">
      <c r="A651" s="2" t="n">
        <f aca="false">'Raw Data'!H651</f>
        <v>650</v>
      </c>
      <c r="B651" s="2" t="n">
        <f aca="false">'Raw Data'!A651</f>
        <v>44</v>
      </c>
      <c r="C651" s="2" t="str">
        <f aca="false">'Raw Data'!D651</f>
        <v>Research &amp; Development</v>
      </c>
      <c r="D651" s="2" t="str">
        <f aca="false">'Raw Data'!K651</f>
        <v>Laboratory Technician</v>
      </c>
      <c r="E651" s="2" t="n">
        <f aca="false">'Raw Data'!Q651</f>
        <v>26</v>
      </c>
      <c r="F651" s="2" t="n">
        <f aca="false">'Raw Data'!U651</f>
        <v>10</v>
      </c>
      <c r="G651" s="2" t="n">
        <f aca="false">'Raw Data'!W651</f>
        <v>2</v>
      </c>
      <c r="H651" s="2" t="n">
        <f aca="false">'Raw Data'!V651</f>
        <v>2</v>
      </c>
      <c r="I651" s="2" t="n">
        <f aca="false">IF(AND(ISNUMBER(B651),B651&lt;=25),2,0)+IF(AND(ISNUMBER(E651),E651&lt;=5),2,0)+IF(AND(ISNUMBER(F651),F651&lt;=1),2,0)+IF(AND(ISNUMBER(G651),G651&lt;=2),1,0)+IF(AND(ISNUMBER(H651),H651&lt;=2),1,0)</f>
        <v>2</v>
      </c>
      <c r="J651" s="2" t="str">
        <f aca="false">IF(I651&gt;=6,"High",IF(I651&gt;=3,"Medium","Low"))</f>
        <v>Low</v>
      </c>
    </row>
    <row r="652" customFormat="false" ht="15" hidden="false" customHeight="true" outlineLevel="0" collapsed="false">
      <c r="A652" s="2" t="n">
        <f aca="false">'Raw Data'!H652</f>
        <v>651</v>
      </c>
      <c r="B652" s="2" t="n">
        <f aca="false">'Raw Data'!A652</f>
        <v>33</v>
      </c>
      <c r="C652" s="2" t="str">
        <f aca="false">'Raw Data'!D652</f>
        <v>Research &amp; Development</v>
      </c>
      <c r="D652" s="2" t="str">
        <f aca="false">'Raw Data'!K652</f>
        <v>Research Scientist</v>
      </c>
      <c r="E652" s="2" t="n">
        <f aca="false">'Raw Data'!Q652</f>
        <v>10</v>
      </c>
      <c r="F652" s="2" t="n">
        <f aca="false">'Raw Data'!U652</f>
        <v>8</v>
      </c>
      <c r="G652" s="2" t="n">
        <f aca="false">'Raw Data'!W652</f>
        <v>3</v>
      </c>
      <c r="H652" s="2" t="n">
        <f aca="false">'Raw Data'!V652</f>
        <v>4</v>
      </c>
      <c r="I652" s="2" t="n">
        <f aca="false">IF(AND(ISNUMBER(B652),B652&lt;=25),2,0)+IF(AND(ISNUMBER(E652),E652&lt;=5),2,0)+IF(AND(ISNUMBER(F652),F652&lt;=1),2,0)+IF(AND(ISNUMBER(G652),G652&lt;=2),1,0)+IF(AND(ISNUMBER(H652),H652&lt;=2),1,0)</f>
        <v>0</v>
      </c>
      <c r="J652" s="2" t="str">
        <f aca="false">IF(I652&gt;=6,"High",IF(I652&gt;=3,"Medium","Low"))</f>
        <v>Low</v>
      </c>
    </row>
    <row r="653" customFormat="false" ht="15" hidden="false" customHeight="true" outlineLevel="0" collapsed="false">
      <c r="A653" s="2" t="n">
        <f aca="false">'Raw Data'!H653</f>
        <v>652</v>
      </c>
      <c r="B653" s="2" t="n">
        <f aca="false">'Raw Data'!A653</f>
        <v>19</v>
      </c>
      <c r="C653" s="2" t="str">
        <f aca="false">'Raw Data'!D653</f>
        <v>Sales</v>
      </c>
      <c r="D653" s="2" t="str">
        <f aca="false">'Raw Data'!K653</f>
        <v>Laboratory Technician</v>
      </c>
      <c r="E653" s="2" t="n">
        <f aca="false">'Raw Data'!Q653</f>
        <v>1</v>
      </c>
      <c r="F653" s="2" t="n">
        <f aca="false">'Raw Data'!U653</f>
        <v>1</v>
      </c>
      <c r="G653" s="2" t="n">
        <f aca="false">'Raw Data'!W653</f>
        <v>4</v>
      </c>
      <c r="H653" s="2" t="n">
        <f aca="false">'Raw Data'!V653</f>
        <v>2</v>
      </c>
      <c r="I653" s="2" t="n">
        <f aca="false">IF(AND(ISNUMBER(B653),B653&lt;=25),2,0)+IF(AND(ISNUMBER(E653),E653&lt;=5),2,0)+IF(AND(ISNUMBER(F653),F653&lt;=1),2,0)+IF(AND(ISNUMBER(G653),G653&lt;=2),1,0)+IF(AND(ISNUMBER(H653),H653&lt;=2),1,0)</f>
        <v>7</v>
      </c>
      <c r="J653" s="2" t="str">
        <f aca="false">IF(I653&gt;=6,"High",IF(I653&gt;=3,"Medium","Low"))</f>
        <v>High</v>
      </c>
    </row>
    <row r="654" customFormat="false" ht="15" hidden="false" customHeight="true" outlineLevel="0" collapsed="false">
      <c r="A654" s="2" t="n">
        <f aca="false">'Raw Data'!H654</f>
        <v>653</v>
      </c>
      <c r="B654" s="2" t="n">
        <f aca="false">'Raw Data'!A654</f>
        <v>23</v>
      </c>
      <c r="C654" s="2" t="str">
        <f aca="false">'Raw Data'!D654</f>
        <v>Sales</v>
      </c>
      <c r="D654" s="2" t="str">
        <f aca="false">'Raw Data'!K654</f>
        <v>Laboratory Technician</v>
      </c>
      <c r="E654" s="2" t="n">
        <f aca="false">'Raw Data'!Q654</f>
        <v>1</v>
      </c>
      <c r="F654" s="2" t="n">
        <f aca="false">'Raw Data'!U654</f>
        <v>1</v>
      </c>
      <c r="G654" s="2" t="n">
        <f aca="false">'Raw Data'!W654</f>
        <v>3</v>
      </c>
      <c r="H654" s="2" t="n">
        <f aca="false">'Raw Data'!V654</f>
        <v>4</v>
      </c>
      <c r="I654" s="2" t="n">
        <f aca="false">IF(AND(ISNUMBER(B654),B654&lt;=25),2,0)+IF(AND(ISNUMBER(E654),E654&lt;=5),2,0)+IF(AND(ISNUMBER(F654),F654&lt;=1),2,0)+IF(AND(ISNUMBER(G654),G654&lt;=2),1,0)+IF(AND(ISNUMBER(H654),H654&lt;=2),1,0)</f>
        <v>6</v>
      </c>
      <c r="J654" s="2" t="str">
        <f aca="false">IF(I654&gt;=6,"High",IF(I654&gt;=3,"Medium","Low"))</f>
        <v>High</v>
      </c>
    </row>
    <row r="655" customFormat="false" ht="15" hidden="false" customHeight="true" outlineLevel="0" collapsed="false">
      <c r="A655" s="2" t="n">
        <f aca="false">'Raw Data'!H655</f>
        <v>654</v>
      </c>
      <c r="B655" s="2" t="n">
        <f aca="false">'Raw Data'!A655</f>
        <v>25</v>
      </c>
      <c r="C655" s="2" t="str">
        <f aca="false">'Raw Data'!D655</f>
        <v>Research &amp; Development</v>
      </c>
      <c r="D655" s="2" t="str">
        <f aca="false">'Raw Data'!K655</f>
        <v>Manufacturing Director</v>
      </c>
      <c r="E655" s="2" t="n">
        <f aca="false">'Raw Data'!Q655</f>
        <v>1</v>
      </c>
      <c r="F655" s="2" t="n">
        <f aca="false">'Raw Data'!U655</f>
        <v>0</v>
      </c>
      <c r="G655" s="2" t="n">
        <f aca="false">'Raw Data'!W655</f>
        <v>4</v>
      </c>
      <c r="H655" s="2" t="n">
        <f aca="false">'Raw Data'!V655</f>
        <v>3</v>
      </c>
      <c r="I655" s="2" t="n">
        <f aca="false">IF(AND(ISNUMBER(B655),B655&lt;=25),2,0)+IF(AND(ISNUMBER(E655),E655&lt;=5),2,0)+IF(AND(ISNUMBER(F655),F655&lt;=1),2,0)+IF(AND(ISNUMBER(G655),G655&lt;=2),1,0)+IF(AND(ISNUMBER(H655),H655&lt;=2),1,0)</f>
        <v>6</v>
      </c>
      <c r="J655" s="2" t="str">
        <f aca="false">IF(I655&gt;=6,"High",IF(I655&gt;=3,"Medium","Low"))</f>
        <v>High</v>
      </c>
    </row>
    <row r="656" customFormat="false" ht="15" hidden="false" customHeight="true" outlineLevel="0" collapsed="false">
      <c r="A656" s="2" t="n">
        <f aca="false">'Raw Data'!H656</f>
        <v>655</v>
      </c>
      <c r="B656" s="2" t="n">
        <f aca="false">'Raw Data'!A656</f>
        <v>26</v>
      </c>
      <c r="C656" s="2" t="str">
        <f aca="false">'Raw Data'!D656</f>
        <v>Human Resources</v>
      </c>
      <c r="D656" s="2" t="str">
        <f aca="false">'Raw Data'!K656</f>
        <v>Research Scientist</v>
      </c>
      <c r="E656" s="2" t="n">
        <f aca="false">'Raw Data'!Q656</f>
        <v>8</v>
      </c>
      <c r="F656" s="2" t="n">
        <f aca="false">'Raw Data'!U656</f>
        <v>2</v>
      </c>
      <c r="G656" s="2" t="n">
        <f aca="false">'Raw Data'!W656</f>
        <v>4</v>
      </c>
      <c r="H656" s="2" t="n">
        <f aca="false">'Raw Data'!V656</f>
        <v>3</v>
      </c>
      <c r="I656" s="2" t="n">
        <f aca="false">IF(AND(ISNUMBER(B656),B656&lt;=25),2,0)+IF(AND(ISNUMBER(E656),E656&lt;=5),2,0)+IF(AND(ISNUMBER(F656),F656&lt;=1),2,0)+IF(AND(ISNUMBER(G656),G656&lt;=2),1,0)+IF(AND(ISNUMBER(H656),H656&lt;=2),1,0)</f>
        <v>0</v>
      </c>
      <c r="J656" s="2" t="str">
        <f aca="false">IF(I656&gt;=6,"High",IF(I656&gt;=3,"Medium","Low"))</f>
        <v>Low</v>
      </c>
    </row>
    <row r="657" customFormat="false" ht="15" hidden="false" customHeight="true" outlineLevel="0" collapsed="false">
      <c r="A657" s="2" t="n">
        <f aca="false">'Raw Data'!H657</f>
        <v>656</v>
      </c>
      <c r="B657" s="2" t="n">
        <f aca="false">'Raw Data'!A657</f>
        <v>45</v>
      </c>
      <c r="C657" s="2" t="str">
        <f aca="false">'Raw Data'!D657</f>
        <v>Human Resources</v>
      </c>
      <c r="D657" s="2" t="str">
        <f aca="false">'Raw Data'!K657</f>
        <v>Laboratory Technician</v>
      </c>
      <c r="E657" s="2" t="n">
        <f aca="false">'Raw Data'!Q657</f>
        <v>26</v>
      </c>
      <c r="F657" s="2" t="n">
        <f aca="false">'Raw Data'!U657</f>
        <v>11</v>
      </c>
      <c r="G657" s="2" t="n">
        <f aca="false">'Raw Data'!W657</f>
        <v>2</v>
      </c>
      <c r="H657" s="2" t="n">
        <f aca="false">'Raw Data'!V657</f>
        <v>1</v>
      </c>
      <c r="I657" s="2" t="n">
        <f aca="false">IF(AND(ISNUMBER(B657),B657&lt;=25),2,0)+IF(AND(ISNUMBER(E657),E657&lt;=5),2,0)+IF(AND(ISNUMBER(F657),F657&lt;=1),2,0)+IF(AND(ISNUMBER(G657),G657&lt;=2),1,0)+IF(AND(ISNUMBER(H657),H657&lt;=2),1,0)</f>
        <v>2</v>
      </c>
      <c r="J657" s="2" t="str">
        <f aca="false">IF(I657&gt;=6,"High",IF(I657&gt;=3,"Medium","Low"))</f>
        <v>Low</v>
      </c>
    </row>
    <row r="658" customFormat="false" ht="15" hidden="false" customHeight="true" outlineLevel="0" collapsed="false">
      <c r="A658" s="2" t="n">
        <f aca="false">'Raw Data'!H658</f>
        <v>657</v>
      </c>
      <c r="B658" s="2" t="n">
        <f aca="false">'Raw Data'!A658</f>
        <v>55</v>
      </c>
      <c r="C658" s="2" t="str">
        <f aca="false">'Raw Data'!D658</f>
        <v>Research &amp; Development</v>
      </c>
      <c r="D658" s="2" t="str">
        <f aca="false">'Raw Data'!K658</f>
        <v>Manager</v>
      </c>
      <c r="E658" s="2" t="n">
        <f aca="false">'Raw Data'!Q658</f>
        <v>34</v>
      </c>
      <c r="F658" s="2" t="n">
        <f aca="false">'Raw Data'!U658</f>
        <v>0</v>
      </c>
      <c r="G658" s="2" t="n">
        <f aca="false">'Raw Data'!W658</f>
        <v>2</v>
      </c>
      <c r="H658" s="2" t="n">
        <f aca="false">'Raw Data'!V658</f>
        <v>4</v>
      </c>
      <c r="I658" s="2" t="n">
        <f aca="false">IF(AND(ISNUMBER(B658),B658&lt;=25),2,0)+IF(AND(ISNUMBER(E658),E658&lt;=5),2,0)+IF(AND(ISNUMBER(F658),F658&lt;=1),2,0)+IF(AND(ISNUMBER(G658),G658&lt;=2),1,0)+IF(AND(ISNUMBER(H658),H658&lt;=2),1,0)</f>
        <v>3</v>
      </c>
      <c r="J658" s="2" t="str">
        <f aca="false">IF(I658&gt;=6,"High",IF(I658&gt;=3,"Medium","Low"))</f>
        <v>Medium</v>
      </c>
    </row>
    <row r="659" customFormat="false" ht="15" hidden="false" customHeight="true" outlineLevel="0" collapsed="false">
      <c r="A659" s="2" t="n">
        <f aca="false">'Raw Data'!H659</f>
        <v>658</v>
      </c>
      <c r="B659" s="2" t="n">
        <f aca="false">'Raw Data'!A659</f>
        <v>21</v>
      </c>
      <c r="C659" s="2" t="str">
        <f aca="false">'Raw Data'!D659</f>
        <v>Research &amp; Development</v>
      </c>
      <c r="D659" s="2" t="str">
        <f aca="false">'Raw Data'!K659</f>
        <v>Research Scientist</v>
      </c>
      <c r="E659" s="2" t="n">
        <f aca="false">'Raw Data'!Q659</f>
        <v>2</v>
      </c>
      <c r="F659" s="2" t="n">
        <f aca="false">'Raw Data'!U659</f>
        <v>2</v>
      </c>
      <c r="G659" s="2" t="n">
        <f aca="false">'Raw Data'!W659</f>
        <v>3</v>
      </c>
      <c r="H659" s="2" t="n">
        <f aca="false">'Raw Data'!V659</f>
        <v>1</v>
      </c>
      <c r="I659" s="2" t="n">
        <f aca="false">IF(AND(ISNUMBER(B659),B659&lt;=25),2,0)+IF(AND(ISNUMBER(E659),E659&lt;=5),2,0)+IF(AND(ISNUMBER(F659),F659&lt;=1),2,0)+IF(AND(ISNUMBER(G659),G659&lt;=2),1,0)+IF(AND(ISNUMBER(H659),H659&lt;=2),1,0)</f>
        <v>5</v>
      </c>
      <c r="J659" s="2" t="str">
        <f aca="false">IF(I659&gt;=6,"High",IF(I659&gt;=3,"Medium","Low"))</f>
        <v>Medium</v>
      </c>
    </row>
    <row r="660" customFormat="false" ht="15" hidden="false" customHeight="true" outlineLevel="0" collapsed="false">
      <c r="A660" s="2" t="n">
        <f aca="false">'Raw Data'!H660</f>
        <v>659</v>
      </c>
      <c r="B660" s="2" t="n">
        <f aca="false">'Raw Data'!A660</f>
        <v>46</v>
      </c>
      <c r="C660" s="2" t="str">
        <f aca="false">'Raw Data'!D660</f>
        <v>Research &amp; Development</v>
      </c>
      <c r="D660" s="2" t="str">
        <f aca="false">'Raw Data'!K660</f>
        <v>Manufacturing Director</v>
      </c>
      <c r="E660" s="2" t="n">
        <f aca="false">'Raw Data'!Q660</f>
        <v>26</v>
      </c>
      <c r="F660" s="2" t="n">
        <f aca="false">'Raw Data'!U660</f>
        <v>8</v>
      </c>
      <c r="G660" s="2" t="n">
        <f aca="false">'Raw Data'!W660</f>
        <v>2</v>
      </c>
      <c r="H660" s="2" t="n">
        <f aca="false">'Raw Data'!V660</f>
        <v>4</v>
      </c>
      <c r="I660" s="2" t="n">
        <f aca="false">IF(AND(ISNUMBER(B660),B660&lt;=25),2,0)+IF(AND(ISNUMBER(E660),E660&lt;=5),2,0)+IF(AND(ISNUMBER(F660),F660&lt;=1),2,0)+IF(AND(ISNUMBER(G660),G660&lt;=2),1,0)+IF(AND(ISNUMBER(H660),H660&lt;=2),1,0)</f>
        <v>1</v>
      </c>
      <c r="J660" s="2" t="str">
        <f aca="false">IF(I660&gt;=6,"High",IF(I660&gt;=3,"Medium","Low"))</f>
        <v>Low</v>
      </c>
    </row>
    <row r="661" customFormat="false" ht="15" hidden="false" customHeight="true" outlineLevel="0" collapsed="false">
      <c r="A661" s="2" t="n">
        <f aca="false">'Raw Data'!H661</f>
        <v>660</v>
      </c>
      <c r="B661" s="2" t="n">
        <f aca="false">'Raw Data'!A661</f>
        <v>34</v>
      </c>
      <c r="C661" s="2" t="str">
        <f aca="false">'Raw Data'!D661</f>
        <v>Sales</v>
      </c>
      <c r="D661" s="2" t="str">
        <f aca="false">'Raw Data'!K661</f>
        <v>Sales Representative</v>
      </c>
      <c r="E661" s="2" t="n">
        <f aca="false">'Raw Data'!Q661</f>
        <v>4</v>
      </c>
      <c r="F661" s="2" t="n">
        <f aca="false">'Raw Data'!U661</f>
        <v>2</v>
      </c>
      <c r="G661" s="2" t="n">
        <f aca="false">'Raw Data'!W661</f>
        <v>1</v>
      </c>
      <c r="H661" s="2" t="n">
        <f aca="false">'Raw Data'!V661</f>
        <v>3</v>
      </c>
      <c r="I661" s="2" t="n">
        <f aca="false">IF(AND(ISNUMBER(B661),B661&lt;=25),2,0)+IF(AND(ISNUMBER(E661),E661&lt;=5),2,0)+IF(AND(ISNUMBER(F661),F661&lt;=1),2,0)+IF(AND(ISNUMBER(G661),G661&lt;=2),1,0)+IF(AND(ISNUMBER(H661),H661&lt;=2),1,0)</f>
        <v>3</v>
      </c>
      <c r="J661" s="2" t="str">
        <f aca="false">IF(I661&gt;=6,"High",IF(I661&gt;=3,"Medium","Low"))</f>
        <v>Medium</v>
      </c>
    </row>
    <row r="662" customFormat="false" ht="15" hidden="false" customHeight="true" outlineLevel="0" collapsed="false">
      <c r="A662" s="2" t="n">
        <f aca="false">'Raw Data'!H662</f>
        <v>661</v>
      </c>
      <c r="B662" s="2" t="n">
        <f aca="false">'Raw Data'!A662</f>
        <v>51</v>
      </c>
      <c r="C662" s="2" t="str">
        <f aca="false">'Raw Data'!D662</f>
        <v>Research &amp; Development</v>
      </c>
      <c r="D662" s="2" t="str">
        <f aca="false">'Raw Data'!K662</f>
        <v>Research Director</v>
      </c>
      <c r="E662" s="2" t="n">
        <f aca="false">'Raw Data'!Q662</f>
        <v>31</v>
      </c>
      <c r="F662" s="2" t="n">
        <f aca="false">'Raw Data'!U662</f>
        <v>10</v>
      </c>
      <c r="G662" s="2" t="n">
        <f aca="false">'Raw Data'!W662</f>
        <v>2</v>
      </c>
      <c r="H662" s="2" t="n">
        <f aca="false">'Raw Data'!V662</f>
        <v>4</v>
      </c>
      <c r="I662" s="2" t="n">
        <f aca="false">IF(AND(ISNUMBER(B662),B662&lt;=25),2,0)+IF(AND(ISNUMBER(E662),E662&lt;=5),2,0)+IF(AND(ISNUMBER(F662),F662&lt;=1),2,0)+IF(AND(ISNUMBER(G662),G662&lt;=2),1,0)+IF(AND(ISNUMBER(H662),H662&lt;=2),1,0)</f>
        <v>1</v>
      </c>
      <c r="J662" s="2" t="str">
        <f aca="false">IF(I662&gt;=6,"High",IF(I662&gt;=3,"Medium","Low"))</f>
        <v>Low</v>
      </c>
    </row>
    <row r="663" customFormat="false" ht="15" hidden="false" customHeight="true" outlineLevel="0" collapsed="false">
      <c r="A663" s="2" t="n">
        <f aca="false">'Raw Data'!H663</f>
        <v>662</v>
      </c>
      <c r="B663" s="2" t="n">
        <f aca="false">'Raw Data'!A663</f>
        <v>59</v>
      </c>
      <c r="C663" s="2" t="str">
        <f aca="false">'Raw Data'!D663</f>
        <v>Research &amp; Development</v>
      </c>
      <c r="D663" s="2" t="str">
        <f aca="false">'Raw Data'!K663</f>
        <v>Research Scientist</v>
      </c>
      <c r="E663" s="2" t="n">
        <f aca="false">'Raw Data'!Q663</f>
        <v>25</v>
      </c>
      <c r="F663" s="2" t="n">
        <f aca="false">'Raw Data'!U663</f>
        <v>4</v>
      </c>
      <c r="G663" s="2" t="n">
        <f aca="false">'Raw Data'!W663</f>
        <v>4</v>
      </c>
      <c r="H663" s="2" t="n">
        <f aca="false">'Raw Data'!V663</f>
        <v>4</v>
      </c>
      <c r="I663" s="2" t="n">
        <f aca="false">IF(AND(ISNUMBER(B663),B663&lt;=25),2,0)+IF(AND(ISNUMBER(E663),E663&lt;=5),2,0)+IF(AND(ISNUMBER(F663),F663&lt;=1),2,0)+IF(AND(ISNUMBER(G663),G663&lt;=2),1,0)+IF(AND(ISNUMBER(H663),H663&lt;=2),1,0)</f>
        <v>0</v>
      </c>
      <c r="J663" s="2" t="str">
        <f aca="false">IF(I663&gt;=6,"High",IF(I663&gt;=3,"Medium","Low"))</f>
        <v>Low</v>
      </c>
    </row>
    <row r="664" customFormat="false" ht="15" hidden="false" customHeight="true" outlineLevel="0" collapsed="false">
      <c r="A664" s="2" t="n">
        <f aca="false">'Raw Data'!H664</f>
        <v>663</v>
      </c>
      <c r="B664" s="2" t="n">
        <f aca="false">'Raw Data'!A664</f>
        <v>34</v>
      </c>
      <c r="C664" s="2" t="str">
        <f aca="false">'Raw Data'!D664</f>
        <v>Sales</v>
      </c>
      <c r="D664" s="2" t="str">
        <f aca="false">'Raw Data'!K664</f>
        <v>Research Scientist</v>
      </c>
      <c r="E664" s="2" t="n">
        <f aca="false">'Raw Data'!Q664</f>
        <v>15</v>
      </c>
      <c r="F664" s="2" t="n">
        <f aca="false">'Raw Data'!U664</f>
        <v>10</v>
      </c>
      <c r="G664" s="2" t="n">
        <f aca="false">'Raw Data'!W664</f>
        <v>2</v>
      </c>
      <c r="H664" s="2" t="n">
        <f aca="false">'Raw Data'!V664</f>
        <v>3</v>
      </c>
      <c r="I664" s="2" t="n">
        <f aca="false">IF(AND(ISNUMBER(B664),B664&lt;=25),2,0)+IF(AND(ISNUMBER(E664),E664&lt;=5),2,0)+IF(AND(ISNUMBER(F664),F664&lt;=1),2,0)+IF(AND(ISNUMBER(G664),G664&lt;=2),1,0)+IF(AND(ISNUMBER(H664),H664&lt;=2),1,0)</f>
        <v>1</v>
      </c>
      <c r="J664" s="2" t="str">
        <f aca="false">IF(I664&gt;=6,"High",IF(I664&gt;=3,"Medium","Low"))</f>
        <v>Low</v>
      </c>
    </row>
    <row r="665" customFormat="false" ht="15" hidden="false" customHeight="true" outlineLevel="0" collapsed="false">
      <c r="A665" s="2" t="n">
        <f aca="false">'Raw Data'!H665</f>
        <v>664</v>
      </c>
      <c r="B665" s="2" t="n">
        <f aca="false">'Raw Data'!A665</f>
        <v>28</v>
      </c>
      <c r="C665" s="2" t="str">
        <f aca="false">'Raw Data'!D665</f>
        <v>Research &amp; Development</v>
      </c>
      <c r="D665" s="2" t="str">
        <f aca="false">'Raw Data'!K665</f>
        <v>Manager</v>
      </c>
      <c r="E665" s="2" t="n">
        <f aca="false">'Raw Data'!Q665</f>
        <v>5</v>
      </c>
      <c r="F665" s="2" t="n">
        <f aca="false">'Raw Data'!U665</f>
        <v>2</v>
      </c>
      <c r="G665" s="2" t="n">
        <f aca="false">'Raw Data'!W665</f>
        <v>3</v>
      </c>
      <c r="H665" s="2" t="n">
        <f aca="false">'Raw Data'!V665</f>
        <v>4</v>
      </c>
      <c r="I665" s="2" t="n">
        <f aca="false">IF(AND(ISNUMBER(B665),B665&lt;=25),2,0)+IF(AND(ISNUMBER(E665),E665&lt;=5),2,0)+IF(AND(ISNUMBER(F665),F665&lt;=1),2,0)+IF(AND(ISNUMBER(G665),G665&lt;=2),1,0)+IF(AND(ISNUMBER(H665),H665&lt;=2),1,0)</f>
        <v>2</v>
      </c>
      <c r="J665" s="2" t="str">
        <f aca="false">IF(I665&gt;=6,"High",IF(I665&gt;=3,"Medium","Low"))</f>
        <v>Low</v>
      </c>
    </row>
    <row r="666" customFormat="false" ht="15" hidden="false" customHeight="true" outlineLevel="0" collapsed="false">
      <c r="A666" s="2" t="n">
        <f aca="false">'Raw Data'!H666</f>
        <v>665</v>
      </c>
      <c r="B666" s="2" t="n">
        <f aca="false">'Raw Data'!A666</f>
        <v>44</v>
      </c>
      <c r="C666" s="2" t="str">
        <f aca="false">'Raw Data'!D666</f>
        <v>Research &amp; Development</v>
      </c>
      <c r="D666" s="2" t="str">
        <f aca="false">'Raw Data'!K666</f>
        <v>Research Scientist</v>
      </c>
      <c r="E666" s="2" t="n">
        <f aca="false">'Raw Data'!Q666</f>
        <v>26</v>
      </c>
      <c r="F666" s="2" t="n">
        <f aca="false">'Raw Data'!U666</f>
        <v>13</v>
      </c>
      <c r="G666" s="2" t="n">
        <f aca="false">'Raw Data'!W666</f>
        <v>1</v>
      </c>
      <c r="H666" s="2" t="n">
        <f aca="false">'Raw Data'!V666</f>
        <v>3</v>
      </c>
      <c r="I666" s="2" t="n">
        <f aca="false">IF(AND(ISNUMBER(B666),B666&lt;=25),2,0)+IF(AND(ISNUMBER(E666),E666&lt;=5),2,0)+IF(AND(ISNUMBER(F666),F666&lt;=1),2,0)+IF(AND(ISNUMBER(G666),G666&lt;=2),1,0)+IF(AND(ISNUMBER(H666),H666&lt;=2),1,0)</f>
        <v>1</v>
      </c>
      <c r="J666" s="2" t="str">
        <f aca="false">IF(I666&gt;=6,"High",IF(I666&gt;=3,"Medium","Low"))</f>
        <v>Low</v>
      </c>
    </row>
    <row r="667" customFormat="false" ht="15" hidden="false" customHeight="true" outlineLevel="0" collapsed="false">
      <c r="A667" s="2" t="n">
        <f aca="false">'Raw Data'!H667</f>
        <v>666</v>
      </c>
      <c r="B667" s="2" t="n">
        <f aca="false">'Raw Data'!A667</f>
        <v>34</v>
      </c>
      <c r="C667" s="2" t="str">
        <f aca="false">'Raw Data'!D667</f>
        <v>Sales</v>
      </c>
      <c r="D667" s="2" t="str">
        <f aca="false">'Raw Data'!K667</f>
        <v>Sales Executive</v>
      </c>
      <c r="E667" s="2" t="n">
        <f aca="false">'Raw Data'!Q667</f>
        <v>14</v>
      </c>
      <c r="F667" s="2" t="n">
        <f aca="false">'Raw Data'!U667</f>
        <v>8</v>
      </c>
      <c r="G667" s="2" t="n">
        <f aca="false">'Raw Data'!W667</f>
        <v>2</v>
      </c>
      <c r="H667" s="2" t="n">
        <f aca="false">'Raw Data'!V667</f>
        <v>3</v>
      </c>
      <c r="I667" s="2" t="n">
        <f aca="false">IF(AND(ISNUMBER(B667),B667&lt;=25),2,0)+IF(AND(ISNUMBER(E667),E667&lt;=5),2,0)+IF(AND(ISNUMBER(F667),F667&lt;=1),2,0)+IF(AND(ISNUMBER(G667),G667&lt;=2),1,0)+IF(AND(ISNUMBER(H667),H667&lt;=2),1,0)</f>
        <v>1</v>
      </c>
      <c r="J667" s="2" t="str">
        <f aca="false">IF(I667&gt;=6,"High",IF(I667&gt;=3,"Medium","Low"))</f>
        <v>Low</v>
      </c>
    </row>
    <row r="668" customFormat="false" ht="15" hidden="false" customHeight="true" outlineLevel="0" collapsed="false">
      <c r="A668" s="2" t="n">
        <f aca="false">'Raw Data'!H668</f>
        <v>667</v>
      </c>
      <c r="B668" s="2" t="n">
        <f aca="false">'Raw Data'!A668</f>
        <v>35</v>
      </c>
      <c r="C668" s="2" t="str">
        <f aca="false">'Raw Data'!D668</f>
        <v>Research &amp; Development</v>
      </c>
      <c r="D668" s="2" t="str">
        <f aca="false">'Raw Data'!K668</f>
        <v>Healthcare Representative</v>
      </c>
      <c r="E668" s="2" t="n">
        <f aca="false">'Raw Data'!Q668</f>
        <v>4</v>
      </c>
      <c r="F668" s="2" t="n">
        <f aca="false">'Raw Data'!U668</f>
        <v>2</v>
      </c>
      <c r="G668" s="2" t="n">
        <f aca="false">'Raw Data'!W668</f>
        <v>3</v>
      </c>
      <c r="H668" s="2" t="n">
        <f aca="false">'Raw Data'!V668</f>
        <v>3</v>
      </c>
      <c r="I668" s="2" t="n">
        <f aca="false">IF(AND(ISNUMBER(B668),B668&lt;=25),2,0)+IF(AND(ISNUMBER(E668),E668&lt;=5),2,0)+IF(AND(ISNUMBER(F668),F668&lt;=1),2,0)+IF(AND(ISNUMBER(G668),G668&lt;=2),1,0)+IF(AND(ISNUMBER(H668),H668&lt;=2),1,0)</f>
        <v>2</v>
      </c>
      <c r="J668" s="2" t="str">
        <f aca="false">IF(I668&gt;=6,"High",IF(I668&gt;=3,"Medium","Low"))</f>
        <v>Low</v>
      </c>
    </row>
    <row r="669" customFormat="false" ht="15" hidden="false" customHeight="true" outlineLevel="0" collapsed="false">
      <c r="A669" s="2" t="n">
        <f aca="false">'Raw Data'!H669</f>
        <v>668</v>
      </c>
      <c r="B669" s="2" t="n">
        <f aca="false">'Raw Data'!A669</f>
        <v>42</v>
      </c>
      <c r="C669" s="2" t="str">
        <f aca="false">'Raw Data'!D669</f>
        <v>Research &amp; Development</v>
      </c>
      <c r="D669" s="2" t="str">
        <f aca="false">'Raw Data'!K669</f>
        <v>Manager</v>
      </c>
      <c r="E669" s="2" t="n">
        <f aca="false">'Raw Data'!Q669</f>
        <v>18</v>
      </c>
      <c r="F669" s="2" t="n">
        <f aca="false">'Raw Data'!U669</f>
        <v>0</v>
      </c>
      <c r="G669" s="2" t="n">
        <f aca="false">'Raw Data'!W669</f>
        <v>2</v>
      </c>
      <c r="H669" s="2" t="n">
        <f aca="false">'Raw Data'!V669</f>
        <v>2</v>
      </c>
      <c r="I669" s="2" t="n">
        <f aca="false">IF(AND(ISNUMBER(B669),B669&lt;=25),2,0)+IF(AND(ISNUMBER(E669),E669&lt;=5),2,0)+IF(AND(ISNUMBER(F669),F669&lt;=1),2,0)+IF(AND(ISNUMBER(G669),G669&lt;=2),1,0)+IF(AND(ISNUMBER(H669),H669&lt;=2),1,0)</f>
        <v>4</v>
      </c>
      <c r="J669" s="2" t="str">
        <f aca="false">IF(I669&gt;=6,"High",IF(I669&gt;=3,"Medium","Low"))</f>
        <v>Medium</v>
      </c>
    </row>
    <row r="670" customFormat="false" ht="15" hidden="false" customHeight="true" outlineLevel="0" collapsed="false">
      <c r="A670" s="2" t="n">
        <f aca="false">'Raw Data'!H670</f>
        <v>669</v>
      </c>
      <c r="B670" s="2" t="n">
        <f aca="false">'Raw Data'!A670</f>
        <v>43</v>
      </c>
      <c r="C670" s="2" t="str">
        <f aca="false">'Raw Data'!D670</f>
        <v>Research &amp; Development</v>
      </c>
      <c r="D670" s="2" t="str">
        <f aca="false">'Raw Data'!K670</f>
        <v>Laboratory Technician</v>
      </c>
      <c r="E670" s="2" t="n">
        <f aca="false">'Raw Data'!Q670</f>
        <v>23</v>
      </c>
      <c r="F670" s="2" t="n">
        <f aca="false">'Raw Data'!U670</f>
        <v>17</v>
      </c>
      <c r="G670" s="2" t="n">
        <f aca="false">'Raw Data'!W670</f>
        <v>4</v>
      </c>
      <c r="H670" s="2" t="n">
        <f aca="false">'Raw Data'!V670</f>
        <v>4</v>
      </c>
      <c r="I670" s="2" t="n">
        <f aca="false">IF(AND(ISNUMBER(B670),B670&lt;=25),2,0)+IF(AND(ISNUMBER(E670),E670&lt;=5),2,0)+IF(AND(ISNUMBER(F670),F670&lt;=1),2,0)+IF(AND(ISNUMBER(G670),G670&lt;=2),1,0)+IF(AND(ISNUMBER(H670),H670&lt;=2),1,0)</f>
        <v>0</v>
      </c>
      <c r="J670" s="2" t="str">
        <f aca="false">IF(I670&gt;=6,"High",IF(I670&gt;=3,"Medium","Low"))</f>
        <v>Low</v>
      </c>
    </row>
    <row r="671" customFormat="false" ht="15" hidden="false" customHeight="true" outlineLevel="0" collapsed="false">
      <c r="A671" s="2" t="n">
        <f aca="false">'Raw Data'!H671</f>
        <v>670</v>
      </c>
      <c r="B671" s="2" t="n">
        <f aca="false">'Raw Data'!A671</f>
        <v>36</v>
      </c>
      <c r="C671" s="2" t="str">
        <f aca="false">'Raw Data'!D671</f>
        <v>Research &amp; Development</v>
      </c>
      <c r="D671" s="2" t="str">
        <f aca="false">'Raw Data'!K671</f>
        <v>Healthcare Representative</v>
      </c>
      <c r="E671" s="2" t="n">
        <f aca="false">'Raw Data'!Q671</f>
        <v>18</v>
      </c>
      <c r="F671" s="2" t="n">
        <f aca="false">'Raw Data'!U671</f>
        <v>12</v>
      </c>
      <c r="G671" s="2" t="n">
        <f aca="false">'Raw Data'!W671</f>
        <v>2</v>
      </c>
      <c r="H671" s="2" t="n">
        <f aca="false">'Raw Data'!V671</f>
        <v>3</v>
      </c>
      <c r="I671" s="2" t="n">
        <f aca="false">IF(AND(ISNUMBER(B671),B671&lt;=25),2,0)+IF(AND(ISNUMBER(E671),E671&lt;=5),2,0)+IF(AND(ISNUMBER(F671),F671&lt;=1),2,0)+IF(AND(ISNUMBER(G671),G671&lt;=2),1,0)+IF(AND(ISNUMBER(H671),H671&lt;=2),1,0)</f>
        <v>1</v>
      </c>
      <c r="J671" s="2" t="str">
        <f aca="false">IF(I671&gt;=6,"High",IF(I671&gt;=3,"Medium","Low"))</f>
        <v>Low</v>
      </c>
    </row>
    <row r="672" customFormat="false" ht="15" hidden="false" customHeight="true" outlineLevel="0" collapsed="false">
      <c r="A672" s="2" t="n">
        <f aca="false">'Raw Data'!H672</f>
        <v>671</v>
      </c>
      <c r="B672" s="2" t="n">
        <f aca="false">'Raw Data'!A672</f>
        <v>44</v>
      </c>
      <c r="C672" s="2" t="str">
        <f aca="false">'Raw Data'!D672</f>
        <v>Research &amp; Development</v>
      </c>
      <c r="D672" s="2" t="str">
        <f aca="false">'Raw Data'!K672</f>
        <v>Laboratory Technician</v>
      </c>
      <c r="E672" s="2" t="n">
        <f aca="false">'Raw Data'!Q672</f>
        <v>10</v>
      </c>
      <c r="F672" s="2" t="n">
        <f aca="false">'Raw Data'!U672</f>
        <v>5</v>
      </c>
      <c r="G672" s="2" t="n">
        <f aca="false">'Raw Data'!W672</f>
        <v>4</v>
      </c>
      <c r="H672" s="2" t="n">
        <f aca="false">'Raw Data'!V672</f>
        <v>1</v>
      </c>
      <c r="I672" s="2" t="n">
        <f aca="false">IF(AND(ISNUMBER(B672),B672&lt;=25),2,0)+IF(AND(ISNUMBER(E672),E672&lt;=5),2,0)+IF(AND(ISNUMBER(F672),F672&lt;=1),2,0)+IF(AND(ISNUMBER(G672),G672&lt;=2),1,0)+IF(AND(ISNUMBER(H672),H672&lt;=2),1,0)</f>
        <v>1</v>
      </c>
      <c r="J672" s="2" t="str">
        <f aca="false">IF(I672&gt;=6,"High",IF(I672&gt;=3,"Medium","Low"))</f>
        <v>Low</v>
      </c>
    </row>
    <row r="673" customFormat="false" ht="15" hidden="false" customHeight="true" outlineLevel="0" collapsed="false">
      <c r="A673" s="2" t="n">
        <f aca="false">'Raw Data'!H673</f>
        <v>672</v>
      </c>
      <c r="B673" s="2" t="n">
        <f aca="false">'Raw Data'!A673</f>
        <v>28</v>
      </c>
      <c r="C673" s="2" t="str">
        <f aca="false">'Raw Data'!D673</f>
        <v>Research &amp; Development</v>
      </c>
      <c r="D673" s="2" t="str">
        <f aca="false">'Raw Data'!K673</f>
        <v>Sales Representative</v>
      </c>
      <c r="E673" s="2" t="n">
        <f aca="false">'Raw Data'!Q673</f>
        <v>2</v>
      </c>
      <c r="F673" s="2" t="n">
        <f aca="false">'Raw Data'!U673</f>
        <v>2</v>
      </c>
      <c r="G673" s="2" t="n">
        <f aca="false">'Raw Data'!W673</f>
        <v>4</v>
      </c>
      <c r="H673" s="2" t="n">
        <f aca="false">'Raw Data'!V673</f>
        <v>4</v>
      </c>
      <c r="I673" s="2" t="n">
        <f aca="false">IF(AND(ISNUMBER(B673),B673&lt;=25),2,0)+IF(AND(ISNUMBER(E673),E673&lt;=5),2,0)+IF(AND(ISNUMBER(F673),F673&lt;=1),2,0)+IF(AND(ISNUMBER(G673),G673&lt;=2),1,0)+IF(AND(ISNUMBER(H673),H673&lt;=2),1,0)</f>
        <v>2</v>
      </c>
      <c r="J673" s="2" t="str">
        <f aca="false">IF(I673&gt;=6,"High",IF(I673&gt;=3,"Medium","Low"))</f>
        <v>Low</v>
      </c>
    </row>
    <row r="674" customFormat="false" ht="15" hidden="false" customHeight="true" outlineLevel="0" collapsed="false">
      <c r="A674" s="2" t="n">
        <f aca="false">'Raw Data'!H674</f>
        <v>673</v>
      </c>
      <c r="B674" s="2" t="n">
        <f aca="false">'Raw Data'!A674</f>
        <v>51</v>
      </c>
      <c r="C674" s="2" t="str">
        <f aca="false">'Raw Data'!D674</f>
        <v>Sales</v>
      </c>
      <c r="D674" s="2" t="str">
        <f aca="false">'Raw Data'!K674</f>
        <v>Research Scientist</v>
      </c>
      <c r="E674" s="2" t="n">
        <f aca="false">'Raw Data'!Q674</f>
        <v>8</v>
      </c>
      <c r="F674" s="2" t="n">
        <f aca="false">'Raw Data'!U674</f>
        <v>7</v>
      </c>
      <c r="G674" s="2" t="n">
        <f aca="false">'Raw Data'!W674</f>
        <v>3</v>
      </c>
      <c r="H674" s="2" t="n">
        <f aca="false">'Raw Data'!V674</f>
        <v>2</v>
      </c>
      <c r="I674" s="2" t="n">
        <f aca="false">IF(AND(ISNUMBER(B674),B674&lt;=25),2,0)+IF(AND(ISNUMBER(E674),E674&lt;=5),2,0)+IF(AND(ISNUMBER(F674),F674&lt;=1),2,0)+IF(AND(ISNUMBER(G674),G674&lt;=2),1,0)+IF(AND(ISNUMBER(H674),H674&lt;=2),1,0)</f>
        <v>1</v>
      </c>
      <c r="J674" s="2" t="str">
        <f aca="false">IF(I674&gt;=6,"High",IF(I674&gt;=3,"Medium","Low"))</f>
        <v>Low</v>
      </c>
    </row>
    <row r="675" customFormat="false" ht="15" hidden="false" customHeight="true" outlineLevel="0" collapsed="false">
      <c r="A675" s="2" t="n">
        <f aca="false">'Raw Data'!H675</f>
        <v>674</v>
      </c>
      <c r="B675" s="2" t="n">
        <f aca="false">'Raw Data'!A675</f>
        <v>30</v>
      </c>
      <c r="C675" s="2" t="str">
        <f aca="false">'Raw Data'!D675</f>
        <v>Research &amp; Development</v>
      </c>
      <c r="D675" s="2" t="str">
        <f aca="false">'Raw Data'!K675</f>
        <v>Research Scientist</v>
      </c>
      <c r="E675" s="2" t="n">
        <f aca="false">'Raw Data'!Q675</f>
        <v>10</v>
      </c>
      <c r="F675" s="2" t="n">
        <f aca="false">'Raw Data'!U675</f>
        <v>7</v>
      </c>
      <c r="G675" s="2" t="n">
        <f aca="false">'Raw Data'!W675</f>
        <v>3</v>
      </c>
      <c r="H675" s="2" t="n">
        <f aca="false">'Raw Data'!V675</f>
        <v>3</v>
      </c>
      <c r="I675" s="2" t="n">
        <f aca="false">IF(AND(ISNUMBER(B675),B675&lt;=25),2,0)+IF(AND(ISNUMBER(E675),E675&lt;=5),2,0)+IF(AND(ISNUMBER(F675),F675&lt;=1),2,0)+IF(AND(ISNUMBER(G675),G675&lt;=2),1,0)+IF(AND(ISNUMBER(H675),H675&lt;=2),1,0)</f>
        <v>0</v>
      </c>
      <c r="J675" s="2" t="str">
        <f aca="false">IF(I675&gt;=6,"High",IF(I675&gt;=3,"Medium","Low"))</f>
        <v>Low</v>
      </c>
    </row>
    <row r="676" customFormat="false" ht="15" hidden="false" customHeight="true" outlineLevel="0" collapsed="false">
      <c r="A676" s="2" t="n">
        <f aca="false">'Raw Data'!H676</f>
        <v>675</v>
      </c>
      <c r="B676" s="2" t="n">
        <f aca="false">'Raw Data'!A676</f>
        <v>29</v>
      </c>
      <c r="C676" s="2" t="str">
        <f aca="false">'Raw Data'!D676</f>
        <v>Research &amp; Development</v>
      </c>
      <c r="D676" s="2" t="str">
        <f aca="false">'Raw Data'!K676</f>
        <v>Sales Representative</v>
      </c>
      <c r="E676" s="2" t="n">
        <f aca="false">'Raw Data'!Q676</f>
        <v>10</v>
      </c>
      <c r="F676" s="2" t="n">
        <f aca="false">'Raw Data'!U676</f>
        <v>7</v>
      </c>
      <c r="G676" s="2" t="n">
        <f aca="false">'Raw Data'!W676</f>
        <v>3</v>
      </c>
      <c r="H676" s="2" t="n">
        <f aca="false">'Raw Data'!V676</f>
        <v>2</v>
      </c>
      <c r="I676" s="2" t="n">
        <f aca="false">IF(AND(ISNUMBER(B676),B676&lt;=25),2,0)+IF(AND(ISNUMBER(E676),E676&lt;=5),2,0)+IF(AND(ISNUMBER(F676),F676&lt;=1),2,0)+IF(AND(ISNUMBER(G676),G676&lt;=2),1,0)+IF(AND(ISNUMBER(H676),H676&lt;=2),1,0)</f>
        <v>1</v>
      </c>
      <c r="J676" s="2" t="str">
        <f aca="false">IF(I676&gt;=6,"High",IF(I676&gt;=3,"Medium","Low"))</f>
        <v>Low</v>
      </c>
    </row>
    <row r="677" customFormat="false" ht="15" hidden="false" customHeight="true" outlineLevel="0" collapsed="false">
      <c r="A677" s="2" t="n">
        <f aca="false">'Raw Data'!H677</f>
        <v>676</v>
      </c>
      <c r="B677" s="2" t="n">
        <f aca="false">'Raw Data'!A677</f>
        <v>28</v>
      </c>
      <c r="C677" s="2" t="str">
        <f aca="false">'Raw Data'!D677</f>
        <v>Sales</v>
      </c>
      <c r="D677" s="2" t="str">
        <f aca="false">'Raw Data'!K677</f>
        <v>Sales Representative</v>
      </c>
      <c r="E677" s="2" t="n">
        <f aca="false">'Raw Data'!Q677</f>
        <v>5</v>
      </c>
      <c r="F677" s="2" t="n">
        <f aca="false">'Raw Data'!U677</f>
        <v>2</v>
      </c>
      <c r="G677" s="2" t="n">
        <f aca="false">'Raw Data'!W677</f>
        <v>1</v>
      </c>
      <c r="H677" s="2" t="n">
        <f aca="false">'Raw Data'!V677</f>
        <v>4</v>
      </c>
      <c r="I677" s="2" t="n">
        <f aca="false">IF(AND(ISNUMBER(B677),B677&lt;=25),2,0)+IF(AND(ISNUMBER(E677),E677&lt;=5),2,0)+IF(AND(ISNUMBER(F677),F677&lt;=1),2,0)+IF(AND(ISNUMBER(G677),G677&lt;=2),1,0)+IF(AND(ISNUMBER(H677),H677&lt;=2),1,0)</f>
        <v>3</v>
      </c>
      <c r="J677" s="2" t="str">
        <f aca="false">IF(I677&gt;=6,"High",IF(I677&gt;=3,"Medium","Low"))</f>
        <v>Medium</v>
      </c>
    </row>
    <row r="678" customFormat="false" ht="15" hidden="false" customHeight="true" outlineLevel="0" collapsed="false">
      <c r="A678" s="2" t="n">
        <f aca="false">'Raw Data'!H678</f>
        <v>677</v>
      </c>
      <c r="B678" s="2" t="n">
        <f aca="false">'Raw Data'!A678</f>
        <v>25</v>
      </c>
      <c r="C678" s="2" t="str">
        <f aca="false">'Raw Data'!D678</f>
        <v>Research &amp; Development</v>
      </c>
      <c r="D678" s="2" t="str">
        <f aca="false">'Raw Data'!K678</f>
        <v>Research Scientist</v>
      </c>
      <c r="E678" s="2" t="n">
        <f aca="false">'Raw Data'!Q678</f>
        <v>2</v>
      </c>
      <c r="F678" s="2" t="n">
        <f aca="false">'Raw Data'!U678</f>
        <v>1</v>
      </c>
      <c r="G678" s="2" t="n">
        <f aca="false">'Raw Data'!W678</f>
        <v>2</v>
      </c>
      <c r="H678" s="2" t="n">
        <f aca="false">'Raw Data'!V678</f>
        <v>4</v>
      </c>
      <c r="I678" s="2" t="n">
        <f aca="false">IF(AND(ISNUMBER(B678),B678&lt;=25),2,0)+IF(AND(ISNUMBER(E678),E678&lt;=5),2,0)+IF(AND(ISNUMBER(F678),F678&lt;=1),2,0)+IF(AND(ISNUMBER(G678),G678&lt;=2),1,0)+IF(AND(ISNUMBER(H678),H678&lt;=2),1,0)</f>
        <v>7</v>
      </c>
      <c r="J678" s="2" t="str">
        <f aca="false">IF(I678&gt;=6,"High",IF(I678&gt;=3,"Medium","Low"))</f>
        <v>High</v>
      </c>
    </row>
    <row r="679" customFormat="false" ht="15" hidden="false" customHeight="true" outlineLevel="0" collapsed="false">
      <c r="A679" s="2" t="n">
        <f aca="false">'Raw Data'!H679</f>
        <v>678</v>
      </c>
      <c r="B679" s="2" t="n">
        <f aca="false">'Raw Data'!A679</f>
        <v>32</v>
      </c>
      <c r="C679" s="2" t="str">
        <f aca="false">'Raw Data'!D679</f>
        <v>Research &amp; Development</v>
      </c>
      <c r="D679" s="2" t="str">
        <f aca="false">'Raw Data'!K679</f>
        <v>Sales Executive</v>
      </c>
      <c r="E679" s="2" t="n">
        <f aca="false">'Raw Data'!Q679</f>
        <v>10</v>
      </c>
      <c r="F679" s="2" t="n">
        <f aca="false">'Raw Data'!U679</f>
        <v>8</v>
      </c>
      <c r="G679" s="2" t="n">
        <f aca="false">'Raw Data'!W679</f>
        <v>4</v>
      </c>
      <c r="H679" s="2" t="n">
        <f aca="false">'Raw Data'!V679</f>
        <v>3</v>
      </c>
      <c r="I679" s="2" t="n">
        <f aca="false">IF(AND(ISNUMBER(B679),B679&lt;=25),2,0)+IF(AND(ISNUMBER(E679),E679&lt;=5),2,0)+IF(AND(ISNUMBER(F679),F679&lt;=1),2,0)+IF(AND(ISNUMBER(G679),G679&lt;=2),1,0)+IF(AND(ISNUMBER(H679),H679&lt;=2),1,0)</f>
        <v>0</v>
      </c>
      <c r="J679" s="2" t="str">
        <f aca="false">IF(I679&gt;=6,"High",IF(I679&gt;=3,"Medium","Low"))</f>
        <v>Low</v>
      </c>
    </row>
    <row r="680" customFormat="false" ht="15" hidden="false" customHeight="true" outlineLevel="0" collapsed="false">
      <c r="A680" s="2" t="n">
        <f aca="false">'Raw Data'!H680</f>
        <v>679</v>
      </c>
      <c r="B680" s="2" t="n">
        <f aca="false">'Raw Data'!A680</f>
        <v>45</v>
      </c>
      <c r="C680" s="2" t="str">
        <f aca="false">'Raw Data'!D680</f>
        <v>Research &amp; Development</v>
      </c>
      <c r="D680" s="2" t="str">
        <f aca="false">'Raw Data'!K680</f>
        <v>Laboratory Technician</v>
      </c>
      <c r="E680" s="2" t="n">
        <f aca="false">'Raw Data'!Q680</f>
        <v>22</v>
      </c>
      <c r="F680" s="2" t="n">
        <f aca="false">'Raw Data'!U680</f>
        <v>0</v>
      </c>
      <c r="G680" s="2" t="n">
        <f aca="false">'Raw Data'!W680</f>
        <v>2</v>
      </c>
      <c r="H680" s="2" t="n">
        <f aca="false">'Raw Data'!V680</f>
        <v>0</v>
      </c>
      <c r="I680" s="2" t="n">
        <f aca="false">IF(AND(ISNUMBER(B680),B680&lt;=25),2,0)+IF(AND(ISNUMBER(E680),E680&lt;=5),2,0)+IF(AND(ISNUMBER(F680),F680&lt;=1),2,0)+IF(AND(ISNUMBER(G680),G680&lt;=2),1,0)+IF(AND(ISNUMBER(H680),H680&lt;=2),1,0)</f>
        <v>3</v>
      </c>
      <c r="J680" s="2" t="str">
        <f aca="false">IF(I680&gt;=6,"High",IF(I680&gt;=3,"Medium","Low"))</f>
        <v>Medium</v>
      </c>
    </row>
    <row r="681" customFormat="false" ht="15" hidden="false" customHeight="true" outlineLevel="0" collapsed="false">
      <c r="A681" s="2" t="n">
        <f aca="false">'Raw Data'!H681</f>
        <v>680</v>
      </c>
      <c r="B681" s="2" t="n">
        <f aca="false">'Raw Data'!A681</f>
        <v>39</v>
      </c>
      <c r="C681" s="2" t="str">
        <f aca="false">'Raw Data'!D681</f>
        <v>Sales</v>
      </c>
      <c r="D681" s="2" t="str">
        <f aca="false">'Raw Data'!K681</f>
        <v>Laboratory Technician</v>
      </c>
      <c r="E681" s="2" t="n">
        <f aca="false">'Raw Data'!Q681</f>
        <v>21</v>
      </c>
      <c r="F681" s="2" t="n">
        <f aca="false">'Raw Data'!U681</f>
        <v>2</v>
      </c>
      <c r="G681" s="2" t="n">
        <f aca="false">'Raw Data'!W681</f>
        <v>2</v>
      </c>
      <c r="H681" s="2" t="n">
        <f aca="false">'Raw Data'!V681</f>
        <v>3</v>
      </c>
      <c r="I681" s="2" t="n">
        <f aca="false">IF(AND(ISNUMBER(B681),B681&lt;=25),2,0)+IF(AND(ISNUMBER(E681),E681&lt;=5),2,0)+IF(AND(ISNUMBER(F681),F681&lt;=1),2,0)+IF(AND(ISNUMBER(G681),G681&lt;=2),1,0)+IF(AND(ISNUMBER(H681),H681&lt;=2),1,0)</f>
        <v>1</v>
      </c>
      <c r="J681" s="2" t="str">
        <f aca="false">IF(I681&gt;=6,"High",IF(I681&gt;=3,"Medium","Low"))</f>
        <v>Low</v>
      </c>
    </row>
    <row r="682" customFormat="false" ht="15" hidden="false" customHeight="true" outlineLevel="0" collapsed="false">
      <c r="A682" s="2" t="n">
        <f aca="false">'Raw Data'!H682</f>
        <v>681</v>
      </c>
      <c r="B682" s="2" t="n">
        <f aca="false">'Raw Data'!A682</f>
        <v>58</v>
      </c>
      <c r="C682" s="2" t="str">
        <f aca="false">'Raw Data'!D682</f>
        <v>Research &amp; Development</v>
      </c>
      <c r="D682" s="2" t="str">
        <f aca="false">'Raw Data'!K682</f>
        <v>Laboratory Technician</v>
      </c>
      <c r="E682" s="2" t="n">
        <f aca="false">'Raw Data'!Q682</f>
        <v>2</v>
      </c>
      <c r="F682" s="2" t="n">
        <f aca="false">'Raw Data'!U682</f>
        <v>2</v>
      </c>
      <c r="G682" s="2" t="n">
        <f aca="false">'Raw Data'!W682</f>
        <v>3</v>
      </c>
      <c r="H682" s="2" t="n">
        <f aca="false">'Raw Data'!V682</f>
        <v>1</v>
      </c>
      <c r="I682" s="2" t="n">
        <f aca="false">IF(AND(ISNUMBER(B682),B682&lt;=25),2,0)+IF(AND(ISNUMBER(E682),E682&lt;=5),2,0)+IF(AND(ISNUMBER(F682),F682&lt;=1),2,0)+IF(AND(ISNUMBER(G682),G682&lt;=2),1,0)+IF(AND(ISNUMBER(H682),H682&lt;=2),1,0)</f>
        <v>3</v>
      </c>
      <c r="J682" s="2" t="str">
        <f aca="false">IF(I682&gt;=6,"High",IF(I682&gt;=3,"Medium","Low"))</f>
        <v>Medium</v>
      </c>
    </row>
    <row r="683" customFormat="false" ht="15" hidden="false" customHeight="true" outlineLevel="0" collapsed="false">
      <c r="A683" s="2" t="n">
        <f aca="false">'Raw Data'!H683</f>
        <v>682</v>
      </c>
      <c r="B683" s="2" t="n">
        <f aca="false">'Raw Data'!A683</f>
        <v>32</v>
      </c>
      <c r="C683" s="2" t="str">
        <f aca="false">'Raw Data'!D683</f>
        <v>Research &amp; Development</v>
      </c>
      <c r="D683" s="2" t="str">
        <f aca="false">'Raw Data'!K683</f>
        <v>Sales Executive</v>
      </c>
      <c r="E683" s="2" t="n">
        <f aca="false">'Raw Data'!Q683</f>
        <v>10</v>
      </c>
      <c r="F683" s="2" t="n">
        <f aca="false">'Raw Data'!U683</f>
        <v>1</v>
      </c>
      <c r="G683" s="2" t="n">
        <f aca="false">'Raw Data'!W683</f>
        <v>3</v>
      </c>
      <c r="H683" s="2" t="n">
        <f aca="false">'Raw Data'!V683</f>
        <v>4</v>
      </c>
      <c r="I683" s="2" t="n">
        <f aca="false">IF(AND(ISNUMBER(B683),B683&lt;=25),2,0)+IF(AND(ISNUMBER(E683),E683&lt;=5),2,0)+IF(AND(ISNUMBER(F683),F683&lt;=1),2,0)+IF(AND(ISNUMBER(G683),G683&lt;=2),1,0)+IF(AND(ISNUMBER(H683),H683&lt;=2),1,0)</f>
        <v>2</v>
      </c>
      <c r="J683" s="2" t="str">
        <f aca="false">IF(I683&gt;=6,"High",IF(I683&gt;=3,"Medium","Low"))</f>
        <v>Low</v>
      </c>
    </row>
    <row r="684" customFormat="false" ht="15" hidden="false" customHeight="true" outlineLevel="0" collapsed="false">
      <c r="A684" s="2" t="n">
        <f aca="false">'Raw Data'!H684</f>
        <v>683</v>
      </c>
      <c r="B684" s="2" t="n">
        <f aca="false">'Raw Data'!A684</f>
        <v>39</v>
      </c>
      <c r="C684" s="2" t="str">
        <f aca="false">'Raw Data'!D684</f>
        <v>Research &amp; Development</v>
      </c>
      <c r="D684" s="2" t="str">
        <f aca="false">'Raw Data'!K684</f>
        <v>Laboratory Technician</v>
      </c>
      <c r="E684" s="2" t="n">
        <f aca="false">'Raw Data'!Q684</f>
        <v>6</v>
      </c>
      <c r="F684" s="2" t="n">
        <f aca="false">'Raw Data'!U684</f>
        <v>3</v>
      </c>
      <c r="G684" s="2" t="n">
        <f aca="false">'Raw Data'!W684</f>
        <v>1</v>
      </c>
      <c r="H684" s="2" t="n">
        <f aca="false">'Raw Data'!V684</f>
        <v>3</v>
      </c>
      <c r="I684" s="2" t="n">
        <f aca="false">IF(AND(ISNUMBER(B684),B684&lt;=25),2,0)+IF(AND(ISNUMBER(E684),E684&lt;=5),2,0)+IF(AND(ISNUMBER(F684),F684&lt;=1),2,0)+IF(AND(ISNUMBER(G684),G684&lt;=2),1,0)+IF(AND(ISNUMBER(H684),H684&lt;=2),1,0)</f>
        <v>1</v>
      </c>
      <c r="J684" s="2" t="str">
        <f aca="false">IF(I684&gt;=6,"High",IF(I684&gt;=3,"Medium","Low"))</f>
        <v>Low</v>
      </c>
    </row>
    <row r="685" customFormat="false" ht="15" hidden="false" customHeight="true" outlineLevel="0" collapsed="false">
      <c r="A685" s="2" t="n">
        <f aca="false">'Raw Data'!H685</f>
        <v>684</v>
      </c>
      <c r="B685" s="2" t="n">
        <f aca="false">'Raw Data'!A685</f>
        <v>30</v>
      </c>
      <c r="C685" s="2" t="str">
        <f aca="false">'Raw Data'!D685</f>
        <v>Sales</v>
      </c>
      <c r="D685" s="2" t="str">
        <f aca="false">'Raw Data'!K685</f>
        <v>Research Director</v>
      </c>
      <c r="E685" s="2" t="n">
        <f aca="false">'Raw Data'!Q685</f>
        <v>10</v>
      </c>
      <c r="F685" s="2" t="n">
        <f aca="false">'Raw Data'!U685</f>
        <v>7</v>
      </c>
      <c r="G685" s="2" t="n">
        <f aca="false">'Raw Data'!W685</f>
        <v>4</v>
      </c>
      <c r="H685" s="2" t="n">
        <f aca="false">'Raw Data'!V685</f>
        <v>1</v>
      </c>
      <c r="I685" s="2" t="n">
        <f aca="false">IF(AND(ISNUMBER(B685),B685&lt;=25),2,0)+IF(AND(ISNUMBER(E685),E685&lt;=5),2,0)+IF(AND(ISNUMBER(F685),F685&lt;=1),2,0)+IF(AND(ISNUMBER(G685),G685&lt;=2),1,0)+IF(AND(ISNUMBER(H685),H685&lt;=2),1,0)</f>
        <v>1</v>
      </c>
      <c r="J685" s="2" t="str">
        <f aca="false">IF(I685&gt;=6,"High",IF(I685&gt;=3,"Medium","Low"))</f>
        <v>Low</v>
      </c>
    </row>
    <row r="686" customFormat="false" ht="15" hidden="false" customHeight="true" outlineLevel="0" collapsed="false">
      <c r="A686" s="2" t="n">
        <f aca="false">'Raw Data'!H686</f>
        <v>685</v>
      </c>
      <c r="B686" s="2" t="n">
        <f aca="false">'Raw Data'!A686</f>
        <v>36</v>
      </c>
      <c r="C686" s="2" t="str">
        <f aca="false">'Raw Data'!D686</f>
        <v>Sales</v>
      </c>
      <c r="D686" s="2" t="str">
        <f aca="false">'Raw Data'!K686</f>
        <v>Sales Executive</v>
      </c>
      <c r="E686" s="2" t="n">
        <f aca="false">'Raw Data'!Q686</f>
        <v>10</v>
      </c>
      <c r="F686" s="2" t="n">
        <f aca="false">'Raw Data'!U686</f>
        <v>7</v>
      </c>
      <c r="G686" s="2" t="n">
        <f aca="false">'Raw Data'!W686</f>
        <v>3</v>
      </c>
      <c r="H686" s="2" t="n">
        <f aca="false">'Raw Data'!V686</f>
        <v>4</v>
      </c>
      <c r="I686" s="2" t="n">
        <f aca="false">IF(AND(ISNUMBER(B686),B686&lt;=25),2,0)+IF(AND(ISNUMBER(E686),E686&lt;=5),2,0)+IF(AND(ISNUMBER(F686),F686&lt;=1),2,0)+IF(AND(ISNUMBER(G686),G686&lt;=2),1,0)+IF(AND(ISNUMBER(H686),H686&lt;=2),1,0)</f>
        <v>0</v>
      </c>
      <c r="J686" s="2" t="str">
        <f aca="false">IF(I686&gt;=6,"High",IF(I686&gt;=3,"Medium","Low"))</f>
        <v>Low</v>
      </c>
    </row>
    <row r="687" customFormat="false" ht="15" hidden="false" customHeight="true" outlineLevel="0" collapsed="false">
      <c r="A687" s="2" t="n">
        <f aca="false">'Raw Data'!H687</f>
        <v>686</v>
      </c>
      <c r="B687" s="2" t="n">
        <f aca="false">'Raw Data'!A687</f>
        <v>46</v>
      </c>
      <c r="C687" s="2" t="str">
        <f aca="false">'Raw Data'!D687</f>
        <v>Sales</v>
      </c>
      <c r="D687" s="2" t="str">
        <f aca="false">'Raw Data'!K687</f>
        <v>Research Scientist</v>
      </c>
      <c r="E687" s="2" t="n">
        <f aca="false">'Raw Data'!Q687</f>
        <v>10</v>
      </c>
      <c r="F687" s="2" t="n">
        <f aca="false">'Raw Data'!U687</f>
        <v>7</v>
      </c>
      <c r="G687" s="2" t="n">
        <f aca="false">'Raw Data'!W687</f>
        <v>1</v>
      </c>
      <c r="H687" s="2" t="n">
        <f aca="false">'Raw Data'!V687</f>
        <v>4</v>
      </c>
      <c r="I687" s="2" t="n">
        <f aca="false">IF(AND(ISNUMBER(B687),B687&lt;=25),2,0)+IF(AND(ISNUMBER(E687),E687&lt;=5),2,0)+IF(AND(ISNUMBER(F687),F687&lt;=1),2,0)+IF(AND(ISNUMBER(G687),G687&lt;=2),1,0)+IF(AND(ISNUMBER(H687),H687&lt;=2),1,0)</f>
        <v>1</v>
      </c>
      <c r="J687" s="2" t="str">
        <f aca="false">IF(I687&gt;=6,"High",IF(I687&gt;=3,"Medium","Low"))</f>
        <v>Low</v>
      </c>
    </row>
    <row r="688" customFormat="false" ht="15" hidden="false" customHeight="true" outlineLevel="0" collapsed="false">
      <c r="A688" s="2" t="n">
        <f aca="false">'Raw Data'!H688</f>
        <v>687</v>
      </c>
      <c r="B688" s="2" t="n">
        <f aca="false">'Raw Data'!A688</f>
        <v>28</v>
      </c>
      <c r="C688" s="2" t="str">
        <f aca="false">'Raw Data'!D688</f>
        <v>Research &amp; Development</v>
      </c>
      <c r="D688" s="2" t="str">
        <f aca="false">'Raw Data'!K688</f>
        <v>Sales Executive</v>
      </c>
      <c r="E688" s="2" t="n">
        <f aca="false">'Raw Data'!Q688</f>
        <v>10</v>
      </c>
      <c r="F688" s="2" t="n">
        <f aca="false">'Raw Data'!U688</f>
        <v>5</v>
      </c>
      <c r="G688" s="2" t="n">
        <f aca="false">'Raw Data'!W688</f>
        <v>4</v>
      </c>
      <c r="H688" s="2" t="n">
        <f aca="false">'Raw Data'!V688</f>
        <v>3</v>
      </c>
      <c r="I688" s="2" t="n">
        <f aca="false">IF(AND(ISNUMBER(B688),B688&lt;=25),2,0)+IF(AND(ISNUMBER(E688),E688&lt;=5),2,0)+IF(AND(ISNUMBER(F688),F688&lt;=1),2,0)+IF(AND(ISNUMBER(G688),G688&lt;=2),1,0)+IF(AND(ISNUMBER(H688),H688&lt;=2),1,0)</f>
        <v>0</v>
      </c>
      <c r="J688" s="2" t="str">
        <f aca="false">IF(I688&gt;=6,"High",IF(I688&gt;=3,"Medium","Low"))</f>
        <v>Low</v>
      </c>
    </row>
    <row r="689" customFormat="false" ht="15" hidden="false" customHeight="true" outlineLevel="0" collapsed="false">
      <c r="A689" s="2" t="n">
        <f aca="false">'Raw Data'!H689</f>
        <v>688</v>
      </c>
      <c r="B689" s="2" t="n">
        <f aca="false">'Raw Data'!A689</f>
        <v>50</v>
      </c>
      <c r="C689" s="2" t="str">
        <f aca="false">'Raw Data'!D689</f>
        <v>Research &amp; Development</v>
      </c>
      <c r="D689" s="2" t="str">
        <f aca="false">'Raw Data'!K689</f>
        <v>Laboratory Technician</v>
      </c>
      <c r="E689" s="2" t="n">
        <f aca="false">'Raw Data'!Q689</f>
        <v>25</v>
      </c>
      <c r="F689" s="2" t="n">
        <f aca="false">'Raw Data'!U689</f>
        <v>2</v>
      </c>
      <c r="G689" s="2" t="n">
        <f aca="false">'Raw Data'!W689</f>
        <v>1</v>
      </c>
      <c r="H689" s="2" t="n">
        <f aca="false">'Raw Data'!V689</f>
        <v>4</v>
      </c>
      <c r="I689" s="2" t="n">
        <f aca="false">IF(AND(ISNUMBER(B689),B689&lt;=25),2,0)+IF(AND(ISNUMBER(E689),E689&lt;=5),2,0)+IF(AND(ISNUMBER(F689),F689&lt;=1),2,0)+IF(AND(ISNUMBER(G689),G689&lt;=2),1,0)+IF(AND(ISNUMBER(H689),H689&lt;=2),1,0)</f>
        <v>1</v>
      </c>
      <c r="J689" s="2" t="str">
        <f aca="false">IF(I689&gt;=6,"High",IF(I689&gt;=3,"Medium","Low"))</f>
        <v>Low</v>
      </c>
    </row>
    <row r="690" customFormat="false" ht="15" hidden="false" customHeight="true" outlineLevel="0" collapsed="false">
      <c r="A690" s="2" t="n">
        <f aca="false">'Raw Data'!H690</f>
        <v>689</v>
      </c>
      <c r="B690" s="2" t="n">
        <f aca="false">'Raw Data'!A690</f>
        <v>40</v>
      </c>
      <c r="C690" s="2" t="str">
        <f aca="false">'Raw Data'!D690</f>
        <v>Sales</v>
      </c>
      <c r="D690" s="2" t="str">
        <f aca="false">'Raw Data'!K690</f>
        <v>Laboratory Technician</v>
      </c>
      <c r="E690" s="2" t="n">
        <f aca="false">'Raw Data'!Q690</f>
        <v>9</v>
      </c>
      <c r="F690" s="2" t="n">
        <f aca="false">'Raw Data'!U690</f>
        <v>0</v>
      </c>
      <c r="G690" s="2" t="n">
        <f aca="false">'Raw Data'!W690</f>
        <v>2</v>
      </c>
      <c r="H690" s="2" t="n">
        <f aca="false">'Raw Data'!V690</f>
        <v>4</v>
      </c>
      <c r="I690" s="2" t="n">
        <f aca="false">IF(AND(ISNUMBER(B690),B690&lt;=25),2,0)+IF(AND(ISNUMBER(E690),E690&lt;=5),2,0)+IF(AND(ISNUMBER(F690),F690&lt;=1),2,0)+IF(AND(ISNUMBER(G690),G690&lt;=2),1,0)+IF(AND(ISNUMBER(H690),H690&lt;=2),1,0)</f>
        <v>3</v>
      </c>
      <c r="J690" s="2" t="str">
        <f aca="false">IF(I690&gt;=6,"High",IF(I690&gt;=3,"Medium","Low"))</f>
        <v>Medium</v>
      </c>
    </row>
    <row r="691" customFormat="false" ht="15" hidden="false" customHeight="true" outlineLevel="0" collapsed="false">
      <c r="A691" s="2" t="n">
        <f aca="false">'Raw Data'!H691</f>
        <v>690</v>
      </c>
      <c r="B691" s="2" t="n">
        <f aca="false">'Raw Data'!A691</f>
        <v>52</v>
      </c>
      <c r="C691" s="2" t="str">
        <f aca="false">'Raw Data'!D691</f>
        <v>Research &amp; Development</v>
      </c>
      <c r="D691" s="2" t="str">
        <f aca="false">'Raw Data'!K691</f>
        <v>Laboratory Technician</v>
      </c>
      <c r="E691" s="2" t="n">
        <f aca="false">'Raw Data'!Q691</f>
        <v>10</v>
      </c>
      <c r="F691" s="2" t="n">
        <f aca="false">'Raw Data'!U691</f>
        <v>7</v>
      </c>
      <c r="G691" s="2" t="n">
        <f aca="false">'Raw Data'!W691</f>
        <v>2</v>
      </c>
      <c r="H691" s="2" t="n">
        <f aca="false">'Raw Data'!V691</f>
        <v>2</v>
      </c>
      <c r="I691" s="2" t="n">
        <f aca="false">IF(AND(ISNUMBER(B691),B691&lt;=25),2,0)+IF(AND(ISNUMBER(E691),E691&lt;=5),2,0)+IF(AND(ISNUMBER(F691),F691&lt;=1),2,0)+IF(AND(ISNUMBER(G691),G691&lt;=2),1,0)+IF(AND(ISNUMBER(H691),H691&lt;=2),1,0)</f>
        <v>2</v>
      </c>
      <c r="J691" s="2" t="str">
        <f aca="false">IF(I691&gt;=6,"High",IF(I691&gt;=3,"Medium","Low"))</f>
        <v>Low</v>
      </c>
    </row>
    <row r="692" customFormat="false" ht="15" hidden="false" customHeight="true" outlineLevel="0" collapsed="false">
      <c r="A692" s="2" t="n">
        <f aca="false">'Raw Data'!H692</f>
        <v>691</v>
      </c>
      <c r="B692" s="2" t="n">
        <f aca="false">'Raw Data'!A692</f>
        <v>30</v>
      </c>
      <c r="C692" s="2" t="str">
        <f aca="false">'Raw Data'!D692</f>
        <v>Research &amp; Development</v>
      </c>
      <c r="D692" s="2" t="str">
        <f aca="false">'Raw Data'!K692</f>
        <v>Sales Executive</v>
      </c>
      <c r="E692" s="2" t="n">
        <f aca="false">'Raw Data'!Q692</f>
        <v>9</v>
      </c>
      <c r="F692" s="2" t="n">
        <f aca="false">'Raw Data'!U692</f>
        <v>8</v>
      </c>
      <c r="G692" s="2" t="n">
        <f aca="false">'Raw Data'!W692</f>
        <v>1</v>
      </c>
      <c r="H692" s="2" t="n">
        <f aca="false">'Raw Data'!V692</f>
        <v>2</v>
      </c>
      <c r="I692" s="2" t="n">
        <f aca="false">IF(AND(ISNUMBER(B692),B692&lt;=25),2,0)+IF(AND(ISNUMBER(E692),E692&lt;=5),2,0)+IF(AND(ISNUMBER(F692),F692&lt;=1),2,0)+IF(AND(ISNUMBER(G692),G692&lt;=2),1,0)+IF(AND(ISNUMBER(H692),H692&lt;=2),1,0)</f>
        <v>2</v>
      </c>
      <c r="J692" s="2" t="str">
        <f aca="false">IF(I692&gt;=6,"High",IF(I692&gt;=3,"Medium","Low"))</f>
        <v>Low</v>
      </c>
    </row>
    <row r="693" customFormat="false" ht="15" hidden="false" customHeight="true" outlineLevel="0" collapsed="false">
      <c r="A693" s="2" t="n">
        <f aca="false">'Raw Data'!H693</f>
        <v>692</v>
      </c>
      <c r="B693" s="2" t="n">
        <f aca="false">'Raw Data'!A693</f>
        <v>39</v>
      </c>
      <c r="C693" s="2" t="str">
        <f aca="false">'Raw Data'!D693</f>
        <v>Research &amp; Development</v>
      </c>
      <c r="D693" s="2" t="str">
        <f aca="false">'Raw Data'!K693</f>
        <v>Healthcare Representative</v>
      </c>
      <c r="E693" s="2" t="n">
        <f aca="false">'Raw Data'!Q693</f>
        <v>9</v>
      </c>
      <c r="F693" s="2" t="n">
        <f aca="false">'Raw Data'!U693</f>
        <v>7</v>
      </c>
      <c r="G693" s="2" t="n">
        <f aca="false">'Raw Data'!W693</f>
        <v>3</v>
      </c>
      <c r="H693" s="2" t="n">
        <f aca="false">'Raw Data'!V693</f>
        <v>1</v>
      </c>
      <c r="I693" s="2" t="n">
        <f aca="false">IF(AND(ISNUMBER(B693),B693&lt;=25),2,0)+IF(AND(ISNUMBER(E693),E693&lt;=5),2,0)+IF(AND(ISNUMBER(F693),F693&lt;=1),2,0)+IF(AND(ISNUMBER(G693),G693&lt;=2),1,0)+IF(AND(ISNUMBER(H693),H693&lt;=2),1,0)</f>
        <v>1</v>
      </c>
      <c r="J693" s="2" t="str">
        <f aca="false">IF(I693&gt;=6,"High",IF(I693&gt;=3,"Medium","Low"))</f>
        <v>Low</v>
      </c>
    </row>
    <row r="694" customFormat="false" ht="15" hidden="false" customHeight="true" outlineLevel="0" collapsed="false">
      <c r="A694" s="2" t="n">
        <f aca="false">'Raw Data'!H694</f>
        <v>693</v>
      </c>
      <c r="B694" s="2" t="n">
        <f aca="false">'Raw Data'!A694</f>
        <v>31</v>
      </c>
      <c r="C694" s="2" t="str">
        <f aca="false">'Raw Data'!D694</f>
        <v>Research &amp; Development</v>
      </c>
      <c r="D694" s="2" t="str">
        <f aca="false">'Raw Data'!K694</f>
        <v>Sales Executive</v>
      </c>
      <c r="E694" s="2" t="n">
        <f aca="false">'Raw Data'!Q694</f>
        <v>10</v>
      </c>
      <c r="F694" s="2" t="n">
        <f aca="false">'Raw Data'!U694</f>
        <v>6</v>
      </c>
      <c r="G694" s="2" t="n">
        <f aca="false">'Raw Data'!W694</f>
        <v>3</v>
      </c>
      <c r="H694" s="2" t="n">
        <f aca="false">'Raw Data'!V694</f>
        <v>4</v>
      </c>
      <c r="I694" s="2" t="n">
        <f aca="false">IF(AND(ISNUMBER(B694),B694&lt;=25),2,0)+IF(AND(ISNUMBER(E694),E694&lt;=5),2,0)+IF(AND(ISNUMBER(F694),F694&lt;=1),2,0)+IF(AND(ISNUMBER(G694),G694&lt;=2),1,0)+IF(AND(ISNUMBER(H694),H694&lt;=2),1,0)</f>
        <v>0</v>
      </c>
      <c r="J694" s="2" t="str">
        <f aca="false">IF(I694&gt;=6,"High",IF(I694&gt;=3,"Medium","Low"))</f>
        <v>Low</v>
      </c>
    </row>
    <row r="695" customFormat="false" ht="15" hidden="false" customHeight="true" outlineLevel="0" collapsed="false">
      <c r="A695" s="2" t="n">
        <f aca="false">'Raw Data'!H695</f>
        <v>694</v>
      </c>
      <c r="B695" s="2" t="n">
        <f aca="false">'Raw Data'!A695</f>
        <v>41</v>
      </c>
      <c r="C695" s="2" t="str">
        <f aca="false">'Raw Data'!D695</f>
        <v>Sales</v>
      </c>
      <c r="D695" s="2" t="str">
        <f aca="false">'Raw Data'!K695</f>
        <v>Research Director</v>
      </c>
      <c r="E695" s="2" t="n">
        <f aca="false">'Raw Data'!Q695</f>
        <v>19</v>
      </c>
      <c r="F695" s="2" t="n">
        <f aca="false">'Raw Data'!U695</f>
        <v>9</v>
      </c>
      <c r="G695" s="2" t="n">
        <f aca="false">'Raw Data'!W695</f>
        <v>2</v>
      </c>
      <c r="H695" s="2" t="n">
        <f aca="false">'Raw Data'!V695</f>
        <v>3</v>
      </c>
      <c r="I695" s="2" t="n">
        <f aca="false">IF(AND(ISNUMBER(B695),B695&lt;=25),2,0)+IF(AND(ISNUMBER(E695),E695&lt;=5),2,0)+IF(AND(ISNUMBER(F695),F695&lt;=1),2,0)+IF(AND(ISNUMBER(G695),G695&lt;=2),1,0)+IF(AND(ISNUMBER(H695),H695&lt;=2),1,0)</f>
        <v>1</v>
      </c>
      <c r="J695" s="2" t="str">
        <f aca="false">IF(I695&gt;=6,"High",IF(I695&gt;=3,"Medium","Low"))</f>
        <v>Low</v>
      </c>
    </row>
    <row r="696" customFormat="false" ht="15" hidden="false" customHeight="true" outlineLevel="0" collapsed="false">
      <c r="A696" s="2" t="n">
        <f aca="false">'Raw Data'!H696</f>
        <v>695</v>
      </c>
      <c r="B696" s="2" t="n">
        <f aca="false">'Raw Data'!A696</f>
        <v>31</v>
      </c>
      <c r="C696" s="2" t="str">
        <f aca="false">'Raw Data'!D696</f>
        <v>Research &amp; Development</v>
      </c>
      <c r="D696" s="2" t="str">
        <f aca="false">'Raw Data'!K696</f>
        <v>Sales Executive</v>
      </c>
      <c r="E696" s="2" t="n">
        <f aca="false">'Raw Data'!Q696</f>
        <v>3</v>
      </c>
      <c r="F696" s="2" t="n">
        <f aca="false">'Raw Data'!U696</f>
        <v>2</v>
      </c>
      <c r="G696" s="2" t="n">
        <f aca="false">'Raw Data'!W696</f>
        <v>2</v>
      </c>
      <c r="H696" s="2" t="n">
        <f aca="false">'Raw Data'!V696</f>
        <v>4</v>
      </c>
      <c r="I696" s="2" t="n">
        <f aca="false">IF(AND(ISNUMBER(B696),B696&lt;=25),2,0)+IF(AND(ISNUMBER(E696),E696&lt;=5),2,0)+IF(AND(ISNUMBER(F696),F696&lt;=1),2,0)+IF(AND(ISNUMBER(G696),G696&lt;=2),1,0)+IF(AND(ISNUMBER(H696),H696&lt;=2),1,0)</f>
        <v>3</v>
      </c>
      <c r="J696" s="2" t="str">
        <f aca="false">IF(I696&gt;=6,"High",IF(I696&gt;=3,"Medium","Low"))</f>
        <v>Medium</v>
      </c>
    </row>
    <row r="697" customFormat="false" ht="15" hidden="false" customHeight="true" outlineLevel="0" collapsed="false">
      <c r="A697" s="2" t="n">
        <f aca="false">'Raw Data'!H697</f>
        <v>696</v>
      </c>
      <c r="B697" s="2" t="n">
        <f aca="false">'Raw Data'!A697</f>
        <v>44</v>
      </c>
      <c r="C697" s="2" t="str">
        <f aca="false">'Raw Data'!D697</f>
        <v>Sales</v>
      </c>
      <c r="D697" s="2" t="str">
        <f aca="false">'Raw Data'!K697</f>
        <v>Laboratory Technician</v>
      </c>
      <c r="E697" s="2" t="n">
        <f aca="false">'Raw Data'!Q697</f>
        <v>10</v>
      </c>
      <c r="F697" s="2" t="n">
        <f aca="false">'Raw Data'!U697</f>
        <v>2</v>
      </c>
      <c r="G697" s="2" t="n">
        <f aca="false">'Raw Data'!W697</f>
        <v>1</v>
      </c>
      <c r="H697" s="2" t="n">
        <f aca="false">'Raw Data'!V697</f>
        <v>1</v>
      </c>
      <c r="I697" s="2" t="n">
        <f aca="false">IF(AND(ISNUMBER(B697),B697&lt;=25),2,0)+IF(AND(ISNUMBER(E697),E697&lt;=5),2,0)+IF(AND(ISNUMBER(F697),F697&lt;=1),2,0)+IF(AND(ISNUMBER(G697),G697&lt;=2),1,0)+IF(AND(ISNUMBER(H697),H697&lt;=2),1,0)</f>
        <v>2</v>
      </c>
      <c r="J697" s="2" t="str">
        <f aca="false">IF(I697&gt;=6,"High",IF(I697&gt;=3,"Medium","Low"))</f>
        <v>Low</v>
      </c>
    </row>
    <row r="698" customFormat="false" ht="15" hidden="false" customHeight="true" outlineLevel="0" collapsed="false">
      <c r="A698" s="2" t="n">
        <f aca="false">'Raw Data'!H698</f>
        <v>697</v>
      </c>
      <c r="B698" s="2" t="n">
        <f aca="false">'Raw Data'!A698</f>
        <v>42</v>
      </c>
      <c r="C698" s="2" t="str">
        <f aca="false">'Raw Data'!D698</f>
        <v>Research &amp; Development</v>
      </c>
      <c r="D698" s="2" t="str">
        <f aca="false">'Raw Data'!K698</f>
        <v>Laboratory Technician</v>
      </c>
      <c r="E698" s="2" t="n">
        <f aca="false">'Raw Data'!Q698</f>
        <v>21</v>
      </c>
      <c r="F698" s="2" t="n">
        <f aca="false">'Raw Data'!U698</f>
        <v>10</v>
      </c>
      <c r="G698" s="2" t="n">
        <f aca="false">'Raw Data'!W698</f>
        <v>3</v>
      </c>
      <c r="H698" s="2" t="n">
        <f aca="false">'Raw Data'!V698</f>
        <v>3</v>
      </c>
      <c r="I698" s="2" t="n">
        <f aca="false">IF(AND(ISNUMBER(B698),B698&lt;=25),2,0)+IF(AND(ISNUMBER(E698),E698&lt;=5),2,0)+IF(AND(ISNUMBER(F698),F698&lt;=1),2,0)+IF(AND(ISNUMBER(G698),G698&lt;=2),1,0)+IF(AND(ISNUMBER(H698),H698&lt;=2),1,0)</f>
        <v>0</v>
      </c>
      <c r="J698" s="2" t="str">
        <f aca="false">IF(I698&gt;=6,"High",IF(I698&gt;=3,"Medium","Low"))</f>
        <v>Low</v>
      </c>
    </row>
    <row r="699" customFormat="false" ht="15" hidden="false" customHeight="true" outlineLevel="0" collapsed="false">
      <c r="A699" s="2" t="n">
        <f aca="false">'Raw Data'!H699</f>
        <v>698</v>
      </c>
      <c r="B699" s="2" t="n">
        <f aca="false">'Raw Data'!A699</f>
        <v>55</v>
      </c>
      <c r="C699" s="2" t="str">
        <f aca="false">'Raw Data'!D699</f>
        <v>Sales</v>
      </c>
      <c r="D699" s="2" t="str">
        <f aca="false">'Raw Data'!K699</f>
        <v>Manufacturing Director</v>
      </c>
      <c r="E699" s="2" t="n">
        <f aca="false">'Raw Data'!Q699</f>
        <v>23</v>
      </c>
      <c r="F699" s="2" t="n">
        <f aca="false">'Raw Data'!U699</f>
        <v>11</v>
      </c>
      <c r="G699" s="2" t="n">
        <f aca="false">'Raw Data'!W699</f>
        <v>3</v>
      </c>
      <c r="H699" s="2" t="n">
        <f aca="false">'Raw Data'!V699</f>
        <v>4</v>
      </c>
      <c r="I699" s="2" t="n">
        <f aca="false">IF(AND(ISNUMBER(B699),B699&lt;=25),2,0)+IF(AND(ISNUMBER(E699),E699&lt;=5),2,0)+IF(AND(ISNUMBER(F699),F699&lt;=1),2,0)+IF(AND(ISNUMBER(G699),G699&lt;=2),1,0)+IF(AND(ISNUMBER(H699),H699&lt;=2),1,0)</f>
        <v>0</v>
      </c>
      <c r="J699" s="2" t="str">
        <f aca="false">IF(I699&gt;=6,"High",IF(I699&gt;=3,"Medium","Low"))</f>
        <v>Low</v>
      </c>
    </row>
    <row r="700" customFormat="false" ht="15" hidden="false" customHeight="true" outlineLevel="0" collapsed="false">
      <c r="A700" s="2" t="n">
        <f aca="false">'Raw Data'!H700</f>
        <v>699</v>
      </c>
      <c r="B700" s="2" t="n">
        <f aca="false">'Raw Data'!A700</f>
        <v>56</v>
      </c>
      <c r="C700" s="2" t="str">
        <f aca="false">'Raw Data'!D700</f>
        <v>Sales</v>
      </c>
      <c r="D700" s="2" t="str">
        <f aca="false">'Raw Data'!K700</f>
        <v>Manufacturing Director</v>
      </c>
      <c r="E700" s="2" t="n">
        <f aca="false">'Raw Data'!Q700</f>
        <v>36</v>
      </c>
      <c r="F700" s="2" t="n">
        <f aca="false">'Raw Data'!U700</f>
        <v>7</v>
      </c>
      <c r="G700" s="2" t="n">
        <f aca="false">'Raw Data'!W700</f>
        <v>2</v>
      </c>
      <c r="H700" s="2" t="n">
        <f aca="false">'Raw Data'!V700</f>
        <v>4</v>
      </c>
      <c r="I700" s="2" t="n">
        <f aca="false">IF(AND(ISNUMBER(B700),B700&lt;=25),2,0)+IF(AND(ISNUMBER(E700),E700&lt;=5),2,0)+IF(AND(ISNUMBER(F700),F700&lt;=1),2,0)+IF(AND(ISNUMBER(G700),G700&lt;=2),1,0)+IF(AND(ISNUMBER(H700),H700&lt;=2),1,0)</f>
        <v>1</v>
      </c>
      <c r="J700" s="2" t="str">
        <f aca="false">IF(I700&gt;=6,"High",IF(I700&gt;=3,"Medium","Low"))</f>
        <v>Low</v>
      </c>
    </row>
    <row r="701" customFormat="false" ht="15" hidden="false" customHeight="true" outlineLevel="0" collapsed="false">
      <c r="A701" s="2" t="n">
        <f aca="false">'Raw Data'!H701</f>
        <v>700</v>
      </c>
      <c r="B701" s="2" t="n">
        <f aca="false">'Raw Data'!A701</f>
        <v>40</v>
      </c>
      <c r="C701" s="2" t="str">
        <f aca="false">'Raw Data'!D701</f>
        <v>Research &amp; Development</v>
      </c>
      <c r="D701" s="2" t="str">
        <f aca="false">'Raw Data'!K701</f>
        <v>Laboratory Technician</v>
      </c>
      <c r="E701" s="2" t="n">
        <f aca="false">'Raw Data'!Q701</f>
        <v>6</v>
      </c>
      <c r="F701" s="2" t="n">
        <f aca="false">'Raw Data'!U701</f>
        <v>0</v>
      </c>
      <c r="G701" s="2" t="n">
        <f aca="false">'Raw Data'!W701</f>
        <v>3</v>
      </c>
      <c r="H701" s="2" t="n">
        <f aca="false">'Raw Data'!V701</f>
        <v>3</v>
      </c>
      <c r="I701" s="2" t="n">
        <f aca="false">IF(AND(ISNUMBER(B701),B701&lt;=25),2,0)+IF(AND(ISNUMBER(E701),E701&lt;=5),2,0)+IF(AND(ISNUMBER(F701),F701&lt;=1),2,0)+IF(AND(ISNUMBER(G701),G701&lt;=2),1,0)+IF(AND(ISNUMBER(H701),H701&lt;=2),1,0)</f>
        <v>2</v>
      </c>
      <c r="J701" s="2" t="str">
        <f aca="false">IF(I701&gt;=6,"High",IF(I701&gt;=3,"Medium","Low"))</f>
        <v>Low</v>
      </c>
    </row>
    <row r="702" customFormat="false" ht="15" hidden="false" customHeight="true" outlineLevel="0" collapsed="false">
      <c r="A702" s="2" t="n">
        <f aca="false">'Raw Data'!H702</f>
        <v>701</v>
      </c>
      <c r="B702" s="2" t="n">
        <f aca="false">'Raw Data'!A702</f>
        <v>34</v>
      </c>
      <c r="C702" s="2" t="str">
        <f aca="false">'Raw Data'!D702</f>
        <v>Research &amp; Development</v>
      </c>
      <c r="D702" s="2" t="str">
        <f aca="false">'Raw Data'!K702</f>
        <v>Research Director</v>
      </c>
      <c r="E702" s="2" t="n">
        <f aca="false">'Raw Data'!Q702</f>
        <v>10</v>
      </c>
      <c r="F702" s="2" t="n">
        <f aca="false">'Raw Data'!U702</f>
        <v>6</v>
      </c>
      <c r="G702" s="2" t="n">
        <f aca="false">'Raw Data'!W702</f>
        <v>4</v>
      </c>
      <c r="H702" s="2" t="n">
        <f aca="false">'Raw Data'!V702</f>
        <v>4</v>
      </c>
      <c r="I702" s="2" t="n">
        <f aca="false">IF(AND(ISNUMBER(B702),B702&lt;=25),2,0)+IF(AND(ISNUMBER(E702),E702&lt;=5),2,0)+IF(AND(ISNUMBER(F702),F702&lt;=1),2,0)+IF(AND(ISNUMBER(G702),G702&lt;=2),1,0)+IF(AND(ISNUMBER(H702),H702&lt;=2),1,0)</f>
        <v>0</v>
      </c>
      <c r="J702" s="2" t="str">
        <f aca="false">IF(I702&gt;=6,"High",IF(I702&gt;=3,"Medium","Low"))</f>
        <v>Low</v>
      </c>
    </row>
    <row r="703" customFormat="false" ht="15" hidden="false" customHeight="true" outlineLevel="0" collapsed="false">
      <c r="A703" s="2" t="n">
        <f aca="false">'Raw Data'!H703</f>
        <v>702</v>
      </c>
      <c r="B703" s="2" t="n">
        <f aca="false">'Raw Data'!A703</f>
        <v>40</v>
      </c>
      <c r="C703" s="2" t="str">
        <f aca="false">'Raw Data'!D703</f>
        <v>Sales</v>
      </c>
      <c r="D703" s="2" t="str">
        <f aca="false">'Raw Data'!K703</f>
        <v>Sales Executive</v>
      </c>
      <c r="E703" s="2" t="n">
        <f aca="false">'Raw Data'!Q703</f>
        <v>9</v>
      </c>
      <c r="F703" s="2" t="n">
        <f aca="false">'Raw Data'!U703</f>
        <v>8</v>
      </c>
      <c r="G703" s="2" t="n">
        <f aca="false">'Raw Data'!W703</f>
        <v>4</v>
      </c>
      <c r="H703" s="2" t="n">
        <f aca="false">'Raw Data'!V703</f>
        <v>3</v>
      </c>
      <c r="I703" s="2" t="n">
        <f aca="false">IF(AND(ISNUMBER(B703),B703&lt;=25),2,0)+IF(AND(ISNUMBER(E703),E703&lt;=5),2,0)+IF(AND(ISNUMBER(F703),F703&lt;=1),2,0)+IF(AND(ISNUMBER(G703),G703&lt;=2),1,0)+IF(AND(ISNUMBER(H703),H703&lt;=2),1,0)</f>
        <v>0</v>
      </c>
      <c r="J703" s="2" t="str">
        <f aca="false">IF(I703&gt;=6,"High",IF(I703&gt;=3,"Medium","Low"))</f>
        <v>Low</v>
      </c>
    </row>
    <row r="704" customFormat="false" ht="15" hidden="false" customHeight="true" outlineLevel="0" collapsed="false">
      <c r="A704" s="2" t="n">
        <f aca="false">'Raw Data'!H704</f>
        <v>703</v>
      </c>
      <c r="B704" s="2" t="n">
        <f aca="false">'Raw Data'!A704</f>
        <v>41</v>
      </c>
      <c r="C704" s="2" t="str">
        <f aca="false">'Raw Data'!D704</f>
        <v>Sales</v>
      </c>
      <c r="D704" s="2" t="str">
        <f aca="false">'Raw Data'!K704</f>
        <v>Healthcare Representative</v>
      </c>
      <c r="E704" s="2" t="n">
        <f aca="false">'Raw Data'!Q704</f>
        <v>10</v>
      </c>
      <c r="F704" s="2" t="n">
        <f aca="false">'Raw Data'!U704</f>
        <v>7</v>
      </c>
      <c r="G704" s="2" t="n">
        <f aca="false">'Raw Data'!W704</f>
        <v>1</v>
      </c>
      <c r="H704" s="2" t="n">
        <f aca="false">'Raw Data'!V704</f>
        <v>3</v>
      </c>
      <c r="I704" s="2" t="n">
        <f aca="false">IF(AND(ISNUMBER(B704),B704&lt;=25),2,0)+IF(AND(ISNUMBER(E704),E704&lt;=5),2,0)+IF(AND(ISNUMBER(F704),F704&lt;=1),2,0)+IF(AND(ISNUMBER(G704),G704&lt;=2),1,0)+IF(AND(ISNUMBER(H704),H704&lt;=2),1,0)</f>
        <v>1</v>
      </c>
      <c r="J704" s="2" t="str">
        <f aca="false">IF(I704&gt;=6,"High",IF(I704&gt;=3,"Medium","Low"))</f>
        <v>Low</v>
      </c>
    </row>
    <row r="705" customFormat="false" ht="15" hidden="false" customHeight="true" outlineLevel="0" collapsed="false">
      <c r="A705" s="2" t="n">
        <f aca="false">'Raw Data'!H705</f>
        <v>704</v>
      </c>
      <c r="B705" s="2" t="n">
        <f aca="false">'Raw Data'!A705</f>
        <v>35</v>
      </c>
      <c r="C705" s="2" t="str">
        <f aca="false">'Raw Data'!D705</f>
        <v>Sales</v>
      </c>
      <c r="D705" s="2" t="str">
        <f aca="false">'Raw Data'!K705</f>
        <v>Manager</v>
      </c>
      <c r="E705" s="2" t="n">
        <f aca="false">'Raw Data'!Q705</f>
        <v>9</v>
      </c>
      <c r="F705" s="2" t="n">
        <f aca="false">'Raw Data'!U705</f>
        <v>1</v>
      </c>
      <c r="G705" s="2" t="n">
        <f aca="false">'Raw Data'!W705</f>
        <v>3</v>
      </c>
      <c r="H705" s="2" t="n">
        <f aca="false">'Raw Data'!V705</f>
        <v>3</v>
      </c>
      <c r="I705" s="2" t="n">
        <f aca="false">IF(AND(ISNUMBER(B705),B705&lt;=25),2,0)+IF(AND(ISNUMBER(E705),E705&lt;=5),2,0)+IF(AND(ISNUMBER(F705),F705&lt;=1),2,0)+IF(AND(ISNUMBER(G705),G705&lt;=2),1,0)+IF(AND(ISNUMBER(H705),H705&lt;=2),1,0)</f>
        <v>2</v>
      </c>
      <c r="J705" s="2" t="str">
        <f aca="false">IF(I705&gt;=6,"High",IF(I705&gt;=3,"Medium","Low"))</f>
        <v>Low</v>
      </c>
    </row>
    <row r="706" customFormat="false" ht="15" hidden="false" customHeight="true" outlineLevel="0" collapsed="false">
      <c r="A706" s="2" t="n">
        <f aca="false">'Raw Data'!H706</f>
        <v>705</v>
      </c>
      <c r="B706" s="2" t="n">
        <f aca="false">'Raw Data'!A706</f>
        <v>51</v>
      </c>
      <c r="C706" s="2" t="str">
        <f aca="false">'Raw Data'!D706</f>
        <v>Sales</v>
      </c>
      <c r="D706" s="2" t="str">
        <f aca="false">'Raw Data'!K706</f>
        <v>Manufacturing Director</v>
      </c>
      <c r="E706" s="2" t="n">
        <f aca="false">'Raw Data'!Q706</f>
        <v>33</v>
      </c>
      <c r="F706" s="2" t="n">
        <f aca="false">'Raw Data'!U706</f>
        <v>10</v>
      </c>
      <c r="G706" s="2" t="n">
        <f aca="false">'Raw Data'!W706</f>
        <v>2</v>
      </c>
      <c r="H706" s="2" t="n">
        <f aca="false">'Raw Data'!V706</f>
        <v>3</v>
      </c>
      <c r="I706" s="2" t="n">
        <f aca="false">IF(AND(ISNUMBER(B706),B706&lt;=25),2,0)+IF(AND(ISNUMBER(E706),E706&lt;=5),2,0)+IF(AND(ISNUMBER(F706),F706&lt;=1),2,0)+IF(AND(ISNUMBER(G706),G706&lt;=2),1,0)+IF(AND(ISNUMBER(H706),H706&lt;=2),1,0)</f>
        <v>1</v>
      </c>
      <c r="J706" s="2" t="str">
        <f aca="false">IF(I706&gt;=6,"High",IF(I706&gt;=3,"Medium","Low"))</f>
        <v>Low</v>
      </c>
    </row>
    <row r="707" customFormat="false" ht="15" hidden="false" customHeight="true" outlineLevel="0" collapsed="false">
      <c r="A707" s="2" t="n">
        <f aca="false">'Raw Data'!H707</f>
        <v>706</v>
      </c>
      <c r="B707" s="2" t="n">
        <f aca="false">'Raw Data'!A707</f>
        <v>38</v>
      </c>
      <c r="C707" s="2" t="str">
        <f aca="false">'Raw Data'!D707</f>
        <v>Sales</v>
      </c>
      <c r="D707" s="2" t="str">
        <f aca="false">'Raw Data'!K707</f>
        <v>Research Scientist</v>
      </c>
      <c r="E707" s="2" t="n">
        <f aca="false">'Raw Data'!Q707</f>
        <v>11</v>
      </c>
      <c r="F707" s="2" t="n">
        <f aca="false">'Raw Data'!U707</f>
        <v>7</v>
      </c>
      <c r="G707" s="2" t="n">
        <f aca="false">'Raw Data'!W707</f>
        <v>1</v>
      </c>
      <c r="H707" s="2" t="n">
        <f aca="false">'Raw Data'!V707</f>
        <v>2</v>
      </c>
      <c r="I707" s="2" t="n">
        <f aca="false">IF(AND(ISNUMBER(B707),B707&lt;=25),2,0)+IF(AND(ISNUMBER(E707),E707&lt;=5),2,0)+IF(AND(ISNUMBER(F707),F707&lt;=1),2,0)+IF(AND(ISNUMBER(G707),G707&lt;=2),1,0)+IF(AND(ISNUMBER(H707),H707&lt;=2),1,0)</f>
        <v>2</v>
      </c>
      <c r="J707" s="2" t="str">
        <f aca="false">IF(I707&gt;=6,"High",IF(I707&gt;=3,"Medium","Low"))</f>
        <v>Low</v>
      </c>
    </row>
    <row r="708" customFormat="false" ht="15" hidden="false" customHeight="true" outlineLevel="0" collapsed="false">
      <c r="A708" s="2" t="n">
        <f aca="false">'Raw Data'!H708</f>
        <v>707</v>
      </c>
      <c r="B708" s="2" t="n">
        <f aca="false">'Raw Data'!A708</f>
        <v>34</v>
      </c>
      <c r="C708" s="2" t="str">
        <f aca="false">'Raw Data'!D708</f>
        <v>Sales</v>
      </c>
      <c r="D708" s="2" t="str">
        <f aca="false">'Raw Data'!K708</f>
        <v>Research Scientist</v>
      </c>
      <c r="E708" s="2" t="n">
        <f aca="false">'Raw Data'!Q708</f>
        <v>10</v>
      </c>
      <c r="F708" s="2" t="n">
        <f aca="false">'Raw Data'!U708</f>
        <v>6</v>
      </c>
      <c r="G708" s="2" t="n">
        <f aca="false">'Raw Data'!W708</f>
        <v>1</v>
      </c>
      <c r="H708" s="2" t="n">
        <f aca="false">'Raw Data'!V708</f>
        <v>3</v>
      </c>
      <c r="I708" s="2" t="n">
        <f aca="false">IF(AND(ISNUMBER(B708),B708&lt;=25),2,0)+IF(AND(ISNUMBER(E708),E708&lt;=5),2,0)+IF(AND(ISNUMBER(F708),F708&lt;=1),2,0)+IF(AND(ISNUMBER(G708),G708&lt;=2),1,0)+IF(AND(ISNUMBER(H708),H708&lt;=2),1,0)</f>
        <v>1</v>
      </c>
      <c r="J708" s="2" t="str">
        <f aca="false">IF(I708&gt;=6,"High",IF(I708&gt;=3,"Medium","Low"))</f>
        <v>Low</v>
      </c>
    </row>
    <row r="709" customFormat="false" ht="15" hidden="false" customHeight="true" outlineLevel="0" collapsed="false">
      <c r="A709" s="2" t="n">
        <f aca="false">'Raw Data'!H709</f>
        <v>708</v>
      </c>
      <c r="B709" s="2" t="n">
        <f aca="false">'Raw Data'!A709</f>
        <v>25</v>
      </c>
      <c r="C709" s="2" t="str">
        <f aca="false">'Raw Data'!D709</f>
        <v>Research &amp; Development</v>
      </c>
      <c r="D709" s="2" t="str">
        <f aca="false">'Raw Data'!K709</f>
        <v>Research Scientist</v>
      </c>
      <c r="E709" s="2" t="n">
        <f aca="false">'Raw Data'!Q709</f>
        <v>7</v>
      </c>
      <c r="F709" s="2" t="n">
        <f aca="false">'Raw Data'!U709</f>
        <v>2</v>
      </c>
      <c r="G709" s="2" t="n">
        <f aca="false">'Raw Data'!W709</f>
        <v>4</v>
      </c>
      <c r="H709" s="2" t="n">
        <f aca="false">'Raw Data'!V709</f>
        <v>4</v>
      </c>
      <c r="I709" s="2" t="n">
        <f aca="false">IF(AND(ISNUMBER(B709),B709&lt;=25),2,0)+IF(AND(ISNUMBER(E709),E709&lt;=5),2,0)+IF(AND(ISNUMBER(F709),F709&lt;=1),2,0)+IF(AND(ISNUMBER(G709),G709&lt;=2),1,0)+IF(AND(ISNUMBER(H709),H709&lt;=2),1,0)</f>
        <v>2</v>
      </c>
      <c r="J709" s="2" t="str">
        <f aca="false">IF(I709&gt;=6,"High",IF(I709&gt;=3,"Medium","Low"))</f>
        <v>Low</v>
      </c>
    </row>
    <row r="710" customFormat="false" ht="15" hidden="false" customHeight="true" outlineLevel="0" collapsed="false">
      <c r="A710" s="2" t="n">
        <f aca="false">'Raw Data'!H710</f>
        <v>709</v>
      </c>
      <c r="B710" s="2" t="n">
        <f aca="false">'Raw Data'!A710</f>
        <v>58</v>
      </c>
      <c r="C710" s="2" t="str">
        <f aca="false">'Raw Data'!D710</f>
        <v>Sales</v>
      </c>
      <c r="D710" s="2" t="str">
        <f aca="false">'Raw Data'!K710</f>
        <v>Sales Executive</v>
      </c>
      <c r="E710" s="2" t="n">
        <f aca="false">'Raw Data'!Q710</f>
        <v>31</v>
      </c>
      <c r="F710" s="2" t="n">
        <f aca="false">'Raw Data'!U710</f>
        <v>9</v>
      </c>
      <c r="G710" s="2" t="n">
        <f aca="false">'Raw Data'!W710</f>
        <v>1</v>
      </c>
      <c r="H710" s="2" t="n">
        <f aca="false">'Raw Data'!V710</f>
        <v>3</v>
      </c>
      <c r="I710" s="2" t="n">
        <f aca="false">IF(AND(ISNUMBER(B710),B710&lt;=25),2,0)+IF(AND(ISNUMBER(E710),E710&lt;=5),2,0)+IF(AND(ISNUMBER(F710),F710&lt;=1),2,0)+IF(AND(ISNUMBER(G710),G710&lt;=2),1,0)+IF(AND(ISNUMBER(H710),H710&lt;=2),1,0)</f>
        <v>1</v>
      </c>
      <c r="J710" s="2" t="str">
        <f aca="false">IF(I710&gt;=6,"High",IF(I710&gt;=3,"Medium","Low"))</f>
        <v>Low</v>
      </c>
    </row>
    <row r="711" customFormat="false" ht="15" hidden="false" customHeight="true" outlineLevel="0" collapsed="false">
      <c r="A711" s="2" t="n">
        <f aca="false">'Raw Data'!H711</f>
        <v>710</v>
      </c>
      <c r="B711" s="2" t="n">
        <f aca="false">'Raw Data'!A711</f>
        <v>40</v>
      </c>
      <c r="C711" s="2" t="str">
        <f aca="false">'Raw Data'!D711</f>
        <v>Research &amp; Development</v>
      </c>
      <c r="D711" s="2" t="str">
        <f aca="false">'Raw Data'!K711</f>
        <v>Research Scientist</v>
      </c>
      <c r="E711" s="2" t="n">
        <f aca="false">'Raw Data'!Q711</f>
        <v>7</v>
      </c>
      <c r="F711" s="2" t="n">
        <f aca="false">'Raw Data'!U711</f>
        <v>3</v>
      </c>
      <c r="G711" s="2" t="n">
        <f aca="false">'Raw Data'!W711</f>
        <v>2</v>
      </c>
      <c r="H711" s="2" t="n">
        <f aca="false">'Raw Data'!V711</f>
        <v>2</v>
      </c>
      <c r="I711" s="2" t="n">
        <f aca="false">IF(AND(ISNUMBER(B711),B711&lt;=25),2,0)+IF(AND(ISNUMBER(E711),E711&lt;=5),2,0)+IF(AND(ISNUMBER(F711),F711&lt;=1),2,0)+IF(AND(ISNUMBER(G711),G711&lt;=2),1,0)+IF(AND(ISNUMBER(H711),H711&lt;=2),1,0)</f>
        <v>2</v>
      </c>
      <c r="J711" s="2" t="str">
        <f aca="false">IF(I711&gt;=6,"High",IF(I711&gt;=3,"Medium","Low"))</f>
        <v>Low</v>
      </c>
    </row>
    <row r="712" customFormat="false" ht="15" hidden="false" customHeight="true" outlineLevel="0" collapsed="false">
      <c r="A712" s="2" t="n">
        <f aca="false">'Raw Data'!H712</f>
        <v>711</v>
      </c>
      <c r="B712" s="2" t="n">
        <f aca="false">'Raw Data'!A712</f>
        <v>36</v>
      </c>
      <c r="C712" s="2" t="str">
        <f aca="false">'Raw Data'!D712</f>
        <v>Sales</v>
      </c>
      <c r="D712" s="2" t="str">
        <f aca="false">'Raw Data'!K712</f>
        <v>Research Scientist</v>
      </c>
      <c r="E712" s="2" t="n">
        <f aca="false">'Raw Data'!Q712</f>
        <v>17</v>
      </c>
      <c r="F712" s="2" t="n">
        <f aca="false">'Raw Data'!U712</f>
        <v>13</v>
      </c>
      <c r="G712" s="2" t="n">
        <f aca="false">'Raw Data'!W712</f>
        <v>1</v>
      </c>
      <c r="H712" s="2" t="n">
        <f aca="false">'Raw Data'!V712</f>
        <v>1</v>
      </c>
      <c r="I712" s="2" t="n">
        <f aca="false">IF(AND(ISNUMBER(B712),B712&lt;=25),2,0)+IF(AND(ISNUMBER(E712),E712&lt;=5),2,0)+IF(AND(ISNUMBER(F712),F712&lt;=1),2,0)+IF(AND(ISNUMBER(G712),G712&lt;=2),1,0)+IF(AND(ISNUMBER(H712),H712&lt;=2),1,0)</f>
        <v>2</v>
      </c>
      <c r="J712" s="2" t="str">
        <f aca="false">IF(I712&gt;=6,"High",IF(I712&gt;=3,"Medium","Low"))</f>
        <v>Low</v>
      </c>
    </row>
    <row r="713" customFormat="false" ht="15" hidden="false" customHeight="true" outlineLevel="0" collapsed="false">
      <c r="A713" s="2" t="n">
        <f aca="false">'Raw Data'!H713</f>
        <v>712</v>
      </c>
      <c r="B713" s="2" t="n">
        <f aca="false">'Raw Data'!A713</f>
        <v>48</v>
      </c>
      <c r="C713" s="2" t="str">
        <f aca="false">'Raw Data'!D713</f>
        <v>Research &amp; Development</v>
      </c>
      <c r="D713" s="2" t="str">
        <f aca="false">'Raw Data'!K713</f>
        <v>Research Scientist</v>
      </c>
      <c r="E713" s="2" t="n">
        <f aca="false">'Raw Data'!Q713</f>
        <v>11</v>
      </c>
      <c r="F713" s="2" t="n">
        <f aca="false">'Raw Data'!U713</f>
        <v>8</v>
      </c>
      <c r="G713" s="2" t="n">
        <f aca="false">'Raw Data'!W713</f>
        <v>4</v>
      </c>
      <c r="H713" s="2" t="n">
        <f aca="false">'Raw Data'!V713</f>
        <v>4</v>
      </c>
      <c r="I713" s="2" t="n">
        <f aca="false">IF(AND(ISNUMBER(B713),B713&lt;=25),2,0)+IF(AND(ISNUMBER(E713),E713&lt;=5),2,0)+IF(AND(ISNUMBER(F713),F713&lt;=1),2,0)+IF(AND(ISNUMBER(G713),G713&lt;=2),1,0)+IF(AND(ISNUMBER(H713),H713&lt;=2),1,0)</f>
        <v>0</v>
      </c>
      <c r="J713" s="2" t="str">
        <f aca="false">IF(I713&gt;=6,"High",IF(I713&gt;=3,"Medium","Low"))</f>
        <v>Low</v>
      </c>
    </row>
    <row r="714" customFormat="false" ht="15" hidden="false" customHeight="true" outlineLevel="0" collapsed="false">
      <c r="A714" s="2" t="n">
        <f aca="false">'Raw Data'!H714</f>
        <v>713</v>
      </c>
      <c r="B714" s="2" t="n">
        <f aca="false">'Raw Data'!A714</f>
        <v>27</v>
      </c>
      <c r="C714" s="2" t="str">
        <f aca="false">'Raw Data'!D714</f>
        <v>Research &amp; Development</v>
      </c>
      <c r="D714" s="2" t="str">
        <f aca="false">'Raw Data'!K714</f>
        <v>Laboratory Technician</v>
      </c>
      <c r="E714" s="2" t="n">
        <f aca="false">'Raw Data'!Q714</f>
        <v>5</v>
      </c>
      <c r="F714" s="2" t="n">
        <f aca="false">'Raw Data'!U714</f>
        <v>0</v>
      </c>
      <c r="G714" s="2" t="n">
        <f aca="false">'Raw Data'!W714</f>
        <v>4</v>
      </c>
      <c r="H714" s="2" t="n">
        <f aca="false">'Raw Data'!V714</f>
        <v>3</v>
      </c>
      <c r="I714" s="2" t="n">
        <f aca="false">IF(AND(ISNUMBER(B714),B714&lt;=25),2,0)+IF(AND(ISNUMBER(E714),E714&lt;=5),2,0)+IF(AND(ISNUMBER(F714),F714&lt;=1),2,0)+IF(AND(ISNUMBER(G714),G714&lt;=2),1,0)+IF(AND(ISNUMBER(H714),H714&lt;=2),1,0)</f>
        <v>4</v>
      </c>
      <c r="J714" s="2" t="str">
        <f aca="false">IF(I714&gt;=6,"High",IF(I714&gt;=3,"Medium","Low"))</f>
        <v>Medium</v>
      </c>
    </row>
    <row r="715" customFormat="false" ht="15" hidden="false" customHeight="true" outlineLevel="0" collapsed="false">
      <c r="A715" s="2" t="n">
        <f aca="false">'Raw Data'!H715</f>
        <v>714</v>
      </c>
      <c r="B715" s="2" t="n">
        <f aca="false">'Raw Data'!A715</f>
        <v>51</v>
      </c>
      <c r="C715" s="2" t="str">
        <f aca="false">'Raw Data'!D715</f>
        <v>Research &amp; Development</v>
      </c>
      <c r="D715" s="2" t="str">
        <f aca="false">'Raw Data'!K715</f>
        <v>Manufacturing Director</v>
      </c>
      <c r="E715" s="2" t="n">
        <f aca="false">'Raw Data'!Q715</f>
        <v>29</v>
      </c>
      <c r="F715" s="2" t="n">
        <f aca="false">'Raw Data'!U715</f>
        <v>3</v>
      </c>
      <c r="G715" s="2" t="n">
        <f aca="false">'Raw Data'!W715</f>
        <v>2</v>
      </c>
      <c r="H715" s="2" t="n">
        <f aca="false">'Raw Data'!V715</f>
        <v>4</v>
      </c>
      <c r="I715" s="2" t="n">
        <f aca="false">IF(AND(ISNUMBER(B715),B715&lt;=25),2,0)+IF(AND(ISNUMBER(E715),E715&lt;=5),2,0)+IF(AND(ISNUMBER(F715),F715&lt;=1),2,0)+IF(AND(ISNUMBER(G715),G715&lt;=2),1,0)+IF(AND(ISNUMBER(H715),H715&lt;=2),1,0)</f>
        <v>1</v>
      </c>
      <c r="J715" s="2" t="str">
        <f aca="false">IF(I715&gt;=6,"High",IF(I715&gt;=3,"Medium","Low"))</f>
        <v>Low</v>
      </c>
    </row>
    <row r="716" customFormat="false" ht="15" hidden="false" customHeight="true" outlineLevel="0" collapsed="false">
      <c r="A716" s="2" t="n">
        <f aca="false">'Raw Data'!H716</f>
        <v>715</v>
      </c>
      <c r="B716" s="2" t="n">
        <f aca="false">'Raw Data'!A716</f>
        <v>18</v>
      </c>
      <c r="C716" s="2" t="str">
        <f aca="false">'Raw Data'!D716</f>
        <v>Research &amp; Development</v>
      </c>
      <c r="D716" s="2" t="str">
        <f aca="false">'Raw Data'!K716</f>
        <v>Sales Executive</v>
      </c>
      <c r="E716" s="2" t="n">
        <f aca="false">'Raw Data'!Q716</f>
        <v>0</v>
      </c>
      <c r="F716" s="2" t="n">
        <f aca="false">'Raw Data'!U716</f>
        <v>0</v>
      </c>
      <c r="G716" s="2" t="n">
        <f aca="false">'Raw Data'!W716</f>
        <v>4</v>
      </c>
      <c r="H716" s="2" t="n">
        <f aca="false">'Raw Data'!V716</f>
        <v>4</v>
      </c>
      <c r="I716" s="2" t="n">
        <f aca="false">IF(AND(ISNUMBER(B716),B716&lt;=25),2,0)+IF(AND(ISNUMBER(E716),E716&lt;=5),2,0)+IF(AND(ISNUMBER(F716),F716&lt;=1),2,0)+IF(AND(ISNUMBER(G716),G716&lt;=2),1,0)+IF(AND(ISNUMBER(H716),H716&lt;=2),1,0)</f>
        <v>6</v>
      </c>
      <c r="J716" s="2" t="str">
        <f aca="false">IF(I716&gt;=6,"High",IF(I716&gt;=3,"Medium","Low"))</f>
        <v>High</v>
      </c>
    </row>
    <row r="717" customFormat="false" ht="15" hidden="false" customHeight="true" outlineLevel="0" collapsed="false">
      <c r="A717" s="2" t="n">
        <f aca="false">'Raw Data'!H717</f>
        <v>716</v>
      </c>
      <c r="B717" s="2" t="n">
        <f aca="false">'Raw Data'!A717</f>
        <v>35</v>
      </c>
      <c r="C717" s="2" t="str">
        <f aca="false">'Raw Data'!D717</f>
        <v>Research &amp; Development</v>
      </c>
      <c r="D717" s="2" t="str">
        <f aca="false">'Raw Data'!K717</f>
        <v>Research Director</v>
      </c>
      <c r="E717" s="2" t="n">
        <f aca="false">'Raw Data'!Q717</f>
        <v>10</v>
      </c>
      <c r="F717" s="2" t="n">
        <f aca="false">'Raw Data'!U717</f>
        <v>0</v>
      </c>
      <c r="G717" s="2" t="n">
        <f aca="false">'Raw Data'!W717</f>
        <v>4</v>
      </c>
      <c r="H717" s="2" t="n">
        <f aca="false">'Raw Data'!V717</f>
        <v>4</v>
      </c>
      <c r="I717" s="2" t="n">
        <f aca="false">IF(AND(ISNUMBER(B717),B717&lt;=25),2,0)+IF(AND(ISNUMBER(E717),E717&lt;=5),2,0)+IF(AND(ISNUMBER(F717),F717&lt;=1),2,0)+IF(AND(ISNUMBER(G717),G717&lt;=2),1,0)+IF(AND(ISNUMBER(H717),H717&lt;=2),1,0)</f>
        <v>2</v>
      </c>
      <c r="J717" s="2" t="str">
        <f aca="false">IF(I717&gt;=6,"High",IF(I717&gt;=3,"Medium","Low"))</f>
        <v>Low</v>
      </c>
    </row>
    <row r="718" customFormat="false" ht="15" hidden="false" customHeight="true" outlineLevel="0" collapsed="false">
      <c r="A718" s="2" t="n">
        <f aca="false">'Raw Data'!H718</f>
        <v>717</v>
      </c>
      <c r="B718" s="2" t="n">
        <f aca="false">'Raw Data'!A718</f>
        <v>27</v>
      </c>
      <c r="C718" s="2" t="str">
        <f aca="false">'Raw Data'!D718</f>
        <v>Research &amp; Development</v>
      </c>
      <c r="D718" s="2" t="str">
        <f aca="false">'Raw Data'!K718</f>
        <v>Research Director</v>
      </c>
      <c r="E718" s="2" t="n">
        <f aca="false">'Raw Data'!Q718</f>
        <v>8</v>
      </c>
      <c r="F718" s="2" t="n">
        <f aca="false">'Raw Data'!U718</f>
        <v>0</v>
      </c>
      <c r="G718" s="2" t="n">
        <f aca="false">'Raw Data'!W718</f>
        <v>4</v>
      </c>
      <c r="H718" s="2" t="n">
        <f aca="false">'Raw Data'!V718</f>
        <v>4</v>
      </c>
      <c r="I718" s="2" t="n">
        <f aca="false">IF(AND(ISNUMBER(B718),B718&lt;=25),2,0)+IF(AND(ISNUMBER(E718),E718&lt;=5),2,0)+IF(AND(ISNUMBER(F718),F718&lt;=1),2,0)+IF(AND(ISNUMBER(G718),G718&lt;=2),1,0)+IF(AND(ISNUMBER(H718),H718&lt;=2),1,0)</f>
        <v>2</v>
      </c>
      <c r="J718" s="2" t="str">
        <f aca="false">IF(I718&gt;=6,"High",IF(I718&gt;=3,"Medium","Low"))</f>
        <v>Low</v>
      </c>
    </row>
    <row r="719" customFormat="false" ht="15" hidden="false" customHeight="true" outlineLevel="0" collapsed="false">
      <c r="A719" s="2" t="n">
        <f aca="false">'Raw Data'!H719</f>
        <v>718</v>
      </c>
      <c r="B719" s="2" t="n">
        <f aca="false">'Raw Data'!A719</f>
        <v>55</v>
      </c>
      <c r="C719" s="2" t="str">
        <f aca="false">'Raw Data'!D719</f>
        <v>Research &amp; Development</v>
      </c>
      <c r="D719" s="2" t="str">
        <f aca="false">'Raw Data'!K719</f>
        <v>Human Resources</v>
      </c>
      <c r="E719" s="2" t="n">
        <f aca="false">'Raw Data'!Q719</f>
        <v>24</v>
      </c>
      <c r="F719" s="2" t="n">
        <f aca="false">'Raw Data'!U719</f>
        <v>8</v>
      </c>
      <c r="G719" s="2" t="n">
        <f aca="false">'Raw Data'!W719</f>
        <v>3</v>
      </c>
      <c r="H719" s="2" t="n">
        <f aca="false">'Raw Data'!V719</f>
        <v>1</v>
      </c>
      <c r="I719" s="2" t="n">
        <f aca="false">IF(AND(ISNUMBER(B719),B719&lt;=25),2,0)+IF(AND(ISNUMBER(E719),E719&lt;=5),2,0)+IF(AND(ISNUMBER(F719),F719&lt;=1),2,0)+IF(AND(ISNUMBER(G719),G719&lt;=2),1,0)+IF(AND(ISNUMBER(H719),H719&lt;=2),1,0)</f>
        <v>1</v>
      </c>
      <c r="J719" s="2" t="str">
        <f aca="false">IF(I719&gt;=6,"High",IF(I719&gt;=3,"Medium","Low"))</f>
        <v>Low</v>
      </c>
    </row>
    <row r="720" customFormat="false" ht="15" hidden="false" customHeight="true" outlineLevel="0" collapsed="false">
      <c r="A720" s="2" t="n">
        <f aca="false">'Raw Data'!H720</f>
        <v>719</v>
      </c>
      <c r="B720" s="2" t="n">
        <f aca="false">'Raw Data'!A720</f>
        <v>56</v>
      </c>
      <c r="C720" s="2" t="str">
        <f aca="false">'Raw Data'!D720</f>
        <v>Research &amp; Development</v>
      </c>
      <c r="D720" s="2" t="str">
        <f aca="false">'Raw Data'!K720</f>
        <v>Laboratory Technician</v>
      </c>
      <c r="E720" s="2" t="n">
        <f aca="false">'Raw Data'!Q720</f>
        <v>33</v>
      </c>
      <c r="F720" s="2" t="n">
        <f aca="false">'Raw Data'!U720</f>
        <v>9</v>
      </c>
      <c r="G720" s="2" t="n">
        <f aca="false">'Raw Data'!W720</f>
        <v>2</v>
      </c>
      <c r="H720" s="2" t="n">
        <f aca="false">'Raw Data'!V720</f>
        <v>4</v>
      </c>
      <c r="I720" s="2" t="n">
        <f aca="false">IF(AND(ISNUMBER(B720),B720&lt;=25),2,0)+IF(AND(ISNUMBER(E720),E720&lt;=5),2,0)+IF(AND(ISNUMBER(F720),F720&lt;=1),2,0)+IF(AND(ISNUMBER(G720),G720&lt;=2),1,0)+IF(AND(ISNUMBER(H720),H720&lt;=2),1,0)</f>
        <v>1</v>
      </c>
      <c r="J720" s="2" t="str">
        <f aca="false">IF(I720&gt;=6,"High",IF(I720&gt;=3,"Medium","Low"))</f>
        <v>Low</v>
      </c>
    </row>
    <row r="721" customFormat="false" ht="15" hidden="false" customHeight="true" outlineLevel="0" collapsed="false">
      <c r="A721" s="2" t="n">
        <f aca="false">'Raw Data'!H721</f>
        <v>720</v>
      </c>
      <c r="B721" s="2" t="n">
        <f aca="false">'Raw Data'!A721</f>
        <v>34</v>
      </c>
      <c r="C721" s="2" t="str">
        <f aca="false">'Raw Data'!D721</f>
        <v>Sales</v>
      </c>
      <c r="D721" s="2" t="str">
        <f aca="false">'Raw Data'!K721</f>
        <v>Research Scientist</v>
      </c>
      <c r="E721" s="2" t="n">
        <f aca="false">'Raw Data'!Q721</f>
        <v>5</v>
      </c>
      <c r="F721" s="2" t="n">
        <f aca="false">'Raw Data'!U721</f>
        <v>0</v>
      </c>
      <c r="G721" s="2" t="n">
        <f aca="false">'Raw Data'!W721</f>
        <v>3</v>
      </c>
      <c r="H721" s="2" t="n">
        <f aca="false">'Raw Data'!V721</f>
        <v>1</v>
      </c>
      <c r="I721" s="2" t="n">
        <f aca="false">IF(AND(ISNUMBER(B721),B721&lt;=25),2,0)+IF(AND(ISNUMBER(E721),E721&lt;=5),2,0)+IF(AND(ISNUMBER(F721),F721&lt;=1),2,0)+IF(AND(ISNUMBER(G721),G721&lt;=2),1,0)+IF(AND(ISNUMBER(H721),H721&lt;=2),1,0)</f>
        <v>5</v>
      </c>
      <c r="J721" s="2" t="str">
        <f aca="false">IF(I721&gt;=6,"High",IF(I721&gt;=3,"Medium","Low"))</f>
        <v>Medium</v>
      </c>
    </row>
    <row r="722" customFormat="false" ht="15" hidden="false" customHeight="true" outlineLevel="0" collapsed="false">
      <c r="A722" s="2" t="n">
        <f aca="false">'Raw Data'!H722</f>
        <v>721</v>
      </c>
      <c r="B722" s="2" t="n">
        <f aca="false">'Raw Data'!A722</f>
        <v>40</v>
      </c>
      <c r="C722" s="2" t="str">
        <f aca="false">'Raw Data'!D722</f>
        <v>Research &amp; Development</v>
      </c>
      <c r="D722" s="2" t="str">
        <f aca="false">'Raw Data'!K722</f>
        <v>Sales Executive</v>
      </c>
      <c r="E722" s="2" t="n">
        <f aca="false">'Raw Data'!Q722</f>
        <v>15</v>
      </c>
      <c r="F722" s="2" t="n">
        <f aca="false">'Raw Data'!U722</f>
        <v>8</v>
      </c>
      <c r="G722" s="2" t="n">
        <f aca="false">'Raw Data'!W722</f>
        <v>3</v>
      </c>
      <c r="H722" s="2" t="n">
        <f aca="false">'Raw Data'!V722</f>
        <v>2</v>
      </c>
      <c r="I722" s="2" t="n">
        <f aca="false">IF(AND(ISNUMBER(B722),B722&lt;=25),2,0)+IF(AND(ISNUMBER(E722),E722&lt;=5),2,0)+IF(AND(ISNUMBER(F722),F722&lt;=1),2,0)+IF(AND(ISNUMBER(G722),G722&lt;=2),1,0)+IF(AND(ISNUMBER(H722),H722&lt;=2),1,0)</f>
        <v>1</v>
      </c>
      <c r="J722" s="2" t="str">
        <f aca="false">IF(I722&gt;=6,"High",IF(I722&gt;=3,"Medium","Low"))</f>
        <v>Low</v>
      </c>
    </row>
    <row r="723" customFormat="false" ht="15" hidden="false" customHeight="true" outlineLevel="0" collapsed="false">
      <c r="A723" s="2" t="n">
        <f aca="false">'Raw Data'!H723</f>
        <v>722</v>
      </c>
      <c r="B723" s="2" t="n">
        <f aca="false">'Raw Data'!A723</f>
        <v>34</v>
      </c>
      <c r="C723" s="2" t="str">
        <f aca="false">'Raw Data'!D723</f>
        <v>Research &amp; Development</v>
      </c>
      <c r="D723" s="2" t="str">
        <f aca="false">'Raw Data'!K723</f>
        <v>Research Scientist</v>
      </c>
      <c r="E723" s="2" t="n">
        <f aca="false">'Raw Data'!Q723</f>
        <v>10</v>
      </c>
      <c r="F723" s="2" t="n">
        <f aca="false">'Raw Data'!U723</f>
        <v>7</v>
      </c>
      <c r="G723" s="2" t="n">
        <f aca="false">'Raw Data'!W723</f>
        <v>3</v>
      </c>
      <c r="H723" s="2" t="n">
        <f aca="false">'Raw Data'!V723</f>
        <v>2</v>
      </c>
      <c r="I723" s="2" t="n">
        <f aca="false">IF(AND(ISNUMBER(B723),B723&lt;=25),2,0)+IF(AND(ISNUMBER(E723),E723&lt;=5),2,0)+IF(AND(ISNUMBER(F723),F723&lt;=1),2,0)+IF(AND(ISNUMBER(G723),G723&lt;=2),1,0)+IF(AND(ISNUMBER(H723),H723&lt;=2),1,0)</f>
        <v>1</v>
      </c>
      <c r="J723" s="2" t="str">
        <f aca="false">IF(I723&gt;=6,"High",IF(I723&gt;=3,"Medium","Low"))</f>
        <v>Low</v>
      </c>
    </row>
    <row r="724" customFormat="false" ht="15" hidden="false" customHeight="true" outlineLevel="0" collapsed="false">
      <c r="A724" s="2" t="n">
        <f aca="false">'Raw Data'!H724</f>
        <v>723</v>
      </c>
      <c r="B724" s="2" t="n">
        <f aca="false">'Raw Data'!A724</f>
        <v>31</v>
      </c>
      <c r="C724" s="2" t="str">
        <f aca="false">'Raw Data'!D724</f>
        <v>Research &amp; Development</v>
      </c>
      <c r="D724" s="2" t="str">
        <f aca="false">'Raw Data'!K724</f>
        <v>Manufacturing Director</v>
      </c>
      <c r="E724" s="2" t="n">
        <f aca="false">'Raw Data'!Q724</f>
        <v>3</v>
      </c>
      <c r="F724" s="2" t="n">
        <f aca="false">'Raw Data'!U724</f>
        <v>0</v>
      </c>
      <c r="G724" s="2" t="n">
        <f aca="false">'Raw Data'!W724</f>
        <v>4</v>
      </c>
      <c r="H724" s="2" t="n">
        <f aca="false">'Raw Data'!V724</f>
        <v>3</v>
      </c>
      <c r="I724" s="2" t="n">
        <f aca="false">IF(AND(ISNUMBER(B724),B724&lt;=25),2,0)+IF(AND(ISNUMBER(E724),E724&lt;=5),2,0)+IF(AND(ISNUMBER(F724),F724&lt;=1),2,0)+IF(AND(ISNUMBER(G724),G724&lt;=2),1,0)+IF(AND(ISNUMBER(H724),H724&lt;=2),1,0)</f>
        <v>4</v>
      </c>
      <c r="J724" s="2" t="str">
        <f aca="false">IF(I724&gt;=6,"High",IF(I724&gt;=3,"Medium","Low"))</f>
        <v>Medium</v>
      </c>
    </row>
    <row r="725" customFormat="false" ht="15" hidden="false" customHeight="true" outlineLevel="0" collapsed="false">
      <c r="A725" s="2" t="n">
        <f aca="false">'Raw Data'!H725</f>
        <v>724</v>
      </c>
      <c r="B725" s="2" t="n">
        <f aca="false">'Raw Data'!A725</f>
        <v>35</v>
      </c>
      <c r="C725" s="2" t="str">
        <f aca="false">'Raw Data'!D725</f>
        <v>Research &amp; Development</v>
      </c>
      <c r="D725" s="2" t="str">
        <f aca="false">'Raw Data'!K725</f>
        <v>Manufacturing Director</v>
      </c>
      <c r="E725" s="2" t="n">
        <f aca="false">'Raw Data'!Q725</f>
        <v>5</v>
      </c>
      <c r="F725" s="2" t="n">
        <f aca="false">'Raw Data'!U725</f>
        <v>2</v>
      </c>
      <c r="G725" s="2" t="n">
        <f aca="false">'Raw Data'!W725</f>
        <v>3</v>
      </c>
      <c r="H725" s="2" t="n">
        <f aca="false">'Raw Data'!V725</f>
        <v>4</v>
      </c>
      <c r="I725" s="2" t="n">
        <f aca="false">IF(AND(ISNUMBER(B725),B725&lt;=25),2,0)+IF(AND(ISNUMBER(E725),E725&lt;=5),2,0)+IF(AND(ISNUMBER(F725),F725&lt;=1),2,0)+IF(AND(ISNUMBER(G725),G725&lt;=2),1,0)+IF(AND(ISNUMBER(H725),H725&lt;=2),1,0)</f>
        <v>2</v>
      </c>
      <c r="J725" s="2" t="str">
        <f aca="false">IF(I725&gt;=6,"High",IF(I725&gt;=3,"Medium","Low"))</f>
        <v>Low</v>
      </c>
    </row>
    <row r="726" customFormat="false" ht="15" hidden="false" customHeight="true" outlineLevel="0" collapsed="false">
      <c r="A726" s="2" t="n">
        <f aca="false">'Raw Data'!H726</f>
        <v>725</v>
      </c>
      <c r="B726" s="2" t="n">
        <f aca="false">'Raw Data'!A726</f>
        <v>38</v>
      </c>
      <c r="C726" s="2" t="str">
        <f aca="false">'Raw Data'!D726</f>
        <v>Research &amp; Development</v>
      </c>
      <c r="D726" s="2" t="str">
        <f aca="false">'Raw Data'!K726</f>
        <v>Sales Representative</v>
      </c>
      <c r="E726" s="2" t="n">
        <f aca="false">'Raw Data'!Q726</f>
        <v>4</v>
      </c>
      <c r="F726" s="2" t="n">
        <f aca="false">'Raw Data'!U726</f>
        <v>3</v>
      </c>
      <c r="G726" s="2" t="n">
        <f aca="false">'Raw Data'!W726</f>
        <v>3</v>
      </c>
      <c r="H726" s="2" t="n">
        <f aca="false">'Raw Data'!V726</f>
        <v>4</v>
      </c>
      <c r="I726" s="2" t="n">
        <f aca="false">IF(AND(ISNUMBER(B726),B726&lt;=25),2,0)+IF(AND(ISNUMBER(E726),E726&lt;=5),2,0)+IF(AND(ISNUMBER(F726),F726&lt;=1),2,0)+IF(AND(ISNUMBER(G726),G726&lt;=2),1,0)+IF(AND(ISNUMBER(H726),H726&lt;=2),1,0)</f>
        <v>2</v>
      </c>
      <c r="J726" s="2" t="str">
        <f aca="false">IF(I726&gt;=6,"High",IF(I726&gt;=3,"Medium","Low"))</f>
        <v>Low</v>
      </c>
    </row>
    <row r="727" customFormat="false" ht="15" hidden="false" customHeight="true" outlineLevel="0" collapsed="false">
      <c r="A727" s="2" t="n">
        <f aca="false">'Raw Data'!H727</f>
        <v>726</v>
      </c>
      <c r="B727" s="2" t="n">
        <f aca="false">'Raw Data'!A727</f>
        <v>34</v>
      </c>
      <c r="C727" s="2" t="str">
        <f aca="false">'Raw Data'!D727</f>
        <v>Research &amp; Development</v>
      </c>
      <c r="D727" s="2" t="str">
        <f aca="false">'Raw Data'!K727</f>
        <v>Laboratory Technician</v>
      </c>
      <c r="E727" s="2" t="n">
        <f aca="false">'Raw Data'!Q727</f>
        <v>14</v>
      </c>
      <c r="F727" s="2" t="n">
        <f aca="false">'Raw Data'!U727</f>
        <v>11</v>
      </c>
      <c r="G727" s="2" t="n">
        <f aca="false">'Raw Data'!W727</f>
        <v>4</v>
      </c>
      <c r="H727" s="2" t="n">
        <f aca="false">'Raw Data'!V727</f>
        <v>3</v>
      </c>
      <c r="I727" s="2" t="n">
        <f aca="false">IF(AND(ISNUMBER(B727),B727&lt;=25),2,0)+IF(AND(ISNUMBER(E727),E727&lt;=5),2,0)+IF(AND(ISNUMBER(F727),F727&lt;=1),2,0)+IF(AND(ISNUMBER(G727),G727&lt;=2),1,0)+IF(AND(ISNUMBER(H727),H727&lt;=2),1,0)</f>
        <v>0</v>
      </c>
      <c r="J727" s="2" t="str">
        <f aca="false">IF(I727&gt;=6,"High",IF(I727&gt;=3,"Medium","Low"))</f>
        <v>Low</v>
      </c>
    </row>
    <row r="728" customFormat="false" ht="15" hidden="false" customHeight="true" outlineLevel="0" collapsed="false">
      <c r="A728" s="2" t="n">
        <f aca="false">'Raw Data'!H728</f>
        <v>727</v>
      </c>
      <c r="B728" s="2" t="n">
        <f aca="false">'Raw Data'!A728</f>
        <v>28</v>
      </c>
      <c r="C728" s="2" t="str">
        <f aca="false">'Raw Data'!D728</f>
        <v>Research &amp; Development</v>
      </c>
      <c r="D728" s="2" t="str">
        <f aca="false">'Raw Data'!K728</f>
        <v>Healthcare Representative</v>
      </c>
      <c r="E728" s="2" t="n">
        <f aca="false">'Raw Data'!Q728</f>
        <v>5</v>
      </c>
      <c r="F728" s="2" t="n">
        <f aca="false">'Raw Data'!U728</f>
        <v>4</v>
      </c>
      <c r="G728" s="2" t="n">
        <f aca="false">'Raw Data'!W728</f>
        <v>1</v>
      </c>
      <c r="H728" s="2" t="n">
        <f aca="false">'Raw Data'!V728</f>
        <v>3</v>
      </c>
      <c r="I728" s="2" t="n">
        <f aca="false">IF(AND(ISNUMBER(B728),B728&lt;=25),2,0)+IF(AND(ISNUMBER(E728),E728&lt;=5),2,0)+IF(AND(ISNUMBER(F728),F728&lt;=1),2,0)+IF(AND(ISNUMBER(G728),G728&lt;=2),1,0)+IF(AND(ISNUMBER(H728),H728&lt;=2),1,0)</f>
        <v>3</v>
      </c>
      <c r="J728" s="2" t="str">
        <f aca="false">IF(I728&gt;=6,"High",IF(I728&gt;=3,"Medium","Low"))</f>
        <v>Medium</v>
      </c>
    </row>
    <row r="729" customFormat="false" ht="15" hidden="false" customHeight="true" outlineLevel="0" collapsed="false">
      <c r="A729" s="2" t="n">
        <f aca="false">'Raw Data'!H729</f>
        <v>728</v>
      </c>
      <c r="B729" s="2" t="n">
        <f aca="false">'Raw Data'!A729</f>
        <v>31</v>
      </c>
      <c r="C729" s="2" t="str">
        <f aca="false">'Raw Data'!D729</f>
        <v>Research &amp; Development</v>
      </c>
      <c r="D729" s="2" t="str">
        <f aca="false">'Raw Data'!K729</f>
        <v>Sales Executive</v>
      </c>
      <c r="E729" s="2" t="n">
        <f aca="false">'Raw Data'!Q729</f>
        <v>10</v>
      </c>
      <c r="F729" s="2" t="n">
        <f aca="false">'Raw Data'!U729</f>
        <v>7</v>
      </c>
      <c r="G729" s="2" t="n">
        <f aca="false">'Raw Data'!W729</f>
        <v>3</v>
      </c>
      <c r="H729" s="2" t="n">
        <f aca="false">'Raw Data'!V729</f>
        <v>4</v>
      </c>
      <c r="I729" s="2" t="n">
        <f aca="false">IF(AND(ISNUMBER(B729),B729&lt;=25),2,0)+IF(AND(ISNUMBER(E729),E729&lt;=5),2,0)+IF(AND(ISNUMBER(F729),F729&lt;=1),2,0)+IF(AND(ISNUMBER(G729),G729&lt;=2),1,0)+IF(AND(ISNUMBER(H729),H729&lt;=2),1,0)</f>
        <v>0</v>
      </c>
      <c r="J729" s="2" t="str">
        <f aca="false">IF(I729&gt;=6,"High",IF(I729&gt;=3,"Medium","Low"))</f>
        <v>Low</v>
      </c>
    </row>
    <row r="730" customFormat="false" ht="15" hidden="false" customHeight="true" outlineLevel="0" collapsed="false">
      <c r="A730" s="2" t="n">
        <f aca="false">'Raw Data'!H730</f>
        <v>729</v>
      </c>
      <c r="B730" s="2" t="n">
        <f aca="false">'Raw Data'!A730</f>
        <v>39</v>
      </c>
      <c r="C730" s="2" t="str">
        <f aca="false">'Raw Data'!D730</f>
        <v>Research &amp; Development</v>
      </c>
      <c r="D730" s="2" t="str">
        <f aca="false">'Raw Data'!K730</f>
        <v>Healthcare Representative</v>
      </c>
      <c r="E730" s="2" t="n">
        <f aca="false">'Raw Data'!Q730</f>
        <v>8</v>
      </c>
      <c r="F730" s="2" t="n">
        <f aca="false">'Raw Data'!U730</f>
        <v>4</v>
      </c>
      <c r="G730" s="2" t="n">
        <f aca="false">'Raw Data'!W730</f>
        <v>4</v>
      </c>
      <c r="H730" s="2" t="n">
        <f aca="false">'Raw Data'!V730</f>
        <v>1</v>
      </c>
      <c r="I730" s="2" t="n">
        <f aca="false">IF(AND(ISNUMBER(B730),B730&lt;=25),2,0)+IF(AND(ISNUMBER(E730),E730&lt;=5),2,0)+IF(AND(ISNUMBER(F730),F730&lt;=1),2,0)+IF(AND(ISNUMBER(G730),G730&lt;=2),1,0)+IF(AND(ISNUMBER(H730),H730&lt;=2),1,0)</f>
        <v>1</v>
      </c>
      <c r="J730" s="2" t="str">
        <f aca="false">IF(I730&gt;=6,"High",IF(I730&gt;=3,"Medium","Low"))</f>
        <v>Low</v>
      </c>
    </row>
    <row r="731" customFormat="false" ht="15" hidden="false" customHeight="true" outlineLevel="0" collapsed="false">
      <c r="A731" s="2" t="n">
        <f aca="false">'Raw Data'!H731</f>
        <v>730</v>
      </c>
      <c r="B731" s="2" t="n">
        <f aca="false">'Raw Data'!A731</f>
        <v>51</v>
      </c>
      <c r="C731" s="2" t="str">
        <f aca="false">'Raw Data'!D731</f>
        <v>Research &amp; Development</v>
      </c>
      <c r="D731" s="2" t="str">
        <f aca="false">'Raw Data'!K731</f>
        <v>Sales Executive</v>
      </c>
      <c r="E731" s="2" t="n">
        <f aca="false">'Raw Data'!Q731</f>
        <v>14</v>
      </c>
      <c r="F731" s="2" t="n">
        <f aca="false">'Raw Data'!U731</f>
        <v>2</v>
      </c>
      <c r="G731" s="2" t="n">
        <f aca="false">'Raw Data'!W731</f>
        <v>2</v>
      </c>
      <c r="H731" s="2" t="n">
        <f aca="false">'Raw Data'!V731</f>
        <v>2</v>
      </c>
      <c r="I731" s="2" t="n">
        <f aca="false">IF(AND(ISNUMBER(B731),B731&lt;=25),2,0)+IF(AND(ISNUMBER(E731),E731&lt;=5),2,0)+IF(AND(ISNUMBER(F731),F731&lt;=1),2,0)+IF(AND(ISNUMBER(G731),G731&lt;=2),1,0)+IF(AND(ISNUMBER(H731),H731&lt;=2),1,0)</f>
        <v>2</v>
      </c>
      <c r="J731" s="2" t="str">
        <f aca="false">IF(I731&gt;=6,"High",IF(I731&gt;=3,"Medium","Low"))</f>
        <v>Low</v>
      </c>
    </row>
    <row r="732" customFormat="false" ht="15" hidden="false" customHeight="true" outlineLevel="0" collapsed="false">
      <c r="A732" s="2" t="n">
        <f aca="false">'Raw Data'!H732</f>
        <v>731</v>
      </c>
      <c r="B732" s="2" t="n">
        <f aca="false">'Raw Data'!A732</f>
        <v>41</v>
      </c>
      <c r="C732" s="2" t="str">
        <f aca="false">'Raw Data'!D732</f>
        <v>Research &amp; Development</v>
      </c>
      <c r="D732" s="2" t="str">
        <f aca="false">'Raw Data'!K732</f>
        <v>Sales Executive</v>
      </c>
      <c r="E732" s="2" t="n">
        <f aca="false">'Raw Data'!Q732</f>
        <v>12</v>
      </c>
      <c r="F732" s="2" t="n">
        <f aca="false">'Raw Data'!U732</f>
        <v>3</v>
      </c>
      <c r="G732" s="2" t="n">
        <f aca="false">'Raw Data'!W732</f>
        <v>4</v>
      </c>
      <c r="H732" s="2" t="n">
        <f aca="false">'Raw Data'!V732</f>
        <v>4</v>
      </c>
      <c r="I732" s="2" t="n">
        <f aca="false">IF(AND(ISNUMBER(B732),B732&lt;=25),2,0)+IF(AND(ISNUMBER(E732),E732&lt;=5),2,0)+IF(AND(ISNUMBER(F732),F732&lt;=1),2,0)+IF(AND(ISNUMBER(G732),G732&lt;=2),1,0)+IF(AND(ISNUMBER(H732),H732&lt;=2),1,0)</f>
        <v>0</v>
      </c>
      <c r="J732" s="2" t="str">
        <f aca="false">IF(I732&gt;=6,"High",IF(I732&gt;=3,"Medium","Low"))</f>
        <v>Low</v>
      </c>
    </row>
    <row r="733" customFormat="false" ht="15" hidden="false" customHeight="true" outlineLevel="0" collapsed="false">
      <c r="A733" s="2" t="n">
        <f aca="false">'Raw Data'!H733</f>
        <v>732</v>
      </c>
      <c r="B733" s="2" t="n">
        <f aca="false">'Raw Data'!A733</f>
        <v>37</v>
      </c>
      <c r="C733" s="2" t="str">
        <f aca="false">'Raw Data'!D733</f>
        <v>Research &amp; Development</v>
      </c>
      <c r="D733" s="2" t="str">
        <f aca="false">'Raw Data'!K733</f>
        <v>Healthcare Representative</v>
      </c>
      <c r="E733" s="2" t="n">
        <f aca="false">'Raw Data'!Q733</f>
        <v>8</v>
      </c>
      <c r="F733" s="2" t="n">
        <f aca="false">'Raw Data'!U733</f>
        <v>3</v>
      </c>
      <c r="G733" s="2" t="n">
        <f aca="false">'Raw Data'!W733</f>
        <v>3</v>
      </c>
      <c r="H733" s="2" t="n">
        <f aca="false">'Raw Data'!V733</f>
        <v>3</v>
      </c>
      <c r="I733" s="2" t="n">
        <f aca="false">IF(AND(ISNUMBER(B733),B733&lt;=25),2,0)+IF(AND(ISNUMBER(E733),E733&lt;=5),2,0)+IF(AND(ISNUMBER(F733),F733&lt;=1),2,0)+IF(AND(ISNUMBER(G733),G733&lt;=2),1,0)+IF(AND(ISNUMBER(H733),H733&lt;=2),1,0)</f>
        <v>0</v>
      </c>
      <c r="J733" s="2" t="str">
        <f aca="false">IF(I733&gt;=6,"High",IF(I733&gt;=3,"Medium","Low"))</f>
        <v>Low</v>
      </c>
    </row>
    <row r="734" customFormat="false" ht="15" hidden="false" customHeight="true" outlineLevel="0" collapsed="false">
      <c r="A734" s="2" t="n">
        <f aca="false">'Raw Data'!H734</f>
        <v>733</v>
      </c>
      <c r="B734" s="2" t="n">
        <f aca="false">'Raw Data'!A734</f>
        <v>33</v>
      </c>
      <c r="C734" s="2" t="str">
        <f aca="false">'Raw Data'!D734</f>
        <v>Research &amp; Development</v>
      </c>
      <c r="D734" s="2" t="str">
        <f aca="false">'Raw Data'!K734</f>
        <v>Sales Executive</v>
      </c>
      <c r="E734" s="2" t="n">
        <f aca="false">'Raw Data'!Q734</f>
        <v>8</v>
      </c>
      <c r="F734" s="2" t="n">
        <f aca="false">'Raw Data'!U734</f>
        <v>2</v>
      </c>
      <c r="G734" s="2" t="n">
        <f aca="false">'Raw Data'!W734</f>
        <v>4</v>
      </c>
      <c r="H734" s="2" t="n">
        <f aca="false">'Raw Data'!V734</f>
        <v>2</v>
      </c>
      <c r="I734" s="2" t="n">
        <f aca="false">IF(AND(ISNUMBER(B734),B734&lt;=25),2,0)+IF(AND(ISNUMBER(E734),E734&lt;=5),2,0)+IF(AND(ISNUMBER(F734),F734&lt;=1),2,0)+IF(AND(ISNUMBER(G734),G734&lt;=2),1,0)+IF(AND(ISNUMBER(H734),H734&lt;=2),1,0)</f>
        <v>1</v>
      </c>
      <c r="J734" s="2" t="str">
        <f aca="false">IF(I734&gt;=6,"High",IF(I734&gt;=3,"Medium","Low"))</f>
        <v>Low</v>
      </c>
    </row>
    <row r="735" customFormat="false" ht="15" hidden="false" customHeight="true" outlineLevel="0" collapsed="false">
      <c r="A735" s="2" t="n">
        <f aca="false">'Raw Data'!H735</f>
        <v>734</v>
      </c>
      <c r="B735" s="2" t="n">
        <f aca="false">'Raw Data'!A735</f>
        <v>32</v>
      </c>
      <c r="C735" s="2" t="str">
        <f aca="false">'Raw Data'!D735</f>
        <v>Research &amp; Development</v>
      </c>
      <c r="D735" s="2" t="str">
        <f aca="false">'Raw Data'!K735</f>
        <v>Research Director</v>
      </c>
      <c r="E735" s="2" t="n">
        <f aca="false">'Raw Data'!Q735</f>
        <v>4</v>
      </c>
      <c r="F735" s="2" t="n">
        <f aca="false">'Raw Data'!U735</f>
        <v>2</v>
      </c>
      <c r="G735" s="2" t="n">
        <f aca="false">'Raw Data'!W735</f>
        <v>2</v>
      </c>
      <c r="H735" s="2" t="n">
        <f aca="false">'Raw Data'!V735</f>
        <v>3</v>
      </c>
      <c r="I735" s="2" t="n">
        <f aca="false">IF(AND(ISNUMBER(B735),B735&lt;=25),2,0)+IF(AND(ISNUMBER(E735),E735&lt;=5),2,0)+IF(AND(ISNUMBER(F735),F735&lt;=1),2,0)+IF(AND(ISNUMBER(G735),G735&lt;=2),1,0)+IF(AND(ISNUMBER(H735),H735&lt;=2),1,0)</f>
        <v>3</v>
      </c>
      <c r="J735" s="2" t="str">
        <f aca="false">IF(I735&gt;=6,"High",IF(I735&gt;=3,"Medium","Low"))</f>
        <v>Medium</v>
      </c>
    </row>
    <row r="736" customFormat="false" ht="15" hidden="false" customHeight="true" outlineLevel="0" collapsed="false">
      <c r="A736" s="2" t="n">
        <f aca="false">'Raw Data'!H736</f>
        <v>735</v>
      </c>
      <c r="B736" s="2" t="n">
        <f aca="false">'Raw Data'!A736</f>
        <v>39</v>
      </c>
      <c r="C736" s="2" t="str">
        <f aca="false">'Raw Data'!D736</f>
        <v>Research &amp; Development</v>
      </c>
      <c r="D736" s="2" t="str">
        <f aca="false">'Raw Data'!K736</f>
        <v>Sales Executive</v>
      </c>
      <c r="E736" s="2" t="n">
        <f aca="false">'Raw Data'!Q736</f>
        <v>13</v>
      </c>
      <c r="F736" s="2" t="n">
        <f aca="false">'Raw Data'!U736</f>
        <v>5</v>
      </c>
      <c r="G736" s="2" t="n">
        <f aca="false">'Raw Data'!W736</f>
        <v>3</v>
      </c>
      <c r="H736" s="2" t="n">
        <f aca="false">'Raw Data'!V736</f>
        <v>3</v>
      </c>
      <c r="I736" s="2" t="n">
        <f aca="false">IF(AND(ISNUMBER(B736),B736&lt;=25),2,0)+IF(AND(ISNUMBER(E736),E736&lt;=5),2,0)+IF(AND(ISNUMBER(F736),F736&lt;=1),2,0)+IF(AND(ISNUMBER(G736),G736&lt;=2),1,0)+IF(AND(ISNUMBER(H736),H736&lt;=2),1,0)</f>
        <v>0</v>
      </c>
      <c r="J736" s="2" t="str">
        <f aca="false">IF(I736&gt;=6,"High",IF(I736&gt;=3,"Medium","Low"))</f>
        <v>Low</v>
      </c>
    </row>
    <row r="737" customFormat="false" ht="15" hidden="false" customHeight="true" outlineLevel="0" collapsed="false">
      <c r="A737" s="2" t="n">
        <f aca="false">'Raw Data'!H737</f>
        <v>736</v>
      </c>
      <c r="B737" s="2" t="n">
        <f aca="false">'Raw Data'!A737</f>
        <v>25</v>
      </c>
      <c r="C737" s="2" t="str">
        <f aca="false">'Raw Data'!D737</f>
        <v>Research &amp; Development</v>
      </c>
      <c r="D737" s="2" t="str">
        <f aca="false">'Raw Data'!K737</f>
        <v>Sales Executive</v>
      </c>
      <c r="E737" s="2" t="n">
        <f aca="false">'Raw Data'!Q737</f>
        <v>6</v>
      </c>
      <c r="F737" s="2" t="n">
        <f aca="false">'Raw Data'!U737</f>
        <v>2</v>
      </c>
      <c r="G737" s="2" t="n">
        <f aca="false">'Raw Data'!W737</f>
        <v>3</v>
      </c>
      <c r="H737" s="2" t="n">
        <f aca="false">'Raw Data'!V737</f>
        <v>1</v>
      </c>
      <c r="I737" s="2" t="n">
        <f aca="false">IF(AND(ISNUMBER(B737),B737&lt;=25),2,0)+IF(AND(ISNUMBER(E737),E737&lt;=5),2,0)+IF(AND(ISNUMBER(F737),F737&lt;=1),2,0)+IF(AND(ISNUMBER(G737),G737&lt;=2),1,0)+IF(AND(ISNUMBER(H737),H737&lt;=2),1,0)</f>
        <v>3</v>
      </c>
      <c r="J737" s="2" t="str">
        <f aca="false">IF(I737&gt;=6,"High",IF(I737&gt;=3,"Medium","Low"))</f>
        <v>Medium</v>
      </c>
    </row>
    <row r="738" customFormat="false" ht="15" hidden="false" customHeight="true" outlineLevel="0" collapsed="false">
      <c r="A738" s="2" t="n">
        <f aca="false">'Raw Data'!H738</f>
        <v>737</v>
      </c>
      <c r="B738" s="2" t="n">
        <f aca="false">'Raw Data'!A738</f>
        <v>52</v>
      </c>
      <c r="C738" s="2" t="str">
        <f aca="false">'Raw Data'!D738</f>
        <v>Research &amp; Development</v>
      </c>
      <c r="D738" s="2" t="str">
        <f aca="false">'Raw Data'!K738</f>
        <v>Sales Executive</v>
      </c>
      <c r="E738" s="2" t="n">
        <f aca="false">'Raw Data'!Q738</f>
        <v>24</v>
      </c>
      <c r="F738" s="2" t="n">
        <f aca="false">'Raw Data'!U738</f>
        <v>2</v>
      </c>
      <c r="G738" s="2" t="n">
        <f aca="false">'Raw Data'!W738</f>
        <v>3</v>
      </c>
      <c r="H738" s="2" t="n">
        <f aca="false">'Raw Data'!V738</f>
        <v>4</v>
      </c>
      <c r="I738" s="2" t="n">
        <f aca="false">IF(AND(ISNUMBER(B738),B738&lt;=25),2,0)+IF(AND(ISNUMBER(E738),E738&lt;=5),2,0)+IF(AND(ISNUMBER(F738),F738&lt;=1),2,0)+IF(AND(ISNUMBER(G738),G738&lt;=2),1,0)+IF(AND(ISNUMBER(H738),H738&lt;=2),1,0)</f>
        <v>0</v>
      </c>
      <c r="J738" s="2" t="str">
        <f aca="false">IF(I738&gt;=6,"High",IF(I738&gt;=3,"Medium","Low"))</f>
        <v>Low</v>
      </c>
    </row>
    <row r="739" customFormat="false" ht="15" hidden="false" customHeight="true" outlineLevel="0" collapsed="false">
      <c r="A739" s="2" t="n">
        <f aca="false">'Raw Data'!H739</f>
        <v>738</v>
      </c>
      <c r="B739" s="2" t="n">
        <f aca="false">'Raw Data'!A739</f>
        <v>43</v>
      </c>
      <c r="C739" s="2" t="str">
        <f aca="false">'Raw Data'!D739</f>
        <v>Research &amp; Development</v>
      </c>
      <c r="D739" s="2" t="str">
        <f aca="false">'Raw Data'!K739</f>
        <v>Laboratory Technician</v>
      </c>
      <c r="E739" s="2" t="n">
        <f aca="false">'Raw Data'!Q739</f>
        <v>20</v>
      </c>
      <c r="F739" s="2" t="n">
        <f aca="false">'Raw Data'!U739</f>
        <v>8</v>
      </c>
      <c r="G739" s="2" t="n">
        <f aca="false">'Raw Data'!W739</f>
        <v>3</v>
      </c>
      <c r="H739" s="2" t="n">
        <f aca="false">'Raw Data'!V739</f>
        <v>1</v>
      </c>
      <c r="I739" s="2" t="n">
        <f aca="false">IF(AND(ISNUMBER(B739),B739&lt;=25),2,0)+IF(AND(ISNUMBER(E739),E739&lt;=5),2,0)+IF(AND(ISNUMBER(F739),F739&lt;=1),2,0)+IF(AND(ISNUMBER(G739),G739&lt;=2),1,0)+IF(AND(ISNUMBER(H739),H739&lt;=2),1,0)</f>
        <v>1</v>
      </c>
      <c r="J739" s="2" t="str">
        <f aca="false">IF(I739&gt;=6,"High",IF(I739&gt;=3,"Medium","Low"))</f>
        <v>Low</v>
      </c>
    </row>
    <row r="740" customFormat="false" ht="15" hidden="false" customHeight="true" outlineLevel="0" collapsed="false">
      <c r="A740" s="2" t="n">
        <f aca="false">'Raw Data'!H740</f>
        <v>739</v>
      </c>
      <c r="B740" s="2" t="n">
        <f aca="false">'Raw Data'!A740</f>
        <v>27</v>
      </c>
      <c r="C740" s="2" t="str">
        <f aca="false">'Raw Data'!D740</f>
        <v>Research &amp; Development</v>
      </c>
      <c r="D740" s="2" t="str">
        <f aca="false">'Raw Data'!K740</f>
        <v>Human Resources</v>
      </c>
      <c r="E740" s="2" t="n">
        <f aca="false">'Raw Data'!Q740</f>
        <v>6</v>
      </c>
      <c r="F740" s="2" t="n">
        <f aca="false">'Raw Data'!U740</f>
        <v>4</v>
      </c>
      <c r="G740" s="2" t="n">
        <f aca="false">'Raw Data'!W740</f>
        <v>4</v>
      </c>
      <c r="H740" s="2" t="n">
        <f aca="false">'Raw Data'!V740</f>
        <v>4</v>
      </c>
      <c r="I740" s="2" t="n">
        <f aca="false">IF(AND(ISNUMBER(B740),B740&lt;=25),2,0)+IF(AND(ISNUMBER(E740),E740&lt;=5),2,0)+IF(AND(ISNUMBER(F740),F740&lt;=1),2,0)+IF(AND(ISNUMBER(G740),G740&lt;=2),1,0)+IF(AND(ISNUMBER(H740),H740&lt;=2),1,0)</f>
        <v>0</v>
      </c>
      <c r="J740" s="2" t="str">
        <f aca="false">IF(I740&gt;=6,"High",IF(I740&gt;=3,"Medium","Low"))</f>
        <v>Low</v>
      </c>
    </row>
    <row r="741" customFormat="false" ht="15" hidden="false" customHeight="true" outlineLevel="0" collapsed="false">
      <c r="A741" s="2" t="n">
        <f aca="false">'Raw Data'!H741</f>
        <v>740</v>
      </c>
      <c r="B741" s="2" t="n">
        <f aca="false">'Raw Data'!A741</f>
        <v>27</v>
      </c>
      <c r="C741" s="2" t="str">
        <f aca="false">'Raw Data'!D741</f>
        <v>Research &amp; Development</v>
      </c>
      <c r="D741" s="2" t="str">
        <f aca="false">'Raw Data'!K741</f>
        <v>Research Scientist</v>
      </c>
      <c r="E741" s="2" t="n">
        <f aca="false">'Raw Data'!Q741</f>
        <v>8</v>
      </c>
      <c r="F741" s="2" t="n">
        <f aca="false">'Raw Data'!U741</f>
        <v>7</v>
      </c>
      <c r="G741" s="2" t="n">
        <f aca="false">'Raw Data'!W741</f>
        <v>3</v>
      </c>
      <c r="H741" s="2" t="n">
        <f aca="false">'Raw Data'!V741</f>
        <v>4</v>
      </c>
      <c r="I741" s="2" t="n">
        <f aca="false">IF(AND(ISNUMBER(B741),B741&lt;=25),2,0)+IF(AND(ISNUMBER(E741),E741&lt;=5),2,0)+IF(AND(ISNUMBER(F741),F741&lt;=1),2,0)+IF(AND(ISNUMBER(G741),G741&lt;=2),1,0)+IF(AND(ISNUMBER(H741),H741&lt;=2),1,0)</f>
        <v>0</v>
      </c>
      <c r="J741" s="2" t="str">
        <f aca="false">IF(I741&gt;=6,"High",IF(I741&gt;=3,"Medium","Low"))</f>
        <v>Low</v>
      </c>
    </row>
    <row r="742" customFormat="false" ht="15" hidden="false" customHeight="true" outlineLevel="0" collapsed="false">
      <c r="A742" s="2" t="n">
        <f aca="false">'Raw Data'!H742</f>
        <v>741</v>
      </c>
      <c r="B742" s="2" t="n">
        <f aca="false">'Raw Data'!A742</f>
        <v>26</v>
      </c>
      <c r="C742" s="2" t="str">
        <f aca="false">'Raw Data'!D742</f>
        <v>Research &amp; Development</v>
      </c>
      <c r="D742" s="2" t="str">
        <f aca="false">'Raw Data'!K742</f>
        <v>Laboratory Technician</v>
      </c>
      <c r="E742" s="2" t="n">
        <f aca="false">'Raw Data'!Q742</f>
        <v>5</v>
      </c>
      <c r="F742" s="2" t="n">
        <f aca="false">'Raw Data'!U742</f>
        <v>1</v>
      </c>
      <c r="G742" s="2" t="n">
        <f aca="false">'Raw Data'!W742</f>
        <v>4</v>
      </c>
      <c r="H742" s="2" t="n">
        <f aca="false">'Raw Data'!V742</f>
        <v>1</v>
      </c>
      <c r="I742" s="2" t="n">
        <f aca="false">IF(AND(ISNUMBER(B742),B742&lt;=25),2,0)+IF(AND(ISNUMBER(E742),E742&lt;=5),2,0)+IF(AND(ISNUMBER(F742),F742&lt;=1),2,0)+IF(AND(ISNUMBER(G742),G742&lt;=2),1,0)+IF(AND(ISNUMBER(H742),H742&lt;=2),1,0)</f>
        <v>5</v>
      </c>
      <c r="J742" s="2" t="str">
        <f aca="false">IF(I742&gt;=6,"High",IF(I742&gt;=3,"Medium","Low"))</f>
        <v>Medium</v>
      </c>
    </row>
    <row r="743" customFormat="false" ht="15" hidden="false" customHeight="true" outlineLevel="0" collapsed="false">
      <c r="A743" s="2" t="n">
        <f aca="false">'Raw Data'!H743</f>
        <v>742</v>
      </c>
      <c r="B743" s="2" t="n">
        <f aca="false">'Raw Data'!A743</f>
        <v>42</v>
      </c>
      <c r="C743" s="2" t="str">
        <f aca="false">'Raw Data'!D743</f>
        <v>Sales</v>
      </c>
      <c r="D743" s="2" t="str">
        <f aca="false">'Raw Data'!K743</f>
        <v>Research Scientist</v>
      </c>
      <c r="E743" s="2" t="n">
        <f aca="false">'Raw Data'!Q743</f>
        <v>21</v>
      </c>
      <c r="F743" s="2" t="n">
        <f aca="false">'Raw Data'!U743</f>
        <v>9</v>
      </c>
      <c r="G743" s="2" t="n">
        <f aca="false">'Raw Data'!W743</f>
        <v>1</v>
      </c>
      <c r="H743" s="2" t="n">
        <f aca="false">'Raw Data'!V743</f>
        <v>3</v>
      </c>
      <c r="I743" s="2" t="n">
        <f aca="false">IF(AND(ISNUMBER(B743),B743&lt;=25),2,0)+IF(AND(ISNUMBER(E743),E743&lt;=5),2,0)+IF(AND(ISNUMBER(F743),F743&lt;=1),2,0)+IF(AND(ISNUMBER(G743),G743&lt;=2),1,0)+IF(AND(ISNUMBER(H743),H743&lt;=2),1,0)</f>
        <v>1</v>
      </c>
      <c r="J743" s="2" t="str">
        <f aca="false">IF(I743&gt;=6,"High",IF(I743&gt;=3,"Medium","Low"))</f>
        <v>Low</v>
      </c>
    </row>
    <row r="744" customFormat="false" ht="15" hidden="false" customHeight="true" outlineLevel="0" collapsed="false">
      <c r="A744" s="2" t="n">
        <f aca="false">'Raw Data'!H744</f>
        <v>743</v>
      </c>
      <c r="B744" s="2" t="n">
        <f aca="false">'Raw Data'!A744</f>
        <v>52</v>
      </c>
      <c r="C744" s="2" t="str">
        <f aca="false">'Raw Data'!D744</f>
        <v>Research &amp; Development</v>
      </c>
      <c r="D744" s="2" t="str">
        <f aca="false">'Raw Data'!K744</f>
        <v>Healthcare Representative</v>
      </c>
      <c r="E744" s="2" t="n">
        <f aca="false">'Raw Data'!Q744</f>
        <v>12</v>
      </c>
      <c r="F744" s="2" t="n">
        <f aca="false">'Raw Data'!U744</f>
        <v>4</v>
      </c>
      <c r="G744" s="2" t="n">
        <f aca="false">'Raw Data'!W744</f>
        <v>1</v>
      </c>
      <c r="H744" s="2" t="n">
        <f aca="false">'Raw Data'!V744</f>
        <v>3</v>
      </c>
      <c r="I744" s="2" t="n">
        <f aca="false">IF(AND(ISNUMBER(B744),B744&lt;=25),2,0)+IF(AND(ISNUMBER(E744),E744&lt;=5),2,0)+IF(AND(ISNUMBER(F744),F744&lt;=1),2,0)+IF(AND(ISNUMBER(G744),G744&lt;=2),1,0)+IF(AND(ISNUMBER(H744),H744&lt;=2),1,0)</f>
        <v>1</v>
      </c>
      <c r="J744" s="2" t="str">
        <f aca="false">IF(I744&gt;=6,"High",IF(I744&gt;=3,"Medium","Low"))</f>
        <v>Low</v>
      </c>
    </row>
    <row r="745" customFormat="false" ht="15" hidden="false" customHeight="true" outlineLevel="0" collapsed="false">
      <c r="A745" s="2" t="n">
        <f aca="false">'Raw Data'!H745</f>
        <v>744</v>
      </c>
      <c r="B745" s="2" t="n">
        <f aca="false">'Raw Data'!A745</f>
        <v>37</v>
      </c>
      <c r="C745" s="2" t="str">
        <f aca="false">'Raw Data'!D745</f>
        <v>Research &amp; Development</v>
      </c>
      <c r="D745" s="2" t="str">
        <f aca="false">'Raw Data'!K745</f>
        <v>Manager</v>
      </c>
      <c r="E745" s="2" t="n">
        <f aca="false">'Raw Data'!Q745</f>
        <v>8</v>
      </c>
      <c r="F745" s="2" t="n">
        <f aca="false">'Raw Data'!U745</f>
        <v>2</v>
      </c>
      <c r="G745" s="2" t="n">
        <f aca="false">'Raw Data'!W745</f>
        <v>3</v>
      </c>
      <c r="H745" s="2" t="n">
        <f aca="false">'Raw Data'!V745</f>
        <v>1</v>
      </c>
      <c r="I745" s="2" t="n">
        <f aca="false">IF(AND(ISNUMBER(B745),B745&lt;=25),2,0)+IF(AND(ISNUMBER(E745),E745&lt;=5),2,0)+IF(AND(ISNUMBER(F745),F745&lt;=1),2,0)+IF(AND(ISNUMBER(G745),G745&lt;=2),1,0)+IF(AND(ISNUMBER(H745),H745&lt;=2),1,0)</f>
        <v>1</v>
      </c>
      <c r="J745" s="2" t="str">
        <f aca="false">IF(I745&gt;=6,"High",IF(I745&gt;=3,"Medium","Low"))</f>
        <v>Low</v>
      </c>
    </row>
    <row r="746" customFormat="false" ht="15" hidden="false" customHeight="true" outlineLevel="0" collapsed="false">
      <c r="A746" s="2" t="n">
        <f aca="false">'Raw Data'!H746</f>
        <v>745</v>
      </c>
      <c r="B746" s="2" t="n">
        <f aca="false">'Raw Data'!A746</f>
        <v>35</v>
      </c>
      <c r="C746" s="2" t="str">
        <f aca="false">'Raw Data'!D746</f>
        <v>Research &amp; Development</v>
      </c>
      <c r="D746" s="2" t="str">
        <f aca="false">'Raw Data'!K746</f>
        <v>Research Director</v>
      </c>
      <c r="E746" s="2" t="n">
        <f aca="false">'Raw Data'!Q746</f>
        <v>10</v>
      </c>
      <c r="F746" s="2" t="n">
        <f aca="false">'Raw Data'!U746</f>
        <v>2</v>
      </c>
      <c r="G746" s="2" t="n">
        <f aca="false">'Raw Data'!W746</f>
        <v>4</v>
      </c>
      <c r="H746" s="2" t="n">
        <f aca="false">'Raw Data'!V746</f>
        <v>3</v>
      </c>
      <c r="I746" s="2" t="n">
        <f aca="false">IF(AND(ISNUMBER(B746),B746&lt;=25),2,0)+IF(AND(ISNUMBER(E746),E746&lt;=5),2,0)+IF(AND(ISNUMBER(F746),F746&lt;=1),2,0)+IF(AND(ISNUMBER(G746),G746&lt;=2),1,0)+IF(AND(ISNUMBER(H746),H746&lt;=2),1,0)</f>
        <v>0</v>
      </c>
      <c r="J746" s="2" t="str">
        <f aca="false">IF(I746&gt;=6,"High",IF(I746&gt;=3,"Medium","Low"))</f>
        <v>Low</v>
      </c>
    </row>
    <row r="747" customFormat="false" ht="15" hidden="false" customHeight="true" outlineLevel="0" collapsed="false">
      <c r="A747" s="2" t="n">
        <f aca="false">'Raw Data'!H747</f>
        <v>746</v>
      </c>
      <c r="B747" s="2" t="n">
        <f aca="false">'Raw Data'!A747</f>
        <v>25</v>
      </c>
      <c r="C747" s="2" t="str">
        <f aca="false">'Raw Data'!D747</f>
        <v>Research &amp; Development</v>
      </c>
      <c r="D747" s="2" t="str">
        <f aca="false">'Raw Data'!K747</f>
        <v>Sales Executive</v>
      </c>
      <c r="E747" s="2" t="n">
        <f aca="false">'Raw Data'!Q747</f>
        <v>7</v>
      </c>
      <c r="F747" s="2" t="n">
        <f aca="false">'Raw Data'!U747</f>
        <v>2</v>
      </c>
      <c r="G747" s="2" t="n">
        <f aca="false">'Raw Data'!W747</f>
        <v>4</v>
      </c>
      <c r="H747" s="2" t="n">
        <f aca="false">'Raw Data'!V747</f>
        <v>1</v>
      </c>
      <c r="I747" s="2" t="n">
        <f aca="false">IF(AND(ISNUMBER(B747),B747&lt;=25),2,0)+IF(AND(ISNUMBER(E747),E747&lt;=5),2,0)+IF(AND(ISNUMBER(F747),F747&lt;=1),2,0)+IF(AND(ISNUMBER(G747),G747&lt;=2),1,0)+IF(AND(ISNUMBER(H747),H747&lt;=2),1,0)</f>
        <v>3</v>
      </c>
      <c r="J747" s="2" t="str">
        <f aca="false">IF(I747&gt;=6,"High",IF(I747&gt;=3,"Medium","Low"))</f>
        <v>Medium</v>
      </c>
    </row>
    <row r="748" customFormat="false" ht="15" hidden="false" customHeight="true" outlineLevel="0" collapsed="false">
      <c r="A748" s="2" t="n">
        <f aca="false">'Raw Data'!H748</f>
        <v>747</v>
      </c>
      <c r="B748" s="2" t="n">
        <f aca="false">'Raw Data'!A748</f>
        <v>26</v>
      </c>
      <c r="C748" s="2" t="str">
        <f aca="false">'Raw Data'!D748</f>
        <v>Research &amp; Development</v>
      </c>
      <c r="D748" s="2" t="str">
        <f aca="false">'Raw Data'!K748</f>
        <v>Research Scientist</v>
      </c>
      <c r="E748" s="2" t="n">
        <f aca="false">'Raw Data'!Q748</f>
        <v>8</v>
      </c>
      <c r="F748" s="2" t="n">
        <f aca="false">'Raw Data'!U748</f>
        <v>7</v>
      </c>
      <c r="G748" s="2" t="n">
        <f aca="false">'Raw Data'!W748</f>
        <v>1</v>
      </c>
      <c r="H748" s="2" t="n">
        <f aca="false">'Raw Data'!V748</f>
        <v>3</v>
      </c>
      <c r="I748" s="2" t="n">
        <f aca="false">IF(AND(ISNUMBER(B748),B748&lt;=25),2,0)+IF(AND(ISNUMBER(E748),E748&lt;=5),2,0)+IF(AND(ISNUMBER(F748),F748&lt;=1),2,0)+IF(AND(ISNUMBER(G748),G748&lt;=2),1,0)+IF(AND(ISNUMBER(H748),H748&lt;=2),1,0)</f>
        <v>1</v>
      </c>
      <c r="J748" s="2" t="str">
        <f aca="false">IF(I748&gt;=6,"High",IF(I748&gt;=3,"Medium","Low"))</f>
        <v>Low</v>
      </c>
    </row>
    <row r="749" customFormat="false" ht="15" hidden="false" customHeight="true" outlineLevel="0" collapsed="false">
      <c r="A749" s="2" t="n">
        <f aca="false">'Raw Data'!H749</f>
        <v>748</v>
      </c>
      <c r="B749" s="2" t="n">
        <f aca="false">'Raw Data'!A749</f>
        <v>29</v>
      </c>
      <c r="C749" s="2" t="str">
        <f aca="false">'Raw Data'!D749</f>
        <v>Sales</v>
      </c>
      <c r="D749" s="2" t="str">
        <f aca="false">'Raw Data'!K749</f>
        <v>Laboratory Technician</v>
      </c>
      <c r="E749" s="2" t="n">
        <f aca="false">'Raw Data'!Q749</f>
        <v>10</v>
      </c>
      <c r="F749" s="2" t="n">
        <f aca="false">'Raw Data'!U749</f>
        <v>9</v>
      </c>
      <c r="G749" s="2" t="n">
        <f aca="false">'Raw Data'!W749</f>
        <v>1</v>
      </c>
      <c r="H749" s="2" t="n">
        <f aca="false">'Raw Data'!V749</f>
        <v>2</v>
      </c>
      <c r="I749" s="2" t="n">
        <f aca="false">IF(AND(ISNUMBER(B749),B749&lt;=25),2,0)+IF(AND(ISNUMBER(E749),E749&lt;=5),2,0)+IF(AND(ISNUMBER(F749),F749&lt;=1),2,0)+IF(AND(ISNUMBER(G749),G749&lt;=2),1,0)+IF(AND(ISNUMBER(H749),H749&lt;=2),1,0)</f>
        <v>2</v>
      </c>
      <c r="J749" s="2" t="str">
        <f aca="false">IF(I749&gt;=6,"High",IF(I749&gt;=3,"Medium","Low"))</f>
        <v>Low</v>
      </c>
    </row>
    <row r="750" customFormat="false" ht="15" hidden="false" customHeight="true" outlineLevel="0" collapsed="false">
      <c r="A750" s="2" t="n">
        <f aca="false">'Raw Data'!H750</f>
        <v>749</v>
      </c>
      <c r="B750" s="2" t="n">
        <f aca="false">'Raw Data'!A750</f>
        <v>49</v>
      </c>
      <c r="C750" s="2" t="str">
        <f aca="false">'Raw Data'!D750</f>
        <v>Sales</v>
      </c>
      <c r="D750" s="2" t="str">
        <f aca="false">'Raw Data'!K750</f>
        <v>Healthcare Representative</v>
      </c>
      <c r="E750" s="2" t="n">
        <f aca="false">'Raw Data'!Q750</f>
        <v>20</v>
      </c>
      <c r="F750" s="2" t="n">
        <f aca="false">'Raw Data'!U750</f>
        <v>3</v>
      </c>
      <c r="G750" s="2" t="n">
        <f aca="false">'Raw Data'!W750</f>
        <v>1</v>
      </c>
      <c r="H750" s="2" t="n">
        <f aca="false">'Raw Data'!V750</f>
        <v>1</v>
      </c>
      <c r="I750" s="2" t="n">
        <f aca="false">IF(AND(ISNUMBER(B750),B750&lt;=25),2,0)+IF(AND(ISNUMBER(E750),E750&lt;=5),2,0)+IF(AND(ISNUMBER(F750),F750&lt;=1),2,0)+IF(AND(ISNUMBER(G750),G750&lt;=2),1,0)+IF(AND(ISNUMBER(H750),H750&lt;=2),1,0)</f>
        <v>2</v>
      </c>
      <c r="J750" s="2" t="str">
        <f aca="false">IF(I750&gt;=6,"High",IF(I750&gt;=3,"Medium","Low"))</f>
        <v>Low</v>
      </c>
    </row>
    <row r="751" customFormat="false" ht="15" hidden="false" customHeight="true" outlineLevel="0" collapsed="false">
      <c r="A751" s="2" t="n">
        <f aca="false">'Raw Data'!H751</f>
        <v>750</v>
      </c>
      <c r="B751" s="2" t="n">
        <f aca="false">'Raw Data'!A751</f>
        <v>29</v>
      </c>
      <c r="C751" s="2" t="str">
        <f aca="false">'Raw Data'!D751</f>
        <v>Sales</v>
      </c>
      <c r="D751" s="2" t="str">
        <f aca="false">'Raw Data'!K751</f>
        <v>Laboratory Technician</v>
      </c>
      <c r="E751" s="2" t="n">
        <f aca="false">'Raw Data'!Q751</f>
        <v>9</v>
      </c>
      <c r="F751" s="2" t="n">
        <f aca="false">'Raw Data'!U751</f>
        <v>7</v>
      </c>
      <c r="G751" s="2" t="n">
        <f aca="false">'Raw Data'!W751</f>
        <v>4</v>
      </c>
      <c r="H751" s="2" t="n">
        <f aca="false">'Raw Data'!V751</f>
        <v>3</v>
      </c>
      <c r="I751" s="2" t="n">
        <f aca="false">IF(AND(ISNUMBER(B751),B751&lt;=25),2,0)+IF(AND(ISNUMBER(E751),E751&lt;=5),2,0)+IF(AND(ISNUMBER(F751),F751&lt;=1),2,0)+IF(AND(ISNUMBER(G751),G751&lt;=2),1,0)+IF(AND(ISNUMBER(H751),H751&lt;=2),1,0)</f>
        <v>0</v>
      </c>
      <c r="J751" s="2" t="str">
        <f aca="false">IF(I751&gt;=6,"High",IF(I751&gt;=3,"Medium","Low"))</f>
        <v>Low</v>
      </c>
    </row>
    <row r="752" customFormat="false" ht="15" hidden="false" customHeight="true" outlineLevel="0" collapsed="false">
      <c r="A752" s="2" t="n">
        <f aca="false">'Raw Data'!H752</f>
        <v>751</v>
      </c>
      <c r="B752" s="2" t="n">
        <f aca="false">'Raw Data'!A752</f>
        <v>54</v>
      </c>
      <c r="C752" s="2" t="str">
        <f aca="false">'Raw Data'!D752</f>
        <v>Sales</v>
      </c>
      <c r="D752" s="2" t="str">
        <f aca="false">'Raw Data'!K752</f>
        <v>Manager</v>
      </c>
      <c r="E752" s="2" t="n">
        <f aca="false">'Raw Data'!Q752</f>
        <v>29</v>
      </c>
      <c r="F752" s="2" t="n">
        <f aca="false">'Raw Data'!U752</f>
        <v>7</v>
      </c>
      <c r="G752" s="2" t="n">
        <f aca="false">'Raw Data'!W752</f>
        <v>4</v>
      </c>
      <c r="H752" s="2" t="n">
        <f aca="false">'Raw Data'!V752</f>
        <v>4</v>
      </c>
      <c r="I752" s="2" t="n">
        <f aca="false">IF(AND(ISNUMBER(B752),B752&lt;=25),2,0)+IF(AND(ISNUMBER(E752),E752&lt;=5),2,0)+IF(AND(ISNUMBER(F752),F752&lt;=1),2,0)+IF(AND(ISNUMBER(G752),G752&lt;=2),1,0)+IF(AND(ISNUMBER(H752),H752&lt;=2),1,0)</f>
        <v>0</v>
      </c>
      <c r="J752" s="2" t="str">
        <f aca="false">IF(I752&gt;=6,"High",IF(I752&gt;=3,"Medium","Low"))</f>
        <v>Low</v>
      </c>
    </row>
    <row r="753" customFormat="false" ht="15" hidden="false" customHeight="true" outlineLevel="0" collapsed="false">
      <c r="A753" s="2" t="n">
        <f aca="false">'Raw Data'!H753</f>
        <v>752</v>
      </c>
      <c r="B753" s="2" t="n">
        <f aca="false">'Raw Data'!A753</f>
        <v>58</v>
      </c>
      <c r="C753" s="2" t="str">
        <f aca="false">'Raw Data'!D753</f>
        <v>Sales</v>
      </c>
      <c r="D753" s="2" t="str">
        <f aca="false">'Raw Data'!K753</f>
        <v>Laboratory Technician</v>
      </c>
      <c r="E753" s="2" t="n">
        <f aca="false">'Raw Data'!Q753</f>
        <v>32</v>
      </c>
      <c r="F753" s="2" t="n">
        <f aca="false">'Raw Data'!U753</f>
        <v>5</v>
      </c>
      <c r="G753" s="2" t="n">
        <f aca="false">'Raw Data'!W753</f>
        <v>1</v>
      </c>
      <c r="H753" s="2" t="n">
        <f aca="false">'Raw Data'!V753</f>
        <v>4</v>
      </c>
      <c r="I753" s="2" t="n">
        <f aca="false">IF(AND(ISNUMBER(B753),B753&lt;=25),2,0)+IF(AND(ISNUMBER(E753),E753&lt;=5),2,0)+IF(AND(ISNUMBER(F753),F753&lt;=1),2,0)+IF(AND(ISNUMBER(G753),G753&lt;=2),1,0)+IF(AND(ISNUMBER(H753),H753&lt;=2),1,0)</f>
        <v>1</v>
      </c>
      <c r="J753" s="2" t="str">
        <f aca="false">IF(I753&gt;=6,"High",IF(I753&gt;=3,"Medium","Low"))</f>
        <v>Low</v>
      </c>
    </row>
    <row r="754" customFormat="false" ht="15" hidden="false" customHeight="true" outlineLevel="0" collapsed="false">
      <c r="A754" s="2" t="n">
        <f aca="false">'Raw Data'!H754</f>
        <v>753</v>
      </c>
      <c r="B754" s="2" t="n">
        <f aca="false">'Raw Data'!A754</f>
        <v>55</v>
      </c>
      <c r="C754" s="2" t="str">
        <f aca="false">'Raw Data'!D754</f>
        <v>Research &amp; Development</v>
      </c>
      <c r="D754" s="2" t="str">
        <f aca="false">'Raw Data'!K754</f>
        <v>Research Scientist</v>
      </c>
      <c r="E754" s="2" t="n">
        <f aca="false">'Raw Data'!Q754</f>
        <v>31</v>
      </c>
      <c r="F754" s="2" t="n">
        <f aca="false">'Raw Data'!U754</f>
        <v>0</v>
      </c>
      <c r="G754" s="2" t="n">
        <f aca="false">'Raw Data'!W754</f>
        <v>4</v>
      </c>
      <c r="H754" s="2" t="n">
        <f aca="false">'Raw Data'!V754</f>
        <v>2</v>
      </c>
      <c r="I754" s="2" t="n">
        <f aca="false">IF(AND(ISNUMBER(B754),B754&lt;=25),2,0)+IF(AND(ISNUMBER(E754),E754&lt;=5),2,0)+IF(AND(ISNUMBER(F754),F754&lt;=1),2,0)+IF(AND(ISNUMBER(G754),G754&lt;=2),1,0)+IF(AND(ISNUMBER(H754),H754&lt;=2),1,0)</f>
        <v>3</v>
      </c>
      <c r="J754" s="2" t="str">
        <f aca="false">IF(I754&gt;=6,"High",IF(I754&gt;=3,"Medium","Low"))</f>
        <v>Medium</v>
      </c>
    </row>
    <row r="755" customFormat="false" ht="15" hidden="false" customHeight="true" outlineLevel="0" collapsed="false">
      <c r="A755" s="2" t="n">
        <f aca="false">'Raw Data'!H755</f>
        <v>754</v>
      </c>
      <c r="B755" s="2" t="n">
        <f aca="false">'Raw Data'!A755</f>
        <v>36</v>
      </c>
      <c r="C755" s="2" t="str">
        <f aca="false">'Raw Data'!D755</f>
        <v>Research &amp; Development</v>
      </c>
      <c r="D755" s="2" t="str">
        <f aca="false">'Raw Data'!K755</f>
        <v>Sales Executive</v>
      </c>
      <c r="E755" s="2" t="n">
        <f aca="false">'Raw Data'!Q755</f>
        <v>15</v>
      </c>
      <c r="F755" s="2" t="n">
        <f aca="false">'Raw Data'!U755</f>
        <v>1</v>
      </c>
      <c r="G755" s="2" t="n">
        <f aca="false">'Raw Data'!W755</f>
        <v>2</v>
      </c>
      <c r="H755" s="2" t="n">
        <f aca="false">'Raw Data'!V755</f>
        <v>1</v>
      </c>
      <c r="I755" s="2" t="n">
        <f aca="false">IF(AND(ISNUMBER(B755),B755&lt;=25),2,0)+IF(AND(ISNUMBER(E755),E755&lt;=5),2,0)+IF(AND(ISNUMBER(F755),F755&lt;=1),2,0)+IF(AND(ISNUMBER(G755),G755&lt;=2),1,0)+IF(AND(ISNUMBER(H755),H755&lt;=2),1,0)</f>
        <v>4</v>
      </c>
      <c r="J755" s="2" t="str">
        <f aca="false">IF(I755&gt;=6,"High",IF(I755&gt;=3,"Medium","Low"))</f>
        <v>Medium</v>
      </c>
    </row>
    <row r="756" customFormat="false" ht="15" hidden="false" customHeight="true" outlineLevel="0" collapsed="false">
      <c r="A756" s="2" t="n">
        <f aca="false">'Raw Data'!H756</f>
        <v>755</v>
      </c>
      <c r="B756" s="2" t="n">
        <f aca="false">'Raw Data'!A756</f>
        <v>31</v>
      </c>
      <c r="C756" s="2" t="str">
        <f aca="false">'Raw Data'!D756</f>
        <v>Sales</v>
      </c>
      <c r="D756" s="2" t="str">
        <f aca="false">'Raw Data'!K756</f>
        <v>Manager</v>
      </c>
      <c r="E756" s="2" t="n">
        <f aca="false">'Raw Data'!Q756</f>
        <v>1</v>
      </c>
      <c r="F756" s="2" t="n">
        <f aca="false">'Raw Data'!U756</f>
        <v>0</v>
      </c>
      <c r="G756" s="2" t="n">
        <f aca="false">'Raw Data'!W756</f>
        <v>3</v>
      </c>
      <c r="H756" s="2" t="n">
        <f aca="false">'Raw Data'!V756</f>
        <v>2</v>
      </c>
      <c r="I756" s="2" t="n">
        <f aca="false">IF(AND(ISNUMBER(B756),B756&lt;=25),2,0)+IF(AND(ISNUMBER(E756),E756&lt;=5),2,0)+IF(AND(ISNUMBER(F756),F756&lt;=1),2,0)+IF(AND(ISNUMBER(G756),G756&lt;=2),1,0)+IF(AND(ISNUMBER(H756),H756&lt;=2),1,0)</f>
        <v>5</v>
      </c>
      <c r="J756" s="2" t="str">
        <f aca="false">IF(I756&gt;=6,"High",IF(I756&gt;=3,"Medium","Low"))</f>
        <v>Medium</v>
      </c>
    </row>
    <row r="757" customFormat="false" ht="15" hidden="false" customHeight="true" outlineLevel="0" collapsed="false">
      <c r="A757" s="2" t="n">
        <f aca="false">'Raw Data'!H757</f>
        <v>756</v>
      </c>
      <c r="B757" s="2" t="n">
        <f aca="false">'Raw Data'!A757</f>
        <v>30</v>
      </c>
      <c r="C757" s="2" t="str">
        <f aca="false">'Raw Data'!D757</f>
        <v>Sales</v>
      </c>
      <c r="D757" s="2" t="str">
        <f aca="false">'Raw Data'!K757</f>
        <v>Sales Executive</v>
      </c>
      <c r="E757" s="2" t="n">
        <f aca="false">'Raw Data'!Q757</f>
        <v>8</v>
      </c>
      <c r="F757" s="2" t="n">
        <f aca="false">'Raw Data'!U757</f>
        <v>2</v>
      </c>
      <c r="G757" s="2" t="n">
        <f aca="false">'Raw Data'!W757</f>
        <v>1</v>
      </c>
      <c r="H757" s="2" t="n">
        <f aca="false">'Raw Data'!V757</f>
        <v>4</v>
      </c>
      <c r="I757" s="2" t="n">
        <f aca="false">IF(AND(ISNUMBER(B757),B757&lt;=25),2,0)+IF(AND(ISNUMBER(E757),E757&lt;=5),2,0)+IF(AND(ISNUMBER(F757),F757&lt;=1),2,0)+IF(AND(ISNUMBER(G757),G757&lt;=2),1,0)+IF(AND(ISNUMBER(H757),H757&lt;=2),1,0)</f>
        <v>1</v>
      </c>
      <c r="J757" s="2" t="str">
        <f aca="false">IF(I757&gt;=6,"High",IF(I757&gt;=3,"Medium","Low"))</f>
        <v>Low</v>
      </c>
    </row>
    <row r="758" customFormat="false" ht="15" hidden="false" customHeight="true" outlineLevel="0" collapsed="false">
      <c r="A758" s="2" t="n">
        <f aca="false">'Raw Data'!H758</f>
        <v>757</v>
      </c>
      <c r="B758" s="2" t="n">
        <f aca="false">'Raw Data'!A758</f>
        <v>31</v>
      </c>
      <c r="C758" s="2" t="str">
        <f aca="false">'Raw Data'!D758</f>
        <v>Research &amp; Development</v>
      </c>
      <c r="D758" s="2" t="str">
        <f aca="false">'Raw Data'!K758</f>
        <v>Laboratory Technician</v>
      </c>
      <c r="E758" s="2" t="n">
        <f aca="false">'Raw Data'!Q758</f>
        <v>9</v>
      </c>
      <c r="F758" s="2" t="n">
        <f aca="false">'Raw Data'!U758</f>
        <v>0</v>
      </c>
      <c r="G758" s="2" t="n">
        <f aca="false">'Raw Data'!W758</f>
        <v>2</v>
      </c>
      <c r="H758" s="2" t="n">
        <f aca="false">'Raw Data'!V758</f>
        <v>1</v>
      </c>
      <c r="I758" s="2" t="n">
        <f aca="false">IF(AND(ISNUMBER(B758),B758&lt;=25),2,0)+IF(AND(ISNUMBER(E758),E758&lt;=5),2,0)+IF(AND(ISNUMBER(F758),F758&lt;=1),2,0)+IF(AND(ISNUMBER(G758),G758&lt;=2),1,0)+IF(AND(ISNUMBER(H758),H758&lt;=2),1,0)</f>
        <v>4</v>
      </c>
      <c r="J758" s="2" t="str">
        <f aca="false">IF(I758&gt;=6,"High",IF(I758&gt;=3,"Medium","Low"))</f>
        <v>Medium</v>
      </c>
    </row>
    <row r="759" customFormat="false" ht="15" hidden="false" customHeight="true" outlineLevel="0" collapsed="false">
      <c r="A759" s="2" t="n">
        <f aca="false">'Raw Data'!H759</f>
        <v>758</v>
      </c>
      <c r="B759" s="2" t="n">
        <f aca="false">'Raw Data'!A759</f>
        <v>34</v>
      </c>
      <c r="C759" s="2" t="str">
        <f aca="false">'Raw Data'!D759</f>
        <v>Sales</v>
      </c>
      <c r="D759" s="2" t="str">
        <f aca="false">'Raw Data'!K759</f>
        <v>Manager</v>
      </c>
      <c r="E759" s="2" t="n">
        <f aca="false">'Raw Data'!Q759</f>
        <v>10</v>
      </c>
      <c r="F759" s="2" t="n">
        <f aca="false">'Raw Data'!U759</f>
        <v>3</v>
      </c>
      <c r="G759" s="2" t="n">
        <f aca="false">'Raw Data'!W759</f>
        <v>1</v>
      </c>
      <c r="H759" s="2" t="n">
        <f aca="false">'Raw Data'!V759</f>
        <v>4</v>
      </c>
      <c r="I759" s="2" t="n">
        <f aca="false">IF(AND(ISNUMBER(B759),B759&lt;=25),2,0)+IF(AND(ISNUMBER(E759),E759&lt;=5),2,0)+IF(AND(ISNUMBER(F759),F759&lt;=1),2,0)+IF(AND(ISNUMBER(G759),G759&lt;=2),1,0)+IF(AND(ISNUMBER(H759),H759&lt;=2),1,0)</f>
        <v>1</v>
      </c>
      <c r="J759" s="2" t="str">
        <f aca="false">IF(I759&gt;=6,"High",IF(I759&gt;=3,"Medium","Low"))</f>
        <v>Low</v>
      </c>
    </row>
    <row r="760" customFormat="false" ht="15" hidden="false" customHeight="true" outlineLevel="0" collapsed="false">
      <c r="A760" s="2" t="n">
        <f aca="false">'Raw Data'!H760</f>
        <v>759</v>
      </c>
      <c r="B760" s="2" t="n">
        <f aca="false">'Raw Data'!A760</f>
        <v>31</v>
      </c>
      <c r="C760" s="2" t="str">
        <f aca="false">'Raw Data'!D760</f>
        <v>Sales</v>
      </c>
      <c r="D760" s="2" t="str">
        <f aca="false">'Raw Data'!K760</f>
        <v>Research Scientist</v>
      </c>
      <c r="E760" s="2" t="n">
        <f aca="false">'Raw Data'!Q760</f>
        <v>1</v>
      </c>
      <c r="F760" s="2" t="n">
        <f aca="false">'Raw Data'!U760</f>
        <v>0</v>
      </c>
      <c r="G760" s="2" t="n">
        <f aca="false">'Raw Data'!W760</f>
        <v>2</v>
      </c>
      <c r="H760" s="2" t="n">
        <f aca="false">'Raw Data'!V760</f>
        <v>1</v>
      </c>
      <c r="I760" s="2" t="n">
        <f aca="false">IF(AND(ISNUMBER(B760),B760&lt;=25),2,0)+IF(AND(ISNUMBER(E760),E760&lt;=5),2,0)+IF(AND(ISNUMBER(F760),F760&lt;=1),2,0)+IF(AND(ISNUMBER(G760),G760&lt;=2),1,0)+IF(AND(ISNUMBER(H760),H760&lt;=2),1,0)</f>
        <v>6</v>
      </c>
      <c r="J760" s="2" t="str">
        <f aca="false">IF(I760&gt;=6,"High",IF(I760&gt;=3,"Medium","Low"))</f>
        <v>High</v>
      </c>
    </row>
    <row r="761" customFormat="false" ht="15" hidden="false" customHeight="true" outlineLevel="0" collapsed="false">
      <c r="A761" s="2" t="n">
        <f aca="false">'Raw Data'!H761</f>
        <v>760</v>
      </c>
      <c r="B761" s="2" t="n">
        <f aca="false">'Raw Data'!A761</f>
        <v>27</v>
      </c>
      <c r="C761" s="2" t="str">
        <f aca="false">'Raw Data'!D761</f>
        <v>Human Resources</v>
      </c>
      <c r="D761" s="2" t="str">
        <f aca="false">'Raw Data'!K761</f>
        <v>Sales Executive</v>
      </c>
      <c r="E761" s="2" t="n">
        <f aca="false">'Raw Data'!Q761</f>
        <v>6</v>
      </c>
      <c r="F761" s="2" t="n">
        <f aca="false">'Raw Data'!U761</f>
        <v>4</v>
      </c>
      <c r="G761" s="2" t="n">
        <f aca="false">'Raw Data'!W761</f>
        <v>1</v>
      </c>
      <c r="H761" s="2" t="n">
        <f aca="false">'Raw Data'!V761</f>
        <v>2</v>
      </c>
      <c r="I761" s="2" t="n">
        <f aca="false">IF(AND(ISNUMBER(B761),B761&lt;=25),2,0)+IF(AND(ISNUMBER(E761),E761&lt;=5),2,0)+IF(AND(ISNUMBER(F761),F761&lt;=1),2,0)+IF(AND(ISNUMBER(G761),G761&lt;=2),1,0)+IF(AND(ISNUMBER(H761),H761&lt;=2),1,0)</f>
        <v>2</v>
      </c>
      <c r="J761" s="2" t="str">
        <f aca="false">IF(I761&gt;=6,"High",IF(I761&gt;=3,"Medium","Low"))</f>
        <v>Low</v>
      </c>
    </row>
    <row r="762" customFormat="false" ht="15" hidden="false" customHeight="true" outlineLevel="0" collapsed="false">
      <c r="A762" s="2" t="n">
        <f aca="false">'Raw Data'!H762</f>
        <v>761</v>
      </c>
      <c r="B762" s="2" t="n">
        <f aca="false">'Raw Data'!A762</f>
        <v>36</v>
      </c>
      <c r="C762" s="2" t="str">
        <f aca="false">'Raw Data'!D762</f>
        <v>Sales</v>
      </c>
      <c r="D762" s="2" t="str">
        <f aca="false">'Raw Data'!K762</f>
        <v>Research Scientist</v>
      </c>
      <c r="E762" s="2" t="n">
        <f aca="false">'Raw Data'!Q762</f>
        <v>10</v>
      </c>
      <c r="F762" s="2" t="n">
        <f aca="false">'Raw Data'!U762</f>
        <v>8</v>
      </c>
      <c r="G762" s="2" t="n">
        <f aca="false">'Raw Data'!W762</f>
        <v>4</v>
      </c>
      <c r="H762" s="2" t="n">
        <f aca="false">'Raw Data'!V762</f>
        <v>1</v>
      </c>
      <c r="I762" s="2" t="n">
        <f aca="false">IF(AND(ISNUMBER(B762),B762&lt;=25),2,0)+IF(AND(ISNUMBER(E762),E762&lt;=5),2,0)+IF(AND(ISNUMBER(F762),F762&lt;=1),2,0)+IF(AND(ISNUMBER(G762),G762&lt;=2),1,0)+IF(AND(ISNUMBER(H762),H762&lt;=2),1,0)</f>
        <v>1</v>
      </c>
      <c r="J762" s="2" t="str">
        <f aca="false">IF(I762&gt;=6,"High",IF(I762&gt;=3,"Medium","Low"))</f>
        <v>Low</v>
      </c>
    </row>
    <row r="763" customFormat="false" ht="15" hidden="false" customHeight="true" outlineLevel="0" collapsed="false">
      <c r="A763" s="2" t="n">
        <f aca="false">'Raw Data'!H763</f>
        <v>762</v>
      </c>
      <c r="B763" s="2" t="n">
        <f aca="false">'Raw Data'!A763</f>
        <v>36</v>
      </c>
      <c r="C763" s="2" t="str">
        <f aca="false">'Raw Data'!D763</f>
        <v>Research &amp; Development</v>
      </c>
      <c r="D763" s="2" t="str">
        <f aca="false">'Raw Data'!K763</f>
        <v>Research Director</v>
      </c>
      <c r="E763" s="2" t="n">
        <f aca="false">'Raw Data'!Q763</f>
        <v>11</v>
      </c>
      <c r="F763" s="2" t="n">
        <f aca="false">'Raw Data'!U763</f>
        <v>2</v>
      </c>
      <c r="G763" s="2" t="n">
        <f aca="false">'Raw Data'!W763</f>
        <v>1</v>
      </c>
      <c r="H763" s="2" t="n">
        <f aca="false">'Raw Data'!V763</f>
        <v>3</v>
      </c>
      <c r="I763" s="2" t="n">
        <f aca="false">IF(AND(ISNUMBER(B763),B763&lt;=25),2,0)+IF(AND(ISNUMBER(E763),E763&lt;=5),2,0)+IF(AND(ISNUMBER(F763),F763&lt;=1),2,0)+IF(AND(ISNUMBER(G763),G763&lt;=2),1,0)+IF(AND(ISNUMBER(H763),H763&lt;=2),1,0)</f>
        <v>1</v>
      </c>
      <c r="J763" s="2" t="str">
        <f aca="false">IF(I763&gt;=6,"High",IF(I763&gt;=3,"Medium","Low"))</f>
        <v>Low</v>
      </c>
    </row>
    <row r="764" customFormat="false" ht="15" hidden="false" customHeight="true" outlineLevel="0" collapsed="false">
      <c r="A764" s="2" t="n">
        <f aca="false">'Raw Data'!H764</f>
        <v>763</v>
      </c>
      <c r="B764" s="2" t="n">
        <f aca="false">'Raw Data'!A764</f>
        <v>47</v>
      </c>
      <c r="C764" s="2" t="str">
        <f aca="false">'Raw Data'!D764</f>
        <v>Research &amp; Development</v>
      </c>
      <c r="D764" s="2" t="str">
        <f aca="false">'Raw Data'!K764</f>
        <v>Sales Executive</v>
      </c>
      <c r="E764" s="2" t="n">
        <f aca="false">'Raw Data'!Q764</f>
        <v>17</v>
      </c>
      <c r="F764" s="2" t="n">
        <f aca="false">'Raw Data'!U764</f>
        <v>2</v>
      </c>
      <c r="G764" s="2" t="n">
        <f aca="false">'Raw Data'!W764</f>
        <v>4</v>
      </c>
      <c r="H764" s="2" t="n">
        <f aca="false">'Raw Data'!V764</f>
        <v>1</v>
      </c>
      <c r="I764" s="2" t="n">
        <f aca="false">IF(AND(ISNUMBER(B764),B764&lt;=25),2,0)+IF(AND(ISNUMBER(E764),E764&lt;=5),2,0)+IF(AND(ISNUMBER(F764),F764&lt;=1),2,0)+IF(AND(ISNUMBER(G764),G764&lt;=2),1,0)+IF(AND(ISNUMBER(H764),H764&lt;=2),1,0)</f>
        <v>1</v>
      </c>
      <c r="J764" s="2" t="str">
        <f aca="false">IF(I764&gt;=6,"High",IF(I764&gt;=3,"Medium","Low"))</f>
        <v>Low</v>
      </c>
    </row>
    <row r="765" customFormat="false" ht="15" hidden="false" customHeight="true" outlineLevel="0" collapsed="false">
      <c r="A765" s="2" t="n">
        <f aca="false">'Raw Data'!H765</f>
        <v>764</v>
      </c>
      <c r="B765" s="2" t="n">
        <f aca="false">'Raw Data'!A765</f>
        <v>25</v>
      </c>
      <c r="C765" s="2" t="str">
        <f aca="false">'Raw Data'!D765</f>
        <v>Sales</v>
      </c>
      <c r="D765" s="2" t="str">
        <f aca="false">'Raw Data'!K765</f>
        <v>Research Scientist</v>
      </c>
      <c r="E765" s="2" t="n">
        <f aca="false">'Raw Data'!Q765</f>
        <v>6</v>
      </c>
      <c r="F765" s="2" t="n">
        <f aca="false">'Raw Data'!U765</f>
        <v>2</v>
      </c>
      <c r="G765" s="2" t="n">
        <f aca="false">'Raw Data'!W765</f>
        <v>1</v>
      </c>
      <c r="H765" s="2" t="n">
        <f aca="false">'Raw Data'!V765</f>
        <v>1</v>
      </c>
      <c r="I765" s="2" t="n">
        <f aca="false">IF(AND(ISNUMBER(B765),B765&lt;=25),2,0)+IF(AND(ISNUMBER(E765),E765&lt;=5),2,0)+IF(AND(ISNUMBER(F765),F765&lt;=1),2,0)+IF(AND(ISNUMBER(G765),G765&lt;=2),1,0)+IF(AND(ISNUMBER(H765),H765&lt;=2),1,0)</f>
        <v>4</v>
      </c>
      <c r="J765" s="2" t="str">
        <f aca="false">IF(I765&gt;=6,"High",IF(I765&gt;=3,"Medium","Low"))</f>
        <v>Medium</v>
      </c>
    </row>
    <row r="766" customFormat="false" ht="15" hidden="false" customHeight="true" outlineLevel="0" collapsed="false">
      <c r="A766" s="2" t="n">
        <f aca="false">'Raw Data'!H766</f>
        <v>765</v>
      </c>
      <c r="B766" s="2" t="n">
        <f aca="false">'Raw Data'!A766</f>
        <v>37</v>
      </c>
      <c r="C766" s="2" t="str">
        <f aca="false">'Raw Data'!D766</f>
        <v>Sales</v>
      </c>
      <c r="D766" s="2" t="str">
        <f aca="false">'Raw Data'!K766</f>
        <v>Healthcare Representative</v>
      </c>
      <c r="E766" s="2" t="n">
        <f aca="false">'Raw Data'!Q766</f>
        <v>7</v>
      </c>
      <c r="F766" s="2" t="n">
        <f aca="false">'Raw Data'!U766</f>
        <v>3</v>
      </c>
      <c r="G766" s="2" t="n">
        <f aca="false">'Raw Data'!W766</f>
        <v>3</v>
      </c>
      <c r="H766" s="2" t="n">
        <f aca="false">'Raw Data'!V766</f>
        <v>3</v>
      </c>
      <c r="I766" s="2" t="n">
        <f aca="false">IF(AND(ISNUMBER(B766),B766&lt;=25),2,0)+IF(AND(ISNUMBER(E766),E766&lt;=5),2,0)+IF(AND(ISNUMBER(F766),F766&lt;=1),2,0)+IF(AND(ISNUMBER(G766),G766&lt;=2),1,0)+IF(AND(ISNUMBER(H766),H766&lt;=2),1,0)</f>
        <v>0</v>
      </c>
      <c r="J766" s="2" t="str">
        <f aca="false">IF(I766&gt;=6,"High",IF(I766&gt;=3,"Medium","Low"))</f>
        <v>Low</v>
      </c>
    </row>
    <row r="767" customFormat="false" ht="15" hidden="false" customHeight="true" outlineLevel="0" collapsed="false">
      <c r="A767" s="2" t="n">
        <f aca="false">'Raw Data'!H767</f>
        <v>766</v>
      </c>
      <c r="B767" s="2" t="n">
        <f aca="false">'Raw Data'!A767</f>
        <v>56</v>
      </c>
      <c r="C767" s="2" t="str">
        <f aca="false">'Raw Data'!D767</f>
        <v>Research &amp; Development</v>
      </c>
      <c r="D767" s="2" t="str">
        <f aca="false">'Raw Data'!K767</f>
        <v>Sales Representative</v>
      </c>
      <c r="E767" s="2" t="n">
        <f aca="false">'Raw Data'!Q767</f>
        <v>5</v>
      </c>
      <c r="F767" s="2" t="n">
        <f aca="false">'Raw Data'!U767</f>
        <v>0</v>
      </c>
      <c r="G767" s="2" t="n">
        <f aca="false">'Raw Data'!W767</f>
        <v>1</v>
      </c>
      <c r="H767" s="2" t="n">
        <f aca="false">'Raw Data'!V767</f>
        <v>1</v>
      </c>
      <c r="I767" s="2" t="n">
        <f aca="false">IF(AND(ISNUMBER(B767),B767&lt;=25),2,0)+IF(AND(ISNUMBER(E767),E767&lt;=5),2,0)+IF(AND(ISNUMBER(F767),F767&lt;=1),2,0)+IF(AND(ISNUMBER(G767),G767&lt;=2),1,0)+IF(AND(ISNUMBER(H767),H767&lt;=2),1,0)</f>
        <v>6</v>
      </c>
      <c r="J767" s="2" t="str">
        <f aca="false">IF(I767&gt;=6,"High",IF(I767&gt;=3,"Medium","Low"))</f>
        <v>High</v>
      </c>
    </row>
    <row r="768" customFormat="false" ht="15" hidden="false" customHeight="true" outlineLevel="0" collapsed="false">
      <c r="A768" s="2" t="n">
        <f aca="false">'Raw Data'!H768</f>
        <v>767</v>
      </c>
      <c r="B768" s="2" t="n">
        <f aca="false">'Raw Data'!A768</f>
        <v>47</v>
      </c>
      <c r="C768" s="2" t="str">
        <f aca="false">'Raw Data'!D768</f>
        <v>Research &amp; Development</v>
      </c>
      <c r="D768" s="2" t="str">
        <f aca="false">'Raw Data'!K768</f>
        <v>Laboratory Technician</v>
      </c>
      <c r="E768" s="2" t="n">
        <f aca="false">'Raw Data'!Q768</f>
        <v>26</v>
      </c>
      <c r="F768" s="2" t="n">
        <f aca="false">'Raw Data'!U768</f>
        <v>6</v>
      </c>
      <c r="G768" s="2" t="n">
        <f aca="false">'Raw Data'!W768</f>
        <v>3</v>
      </c>
      <c r="H768" s="2" t="n">
        <f aca="false">'Raw Data'!V768</f>
        <v>1</v>
      </c>
      <c r="I768" s="2" t="n">
        <f aca="false">IF(AND(ISNUMBER(B768),B768&lt;=25),2,0)+IF(AND(ISNUMBER(E768),E768&lt;=5),2,0)+IF(AND(ISNUMBER(F768),F768&lt;=1),2,0)+IF(AND(ISNUMBER(G768),G768&lt;=2),1,0)+IF(AND(ISNUMBER(H768),H768&lt;=2),1,0)</f>
        <v>1</v>
      </c>
      <c r="J768" s="2" t="str">
        <f aca="false">IF(I768&gt;=6,"High",IF(I768&gt;=3,"Medium","Low"))</f>
        <v>Low</v>
      </c>
    </row>
    <row r="769" customFormat="false" ht="15" hidden="false" customHeight="true" outlineLevel="0" collapsed="false">
      <c r="A769" s="2" t="n">
        <f aca="false">'Raw Data'!H769</f>
        <v>768</v>
      </c>
      <c r="B769" s="2" t="n">
        <f aca="false">'Raw Data'!A769</f>
        <v>24</v>
      </c>
      <c r="C769" s="2" t="str">
        <f aca="false">'Raw Data'!D769</f>
        <v>Research &amp; Development</v>
      </c>
      <c r="D769" s="2" t="str">
        <f aca="false">'Raw Data'!K769</f>
        <v>Manufacturing Director</v>
      </c>
      <c r="E769" s="2" t="n">
        <f aca="false">'Raw Data'!Q769</f>
        <v>5</v>
      </c>
      <c r="F769" s="2" t="n">
        <f aca="false">'Raw Data'!U769</f>
        <v>3</v>
      </c>
      <c r="G769" s="2" t="n">
        <f aca="false">'Raw Data'!W769</f>
        <v>3</v>
      </c>
      <c r="H769" s="2" t="n">
        <f aca="false">'Raw Data'!V769</f>
        <v>4</v>
      </c>
      <c r="I769" s="2" t="n">
        <f aca="false">IF(AND(ISNUMBER(B769),B769&lt;=25),2,0)+IF(AND(ISNUMBER(E769),E769&lt;=5),2,0)+IF(AND(ISNUMBER(F769),F769&lt;=1),2,0)+IF(AND(ISNUMBER(G769),G769&lt;=2),1,0)+IF(AND(ISNUMBER(H769),H769&lt;=2),1,0)</f>
        <v>4</v>
      </c>
      <c r="J769" s="2" t="str">
        <f aca="false">IF(I769&gt;=6,"High",IF(I769&gt;=3,"Medium","Low"))</f>
        <v>Medium</v>
      </c>
    </row>
    <row r="770" customFormat="false" ht="15" hidden="false" customHeight="true" outlineLevel="0" collapsed="false">
      <c r="A770" s="2" t="n">
        <f aca="false">'Raw Data'!H770</f>
        <v>769</v>
      </c>
      <c r="B770" s="2" t="n">
        <f aca="false">'Raw Data'!A770</f>
        <v>32</v>
      </c>
      <c r="C770" s="2" t="str">
        <f aca="false">'Raw Data'!D770</f>
        <v>Sales</v>
      </c>
      <c r="D770" s="2" t="str">
        <f aca="false">'Raw Data'!K770</f>
        <v>Research Scientist</v>
      </c>
      <c r="E770" s="2" t="n">
        <f aca="false">'Raw Data'!Q770</f>
        <v>7</v>
      </c>
      <c r="F770" s="2" t="n">
        <f aca="false">'Raw Data'!U770</f>
        <v>3</v>
      </c>
      <c r="G770" s="2" t="n">
        <f aca="false">'Raw Data'!W770</f>
        <v>4</v>
      </c>
      <c r="H770" s="2" t="n">
        <f aca="false">'Raw Data'!V770</f>
        <v>4</v>
      </c>
      <c r="I770" s="2" t="n">
        <f aca="false">IF(AND(ISNUMBER(B770),B770&lt;=25),2,0)+IF(AND(ISNUMBER(E770),E770&lt;=5),2,0)+IF(AND(ISNUMBER(F770),F770&lt;=1),2,0)+IF(AND(ISNUMBER(G770),G770&lt;=2),1,0)+IF(AND(ISNUMBER(H770),H770&lt;=2),1,0)</f>
        <v>0</v>
      </c>
      <c r="J770" s="2" t="str">
        <f aca="false">IF(I770&gt;=6,"High",IF(I770&gt;=3,"Medium","Low"))</f>
        <v>Low</v>
      </c>
    </row>
    <row r="771" customFormat="false" ht="15" hidden="false" customHeight="true" outlineLevel="0" collapsed="false">
      <c r="A771" s="2" t="n">
        <f aca="false">'Raw Data'!H771</f>
        <v>770</v>
      </c>
      <c r="B771" s="2" t="n">
        <f aca="false">'Raw Data'!A771</f>
        <v>34</v>
      </c>
      <c r="C771" s="2" t="str">
        <f aca="false">'Raw Data'!D771</f>
        <v>Research &amp; Development</v>
      </c>
      <c r="D771" s="2" t="str">
        <f aca="false">'Raw Data'!K771</f>
        <v>Sales Executive</v>
      </c>
      <c r="E771" s="2" t="n">
        <f aca="false">'Raw Data'!Q771</f>
        <v>7</v>
      </c>
      <c r="F771" s="2" t="n">
        <f aca="false">'Raw Data'!U771</f>
        <v>2</v>
      </c>
      <c r="G771" s="2" t="n">
        <f aca="false">'Raw Data'!W771</f>
        <v>2</v>
      </c>
      <c r="H771" s="2" t="n">
        <f aca="false">'Raw Data'!V771</f>
        <v>4</v>
      </c>
      <c r="I771" s="2" t="n">
        <f aca="false">IF(AND(ISNUMBER(B771),B771&lt;=25),2,0)+IF(AND(ISNUMBER(E771),E771&lt;=5),2,0)+IF(AND(ISNUMBER(F771),F771&lt;=1),2,0)+IF(AND(ISNUMBER(G771),G771&lt;=2),1,0)+IF(AND(ISNUMBER(H771),H771&lt;=2),1,0)</f>
        <v>1</v>
      </c>
      <c r="J771" s="2" t="str">
        <f aca="false">IF(I771&gt;=6,"High",IF(I771&gt;=3,"Medium","Low"))</f>
        <v>Low</v>
      </c>
    </row>
    <row r="772" customFormat="false" ht="15" hidden="false" customHeight="true" outlineLevel="0" collapsed="false">
      <c r="A772" s="2" t="n">
        <f aca="false">'Raw Data'!H772</f>
        <v>771</v>
      </c>
      <c r="B772" s="2" t="n">
        <f aca="false">'Raw Data'!A772</f>
        <v>41</v>
      </c>
      <c r="C772" s="2" t="str">
        <f aca="false">'Raw Data'!D772</f>
        <v>Research &amp; Development</v>
      </c>
      <c r="D772" s="2" t="str">
        <f aca="false">'Raw Data'!K772</f>
        <v>Sales Executive</v>
      </c>
      <c r="E772" s="2" t="n">
        <f aca="false">'Raw Data'!Q772</f>
        <v>7</v>
      </c>
      <c r="F772" s="2" t="n">
        <f aca="false">'Raw Data'!U772</f>
        <v>3</v>
      </c>
      <c r="G772" s="2" t="n">
        <f aca="false">'Raw Data'!W772</f>
        <v>3</v>
      </c>
      <c r="H772" s="2" t="n">
        <f aca="false">'Raw Data'!V772</f>
        <v>2</v>
      </c>
      <c r="I772" s="2" t="n">
        <f aca="false">IF(AND(ISNUMBER(B772),B772&lt;=25),2,0)+IF(AND(ISNUMBER(E772),E772&lt;=5),2,0)+IF(AND(ISNUMBER(F772),F772&lt;=1),2,0)+IF(AND(ISNUMBER(G772),G772&lt;=2),1,0)+IF(AND(ISNUMBER(H772),H772&lt;=2),1,0)</f>
        <v>1</v>
      </c>
      <c r="J772" s="2" t="str">
        <f aca="false">IF(I772&gt;=6,"High",IF(I772&gt;=3,"Medium","Low"))</f>
        <v>Low</v>
      </c>
    </row>
    <row r="773" customFormat="false" ht="15" hidden="false" customHeight="true" outlineLevel="0" collapsed="false">
      <c r="A773" s="2" t="n">
        <f aca="false">'Raw Data'!H773</f>
        <v>772</v>
      </c>
      <c r="B773" s="2" t="n">
        <f aca="false">'Raw Data'!A773</f>
        <v>40</v>
      </c>
      <c r="C773" s="2" t="str">
        <f aca="false">'Raw Data'!D773</f>
        <v>Sales</v>
      </c>
      <c r="D773" s="2" t="str">
        <f aca="false">'Raw Data'!K773</f>
        <v>Sales Executive</v>
      </c>
      <c r="E773" s="2" t="n">
        <f aca="false">'Raw Data'!Q773</f>
        <v>11</v>
      </c>
      <c r="F773" s="2" t="n">
        <f aca="false">'Raw Data'!U773</f>
        <v>7</v>
      </c>
      <c r="G773" s="2" t="n">
        <f aca="false">'Raw Data'!W773</f>
        <v>3</v>
      </c>
      <c r="H773" s="2" t="n">
        <f aca="false">'Raw Data'!V773</f>
        <v>3</v>
      </c>
      <c r="I773" s="2" t="n">
        <f aca="false">IF(AND(ISNUMBER(B773),B773&lt;=25),2,0)+IF(AND(ISNUMBER(E773),E773&lt;=5),2,0)+IF(AND(ISNUMBER(F773),F773&lt;=1),2,0)+IF(AND(ISNUMBER(G773),G773&lt;=2),1,0)+IF(AND(ISNUMBER(H773),H773&lt;=2),1,0)</f>
        <v>0</v>
      </c>
      <c r="J773" s="2" t="str">
        <f aca="false">IF(I773&gt;=6,"High",IF(I773&gt;=3,"Medium","Low"))</f>
        <v>Low</v>
      </c>
    </row>
    <row r="774" customFormat="false" ht="15" hidden="false" customHeight="true" outlineLevel="0" collapsed="false">
      <c r="A774" s="2" t="n">
        <f aca="false">'Raw Data'!H774</f>
        <v>773</v>
      </c>
      <c r="B774" s="2" t="n">
        <f aca="false">'Raw Data'!A774</f>
        <v>31</v>
      </c>
      <c r="C774" s="2" t="str">
        <f aca="false">'Raw Data'!D774</f>
        <v>Research &amp; Development</v>
      </c>
      <c r="D774" s="2" t="str">
        <f aca="false">'Raw Data'!K774</f>
        <v>Human Resources</v>
      </c>
      <c r="E774" s="2" t="n">
        <f aca="false">'Raw Data'!Q774</f>
        <v>13</v>
      </c>
      <c r="F774" s="2" t="n">
        <f aca="false">'Raw Data'!U774</f>
        <v>9</v>
      </c>
      <c r="G774" s="2" t="n">
        <f aca="false">'Raw Data'!W774</f>
        <v>4</v>
      </c>
      <c r="H774" s="2" t="n">
        <f aca="false">'Raw Data'!V774</f>
        <v>1</v>
      </c>
      <c r="I774" s="2" t="n">
        <f aca="false">IF(AND(ISNUMBER(B774),B774&lt;=25),2,0)+IF(AND(ISNUMBER(E774),E774&lt;=5),2,0)+IF(AND(ISNUMBER(F774),F774&lt;=1),2,0)+IF(AND(ISNUMBER(G774),G774&lt;=2),1,0)+IF(AND(ISNUMBER(H774),H774&lt;=2),1,0)</f>
        <v>1</v>
      </c>
      <c r="J774" s="2" t="str">
        <f aca="false">IF(I774&gt;=6,"High",IF(I774&gt;=3,"Medium","Low"))</f>
        <v>Low</v>
      </c>
    </row>
    <row r="775" customFormat="false" ht="15" hidden="false" customHeight="true" outlineLevel="0" collapsed="false">
      <c r="A775" s="2" t="n">
        <f aca="false">'Raw Data'!H775</f>
        <v>774</v>
      </c>
      <c r="B775" s="2" t="n">
        <f aca="false">'Raw Data'!A775</f>
        <v>46</v>
      </c>
      <c r="C775" s="2" t="str">
        <f aca="false">'Raw Data'!D775</f>
        <v>Research &amp; Development</v>
      </c>
      <c r="D775" s="2" t="str">
        <f aca="false">'Raw Data'!K775</f>
        <v>Manufacturing Director</v>
      </c>
      <c r="E775" s="2" t="n">
        <f aca="false">'Raw Data'!Q775</f>
        <v>28</v>
      </c>
      <c r="F775" s="2" t="n">
        <f aca="false">'Raw Data'!U775</f>
        <v>3</v>
      </c>
      <c r="G775" s="2" t="n">
        <f aca="false">'Raw Data'!W775</f>
        <v>4</v>
      </c>
      <c r="H775" s="2" t="n">
        <f aca="false">'Raw Data'!V775</f>
        <v>1</v>
      </c>
      <c r="I775" s="2" t="n">
        <f aca="false">IF(AND(ISNUMBER(B775),B775&lt;=25),2,0)+IF(AND(ISNUMBER(E775),E775&lt;=5),2,0)+IF(AND(ISNUMBER(F775),F775&lt;=1),2,0)+IF(AND(ISNUMBER(G775),G775&lt;=2),1,0)+IF(AND(ISNUMBER(H775),H775&lt;=2),1,0)</f>
        <v>1</v>
      </c>
      <c r="J775" s="2" t="str">
        <f aca="false">IF(I775&gt;=6,"High",IF(I775&gt;=3,"Medium","Low"))</f>
        <v>Low</v>
      </c>
    </row>
    <row r="776" customFormat="false" ht="15" hidden="false" customHeight="true" outlineLevel="0" collapsed="false">
      <c r="A776" s="2" t="n">
        <f aca="false">'Raw Data'!H776</f>
        <v>775</v>
      </c>
      <c r="B776" s="2" t="n">
        <f aca="false">'Raw Data'!A776</f>
        <v>39</v>
      </c>
      <c r="C776" s="2" t="str">
        <f aca="false">'Raw Data'!D776</f>
        <v>Research &amp; Development</v>
      </c>
      <c r="D776" s="2" t="str">
        <f aca="false">'Raw Data'!K776</f>
        <v>Manufacturing Director</v>
      </c>
      <c r="E776" s="2" t="n">
        <f aca="false">'Raw Data'!Q776</f>
        <v>11</v>
      </c>
      <c r="F776" s="2" t="n">
        <f aca="false">'Raw Data'!U776</f>
        <v>0</v>
      </c>
      <c r="G776" s="2" t="n">
        <f aca="false">'Raw Data'!W776</f>
        <v>1</v>
      </c>
      <c r="H776" s="2" t="n">
        <f aca="false">'Raw Data'!V776</f>
        <v>1</v>
      </c>
      <c r="I776" s="2" t="n">
        <f aca="false">IF(AND(ISNUMBER(B776),B776&lt;=25),2,0)+IF(AND(ISNUMBER(E776),E776&lt;=5),2,0)+IF(AND(ISNUMBER(F776),F776&lt;=1),2,0)+IF(AND(ISNUMBER(G776),G776&lt;=2),1,0)+IF(AND(ISNUMBER(H776),H776&lt;=2),1,0)</f>
        <v>4</v>
      </c>
      <c r="J776" s="2" t="str">
        <f aca="false">IF(I776&gt;=6,"High",IF(I776&gt;=3,"Medium","Low"))</f>
        <v>Medium</v>
      </c>
    </row>
    <row r="777" customFormat="false" ht="15" hidden="false" customHeight="true" outlineLevel="0" collapsed="false">
      <c r="A777" s="2" t="n">
        <f aca="false">'Raw Data'!H777</f>
        <v>776</v>
      </c>
      <c r="B777" s="2" t="n">
        <f aca="false">'Raw Data'!A777</f>
        <v>31</v>
      </c>
      <c r="C777" s="2" t="str">
        <f aca="false">'Raw Data'!D777</f>
        <v>Sales</v>
      </c>
      <c r="D777" s="2" t="str">
        <f aca="false">'Raw Data'!K777</f>
        <v>Sales Executive</v>
      </c>
      <c r="E777" s="2" t="n">
        <f aca="false">'Raw Data'!Q777</f>
        <v>10</v>
      </c>
      <c r="F777" s="2" t="n">
        <f aca="false">'Raw Data'!U777</f>
        <v>7</v>
      </c>
      <c r="G777" s="2" t="n">
        <f aca="false">'Raw Data'!W777</f>
        <v>2</v>
      </c>
      <c r="H777" s="2" t="n">
        <f aca="false">'Raw Data'!V777</f>
        <v>3</v>
      </c>
      <c r="I777" s="2" t="n">
        <f aca="false">IF(AND(ISNUMBER(B777),B777&lt;=25),2,0)+IF(AND(ISNUMBER(E777),E777&lt;=5),2,0)+IF(AND(ISNUMBER(F777),F777&lt;=1),2,0)+IF(AND(ISNUMBER(G777),G777&lt;=2),1,0)+IF(AND(ISNUMBER(H777),H777&lt;=2),1,0)</f>
        <v>1</v>
      </c>
      <c r="J777" s="2" t="str">
        <f aca="false">IF(I777&gt;=6,"High",IF(I777&gt;=3,"Medium","Low"))</f>
        <v>Low</v>
      </c>
    </row>
    <row r="778" customFormat="false" ht="15" hidden="false" customHeight="true" outlineLevel="0" collapsed="false">
      <c r="A778" s="2" t="n">
        <f aca="false">'Raw Data'!H778</f>
        <v>777</v>
      </c>
      <c r="B778" s="2" t="n">
        <f aca="false">'Raw Data'!A778</f>
        <v>45</v>
      </c>
      <c r="C778" s="2" t="str">
        <f aca="false">'Raw Data'!D778</f>
        <v>Sales</v>
      </c>
      <c r="D778" s="2" t="str">
        <f aca="false">'Raw Data'!K778</f>
        <v>Sales Executive</v>
      </c>
      <c r="E778" s="2" t="n">
        <f aca="false">'Raw Data'!Q778</f>
        <v>24</v>
      </c>
      <c r="F778" s="2" t="n">
        <f aca="false">'Raw Data'!U778</f>
        <v>7</v>
      </c>
      <c r="G778" s="2" t="n">
        <f aca="false">'Raw Data'!W778</f>
        <v>1</v>
      </c>
      <c r="H778" s="2" t="n">
        <f aca="false">'Raw Data'!V778</f>
        <v>2</v>
      </c>
      <c r="I778" s="2" t="n">
        <f aca="false">IF(AND(ISNUMBER(B778),B778&lt;=25),2,0)+IF(AND(ISNUMBER(E778),E778&lt;=5),2,0)+IF(AND(ISNUMBER(F778),F778&lt;=1),2,0)+IF(AND(ISNUMBER(G778),G778&lt;=2),1,0)+IF(AND(ISNUMBER(H778),H778&lt;=2),1,0)</f>
        <v>2</v>
      </c>
      <c r="J778" s="2" t="str">
        <f aca="false">IF(I778&gt;=6,"High",IF(I778&gt;=3,"Medium","Low"))</f>
        <v>Low</v>
      </c>
    </row>
    <row r="779" customFormat="false" ht="15" hidden="false" customHeight="true" outlineLevel="0" collapsed="false">
      <c r="A779" s="2" t="n">
        <f aca="false">'Raw Data'!H779</f>
        <v>778</v>
      </c>
      <c r="B779" s="2" t="n">
        <f aca="false">'Raw Data'!A779</f>
        <v>31</v>
      </c>
      <c r="C779" s="2" t="str">
        <f aca="false">'Raw Data'!D779</f>
        <v>Research &amp; Development</v>
      </c>
      <c r="D779" s="2" t="str">
        <f aca="false">'Raw Data'!K779</f>
        <v>Human Resources</v>
      </c>
      <c r="E779" s="2" t="n">
        <f aca="false">'Raw Data'!Q779</f>
        <v>8</v>
      </c>
      <c r="F779" s="2" t="n">
        <f aca="false">'Raw Data'!U779</f>
        <v>2</v>
      </c>
      <c r="G779" s="2" t="n">
        <f aca="false">'Raw Data'!W779</f>
        <v>2</v>
      </c>
      <c r="H779" s="2" t="n">
        <f aca="false">'Raw Data'!V779</f>
        <v>4</v>
      </c>
      <c r="I779" s="2" t="n">
        <f aca="false">IF(AND(ISNUMBER(B779),B779&lt;=25),2,0)+IF(AND(ISNUMBER(E779),E779&lt;=5),2,0)+IF(AND(ISNUMBER(F779),F779&lt;=1),2,0)+IF(AND(ISNUMBER(G779),G779&lt;=2),1,0)+IF(AND(ISNUMBER(H779),H779&lt;=2),1,0)</f>
        <v>1</v>
      </c>
      <c r="J779" s="2" t="str">
        <f aca="false">IF(I779&gt;=6,"High",IF(I779&gt;=3,"Medium","Low"))</f>
        <v>Low</v>
      </c>
    </row>
    <row r="780" customFormat="false" ht="15" hidden="false" customHeight="true" outlineLevel="0" collapsed="false">
      <c r="A780" s="2" t="n">
        <f aca="false">'Raw Data'!H780</f>
        <v>779</v>
      </c>
      <c r="B780" s="2" t="n">
        <f aca="false">'Raw Data'!A780</f>
        <v>31</v>
      </c>
      <c r="C780" s="2" t="str">
        <f aca="false">'Raw Data'!D780</f>
        <v>Research &amp; Development</v>
      </c>
      <c r="D780" s="2" t="str">
        <f aca="false">'Raw Data'!K780</f>
        <v>Laboratory Technician</v>
      </c>
      <c r="E780" s="2" t="n">
        <f aca="false">'Raw Data'!Q780</f>
        <v>7</v>
      </c>
      <c r="F780" s="2" t="n">
        <f aca="false">'Raw Data'!U780</f>
        <v>2</v>
      </c>
      <c r="G780" s="2" t="n">
        <f aca="false">'Raw Data'!W780</f>
        <v>4</v>
      </c>
      <c r="H780" s="2" t="n">
        <f aca="false">'Raw Data'!V780</f>
        <v>2</v>
      </c>
      <c r="I780" s="2" t="n">
        <f aca="false">IF(AND(ISNUMBER(B780),B780&lt;=25),2,0)+IF(AND(ISNUMBER(E780),E780&lt;=5),2,0)+IF(AND(ISNUMBER(F780),F780&lt;=1),2,0)+IF(AND(ISNUMBER(G780),G780&lt;=2),1,0)+IF(AND(ISNUMBER(H780),H780&lt;=2),1,0)</f>
        <v>1</v>
      </c>
      <c r="J780" s="2" t="str">
        <f aca="false">IF(I780&gt;=6,"High",IF(I780&gt;=3,"Medium","Low"))</f>
        <v>Low</v>
      </c>
    </row>
    <row r="781" customFormat="false" ht="15" hidden="false" customHeight="true" outlineLevel="0" collapsed="false">
      <c r="A781" s="2" t="n">
        <f aca="false">'Raw Data'!H781</f>
        <v>780</v>
      </c>
      <c r="B781" s="2" t="n">
        <f aca="false">'Raw Data'!A781</f>
        <v>45</v>
      </c>
      <c r="C781" s="2" t="str">
        <f aca="false">'Raw Data'!D781</f>
        <v>Research &amp; Development</v>
      </c>
      <c r="D781" s="2" t="str">
        <f aca="false">'Raw Data'!K781</f>
        <v>Research Scientist</v>
      </c>
      <c r="E781" s="2" t="n">
        <f aca="false">'Raw Data'!Q781</f>
        <v>10</v>
      </c>
      <c r="F781" s="2" t="n">
        <f aca="false">'Raw Data'!U781</f>
        <v>2</v>
      </c>
      <c r="G781" s="2" t="n">
        <f aca="false">'Raw Data'!W781</f>
        <v>4</v>
      </c>
      <c r="H781" s="2" t="n">
        <f aca="false">'Raw Data'!V781</f>
        <v>2</v>
      </c>
      <c r="I781" s="2" t="n">
        <f aca="false">IF(AND(ISNUMBER(B781),B781&lt;=25),2,0)+IF(AND(ISNUMBER(E781),E781&lt;=5),2,0)+IF(AND(ISNUMBER(F781),F781&lt;=1),2,0)+IF(AND(ISNUMBER(G781),G781&lt;=2),1,0)+IF(AND(ISNUMBER(H781),H781&lt;=2),1,0)</f>
        <v>1</v>
      </c>
      <c r="J781" s="2" t="str">
        <f aca="false">IF(I781&gt;=6,"High",IF(I781&gt;=3,"Medium","Low"))</f>
        <v>Low</v>
      </c>
    </row>
    <row r="782" customFormat="false" ht="15" hidden="false" customHeight="true" outlineLevel="0" collapsed="false">
      <c r="A782" s="2" t="n">
        <f aca="false">'Raw Data'!H782</f>
        <v>781</v>
      </c>
      <c r="B782" s="2" t="n">
        <f aca="false">'Raw Data'!A782</f>
        <v>48</v>
      </c>
      <c r="C782" s="2" t="str">
        <f aca="false">'Raw Data'!D782</f>
        <v>Research &amp; Development</v>
      </c>
      <c r="D782" s="2" t="str">
        <f aca="false">'Raw Data'!K782</f>
        <v>Research Scientist</v>
      </c>
      <c r="E782" s="2" t="n">
        <f aca="false">'Raw Data'!Q782</f>
        <v>15</v>
      </c>
      <c r="F782" s="2" t="n">
        <f aca="false">'Raw Data'!U782</f>
        <v>2</v>
      </c>
      <c r="G782" s="2" t="n">
        <f aca="false">'Raw Data'!W782</f>
        <v>1</v>
      </c>
      <c r="H782" s="2" t="n">
        <f aca="false">'Raw Data'!V782</f>
        <v>3</v>
      </c>
      <c r="I782" s="2" t="n">
        <f aca="false">IF(AND(ISNUMBER(B782),B782&lt;=25),2,0)+IF(AND(ISNUMBER(E782),E782&lt;=5),2,0)+IF(AND(ISNUMBER(F782),F782&lt;=1),2,0)+IF(AND(ISNUMBER(G782),G782&lt;=2),1,0)+IF(AND(ISNUMBER(H782),H782&lt;=2),1,0)</f>
        <v>1</v>
      </c>
      <c r="J782" s="2" t="str">
        <f aca="false">IF(I782&gt;=6,"High",IF(I782&gt;=3,"Medium","Low"))</f>
        <v>Low</v>
      </c>
    </row>
    <row r="783" customFormat="false" ht="15" hidden="false" customHeight="true" outlineLevel="0" collapsed="false">
      <c r="A783" s="2" t="n">
        <f aca="false">'Raw Data'!H783</f>
        <v>782</v>
      </c>
      <c r="B783" s="2" t="n">
        <f aca="false">'Raw Data'!A783</f>
        <v>34</v>
      </c>
      <c r="C783" s="2" t="str">
        <f aca="false">'Raw Data'!D783</f>
        <v>Research &amp; Development</v>
      </c>
      <c r="D783" s="2" t="str">
        <f aca="false">'Raw Data'!K783</f>
        <v>Research Scientist</v>
      </c>
      <c r="E783" s="2" t="n">
        <f aca="false">'Raw Data'!Q783</f>
        <v>2</v>
      </c>
      <c r="F783" s="2" t="n">
        <f aca="false">'Raw Data'!U783</f>
        <v>2</v>
      </c>
      <c r="G783" s="2" t="n">
        <f aca="false">'Raw Data'!W783</f>
        <v>3</v>
      </c>
      <c r="H783" s="2" t="n">
        <f aca="false">'Raw Data'!V783</f>
        <v>1</v>
      </c>
      <c r="I783" s="2" t="n">
        <f aca="false">IF(AND(ISNUMBER(B783),B783&lt;=25),2,0)+IF(AND(ISNUMBER(E783),E783&lt;=5),2,0)+IF(AND(ISNUMBER(F783),F783&lt;=1),2,0)+IF(AND(ISNUMBER(G783),G783&lt;=2),1,0)+IF(AND(ISNUMBER(H783),H783&lt;=2),1,0)</f>
        <v>3</v>
      </c>
      <c r="J783" s="2" t="str">
        <f aca="false">IF(I783&gt;=6,"High",IF(I783&gt;=3,"Medium","Low"))</f>
        <v>Medium</v>
      </c>
    </row>
    <row r="784" customFormat="false" ht="15" hidden="false" customHeight="true" outlineLevel="0" collapsed="false">
      <c r="A784" s="2" t="n">
        <f aca="false">'Raw Data'!H784</f>
        <v>783</v>
      </c>
      <c r="B784" s="2" t="n">
        <f aca="false">'Raw Data'!A784</f>
        <v>40</v>
      </c>
      <c r="C784" s="2" t="str">
        <f aca="false">'Raw Data'!D784</f>
        <v>Research &amp; Development</v>
      </c>
      <c r="D784" s="2" t="str">
        <f aca="false">'Raw Data'!K784</f>
        <v>Sales Executive</v>
      </c>
      <c r="E784" s="2" t="n">
        <f aca="false">'Raw Data'!Q784</f>
        <v>16</v>
      </c>
      <c r="F784" s="2" t="n">
        <f aca="false">'Raw Data'!U784</f>
        <v>8</v>
      </c>
      <c r="G784" s="2" t="n">
        <f aca="false">'Raw Data'!W784</f>
        <v>2</v>
      </c>
      <c r="H784" s="2" t="n">
        <f aca="false">'Raw Data'!V784</f>
        <v>4</v>
      </c>
      <c r="I784" s="2" t="n">
        <f aca="false">IF(AND(ISNUMBER(B784),B784&lt;=25),2,0)+IF(AND(ISNUMBER(E784),E784&lt;=5),2,0)+IF(AND(ISNUMBER(F784),F784&lt;=1),2,0)+IF(AND(ISNUMBER(G784),G784&lt;=2),1,0)+IF(AND(ISNUMBER(H784),H784&lt;=2),1,0)</f>
        <v>1</v>
      </c>
      <c r="J784" s="2" t="str">
        <f aca="false">IF(I784&gt;=6,"High",IF(I784&gt;=3,"Medium","Low"))</f>
        <v>Low</v>
      </c>
    </row>
    <row r="785" customFormat="false" ht="15" hidden="false" customHeight="true" outlineLevel="0" collapsed="false">
      <c r="A785" s="2" t="n">
        <f aca="false">'Raw Data'!H785</f>
        <v>784</v>
      </c>
      <c r="B785" s="2" t="n">
        <f aca="false">'Raw Data'!A785</f>
        <v>28</v>
      </c>
      <c r="C785" s="2" t="str">
        <f aca="false">'Raw Data'!D785</f>
        <v>Research &amp; Development</v>
      </c>
      <c r="D785" s="2" t="str">
        <f aca="false">'Raw Data'!K785</f>
        <v>Research Scientist</v>
      </c>
      <c r="E785" s="2" t="n">
        <f aca="false">'Raw Data'!Q785</f>
        <v>6</v>
      </c>
      <c r="F785" s="2" t="n">
        <f aca="false">'Raw Data'!U785</f>
        <v>3</v>
      </c>
      <c r="G785" s="2" t="n">
        <f aca="false">'Raw Data'!W785</f>
        <v>1</v>
      </c>
      <c r="H785" s="2" t="n">
        <f aca="false">'Raw Data'!V785</f>
        <v>4</v>
      </c>
      <c r="I785" s="2" t="n">
        <f aca="false">IF(AND(ISNUMBER(B785),B785&lt;=25),2,0)+IF(AND(ISNUMBER(E785),E785&lt;=5),2,0)+IF(AND(ISNUMBER(F785),F785&lt;=1),2,0)+IF(AND(ISNUMBER(G785),G785&lt;=2),1,0)+IF(AND(ISNUMBER(H785),H785&lt;=2),1,0)</f>
        <v>1</v>
      </c>
      <c r="J785" s="2" t="str">
        <f aca="false">IF(I785&gt;=6,"High",IF(I785&gt;=3,"Medium","Low"))</f>
        <v>Low</v>
      </c>
    </row>
    <row r="786" customFormat="false" ht="15" hidden="false" customHeight="true" outlineLevel="0" collapsed="false">
      <c r="A786" s="2" t="n">
        <f aca="false">'Raw Data'!H786</f>
        <v>785</v>
      </c>
      <c r="B786" s="2" t="n">
        <f aca="false">'Raw Data'!A786</f>
        <v>44</v>
      </c>
      <c r="C786" s="2" t="str">
        <f aca="false">'Raw Data'!D786</f>
        <v>Research &amp; Development</v>
      </c>
      <c r="D786" s="2" t="str">
        <f aca="false">'Raw Data'!K786</f>
        <v>Laboratory Technician</v>
      </c>
      <c r="E786" s="2" t="n">
        <f aca="false">'Raw Data'!Q786</f>
        <v>7</v>
      </c>
      <c r="F786" s="2" t="n">
        <f aca="false">'Raw Data'!U786</f>
        <v>3</v>
      </c>
      <c r="G786" s="2" t="n">
        <f aca="false">'Raw Data'!W786</f>
        <v>3</v>
      </c>
      <c r="H786" s="2" t="n">
        <f aca="false">'Raw Data'!V786</f>
        <v>3</v>
      </c>
      <c r="I786" s="2" t="n">
        <f aca="false">IF(AND(ISNUMBER(B786),B786&lt;=25),2,0)+IF(AND(ISNUMBER(E786),E786&lt;=5),2,0)+IF(AND(ISNUMBER(F786),F786&lt;=1),2,0)+IF(AND(ISNUMBER(G786),G786&lt;=2),1,0)+IF(AND(ISNUMBER(H786),H786&lt;=2),1,0)</f>
        <v>0</v>
      </c>
      <c r="J786" s="2" t="str">
        <f aca="false">IF(I786&gt;=6,"High",IF(I786&gt;=3,"Medium","Low"))</f>
        <v>Low</v>
      </c>
    </row>
    <row r="787" customFormat="false" ht="15" hidden="false" customHeight="true" outlineLevel="0" collapsed="false">
      <c r="A787" s="2" t="n">
        <f aca="false">'Raw Data'!H787</f>
        <v>786</v>
      </c>
      <c r="B787" s="2" t="n">
        <f aca="false">'Raw Data'!A787</f>
        <v>53</v>
      </c>
      <c r="C787" s="2" t="str">
        <f aca="false">'Raw Data'!D787</f>
        <v>Research &amp; Development</v>
      </c>
      <c r="D787" s="2" t="str">
        <f aca="false">'Raw Data'!K787</f>
        <v>Manager</v>
      </c>
      <c r="E787" s="2" t="n">
        <f aca="false">'Raw Data'!Q787</f>
        <v>35</v>
      </c>
      <c r="F787" s="2" t="n">
        <f aca="false">'Raw Data'!U787</f>
        <v>8</v>
      </c>
      <c r="G787" s="2" t="n">
        <f aca="false">'Raw Data'!W787</f>
        <v>2</v>
      </c>
      <c r="H787" s="2" t="n">
        <f aca="false">'Raw Data'!V787</f>
        <v>4</v>
      </c>
      <c r="I787" s="2" t="n">
        <f aca="false">IF(AND(ISNUMBER(B787),B787&lt;=25),2,0)+IF(AND(ISNUMBER(E787),E787&lt;=5),2,0)+IF(AND(ISNUMBER(F787),F787&lt;=1),2,0)+IF(AND(ISNUMBER(G787),G787&lt;=2),1,0)+IF(AND(ISNUMBER(H787),H787&lt;=2),1,0)</f>
        <v>1</v>
      </c>
      <c r="J787" s="2" t="str">
        <f aca="false">IF(I787&gt;=6,"High",IF(I787&gt;=3,"Medium","Low"))</f>
        <v>Low</v>
      </c>
    </row>
    <row r="788" customFormat="false" ht="15" hidden="false" customHeight="true" outlineLevel="0" collapsed="false">
      <c r="A788" s="2" t="n">
        <f aca="false">'Raw Data'!H788</f>
        <v>787</v>
      </c>
      <c r="B788" s="2" t="n">
        <f aca="false">'Raw Data'!A788</f>
        <v>49</v>
      </c>
      <c r="C788" s="2" t="str">
        <f aca="false">'Raw Data'!D788</f>
        <v>Research &amp; Development</v>
      </c>
      <c r="D788" s="2" t="str">
        <f aca="false">'Raw Data'!K788</f>
        <v>Laboratory Technician</v>
      </c>
      <c r="E788" s="2" t="n">
        <f aca="false">'Raw Data'!Q788</f>
        <v>20</v>
      </c>
      <c r="F788" s="2" t="n">
        <f aca="false">'Raw Data'!U788</f>
        <v>2</v>
      </c>
      <c r="G788" s="2" t="n">
        <f aca="false">'Raw Data'!W788</f>
        <v>3</v>
      </c>
      <c r="H788" s="2" t="n">
        <f aca="false">'Raw Data'!V788</f>
        <v>1</v>
      </c>
      <c r="I788" s="2" t="n">
        <f aca="false">IF(AND(ISNUMBER(B788),B788&lt;=25),2,0)+IF(AND(ISNUMBER(E788),E788&lt;=5),2,0)+IF(AND(ISNUMBER(F788),F788&lt;=1),2,0)+IF(AND(ISNUMBER(G788),G788&lt;=2),1,0)+IF(AND(ISNUMBER(H788),H788&lt;=2),1,0)</f>
        <v>1</v>
      </c>
      <c r="J788" s="2" t="str">
        <f aca="false">IF(I788&gt;=6,"High",IF(I788&gt;=3,"Medium","Low"))</f>
        <v>Low</v>
      </c>
    </row>
    <row r="789" customFormat="false" ht="15" hidden="false" customHeight="true" outlineLevel="0" collapsed="false">
      <c r="A789" s="2" t="n">
        <f aca="false">'Raw Data'!H789</f>
        <v>788</v>
      </c>
      <c r="B789" s="2" t="n">
        <f aca="false">'Raw Data'!A789</f>
        <v>40</v>
      </c>
      <c r="C789" s="2" t="str">
        <f aca="false">'Raw Data'!D789</f>
        <v>Research &amp; Development</v>
      </c>
      <c r="D789" s="2" t="str">
        <f aca="false">'Raw Data'!K789</f>
        <v>Laboratory Technician</v>
      </c>
      <c r="E789" s="2" t="n">
        <f aca="false">'Raw Data'!Q789</f>
        <v>8</v>
      </c>
      <c r="F789" s="2" t="n">
        <f aca="false">'Raw Data'!U789</f>
        <v>2</v>
      </c>
      <c r="G789" s="2" t="n">
        <f aca="false">'Raw Data'!W789</f>
        <v>3</v>
      </c>
      <c r="H789" s="2" t="n">
        <f aca="false">'Raw Data'!V789</f>
        <v>3</v>
      </c>
      <c r="I789" s="2" t="n">
        <f aca="false">IF(AND(ISNUMBER(B789),B789&lt;=25),2,0)+IF(AND(ISNUMBER(E789),E789&lt;=5),2,0)+IF(AND(ISNUMBER(F789),F789&lt;=1),2,0)+IF(AND(ISNUMBER(G789),G789&lt;=2),1,0)+IF(AND(ISNUMBER(H789),H789&lt;=2),1,0)</f>
        <v>0</v>
      </c>
      <c r="J789" s="2" t="str">
        <f aca="false">IF(I789&gt;=6,"High",IF(I789&gt;=3,"Medium","Low"))</f>
        <v>Low</v>
      </c>
    </row>
    <row r="790" customFormat="false" ht="15" hidden="false" customHeight="true" outlineLevel="0" collapsed="false">
      <c r="A790" s="2" t="n">
        <f aca="false">'Raw Data'!H790</f>
        <v>789</v>
      </c>
      <c r="B790" s="2" t="n">
        <f aca="false">'Raw Data'!A790</f>
        <v>44</v>
      </c>
      <c r="C790" s="2" t="str">
        <f aca="false">'Raw Data'!D790</f>
        <v>Research &amp; Development</v>
      </c>
      <c r="D790" s="2" t="str">
        <f aca="false">'Raw Data'!K790</f>
        <v>Research Scientist</v>
      </c>
      <c r="E790" s="2" t="n">
        <f aca="false">'Raw Data'!Q790</f>
        <v>6</v>
      </c>
      <c r="F790" s="2" t="n">
        <f aca="false">'Raw Data'!U790</f>
        <v>3</v>
      </c>
      <c r="G790" s="2" t="n">
        <f aca="false">'Raw Data'!W790</f>
        <v>2</v>
      </c>
      <c r="H790" s="2" t="n">
        <f aca="false">'Raw Data'!V790</f>
        <v>4</v>
      </c>
      <c r="I790" s="2" t="n">
        <f aca="false">IF(AND(ISNUMBER(B790),B790&lt;=25),2,0)+IF(AND(ISNUMBER(E790),E790&lt;=5),2,0)+IF(AND(ISNUMBER(F790),F790&lt;=1),2,0)+IF(AND(ISNUMBER(G790),G790&lt;=2),1,0)+IF(AND(ISNUMBER(H790),H790&lt;=2),1,0)</f>
        <v>1</v>
      </c>
      <c r="J790" s="2" t="str">
        <f aca="false">IF(I790&gt;=6,"High",IF(I790&gt;=3,"Medium","Low"))</f>
        <v>Low</v>
      </c>
    </row>
    <row r="791" customFormat="false" ht="15" hidden="false" customHeight="true" outlineLevel="0" collapsed="false">
      <c r="A791" s="2" t="n">
        <f aca="false">'Raw Data'!H791</f>
        <v>790</v>
      </c>
      <c r="B791" s="2" t="n">
        <f aca="false">'Raw Data'!A791</f>
        <v>33</v>
      </c>
      <c r="C791" s="2" t="str">
        <f aca="false">'Raw Data'!D791</f>
        <v>Human Resources</v>
      </c>
      <c r="D791" s="2" t="str">
        <f aca="false">'Raw Data'!K791</f>
        <v>Sales Executive</v>
      </c>
      <c r="E791" s="2" t="n">
        <f aca="false">'Raw Data'!Q791</f>
        <v>5</v>
      </c>
      <c r="F791" s="2" t="n">
        <f aca="false">'Raw Data'!U791</f>
        <v>3</v>
      </c>
      <c r="G791" s="2" t="n">
        <f aca="false">'Raw Data'!W791</f>
        <v>1</v>
      </c>
      <c r="H791" s="2" t="n">
        <f aca="false">'Raw Data'!V791</f>
        <v>4</v>
      </c>
      <c r="I791" s="2" t="n">
        <f aca="false">IF(AND(ISNUMBER(B791),B791&lt;=25),2,0)+IF(AND(ISNUMBER(E791),E791&lt;=5),2,0)+IF(AND(ISNUMBER(F791),F791&lt;=1),2,0)+IF(AND(ISNUMBER(G791),G791&lt;=2),1,0)+IF(AND(ISNUMBER(H791),H791&lt;=2),1,0)</f>
        <v>3</v>
      </c>
      <c r="J791" s="2" t="str">
        <f aca="false">IF(I791&gt;=6,"High",IF(I791&gt;=3,"Medium","Low"))</f>
        <v>Medium</v>
      </c>
    </row>
    <row r="792" customFormat="false" ht="15" hidden="false" customHeight="true" outlineLevel="0" collapsed="false">
      <c r="A792" s="2" t="n">
        <f aca="false">'Raw Data'!H792</f>
        <v>791</v>
      </c>
      <c r="B792" s="2" t="n">
        <f aca="false">'Raw Data'!A792</f>
        <v>34</v>
      </c>
      <c r="C792" s="2" t="str">
        <f aca="false">'Raw Data'!D792</f>
        <v>Research &amp; Development</v>
      </c>
      <c r="D792" s="2" t="str">
        <f aca="false">'Raw Data'!K792</f>
        <v>Sales Representative</v>
      </c>
      <c r="E792" s="2" t="n">
        <f aca="false">'Raw Data'!Q792</f>
        <v>15</v>
      </c>
      <c r="F792" s="2" t="n">
        <f aca="false">'Raw Data'!U792</f>
        <v>12</v>
      </c>
      <c r="G792" s="2" t="n">
        <f aca="false">'Raw Data'!W792</f>
        <v>1</v>
      </c>
      <c r="H792" s="2" t="n">
        <f aca="false">'Raw Data'!V792</f>
        <v>4</v>
      </c>
      <c r="I792" s="2" t="n">
        <f aca="false">IF(AND(ISNUMBER(B792),B792&lt;=25),2,0)+IF(AND(ISNUMBER(E792),E792&lt;=5),2,0)+IF(AND(ISNUMBER(F792),F792&lt;=1),2,0)+IF(AND(ISNUMBER(G792),G792&lt;=2),1,0)+IF(AND(ISNUMBER(H792),H792&lt;=2),1,0)</f>
        <v>1</v>
      </c>
      <c r="J792" s="2" t="str">
        <f aca="false">IF(I792&gt;=6,"High",IF(I792&gt;=3,"Medium","Low"))</f>
        <v>Low</v>
      </c>
    </row>
    <row r="793" customFormat="false" ht="15" hidden="false" customHeight="true" outlineLevel="0" collapsed="false">
      <c r="A793" s="2" t="n">
        <f aca="false">'Raw Data'!H793</f>
        <v>792</v>
      </c>
      <c r="B793" s="2" t="n">
        <f aca="false">'Raw Data'!A793</f>
        <v>30</v>
      </c>
      <c r="C793" s="2" t="str">
        <f aca="false">'Raw Data'!D793</f>
        <v>Sales</v>
      </c>
      <c r="D793" s="2" t="str">
        <f aca="false">'Raw Data'!K793</f>
        <v>Laboratory Technician</v>
      </c>
      <c r="E793" s="2" t="n">
        <f aca="false">'Raw Data'!Q793</f>
        <v>4</v>
      </c>
      <c r="F793" s="2" t="n">
        <f aca="false">'Raw Data'!U793</f>
        <v>2</v>
      </c>
      <c r="G793" s="2" t="n">
        <f aca="false">'Raw Data'!W793</f>
        <v>3</v>
      </c>
      <c r="H793" s="2" t="n">
        <f aca="false">'Raw Data'!V793</f>
        <v>4</v>
      </c>
      <c r="I793" s="2" t="n">
        <f aca="false">IF(AND(ISNUMBER(B793),B793&lt;=25),2,0)+IF(AND(ISNUMBER(E793),E793&lt;=5),2,0)+IF(AND(ISNUMBER(F793),F793&lt;=1),2,0)+IF(AND(ISNUMBER(G793),G793&lt;=2),1,0)+IF(AND(ISNUMBER(H793),H793&lt;=2),1,0)</f>
        <v>2</v>
      </c>
      <c r="J793" s="2" t="str">
        <f aca="false">IF(I793&gt;=6,"High",IF(I793&gt;=3,"Medium","Low"))</f>
        <v>Low</v>
      </c>
    </row>
    <row r="794" customFormat="false" ht="15" hidden="false" customHeight="true" outlineLevel="0" collapsed="false">
      <c r="A794" s="2" t="n">
        <f aca="false">'Raw Data'!H794</f>
        <v>793</v>
      </c>
      <c r="B794" s="2" t="n">
        <f aca="false">'Raw Data'!A794</f>
        <v>42</v>
      </c>
      <c r="C794" s="2" t="str">
        <f aca="false">'Raw Data'!D794</f>
        <v>Research &amp; Development</v>
      </c>
      <c r="D794" s="2" t="str">
        <f aca="false">'Raw Data'!K794</f>
        <v>Sales Executive</v>
      </c>
      <c r="E794" s="2" t="n">
        <f aca="false">'Raw Data'!Q794</f>
        <v>12</v>
      </c>
      <c r="F794" s="2" t="n">
        <f aca="false">'Raw Data'!U794</f>
        <v>8</v>
      </c>
      <c r="G794" s="2" t="n">
        <f aca="false">'Raw Data'!W794</f>
        <v>4</v>
      </c>
      <c r="H794" s="2" t="n">
        <f aca="false">'Raw Data'!V794</f>
        <v>1</v>
      </c>
      <c r="I794" s="2" t="n">
        <f aca="false">IF(AND(ISNUMBER(B794),B794&lt;=25),2,0)+IF(AND(ISNUMBER(E794),E794&lt;=5),2,0)+IF(AND(ISNUMBER(F794),F794&lt;=1),2,0)+IF(AND(ISNUMBER(G794),G794&lt;=2),1,0)+IF(AND(ISNUMBER(H794),H794&lt;=2),1,0)</f>
        <v>1</v>
      </c>
      <c r="J794" s="2" t="str">
        <f aca="false">IF(I794&gt;=6,"High",IF(I794&gt;=3,"Medium","Low"))</f>
        <v>Low</v>
      </c>
    </row>
    <row r="795" customFormat="false" ht="15" hidden="false" customHeight="true" outlineLevel="0" collapsed="false">
      <c r="A795" s="2" t="n">
        <f aca="false">'Raw Data'!H795</f>
        <v>794</v>
      </c>
      <c r="B795" s="2" t="n">
        <f aca="false">'Raw Data'!A795</f>
        <v>44</v>
      </c>
      <c r="C795" s="2" t="str">
        <f aca="false">'Raw Data'!D795</f>
        <v>Research &amp; Development</v>
      </c>
      <c r="D795" s="2" t="str">
        <f aca="false">'Raw Data'!K795</f>
        <v>Manufacturing Director</v>
      </c>
      <c r="E795" s="2" t="n">
        <f aca="false">'Raw Data'!Q795</f>
        <v>11</v>
      </c>
      <c r="F795" s="2" t="n">
        <f aca="false">'Raw Data'!U795</f>
        <v>0</v>
      </c>
      <c r="G795" s="2" t="n">
        <f aca="false">'Raw Data'!W795</f>
        <v>3</v>
      </c>
      <c r="H795" s="2" t="n">
        <f aca="false">'Raw Data'!V795</f>
        <v>1</v>
      </c>
      <c r="I795" s="2" t="n">
        <f aca="false">IF(AND(ISNUMBER(B795),B795&lt;=25),2,0)+IF(AND(ISNUMBER(E795),E795&lt;=5),2,0)+IF(AND(ISNUMBER(F795),F795&lt;=1),2,0)+IF(AND(ISNUMBER(G795),G795&lt;=2),1,0)+IF(AND(ISNUMBER(H795),H795&lt;=2),1,0)</f>
        <v>3</v>
      </c>
      <c r="J795" s="2" t="str">
        <f aca="false">IF(I795&gt;=6,"High",IF(I795&gt;=3,"Medium","Low"))</f>
        <v>Medium</v>
      </c>
    </row>
    <row r="796" customFormat="false" ht="15" hidden="false" customHeight="true" outlineLevel="0" collapsed="false">
      <c r="A796" s="2" t="n">
        <f aca="false">'Raw Data'!H796</f>
        <v>795</v>
      </c>
      <c r="B796" s="2" t="n">
        <f aca="false">'Raw Data'!A796</f>
        <v>30</v>
      </c>
      <c r="C796" s="2" t="str">
        <f aca="false">'Raw Data'!D796</f>
        <v>Research &amp; Development</v>
      </c>
      <c r="D796" s="2" t="str">
        <f aca="false">'Raw Data'!K796</f>
        <v>Manufacturing Director</v>
      </c>
      <c r="E796" s="2" t="n">
        <f aca="false">'Raw Data'!Q796</f>
        <v>1</v>
      </c>
      <c r="F796" s="2" t="n">
        <f aca="false">'Raw Data'!U796</f>
        <v>0</v>
      </c>
      <c r="G796" s="2" t="n">
        <f aca="false">'Raw Data'!W796</f>
        <v>3</v>
      </c>
      <c r="H796" s="2" t="n">
        <f aca="false">'Raw Data'!V796</f>
        <v>3</v>
      </c>
      <c r="I796" s="2" t="n">
        <f aca="false">IF(AND(ISNUMBER(B796),B796&lt;=25),2,0)+IF(AND(ISNUMBER(E796),E796&lt;=5),2,0)+IF(AND(ISNUMBER(F796),F796&lt;=1),2,0)+IF(AND(ISNUMBER(G796),G796&lt;=2),1,0)+IF(AND(ISNUMBER(H796),H796&lt;=2),1,0)</f>
        <v>4</v>
      </c>
      <c r="J796" s="2" t="str">
        <f aca="false">IF(I796&gt;=6,"High",IF(I796&gt;=3,"Medium","Low"))</f>
        <v>Medium</v>
      </c>
    </row>
    <row r="797" customFormat="false" ht="15" hidden="false" customHeight="true" outlineLevel="0" collapsed="false">
      <c r="A797" s="2" t="n">
        <f aca="false">'Raw Data'!H797</f>
        <v>796</v>
      </c>
      <c r="B797" s="2" t="n">
        <f aca="false">'Raw Data'!A797</f>
        <v>57</v>
      </c>
      <c r="C797" s="2" t="str">
        <f aca="false">'Raw Data'!D797</f>
        <v>Sales</v>
      </c>
      <c r="D797" s="2" t="str">
        <f aca="false">'Raw Data'!K797</f>
        <v>Research Scientist</v>
      </c>
      <c r="E797" s="2" t="n">
        <f aca="false">'Raw Data'!Q797</f>
        <v>13</v>
      </c>
      <c r="F797" s="2" t="n">
        <f aca="false">'Raw Data'!U797</f>
        <v>8</v>
      </c>
      <c r="G797" s="2" t="n">
        <f aca="false">'Raw Data'!W797</f>
        <v>3</v>
      </c>
      <c r="H797" s="2" t="n">
        <f aca="false">'Raw Data'!V797</f>
        <v>2</v>
      </c>
      <c r="I797" s="2" t="n">
        <f aca="false">IF(AND(ISNUMBER(B797),B797&lt;=25),2,0)+IF(AND(ISNUMBER(E797),E797&lt;=5),2,0)+IF(AND(ISNUMBER(F797),F797&lt;=1),2,0)+IF(AND(ISNUMBER(G797),G797&lt;=2),1,0)+IF(AND(ISNUMBER(H797),H797&lt;=2),1,0)</f>
        <v>1</v>
      </c>
      <c r="J797" s="2" t="str">
        <f aca="false">IF(I797&gt;=6,"High",IF(I797&gt;=3,"Medium","Low"))</f>
        <v>Low</v>
      </c>
    </row>
    <row r="798" customFormat="false" ht="15" hidden="false" customHeight="true" outlineLevel="0" collapsed="false">
      <c r="A798" s="2" t="n">
        <f aca="false">'Raw Data'!H798</f>
        <v>797</v>
      </c>
      <c r="B798" s="2" t="n">
        <f aca="false">'Raw Data'!A798</f>
        <v>49</v>
      </c>
      <c r="C798" s="2" t="str">
        <f aca="false">'Raw Data'!D798</f>
        <v>Research &amp; Development</v>
      </c>
      <c r="D798" s="2" t="str">
        <f aca="false">'Raw Data'!K798</f>
        <v>Sales Executive</v>
      </c>
      <c r="E798" s="2" t="n">
        <f aca="false">'Raw Data'!Q798</f>
        <v>29</v>
      </c>
      <c r="F798" s="2" t="n">
        <f aca="false">'Raw Data'!U798</f>
        <v>7</v>
      </c>
      <c r="G798" s="2" t="n">
        <f aca="false">'Raw Data'!W798</f>
        <v>2</v>
      </c>
      <c r="H798" s="2" t="n">
        <f aca="false">'Raw Data'!V798</f>
        <v>3</v>
      </c>
      <c r="I798" s="2" t="n">
        <f aca="false">IF(AND(ISNUMBER(B798),B798&lt;=25),2,0)+IF(AND(ISNUMBER(E798),E798&lt;=5),2,0)+IF(AND(ISNUMBER(F798),F798&lt;=1),2,0)+IF(AND(ISNUMBER(G798),G798&lt;=2),1,0)+IF(AND(ISNUMBER(H798),H798&lt;=2),1,0)</f>
        <v>1</v>
      </c>
      <c r="J798" s="2" t="str">
        <f aca="false">IF(I798&gt;=6,"High",IF(I798&gt;=3,"Medium","Low"))</f>
        <v>Low</v>
      </c>
    </row>
    <row r="799" customFormat="false" ht="15" hidden="false" customHeight="true" outlineLevel="0" collapsed="false">
      <c r="A799" s="2" t="n">
        <f aca="false">'Raw Data'!H799</f>
        <v>798</v>
      </c>
      <c r="B799" s="2" t="n">
        <f aca="false">'Raw Data'!A799</f>
        <v>34</v>
      </c>
      <c r="C799" s="2" t="str">
        <f aca="false">'Raw Data'!D799</f>
        <v>Research &amp; Development</v>
      </c>
      <c r="D799" s="2" t="str">
        <f aca="false">'Raw Data'!K799</f>
        <v>Sales Representative</v>
      </c>
      <c r="E799" s="2" t="n">
        <f aca="false">'Raw Data'!Q799</f>
        <v>16</v>
      </c>
      <c r="F799" s="2" t="n">
        <f aca="false">'Raw Data'!U799</f>
        <v>9</v>
      </c>
      <c r="G799" s="2" t="n">
        <f aca="false">'Raw Data'!W799</f>
        <v>1</v>
      </c>
      <c r="H799" s="2" t="n">
        <f aca="false">'Raw Data'!V799</f>
        <v>2</v>
      </c>
      <c r="I799" s="2" t="n">
        <f aca="false">IF(AND(ISNUMBER(B799),B799&lt;=25),2,0)+IF(AND(ISNUMBER(E799),E799&lt;=5),2,0)+IF(AND(ISNUMBER(F799),F799&lt;=1),2,0)+IF(AND(ISNUMBER(G799),G799&lt;=2),1,0)+IF(AND(ISNUMBER(H799),H799&lt;=2),1,0)</f>
        <v>2</v>
      </c>
      <c r="J799" s="2" t="str">
        <f aca="false">IF(I799&gt;=6,"High",IF(I799&gt;=3,"Medium","Low"))</f>
        <v>Low</v>
      </c>
    </row>
    <row r="800" customFormat="false" ht="15" hidden="false" customHeight="true" outlineLevel="0" collapsed="false">
      <c r="A800" s="2" t="n">
        <f aca="false">'Raw Data'!H800</f>
        <v>799</v>
      </c>
      <c r="B800" s="2" t="n">
        <f aca="false">'Raw Data'!A800</f>
        <v>28</v>
      </c>
      <c r="C800" s="2" t="str">
        <f aca="false">'Raw Data'!D800</f>
        <v>Research &amp; Development</v>
      </c>
      <c r="D800" s="2" t="str">
        <f aca="false">'Raw Data'!K800</f>
        <v>Research Scientist</v>
      </c>
      <c r="E800" s="2" t="n">
        <f aca="false">'Raw Data'!Q800</f>
        <v>5</v>
      </c>
      <c r="F800" s="2" t="n">
        <f aca="false">'Raw Data'!U800</f>
        <v>2</v>
      </c>
      <c r="G800" s="2" t="n">
        <f aca="false">'Raw Data'!W800</f>
        <v>3</v>
      </c>
      <c r="H800" s="2" t="n">
        <f aca="false">'Raw Data'!V800</f>
        <v>1</v>
      </c>
      <c r="I800" s="2" t="n">
        <f aca="false">IF(AND(ISNUMBER(B800),B800&lt;=25),2,0)+IF(AND(ISNUMBER(E800),E800&lt;=5),2,0)+IF(AND(ISNUMBER(F800),F800&lt;=1),2,0)+IF(AND(ISNUMBER(G800),G800&lt;=2),1,0)+IF(AND(ISNUMBER(H800),H800&lt;=2),1,0)</f>
        <v>3</v>
      </c>
      <c r="J800" s="2" t="str">
        <f aca="false">IF(I800&gt;=6,"High",IF(I800&gt;=3,"Medium","Low"))</f>
        <v>Medium</v>
      </c>
    </row>
    <row r="801" customFormat="false" ht="15" hidden="false" customHeight="true" outlineLevel="0" collapsed="false">
      <c r="A801" s="2" t="n">
        <f aca="false">'Raw Data'!H801</f>
        <v>800</v>
      </c>
      <c r="B801" s="2" t="n">
        <f aca="false">'Raw Data'!A801</f>
        <v>29</v>
      </c>
      <c r="C801" s="2" t="str">
        <f aca="false">'Raw Data'!D801</f>
        <v>Research &amp; Development</v>
      </c>
      <c r="D801" s="2" t="str">
        <f aca="false">'Raw Data'!K801</f>
        <v>Research Scientist</v>
      </c>
      <c r="E801" s="2" t="n">
        <f aca="false">'Raw Data'!Q801</f>
        <v>7</v>
      </c>
      <c r="F801" s="2" t="n">
        <f aca="false">'Raw Data'!U801</f>
        <v>0</v>
      </c>
      <c r="G801" s="2" t="n">
        <f aca="false">'Raw Data'!W801</f>
        <v>2</v>
      </c>
      <c r="H801" s="2" t="n">
        <f aca="false">'Raw Data'!V801</f>
        <v>1</v>
      </c>
      <c r="I801" s="2" t="n">
        <f aca="false">IF(AND(ISNUMBER(B801),B801&lt;=25),2,0)+IF(AND(ISNUMBER(E801),E801&lt;=5),2,0)+IF(AND(ISNUMBER(F801),F801&lt;=1),2,0)+IF(AND(ISNUMBER(G801),G801&lt;=2),1,0)+IF(AND(ISNUMBER(H801),H801&lt;=2),1,0)</f>
        <v>4</v>
      </c>
      <c r="J801" s="2" t="str">
        <f aca="false">IF(I801&gt;=6,"High",IF(I801&gt;=3,"Medium","Low"))</f>
        <v>Medium</v>
      </c>
    </row>
    <row r="802" customFormat="false" ht="15" hidden="false" customHeight="true" outlineLevel="0" collapsed="false">
      <c r="A802" s="2" t="n">
        <f aca="false">'Raw Data'!H802</f>
        <v>801</v>
      </c>
      <c r="B802" s="2" t="n">
        <f aca="false">'Raw Data'!A802</f>
        <v>34</v>
      </c>
      <c r="C802" s="2" t="str">
        <f aca="false">'Raw Data'!D802</f>
        <v>Research &amp; Development</v>
      </c>
      <c r="D802" s="2" t="str">
        <f aca="false">'Raw Data'!K802</f>
        <v>Research Scientist</v>
      </c>
      <c r="E802" s="2" t="n">
        <f aca="false">'Raw Data'!Q802</f>
        <v>16</v>
      </c>
      <c r="F802" s="2" t="n">
        <f aca="false">'Raw Data'!U802</f>
        <v>10</v>
      </c>
      <c r="G802" s="2" t="n">
        <f aca="false">'Raw Data'!W802</f>
        <v>2</v>
      </c>
      <c r="H802" s="2" t="n">
        <f aca="false">'Raw Data'!V802</f>
        <v>1</v>
      </c>
      <c r="I802" s="2" t="n">
        <f aca="false">IF(AND(ISNUMBER(B802),B802&lt;=25),2,0)+IF(AND(ISNUMBER(E802),E802&lt;=5),2,0)+IF(AND(ISNUMBER(F802),F802&lt;=1),2,0)+IF(AND(ISNUMBER(G802),G802&lt;=2),1,0)+IF(AND(ISNUMBER(H802),H802&lt;=2),1,0)</f>
        <v>2</v>
      </c>
      <c r="J802" s="2" t="str">
        <f aca="false">IF(I802&gt;=6,"High",IF(I802&gt;=3,"Medium","Low"))</f>
        <v>Low</v>
      </c>
    </row>
    <row r="803" customFormat="false" ht="15" hidden="false" customHeight="true" outlineLevel="0" collapsed="false">
      <c r="A803" s="2" t="n">
        <f aca="false">'Raw Data'!H803</f>
        <v>802</v>
      </c>
      <c r="B803" s="2" t="n">
        <f aca="false">'Raw Data'!A803</f>
        <v>35</v>
      </c>
      <c r="C803" s="2" t="str">
        <f aca="false">'Raw Data'!D803</f>
        <v>Sales</v>
      </c>
      <c r="D803" s="2" t="str">
        <f aca="false">'Raw Data'!K803</f>
        <v>Healthcare Representative</v>
      </c>
      <c r="E803" s="2" t="n">
        <f aca="false">'Raw Data'!Q803</f>
        <v>1</v>
      </c>
      <c r="F803" s="2" t="n">
        <f aca="false">'Raw Data'!U803</f>
        <v>0</v>
      </c>
      <c r="G803" s="2" t="n">
        <f aca="false">'Raw Data'!W803</f>
        <v>3</v>
      </c>
      <c r="H803" s="2" t="n">
        <f aca="false">'Raw Data'!V803</f>
        <v>4</v>
      </c>
      <c r="I803" s="2" t="n">
        <f aca="false">IF(AND(ISNUMBER(B803),B803&lt;=25),2,0)+IF(AND(ISNUMBER(E803),E803&lt;=5),2,0)+IF(AND(ISNUMBER(F803),F803&lt;=1),2,0)+IF(AND(ISNUMBER(G803),G803&lt;=2),1,0)+IF(AND(ISNUMBER(H803),H803&lt;=2),1,0)</f>
        <v>4</v>
      </c>
      <c r="J803" s="2" t="str">
        <f aca="false">IF(I803&gt;=6,"High",IF(I803&gt;=3,"Medium","Low"))</f>
        <v>Medium</v>
      </c>
    </row>
    <row r="804" customFormat="false" ht="15" hidden="false" customHeight="true" outlineLevel="0" collapsed="false">
      <c r="A804" s="2" t="n">
        <f aca="false">'Raw Data'!H804</f>
        <v>803</v>
      </c>
      <c r="B804" s="2" t="n">
        <f aca="false">'Raw Data'!A804</f>
        <v>24</v>
      </c>
      <c r="C804" s="2" t="str">
        <f aca="false">'Raw Data'!D804</f>
        <v>Sales</v>
      </c>
      <c r="D804" s="2" t="str">
        <f aca="false">'Raw Data'!K804</f>
        <v>Research Scientist</v>
      </c>
      <c r="E804" s="2" t="n">
        <f aca="false">'Raw Data'!Q804</f>
        <v>4</v>
      </c>
      <c r="F804" s="2" t="n">
        <f aca="false">'Raw Data'!U804</f>
        <v>0</v>
      </c>
      <c r="G804" s="2" t="n">
        <f aca="false">'Raw Data'!W804</f>
        <v>1</v>
      </c>
      <c r="H804" s="2" t="n">
        <f aca="false">'Raw Data'!V804</f>
        <v>2</v>
      </c>
      <c r="I804" s="2" t="n">
        <f aca="false">IF(AND(ISNUMBER(B804),B804&lt;=25),2,0)+IF(AND(ISNUMBER(E804),E804&lt;=5),2,0)+IF(AND(ISNUMBER(F804),F804&lt;=1),2,0)+IF(AND(ISNUMBER(G804),G804&lt;=2),1,0)+IF(AND(ISNUMBER(H804),H804&lt;=2),1,0)</f>
        <v>8</v>
      </c>
      <c r="J804" s="2" t="str">
        <f aca="false">IF(I804&gt;=6,"High",IF(I804&gt;=3,"Medium","Low"))</f>
        <v>High</v>
      </c>
    </row>
    <row r="805" customFormat="false" ht="15" hidden="false" customHeight="true" outlineLevel="0" collapsed="false">
      <c r="A805" s="2" t="n">
        <f aca="false">'Raw Data'!H805</f>
        <v>804</v>
      </c>
      <c r="B805" s="2" t="n">
        <f aca="false">'Raw Data'!A805</f>
        <v>24</v>
      </c>
      <c r="C805" s="2" t="str">
        <f aca="false">'Raw Data'!D805</f>
        <v>Research &amp; Development</v>
      </c>
      <c r="D805" s="2" t="str">
        <f aca="false">'Raw Data'!K805</f>
        <v>Manager</v>
      </c>
      <c r="E805" s="2" t="n">
        <f aca="false">'Raw Data'!Q805</f>
        <v>1</v>
      </c>
      <c r="F805" s="2" t="n">
        <f aca="false">'Raw Data'!U805</f>
        <v>0</v>
      </c>
      <c r="G805" s="2" t="n">
        <f aca="false">'Raw Data'!W805</f>
        <v>2</v>
      </c>
      <c r="H805" s="2" t="n">
        <f aca="false">'Raw Data'!V805</f>
        <v>4</v>
      </c>
      <c r="I805" s="2" t="n">
        <f aca="false">IF(AND(ISNUMBER(B805),B805&lt;=25),2,0)+IF(AND(ISNUMBER(E805),E805&lt;=5),2,0)+IF(AND(ISNUMBER(F805),F805&lt;=1),2,0)+IF(AND(ISNUMBER(G805),G805&lt;=2),1,0)+IF(AND(ISNUMBER(H805),H805&lt;=2),1,0)</f>
        <v>7</v>
      </c>
      <c r="J805" s="2" t="str">
        <f aca="false">IF(I805&gt;=6,"High",IF(I805&gt;=3,"Medium","Low"))</f>
        <v>High</v>
      </c>
    </row>
    <row r="806" customFormat="false" ht="15" hidden="false" customHeight="true" outlineLevel="0" collapsed="false">
      <c r="A806" s="2" t="n">
        <f aca="false">'Raw Data'!H806</f>
        <v>805</v>
      </c>
      <c r="B806" s="2" t="n">
        <f aca="false">'Raw Data'!A806</f>
        <v>44</v>
      </c>
      <c r="C806" s="2" t="str">
        <f aca="false">'Raw Data'!D806</f>
        <v>Research &amp; Development</v>
      </c>
      <c r="D806" s="2" t="str">
        <f aca="false">'Raw Data'!K806</f>
        <v>Research Scientist</v>
      </c>
      <c r="E806" s="2" t="n">
        <f aca="false">'Raw Data'!Q806</f>
        <v>16</v>
      </c>
      <c r="F806" s="2" t="n">
        <f aca="false">'Raw Data'!U806</f>
        <v>2</v>
      </c>
      <c r="G806" s="2" t="n">
        <f aca="false">'Raw Data'!W806</f>
        <v>3</v>
      </c>
      <c r="H806" s="2" t="n">
        <f aca="false">'Raw Data'!V806</f>
        <v>2</v>
      </c>
      <c r="I806" s="2" t="n">
        <f aca="false">IF(AND(ISNUMBER(B806),B806&lt;=25),2,0)+IF(AND(ISNUMBER(E806),E806&lt;=5),2,0)+IF(AND(ISNUMBER(F806),F806&lt;=1),2,0)+IF(AND(ISNUMBER(G806),G806&lt;=2),1,0)+IF(AND(ISNUMBER(H806),H806&lt;=2),1,0)</f>
        <v>1</v>
      </c>
      <c r="J806" s="2" t="str">
        <f aca="false">IF(I806&gt;=6,"High",IF(I806&gt;=3,"Medium","Low"))</f>
        <v>Low</v>
      </c>
    </row>
    <row r="807" customFormat="false" ht="15" hidden="false" customHeight="true" outlineLevel="0" collapsed="false">
      <c r="A807" s="2" t="n">
        <f aca="false">'Raw Data'!H807</f>
        <v>806</v>
      </c>
      <c r="B807" s="2" t="n">
        <f aca="false">'Raw Data'!A807</f>
        <v>29</v>
      </c>
      <c r="C807" s="2" t="str">
        <f aca="false">'Raw Data'!D807</f>
        <v>Sales</v>
      </c>
      <c r="D807" s="2" t="str">
        <f aca="false">'Raw Data'!K807</f>
        <v>Sales Executive</v>
      </c>
      <c r="E807" s="2" t="n">
        <f aca="false">'Raw Data'!Q807</f>
        <v>10</v>
      </c>
      <c r="F807" s="2" t="n">
        <f aca="false">'Raw Data'!U807</f>
        <v>4</v>
      </c>
      <c r="G807" s="2" t="n">
        <f aca="false">'Raw Data'!W807</f>
        <v>3</v>
      </c>
      <c r="H807" s="2" t="n">
        <f aca="false">'Raw Data'!V807</f>
        <v>3</v>
      </c>
      <c r="I807" s="2" t="n">
        <f aca="false">IF(AND(ISNUMBER(B807),B807&lt;=25),2,0)+IF(AND(ISNUMBER(E807),E807&lt;=5),2,0)+IF(AND(ISNUMBER(F807),F807&lt;=1),2,0)+IF(AND(ISNUMBER(G807),G807&lt;=2),1,0)+IF(AND(ISNUMBER(H807),H807&lt;=2),1,0)</f>
        <v>0</v>
      </c>
      <c r="J807" s="2" t="str">
        <f aca="false">IF(I807&gt;=6,"High",IF(I807&gt;=3,"Medium","Low"))</f>
        <v>Low</v>
      </c>
    </row>
    <row r="808" customFormat="false" ht="15" hidden="false" customHeight="true" outlineLevel="0" collapsed="false">
      <c r="A808" s="2" t="n">
        <f aca="false">'Raw Data'!H808</f>
        <v>807</v>
      </c>
      <c r="B808" s="2" t="n">
        <f aca="false">'Raw Data'!A808</f>
        <v>30</v>
      </c>
      <c r="C808" s="2" t="str">
        <f aca="false">'Raw Data'!D808</f>
        <v>Research &amp; Development</v>
      </c>
      <c r="D808" s="2" t="str">
        <f aca="false">'Raw Data'!K808</f>
        <v>Sales Executive</v>
      </c>
      <c r="E808" s="2" t="n">
        <f aca="false">'Raw Data'!Q808</f>
        <v>6</v>
      </c>
      <c r="F808" s="2" t="n">
        <f aca="false">'Raw Data'!U808</f>
        <v>3</v>
      </c>
      <c r="G808" s="2" t="n">
        <f aca="false">'Raw Data'!W808</f>
        <v>3</v>
      </c>
      <c r="H808" s="2" t="n">
        <f aca="false">'Raw Data'!V808</f>
        <v>3</v>
      </c>
      <c r="I808" s="2" t="n">
        <f aca="false">IF(AND(ISNUMBER(B808),B808&lt;=25),2,0)+IF(AND(ISNUMBER(E808),E808&lt;=5),2,0)+IF(AND(ISNUMBER(F808),F808&lt;=1),2,0)+IF(AND(ISNUMBER(G808),G808&lt;=2),1,0)+IF(AND(ISNUMBER(H808),H808&lt;=2),1,0)</f>
        <v>0</v>
      </c>
      <c r="J808" s="2" t="str">
        <f aca="false">IF(I808&gt;=6,"High",IF(I808&gt;=3,"Medium","Low"))</f>
        <v>Low</v>
      </c>
    </row>
    <row r="809" customFormat="false" ht="15" hidden="false" customHeight="true" outlineLevel="0" collapsed="false">
      <c r="A809" s="2" t="n">
        <f aca="false">'Raw Data'!H809</f>
        <v>808</v>
      </c>
      <c r="B809" s="2" t="n">
        <f aca="false">'Raw Data'!A809</f>
        <v>55</v>
      </c>
      <c r="C809" s="2" t="str">
        <f aca="false">'Raw Data'!D809</f>
        <v>Sales</v>
      </c>
      <c r="D809" s="2" t="str">
        <f aca="false">'Raw Data'!K809</f>
        <v>Research Scientist</v>
      </c>
      <c r="E809" s="2" t="n">
        <f aca="false">'Raw Data'!Q809</f>
        <v>4</v>
      </c>
      <c r="F809" s="2" t="n">
        <f aca="false">'Raw Data'!U809</f>
        <v>2</v>
      </c>
      <c r="G809" s="2" t="n">
        <f aca="false">'Raw Data'!W809</f>
        <v>3</v>
      </c>
      <c r="H809" s="2" t="n">
        <f aca="false">'Raw Data'!V809</f>
        <v>4</v>
      </c>
      <c r="I809" s="2" t="n">
        <f aca="false">IF(AND(ISNUMBER(B809),B809&lt;=25),2,0)+IF(AND(ISNUMBER(E809),E809&lt;=5),2,0)+IF(AND(ISNUMBER(F809),F809&lt;=1),2,0)+IF(AND(ISNUMBER(G809),G809&lt;=2),1,0)+IF(AND(ISNUMBER(H809),H809&lt;=2),1,0)</f>
        <v>2</v>
      </c>
      <c r="J809" s="2" t="str">
        <f aca="false">IF(I809&gt;=6,"High",IF(I809&gt;=3,"Medium","Low"))</f>
        <v>Low</v>
      </c>
    </row>
    <row r="810" customFormat="false" ht="15" hidden="false" customHeight="true" outlineLevel="0" collapsed="false">
      <c r="A810" s="2" t="n">
        <f aca="false">'Raw Data'!H810</f>
        <v>809</v>
      </c>
      <c r="B810" s="2" t="n">
        <f aca="false">'Raw Data'!A810</f>
        <v>33</v>
      </c>
      <c r="C810" s="2" t="str">
        <f aca="false">'Raw Data'!D810</f>
        <v>Research &amp; Development</v>
      </c>
      <c r="D810" s="2" t="str">
        <f aca="false">'Raw Data'!K810</f>
        <v>Research Scientist</v>
      </c>
      <c r="E810" s="2" t="n">
        <f aca="false">'Raw Data'!Q810</f>
        <v>8</v>
      </c>
      <c r="F810" s="2" t="n">
        <f aca="false">'Raw Data'!U810</f>
        <v>2</v>
      </c>
      <c r="G810" s="2" t="n">
        <f aca="false">'Raw Data'!W810</f>
        <v>2</v>
      </c>
      <c r="H810" s="2" t="n">
        <f aca="false">'Raw Data'!V810</f>
        <v>1</v>
      </c>
      <c r="I810" s="2" t="n">
        <f aca="false">IF(AND(ISNUMBER(B810),B810&lt;=25),2,0)+IF(AND(ISNUMBER(E810),E810&lt;=5),2,0)+IF(AND(ISNUMBER(F810),F810&lt;=1),2,0)+IF(AND(ISNUMBER(G810),G810&lt;=2),1,0)+IF(AND(ISNUMBER(H810),H810&lt;=2),1,0)</f>
        <v>2</v>
      </c>
      <c r="J810" s="2" t="str">
        <f aca="false">IF(I810&gt;=6,"High",IF(I810&gt;=3,"Medium","Low"))</f>
        <v>Low</v>
      </c>
    </row>
    <row r="811" customFormat="false" ht="15" hidden="false" customHeight="true" outlineLevel="0" collapsed="false">
      <c r="A811" s="2" t="n">
        <f aca="false">'Raw Data'!H811</f>
        <v>810</v>
      </c>
      <c r="B811" s="2" t="n">
        <f aca="false">'Raw Data'!A811</f>
        <v>47</v>
      </c>
      <c r="C811" s="2" t="str">
        <f aca="false">'Raw Data'!D811</f>
        <v>Research &amp; Development</v>
      </c>
      <c r="D811" s="2" t="str">
        <f aca="false">'Raw Data'!K811</f>
        <v>Sales Representative</v>
      </c>
      <c r="E811" s="2" t="n">
        <f aca="false">'Raw Data'!Q811</f>
        <v>11</v>
      </c>
      <c r="F811" s="2" t="n">
        <f aca="false">'Raw Data'!U811</f>
        <v>2</v>
      </c>
      <c r="G811" s="2" t="n">
        <f aca="false">'Raw Data'!W811</f>
        <v>3</v>
      </c>
      <c r="H811" s="2" t="n">
        <f aca="false">'Raw Data'!V811</f>
        <v>3</v>
      </c>
      <c r="I811" s="2" t="n">
        <f aca="false">IF(AND(ISNUMBER(B811),B811&lt;=25),2,0)+IF(AND(ISNUMBER(E811),E811&lt;=5),2,0)+IF(AND(ISNUMBER(F811),F811&lt;=1),2,0)+IF(AND(ISNUMBER(G811),G811&lt;=2),1,0)+IF(AND(ISNUMBER(H811),H811&lt;=2),1,0)</f>
        <v>0</v>
      </c>
      <c r="J811" s="2" t="str">
        <f aca="false">IF(I811&gt;=6,"High",IF(I811&gt;=3,"Medium","Low"))</f>
        <v>Low</v>
      </c>
    </row>
    <row r="812" customFormat="false" ht="15" hidden="false" customHeight="true" outlineLevel="0" collapsed="false">
      <c r="A812" s="2" t="n">
        <f aca="false">'Raw Data'!H812</f>
        <v>811</v>
      </c>
      <c r="B812" s="2" t="n">
        <f aca="false">'Raw Data'!A812</f>
        <v>28</v>
      </c>
      <c r="C812" s="2" t="str">
        <f aca="false">'Raw Data'!D812</f>
        <v>Sales</v>
      </c>
      <c r="D812" s="2" t="str">
        <f aca="false">'Raw Data'!K812</f>
        <v>Laboratory Technician</v>
      </c>
      <c r="E812" s="2" t="n">
        <f aca="false">'Raw Data'!Q812</f>
        <v>8</v>
      </c>
      <c r="F812" s="2" t="n">
        <f aca="false">'Raw Data'!U812</f>
        <v>0</v>
      </c>
      <c r="G812" s="2" t="n">
        <f aca="false">'Raw Data'!W812</f>
        <v>1</v>
      </c>
      <c r="H812" s="2" t="n">
        <f aca="false">'Raw Data'!V812</f>
        <v>3</v>
      </c>
      <c r="I812" s="2" t="n">
        <f aca="false">IF(AND(ISNUMBER(B812),B812&lt;=25),2,0)+IF(AND(ISNUMBER(E812),E812&lt;=5),2,0)+IF(AND(ISNUMBER(F812),F812&lt;=1),2,0)+IF(AND(ISNUMBER(G812),G812&lt;=2),1,0)+IF(AND(ISNUMBER(H812),H812&lt;=2),1,0)</f>
        <v>3</v>
      </c>
      <c r="J812" s="2" t="str">
        <f aca="false">IF(I812&gt;=6,"High",IF(I812&gt;=3,"Medium","Low"))</f>
        <v>Medium</v>
      </c>
    </row>
    <row r="813" customFormat="false" ht="15" hidden="false" customHeight="true" outlineLevel="0" collapsed="false">
      <c r="A813" s="2" t="n">
        <f aca="false">'Raw Data'!H813</f>
        <v>812</v>
      </c>
      <c r="B813" s="2" t="n">
        <f aca="false">'Raw Data'!A813</f>
        <v>28</v>
      </c>
      <c r="C813" s="2" t="str">
        <f aca="false">'Raw Data'!D813</f>
        <v>Sales</v>
      </c>
      <c r="D813" s="2" t="str">
        <f aca="false">'Raw Data'!K813</f>
        <v>Laboratory Technician</v>
      </c>
      <c r="E813" s="2" t="n">
        <f aca="false">'Raw Data'!Q813</f>
        <v>1</v>
      </c>
      <c r="F813" s="2" t="n">
        <f aca="false">'Raw Data'!U813</f>
        <v>0</v>
      </c>
      <c r="G813" s="2" t="n">
        <f aca="false">'Raw Data'!W813</f>
        <v>3</v>
      </c>
      <c r="H813" s="2" t="n">
        <f aca="false">'Raw Data'!V813</f>
        <v>1</v>
      </c>
      <c r="I813" s="2" t="n">
        <f aca="false">IF(AND(ISNUMBER(B813),B813&lt;=25),2,0)+IF(AND(ISNUMBER(E813),E813&lt;=5),2,0)+IF(AND(ISNUMBER(F813),F813&lt;=1),2,0)+IF(AND(ISNUMBER(G813),G813&lt;=2),1,0)+IF(AND(ISNUMBER(H813),H813&lt;=2),1,0)</f>
        <v>5</v>
      </c>
      <c r="J813" s="2" t="str">
        <f aca="false">IF(I813&gt;=6,"High",IF(I813&gt;=3,"Medium","Low"))</f>
        <v>Medium</v>
      </c>
    </row>
    <row r="814" customFormat="false" ht="15" hidden="false" customHeight="true" outlineLevel="0" collapsed="false">
      <c r="A814" s="2" t="n">
        <f aca="false">'Raw Data'!H814</f>
        <v>813</v>
      </c>
      <c r="B814" s="2" t="n">
        <f aca="false">'Raw Data'!A814</f>
        <v>28</v>
      </c>
      <c r="C814" s="2" t="str">
        <f aca="false">'Raw Data'!D814</f>
        <v>Research &amp; Development</v>
      </c>
      <c r="D814" s="2" t="str">
        <f aca="false">'Raw Data'!K814</f>
        <v>Sales Executive</v>
      </c>
      <c r="E814" s="2" t="n">
        <f aca="false">'Raw Data'!Q814</f>
        <v>5</v>
      </c>
      <c r="F814" s="2" t="n">
        <f aca="false">'Raw Data'!U814</f>
        <v>3</v>
      </c>
      <c r="G814" s="2" t="n">
        <f aca="false">'Raw Data'!W814</f>
        <v>1</v>
      </c>
      <c r="H814" s="2" t="n">
        <f aca="false">'Raw Data'!V814</f>
        <v>3</v>
      </c>
      <c r="I814" s="2" t="n">
        <f aca="false">IF(AND(ISNUMBER(B814),B814&lt;=25),2,0)+IF(AND(ISNUMBER(E814),E814&lt;=5),2,0)+IF(AND(ISNUMBER(F814),F814&lt;=1),2,0)+IF(AND(ISNUMBER(G814),G814&lt;=2),1,0)+IF(AND(ISNUMBER(H814),H814&lt;=2),1,0)</f>
        <v>3</v>
      </c>
      <c r="J814" s="2" t="str">
        <f aca="false">IF(I814&gt;=6,"High",IF(I814&gt;=3,"Medium","Low"))</f>
        <v>Medium</v>
      </c>
    </row>
    <row r="815" customFormat="false" ht="15" hidden="false" customHeight="true" outlineLevel="0" collapsed="false">
      <c r="A815" s="2" t="n">
        <f aca="false">'Raw Data'!H815</f>
        <v>814</v>
      </c>
      <c r="B815" s="2" t="n">
        <f aca="false">'Raw Data'!A815</f>
        <v>49</v>
      </c>
      <c r="C815" s="2" t="str">
        <f aca="false">'Raw Data'!D815</f>
        <v>Research &amp; Development</v>
      </c>
      <c r="D815" s="2" t="str">
        <f aca="false">'Raw Data'!K815</f>
        <v>Research Scientist</v>
      </c>
      <c r="E815" s="2" t="n">
        <f aca="false">'Raw Data'!Q815</f>
        <v>10</v>
      </c>
      <c r="F815" s="2" t="n">
        <f aca="false">'Raw Data'!U815</f>
        <v>2</v>
      </c>
      <c r="G815" s="2" t="n">
        <f aca="false">'Raw Data'!W815</f>
        <v>1</v>
      </c>
      <c r="H815" s="2" t="n">
        <f aca="false">'Raw Data'!V815</f>
        <v>3</v>
      </c>
      <c r="I815" s="2" t="n">
        <f aca="false">IF(AND(ISNUMBER(B815),B815&lt;=25),2,0)+IF(AND(ISNUMBER(E815),E815&lt;=5),2,0)+IF(AND(ISNUMBER(F815),F815&lt;=1),2,0)+IF(AND(ISNUMBER(G815),G815&lt;=2),1,0)+IF(AND(ISNUMBER(H815),H815&lt;=2),1,0)</f>
        <v>1</v>
      </c>
      <c r="J815" s="2" t="str">
        <f aca="false">IF(I815&gt;=6,"High",IF(I815&gt;=3,"Medium","Low"))</f>
        <v>Low</v>
      </c>
    </row>
    <row r="816" customFormat="false" ht="15" hidden="false" customHeight="true" outlineLevel="0" collapsed="false">
      <c r="A816" s="2" t="n">
        <f aca="false">'Raw Data'!H816</f>
        <v>815</v>
      </c>
      <c r="B816" s="2" t="n">
        <f aca="false">'Raw Data'!A816</f>
        <v>29</v>
      </c>
      <c r="C816" s="2" t="str">
        <f aca="false">'Raw Data'!D816</f>
        <v>Research &amp; Development</v>
      </c>
      <c r="D816" s="2" t="str">
        <f aca="false">'Raw Data'!K816</f>
        <v>Research Scientist</v>
      </c>
      <c r="E816" s="2" t="n">
        <f aca="false">'Raw Data'!Q816</f>
        <v>4</v>
      </c>
      <c r="F816" s="2" t="n">
        <f aca="false">'Raw Data'!U816</f>
        <v>2</v>
      </c>
      <c r="G816" s="2" t="n">
        <f aca="false">'Raw Data'!W816</f>
        <v>2</v>
      </c>
      <c r="H816" s="2" t="n">
        <f aca="false">'Raw Data'!V816</f>
        <v>4</v>
      </c>
      <c r="I816" s="2" t="n">
        <f aca="false">IF(AND(ISNUMBER(B816),B816&lt;=25),2,0)+IF(AND(ISNUMBER(E816),E816&lt;=5),2,0)+IF(AND(ISNUMBER(F816),F816&lt;=1),2,0)+IF(AND(ISNUMBER(G816),G816&lt;=2),1,0)+IF(AND(ISNUMBER(H816),H816&lt;=2),1,0)</f>
        <v>3</v>
      </c>
      <c r="J816" s="2" t="str">
        <f aca="false">IF(I816&gt;=6,"High",IF(I816&gt;=3,"Medium","Low"))</f>
        <v>Medium</v>
      </c>
    </row>
    <row r="817" customFormat="false" ht="15" hidden="false" customHeight="true" outlineLevel="0" collapsed="false">
      <c r="A817" s="2" t="n">
        <f aca="false">'Raw Data'!H817</f>
        <v>816</v>
      </c>
      <c r="B817" s="2" t="n">
        <f aca="false">'Raw Data'!A817</f>
        <v>28</v>
      </c>
      <c r="C817" s="2" t="str">
        <f aca="false">'Raw Data'!D817</f>
        <v>Research &amp; Development</v>
      </c>
      <c r="D817" s="2" t="str">
        <f aca="false">'Raw Data'!K817</f>
        <v>Laboratory Technician</v>
      </c>
      <c r="E817" s="2" t="n">
        <f aca="false">'Raw Data'!Q817</f>
        <v>8</v>
      </c>
      <c r="F817" s="2" t="n">
        <f aca="false">'Raw Data'!U817</f>
        <v>7</v>
      </c>
      <c r="G817" s="2" t="n">
        <f aca="false">'Raw Data'!W817</f>
        <v>2</v>
      </c>
      <c r="H817" s="2" t="n">
        <f aca="false">'Raw Data'!V817</f>
        <v>3</v>
      </c>
      <c r="I817" s="2" t="n">
        <f aca="false">IF(AND(ISNUMBER(B817),B817&lt;=25),2,0)+IF(AND(ISNUMBER(E817),E817&lt;=5),2,0)+IF(AND(ISNUMBER(F817),F817&lt;=1),2,0)+IF(AND(ISNUMBER(G817),G817&lt;=2),1,0)+IF(AND(ISNUMBER(H817),H817&lt;=2),1,0)</f>
        <v>1</v>
      </c>
      <c r="J817" s="2" t="str">
        <f aca="false">IF(I817&gt;=6,"High",IF(I817&gt;=3,"Medium","Low"))</f>
        <v>Low</v>
      </c>
    </row>
    <row r="818" customFormat="false" ht="15" hidden="false" customHeight="true" outlineLevel="0" collapsed="false">
      <c r="A818" s="2" t="n">
        <f aca="false">'Raw Data'!H818</f>
        <v>817</v>
      </c>
      <c r="B818" s="2" t="n">
        <f aca="false">'Raw Data'!A818</f>
        <v>33</v>
      </c>
      <c r="C818" s="2" t="str">
        <f aca="false">'Raw Data'!D818</f>
        <v>Research &amp; Development</v>
      </c>
      <c r="D818" s="2" t="str">
        <f aca="false">'Raw Data'!K818</f>
        <v>Sales Executive</v>
      </c>
      <c r="E818" s="2" t="n">
        <f aca="false">'Raw Data'!Q818</f>
        <v>14</v>
      </c>
      <c r="F818" s="2" t="n">
        <f aca="false">'Raw Data'!U818</f>
        <v>0</v>
      </c>
      <c r="G818" s="2" t="n">
        <f aca="false">'Raw Data'!W818</f>
        <v>3</v>
      </c>
      <c r="H818" s="2" t="n">
        <f aca="false">'Raw Data'!V818</f>
        <v>4</v>
      </c>
      <c r="I818" s="2" t="n">
        <f aca="false">IF(AND(ISNUMBER(B818),B818&lt;=25),2,0)+IF(AND(ISNUMBER(E818),E818&lt;=5),2,0)+IF(AND(ISNUMBER(F818),F818&lt;=1),2,0)+IF(AND(ISNUMBER(G818),G818&lt;=2),1,0)+IF(AND(ISNUMBER(H818),H818&lt;=2),1,0)</f>
        <v>2</v>
      </c>
      <c r="J818" s="2" t="str">
        <f aca="false">IF(I818&gt;=6,"High",IF(I818&gt;=3,"Medium","Low"))</f>
        <v>Low</v>
      </c>
    </row>
    <row r="819" customFormat="false" ht="15" hidden="false" customHeight="true" outlineLevel="0" collapsed="false">
      <c r="A819" s="2" t="n">
        <f aca="false">'Raw Data'!H819</f>
        <v>818</v>
      </c>
      <c r="B819" s="2" t="n">
        <f aca="false">'Raw Data'!A819</f>
        <v>32</v>
      </c>
      <c r="C819" s="2" t="str">
        <f aca="false">'Raw Data'!D819</f>
        <v>Research &amp; Development</v>
      </c>
      <c r="D819" s="2" t="str">
        <f aca="false">'Raw Data'!K819</f>
        <v>Laboratory Technician</v>
      </c>
      <c r="E819" s="2" t="n">
        <f aca="false">'Raw Data'!Q819</f>
        <v>10</v>
      </c>
      <c r="F819" s="2" t="n">
        <f aca="false">'Raw Data'!U819</f>
        <v>0</v>
      </c>
      <c r="G819" s="2" t="n">
        <f aca="false">'Raw Data'!W819</f>
        <v>4</v>
      </c>
      <c r="H819" s="2" t="n">
        <f aca="false">'Raw Data'!V819</f>
        <v>3</v>
      </c>
      <c r="I819" s="2" t="n">
        <f aca="false">IF(AND(ISNUMBER(B819),B819&lt;=25),2,0)+IF(AND(ISNUMBER(E819),E819&lt;=5),2,0)+IF(AND(ISNUMBER(F819),F819&lt;=1),2,0)+IF(AND(ISNUMBER(G819),G819&lt;=2),1,0)+IF(AND(ISNUMBER(H819),H819&lt;=2),1,0)</f>
        <v>2</v>
      </c>
      <c r="J819" s="2" t="str">
        <f aca="false">IF(I819&gt;=6,"High",IF(I819&gt;=3,"Medium","Low"))</f>
        <v>Low</v>
      </c>
    </row>
    <row r="820" customFormat="false" ht="15" hidden="false" customHeight="true" outlineLevel="0" collapsed="false">
      <c r="A820" s="2" t="n">
        <f aca="false">'Raw Data'!H820</f>
        <v>819</v>
      </c>
      <c r="B820" s="2" t="n">
        <f aca="false">'Raw Data'!A820</f>
        <v>54</v>
      </c>
      <c r="C820" s="2" t="str">
        <f aca="false">'Raw Data'!D820</f>
        <v>Sales</v>
      </c>
      <c r="D820" s="2" t="str">
        <f aca="false">'Raw Data'!K820</f>
        <v>Research Scientist</v>
      </c>
      <c r="E820" s="2" t="n">
        <f aca="false">'Raw Data'!Q820</f>
        <v>26</v>
      </c>
      <c r="F820" s="2" t="n">
        <f aca="false">'Raw Data'!U820</f>
        <v>12</v>
      </c>
      <c r="G820" s="2" t="n">
        <f aca="false">'Raw Data'!W820</f>
        <v>4</v>
      </c>
      <c r="H820" s="2" t="n">
        <f aca="false">'Raw Data'!V820</f>
        <v>2</v>
      </c>
      <c r="I820" s="2" t="n">
        <f aca="false">IF(AND(ISNUMBER(B820),B820&lt;=25),2,0)+IF(AND(ISNUMBER(E820),E820&lt;=5),2,0)+IF(AND(ISNUMBER(F820),F820&lt;=1),2,0)+IF(AND(ISNUMBER(G820),G820&lt;=2),1,0)+IF(AND(ISNUMBER(H820),H820&lt;=2),1,0)</f>
        <v>1</v>
      </c>
      <c r="J820" s="2" t="str">
        <f aca="false">IF(I820&gt;=6,"High",IF(I820&gt;=3,"Medium","Low"))</f>
        <v>Low</v>
      </c>
    </row>
    <row r="821" customFormat="false" ht="15" hidden="false" customHeight="true" outlineLevel="0" collapsed="false">
      <c r="A821" s="2" t="n">
        <f aca="false">'Raw Data'!H821</f>
        <v>820</v>
      </c>
      <c r="B821" s="2" t="n">
        <f aca="false">'Raw Data'!A821</f>
        <v>29</v>
      </c>
      <c r="C821" s="2" t="str">
        <f aca="false">'Raw Data'!D821</f>
        <v>Research &amp; Development</v>
      </c>
      <c r="D821" s="2" t="str">
        <f aca="false">'Raw Data'!K821</f>
        <v>Research Scientist</v>
      </c>
      <c r="E821" s="2" t="n">
        <f aca="false">'Raw Data'!Q821</f>
        <v>11</v>
      </c>
      <c r="F821" s="2" t="n">
        <f aca="false">'Raw Data'!U821</f>
        <v>7</v>
      </c>
      <c r="G821" s="2" t="n">
        <f aca="false">'Raw Data'!W821</f>
        <v>1</v>
      </c>
      <c r="H821" s="2" t="n">
        <f aca="false">'Raw Data'!V821</f>
        <v>1</v>
      </c>
      <c r="I821" s="2" t="n">
        <f aca="false">IF(AND(ISNUMBER(B821),B821&lt;=25),2,0)+IF(AND(ISNUMBER(E821),E821&lt;=5),2,0)+IF(AND(ISNUMBER(F821),F821&lt;=1),2,0)+IF(AND(ISNUMBER(G821),G821&lt;=2),1,0)+IF(AND(ISNUMBER(H821),H821&lt;=2),1,0)</f>
        <v>2</v>
      </c>
      <c r="J821" s="2" t="str">
        <f aca="false">IF(I821&gt;=6,"High",IF(I821&gt;=3,"Medium","Low"))</f>
        <v>Low</v>
      </c>
    </row>
    <row r="822" customFormat="false" ht="15" hidden="false" customHeight="true" outlineLevel="0" collapsed="false">
      <c r="A822" s="2" t="n">
        <f aca="false">'Raw Data'!H822</f>
        <v>821</v>
      </c>
      <c r="B822" s="2" t="n">
        <f aca="false">'Raw Data'!A822</f>
        <v>44</v>
      </c>
      <c r="C822" s="2" t="str">
        <f aca="false">'Raw Data'!D822</f>
        <v>Sales</v>
      </c>
      <c r="D822" s="2" t="str">
        <f aca="false">'Raw Data'!K822</f>
        <v>Sales Representative</v>
      </c>
      <c r="E822" s="2" t="n">
        <f aca="false">'Raw Data'!Q822</f>
        <v>24</v>
      </c>
      <c r="F822" s="2" t="n">
        <f aca="false">'Raw Data'!U822</f>
        <v>17</v>
      </c>
      <c r="G822" s="2" t="n">
        <f aca="false">'Raw Data'!W822</f>
        <v>1</v>
      </c>
      <c r="H822" s="2" t="n">
        <f aca="false">'Raw Data'!V822</f>
        <v>4</v>
      </c>
      <c r="I822" s="2" t="n">
        <f aca="false">IF(AND(ISNUMBER(B822),B822&lt;=25),2,0)+IF(AND(ISNUMBER(E822),E822&lt;=5),2,0)+IF(AND(ISNUMBER(F822),F822&lt;=1),2,0)+IF(AND(ISNUMBER(G822),G822&lt;=2),1,0)+IF(AND(ISNUMBER(H822),H822&lt;=2),1,0)</f>
        <v>1</v>
      </c>
      <c r="J822" s="2" t="str">
        <f aca="false">IF(I822&gt;=6,"High",IF(I822&gt;=3,"Medium","Low"))</f>
        <v>Low</v>
      </c>
    </row>
    <row r="823" customFormat="false" ht="15" hidden="false" customHeight="true" outlineLevel="0" collapsed="false">
      <c r="A823" s="2" t="n">
        <f aca="false">'Raw Data'!H823</f>
        <v>822</v>
      </c>
      <c r="B823" s="2" t="n">
        <f aca="false">'Raw Data'!A823</f>
        <v>39</v>
      </c>
      <c r="C823" s="2" t="str">
        <f aca="false">'Raw Data'!D823</f>
        <v>Sales</v>
      </c>
      <c r="D823" s="2" t="str">
        <f aca="false">'Raw Data'!K823</f>
        <v>Laboratory Technician</v>
      </c>
      <c r="E823" s="2" t="n">
        <f aca="false">'Raw Data'!Q823</f>
        <v>9</v>
      </c>
      <c r="F823" s="2" t="n">
        <f aca="false">'Raw Data'!U823</f>
        <v>2</v>
      </c>
      <c r="G823" s="2" t="n">
        <f aca="false">'Raw Data'!W823</f>
        <v>2</v>
      </c>
      <c r="H823" s="2" t="n">
        <f aca="false">'Raw Data'!V823</f>
        <v>2</v>
      </c>
      <c r="I823" s="2" t="n">
        <f aca="false">IF(AND(ISNUMBER(B823),B823&lt;=25),2,0)+IF(AND(ISNUMBER(E823),E823&lt;=5),2,0)+IF(AND(ISNUMBER(F823),F823&lt;=1),2,0)+IF(AND(ISNUMBER(G823),G823&lt;=2),1,0)+IF(AND(ISNUMBER(H823),H823&lt;=2),1,0)</f>
        <v>2</v>
      </c>
      <c r="J823" s="2" t="str">
        <f aca="false">IF(I823&gt;=6,"High",IF(I823&gt;=3,"Medium","Low"))</f>
        <v>Low</v>
      </c>
    </row>
    <row r="824" customFormat="false" ht="15" hidden="false" customHeight="true" outlineLevel="0" collapsed="false">
      <c r="A824" s="2" t="n">
        <f aca="false">'Raw Data'!H824</f>
        <v>823</v>
      </c>
      <c r="B824" s="2" t="n">
        <f aca="false">'Raw Data'!A824</f>
        <v>46</v>
      </c>
      <c r="C824" s="2" t="str">
        <f aca="false">'Raw Data'!D824</f>
        <v>Research &amp; Development</v>
      </c>
      <c r="D824" s="2" t="str">
        <f aca="false">'Raw Data'!K824</f>
        <v>Manufacturing Director</v>
      </c>
      <c r="E824" s="2" t="n">
        <f aca="false">'Raw Data'!Q824</f>
        <v>23</v>
      </c>
      <c r="F824" s="2" t="n">
        <f aca="false">'Raw Data'!U824</f>
        <v>1</v>
      </c>
      <c r="G824" s="2" t="n">
        <f aca="false">'Raw Data'!W824</f>
        <v>2</v>
      </c>
      <c r="H824" s="2" t="n">
        <f aca="false">'Raw Data'!V824</f>
        <v>3</v>
      </c>
      <c r="I824" s="2" t="n">
        <f aca="false">IF(AND(ISNUMBER(B824),B824&lt;=25),2,0)+IF(AND(ISNUMBER(E824),E824&lt;=5),2,0)+IF(AND(ISNUMBER(F824),F824&lt;=1),2,0)+IF(AND(ISNUMBER(G824),G824&lt;=2),1,0)+IF(AND(ISNUMBER(H824),H824&lt;=2),1,0)</f>
        <v>3</v>
      </c>
      <c r="J824" s="2" t="str">
        <f aca="false">IF(I824&gt;=6,"High",IF(I824&gt;=3,"Medium","Low"))</f>
        <v>Medium</v>
      </c>
    </row>
    <row r="825" customFormat="false" ht="15" hidden="false" customHeight="true" outlineLevel="0" collapsed="false">
      <c r="A825" s="2" t="n">
        <f aca="false">'Raw Data'!H825</f>
        <v>824</v>
      </c>
      <c r="B825" s="2" t="n">
        <f aca="false">'Raw Data'!A825</f>
        <v>35</v>
      </c>
      <c r="C825" s="2" t="str">
        <f aca="false">'Raw Data'!D825</f>
        <v>Research &amp; Development</v>
      </c>
      <c r="D825" s="2" t="str">
        <f aca="false">'Raw Data'!K825</f>
        <v>Research Scientist</v>
      </c>
      <c r="E825" s="2" t="n">
        <f aca="false">'Raw Data'!Q825</f>
        <v>11</v>
      </c>
      <c r="F825" s="2" t="n">
        <f aca="false">'Raw Data'!U825</f>
        <v>3</v>
      </c>
      <c r="G825" s="2" t="n">
        <f aca="false">'Raw Data'!W825</f>
        <v>2</v>
      </c>
      <c r="H825" s="2" t="n">
        <f aca="false">'Raw Data'!V825</f>
        <v>4</v>
      </c>
      <c r="I825" s="2" t="n">
        <f aca="false">IF(AND(ISNUMBER(B825),B825&lt;=25),2,0)+IF(AND(ISNUMBER(E825),E825&lt;=5),2,0)+IF(AND(ISNUMBER(F825),F825&lt;=1),2,0)+IF(AND(ISNUMBER(G825),G825&lt;=2),1,0)+IF(AND(ISNUMBER(H825),H825&lt;=2),1,0)</f>
        <v>1</v>
      </c>
      <c r="J825" s="2" t="str">
        <f aca="false">IF(I825&gt;=6,"High",IF(I825&gt;=3,"Medium","Low"))</f>
        <v>Low</v>
      </c>
    </row>
    <row r="826" customFormat="false" ht="15" hidden="false" customHeight="true" outlineLevel="0" collapsed="false">
      <c r="A826" s="2" t="n">
        <f aca="false">'Raw Data'!H826</f>
        <v>825</v>
      </c>
      <c r="B826" s="2" t="n">
        <f aca="false">'Raw Data'!A826</f>
        <v>23</v>
      </c>
      <c r="C826" s="2" t="str">
        <f aca="false">'Raw Data'!D826</f>
        <v>Research &amp; Development</v>
      </c>
      <c r="D826" s="2" t="str">
        <f aca="false">'Raw Data'!K826</f>
        <v>Manager</v>
      </c>
      <c r="E826" s="2" t="n">
        <f aca="false">'Raw Data'!Q826</f>
        <v>5</v>
      </c>
      <c r="F826" s="2" t="n">
        <f aca="false">'Raw Data'!U826</f>
        <v>2</v>
      </c>
      <c r="G826" s="2" t="n">
        <f aca="false">'Raw Data'!W826</f>
        <v>3</v>
      </c>
      <c r="H826" s="2" t="n">
        <f aca="false">'Raw Data'!V826</f>
        <v>1</v>
      </c>
      <c r="I826" s="2" t="n">
        <f aca="false">IF(AND(ISNUMBER(B826),B826&lt;=25),2,0)+IF(AND(ISNUMBER(E826),E826&lt;=5),2,0)+IF(AND(ISNUMBER(F826),F826&lt;=1),2,0)+IF(AND(ISNUMBER(G826),G826&lt;=2),1,0)+IF(AND(ISNUMBER(H826),H826&lt;=2),1,0)</f>
        <v>5</v>
      </c>
      <c r="J826" s="2" t="str">
        <f aca="false">IF(I826&gt;=6,"High",IF(I826&gt;=3,"Medium","Low"))</f>
        <v>Medium</v>
      </c>
    </row>
    <row r="827" customFormat="false" ht="15" hidden="false" customHeight="true" outlineLevel="0" collapsed="false">
      <c r="A827" s="2" t="n">
        <f aca="false">'Raw Data'!H827</f>
        <v>826</v>
      </c>
      <c r="B827" s="2" t="n">
        <f aca="false">'Raw Data'!A827</f>
        <v>40</v>
      </c>
      <c r="C827" s="2" t="str">
        <f aca="false">'Raw Data'!D827</f>
        <v>Research &amp; Development</v>
      </c>
      <c r="D827" s="2" t="str">
        <f aca="false">'Raw Data'!K827</f>
        <v>Research Director</v>
      </c>
      <c r="E827" s="2" t="n">
        <f aca="false">'Raw Data'!Q827</f>
        <v>15</v>
      </c>
      <c r="F827" s="2" t="n">
        <f aca="false">'Raw Data'!U827</f>
        <v>0</v>
      </c>
      <c r="G827" s="2" t="n">
        <f aca="false">'Raw Data'!W827</f>
        <v>1</v>
      </c>
      <c r="H827" s="2" t="n">
        <f aca="false">'Raw Data'!V827</f>
        <v>4</v>
      </c>
      <c r="I827" s="2" t="n">
        <f aca="false">IF(AND(ISNUMBER(B827),B827&lt;=25),2,0)+IF(AND(ISNUMBER(E827),E827&lt;=5),2,0)+IF(AND(ISNUMBER(F827),F827&lt;=1),2,0)+IF(AND(ISNUMBER(G827),G827&lt;=2),1,0)+IF(AND(ISNUMBER(H827),H827&lt;=2),1,0)</f>
        <v>3</v>
      </c>
      <c r="J827" s="2" t="str">
        <f aca="false">IF(I827&gt;=6,"High",IF(I827&gt;=3,"Medium","Low"))</f>
        <v>Medium</v>
      </c>
    </row>
    <row r="828" customFormat="false" ht="15" hidden="false" customHeight="true" outlineLevel="0" collapsed="false">
      <c r="A828" s="2" t="n">
        <f aca="false">'Raw Data'!H828</f>
        <v>827</v>
      </c>
      <c r="B828" s="2" t="n">
        <f aca="false">'Raw Data'!A828</f>
        <v>34</v>
      </c>
      <c r="C828" s="2" t="str">
        <f aca="false">'Raw Data'!D828</f>
        <v>Human Resources</v>
      </c>
      <c r="D828" s="2" t="str">
        <f aca="false">'Raw Data'!K828</f>
        <v>Manufacturing Director</v>
      </c>
      <c r="E828" s="2" t="n">
        <f aca="false">'Raw Data'!Q828</f>
        <v>10</v>
      </c>
      <c r="F828" s="2" t="n">
        <f aca="false">'Raw Data'!U828</f>
        <v>6</v>
      </c>
      <c r="G828" s="2" t="n">
        <f aca="false">'Raw Data'!W828</f>
        <v>3</v>
      </c>
      <c r="H828" s="2" t="n">
        <f aca="false">'Raw Data'!V828</f>
        <v>4</v>
      </c>
      <c r="I828" s="2" t="n">
        <f aca="false">IF(AND(ISNUMBER(B828),B828&lt;=25),2,0)+IF(AND(ISNUMBER(E828),E828&lt;=5),2,0)+IF(AND(ISNUMBER(F828),F828&lt;=1),2,0)+IF(AND(ISNUMBER(G828),G828&lt;=2),1,0)+IF(AND(ISNUMBER(H828),H828&lt;=2),1,0)</f>
        <v>0</v>
      </c>
      <c r="J828" s="2" t="str">
        <f aca="false">IF(I828&gt;=6,"High",IF(I828&gt;=3,"Medium","Low"))</f>
        <v>Low</v>
      </c>
    </row>
    <row r="829" customFormat="false" ht="15" hidden="false" customHeight="true" outlineLevel="0" collapsed="false">
      <c r="A829" s="2" t="n">
        <f aca="false">'Raw Data'!H829</f>
        <v>828</v>
      </c>
      <c r="B829" s="2" t="n">
        <f aca="false">'Raw Data'!A829</f>
        <v>31</v>
      </c>
      <c r="C829" s="2" t="str">
        <f aca="false">'Raw Data'!D829</f>
        <v>Research &amp; Development</v>
      </c>
      <c r="D829" s="2" t="str">
        <f aca="false">'Raw Data'!K829</f>
        <v>Healthcare Representative</v>
      </c>
      <c r="E829" s="2" t="n">
        <f aca="false">'Raw Data'!Q829</f>
        <v>7</v>
      </c>
      <c r="F829" s="2" t="n">
        <f aca="false">'Raw Data'!U829</f>
        <v>7</v>
      </c>
      <c r="G829" s="2" t="n">
        <f aca="false">'Raw Data'!W829</f>
        <v>3</v>
      </c>
      <c r="H829" s="2" t="n">
        <f aca="false">'Raw Data'!V829</f>
        <v>4</v>
      </c>
      <c r="I829" s="2" t="n">
        <f aca="false">IF(AND(ISNUMBER(B829),B829&lt;=25),2,0)+IF(AND(ISNUMBER(E829),E829&lt;=5),2,0)+IF(AND(ISNUMBER(F829),F829&lt;=1),2,0)+IF(AND(ISNUMBER(G829),G829&lt;=2),1,0)+IF(AND(ISNUMBER(H829),H829&lt;=2),1,0)</f>
        <v>0</v>
      </c>
      <c r="J829" s="2" t="str">
        <f aca="false">IF(I829&gt;=6,"High",IF(I829&gt;=3,"Medium","Low"))</f>
        <v>Low</v>
      </c>
    </row>
    <row r="830" customFormat="false" ht="15" hidden="false" customHeight="true" outlineLevel="0" collapsed="false">
      <c r="A830" s="2" t="n">
        <f aca="false">'Raw Data'!H830</f>
        <v>829</v>
      </c>
      <c r="B830" s="2" t="n">
        <f aca="false">'Raw Data'!A830</f>
        <v>50</v>
      </c>
      <c r="C830" s="2" t="str">
        <f aca="false">'Raw Data'!D830</f>
        <v>Research &amp; Development</v>
      </c>
      <c r="D830" s="2" t="str">
        <f aca="false">'Raw Data'!K830</f>
        <v>Manager</v>
      </c>
      <c r="E830" s="2" t="n">
        <f aca="false">'Raw Data'!Q830</f>
        <v>32</v>
      </c>
      <c r="F830" s="2" t="n">
        <f aca="false">'Raw Data'!U830</f>
        <v>9</v>
      </c>
      <c r="G830" s="2" t="n">
        <f aca="false">'Raw Data'!W830</f>
        <v>4</v>
      </c>
      <c r="H830" s="2" t="n">
        <f aca="false">'Raw Data'!V830</f>
        <v>3</v>
      </c>
      <c r="I830" s="2" t="n">
        <f aca="false">IF(AND(ISNUMBER(B830),B830&lt;=25),2,0)+IF(AND(ISNUMBER(E830),E830&lt;=5),2,0)+IF(AND(ISNUMBER(F830),F830&lt;=1),2,0)+IF(AND(ISNUMBER(G830),G830&lt;=2),1,0)+IF(AND(ISNUMBER(H830),H830&lt;=2),1,0)</f>
        <v>0</v>
      </c>
      <c r="J830" s="2" t="str">
        <f aca="false">IF(I830&gt;=6,"High",IF(I830&gt;=3,"Medium","Low"))</f>
        <v>Low</v>
      </c>
    </row>
    <row r="831" customFormat="false" ht="15" hidden="false" customHeight="true" outlineLevel="0" collapsed="false">
      <c r="A831" s="2" t="n">
        <f aca="false">'Raw Data'!H831</f>
        <v>830</v>
      </c>
      <c r="B831" s="2" t="n">
        <f aca="false">'Raw Data'!A831</f>
        <v>34</v>
      </c>
      <c r="C831" s="2" t="str">
        <f aca="false">'Raw Data'!D831</f>
        <v>Sales</v>
      </c>
      <c r="D831" s="2" t="str">
        <f aca="false">'Raw Data'!K831</f>
        <v>Research Scientist</v>
      </c>
      <c r="E831" s="2" t="n">
        <f aca="false">'Raw Data'!Q831</f>
        <v>12</v>
      </c>
      <c r="F831" s="2" t="n">
        <f aca="false">'Raw Data'!U831</f>
        <v>7</v>
      </c>
      <c r="G831" s="2" t="n">
        <f aca="false">'Raw Data'!W831</f>
        <v>3</v>
      </c>
      <c r="H831" s="2" t="n">
        <f aca="false">'Raw Data'!V831</f>
        <v>2</v>
      </c>
      <c r="I831" s="2" t="n">
        <f aca="false">IF(AND(ISNUMBER(B831),B831&lt;=25),2,0)+IF(AND(ISNUMBER(E831),E831&lt;=5),2,0)+IF(AND(ISNUMBER(F831),F831&lt;=1),2,0)+IF(AND(ISNUMBER(G831),G831&lt;=2),1,0)+IF(AND(ISNUMBER(H831),H831&lt;=2),1,0)</f>
        <v>1</v>
      </c>
      <c r="J831" s="2" t="str">
        <f aca="false">IF(I831&gt;=6,"High",IF(I831&gt;=3,"Medium","Low"))</f>
        <v>Low</v>
      </c>
    </row>
    <row r="832" customFormat="false" ht="15" hidden="false" customHeight="true" outlineLevel="0" collapsed="false">
      <c r="A832" s="2" t="n">
        <f aca="false">'Raw Data'!H832</f>
        <v>831</v>
      </c>
      <c r="B832" s="2" t="n">
        <f aca="false">'Raw Data'!A832</f>
        <v>42</v>
      </c>
      <c r="C832" s="2" t="str">
        <f aca="false">'Raw Data'!D832</f>
        <v>Research &amp; Development</v>
      </c>
      <c r="D832" s="2" t="str">
        <f aca="false">'Raw Data'!K832</f>
        <v>Manufacturing Director</v>
      </c>
      <c r="E832" s="2" t="n">
        <f aca="false">'Raw Data'!Q832</f>
        <v>4</v>
      </c>
      <c r="F832" s="2" t="n">
        <f aca="false">'Raw Data'!U832</f>
        <v>0</v>
      </c>
      <c r="G832" s="2" t="n">
        <f aca="false">'Raw Data'!W832</f>
        <v>2</v>
      </c>
      <c r="H832" s="2" t="n">
        <f aca="false">'Raw Data'!V832</f>
        <v>3</v>
      </c>
      <c r="I832" s="2" t="n">
        <f aca="false">IF(AND(ISNUMBER(B832),B832&lt;=25),2,0)+IF(AND(ISNUMBER(E832),E832&lt;=5),2,0)+IF(AND(ISNUMBER(F832),F832&lt;=1),2,0)+IF(AND(ISNUMBER(G832),G832&lt;=2),1,0)+IF(AND(ISNUMBER(H832),H832&lt;=2),1,0)</f>
        <v>5</v>
      </c>
      <c r="J832" s="2" t="str">
        <f aca="false">IF(I832&gt;=6,"High",IF(I832&gt;=3,"Medium","Low"))</f>
        <v>Medium</v>
      </c>
    </row>
    <row r="833" customFormat="false" ht="15" hidden="false" customHeight="true" outlineLevel="0" collapsed="false">
      <c r="A833" s="2" t="n">
        <f aca="false">'Raw Data'!H833</f>
        <v>832</v>
      </c>
      <c r="B833" s="2" t="n">
        <f aca="false">'Raw Data'!A833</f>
        <v>37</v>
      </c>
      <c r="C833" s="2" t="str">
        <f aca="false">'Raw Data'!D833</f>
        <v>Research &amp; Development</v>
      </c>
      <c r="D833" s="2" t="str">
        <f aca="false">'Raw Data'!K833</f>
        <v>Research Scientist</v>
      </c>
      <c r="E833" s="2" t="n">
        <f aca="false">'Raw Data'!Q833</f>
        <v>10</v>
      </c>
      <c r="F833" s="2" t="n">
        <f aca="false">'Raw Data'!U833</f>
        <v>7</v>
      </c>
      <c r="G833" s="2" t="n">
        <f aca="false">'Raw Data'!W833</f>
        <v>4</v>
      </c>
      <c r="H833" s="2" t="n">
        <f aca="false">'Raw Data'!V833</f>
        <v>1</v>
      </c>
      <c r="I833" s="2" t="n">
        <f aca="false">IF(AND(ISNUMBER(B833),B833&lt;=25),2,0)+IF(AND(ISNUMBER(E833),E833&lt;=5),2,0)+IF(AND(ISNUMBER(F833),F833&lt;=1),2,0)+IF(AND(ISNUMBER(G833),G833&lt;=2),1,0)+IF(AND(ISNUMBER(H833),H833&lt;=2),1,0)</f>
        <v>1</v>
      </c>
      <c r="J833" s="2" t="str">
        <f aca="false">IF(I833&gt;=6,"High",IF(I833&gt;=3,"Medium","Low"))</f>
        <v>Low</v>
      </c>
    </row>
    <row r="834" customFormat="false" ht="15" hidden="false" customHeight="true" outlineLevel="0" collapsed="false">
      <c r="A834" s="2" t="n">
        <f aca="false">'Raw Data'!H834</f>
        <v>833</v>
      </c>
      <c r="B834" s="2" t="n">
        <f aca="false">'Raw Data'!A834</f>
        <v>29</v>
      </c>
      <c r="C834" s="2" t="str">
        <f aca="false">'Raw Data'!D834</f>
        <v>Research &amp; Development</v>
      </c>
      <c r="D834" s="2" t="str">
        <f aca="false">'Raw Data'!K834</f>
        <v>Manager</v>
      </c>
      <c r="E834" s="2" t="n">
        <f aca="false">'Raw Data'!Q834</f>
        <v>9</v>
      </c>
      <c r="F834" s="2" t="n">
        <f aca="false">'Raw Data'!U834</f>
        <v>7</v>
      </c>
      <c r="G834" s="2" t="n">
        <f aca="false">'Raw Data'!W834</f>
        <v>1</v>
      </c>
      <c r="H834" s="2" t="n">
        <f aca="false">'Raw Data'!V834</f>
        <v>3</v>
      </c>
      <c r="I834" s="2" t="n">
        <f aca="false">IF(AND(ISNUMBER(B834),B834&lt;=25),2,0)+IF(AND(ISNUMBER(E834),E834&lt;=5),2,0)+IF(AND(ISNUMBER(F834),F834&lt;=1),2,0)+IF(AND(ISNUMBER(G834),G834&lt;=2),1,0)+IF(AND(ISNUMBER(H834),H834&lt;=2),1,0)</f>
        <v>1</v>
      </c>
      <c r="J834" s="2" t="str">
        <f aca="false">IF(I834&gt;=6,"High",IF(I834&gt;=3,"Medium","Low"))</f>
        <v>Low</v>
      </c>
    </row>
    <row r="835" customFormat="false" ht="15" hidden="false" customHeight="true" outlineLevel="0" collapsed="false">
      <c r="A835" s="2" t="n">
        <f aca="false">'Raw Data'!H835</f>
        <v>834</v>
      </c>
      <c r="B835" s="2" t="n">
        <f aca="false">'Raw Data'!A835</f>
        <v>33</v>
      </c>
      <c r="C835" s="2" t="str">
        <f aca="false">'Raw Data'!D835</f>
        <v>Research &amp; Development</v>
      </c>
      <c r="D835" s="2" t="str">
        <f aca="false">'Raw Data'!K835</f>
        <v>Research Scientist</v>
      </c>
      <c r="E835" s="2" t="n">
        <f aca="false">'Raw Data'!Q835</f>
        <v>5</v>
      </c>
      <c r="F835" s="2" t="n">
        <f aca="false">'Raw Data'!U835</f>
        <v>2</v>
      </c>
      <c r="G835" s="2" t="n">
        <f aca="false">'Raw Data'!W835</f>
        <v>2</v>
      </c>
      <c r="H835" s="2" t="n">
        <f aca="false">'Raw Data'!V835</f>
        <v>4</v>
      </c>
      <c r="I835" s="2" t="n">
        <f aca="false">IF(AND(ISNUMBER(B835),B835&lt;=25),2,0)+IF(AND(ISNUMBER(E835),E835&lt;=5),2,0)+IF(AND(ISNUMBER(F835),F835&lt;=1),2,0)+IF(AND(ISNUMBER(G835),G835&lt;=2),1,0)+IF(AND(ISNUMBER(H835),H835&lt;=2),1,0)</f>
        <v>3</v>
      </c>
      <c r="J835" s="2" t="str">
        <f aca="false">IF(I835&gt;=6,"High",IF(I835&gt;=3,"Medium","Low"))</f>
        <v>Medium</v>
      </c>
    </row>
    <row r="836" customFormat="false" ht="15" hidden="false" customHeight="true" outlineLevel="0" collapsed="false">
      <c r="A836" s="2" t="n">
        <f aca="false">'Raw Data'!H836</f>
        <v>835</v>
      </c>
      <c r="B836" s="2" t="n">
        <f aca="false">'Raw Data'!A836</f>
        <v>45</v>
      </c>
      <c r="C836" s="2" t="str">
        <f aca="false">'Raw Data'!D836</f>
        <v>Sales</v>
      </c>
      <c r="D836" s="2" t="str">
        <f aca="false">'Raw Data'!K836</f>
        <v>Laboratory Technician</v>
      </c>
      <c r="E836" s="2" t="n">
        <f aca="false">'Raw Data'!Q836</f>
        <v>8</v>
      </c>
      <c r="F836" s="2" t="n">
        <f aca="false">'Raw Data'!U836</f>
        <v>3</v>
      </c>
      <c r="G836" s="2" t="n">
        <f aca="false">'Raw Data'!W836</f>
        <v>4</v>
      </c>
      <c r="H836" s="2" t="n">
        <f aca="false">'Raw Data'!V836</f>
        <v>4</v>
      </c>
      <c r="I836" s="2" t="n">
        <f aca="false">IF(AND(ISNUMBER(B836),B836&lt;=25),2,0)+IF(AND(ISNUMBER(E836),E836&lt;=5),2,0)+IF(AND(ISNUMBER(F836),F836&lt;=1),2,0)+IF(AND(ISNUMBER(G836),G836&lt;=2),1,0)+IF(AND(ISNUMBER(H836),H836&lt;=2),1,0)</f>
        <v>0</v>
      </c>
      <c r="J836" s="2" t="str">
        <f aca="false">IF(I836&gt;=6,"High",IF(I836&gt;=3,"Medium","Low"))</f>
        <v>Low</v>
      </c>
    </row>
    <row r="837" customFormat="false" ht="15" hidden="false" customHeight="true" outlineLevel="0" collapsed="false">
      <c r="A837" s="2" t="n">
        <f aca="false">'Raw Data'!H837</f>
        <v>836</v>
      </c>
      <c r="B837" s="2" t="n">
        <f aca="false">'Raw Data'!A837</f>
        <v>42</v>
      </c>
      <c r="C837" s="2" t="str">
        <f aca="false">'Raw Data'!D837</f>
        <v>Human Resources</v>
      </c>
      <c r="D837" s="2" t="str">
        <f aca="false">'Raw Data'!K837</f>
        <v>Manufacturing Director</v>
      </c>
      <c r="E837" s="2" t="n">
        <f aca="false">'Raw Data'!Q837</f>
        <v>24</v>
      </c>
      <c r="F837" s="2" t="n">
        <f aca="false">'Raw Data'!U837</f>
        <v>9</v>
      </c>
      <c r="G837" s="2" t="n">
        <f aca="false">'Raw Data'!W837</f>
        <v>4</v>
      </c>
      <c r="H837" s="2" t="n">
        <f aca="false">'Raw Data'!V837</f>
        <v>4</v>
      </c>
      <c r="I837" s="2" t="n">
        <f aca="false">IF(AND(ISNUMBER(B837),B837&lt;=25),2,0)+IF(AND(ISNUMBER(E837),E837&lt;=5),2,0)+IF(AND(ISNUMBER(F837),F837&lt;=1),2,0)+IF(AND(ISNUMBER(G837),G837&lt;=2),1,0)+IF(AND(ISNUMBER(H837),H837&lt;=2),1,0)</f>
        <v>0</v>
      </c>
      <c r="J837" s="2" t="str">
        <f aca="false">IF(I837&gt;=6,"High",IF(I837&gt;=3,"Medium","Low"))</f>
        <v>Low</v>
      </c>
    </row>
    <row r="838" customFormat="false" ht="15" hidden="false" customHeight="true" outlineLevel="0" collapsed="false">
      <c r="A838" s="2" t="n">
        <f aca="false">'Raw Data'!H838</f>
        <v>837</v>
      </c>
      <c r="B838" s="2" t="n">
        <f aca="false">'Raw Data'!A838</f>
        <v>40</v>
      </c>
      <c r="C838" s="2" t="str">
        <f aca="false">'Raw Data'!D838</f>
        <v>Sales</v>
      </c>
      <c r="D838" s="2" t="str">
        <f aca="false">'Raw Data'!K838</f>
        <v>Manufacturing Director</v>
      </c>
      <c r="E838" s="2" t="n">
        <f aca="false">'Raw Data'!Q838</f>
        <v>9</v>
      </c>
      <c r="F838" s="2" t="n">
        <f aca="false">'Raw Data'!U838</f>
        <v>1</v>
      </c>
      <c r="G838" s="2" t="n">
        <f aca="false">'Raw Data'!W838</f>
        <v>1</v>
      </c>
      <c r="H838" s="2" t="n">
        <f aca="false">'Raw Data'!V838</f>
        <v>1</v>
      </c>
      <c r="I838" s="2" t="n">
        <f aca="false">IF(AND(ISNUMBER(B838),B838&lt;=25),2,0)+IF(AND(ISNUMBER(E838),E838&lt;=5),2,0)+IF(AND(ISNUMBER(F838),F838&lt;=1),2,0)+IF(AND(ISNUMBER(G838),G838&lt;=2),1,0)+IF(AND(ISNUMBER(H838),H838&lt;=2),1,0)</f>
        <v>4</v>
      </c>
      <c r="J838" s="2" t="str">
        <f aca="false">IF(I838&gt;=6,"High",IF(I838&gt;=3,"Medium","Low"))</f>
        <v>Medium</v>
      </c>
    </row>
    <row r="839" customFormat="false" ht="15" hidden="false" customHeight="true" outlineLevel="0" collapsed="false">
      <c r="A839" s="2" t="n">
        <f aca="false">'Raw Data'!H839</f>
        <v>838</v>
      </c>
      <c r="B839" s="2" t="n">
        <f aca="false">'Raw Data'!A839</f>
        <v>33</v>
      </c>
      <c r="C839" s="2" t="str">
        <f aca="false">'Raw Data'!D839</f>
        <v>Research &amp; Development</v>
      </c>
      <c r="D839" s="2" t="str">
        <f aca="false">'Raw Data'!K839</f>
        <v>Manufacturing Director</v>
      </c>
      <c r="E839" s="2" t="n">
        <f aca="false">'Raw Data'!Q839</f>
        <v>15</v>
      </c>
      <c r="F839" s="2" t="n">
        <f aca="false">'Raw Data'!U839</f>
        <v>7</v>
      </c>
      <c r="G839" s="2" t="n">
        <f aca="false">'Raw Data'!W839</f>
        <v>3</v>
      </c>
      <c r="H839" s="2" t="n">
        <f aca="false">'Raw Data'!V839</f>
        <v>2</v>
      </c>
      <c r="I839" s="2" t="n">
        <f aca="false">IF(AND(ISNUMBER(B839),B839&lt;=25),2,0)+IF(AND(ISNUMBER(E839),E839&lt;=5),2,0)+IF(AND(ISNUMBER(F839),F839&lt;=1),2,0)+IF(AND(ISNUMBER(G839),G839&lt;=2),1,0)+IF(AND(ISNUMBER(H839),H839&lt;=2),1,0)</f>
        <v>1</v>
      </c>
      <c r="J839" s="2" t="str">
        <f aca="false">IF(I839&gt;=6,"High",IF(I839&gt;=3,"Medium","Low"))</f>
        <v>Low</v>
      </c>
    </row>
    <row r="840" customFormat="false" ht="15" hidden="false" customHeight="true" outlineLevel="0" collapsed="false">
      <c r="A840" s="2" t="n">
        <f aca="false">'Raw Data'!H840</f>
        <v>839</v>
      </c>
      <c r="B840" s="2" t="n">
        <f aca="false">'Raw Data'!A840</f>
        <v>40</v>
      </c>
      <c r="C840" s="2" t="str">
        <f aca="false">'Raw Data'!D840</f>
        <v>Sales</v>
      </c>
      <c r="D840" s="2" t="str">
        <f aca="false">'Raw Data'!K840</f>
        <v>Manufacturing Director</v>
      </c>
      <c r="E840" s="2" t="n">
        <f aca="false">'Raw Data'!Q840</f>
        <v>21</v>
      </c>
      <c r="F840" s="2" t="n">
        <f aca="false">'Raw Data'!U840</f>
        <v>7</v>
      </c>
      <c r="G840" s="2" t="n">
        <f aca="false">'Raw Data'!W840</f>
        <v>4</v>
      </c>
      <c r="H840" s="2" t="n">
        <f aca="false">'Raw Data'!V840</f>
        <v>3</v>
      </c>
      <c r="I840" s="2" t="n">
        <f aca="false">IF(AND(ISNUMBER(B840),B840&lt;=25),2,0)+IF(AND(ISNUMBER(E840),E840&lt;=5),2,0)+IF(AND(ISNUMBER(F840),F840&lt;=1),2,0)+IF(AND(ISNUMBER(G840),G840&lt;=2),1,0)+IF(AND(ISNUMBER(H840),H840&lt;=2),1,0)</f>
        <v>0</v>
      </c>
      <c r="J840" s="2" t="str">
        <f aca="false">IF(I840&gt;=6,"High",IF(I840&gt;=3,"Medium","Low"))</f>
        <v>Low</v>
      </c>
    </row>
    <row r="841" customFormat="false" ht="15" hidden="false" customHeight="true" outlineLevel="0" collapsed="false">
      <c r="A841" s="2" t="n">
        <f aca="false">'Raw Data'!H841</f>
        <v>840</v>
      </c>
      <c r="B841" s="2" t="n">
        <f aca="false">'Raw Data'!A841</f>
        <v>24</v>
      </c>
      <c r="C841" s="2" t="str">
        <f aca="false">'Raw Data'!D841</f>
        <v>Sales</v>
      </c>
      <c r="D841" s="2" t="str">
        <f aca="false">'Raw Data'!K841</f>
        <v>Manufacturing Director</v>
      </c>
      <c r="E841" s="2" t="n">
        <f aca="false">'Raw Data'!Q841</f>
        <v>2</v>
      </c>
      <c r="F841" s="2" t="n">
        <f aca="false">'Raw Data'!U841</f>
        <v>0</v>
      </c>
      <c r="G841" s="2" t="n">
        <f aca="false">'Raw Data'!W841</f>
        <v>1</v>
      </c>
      <c r="H841" s="2" t="n">
        <f aca="false">'Raw Data'!V841</f>
        <v>3</v>
      </c>
      <c r="I841" s="2" t="n">
        <f aca="false">IF(AND(ISNUMBER(B841),B841&lt;=25),2,0)+IF(AND(ISNUMBER(E841),E841&lt;=5),2,0)+IF(AND(ISNUMBER(F841),F841&lt;=1),2,0)+IF(AND(ISNUMBER(G841),G841&lt;=2),1,0)+IF(AND(ISNUMBER(H841),H841&lt;=2),1,0)</f>
        <v>7</v>
      </c>
      <c r="J841" s="2" t="str">
        <f aca="false">IF(I841&gt;=6,"High",IF(I841&gt;=3,"Medium","Low"))</f>
        <v>High</v>
      </c>
    </row>
    <row r="842" customFormat="false" ht="15" hidden="false" customHeight="true" outlineLevel="0" collapsed="false">
      <c r="A842" s="2" t="n">
        <f aca="false">'Raw Data'!H842</f>
        <v>841</v>
      </c>
      <c r="B842" s="2" t="n">
        <f aca="false">'Raw Data'!A842</f>
        <v>40</v>
      </c>
      <c r="C842" s="2" t="str">
        <f aca="false">'Raw Data'!D842</f>
        <v>Research &amp; Development</v>
      </c>
      <c r="D842" s="2" t="str">
        <f aca="false">'Raw Data'!K842</f>
        <v>Research Scientist</v>
      </c>
      <c r="E842" s="2" t="n">
        <f aca="false">'Raw Data'!Q842</f>
        <v>8</v>
      </c>
      <c r="F842" s="2" t="n">
        <f aca="false">'Raw Data'!U842</f>
        <v>2</v>
      </c>
      <c r="G842" s="2" t="n">
        <f aca="false">'Raw Data'!W842</f>
        <v>4</v>
      </c>
      <c r="H842" s="2" t="n">
        <f aca="false">'Raw Data'!V842</f>
        <v>4</v>
      </c>
      <c r="I842" s="2" t="n">
        <f aca="false">IF(AND(ISNUMBER(B842),B842&lt;=25),2,0)+IF(AND(ISNUMBER(E842),E842&lt;=5),2,0)+IF(AND(ISNUMBER(F842),F842&lt;=1),2,0)+IF(AND(ISNUMBER(G842),G842&lt;=2),1,0)+IF(AND(ISNUMBER(H842),H842&lt;=2),1,0)</f>
        <v>0</v>
      </c>
      <c r="J842" s="2" t="str">
        <f aca="false">IF(I842&gt;=6,"High",IF(I842&gt;=3,"Medium","Low"))</f>
        <v>Low</v>
      </c>
    </row>
    <row r="843" customFormat="false" ht="15" hidden="false" customHeight="true" outlineLevel="0" collapsed="false">
      <c r="A843" s="2" t="n">
        <f aca="false">'Raw Data'!H843</f>
        <v>842</v>
      </c>
      <c r="B843" s="2" t="n">
        <f aca="false">'Raw Data'!A843</f>
        <v>45</v>
      </c>
      <c r="C843" s="2" t="str">
        <f aca="false">'Raw Data'!D843</f>
        <v>Research &amp; Development</v>
      </c>
      <c r="D843" s="2" t="str">
        <f aca="false">'Raw Data'!K843</f>
        <v>Laboratory Technician</v>
      </c>
      <c r="E843" s="2" t="n">
        <f aca="false">'Raw Data'!Q843</f>
        <v>10</v>
      </c>
      <c r="F843" s="2" t="n">
        <f aca="false">'Raw Data'!U843</f>
        <v>7</v>
      </c>
      <c r="G843" s="2" t="n">
        <f aca="false">'Raw Data'!W843</f>
        <v>2</v>
      </c>
      <c r="H843" s="2" t="n">
        <f aca="false">'Raw Data'!V843</f>
        <v>1</v>
      </c>
      <c r="I843" s="2" t="n">
        <f aca="false">IF(AND(ISNUMBER(B843),B843&lt;=25),2,0)+IF(AND(ISNUMBER(E843),E843&lt;=5),2,0)+IF(AND(ISNUMBER(F843),F843&lt;=1),2,0)+IF(AND(ISNUMBER(G843),G843&lt;=2),1,0)+IF(AND(ISNUMBER(H843),H843&lt;=2),1,0)</f>
        <v>2</v>
      </c>
      <c r="J843" s="2" t="str">
        <f aca="false">IF(I843&gt;=6,"High",IF(I843&gt;=3,"Medium","Low"))</f>
        <v>Low</v>
      </c>
    </row>
    <row r="844" customFormat="false" ht="15" hidden="false" customHeight="true" outlineLevel="0" collapsed="false">
      <c r="A844" s="2" t="n">
        <f aca="false">'Raw Data'!H844</f>
        <v>843</v>
      </c>
      <c r="B844" s="2" t="n">
        <f aca="false">'Raw Data'!A844</f>
        <v>35</v>
      </c>
      <c r="C844" s="2" t="str">
        <f aca="false">'Raw Data'!D844</f>
        <v>Research &amp; Development</v>
      </c>
      <c r="D844" s="2" t="str">
        <f aca="false">'Raw Data'!K844</f>
        <v>Healthcare Representative</v>
      </c>
      <c r="E844" s="2" t="n">
        <f aca="false">'Raw Data'!Q844</f>
        <v>6</v>
      </c>
      <c r="F844" s="2" t="n">
        <f aca="false">'Raw Data'!U844</f>
        <v>2</v>
      </c>
      <c r="G844" s="2" t="n">
        <f aca="false">'Raw Data'!W844</f>
        <v>3</v>
      </c>
      <c r="H844" s="2" t="n">
        <f aca="false">'Raw Data'!V844</f>
        <v>2</v>
      </c>
      <c r="I844" s="2" t="n">
        <f aca="false">IF(AND(ISNUMBER(B844),B844&lt;=25),2,0)+IF(AND(ISNUMBER(E844),E844&lt;=5),2,0)+IF(AND(ISNUMBER(F844),F844&lt;=1),2,0)+IF(AND(ISNUMBER(G844),G844&lt;=2),1,0)+IF(AND(ISNUMBER(H844),H844&lt;=2),1,0)</f>
        <v>1</v>
      </c>
      <c r="J844" s="2" t="str">
        <f aca="false">IF(I844&gt;=6,"High",IF(I844&gt;=3,"Medium","Low"))</f>
        <v>Low</v>
      </c>
    </row>
    <row r="845" customFormat="false" ht="15" hidden="false" customHeight="true" outlineLevel="0" collapsed="false">
      <c r="A845" s="2" t="n">
        <f aca="false">'Raw Data'!H845</f>
        <v>844</v>
      </c>
      <c r="B845" s="2" t="n">
        <f aca="false">'Raw Data'!A845</f>
        <v>32</v>
      </c>
      <c r="C845" s="2" t="str">
        <f aca="false">'Raw Data'!D845</f>
        <v>Research &amp; Development</v>
      </c>
      <c r="D845" s="2" t="str">
        <f aca="false">'Raw Data'!K845</f>
        <v>Sales Executive</v>
      </c>
      <c r="E845" s="2" t="n">
        <f aca="false">'Raw Data'!Q845</f>
        <v>12</v>
      </c>
      <c r="F845" s="2" t="n">
        <f aca="false">'Raw Data'!U845</f>
        <v>5</v>
      </c>
      <c r="G845" s="2" t="n">
        <f aca="false">'Raw Data'!W845</f>
        <v>2</v>
      </c>
      <c r="H845" s="2" t="n">
        <f aca="false">'Raw Data'!V845</f>
        <v>4</v>
      </c>
      <c r="I845" s="2" t="n">
        <f aca="false">IF(AND(ISNUMBER(B845),B845&lt;=25),2,0)+IF(AND(ISNUMBER(E845),E845&lt;=5),2,0)+IF(AND(ISNUMBER(F845),F845&lt;=1),2,0)+IF(AND(ISNUMBER(G845),G845&lt;=2),1,0)+IF(AND(ISNUMBER(H845),H845&lt;=2),1,0)</f>
        <v>1</v>
      </c>
      <c r="J845" s="2" t="str">
        <f aca="false">IF(I845&gt;=6,"High",IF(I845&gt;=3,"Medium","Low"))</f>
        <v>Low</v>
      </c>
    </row>
    <row r="846" customFormat="false" ht="15" hidden="false" customHeight="true" outlineLevel="0" collapsed="false">
      <c r="A846" s="2" t="n">
        <f aca="false">'Raw Data'!H846</f>
        <v>845</v>
      </c>
      <c r="B846" s="2" t="n">
        <f aca="false">'Raw Data'!A846</f>
        <v>36</v>
      </c>
      <c r="C846" s="2" t="str">
        <f aca="false">'Raw Data'!D846</f>
        <v>Sales</v>
      </c>
      <c r="D846" s="2" t="str">
        <f aca="false">'Raw Data'!K846</f>
        <v>Research Scientist</v>
      </c>
      <c r="E846" s="2" t="n">
        <f aca="false">'Raw Data'!Q846</f>
        <v>7</v>
      </c>
      <c r="F846" s="2" t="n">
        <f aca="false">'Raw Data'!U846</f>
        <v>2</v>
      </c>
      <c r="G846" s="2" t="n">
        <f aca="false">'Raw Data'!W846</f>
        <v>4</v>
      </c>
      <c r="H846" s="2" t="n">
        <f aca="false">'Raw Data'!V846</f>
        <v>3</v>
      </c>
      <c r="I846" s="2" t="n">
        <f aca="false">IF(AND(ISNUMBER(B846),B846&lt;=25),2,0)+IF(AND(ISNUMBER(E846),E846&lt;=5),2,0)+IF(AND(ISNUMBER(F846),F846&lt;=1),2,0)+IF(AND(ISNUMBER(G846),G846&lt;=2),1,0)+IF(AND(ISNUMBER(H846),H846&lt;=2),1,0)</f>
        <v>0</v>
      </c>
      <c r="J846" s="2" t="str">
        <f aca="false">IF(I846&gt;=6,"High",IF(I846&gt;=3,"Medium","Low"))</f>
        <v>Low</v>
      </c>
    </row>
    <row r="847" customFormat="false" ht="15" hidden="false" customHeight="true" outlineLevel="0" collapsed="false">
      <c r="A847" s="2" t="n">
        <f aca="false">'Raw Data'!H847</f>
        <v>846</v>
      </c>
      <c r="B847" s="2" t="n">
        <f aca="false">'Raw Data'!A847</f>
        <v>48</v>
      </c>
      <c r="C847" s="2" t="str">
        <f aca="false">'Raw Data'!D847</f>
        <v>Research &amp; Development</v>
      </c>
      <c r="D847" s="2" t="str">
        <f aca="false">'Raw Data'!K847</f>
        <v>Laboratory Technician</v>
      </c>
      <c r="E847" s="2" t="n">
        <f aca="false">'Raw Data'!Q847</f>
        <v>18</v>
      </c>
      <c r="F847" s="2" t="n">
        <f aca="false">'Raw Data'!U847</f>
        <v>7</v>
      </c>
      <c r="G847" s="2" t="n">
        <f aca="false">'Raw Data'!W847</f>
        <v>3</v>
      </c>
      <c r="H847" s="2" t="n">
        <f aca="false">'Raw Data'!V847</f>
        <v>3</v>
      </c>
      <c r="I847" s="2" t="n">
        <f aca="false">IF(AND(ISNUMBER(B847),B847&lt;=25),2,0)+IF(AND(ISNUMBER(E847),E847&lt;=5),2,0)+IF(AND(ISNUMBER(F847),F847&lt;=1),2,0)+IF(AND(ISNUMBER(G847),G847&lt;=2),1,0)+IF(AND(ISNUMBER(H847),H847&lt;=2),1,0)</f>
        <v>0</v>
      </c>
      <c r="J847" s="2" t="str">
        <f aca="false">IF(I847&gt;=6,"High",IF(I847&gt;=3,"Medium","Low"))</f>
        <v>Low</v>
      </c>
    </row>
    <row r="848" customFormat="false" ht="15" hidden="false" customHeight="true" outlineLevel="0" collapsed="false">
      <c r="A848" s="2" t="n">
        <f aca="false">'Raw Data'!H848</f>
        <v>847</v>
      </c>
      <c r="B848" s="2" t="n">
        <f aca="false">'Raw Data'!A848</f>
        <v>29</v>
      </c>
      <c r="C848" s="2" t="str">
        <f aca="false">'Raw Data'!D848</f>
        <v>Research &amp; Development</v>
      </c>
      <c r="D848" s="2" t="str">
        <f aca="false">'Raw Data'!K848</f>
        <v>Healthcare Representative</v>
      </c>
      <c r="E848" s="2" t="n">
        <f aca="false">'Raw Data'!Q848</f>
        <v>5</v>
      </c>
      <c r="F848" s="2" t="n">
        <f aca="false">'Raw Data'!U848</f>
        <v>0</v>
      </c>
      <c r="G848" s="2" t="n">
        <f aca="false">'Raw Data'!W848</f>
        <v>3</v>
      </c>
      <c r="H848" s="2" t="n">
        <f aca="false">'Raw Data'!V848</f>
        <v>0</v>
      </c>
      <c r="I848" s="2" t="n">
        <f aca="false">IF(AND(ISNUMBER(B848),B848&lt;=25),2,0)+IF(AND(ISNUMBER(E848),E848&lt;=5),2,0)+IF(AND(ISNUMBER(F848),F848&lt;=1),2,0)+IF(AND(ISNUMBER(G848),G848&lt;=2),1,0)+IF(AND(ISNUMBER(H848),H848&lt;=2),1,0)</f>
        <v>4</v>
      </c>
      <c r="J848" s="2" t="str">
        <f aca="false">IF(I848&gt;=6,"High",IF(I848&gt;=3,"Medium","Low"))</f>
        <v>Medium</v>
      </c>
    </row>
    <row r="849" customFormat="false" ht="15" hidden="false" customHeight="true" outlineLevel="0" collapsed="false">
      <c r="A849" s="2" t="n">
        <f aca="false">'Raw Data'!H849</f>
        <v>848</v>
      </c>
      <c r="B849" s="2" t="n">
        <f aca="false">'Raw Data'!A849</f>
        <v>33</v>
      </c>
      <c r="C849" s="2" t="str">
        <f aca="false">'Raw Data'!D849</f>
        <v>Research &amp; Development</v>
      </c>
      <c r="D849" s="2" t="str">
        <f aca="false">'Raw Data'!K849</f>
        <v>Healthcare Representative</v>
      </c>
      <c r="E849" s="2" t="n">
        <f aca="false">'Raw Data'!Q849</f>
        <v>8</v>
      </c>
      <c r="F849" s="2" t="n">
        <f aca="false">'Raw Data'!U849</f>
        <v>2</v>
      </c>
      <c r="G849" s="2" t="n">
        <f aca="false">'Raw Data'!W849</f>
        <v>1</v>
      </c>
      <c r="H849" s="2" t="n">
        <f aca="false">'Raw Data'!V849</f>
        <v>1</v>
      </c>
      <c r="I849" s="2" t="n">
        <f aca="false">IF(AND(ISNUMBER(B849),B849&lt;=25),2,0)+IF(AND(ISNUMBER(E849),E849&lt;=5),2,0)+IF(AND(ISNUMBER(F849),F849&lt;=1),2,0)+IF(AND(ISNUMBER(G849),G849&lt;=2),1,0)+IF(AND(ISNUMBER(H849),H849&lt;=2),1,0)</f>
        <v>2</v>
      </c>
      <c r="J849" s="2" t="str">
        <f aca="false">IF(I849&gt;=6,"High",IF(I849&gt;=3,"Medium","Low"))</f>
        <v>Low</v>
      </c>
    </row>
    <row r="850" customFormat="false" ht="15" hidden="false" customHeight="true" outlineLevel="0" collapsed="false">
      <c r="A850" s="2" t="n">
        <f aca="false">'Raw Data'!H850</f>
        <v>849</v>
      </c>
      <c r="B850" s="2" t="n">
        <f aca="false">'Raw Data'!A850</f>
        <v>30</v>
      </c>
      <c r="C850" s="2" t="str">
        <f aca="false">'Raw Data'!D850</f>
        <v>Research &amp; Development</v>
      </c>
      <c r="D850" s="2" t="str">
        <f aca="false">'Raw Data'!K850</f>
        <v>Sales Executive</v>
      </c>
      <c r="E850" s="2" t="n">
        <f aca="false">'Raw Data'!Q850</f>
        <v>10</v>
      </c>
      <c r="F850" s="2" t="n">
        <f aca="false">'Raw Data'!U850</f>
        <v>7</v>
      </c>
      <c r="G850" s="2" t="n">
        <f aca="false">'Raw Data'!W850</f>
        <v>1</v>
      </c>
      <c r="H850" s="2" t="n">
        <f aca="false">'Raw Data'!V850</f>
        <v>2</v>
      </c>
      <c r="I850" s="2" t="n">
        <f aca="false">IF(AND(ISNUMBER(B850),B850&lt;=25),2,0)+IF(AND(ISNUMBER(E850),E850&lt;=5),2,0)+IF(AND(ISNUMBER(F850),F850&lt;=1),2,0)+IF(AND(ISNUMBER(G850),G850&lt;=2),1,0)+IF(AND(ISNUMBER(H850),H850&lt;=2),1,0)</f>
        <v>2</v>
      </c>
      <c r="J850" s="2" t="str">
        <f aca="false">IF(I850&gt;=6,"High",IF(I850&gt;=3,"Medium","Low"))</f>
        <v>Low</v>
      </c>
    </row>
    <row r="851" customFormat="false" ht="15" hidden="false" customHeight="true" outlineLevel="0" collapsed="false">
      <c r="A851" s="2" t="n">
        <f aca="false">'Raw Data'!H851</f>
        <v>850</v>
      </c>
      <c r="B851" s="2" t="n">
        <f aca="false">'Raw Data'!A851</f>
        <v>38</v>
      </c>
      <c r="C851" s="2" t="str">
        <f aca="false">'Raw Data'!D851</f>
        <v>Sales</v>
      </c>
      <c r="D851" s="2" t="str">
        <f aca="false">'Raw Data'!K851</f>
        <v>Manufacturing Director</v>
      </c>
      <c r="E851" s="2" t="n">
        <f aca="false">'Raw Data'!Q851</f>
        <v>10</v>
      </c>
      <c r="F851" s="2" t="n">
        <f aca="false">'Raw Data'!U851</f>
        <v>2</v>
      </c>
      <c r="G851" s="2" t="n">
        <f aca="false">'Raw Data'!W851</f>
        <v>3</v>
      </c>
      <c r="H851" s="2" t="n">
        <f aca="false">'Raw Data'!V851</f>
        <v>3</v>
      </c>
      <c r="I851" s="2" t="n">
        <f aca="false">IF(AND(ISNUMBER(B851),B851&lt;=25),2,0)+IF(AND(ISNUMBER(E851),E851&lt;=5),2,0)+IF(AND(ISNUMBER(F851),F851&lt;=1),2,0)+IF(AND(ISNUMBER(G851),G851&lt;=2),1,0)+IF(AND(ISNUMBER(H851),H851&lt;=2),1,0)</f>
        <v>0</v>
      </c>
      <c r="J851" s="2" t="str">
        <f aca="false">IF(I851&gt;=6,"High",IF(I851&gt;=3,"Medium","Low"))</f>
        <v>Low</v>
      </c>
    </row>
    <row r="852" customFormat="false" ht="15" hidden="false" customHeight="true" outlineLevel="0" collapsed="false">
      <c r="A852" s="2" t="n">
        <f aca="false">'Raw Data'!H852</f>
        <v>851</v>
      </c>
      <c r="B852" s="2" t="n">
        <f aca="false">'Raw Data'!A852</f>
        <v>35</v>
      </c>
      <c r="C852" s="2" t="str">
        <f aca="false">'Raw Data'!D852</f>
        <v>Sales</v>
      </c>
      <c r="D852" s="2" t="str">
        <f aca="false">'Raw Data'!K852</f>
        <v>Sales Executive</v>
      </c>
      <c r="E852" s="2" t="n">
        <f aca="false">'Raw Data'!Q852</f>
        <v>3</v>
      </c>
      <c r="F852" s="2" t="n">
        <f aca="false">'Raw Data'!U852</f>
        <v>2</v>
      </c>
      <c r="G852" s="2" t="n">
        <f aca="false">'Raw Data'!W852</f>
        <v>1</v>
      </c>
      <c r="H852" s="2" t="n">
        <f aca="false">'Raw Data'!V852</f>
        <v>4</v>
      </c>
      <c r="I852" s="2" t="n">
        <f aca="false">IF(AND(ISNUMBER(B852),B852&lt;=25),2,0)+IF(AND(ISNUMBER(E852),E852&lt;=5),2,0)+IF(AND(ISNUMBER(F852),F852&lt;=1),2,0)+IF(AND(ISNUMBER(G852),G852&lt;=2),1,0)+IF(AND(ISNUMBER(H852),H852&lt;=2),1,0)</f>
        <v>3</v>
      </c>
      <c r="J852" s="2" t="str">
        <f aca="false">IF(I852&gt;=6,"High",IF(I852&gt;=3,"Medium","Low"))</f>
        <v>Medium</v>
      </c>
    </row>
    <row r="853" customFormat="false" ht="15" hidden="false" customHeight="true" outlineLevel="0" collapsed="false">
      <c r="A853" s="2" t="n">
        <f aca="false">'Raw Data'!H853</f>
        <v>852</v>
      </c>
      <c r="B853" s="2" t="n">
        <f aca="false">'Raw Data'!A853</f>
        <v>30</v>
      </c>
      <c r="C853" s="2" t="str">
        <f aca="false">'Raw Data'!D853</f>
        <v>Research &amp; Development</v>
      </c>
      <c r="D853" s="2" t="str">
        <f aca="false">'Raw Data'!K853</f>
        <v>Research Director</v>
      </c>
      <c r="E853" s="2" t="n">
        <f aca="false">'Raw Data'!Q853</f>
        <v>9</v>
      </c>
      <c r="F853" s="2" t="n">
        <f aca="false">'Raw Data'!U853</f>
        <v>3</v>
      </c>
      <c r="G853" s="2" t="n">
        <f aca="false">'Raw Data'!W853</f>
        <v>2</v>
      </c>
      <c r="H853" s="2" t="n">
        <f aca="false">'Raw Data'!V853</f>
        <v>3</v>
      </c>
      <c r="I853" s="2" t="n">
        <f aca="false">IF(AND(ISNUMBER(B853),B853&lt;=25),2,0)+IF(AND(ISNUMBER(E853),E853&lt;=5),2,0)+IF(AND(ISNUMBER(F853),F853&lt;=1),2,0)+IF(AND(ISNUMBER(G853),G853&lt;=2),1,0)+IF(AND(ISNUMBER(H853),H853&lt;=2),1,0)</f>
        <v>1</v>
      </c>
      <c r="J853" s="2" t="str">
        <f aca="false">IF(I853&gt;=6,"High",IF(I853&gt;=3,"Medium","Low"))</f>
        <v>Low</v>
      </c>
    </row>
    <row r="854" customFormat="false" ht="15" hidden="false" customHeight="true" outlineLevel="0" collapsed="false">
      <c r="A854" s="2" t="n">
        <f aca="false">'Raw Data'!H854</f>
        <v>853</v>
      </c>
      <c r="B854" s="2" t="n">
        <f aca="false">'Raw Data'!A854</f>
        <v>35</v>
      </c>
      <c r="C854" s="2" t="str">
        <f aca="false">'Raw Data'!D854</f>
        <v>Research &amp; Development</v>
      </c>
      <c r="D854" s="2" t="str">
        <f aca="false">'Raw Data'!K854</f>
        <v>Research Scientist</v>
      </c>
      <c r="E854" s="2" t="n">
        <f aca="false">'Raw Data'!Q854</f>
        <v>1</v>
      </c>
      <c r="F854" s="2" t="n">
        <f aca="false">'Raw Data'!U854</f>
        <v>0</v>
      </c>
      <c r="G854" s="2" t="n">
        <f aca="false">'Raw Data'!W854</f>
        <v>1</v>
      </c>
      <c r="H854" s="2" t="n">
        <f aca="false">'Raw Data'!V854</f>
        <v>1</v>
      </c>
      <c r="I854" s="2" t="n">
        <f aca="false">IF(AND(ISNUMBER(B854),B854&lt;=25),2,0)+IF(AND(ISNUMBER(E854),E854&lt;=5),2,0)+IF(AND(ISNUMBER(F854),F854&lt;=1),2,0)+IF(AND(ISNUMBER(G854),G854&lt;=2),1,0)+IF(AND(ISNUMBER(H854),H854&lt;=2),1,0)</f>
        <v>6</v>
      </c>
      <c r="J854" s="2" t="str">
        <f aca="false">IF(I854&gt;=6,"High",IF(I854&gt;=3,"Medium","Low"))</f>
        <v>High</v>
      </c>
    </row>
    <row r="855" customFormat="false" ht="15" hidden="false" customHeight="true" outlineLevel="0" collapsed="false">
      <c r="A855" s="2" t="n">
        <f aca="false">'Raw Data'!H855</f>
        <v>854</v>
      </c>
      <c r="B855" s="2" t="n">
        <f aca="false">'Raw Data'!A855</f>
        <v>53</v>
      </c>
      <c r="C855" s="2" t="str">
        <f aca="false">'Raw Data'!D855</f>
        <v>Research &amp; Development</v>
      </c>
      <c r="D855" s="2" t="str">
        <f aca="false">'Raw Data'!K855</f>
        <v>Manager</v>
      </c>
      <c r="E855" s="2" t="n">
        <f aca="false">'Raw Data'!Q855</f>
        <v>34</v>
      </c>
      <c r="F855" s="2" t="n">
        <f aca="false">'Raw Data'!U855</f>
        <v>9</v>
      </c>
      <c r="G855" s="2" t="n">
        <f aca="false">'Raw Data'!W855</f>
        <v>4</v>
      </c>
      <c r="H855" s="2" t="n">
        <f aca="false">'Raw Data'!V855</f>
        <v>3</v>
      </c>
      <c r="I855" s="2" t="n">
        <f aca="false">IF(AND(ISNUMBER(B855),B855&lt;=25),2,0)+IF(AND(ISNUMBER(E855),E855&lt;=5),2,0)+IF(AND(ISNUMBER(F855),F855&lt;=1),2,0)+IF(AND(ISNUMBER(G855),G855&lt;=2),1,0)+IF(AND(ISNUMBER(H855),H855&lt;=2),1,0)</f>
        <v>0</v>
      </c>
      <c r="J855" s="2" t="str">
        <f aca="false">IF(I855&gt;=6,"High",IF(I855&gt;=3,"Medium","Low"))</f>
        <v>Low</v>
      </c>
    </row>
    <row r="856" customFormat="false" ht="15" hidden="false" customHeight="true" outlineLevel="0" collapsed="false">
      <c r="A856" s="2" t="n">
        <f aca="false">'Raw Data'!H856</f>
        <v>855</v>
      </c>
      <c r="B856" s="2" t="n">
        <f aca="false">'Raw Data'!A856</f>
        <v>38</v>
      </c>
      <c r="C856" s="2" t="str">
        <f aca="false">'Raw Data'!D856</f>
        <v>Research &amp; Development</v>
      </c>
      <c r="D856" s="2" t="str">
        <f aca="false">'Raw Data'!K856</f>
        <v>Sales Executive</v>
      </c>
      <c r="E856" s="2" t="n">
        <f aca="false">'Raw Data'!Q856</f>
        <v>7</v>
      </c>
      <c r="F856" s="2" t="n">
        <f aca="false">'Raw Data'!U856</f>
        <v>4</v>
      </c>
      <c r="G856" s="2" t="n">
        <f aca="false">'Raw Data'!W856</f>
        <v>2</v>
      </c>
      <c r="H856" s="2" t="n">
        <f aca="false">'Raw Data'!V856</f>
        <v>3</v>
      </c>
      <c r="I856" s="2" t="n">
        <f aca="false">IF(AND(ISNUMBER(B856),B856&lt;=25),2,0)+IF(AND(ISNUMBER(E856),E856&lt;=5),2,0)+IF(AND(ISNUMBER(F856),F856&lt;=1),2,0)+IF(AND(ISNUMBER(G856),G856&lt;=2),1,0)+IF(AND(ISNUMBER(H856),H856&lt;=2),1,0)</f>
        <v>1</v>
      </c>
      <c r="J856" s="2" t="str">
        <f aca="false">IF(I856&gt;=6,"High",IF(I856&gt;=3,"Medium","Low"))</f>
        <v>Low</v>
      </c>
    </row>
    <row r="857" customFormat="false" ht="15" hidden="false" customHeight="true" outlineLevel="0" collapsed="false">
      <c r="A857" s="2" t="n">
        <f aca="false">'Raw Data'!H857</f>
        <v>856</v>
      </c>
      <c r="B857" s="2" t="n">
        <f aca="false">'Raw Data'!A857</f>
        <v>32</v>
      </c>
      <c r="C857" s="2" t="str">
        <f aca="false">'Raw Data'!D857</f>
        <v>Research &amp; Development</v>
      </c>
      <c r="D857" s="2" t="str">
        <f aca="false">'Raw Data'!K857</f>
        <v>Research Scientist</v>
      </c>
      <c r="E857" s="2" t="n">
        <f aca="false">'Raw Data'!Q857</f>
        <v>9</v>
      </c>
      <c r="F857" s="2" t="n">
        <f aca="false">'Raw Data'!U857</f>
        <v>2</v>
      </c>
      <c r="G857" s="2" t="n">
        <f aca="false">'Raw Data'!W857</f>
        <v>1</v>
      </c>
      <c r="H857" s="2" t="n">
        <f aca="false">'Raw Data'!V857</f>
        <v>4</v>
      </c>
      <c r="I857" s="2" t="n">
        <f aca="false">IF(AND(ISNUMBER(B857),B857&lt;=25),2,0)+IF(AND(ISNUMBER(E857),E857&lt;=5),2,0)+IF(AND(ISNUMBER(F857),F857&lt;=1),2,0)+IF(AND(ISNUMBER(G857),G857&lt;=2),1,0)+IF(AND(ISNUMBER(H857),H857&lt;=2),1,0)</f>
        <v>1</v>
      </c>
      <c r="J857" s="2" t="str">
        <f aca="false">IF(I857&gt;=6,"High",IF(I857&gt;=3,"Medium","Low"))</f>
        <v>Low</v>
      </c>
    </row>
    <row r="858" customFormat="false" ht="15" hidden="false" customHeight="true" outlineLevel="0" collapsed="false">
      <c r="A858" s="2" t="n">
        <f aca="false">'Raw Data'!H858</f>
        <v>857</v>
      </c>
      <c r="B858" s="2" t="n">
        <f aca="false">'Raw Data'!A858</f>
        <v>48</v>
      </c>
      <c r="C858" s="2" t="str">
        <f aca="false">'Raw Data'!D858</f>
        <v>Research &amp; Development</v>
      </c>
      <c r="D858" s="2" t="str">
        <f aca="false">'Raw Data'!K858</f>
        <v>Sales Executive</v>
      </c>
      <c r="E858" s="2" t="n">
        <f aca="false">'Raw Data'!Q858</f>
        <v>10</v>
      </c>
      <c r="F858" s="2" t="n">
        <f aca="false">'Raw Data'!U858</f>
        <v>6</v>
      </c>
      <c r="G858" s="2" t="n">
        <f aca="false">'Raw Data'!W858</f>
        <v>1</v>
      </c>
      <c r="H858" s="2" t="n">
        <f aca="false">'Raw Data'!V858</f>
        <v>3</v>
      </c>
      <c r="I858" s="2" t="n">
        <f aca="false">IF(AND(ISNUMBER(B858),B858&lt;=25),2,0)+IF(AND(ISNUMBER(E858),E858&lt;=5),2,0)+IF(AND(ISNUMBER(F858),F858&lt;=1),2,0)+IF(AND(ISNUMBER(G858),G858&lt;=2),1,0)+IF(AND(ISNUMBER(H858),H858&lt;=2),1,0)</f>
        <v>1</v>
      </c>
      <c r="J858" s="2" t="str">
        <f aca="false">IF(I858&gt;=6,"High",IF(I858&gt;=3,"Medium","Low"))</f>
        <v>Low</v>
      </c>
    </row>
    <row r="859" customFormat="false" ht="15" hidden="false" customHeight="true" outlineLevel="0" collapsed="false">
      <c r="A859" s="2" t="n">
        <f aca="false">'Raw Data'!H859</f>
        <v>858</v>
      </c>
      <c r="B859" s="2" t="n">
        <f aca="false">'Raw Data'!A859</f>
        <v>34</v>
      </c>
      <c r="C859" s="2" t="str">
        <f aca="false">'Raw Data'!D859</f>
        <v>Research &amp; Development</v>
      </c>
      <c r="D859" s="2" t="str">
        <f aca="false">'Raw Data'!K859</f>
        <v>Sales Executive</v>
      </c>
      <c r="E859" s="2" t="n">
        <f aca="false">'Raw Data'!Q859</f>
        <v>1</v>
      </c>
      <c r="F859" s="2" t="n">
        <f aca="false">'Raw Data'!U859</f>
        <v>0</v>
      </c>
      <c r="G859" s="2" t="n">
        <f aca="false">'Raw Data'!W859</f>
        <v>4</v>
      </c>
      <c r="H859" s="2" t="n">
        <f aca="false">'Raw Data'!V859</f>
        <v>1</v>
      </c>
      <c r="I859" s="2" t="n">
        <f aca="false">IF(AND(ISNUMBER(B859),B859&lt;=25),2,0)+IF(AND(ISNUMBER(E859),E859&lt;=5),2,0)+IF(AND(ISNUMBER(F859),F859&lt;=1),2,0)+IF(AND(ISNUMBER(G859),G859&lt;=2),1,0)+IF(AND(ISNUMBER(H859),H859&lt;=2),1,0)</f>
        <v>5</v>
      </c>
      <c r="J859" s="2" t="str">
        <f aca="false">IF(I859&gt;=6,"High",IF(I859&gt;=3,"Medium","Low"))</f>
        <v>Medium</v>
      </c>
    </row>
    <row r="860" customFormat="false" ht="15" hidden="false" customHeight="true" outlineLevel="0" collapsed="false">
      <c r="A860" s="2" t="n">
        <f aca="false">'Raw Data'!H860</f>
        <v>859</v>
      </c>
      <c r="B860" s="2" t="n">
        <f aca="false">'Raw Data'!A860</f>
        <v>55</v>
      </c>
      <c r="C860" s="2" t="str">
        <f aca="false">'Raw Data'!D860</f>
        <v>Research &amp; Development</v>
      </c>
      <c r="D860" s="2" t="str">
        <f aca="false">'Raw Data'!K860</f>
        <v>Laboratory Technician</v>
      </c>
      <c r="E860" s="2" t="n">
        <f aca="false">'Raw Data'!Q860</f>
        <v>36</v>
      </c>
      <c r="F860" s="2" t="n">
        <f aca="false">'Raw Data'!U860</f>
        <v>13</v>
      </c>
      <c r="G860" s="2" t="n">
        <f aca="false">'Raw Data'!W860</f>
        <v>4</v>
      </c>
      <c r="H860" s="2" t="n">
        <f aca="false">'Raw Data'!V860</f>
        <v>3</v>
      </c>
      <c r="I860" s="2" t="n">
        <f aca="false">IF(AND(ISNUMBER(B860),B860&lt;=25),2,0)+IF(AND(ISNUMBER(E860),E860&lt;=5),2,0)+IF(AND(ISNUMBER(F860),F860&lt;=1),2,0)+IF(AND(ISNUMBER(G860),G860&lt;=2),1,0)+IF(AND(ISNUMBER(H860),H860&lt;=2),1,0)</f>
        <v>0</v>
      </c>
      <c r="J860" s="2" t="str">
        <f aca="false">IF(I860&gt;=6,"High",IF(I860&gt;=3,"Medium","Low"))</f>
        <v>Low</v>
      </c>
    </row>
    <row r="861" customFormat="false" ht="15" hidden="false" customHeight="true" outlineLevel="0" collapsed="false">
      <c r="A861" s="2" t="n">
        <f aca="false">'Raw Data'!H861</f>
        <v>860</v>
      </c>
      <c r="B861" s="2" t="n">
        <f aca="false">'Raw Data'!A861</f>
        <v>34</v>
      </c>
      <c r="C861" s="2" t="str">
        <f aca="false">'Raw Data'!D861</f>
        <v>Research &amp; Development</v>
      </c>
      <c r="D861" s="2" t="str">
        <f aca="false">'Raw Data'!K861</f>
        <v>Research Scientist</v>
      </c>
      <c r="E861" s="2" t="n">
        <f aca="false">'Raw Data'!Q861</f>
        <v>9</v>
      </c>
      <c r="F861" s="2" t="n">
        <f aca="false">'Raw Data'!U861</f>
        <v>1</v>
      </c>
      <c r="G861" s="2" t="n">
        <f aca="false">'Raw Data'!W861</f>
        <v>0</v>
      </c>
      <c r="H861" s="2" t="n">
        <f aca="false">'Raw Data'!V861</f>
        <v>2</v>
      </c>
      <c r="I861" s="2" t="n">
        <f aca="false">IF(AND(ISNUMBER(B861),B861&lt;=25),2,0)+IF(AND(ISNUMBER(E861),E861&lt;=5),2,0)+IF(AND(ISNUMBER(F861),F861&lt;=1),2,0)+IF(AND(ISNUMBER(G861),G861&lt;=2),1,0)+IF(AND(ISNUMBER(H861),H861&lt;=2),1,0)</f>
        <v>3</v>
      </c>
      <c r="J861" s="2" t="str">
        <f aca="false">IF(I861&gt;=6,"High",IF(I861&gt;=3,"Medium","Low"))</f>
        <v>Medium</v>
      </c>
    </row>
    <row r="862" customFormat="false" ht="15" hidden="false" customHeight="true" outlineLevel="0" collapsed="false">
      <c r="A862" s="2" t="n">
        <f aca="false">'Raw Data'!H862</f>
        <v>861</v>
      </c>
      <c r="B862" s="2" t="n">
        <f aca="false">'Raw Data'!A862</f>
        <v>26</v>
      </c>
      <c r="C862" s="2" t="str">
        <f aca="false">'Raw Data'!D862</f>
        <v>Research &amp; Development</v>
      </c>
      <c r="D862" s="2" t="str">
        <f aca="false">'Raw Data'!K862</f>
        <v>Research Director</v>
      </c>
      <c r="E862" s="2" t="n">
        <f aca="false">'Raw Data'!Q862</f>
        <v>1</v>
      </c>
      <c r="F862" s="2" t="n">
        <f aca="false">'Raw Data'!U862</f>
        <v>0</v>
      </c>
      <c r="G862" s="2" t="n">
        <f aca="false">'Raw Data'!W862</f>
        <v>4</v>
      </c>
      <c r="H862" s="2" t="n">
        <f aca="false">'Raw Data'!V862</f>
        <v>1</v>
      </c>
      <c r="I862" s="2" t="n">
        <f aca="false">IF(AND(ISNUMBER(B862),B862&lt;=25),2,0)+IF(AND(ISNUMBER(E862),E862&lt;=5),2,0)+IF(AND(ISNUMBER(F862),F862&lt;=1),2,0)+IF(AND(ISNUMBER(G862),G862&lt;=2),1,0)+IF(AND(ISNUMBER(H862),H862&lt;=2),1,0)</f>
        <v>5</v>
      </c>
      <c r="J862" s="2" t="str">
        <f aca="false">IF(I862&gt;=6,"High",IF(I862&gt;=3,"Medium","Low"))</f>
        <v>Medium</v>
      </c>
    </row>
    <row r="863" customFormat="false" ht="15" hidden="false" customHeight="true" outlineLevel="0" collapsed="false">
      <c r="A863" s="2" t="n">
        <f aca="false">'Raw Data'!H863</f>
        <v>862</v>
      </c>
      <c r="B863" s="2" t="n">
        <f aca="false">'Raw Data'!A863</f>
        <v>38</v>
      </c>
      <c r="C863" s="2" t="str">
        <f aca="false">'Raw Data'!D863</f>
        <v>Sales</v>
      </c>
      <c r="D863" s="2" t="str">
        <f aca="false">'Raw Data'!K863</f>
        <v>Sales Executive</v>
      </c>
      <c r="E863" s="2" t="n">
        <f aca="false">'Raw Data'!Q863</f>
        <v>10</v>
      </c>
      <c r="F863" s="2" t="n">
        <f aca="false">'Raw Data'!U863</f>
        <v>7</v>
      </c>
      <c r="G863" s="2" t="n">
        <f aca="false">'Raw Data'!W863</f>
        <v>2</v>
      </c>
      <c r="H863" s="2" t="n">
        <f aca="false">'Raw Data'!V863</f>
        <v>3</v>
      </c>
      <c r="I863" s="2" t="n">
        <f aca="false">IF(AND(ISNUMBER(B863),B863&lt;=25),2,0)+IF(AND(ISNUMBER(E863),E863&lt;=5),2,0)+IF(AND(ISNUMBER(F863),F863&lt;=1),2,0)+IF(AND(ISNUMBER(G863),G863&lt;=2),1,0)+IF(AND(ISNUMBER(H863),H863&lt;=2),1,0)</f>
        <v>1</v>
      </c>
      <c r="J863" s="2" t="str">
        <f aca="false">IF(I863&gt;=6,"High",IF(I863&gt;=3,"Medium","Low"))</f>
        <v>Low</v>
      </c>
    </row>
    <row r="864" customFormat="false" ht="15" hidden="false" customHeight="true" outlineLevel="0" collapsed="false">
      <c r="A864" s="2" t="n">
        <f aca="false">'Raw Data'!H864</f>
        <v>863</v>
      </c>
      <c r="B864" s="2" t="n">
        <f aca="false">'Raw Data'!A864</f>
        <v>38</v>
      </c>
      <c r="C864" s="2" t="str">
        <f aca="false">'Raw Data'!D864</f>
        <v>Research &amp; Development</v>
      </c>
      <c r="D864" s="2" t="str">
        <f aca="false">'Raw Data'!K864</f>
        <v>Manufacturing Director</v>
      </c>
      <c r="E864" s="2" t="n">
        <f aca="false">'Raw Data'!Q864</f>
        <v>8</v>
      </c>
      <c r="F864" s="2" t="n">
        <f aca="false">'Raw Data'!U864</f>
        <v>2</v>
      </c>
      <c r="G864" s="2" t="n">
        <f aca="false">'Raw Data'!W864</f>
        <v>2</v>
      </c>
      <c r="H864" s="2" t="n">
        <f aca="false">'Raw Data'!V864</f>
        <v>2</v>
      </c>
      <c r="I864" s="2" t="n">
        <f aca="false">IF(AND(ISNUMBER(B864),B864&lt;=25),2,0)+IF(AND(ISNUMBER(E864),E864&lt;=5),2,0)+IF(AND(ISNUMBER(F864),F864&lt;=1),2,0)+IF(AND(ISNUMBER(G864),G864&lt;=2),1,0)+IF(AND(ISNUMBER(H864),H864&lt;=2),1,0)</f>
        <v>2</v>
      </c>
      <c r="J864" s="2" t="str">
        <f aca="false">IF(I864&gt;=6,"High",IF(I864&gt;=3,"Medium","Low"))</f>
        <v>Low</v>
      </c>
    </row>
    <row r="865" customFormat="false" ht="15" hidden="false" customHeight="true" outlineLevel="0" collapsed="false">
      <c r="A865" s="2" t="n">
        <f aca="false">'Raw Data'!H865</f>
        <v>864</v>
      </c>
      <c r="B865" s="2" t="n">
        <f aca="false">'Raw Data'!A865</f>
        <v>36</v>
      </c>
      <c r="C865" s="2" t="str">
        <f aca="false">'Raw Data'!D865</f>
        <v>Human Resources</v>
      </c>
      <c r="D865" s="2" t="str">
        <f aca="false">'Raw Data'!K865</f>
        <v>Research Scientist</v>
      </c>
      <c r="E865" s="2" t="n">
        <f aca="false">'Raw Data'!Q865</f>
        <v>15</v>
      </c>
      <c r="F865" s="2" t="n">
        <f aca="false">'Raw Data'!U865</f>
        <v>0</v>
      </c>
      <c r="G865" s="2" t="n">
        <f aca="false">'Raw Data'!W865</f>
        <v>3</v>
      </c>
      <c r="H865" s="2" t="n">
        <f aca="false">'Raw Data'!V865</f>
        <v>2</v>
      </c>
      <c r="I865" s="2" t="n">
        <f aca="false">IF(AND(ISNUMBER(B865),B865&lt;=25),2,0)+IF(AND(ISNUMBER(E865),E865&lt;=5),2,0)+IF(AND(ISNUMBER(F865),F865&lt;=1),2,0)+IF(AND(ISNUMBER(G865),G865&lt;=2),1,0)+IF(AND(ISNUMBER(H865),H865&lt;=2),1,0)</f>
        <v>3</v>
      </c>
      <c r="J865" s="2" t="str">
        <f aca="false">IF(I865&gt;=6,"High",IF(I865&gt;=3,"Medium","Low"))</f>
        <v>Medium</v>
      </c>
    </row>
    <row r="866" customFormat="false" ht="15" hidden="false" customHeight="true" outlineLevel="0" collapsed="false">
      <c r="A866" s="2" t="n">
        <f aca="false">'Raw Data'!H866</f>
        <v>865</v>
      </c>
      <c r="B866" s="2" t="n">
        <f aca="false">'Raw Data'!A866</f>
        <v>29</v>
      </c>
      <c r="C866" s="2" t="str">
        <f aca="false">'Raw Data'!D866</f>
        <v>Research &amp; Development</v>
      </c>
      <c r="D866" s="2" t="str">
        <f aca="false">'Raw Data'!K866</f>
        <v>Sales Representative</v>
      </c>
      <c r="E866" s="2" t="n">
        <f aca="false">'Raw Data'!Q866</f>
        <v>10</v>
      </c>
      <c r="F866" s="2" t="n">
        <f aca="false">'Raw Data'!U866</f>
        <v>5</v>
      </c>
      <c r="G866" s="2" t="n">
        <f aca="false">'Raw Data'!W866</f>
        <v>1</v>
      </c>
      <c r="H866" s="2" t="n">
        <f aca="false">'Raw Data'!V866</f>
        <v>2</v>
      </c>
      <c r="I866" s="2" t="n">
        <f aca="false">IF(AND(ISNUMBER(B866),B866&lt;=25),2,0)+IF(AND(ISNUMBER(E866),E866&lt;=5),2,0)+IF(AND(ISNUMBER(F866),F866&lt;=1),2,0)+IF(AND(ISNUMBER(G866),G866&lt;=2),1,0)+IF(AND(ISNUMBER(H866),H866&lt;=2),1,0)</f>
        <v>2</v>
      </c>
      <c r="J866" s="2" t="str">
        <f aca="false">IF(I866&gt;=6,"High",IF(I866&gt;=3,"Medium","Low"))</f>
        <v>Low</v>
      </c>
    </row>
    <row r="867" customFormat="false" ht="15" hidden="false" customHeight="true" outlineLevel="0" collapsed="false">
      <c r="A867" s="2" t="n">
        <f aca="false">'Raw Data'!H867</f>
        <v>866</v>
      </c>
      <c r="B867" s="2" t="n">
        <f aca="false">'Raw Data'!A867</f>
        <v>35</v>
      </c>
      <c r="C867" s="2" t="str">
        <f aca="false">'Raw Data'!D867</f>
        <v>Sales</v>
      </c>
      <c r="D867" s="2" t="str">
        <f aca="false">'Raw Data'!K867</f>
        <v>Sales Executive</v>
      </c>
      <c r="E867" s="2" t="n">
        <f aca="false">'Raw Data'!Q867</f>
        <v>10</v>
      </c>
      <c r="F867" s="2" t="n">
        <f aca="false">'Raw Data'!U867</f>
        <v>4</v>
      </c>
      <c r="G867" s="2" t="n">
        <f aca="false">'Raw Data'!W867</f>
        <v>3</v>
      </c>
      <c r="H867" s="2" t="n">
        <f aca="false">'Raw Data'!V867</f>
        <v>1</v>
      </c>
      <c r="I867" s="2" t="n">
        <f aca="false">IF(AND(ISNUMBER(B867),B867&lt;=25),2,0)+IF(AND(ISNUMBER(E867),E867&lt;=5),2,0)+IF(AND(ISNUMBER(F867),F867&lt;=1),2,0)+IF(AND(ISNUMBER(G867),G867&lt;=2),1,0)+IF(AND(ISNUMBER(H867),H867&lt;=2),1,0)</f>
        <v>1</v>
      </c>
      <c r="J867" s="2" t="str">
        <f aca="false">IF(I867&gt;=6,"High",IF(I867&gt;=3,"Medium","Low"))</f>
        <v>Low</v>
      </c>
    </row>
    <row r="868" customFormat="false" ht="15" hidden="false" customHeight="true" outlineLevel="0" collapsed="false">
      <c r="A868" s="2" t="n">
        <f aca="false">'Raw Data'!H868</f>
        <v>867</v>
      </c>
      <c r="B868" s="2" t="n">
        <f aca="false">'Raw Data'!A868</f>
        <v>39</v>
      </c>
      <c r="C868" s="2" t="str">
        <f aca="false">'Raw Data'!D868</f>
        <v>Sales</v>
      </c>
      <c r="D868" s="2" t="str">
        <f aca="false">'Raw Data'!K868</f>
        <v>Sales Executive</v>
      </c>
      <c r="E868" s="2" t="n">
        <f aca="false">'Raw Data'!Q868</f>
        <v>11</v>
      </c>
      <c r="F868" s="2" t="n">
        <f aca="false">'Raw Data'!U868</f>
        <v>6</v>
      </c>
      <c r="G868" s="2" t="n">
        <f aca="false">'Raw Data'!W868</f>
        <v>3</v>
      </c>
      <c r="H868" s="2" t="n">
        <f aca="false">'Raw Data'!V868</f>
        <v>4</v>
      </c>
      <c r="I868" s="2" t="n">
        <f aca="false">IF(AND(ISNUMBER(B868),B868&lt;=25),2,0)+IF(AND(ISNUMBER(E868),E868&lt;=5),2,0)+IF(AND(ISNUMBER(F868),F868&lt;=1),2,0)+IF(AND(ISNUMBER(G868),G868&lt;=2),1,0)+IF(AND(ISNUMBER(H868),H868&lt;=2),1,0)</f>
        <v>0</v>
      </c>
      <c r="J868" s="2" t="str">
        <f aca="false">IF(I868&gt;=6,"High",IF(I868&gt;=3,"Medium","Low"))</f>
        <v>Low</v>
      </c>
    </row>
    <row r="869" customFormat="false" ht="15" hidden="false" customHeight="true" outlineLevel="0" collapsed="false">
      <c r="A869" s="2" t="n">
        <f aca="false">'Raw Data'!H869</f>
        <v>868</v>
      </c>
      <c r="B869" s="2" t="n">
        <f aca="false">'Raw Data'!A869</f>
        <v>29</v>
      </c>
      <c r="C869" s="2" t="str">
        <f aca="false">'Raw Data'!D869</f>
        <v>Research &amp; Development</v>
      </c>
      <c r="D869" s="2" t="str">
        <f aca="false">'Raw Data'!K869</f>
        <v>Research Scientist</v>
      </c>
      <c r="E869" s="2" t="n">
        <f aca="false">'Raw Data'!Q869</f>
        <v>6</v>
      </c>
      <c r="F869" s="2" t="n">
        <f aca="false">'Raw Data'!U869</f>
        <v>3</v>
      </c>
      <c r="G869" s="2" t="n">
        <f aca="false">'Raw Data'!W869</f>
        <v>4</v>
      </c>
      <c r="H869" s="2" t="n">
        <f aca="false">'Raw Data'!V869</f>
        <v>1</v>
      </c>
      <c r="I869" s="2" t="n">
        <f aca="false">IF(AND(ISNUMBER(B869),B869&lt;=25),2,0)+IF(AND(ISNUMBER(E869),E869&lt;=5),2,0)+IF(AND(ISNUMBER(F869),F869&lt;=1),2,0)+IF(AND(ISNUMBER(G869),G869&lt;=2),1,0)+IF(AND(ISNUMBER(H869),H869&lt;=2),1,0)</f>
        <v>1</v>
      </c>
      <c r="J869" s="2" t="str">
        <f aca="false">IF(I869&gt;=6,"High",IF(I869&gt;=3,"Medium","Low"))</f>
        <v>Low</v>
      </c>
    </row>
    <row r="870" customFormat="false" ht="15" hidden="false" customHeight="true" outlineLevel="0" collapsed="false">
      <c r="A870" s="2" t="n">
        <f aca="false">'Raw Data'!H870</f>
        <v>869</v>
      </c>
      <c r="B870" s="2" t="n">
        <f aca="false">'Raw Data'!A870</f>
        <v>50</v>
      </c>
      <c r="C870" s="2" t="str">
        <f aca="false">'Raw Data'!D870</f>
        <v>Research &amp; Development</v>
      </c>
      <c r="D870" s="2" t="str">
        <f aca="false">'Raw Data'!K870</f>
        <v>Laboratory Technician</v>
      </c>
      <c r="E870" s="2" t="n">
        <f aca="false">'Raw Data'!Q870</f>
        <v>27</v>
      </c>
      <c r="F870" s="2" t="n">
        <f aca="false">'Raw Data'!U870</f>
        <v>0</v>
      </c>
      <c r="G870" s="2" t="n">
        <f aca="false">'Raw Data'!W870</f>
        <v>3</v>
      </c>
      <c r="H870" s="2" t="n">
        <f aca="false">'Raw Data'!V870</f>
        <v>3</v>
      </c>
      <c r="I870" s="2" t="n">
        <f aca="false">IF(AND(ISNUMBER(B870),B870&lt;=25),2,0)+IF(AND(ISNUMBER(E870),E870&lt;=5),2,0)+IF(AND(ISNUMBER(F870),F870&lt;=1),2,0)+IF(AND(ISNUMBER(G870),G870&lt;=2),1,0)+IF(AND(ISNUMBER(H870),H870&lt;=2),1,0)</f>
        <v>2</v>
      </c>
      <c r="J870" s="2" t="str">
        <f aca="false">IF(I870&gt;=6,"High",IF(I870&gt;=3,"Medium","Low"))</f>
        <v>Low</v>
      </c>
    </row>
    <row r="871" customFormat="false" ht="15" hidden="false" customHeight="true" outlineLevel="0" collapsed="false">
      <c r="A871" s="2" t="n">
        <f aca="false">'Raw Data'!H871</f>
        <v>870</v>
      </c>
      <c r="B871" s="2" t="n">
        <f aca="false">'Raw Data'!A871</f>
        <v>23</v>
      </c>
      <c r="C871" s="2" t="str">
        <f aca="false">'Raw Data'!D871</f>
        <v>Research &amp; Development</v>
      </c>
      <c r="D871" s="2" t="str">
        <f aca="false">'Raw Data'!K871</f>
        <v>Manager</v>
      </c>
      <c r="E871" s="2" t="n">
        <f aca="false">'Raw Data'!Q871</f>
        <v>4</v>
      </c>
      <c r="F871" s="2" t="n">
        <f aca="false">'Raw Data'!U871</f>
        <v>2</v>
      </c>
      <c r="G871" s="2" t="n">
        <f aca="false">'Raw Data'!W871</f>
        <v>3</v>
      </c>
      <c r="H871" s="2" t="n">
        <f aca="false">'Raw Data'!V871</f>
        <v>4</v>
      </c>
      <c r="I871" s="2" t="n">
        <f aca="false">IF(AND(ISNUMBER(B871),B871&lt;=25),2,0)+IF(AND(ISNUMBER(E871),E871&lt;=5),2,0)+IF(AND(ISNUMBER(F871),F871&lt;=1),2,0)+IF(AND(ISNUMBER(G871),G871&lt;=2),1,0)+IF(AND(ISNUMBER(H871),H871&lt;=2),1,0)</f>
        <v>4</v>
      </c>
      <c r="J871" s="2" t="str">
        <f aca="false">IF(I871&gt;=6,"High",IF(I871&gt;=3,"Medium","Low"))</f>
        <v>Medium</v>
      </c>
    </row>
    <row r="872" customFormat="false" ht="15" hidden="false" customHeight="true" outlineLevel="0" collapsed="false">
      <c r="A872" s="2" t="n">
        <f aca="false">'Raw Data'!H872</f>
        <v>871</v>
      </c>
      <c r="B872" s="2" t="n">
        <f aca="false">'Raw Data'!A872</f>
        <v>36</v>
      </c>
      <c r="C872" s="2" t="str">
        <f aca="false">'Raw Data'!D872</f>
        <v>Sales</v>
      </c>
      <c r="D872" s="2" t="str">
        <f aca="false">'Raw Data'!K872</f>
        <v>Human Resources</v>
      </c>
      <c r="E872" s="2" t="n">
        <f aca="false">'Raw Data'!Q872</f>
        <v>9</v>
      </c>
      <c r="F872" s="2" t="n">
        <f aca="false">'Raw Data'!U872</f>
        <v>2</v>
      </c>
      <c r="G872" s="2" t="n">
        <f aca="false">'Raw Data'!W872</f>
        <v>1</v>
      </c>
      <c r="H872" s="2" t="n">
        <f aca="false">'Raw Data'!V872</f>
        <v>1</v>
      </c>
      <c r="I872" s="2" t="n">
        <f aca="false">IF(AND(ISNUMBER(B872),B872&lt;=25),2,0)+IF(AND(ISNUMBER(E872),E872&lt;=5),2,0)+IF(AND(ISNUMBER(F872),F872&lt;=1),2,0)+IF(AND(ISNUMBER(G872),G872&lt;=2),1,0)+IF(AND(ISNUMBER(H872),H872&lt;=2),1,0)</f>
        <v>2</v>
      </c>
      <c r="J872" s="2" t="str">
        <f aca="false">IF(I872&gt;=6,"High",IF(I872&gt;=3,"Medium","Low"))</f>
        <v>Low</v>
      </c>
    </row>
    <row r="873" customFormat="false" ht="15" hidden="false" customHeight="true" outlineLevel="0" collapsed="false">
      <c r="A873" s="2" t="n">
        <f aca="false">'Raw Data'!H873</f>
        <v>872</v>
      </c>
      <c r="B873" s="2" t="n">
        <f aca="false">'Raw Data'!A873</f>
        <v>42</v>
      </c>
      <c r="C873" s="2" t="str">
        <f aca="false">'Raw Data'!D873</f>
        <v>Research &amp; Development</v>
      </c>
      <c r="D873" s="2" t="str">
        <f aca="false">'Raw Data'!K873</f>
        <v>Manager</v>
      </c>
      <c r="E873" s="2" t="n">
        <f aca="false">'Raw Data'!Q873</f>
        <v>24</v>
      </c>
      <c r="F873" s="2" t="n">
        <f aca="false">'Raw Data'!U873</f>
        <v>1</v>
      </c>
      <c r="G873" s="2" t="n">
        <f aca="false">'Raw Data'!W873</f>
        <v>4</v>
      </c>
      <c r="H873" s="2" t="n">
        <f aca="false">'Raw Data'!V873</f>
        <v>4</v>
      </c>
      <c r="I873" s="2" t="n">
        <f aca="false">IF(AND(ISNUMBER(B873),B873&lt;=25),2,0)+IF(AND(ISNUMBER(E873),E873&lt;=5),2,0)+IF(AND(ISNUMBER(F873),F873&lt;=1),2,0)+IF(AND(ISNUMBER(G873),G873&lt;=2),1,0)+IF(AND(ISNUMBER(H873),H873&lt;=2),1,0)</f>
        <v>2</v>
      </c>
      <c r="J873" s="2" t="str">
        <f aca="false">IF(I873&gt;=6,"High",IF(I873&gt;=3,"Medium","Low"))</f>
        <v>Low</v>
      </c>
    </row>
    <row r="874" customFormat="false" ht="15" hidden="false" customHeight="true" outlineLevel="0" collapsed="false">
      <c r="A874" s="2" t="n">
        <f aca="false">'Raw Data'!H874</f>
        <v>873</v>
      </c>
      <c r="B874" s="2" t="n">
        <f aca="false">'Raw Data'!A874</f>
        <v>35</v>
      </c>
      <c r="C874" s="2" t="str">
        <f aca="false">'Raw Data'!D874</f>
        <v>Sales</v>
      </c>
      <c r="D874" s="2" t="str">
        <f aca="false">'Raw Data'!K874</f>
        <v>Laboratory Technician</v>
      </c>
      <c r="E874" s="2" t="n">
        <f aca="false">'Raw Data'!Q874</f>
        <v>10</v>
      </c>
      <c r="F874" s="2" t="n">
        <f aca="false">'Raw Data'!U874</f>
        <v>8</v>
      </c>
      <c r="G874" s="2" t="n">
        <f aca="false">'Raw Data'!W874</f>
        <v>3</v>
      </c>
      <c r="H874" s="2" t="n">
        <f aca="false">'Raw Data'!V874</f>
        <v>2</v>
      </c>
      <c r="I874" s="2" t="n">
        <f aca="false">IF(AND(ISNUMBER(B874),B874&lt;=25),2,0)+IF(AND(ISNUMBER(E874),E874&lt;=5),2,0)+IF(AND(ISNUMBER(F874),F874&lt;=1),2,0)+IF(AND(ISNUMBER(G874),G874&lt;=2),1,0)+IF(AND(ISNUMBER(H874),H874&lt;=2),1,0)</f>
        <v>1</v>
      </c>
      <c r="J874" s="2" t="str">
        <f aca="false">IF(I874&gt;=6,"High",IF(I874&gt;=3,"Medium","Low"))</f>
        <v>Low</v>
      </c>
    </row>
    <row r="875" customFormat="false" ht="15" hidden="false" customHeight="true" outlineLevel="0" collapsed="false">
      <c r="A875" s="2" t="n">
        <f aca="false">'Raw Data'!H875</f>
        <v>874</v>
      </c>
      <c r="B875" s="2" t="n">
        <f aca="false">'Raw Data'!A875</f>
        <v>34</v>
      </c>
      <c r="C875" s="2" t="str">
        <f aca="false">'Raw Data'!D875</f>
        <v>Research &amp; Development</v>
      </c>
      <c r="D875" s="2" t="str">
        <f aca="false">'Raw Data'!K875</f>
        <v>Manager</v>
      </c>
      <c r="E875" s="2" t="n">
        <f aca="false">'Raw Data'!Q875</f>
        <v>8</v>
      </c>
      <c r="F875" s="2" t="n">
        <f aca="false">'Raw Data'!U875</f>
        <v>7</v>
      </c>
      <c r="G875" s="2" t="n">
        <f aca="false">'Raw Data'!W875</f>
        <v>3</v>
      </c>
      <c r="H875" s="2" t="n">
        <f aca="false">'Raw Data'!V875</f>
        <v>4</v>
      </c>
      <c r="I875" s="2" t="n">
        <f aca="false">IF(AND(ISNUMBER(B875),B875&lt;=25),2,0)+IF(AND(ISNUMBER(E875),E875&lt;=5),2,0)+IF(AND(ISNUMBER(F875),F875&lt;=1),2,0)+IF(AND(ISNUMBER(G875),G875&lt;=2),1,0)+IF(AND(ISNUMBER(H875),H875&lt;=2),1,0)</f>
        <v>0</v>
      </c>
      <c r="J875" s="2" t="str">
        <f aca="false">IF(I875&gt;=6,"High",IF(I875&gt;=3,"Medium","Low"))</f>
        <v>Low</v>
      </c>
    </row>
    <row r="876" customFormat="false" ht="15" hidden="false" customHeight="true" outlineLevel="0" collapsed="false">
      <c r="A876" s="2" t="n">
        <f aca="false">'Raw Data'!H876</f>
        <v>875</v>
      </c>
      <c r="B876" s="2" t="n">
        <f aca="false">'Raw Data'!A876</f>
        <v>40</v>
      </c>
      <c r="C876" s="2" t="str">
        <f aca="false">'Raw Data'!D876</f>
        <v>Research &amp; Development</v>
      </c>
      <c r="D876" s="2" t="str">
        <f aca="false">'Raw Data'!K876</f>
        <v>Laboratory Technician</v>
      </c>
      <c r="E876" s="2" t="n">
        <f aca="false">'Raw Data'!Q876</f>
        <v>5</v>
      </c>
      <c r="F876" s="2" t="n">
        <f aca="false">'Raw Data'!U876</f>
        <v>2</v>
      </c>
      <c r="G876" s="2" t="n">
        <f aca="false">'Raw Data'!W876</f>
        <v>1</v>
      </c>
      <c r="H876" s="2" t="n">
        <f aca="false">'Raw Data'!V876</f>
        <v>4</v>
      </c>
      <c r="I876" s="2" t="n">
        <f aca="false">IF(AND(ISNUMBER(B876),B876&lt;=25),2,0)+IF(AND(ISNUMBER(E876),E876&lt;=5),2,0)+IF(AND(ISNUMBER(F876),F876&lt;=1),2,0)+IF(AND(ISNUMBER(G876),G876&lt;=2),1,0)+IF(AND(ISNUMBER(H876),H876&lt;=2),1,0)</f>
        <v>3</v>
      </c>
      <c r="J876" s="2" t="str">
        <f aca="false">IF(I876&gt;=6,"High",IF(I876&gt;=3,"Medium","Low"))</f>
        <v>Medium</v>
      </c>
    </row>
    <row r="877" customFormat="false" ht="15" hidden="false" customHeight="true" outlineLevel="0" collapsed="false">
      <c r="A877" s="2" t="n">
        <f aca="false">'Raw Data'!H877</f>
        <v>876</v>
      </c>
      <c r="B877" s="2" t="n">
        <f aca="false">'Raw Data'!A877</f>
        <v>43</v>
      </c>
      <c r="C877" s="2" t="str">
        <f aca="false">'Raw Data'!D877</f>
        <v>Research &amp; Development</v>
      </c>
      <c r="D877" s="2" t="str">
        <f aca="false">'Raw Data'!K877</f>
        <v>Manager</v>
      </c>
      <c r="E877" s="2" t="n">
        <f aca="false">'Raw Data'!Q877</f>
        <v>8</v>
      </c>
      <c r="F877" s="2" t="n">
        <f aca="false">'Raw Data'!U877</f>
        <v>2</v>
      </c>
      <c r="G877" s="2" t="n">
        <f aca="false">'Raw Data'!W877</f>
        <v>2</v>
      </c>
      <c r="H877" s="2" t="n">
        <f aca="false">'Raw Data'!V877</f>
        <v>4</v>
      </c>
      <c r="I877" s="2" t="n">
        <f aca="false">IF(AND(ISNUMBER(B877),B877&lt;=25),2,0)+IF(AND(ISNUMBER(E877),E877&lt;=5),2,0)+IF(AND(ISNUMBER(F877),F877&lt;=1),2,0)+IF(AND(ISNUMBER(G877),G877&lt;=2),1,0)+IF(AND(ISNUMBER(H877),H877&lt;=2),1,0)</f>
        <v>1</v>
      </c>
      <c r="J877" s="2" t="str">
        <f aca="false">IF(I877&gt;=6,"High",IF(I877&gt;=3,"Medium","Low"))</f>
        <v>Low</v>
      </c>
    </row>
    <row r="878" customFormat="false" ht="15" hidden="false" customHeight="true" outlineLevel="0" collapsed="false">
      <c r="A878" s="2" t="n">
        <f aca="false">'Raw Data'!H878</f>
        <v>877</v>
      </c>
      <c r="B878" s="2" t="n">
        <f aca="false">'Raw Data'!A878</f>
        <v>35</v>
      </c>
      <c r="C878" s="2" t="str">
        <f aca="false">'Raw Data'!D878</f>
        <v>Sales</v>
      </c>
      <c r="D878" s="2" t="str">
        <f aca="false">'Raw Data'!K878</f>
        <v>Sales Representative</v>
      </c>
      <c r="E878" s="2" t="n">
        <f aca="false">'Raw Data'!Q878</f>
        <v>1</v>
      </c>
      <c r="F878" s="2" t="n">
        <f aca="false">'Raw Data'!U878</f>
        <v>1</v>
      </c>
      <c r="G878" s="2" t="n">
        <f aca="false">'Raw Data'!W878</f>
        <v>4</v>
      </c>
      <c r="H878" s="2" t="n">
        <f aca="false">'Raw Data'!V878</f>
        <v>3</v>
      </c>
      <c r="I878" s="2" t="n">
        <f aca="false">IF(AND(ISNUMBER(B878),B878&lt;=25),2,0)+IF(AND(ISNUMBER(E878),E878&lt;=5),2,0)+IF(AND(ISNUMBER(F878),F878&lt;=1),2,0)+IF(AND(ISNUMBER(G878),G878&lt;=2),1,0)+IF(AND(ISNUMBER(H878),H878&lt;=2),1,0)</f>
        <v>4</v>
      </c>
      <c r="J878" s="2" t="str">
        <f aca="false">IF(I878&gt;=6,"High",IF(I878&gt;=3,"Medium","Low"))</f>
        <v>Medium</v>
      </c>
    </row>
    <row r="879" customFormat="false" ht="15" hidden="false" customHeight="true" outlineLevel="0" collapsed="false">
      <c r="A879" s="2" t="n">
        <f aca="false">'Raw Data'!H879</f>
        <v>878</v>
      </c>
      <c r="B879" s="2" t="n">
        <f aca="false">'Raw Data'!A879</f>
        <v>46</v>
      </c>
      <c r="C879" s="2" t="str">
        <f aca="false">'Raw Data'!D879</f>
        <v>Research &amp; Development</v>
      </c>
      <c r="D879" s="2" t="str">
        <f aca="false">'Raw Data'!K879</f>
        <v>Laboratory Technician</v>
      </c>
      <c r="E879" s="2" t="n">
        <f aca="false">'Raw Data'!Q879</f>
        <v>27</v>
      </c>
      <c r="F879" s="2" t="n">
        <f aca="false">'Raw Data'!U879</f>
        <v>12</v>
      </c>
      <c r="G879" s="2" t="n">
        <f aca="false">'Raw Data'!W879</f>
        <v>1</v>
      </c>
      <c r="H879" s="2" t="n">
        <f aca="false">'Raw Data'!V879</f>
        <v>4</v>
      </c>
      <c r="I879" s="2" t="n">
        <f aca="false">IF(AND(ISNUMBER(B879),B879&lt;=25),2,0)+IF(AND(ISNUMBER(E879),E879&lt;=5),2,0)+IF(AND(ISNUMBER(F879),F879&lt;=1),2,0)+IF(AND(ISNUMBER(G879),G879&lt;=2),1,0)+IF(AND(ISNUMBER(H879),H879&lt;=2),1,0)</f>
        <v>1</v>
      </c>
      <c r="J879" s="2" t="str">
        <f aca="false">IF(I879&gt;=6,"High",IF(I879&gt;=3,"Medium","Low"))</f>
        <v>Low</v>
      </c>
    </row>
    <row r="880" customFormat="false" ht="15" hidden="false" customHeight="true" outlineLevel="0" collapsed="false">
      <c r="A880" s="2" t="n">
        <f aca="false">'Raw Data'!H880</f>
        <v>879</v>
      </c>
      <c r="B880" s="2" t="n">
        <f aca="false">'Raw Data'!A880</f>
        <v>28</v>
      </c>
      <c r="C880" s="2" t="str">
        <f aca="false">'Raw Data'!D880</f>
        <v>Human Resources</v>
      </c>
      <c r="D880" s="2" t="str">
        <f aca="false">'Raw Data'!K880</f>
        <v>Laboratory Technician</v>
      </c>
      <c r="E880" s="2" t="n">
        <f aca="false">'Raw Data'!Q880</f>
        <v>1</v>
      </c>
      <c r="F880" s="2" t="n">
        <f aca="false">'Raw Data'!U880</f>
        <v>0</v>
      </c>
      <c r="G880" s="2" t="n">
        <f aca="false">'Raw Data'!W880</f>
        <v>2</v>
      </c>
      <c r="H880" s="2" t="n">
        <f aca="false">'Raw Data'!V880</f>
        <v>3</v>
      </c>
      <c r="I880" s="2" t="n">
        <f aca="false">IF(AND(ISNUMBER(B880),B880&lt;=25),2,0)+IF(AND(ISNUMBER(E880),E880&lt;=5),2,0)+IF(AND(ISNUMBER(F880),F880&lt;=1),2,0)+IF(AND(ISNUMBER(G880),G880&lt;=2),1,0)+IF(AND(ISNUMBER(H880),H880&lt;=2),1,0)</f>
        <v>5</v>
      </c>
      <c r="J880" s="2" t="str">
        <f aca="false">IF(I880&gt;=6,"High",IF(I880&gt;=3,"Medium","Low"))</f>
        <v>Medium</v>
      </c>
    </row>
    <row r="881" customFormat="false" ht="15" hidden="false" customHeight="true" outlineLevel="0" collapsed="false">
      <c r="A881" s="2" t="n">
        <f aca="false">'Raw Data'!H881</f>
        <v>880</v>
      </c>
      <c r="B881" s="2" t="n">
        <f aca="false">'Raw Data'!A881</f>
        <v>22</v>
      </c>
      <c r="C881" s="2" t="str">
        <f aca="false">'Raw Data'!D881</f>
        <v>Sales</v>
      </c>
      <c r="D881" s="2" t="str">
        <f aca="false">'Raw Data'!K881</f>
        <v>Sales Executive</v>
      </c>
      <c r="E881" s="2" t="n">
        <f aca="false">'Raw Data'!Q881</f>
        <v>4</v>
      </c>
      <c r="F881" s="2" t="n">
        <f aca="false">'Raw Data'!U881</f>
        <v>3</v>
      </c>
      <c r="G881" s="2" t="n">
        <f aca="false">'Raw Data'!W881</f>
        <v>3</v>
      </c>
      <c r="H881" s="2" t="n">
        <f aca="false">'Raw Data'!V881</f>
        <v>2</v>
      </c>
      <c r="I881" s="2" t="n">
        <f aca="false">IF(AND(ISNUMBER(B881),B881&lt;=25),2,0)+IF(AND(ISNUMBER(E881),E881&lt;=5),2,0)+IF(AND(ISNUMBER(F881),F881&lt;=1),2,0)+IF(AND(ISNUMBER(G881),G881&lt;=2),1,0)+IF(AND(ISNUMBER(H881),H881&lt;=2),1,0)</f>
        <v>5</v>
      </c>
      <c r="J881" s="2" t="str">
        <f aca="false">IF(I881&gt;=6,"High",IF(I881&gt;=3,"Medium","Low"))</f>
        <v>Medium</v>
      </c>
    </row>
    <row r="882" customFormat="false" ht="15" hidden="false" customHeight="true" outlineLevel="0" collapsed="false">
      <c r="A882" s="2" t="n">
        <f aca="false">'Raw Data'!H882</f>
        <v>881</v>
      </c>
      <c r="B882" s="2" t="n">
        <f aca="false">'Raw Data'!A882</f>
        <v>50</v>
      </c>
      <c r="C882" s="2" t="str">
        <f aca="false">'Raw Data'!D882</f>
        <v>Research &amp; Development</v>
      </c>
      <c r="D882" s="2" t="str">
        <f aca="false">'Raw Data'!K882</f>
        <v>Research Scientist</v>
      </c>
      <c r="E882" s="2" t="n">
        <f aca="false">'Raw Data'!Q882</f>
        <v>32</v>
      </c>
      <c r="F882" s="2" t="n">
        <f aca="false">'Raw Data'!U882</f>
        <v>13</v>
      </c>
      <c r="G882" s="2" t="n">
        <f aca="false">'Raw Data'!W882</f>
        <v>3</v>
      </c>
      <c r="H882" s="2" t="n">
        <f aca="false">'Raw Data'!V882</f>
        <v>2</v>
      </c>
      <c r="I882" s="2" t="n">
        <f aca="false">IF(AND(ISNUMBER(B882),B882&lt;=25),2,0)+IF(AND(ISNUMBER(E882),E882&lt;=5),2,0)+IF(AND(ISNUMBER(F882),F882&lt;=1),2,0)+IF(AND(ISNUMBER(G882),G882&lt;=2),1,0)+IF(AND(ISNUMBER(H882),H882&lt;=2),1,0)</f>
        <v>1</v>
      </c>
      <c r="J882" s="2" t="str">
        <f aca="false">IF(I882&gt;=6,"High",IF(I882&gt;=3,"Medium","Low"))</f>
        <v>Low</v>
      </c>
    </row>
    <row r="883" customFormat="false" ht="15" hidden="false" customHeight="true" outlineLevel="0" collapsed="false">
      <c r="A883" s="2" t="n">
        <f aca="false">'Raw Data'!H883</f>
        <v>882</v>
      </c>
      <c r="B883" s="2" t="n">
        <f aca="false">'Raw Data'!A883</f>
        <v>32</v>
      </c>
      <c r="C883" s="2" t="str">
        <f aca="false">'Raw Data'!D883</f>
        <v>Research &amp; Development</v>
      </c>
      <c r="D883" s="2" t="str">
        <f aca="false">'Raw Data'!K883</f>
        <v>Research Scientist</v>
      </c>
      <c r="E883" s="2" t="n">
        <f aca="false">'Raw Data'!Q883</f>
        <v>6</v>
      </c>
      <c r="F883" s="2" t="n">
        <f aca="false">'Raw Data'!U883</f>
        <v>2</v>
      </c>
      <c r="G883" s="2" t="n">
        <f aca="false">'Raw Data'!W883</f>
        <v>4</v>
      </c>
      <c r="H883" s="2" t="n">
        <f aca="false">'Raw Data'!V883</f>
        <v>2</v>
      </c>
      <c r="I883" s="2" t="n">
        <f aca="false">IF(AND(ISNUMBER(B883),B883&lt;=25),2,0)+IF(AND(ISNUMBER(E883),E883&lt;=5),2,0)+IF(AND(ISNUMBER(F883),F883&lt;=1),2,0)+IF(AND(ISNUMBER(G883),G883&lt;=2),1,0)+IF(AND(ISNUMBER(H883),H883&lt;=2),1,0)</f>
        <v>1</v>
      </c>
      <c r="J883" s="2" t="str">
        <f aca="false">IF(I883&gt;=6,"High",IF(I883&gt;=3,"Medium","Low"))</f>
        <v>Low</v>
      </c>
    </row>
    <row r="884" customFormat="false" ht="15" hidden="false" customHeight="true" outlineLevel="0" collapsed="false">
      <c r="A884" s="2" t="n">
        <f aca="false">'Raw Data'!H884</f>
        <v>883</v>
      </c>
      <c r="B884" s="2" t="n">
        <f aca="false">'Raw Data'!A884</f>
        <v>44</v>
      </c>
      <c r="C884" s="2" t="str">
        <f aca="false">'Raw Data'!D884</f>
        <v>Research &amp; Development</v>
      </c>
      <c r="D884" s="2" t="str">
        <f aca="false">'Raw Data'!K884</f>
        <v>Manager</v>
      </c>
      <c r="E884" s="2" t="n">
        <f aca="false">'Raw Data'!Q884</f>
        <v>23</v>
      </c>
      <c r="F884" s="2" t="n">
        <f aca="false">'Raw Data'!U884</f>
        <v>10</v>
      </c>
      <c r="G884" s="2" t="n">
        <f aca="false">'Raw Data'!W884</f>
        <v>4</v>
      </c>
      <c r="H884" s="2" t="n">
        <f aca="false">'Raw Data'!V884</f>
        <v>2</v>
      </c>
      <c r="I884" s="2" t="n">
        <f aca="false">IF(AND(ISNUMBER(B884),B884&lt;=25),2,0)+IF(AND(ISNUMBER(E884),E884&lt;=5),2,0)+IF(AND(ISNUMBER(F884),F884&lt;=1),2,0)+IF(AND(ISNUMBER(G884),G884&lt;=2),1,0)+IF(AND(ISNUMBER(H884),H884&lt;=2),1,0)</f>
        <v>1</v>
      </c>
      <c r="J884" s="2" t="str">
        <f aca="false">IF(I884&gt;=6,"High",IF(I884&gt;=3,"Medium","Low"))</f>
        <v>Low</v>
      </c>
    </row>
    <row r="885" customFormat="false" ht="15" hidden="false" customHeight="true" outlineLevel="0" collapsed="false">
      <c r="A885" s="2" t="n">
        <f aca="false">'Raw Data'!H885</f>
        <v>884</v>
      </c>
      <c r="B885" s="2" t="n">
        <f aca="false">'Raw Data'!A885</f>
        <v>30</v>
      </c>
      <c r="C885" s="2" t="str">
        <f aca="false">'Raw Data'!D885</f>
        <v>Research &amp; Development</v>
      </c>
      <c r="D885" s="2" t="str">
        <f aca="false">'Raw Data'!K885</f>
        <v>Research Director</v>
      </c>
      <c r="E885" s="2" t="n">
        <f aca="false">'Raw Data'!Q885</f>
        <v>6</v>
      </c>
      <c r="F885" s="2" t="n">
        <f aca="false">'Raw Data'!U885</f>
        <v>1</v>
      </c>
      <c r="G885" s="2" t="n">
        <f aca="false">'Raw Data'!W885</f>
        <v>2</v>
      </c>
      <c r="H885" s="2" t="n">
        <f aca="false">'Raw Data'!V885</f>
        <v>2</v>
      </c>
      <c r="I885" s="2" t="n">
        <f aca="false">IF(AND(ISNUMBER(B885),B885&lt;=25),2,0)+IF(AND(ISNUMBER(E885),E885&lt;=5),2,0)+IF(AND(ISNUMBER(F885),F885&lt;=1),2,0)+IF(AND(ISNUMBER(G885),G885&lt;=2),1,0)+IF(AND(ISNUMBER(H885),H885&lt;=2),1,0)</f>
        <v>4</v>
      </c>
      <c r="J885" s="2" t="str">
        <f aca="false">IF(I885&gt;=6,"High",IF(I885&gt;=3,"Medium","Low"))</f>
        <v>Medium</v>
      </c>
    </row>
    <row r="886" customFormat="false" ht="15" hidden="false" customHeight="true" outlineLevel="0" collapsed="false">
      <c r="A886" s="2" t="n">
        <f aca="false">'Raw Data'!H886</f>
        <v>885</v>
      </c>
      <c r="B886" s="2" t="n">
        <f aca="false">'Raw Data'!A886</f>
        <v>45</v>
      </c>
      <c r="C886" s="2" t="str">
        <f aca="false">'Raw Data'!D886</f>
        <v>Sales</v>
      </c>
      <c r="D886" s="2" t="str">
        <f aca="false">'Raw Data'!K886</f>
        <v>Research Scientist</v>
      </c>
      <c r="E886" s="2" t="n">
        <f aca="false">'Raw Data'!Q886</f>
        <v>10</v>
      </c>
      <c r="F886" s="2" t="n">
        <f aca="false">'Raw Data'!U886</f>
        <v>4</v>
      </c>
      <c r="G886" s="2" t="n">
        <f aca="false">'Raw Data'!W886</f>
        <v>1</v>
      </c>
      <c r="H886" s="2" t="n">
        <f aca="false">'Raw Data'!V886</f>
        <v>3</v>
      </c>
      <c r="I886" s="2" t="n">
        <f aca="false">IF(AND(ISNUMBER(B886),B886&lt;=25),2,0)+IF(AND(ISNUMBER(E886),E886&lt;=5),2,0)+IF(AND(ISNUMBER(F886),F886&lt;=1),2,0)+IF(AND(ISNUMBER(G886),G886&lt;=2),1,0)+IF(AND(ISNUMBER(H886),H886&lt;=2),1,0)</f>
        <v>1</v>
      </c>
      <c r="J886" s="2" t="str">
        <f aca="false">IF(I886&gt;=6,"High",IF(I886&gt;=3,"Medium","Low"))</f>
        <v>Low</v>
      </c>
    </row>
    <row r="887" customFormat="false" ht="15" hidden="false" customHeight="true" outlineLevel="0" collapsed="false">
      <c r="A887" s="2" t="n">
        <f aca="false">'Raw Data'!H887</f>
        <v>886</v>
      </c>
      <c r="B887" s="2" t="n">
        <f aca="false">'Raw Data'!A887</f>
        <v>45</v>
      </c>
      <c r="C887" s="2" t="str">
        <f aca="false">'Raw Data'!D887</f>
        <v>Sales</v>
      </c>
      <c r="D887" s="2" t="str">
        <f aca="false">'Raw Data'!K887</f>
        <v>Manufacturing Director</v>
      </c>
      <c r="E887" s="2" t="n">
        <f aca="false">'Raw Data'!Q887</f>
        <v>10</v>
      </c>
      <c r="F887" s="2" t="n">
        <f aca="false">'Raw Data'!U887</f>
        <v>5</v>
      </c>
      <c r="G887" s="2" t="n">
        <f aca="false">'Raw Data'!W887</f>
        <v>1</v>
      </c>
      <c r="H887" s="2" t="n">
        <f aca="false">'Raw Data'!V887</f>
        <v>1</v>
      </c>
      <c r="I887" s="2" t="n">
        <f aca="false">IF(AND(ISNUMBER(B887),B887&lt;=25),2,0)+IF(AND(ISNUMBER(E887),E887&lt;=5),2,0)+IF(AND(ISNUMBER(F887),F887&lt;=1),2,0)+IF(AND(ISNUMBER(G887),G887&lt;=2),1,0)+IF(AND(ISNUMBER(H887),H887&lt;=2),1,0)</f>
        <v>2</v>
      </c>
      <c r="J887" s="2" t="str">
        <f aca="false">IF(I887&gt;=6,"High",IF(I887&gt;=3,"Medium","Low"))</f>
        <v>Low</v>
      </c>
    </row>
    <row r="888" customFormat="false" ht="15" hidden="false" customHeight="true" outlineLevel="0" collapsed="false">
      <c r="A888" s="2" t="n">
        <f aca="false">'Raw Data'!H888</f>
        <v>887</v>
      </c>
      <c r="B888" s="2" t="n">
        <f aca="false">'Raw Data'!A888</f>
        <v>31</v>
      </c>
      <c r="C888" s="2" t="str">
        <f aca="false">'Raw Data'!D888</f>
        <v>Research &amp; Development</v>
      </c>
      <c r="D888" s="2" t="str">
        <f aca="false">'Raw Data'!K888</f>
        <v>Research Scientist</v>
      </c>
      <c r="E888" s="2" t="n">
        <f aca="false">'Raw Data'!Q888</f>
        <v>10</v>
      </c>
      <c r="F888" s="2" t="n">
        <f aca="false">'Raw Data'!U888</f>
        <v>3</v>
      </c>
      <c r="G888" s="2" t="n">
        <f aca="false">'Raw Data'!W888</f>
        <v>1</v>
      </c>
      <c r="H888" s="2" t="n">
        <f aca="false">'Raw Data'!V888</f>
        <v>4</v>
      </c>
      <c r="I888" s="2" t="n">
        <f aca="false">IF(AND(ISNUMBER(B888),B888&lt;=25),2,0)+IF(AND(ISNUMBER(E888),E888&lt;=5),2,0)+IF(AND(ISNUMBER(F888),F888&lt;=1),2,0)+IF(AND(ISNUMBER(G888),G888&lt;=2),1,0)+IF(AND(ISNUMBER(H888),H888&lt;=2),1,0)</f>
        <v>1</v>
      </c>
      <c r="J888" s="2" t="str">
        <f aca="false">IF(I888&gt;=6,"High",IF(I888&gt;=3,"Medium","Low"))</f>
        <v>Low</v>
      </c>
    </row>
    <row r="889" customFormat="false" ht="15" hidden="false" customHeight="true" outlineLevel="0" collapsed="false">
      <c r="A889" s="2" t="n">
        <f aca="false">'Raw Data'!H889</f>
        <v>888</v>
      </c>
      <c r="B889" s="2" t="n">
        <f aca="false">'Raw Data'!A889</f>
        <v>36</v>
      </c>
      <c r="C889" s="2" t="str">
        <f aca="false">'Raw Data'!D889</f>
        <v>Research &amp; Development</v>
      </c>
      <c r="D889" s="2" t="str">
        <f aca="false">'Raw Data'!K889</f>
        <v>Manufacturing Director</v>
      </c>
      <c r="E889" s="2" t="n">
        <f aca="false">'Raw Data'!Q889</f>
        <v>7</v>
      </c>
      <c r="F889" s="2" t="n">
        <f aca="false">'Raw Data'!U889</f>
        <v>1</v>
      </c>
      <c r="G889" s="2" t="n">
        <f aca="false">'Raw Data'!W889</f>
        <v>3</v>
      </c>
      <c r="H889" s="2" t="n">
        <f aca="false">'Raw Data'!V889</f>
        <v>3</v>
      </c>
      <c r="I889" s="2" t="n">
        <f aca="false">IF(AND(ISNUMBER(B889),B889&lt;=25),2,0)+IF(AND(ISNUMBER(E889),E889&lt;=5),2,0)+IF(AND(ISNUMBER(F889),F889&lt;=1),2,0)+IF(AND(ISNUMBER(G889),G889&lt;=2),1,0)+IF(AND(ISNUMBER(H889),H889&lt;=2),1,0)</f>
        <v>2</v>
      </c>
      <c r="J889" s="2" t="str">
        <f aca="false">IF(I889&gt;=6,"High",IF(I889&gt;=3,"Medium","Low"))</f>
        <v>Low</v>
      </c>
    </row>
    <row r="890" customFormat="false" ht="15" hidden="false" customHeight="true" outlineLevel="0" collapsed="false">
      <c r="A890" s="2" t="n">
        <f aca="false">'Raw Data'!H890</f>
        <v>889</v>
      </c>
      <c r="B890" s="2" t="n">
        <f aca="false">'Raw Data'!A890</f>
        <v>34</v>
      </c>
      <c r="C890" s="2" t="str">
        <f aca="false">'Raw Data'!D890</f>
        <v>Sales</v>
      </c>
      <c r="D890" s="2" t="str">
        <f aca="false">'Raw Data'!K890</f>
        <v>Manufacturing Director</v>
      </c>
      <c r="E890" s="2" t="n">
        <f aca="false">'Raw Data'!Q890</f>
        <v>9</v>
      </c>
      <c r="F890" s="2" t="n">
        <f aca="false">'Raw Data'!U890</f>
        <v>2</v>
      </c>
      <c r="G890" s="2" t="n">
        <f aca="false">'Raw Data'!W890</f>
        <v>4</v>
      </c>
      <c r="H890" s="2" t="n">
        <f aca="false">'Raw Data'!V890</f>
        <v>3</v>
      </c>
      <c r="I890" s="2" t="n">
        <f aca="false">IF(AND(ISNUMBER(B890),B890&lt;=25),2,0)+IF(AND(ISNUMBER(E890),E890&lt;=5),2,0)+IF(AND(ISNUMBER(F890),F890&lt;=1),2,0)+IF(AND(ISNUMBER(G890),G890&lt;=2),1,0)+IF(AND(ISNUMBER(H890),H890&lt;=2),1,0)</f>
        <v>0</v>
      </c>
      <c r="J890" s="2" t="str">
        <f aca="false">IF(I890&gt;=6,"High",IF(I890&gt;=3,"Medium","Low"))</f>
        <v>Low</v>
      </c>
    </row>
    <row r="891" customFormat="false" ht="15" hidden="false" customHeight="true" outlineLevel="0" collapsed="false">
      <c r="A891" s="2" t="n">
        <f aca="false">'Raw Data'!H891</f>
        <v>890</v>
      </c>
      <c r="B891" s="2" t="n">
        <f aca="false">'Raw Data'!A891</f>
        <v>49</v>
      </c>
      <c r="C891" s="2" t="str">
        <f aca="false">'Raw Data'!D891</f>
        <v>Research &amp; Development</v>
      </c>
      <c r="D891" s="2" t="str">
        <f aca="false">'Raw Data'!K891</f>
        <v>Healthcare Representative</v>
      </c>
      <c r="E891" s="2" t="n">
        <f aca="false">'Raw Data'!Q891</f>
        <v>10</v>
      </c>
      <c r="F891" s="2" t="n">
        <f aca="false">'Raw Data'!U891</f>
        <v>4</v>
      </c>
      <c r="G891" s="2" t="n">
        <f aca="false">'Raw Data'!W891</f>
        <v>1</v>
      </c>
      <c r="H891" s="2" t="n">
        <f aca="false">'Raw Data'!V891</f>
        <v>3</v>
      </c>
      <c r="I891" s="2" t="n">
        <f aca="false">IF(AND(ISNUMBER(B891),B891&lt;=25),2,0)+IF(AND(ISNUMBER(E891),E891&lt;=5),2,0)+IF(AND(ISNUMBER(F891),F891&lt;=1),2,0)+IF(AND(ISNUMBER(G891),G891&lt;=2),1,0)+IF(AND(ISNUMBER(H891),H891&lt;=2),1,0)</f>
        <v>1</v>
      </c>
      <c r="J891" s="2" t="str">
        <f aca="false">IF(I891&gt;=6,"High",IF(I891&gt;=3,"Medium","Low"))</f>
        <v>Low</v>
      </c>
    </row>
    <row r="892" customFormat="false" ht="15" hidden="false" customHeight="true" outlineLevel="0" collapsed="false">
      <c r="A892" s="2" t="n">
        <f aca="false">'Raw Data'!H892</f>
        <v>891</v>
      </c>
      <c r="B892" s="2" t="n">
        <f aca="false">'Raw Data'!A892</f>
        <v>39</v>
      </c>
      <c r="C892" s="2" t="str">
        <f aca="false">'Raw Data'!D892</f>
        <v>Research &amp; Development</v>
      </c>
      <c r="D892" s="2" t="str">
        <f aca="false">'Raw Data'!K892</f>
        <v>Research Scientist</v>
      </c>
      <c r="E892" s="2" t="n">
        <f aca="false">'Raw Data'!Q892</f>
        <v>10</v>
      </c>
      <c r="F892" s="2" t="n">
        <f aca="false">'Raw Data'!U892</f>
        <v>7</v>
      </c>
      <c r="G892" s="2" t="n">
        <f aca="false">'Raw Data'!W892</f>
        <v>1</v>
      </c>
      <c r="H892" s="2" t="n">
        <f aca="false">'Raw Data'!V892</f>
        <v>2</v>
      </c>
      <c r="I892" s="2" t="n">
        <f aca="false">IF(AND(ISNUMBER(B892),B892&lt;=25),2,0)+IF(AND(ISNUMBER(E892),E892&lt;=5),2,0)+IF(AND(ISNUMBER(F892),F892&lt;=1),2,0)+IF(AND(ISNUMBER(G892),G892&lt;=2),1,0)+IF(AND(ISNUMBER(H892),H892&lt;=2),1,0)</f>
        <v>2</v>
      </c>
      <c r="J892" s="2" t="str">
        <f aca="false">IF(I892&gt;=6,"High",IF(I892&gt;=3,"Medium","Low"))</f>
        <v>Low</v>
      </c>
    </row>
    <row r="893" customFormat="false" ht="15" hidden="false" customHeight="true" outlineLevel="0" collapsed="false">
      <c r="A893" s="2" t="n">
        <f aca="false">'Raw Data'!H893</f>
        <v>892</v>
      </c>
      <c r="B893" s="2" t="n">
        <f aca="false">'Raw Data'!A893</f>
        <v>27</v>
      </c>
      <c r="C893" s="2" t="str">
        <f aca="false">'Raw Data'!D893</f>
        <v>Research &amp; Development</v>
      </c>
      <c r="D893" s="2" t="str">
        <f aca="false">'Raw Data'!K893</f>
        <v>Research Scientist</v>
      </c>
      <c r="E893" s="2" t="n">
        <f aca="false">'Raw Data'!Q893</f>
        <v>7</v>
      </c>
      <c r="F893" s="2" t="n">
        <f aca="false">'Raw Data'!U893</f>
        <v>7</v>
      </c>
      <c r="G893" s="2" t="n">
        <f aca="false">'Raw Data'!W893</f>
        <v>1</v>
      </c>
      <c r="H893" s="2" t="n">
        <f aca="false">'Raw Data'!V893</f>
        <v>4</v>
      </c>
      <c r="I893" s="2" t="n">
        <f aca="false">IF(AND(ISNUMBER(B893),B893&lt;=25),2,0)+IF(AND(ISNUMBER(E893),E893&lt;=5),2,0)+IF(AND(ISNUMBER(F893),F893&lt;=1),2,0)+IF(AND(ISNUMBER(G893),G893&lt;=2),1,0)+IF(AND(ISNUMBER(H893),H893&lt;=2),1,0)</f>
        <v>1</v>
      </c>
      <c r="J893" s="2" t="str">
        <f aca="false">IF(I893&gt;=6,"High",IF(I893&gt;=3,"Medium","Low"))</f>
        <v>Low</v>
      </c>
    </row>
    <row r="894" customFormat="false" ht="15" hidden="false" customHeight="true" outlineLevel="0" collapsed="false">
      <c r="A894" s="2" t="n">
        <f aca="false">'Raw Data'!H894</f>
        <v>893</v>
      </c>
      <c r="B894" s="2" t="n">
        <f aca="false">'Raw Data'!A894</f>
        <v>35</v>
      </c>
      <c r="C894" s="2" t="str">
        <f aca="false">'Raw Data'!D894</f>
        <v>Research &amp; Development</v>
      </c>
      <c r="D894" s="2" t="str">
        <f aca="false">'Raw Data'!K894</f>
        <v>Sales Executive</v>
      </c>
      <c r="E894" s="2" t="n">
        <f aca="false">'Raw Data'!Q894</f>
        <v>16</v>
      </c>
      <c r="F894" s="2" t="n">
        <f aca="false">'Raw Data'!U894</f>
        <v>10</v>
      </c>
      <c r="G894" s="2" t="n">
        <f aca="false">'Raw Data'!W894</f>
        <v>1</v>
      </c>
      <c r="H894" s="2" t="n">
        <f aca="false">'Raw Data'!V894</f>
        <v>2</v>
      </c>
      <c r="I894" s="2" t="n">
        <f aca="false">IF(AND(ISNUMBER(B894),B894&lt;=25),2,0)+IF(AND(ISNUMBER(E894),E894&lt;=5),2,0)+IF(AND(ISNUMBER(F894),F894&lt;=1),2,0)+IF(AND(ISNUMBER(G894),G894&lt;=2),1,0)+IF(AND(ISNUMBER(H894),H894&lt;=2),1,0)</f>
        <v>2</v>
      </c>
      <c r="J894" s="2" t="str">
        <f aca="false">IF(I894&gt;=6,"High",IF(I894&gt;=3,"Medium","Low"))</f>
        <v>Low</v>
      </c>
    </row>
    <row r="895" customFormat="false" ht="15" hidden="false" customHeight="true" outlineLevel="0" collapsed="false">
      <c r="A895" s="2" t="n">
        <f aca="false">'Raw Data'!H895</f>
        <v>894</v>
      </c>
      <c r="B895" s="2" t="n">
        <f aca="false">'Raw Data'!A895</f>
        <v>28</v>
      </c>
      <c r="C895" s="2" t="str">
        <f aca="false">'Raw Data'!D895</f>
        <v>Research &amp; Development</v>
      </c>
      <c r="D895" s="2" t="str">
        <f aca="false">'Raw Data'!K895</f>
        <v>Manufacturing Director</v>
      </c>
      <c r="E895" s="2" t="n">
        <f aca="false">'Raw Data'!Q895</f>
        <v>6</v>
      </c>
      <c r="F895" s="2" t="n">
        <f aca="false">'Raw Data'!U895</f>
        <v>0</v>
      </c>
      <c r="G895" s="2" t="n">
        <f aca="false">'Raw Data'!W895</f>
        <v>1</v>
      </c>
      <c r="H895" s="2" t="n">
        <f aca="false">'Raw Data'!V895</f>
        <v>2</v>
      </c>
      <c r="I895" s="2" t="n">
        <f aca="false">IF(AND(ISNUMBER(B895),B895&lt;=25),2,0)+IF(AND(ISNUMBER(E895),E895&lt;=5),2,0)+IF(AND(ISNUMBER(F895),F895&lt;=1),2,0)+IF(AND(ISNUMBER(G895),G895&lt;=2),1,0)+IF(AND(ISNUMBER(H895),H895&lt;=2),1,0)</f>
        <v>4</v>
      </c>
      <c r="J895" s="2" t="str">
        <f aca="false">IF(I895&gt;=6,"High",IF(I895&gt;=3,"Medium","Low"))</f>
        <v>Medium</v>
      </c>
    </row>
    <row r="896" customFormat="false" ht="15" hidden="false" customHeight="true" outlineLevel="0" collapsed="false">
      <c r="A896" s="2" t="n">
        <f aca="false">'Raw Data'!H896</f>
        <v>895</v>
      </c>
      <c r="B896" s="2" t="n">
        <f aca="false">'Raw Data'!A896</f>
        <v>21</v>
      </c>
      <c r="C896" s="2" t="str">
        <f aca="false">'Raw Data'!D896</f>
        <v>Research &amp; Development</v>
      </c>
      <c r="D896" s="2" t="str">
        <f aca="false">'Raw Data'!K896</f>
        <v>Laboratory Technician</v>
      </c>
      <c r="E896" s="2" t="n">
        <f aca="false">'Raw Data'!Q896</f>
        <v>3</v>
      </c>
      <c r="F896" s="2" t="n">
        <f aca="false">'Raw Data'!U896</f>
        <v>2</v>
      </c>
      <c r="G896" s="2" t="n">
        <f aca="false">'Raw Data'!W896</f>
        <v>4</v>
      </c>
      <c r="H896" s="2" t="n">
        <f aca="false">'Raw Data'!V896</f>
        <v>3</v>
      </c>
      <c r="I896" s="2" t="n">
        <f aca="false">IF(AND(ISNUMBER(B896),B896&lt;=25),2,0)+IF(AND(ISNUMBER(E896),E896&lt;=5),2,0)+IF(AND(ISNUMBER(F896),F896&lt;=1),2,0)+IF(AND(ISNUMBER(G896),G896&lt;=2),1,0)+IF(AND(ISNUMBER(H896),H896&lt;=2),1,0)</f>
        <v>4</v>
      </c>
      <c r="J896" s="2" t="str">
        <f aca="false">IF(I896&gt;=6,"High",IF(I896&gt;=3,"Medium","Low"))</f>
        <v>Medium</v>
      </c>
    </row>
    <row r="897" customFormat="false" ht="15" hidden="false" customHeight="true" outlineLevel="0" collapsed="false">
      <c r="A897" s="2" t="n">
        <f aca="false">'Raw Data'!H897</f>
        <v>896</v>
      </c>
      <c r="B897" s="2" t="n">
        <f aca="false">'Raw Data'!A897</f>
        <v>18</v>
      </c>
      <c r="C897" s="2" t="str">
        <f aca="false">'Raw Data'!D897</f>
        <v>Research &amp; Development</v>
      </c>
      <c r="D897" s="2" t="str">
        <f aca="false">'Raw Data'!K897</f>
        <v>Research Director</v>
      </c>
      <c r="E897" s="2" t="n">
        <f aca="false">'Raw Data'!Q897</f>
        <v>0</v>
      </c>
      <c r="F897" s="2" t="n">
        <f aca="false">'Raw Data'!U897</f>
        <v>0</v>
      </c>
      <c r="G897" s="2" t="n">
        <f aca="false">'Raw Data'!W897</f>
        <v>4</v>
      </c>
      <c r="H897" s="2" t="n">
        <f aca="false">'Raw Data'!V897</f>
        <v>2</v>
      </c>
      <c r="I897" s="2" t="n">
        <f aca="false">IF(AND(ISNUMBER(B897),B897&lt;=25),2,0)+IF(AND(ISNUMBER(E897),E897&lt;=5),2,0)+IF(AND(ISNUMBER(F897),F897&lt;=1),2,0)+IF(AND(ISNUMBER(G897),G897&lt;=2),1,0)+IF(AND(ISNUMBER(H897),H897&lt;=2),1,0)</f>
        <v>7</v>
      </c>
      <c r="J897" s="2" t="str">
        <f aca="false">IF(I897&gt;=6,"High",IF(I897&gt;=3,"Medium","Low"))</f>
        <v>High</v>
      </c>
    </row>
    <row r="898" customFormat="false" ht="15" hidden="false" customHeight="true" outlineLevel="0" collapsed="false">
      <c r="A898" s="2" t="n">
        <f aca="false">'Raw Data'!H898</f>
        <v>897</v>
      </c>
      <c r="B898" s="2" t="n">
        <f aca="false">'Raw Data'!A898</f>
        <v>47</v>
      </c>
      <c r="C898" s="2" t="str">
        <f aca="false">'Raw Data'!D898</f>
        <v>Research &amp; Development</v>
      </c>
      <c r="D898" s="2" t="str">
        <f aca="false">'Raw Data'!K898</f>
        <v>Research Scientist</v>
      </c>
      <c r="E898" s="2" t="n">
        <f aca="false">'Raw Data'!Q898</f>
        <v>27</v>
      </c>
      <c r="F898" s="2" t="n">
        <f aca="false">'Raw Data'!U898</f>
        <v>0</v>
      </c>
      <c r="G898" s="2" t="n">
        <f aca="false">'Raw Data'!W898</f>
        <v>3</v>
      </c>
      <c r="H898" s="2" t="n">
        <f aca="false">'Raw Data'!V898</f>
        <v>4</v>
      </c>
      <c r="I898" s="2" t="n">
        <f aca="false">IF(AND(ISNUMBER(B898),B898&lt;=25),2,0)+IF(AND(ISNUMBER(E898),E898&lt;=5),2,0)+IF(AND(ISNUMBER(F898),F898&lt;=1),2,0)+IF(AND(ISNUMBER(G898),G898&lt;=2),1,0)+IF(AND(ISNUMBER(H898),H898&lt;=2),1,0)</f>
        <v>2</v>
      </c>
      <c r="J898" s="2" t="str">
        <f aca="false">IF(I898&gt;=6,"High",IF(I898&gt;=3,"Medium","Low"))</f>
        <v>Low</v>
      </c>
    </row>
    <row r="899" customFormat="false" ht="15" hidden="false" customHeight="true" outlineLevel="0" collapsed="false">
      <c r="A899" s="2" t="n">
        <f aca="false">'Raw Data'!H899</f>
        <v>898</v>
      </c>
      <c r="B899" s="2" t="n">
        <f aca="false">'Raw Data'!A899</f>
        <v>39</v>
      </c>
      <c r="C899" s="2" t="str">
        <f aca="false">'Raw Data'!D899</f>
        <v>Sales</v>
      </c>
      <c r="D899" s="2" t="str">
        <f aca="false">'Raw Data'!K899</f>
        <v>Laboratory Technician</v>
      </c>
      <c r="E899" s="2" t="n">
        <f aca="false">'Raw Data'!Q899</f>
        <v>11</v>
      </c>
      <c r="F899" s="2" t="n">
        <f aca="false">'Raw Data'!U899</f>
        <v>7</v>
      </c>
      <c r="G899" s="2" t="n">
        <f aca="false">'Raw Data'!W899</f>
        <v>3</v>
      </c>
      <c r="H899" s="2" t="n">
        <f aca="false">'Raw Data'!V899</f>
        <v>3</v>
      </c>
      <c r="I899" s="2" t="n">
        <f aca="false">IF(AND(ISNUMBER(B899),B899&lt;=25),2,0)+IF(AND(ISNUMBER(E899),E899&lt;=5),2,0)+IF(AND(ISNUMBER(F899),F899&lt;=1),2,0)+IF(AND(ISNUMBER(G899),G899&lt;=2),1,0)+IF(AND(ISNUMBER(H899),H899&lt;=2),1,0)</f>
        <v>0</v>
      </c>
      <c r="J899" s="2" t="str">
        <f aca="false">IF(I899&gt;=6,"High",IF(I899&gt;=3,"Medium","Low"))</f>
        <v>Low</v>
      </c>
    </row>
    <row r="900" customFormat="false" ht="15" hidden="false" customHeight="true" outlineLevel="0" collapsed="false">
      <c r="A900" s="2" t="n">
        <f aca="false">'Raw Data'!H900</f>
        <v>899</v>
      </c>
      <c r="B900" s="2" t="n">
        <f aca="false">'Raw Data'!A900</f>
        <v>40</v>
      </c>
      <c r="C900" s="2" t="str">
        <f aca="false">'Raw Data'!D900</f>
        <v>Research &amp; Development</v>
      </c>
      <c r="D900" s="2" t="str">
        <f aca="false">'Raw Data'!K900</f>
        <v>Laboratory Technician</v>
      </c>
      <c r="E900" s="2" t="n">
        <f aca="false">'Raw Data'!Q900</f>
        <v>18</v>
      </c>
      <c r="F900" s="2" t="n">
        <f aca="false">'Raw Data'!U900</f>
        <v>12</v>
      </c>
      <c r="G900" s="2" t="n">
        <f aca="false">'Raw Data'!W900</f>
        <v>3</v>
      </c>
      <c r="H900" s="2" t="n">
        <f aca="false">'Raw Data'!V900</f>
        <v>1</v>
      </c>
      <c r="I900" s="2" t="n">
        <f aca="false">IF(AND(ISNUMBER(B900),B900&lt;=25),2,0)+IF(AND(ISNUMBER(E900),E900&lt;=5),2,0)+IF(AND(ISNUMBER(F900),F900&lt;=1),2,0)+IF(AND(ISNUMBER(G900),G900&lt;=2),1,0)+IF(AND(ISNUMBER(H900),H900&lt;=2),1,0)</f>
        <v>1</v>
      </c>
      <c r="J900" s="2" t="str">
        <f aca="false">IF(I900&gt;=6,"High",IF(I900&gt;=3,"Medium","Low"))</f>
        <v>Low</v>
      </c>
    </row>
    <row r="901" customFormat="false" ht="15" hidden="false" customHeight="true" outlineLevel="0" collapsed="false">
      <c r="A901" s="2" t="n">
        <f aca="false">'Raw Data'!H901</f>
        <v>900</v>
      </c>
      <c r="B901" s="2" t="n">
        <f aca="false">'Raw Data'!A901</f>
        <v>35</v>
      </c>
      <c r="C901" s="2" t="str">
        <f aca="false">'Raw Data'!D901</f>
        <v>Research &amp; Development</v>
      </c>
      <c r="D901" s="2" t="str">
        <f aca="false">'Raw Data'!K901</f>
        <v>Sales Executive</v>
      </c>
      <c r="E901" s="2" t="n">
        <f aca="false">'Raw Data'!Q901</f>
        <v>15</v>
      </c>
      <c r="F901" s="2" t="n">
        <f aca="false">'Raw Data'!U901</f>
        <v>9</v>
      </c>
      <c r="G901" s="2" t="n">
        <f aca="false">'Raw Data'!W901</f>
        <v>3</v>
      </c>
      <c r="H901" s="2" t="n">
        <f aca="false">'Raw Data'!V901</f>
        <v>3</v>
      </c>
      <c r="I901" s="2" t="n">
        <f aca="false">IF(AND(ISNUMBER(B901),B901&lt;=25),2,0)+IF(AND(ISNUMBER(E901),E901&lt;=5),2,0)+IF(AND(ISNUMBER(F901),F901&lt;=1),2,0)+IF(AND(ISNUMBER(G901),G901&lt;=2),1,0)+IF(AND(ISNUMBER(H901),H901&lt;=2),1,0)</f>
        <v>0</v>
      </c>
      <c r="J901" s="2" t="str">
        <f aca="false">IF(I901&gt;=6,"High",IF(I901&gt;=3,"Medium","Low"))</f>
        <v>Low</v>
      </c>
    </row>
    <row r="902" customFormat="false" ht="15" hidden="false" customHeight="true" outlineLevel="0" collapsed="false">
      <c r="A902" s="2" t="n">
        <f aca="false">'Raw Data'!H902</f>
        <v>901</v>
      </c>
      <c r="B902" s="2" t="n">
        <f aca="false">'Raw Data'!A902</f>
        <v>37</v>
      </c>
      <c r="C902" s="2" t="str">
        <f aca="false">'Raw Data'!D902</f>
        <v>Research &amp; Development</v>
      </c>
      <c r="D902" s="2" t="str">
        <f aca="false">'Raw Data'!K902</f>
        <v>Laboratory Technician</v>
      </c>
      <c r="E902" s="2" t="n">
        <f aca="false">'Raw Data'!Q902</f>
        <v>9</v>
      </c>
      <c r="F902" s="2" t="n">
        <f aca="false">'Raw Data'!U902</f>
        <v>2</v>
      </c>
      <c r="G902" s="2" t="n">
        <f aca="false">'Raw Data'!W902</f>
        <v>3</v>
      </c>
      <c r="H902" s="2" t="n">
        <f aca="false">'Raw Data'!V902</f>
        <v>3</v>
      </c>
      <c r="I902" s="2" t="n">
        <f aca="false">IF(AND(ISNUMBER(B902),B902&lt;=25),2,0)+IF(AND(ISNUMBER(E902),E902&lt;=5),2,0)+IF(AND(ISNUMBER(F902),F902&lt;=1),2,0)+IF(AND(ISNUMBER(G902),G902&lt;=2),1,0)+IF(AND(ISNUMBER(H902),H902&lt;=2),1,0)</f>
        <v>0</v>
      </c>
      <c r="J902" s="2" t="str">
        <f aca="false">IF(I902&gt;=6,"High",IF(I902&gt;=3,"Medium","Low"))</f>
        <v>Low</v>
      </c>
    </row>
    <row r="903" customFormat="false" ht="15" hidden="false" customHeight="true" outlineLevel="0" collapsed="false">
      <c r="A903" s="2" t="n">
        <f aca="false">'Raw Data'!H903</f>
        <v>902</v>
      </c>
      <c r="B903" s="2" t="n">
        <f aca="false">'Raw Data'!A903</f>
        <v>39</v>
      </c>
      <c r="C903" s="2" t="str">
        <f aca="false">'Raw Data'!D903</f>
        <v>Research &amp; Development</v>
      </c>
      <c r="D903" s="2" t="str">
        <f aca="false">'Raw Data'!K903</f>
        <v>Manager</v>
      </c>
      <c r="E903" s="2" t="n">
        <f aca="false">'Raw Data'!Q903</f>
        <v>10</v>
      </c>
      <c r="F903" s="2" t="n">
        <f aca="false">'Raw Data'!U903</f>
        <v>8</v>
      </c>
      <c r="G903" s="2" t="n">
        <f aca="false">'Raw Data'!W903</f>
        <v>3</v>
      </c>
      <c r="H903" s="2" t="n">
        <f aca="false">'Raw Data'!V903</f>
        <v>1</v>
      </c>
      <c r="I903" s="2" t="n">
        <f aca="false">IF(AND(ISNUMBER(B903),B903&lt;=25),2,0)+IF(AND(ISNUMBER(E903),E903&lt;=5),2,0)+IF(AND(ISNUMBER(F903),F903&lt;=1),2,0)+IF(AND(ISNUMBER(G903),G903&lt;=2),1,0)+IF(AND(ISNUMBER(H903),H903&lt;=2),1,0)</f>
        <v>1</v>
      </c>
      <c r="J903" s="2" t="str">
        <f aca="false">IF(I903&gt;=6,"High",IF(I903&gt;=3,"Medium","Low"))</f>
        <v>Low</v>
      </c>
    </row>
    <row r="904" customFormat="false" ht="15" hidden="false" customHeight="true" outlineLevel="0" collapsed="false">
      <c r="A904" s="2" t="n">
        <f aca="false">'Raw Data'!H904</f>
        <v>903</v>
      </c>
      <c r="B904" s="2" t="n">
        <f aca="false">'Raw Data'!A904</f>
        <v>45</v>
      </c>
      <c r="C904" s="2" t="str">
        <f aca="false">'Raw Data'!D904</f>
        <v>Research &amp; Development</v>
      </c>
      <c r="D904" s="2" t="str">
        <f aca="false">'Raw Data'!K904</f>
        <v>Laboratory Technician</v>
      </c>
      <c r="E904" s="2" t="n">
        <f aca="false">'Raw Data'!Q904</f>
        <v>10</v>
      </c>
      <c r="F904" s="2" t="n">
        <f aca="false">'Raw Data'!U904</f>
        <v>9</v>
      </c>
      <c r="G904" s="2" t="n">
        <f aca="false">'Raw Data'!W904</f>
        <v>4</v>
      </c>
      <c r="H904" s="2" t="n">
        <f aca="false">'Raw Data'!V904</f>
        <v>4</v>
      </c>
      <c r="I904" s="2" t="n">
        <f aca="false">IF(AND(ISNUMBER(B904),B904&lt;=25),2,0)+IF(AND(ISNUMBER(E904),E904&lt;=5),2,0)+IF(AND(ISNUMBER(F904),F904&lt;=1),2,0)+IF(AND(ISNUMBER(G904),G904&lt;=2),1,0)+IF(AND(ISNUMBER(H904),H904&lt;=2),1,0)</f>
        <v>0</v>
      </c>
      <c r="J904" s="2" t="str">
        <f aca="false">IF(I904&gt;=6,"High",IF(I904&gt;=3,"Medium","Low"))</f>
        <v>Low</v>
      </c>
    </row>
    <row r="905" customFormat="false" ht="15" hidden="false" customHeight="true" outlineLevel="0" collapsed="false">
      <c r="A905" s="2" t="n">
        <f aca="false">'Raw Data'!H905</f>
        <v>904</v>
      </c>
      <c r="B905" s="2" t="n">
        <f aca="false">'Raw Data'!A905</f>
        <v>38</v>
      </c>
      <c r="C905" s="2" t="str">
        <f aca="false">'Raw Data'!D905</f>
        <v>Research &amp; Development</v>
      </c>
      <c r="D905" s="2" t="str">
        <f aca="false">'Raw Data'!K905</f>
        <v>Sales Executive</v>
      </c>
      <c r="E905" s="2" t="n">
        <f aca="false">'Raw Data'!Q905</f>
        <v>10</v>
      </c>
      <c r="F905" s="2" t="n">
        <f aca="false">'Raw Data'!U905</f>
        <v>2</v>
      </c>
      <c r="G905" s="2" t="n">
        <f aca="false">'Raw Data'!W905</f>
        <v>3</v>
      </c>
      <c r="H905" s="2" t="n">
        <f aca="false">'Raw Data'!V905</f>
        <v>4</v>
      </c>
      <c r="I905" s="2" t="n">
        <f aca="false">IF(AND(ISNUMBER(B905),B905&lt;=25),2,0)+IF(AND(ISNUMBER(E905),E905&lt;=5),2,0)+IF(AND(ISNUMBER(F905),F905&lt;=1),2,0)+IF(AND(ISNUMBER(G905),G905&lt;=2),1,0)+IF(AND(ISNUMBER(H905),H905&lt;=2),1,0)</f>
        <v>0</v>
      </c>
      <c r="J905" s="2" t="str">
        <f aca="false">IF(I905&gt;=6,"High",IF(I905&gt;=3,"Medium","Low"))</f>
        <v>Low</v>
      </c>
    </row>
    <row r="906" customFormat="false" ht="15" hidden="false" customHeight="true" outlineLevel="0" collapsed="false">
      <c r="A906" s="2" t="n">
        <f aca="false">'Raw Data'!H906</f>
        <v>905</v>
      </c>
      <c r="B906" s="2" t="n">
        <f aca="false">'Raw Data'!A906</f>
        <v>35</v>
      </c>
      <c r="C906" s="2" t="str">
        <f aca="false">'Raw Data'!D906</f>
        <v>Research &amp; Development</v>
      </c>
      <c r="D906" s="2" t="str">
        <f aca="false">'Raw Data'!K906</f>
        <v>Healthcare Representative</v>
      </c>
      <c r="E906" s="2" t="n">
        <f aca="false">'Raw Data'!Q906</f>
        <v>15</v>
      </c>
      <c r="F906" s="2" t="n">
        <f aca="false">'Raw Data'!U906</f>
        <v>0</v>
      </c>
      <c r="G906" s="2" t="n">
        <f aca="false">'Raw Data'!W906</f>
        <v>1</v>
      </c>
      <c r="H906" s="2" t="n">
        <f aca="false">'Raw Data'!V906</f>
        <v>4</v>
      </c>
      <c r="I906" s="2" t="n">
        <f aca="false">IF(AND(ISNUMBER(B906),B906&lt;=25),2,0)+IF(AND(ISNUMBER(E906),E906&lt;=5),2,0)+IF(AND(ISNUMBER(F906),F906&lt;=1),2,0)+IF(AND(ISNUMBER(G906),G906&lt;=2),1,0)+IF(AND(ISNUMBER(H906),H906&lt;=2),1,0)</f>
        <v>3</v>
      </c>
      <c r="J906" s="2" t="str">
        <f aca="false">IF(I906&gt;=6,"High",IF(I906&gt;=3,"Medium","Low"))</f>
        <v>Medium</v>
      </c>
    </row>
    <row r="907" customFormat="false" ht="15" hidden="false" customHeight="true" outlineLevel="0" collapsed="false">
      <c r="A907" s="2" t="n">
        <f aca="false">'Raw Data'!H907</f>
        <v>906</v>
      </c>
      <c r="B907" s="2" t="n">
        <f aca="false">'Raw Data'!A907</f>
        <v>37</v>
      </c>
      <c r="C907" s="2" t="str">
        <f aca="false">'Raw Data'!D907</f>
        <v>Research &amp; Development</v>
      </c>
      <c r="D907" s="2" t="str">
        <f aca="false">'Raw Data'!K907</f>
        <v>Healthcare Representative</v>
      </c>
      <c r="E907" s="2" t="n">
        <f aca="false">'Raw Data'!Q907</f>
        <v>8</v>
      </c>
      <c r="F907" s="2" t="n">
        <f aca="false">'Raw Data'!U907</f>
        <v>7</v>
      </c>
      <c r="G907" s="2" t="n">
        <f aca="false">'Raw Data'!W907</f>
        <v>2</v>
      </c>
      <c r="H907" s="2" t="n">
        <f aca="false">'Raw Data'!V907</f>
        <v>2</v>
      </c>
      <c r="I907" s="2" t="n">
        <f aca="false">IF(AND(ISNUMBER(B907),B907&lt;=25),2,0)+IF(AND(ISNUMBER(E907),E907&lt;=5),2,0)+IF(AND(ISNUMBER(F907),F907&lt;=1),2,0)+IF(AND(ISNUMBER(G907),G907&lt;=2),1,0)+IF(AND(ISNUMBER(H907),H907&lt;=2),1,0)</f>
        <v>2</v>
      </c>
      <c r="J907" s="2" t="str">
        <f aca="false">IF(I907&gt;=6,"High",IF(I907&gt;=3,"Medium","Low"))</f>
        <v>Low</v>
      </c>
    </row>
    <row r="908" customFormat="false" ht="15" hidden="false" customHeight="true" outlineLevel="0" collapsed="false">
      <c r="A908" s="2" t="n">
        <f aca="false">'Raw Data'!H908</f>
        <v>907</v>
      </c>
      <c r="B908" s="2" t="n">
        <f aca="false">'Raw Data'!A908</f>
        <v>40</v>
      </c>
      <c r="C908" s="2" t="str">
        <f aca="false">'Raw Data'!D908</f>
        <v>Research &amp; Development</v>
      </c>
      <c r="D908" s="2" t="str">
        <f aca="false">'Raw Data'!K908</f>
        <v>Healthcare Representative</v>
      </c>
      <c r="E908" s="2" t="n">
        <f aca="false">'Raw Data'!Q908</f>
        <v>18</v>
      </c>
      <c r="F908" s="2" t="n">
        <f aca="false">'Raw Data'!U908</f>
        <v>3</v>
      </c>
      <c r="G908" s="2" t="n">
        <f aca="false">'Raw Data'!W908</f>
        <v>4</v>
      </c>
      <c r="H908" s="2" t="n">
        <f aca="false">'Raw Data'!V908</f>
        <v>3</v>
      </c>
      <c r="I908" s="2" t="n">
        <f aca="false">IF(AND(ISNUMBER(B908),B908&lt;=25),2,0)+IF(AND(ISNUMBER(E908),E908&lt;=5),2,0)+IF(AND(ISNUMBER(F908),F908&lt;=1),2,0)+IF(AND(ISNUMBER(G908),G908&lt;=2),1,0)+IF(AND(ISNUMBER(H908),H908&lt;=2),1,0)</f>
        <v>0</v>
      </c>
      <c r="J908" s="2" t="str">
        <f aca="false">IF(I908&gt;=6,"High",IF(I908&gt;=3,"Medium","Low"))</f>
        <v>Low</v>
      </c>
    </row>
    <row r="909" customFormat="false" ht="15" hidden="false" customHeight="true" outlineLevel="0" collapsed="false">
      <c r="A909" s="2" t="n">
        <f aca="false">'Raw Data'!H909</f>
        <v>908</v>
      </c>
      <c r="B909" s="2" t="n">
        <f aca="false">'Raw Data'!A909</f>
        <v>44</v>
      </c>
      <c r="C909" s="2" t="str">
        <f aca="false">'Raw Data'!D909</f>
        <v>Sales</v>
      </c>
      <c r="D909" s="2" t="str">
        <f aca="false">'Raw Data'!K909</f>
        <v>Laboratory Technician</v>
      </c>
      <c r="E909" s="2" t="n">
        <f aca="false">'Raw Data'!Q909</f>
        <v>14</v>
      </c>
      <c r="F909" s="2" t="n">
        <f aca="false">'Raw Data'!U909</f>
        <v>2</v>
      </c>
      <c r="G909" s="2" t="n">
        <f aca="false">'Raw Data'!W909</f>
        <v>4</v>
      </c>
      <c r="H909" s="2" t="n">
        <f aca="false">'Raw Data'!V909</f>
        <v>1</v>
      </c>
      <c r="I909" s="2" t="n">
        <f aca="false">IF(AND(ISNUMBER(B909),B909&lt;=25),2,0)+IF(AND(ISNUMBER(E909),E909&lt;=5),2,0)+IF(AND(ISNUMBER(F909),F909&lt;=1),2,0)+IF(AND(ISNUMBER(G909),G909&lt;=2),1,0)+IF(AND(ISNUMBER(H909),H909&lt;=2),1,0)</f>
        <v>1</v>
      </c>
      <c r="J909" s="2" t="str">
        <f aca="false">IF(I909&gt;=6,"High",IF(I909&gt;=3,"Medium","Low"))</f>
        <v>Low</v>
      </c>
    </row>
    <row r="910" customFormat="false" ht="15" hidden="false" customHeight="true" outlineLevel="0" collapsed="false">
      <c r="A910" s="2" t="n">
        <f aca="false">'Raw Data'!H910</f>
        <v>909</v>
      </c>
      <c r="B910" s="2" t="n">
        <f aca="false">'Raw Data'!A910</f>
        <v>48</v>
      </c>
      <c r="C910" s="2" t="str">
        <f aca="false">'Raw Data'!D910</f>
        <v>Sales</v>
      </c>
      <c r="D910" s="2" t="str">
        <f aca="false">'Raw Data'!K910</f>
        <v>Manager</v>
      </c>
      <c r="E910" s="2" t="n">
        <f aca="false">'Raw Data'!Q910</f>
        <v>23</v>
      </c>
      <c r="F910" s="2" t="n">
        <f aca="false">'Raw Data'!U910</f>
        <v>2</v>
      </c>
      <c r="G910" s="2" t="n">
        <f aca="false">'Raw Data'!W910</f>
        <v>4</v>
      </c>
      <c r="H910" s="2" t="n">
        <f aca="false">'Raw Data'!V910</f>
        <v>3</v>
      </c>
      <c r="I910" s="2" t="n">
        <f aca="false">IF(AND(ISNUMBER(B910),B910&lt;=25),2,0)+IF(AND(ISNUMBER(E910),E910&lt;=5),2,0)+IF(AND(ISNUMBER(F910),F910&lt;=1),2,0)+IF(AND(ISNUMBER(G910),G910&lt;=2),1,0)+IF(AND(ISNUMBER(H910),H910&lt;=2),1,0)</f>
        <v>0</v>
      </c>
      <c r="J910" s="2" t="str">
        <f aca="false">IF(I910&gt;=6,"High",IF(I910&gt;=3,"Medium","Low"))</f>
        <v>Low</v>
      </c>
    </row>
    <row r="911" customFormat="false" ht="15" hidden="false" customHeight="true" outlineLevel="0" collapsed="false">
      <c r="A911" s="2" t="n">
        <f aca="false">'Raw Data'!H911</f>
        <v>910</v>
      </c>
      <c r="B911" s="2" t="n">
        <f aca="false">'Raw Data'!A911</f>
        <v>35</v>
      </c>
      <c r="C911" s="2" t="str">
        <f aca="false">'Raw Data'!D911</f>
        <v>Research &amp; Development</v>
      </c>
      <c r="D911" s="2" t="str">
        <f aca="false">'Raw Data'!K911</f>
        <v>Manager</v>
      </c>
      <c r="E911" s="2" t="n">
        <f aca="false">'Raw Data'!Q911</f>
        <v>7</v>
      </c>
      <c r="F911" s="2" t="n">
        <f aca="false">'Raw Data'!U911</f>
        <v>2</v>
      </c>
      <c r="G911" s="2" t="n">
        <f aca="false">'Raw Data'!W911</f>
        <v>4</v>
      </c>
      <c r="H911" s="2" t="n">
        <f aca="false">'Raw Data'!V911</f>
        <v>0</v>
      </c>
      <c r="I911" s="2" t="n">
        <f aca="false">IF(AND(ISNUMBER(B911),B911&lt;=25),2,0)+IF(AND(ISNUMBER(E911),E911&lt;=5),2,0)+IF(AND(ISNUMBER(F911),F911&lt;=1),2,0)+IF(AND(ISNUMBER(G911),G911&lt;=2),1,0)+IF(AND(ISNUMBER(H911),H911&lt;=2),1,0)</f>
        <v>0</v>
      </c>
      <c r="J911" s="2" t="str">
        <f aca="false">IF(I911&gt;=6,"High",IF(I911&gt;=3,"Medium","Low"))</f>
        <v>Low</v>
      </c>
    </row>
    <row r="912" customFormat="false" ht="15" hidden="false" customHeight="true" outlineLevel="0" collapsed="false">
      <c r="A912" s="2" t="n">
        <f aca="false">'Raw Data'!H912</f>
        <v>911</v>
      </c>
      <c r="B912" s="2" t="n">
        <f aca="false">'Raw Data'!A912</f>
        <v>24</v>
      </c>
      <c r="C912" s="2" t="str">
        <f aca="false">'Raw Data'!D912</f>
        <v>Research &amp; Development</v>
      </c>
      <c r="D912" s="2" t="str">
        <f aca="false">'Raw Data'!K912</f>
        <v>Research Scientist</v>
      </c>
      <c r="E912" s="2" t="n">
        <f aca="false">'Raw Data'!Q912</f>
        <v>6</v>
      </c>
      <c r="F912" s="2" t="n">
        <f aca="false">'Raw Data'!U912</f>
        <v>3</v>
      </c>
      <c r="G912" s="2" t="n">
        <f aca="false">'Raw Data'!W912</f>
        <v>4</v>
      </c>
      <c r="H912" s="2" t="n">
        <f aca="false">'Raw Data'!V912</f>
        <v>1</v>
      </c>
      <c r="I912" s="2" t="n">
        <f aca="false">IF(AND(ISNUMBER(B912),B912&lt;=25),2,0)+IF(AND(ISNUMBER(E912),E912&lt;=5),2,0)+IF(AND(ISNUMBER(F912),F912&lt;=1),2,0)+IF(AND(ISNUMBER(G912),G912&lt;=2),1,0)+IF(AND(ISNUMBER(H912),H912&lt;=2),1,0)</f>
        <v>3</v>
      </c>
      <c r="J912" s="2" t="str">
        <f aca="false">IF(I912&gt;=6,"High",IF(I912&gt;=3,"Medium","Low"))</f>
        <v>Medium</v>
      </c>
    </row>
    <row r="913" customFormat="false" ht="15" hidden="false" customHeight="true" outlineLevel="0" collapsed="false">
      <c r="A913" s="2" t="n">
        <f aca="false">'Raw Data'!H913</f>
        <v>912</v>
      </c>
      <c r="B913" s="2" t="n">
        <f aca="false">'Raw Data'!A913</f>
        <v>27</v>
      </c>
      <c r="C913" s="2" t="str">
        <f aca="false">'Raw Data'!D913</f>
        <v>Sales</v>
      </c>
      <c r="D913" s="2" t="str">
        <f aca="false">'Raw Data'!K913</f>
        <v>Sales Executive</v>
      </c>
      <c r="E913" s="2" t="n">
        <f aca="false">'Raw Data'!Q913</f>
        <v>5</v>
      </c>
      <c r="F913" s="2" t="n">
        <f aca="false">'Raw Data'!U913</f>
        <v>2</v>
      </c>
      <c r="G913" s="2" t="n">
        <f aca="false">'Raw Data'!W913</f>
        <v>3</v>
      </c>
      <c r="H913" s="2" t="n">
        <f aca="false">'Raw Data'!V913</f>
        <v>2</v>
      </c>
      <c r="I913" s="2" t="n">
        <f aca="false">IF(AND(ISNUMBER(B913),B913&lt;=25),2,0)+IF(AND(ISNUMBER(E913),E913&lt;=5),2,0)+IF(AND(ISNUMBER(F913),F913&lt;=1),2,0)+IF(AND(ISNUMBER(G913),G913&lt;=2),1,0)+IF(AND(ISNUMBER(H913),H913&lt;=2),1,0)</f>
        <v>3</v>
      </c>
      <c r="J913" s="2" t="str">
        <f aca="false">IF(I913&gt;=6,"High",IF(I913&gt;=3,"Medium","Low"))</f>
        <v>Medium</v>
      </c>
    </row>
    <row r="914" customFormat="false" ht="15" hidden="false" customHeight="true" outlineLevel="0" collapsed="false">
      <c r="A914" s="2" t="n">
        <f aca="false">'Raw Data'!H914</f>
        <v>913</v>
      </c>
      <c r="B914" s="2" t="n">
        <f aca="false">'Raw Data'!A914</f>
        <v>27</v>
      </c>
      <c r="C914" s="2" t="str">
        <f aca="false">'Raw Data'!D914</f>
        <v>Research &amp; Development</v>
      </c>
      <c r="D914" s="2" t="str">
        <f aca="false">'Raw Data'!K914</f>
        <v>Research Scientist</v>
      </c>
      <c r="E914" s="2" t="n">
        <f aca="false">'Raw Data'!Q914</f>
        <v>6</v>
      </c>
      <c r="F914" s="2" t="n">
        <f aca="false">'Raw Data'!U914</f>
        <v>2</v>
      </c>
      <c r="G914" s="2" t="n">
        <f aca="false">'Raw Data'!W914</f>
        <v>4</v>
      </c>
      <c r="H914" s="2" t="n">
        <f aca="false">'Raw Data'!V914</f>
        <v>4</v>
      </c>
      <c r="I914" s="2" t="n">
        <f aca="false">IF(AND(ISNUMBER(B914),B914&lt;=25),2,0)+IF(AND(ISNUMBER(E914),E914&lt;=5),2,0)+IF(AND(ISNUMBER(F914),F914&lt;=1),2,0)+IF(AND(ISNUMBER(G914),G914&lt;=2),1,0)+IF(AND(ISNUMBER(H914),H914&lt;=2),1,0)</f>
        <v>0</v>
      </c>
      <c r="J914" s="2" t="str">
        <f aca="false">IF(I914&gt;=6,"High",IF(I914&gt;=3,"Medium","Low"))</f>
        <v>Low</v>
      </c>
    </row>
    <row r="915" customFormat="false" ht="15" hidden="false" customHeight="true" outlineLevel="0" collapsed="false">
      <c r="A915" s="2" t="n">
        <f aca="false">'Raw Data'!H915</f>
        <v>914</v>
      </c>
      <c r="B915" s="2" t="n">
        <f aca="false">'Raw Data'!A915</f>
        <v>40</v>
      </c>
      <c r="C915" s="2" t="str">
        <f aca="false">'Raw Data'!D915</f>
        <v>Sales</v>
      </c>
      <c r="D915" s="2" t="str">
        <f aca="false">'Raw Data'!K915</f>
        <v>Research Director</v>
      </c>
      <c r="E915" s="2" t="n">
        <f aca="false">'Raw Data'!Q915</f>
        <v>10</v>
      </c>
      <c r="F915" s="2" t="n">
        <f aca="false">'Raw Data'!U915</f>
        <v>3</v>
      </c>
      <c r="G915" s="2" t="n">
        <f aca="false">'Raw Data'!W915</f>
        <v>1</v>
      </c>
      <c r="H915" s="2" t="n">
        <f aca="false">'Raw Data'!V915</f>
        <v>1</v>
      </c>
      <c r="I915" s="2" t="n">
        <f aca="false">IF(AND(ISNUMBER(B915),B915&lt;=25),2,0)+IF(AND(ISNUMBER(E915),E915&lt;=5),2,0)+IF(AND(ISNUMBER(F915),F915&lt;=1),2,0)+IF(AND(ISNUMBER(G915),G915&lt;=2),1,0)+IF(AND(ISNUMBER(H915),H915&lt;=2),1,0)</f>
        <v>2</v>
      </c>
      <c r="J915" s="2" t="str">
        <f aca="false">IF(I915&gt;=6,"High",IF(I915&gt;=3,"Medium","Low"))</f>
        <v>Low</v>
      </c>
    </row>
    <row r="916" customFormat="false" ht="15" hidden="false" customHeight="true" outlineLevel="0" collapsed="false">
      <c r="A916" s="2" t="n">
        <f aca="false">'Raw Data'!H916</f>
        <v>915</v>
      </c>
      <c r="B916" s="2" t="n">
        <f aca="false">'Raw Data'!A916</f>
        <v>29</v>
      </c>
      <c r="C916" s="2" t="str">
        <f aca="false">'Raw Data'!D916</f>
        <v>Research &amp; Development</v>
      </c>
      <c r="D916" s="2" t="str">
        <f aca="false">'Raw Data'!K916</f>
        <v>Manager</v>
      </c>
      <c r="E916" s="2" t="n">
        <f aca="false">'Raw Data'!Q916</f>
        <v>8</v>
      </c>
      <c r="F916" s="2" t="n">
        <f aca="false">'Raw Data'!U916</f>
        <v>4</v>
      </c>
      <c r="G916" s="2" t="n">
        <f aca="false">'Raw Data'!W916</f>
        <v>3</v>
      </c>
      <c r="H916" s="2" t="n">
        <f aca="false">'Raw Data'!V916</f>
        <v>3</v>
      </c>
      <c r="I916" s="2" t="n">
        <f aca="false">IF(AND(ISNUMBER(B916),B916&lt;=25),2,0)+IF(AND(ISNUMBER(E916),E916&lt;=5),2,0)+IF(AND(ISNUMBER(F916),F916&lt;=1),2,0)+IF(AND(ISNUMBER(G916),G916&lt;=2),1,0)+IF(AND(ISNUMBER(H916),H916&lt;=2),1,0)</f>
        <v>0</v>
      </c>
      <c r="J916" s="2" t="str">
        <f aca="false">IF(I916&gt;=6,"High",IF(I916&gt;=3,"Medium","Low"))</f>
        <v>Low</v>
      </c>
    </row>
    <row r="917" customFormat="false" ht="15" hidden="false" customHeight="true" outlineLevel="0" collapsed="false">
      <c r="A917" s="2" t="n">
        <f aca="false">'Raw Data'!H917</f>
        <v>916</v>
      </c>
      <c r="B917" s="2" t="n">
        <f aca="false">'Raw Data'!A917</f>
        <v>36</v>
      </c>
      <c r="C917" s="2" t="str">
        <f aca="false">'Raw Data'!D917</f>
        <v>Research &amp; Development</v>
      </c>
      <c r="D917" s="2" t="str">
        <f aca="false">'Raw Data'!K917</f>
        <v>Sales Executive</v>
      </c>
      <c r="E917" s="2" t="n">
        <f aca="false">'Raw Data'!Q917</f>
        <v>9</v>
      </c>
      <c r="F917" s="2" t="n">
        <f aca="false">'Raw Data'!U917</f>
        <v>2</v>
      </c>
      <c r="G917" s="2" t="n">
        <f aca="false">'Raw Data'!W917</f>
        <v>1</v>
      </c>
      <c r="H917" s="2" t="n">
        <f aca="false">'Raw Data'!V917</f>
        <v>2</v>
      </c>
      <c r="I917" s="2" t="n">
        <f aca="false">IF(AND(ISNUMBER(B917),B917&lt;=25),2,0)+IF(AND(ISNUMBER(E917),E917&lt;=5),2,0)+IF(AND(ISNUMBER(F917),F917&lt;=1),2,0)+IF(AND(ISNUMBER(G917),G917&lt;=2),1,0)+IF(AND(ISNUMBER(H917),H917&lt;=2),1,0)</f>
        <v>2</v>
      </c>
      <c r="J917" s="2" t="str">
        <f aca="false">IF(I917&gt;=6,"High",IF(I917&gt;=3,"Medium","Low"))</f>
        <v>Low</v>
      </c>
    </row>
    <row r="918" customFormat="false" ht="15" hidden="false" customHeight="true" outlineLevel="0" collapsed="false">
      <c r="A918" s="2" t="n">
        <f aca="false">'Raw Data'!H918</f>
        <v>917</v>
      </c>
      <c r="B918" s="2" t="n">
        <f aca="false">'Raw Data'!A918</f>
        <v>25</v>
      </c>
      <c r="C918" s="2" t="str">
        <f aca="false">'Raw Data'!D918</f>
        <v>Sales</v>
      </c>
      <c r="D918" s="2" t="str">
        <f aca="false">'Raw Data'!K918</f>
        <v>Manufacturing Director</v>
      </c>
      <c r="E918" s="2" t="n">
        <f aca="false">'Raw Data'!Q918</f>
        <v>7</v>
      </c>
      <c r="F918" s="2" t="n">
        <f aca="false">'Raw Data'!U918</f>
        <v>7</v>
      </c>
      <c r="G918" s="2" t="n">
        <f aca="false">'Raw Data'!W918</f>
        <v>3</v>
      </c>
      <c r="H918" s="2" t="n">
        <f aca="false">'Raw Data'!V918</f>
        <v>4</v>
      </c>
      <c r="I918" s="2" t="n">
        <f aca="false">IF(AND(ISNUMBER(B918),B918&lt;=25),2,0)+IF(AND(ISNUMBER(E918),E918&lt;=5),2,0)+IF(AND(ISNUMBER(F918),F918&lt;=1),2,0)+IF(AND(ISNUMBER(G918),G918&lt;=2),1,0)+IF(AND(ISNUMBER(H918),H918&lt;=2),1,0)</f>
        <v>2</v>
      </c>
      <c r="J918" s="2" t="str">
        <f aca="false">IF(I918&gt;=6,"High",IF(I918&gt;=3,"Medium","Low"))</f>
        <v>Low</v>
      </c>
    </row>
    <row r="919" customFormat="false" ht="15" hidden="false" customHeight="true" outlineLevel="0" collapsed="false">
      <c r="A919" s="2" t="n">
        <f aca="false">'Raw Data'!H919</f>
        <v>918</v>
      </c>
      <c r="B919" s="2" t="n">
        <f aca="false">'Raw Data'!A919</f>
        <v>39</v>
      </c>
      <c r="C919" s="2" t="str">
        <f aca="false">'Raw Data'!D919</f>
        <v>Sales</v>
      </c>
      <c r="D919" s="2" t="str">
        <f aca="false">'Raw Data'!K919</f>
        <v>Research Director</v>
      </c>
      <c r="E919" s="2" t="n">
        <f aca="false">'Raw Data'!Q919</f>
        <v>7</v>
      </c>
      <c r="F919" s="2" t="n">
        <f aca="false">'Raw Data'!U919</f>
        <v>0</v>
      </c>
      <c r="G919" s="2" t="n">
        <f aca="false">'Raw Data'!W919</f>
        <v>2</v>
      </c>
      <c r="H919" s="2" t="n">
        <f aca="false">'Raw Data'!V919</f>
        <v>4</v>
      </c>
      <c r="I919" s="2" t="n">
        <f aca="false">IF(AND(ISNUMBER(B919),B919&lt;=25),2,0)+IF(AND(ISNUMBER(E919),E919&lt;=5),2,0)+IF(AND(ISNUMBER(F919),F919&lt;=1),2,0)+IF(AND(ISNUMBER(G919),G919&lt;=2),1,0)+IF(AND(ISNUMBER(H919),H919&lt;=2),1,0)</f>
        <v>3</v>
      </c>
      <c r="J919" s="2" t="str">
        <f aca="false">IF(I919&gt;=6,"High",IF(I919&gt;=3,"Medium","Low"))</f>
        <v>Medium</v>
      </c>
    </row>
    <row r="920" customFormat="false" ht="15" hidden="false" customHeight="true" outlineLevel="0" collapsed="false">
      <c r="A920" s="2" t="n">
        <f aca="false">'Raw Data'!H920</f>
        <v>919</v>
      </c>
      <c r="B920" s="2" t="n">
        <f aca="false">'Raw Data'!A920</f>
        <v>49</v>
      </c>
      <c r="C920" s="2" t="str">
        <f aca="false">'Raw Data'!D920</f>
        <v>Sales</v>
      </c>
      <c r="D920" s="2" t="str">
        <f aca="false">'Raw Data'!K920</f>
        <v>Research Director</v>
      </c>
      <c r="E920" s="2" t="n">
        <f aca="false">'Raw Data'!Q920</f>
        <v>27</v>
      </c>
      <c r="F920" s="2" t="n">
        <f aca="false">'Raw Data'!U920</f>
        <v>2</v>
      </c>
      <c r="G920" s="2" t="n">
        <f aca="false">'Raw Data'!W920</f>
        <v>2</v>
      </c>
      <c r="H920" s="2" t="n">
        <f aca="false">'Raw Data'!V920</f>
        <v>1</v>
      </c>
      <c r="I920" s="2" t="n">
        <f aca="false">IF(AND(ISNUMBER(B920),B920&lt;=25),2,0)+IF(AND(ISNUMBER(E920),E920&lt;=5),2,0)+IF(AND(ISNUMBER(F920),F920&lt;=1),2,0)+IF(AND(ISNUMBER(G920),G920&lt;=2),1,0)+IF(AND(ISNUMBER(H920),H920&lt;=2),1,0)</f>
        <v>2</v>
      </c>
      <c r="J920" s="2" t="str">
        <f aca="false">IF(I920&gt;=6,"High",IF(I920&gt;=3,"Medium","Low"))</f>
        <v>Low</v>
      </c>
    </row>
    <row r="921" customFormat="false" ht="15" hidden="false" customHeight="true" outlineLevel="0" collapsed="false">
      <c r="A921" s="2" t="n">
        <f aca="false">'Raw Data'!H921</f>
        <v>920</v>
      </c>
      <c r="B921" s="2" t="n">
        <f aca="false">'Raw Data'!A921</f>
        <v>50</v>
      </c>
      <c r="C921" s="2" t="str">
        <f aca="false">'Raw Data'!D921</f>
        <v>Research &amp; Development</v>
      </c>
      <c r="D921" s="2" t="str">
        <f aca="false">'Raw Data'!K921</f>
        <v>Sales Executive</v>
      </c>
      <c r="E921" s="2" t="n">
        <f aca="false">'Raw Data'!Q921</f>
        <v>19</v>
      </c>
      <c r="F921" s="2" t="n">
        <f aca="false">'Raw Data'!U921</f>
        <v>11</v>
      </c>
      <c r="G921" s="2" t="n">
        <f aca="false">'Raw Data'!W921</f>
        <v>1</v>
      </c>
      <c r="H921" s="2" t="n">
        <f aca="false">'Raw Data'!V921</f>
        <v>4</v>
      </c>
      <c r="I921" s="2" t="n">
        <f aca="false">IF(AND(ISNUMBER(B921),B921&lt;=25),2,0)+IF(AND(ISNUMBER(E921),E921&lt;=5),2,0)+IF(AND(ISNUMBER(F921),F921&lt;=1),2,0)+IF(AND(ISNUMBER(G921),G921&lt;=2),1,0)+IF(AND(ISNUMBER(H921),H921&lt;=2),1,0)</f>
        <v>1</v>
      </c>
      <c r="J921" s="2" t="str">
        <f aca="false">IF(I921&gt;=6,"High",IF(I921&gt;=3,"Medium","Low"))</f>
        <v>Low</v>
      </c>
    </row>
    <row r="922" customFormat="false" ht="15" hidden="false" customHeight="true" outlineLevel="0" collapsed="false">
      <c r="A922" s="2" t="n">
        <f aca="false">'Raw Data'!H922</f>
        <v>921</v>
      </c>
      <c r="B922" s="2" t="n">
        <f aca="false">'Raw Data'!A922</f>
        <v>20</v>
      </c>
      <c r="C922" s="2" t="str">
        <f aca="false">'Raw Data'!D922</f>
        <v>Research &amp; Development</v>
      </c>
      <c r="D922" s="2" t="str">
        <f aca="false">'Raw Data'!K922</f>
        <v>Sales Executive</v>
      </c>
      <c r="E922" s="2" t="n">
        <f aca="false">'Raw Data'!Q922</f>
        <v>2</v>
      </c>
      <c r="F922" s="2" t="n">
        <f aca="false">'Raw Data'!U922</f>
        <v>2</v>
      </c>
      <c r="G922" s="2" t="n">
        <f aca="false">'Raw Data'!W922</f>
        <v>3</v>
      </c>
      <c r="H922" s="2" t="n">
        <f aca="false">'Raw Data'!V922</f>
        <v>3</v>
      </c>
      <c r="I922" s="2" t="n">
        <f aca="false">IF(AND(ISNUMBER(B922),B922&lt;=25),2,0)+IF(AND(ISNUMBER(E922),E922&lt;=5),2,0)+IF(AND(ISNUMBER(F922),F922&lt;=1),2,0)+IF(AND(ISNUMBER(G922),G922&lt;=2),1,0)+IF(AND(ISNUMBER(H922),H922&lt;=2),1,0)</f>
        <v>4</v>
      </c>
      <c r="J922" s="2" t="str">
        <f aca="false">IF(I922&gt;=6,"High",IF(I922&gt;=3,"Medium","Low"))</f>
        <v>Medium</v>
      </c>
    </row>
    <row r="923" customFormat="false" ht="15" hidden="false" customHeight="true" outlineLevel="0" collapsed="false">
      <c r="A923" s="2" t="n">
        <f aca="false">'Raw Data'!H923</f>
        <v>922</v>
      </c>
      <c r="B923" s="2" t="n">
        <f aca="false">'Raw Data'!A923</f>
        <v>34</v>
      </c>
      <c r="C923" s="2" t="str">
        <f aca="false">'Raw Data'!D923</f>
        <v>Research &amp; Development</v>
      </c>
      <c r="D923" s="2" t="str">
        <f aca="false">'Raw Data'!K923</f>
        <v>Laboratory Technician</v>
      </c>
      <c r="E923" s="2" t="n">
        <f aca="false">'Raw Data'!Q923</f>
        <v>11</v>
      </c>
      <c r="F923" s="2" t="n">
        <f aca="false">'Raw Data'!U923</f>
        <v>9</v>
      </c>
      <c r="G923" s="2" t="n">
        <f aca="false">'Raw Data'!W923</f>
        <v>2</v>
      </c>
      <c r="H923" s="2" t="n">
        <f aca="false">'Raw Data'!V923</f>
        <v>4</v>
      </c>
      <c r="I923" s="2" t="n">
        <f aca="false">IF(AND(ISNUMBER(B923),B923&lt;=25),2,0)+IF(AND(ISNUMBER(E923),E923&lt;=5),2,0)+IF(AND(ISNUMBER(F923),F923&lt;=1),2,0)+IF(AND(ISNUMBER(G923),G923&lt;=2),1,0)+IF(AND(ISNUMBER(H923),H923&lt;=2),1,0)</f>
        <v>1</v>
      </c>
      <c r="J923" s="2" t="str">
        <f aca="false">IF(I923&gt;=6,"High",IF(I923&gt;=3,"Medium","Low"))</f>
        <v>Low</v>
      </c>
    </row>
    <row r="924" customFormat="false" ht="15" hidden="false" customHeight="true" outlineLevel="0" collapsed="false">
      <c r="A924" s="2" t="n">
        <f aca="false">'Raw Data'!H924</f>
        <v>923</v>
      </c>
      <c r="B924" s="2" t="n">
        <f aca="false">'Raw Data'!A924</f>
        <v>36</v>
      </c>
      <c r="C924" s="2" t="str">
        <f aca="false">'Raw Data'!D924</f>
        <v>Research &amp; Development</v>
      </c>
      <c r="D924" s="2" t="str">
        <f aca="false">'Raw Data'!K924</f>
        <v>Healthcare Representative</v>
      </c>
      <c r="E924" s="2" t="n">
        <f aca="false">'Raw Data'!Q924</f>
        <v>15</v>
      </c>
      <c r="F924" s="2" t="n">
        <f aca="false">'Raw Data'!U924</f>
        <v>3</v>
      </c>
      <c r="G924" s="2" t="n">
        <f aca="false">'Raw Data'!W924</f>
        <v>2</v>
      </c>
      <c r="H924" s="2" t="n">
        <f aca="false">'Raw Data'!V924</f>
        <v>1</v>
      </c>
      <c r="I924" s="2" t="n">
        <f aca="false">IF(AND(ISNUMBER(B924),B924&lt;=25),2,0)+IF(AND(ISNUMBER(E924),E924&lt;=5),2,0)+IF(AND(ISNUMBER(F924),F924&lt;=1),2,0)+IF(AND(ISNUMBER(G924),G924&lt;=2),1,0)+IF(AND(ISNUMBER(H924),H924&lt;=2),1,0)</f>
        <v>2</v>
      </c>
      <c r="J924" s="2" t="str">
        <f aca="false">IF(I924&gt;=6,"High",IF(I924&gt;=3,"Medium","Low"))</f>
        <v>Low</v>
      </c>
    </row>
    <row r="925" customFormat="false" ht="15" hidden="false" customHeight="true" outlineLevel="0" collapsed="false">
      <c r="A925" s="2" t="n">
        <f aca="false">'Raw Data'!H925</f>
        <v>924</v>
      </c>
      <c r="B925" s="2" t="n">
        <f aca="false">'Raw Data'!A925</f>
        <v>49</v>
      </c>
      <c r="C925" s="2" t="str">
        <f aca="false">'Raw Data'!D925</f>
        <v>Human Resources</v>
      </c>
      <c r="D925" s="2" t="str">
        <f aca="false">'Raw Data'!K925</f>
        <v>Research Scientist</v>
      </c>
      <c r="E925" s="2" t="n">
        <f aca="false">'Raw Data'!Q925</f>
        <v>30</v>
      </c>
      <c r="F925" s="2" t="n">
        <f aca="false">'Raw Data'!U925</f>
        <v>12</v>
      </c>
      <c r="G925" s="2" t="n">
        <f aca="false">'Raw Data'!W925</f>
        <v>3</v>
      </c>
      <c r="H925" s="2" t="n">
        <f aca="false">'Raw Data'!V925</f>
        <v>3</v>
      </c>
      <c r="I925" s="2" t="n">
        <f aca="false">IF(AND(ISNUMBER(B925),B925&lt;=25),2,0)+IF(AND(ISNUMBER(E925),E925&lt;=5),2,0)+IF(AND(ISNUMBER(F925),F925&lt;=1),2,0)+IF(AND(ISNUMBER(G925),G925&lt;=2),1,0)+IF(AND(ISNUMBER(H925),H925&lt;=2),1,0)</f>
        <v>0</v>
      </c>
      <c r="J925" s="2" t="str">
        <f aca="false">IF(I925&gt;=6,"High",IF(I925&gt;=3,"Medium","Low"))</f>
        <v>Low</v>
      </c>
    </row>
    <row r="926" customFormat="false" ht="15" hidden="false" customHeight="true" outlineLevel="0" collapsed="false">
      <c r="A926" s="2" t="n">
        <f aca="false">'Raw Data'!H926</f>
        <v>925</v>
      </c>
      <c r="B926" s="2" t="n">
        <f aca="false">'Raw Data'!A926</f>
        <v>36</v>
      </c>
      <c r="C926" s="2" t="str">
        <f aca="false">'Raw Data'!D926</f>
        <v>Research &amp; Development</v>
      </c>
      <c r="D926" s="2" t="str">
        <f aca="false">'Raw Data'!K926</f>
        <v>Laboratory Technician</v>
      </c>
      <c r="E926" s="2" t="n">
        <f aca="false">'Raw Data'!Q926</f>
        <v>4</v>
      </c>
      <c r="F926" s="2" t="n">
        <f aca="false">'Raw Data'!U926</f>
        <v>2</v>
      </c>
      <c r="G926" s="2" t="n">
        <f aca="false">'Raw Data'!W926</f>
        <v>3</v>
      </c>
      <c r="H926" s="2" t="n">
        <f aca="false">'Raw Data'!V926</f>
        <v>4</v>
      </c>
      <c r="I926" s="2" t="n">
        <f aca="false">IF(AND(ISNUMBER(B926),B926&lt;=25),2,0)+IF(AND(ISNUMBER(E926),E926&lt;=5),2,0)+IF(AND(ISNUMBER(F926),F926&lt;=1),2,0)+IF(AND(ISNUMBER(G926),G926&lt;=2),1,0)+IF(AND(ISNUMBER(H926),H926&lt;=2),1,0)</f>
        <v>2</v>
      </c>
      <c r="J926" s="2" t="str">
        <f aca="false">IF(I926&gt;=6,"High",IF(I926&gt;=3,"Medium","Low"))</f>
        <v>Low</v>
      </c>
    </row>
    <row r="927" customFormat="false" ht="15" hidden="false" customHeight="true" outlineLevel="0" collapsed="false">
      <c r="A927" s="2" t="n">
        <f aca="false">'Raw Data'!H927</f>
        <v>926</v>
      </c>
      <c r="B927" s="2" t="n">
        <f aca="false">'Raw Data'!A927</f>
        <v>36</v>
      </c>
      <c r="C927" s="2" t="str">
        <f aca="false">'Raw Data'!D927</f>
        <v>Research &amp; Development</v>
      </c>
      <c r="D927" s="2" t="str">
        <f aca="false">'Raw Data'!K927</f>
        <v>Healthcare Representative</v>
      </c>
      <c r="E927" s="2" t="n">
        <f aca="false">'Raw Data'!Q927</f>
        <v>13</v>
      </c>
      <c r="F927" s="2" t="n">
        <f aca="false">'Raw Data'!U927</f>
        <v>4</v>
      </c>
      <c r="G927" s="2" t="n">
        <f aca="false">'Raw Data'!W927</f>
        <v>1</v>
      </c>
      <c r="H927" s="2" t="n">
        <f aca="false">'Raw Data'!V927</f>
        <v>4</v>
      </c>
      <c r="I927" s="2" t="n">
        <f aca="false">IF(AND(ISNUMBER(B927),B927&lt;=25),2,0)+IF(AND(ISNUMBER(E927),E927&lt;=5),2,0)+IF(AND(ISNUMBER(F927),F927&lt;=1),2,0)+IF(AND(ISNUMBER(G927),G927&lt;=2),1,0)+IF(AND(ISNUMBER(H927),H927&lt;=2),1,0)</f>
        <v>1</v>
      </c>
      <c r="J927" s="2" t="str">
        <f aca="false">IF(I927&gt;=6,"High",IF(I927&gt;=3,"Medium","Low"))</f>
        <v>Low</v>
      </c>
    </row>
    <row r="928" customFormat="false" ht="15" hidden="false" customHeight="true" outlineLevel="0" collapsed="false">
      <c r="A928" s="2" t="n">
        <f aca="false">'Raw Data'!H928</f>
        <v>927</v>
      </c>
      <c r="B928" s="2" t="n">
        <f aca="false">'Raw Data'!A928</f>
        <v>54</v>
      </c>
      <c r="C928" s="2" t="str">
        <f aca="false">'Raw Data'!D928</f>
        <v>Sales</v>
      </c>
      <c r="D928" s="2" t="str">
        <f aca="false">'Raw Data'!K928</f>
        <v>Laboratory Technician</v>
      </c>
      <c r="E928" s="2" t="n">
        <f aca="false">'Raw Data'!Q928</f>
        <v>36</v>
      </c>
      <c r="F928" s="2" t="n">
        <f aca="false">'Raw Data'!U928</f>
        <v>7</v>
      </c>
      <c r="G928" s="2" t="n">
        <f aca="false">'Raw Data'!W928</f>
        <v>3</v>
      </c>
      <c r="H928" s="2" t="n">
        <f aca="false">'Raw Data'!V928</f>
        <v>2</v>
      </c>
      <c r="I928" s="2" t="n">
        <f aca="false">IF(AND(ISNUMBER(B928),B928&lt;=25),2,0)+IF(AND(ISNUMBER(E928),E928&lt;=5),2,0)+IF(AND(ISNUMBER(F928),F928&lt;=1),2,0)+IF(AND(ISNUMBER(G928),G928&lt;=2),1,0)+IF(AND(ISNUMBER(H928),H928&lt;=2),1,0)</f>
        <v>1</v>
      </c>
      <c r="J928" s="2" t="str">
        <f aca="false">IF(I928&gt;=6,"High",IF(I928&gt;=3,"Medium","Low"))</f>
        <v>Low</v>
      </c>
    </row>
    <row r="929" customFormat="false" ht="15" hidden="false" customHeight="true" outlineLevel="0" collapsed="false">
      <c r="A929" s="2" t="n">
        <f aca="false">'Raw Data'!H929</f>
        <v>928</v>
      </c>
      <c r="B929" s="2" t="n">
        <f aca="false">'Raw Data'!A929</f>
        <v>43</v>
      </c>
      <c r="C929" s="2" t="str">
        <f aca="false">'Raw Data'!D929</f>
        <v>Research &amp; Development</v>
      </c>
      <c r="D929" s="2" t="str">
        <f aca="false">'Raw Data'!K929</f>
        <v>Research Scientist</v>
      </c>
      <c r="E929" s="2" t="n">
        <f aca="false">'Raw Data'!Q929</f>
        <v>14</v>
      </c>
      <c r="F929" s="2" t="n">
        <f aca="false">'Raw Data'!U929</f>
        <v>11</v>
      </c>
      <c r="G929" s="2" t="n">
        <f aca="false">'Raw Data'!W929</f>
        <v>3</v>
      </c>
      <c r="H929" s="2" t="n">
        <f aca="false">'Raw Data'!V929</f>
        <v>3</v>
      </c>
      <c r="I929" s="2" t="n">
        <f aca="false">IF(AND(ISNUMBER(B929),B929&lt;=25),2,0)+IF(AND(ISNUMBER(E929),E929&lt;=5),2,0)+IF(AND(ISNUMBER(F929),F929&lt;=1),2,0)+IF(AND(ISNUMBER(G929),G929&lt;=2),1,0)+IF(AND(ISNUMBER(H929),H929&lt;=2),1,0)</f>
        <v>0</v>
      </c>
      <c r="J929" s="2" t="str">
        <f aca="false">IF(I929&gt;=6,"High",IF(I929&gt;=3,"Medium","Low"))</f>
        <v>Low</v>
      </c>
    </row>
    <row r="930" customFormat="false" ht="15" hidden="false" customHeight="true" outlineLevel="0" collapsed="false">
      <c r="A930" s="2" t="n">
        <f aca="false">'Raw Data'!H930</f>
        <v>929</v>
      </c>
      <c r="B930" s="2" t="n">
        <f aca="false">'Raw Data'!A930</f>
        <v>35</v>
      </c>
      <c r="C930" s="2" t="str">
        <f aca="false">'Raw Data'!D930</f>
        <v>Research &amp; Development</v>
      </c>
      <c r="D930" s="2" t="str">
        <f aca="false">'Raw Data'!K930</f>
        <v>Research Director</v>
      </c>
      <c r="E930" s="2" t="n">
        <f aca="false">'Raw Data'!Q930</f>
        <v>13</v>
      </c>
      <c r="F930" s="2" t="n">
        <f aca="false">'Raw Data'!U930</f>
        <v>7</v>
      </c>
      <c r="G930" s="2" t="n">
        <f aca="false">'Raw Data'!W930</f>
        <v>4</v>
      </c>
      <c r="H930" s="2" t="n">
        <f aca="false">'Raw Data'!V930</f>
        <v>4</v>
      </c>
      <c r="I930" s="2" t="n">
        <f aca="false">IF(AND(ISNUMBER(B930),B930&lt;=25),2,0)+IF(AND(ISNUMBER(E930),E930&lt;=5),2,0)+IF(AND(ISNUMBER(F930),F930&lt;=1),2,0)+IF(AND(ISNUMBER(G930),G930&lt;=2),1,0)+IF(AND(ISNUMBER(H930),H930&lt;=2),1,0)</f>
        <v>0</v>
      </c>
      <c r="J930" s="2" t="str">
        <f aca="false">IF(I930&gt;=6,"High",IF(I930&gt;=3,"Medium","Low"))</f>
        <v>Low</v>
      </c>
    </row>
    <row r="931" customFormat="false" ht="15" hidden="false" customHeight="true" outlineLevel="0" collapsed="false">
      <c r="A931" s="2" t="n">
        <f aca="false">'Raw Data'!H931</f>
        <v>930</v>
      </c>
      <c r="B931" s="2" t="n">
        <f aca="false">'Raw Data'!A931</f>
        <v>38</v>
      </c>
      <c r="C931" s="2" t="str">
        <f aca="false">'Raw Data'!D931</f>
        <v>Research &amp; Development</v>
      </c>
      <c r="D931" s="2" t="str">
        <f aca="false">'Raw Data'!K931</f>
        <v>Research Scientist</v>
      </c>
      <c r="E931" s="2" t="n">
        <f aca="false">'Raw Data'!Q931</f>
        <v>19</v>
      </c>
      <c r="F931" s="2" t="n">
        <f aca="false">'Raw Data'!U931</f>
        <v>9</v>
      </c>
      <c r="G931" s="2" t="n">
        <f aca="false">'Raw Data'!W931</f>
        <v>4</v>
      </c>
      <c r="H931" s="2" t="n">
        <f aca="false">'Raw Data'!V931</f>
        <v>4</v>
      </c>
      <c r="I931" s="2" t="n">
        <f aca="false">IF(AND(ISNUMBER(B931),B931&lt;=25),2,0)+IF(AND(ISNUMBER(E931),E931&lt;=5),2,0)+IF(AND(ISNUMBER(F931),F931&lt;=1),2,0)+IF(AND(ISNUMBER(G931),G931&lt;=2),1,0)+IF(AND(ISNUMBER(H931),H931&lt;=2),1,0)</f>
        <v>0</v>
      </c>
      <c r="J931" s="2" t="str">
        <f aca="false">IF(I931&gt;=6,"High",IF(I931&gt;=3,"Medium","Low"))</f>
        <v>Low</v>
      </c>
    </row>
    <row r="932" customFormat="false" ht="15" hidden="false" customHeight="true" outlineLevel="0" collapsed="false">
      <c r="A932" s="2" t="n">
        <f aca="false">'Raw Data'!H932</f>
        <v>931</v>
      </c>
      <c r="B932" s="2" t="n">
        <f aca="false">'Raw Data'!A932</f>
        <v>29</v>
      </c>
      <c r="C932" s="2" t="str">
        <f aca="false">'Raw Data'!D932</f>
        <v>Research &amp; Development</v>
      </c>
      <c r="D932" s="2" t="str">
        <f aca="false">'Raw Data'!K932</f>
        <v>Sales Representative</v>
      </c>
      <c r="E932" s="2" t="n">
        <f aca="false">'Raw Data'!Q932</f>
        <v>10</v>
      </c>
      <c r="F932" s="2" t="n">
        <f aca="false">'Raw Data'!U932</f>
        <v>9</v>
      </c>
      <c r="G932" s="2" t="n">
        <f aca="false">'Raw Data'!W932</f>
        <v>2</v>
      </c>
      <c r="H932" s="2" t="n">
        <f aca="false">'Raw Data'!V932</f>
        <v>1</v>
      </c>
      <c r="I932" s="2" t="n">
        <f aca="false">IF(AND(ISNUMBER(B932),B932&lt;=25),2,0)+IF(AND(ISNUMBER(E932),E932&lt;=5),2,0)+IF(AND(ISNUMBER(F932),F932&lt;=1),2,0)+IF(AND(ISNUMBER(G932),G932&lt;=2),1,0)+IF(AND(ISNUMBER(H932),H932&lt;=2),1,0)</f>
        <v>2</v>
      </c>
      <c r="J932" s="2" t="str">
        <f aca="false">IF(I932&gt;=6,"High",IF(I932&gt;=3,"Medium","Low"))</f>
        <v>Low</v>
      </c>
    </row>
    <row r="933" customFormat="false" ht="15" hidden="false" customHeight="true" outlineLevel="0" collapsed="false">
      <c r="A933" s="2" t="n">
        <f aca="false">'Raw Data'!H933</f>
        <v>932</v>
      </c>
      <c r="B933" s="2" t="n">
        <f aca="false">'Raw Data'!A933</f>
        <v>33</v>
      </c>
      <c r="C933" s="2" t="str">
        <f aca="false">'Raw Data'!D933</f>
        <v>Research &amp; Development</v>
      </c>
      <c r="D933" s="2" t="str">
        <f aca="false">'Raw Data'!K933</f>
        <v>Sales Executive</v>
      </c>
      <c r="E933" s="2" t="n">
        <f aca="false">'Raw Data'!Q933</f>
        <v>6</v>
      </c>
      <c r="F933" s="2" t="n">
        <f aca="false">'Raw Data'!U933</f>
        <v>4</v>
      </c>
      <c r="G933" s="2" t="n">
        <f aca="false">'Raw Data'!W933</f>
        <v>4</v>
      </c>
      <c r="H933" s="2" t="n">
        <f aca="false">'Raw Data'!V933</f>
        <v>4</v>
      </c>
      <c r="I933" s="2" t="n">
        <f aca="false">IF(AND(ISNUMBER(B933),B933&lt;=25),2,0)+IF(AND(ISNUMBER(E933),E933&lt;=5),2,0)+IF(AND(ISNUMBER(F933),F933&lt;=1),2,0)+IF(AND(ISNUMBER(G933),G933&lt;=2),1,0)+IF(AND(ISNUMBER(H933),H933&lt;=2),1,0)</f>
        <v>0</v>
      </c>
      <c r="J933" s="2" t="str">
        <f aca="false">IF(I933&gt;=6,"High",IF(I933&gt;=3,"Medium","Low"))</f>
        <v>Low</v>
      </c>
    </row>
    <row r="934" customFormat="false" ht="15" hidden="false" customHeight="true" outlineLevel="0" collapsed="false">
      <c r="A934" s="2" t="n">
        <f aca="false">'Raw Data'!H934</f>
        <v>933</v>
      </c>
      <c r="B934" s="2" t="n">
        <f aca="false">'Raw Data'!A934</f>
        <v>32</v>
      </c>
      <c r="C934" s="2" t="str">
        <f aca="false">'Raw Data'!D934</f>
        <v>Research &amp; Development</v>
      </c>
      <c r="D934" s="2" t="str">
        <f aca="false">'Raw Data'!K934</f>
        <v>Research Scientist</v>
      </c>
      <c r="E934" s="2" t="n">
        <f aca="false">'Raw Data'!Q934</f>
        <v>10</v>
      </c>
      <c r="F934" s="2" t="n">
        <f aca="false">'Raw Data'!U934</f>
        <v>6</v>
      </c>
      <c r="G934" s="2" t="n">
        <f aca="false">'Raw Data'!W934</f>
        <v>2</v>
      </c>
      <c r="H934" s="2" t="n">
        <f aca="false">'Raw Data'!V934</f>
        <v>4</v>
      </c>
      <c r="I934" s="2" t="n">
        <f aca="false">IF(AND(ISNUMBER(B934),B934&lt;=25),2,0)+IF(AND(ISNUMBER(E934),E934&lt;=5),2,0)+IF(AND(ISNUMBER(F934),F934&lt;=1),2,0)+IF(AND(ISNUMBER(G934),G934&lt;=2),1,0)+IF(AND(ISNUMBER(H934),H934&lt;=2),1,0)</f>
        <v>1</v>
      </c>
      <c r="J934" s="2" t="str">
        <f aca="false">IF(I934&gt;=6,"High",IF(I934&gt;=3,"Medium","Low"))</f>
        <v>Low</v>
      </c>
    </row>
    <row r="935" customFormat="false" ht="15" hidden="false" customHeight="true" outlineLevel="0" collapsed="false">
      <c r="A935" s="2" t="n">
        <f aca="false">'Raw Data'!H935</f>
        <v>934</v>
      </c>
      <c r="B935" s="2" t="n">
        <f aca="false">'Raw Data'!A935</f>
        <v>31</v>
      </c>
      <c r="C935" s="2" t="str">
        <f aca="false">'Raw Data'!D935</f>
        <v>Research &amp; Development</v>
      </c>
      <c r="D935" s="2" t="str">
        <f aca="false">'Raw Data'!K935</f>
        <v>Sales Executive</v>
      </c>
      <c r="E935" s="2" t="n">
        <f aca="false">'Raw Data'!Q935</f>
        <v>10</v>
      </c>
      <c r="F935" s="2" t="n">
        <f aca="false">'Raw Data'!U935</f>
        <v>2</v>
      </c>
      <c r="G935" s="2" t="n">
        <f aca="false">'Raw Data'!W935</f>
        <v>4</v>
      </c>
      <c r="H935" s="2" t="n">
        <f aca="false">'Raw Data'!V935</f>
        <v>1</v>
      </c>
      <c r="I935" s="2" t="n">
        <f aca="false">IF(AND(ISNUMBER(B935),B935&lt;=25),2,0)+IF(AND(ISNUMBER(E935),E935&lt;=5),2,0)+IF(AND(ISNUMBER(F935),F935&lt;=1),2,0)+IF(AND(ISNUMBER(G935),G935&lt;=2),1,0)+IF(AND(ISNUMBER(H935),H935&lt;=2),1,0)</f>
        <v>1</v>
      </c>
      <c r="J935" s="2" t="str">
        <f aca="false">IF(I935&gt;=6,"High",IF(I935&gt;=3,"Medium","Low"))</f>
        <v>Low</v>
      </c>
    </row>
    <row r="936" customFormat="false" ht="15" hidden="false" customHeight="true" outlineLevel="0" collapsed="false">
      <c r="A936" s="2" t="n">
        <f aca="false">'Raw Data'!H936</f>
        <v>935</v>
      </c>
      <c r="B936" s="2" t="n">
        <f aca="false">'Raw Data'!A936</f>
        <v>49</v>
      </c>
      <c r="C936" s="2" t="str">
        <f aca="false">'Raw Data'!D936</f>
        <v>Research &amp; Development</v>
      </c>
      <c r="D936" s="2" t="str">
        <f aca="false">'Raw Data'!K936</f>
        <v>Laboratory Technician</v>
      </c>
      <c r="E936" s="2" t="n">
        <f aca="false">'Raw Data'!Q936</f>
        <v>17</v>
      </c>
      <c r="F936" s="2" t="n">
        <f aca="false">'Raw Data'!U936</f>
        <v>2</v>
      </c>
      <c r="G936" s="2" t="n">
        <f aca="false">'Raw Data'!W936</f>
        <v>1</v>
      </c>
      <c r="H936" s="2" t="n">
        <f aca="false">'Raw Data'!V936</f>
        <v>4</v>
      </c>
      <c r="I936" s="2" t="n">
        <f aca="false">IF(AND(ISNUMBER(B936),B936&lt;=25),2,0)+IF(AND(ISNUMBER(E936),E936&lt;=5),2,0)+IF(AND(ISNUMBER(F936),F936&lt;=1),2,0)+IF(AND(ISNUMBER(G936),G936&lt;=2),1,0)+IF(AND(ISNUMBER(H936),H936&lt;=2),1,0)</f>
        <v>1</v>
      </c>
      <c r="J936" s="2" t="str">
        <f aca="false">IF(I936&gt;=6,"High",IF(I936&gt;=3,"Medium","Low"))</f>
        <v>Low</v>
      </c>
    </row>
    <row r="937" customFormat="false" ht="15" hidden="false" customHeight="true" outlineLevel="0" collapsed="false">
      <c r="A937" s="2" t="n">
        <f aca="false">'Raw Data'!H937</f>
        <v>936</v>
      </c>
      <c r="B937" s="2" t="n">
        <f aca="false">'Raw Data'!A937</f>
        <v>38</v>
      </c>
      <c r="C937" s="2" t="str">
        <f aca="false">'Raw Data'!D937</f>
        <v>Sales</v>
      </c>
      <c r="D937" s="2" t="str">
        <f aca="false">'Raw Data'!K937</f>
        <v>Sales Executive</v>
      </c>
      <c r="E937" s="2" t="n">
        <f aca="false">'Raw Data'!Q937</f>
        <v>4</v>
      </c>
      <c r="F937" s="2" t="n">
        <f aca="false">'Raw Data'!U937</f>
        <v>3</v>
      </c>
      <c r="G937" s="2" t="n">
        <f aca="false">'Raw Data'!W937</f>
        <v>2</v>
      </c>
      <c r="H937" s="2" t="n">
        <f aca="false">'Raw Data'!V937</f>
        <v>4</v>
      </c>
      <c r="I937" s="2" t="n">
        <f aca="false">IF(AND(ISNUMBER(B937),B937&lt;=25),2,0)+IF(AND(ISNUMBER(E937),E937&lt;=5),2,0)+IF(AND(ISNUMBER(F937),F937&lt;=1),2,0)+IF(AND(ISNUMBER(G937),G937&lt;=2),1,0)+IF(AND(ISNUMBER(H937),H937&lt;=2),1,0)</f>
        <v>3</v>
      </c>
      <c r="J937" s="2" t="str">
        <f aca="false">IF(I937&gt;=6,"High",IF(I937&gt;=3,"Medium","Low"))</f>
        <v>Medium</v>
      </c>
    </row>
    <row r="938" customFormat="false" ht="15" hidden="false" customHeight="true" outlineLevel="0" collapsed="false">
      <c r="A938" s="2" t="n">
        <f aca="false">'Raw Data'!H938</f>
        <v>937</v>
      </c>
      <c r="B938" s="2" t="n">
        <f aca="false">'Raw Data'!A938</f>
        <v>47</v>
      </c>
      <c r="C938" s="2" t="str">
        <f aca="false">'Raw Data'!D938</f>
        <v>Research &amp; Development</v>
      </c>
      <c r="D938" s="2" t="str">
        <f aca="false">'Raw Data'!K938</f>
        <v>Laboratory Technician</v>
      </c>
      <c r="E938" s="2" t="n">
        <f aca="false">'Raw Data'!Q938</f>
        <v>29</v>
      </c>
      <c r="F938" s="2" t="n">
        <f aca="false">'Raw Data'!U938</f>
        <v>2</v>
      </c>
      <c r="G938" s="2" t="n">
        <f aca="false">'Raw Data'!W938</f>
        <v>2</v>
      </c>
      <c r="H938" s="2" t="n">
        <f aca="false">'Raw Data'!V938</f>
        <v>2</v>
      </c>
      <c r="I938" s="2" t="n">
        <f aca="false">IF(AND(ISNUMBER(B938),B938&lt;=25),2,0)+IF(AND(ISNUMBER(E938),E938&lt;=5),2,0)+IF(AND(ISNUMBER(F938),F938&lt;=1),2,0)+IF(AND(ISNUMBER(G938),G938&lt;=2),1,0)+IF(AND(ISNUMBER(H938),H938&lt;=2),1,0)</f>
        <v>2</v>
      </c>
      <c r="J938" s="2" t="str">
        <f aca="false">IF(I938&gt;=6,"High",IF(I938&gt;=3,"Medium","Low"))</f>
        <v>Low</v>
      </c>
    </row>
    <row r="939" customFormat="false" ht="15" hidden="false" customHeight="true" outlineLevel="0" collapsed="false">
      <c r="A939" s="2" t="n">
        <f aca="false">'Raw Data'!H939</f>
        <v>938</v>
      </c>
      <c r="B939" s="2" t="n">
        <f aca="false">'Raw Data'!A939</f>
        <v>49</v>
      </c>
      <c r="C939" s="2" t="str">
        <f aca="false">'Raw Data'!D939</f>
        <v>Research &amp; Development</v>
      </c>
      <c r="D939" s="2" t="str">
        <f aca="false">'Raw Data'!K939</f>
        <v>Manufacturing Director</v>
      </c>
      <c r="E939" s="2" t="n">
        <f aca="false">'Raw Data'!Q939</f>
        <v>23</v>
      </c>
      <c r="F939" s="2" t="n">
        <f aca="false">'Raw Data'!U939</f>
        <v>0</v>
      </c>
      <c r="G939" s="2" t="n">
        <f aca="false">'Raw Data'!W939</f>
        <v>3</v>
      </c>
      <c r="H939" s="2" t="n">
        <f aca="false">'Raw Data'!V939</f>
        <v>3</v>
      </c>
      <c r="I939" s="2" t="n">
        <f aca="false">IF(AND(ISNUMBER(B939),B939&lt;=25),2,0)+IF(AND(ISNUMBER(E939),E939&lt;=5),2,0)+IF(AND(ISNUMBER(F939),F939&lt;=1),2,0)+IF(AND(ISNUMBER(G939),G939&lt;=2),1,0)+IF(AND(ISNUMBER(H939),H939&lt;=2),1,0)</f>
        <v>2</v>
      </c>
      <c r="J939" s="2" t="str">
        <f aca="false">IF(I939&gt;=6,"High",IF(I939&gt;=3,"Medium","Low"))</f>
        <v>Low</v>
      </c>
    </row>
    <row r="940" customFormat="false" ht="15" hidden="false" customHeight="true" outlineLevel="0" collapsed="false">
      <c r="A940" s="2" t="n">
        <f aca="false">'Raw Data'!H940</f>
        <v>939</v>
      </c>
      <c r="B940" s="2" t="n">
        <f aca="false">'Raw Data'!A940</f>
        <v>41</v>
      </c>
      <c r="C940" s="2" t="str">
        <f aca="false">'Raw Data'!D940</f>
        <v>Research &amp; Development</v>
      </c>
      <c r="D940" s="2" t="str">
        <f aca="false">'Raw Data'!K940</f>
        <v>Manager</v>
      </c>
      <c r="E940" s="2" t="n">
        <f aca="false">'Raw Data'!Q940</f>
        <v>21</v>
      </c>
      <c r="F940" s="2" t="n">
        <f aca="false">'Raw Data'!U940</f>
        <v>2</v>
      </c>
      <c r="G940" s="2" t="n">
        <f aca="false">'Raw Data'!W940</f>
        <v>3</v>
      </c>
      <c r="H940" s="2" t="n">
        <f aca="false">'Raw Data'!V940</f>
        <v>4</v>
      </c>
      <c r="I940" s="2" t="n">
        <f aca="false">IF(AND(ISNUMBER(B940),B940&lt;=25),2,0)+IF(AND(ISNUMBER(E940),E940&lt;=5),2,0)+IF(AND(ISNUMBER(F940),F940&lt;=1),2,0)+IF(AND(ISNUMBER(G940),G940&lt;=2),1,0)+IF(AND(ISNUMBER(H940),H940&lt;=2),1,0)</f>
        <v>0</v>
      </c>
      <c r="J940" s="2" t="str">
        <f aca="false">IF(I940&gt;=6,"High",IF(I940&gt;=3,"Medium","Low"))</f>
        <v>Low</v>
      </c>
    </row>
    <row r="941" customFormat="false" ht="15" hidden="false" customHeight="true" outlineLevel="0" collapsed="false">
      <c r="A941" s="2" t="n">
        <f aca="false">'Raw Data'!H941</f>
        <v>940</v>
      </c>
      <c r="B941" s="2" t="n">
        <f aca="false">'Raw Data'!A941</f>
        <v>20</v>
      </c>
      <c r="C941" s="2" t="str">
        <f aca="false">'Raw Data'!D941</f>
        <v>Research &amp; Development</v>
      </c>
      <c r="D941" s="2" t="str">
        <f aca="false">'Raw Data'!K941</f>
        <v>Sales Representative</v>
      </c>
      <c r="E941" s="2" t="n">
        <f aca="false">'Raw Data'!Q941</f>
        <v>2</v>
      </c>
      <c r="F941" s="2" t="n">
        <f aca="false">'Raw Data'!U941</f>
        <v>2</v>
      </c>
      <c r="G941" s="2" t="n">
        <f aca="false">'Raw Data'!W941</f>
        <v>1</v>
      </c>
      <c r="H941" s="2" t="n">
        <f aca="false">'Raw Data'!V941</f>
        <v>4</v>
      </c>
      <c r="I941" s="2" t="n">
        <f aca="false">IF(AND(ISNUMBER(B941),B941&lt;=25),2,0)+IF(AND(ISNUMBER(E941),E941&lt;=5),2,0)+IF(AND(ISNUMBER(F941),F941&lt;=1),2,0)+IF(AND(ISNUMBER(G941),G941&lt;=2),1,0)+IF(AND(ISNUMBER(H941),H941&lt;=2),1,0)</f>
        <v>5</v>
      </c>
      <c r="J941" s="2" t="str">
        <f aca="false">IF(I941&gt;=6,"High",IF(I941&gt;=3,"Medium","Low"))</f>
        <v>Medium</v>
      </c>
    </row>
    <row r="942" customFormat="false" ht="15" hidden="false" customHeight="true" outlineLevel="0" collapsed="false">
      <c r="A942" s="2" t="n">
        <f aca="false">'Raw Data'!H942</f>
        <v>941</v>
      </c>
      <c r="B942" s="2" t="n">
        <f aca="false">'Raw Data'!A942</f>
        <v>33</v>
      </c>
      <c r="C942" s="2" t="str">
        <f aca="false">'Raw Data'!D942</f>
        <v>Research &amp; Development</v>
      </c>
      <c r="D942" s="2" t="str">
        <f aca="false">'Raw Data'!K942</f>
        <v>Healthcare Representative</v>
      </c>
      <c r="E942" s="2" t="n">
        <f aca="false">'Raw Data'!Q942</f>
        <v>7</v>
      </c>
      <c r="F942" s="2" t="n">
        <f aca="false">'Raw Data'!U942</f>
        <v>2</v>
      </c>
      <c r="G942" s="2" t="n">
        <f aca="false">'Raw Data'!W942</f>
        <v>4</v>
      </c>
      <c r="H942" s="2" t="n">
        <f aca="false">'Raw Data'!V942</f>
        <v>3</v>
      </c>
      <c r="I942" s="2" t="n">
        <f aca="false">IF(AND(ISNUMBER(B942),B942&lt;=25),2,0)+IF(AND(ISNUMBER(E942),E942&lt;=5),2,0)+IF(AND(ISNUMBER(F942),F942&lt;=1),2,0)+IF(AND(ISNUMBER(G942),G942&lt;=2),1,0)+IF(AND(ISNUMBER(H942),H942&lt;=2),1,0)</f>
        <v>0</v>
      </c>
      <c r="J942" s="2" t="str">
        <f aca="false">IF(I942&gt;=6,"High",IF(I942&gt;=3,"Medium","Low"))</f>
        <v>Low</v>
      </c>
    </row>
    <row r="943" customFormat="false" ht="15" hidden="false" customHeight="true" outlineLevel="0" collapsed="false">
      <c r="A943" s="2" t="n">
        <f aca="false">'Raw Data'!H943</f>
        <v>942</v>
      </c>
      <c r="B943" s="2" t="n">
        <f aca="false">'Raw Data'!A943</f>
        <v>36</v>
      </c>
      <c r="C943" s="2" t="str">
        <f aca="false">'Raw Data'!D943</f>
        <v>Research &amp; Development</v>
      </c>
      <c r="D943" s="2" t="str">
        <f aca="false">'Raw Data'!K943</f>
        <v>Sales Executive</v>
      </c>
      <c r="E943" s="2" t="n">
        <f aca="false">'Raw Data'!Q943</f>
        <v>10</v>
      </c>
      <c r="F943" s="2" t="n">
        <f aca="false">'Raw Data'!U943</f>
        <v>2</v>
      </c>
      <c r="G943" s="2" t="n">
        <f aca="false">'Raw Data'!W943</f>
        <v>3</v>
      </c>
      <c r="H943" s="2" t="n">
        <f aca="false">'Raw Data'!V943</f>
        <v>1</v>
      </c>
      <c r="I943" s="2" t="n">
        <f aca="false">IF(AND(ISNUMBER(B943),B943&lt;=25),2,0)+IF(AND(ISNUMBER(E943),E943&lt;=5),2,0)+IF(AND(ISNUMBER(F943),F943&lt;=1),2,0)+IF(AND(ISNUMBER(G943),G943&lt;=2),1,0)+IF(AND(ISNUMBER(H943),H943&lt;=2),1,0)</f>
        <v>1</v>
      </c>
      <c r="J943" s="2" t="str">
        <f aca="false">IF(I943&gt;=6,"High",IF(I943&gt;=3,"Medium","Low"))</f>
        <v>Low</v>
      </c>
    </row>
    <row r="944" customFormat="false" ht="15" hidden="false" customHeight="true" outlineLevel="0" collapsed="false">
      <c r="A944" s="2" t="n">
        <f aca="false">'Raw Data'!H944</f>
        <v>943</v>
      </c>
      <c r="B944" s="2" t="n">
        <f aca="false">'Raw Data'!A944</f>
        <v>44</v>
      </c>
      <c r="C944" s="2" t="str">
        <f aca="false">'Raw Data'!D944</f>
        <v>Research &amp; Development</v>
      </c>
      <c r="D944" s="2" t="str">
        <f aca="false">'Raw Data'!K944</f>
        <v>Healthcare Representative</v>
      </c>
      <c r="E944" s="2" t="n">
        <f aca="false">'Raw Data'!Q944</f>
        <v>8</v>
      </c>
      <c r="F944" s="2" t="n">
        <f aca="false">'Raw Data'!U944</f>
        <v>2</v>
      </c>
      <c r="G944" s="2" t="n">
        <f aca="false">'Raw Data'!W944</f>
        <v>4</v>
      </c>
      <c r="H944" s="2" t="n">
        <f aca="false">'Raw Data'!V944</f>
        <v>3</v>
      </c>
      <c r="I944" s="2" t="n">
        <f aca="false">IF(AND(ISNUMBER(B944),B944&lt;=25),2,0)+IF(AND(ISNUMBER(E944),E944&lt;=5),2,0)+IF(AND(ISNUMBER(F944),F944&lt;=1),2,0)+IF(AND(ISNUMBER(G944),G944&lt;=2),1,0)+IF(AND(ISNUMBER(H944),H944&lt;=2),1,0)</f>
        <v>0</v>
      </c>
      <c r="J944" s="2" t="str">
        <f aca="false">IF(I944&gt;=6,"High",IF(I944&gt;=3,"Medium","Low"))</f>
        <v>Low</v>
      </c>
    </row>
    <row r="945" customFormat="false" ht="15" hidden="false" customHeight="true" outlineLevel="0" collapsed="false">
      <c r="A945" s="2" t="n">
        <f aca="false">'Raw Data'!H945</f>
        <v>944</v>
      </c>
      <c r="B945" s="2" t="n">
        <f aca="false">'Raw Data'!A945</f>
        <v>23</v>
      </c>
      <c r="C945" s="2" t="str">
        <f aca="false">'Raw Data'!D945</f>
        <v>Human Resources</v>
      </c>
      <c r="D945" s="2" t="str">
        <f aca="false">'Raw Data'!K945</f>
        <v>Laboratory Technician</v>
      </c>
      <c r="E945" s="2" t="n">
        <f aca="false">'Raw Data'!Q945</f>
        <v>5</v>
      </c>
      <c r="F945" s="2" t="n">
        <f aca="false">'Raw Data'!U945</f>
        <v>2</v>
      </c>
      <c r="G945" s="2" t="n">
        <f aca="false">'Raw Data'!W945</f>
        <v>3</v>
      </c>
      <c r="H945" s="2" t="n">
        <f aca="false">'Raw Data'!V945</f>
        <v>4</v>
      </c>
      <c r="I945" s="2" t="n">
        <f aca="false">IF(AND(ISNUMBER(B945),B945&lt;=25),2,0)+IF(AND(ISNUMBER(E945),E945&lt;=5),2,0)+IF(AND(ISNUMBER(F945),F945&lt;=1),2,0)+IF(AND(ISNUMBER(G945),G945&lt;=2),1,0)+IF(AND(ISNUMBER(H945),H945&lt;=2),1,0)</f>
        <v>4</v>
      </c>
      <c r="J945" s="2" t="str">
        <f aca="false">IF(I945&gt;=6,"High",IF(I945&gt;=3,"Medium","Low"))</f>
        <v>Medium</v>
      </c>
    </row>
    <row r="946" customFormat="false" ht="15" hidden="false" customHeight="true" outlineLevel="0" collapsed="false">
      <c r="A946" s="2" t="n">
        <f aca="false">'Raw Data'!H946</f>
        <v>945</v>
      </c>
      <c r="B946" s="2" t="n">
        <f aca="false">'Raw Data'!A946</f>
        <v>38</v>
      </c>
      <c r="C946" s="2" t="str">
        <f aca="false">'Raw Data'!D946</f>
        <v>Research &amp; Development</v>
      </c>
      <c r="D946" s="2" t="str">
        <f aca="false">'Raw Data'!K946</f>
        <v>Sales Executive</v>
      </c>
      <c r="E946" s="2" t="n">
        <f aca="false">'Raw Data'!Q946</f>
        <v>7</v>
      </c>
      <c r="F946" s="2" t="n">
        <f aca="false">'Raw Data'!U946</f>
        <v>0</v>
      </c>
      <c r="G946" s="2" t="n">
        <f aca="false">'Raw Data'!W946</f>
        <v>3</v>
      </c>
      <c r="H946" s="2" t="n">
        <f aca="false">'Raw Data'!V946</f>
        <v>4</v>
      </c>
      <c r="I946" s="2" t="n">
        <f aca="false">IF(AND(ISNUMBER(B946),B946&lt;=25),2,0)+IF(AND(ISNUMBER(E946),E946&lt;=5),2,0)+IF(AND(ISNUMBER(F946),F946&lt;=1),2,0)+IF(AND(ISNUMBER(G946),G946&lt;=2),1,0)+IF(AND(ISNUMBER(H946),H946&lt;=2),1,0)</f>
        <v>2</v>
      </c>
      <c r="J946" s="2" t="str">
        <f aca="false">IF(I946&gt;=6,"High",IF(I946&gt;=3,"Medium","Low"))</f>
        <v>Low</v>
      </c>
    </row>
    <row r="947" customFormat="false" ht="15" hidden="false" customHeight="true" outlineLevel="0" collapsed="false">
      <c r="A947" s="2" t="n">
        <f aca="false">'Raw Data'!H947</f>
        <v>946</v>
      </c>
      <c r="B947" s="2" t="n">
        <f aca="false">'Raw Data'!A947</f>
        <v>53</v>
      </c>
      <c r="C947" s="2" t="str">
        <f aca="false">'Raw Data'!D947</f>
        <v>Research &amp; Development</v>
      </c>
      <c r="D947" s="2" t="str">
        <f aca="false">'Raw Data'!K947</f>
        <v>Research Director</v>
      </c>
      <c r="E947" s="2" t="n">
        <f aca="false">'Raw Data'!Q947</f>
        <v>11</v>
      </c>
      <c r="F947" s="2" t="n">
        <f aca="false">'Raw Data'!U947</f>
        <v>2</v>
      </c>
      <c r="G947" s="2" t="n">
        <f aca="false">'Raw Data'!W947</f>
        <v>4</v>
      </c>
      <c r="H947" s="2" t="n">
        <f aca="false">'Raw Data'!V947</f>
        <v>2</v>
      </c>
      <c r="I947" s="2" t="n">
        <f aca="false">IF(AND(ISNUMBER(B947),B947&lt;=25),2,0)+IF(AND(ISNUMBER(E947),E947&lt;=5),2,0)+IF(AND(ISNUMBER(F947),F947&lt;=1),2,0)+IF(AND(ISNUMBER(G947),G947&lt;=2),1,0)+IF(AND(ISNUMBER(H947),H947&lt;=2),1,0)</f>
        <v>1</v>
      </c>
      <c r="J947" s="2" t="str">
        <f aca="false">IF(I947&gt;=6,"High",IF(I947&gt;=3,"Medium","Low"))</f>
        <v>Low</v>
      </c>
    </row>
    <row r="948" customFormat="false" ht="15" hidden="false" customHeight="true" outlineLevel="0" collapsed="false">
      <c r="A948" s="2" t="n">
        <f aca="false">'Raw Data'!H948</f>
        <v>947</v>
      </c>
      <c r="B948" s="2" t="n">
        <f aca="false">'Raw Data'!A948</f>
        <v>48</v>
      </c>
      <c r="C948" s="2" t="str">
        <f aca="false">'Raw Data'!D948</f>
        <v>Sales</v>
      </c>
      <c r="D948" s="2" t="str">
        <f aca="false">'Raw Data'!K948</f>
        <v>Healthcare Representative</v>
      </c>
      <c r="E948" s="2" t="n">
        <f aca="false">'Raw Data'!Q948</f>
        <v>19</v>
      </c>
      <c r="F948" s="2" t="n">
        <f aca="false">'Raw Data'!U948</f>
        <v>7</v>
      </c>
      <c r="G948" s="2" t="n">
        <f aca="false">'Raw Data'!W948</f>
        <v>3</v>
      </c>
      <c r="H948" s="2" t="n">
        <f aca="false">'Raw Data'!V948</f>
        <v>4</v>
      </c>
      <c r="I948" s="2" t="n">
        <f aca="false">IF(AND(ISNUMBER(B948),B948&lt;=25),2,0)+IF(AND(ISNUMBER(E948),E948&lt;=5),2,0)+IF(AND(ISNUMBER(F948),F948&lt;=1),2,0)+IF(AND(ISNUMBER(G948),G948&lt;=2),1,0)+IF(AND(ISNUMBER(H948),H948&lt;=2),1,0)</f>
        <v>0</v>
      </c>
      <c r="J948" s="2" t="str">
        <f aca="false">IF(I948&gt;=6,"High",IF(I948&gt;=3,"Medium","Low"))</f>
        <v>Low</v>
      </c>
    </row>
    <row r="949" customFormat="false" ht="15" hidden="false" customHeight="true" outlineLevel="0" collapsed="false">
      <c r="A949" s="2" t="n">
        <f aca="false">'Raw Data'!H949</f>
        <v>948</v>
      </c>
      <c r="B949" s="2" t="n">
        <f aca="false">'Raw Data'!A949</f>
        <v>32</v>
      </c>
      <c r="C949" s="2" t="str">
        <f aca="false">'Raw Data'!D949</f>
        <v>Sales</v>
      </c>
      <c r="D949" s="2" t="str">
        <f aca="false">'Raw Data'!K949</f>
        <v>Research Scientist</v>
      </c>
      <c r="E949" s="2" t="n">
        <f aca="false">'Raw Data'!Q949</f>
        <v>1</v>
      </c>
      <c r="F949" s="2" t="n">
        <f aca="false">'Raw Data'!U949</f>
        <v>0</v>
      </c>
      <c r="G949" s="2" t="n">
        <f aca="false">'Raw Data'!W949</f>
        <v>2</v>
      </c>
      <c r="H949" s="2" t="n">
        <f aca="false">'Raw Data'!V949</f>
        <v>4</v>
      </c>
      <c r="I949" s="2" t="n">
        <f aca="false">IF(AND(ISNUMBER(B949),B949&lt;=25),2,0)+IF(AND(ISNUMBER(E949),E949&lt;=5),2,0)+IF(AND(ISNUMBER(F949),F949&lt;=1),2,0)+IF(AND(ISNUMBER(G949),G949&lt;=2),1,0)+IF(AND(ISNUMBER(H949),H949&lt;=2),1,0)</f>
        <v>5</v>
      </c>
      <c r="J949" s="2" t="str">
        <f aca="false">IF(I949&gt;=6,"High",IF(I949&gt;=3,"Medium","Low"))</f>
        <v>Medium</v>
      </c>
    </row>
    <row r="950" customFormat="false" ht="15" hidden="false" customHeight="true" outlineLevel="0" collapsed="false">
      <c r="A950" s="2" t="n">
        <f aca="false">'Raw Data'!H950</f>
        <v>949</v>
      </c>
      <c r="B950" s="2" t="n">
        <f aca="false">'Raw Data'!A950</f>
        <v>26</v>
      </c>
      <c r="C950" s="2" t="str">
        <f aca="false">'Raw Data'!D950</f>
        <v>Research &amp; Development</v>
      </c>
      <c r="D950" s="2" t="str">
        <f aca="false">'Raw Data'!K950</f>
        <v>Human Resources</v>
      </c>
      <c r="E950" s="2" t="n">
        <f aca="false">'Raw Data'!Q950</f>
        <v>7</v>
      </c>
      <c r="F950" s="2" t="n">
        <f aca="false">'Raw Data'!U950</f>
        <v>7</v>
      </c>
      <c r="G950" s="2" t="n">
        <f aca="false">'Raw Data'!W950</f>
        <v>4</v>
      </c>
      <c r="H950" s="2" t="n">
        <f aca="false">'Raw Data'!V950</f>
        <v>4</v>
      </c>
      <c r="I950" s="2" t="n">
        <f aca="false">IF(AND(ISNUMBER(B950),B950&lt;=25),2,0)+IF(AND(ISNUMBER(E950),E950&lt;=5),2,0)+IF(AND(ISNUMBER(F950),F950&lt;=1),2,0)+IF(AND(ISNUMBER(G950),G950&lt;=2),1,0)+IF(AND(ISNUMBER(H950),H950&lt;=2),1,0)</f>
        <v>0</v>
      </c>
      <c r="J950" s="2" t="str">
        <f aca="false">IF(I950&gt;=6,"High",IF(I950&gt;=3,"Medium","Low"))</f>
        <v>Low</v>
      </c>
    </row>
    <row r="951" customFormat="false" ht="15" hidden="false" customHeight="true" outlineLevel="0" collapsed="false">
      <c r="A951" s="2" t="n">
        <f aca="false">'Raw Data'!H951</f>
        <v>950</v>
      </c>
      <c r="B951" s="2" t="n">
        <f aca="false">'Raw Data'!A951</f>
        <v>55</v>
      </c>
      <c r="C951" s="2" t="str">
        <f aca="false">'Raw Data'!D951</f>
        <v>Research &amp; Development</v>
      </c>
      <c r="D951" s="2" t="str">
        <f aca="false">'Raw Data'!K951</f>
        <v>Laboratory Technician</v>
      </c>
      <c r="E951" s="2" t="n">
        <f aca="false">'Raw Data'!Q951</f>
        <v>8</v>
      </c>
      <c r="F951" s="2" t="n">
        <f aca="false">'Raw Data'!U951</f>
        <v>2</v>
      </c>
      <c r="G951" s="2" t="n">
        <f aca="false">'Raw Data'!W951</f>
        <v>2</v>
      </c>
      <c r="H951" s="2" t="n">
        <f aca="false">'Raw Data'!V951</f>
        <v>1</v>
      </c>
      <c r="I951" s="2" t="n">
        <f aca="false">IF(AND(ISNUMBER(B951),B951&lt;=25),2,0)+IF(AND(ISNUMBER(E951),E951&lt;=5),2,0)+IF(AND(ISNUMBER(F951),F951&lt;=1),2,0)+IF(AND(ISNUMBER(G951),G951&lt;=2),1,0)+IF(AND(ISNUMBER(H951),H951&lt;=2),1,0)</f>
        <v>2</v>
      </c>
      <c r="J951" s="2" t="str">
        <f aca="false">IF(I951&gt;=6,"High",IF(I951&gt;=3,"Medium","Low"))</f>
        <v>Low</v>
      </c>
    </row>
    <row r="952" customFormat="false" ht="15" hidden="false" customHeight="true" outlineLevel="0" collapsed="false">
      <c r="A952" s="2" t="n">
        <f aca="false">'Raw Data'!H952</f>
        <v>951</v>
      </c>
      <c r="B952" s="2" t="n">
        <f aca="false">'Raw Data'!A952</f>
        <v>34</v>
      </c>
      <c r="C952" s="2" t="str">
        <f aca="false">'Raw Data'!D952</f>
        <v>Sales</v>
      </c>
      <c r="D952" s="2" t="str">
        <f aca="false">'Raw Data'!K952</f>
        <v>Research Scientist</v>
      </c>
      <c r="E952" s="2" t="n">
        <f aca="false">'Raw Data'!Q952</f>
        <v>15</v>
      </c>
      <c r="F952" s="2" t="n">
        <f aca="false">'Raw Data'!U952</f>
        <v>13</v>
      </c>
      <c r="G952" s="2" t="n">
        <f aca="false">'Raw Data'!W952</f>
        <v>4</v>
      </c>
      <c r="H952" s="2" t="n">
        <f aca="false">'Raw Data'!V952</f>
        <v>2</v>
      </c>
      <c r="I952" s="2" t="n">
        <f aca="false">IF(AND(ISNUMBER(B952),B952&lt;=25),2,0)+IF(AND(ISNUMBER(E952),E952&lt;=5),2,0)+IF(AND(ISNUMBER(F952),F952&lt;=1),2,0)+IF(AND(ISNUMBER(G952),G952&lt;=2),1,0)+IF(AND(ISNUMBER(H952),H952&lt;=2),1,0)</f>
        <v>1</v>
      </c>
      <c r="J952" s="2" t="str">
        <f aca="false">IF(I952&gt;=6,"High",IF(I952&gt;=3,"Medium","Low"))</f>
        <v>Low</v>
      </c>
    </row>
    <row r="953" customFormat="false" ht="15" hidden="false" customHeight="true" outlineLevel="0" collapsed="false">
      <c r="A953" s="2" t="n">
        <f aca="false">'Raw Data'!H953</f>
        <v>952</v>
      </c>
      <c r="B953" s="2" t="n">
        <f aca="false">'Raw Data'!A953</f>
        <v>60</v>
      </c>
      <c r="C953" s="2" t="str">
        <f aca="false">'Raw Data'!D953</f>
        <v>Sales</v>
      </c>
      <c r="D953" s="2" t="str">
        <f aca="false">'Raw Data'!K953</f>
        <v>Manager</v>
      </c>
      <c r="E953" s="2" t="n">
        <f aca="false">'Raw Data'!Q953</f>
        <v>19</v>
      </c>
      <c r="F953" s="2" t="n">
        <f aca="false">'Raw Data'!U953</f>
        <v>0</v>
      </c>
      <c r="G953" s="2" t="n">
        <f aca="false">'Raw Data'!W953</f>
        <v>4</v>
      </c>
      <c r="H953" s="2" t="n">
        <f aca="false">'Raw Data'!V953</f>
        <v>3</v>
      </c>
      <c r="I953" s="2" t="n">
        <f aca="false">IF(AND(ISNUMBER(B953),B953&lt;=25),2,0)+IF(AND(ISNUMBER(E953),E953&lt;=5),2,0)+IF(AND(ISNUMBER(F953),F953&lt;=1),2,0)+IF(AND(ISNUMBER(G953),G953&lt;=2),1,0)+IF(AND(ISNUMBER(H953),H953&lt;=2),1,0)</f>
        <v>2</v>
      </c>
      <c r="J953" s="2" t="str">
        <f aca="false">IF(I953&gt;=6,"High",IF(I953&gt;=3,"Medium","Low"))</f>
        <v>Low</v>
      </c>
    </row>
    <row r="954" customFormat="false" ht="15" hidden="false" customHeight="true" outlineLevel="0" collapsed="false">
      <c r="A954" s="2" t="n">
        <f aca="false">'Raw Data'!H954</f>
        <v>953</v>
      </c>
      <c r="B954" s="2" t="n">
        <f aca="false">'Raw Data'!A954</f>
        <v>33</v>
      </c>
      <c r="C954" s="2" t="str">
        <f aca="false">'Raw Data'!D954</f>
        <v>Sales</v>
      </c>
      <c r="D954" s="2" t="str">
        <f aca="false">'Raw Data'!K954</f>
        <v>Manager</v>
      </c>
      <c r="E954" s="2" t="n">
        <f aca="false">'Raw Data'!Q954</f>
        <v>14</v>
      </c>
      <c r="F954" s="2" t="n">
        <f aca="false">'Raw Data'!U954</f>
        <v>13</v>
      </c>
      <c r="G954" s="2" t="n">
        <f aca="false">'Raw Data'!W954</f>
        <v>2</v>
      </c>
      <c r="H954" s="2" t="n">
        <f aca="false">'Raw Data'!V954</f>
        <v>2</v>
      </c>
      <c r="I954" s="2" t="n">
        <f aca="false">IF(AND(ISNUMBER(B954),B954&lt;=25),2,0)+IF(AND(ISNUMBER(E954),E954&lt;=5),2,0)+IF(AND(ISNUMBER(F954),F954&lt;=1),2,0)+IF(AND(ISNUMBER(G954),G954&lt;=2),1,0)+IF(AND(ISNUMBER(H954),H954&lt;=2),1,0)</f>
        <v>2</v>
      </c>
      <c r="J954" s="2" t="str">
        <f aca="false">IF(I954&gt;=6,"High",IF(I954&gt;=3,"Medium","Low"))</f>
        <v>Low</v>
      </c>
    </row>
    <row r="955" customFormat="false" ht="15" hidden="false" customHeight="true" outlineLevel="0" collapsed="false">
      <c r="A955" s="2" t="n">
        <f aca="false">'Raw Data'!H955</f>
        <v>954</v>
      </c>
      <c r="B955" s="2" t="n">
        <f aca="false">'Raw Data'!A955</f>
        <v>37</v>
      </c>
      <c r="C955" s="2" t="str">
        <f aca="false">'Raw Data'!D955</f>
        <v>Research &amp; Development</v>
      </c>
      <c r="D955" s="2" t="str">
        <f aca="false">'Raw Data'!K955</f>
        <v>Laboratory Technician</v>
      </c>
      <c r="E955" s="2" t="n">
        <f aca="false">'Raw Data'!Q955</f>
        <v>6</v>
      </c>
      <c r="F955" s="2" t="n">
        <f aca="false">'Raw Data'!U955</f>
        <v>3</v>
      </c>
      <c r="G955" s="2" t="n">
        <f aca="false">'Raw Data'!W955</f>
        <v>4</v>
      </c>
      <c r="H955" s="2" t="n">
        <f aca="false">'Raw Data'!V955</f>
        <v>3</v>
      </c>
      <c r="I955" s="2" t="n">
        <f aca="false">IF(AND(ISNUMBER(B955),B955&lt;=25),2,0)+IF(AND(ISNUMBER(E955),E955&lt;=5),2,0)+IF(AND(ISNUMBER(F955),F955&lt;=1),2,0)+IF(AND(ISNUMBER(G955),G955&lt;=2),1,0)+IF(AND(ISNUMBER(H955),H955&lt;=2),1,0)</f>
        <v>0</v>
      </c>
      <c r="J955" s="2" t="str">
        <f aca="false">IF(I955&gt;=6,"High",IF(I955&gt;=3,"Medium","Low"))</f>
        <v>Low</v>
      </c>
    </row>
    <row r="956" customFormat="false" ht="15" hidden="false" customHeight="true" outlineLevel="0" collapsed="false">
      <c r="A956" s="2" t="n">
        <f aca="false">'Raw Data'!H956</f>
        <v>955</v>
      </c>
      <c r="B956" s="2" t="n">
        <f aca="false">'Raw Data'!A956</f>
        <v>34</v>
      </c>
      <c r="C956" s="2" t="str">
        <f aca="false">'Raw Data'!D956</f>
        <v>Research &amp; Development</v>
      </c>
      <c r="D956" s="2" t="str">
        <f aca="false">'Raw Data'!K956</f>
        <v>Healthcare Representative</v>
      </c>
      <c r="E956" s="2" t="n">
        <f aca="false">'Raw Data'!Q956</f>
        <v>10</v>
      </c>
      <c r="F956" s="2" t="n">
        <f aca="false">'Raw Data'!U956</f>
        <v>7</v>
      </c>
      <c r="G956" s="2" t="n">
        <f aca="false">'Raw Data'!W956</f>
        <v>4</v>
      </c>
      <c r="H956" s="2" t="n">
        <f aca="false">'Raw Data'!V956</f>
        <v>2</v>
      </c>
      <c r="I956" s="2" t="n">
        <f aca="false">IF(AND(ISNUMBER(B956),B956&lt;=25),2,0)+IF(AND(ISNUMBER(E956),E956&lt;=5),2,0)+IF(AND(ISNUMBER(F956),F956&lt;=1),2,0)+IF(AND(ISNUMBER(G956),G956&lt;=2),1,0)+IF(AND(ISNUMBER(H956),H956&lt;=2),1,0)</f>
        <v>1</v>
      </c>
      <c r="J956" s="2" t="str">
        <f aca="false">IF(I956&gt;=6,"High",IF(I956&gt;=3,"Medium","Low"))</f>
        <v>Low</v>
      </c>
    </row>
    <row r="957" customFormat="false" ht="15" hidden="false" customHeight="true" outlineLevel="0" collapsed="false">
      <c r="A957" s="2" t="n">
        <f aca="false">'Raw Data'!H957</f>
        <v>956</v>
      </c>
      <c r="B957" s="2" t="n">
        <f aca="false">'Raw Data'!A957</f>
        <v>23</v>
      </c>
      <c r="C957" s="2" t="str">
        <f aca="false">'Raw Data'!D957</f>
        <v>Research &amp; Development</v>
      </c>
      <c r="D957" s="2" t="str">
        <f aca="false">'Raw Data'!K957</f>
        <v>Research Scientist</v>
      </c>
      <c r="E957" s="2" t="n">
        <f aca="false">'Raw Data'!Q957</f>
        <v>3</v>
      </c>
      <c r="F957" s="2" t="n">
        <f aca="false">'Raw Data'!U957</f>
        <v>2</v>
      </c>
      <c r="G957" s="2" t="n">
        <f aca="false">'Raw Data'!W957</f>
        <v>4</v>
      </c>
      <c r="H957" s="2" t="n">
        <f aca="false">'Raw Data'!V957</f>
        <v>3</v>
      </c>
      <c r="I957" s="2" t="n">
        <f aca="false">IF(AND(ISNUMBER(B957),B957&lt;=25),2,0)+IF(AND(ISNUMBER(E957),E957&lt;=5),2,0)+IF(AND(ISNUMBER(F957),F957&lt;=1),2,0)+IF(AND(ISNUMBER(G957),G957&lt;=2),1,0)+IF(AND(ISNUMBER(H957),H957&lt;=2),1,0)</f>
        <v>4</v>
      </c>
      <c r="J957" s="2" t="str">
        <f aca="false">IF(I957&gt;=6,"High",IF(I957&gt;=3,"Medium","Low"))</f>
        <v>Medium</v>
      </c>
    </row>
    <row r="958" customFormat="false" ht="15" hidden="false" customHeight="true" outlineLevel="0" collapsed="false">
      <c r="A958" s="2" t="n">
        <f aca="false">'Raw Data'!H958</f>
        <v>957</v>
      </c>
      <c r="B958" s="2" t="n">
        <f aca="false">'Raw Data'!A958</f>
        <v>44</v>
      </c>
      <c r="C958" s="2" t="str">
        <f aca="false">'Raw Data'!D958</f>
        <v>Human Resources</v>
      </c>
      <c r="D958" s="2" t="str">
        <f aca="false">'Raw Data'!K958</f>
        <v>Research Scientist</v>
      </c>
      <c r="E958" s="2" t="n">
        <f aca="false">'Raw Data'!Q958</f>
        <v>9</v>
      </c>
      <c r="F958" s="2" t="n">
        <f aca="false">'Raw Data'!U958</f>
        <v>7</v>
      </c>
      <c r="G958" s="2" t="n">
        <f aca="false">'Raw Data'!W958</f>
        <v>4</v>
      </c>
      <c r="H958" s="2" t="n">
        <f aca="false">'Raw Data'!V958</f>
        <v>3</v>
      </c>
      <c r="I958" s="2" t="n">
        <f aca="false">IF(AND(ISNUMBER(B958),B958&lt;=25),2,0)+IF(AND(ISNUMBER(E958),E958&lt;=5),2,0)+IF(AND(ISNUMBER(F958),F958&lt;=1),2,0)+IF(AND(ISNUMBER(G958),G958&lt;=2),1,0)+IF(AND(ISNUMBER(H958),H958&lt;=2),1,0)</f>
        <v>0</v>
      </c>
      <c r="J958" s="2" t="str">
        <f aca="false">IF(I958&gt;=6,"High",IF(I958&gt;=3,"Medium","Low"))</f>
        <v>Low</v>
      </c>
    </row>
    <row r="959" customFormat="false" ht="15" hidden="false" customHeight="true" outlineLevel="0" collapsed="false">
      <c r="A959" s="2" t="n">
        <f aca="false">'Raw Data'!H959</f>
        <v>958</v>
      </c>
      <c r="B959" s="2" t="n">
        <f aca="false">'Raw Data'!A959</f>
        <v>35</v>
      </c>
      <c r="C959" s="2" t="str">
        <f aca="false">'Raw Data'!D959</f>
        <v>Research &amp; Development</v>
      </c>
      <c r="D959" s="2" t="str">
        <f aca="false">'Raw Data'!K959</f>
        <v>Sales Executive</v>
      </c>
      <c r="E959" s="2" t="n">
        <f aca="false">'Raw Data'!Q959</f>
        <v>6</v>
      </c>
      <c r="F959" s="2" t="n">
        <f aca="false">'Raw Data'!U959</f>
        <v>4</v>
      </c>
      <c r="G959" s="2" t="n">
        <f aca="false">'Raw Data'!W959</f>
        <v>4</v>
      </c>
      <c r="H959" s="2" t="n">
        <f aca="false">'Raw Data'!V959</f>
        <v>1</v>
      </c>
      <c r="I959" s="2" t="n">
        <f aca="false">IF(AND(ISNUMBER(B959),B959&lt;=25),2,0)+IF(AND(ISNUMBER(E959),E959&lt;=5),2,0)+IF(AND(ISNUMBER(F959),F959&lt;=1),2,0)+IF(AND(ISNUMBER(G959),G959&lt;=2),1,0)+IF(AND(ISNUMBER(H959),H959&lt;=2),1,0)</f>
        <v>1</v>
      </c>
      <c r="J959" s="2" t="str">
        <f aca="false">IF(I959&gt;=6,"High",IF(I959&gt;=3,"Medium","Low"))</f>
        <v>Low</v>
      </c>
    </row>
    <row r="960" customFormat="false" ht="15" hidden="false" customHeight="true" outlineLevel="0" collapsed="false">
      <c r="A960" s="2" t="n">
        <f aca="false">'Raw Data'!H960</f>
        <v>959</v>
      </c>
      <c r="B960" s="2" t="n">
        <f aca="false">'Raw Data'!A960</f>
        <v>43</v>
      </c>
      <c r="C960" s="2" t="str">
        <f aca="false">'Raw Data'!D960</f>
        <v>Research &amp; Development</v>
      </c>
      <c r="D960" s="2" t="str">
        <f aca="false">'Raw Data'!K960</f>
        <v>Sales Executive</v>
      </c>
      <c r="E960" s="2" t="n">
        <f aca="false">'Raw Data'!Q960</f>
        <v>10</v>
      </c>
      <c r="F960" s="2" t="n">
        <f aca="false">'Raw Data'!U960</f>
        <v>8</v>
      </c>
      <c r="G960" s="2" t="n">
        <f aca="false">'Raw Data'!W960</f>
        <v>4</v>
      </c>
      <c r="H960" s="2" t="n">
        <f aca="false">'Raw Data'!V960</f>
        <v>4</v>
      </c>
      <c r="I960" s="2" t="n">
        <f aca="false">IF(AND(ISNUMBER(B960),B960&lt;=25),2,0)+IF(AND(ISNUMBER(E960),E960&lt;=5),2,0)+IF(AND(ISNUMBER(F960),F960&lt;=1),2,0)+IF(AND(ISNUMBER(G960),G960&lt;=2),1,0)+IF(AND(ISNUMBER(H960),H960&lt;=2),1,0)</f>
        <v>0</v>
      </c>
      <c r="J960" s="2" t="str">
        <f aca="false">IF(I960&gt;=6,"High",IF(I960&gt;=3,"Medium","Low"))</f>
        <v>Low</v>
      </c>
    </row>
    <row r="961" customFormat="false" ht="15" hidden="false" customHeight="true" outlineLevel="0" collapsed="false">
      <c r="A961" s="2" t="n">
        <f aca="false">'Raw Data'!H961</f>
        <v>960</v>
      </c>
      <c r="B961" s="2" t="n">
        <f aca="false">'Raw Data'!A961</f>
        <v>24</v>
      </c>
      <c r="C961" s="2" t="str">
        <f aca="false">'Raw Data'!D961</f>
        <v>Research &amp; Development</v>
      </c>
      <c r="D961" s="2" t="str">
        <f aca="false">'Raw Data'!K961</f>
        <v>Sales Executive</v>
      </c>
      <c r="E961" s="2" t="n">
        <f aca="false">'Raw Data'!Q961</f>
        <v>5</v>
      </c>
      <c r="F961" s="2" t="n">
        <f aca="false">'Raw Data'!U961</f>
        <v>4</v>
      </c>
      <c r="G961" s="2" t="n">
        <f aca="false">'Raw Data'!W961</f>
        <v>3</v>
      </c>
      <c r="H961" s="2" t="n">
        <f aca="false">'Raw Data'!V961</f>
        <v>3</v>
      </c>
      <c r="I961" s="2" t="n">
        <f aca="false">IF(AND(ISNUMBER(B961),B961&lt;=25),2,0)+IF(AND(ISNUMBER(E961),E961&lt;=5),2,0)+IF(AND(ISNUMBER(F961),F961&lt;=1),2,0)+IF(AND(ISNUMBER(G961),G961&lt;=2),1,0)+IF(AND(ISNUMBER(H961),H961&lt;=2),1,0)</f>
        <v>4</v>
      </c>
      <c r="J961" s="2" t="str">
        <f aca="false">IF(I961&gt;=6,"High",IF(I961&gt;=3,"Medium","Low"))</f>
        <v>Medium</v>
      </c>
    </row>
    <row r="962" customFormat="false" ht="15" hidden="false" customHeight="true" outlineLevel="0" collapsed="false">
      <c r="A962" s="2" t="n">
        <f aca="false">'Raw Data'!H962</f>
        <v>961</v>
      </c>
      <c r="B962" s="2" t="n">
        <f aca="false">'Raw Data'!A962</f>
        <v>41</v>
      </c>
      <c r="C962" s="2" t="str">
        <f aca="false">'Raw Data'!D962</f>
        <v>Sales</v>
      </c>
      <c r="D962" s="2" t="str">
        <f aca="false">'Raw Data'!K962</f>
        <v>Research Scientist</v>
      </c>
      <c r="E962" s="2" t="n">
        <f aca="false">'Raw Data'!Q962</f>
        <v>10</v>
      </c>
      <c r="F962" s="2" t="n">
        <f aca="false">'Raw Data'!U962</f>
        <v>7</v>
      </c>
      <c r="G962" s="2" t="n">
        <f aca="false">'Raw Data'!W962</f>
        <v>3</v>
      </c>
      <c r="H962" s="2" t="n">
        <f aca="false">'Raw Data'!V962</f>
        <v>4</v>
      </c>
      <c r="I962" s="2" t="n">
        <f aca="false">IF(AND(ISNUMBER(B962),B962&lt;=25),2,0)+IF(AND(ISNUMBER(E962),E962&lt;=5),2,0)+IF(AND(ISNUMBER(F962),F962&lt;=1),2,0)+IF(AND(ISNUMBER(G962),G962&lt;=2),1,0)+IF(AND(ISNUMBER(H962),H962&lt;=2),1,0)</f>
        <v>0</v>
      </c>
      <c r="J962" s="2" t="str">
        <f aca="false">IF(I962&gt;=6,"High",IF(I962&gt;=3,"Medium","Low"))</f>
        <v>Low</v>
      </c>
    </row>
    <row r="963" customFormat="false" ht="15" hidden="false" customHeight="true" outlineLevel="0" collapsed="false">
      <c r="A963" s="2" t="n">
        <f aca="false">'Raw Data'!H963</f>
        <v>962</v>
      </c>
      <c r="B963" s="2" t="n">
        <f aca="false">'Raw Data'!A963</f>
        <v>29</v>
      </c>
      <c r="C963" s="2" t="str">
        <f aca="false">'Raw Data'!D963</f>
        <v>Research &amp; Development</v>
      </c>
      <c r="D963" s="2" t="str">
        <f aca="false">'Raw Data'!K963</f>
        <v>Research Scientist</v>
      </c>
      <c r="E963" s="2" t="n">
        <f aca="false">'Raw Data'!Q963</f>
        <v>9</v>
      </c>
      <c r="F963" s="2" t="n">
        <f aca="false">'Raw Data'!U963</f>
        <v>2</v>
      </c>
      <c r="G963" s="2" t="n">
        <f aca="false">'Raw Data'!W963</f>
        <v>3</v>
      </c>
      <c r="H963" s="2" t="n">
        <f aca="false">'Raw Data'!V963</f>
        <v>4</v>
      </c>
      <c r="I963" s="2" t="n">
        <f aca="false">IF(AND(ISNUMBER(B963),B963&lt;=25),2,0)+IF(AND(ISNUMBER(E963),E963&lt;=5),2,0)+IF(AND(ISNUMBER(F963),F963&lt;=1),2,0)+IF(AND(ISNUMBER(G963),G963&lt;=2),1,0)+IF(AND(ISNUMBER(H963),H963&lt;=2),1,0)</f>
        <v>0</v>
      </c>
      <c r="J963" s="2" t="str">
        <f aca="false">IF(I963&gt;=6,"High",IF(I963&gt;=3,"Medium","Low"))</f>
        <v>Low</v>
      </c>
    </row>
    <row r="964" customFormat="false" ht="15" hidden="false" customHeight="true" outlineLevel="0" collapsed="false">
      <c r="A964" s="2" t="n">
        <f aca="false">'Raw Data'!H964</f>
        <v>963</v>
      </c>
      <c r="B964" s="2" t="n">
        <f aca="false">'Raw Data'!A964</f>
        <v>36</v>
      </c>
      <c r="C964" s="2" t="str">
        <f aca="false">'Raw Data'!D964</f>
        <v>Human Resources</v>
      </c>
      <c r="D964" s="2" t="str">
        <f aca="false">'Raw Data'!K964</f>
        <v>Research Scientist</v>
      </c>
      <c r="E964" s="2" t="n">
        <f aca="false">'Raw Data'!Q964</f>
        <v>17</v>
      </c>
      <c r="F964" s="2" t="n">
        <f aca="false">'Raw Data'!U964</f>
        <v>7</v>
      </c>
      <c r="G964" s="2" t="n">
        <f aca="false">'Raw Data'!W964</f>
        <v>4</v>
      </c>
      <c r="H964" s="2" t="n">
        <f aca="false">'Raw Data'!V964</f>
        <v>3</v>
      </c>
      <c r="I964" s="2" t="n">
        <f aca="false">IF(AND(ISNUMBER(B964),B964&lt;=25),2,0)+IF(AND(ISNUMBER(E964),E964&lt;=5),2,0)+IF(AND(ISNUMBER(F964),F964&lt;=1),2,0)+IF(AND(ISNUMBER(G964),G964&lt;=2),1,0)+IF(AND(ISNUMBER(H964),H964&lt;=2),1,0)</f>
        <v>0</v>
      </c>
      <c r="J964" s="2" t="str">
        <f aca="false">IF(I964&gt;=6,"High",IF(I964&gt;=3,"Medium","Low"))</f>
        <v>Low</v>
      </c>
    </row>
    <row r="965" customFormat="false" ht="15" hidden="false" customHeight="true" outlineLevel="0" collapsed="false">
      <c r="A965" s="2" t="n">
        <f aca="false">'Raw Data'!H965</f>
        <v>964</v>
      </c>
      <c r="B965" s="2" t="n">
        <f aca="false">'Raw Data'!A965</f>
        <v>45</v>
      </c>
      <c r="C965" s="2" t="str">
        <f aca="false">'Raw Data'!D965</f>
        <v>Sales</v>
      </c>
      <c r="D965" s="2" t="str">
        <f aca="false">'Raw Data'!K965</f>
        <v>Manufacturing Director</v>
      </c>
      <c r="E965" s="2" t="n">
        <f aca="false">'Raw Data'!Q965</f>
        <v>25</v>
      </c>
      <c r="F965" s="2" t="n">
        <f aca="false">'Raw Data'!U965</f>
        <v>4</v>
      </c>
      <c r="G965" s="2" t="n">
        <f aca="false">'Raw Data'!W965</f>
        <v>3</v>
      </c>
      <c r="H965" s="2" t="n">
        <f aca="false">'Raw Data'!V965</f>
        <v>3</v>
      </c>
      <c r="I965" s="2" t="n">
        <f aca="false">IF(AND(ISNUMBER(B965),B965&lt;=25),2,0)+IF(AND(ISNUMBER(E965),E965&lt;=5),2,0)+IF(AND(ISNUMBER(F965),F965&lt;=1),2,0)+IF(AND(ISNUMBER(G965),G965&lt;=2),1,0)+IF(AND(ISNUMBER(H965),H965&lt;=2),1,0)</f>
        <v>0</v>
      </c>
      <c r="J965" s="2" t="str">
        <f aca="false">IF(I965&gt;=6,"High",IF(I965&gt;=3,"Medium","Low"))</f>
        <v>Low</v>
      </c>
    </row>
    <row r="966" customFormat="false" ht="15" hidden="false" customHeight="true" outlineLevel="0" collapsed="false">
      <c r="A966" s="2" t="n">
        <f aca="false">'Raw Data'!H966</f>
        <v>965</v>
      </c>
      <c r="B966" s="2" t="n">
        <f aca="false">'Raw Data'!A966</f>
        <v>24</v>
      </c>
      <c r="C966" s="2" t="str">
        <f aca="false">'Raw Data'!D966</f>
        <v>Sales</v>
      </c>
      <c r="D966" s="2" t="str">
        <f aca="false">'Raw Data'!K966</f>
        <v>Manager</v>
      </c>
      <c r="E966" s="2" t="n">
        <f aca="false">'Raw Data'!Q966</f>
        <v>1</v>
      </c>
      <c r="F966" s="2" t="n">
        <f aca="false">'Raw Data'!U966</f>
        <v>0</v>
      </c>
      <c r="G966" s="2" t="n">
        <f aca="false">'Raw Data'!W966</f>
        <v>3</v>
      </c>
      <c r="H966" s="2" t="n">
        <f aca="false">'Raw Data'!V966</f>
        <v>4</v>
      </c>
      <c r="I966" s="2" t="n">
        <f aca="false">IF(AND(ISNUMBER(B966),B966&lt;=25),2,0)+IF(AND(ISNUMBER(E966),E966&lt;=5),2,0)+IF(AND(ISNUMBER(F966),F966&lt;=1),2,0)+IF(AND(ISNUMBER(G966),G966&lt;=2),1,0)+IF(AND(ISNUMBER(H966),H966&lt;=2),1,0)</f>
        <v>6</v>
      </c>
      <c r="J966" s="2" t="str">
        <f aca="false">IF(I966&gt;=6,"High",IF(I966&gt;=3,"Medium","Low"))</f>
        <v>High</v>
      </c>
    </row>
    <row r="967" customFormat="false" ht="15" hidden="false" customHeight="true" outlineLevel="0" collapsed="false">
      <c r="A967" s="2" t="n">
        <f aca="false">'Raw Data'!H967</f>
        <v>966</v>
      </c>
      <c r="B967" s="2" t="n">
        <f aca="false">'Raw Data'!A967</f>
        <v>47</v>
      </c>
      <c r="C967" s="2" t="str">
        <f aca="false">'Raw Data'!D967</f>
        <v>Research &amp; Development</v>
      </c>
      <c r="D967" s="2" t="str">
        <f aca="false">'Raw Data'!K967</f>
        <v>Sales Executive</v>
      </c>
      <c r="E967" s="2" t="n">
        <f aca="false">'Raw Data'!Q967</f>
        <v>25</v>
      </c>
      <c r="F967" s="2" t="n">
        <f aca="false">'Raw Data'!U967</f>
        <v>10</v>
      </c>
      <c r="G967" s="2" t="n">
        <f aca="false">'Raw Data'!W967</f>
        <v>3</v>
      </c>
      <c r="H967" s="2" t="n">
        <f aca="false">'Raw Data'!V967</f>
        <v>3</v>
      </c>
      <c r="I967" s="2" t="n">
        <f aca="false">IF(AND(ISNUMBER(B967),B967&lt;=25),2,0)+IF(AND(ISNUMBER(E967),E967&lt;=5),2,0)+IF(AND(ISNUMBER(F967),F967&lt;=1),2,0)+IF(AND(ISNUMBER(G967),G967&lt;=2),1,0)+IF(AND(ISNUMBER(H967),H967&lt;=2),1,0)</f>
        <v>0</v>
      </c>
      <c r="J967" s="2" t="str">
        <f aca="false">IF(I967&gt;=6,"High",IF(I967&gt;=3,"Medium","Low"))</f>
        <v>Low</v>
      </c>
    </row>
    <row r="968" customFormat="false" ht="15" hidden="false" customHeight="true" outlineLevel="0" collapsed="false">
      <c r="A968" s="2" t="n">
        <f aca="false">'Raw Data'!H968</f>
        <v>967</v>
      </c>
      <c r="B968" s="2" t="n">
        <f aca="false">'Raw Data'!A968</f>
        <v>26</v>
      </c>
      <c r="C968" s="2" t="str">
        <f aca="false">'Raw Data'!D968</f>
        <v>Research &amp; Development</v>
      </c>
      <c r="D968" s="2" t="str">
        <f aca="false">'Raw Data'!K968</f>
        <v>Sales Executive</v>
      </c>
      <c r="E968" s="2" t="n">
        <f aca="false">'Raw Data'!Q968</f>
        <v>3</v>
      </c>
      <c r="F968" s="2" t="n">
        <f aca="false">'Raw Data'!U968</f>
        <v>2</v>
      </c>
      <c r="G968" s="2" t="n">
        <f aca="false">'Raw Data'!W968</f>
        <v>3</v>
      </c>
      <c r="H968" s="2" t="n">
        <f aca="false">'Raw Data'!V968</f>
        <v>4</v>
      </c>
      <c r="I968" s="2" t="n">
        <f aca="false">IF(AND(ISNUMBER(B968),B968&lt;=25),2,0)+IF(AND(ISNUMBER(E968),E968&lt;=5),2,0)+IF(AND(ISNUMBER(F968),F968&lt;=1),2,0)+IF(AND(ISNUMBER(G968),G968&lt;=2),1,0)+IF(AND(ISNUMBER(H968),H968&lt;=2),1,0)</f>
        <v>2</v>
      </c>
      <c r="J968" s="2" t="str">
        <f aca="false">IF(I968&gt;=6,"High",IF(I968&gt;=3,"Medium","Low"))</f>
        <v>Low</v>
      </c>
    </row>
    <row r="969" customFormat="false" ht="15" hidden="false" customHeight="true" outlineLevel="0" collapsed="false">
      <c r="A969" s="2" t="n">
        <f aca="false">'Raw Data'!H969</f>
        <v>968</v>
      </c>
      <c r="B969" s="2" t="n">
        <f aca="false">'Raw Data'!A969</f>
        <v>45</v>
      </c>
      <c r="C969" s="2" t="str">
        <f aca="false">'Raw Data'!D969</f>
        <v>Research &amp; Development</v>
      </c>
      <c r="D969" s="2" t="str">
        <f aca="false">'Raw Data'!K969</f>
        <v>Research Director</v>
      </c>
      <c r="E969" s="2" t="n">
        <f aca="false">'Raw Data'!Q969</f>
        <v>21</v>
      </c>
      <c r="F969" s="2" t="n">
        <f aca="false">'Raw Data'!U969</f>
        <v>6</v>
      </c>
      <c r="G969" s="2" t="n">
        <f aca="false">'Raw Data'!W969</f>
        <v>2</v>
      </c>
      <c r="H969" s="2" t="n">
        <f aca="false">'Raw Data'!V969</f>
        <v>4</v>
      </c>
      <c r="I969" s="2" t="n">
        <f aca="false">IF(AND(ISNUMBER(B969),B969&lt;=25),2,0)+IF(AND(ISNUMBER(E969),E969&lt;=5),2,0)+IF(AND(ISNUMBER(F969),F969&lt;=1),2,0)+IF(AND(ISNUMBER(G969),G969&lt;=2),1,0)+IF(AND(ISNUMBER(H969),H969&lt;=2),1,0)</f>
        <v>1</v>
      </c>
      <c r="J969" s="2" t="str">
        <f aca="false">IF(I969&gt;=6,"High",IF(I969&gt;=3,"Medium","Low"))</f>
        <v>Low</v>
      </c>
    </row>
    <row r="970" customFormat="false" ht="15" hidden="false" customHeight="true" outlineLevel="0" collapsed="false">
      <c r="A970" s="2" t="n">
        <f aca="false">'Raw Data'!H970</f>
        <v>969</v>
      </c>
      <c r="B970" s="2" t="n">
        <f aca="false">'Raw Data'!A970</f>
        <v>32</v>
      </c>
      <c r="C970" s="2" t="str">
        <f aca="false">'Raw Data'!D970</f>
        <v>Sales</v>
      </c>
      <c r="D970" s="2" t="str">
        <f aca="false">'Raw Data'!K970</f>
        <v>Laboratory Technician</v>
      </c>
      <c r="E970" s="2" t="n">
        <f aca="false">'Raw Data'!Q970</f>
        <v>10</v>
      </c>
      <c r="F970" s="2" t="n">
        <f aca="false">'Raw Data'!U970</f>
        <v>3</v>
      </c>
      <c r="G970" s="2" t="n">
        <f aca="false">'Raw Data'!W970</f>
        <v>3</v>
      </c>
      <c r="H970" s="2" t="n">
        <f aca="false">'Raw Data'!V970</f>
        <v>1</v>
      </c>
      <c r="I970" s="2" t="n">
        <f aca="false">IF(AND(ISNUMBER(B970),B970&lt;=25),2,0)+IF(AND(ISNUMBER(E970),E970&lt;=5),2,0)+IF(AND(ISNUMBER(F970),F970&lt;=1),2,0)+IF(AND(ISNUMBER(G970),G970&lt;=2),1,0)+IF(AND(ISNUMBER(H970),H970&lt;=2),1,0)</f>
        <v>1</v>
      </c>
      <c r="J970" s="2" t="str">
        <f aca="false">IF(I970&gt;=6,"High",IF(I970&gt;=3,"Medium","Low"))</f>
        <v>Low</v>
      </c>
    </row>
    <row r="971" customFormat="false" ht="15" hidden="false" customHeight="true" outlineLevel="0" collapsed="false">
      <c r="A971" s="2" t="n">
        <f aca="false">'Raw Data'!H971</f>
        <v>970</v>
      </c>
      <c r="B971" s="2" t="n">
        <f aca="false">'Raw Data'!A971</f>
        <v>31</v>
      </c>
      <c r="C971" s="2" t="str">
        <f aca="false">'Raw Data'!D971</f>
        <v>Research &amp; Development</v>
      </c>
      <c r="D971" s="2" t="str">
        <f aca="false">'Raw Data'!K971</f>
        <v>Sales Executive</v>
      </c>
      <c r="E971" s="2" t="n">
        <f aca="false">'Raw Data'!Q971</f>
        <v>6</v>
      </c>
      <c r="F971" s="2" t="n">
        <f aca="false">'Raw Data'!U971</f>
        <v>3</v>
      </c>
      <c r="G971" s="2" t="n">
        <f aca="false">'Raw Data'!W971</f>
        <v>3</v>
      </c>
      <c r="H971" s="2" t="n">
        <f aca="false">'Raw Data'!V971</f>
        <v>2</v>
      </c>
      <c r="I971" s="2" t="n">
        <f aca="false">IF(AND(ISNUMBER(B971),B971&lt;=25),2,0)+IF(AND(ISNUMBER(E971),E971&lt;=5),2,0)+IF(AND(ISNUMBER(F971),F971&lt;=1),2,0)+IF(AND(ISNUMBER(G971),G971&lt;=2),1,0)+IF(AND(ISNUMBER(H971),H971&lt;=2),1,0)</f>
        <v>1</v>
      </c>
      <c r="J971" s="2" t="str">
        <f aca="false">IF(I971&gt;=6,"High",IF(I971&gt;=3,"Medium","Low"))</f>
        <v>Low</v>
      </c>
    </row>
    <row r="972" customFormat="false" ht="15" hidden="false" customHeight="true" outlineLevel="0" collapsed="false">
      <c r="A972" s="2" t="n">
        <f aca="false">'Raw Data'!H972</f>
        <v>971</v>
      </c>
      <c r="B972" s="2" t="n">
        <f aca="false">'Raw Data'!A972</f>
        <v>41</v>
      </c>
      <c r="C972" s="2" t="str">
        <f aca="false">'Raw Data'!D972</f>
        <v>Sales</v>
      </c>
      <c r="D972" s="2" t="str">
        <f aca="false">'Raw Data'!K972</f>
        <v>Research Scientist</v>
      </c>
      <c r="E972" s="2" t="n">
        <f aca="false">'Raw Data'!Q972</f>
        <v>10</v>
      </c>
      <c r="F972" s="2" t="n">
        <f aca="false">'Raw Data'!U972</f>
        <v>2</v>
      </c>
      <c r="G972" s="2" t="n">
        <f aca="false">'Raw Data'!W972</f>
        <v>2</v>
      </c>
      <c r="H972" s="2" t="n">
        <f aca="false">'Raw Data'!V972</f>
        <v>3</v>
      </c>
      <c r="I972" s="2" t="n">
        <f aca="false">IF(AND(ISNUMBER(B972),B972&lt;=25),2,0)+IF(AND(ISNUMBER(E972),E972&lt;=5),2,0)+IF(AND(ISNUMBER(F972),F972&lt;=1),2,0)+IF(AND(ISNUMBER(G972),G972&lt;=2),1,0)+IF(AND(ISNUMBER(H972),H972&lt;=2),1,0)</f>
        <v>1</v>
      </c>
      <c r="J972" s="2" t="str">
        <f aca="false">IF(I972&gt;=6,"High",IF(I972&gt;=3,"Medium","Low"))</f>
        <v>Low</v>
      </c>
    </row>
    <row r="973" customFormat="false" ht="15" hidden="false" customHeight="true" outlineLevel="0" collapsed="false">
      <c r="A973" s="2" t="n">
        <f aca="false">'Raw Data'!H973</f>
        <v>972</v>
      </c>
      <c r="B973" s="2" t="n">
        <f aca="false">'Raw Data'!A973</f>
        <v>40</v>
      </c>
      <c r="C973" s="2" t="str">
        <f aca="false">'Raw Data'!D973</f>
        <v>Research &amp; Development</v>
      </c>
      <c r="D973" s="2" t="str">
        <f aca="false">'Raw Data'!K973</f>
        <v>Healthcare Representative</v>
      </c>
      <c r="E973" s="2" t="n">
        <f aca="false">'Raw Data'!Q973</f>
        <v>18</v>
      </c>
      <c r="F973" s="2" t="n">
        <f aca="false">'Raw Data'!U973</f>
        <v>0</v>
      </c>
      <c r="G973" s="2" t="n">
        <f aca="false">'Raw Data'!W973</f>
        <v>1</v>
      </c>
      <c r="H973" s="2" t="n">
        <f aca="false">'Raw Data'!V973</f>
        <v>2</v>
      </c>
      <c r="I973" s="2" t="n">
        <f aca="false">IF(AND(ISNUMBER(B973),B973&lt;=25),2,0)+IF(AND(ISNUMBER(E973),E973&lt;=5),2,0)+IF(AND(ISNUMBER(F973),F973&lt;=1),2,0)+IF(AND(ISNUMBER(G973),G973&lt;=2),1,0)+IF(AND(ISNUMBER(H973),H973&lt;=2),1,0)</f>
        <v>4</v>
      </c>
      <c r="J973" s="2" t="str">
        <f aca="false">IF(I973&gt;=6,"High",IF(I973&gt;=3,"Medium","Low"))</f>
        <v>Medium</v>
      </c>
    </row>
    <row r="974" customFormat="false" ht="15" hidden="false" customHeight="true" outlineLevel="0" collapsed="false">
      <c r="A974" s="2" t="n">
        <f aca="false">'Raw Data'!H974</f>
        <v>973</v>
      </c>
      <c r="B974" s="2" t="n">
        <f aca="false">'Raw Data'!A974</f>
        <v>24</v>
      </c>
      <c r="C974" s="2" t="str">
        <f aca="false">'Raw Data'!D974</f>
        <v>Research &amp; Development</v>
      </c>
      <c r="D974" s="2" t="str">
        <f aca="false">'Raw Data'!K974</f>
        <v>Research Scientist</v>
      </c>
      <c r="E974" s="2" t="n">
        <f aca="false">'Raw Data'!Q974</f>
        <v>6</v>
      </c>
      <c r="F974" s="2" t="n">
        <f aca="false">'Raw Data'!U974</f>
        <v>2</v>
      </c>
      <c r="G974" s="2" t="n">
        <f aca="false">'Raw Data'!W974</f>
        <v>1</v>
      </c>
      <c r="H974" s="2" t="n">
        <f aca="false">'Raw Data'!V974</f>
        <v>2</v>
      </c>
      <c r="I974" s="2" t="n">
        <f aca="false">IF(AND(ISNUMBER(B974),B974&lt;=25),2,0)+IF(AND(ISNUMBER(E974),E974&lt;=5),2,0)+IF(AND(ISNUMBER(F974),F974&lt;=1),2,0)+IF(AND(ISNUMBER(G974),G974&lt;=2),1,0)+IF(AND(ISNUMBER(H974),H974&lt;=2),1,0)</f>
        <v>4</v>
      </c>
      <c r="J974" s="2" t="str">
        <f aca="false">IF(I974&gt;=6,"High",IF(I974&gt;=3,"Medium","Low"))</f>
        <v>Medium</v>
      </c>
    </row>
    <row r="975" customFormat="false" ht="15" hidden="false" customHeight="true" outlineLevel="0" collapsed="false">
      <c r="A975" s="2" t="n">
        <f aca="false">'Raw Data'!H975</f>
        <v>974</v>
      </c>
      <c r="B975" s="2" t="n">
        <f aca="false">'Raw Data'!A975</f>
        <v>46</v>
      </c>
      <c r="C975" s="2" t="str">
        <f aca="false">'Raw Data'!D975</f>
        <v>Research &amp; Development</v>
      </c>
      <c r="D975" s="2" t="str">
        <f aca="false">'Raw Data'!K975</f>
        <v>Sales Executive</v>
      </c>
      <c r="E975" s="2" t="n">
        <f aca="false">'Raw Data'!Q975</f>
        <v>19</v>
      </c>
      <c r="F975" s="2" t="n">
        <f aca="false">'Raw Data'!U975</f>
        <v>9</v>
      </c>
      <c r="G975" s="2" t="n">
        <f aca="false">'Raw Data'!W975</f>
        <v>2</v>
      </c>
      <c r="H975" s="2" t="n">
        <f aca="false">'Raw Data'!V975</f>
        <v>3</v>
      </c>
      <c r="I975" s="2" t="n">
        <f aca="false">IF(AND(ISNUMBER(B975),B975&lt;=25),2,0)+IF(AND(ISNUMBER(E975),E975&lt;=5),2,0)+IF(AND(ISNUMBER(F975),F975&lt;=1),2,0)+IF(AND(ISNUMBER(G975),G975&lt;=2),1,0)+IF(AND(ISNUMBER(H975),H975&lt;=2),1,0)</f>
        <v>1</v>
      </c>
      <c r="J975" s="2" t="str">
        <f aca="false">IF(I975&gt;=6,"High",IF(I975&gt;=3,"Medium","Low"))</f>
        <v>Low</v>
      </c>
    </row>
    <row r="976" customFormat="false" ht="15" hidden="false" customHeight="true" outlineLevel="0" collapsed="false">
      <c r="A976" s="2" t="n">
        <f aca="false">'Raw Data'!H976</f>
        <v>975</v>
      </c>
      <c r="B976" s="2" t="n">
        <f aca="false">'Raw Data'!A976</f>
        <v>35</v>
      </c>
      <c r="C976" s="2" t="str">
        <f aca="false">'Raw Data'!D976</f>
        <v>Sales</v>
      </c>
      <c r="D976" s="2" t="str">
        <f aca="false">'Raw Data'!K976</f>
        <v>Laboratory Technician</v>
      </c>
      <c r="E976" s="2" t="n">
        <f aca="false">'Raw Data'!Q976</f>
        <v>17</v>
      </c>
      <c r="F976" s="2" t="n">
        <f aca="false">'Raw Data'!U976</f>
        <v>7</v>
      </c>
      <c r="G976" s="2" t="n">
        <f aca="false">'Raw Data'!W976</f>
        <v>3</v>
      </c>
      <c r="H976" s="2" t="n">
        <f aca="false">'Raw Data'!V976</f>
        <v>4</v>
      </c>
      <c r="I976" s="2" t="n">
        <f aca="false">IF(AND(ISNUMBER(B976),B976&lt;=25),2,0)+IF(AND(ISNUMBER(E976),E976&lt;=5),2,0)+IF(AND(ISNUMBER(F976),F976&lt;=1),2,0)+IF(AND(ISNUMBER(G976),G976&lt;=2),1,0)+IF(AND(ISNUMBER(H976),H976&lt;=2),1,0)</f>
        <v>0</v>
      </c>
      <c r="J976" s="2" t="str">
        <f aca="false">IF(I976&gt;=6,"High",IF(I976&gt;=3,"Medium","Low"))</f>
        <v>Low</v>
      </c>
    </row>
    <row r="977" customFormat="false" ht="15" hidden="false" customHeight="true" outlineLevel="0" collapsed="false">
      <c r="A977" s="2" t="n">
        <f aca="false">'Raw Data'!H977</f>
        <v>976</v>
      </c>
      <c r="B977" s="2" t="n">
        <f aca="false">'Raw Data'!A977</f>
        <v>30</v>
      </c>
      <c r="C977" s="2" t="str">
        <f aca="false">'Raw Data'!D977</f>
        <v>Sales</v>
      </c>
      <c r="D977" s="2" t="str">
        <f aca="false">'Raw Data'!K977</f>
        <v>Laboratory Technician</v>
      </c>
      <c r="E977" s="2" t="n">
        <f aca="false">'Raw Data'!Q977</f>
        <v>10</v>
      </c>
      <c r="F977" s="2" t="n">
        <f aca="false">'Raw Data'!U977</f>
        <v>8</v>
      </c>
      <c r="G977" s="2" t="n">
        <f aca="false">'Raw Data'!W977</f>
        <v>4</v>
      </c>
      <c r="H977" s="2" t="n">
        <f aca="false">'Raw Data'!V977</f>
        <v>2</v>
      </c>
      <c r="I977" s="2" t="n">
        <f aca="false">IF(AND(ISNUMBER(B977),B977&lt;=25),2,0)+IF(AND(ISNUMBER(E977),E977&lt;=5),2,0)+IF(AND(ISNUMBER(F977),F977&lt;=1),2,0)+IF(AND(ISNUMBER(G977),G977&lt;=2),1,0)+IF(AND(ISNUMBER(H977),H977&lt;=2),1,0)</f>
        <v>1</v>
      </c>
      <c r="J977" s="2" t="str">
        <f aca="false">IF(I977&gt;=6,"High",IF(I977&gt;=3,"Medium","Low"))</f>
        <v>Low</v>
      </c>
    </row>
    <row r="978" customFormat="false" ht="15" hidden="false" customHeight="true" outlineLevel="0" collapsed="false">
      <c r="A978" s="2" t="n">
        <f aca="false">'Raw Data'!H978</f>
        <v>977</v>
      </c>
      <c r="B978" s="2" t="n">
        <f aca="false">'Raw Data'!A978</f>
        <v>47</v>
      </c>
      <c r="C978" s="2" t="str">
        <f aca="false">'Raw Data'!D978</f>
        <v>Research &amp; Development</v>
      </c>
      <c r="D978" s="2" t="str">
        <f aca="false">'Raw Data'!K978</f>
        <v>Sales Executive</v>
      </c>
      <c r="E978" s="2" t="n">
        <f aca="false">'Raw Data'!Q978</f>
        <v>4</v>
      </c>
      <c r="F978" s="2" t="n">
        <f aca="false">'Raw Data'!U978</f>
        <v>0</v>
      </c>
      <c r="G978" s="2" t="n">
        <f aca="false">'Raw Data'!W978</f>
        <v>2</v>
      </c>
      <c r="H978" s="2" t="n">
        <f aca="false">'Raw Data'!V978</f>
        <v>3</v>
      </c>
      <c r="I978" s="2" t="n">
        <f aca="false">IF(AND(ISNUMBER(B978),B978&lt;=25),2,0)+IF(AND(ISNUMBER(E978),E978&lt;=5),2,0)+IF(AND(ISNUMBER(F978),F978&lt;=1),2,0)+IF(AND(ISNUMBER(G978),G978&lt;=2),1,0)+IF(AND(ISNUMBER(H978),H978&lt;=2),1,0)</f>
        <v>5</v>
      </c>
      <c r="J978" s="2" t="str">
        <f aca="false">IF(I978&gt;=6,"High",IF(I978&gt;=3,"Medium","Low"))</f>
        <v>Medium</v>
      </c>
    </row>
    <row r="979" customFormat="false" ht="15" hidden="false" customHeight="true" outlineLevel="0" collapsed="false">
      <c r="A979" s="2" t="n">
        <f aca="false">'Raw Data'!H979</f>
        <v>978</v>
      </c>
      <c r="B979" s="2" t="n">
        <f aca="false">'Raw Data'!A979</f>
        <v>46</v>
      </c>
      <c r="C979" s="2" t="str">
        <f aca="false">'Raw Data'!D979</f>
        <v>Research &amp; Development</v>
      </c>
      <c r="D979" s="2" t="str">
        <f aca="false">'Raw Data'!K979</f>
        <v>Sales Executive</v>
      </c>
      <c r="E979" s="2" t="n">
        <f aca="false">'Raw Data'!Q979</f>
        <v>13</v>
      </c>
      <c r="F979" s="2" t="n">
        <f aca="false">'Raw Data'!U979</f>
        <v>3</v>
      </c>
      <c r="G979" s="2" t="n">
        <f aca="false">'Raw Data'!W979</f>
        <v>4</v>
      </c>
      <c r="H979" s="2" t="n">
        <f aca="false">'Raw Data'!V979</f>
        <v>3</v>
      </c>
      <c r="I979" s="2" t="n">
        <f aca="false">IF(AND(ISNUMBER(B979),B979&lt;=25),2,0)+IF(AND(ISNUMBER(E979),E979&lt;=5),2,0)+IF(AND(ISNUMBER(F979),F979&lt;=1),2,0)+IF(AND(ISNUMBER(G979),G979&lt;=2),1,0)+IF(AND(ISNUMBER(H979),H979&lt;=2),1,0)</f>
        <v>0</v>
      </c>
      <c r="J979" s="2" t="str">
        <f aca="false">IF(I979&gt;=6,"High",IF(I979&gt;=3,"Medium","Low"))</f>
        <v>Low</v>
      </c>
    </row>
    <row r="980" customFormat="false" ht="15" hidden="false" customHeight="true" outlineLevel="0" collapsed="false">
      <c r="A980" s="2" t="n">
        <f aca="false">'Raw Data'!H980</f>
        <v>979</v>
      </c>
      <c r="B980" s="2" t="n">
        <f aca="false">'Raw Data'!A980</f>
        <v>36</v>
      </c>
      <c r="C980" s="2" t="str">
        <f aca="false">'Raw Data'!D980</f>
        <v>Research &amp; Development</v>
      </c>
      <c r="D980" s="2" t="str">
        <f aca="false">'Raw Data'!K980</f>
        <v>Manufacturing Director</v>
      </c>
      <c r="E980" s="2" t="n">
        <f aca="false">'Raw Data'!Q980</f>
        <v>16</v>
      </c>
      <c r="F980" s="2" t="n">
        <f aca="false">'Raw Data'!U980</f>
        <v>2</v>
      </c>
      <c r="G980" s="2" t="n">
        <f aca="false">'Raw Data'!W980</f>
        <v>1</v>
      </c>
      <c r="H980" s="2" t="n">
        <f aca="false">'Raw Data'!V980</f>
        <v>2</v>
      </c>
      <c r="I980" s="2" t="n">
        <f aca="false">IF(AND(ISNUMBER(B980),B980&lt;=25),2,0)+IF(AND(ISNUMBER(E980),E980&lt;=5),2,0)+IF(AND(ISNUMBER(F980),F980&lt;=1),2,0)+IF(AND(ISNUMBER(G980),G980&lt;=2),1,0)+IF(AND(ISNUMBER(H980),H980&lt;=2),1,0)</f>
        <v>2</v>
      </c>
      <c r="J980" s="2" t="str">
        <f aca="false">IF(I980&gt;=6,"High",IF(I980&gt;=3,"Medium","Low"))</f>
        <v>Low</v>
      </c>
    </row>
    <row r="981" customFormat="false" ht="15" hidden="false" customHeight="true" outlineLevel="0" collapsed="false">
      <c r="A981" s="2" t="n">
        <f aca="false">'Raw Data'!H981</f>
        <v>980</v>
      </c>
      <c r="B981" s="2" t="n">
        <f aca="false">'Raw Data'!A981</f>
        <v>32</v>
      </c>
      <c r="C981" s="2" t="str">
        <f aca="false">'Raw Data'!D981</f>
        <v>Research &amp; Development</v>
      </c>
      <c r="D981" s="2" t="str">
        <f aca="false">'Raw Data'!K981</f>
        <v>Research Director</v>
      </c>
      <c r="E981" s="2" t="n">
        <f aca="false">'Raw Data'!Q981</f>
        <v>10</v>
      </c>
      <c r="F981" s="2" t="n">
        <f aca="false">'Raw Data'!U981</f>
        <v>0</v>
      </c>
      <c r="G981" s="2" t="n">
        <f aca="false">'Raw Data'!W981</f>
        <v>2</v>
      </c>
      <c r="H981" s="2" t="n">
        <f aca="false">'Raw Data'!V981</f>
        <v>1</v>
      </c>
      <c r="I981" s="2" t="n">
        <f aca="false">IF(AND(ISNUMBER(B981),B981&lt;=25),2,0)+IF(AND(ISNUMBER(E981),E981&lt;=5),2,0)+IF(AND(ISNUMBER(F981),F981&lt;=1),2,0)+IF(AND(ISNUMBER(G981),G981&lt;=2),1,0)+IF(AND(ISNUMBER(H981),H981&lt;=2),1,0)</f>
        <v>4</v>
      </c>
      <c r="J981" s="2" t="str">
        <f aca="false">IF(I981&gt;=6,"High",IF(I981&gt;=3,"Medium","Low"))</f>
        <v>Medium</v>
      </c>
    </row>
    <row r="982" customFormat="false" ht="15" hidden="false" customHeight="true" outlineLevel="0" collapsed="false">
      <c r="A982" s="2" t="n">
        <f aca="false">'Raw Data'!H982</f>
        <v>981</v>
      </c>
      <c r="B982" s="2" t="n">
        <f aca="false">'Raw Data'!A982</f>
        <v>23</v>
      </c>
      <c r="C982" s="2" t="str">
        <f aca="false">'Raw Data'!D982</f>
        <v>Sales</v>
      </c>
      <c r="D982" s="2" t="str">
        <f aca="false">'Raw Data'!K982</f>
        <v>Manufacturing Director</v>
      </c>
      <c r="E982" s="2" t="n">
        <f aca="false">'Raw Data'!Q982</f>
        <v>3</v>
      </c>
      <c r="F982" s="2" t="n">
        <f aca="false">'Raw Data'!U982</f>
        <v>2</v>
      </c>
      <c r="G982" s="2" t="n">
        <f aca="false">'Raw Data'!W982</f>
        <v>2</v>
      </c>
      <c r="H982" s="2" t="n">
        <f aca="false">'Raw Data'!V982</f>
        <v>3</v>
      </c>
      <c r="I982" s="2" t="n">
        <f aca="false">IF(AND(ISNUMBER(B982),B982&lt;=25),2,0)+IF(AND(ISNUMBER(E982),E982&lt;=5),2,0)+IF(AND(ISNUMBER(F982),F982&lt;=1),2,0)+IF(AND(ISNUMBER(G982),G982&lt;=2),1,0)+IF(AND(ISNUMBER(H982),H982&lt;=2),1,0)</f>
        <v>5</v>
      </c>
      <c r="J982" s="2" t="str">
        <f aca="false">IF(I982&gt;=6,"High",IF(I982&gt;=3,"Medium","Low"))</f>
        <v>Medium</v>
      </c>
    </row>
    <row r="983" customFormat="false" ht="15" hidden="false" customHeight="true" outlineLevel="0" collapsed="false">
      <c r="A983" s="2" t="n">
        <f aca="false">'Raw Data'!H983</f>
        <v>982</v>
      </c>
      <c r="B983" s="2" t="n">
        <f aca="false">'Raw Data'!A983</f>
        <v>31</v>
      </c>
      <c r="C983" s="2" t="str">
        <f aca="false">'Raw Data'!D983</f>
        <v>Sales</v>
      </c>
      <c r="D983" s="2" t="str">
        <f aca="false">'Raw Data'!K983</f>
        <v>Sales Executive</v>
      </c>
      <c r="E983" s="2" t="n">
        <f aca="false">'Raw Data'!Q983</f>
        <v>9</v>
      </c>
      <c r="F983" s="2" t="n">
        <f aca="false">'Raw Data'!U983</f>
        <v>4</v>
      </c>
      <c r="G983" s="2" t="n">
        <f aca="false">'Raw Data'!W983</f>
        <v>4</v>
      </c>
      <c r="H983" s="2" t="n">
        <f aca="false">'Raw Data'!V983</f>
        <v>4</v>
      </c>
      <c r="I983" s="2" t="n">
        <f aca="false">IF(AND(ISNUMBER(B983),B983&lt;=25),2,0)+IF(AND(ISNUMBER(E983),E983&lt;=5),2,0)+IF(AND(ISNUMBER(F983),F983&lt;=1),2,0)+IF(AND(ISNUMBER(G983),G983&lt;=2),1,0)+IF(AND(ISNUMBER(H983),H983&lt;=2),1,0)</f>
        <v>0</v>
      </c>
      <c r="J983" s="2" t="str">
        <f aca="false">IF(I983&gt;=6,"High",IF(I983&gt;=3,"Medium","Low"))</f>
        <v>Low</v>
      </c>
    </row>
    <row r="984" customFormat="false" ht="15" hidden="false" customHeight="true" outlineLevel="0" collapsed="false">
      <c r="A984" s="2" t="n">
        <f aca="false">'Raw Data'!H984</f>
        <v>983</v>
      </c>
      <c r="B984" s="2" t="n">
        <f aca="false">'Raw Data'!A984</f>
        <v>39</v>
      </c>
      <c r="C984" s="2" t="str">
        <f aca="false">'Raw Data'!D984</f>
        <v>Research &amp; Development</v>
      </c>
      <c r="D984" s="2" t="str">
        <f aca="false">'Raw Data'!K984</f>
        <v>Manufacturing Director</v>
      </c>
      <c r="E984" s="2" t="n">
        <f aca="false">'Raw Data'!Q984</f>
        <v>9</v>
      </c>
      <c r="F984" s="2" t="n">
        <f aca="false">'Raw Data'!U984</f>
        <v>8</v>
      </c>
      <c r="G984" s="2" t="n">
        <f aca="false">'Raw Data'!W984</f>
        <v>4</v>
      </c>
      <c r="H984" s="2" t="n">
        <f aca="false">'Raw Data'!V984</f>
        <v>4</v>
      </c>
      <c r="I984" s="2" t="n">
        <f aca="false">IF(AND(ISNUMBER(B984),B984&lt;=25),2,0)+IF(AND(ISNUMBER(E984),E984&lt;=5),2,0)+IF(AND(ISNUMBER(F984),F984&lt;=1),2,0)+IF(AND(ISNUMBER(G984),G984&lt;=2),1,0)+IF(AND(ISNUMBER(H984),H984&lt;=2),1,0)</f>
        <v>0</v>
      </c>
      <c r="J984" s="2" t="str">
        <f aca="false">IF(I984&gt;=6,"High",IF(I984&gt;=3,"Medium","Low"))</f>
        <v>Low</v>
      </c>
    </row>
    <row r="985" customFormat="false" ht="15" hidden="false" customHeight="true" outlineLevel="0" collapsed="false">
      <c r="A985" s="2" t="n">
        <f aca="false">'Raw Data'!H985</f>
        <v>984</v>
      </c>
      <c r="B985" s="2" t="n">
        <f aca="false">'Raw Data'!A985</f>
        <v>32</v>
      </c>
      <c r="C985" s="2" t="str">
        <f aca="false">'Raw Data'!D985</f>
        <v>Research &amp; Development</v>
      </c>
      <c r="D985" s="2" t="str">
        <f aca="false">'Raw Data'!K985</f>
        <v>Research Scientist</v>
      </c>
      <c r="E985" s="2" t="n">
        <f aca="false">'Raw Data'!Q985</f>
        <v>10</v>
      </c>
      <c r="F985" s="2" t="n">
        <f aca="false">'Raw Data'!U985</f>
        <v>2</v>
      </c>
      <c r="G985" s="2" t="n">
        <f aca="false">'Raw Data'!W985</f>
        <v>3</v>
      </c>
      <c r="H985" s="2" t="n">
        <f aca="false">'Raw Data'!V985</f>
        <v>4</v>
      </c>
      <c r="I985" s="2" t="n">
        <f aca="false">IF(AND(ISNUMBER(B985),B985&lt;=25),2,0)+IF(AND(ISNUMBER(E985),E985&lt;=5),2,0)+IF(AND(ISNUMBER(F985),F985&lt;=1),2,0)+IF(AND(ISNUMBER(G985),G985&lt;=2),1,0)+IF(AND(ISNUMBER(H985),H985&lt;=2),1,0)</f>
        <v>0</v>
      </c>
      <c r="J985" s="2" t="str">
        <f aca="false">IF(I985&gt;=6,"High",IF(I985&gt;=3,"Medium","Low"))</f>
        <v>Low</v>
      </c>
    </row>
    <row r="986" customFormat="false" ht="15" hidden="false" customHeight="true" outlineLevel="0" collapsed="false">
      <c r="A986" s="2" t="n">
        <f aca="false">'Raw Data'!H986</f>
        <v>985</v>
      </c>
      <c r="B986" s="2" t="n">
        <f aca="false">'Raw Data'!A986</f>
        <v>40</v>
      </c>
      <c r="C986" s="2" t="str">
        <f aca="false">'Raw Data'!D986</f>
        <v>Sales</v>
      </c>
      <c r="D986" s="2" t="str">
        <f aca="false">'Raw Data'!K986</f>
        <v>Manufacturing Director</v>
      </c>
      <c r="E986" s="2" t="n">
        <f aca="false">'Raw Data'!Q986</f>
        <v>21</v>
      </c>
      <c r="F986" s="2" t="n">
        <f aca="false">'Raw Data'!U986</f>
        <v>8</v>
      </c>
      <c r="G986" s="2" t="n">
        <f aca="false">'Raw Data'!W986</f>
        <v>2</v>
      </c>
      <c r="H986" s="2" t="n">
        <f aca="false">'Raw Data'!V986</f>
        <v>2</v>
      </c>
      <c r="I986" s="2" t="n">
        <f aca="false">IF(AND(ISNUMBER(B986),B986&lt;=25),2,0)+IF(AND(ISNUMBER(E986),E986&lt;=5),2,0)+IF(AND(ISNUMBER(F986),F986&lt;=1),2,0)+IF(AND(ISNUMBER(G986),G986&lt;=2),1,0)+IF(AND(ISNUMBER(H986),H986&lt;=2),1,0)</f>
        <v>2</v>
      </c>
      <c r="J986" s="2" t="str">
        <f aca="false">IF(I986&gt;=6,"High",IF(I986&gt;=3,"Medium","Low"))</f>
        <v>Low</v>
      </c>
    </row>
    <row r="987" customFormat="false" ht="15" hidden="false" customHeight="true" outlineLevel="0" collapsed="false">
      <c r="A987" s="2" t="n">
        <f aca="false">'Raw Data'!H987</f>
        <v>986</v>
      </c>
      <c r="B987" s="2" t="n">
        <f aca="false">'Raw Data'!A987</f>
        <v>45</v>
      </c>
      <c r="C987" s="2" t="str">
        <f aca="false">'Raw Data'!D987</f>
        <v>Research &amp; Development</v>
      </c>
      <c r="D987" s="2" t="str">
        <f aca="false">'Raw Data'!K987</f>
        <v>Sales Representative</v>
      </c>
      <c r="E987" s="2" t="n">
        <f aca="false">'Raw Data'!Q987</f>
        <v>9</v>
      </c>
      <c r="F987" s="2" t="n">
        <f aca="false">'Raw Data'!U987</f>
        <v>3</v>
      </c>
      <c r="G987" s="2" t="n">
        <f aca="false">'Raw Data'!W987</f>
        <v>3</v>
      </c>
      <c r="H987" s="2" t="n">
        <f aca="false">'Raw Data'!V987</f>
        <v>3</v>
      </c>
      <c r="I987" s="2" t="n">
        <f aca="false">IF(AND(ISNUMBER(B987),B987&lt;=25),2,0)+IF(AND(ISNUMBER(E987),E987&lt;=5),2,0)+IF(AND(ISNUMBER(F987),F987&lt;=1),2,0)+IF(AND(ISNUMBER(G987),G987&lt;=2),1,0)+IF(AND(ISNUMBER(H987),H987&lt;=2),1,0)</f>
        <v>0</v>
      </c>
      <c r="J987" s="2" t="str">
        <f aca="false">IF(I987&gt;=6,"High",IF(I987&gt;=3,"Medium","Low"))</f>
        <v>Low</v>
      </c>
    </row>
    <row r="988" customFormat="false" ht="15" hidden="false" customHeight="true" outlineLevel="0" collapsed="false">
      <c r="A988" s="2" t="n">
        <f aca="false">'Raw Data'!H988</f>
        <v>987</v>
      </c>
      <c r="B988" s="2" t="n">
        <f aca="false">'Raw Data'!A988</f>
        <v>30</v>
      </c>
      <c r="C988" s="2" t="str">
        <f aca="false">'Raw Data'!D988</f>
        <v>Sales</v>
      </c>
      <c r="D988" s="2" t="str">
        <f aca="false">'Raw Data'!K988</f>
        <v>Research Director</v>
      </c>
      <c r="E988" s="2" t="n">
        <f aca="false">'Raw Data'!Q988</f>
        <v>10</v>
      </c>
      <c r="F988" s="2" t="n">
        <f aca="false">'Raw Data'!U988</f>
        <v>7</v>
      </c>
      <c r="G988" s="2" t="n">
        <f aca="false">'Raw Data'!W988</f>
        <v>1</v>
      </c>
      <c r="H988" s="2" t="n">
        <f aca="false">'Raw Data'!V988</f>
        <v>4</v>
      </c>
      <c r="I988" s="2" t="n">
        <f aca="false">IF(AND(ISNUMBER(B988),B988&lt;=25),2,0)+IF(AND(ISNUMBER(E988),E988&lt;=5),2,0)+IF(AND(ISNUMBER(F988),F988&lt;=1),2,0)+IF(AND(ISNUMBER(G988),G988&lt;=2),1,0)+IF(AND(ISNUMBER(H988),H988&lt;=2),1,0)</f>
        <v>1</v>
      </c>
      <c r="J988" s="2" t="str">
        <f aca="false">IF(I988&gt;=6,"High",IF(I988&gt;=3,"Medium","Low"))</f>
        <v>Low</v>
      </c>
    </row>
    <row r="989" customFormat="false" ht="15" hidden="false" customHeight="true" outlineLevel="0" collapsed="false">
      <c r="A989" s="2" t="n">
        <f aca="false">'Raw Data'!H989</f>
        <v>988</v>
      </c>
      <c r="B989" s="2" t="n">
        <f aca="false">'Raw Data'!A989</f>
        <v>24</v>
      </c>
      <c r="C989" s="2" t="str">
        <f aca="false">'Raw Data'!D989</f>
        <v>Sales</v>
      </c>
      <c r="D989" s="2" t="str">
        <f aca="false">'Raw Data'!K989</f>
        <v>Sales Executive</v>
      </c>
      <c r="E989" s="2" t="n">
        <f aca="false">'Raw Data'!Q989</f>
        <v>3</v>
      </c>
      <c r="F989" s="2" t="n">
        <f aca="false">'Raw Data'!U989</f>
        <v>1</v>
      </c>
      <c r="G989" s="2" t="n">
        <f aca="false">'Raw Data'!W989</f>
        <v>4</v>
      </c>
      <c r="H989" s="2" t="n">
        <f aca="false">'Raw Data'!V989</f>
        <v>1</v>
      </c>
      <c r="I989" s="2" t="n">
        <f aca="false">IF(AND(ISNUMBER(B989),B989&lt;=25),2,0)+IF(AND(ISNUMBER(E989),E989&lt;=5),2,0)+IF(AND(ISNUMBER(F989),F989&lt;=1),2,0)+IF(AND(ISNUMBER(G989),G989&lt;=2),1,0)+IF(AND(ISNUMBER(H989),H989&lt;=2),1,0)</f>
        <v>7</v>
      </c>
      <c r="J989" s="2" t="str">
        <f aca="false">IF(I989&gt;=6,"High",IF(I989&gt;=3,"Medium","Low"))</f>
        <v>High</v>
      </c>
    </row>
    <row r="990" customFormat="false" ht="15" hidden="false" customHeight="true" outlineLevel="0" collapsed="false">
      <c r="A990" s="2" t="n">
        <f aca="false">'Raw Data'!H990</f>
        <v>989</v>
      </c>
      <c r="B990" s="2" t="n">
        <f aca="false">'Raw Data'!A990</f>
        <v>30</v>
      </c>
      <c r="C990" s="2" t="str">
        <f aca="false">'Raw Data'!D990</f>
        <v>Research &amp; Development</v>
      </c>
      <c r="D990" s="2" t="str">
        <f aca="false">'Raw Data'!K990</f>
        <v>Human Resources</v>
      </c>
      <c r="E990" s="2" t="n">
        <f aca="false">'Raw Data'!Q990</f>
        <v>6</v>
      </c>
      <c r="F990" s="2" t="n">
        <f aca="false">'Raw Data'!U990</f>
        <v>2</v>
      </c>
      <c r="G990" s="2" t="n">
        <f aca="false">'Raw Data'!W990</f>
        <v>4</v>
      </c>
      <c r="H990" s="2" t="n">
        <f aca="false">'Raw Data'!V990</f>
        <v>3</v>
      </c>
      <c r="I990" s="2" t="n">
        <f aca="false">IF(AND(ISNUMBER(B990),B990&lt;=25),2,0)+IF(AND(ISNUMBER(E990),E990&lt;=5),2,0)+IF(AND(ISNUMBER(F990),F990&lt;=1),2,0)+IF(AND(ISNUMBER(G990),G990&lt;=2),1,0)+IF(AND(ISNUMBER(H990),H990&lt;=2),1,0)</f>
        <v>0</v>
      </c>
      <c r="J990" s="2" t="str">
        <f aca="false">IF(I990&gt;=6,"High",IF(I990&gt;=3,"Medium","Low"))</f>
        <v>Low</v>
      </c>
    </row>
    <row r="991" customFormat="false" ht="15" hidden="false" customHeight="true" outlineLevel="0" collapsed="false">
      <c r="A991" s="2" t="n">
        <f aca="false">'Raw Data'!H991</f>
        <v>990</v>
      </c>
      <c r="B991" s="2" t="n">
        <f aca="false">'Raw Data'!A991</f>
        <v>31</v>
      </c>
      <c r="C991" s="2" t="str">
        <f aca="false">'Raw Data'!D991</f>
        <v>Research &amp; Development</v>
      </c>
      <c r="D991" s="2" t="str">
        <f aca="false">'Raw Data'!K991</f>
        <v>Laboratory Technician</v>
      </c>
      <c r="E991" s="2" t="n">
        <f aca="false">'Raw Data'!Q991</f>
        <v>6</v>
      </c>
      <c r="F991" s="2" t="n">
        <f aca="false">'Raw Data'!U991</f>
        <v>2</v>
      </c>
      <c r="G991" s="2" t="n">
        <f aca="false">'Raw Data'!W991</f>
        <v>3</v>
      </c>
      <c r="H991" s="2" t="n">
        <f aca="false">'Raw Data'!V991</f>
        <v>1</v>
      </c>
      <c r="I991" s="2" t="n">
        <f aca="false">IF(AND(ISNUMBER(B991),B991&lt;=25),2,0)+IF(AND(ISNUMBER(E991),E991&lt;=5),2,0)+IF(AND(ISNUMBER(F991),F991&lt;=1),2,0)+IF(AND(ISNUMBER(G991),G991&lt;=2),1,0)+IF(AND(ISNUMBER(H991),H991&lt;=2),1,0)</f>
        <v>1</v>
      </c>
      <c r="J991" s="2" t="str">
        <f aca="false">IF(I991&gt;=6,"High",IF(I991&gt;=3,"Medium","Low"))</f>
        <v>Low</v>
      </c>
    </row>
    <row r="992" customFormat="false" ht="15" hidden="false" customHeight="true" outlineLevel="0" collapsed="false">
      <c r="A992" s="2" t="n">
        <f aca="false">'Raw Data'!H992</f>
        <v>991</v>
      </c>
      <c r="B992" s="2" t="n">
        <f aca="false">'Raw Data'!A992</f>
        <v>27</v>
      </c>
      <c r="C992" s="2" t="str">
        <f aca="false">'Raw Data'!D992</f>
        <v>Sales</v>
      </c>
      <c r="D992" s="2" t="str">
        <f aca="false">'Raw Data'!K992</f>
        <v>Manager</v>
      </c>
      <c r="E992" s="2" t="n">
        <f aca="false">'Raw Data'!Q992</f>
        <v>6</v>
      </c>
      <c r="F992" s="2" t="n">
        <f aca="false">'Raw Data'!U992</f>
        <v>4</v>
      </c>
      <c r="G992" s="2" t="n">
        <f aca="false">'Raw Data'!W992</f>
        <v>4</v>
      </c>
      <c r="H992" s="2" t="n">
        <f aca="false">'Raw Data'!V992</f>
        <v>3</v>
      </c>
      <c r="I992" s="2" t="n">
        <f aca="false">IF(AND(ISNUMBER(B992),B992&lt;=25),2,0)+IF(AND(ISNUMBER(E992),E992&lt;=5),2,0)+IF(AND(ISNUMBER(F992),F992&lt;=1),2,0)+IF(AND(ISNUMBER(G992),G992&lt;=2),1,0)+IF(AND(ISNUMBER(H992),H992&lt;=2),1,0)</f>
        <v>0</v>
      </c>
      <c r="J992" s="2" t="str">
        <f aca="false">IF(I992&gt;=6,"High",IF(I992&gt;=3,"Medium","Low"))</f>
        <v>Low</v>
      </c>
    </row>
    <row r="993" customFormat="false" ht="15" hidden="false" customHeight="true" outlineLevel="0" collapsed="false">
      <c r="A993" s="2" t="n">
        <f aca="false">'Raw Data'!H993</f>
        <v>992</v>
      </c>
      <c r="B993" s="2" t="n">
        <f aca="false">'Raw Data'!A993</f>
        <v>29</v>
      </c>
      <c r="C993" s="2" t="str">
        <f aca="false">'Raw Data'!D993</f>
        <v>Sales</v>
      </c>
      <c r="D993" s="2" t="str">
        <f aca="false">'Raw Data'!K993</f>
        <v>Research Scientist</v>
      </c>
      <c r="E993" s="2" t="n">
        <f aca="false">'Raw Data'!Q993</f>
        <v>2</v>
      </c>
      <c r="F993" s="2" t="n">
        <f aca="false">'Raw Data'!U993</f>
        <v>2</v>
      </c>
      <c r="G993" s="2" t="n">
        <f aca="false">'Raw Data'!W993</f>
        <v>2</v>
      </c>
      <c r="H993" s="2" t="n">
        <f aca="false">'Raw Data'!V993</f>
        <v>2</v>
      </c>
      <c r="I993" s="2" t="n">
        <f aca="false">IF(AND(ISNUMBER(B993),B993&lt;=25),2,0)+IF(AND(ISNUMBER(E993),E993&lt;=5),2,0)+IF(AND(ISNUMBER(F993),F993&lt;=1),2,0)+IF(AND(ISNUMBER(G993),G993&lt;=2),1,0)+IF(AND(ISNUMBER(H993),H993&lt;=2),1,0)</f>
        <v>4</v>
      </c>
      <c r="J993" s="2" t="str">
        <f aca="false">IF(I993&gt;=6,"High",IF(I993&gt;=3,"Medium","Low"))</f>
        <v>Medium</v>
      </c>
    </row>
    <row r="994" customFormat="false" ht="15" hidden="false" customHeight="true" outlineLevel="0" collapsed="false">
      <c r="A994" s="2" t="n">
        <f aca="false">'Raw Data'!H994</f>
        <v>993</v>
      </c>
      <c r="B994" s="2" t="n">
        <f aca="false">'Raw Data'!A994</f>
        <v>29</v>
      </c>
      <c r="C994" s="2" t="str">
        <f aca="false">'Raw Data'!D994</f>
        <v>Research &amp; Development</v>
      </c>
      <c r="D994" s="2" t="str">
        <f aca="false">'Raw Data'!K994</f>
        <v>Sales Executive</v>
      </c>
      <c r="E994" s="2" t="n">
        <f aca="false">'Raw Data'!Q994</f>
        <v>10</v>
      </c>
      <c r="F994" s="2" t="n">
        <f aca="false">'Raw Data'!U994</f>
        <v>2</v>
      </c>
      <c r="G994" s="2" t="n">
        <f aca="false">'Raw Data'!W994</f>
        <v>3</v>
      </c>
      <c r="H994" s="2" t="n">
        <f aca="false">'Raw Data'!V994</f>
        <v>4</v>
      </c>
      <c r="I994" s="2" t="n">
        <f aca="false">IF(AND(ISNUMBER(B994),B994&lt;=25),2,0)+IF(AND(ISNUMBER(E994),E994&lt;=5),2,0)+IF(AND(ISNUMBER(F994),F994&lt;=1),2,0)+IF(AND(ISNUMBER(G994),G994&lt;=2),1,0)+IF(AND(ISNUMBER(H994),H994&lt;=2),1,0)</f>
        <v>0</v>
      </c>
      <c r="J994" s="2" t="str">
        <f aca="false">IF(I994&gt;=6,"High",IF(I994&gt;=3,"Medium","Low"))</f>
        <v>Low</v>
      </c>
    </row>
    <row r="995" customFormat="false" ht="15" hidden="false" customHeight="true" outlineLevel="0" collapsed="false">
      <c r="A995" s="2" t="n">
        <f aca="false">'Raw Data'!H995</f>
        <v>994</v>
      </c>
      <c r="B995" s="2" t="n">
        <f aca="false">'Raw Data'!A995</f>
        <v>30</v>
      </c>
      <c r="C995" s="2" t="str">
        <f aca="false">'Raw Data'!D995</f>
        <v>Sales</v>
      </c>
      <c r="D995" s="2" t="str">
        <f aca="false">'Raw Data'!K995</f>
        <v>Sales Executive</v>
      </c>
      <c r="E995" s="2" t="n">
        <f aca="false">'Raw Data'!Q995</f>
        <v>12</v>
      </c>
      <c r="F995" s="2" t="n">
        <f aca="false">'Raw Data'!U995</f>
        <v>7</v>
      </c>
      <c r="G995" s="2" t="n">
        <f aca="false">'Raw Data'!W995</f>
        <v>1</v>
      </c>
      <c r="H995" s="2" t="n">
        <f aca="false">'Raw Data'!V995</f>
        <v>3</v>
      </c>
      <c r="I995" s="2" t="n">
        <f aca="false">IF(AND(ISNUMBER(B995),B995&lt;=25),2,0)+IF(AND(ISNUMBER(E995),E995&lt;=5),2,0)+IF(AND(ISNUMBER(F995),F995&lt;=1),2,0)+IF(AND(ISNUMBER(G995),G995&lt;=2),1,0)+IF(AND(ISNUMBER(H995),H995&lt;=2),1,0)</f>
        <v>1</v>
      </c>
      <c r="J995" s="2" t="str">
        <f aca="false">IF(I995&gt;=6,"High",IF(I995&gt;=3,"Medium","Low"))</f>
        <v>Low</v>
      </c>
    </row>
    <row r="996" customFormat="false" ht="15" hidden="false" customHeight="true" outlineLevel="0" collapsed="false">
      <c r="A996" s="2" t="n">
        <f aca="false">'Raw Data'!H996</f>
        <v>995</v>
      </c>
      <c r="B996" s="2" t="n">
        <f aca="false">'Raw Data'!A996</f>
        <v>34</v>
      </c>
      <c r="C996" s="2" t="str">
        <f aca="false">'Raw Data'!D996</f>
        <v>Research &amp; Development</v>
      </c>
      <c r="D996" s="2" t="str">
        <f aca="false">'Raw Data'!K996</f>
        <v>Healthcare Representative</v>
      </c>
      <c r="E996" s="2" t="n">
        <f aca="false">'Raw Data'!Q996</f>
        <v>6</v>
      </c>
      <c r="F996" s="2" t="n">
        <f aca="false">'Raw Data'!U996</f>
        <v>2</v>
      </c>
      <c r="G996" s="2" t="n">
        <f aca="false">'Raw Data'!W996</f>
        <v>4</v>
      </c>
      <c r="H996" s="2" t="n">
        <f aca="false">'Raw Data'!V996</f>
        <v>4</v>
      </c>
      <c r="I996" s="2" t="n">
        <f aca="false">IF(AND(ISNUMBER(B996),B996&lt;=25),2,0)+IF(AND(ISNUMBER(E996),E996&lt;=5),2,0)+IF(AND(ISNUMBER(F996),F996&lt;=1),2,0)+IF(AND(ISNUMBER(G996),G996&lt;=2),1,0)+IF(AND(ISNUMBER(H996),H996&lt;=2),1,0)</f>
        <v>0</v>
      </c>
      <c r="J996" s="2" t="str">
        <f aca="false">IF(I996&gt;=6,"High",IF(I996&gt;=3,"Medium","Low"))</f>
        <v>Low</v>
      </c>
    </row>
    <row r="997" customFormat="false" ht="15" hidden="false" customHeight="true" outlineLevel="0" collapsed="false">
      <c r="A997" s="2" t="n">
        <f aca="false">'Raw Data'!H997</f>
        <v>996</v>
      </c>
      <c r="B997" s="2" t="n">
        <f aca="false">'Raw Data'!A997</f>
        <v>33</v>
      </c>
      <c r="C997" s="2" t="str">
        <f aca="false">'Raw Data'!D997</f>
        <v>Research &amp; Development</v>
      </c>
      <c r="D997" s="2" t="str">
        <f aca="false">'Raw Data'!K997</f>
        <v>Sales Representative</v>
      </c>
      <c r="E997" s="2" t="n">
        <f aca="false">'Raw Data'!Q997</f>
        <v>13</v>
      </c>
      <c r="F997" s="2" t="n">
        <f aca="false">'Raw Data'!U997</f>
        <v>7</v>
      </c>
      <c r="G997" s="2" t="n">
        <f aca="false">'Raw Data'!W997</f>
        <v>2</v>
      </c>
      <c r="H997" s="2" t="n">
        <f aca="false">'Raw Data'!V997</f>
        <v>4</v>
      </c>
      <c r="I997" s="2" t="n">
        <f aca="false">IF(AND(ISNUMBER(B997),B997&lt;=25),2,0)+IF(AND(ISNUMBER(E997),E997&lt;=5),2,0)+IF(AND(ISNUMBER(F997),F997&lt;=1),2,0)+IF(AND(ISNUMBER(G997),G997&lt;=2),1,0)+IF(AND(ISNUMBER(H997),H997&lt;=2),1,0)</f>
        <v>1</v>
      </c>
      <c r="J997" s="2" t="str">
        <f aca="false">IF(I997&gt;=6,"High",IF(I997&gt;=3,"Medium","Low"))</f>
        <v>Low</v>
      </c>
    </row>
    <row r="998" customFormat="false" ht="15" hidden="false" customHeight="true" outlineLevel="0" collapsed="false">
      <c r="A998" s="2" t="n">
        <f aca="false">'Raw Data'!H998</f>
        <v>997</v>
      </c>
      <c r="B998" s="2" t="n">
        <f aca="false">'Raw Data'!A998</f>
        <v>49</v>
      </c>
      <c r="C998" s="2" t="str">
        <f aca="false">'Raw Data'!D998</f>
        <v>Sales</v>
      </c>
      <c r="D998" s="2" t="str">
        <f aca="false">'Raw Data'!K998</f>
        <v>Sales Executive</v>
      </c>
      <c r="E998" s="2" t="n">
        <f aca="false">'Raw Data'!Q998</f>
        <v>8</v>
      </c>
      <c r="F998" s="2" t="n">
        <f aca="false">'Raw Data'!U998</f>
        <v>4</v>
      </c>
      <c r="G998" s="2" t="n">
        <f aca="false">'Raw Data'!W998</f>
        <v>4</v>
      </c>
      <c r="H998" s="2" t="n">
        <f aca="false">'Raw Data'!V998</f>
        <v>4</v>
      </c>
      <c r="I998" s="2" t="n">
        <f aca="false">IF(AND(ISNUMBER(B998),B998&lt;=25),2,0)+IF(AND(ISNUMBER(E998),E998&lt;=5),2,0)+IF(AND(ISNUMBER(F998),F998&lt;=1),2,0)+IF(AND(ISNUMBER(G998),G998&lt;=2),1,0)+IF(AND(ISNUMBER(H998),H998&lt;=2),1,0)</f>
        <v>0</v>
      </c>
      <c r="J998" s="2" t="str">
        <f aca="false">IF(I998&gt;=6,"High",IF(I998&gt;=3,"Medium","Low"))</f>
        <v>Low</v>
      </c>
    </row>
    <row r="999" customFormat="false" ht="15" hidden="false" customHeight="true" outlineLevel="0" collapsed="false">
      <c r="A999" s="2" t="n">
        <f aca="false">'Raw Data'!H999</f>
        <v>998</v>
      </c>
      <c r="B999" s="2" t="n">
        <f aca="false">'Raw Data'!A999</f>
        <v>33</v>
      </c>
      <c r="C999" s="2" t="str">
        <f aca="false">'Raw Data'!D999</f>
        <v>Research &amp; Development</v>
      </c>
      <c r="D999" s="2" t="str">
        <f aca="false">'Raw Data'!K999</f>
        <v>Sales Executive</v>
      </c>
      <c r="E999" s="2" t="n">
        <f aca="false">'Raw Data'!Q999</f>
        <v>11</v>
      </c>
      <c r="F999" s="2" t="n">
        <f aca="false">'Raw Data'!U999</f>
        <v>0</v>
      </c>
      <c r="G999" s="2" t="n">
        <f aca="false">'Raw Data'!W999</f>
        <v>1</v>
      </c>
      <c r="H999" s="2" t="n">
        <f aca="false">'Raw Data'!V999</f>
        <v>1</v>
      </c>
      <c r="I999" s="2" t="n">
        <f aca="false">IF(AND(ISNUMBER(B999),B999&lt;=25),2,0)+IF(AND(ISNUMBER(E999),E999&lt;=5),2,0)+IF(AND(ISNUMBER(F999),F999&lt;=1),2,0)+IF(AND(ISNUMBER(G999),G999&lt;=2),1,0)+IF(AND(ISNUMBER(H999),H999&lt;=2),1,0)</f>
        <v>4</v>
      </c>
      <c r="J999" s="2" t="str">
        <f aca="false">IF(I999&gt;=6,"High",IF(I999&gt;=3,"Medium","Low"))</f>
        <v>Medium</v>
      </c>
    </row>
    <row r="1000" customFormat="false" ht="15" hidden="false" customHeight="true" outlineLevel="0" collapsed="false">
      <c r="A1000" s="2" t="n">
        <f aca="false">'Raw Data'!H1000</f>
        <v>999</v>
      </c>
      <c r="B1000" s="2" t="n">
        <f aca="false">'Raw Data'!A1000</f>
        <v>38</v>
      </c>
      <c r="C1000" s="2" t="str">
        <f aca="false">'Raw Data'!D1000</f>
        <v>Research &amp; Development</v>
      </c>
      <c r="D1000" s="2" t="str">
        <f aca="false">'Raw Data'!K1000</f>
        <v>Healthcare Representative</v>
      </c>
      <c r="E1000" s="2" t="n">
        <f aca="false">'Raw Data'!Q1000</f>
        <v>9</v>
      </c>
      <c r="F1000" s="2" t="n">
        <f aca="false">'Raw Data'!U1000</f>
        <v>5</v>
      </c>
      <c r="G1000" s="2" t="n">
        <f aca="false">'Raw Data'!W1000</f>
        <v>2</v>
      </c>
      <c r="H1000" s="2" t="n">
        <f aca="false">'Raw Data'!V1000</f>
        <v>3</v>
      </c>
      <c r="I1000" s="2" t="n">
        <f aca="false">IF(AND(ISNUMBER(B1000),B1000&lt;=25),2,0)+IF(AND(ISNUMBER(E1000),E1000&lt;=5),2,0)+IF(AND(ISNUMBER(F1000),F1000&lt;=1),2,0)+IF(AND(ISNUMBER(G1000),G1000&lt;=2),1,0)+IF(AND(ISNUMBER(H1000),H1000&lt;=2),1,0)</f>
        <v>1</v>
      </c>
      <c r="J1000" s="2" t="str">
        <f aca="false">IF(I1000&gt;=6,"High",IF(I1000&gt;=3,"Medium","Low"))</f>
        <v>Low</v>
      </c>
    </row>
    <row r="1001" customFormat="false" ht="15" hidden="false" customHeight="true" outlineLevel="0" collapsed="false">
      <c r="A1001" s="2" t="n">
        <f aca="false">'Raw Data'!H1001</f>
        <v>1000</v>
      </c>
      <c r="B1001" s="2" t="n">
        <f aca="false">'Raw Data'!A1001</f>
        <v>31</v>
      </c>
      <c r="C1001" s="2" t="str">
        <f aca="false">'Raw Data'!D1001</f>
        <v>Human Resources</v>
      </c>
      <c r="D1001" s="2" t="str">
        <f aca="false">'Raw Data'!K1001</f>
        <v>Laboratory Technician</v>
      </c>
      <c r="E1001" s="2" t="n">
        <f aca="false">'Raw Data'!Q1001</f>
        <v>10</v>
      </c>
      <c r="F1001" s="2" t="n">
        <f aca="false">'Raw Data'!U1001</f>
        <v>0</v>
      </c>
      <c r="G1001" s="2" t="n">
        <f aca="false">'Raw Data'!W1001</f>
        <v>3</v>
      </c>
      <c r="H1001" s="2" t="n">
        <f aca="false">'Raw Data'!V1001</f>
        <v>1</v>
      </c>
      <c r="I1001" s="2" t="n">
        <f aca="false">IF(AND(ISNUMBER(B1001),B1001&lt;=25),2,0)+IF(AND(ISNUMBER(E1001),E1001&lt;=5),2,0)+IF(AND(ISNUMBER(F1001),F1001&lt;=1),2,0)+IF(AND(ISNUMBER(G1001),G1001&lt;=2),1,0)+IF(AND(ISNUMBER(H1001),H1001&lt;=2),1,0)</f>
        <v>3</v>
      </c>
      <c r="J1001" s="2" t="str">
        <f aca="false">IF(I1001&gt;=6,"High",IF(I1001&gt;=3,"Medium","Low"))</f>
        <v>Medium</v>
      </c>
    </row>
    <row r="1002" customFormat="false" ht="15" hidden="false" customHeight="true" outlineLevel="0" collapsed="false">
      <c r="A1002" s="2" t="n">
        <f aca="false">'Raw Data'!H1002</f>
        <v>1001</v>
      </c>
      <c r="B1002" s="2" t="n">
        <f aca="false">'Raw Data'!A1002</f>
        <v>29</v>
      </c>
      <c r="C1002" s="2" t="str">
        <f aca="false">'Raw Data'!D1002</f>
        <v>Research &amp; Development</v>
      </c>
      <c r="D1002" s="2" t="str">
        <f aca="false">'Raw Data'!K1002</f>
        <v>Sales Representative</v>
      </c>
      <c r="E1002" s="2" t="n">
        <f aca="false">'Raw Data'!Q1002</f>
        <v>1</v>
      </c>
      <c r="F1002" s="2" t="n">
        <f aca="false">'Raw Data'!U1002</f>
        <v>0</v>
      </c>
      <c r="G1002" s="2" t="n">
        <f aca="false">'Raw Data'!W1002</f>
        <v>1</v>
      </c>
      <c r="H1002" s="2" t="n">
        <f aca="false">'Raw Data'!V1002</f>
        <v>4</v>
      </c>
      <c r="I1002" s="2" t="n">
        <f aca="false">IF(AND(ISNUMBER(B1002),B1002&lt;=25),2,0)+IF(AND(ISNUMBER(E1002),E1002&lt;=5),2,0)+IF(AND(ISNUMBER(F1002),F1002&lt;=1),2,0)+IF(AND(ISNUMBER(G1002),G1002&lt;=2),1,0)+IF(AND(ISNUMBER(H1002),H1002&lt;=2),1,0)</f>
        <v>5</v>
      </c>
      <c r="J1002" s="2" t="str">
        <f aca="false">IF(I1002&gt;=6,"High",IF(I1002&gt;=3,"Medium","Low"))</f>
        <v>Medium</v>
      </c>
    </row>
    <row r="1003" customFormat="false" ht="15" hidden="false" customHeight="true" outlineLevel="0" collapsed="false">
      <c r="A1003" s="2" t="n">
        <f aca="false">'Raw Data'!H1003</f>
        <v>1002</v>
      </c>
      <c r="B1003" s="2" t="n">
        <f aca="false">'Raw Data'!A1003</f>
        <v>30</v>
      </c>
      <c r="C1003" s="2" t="str">
        <f aca="false">'Raw Data'!D1003</f>
        <v>Research &amp; Development</v>
      </c>
      <c r="D1003" s="2" t="str">
        <f aca="false">'Raw Data'!K1003</f>
        <v>Sales Representative</v>
      </c>
      <c r="E1003" s="2" t="n">
        <f aca="false">'Raw Data'!Q1003</f>
        <v>10</v>
      </c>
      <c r="F1003" s="2" t="n">
        <f aca="false">'Raw Data'!U1003</f>
        <v>7</v>
      </c>
      <c r="G1003" s="2" t="n">
        <f aca="false">'Raw Data'!W1003</f>
        <v>3</v>
      </c>
      <c r="H1003" s="2" t="n">
        <f aca="false">'Raw Data'!V1003</f>
        <v>3</v>
      </c>
      <c r="I1003" s="2" t="n">
        <f aca="false">IF(AND(ISNUMBER(B1003),B1003&lt;=25),2,0)+IF(AND(ISNUMBER(E1003),E1003&lt;=5),2,0)+IF(AND(ISNUMBER(F1003),F1003&lt;=1),2,0)+IF(AND(ISNUMBER(G1003),G1003&lt;=2),1,0)+IF(AND(ISNUMBER(H1003),H1003&lt;=2),1,0)</f>
        <v>0</v>
      </c>
      <c r="J1003" s="2" t="str">
        <f aca="false">IF(I1003&gt;=6,"High",IF(I1003&gt;=3,"Medium","Low"))</f>
        <v>Low</v>
      </c>
    </row>
    <row r="1004" customFormat="false" ht="15" hidden="false" customHeight="true" outlineLevel="0" collapsed="false">
      <c r="A1004" s="2" t="n">
        <f aca="false">'Raw Data'!H1004</f>
        <v>1003</v>
      </c>
      <c r="B1004" s="2" t="n">
        <f aca="false">'Raw Data'!A1004</f>
        <v>32</v>
      </c>
      <c r="C1004" s="2" t="str">
        <f aca="false">'Raw Data'!D1004</f>
        <v>Research &amp; Development</v>
      </c>
      <c r="D1004" s="2" t="str">
        <f aca="false">'Raw Data'!K1004</f>
        <v>Laboratory Technician</v>
      </c>
      <c r="E1004" s="2" t="n">
        <f aca="false">'Raw Data'!Q1004</f>
        <v>12</v>
      </c>
      <c r="F1004" s="2" t="n">
        <f aca="false">'Raw Data'!U1004</f>
        <v>7</v>
      </c>
      <c r="G1004" s="2" t="n">
        <f aca="false">'Raw Data'!W1004</f>
        <v>2</v>
      </c>
      <c r="H1004" s="2" t="n">
        <f aca="false">'Raw Data'!V1004</f>
        <v>2</v>
      </c>
      <c r="I1004" s="2" t="n">
        <f aca="false">IF(AND(ISNUMBER(B1004),B1004&lt;=25),2,0)+IF(AND(ISNUMBER(E1004),E1004&lt;=5),2,0)+IF(AND(ISNUMBER(F1004),F1004&lt;=1),2,0)+IF(AND(ISNUMBER(G1004),G1004&lt;=2),1,0)+IF(AND(ISNUMBER(H1004),H1004&lt;=2),1,0)</f>
        <v>2</v>
      </c>
      <c r="J1004" s="2" t="str">
        <f aca="false">IF(I1004&gt;=6,"High",IF(I1004&gt;=3,"Medium","Low"))</f>
        <v>Low</v>
      </c>
    </row>
    <row r="1005" customFormat="false" ht="15" hidden="false" customHeight="true" outlineLevel="0" collapsed="false">
      <c r="A1005" s="2" t="n">
        <f aca="false">'Raw Data'!H1005</f>
        <v>1004</v>
      </c>
      <c r="B1005" s="2" t="n">
        <f aca="false">'Raw Data'!A1005</f>
        <v>38</v>
      </c>
      <c r="C1005" s="2" t="str">
        <f aca="false">'Raw Data'!D1005</f>
        <v>Research &amp; Development</v>
      </c>
      <c r="D1005" s="2" t="str">
        <f aca="false">'Raw Data'!K1005</f>
        <v>Manufacturing Director</v>
      </c>
      <c r="E1005" s="2" t="n">
        <f aca="false">'Raw Data'!Q1005</f>
        <v>15</v>
      </c>
      <c r="F1005" s="2" t="n">
        <f aca="false">'Raw Data'!U1005</f>
        <v>0</v>
      </c>
      <c r="G1005" s="2" t="n">
        <f aca="false">'Raw Data'!W1005</f>
        <v>4</v>
      </c>
      <c r="H1005" s="2" t="n">
        <f aca="false">'Raw Data'!V1005</f>
        <v>2</v>
      </c>
      <c r="I1005" s="2" t="n">
        <f aca="false">IF(AND(ISNUMBER(B1005),B1005&lt;=25),2,0)+IF(AND(ISNUMBER(E1005),E1005&lt;=5),2,0)+IF(AND(ISNUMBER(F1005),F1005&lt;=1),2,0)+IF(AND(ISNUMBER(G1005),G1005&lt;=2),1,0)+IF(AND(ISNUMBER(H1005),H1005&lt;=2),1,0)</f>
        <v>3</v>
      </c>
      <c r="J1005" s="2" t="str">
        <f aca="false">IF(I1005&gt;=6,"High",IF(I1005&gt;=3,"Medium","Low"))</f>
        <v>Medium</v>
      </c>
    </row>
    <row r="1006" customFormat="false" ht="15" hidden="false" customHeight="true" outlineLevel="0" collapsed="false">
      <c r="A1006" s="2" t="n">
        <f aca="false">'Raw Data'!H1006</f>
        <v>1005</v>
      </c>
      <c r="B1006" s="2" t="n">
        <f aca="false">'Raw Data'!A1006</f>
        <v>43</v>
      </c>
      <c r="C1006" s="2" t="str">
        <f aca="false">'Raw Data'!D1006</f>
        <v>Research &amp; Development</v>
      </c>
      <c r="D1006" s="2" t="str">
        <f aca="false">'Raw Data'!K1006</f>
        <v>Sales Executive</v>
      </c>
      <c r="E1006" s="2" t="n">
        <f aca="false">'Raw Data'!Q1006</f>
        <v>6</v>
      </c>
      <c r="F1006" s="2" t="n">
        <f aca="false">'Raw Data'!U1006</f>
        <v>0</v>
      </c>
      <c r="G1006" s="2" t="n">
        <f aca="false">'Raw Data'!W1006</f>
        <v>3</v>
      </c>
      <c r="H1006" s="2" t="n">
        <f aca="false">'Raw Data'!V1006</f>
        <v>3</v>
      </c>
      <c r="I1006" s="2" t="n">
        <f aca="false">IF(AND(ISNUMBER(B1006),B1006&lt;=25),2,0)+IF(AND(ISNUMBER(E1006),E1006&lt;=5),2,0)+IF(AND(ISNUMBER(F1006),F1006&lt;=1),2,0)+IF(AND(ISNUMBER(G1006),G1006&lt;=2),1,0)+IF(AND(ISNUMBER(H1006),H1006&lt;=2),1,0)</f>
        <v>2</v>
      </c>
      <c r="J1006" s="2" t="str">
        <f aca="false">IF(I1006&gt;=6,"High",IF(I1006&gt;=3,"Medium","Low"))</f>
        <v>Low</v>
      </c>
    </row>
    <row r="1007" customFormat="false" ht="15" hidden="false" customHeight="true" outlineLevel="0" collapsed="false">
      <c r="A1007" s="2" t="n">
        <f aca="false">'Raw Data'!H1007</f>
        <v>1006</v>
      </c>
      <c r="B1007" s="2" t="n">
        <f aca="false">'Raw Data'!A1007</f>
        <v>42</v>
      </c>
      <c r="C1007" s="2" t="str">
        <f aca="false">'Raw Data'!D1007</f>
        <v>Human Resources</v>
      </c>
      <c r="D1007" s="2" t="str">
        <f aca="false">'Raw Data'!K1007</f>
        <v>Healthcare Representative</v>
      </c>
      <c r="E1007" s="2" t="n">
        <f aca="false">'Raw Data'!Q1007</f>
        <v>7</v>
      </c>
      <c r="F1007" s="2" t="n">
        <f aca="false">'Raw Data'!U1007</f>
        <v>4</v>
      </c>
      <c r="G1007" s="2" t="n">
        <f aca="false">'Raw Data'!W1007</f>
        <v>2</v>
      </c>
      <c r="H1007" s="2" t="n">
        <f aca="false">'Raw Data'!V1007</f>
        <v>2</v>
      </c>
      <c r="I1007" s="2" t="n">
        <f aca="false">IF(AND(ISNUMBER(B1007),B1007&lt;=25),2,0)+IF(AND(ISNUMBER(E1007),E1007&lt;=5),2,0)+IF(AND(ISNUMBER(F1007),F1007&lt;=1),2,0)+IF(AND(ISNUMBER(G1007),G1007&lt;=2),1,0)+IF(AND(ISNUMBER(H1007),H1007&lt;=2),1,0)</f>
        <v>2</v>
      </c>
      <c r="J1007" s="2" t="str">
        <f aca="false">IF(I1007&gt;=6,"High",IF(I1007&gt;=3,"Medium","Low"))</f>
        <v>Low</v>
      </c>
    </row>
    <row r="1008" customFormat="false" ht="15" hidden="false" customHeight="true" outlineLevel="0" collapsed="false">
      <c r="A1008" s="2" t="n">
        <f aca="false">'Raw Data'!H1008</f>
        <v>1007</v>
      </c>
      <c r="B1008" s="2" t="n">
        <f aca="false">'Raw Data'!A1008</f>
        <v>55</v>
      </c>
      <c r="C1008" s="2" t="str">
        <f aca="false">'Raw Data'!D1008</f>
        <v>Research &amp; Development</v>
      </c>
      <c r="D1008" s="2" t="str">
        <f aca="false">'Raw Data'!K1008</f>
        <v>Sales Executive</v>
      </c>
      <c r="E1008" s="2" t="n">
        <f aca="false">'Raw Data'!Q1008</f>
        <v>34</v>
      </c>
      <c r="F1008" s="2" t="n">
        <f aca="false">'Raw Data'!U1008</f>
        <v>0</v>
      </c>
      <c r="G1008" s="2" t="n">
        <f aca="false">'Raw Data'!W1008</f>
        <v>1</v>
      </c>
      <c r="H1008" s="2" t="n">
        <f aca="false">'Raw Data'!V1008</f>
        <v>3</v>
      </c>
      <c r="I1008" s="2" t="n">
        <f aca="false">IF(AND(ISNUMBER(B1008),B1008&lt;=25),2,0)+IF(AND(ISNUMBER(E1008),E1008&lt;=5),2,0)+IF(AND(ISNUMBER(F1008),F1008&lt;=1),2,0)+IF(AND(ISNUMBER(G1008),G1008&lt;=2),1,0)+IF(AND(ISNUMBER(H1008),H1008&lt;=2),1,0)</f>
        <v>3</v>
      </c>
      <c r="J1008" s="2" t="str">
        <f aca="false">IF(I1008&gt;=6,"High",IF(I1008&gt;=3,"Medium","Low"))</f>
        <v>Medium</v>
      </c>
    </row>
    <row r="1009" customFormat="false" ht="15" hidden="false" customHeight="true" outlineLevel="0" collapsed="false">
      <c r="A1009" s="2" t="n">
        <f aca="false">'Raw Data'!H1009</f>
        <v>1008</v>
      </c>
      <c r="B1009" s="2" t="n">
        <f aca="false">'Raw Data'!A1009</f>
        <v>33</v>
      </c>
      <c r="C1009" s="2" t="str">
        <f aca="false">'Raw Data'!D1009</f>
        <v>Research &amp; Development</v>
      </c>
      <c r="D1009" s="2" t="str">
        <f aca="false">'Raw Data'!K1009</f>
        <v>Research Scientist</v>
      </c>
      <c r="E1009" s="2" t="n">
        <f aca="false">'Raw Data'!Q1009</f>
        <v>11</v>
      </c>
      <c r="F1009" s="2" t="n">
        <f aca="false">'Raw Data'!U1009</f>
        <v>7</v>
      </c>
      <c r="G1009" s="2" t="n">
        <f aca="false">'Raw Data'!W1009</f>
        <v>2</v>
      </c>
      <c r="H1009" s="2" t="n">
        <f aca="false">'Raw Data'!V1009</f>
        <v>4</v>
      </c>
      <c r="I1009" s="2" t="n">
        <f aca="false">IF(AND(ISNUMBER(B1009),B1009&lt;=25),2,0)+IF(AND(ISNUMBER(E1009),E1009&lt;=5),2,0)+IF(AND(ISNUMBER(F1009),F1009&lt;=1),2,0)+IF(AND(ISNUMBER(G1009),G1009&lt;=2),1,0)+IF(AND(ISNUMBER(H1009),H1009&lt;=2),1,0)</f>
        <v>1</v>
      </c>
      <c r="J1009" s="2" t="str">
        <f aca="false">IF(I1009&gt;=6,"High",IF(I1009&gt;=3,"Medium","Low"))</f>
        <v>Low</v>
      </c>
    </row>
    <row r="1010" customFormat="false" ht="15" hidden="false" customHeight="true" outlineLevel="0" collapsed="false">
      <c r="A1010" s="2" t="n">
        <f aca="false">'Raw Data'!H1010</f>
        <v>1009</v>
      </c>
      <c r="B1010" s="2" t="n">
        <f aca="false">'Raw Data'!A1010</f>
        <v>41</v>
      </c>
      <c r="C1010" s="2" t="str">
        <f aca="false">'Raw Data'!D1010</f>
        <v>Research &amp; Development</v>
      </c>
      <c r="D1010" s="2" t="str">
        <f aca="false">'Raw Data'!K1010</f>
        <v>Sales Representative</v>
      </c>
      <c r="E1010" s="2" t="n">
        <f aca="false">'Raw Data'!Q1010</f>
        <v>5</v>
      </c>
      <c r="F1010" s="2" t="n">
        <f aca="false">'Raw Data'!U1010</f>
        <v>4</v>
      </c>
      <c r="G1010" s="2" t="n">
        <f aca="false">'Raw Data'!W1010</f>
        <v>1</v>
      </c>
      <c r="H1010" s="2" t="n">
        <f aca="false">'Raw Data'!V1010</f>
        <v>3</v>
      </c>
      <c r="I1010" s="2" t="n">
        <f aca="false">IF(AND(ISNUMBER(B1010),B1010&lt;=25),2,0)+IF(AND(ISNUMBER(E1010),E1010&lt;=5),2,0)+IF(AND(ISNUMBER(F1010),F1010&lt;=1),2,0)+IF(AND(ISNUMBER(G1010),G1010&lt;=2),1,0)+IF(AND(ISNUMBER(H1010),H1010&lt;=2),1,0)</f>
        <v>3</v>
      </c>
      <c r="J1010" s="2" t="str">
        <f aca="false">IF(I1010&gt;=6,"High",IF(I1010&gt;=3,"Medium","Low"))</f>
        <v>Medium</v>
      </c>
    </row>
    <row r="1011" customFormat="false" ht="15" hidden="false" customHeight="true" outlineLevel="0" collapsed="false">
      <c r="A1011" s="2" t="n">
        <f aca="false">'Raw Data'!H1011</f>
        <v>1010</v>
      </c>
      <c r="B1011" s="2" t="n">
        <f aca="false">'Raw Data'!A1011</f>
        <v>34</v>
      </c>
      <c r="C1011" s="2" t="str">
        <f aca="false">'Raw Data'!D1011</f>
        <v>Research &amp; Development</v>
      </c>
      <c r="D1011" s="2" t="str">
        <f aca="false">'Raw Data'!K1011</f>
        <v>Research Scientist</v>
      </c>
      <c r="E1011" s="2" t="n">
        <f aca="false">'Raw Data'!Q1011</f>
        <v>15</v>
      </c>
      <c r="F1011" s="2" t="n">
        <f aca="false">'Raw Data'!U1011</f>
        <v>7</v>
      </c>
      <c r="G1011" s="2" t="n">
        <f aca="false">'Raw Data'!W1011</f>
        <v>3</v>
      </c>
      <c r="H1011" s="2" t="n">
        <f aca="false">'Raw Data'!V1011</f>
        <v>4</v>
      </c>
      <c r="I1011" s="2" t="n">
        <f aca="false">IF(AND(ISNUMBER(B1011),B1011&lt;=25),2,0)+IF(AND(ISNUMBER(E1011),E1011&lt;=5),2,0)+IF(AND(ISNUMBER(F1011),F1011&lt;=1),2,0)+IF(AND(ISNUMBER(G1011),G1011&lt;=2),1,0)+IF(AND(ISNUMBER(H1011),H1011&lt;=2),1,0)</f>
        <v>0</v>
      </c>
      <c r="J1011" s="2" t="str">
        <f aca="false">IF(I1011&gt;=6,"High",IF(I1011&gt;=3,"Medium","Low"))</f>
        <v>Low</v>
      </c>
    </row>
    <row r="1012" customFormat="false" ht="15" hidden="false" customHeight="true" outlineLevel="0" collapsed="false">
      <c r="A1012" s="2" t="n">
        <f aca="false">'Raw Data'!H1012</f>
        <v>1011</v>
      </c>
      <c r="B1012" s="2" t="n">
        <f aca="false">'Raw Data'!A1012</f>
        <v>53</v>
      </c>
      <c r="C1012" s="2" t="str">
        <f aca="false">'Raw Data'!D1012</f>
        <v>Research &amp; Development</v>
      </c>
      <c r="D1012" s="2" t="str">
        <f aca="false">'Raw Data'!K1012</f>
        <v>Healthcare Representative</v>
      </c>
      <c r="E1012" s="2" t="n">
        <f aca="false">'Raw Data'!Q1012</f>
        <v>27</v>
      </c>
      <c r="F1012" s="2" t="n">
        <f aca="false">'Raw Data'!U1012</f>
        <v>2</v>
      </c>
      <c r="G1012" s="2" t="n">
        <f aca="false">'Raw Data'!W1012</f>
        <v>3</v>
      </c>
      <c r="H1012" s="2" t="n">
        <f aca="false">'Raw Data'!V1012</f>
        <v>1</v>
      </c>
      <c r="I1012" s="2" t="n">
        <f aca="false">IF(AND(ISNUMBER(B1012),B1012&lt;=25),2,0)+IF(AND(ISNUMBER(E1012),E1012&lt;=5),2,0)+IF(AND(ISNUMBER(F1012),F1012&lt;=1),2,0)+IF(AND(ISNUMBER(G1012),G1012&lt;=2),1,0)+IF(AND(ISNUMBER(H1012),H1012&lt;=2),1,0)</f>
        <v>1</v>
      </c>
      <c r="J1012" s="2" t="str">
        <f aca="false">IF(I1012&gt;=6,"High",IF(I1012&gt;=3,"Medium","Low"))</f>
        <v>Low</v>
      </c>
    </row>
    <row r="1013" customFormat="false" ht="15" hidden="false" customHeight="true" outlineLevel="0" collapsed="false">
      <c r="A1013" s="2" t="n">
        <f aca="false">'Raw Data'!H1013</f>
        <v>1012</v>
      </c>
      <c r="B1013" s="2" t="n">
        <f aca="false">'Raw Data'!A1013</f>
        <v>43</v>
      </c>
      <c r="C1013" s="2" t="str">
        <f aca="false">'Raw Data'!D1013</f>
        <v>Sales</v>
      </c>
      <c r="D1013" s="2" t="str">
        <f aca="false">'Raw Data'!K1013</f>
        <v>Laboratory Technician</v>
      </c>
      <c r="E1013" s="2" t="n">
        <f aca="false">'Raw Data'!Q1013</f>
        <v>10</v>
      </c>
      <c r="F1013" s="2" t="n">
        <f aca="false">'Raw Data'!U1013</f>
        <v>8</v>
      </c>
      <c r="G1013" s="2" t="n">
        <f aca="false">'Raw Data'!W1013</f>
        <v>4</v>
      </c>
      <c r="H1013" s="2" t="n">
        <f aca="false">'Raw Data'!V1013</f>
        <v>2</v>
      </c>
      <c r="I1013" s="2" t="n">
        <f aca="false">IF(AND(ISNUMBER(B1013),B1013&lt;=25),2,0)+IF(AND(ISNUMBER(E1013),E1013&lt;=5),2,0)+IF(AND(ISNUMBER(F1013),F1013&lt;=1),2,0)+IF(AND(ISNUMBER(G1013),G1013&lt;=2),1,0)+IF(AND(ISNUMBER(H1013),H1013&lt;=2),1,0)</f>
        <v>1</v>
      </c>
      <c r="J1013" s="2" t="str">
        <f aca="false">IF(I1013&gt;=6,"High",IF(I1013&gt;=3,"Medium","Low"))</f>
        <v>Low</v>
      </c>
    </row>
    <row r="1014" customFormat="false" ht="15" hidden="false" customHeight="true" outlineLevel="0" collapsed="false">
      <c r="A1014" s="2" t="n">
        <f aca="false">'Raw Data'!H1014</f>
        <v>1013</v>
      </c>
      <c r="B1014" s="2" t="n">
        <f aca="false">'Raw Data'!A1014</f>
        <v>34</v>
      </c>
      <c r="C1014" s="2" t="str">
        <f aca="false">'Raw Data'!D1014</f>
        <v>Sales</v>
      </c>
      <c r="D1014" s="2" t="str">
        <f aca="false">'Raw Data'!K1014</f>
        <v>Sales Executive</v>
      </c>
      <c r="E1014" s="2" t="n">
        <f aca="false">'Raw Data'!Q1014</f>
        <v>6</v>
      </c>
      <c r="F1014" s="2" t="n">
        <f aca="false">'Raw Data'!U1014</f>
        <v>2</v>
      </c>
      <c r="G1014" s="2" t="n">
        <f aca="false">'Raw Data'!W1014</f>
        <v>4</v>
      </c>
      <c r="H1014" s="2" t="n">
        <f aca="false">'Raw Data'!V1014</f>
        <v>4</v>
      </c>
      <c r="I1014" s="2" t="n">
        <f aca="false">IF(AND(ISNUMBER(B1014),B1014&lt;=25),2,0)+IF(AND(ISNUMBER(E1014),E1014&lt;=5),2,0)+IF(AND(ISNUMBER(F1014),F1014&lt;=1),2,0)+IF(AND(ISNUMBER(G1014),G1014&lt;=2),1,0)+IF(AND(ISNUMBER(H1014),H1014&lt;=2),1,0)</f>
        <v>0</v>
      </c>
      <c r="J1014" s="2" t="str">
        <f aca="false">IF(I1014&gt;=6,"High",IF(I1014&gt;=3,"Medium","Low"))</f>
        <v>Low</v>
      </c>
    </row>
    <row r="1015" customFormat="false" ht="15" hidden="false" customHeight="true" outlineLevel="0" collapsed="false">
      <c r="A1015" s="2" t="n">
        <f aca="false">'Raw Data'!H1015</f>
        <v>1014</v>
      </c>
      <c r="B1015" s="2" t="n">
        <f aca="false">'Raw Data'!A1015</f>
        <v>21</v>
      </c>
      <c r="C1015" s="2" t="str">
        <f aca="false">'Raw Data'!D1015</f>
        <v>Sales</v>
      </c>
      <c r="D1015" s="2" t="str">
        <f aca="false">'Raw Data'!K1015</f>
        <v>Healthcare Representative</v>
      </c>
      <c r="E1015" s="2" t="n">
        <f aca="false">'Raw Data'!Q1015</f>
        <v>1</v>
      </c>
      <c r="F1015" s="2" t="n">
        <f aca="false">'Raw Data'!U1015</f>
        <v>0</v>
      </c>
      <c r="G1015" s="2" t="n">
        <f aca="false">'Raw Data'!W1015</f>
        <v>2</v>
      </c>
      <c r="H1015" s="2" t="n">
        <f aca="false">'Raw Data'!V1015</f>
        <v>2</v>
      </c>
      <c r="I1015" s="2" t="n">
        <f aca="false">IF(AND(ISNUMBER(B1015),B1015&lt;=25),2,0)+IF(AND(ISNUMBER(E1015),E1015&lt;=5),2,0)+IF(AND(ISNUMBER(F1015),F1015&lt;=1),2,0)+IF(AND(ISNUMBER(G1015),G1015&lt;=2),1,0)+IF(AND(ISNUMBER(H1015),H1015&lt;=2),1,0)</f>
        <v>8</v>
      </c>
      <c r="J1015" s="2" t="str">
        <f aca="false">IF(I1015&gt;=6,"High",IF(I1015&gt;=3,"Medium","Low"))</f>
        <v>High</v>
      </c>
    </row>
    <row r="1016" customFormat="false" ht="15" hidden="false" customHeight="true" outlineLevel="0" collapsed="false">
      <c r="A1016" s="2" t="n">
        <f aca="false">'Raw Data'!H1016</f>
        <v>1015</v>
      </c>
      <c r="B1016" s="2" t="n">
        <f aca="false">'Raw Data'!A1016</f>
        <v>38</v>
      </c>
      <c r="C1016" s="2" t="str">
        <f aca="false">'Raw Data'!D1016</f>
        <v>Research &amp; Development</v>
      </c>
      <c r="D1016" s="2" t="str">
        <f aca="false">'Raw Data'!K1016</f>
        <v>Sales Executive</v>
      </c>
      <c r="E1016" s="2" t="n">
        <f aca="false">'Raw Data'!Q1016</f>
        <v>5</v>
      </c>
      <c r="F1016" s="2" t="n">
        <f aca="false">'Raw Data'!U1016</f>
        <v>4</v>
      </c>
      <c r="G1016" s="2" t="n">
        <f aca="false">'Raw Data'!W1016</f>
        <v>3</v>
      </c>
      <c r="H1016" s="2" t="n">
        <f aca="false">'Raw Data'!V1016</f>
        <v>4</v>
      </c>
      <c r="I1016" s="2" t="n">
        <f aca="false">IF(AND(ISNUMBER(B1016),B1016&lt;=25),2,0)+IF(AND(ISNUMBER(E1016),E1016&lt;=5),2,0)+IF(AND(ISNUMBER(F1016),F1016&lt;=1),2,0)+IF(AND(ISNUMBER(G1016),G1016&lt;=2),1,0)+IF(AND(ISNUMBER(H1016),H1016&lt;=2),1,0)</f>
        <v>2</v>
      </c>
      <c r="J1016" s="2" t="str">
        <f aca="false">IF(I1016&gt;=6,"High",IF(I1016&gt;=3,"Medium","Low"))</f>
        <v>Low</v>
      </c>
    </row>
    <row r="1017" customFormat="false" ht="15" hidden="false" customHeight="true" outlineLevel="0" collapsed="false">
      <c r="A1017" s="2" t="n">
        <f aca="false">'Raw Data'!H1017</f>
        <v>1016</v>
      </c>
      <c r="B1017" s="2" t="n">
        <f aca="false">'Raw Data'!A1017</f>
        <v>22</v>
      </c>
      <c r="C1017" s="2" t="str">
        <f aca="false">'Raw Data'!D1017</f>
        <v>Research &amp; Development</v>
      </c>
      <c r="D1017" s="2" t="str">
        <f aca="false">'Raw Data'!K1017</f>
        <v>Research Scientist</v>
      </c>
      <c r="E1017" s="2" t="n">
        <f aca="false">'Raw Data'!Q1017</f>
        <v>1</v>
      </c>
      <c r="F1017" s="2" t="n">
        <f aca="false">'Raw Data'!U1017</f>
        <v>0</v>
      </c>
      <c r="G1017" s="2" t="n">
        <f aca="false">'Raw Data'!W1017</f>
        <v>1</v>
      </c>
      <c r="H1017" s="2" t="n">
        <f aca="false">'Raw Data'!V1017</f>
        <v>3</v>
      </c>
      <c r="I1017" s="2" t="n">
        <f aca="false">IF(AND(ISNUMBER(B1017),B1017&lt;=25),2,0)+IF(AND(ISNUMBER(E1017),E1017&lt;=5),2,0)+IF(AND(ISNUMBER(F1017),F1017&lt;=1),2,0)+IF(AND(ISNUMBER(G1017),G1017&lt;=2),1,0)+IF(AND(ISNUMBER(H1017),H1017&lt;=2),1,0)</f>
        <v>7</v>
      </c>
      <c r="J1017" s="2" t="str">
        <f aca="false">IF(I1017&gt;=6,"High",IF(I1017&gt;=3,"Medium","Low"))</f>
        <v>High</v>
      </c>
    </row>
    <row r="1018" customFormat="false" ht="15" hidden="false" customHeight="true" outlineLevel="0" collapsed="false">
      <c r="A1018" s="2" t="n">
        <f aca="false">'Raw Data'!H1018</f>
        <v>1017</v>
      </c>
      <c r="B1018" s="2" t="n">
        <f aca="false">'Raw Data'!A1018</f>
        <v>31</v>
      </c>
      <c r="C1018" s="2" t="str">
        <f aca="false">'Raw Data'!D1018</f>
        <v>Research &amp; Development</v>
      </c>
      <c r="D1018" s="2" t="str">
        <f aca="false">'Raw Data'!K1018</f>
        <v>Sales Executive</v>
      </c>
      <c r="E1018" s="2" t="n">
        <f aca="false">'Raw Data'!Q1018</f>
        <v>13</v>
      </c>
      <c r="F1018" s="2" t="n">
        <f aca="false">'Raw Data'!U1018</f>
        <v>7</v>
      </c>
      <c r="G1018" s="2" t="n">
        <f aca="false">'Raw Data'!W1018</f>
        <v>4</v>
      </c>
      <c r="H1018" s="2" t="n">
        <f aca="false">'Raw Data'!V1018</f>
        <v>1</v>
      </c>
      <c r="I1018" s="2" t="n">
        <f aca="false">IF(AND(ISNUMBER(B1018),B1018&lt;=25),2,0)+IF(AND(ISNUMBER(E1018),E1018&lt;=5),2,0)+IF(AND(ISNUMBER(F1018),F1018&lt;=1),2,0)+IF(AND(ISNUMBER(G1018),G1018&lt;=2),1,0)+IF(AND(ISNUMBER(H1018),H1018&lt;=2),1,0)</f>
        <v>1</v>
      </c>
      <c r="J1018" s="2" t="str">
        <f aca="false">IF(I1018&gt;=6,"High",IF(I1018&gt;=3,"Medium","Low"))</f>
        <v>Low</v>
      </c>
    </row>
    <row r="1019" customFormat="false" ht="15" hidden="false" customHeight="true" outlineLevel="0" collapsed="false">
      <c r="A1019" s="2" t="n">
        <f aca="false">'Raw Data'!H1019</f>
        <v>1018</v>
      </c>
      <c r="B1019" s="2" t="n">
        <f aca="false">'Raw Data'!A1019</f>
        <v>51</v>
      </c>
      <c r="C1019" s="2" t="str">
        <f aca="false">'Raw Data'!D1019</f>
        <v>Research &amp; Development</v>
      </c>
      <c r="D1019" s="2" t="str">
        <f aca="false">'Raw Data'!K1019</f>
        <v>Manager</v>
      </c>
      <c r="E1019" s="2" t="n">
        <f aca="false">'Raw Data'!Q1019</f>
        <v>15</v>
      </c>
      <c r="F1019" s="2" t="n">
        <f aca="false">'Raw Data'!U1019</f>
        <v>2</v>
      </c>
      <c r="G1019" s="2" t="n">
        <f aca="false">'Raw Data'!W1019</f>
        <v>3</v>
      </c>
      <c r="H1019" s="2" t="n">
        <f aca="false">'Raw Data'!V1019</f>
        <v>1</v>
      </c>
      <c r="I1019" s="2" t="n">
        <f aca="false">IF(AND(ISNUMBER(B1019),B1019&lt;=25),2,0)+IF(AND(ISNUMBER(E1019),E1019&lt;=5),2,0)+IF(AND(ISNUMBER(F1019),F1019&lt;=1),2,0)+IF(AND(ISNUMBER(G1019),G1019&lt;=2),1,0)+IF(AND(ISNUMBER(H1019),H1019&lt;=2),1,0)</f>
        <v>1</v>
      </c>
      <c r="J1019" s="2" t="str">
        <f aca="false">IF(I1019&gt;=6,"High",IF(I1019&gt;=3,"Medium","Low"))</f>
        <v>Low</v>
      </c>
    </row>
    <row r="1020" customFormat="false" ht="15" hidden="false" customHeight="true" outlineLevel="0" collapsed="false">
      <c r="A1020" s="2" t="n">
        <f aca="false">'Raw Data'!H1020</f>
        <v>1019</v>
      </c>
      <c r="B1020" s="2" t="n">
        <f aca="false">'Raw Data'!A1020</f>
        <v>37</v>
      </c>
      <c r="C1020" s="2" t="str">
        <f aca="false">'Raw Data'!D1020</f>
        <v>Research &amp; Development</v>
      </c>
      <c r="D1020" s="2" t="str">
        <f aca="false">'Raw Data'!K1020</f>
        <v>Sales Executive</v>
      </c>
      <c r="E1020" s="2" t="n">
        <f aca="false">'Raw Data'!Q1020</f>
        <v>5</v>
      </c>
      <c r="F1020" s="2" t="n">
        <f aca="false">'Raw Data'!U1020</f>
        <v>3</v>
      </c>
      <c r="G1020" s="2" t="n">
        <f aca="false">'Raw Data'!W1020</f>
        <v>2</v>
      </c>
      <c r="H1020" s="2" t="n">
        <f aca="false">'Raw Data'!V1020</f>
        <v>2</v>
      </c>
      <c r="I1020" s="2" t="n">
        <f aca="false">IF(AND(ISNUMBER(B1020),B1020&lt;=25),2,0)+IF(AND(ISNUMBER(E1020),E1020&lt;=5),2,0)+IF(AND(ISNUMBER(F1020),F1020&lt;=1),2,0)+IF(AND(ISNUMBER(G1020),G1020&lt;=2),1,0)+IF(AND(ISNUMBER(H1020),H1020&lt;=2),1,0)</f>
        <v>4</v>
      </c>
      <c r="J1020" s="2" t="str">
        <f aca="false">IF(I1020&gt;=6,"High",IF(I1020&gt;=3,"Medium","Low"))</f>
        <v>Medium</v>
      </c>
    </row>
    <row r="1021" customFormat="false" ht="15" hidden="false" customHeight="true" outlineLevel="0" collapsed="false">
      <c r="A1021" s="2" t="n">
        <f aca="false">'Raw Data'!H1021</f>
        <v>1020</v>
      </c>
      <c r="B1021" s="2" t="n">
        <f aca="false">'Raw Data'!A1021</f>
        <v>46</v>
      </c>
      <c r="C1021" s="2" t="str">
        <f aca="false">'Raw Data'!D1021</f>
        <v>Sales</v>
      </c>
      <c r="D1021" s="2" t="str">
        <f aca="false">'Raw Data'!K1021</f>
        <v>Sales Representative</v>
      </c>
      <c r="E1021" s="2" t="n">
        <f aca="false">'Raw Data'!Q1021</f>
        <v>24</v>
      </c>
      <c r="F1021" s="2" t="n">
        <f aca="false">'Raw Data'!U1021</f>
        <v>2</v>
      </c>
      <c r="G1021" s="2" t="n">
        <f aca="false">'Raw Data'!W1021</f>
        <v>4</v>
      </c>
      <c r="H1021" s="2" t="n">
        <f aca="false">'Raw Data'!V1021</f>
        <v>3</v>
      </c>
      <c r="I1021" s="2" t="n">
        <f aca="false">IF(AND(ISNUMBER(B1021),B1021&lt;=25),2,0)+IF(AND(ISNUMBER(E1021),E1021&lt;=5),2,0)+IF(AND(ISNUMBER(F1021),F1021&lt;=1),2,0)+IF(AND(ISNUMBER(G1021),G1021&lt;=2),1,0)+IF(AND(ISNUMBER(H1021),H1021&lt;=2),1,0)</f>
        <v>0</v>
      </c>
      <c r="J1021" s="2" t="str">
        <f aca="false">IF(I1021&gt;=6,"High",IF(I1021&gt;=3,"Medium","Low"))</f>
        <v>Low</v>
      </c>
    </row>
    <row r="1022" customFormat="false" ht="15" hidden="false" customHeight="true" outlineLevel="0" collapsed="false">
      <c r="A1022" s="2" t="n">
        <f aca="false">'Raw Data'!H1022</f>
        <v>1021</v>
      </c>
      <c r="B1022" s="2" t="n">
        <f aca="false">'Raw Data'!A1022</f>
        <v>36</v>
      </c>
      <c r="C1022" s="2" t="str">
        <f aca="false">'Raw Data'!D1022</f>
        <v>Research &amp; Development</v>
      </c>
      <c r="D1022" s="2" t="str">
        <f aca="false">'Raw Data'!K1022</f>
        <v>Research Scientist</v>
      </c>
      <c r="E1022" s="2" t="n">
        <f aca="false">'Raw Data'!Q1022</f>
        <v>15</v>
      </c>
      <c r="F1022" s="2" t="n">
        <f aca="false">'Raw Data'!U1022</f>
        <v>7</v>
      </c>
      <c r="G1022" s="2" t="n">
        <f aca="false">'Raw Data'!W1022</f>
        <v>1</v>
      </c>
      <c r="H1022" s="2" t="n">
        <f aca="false">'Raw Data'!V1022</f>
        <v>4</v>
      </c>
      <c r="I1022" s="2" t="n">
        <f aca="false">IF(AND(ISNUMBER(B1022),B1022&lt;=25),2,0)+IF(AND(ISNUMBER(E1022),E1022&lt;=5),2,0)+IF(AND(ISNUMBER(F1022),F1022&lt;=1),2,0)+IF(AND(ISNUMBER(G1022),G1022&lt;=2),1,0)+IF(AND(ISNUMBER(H1022),H1022&lt;=2),1,0)</f>
        <v>1</v>
      </c>
      <c r="J1022" s="2" t="str">
        <f aca="false">IF(I1022&gt;=6,"High",IF(I1022&gt;=3,"Medium","Low"))</f>
        <v>Low</v>
      </c>
    </row>
    <row r="1023" customFormat="false" ht="15" hidden="false" customHeight="true" outlineLevel="0" collapsed="false">
      <c r="A1023" s="2" t="n">
        <f aca="false">'Raw Data'!H1023</f>
        <v>1022</v>
      </c>
      <c r="B1023" s="2" t="n">
        <f aca="false">'Raw Data'!A1023</f>
        <v>44</v>
      </c>
      <c r="C1023" s="2" t="str">
        <f aca="false">'Raw Data'!D1023</f>
        <v>Sales</v>
      </c>
      <c r="D1023" s="2" t="str">
        <f aca="false">'Raw Data'!K1023</f>
        <v>Research Scientist</v>
      </c>
      <c r="E1023" s="2" t="n">
        <f aca="false">'Raw Data'!Q1023</f>
        <v>6</v>
      </c>
      <c r="F1023" s="2" t="n">
        <f aca="false">'Raw Data'!U1023</f>
        <v>3</v>
      </c>
      <c r="G1023" s="2" t="n">
        <f aca="false">'Raw Data'!W1023</f>
        <v>2</v>
      </c>
      <c r="H1023" s="2" t="n">
        <f aca="false">'Raw Data'!V1023</f>
        <v>3</v>
      </c>
      <c r="I1023" s="2" t="n">
        <f aca="false">IF(AND(ISNUMBER(B1023),B1023&lt;=25),2,0)+IF(AND(ISNUMBER(E1023),E1023&lt;=5),2,0)+IF(AND(ISNUMBER(F1023),F1023&lt;=1),2,0)+IF(AND(ISNUMBER(G1023),G1023&lt;=2),1,0)+IF(AND(ISNUMBER(H1023),H1023&lt;=2),1,0)</f>
        <v>1</v>
      </c>
      <c r="J1023" s="2" t="str">
        <f aca="false">IF(I1023&gt;=6,"High",IF(I1023&gt;=3,"Medium","Low"))</f>
        <v>Low</v>
      </c>
    </row>
    <row r="1024" customFormat="false" ht="15" hidden="false" customHeight="true" outlineLevel="0" collapsed="false">
      <c r="A1024" s="2" t="n">
        <f aca="false">'Raw Data'!H1024</f>
        <v>1023</v>
      </c>
      <c r="B1024" s="2" t="n">
        <f aca="false">'Raw Data'!A1024</f>
        <v>37</v>
      </c>
      <c r="C1024" s="2" t="str">
        <f aca="false">'Raw Data'!D1024</f>
        <v>Research &amp; Development</v>
      </c>
      <c r="D1024" s="2" t="str">
        <f aca="false">'Raw Data'!K1024</f>
        <v>Sales Executive</v>
      </c>
      <c r="E1024" s="2" t="n">
        <f aca="false">'Raw Data'!Q1024</f>
        <v>19</v>
      </c>
      <c r="F1024" s="2" t="n">
        <f aca="false">'Raw Data'!U1024</f>
        <v>7</v>
      </c>
      <c r="G1024" s="2" t="n">
        <f aca="false">'Raw Data'!W1024</f>
        <v>2</v>
      </c>
      <c r="H1024" s="2" t="n">
        <f aca="false">'Raw Data'!V1024</f>
        <v>3</v>
      </c>
      <c r="I1024" s="2" t="n">
        <f aca="false">IF(AND(ISNUMBER(B1024),B1024&lt;=25),2,0)+IF(AND(ISNUMBER(E1024),E1024&lt;=5),2,0)+IF(AND(ISNUMBER(F1024),F1024&lt;=1),2,0)+IF(AND(ISNUMBER(G1024),G1024&lt;=2),1,0)+IF(AND(ISNUMBER(H1024),H1024&lt;=2),1,0)</f>
        <v>1</v>
      </c>
      <c r="J1024" s="2" t="str">
        <f aca="false">IF(I1024&gt;=6,"High",IF(I1024&gt;=3,"Medium","Low"))</f>
        <v>Low</v>
      </c>
    </row>
    <row r="1025" customFormat="false" ht="15" hidden="false" customHeight="true" outlineLevel="0" collapsed="false">
      <c r="A1025" s="2" t="n">
        <f aca="false">'Raw Data'!H1025</f>
        <v>1024</v>
      </c>
      <c r="B1025" s="2" t="n">
        <f aca="false">'Raw Data'!A1025</f>
        <v>35</v>
      </c>
      <c r="C1025" s="2" t="str">
        <f aca="false">'Raw Data'!D1025</f>
        <v>Research &amp; Development</v>
      </c>
      <c r="D1025" s="2" t="str">
        <f aca="false">'Raw Data'!K1025</f>
        <v>Research Scientist</v>
      </c>
      <c r="E1025" s="2" t="n">
        <f aca="false">'Raw Data'!Q1025</f>
        <v>10</v>
      </c>
      <c r="F1025" s="2" t="n">
        <f aca="false">'Raw Data'!U1025</f>
        <v>7</v>
      </c>
      <c r="G1025" s="2" t="n">
        <f aca="false">'Raw Data'!W1025</f>
        <v>4</v>
      </c>
      <c r="H1025" s="2" t="n">
        <f aca="false">'Raw Data'!V1025</f>
        <v>3</v>
      </c>
      <c r="I1025" s="2" t="n">
        <f aca="false">IF(AND(ISNUMBER(B1025),B1025&lt;=25),2,0)+IF(AND(ISNUMBER(E1025),E1025&lt;=5),2,0)+IF(AND(ISNUMBER(F1025),F1025&lt;=1),2,0)+IF(AND(ISNUMBER(G1025),G1025&lt;=2),1,0)+IF(AND(ISNUMBER(H1025),H1025&lt;=2),1,0)</f>
        <v>0</v>
      </c>
      <c r="J1025" s="2" t="str">
        <f aca="false">IF(I1025&gt;=6,"High",IF(I1025&gt;=3,"Medium","Low"))</f>
        <v>Low</v>
      </c>
    </row>
    <row r="1026" customFormat="false" ht="15" hidden="false" customHeight="true" outlineLevel="0" collapsed="false">
      <c r="A1026" s="2" t="n">
        <f aca="false">'Raw Data'!H1026</f>
        <v>1025</v>
      </c>
      <c r="B1026" s="2" t="n">
        <f aca="false">'Raw Data'!A1026</f>
        <v>33</v>
      </c>
      <c r="C1026" s="2" t="str">
        <f aca="false">'Raw Data'!D1026</f>
        <v>Research &amp; Development</v>
      </c>
      <c r="D1026" s="2" t="str">
        <f aca="false">'Raw Data'!K1026</f>
        <v>Laboratory Technician</v>
      </c>
      <c r="E1026" s="2" t="n">
        <f aca="false">'Raw Data'!Q1026</f>
        <v>14</v>
      </c>
      <c r="F1026" s="2" t="n">
        <f aca="false">'Raw Data'!U1026</f>
        <v>6</v>
      </c>
      <c r="G1026" s="2" t="n">
        <f aca="false">'Raw Data'!W1026</f>
        <v>1</v>
      </c>
      <c r="H1026" s="2" t="n">
        <f aca="false">'Raw Data'!V1026</f>
        <v>4</v>
      </c>
      <c r="I1026" s="2" t="n">
        <f aca="false">IF(AND(ISNUMBER(B1026),B1026&lt;=25),2,0)+IF(AND(ISNUMBER(E1026),E1026&lt;=5),2,0)+IF(AND(ISNUMBER(F1026),F1026&lt;=1),2,0)+IF(AND(ISNUMBER(G1026),G1026&lt;=2),1,0)+IF(AND(ISNUMBER(H1026),H1026&lt;=2),1,0)</f>
        <v>1</v>
      </c>
      <c r="J1026" s="2" t="str">
        <f aca="false">IF(I1026&gt;=6,"High",IF(I1026&gt;=3,"Medium","Low"))</f>
        <v>Low</v>
      </c>
    </row>
    <row r="1027" customFormat="false" ht="15" hidden="false" customHeight="true" outlineLevel="0" collapsed="false">
      <c r="A1027" s="2" t="n">
        <f aca="false">'Raw Data'!H1027</f>
        <v>1026</v>
      </c>
      <c r="B1027" s="2" t="n">
        <f aca="false">'Raw Data'!A1027</f>
        <v>28</v>
      </c>
      <c r="C1027" s="2" t="str">
        <f aca="false">'Raw Data'!D1027</f>
        <v>Sales</v>
      </c>
      <c r="D1027" s="2" t="str">
        <f aca="false">'Raw Data'!K1027</f>
        <v>Sales Executive</v>
      </c>
      <c r="E1027" s="2" t="n">
        <f aca="false">'Raw Data'!Q1027</f>
        <v>5</v>
      </c>
      <c r="F1027" s="2" t="n">
        <f aca="false">'Raw Data'!U1027</f>
        <v>3</v>
      </c>
      <c r="G1027" s="2" t="n">
        <f aca="false">'Raw Data'!W1027</f>
        <v>4</v>
      </c>
      <c r="H1027" s="2" t="n">
        <f aca="false">'Raw Data'!V1027</f>
        <v>3</v>
      </c>
      <c r="I1027" s="2" t="n">
        <f aca="false">IF(AND(ISNUMBER(B1027),B1027&lt;=25),2,0)+IF(AND(ISNUMBER(E1027),E1027&lt;=5),2,0)+IF(AND(ISNUMBER(F1027),F1027&lt;=1),2,0)+IF(AND(ISNUMBER(G1027),G1027&lt;=2),1,0)+IF(AND(ISNUMBER(H1027),H1027&lt;=2),1,0)</f>
        <v>2</v>
      </c>
      <c r="J1027" s="2" t="str">
        <f aca="false">IF(I1027&gt;=6,"High",IF(I1027&gt;=3,"Medium","Low"))</f>
        <v>Low</v>
      </c>
    </row>
    <row r="1028" customFormat="false" ht="15" hidden="false" customHeight="true" outlineLevel="0" collapsed="false">
      <c r="A1028" s="2" t="n">
        <f aca="false">'Raw Data'!H1028</f>
        <v>1027</v>
      </c>
      <c r="B1028" s="2" t="n">
        <f aca="false">'Raw Data'!A1028</f>
        <v>39</v>
      </c>
      <c r="C1028" s="2" t="str">
        <f aca="false">'Raw Data'!D1028</f>
        <v>Sales</v>
      </c>
      <c r="D1028" s="2" t="str">
        <f aca="false">'Raw Data'!K1028</f>
        <v>Laboratory Technician</v>
      </c>
      <c r="E1028" s="2" t="n">
        <f aca="false">'Raw Data'!Q1028</f>
        <v>9</v>
      </c>
      <c r="F1028" s="2" t="n">
        <f aca="false">'Raw Data'!U1028</f>
        <v>2</v>
      </c>
      <c r="G1028" s="2" t="n">
        <f aca="false">'Raw Data'!W1028</f>
        <v>3</v>
      </c>
      <c r="H1028" s="2" t="n">
        <f aca="false">'Raw Data'!V1028</f>
        <v>3</v>
      </c>
      <c r="I1028" s="2" t="n">
        <f aca="false">IF(AND(ISNUMBER(B1028),B1028&lt;=25),2,0)+IF(AND(ISNUMBER(E1028),E1028&lt;=5),2,0)+IF(AND(ISNUMBER(F1028),F1028&lt;=1),2,0)+IF(AND(ISNUMBER(G1028),G1028&lt;=2),1,0)+IF(AND(ISNUMBER(H1028),H1028&lt;=2),1,0)</f>
        <v>0</v>
      </c>
      <c r="J1028" s="2" t="str">
        <f aca="false">IF(I1028&gt;=6,"High",IF(I1028&gt;=3,"Medium","Low"))</f>
        <v>Low</v>
      </c>
    </row>
    <row r="1029" customFormat="false" ht="15" hidden="false" customHeight="true" outlineLevel="0" collapsed="false">
      <c r="A1029" s="2" t="n">
        <f aca="false">'Raw Data'!H1029</f>
        <v>1028</v>
      </c>
      <c r="B1029" s="2" t="n">
        <f aca="false">'Raw Data'!A1029</f>
        <v>46</v>
      </c>
      <c r="C1029" s="2" t="str">
        <f aca="false">'Raw Data'!D1029</f>
        <v>Research &amp; Development</v>
      </c>
      <c r="D1029" s="2" t="str">
        <f aca="false">'Raw Data'!K1029</f>
        <v>Manufacturing Director</v>
      </c>
      <c r="E1029" s="2" t="n">
        <f aca="false">'Raw Data'!Q1029</f>
        <v>6</v>
      </c>
      <c r="F1029" s="2" t="n">
        <f aca="false">'Raw Data'!U1029</f>
        <v>2</v>
      </c>
      <c r="G1029" s="2" t="n">
        <f aca="false">'Raw Data'!W1029</f>
        <v>2</v>
      </c>
      <c r="H1029" s="2" t="n">
        <f aca="false">'Raw Data'!V1029</f>
        <v>2</v>
      </c>
      <c r="I1029" s="2" t="n">
        <f aca="false">IF(AND(ISNUMBER(B1029),B1029&lt;=25),2,0)+IF(AND(ISNUMBER(E1029),E1029&lt;=5),2,0)+IF(AND(ISNUMBER(F1029),F1029&lt;=1),2,0)+IF(AND(ISNUMBER(G1029),G1029&lt;=2),1,0)+IF(AND(ISNUMBER(H1029),H1029&lt;=2),1,0)</f>
        <v>2</v>
      </c>
      <c r="J1029" s="2" t="str">
        <f aca="false">IF(I1029&gt;=6,"High",IF(I1029&gt;=3,"Medium","Low"))</f>
        <v>Low</v>
      </c>
    </row>
    <row r="1030" customFormat="false" ht="15" hidden="false" customHeight="true" outlineLevel="0" collapsed="false">
      <c r="A1030" s="2" t="n">
        <f aca="false">'Raw Data'!H1030</f>
        <v>1029</v>
      </c>
      <c r="B1030" s="2" t="n">
        <f aca="false">'Raw Data'!A1030</f>
        <v>40</v>
      </c>
      <c r="C1030" s="2" t="str">
        <f aca="false">'Raw Data'!D1030</f>
        <v>Research &amp; Development</v>
      </c>
      <c r="D1030" s="2" t="str">
        <f aca="false">'Raw Data'!K1030</f>
        <v>Research Director</v>
      </c>
      <c r="E1030" s="2" t="n">
        <f aca="false">'Raw Data'!Q1030</f>
        <v>7</v>
      </c>
      <c r="F1030" s="2" t="n">
        <f aca="false">'Raw Data'!U1030</f>
        <v>2</v>
      </c>
      <c r="G1030" s="2" t="n">
        <f aca="false">'Raw Data'!W1030</f>
        <v>1</v>
      </c>
      <c r="H1030" s="2" t="n">
        <f aca="false">'Raw Data'!V1030</f>
        <v>3</v>
      </c>
      <c r="I1030" s="2" t="n">
        <f aca="false">IF(AND(ISNUMBER(B1030),B1030&lt;=25),2,0)+IF(AND(ISNUMBER(E1030),E1030&lt;=5),2,0)+IF(AND(ISNUMBER(F1030),F1030&lt;=1),2,0)+IF(AND(ISNUMBER(G1030),G1030&lt;=2),1,0)+IF(AND(ISNUMBER(H1030),H1030&lt;=2),1,0)</f>
        <v>1</v>
      </c>
      <c r="J1030" s="2" t="str">
        <f aca="false">IF(I1030&gt;=6,"High",IF(I1030&gt;=3,"Medium","Low"))</f>
        <v>Low</v>
      </c>
    </row>
    <row r="1031" customFormat="false" ht="15" hidden="false" customHeight="true" outlineLevel="0" collapsed="false">
      <c r="A1031" s="2" t="n">
        <f aca="false">'Raw Data'!H1031</f>
        <v>1030</v>
      </c>
      <c r="B1031" s="2" t="n">
        <f aca="false">'Raw Data'!A1031</f>
        <v>42</v>
      </c>
      <c r="C1031" s="2" t="str">
        <f aca="false">'Raw Data'!D1031</f>
        <v>Research &amp; Development</v>
      </c>
      <c r="D1031" s="2" t="str">
        <f aca="false">'Raw Data'!K1031</f>
        <v>Laboratory Technician</v>
      </c>
      <c r="E1031" s="2" t="n">
        <f aca="false">'Raw Data'!Q1031</f>
        <v>10</v>
      </c>
      <c r="F1031" s="2" t="n">
        <f aca="false">'Raw Data'!U1031</f>
        <v>0</v>
      </c>
      <c r="G1031" s="2" t="n">
        <f aca="false">'Raw Data'!W1031</f>
        <v>1</v>
      </c>
      <c r="H1031" s="2" t="n">
        <f aca="false">'Raw Data'!V1031</f>
        <v>2</v>
      </c>
      <c r="I1031" s="2" t="n">
        <f aca="false">IF(AND(ISNUMBER(B1031),B1031&lt;=25),2,0)+IF(AND(ISNUMBER(E1031),E1031&lt;=5),2,0)+IF(AND(ISNUMBER(F1031),F1031&lt;=1),2,0)+IF(AND(ISNUMBER(G1031),G1031&lt;=2),1,0)+IF(AND(ISNUMBER(H1031),H1031&lt;=2),1,0)</f>
        <v>4</v>
      </c>
      <c r="J1031" s="2" t="str">
        <f aca="false">IF(I1031&gt;=6,"High",IF(I1031&gt;=3,"Medium","Low"))</f>
        <v>Medium</v>
      </c>
    </row>
    <row r="1032" customFormat="false" ht="15" hidden="false" customHeight="true" outlineLevel="0" collapsed="false">
      <c r="A1032" s="2" t="n">
        <f aca="false">'Raw Data'!H1032</f>
        <v>1031</v>
      </c>
      <c r="B1032" s="2" t="n">
        <f aca="false">'Raw Data'!A1032</f>
        <v>35</v>
      </c>
      <c r="C1032" s="2" t="str">
        <f aca="false">'Raw Data'!D1032</f>
        <v>Sales</v>
      </c>
      <c r="D1032" s="2" t="str">
        <f aca="false">'Raw Data'!K1032</f>
        <v>Research Director</v>
      </c>
      <c r="E1032" s="2" t="n">
        <f aca="false">'Raw Data'!Q1032</f>
        <v>15</v>
      </c>
      <c r="F1032" s="2" t="n">
        <f aca="false">'Raw Data'!U1032</f>
        <v>7</v>
      </c>
      <c r="G1032" s="2" t="n">
        <f aca="false">'Raw Data'!W1032</f>
        <v>4</v>
      </c>
      <c r="H1032" s="2" t="n">
        <f aca="false">'Raw Data'!V1032</f>
        <v>2</v>
      </c>
      <c r="I1032" s="2" t="n">
        <f aca="false">IF(AND(ISNUMBER(B1032),B1032&lt;=25),2,0)+IF(AND(ISNUMBER(E1032),E1032&lt;=5),2,0)+IF(AND(ISNUMBER(F1032),F1032&lt;=1),2,0)+IF(AND(ISNUMBER(G1032),G1032&lt;=2),1,0)+IF(AND(ISNUMBER(H1032),H1032&lt;=2),1,0)</f>
        <v>1</v>
      </c>
      <c r="J1032" s="2" t="str">
        <f aca="false">IF(I1032&gt;=6,"High",IF(I1032&gt;=3,"Medium","Low"))</f>
        <v>Low</v>
      </c>
    </row>
    <row r="1033" customFormat="false" ht="15" hidden="false" customHeight="true" outlineLevel="0" collapsed="false">
      <c r="A1033" s="2" t="n">
        <f aca="false">'Raw Data'!H1033</f>
        <v>1032</v>
      </c>
      <c r="B1033" s="2" t="n">
        <f aca="false">'Raw Data'!A1033</f>
        <v>38</v>
      </c>
      <c r="C1033" s="2" t="str">
        <f aca="false">'Raw Data'!D1033</f>
        <v>Sales</v>
      </c>
      <c r="D1033" s="2" t="str">
        <f aca="false">'Raw Data'!K1033</f>
        <v>Sales Executive</v>
      </c>
      <c r="E1033" s="2" t="n">
        <f aca="false">'Raw Data'!Q1033</f>
        <v>13</v>
      </c>
      <c r="F1033" s="2" t="n">
        <f aca="false">'Raw Data'!U1033</f>
        <v>8</v>
      </c>
      <c r="G1033" s="2" t="n">
        <f aca="false">'Raw Data'!W1033</f>
        <v>2</v>
      </c>
      <c r="H1033" s="2" t="n">
        <f aca="false">'Raw Data'!V1033</f>
        <v>1</v>
      </c>
      <c r="I1033" s="2" t="n">
        <f aca="false">IF(AND(ISNUMBER(B1033),B1033&lt;=25),2,0)+IF(AND(ISNUMBER(E1033),E1033&lt;=5),2,0)+IF(AND(ISNUMBER(F1033),F1033&lt;=1),2,0)+IF(AND(ISNUMBER(G1033),G1033&lt;=2),1,0)+IF(AND(ISNUMBER(H1033),H1033&lt;=2),1,0)</f>
        <v>2</v>
      </c>
      <c r="J1033" s="2" t="str">
        <f aca="false">IF(I1033&gt;=6,"High",IF(I1033&gt;=3,"Medium","Low"))</f>
        <v>Low</v>
      </c>
    </row>
    <row r="1034" customFormat="false" ht="15" hidden="false" customHeight="true" outlineLevel="0" collapsed="false">
      <c r="A1034" s="2" t="n">
        <f aca="false">'Raw Data'!H1034</f>
        <v>1033</v>
      </c>
      <c r="B1034" s="2" t="n">
        <f aca="false">'Raw Data'!A1034</f>
        <v>34</v>
      </c>
      <c r="C1034" s="2" t="str">
        <f aca="false">'Raw Data'!D1034</f>
        <v>Research &amp; Development</v>
      </c>
      <c r="D1034" s="2" t="str">
        <f aca="false">'Raw Data'!K1034</f>
        <v>Manufacturing Director</v>
      </c>
      <c r="E1034" s="2" t="n">
        <f aca="false">'Raw Data'!Q1034</f>
        <v>11</v>
      </c>
      <c r="F1034" s="2" t="n">
        <f aca="false">'Raw Data'!U1034</f>
        <v>7</v>
      </c>
      <c r="G1034" s="2" t="n">
        <f aca="false">'Raw Data'!W1034</f>
        <v>1</v>
      </c>
      <c r="H1034" s="2" t="n">
        <f aca="false">'Raw Data'!V1034</f>
        <v>4</v>
      </c>
      <c r="I1034" s="2" t="n">
        <f aca="false">IF(AND(ISNUMBER(B1034),B1034&lt;=25),2,0)+IF(AND(ISNUMBER(E1034),E1034&lt;=5),2,0)+IF(AND(ISNUMBER(F1034),F1034&lt;=1),2,0)+IF(AND(ISNUMBER(G1034),G1034&lt;=2),1,0)+IF(AND(ISNUMBER(H1034),H1034&lt;=2),1,0)</f>
        <v>1</v>
      </c>
      <c r="J1034" s="2" t="str">
        <f aca="false">IF(I1034&gt;=6,"High",IF(I1034&gt;=3,"Medium","Low"))</f>
        <v>Low</v>
      </c>
    </row>
    <row r="1035" customFormat="false" ht="15" hidden="false" customHeight="true" outlineLevel="0" collapsed="false">
      <c r="A1035" s="2" t="n">
        <f aca="false">'Raw Data'!H1035</f>
        <v>1034</v>
      </c>
      <c r="B1035" s="2" t="n">
        <f aca="false">'Raw Data'!A1035</f>
        <v>37</v>
      </c>
      <c r="C1035" s="2" t="str">
        <f aca="false">'Raw Data'!D1035</f>
        <v>Research &amp; Development</v>
      </c>
      <c r="D1035" s="2" t="str">
        <f aca="false">'Raw Data'!K1035</f>
        <v>Laboratory Technician</v>
      </c>
      <c r="E1035" s="2" t="n">
        <f aca="false">'Raw Data'!Q1035</f>
        <v>10</v>
      </c>
      <c r="F1035" s="2" t="n">
        <f aca="false">'Raw Data'!U1035</f>
        <v>8</v>
      </c>
      <c r="G1035" s="2" t="n">
        <f aca="false">'Raw Data'!W1035</f>
        <v>1</v>
      </c>
      <c r="H1035" s="2" t="n">
        <f aca="false">'Raw Data'!V1035</f>
        <v>4</v>
      </c>
      <c r="I1035" s="2" t="n">
        <f aca="false">IF(AND(ISNUMBER(B1035),B1035&lt;=25),2,0)+IF(AND(ISNUMBER(E1035),E1035&lt;=5),2,0)+IF(AND(ISNUMBER(F1035),F1035&lt;=1),2,0)+IF(AND(ISNUMBER(G1035),G1035&lt;=2),1,0)+IF(AND(ISNUMBER(H1035),H1035&lt;=2),1,0)</f>
        <v>1</v>
      </c>
      <c r="J1035" s="2" t="str">
        <f aca="false">IF(I1035&gt;=6,"High",IF(I1035&gt;=3,"Medium","Low"))</f>
        <v>Low</v>
      </c>
    </row>
    <row r="1036" customFormat="false" ht="15" hidden="false" customHeight="true" outlineLevel="0" collapsed="false">
      <c r="A1036" s="2" t="n">
        <f aca="false">'Raw Data'!H1036</f>
        <v>1035</v>
      </c>
      <c r="B1036" s="2" t="n">
        <f aca="false">'Raw Data'!A1036</f>
        <v>39</v>
      </c>
      <c r="C1036" s="2" t="str">
        <f aca="false">'Raw Data'!D1036</f>
        <v>Research &amp; Development</v>
      </c>
      <c r="D1036" s="2" t="str">
        <f aca="false">'Raw Data'!K1036</f>
        <v>Healthcare Representative</v>
      </c>
      <c r="E1036" s="2" t="n">
        <f aca="false">'Raw Data'!Q1036</f>
        <v>7</v>
      </c>
      <c r="F1036" s="2" t="n">
        <f aca="false">'Raw Data'!U1036</f>
        <v>2</v>
      </c>
      <c r="G1036" s="2" t="n">
        <f aca="false">'Raw Data'!W1036</f>
        <v>4</v>
      </c>
      <c r="H1036" s="2" t="n">
        <f aca="false">'Raw Data'!V1036</f>
        <v>3</v>
      </c>
      <c r="I1036" s="2" t="n">
        <f aca="false">IF(AND(ISNUMBER(B1036),B1036&lt;=25),2,0)+IF(AND(ISNUMBER(E1036),E1036&lt;=5),2,0)+IF(AND(ISNUMBER(F1036),F1036&lt;=1),2,0)+IF(AND(ISNUMBER(G1036),G1036&lt;=2),1,0)+IF(AND(ISNUMBER(H1036),H1036&lt;=2),1,0)</f>
        <v>0</v>
      </c>
      <c r="J1036" s="2" t="str">
        <f aca="false">IF(I1036&gt;=6,"High",IF(I1036&gt;=3,"Medium","Low"))</f>
        <v>Low</v>
      </c>
    </row>
    <row r="1037" customFormat="false" ht="15" hidden="false" customHeight="true" outlineLevel="0" collapsed="false">
      <c r="A1037" s="2" t="n">
        <f aca="false">'Raw Data'!H1037</f>
        <v>1036</v>
      </c>
      <c r="B1037" s="2" t="n">
        <f aca="false">'Raw Data'!A1037</f>
        <v>43</v>
      </c>
      <c r="C1037" s="2" t="str">
        <f aca="false">'Raw Data'!D1037</f>
        <v>Human Resources</v>
      </c>
      <c r="D1037" s="2" t="str">
        <f aca="false">'Raw Data'!K1037</f>
        <v>Sales Executive</v>
      </c>
      <c r="E1037" s="2" t="n">
        <f aca="false">'Raw Data'!Q1037</f>
        <v>7</v>
      </c>
      <c r="F1037" s="2" t="n">
        <f aca="false">'Raw Data'!U1037</f>
        <v>2</v>
      </c>
      <c r="G1037" s="2" t="n">
        <f aca="false">'Raw Data'!W1037</f>
        <v>3</v>
      </c>
      <c r="H1037" s="2" t="n">
        <f aca="false">'Raw Data'!V1037</f>
        <v>1</v>
      </c>
      <c r="I1037" s="2" t="n">
        <f aca="false">IF(AND(ISNUMBER(B1037),B1037&lt;=25),2,0)+IF(AND(ISNUMBER(E1037),E1037&lt;=5),2,0)+IF(AND(ISNUMBER(F1037),F1037&lt;=1),2,0)+IF(AND(ISNUMBER(G1037),G1037&lt;=2),1,0)+IF(AND(ISNUMBER(H1037),H1037&lt;=2),1,0)</f>
        <v>1</v>
      </c>
      <c r="J1037" s="2" t="str">
        <f aca="false">IF(I1037&gt;=6,"High",IF(I1037&gt;=3,"Medium","Low"))</f>
        <v>Low</v>
      </c>
    </row>
    <row r="1038" customFormat="false" ht="15" hidden="false" customHeight="true" outlineLevel="0" collapsed="false">
      <c r="A1038" s="2" t="n">
        <f aca="false">'Raw Data'!H1038</f>
        <v>1037</v>
      </c>
      <c r="B1038" s="2" t="n">
        <f aca="false">'Raw Data'!A1038</f>
        <v>41</v>
      </c>
      <c r="C1038" s="2" t="str">
        <f aca="false">'Raw Data'!D1038</f>
        <v>Research &amp; Development</v>
      </c>
      <c r="D1038" s="2" t="str">
        <f aca="false">'Raw Data'!K1038</f>
        <v>Research Scientist</v>
      </c>
      <c r="E1038" s="2" t="n">
        <f aca="false">'Raw Data'!Q1038</f>
        <v>11</v>
      </c>
      <c r="F1038" s="2" t="n">
        <f aca="false">'Raw Data'!U1038</f>
        <v>2</v>
      </c>
      <c r="G1038" s="2" t="n">
        <f aca="false">'Raw Data'!W1038</f>
        <v>2</v>
      </c>
      <c r="H1038" s="2" t="n">
        <f aca="false">'Raw Data'!V1038</f>
        <v>2</v>
      </c>
      <c r="I1038" s="2" t="n">
        <f aca="false">IF(AND(ISNUMBER(B1038),B1038&lt;=25),2,0)+IF(AND(ISNUMBER(E1038),E1038&lt;=5),2,0)+IF(AND(ISNUMBER(F1038),F1038&lt;=1),2,0)+IF(AND(ISNUMBER(G1038),G1038&lt;=2),1,0)+IF(AND(ISNUMBER(H1038),H1038&lt;=2),1,0)</f>
        <v>2</v>
      </c>
      <c r="J1038" s="2" t="str">
        <f aca="false">IF(I1038&gt;=6,"High",IF(I1038&gt;=3,"Medium","Low"))</f>
        <v>Low</v>
      </c>
    </row>
    <row r="1039" customFormat="false" ht="15" hidden="false" customHeight="true" outlineLevel="0" collapsed="false">
      <c r="A1039" s="2" t="n">
        <f aca="false">'Raw Data'!H1039</f>
        <v>1038</v>
      </c>
      <c r="B1039" s="2" t="n">
        <f aca="false">'Raw Data'!A1039</f>
        <v>41</v>
      </c>
      <c r="C1039" s="2" t="str">
        <f aca="false">'Raw Data'!D1039</f>
        <v>Research &amp; Development</v>
      </c>
      <c r="D1039" s="2" t="str">
        <f aca="false">'Raw Data'!K1039</f>
        <v>Laboratory Technician</v>
      </c>
      <c r="E1039" s="2" t="n">
        <f aca="false">'Raw Data'!Q1039</f>
        <v>23</v>
      </c>
      <c r="F1039" s="2" t="n">
        <f aca="false">'Raw Data'!U1039</f>
        <v>5</v>
      </c>
      <c r="G1039" s="2" t="n">
        <f aca="false">'Raw Data'!W1039</f>
        <v>3</v>
      </c>
      <c r="H1039" s="2" t="n">
        <f aca="false">'Raw Data'!V1039</f>
        <v>3</v>
      </c>
      <c r="I1039" s="2" t="n">
        <f aca="false">IF(AND(ISNUMBER(B1039),B1039&lt;=25),2,0)+IF(AND(ISNUMBER(E1039),E1039&lt;=5),2,0)+IF(AND(ISNUMBER(F1039),F1039&lt;=1),2,0)+IF(AND(ISNUMBER(G1039),G1039&lt;=2),1,0)+IF(AND(ISNUMBER(H1039),H1039&lt;=2),1,0)</f>
        <v>0</v>
      </c>
      <c r="J1039" s="2" t="str">
        <f aca="false">IF(I1039&gt;=6,"High",IF(I1039&gt;=3,"Medium","Low"))</f>
        <v>Low</v>
      </c>
    </row>
    <row r="1040" customFormat="false" ht="15" hidden="false" customHeight="true" outlineLevel="0" collapsed="false">
      <c r="A1040" s="2" t="n">
        <f aca="false">'Raw Data'!H1040</f>
        <v>1039</v>
      </c>
      <c r="B1040" s="2" t="n">
        <f aca="false">'Raw Data'!A1040</f>
        <v>30</v>
      </c>
      <c r="C1040" s="2" t="str">
        <f aca="false">'Raw Data'!D1040</f>
        <v>Sales</v>
      </c>
      <c r="D1040" s="2" t="str">
        <f aca="false">'Raw Data'!K1040</f>
        <v>Manager</v>
      </c>
      <c r="E1040" s="2" t="n">
        <f aca="false">'Raw Data'!Q1040</f>
        <v>9</v>
      </c>
      <c r="F1040" s="2" t="n">
        <f aca="false">'Raw Data'!U1040</f>
        <v>2</v>
      </c>
      <c r="G1040" s="2" t="n">
        <f aca="false">'Raw Data'!W1040</f>
        <v>3</v>
      </c>
      <c r="H1040" s="2" t="n">
        <f aca="false">'Raw Data'!V1040</f>
        <v>1</v>
      </c>
      <c r="I1040" s="2" t="n">
        <f aca="false">IF(AND(ISNUMBER(B1040),B1040&lt;=25),2,0)+IF(AND(ISNUMBER(E1040),E1040&lt;=5),2,0)+IF(AND(ISNUMBER(F1040),F1040&lt;=1),2,0)+IF(AND(ISNUMBER(G1040),G1040&lt;=2),1,0)+IF(AND(ISNUMBER(H1040),H1040&lt;=2),1,0)</f>
        <v>1</v>
      </c>
      <c r="J1040" s="2" t="str">
        <f aca="false">IF(I1040&gt;=6,"High",IF(I1040&gt;=3,"Medium","Low"))</f>
        <v>Low</v>
      </c>
    </row>
    <row r="1041" customFormat="false" ht="15" hidden="false" customHeight="true" outlineLevel="0" collapsed="false">
      <c r="A1041" s="2" t="n">
        <f aca="false">'Raw Data'!H1041</f>
        <v>1040</v>
      </c>
      <c r="B1041" s="2" t="n">
        <f aca="false">'Raw Data'!A1041</f>
        <v>26</v>
      </c>
      <c r="C1041" s="2" t="str">
        <f aca="false">'Raw Data'!D1041</f>
        <v>Human Resources</v>
      </c>
      <c r="D1041" s="2" t="str">
        <f aca="false">'Raw Data'!K1041</f>
        <v>Sales Executive</v>
      </c>
      <c r="E1041" s="2" t="n">
        <f aca="false">'Raw Data'!Q1041</f>
        <v>6</v>
      </c>
      <c r="F1041" s="2" t="n">
        <f aca="false">'Raw Data'!U1041</f>
        <v>4</v>
      </c>
      <c r="G1041" s="2" t="n">
        <f aca="false">'Raw Data'!W1041</f>
        <v>2</v>
      </c>
      <c r="H1041" s="2" t="n">
        <f aca="false">'Raw Data'!V1041</f>
        <v>4</v>
      </c>
      <c r="I1041" s="2" t="n">
        <f aca="false">IF(AND(ISNUMBER(B1041),B1041&lt;=25),2,0)+IF(AND(ISNUMBER(E1041),E1041&lt;=5),2,0)+IF(AND(ISNUMBER(F1041),F1041&lt;=1),2,0)+IF(AND(ISNUMBER(G1041),G1041&lt;=2),1,0)+IF(AND(ISNUMBER(H1041),H1041&lt;=2),1,0)</f>
        <v>1</v>
      </c>
      <c r="J1041" s="2" t="str">
        <f aca="false">IF(I1041&gt;=6,"High",IF(I1041&gt;=3,"Medium","Low"))</f>
        <v>Low</v>
      </c>
    </row>
    <row r="1042" customFormat="false" ht="15" hidden="false" customHeight="true" outlineLevel="0" collapsed="false">
      <c r="A1042" s="2" t="n">
        <f aca="false">'Raw Data'!H1042</f>
        <v>1041</v>
      </c>
      <c r="B1042" s="2" t="n">
        <f aca="false">'Raw Data'!A1042</f>
        <v>46</v>
      </c>
      <c r="C1042" s="2" t="str">
        <f aca="false">'Raw Data'!D1042</f>
        <v>Research &amp; Development</v>
      </c>
      <c r="D1042" s="2" t="str">
        <f aca="false">'Raw Data'!K1042</f>
        <v>Sales Executive</v>
      </c>
      <c r="E1042" s="2" t="n">
        <f aca="false">'Raw Data'!Q1042</f>
        <v>13</v>
      </c>
      <c r="F1042" s="2" t="n">
        <f aca="false">'Raw Data'!U1042</f>
        <v>7</v>
      </c>
      <c r="G1042" s="2" t="n">
        <f aca="false">'Raw Data'!W1042</f>
        <v>2</v>
      </c>
      <c r="H1042" s="2" t="n">
        <f aca="false">'Raw Data'!V1042</f>
        <v>4</v>
      </c>
      <c r="I1042" s="2" t="n">
        <f aca="false">IF(AND(ISNUMBER(B1042),B1042&lt;=25),2,0)+IF(AND(ISNUMBER(E1042),E1042&lt;=5),2,0)+IF(AND(ISNUMBER(F1042),F1042&lt;=1),2,0)+IF(AND(ISNUMBER(G1042),G1042&lt;=2),1,0)+IF(AND(ISNUMBER(H1042),H1042&lt;=2),1,0)</f>
        <v>1</v>
      </c>
      <c r="J1042" s="2" t="str">
        <f aca="false">IF(I1042&gt;=6,"High",IF(I1042&gt;=3,"Medium","Low"))</f>
        <v>Low</v>
      </c>
    </row>
    <row r="1043" customFormat="false" ht="15" hidden="false" customHeight="true" outlineLevel="0" collapsed="false">
      <c r="A1043" s="2" t="n">
        <f aca="false">'Raw Data'!H1043</f>
        <v>1042</v>
      </c>
      <c r="B1043" s="2" t="n">
        <f aca="false">'Raw Data'!A1043</f>
        <v>40</v>
      </c>
      <c r="C1043" s="2" t="str">
        <f aca="false">'Raw Data'!D1043</f>
        <v>Sales</v>
      </c>
      <c r="D1043" s="2" t="str">
        <f aca="false">'Raw Data'!K1043</f>
        <v>Sales Executive</v>
      </c>
      <c r="E1043" s="2" t="n">
        <f aca="false">'Raw Data'!Q1043</f>
        <v>12</v>
      </c>
      <c r="F1043" s="2" t="n">
        <f aca="false">'Raw Data'!U1043</f>
        <v>3</v>
      </c>
      <c r="G1043" s="2" t="n">
        <f aca="false">'Raw Data'!W1043</f>
        <v>4</v>
      </c>
      <c r="H1043" s="2" t="n">
        <f aca="false">'Raw Data'!V1043</f>
        <v>3</v>
      </c>
      <c r="I1043" s="2" t="n">
        <f aca="false">IF(AND(ISNUMBER(B1043),B1043&lt;=25),2,0)+IF(AND(ISNUMBER(E1043),E1043&lt;=5),2,0)+IF(AND(ISNUMBER(F1043),F1043&lt;=1),2,0)+IF(AND(ISNUMBER(G1043),G1043&lt;=2),1,0)+IF(AND(ISNUMBER(H1043),H1043&lt;=2),1,0)</f>
        <v>0</v>
      </c>
      <c r="J1043" s="2" t="str">
        <f aca="false">IF(I1043&gt;=6,"High",IF(I1043&gt;=3,"Medium","Low"))</f>
        <v>Low</v>
      </c>
    </row>
    <row r="1044" customFormat="false" ht="15" hidden="false" customHeight="true" outlineLevel="0" collapsed="false">
      <c r="A1044" s="2" t="n">
        <f aca="false">'Raw Data'!H1044</f>
        <v>1043</v>
      </c>
      <c r="B1044" s="2" t="n">
        <f aca="false">'Raw Data'!A1044</f>
        <v>34</v>
      </c>
      <c r="C1044" s="2" t="str">
        <f aca="false">'Raw Data'!D1044</f>
        <v>Research &amp; Development</v>
      </c>
      <c r="D1044" s="2" t="str">
        <f aca="false">'Raw Data'!K1044</f>
        <v>Laboratory Technician</v>
      </c>
      <c r="E1044" s="2" t="n">
        <f aca="false">'Raw Data'!Q1044</f>
        <v>10</v>
      </c>
      <c r="F1044" s="2" t="n">
        <f aca="false">'Raw Data'!U1044</f>
        <v>8</v>
      </c>
      <c r="G1044" s="2" t="n">
        <f aca="false">'Raw Data'!W1044</f>
        <v>3</v>
      </c>
      <c r="H1044" s="2" t="n">
        <f aca="false">'Raw Data'!V1044</f>
        <v>2</v>
      </c>
      <c r="I1044" s="2" t="n">
        <f aca="false">IF(AND(ISNUMBER(B1044),B1044&lt;=25),2,0)+IF(AND(ISNUMBER(E1044),E1044&lt;=5),2,0)+IF(AND(ISNUMBER(F1044),F1044&lt;=1),2,0)+IF(AND(ISNUMBER(G1044),G1044&lt;=2),1,0)+IF(AND(ISNUMBER(H1044),H1044&lt;=2),1,0)</f>
        <v>1</v>
      </c>
      <c r="J1044" s="2" t="str">
        <f aca="false">IF(I1044&gt;=6,"High",IF(I1044&gt;=3,"Medium","Low"))</f>
        <v>Low</v>
      </c>
    </row>
    <row r="1045" customFormat="false" ht="15" hidden="false" customHeight="true" outlineLevel="0" collapsed="false">
      <c r="A1045" s="2" t="n">
        <f aca="false">'Raw Data'!H1045</f>
        <v>1044</v>
      </c>
      <c r="B1045" s="2" t="n">
        <f aca="false">'Raw Data'!A1045</f>
        <v>58</v>
      </c>
      <c r="C1045" s="2" t="str">
        <f aca="false">'Raw Data'!D1045</f>
        <v>Research &amp; Development</v>
      </c>
      <c r="D1045" s="2" t="str">
        <f aca="false">'Raw Data'!K1045</f>
        <v>Laboratory Technician</v>
      </c>
      <c r="E1045" s="2" t="n">
        <f aca="false">'Raw Data'!Q1045</f>
        <v>37</v>
      </c>
      <c r="F1045" s="2" t="n">
        <f aca="false">'Raw Data'!U1045</f>
        <v>14</v>
      </c>
      <c r="G1045" s="2" t="n">
        <f aca="false">'Raw Data'!W1045</f>
        <v>2</v>
      </c>
      <c r="H1045" s="2" t="n">
        <f aca="false">'Raw Data'!V1045</f>
        <v>2</v>
      </c>
      <c r="I1045" s="2" t="n">
        <f aca="false">IF(AND(ISNUMBER(B1045),B1045&lt;=25),2,0)+IF(AND(ISNUMBER(E1045),E1045&lt;=5),2,0)+IF(AND(ISNUMBER(F1045),F1045&lt;=1),2,0)+IF(AND(ISNUMBER(G1045),G1045&lt;=2),1,0)+IF(AND(ISNUMBER(H1045),H1045&lt;=2),1,0)</f>
        <v>2</v>
      </c>
      <c r="J1045" s="2" t="str">
        <f aca="false">IF(I1045&gt;=6,"High",IF(I1045&gt;=3,"Medium","Low"))</f>
        <v>Low</v>
      </c>
    </row>
    <row r="1046" customFormat="false" ht="15" hidden="false" customHeight="true" outlineLevel="0" collapsed="false">
      <c r="A1046" s="2" t="n">
        <f aca="false">'Raw Data'!H1046</f>
        <v>1045</v>
      </c>
      <c r="B1046" s="2" t="n">
        <f aca="false">'Raw Data'!A1046</f>
        <v>35</v>
      </c>
      <c r="C1046" s="2" t="str">
        <f aca="false">'Raw Data'!D1046</f>
        <v>Research &amp; Development</v>
      </c>
      <c r="D1046" s="2" t="str">
        <f aca="false">'Raw Data'!K1046</f>
        <v>Manufacturing Director</v>
      </c>
      <c r="E1046" s="2" t="n">
        <f aca="false">'Raw Data'!Q1046</f>
        <v>6</v>
      </c>
      <c r="F1046" s="2" t="n">
        <f aca="false">'Raw Data'!U1046</f>
        <v>3</v>
      </c>
      <c r="G1046" s="2" t="n">
        <f aca="false">'Raw Data'!W1046</f>
        <v>3</v>
      </c>
      <c r="H1046" s="2" t="n">
        <f aca="false">'Raw Data'!V1046</f>
        <v>2</v>
      </c>
      <c r="I1046" s="2" t="n">
        <f aca="false">IF(AND(ISNUMBER(B1046),B1046&lt;=25),2,0)+IF(AND(ISNUMBER(E1046),E1046&lt;=5),2,0)+IF(AND(ISNUMBER(F1046),F1046&lt;=1),2,0)+IF(AND(ISNUMBER(G1046),G1046&lt;=2),1,0)+IF(AND(ISNUMBER(H1046),H1046&lt;=2),1,0)</f>
        <v>1</v>
      </c>
      <c r="J1046" s="2" t="str">
        <f aca="false">IF(I1046&gt;=6,"High",IF(I1046&gt;=3,"Medium","Low"))</f>
        <v>Low</v>
      </c>
    </row>
    <row r="1047" customFormat="false" ht="15" hidden="false" customHeight="true" outlineLevel="0" collapsed="false">
      <c r="A1047" s="2" t="n">
        <f aca="false">'Raw Data'!H1047</f>
        <v>1046</v>
      </c>
      <c r="B1047" s="2" t="n">
        <f aca="false">'Raw Data'!A1047</f>
        <v>47</v>
      </c>
      <c r="C1047" s="2" t="str">
        <f aca="false">'Raw Data'!D1047</f>
        <v>Research &amp; Development</v>
      </c>
      <c r="D1047" s="2" t="str">
        <f aca="false">'Raw Data'!K1047</f>
        <v>Research Scientist</v>
      </c>
      <c r="E1047" s="2" t="n">
        <f aca="false">'Raw Data'!Q1047</f>
        <v>28</v>
      </c>
      <c r="F1047" s="2" t="n">
        <f aca="false">'Raw Data'!U1047</f>
        <v>10</v>
      </c>
      <c r="G1047" s="2" t="n">
        <f aca="false">'Raw Data'!W1047</f>
        <v>2</v>
      </c>
      <c r="H1047" s="2" t="n">
        <f aca="false">'Raw Data'!V1047</f>
        <v>3</v>
      </c>
      <c r="I1047" s="2" t="n">
        <f aca="false">IF(AND(ISNUMBER(B1047),B1047&lt;=25),2,0)+IF(AND(ISNUMBER(E1047),E1047&lt;=5),2,0)+IF(AND(ISNUMBER(F1047),F1047&lt;=1),2,0)+IF(AND(ISNUMBER(G1047),G1047&lt;=2),1,0)+IF(AND(ISNUMBER(H1047),H1047&lt;=2),1,0)</f>
        <v>1</v>
      </c>
      <c r="J1047" s="2" t="str">
        <f aca="false">IF(I1047&gt;=6,"High",IF(I1047&gt;=3,"Medium","Low"))</f>
        <v>Low</v>
      </c>
    </row>
    <row r="1048" customFormat="false" ht="15" hidden="false" customHeight="true" outlineLevel="0" collapsed="false">
      <c r="A1048" s="2" t="n">
        <f aca="false">'Raw Data'!H1048</f>
        <v>1047</v>
      </c>
      <c r="B1048" s="2" t="n">
        <f aca="false">'Raw Data'!A1048</f>
        <v>40</v>
      </c>
      <c r="C1048" s="2" t="str">
        <f aca="false">'Raw Data'!D1048</f>
        <v>Research &amp; Development</v>
      </c>
      <c r="D1048" s="2" t="str">
        <f aca="false">'Raw Data'!K1048</f>
        <v>Manager</v>
      </c>
      <c r="E1048" s="2" t="n">
        <f aca="false">'Raw Data'!Q1048</f>
        <v>15</v>
      </c>
      <c r="F1048" s="2" t="n">
        <f aca="false">'Raw Data'!U1048</f>
        <v>7</v>
      </c>
      <c r="G1048" s="2" t="n">
        <f aca="false">'Raw Data'!W1048</f>
        <v>1</v>
      </c>
      <c r="H1048" s="2" t="n">
        <f aca="false">'Raw Data'!V1048</f>
        <v>2</v>
      </c>
      <c r="I1048" s="2" t="n">
        <f aca="false">IF(AND(ISNUMBER(B1048),B1048&lt;=25),2,0)+IF(AND(ISNUMBER(E1048),E1048&lt;=5),2,0)+IF(AND(ISNUMBER(F1048),F1048&lt;=1),2,0)+IF(AND(ISNUMBER(G1048),G1048&lt;=2),1,0)+IF(AND(ISNUMBER(H1048),H1048&lt;=2),1,0)</f>
        <v>2</v>
      </c>
      <c r="J1048" s="2" t="str">
        <f aca="false">IF(I1048&gt;=6,"High",IF(I1048&gt;=3,"Medium","Low"))</f>
        <v>Low</v>
      </c>
    </row>
    <row r="1049" customFormat="false" ht="15" hidden="false" customHeight="true" outlineLevel="0" collapsed="false">
      <c r="A1049" s="2" t="n">
        <f aca="false">'Raw Data'!H1049</f>
        <v>1048</v>
      </c>
      <c r="B1049" s="2" t="n">
        <f aca="false">'Raw Data'!A1049</f>
        <v>54</v>
      </c>
      <c r="C1049" s="2" t="str">
        <f aca="false">'Raw Data'!D1049</f>
        <v>Sales</v>
      </c>
      <c r="D1049" s="2" t="str">
        <f aca="false">'Raw Data'!K1049</f>
        <v>Research Scientist</v>
      </c>
      <c r="E1049" s="2" t="n">
        <f aca="false">'Raw Data'!Q1049</f>
        <v>14</v>
      </c>
      <c r="F1049" s="2" t="n">
        <f aca="false">'Raw Data'!U1049</f>
        <v>7</v>
      </c>
      <c r="G1049" s="2" t="n">
        <f aca="false">'Raw Data'!W1049</f>
        <v>4</v>
      </c>
      <c r="H1049" s="2" t="n">
        <f aca="false">'Raw Data'!V1049</f>
        <v>4</v>
      </c>
      <c r="I1049" s="2" t="n">
        <f aca="false">IF(AND(ISNUMBER(B1049),B1049&lt;=25),2,0)+IF(AND(ISNUMBER(E1049),E1049&lt;=5),2,0)+IF(AND(ISNUMBER(F1049),F1049&lt;=1),2,0)+IF(AND(ISNUMBER(G1049),G1049&lt;=2),1,0)+IF(AND(ISNUMBER(H1049),H1049&lt;=2),1,0)</f>
        <v>0</v>
      </c>
      <c r="J1049" s="2" t="str">
        <f aca="false">IF(I1049&gt;=6,"High",IF(I1049&gt;=3,"Medium","Low"))</f>
        <v>Low</v>
      </c>
    </row>
    <row r="1050" customFormat="false" ht="15" hidden="false" customHeight="true" outlineLevel="0" collapsed="false">
      <c r="A1050" s="2" t="n">
        <f aca="false">'Raw Data'!H1050</f>
        <v>1049</v>
      </c>
      <c r="B1050" s="2" t="n">
        <f aca="false">'Raw Data'!A1050</f>
        <v>31</v>
      </c>
      <c r="C1050" s="2" t="str">
        <f aca="false">'Raw Data'!D1050</f>
        <v>Sales</v>
      </c>
      <c r="D1050" s="2" t="str">
        <f aca="false">'Raw Data'!K1050</f>
        <v>Manufacturing Director</v>
      </c>
      <c r="E1050" s="2" t="n">
        <f aca="false">'Raw Data'!Q1050</f>
        <v>9</v>
      </c>
      <c r="F1050" s="2" t="n">
        <f aca="false">'Raw Data'!U1050</f>
        <v>2</v>
      </c>
      <c r="G1050" s="2" t="n">
        <f aca="false">'Raw Data'!W1050</f>
        <v>1</v>
      </c>
      <c r="H1050" s="2" t="n">
        <f aca="false">'Raw Data'!V1050</f>
        <v>1</v>
      </c>
      <c r="I1050" s="2" t="n">
        <f aca="false">IF(AND(ISNUMBER(B1050),B1050&lt;=25),2,0)+IF(AND(ISNUMBER(E1050),E1050&lt;=5),2,0)+IF(AND(ISNUMBER(F1050),F1050&lt;=1),2,0)+IF(AND(ISNUMBER(G1050),G1050&lt;=2),1,0)+IF(AND(ISNUMBER(H1050),H1050&lt;=2),1,0)</f>
        <v>2</v>
      </c>
      <c r="J1050" s="2" t="str">
        <f aca="false">IF(I1050&gt;=6,"High",IF(I1050&gt;=3,"Medium","Low"))</f>
        <v>Low</v>
      </c>
    </row>
    <row r="1051" customFormat="false" ht="15" hidden="false" customHeight="true" outlineLevel="0" collapsed="false">
      <c r="A1051" s="2" t="n">
        <f aca="false">'Raw Data'!H1051</f>
        <v>1050</v>
      </c>
      <c r="B1051" s="2" t="n">
        <f aca="false">'Raw Data'!A1051</f>
        <v>28</v>
      </c>
      <c r="C1051" s="2" t="str">
        <f aca="false">'Raw Data'!D1051</f>
        <v>Sales</v>
      </c>
      <c r="D1051" s="2" t="str">
        <f aca="false">'Raw Data'!K1051</f>
        <v>Manager</v>
      </c>
      <c r="E1051" s="2" t="n">
        <f aca="false">'Raw Data'!Q1051</f>
        <v>3</v>
      </c>
      <c r="F1051" s="2" t="n">
        <f aca="false">'Raw Data'!U1051</f>
        <v>2</v>
      </c>
      <c r="G1051" s="2" t="n">
        <f aca="false">'Raw Data'!W1051</f>
        <v>1</v>
      </c>
      <c r="H1051" s="2" t="n">
        <f aca="false">'Raw Data'!V1051</f>
        <v>3</v>
      </c>
      <c r="I1051" s="2" t="n">
        <f aca="false">IF(AND(ISNUMBER(B1051),B1051&lt;=25),2,0)+IF(AND(ISNUMBER(E1051),E1051&lt;=5),2,0)+IF(AND(ISNUMBER(F1051),F1051&lt;=1),2,0)+IF(AND(ISNUMBER(G1051),G1051&lt;=2),1,0)+IF(AND(ISNUMBER(H1051),H1051&lt;=2),1,0)</f>
        <v>3</v>
      </c>
      <c r="J1051" s="2" t="str">
        <f aca="false">IF(I1051&gt;=6,"High",IF(I1051&gt;=3,"Medium","Low"))</f>
        <v>Medium</v>
      </c>
    </row>
    <row r="1052" customFormat="false" ht="15" hidden="false" customHeight="true" outlineLevel="0" collapsed="false">
      <c r="A1052" s="2" t="n">
        <f aca="false">'Raw Data'!H1052</f>
        <v>1051</v>
      </c>
      <c r="B1052" s="2" t="n">
        <f aca="false">'Raw Data'!A1052</f>
        <v>38</v>
      </c>
      <c r="C1052" s="2" t="str">
        <f aca="false">'Raw Data'!D1052</f>
        <v>Research &amp; Development</v>
      </c>
      <c r="D1052" s="2" t="str">
        <f aca="false">'Raw Data'!K1052</f>
        <v>Manufacturing Director</v>
      </c>
      <c r="E1052" s="2" t="n">
        <f aca="false">'Raw Data'!Q1052</f>
        <v>20</v>
      </c>
      <c r="F1052" s="2" t="n">
        <f aca="false">'Raw Data'!U1052</f>
        <v>3</v>
      </c>
      <c r="G1052" s="2" t="n">
        <f aca="false">'Raw Data'!W1052</f>
        <v>4</v>
      </c>
      <c r="H1052" s="2" t="n">
        <f aca="false">'Raw Data'!V1052</f>
        <v>2</v>
      </c>
      <c r="I1052" s="2" t="n">
        <f aca="false">IF(AND(ISNUMBER(B1052),B1052&lt;=25),2,0)+IF(AND(ISNUMBER(E1052),E1052&lt;=5),2,0)+IF(AND(ISNUMBER(F1052),F1052&lt;=1),2,0)+IF(AND(ISNUMBER(G1052),G1052&lt;=2),1,0)+IF(AND(ISNUMBER(H1052),H1052&lt;=2),1,0)</f>
        <v>1</v>
      </c>
      <c r="J1052" s="2" t="str">
        <f aca="false">IF(I1052&gt;=6,"High",IF(I1052&gt;=3,"Medium","Low"))</f>
        <v>Low</v>
      </c>
    </row>
    <row r="1053" customFormat="false" ht="15" hidden="false" customHeight="true" outlineLevel="0" collapsed="false">
      <c r="A1053" s="2" t="n">
        <f aca="false">'Raw Data'!H1053</f>
        <v>1052</v>
      </c>
      <c r="B1053" s="2" t="n">
        <f aca="false">'Raw Data'!A1053</f>
        <v>26</v>
      </c>
      <c r="C1053" s="2" t="str">
        <f aca="false">'Raw Data'!D1053</f>
        <v>Sales</v>
      </c>
      <c r="D1053" s="2" t="str">
        <f aca="false">'Raw Data'!K1053</f>
        <v>Healthcare Representative</v>
      </c>
      <c r="E1053" s="2" t="n">
        <f aca="false">'Raw Data'!Q1053</f>
        <v>5</v>
      </c>
      <c r="F1053" s="2" t="n">
        <f aca="false">'Raw Data'!U1053</f>
        <v>2</v>
      </c>
      <c r="G1053" s="2" t="n">
        <f aca="false">'Raw Data'!W1053</f>
        <v>4</v>
      </c>
      <c r="H1053" s="2" t="n">
        <f aca="false">'Raw Data'!V1053</f>
        <v>3</v>
      </c>
      <c r="I1053" s="2" t="n">
        <f aca="false">IF(AND(ISNUMBER(B1053),B1053&lt;=25),2,0)+IF(AND(ISNUMBER(E1053),E1053&lt;=5),2,0)+IF(AND(ISNUMBER(F1053),F1053&lt;=1),2,0)+IF(AND(ISNUMBER(G1053),G1053&lt;=2),1,0)+IF(AND(ISNUMBER(H1053),H1053&lt;=2),1,0)</f>
        <v>2</v>
      </c>
      <c r="J1053" s="2" t="str">
        <f aca="false">IF(I1053&gt;=6,"High",IF(I1053&gt;=3,"Medium","Low"))</f>
        <v>Low</v>
      </c>
    </row>
    <row r="1054" customFormat="false" ht="15" hidden="false" customHeight="true" outlineLevel="0" collapsed="false">
      <c r="A1054" s="2" t="n">
        <f aca="false">'Raw Data'!H1054</f>
        <v>1053</v>
      </c>
      <c r="B1054" s="2" t="n">
        <f aca="false">'Raw Data'!A1054</f>
        <v>58</v>
      </c>
      <c r="C1054" s="2" t="str">
        <f aca="false">'Raw Data'!D1054</f>
        <v>Research &amp; Development</v>
      </c>
      <c r="D1054" s="2" t="str">
        <f aca="false">'Raw Data'!K1054</f>
        <v>Sales Representative</v>
      </c>
      <c r="E1054" s="2" t="n">
        <f aca="false">'Raw Data'!Q1054</f>
        <v>23</v>
      </c>
      <c r="F1054" s="2" t="n">
        <f aca="false">'Raw Data'!U1054</f>
        <v>2</v>
      </c>
      <c r="G1054" s="2" t="n">
        <f aca="false">'Raw Data'!W1054</f>
        <v>3</v>
      </c>
      <c r="H1054" s="2" t="n">
        <f aca="false">'Raw Data'!V1054</f>
        <v>1</v>
      </c>
      <c r="I1054" s="2" t="n">
        <f aca="false">IF(AND(ISNUMBER(B1054),B1054&lt;=25),2,0)+IF(AND(ISNUMBER(E1054),E1054&lt;=5),2,0)+IF(AND(ISNUMBER(F1054),F1054&lt;=1),2,0)+IF(AND(ISNUMBER(G1054),G1054&lt;=2),1,0)+IF(AND(ISNUMBER(H1054),H1054&lt;=2),1,0)</f>
        <v>1</v>
      </c>
      <c r="J1054" s="2" t="str">
        <f aca="false">IF(I1054&gt;=6,"High",IF(I1054&gt;=3,"Medium","Low"))</f>
        <v>Low</v>
      </c>
    </row>
    <row r="1055" customFormat="false" ht="15" hidden="false" customHeight="true" outlineLevel="0" collapsed="false">
      <c r="A1055" s="2" t="n">
        <f aca="false">'Raw Data'!H1055</f>
        <v>1054</v>
      </c>
      <c r="B1055" s="2" t="n">
        <f aca="false">'Raw Data'!A1055</f>
        <v>18</v>
      </c>
      <c r="C1055" s="2" t="str">
        <f aca="false">'Raw Data'!D1055</f>
        <v>Research &amp; Development</v>
      </c>
      <c r="D1055" s="2" t="str">
        <f aca="false">'Raw Data'!K1055</f>
        <v>Sales Representative</v>
      </c>
      <c r="E1055" s="2" t="n">
        <f aca="false">'Raw Data'!Q1055</f>
        <v>0</v>
      </c>
      <c r="F1055" s="2" t="n">
        <f aca="false">'Raw Data'!U1055</f>
        <v>0</v>
      </c>
      <c r="G1055" s="2" t="n">
        <f aca="false">'Raw Data'!W1055</f>
        <v>3</v>
      </c>
      <c r="H1055" s="2" t="n">
        <f aca="false">'Raw Data'!V1055</f>
        <v>2</v>
      </c>
      <c r="I1055" s="2" t="n">
        <f aca="false">IF(AND(ISNUMBER(B1055),B1055&lt;=25),2,0)+IF(AND(ISNUMBER(E1055),E1055&lt;=5),2,0)+IF(AND(ISNUMBER(F1055),F1055&lt;=1),2,0)+IF(AND(ISNUMBER(G1055),G1055&lt;=2),1,0)+IF(AND(ISNUMBER(H1055),H1055&lt;=2),1,0)</f>
        <v>7</v>
      </c>
      <c r="J1055" s="2" t="str">
        <f aca="false">IF(I1055&gt;=6,"High",IF(I1055&gt;=3,"Medium","Low"))</f>
        <v>High</v>
      </c>
    </row>
    <row r="1056" customFormat="false" ht="15" hidden="false" customHeight="true" outlineLevel="0" collapsed="false">
      <c r="A1056" s="2" t="n">
        <f aca="false">'Raw Data'!H1056</f>
        <v>1055</v>
      </c>
      <c r="B1056" s="2" t="n">
        <f aca="false">'Raw Data'!A1056</f>
        <v>31</v>
      </c>
      <c r="C1056" s="2" t="str">
        <f aca="false">'Raw Data'!D1056</f>
        <v>Research &amp; Development</v>
      </c>
      <c r="D1056" s="2" t="str">
        <f aca="false">'Raw Data'!K1056</f>
        <v>Laboratory Technician</v>
      </c>
      <c r="E1056" s="2" t="n">
        <f aca="false">'Raw Data'!Q1056</f>
        <v>2</v>
      </c>
      <c r="F1056" s="2" t="n">
        <f aca="false">'Raw Data'!U1056</f>
        <v>0</v>
      </c>
      <c r="G1056" s="2" t="n">
        <f aca="false">'Raw Data'!W1056</f>
        <v>1</v>
      </c>
      <c r="H1056" s="2" t="n">
        <f aca="false">'Raw Data'!V1056</f>
        <v>4</v>
      </c>
      <c r="I1056" s="2" t="n">
        <f aca="false">IF(AND(ISNUMBER(B1056),B1056&lt;=25),2,0)+IF(AND(ISNUMBER(E1056),E1056&lt;=5),2,0)+IF(AND(ISNUMBER(F1056),F1056&lt;=1),2,0)+IF(AND(ISNUMBER(G1056),G1056&lt;=2),1,0)+IF(AND(ISNUMBER(H1056),H1056&lt;=2),1,0)</f>
        <v>5</v>
      </c>
      <c r="J1056" s="2" t="str">
        <f aca="false">IF(I1056&gt;=6,"High",IF(I1056&gt;=3,"Medium","Low"))</f>
        <v>Medium</v>
      </c>
    </row>
    <row r="1057" customFormat="false" ht="15" hidden="false" customHeight="true" outlineLevel="0" collapsed="false">
      <c r="A1057" s="2" t="n">
        <f aca="false">'Raw Data'!H1057</f>
        <v>1056</v>
      </c>
      <c r="B1057" s="2" t="n">
        <f aca="false">'Raw Data'!A1057</f>
        <v>29</v>
      </c>
      <c r="C1057" s="2" t="str">
        <f aca="false">'Raw Data'!D1057</f>
        <v>Research &amp; Development</v>
      </c>
      <c r="D1057" s="2" t="str">
        <f aca="false">'Raw Data'!K1057</f>
        <v>Manager</v>
      </c>
      <c r="E1057" s="2" t="n">
        <f aca="false">'Raw Data'!Q1057</f>
        <v>4</v>
      </c>
      <c r="F1057" s="2" t="n">
        <f aca="false">'Raw Data'!U1057</f>
        <v>0</v>
      </c>
      <c r="G1057" s="2" t="n">
        <f aca="false">'Raw Data'!W1057</f>
        <v>1</v>
      </c>
      <c r="H1057" s="2" t="n">
        <f aca="false">'Raw Data'!V1057</f>
        <v>1</v>
      </c>
      <c r="I1057" s="2" t="n">
        <f aca="false">IF(AND(ISNUMBER(B1057),B1057&lt;=25),2,0)+IF(AND(ISNUMBER(E1057),E1057&lt;=5),2,0)+IF(AND(ISNUMBER(F1057),F1057&lt;=1),2,0)+IF(AND(ISNUMBER(G1057),G1057&lt;=2),1,0)+IF(AND(ISNUMBER(H1057),H1057&lt;=2),1,0)</f>
        <v>6</v>
      </c>
      <c r="J1057" s="2" t="str">
        <f aca="false">IF(I1057&gt;=6,"High",IF(I1057&gt;=3,"Medium","Low"))</f>
        <v>High</v>
      </c>
    </row>
    <row r="1058" customFormat="false" ht="15" hidden="false" customHeight="true" outlineLevel="0" collapsed="false">
      <c r="A1058" s="2" t="n">
        <f aca="false">'Raw Data'!H1058</f>
        <v>1057</v>
      </c>
      <c r="B1058" s="2" t="n">
        <f aca="false">'Raw Data'!A1058</f>
        <v>45</v>
      </c>
      <c r="C1058" s="2" t="str">
        <f aca="false">'Raw Data'!D1058</f>
        <v>Sales</v>
      </c>
      <c r="D1058" s="2" t="str">
        <f aca="false">'Raw Data'!K1058</f>
        <v>Research Scientist</v>
      </c>
      <c r="E1058" s="2" t="n">
        <f aca="false">'Raw Data'!Q1058</f>
        <v>10</v>
      </c>
      <c r="F1058" s="2" t="n">
        <f aca="false">'Raw Data'!U1058</f>
        <v>7</v>
      </c>
      <c r="G1058" s="2" t="n">
        <f aca="false">'Raw Data'!W1058</f>
        <v>3</v>
      </c>
      <c r="H1058" s="2" t="n">
        <f aca="false">'Raw Data'!V1058</f>
        <v>3</v>
      </c>
      <c r="I1058" s="2" t="n">
        <f aca="false">IF(AND(ISNUMBER(B1058),B1058&lt;=25),2,0)+IF(AND(ISNUMBER(E1058),E1058&lt;=5),2,0)+IF(AND(ISNUMBER(F1058),F1058&lt;=1),2,0)+IF(AND(ISNUMBER(G1058),G1058&lt;=2),1,0)+IF(AND(ISNUMBER(H1058),H1058&lt;=2),1,0)</f>
        <v>0</v>
      </c>
      <c r="J1058" s="2" t="str">
        <f aca="false">IF(I1058&gt;=6,"High",IF(I1058&gt;=3,"Medium","Low"))</f>
        <v>Low</v>
      </c>
    </row>
    <row r="1059" customFormat="false" ht="15" hidden="false" customHeight="true" outlineLevel="0" collapsed="false">
      <c r="A1059" s="2" t="n">
        <f aca="false">'Raw Data'!H1059</f>
        <v>1058</v>
      </c>
      <c r="B1059" s="2" t="n">
        <f aca="false">'Raw Data'!A1059</f>
        <v>36</v>
      </c>
      <c r="C1059" s="2" t="str">
        <f aca="false">'Raw Data'!D1059</f>
        <v>Sales</v>
      </c>
      <c r="D1059" s="2" t="str">
        <f aca="false">'Raw Data'!K1059</f>
        <v>Laboratory Technician</v>
      </c>
      <c r="E1059" s="2" t="n">
        <f aca="false">'Raw Data'!Q1059</f>
        <v>15</v>
      </c>
      <c r="F1059" s="2" t="n">
        <f aca="false">'Raw Data'!U1059</f>
        <v>0</v>
      </c>
      <c r="G1059" s="2" t="n">
        <f aca="false">'Raw Data'!W1059</f>
        <v>2</v>
      </c>
      <c r="H1059" s="2" t="n">
        <f aca="false">'Raw Data'!V1059</f>
        <v>4</v>
      </c>
      <c r="I1059" s="2" t="n">
        <f aca="false">IF(AND(ISNUMBER(B1059),B1059&lt;=25),2,0)+IF(AND(ISNUMBER(E1059),E1059&lt;=5),2,0)+IF(AND(ISNUMBER(F1059),F1059&lt;=1),2,0)+IF(AND(ISNUMBER(G1059),G1059&lt;=2),1,0)+IF(AND(ISNUMBER(H1059),H1059&lt;=2),1,0)</f>
        <v>3</v>
      </c>
      <c r="J1059" s="2" t="str">
        <f aca="false">IF(I1059&gt;=6,"High",IF(I1059&gt;=3,"Medium","Low"))</f>
        <v>Medium</v>
      </c>
    </row>
    <row r="1060" customFormat="false" ht="15" hidden="false" customHeight="true" outlineLevel="0" collapsed="false">
      <c r="A1060" s="2" t="n">
        <f aca="false">'Raw Data'!H1060</f>
        <v>1059</v>
      </c>
      <c r="B1060" s="2" t="n">
        <f aca="false">'Raw Data'!A1060</f>
        <v>43</v>
      </c>
      <c r="C1060" s="2" t="str">
        <f aca="false">'Raw Data'!D1060</f>
        <v>Sales</v>
      </c>
      <c r="D1060" s="2" t="str">
        <f aca="false">'Raw Data'!K1060</f>
        <v>Research Director</v>
      </c>
      <c r="E1060" s="2" t="n">
        <f aca="false">'Raw Data'!Q1060</f>
        <v>7</v>
      </c>
      <c r="F1060" s="2" t="n">
        <f aca="false">'Raw Data'!U1060</f>
        <v>7</v>
      </c>
      <c r="G1060" s="2" t="n">
        <f aca="false">'Raw Data'!W1060</f>
        <v>4</v>
      </c>
      <c r="H1060" s="2" t="n">
        <f aca="false">'Raw Data'!V1060</f>
        <v>1</v>
      </c>
      <c r="I1060" s="2" t="n">
        <f aca="false">IF(AND(ISNUMBER(B1060),B1060&lt;=25),2,0)+IF(AND(ISNUMBER(E1060),E1060&lt;=5),2,0)+IF(AND(ISNUMBER(F1060),F1060&lt;=1),2,0)+IF(AND(ISNUMBER(G1060),G1060&lt;=2),1,0)+IF(AND(ISNUMBER(H1060),H1060&lt;=2),1,0)</f>
        <v>1</v>
      </c>
      <c r="J1060" s="2" t="str">
        <f aca="false">IF(I1060&gt;=6,"High",IF(I1060&gt;=3,"Medium","Low"))</f>
        <v>Low</v>
      </c>
    </row>
    <row r="1061" customFormat="false" ht="15" hidden="false" customHeight="true" outlineLevel="0" collapsed="false">
      <c r="A1061" s="2" t="n">
        <f aca="false">'Raw Data'!H1061</f>
        <v>1060</v>
      </c>
      <c r="B1061" s="2" t="n">
        <f aca="false">'Raw Data'!A1061</f>
        <v>27</v>
      </c>
      <c r="C1061" s="2" t="str">
        <f aca="false">'Raw Data'!D1061</f>
        <v>Sales</v>
      </c>
      <c r="D1061" s="2" t="str">
        <f aca="false">'Raw Data'!K1061</f>
        <v>Research Scientist</v>
      </c>
      <c r="E1061" s="2" t="n">
        <f aca="false">'Raw Data'!Q1061</f>
        <v>6</v>
      </c>
      <c r="F1061" s="2" t="n">
        <f aca="false">'Raw Data'!U1061</f>
        <v>2</v>
      </c>
      <c r="G1061" s="2" t="n">
        <f aca="false">'Raw Data'!W1061</f>
        <v>4</v>
      </c>
      <c r="H1061" s="2" t="n">
        <f aca="false">'Raw Data'!V1061</f>
        <v>4</v>
      </c>
      <c r="I1061" s="2" t="n">
        <f aca="false">IF(AND(ISNUMBER(B1061),B1061&lt;=25),2,0)+IF(AND(ISNUMBER(E1061),E1061&lt;=5),2,0)+IF(AND(ISNUMBER(F1061),F1061&lt;=1),2,0)+IF(AND(ISNUMBER(G1061),G1061&lt;=2),1,0)+IF(AND(ISNUMBER(H1061),H1061&lt;=2),1,0)</f>
        <v>0</v>
      </c>
      <c r="J1061" s="2" t="str">
        <f aca="false">IF(I1061&gt;=6,"High",IF(I1061&gt;=3,"Medium","Low"))</f>
        <v>Low</v>
      </c>
    </row>
    <row r="1062" customFormat="false" ht="15" hidden="false" customHeight="true" outlineLevel="0" collapsed="false">
      <c r="A1062" s="2" t="n">
        <f aca="false">'Raw Data'!H1062</f>
        <v>1061</v>
      </c>
      <c r="B1062" s="2" t="n">
        <f aca="false">'Raw Data'!A1062</f>
        <v>29</v>
      </c>
      <c r="C1062" s="2" t="str">
        <f aca="false">'Raw Data'!D1062</f>
        <v>Research &amp; Development</v>
      </c>
      <c r="D1062" s="2" t="str">
        <f aca="false">'Raw Data'!K1062</f>
        <v>Human Resources</v>
      </c>
      <c r="E1062" s="2" t="n">
        <f aca="false">'Raw Data'!Q1062</f>
        <v>11</v>
      </c>
      <c r="F1062" s="2" t="n">
        <f aca="false">'Raw Data'!U1062</f>
        <v>10</v>
      </c>
      <c r="G1062" s="2" t="n">
        <f aca="false">'Raw Data'!W1062</f>
        <v>4</v>
      </c>
      <c r="H1062" s="2" t="n">
        <f aca="false">'Raw Data'!V1062</f>
        <v>4</v>
      </c>
      <c r="I1062" s="2" t="n">
        <f aca="false">IF(AND(ISNUMBER(B1062),B1062&lt;=25),2,0)+IF(AND(ISNUMBER(E1062),E1062&lt;=5),2,0)+IF(AND(ISNUMBER(F1062),F1062&lt;=1),2,0)+IF(AND(ISNUMBER(G1062),G1062&lt;=2),1,0)+IF(AND(ISNUMBER(H1062),H1062&lt;=2),1,0)</f>
        <v>0</v>
      </c>
      <c r="J1062" s="2" t="str">
        <f aca="false">IF(I1062&gt;=6,"High",IF(I1062&gt;=3,"Medium","Low"))</f>
        <v>Low</v>
      </c>
    </row>
    <row r="1063" customFormat="false" ht="15" hidden="false" customHeight="true" outlineLevel="0" collapsed="false">
      <c r="A1063" s="2" t="n">
        <f aca="false">'Raw Data'!H1063</f>
        <v>1062</v>
      </c>
      <c r="B1063" s="2" t="n">
        <f aca="false">'Raw Data'!A1063</f>
        <v>32</v>
      </c>
      <c r="C1063" s="2" t="str">
        <f aca="false">'Raw Data'!D1063</f>
        <v>Sales</v>
      </c>
      <c r="D1063" s="2" t="str">
        <f aca="false">'Raw Data'!K1063</f>
        <v>Sales Executive</v>
      </c>
      <c r="E1063" s="2" t="n">
        <f aca="false">'Raw Data'!Q1063</f>
        <v>4</v>
      </c>
      <c r="F1063" s="2" t="n">
        <f aca="false">'Raw Data'!U1063</f>
        <v>0</v>
      </c>
      <c r="G1063" s="2" t="n">
        <f aca="false">'Raw Data'!W1063</f>
        <v>4</v>
      </c>
      <c r="H1063" s="2" t="n">
        <f aca="false">'Raw Data'!V1063</f>
        <v>4</v>
      </c>
      <c r="I1063" s="2" t="n">
        <f aca="false">IF(AND(ISNUMBER(B1063),B1063&lt;=25),2,0)+IF(AND(ISNUMBER(E1063),E1063&lt;=5),2,0)+IF(AND(ISNUMBER(F1063),F1063&lt;=1),2,0)+IF(AND(ISNUMBER(G1063),G1063&lt;=2),1,0)+IF(AND(ISNUMBER(H1063),H1063&lt;=2),1,0)</f>
        <v>4</v>
      </c>
      <c r="J1063" s="2" t="str">
        <f aca="false">IF(I1063&gt;=6,"High",IF(I1063&gt;=3,"Medium","Low"))</f>
        <v>Medium</v>
      </c>
    </row>
    <row r="1064" customFormat="false" ht="15" hidden="false" customHeight="true" outlineLevel="0" collapsed="false">
      <c r="A1064" s="2" t="n">
        <f aca="false">'Raw Data'!H1064</f>
        <v>1063</v>
      </c>
      <c r="B1064" s="2" t="n">
        <f aca="false">'Raw Data'!A1064</f>
        <v>42</v>
      </c>
      <c r="C1064" s="2" t="str">
        <f aca="false">'Raw Data'!D1064</f>
        <v>Research &amp; Development</v>
      </c>
      <c r="D1064" s="2" t="str">
        <f aca="false">'Raw Data'!K1064</f>
        <v>Manager</v>
      </c>
      <c r="E1064" s="2" t="n">
        <f aca="false">'Raw Data'!Q1064</f>
        <v>10</v>
      </c>
      <c r="F1064" s="2" t="n">
        <f aca="false">'Raw Data'!U1064</f>
        <v>3</v>
      </c>
      <c r="G1064" s="2" t="n">
        <f aca="false">'Raw Data'!W1064</f>
        <v>3</v>
      </c>
      <c r="H1064" s="2" t="n">
        <f aca="false">'Raw Data'!V1064</f>
        <v>3</v>
      </c>
      <c r="I1064" s="2" t="n">
        <f aca="false">IF(AND(ISNUMBER(B1064),B1064&lt;=25),2,0)+IF(AND(ISNUMBER(E1064),E1064&lt;=5),2,0)+IF(AND(ISNUMBER(F1064),F1064&lt;=1),2,0)+IF(AND(ISNUMBER(G1064),G1064&lt;=2),1,0)+IF(AND(ISNUMBER(H1064),H1064&lt;=2),1,0)</f>
        <v>0</v>
      </c>
      <c r="J1064" s="2" t="str">
        <f aca="false">IF(I1064&gt;=6,"High",IF(I1064&gt;=3,"Medium","Low"))</f>
        <v>Low</v>
      </c>
    </row>
    <row r="1065" customFormat="false" ht="15" hidden="false" customHeight="true" outlineLevel="0" collapsed="false">
      <c r="A1065" s="2" t="n">
        <f aca="false">'Raw Data'!H1065</f>
        <v>1064</v>
      </c>
      <c r="B1065" s="2" t="n">
        <f aca="false">'Raw Data'!A1065</f>
        <v>47</v>
      </c>
      <c r="C1065" s="2" t="str">
        <f aca="false">'Raw Data'!D1065</f>
        <v>Sales</v>
      </c>
      <c r="D1065" s="2" t="str">
        <f aca="false">'Raw Data'!K1065</f>
        <v>Manager</v>
      </c>
      <c r="E1065" s="2" t="n">
        <f aca="false">'Raw Data'!Q1065</f>
        <v>7</v>
      </c>
      <c r="F1065" s="2" t="n">
        <f aca="false">'Raw Data'!U1065</f>
        <v>0</v>
      </c>
      <c r="G1065" s="2" t="n">
        <f aca="false">'Raw Data'!W1065</f>
        <v>3</v>
      </c>
      <c r="H1065" s="2" t="n">
        <f aca="false">'Raw Data'!V1065</f>
        <v>2</v>
      </c>
      <c r="I1065" s="2" t="n">
        <f aca="false">IF(AND(ISNUMBER(B1065),B1065&lt;=25),2,0)+IF(AND(ISNUMBER(E1065),E1065&lt;=5),2,0)+IF(AND(ISNUMBER(F1065),F1065&lt;=1),2,0)+IF(AND(ISNUMBER(G1065),G1065&lt;=2),1,0)+IF(AND(ISNUMBER(H1065),H1065&lt;=2),1,0)</f>
        <v>3</v>
      </c>
      <c r="J1065" s="2" t="str">
        <f aca="false">IF(I1065&gt;=6,"High",IF(I1065&gt;=3,"Medium","Low"))</f>
        <v>Medium</v>
      </c>
    </row>
    <row r="1066" customFormat="false" ht="15" hidden="false" customHeight="true" outlineLevel="0" collapsed="false">
      <c r="A1066" s="2" t="n">
        <f aca="false">'Raw Data'!H1066</f>
        <v>1065</v>
      </c>
      <c r="B1066" s="2" t="n">
        <f aca="false">'Raw Data'!A1066</f>
        <v>46</v>
      </c>
      <c r="C1066" s="2" t="str">
        <f aca="false">'Raw Data'!D1066</f>
        <v>Human Resources</v>
      </c>
      <c r="D1066" s="2" t="str">
        <f aca="false">'Raw Data'!K1066</f>
        <v>Laboratory Technician</v>
      </c>
      <c r="E1066" s="2" t="n">
        <f aca="false">'Raw Data'!Q1066</f>
        <v>12</v>
      </c>
      <c r="F1066" s="2" t="n">
        <f aca="false">'Raw Data'!U1066</f>
        <v>7</v>
      </c>
      <c r="G1066" s="2" t="n">
        <f aca="false">'Raw Data'!W1066</f>
        <v>4</v>
      </c>
      <c r="H1066" s="2" t="n">
        <f aca="false">'Raw Data'!V1066</f>
        <v>4</v>
      </c>
      <c r="I1066" s="2" t="n">
        <f aca="false">IF(AND(ISNUMBER(B1066),B1066&lt;=25),2,0)+IF(AND(ISNUMBER(E1066),E1066&lt;=5),2,0)+IF(AND(ISNUMBER(F1066),F1066&lt;=1),2,0)+IF(AND(ISNUMBER(G1066),G1066&lt;=2),1,0)+IF(AND(ISNUMBER(H1066),H1066&lt;=2),1,0)</f>
        <v>0</v>
      </c>
      <c r="J1066" s="2" t="str">
        <f aca="false">IF(I1066&gt;=6,"High",IF(I1066&gt;=3,"Medium","Low"))</f>
        <v>Low</v>
      </c>
    </row>
    <row r="1067" customFormat="false" ht="15" hidden="false" customHeight="true" outlineLevel="0" collapsed="false">
      <c r="A1067" s="2" t="n">
        <f aca="false">'Raw Data'!H1067</f>
        <v>1066</v>
      </c>
      <c r="B1067" s="2" t="n">
        <f aca="false">'Raw Data'!A1067</f>
        <v>28</v>
      </c>
      <c r="C1067" s="2" t="str">
        <f aca="false">'Raw Data'!D1067</f>
        <v>Research &amp; Development</v>
      </c>
      <c r="D1067" s="2" t="str">
        <f aca="false">'Raw Data'!K1067</f>
        <v>Sales Executive</v>
      </c>
      <c r="E1067" s="2" t="n">
        <f aca="false">'Raw Data'!Q1067</f>
        <v>3</v>
      </c>
      <c r="F1067" s="2" t="n">
        <f aca="false">'Raw Data'!U1067</f>
        <v>2</v>
      </c>
      <c r="G1067" s="2" t="n">
        <f aca="false">'Raw Data'!W1067</f>
        <v>4</v>
      </c>
      <c r="H1067" s="2" t="n">
        <f aca="false">'Raw Data'!V1067</f>
        <v>3</v>
      </c>
      <c r="I1067" s="2" t="n">
        <f aca="false">IF(AND(ISNUMBER(B1067),B1067&lt;=25),2,0)+IF(AND(ISNUMBER(E1067),E1067&lt;=5),2,0)+IF(AND(ISNUMBER(F1067),F1067&lt;=1),2,0)+IF(AND(ISNUMBER(G1067),G1067&lt;=2),1,0)+IF(AND(ISNUMBER(H1067),H1067&lt;=2),1,0)</f>
        <v>2</v>
      </c>
      <c r="J1067" s="2" t="str">
        <f aca="false">IF(I1067&gt;=6,"High",IF(I1067&gt;=3,"Medium","Low"))</f>
        <v>Low</v>
      </c>
    </row>
    <row r="1068" customFormat="false" ht="15" hidden="false" customHeight="true" outlineLevel="0" collapsed="false">
      <c r="A1068" s="2" t="n">
        <f aca="false">'Raw Data'!H1068</f>
        <v>1067</v>
      </c>
      <c r="B1068" s="2" t="n">
        <f aca="false">'Raw Data'!A1068</f>
        <v>29</v>
      </c>
      <c r="C1068" s="2" t="str">
        <f aca="false">'Raw Data'!D1068</f>
        <v>Research &amp; Development</v>
      </c>
      <c r="D1068" s="2" t="str">
        <f aca="false">'Raw Data'!K1068</f>
        <v>Manufacturing Director</v>
      </c>
      <c r="E1068" s="2" t="n">
        <f aca="false">'Raw Data'!Q1068</f>
        <v>11</v>
      </c>
      <c r="F1068" s="2" t="n">
        <f aca="false">'Raw Data'!U1068</f>
        <v>6</v>
      </c>
      <c r="G1068" s="2" t="n">
        <f aca="false">'Raw Data'!W1068</f>
        <v>3</v>
      </c>
      <c r="H1068" s="2" t="n">
        <f aca="false">'Raw Data'!V1068</f>
        <v>4</v>
      </c>
      <c r="I1068" s="2" t="n">
        <f aca="false">IF(AND(ISNUMBER(B1068),B1068&lt;=25),2,0)+IF(AND(ISNUMBER(E1068),E1068&lt;=5),2,0)+IF(AND(ISNUMBER(F1068),F1068&lt;=1),2,0)+IF(AND(ISNUMBER(G1068),G1068&lt;=2),1,0)+IF(AND(ISNUMBER(H1068),H1068&lt;=2),1,0)</f>
        <v>0</v>
      </c>
      <c r="J1068" s="2" t="str">
        <f aca="false">IF(I1068&gt;=6,"High",IF(I1068&gt;=3,"Medium","Low"))</f>
        <v>Low</v>
      </c>
    </row>
    <row r="1069" customFormat="false" ht="15" hidden="false" customHeight="true" outlineLevel="0" collapsed="false">
      <c r="A1069" s="2" t="n">
        <f aca="false">'Raw Data'!H1069</f>
        <v>1068</v>
      </c>
      <c r="B1069" s="2" t="n">
        <f aca="false">'Raw Data'!A1069</f>
        <v>42</v>
      </c>
      <c r="C1069" s="2" t="str">
        <f aca="false">'Raw Data'!D1069</f>
        <v>Sales</v>
      </c>
      <c r="D1069" s="2" t="str">
        <f aca="false">'Raw Data'!K1069</f>
        <v>Research Director</v>
      </c>
      <c r="E1069" s="2" t="n">
        <f aca="false">'Raw Data'!Q1069</f>
        <v>8</v>
      </c>
      <c r="F1069" s="2" t="n">
        <f aca="false">'Raw Data'!U1069</f>
        <v>0</v>
      </c>
      <c r="G1069" s="2" t="n">
        <f aca="false">'Raw Data'!W1069</f>
        <v>3</v>
      </c>
      <c r="H1069" s="2" t="n">
        <f aca="false">'Raw Data'!V1069</f>
        <v>4</v>
      </c>
      <c r="I1069" s="2" t="n">
        <f aca="false">IF(AND(ISNUMBER(B1069),B1069&lt;=25),2,0)+IF(AND(ISNUMBER(E1069),E1069&lt;=5),2,0)+IF(AND(ISNUMBER(F1069),F1069&lt;=1),2,0)+IF(AND(ISNUMBER(G1069),G1069&lt;=2),1,0)+IF(AND(ISNUMBER(H1069),H1069&lt;=2),1,0)</f>
        <v>2</v>
      </c>
      <c r="J1069" s="2" t="str">
        <f aca="false">IF(I1069&gt;=6,"High",IF(I1069&gt;=3,"Medium","Low"))</f>
        <v>Low</v>
      </c>
    </row>
    <row r="1070" customFormat="false" ht="15" hidden="false" customHeight="true" outlineLevel="0" collapsed="false">
      <c r="A1070" s="2" t="n">
        <f aca="false">'Raw Data'!H1070</f>
        <v>1069</v>
      </c>
      <c r="B1070" s="2" t="n">
        <f aca="false">'Raw Data'!A1070</f>
        <v>32</v>
      </c>
      <c r="C1070" s="2" t="str">
        <f aca="false">'Raw Data'!D1070</f>
        <v>Research &amp; Development</v>
      </c>
      <c r="D1070" s="2" t="str">
        <f aca="false">'Raw Data'!K1070</f>
        <v>Laboratory Technician</v>
      </c>
      <c r="E1070" s="2" t="n">
        <f aca="false">'Raw Data'!Q1070</f>
        <v>7</v>
      </c>
      <c r="F1070" s="2" t="n">
        <f aca="false">'Raw Data'!U1070</f>
        <v>2</v>
      </c>
      <c r="G1070" s="2" t="n">
        <f aca="false">'Raw Data'!W1070</f>
        <v>2</v>
      </c>
      <c r="H1070" s="2" t="n">
        <f aca="false">'Raw Data'!V1070</f>
        <v>3</v>
      </c>
      <c r="I1070" s="2" t="n">
        <f aca="false">IF(AND(ISNUMBER(B1070),B1070&lt;=25),2,0)+IF(AND(ISNUMBER(E1070),E1070&lt;=5),2,0)+IF(AND(ISNUMBER(F1070),F1070&lt;=1),2,0)+IF(AND(ISNUMBER(G1070),G1070&lt;=2),1,0)+IF(AND(ISNUMBER(H1070),H1070&lt;=2),1,0)</f>
        <v>1</v>
      </c>
      <c r="J1070" s="2" t="str">
        <f aca="false">IF(I1070&gt;=6,"High",IF(I1070&gt;=3,"Medium","Low"))</f>
        <v>Low</v>
      </c>
    </row>
    <row r="1071" customFormat="false" ht="15" hidden="false" customHeight="true" outlineLevel="0" collapsed="false">
      <c r="A1071" s="2" t="n">
        <f aca="false">'Raw Data'!H1071</f>
        <v>1070</v>
      </c>
      <c r="B1071" s="2" t="n">
        <f aca="false">'Raw Data'!A1071</f>
        <v>46</v>
      </c>
      <c r="C1071" s="2" t="str">
        <f aca="false">'Raw Data'!D1071</f>
        <v>Research &amp; Development</v>
      </c>
      <c r="D1071" s="2" t="str">
        <f aca="false">'Raw Data'!K1071</f>
        <v>Laboratory Technician</v>
      </c>
      <c r="E1071" s="2" t="n">
        <f aca="false">'Raw Data'!Q1071</f>
        <v>25</v>
      </c>
      <c r="F1071" s="2" t="n">
        <f aca="false">'Raw Data'!U1071</f>
        <v>8</v>
      </c>
      <c r="G1071" s="2" t="n">
        <f aca="false">'Raw Data'!W1071</f>
        <v>1</v>
      </c>
      <c r="H1071" s="2" t="n">
        <f aca="false">'Raw Data'!V1071</f>
        <v>1</v>
      </c>
      <c r="I1071" s="2" t="n">
        <f aca="false">IF(AND(ISNUMBER(B1071),B1071&lt;=25),2,0)+IF(AND(ISNUMBER(E1071),E1071&lt;=5),2,0)+IF(AND(ISNUMBER(F1071),F1071&lt;=1),2,0)+IF(AND(ISNUMBER(G1071),G1071&lt;=2),1,0)+IF(AND(ISNUMBER(H1071),H1071&lt;=2),1,0)</f>
        <v>2</v>
      </c>
      <c r="J1071" s="2" t="str">
        <f aca="false">IF(I1071&gt;=6,"High",IF(I1071&gt;=3,"Medium","Low"))</f>
        <v>Low</v>
      </c>
    </row>
    <row r="1072" customFormat="false" ht="15" hidden="false" customHeight="true" outlineLevel="0" collapsed="false">
      <c r="A1072" s="2" t="n">
        <f aca="false">'Raw Data'!H1072</f>
        <v>1071</v>
      </c>
      <c r="B1072" s="2" t="n">
        <f aca="false">'Raw Data'!A1072</f>
        <v>27</v>
      </c>
      <c r="C1072" s="2" t="str">
        <f aca="false">'Raw Data'!D1072</f>
        <v>Sales</v>
      </c>
      <c r="D1072" s="2" t="str">
        <f aca="false">'Raw Data'!K1072</f>
        <v>Research Scientist</v>
      </c>
      <c r="E1072" s="2" t="n">
        <f aca="false">'Raw Data'!Q1072</f>
        <v>9</v>
      </c>
      <c r="F1072" s="2" t="n">
        <f aca="false">'Raw Data'!U1072</f>
        <v>8</v>
      </c>
      <c r="G1072" s="2" t="n">
        <f aca="false">'Raw Data'!W1072</f>
        <v>3</v>
      </c>
      <c r="H1072" s="2" t="n">
        <f aca="false">'Raw Data'!V1072</f>
        <v>2</v>
      </c>
      <c r="I1072" s="2" t="n">
        <f aca="false">IF(AND(ISNUMBER(B1072),B1072&lt;=25),2,0)+IF(AND(ISNUMBER(E1072),E1072&lt;=5),2,0)+IF(AND(ISNUMBER(F1072),F1072&lt;=1),2,0)+IF(AND(ISNUMBER(G1072),G1072&lt;=2),1,0)+IF(AND(ISNUMBER(H1072),H1072&lt;=2),1,0)</f>
        <v>1</v>
      </c>
      <c r="J1072" s="2" t="str">
        <f aca="false">IF(I1072&gt;=6,"High",IF(I1072&gt;=3,"Medium","Low"))</f>
        <v>Low</v>
      </c>
    </row>
    <row r="1073" customFormat="false" ht="15" hidden="false" customHeight="true" outlineLevel="0" collapsed="false">
      <c r="A1073" s="2" t="n">
        <f aca="false">'Raw Data'!H1073</f>
        <v>1072</v>
      </c>
      <c r="B1073" s="2" t="n">
        <f aca="false">'Raw Data'!A1073</f>
        <v>29</v>
      </c>
      <c r="C1073" s="2" t="str">
        <f aca="false">'Raw Data'!D1073</f>
        <v>Research &amp; Development</v>
      </c>
      <c r="D1073" s="2" t="str">
        <f aca="false">'Raw Data'!K1073</f>
        <v>Sales Executive</v>
      </c>
      <c r="E1073" s="2" t="n">
        <f aca="false">'Raw Data'!Q1073</f>
        <v>1</v>
      </c>
      <c r="F1073" s="2" t="n">
        <f aca="false">'Raw Data'!U1073</f>
        <v>0</v>
      </c>
      <c r="G1073" s="2" t="n">
        <f aca="false">'Raw Data'!W1073</f>
        <v>2</v>
      </c>
      <c r="H1073" s="2" t="n">
        <f aca="false">'Raw Data'!V1073</f>
        <v>4</v>
      </c>
      <c r="I1073" s="2" t="n">
        <f aca="false">IF(AND(ISNUMBER(B1073),B1073&lt;=25),2,0)+IF(AND(ISNUMBER(E1073),E1073&lt;=5),2,0)+IF(AND(ISNUMBER(F1073),F1073&lt;=1),2,0)+IF(AND(ISNUMBER(G1073),G1073&lt;=2),1,0)+IF(AND(ISNUMBER(H1073),H1073&lt;=2),1,0)</f>
        <v>5</v>
      </c>
      <c r="J1073" s="2" t="str">
        <f aca="false">IF(I1073&gt;=6,"High",IF(I1073&gt;=3,"Medium","Low"))</f>
        <v>Medium</v>
      </c>
    </row>
    <row r="1074" customFormat="false" ht="15" hidden="false" customHeight="true" outlineLevel="0" collapsed="false">
      <c r="A1074" s="2" t="n">
        <f aca="false">'Raw Data'!H1074</f>
        <v>1073</v>
      </c>
      <c r="B1074" s="2" t="n">
        <f aca="false">'Raw Data'!A1074</f>
        <v>43</v>
      </c>
      <c r="C1074" s="2" t="str">
        <f aca="false">'Raw Data'!D1074</f>
        <v>Research &amp; Development</v>
      </c>
      <c r="D1074" s="2" t="str">
        <f aca="false">'Raw Data'!K1074</f>
        <v>Manufacturing Director</v>
      </c>
      <c r="E1074" s="2" t="n">
        <f aca="false">'Raw Data'!Q1074</f>
        <v>21</v>
      </c>
      <c r="F1074" s="2" t="n">
        <f aca="false">'Raw Data'!U1074</f>
        <v>14</v>
      </c>
      <c r="G1074" s="2" t="n">
        <f aca="false">'Raw Data'!W1074</f>
        <v>3</v>
      </c>
      <c r="H1074" s="2" t="n">
        <f aca="false">'Raw Data'!V1074</f>
        <v>1</v>
      </c>
      <c r="I1074" s="2" t="n">
        <f aca="false">IF(AND(ISNUMBER(B1074),B1074&lt;=25),2,0)+IF(AND(ISNUMBER(E1074),E1074&lt;=5),2,0)+IF(AND(ISNUMBER(F1074),F1074&lt;=1),2,0)+IF(AND(ISNUMBER(G1074),G1074&lt;=2),1,0)+IF(AND(ISNUMBER(H1074),H1074&lt;=2),1,0)</f>
        <v>1</v>
      </c>
      <c r="J1074" s="2" t="str">
        <f aca="false">IF(I1074&gt;=6,"High",IF(I1074&gt;=3,"Medium","Low"))</f>
        <v>Low</v>
      </c>
    </row>
    <row r="1075" customFormat="false" ht="15" hidden="false" customHeight="true" outlineLevel="0" collapsed="false">
      <c r="A1075" s="2" t="n">
        <f aca="false">'Raw Data'!H1075</f>
        <v>1074</v>
      </c>
      <c r="B1075" s="2" t="n">
        <f aca="false">'Raw Data'!A1075</f>
        <v>48</v>
      </c>
      <c r="C1075" s="2" t="str">
        <f aca="false">'Raw Data'!D1075</f>
        <v>Research &amp; Development</v>
      </c>
      <c r="D1075" s="2" t="str">
        <f aca="false">'Raw Data'!K1075</f>
        <v>Manager</v>
      </c>
      <c r="E1075" s="2" t="n">
        <f aca="false">'Raw Data'!Q1075</f>
        <v>29</v>
      </c>
      <c r="F1075" s="2" t="n">
        <f aca="false">'Raw Data'!U1075</f>
        <v>9</v>
      </c>
      <c r="G1075" s="2" t="n">
        <f aca="false">'Raw Data'!W1075</f>
        <v>2</v>
      </c>
      <c r="H1075" s="2" t="n">
        <f aca="false">'Raw Data'!V1075</f>
        <v>4</v>
      </c>
      <c r="I1075" s="2" t="n">
        <f aca="false">IF(AND(ISNUMBER(B1075),B1075&lt;=25),2,0)+IF(AND(ISNUMBER(E1075),E1075&lt;=5),2,0)+IF(AND(ISNUMBER(F1075),F1075&lt;=1),2,0)+IF(AND(ISNUMBER(G1075),G1075&lt;=2),1,0)+IF(AND(ISNUMBER(H1075),H1075&lt;=2),1,0)</f>
        <v>1</v>
      </c>
      <c r="J1075" s="2" t="str">
        <f aca="false">IF(I1075&gt;=6,"High",IF(I1075&gt;=3,"Medium","Low"))</f>
        <v>Low</v>
      </c>
    </row>
    <row r="1076" customFormat="false" ht="15" hidden="false" customHeight="true" outlineLevel="0" collapsed="false">
      <c r="A1076" s="2" t="n">
        <f aca="false">'Raw Data'!H1076</f>
        <v>1075</v>
      </c>
      <c r="B1076" s="2" t="n">
        <f aca="false">'Raw Data'!A1076</f>
        <v>29</v>
      </c>
      <c r="C1076" s="2" t="str">
        <f aca="false">'Raw Data'!D1076</f>
        <v>Research &amp; Development</v>
      </c>
      <c r="D1076" s="2" t="str">
        <f aca="false">'Raw Data'!K1076</f>
        <v>Laboratory Technician</v>
      </c>
      <c r="E1076" s="2" t="n">
        <f aca="false">'Raw Data'!Q1076</f>
        <v>1</v>
      </c>
      <c r="F1076" s="2" t="n">
        <f aca="false">'Raw Data'!U1076</f>
        <v>0</v>
      </c>
      <c r="G1076" s="2" t="n">
        <f aca="false">'Raw Data'!W1076</f>
        <v>4</v>
      </c>
      <c r="H1076" s="2" t="n">
        <f aca="false">'Raw Data'!V1076</f>
        <v>4</v>
      </c>
      <c r="I1076" s="2" t="n">
        <f aca="false">IF(AND(ISNUMBER(B1076),B1076&lt;=25),2,0)+IF(AND(ISNUMBER(E1076),E1076&lt;=5),2,0)+IF(AND(ISNUMBER(F1076),F1076&lt;=1),2,0)+IF(AND(ISNUMBER(G1076),G1076&lt;=2),1,0)+IF(AND(ISNUMBER(H1076),H1076&lt;=2),1,0)</f>
        <v>4</v>
      </c>
      <c r="J1076" s="2" t="str">
        <f aca="false">IF(I1076&gt;=6,"High",IF(I1076&gt;=3,"Medium","Low"))</f>
        <v>Medium</v>
      </c>
    </row>
    <row r="1077" customFormat="false" ht="15" hidden="false" customHeight="true" outlineLevel="0" collapsed="false">
      <c r="A1077" s="2" t="n">
        <f aca="false">'Raw Data'!H1077</f>
        <v>1076</v>
      </c>
      <c r="B1077" s="2" t="n">
        <f aca="false">'Raw Data'!A1077</f>
        <v>46</v>
      </c>
      <c r="C1077" s="2" t="str">
        <f aca="false">'Raw Data'!D1077</f>
        <v>Research &amp; Development</v>
      </c>
      <c r="D1077" s="2" t="str">
        <f aca="false">'Raw Data'!K1077</f>
        <v>Sales Representative</v>
      </c>
      <c r="E1077" s="2" t="n">
        <f aca="false">'Raw Data'!Q1077</f>
        <v>14</v>
      </c>
      <c r="F1077" s="2" t="n">
        <f aca="false">'Raw Data'!U1077</f>
        <v>7</v>
      </c>
      <c r="G1077" s="2" t="n">
        <f aca="false">'Raw Data'!W1077</f>
        <v>2</v>
      </c>
      <c r="H1077" s="2" t="n">
        <f aca="false">'Raw Data'!V1077</f>
        <v>3</v>
      </c>
      <c r="I1077" s="2" t="n">
        <f aca="false">IF(AND(ISNUMBER(B1077),B1077&lt;=25),2,0)+IF(AND(ISNUMBER(E1077),E1077&lt;=5),2,0)+IF(AND(ISNUMBER(F1077),F1077&lt;=1),2,0)+IF(AND(ISNUMBER(G1077),G1077&lt;=2),1,0)+IF(AND(ISNUMBER(H1077),H1077&lt;=2),1,0)</f>
        <v>1</v>
      </c>
      <c r="J1077" s="2" t="str">
        <f aca="false">IF(I1077&gt;=6,"High",IF(I1077&gt;=3,"Medium","Low"))</f>
        <v>Low</v>
      </c>
    </row>
    <row r="1078" customFormat="false" ht="15" hidden="false" customHeight="true" outlineLevel="0" collapsed="false">
      <c r="A1078" s="2" t="n">
        <f aca="false">'Raw Data'!H1078</f>
        <v>1077</v>
      </c>
      <c r="B1078" s="2" t="n">
        <f aca="false">'Raw Data'!A1078</f>
        <v>27</v>
      </c>
      <c r="C1078" s="2" t="str">
        <f aca="false">'Raw Data'!D1078</f>
        <v>Research &amp; Development</v>
      </c>
      <c r="D1078" s="2" t="str">
        <f aca="false">'Raw Data'!K1078</f>
        <v>Healthcare Representative</v>
      </c>
      <c r="E1078" s="2" t="n">
        <f aca="false">'Raw Data'!Q1078</f>
        <v>8</v>
      </c>
      <c r="F1078" s="2" t="n">
        <f aca="false">'Raw Data'!U1078</f>
        <v>3</v>
      </c>
      <c r="G1078" s="2" t="n">
        <f aca="false">'Raw Data'!W1078</f>
        <v>1</v>
      </c>
      <c r="H1078" s="2" t="n">
        <f aca="false">'Raw Data'!V1078</f>
        <v>4</v>
      </c>
      <c r="I1078" s="2" t="n">
        <f aca="false">IF(AND(ISNUMBER(B1078),B1078&lt;=25),2,0)+IF(AND(ISNUMBER(E1078),E1078&lt;=5),2,0)+IF(AND(ISNUMBER(F1078),F1078&lt;=1),2,0)+IF(AND(ISNUMBER(G1078),G1078&lt;=2),1,0)+IF(AND(ISNUMBER(H1078),H1078&lt;=2),1,0)</f>
        <v>1</v>
      </c>
      <c r="J1078" s="2" t="str">
        <f aca="false">IF(I1078&gt;=6,"High",IF(I1078&gt;=3,"Medium","Low"))</f>
        <v>Low</v>
      </c>
    </row>
    <row r="1079" customFormat="false" ht="15" hidden="false" customHeight="true" outlineLevel="0" collapsed="false">
      <c r="A1079" s="2" t="n">
        <f aca="false">'Raw Data'!H1079</f>
        <v>1078</v>
      </c>
      <c r="B1079" s="2" t="n">
        <f aca="false">'Raw Data'!A1079</f>
        <v>39</v>
      </c>
      <c r="C1079" s="2" t="str">
        <f aca="false">'Raw Data'!D1079</f>
        <v>Research &amp; Development</v>
      </c>
      <c r="D1079" s="2" t="str">
        <f aca="false">'Raw Data'!K1079</f>
        <v>Healthcare Representative</v>
      </c>
      <c r="E1079" s="2" t="n">
        <f aca="false">'Raw Data'!Q1079</f>
        <v>7</v>
      </c>
      <c r="F1079" s="2" t="n">
        <f aca="false">'Raw Data'!U1079</f>
        <v>2</v>
      </c>
      <c r="G1079" s="2" t="n">
        <f aca="false">'Raw Data'!W1079</f>
        <v>4</v>
      </c>
      <c r="H1079" s="2" t="n">
        <f aca="false">'Raw Data'!V1079</f>
        <v>0</v>
      </c>
      <c r="I1079" s="2" t="n">
        <f aca="false">IF(AND(ISNUMBER(B1079),B1079&lt;=25),2,0)+IF(AND(ISNUMBER(E1079),E1079&lt;=5),2,0)+IF(AND(ISNUMBER(F1079),F1079&lt;=1),2,0)+IF(AND(ISNUMBER(G1079),G1079&lt;=2),1,0)+IF(AND(ISNUMBER(H1079),H1079&lt;=2),1,0)</f>
        <v>0</v>
      </c>
      <c r="J1079" s="2" t="str">
        <f aca="false">IF(I1079&gt;=6,"High",IF(I1079&gt;=3,"Medium","Low"))</f>
        <v>Low</v>
      </c>
    </row>
    <row r="1080" customFormat="false" ht="15" hidden="false" customHeight="true" outlineLevel="0" collapsed="false">
      <c r="A1080" s="2" t="n">
        <f aca="false">'Raw Data'!H1080</f>
        <v>1079</v>
      </c>
      <c r="B1080" s="2" t="n">
        <f aca="false">'Raw Data'!A1080</f>
        <v>55</v>
      </c>
      <c r="C1080" s="2" t="str">
        <f aca="false">'Raw Data'!D1080</f>
        <v>Research &amp; Development</v>
      </c>
      <c r="D1080" s="2" t="str">
        <f aca="false">'Raw Data'!K1080</f>
        <v>Human Resources</v>
      </c>
      <c r="E1080" s="2" t="n">
        <f aca="false">'Raw Data'!Q1080</f>
        <v>19</v>
      </c>
      <c r="F1080" s="2" t="n">
        <f aca="false">'Raw Data'!U1080</f>
        <v>4</v>
      </c>
      <c r="G1080" s="2" t="n">
        <f aca="false">'Raw Data'!W1080</f>
        <v>4</v>
      </c>
      <c r="H1080" s="2" t="n">
        <f aca="false">'Raw Data'!V1080</f>
        <v>2</v>
      </c>
      <c r="I1080" s="2" t="n">
        <f aca="false">IF(AND(ISNUMBER(B1080),B1080&lt;=25),2,0)+IF(AND(ISNUMBER(E1080),E1080&lt;=5),2,0)+IF(AND(ISNUMBER(F1080),F1080&lt;=1),2,0)+IF(AND(ISNUMBER(G1080),G1080&lt;=2),1,0)+IF(AND(ISNUMBER(H1080),H1080&lt;=2),1,0)</f>
        <v>1</v>
      </c>
      <c r="J1080" s="2" t="str">
        <f aca="false">IF(I1080&gt;=6,"High",IF(I1080&gt;=3,"Medium","Low"))</f>
        <v>Low</v>
      </c>
    </row>
    <row r="1081" customFormat="false" ht="15" hidden="false" customHeight="true" outlineLevel="0" collapsed="false">
      <c r="A1081" s="2" t="n">
        <f aca="false">'Raw Data'!H1081</f>
        <v>1080</v>
      </c>
      <c r="B1081" s="2" t="n">
        <f aca="false">'Raw Data'!A1081</f>
        <v>28</v>
      </c>
      <c r="C1081" s="2" t="str">
        <f aca="false">'Raw Data'!D1081</f>
        <v>Research &amp; Development</v>
      </c>
      <c r="D1081" s="2" t="str">
        <f aca="false">'Raw Data'!K1081</f>
        <v>Laboratory Technician</v>
      </c>
      <c r="E1081" s="2" t="n">
        <f aca="false">'Raw Data'!Q1081</f>
        <v>1</v>
      </c>
      <c r="F1081" s="2" t="n">
        <f aca="false">'Raw Data'!U1081</f>
        <v>0</v>
      </c>
      <c r="G1081" s="2" t="n">
        <f aca="false">'Raw Data'!W1081</f>
        <v>2</v>
      </c>
      <c r="H1081" s="2" t="n">
        <f aca="false">'Raw Data'!V1081</f>
        <v>2</v>
      </c>
      <c r="I1081" s="2" t="n">
        <f aca="false">IF(AND(ISNUMBER(B1081),B1081&lt;=25),2,0)+IF(AND(ISNUMBER(E1081),E1081&lt;=5),2,0)+IF(AND(ISNUMBER(F1081),F1081&lt;=1),2,0)+IF(AND(ISNUMBER(G1081),G1081&lt;=2),1,0)+IF(AND(ISNUMBER(H1081),H1081&lt;=2),1,0)</f>
        <v>6</v>
      </c>
      <c r="J1081" s="2" t="str">
        <f aca="false">IF(I1081&gt;=6,"High",IF(I1081&gt;=3,"Medium","Low"))</f>
        <v>High</v>
      </c>
    </row>
    <row r="1082" customFormat="false" ht="15" hidden="false" customHeight="true" outlineLevel="0" collapsed="false">
      <c r="A1082" s="2" t="n">
        <f aca="false">'Raw Data'!H1082</f>
        <v>1081</v>
      </c>
      <c r="B1082" s="2" t="n">
        <f aca="false">'Raw Data'!A1082</f>
        <v>30</v>
      </c>
      <c r="C1082" s="2" t="str">
        <f aca="false">'Raw Data'!D1082</f>
        <v>Sales</v>
      </c>
      <c r="D1082" s="2" t="str">
        <f aca="false">'Raw Data'!K1082</f>
        <v>Sales Executive</v>
      </c>
      <c r="E1082" s="2" t="n">
        <f aca="false">'Raw Data'!Q1082</f>
        <v>1</v>
      </c>
      <c r="F1082" s="2" t="n">
        <f aca="false">'Raw Data'!U1082</f>
        <v>0</v>
      </c>
      <c r="G1082" s="2" t="n">
        <f aca="false">'Raw Data'!W1082</f>
        <v>4</v>
      </c>
      <c r="H1082" s="2" t="n">
        <f aca="false">'Raw Data'!V1082</f>
        <v>2</v>
      </c>
      <c r="I1082" s="2" t="n">
        <f aca="false">IF(AND(ISNUMBER(B1082),B1082&lt;=25),2,0)+IF(AND(ISNUMBER(E1082),E1082&lt;=5),2,0)+IF(AND(ISNUMBER(F1082),F1082&lt;=1),2,0)+IF(AND(ISNUMBER(G1082),G1082&lt;=2),1,0)+IF(AND(ISNUMBER(H1082),H1082&lt;=2),1,0)</f>
        <v>5</v>
      </c>
      <c r="J1082" s="2" t="str">
        <f aca="false">IF(I1082&gt;=6,"High",IF(I1082&gt;=3,"Medium","Low"))</f>
        <v>Medium</v>
      </c>
    </row>
    <row r="1083" customFormat="false" ht="15" hidden="false" customHeight="true" outlineLevel="0" collapsed="false">
      <c r="A1083" s="2" t="n">
        <f aca="false">'Raw Data'!H1083</f>
        <v>1082</v>
      </c>
      <c r="B1083" s="2" t="n">
        <f aca="false">'Raw Data'!A1083</f>
        <v>22</v>
      </c>
      <c r="C1083" s="2" t="str">
        <f aca="false">'Raw Data'!D1083</f>
        <v>Research &amp; Development</v>
      </c>
      <c r="D1083" s="2" t="str">
        <f aca="false">'Raw Data'!K1083</f>
        <v>Laboratory Technician</v>
      </c>
      <c r="E1083" s="2" t="n">
        <f aca="false">'Raw Data'!Q1083</f>
        <v>1</v>
      </c>
      <c r="F1083" s="2" t="n">
        <f aca="false">'Raw Data'!U1083</f>
        <v>0</v>
      </c>
      <c r="G1083" s="2" t="n">
        <f aca="false">'Raw Data'!W1083</f>
        <v>2</v>
      </c>
      <c r="H1083" s="2" t="n">
        <f aca="false">'Raw Data'!V1083</f>
        <v>4</v>
      </c>
      <c r="I1083" s="2" t="n">
        <f aca="false">IF(AND(ISNUMBER(B1083),B1083&lt;=25),2,0)+IF(AND(ISNUMBER(E1083),E1083&lt;=5),2,0)+IF(AND(ISNUMBER(F1083),F1083&lt;=1),2,0)+IF(AND(ISNUMBER(G1083),G1083&lt;=2),1,0)+IF(AND(ISNUMBER(H1083),H1083&lt;=2),1,0)</f>
        <v>7</v>
      </c>
      <c r="J1083" s="2" t="str">
        <f aca="false">IF(I1083&gt;=6,"High",IF(I1083&gt;=3,"Medium","Low"))</f>
        <v>High</v>
      </c>
    </row>
    <row r="1084" customFormat="false" ht="15" hidden="false" customHeight="true" outlineLevel="0" collapsed="false">
      <c r="A1084" s="2" t="n">
        <f aca="false">'Raw Data'!H1084</f>
        <v>1083</v>
      </c>
      <c r="B1084" s="2" t="n">
        <f aca="false">'Raw Data'!A1084</f>
        <v>36</v>
      </c>
      <c r="C1084" s="2" t="str">
        <f aca="false">'Raw Data'!D1084</f>
        <v>Research &amp; Development</v>
      </c>
      <c r="D1084" s="2" t="str">
        <f aca="false">'Raw Data'!K1084</f>
        <v>Sales Executive</v>
      </c>
      <c r="E1084" s="2" t="n">
        <f aca="false">'Raw Data'!Q1084</f>
        <v>10</v>
      </c>
      <c r="F1084" s="2" t="n">
        <f aca="false">'Raw Data'!U1084</f>
        <v>7</v>
      </c>
      <c r="G1084" s="2" t="n">
        <f aca="false">'Raw Data'!W1084</f>
        <v>3</v>
      </c>
      <c r="H1084" s="2" t="n">
        <f aca="false">'Raw Data'!V1084</f>
        <v>2</v>
      </c>
      <c r="I1084" s="2" t="n">
        <f aca="false">IF(AND(ISNUMBER(B1084),B1084&lt;=25),2,0)+IF(AND(ISNUMBER(E1084),E1084&lt;=5),2,0)+IF(AND(ISNUMBER(F1084),F1084&lt;=1),2,0)+IF(AND(ISNUMBER(G1084),G1084&lt;=2),1,0)+IF(AND(ISNUMBER(H1084),H1084&lt;=2),1,0)</f>
        <v>1</v>
      </c>
      <c r="J1084" s="2" t="str">
        <f aca="false">IF(I1084&gt;=6,"High",IF(I1084&gt;=3,"Medium","Low"))</f>
        <v>Low</v>
      </c>
    </row>
    <row r="1085" customFormat="false" ht="15" hidden="false" customHeight="true" outlineLevel="0" collapsed="false">
      <c r="A1085" s="2" t="n">
        <f aca="false">'Raw Data'!H1085</f>
        <v>1084</v>
      </c>
      <c r="B1085" s="2" t="n">
        <f aca="false">'Raw Data'!A1085</f>
        <v>31</v>
      </c>
      <c r="C1085" s="2" t="str">
        <f aca="false">'Raw Data'!D1085</f>
        <v>Research &amp; Development</v>
      </c>
      <c r="D1085" s="2" t="str">
        <f aca="false">'Raw Data'!K1085</f>
        <v>Manager</v>
      </c>
      <c r="E1085" s="2" t="n">
        <f aca="false">'Raw Data'!Q1085</f>
        <v>10</v>
      </c>
      <c r="F1085" s="2" t="n">
        <f aca="false">'Raw Data'!U1085</f>
        <v>2</v>
      </c>
      <c r="G1085" s="2" t="n">
        <f aca="false">'Raw Data'!W1085</f>
        <v>3</v>
      </c>
      <c r="H1085" s="2" t="n">
        <f aca="false">'Raw Data'!V1085</f>
        <v>2</v>
      </c>
      <c r="I1085" s="2" t="n">
        <f aca="false">IF(AND(ISNUMBER(B1085),B1085&lt;=25),2,0)+IF(AND(ISNUMBER(E1085),E1085&lt;=5),2,0)+IF(AND(ISNUMBER(F1085),F1085&lt;=1),2,0)+IF(AND(ISNUMBER(G1085),G1085&lt;=2),1,0)+IF(AND(ISNUMBER(H1085),H1085&lt;=2),1,0)</f>
        <v>1</v>
      </c>
      <c r="J1085" s="2" t="str">
        <f aca="false">IF(I1085&gt;=6,"High",IF(I1085&gt;=3,"Medium","Low"))</f>
        <v>Low</v>
      </c>
    </row>
    <row r="1086" customFormat="false" ht="15" hidden="false" customHeight="true" outlineLevel="0" collapsed="false">
      <c r="A1086" s="2" t="n">
        <f aca="false">'Raw Data'!H1086</f>
        <v>1085</v>
      </c>
      <c r="B1086" s="2" t="n">
        <f aca="false">'Raw Data'!A1086</f>
        <v>34</v>
      </c>
      <c r="C1086" s="2" t="str">
        <f aca="false">'Raw Data'!D1086</f>
        <v>Sales</v>
      </c>
      <c r="D1086" s="2" t="str">
        <f aca="false">'Raw Data'!K1086</f>
        <v>Sales Executive</v>
      </c>
      <c r="E1086" s="2" t="n">
        <f aca="false">'Raw Data'!Q1086</f>
        <v>9</v>
      </c>
      <c r="F1086" s="2" t="n">
        <f aca="false">'Raw Data'!U1086</f>
        <v>0</v>
      </c>
      <c r="G1086" s="2" t="n">
        <f aca="false">'Raw Data'!W1086</f>
        <v>4</v>
      </c>
      <c r="H1086" s="2" t="n">
        <f aca="false">'Raw Data'!V1086</f>
        <v>3</v>
      </c>
      <c r="I1086" s="2" t="n">
        <f aca="false">IF(AND(ISNUMBER(B1086),B1086&lt;=25),2,0)+IF(AND(ISNUMBER(E1086),E1086&lt;=5),2,0)+IF(AND(ISNUMBER(F1086),F1086&lt;=1),2,0)+IF(AND(ISNUMBER(G1086),G1086&lt;=2),1,0)+IF(AND(ISNUMBER(H1086),H1086&lt;=2),1,0)</f>
        <v>2</v>
      </c>
      <c r="J1086" s="2" t="str">
        <f aca="false">IF(I1086&gt;=6,"High",IF(I1086&gt;=3,"Medium","Low"))</f>
        <v>Low</v>
      </c>
    </row>
    <row r="1087" customFormat="false" ht="15" hidden="false" customHeight="true" outlineLevel="0" collapsed="false">
      <c r="A1087" s="2" t="n">
        <f aca="false">'Raw Data'!H1087</f>
        <v>1086</v>
      </c>
      <c r="B1087" s="2" t="n">
        <f aca="false">'Raw Data'!A1087</f>
        <v>29</v>
      </c>
      <c r="C1087" s="2" t="str">
        <f aca="false">'Raw Data'!D1087</f>
        <v>Research &amp; Development</v>
      </c>
      <c r="D1087" s="2" t="str">
        <f aca="false">'Raw Data'!K1087</f>
        <v>Sales Executive</v>
      </c>
      <c r="E1087" s="2" t="n">
        <f aca="false">'Raw Data'!Q1087</f>
        <v>11</v>
      </c>
      <c r="F1087" s="2" t="n">
        <f aca="false">'Raw Data'!U1087</f>
        <v>2</v>
      </c>
      <c r="G1087" s="2" t="n">
        <f aca="false">'Raw Data'!W1087</f>
        <v>1</v>
      </c>
      <c r="H1087" s="2" t="n">
        <f aca="false">'Raw Data'!V1087</f>
        <v>4</v>
      </c>
      <c r="I1087" s="2" t="n">
        <f aca="false">IF(AND(ISNUMBER(B1087),B1087&lt;=25),2,0)+IF(AND(ISNUMBER(E1087),E1087&lt;=5),2,0)+IF(AND(ISNUMBER(F1087),F1087&lt;=1),2,0)+IF(AND(ISNUMBER(G1087),G1087&lt;=2),1,0)+IF(AND(ISNUMBER(H1087),H1087&lt;=2),1,0)</f>
        <v>1</v>
      </c>
      <c r="J1087" s="2" t="str">
        <f aca="false">IF(I1087&gt;=6,"High",IF(I1087&gt;=3,"Medium","Low"))</f>
        <v>Low</v>
      </c>
    </row>
    <row r="1088" customFormat="false" ht="15" hidden="false" customHeight="true" outlineLevel="0" collapsed="false">
      <c r="A1088" s="2" t="n">
        <f aca="false">'Raw Data'!H1088</f>
        <v>1087</v>
      </c>
      <c r="B1088" s="2" t="n">
        <f aca="false">'Raw Data'!A1088</f>
        <v>37</v>
      </c>
      <c r="C1088" s="2" t="str">
        <f aca="false">'Raw Data'!D1088</f>
        <v>Research &amp; Development</v>
      </c>
      <c r="D1088" s="2" t="str">
        <f aca="false">'Raw Data'!K1088</f>
        <v>Manufacturing Director</v>
      </c>
      <c r="E1088" s="2" t="n">
        <f aca="false">'Raw Data'!Q1088</f>
        <v>16</v>
      </c>
      <c r="F1088" s="2" t="n">
        <f aca="false">'Raw Data'!U1088</f>
        <v>4</v>
      </c>
      <c r="G1088" s="2" t="n">
        <f aca="false">'Raw Data'!W1088</f>
        <v>1</v>
      </c>
      <c r="H1088" s="2" t="n">
        <f aca="false">'Raw Data'!V1088</f>
        <v>4</v>
      </c>
      <c r="I1088" s="2" t="n">
        <f aca="false">IF(AND(ISNUMBER(B1088),B1088&lt;=25),2,0)+IF(AND(ISNUMBER(E1088),E1088&lt;=5),2,0)+IF(AND(ISNUMBER(F1088),F1088&lt;=1),2,0)+IF(AND(ISNUMBER(G1088),G1088&lt;=2),1,0)+IF(AND(ISNUMBER(H1088),H1088&lt;=2),1,0)</f>
        <v>1</v>
      </c>
      <c r="J1088" s="2" t="str">
        <f aca="false">IF(I1088&gt;=6,"High",IF(I1088&gt;=3,"Medium","Low"))</f>
        <v>Low</v>
      </c>
    </row>
    <row r="1089" customFormat="false" ht="15" hidden="false" customHeight="true" outlineLevel="0" collapsed="false">
      <c r="A1089" s="2" t="n">
        <f aca="false">'Raw Data'!H1089</f>
        <v>1088</v>
      </c>
      <c r="B1089" s="2" t="n">
        <f aca="false">'Raw Data'!A1089</f>
        <v>35</v>
      </c>
      <c r="C1089" s="2" t="str">
        <f aca="false">'Raw Data'!D1089</f>
        <v>Sales</v>
      </c>
      <c r="D1089" s="2" t="str">
        <f aca="false">'Raw Data'!K1089</f>
        <v>Laboratory Technician</v>
      </c>
      <c r="E1089" s="2" t="n">
        <f aca="false">'Raw Data'!Q1089</f>
        <v>4</v>
      </c>
      <c r="F1089" s="2" t="n">
        <f aca="false">'Raw Data'!U1089</f>
        <v>2</v>
      </c>
      <c r="G1089" s="2" t="n">
        <f aca="false">'Raw Data'!W1089</f>
        <v>2</v>
      </c>
      <c r="H1089" s="2" t="n">
        <f aca="false">'Raw Data'!V1089</f>
        <v>4</v>
      </c>
      <c r="I1089" s="2" t="n">
        <f aca="false">IF(AND(ISNUMBER(B1089),B1089&lt;=25),2,0)+IF(AND(ISNUMBER(E1089),E1089&lt;=5),2,0)+IF(AND(ISNUMBER(F1089),F1089&lt;=1),2,0)+IF(AND(ISNUMBER(G1089),G1089&lt;=2),1,0)+IF(AND(ISNUMBER(H1089),H1089&lt;=2),1,0)</f>
        <v>3</v>
      </c>
      <c r="J1089" s="2" t="str">
        <f aca="false">IF(I1089&gt;=6,"High",IF(I1089&gt;=3,"Medium","Low"))</f>
        <v>Medium</v>
      </c>
    </row>
    <row r="1090" customFormat="false" ht="15" hidden="false" customHeight="true" outlineLevel="0" collapsed="false">
      <c r="A1090" s="2" t="n">
        <f aca="false">'Raw Data'!H1090</f>
        <v>1089</v>
      </c>
      <c r="B1090" s="2" t="n">
        <f aca="false">'Raw Data'!A1090</f>
        <v>45</v>
      </c>
      <c r="C1090" s="2" t="str">
        <f aca="false">'Raw Data'!D1090</f>
        <v>Research &amp; Development</v>
      </c>
      <c r="D1090" s="2" t="str">
        <f aca="false">'Raw Data'!K1090</f>
        <v>Sales Executive</v>
      </c>
      <c r="E1090" s="2" t="n">
        <f aca="false">'Raw Data'!Q1090</f>
        <v>10</v>
      </c>
      <c r="F1090" s="2" t="n">
        <f aca="false">'Raw Data'!U1090</f>
        <v>8</v>
      </c>
      <c r="G1090" s="2" t="n">
        <f aca="false">'Raw Data'!W1090</f>
        <v>4</v>
      </c>
      <c r="H1090" s="2" t="n">
        <f aca="false">'Raw Data'!V1090</f>
        <v>2</v>
      </c>
      <c r="I1090" s="2" t="n">
        <f aca="false">IF(AND(ISNUMBER(B1090),B1090&lt;=25),2,0)+IF(AND(ISNUMBER(E1090),E1090&lt;=5),2,0)+IF(AND(ISNUMBER(F1090),F1090&lt;=1),2,0)+IF(AND(ISNUMBER(G1090),G1090&lt;=2),1,0)+IF(AND(ISNUMBER(H1090),H1090&lt;=2),1,0)</f>
        <v>1</v>
      </c>
      <c r="J1090" s="2" t="str">
        <f aca="false">IF(I1090&gt;=6,"High",IF(I1090&gt;=3,"Medium","Low"))</f>
        <v>Low</v>
      </c>
    </row>
    <row r="1091" customFormat="false" ht="15" hidden="false" customHeight="true" outlineLevel="0" collapsed="false">
      <c r="A1091" s="2" t="n">
        <f aca="false">'Raw Data'!H1091</f>
        <v>1090</v>
      </c>
      <c r="B1091" s="2" t="n">
        <f aca="false">'Raw Data'!A1091</f>
        <v>36</v>
      </c>
      <c r="C1091" s="2" t="str">
        <f aca="false">'Raw Data'!D1091</f>
        <v>Research &amp; Development</v>
      </c>
      <c r="D1091" s="2" t="str">
        <f aca="false">'Raw Data'!K1091</f>
        <v>Manufacturing Director</v>
      </c>
      <c r="E1091" s="2" t="n">
        <f aca="false">'Raw Data'!Q1091</f>
        <v>10</v>
      </c>
      <c r="F1091" s="2" t="n">
        <f aca="false">'Raw Data'!U1091</f>
        <v>8</v>
      </c>
      <c r="G1091" s="2" t="n">
        <f aca="false">'Raw Data'!W1091</f>
        <v>4</v>
      </c>
      <c r="H1091" s="2" t="n">
        <f aca="false">'Raw Data'!V1091</f>
        <v>2</v>
      </c>
      <c r="I1091" s="2" t="n">
        <f aca="false">IF(AND(ISNUMBER(B1091),B1091&lt;=25),2,0)+IF(AND(ISNUMBER(E1091),E1091&lt;=5),2,0)+IF(AND(ISNUMBER(F1091),F1091&lt;=1),2,0)+IF(AND(ISNUMBER(G1091),G1091&lt;=2),1,0)+IF(AND(ISNUMBER(H1091),H1091&lt;=2),1,0)</f>
        <v>1</v>
      </c>
      <c r="J1091" s="2" t="str">
        <f aca="false">IF(I1091&gt;=6,"High",IF(I1091&gt;=3,"Medium","Low"))</f>
        <v>Low</v>
      </c>
    </row>
    <row r="1092" customFormat="false" ht="15" hidden="false" customHeight="true" outlineLevel="0" collapsed="false">
      <c r="A1092" s="2" t="n">
        <f aca="false">'Raw Data'!H1092</f>
        <v>1091</v>
      </c>
      <c r="B1092" s="2" t="n">
        <f aca="false">'Raw Data'!A1092</f>
        <v>40</v>
      </c>
      <c r="C1092" s="2" t="str">
        <f aca="false">'Raw Data'!D1092</f>
        <v>Research &amp; Development</v>
      </c>
      <c r="D1092" s="2" t="str">
        <f aca="false">'Raw Data'!K1092</f>
        <v>Sales Executive</v>
      </c>
      <c r="E1092" s="2" t="n">
        <f aca="false">'Raw Data'!Q1092</f>
        <v>22</v>
      </c>
      <c r="F1092" s="2" t="n">
        <f aca="false">'Raw Data'!U1092</f>
        <v>16</v>
      </c>
      <c r="G1092" s="2" t="n">
        <f aca="false">'Raw Data'!W1092</f>
        <v>1</v>
      </c>
      <c r="H1092" s="2" t="n">
        <f aca="false">'Raw Data'!V1092</f>
        <v>1</v>
      </c>
      <c r="I1092" s="2" t="n">
        <f aca="false">IF(AND(ISNUMBER(B1092),B1092&lt;=25),2,0)+IF(AND(ISNUMBER(E1092),E1092&lt;=5),2,0)+IF(AND(ISNUMBER(F1092),F1092&lt;=1),2,0)+IF(AND(ISNUMBER(G1092),G1092&lt;=2),1,0)+IF(AND(ISNUMBER(H1092),H1092&lt;=2),1,0)</f>
        <v>2</v>
      </c>
      <c r="J1092" s="2" t="str">
        <f aca="false">IF(I1092&gt;=6,"High",IF(I1092&gt;=3,"Medium","Low"))</f>
        <v>Low</v>
      </c>
    </row>
    <row r="1093" customFormat="false" ht="15" hidden="false" customHeight="true" outlineLevel="0" collapsed="false">
      <c r="A1093" s="2" t="n">
        <f aca="false">'Raw Data'!H1093</f>
        <v>1092</v>
      </c>
      <c r="B1093" s="2" t="n">
        <f aca="false">'Raw Data'!A1093</f>
        <v>26</v>
      </c>
      <c r="C1093" s="2" t="str">
        <f aca="false">'Raw Data'!D1093</f>
        <v>Research &amp; Development</v>
      </c>
      <c r="D1093" s="2" t="str">
        <f aca="false">'Raw Data'!K1093</f>
        <v>Human Resources</v>
      </c>
      <c r="E1093" s="2" t="n">
        <f aca="false">'Raw Data'!Q1093</f>
        <v>1</v>
      </c>
      <c r="F1093" s="2" t="n">
        <f aca="false">'Raw Data'!U1093</f>
        <v>0</v>
      </c>
      <c r="G1093" s="2" t="n">
        <f aca="false">'Raw Data'!W1093</f>
        <v>3</v>
      </c>
      <c r="H1093" s="2" t="n">
        <f aca="false">'Raw Data'!V1093</f>
        <v>2</v>
      </c>
      <c r="I1093" s="2" t="n">
        <f aca="false">IF(AND(ISNUMBER(B1093),B1093&lt;=25),2,0)+IF(AND(ISNUMBER(E1093),E1093&lt;=5),2,0)+IF(AND(ISNUMBER(F1093),F1093&lt;=1),2,0)+IF(AND(ISNUMBER(G1093),G1093&lt;=2),1,0)+IF(AND(ISNUMBER(H1093),H1093&lt;=2),1,0)</f>
        <v>5</v>
      </c>
      <c r="J1093" s="2" t="str">
        <f aca="false">IF(I1093&gt;=6,"High",IF(I1093&gt;=3,"Medium","Low"))</f>
        <v>Medium</v>
      </c>
    </row>
    <row r="1094" customFormat="false" ht="15" hidden="false" customHeight="true" outlineLevel="0" collapsed="false">
      <c r="A1094" s="2" t="n">
        <f aca="false">'Raw Data'!H1094</f>
        <v>1093</v>
      </c>
      <c r="B1094" s="2" t="n">
        <f aca="false">'Raw Data'!A1094</f>
        <v>27</v>
      </c>
      <c r="C1094" s="2" t="str">
        <f aca="false">'Raw Data'!D1094</f>
        <v>Research &amp; Development</v>
      </c>
      <c r="D1094" s="2" t="str">
        <f aca="false">'Raw Data'!K1094</f>
        <v>Manufacturing Director</v>
      </c>
      <c r="E1094" s="2" t="n">
        <f aca="false">'Raw Data'!Q1094</f>
        <v>9</v>
      </c>
      <c r="F1094" s="2" t="n">
        <f aca="false">'Raw Data'!U1094</f>
        <v>7</v>
      </c>
      <c r="G1094" s="2" t="n">
        <f aca="false">'Raw Data'!W1094</f>
        <v>3</v>
      </c>
      <c r="H1094" s="2" t="n">
        <f aca="false">'Raw Data'!V1094</f>
        <v>1</v>
      </c>
      <c r="I1094" s="2" t="n">
        <f aca="false">IF(AND(ISNUMBER(B1094),B1094&lt;=25),2,0)+IF(AND(ISNUMBER(E1094),E1094&lt;=5),2,0)+IF(AND(ISNUMBER(F1094),F1094&lt;=1),2,0)+IF(AND(ISNUMBER(G1094),G1094&lt;=2),1,0)+IF(AND(ISNUMBER(H1094),H1094&lt;=2),1,0)</f>
        <v>1</v>
      </c>
      <c r="J1094" s="2" t="str">
        <f aca="false">IF(I1094&gt;=6,"High",IF(I1094&gt;=3,"Medium","Low"))</f>
        <v>Low</v>
      </c>
    </row>
    <row r="1095" customFormat="false" ht="15" hidden="false" customHeight="true" outlineLevel="0" collapsed="false">
      <c r="A1095" s="2" t="n">
        <f aca="false">'Raw Data'!H1095</f>
        <v>1094</v>
      </c>
      <c r="B1095" s="2" t="n">
        <f aca="false">'Raw Data'!A1095</f>
        <v>48</v>
      </c>
      <c r="C1095" s="2" t="str">
        <f aca="false">'Raw Data'!D1095</f>
        <v>Research &amp; Development</v>
      </c>
      <c r="D1095" s="2" t="str">
        <f aca="false">'Raw Data'!K1095</f>
        <v>Research Director</v>
      </c>
      <c r="E1095" s="2" t="n">
        <f aca="false">'Raw Data'!Q1095</f>
        <v>24</v>
      </c>
      <c r="F1095" s="2" t="n">
        <f aca="false">'Raw Data'!U1095</f>
        <v>7</v>
      </c>
      <c r="G1095" s="2" t="n">
        <f aca="false">'Raw Data'!W1095</f>
        <v>4</v>
      </c>
      <c r="H1095" s="2" t="n">
        <f aca="false">'Raw Data'!V1095</f>
        <v>4</v>
      </c>
      <c r="I1095" s="2" t="n">
        <f aca="false">IF(AND(ISNUMBER(B1095),B1095&lt;=25),2,0)+IF(AND(ISNUMBER(E1095),E1095&lt;=5),2,0)+IF(AND(ISNUMBER(F1095),F1095&lt;=1),2,0)+IF(AND(ISNUMBER(G1095),G1095&lt;=2),1,0)+IF(AND(ISNUMBER(H1095),H1095&lt;=2),1,0)</f>
        <v>0</v>
      </c>
      <c r="J1095" s="2" t="str">
        <f aca="false">IF(I1095&gt;=6,"High",IF(I1095&gt;=3,"Medium","Low"))</f>
        <v>Low</v>
      </c>
    </row>
    <row r="1096" customFormat="false" ht="15" hidden="false" customHeight="true" outlineLevel="0" collapsed="false">
      <c r="A1096" s="2" t="n">
        <f aca="false">'Raw Data'!H1096</f>
        <v>1095</v>
      </c>
      <c r="B1096" s="2" t="n">
        <f aca="false">'Raw Data'!A1096</f>
        <v>44</v>
      </c>
      <c r="C1096" s="2" t="str">
        <f aca="false">'Raw Data'!D1096</f>
        <v>Sales</v>
      </c>
      <c r="D1096" s="2" t="str">
        <f aca="false">'Raw Data'!K1096</f>
        <v>Manager</v>
      </c>
      <c r="E1096" s="2" t="n">
        <f aca="false">'Raw Data'!Q1096</f>
        <v>10</v>
      </c>
      <c r="F1096" s="2" t="n">
        <f aca="false">'Raw Data'!U1096</f>
        <v>2</v>
      </c>
      <c r="G1096" s="2" t="n">
        <f aca="false">'Raw Data'!W1096</f>
        <v>1</v>
      </c>
      <c r="H1096" s="2" t="n">
        <f aca="false">'Raw Data'!V1096</f>
        <v>2</v>
      </c>
      <c r="I1096" s="2" t="n">
        <f aca="false">IF(AND(ISNUMBER(B1096),B1096&lt;=25),2,0)+IF(AND(ISNUMBER(E1096),E1096&lt;=5),2,0)+IF(AND(ISNUMBER(F1096),F1096&lt;=1),2,0)+IF(AND(ISNUMBER(G1096),G1096&lt;=2),1,0)+IF(AND(ISNUMBER(H1096),H1096&lt;=2),1,0)</f>
        <v>2</v>
      </c>
      <c r="J1096" s="2" t="str">
        <f aca="false">IF(I1096&gt;=6,"High",IF(I1096&gt;=3,"Medium","Low"))</f>
        <v>Low</v>
      </c>
    </row>
    <row r="1097" customFormat="false" ht="15" hidden="false" customHeight="true" outlineLevel="0" collapsed="false">
      <c r="A1097" s="2" t="n">
        <f aca="false">'Raw Data'!H1097</f>
        <v>1096</v>
      </c>
      <c r="B1097" s="2" t="n">
        <f aca="false">'Raw Data'!A1097</f>
        <v>34</v>
      </c>
      <c r="C1097" s="2" t="str">
        <f aca="false">'Raw Data'!D1097</f>
        <v>Research &amp; Development</v>
      </c>
      <c r="D1097" s="2" t="str">
        <f aca="false">'Raw Data'!K1097</f>
        <v>Sales Representative</v>
      </c>
      <c r="E1097" s="2" t="n">
        <f aca="false">'Raw Data'!Q1097</f>
        <v>5</v>
      </c>
      <c r="F1097" s="2" t="n">
        <f aca="false">'Raw Data'!U1097</f>
        <v>0</v>
      </c>
      <c r="G1097" s="2" t="n">
        <f aca="false">'Raw Data'!W1097</f>
        <v>1</v>
      </c>
      <c r="H1097" s="2" t="n">
        <f aca="false">'Raw Data'!V1097</f>
        <v>4</v>
      </c>
      <c r="I1097" s="2" t="n">
        <f aca="false">IF(AND(ISNUMBER(B1097),B1097&lt;=25),2,0)+IF(AND(ISNUMBER(E1097),E1097&lt;=5),2,0)+IF(AND(ISNUMBER(F1097),F1097&lt;=1),2,0)+IF(AND(ISNUMBER(G1097),G1097&lt;=2),1,0)+IF(AND(ISNUMBER(H1097),H1097&lt;=2),1,0)</f>
        <v>5</v>
      </c>
      <c r="J1097" s="2" t="str">
        <f aca="false">IF(I1097&gt;=6,"High",IF(I1097&gt;=3,"Medium","Low"))</f>
        <v>Medium</v>
      </c>
    </row>
    <row r="1098" customFormat="false" ht="15" hidden="false" customHeight="true" outlineLevel="0" collapsed="false">
      <c r="A1098" s="2" t="n">
        <f aca="false">'Raw Data'!H1098</f>
        <v>1097</v>
      </c>
      <c r="B1098" s="2" t="n">
        <f aca="false">'Raw Data'!A1098</f>
        <v>56</v>
      </c>
      <c r="C1098" s="2" t="str">
        <f aca="false">'Raw Data'!D1098</f>
        <v>Human Resources</v>
      </c>
      <c r="D1098" s="2" t="str">
        <f aca="false">'Raw Data'!K1098</f>
        <v>Sales Executive</v>
      </c>
      <c r="E1098" s="2" t="n">
        <f aca="false">'Raw Data'!Q1098</f>
        <v>5</v>
      </c>
      <c r="F1098" s="2" t="n">
        <f aca="false">'Raw Data'!U1098</f>
        <v>0</v>
      </c>
      <c r="G1098" s="2" t="n">
        <f aca="false">'Raw Data'!W1098</f>
        <v>4</v>
      </c>
      <c r="H1098" s="2" t="n">
        <f aca="false">'Raw Data'!V1098</f>
        <v>1</v>
      </c>
      <c r="I1098" s="2" t="n">
        <f aca="false">IF(AND(ISNUMBER(B1098),B1098&lt;=25),2,0)+IF(AND(ISNUMBER(E1098),E1098&lt;=5),2,0)+IF(AND(ISNUMBER(F1098),F1098&lt;=1),2,0)+IF(AND(ISNUMBER(G1098),G1098&lt;=2),1,0)+IF(AND(ISNUMBER(H1098),H1098&lt;=2),1,0)</f>
        <v>5</v>
      </c>
      <c r="J1098" s="2" t="str">
        <f aca="false">IF(I1098&gt;=6,"High",IF(I1098&gt;=3,"Medium","Low"))</f>
        <v>Medium</v>
      </c>
    </row>
    <row r="1099" customFormat="false" ht="15" hidden="false" customHeight="true" outlineLevel="0" collapsed="false">
      <c r="A1099" s="2" t="n">
        <f aca="false">'Raw Data'!H1099</f>
        <v>1098</v>
      </c>
      <c r="B1099" s="2" t="n">
        <f aca="false">'Raw Data'!A1099</f>
        <v>36</v>
      </c>
      <c r="C1099" s="2" t="str">
        <f aca="false">'Raw Data'!D1099</f>
        <v>Research &amp; Development</v>
      </c>
      <c r="D1099" s="2" t="str">
        <f aca="false">'Raw Data'!K1099</f>
        <v>Healthcare Representative</v>
      </c>
      <c r="E1099" s="2" t="n">
        <f aca="false">'Raw Data'!Q1099</f>
        <v>12</v>
      </c>
      <c r="F1099" s="2" t="n">
        <f aca="false">'Raw Data'!U1099</f>
        <v>3</v>
      </c>
      <c r="G1099" s="2" t="n">
        <f aca="false">'Raw Data'!W1099</f>
        <v>2</v>
      </c>
      <c r="H1099" s="2" t="n">
        <f aca="false">'Raw Data'!V1099</f>
        <v>3</v>
      </c>
      <c r="I1099" s="2" t="n">
        <f aca="false">IF(AND(ISNUMBER(B1099),B1099&lt;=25),2,0)+IF(AND(ISNUMBER(E1099),E1099&lt;=5),2,0)+IF(AND(ISNUMBER(F1099),F1099&lt;=1),2,0)+IF(AND(ISNUMBER(G1099),G1099&lt;=2),1,0)+IF(AND(ISNUMBER(H1099),H1099&lt;=2),1,0)</f>
        <v>1</v>
      </c>
      <c r="J1099" s="2" t="str">
        <f aca="false">IF(I1099&gt;=6,"High",IF(I1099&gt;=3,"Medium","Low"))</f>
        <v>Low</v>
      </c>
    </row>
    <row r="1100" customFormat="false" ht="15" hidden="false" customHeight="true" outlineLevel="0" collapsed="false">
      <c r="A1100" s="2" t="n">
        <f aca="false">'Raw Data'!H1100</f>
        <v>1099</v>
      </c>
      <c r="B1100" s="2" t="n">
        <f aca="false">'Raw Data'!A1100</f>
        <v>41</v>
      </c>
      <c r="C1100" s="2" t="str">
        <f aca="false">'Raw Data'!D1100</f>
        <v>Research &amp; Development</v>
      </c>
      <c r="D1100" s="2" t="str">
        <f aca="false">'Raw Data'!K1100</f>
        <v>Sales Executive</v>
      </c>
      <c r="E1100" s="2" t="n">
        <f aca="false">'Raw Data'!Q1100</f>
        <v>14</v>
      </c>
      <c r="F1100" s="2" t="n">
        <f aca="false">'Raw Data'!U1100</f>
        <v>4</v>
      </c>
      <c r="G1100" s="2" t="n">
        <f aca="false">'Raw Data'!W1100</f>
        <v>2</v>
      </c>
      <c r="H1100" s="2" t="n">
        <f aca="false">'Raw Data'!V1100</f>
        <v>3</v>
      </c>
      <c r="I1100" s="2" t="n">
        <f aca="false">IF(AND(ISNUMBER(B1100),B1100&lt;=25),2,0)+IF(AND(ISNUMBER(E1100),E1100&lt;=5),2,0)+IF(AND(ISNUMBER(F1100),F1100&lt;=1),2,0)+IF(AND(ISNUMBER(G1100),G1100&lt;=2),1,0)+IF(AND(ISNUMBER(H1100),H1100&lt;=2),1,0)</f>
        <v>1</v>
      </c>
      <c r="J1100" s="2" t="str">
        <f aca="false">IF(I1100&gt;=6,"High",IF(I1100&gt;=3,"Medium","Low"))</f>
        <v>Low</v>
      </c>
    </row>
    <row r="1101" customFormat="false" ht="15" hidden="false" customHeight="true" outlineLevel="0" collapsed="false">
      <c r="A1101" s="2" t="n">
        <f aca="false">'Raw Data'!H1101</f>
        <v>1100</v>
      </c>
      <c r="B1101" s="2" t="n">
        <f aca="false">'Raw Data'!A1101</f>
        <v>42</v>
      </c>
      <c r="C1101" s="2" t="str">
        <f aca="false">'Raw Data'!D1101</f>
        <v>Research &amp; Development</v>
      </c>
      <c r="D1101" s="2" t="str">
        <f aca="false">'Raw Data'!K1101</f>
        <v>Sales Executive</v>
      </c>
      <c r="E1101" s="2" t="n">
        <f aca="false">'Raw Data'!Q1101</f>
        <v>18</v>
      </c>
      <c r="F1101" s="2" t="n">
        <f aca="false">'Raw Data'!U1101</f>
        <v>7</v>
      </c>
      <c r="G1101" s="2" t="n">
        <f aca="false">'Raw Data'!W1101</f>
        <v>1</v>
      </c>
      <c r="H1101" s="2" t="n">
        <f aca="false">'Raw Data'!V1101</f>
        <v>3</v>
      </c>
      <c r="I1101" s="2" t="n">
        <f aca="false">IF(AND(ISNUMBER(B1101),B1101&lt;=25),2,0)+IF(AND(ISNUMBER(E1101),E1101&lt;=5),2,0)+IF(AND(ISNUMBER(F1101),F1101&lt;=1),2,0)+IF(AND(ISNUMBER(G1101),G1101&lt;=2),1,0)+IF(AND(ISNUMBER(H1101),H1101&lt;=2),1,0)</f>
        <v>1</v>
      </c>
      <c r="J1101" s="2" t="str">
        <f aca="false">IF(I1101&gt;=6,"High",IF(I1101&gt;=3,"Medium","Low"))</f>
        <v>Low</v>
      </c>
    </row>
    <row r="1102" customFormat="false" ht="15" hidden="false" customHeight="true" outlineLevel="0" collapsed="false">
      <c r="A1102" s="2" t="n">
        <f aca="false">'Raw Data'!H1102</f>
        <v>1101</v>
      </c>
      <c r="B1102" s="2" t="n">
        <f aca="false">'Raw Data'!A1102</f>
        <v>31</v>
      </c>
      <c r="C1102" s="2" t="str">
        <f aca="false">'Raw Data'!D1102</f>
        <v>Sales</v>
      </c>
      <c r="D1102" s="2" t="str">
        <f aca="false">'Raw Data'!K1102</f>
        <v>Sales Executive</v>
      </c>
      <c r="E1102" s="2" t="n">
        <f aca="false">'Raw Data'!Q1102</f>
        <v>8</v>
      </c>
      <c r="F1102" s="2" t="n">
        <f aca="false">'Raw Data'!U1102</f>
        <v>4</v>
      </c>
      <c r="G1102" s="2" t="n">
        <f aca="false">'Raw Data'!W1102</f>
        <v>4</v>
      </c>
      <c r="H1102" s="2" t="n">
        <f aca="false">'Raw Data'!V1102</f>
        <v>3</v>
      </c>
      <c r="I1102" s="2" t="n">
        <f aca="false">IF(AND(ISNUMBER(B1102),B1102&lt;=25),2,0)+IF(AND(ISNUMBER(E1102),E1102&lt;=5),2,0)+IF(AND(ISNUMBER(F1102),F1102&lt;=1),2,0)+IF(AND(ISNUMBER(G1102),G1102&lt;=2),1,0)+IF(AND(ISNUMBER(H1102),H1102&lt;=2),1,0)</f>
        <v>0</v>
      </c>
      <c r="J1102" s="2" t="str">
        <f aca="false">IF(I1102&gt;=6,"High",IF(I1102&gt;=3,"Medium","Low"))</f>
        <v>Low</v>
      </c>
    </row>
    <row r="1103" customFormat="false" ht="15" hidden="false" customHeight="true" outlineLevel="0" collapsed="false">
      <c r="A1103" s="2" t="n">
        <f aca="false">'Raw Data'!H1103</f>
        <v>1102</v>
      </c>
      <c r="B1103" s="2" t="n">
        <f aca="false">'Raw Data'!A1103</f>
        <v>34</v>
      </c>
      <c r="C1103" s="2" t="str">
        <f aca="false">'Raw Data'!D1103</f>
        <v>Research &amp; Development</v>
      </c>
      <c r="D1103" s="2" t="str">
        <f aca="false">'Raw Data'!K1103</f>
        <v>Laboratory Technician</v>
      </c>
      <c r="E1103" s="2" t="n">
        <f aca="false">'Raw Data'!Q1103</f>
        <v>9</v>
      </c>
      <c r="F1103" s="2" t="n">
        <f aca="false">'Raw Data'!U1103</f>
        <v>1</v>
      </c>
      <c r="G1103" s="2" t="n">
        <f aca="false">'Raw Data'!W1103</f>
        <v>4</v>
      </c>
      <c r="H1103" s="2" t="n">
        <f aca="false">'Raw Data'!V1103</f>
        <v>4</v>
      </c>
      <c r="I1103" s="2" t="n">
        <f aca="false">IF(AND(ISNUMBER(B1103),B1103&lt;=25),2,0)+IF(AND(ISNUMBER(E1103),E1103&lt;=5),2,0)+IF(AND(ISNUMBER(F1103),F1103&lt;=1),2,0)+IF(AND(ISNUMBER(G1103),G1103&lt;=2),1,0)+IF(AND(ISNUMBER(H1103),H1103&lt;=2),1,0)</f>
        <v>2</v>
      </c>
      <c r="J1103" s="2" t="str">
        <f aca="false">IF(I1103&gt;=6,"High",IF(I1103&gt;=3,"Medium","Low"))</f>
        <v>Low</v>
      </c>
    </row>
    <row r="1104" customFormat="false" ht="15" hidden="false" customHeight="true" outlineLevel="0" collapsed="false">
      <c r="A1104" s="2" t="n">
        <f aca="false">'Raw Data'!H1104</f>
        <v>1103</v>
      </c>
      <c r="B1104" s="2" t="n">
        <f aca="false">'Raw Data'!A1104</f>
        <v>31</v>
      </c>
      <c r="C1104" s="2" t="str">
        <f aca="false">'Raw Data'!D1104</f>
        <v>Sales</v>
      </c>
      <c r="D1104" s="2" t="str">
        <f aca="false">'Raw Data'!K1104</f>
        <v>Manufacturing Director</v>
      </c>
      <c r="E1104" s="2" t="n">
        <f aca="false">'Raw Data'!Q1104</f>
        <v>4</v>
      </c>
      <c r="F1104" s="2" t="n">
        <f aca="false">'Raw Data'!U1104</f>
        <v>2</v>
      </c>
      <c r="G1104" s="2" t="n">
        <f aca="false">'Raw Data'!W1104</f>
        <v>3</v>
      </c>
      <c r="H1104" s="2" t="n">
        <f aca="false">'Raw Data'!V1104</f>
        <v>1</v>
      </c>
      <c r="I1104" s="2" t="n">
        <f aca="false">IF(AND(ISNUMBER(B1104),B1104&lt;=25),2,0)+IF(AND(ISNUMBER(E1104),E1104&lt;=5),2,0)+IF(AND(ISNUMBER(F1104),F1104&lt;=1),2,0)+IF(AND(ISNUMBER(G1104),G1104&lt;=2),1,0)+IF(AND(ISNUMBER(H1104),H1104&lt;=2),1,0)</f>
        <v>3</v>
      </c>
      <c r="J1104" s="2" t="str">
        <f aca="false">IF(I1104&gt;=6,"High",IF(I1104&gt;=3,"Medium","Low"))</f>
        <v>Medium</v>
      </c>
    </row>
    <row r="1105" customFormat="false" ht="15" hidden="false" customHeight="true" outlineLevel="0" collapsed="false">
      <c r="A1105" s="2" t="n">
        <f aca="false">'Raw Data'!H1105</f>
        <v>1104</v>
      </c>
      <c r="B1105" s="2" t="n">
        <f aca="false">'Raw Data'!A1105</f>
        <v>26</v>
      </c>
      <c r="C1105" s="2" t="str">
        <f aca="false">'Raw Data'!D1105</f>
        <v>Sales</v>
      </c>
      <c r="D1105" s="2" t="str">
        <f aca="false">'Raw Data'!K1105</f>
        <v>Healthcare Representative</v>
      </c>
      <c r="E1105" s="2" t="n">
        <f aca="false">'Raw Data'!Q1105</f>
        <v>8</v>
      </c>
      <c r="F1105" s="2" t="n">
        <f aca="false">'Raw Data'!U1105</f>
        <v>7</v>
      </c>
      <c r="G1105" s="2" t="n">
        <f aca="false">'Raw Data'!W1105</f>
        <v>4</v>
      </c>
      <c r="H1105" s="2" t="n">
        <f aca="false">'Raw Data'!V1105</f>
        <v>3</v>
      </c>
      <c r="I1105" s="2" t="n">
        <f aca="false">IF(AND(ISNUMBER(B1105),B1105&lt;=25),2,0)+IF(AND(ISNUMBER(E1105),E1105&lt;=5),2,0)+IF(AND(ISNUMBER(F1105),F1105&lt;=1),2,0)+IF(AND(ISNUMBER(G1105),G1105&lt;=2),1,0)+IF(AND(ISNUMBER(H1105),H1105&lt;=2),1,0)</f>
        <v>0</v>
      </c>
      <c r="J1105" s="2" t="str">
        <f aca="false">IF(I1105&gt;=6,"High",IF(I1105&gt;=3,"Medium","Low"))</f>
        <v>Low</v>
      </c>
    </row>
    <row r="1106" customFormat="false" ht="15" hidden="false" customHeight="true" outlineLevel="0" collapsed="false">
      <c r="A1106" s="2" t="n">
        <f aca="false">'Raw Data'!H1106</f>
        <v>1105</v>
      </c>
      <c r="B1106" s="2" t="n">
        <f aca="false">'Raw Data'!A1106</f>
        <v>45</v>
      </c>
      <c r="C1106" s="2" t="str">
        <f aca="false">'Raw Data'!D1106</f>
        <v>Research &amp; Development</v>
      </c>
      <c r="D1106" s="2" t="str">
        <f aca="false">'Raw Data'!K1106</f>
        <v>Manager</v>
      </c>
      <c r="E1106" s="2" t="n">
        <f aca="false">'Raw Data'!Q1106</f>
        <v>12</v>
      </c>
      <c r="F1106" s="2" t="n">
        <f aca="false">'Raw Data'!U1106</f>
        <v>3</v>
      </c>
      <c r="G1106" s="2" t="n">
        <f aca="false">'Raw Data'!W1106</f>
        <v>3</v>
      </c>
      <c r="H1106" s="2" t="n">
        <f aca="false">'Raw Data'!V1106</f>
        <v>2</v>
      </c>
      <c r="I1106" s="2" t="n">
        <f aca="false">IF(AND(ISNUMBER(B1106),B1106&lt;=25),2,0)+IF(AND(ISNUMBER(E1106),E1106&lt;=5),2,0)+IF(AND(ISNUMBER(F1106),F1106&lt;=1),2,0)+IF(AND(ISNUMBER(G1106),G1106&lt;=2),1,0)+IF(AND(ISNUMBER(H1106),H1106&lt;=2),1,0)</f>
        <v>1</v>
      </c>
      <c r="J1106" s="2" t="str">
        <f aca="false">IF(I1106&gt;=6,"High",IF(I1106&gt;=3,"Medium","Low"))</f>
        <v>Low</v>
      </c>
    </row>
    <row r="1107" customFormat="false" ht="15" hidden="false" customHeight="true" outlineLevel="0" collapsed="false">
      <c r="A1107" s="2" t="n">
        <f aca="false">'Raw Data'!H1107</f>
        <v>1106</v>
      </c>
      <c r="B1107" s="2" t="n">
        <f aca="false">'Raw Data'!A1107</f>
        <v>33</v>
      </c>
      <c r="C1107" s="2" t="str">
        <f aca="false">'Raw Data'!D1107</f>
        <v>Sales</v>
      </c>
      <c r="D1107" s="2" t="str">
        <f aca="false">'Raw Data'!K1107</f>
        <v>Sales Executive</v>
      </c>
      <c r="E1107" s="2" t="n">
        <f aca="false">'Raw Data'!Q1107</f>
        <v>10</v>
      </c>
      <c r="F1107" s="2" t="n">
        <f aca="false">'Raw Data'!U1107</f>
        <v>9</v>
      </c>
      <c r="G1107" s="2" t="n">
        <f aca="false">'Raw Data'!W1107</f>
        <v>3</v>
      </c>
      <c r="H1107" s="2" t="n">
        <f aca="false">'Raw Data'!V1107</f>
        <v>2</v>
      </c>
      <c r="I1107" s="2" t="n">
        <f aca="false">IF(AND(ISNUMBER(B1107),B1107&lt;=25),2,0)+IF(AND(ISNUMBER(E1107),E1107&lt;=5),2,0)+IF(AND(ISNUMBER(F1107),F1107&lt;=1),2,0)+IF(AND(ISNUMBER(G1107),G1107&lt;=2),1,0)+IF(AND(ISNUMBER(H1107),H1107&lt;=2),1,0)</f>
        <v>1</v>
      </c>
      <c r="J1107" s="2" t="str">
        <f aca="false">IF(I1107&gt;=6,"High",IF(I1107&gt;=3,"Medium","Low"))</f>
        <v>Low</v>
      </c>
    </row>
    <row r="1108" customFormat="false" ht="15" hidden="false" customHeight="true" outlineLevel="0" collapsed="false">
      <c r="A1108" s="2" t="n">
        <f aca="false">'Raw Data'!H1108</f>
        <v>1107</v>
      </c>
      <c r="B1108" s="2" t="n">
        <f aca="false">'Raw Data'!A1108</f>
        <v>28</v>
      </c>
      <c r="C1108" s="2" t="str">
        <f aca="false">'Raw Data'!D1108</f>
        <v>Sales</v>
      </c>
      <c r="D1108" s="2" t="str">
        <f aca="false">'Raw Data'!K1108</f>
        <v>Research Scientist</v>
      </c>
      <c r="E1108" s="2" t="n">
        <f aca="false">'Raw Data'!Q1108</f>
        <v>7</v>
      </c>
      <c r="F1108" s="2" t="n">
        <f aca="false">'Raw Data'!U1108</f>
        <v>7</v>
      </c>
      <c r="G1108" s="2" t="n">
        <f aca="false">'Raw Data'!W1108</f>
        <v>4</v>
      </c>
      <c r="H1108" s="2" t="n">
        <f aca="false">'Raw Data'!V1108</f>
        <v>3</v>
      </c>
      <c r="I1108" s="2" t="n">
        <f aca="false">IF(AND(ISNUMBER(B1108),B1108&lt;=25),2,0)+IF(AND(ISNUMBER(E1108),E1108&lt;=5),2,0)+IF(AND(ISNUMBER(F1108),F1108&lt;=1),2,0)+IF(AND(ISNUMBER(G1108),G1108&lt;=2),1,0)+IF(AND(ISNUMBER(H1108),H1108&lt;=2),1,0)</f>
        <v>0</v>
      </c>
      <c r="J1108" s="2" t="str">
        <f aca="false">IF(I1108&gt;=6,"High",IF(I1108&gt;=3,"Medium","Low"))</f>
        <v>Low</v>
      </c>
    </row>
    <row r="1109" customFormat="false" ht="15" hidden="false" customHeight="true" outlineLevel="0" collapsed="false">
      <c r="A1109" s="2" t="n">
        <f aca="false">'Raw Data'!H1109</f>
        <v>1108</v>
      </c>
      <c r="B1109" s="2" t="n">
        <f aca="false">'Raw Data'!A1109</f>
        <v>29</v>
      </c>
      <c r="C1109" s="2" t="str">
        <f aca="false">'Raw Data'!D1109</f>
        <v>Human Resources</v>
      </c>
      <c r="D1109" s="2" t="str">
        <f aca="false">'Raw Data'!K1109</f>
        <v>Sales Executive</v>
      </c>
      <c r="E1109" s="2" t="n">
        <f aca="false">'Raw Data'!Q1109</f>
        <v>1</v>
      </c>
      <c r="F1109" s="2" t="n">
        <f aca="false">'Raw Data'!U1109</f>
        <v>0</v>
      </c>
      <c r="G1109" s="2" t="n">
        <f aca="false">'Raw Data'!W1109</f>
        <v>1</v>
      </c>
      <c r="H1109" s="2" t="n">
        <f aca="false">'Raw Data'!V1109</f>
        <v>3</v>
      </c>
      <c r="I1109" s="2" t="n">
        <f aca="false">IF(AND(ISNUMBER(B1109),B1109&lt;=25),2,0)+IF(AND(ISNUMBER(E1109),E1109&lt;=5),2,0)+IF(AND(ISNUMBER(F1109),F1109&lt;=1),2,0)+IF(AND(ISNUMBER(G1109),G1109&lt;=2),1,0)+IF(AND(ISNUMBER(H1109),H1109&lt;=2),1,0)</f>
        <v>5</v>
      </c>
      <c r="J1109" s="2" t="str">
        <f aca="false">IF(I1109&gt;=6,"High",IF(I1109&gt;=3,"Medium","Low"))</f>
        <v>Medium</v>
      </c>
    </row>
    <row r="1110" customFormat="false" ht="15" hidden="false" customHeight="true" outlineLevel="0" collapsed="false">
      <c r="A1110" s="2" t="n">
        <f aca="false">'Raw Data'!H1110</f>
        <v>1109</v>
      </c>
      <c r="B1110" s="2" t="n">
        <f aca="false">'Raw Data'!A1110</f>
        <v>39</v>
      </c>
      <c r="C1110" s="2" t="str">
        <f aca="false">'Raw Data'!D1110</f>
        <v>Research &amp; Development</v>
      </c>
      <c r="D1110" s="2" t="str">
        <f aca="false">'Raw Data'!K1110</f>
        <v>Sales Representative</v>
      </c>
      <c r="E1110" s="2" t="n">
        <f aca="false">'Raw Data'!Q1110</f>
        <v>10</v>
      </c>
      <c r="F1110" s="2" t="n">
        <f aca="false">'Raw Data'!U1110</f>
        <v>2</v>
      </c>
      <c r="G1110" s="2" t="n">
        <f aca="false">'Raw Data'!W1110</f>
        <v>3</v>
      </c>
      <c r="H1110" s="2" t="n">
        <f aca="false">'Raw Data'!V1110</f>
        <v>1</v>
      </c>
      <c r="I1110" s="2" t="n">
        <f aca="false">IF(AND(ISNUMBER(B1110),B1110&lt;=25),2,0)+IF(AND(ISNUMBER(E1110),E1110&lt;=5),2,0)+IF(AND(ISNUMBER(F1110),F1110&lt;=1),2,0)+IF(AND(ISNUMBER(G1110),G1110&lt;=2),1,0)+IF(AND(ISNUMBER(H1110),H1110&lt;=2),1,0)</f>
        <v>1</v>
      </c>
      <c r="J1110" s="2" t="str">
        <f aca="false">IF(I1110&gt;=6,"High",IF(I1110&gt;=3,"Medium","Low"))</f>
        <v>Low</v>
      </c>
    </row>
    <row r="1111" customFormat="false" ht="15" hidden="false" customHeight="true" outlineLevel="0" collapsed="false">
      <c r="A1111" s="2" t="n">
        <f aca="false">'Raw Data'!H1111</f>
        <v>1110</v>
      </c>
      <c r="B1111" s="2" t="n">
        <f aca="false">'Raw Data'!A1111</f>
        <v>27</v>
      </c>
      <c r="C1111" s="2" t="str">
        <f aca="false">'Raw Data'!D1111</f>
        <v>Sales</v>
      </c>
      <c r="D1111" s="2" t="str">
        <f aca="false">'Raw Data'!K1111</f>
        <v>Healthcare Representative</v>
      </c>
      <c r="E1111" s="2" t="n">
        <f aca="false">'Raw Data'!Q1111</f>
        <v>6</v>
      </c>
      <c r="F1111" s="2" t="n">
        <f aca="false">'Raw Data'!U1111</f>
        <v>2</v>
      </c>
      <c r="G1111" s="2" t="n">
        <f aca="false">'Raw Data'!W1111</f>
        <v>2</v>
      </c>
      <c r="H1111" s="2" t="n">
        <f aca="false">'Raw Data'!V1111</f>
        <v>2</v>
      </c>
      <c r="I1111" s="2" t="n">
        <f aca="false">IF(AND(ISNUMBER(B1111),B1111&lt;=25),2,0)+IF(AND(ISNUMBER(E1111),E1111&lt;=5),2,0)+IF(AND(ISNUMBER(F1111),F1111&lt;=1),2,0)+IF(AND(ISNUMBER(G1111),G1111&lt;=2),1,0)+IF(AND(ISNUMBER(H1111),H1111&lt;=2),1,0)</f>
        <v>2</v>
      </c>
      <c r="J1111" s="2" t="str">
        <f aca="false">IF(I1111&gt;=6,"High",IF(I1111&gt;=3,"Medium","Low"))</f>
        <v>Low</v>
      </c>
    </row>
    <row r="1112" customFormat="false" ht="15" hidden="false" customHeight="true" outlineLevel="0" collapsed="false">
      <c r="A1112" s="2" t="n">
        <f aca="false">'Raw Data'!H1112</f>
        <v>1111</v>
      </c>
      <c r="B1112" s="2" t="n">
        <f aca="false">'Raw Data'!A1112</f>
        <v>34</v>
      </c>
      <c r="C1112" s="2" t="str">
        <f aca="false">'Raw Data'!D1112</f>
        <v>Research &amp; Development</v>
      </c>
      <c r="D1112" s="2" t="str">
        <f aca="false">'Raw Data'!K1112</f>
        <v>Manufacturing Director</v>
      </c>
      <c r="E1112" s="2" t="n">
        <f aca="false">'Raw Data'!Q1112</f>
        <v>16</v>
      </c>
      <c r="F1112" s="2" t="n">
        <f aca="false">'Raw Data'!U1112</f>
        <v>11</v>
      </c>
      <c r="G1112" s="2" t="n">
        <f aca="false">'Raw Data'!W1112</f>
        <v>4</v>
      </c>
      <c r="H1112" s="2" t="n">
        <f aca="false">'Raw Data'!V1112</f>
        <v>3</v>
      </c>
      <c r="I1112" s="2" t="n">
        <f aca="false">IF(AND(ISNUMBER(B1112),B1112&lt;=25),2,0)+IF(AND(ISNUMBER(E1112),E1112&lt;=5),2,0)+IF(AND(ISNUMBER(F1112),F1112&lt;=1),2,0)+IF(AND(ISNUMBER(G1112),G1112&lt;=2),1,0)+IF(AND(ISNUMBER(H1112),H1112&lt;=2),1,0)</f>
        <v>0</v>
      </c>
      <c r="J1112" s="2" t="str">
        <f aca="false">IF(I1112&gt;=6,"High",IF(I1112&gt;=3,"Medium","Low"))</f>
        <v>Low</v>
      </c>
    </row>
    <row r="1113" customFormat="false" ht="15" hidden="false" customHeight="true" outlineLevel="0" collapsed="false">
      <c r="A1113" s="2" t="n">
        <f aca="false">'Raw Data'!H1113</f>
        <v>1112</v>
      </c>
      <c r="B1113" s="2" t="n">
        <f aca="false">'Raw Data'!A1113</f>
        <v>28</v>
      </c>
      <c r="C1113" s="2" t="str">
        <f aca="false">'Raw Data'!D1113</f>
        <v>Research &amp; Development</v>
      </c>
      <c r="D1113" s="2" t="str">
        <f aca="false">'Raw Data'!K1113</f>
        <v>Research Director</v>
      </c>
      <c r="E1113" s="2" t="n">
        <f aca="false">'Raw Data'!Q1113</f>
        <v>6</v>
      </c>
      <c r="F1113" s="2" t="n">
        <f aca="false">'Raw Data'!U1113</f>
        <v>2</v>
      </c>
      <c r="G1113" s="2" t="n">
        <f aca="false">'Raw Data'!W1113</f>
        <v>3</v>
      </c>
      <c r="H1113" s="2" t="n">
        <f aca="false">'Raw Data'!V1113</f>
        <v>4</v>
      </c>
      <c r="I1113" s="2" t="n">
        <f aca="false">IF(AND(ISNUMBER(B1113),B1113&lt;=25),2,0)+IF(AND(ISNUMBER(E1113),E1113&lt;=5),2,0)+IF(AND(ISNUMBER(F1113),F1113&lt;=1),2,0)+IF(AND(ISNUMBER(G1113),G1113&lt;=2),1,0)+IF(AND(ISNUMBER(H1113),H1113&lt;=2),1,0)</f>
        <v>0</v>
      </c>
      <c r="J1113" s="2" t="str">
        <f aca="false">IF(I1113&gt;=6,"High",IF(I1113&gt;=3,"Medium","Low"))</f>
        <v>Low</v>
      </c>
    </row>
    <row r="1114" customFormat="false" ht="15" hidden="false" customHeight="true" outlineLevel="0" collapsed="false">
      <c r="A1114" s="2" t="n">
        <f aca="false">'Raw Data'!H1114</f>
        <v>1113</v>
      </c>
      <c r="B1114" s="2" t="n">
        <f aca="false">'Raw Data'!A1114</f>
        <v>47</v>
      </c>
      <c r="C1114" s="2" t="str">
        <f aca="false">'Raw Data'!D1114</f>
        <v>Research &amp; Development</v>
      </c>
      <c r="D1114" s="2" t="str">
        <f aca="false">'Raw Data'!K1114</f>
        <v>Research Scientist</v>
      </c>
      <c r="E1114" s="2" t="n">
        <f aca="false">'Raw Data'!Q1114</f>
        <v>16</v>
      </c>
      <c r="F1114" s="2" t="n">
        <f aca="false">'Raw Data'!U1114</f>
        <v>7</v>
      </c>
      <c r="G1114" s="2" t="n">
        <f aca="false">'Raw Data'!W1114</f>
        <v>2</v>
      </c>
      <c r="H1114" s="2" t="n">
        <f aca="false">'Raw Data'!V1114</f>
        <v>3</v>
      </c>
      <c r="I1114" s="2" t="n">
        <f aca="false">IF(AND(ISNUMBER(B1114),B1114&lt;=25),2,0)+IF(AND(ISNUMBER(E1114),E1114&lt;=5),2,0)+IF(AND(ISNUMBER(F1114),F1114&lt;=1),2,0)+IF(AND(ISNUMBER(G1114),G1114&lt;=2),1,0)+IF(AND(ISNUMBER(H1114),H1114&lt;=2),1,0)</f>
        <v>1</v>
      </c>
      <c r="J1114" s="2" t="str">
        <f aca="false">IF(I1114&gt;=6,"High",IF(I1114&gt;=3,"Medium","Low"))</f>
        <v>Low</v>
      </c>
    </row>
    <row r="1115" customFormat="false" ht="15" hidden="false" customHeight="true" outlineLevel="0" collapsed="false">
      <c r="A1115" s="2" t="n">
        <f aca="false">'Raw Data'!H1115</f>
        <v>1114</v>
      </c>
      <c r="B1115" s="2" t="n">
        <f aca="false">'Raw Data'!A1115</f>
        <v>56</v>
      </c>
      <c r="C1115" s="2" t="str">
        <f aca="false">'Raw Data'!D1115</f>
        <v>Research &amp; Development</v>
      </c>
      <c r="D1115" s="2" t="str">
        <f aca="false">'Raw Data'!K1115</f>
        <v>Sales Executive</v>
      </c>
      <c r="E1115" s="2" t="n">
        <f aca="false">'Raw Data'!Q1115</f>
        <v>6</v>
      </c>
      <c r="F1115" s="2" t="n">
        <f aca="false">'Raw Data'!U1115</f>
        <v>0</v>
      </c>
      <c r="G1115" s="2" t="n">
        <f aca="false">'Raw Data'!W1115</f>
        <v>1</v>
      </c>
      <c r="H1115" s="2" t="n">
        <f aca="false">'Raw Data'!V1115</f>
        <v>4</v>
      </c>
      <c r="I1115" s="2" t="n">
        <f aca="false">IF(AND(ISNUMBER(B1115),B1115&lt;=25),2,0)+IF(AND(ISNUMBER(E1115),E1115&lt;=5),2,0)+IF(AND(ISNUMBER(F1115),F1115&lt;=1),2,0)+IF(AND(ISNUMBER(G1115),G1115&lt;=2),1,0)+IF(AND(ISNUMBER(H1115),H1115&lt;=2),1,0)</f>
        <v>3</v>
      </c>
      <c r="J1115" s="2" t="str">
        <f aca="false">IF(I1115&gt;=6,"High",IF(I1115&gt;=3,"Medium","Low"))</f>
        <v>Medium</v>
      </c>
    </row>
    <row r="1116" customFormat="false" ht="15" hidden="false" customHeight="true" outlineLevel="0" collapsed="false">
      <c r="A1116" s="2" t="n">
        <f aca="false">'Raw Data'!H1116</f>
        <v>1115</v>
      </c>
      <c r="B1116" s="2" t="n">
        <f aca="false">'Raw Data'!A1116</f>
        <v>39</v>
      </c>
      <c r="C1116" s="2" t="str">
        <f aca="false">'Raw Data'!D1116</f>
        <v>Research &amp; Development</v>
      </c>
      <c r="D1116" s="2" t="str">
        <f aca="false">'Raw Data'!K1116</f>
        <v>Laboratory Technician</v>
      </c>
      <c r="E1116" s="2" t="n">
        <f aca="false">'Raw Data'!Q1116</f>
        <v>10</v>
      </c>
      <c r="F1116" s="2" t="n">
        <f aca="false">'Raw Data'!U1116</f>
        <v>9</v>
      </c>
      <c r="G1116" s="2" t="n">
        <f aca="false">'Raw Data'!W1116</f>
        <v>1</v>
      </c>
      <c r="H1116" s="2" t="n">
        <f aca="false">'Raw Data'!V1116</f>
        <v>1</v>
      </c>
      <c r="I1116" s="2" t="n">
        <f aca="false">IF(AND(ISNUMBER(B1116),B1116&lt;=25),2,0)+IF(AND(ISNUMBER(E1116),E1116&lt;=5),2,0)+IF(AND(ISNUMBER(F1116),F1116&lt;=1),2,0)+IF(AND(ISNUMBER(G1116),G1116&lt;=2),1,0)+IF(AND(ISNUMBER(H1116),H1116&lt;=2),1,0)</f>
        <v>2</v>
      </c>
      <c r="J1116" s="2" t="str">
        <f aca="false">IF(I1116&gt;=6,"High",IF(I1116&gt;=3,"Medium","Low"))</f>
        <v>Low</v>
      </c>
    </row>
    <row r="1117" customFormat="false" ht="15" hidden="false" customHeight="true" outlineLevel="0" collapsed="false">
      <c r="A1117" s="2" t="n">
        <f aca="false">'Raw Data'!H1117</f>
        <v>1116</v>
      </c>
      <c r="B1117" s="2" t="n">
        <f aca="false">'Raw Data'!A1117</f>
        <v>38</v>
      </c>
      <c r="C1117" s="2" t="str">
        <f aca="false">'Raw Data'!D1117</f>
        <v>Research &amp; Development</v>
      </c>
      <c r="D1117" s="2" t="str">
        <f aca="false">'Raw Data'!K1117</f>
        <v>Manager</v>
      </c>
      <c r="E1117" s="2" t="n">
        <f aca="false">'Raw Data'!Q1117</f>
        <v>20</v>
      </c>
      <c r="F1117" s="2" t="n">
        <f aca="false">'Raw Data'!U1117</f>
        <v>7</v>
      </c>
      <c r="G1117" s="2" t="n">
        <f aca="false">'Raw Data'!W1117</f>
        <v>2</v>
      </c>
      <c r="H1117" s="2" t="n">
        <f aca="false">'Raw Data'!V1117</f>
        <v>4</v>
      </c>
      <c r="I1117" s="2" t="n">
        <f aca="false">IF(AND(ISNUMBER(B1117),B1117&lt;=25),2,0)+IF(AND(ISNUMBER(E1117),E1117&lt;=5),2,0)+IF(AND(ISNUMBER(F1117),F1117&lt;=1),2,0)+IF(AND(ISNUMBER(G1117),G1117&lt;=2),1,0)+IF(AND(ISNUMBER(H1117),H1117&lt;=2),1,0)</f>
        <v>1</v>
      </c>
      <c r="J1117" s="2" t="str">
        <f aca="false">IF(I1117&gt;=6,"High",IF(I1117&gt;=3,"Medium","Low"))</f>
        <v>Low</v>
      </c>
    </row>
    <row r="1118" customFormat="false" ht="15" hidden="false" customHeight="true" outlineLevel="0" collapsed="false">
      <c r="A1118" s="2" t="n">
        <f aca="false">'Raw Data'!H1118</f>
        <v>1117</v>
      </c>
      <c r="B1118" s="2" t="n">
        <f aca="false">'Raw Data'!A1118</f>
        <v>58</v>
      </c>
      <c r="C1118" s="2" t="str">
        <f aca="false">'Raw Data'!D1118</f>
        <v>Sales</v>
      </c>
      <c r="D1118" s="2" t="str">
        <f aca="false">'Raw Data'!K1118</f>
        <v>Sales Representative</v>
      </c>
      <c r="E1118" s="2" t="n">
        <f aca="false">'Raw Data'!Q1118</f>
        <v>29</v>
      </c>
      <c r="F1118" s="2" t="n">
        <f aca="false">'Raw Data'!U1118</f>
        <v>0</v>
      </c>
      <c r="G1118" s="2" t="n">
        <f aca="false">'Raw Data'!W1118</f>
        <v>4</v>
      </c>
      <c r="H1118" s="2" t="n">
        <f aca="false">'Raw Data'!V1118</f>
        <v>4</v>
      </c>
      <c r="I1118" s="2" t="n">
        <f aca="false">IF(AND(ISNUMBER(B1118),B1118&lt;=25),2,0)+IF(AND(ISNUMBER(E1118),E1118&lt;=5),2,0)+IF(AND(ISNUMBER(F1118),F1118&lt;=1),2,0)+IF(AND(ISNUMBER(G1118),G1118&lt;=2),1,0)+IF(AND(ISNUMBER(H1118),H1118&lt;=2),1,0)</f>
        <v>2</v>
      </c>
      <c r="J1118" s="2" t="str">
        <f aca="false">IF(I1118&gt;=6,"High",IF(I1118&gt;=3,"Medium","Low"))</f>
        <v>Low</v>
      </c>
    </row>
    <row r="1119" customFormat="false" ht="15" hidden="false" customHeight="true" outlineLevel="0" collapsed="false">
      <c r="A1119" s="2" t="n">
        <f aca="false">'Raw Data'!H1119</f>
        <v>1118</v>
      </c>
      <c r="B1119" s="2" t="n">
        <f aca="false">'Raw Data'!A1119</f>
        <v>32</v>
      </c>
      <c r="C1119" s="2" t="str">
        <f aca="false">'Raw Data'!D1119</f>
        <v>Research &amp; Development</v>
      </c>
      <c r="D1119" s="2" t="str">
        <f aca="false">'Raw Data'!K1119</f>
        <v>Laboratory Technician</v>
      </c>
      <c r="E1119" s="2" t="n">
        <f aca="false">'Raw Data'!Q1119</f>
        <v>8</v>
      </c>
      <c r="F1119" s="2" t="n">
        <f aca="false">'Raw Data'!U1119</f>
        <v>3</v>
      </c>
      <c r="G1119" s="2" t="n">
        <f aca="false">'Raw Data'!W1119</f>
        <v>3</v>
      </c>
      <c r="H1119" s="2" t="n">
        <f aca="false">'Raw Data'!V1119</f>
        <v>1</v>
      </c>
      <c r="I1119" s="2" t="n">
        <f aca="false">IF(AND(ISNUMBER(B1119),B1119&lt;=25),2,0)+IF(AND(ISNUMBER(E1119),E1119&lt;=5),2,0)+IF(AND(ISNUMBER(F1119),F1119&lt;=1),2,0)+IF(AND(ISNUMBER(G1119),G1119&lt;=2),1,0)+IF(AND(ISNUMBER(H1119),H1119&lt;=2),1,0)</f>
        <v>1</v>
      </c>
      <c r="J1119" s="2" t="str">
        <f aca="false">IF(I1119&gt;=6,"High",IF(I1119&gt;=3,"Medium","Low"))</f>
        <v>Low</v>
      </c>
    </row>
    <row r="1120" customFormat="false" ht="15" hidden="false" customHeight="true" outlineLevel="0" collapsed="false">
      <c r="A1120" s="2" t="n">
        <f aca="false">'Raw Data'!H1120</f>
        <v>1119</v>
      </c>
      <c r="B1120" s="2" t="n">
        <f aca="false">'Raw Data'!A1120</f>
        <v>38</v>
      </c>
      <c r="C1120" s="2" t="str">
        <f aca="false">'Raw Data'!D1120</f>
        <v>Research &amp; Development</v>
      </c>
      <c r="D1120" s="2" t="str">
        <f aca="false">'Raw Data'!K1120</f>
        <v>Sales Representative</v>
      </c>
      <c r="E1120" s="2" t="n">
        <f aca="false">'Raw Data'!Q1120</f>
        <v>10</v>
      </c>
      <c r="F1120" s="2" t="n">
        <f aca="false">'Raw Data'!U1120</f>
        <v>3</v>
      </c>
      <c r="G1120" s="2" t="n">
        <f aca="false">'Raw Data'!W1120</f>
        <v>4</v>
      </c>
      <c r="H1120" s="2" t="n">
        <f aca="false">'Raw Data'!V1120</f>
        <v>2</v>
      </c>
      <c r="I1120" s="2" t="n">
        <f aca="false">IF(AND(ISNUMBER(B1120),B1120&lt;=25),2,0)+IF(AND(ISNUMBER(E1120),E1120&lt;=5),2,0)+IF(AND(ISNUMBER(F1120),F1120&lt;=1),2,0)+IF(AND(ISNUMBER(G1120),G1120&lt;=2),1,0)+IF(AND(ISNUMBER(H1120),H1120&lt;=2),1,0)</f>
        <v>1</v>
      </c>
      <c r="J1120" s="2" t="str">
        <f aca="false">IF(I1120&gt;=6,"High",IF(I1120&gt;=3,"Medium","Low"))</f>
        <v>Low</v>
      </c>
    </row>
    <row r="1121" customFormat="false" ht="15" hidden="false" customHeight="true" outlineLevel="0" collapsed="false">
      <c r="A1121" s="2" t="n">
        <f aca="false">'Raw Data'!H1121</f>
        <v>1120</v>
      </c>
      <c r="B1121" s="2" t="n">
        <f aca="false">'Raw Data'!A1121</f>
        <v>49</v>
      </c>
      <c r="C1121" s="2" t="str">
        <f aca="false">'Raw Data'!D1121</f>
        <v>Sales</v>
      </c>
      <c r="D1121" s="2" t="str">
        <f aca="false">'Raw Data'!K1121</f>
        <v>Research Scientist</v>
      </c>
      <c r="E1121" s="2" t="n">
        <f aca="false">'Raw Data'!Q1121</f>
        <v>28</v>
      </c>
      <c r="F1121" s="2" t="n">
        <f aca="false">'Raw Data'!U1121</f>
        <v>3</v>
      </c>
      <c r="G1121" s="2" t="n">
        <f aca="false">'Raw Data'!W1121</f>
        <v>4</v>
      </c>
      <c r="H1121" s="2" t="n">
        <f aca="false">'Raw Data'!V1121</f>
        <v>2</v>
      </c>
      <c r="I1121" s="2" t="n">
        <f aca="false">IF(AND(ISNUMBER(B1121),B1121&lt;=25),2,0)+IF(AND(ISNUMBER(E1121),E1121&lt;=5),2,0)+IF(AND(ISNUMBER(F1121),F1121&lt;=1),2,0)+IF(AND(ISNUMBER(G1121),G1121&lt;=2),1,0)+IF(AND(ISNUMBER(H1121),H1121&lt;=2),1,0)</f>
        <v>1</v>
      </c>
      <c r="J1121" s="2" t="str">
        <f aca="false">IF(I1121&gt;=6,"High",IF(I1121&gt;=3,"Medium","Low"))</f>
        <v>Low</v>
      </c>
    </row>
    <row r="1122" customFormat="false" ht="15" hidden="false" customHeight="true" outlineLevel="0" collapsed="false">
      <c r="A1122" s="2" t="n">
        <f aca="false">'Raw Data'!H1122</f>
        <v>1121</v>
      </c>
      <c r="B1122" s="2" t="n">
        <f aca="false">'Raw Data'!A1122</f>
        <v>42</v>
      </c>
      <c r="C1122" s="2" t="str">
        <f aca="false">'Raw Data'!D1122</f>
        <v>Sales</v>
      </c>
      <c r="D1122" s="2" t="str">
        <f aca="false">'Raw Data'!K1122</f>
        <v>Sales Executive</v>
      </c>
      <c r="E1122" s="2" t="n">
        <f aca="false">'Raw Data'!Q1122</f>
        <v>14</v>
      </c>
      <c r="F1122" s="2" t="n">
        <f aca="false">'Raw Data'!U1122</f>
        <v>0</v>
      </c>
      <c r="G1122" s="2" t="n">
        <f aca="false">'Raw Data'!W1122</f>
        <v>4</v>
      </c>
      <c r="H1122" s="2" t="n">
        <f aca="false">'Raw Data'!V1122</f>
        <v>2</v>
      </c>
      <c r="I1122" s="2" t="n">
        <f aca="false">IF(AND(ISNUMBER(B1122),B1122&lt;=25),2,0)+IF(AND(ISNUMBER(E1122),E1122&lt;=5),2,0)+IF(AND(ISNUMBER(F1122),F1122&lt;=1),2,0)+IF(AND(ISNUMBER(G1122),G1122&lt;=2),1,0)+IF(AND(ISNUMBER(H1122),H1122&lt;=2),1,0)</f>
        <v>3</v>
      </c>
      <c r="J1122" s="2" t="str">
        <f aca="false">IF(I1122&gt;=6,"High",IF(I1122&gt;=3,"Medium","Low"))</f>
        <v>Medium</v>
      </c>
    </row>
    <row r="1123" customFormat="false" ht="15" hidden="false" customHeight="true" outlineLevel="0" collapsed="false">
      <c r="A1123" s="2" t="n">
        <f aca="false">'Raw Data'!H1123</f>
        <v>1122</v>
      </c>
      <c r="B1123" s="2" t="n">
        <f aca="false">'Raw Data'!A1123</f>
        <v>27</v>
      </c>
      <c r="C1123" s="2" t="str">
        <f aca="false">'Raw Data'!D1123</f>
        <v>Sales</v>
      </c>
      <c r="D1123" s="2" t="str">
        <f aca="false">'Raw Data'!K1123</f>
        <v>Laboratory Technician</v>
      </c>
      <c r="E1123" s="2" t="n">
        <f aca="false">'Raw Data'!Q1123</f>
        <v>1</v>
      </c>
      <c r="F1123" s="2" t="n">
        <f aca="false">'Raw Data'!U1123</f>
        <v>0</v>
      </c>
      <c r="G1123" s="2" t="n">
        <f aca="false">'Raw Data'!W1123</f>
        <v>2</v>
      </c>
      <c r="H1123" s="2" t="n">
        <f aca="false">'Raw Data'!V1123</f>
        <v>1</v>
      </c>
      <c r="I1123" s="2" t="n">
        <f aca="false">IF(AND(ISNUMBER(B1123),B1123&lt;=25),2,0)+IF(AND(ISNUMBER(E1123),E1123&lt;=5),2,0)+IF(AND(ISNUMBER(F1123),F1123&lt;=1),2,0)+IF(AND(ISNUMBER(G1123),G1123&lt;=2),1,0)+IF(AND(ISNUMBER(H1123),H1123&lt;=2),1,0)</f>
        <v>6</v>
      </c>
      <c r="J1123" s="2" t="str">
        <f aca="false">IF(I1123&gt;=6,"High",IF(I1123&gt;=3,"Medium","Low"))</f>
        <v>High</v>
      </c>
    </row>
    <row r="1124" customFormat="false" ht="15" hidden="false" customHeight="true" outlineLevel="0" collapsed="false">
      <c r="A1124" s="2" t="n">
        <f aca="false">'Raw Data'!H1124</f>
        <v>1123</v>
      </c>
      <c r="B1124" s="2" t="n">
        <f aca="false">'Raw Data'!A1124</f>
        <v>35</v>
      </c>
      <c r="C1124" s="2" t="str">
        <f aca="false">'Raw Data'!D1124</f>
        <v>Research &amp; Development</v>
      </c>
      <c r="D1124" s="2" t="str">
        <f aca="false">'Raw Data'!K1124</f>
        <v>Sales Executive</v>
      </c>
      <c r="E1124" s="2" t="n">
        <f aca="false">'Raw Data'!Q1124</f>
        <v>6</v>
      </c>
      <c r="F1124" s="2" t="n">
        <f aca="false">'Raw Data'!U1124</f>
        <v>4</v>
      </c>
      <c r="G1124" s="2" t="n">
        <f aca="false">'Raw Data'!W1124</f>
        <v>1</v>
      </c>
      <c r="H1124" s="2" t="n">
        <f aca="false">'Raw Data'!V1124</f>
        <v>2</v>
      </c>
      <c r="I1124" s="2" t="n">
        <f aca="false">IF(AND(ISNUMBER(B1124),B1124&lt;=25),2,0)+IF(AND(ISNUMBER(E1124),E1124&lt;=5),2,0)+IF(AND(ISNUMBER(F1124),F1124&lt;=1),2,0)+IF(AND(ISNUMBER(G1124),G1124&lt;=2),1,0)+IF(AND(ISNUMBER(H1124),H1124&lt;=2),1,0)</f>
        <v>2</v>
      </c>
      <c r="J1124" s="2" t="str">
        <f aca="false">IF(I1124&gt;=6,"High",IF(I1124&gt;=3,"Medium","Low"))</f>
        <v>Low</v>
      </c>
    </row>
    <row r="1125" customFormat="false" ht="15" hidden="false" customHeight="true" outlineLevel="0" collapsed="false">
      <c r="A1125" s="2" t="n">
        <f aca="false">'Raw Data'!H1125</f>
        <v>1124</v>
      </c>
      <c r="B1125" s="2" t="n">
        <f aca="false">'Raw Data'!A1125</f>
        <v>28</v>
      </c>
      <c r="C1125" s="2" t="str">
        <f aca="false">'Raw Data'!D1125</f>
        <v>Research &amp; Development</v>
      </c>
      <c r="D1125" s="2" t="str">
        <f aca="false">'Raw Data'!K1125</f>
        <v>Research Scientist</v>
      </c>
      <c r="E1125" s="2" t="n">
        <f aca="false">'Raw Data'!Q1125</f>
        <v>5</v>
      </c>
      <c r="F1125" s="2" t="n">
        <f aca="false">'Raw Data'!U1125</f>
        <v>4</v>
      </c>
      <c r="G1125" s="2" t="n">
        <f aca="false">'Raw Data'!W1125</f>
        <v>3</v>
      </c>
      <c r="H1125" s="2" t="n">
        <f aca="false">'Raw Data'!V1125</f>
        <v>3</v>
      </c>
      <c r="I1125" s="2" t="n">
        <f aca="false">IF(AND(ISNUMBER(B1125),B1125&lt;=25),2,0)+IF(AND(ISNUMBER(E1125),E1125&lt;=5),2,0)+IF(AND(ISNUMBER(F1125),F1125&lt;=1),2,0)+IF(AND(ISNUMBER(G1125),G1125&lt;=2),1,0)+IF(AND(ISNUMBER(H1125),H1125&lt;=2),1,0)</f>
        <v>2</v>
      </c>
      <c r="J1125" s="2" t="str">
        <f aca="false">IF(I1125&gt;=6,"High",IF(I1125&gt;=3,"Medium","Low"))</f>
        <v>Low</v>
      </c>
    </row>
    <row r="1126" customFormat="false" ht="15" hidden="false" customHeight="true" outlineLevel="0" collapsed="false">
      <c r="A1126" s="2" t="n">
        <f aca="false">'Raw Data'!H1126</f>
        <v>1125</v>
      </c>
      <c r="B1126" s="2" t="n">
        <f aca="false">'Raw Data'!A1126</f>
        <v>31</v>
      </c>
      <c r="C1126" s="2" t="str">
        <f aca="false">'Raw Data'!D1126</f>
        <v>Sales</v>
      </c>
      <c r="D1126" s="2" t="str">
        <f aca="false">'Raw Data'!K1126</f>
        <v>Sales Executive</v>
      </c>
      <c r="E1126" s="2" t="n">
        <f aca="false">'Raw Data'!Q1126</f>
        <v>4</v>
      </c>
      <c r="F1126" s="2" t="n">
        <f aca="false">'Raw Data'!U1126</f>
        <v>3</v>
      </c>
      <c r="G1126" s="2" t="n">
        <f aca="false">'Raw Data'!W1126</f>
        <v>1</v>
      </c>
      <c r="H1126" s="2" t="n">
        <f aca="false">'Raw Data'!V1126</f>
        <v>3</v>
      </c>
      <c r="I1126" s="2" t="n">
        <f aca="false">IF(AND(ISNUMBER(B1126),B1126&lt;=25),2,0)+IF(AND(ISNUMBER(E1126),E1126&lt;=5),2,0)+IF(AND(ISNUMBER(F1126),F1126&lt;=1),2,0)+IF(AND(ISNUMBER(G1126),G1126&lt;=2),1,0)+IF(AND(ISNUMBER(H1126),H1126&lt;=2),1,0)</f>
        <v>3</v>
      </c>
      <c r="J1126" s="2" t="str">
        <f aca="false">IF(I1126&gt;=6,"High",IF(I1126&gt;=3,"Medium","Low"))</f>
        <v>Medium</v>
      </c>
    </row>
    <row r="1127" customFormat="false" ht="15" hidden="false" customHeight="true" outlineLevel="0" collapsed="false">
      <c r="A1127" s="2" t="n">
        <f aca="false">'Raw Data'!H1127</f>
        <v>1126</v>
      </c>
      <c r="B1127" s="2" t="n">
        <f aca="false">'Raw Data'!A1127</f>
        <v>36</v>
      </c>
      <c r="C1127" s="2" t="str">
        <f aca="false">'Raw Data'!D1127</f>
        <v>Research &amp; Development</v>
      </c>
      <c r="D1127" s="2" t="str">
        <f aca="false">'Raw Data'!K1127</f>
        <v>Research Scientist</v>
      </c>
      <c r="E1127" s="2" t="n">
        <f aca="false">'Raw Data'!Q1127</f>
        <v>5</v>
      </c>
      <c r="F1127" s="2" t="n">
        <f aca="false">'Raw Data'!U1127</f>
        <v>2</v>
      </c>
      <c r="G1127" s="2" t="n">
        <f aca="false">'Raw Data'!W1127</f>
        <v>2</v>
      </c>
      <c r="H1127" s="2" t="n">
        <f aca="false">'Raw Data'!V1127</f>
        <v>1</v>
      </c>
      <c r="I1127" s="2" t="n">
        <f aca="false">IF(AND(ISNUMBER(B1127),B1127&lt;=25),2,0)+IF(AND(ISNUMBER(E1127),E1127&lt;=5),2,0)+IF(AND(ISNUMBER(F1127),F1127&lt;=1),2,0)+IF(AND(ISNUMBER(G1127),G1127&lt;=2),1,0)+IF(AND(ISNUMBER(H1127),H1127&lt;=2),1,0)</f>
        <v>4</v>
      </c>
      <c r="J1127" s="2" t="str">
        <f aca="false">IF(I1127&gt;=6,"High",IF(I1127&gt;=3,"Medium","Low"))</f>
        <v>Medium</v>
      </c>
    </row>
    <row r="1128" customFormat="false" ht="15" hidden="false" customHeight="true" outlineLevel="0" collapsed="false">
      <c r="A1128" s="2" t="n">
        <f aca="false">'Raw Data'!H1128</f>
        <v>1127</v>
      </c>
      <c r="B1128" s="2" t="n">
        <f aca="false">'Raw Data'!A1128</f>
        <v>34</v>
      </c>
      <c r="C1128" s="2" t="str">
        <f aca="false">'Raw Data'!D1128</f>
        <v>Sales</v>
      </c>
      <c r="D1128" s="2" t="str">
        <f aca="false">'Raw Data'!K1128</f>
        <v>Healthcare Representative</v>
      </c>
      <c r="E1128" s="2" t="n">
        <f aca="false">'Raw Data'!Q1128</f>
        <v>14</v>
      </c>
      <c r="F1128" s="2" t="n">
        <f aca="false">'Raw Data'!U1128</f>
        <v>1</v>
      </c>
      <c r="G1128" s="2" t="n">
        <f aca="false">'Raw Data'!W1128</f>
        <v>4</v>
      </c>
      <c r="H1128" s="2" t="n">
        <f aca="false">'Raw Data'!V1128</f>
        <v>1</v>
      </c>
      <c r="I1128" s="2" t="n">
        <f aca="false">IF(AND(ISNUMBER(B1128),B1128&lt;=25),2,0)+IF(AND(ISNUMBER(E1128),E1128&lt;=5),2,0)+IF(AND(ISNUMBER(F1128),F1128&lt;=1),2,0)+IF(AND(ISNUMBER(G1128),G1128&lt;=2),1,0)+IF(AND(ISNUMBER(H1128),H1128&lt;=2),1,0)</f>
        <v>3</v>
      </c>
      <c r="J1128" s="2" t="str">
        <f aca="false">IF(I1128&gt;=6,"High",IF(I1128&gt;=3,"Medium","Low"))</f>
        <v>Medium</v>
      </c>
    </row>
    <row r="1129" customFormat="false" ht="15" hidden="false" customHeight="true" outlineLevel="0" collapsed="false">
      <c r="A1129" s="2" t="n">
        <f aca="false">'Raw Data'!H1129</f>
        <v>1128</v>
      </c>
      <c r="B1129" s="2" t="n">
        <f aca="false">'Raw Data'!A1129</f>
        <v>34</v>
      </c>
      <c r="C1129" s="2" t="str">
        <f aca="false">'Raw Data'!D1129</f>
        <v>Research &amp; Development</v>
      </c>
      <c r="D1129" s="2" t="str">
        <f aca="false">'Raw Data'!K1129</f>
        <v>Research Director</v>
      </c>
      <c r="E1129" s="2" t="n">
        <f aca="false">'Raw Data'!Q1129</f>
        <v>9</v>
      </c>
      <c r="F1129" s="2" t="n">
        <f aca="false">'Raw Data'!U1129</f>
        <v>1</v>
      </c>
      <c r="G1129" s="2" t="n">
        <f aca="false">'Raw Data'!W1129</f>
        <v>3</v>
      </c>
      <c r="H1129" s="2" t="n">
        <f aca="false">'Raw Data'!V1129</f>
        <v>4</v>
      </c>
      <c r="I1129" s="2" t="n">
        <f aca="false">IF(AND(ISNUMBER(B1129),B1129&lt;=25),2,0)+IF(AND(ISNUMBER(E1129),E1129&lt;=5),2,0)+IF(AND(ISNUMBER(F1129),F1129&lt;=1),2,0)+IF(AND(ISNUMBER(G1129),G1129&lt;=2),1,0)+IF(AND(ISNUMBER(H1129),H1129&lt;=2),1,0)</f>
        <v>2</v>
      </c>
      <c r="J1129" s="2" t="str">
        <f aca="false">IF(I1129&gt;=6,"High",IF(I1129&gt;=3,"Medium","Low"))</f>
        <v>Low</v>
      </c>
    </row>
    <row r="1130" customFormat="false" ht="15" hidden="false" customHeight="true" outlineLevel="0" collapsed="false">
      <c r="A1130" s="2" t="n">
        <f aca="false">'Raw Data'!H1130</f>
        <v>1129</v>
      </c>
      <c r="B1130" s="2" t="n">
        <f aca="false">'Raw Data'!A1130</f>
        <v>26</v>
      </c>
      <c r="C1130" s="2" t="str">
        <f aca="false">'Raw Data'!D1130</f>
        <v>Research &amp; Development</v>
      </c>
      <c r="D1130" s="2" t="str">
        <f aca="false">'Raw Data'!K1130</f>
        <v>Research Scientist</v>
      </c>
      <c r="E1130" s="2" t="n">
        <f aca="false">'Raw Data'!Q1130</f>
        <v>8</v>
      </c>
      <c r="F1130" s="2" t="n">
        <f aca="false">'Raw Data'!U1130</f>
        <v>6</v>
      </c>
      <c r="G1130" s="2" t="n">
        <f aca="false">'Raw Data'!W1130</f>
        <v>1</v>
      </c>
      <c r="H1130" s="2" t="n">
        <f aca="false">'Raw Data'!V1130</f>
        <v>3</v>
      </c>
      <c r="I1130" s="2" t="n">
        <f aca="false">IF(AND(ISNUMBER(B1130),B1130&lt;=25),2,0)+IF(AND(ISNUMBER(E1130),E1130&lt;=5),2,0)+IF(AND(ISNUMBER(F1130),F1130&lt;=1),2,0)+IF(AND(ISNUMBER(G1130),G1130&lt;=2),1,0)+IF(AND(ISNUMBER(H1130),H1130&lt;=2),1,0)</f>
        <v>1</v>
      </c>
      <c r="J1130" s="2" t="str">
        <f aca="false">IF(I1130&gt;=6,"High",IF(I1130&gt;=3,"Medium","Low"))</f>
        <v>Low</v>
      </c>
    </row>
    <row r="1131" customFormat="false" ht="15" hidden="false" customHeight="true" outlineLevel="0" collapsed="false">
      <c r="A1131" s="2" t="n">
        <f aca="false">'Raw Data'!H1131</f>
        <v>1130</v>
      </c>
      <c r="B1131" s="2" t="n">
        <f aca="false">'Raw Data'!A1131</f>
        <v>29</v>
      </c>
      <c r="C1131" s="2" t="str">
        <f aca="false">'Raw Data'!D1131</f>
        <v>Research &amp; Development</v>
      </c>
      <c r="D1131" s="2" t="str">
        <f aca="false">'Raw Data'!K1131</f>
        <v>Laboratory Technician</v>
      </c>
      <c r="E1131" s="2" t="n">
        <f aca="false">'Raw Data'!Q1131</f>
        <v>6</v>
      </c>
      <c r="F1131" s="2" t="n">
        <f aca="false">'Raw Data'!U1131</f>
        <v>2</v>
      </c>
      <c r="G1131" s="2" t="n">
        <f aca="false">'Raw Data'!W1131</f>
        <v>1</v>
      </c>
      <c r="H1131" s="2" t="n">
        <f aca="false">'Raw Data'!V1131</f>
        <v>1</v>
      </c>
      <c r="I1131" s="2" t="n">
        <f aca="false">IF(AND(ISNUMBER(B1131),B1131&lt;=25),2,0)+IF(AND(ISNUMBER(E1131),E1131&lt;=5),2,0)+IF(AND(ISNUMBER(F1131),F1131&lt;=1),2,0)+IF(AND(ISNUMBER(G1131),G1131&lt;=2),1,0)+IF(AND(ISNUMBER(H1131),H1131&lt;=2),1,0)</f>
        <v>2</v>
      </c>
      <c r="J1131" s="2" t="str">
        <f aca="false">IF(I1131&gt;=6,"High",IF(I1131&gt;=3,"Medium","Low"))</f>
        <v>Low</v>
      </c>
    </row>
    <row r="1132" customFormat="false" ht="15" hidden="false" customHeight="true" outlineLevel="0" collapsed="false">
      <c r="A1132" s="2" t="n">
        <f aca="false">'Raw Data'!H1132</f>
        <v>1131</v>
      </c>
      <c r="B1132" s="2" t="n">
        <f aca="false">'Raw Data'!A1132</f>
        <v>32</v>
      </c>
      <c r="C1132" s="2" t="str">
        <f aca="false">'Raw Data'!D1132</f>
        <v>Research &amp; Development</v>
      </c>
      <c r="D1132" s="2" t="str">
        <f aca="false">'Raw Data'!K1132</f>
        <v>Manager</v>
      </c>
      <c r="E1132" s="2" t="n">
        <f aca="false">'Raw Data'!Q1132</f>
        <v>9</v>
      </c>
      <c r="F1132" s="2" t="n">
        <f aca="false">'Raw Data'!U1132</f>
        <v>2</v>
      </c>
      <c r="G1132" s="2" t="n">
        <f aca="false">'Raw Data'!W1132</f>
        <v>4</v>
      </c>
      <c r="H1132" s="2" t="n">
        <f aca="false">'Raw Data'!V1132</f>
        <v>3</v>
      </c>
      <c r="I1132" s="2" t="n">
        <f aca="false">IF(AND(ISNUMBER(B1132),B1132&lt;=25),2,0)+IF(AND(ISNUMBER(E1132),E1132&lt;=5),2,0)+IF(AND(ISNUMBER(F1132),F1132&lt;=1),2,0)+IF(AND(ISNUMBER(G1132),G1132&lt;=2),1,0)+IF(AND(ISNUMBER(H1132),H1132&lt;=2),1,0)</f>
        <v>0</v>
      </c>
      <c r="J1132" s="2" t="str">
        <f aca="false">IF(I1132&gt;=6,"High",IF(I1132&gt;=3,"Medium","Low"))</f>
        <v>Low</v>
      </c>
    </row>
    <row r="1133" customFormat="false" ht="15" hidden="false" customHeight="true" outlineLevel="0" collapsed="false">
      <c r="A1133" s="2" t="n">
        <f aca="false">'Raw Data'!H1133</f>
        <v>1132</v>
      </c>
      <c r="B1133" s="2" t="n">
        <f aca="false">'Raw Data'!A1133</f>
        <v>31</v>
      </c>
      <c r="C1133" s="2" t="str">
        <f aca="false">'Raw Data'!D1133</f>
        <v>Research &amp; Development</v>
      </c>
      <c r="D1133" s="2" t="str">
        <f aca="false">'Raw Data'!K1133</f>
        <v>Human Resources</v>
      </c>
      <c r="E1133" s="2" t="n">
        <f aca="false">'Raw Data'!Q1133</f>
        <v>10</v>
      </c>
      <c r="F1133" s="2" t="n">
        <f aca="false">'Raw Data'!U1133</f>
        <v>7</v>
      </c>
      <c r="G1133" s="2" t="n">
        <f aca="false">'Raw Data'!W1133</f>
        <v>1</v>
      </c>
      <c r="H1133" s="2" t="n">
        <f aca="false">'Raw Data'!V1133</f>
        <v>4</v>
      </c>
      <c r="I1133" s="2" t="n">
        <f aca="false">IF(AND(ISNUMBER(B1133),B1133&lt;=25),2,0)+IF(AND(ISNUMBER(E1133),E1133&lt;=5),2,0)+IF(AND(ISNUMBER(F1133),F1133&lt;=1),2,0)+IF(AND(ISNUMBER(G1133),G1133&lt;=2),1,0)+IF(AND(ISNUMBER(H1133),H1133&lt;=2),1,0)</f>
        <v>1</v>
      </c>
      <c r="J1133" s="2" t="str">
        <f aca="false">IF(I1133&gt;=6,"High",IF(I1133&gt;=3,"Medium","Low"))</f>
        <v>Low</v>
      </c>
    </row>
    <row r="1134" customFormat="false" ht="15" hidden="false" customHeight="true" outlineLevel="0" collapsed="false">
      <c r="A1134" s="2" t="n">
        <f aca="false">'Raw Data'!H1134</f>
        <v>1133</v>
      </c>
      <c r="B1134" s="2" t="n">
        <f aca="false">'Raw Data'!A1134</f>
        <v>28</v>
      </c>
      <c r="C1134" s="2" t="str">
        <f aca="false">'Raw Data'!D1134</f>
        <v>Sales</v>
      </c>
      <c r="D1134" s="2" t="str">
        <f aca="false">'Raw Data'!K1134</f>
        <v>Sales Representative</v>
      </c>
      <c r="E1134" s="2" t="n">
        <f aca="false">'Raw Data'!Q1134</f>
        <v>6</v>
      </c>
      <c r="F1134" s="2" t="n">
        <f aca="false">'Raw Data'!U1134</f>
        <v>3</v>
      </c>
      <c r="G1134" s="2" t="n">
        <f aca="false">'Raw Data'!W1134</f>
        <v>4</v>
      </c>
      <c r="H1134" s="2" t="n">
        <f aca="false">'Raw Data'!V1134</f>
        <v>3</v>
      </c>
      <c r="I1134" s="2" t="n">
        <f aca="false">IF(AND(ISNUMBER(B1134),B1134&lt;=25),2,0)+IF(AND(ISNUMBER(E1134),E1134&lt;=5),2,0)+IF(AND(ISNUMBER(F1134),F1134&lt;=1),2,0)+IF(AND(ISNUMBER(G1134),G1134&lt;=2),1,0)+IF(AND(ISNUMBER(H1134),H1134&lt;=2),1,0)</f>
        <v>0</v>
      </c>
      <c r="J1134" s="2" t="str">
        <f aca="false">IF(I1134&gt;=6,"High",IF(I1134&gt;=3,"Medium","Low"))</f>
        <v>Low</v>
      </c>
    </row>
    <row r="1135" customFormat="false" ht="15" hidden="false" customHeight="true" outlineLevel="0" collapsed="false">
      <c r="A1135" s="2" t="n">
        <f aca="false">'Raw Data'!H1135</f>
        <v>1134</v>
      </c>
      <c r="B1135" s="2" t="n">
        <f aca="false">'Raw Data'!A1135</f>
        <v>38</v>
      </c>
      <c r="C1135" s="2" t="str">
        <f aca="false">'Raw Data'!D1135</f>
        <v>Research &amp; Development</v>
      </c>
      <c r="D1135" s="2" t="str">
        <f aca="false">'Raw Data'!K1135</f>
        <v>Sales Representative</v>
      </c>
      <c r="E1135" s="2" t="n">
        <f aca="false">'Raw Data'!Q1135</f>
        <v>20</v>
      </c>
      <c r="F1135" s="2" t="n">
        <f aca="false">'Raw Data'!U1135</f>
        <v>0</v>
      </c>
      <c r="G1135" s="2" t="n">
        <f aca="false">'Raw Data'!W1135</f>
        <v>1</v>
      </c>
      <c r="H1135" s="2" t="n">
        <f aca="false">'Raw Data'!V1135</f>
        <v>1</v>
      </c>
      <c r="I1135" s="2" t="n">
        <f aca="false">IF(AND(ISNUMBER(B1135),B1135&lt;=25),2,0)+IF(AND(ISNUMBER(E1135),E1135&lt;=5),2,0)+IF(AND(ISNUMBER(F1135),F1135&lt;=1),2,0)+IF(AND(ISNUMBER(G1135),G1135&lt;=2),1,0)+IF(AND(ISNUMBER(H1135),H1135&lt;=2),1,0)</f>
        <v>4</v>
      </c>
      <c r="J1135" s="2" t="str">
        <f aca="false">IF(I1135&gt;=6,"High",IF(I1135&gt;=3,"Medium","Low"))</f>
        <v>Medium</v>
      </c>
    </row>
    <row r="1136" customFormat="false" ht="15" hidden="false" customHeight="true" outlineLevel="0" collapsed="false">
      <c r="A1136" s="2" t="n">
        <f aca="false">'Raw Data'!H1136</f>
        <v>1135</v>
      </c>
      <c r="B1136" s="2" t="n">
        <f aca="false">'Raw Data'!A1136</f>
        <v>35</v>
      </c>
      <c r="C1136" s="2" t="str">
        <f aca="false">'Raw Data'!D1136</f>
        <v>Research &amp; Development</v>
      </c>
      <c r="D1136" s="2" t="str">
        <f aca="false">'Raw Data'!K1136</f>
        <v>Sales Representative</v>
      </c>
      <c r="E1136" s="2" t="n">
        <f aca="false">'Raw Data'!Q1136</f>
        <v>10</v>
      </c>
      <c r="F1136" s="2" t="n">
        <f aca="false">'Raw Data'!U1136</f>
        <v>9</v>
      </c>
      <c r="G1136" s="2" t="n">
        <f aca="false">'Raw Data'!W1136</f>
        <v>4</v>
      </c>
      <c r="H1136" s="2" t="n">
        <f aca="false">'Raw Data'!V1136</f>
        <v>3</v>
      </c>
      <c r="I1136" s="2" t="n">
        <f aca="false">IF(AND(ISNUMBER(B1136),B1136&lt;=25),2,0)+IF(AND(ISNUMBER(E1136),E1136&lt;=5),2,0)+IF(AND(ISNUMBER(F1136),F1136&lt;=1),2,0)+IF(AND(ISNUMBER(G1136),G1136&lt;=2),1,0)+IF(AND(ISNUMBER(H1136),H1136&lt;=2),1,0)</f>
        <v>0</v>
      </c>
      <c r="J1136" s="2" t="str">
        <f aca="false">IF(I1136&gt;=6,"High",IF(I1136&gt;=3,"Medium","Low"))</f>
        <v>Low</v>
      </c>
    </row>
    <row r="1137" customFormat="false" ht="15" hidden="false" customHeight="true" outlineLevel="0" collapsed="false">
      <c r="A1137" s="2" t="n">
        <f aca="false">'Raw Data'!H1137</f>
        <v>1136</v>
      </c>
      <c r="B1137" s="2" t="n">
        <f aca="false">'Raw Data'!A1137</f>
        <v>27</v>
      </c>
      <c r="C1137" s="2" t="str">
        <f aca="false">'Raw Data'!D1137</f>
        <v>Sales</v>
      </c>
      <c r="D1137" s="2" t="str">
        <f aca="false">'Raw Data'!K1137</f>
        <v>Manager</v>
      </c>
      <c r="E1137" s="2" t="n">
        <f aca="false">'Raw Data'!Q1137</f>
        <v>7</v>
      </c>
      <c r="F1137" s="2" t="n">
        <f aca="false">'Raw Data'!U1137</f>
        <v>7</v>
      </c>
      <c r="G1137" s="2" t="n">
        <f aca="false">'Raw Data'!W1137</f>
        <v>4</v>
      </c>
      <c r="H1137" s="2" t="n">
        <f aca="false">'Raw Data'!V1137</f>
        <v>4</v>
      </c>
      <c r="I1137" s="2" t="n">
        <f aca="false">IF(AND(ISNUMBER(B1137),B1137&lt;=25),2,0)+IF(AND(ISNUMBER(E1137),E1137&lt;=5),2,0)+IF(AND(ISNUMBER(F1137),F1137&lt;=1),2,0)+IF(AND(ISNUMBER(G1137),G1137&lt;=2),1,0)+IF(AND(ISNUMBER(H1137),H1137&lt;=2),1,0)</f>
        <v>0</v>
      </c>
      <c r="J1137" s="2" t="str">
        <f aca="false">IF(I1137&gt;=6,"High",IF(I1137&gt;=3,"Medium","Low"))</f>
        <v>Low</v>
      </c>
    </row>
    <row r="1138" customFormat="false" ht="15" hidden="false" customHeight="true" outlineLevel="0" collapsed="false">
      <c r="A1138" s="2" t="n">
        <f aca="false">'Raw Data'!H1138</f>
        <v>1137</v>
      </c>
      <c r="B1138" s="2" t="n">
        <f aca="false">'Raw Data'!A1138</f>
        <v>32</v>
      </c>
      <c r="C1138" s="2" t="str">
        <f aca="false">'Raw Data'!D1138</f>
        <v>Research &amp; Development</v>
      </c>
      <c r="D1138" s="2" t="str">
        <f aca="false">'Raw Data'!K1138</f>
        <v>Research Scientist</v>
      </c>
      <c r="E1138" s="2" t="n">
        <f aca="false">'Raw Data'!Q1138</f>
        <v>8</v>
      </c>
      <c r="F1138" s="2" t="n">
        <f aca="false">'Raw Data'!U1138</f>
        <v>0</v>
      </c>
      <c r="G1138" s="2" t="n">
        <f aca="false">'Raw Data'!W1138</f>
        <v>4</v>
      </c>
      <c r="H1138" s="2" t="n">
        <f aca="false">'Raw Data'!V1138</f>
        <v>4</v>
      </c>
      <c r="I1138" s="2" t="n">
        <f aca="false">IF(AND(ISNUMBER(B1138),B1138&lt;=25),2,0)+IF(AND(ISNUMBER(E1138),E1138&lt;=5),2,0)+IF(AND(ISNUMBER(F1138),F1138&lt;=1),2,0)+IF(AND(ISNUMBER(G1138),G1138&lt;=2),1,0)+IF(AND(ISNUMBER(H1138),H1138&lt;=2),1,0)</f>
        <v>2</v>
      </c>
      <c r="J1138" s="2" t="str">
        <f aca="false">IF(I1138&gt;=6,"High",IF(I1138&gt;=3,"Medium","Low"))</f>
        <v>Low</v>
      </c>
    </row>
    <row r="1139" customFormat="false" ht="15" hidden="false" customHeight="true" outlineLevel="0" collapsed="false">
      <c r="A1139" s="2" t="n">
        <f aca="false">'Raw Data'!H1139</f>
        <v>1138</v>
      </c>
      <c r="B1139" s="2" t="n">
        <f aca="false">'Raw Data'!A1139</f>
        <v>31</v>
      </c>
      <c r="C1139" s="2" t="str">
        <f aca="false">'Raw Data'!D1139</f>
        <v>Research &amp; Development</v>
      </c>
      <c r="D1139" s="2" t="str">
        <f aca="false">'Raw Data'!K1139</f>
        <v>Sales Executive</v>
      </c>
      <c r="E1139" s="2" t="n">
        <f aca="false">'Raw Data'!Q1139</f>
        <v>10</v>
      </c>
      <c r="F1139" s="2" t="n">
        <f aca="false">'Raw Data'!U1139</f>
        <v>8</v>
      </c>
      <c r="G1139" s="2" t="n">
        <f aca="false">'Raw Data'!W1139</f>
        <v>4</v>
      </c>
      <c r="H1139" s="2" t="n">
        <f aca="false">'Raw Data'!V1139</f>
        <v>1</v>
      </c>
      <c r="I1139" s="2" t="n">
        <f aca="false">IF(AND(ISNUMBER(B1139),B1139&lt;=25),2,0)+IF(AND(ISNUMBER(E1139),E1139&lt;=5),2,0)+IF(AND(ISNUMBER(F1139),F1139&lt;=1),2,0)+IF(AND(ISNUMBER(G1139),G1139&lt;=2),1,0)+IF(AND(ISNUMBER(H1139),H1139&lt;=2),1,0)</f>
        <v>1</v>
      </c>
      <c r="J1139" s="2" t="str">
        <f aca="false">IF(I1139&gt;=6,"High",IF(I1139&gt;=3,"Medium","Low"))</f>
        <v>Low</v>
      </c>
    </row>
    <row r="1140" customFormat="false" ht="15" hidden="false" customHeight="true" outlineLevel="0" collapsed="false">
      <c r="A1140" s="2" t="n">
        <f aca="false">'Raw Data'!H1140</f>
        <v>1139</v>
      </c>
      <c r="B1140" s="2" t="n">
        <f aca="false">'Raw Data'!A1140</f>
        <v>53</v>
      </c>
      <c r="C1140" s="2" t="str">
        <f aca="false">'Raw Data'!D1140</f>
        <v>Research &amp; Development</v>
      </c>
      <c r="D1140" s="2" t="str">
        <f aca="false">'Raw Data'!K1140</f>
        <v>Research Scientist</v>
      </c>
      <c r="E1140" s="2" t="n">
        <f aca="false">'Raw Data'!Q1140</f>
        <v>15</v>
      </c>
      <c r="F1140" s="2" t="n">
        <f aca="false">'Raw Data'!U1140</f>
        <v>2</v>
      </c>
      <c r="G1140" s="2" t="n">
        <f aca="false">'Raw Data'!W1140</f>
        <v>1</v>
      </c>
      <c r="H1140" s="2" t="n">
        <f aca="false">'Raw Data'!V1140</f>
        <v>1</v>
      </c>
      <c r="I1140" s="2" t="n">
        <f aca="false">IF(AND(ISNUMBER(B1140),B1140&lt;=25),2,0)+IF(AND(ISNUMBER(E1140),E1140&lt;=5),2,0)+IF(AND(ISNUMBER(F1140),F1140&lt;=1),2,0)+IF(AND(ISNUMBER(G1140),G1140&lt;=2),1,0)+IF(AND(ISNUMBER(H1140),H1140&lt;=2),1,0)</f>
        <v>2</v>
      </c>
      <c r="J1140" s="2" t="str">
        <f aca="false">IF(I1140&gt;=6,"High",IF(I1140&gt;=3,"Medium","Low"))</f>
        <v>Low</v>
      </c>
    </row>
    <row r="1141" customFormat="false" ht="15" hidden="false" customHeight="true" outlineLevel="0" collapsed="false">
      <c r="A1141" s="2" t="n">
        <f aca="false">'Raw Data'!H1141</f>
        <v>1140</v>
      </c>
      <c r="B1141" s="2" t="n">
        <f aca="false">'Raw Data'!A1141</f>
        <v>54</v>
      </c>
      <c r="C1141" s="2" t="str">
        <f aca="false">'Raw Data'!D1141</f>
        <v>Research &amp; Development</v>
      </c>
      <c r="D1141" s="2" t="str">
        <f aca="false">'Raw Data'!K1141</f>
        <v>Research Scientist</v>
      </c>
      <c r="E1141" s="2" t="n">
        <f aca="false">'Raw Data'!Q1141</f>
        <v>9</v>
      </c>
      <c r="F1141" s="2" t="n">
        <f aca="false">'Raw Data'!U1141</f>
        <v>3</v>
      </c>
      <c r="G1141" s="2" t="n">
        <f aca="false">'Raw Data'!W1141</f>
        <v>3</v>
      </c>
      <c r="H1141" s="2" t="n">
        <f aca="false">'Raw Data'!V1141</f>
        <v>1</v>
      </c>
      <c r="I1141" s="2" t="n">
        <f aca="false">IF(AND(ISNUMBER(B1141),B1141&lt;=25),2,0)+IF(AND(ISNUMBER(E1141),E1141&lt;=5),2,0)+IF(AND(ISNUMBER(F1141),F1141&lt;=1),2,0)+IF(AND(ISNUMBER(G1141),G1141&lt;=2),1,0)+IF(AND(ISNUMBER(H1141),H1141&lt;=2),1,0)</f>
        <v>1</v>
      </c>
      <c r="J1141" s="2" t="str">
        <f aca="false">IF(I1141&gt;=6,"High",IF(I1141&gt;=3,"Medium","Low"))</f>
        <v>Low</v>
      </c>
    </row>
    <row r="1142" customFormat="false" ht="15" hidden="false" customHeight="true" outlineLevel="0" collapsed="false">
      <c r="A1142" s="2" t="n">
        <f aca="false">'Raw Data'!H1142</f>
        <v>1141</v>
      </c>
      <c r="B1142" s="2" t="n">
        <f aca="false">'Raw Data'!A1142</f>
        <v>33</v>
      </c>
      <c r="C1142" s="2" t="str">
        <f aca="false">'Raw Data'!D1142</f>
        <v>Research &amp; Development</v>
      </c>
      <c r="D1142" s="2" t="str">
        <f aca="false">'Raw Data'!K1142</f>
        <v>Sales Executive</v>
      </c>
      <c r="E1142" s="2" t="n">
        <f aca="false">'Raw Data'!Q1142</f>
        <v>9</v>
      </c>
      <c r="F1142" s="2" t="n">
        <f aca="false">'Raw Data'!U1142</f>
        <v>8</v>
      </c>
      <c r="G1142" s="2" t="n">
        <f aca="false">'Raw Data'!W1142</f>
        <v>3</v>
      </c>
      <c r="H1142" s="2" t="n">
        <f aca="false">'Raw Data'!V1142</f>
        <v>4</v>
      </c>
      <c r="I1142" s="2" t="n">
        <f aca="false">IF(AND(ISNUMBER(B1142),B1142&lt;=25),2,0)+IF(AND(ISNUMBER(E1142),E1142&lt;=5),2,0)+IF(AND(ISNUMBER(F1142),F1142&lt;=1),2,0)+IF(AND(ISNUMBER(G1142),G1142&lt;=2),1,0)+IF(AND(ISNUMBER(H1142),H1142&lt;=2),1,0)</f>
        <v>0</v>
      </c>
      <c r="J1142" s="2" t="str">
        <f aca="false">IF(I1142&gt;=6,"High",IF(I1142&gt;=3,"Medium","Low"))</f>
        <v>Low</v>
      </c>
    </row>
    <row r="1143" customFormat="false" ht="15" hidden="false" customHeight="true" outlineLevel="0" collapsed="false">
      <c r="A1143" s="2" t="n">
        <f aca="false">'Raw Data'!H1143</f>
        <v>1142</v>
      </c>
      <c r="B1143" s="2" t="n">
        <f aca="false">'Raw Data'!A1143</f>
        <v>43</v>
      </c>
      <c r="C1143" s="2" t="str">
        <f aca="false">'Raw Data'!D1143</f>
        <v>Research &amp; Development</v>
      </c>
      <c r="D1143" s="2" t="str">
        <f aca="false">'Raw Data'!K1143</f>
        <v>Research Scientist</v>
      </c>
      <c r="E1143" s="2" t="n">
        <f aca="false">'Raw Data'!Q1143</f>
        <v>10</v>
      </c>
      <c r="F1143" s="2" t="n">
        <f aca="false">'Raw Data'!U1143</f>
        <v>9</v>
      </c>
      <c r="G1143" s="2" t="n">
        <f aca="false">'Raw Data'!W1143</f>
        <v>3</v>
      </c>
      <c r="H1143" s="2" t="n">
        <f aca="false">'Raw Data'!V1143</f>
        <v>1</v>
      </c>
      <c r="I1143" s="2" t="n">
        <f aca="false">IF(AND(ISNUMBER(B1143),B1143&lt;=25),2,0)+IF(AND(ISNUMBER(E1143),E1143&lt;=5),2,0)+IF(AND(ISNUMBER(F1143),F1143&lt;=1),2,0)+IF(AND(ISNUMBER(G1143),G1143&lt;=2),1,0)+IF(AND(ISNUMBER(H1143),H1143&lt;=2),1,0)</f>
        <v>1</v>
      </c>
      <c r="J1143" s="2" t="str">
        <f aca="false">IF(I1143&gt;=6,"High",IF(I1143&gt;=3,"Medium","Low"))</f>
        <v>Low</v>
      </c>
    </row>
    <row r="1144" customFormat="false" ht="15" hidden="false" customHeight="true" outlineLevel="0" collapsed="false">
      <c r="A1144" s="2" t="n">
        <f aca="false">'Raw Data'!H1144</f>
        <v>1143</v>
      </c>
      <c r="B1144" s="2" t="n">
        <f aca="false">'Raw Data'!A1144</f>
        <v>38</v>
      </c>
      <c r="C1144" s="2" t="str">
        <f aca="false">'Raw Data'!D1144</f>
        <v>Research &amp; Development</v>
      </c>
      <c r="D1144" s="2" t="str">
        <f aca="false">'Raw Data'!K1144</f>
        <v>Sales Executive</v>
      </c>
      <c r="E1144" s="2" t="n">
        <f aca="false">'Raw Data'!Q1144</f>
        <v>7</v>
      </c>
      <c r="F1144" s="2" t="n">
        <f aca="false">'Raw Data'!U1144</f>
        <v>2</v>
      </c>
      <c r="G1144" s="2" t="n">
        <f aca="false">'Raw Data'!W1144</f>
        <v>2</v>
      </c>
      <c r="H1144" s="2" t="n">
        <f aca="false">'Raw Data'!V1144</f>
        <v>4</v>
      </c>
      <c r="I1144" s="2" t="n">
        <f aca="false">IF(AND(ISNUMBER(B1144),B1144&lt;=25),2,0)+IF(AND(ISNUMBER(E1144),E1144&lt;=5),2,0)+IF(AND(ISNUMBER(F1144),F1144&lt;=1),2,0)+IF(AND(ISNUMBER(G1144),G1144&lt;=2),1,0)+IF(AND(ISNUMBER(H1144),H1144&lt;=2),1,0)</f>
        <v>1</v>
      </c>
      <c r="J1144" s="2" t="str">
        <f aca="false">IF(I1144&gt;=6,"High",IF(I1144&gt;=3,"Medium","Low"))</f>
        <v>Low</v>
      </c>
    </row>
    <row r="1145" customFormat="false" ht="15" hidden="false" customHeight="true" outlineLevel="0" collapsed="false">
      <c r="A1145" s="2" t="n">
        <f aca="false">'Raw Data'!H1145</f>
        <v>1144</v>
      </c>
      <c r="B1145" s="2" t="n">
        <f aca="false">'Raw Data'!A1145</f>
        <v>55</v>
      </c>
      <c r="C1145" s="2" t="str">
        <f aca="false">'Raw Data'!D1145</f>
        <v>Sales</v>
      </c>
      <c r="D1145" s="2" t="str">
        <f aca="false">'Raw Data'!K1145</f>
        <v>Laboratory Technician</v>
      </c>
      <c r="E1145" s="2" t="n">
        <f aca="false">'Raw Data'!Q1145</f>
        <v>35</v>
      </c>
      <c r="F1145" s="2" t="n">
        <f aca="false">'Raw Data'!U1145</f>
        <v>4</v>
      </c>
      <c r="G1145" s="2" t="n">
        <f aca="false">'Raw Data'!W1145</f>
        <v>2</v>
      </c>
      <c r="H1145" s="2" t="n">
        <f aca="false">'Raw Data'!V1145</f>
        <v>3</v>
      </c>
      <c r="I1145" s="2" t="n">
        <f aca="false">IF(AND(ISNUMBER(B1145),B1145&lt;=25),2,0)+IF(AND(ISNUMBER(E1145),E1145&lt;=5),2,0)+IF(AND(ISNUMBER(F1145),F1145&lt;=1),2,0)+IF(AND(ISNUMBER(G1145),G1145&lt;=2),1,0)+IF(AND(ISNUMBER(H1145),H1145&lt;=2),1,0)</f>
        <v>1</v>
      </c>
      <c r="J1145" s="2" t="str">
        <f aca="false">IF(I1145&gt;=6,"High",IF(I1145&gt;=3,"Medium","Low"))</f>
        <v>Low</v>
      </c>
    </row>
    <row r="1146" customFormat="false" ht="15" hidden="false" customHeight="true" outlineLevel="0" collapsed="false">
      <c r="A1146" s="2" t="n">
        <f aca="false">'Raw Data'!H1146</f>
        <v>1145</v>
      </c>
      <c r="B1146" s="2" t="n">
        <f aca="false">'Raw Data'!A1146</f>
        <v>31</v>
      </c>
      <c r="C1146" s="2" t="str">
        <f aca="false">'Raw Data'!D1146</f>
        <v>Sales</v>
      </c>
      <c r="D1146" s="2" t="str">
        <f aca="false">'Raw Data'!K1146</f>
        <v>Manufacturing Director</v>
      </c>
      <c r="E1146" s="2" t="n">
        <f aca="false">'Raw Data'!Q1146</f>
        <v>1</v>
      </c>
      <c r="F1146" s="2" t="n">
        <f aca="false">'Raw Data'!U1146</f>
        <v>0</v>
      </c>
      <c r="G1146" s="2" t="n">
        <f aca="false">'Raw Data'!W1146</f>
        <v>4</v>
      </c>
      <c r="H1146" s="2" t="n">
        <f aca="false">'Raw Data'!V1146</f>
        <v>4</v>
      </c>
      <c r="I1146" s="2" t="n">
        <f aca="false">IF(AND(ISNUMBER(B1146),B1146&lt;=25),2,0)+IF(AND(ISNUMBER(E1146),E1146&lt;=5),2,0)+IF(AND(ISNUMBER(F1146),F1146&lt;=1),2,0)+IF(AND(ISNUMBER(G1146),G1146&lt;=2),1,0)+IF(AND(ISNUMBER(H1146),H1146&lt;=2),1,0)</f>
        <v>4</v>
      </c>
      <c r="J1146" s="2" t="str">
        <f aca="false">IF(I1146&gt;=6,"High",IF(I1146&gt;=3,"Medium","Low"))</f>
        <v>Medium</v>
      </c>
    </row>
    <row r="1147" customFormat="false" ht="15" hidden="false" customHeight="true" outlineLevel="0" collapsed="false">
      <c r="A1147" s="2" t="n">
        <f aca="false">'Raw Data'!H1147</f>
        <v>1146</v>
      </c>
      <c r="B1147" s="2" t="n">
        <f aca="false">'Raw Data'!A1147</f>
        <v>39</v>
      </c>
      <c r="C1147" s="2" t="str">
        <f aca="false">'Raw Data'!D1147</f>
        <v>Research &amp; Development</v>
      </c>
      <c r="D1147" s="2" t="str">
        <f aca="false">'Raw Data'!K1147</f>
        <v>Sales Executive</v>
      </c>
      <c r="E1147" s="2" t="n">
        <f aca="false">'Raw Data'!Q1147</f>
        <v>21</v>
      </c>
      <c r="F1147" s="2" t="n">
        <f aca="false">'Raw Data'!U1147</f>
        <v>10</v>
      </c>
      <c r="G1147" s="2" t="n">
        <f aca="false">'Raw Data'!W1147</f>
        <v>1</v>
      </c>
      <c r="H1147" s="2" t="n">
        <f aca="false">'Raw Data'!V1147</f>
        <v>2</v>
      </c>
      <c r="I1147" s="2" t="n">
        <f aca="false">IF(AND(ISNUMBER(B1147),B1147&lt;=25),2,0)+IF(AND(ISNUMBER(E1147),E1147&lt;=5),2,0)+IF(AND(ISNUMBER(F1147),F1147&lt;=1),2,0)+IF(AND(ISNUMBER(G1147),G1147&lt;=2),1,0)+IF(AND(ISNUMBER(H1147),H1147&lt;=2),1,0)</f>
        <v>2</v>
      </c>
      <c r="J1147" s="2" t="str">
        <f aca="false">IF(I1147&gt;=6,"High",IF(I1147&gt;=3,"Medium","Low"))</f>
        <v>Low</v>
      </c>
    </row>
    <row r="1148" customFormat="false" ht="15" hidden="false" customHeight="true" outlineLevel="0" collapsed="false">
      <c r="A1148" s="2" t="n">
        <f aca="false">'Raw Data'!H1148</f>
        <v>1147</v>
      </c>
      <c r="B1148" s="2" t="n">
        <f aca="false">'Raw Data'!A1148</f>
        <v>42</v>
      </c>
      <c r="C1148" s="2" t="str">
        <f aca="false">'Raw Data'!D1148</f>
        <v>Research &amp; Development</v>
      </c>
      <c r="D1148" s="2" t="str">
        <f aca="false">'Raw Data'!K1148</f>
        <v>Research Scientist</v>
      </c>
      <c r="E1148" s="2" t="n">
        <f aca="false">'Raw Data'!Q1148</f>
        <v>20</v>
      </c>
      <c r="F1148" s="2" t="n">
        <f aca="false">'Raw Data'!U1148</f>
        <v>7</v>
      </c>
      <c r="G1148" s="2" t="n">
        <f aca="false">'Raw Data'!W1148</f>
        <v>3</v>
      </c>
      <c r="H1148" s="2" t="n">
        <f aca="false">'Raw Data'!V1148</f>
        <v>4</v>
      </c>
      <c r="I1148" s="2" t="n">
        <f aca="false">IF(AND(ISNUMBER(B1148),B1148&lt;=25),2,0)+IF(AND(ISNUMBER(E1148),E1148&lt;=5),2,0)+IF(AND(ISNUMBER(F1148),F1148&lt;=1),2,0)+IF(AND(ISNUMBER(G1148),G1148&lt;=2),1,0)+IF(AND(ISNUMBER(H1148),H1148&lt;=2),1,0)</f>
        <v>0</v>
      </c>
      <c r="J1148" s="2" t="str">
        <f aca="false">IF(I1148&gt;=6,"High",IF(I1148&gt;=3,"Medium","Low"))</f>
        <v>Low</v>
      </c>
    </row>
    <row r="1149" customFormat="false" ht="15" hidden="false" customHeight="true" outlineLevel="0" collapsed="false">
      <c r="A1149" s="2" t="n">
        <f aca="false">'Raw Data'!H1149</f>
        <v>1148</v>
      </c>
      <c r="B1149" s="2" t="n">
        <f aca="false">'Raw Data'!A1149</f>
        <v>31</v>
      </c>
      <c r="C1149" s="2" t="str">
        <f aca="false">'Raw Data'!D1149</f>
        <v>Research &amp; Development</v>
      </c>
      <c r="D1149" s="2" t="str">
        <f aca="false">'Raw Data'!K1149</f>
        <v>Healthcare Representative</v>
      </c>
      <c r="E1149" s="2" t="n">
        <f aca="false">'Raw Data'!Q1149</f>
        <v>13</v>
      </c>
      <c r="F1149" s="2" t="n">
        <f aca="false">'Raw Data'!U1149</f>
        <v>8</v>
      </c>
      <c r="G1149" s="2" t="n">
        <f aca="false">'Raw Data'!W1149</f>
        <v>3</v>
      </c>
      <c r="H1149" s="2" t="n">
        <f aca="false">'Raw Data'!V1149</f>
        <v>3</v>
      </c>
      <c r="I1149" s="2" t="n">
        <f aca="false">IF(AND(ISNUMBER(B1149),B1149&lt;=25),2,0)+IF(AND(ISNUMBER(E1149),E1149&lt;=5),2,0)+IF(AND(ISNUMBER(F1149),F1149&lt;=1),2,0)+IF(AND(ISNUMBER(G1149),G1149&lt;=2),1,0)+IF(AND(ISNUMBER(H1149),H1149&lt;=2),1,0)</f>
        <v>0</v>
      </c>
      <c r="J1149" s="2" t="str">
        <f aca="false">IF(I1149&gt;=6,"High",IF(I1149&gt;=3,"Medium","Low"))</f>
        <v>Low</v>
      </c>
    </row>
    <row r="1150" customFormat="false" ht="15" hidden="false" customHeight="true" outlineLevel="0" collapsed="false">
      <c r="A1150" s="2" t="n">
        <f aca="false">'Raw Data'!H1150</f>
        <v>1149</v>
      </c>
      <c r="B1150" s="2" t="n">
        <f aca="false">'Raw Data'!A1150</f>
        <v>54</v>
      </c>
      <c r="C1150" s="2" t="str">
        <f aca="false">'Raw Data'!D1150</f>
        <v>Research &amp; Development</v>
      </c>
      <c r="D1150" s="2" t="str">
        <f aca="false">'Raw Data'!K1150</f>
        <v>Human Resources</v>
      </c>
      <c r="E1150" s="2" t="n">
        <f aca="false">'Raw Data'!Q1150</f>
        <v>9</v>
      </c>
      <c r="F1150" s="2" t="n">
        <f aca="false">'Raw Data'!U1150</f>
        <v>4</v>
      </c>
      <c r="G1150" s="2" t="n">
        <f aca="false">'Raw Data'!W1150</f>
        <v>1</v>
      </c>
      <c r="H1150" s="2" t="n">
        <f aca="false">'Raw Data'!V1150</f>
        <v>3</v>
      </c>
      <c r="I1150" s="2" t="n">
        <f aca="false">IF(AND(ISNUMBER(B1150),B1150&lt;=25),2,0)+IF(AND(ISNUMBER(E1150),E1150&lt;=5),2,0)+IF(AND(ISNUMBER(F1150),F1150&lt;=1),2,0)+IF(AND(ISNUMBER(G1150),G1150&lt;=2),1,0)+IF(AND(ISNUMBER(H1150),H1150&lt;=2),1,0)</f>
        <v>1</v>
      </c>
      <c r="J1150" s="2" t="str">
        <f aca="false">IF(I1150&gt;=6,"High",IF(I1150&gt;=3,"Medium","Low"))</f>
        <v>Low</v>
      </c>
    </row>
    <row r="1151" customFormat="false" ht="15" hidden="false" customHeight="true" outlineLevel="0" collapsed="false">
      <c r="A1151" s="2" t="n">
        <f aca="false">'Raw Data'!H1151</f>
        <v>1150</v>
      </c>
      <c r="B1151" s="2" t="n">
        <f aca="false">'Raw Data'!A1151</f>
        <v>24</v>
      </c>
      <c r="C1151" s="2" t="str">
        <f aca="false">'Raw Data'!D1151</f>
        <v>Research &amp; Development</v>
      </c>
      <c r="D1151" s="2" t="str">
        <f aca="false">'Raw Data'!K1151</f>
        <v>Manufacturing Director</v>
      </c>
      <c r="E1151" s="2" t="n">
        <f aca="false">'Raw Data'!Q1151</f>
        <v>4</v>
      </c>
      <c r="F1151" s="2" t="n">
        <f aca="false">'Raw Data'!U1151</f>
        <v>2</v>
      </c>
      <c r="G1151" s="2" t="n">
        <f aca="false">'Raw Data'!W1151</f>
        <v>3</v>
      </c>
      <c r="H1151" s="2" t="n">
        <f aca="false">'Raw Data'!V1151</f>
        <v>2</v>
      </c>
      <c r="I1151" s="2" t="n">
        <f aca="false">IF(AND(ISNUMBER(B1151),B1151&lt;=25),2,0)+IF(AND(ISNUMBER(E1151),E1151&lt;=5),2,0)+IF(AND(ISNUMBER(F1151),F1151&lt;=1),2,0)+IF(AND(ISNUMBER(G1151),G1151&lt;=2),1,0)+IF(AND(ISNUMBER(H1151),H1151&lt;=2),1,0)</f>
        <v>5</v>
      </c>
      <c r="J1151" s="2" t="str">
        <f aca="false">IF(I1151&gt;=6,"High",IF(I1151&gt;=3,"Medium","Low"))</f>
        <v>Medium</v>
      </c>
    </row>
    <row r="1152" customFormat="false" ht="15" hidden="false" customHeight="true" outlineLevel="0" collapsed="false">
      <c r="A1152" s="2" t="n">
        <f aca="false">'Raw Data'!H1152</f>
        <v>1151</v>
      </c>
      <c r="B1152" s="2" t="n">
        <f aca="false">'Raw Data'!A1152</f>
        <v>23</v>
      </c>
      <c r="C1152" s="2" t="str">
        <f aca="false">'Raw Data'!D1152</f>
        <v>Research &amp; Development</v>
      </c>
      <c r="D1152" s="2" t="str">
        <f aca="false">'Raw Data'!K1152</f>
        <v>Research Scientist</v>
      </c>
      <c r="E1152" s="2" t="n">
        <f aca="false">'Raw Data'!Q1152</f>
        <v>5</v>
      </c>
      <c r="F1152" s="2" t="n">
        <f aca="false">'Raw Data'!U1152</f>
        <v>4</v>
      </c>
      <c r="G1152" s="2" t="n">
        <f aca="false">'Raw Data'!W1152</f>
        <v>4</v>
      </c>
      <c r="H1152" s="2" t="n">
        <f aca="false">'Raw Data'!V1152</f>
        <v>4</v>
      </c>
      <c r="I1152" s="2" t="n">
        <f aca="false">IF(AND(ISNUMBER(B1152),B1152&lt;=25),2,0)+IF(AND(ISNUMBER(E1152),E1152&lt;=5),2,0)+IF(AND(ISNUMBER(F1152),F1152&lt;=1),2,0)+IF(AND(ISNUMBER(G1152),G1152&lt;=2),1,0)+IF(AND(ISNUMBER(H1152),H1152&lt;=2),1,0)</f>
        <v>4</v>
      </c>
      <c r="J1152" s="2" t="str">
        <f aca="false">IF(I1152&gt;=6,"High",IF(I1152&gt;=3,"Medium","Low"))</f>
        <v>Medium</v>
      </c>
    </row>
    <row r="1153" customFormat="false" ht="15" hidden="false" customHeight="true" outlineLevel="0" collapsed="false">
      <c r="A1153" s="2" t="n">
        <f aca="false">'Raw Data'!H1153</f>
        <v>1152</v>
      </c>
      <c r="B1153" s="2" t="n">
        <f aca="false">'Raw Data'!A1153</f>
        <v>40</v>
      </c>
      <c r="C1153" s="2" t="str">
        <f aca="false">'Raw Data'!D1153</f>
        <v>Research &amp; Development</v>
      </c>
      <c r="D1153" s="2" t="str">
        <f aca="false">'Raw Data'!K1153</f>
        <v>Research Scientist</v>
      </c>
      <c r="E1153" s="2" t="n">
        <f aca="false">'Raw Data'!Q1153</f>
        <v>10</v>
      </c>
      <c r="F1153" s="2" t="n">
        <f aca="false">'Raw Data'!U1153</f>
        <v>4</v>
      </c>
      <c r="G1153" s="2" t="n">
        <f aca="false">'Raw Data'!W1153</f>
        <v>3</v>
      </c>
      <c r="H1153" s="2" t="n">
        <f aca="false">'Raw Data'!V1153</f>
        <v>4</v>
      </c>
      <c r="I1153" s="2" t="n">
        <f aca="false">IF(AND(ISNUMBER(B1153),B1153&lt;=25),2,0)+IF(AND(ISNUMBER(E1153),E1153&lt;=5),2,0)+IF(AND(ISNUMBER(F1153),F1153&lt;=1),2,0)+IF(AND(ISNUMBER(G1153),G1153&lt;=2),1,0)+IF(AND(ISNUMBER(H1153),H1153&lt;=2),1,0)</f>
        <v>0</v>
      </c>
      <c r="J1153" s="2" t="str">
        <f aca="false">IF(I1153&gt;=6,"High",IF(I1153&gt;=3,"Medium","Low"))</f>
        <v>Low</v>
      </c>
    </row>
    <row r="1154" customFormat="false" ht="15" hidden="false" customHeight="true" outlineLevel="0" collapsed="false">
      <c r="A1154" s="2" t="n">
        <f aca="false">'Raw Data'!H1154</f>
        <v>1153</v>
      </c>
      <c r="B1154" s="2" t="n">
        <f aca="false">'Raw Data'!A1154</f>
        <v>40</v>
      </c>
      <c r="C1154" s="2" t="str">
        <f aca="false">'Raw Data'!D1154</f>
        <v>Research &amp; Development</v>
      </c>
      <c r="D1154" s="2" t="str">
        <f aca="false">'Raw Data'!K1154</f>
        <v>Research Scientist</v>
      </c>
      <c r="E1154" s="2" t="n">
        <f aca="false">'Raw Data'!Q1154</f>
        <v>15</v>
      </c>
      <c r="F1154" s="2" t="n">
        <f aca="false">'Raw Data'!U1154</f>
        <v>10</v>
      </c>
      <c r="G1154" s="2" t="n">
        <f aca="false">'Raw Data'!W1154</f>
        <v>2</v>
      </c>
      <c r="H1154" s="2" t="n">
        <f aca="false">'Raw Data'!V1154</f>
        <v>2</v>
      </c>
      <c r="I1154" s="2" t="n">
        <f aca="false">IF(AND(ISNUMBER(B1154),B1154&lt;=25),2,0)+IF(AND(ISNUMBER(E1154),E1154&lt;=5),2,0)+IF(AND(ISNUMBER(F1154),F1154&lt;=1),2,0)+IF(AND(ISNUMBER(G1154),G1154&lt;=2),1,0)+IF(AND(ISNUMBER(H1154),H1154&lt;=2),1,0)</f>
        <v>2</v>
      </c>
      <c r="J1154" s="2" t="str">
        <f aca="false">IF(I1154&gt;=6,"High",IF(I1154&gt;=3,"Medium","Low"))</f>
        <v>Low</v>
      </c>
    </row>
    <row r="1155" customFormat="false" ht="15" hidden="false" customHeight="true" outlineLevel="0" collapsed="false">
      <c r="A1155" s="2" t="n">
        <f aca="false">'Raw Data'!H1155</f>
        <v>1154</v>
      </c>
      <c r="B1155" s="2" t="n">
        <f aca="false">'Raw Data'!A1155</f>
        <v>25</v>
      </c>
      <c r="C1155" s="2" t="str">
        <f aca="false">'Raw Data'!D1155</f>
        <v>Sales</v>
      </c>
      <c r="D1155" s="2" t="str">
        <f aca="false">'Raw Data'!K1155</f>
        <v>Laboratory Technician</v>
      </c>
      <c r="E1155" s="2" t="n">
        <f aca="false">'Raw Data'!Q1155</f>
        <v>6</v>
      </c>
      <c r="F1155" s="2" t="n">
        <f aca="false">'Raw Data'!U1155</f>
        <v>2</v>
      </c>
      <c r="G1155" s="2" t="n">
        <f aca="false">'Raw Data'!W1155</f>
        <v>2</v>
      </c>
      <c r="H1155" s="2" t="n">
        <f aca="false">'Raw Data'!V1155</f>
        <v>3</v>
      </c>
      <c r="I1155" s="2" t="n">
        <f aca="false">IF(AND(ISNUMBER(B1155),B1155&lt;=25),2,0)+IF(AND(ISNUMBER(E1155),E1155&lt;=5),2,0)+IF(AND(ISNUMBER(F1155),F1155&lt;=1),2,0)+IF(AND(ISNUMBER(G1155),G1155&lt;=2),1,0)+IF(AND(ISNUMBER(H1155),H1155&lt;=2),1,0)</f>
        <v>3</v>
      </c>
      <c r="J1155" s="2" t="str">
        <f aca="false">IF(I1155&gt;=6,"High",IF(I1155&gt;=3,"Medium","Low"))</f>
        <v>Medium</v>
      </c>
    </row>
    <row r="1156" customFormat="false" ht="15" hidden="false" customHeight="true" outlineLevel="0" collapsed="false">
      <c r="A1156" s="2" t="n">
        <f aca="false">'Raw Data'!H1156</f>
        <v>1155</v>
      </c>
      <c r="B1156" s="2" t="n">
        <f aca="false">'Raw Data'!A1156</f>
        <v>30</v>
      </c>
      <c r="C1156" s="2" t="str">
        <f aca="false">'Raw Data'!D1156</f>
        <v>Human Resources</v>
      </c>
      <c r="D1156" s="2" t="str">
        <f aca="false">'Raw Data'!K1156</f>
        <v>Research Scientist</v>
      </c>
      <c r="E1156" s="2" t="n">
        <f aca="false">'Raw Data'!Q1156</f>
        <v>12</v>
      </c>
      <c r="F1156" s="2" t="n">
        <f aca="false">'Raw Data'!U1156</f>
        <v>7</v>
      </c>
      <c r="G1156" s="2" t="n">
        <f aca="false">'Raw Data'!W1156</f>
        <v>2</v>
      </c>
      <c r="H1156" s="2" t="n">
        <f aca="false">'Raw Data'!V1156</f>
        <v>4</v>
      </c>
      <c r="I1156" s="2" t="n">
        <f aca="false">IF(AND(ISNUMBER(B1156),B1156&lt;=25),2,0)+IF(AND(ISNUMBER(E1156),E1156&lt;=5),2,0)+IF(AND(ISNUMBER(F1156),F1156&lt;=1),2,0)+IF(AND(ISNUMBER(G1156),G1156&lt;=2),1,0)+IF(AND(ISNUMBER(H1156),H1156&lt;=2),1,0)</f>
        <v>1</v>
      </c>
      <c r="J1156" s="2" t="str">
        <f aca="false">IF(I1156&gt;=6,"High",IF(I1156&gt;=3,"Medium","Low"))</f>
        <v>Low</v>
      </c>
    </row>
    <row r="1157" customFormat="false" ht="15" hidden="false" customHeight="true" outlineLevel="0" collapsed="false">
      <c r="A1157" s="2" t="n">
        <f aca="false">'Raw Data'!H1157</f>
        <v>1156</v>
      </c>
      <c r="B1157" s="2" t="n">
        <f aca="false">'Raw Data'!A1157</f>
        <v>25</v>
      </c>
      <c r="C1157" s="2" t="str">
        <f aca="false">'Raw Data'!D1157</f>
        <v>Research &amp; Development</v>
      </c>
      <c r="D1157" s="2" t="str">
        <f aca="false">'Raw Data'!K1157</f>
        <v>Sales Executive</v>
      </c>
      <c r="E1157" s="2" t="n">
        <f aca="false">'Raw Data'!Q1157</f>
        <v>7</v>
      </c>
      <c r="F1157" s="2" t="n">
        <f aca="false">'Raw Data'!U1157</f>
        <v>2</v>
      </c>
      <c r="G1157" s="2" t="n">
        <f aca="false">'Raw Data'!W1157</f>
        <v>3</v>
      </c>
      <c r="H1157" s="2" t="n">
        <f aca="false">'Raw Data'!V1157</f>
        <v>4</v>
      </c>
      <c r="I1157" s="2" t="n">
        <f aca="false">IF(AND(ISNUMBER(B1157),B1157&lt;=25),2,0)+IF(AND(ISNUMBER(E1157),E1157&lt;=5),2,0)+IF(AND(ISNUMBER(F1157),F1157&lt;=1),2,0)+IF(AND(ISNUMBER(G1157),G1157&lt;=2),1,0)+IF(AND(ISNUMBER(H1157),H1157&lt;=2),1,0)</f>
        <v>2</v>
      </c>
      <c r="J1157" s="2" t="str">
        <f aca="false">IF(I1157&gt;=6,"High",IF(I1157&gt;=3,"Medium","Low"))</f>
        <v>Low</v>
      </c>
    </row>
    <row r="1158" customFormat="false" ht="15" hidden="false" customHeight="true" outlineLevel="0" collapsed="false">
      <c r="A1158" s="2" t="n">
        <f aca="false">'Raw Data'!H1158</f>
        <v>1157</v>
      </c>
      <c r="B1158" s="2" t="n">
        <f aca="false">'Raw Data'!A1158</f>
        <v>47</v>
      </c>
      <c r="C1158" s="2" t="str">
        <f aca="false">'Raw Data'!D1158</f>
        <v>Research &amp; Development</v>
      </c>
      <c r="D1158" s="2" t="str">
        <f aca="false">'Raw Data'!K1158</f>
        <v>Sales Executive</v>
      </c>
      <c r="E1158" s="2" t="n">
        <f aca="false">'Raw Data'!Q1158</f>
        <v>25</v>
      </c>
      <c r="F1158" s="2" t="n">
        <f aca="false">'Raw Data'!U1158</f>
        <v>11</v>
      </c>
      <c r="G1158" s="2" t="n">
        <f aca="false">'Raw Data'!W1158</f>
        <v>3</v>
      </c>
      <c r="H1158" s="2" t="n">
        <f aca="false">'Raw Data'!V1158</f>
        <v>1</v>
      </c>
      <c r="I1158" s="2" t="n">
        <f aca="false">IF(AND(ISNUMBER(B1158),B1158&lt;=25),2,0)+IF(AND(ISNUMBER(E1158),E1158&lt;=5),2,0)+IF(AND(ISNUMBER(F1158),F1158&lt;=1),2,0)+IF(AND(ISNUMBER(G1158),G1158&lt;=2),1,0)+IF(AND(ISNUMBER(H1158),H1158&lt;=2),1,0)</f>
        <v>1</v>
      </c>
      <c r="J1158" s="2" t="str">
        <f aca="false">IF(I1158&gt;=6,"High",IF(I1158&gt;=3,"Medium","Low"))</f>
        <v>Low</v>
      </c>
    </row>
    <row r="1159" customFormat="false" ht="15" hidden="false" customHeight="true" outlineLevel="0" collapsed="false">
      <c r="A1159" s="2" t="n">
        <f aca="false">'Raw Data'!H1159</f>
        <v>1158</v>
      </c>
      <c r="B1159" s="2" t="n">
        <f aca="false">'Raw Data'!A1159</f>
        <v>33</v>
      </c>
      <c r="C1159" s="2" t="str">
        <f aca="false">'Raw Data'!D1159</f>
        <v>Research &amp; Development</v>
      </c>
      <c r="D1159" s="2" t="str">
        <f aca="false">'Raw Data'!K1159</f>
        <v>Research Scientist</v>
      </c>
      <c r="E1159" s="2" t="n">
        <f aca="false">'Raw Data'!Q1159</f>
        <v>1</v>
      </c>
      <c r="F1159" s="2" t="n">
        <f aca="false">'Raw Data'!U1159</f>
        <v>0</v>
      </c>
      <c r="G1159" s="2" t="n">
        <f aca="false">'Raw Data'!W1159</f>
        <v>3</v>
      </c>
      <c r="H1159" s="2" t="n">
        <f aca="false">'Raw Data'!V1159</f>
        <v>2</v>
      </c>
      <c r="I1159" s="2" t="n">
        <f aca="false">IF(AND(ISNUMBER(B1159),B1159&lt;=25),2,0)+IF(AND(ISNUMBER(E1159),E1159&lt;=5),2,0)+IF(AND(ISNUMBER(F1159),F1159&lt;=1),2,0)+IF(AND(ISNUMBER(G1159),G1159&lt;=2),1,0)+IF(AND(ISNUMBER(H1159),H1159&lt;=2),1,0)</f>
        <v>5</v>
      </c>
      <c r="J1159" s="2" t="str">
        <f aca="false">IF(I1159&gt;=6,"High",IF(I1159&gt;=3,"Medium","Low"))</f>
        <v>Medium</v>
      </c>
    </row>
    <row r="1160" customFormat="false" ht="15" hidden="false" customHeight="true" outlineLevel="0" collapsed="false">
      <c r="A1160" s="2" t="n">
        <f aca="false">'Raw Data'!H1160</f>
        <v>1159</v>
      </c>
      <c r="B1160" s="2" t="n">
        <f aca="false">'Raw Data'!A1160</f>
        <v>38</v>
      </c>
      <c r="C1160" s="2" t="str">
        <f aca="false">'Raw Data'!D1160</f>
        <v>Research &amp; Development</v>
      </c>
      <c r="D1160" s="2" t="str">
        <f aca="false">'Raw Data'!K1160</f>
        <v>Sales Executive</v>
      </c>
      <c r="E1160" s="2" t="n">
        <f aca="false">'Raw Data'!Q1160</f>
        <v>16</v>
      </c>
      <c r="F1160" s="2" t="n">
        <f aca="false">'Raw Data'!U1160</f>
        <v>8</v>
      </c>
      <c r="G1160" s="2" t="n">
        <f aca="false">'Raw Data'!W1160</f>
        <v>2</v>
      </c>
      <c r="H1160" s="2" t="n">
        <f aca="false">'Raw Data'!V1160</f>
        <v>4</v>
      </c>
      <c r="I1160" s="2" t="n">
        <f aca="false">IF(AND(ISNUMBER(B1160),B1160&lt;=25),2,0)+IF(AND(ISNUMBER(E1160),E1160&lt;=5),2,0)+IF(AND(ISNUMBER(F1160),F1160&lt;=1),2,0)+IF(AND(ISNUMBER(G1160),G1160&lt;=2),1,0)+IF(AND(ISNUMBER(H1160),H1160&lt;=2),1,0)</f>
        <v>1</v>
      </c>
      <c r="J1160" s="2" t="str">
        <f aca="false">IF(I1160&gt;=6,"High",IF(I1160&gt;=3,"Medium","Low"))</f>
        <v>Low</v>
      </c>
    </row>
    <row r="1161" customFormat="false" ht="15" hidden="false" customHeight="true" outlineLevel="0" collapsed="false">
      <c r="A1161" s="2" t="n">
        <f aca="false">'Raw Data'!H1161</f>
        <v>1160</v>
      </c>
      <c r="B1161" s="2" t="n">
        <f aca="false">'Raw Data'!A1161</f>
        <v>31</v>
      </c>
      <c r="C1161" s="2" t="str">
        <f aca="false">'Raw Data'!D1161</f>
        <v>Research &amp; Development</v>
      </c>
      <c r="D1161" s="2" t="str">
        <f aca="false">'Raw Data'!K1161</f>
        <v>Sales Executive</v>
      </c>
      <c r="E1161" s="2" t="n">
        <f aca="false">'Raw Data'!Q1161</f>
        <v>3</v>
      </c>
      <c r="F1161" s="2" t="n">
        <f aca="false">'Raw Data'!U1161</f>
        <v>2</v>
      </c>
      <c r="G1161" s="2" t="n">
        <f aca="false">'Raw Data'!W1161</f>
        <v>3</v>
      </c>
      <c r="H1161" s="2" t="n">
        <f aca="false">'Raw Data'!V1161</f>
        <v>1</v>
      </c>
      <c r="I1161" s="2" t="n">
        <f aca="false">IF(AND(ISNUMBER(B1161),B1161&lt;=25),2,0)+IF(AND(ISNUMBER(E1161),E1161&lt;=5),2,0)+IF(AND(ISNUMBER(F1161),F1161&lt;=1),2,0)+IF(AND(ISNUMBER(G1161),G1161&lt;=2),1,0)+IF(AND(ISNUMBER(H1161),H1161&lt;=2),1,0)</f>
        <v>3</v>
      </c>
      <c r="J1161" s="2" t="str">
        <f aca="false">IF(I1161&gt;=6,"High",IF(I1161&gt;=3,"Medium","Low"))</f>
        <v>Medium</v>
      </c>
    </row>
    <row r="1162" customFormat="false" ht="15" hidden="false" customHeight="true" outlineLevel="0" collapsed="false">
      <c r="A1162" s="2" t="n">
        <f aca="false">'Raw Data'!H1162</f>
        <v>1161</v>
      </c>
      <c r="B1162" s="2" t="n">
        <f aca="false">'Raw Data'!A1162</f>
        <v>38</v>
      </c>
      <c r="C1162" s="2" t="str">
        <f aca="false">'Raw Data'!D1162</f>
        <v>Research &amp; Development</v>
      </c>
      <c r="D1162" s="2" t="str">
        <f aca="false">'Raw Data'!K1162</f>
        <v>Research Scientist</v>
      </c>
      <c r="E1162" s="2" t="n">
        <f aca="false">'Raw Data'!Q1162</f>
        <v>10</v>
      </c>
      <c r="F1162" s="2" t="n">
        <f aca="false">'Raw Data'!U1162</f>
        <v>7</v>
      </c>
      <c r="G1162" s="2" t="n">
        <f aca="false">'Raw Data'!W1162</f>
        <v>3</v>
      </c>
      <c r="H1162" s="2" t="n">
        <f aca="false">'Raw Data'!V1162</f>
        <v>1</v>
      </c>
      <c r="I1162" s="2" t="n">
        <f aca="false">IF(AND(ISNUMBER(B1162),B1162&lt;=25),2,0)+IF(AND(ISNUMBER(E1162),E1162&lt;=5),2,0)+IF(AND(ISNUMBER(F1162),F1162&lt;=1),2,0)+IF(AND(ISNUMBER(G1162),G1162&lt;=2),1,0)+IF(AND(ISNUMBER(H1162),H1162&lt;=2),1,0)</f>
        <v>1</v>
      </c>
      <c r="J1162" s="2" t="str">
        <f aca="false">IF(I1162&gt;=6,"High",IF(I1162&gt;=3,"Medium","Low"))</f>
        <v>Low</v>
      </c>
    </row>
    <row r="1163" customFormat="false" ht="15" hidden="false" customHeight="true" outlineLevel="0" collapsed="false">
      <c r="A1163" s="2" t="n">
        <f aca="false">'Raw Data'!H1163</f>
        <v>1162</v>
      </c>
      <c r="B1163" s="2" t="n">
        <f aca="false">'Raw Data'!A1163</f>
        <v>42</v>
      </c>
      <c r="C1163" s="2" t="str">
        <f aca="false">'Raw Data'!D1163</f>
        <v>Research &amp; Development</v>
      </c>
      <c r="D1163" s="2" t="str">
        <f aca="false">'Raw Data'!K1163</f>
        <v>Laboratory Technician</v>
      </c>
      <c r="E1163" s="2" t="n">
        <f aca="false">'Raw Data'!Q1163</f>
        <v>9</v>
      </c>
      <c r="F1163" s="2" t="n">
        <f aca="false">'Raw Data'!U1163</f>
        <v>2</v>
      </c>
      <c r="G1163" s="2" t="n">
        <f aca="false">'Raw Data'!W1163</f>
        <v>1</v>
      </c>
      <c r="H1163" s="2" t="n">
        <f aca="false">'Raw Data'!V1163</f>
        <v>4</v>
      </c>
      <c r="I1163" s="2" t="n">
        <f aca="false">IF(AND(ISNUMBER(B1163),B1163&lt;=25),2,0)+IF(AND(ISNUMBER(E1163),E1163&lt;=5),2,0)+IF(AND(ISNUMBER(F1163),F1163&lt;=1),2,0)+IF(AND(ISNUMBER(G1163),G1163&lt;=2),1,0)+IF(AND(ISNUMBER(H1163),H1163&lt;=2),1,0)</f>
        <v>1</v>
      </c>
      <c r="J1163" s="2" t="str">
        <f aca="false">IF(I1163&gt;=6,"High",IF(I1163&gt;=3,"Medium","Low"))</f>
        <v>Low</v>
      </c>
    </row>
    <row r="1164" customFormat="false" ht="15" hidden="false" customHeight="true" outlineLevel="0" collapsed="false">
      <c r="A1164" s="2" t="n">
        <f aca="false">'Raw Data'!H1164</f>
        <v>1163</v>
      </c>
      <c r="B1164" s="2" t="n">
        <f aca="false">'Raw Data'!A1164</f>
        <v>41</v>
      </c>
      <c r="C1164" s="2" t="str">
        <f aca="false">'Raw Data'!D1164</f>
        <v>Sales</v>
      </c>
      <c r="D1164" s="2" t="str">
        <f aca="false">'Raw Data'!K1164</f>
        <v>Healthcare Representative</v>
      </c>
      <c r="E1164" s="2" t="n">
        <f aca="false">'Raw Data'!Q1164</f>
        <v>12</v>
      </c>
      <c r="F1164" s="2" t="n">
        <f aca="false">'Raw Data'!U1164</f>
        <v>0</v>
      </c>
      <c r="G1164" s="2" t="n">
        <f aca="false">'Raw Data'!W1164</f>
        <v>4</v>
      </c>
      <c r="H1164" s="2" t="n">
        <f aca="false">'Raw Data'!V1164</f>
        <v>4</v>
      </c>
      <c r="I1164" s="2" t="n">
        <f aca="false">IF(AND(ISNUMBER(B1164),B1164&lt;=25),2,0)+IF(AND(ISNUMBER(E1164),E1164&lt;=5),2,0)+IF(AND(ISNUMBER(F1164),F1164&lt;=1),2,0)+IF(AND(ISNUMBER(G1164),G1164&lt;=2),1,0)+IF(AND(ISNUMBER(H1164),H1164&lt;=2),1,0)</f>
        <v>2</v>
      </c>
      <c r="J1164" s="2" t="str">
        <f aca="false">IF(I1164&gt;=6,"High",IF(I1164&gt;=3,"Medium","Low"))</f>
        <v>Low</v>
      </c>
    </row>
    <row r="1165" customFormat="false" ht="15" hidden="false" customHeight="true" outlineLevel="0" collapsed="false">
      <c r="A1165" s="2" t="n">
        <f aca="false">'Raw Data'!H1165</f>
        <v>1164</v>
      </c>
      <c r="B1165" s="2" t="n">
        <f aca="false">'Raw Data'!A1165</f>
        <v>47</v>
      </c>
      <c r="C1165" s="2" t="str">
        <f aca="false">'Raw Data'!D1165</f>
        <v>Research &amp; Development</v>
      </c>
      <c r="D1165" s="2" t="str">
        <f aca="false">'Raw Data'!K1165</f>
        <v>Sales Executive</v>
      </c>
      <c r="E1165" s="2" t="n">
        <f aca="false">'Raw Data'!Q1165</f>
        <v>14</v>
      </c>
      <c r="F1165" s="2" t="n">
        <f aca="false">'Raw Data'!U1165</f>
        <v>12</v>
      </c>
      <c r="G1165" s="2" t="n">
        <f aca="false">'Raw Data'!W1165</f>
        <v>2</v>
      </c>
      <c r="H1165" s="2" t="n">
        <f aca="false">'Raw Data'!V1165</f>
        <v>3</v>
      </c>
      <c r="I1165" s="2" t="n">
        <f aca="false">IF(AND(ISNUMBER(B1165),B1165&lt;=25),2,0)+IF(AND(ISNUMBER(E1165),E1165&lt;=5),2,0)+IF(AND(ISNUMBER(F1165),F1165&lt;=1),2,0)+IF(AND(ISNUMBER(G1165),G1165&lt;=2),1,0)+IF(AND(ISNUMBER(H1165),H1165&lt;=2),1,0)</f>
        <v>1</v>
      </c>
      <c r="J1165" s="2" t="str">
        <f aca="false">IF(I1165&gt;=6,"High",IF(I1165&gt;=3,"Medium","Low"))</f>
        <v>Low</v>
      </c>
    </row>
    <row r="1166" customFormat="false" ht="15" hidden="false" customHeight="true" outlineLevel="0" collapsed="false">
      <c r="A1166" s="2" t="n">
        <f aca="false">'Raw Data'!H1166</f>
        <v>1165</v>
      </c>
      <c r="B1166" s="2" t="n">
        <f aca="false">'Raw Data'!A1166</f>
        <v>35</v>
      </c>
      <c r="C1166" s="2" t="str">
        <f aca="false">'Raw Data'!D1166</f>
        <v>Research &amp; Development</v>
      </c>
      <c r="D1166" s="2" t="str">
        <f aca="false">'Raw Data'!K1166</f>
        <v>Healthcare Representative</v>
      </c>
      <c r="E1166" s="2" t="n">
        <f aca="false">'Raw Data'!Q1166</f>
        <v>5</v>
      </c>
      <c r="F1166" s="2" t="n">
        <f aca="false">'Raw Data'!U1166</f>
        <v>2</v>
      </c>
      <c r="G1166" s="2" t="n">
        <f aca="false">'Raw Data'!W1166</f>
        <v>3</v>
      </c>
      <c r="H1166" s="2" t="n">
        <f aca="false">'Raw Data'!V1166</f>
        <v>4</v>
      </c>
      <c r="I1166" s="2" t="n">
        <f aca="false">IF(AND(ISNUMBER(B1166),B1166&lt;=25),2,0)+IF(AND(ISNUMBER(E1166),E1166&lt;=5),2,0)+IF(AND(ISNUMBER(F1166),F1166&lt;=1),2,0)+IF(AND(ISNUMBER(G1166),G1166&lt;=2),1,0)+IF(AND(ISNUMBER(H1166),H1166&lt;=2),1,0)</f>
        <v>2</v>
      </c>
      <c r="J1166" s="2" t="str">
        <f aca="false">IF(I1166&gt;=6,"High",IF(I1166&gt;=3,"Medium","Low"))</f>
        <v>Low</v>
      </c>
    </row>
    <row r="1167" customFormat="false" ht="15" hidden="false" customHeight="true" outlineLevel="0" collapsed="false">
      <c r="A1167" s="2" t="n">
        <f aca="false">'Raw Data'!H1167</f>
        <v>1166</v>
      </c>
      <c r="B1167" s="2" t="n">
        <f aca="false">'Raw Data'!A1167</f>
        <v>22</v>
      </c>
      <c r="C1167" s="2" t="str">
        <f aca="false">'Raw Data'!D1167</f>
        <v>Human Resources</v>
      </c>
      <c r="D1167" s="2" t="str">
        <f aca="false">'Raw Data'!K1167</f>
        <v>Sales Executive</v>
      </c>
      <c r="E1167" s="2" t="n">
        <f aca="false">'Raw Data'!Q1167</f>
        <v>4</v>
      </c>
      <c r="F1167" s="2" t="n">
        <f aca="false">'Raw Data'!U1167</f>
        <v>2</v>
      </c>
      <c r="G1167" s="2" t="n">
        <f aca="false">'Raw Data'!W1167</f>
        <v>3</v>
      </c>
      <c r="H1167" s="2" t="n">
        <f aca="false">'Raw Data'!V1167</f>
        <v>4</v>
      </c>
      <c r="I1167" s="2" t="n">
        <f aca="false">IF(AND(ISNUMBER(B1167),B1167&lt;=25),2,0)+IF(AND(ISNUMBER(E1167),E1167&lt;=5),2,0)+IF(AND(ISNUMBER(F1167),F1167&lt;=1),2,0)+IF(AND(ISNUMBER(G1167),G1167&lt;=2),1,0)+IF(AND(ISNUMBER(H1167),H1167&lt;=2),1,0)</f>
        <v>4</v>
      </c>
      <c r="J1167" s="2" t="str">
        <f aca="false">IF(I1167&gt;=6,"High",IF(I1167&gt;=3,"Medium","Low"))</f>
        <v>Medium</v>
      </c>
    </row>
    <row r="1168" customFormat="false" ht="15" hidden="false" customHeight="true" outlineLevel="0" collapsed="false">
      <c r="A1168" s="2" t="n">
        <f aca="false">'Raw Data'!H1168</f>
        <v>1167</v>
      </c>
      <c r="B1168" s="2" t="n">
        <f aca="false">'Raw Data'!A1168</f>
        <v>35</v>
      </c>
      <c r="C1168" s="2" t="str">
        <f aca="false">'Raw Data'!D1168</f>
        <v>Research &amp; Development</v>
      </c>
      <c r="D1168" s="2" t="str">
        <f aca="false">'Raw Data'!K1168</f>
        <v>Sales Executive</v>
      </c>
      <c r="E1168" s="2" t="n">
        <f aca="false">'Raw Data'!Q1168</f>
        <v>10</v>
      </c>
      <c r="F1168" s="2" t="n">
        <f aca="false">'Raw Data'!U1168</f>
        <v>8</v>
      </c>
      <c r="G1168" s="2" t="n">
        <f aca="false">'Raw Data'!W1168</f>
        <v>3</v>
      </c>
      <c r="H1168" s="2" t="n">
        <f aca="false">'Raw Data'!V1168</f>
        <v>2</v>
      </c>
      <c r="I1168" s="2" t="n">
        <f aca="false">IF(AND(ISNUMBER(B1168),B1168&lt;=25),2,0)+IF(AND(ISNUMBER(E1168),E1168&lt;=5),2,0)+IF(AND(ISNUMBER(F1168),F1168&lt;=1),2,0)+IF(AND(ISNUMBER(G1168),G1168&lt;=2),1,0)+IF(AND(ISNUMBER(H1168),H1168&lt;=2),1,0)</f>
        <v>1</v>
      </c>
      <c r="J1168" s="2" t="str">
        <f aca="false">IF(I1168&gt;=6,"High",IF(I1168&gt;=3,"Medium","Low"))</f>
        <v>Low</v>
      </c>
    </row>
    <row r="1169" customFormat="false" ht="15" hidden="false" customHeight="true" outlineLevel="0" collapsed="false">
      <c r="A1169" s="2" t="n">
        <f aca="false">'Raw Data'!H1169</f>
        <v>1168</v>
      </c>
      <c r="B1169" s="2" t="n">
        <f aca="false">'Raw Data'!A1169</f>
        <v>33</v>
      </c>
      <c r="C1169" s="2" t="str">
        <f aca="false">'Raw Data'!D1169</f>
        <v>Sales</v>
      </c>
      <c r="D1169" s="2" t="str">
        <f aca="false">'Raw Data'!K1169</f>
        <v>Healthcare Representative</v>
      </c>
      <c r="E1169" s="2" t="n">
        <f aca="false">'Raw Data'!Q1169</f>
        <v>10</v>
      </c>
      <c r="F1169" s="2" t="n">
        <f aca="false">'Raw Data'!U1169</f>
        <v>1</v>
      </c>
      <c r="G1169" s="2" t="n">
        <f aca="false">'Raw Data'!W1169</f>
        <v>4</v>
      </c>
      <c r="H1169" s="2" t="n">
        <f aca="false">'Raw Data'!V1169</f>
        <v>2</v>
      </c>
      <c r="I1169" s="2" t="n">
        <f aca="false">IF(AND(ISNUMBER(B1169),B1169&lt;=25),2,0)+IF(AND(ISNUMBER(E1169),E1169&lt;=5),2,0)+IF(AND(ISNUMBER(F1169),F1169&lt;=1),2,0)+IF(AND(ISNUMBER(G1169),G1169&lt;=2),1,0)+IF(AND(ISNUMBER(H1169),H1169&lt;=2),1,0)</f>
        <v>3</v>
      </c>
      <c r="J1169" s="2" t="str">
        <f aca="false">IF(I1169&gt;=6,"High",IF(I1169&gt;=3,"Medium","Low"))</f>
        <v>Medium</v>
      </c>
    </row>
    <row r="1170" customFormat="false" ht="15" hidden="false" customHeight="true" outlineLevel="0" collapsed="false">
      <c r="A1170" s="2" t="n">
        <f aca="false">'Raw Data'!H1170</f>
        <v>1169</v>
      </c>
      <c r="B1170" s="2" t="n">
        <f aca="false">'Raw Data'!A1170</f>
        <v>32</v>
      </c>
      <c r="C1170" s="2" t="str">
        <f aca="false">'Raw Data'!D1170</f>
        <v>Research &amp; Development</v>
      </c>
      <c r="D1170" s="2" t="str">
        <f aca="false">'Raw Data'!K1170</f>
        <v>Manufacturing Director</v>
      </c>
      <c r="E1170" s="2" t="n">
        <f aca="false">'Raw Data'!Q1170</f>
        <v>6</v>
      </c>
      <c r="F1170" s="2" t="n">
        <f aca="false">'Raw Data'!U1170</f>
        <v>1</v>
      </c>
      <c r="G1170" s="2" t="n">
        <f aca="false">'Raw Data'!W1170</f>
        <v>2</v>
      </c>
      <c r="H1170" s="2" t="n">
        <f aca="false">'Raw Data'!V1170</f>
        <v>3</v>
      </c>
      <c r="I1170" s="2" t="n">
        <f aca="false">IF(AND(ISNUMBER(B1170),B1170&lt;=25),2,0)+IF(AND(ISNUMBER(E1170),E1170&lt;=5),2,0)+IF(AND(ISNUMBER(F1170),F1170&lt;=1),2,0)+IF(AND(ISNUMBER(G1170),G1170&lt;=2),1,0)+IF(AND(ISNUMBER(H1170),H1170&lt;=2),1,0)</f>
        <v>3</v>
      </c>
      <c r="J1170" s="2" t="str">
        <f aca="false">IF(I1170&gt;=6,"High",IF(I1170&gt;=3,"Medium","Low"))</f>
        <v>Medium</v>
      </c>
    </row>
    <row r="1171" customFormat="false" ht="15" hidden="false" customHeight="true" outlineLevel="0" collapsed="false">
      <c r="A1171" s="2" t="n">
        <f aca="false">'Raw Data'!H1171</f>
        <v>1170</v>
      </c>
      <c r="B1171" s="2" t="n">
        <f aca="false">'Raw Data'!A1171</f>
        <v>40</v>
      </c>
      <c r="C1171" s="2" t="str">
        <f aca="false">'Raw Data'!D1171</f>
        <v>Research &amp; Development</v>
      </c>
      <c r="D1171" s="2" t="str">
        <f aca="false">'Raw Data'!K1171</f>
        <v>Research Director</v>
      </c>
      <c r="E1171" s="2" t="n">
        <f aca="false">'Raw Data'!Q1171</f>
        <v>8</v>
      </c>
      <c r="F1171" s="2" t="n">
        <f aca="false">'Raw Data'!U1171</f>
        <v>0</v>
      </c>
      <c r="G1171" s="2" t="n">
        <f aca="false">'Raw Data'!W1171</f>
        <v>4</v>
      </c>
      <c r="H1171" s="2" t="n">
        <f aca="false">'Raw Data'!V1171</f>
        <v>1</v>
      </c>
      <c r="I1171" s="2" t="n">
        <f aca="false">IF(AND(ISNUMBER(B1171),B1171&lt;=25),2,0)+IF(AND(ISNUMBER(E1171),E1171&lt;=5),2,0)+IF(AND(ISNUMBER(F1171),F1171&lt;=1),2,0)+IF(AND(ISNUMBER(G1171),G1171&lt;=2),1,0)+IF(AND(ISNUMBER(H1171),H1171&lt;=2),1,0)</f>
        <v>3</v>
      </c>
      <c r="J1171" s="2" t="str">
        <f aca="false">IF(I1171&gt;=6,"High",IF(I1171&gt;=3,"Medium","Low"))</f>
        <v>Medium</v>
      </c>
    </row>
    <row r="1172" customFormat="false" ht="15" hidden="false" customHeight="true" outlineLevel="0" collapsed="false">
      <c r="A1172" s="2" t="n">
        <f aca="false">'Raw Data'!H1172</f>
        <v>1171</v>
      </c>
      <c r="B1172" s="2" t="n">
        <f aca="false">'Raw Data'!A1172</f>
        <v>32</v>
      </c>
      <c r="C1172" s="2" t="str">
        <f aca="false">'Raw Data'!D1172</f>
        <v>Research &amp; Development</v>
      </c>
      <c r="D1172" s="2" t="str">
        <f aca="false">'Raw Data'!K1172</f>
        <v>Sales Executive</v>
      </c>
      <c r="E1172" s="2" t="n">
        <f aca="false">'Raw Data'!Q1172</f>
        <v>3</v>
      </c>
      <c r="F1172" s="2" t="n">
        <f aca="false">'Raw Data'!U1172</f>
        <v>2</v>
      </c>
      <c r="G1172" s="2" t="n">
        <f aca="false">'Raw Data'!W1172</f>
        <v>2</v>
      </c>
      <c r="H1172" s="2" t="n">
        <f aca="false">'Raw Data'!V1172</f>
        <v>2</v>
      </c>
      <c r="I1172" s="2" t="n">
        <f aca="false">IF(AND(ISNUMBER(B1172),B1172&lt;=25),2,0)+IF(AND(ISNUMBER(E1172),E1172&lt;=5),2,0)+IF(AND(ISNUMBER(F1172),F1172&lt;=1),2,0)+IF(AND(ISNUMBER(G1172),G1172&lt;=2),1,0)+IF(AND(ISNUMBER(H1172),H1172&lt;=2),1,0)</f>
        <v>4</v>
      </c>
      <c r="J1172" s="2" t="str">
        <f aca="false">IF(I1172&gt;=6,"High",IF(I1172&gt;=3,"Medium","Low"))</f>
        <v>Medium</v>
      </c>
    </row>
    <row r="1173" customFormat="false" ht="15" hidden="false" customHeight="true" outlineLevel="0" collapsed="false">
      <c r="A1173" s="2" t="n">
        <f aca="false">'Raw Data'!H1173</f>
        <v>1172</v>
      </c>
      <c r="B1173" s="2" t="n">
        <f aca="false">'Raw Data'!A1173</f>
        <v>39</v>
      </c>
      <c r="C1173" s="2" t="str">
        <f aca="false">'Raw Data'!D1173</f>
        <v>Research &amp; Development</v>
      </c>
      <c r="D1173" s="2" t="str">
        <f aca="false">'Raw Data'!K1173</f>
        <v>Sales Executive</v>
      </c>
      <c r="E1173" s="2" t="n">
        <f aca="false">'Raw Data'!Q1173</f>
        <v>18</v>
      </c>
      <c r="F1173" s="2" t="n">
        <f aca="false">'Raw Data'!U1173</f>
        <v>7</v>
      </c>
      <c r="G1173" s="2" t="n">
        <f aca="false">'Raw Data'!W1173</f>
        <v>4</v>
      </c>
      <c r="H1173" s="2" t="n">
        <f aca="false">'Raw Data'!V1173</f>
        <v>1</v>
      </c>
      <c r="I1173" s="2" t="n">
        <f aca="false">IF(AND(ISNUMBER(B1173),B1173&lt;=25),2,0)+IF(AND(ISNUMBER(E1173),E1173&lt;=5),2,0)+IF(AND(ISNUMBER(F1173),F1173&lt;=1),2,0)+IF(AND(ISNUMBER(G1173),G1173&lt;=2),1,0)+IF(AND(ISNUMBER(H1173),H1173&lt;=2),1,0)</f>
        <v>1</v>
      </c>
      <c r="J1173" s="2" t="str">
        <f aca="false">IF(I1173&gt;=6,"High",IF(I1173&gt;=3,"Medium","Low"))</f>
        <v>Low</v>
      </c>
    </row>
    <row r="1174" customFormat="false" ht="15" hidden="false" customHeight="true" outlineLevel="0" collapsed="false">
      <c r="A1174" s="2" t="n">
        <f aca="false">'Raw Data'!H1174</f>
        <v>1173</v>
      </c>
      <c r="B1174" s="2" t="n">
        <f aca="false">'Raw Data'!A1174</f>
        <v>38</v>
      </c>
      <c r="C1174" s="2" t="str">
        <f aca="false">'Raw Data'!D1174</f>
        <v>Sales</v>
      </c>
      <c r="D1174" s="2" t="str">
        <f aca="false">'Raw Data'!K1174</f>
        <v>Research Director</v>
      </c>
      <c r="E1174" s="2" t="n">
        <f aca="false">'Raw Data'!Q1174</f>
        <v>20</v>
      </c>
      <c r="F1174" s="2" t="n">
        <f aca="false">'Raw Data'!U1174</f>
        <v>11</v>
      </c>
      <c r="G1174" s="2" t="n">
        <f aca="false">'Raw Data'!W1174</f>
        <v>3</v>
      </c>
      <c r="H1174" s="2" t="n">
        <f aca="false">'Raw Data'!V1174</f>
        <v>2</v>
      </c>
      <c r="I1174" s="2" t="n">
        <f aca="false">IF(AND(ISNUMBER(B1174),B1174&lt;=25),2,0)+IF(AND(ISNUMBER(E1174),E1174&lt;=5),2,0)+IF(AND(ISNUMBER(F1174),F1174&lt;=1),2,0)+IF(AND(ISNUMBER(G1174),G1174&lt;=2),1,0)+IF(AND(ISNUMBER(H1174),H1174&lt;=2),1,0)</f>
        <v>1</v>
      </c>
      <c r="J1174" s="2" t="str">
        <f aca="false">IF(I1174&gt;=6,"High",IF(I1174&gt;=3,"Medium","Low"))</f>
        <v>Low</v>
      </c>
    </row>
    <row r="1175" customFormat="false" ht="15" hidden="false" customHeight="true" outlineLevel="0" collapsed="false">
      <c r="A1175" s="2" t="n">
        <f aca="false">'Raw Data'!H1175</f>
        <v>1174</v>
      </c>
      <c r="B1175" s="2" t="n">
        <f aca="false">'Raw Data'!A1175</f>
        <v>32</v>
      </c>
      <c r="C1175" s="2" t="str">
        <f aca="false">'Raw Data'!D1175</f>
        <v>Research &amp; Development</v>
      </c>
      <c r="D1175" s="2" t="str">
        <f aca="false">'Raw Data'!K1175</f>
        <v>Manager</v>
      </c>
      <c r="E1175" s="2" t="n">
        <f aca="false">'Raw Data'!Q1175</f>
        <v>14</v>
      </c>
      <c r="F1175" s="2" t="n">
        <f aca="false">'Raw Data'!U1175</f>
        <v>7</v>
      </c>
      <c r="G1175" s="2" t="n">
        <f aca="false">'Raw Data'!W1175</f>
        <v>4</v>
      </c>
      <c r="H1175" s="2" t="n">
        <f aca="false">'Raw Data'!V1175</f>
        <v>3</v>
      </c>
      <c r="I1175" s="2" t="n">
        <f aca="false">IF(AND(ISNUMBER(B1175),B1175&lt;=25),2,0)+IF(AND(ISNUMBER(E1175),E1175&lt;=5),2,0)+IF(AND(ISNUMBER(F1175),F1175&lt;=1),2,0)+IF(AND(ISNUMBER(G1175),G1175&lt;=2),1,0)+IF(AND(ISNUMBER(H1175),H1175&lt;=2),1,0)</f>
        <v>0</v>
      </c>
      <c r="J1175" s="2" t="str">
        <f aca="false">IF(I1175&gt;=6,"High",IF(I1175&gt;=3,"Medium","Low"))</f>
        <v>Low</v>
      </c>
    </row>
    <row r="1176" customFormat="false" ht="15" hidden="false" customHeight="true" outlineLevel="0" collapsed="false">
      <c r="A1176" s="2" t="n">
        <f aca="false">'Raw Data'!H1176</f>
        <v>1175</v>
      </c>
      <c r="B1176" s="2" t="n">
        <f aca="false">'Raw Data'!A1176</f>
        <v>37</v>
      </c>
      <c r="C1176" s="2" t="str">
        <f aca="false">'Raw Data'!D1176</f>
        <v>Research &amp; Development</v>
      </c>
      <c r="D1176" s="2" t="str">
        <f aca="false">'Raw Data'!K1176</f>
        <v>Sales Executive</v>
      </c>
      <c r="E1176" s="2" t="n">
        <f aca="false">'Raw Data'!Q1176</f>
        <v>16</v>
      </c>
      <c r="F1176" s="2" t="n">
        <f aca="false">'Raw Data'!U1176</f>
        <v>8</v>
      </c>
      <c r="G1176" s="2" t="n">
        <f aca="false">'Raw Data'!W1176</f>
        <v>4</v>
      </c>
      <c r="H1176" s="2" t="n">
        <f aca="false">'Raw Data'!V1176</f>
        <v>3</v>
      </c>
      <c r="I1176" s="2" t="n">
        <f aca="false">IF(AND(ISNUMBER(B1176),B1176&lt;=25),2,0)+IF(AND(ISNUMBER(E1176),E1176&lt;=5),2,0)+IF(AND(ISNUMBER(F1176),F1176&lt;=1),2,0)+IF(AND(ISNUMBER(G1176),G1176&lt;=2),1,0)+IF(AND(ISNUMBER(H1176),H1176&lt;=2),1,0)</f>
        <v>0</v>
      </c>
      <c r="J1176" s="2" t="str">
        <f aca="false">IF(I1176&gt;=6,"High",IF(I1176&gt;=3,"Medium","Low"))</f>
        <v>Low</v>
      </c>
    </row>
    <row r="1177" customFormat="false" ht="15" hidden="false" customHeight="true" outlineLevel="0" collapsed="false">
      <c r="A1177" s="2" t="n">
        <f aca="false">'Raw Data'!H1177</f>
        <v>1176</v>
      </c>
      <c r="B1177" s="2" t="n">
        <f aca="false">'Raw Data'!A1177</f>
        <v>25</v>
      </c>
      <c r="C1177" s="2" t="str">
        <f aca="false">'Raw Data'!D1177</f>
        <v>Research &amp; Development</v>
      </c>
      <c r="D1177" s="2" t="str">
        <f aca="false">'Raw Data'!K1177</f>
        <v>Manufacturing Director</v>
      </c>
      <c r="E1177" s="2" t="n">
        <f aca="false">'Raw Data'!Q1177</f>
        <v>6</v>
      </c>
      <c r="F1177" s="2" t="n">
        <f aca="false">'Raw Data'!U1177</f>
        <v>4</v>
      </c>
      <c r="G1177" s="2" t="n">
        <f aca="false">'Raw Data'!W1177</f>
        <v>3</v>
      </c>
      <c r="H1177" s="2" t="n">
        <f aca="false">'Raw Data'!V1177</f>
        <v>1</v>
      </c>
      <c r="I1177" s="2" t="n">
        <f aca="false">IF(AND(ISNUMBER(B1177),B1177&lt;=25),2,0)+IF(AND(ISNUMBER(E1177),E1177&lt;=5),2,0)+IF(AND(ISNUMBER(F1177),F1177&lt;=1),2,0)+IF(AND(ISNUMBER(G1177),G1177&lt;=2),1,0)+IF(AND(ISNUMBER(H1177),H1177&lt;=2),1,0)</f>
        <v>3</v>
      </c>
      <c r="J1177" s="2" t="str">
        <f aca="false">IF(I1177&gt;=6,"High",IF(I1177&gt;=3,"Medium","Low"))</f>
        <v>Medium</v>
      </c>
    </row>
    <row r="1178" customFormat="false" ht="15" hidden="false" customHeight="true" outlineLevel="0" collapsed="false">
      <c r="A1178" s="2" t="n">
        <f aca="false">'Raw Data'!H1178</f>
        <v>1177</v>
      </c>
      <c r="B1178" s="2" t="n">
        <f aca="false">'Raw Data'!A1178</f>
        <v>52</v>
      </c>
      <c r="C1178" s="2" t="str">
        <f aca="false">'Raw Data'!D1178</f>
        <v>Research &amp; Development</v>
      </c>
      <c r="D1178" s="2" t="str">
        <f aca="false">'Raw Data'!K1178</f>
        <v>Manager</v>
      </c>
      <c r="E1178" s="2" t="n">
        <f aca="false">'Raw Data'!Q1178</f>
        <v>16</v>
      </c>
      <c r="F1178" s="2" t="n">
        <f aca="false">'Raw Data'!U1178</f>
        <v>0</v>
      </c>
      <c r="G1178" s="2" t="n">
        <f aca="false">'Raw Data'!W1178</f>
        <v>4</v>
      </c>
      <c r="H1178" s="2" t="n">
        <f aca="false">'Raw Data'!V1178</f>
        <v>1</v>
      </c>
      <c r="I1178" s="2" t="n">
        <f aca="false">IF(AND(ISNUMBER(B1178),B1178&lt;=25),2,0)+IF(AND(ISNUMBER(E1178),E1178&lt;=5),2,0)+IF(AND(ISNUMBER(F1178),F1178&lt;=1),2,0)+IF(AND(ISNUMBER(G1178),G1178&lt;=2),1,0)+IF(AND(ISNUMBER(H1178),H1178&lt;=2),1,0)</f>
        <v>3</v>
      </c>
      <c r="J1178" s="2" t="str">
        <f aca="false">IF(I1178&gt;=6,"High",IF(I1178&gt;=3,"Medium","Low"))</f>
        <v>Medium</v>
      </c>
    </row>
    <row r="1179" customFormat="false" ht="15" hidden="false" customHeight="true" outlineLevel="0" collapsed="false">
      <c r="A1179" s="2" t="n">
        <f aca="false">'Raw Data'!H1179</f>
        <v>1178</v>
      </c>
      <c r="B1179" s="2" t="n">
        <f aca="false">'Raw Data'!A1179</f>
        <v>44</v>
      </c>
      <c r="C1179" s="2" t="str">
        <f aca="false">'Raw Data'!D1179</f>
        <v>Research &amp; Development</v>
      </c>
      <c r="D1179" s="2" t="str">
        <f aca="false">'Raw Data'!K1179</f>
        <v>Sales Representative</v>
      </c>
      <c r="E1179" s="2" t="n">
        <f aca="false">'Raw Data'!Q1179</f>
        <v>6</v>
      </c>
      <c r="F1179" s="2" t="n">
        <f aca="false">'Raw Data'!U1179</f>
        <v>2</v>
      </c>
      <c r="G1179" s="2" t="n">
        <f aca="false">'Raw Data'!W1179</f>
        <v>4</v>
      </c>
      <c r="H1179" s="2" t="n">
        <f aca="false">'Raw Data'!V1179</f>
        <v>2</v>
      </c>
      <c r="I1179" s="2" t="n">
        <f aca="false">IF(AND(ISNUMBER(B1179),B1179&lt;=25),2,0)+IF(AND(ISNUMBER(E1179),E1179&lt;=5),2,0)+IF(AND(ISNUMBER(F1179),F1179&lt;=1),2,0)+IF(AND(ISNUMBER(G1179),G1179&lt;=2),1,0)+IF(AND(ISNUMBER(H1179),H1179&lt;=2),1,0)</f>
        <v>1</v>
      </c>
      <c r="J1179" s="2" t="str">
        <f aca="false">IF(I1179&gt;=6,"High",IF(I1179&gt;=3,"Medium","Low"))</f>
        <v>Low</v>
      </c>
    </row>
    <row r="1180" customFormat="false" ht="15" hidden="false" customHeight="true" outlineLevel="0" collapsed="false">
      <c r="A1180" s="2" t="n">
        <f aca="false">'Raw Data'!H1180</f>
        <v>1179</v>
      </c>
      <c r="B1180" s="2" t="n">
        <f aca="false">'Raw Data'!A1180</f>
        <v>21</v>
      </c>
      <c r="C1180" s="2" t="str">
        <f aca="false">'Raw Data'!D1180</f>
        <v>Sales</v>
      </c>
      <c r="D1180" s="2" t="str">
        <f aca="false">'Raw Data'!K1180</f>
        <v>Research Scientist</v>
      </c>
      <c r="E1180" s="2" t="n">
        <f aca="false">'Raw Data'!Q1180</f>
        <v>2</v>
      </c>
      <c r="F1180" s="2" t="n">
        <f aca="false">'Raw Data'!U1180</f>
        <v>2</v>
      </c>
      <c r="G1180" s="2" t="n">
        <f aca="false">'Raw Data'!W1180</f>
        <v>1</v>
      </c>
      <c r="H1180" s="2" t="n">
        <f aca="false">'Raw Data'!V1180</f>
        <v>3</v>
      </c>
      <c r="I1180" s="2" t="n">
        <f aca="false">IF(AND(ISNUMBER(B1180),B1180&lt;=25),2,0)+IF(AND(ISNUMBER(E1180),E1180&lt;=5),2,0)+IF(AND(ISNUMBER(F1180),F1180&lt;=1),2,0)+IF(AND(ISNUMBER(G1180),G1180&lt;=2),1,0)+IF(AND(ISNUMBER(H1180),H1180&lt;=2),1,0)</f>
        <v>5</v>
      </c>
      <c r="J1180" s="2" t="str">
        <f aca="false">IF(I1180&gt;=6,"High",IF(I1180&gt;=3,"Medium","Low"))</f>
        <v>Medium</v>
      </c>
    </row>
    <row r="1181" customFormat="false" ht="15" hidden="false" customHeight="true" outlineLevel="0" collapsed="false">
      <c r="A1181" s="2" t="n">
        <f aca="false">'Raw Data'!H1181</f>
        <v>1180</v>
      </c>
      <c r="B1181" s="2" t="n">
        <f aca="false">'Raw Data'!A1181</f>
        <v>39</v>
      </c>
      <c r="C1181" s="2" t="str">
        <f aca="false">'Raw Data'!D1181</f>
        <v>Research &amp; Development</v>
      </c>
      <c r="D1181" s="2" t="str">
        <f aca="false">'Raw Data'!K1181</f>
        <v>Research Director</v>
      </c>
      <c r="E1181" s="2" t="n">
        <f aca="false">'Raw Data'!Q1181</f>
        <v>21</v>
      </c>
      <c r="F1181" s="2" t="n">
        <f aca="false">'Raw Data'!U1181</f>
        <v>3</v>
      </c>
      <c r="G1181" s="2" t="n">
        <f aca="false">'Raw Data'!W1181</f>
        <v>4</v>
      </c>
      <c r="H1181" s="2" t="n">
        <f aca="false">'Raw Data'!V1181</f>
        <v>4</v>
      </c>
      <c r="I1181" s="2" t="n">
        <f aca="false">IF(AND(ISNUMBER(B1181),B1181&lt;=25),2,0)+IF(AND(ISNUMBER(E1181),E1181&lt;=5),2,0)+IF(AND(ISNUMBER(F1181),F1181&lt;=1),2,0)+IF(AND(ISNUMBER(G1181),G1181&lt;=2),1,0)+IF(AND(ISNUMBER(H1181),H1181&lt;=2),1,0)</f>
        <v>0</v>
      </c>
      <c r="J1181" s="2" t="str">
        <f aca="false">IF(I1181&gt;=6,"High",IF(I1181&gt;=3,"Medium","Low"))</f>
        <v>Low</v>
      </c>
    </row>
    <row r="1182" customFormat="false" ht="15" hidden="false" customHeight="true" outlineLevel="0" collapsed="false">
      <c r="A1182" s="2" t="n">
        <f aca="false">'Raw Data'!H1182</f>
        <v>1181</v>
      </c>
      <c r="B1182" s="2" t="n">
        <f aca="false">'Raw Data'!A1182</f>
        <v>23</v>
      </c>
      <c r="C1182" s="2" t="str">
        <f aca="false">'Raw Data'!D1182</f>
        <v>Research &amp; Development</v>
      </c>
      <c r="D1182" s="2" t="str">
        <f aca="false">'Raw Data'!K1182</f>
        <v>Manufacturing Director</v>
      </c>
      <c r="E1182" s="2" t="n">
        <f aca="false">'Raw Data'!Q1182</f>
        <v>1</v>
      </c>
      <c r="F1182" s="2" t="n">
        <f aca="false">'Raw Data'!U1182</f>
        <v>0</v>
      </c>
      <c r="G1182" s="2" t="n">
        <f aca="false">'Raw Data'!W1182</f>
        <v>1</v>
      </c>
      <c r="H1182" s="2" t="n">
        <f aca="false">'Raw Data'!V1182</f>
        <v>4</v>
      </c>
      <c r="I1182" s="2" t="n">
        <f aca="false">IF(AND(ISNUMBER(B1182),B1182&lt;=25),2,0)+IF(AND(ISNUMBER(E1182),E1182&lt;=5),2,0)+IF(AND(ISNUMBER(F1182),F1182&lt;=1),2,0)+IF(AND(ISNUMBER(G1182),G1182&lt;=2),1,0)+IF(AND(ISNUMBER(H1182),H1182&lt;=2),1,0)</f>
        <v>7</v>
      </c>
      <c r="J1182" s="2" t="str">
        <f aca="false">IF(I1182&gt;=6,"High",IF(I1182&gt;=3,"Medium","Low"))</f>
        <v>High</v>
      </c>
    </row>
    <row r="1183" customFormat="false" ht="15" hidden="false" customHeight="true" outlineLevel="0" collapsed="false">
      <c r="A1183" s="2" t="n">
        <f aca="false">'Raw Data'!H1183</f>
        <v>1182</v>
      </c>
      <c r="B1183" s="2" t="n">
        <f aca="false">'Raw Data'!A1183</f>
        <v>36</v>
      </c>
      <c r="C1183" s="2" t="str">
        <f aca="false">'Raw Data'!D1183</f>
        <v>Research &amp; Development</v>
      </c>
      <c r="D1183" s="2" t="str">
        <f aca="false">'Raw Data'!K1183</f>
        <v>Laboratory Technician</v>
      </c>
      <c r="E1183" s="2" t="n">
        <f aca="false">'Raw Data'!Q1183</f>
        <v>10</v>
      </c>
      <c r="F1183" s="2" t="n">
        <f aca="false">'Raw Data'!U1183</f>
        <v>4</v>
      </c>
      <c r="G1183" s="2" t="n">
        <f aca="false">'Raw Data'!W1183</f>
        <v>4</v>
      </c>
      <c r="H1183" s="2" t="n">
        <f aca="false">'Raw Data'!V1183</f>
        <v>1</v>
      </c>
      <c r="I1183" s="2" t="n">
        <f aca="false">IF(AND(ISNUMBER(B1183),B1183&lt;=25),2,0)+IF(AND(ISNUMBER(E1183),E1183&lt;=5),2,0)+IF(AND(ISNUMBER(F1183),F1183&lt;=1),2,0)+IF(AND(ISNUMBER(G1183),G1183&lt;=2),1,0)+IF(AND(ISNUMBER(H1183),H1183&lt;=2),1,0)</f>
        <v>1</v>
      </c>
      <c r="J1183" s="2" t="str">
        <f aca="false">IF(I1183&gt;=6,"High",IF(I1183&gt;=3,"Medium","Low"))</f>
        <v>Low</v>
      </c>
    </row>
    <row r="1184" customFormat="false" ht="15" hidden="false" customHeight="true" outlineLevel="0" collapsed="false">
      <c r="A1184" s="2" t="n">
        <f aca="false">'Raw Data'!H1184</f>
        <v>1183</v>
      </c>
      <c r="B1184" s="2" t="n">
        <f aca="false">'Raw Data'!A1184</f>
        <v>36</v>
      </c>
      <c r="C1184" s="2" t="str">
        <f aca="false">'Raw Data'!D1184</f>
        <v>Research &amp; Development</v>
      </c>
      <c r="D1184" s="2" t="str">
        <f aca="false">'Raw Data'!K1184</f>
        <v>Sales Executive</v>
      </c>
      <c r="E1184" s="2" t="n">
        <f aca="false">'Raw Data'!Q1184</f>
        <v>18</v>
      </c>
      <c r="F1184" s="2" t="n">
        <f aca="false">'Raw Data'!U1184</f>
        <v>2</v>
      </c>
      <c r="G1184" s="2" t="n">
        <f aca="false">'Raw Data'!W1184</f>
        <v>2</v>
      </c>
      <c r="H1184" s="2" t="n">
        <f aca="false">'Raw Data'!V1184</f>
        <v>4</v>
      </c>
      <c r="I1184" s="2" t="n">
        <f aca="false">IF(AND(ISNUMBER(B1184),B1184&lt;=25),2,0)+IF(AND(ISNUMBER(E1184),E1184&lt;=5),2,0)+IF(AND(ISNUMBER(F1184),F1184&lt;=1),2,0)+IF(AND(ISNUMBER(G1184),G1184&lt;=2),1,0)+IF(AND(ISNUMBER(H1184),H1184&lt;=2),1,0)</f>
        <v>1</v>
      </c>
      <c r="J1184" s="2" t="str">
        <f aca="false">IF(I1184&gt;=6,"High",IF(I1184&gt;=3,"Medium","Low"))</f>
        <v>Low</v>
      </c>
    </row>
    <row r="1185" customFormat="false" ht="15" hidden="false" customHeight="true" outlineLevel="0" collapsed="false">
      <c r="A1185" s="2" t="n">
        <f aca="false">'Raw Data'!H1185</f>
        <v>1184</v>
      </c>
      <c r="B1185" s="2" t="n">
        <f aca="false">'Raw Data'!A1185</f>
        <v>56</v>
      </c>
      <c r="C1185" s="2" t="str">
        <f aca="false">'Raw Data'!D1185</f>
        <v>Research &amp; Development</v>
      </c>
      <c r="D1185" s="2" t="str">
        <f aca="false">'Raw Data'!K1185</f>
        <v>Sales Executive</v>
      </c>
      <c r="E1185" s="2" t="n">
        <f aca="false">'Raw Data'!Q1185</f>
        <v>13</v>
      </c>
      <c r="F1185" s="2" t="n">
        <f aca="false">'Raw Data'!U1185</f>
        <v>9</v>
      </c>
      <c r="G1185" s="2" t="n">
        <f aca="false">'Raw Data'!W1185</f>
        <v>3</v>
      </c>
      <c r="H1185" s="2" t="n">
        <f aca="false">'Raw Data'!V1185</f>
        <v>3</v>
      </c>
      <c r="I1185" s="2" t="n">
        <f aca="false">IF(AND(ISNUMBER(B1185),B1185&lt;=25),2,0)+IF(AND(ISNUMBER(E1185),E1185&lt;=5),2,0)+IF(AND(ISNUMBER(F1185),F1185&lt;=1),2,0)+IF(AND(ISNUMBER(G1185),G1185&lt;=2),1,0)+IF(AND(ISNUMBER(H1185),H1185&lt;=2),1,0)</f>
        <v>0</v>
      </c>
      <c r="J1185" s="2" t="str">
        <f aca="false">IF(I1185&gt;=6,"High",IF(I1185&gt;=3,"Medium","Low"))</f>
        <v>Low</v>
      </c>
    </row>
    <row r="1186" customFormat="false" ht="15" hidden="false" customHeight="true" outlineLevel="0" collapsed="false">
      <c r="A1186" s="2" t="n">
        <f aca="false">'Raw Data'!H1186</f>
        <v>1185</v>
      </c>
      <c r="B1186" s="2" t="n">
        <f aca="false">'Raw Data'!A1186</f>
        <v>29</v>
      </c>
      <c r="C1186" s="2" t="str">
        <f aca="false">'Raw Data'!D1186</f>
        <v>Research &amp; Development</v>
      </c>
      <c r="D1186" s="2" t="str">
        <f aca="false">'Raw Data'!K1186</f>
        <v>Sales Representative</v>
      </c>
      <c r="E1186" s="2" t="n">
        <f aca="false">'Raw Data'!Q1186</f>
        <v>4</v>
      </c>
      <c r="F1186" s="2" t="n">
        <f aca="false">'Raw Data'!U1186</f>
        <v>2</v>
      </c>
      <c r="G1186" s="2" t="n">
        <f aca="false">'Raw Data'!W1186</f>
        <v>4</v>
      </c>
      <c r="H1186" s="2" t="n">
        <f aca="false">'Raw Data'!V1186</f>
        <v>1</v>
      </c>
      <c r="I1186" s="2" t="n">
        <f aca="false">IF(AND(ISNUMBER(B1186),B1186&lt;=25),2,0)+IF(AND(ISNUMBER(E1186),E1186&lt;=5),2,0)+IF(AND(ISNUMBER(F1186),F1186&lt;=1),2,0)+IF(AND(ISNUMBER(G1186),G1186&lt;=2),1,0)+IF(AND(ISNUMBER(H1186),H1186&lt;=2),1,0)</f>
        <v>3</v>
      </c>
      <c r="J1186" s="2" t="str">
        <f aca="false">IF(I1186&gt;=6,"High",IF(I1186&gt;=3,"Medium","Low"))</f>
        <v>Medium</v>
      </c>
    </row>
    <row r="1187" customFormat="false" ht="15" hidden="false" customHeight="true" outlineLevel="0" collapsed="false">
      <c r="A1187" s="2" t="n">
        <f aca="false">'Raw Data'!H1187</f>
        <v>1186</v>
      </c>
      <c r="B1187" s="2" t="n">
        <f aca="false">'Raw Data'!A1187</f>
        <v>42</v>
      </c>
      <c r="C1187" s="2" t="str">
        <f aca="false">'Raw Data'!D1187</f>
        <v>Research &amp; Development</v>
      </c>
      <c r="D1187" s="2" t="str">
        <f aca="false">'Raw Data'!K1187</f>
        <v>Research Scientist</v>
      </c>
      <c r="E1187" s="2" t="n">
        <f aca="false">'Raw Data'!Q1187</f>
        <v>24</v>
      </c>
      <c r="F1187" s="2" t="n">
        <f aca="false">'Raw Data'!U1187</f>
        <v>14</v>
      </c>
      <c r="G1187" s="2" t="n">
        <f aca="false">'Raw Data'!W1187</f>
        <v>3</v>
      </c>
      <c r="H1187" s="2" t="n">
        <f aca="false">'Raw Data'!V1187</f>
        <v>1</v>
      </c>
      <c r="I1187" s="2" t="n">
        <f aca="false">IF(AND(ISNUMBER(B1187),B1187&lt;=25),2,0)+IF(AND(ISNUMBER(E1187),E1187&lt;=5),2,0)+IF(AND(ISNUMBER(F1187),F1187&lt;=1),2,0)+IF(AND(ISNUMBER(G1187),G1187&lt;=2),1,0)+IF(AND(ISNUMBER(H1187),H1187&lt;=2),1,0)</f>
        <v>1</v>
      </c>
      <c r="J1187" s="2" t="str">
        <f aca="false">IF(I1187&gt;=6,"High",IF(I1187&gt;=3,"Medium","Low"))</f>
        <v>Low</v>
      </c>
    </row>
    <row r="1188" customFormat="false" ht="15" hidden="false" customHeight="true" outlineLevel="0" collapsed="false">
      <c r="A1188" s="2" t="n">
        <f aca="false">'Raw Data'!H1188</f>
        <v>1187</v>
      </c>
      <c r="B1188" s="2" t="n">
        <f aca="false">'Raw Data'!A1188</f>
        <v>56</v>
      </c>
      <c r="C1188" s="2" t="str">
        <f aca="false">'Raw Data'!D1188</f>
        <v>Sales</v>
      </c>
      <c r="D1188" s="2" t="str">
        <f aca="false">'Raw Data'!K1188</f>
        <v>Sales Executive</v>
      </c>
      <c r="E1188" s="2" t="n">
        <f aca="false">'Raw Data'!Q1188</f>
        <v>14</v>
      </c>
      <c r="F1188" s="2" t="n">
        <f aca="false">'Raw Data'!U1188</f>
        <v>8</v>
      </c>
      <c r="G1188" s="2" t="n">
        <f aca="false">'Raw Data'!W1188</f>
        <v>3</v>
      </c>
      <c r="H1188" s="2" t="n">
        <f aca="false">'Raw Data'!V1188</f>
        <v>4</v>
      </c>
      <c r="I1188" s="2" t="n">
        <f aca="false">IF(AND(ISNUMBER(B1188),B1188&lt;=25),2,0)+IF(AND(ISNUMBER(E1188),E1188&lt;=5),2,0)+IF(AND(ISNUMBER(F1188),F1188&lt;=1),2,0)+IF(AND(ISNUMBER(G1188),G1188&lt;=2),1,0)+IF(AND(ISNUMBER(H1188),H1188&lt;=2),1,0)</f>
        <v>0</v>
      </c>
      <c r="J1188" s="2" t="str">
        <f aca="false">IF(I1188&gt;=6,"High",IF(I1188&gt;=3,"Medium","Low"))</f>
        <v>Low</v>
      </c>
    </row>
    <row r="1189" customFormat="false" ht="15" hidden="false" customHeight="true" outlineLevel="0" collapsed="false">
      <c r="A1189" s="2" t="n">
        <f aca="false">'Raw Data'!H1189</f>
        <v>1188</v>
      </c>
      <c r="B1189" s="2" t="n">
        <f aca="false">'Raw Data'!A1189</f>
        <v>41</v>
      </c>
      <c r="C1189" s="2" t="str">
        <f aca="false">'Raw Data'!D1189</f>
        <v>Research &amp; Development</v>
      </c>
      <c r="D1189" s="2" t="str">
        <f aca="false">'Raw Data'!K1189</f>
        <v>Healthcare Representative</v>
      </c>
      <c r="E1189" s="2" t="n">
        <f aca="false">'Raw Data'!Q1189</f>
        <v>21</v>
      </c>
      <c r="F1189" s="2" t="n">
        <f aca="false">'Raw Data'!U1189</f>
        <v>10</v>
      </c>
      <c r="G1189" s="2" t="n">
        <f aca="false">'Raw Data'!W1189</f>
        <v>2</v>
      </c>
      <c r="H1189" s="2" t="n">
        <f aca="false">'Raw Data'!V1189</f>
        <v>1</v>
      </c>
      <c r="I1189" s="2" t="n">
        <f aca="false">IF(AND(ISNUMBER(B1189),B1189&lt;=25),2,0)+IF(AND(ISNUMBER(E1189),E1189&lt;=5),2,0)+IF(AND(ISNUMBER(F1189),F1189&lt;=1),2,0)+IF(AND(ISNUMBER(G1189),G1189&lt;=2),1,0)+IF(AND(ISNUMBER(H1189),H1189&lt;=2),1,0)</f>
        <v>2</v>
      </c>
      <c r="J1189" s="2" t="str">
        <f aca="false">IF(I1189&gt;=6,"High",IF(I1189&gt;=3,"Medium","Low"))</f>
        <v>Low</v>
      </c>
    </row>
    <row r="1190" customFormat="false" ht="15" hidden="false" customHeight="true" outlineLevel="0" collapsed="false">
      <c r="A1190" s="2" t="n">
        <f aca="false">'Raw Data'!H1190</f>
        <v>1189</v>
      </c>
      <c r="B1190" s="2" t="n">
        <f aca="false">'Raw Data'!A1190</f>
        <v>34</v>
      </c>
      <c r="C1190" s="2" t="str">
        <f aca="false">'Raw Data'!D1190</f>
        <v>Sales</v>
      </c>
      <c r="D1190" s="2" t="str">
        <f aca="false">'Raw Data'!K1190</f>
        <v>Laboratory Technician</v>
      </c>
      <c r="E1190" s="2" t="n">
        <f aca="false">'Raw Data'!Q1190</f>
        <v>8</v>
      </c>
      <c r="F1190" s="2" t="n">
        <f aca="false">'Raw Data'!U1190</f>
        <v>7</v>
      </c>
      <c r="G1190" s="2" t="n">
        <f aca="false">'Raw Data'!W1190</f>
        <v>3</v>
      </c>
      <c r="H1190" s="2" t="n">
        <f aca="false">'Raw Data'!V1190</f>
        <v>4</v>
      </c>
      <c r="I1190" s="2" t="n">
        <f aca="false">IF(AND(ISNUMBER(B1190),B1190&lt;=25),2,0)+IF(AND(ISNUMBER(E1190),E1190&lt;=5),2,0)+IF(AND(ISNUMBER(F1190),F1190&lt;=1),2,0)+IF(AND(ISNUMBER(G1190),G1190&lt;=2),1,0)+IF(AND(ISNUMBER(H1190),H1190&lt;=2),1,0)</f>
        <v>0</v>
      </c>
      <c r="J1190" s="2" t="str">
        <f aca="false">IF(I1190&gt;=6,"High",IF(I1190&gt;=3,"Medium","Low"))</f>
        <v>Low</v>
      </c>
    </row>
    <row r="1191" customFormat="false" ht="15" hidden="false" customHeight="true" outlineLevel="0" collapsed="false">
      <c r="A1191" s="2" t="n">
        <f aca="false">'Raw Data'!H1191</f>
        <v>1190</v>
      </c>
      <c r="B1191" s="2" t="n">
        <f aca="false">'Raw Data'!A1191</f>
        <v>36</v>
      </c>
      <c r="C1191" s="2" t="str">
        <f aca="false">'Raw Data'!D1191</f>
        <v>Sales</v>
      </c>
      <c r="D1191" s="2" t="str">
        <f aca="false">'Raw Data'!K1191</f>
        <v>Human Resources</v>
      </c>
      <c r="E1191" s="2" t="n">
        <f aca="false">'Raw Data'!Q1191</f>
        <v>15</v>
      </c>
      <c r="F1191" s="2" t="n">
        <f aca="false">'Raw Data'!U1191</f>
        <v>11</v>
      </c>
      <c r="G1191" s="2" t="n">
        <f aca="false">'Raw Data'!W1191</f>
        <v>4</v>
      </c>
      <c r="H1191" s="2" t="n">
        <f aca="false">'Raw Data'!V1191</f>
        <v>4</v>
      </c>
      <c r="I1191" s="2" t="n">
        <f aca="false">IF(AND(ISNUMBER(B1191),B1191&lt;=25),2,0)+IF(AND(ISNUMBER(E1191),E1191&lt;=5),2,0)+IF(AND(ISNUMBER(F1191),F1191&lt;=1),2,0)+IF(AND(ISNUMBER(G1191),G1191&lt;=2),1,0)+IF(AND(ISNUMBER(H1191),H1191&lt;=2),1,0)</f>
        <v>0</v>
      </c>
      <c r="J1191" s="2" t="str">
        <f aca="false">IF(I1191&gt;=6,"High",IF(I1191&gt;=3,"Medium","Low"))</f>
        <v>Low</v>
      </c>
    </row>
    <row r="1192" customFormat="false" ht="15" hidden="false" customHeight="true" outlineLevel="0" collapsed="false">
      <c r="A1192" s="2" t="n">
        <f aca="false">'Raw Data'!H1192</f>
        <v>1191</v>
      </c>
      <c r="B1192" s="2" t="n">
        <f aca="false">'Raw Data'!A1192</f>
        <v>41</v>
      </c>
      <c r="C1192" s="2" t="str">
        <f aca="false">'Raw Data'!D1192</f>
        <v>Research &amp; Development</v>
      </c>
      <c r="D1192" s="2" t="str">
        <f aca="false">'Raw Data'!K1192</f>
        <v>Healthcare Representative</v>
      </c>
      <c r="E1192" s="2" t="n">
        <f aca="false">'Raw Data'!Q1192</f>
        <v>14</v>
      </c>
      <c r="F1192" s="2" t="n">
        <f aca="false">'Raw Data'!U1192</f>
        <v>4</v>
      </c>
      <c r="G1192" s="2" t="n">
        <f aca="false">'Raw Data'!W1192</f>
        <v>2</v>
      </c>
      <c r="H1192" s="2" t="n">
        <f aca="false">'Raw Data'!V1192</f>
        <v>3</v>
      </c>
      <c r="I1192" s="2" t="n">
        <f aca="false">IF(AND(ISNUMBER(B1192),B1192&lt;=25),2,0)+IF(AND(ISNUMBER(E1192),E1192&lt;=5),2,0)+IF(AND(ISNUMBER(F1192),F1192&lt;=1),2,0)+IF(AND(ISNUMBER(G1192),G1192&lt;=2),1,0)+IF(AND(ISNUMBER(H1192),H1192&lt;=2),1,0)</f>
        <v>1</v>
      </c>
      <c r="J1192" s="2" t="str">
        <f aca="false">IF(I1192&gt;=6,"High",IF(I1192&gt;=3,"Medium","Low"))</f>
        <v>Low</v>
      </c>
    </row>
    <row r="1193" customFormat="false" ht="15" hidden="false" customHeight="true" outlineLevel="0" collapsed="false">
      <c r="A1193" s="2" t="n">
        <f aca="false">'Raw Data'!H1193</f>
        <v>1192</v>
      </c>
      <c r="B1193" s="2" t="n">
        <f aca="false">'Raw Data'!A1193</f>
        <v>32</v>
      </c>
      <c r="C1193" s="2" t="str">
        <f aca="false">'Raw Data'!D1193</f>
        <v>Sales</v>
      </c>
      <c r="D1193" s="2" t="str">
        <f aca="false">'Raw Data'!K1193</f>
        <v>Research Scientist</v>
      </c>
      <c r="E1193" s="2" t="n">
        <f aca="false">'Raw Data'!Q1193</f>
        <v>4</v>
      </c>
      <c r="F1193" s="2" t="n">
        <f aca="false">'Raw Data'!U1193</f>
        <v>2</v>
      </c>
      <c r="G1193" s="2" t="n">
        <f aca="false">'Raw Data'!W1193</f>
        <v>1</v>
      </c>
      <c r="H1193" s="2" t="n">
        <f aca="false">'Raw Data'!V1193</f>
        <v>4</v>
      </c>
      <c r="I1193" s="2" t="n">
        <f aca="false">IF(AND(ISNUMBER(B1193),B1193&lt;=25),2,0)+IF(AND(ISNUMBER(E1193),E1193&lt;=5),2,0)+IF(AND(ISNUMBER(F1193),F1193&lt;=1),2,0)+IF(AND(ISNUMBER(G1193),G1193&lt;=2),1,0)+IF(AND(ISNUMBER(H1193),H1193&lt;=2),1,0)</f>
        <v>3</v>
      </c>
      <c r="J1193" s="2" t="str">
        <f aca="false">IF(I1193&gt;=6,"High",IF(I1193&gt;=3,"Medium","Low"))</f>
        <v>Medium</v>
      </c>
    </row>
    <row r="1194" customFormat="false" ht="15" hidden="false" customHeight="true" outlineLevel="0" collapsed="false">
      <c r="A1194" s="2" t="n">
        <f aca="false">'Raw Data'!H1194</f>
        <v>1193</v>
      </c>
      <c r="B1194" s="2" t="n">
        <f aca="false">'Raw Data'!A1194</f>
        <v>35</v>
      </c>
      <c r="C1194" s="2" t="str">
        <f aca="false">'Raw Data'!D1194</f>
        <v>Research &amp; Development</v>
      </c>
      <c r="D1194" s="2" t="str">
        <f aca="false">'Raw Data'!K1194</f>
        <v>Healthcare Representative</v>
      </c>
      <c r="E1194" s="2" t="n">
        <f aca="false">'Raw Data'!Q1194</f>
        <v>9</v>
      </c>
      <c r="F1194" s="2" t="n">
        <f aca="false">'Raw Data'!U1194</f>
        <v>7</v>
      </c>
      <c r="G1194" s="2" t="n">
        <f aca="false">'Raw Data'!W1194</f>
        <v>4</v>
      </c>
      <c r="H1194" s="2" t="n">
        <f aca="false">'Raw Data'!V1194</f>
        <v>3</v>
      </c>
      <c r="I1194" s="2" t="n">
        <f aca="false">IF(AND(ISNUMBER(B1194),B1194&lt;=25),2,0)+IF(AND(ISNUMBER(E1194),E1194&lt;=5),2,0)+IF(AND(ISNUMBER(F1194),F1194&lt;=1),2,0)+IF(AND(ISNUMBER(G1194),G1194&lt;=2),1,0)+IF(AND(ISNUMBER(H1194),H1194&lt;=2),1,0)</f>
        <v>0</v>
      </c>
      <c r="J1194" s="2" t="str">
        <f aca="false">IF(I1194&gt;=6,"High",IF(I1194&gt;=3,"Medium","Low"))</f>
        <v>Low</v>
      </c>
    </row>
    <row r="1195" customFormat="false" ht="15" hidden="false" customHeight="true" outlineLevel="0" collapsed="false">
      <c r="A1195" s="2" t="n">
        <f aca="false">'Raw Data'!H1195</f>
        <v>1194</v>
      </c>
      <c r="B1195" s="2" t="n">
        <f aca="false">'Raw Data'!A1195</f>
        <v>38</v>
      </c>
      <c r="C1195" s="2" t="str">
        <f aca="false">'Raw Data'!D1195</f>
        <v>Research &amp; Development</v>
      </c>
      <c r="D1195" s="2" t="str">
        <f aca="false">'Raw Data'!K1195</f>
        <v>Sales Representative</v>
      </c>
      <c r="E1195" s="2" t="n">
        <f aca="false">'Raw Data'!Q1195</f>
        <v>10</v>
      </c>
      <c r="F1195" s="2" t="n">
        <f aca="false">'Raw Data'!U1195</f>
        <v>9</v>
      </c>
      <c r="G1195" s="2" t="n">
        <f aca="false">'Raw Data'!W1195</f>
        <v>4</v>
      </c>
      <c r="H1195" s="2" t="n">
        <f aca="false">'Raw Data'!V1195</f>
        <v>1</v>
      </c>
      <c r="I1195" s="2" t="n">
        <f aca="false">IF(AND(ISNUMBER(B1195),B1195&lt;=25),2,0)+IF(AND(ISNUMBER(E1195),E1195&lt;=5),2,0)+IF(AND(ISNUMBER(F1195),F1195&lt;=1),2,0)+IF(AND(ISNUMBER(G1195),G1195&lt;=2),1,0)+IF(AND(ISNUMBER(H1195),H1195&lt;=2),1,0)</f>
        <v>1</v>
      </c>
      <c r="J1195" s="2" t="str">
        <f aca="false">IF(I1195&gt;=6,"High",IF(I1195&gt;=3,"Medium","Low"))</f>
        <v>Low</v>
      </c>
    </row>
    <row r="1196" customFormat="false" ht="15" hidden="false" customHeight="true" outlineLevel="0" collapsed="false">
      <c r="A1196" s="2" t="n">
        <f aca="false">'Raw Data'!H1196</f>
        <v>1195</v>
      </c>
      <c r="B1196" s="2" t="n">
        <f aca="false">'Raw Data'!A1196</f>
        <v>50</v>
      </c>
      <c r="C1196" s="2" t="str">
        <f aca="false">'Raw Data'!D1196</f>
        <v>Sales</v>
      </c>
      <c r="D1196" s="2" t="str">
        <f aca="false">'Raw Data'!K1196</f>
        <v>Laboratory Technician</v>
      </c>
      <c r="E1196" s="2" t="n">
        <f aca="false">'Raw Data'!Q1196</f>
        <v>12</v>
      </c>
      <c r="F1196" s="2" t="n">
        <f aca="false">'Raw Data'!U1196</f>
        <v>1</v>
      </c>
      <c r="G1196" s="2" t="n">
        <f aca="false">'Raw Data'!W1196</f>
        <v>3</v>
      </c>
      <c r="H1196" s="2" t="n">
        <f aca="false">'Raw Data'!V1196</f>
        <v>2</v>
      </c>
      <c r="I1196" s="2" t="n">
        <f aca="false">IF(AND(ISNUMBER(B1196),B1196&lt;=25),2,0)+IF(AND(ISNUMBER(E1196),E1196&lt;=5),2,0)+IF(AND(ISNUMBER(F1196),F1196&lt;=1),2,0)+IF(AND(ISNUMBER(G1196),G1196&lt;=2),1,0)+IF(AND(ISNUMBER(H1196),H1196&lt;=2),1,0)</f>
        <v>3</v>
      </c>
      <c r="J1196" s="2" t="str">
        <f aca="false">IF(I1196&gt;=6,"High",IF(I1196&gt;=3,"Medium","Low"))</f>
        <v>Medium</v>
      </c>
    </row>
    <row r="1197" customFormat="false" ht="15" hidden="false" customHeight="true" outlineLevel="0" collapsed="false">
      <c r="A1197" s="2" t="n">
        <f aca="false">'Raw Data'!H1197</f>
        <v>1196</v>
      </c>
      <c r="B1197" s="2" t="n">
        <f aca="false">'Raw Data'!A1197</f>
        <v>36</v>
      </c>
      <c r="C1197" s="2" t="str">
        <f aca="false">'Raw Data'!D1197</f>
        <v>Research &amp; Development</v>
      </c>
      <c r="D1197" s="2" t="str">
        <f aca="false">'Raw Data'!K1197</f>
        <v>Healthcare Representative</v>
      </c>
      <c r="E1197" s="2" t="n">
        <f aca="false">'Raw Data'!Q1197</f>
        <v>8</v>
      </c>
      <c r="F1197" s="2" t="n">
        <f aca="false">'Raw Data'!U1197</f>
        <v>0</v>
      </c>
      <c r="G1197" s="2" t="n">
        <f aca="false">'Raw Data'!W1197</f>
        <v>0</v>
      </c>
      <c r="H1197" s="2" t="n">
        <f aca="false">'Raw Data'!V1197</f>
        <v>2</v>
      </c>
      <c r="I1197" s="2" t="n">
        <f aca="false">IF(AND(ISNUMBER(B1197),B1197&lt;=25),2,0)+IF(AND(ISNUMBER(E1197),E1197&lt;=5),2,0)+IF(AND(ISNUMBER(F1197),F1197&lt;=1),2,0)+IF(AND(ISNUMBER(G1197),G1197&lt;=2),1,0)+IF(AND(ISNUMBER(H1197),H1197&lt;=2),1,0)</f>
        <v>3</v>
      </c>
      <c r="J1197" s="2" t="str">
        <f aca="false">IF(I1197&gt;=6,"High",IF(I1197&gt;=3,"Medium","Low"))</f>
        <v>Medium</v>
      </c>
    </row>
    <row r="1198" customFormat="false" ht="15" hidden="false" customHeight="true" outlineLevel="0" collapsed="false">
      <c r="A1198" s="2" t="n">
        <f aca="false">'Raw Data'!H1198</f>
        <v>1197</v>
      </c>
      <c r="B1198" s="2" t="n">
        <f aca="false">'Raw Data'!A1198</f>
        <v>45</v>
      </c>
      <c r="C1198" s="2" t="str">
        <f aca="false">'Raw Data'!D1198</f>
        <v>Sales</v>
      </c>
      <c r="D1198" s="2" t="str">
        <f aca="false">'Raw Data'!K1198</f>
        <v>Laboratory Technician</v>
      </c>
      <c r="E1198" s="2" t="n">
        <f aca="false">'Raw Data'!Q1198</f>
        <v>8</v>
      </c>
      <c r="F1198" s="2" t="n">
        <f aca="false">'Raw Data'!U1198</f>
        <v>1</v>
      </c>
      <c r="G1198" s="2" t="n">
        <f aca="false">'Raw Data'!W1198</f>
        <v>3</v>
      </c>
      <c r="H1198" s="2" t="n">
        <f aca="false">'Raw Data'!V1198</f>
        <v>4</v>
      </c>
      <c r="I1198" s="2" t="n">
        <f aca="false">IF(AND(ISNUMBER(B1198),B1198&lt;=25),2,0)+IF(AND(ISNUMBER(E1198),E1198&lt;=5),2,0)+IF(AND(ISNUMBER(F1198),F1198&lt;=1),2,0)+IF(AND(ISNUMBER(G1198),G1198&lt;=2),1,0)+IF(AND(ISNUMBER(H1198),H1198&lt;=2),1,0)</f>
        <v>2</v>
      </c>
      <c r="J1198" s="2" t="str">
        <f aca="false">IF(I1198&gt;=6,"High",IF(I1198&gt;=3,"Medium","Low"))</f>
        <v>Low</v>
      </c>
    </row>
    <row r="1199" customFormat="false" ht="15" hidden="false" customHeight="true" outlineLevel="0" collapsed="false">
      <c r="A1199" s="2" t="n">
        <f aca="false">'Raw Data'!H1199</f>
        <v>1198</v>
      </c>
      <c r="B1199" s="2" t="n">
        <f aca="false">'Raw Data'!A1199</f>
        <v>40</v>
      </c>
      <c r="C1199" s="2" t="str">
        <f aca="false">'Raw Data'!D1199</f>
        <v>Sales</v>
      </c>
      <c r="D1199" s="2" t="str">
        <f aca="false">'Raw Data'!K1199</f>
        <v>Research Scientist</v>
      </c>
      <c r="E1199" s="2" t="n">
        <f aca="false">'Raw Data'!Q1199</f>
        <v>8</v>
      </c>
      <c r="F1199" s="2" t="n">
        <f aca="false">'Raw Data'!U1199</f>
        <v>2</v>
      </c>
      <c r="G1199" s="2" t="n">
        <f aca="false">'Raw Data'!W1199</f>
        <v>3</v>
      </c>
      <c r="H1199" s="2" t="n">
        <f aca="false">'Raw Data'!V1199</f>
        <v>3</v>
      </c>
      <c r="I1199" s="2" t="n">
        <f aca="false">IF(AND(ISNUMBER(B1199),B1199&lt;=25),2,0)+IF(AND(ISNUMBER(E1199),E1199&lt;=5),2,0)+IF(AND(ISNUMBER(F1199),F1199&lt;=1),2,0)+IF(AND(ISNUMBER(G1199),G1199&lt;=2),1,0)+IF(AND(ISNUMBER(H1199),H1199&lt;=2),1,0)</f>
        <v>0</v>
      </c>
      <c r="J1199" s="2" t="str">
        <f aca="false">IF(I1199&gt;=6,"High",IF(I1199&gt;=3,"Medium","Low"))</f>
        <v>Low</v>
      </c>
    </row>
    <row r="1200" customFormat="false" ht="15" hidden="false" customHeight="true" outlineLevel="0" collapsed="false">
      <c r="A1200" s="2" t="n">
        <f aca="false">'Raw Data'!H1200</f>
        <v>1199</v>
      </c>
      <c r="B1200" s="2" t="n">
        <f aca="false">'Raw Data'!A1200</f>
        <v>35</v>
      </c>
      <c r="C1200" s="2" t="str">
        <f aca="false">'Raw Data'!D1200</f>
        <v>Sales</v>
      </c>
      <c r="D1200" s="2" t="str">
        <f aca="false">'Raw Data'!K1200</f>
        <v>Manufacturing Director</v>
      </c>
      <c r="E1200" s="2" t="n">
        <f aca="false">'Raw Data'!Q1200</f>
        <v>10</v>
      </c>
      <c r="F1200" s="2" t="n">
        <f aca="false">'Raw Data'!U1200</f>
        <v>2</v>
      </c>
      <c r="G1200" s="2" t="n">
        <f aca="false">'Raw Data'!W1200</f>
        <v>3</v>
      </c>
      <c r="H1200" s="2" t="n">
        <f aca="false">'Raw Data'!V1200</f>
        <v>3</v>
      </c>
      <c r="I1200" s="2" t="n">
        <f aca="false">IF(AND(ISNUMBER(B1200),B1200&lt;=25),2,0)+IF(AND(ISNUMBER(E1200),E1200&lt;=5),2,0)+IF(AND(ISNUMBER(F1200),F1200&lt;=1),2,0)+IF(AND(ISNUMBER(G1200),G1200&lt;=2),1,0)+IF(AND(ISNUMBER(H1200),H1200&lt;=2),1,0)</f>
        <v>0</v>
      </c>
      <c r="J1200" s="2" t="str">
        <f aca="false">IF(I1200&gt;=6,"High",IF(I1200&gt;=3,"Medium","Low"))</f>
        <v>Low</v>
      </c>
    </row>
    <row r="1201" customFormat="false" ht="15" hidden="false" customHeight="true" outlineLevel="0" collapsed="false">
      <c r="A1201" s="2" t="n">
        <f aca="false">'Raw Data'!H1201</f>
        <v>1200</v>
      </c>
      <c r="B1201" s="2" t="n">
        <f aca="false">'Raw Data'!A1201</f>
        <v>40</v>
      </c>
      <c r="C1201" s="2" t="str">
        <f aca="false">'Raw Data'!D1201</f>
        <v>Research &amp; Development</v>
      </c>
      <c r="D1201" s="2" t="str">
        <f aca="false">'Raw Data'!K1201</f>
        <v>Manager</v>
      </c>
      <c r="E1201" s="2" t="n">
        <f aca="false">'Raw Data'!Q1201</f>
        <v>20</v>
      </c>
      <c r="F1201" s="2" t="n">
        <f aca="false">'Raw Data'!U1201</f>
        <v>2</v>
      </c>
      <c r="G1201" s="2" t="n">
        <f aca="false">'Raw Data'!W1201</f>
        <v>3</v>
      </c>
      <c r="H1201" s="2" t="n">
        <f aca="false">'Raw Data'!V1201</f>
        <v>3</v>
      </c>
      <c r="I1201" s="2" t="n">
        <f aca="false">IF(AND(ISNUMBER(B1201),B1201&lt;=25),2,0)+IF(AND(ISNUMBER(E1201),E1201&lt;=5),2,0)+IF(AND(ISNUMBER(F1201),F1201&lt;=1),2,0)+IF(AND(ISNUMBER(G1201),G1201&lt;=2),1,0)+IF(AND(ISNUMBER(H1201),H1201&lt;=2),1,0)</f>
        <v>0</v>
      </c>
      <c r="J1201" s="2" t="str">
        <f aca="false">IF(I1201&gt;=6,"High",IF(I1201&gt;=3,"Medium","Low"))</f>
        <v>Low</v>
      </c>
    </row>
    <row r="1202" customFormat="false" ht="15" hidden="false" customHeight="true" outlineLevel="0" collapsed="false">
      <c r="A1202" s="2" t="n">
        <f aca="false">'Raw Data'!H1202</f>
        <v>1201</v>
      </c>
      <c r="B1202" s="2" t="n">
        <f aca="false">'Raw Data'!A1202</f>
        <v>35</v>
      </c>
      <c r="C1202" s="2" t="str">
        <f aca="false">'Raw Data'!D1202</f>
        <v>Human Resources</v>
      </c>
      <c r="D1202" s="2" t="str">
        <f aca="false">'Raw Data'!K1202</f>
        <v>Research Scientist</v>
      </c>
      <c r="E1202" s="2" t="n">
        <f aca="false">'Raw Data'!Q1202</f>
        <v>4</v>
      </c>
      <c r="F1202" s="2" t="n">
        <f aca="false">'Raw Data'!U1202</f>
        <v>1</v>
      </c>
      <c r="G1202" s="2" t="n">
        <f aca="false">'Raw Data'!W1202</f>
        <v>4</v>
      </c>
      <c r="H1202" s="2" t="n">
        <f aca="false">'Raw Data'!V1202</f>
        <v>3</v>
      </c>
      <c r="I1202" s="2" t="n">
        <f aca="false">IF(AND(ISNUMBER(B1202),B1202&lt;=25),2,0)+IF(AND(ISNUMBER(E1202),E1202&lt;=5),2,0)+IF(AND(ISNUMBER(F1202),F1202&lt;=1),2,0)+IF(AND(ISNUMBER(G1202),G1202&lt;=2),1,0)+IF(AND(ISNUMBER(H1202),H1202&lt;=2),1,0)</f>
        <v>4</v>
      </c>
      <c r="J1202" s="2" t="str">
        <f aca="false">IF(I1202&gt;=6,"High",IF(I1202&gt;=3,"Medium","Low"))</f>
        <v>Medium</v>
      </c>
    </row>
    <row r="1203" customFormat="false" ht="15" hidden="false" customHeight="true" outlineLevel="0" collapsed="false">
      <c r="A1203" s="2" t="n">
        <f aca="false">'Raw Data'!H1203</f>
        <v>1202</v>
      </c>
      <c r="B1203" s="2" t="n">
        <f aca="false">'Raw Data'!A1203</f>
        <v>29</v>
      </c>
      <c r="C1203" s="2" t="str">
        <f aca="false">'Raw Data'!D1203</f>
        <v>Research &amp; Development</v>
      </c>
      <c r="D1203" s="2" t="str">
        <f aca="false">'Raw Data'!K1203</f>
        <v>Sales Executive</v>
      </c>
      <c r="E1203" s="2" t="n">
        <f aca="false">'Raw Data'!Q1203</f>
        <v>10</v>
      </c>
      <c r="F1203" s="2" t="n">
        <f aca="false">'Raw Data'!U1203</f>
        <v>3</v>
      </c>
      <c r="G1203" s="2" t="n">
        <f aca="false">'Raw Data'!W1203</f>
        <v>2</v>
      </c>
      <c r="H1203" s="2" t="n">
        <f aca="false">'Raw Data'!V1203</f>
        <v>4</v>
      </c>
      <c r="I1203" s="2" t="n">
        <f aca="false">IF(AND(ISNUMBER(B1203),B1203&lt;=25),2,0)+IF(AND(ISNUMBER(E1203),E1203&lt;=5),2,0)+IF(AND(ISNUMBER(F1203),F1203&lt;=1),2,0)+IF(AND(ISNUMBER(G1203),G1203&lt;=2),1,0)+IF(AND(ISNUMBER(H1203),H1203&lt;=2),1,0)</f>
        <v>1</v>
      </c>
      <c r="J1203" s="2" t="str">
        <f aca="false">IF(I1203&gt;=6,"High",IF(I1203&gt;=3,"Medium","Low"))</f>
        <v>Low</v>
      </c>
    </row>
    <row r="1204" customFormat="false" ht="15" hidden="false" customHeight="true" outlineLevel="0" collapsed="false">
      <c r="A1204" s="2" t="n">
        <f aca="false">'Raw Data'!H1204</f>
        <v>1203</v>
      </c>
      <c r="B1204" s="2" t="n">
        <f aca="false">'Raw Data'!A1204</f>
        <v>29</v>
      </c>
      <c r="C1204" s="2" t="str">
        <f aca="false">'Raw Data'!D1204</f>
        <v>Research &amp; Development</v>
      </c>
      <c r="D1204" s="2" t="str">
        <f aca="false">'Raw Data'!K1204</f>
        <v>Sales Representative</v>
      </c>
      <c r="E1204" s="2" t="n">
        <f aca="false">'Raw Data'!Q1204</f>
        <v>5</v>
      </c>
      <c r="F1204" s="2" t="n">
        <f aca="false">'Raw Data'!U1204</f>
        <v>4</v>
      </c>
      <c r="G1204" s="2" t="n">
        <f aca="false">'Raw Data'!W1204</f>
        <v>1</v>
      </c>
      <c r="H1204" s="2" t="n">
        <f aca="false">'Raw Data'!V1204</f>
        <v>4</v>
      </c>
      <c r="I1204" s="2" t="n">
        <f aca="false">IF(AND(ISNUMBER(B1204),B1204&lt;=25),2,0)+IF(AND(ISNUMBER(E1204),E1204&lt;=5),2,0)+IF(AND(ISNUMBER(F1204),F1204&lt;=1),2,0)+IF(AND(ISNUMBER(G1204),G1204&lt;=2),1,0)+IF(AND(ISNUMBER(H1204),H1204&lt;=2),1,0)</f>
        <v>3</v>
      </c>
      <c r="J1204" s="2" t="str">
        <f aca="false">IF(I1204&gt;=6,"High",IF(I1204&gt;=3,"Medium","Low"))</f>
        <v>Medium</v>
      </c>
    </row>
    <row r="1205" customFormat="false" ht="15" hidden="false" customHeight="true" outlineLevel="0" collapsed="false">
      <c r="A1205" s="2" t="n">
        <f aca="false">'Raw Data'!H1205</f>
        <v>1204</v>
      </c>
      <c r="B1205" s="2" t="n">
        <f aca="false">'Raw Data'!A1205</f>
        <v>50</v>
      </c>
      <c r="C1205" s="2" t="str">
        <f aca="false">'Raw Data'!D1205</f>
        <v>Research &amp; Development</v>
      </c>
      <c r="D1205" s="2" t="str">
        <f aca="false">'Raw Data'!K1205</f>
        <v>Research Scientist</v>
      </c>
      <c r="E1205" s="2" t="n">
        <f aca="false">'Raw Data'!Q1205</f>
        <v>20</v>
      </c>
      <c r="F1205" s="2" t="n">
        <f aca="false">'Raw Data'!U1205</f>
        <v>0</v>
      </c>
      <c r="G1205" s="2" t="n">
        <f aca="false">'Raw Data'!W1205</f>
        <v>1</v>
      </c>
      <c r="H1205" s="2" t="n">
        <f aca="false">'Raw Data'!V1205</f>
        <v>4</v>
      </c>
      <c r="I1205" s="2" t="n">
        <f aca="false">IF(AND(ISNUMBER(B1205),B1205&lt;=25),2,0)+IF(AND(ISNUMBER(E1205),E1205&lt;=5),2,0)+IF(AND(ISNUMBER(F1205),F1205&lt;=1),2,0)+IF(AND(ISNUMBER(G1205),G1205&lt;=2),1,0)+IF(AND(ISNUMBER(H1205),H1205&lt;=2),1,0)</f>
        <v>3</v>
      </c>
      <c r="J1205" s="2" t="str">
        <f aca="false">IF(I1205&gt;=6,"High",IF(I1205&gt;=3,"Medium","Low"))</f>
        <v>Medium</v>
      </c>
    </row>
    <row r="1206" customFormat="false" ht="15" hidden="false" customHeight="true" outlineLevel="0" collapsed="false">
      <c r="A1206" s="2" t="n">
        <f aca="false">'Raw Data'!H1206</f>
        <v>1205</v>
      </c>
      <c r="B1206" s="2" t="n">
        <f aca="false">'Raw Data'!A1206</f>
        <v>39</v>
      </c>
      <c r="C1206" s="2" t="str">
        <f aca="false">'Raw Data'!D1206</f>
        <v>Sales</v>
      </c>
      <c r="D1206" s="2" t="str">
        <f aca="false">'Raw Data'!K1206</f>
        <v>Sales Executive</v>
      </c>
      <c r="E1206" s="2" t="n">
        <f aca="false">'Raw Data'!Q1206</f>
        <v>21</v>
      </c>
      <c r="F1206" s="2" t="n">
        <f aca="false">'Raw Data'!U1206</f>
        <v>6</v>
      </c>
      <c r="G1206" s="2" t="n">
        <f aca="false">'Raw Data'!W1206</f>
        <v>4</v>
      </c>
      <c r="H1206" s="2" t="n">
        <f aca="false">'Raw Data'!V1206</f>
        <v>2</v>
      </c>
      <c r="I1206" s="2" t="n">
        <f aca="false">IF(AND(ISNUMBER(B1206),B1206&lt;=25),2,0)+IF(AND(ISNUMBER(E1206),E1206&lt;=5),2,0)+IF(AND(ISNUMBER(F1206),F1206&lt;=1),2,0)+IF(AND(ISNUMBER(G1206),G1206&lt;=2),1,0)+IF(AND(ISNUMBER(H1206),H1206&lt;=2),1,0)</f>
        <v>1</v>
      </c>
      <c r="J1206" s="2" t="str">
        <f aca="false">IF(I1206&gt;=6,"High",IF(I1206&gt;=3,"Medium","Low"))</f>
        <v>Low</v>
      </c>
    </row>
    <row r="1207" customFormat="false" ht="15" hidden="false" customHeight="true" outlineLevel="0" collapsed="false">
      <c r="A1207" s="2" t="n">
        <f aca="false">'Raw Data'!H1207</f>
        <v>1206</v>
      </c>
      <c r="B1207" s="2" t="n">
        <f aca="false">'Raw Data'!A1207</f>
        <v>31</v>
      </c>
      <c r="C1207" s="2" t="str">
        <f aca="false">'Raw Data'!D1207</f>
        <v>Research &amp; Development</v>
      </c>
      <c r="D1207" s="2" t="str">
        <f aca="false">'Raw Data'!K1207</f>
        <v>Sales Executive</v>
      </c>
      <c r="E1207" s="2" t="n">
        <f aca="false">'Raw Data'!Q1207</f>
        <v>10</v>
      </c>
      <c r="F1207" s="2" t="n">
        <f aca="false">'Raw Data'!U1207</f>
        <v>7</v>
      </c>
      <c r="G1207" s="2" t="n">
        <f aca="false">'Raw Data'!W1207</f>
        <v>1</v>
      </c>
      <c r="H1207" s="2" t="n">
        <f aca="false">'Raw Data'!V1207</f>
        <v>2</v>
      </c>
      <c r="I1207" s="2" t="n">
        <f aca="false">IF(AND(ISNUMBER(B1207),B1207&lt;=25),2,0)+IF(AND(ISNUMBER(E1207),E1207&lt;=5),2,0)+IF(AND(ISNUMBER(F1207),F1207&lt;=1),2,0)+IF(AND(ISNUMBER(G1207),G1207&lt;=2),1,0)+IF(AND(ISNUMBER(H1207),H1207&lt;=2),1,0)</f>
        <v>2</v>
      </c>
      <c r="J1207" s="2" t="str">
        <f aca="false">IF(I1207&gt;=6,"High",IF(I1207&gt;=3,"Medium","Low"))</f>
        <v>Low</v>
      </c>
    </row>
    <row r="1208" customFormat="false" ht="15" hidden="false" customHeight="true" outlineLevel="0" collapsed="false">
      <c r="A1208" s="2" t="n">
        <f aca="false">'Raw Data'!H1208</f>
        <v>1207</v>
      </c>
      <c r="B1208" s="2" t="n">
        <f aca="false">'Raw Data'!A1208</f>
        <v>26</v>
      </c>
      <c r="C1208" s="2" t="str">
        <f aca="false">'Raw Data'!D1208</f>
        <v>Research &amp; Development</v>
      </c>
      <c r="D1208" s="2" t="str">
        <f aca="false">'Raw Data'!K1208</f>
        <v>Manager</v>
      </c>
      <c r="E1208" s="2" t="n">
        <f aca="false">'Raw Data'!Q1208</f>
        <v>5</v>
      </c>
      <c r="F1208" s="2" t="n">
        <f aca="false">'Raw Data'!U1208</f>
        <v>0</v>
      </c>
      <c r="G1208" s="2" t="n">
        <f aca="false">'Raw Data'!W1208</f>
        <v>3</v>
      </c>
      <c r="H1208" s="2" t="n">
        <f aca="false">'Raw Data'!V1208</f>
        <v>4</v>
      </c>
      <c r="I1208" s="2" t="n">
        <f aca="false">IF(AND(ISNUMBER(B1208),B1208&lt;=25),2,0)+IF(AND(ISNUMBER(E1208),E1208&lt;=5),2,0)+IF(AND(ISNUMBER(F1208),F1208&lt;=1),2,0)+IF(AND(ISNUMBER(G1208),G1208&lt;=2),1,0)+IF(AND(ISNUMBER(H1208),H1208&lt;=2),1,0)</f>
        <v>4</v>
      </c>
      <c r="J1208" s="2" t="str">
        <f aca="false">IF(I1208&gt;=6,"High",IF(I1208&gt;=3,"Medium","Low"))</f>
        <v>Medium</v>
      </c>
    </row>
    <row r="1209" customFormat="false" ht="15" hidden="false" customHeight="true" outlineLevel="0" collapsed="false">
      <c r="A1209" s="2" t="n">
        <f aca="false">'Raw Data'!H1209</f>
        <v>1208</v>
      </c>
      <c r="B1209" s="2" t="n">
        <f aca="false">'Raw Data'!A1209</f>
        <v>36</v>
      </c>
      <c r="C1209" s="2" t="str">
        <f aca="false">'Raw Data'!D1209</f>
        <v>Research &amp; Development</v>
      </c>
      <c r="D1209" s="2" t="str">
        <f aca="false">'Raw Data'!K1209</f>
        <v>Sales Executive</v>
      </c>
      <c r="E1209" s="2" t="n">
        <f aca="false">'Raw Data'!Q1209</f>
        <v>17</v>
      </c>
      <c r="F1209" s="2" t="n">
        <f aca="false">'Raw Data'!U1209</f>
        <v>3</v>
      </c>
      <c r="G1209" s="2" t="n">
        <f aca="false">'Raw Data'!W1209</f>
        <v>4</v>
      </c>
      <c r="H1209" s="2" t="n">
        <f aca="false">'Raw Data'!V1209</f>
        <v>3</v>
      </c>
      <c r="I1209" s="2" t="n">
        <f aca="false">IF(AND(ISNUMBER(B1209),B1209&lt;=25),2,0)+IF(AND(ISNUMBER(E1209),E1209&lt;=5),2,0)+IF(AND(ISNUMBER(F1209),F1209&lt;=1),2,0)+IF(AND(ISNUMBER(G1209),G1209&lt;=2),1,0)+IF(AND(ISNUMBER(H1209),H1209&lt;=2),1,0)</f>
        <v>0</v>
      </c>
      <c r="J1209" s="2" t="str">
        <f aca="false">IF(I1209&gt;=6,"High",IF(I1209&gt;=3,"Medium","Low"))</f>
        <v>Low</v>
      </c>
    </row>
    <row r="1210" customFormat="false" ht="15" hidden="false" customHeight="true" outlineLevel="0" collapsed="false">
      <c r="A1210" s="2" t="n">
        <f aca="false">'Raw Data'!H1210</f>
        <v>1209</v>
      </c>
      <c r="B1210" s="2" t="n">
        <f aca="false">'Raw Data'!A1210</f>
        <v>39</v>
      </c>
      <c r="C1210" s="2" t="str">
        <f aca="false">'Raw Data'!D1210</f>
        <v>Research &amp; Development</v>
      </c>
      <c r="D1210" s="2" t="str">
        <f aca="false">'Raw Data'!K1210</f>
        <v>Research Scientist</v>
      </c>
      <c r="E1210" s="2" t="n">
        <f aca="false">'Raw Data'!Q1210</f>
        <v>9</v>
      </c>
      <c r="F1210" s="2" t="n">
        <f aca="false">'Raw Data'!U1210</f>
        <v>7</v>
      </c>
      <c r="G1210" s="2" t="n">
        <f aca="false">'Raw Data'!W1210</f>
        <v>1</v>
      </c>
      <c r="H1210" s="2" t="n">
        <f aca="false">'Raw Data'!V1210</f>
        <v>4</v>
      </c>
      <c r="I1210" s="2" t="n">
        <f aca="false">IF(AND(ISNUMBER(B1210),B1210&lt;=25),2,0)+IF(AND(ISNUMBER(E1210),E1210&lt;=5),2,0)+IF(AND(ISNUMBER(F1210),F1210&lt;=1),2,0)+IF(AND(ISNUMBER(G1210),G1210&lt;=2),1,0)+IF(AND(ISNUMBER(H1210),H1210&lt;=2),1,0)</f>
        <v>1</v>
      </c>
      <c r="J1210" s="2" t="str">
        <f aca="false">IF(I1210&gt;=6,"High",IF(I1210&gt;=3,"Medium","Low"))</f>
        <v>Low</v>
      </c>
    </row>
    <row r="1211" customFormat="false" ht="15" hidden="false" customHeight="true" outlineLevel="0" collapsed="false">
      <c r="A1211" s="2" t="n">
        <f aca="false">'Raw Data'!H1211</f>
        <v>1210</v>
      </c>
      <c r="B1211" s="2" t="n">
        <f aca="false">'Raw Data'!A1211</f>
        <v>27</v>
      </c>
      <c r="C1211" s="2" t="str">
        <f aca="false">'Raw Data'!D1211</f>
        <v>Research &amp; Development</v>
      </c>
      <c r="D1211" s="2" t="str">
        <f aca="false">'Raw Data'!K1211</f>
        <v>Laboratory Technician</v>
      </c>
      <c r="E1211" s="2" t="n">
        <f aca="false">'Raw Data'!Q1211</f>
        <v>6</v>
      </c>
      <c r="F1211" s="2" t="n">
        <f aca="false">'Raw Data'!U1211</f>
        <v>3</v>
      </c>
      <c r="G1211" s="2" t="n">
        <f aca="false">'Raw Data'!W1211</f>
        <v>2</v>
      </c>
      <c r="H1211" s="2" t="n">
        <f aca="false">'Raw Data'!V1211</f>
        <v>2</v>
      </c>
      <c r="I1211" s="2" t="n">
        <f aca="false">IF(AND(ISNUMBER(B1211),B1211&lt;=25),2,0)+IF(AND(ISNUMBER(E1211),E1211&lt;=5),2,0)+IF(AND(ISNUMBER(F1211),F1211&lt;=1),2,0)+IF(AND(ISNUMBER(G1211),G1211&lt;=2),1,0)+IF(AND(ISNUMBER(H1211),H1211&lt;=2),1,0)</f>
        <v>2</v>
      </c>
      <c r="J1211" s="2" t="str">
        <f aca="false">IF(I1211&gt;=6,"High",IF(I1211&gt;=3,"Medium","Low"))</f>
        <v>Low</v>
      </c>
    </row>
    <row r="1212" customFormat="false" ht="15" hidden="false" customHeight="true" outlineLevel="0" collapsed="false">
      <c r="A1212" s="2" t="n">
        <f aca="false">'Raw Data'!H1212</f>
        <v>1211</v>
      </c>
      <c r="B1212" s="2" t="n">
        <f aca="false">'Raw Data'!A1212</f>
        <v>49</v>
      </c>
      <c r="C1212" s="2" t="str">
        <f aca="false">'Raw Data'!D1212</f>
        <v>Research &amp; Development</v>
      </c>
      <c r="D1212" s="2" t="str">
        <f aca="false">'Raw Data'!K1212</f>
        <v>Healthcare Representative</v>
      </c>
      <c r="E1212" s="2" t="n">
        <f aca="false">'Raw Data'!Q1212</f>
        <v>17</v>
      </c>
      <c r="F1212" s="2" t="n">
        <f aca="false">'Raw Data'!U1212</f>
        <v>8</v>
      </c>
      <c r="G1212" s="2" t="n">
        <f aca="false">'Raw Data'!W1212</f>
        <v>2</v>
      </c>
      <c r="H1212" s="2" t="n">
        <f aca="false">'Raw Data'!V1212</f>
        <v>4</v>
      </c>
      <c r="I1212" s="2" t="n">
        <f aca="false">IF(AND(ISNUMBER(B1212),B1212&lt;=25),2,0)+IF(AND(ISNUMBER(E1212),E1212&lt;=5),2,0)+IF(AND(ISNUMBER(F1212),F1212&lt;=1),2,0)+IF(AND(ISNUMBER(G1212),G1212&lt;=2),1,0)+IF(AND(ISNUMBER(H1212),H1212&lt;=2),1,0)</f>
        <v>1</v>
      </c>
      <c r="J1212" s="2" t="str">
        <f aca="false">IF(I1212&gt;=6,"High",IF(I1212&gt;=3,"Medium","Low"))</f>
        <v>Low</v>
      </c>
    </row>
    <row r="1213" customFormat="false" ht="15" hidden="false" customHeight="true" outlineLevel="0" collapsed="false">
      <c r="A1213" s="2" t="n">
        <f aca="false">'Raw Data'!H1213</f>
        <v>1212</v>
      </c>
      <c r="B1213" s="2" t="n">
        <f aca="false">'Raw Data'!A1213</f>
        <v>34</v>
      </c>
      <c r="C1213" s="2" t="str">
        <f aca="false">'Raw Data'!D1213</f>
        <v>Sales</v>
      </c>
      <c r="D1213" s="2" t="str">
        <f aca="false">'Raw Data'!K1213</f>
        <v>Sales Executive</v>
      </c>
      <c r="E1213" s="2" t="n">
        <f aca="false">'Raw Data'!Q1213</f>
        <v>6</v>
      </c>
      <c r="F1213" s="2" t="n">
        <f aca="false">'Raw Data'!U1213</f>
        <v>2</v>
      </c>
      <c r="G1213" s="2" t="n">
        <f aca="false">'Raw Data'!W1213</f>
        <v>3</v>
      </c>
      <c r="H1213" s="2" t="n">
        <f aca="false">'Raw Data'!V1213</f>
        <v>2</v>
      </c>
      <c r="I1213" s="2" t="n">
        <f aca="false">IF(AND(ISNUMBER(B1213),B1213&lt;=25),2,0)+IF(AND(ISNUMBER(E1213),E1213&lt;=5),2,0)+IF(AND(ISNUMBER(F1213),F1213&lt;=1),2,0)+IF(AND(ISNUMBER(G1213),G1213&lt;=2),1,0)+IF(AND(ISNUMBER(H1213),H1213&lt;=2),1,0)</f>
        <v>1</v>
      </c>
      <c r="J1213" s="2" t="str">
        <f aca="false">IF(I1213&gt;=6,"High",IF(I1213&gt;=3,"Medium","Low"))</f>
        <v>Low</v>
      </c>
    </row>
    <row r="1214" customFormat="false" ht="15" hidden="false" customHeight="true" outlineLevel="0" collapsed="false">
      <c r="A1214" s="2" t="n">
        <f aca="false">'Raw Data'!H1214</f>
        <v>1213</v>
      </c>
      <c r="B1214" s="2" t="n">
        <f aca="false">'Raw Data'!A1214</f>
        <v>41</v>
      </c>
      <c r="C1214" s="2" t="str">
        <f aca="false">'Raw Data'!D1214</f>
        <v>Research &amp; Development</v>
      </c>
      <c r="D1214" s="2" t="str">
        <f aca="false">'Raw Data'!K1214</f>
        <v>Research Scientist</v>
      </c>
      <c r="E1214" s="2" t="n">
        <f aca="false">'Raw Data'!Q1214</f>
        <v>8</v>
      </c>
      <c r="F1214" s="2" t="n">
        <f aca="false">'Raw Data'!U1214</f>
        <v>5</v>
      </c>
      <c r="G1214" s="2" t="n">
        <f aca="false">'Raw Data'!W1214</f>
        <v>4</v>
      </c>
      <c r="H1214" s="2" t="n">
        <f aca="false">'Raw Data'!V1214</f>
        <v>2</v>
      </c>
      <c r="I1214" s="2" t="n">
        <f aca="false">IF(AND(ISNUMBER(B1214),B1214&lt;=25),2,0)+IF(AND(ISNUMBER(E1214),E1214&lt;=5),2,0)+IF(AND(ISNUMBER(F1214),F1214&lt;=1),2,0)+IF(AND(ISNUMBER(G1214),G1214&lt;=2),1,0)+IF(AND(ISNUMBER(H1214),H1214&lt;=2),1,0)</f>
        <v>1</v>
      </c>
      <c r="J1214" s="2" t="str">
        <f aca="false">IF(I1214&gt;=6,"High",IF(I1214&gt;=3,"Medium","Low"))</f>
        <v>Low</v>
      </c>
    </row>
    <row r="1215" customFormat="false" ht="15" hidden="false" customHeight="true" outlineLevel="0" collapsed="false">
      <c r="A1215" s="2" t="n">
        <f aca="false">'Raw Data'!H1215</f>
        <v>1214</v>
      </c>
      <c r="B1215" s="2" t="n">
        <f aca="false">'Raw Data'!A1215</f>
        <v>49</v>
      </c>
      <c r="C1215" s="2" t="str">
        <f aca="false">'Raw Data'!D1215</f>
        <v>Sales</v>
      </c>
      <c r="D1215" s="2" t="str">
        <f aca="false">'Raw Data'!K1215</f>
        <v>Manufacturing Director</v>
      </c>
      <c r="E1215" s="2" t="n">
        <f aca="false">'Raw Data'!Q1215</f>
        <v>10</v>
      </c>
      <c r="F1215" s="2" t="n">
        <f aca="false">'Raw Data'!U1215</f>
        <v>7</v>
      </c>
      <c r="G1215" s="2" t="n">
        <f aca="false">'Raw Data'!W1215</f>
        <v>2</v>
      </c>
      <c r="H1215" s="2" t="n">
        <f aca="false">'Raw Data'!V1215</f>
        <v>3</v>
      </c>
      <c r="I1215" s="2" t="n">
        <f aca="false">IF(AND(ISNUMBER(B1215),B1215&lt;=25),2,0)+IF(AND(ISNUMBER(E1215),E1215&lt;=5),2,0)+IF(AND(ISNUMBER(F1215),F1215&lt;=1),2,0)+IF(AND(ISNUMBER(G1215),G1215&lt;=2),1,0)+IF(AND(ISNUMBER(H1215),H1215&lt;=2),1,0)</f>
        <v>1</v>
      </c>
      <c r="J1215" s="2" t="str">
        <f aca="false">IF(I1215&gt;=6,"High",IF(I1215&gt;=3,"Medium","Low"))</f>
        <v>Low</v>
      </c>
    </row>
    <row r="1216" customFormat="false" ht="15" hidden="false" customHeight="true" outlineLevel="0" collapsed="false">
      <c r="A1216" s="2" t="n">
        <f aca="false">'Raw Data'!H1216</f>
        <v>1215</v>
      </c>
      <c r="B1216" s="2" t="n">
        <f aca="false">'Raw Data'!A1216</f>
        <v>37</v>
      </c>
      <c r="C1216" s="2" t="str">
        <f aca="false">'Raw Data'!D1216</f>
        <v>Research &amp; Development</v>
      </c>
      <c r="D1216" s="2" t="str">
        <f aca="false">'Raw Data'!K1216</f>
        <v>Sales Executive</v>
      </c>
      <c r="E1216" s="2" t="n">
        <f aca="false">'Raw Data'!Q1216</f>
        <v>7</v>
      </c>
      <c r="F1216" s="2" t="n">
        <f aca="false">'Raw Data'!U1216</f>
        <v>0</v>
      </c>
      <c r="G1216" s="2" t="n">
        <f aca="false">'Raw Data'!W1216</f>
        <v>3</v>
      </c>
      <c r="H1216" s="2" t="n">
        <f aca="false">'Raw Data'!V1216</f>
        <v>4</v>
      </c>
      <c r="I1216" s="2" t="n">
        <f aca="false">IF(AND(ISNUMBER(B1216),B1216&lt;=25),2,0)+IF(AND(ISNUMBER(E1216),E1216&lt;=5),2,0)+IF(AND(ISNUMBER(F1216),F1216&lt;=1),2,0)+IF(AND(ISNUMBER(G1216),G1216&lt;=2),1,0)+IF(AND(ISNUMBER(H1216),H1216&lt;=2),1,0)</f>
        <v>2</v>
      </c>
      <c r="J1216" s="2" t="str">
        <f aca="false">IF(I1216&gt;=6,"High",IF(I1216&gt;=3,"Medium","Low"))</f>
        <v>Low</v>
      </c>
    </row>
    <row r="1217" customFormat="false" ht="15" hidden="false" customHeight="true" outlineLevel="0" collapsed="false">
      <c r="A1217" s="2" t="n">
        <f aca="false">'Raw Data'!H1217</f>
        <v>1216</v>
      </c>
      <c r="B1217" s="2" t="n">
        <f aca="false">'Raw Data'!A1217</f>
        <v>33</v>
      </c>
      <c r="C1217" s="2" t="str">
        <f aca="false">'Raw Data'!D1217</f>
        <v>Research &amp; Development</v>
      </c>
      <c r="D1217" s="2" t="str">
        <f aca="false">'Raw Data'!K1217</f>
        <v>Research Scientist</v>
      </c>
      <c r="E1217" s="2" t="n">
        <f aca="false">'Raw Data'!Q1217</f>
        <v>8</v>
      </c>
      <c r="F1217" s="2" t="n">
        <f aca="false">'Raw Data'!U1217</f>
        <v>0</v>
      </c>
      <c r="G1217" s="2" t="n">
        <f aca="false">'Raw Data'!W1217</f>
        <v>3</v>
      </c>
      <c r="H1217" s="2" t="n">
        <f aca="false">'Raw Data'!V1217</f>
        <v>4</v>
      </c>
      <c r="I1217" s="2" t="n">
        <f aca="false">IF(AND(ISNUMBER(B1217),B1217&lt;=25),2,0)+IF(AND(ISNUMBER(E1217),E1217&lt;=5),2,0)+IF(AND(ISNUMBER(F1217),F1217&lt;=1),2,0)+IF(AND(ISNUMBER(G1217),G1217&lt;=2),1,0)+IF(AND(ISNUMBER(H1217),H1217&lt;=2),1,0)</f>
        <v>2</v>
      </c>
      <c r="J1217" s="2" t="str">
        <f aca="false">IF(I1217&gt;=6,"High",IF(I1217&gt;=3,"Medium","Low"))</f>
        <v>Low</v>
      </c>
    </row>
    <row r="1218" customFormat="false" ht="15" hidden="false" customHeight="true" outlineLevel="0" collapsed="false">
      <c r="A1218" s="2" t="n">
        <f aca="false">'Raw Data'!H1218</f>
        <v>1217</v>
      </c>
      <c r="B1218" s="2" t="n">
        <f aca="false">'Raw Data'!A1218</f>
        <v>27</v>
      </c>
      <c r="C1218" s="2" t="str">
        <f aca="false">'Raw Data'!D1218</f>
        <v>Sales</v>
      </c>
      <c r="D1218" s="2" t="str">
        <f aca="false">'Raw Data'!K1218</f>
        <v>Manufacturing Director</v>
      </c>
      <c r="E1218" s="2" t="n">
        <f aca="false">'Raw Data'!Q1218</f>
        <v>6</v>
      </c>
      <c r="F1218" s="2" t="n">
        <f aca="false">'Raw Data'!U1218</f>
        <v>2</v>
      </c>
      <c r="G1218" s="2" t="n">
        <f aca="false">'Raw Data'!W1218</f>
        <v>2</v>
      </c>
      <c r="H1218" s="2" t="n">
        <f aca="false">'Raw Data'!V1218</f>
        <v>1</v>
      </c>
      <c r="I1218" s="2" t="n">
        <f aca="false">IF(AND(ISNUMBER(B1218),B1218&lt;=25),2,0)+IF(AND(ISNUMBER(E1218),E1218&lt;=5),2,0)+IF(AND(ISNUMBER(F1218),F1218&lt;=1),2,0)+IF(AND(ISNUMBER(G1218),G1218&lt;=2),1,0)+IF(AND(ISNUMBER(H1218),H1218&lt;=2),1,0)</f>
        <v>2</v>
      </c>
      <c r="J1218" s="2" t="str">
        <f aca="false">IF(I1218&gt;=6,"High",IF(I1218&gt;=3,"Medium","Low"))</f>
        <v>Low</v>
      </c>
    </row>
    <row r="1219" customFormat="false" ht="15" hidden="false" customHeight="true" outlineLevel="0" collapsed="false">
      <c r="A1219" s="2" t="n">
        <f aca="false">'Raw Data'!H1219</f>
        <v>1218</v>
      </c>
      <c r="B1219" s="2" t="n">
        <f aca="false">'Raw Data'!A1219</f>
        <v>32</v>
      </c>
      <c r="C1219" s="2" t="str">
        <f aca="false">'Raw Data'!D1219</f>
        <v>Research &amp; Development</v>
      </c>
      <c r="D1219" s="2" t="str">
        <f aca="false">'Raw Data'!K1219</f>
        <v>Research Scientist</v>
      </c>
      <c r="E1219" s="2" t="n">
        <f aca="false">'Raw Data'!Q1219</f>
        <v>8</v>
      </c>
      <c r="F1219" s="2" t="n">
        <f aca="false">'Raw Data'!U1219</f>
        <v>6</v>
      </c>
      <c r="G1219" s="2" t="n">
        <f aca="false">'Raw Data'!W1219</f>
        <v>4</v>
      </c>
      <c r="H1219" s="2" t="n">
        <f aca="false">'Raw Data'!V1219</f>
        <v>4</v>
      </c>
      <c r="I1219" s="2" t="n">
        <f aca="false">IF(AND(ISNUMBER(B1219),B1219&lt;=25),2,0)+IF(AND(ISNUMBER(E1219),E1219&lt;=5),2,0)+IF(AND(ISNUMBER(F1219),F1219&lt;=1),2,0)+IF(AND(ISNUMBER(G1219),G1219&lt;=2),1,0)+IF(AND(ISNUMBER(H1219),H1219&lt;=2),1,0)</f>
        <v>0</v>
      </c>
      <c r="J1219" s="2" t="str">
        <f aca="false">IF(I1219&gt;=6,"High",IF(I1219&gt;=3,"Medium","Low"))</f>
        <v>Low</v>
      </c>
    </row>
    <row r="1220" customFormat="false" ht="15" hidden="false" customHeight="true" outlineLevel="0" collapsed="false">
      <c r="A1220" s="2" t="n">
        <f aca="false">'Raw Data'!H1220</f>
        <v>1219</v>
      </c>
      <c r="B1220" s="2" t="n">
        <f aca="false">'Raw Data'!A1220</f>
        <v>59</v>
      </c>
      <c r="C1220" s="2" t="str">
        <f aca="false">'Raw Data'!D1220</f>
        <v>Sales</v>
      </c>
      <c r="D1220" s="2" t="str">
        <f aca="false">'Raw Data'!K1220</f>
        <v>Sales Representative</v>
      </c>
      <c r="E1220" s="2" t="n">
        <f aca="false">'Raw Data'!Q1220</f>
        <v>12</v>
      </c>
      <c r="F1220" s="2" t="n">
        <f aca="false">'Raw Data'!U1220</f>
        <v>0</v>
      </c>
      <c r="G1220" s="2" t="n">
        <f aca="false">'Raw Data'!W1220</f>
        <v>1</v>
      </c>
      <c r="H1220" s="2" t="n">
        <f aca="false">'Raw Data'!V1220</f>
        <v>3</v>
      </c>
      <c r="I1220" s="2" t="n">
        <f aca="false">IF(AND(ISNUMBER(B1220),B1220&lt;=25),2,0)+IF(AND(ISNUMBER(E1220),E1220&lt;=5),2,0)+IF(AND(ISNUMBER(F1220),F1220&lt;=1),2,0)+IF(AND(ISNUMBER(G1220),G1220&lt;=2),1,0)+IF(AND(ISNUMBER(H1220),H1220&lt;=2),1,0)</f>
        <v>3</v>
      </c>
      <c r="J1220" s="2" t="str">
        <f aca="false">IF(I1220&gt;=6,"High",IF(I1220&gt;=3,"Medium","Low"))</f>
        <v>Medium</v>
      </c>
    </row>
    <row r="1221" customFormat="false" ht="15" hidden="false" customHeight="true" outlineLevel="0" collapsed="false">
      <c r="A1221" s="2" t="n">
        <f aca="false">'Raw Data'!H1221</f>
        <v>1220</v>
      </c>
      <c r="B1221" s="2" t="n">
        <f aca="false">'Raw Data'!A1221</f>
        <v>30</v>
      </c>
      <c r="C1221" s="2" t="str">
        <f aca="false">'Raw Data'!D1221</f>
        <v>Research &amp; Development</v>
      </c>
      <c r="D1221" s="2" t="str">
        <f aca="false">'Raw Data'!K1221</f>
        <v>Laboratory Technician</v>
      </c>
      <c r="E1221" s="2" t="n">
        <f aca="false">'Raw Data'!Q1221</f>
        <v>1</v>
      </c>
      <c r="F1221" s="2" t="n">
        <f aca="false">'Raw Data'!U1221</f>
        <v>0</v>
      </c>
      <c r="G1221" s="2" t="n">
        <f aca="false">'Raw Data'!W1221</f>
        <v>3</v>
      </c>
      <c r="H1221" s="2" t="n">
        <f aca="false">'Raw Data'!V1221</f>
        <v>4</v>
      </c>
      <c r="I1221" s="2" t="n">
        <f aca="false">IF(AND(ISNUMBER(B1221),B1221&lt;=25),2,0)+IF(AND(ISNUMBER(E1221),E1221&lt;=5),2,0)+IF(AND(ISNUMBER(F1221),F1221&lt;=1),2,0)+IF(AND(ISNUMBER(G1221),G1221&lt;=2),1,0)+IF(AND(ISNUMBER(H1221),H1221&lt;=2),1,0)</f>
        <v>4</v>
      </c>
      <c r="J1221" s="2" t="str">
        <f aca="false">IF(I1221&gt;=6,"High",IF(I1221&gt;=3,"Medium","Low"))</f>
        <v>Medium</v>
      </c>
    </row>
    <row r="1222" customFormat="false" ht="15" hidden="false" customHeight="true" outlineLevel="0" collapsed="false">
      <c r="A1222" s="2" t="n">
        <f aca="false">'Raw Data'!H1222</f>
        <v>1221</v>
      </c>
      <c r="B1222" s="2" t="n">
        <f aca="false">'Raw Data'!A1222</f>
        <v>38</v>
      </c>
      <c r="C1222" s="2" t="str">
        <f aca="false">'Raw Data'!D1222</f>
        <v>Sales</v>
      </c>
      <c r="D1222" s="2" t="str">
        <f aca="false">'Raw Data'!K1222</f>
        <v>Healthcare Representative</v>
      </c>
      <c r="E1222" s="2" t="n">
        <f aca="false">'Raw Data'!Q1222</f>
        <v>10</v>
      </c>
      <c r="F1222" s="2" t="n">
        <f aca="false">'Raw Data'!U1222</f>
        <v>8</v>
      </c>
      <c r="G1222" s="2" t="n">
        <f aca="false">'Raw Data'!W1222</f>
        <v>3</v>
      </c>
      <c r="H1222" s="2" t="n">
        <f aca="false">'Raw Data'!V1222</f>
        <v>4</v>
      </c>
      <c r="I1222" s="2" t="n">
        <f aca="false">IF(AND(ISNUMBER(B1222),B1222&lt;=25),2,0)+IF(AND(ISNUMBER(E1222),E1222&lt;=5),2,0)+IF(AND(ISNUMBER(F1222),F1222&lt;=1),2,0)+IF(AND(ISNUMBER(G1222),G1222&lt;=2),1,0)+IF(AND(ISNUMBER(H1222),H1222&lt;=2),1,0)</f>
        <v>0</v>
      </c>
      <c r="J1222" s="2" t="str">
        <f aca="false">IF(I1222&gt;=6,"High",IF(I1222&gt;=3,"Medium","Low"))</f>
        <v>Low</v>
      </c>
    </row>
    <row r="1223" customFormat="false" ht="15" hidden="false" customHeight="true" outlineLevel="0" collapsed="false">
      <c r="A1223" s="2" t="n">
        <f aca="false">'Raw Data'!H1223</f>
        <v>1222</v>
      </c>
      <c r="B1223" s="2" t="n">
        <f aca="false">'Raw Data'!A1223</f>
        <v>36</v>
      </c>
      <c r="C1223" s="2" t="str">
        <f aca="false">'Raw Data'!D1223</f>
        <v>Research &amp; Development</v>
      </c>
      <c r="D1223" s="2" t="str">
        <f aca="false">'Raw Data'!K1223</f>
        <v>Sales Executive</v>
      </c>
      <c r="E1223" s="2" t="n">
        <f aca="false">'Raw Data'!Q1223</f>
        <v>17</v>
      </c>
      <c r="F1223" s="2" t="n">
        <f aca="false">'Raw Data'!U1223</f>
        <v>7</v>
      </c>
      <c r="G1223" s="2" t="n">
        <f aca="false">'Raw Data'!W1223</f>
        <v>3</v>
      </c>
      <c r="H1223" s="2" t="n">
        <f aca="false">'Raw Data'!V1223</f>
        <v>3</v>
      </c>
      <c r="I1223" s="2" t="n">
        <f aca="false">IF(AND(ISNUMBER(B1223),B1223&lt;=25),2,0)+IF(AND(ISNUMBER(E1223),E1223&lt;=5),2,0)+IF(AND(ISNUMBER(F1223),F1223&lt;=1),2,0)+IF(AND(ISNUMBER(G1223),G1223&lt;=2),1,0)+IF(AND(ISNUMBER(H1223),H1223&lt;=2),1,0)</f>
        <v>0</v>
      </c>
      <c r="J1223" s="2" t="str">
        <f aca="false">IF(I1223&gt;=6,"High",IF(I1223&gt;=3,"Medium","Low"))</f>
        <v>Low</v>
      </c>
    </row>
    <row r="1224" customFormat="false" ht="15" hidden="false" customHeight="true" outlineLevel="0" collapsed="false">
      <c r="A1224" s="2" t="n">
        <f aca="false">'Raw Data'!H1224</f>
        <v>1223</v>
      </c>
      <c r="B1224" s="2" t="n">
        <f aca="false">'Raw Data'!A1224</f>
        <v>35</v>
      </c>
      <c r="C1224" s="2" t="str">
        <f aca="false">'Raw Data'!D1224</f>
        <v>Human Resources</v>
      </c>
      <c r="D1224" s="2" t="str">
        <f aca="false">'Raw Data'!K1224</f>
        <v>Manager</v>
      </c>
      <c r="E1224" s="2" t="n">
        <f aca="false">'Raw Data'!Q1224</f>
        <v>6</v>
      </c>
      <c r="F1224" s="2" t="n">
        <f aca="false">'Raw Data'!U1224</f>
        <v>3</v>
      </c>
      <c r="G1224" s="2" t="n">
        <f aca="false">'Raw Data'!W1224</f>
        <v>2</v>
      </c>
      <c r="H1224" s="2" t="n">
        <f aca="false">'Raw Data'!V1224</f>
        <v>1</v>
      </c>
      <c r="I1224" s="2" t="n">
        <f aca="false">IF(AND(ISNUMBER(B1224),B1224&lt;=25),2,0)+IF(AND(ISNUMBER(E1224),E1224&lt;=5),2,0)+IF(AND(ISNUMBER(F1224),F1224&lt;=1),2,0)+IF(AND(ISNUMBER(G1224),G1224&lt;=2),1,0)+IF(AND(ISNUMBER(H1224),H1224&lt;=2),1,0)</f>
        <v>2</v>
      </c>
      <c r="J1224" s="2" t="str">
        <f aca="false">IF(I1224&gt;=6,"High",IF(I1224&gt;=3,"Medium","Low"))</f>
        <v>Low</v>
      </c>
    </row>
    <row r="1225" customFormat="false" ht="15" hidden="false" customHeight="true" outlineLevel="0" collapsed="false">
      <c r="A1225" s="2" t="n">
        <f aca="false">'Raw Data'!H1225</f>
        <v>1224</v>
      </c>
      <c r="B1225" s="2" t="n">
        <f aca="false">'Raw Data'!A1225</f>
        <v>29</v>
      </c>
      <c r="C1225" s="2" t="str">
        <f aca="false">'Raw Data'!D1225</f>
        <v>Sales</v>
      </c>
      <c r="D1225" s="2" t="str">
        <f aca="false">'Raw Data'!K1225</f>
        <v>Laboratory Technician</v>
      </c>
      <c r="E1225" s="2" t="n">
        <f aca="false">'Raw Data'!Q1225</f>
        <v>10</v>
      </c>
      <c r="F1225" s="2" t="n">
        <f aca="false">'Raw Data'!U1225</f>
        <v>8</v>
      </c>
      <c r="G1225" s="2" t="n">
        <f aca="false">'Raw Data'!W1225</f>
        <v>3</v>
      </c>
      <c r="H1225" s="2" t="n">
        <f aca="false">'Raw Data'!V1225</f>
        <v>4</v>
      </c>
      <c r="I1225" s="2" t="n">
        <f aca="false">IF(AND(ISNUMBER(B1225),B1225&lt;=25),2,0)+IF(AND(ISNUMBER(E1225),E1225&lt;=5),2,0)+IF(AND(ISNUMBER(F1225),F1225&lt;=1),2,0)+IF(AND(ISNUMBER(G1225),G1225&lt;=2),1,0)+IF(AND(ISNUMBER(H1225),H1225&lt;=2),1,0)</f>
        <v>0</v>
      </c>
      <c r="J1225" s="2" t="str">
        <f aca="false">IF(I1225&gt;=6,"High",IF(I1225&gt;=3,"Medium","Low"))</f>
        <v>Low</v>
      </c>
    </row>
    <row r="1226" customFormat="false" ht="15" hidden="false" customHeight="true" outlineLevel="0" collapsed="false">
      <c r="A1226" s="2" t="n">
        <f aca="false">'Raw Data'!H1226</f>
        <v>1225</v>
      </c>
      <c r="B1226" s="2" t="n">
        <f aca="false">'Raw Data'!A1226</f>
        <v>31</v>
      </c>
      <c r="C1226" s="2" t="str">
        <f aca="false">'Raw Data'!D1226</f>
        <v>Research &amp; Development</v>
      </c>
      <c r="D1226" s="2" t="str">
        <f aca="false">'Raw Data'!K1226</f>
        <v>Laboratory Technician</v>
      </c>
      <c r="E1226" s="2" t="n">
        <f aca="false">'Raw Data'!Q1226</f>
        <v>5</v>
      </c>
      <c r="F1226" s="2" t="n">
        <f aca="false">'Raw Data'!U1226</f>
        <v>3</v>
      </c>
      <c r="G1226" s="2" t="n">
        <f aca="false">'Raw Data'!W1226</f>
        <v>3</v>
      </c>
      <c r="H1226" s="2" t="n">
        <f aca="false">'Raw Data'!V1226</f>
        <v>0</v>
      </c>
      <c r="I1226" s="2" t="n">
        <f aca="false">IF(AND(ISNUMBER(B1226),B1226&lt;=25),2,0)+IF(AND(ISNUMBER(E1226),E1226&lt;=5),2,0)+IF(AND(ISNUMBER(F1226),F1226&lt;=1),2,0)+IF(AND(ISNUMBER(G1226),G1226&lt;=2),1,0)+IF(AND(ISNUMBER(H1226),H1226&lt;=2),1,0)</f>
        <v>2</v>
      </c>
      <c r="J1226" s="2" t="str">
        <f aca="false">IF(I1226&gt;=6,"High",IF(I1226&gt;=3,"Medium","Low"))</f>
        <v>Low</v>
      </c>
    </row>
    <row r="1227" customFormat="false" ht="15" hidden="false" customHeight="true" outlineLevel="0" collapsed="false">
      <c r="A1227" s="2" t="n">
        <f aca="false">'Raw Data'!H1227</f>
        <v>1226</v>
      </c>
      <c r="B1227" s="2" t="n">
        <f aca="false">'Raw Data'!A1227</f>
        <v>34</v>
      </c>
      <c r="C1227" s="2" t="str">
        <f aca="false">'Raw Data'!D1227</f>
        <v>Research &amp; Development</v>
      </c>
      <c r="D1227" s="2" t="str">
        <f aca="false">'Raw Data'!K1227</f>
        <v>Laboratory Technician</v>
      </c>
      <c r="E1227" s="2" t="n">
        <f aca="false">'Raw Data'!Q1227</f>
        <v>3</v>
      </c>
      <c r="F1227" s="2" t="n">
        <f aca="false">'Raw Data'!U1227</f>
        <v>2</v>
      </c>
      <c r="G1227" s="2" t="n">
        <f aca="false">'Raw Data'!W1227</f>
        <v>4</v>
      </c>
      <c r="H1227" s="2" t="n">
        <f aca="false">'Raw Data'!V1227</f>
        <v>2</v>
      </c>
      <c r="I1227" s="2" t="n">
        <f aca="false">IF(AND(ISNUMBER(B1227),B1227&lt;=25),2,0)+IF(AND(ISNUMBER(E1227),E1227&lt;=5),2,0)+IF(AND(ISNUMBER(F1227),F1227&lt;=1),2,0)+IF(AND(ISNUMBER(G1227),G1227&lt;=2),1,0)+IF(AND(ISNUMBER(H1227),H1227&lt;=2),1,0)</f>
        <v>3</v>
      </c>
      <c r="J1227" s="2" t="str">
        <f aca="false">IF(I1227&gt;=6,"High",IF(I1227&gt;=3,"Medium","Low"))</f>
        <v>Medium</v>
      </c>
    </row>
    <row r="1228" customFormat="false" ht="15" hidden="false" customHeight="true" outlineLevel="0" collapsed="false">
      <c r="A1228" s="2" t="n">
        <f aca="false">'Raw Data'!H1228</f>
        <v>1227</v>
      </c>
      <c r="B1228" s="2" t="n">
        <f aca="false">'Raw Data'!A1228</f>
        <v>28</v>
      </c>
      <c r="C1228" s="2" t="str">
        <f aca="false">'Raw Data'!D1228</f>
        <v>Research &amp; Development</v>
      </c>
      <c r="D1228" s="2" t="str">
        <f aca="false">'Raw Data'!K1228</f>
        <v>Research Director</v>
      </c>
      <c r="E1228" s="2" t="n">
        <f aca="false">'Raw Data'!Q1228</f>
        <v>6</v>
      </c>
      <c r="F1228" s="2" t="n">
        <f aca="false">'Raw Data'!U1228</f>
        <v>3</v>
      </c>
      <c r="G1228" s="2" t="n">
        <f aca="false">'Raw Data'!W1228</f>
        <v>3</v>
      </c>
      <c r="H1228" s="2" t="n">
        <f aca="false">'Raw Data'!V1228</f>
        <v>3</v>
      </c>
      <c r="I1228" s="2" t="n">
        <f aca="false">IF(AND(ISNUMBER(B1228),B1228&lt;=25),2,0)+IF(AND(ISNUMBER(E1228),E1228&lt;=5),2,0)+IF(AND(ISNUMBER(F1228),F1228&lt;=1),2,0)+IF(AND(ISNUMBER(G1228),G1228&lt;=2),1,0)+IF(AND(ISNUMBER(H1228),H1228&lt;=2),1,0)</f>
        <v>0</v>
      </c>
      <c r="J1228" s="2" t="str">
        <f aca="false">IF(I1228&gt;=6,"High",IF(I1228&gt;=3,"Medium","Low"))</f>
        <v>Low</v>
      </c>
    </row>
    <row r="1229" customFormat="false" ht="15" hidden="false" customHeight="true" outlineLevel="0" collapsed="false">
      <c r="A1229" s="2" t="n">
        <f aca="false">'Raw Data'!H1229</f>
        <v>1228</v>
      </c>
      <c r="B1229" s="2" t="n">
        <f aca="false">'Raw Data'!A1229</f>
        <v>29</v>
      </c>
      <c r="C1229" s="2" t="str">
        <f aca="false">'Raw Data'!D1229</f>
        <v>Research &amp; Development</v>
      </c>
      <c r="D1229" s="2" t="str">
        <f aca="false">'Raw Data'!K1229</f>
        <v>Laboratory Technician</v>
      </c>
      <c r="E1229" s="2" t="n">
        <f aca="false">'Raw Data'!Q1229</f>
        <v>10</v>
      </c>
      <c r="F1229" s="2" t="n">
        <f aca="false">'Raw Data'!U1229</f>
        <v>8</v>
      </c>
      <c r="G1229" s="2" t="n">
        <f aca="false">'Raw Data'!W1229</f>
        <v>1</v>
      </c>
      <c r="H1229" s="2" t="n">
        <f aca="false">'Raw Data'!V1229</f>
        <v>2</v>
      </c>
      <c r="I1229" s="2" t="n">
        <f aca="false">IF(AND(ISNUMBER(B1229),B1229&lt;=25),2,0)+IF(AND(ISNUMBER(E1229),E1229&lt;=5),2,0)+IF(AND(ISNUMBER(F1229),F1229&lt;=1),2,0)+IF(AND(ISNUMBER(G1229),G1229&lt;=2),1,0)+IF(AND(ISNUMBER(H1229),H1229&lt;=2),1,0)</f>
        <v>2</v>
      </c>
      <c r="J1229" s="2" t="str">
        <f aca="false">IF(I1229&gt;=6,"High",IF(I1229&gt;=3,"Medium","Low"))</f>
        <v>Low</v>
      </c>
    </row>
    <row r="1230" customFormat="false" ht="15" hidden="false" customHeight="true" outlineLevel="0" collapsed="false">
      <c r="A1230" s="2" t="n">
        <f aca="false">'Raw Data'!H1230</f>
        <v>1229</v>
      </c>
      <c r="B1230" s="2" t="n">
        <f aca="false">'Raw Data'!A1230</f>
        <v>32</v>
      </c>
      <c r="C1230" s="2" t="str">
        <f aca="false">'Raw Data'!D1230</f>
        <v>Human Resources</v>
      </c>
      <c r="D1230" s="2" t="str">
        <f aca="false">'Raw Data'!K1230</f>
        <v>Research Director</v>
      </c>
      <c r="E1230" s="2" t="n">
        <f aca="false">'Raw Data'!Q1230</f>
        <v>7</v>
      </c>
      <c r="F1230" s="2" t="n">
        <f aca="false">'Raw Data'!U1230</f>
        <v>5</v>
      </c>
      <c r="G1230" s="2" t="n">
        <f aca="false">'Raw Data'!W1230</f>
        <v>2</v>
      </c>
      <c r="H1230" s="2" t="n">
        <f aca="false">'Raw Data'!V1230</f>
        <v>1</v>
      </c>
      <c r="I1230" s="2" t="n">
        <f aca="false">IF(AND(ISNUMBER(B1230),B1230&lt;=25),2,0)+IF(AND(ISNUMBER(E1230),E1230&lt;=5),2,0)+IF(AND(ISNUMBER(F1230),F1230&lt;=1),2,0)+IF(AND(ISNUMBER(G1230),G1230&lt;=2),1,0)+IF(AND(ISNUMBER(H1230),H1230&lt;=2),1,0)</f>
        <v>2</v>
      </c>
      <c r="J1230" s="2" t="str">
        <f aca="false">IF(I1230&gt;=6,"High",IF(I1230&gt;=3,"Medium","Low"))</f>
        <v>Low</v>
      </c>
    </row>
    <row r="1231" customFormat="false" ht="15" hidden="false" customHeight="true" outlineLevel="0" collapsed="false">
      <c r="A1231" s="2" t="n">
        <f aca="false">'Raw Data'!H1231</f>
        <v>1230</v>
      </c>
      <c r="B1231" s="2" t="n">
        <f aca="false">'Raw Data'!A1231</f>
        <v>22</v>
      </c>
      <c r="C1231" s="2" t="str">
        <f aca="false">'Raw Data'!D1231</f>
        <v>Research &amp; Development</v>
      </c>
      <c r="D1231" s="2" t="str">
        <f aca="false">'Raw Data'!K1231</f>
        <v>Sales Executive</v>
      </c>
      <c r="E1231" s="2" t="n">
        <f aca="false">'Raw Data'!Q1231</f>
        <v>1</v>
      </c>
      <c r="F1231" s="2" t="n">
        <f aca="false">'Raw Data'!U1231</f>
        <v>0</v>
      </c>
      <c r="G1231" s="2" t="n">
        <f aca="false">'Raw Data'!W1231</f>
        <v>4</v>
      </c>
      <c r="H1231" s="2" t="n">
        <f aca="false">'Raw Data'!V1231</f>
        <v>4</v>
      </c>
      <c r="I1231" s="2" t="n">
        <f aca="false">IF(AND(ISNUMBER(B1231),B1231&lt;=25),2,0)+IF(AND(ISNUMBER(E1231),E1231&lt;=5),2,0)+IF(AND(ISNUMBER(F1231),F1231&lt;=1),2,0)+IF(AND(ISNUMBER(G1231),G1231&lt;=2),1,0)+IF(AND(ISNUMBER(H1231),H1231&lt;=2),1,0)</f>
        <v>6</v>
      </c>
      <c r="J1231" s="2" t="str">
        <f aca="false">IF(I1231&gt;=6,"High",IF(I1231&gt;=3,"Medium","Low"))</f>
        <v>High</v>
      </c>
    </row>
    <row r="1232" customFormat="false" ht="15" hidden="false" customHeight="true" outlineLevel="0" collapsed="false">
      <c r="A1232" s="2" t="n">
        <f aca="false">'Raw Data'!H1232</f>
        <v>1231</v>
      </c>
      <c r="B1232" s="2" t="n">
        <f aca="false">'Raw Data'!A1232</f>
        <v>53</v>
      </c>
      <c r="C1232" s="2" t="str">
        <f aca="false">'Raw Data'!D1232</f>
        <v>Research &amp; Development</v>
      </c>
      <c r="D1232" s="2" t="str">
        <f aca="false">'Raw Data'!K1232</f>
        <v>Manager</v>
      </c>
      <c r="E1232" s="2" t="n">
        <f aca="false">'Raw Data'!Q1232</f>
        <v>31</v>
      </c>
      <c r="F1232" s="2" t="n">
        <f aca="false">'Raw Data'!U1232</f>
        <v>7</v>
      </c>
      <c r="G1232" s="2" t="n">
        <f aca="false">'Raw Data'!W1232</f>
        <v>4</v>
      </c>
      <c r="H1232" s="2" t="n">
        <f aca="false">'Raw Data'!V1232</f>
        <v>1</v>
      </c>
      <c r="I1232" s="2" t="n">
        <f aca="false">IF(AND(ISNUMBER(B1232),B1232&lt;=25),2,0)+IF(AND(ISNUMBER(E1232),E1232&lt;=5),2,0)+IF(AND(ISNUMBER(F1232),F1232&lt;=1),2,0)+IF(AND(ISNUMBER(G1232),G1232&lt;=2),1,0)+IF(AND(ISNUMBER(H1232),H1232&lt;=2),1,0)</f>
        <v>1</v>
      </c>
      <c r="J1232" s="2" t="str">
        <f aca="false">IF(I1232&gt;=6,"High",IF(I1232&gt;=3,"Medium","Low"))</f>
        <v>Low</v>
      </c>
    </row>
    <row r="1233" customFormat="false" ht="15" hidden="false" customHeight="true" outlineLevel="0" collapsed="false">
      <c r="A1233" s="2" t="n">
        <f aca="false">'Raw Data'!H1233</f>
        <v>1232</v>
      </c>
      <c r="B1233" s="2" t="n">
        <f aca="false">'Raw Data'!A1233</f>
        <v>38</v>
      </c>
      <c r="C1233" s="2" t="str">
        <f aca="false">'Raw Data'!D1233</f>
        <v>Research &amp; Development</v>
      </c>
      <c r="D1233" s="2" t="str">
        <f aca="false">'Raw Data'!K1233</f>
        <v>Manufacturing Director</v>
      </c>
      <c r="E1233" s="2" t="n">
        <f aca="false">'Raw Data'!Q1233</f>
        <v>6</v>
      </c>
      <c r="F1233" s="2" t="n">
        <f aca="false">'Raw Data'!U1233</f>
        <v>2</v>
      </c>
      <c r="G1233" s="2" t="n">
        <f aca="false">'Raw Data'!W1233</f>
        <v>4</v>
      </c>
      <c r="H1233" s="2" t="n">
        <f aca="false">'Raw Data'!V1233</f>
        <v>4</v>
      </c>
      <c r="I1233" s="2" t="n">
        <f aca="false">IF(AND(ISNUMBER(B1233),B1233&lt;=25),2,0)+IF(AND(ISNUMBER(E1233),E1233&lt;=5),2,0)+IF(AND(ISNUMBER(F1233),F1233&lt;=1),2,0)+IF(AND(ISNUMBER(G1233),G1233&lt;=2),1,0)+IF(AND(ISNUMBER(H1233),H1233&lt;=2),1,0)</f>
        <v>0</v>
      </c>
      <c r="J1233" s="2" t="str">
        <f aca="false">IF(I1233&gt;=6,"High",IF(I1233&gt;=3,"Medium","Low"))</f>
        <v>Low</v>
      </c>
    </row>
    <row r="1234" customFormat="false" ht="15" hidden="false" customHeight="true" outlineLevel="0" collapsed="false">
      <c r="A1234" s="2" t="n">
        <f aca="false">'Raw Data'!H1234</f>
        <v>1233</v>
      </c>
      <c r="B1234" s="2" t="n">
        <f aca="false">'Raw Data'!A1234</f>
        <v>24</v>
      </c>
      <c r="C1234" s="2" t="str">
        <f aca="false">'Raw Data'!D1234</f>
        <v>Research &amp; Development</v>
      </c>
      <c r="D1234" s="2" t="str">
        <f aca="false">'Raw Data'!K1234</f>
        <v>Research Scientist</v>
      </c>
      <c r="E1234" s="2" t="n">
        <f aca="false">'Raw Data'!Q1234</f>
        <v>5</v>
      </c>
      <c r="F1234" s="2" t="n">
        <f aca="false">'Raw Data'!U1234</f>
        <v>3</v>
      </c>
      <c r="G1234" s="2" t="n">
        <f aca="false">'Raw Data'!W1234</f>
        <v>3</v>
      </c>
      <c r="H1234" s="2" t="n">
        <f aca="false">'Raw Data'!V1234</f>
        <v>1</v>
      </c>
      <c r="I1234" s="2" t="n">
        <f aca="false">IF(AND(ISNUMBER(B1234),B1234&lt;=25),2,0)+IF(AND(ISNUMBER(E1234),E1234&lt;=5),2,0)+IF(AND(ISNUMBER(F1234),F1234&lt;=1),2,0)+IF(AND(ISNUMBER(G1234),G1234&lt;=2),1,0)+IF(AND(ISNUMBER(H1234),H1234&lt;=2),1,0)</f>
        <v>5</v>
      </c>
      <c r="J1234" s="2" t="str">
        <f aca="false">IF(I1234&gt;=6,"High",IF(I1234&gt;=3,"Medium","Low"))</f>
        <v>Medium</v>
      </c>
    </row>
    <row r="1235" customFormat="false" ht="15" hidden="false" customHeight="true" outlineLevel="0" collapsed="false">
      <c r="A1235" s="2" t="n">
        <f aca="false">'Raw Data'!H1235</f>
        <v>1234</v>
      </c>
      <c r="B1235" s="2" t="n">
        <f aca="false">'Raw Data'!A1235</f>
        <v>36</v>
      </c>
      <c r="C1235" s="2" t="str">
        <f aca="false">'Raw Data'!D1235</f>
        <v>Research &amp; Development</v>
      </c>
      <c r="D1235" s="2" t="str">
        <f aca="false">'Raw Data'!K1235</f>
        <v>Research Director</v>
      </c>
      <c r="E1235" s="2" t="n">
        <f aca="false">'Raw Data'!Q1235</f>
        <v>10</v>
      </c>
      <c r="F1235" s="2" t="n">
        <f aca="false">'Raw Data'!U1235</f>
        <v>3</v>
      </c>
      <c r="G1235" s="2" t="n">
        <f aca="false">'Raw Data'!W1235</f>
        <v>1</v>
      </c>
      <c r="H1235" s="2" t="n">
        <f aca="false">'Raw Data'!V1235</f>
        <v>3</v>
      </c>
      <c r="I1235" s="2" t="n">
        <f aca="false">IF(AND(ISNUMBER(B1235),B1235&lt;=25),2,0)+IF(AND(ISNUMBER(E1235),E1235&lt;=5),2,0)+IF(AND(ISNUMBER(F1235),F1235&lt;=1),2,0)+IF(AND(ISNUMBER(G1235),G1235&lt;=2),1,0)+IF(AND(ISNUMBER(H1235),H1235&lt;=2),1,0)</f>
        <v>1</v>
      </c>
      <c r="J1235" s="2" t="str">
        <f aca="false">IF(I1235&gt;=6,"High",IF(I1235&gt;=3,"Medium","Low"))</f>
        <v>Low</v>
      </c>
    </row>
    <row r="1236" customFormat="false" ht="15" hidden="false" customHeight="true" outlineLevel="0" collapsed="false">
      <c r="A1236" s="2" t="n">
        <f aca="false">'Raw Data'!H1236</f>
        <v>1235</v>
      </c>
      <c r="B1236" s="2" t="n">
        <f aca="false">'Raw Data'!A1236</f>
        <v>34</v>
      </c>
      <c r="C1236" s="2" t="str">
        <f aca="false">'Raw Data'!D1236</f>
        <v>Sales</v>
      </c>
      <c r="D1236" s="2" t="str">
        <f aca="false">'Raw Data'!K1236</f>
        <v>Research Scientist</v>
      </c>
      <c r="E1236" s="2" t="n">
        <f aca="false">'Raw Data'!Q1236</f>
        <v>13</v>
      </c>
      <c r="F1236" s="2" t="n">
        <f aca="false">'Raw Data'!U1236</f>
        <v>11</v>
      </c>
      <c r="G1236" s="2" t="n">
        <f aca="false">'Raw Data'!W1236</f>
        <v>2</v>
      </c>
      <c r="H1236" s="2" t="n">
        <f aca="false">'Raw Data'!V1236</f>
        <v>1</v>
      </c>
      <c r="I1236" s="2" t="n">
        <f aca="false">IF(AND(ISNUMBER(B1236),B1236&lt;=25),2,0)+IF(AND(ISNUMBER(E1236),E1236&lt;=5),2,0)+IF(AND(ISNUMBER(F1236),F1236&lt;=1),2,0)+IF(AND(ISNUMBER(G1236),G1236&lt;=2),1,0)+IF(AND(ISNUMBER(H1236),H1236&lt;=2),1,0)</f>
        <v>2</v>
      </c>
      <c r="J1236" s="2" t="str">
        <f aca="false">IF(I1236&gt;=6,"High",IF(I1236&gt;=3,"Medium","Low"))</f>
        <v>Low</v>
      </c>
    </row>
    <row r="1237" customFormat="false" ht="15" hidden="false" customHeight="true" outlineLevel="0" collapsed="false">
      <c r="A1237" s="2" t="n">
        <f aca="false">'Raw Data'!H1237</f>
        <v>1236</v>
      </c>
      <c r="B1237" s="2" t="n">
        <f aca="false">'Raw Data'!A1237</f>
        <v>21</v>
      </c>
      <c r="C1237" s="2" t="str">
        <f aca="false">'Raw Data'!D1237</f>
        <v>Sales</v>
      </c>
      <c r="D1237" s="2" t="str">
        <f aca="false">'Raw Data'!K1237</f>
        <v>Manufacturing Director</v>
      </c>
      <c r="E1237" s="2" t="n">
        <f aca="false">'Raw Data'!Q1237</f>
        <v>0</v>
      </c>
      <c r="F1237" s="2" t="n">
        <f aca="false">'Raw Data'!U1237</f>
        <v>0</v>
      </c>
      <c r="G1237" s="2" t="n">
        <f aca="false">'Raw Data'!W1237</f>
        <v>4</v>
      </c>
      <c r="H1237" s="2" t="n">
        <f aca="false">'Raw Data'!V1237</f>
        <v>3</v>
      </c>
      <c r="I1237" s="2" t="n">
        <f aca="false">IF(AND(ISNUMBER(B1237),B1237&lt;=25),2,0)+IF(AND(ISNUMBER(E1237),E1237&lt;=5),2,0)+IF(AND(ISNUMBER(F1237),F1237&lt;=1),2,0)+IF(AND(ISNUMBER(G1237),G1237&lt;=2),1,0)+IF(AND(ISNUMBER(H1237),H1237&lt;=2),1,0)</f>
        <v>6</v>
      </c>
      <c r="J1237" s="2" t="str">
        <f aca="false">IF(I1237&gt;=6,"High",IF(I1237&gt;=3,"Medium","Low"))</f>
        <v>High</v>
      </c>
    </row>
    <row r="1238" customFormat="false" ht="15" hidden="false" customHeight="true" outlineLevel="0" collapsed="false">
      <c r="A1238" s="2" t="n">
        <f aca="false">'Raw Data'!H1238</f>
        <v>1237</v>
      </c>
      <c r="B1238" s="2" t="n">
        <f aca="false">'Raw Data'!A1238</f>
        <v>34</v>
      </c>
      <c r="C1238" s="2" t="str">
        <f aca="false">'Raw Data'!D1238</f>
        <v>Sales</v>
      </c>
      <c r="D1238" s="2" t="str">
        <f aca="false">'Raw Data'!K1238</f>
        <v>Research Scientist</v>
      </c>
      <c r="E1238" s="2" t="n">
        <f aca="false">'Raw Data'!Q1238</f>
        <v>8</v>
      </c>
      <c r="F1238" s="2" t="n">
        <f aca="false">'Raw Data'!U1238</f>
        <v>3</v>
      </c>
      <c r="G1238" s="2" t="n">
        <f aca="false">'Raw Data'!W1238</f>
        <v>1</v>
      </c>
      <c r="H1238" s="2" t="n">
        <f aca="false">'Raw Data'!V1238</f>
        <v>2</v>
      </c>
      <c r="I1238" s="2" t="n">
        <f aca="false">IF(AND(ISNUMBER(B1238),B1238&lt;=25),2,0)+IF(AND(ISNUMBER(E1238),E1238&lt;=5),2,0)+IF(AND(ISNUMBER(F1238),F1238&lt;=1),2,0)+IF(AND(ISNUMBER(G1238),G1238&lt;=2),1,0)+IF(AND(ISNUMBER(H1238),H1238&lt;=2),1,0)</f>
        <v>2</v>
      </c>
      <c r="J1238" s="2" t="str">
        <f aca="false">IF(I1238&gt;=6,"High",IF(I1238&gt;=3,"Medium","Low"))</f>
        <v>Low</v>
      </c>
    </row>
    <row r="1239" customFormat="false" ht="15" hidden="false" customHeight="true" outlineLevel="0" collapsed="false">
      <c r="A1239" s="2" t="n">
        <f aca="false">'Raw Data'!H1239</f>
        <v>1238</v>
      </c>
      <c r="B1239" s="2" t="n">
        <f aca="false">'Raw Data'!A1239</f>
        <v>53</v>
      </c>
      <c r="C1239" s="2" t="str">
        <f aca="false">'Raw Data'!D1239</f>
        <v>Sales</v>
      </c>
      <c r="D1239" s="2" t="str">
        <f aca="false">'Raw Data'!K1239</f>
        <v>Human Resources</v>
      </c>
      <c r="E1239" s="2" t="n">
        <f aca="false">'Raw Data'!Q1239</f>
        <v>26</v>
      </c>
      <c r="F1239" s="2" t="n">
        <f aca="false">'Raw Data'!U1239</f>
        <v>8</v>
      </c>
      <c r="G1239" s="2" t="n">
        <f aca="false">'Raw Data'!W1239</f>
        <v>3</v>
      </c>
      <c r="H1239" s="2" t="n">
        <f aca="false">'Raw Data'!V1239</f>
        <v>3</v>
      </c>
      <c r="I1239" s="2" t="n">
        <f aca="false">IF(AND(ISNUMBER(B1239),B1239&lt;=25),2,0)+IF(AND(ISNUMBER(E1239),E1239&lt;=5),2,0)+IF(AND(ISNUMBER(F1239),F1239&lt;=1),2,0)+IF(AND(ISNUMBER(G1239),G1239&lt;=2),1,0)+IF(AND(ISNUMBER(H1239),H1239&lt;=2),1,0)</f>
        <v>0</v>
      </c>
      <c r="J1239" s="2" t="str">
        <f aca="false">IF(I1239&gt;=6,"High",IF(I1239&gt;=3,"Medium","Low"))</f>
        <v>Low</v>
      </c>
    </row>
    <row r="1240" customFormat="false" ht="15" hidden="false" customHeight="true" outlineLevel="0" collapsed="false">
      <c r="A1240" s="2" t="n">
        <f aca="false">'Raw Data'!H1240</f>
        <v>1239</v>
      </c>
      <c r="B1240" s="2" t="n">
        <f aca="false">'Raw Data'!A1240</f>
        <v>32</v>
      </c>
      <c r="C1240" s="2" t="str">
        <f aca="false">'Raw Data'!D1240</f>
        <v>Research &amp; Development</v>
      </c>
      <c r="D1240" s="2" t="str">
        <f aca="false">'Raw Data'!K1240</f>
        <v>Manufacturing Director</v>
      </c>
      <c r="E1240" s="2" t="n">
        <f aca="false">'Raw Data'!Q1240</f>
        <v>10</v>
      </c>
      <c r="F1240" s="2" t="n">
        <f aca="false">'Raw Data'!U1240</f>
        <v>7</v>
      </c>
      <c r="G1240" s="2" t="n">
        <f aca="false">'Raw Data'!W1240</f>
        <v>1</v>
      </c>
      <c r="H1240" s="2" t="n">
        <f aca="false">'Raw Data'!V1240</f>
        <v>2</v>
      </c>
      <c r="I1240" s="2" t="n">
        <f aca="false">IF(AND(ISNUMBER(B1240),B1240&lt;=25),2,0)+IF(AND(ISNUMBER(E1240),E1240&lt;=5),2,0)+IF(AND(ISNUMBER(F1240),F1240&lt;=1),2,0)+IF(AND(ISNUMBER(G1240),G1240&lt;=2),1,0)+IF(AND(ISNUMBER(H1240),H1240&lt;=2),1,0)</f>
        <v>2</v>
      </c>
      <c r="J1240" s="2" t="str">
        <f aca="false">IF(I1240&gt;=6,"High",IF(I1240&gt;=3,"Medium","Low"))</f>
        <v>Low</v>
      </c>
    </row>
    <row r="1241" customFormat="false" ht="15" hidden="false" customHeight="true" outlineLevel="0" collapsed="false">
      <c r="A1241" s="2" t="n">
        <f aca="false">'Raw Data'!H1241</f>
        <v>1240</v>
      </c>
      <c r="B1241" s="2" t="n">
        <f aca="false">'Raw Data'!A1241</f>
        <v>42</v>
      </c>
      <c r="C1241" s="2" t="str">
        <f aca="false">'Raw Data'!D1241</f>
        <v>Research &amp; Development</v>
      </c>
      <c r="D1241" s="2" t="str">
        <f aca="false">'Raw Data'!K1241</f>
        <v>Laboratory Technician</v>
      </c>
      <c r="E1241" s="2" t="n">
        <f aca="false">'Raw Data'!Q1241</f>
        <v>10</v>
      </c>
      <c r="F1241" s="2" t="n">
        <f aca="false">'Raw Data'!U1241</f>
        <v>2</v>
      </c>
      <c r="G1241" s="2" t="n">
        <f aca="false">'Raw Data'!W1241</f>
        <v>2</v>
      </c>
      <c r="H1241" s="2" t="n">
        <f aca="false">'Raw Data'!V1241</f>
        <v>3</v>
      </c>
      <c r="I1241" s="2" t="n">
        <f aca="false">IF(AND(ISNUMBER(B1241),B1241&lt;=25),2,0)+IF(AND(ISNUMBER(E1241),E1241&lt;=5),2,0)+IF(AND(ISNUMBER(F1241),F1241&lt;=1),2,0)+IF(AND(ISNUMBER(G1241),G1241&lt;=2),1,0)+IF(AND(ISNUMBER(H1241),H1241&lt;=2),1,0)</f>
        <v>1</v>
      </c>
      <c r="J1241" s="2" t="str">
        <f aca="false">IF(I1241&gt;=6,"High",IF(I1241&gt;=3,"Medium","Low"))</f>
        <v>Low</v>
      </c>
    </row>
    <row r="1242" customFormat="false" ht="15" hidden="false" customHeight="true" outlineLevel="0" collapsed="false">
      <c r="A1242" s="2" t="n">
        <f aca="false">'Raw Data'!H1242</f>
        <v>1241</v>
      </c>
      <c r="B1242" s="2" t="n">
        <f aca="false">'Raw Data'!A1242</f>
        <v>44</v>
      </c>
      <c r="C1242" s="2" t="str">
        <f aca="false">'Raw Data'!D1242</f>
        <v>Research &amp; Development</v>
      </c>
      <c r="D1242" s="2" t="str">
        <f aca="false">'Raw Data'!K1242</f>
        <v>Manufacturing Director</v>
      </c>
      <c r="E1242" s="2" t="n">
        <f aca="false">'Raw Data'!Q1242</f>
        <v>24</v>
      </c>
      <c r="F1242" s="2" t="n">
        <f aca="false">'Raw Data'!U1242</f>
        <v>17</v>
      </c>
      <c r="G1242" s="2" t="n">
        <f aca="false">'Raw Data'!W1242</f>
        <v>4</v>
      </c>
      <c r="H1242" s="2" t="n">
        <f aca="false">'Raw Data'!V1242</f>
        <v>1</v>
      </c>
      <c r="I1242" s="2" t="n">
        <f aca="false">IF(AND(ISNUMBER(B1242),B1242&lt;=25),2,0)+IF(AND(ISNUMBER(E1242),E1242&lt;=5),2,0)+IF(AND(ISNUMBER(F1242),F1242&lt;=1),2,0)+IF(AND(ISNUMBER(G1242),G1242&lt;=2),1,0)+IF(AND(ISNUMBER(H1242),H1242&lt;=2),1,0)</f>
        <v>1</v>
      </c>
      <c r="J1242" s="2" t="str">
        <f aca="false">IF(I1242&gt;=6,"High",IF(I1242&gt;=3,"Medium","Low"))</f>
        <v>Low</v>
      </c>
    </row>
    <row r="1243" customFormat="false" ht="15" hidden="false" customHeight="true" outlineLevel="0" collapsed="false">
      <c r="A1243" s="2" t="n">
        <f aca="false">'Raw Data'!H1243</f>
        <v>1242</v>
      </c>
      <c r="B1243" s="2" t="n">
        <f aca="false">'Raw Data'!A1243</f>
        <v>46</v>
      </c>
      <c r="C1243" s="2" t="str">
        <f aca="false">'Raw Data'!D1243</f>
        <v>Sales</v>
      </c>
      <c r="D1243" s="2" t="str">
        <f aca="false">'Raw Data'!K1243</f>
        <v>Research Scientist</v>
      </c>
      <c r="E1243" s="2" t="n">
        <f aca="false">'Raw Data'!Q1243</f>
        <v>22</v>
      </c>
      <c r="F1243" s="2" t="n">
        <f aca="false">'Raw Data'!U1243</f>
        <v>1</v>
      </c>
      <c r="G1243" s="2" t="n">
        <f aca="false">'Raw Data'!W1243</f>
        <v>1</v>
      </c>
      <c r="H1243" s="2" t="n">
        <f aca="false">'Raw Data'!V1243</f>
        <v>2</v>
      </c>
      <c r="I1243" s="2" t="n">
        <f aca="false">IF(AND(ISNUMBER(B1243),B1243&lt;=25),2,0)+IF(AND(ISNUMBER(E1243),E1243&lt;=5),2,0)+IF(AND(ISNUMBER(F1243),F1243&lt;=1),2,0)+IF(AND(ISNUMBER(G1243),G1243&lt;=2),1,0)+IF(AND(ISNUMBER(H1243),H1243&lt;=2),1,0)</f>
        <v>4</v>
      </c>
      <c r="J1243" s="2" t="str">
        <f aca="false">IF(I1243&gt;=6,"High",IF(I1243&gt;=3,"Medium","Low"))</f>
        <v>Medium</v>
      </c>
    </row>
    <row r="1244" customFormat="false" ht="15" hidden="false" customHeight="true" outlineLevel="0" collapsed="false">
      <c r="A1244" s="2" t="n">
        <f aca="false">'Raw Data'!H1244</f>
        <v>1243</v>
      </c>
      <c r="B1244" s="2" t="n">
        <f aca="false">'Raw Data'!A1244</f>
        <v>33</v>
      </c>
      <c r="C1244" s="2" t="str">
        <f aca="false">'Raw Data'!D1244</f>
        <v>Sales</v>
      </c>
      <c r="D1244" s="2" t="str">
        <f aca="false">'Raw Data'!K1244</f>
        <v>Manufacturing Director</v>
      </c>
      <c r="E1244" s="2" t="n">
        <f aca="false">'Raw Data'!Q1244</f>
        <v>7</v>
      </c>
      <c r="F1244" s="2" t="n">
        <f aca="false">'Raw Data'!U1244</f>
        <v>0</v>
      </c>
      <c r="G1244" s="2" t="n">
        <f aca="false">'Raw Data'!W1244</f>
        <v>4</v>
      </c>
      <c r="H1244" s="2" t="n">
        <f aca="false">'Raw Data'!V1244</f>
        <v>3</v>
      </c>
      <c r="I1244" s="2" t="n">
        <f aca="false">IF(AND(ISNUMBER(B1244),B1244&lt;=25),2,0)+IF(AND(ISNUMBER(E1244),E1244&lt;=5),2,0)+IF(AND(ISNUMBER(F1244),F1244&lt;=1),2,0)+IF(AND(ISNUMBER(G1244),G1244&lt;=2),1,0)+IF(AND(ISNUMBER(H1244),H1244&lt;=2),1,0)</f>
        <v>2</v>
      </c>
      <c r="J1244" s="2" t="str">
        <f aca="false">IF(I1244&gt;=6,"High",IF(I1244&gt;=3,"Medium","Low"))</f>
        <v>Low</v>
      </c>
    </row>
    <row r="1245" customFormat="false" ht="15" hidden="false" customHeight="true" outlineLevel="0" collapsed="false">
      <c r="A1245" s="2" t="n">
        <f aca="false">'Raw Data'!H1245</f>
        <v>1244</v>
      </c>
      <c r="B1245" s="2" t="n">
        <f aca="false">'Raw Data'!A1245</f>
        <v>44</v>
      </c>
      <c r="C1245" s="2" t="str">
        <f aca="false">'Raw Data'!D1245</f>
        <v>Human Resources</v>
      </c>
      <c r="D1245" s="2" t="str">
        <f aca="false">'Raw Data'!K1245</f>
        <v>Healthcare Representative</v>
      </c>
      <c r="E1245" s="2" t="n">
        <f aca="false">'Raw Data'!Q1245</f>
        <v>9</v>
      </c>
      <c r="F1245" s="2" t="n">
        <f aca="false">'Raw Data'!U1245</f>
        <v>3</v>
      </c>
      <c r="G1245" s="2" t="n">
        <f aca="false">'Raw Data'!W1245</f>
        <v>4</v>
      </c>
      <c r="H1245" s="2" t="n">
        <f aca="false">'Raw Data'!V1245</f>
        <v>4</v>
      </c>
      <c r="I1245" s="2" t="n">
        <f aca="false">IF(AND(ISNUMBER(B1245),B1245&lt;=25),2,0)+IF(AND(ISNUMBER(E1245),E1245&lt;=5),2,0)+IF(AND(ISNUMBER(F1245),F1245&lt;=1),2,0)+IF(AND(ISNUMBER(G1245),G1245&lt;=2),1,0)+IF(AND(ISNUMBER(H1245),H1245&lt;=2),1,0)</f>
        <v>0</v>
      </c>
      <c r="J1245" s="2" t="str">
        <f aca="false">IF(I1245&gt;=6,"High",IF(I1245&gt;=3,"Medium","Low"))</f>
        <v>Low</v>
      </c>
    </row>
    <row r="1246" customFormat="false" ht="15" hidden="false" customHeight="true" outlineLevel="0" collapsed="false">
      <c r="A1246" s="2" t="n">
        <f aca="false">'Raw Data'!H1246</f>
        <v>1245</v>
      </c>
      <c r="B1246" s="2" t="n">
        <f aca="false">'Raw Data'!A1246</f>
        <v>30</v>
      </c>
      <c r="C1246" s="2" t="str">
        <f aca="false">'Raw Data'!D1246</f>
        <v>Research &amp; Development</v>
      </c>
      <c r="D1246" s="2" t="str">
        <f aca="false">'Raw Data'!K1246</f>
        <v>Research Scientist</v>
      </c>
      <c r="E1246" s="2" t="n">
        <f aca="false">'Raw Data'!Q1246</f>
        <v>10</v>
      </c>
      <c r="F1246" s="2" t="n">
        <f aca="false">'Raw Data'!U1246</f>
        <v>8</v>
      </c>
      <c r="G1246" s="2" t="n">
        <f aca="false">'Raw Data'!W1246</f>
        <v>3</v>
      </c>
      <c r="H1246" s="2" t="n">
        <f aca="false">'Raw Data'!V1246</f>
        <v>4</v>
      </c>
      <c r="I1246" s="2" t="n">
        <f aca="false">IF(AND(ISNUMBER(B1246),B1246&lt;=25),2,0)+IF(AND(ISNUMBER(E1246),E1246&lt;=5),2,0)+IF(AND(ISNUMBER(F1246),F1246&lt;=1),2,0)+IF(AND(ISNUMBER(G1246),G1246&lt;=2),1,0)+IF(AND(ISNUMBER(H1246),H1246&lt;=2),1,0)</f>
        <v>0</v>
      </c>
      <c r="J1246" s="2" t="str">
        <f aca="false">IF(I1246&gt;=6,"High",IF(I1246&gt;=3,"Medium","Low"))</f>
        <v>Low</v>
      </c>
    </row>
    <row r="1247" customFormat="false" ht="15" hidden="false" customHeight="true" outlineLevel="0" collapsed="false">
      <c r="A1247" s="2" t="n">
        <f aca="false">'Raw Data'!H1247</f>
        <v>1246</v>
      </c>
      <c r="B1247" s="2" t="n">
        <f aca="false">'Raw Data'!A1247</f>
        <v>39</v>
      </c>
      <c r="C1247" s="2" t="str">
        <f aca="false">'Raw Data'!D1247</f>
        <v>Human Resources</v>
      </c>
      <c r="D1247" s="2" t="str">
        <f aca="false">'Raw Data'!K1247</f>
        <v>Sales Executive</v>
      </c>
      <c r="E1247" s="2" t="n">
        <f aca="false">'Raw Data'!Q1247</f>
        <v>19</v>
      </c>
      <c r="F1247" s="2" t="n">
        <f aca="false">'Raw Data'!U1247</f>
        <v>0</v>
      </c>
      <c r="G1247" s="2" t="n">
        <f aca="false">'Raw Data'!W1247</f>
        <v>4</v>
      </c>
      <c r="H1247" s="2" t="n">
        <f aca="false">'Raw Data'!V1247</f>
        <v>4</v>
      </c>
      <c r="I1247" s="2" t="n">
        <f aca="false">IF(AND(ISNUMBER(B1247),B1247&lt;=25),2,0)+IF(AND(ISNUMBER(E1247),E1247&lt;=5),2,0)+IF(AND(ISNUMBER(F1247),F1247&lt;=1),2,0)+IF(AND(ISNUMBER(G1247),G1247&lt;=2),1,0)+IF(AND(ISNUMBER(H1247),H1247&lt;=2),1,0)</f>
        <v>2</v>
      </c>
      <c r="J1247" s="2" t="str">
        <f aca="false">IF(I1247&gt;=6,"High",IF(I1247&gt;=3,"Medium","Low"))</f>
        <v>Low</v>
      </c>
    </row>
    <row r="1248" customFormat="false" ht="15" hidden="false" customHeight="true" outlineLevel="0" collapsed="false">
      <c r="A1248" s="2" t="n">
        <f aca="false">'Raw Data'!H1248</f>
        <v>1247</v>
      </c>
      <c r="B1248" s="2" t="n">
        <f aca="false">'Raw Data'!A1248</f>
        <v>24</v>
      </c>
      <c r="C1248" s="2" t="str">
        <f aca="false">'Raw Data'!D1248</f>
        <v>Human Resources</v>
      </c>
      <c r="D1248" s="2" t="str">
        <f aca="false">'Raw Data'!K1248</f>
        <v>Sales Executive</v>
      </c>
      <c r="E1248" s="2" t="n">
        <f aca="false">'Raw Data'!Q1248</f>
        <v>6</v>
      </c>
      <c r="F1248" s="2" t="n">
        <f aca="false">'Raw Data'!U1248</f>
        <v>0</v>
      </c>
      <c r="G1248" s="2" t="n">
        <f aca="false">'Raw Data'!W1248</f>
        <v>4</v>
      </c>
      <c r="H1248" s="2" t="n">
        <f aca="false">'Raw Data'!V1248</f>
        <v>2</v>
      </c>
      <c r="I1248" s="2" t="n">
        <f aca="false">IF(AND(ISNUMBER(B1248),B1248&lt;=25),2,0)+IF(AND(ISNUMBER(E1248),E1248&lt;=5),2,0)+IF(AND(ISNUMBER(F1248),F1248&lt;=1),2,0)+IF(AND(ISNUMBER(G1248),G1248&lt;=2),1,0)+IF(AND(ISNUMBER(H1248),H1248&lt;=2),1,0)</f>
        <v>5</v>
      </c>
      <c r="J1248" s="2" t="str">
        <f aca="false">IF(I1248&gt;=6,"High",IF(I1248&gt;=3,"Medium","Low"))</f>
        <v>Medium</v>
      </c>
    </row>
    <row r="1249" customFormat="false" ht="15" hidden="false" customHeight="true" outlineLevel="0" collapsed="false">
      <c r="A1249" s="2" t="n">
        <f aca="false">'Raw Data'!H1249</f>
        <v>1248</v>
      </c>
      <c r="B1249" s="2" t="n">
        <f aca="false">'Raw Data'!A1249</f>
        <v>43</v>
      </c>
      <c r="C1249" s="2" t="str">
        <f aca="false">'Raw Data'!D1249</f>
        <v>Sales</v>
      </c>
      <c r="D1249" s="2" t="str">
        <f aca="false">'Raw Data'!K1249</f>
        <v>Research Director</v>
      </c>
      <c r="E1249" s="2" t="n">
        <f aca="false">'Raw Data'!Q1249</f>
        <v>6</v>
      </c>
      <c r="F1249" s="2" t="n">
        <f aca="false">'Raw Data'!U1249</f>
        <v>4</v>
      </c>
      <c r="G1249" s="2" t="n">
        <f aca="false">'Raw Data'!W1249</f>
        <v>3</v>
      </c>
      <c r="H1249" s="2" t="n">
        <f aca="false">'Raw Data'!V1249</f>
        <v>4</v>
      </c>
      <c r="I1249" s="2" t="n">
        <f aca="false">IF(AND(ISNUMBER(B1249),B1249&lt;=25),2,0)+IF(AND(ISNUMBER(E1249),E1249&lt;=5),2,0)+IF(AND(ISNUMBER(F1249),F1249&lt;=1),2,0)+IF(AND(ISNUMBER(G1249),G1249&lt;=2),1,0)+IF(AND(ISNUMBER(H1249),H1249&lt;=2),1,0)</f>
        <v>0</v>
      </c>
      <c r="J1249" s="2" t="str">
        <f aca="false">IF(I1249&gt;=6,"High",IF(I1249&gt;=3,"Medium","Low"))</f>
        <v>Low</v>
      </c>
    </row>
    <row r="1250" customFormat="false" ht="15" hidden="false" customHeight="true" outlineLevel="0" collapsed="false">
      <c r="A1250" s="2" t="n">
        <f aca="false">'Raw Data'!H1250</f>
        <v>1249</v>
      </c>
      <c r="B1250" s="2" t="n">
        <f aca="false">'Raw Data'!A1250</f>
        <v>50</v>
      </c>
      <c r="C1250" s="2" t="str">
        <f aca="false">'Raw Data'!D1250</f>
        <v>Research &amp; Development</v>
      </c>
      <c r="D1250" s="2" t="str">
        <f aca="false">'Raw Data'!K1250</f>
        <v>Research Director</v>
      </c>
      <c r="E1250" s="2" t="n">
        <f aca="false">'Raw Data'!Q1250</f>
        <v>3</v>
      </c>
      <c r="F1250" s="2" t="n">
        <f aca="false">'Raw Data'!U1250</f>
        <v>2</v>
      </c>
      <c r="G1250" s="2" t="n">
        <f aca="false">'Raw Data'!W1250</f>
        <v>3</v>
      </c>
      <c r="H1250" s="2" t="n">
        <f aca="false">'Raw Data'!V1250</f>
        <v>1</v>
      </c>
      <c r="I1250" s="2" t="n">
        <f aca="false">IF(AND(ISNUMBER(B1250),B1250&lt;=25),2,0)+IF(AND(ISNUMBER(E1250),E1250&lt;=5),2,0)+IF(AND(ISNUMBER(F1250),F1250&lt;=1),2,0)+IF(AND(ISNUMBER(G1250),G1250&lt;=2),1,0)+IF(AND(ISNUMBER(H1250),H1250&lt;=2),1,0)</f>
        <v>3</v>
      </c>
      <c r="J1250" s="2" t="str">
        <f aca="false">IF(I1250&gt;=6,"High",IF(I1250&gt;=3,"Medium","Low"))</f>
        <v>Medium</v>
      </c>
    </row>
    <row r="1251" customFormat="false" ht="15" hidden="false" customHeight="true" outlineLevel="0" collapsed="false">
      <c r="A1251" s="2" t="n">
        <f aca="false">'Raw Data'!H1251</f>
        <v>1250</v>
      </c>
      <c r="B1251" s="2" t="n">
        <f aca="false">'Raw Data'!A1251</f>
        <v>35</v>
      </c>
      <c r="C1251" s="2" t="str">
        <f aca="false">'Raw Data'!D1251</f>
        <v>Sales</v>
      </c>
      <c r="D1251" s="2" t="str">
        <f aca="false">'Raw Data'!K1251</f>
        <v>Manufacturing Director</v>
      </c>
      <c r="E1251" s="2" t="n">
        <f aca="false">'Raw Data'!Q1251</f>
        <v>2</v>
      </c>
      <c r="F1251" s="2" t="n">
        <f aca="false">'Raw Data'!U1251</f>
        <v>2</v>
      </c>
      <c r="G1251" s="2" t="n">
        <f aca="false">'Raw Data'!W1251</f>
        <v>4</v>
      </c>
      <c r="H1251" s="2" t="n">
        <f aca="false">'Raw Data'!V1251</f>
        <v>4</v>
      </c>
      <c r="I1251" s="2" t="n">
        <f aca="false">IF(AND(ISNUMBER(B1251),B1251&lt;=25),2,0)+IF(AND(ISNUMBER(E1251),E1251&lt;=5),2,0)+IF(AND(ISNUMBER(F1251),F1251&lt;=1),2,0)+IF(AND(ISNUMBER(G1251),G1251&lt;=2),1,0)+IF(AND(ISNUMBER(H1251),H1251&lt;=2),1,0)</f>
        <v>2</v>
      </c>
      <c r="J1251" s="2" t="str">
        <f aca="false">IF(I1251&gt;=6,"High",IF(I1251&gt;=3,"Medium","Low"))</f>
        <v>Low</v>
      </c>
    </row>
    <row r="1252" customFormat="false" ht="15" hidden="false" customHeight="true" outlineLevel="0" collapsed="false">
      <c r="A1252" s="2" t="n">
        <f aca="false">'Raw Data'!H1252</f>
        <v>1251</v>
      </c>
      <c r="B1252" s="2" t="n">
        <f aca="false">'Raw Data'!A1252</f>
        <v>36</v>
      </c>
      <c r="C1252" s="2" t="str">
        <f aca="false">'Raw Data'!D1252</f>
        <v>Research &amp; Development</v>
      </c>
      <c r="D1252" s="2" t="str">
        <f aca="false">'Raw Data'!K1252</f>
        <v>Sales Executive</v>
      </c>
      <c r="E1252" s="2" t="n">
        <f aca="false">'Raw Data'!Q1252</f>
        <v>6</v>
      </c>
      <c r="F1252" s="2" t="n">
        <f aca="false">'Raw Data'!U1252</f>
        <v>0</v>
      </c>
      <c r="G1252" s="2" t="n">
        <f aca="false">'Raw Data'!W1252</f>
        <v>1</v>
      </c>
      <c r="H1252" s="2" t="n">
        <f aca="false">'Raw Data'!V1252</f>
        <v>2</v>
      </c>
      <c r="I1252" s="2" t="n">
        <f aca="false">IF(AND(ISNUMBER(B1252),B1252&lt;=25),2,0)+IF(AND(ISNUMBER(E1252),E1252&lt;=5),2,0)+IF(AND(ISNUMBER(F1252),F1252&lt;=1),2,0)+IF(AND(ISNUMBER(G1252),G1252&lt;=2),1,0)+IF(AND(ISNUMBER(H1252),H1252&lt;=2),1,0)</f>
        <v>4</v>
      </c>
      <c r="J1252" s="2" t="str">
        <f aca="false">IF(I1252&gt;=6,"High",IF(I1252&gt;=3,"Medium","Low"))</f>
        <v>Medium</v>
      </c>
    </row>
    <row r="1253" customFormat="false" ht="15" hidden="false" customHeight="true" outlineLevel="0" collapsed="false">
      <c r="A1253" s="2" t="n">
        <f aca="false">'Raw Data'!H1253</f>
        <v>1252</v>
      </c>
      <c r="B1253" s="2" t="n">
        <f aca="false">'Raw Data'!A1253</f>
        <v>33</v>
      </c>
      <c r="C1253" s="2" t="str">
        <f aca="false">'Raw Data'!D1253</f>
        <v>Sales</v>
      </c>
      <c r="D1253" s="2" t="str">
        <f aca="false">'Raw Data'!K1253</f>
        <v>Human Resources</v>
      </c>
      <c r="E1253" s="2" t="n">
        <f aca="false">'Raw Data'!Q1253</f>
        <v>10</v>
      </c>
      <c r="F1253" s="2" t="n">
        <f aca="false">'Raw Data'!U1253</f>
        <v>3</v>
      </c>
      <c r="G1253" s="2" t="n">
        <f aca="false">'Raw Data'!W1253</f>
        <v>1</v>
      </c>
      <c r="H1253" s="2" t="n">
        <f aca="false">'Raw Data'!V1253</f>
        <v>3</v>
      </c>
      <c r="I1253" s="2" t="n">
        <f aca="false">IF(AND(ISNUMBER(B1253),B1253&lt;=25),2,0)+IF(AND(ISNUMBER(E1253),E1253&lt;=5),2,0)+IF(AND(ISNUMBER(F1253),F1253&lt;=1),2,0)+IF(AND(ISNUMBER(G1253),G1253&lt;=2),1,0)+IF(AND(ISNUMBER(H1253),H1253&lt;=2),1,0)</f>
        <v>1</v>
      </c>
      <c r="J1253" s="2" t="str">
        <f aca="false">IF(I1253&gt;=6,"High",IF(I1253&gt;=3,"Medium","Low"))</f>
        <v>Low</v>
      </c>
    </row>
    <row r="1254" customFormat="false" ht="15" hidden="false" customHeight="true" outlineLevel="0" collapsed="false">
      <c r="A1254" s="2" t="n">
        <f aca="false">'Raw Data'!H1254</f>
        <v>1253</v>
      </c>
      <c r="B1254" s="2" t="n">
        <f aca="false">'Raw Data'!A1254</f>
        <v>35</v>
      </c>
      <c r="C1254" s="2" t="str">
        <f aca="false">'Raw Data'!D1254</f>
        <v>Research &amp; Development</v>
      </c>
      <c r="D1254" s="2" t="str">
        <f aca="false">'Raw Data'!K1254</f>
        <v>Research Scientist</v>
      </c>
      <c r="E1254" s="2" t="n">
        <f aca="false">'Raw Data'!Q1254</f>
        <v>1</v>
      </c>
      <c r="F1254" s="2" t="n">
        <f aca="false">'Raw Data'!U1254</f>
        <v>0</v>
      </c>
      <c r="G1254" s="2" t="n">
        <f aca="false">'Raw Data'!W1254</f>
        <v>4</v>
      </c>
      <c r="H1254" s="2" t="n">
        <f aca="false">'Raw Data'!V1254</f>
        <v>3</v>
      </c>
      <c r="I1254" s="2" t="n">
        <f aca="false">IF(AND(ISNUMBER(B1254),B1254&lt;=25),2,0)+IF(AND(ISNUMBER(E1254),E1254&lt;=5),2,0)+IF(AND(ISNUMBER(F1254),F1254&lt;=1),2,0)+IF(AND(ISNUMBER(G1254),G1254&lt;=2),1,0)+IF(AND(ISNUMBER(H1254),H1254&lt;=2),1,0)</f>
        <v>4</v>
      </c>
      <c r="J1254" s="2" t="str">
        <f aca="false">IF(I1254&gt;=6,"High",IF(I1254&gt;=3,"Medium","Low"))</f>
        <v>Medium</v>
      </c>
    </row>
    <row r="1255" customFormat="false" ht="15" hidden="false" customHeight="true" outlineLevel="0" collapsed="false">
      <c r="A1255" s="2" t="n">
        <f aca="false">'Raw Data'!H1255</f>
        <v>1254</v>
      </c>
      <c r="B1255" s="2" t="n">
        <f aca="false">'Raw Data'!A1255</f>
        <v>27</v>
      </c>
      <c r="C1255" s="2" t="str">
        <f aca="false">'Raw Data'!D1255</f>
        <v>Sales</v>
      </c>
      <c r="D1255" s="2" t="str">
        <f aca="false">'Raw Data'!K1255</f>
        <v>Research Scientist</v>
      </c>
      <c r="E1255" s="2" t="n">
        <f aca="false">'Raw Data'!Q1255</f>
        <v>1</v>
      </c>
      <c r="F1255" s="2" t="n">
        <f aca="false">'Raw Data'!U1255</f>
        <v>0</v>
      </c>
      <c r="G1255" s="2" t="n">
        <f aca="false">'Raw Data'!W1255</f>
        <v>1</v>
      </c>
      <c r="H1255" s="2" t="n">
        <f aca="false">'Raw Data'!V1255</f>
        <v>4</v>
      </c>
      <c r="I1255" s="2" t="n">
        <f aca="false">IF(AND(ISNUMBER(B1255),B1255&lt;=25),2,0)+IF(AND(ISNUMBER(E1255),E1255&lt;=5),2,0)+IF(AND(ISNUMBER(F1255),F1255&lt;=1),2,0)+IF(AND(ISNUMBER(G1255),G1255&lt;=2),1,0)+IF(AND(ISNUMBER(H1255),H1255&lt;=2),1,0)</f>
        <v>5</v>
      </c>
      <c r="J1255" s="2" t="str">
        <f aca="false">IF(I1255&gt;=6,"High",IF(I1255&gt;=3,"Medium","Low"))</f>
        <v>Medium</v>
      </c>
    </row>
    <row r="1256" customFormat="false" ht="15" hidden="false" customHeight="true" outlineLevel="0" collapsed="false">
      <c r="A1256" s="2" t="n">
        <f aca="false">'Raw Data'!H1256</f>
        <v>1255</v>
      </c>
      <c r="B1256" s="2" t="n">
        <f aca="false">'Raw Data'!A1256</f>
        <v>26</v>
      </c>
      <c r="C1256" s="2" t="str">
        <f aca="false">'Raw Data'!D1256</f>
        <v>Sales</v>
      </c>
      <c r="D1256" s="2" t="str">
        <f aca="false">'Raw Data'!K1256</f>
        <v>Manager</v>
      </c>
      <c r="E1256" s="2" t="n">
        <f aca="false">'Raw Data'!Q1256</f>
        <v>1</v>
      </c>
      <c r="F1256" s="2" t="n">
        <f aca="false">'Raw Data'!U1256</f>
        <v>1</v>
      </c>
      <c r="G1256" s="2" t="n">
        <f aca="false">'Raw Data'!W1256</f>
        <v>3</v>
      </c>
      <c r="H1256" s="2" t="n">
        <f aca="false">'Raw Data'!V1256</f>
        <v>1</v>
      </c>
      <c r="I1256" s="2" t="n">
        <f aca="false">IF(AND(ISNUMBER(B1256),B1256&lt;=25),2,0)+IF(AND(ISNUMBER(E1256),E1256&lt;=5),2,0)+IF(AND(ISNUMBER(F1256),F1256&lt;=1),2,0)+IF(AND(ISNUMBER(G1256),G1256&lt;=2),1,0)+IF(AND(ISNUMBER(H1256),H1256&lt;=2),1,0)</f>
        <v>5</v>
      </c>
      <c r="J1256" s="2" t="str">
        <f aca="false">IF(I1256&gt;=6,"High",IF(I1256&gt;=3,"Medium","Low"))</f>
        <v>Medium</v>
      </c>
    </row>
    <row r="1257" customFormat="false" ht="15" hidden="false" customHeight="true" outlineLevel="0" collapsed="false">
      <c r="A1257" s="2" t="n">
        <f aca="false">'Raw Data'!H1257</f>
        <v>1256</v>
      </c>
      <c r="B1257" s="2" t="n">
        <f aca="false">'Raw Data'!A1257</f>
        <v>27</v>
      </c>
      <c r="C1257" s="2" t="str">
        <f aca="false">'Raw Data'!D1257</f>
        <v>Sales</v>
      </c>
      <c r="D1257" s="2" t="str">
        <f aca="false">'Raw Data'!K1257</f>
        <v>Healthcare Representative</v>
      </c>
      <c r="E1257" s="2" t="n">
        <f aca="false">'Raw Data'!Q1257</f>
        <v>9</v>
      </c>
      <c r="F1257" s="2" t="n">
        <f aca="false">'Raw Data'!U1257</f>
        <v>7</v>
      </c>
      <c r="G1257" s="2" t="n">
        <f aca="false">'Raw Data'!W1257</f>
        <v>3</v>
      </c>
      <c r="H1257" s="2" t="n">
        <f aca="false">'Raw Data'!V1257</f>
        <v>4</v>
      </c>
      <c r="I1257" s="2" t="n">
        <f aca="false">IF(AND(ISNUMBER(B1257),B1257&lt;=25),2,0)+IF(AND(ISNUMBER(E1257),E1257&lt;=5),2,0)+IF(AND(ISNUMBER(F1257),F1257&lt;=1),2,0)+IF(AND(ISNUMBER(G1257),G1257&lt;=2),1,0)+IF(AND(ISNUMBER(H1257),H1257&lt;=2),1,0)</f>
        <v>0</v>
      </c>
      <c r="J1257" s="2" t="str">
        <f aca="false">IF(I1257&gt;=6,"High",IF(I1257&gt;=3,"Medium","Low"))</f>
        <v>Low</v>
      </c>
    </row>
    <row r="1258" customFormat="false" ht="15" hidden="false" customHeight="true" outlineLevel="0" collapsed="false">
      <c r="A1258" s="2" t="n">
        <f aca="false">'Raw Data'!H1258</f>
        <v>1257</v>
      </c>
      <c r="B1258" s="2" t="n">
        <f aca="false">'Raw Data'!A1258</f>
        <v>30</v>
      </c>
      <c r="C1258" s="2" t="str">
        <f aca="false">'Raw Data'!D1258</f>
        <v>Research &amp; Development</v>
      </c>
      <c r="D1258" s="2" t="str">
        <f aca="false">'Raw Data'!K1258</f>
        <v>Research Scientist</v>
      </c>
      <c r="E1258" s="2" t="n">
        <f aca="false">'Raw Data'!Q1258</f>
        <v>12</v>
      </c>
      <c r="F1258" s="2" t="n">
        <f aca="false">'Raw Data'!U1258</f>
        <v>7</v>
      </c>
      <c r="G1258" s="2" t="n">
        <f aca="false">'Raw Data'!W1258</f>
        <v>4</v>
      </c>
      <c r="H1258" s="2" t="n">
        <f aca="false">'Raw Data'!V1258</f>
        <v>3</v>
      </c>
      <c r="I1258" s="2" t="n">
        <f aca="false">IF(AND(ISNUMBER(B1258),B1258&lt;=25),2,0)+IF(AND(ISNUMBER(E1258),E1258&lt;=5),2,0)+IF(AND(ISNUMBER(F1258),F1258&lt;=1),2,0)+IF(AND(ISNUMBER(G1258),G1258&lt;=2),1,0)+IF(AND(ISNUMBER(H1258),H1258&lt;=2),1,0)</f>
        <v>0</v>
      </c>
      <c r="J1258" s="2" t="str">
        <f aca="false">IF(I1258&gt;=6,"High",IF(I1258&gt;=3,"Medium","Low"))</f>
        <v>Low</v>
      </c>
    </row>
    <row r="1259" customFormat="false" ht="15" hidden="false" customHeight="true" outlineLevel="0" collapsed="false">
      <c r="A1259" s="2" t="n">
        <f aca="false">'Raw Data'!H1259</f>
        <v>1258</v>
      </c>
      <c r="B1259" s="2" t="n">
        <f aca="false">'Raw Data'!A1259</f>
        <v>41</v>
      </c>
      <c r="C1259" s="2" t="str">
        <f aca="false">'Raw Data'!D1259</f>
        <v>Sales</v>
      </c>
      <c r="D1259" s="2" t="str">
        <f aca="false">'Raw Data'!K1259</f>
        <v>Sales Executive</v>
      </c>
      <c r="E1259" s="2" t="n">
        <f aca="false">'Raw Data'!Q1259</f>
        <v>23</v>
      </c>
      <c r="F1259" s="2" t="n">
        <f aca="false">'Raw Data'!U1259</f>
        <v>8</v>
      </c>
      <c r="G1259" s="2" t="n">
        <f aca="false">'Raw Data'!W1259</f>
        <v>3</v>
      </c>
      <c r="H1259" s="2" t="n">
        <f aca="false">'Raw Data'!V1259</f>
        <v>2</v>
      </c>
      <c r="I1259" s="2" t="n">
        <f aca="false">IF(AND(ISNUMBER(B1259),B1259&lt;=25),2,0)+IF(AND(ISNUMBER(E1259),E1259&lt;=5),2,0)+IF(AND(ISNUMBER(F1259),F1259&lt;=1),2,0)+IF(AND(ISNUMBER(G1259),G1259&lt;=2),1,0)+IF(AND(ISNUMBER(H1259),H1259&lt;=2),1,0)</f>
        <v>1</v>
      </c>
      <c r="J1259" s="2" t="str">
        <f aca="false">IF(I1259&gt;=6,"High",IF(I1259&gt;=3,"Medium","Low"))</f>
        <v>Low</v>
      </c>
    </row>
    <row r="1260" customFormat="false" ht="15" hidden="false" customHeight="true" outlineLevel="0" collapsed="false">
      <c r="A1260" s="2" t="n">
        <f aca="false">'Raw Data'!H1260</f>
        <v>1259</v>
      </c>
      <c r="B1260" s="2" t="n">
        <f aca="false">'Raw Data'!A1260</f>
        <v>34</v>
      </c>
      <c r="C1260" s="2" t="str">
        <f aca="false">'Raw Data'!D1260</f>
        <v>Research &amp; Development</v>
      </c>
      <c r="D1260" s="2" t="str">
        <f aca="false">'Raw Data'!K1260</f>
        <v>Research Scientist</v>
      </c>
      <c r="E1260" s="2" t="n">
        <f aca="false">'Raw Data'!Q1260</f>
        <v>10</v>
      </c>
      <c r="F1260" s="2" t="n">
        <f aca="false">'Raw Data'!U1260</f>
        <v>7</v>
      </c>
      <c r="G1260" s="2" t="n">
        <f aca="false">'Raw Data'!W1260</f>
        <v>3</v>
      </c>
      <c r="H1260" s="2" t="n">
        <f aca="false">'Raw Data'!V1260</f>
        <v>2</v>
      </c>
      <c r="I1260" s="2" t="n">
        <f aca="false">IF(AND(ISNUMBER(B1260),B1260&lt;=25),2,0)+IF(AND(ISNUMBER(E1260),E1260&lt;=5),2,0)+IF(AND(ISNUMBER(F1260),F1260&lt;=1),2,0)+IF(AND(ISNUMBER(G1260),G1260&lt;=2),1,0)+IF(AND(ISNUMBER(H1260),H1260&lt;=2),1,0)</f>
        <v>1</v>
      </c>
      <c r="J1260" s="2" t="str">
        <f aca="false">IF(I1260&gt;=6,"High",IF(I1260&gt;=3,"Medium","Low"))</f>
        <v>Low</v>
      </c>
    </row>
    <row r="1261" customFormat="false" ht="15" hidden="false" customHeight="true" outlineLevel="0" collapsed="false">
      <c r="A1261" s="2" t="n">
        <f aca="false">'Raw Data'!H1261</f>
        <v>1260</v>
      </c>
      <c r="B1261" s="2" t="n">
        <f aca="false">'Raw Data'!A1261</f>
        <v>37</v>
      </c>
      <c r="C1261" s="2" t="str">
        <f aca="false">'Raw Data'!D1261</f>
        <v>Research &amp; Development</v>
      </c>
      <c r="D1261" s="2" t="str">
        <f aca="false">'Raw Data'!K1261</f>
        <v>Sales Executive</v>
      </c>
      <c r="E1261" s="2" t="n">
        <f aca="false">'Raw Data'!Q1261</f>
        <v>8</v>
      </c>
      <c r="F1261" s="2" t="n">
        <f aca="false">'Raw Data'!U1261</f>
        <v>0</v>
      </c>
      <c r="G1261" s="2" t="n">
        <f aca="false">'Raw Data'!W1261</f>
        <v>2</v>
      </c>
      <c r="H1261" s="2" t="n">
        <f aca="false">'Raw Data'!V1261</f>
        <v>2</v>
      </c>
      <c r="I1261" s="2" t="n">
        <f aca="false">IF(AND(ISNUMBER(B1261),B1261&lt;=25),2,0)+IF(AND(ISNUMBER(E1261),E1261&lt;=5),2,0)+IF(AND(ISNUMBER(F1261),F1261&lt;=1),2,0)+IF(AND(ISNUMBER(G1261),G1261&lt;=2),1,0)+IF(AND(ISNUMBER(H1261),H1261&lt;=2),1,0)</f>
        <v>4</v>
      </c>
      <c r="J1261" s="2" t="str">
        <f aca="false">IF(I1261&gt;=6,"High",IF(I1261&gt;=3,"Medium","Low"))</f>
        <v>Medium</v>
      </c>
    </row>
    <row r="1262" customFormat="false" ht="15" hidden="false" customHeight="true" outlineLevel="0" collapsed="false">
      <c r="A1262" s="2" t="n">
        <f aca="false">'Raw Data'!H1262</f>
        <v>1261</v>
      </c>
      <c r="B1262" s="2" t="n">
        <f aca="false">'Raw Data'!A1262</f>
        <v>46</v>
      </c>
      <c r="C1262" s="2" t="str">
        <f aca="false">'Raw Data'!D1262</f>
        <v>Research &amp; Development</v>
      </c>
      <c r="D1262" s="2" t="str">
        <f aca="false">'Raw Data'!K1262</f>
        <v>Sales Executive</v>
      </c>
      <c r="E1262" s="2" t="n">
        <f aca="false">'Raw Data'!Q1262</f>
        <v>14</v>
      </c>
      <c r="F1262" s="2" t="n">
        <f aca="false">'Raw Data'!U1262</f>
        <v>8</v>
      </c>
      <c r="G1262" s="2" t="n">
        <f aca="false">'Raw Data'!W1262</f>
        <v>4</v>
      </c>
      <c r="H1262" s="2" t="n">
        <f aca="false">'Raw Data'!V1262</f>
        <v>1</v>
      </c>
      <c r="I1262" s="2" t="n">
        <f aca="false">IF(AND(ISNUMBER(B1262),B1262&lt;=25),2,0)+IF(AND(ISNUMBER(E1262),E1262&lt;=5),2,0)+IF(AND(ISNUMBER(F1262),F1262&lt;=1),2,0)+IF(AND(ISNUMBER(G1262),G1262&lt;=2),1,0)+IF(AND(ISNUMBER(H1262),H1262&lt;=2),1,0)</f>
        <v>1</v>
      </c>
      <c r="J1262" s="2" t="str">
        <f aca="false">IF(I1262&gt;=6,"High",IF(I1262&gt;=3,"Medium","Low"))</f>
        <v>Low</v>
      </c>
    </row>
    <row r="1263" customFormat="false" ht="15" hidden="false" customHeight="true" outlineLevel="0" collapsed="false">
      <c r="A1263" s="2" t="n">
        <f aca="false">'Raw Data'!H1263</f>
        <v>1262</v>
      </c>
      <c r="B1263" s="2" t="n">
        <f aca="false">'Raw Data'!A1263</f>
        <v>35</v>
      </c>
      <c r="C1263" s="2" t="str">
        <f aca="false">'Raw Data'!D1263</f>
        <v>Research &amp; Development</v>
      </c>
      <c r="D1263" s="2" t="str">
        <f aca="false">'Raw Data'!K1263</f>
        <v>Research Scientist</v>
      </c>
      <c r="E1263" s="2" t="n">
        <f aca="false">'Raw Data'!Q1263</f>
        <v>1</v>
      </c>
      <c r="F1263" s="2" t="n">
        <f aca="false">'Raw Data'!U1263</f>
        <v>1</v>
      </c>
      <c r="G1263" s="2" t="n">
        <f aca="false">'Raw Data'!W1263</f>
        <v>4</v>
      </c>
      <c r="H1263" s="2" t="n">
        <f aca="false">'Raw Data'!V1263</f>
        <v>4</v>
      </c>
      <c r="I1263" s="2" t="n">
        <f aca="false">IF(AND(ISNUMBER(B1263),B1263&lt;=25),2,0)+IF(AND(ISNUMBER(E1263),E1263&lt;=5),2,0)+IF(AND(ISNUMBER(F1263),F1263&lt;=1),2,0)+IF(AND(ISNUMBER(G1263),G1263&lt;=2),1,0)+IF(AND(ISNUMBER(H1263),H1263&lt;=2),1,0)</f>
        <v>4</v>
      </c>
      <c r="J1263" s="2" t="str">
        <f aca="false">IF(I1263&gt;=6,"High",IF(I1263&gt;=3,"Medium","Low"))</f>
        <v>Medium</v>
      </c>
    </row>
    <row r="1264" customFormat="false" ht="15" hidden="false" customHeight="true" outlineLevel="0" collapsed="false">
      <c r="A1264" s="2" t="n">
        <f aca="false">'Raw Data'!H1264</f>
        <v>1263</v>
      </c>
      <c r="B1264" s="2" t="n">
        <f aca="false">'Raw Data'!A1264</f>
        <v>48</v>
      </c>
      <c r="C1264" s="2" t="str">
        <f aca="false">'Raw Data'!D1264</f>
        <v>Research &amp; Development</v>
      </c>
      <c r="D1264" s="2" t="str">
        <f aca="false">'Raw Data'!K1264</f>
        <v>Sales Executive</v>
      </c>
      <c r="E1264" s="2" t="n">
        <f aca="false">'Raw Data'!Q1264</f>
        <v>23</v>
      </c>
      <c r="F1264" s="2" t="n">
        <f aca="false">'Raw Data'!U1264</f>
        <v>0</v>
      </c>
      <c r="G1264" s="2" t="n">
        <f aca="false">'Raw Data'!W1264</f>
        <v>3</v>
      </c>
      <c r="H1264" s="2" t="n">
        <f aca="false">'Raw Data'!V1264</f>
        <v>1</v>
      </c>
      <c r="I1264" s="2" t="n">
        <f aca="false">IF(AND(ISNUMBER(B1264),B1264&lt;=25),2,0)+IF(AND(ISNUMBER(E1264),E1264&lt;=5),2,0)+IF(AND(ISNUMBER(F1264),F1264&lt;=1),2,0)+IF(AND(ISNUMBER(G1264),G1264&lt;=2),1,0)+IF(AND(ISNUMBER(H1264),H1264&lt;=2),1,0)</f>
        <v>3</v>
      </c>
      <c r="J1264" s="2" t="str">
        <f aca="false">IF(I1264&gt;=6,"High",IF(I1264&gt;=3,"Medium","Low"))</f>
        <v>Medium</v>
      </c>
    </row>
    <row r="1265" customFormat="false" ht="15" hidden="false" customHeight="true" outlineLevel="0" collapsed="false">
      <c r="A1265" s="2" t="n">
        <f aca="false">'Raw Data'!H1265</f>
        <v>1264</v>
      </c>
      <c r="B1265" s="2" t="n">
        <f aca="false">'Raw Data'!A1265</f>
        <v>28</v>
      </c>
      <c r="C1265" s="2" t="str">
        <f aca="false">'Raw Data'!D1265</f>
        <v>Research &amp; Development</v>
      </c>
      <c r="D1265" s="2" t="str">
        <f aca="false">'Raw Data'!K1265</f>
        <v>Sales Executive</v>
      </c>
      <c r="E1265" s="2" t="n">
        <f aca="false">'Raw Data'!Q1265</f>
        <v>2</v>
      </c>
      <c r="F1265" s="2" t="n">
        <f aca="false">'Raw Data'!U1265</f>
        <v>2</v>
      </c>
      <c r="G1265" s="2" t="n">
        <f aca="false">'Raw Data'!W1265</f>
        <v>3</v>
      </c>
      <c r="H1265" s="2" t="n">
        <f aca="false">'Raw Data'!V1265</f>
        <v>3</v>
      </c>
      <c r="I1265" s="2" t="n">
        <f aca="false">IF(AND(ISNUMBER(B1265),B1265&lt;=25),2,0)+IF(AND(ISNUMBER(E1265),E1265&lt;=5),2,0)+IF(AND(ISNUMBER(F1265),F1265&lt;=1),2,0)+IF(AND(ISNUMBER(G1265),G1265&lt;=2),1,0)+IF(AND(ISNUMBER(H1265),H1265&lt;=2),1,0)</f>
        <v>2</v>
      </c>
      <c r="J1265" s="2" t="str">
        <f aca="false">IF(I1265&gt;=6,"High",IF(I1265&gt;=3,"Medium","Low"))</f>
        <v>Low</v>
      </c>
    </row>
    <row r="1266" customFormat="false" ht="15" hidden="false" customHeight="true" outlineLevel="0" collapsed="false">
      <c r="A1266" s="2" t="n">
        <f aca="false">'Raw Data'!H1266</f>
        <v>1265</v>
      </c>
      <c r="B1266" s="2" t="n">
        <f aca="false">'Raw Data'!A1266</f>
        <v>44</v>
      </c>
      <c r="C1266" s="2" t="str">
        <f aca="false">'Raw Data'!D1266</f>
        <v>Research &amp; Development</v>
      </c>
      <c r="D1266" s="2" t="str">
        <f aca="false">'Raw Data'!K1266</f>
        <v>Research Scientist</v>
      </c>
      <c r="E1266" s="2" t="n">
        <f aca="false">'Raw Data'!Q1266</f>
        <v>9</v>
      </c>
      <c r="F1266" s="2" t="n">
        <f aca="false">'Raw Data'!U1266</f>
        <v>3</v>
      </c>
      <c r="G1266" s="2" t="n">
        <f aca="false">'Raw Data'!W1266</f>
        <v>1</v>
      </c>
      <c r="H1266" s="2" t="n">
        <f aca="false">'Raw Data'!V1266</f>
        <v>2</v>
      </c>
      <c r="I1266" s="2" t="n">
        <f aca="false">IF(AND(ISNUMBER(B1266),B1266&lt;=25),2,0)+IF(AND(ISNUMBER(E1266),E1266&lt;=5),2,0)+IF(AND(ISNUMBER(F1266),F1266&lt;=1),2,0)+IF(AND(ISNUMBER(G1266),G1266&lt;=2),1,0)+IF(AND(ISNUMBER(H1266),H1266&lt;=2),1,0)</f>
        <v>2</v>
      </c>
      <c r="J1266" s="2" t="str">
        <f aca="false">IF(I1266&gt;=6,"High",IF(I1266&gt;=3,"Medium","Low"))</f>
        <v>Low</v>
      </c>
    </row>
    <row r="1267" customFormat="false" ht="15" hidden="false" customHeight="true" outlineLevel="0" collapsed="false">
      <c r="A1267" s="2" t="n">
        <f aca="false">'Raw Data'!H1267</f>
        <v>1266</v>
      </c>
      <c r="B1267" s="2" t="n">
        <f aca="false">'Raw Data'!A1267</f>
        <v>35</v>
      </c>
      <c r="C1267" s="2" t="str">
        <f aca="false">'Raw Data'!D1267</f>
        <v>Research &amp; Development</v>
      </c>
      <c r="D1267" s="2" t="str">
        <f aca="false">'Raw Data'!K1267</f>
        <v>Manufacturing Director</v>
      </c>
      <c r="E1267" s="2" t="n">
        <f aca="false">'Raw Data'!Q1267</f>
        <v>10</v>
      </c>
      <c r="F1267" s="2" t="n">
        <f aca="false">'Raw Data'!U1267</f>
        <v>3</v>
      </c>
      <c r="G1267" s="2" t="n">
        <f aca="false">'Raw Data'!W1267</f>
        <v>1</v>
      </c>
      <c r="H1267" s="2" t="n">
        <f aca="false">'Raw Data'!V1267</f>
        <v>3</v>
      </c>
      <c r="I1267" s="2" t="n">
        <f aca="false">IF(AND(ISNUMBER(B1267),B1267&lt;=25),2,0)+IF(AND(ISNUMBER(E1267),E1267&lt;=5),2,0)+IF(AND(ISNUMBER(F1267),F1267&lt;=1),2,0)+IF(AND(ISNUMBER(G1267),G1267&lt;=2),1,0)+IF(AND(ISNUMBER(H1267),H1267&lt;=2),1,0)</f>
        <v>1</v>
      </c>
      <c r="J1267" s="2" t="str">
        <f aca="false">IF(I1267&gt;=6,"High",IF(I1267&gt;=3,"Medium","Low"))</f>
        <v>Low</v>
      </c>
    </row>
    <row r="1268" customFormat="false" ht="15" hidden="false" customHeight="true" outlineLevel="0" collapsed="false">
      <c r="A1268" s="2" t="n">
        <f aca="false">'Raw Data'!H1268</f>
        <v>1267</v>
      </c>
      <c r="B1268" s="2" t="n">
        <f aca="false">'Raw Data'!A1268</f>
        <v>26</v>
      </c>
      <c r="C1268" s="2" t="str">
        <f aca="false">'Raw Data'!D1268</f>
        <v>Research &amp; Development</v>
      </c>
      <c r="D1268" s="2" t="str">
        <f aca="false">'Raw Data'!K1268</f>
        <v>Sales Executive</v>
      </c>
      <c r="E1268" s="2" t="n">
        <f aca="false">'Raw Data'!Q1268</f>
        <v>5</v>
      </c>
      <c r="F1268" s="2" t="n">
        <f aca="false">'Raw Data'!U1268</f>
        <v>0</v>
      </c>
      <c r="G1268" s="2" t="n">
        <f aca="false">'Raw Data'!W1268</f>
        <v>4</v>
      </c>
      <c r="H1268" s="2" t="n">
        <f aca="false">'Raw Data'!V1268</f>
        <v>3</v>
      </c>
      <c r="I1268" s="2" t="n">
        <f aca="false">IF(AND(ISNUMBER(B1268),B1268&lt;=25),2,0)+IF(AND(ISNUMBER(E1268),E1268&lt;=5),2,0)+IF(AND(ISNUMBER(F1268),F1268&lt;=1),2,0)+IF(AND(ISNUMBER(G1268),G1268&lt;=2),1,0)+IF(AND(ISNUMBER(H1268),H1268&lt;=2),1,0)</f>
        <v>4</v>
      </c>
      <c r="J1268" s="2" t="str">
        <f aca="false">IF(I1268&gt;=6,"High",IF(I1268&gt;=3,"Medium","Low"))</f>
        <v>Medium</v>
      </c>
    </row>
    <row r="1269" customFormat="false" ht="15" hidden="false" customHeight="true" outlineLevel="0" collapsed="false">
      <c r="A1269" s="2" t="n">
        <f aca="false">'Raw Data'!H1269</f>
        <v>1268</v>
      </c>
      <c r="B1269" s="2" t="n">
        <f aca="false">'Raw Data'!A1269</f>
        <v>33</v>
      </c>
      <c r="C1269" s="2" t="str">
        <f aca="false">'Raw Data'!D1269</f>
        <v>Sales</v>
      </c>
      <c r="D1269" s="2" t="str">
        <f aca="false">'Raw Data'!K1269</f>
        <v>Human Resources</v>
      </c>
      <c r="E1269" s="2" t="n">
        <f aca="false">'Raw Data'!Q1269</f>
        <v>15</v>
      </c>
      <c r="F1269" s="2" t="n">
        <f aca="false">'Raw Data'!U1269</f>
        <v>12</v>
      </c>
      <c r="G1269" s="2" t="n">
        <f aca="false">'Raw Data'!W1269</f>
        <v>4</v>
      </c>
      <c r="H1269" s="2" t="n">
        <f aca="false">'Raw Data'!V1269</f>
        <v>1</v>
      </c>
      <c r="I1269" s="2" t="n">
        <f aca="false">IF(AND(ISNUMBER(B1269),B1269&lt;=25),2,0)+IF(AND(ISNUMBER(E1269),E1269&lt;=5),2,0)+IF(AND(ISNUMBER(F1269),F1269&lt;=1),2,0)+IF(AND(ISNUMBER(G1269),G1269&lt;=2),1,0)+IF(AND(ISNUMBER(H1269),H1269&lt;=2),1,0)</f>
        <v>1</v>
      </c>
      <c r="J1269" s="2" t="str">
        <f aca="false">IF(I1269&gt;=6,"High",IF(I1269&gt;=3,"Medium","Low"))</f>
        <v>Low</v>
      </c>
    </row>
    <row r="1270" customFormat="false" ht="15" hidden="false" customHeight="true" outlineLevel="0" collapsed="false">
      <c r="A1270" s="2" t="n">
        <f aca="false">'Raw Data'!H1270</f>
        <v>1269</v>
      </c>
      <c r="B1270" s="2" t="n">
        <f aca="false">'Raw Data'!A1270</f>
        <v>35</v>
      </c>
      <c r="C1270" s="2" t="str">
        <f aca="false">'Raw Data'!D1270</f>
        <v>Research &amp; Development</v>
      </c>
      <c r="D1270" s="2" t="str">
        <f aca="false">'Raw Data'!K1270</f>
        <v>Manufacturing Director</v>
      </c>
      <c r="E1270" s="2" t="n">
        <f aca="false">'Raw Data'!Q1270</f>
        <v>9</v>
      </c>
      <c r="F1270" s="2" t="n">
        <f aca="false">'Raw Data'!U1270</f>
        <v>8</v>
      </c>
      <c r="G1270" s="2" t="n">
        <f aca="false">'Raw Data'!W1270</f>
        <v>1</v>
      </c>
      <c r="H1270" s="2" t="n">
        <f aca="false">'Raw Data'!V1270</f>
        <v>2</v>
      </c>
      <c r="I1270" s="2" t="n">
        <f aca="false">IF(AND(ISNUMBER(B1270),B1270&lt;=25),2,0)+IF(AND(ISNUMBER(E1270),E1270&lt;=5),2,0)+IF(AND(ISNUMBER(F1270),F1270&lt;=1),2,0)+IF(AND(ISNUMBER(G1270),G1270&lt;=2),1,0)+IF(AND(ISNUMBER(H1270),H1270&lt;=2),1,0)</f>
        <v>2</v>
      </c>
      <c r="J1270" s="2" t="str">
        <f aca="false">IF(I1270&gt;=6,"High",IF(I1270&gt;=3,"Medium","Low"))</f>
        <v>Low</v>
      </c>
    </row>
    <row r="1271" customFormat="false" ht="15" hidden="false" customHeight="true" outlineLevel="0" collapsed="false">
      <c r="A1271" s="2" t="n">
        <f aca="false">'Raw Data'!H1271</f>
        <v>1270</v>
      </c>
      <c r="B1271" s="2" t="n">
        <f aca="false">'Raw Data'!A1271</f>
        <v>35</v>
      </c>
      <c r="C1271" s="2" t="str">
        <f aca="false">'Raw Data'!D1271</f>
        <v>Human Resources</v>
      </c>
      <c r="D1271" s="2" t="str">
        <f aca="false">'Raw Data'!K1271</f>
        <v>Laboratory Technician</v>
      </c>
      <c r="E1271" s="2" t="n">
        <f aca="false">'Raw Data'!Q1271</f>
        <v>4</v>
      </c>
      <c r="F1271" s="2" t="n">
        <f aca="false">'Raw Data'!U1271</f>
        <v>2</v>
      </c>
      <c r="G1271" s="2" t="n">
        <f aca="false">'Raw Data'!W1271</f>
        <v>1</v>
      </c>
      <c r="H1271" s="2" t="n">
        <f aca="false">'Raw Data'!V1271</f>
        <v>3</v>
      </c>
      <c r="I1271" s="2" t="n">
        <f aca="false">IF(AND(ISNUMBER(B1271),B1271&lt;=25),2,0)+IF(AND(ISNUMBER(E1271),E1271&lt;=5),2,0)+IF(AND(ISNUMBER(F1271),F1271&lt;=1),2,0)+IF(AND(ISNUMBER(G1271),G1271&lt;=2),1,0)+IF(AND(ISNUMBER(H1271),H1271&lt;=2),1,0)</f>
        <v>3</v>
      </c>
      <c r="J1271" s="2" t="str">
        <f aca="false">IF(I1271&gt;=6,"High",IF(I1271&gt;=3,"Medium","Low"))</f>
        <v>Medium</v>
      </c>
    </row>
    <row r="1272" customFormat="false" ht="15" hidden="false" customHeight="true" outlineLevel="0" collapsed="false">
      <c r="A1272" s="2" t="n">
        <f aca="false">'Raw Data'!H1272</f>
        <v>1271</v>
      </c>
      <c r="B1272" s="2" t="n">
        <f aca="false">'Raw Data'!A1272</f>
        <v>31</v>
      </c>
      <c r="C1272" s="2" t="str">
        <f aca="false">'Raw Data'!D1272</f>
        <v>Sales</v>
      </c>
      <c r="D1272" s="2" t="str">
        <f aca="false">'Raw Data'!K1272</f>
        <v>Research Scientist</v>
      </c>
      <c r="E1272" s="2" t="n">
        <f aca="false">'Raw Data'!Q1272</f>
        <v>10</v>
      </c>
      <c r="F1272" s="2" t="n">
        <f aca="false">'Raw Data'!U1272</f>
        <v>7</v>
      </c>
      <c r="G1272" s="2" t="n">
        <f aca="false">'Raw Data'!W1272</f>
        <v>4</v>
      </c>
      <c r="H1272" s="2" t="n">
        <f aca="false">'Raw Data'!V1272</f>
        <v>4</v>
      </c>
      <c r="I1272" s="2" t="n">
        <f aca="false">IF(AND(ISNUMBER(B1272),B1272&lt;=25),2,0)+IF(AND(ISNUMBER(E1272),E1272&lt;=5),2,0)+IF(AND(ISNUMBER(F1272),F1272&lt;=1),2,0)+IF(AND(ISNUMBER(G1272),G1272&lt;=2),1,0)+IF(AND(ISNUMBER(H1272),H1272&lt;=2),1,0)</f>
        <v>0</v>
      </c>
      <c r="J1272" s="2" t="str">
        <f aca="false">IF(I1272&gt;=6,"High",IF(I1272&gt;=3,"Medium","Low"))</f>
        <v>Low</v>
      </c>
    </row>
    <row r="1273" customFormat="false" ht="15" hidden="false" customHeight="true" outlineLevel="0" collapsed="false">
      <c r="A1273" s="2" t="n">
        <f aca="false">'Raw Data'!H1273</f>
        <v>1272</v>
      </c>
      <c r="B1273" s="2" t="n">
        <f aca="false">'Raw Data'!A1273</f>
        <v>37</v>
      </c>
      <c r="C1273" s="2" t="str">
        <f aca="false">'Raw Data'!D1273</f>
        <v>Sales</v>
      </c>
      <c r="D1273" s="2" t="str">
        <f aca="false">'Raw Data'!K1273</f>
        <v>Human Resources</v>
      </c>
      <c r="E1273" s="2" t="n">
        <f aca="false">'Raw Data'!Q1273</f>
        <v>7</v>
      </c>
      <c r="F1273" s="2" t="n">
        <f aca="false">'Raw Data'!U1273</f>
        <v>7</v>
      </c>
      <c r="G1273" s="2" t="n">
        <f aca="false">'Raw Data'!W1273</f>
        <v>3</v>
      </c>
      <c r="H1273" s="2" t="n">
        <f aca="false">'Raw Data'!V1273</f>
        <v>1</v>
      </c>
      <c r="I1273" s="2" t="n">
        <f aca="false">IF(AND(ISNUMBER(B1273),B1273&lt;=25),2,0)+IF(AND(ISNUMBER(E1273),E1273&lt;=5),2,0)+IF(AND(ISNUMBER(F1273),F1273&lt;=1),2,0)+IF(AND(ISNUMBER(G1273),G1273&lt;=2),1,0)+IF(AND(ISNUMBER(H1273),H1273&lt;=2),1,0)</f>
        <v>1</v>
      </c>
      <c r="J1273" s="2" t="str">
        <f aca="false">IF(I1273&gt;=6,"High",IF(I1273&gt;=3,"Medium","Low"))</f>
        <v>Low</v>
      </c>
    </row>
    <row r="1274" customFormat="false" ht="15" hidden="false" customHeight="true" outlineLevel="0" collapsed="false">
      <c r="A1274" s="2" t="n">
        <f aca="false">'Raw Data'!H1274</f>
        <v>1273</v>
      </c>
      <c r="B1274" s="2" t="n">
        <f aca="false">'Raw Data'!A1274</f>
        <v>32</v>
      </c>
      <c r="C1274" s="2" t="str">
        <f aca="false">'Raw Data'!D1274</f>
        <v>Research &amp; Development</v>
      </c>
      <c r="D1274" s="2" t="str">
        <f aca="false">'Raw Data'!K1274</f>
        <v>Sales Executive</v>
      </c>
      <c r="E1274" s="2" t="n">
        <f aca="false">'Raw Data'!Q1274</f>
        <v>9</v>
      </c>
      <c r="F1274" s="2" t="n">
        <f aca="false">'Raw Data'!U1274</f>
        <v>8</v>
      </c>
      <c r="G1274" s="2" t="n">
        <f aca="false">'Raw Data'!W1274</f>
        <v>4</v>
      </c>
      <c r="H1274" s="2" t="n">
        <f aca="false">'Raw Data'!V1274</f>
        <v>1</v>
      </c>
      <c r="I1274" s="2" t="n">
        <f aca="false">IF(AND(ISNUMBER(B1274),B1274&lt;=25),2,0)+IF(AND(ISNUMBER(E1274),E1274&lt;=5),2,0)+IF(AND(ISNUMBER(F1274),F1274&lt;=1),2,0)+IF(AND(ISNUMBER(G1274),G1274&lt;=2),1,0)+IF(AND(ISNUMBER(H1274),H1274&lt;=2),1,0)</f>
        <v>1</v>
      </c>
      <c r="J1274" s="2" t="str">
        <f aca="false">IF(I1274&gt;=6,"High",IF(I1274&gt;=3,"Medium","Low"))</f>
        <v>Low</v>
      </c>
    </row>
    <row r="1275" customFormat="false" ht="15" hidden="false" customHeight="true" outlineLevel="0" collapsed="false">
      <c r="A1275" s="2" t="n">
        <f aca="false">'Raw Data'!H1275</f>
        <v>1274</v>
      </c>
      <c r="B1275" s="2" t="n">
        <f aca="false">'Raw Data'!A1275</f>
        <v>38</v>
      </c>
      <c r="C1275" s="2" t="str">
        <f aca="false">'Raw Data'!D1275</f>
        <v>Research &amp; Development</v>
      </c>
      <c r="D1275" s="2" t="str">
        <f aca="false">'Raw Data'!K1275</f>
        <v>Manufacturing Director</v>
      </c>
      <c r="E1275" s="2" t="n">
        <f aca="false">'Raw Data'!Q1275</f>
        <v>10</v>
      </c>
      <c r="F1275" s="2" t="n">
        <f aca="false">'Raw Data'!U1275</f>
        <v>9</v>
      </c>
      <c r="G1275" s="2" t="n">
        <f aca="false">'Raw Data'!W1275</f>
        <v>4</v>
      </c>
      <c r="H1275" s="2" t="n">
        <f aca="false">'Raw Data'!V1275</f>
        <v>4</v>
      </c>
      <c r="I1275" s="2" t="n">
        <f aca="false">IF(AND(ISNUMBER(B1275),B1275&lt;=25),2,0)+IF(AND(ISNUMBER(E1275),E1275&lt;=5),2,0)+IF(AND(ISNUMBER(F1275),F1275&lt;=1),2,0)+IF(AND(ISNUMBER(G1275),G1275&lt;=2),1,0)+IF(AND(ISNUMBER(H1275),H1275&lt;=2),1,0)</f>
        <v>0</v>
      </c>
      <c r="J1275" s="2" t="str">
        <f aca="false">IF(I1275&gt;=6,"High",IF(I1275&gt;=3,"Medium","Low"))</f>
        <v>Low</v>
      </c>
    </row>
    <row r="1276" customFormat="false" ht="15" hidden="false" customHeight="true" outlineLevel="0" collapsed="false">
      <c r="A1276" s="2" t="n">
        <f aca="false">'Raw Data'!H1276</f>
        <v>1275</v>
      </c>
      <c r="B1276" s="2" t="n">
        <f aca="false">'Raw Data'!A1276</f>
        <v>50</v>
      </c>
      <c r="C1276" s="2" t="str">
        <f aca="false">'Raw Data'!D1276</f>
        <v>Sales</v>
      </c>
      <c r="D1276" s="2" t="str">
        <f aca="false">'Raw Data'!K1276</f>
        <v>Research Scientist</v>
      </c>
      <c r="E1276" s="2" t="n">
        <f aca="false">'Raw Data'!Q1276</f>
        <v>29</v>
      </c>
      <c r="F1276" s="2" t="n">
        <f aca="false">'Raw Data'!U1276</f>
        <v>8</v>
      </c>
      <c r="G1276" s="2" t="n">
        <f aca="false">'Raw Data'!W1276</f>
        <v>3</v>
      </c>
      <c r="H1276" s="2" t="n">
        <f aca="false">'Raw Data'!V1276</f>
        <v>2</v>
      </c>
      <c r="I1276" s="2" t="n">
        <f aca="false">IF(AND(ISNUMBER(B1276),B1276&lt;=25),2,0)+IF(AND(ISNUMBER(E1276),E1276&lt;=5),2,0)+IF(AND(ISNUMBER(F1276),F1276&lt;=1),2,0)+IF(AND(ISNUMBER(G1276),G1276&lt;=2),1,0)+IF(AND(ISNUMBER(H1276),H1276&lt;=2),1,0)</f>
        <v>1</v>
      </c>
      <c r="J1276" s="2" t="str">
        <f aca="false">IF(I1276&gt;=6,"High",IF(I1276&gt;=3,"Medium","Low"))</f>
        <v>Low</v>
      </c>
    </row>
    <row r="1277" customFormat="false" ht="15" hidden="false" customHeight="true" outlineLevel="0" collapsed="false">
      <c r="A1277" s="2" t="n">
        <f aca="false">'Raw Data'!H1277</f>
        <v>1276</v>
      </c>
      <c r="B1277" s="2" t="n">
        <f aca="false">'Raw Data'!A1277</f>
        <v>59</v>
      </c>
      <c r="C1277" s="2" t="str">
        <f aca="false">'Raw Data'!D1277</f>
        <v>Research &amp; Development</v>
      </c>
      <c r="D1277" s="2" t="str">
        <f aca="false">'Raw Data'!K1277</f>
        <v>Laboratory Technician</v>
      </c>
      <c r="E1277" s="2" t="n">
        <f aca="false">'Raw Data'!Q1277</f>
        <v>28</v>
      </c>
      <c r="F1277" s="2" t="n">
        <f aca="false">'Raw Data'!U1277</f>
        <v>9</v>
      </c>
      <c r="G1277" s="2" t="n">
        <f aca="false">'Raw Data'!W1277</f>
        <v>1</v>
      </c>
      <c r="H1277" s="2" t="n">
        <f aca="false">'Raw Data'!V1277</f>
        <v>1</v>
      </c>
      <c r="I1277" s="2" t="n">
        <f aca="false">IF(AND(ISNUMBER(B1277),B1277&lt;=25),2,0)+IF(AND(ISNUMBER(E1277),E1277&lt;=5),2,0)+IF(AND(ISNUMBER(F1277),F1277&lt;=1),2,0)+IF(AND(ISNUMBER(G1277),G1277&lt;=2),1,0)+IF(AND(ISNUMBER(H1277),H1277&lt;=2),1,0)</f>
        <v>2</v>
      </c>
      <c r="J1277" s="2" t="str">
        <f aca="false">IF(I1277&gt;=6,"High",IF(I1277&gt;=3,"Medium","Low"))</f>
        <v>Low</v>
      </c>
    </row>
    <row r="1278" customFormat="false" ht="15" hidden="false" customHeight="true" outlineLevel="0" collapsed="false">
      <c r="A1278" s="2" t="n">
        <f aca="false">'Raw Data'!H1278</f>
        <v>1277</v>
      </c>
      <c r="B1278" s="2" t="n">
        <f aca="false">'Raw Data'!A1278</f>
        <v>36</v>
      </c>
      <c r="C1278" s="2" t="str">
        <f aca="false">'Raw Data'!D1278</f>
        <v>Sales</v>
      </c>
      <c r="D1278" s="2" t="str">
        <f aca="false">'Raw Data'!K1278</f>
        <v>Sales Executive</v>
      </c>
      <c r="E1278" s="2" t="n">
        <f aca="false">'Raw Data'!Q1278</f>
        <v>17</v>
      </c>
      <c r="F1278" s="2" t="n">
        <f aca="false">'Raw Data'!U1278</f>
        <v>8</v>
      </c>
      <c r="G1278" s="2" t="n">
        <f aca="false">'Raw Data'!W1278</f>
        <v>3</v>
      </c>
      <c r="H1278" s="2" t="n">
        <f aca="false">'Raw Data'!V1278</f>
        <v>3</v>
      </c>
      <c r="I1278" s="2" t="n">
        <f aca="false">IF(AND(ISNUMBER(B1278),B1278&lt;=25),2,0)+IF(AND(ISNUMBER(E1278),E1278&lt;=5),2,0)+IF(AND(ISNUMBER(F1278),F1278&lt;=1),2,0)+IF(AND(ISNUMBER(G1278),G1278&lt;=2),1,0)+IF(AND(ISNUMBER(H1278),H1278&lt;=2),1,0)</f>
        <v>0</v>
      </c>
      <c r="J1278" s="2" t="str">
        <f aca="false">IF(I1278&gt;=6,"High",IF(I1278&gt;=3,"Medium","Low"))</f>
        <v>Low</v>
      </c>
    </row>
    <row r="1279" customFormat="false" ht="15" hidden="false" customHeight="true" outlineLevel="0" collapsed="false">
      <c r="A1279" s="2" t="n">
        <f aca="false">'Raw Data'!H1279</f>
        <v>1278</v>
      </c>
      <c r="B1279" s="2" t="n">
        <f aca="false">'Raw Data'!A1279</f>
        <v>55</v>
      </c>
      <c r="C1279" s="2" t="str">
        <f aca="false">'Raw Data'!D1279</f>
        <v>Research &amp; Development</v>
      </c>
      <c r="D1279" s="2" t="str">
        <f aca="false">'Raw Data'!K1279</f>
        <v>Research Scientist</v>
      </c>
      <c r="E1279" s="2" t="n">
        <f aca="false">'Raw Data'!Q1279</f>
        <v>21</v>
      </c>
      <c r="F1279" s="2" t="n">
        <f aca="false">'Raw Data'!U1279</f>
        <v>2</v>
      </c>
      <c r="G1279" s="2" t="n">
        <f aca="false">'Raw Data'!W1279</f>
        <v>3</v>
      </c>
      <c r="H1279" s="2" t="n">
        <f aca="false">'Raw Data'!V1279</f>
        <v>4</v>
      </c>
      <c r="I1279" s="2" t="n">
        <f aca="false">IF(AND(ISNUMBER(B1279),B1279&lt;=25),2,0)+IF(AND(ISNUMBER(E1279),E1279&lt;=5),2,0)+IF(AND(ISNUMBER(F1279),F1279&lt;=1),2,0)+IF(AND(ISNUMBER(G1279),G1279&lt;=2),1,0)+IF(AND(ISNUMBER(H1279),H1279&lt;=2),1,0)</f>
        <v>0</v>
      </c>
      <c r="J1279" s="2" t="str">
        <f aca="false">IF(I1279&gt;=6,"High",IF(I1279&gt;=3,"Medium","Low"))</f>
        <v>Low</v>
      </c>
    </row>
    <row r="1280" customFormat="false" ht="15" hidden="false" customHeight="true" outlineLevel="0" collapsed="false">
      <c r="A1280" s="2" t="n">
        <f aca="false">'Raw Data'!H1280</f>
        <v>1279</v>
      </c>
      <c r="B1280" s="2" t="n">
        <f aca="false">'Raw Data'!A1280</f>
        <v>36</v>
      </c>
      <c r="C1280" s="2" t="str">
        <f aca="false">'Raw Data'!D1280</f>
        <v>Research &amp; Development</v>
      </c>
      <c r="D1280" s="2" t="str">
        <f aca="false">'Raw Data'!K1280</f>
        <v>Laboratory Technician</v>
      </c>
      <c r="E1280" s="2" t="n">
        <f aca="false">'Raw Data'!Q1280</f>
        <v>6</v>
      </c>
      <c r="F1280" s="2" t="n">
        <f aca="false">'Raw Data'!U1280</f>
        <v>3</v>
      </c>
      <c r="G1280" s="2" t="n">
        <f aca="false">'Raw Data'!W1280</f>
        <v>2</v>
      </c>
      <c r="H1280" s="2" t="n">
        <f aca="false">'Raw Data'!V1280</f>
        <v>2</v>
      </c>
      <c r="I1280" s="2" t="n">
        <f aca="false">IF(AND(ISNUMBER(B1280),B1280&lt;=25),2,0)+IF(AND(ISNUMBER(E1280),E1280&lt;=5),2,0)+IF(AND(ISNUMBER(F1280),F1280&lt;=1),2,0)+IF(AND(ISNUMBER(G1280),G1280&lt;=2),1,0)+IF(AND(ISNUMBER(H1280),H1280&lt;=2),1,0)</f>
        <v>2</v>
      </c>
      <c r="J1280" s="2" t="str">
        <f aca="false">IF(I1280&gt;=6,"High",IF(I1280&gt;=3,"Medium","Low"))</f>
        <v>Low</v>
      </c>
    </row>
    <row r="1281" customFormat="false" ht="15" hidden="false" customHeight="true" outlineLevel="0" collapsed="false">
      <c r="A1281" s="2" t="n">
        <f aca="false">'Raw Data'!H1281</f>
        <v>1280</v>
      </c>
      <c r="B1281" s="2" t="n">
        <f aca="false">'Raw Data'!A1281</f>
        <v>45</v>
      </c>
      <c r="C1281" s="2" t="str">
        <f aca="false">'Raw Data'!D1281</f>
        <v>Research &amp; Development</v>
      </c>
      <c r="D1281" s="2" t="str">
        <f aca="false">'Raw Data'!K1281</f>
        <v>Sales Executive</v>
      </c>
      <c r="E1281" s="2" t="n">
        <f aca="false">'Raw Data'!Q1281</f>
        <v>25</v>
      </c>
      <c r="F1281" s="2" t="n">
        <f aca="false">'Raw Data'!U1281</f>
        <v>0</v>
      </c>
      <c r="G1281" s="2" t="n">
        <f aca="false">'Raw Data'!W1281</f>
        <v>1</v>
      </c>
      <c r="H1281" s="2" t="n">
        <f aca="false">'Raw Data'!V1281</f>
        <v>2</v>
      </c>
      <c r="I1281" s="2" t="n">
        <f aca="false">IF(AND(ISNUMBER(B1281),B1281&lt;=25),2,0)+IF(AND(ISNUMBER(E1281),E1281&lt;=5),2,0)+IF(AND(ISNUMBER(F1281),F1281&lt;=1),2,0)+IF(AND(ISNUMBER(G1281),G1281&lt;=2),1,0)+IF(AND(ISNUMBER(H1281),H1281&lt;=2),1,0)</f>
        <v>4</v>
      </c>
      <c r="J1281" s="2" t="str">
        <f aca="false">IF(I1281&gt;=6,"High",IF(I1281&gt;=3,"Medium","Low"))</f>
        <v>Medium</v>
      </c>
    </row>
    <row r="1282" customFormat="false" ht="15" hidden="false" customHeight="true" outlineLevel="0" collapsed="false">
      <c r="A1282" s="2" t="n">
        <f aca="false">'Raw Data'!H1282</f>
        <v>1281</v>
      </c>
      <c r="B1282" s="2" t="n">
        <f aca="false">'Raw Data'!A1282</f>
        <v>35</v>
      </c>
      <c r="C1282" s="2" t="str">
        <f aca="false">'Raw Data'!D1282</f>
        <v>Human Resources</v>
      </c>
      <c r="D1282" s="2" t="str">
        <f aca="false">'Raw Data'!K1282</f>
        <v>Sales Representative</v>
      </c>
      <c r="E1282" s="2" t="n">
        <f aca="false">'Raw Data'!Q1282</f>
        <v>5</v>
      </c>
      <c r="F1282" s="2" t="n">
        <f aca="false">'Raw Data'!U1282</f>
        <v>2</v>
      </c>
      <c r="G1282" s="2" t="n">
        <f aca="false">'Raw Data'!W1282</f>
        <v>1</v>
      </c>
      <c r="H1282" s="2" t="n">
        <f aca="false">'Raw Data'!V1282</f>
        <v>2</v>
      </c>
      <c r="I1282" s="2" t="n">
        <f aca="false">IF(AND(ISNUMBER(B1282),B1282&lt;=25),2,0)+IF(AND(ISNUMBER(E1282),E1282&lt;=5),2,0)+IF(AND(ISNUMBER(F1282),F1282&lt;=1),2,0)+IF(AND(ISNUMBER(G1282),G1282&lt;=2),1,0)+IF(AND(ISNUMBER(H1282),H1282&lt;=2),1,0)</f>
        <v>4</v>
      </c>
      <c r="J1282" s="2" t="str">
        <f aca="false">IF(I1282&gt;=6,"High",IF(I1282&gt;=3,"Medium","Low"))</f>
        <v>Medium</v>
      </c>
    </row>
    <row r="1283" customFormat="false" ht="15" hidden="false" customHeight="true" outlineLevel="0" collapsed="false">
      <c r="A1283" s="2" t="n">
        <f aca="false">'Raw Data'!H1283</f>
        <v>1282</v>
      </c>
      <c r="B1283" s="2" t="n">
        <f aca="false">'Raw Data'!A1283</f>
        <v>36</v>
      </c>
      <c r="C1283" s="2" t="str">
        <f aca="false">'Raw Data'!D1283</f>
        <v>Sales</v>
      </c>
      <c r="D1283" s="2" t="str">
        <f aca="false">'Raw Data'!K1283</f>
        <v>Laboratory Technician</v>
      </c>
      <c r="E1283" s="2" t="n">
        <f aca="false">'Raw Data'!Q1283</f>
        <v>2</v>
      </c>
      <c r="F1283" s="2" t="n">
        <f aca="false">'Raw Data'!U1283</f>
        <v>0</v>
      </c>
      <c r="G1283" s="2" t="n">
        <f aca="false">'Raw Data'!W1283</f>
        <v>3</v>
      </c>
      <c r="H1283" s="2" t="n">
        <f aca="false">'Raw Data'!V1283</f>
        <v>4</v>
      </c>
      <c r="I1283" s="2" t="n">
        <f aca="false">IF(AND(ISNUMBER(B1283),B1283&lt;=25),2,0)+IF(AND(ISNUMBER(E1283),E1283&lt;=5),2,0)+IF(AND(ISNUMBER(F1283),F1283&lt;=1),2,0)+IF(AND(ISNUMBER(G1283),G1283&lt;=2),1,0)+IF(AND(ISNUMBER(H1283),H1283&lt;=2),1,0)</f>
        <v>4</v>
      </c>
      <c r="J1283" s="2" t="str">
        <f aca="false">IF(I1283&gt;=6,"High",IF(I1283&gt;=3,"Medium","Low"))</f>
        <v>Medium</v>
      </c>
    </row>
    <row r="1284" customFormat="false" ht="15" hidden="false" customHeight="true" outlineLevel="0" collapsed="false">
      <c r="A1284" s="2" t="n">
        <f aca="false">'Raw Data'!H1284</f>
        <v>1283</v>
      </c>
      <c r="B1284" s="2" t="n">
        <f aca="false">'Raw Data'!A1284</f>
        <v>59</v>
      </c>
      <c r="C1284" s="2" t="str">
        <f aca="false">'Raw Data'!D1284</f>
        <v>Research &amp; Development</v>
      </c>
      <c r="D1284" s="2" t="str">
        <f aca="false">'Raw Data'!K1284</f>
        <v>Research Scientist</v>
      </c>
      <c r="E1284" s="2" t="n">
        <f aca="false">'Raw Data'!Q1284</f>
        <v>20</v>
      </c>
      <c r="F1284" s="2" t="n">
        <f aca="false">'Raw Data'!U1284</f>
        <v>3</v>
      </c>
      <c r="G1284" s="2" t="n">
        <f aca="false">'Raw Data'!W1284</f>
        <v>3</v>
      </c>
      <c r="H1284" s="2" t="n">
        <f aca="false">'Raw Data'!V1284</f>
        <v>1</v>
      </c>
      <c r="I1284" s="2" t="n">
        <f aca="false">IF(AND(ISNUMBER(B1284),B1284&lt;=25),2,0)+IF(AND(ISNUMBER(E1284),E1284&lt;=5),2,0)+IF(AND(ISNUMBER(F1284),F1284&lt;=1),2,0)+IF(AND(ISNUMBER(G1284),G1284&lt;=2),1,0)+IF(AND(ISNUMBER(H1284),H1284&lt;=2),1,0)</f>
        <v>1</v>
      </c>
      <c r="J1284" s="2" t="str">
        <f aca="false">IF(I1284&gt;=6,"High",IF(I1284&gt;=3,"Medium","Low"))</f>
        <v>Low</v>
      </c>
    </row>
    <row r="1285" customFormat="false" ht="15" hidden="false" customHeight="true" outlineLevel="0" collapsed="false">
      <c r="A1285" s="2" t="n">
        <f aca="false">'Raw Data'!H1285</f>
        <v>1284</v>
      </c>
      <c r="B1285" s="2" t="n">
        <f aca="false">'Raw Data'!A1285</f>
        <v>29</v>
      </c>
      <c r="C1285" s="2" t="str">
        <f aca="false">'Raw Data'!D1285</f>
        <v>Research &amp; Development</v>
      </c>
      <c r="D1285" s="2" t="str">
        <f aca="false">'Raw Data'!K1285</f>
        <v>Sales Representative</v>
      </c>
      <c r="E1285" s="2" t="n">
        <f aca="false">'Raw Data'!Q1285</f>
        <v>6</v>
      </c>
      <c r="F1285" s="2" t="n">
        <f aca="false">'Raw Data'!U1285</f>
        <v>4</v>
      </c>
      <c r="G1285" s="2" t="n">
        <f aca="false">'Raw Data'!W1285</f>
        <v>2</v>
      </c>
      <c r="H1285" s="2" t="n">
        <f aca="false">'Raw Data'!V1285</f>
        <v>3</v>
      </c>
      <c r="I1285" s="2" t="n">
        <f aca="false">IF(AND(ISNUMBER(B1285),B1285&lt;=25),2,0)+IF(AND(ISNUMBER(E1285),E1285&lt;=5),2,0)+IF(AND(ISNUMBER(F1285),F1285&lt;=1),2,0)+IF(AND(ISNUMBER(G1285),G1285&lt;=2),1,0)+IF(AND(ISNUMBER(H1285),H1285&lt;=2),1,0)</f>
        <v>1</v>
      </c>
      <c r="J1285" s="2" t="str">
        <f aca="false">IF(I1285&gt;=6,"High",IF(I1285&gt;=3,"Medium","Low"))</f>
        <v>Low</v>
      </c>
    </row>
    <row r="1286" customFormat="false" ht="15" hidden="false" customHeight="true" outlineLevel="0" collapsed="false">
      <c r="A1286" s="2" t="n">
        <f aca="false">'Raw Data'!H1286</f>
        <v>1285</v>
      </c>
      <c r="B1286" s="2" t="n">
        <f aca="false">'Raw Data'!A1286</f>
        <v>31</v>
      </c>
      <c r="C1286" s="2" t="str">
        <f aca="false">'Raw Data'!D1286</f>
        <v>Research &amp; Development</v>
      </c>
      <c r="D1286" s="2" t="str">
        <f aca="false">'Raw Data'!K1286</f>
        <v>Sales Executive</v>
      </c>
      <c r="E1286" s="2" t="n">
        <f aca="false">'Raw Data'!Q1286</f>
        <v>1</v>
      </c>
      <c r="F1286" s="2" t="n">
        <f aca="false">'Raw Data'!U1286</f>
        <v>0</v>
      </c>
      <c r="G1286" s="2" t="n">
        <f aca="false">'Raw Data'!W1286</f>
        <v>2</v>
      </c>
      <c r="H1286" s="2" t="n">
        <f aca="false">'Raw Data'!V1286</f>
        <v>3</v>
      </c>
      <c r="I1286" s="2" t="n">
        <f aca="false">IF(AND(ISNUMBER(B1286),B1286&lt;=25),2,0)+IF(AND(ISNUMBER(E1286),E1286&lt;=5),2,0)+IF(AND(ISNUMBER(F1286),F1286&lt;=1),2,0)+IF(AND(ISNUMBER(G1286),G1286&lt;=2),1,0)+IF(AND(ISNUMBER(H1286),H1286&lt;=2),1,0)</f>
        <v>5</v>
      </c>
      <c r="J1286" s="2" t="str">
        <f aca="false">IF(I1286&gt;=6,"High",IF(I1286&gt;=3,"Medium","Low"))</f>
        <v>Medium</v>
      </c>
    </row>
    <row r="1287" customFormat="false" ht="15" hidden="false" customHeight="true" outlineLevel="0" collapsed="false">
      <c r="A1287" s="2" t="n">
        <f aca="false">'Raw Data'!H1287</f>
        <v>1286</v>
      </c>
      <c r="B1287" s="2" t="n">
        <f aca="false">'Raw Data'!A1287</f>
        <v>32</v>
      </c>
      <c r="C1287" s="2" t="str">
        <f aca="false">'Raw Data'!D1287</f>
        <v>Sales</v>
      </c>
      <c r="D1287" s="2" t="str">
        <f aca="false">'Raw Data'!K1287</f>
        <v>Manufacturing Director</v>
      </c>
      <c r="E1287" s="2" t="n">
        <f aca="false">'Raw Data'!Q1287</f>
        <v>10</v>
      </c>
      <c r="F1287" s="2" t="n">
        <f aca="false">'Raw Data'!U1287</f>
        <v>9</v>
      </c>
      <c r="G1287" s="2" t="n">
        <f aca="false">'Raw Data'!W1287</f>
        <v>2</v>
      </c>
      <c r="H1287" s="2" t="n">
        <f aca="false">'Raw Data'!V1287</f>
        <v>2</v>
      </c>
      <c r="I1287" s="2" t="n">
        <f aca="false">IF(AND(ISNUMBER(B1287),B1287&lt;=25),2,0)+IF(AND(ISNUMBER(E1287),E1287&lt;=5),2,0)+IF(AND(ISNUMBER(F1287),F1287&lt;=1),2,0)+IF(AND(ISNUMBER(G1287),G1287&lt;=2),1,0)+IF(AND(ISNUMBER(H1287),H1287&lt;=2),1,0)</f>
        <v>2</v>
      </c>
      <c r="J1287" s="2" t="str">
        <f aca="false">IF(I1287&gt;=6,"High",IF(I1287&gt;=3,"Medium","Low"))</f>
        <v>Low</v>
      </c>
    </row>
    <row r="1288" customFormat="false" ht="15" hidden="false" customHeight="true" outlineLevel="0" collapsed="false">
      <c r="A1288" s="2" t="n">
        <f aca="false">'Raw Data'!H1288</f>
        <v>1287</v>
      </c>
      <c r="B1288" s="2" t="n">
        <f aca="false">'Raw Data'!A1288</f>
        <v>36</v>
      </c>
      <c r="C1288" s="2" t="str">
        <f aca="false">'Raw Data'!D1288</f>
        <v>Research &amp; Development</v>
      </c>
      <c r="D1288" s="2" t="str">
        <f aca="false">'Raw Data'!K1288</f>
        <v>Sales Representative</v>
      </c>
      <c r="E1288" s="2" t="n">
        <f aca="false">'Raw Data'!Q1288</f>
        <v>5</v>
      </c>
      <c r="F1288" s="2" t="n">
        <f aca="false">'Raw Data'!U1288</f>
        <v>0</v>
      </c>
      <c r="G1288" s="2" t="n">
        <f aca="false">'Raw Data'!W1288</f>
        <v>4</v>
      </c>
      <c r="H1288" s="2" t="n">
        <f aca="false">'Raw Data'!V1288</f>
        <v>2</v>
      </c>
      <c r="I1288" s="2" t="n">
        <f aca="false">IF(AND(ISNUMBER(B1288),B1288&lt;=25),2,0)+IF(AND(ISNUMBER(E1288),E1288&lt;=5),2,0)+IF(AND(ISNUMBER(F1288),F1288&lt;=1),2,0)+IF(AND(ISNUMBER(G1288),G1288&lt;=2),1,0)+IF(AND(ISNUMBER(H1288),H1288&lt;=2),1,0)</f>
        <v>5</v>
      </c>
      <c r="J1288" s="2" t="str">
        <f aca="false">IF(I1288&gt;=6,"High",IF(I1288&gt;=3,"Medium","Low"))</f>
        <v>Medium</v>
      </c>
    </row>
    <row r="1289" customFormat="false" ht="15" hidden="false" customHeight="true" outlineLevel="0" collapsed="false">
      <c r="A1289" s="2" t="n">
        <f aca="false">'Raw Data'!H1289</f>
        <v>1288</v>
      </c>
      <c r="B1289" s="2" t="n">
        <f aca="false">'Raw Data'!A1289</f>
        <v>31</v>
      </c>
      <c r="C1289" s="2" t="str">
        <f aca="false">'Raw Data'!D1289</f>
        <v>Research &amp; Development</v>
      </c>
      <c r="D1289" s="2" t="str">
        <f aca="false">'Raw Data'!K1289</f>
        <v>Research Director</v>
      </c>
      <c r="E1289" s="2" t="n">
        <f aca="false">'Raw Data'!Q1289</f>
        <v>11</v>
      </c>
      <c r="F1289" s="2" t="n">
        <f aca="false">'Raw Data'!U1289</f>
        <v>8</v>
      </c>
      <c r="G1289" s="2" t="n">
        <f aca="false">'Raw Data'!W1289</f>
        <v>4</v>
      </c>
      <c r="H1289" s="2" t="n">
        <f aca="false">'Raw Data'!V1289</f>
        <v>3</v>
      </c>
      <c r="I1289" s="2" t="n">
        <f aca="false">IF(AND(ISNUMBER(B1289),B1289&lt;=25),2,0)+IF(AND(ISNUMBER(E1289),E1289&lt;=5),2,0)+IF(AND(ISNUMBER(F1289),F1289&lt;=1),2,0)+IF(AND(ISNUMBER(G1289),G1289&lt;=2),1,0)+IF(AND(ISNUMBER(H1289),H1289&lt;=2),1,0)</f>
        <v>0</v>
      </c>
      <c r="J1289" s="2" t="str">
        <f aca="false">IF(I1289&gt;=6,"High",IF(I1289&gt;=3,"Medium","Low"))</f>
        <v>Low</v>
      </c>
    </row>
    <row r="1290" customFormat="false" ht="15" hidden="false" customHeight="true" outlineLevel="0" collapsed="false">
      <c r="A1290" s="2" t="n">
        <f aca="false">'Raw Data'!H1290</f>
        <v>1289</v>
      </c>
      <c r="B1290" s="2" t="n">
        <f aca="false">'Raw Data'!A1290</f>
        <v>35</v>
      </c>
      <c r="C1290" s="2" t="str">
        <f aca="false">'Raw Data'!D1290</f>
        <v>Research &amp; Development</v>
      </c>
      <c r="D1290" s="2" t="str">
        <f aca="false">'Raw Data'!K1290</f>
        <v>Healthcare Representative</v>
      </c>
      <c r="E1290" s="2" t="n">
        <f aca="false">'Raw Data'!Q1290</f>
        <v>16</v>
      </c>
      <c r="F1290" s="2" t="n">
        <f aca="false">'Raw Data'!U1290</f>
        <v>8</v>
      </c>
      <c r="G1290" s="2" t="n">
        <f aca="false">'Raw Data'!W1290</f>
        <v>1</v>
      </c>
      <c r="H1290" s="2" t="n">
        <f aca="false">'Raw Data'!V1290</f>
        <v>3</v>
      </c>
      <c r="I1290" s="2" t="n">
        <f aca="false">IF(AND(ISNUMBER(B1290),B1290&lt;=25),2,0)+IF(AND(ISNUMBER(E1290),E1290&lt;=5),2,0)+IF(AND(ISNUMBER(F1290),F1290&lt;=1),2,0)+IF(AND(ISNUMBER(G1290),G1290&lt;=2),1,0)+IF(AND(ISNUMBER(H1290),H1290&lt;=2),1,0)</f>
        <v>1</v>
      </c>
      <c r="J1290" s="2" t="str">
        <f aca="false">IF(I1290&gt;=6,"High",IF(I1290&gt;=3,"Medium","Low"))</f>
        <v>Low</v>
      </c>
    </row>
    <row r="1291" customFormat="false" ht="15" hidden="false" customHeight="true" outlineLevel="0" collapsed="false">
      <c r="A1291" s="2" t="n">
        <f aca="false">'Raw Data'!H1291</f>
        <v>1290</v>
      </c>
      <c r="B1291" s="2" t="n">
        <f aca="false">'Raw Data'!A1291</f>
        <v>45</v>
      </c>
      <c r="C1291" s="2" t="str">
        <f aca="false">'Raw Data'!D1291</f>
        <v>Human Resources</v>
      </c>
      <c r="D1291" s="2" t="str">
        <f aca="false">'Raw Data'!K1291</f>
        <v>Sales Executive</v>
      </c>
      <c r="E1291" s="2" t="n">
        <f aca="false">'Raw Data'!Q1291</f>
        <v>17</v>
      </c>
      <c r="F1291" s="2" t="n">
        <f aca="false">'Raw Data'!U1291</f>
        <v>0</v>
      </c>
      <c r="G1291" s="2" t="n">
        <f aca="false">'Raw Data'!W1291</f>
        <v>1</v>
      </c>
      <c r="H1291" s="2" t="n">
        <f aca="false">'Raw Data'!V1291</f>
        <v>4</v>
      </c>
      <c r="I1291" s="2" t="n">
        <f aca="false">IF(AND(ISNUMBER(B1291),B1291&lt;=25),2,0)+IF(AND(ISNUMBER(E1291),E1291&lt;=5),2,0)+IF(AND(ISNUMBER(F1291),F1291&lt;=1),2,0)+IF(AND(ISNUMBER(G1291),G1291&lt;=2),1,0)+IF(AND(ISNUMBER(H1291),H1291&lt;=2),1,0)</f>
        <v>3</v>
      </c>
      <c r="J1291" s="2" t="str">
        <f aca="false">IF(I1291&gt;=6,"High",IF(I1291&gt;=3,"Medium","Low"))</f>
        <v>Medium</v>
      </c>
    </row>
    <row r="1292" customFormat="false" ht="15" hidden="false" customHeight="true" outlineLevel="0" collapsed="false">
      <c r="A1292" s="2" t="n">
        <f aca="false">'Raw Data'!H1292</f>
        <v>1291</v>
      </c>
      <c r="B1292" s="2" t="n">
        <f aca="false">'Raw Data'!A1292</f>
        <v>37</v>
      </c>
      <c r="C1292" s="2" t="str">
        <f aca="false">'Raw Data'!D1292</f>
        <v>Research &amp; Development</v>
      </c>
      <c r="D1292" s="2" t="str">
        <f aca="false">'Raw Data'!K1292</f>
        <v>Sales Executive</v>
      </c>
      <c r="E1292" s="2" t="n">
        <f aca="false">'Raw Data'!Q1292</f>
        <v>16</v>
      </c>
      <c r="F1292" s="2" t="n">
        <f aca="false">'Raw Data'!U1292</f>
        <v>2</v>
      </c>
      <c r="G1292" s="2" t="n">
        <f aca="false">'Raw Data'!W1292</f>
        <v>3</v>
      </c>
      <c r="H1292" s="2" t="n">
        <f aca="false">'Raw Data'!V1292</f>
        <v>1</v>
      </c>
      <c r="I1292" s="2" t="n">
        <f aca="false">IF(AND(ISNUMBER(B1292),B1292&lt;=25),2,0)+IF(AND(ISNUMBER(E1292),E1292&lt;=5),2,0)+IF(AND(ISNUMBER(F1292),F1292&lt;=1),2,0)+IF(AND(ISNUMBER(G1292),G1292&lt;=2),1,0)+IF(AND(ISNUMBER(H1292),H1292&lt;=2),1,0)</f>
        <v>1</v>
      </c>
      <c r="J1292" s="2" t="str">
        <f aca="false">IF(I1292&gt;=6,"High",IF(I1292&gt;=3,"Medium","Low"))</f>
        <v>Low</v>
      </c>
    </row>
    <row r="1293" customFormat="false" ht="15" hidden="false" customHeight="true" outlineLevel="0" collapsed="false">
      <c r="A1293" s="2" t="n">
        <f aca="false">'Raw Data'!H1293</f>
        <v>1292</v>
      </c>
      <c r="B1293" s="2" t="n">
        <f aca="false">'Raw Data'!A1293</f>
        <v>46</v>
      </c>
      <c r="C1293" s="2" t="str">
        <f aca="false">'Raw Data'!D1293</f>
        <v>Research &amp; Development</v>
      </c>
      <c r="D1293" s="2" t="str">
        <f aca="false">'Raw Data'!K1293</f>
        <v>Manager</v>
      </c>
      <c r="E1293" s="2" t="n">
        <f aca="false">'Raw Data'!Q1293</f>
        <v>16</v>
      </c>
      <c r="F1293" s="2" t="n">
        <f aca="false">'Raw Data'!U1293</f>
        <v>2</v>
      </c>
      <c r="G1293" s="2" t="n">
        <f aca="false">'Raw Data'!W1293</f>
        <v>2</v>
      </c>
      <c r="H1293" s="2" t="n">
        <f aca="false">'Raw Data'!V1293</f>
        <v>2</v>
      </c>
      <c r="I1293" s="2" t="n">
        <f aca="false">IF(AND(ISNUMBER(B1293),B1293&lt;=25),2,0)+IF(AND(ISNUMBER(E1293),E1293&lt;=5),2,0)+IF(AND(ISNUMBER(F1293),F1293&lt;=1),2,0)+IF(AND(ISNUMBER(G1293),G1293&lt;=2),1,0)+IF(AND(ISNUMBER(H1293),H1293&lt;=2),1,0)</f>
        <v>2</v>
      </c>
      <c r="J1293" s="2" t="str">
        <f aca="false">IF(I1293&gt;=6,"High",IF(I1293&gt;=3,"Medium","Low"))</f>
        <v>Low</v>
      </c>
    </row>
    <row r="1294" customFormat="false" ht="15" hidden="false" customHeight="true" outlineLevel="0" collapsed="false">
      <c r="A1294" s="2" t="n">
        <f aca="false">'Raw Data'!H1294</f>
        <v>1293</v>
      </c>
      <c r="B1294" s="2" t="n">
        <f aca="false">'Raw Data'!A1294</f>
        <v>30</v>
      </c>
      <c r="C1294" s="2" t="str">
        <f aca="false">'Raw Data'!D1294</f>
        <v>Sales</v>
      </c>
      <c r="D1294" s="2" t="str">
        <f aca="false">'Raw Data'!K1294</f>
        <v>Human Resources</v>
      </c>
      <c r="E1294" s="2" t="n">
        <f aca="false">'Raw Data'!Q1294</f>
        <v>10</v>
      </c>
      <c r="F1294" s="2" t="n">
        <f aca="false">'Raw Data'!U1294</f>
        <v>0</v>
      </c>
      <c r="G1294" s="2" t="n">
        <f aca="false">'Raw Data'!W1294</f>
        <v>4</v>
      </c>
      <c r="H1294" s="2" t="n">
        <f aca="false">'Raw Data'!V1294</f>
        <v>4</v>
      </c>
      <c r="I1294" s="2" t="n">
        <f aca="false">IF(AND(ISNUMBER(B1294),B1294&lt;=25),2,0)+IF(AND(ISNUMBER(E1294),E1294&lt;=5),2,0)+IF(AND(ISNUMBER(F1294),F1294&lt;=1),2,0)+IF(AND(ISNUMBER(G1294),G1294&lt;=2),1,0)+IF(AND(ISNUMBER(H1294),H1294&lt;=2),1,0)</f>
        <v>2</v>
      </c>
      <c r="J1294" s="2" t="str">
        <f aca="false">IF(I1294&gt;=6,"High",IF(I1294&gt;=3,"Medium","Low"))</f>
        <v>Low</v>
      </c>
    </row>
    <row r="1295" customFormat="false" ht="15" hidden="false" customHeight="true" outlineLevel="0" collapsed="false">
      <c r="A1295" s="2" t="n">
        <f aca="false">'Raw Data'!H1295</f>
        <v>1294</v>
      </c>
      <c r="B1295" s="2" t="n">
        <f aca="false">'Raw Data'!A1295</f>
        <v>35</v>
      </c>
      <c r="C1295" s="2" t="str">
        <f aca="false">'Raw Data'!D1295</f>
        <v>Research &amp; Development</v>
      </c>
      <c r="D1295" s="2" t="str">
        <f aca="false">'Raw Data'!K1295</f>
        <v>Human Resources</v>
      </c>
      <c r="E1295" s="2" t="n">
        <f aca="false">'Raw Data'!Q1295</f>
        <v>6</v>
      </c>
      <c r="F1295" s="2" t="n">
        <f aca="false">'Raw Data'!U1295</f>
        <v>4</v>
      </c>
      <c r="G1295" s="2" t="n">
        <f aca="false">'Raw Data'!W1295</f>
        <v>3</v>
      </c>
      <c r="H1295" s="2" t="n">
        <f aca="false">'Raw Data'!V1295</f>
        <v>2</v>
      </c>
      <c r="I1295" s="2" t="n">
        <f aca="false">IF(AND(ISNUMBER(B1295),B1295&lt;=25),2,0)+IF(AND(ISNUMBER(E1295),E1295&lt;=5),2,0)+IF(AND(ISNUMBER(F1295),F1295&lt;=1),2,0)+IF(AND(ISNUMBER(G1295),G1295&lt;=2),1,0)+IF(AND(ISNUMBER(H1295),H1295&lt;=2),1,0)</f>
        <v>1</v>
      </c>
      <c r="J1295" s="2" t="str">
        <f aca="false">IF(I1295&gt;=6,"High",IF(I1295&gt;=3,"Medium","Low"))</f>
        <v>Low</v>
      </c>
    </row>
    <row r="1296" customFormat="false" ht="15" hidden="false" customHeight="true" outlineLevel="0" collapsed="false">
      <c r="A1296" s="2" t="n">
        <f aca="false">'Raw Data'!H1296</f>
        <v>1295</v>
      </c>
      <c r="B1296" s="2" t="n">
        <f aca="false">'Raw Data'!A1296</f>
        <v>55</v>
      </c>
      <c r="C1296" s="2" t="str">
        <f aca="false">'Raw Data'!D1296</f>
        <v>Research &amp; Development</v>
      </c>
      <c r="D1296" s="2" t="str">
        <f aca="false">'Raw Data'!K1296</f>
        <v>Laboratory Technician</v>
      </c>
      <c r="E1296" s="2" t="n">
        <f aca="false">'Raw Data'!Q1296</f>
        <v>24</v>
      </c>
      <c r="F1296" s="2" t="n">
        <f aca="false">'Raw Data'!U1296</f>
        <v>0</v>
      </c>
      <c r="G1296" s="2" t="n">
        <f aca="false">'Raw Data'!W1296</f>
        <v>4</v>
      </c>
      <c r="H1296" s="2" t="n">
        <f aca="false">'Raw Data'!V1296</f>
        <v>1</v>
      </c>
      <c r="I1296" s="2" t="n">
        <f aca="false">IF(AND(ISNUMBER(B1296),B1296&lt;=25),2,0)+IF(AND(ISNUMBER(E1296),E1296&lt;=5),2,0)+IF(AND(ISNUMBER(F1296),F1296&lt;=1),2,0)+IF(AND(ISNUMBER(G1296),G1296&lt;=2),1,0)+IF(AND(ISNUMBER(H1296),H1296&lt;=2),1,0)</f>
        <v>3</v>
      </c>
      <c r="J1296" s="2" t="str">
        <f aca="false">IF(I1296&gt;=6,"High",IF(I1296&gt;=3,"Medium","Low"))</f>
        <v>Medium</v>
      </c>
    </row>
    <row r="1297" customFormat="false" ht="15" hidden="false" customHeight="true" outlineLevel="0" collapsed="false">
      <c r="A1297" s="2" t="n">
        <f aca="false">'Raw Data'!H1297</f>
        <v>1296</v>
      </c>
      <c r="B1297" s="2" t="n">
        <f aca="false">'Raw Data'!A1297</f>
        <v>38</v>
      </c>
      <c r="C1297" s="2" t="str">
        <f aca="false">'Raw Data'!D1297</f>
        <v>Sales</v>
      </c>
      <c r="D1297" s="2" t="str">
        <f aca="false">'Raw Data'!K1297</f>
        <v>Laboratory Technician</v>
      </c>
      <c r="E1297" s="2" t="n">
        <f aca="false">'Raw Data'!Q1297</f>
        <v>17</v>
      </c>
      <c r="F1297" s="2" t="n">
        <f aca="false">'Raw Data'!U1297</f>
        <v>9</v>
      </c>
      <c r="G1297" s="2" t="n">
        <f aca="false">'Raw Data'!W1297</f>
        <v>4</v>
      </c>
      <c r="H1297" s="2" t="n">
        <f aca="false">'Raw Data'!V1297</f>
        <v>2</v>
      </c>
      <c r="I1297" s="2" t="n">
        <f aca="false">IF(AND(ISNUMBER(B1297),B1297&lt;=25),2,0)+IF(AND(ISNUMBER(E1297),E1297&lt;=5),2,0)+IF(AND(ISNUMBER(F1297),F1297&lt;=1),2,0)+IF(AND(ISNUMBER(G1297),G1297&lt;=2),1,0)+IF(AND(ISNUMBER(H1297),H1297&lt;=2),1,0)</f>
        <v>1</v>
      </c>
      <c r="J1297" s="2" t="str">
        <f aca="false">IF(I1297&gt;=6,"High",IF(I1297&gt;=3,"Medium","Low"))</f>
        <v>Low</v>
      </c>
    </row>
    <row r="1298" customFormat="false" ht="15" hidden="false" customHeight="true" outlineLevel="0" collapsed="false">
      <c r="A1298" s="2" t="n">
        <f aca="false">'Raw Data'!H1298</f>
        <v>1297</v>
      </c>
      <c r="B1298" s="2" t="n">
        <f aca="false">'Raw Data'!A1298</f>
        <v>34</v>
      </c>
      <c r="C1298" s="2" t="str">
        <f aca="false">'Raw Data'!D1298</f>
        <v>Research &amp; Development</v>
      </c>
      <c r="D1298" s="2" t="str">
        <f aca="false">'Raw Data'!K1298</f>
        <v>Research Scientist</v>
      </c>
      <c r="E1298" s="2" t="n">
        <f aca="false">'Raw Data'!Q1298</f>
        <v>5</v>
      </c>
      <c r="F1298" s="2" t="n">
        <f aca="false">'Raw Data'!U1298</f>
        <v>3</v>
      </c>
      <c r="G1298" s="2" t="n">
        <f aca="false">'Raw Data'!W1298</f>
        <v>2</v>
      </c>
      <c r="H1298" s="2" t="n">
        <f aca="false">'Raw Data'!V1298</f>
        <v>1</v>
      </c>
      <c r="I1298" s="2" t="n">
        <f aca="false">IF(AND(ISNUMBER(B1298),B1298&lt;=25),2,0)+IF(AND(ISNUMBER(E1298),E1298&lt;=5),2,0)+IF(AND(ISNUMBER(F1298),F1298&lt;=1),2,0)+IF(AND(ISNUMBER(G1298),G1298&lt;=2),1,0)+IF(AND(ISNUMBER(H1298),H1298&lt;=2),1,0)</f>
        <v>4</v>
      </c>
      <c r="J1298" s="2" t="str">
        <f aca="false">IF(I1298&gt;=6,"High",IF(I1298&gt;=3,"Medium","Low"))</f>
        <v>Medium</v>
      </c>
    </row>
    <row r="1299" customFormat="false" ht="15" hidden="false" customHeight="true" outlineLevel="0" collapsed="false">
      <c r="A1299" s="2" t="n">
        <f aca="false">'Raw Data'!H1299</f>
        <v>1298</v>
      </c>
      <c r="B1299" s="2" t="n">
        <f aca="false">'Raw Data'!A1299</f>
        <v>56</v>
      </c>
      <c r="C1299" s="2" t="str">
        <f aca="false">'Raw Data'!D1299</f>
        <v>Human Resources</v>
      </c>
      <c r="D1299" s="2" t="str">
        <f aca="false">'Raw Data'!K1299</f>
        <v>Sales Executive</v>
      </c>
      <c r="E1299" s="2" t="n">
        <f aca="false">'Raw Data'!Q1299</f>
        <v>37</v>
      </c>
      <c r="F1299" s="2" t="n">
        <f aca="false">'Raw Data'!U1299</f>
        <v>2</v>
      </c>
      <c r="G1299" s="2" t="n">
        <f aca="false">'Raw Data'!W1299</f>
        <v>4</v>
      </c>
      <c r="H1299" s="2" t="n">
        <f aca="false">'Raw Data'!V1299</f>
        <v>4</v>
      </c>
      <c r="I1299" s="2" t="n">
        <f aca="false">IF(AND(ISNUMBER(B1299),B1299&lt;=25),2,0)+IF(AND(ISNUMBER(E1299),E1299&lt;=5),2,0)+IF(AND(ISNUMBER(F1299),F1299&lt;=1),2,0)+IF(AND(ISNUMBER(G1299),G1299&lt;=2),1,0)+IF(AND(ISNUMBER(H1299),H1299&lt;=2),1,0)</f>
        <v>0</v>
      </c>
      <c r="J1299" s="2" t="str">
        <f aca="false">IF(I1299&gt;=6,"High",IF(I1299&gt;=3,"Medium","Low"))</f>
        <v>Low</v>
      </c>
    </row>
    <row r="1300" customFormat="false" ht="15" hidden="false" customHeight="true" outlineLevel="0" collapsed="false">
      <c r="A1300" s="2" t="n">
        <f aca="false">'Raw Data'!H1300</f>
        <v>1299</v>
      </c>
      <c r="B1300" s="2" t="n">
        <f aca="false">'Raw Data'!A1300</f>
        <v>23</v>
      </c>
      <c r="C1300" s="2" t="str">
        <f aca="false">'Raw Data'!D1300</f>
        <v>Research &amp; Development</v>
      </c>
      <c r="D1300" s="2" t="str">
        <f aca="false">'Raw Data'!K1300</f>
        <v>Laboratory Technician</v>
      </c>
      <c r="E1300" s="2" t="n">
        <f aca="false">'Raw Data'!Q1300</f>
        <v>3</v>
      </c>
      <c r="F1300" s="2" t="n">
        <f aca="false">'Raw Data'!U1300</f>
        <v>0</v>
      </c>
      <c r="G1300" s="2" t="n">
        <f aca="false">'Raw Data'!W1300</f>
        <v>1</v>
      </c>
      <c r="H1300" s="2" t="n">
        <f aca="false">'Raw Data'!V1300</f>
        <v>3</v>
      </c>
      <c r="I1300" s="2" t="n">
        <f aca="false">IF(AND(ISNUMBER(B1300),B1300&lt;=25),2,0)+IF(AND(ISNUMBER(E1300),E1300&lt;=5),2,0)+IF(AND(ISNUMBER(F1300),F1300&lt;=1),2,0)+IF(AND(ISNUMBER(G1300),G1300&lt;=2),1,0)+IF(AND(ISNUMBER(H1300),H1300&lt;=2),1,0)</f>
        <v>7</v>
      </c>
      <c r="J1300" s="2" t="str">
        <f aca="false">IF(I1300&gt;=6,"High",IF(I1300&gt;=3,"Medium","Low"))</f>
        <v>High</v>
      </c>
    </row>
    <row r="1301" customFormat="false" ht="15" hidden="false" customHeight="true" outlineLevel="0" collapsed="false">
      <c r="A1301" s="2" t="n">
        <f aca="false">'Raw Data'!H1301</f>
        <v>1300</v>
      </c>
      <c r="B1301" s="2" t="n">
        <f aca="false">'Raw Data'!A1301</f>
        <v>51</v>
      </c>
      <c r="C1301" s="2" t="str">
        <f aca="false">'Raw Data'!D1301</f>
        <v>Research &amp; Development</v>
      </c>
      <c r="D1301" s="2" t="str">
        <f aca="false">'Raw Data'!K1301</f>
        <v>Manufacturing Director</v>
      </c>
      <c r="E1301" s="2" t="n">
        <f aca="false">'Raw Data'!Q1301</f>
        <v>10</v>
      </c>
      <c r="F1301" s="2" t="n">
        <f aca="false">'Raw Data'!U1301</f>
        <v>3</v>
      </c>
      <c r="G1301" s="2" t="n">
        <f aca="false">'Raw Data'!W1301</f>
        <v>4</v>
      </c>
      <c r="H1301" s="2" t="n">
        <f aca="false">'Raw Data'!V1301</f>
        <v>4</v>
      </c>
      <c r="I1301" s="2" t="n">
        <f aca="false">IF(AND(ISNUMBER(B1301),B1301&lt;=25),2,0)+IF(AND(ISNUMBER(E1301),E1301&lt;=5),2,0)+IF(AND(ISNUMBER(F1301),F1301&lt;=1),2,0)+IF(AND(ISNUMBER(G1301),G1301&lt;=2),1,0)+IF(AND(ISNUMBER(H1301),H1301&lt;=2),1,0)</f>
        <v>0</v>
      </c>
      <c r="J1301" s="2" t="str">
        <f aca="false">IF(I1301&gt;=6,"High",IF(I1301&gt;=3,"Medium","Low"))</f>
        <v>Low</v>
      </c>
    </row>
    <row r="1302" customFormat="false" ht="15" hidden="false" customHeight="true" outlineLevel="0" collapsed="false">
      <c r="A1302" s="2" t="n">
        <f aca="false">'Raw Data'!H1302</f>
        <v>1301</v>
      </c>
      <c r="B1302" s="2" t="n">
        <f aca="false">'Raw Data'!A1302</f>
        <v>30</v>
      </c>
      <c r="C1302" s="2" t="str">
        <f aca="false">'Raw Data'!D1302</f>
        <v>Sales</v>
      </c>
      <c r="D1302" s="2" t="str">
        <f aca="false">'Raw Data'!K1302</f>
        <v>Sales Representative</v>
      </c>
      <c r="E1302" s="2" t="n">
        <f aca="false">'Raw Data'!Q1302</f>
        <v>11</v>
      </c>
      <c r="F1302" s="2" t="n">
        <f aca="false">'Raw Data'!U1302</f>
        <v>8</v>
      </c>
      <c r="G1302" s="2" t="n">
        <f aca="false">'Raw Data'!W1302</f>
        <v>4</v>
      </c>
      <c r="H1302" s="2" t="n">
        <f aca="false">'Raw Data'!V1302</f>
        <v>3</v>
      </c>
      <c r="I1302" s="2" t="n">
        <f aca="false">IF(AND(ISNUMBER(B1302),B1302&lt;=25),2,0)+IF(AND(ISNUMBER(E1302),E1302&lt;=5),2,0)+IF(AND(ISNUMBER(F1302),F1302&lt;=1),2,0)+IF(AND(ISNUMBER(G1302),G1302&lt;=2),1,0)+IF(AND(ISNUMBER(H1302),H1302&lt;=2),1,0)</f>
        <v>0</v>
      </c>
      <c r="J1302" s="2" t="str">
        <f aca="false">IF(I1302&gt;=6,"High",IF(I1302&gt;=3,"Medium","Low"))</f>
        <v>Low</v>
      </c>
    </row>
    <row r="1303" customFormat="false" ht="15" hidden="false" customHeight="true" outlineLevel="0" collapsed="false">
      <c r="A1303" s="2" t="n">
        <f aca="false">'Raw Data'!H1303</f>
        <v>1302</v>
      </c>
      <c r="B1303" s="2" t="n">
        <f aca="false">'Raw Data'!A1303</f>
        <v>46</v>
      </c>
      <c r="C1303" s="2" t="str">
        <f aca="false">'Raw Data'!D1303</f>
        <v>Sales</v>
      </c>
      <c r="D1303" s="2" t="str">
        <f aca="false">'Raw Data'!K1303</f>
        <v>Research Scientist</v>
      </c>
      <c r="E1303" s="2" t="n">
        <f aca="false">'Raw Data'!Q1303</f>
        <v>9</v>
      </c>
      <c r="F1303" s="2" t="n">
        <f aca="false">'Raw Data'!U1303</f>
        <v>7</v>
      </c>
      <c r="G1303" s="2" t="n">
        <f aca="false">'Raw Data'!W1303</f>
        <v>4</v>
      </c>
      <c r="H1303" s="2" t="n">
        <f aca="false">'Raw Data'!V1303</f>
        <v>3</v>
      </c>
      <c r="I1303" s="2" t="n">
        <f aca="false">IF(AND(ISNUMBER(B1303),B1303&lt;=25),2,0)+IF(AND(ISNUMBER(E1303),E1303&lt;=5),2,0)+IF(AND(ISNUMBER(F1303),F1303&lt;=1),2,0)+IF(AND(ISNUMBER(G1303),G1303&lt;=2),1,0)+IF(AND(ISNUMBER(H1303),H1303&lt;=2),1,0)</f>
        <v>0</v>
      </c>
      <c r="J1303" s="2" t="str">
        <f aca="false">IF(I1303&gt;=6,"High",IF(I1303&gt;=3,"Medium","Low"))</f>
        <v>Low</v>
      </c>
    </row>
    <row r="1304" customFormat="false" ht="15" hidden="false" customHeight="true" outlineLevel="0" collapsed="false">
      <c r="A1304" s="2" t="n">
        <f aca="false">'Raw Data'!H1304</f>
        <v>1303</v>
      </c>
      <c r="B1304" s="2" t="n">
        <f aca="false">'Raw Data'!A1304</f>
        <v>40</v>
      </c>
      <c r="C1304" s="2" t="str">
        <f aca="false">'Raw Data'!D1304</f>
        <v>Research &amp; Development</v>
      </c>
      <c r="D1304" s="2" t="str">
        <f aca="false">'Raw Data'!K1304</f>
        <v>Healthcare Representative</v>
      </c>
      <c r="E1304" s="2" t="n">
        <f aca="false">'Raw Data'!Q1304</f>
        <v>22</v>
      </c>
      <c r="F1304" s="2" t="n">
        <f aca="false">'Raw Data'!U1304</f>
        <v>11</v>
      </c>
      <c r="G1304" s="2" t="n">
        <f aca="false">'Raw Data'!W1304</f>
        <v>2</v>
      </c>
      <c r="H1304" s="2" t="n">
        <f aca="false">'Raw Data'!V1304</f>
        <v>3</v>
      </c>
      <c r="I1304" s="2" t="n">
        <f aca="false">IF(AND(ISNUMBER(B1304),B1304&lt;=25),2,0)+IF(AND(ISNUMBER(E1304),E1304&lt;=5),2,0)+IF(AND(ISNUMBER(F1304),F1304&lt;=1),2,0)+IF(AND(ISNUMBER(G1304),G1304&lt;=2),1,0)+IF(AND(ISNUMBER(H1304),H1304&lt;=2),1,0)</f>
        <v>1</v>
      </c>
      <c r="J1304" s="2" t="str">
        <f aca="false">IF(I1304&gt;=6,"High",IF(I1304&gt;=3,"Medium","Low"))</f>
        <v>Low</v>
      </c>
    </row>
    <row r="1305" customFormat="false" ht="15" hidden="false" customHeight="true" outlineLevel="0" collapsed="false">
      <c r="A1305" s="2" t="n">
        <f aca="false">'Raw Data'!H1305</f>
        <v>1304</v>
      </c>
      <c r="B1305" s="2" t="n">
        <f aca="false">'Raw Data'!A1305</f>
        <v>51</v>
      </c>
      <c r="C1305" s="2" t="str">
        <f aca="false">'Raw Data'!D1305</f>
        <v>Research &amp; Development</v>
      </c>
      <c r="D1305" s="2" t="str">
        <f aca="false">'Raw Data'!K1305</f>
        <v>Sales Representative</v>
      </c>
      <c r="E1305" s="2" t="n">
        <f aca="false">'Raw Data'!Q1305</f>
        <v>11</v>
      </c>
      <c r="F1305" s="2" t="n">
        <f aca="false">'Raw Data'!U1305</f>
        <v>0</v>
      </c>
      <c r="G1305" s="2" t="n">
        <f aca="false">'Raw Data'!W1305</f>
        <v>4</v>
      </c>
      <c r="H1305" s="2" t="n">
        <f aca="false">'Raw Data'!V1305</f>
        <v>3</v>
      </c>
      <c r="I1305" s="2" t="n">
        <f aca="false">IF(AND(ISNUMBER(B1305),B1305&lt;=25),2,0)+IF(AND(ISNUMBER(E1305),E1305&lt;=5),2,0)+IF(AND(ISNUMBER(F1305),F1305&lt;=1),2,0)+IF(AND(ISNUMBER(G1305),G1305&lt;=2),1,0)+IF(AND(ISNUMBER(H1305),H1305&lt;=2),1,0)</f>
        <v>2</v>
      </c>
      <c r="J1305" s="2" t="str">
        <f aca="false">IF(I1305&gt;=6,"High",IF(I1305&gt;=3,"Medium","Low"))</f>
        <v>Low</v>
      </c>
    </row>
    <row r="1306" customFormat="false" ht="15" hidden="false" customHeight="true" outlineLevel="0" collapsed="false">
      <c r="A1306" s="2" t="n">
        <f aca="false">'Raw Data'!H1306</f>
        <v>1305</v>
      </c>
      <c r="B1306" s="2" t="n">
        <f aca="false">'Raw Data'!A1306</f>
        <v>30</v>
      </c>
      <c r="C1306" s="2" t="str">
        <f aca="false">'Raw Data'!D1306</f>
        <v>Research &amp; Development</v>
      </c>
      <c r="D1306" s="2" t="str">
        <f aca="false">'Raw Data'!K1306</f>
        <v>Manufacturing Director</v>
      </c>
      <c r="E1306" s="2" t="n">
        <f aca="false">'Raw Data'!Q1306</f>
        <v>11</v>
      </c>
      <c r="F1306" s="2" t="n">
        <f aca="false">'Raw Data'!U1306</f>
        <v>7</v>
      </c>
      <c r="G1306" s="2" t="n">
        <f aca="false">'Raw Data'!W1306</f>
        <v>2</v>
      </c>
      <c r="H1306" s="2" t="n">
        <f aca="false">'Raw Data'!V1306</f>
        <v>3</v>
      </c>
      <c r="I1306" s="2" t="n">
        <f aca="false">IF(AND(ISNUMBER(B1306),B1306&lt;=25),2,0)+IF(AND(ISNUMBER(E1306),E1306&lt;=5),2,0)+IF(AND(ISNUMBER(F1306),F1306&lt;=1),2,0)+IF(AND(ISNUMBER(G1306),G1306&lt;=2),1,0)+IF(AND(ISNUMBER(H1306),H1306&lt;=2),1,0)</f>
        <v>1</v>
      </c>
      <c r="J1306" s="2" t="str">
        <f aca="false">IF(I1306&gt;=6,"High",IF(I1306&gt;=3,"Medium","Low"))</f>
        <v>Low</v>
      </c>
    </row>
    <row r="1307" customFormat="false" ht="15" hidden="false" customHeight="true" outlineLevel="0" collapsed="false">
      <c r="A1307" s="2" t="n">
        <f aca="false">'Raw Data'!H1307</f>
        <v>1306</v>
      </c>
      <c r="B1307" s="2" t="n">
        <f aca="false">'Raw Data'!A1307</f>
        <v>46</v>
      </c>
      <c r="C1307" s="2" t="str">
        <f aca="false">'Raw Data'!D1307</f>
        <v>Research &amp; Development</v>
      </c>
      <c r="D1307" s="2" t="str">
        <f aca="false">'Raw Data'!K1307</f>
        <v>Laboratory Technician</v>
      </c>
      <c r="E1307" s="2" t="n">
        <f aca="false">'Raw Data'!Q1307</f>
        <v>21</v>
      </c>
      <c r="F1307" s="2" t="n">
        <f aca="false">'Raw Data'!U1307</f>
        <v>5</v>
      </c>
      <c r="G1307" s="2" t="n">
        <f aca="false">'Raw Data'!W1307</f>
        <v>1</v>
      </c>
      <c r="H1307" s="2" t="n">
        <f aca="false">'Raw Data'!V1307</f>
        <v>3</v>
      </c>
      <c r="I1307" s="2" t="n">
        <f aca="false">IF(AND(ISNUMBER(B1307),B1307&lt;=25),2,0)+IF(AND(ISNUMBER(E1307),E1307&lt;=5),2,0)+IF(AND(ISNUMBER(F1307),F1307&lt;=1),2,0)+IF(AND(ISNUMBER(G1307),G1307&lt;=2),1,0)+IF(AND(ISNUMBER(H1307),H1307&lt;=2),1,0)</f>
        <v>1</v>
      </c>
      <c r="J1307" s="2" t="str">
        <f aca="false">IF(I1307&gt;=6,"High",IF(I1307&gt;=3,"Medium","Low"))</f>
        <v>Low</v>
      </c>
    </row>
    <row r="1308" customFormat="false" ht="15" hidden="false" customHeight="true" outlineLevel="0" collapsed="false">
      <c r="A1308" s="2" t="n">
        <f aca="false">'Raw Data'!H1308</f>
        <v>1307</v>
      </c>
      <c r="B1308" s="2" t="n">
        <f aca="false">'Raw Data'!A1308</f>
        <v>32</v>
      </c>
      <c r="C1308" s="2" t="str">
        <f aca="false">'Raw Data'!D1308</f>
        <v>Sales</v>
      </c>
      <c r="D1308" s="2" t="str">
        <f aca="false">'Raw Data'!K1308</f>
        <v>Research Scientist</v>
      </c>
      <c r="E1308" s="2" t="n">
        <f aca="false">'Raw Data'!Q1308</f>
        <v>12</v>
      </c>
      <c r="F1308" s="2" t="n">
        <f aca="false">'Raw Data'!U1308</f>
        <v>7</v>
      </c>
      <c r="G1308" s="2" t="n">
        <f aca="false">'Raw Data'!W1308</f>
        <v>3</v>
      </c>
      <c r="H1308" s="2" t="n">
        <f aca="false">'Raw Data'!V1308</f>
        <v>2</v>
      </c>
      <c r="I1308" s="2" t="n">
        <f aca="false">IF(AND(ISNUMBER(B1308),B1308&lt;=25),2,0)+IF(AND(ISNUMBER(E1308),E1308&lt;=5),2,0)+IF(AND(ISNUMBER(F1308),F1308&lt;=1),2,0)+IF(AND(ISNUMBER(G1308),G1308&lt;=2),1,0)+IF(AND(ISNUMBER(H1308),H1308&lt;=2),1,0)</f>
        <v>1</v>
      </c>
      <c r="J1308" s="2" t="str">
        <f aca="false">IF(I1308&gt;=6,"High",IF(I1308&gt;=3,"Medium","Low"))</f>
        <v>Low</v>
      </c>
    </row>
    <row r="1309" customFormat="false" ht="15" hidden="false" customHeight="true" outlineLevel="0" collapsed="false">
      <c r="A1309" s="2" t="n">
        <f aca="false">'Raw Data'!H1309</f>
        <v>1308</v>
      </c>
      <c r="B1309" s="2" t="n">
        <f aca="false">'Raw Data'!A1309</f>
        <v>54</v>
      </c>
      <c r="C1309" s="2" t="str">
        <f aca="false">'Raw Data'!D1309</f>
        <v>Research &amp; Development</v>
      </c>
      <c r="D1309" s="2" t="str">
        <f aca="false">'Raw Data'!K1309</f>
        <v>Laboratory Technician</v>
      </c>
      <c r="E1309" s="2" t="n">
        <f aca="false">'Raw Data'!Q1309</f>
        <v>16</v>
      </c>
      <c r="F1309" s="2" t="n">
        <f aca="false">'Raw Data'!U1309</f>
        <v>3</v>
      </c>
      <c r="G1309" s="2" t="n">
        <f aca="false">'Raw Data'!W1309</f>
        <v>3</v>
      </c>
      <c r="H1309" s="2" t="n">
        <f aca="false">'Raw Data'!V1309</f>
        <v>1</v>
      </c>
      <c r="I1309" s="2" t="n">
        <f aca="false">IF(AND(ISNUMBER(B1309),B1309&lt;=25),2,0)+IF(AND(ISNUMBER(E1309),E1309&lt;=5),2,0)+IF(AND(ISNUMBER(F1309),F1309&lt;=1),2,0)+IF(AND(ISNUMBER(G1309),G1309&lt;=2),1,0)+IF(AND(ISNUMBER(H1309),H1309&lt;=2),1,0)</f>
        <v>1</v>
      </c>
      <c r="J1309" s="2" t="str">
        <f aca="false">IF(I1309&gt;=6,"High",IF(I1309&gt;=3,"Medium","Low"))</f>
        <v>Low</v>
      </c>
    </row>
    <row r="1310" customFormat="false" ht="15" hidden="false" customHeight="true" outlineLevel="0" collapsed="false">
      <c r="A1310" s="2" t="n">
        <f aca="false">'Raw Data'!H1310</f>
        <v>1309</v>
      </c>
      <c r="B1310" s="2" t="n">
        <f aca="false">'Raw Data'!A1310</f>
        <v>24</v>
      </c>
      <c r="C1310" s="2" t="str">
        <f aca="false">'Raw Data'!D1310</f>
        <v>Sales</v>
      </c>
      <c r="D1310" s="2" t="str">
        <f aca="false">'Raw Data'!K1310</f>
        <v>Research Scientist</v>
      </c>
      <c r="E1310" s="2" t="n">
        <f aca="false">'Raw Data'!Q1310</f>
        <v>4</v>
      </c>
      <c r="F1310" s="2" t="n">
        <f aca="false">'Raw Data'!U1310</f>
        <v>2</v>
      </c>
      <c r="G1310" s="2" t="n">
        <f aca="false">'Raw Data'!W1310</f>
        <v>3</v>
      </c>
      <c r="H1310" s="2" t="n">
        <f aca="false">'Raw Data'!V1310</f>
        <v>1</v>
      </c>
      <c r="I1310" s="2" t="n">
        <f aca="false">IF(AND(ISNUMBER(B1310),B1310&lt;=25),2,0)+IF(AND(ISNUMBER(E1310),E1310&lt;=5),2,0)+IF(AND(ISNUMBER(F1310),F1310&lt;=1),2,0)+IF(AND(ISNUMBER(G1310),G1310&lt;=2),1,0)+IF(AND(ISNUMBER(H1310),H1310&lt;=2),1,0)</f>
        <v>5</v>
      </c>
      <c r="J1310" s="2" t="str">
        <f aca="false">IF(I1310&gt;=6,"High",IF(I1310&gt;=3,"Medium","Low"))</f>
        <v>Medium</v>
      </c>
    </row>
    <row r="1311" customFormat="false" ht="15" hidden="false" customHeight="true" outlineLevel="0" collapsed="false">
      <c r="A1311" s="2" t="n">
        <f aca="false">'Raw Data'!H1311</f>
        <v>1310</v>
      </c>
      <c r="B1311" s="2" t="n">
        <f aca="false">'Raw Data'!A1311</f>
        <v>28</v>
      </c>
      <c r="C1311" s="2" t="str">
        <f aca="false">'Raw Data'!D1311</f>
        <v>Sales</v>
      </c>
      <c r="D1311" s="2" t="str">
        <f aca="false">'Raw Data'!K1311</f>
        <v>Laboratory Technician</v>
      </c>
      <c r="E1311" s="2" t="n">
        <f aca="false">'Raw Data'!Q1311</f>
        <v>5</v>
      </c>
      <c r="F1311" s="2" t="n">
        <f aca="false">'Raw Data'!U1311</f>
        <v>4</v>
      </c>
      <c r="G1311" s="2" t="n">
        <f aca="false">'Raw Data'!W1311</f>
        <v>3</v>
      </c>
      <c r="H1311" s="2" t="n">
        <f aca="false">'Raw Data'!V1311</f>
        <v>2</v>
      </c>
      <c r="I1311" s="2" t="n">
        <f aca="false">IF(AND(ISNUMBER(B1311),B1311&lt;=25),2,0)+IF(AND(ISNUMBER(E1311),E1311&lt;=5),2,0)+IF(AND(ISNUMBER(F1311),F1311&lt;=1),2,0)+IF(AND(ISNUMBER(G1311),G1311&lt;=2),1,0)+IF(AND(ISNUMBER(H1311),H1311&lt;=2),1,0)</f>
        <v>3</v>
      </c>
      <c r="J1311" s="2" t="str">
        <f aca="false">IF(I1311&gt;=6,"High",IF(I1311&gt;=3,"Medium","Low"))</f>
        <v>Medium</v>
      </c>
    </row>
    <row r="1312" customFormat="false" ht="15" hidden="false" customHeight="true" outlineLevel="0" collapsed="false">
      <c r="A1312" s="2" t="n">
        <f aca="false">'Raw Data'!H1312</f>
        <v>1311</v>
      </c>
      <c r="B1312" s="2" t="n">
        <f aca="false">'Raw Data'!A1312</f>
        <v>58</v>
      </c>
      <c r="C1312" s="2" t="str">
        <f aca="false">'Raw Data'!D1312</f>
        <v>Research &amp; Development</v>
      </c>
      <c r="D1312" s="2" t="str">
        <f aca="false">'Raw Data'!K1312</f>
        <v>Sales Executive</v>
      </c>
      <c r="E1312" s="2" t="n">
        <f aca="false">'Raw Data'!Q1312</f>
        <v>38</v>
      </c>
      <c r="F1312" s="2" t="n">
        <f aca="false">'Raw Data'!U1312</f>
        <v>8</v>
      </c>
      <c r="G1312" s="2" t="n">
        <f aca="false">'Raw Data'!W1312</f>
        <v>3</v>
      </c>
      <c r="H1312" s="2" t="n">
        <f aca="false">'Raw Data'!V1312</f>
        <v>4</v>
      </c>
      <c r="I1312" s="2" t="n">
        <f aca="false">IF(AND(ISNUMBER(B1312),B1312&lt;=25),2,0)+IF(AND(ISNUMBER(E1312),E1312&lt;=5),2,0)+IF(AND(ISNUMBER(F1312),F1312&lt;=1),2,0)+IF(AND(ISNUMBER(G1312),G1312&lt;=2),1,0)+IF(AND(ISNUMBER(H1312),H1312&lt;=2),1,0)</f>
        <v>0</v>
      </c>
      <c r="J1312" s="2" t="str">
        <f aca="false">IF(I1312&gt;=6,"High",IF(I1312&gt;=3,"Medium","Low"))</f>
        <v>Low</v>
      </c>
    </row>
    <row r="1313" customFormat="false" ht="15" hidden="false" customHeight="true" outlineLevel="0" collapsed="false">
      <c r="A1313" s="2" t="n">
        <f aca="false">'Raw Data'!H1313</f>
        <v>1312</v>
      </c>
      <c r="B1313" s="2" t="n">
        <f aca="false">'Raw Data'!A1313</f>
        <v>44</v>
      </c>
      <c r="C1313" s="2" t="str">
        <f aca="false">'Raw Data'!D1313</f>
        <v>Research &amp; Development</v>
      </c>
      <c r="D1313" s="2" t="str">
        <f aca="false">'Raw Data'!K1313</f>
        <v>Research Scientist</v>
      </c>
      <c r="E1313" s="2" t="n">
        <f aca="false">'Raw Data'!Q1313</f>
        <v>17</v>
      </c>
      <c r="F1313" s="2" t="n">
        <f aca="false">'Raw Data'!U1313</f>
        <v>2</v>
      </c>
      <c r="G1313" s="2" t="n">
        <f aca="false">'Raw Data'!W1313</f>
        <v>2</v>
      </c>
      <c r="H1313" s="2" t="n">
        <f aca="false">'Raw Data'!V1313</f>
        <v>2</v>
      </c>
      <c r="I1313" s="2" t="n">
        <f aca="false">IF(AND(ISNUMBER(B1313),B1313&lt;=25),2,0)+IF(AND(ISNUMBER(E1313),E1313&lt;=5),2,0)+IF(AND(ISNUMBER(F1313),F1313&lt;=1),2,0)+IF(AND(ISNUMBER(G1313),G1313&lt;=2),1,0)+IF(AND(ISNUMBER(H1313),H1313&lt;=2),1,0)</f>
        <v>2</v>
      </c>
      <c r="J1313" s="2" t="str">
        <f aca="false">IF(I1313&gt;=6,"High",IF(I1313&gt;=3,"Medium","Low"))</f>
        <v>Low</v>
      </c>
    </row>
    <row r="1314" customFormat="false" ht="15" hidden="false" customHeight="true" outlineLevel="0" collapsed="false">
      <c r="A1314" s="2" t="n">
        <f aca="false">'Raw Data'!H1314</f>
        <v>1313</v>
      </c>
      <c r="B1314" s="2" t="n">
        <f aca="false">'Raw Data'!A1314</f>
        <v>37</v>
      </c>
      <c r="C1314" s="2" t="str">
        <f aca="false">'Raw Data'!D1314</f>
        <v>Human Resources</v>
      </c>
      <c r="D1314" s="2" t="str">
        <f aca="false">'Raw Data'!K1314</f>
        <v>Healthcare Representative</v>
      </c>
      <c r="E1314" s="2" t="n">
        <f aca="false">'Raw Data'!Q1314</f>
        <v>7</v>
      </c>
      <c r="F1314" s="2" t="n">
        <f aca="false">'Raw Data'!U1314</f>
        <v>2</v>
      </c>
      <c r="G1314" s="2" t="n">
        <f aca="false">'Raw Data'!W1314</f>
        <v>1</v>
      </c>
      <c r="H1314" s="2" t="n">
        <f aca="false">'Raw Data'!V1314</f>
        <v>3</v>
      </c>
      <c r="I1314" s="2" t="n">
        <f aca="false">IF(AND(ISNUMBER(B1314),B1314&lt;=25),2,0)+IF(AND(ISNUMBER(E1314),E1314&lt;=5),2,0)+IF(AND(ISNUMBER(F1314),F1314&lt;=1),2,0)+IF(AND(ISNUMBER(G1314),G1314&lt;=2),1,0)+IF(AND(ISNUMBER(H1314),H1314&lt;=2),1,0)</f>
        <v>1</v>
      </c>
      <c r="J1314" s="2" t="str">
        <f aca="false">IF(I1314&gt;=6,"High",IF(I1314&gt;=3,"Medium","Low"))</f>
        <v>Low</v>
      </c>
    </row>
    <row r="1315" customFormat="false" ht="15" hidden="false" customHeight="true" outlineLevel="0" collapsed="false">
      <c r="A1315" s="2" t="n">
        <f aca="false">'Raw Data'!H1315</f>
        <v>1314</v>
      </c>
      <c r="B1315" s="2" t="n">
        <f aca="false">'Raw Data'!A1315</f>
        <v>32</v>
      </c>
      <c r="C1315" s="2" t="str">
        <f aca="false">'Raw Data'!D1315</f>
        <v>Human Resources</v>
      </c>
      <c r="D1315" s="2" t="str">
        <f aca="false">'Raw Data'!K1315</f>
        <v>Sales Representative</v>
      </c>
      <c r="E1315" s="2" t="n">
        <f aca="false">'Raw Data'!Q1315</f>
        <v>1</v>
      </c>
      <c r="F1315" s="2" t="n">
        <f aca="false">'Raw Data'!U1315</f>
        <v>0</v>
      </c>
      <c r="G1315" s="2" t="n">
        <f aca="false">'Raw Data'!W1315</f>
        <v>1</v>
      </c>
      <c r="H1315" s="2" t="n">
        <f aca="false">'Raw Data'!V1315</f>
        <v>4</v>
      </c>
      <c r="I1315" s="2" t="n">
        <f aca="false">IF(AND(ISNUMBER(B1315),B1315&lt;=25),2,0)+IF(AND(ISNUMBER(E1315),E1315&lt;=5),2,0)+IF(AND(ISNUMBER(F1315),F1315&lt;=1),2,0)+IF(AND(ISNUMBER(G1315),G1315&lt;=2),1,0)+IF(AND(ISNUMBER(H1315),H1315&lt;=2),1,0)</f>
        <v>5</v>
      </c>
      <c r="J1315" s="2" t="str">
        <f aca="false">IF(I1315&gt;=6,"High",IF(I1315&gt;=3,"Medium","Low"))</f>
        <v>Medium</v>
      </c>
    </row>
    <row r="1316" customFormat="false" ht="15" hidden="false" customHeight="true" outlineLevel="0" collapsed="false">
      <c r="A1316" s="2" t="n">
        <f aca="false">'Raw Data'!H1316</f>
        <v>1315</v>
      </c>
      <c r="B1316" s="2" t="n">
        <f aca="false">'Raw Data'!A1316</f>
        <v>20</v>
      </c>
      <c r="C1316" s="2" t="str">
        <f aca="false">'Raw Data'!D1316</f>
        <v>Sales</v>
      </c>
      <c r="D1316" s="2" t="str">
        <f aca="false">'Raw Data'!K1316</f>
        <v>Healthcare Representative</v>
      </c>
      <c r="E1316" s="2" t="n">
        <f aca="false">'Raw Data'!Q1316</f>
        <v>1</v>
      </c>
      <c r="F1316" s="2" t="n">
        <f aca="false">'Raw Data'!U1316</f>
        <v>0</v>
      </c>
      <c r="G1316" s="2" t="n">
        <f aca="false">'Raw Data'!W1316</f>
        <v>4</v>
      </c>
      <c r="H1316" s="2" t="n">
        <f aca="false">'Raw Data'!V1316</f>
        <v>4</v>
      </c>
      <c r="I1316" s="2" t="n">
        <f aca="false">IF(AND(ISNUMBER(B1316),B1316&lt;=25),2,0)+IF(AND(ISNUMBER(E1316),E1316&lt;=5),2,0)+IF(AND(ISNUMBER(F1316),F1316&lt;=1),2,0)+IF(AND(ISNUMBER(G1316),G1316&lt;=2),1,0)+IF(AND(ISNUMBER(H1316),H1316&lt;=2),1,0)</f>
        <v>6</v>
      </c>
      <c r="J1316" s="2" t="str">
        <f aca="false">IF(I1316&gt;=6,"High",IF(I1316&gt;=3,"Medium","Low"))</f>
        <v>High</v>
      </c>
    </row>
    <row r="1317" customFormat="false" ht="15" hidden="false" customHeight="true" outlineLevel="0" collapsed="false">
      <c r="A1317" s="2" t="n">
        <f aca="false">'Raw Data'!H1317</f>
        <v>1316</v>
      </c>
      <c r="B1317" s="2" t="n">
        <f aca="false">'Raw Data'!A1317</f>
        <v>34</v>
      </c>
      <c r="C1317" s="2" t="str">
        <f aca="false">'Raw Data'!D1317</f>
        <v>Research &amp; Development</v>
      </c>
      <c r="D1317" s="2" t="str">
        <f aca="false">'Raw Data'!K1317</f>
        <v>Laboratory Technician</v>
      </c>
      <c r="E1317" s="2" t="n">
        <f aca="false">'Raw Data'!Q1317</f>
        <v>16</v>
      </c>
      <c r="F1317" s="2" t="n">
        <f aca="false">'Raw Data'!U1317</f>
        <v>10</v>
      </c>
      <c r="G1317" s="2" t="n">
        <f aca="false">'Raw Data'!W1317</f>
        <v>3</v>
      </c>
      <c r="H1317" s="2" t="n">
        <f aca="false">'Raw Data'!V1317</f>
        <v>1</v>
      </c>
      <c r="I1317" s="2" t="n">
        <f aca="false">IF(AND(ISNUMBER(B1317),B1317&lt;=25),2,0)+IF(AND(ISNUMBER(E1317),E1317&lt;=5),2,0)+IF(AND(ISNUMBER(F1317),F1317&lt;=1),2,0)+IF(AND(ISNUMBER(G1317),G1317&lt;=2),1,0)+IF(AND(ISNUMBER(H1317),H1317&lt;=2),1,0)</f>
        <v>1</v>
      </c>
      <c r="J1317" s="2" t="str">
        <f aca="false">IF(I1317&gt;=6,"High",IF(I1317&gt;=3,"Medium","Low"))</f>
        <v>Low</v>
      </c>
    </row>
    <row r="1318" customFormat="false" ht="15" hidden="false" customHeight="true" outlineLevel="0" collapsed="false">
      <c r="A1318" s="2" t="n">
        <f aca="false">'Raw Data'!H1318</f>
        <v>1317</v>
      </c>
      <c r="B1318" s="2" t="n">
        <f aca="false">'Raw Data'!A1318</f>
        <v>37</v>
      </c>
      <c r="C1318" s="2" t="str">
        <f aca="false">'Raw Data'!D1318</f>
        <v>Sales</v>
      </c>
      <c r="D1318" s="2" t="str">
        <f aca="false">'Raw Data'!K1318</f>
        <v>Research Scientist</v>
      </c>
      <c r="E1318" s="2" t="n">
        <f aca="false">'Raw Data'!Q1318</f>
        <v>17</v>
      </c>
      <c r="F1318" s="2" t="n">
        <f aca="false">'Raw Data'!U1318</f>
        <v>0</v>
      </c>
      <c r="G1318" s="2" t="n">
        <f aca="false">'Raw Data'!W1318</f>
        <v>4</v>
      </c>
      <c r="H1318" s="2" t="n">
        <f aca="false">'Raw Data'!V1318</f>
        <v>3</v>
      </c>
      <c r="I1318" s="2" t="n">
        <f aca="false">IF(AND(ISNUMBER(B1318),B1318&lt;=25),2,0)+IF(AND(ISNUMBER(E1318),E1318&lt;=5),2,0)+IF(AND(ISNUMBER(F1318),F1318&lt;=1),2,0)+IF(AND(ISNUMBER(G1318),G1318&lt;=2),1,0)+IF(AND(ISNUMBER(H1318),H1318&lt;=2),1,0)</f>
        <v>2</v>
      </c>
      <c r="J1318" s="2" t="str">
        <f aca="false">IF(I1318&gt;=6,"High",IF(I1318&gt;=3,"Medium","Low"))</f>
        <v>Low</v>
      </c>
    </row>
    <row r="1319" customFormat="false" ht="15" hidden="false" customHeight="true" outlineLevel="0" collapsed="false">
      <c r="A1319" s="2" t="n">
        <f aca="false">'Raw Data'!H1319</f>
        <v>1318</v>
      </c>
      <c r="B1319" s="2" t="n">
        <f aca="false">'Raw Data'!A1319</f>
        <v>59</v>
      </c>
      <c r="C1319" s="2" t="str">
        <f aca="false">'Raw Data'!D1319</f>
        <v>Research &amp; Development</v>
      </c>
      <c r="D1319" s="2" t="str">
        <f aca="false">'Raw Data'!K1319</f>
        <v>Sales Executive</v>
      </c>
      <c r="E1319" s="2" t="n">
        <f aca="false">'Raw Data'!Q1319</f>
        <v>30</v>
      </c>
      <c r="F1319" s="2" t="n">
        <f aca="false">'Raw Data'!U1319</f>
        <v>2</v>
      </c>
      <c r="G1319" s="2" t="n">
        <f aca="false">'Raw Data'!W1319</f>
        <v>4</v>
      </c>
      <c r="H1319" s="2" t="n">
        <f aca="false">'Raw Data'!V1319</f>
        <v>3</v>
      </c>
      <c r="I1319" s="2" t="n">
        <f aca="false">IF(AND(ISNUMBER(B1319),B1319&lt;=25),2,0)+IF(AND(ISNUMBER(E1319),E1319&lt;=5),2,0)+IF(AND(ISNUMBER(F1319),F1319&lt;=1),2,0)+IF(AND(ISNUMBER(G1319),G1319&lt;=2),1,0)+IF(AND(ISNUMBER(H1319),H1319&lt;=2),1,0)</f>
        <v>0</v>
      </c>
      <c r="J1319" s="2" t="str">
        <f aca="false">IF(I1319&gt;=6,"High",IF(I1319&gt;=3,"Medium","Low"))</f>
        <v>Low</v>
      </c>
    </row>
    <row r="1320" customFormat="false" ht="15" hidden="false" customHeight="true" outlineLevel="0" collapsed="false">
      <c r="A1320" s="2" t="n">
        <f aca="false">'Raw Data'!H1320</f>
        <v>1319</v>
      </c>
      <c r="B1320" s="2" t="n">
        <f aca="false">'Raw Data'!A1320</f>
        <v>50</v>
      </c>
      <c r="C1320" s="2" t="str">
        <f aca="false">'Raw Data'!D1320</f>
        <v>Research &amp; Development</v>
      </c>
      <c r="D1320" s="2" t="str">
        <f aca="false">'Raw Data'!K1320</f>
        <v>Research Scientist</v>
      </c>
      <c r="E1320" s="2" t="n">
        <f aca="false">'Raw Data'!Q1320</f>
        <v>28</v>
      </c>
      <c r="F1320" s="2" t="n">
        <f aca="false">'Raw Data'!U1320</f>
        <v>7</v>
      </c>
      <c r="G1320" s="2" t="n">
        <f aca="false">'Raw Data'!W1320</f>
        <v>2</v>
      </c>
      <c r="H1320" s="2" t="n">
        <f aca="false">'Raw Data'!V1320</f>
        <v>1</v>
      </c>
      <c r="I1320" s="2" t="n">
        <f aca="false">IF(AND(ISNUMBER(B1320),B1320&lt;=25),2,0)+IF(AND(ISNUMBER(E1320),E1320&lt;=5),2,0)+IF(AND(ISNUMBER(F1320),F1320&lt;=1),2,0)+IF(AND(ISNUMBER(G1320),G1320&lt;=2),1,0)+IF(AND(ISNUMBER(H1320),H1320&lt;=2),1,0)</f>
        <v>2</v>
      </c>
      <c r="J1320" s="2" t="str">
        <f aca="false">IF(I1320&gt;=6,"High",IF(I1320&gt;=3,"Medium","Low"))</f>
        <v>Low</v>
      </c>
    </row>
    <row r="1321" customFormat="false" ht="15" hidden="false" customHeight="true" outlineLevel="0" collapsed="false">
      <c r="A1321" s="2" t="n">
        <f aca="false">'Raw Data'!H1321</f>
        <v>1320</v>
      </c>
      <c r="B1321" s="2" t="n">
        <f aca="false">'Raw Data'!A1321</f>
        <v>25</v>
      </c>
      <c r="C1321" s="2" t="str">
        <f aca="false">'Raw Data'!D1321</f>
        <v>Sales</v>
      </c>
      <c r="D1321" s="2" t="str">
        <f aca="false">'Raw Data'!K1321</f>
        <v>Research Director</v>
      </c>
      <c r="E1321" s="2" t="n">
        <f aca="false">'Raw Data'!Q1321</f>
        <v>6</v>
      </c>
      <c r="F1321" s="2" t="n">
        <f aca="false">'Raw Data'!U1321</f>
        <v>3</v>
      </c>
      <c r="G1321" s="2" t="n">
        <f aca="false">'Raw Data'!W1321</f>
        <v>3</v>
      </c>
      <c r="H1321" s="2" t="n">
        <f aca="false">'Raw Data'!V1321</f>
        <v>3</v>
      </c>
      <c r="I1321" s="2" t="n">
        <f aca="false">IF(AND(ISNUMBER(B1321),B1321&lt;=25),2,0)+IF(AND(ISNUMBER(E1321),E1321&lt;=5),2,0)+IF(AND(ISNUMBER(F1321),F1321&lt;=1),2,0)+IF(AND(ISNUMBER(G1321),G1321&lt;=2),1,0)+IF(AND(ISNUMBER(H1321),H1321&lt;=2),1,0)</f>
        <v>2</v>
      </c>
      <c r="J1321" s="2" t="str">
        <f aca="false">IF(I1321&gt;=6,"High",IF(I1321&gt;=3,"Medium","Low"))</f>
        <v>Low</v>
      </c>
    </row>
    <row r="1322" customFormat="false" ht="15" hidden="false" customHeight="true" outlineLevel="0" collapsed="false">
      <c r="A1322" s="2" t="n">
        <f aca="false">'Raw Data'!H1322</f>
        <v>1321</v>
      </c>
      <c r="B1322" s="2" t="n">
        <f aca="false">'Raw Data'!A1322</f>
        <v>25</v>
      </c>
      <c r="C1322" s="2" t="str">
        <f aca="false">'Raw Data'!D1322</f>
        <v>Research &amp; Development</v>
      </c>
      <c r="D1322" s="2" t="str">
        <f aca="false">'Raw Data'!K1322</f>
        <v>Laboratory Technician</v>
      </c>
      <c r="E1322" s="2" t="n">
        <f aca="false">'Raw Data'!Q1322</f>
        <v>2</v>
      </c>
      <c r="F1322" s="2" t="n">
        <f aca="false">'Raw Data'!U1322</f>
        <v>1</v>
      </c>
      <c r="G1322" s="2" t="n">
        <f aca="false">'Raw Data'!W1322</f>
        <v>4</v>
      </c>
      <c r="H1322" s="2" t="n">
        <f aca="false">'Raw Data'!V1322</f>
        <v>4</v>
      </c>
      <c r="I1322" s="2" t="n">
        <f aca="false">IF(AND(ISNUMBER(B1322),B1322&lt;=25),2,0)+IF(AND(ISNUMBER(E1322),E1322&lt;=5),2,0)+IF(AND(ISNUMBER(F1322),F1322&lt;=1),2,0)+IF(AND(ISNUMBER(G1322),G1322&lt;=2),1,0)+IF(AND(ISNUMBER(H1322),H1322&lt;=2),1,0)</f>
        <v>6</v>
      </c>
      <c r="J1322" s="2" t="str">
        <f aca="false">IF(I1322&gt;=6,"High",IF(I1322&gt;=3,"Medium","Low"))</f>
        <v>High</v>
      </c>
    </row>
    <row r="1323" customFormat="false" ht="15" hidden="false" customHeight="true" outlineLevel="0" collapsed="false">
      <c r="A1323" s="2" t="n">
        <f aca="false">'Raw Data'!H1323</f>
        <v>1322</v>
      </c>
      <c r="B1323" s="2" t="n">
        <f aca="false">'Raw Data'!A1323</f>
        <v>22</v>
      </c>
      <c r="C1323" s="2" t="str">
        <f aca="false">'Raw Data'!D1323</f>
        <v>Research &amp; Development</v>
      </c>
      <c r="D1323" s="2" t="str">
        <f aca="false">'Raw Data'!K1323</f>
        <v>Sales Representative</v>
      </c>
      <c r="E1323" s="2" t="n">
        <f aca="false">'Raw Data'!Q1323</f>
        <v>1</v>
      </c>
      <c r="F1323" s="2" t="n">
        <f aca="false">'Raw Data'!U1323</f>
        <v>0</v>
      </c>
      <c r="G1323" s="2" t="n">
        <f aca="false">'Raw Data'!W1323</f>
        <v>4</v>
      </c>
      <c r="H1323" s="2" t="n">
        <f aca="false">'Raw Data'!V1323</f>
        <v>2</v>
      </c>
      <c r="I1323" s="2" t="n">
        <f aca="false">IF(AND(ISNUMBER(B1323),B1323&lt;=25),2,0)+IF(AND(ISNUMBER(E1323),E1323&lt;=5),2,0)+IF(AND(ISNUMBER(F1323),F1323&lt;=1),2,0)+IF(AND(ISNUMBER(G1323),G1323&lt;=2),1,0)+IF(AND(ISNUMBER(H1323),H1323&lt;=2),1,0)</f>
        <v>7</v>
      </c>
      <c r="J1323" s="2" t="str">
        <f aca="false">IF(I1323&gt;=6,"High",IF(I1323&gt;=3,"Medium","Low"))</f>
        <v>High</v>
      </c>
    </row>
    <row r="1324" customFormat="false" ht="15" hidden="false" customHeight="true" outlineLevel="0" collapsed="false">
      <c r="A1324" s="2" t="n">
        <f aca="false">'Raw Data'!H1324</f>
        <v>1323</v>
      </c>
      <c r="B1324" s="2" t="n">
        <f aca="false">'Raw Data'!A1324</f>
        <v>51</v>
      </c>
      <c r="C1324" s="2" t="str">
        <f aca="false">'Raw Data'!D1324</f>
        <v>Research &amp; Development</v>
      </c>
      <c r="D1324" s="2" t="str">
        <f aca="false">'Raw Data'!K1324</f>
        <v>Sales Executive</v>
      </c>
      <c r="E1324" s="2" t="n">
        <f aca="false">'Raw Data'!Q1324</f>
        <v>23</v>
      </c>
      <c r="F1324" s="2" t="n">
        <f aca="false">'Raw Data'!U1324</f>
        <v>8</v>
      </c>
      <c r="G1324" s="2" t="n">
        <f aca="false">'Raw Data'!W1324</f>
        <v>1</v>
      </c>
      <c r="H1324" s="2" t="n">
        <f aca="false">'Raw Data'!V1324</f>
        <v>1</v>
      </c>
      <c r="I1324" s="2" t="n">
        <f aca="false">IF(AND(ISNUMBER(B1324),B1324&lt;=25),2,0)+IF(AND(ISNUMBER(E1324),E1324&lt;=5),2,0)+IF(AND(ISNUMBER(F1324),F1324&lt;=1),2,0)+IF(AND(ISNUMBER(G1324),G1324&lt;=2),1,0)+IF(AND(ISNUMBER(H1324),H1324&lt;=2),1,0)</f>
        <v>2</v>
      </c>
      <c r="J1324" s="2" t="str">
        <f aca="false">IF(I1324&gt;=6,"High",IF(I1324&gt;=3,"Medium","Low"))</f>
        <v>Low</v>
      </c>
    </row>
    <row r="1325" customFormat="false" ht="15" hidden="false" customHeight="true" outlineLevel="0" collapsed="false">
      <c r="A1325" s="2" t="n">
        <f aca="false">'Raw Data'!H1325</f>
        <v>1324</v>
      </c>
      <c r="B1325" s="2" t="n">
        <f aca="false">'Raw Data'!A1325</f>
        <v>34</v>
      </c>
      <c r="C1325" s="2" t="str">
        <f aca="false">'Raw Data'!D1325</f>
        <v>Human Resources</v>
      </c>
      <c r="D1325" s="2" t="str">
        <f aca="false">'Raw Data'!K1325</f>
        <v>Sales Executive</v>
      </c>
      <c r="E1325" s="2" t="n">
        <f aca="false">'Raw Data'!Q1325</f>
        <v>9</v>
      </c>
      <c r="F1325" s="2" t="n">
        <f aca="false">'Raw Data'!U1325</f>
        <v>6</v>
      </c>
      <c r="G1325" s="2" t="n">
        <f aca="false">'Raw Data'!W1325</f>
        <v>3</v>
      </c>
      <c r="H1325" s="2" t="n">
        <f aca="false">'Raw Data'!V1325</f>
        <v>1</v>
      </c>
      <c r="I1325" s="2" t="n">
        <f aca="false">IF(AND(ISNUMBER(B1325),B1325&lt;=25),2,0)+IF(AND(ISNUMBER(E1325),E1325&lt;=5),2,0)+IF(AND(ISNUMBER(F1325),F1325&lt;=1),2,0)+IF(AND(ISNUMBER(G1325),G1325&lt;=2),1,0)+IF(AND(ISNUMBER(H1325),H1325&lt;=2),1,0)</f>
        <v>1</v>
      </c>
      <c r="J1325" s="2" t="str">
        <f aca="false">IF(I1325&gt;=6,"High",IF(I1325&gt;=3,"Medium","Low"))</f>
        <v>Low</v>
      </c>
    </row>
    <row r="1326" customFormat="false" ht="15" hidden="false" customHeight="true" outlineLevel="0" collapsed="false">
      <c r="A1326" s="2" t="n">
        <f aca="false">'Raw Data'!H1326</f>
        <v>1325</v>
      </c>
      <c r="B1326" s="2" t="n">
        <f aca="false">'Raw Data'!A1326</f>
        <v>54</v>
      </c>
      <c r="C1326" s="2" t="str">
        <f aca="false">'Raw Data'!D1326</f>
        <v>Research &amp; Development</v>
      </c>
      <c r="D1326" s="2" t="str">
        <f aca="false">'Raw Data'!K1326</f>
        <v>Laboratory Technician</v>
      </c>
      <c r="E1326" s="2" t="n">
        <f aca="false">'Raw Data'!Q1326</f>
        <v>23</v>
      </c>
      <c r="F1326" s="2" t="n">
        <f aca="false">'Raw Data'!U1326</f>
        <v>4</v>
      </c>
      <c r="G1326" s="2" t="n">
        <f aca="false">'Raw Data'!W1326</f>
        <v>4</v>
      </c>
      <c r="H1326" s="2" t="n">
        <f aca="false">'Raw Data'!V1326</f>
        <v>4</v>
      </c>
      <c r="I1326" s="2" t="n">
        <f aca="false">IF(AND(ISNUMBER(B1326),B1326&lt;=25),2,0)+IF(AND(ISNUMBER(E1326),E1326&lt;=5),2,0)+IF(AND(ISNUMBER(F1326),F1326&lt;=1),2,0)+IF(AND(ISNUMBER(G1326),G1326&lt;=2),1,0)+IF(AND(ISNUMBER(H1326),H1326&lt;=2),1,0)</f>
        <v>0</v>
      </c>
      <c r="J1326" s="2" t="str">
        <f aca="false">IF(I1326&gt;=6,"High",IF(I1326&gt;=3,"Medium","Low"))</f>
        <v>Low</v>
      </c>
    </row>
    <row r="1327" customFormat="false" ht="15" hidden="false" customHeight="true" outlineLevel="0" collapsed="false">
      <c r="A1327" s="2" t="n">
        <f aca="false">'Raw Data'!H1327</f>
        <v>1326</v>
      </c>
      <c r="B1327" s="2" t="n">
        <f aca="false">'Raw Data'!A1327</f>
        <v>24</v>
      </c>
      <c r="C1327" s="2" t="str">
        <f aca="false">'Raw Data'!D1327</f>
        <v>Research &amp; Development</v>
      </c>
      <c r="D1327" s="2" t="str">
        <f aca="false">'Raw Data'!K1327</f>
        <v>Laboratory Technician</v>
      </c>
      <c r="E1327" s="2" t="n">
        <f aca="false">'Raw Data'!Q1327</f>
        <v>6</v>
      </c>
      <c r="F1327" s="2" t="n">
        <f aca="false">'Raw Data'!U1327</f>
        <v>2</v>
      </c>
      <c r="G1327" s="2" t="n">
        <f aca="false">'Raw Data'!W1327</f>
        <v>3</v>
      </c>
      <c r="H1327" s="2" t="n">
        <f aca="false">'Raw Data'!V1327</f>
        <v>2</v>
      </c>
      <c r="I1327" s="2" t="n">
        <f aca="false">IF(AND(ISNUMBER(B1327),B1327&lt;=25),2,0)+IF(AND(ISNUMBER(E1327),E1327&lt;=5),2,0)+IF(AND(ISNUMBER(F1327),F1327&lt;=1),2,0)+IF(AND(ISNUMBER(G1327),G1327&lt;=2),1,0)+IF(AND(ISNUMBER(H1327),H1327&lt;=2),1,0)</f>
        <v>3</v>
      </c>
      <c r="J1327" s="2" t="str">
        <f aca="false">IF(I1327&gt;=6,"High",IF(I1327&gt;=3,"Medium","Low"))</f>
        <v>Medium</v>
      </c>
    </row>
    <row r="1328" customFormat="false" ht="15" hidden="false" customHeight="true" outlineLevel="0" collapsed="false">
      <c r="A1328" s="2" t="n">
        <f aca="false">'Raw Data'!H1328</f>
        <v>1327</v>
      </c>
      <c r="B1328" s="2" t="n">
        <f aca="false">'Raw Data'!A1328</f>
        <v>34</v>
      </c>
      <c r="C1328" s="2" t="str">
        <f aca="false">'Raw Data'!D1328</f>
        <v>Sales</v>
      </c>
      <c r="D1328" s="2" t="str">
        <f aca="false">'Raw Data'!K1328</f>
        <v>Sales Representative</v>
      </c>
      <c r="E1328" s="2" t="n">
        <f aca="false">'Raw Data'!Q1328</f>
        <v>12</v>
      </c>
      <c r="F1328" s="2" t="n">
        <f aca="false">'Raw Data'!U1328</f>
        <v>0</v>
      </c>
      <c r="G1328" s="2" t="n">
        <f aca="false">'Raw Data'!W1328</f>
        <v>2</v>
      </c>
      <c r="H1328" s="2" t="n">
        <f aca="false">'Raw Data'!V1328</f>
        <v>3</v>
      </c>
      <c r="I1328" s="2" t="n">
        <f aca="false">IF(AND(ISNUMBER(B1328),B1328&lt;=25),2,0)+IF(AND(ISNUMBER(E1328),E1328&lt;=5),2,0)+IF(AND(ISNUMBER(F1328),F1328&lt;=1),2,0)+IF(AND(ISNUMBER(G1328),G1328&lt;=2),1,0)+IF(AND(ISNUMBER(H1328),H1328&lt;=2),1,0)</f>
        <v>3</v>
      </c>
      <c r="J1328" s="2" t="str">
        <f aca="false">IF(I1328&gt;=6,"High",IF(I1328&gt;=3,"Medium","Low"))</f>
        <v>Medium</v>
      </c>
    </row>
    <row r="1329" customFormat="false" ht="15" hidden="false" customHeight="true" outlineLevel="0" collapsed="false">
      <c r="A1329" s="2" t="n">
        <f aca="false">'Raw Data'!H1329</f>
        <v>1328</v>
      </c>
      <c r="B1329" s="2" t="n">
        <f aca="false">'Raw Data'!A1329</f>
        <v>37</v>
      </c>
      <c r="C1329" s="2" t="str">
        <f aca="false">'Raw Data'!D1329</f>
        <v>Sales</v>
      </c>
      <c r="D1329" s="2" t="str">
        <f aca="false">'Raw Data'!K1329</f>
        <v>Laboratory Technician</v>
      </c>
      <c r="E1329" s="2" t="n">
        <f aca="false">'Raw Data'!Q1329</f>
        <v>12</v>
      </c>
      <c r="F1329" s="2" t="n">
        <f aca="false">'Raw Data'!U1329</f>
        <v>3</v>
      </c>
      <c r="G1329" s="2" t="n">
        <f aca="false">'Raw Data'!W1329</f>
        <v>4</v>
      </c>
      <c r="H1329" s="2" t="n">
        <f aca="false">'Raw Data'!V1329</f>
        <v>3</v>
      </c>
      <c r="I1329" s="2" t="n">
        <f aca="false">IF(AND(ISNUMBER(B1329),B1329&lt;=25),2,0)+IF(AND(ISNUMBER(E1329),E1329&lt;=5),2,0)+IF(AND(ISNUMBER(F1329),F1329&lt;=1),2,0)+IF(AND(ISNUMBER(G1329),G1329&lt;=2),1,0)+IF(AND(ISNUMBER(H1329),H1329&lt;=2),1,0)</f>
        <v>0</v>
      </c>
      <c r="J1329" s="2" t="str">
        <f aca="false">IF(I1329&gt;=6,"High",IF(I1329&gt;=3,"Medium","Low"))</f>
        <v>Low</v>
      </c>
    </row>
    <row r="1330" customFormat="false" ht="15" hidden="false" customHeight="true" outlineLevel="0" collapsed="false">
      <c r="A1330" s="2" t="n">
        <f aca="false">'Raw Data'!H1330</f>
        <v>1329</v>
      </c>
      <c r="B1330" s="2" t="n">
        <f aca="false">'Raw Data'!A1330</f>
        <v>34</v>
      </c>
      <c r="C1330" s="2" t="str">
        <f aca="false">'Raw Data'!D1330</f>
        <v>Sales</v>
      </c>
      <c r="D1330" s="2" t="str">
        <f aca="false">'Raw Data'!K1330</f>
        <v>Healthcare Representative</v>
      </c>
      <c r="E1330" s="2" t="n">
        <f aca="false">'Raw Data'!Q1330</f>
        <v>14</v>
      </c>
      <c r="F1330" s="2" t="n">
        <f aca="false">'Raw Data'!U1330</f>
        <v>8</v>
      </c>
      <c r="G1330" s="2" t="n">
        <f aca="false">'Raw Data'!W1330</f>
        <v>1</v>
      </c>
      <c r="H1330" s="2" t="n">
        <f aca="false">'Raw Data'!V1330</f>
        <v>3</v>
      </c>
      <c r="I1330" s="2" t="n">
        <f aca="false">IF(AND(ISNUMBER(B1330),B1330&lt;=25),2,0)+IF(AND(ISNUMBER(E1330),E1330&lt;=5),2,0)+IF(AND(ISNUMBER(F1330),F1330&lt;=1),2,0)+IF(AND(ISNUMBER(G1330),G1330&lt;=2),1,0)+IF(AND(ISNUMBER(H1330),H1330&lt;=2),1,0)</f>
        <v>1</v>
      </c>
      <c r="J1330" s="2" t="str">
        <f aca="false">IF(I1330&gt;=6,"High",IF(I1330&gt;=3,"Medium","Low"))</f>
        <v>Low</v>
      </c>
    </row>
    <row r="1331" customFormat="false" ht="15" hidden="false" customHeight="true" outlineLevel="0" collapsed="false">
      <c r="A1331" s="2" t="n">
        <f aca="false">'Raw Data'!H1331</f>
        <v>1330</v>
      </c>
      <c r="B1331" s="2" t="n">
        <f aca="false">'Raw Data'!A1331</f>
        <v>36</v>
      </c>
      <c r="C1331" s="2" t="str">
        <f aca="false">'Raw Data'!D1331</f>
        <v>Human Resources</v>
      </c>
      <c r="D1331" s="2" t="str">
        <f aca="false">'Raw Data'!K1331</f>
        <v>Research Scientist</v>
      </c>
      <c r="E1331" s="2" t="n">
        <f aca="false">'Raw Data'!Q1331</f>
        <v>10</v>
      </c>
      <c r="F1331" s="2" t="n">
        <f aca="false">'Raw Data'!U1331</f>
        <v>8</v>
      </c>
      <c r="G1331" s="2" t="n">
        <f aca="false">'Raw Data'!W1331</f>
        <v>4</v>
      </c>
      <c r="H1331" s="2" t="n">
        <f aca="false">'Raw Data'!V1331</f>
        <v>2</v>
      </c>
      <c r="I1331" s="2" t="n">
        <f aca="false">IF(AND(ISNUMBER(B1331),B1331&lt;=25),2,0)+IF(AND(ISNUMBER(E1331),E1331&lt;=5),2,0)+IF(AND(ISNUMBER(F1331),F1331&lt;=1),2,0)+IF(AND(ISNUMBER(G1331),G1331&lt;=2),1,0)+IF(AND(ISNUMBER(H1331),H1331&lt;=2),1,0)</f>
        <v>1</v>
      </c>
      <c r="J1331" s="2" t="str">
        <f aca="false">IF(I1331&gt;=6,"High",IF(I1331&gt;=3,"Medium","Low"))</f>
        <v>Low</v>
      </c>
    </row>
    <row r="1332" customFormat="false" ht="15" hidden="false" customHeight="true" outlineLevel="0" collapsed="false">
      <c r="A1332" s="2" t="n">
        <f aca="false">'Raw Data'!H1332</f>
        <v>1331</v>
      </c>
      <c r="B1332" s="2" t="n">
        <f aca="false">'Raw Data'!A1332</f>
        <v>36</v>
      </c>
      <c r="C1332" s="2" t="str">
        <f aca="false">'Raw Data'!D1332</f>
        <v>Research &amp; Development</v>
      </c>
      <c r="D1332" s="2" t="str">
        <f aca="false">'Raw Data'!K1332</f>
        <v>Manufacturing Director</v>
      </c>
      <c r="E1332" s="2" t="n">
        <f aca="false">'Raw Data'!Q1332</f>
        <v>7</v>
      </c>
      <c r="F1332" s="2" t="n">
        <f aca="false">'Raw Data'!U1332</f>
        <v>0</v>
      </c>
      <c r="G1332" s="2" t="n">
        <f aca="false">'Raw Data'!W1332</f>
        <v>4</v>
      </c>
      <c r="H1332" s="2" t="n">
        <f aca="false">'Raw Data'!V1332</f>
        <v>1</v>
      </c>
      <c r="I1332" s="2" t="n">
        <f aca="false">IF(AND(ISNUMBER(B1332),B1332&lt;=25),2,0)+IF(AND(ISNUMBER(E1332),E1332&lt;=5),2,0)+IF(AND(ISNUMBER(F1332),F1332&lt;=1),2,0)+IF(AND(ISNUMBER(G1332),G1332&lt;=2),1,0)+IF(AND(ISNUMBER(H1332),H1332&lt;=2),1,0)</f>
        <v>3</v>
      </c>
      <c r="J1332" s="2" t="str">
        <f aca="false">IF(I1332&gt;=6,"High",IF(I1332&gt;=3,"Medium","Low"))</f>
        <v>Medium</v>
      </c>
    </row>
    <row r="1333" customFormat="false" ht="15" hidden="false" customHeight="true" outlineLevel="0" collapsed="false">
      <c r="A1333" s="2" t="n">
        <f aca="false">'Raw Data'!H1333</f>
        <v>1332</v>
      </c>
      <c r="B1333" s="2" t="n">
        <f aca="false">'Raw Data'!A1333</f>
        <v>43</v>
      </c>
      <c r="C1333" s="2" t="str">
        <f aca="false">'Raw Data'!D1333</f>
        <v>Research &amp; Development</v>
      </c>
      <c r="D1333" s="2" t="str">
        <f aca="false">'Raw Data'!K1333</f>
        <v>Sales Executive</v>
      </c>
      <c r="E1333" s="2" t="n">
        <f aca="false">'Raw Data'!Q1333</f>
        <v>25</v>
      </c>
      <c r="F1333" s="2" t="n">
        <f aca="false">'Raw Data'!U1333</f>
        <v>12</v>
      </c>
      <c r="G1333" s="2" t="n">
        <f aca="false">'Raw Data'!W1333</f>
        <v>4</v>
      </c>
      <c r="H1333" s="2" t="n">
        <f aca="false">'Raw Data'!V1333</f>
        <v>3</v>
      </c>
      <c r="I1333" s="2" t="n">
        <f aca="false">IF(AND(ISNUMBER(B1333),B1333&lt;=25),2,0)+IF(AND(ISNUMBER(E1333),E1333&lt;=5),2,0)+IF(AND(ISNUMBER(F1333),F1333&lt;=1),2,0)+IF(AND(ISNUMBER(G1333),G1333&lt;=2),1,0)+IF(AND(ISNUMBER(H1333),H1333&lt;=2),1,0)</f>
        <v>0</v>
      </c>
      <c r="J1333" s="2" t="str">
        <f aca="false">IF(I1333&gt;=6,"High",IF(I1333&gt;=3,"Medium","Low"))</f>
        <v>Low</v>
      </c>
    </row>
    <row r="1334" customFormat="false" ht="15" hidden="false" customHeight="true" outlineLevel="0" collapsed="false">
      <c r="A1334" s="2" t="n">
        <f aca="false">'Raw Data'!H1334</f>
        <v>1333</v>
      </c>
      <c r="B1334" s="2" t="n">
        <f aca="false">'Raw Data'!A1334</f>
        <v>30</v>
      </c>
      <c r="C1334" s="2" t="str">
        <f aca="false">'Raw Data'!D1334</f>
        <v>Research &amp; Development</v>
      </c>
      <c r="D1334" s="2" t="str">
        <f aca="false">'Raw Data'!K1334</f>
        <v>Healthcare Representative</v>
      </c>
      <c r="E1334" s="2" t="n">
        <f aca="false">'Raw Data'!Q1334</f>
        <v>10</v>
      </c>
      <c r="F1334" s="2" t="n">
        <f aca="false">'Raw Data'!U1334</f>
        <v>9</v>
      </c>
      <c r="G1334" s="2" t="n">
        <f aca="false">'Raw Data'!W1334</f>
        <v>3</v>
      </c>
      <c r="H1334" s="2" t="n">
        <f aca="false">'Raw Data'!V1334</f>
        <v>1</v>
      </c>
      <c r="I1334" s="2" t="n">
        <f aca="false">IF(AND(ISNUMBER(B1334),B1334&lt;=25),2,0)+IF(AND(ISNUMBER(E1334),E1334&lt;=5),2,0)+IF(AND(ISNUMBER(F1334),F1334&lt;=1),2,0)+IF(AND(ISNUMBER(G1334),G1334&lt;=2),1,0)+IF(AND(ISNUMBER(H1334),H1334&lt;=2),1,0)</f>
        <v>1</v>
      </c>
      <c r="J1334" s="2" t="str">
        <f aca="false">IF(I1334&gt;=6,"High",IF(I1334&gt;=3,"Medium","Low"))</f>
        <v>Low</v>
      </c>
    </row>
    <row r="1335" customFormat="false" ht="15" hidden="false" customHeight="true" outlineLevel="0" collapsed="false">
      <c r="A1335" s="2" t="n">
        <f aca="false">'Raw Data'!H1335</f>
        <v>1334</v>
      </c>
      <c r="B1335" s="2" t="n">
        <f aca="false">'Raw Data'!A1335</f>
        <v>33</v>
      </c>
      <c r="C1335" s="2" t="str">
        <f aca="false">'Raw Data'!D1335</f>
        <v>Sales</v>
      </c>
      <c r="D1335" s="2" t="str">
        <f aca="false">'Raw Data'!K1335</f>
        <v>Sales Executive</v>
      </c>
      <c r="E1335" s="2" t="n">
        <f aca="false">'Raw Data'!Q1335</f>
        <v>8</v>
      </c>
      <c r="F1335" s="2" t="n">
        <f aca="false">'Raw Data'!U1335</f>
        <v>7</v>
      </c>
      <c r="G1335" s="2" t="n">
        <f aca="false">'Raw Data'!W1335</f>
        <v>2</v>
      </c>
      <c r="H1335" s="2" t="n">
        <f aca="false">'Raw Data'!V1335</f>
        <v>3</v>
      </c>
      <c r="I1335" s="2" t="n">
        <f aca="false">IF(AND(ISNUMBER(B1335),B1335&lt;=25),2,0)+IF(AND(ISNUMBER(E1335),E1335&lt;=5),2,0)+IF(AND(ISNUMBER(F1335),F1335&lt;=1),2,0)+IF(AND(ISNUMBER(G1335),G1335&lt;=2),1,0)+IF(AND(ISNUMBER(H1335),H1335&lt;=2),1,0)</f>
        <v>1</v>
      </c>
      <c r="J1335" s="2" t="str">
        <f aca="false">IF(I1335&gt;=6,"High",IF(I1335&gt;=3,"Medium","Low"))</f>
        <v>Low</v>
      </c>
    </row>
    <row r="1336" customFormat="false" ht="15" hidden="false" customHeight="true" outlineLevel="0" collapsed="false">
      <c r="A1336" s="2" t="n">
        <f aca="false">'Raw Data'!H1336</f>
        <v>1335</v>
      </c>
      <c r="B1336" s="2" t="n">
        <f aca="false">'Raw Data'!A1336</f>
        <v>56</v>
      </c>
      <c r="C1336" s="2" t="str">
        <f aca="false">'Raw Data'!D1336</f>
        <v>Research &amp; Development</v>
      </c>
      <c r="D1336" s="2" t="str">
        <f aca="false">'Raw Data'!K1336</f>
        <v>Laboratory Technician</v>
      </c>
      <c r="E1336" s="2" t="n">
        <f aca="false">'Raw Data'!Q1336</f>
        <v>7</v>
      </c>
      <c r="F1336" s="2" t="n">
        <f aca="false">'Raw Data'!U1336</f>
        <v>3</v>
      </c>
      <c r="G1336" s="2" t="n">
        <f aca="false">'Raw Data'!W1336</f>
        <v>2</v>
      </c>
      <c r="H1336" s="2" t="n">
        <f aca="false">'Raw Data'!V1336</f>
        <v>2</v>
      </c>
      <c r="I1336" s="2" t="n">
        <f aca="false">IF(AND(ISNUMBER(B1336),B1336&lt;=25),2,0)+IF(AND(ISNUMBER(E1336),E1336&lt;=5),2,0)+IF(AND(ISNUMBER(F1336),F1336&lt;=1),2,0)+IF(AND(ISNUMBER(G1336),G1336&lt;=2),1,0)+IF(AND(ISNUMBER(H1336),H1336&lt;=2),1,0)</f>
        <v>2</v>
      </c>
      <c r="J1336" s="2" t="str">
        <f aca="false">IF(I1336&gt;=6,"High",IF(I1336&gt;=3,"Medium","Low"))</f>
        <v>Low</v>
      </c>
    </row>
    <row r="1337" customFormat="false" ht="15" hidden="false" customHeight="true" outlineLevel="0" collapsed="false">
      <c r="A1337" s="2" t="n">
        <f aca="false">'Raw Data'!H1337</f>
        <v>1336</v>
      </c>
      <c r="B1337" s="2" t="n">
        <f aca="false">'Raw Data'!A1337</f>
        <v>51</v>
      </c>
      <c r="C1337" s="2" t="str">
        <f aca="false">'Raw Data'!D1337</f>
        <v>Research &amp; Development</v>
      </c>
      <c r="D1337" s="2" t="str">
        <f aca="false">'Raw Data'!K1337</f>
        <v>Sales Representative</v>
      </c>
      <c r="E1337" s="2" t="n">
        <f aca="false">'Raw Data'!Q1337</f>
        <v>23</v>
      </c>
      <c r="F1337" s="2" t="n">
        <f aca="false">'Raw Data'!U1337</f>
        <v>15</v>
      </c>
      <c r="G1337" s="2" t="n">
        <f aca="false">'Raw Data'!W1337</f>
        <v>3</v>
      </c>
      <c r="H1337" s="2" t="n">
        <f aca="false">'Raw Data'!V1337</f>
        <v>1</v>
      </c>
      <c r="I1337" s="2" t="n">
        <f aca="false">IF(AND(ISNUMBER(B1337),B1337&lt;=25),2,0)+IF(AND(ISNUMBER(E1337),E1337&lt;=5),2,0)+IF(AND(ISNUMBER(F1337),F1337&lt;=1),2,0)+IF(AND(ISNUMBER(G1337),G1337&lt;=2),1,0)+IF(AND(ISNUMBER(H1337),H1337&lt;=2),1,0)</f>
        <v>1</v>
      </c>
      <c r="J1337" s="2" t="str">
        <f aca="false">IF(I1337&gt;=6,"High",IF(I1337&gt;=3,"Medium","Low"))</f>
        <v>Low</v>
      </c>
    </row>
    <row r="1338" customFormat="false" ht="15" hidden="false" customHeight="true" outlineLevel="0" collapsed="false">
      <c r="A1338" s="2" t="n">
        <f aca="false">'Raw Data'!H1338</f>
        <v>1337</v>
      </c>
      <c r="B1338" s="2" t="n">
        <f aca="false">'Raw Data'!A1338</f>
        <v>31</v>
      </c>
      <c r="C1338" s="2" t="str">
        <f aca="false">'Raw Data'!D1338</f>
        <v>Research &amp; Development</v>
      </c>
      <c r="D1338" s="2" t="str">
        <f aca="false">'Raw Data'!K1338</f>
        <v>Sales Executive</v>
      </c>
      <c r="E1338" s="2" t="n">
        <f aca="false">'Raw Data'!Q1338</f>
        <v>12</v>
      </c>
      <c r="F1338" s="2" t="n">
        <f aca="false">'Raw Data'!U1338</f>
        <v>7</v>
      </c>
      <c r="G1338" s="2" t="n">
        <f aca="false">'Raw Data'!W1338</f>
        <v>3</v>
      </c>
      <c r="H1338" s="2" t="n">
        <f aca="false">'Raw Data'!V1338</f>
        <v>2</v>
      </c>
      <c r="I1338" s="2" t="n">
        <f aca="false">IF(AND(ISNUMBER(B1338),B1338&lt;=25),2,0)+IF(AND(ISNUMBER(E1338),E1338&lt;=5),2,0)+IF(AND(ISNUMBER(F1338),F1338&lt;=1),2,0)+IF(AND(ISNUMBER(G1338),G1338&lt;=2),1,0)+IF(AND(ISNUMBER(H1338),H1338&lt;=2),1,0)</f>
        <v>1</v>
      </c>
      <c r="J1338" s="2" t="str">
        <f aca="false">IF(I1338&gt;=6,"High",IF(I1338&gt;=3,"Medium","Low"))</f>
        <v>Low</v>
      </c>
    </row>
    <row r="1339" customFormat="false" ht="15" hidden="false" customHeight="true" outlineLevel="0" collapsed="false">
      <c r="A1339" s="2" t="n">
        <f aca="false">'Raw Data'!H1339</f>
        <v>1338</v>
      </c>
      <c r="B1339" s="2" t="n">
        <f aca="false">'Raw Data'!A1339</f>
        <v>26</v>
      </c>
      <c r="C1339" s="2" t="str">
        <f aca="false">'Raw Data'!D1339</f>
        <v>Sales</v>
      </c>
      <c r="D1339" s="2" t="str">
        <f aca="false">'Raw Data'!K1339</f>
        <v>Manager</v>
      </c>
      <c r="E1339" s="2" t="n">
        <f aca="false">'Raw Data'!Q1339</f>
        <v>5</v>
      </c>
      <c r="F1339" s="2" t="n">
        <f aca="false">'Raw Data'!U1339</f>
        <v>3</v>
      </c>
      <c r="G1339" s="2" t="n">
        <f aca="false">'Raw Data'!W1339</f>
        <v>2</v>
      </c>
      <c r="H1339" s="2" t="n">
        <f aca="false">'Raw Data'!V1339</f>
        <v>3</v>
      </c>
      <c r="I1339" s="2" t="n">
        <f aca="false">IF(AND(ISNUMBER(B1339),B1339&lt;=25),2,0)+IF(AND(ISNUMBER(E1339),E1339&lt;=5),2,0)+IF(AND(ISNUMBER(F1339),F1339&lt;=1),2,0)+IF(AND(ISNUMBER(G1339),G1339&lt;=2),1,0)+IF(AND(ISNUMBER(H1339),H1339&lt;=2),1,0)</f>
        <v>3</v>
      </c>
      <c r="J1339" s="2" t="str">
        <f aca="false">IF(I1339&gt;=6,"High",IF(I1339&gt;=3,"Medium","Low"))</f>
        <v>Medium</v>
      </c>
    </row>
    <row r="1340" customFormat="false" ht="15" hidden="false" customHeight="true" outlineLevel="0" collapsed="false">
      <c r="A1340" s="2" t="n">
        <f aca="false">'Raw Data'!H1340</f>
        <v>1339</v>
      </c>
      <c r="B1340" s="2" t="n">
        <f aca="false">'Raw Data'!A1340</f>
        <v>58</v>
      </c>
      <c r="C1340" s="2" t="str">
        <f aca="false">'Raw Data'!D1340</f>
        <v>Sales</v>
      </c>
      <c r="D1340" s="2" t="str">
        <f aca="false">'Raw Data'!K1340</f>
        <v>Research Scientist</v>
      </c>
      <c r="E1340" s="2" t="n">
        <f aca="false">'Raw Data'!Q1340</f>
        <v>40</v>
      </c>
      <c r="F1340" s="2" t="n">
        <f aca="false">'Raw Data'!U1340</f>
        <v>6</v>
      </c>
      <c r="G1340" s="2" t="n">
        <f aca="false">'Raw Data'!W1340</f>
        <v>4</v>
      </c>
      <c r="H1340" s="2" t="n">
        <f aca="false">'Raw Data'!V1340</f>
        <v>4</v>
      </c>
      <c r="I1340" s="2" t="n">
        <f aca="false">IF(AND(ISNUMBER(B1340),B1340&lt;=25),2,0)+IF(AND(ISNUMBER(E1340),E1340&lt;=5),2,0)+IF(AND(ISNUMBER(F1340),F1340&lt;=1),2,0)+IF(AND(ISNUMBER(G1340),G1340&lt;=2),1,0)+IF(AND(ISNUMBER(H1340),H1340&lt;=2),1,0)</f>
        <v>0</v>
      </c>
      <c r="J1340" s="2" t="str">
        <f aca="false">IF(I1340&gt;=6,"High",IF(I1340&gt;=3,"Medium","Low"))</f>
        <v>Low</v>
      </c>
    </row>
    <row r="1341" customFormat="false" ht="15" hidden="false" customHeight="true" outlineLevel="0" collapsed="false">
      <c r="A1341" s="2" t="n">
        <f aca="false">'Raw Data'!H1341</f>
        <v>1340</v>
      </c>
      <c r="B1341" s="2" t="n">
        <f aca="false">'Raw Data'!A1341</f>
        <v>19</v>
      </c>
      <c r="C1341" s="2" t="str">
        <f aca="false">'Raw Data'!D1341</f>
        <v>Research &amp; Development</v>
      </c>
      <c r="D1341" s="2" t="str">
        <f aca="false">'Raw Data'!K1341</f>
        <v>Manager</v>
      </c>
      <c r="E1341" s="2" t="n">
        <f aca="false">'Raw Data'!Q1341</f>
        <v>0</v>
      </c>
      <c r="F1341" s="2" t="n">
        <f aca="false">'Raw Data'!U1341</f>
        <v>0</v>
      </c>
      <c r="G1341" s="2" t="n">
        <f aca="false">'Raw Data'!W1341</f>
        <v>3</v>
      </c>
      <c r="H1341" s="2" t="n">
        <f aca="false">'Raw Data'!V1341</f>
        <v>4</v>
      </c>
      <c r="I1341" s="2" t="n">
        <f aca="false">IF(AND(ISNUMBER(B1341),B1341&lt;=25),2,0)+IF(AND(ISNUMBER(E1341),E1341&lt;=5),2,0)+IF(AND(ISNUMBER(F1341),F1341&lt;=1),2,0)+IF(AND(ISNUMBER(G1341),G1341&lt;=2),1,0)+IF(AND(ISNUMBER(H1341),H1341&lt;=2),1,0)</f>
        <v>6</v>
      </c>
      <c r="J1341" s="2" t="str">
        <f aca="false">IF(I1341&gt;=6,"High",IF(I1341&gt;=3,"Medium","Low"))</f>
        <v>High</v>
      </c>
    </row>
    <row r="1342" customFormat="false" ht="15" hidden="false" customHeight="true" outlineLevel="0" collapsed="false">
      <c r="A1342" s="2" t="n">
        <f aca="false">'Raw Data'!H1342</f>
        <v>1341</v>
      </c>
      <c r="B1342" s="2" t="n">
        <f aca="false">'Raw Data'!A1342</f>
        <v>22</v>
      </c>
      <c r="C1342" s="2" t="str">
        <f aca="false">'Raw Data'!D1342</f>
        <v>Sales</v>
      </c>
      <c r="D1342" s="2" t="str">
        <f aca="false">'Raw Data'!K1342</f>
        <v>Sales Executive</v>
      </c>
      <c r="E1342" s="2" t="n">
        <f aca="false">'Raw Data'!Q1342</f>
        <v>3</v>
      </c>
      <c r="F1342" s="2" t="n">
        <f aca="false">'Raw Data'!U1342</f>
        <v>1</v>
      </c>
      <c r="G1342" s="2" t="n">
        <f aca="false">'Raw Data'!W1342</f>
        <v>4</v>
      </c>
      <c r="H1342" s="2" t="n">
        <f aca="false">'Raw Data'!V1342</f>
        <v>3</v>
      </c>
      <c r="I1342" s="2" t="n">
        <f aca="false">IF(AND(ISNUMBER(B1342),B1342&lt;=25),2,0)+IF(AND(ISNUMBER(E1342),E1342&lt;=5),2,0)+IF(AND(ISNUMBER(F1342),F1342&lt;=1),2,0)+IF(AND(ISNUMBER(G1342),G1342&lt;=2),1,0)+IF(AND(ISNUMBER(H1342),H1342&lt;=2),1,0)</f>
        <v>6</v>
      </c>
      <c r="J1342" s="2" t="str">
        <f aca="false">IF(I1342&gt;=6,"High",IF(I1342&gt;=3,"Medium","Low"))</f>
        <v>High</v>
      </c>
    </row>
    <row r="1343" customFormat="false" ht="15" hidden="false" customHeight="true" outlineLevel="0" collapsed="false">
      <c r="A1343" s="2" t="n">
        <f aca="false">'Raw Data'!H1343</f>
        <v>1342</v>
      </c>
      <c r="B1343" s="2" t="n">
        <f aca="false">'Raw Data'!A1343</f>
        <v>49</v>
      </c>
      <c r="C1343" s="2" t="str">
        <f aca="false">'Raw Data'!D1343</f>
        <v>Research &amp; Development</v>
      </c>
      <c r="D1343" s="2" t="str">
        <f aca="false">'Raw Data'!K1343</f>
        <v>Sales Executive</v>
      </c>
      <c r="E1343" s="2" t="n">
        <f aca="false">'Raw Data'!Q1343</f>
        <v>16</v>
      </c>
      <c r="F1343" s="2" t="n">
        <f aca="false">'Raw Data'!U1343</f>
        <v>11</v>
      </c>
      <c r="G1343" s="2" t="n">
        <f aca="false">'Raw Data'!W1343</f>
        <v>1</v>
      </c>
      <c r="H1343" s="2" t="n">
        <f aca="false">'Raw Data'!V1343</f>
        <v>3</v>
      </c>
      <c r="I1343" s="2" t="n">
        <f aca="false">IF(AND(ISNUMBER(B1343),B1343&lt;=25),2,0)+IF(AND(ISNUMBER(E1343),E1343&lt;=5),2,0)+IF(AND(ISNUMBER(F1343),F1343&lt;=1),2,0)+IF(AND(ISNUMBER(G1343),G1343&lt;=2),1,0)+IF(AND(ISNUMBER(H1343),H1343&lt;=2),1,0)</f>
        <v>1</v>
      </c>
      <c r="J1343" s="2" t="str">
        <f aca="false">IF(I1343&gt;=6,"High",IF(I1343&gt;=3,"Medium","Low"))</f>
        <v>Low</v>
      </c>
    </row>
    <row r="1344" customFormat="false" ht="15" hidden="false" customHeight="true" outlineLevel="0" collapsed="false">
      <c r="A1344" s="2" t="n">
        <f aca="false">'Raw Data'!H1344</f>
        <v>1343</v>
      </c>
      <c r="B1344" s="2" t="n">
        <f aca="false">'Raw Data'!A1344</f>
        <v>43</v>
      </c>
      <c r="C1344" s="2" t="str">
        <f aca="false">'Raw Data'!D1344</f>
        <v>Sales</v>
      </c>
      <c r="D1344" s="2" t="str">
        <f aca="false">'Raw Data'!K1344</f>
        <v>Sales Executive</v>
      </c>
      <c r="E1344" s="2" t="n">
        <f aca="false">'Raw Data'!Q1344</f>
        <v>18</v>
      </c>
      <c r="F1344" s="2" t="n">
        <f aca="false">'Raw Data'!U1344</f>
        <v>2</v>
      </c>
      <c r="G1344" s="2" t="n">
        <f aca="false">'Raw Data'!W1344</f>
        <v>3</v>
      </c>
      <c r="H1344" s="2" t="n">
        <f aca="false">'Raw Data'!V1344</f>
        <v>2</v>
      </c>
      <c r="I1344" s="2" t="n">
        <f aca="false">IF(AND(ISNUMBER(B1344),B1344&lt;=25),2,0)+IF(AND(ISNUMBER(E1344),E1344&lt;=5),2,0)+IF(AND(ISNUMBER(F1344),F1344&lt;=1),2,0)+IF(AND(ISNUMBER(G1344),G1344&lt;=2),1,0)+IF(AND(ISNUMBER(H1344),H1344&lt;=2),1,0)</f>
        <v>1</v>
      </c>
      <c r="J1344" s="2" t="str">
        <f aca="false">IF(I1344&gt;=6,"High",IF(I1344&gt;=3,"Medium","Low"))</f>
        <v>Low</v>
      </c>
    </row>
    <row r="1345" customFormat="false" ht="15" hidden="false" customHeight="true" outlineLevel="0" collapsed="false">
      <c r="A1345" s="2" t="n">
        <f aca="false">'Raw Data'!H1345</f>
        <v>1344</v>
      </c>
      <c r="B1345" s="2" t="n">
        <f aca="false">'Raw Data'!A1345</f>
        <v>50</v>
      </c>
      <c r="C1345" s="2" t="str">
        <f aca="false">'Raw Data'!D1345</f>
        <v>Research &amp; Development</v>
      </c>
      <c r="D1345" s="2" t="str">
        <f aca="false">'Raw Data'!K1345</f>
        <v>Sales Executive</v>
      </c>
      <c r="E1345" s="2" t="n">
        <f aca="false">'Raw Data'!Q1345</f>
        <v>16</v>
      </c>
      <c r="F1345" s="2" t="n">
        <f aca="false">'Raw Data'!U1345</f>
        <v>1</v>
      </c>
      <c r="G1345" s="2" t="n">
        <f aca="false">'Raw Data'!W1345</f>
        <v>4</v>
      </c>
      <c r="H1345" s="2" t="n">
        <f aca="false">'Raw Data'!V1345</f>
        <v>3</v>
      </c>
      <c r="I1345" s="2" t="n">
        <f aca="false">IF(AND(ISNUMBER(B1345),B1345&lt;=25),2,0)+IF(AND(ISNUMBER(E1345),E1345&lt;=5),2,0)+IF(AND(ISNUMBER(F1345),F1345&lt;=1),2,0)+IF(AND(ISNUMBER(G1345),G1345&lt;=2),1,0)+IF(AND(ISNUMBER(H1345),H1345&lt;=2),1,0)</f>
        <v>2</v>
      </c>
      <c r="J1345" s="2" t="str">
        <f aca="false">IF(I1345&gt;=6,"High",IF(I1345&gt;=3,"Medium","Low"))</f>
        <v>Low</v>
      </c>
    </row>
    <row r="1346" customFormat="false" ht="15" hidden="false" customHeight="true" outlineLevel="0" collapsed="false">
      <c r="A1346" s="2" t="n">
        <f aca="false">'Raw Data'!H1346</f>
        <v>1345</v>
      </c>
      <c r="B1346" s="2" t="n">
        <f aca="false">'Raw Data'!A1346</f>
        <v>31</v>
      </c>
      <c r="C1346" s="2" t="str">
        <f aca="false">'Raw Data'!D1346</f>
        <v>Research &amp; Development</v>
      </c>
      <c r="D1346" s="2" t="str">
        <f aca="false">'Raw Data'!K1346</f>
        <v>Sales Executive</v>
      </c>
      <c r="E1346" s="2" t="n">
        <f aca="false">'Raw Data'!Q1346</f>
        <v>4</v>
      </c>
      <c r="F1346" s="2" t="n">
        <f aca="false">'Raw Data'!U1346</f>
        <v>2</v>
      </c>
      <c r="G1346" s="2" t="n">
        <f aca="false">'Raw Data'!W1346</f>
        <v>3</v>
      </c>
      <c r="H1346" s="2" t="n">
        <f aca="false">'Raw Data'!V1346</f>
        <v>2</v>
      </c>
      <c r="I1346" s="2" t="n">
        <f aca="false">IF(AND(ISNUMBER(B1346),B1346&lt;=25),2,0)+IF(AND(ISNUMBER(E1346),E1346&lt;=5),2,0)+IF(AND(ISNUMBER(F1346),F1346&lt;=1),2,0)+IF(AND(ISNUMBER(G1346),G1346&lt;=2),1,0)+IF(AND(ISNUMBER(H1346),H1346&lt;=2),1,0)</f>
        <v>3</v>
      </c>
      <c r="J1346" s="2" t="str">
        <f aca="false">IF(I1346&gt;=6,"High",IF(I1346&gt;=3,"Medium","Low"))</f>
        <v>Medium</v>
      </c>
    </row>
    <row r="1347" customFormat="false" ht="15" hidden="false" customHeight="true" outlineLevel="0" collapsed="false">
      <c r="A1347" s="2" t="n">
        <f aca="false">'Raw Data'!H1347</f>
        <v>1346</v>
      </c>
      <c r="B1347" s="2" t="n">
        <f aca="false">'Raw Data'!A1347</f>
        <v>41</v>
      </c>
      <c r="C1347" s="2" t="str">
        <f aca="false">'Raw Data'!D1347</f>
        <v>Research &amp; Development</v>
      </c>
      <c r="D1347" s="2" t="str">
        <f aca="false">'Raw Data'!K1347</f>
        <v>Manufacturing Director</v>
      </c>
      <c r="E1347" s="2" t="n">
        <f aca="false">'Raw Data'!Q1347</f>
        <v>12</v>
      </c>
      <c r="F1347" s="2" t="n">
        <f aca="false">'Raw Data'!U1347</f>
        <v>7</v>
      </c>
      <c r="G1347" s="2" t="n">
        <f aca="false">'Raw Data'!W1347</f>
        <v>3</v>
      </c>
      <c r="H1347" s="2" t="n">
        <f aca="false">'Raw Data'!V1347</f>
        <v>3</v>
      </c>
      <c r="I1347" s="2" t="n">
        <f aca="false">IF(AND(ISNUMBER(B1347),B1347&lt;=25),2,0)+IF(AND(ISNUMBER(E1347),E1347&lt;=5),2,0)+IF(AND(ISNUMBER(F1347),F1347&lt;=1),2,0)+IF(AND(ISNUMBER(G1347),G1347&lt;=2),1,0)+IF(AND(ISNUMBER(H1347),H1347&lt;=2),1,0)</f>
        <v>0</v>
      </c>
      <c r="J1347" s="2" t="str">
        <f aca="false">IF(I1347&gt;=6,"High",IF(I1347&gt;=3,"Medium","Low"))</f>
        <v>Low</v>
      </c>
    </row>
    <row r="1348" customFormat="false" ht="15" hidden="false" customHeight="true" outlineLevel="0" collapsed="false">
      <c r="A1348" s="2" t="n">
        <f aca="false">'Raw Data'!H1348</f>
        <v>1347</v>
      </c>
      <c r="B1348" s="2" t="n">
        <f aca="false">'Raw Data'!A1348</f>
        <v>26</v>
      </c>
      <c r="C1348" s="2" t="str">
        <f aca="false">'Raw Data'!D1348</f>
        <v>Research &amp; Development</v>
      </c>
      <c r="D1348" s="2" t="str">
        <f aca="false">'Raw Data'!K1348</f>
        <v>Sales Executive</v>
      </c>
      <c r="E1348" s="2" t="n">
        <f aca="false">'Raw Data'!Q1348</f>
        <v>8</v>
      </c>
      <c r="F1348" s="2" t="n">
        <f aca="false">'Raw Data'!U1348</f>
        <v>7</v>
      </c>
      <c r="G1348" s="2" t="n">
        <f aca="false">'Raw Data'!W1348</f>
        <v>3</v>
      </c>
      <c r="H1348" s="2" t="n">
        <f aca="false">'Raw Data'!V1348</f>
        <v>3</v>
      </c>
      <c r="I1348" s="2" t="n">
        <f aca="false">IF(AND(ISNUMBER(B1348),B1348&lt;=25),2,0)+IF(AND(ISNUMBER(E1348),E1348&lt;=5),2,0)+IF(AND(ISNUMBER(F1348),F1348&lt;=1),2,0)+IF(AND(ISNUMBER(G1348),G1348&lt;=2),1,0)+IF(AND(ISNUMBER(H1348),H1348&lt;=2),1,0)</f>
        <v>0</v>
      </c>
      <c r="J1348" s="2" t="str">
        <f aca="false">IF(I1348&gt;=6,"High",IF(I1348&gt;=3,"Medium","Low"))</f>
        <v>Low</v>
      </c>
    </row>
    <row r="1349" customFormat="false" ht="15" hidden="false" customHeight="true" outlineLevel="0" collapsed="false">
      <c r="A1349" s="2" t="n">
        <f aca="false">'Raw Data'!H1349</f>
        <v>1348</v>
      </c>
      <c r="B1349" s="2" t="n">
        <f aca="false">'Raw Data'!A1349</f>
        <v>36</v>
      </c>
      <c r="C1349" s="2" t="str">
        <f aca="false">'Raw Data'!D1349</f>
        <v>Human Resources</v>
      </c>
      <c r="D1349" s="2" t="str">
        <f aca="false">'Raw Data'!K1349</f>
        <v>Research Scientist</v>
      </c>
      <c r="E1349" s="2" t="n">
        <f aca="false">'Raw Data'!Q1349</f>
        <v>7</v>
      </c>
      <c r="F1349" s="2" t="n">
        <f aca="false">'Raw Data'!U1349</f>
        <v>1</v>
      </c>
      <c r="G1349" s="2" t="n">
        <f aca="false">'Raw Data'!W1349</f>
        <v>2</v>
      </c>
      <c r="H1349" s="2" t="n">
        <f aca="false">'Raw Data'!V1349</f>
        <v>2</v>
      </c>
      <c r="I1349" s="2" t="n">
        <f aca="false">IF(AND(ISNUMBER(B1349),B1349&lt;=25),2,0)+IF(AND(ISNUMBER(E1349),E1349&lt;=5),2,0)+IF(AND(ISNUMBER(F1349),F1349&lt;=1),2,0)+IF(AND(ISNUMBER(G1349),G1349&lt;=2),1,0)+IF(AND(ISNUMBER(H1349),H1349&lt;=2),1,0)</f>
        <v>4</v>
      </c>
      <c r="J1349" s="2" t="str">
        <f aca="false">IF(I1349&gt;=6,"High",IF(I1349&gt;=3,"Medium","Low"))</f>
        <v>Medium</v>
      </c>
    </row>
    <row r="1350" customFormat="false" ht="15" hidden="false" customHeight="true" outlineLevel="0" collapsed="false">
      <c r="A1350" s="2" t="n">
        <f aca="false">'Raw Data'!H1350</f>
        <v>1349</v>
      </c>
      <c r="B1350" s="2" t="n">
        <f aca="false">'Raw Data'!A1350</f>
        <v>51</v>
      </c>
      <c r="C1350" s="2" t="str">
        <f aca="false">'Raw Data'!D1350</f>
        <v>Research &amp; Development</v>
      </c>
      <c r="D1350" s="2" t="str">
        <f aca="false">'Raw Data'!K1350</f>
        <v>Manager</v>
      </c>
      <c r="E1350" s="2" t="n">
        <f aca="false">'Raw Data'!Q1350</f>
        <v>18</v>
      </c>
      <c r="F1350" s="2" t="n">
        <f aca="false">'Raw Data'!U1350</f>
        <v>3</v>
      </c>
      <c r="G1350" s="2" t="n">
        <f aca="false">'Raw Data'!W1350</f>
        <v>4</v>
      </c>
      <c r="H1350" s="2" t="n">
        <f aca="false">'Raw Data'!V1350</f>
        <v>1</v>
      </c>
      <c r="I1350" s="2" t="n">
        <f aca="false">IF(AND(ISNUMBER(B1350),B1350&lt;=25),2,0)+IF(AND(ISNUMBER(E1350),E1350&lt;=5),2,0)+IF(AND(ISNUMBER(F1350),F1350&lt;=1),2,0)+IF(AND(ISNUMBER(G1350),G1350&lt;=2),1,0)+IF(AND(ISNUMBER(H1350),H1350&lt;=2),1,0)</f>
        <v>1</v>
      </c>
      <c r="J1350" s="2" t="str">
        <f aca="false">IF(I1350&gt;=6,"High",IF(I1350&gt;=3,"Medium","Low"))</f>
        <v>Low</v>
      </c>
    </row>
    <row r="1351" customFormat="false" ht="15" hidden="false" customHeight="true" outlineLevel="0" collapsed="false">
      <c r="A1351" s="2" t="n">
        <f aca="false">'Raw Data'!H1351</f>
        <v>1350</v>
      </c>
      <c r="B1351" s="2" t="n">
        <f aca="false">'Raw Data'!A1351</f>
        <v>39</v>
      </c>
      <c r="C1351" s="2" t="str">
        <f aca="false">'Raw Data'!D1351</f>
        <v>Research &amp; Development</v>
      </c>
      <c r="D1351" s="2" t="str">
        <f aca="false">'Raw Data'!K1351</f>
        <v>Research Scientist</v>
      </c>
      <c r="E1351" s="2" t="n">
        <f aca="false">'Raw Data'!Q1351</f>
        <v>17</v>
      </c>
      <c r="F1351" s="2" t="n">
        <f aca="false">'Raw Data'!U1351</f>
        <v>9</v>
      </c>
      <c r="G1351" s="2" t="n">
        <f aca="false">'Raw Data'!W1351</f>
        <v>3</v>
      </c>
      <c r="H1351" s="2" t="n">
        <f aca="false">'Raw Data'!V1351</f>
        <v>4</v>
      </c>
      <c r="I1351" s="2" t="n">
        <f aca="false">IF(AND(ISNUMBER(B1351),B1351&lt;=25),2,0)+IF(AND(ISNUMBER(E1351),E1351&lt;=5),2,0)+IF(AND(ISNUMBER(F1351),F1351&lt;=1),2,0)+IF(AND(ISNUMBER(G1351),G1351&lt;=2),1,0)+IF(AND(ISNUMBER(H1351),H1351&lt;=2),1,0)</f>
        <v>0</v>
      </c>
      <c r="J1351" s="2" t="str">
        <f aca="false">IF(I1351&gt;=6,"High",IF(I1351&gt;=3,"Medium","Low"))</f>
        <v>Low</v>
      </c>
    </row>
    <row r="1352" customFormat="false" ht="15" hidden="false" customHeight="true" outlineLevel="0" collapsed="false">
      <c r="A1352" s="2" t="n">
        <f aca="false">'Raw Data'!H1352</f>
        <v>1351</v>
      </c>
      <c r="B1352" s="2" t="n">
        <f aca="false">'Raw Data'!A1352</f>
        <v>25</v>
      </c>
      <c r="C1352" s="2" t="str">
        <f aca="false">'Raw Data'!D1352</f>
        <v>Sales</v>
      </c>
      <c r="D1352" s="2" t="str">
        <f aca="false">'Raw Data'!K1352</f>
        <v>Research Scientist</v>
      </c>
      <c r="E1352" s="2" t="n">
        <f aca="false">'Raw Data'!Q1352</f>
        <v>6</v>
      </c>
      <c r="F1352" s="2" t="n">
        <f aca="false">'Raw Data'!U1352</f>
        <v>2</v>
      </c>
      <c r="G1352" s="2" t="n">
        <f aca="false">'Raw Data'!W1352</f>
        <v>3</v>
      </c>
      <c r="H1352" s="2" t="n">
        <f aca="false">'Raw Data'!V1352</f>
        <v>1</v>
      </c>
      <c r="I1352" s="2" t="n">
        <f aca="false">IF(AND(ISNUMBER(B1352),B1352&lt;=25),2,0)+IF(AND(ISNUMBER(E1352),E1352&lt;=5),2,0)+IF(AND(ISNUMBER(F1352),F1352&lt;=1),2,0)+IF(AND(ISNUMBER(G1352),G1352&lt;=2),1,0)+IF(AND(ISNUMBER(H1352),H1352&lt;=2),1,0)</f>
        <v>3</v>
      </c>
      <c r="J1352" s="2" t="str">
        <f aca="false">IF(I1352&gt;=6,"High",IF(I1352&gt;=3,"Medium","Low"))</f>
        <v>Medium</v>
      </c>
    </row>
    <row r="1353" customFormat="false" ht="15" hidden="false" customHeight="true" outlineLevel="0" collapsed="false">
      <c r="A1353" s="2" t="n">
        <f aca="false">'Raw Data'!H1353</f>
        <v>1352</v>
      </c>
      <c r="B1353" s="2" t="n">
        <f aca="false">'Raw Data'!A1353</f>
        <v>30</v>
      </c>
      <c r="C1353" s="2" t="str">
        <f aca="false">'Raw Data'!D1353</f>
        <v>Research &amp; Development</v>
      </c>
      <c r="D1353" s="2" t="str">
        <f aca="false">'Raw Data'!K1353</f>
        <v>Laboratory Technician</v>
      </c>
      <c r="E1353" s="2" t="n">
        <f aca="false">'Raw Data'!Q1353</f>
        <v>12</v>
      </c>
      <c r="F1353" s="2" t="n">
        <f aca="false">'Raw Data'!U1353</f>
        <v>7</v>
      </c>
      <c r="G1353" s="2" t="n">
        <f aca="false">'Raw Data'!W1353</f>
        <v>4</v>
      </c>
      <c r="H1353" s="2" t="n">
        <f aca="false">'Raw Data'!V1353</f>
        <v>3</v>
      </c>
      <c r="I1353" s="2" t="n">
        <f aca="false">IF(AND(ISNUMBER(B1353),B1353&lt;=25),2,0)+IF(AND(ISNUMBER(E1353),E1353&lt;=5),2,0)+IF(AND(ISNUMBER(F1353),F1353&lt;=1),2,0)+IF(AND(ISNUMBER(G1353),G1353&lt;=2),1,0)+IF(AND(ISNUMBER(H1353),H1353&lt;=2),1,0)</f>
        <v>0</v>
      </c>
      <c r="J1353" s="2" t="str">
        <f aca="false">IF(I1353&gt;=6,"High",IF(I1353&gt;=3,"Medium","Low"))</f>
        <v>Low</v>
      </c>
    </row>
    <row r="1354" customFormat="false" ht="15" hidden="false" customHeight="true" outlineLevel="0" collapsed="false">
      <c r="A1354" s="2" t="n">
        <f aca="false">'Raw Data'!H1354</f>
        <v>1353</v>
      </c>
      <c r="B1354" s="2" t="n">
        <f aca="false">'Raw Data'!A1354</f>
        <v>32</v>
      </c>
      <c r="C1354" s="2" t="str">
        <f aca="false">'Raw Data'!D1354</f>
        <v>Research &amp; Development</v>
      </c>
      <c r="D1354" s="2" t="str">
        <f aca="false">'Raw Data'!K1354</f>
        <v>Research Director</v>
      </c>
      <c r="E1354" s="2" t="n">
        <f aca="false">'Raw Data'!Q1354</f>
        <v>10</v>
      </c>
      <c r="F1354" s="2" t="n">
        <f aca="false">'Raw Data'!U1354</f>
        <v>4</v>
      </c>
      <c r="G1354" s="2" t="n">
        <f aca="false">'Raw Data'!W1354</f>
        <v>1</v>
      </c>
      <c r="H1354" s="2" t="n">
        <f aca="false">'Raw Data'!V1354</f>
        <v>1</v>
      </c>
      <c r="I1354" s="2" t="n">
        <f aca="false">IF(AND(ISNUMBER(B1354),B1354&lt;=25),2,0)+IF(AND(ISNUMBER(E1354),E1354&lt;=5),2,0)+IF(AND(ISNUMBER(F1354),F1354&lt;=1),2,0)+IF(AND(ISNUMBER(G1354),G1354&lt;=2),1,0)+IF(AND(ISNUMBER(H1354),H1354&lt;=2),1,0)</f>
        <v>2</v>
      </c>
      <c r="J1354" s="2" t="str">
        <f aca="false">IF(I1354&gt;=6,"High",IF(I1354&gt;=3,"Medium","Low"))</f>
        <v>Low</v>
      </c>
    </row>
    <row r="1355" customFormat="false" ht="15" hidden="false" customHeight="true" outlineLevel="0" collapsed="false">
      <c r="A1355" s="2" t="n">
        <f aca="false">'Raw Data'!H1355</f>
        <v>1354</v>
      </c>
      <c r="B1355" s="2" t="n">
        <f aca="false">'Raw Data'!A1355</f>
        <v>45</v>
      </c>
      <c r="C1355" s="2" t="str">
        <f aca="false">'Raw Data'!D1355</f>
        <v>Research &amp; Development</v>
      </c>
      <c r="D1355" s="2" t="str">
        <f aca="false">'Raw Data'!K1355</f>
        <v>Healthcare Representative</v>
      </c>
      <c r="E1355" s="2" t="n">
        <f aca="false">'Raw Data'!Q1355</f>
        <v>9</v>
      </c>
      <c r="F1355" s="2" t="n">
        <f aca="false">'Raw Data'!U1355</f>
        <v>3</v>
      </c>
      <c r="G1355" s="2" t="n">
        <f aca="false">'Raw Data'!W1355</f>
        <v>4</v>
      </c>
      <c r="H1355" s="2" t="n">
        <f aca="false">'Raw Data'!V1355</f>
        <v>3</v>
      </c>
      <c r="I1355" s="2" t="n">
        <f aca="false">IF(AND(ISNUMBER(B1355),B1355&lt;=25),2,0)+IF(AND(ISNUMBER(E1355),E1355&lt;=5),2,0)+IF(AND(ISNUMBER(F1355),F1355&lt;=1),2,0)+IF(AND(ISNUMBER(G1355),G1355&lt;=2),1,0)+IF(AND(ISNUMBER(H1355),H1355&lt;=2),1,0)</f>
        <v>0</v>
      </c>
      <c r="J1355" s="2" t="str">
        <f aca="false">IF(I1355&gt;=6,"High",IF(I1355&gt;=3,"Medium","Low"))</f>
        <v>Low</v>
      </c>
    </row>
    <row r="1356" customFormat="false" ht="15" hidden="false" customHeight="true" outlineLevel="0" collapsed="false">
      <c r="A1356" s="2" t="n">
        <f aca="false">'Raw Data'!H1356</f>
        <v>1355</v>
      </c>
      <c r="B1356" s="2" t="n">
        <f aca="false">'Raw Data'!A1356</f>
        <v>38</v>
      </c>
      <c r="C1356" s="2" t="str">
        <f aca="false">'Raw Data'!D1356</f>
        <v>Research &amp; Development</v>
      </c>
      <c r="D1356" s="2" t="str">
        <f aca="false">'Raw Data'!K1356</f>
        <v>Research Director</v>
      </c>
      <c r="E1356" s="2" t="n">
        <f aca="false">'Raw Data'!Q1356</f>
        <v>19</v>
      </c>
      <c r="F1356" s="2" t="n">
        <f aca="false">'Raw Data'!U1356</f>
        <v>2</v>
      </c>
      <c r="G1356" s="2" t="n">
        <f aca="false">'Raw Data'!W1356</f>
        <v>3</v>
      </c>
      <c r="H1356" s="2" t="n">
        <f aca="false">'Raw Data'!V1356</f>
        <v>4</v>
      </c>
      <c r="I1356" s="2" t="n">
        <f aca="false">IF(AND(ISNUMBER(B1356),B1356&lt;=25),2,0)+IF(AND(ISNUMBER(E1356),E1356&lt;=5),2,0)+IF(AND(ISNUMBER(F1356),F1356&lt;=1),2,0)+IF(AND(ISNUMBER(G1356),G1356&lt;=2),1,0)+IF(AND(ISNUMBER(H1356),H1356&lt;=2),1,0)</f>
        <v>0</v>
      </c>
      <c r="J1356" s="2" t="str">
        <f aca="false">IF(I1356&gt;=6,"High",IF(I1356&gt;=3,"Medium","Low"))</f>
        <v>Low</v>
      </c>
    </row>
    <row r="1357" customFormat="false" ht="15" hidden="false" customHeight="true" outlineLevel="0" collapsed="false">
      <c r="A1357" s="2" t="n">
        <f aca="false">'Raw Data'!H1357</f>
        <v>1356</v>
      </c>
      <c r="B1357" s="2" t="n">
        <f aca="false">'Raw Data'!A1357</f>
        <v>30</v>
      </c>
      <c r="C1357" s="2" t="str">
        <f aca="false">'Raw Data'!D1357</f>
        <v>Sales</v>
      </c>
      <c r="D1357" s="2" t="str">
        <f aca="false">'Raw Data'!K1357</f>
        <v>Laboratory Technician</v>
      </c>
      <c r="E1357" s="2" t="n">
        <f aca="false">'Raw Data'!Q1357</f>
        <v>5</v>
      </c>
      <c r="F1357" s="2" t="n">
        <f aca="false">'Raw Data'!U1357</f>
        <v>4</v>
      </c>
      <c r="G1357" s="2" t="n">
        <f aca="false">'Raw Data'!W1357</f>
        <v>3</v>
      </c>
      <c r="H1357" s="2" t="n">
        <f aca="false">'Raw Data'!V1357</f>
        <v>1</v>
      </c>
      <c r="I1357" s="2" t="n">
        <f aca="false">IF(AND(ISNUMBER(B1357),B1357&lt;=25),2,0)+IF(AND(ISNUMBER(E1357),E1357&lt;=5),2,0)+IF(AND(ISNUMBER(F1357),F1357&lt;=1),2,0)+IF(AND(ISNUMBER(G1357),G1357&lt;=2),1,0)+IF(AND(ISNUMBER(H1357),H1357&lt;=2),1,0)</f>
        <v>3</v>
      </c>
      <c r="J1357" s="2" t="str">
        <f aca="false">IF(I1357&gt;=6,"High",IF(I1357&gt;=3,"Medium","Low"))</f>
        <v>Medium</v>
      </c>
    </row>
    <row r="1358" customFormat="false" ht="15" hidden="false" customHeight="true" outlineLevel="0" collapsed="false">
      <c r="A1358" s="2" t="n">
        <f aca="false">'Raw Data'!H1358</f>
        <v>1357</v>
      </c>
      <c r="B1358" s="2" t="n">
        <f aca="false">'Raw Data'!A1358</f>
        <v>32</v>
      </c>
      <c r="C1358" s="2" t="str">
        <f aca="false">'Raw Data'!D1358</f>
        <v>Sales</v>
      </c>
      <c r="D1358" s="2" t="str">
        <f aca="false">'Raw Data'!K1358</f>
        <v>Laboratory Technician</v>
      </c>
      <c r="E1358" s="2" t="n">
        <f aca="false">'Raw Data'!Q1358</f>
        <v>9</v>
      </c>
      <c r="F1358" s="2" t="n">
        <f aca="false">'Raw Data'!U1358</f>
        <v>7</v>
      </c>
      <c r="G1358" s="2" t="n">
        <f aca="false">'Raw Data'!W1358</f>
        <v>4</v>
      </c>
      <c r="H1358" s="2" t="n">
        <f aca="false">'Raw Data'!V1358</f>
        <v>4</v>
      </c>
      <c r="I1358" s="2" t="n">
        <f aca="false">IF(AND(ISNUMBER(B1358),B1358&lt;=25),2,0)+IF(AND(ISNUMBER(E1358),E1358&lt;=5),2,0)+IF(AND(ISNUMBER(F1358),F1358&lt;=1),2,0)+IF(AND(ISNUMBER(G1358),G1358&lt;=2),1,0)+IF(AND(ISNUMBER(H1358),H1358&lt;=2),1,0)</f>
        <v>0</v>
      </c>
      <c r="J1358" s="2" t="str">
        <f aca="false">IF(I1358&gt;=6,"High",IF(I1358&gt;=3,"Medium","Low"))</f>
        <v>Low</v>
      </c>
    </row>
    <row r="1359" customFormat="false" ht="15" hidden="false" customHeight="true" outlineLevel="0" collapsed="false">
      <c r="A1359" s="2" t="n">
        <f aca="false">'Raw Data'!H1359</f>
        <v>1358</v>
      </c>
      <c r="B1359" s="2" t="n">
        <f aca="false">'Raw Data'!A1359</f>
        <v>30</v>
      </c>
      <c r="C1359" s="2" t="str">
        <f aca="false">'Raw Data'!D1359</f>
        <v>Research &amp; Development</v>
      </c>
      <c r="D1359" s="2" t="str">
        <f aca="false">'Raw Data'!K1359</f>
        <v>Sales Executive</v>
      </c>
      <c r="E1359" s="2" t="n">
        <f aca="false">'Raw Data'!Q1359</f>
        <v>8</v>
      </c>
      <c r="F1359" s="2" t="n">
        <f aca="false">'Raw Data'!U1359</f>
        <v>2</v>
      </c>
      <c r="G1359" s="2" t="n">
        <f aca="false">'Raw Data'!W1359</f>
        <v>1</v>
      </c>
      <c r="H1359" s="2" t="n">
        <f aca="false">'Raw Data'!V1359</f>
        <v>4</v>
      </c>
      <c r="I1359" s="2" t="n">
        <f aca="false">IF(AND(ISNUMBER(B1359),B1359&lt;=25),2,0)+IF(AND(ISNUMBER(E1359),E1359&lt;=5),2,0)+IF(AND(ISNUMBER(F1359),F1359&lt;=1),2,0)+IF(AND(ISNUMBER(G1359),G1359&lt;=2),1,0)+IF(AND(ISNUMBER(H1359),H1359&lt;=2),1,0)</f>
        <v>1</v>
      </c>
      <c r="J1359" s="2" t="str">
        <f aca="false">IF(I1359&gt;=6,"High",IF(I1359&gt;=3,"Medium","Low"))</f>
        <v>Low</v>
      </c>
    </row>
    <row r="1360" customFormat="false" ht="15" hidden="false" customHeight="true" outlineLevel="0" collapsed="false">
      <c r="A1360" s="2" t="n">
        <f aca="false">'Raw Data'!H1360</f>
        <v>1359</v>
      </c>
      <c r="B1360" s="2" t="n">
        <f aca="false">'Raw Data'!A1360</f>
        <v>30</v>
      </c>
      <c r="C1360" s="2" t="str">
        <f aca="false">'Raw Data'!D1360</f>
        <v>Sales</v>
      </c>
      <c r="D1360" s="2" t="str">
        <f aca="false">'Raw Data'!K1360</f>
        <v>Research Scientist</v>
      </c>
      <c r="E1360" s="2" t="n">
        <f aca="false">'Raw Data'!Q1360</f>
        <v>6</v>
      </c>
      <c r="F1360" s="2" t="n">
        <f aca="false">'Raw Data'!U1360</f>
        <v>2</v>
      </c>
      <c r="G1360" s="2" t="n">
        <f aca="false">'Raw Data'!W1360</f>
        <v>4</v>
      </c>
      <c r="H1360" s="2" t="n">
        <f aca="false">'Raw Data'!V1360</f>
        <v>2</v>
      </c>
      <c r="I1360" s="2" t="n">
        <f aca="false">IF(AND(ISNUMBER(B1360),B1360&lt;=25),2,0)+IF(AND(ISNUMBER(E1360),E1360&lt;=5),2,0)+IF(AND(ISNUMBER(F1360),F1360&lt;=1),2,0)+IF(AND(ISNUMBER(G1360),G1360&lt;=2),1,0)+IF(AND(ISNUMBER(H1360),H1360&lt;=2),1,0)</f>
        <v>1</v>
      </c>
      <c r="J1360" s="2" t="str">
        <f aca="false">IF(I1360&gt;=6,"High",IF(I1360&gt;=3,"Medium","Low"))</f>
        <v>Low</v>
      </c>
    </row>
    <row r="1361" customFormat="false" ht="15" hidden="false" customHeight="true" outlineLevel="0" collapsed="false">
      <c r="A1361" s="2" t="n">
        <f aca="false">'Raw Data'!H1361</f>
        <v>1360</v>
      </c>
      <c r="B1361" s="2" t="n">
        <f aca="false">'Raw Data'!A1361</f>
        <v>41</v>
      </c>
      <c r="C1361" s="2" t="str">
        <f aca="false">'Raw Data'!D1361</f>
        <v>Sales</v>
      </c>
      <c r="D1361" s="2" t="str">
        <f aca="false">'Raw Data'!K1361</f>
        <v>Manufacturing Director</v>
      </c>
      <c r="E1361" s="2" t="n">
        <f aca="false">'Raw Data'!Q1361</f>
        <v>21</v>
      </c>
      <c r="F1361" s="2" t="n">
        <f aca="false">'Raw Data'!U1361</f>
        <v>7</v>
      </c>
      <c r="G1361" s="2" t="n">
        <f aca="false">'Raw Data'!W1361</f>
        <v>1</v>
      </c>
      <c r="H1361" s="2" t="n">
        <f aca="false">'Raw Data'!V1361</f>
        <v>4</v>
      </c>
      <c r="I1361" s="2" t="n">
        <f aca="false">IF(AND(ISNUMBER(B1361),B1361&lt;=25),2,0)+IF(AND(ISNUMBER(E1361),E1361&lt;=5),2,0)+IF(AND(ISNUMBER(F1361),F1361&lt;=1),2,0)+IF(AND(ISNUMBER(G1361),G1361&lt;=2),1,0)+IF(AND(ISNUMBER(H1361),H1361&lt;=2),1,0)</f>
        <v>1</v>
      </c>
      <c r="J1361" s="2" t="str">
        <f aca="false">IF(I1361&gt;=6,"High",IF(I1361&gt;=3,"Medium","Low"))</f>
        <v>Low</v>
      </c>
    </row>
    <row r="1362" customFormat="false" ht="15" hidden="false" customHeight="true" outlineLevel="0" collapsed="false">
      <c r="A1362" s="2" t="n">
        <f aca="false">'Raw Data'!H1362</f>
        <v>1361</v>
      </c>
      <c r="B1362" s="2" t="n">
        <f aca="false">'Raw Data'!A1362</f>
        <v>41</v>
      </c>
      <c r="C1362" s="2" t="str">
        <f aca="false">'Raw Data'!D1362</f>
        <v>Research &amp; Development</v>
      </c>
      <c r="D1362" s="2" t="str">
        <f aca="false">'Raw Data'!K1362</f>
        <v>Research Scientist</v>
      </c>
      <c r="E1362" s="2" t="n">
        <f aca="false">'Raw Data'!Q1362</f>
        <v>7</v>
      </c>
      <c r="F1362" s="2" t="n">
        <f aca="false">'Raw Data'!U1362</f>
        <v>4</v>
      </c>
      <c r="G1362" s="2" t="n">
        <f aca="false">'Raw Data'!W1362</f>
        <v>1</v>
      </c>
      <c r="H1362" s="2" t="n">
        <f aca="false">'Raw Data'!V1362</f>
        <v>3</v>
      </c>
      <c r="I1362" s="2" t="n">
        <f aca="false">IF(AND(ISNUMBER(B1362),B1362&lt;=25),2,0)+IF(AND(ISNUMBER(E1362),E1362&lt;=5),2,0)+IF(AND(ISNUMBER(F1362),F1362&lt;=1),2,0)+IF(AND(ISNUMBER(G1362),G1362&lt;=2),1,0)+IF(AND(ISNUMBER(H1362),H1362&lt;=2),1,0)</f>
        <v>1</v>
      </c>
      <c r="J1362" s="2" t="str">
        <f aca="false">IF(I1362&gt;=6,"High",IF(I1362&gt;=3,"Medium","Low"))</f>
        <v>Low</v>
      </c>
    </row>
    <row r="1363" customFormat="false" ht="15" hidden="false" customHeight="true" outlineLevel="0" collapsed="false">
      <c r="A1363" s="2" t="n">
        <f aca="false">'Raw Data'!H1363</f>
        <v>1362</v>
      </c>
      <c r="B1363" s="2" t="n">
        <f aca="false">'Raw Data'!A1363</f>
        <v>19</v>
      </c>
      <c r="C1363" s="2" t="str">
        <f aca="false">'Raw Data'!D1363</f>
        <v>Research &amp; Development</v>
      </c>
      <c r="D1363" s="2" t="str">
        <f aca="false">'Raw Data'!K1363</f>
        <v>Manufacturing Director</v>
      </c>
      <c r="E1363" s="2" t="n">
        <f aca="false">'Raw Data'!Q1363</f>
        <v>1</v>
      </c>
      <c r="F1363" s="2" t="n">
        <f aca="false">'Raw Data'!U1363</f>
        <v>0</v>
      </c>
      <c r="G1363" s="2" t="n">
        <f aca="false">'Raw Data'!W1363</f>
        <v>2</v>
      </c>
      <c r="H1363" s="2" t="n">
        <f aca="false">'Raw Data'!V1363</f>
        <v>2</v>
      </c>
      <c r="I1363" s="2" t="n">
        <f aca="false">IF(AND(ISNUMBER(B1363),B1363&lt;=25),2,0)+IF(AND(ISNUMBER(E1363),E1363&lt;=5),2,0)+IF(AND(ISNUMBER(F1363),F1363&lt;=1),2,0)+IF(AND(ISNUMBER(G1363),G1363&lt;=2),1,0)+IF(AND(ISNUMBER(H1363),H1363&lt;=2),1,0)</f>
        <v>8</v>
      </c>
      <c r="J1363" s="2" t="str">
        <f aca="false">IF(I1363&gt;=6,"High",IF(I1363&gt;=3,"Medium","Low"))</f>
        <v>High</v>
      </c>
    </row>
    <row r="1364" customFormat="false" ht="15" hidden="false" customHeight="true" outlineLevel="0" collapsed="false">
      <c r="A1364" s="2" t="n">
        <f aca="false">'Raw Data'!H1364</f>
        <v>1363</v>
      </c>
      <c r="B1364" s="2" t="n">
        <f aca="false">'Raw Data'!A1364</f>
        <v>40</v>
      </c>
      <c r="C1364" s="2" t="str">
        <f aca="false">'Raw Data'!D1364</f>
        <v>Research &amp; Development</v>
      </c>
      <c r="D1364" s="2" t="str">
        <f aca="false">'Raw Data'!K1364</f>
        <v>Manufacturing Director</v>
      </c>
      <c r="E1364" s="2" t="n">
        <f aca="false">'Raw Data'!Q1364</f>
        <v>20</v>
      </c>
      <c r="F1364" s="2" t="n">
        <f aca="false">'Raw Data'!U1364</f>
        <v>13</v>
      </c>
      <c r="G1364" s="2" t="n">
        <f aca="false">'Raw Data'!W1364</f>
        <v>2</v>
      </c>
      <c r="H1364" s="2" t="n">
        <f aca="false">'Raw Data'!V1364</f>
        <v>2</v>
      </c>
      <c r="I1364" s="2" t="n">
        <f aca="false">IF(AND(ISNUMBER(B1364),B1364&lt;=25),2,0)+IF(AND(ISNUMBER(E1364),E1364&lt;=5),2,0)+IF(AND(ISNUMBER(F1364),F1364&lt;=1),2,0)+IF(AND(ISNUMBER(G1364),G1364&lt;=2),1,0)+IF(AND(ISNUMBER(H1364),H1364&lt;=2),1,0)</f>
        <v>2</v>
      </c>
      <c r="J1364" s="2" t="str">
        <f aca="false">IF(I1364&gt;=6,"High",IF(I1364&gt;=3,"Medium","Low"))</f>
        <v>Low</v>
      </c>
    </row>
    <row r="1365" customFormat="false" ht="15" hidden="false" customHeight="true" outlineLevel="0" collapsed="false">
      <c r="A1365" s="2" t="n">
        <f aca="false">'Raw Data'!H1365</f>
        <v>1364</v>
      </c>
      <c r="B1365" s="2" t="n">
        <f aca="false">'Raw Data'!A1365</f>
        <v>35</v>
      </c>
      <c r="C1365" s="2" t="str">
        <f aca="false">'Raw Data'!D1365</f>
        <v>Sales</v>
      </c>
      <c r="D1365" s="2" t="str">
        <f aca="false">'Raw Data'!K1365</f>
        <v>Laboratory Technician</v>
      </c>
      <c r="E1365" s="2" t="n">
        <f aca="false">'Raw Data'!Q1365</f>
        <v>10</v>
      </c>
      <c r="F1365" s="2" t="n">
        <f aca="false">'Raw Data'!U1365</f>
        <v>6</v>
      </c>
      <c r="G1365" s="2" t="n">
        <f aca="false">'Raw Data'!W1365</f>
        <v>2</v>
      </c>
      <c r="H1365" s="2" t="n">
        <f aca="false">'Raw Data'!V1365</f>
        <v>3</v>
      </c>
      <c r="I1365" s="2" t="n">
        <f aca="false">IF(AND(ISNUMBER(B1365),B1365&lt;=25),2,0)+IF(AND(ISNUMBER(E1365),E1365&lt;=5),2,0)+IF(AND(ISNUMBER(F1365),F1365&lt;=1),2,0)+IF(AND(ISNUMBER(G1365),G1365&lt;=2),1,0)+IF(AND(ISNUMBER(H1365),H1365&lt;=2),1,0)</f>
        <v>1</v>
      </c>
      <c r="J1365" s="2" t="str">
        <f aca="false">IF(I1365&gt;=6,"High",IF(I1365&gt;=3,"Medium","Low"))</f>
        <v>Low</v>
      </c>
    </row>
    <row r="1366" customFormat="false" ht="15" hidden="false" customHeight="true" outlineLevel="0" collapsed="false">
      <c r="A1366" s="2" t="n">
        <f aca="false">'Raw Data'!H1366</f>
        <v>1365</v>
      </c>
      <c r="B1366" s="2" t="n">
        <f aca="false">'Raw Data'!A1366</f>
        <v>53</v>
      </c>
      <c r="C1366" s="2" t="str">
        <f aca="false">'Raw Data'!D1366</f>
        <v>Sales</v>
      </c>
      <c r="D1366" s="2" t="str">
        <f aca="false">'Raw Data'!K1366</f>
        <v>Manufacturing Director</v>
      </c>
      <c r="E1366" s="2" t="n">
        <f aca="false">'Raw Data'!Q1366</f>
        <v>13</v>
      </c>
      <c r="F1366" s="2" t="n">
        <f aca="false">'Raw Data'!U1366</f>
        <v>5</v>
      </c>
      <c r="G1366" s="2" t="n">
        <f aca="false">'Raw Data'!W1366</f>
        <v>3</v>
      </c>
      <c r="H1366" s="2" t="n">
        <f aca="false">'Raw Data'!V1366</f>
        <v>2</v>
      </c>
      <c r="I1366" s="2" t="n">
        <f aca="false">IF(AND(ISNUMBER(B1366),B1366&lt;=25),2,0)+IF(AND(ISNUMBER(E1366),E1366&lt;=5),2,0)+IF(AND(ISNUMBER(F1366),F1366&lt;=1),2,0)+IF(AND(ISNUMBER(G1366),G1366&lt;=2),1,0)+IF(AND(ISNUMBER(H1366),H1366&lt;=2),1,0)</f>
        <v>1</v>
      </c>
      <c r="J1366" s="2" t="str">
        <f aca="false">IF(I1366&gt;=6,"High",IF(I1366&gt;=3,"Medium","Low"))</f>
        <v>Low</v>
      </c>
    </row>
    <row r="1367" customFormat="false" ht="15" hidden="false" customHeight="true" outlineLevel="0" collapsed="false">
      <c r="A1367" s="2" t="n">
        <f aca="false">'Raw Data'!H1367</f>
        <v>1366</v>
      </c>
      <c r="B1367" s="2" t="n">
        <f aca="false">'Raw Data'!A1367</f>
        <v>45</v>
      </c>
      <c r="C1367" s="2" t="str">
        <f aca="false">'Raw Data'!D1367</f>
        <v>Sales</v>
      </c>
      <c r="D1367" s="2" t="str">
        <f aca="false">'Raw Data'!K1367</f>
        <v>Research Scientist</v>
      </c>
      <c r="E1367" s="2" t="n">
        <f aca="false">'Raw Data'!Q1367</f>
        <v>20</v>
      </c>
      <c r="F1367" s="2" t="n">
        <f aca="false">'Raw Data'!U1367</f>
        <v>15</v>
      </c>
      <c r="G1367" s="2" t="n">
        <f aca="false">'Raw Data'!W1367</f>
        <v>2</v>
      </c>
      <c r="H1367" s="2" t="n">
        <f aca="false">'Raw Data'!V1367</f>
        <v>2</v>
      </c>
      <c r="I1367" s="2" t="n">
        <f aca="false">IF(AND(ISNUMBER(B1367),B1367&lt;=25),2,0)+IF(AND(ISNUMBER(E1367),E1367&lt;=5),2,0)+IF(AND(ISNUMBER(F1367),F1367&lt;=1),2,0)+IF(AND(ISNUMBER(G1367),G1367&lt;=2),1,0)+IF(AND(ISNUMBER(H1367),H1367&lt;=2),1,0)</f>
        <v>2</v>
      </c>
      <c r="J1367" s="2" t="str">
        <f aca="false">IF(I1367&gt;=6,"High",IF(I1367&gt;=3,"Medium","Low"))</f>
        <v>Low</v>
      </c>
    </row>
    <row r="1368" customFormat="false" ht="15" hidden="false" customHeight="true" outlineLevel="0" collapsed="false">
      <c r="A1368" s="2" t="n">
        <f aca="false">'Raw Data'!H1368</f>
        <v>1367</v>
      </c>
      <c r="B1368" s="2" t="n">
        <f aca="false">'Raw Data'!A1368</f>
        <v>32</v>
      </c>
      <c r="C1368" s="2" t="str">
        <f aca="false">'Raw Data'!D1368</f>
        <v>Sales</v>
      </c>
      <c r="D1368" s="2" t="str">
        <f aca="false">'Raw Data'!K1368</f>
        <v>Manufacturing Director</v>
      </c>
      <c r="E1368" s="2" t="n">
        <f aca="false">'Raw Data'!Q1368</f>
        <v>9</v>
      </c>
      <c r="F1368" s="2" t="n">
        <f aca="false">'Raw Data'!U1368</f>
        <v>7</v>
      </c>
      <c r="G1368" s="2" t="n">
        <f aca="false">'Raw Data'!W1368</f>
        <v>4</v>
      </c>
      <c r="H1368" s="2" t="n">
        <f aca="false">'Raw Data'!V1368</f>
        <v>2</v>
      </c>
      <c r="I1368" s="2" t="n">
        <f aca="false">IF(AND(ISNUMBER(B1368),B1368&lt;=25),2,0)+IF(AND(ISNUMBER(E1368),E1368&lt;=5),2,0)+IF(AND(ISNUMBER(F1368),F1368&lt;=1),2,0)+IF(AND(ISNUMBER(G1368),G1368&lt;=2),1,0)+IF(AND(ISNUMBER(H1368),H1368&lt;=2),1,0)</f>
        <v>1</v>
      </c>
      <c r="J1368" s="2" t="str">
        <f aca="false">IF(I1368&gt;=6,"High",IF(I1368&gt;=3,"Medium","Low"))</f>
        <v>Low</v>
      </c>
    </row>
    <row r="1369" customFormat="false" ht="15" hidden="false" customHeight="true" outlineLevel="0" collapsed="false">
      <c r="A1369" s="2" t="n">
        <f aca="false">'Raw Data'!H1369</f>
        <v>1368</v>
      </c>
      <c r="B1369" s="2" t="n">
        <f aca="false">'Raw Data'!A1369</f>
        <v>29</v>
      </c>
      <c r="C1369" s="2" t="str">
        <f aca="false">'Raw Data'!D1369</f>
        <v>Research &amp; Development</v>
      </c>
      <c r="D1369" s="2" t="str">
        <f aca="false">'Raw Data'!K1369</f>
        <v>Healthcare Representative</v>
      </c>
      <c r="E1369" s="2" t="n">
        <f aca="false">'Raw Data'!Q1369</f>
        <v>10</v>
      </c>
      <c r="F1369" s="2" t="n">
        <f aca="false">'Raw Data'!U1369</f>
        <v>9</v>
      </c>
      <c r="G1369" s="2" t="n">
        <f aca="false">'Raw Data'!W1369</f>
        <v>3</v>
      </c>
      <c r="H1369" s="2" t="n">
        <f aca="false">'Raw Data'!V1369</f>
        <v>4</v>
      </c>
      <c r="I1369" s="2" t="n">
        <f aca="false">IF(AND(ISNUMBER(B1369),B1369&lt;=25),2,0)+IF(AND(ISNUMBER(E1369),E1369&lt;=5),2,0)+IF(AND(ISNUMBER(F1369),F1369&lt;=1),2,0)+IF(AND(ISNUMBER(G1369),G1369&lt;=2),1,0)+IF(AND(ISNUMBER(H1369),H1369&lt;=2),1,0)</f>
        <v>0</v>
      </c>
      <c r="J1369" s="2" t="str">
        <f aca="false">IF(I1369&gt;=6,"High",IF(I1369&gt;=3,"Medium","Low"))</f>
        <v>Low</v>
      </c>
    </row>
    <row r="1370" customFormat="false" ht="15" hidden="false" customHeight="true" outlineLevel="0" collapsed="false">
      <c r="A1370" s="2" t="n">
        <f aca="false">'Raw Data'!H1370</f>
        <v>1369</v>
      </c>
      <c r="B1370" s="2" t="n">
        <f aca="false">'Raw Data'!A1370</f>
        <v>51</v>
      </c>
      <c r="C1370" s="2" t="str">
        <f aca="false">'Raw Data'!D1370</f>
        <v>Research &amp; Development</v>
      </c>
      <c r="D1370" s="2" t="str">
        <f aca="false">'Raw Data'!K1370</f>
        <v>Research Director</v>
      </c>
      <c r="E1370" s="2" t="n">
        <f aca="false">'Raw Data'!Q1370</f>
        <v>10</v>
      </c>
      <c r="F1370" s="2" t="n">
        <f aca="false">'Raw Data'!U1370</f>
        <v>0</v>
      </c>
      <c r="G1370" s="2" t="n">
        <f aca="false">'Raw Data'!W1370</f>
        <v>3</v>
      </c>
      <c r="H1370" s="2" t="n">
        <f aca="false">'Raw Data'!V1370</f>
        <v>2</v>
      </c>
      <c r="I1370" s="2" t="n">
        <f aca="false">IF(AND(ISNUMBER(B1370),B1370&lt;=25),2,0)+IF(AND(ISNUMBER(E1370),E1370&lt;=5),2,0)+IF(AND(ISNUMBER(F1370),F1370&lt;=1),2,0)+IF(AND(ISNUMBER(G1370),G1370&lt;=2),1,0)+IF(AND(ISNUMBER(H1370),H1370&lt;=2),1,0)</f>
        <v>3</v>
      </c>
      <c r="J1370" s="2" t="str">
        <f aca="false">IF(I1370&gt;=6,"High",IF(I1370&gt;=3,"Medium","Low"))</f>
        <v>Medium</v>
      </c>
    </row>
    <row r="1371" customFormat="false" ht="15" hidden="false" customHeight="true" outlineLevel="0" collapsed="false">
      <c r="A1371" s="2" t="n">
        <f aca="false">'Raw Data'!H1371</f>
        <v>1370</v>
      </c>
      <c r="B1371" s="2" t="n">
        <f aca="false">'Raw Data'!A1371</f>
        <v>58</v>
      </c>
      <c r="C1371" s="2" t="str">
        <f aca="false">'Raw Data'!D1371</f>
        <v>Sales</v>
      </c>
      <c r="D1371" s="2" t="str">
        <f aca="false">'Raw Data'!K1371</f>
        <v>Research Scientist</v>
      </c>
      <c r="E1371" s="2" t="n">
        <f aca="false">'Raw Data'!Q1371</f>
        <v>9</v>
      </c>
      <c r="F1371" s="2" t="n">
        <f aca="false">'Raw Data'!U1371</f>
        <v>0</v>
      </c>
      <c r="G1371" s="2" t="n">
        <f aca="false">'Raw Data'!W1371</f>
        <v>2</v>
      </c>
      <c r="H1371" s="2" t="n">
        <f aca="false">'Raw Data'!V1371</f>
        <v>2</v>
      </c>
      <c r="I1371" s="2" t="n">
        <f aca="false">IF(AND(ISNUMBER(B1371),B1371&lt;=25),2,0)+IF(AND(ISNUMBER(E1371),E1371&lt;=5),2,0)+IF(AND(ISNUMBER(F1371),F1371&lt;=1),2,0)+IF(AND(ISNUMBER(G1371),G1371&lt;=2),1,0)+IF(AND(ISNUMBER(H1371),H1371&lt;=2),1,0)</f>
        <v>4</v>
      </c>
      <c r="J1371" s="2" t="str">
        <f aca="false">IF(I1371&gt;=6,"High",IF(I1371&gt;=3,"Medium","Low"))</f>
        <v>Medium</v>
      </c>
    </row>
    <row r="1372" customFormat="false" ht="15" hidden="false" customHeight="true" outlineLevel="0" collapsed="false">
      <c r="A1372" s="2" t="n">
        <f aca="false">'Raw Data'!H1372</f>
        <v>1371</v>
      </c>
      <c r="B1372" s="2" t="n">
        <f aca="false">'Raw Data'!A1372</f>
        <v>40</v>
      </c>
      <c r="C1372" s="2" t="str">
        <f aca="false">'Raw Data'!D1372</f>
        <v>Research &amp; Development</v>
      </c>
      <c r="D1372" s="2" t="str">
        <f aca="false">'Raw Data'!K1372</f>
        <v>Laboratory Technician</v>
      </c>
      <c r="E1372" s="2" t="n">
        <f aca="false">'Raw Data'!Q1372</f>
        <v>15</v>
      </c>
      <c r="F1372" s="2" t="n">
        <f aca="false">'Raw Data'!U1372</f>
        <v>11</v>
      </c>
      <c r="G1372" s="2" t="n">
        <f aca="false">'Raw Data'!W1372</f>
        <v>4</v>
      </c>
      <c r="H1372" s="2" t="n">
        <f aca="false">'Raw Data'!V1372</f>
        <v>3</v>
      </c>
      <c r="I1372" s="2" t="n">
        <f aca="false">IF(AND(ISNUMBER(B1372),B1372&lt;=25),2,0)+IF(AND(ISNUMBER(E1372),E1372&lt;=5),2,0)+IF(AND(ISNUMBER(F1372),F1372&lt;=1),2,0)+IF(AND(ISNUMBER(G1372),G1372&lt;=2),1,0)+IF(AND(ISNUMBER(H1372),H1372&lt;=2),1,0)</f>
        <v>0</v>
      </c>
      <c r="J1372" s="2" t="str">
        <f aca="false">IF(I1372&gt;=6,"High",IF(I1372&gt;=3,"Medium","Low"))</f>
        <v>Low</v>
      </c>
    </row>
    <row r="1373" customFormat="false" ht="15" hidden="false" customHeight="true" outlineLevel="0" collapsed="false">
      <c r="A1373" s="2" t="n">
        <f aca="false">'Raw Data'!H1373</f>
        <v>1372</v>
      </c>
      <c r="B1373" s="2" t="n">
        <f aca="false">'Raw Data'!A1373</f>
        <v>34</v>
      </c>
      <c r="C1373" s="2" t="str">
        <f aca="false">'Raw Data'!D1373</f>
        <v>Sales</v>
      </c>
      <c r="D1373" s="2" t="str">
        <f aca="false">'Raw Data'!K1373</f>
        <v>Manufacturing Director</v>
      </c>
      <c r="E1373" s="2" t="n">
        <f aca="false">'Raw Data'!Q1373</f>
        <v>6</v>
      </c>
      <c r="F1373" s="2" t="n">
        <f aca="false">'Raw Data'!U1373</f>
        <v>2</v>
      </c>
      <c r="G1373" s="2" t="n">
        <f aca="false">'Raw Data'!W1373</f>
        <v>3</v>
      </c>
      <c r="H1373" s="2" t="n">
        <f aca="false">'Raw Data'!V1373</f>
        <v>3</v>
      </c>
      <c r="I1373" s="2" t="n">
        <f aca="false">IF(AND(ISNUMBER(B1373),B1373&lt;=25),2,0)+IF(AND(ISNUMBER(E1373),E1373&lt;=5),2,0)+IF(AND(ISNUMBER(F1373),F1373&lt;=1),2,0)+IF(AND(ISNUMBER(G1373),G1373&lt;=2),1,0)+IF(AND(ISNUMBER(H1373),H1373&lt;=2),1,0)</f>
        <v>0</v>
      </c>
      <c r="J1373" s="2" t="str">
        <f aca="false">IF(I1373&gt;=6,"High",IF(I1373&gt;=3,"Medium","Low"))</f>
        <v>Low</v>
      </c>
    </row>
    <row r="1374" customFormat="false" ht="15" hidden="false" customHeight="true" outlineLevel="0" collapsed="false">
      <c r="A1374" s="2" t="n">
        <f aca="false">'Raw Data'!H1374</f>
        <v>1373</v>
      </c>
      <c r="B1374" s="2" t="n">
        <f aca="false">'Raw Data'!A1374</f>
        <v>22</v>
      </c>
      <c r="C1374" s="2" t="str">
        <f aca="false">'Raw Data'!D1374</f>
        <v>Research &amp; Development</v>
      </c>
      <c r="D1374" s="2" t="str">
        <f aca="false">'Raw Data'!K1374</f>
        <v>Laboratory Technician</v>
      </c>
      <c r="E1374" s="2" t="n">
        <f aca="false">'Raw Data'!Q1374</f>
        <v>2</v>
      </c>
      <c r="F1374" s="2" t="n">
        <f aca="false">'Raw Data'!U1374</f>
        <v>2</v>
      </c>
      <c r="G1374" s="2" t="n">
        <f aca="false">'Raw Data'!W1374</f>
        <v>4</v>
      </c>
      <c r="H1374" s="2" t="n">
        <f aca="false">'Raw Data'!V1374</f>
        <v>3</v>
      </c>
      <c r="I1374" s="2" t="n">
        <f aca="false">IF(AND(ISNUMBER(B1374),B1374&lt;=25),2,0)+IF(AND(ISNUMBER(E1374),E1374&lt;=5),2,0)+IF(AND(ISNUMBER(F1374),F1374&lt;=1),2,0)+IF(AND(ISNUMBER(G1374),G1374&lt;=2),1,0)+IF(AND(ISNUMBER(H1374),H1374&lt;=2),1,0)</f>
        <v>4</v>
      </c>
      <c r="J1374" s="2" t="str">
        <f aca="false">IF(I1374&gt;=6,"High",IF(I1374&gt;=3,"Medium","Low"))</f>
        <v>Medium</v>
      </c>
    </row>
    <row r="1375" customFormat="false" ht="15" hidden="false" customHeight="true" outlineLevel="0" collapsed="false">
      <c r="A1375" s="2" t="n">
        <f aca="false">'Raw Data'!H1375</f>
        <v>1374</v>
      </c>
      <c r="B1375" s="2" t="n">
        <f aca="false">'Raw Data'!A1375</f>
        <v>27</v>
      </c>
      <c r="C1375" s="2" t="str">
        <f aca="false">'Raw Data'!D1375</f>
        <v>Research &amp; Development</v>
      </c>
      <c r="D1375" s="2" t="str">
        <f aca="false">'Raw Data'!K1375</f>
        <v>Healthcare Representative</v>
      </c>
      <c r="E1375" s="2" t="n">
        <f aca="false">'Raw Data'!Q1375</f>
        <v>6</v>
      </c>
      <c r="F1375" s="2" t="n">
        <f aca="false">'Raw Data'!U1375</f>
        <v>2</v>
      </c>
      <c r="G1375" s="2" t="n">
        <f aca="false">'Raw Data'!W1375</f>
        <v>2</v>
      </c>
      <c r="H1375" s="2" t="n">
        <f aca="false">'Raw Data'!V1375</f>
        <v>4</v>
      </c>
      <c r="I1375" s="2" t="n">
        <f aca="false">IF(AND(ISNUMBER(B1375),B1375&lt;=25),2,0)+IF(AND(ISNUMBER(E1375),E1375&lt;=5),2,0)+IF(AND(ISNUMBER(F1375),F1375&lt;=1),2,0)+IF(AND(ISNUMBER(G1375),G1375&lt;=2),1,0)+IF(AND(ISNUMBER(H1375),H1375&lt;=2),1,0)</f>
        <v>1</v>
      </c>
      <c r="J1375" s="2" t="str">
        <f aca="false">IF(I1375&gt;=6,"High",IF(I1375&gt;=3,"Medium","Low"))</f>
        <v>Low</v>
      </c>
    </row>
    <row r="1376" customFormat="false" ht="15" hidden="false" customHeight="true" outlineLevel="0" collapsed="false">
      <c r="A1376" s="2" t="n">
        <f aca="false">'Raw Data'!H1376</f>
        <v>1375</v>
      </c>
      <c r="B1376" s="2" t="n">
        <f aca="false">'Raw Data'!A1376</f>
        <v>28</v>
      </c>
      <c r="C1376" s="2" t="str">
        <f aca="false">'Raw Data'!D1376</f>
        <v>Sales</v>
      </c>
      <c r="D1376" s="2" t="str">
        <f aca="false">'Raw Data'!K1376</f>
        <v>Healthcare Representative</v>
      </c>
      <c r="E1376" s="2" t="n">
        <f aca="false">'Raw Data'!Q1376</f>
        <v>5</v>
      </c>
      <c r="F1376" s="2" t="n">
        <f aca="false">'Raw Data'!U1376</f>
        <v>2</v>
      </c>
      <c r="G1376" s="2" t="n">
        <f aca="false">'Raw Data'!W1376</f>
        <v>4</v>
      </c>
      <c r="H1376" s="2" t="n">
        <f aca="false">'Raw Data'!V1376</f>
        <v>3</v>
      </c>
      <c r="I1376" s="2" t="n">
        <f aca="false">IF(AND(ISNUMBER(B1376),B1376&lt;=25),2,0)+IF(AND(ISNUMBER(E1376),E1376&lt;=5),2,0)+IF(AND(ISNUMBER(F1376),F1376&lt;=1),2,0)+IF(AND(ISNUMBER(G1376),G1376&lt;=2),1,0)+IF(AND(ISNUMBER(H1376),H1376&lt;=2),1,0)</f>
        <v>2</v>
      </c>
      <c r="J1376" s="2" t="str">
        <f aca="false">IF(I1376&gt;=6,"High",IF(I1376&gt;=3,"Medium","Low"))</f>
        <v>Low</v>
      </c>
    </row>
    <row r="1377" customFormat="false" ht="15" hidden="false" customHeight="true" outlineLevel="0" collapsed="false">
      <c r="A1377" s="2" t="n">
        <f aca="false">'Raw Data'!H1377</f>
        <v>1376</v>
      </c>
      <c r="B1377" s="2" t="n">
        <f aca="false">'Raw Data'!A1377</f>
        <v>57</v>
      </c>
      <c r="C1377" s="2" t="str">
        <f aca="false">'Raw Data'!D1377</f>
        <v>Research &amp; Development</v>
      </c>
      <c r="D1377" s="2" t="str">
        <f aca="false">'Raw Data'!K1377</f>
        <v>Manufacturing Director</v>
      </c>
      <c r="E1377" s="2" t="n">
        <f aca="false">'Raw Data'!Q1377</f>
        <v>12</v>
      </c>
      <c r="F1377" s="2" t="n">
        <f aca="false">'Raw Data'!U1377</f>
        <v>4</v>
      </c>
      <c r="G1377" s="2" t="n">
        <f aca="false">'Raw Data'!W1377</f>
        <v>4</v>
      </c>
      <c r="H1377" s="2" t="n">
        <f aca="false">'Raw Data'!V1377</f>
        <v>3</v>
      </c>
      <c r="I1377" s="2" t="n">
        <f aca="false">IF(AND(ISNUMBER(B1377),B1377&lt;=25),2,0)+IF(AND(ISNUMBER(E1377),E1377&lt;=5),2,0)+IF(AND(ISNUMBER(F1377),F1377&lt;=1),2,0)+IF(AND(ISNUMBER(G1377),G1377&lt;=2),1,0)+IF(AND(ISNUMBER(H1377),H1377&lt;=2),1,0)</f>
        <v>0</v>
      </c>
      <c r="J1377" s="2" t="str">
        <f aca="false">IF(I1377&gt;=6,"High",IF(I1377&gt;=3,"Medium","Low"))</f>
        <v>Low</v>
      </c>
    </row>
    <row r="1378" customFormat="false" ht="15" hidden="false" customHeight="true" outlineLevel="0" collapsed="false">
      <c r="A1378" s="2" t="n">
        <f aca="false">'Raw Data'!H1378</f>
        <v>1377</v>
      </c>
      <c r="B1378" s="2" t="n">
        <f aca="false">'Raw Data'!A1378</f>
        <v>27</v>
      </c>
      <c r="C1378" s="2" t="str">
        <f aca="false">'Raw Data'!D1378</f>
        <v>Research &amp; Development</v>
      </c>
      <c r="D1378" s="2" t="str">
        <f aca="false">'Raw Data'!K1378</f>
        <v>Manufacturing Director</v>
      </c>
      <c r="E1378" s="2" t="n">
        <f aca="false">'Raw Data'!Q1378</f>
        <v>1</v>
      </c>
      <c r="F1378" s="2" t="n">
        <f aca="false">'Raw Data'!U1378</f>
        <v>1</v>
      </c>
      <c r="G1378" s="2" t="n">
        <f aca="false">'Raw Data'!W1378</f>
        <v>3</v>
      </c>
      <c r="H1378" s="2" t="n">
        <f aca="false">'Raw Data'!V1378</f>
        <v>3</v>
      </c>
      <c r="I1378" s="2" t="n">
        <f aca="false">IF(AND(ISNUMBER(B1378),B1378&lt;=25),2,0)+IF(AND(ISNUMBER(E1378),E1378&lt;=5),2,0)+IF(AND(ISNUMBER(F1378),F1378&lt;=1),2,0)+IF(AND(ISNUMBER(G1378),G1378&lt;=2),1,0)+IF(AND(ISNUMBER(H1378),H1378&lt;=2),1,0)</f>
        <v>4</v>
      </c>
      <c r="J1378" s="2" t="str">
        <f aca="false">IF(I1378&gt;=6,"High",IF(I1378&gt;=3,"Medium","Low"))</f>
        <v>Medium</v>
      </c>
    </row>
    <row r="1379" customFormat="false" ht="15" hidden="false" customHeight="true" outlineLevel="0" collapsed="false">
      <c r="A1379" s="2" t="n">
        <f aca="false">'Raw Data'!H1379</f>
        <v>1378</v>
      </c>
      <c r="B1379" s="2" t="n">
        <f aca="false">'Raw Data'!A1379</f>
        <v>50</v>
      </c>
      <c r="C1379" s="2" t="str">
        <f aca="false">'Raw Data'!D1379</f>
        <v>Research &amp; Development</v>
      </c>
      <c r="D1379" s="2" t="str">
        <f aca="false">'Raw Data'!K1379</f>
        <v>Manufacturing Director</v>
      </c>
      <c r="E1379" s="2" t="n">
        <f aca="false">'Raw Data'!Q1379</f>
        <v>21</v>
      </c>
      <c r="F1379" s="2" t="n">
        <f aca="false">'Raw Data'!U1379</f>
        <v>4</v>
      </c>
      <c r="G1379" s="2" t="n">
        <f aca="false">'Raw Data'!W1379</f>
        <v>2</v>
      </c>
      <c r="H1379" s="2" t="n">
        <f aca="false">'Raw Data'!V1379</f>
        <v>3</v>
      </c>
      <c r="I1379" s="2" t="n">
        <f aca="false">IF(AND(ISNUMBER(B1379),B1379&lt;=25),2,0)+IF(AND(ISNUMBER(E1379),E1379&lt;=5),2,0)+IF(AND(ISNUMBER(F1379),F1379&lt;=1),2,0)+IF(AND(ISNUMBER(G1379),G1379&lt;=2),1,0)+IF(AND(ISNUMBER(H1379),H1379&lt;=2),1,0)</f>
        <v>1</v>
      </c>
      <c r="J1379" s="2" t="str">
        <f aca="false">IF(I1379&gt;=6,"High",IF(I1379&gt;=3,"Medium","Low"))</f>
        <v>Low</v>
      </c>
    </row>
    <row r="1380" customFormat="false" ht="15" hidden="false" customHeight="true" outlineLevel="0" collapsed="false">
      <c r="A1380" s="2" t="n">
        <f aca="false">'Raw Data'!H1380</f>
        <v>1379</v>
      </c>
      <c r="B1380" s="2" t="n">
        <f aca="false">'Raw Data'!A1380</f>
        <v>41</v>
      </c>
      <c r="C1380" s="2" t="str">
        <f aca="false">'Raw Data'!D1380</f>
        <v>Sales</v>
      </c>
      <c r="D1380" s="2" t="str">
        <f aca="false">'Raw Data'!K1380</f>
        <v>Laboratory Technician</v>
      </c>
      <c r="E1380" s="2" t="n">
        <f aca="false">'Raw Data'!Q1380</f>
        <v>13</v>
      </c>
      <c r="F1380" s="2" t="n">
        <f aca="false">'Raw Data'!U1380</f>
        <v>8</v>
      </c>
      <c r="G1380" s="2" t="n">
        <f aca="false">'Raw Data'!W1380</f>
        <v>3</v>
      </c>
      <c r="H1380" s="2" t="n">
        <f aca="false">'Raw Data'!V1380</f>
        <v>1</v>
      </c>
      <c r="I1380" s="2" t="n">
        <f aca="false">IF(AND(ISNUMBER(B1380),B1380&lt;=25),2,0)+IF(AND(ISNUMBER(E1380),E1380&lt;=5),2,0)+IF(AND(ISNUMBER(F1380),F1380&lt;=1),2,0)+IF(AND(ISNUMBER(G1380),G1380&lt;=2),1,0)+IF(AND(ISNUMBER(H1380),H1380&lt;=2),1,0)</f>
        <v>1</v>
      </c>
      <c r="J1380" s="2" t="str">
        <f aca="false">IF(I1380&gt;=6,"High",IF(I1380&gt;=3,"Medium","Low"))</f>
        <v>Low</v>
      </c>
    </row>
    <row r="1381" customFormat="false" ht="15" hidden="false" customHeight="true" outlineLevel="0" collapsed="false">
      <c r="A1381" s="2" t="n">
        <f aca="false">'Raw Data'!H1381</f>
        <v>1380</v>
      </c>
      <c r="B1381" s="2" t="n">
        <f aca="false">'Raw Data'!A1381</f>
        <v>30</v>
      </c>
      <c r="C1381" s="2" t="str">
        <f aca="false">'Raw Data'!D1381</f>
        <v>Human Resources</v>
      </c>
      <c r="D1381" s="2" t="str">
        <f aca="false">'Raw Data'!K1381</f>
        <v>Manager</v>
      </c>
      <c r="E1381" s="2" t="n">
        <f aca="false">'Raw Data'!Q1381</f>
        <v>12</v>
      </c>
      <c r="F1381" s="2" t="n">
        <f aca="false">'Raw Data'!U1381</f>
        <v>4</v>
      </c>
      <c r="G1381" s="2" t="n">
        <f aca="false">'Raw Data'!W1381</f>
        <v>4</v>
      </c>
      <c r="H1381" s="2" t="n">
        <f aca="false">'Raw Data'!V1381</f>
        <v>2</v>
      </c>
      <c r="I1381" s="2" t="n">
        <f aca="false">IF(AND(ISNUMBER(B1381),B1381&lt;=25),2,0)+IF(AND(ISNUMBER(E1381),E1381&lt;=5),2,0)+IF(AND(ISNUMBER(F1381),F1381&lt;=1),2,0)+IF(AND(ISNUMBER(G1381),G1381&lt;=2),1,0)+IF(AND(ISNUMBER(H1381),H1381&lt;=2),1,0)</f>
        <v>1</v>
      </c>
      <c r="J1381" s="2" t="str">
        <f aca="false">IF(I1381&gt;=6,"High",IF(I1381&gt;=3,"Medium","Low"))</f>
        <v>Low</v>
      </c>
    </row>
    <row r="1382" customFormat="false" ht="15" hidden="false" customHeight="true" outlineLevel="0" collapsed="false">
      <c r="A1382" s="2" t="n">
        <f aca="false">'Raw Data'!H1382</f>
        <v>1381</v>
      </c>
      <c r="B1382" s="2" t="n">
        <f aca="false">'Raw Data'!A1382</f>
        <v>38</v>
      </c>
      <c r="C1382" s="2" t="str">
        <f aca="false">'Raw Data'!D1382</f>
        <v>Sales</v>
      </c>
      <c r="D1382" s="2" t="str">
        <f aca="false">'Raw Data'!K1382</f>
        <v>Laboratory Technician</v>
      </c>
      <c r="E1382" s="2" t="n">
        <f aca="false">'Raw Data'!Q1382</f>
        <v>12</v>
      </c>
      <c r="F1382" s="2" t="n">
        <f aca="false">'Raw Data'!U1382</f>
        <v>7</v>
      </c>
      <c r="G1382" s="2" t="n">
        <f aca="false">'Raw Data'!W1382</f>
        <v>4</v>
      </c>
      <c r="H1382" s="2" t="n">
        <f aca="false">'Raw Data'!V1382</f>
        <v>1</v>
      </c>
      <c r="I1382" s="2" t="n">
        <f aca="false">IF(AND(ISNUMBER(B1382),B1382&lt;=25),2,0)+IF(AND(ISNUMBER(E1382),E1382&lt;=5),2,0)+IF(AND(ISNUMBER(F1382),F1382&lt;=1),2,0)+IF(AND(ISNUMBER(G1382),G1382&lt;=2),1,0)+IF(AND(ISNUMBER(H1382),H1382&lt;=2),1,0)</f>
        <v>1</v>
      </c>
      <c r="J1382" s="2" t="str">
        <f aca="false">IF(I1382&gt;=6,"High",IF(I1382&gt;=3,"Medium","Low"))</f>
        <v>Low</v>
      </c>
    </row>
    <row r="1383" customFormat="false" ht="15" hidden="false" customHeight="true" outlineLevel="0" collapsed="false">
      <c r="A1383" s="2" t="n">
        <f aca="false">'Raw Data'!H1383</f>
        <v>1382</v>
      </c>
      <c r="B1383" s="2" t="n">
        <f aca="false">'Raw Data'!A1383</f>
        <v>32</v>
      </c>
      <c r="C1383" s="2" t="str">
        <f aca="false">'Raw Data'!D1383</f>
        <v>Research &amp; Development</v>
      </c>
      <c r="D1383" s="2" t="str">
        <f aca="false">'Raw Data'!K1383</f>
        <v>Manufacturing Director</v>
      </c>
      <c r="E1383" s="2" t="n">
        <f aca="false">'Raw Data'!Q1383</f>
        <v>8</v>
      </c>
      <c r="F1383" s="2" t="n">
        <f aca="false">'Raw Data'!U1383</f>
        <v>4</v>
      </c>
      <c r="G1383" s="2" t="n">
        <f aca="false">'Raw Data'!W1383</f>
        <v>3</v>
      </c>
      <c r="H1383" s="2" t="n">
        <f aca="false">'Raw Data'!V1383</f>
        <v>3</v>
      </c>
      <c r="I1383" s="2" t="n">
        <f aca="false">IF(AND(ISNUMBER(B1383),B1383&lt;=25),2,0)+IF(AND(ISNUMBER(E1383),E1383&lt;=5),2,0)+IF(AND(ISNUMBER(F1383),F1383&lt;=1),2,0)+IF(AND(ISNUMBER(G1383),G1383&lt;=2),1,0)+IF(AND(ISNUMBER(H1383),H1383&lt;=2),1,0)</f>
        <v>0</v>
      </c>
      <c r="J1383" s="2" t="str">
        <f aca="false">IF(I1383&gt;=6,"High",IF(I1383&gt;=3,"Medium","Low"))</f>
        <v>Low</v>
      </c>
    </row>
    <row r="1384" customFormat="false" ht="15" hidden="false" customHeight="true" outlineLevel="0" collapsed="false">
      <c r="A1384" s="2" t="n">
        <f aca="false">'Raw Data'!H1384</f>
        <v>1383</v>
      </c>
      <c r="B1384" s="2" t="n">
        <f aca="false">'Raw Data'!A1384</f>
        <v>27</v>
      </c>
      <c r="C1384" s="2" t="str">
        <f aca="false">'Raw Data'!D1384</f>
        <v>Research &amp; Development</v>
      </c>
      <c r="D1384" s="2" t="str">
        <f aca="false">'Raw Data'!K1384</f>
        <v>Healthcare Representative</v>
      </c>
      <c r="E1384" s="2" t="n">
        <f aca="false">'Raw Data'!Q1384</f>
        <v>6</v>
      </c>
      <c r="F1384" s="2" t="n">
        <f aca="false">'Raw Data'!U1384</f>
        <v>1</v>
      </c>
      <c r="G1384" s="2" t="n">
        <f aca="false">'Raw Data'!W1384</f>
        <v>2</v>
      </c>
      <c r="H1384" s="2" t="n">
        <f aca="false">'Raw Data'!V1384</f>
        <v>3</v>
      </c>
      <c r="I1384" s="2" t="n">
        <f aca="false">IF(AND(ISNUMBER(B1384),B1384&lt;=25),2,0)+IF(AND(ISNUMBER(E1384),E1384&lt;=5),2,0)+IF(AND(ISNUMBER(F1384),F1384&lt;=1),2,0)+IF(AND(ISNUMBER(G1384),G1384&lt;=2),1,0)+IF(AND(ISNUMBER(H1384),H1384&lt;=2),1,0)</f>
        <v>3</v>
      </c>
      <c r="J1384" s="2" t="str">
        <f aca="false">IF(I1384&gt;=6,"High",IF(I1384&gt;=3,"Medium","Low"))</f>
        <v>Medium</v>
      </c>
    </row>
    <row r="1385" customFormat="false" ht="15" hidden="false" customHeight="true" outlineLevel="0" collapsed="false">
      <c r="A1385" s="2" t="n">
        <f aca="false">'Raw Data'!H1385</f>
        <v>1384</v>
      </c>
      <c r="B1385" s="2" t="n">
        <f aca="false">'Raw Data'!A1385</f>
        <v>19</v>
      </c>
      <c r="C1385" s="2" t="str">
        <f aca="false">'Raw Data'!D1385</f>
        <v>Research &amp; Development</v>
      </c>
      <c r="D1385" s="2" t="str">
        <f aca="false">'Raw Data'!K1385</f>
        <v>Healthcare Representative</v>
      </c>
      <c r="E1385" s="2" t="n">
        <f aca="false">'Raw Data'!Q1385</f>
        <v>1</v>
      </c>
      <c r="F1385" s="2" t="n">
        <f aca="false">'Raw Data'!U1385</f>
        <v>0</v>
      </c>
      <c r="G1385" s="2" t="n">
        <f aca="false">'Raw Data'!W1385</f>
        <v>1</v>
      </c>
      <c r="H1385" s="2" t="n">
        <f aca="false">'Raw Data'!V1385</f>
        <v>3</v>
      </c>
      <c r="I1385" s="2" t="n">
        <f aca="false">IF(AND(ISNUMBER(B1385),B1385&lt;=25),2,0)+IF(AND(ISNUMBER(E1385),E1385&lt;=5),2,0)+IF(AND(ISNUMBER(F1385),F1385&lt;=1),2,0)+IF(AND(ISNUMBER(G1385),G1385&lt;=2),1,0)+IF(AND(ISNUMBER(H1385),H1385&lt;=2),1,0)</f>
        <v>7</v>
      </c>
      <c r="J1385" s="2" t="str">
        <f aca="false">IF(I1385&gt;=6,"High",IF(I1385&gt;=3,"Medium","Low"))</f>
        <v>High</v>
      </c>
    </row>
    <row r="1386" customFormat="false" ht="15" hidden="false" customHeight="true" outlineLevel="0" collapsed="false">
      <c r="A1386" s="2" t="n">
        <f aca="false">'Raw Data'!H1386</f>
        <v>1385</v>
      </c>
      <c r="B1386" s="2" t="n">
        <f aca="false">'Raw Data'!A1386</f>
        <v>36</v>
      </c>
      <c r="C1386" s="2" t="str">
        <f aca="false">'Raw Data'!D1386</f>
        <v>Sales</v>
      </c>
      <c r="D1386" s="2" t="str">
        <f aca="false">'Raw Data'!K1386</f>
        <v>Research Director</v>
      </c>
      <c r="E1386" s="2" t="n">
        <f aca="false">'Raw Data'!Q1386</f>
        <v>13</v>
      </c>
      <c r="F1386" s="2" t="n">
        <f aca="false">'Raw Data'!U1386</f>
        <v>2</v>
      </c>
      <c r="G1386" s="2" t="n">
        <f aca="false">'Raw Data'!W1386</f>
        <v>2</v>
      </c>
      <c r="H1386" s="2" t="n">
        <f aca="false">'Raw Data'!V1386</f>
        <v>4</v>
      </c>
      <c r="I1386" s="2" t="n">
        <f aca="false">IF(AND(ISNUMBER(B1386),B1386&lt;=25),2,0)+IF(AND(ISNUMBER(E1386),E1386&lt;=5),2,0)+IF(AND(ISNUMBER(F1386),F1386&lt;=1),2,0)+IF(AND(ISNUMBER(G1386),G1386&lt;=2),1,0)+IF(AND(ISNUMBER(H1386),H1386&lt;=2),1,0)</f>
        <v>1</v>
      </c>
      <c r="J1386" s="2" t="str">
        <f aca="false">IF(I1386&gt;=6,"High",IF(I1386&gt;=3,"Medium","Low"))</f>
        <v>Low</v>
      </c>
    </row>
    <row r="1387" customFormat="false" ht="15" hidden="false" customHeight="true" outlineLevel="0" collapsed="false">
      <c r="A1387" s="2" t="n">
        <f aca="false">'Raw Data'!H1387</f>
        <v>1386</v>
      </c>
      <c r="B1387" s="2" t="n">
        <f aca="false">'Raw Data'!A1387</f>
        <v>30</v>
      </c>
      <c r="C1387" s="2" t="str">
        <f aca="false">'Raw Data'!D1387</f>
        <v>Sales</v>
      </c>
      <c r="D1387" s="2" t="str">
        <f aca="false">'Raw Data'!K1387</f>
        <v>Sales Executive</v>
      </c>
      <c r="E1387" s="2" t="n">
        <f aca="false">'Raw Data'!Q1387</f>
        <v>12</v>
      </c>
      <c r="F1387" s="2" t="n">
        <f aca="false">'Raw Data'!U1387</f>
        <v>10</v>
      </c>
      <c r="G1387" s="2" t="n">
        <f aca="false">'Raw Data'!W1387</f>
        <v>1</v>
      </c>
      <c r="H1387" s="2" t="n">
        <f aca="false">'Raw Data'!V1387</f>
        <v>3</v>
      </c>
      <c r="I1387" s="2" t="n">
        <f aca="false">IF(AND(ISNUMBER(B1387),B1387&lt;=25),2,0)+IF(AND(ISNUMBER(E1387),E1387&lt;=5),2,0)+IF(AND(ISNUMBER(F1387),F1387&lt;=1),2,0)+IF(AND(ISNUMBER(G1387),G1387&lt;=2),1,0)+IF(AND(ISNUMBER(H1387),H1387&lt;=2),1,0)</f>
        <v>1</v>
      </c>
      <c r="J1387" s="2" t="str">
        <f aca="false">IF(I1387&gt;=6,"High",IF(I1387&gt;=3,"Medium","Low"))</f>
        <v>Low</v>
      </c>
    </row>
    <row r="1388" customFormat="false" ht="15" hidden="false" customHeight="true" outlineLevel="0" collapsed="false">
      <c r="A1388" s="2" t="n">
        <f aca="false">'Raw Data'!H1388</f>
        <v>1387</v>
      </c>
      <c r="B1388" s="2" t="n">
        <f aca="false">'Raw Data'!A1388</f>
        <v>45</v>
      </c>
      <c r="C1388" s="2" t="str">
        <f aca="false">'Raw Data'!D1388</f>
        <v>Research &amp; Development</v>
      </c>
      <c r="D1388" s="2" t="str">
        <f aca="false">'Raw Data'!K1388</f>
        <v>Sales Executive</v>
      </c>
      <c r="E1388" s="2" t="n">
        <f aca="false">'Raw Data'!Q1388</f>
        <v>9</v>
      </c>
      <c r="F1388" s="2" t="n">
        <f aca="false">'Raw Data'!U1388</f>
        <v>3</v>
      </c>
      <c r="G1388" s="2" t="n">
        <f aca="false">'Raw Data'!W1388</f>
        <v>1</v>
      </c>
      <c r="H1388" s="2" t="n">
        <f aca="false">'Raw Data'!V1388</f>
        <v>3</v>
      </c>
      <c r="I1388" s="2" t="n">
        <f aca="false">IF(AND(ISNUMBER(B1388),B1388&lt;=25),2,0)+IF(AND(ISNUMBER(E1388),E1388&lt;=5),2,0)+IF(AND(ISNUMBER(F1388),F1388&lt;=1),2,0)+IF(AND(ISNUMBER(G1388),G1388&lt;=2),1,0)+IF(AND(ISNUMBER(H1388),H1388&lt;=2),1,0)</f>
        <v>1</v>
      </c>
      <c r="J1388" s="2" t="str">
        <f aca="false">IF(I1388&gt;=6,"High",IF(I1388&gt;=3,"Medium","Low"))</f>
        <v>Low</v>
      </c>
    </row>
    <row r="1389" customFormat="false" ht="15" hidden="false" customHeight="true" outlineLevel="0" collapsed="false">
      <c r="A1389" s="2" t="n">
        <f aca="false">'Raw Data'!H1389</f>
        <v>1388</v>
      </c>
      <c r="B1389" s="2" t="n">
        <f aca="false">'Raw Data'!A1389</f>
        <v>56</v>
      </c>
      <c r="C1389" s="2" t="str">
        <f aca="false">'Raw Data'!D1389</f>
        <v>Research &amp; Development</v>
      </c>
      <c r="D1389" s="2" t="str">
        <f aca="false">'Raw Data'!K1389</f>
        <v>Manager</v>
      </c>
      <c r="E1389" s="2" t="n">
        <f aca="false">'Raw Data'!Q1389</f>
        <v>19</v>
      </c>
      <c r="F1389" s="2" t="n">
        <f aca="false">'Raw Data'!U1389</f>
        <v>2</v>
      </c>
      <c r="G1389" s="2" t="n">
        <f aca="false">'Raw Data'!W1389</f>
        <v>1</v>
      </c>
      <c r="H1389" s="2" t="n">
        <f aca="false">'Raw Data'!V1389</f>
        <v>3</v>
      </c>
      <c r="I1389" s="2" t="n">
        <f aca="false">IF(AND(ISNUMBER(B1389),B1389&lt;=25),2,0)+IF(AND(ISNUMBER(E1389),E1389&lt;=5),2,0)+IF(AND(ISNUMBER(F1389),F1389&lt;=1),2,0)+IF(AND(ISNUMBER(G1389),G1389&lt;=2),1,0)+IF(AND(ISNUMBER(H1389),H1389&lt;=2),1,0)</f>
        <v>1</v>
      </c>
      <c r="J1389" s="2" t="str">
        <f aca="false">IF(I1389&gt;=6,"High",IF(I1389&gt;=3,"Medium","Low"))</f>
        <v>Low</v>
      </c>
    </row>
    <row r="1390" customFormat="false" ht="15" hidden="false" customHeight="true" outlineLevel="0" collapsed="false">
      <c r="A1390" s="2" t="n">
        <f aca="false">'Raw Data'!H1390</f>
        <v>1389</v>
      </c>
      <c r="B1390" s="2" t="n">
        <f aca="false">'Raw Data'!A1390</f>
        <v>33</v>
      </c>
      <c r="C1390" s="2" t="str">
        <f aca="false">'Raw Data'!D1390</f>
        <v>Research &amp; Development</v>
      </c>
      <c r="D1390" s="2" t="str">
        <f aca="false">'Raw Data'!K1390</f>
        <v>Sales Executive</v>
      </c>
      <c r="E1390" s="2" t="n">
        <f aca="false">'Raw Data'!Q1390</f>
        <v>4</v>
      </c>
      <c r="F1390" s="2" t="n">
        <f aca="false">'Raw Data'!U1390</f>
        <v>2</v>
      </c>
      <c r="G1390" s="2" t="n">
        <f aca="false">'Raw Data'!W1390</f>
        <v>4</v>
      </c>
      <c r="H1390" s="2" t="n">
        <f aca="false">'Raw Data'!V1390</f>
        <v>3</v>
      </c>
      <c r="I1390" s="2" t="n">
        <f aca="false">IF(AND(ISNUMBER(B1390),B1390&lt;=25),2,0)+IF(AND(ISNUMBER(E1390),E1390&lt;=5),2,0)+IF(AND(ISNUMBER(F1390),F1390&lt;=1),2,0)+IF(AND(ISNUMBER(G1390),G1390&lt;=2),1,0)+IF(AND(ISNUMBER(H1390),H1390&lt;=2),1,0)</f>
        <v>2</v>
      </c>
      <c r="J1390" s="2" t="str">
        <f aca="false">IF(I1390&gt;=6,"High",IF(I1390&gt;=3,"Medium","Low"))</f>
        <v>Low</v>
      </c>
    </row>
    <row r="1391" customFormat="false" ht="15" hidden="false" customHeight="true" outlineLevel="0" collapsed="false">
      <c r="A1391" s="2" t="n">
        <f aca="false">'Raw Data'!H1391</f>
        <v>1390</v>
      </c>
      <c r="B1391" s="2" t="n">
        <f aca="false">'Raw Data'!A1391</f>
        <v>19</v>
      </c>
      <c r="C1391" s="2" t="str">
        <f aca="false">'Raw Data'!D1391</f>
        <v>Research &amp; Development</v>
      </c>
      <c r="D1391" s="2" t="str">
        <f aca="false">'Raw Data'!K1391</f>
        <v>Sales Executive</v>
      </c>
      <c r="E1391" s="2" t="n">
        <f aca="false">'Raw Data'!Q1391</f>
        <v>1</v>
      </c>
      <c r="F1391" s="2" t="n">
        <f aca="false">'Raw Data'!U1391</f>
        <v>0</v>
      </c>
      <c r="G1391" s="2" t="n">
        <f aca="false">'Raw Data'!W1391</f>
        <v>4</v>
      </c>
      <c r="H1391" s="2" t="n">
        <f aca="false">'Raw Data'!V1391</f>
        <v>2</v>
      </c>
      <c r="I1391" s="2" t="n">
        <f aca="false">IF(AND(ISNUMBER(B1391),B1391&lt;=25),2,0)+IF(AND(ISNUMBER(E1391),E1391&lt;=5),2,0)+IF(AND(ISNUMBER(F1391),F1391&lt;=1),2,0)+IF(AND(ISNUMBER(G1391),G1391&lt;=2),1,0)+IF(AND(ISNUMBER(H1391),H1391&lt;=2),1,0)</f>
        <v>7</v>
      </c>
      <c r="J1391" s="2" t="str">
        <f aca="false">IF(I1391&gt;=6,"High",IF(I1391&gt;=3,"Medium","Low"))</f>
        <v>High</v>
      </c>
    </row>
    <row r="1392" customFormat="false" ht="15" hidden="false" customHeight="true" outlineLevel="0" collapsed="false">
      <c r="A1392" s="2" t="n">
        <f aca="false">'Raw Data'!H1392</f>
        <v>1391</v>
      </c>
      <c r="B1392" s="2" t="n">
        <f aca="false">'Raw Data'!A1392</f>
        <v>46</v>
      </c>
      <c r="C1392" s="2" t="str">
        <f aca="false">'Raw Data'!D1392</f>
        <v>Research &amp; Development</v>
      </c>
      <c r="D1392" s="2" t="str">
        <f aca="false">'Raw Data'!K1392</f>
        <v>Laboratory Technician</v>
      </c>
      <c r="E1392" s="2" t="n">
        <f aca="false">'Raw Data'!Q1392</f>
        <v>24</v>
      </c>
      <c r="F1392" s="2" t="n">
        <f aca="false">'Raw Data'!U1392</f>
        <v>7</v>
      </c>
      <c r="G1392" s="2" t="n">
        <f aca="false">'Raw Data'!W1392</f>
        <v>1</v>
      </c>
      <c r="H1392" s="2" t="n">
        <f aca="false">'Raw Data'!V1392</f>
        <v>2</v>
      </c>
      <c r="I1392" s="2" t="n">
        <f aca="false">IF(AND(ISNUMBER(B1392),B1392&lt;=25),2,0)+IF(AND(ISNUMBER(E1392),E1392&lt;=5),2,0)+IF(AND(ISNUMBER(F1392),F1392&lt;=1),2,0)+IF(AND(ISNUMBER(G1392),G1392&lt;=2),1,0)+IF(AND(ISNUMBER(H1392),H1392&lt;=2),1,0)</f>
        <v>2</v>
      </c>
      <c r="J1392" s="2" t="str">
        <f aca="false">IF(I1392&gt;=6,"High",IF(I1392&gt;=3,"Medium","Low"))</f>
        <v>Low</v>
      </c>
    </row>
    <row r="1393" customFormat="false" ht="15" hidden="false" customHeight="true" outlineLevel="0" collapsed="false">
      <c r="A1393" s="2" t="n">
        <f aca="false">'Raw Data'!H1393</f>
        <v>1392</v>
      </c>
      <c r="B1393" s="2" t="n">
        <f aca="false">'Raw Data'!A1393</f>
        <v>38</v>
      </c>
      <c r="C1393" s="2" t="str">
        <f aca="false">'Raw Data'!D1393</f>
        <v>Sales</v>
      </c>
      <c r="D1393" s="2" t="str">
        <f aca="false">'Raw Data'!K1393</f>
        <v>Manufacturing Director</v>
      </c>
      <c r="E1393" s="2" t="n">
        <f aca="false">'Raw Data'!Q1393</f>
        <v>2</v>
      </c>
      <c r="F1393" s="2" t="n">
        <f aca="false">'Raw Data'!U1393</f>
        <v>1</v>
      </c>
      <c r="G1393" s="2" t="n">
        <f aca="false">'Raw Data'!W1393</f>
        <v>4</v>
      </c>
      <c r="H1393" s="2" t="n">
        <f aca="false">'Raw Data'!V1393</f>
        <v>3</v>
      </c>
      <c r="I1393" s="2" t="n">
        <f aca="false">IF(AND(ISNUMBER(B1393),B1393&lt;=25),2,0)+IF(AND(ISNUMBER(E1393),E1393&lt;=5),2,0)+IF(AND(ISNUMBER(F1393),F1393&lt;=1),2,0)+IF(AND(ISNUMBER(G1393),G1393&lt;=2),1,0)+IF(AND(ISNUMBER(H1393),H1393&lt;=2),1,0)</f>
        <v>4</v>
      </c>
      <c r="J1393" s="2" t="str">
        <f aca="false">IF(I1393&gt;=6,"High",IF(I1393&gt;=3,"Medium","Low"))</f>
        <v>Medium</v>
      </c>
    </row>
    <row r="1394" customFormat="false" ht="15" hidden="false" customHeight="true" outlineLevel="0" collapsed="false">
      <c r="A1394" s="2" t="n">
        <f aca="false">'Raw Data'!H1394</f>
        <v>1393</v>
      </c>
      <c r="B1394" s="2" t="n">
        <f aca="false">'Raw Data'!A1394</f>
        <v>31</v>
      </c>
      <c r="C1394" s="2" t="str">
        <f aca="false">'Raw Data'!D1394</f>
        <v>Sales</v>
      </c>
      <c r="D1394" s="2" t="str">
        <f aca="false">'Raw Data'!K1394</f>
        <v>Sales Representative</v>
      </c>
      <c r="E1394" s="2" t="n">
        <f aca="false">'Raw Data'!Q1394</f>
        <v>7</v>
      </c>
      <c r="F1394" s="2" t="n">
        <f aca="false">'Raw Data'!U1394</f>
        <v>2</v>
      </c>
      <c r="G1394" s="2" t="n">
        <f aca="false">'Raw Data'!W1394</f>
        <v>4</v>
      </c>
      <c r="H1394" s="2" t="n">
        <f aca="false">'Raw Data'!V1394</f>
        <v>3</v>
      </c>
      <c r="I1394" s="2" t="n">
        <f aca="false">IF(AND(ISNUMBER(B1394),B1394&lt;=25),2,0)+IF(AND(ISNUMBER(E1394),E1394&lt;=5),2,0)+IF(AND(ISNUMBER(F1394),F1394&lt;=1),2,0)+IF(AND(ISNUMBER(G1394),G1394&lt;=2),1,0)+IF(AND(ISNUMBER(H1394),H1394&lt;=2),1,0)</f>
        <v>0</v>
      </c>
      <c r="J1394" s="2" t="str">
        <f aca="false">IF(I1394&gt;=6,"High",IF(I1394&gt;=3,"Medium","Low"))</f>
        <v>Low</v>
      </c>
    </row>
    <row r="1395" customFormat="false" ht="15" hidden="false" customHeight="true" outlineLevel="0" collapsed="false">
      <c r="A1395" s="2" t="n">
        <f aca="false">'Raw Data'!H1395</f>
        <v>1394</v>
      </c>
      <c r="B1395" s="2" t="n">
        <f aca="false">'Raw Data'!A1395</f>
        <v>34</v>
      </c>
      <c r="C1395" s="2" t="str">
        <f aca="false">'Raw Data'!D1395</f>
        <v>Sales</v>
      </c>
      <c r="D1395" s="2" t="str">
        <f aca="false">'Raw Data'!K1395</f>
        <v>Manager</v>
      </c>
      <c r="E1395" s="2" t="n">
        <f aca="false">'Raw Data'!Q1395</f>
        <v>9</v>
      </c>
      <c r="F1395" s="2" t="n">
        <f aca="false">'Raw Data'!U1395</f>
        <v>2</v>
      </c>
      <c r="G1395" s="2" t="n">
        <f aca="false">'Raw Data'!W1395</f>
        <v>2</v>
      </c>
      <c r="H1395" s="2" t="n">
        <f aca="false">'Raw Data'!V1395</f>
        <v>4</v>
      </c>
      <c r="I1395" s="2" t="n">
        <f aca="false">IF(AND(ISNUMBER(B1395),B1395&lt;=25),2,0)+IF(AND(ISNUMBER(E1395),E1395&lt;=5),2,0)+IF(AND(ISNUMBER(F1395),F1395&lt;=1),2,0)+IF(AND(ISNUMBER(G1395),G1395&lt;=2),1,0)+IF(AND(ISNUMBER(H1395),H1395&lt;=2),1,0)</f>
        <v>1</v>
      </c>
      <c r="J1395" s="2" t="str">
        <f aca="false">IF(I1395&gt;=6,"High",IF(I1395&gt;=3,"Medium","Low"))</f>
        <v>Low</v>
      </c>
    </row>
    <row r="1396" customFormat="false" ht="15" hidden="false" customHeight="true" outlineLevel="0" collapsed="false">
      <c r="A1396" s="2" t="n">
        <f aca="false">'Raw Data'!H1396</f>
        <v>1395</v>
      </c>
      <c r="B1396" s="2" t="n">
        <f aca="false">'Raw Data'!A1396</f>
        <v>41</v>
      </c>
      <c r="C1396" s="2" t="str">
        <f aca="false">'Raw Data'!D1396</f>
        <v>Research &amp; Development</v>
      </c>
      <c r="D1396" s="2" t="str">
        <f aca="false">'Raw Data'!K1396</f>
        <v>Laboratory Technician</v>
      </c>
      <c r="E1396" s="2" t="n">
        <f aca="false">'Raw Data'!Q1396</f>
        <v>4</v>
      </c>
      <c r="F1396" s="2" t="n">
        <f aca="false">'Raw Data'!U1396</f>
        <v>2</v>
      </c>
      <c r="G1396" s="2" t="n">
        <f aca="false">'Raw Data'!W1396</f>
        <v>2</v>
      </c>
      <c r="H1396" s="2" t="n">
        <f aca="false">'Raw Data'!V1396</f>
        <v>2</v>
      </c>
      <c r="I1396" s="2" t="n">
        <f aca="false">IF(AND(ISNUMBER(B1396),B1396&lt;=25),2,0)+IF(AND(ISNUMBER(E1396),E1396&lt;=5),2,0)+IF(AND(ISNUMBER(F1396),F1396&lt;=1),2,0)+IF(AND(ISNUMBER(G1396),G1396&lt;=2),1,0)+IF(AND(ISNUMBER(H1396),H1396&lt;=2),1,0)</f>
        <v>4</v>
      </c>
      <c r="J1396" s="2" t="str">
        <f aca="false">IF(I1396&gt;=6,"High",IF(I1396&gt;=3,"Medium","Low"))</f>
        <v>Medium</v>
      </c>
    </row>
    <row r="1397" customFormat="false" ht="15" hidden="false" customHeight="true" outlineLevel="0" collapsed="false">
      <c r="A1397" s="2" t="n">
        <f aca="false">'Raw Data'!H1397</f>
        <v>1396</v>
      </c>
      <c r="B1397" s="2" t="n">
        <f aca="false">'Raw Data'!A1397</f>
        <v>50</v>
      </c>
      <c r="C1397" s="2" t="str">
        <f aca="false">'Raw Data'!D1397</f>
        <v>Sales</v>
      </c>
      <c r="D1397" s="2" t="str">
        <f aca="false">'Raw Data'!K1397</f>
        <v>Sales Executive</v>
      </c>
      <c r="E1397" s="2" t="n">
        <f aca="false">'Raw Data'!Q1397</f>
        <v>5</v>
      </c>
      <c r="F1397" s="2" t="n">
        <f aca="false">'Raw Data'!U1397</f>
        <v>2</v>
      </c>
      <c r="G1397" s="2" t="n">
        <f aca="false">'Raw Data'!W1397</f>
        <v>3</v>
      </c>
      <c r="H1397" s="2" t="n">
        <f aca="false">'Raw Data'!V1397</f>
        <v>3</v>
      </c>
      <c r="I1397" s="2" t="n">
        <f aca="false">IF(AND(ISNUMBER(B1397),B1397&lt;=25),2,0)+IF(AND(ISNUMBER(E1397),E1397&lt;=5),2,0)+IF(AND(ISNUMBER(F1397),F1397&lt;=1),2,0)+IF(AND(ISNUMBER(G1397),G1397&lt;=2),1,0)+IF(AND(ISNUMBER(H1397),H1397&lt;=2),1,0)</f>
        <v>2</v>
      </c>
      <c r="J1397" s="2" t="str">
        <f aca="false">IF(I1397&gt;=6,"High",IF(I1397&gt;=3,"Medium","Low"))</f>
        <v>Low</v>
      </c>
    </row>
    <row r="1398" customFormat="false" ht="15" hidden="false" customHeight="true" outlineLevel="0" collapsed="false">
      <c r="A1398" s="2" t="n">
        <f aca="false">'Raw Data'!H1398</f>
        <v>1397</v>
      </c>
      <c r="B1398" s="2" t="n">
        <f aca="false">'Raw Data'!A1398</f>
        <v>53</v>
      </c>
      <c r="C1398" s="2" t="str">
        <f aca="false">'Raw Data'!D1398</f>
        <v>Sales</v>
      </c>
      <c r="D1398" s="2" t="str">
        <f aca="false">'Raw Data'!K1398</f>
        <v>Manager</v>
      </c>
      <c r="E1398" s="2" t="n">
        <f aca="false">'Raw Data'!Q1398</f>
        <v>5</v>
      </c>
      <c r="F1398" s="2" t="n">
        <f aca="false">'Raw Data'!U1398</f>
        <v>3</v>
      </c>
      <c r="G1398" s="2" t="n">
        <f aca="false">'Raw Data'!W1398</f>
        <v>1</v>
      </c>
      <c r="H1398" s="2" t="n">
        <f aca="false">'Raw Data'!V1398</f>
        <v>4</v>
      </c>
      <c r="I1398" s="2" t="n">
        <f aca="false">IF(AND(ISNUMBER(B1398),B1398&lt;=25),2,0)+IF(AND(ISNUMBER(E1398),E1398&lt;=5),2,0)+IF(AND(ISNUMBER(F1398),F1398&lt;=1),2,0)+IF(AND(ISNUMBER(G1398),G1398&lt;=2),1,0)+IF(AND(ISNUMBER(H1398),H1398&lt;=2),1,0)</f>
        <v>3</v>
      </c>
      <c r="J1398" s="2" t="str">
        <f aca="false">IF(I1398&gt;=6,"High",IF(I1398&gt;=3,"Medium","Low"))</f>
        <v>Medium</v>
      </c>
    </row>
    <row r="1399" customFormat="false" ht="15" hidden="false" customHeight="true" outlineLevel="0" collapsed="false">
      <c r="A1399" s="2" t="n">
        <f aca="false">'Raw Data'!H1399</f>
        <v>1398</v>
      </c>
      <c r="B1399" s="2" t="n">
        <f aca="false">'Raw Data'!A1399</f>
        <v>33</v>
      </c>
      <c r="C1399" s="2" t="str">
        <f aca="false">'Raw Data'!D1399</f>
        <v>Research &amp; Development</v>
      </c>
      <c r="D1399" s="2" t="str">
        <f aca="false">'Raw Data'!K1399</f>
        <v>Human Resources</v>
      </c>
      <c r="E1399" s="2" t="n">
        <f aca="false">'Raw Data'!Q1399</f>
        <v>8</v>
      </c>
      <c r="F1399" s="2" t="n">
        <f aca="false">'Raw Data'!U1399</f>
        <v>6</v>
      </c>
      <c r="G1399" s="2" t="n">
        <f aca="false">'Raw Data'!W1399</f>
        <v>2</v>
      </c>
      <c r="H1399" s="2" t="n">
        <f aca="false">'Raw Data'!V1399</f>
        <v>4</v>
      </c>
      <c r="I1399" s="2" t="n">
        <f aca="false">IF(AND(ISNUMBER(B1399),B1399&lt;=25),2,0)+IF(AND(ISNUMBER(E1399),E1399&lt;=5),2,0)+IF(AND(ISNUMBER(F1399),F1399&lt;=1),2,0)+IF(AND(ISNUMBER(G1399),G1399&lt;=2),1,0)+IF(AND(ISNUMBER(H1399),H1399&lt;=2),1,0)</f>
        <v>1</v>
      </c>
      <c r="J1399" s="2" t="str">
        <f aca="false">IF(I1399&gt;=6,"High",IF(I1399&gt;=3,"Medium","Low"))</f>
        <v>Low</v>
      </c>
    </row>
    <row r="1400" customFormat="false" ht="15" hidden="false" customHeight="true" outlineLevel="0" collapsed="false">
      <c r="A1400" s="2" t="n">
        <f aca="false">'Raw Data'!H1400</f>
        <v>1399</v>
      </c>
      <c r="B1400" s="2" t="n">
        <f aca="false">'Raw Data'!A1400</f>
        <v>40</v>
      </c>
      <c r="C1400" s="2" t="str">
        <f aca="false">'Raw Data'!D1400</f>
        <v>Research &amp; Development</v>
      </c>
      <c r="D1400" s="2" t="str">
        <f aca="false">'Raw Data'!K1400</f>
        <v>Sales Executive</v>
      </c>
      <c r="E1400" s="2" t="n">
        <f aca="false">'Raw Data'!Q1400</f>
        <v>21</v>
      </c>
      <c r="F1400" s="2" t="n">
        <f aca="false">'Raw Data'!U1400</f>
        <v>9</v>
      </c>
      <c r="G1400" s="2" t="n">
        <f aca="false">'Raw Data'!W1400</f>
        <v>3</v>
      </c>
      <c r="H1400" s="2" t="n">
        <f aca="false">'Raw Data'!V1400</f>
        <v>4</v>
      </c>
      <c r="I1400" s="2" t="n">
        <f aca="false">IF(AND(ISNUMBER(B1400),B1400&lt;=25),2,0)+IF(AND(ISNUMBER(E1400),E1400&lt;=5),2,0)+IF(AND(ISNUMBER(F1400),F1400&lt;=1),2,0)+IF(AND(ISNUMBER(G1400),G1400&lt;=2),1,0)+IF(AND(ISNUMBER(H1400),H1400&lt;=2),1,0)</f>
        <v>0</v>
      </c>
      <c r="J1400" s="2" t="str">
        <f aca="false">IF(I1400&gt;=6,"High",IF(I1400&gt;=3,"Medium","Low"))</f>
        <v>Low</v>
      </c>
    </row>
    <row r="1401" customFormat="false" ht="15" hidden="false" customHeight="true" outlineLevel="0" collapsed="false">
      <c r="A1401" s="2" t="n">
        <f aca="false">'Raw Data'!H1401</f>
        <v>1400</v>
      </c>
      <c r="B1401" s="2" t="n">
        <f aca="false">'Raw Data'!A1401</f>
        <v>55</v>
      </c>
      <c r="C1401" s="2" t="str">
        <f aca="false">'Raw Data'!D1401</f>
        <v>Research &amp; Development</v>
      </c>
      <c r="D1401" s="2" t="str">
        <f aca="false">'Raw Data'!K1401</f>
        <v>Laboratory Technician</v>
      </c>
      <c r="E1401" s="2" t="n">
        <f aca="false">'Raw Data'!Q1401</f>
        <v>36</v>
      </c>
      <c r="F1401" s="2" t="n">
        <f aca="false">'Raw Data'!U1401</f>
        <v>15</v>
      </c>
      <c r="G1401" s="2" t="n">
        <f aca="false">'Raw Data'!W1401</f>
        <v>2</v>
      </c>
      <c r="H1401" s="2" t="n">
        <f aca="false">'Raw Data'!V1401</f>
        <v>3</v>
      </c>
      <c r="I1401" s="2" t="n">
        <f aca="false">IF(AND(ISNUMBER(B1401),B1401&lt;=25),2,0)+IF(AND(ISNUMBER(E1401),E1401&lt;=5),2,0)+IF(AND(ISNUMBER(F1401),F1401&lt;=1),2,0)+IF(AND(ISNUMBER(G1401),G1401&lt;=2),1,0)+IF(AND(ISNUMBER(H1401),H1401&lt;=2),1,0)</f>
        <v>1</v>
      </c>
      <c r="J1401" s="2" t="str">
        <f aca="false">IF(I1401&gt;=6,"High",IF(I1401&gt;=3,"Medium","Low"))</f>
        <v>Low</v>
      </c>
    </row>
    <row r="1402" customFormat="false" ht="15" hidden="false" customHeight="true" outlineLevel="0" collapsed="false">
      <c r="A1402" s="2" t="n">
        <f aca="false">'Raw Data'!H1402</f>
        <v>1401</v>
      </c>
      <c r="B1402" s="2" t="n">
        <f aca="false">'Raw Data'!A1402</f>
        <v>34</v>
      </c>
      <c r="C1402" s="2" t="str">
        <f aca="false">'Raw Data'!D1402</f>
        <v>Human Resources</v>
      </c>
      <c r="D1402" s="2" t="str">
        <f aca="false">'Raw Data'!K1402</f>
        <v>Research Scientist</v>
      </c>
      <c r="E1402" s="2" t="n">
        <f aca="false">'Raw Data'!Q1402</f>
        <v>10</v>
      </c>
      <c r="F1402" s="2" t="n">
        <f aca="false">'Raw Data'!U1402</f>
        <v>9</v>
      </c>
      <c r="G1402" s="2" t="n">
        <f aca="false">'Raw Data'!W1402</f>
        <v>3</v>
      </c>
      <c r="H1402" s="2" t="n">
        <f aca="false">'Raw Data'!V1402</f>
        <v>4</v>
      </c>
      <c r="I1402" s="2" t="n">
        <f aca="false">IF(AND(ISNUMBER(B1402),B1402&lt;=25),2,0)+IF(AND(ISNUMBER(E1402),E1402&lt;=5),2,0)+IF(AND(ISNUMBER(F1402),F1402&lt;=1),2,0)+IF(AND(ISNUMBER(G1402),G1402&lt;=2),1,0)+IF(AND(ISNUMBER(H1402),H1402&lt;=2),1,0)</f>
        <v>0</v>
      </c>
      <c r="J1402" s="2" t="str">
        <f aca="false">IF(I1402&gt;=6,"High",IF(I1402&gt;=3,"Medium","Low"))</f>
        <v>Low</v>
      </c>
    </row>
    <row r="1403" customFormat="false" ht="15" hidden="false" customHeight="true" outlineLevel="0" collapsed="false">
      <c r="A1403" s="2" t="n">
        <f aca="false">'Raw Data'!H1403</f>
        <v>1402</v>
      </c>
      <c r="B1403" s="2" t="n">
        <f aca="false">'Raw Data'!A1403</f>
        <v>51</v>
      </c>
      <c r="C1403" s="2" t="str">
        <f aca="false">'Raw Data'!D1403</f>
        <v>Human Resources</v>
      </c>
      <c r="D1403" s="2" t="str">
        <f aca="false">'Raw Data'!K1403</f>
        <v>Sales Representative</v>
      </c>
      <c r="E1403" s="2" t="n">
        <f aca="false">'Raw Data'!Q1403</f>
        <v>21</v>
      </c>
      <c r="F1403" s="2" t="n">
        <f aca="false">'Raw Data'!U1403</f>
        <v>0</v>
      </c>
      <c r="G1403" s="2" t="n">
        <f aca="false">'Raw Data'!W1403</f>
        <v>2</v>
      </c>
      <c r="H1403" s="2" t="n">
        <f aca="false">'Raw Data'!V1403</f>
        <v>4</v>
      </c>
      <c r="I1403" s="2" t="n">
        <f aca="false">IF(AND(ISNUMBER(B1403),B1403&lt;=25),2,0)+IF(AND(ISNUMBER(E1403),E1403&lt;=5),2,0)+IF(AND(ISNUMBER(F1403),F1403&lt;=1),2,0)+IF(AND(ISNUMBER(G1403),G1403&lt;=2),1,0)+IF(AND(ISNUMBER(H1403),H1403&lt;=2),1,0)</f>
        <v>3</v>
      </c>
      <c r="J1403" s="2" t="str">
        <f aca="false">IF(I1403&gt;=6,"High",IF(I1403&gt;=3,"Medium","Low"))</f>
        <v>Medium</v>
      </c>
    </row>
    <row r="1404" customFormat="false" ht="15" hidden="false" customHeight="true" outlineLevel="0" collapsed="false">
      <c r="A1404" s="2" t="n">
        <f aca="false">'Raw Data'!H1404</f>
        <v>1403</v>
      </c>
      <c r="B1404" s="2" t="n">
        <f aca="false">'Raw Data'!A1404</f>
        <v>52</v>
      </c>
      <c r="C1404" s="2" t="str">
        <f aca="false">'Raw Data'!D1404</f>
        <v>Research &amp; Development</v>
      </c>
      <c r="D1404" s="2" t="str">
        <f aca="false">'Raw Data'!K1404</f>
        <v>Sales Representative</v>
      </c>
      <c r="E1404" s="2" t="n">
        <f aca="false">'Raw Data'!Q1404</f>
        <v>34</v>
      </c>
      <c r="F1404" s="2" t="n">
        <f aca="false">'Raw Data'!U1404</f>
        <v>9</v>
      </c>
      <c r="G1404" s="2" t="n">
        <f aca="false">'Raw Data'!W1404</f>
        <v>3</v>
      </c>
      <c r="H1404" s="2" t="n">
        <f aca="false">'Raw Data'!V1404</f>
        <v>3</v>
      </c>
      <c r="I1404" s="2" t="n">
        <f aca="false">IF(AND(ISNUMBER(B1404),B1404&lt;=25),2,0)+IF(AND(ISNUMBER(E1404),E1404&lt;=5),2,0)+IF(AND(ISNUMBER(F1404),F1404&lt;=1),2,0)+IF(AND(ISNUMBER(G1404),G1404&lt;=2),1,0)+IF(AND(ISNUMBER(H1404),H1404&lt;=2),1,0)</f>
        <v>0</v>
      </c>
      <c r="J1404" s="2" t="str">
        <f aca="false">IF(I1404&gt;=6,"High",IF(I1404&gt;=3,"Medium","Low"))</f>
        <v>Low</v>
      </c>
    </row>
    <row r="1405" customFormat="false" ht="15" hidden="false" customHeight="true" outlineLevel="0" collapsed="false">
      <c r="A1405" s="2" t="n">
        <f aca="false">'Raw Data'!H1405</f>
        <v>1404</v>
      </c>
      <c r="B1405" s="2" t="n">
        <f aca="false">'Raw Data'!A1405</f>
        <v>27</v>
      </c>
      <c r="C1405" s="2" t="str">
        <f aca="false">'Raw Data'!D1405</f>
        <v>Sales</v>
      </c>
      <c r="D1405" s="2" t="str">
        <f aca="false">'Raw Data'!K1405</f>
        <v>Research Scientist</v>
      </c>
      <c r="E1405" s="2" t="n">
        <f aca="false">'Raw Data'!Q1405</f>
        <v>7</v>
      </c>
      <c r="F1405" s="2" t="n">
        <f aca="false">'Raw Data'!U1405</f>
        <v>3</v>
      </c>
      <c r="G1405" s="2" t="n">
        <f aca="false">'Raw Data'!W1405</f>
        <v>2</v>
      </c>
      <c r="H1405" s="2" t="n">
        <f aca="false">'Raw Data'!V1405</f>
        <v>4</v>
      </c>
      <c r="I1405" s="2" t="n">
        <f aca="false">IF(AND(ISNUMBER(B1405),B1405&lt;=25),2,0)+IF(AND(ISNUMBER(E1405),E1405&lt;=5),2,0)+IF(AND(ISNUMBER(F1405),F1405&lt;=1),2,0)+IF(AND(ISNUMBER(G1405),G1405&lt;=2),1,0)+IF(AND(ISNUMBER(H1405),H1405&lt;=2),1,0)</f>
        <v>1</v>
      </c>
      <c r="J1405" s="2" t="str">
        <f aca="false">IF(I1405&gt;=6,"High",IF(I1405&gt;=3,"Medium","Low"))</f>
        <v>Low</v>
      </c>
    </row>
    <row r="1406" customFormat="false" ht="15" hidden="false" customHeight="true" outlineLevel="0" collapsed="false">
      <c r="A1406" s="2" t="n">
        <f aca="false">'Raw Data'!H1406</f>
        <v>1405</v>
      </c>
      <c r="B1406" s="2" t="n">
        <f aca="false">'Raw Data'!A1406</f>
        <v>35</v>
      </c>
      <c r="C1406" s="2" t="str">
        <f aca="false">'Raw Data'!D1406</f>
        <v>Research &amp; Development</v>
      </c>
      <c r="D1406" s="2" t="str">
        <f aca="false">'Raw Data'!K1406</f>
        <v>Research Director</v>
      </c>
      <c r="E1406" s="2" t="n">
        <f aca="false">'Raw Data'!Q1406</f>
        <v>8</v>
      </c>
      <c r="F1406" s="2" t="n">
        <f aca="false">'Raw Data'!U1406</f>
        <v>1</v>
      </c>
      <c r="G1406" s="2" t="n">
        <f aca="false">'Raw Data'!W1406</f>
        <v>3</v>
      </c>
      <c r="H1406" s="2" t="n">
        <f aca="false">'Raw Data'!V1406</f>
        <v>2</v>
      </c>
      <c r="I1406" s="2" t="n">
        <f aca="false">IF(AND(ISNUMBER(B1406),B1406&lt;=25),2,0)+IF(AND(ISNUMBER(E1406),E1406&lt;=5),2,0)+IF(AND(ISNUMBER(F1406),F1406&lt;=1),2,0)+IF(AND(ISNUMBER(G1406),G1406&lt;=2),1,0)+IF(AND(ISNUMBER(H1406),H1406&lt;=2),1,0)</f>
        <v>3</v>
      </c>
      <c r="J1406" s="2" t="str">
        <f aca="false">IF(I1406&gt;=6,"High",IF(I1406&gt;=3,"Medium","Low"))</f>
        <v>Medium</v>
      </c>
    </row>
    <row r="1407" customFormat="false" ht="15" hidden="false" customHeight="true" outlineLevel="0" collapsed="false">
      <c r="A1407" s="2" t="n">
        <f aca="false">'Raw Data'!H1407</f>
        <v>1406</v>
      </c>
      <c r="B1407" s="2" t="n">
        <f aca="false">'Raw Data'!A1407</f>
        <v>43</v>
      </c>
      <c r="C1407" s="2" t="str">
        <f aca="false">'Raw Data'!D1407</f>
        <v>Research &amp; Development</v>
      </c>
      <c r="D1407" s="2" t="str">
        <f aca="false">'Raw Data'!K1407</f>
        <v>Healthcare Representative</v>
      </c>
      <c r="E1407" s="2" t="n">
        <f aca="false">'Raw Data'!Q1407</f>
        <v>7</v>
      </c>
      <c r="F1407" s="2" t="n">
        <f aca="false">'Raw Data'!U1407</f>
        <v>2</v>
      </c>
      <c r="G1407" s="2" t="n">
        <f aca="false">'Raw Data'!W1407</f>
        <v>4</v>
      </c>
      <c r="H1407" s="2" t="n">
        <f aca="false">'Raw Data'!V1407</f>
        <v>4</v>
      </c>
      <c r="I1407" s="2" t="n">
        <f aca="false">IF(AND(ISNUMBER(B1407),B1407&lt;=25),2,0)+IF(AND(ISNUMBER(E1407),E1407&lt;=5),2,0)+IF(AND(ISNUMBER(F1407),F1407&lt;=1),2,0)+IF(AND(ISNUMBER(G1407),G1407&lt;=2),1,0)+IF(AND(ISNUMBER(H1407),H1407&lt;=2),1,0)</f>
        <v>0</v>
      </c>
      <c r="J1407" s="2" t="str">
        <f aca="false">IF(I1407&gt;=6,"High",IF(I1407&gt;=3,"Medium","Low"))</f>
        <v>Low</v>
      </c>
    </row>
    <row r="1408" customFormat="false" ht="15" hidden="false" customHeight="true" outlineLevel="0" collapsed="false">
      <c r="A1408" s="2" t="n">
        <f aca="false">'Raw Data'!H1408</f>
        <v>1407</v>
      </c>
      <c r="B1408" s="2" t="n">
        <f aca="false">'Raw Data'!A1408</f>
        <v>45</v>
      </c>
      <c r="C1408" s="2" t="str">
        <f aca="false">'Raw Data'!D1408</f>
        <v>Research &amp; Development</v>
      </c>
      <c r="D1408" s="2" t="str">
        <f aca="false">'Raw Data'!K1408</f>
        <v>Sales Executive</v>
      </c>
      <c r="E1408" s="2" t="n">
        <f aca="false">'Raw Data'!Q1408</f>
        <v>22</v>
      </c>
      <c r="F1408" s="2" t="n">
        <f aca="false">'Raw Data'!U1408</f>
        <v>8</v>
      </c>
      <c r="G1408" s="2" t="n">
        <f aca="false">'Raw Data'!W1408</f>
        <v>4</v>
      </c>
      <c r="H1408" s="2" t="n">
        <f aca="false">'Raw Data'!V1408</f>
        <v>1</v>
      </c>
      <c r="I1408" s="2" t="n">
        <f aca="false">IF(AND(ISNUMBER(B1408),B1408&lt;=25),2,0)+IF(AND(ISNUMBER(E1408),E1408&lt;=5),2,0)+IF(AND(ISNUMBER(F1408),F1408&lt;=1),2,0)+IF(AND(ISNUMBER(G1408),G1408&lt;=2),1,0)+IF(AND(ISNUMBER(H1408),H1408&lt;=2),1,0)</f>
        <v>1</v>
      </c>
      <c r="J1408" s="2" t="str">
        <f aca="false">IF(I1408&gt;=6,"High",IF(I1408&gt;=3,"Medium","Low"))</f>
        <v>Low</v>
      </c>
    </row>
    <row r="1409" customFormat="false" ht="15" hidden="false" customHeight="true" outlineLevel="0" collapsed="false">
      <c r="A1409" s="2" t="n">
        <f aca="false">'Raw Data'!H1409</f>
        <v>1408</v>
      </c>
      <c r="B1409" s="2" t="n">
        <f aca="false">'Raw Data'!A1409</f>
        <v>37</v>
      </c>
      <c r="C1409" s="2" t="str">
        <f aca="false">'Raw Data'!D1409</f>
        <v>Research &amp; Development</v>
      </c>
      <c r="D1409" s="2" t="str">
        <f aca="false">'Raw Data'!K1409</f>
        <v>Research Scientist</v>
      </c>
      <c r="E1409" s="2" t="n">
        <f aca="false">'Raw Data'!Q1409</f>
        <v>8</v>
      </c>
      <c r="F1409" s="2" t="n">
        <f aca="false">'Raw Data'!U1409</f>
        <v>7</v>
      </c>
      <c r="G1409" s="2" t="n">
        <f aca="false">'Raw Data'!W1409</f>
        <v>1</v>
      </c>
      <c r="H1409" s="2" t="n">
        <f aca="false">'Raw Data'!V1409</f>
        <v>2</v>
      </c>
      <c r="I1409" s="2" t="n">
        <f aca="false">IF(AND(ISNUMBER(B1409),B1409&lt;=25),2,0)+IF(AND(ISNUMBER(E1409),E1409&lt;=5),2,0)+IF(AND(ISNUMBER(F1409),F1409&lt;=1),2,0)+IF(AND(ISNUMBER(G1409),G1409&lt;=2),1,0)+IF(AND(ISNUMBER(H1409),H1409&lt;=2),1,0)</f>
        <v>2</v>
      </c>
      <c r="J1409" s="2" t="str">
        <f aca="false">IF(I1409&gt;=6,"High",IF(I1409&gt;=3,"Medium","Low"))</f>
        <v>Low</v>
      </c>
    </row>
    <row r="1410" customFormat="false" ht="15" hidden="false" customHeight="true" outlineLevel="0" collapsed="false">
      <c r="A1410" s="2" t="n">
        <f aca="false">'Raw Data'!H1410</f>
        <v>1409</v>
      </c>
      <c r="B1410" s="2" t="n">
        <f aca="false">'Raw Data'!A1410</f>
        <v>35</v>
      </c>
      <c r="C1410" s="2" t="str">
        <f aca="false">'Raw Data'!D1410</f>
        <v>Research &amp; Development</v>
      </c>
      <c r="D1410" s="2" t="str">
        <f aca="false">'Raw Data'!K1410</f>
        <v>Research Director</v>
      </c>
      <c r="E1410" s="2" t="n">
        <f aca="false">'Raw Data'!Q1410</f>
        <v>10</v>
      </c>
      <c r="F1410" s="2" t="n">
        <f aca="false">'Raw Data'!U1410</f>
        <v>2</v>
      </c>
      <c r="G1410" s="2" t="n">
        <f aca="false">'Raw Data'!W1410</f>
        <v>2</v>
      </c>
      <c r="H1410" s="2" t="n">
        <f aca="false">'Raw Data'!V1410</f>
        <v>2</v>
      </c>
      <c r="I1410" s="2" t="n">
        <f aca="false">IF(AND(ISNUMBER(B1410),B1410&lt;=25),2,0)+IF(AND(ISNUMBER(E1410),E1410&lt;=5),2,0)+IF(AND(ISNUMBER(F1410),F1410&lt;=1),2,0)+IF(AND(ISNUMBER(G1410),G1410&lt;=2),1,0)+IF(AND(ISNUMBER(H1410),H1410&lt;=2),1,0)</f>
        <v>2</v>
      </c>
      <c r="J1410" s="2" t="str">
        <f aca="false">IF(I1410&gt;=6,"High",IF(I1410&gt;=3,"Medium","Low"))</f>
        <v>Low</v>
      </c>
    </row>
    <row r="1411" customFormat="false" ht="15" hidden="false" customHeight="true" outlineLevel="0" collapsed="false">
      <c r="A1411" s="2" t="n">
        <f aca="false">'Raw Data'!H1411</f>
        <v>1410</v>
      </c>
      <c r="B1411" s="2" t="n">
        <f aca="false">'Raw Data'!A1411</f>
        <v>42</v>
      </c>
      <c r="C1411" s="2" t="str">
        <f aca="false">'Raw Data'!D1411</f>
        <v>Research &amp; Development</v>
      </c>
      <c r="D1411" s="2" t="str">
        <f aca="false">'Raw Data'!K1411</f>
        <v>Sales Executive</v>
      </c>
      <c r="E1411" s="2" t="n">
        <f aca="false">'Raw Data'!Q1411</f>
        <v>11</v>
      </c>
      <c r="F1411" s="2" t="n">
        <f aca="false">'Raw Data'!U1411</f>
        <v>2</v>
      </c>
      <c r="G1411" s="2" t="n">
        <f aca="false">'Raw Data'!W1411</f>
        <v>3</v>
      </c>
      <c r="H1411" s="2" t="n">
        <f aca="false">'Raw Data'!V1411</f>
        <v>3</v>
      </c>
      <c r="I1411" s="2" t="n">
        <f aca="false">IF(AND(ISNUMBER(B1411),B1411&lt;=25),2,0)+IF(AND(ISNUMBER(E1411),E1411&lt;=5),2,0)+IF(AND(ISNUMBER(F1411),F1411&lt;=1),2,0)+IF(AND(ISNUMBER(G1411),G1411&lt;=2),1,0)+IF(AND(ISNUMBER(H1411),H1411&lt;=2),1,0)</f>
        <v>0</v>
      </c>
      <c r="J1411" s="2" t="str">
        <f aca="false">IF(I1411&gt;=6,"High",IF(I1411&gt;=3,"Medium","Low"))</f>
        <v>Low</v>
      </c>
    </row>
    <row r="1412" customFormat="false" ht="15" hidden="false" customHeight="true" outlineLevel="0" collapsed="false">
      <c r="A1412" s="2" t="n">
        <f aca="false">'Raw Data'!H1412</f>
        <v>1411</v>
      </c>
      <c r="B1412" s="2" t="n">
        <f aca="false">'Raw Data'!A1412</f>
        <v>38</v>
      </c>
      <c r="C1412" s="2" t="str">
        <f aca="false">'Raw Data'!D1412</f>
        <v>Sales</v>
      </c>
      <c r="D1412" s="2" t="str">
        <f aca="false">'Raw Data'!K1412</f>
        <v>Research Scientist</v>
      </c>
      <c r="E1412" s="2" t="n">
        <f aca="false">'Raw Data'!Q1412</f>
        <v>14</v>
      </c>
      <c r="F1412" s="2" t="n">
        <f aca="false">'Raw Data'!U1412</f>
        <v>0</v>
      </c>
      <c r="G1412" s="2" t="n">
        <f aca="false">'Raw Data'!W1412</f>
        <v>3</v>
      </c>
      <c r="H1412" s="2" t="n">
        <f aca="false">'Raw Data'!V1412</f>
        <v>4</v>
      </c>
      <c r="I1412" s="2" t="n">
        <f aca="false">IF(AND(ISNUMBER(B1412),B1412&lt;=25),2,0)+IF(AND(ISNUMBER(E1412),E1412&lt;=5),2,0)+IF(AND(ISNUMBER(F1412),F1412&lt;=1),2,0)+IF(AND(ISNUMBER(G1412),G1412&lt;=2),1,0)+IF(AND(ISNUMBER(H1412),H1412&lt;=2),1,0)</f>
        <v>2</v>
      </c>
      <c r="J1412" s="2" t="str">
        <f aca="false">IF(I1412&gt;=6,"High",IF(I1412&gt;=3,"Medium","Low"))</f>
        <v>Low</v>
      </c>
    </row>
    <row r="1413" customFormat="false" ht="15" hidden="false" customHeight="true" outlineLevel="0" collapsed="false">
      <c r="A1413" s="2" t="n">
        <f aca="false">'Raw Data'!H1413</f>
        <v>1412</v>
      </c>
      <c r="B1413" s="2" t="n">
        <f aca="false">'Raw Data'!A1413</f>
        <v>38</v>
      </c>
      <c r="C1413" s="2" t="str">
        <f aca="false">'Raw Data'!D1413</f>
        <v>Human Resources</v>
      </c>
      <c r="D1413" s="2" t="str">
        <f aca="false">'Raw Data'!K1413</f>
        <v>Manufacturing Director</v>
      </c>
      <c r="E1413" s="2" t="n">
        <f aca="false">'Raw Data'!Q1413</f>
        <v>9</v>
      </c>
      <c r="F1413" s="2" t="n">
        <f aca="false">'Raw Data'!U1413</f>
        <v>7</v>
      </c>
      <c r="G1413" s="2" t="n">
        <f aca="false">'Raw Data'!W1413</f>
        <v>4</v>
      </c>
      <c r="H1413" s="2" t="n">
        <f aca="false">'Raw Data'!V1413</f>
        <v>4</v>
      </c>
      <c r="I1413" s="2" t="n">
        <f aca="false">IF(AND(ISNUMBER(B1413),B1413&lt;=25),2,0)+IF(AND(ISNUMBER(E1413),E1413&lt;=5),2,0)+IF(AND(ISNUMBER(F1413),F1413&lt;=1),2,0)+IF(AND(ISNUMBER(G1413),G1413&lt;=2),1,0)+IF(AND(ISNUMBER(H1413),H1413&lt;=2),1,0)</f>
        <v>0</v>
      </c>
      <c r="J1413" s="2" t="str">
        <f aca="false">IF(I1413&gt;=6,"High",IF(I1413&gt;=3,"Medium","Low"))</f>
        <v>Low</v>
      </c>
    </row>
    <row r="1414" customFormat="false" ht="15" hidden="false" customHeight="true" outlineLevel="0" collapsed="false">
      <c r="A1414" s="2" t="n">
        <f aca="false">'Raw Data'!H1414</f>
        <v>1413</v>
      </c>
      <c r="B1414" s="2" t="n">
        <f aca="false">'Raw Data'!A1414</f>
        <v>27</v>
      </c>
      <c r="C1414" s="2" t="str">
        <f aca="false">'Raw Data'!D1414</f>
        <v>Research &amp; Development</v>
      </c>
      <c r="D1414" s="2" t="str">
        <f aca="false">'Raw Data'!K1414</f>
        <v>Manager</v>
      </c>
      <c r="E1414" s="2" t="n">
        <f aca="false">'Raw Data'!Q1414</f>
        <v>6</v>
      </c>
      <c r="F1414" s="2" t="n">
        <f aca="false">'Raw Data'!U1414</f>
        <v>0</v>
      </c>
      <c r="G1414" s="2" t="n">
        <f aca="false">'Raw Data'!W1414</f>
        <v>1</v>
      </c>
      <c r="H1414" s="2" t="n">
        <f aca="false">'Raw Data'!V1414</f>
        <v>3</v>
      </c>
      <c r="I1414" s="2" t="n">
        <f aca="false">IF(AND(ISNUMBER(B1414),B1414&lt;=25),2,0)+IF(AND(ISNUMBER(E1414),E1414&lt;=5),2,0)+IF(AND(ISNUMBER(F1414),F1414&lt;=1),2,0)+IF(AND(ISNUMBER(G1414),G1414&lt;=2),1,0)+IF(AND(ISNUMBER(H1414),H1414&lt;=2),1,0)</f>
        <v>3</v>
      </c>
      <c r="J1414" s="2" t="str">
        <f aca="false">IF(I1414&gt;=6,"High",IF(I1414&gt;=3,"Medium","Low"))</f>
        <v>Medium</v>
      </c>
    </row>
    <row r="1415" customFormat="false" ht="15" hidden="false" customHeight="true" outlineLevel="0" collapsed="false">
      <c r="A1415" s="2" t="n">
        <f aca="false">'Raw Data'!H1415</f>
        <v>1414</v>
      </c>
      <c r="B1415" s="2" t="n">
        <f aca="false">'Raw Data'!A1415</f>
        <v>49</v>
      </c>
      <c r="C1415" s="2" t="str">
        <f aca="false">'Raw Data'!D1415</f>
        <v>Research &amp; Development</v>
      </c>
      <c r="D1415" s="2" t="str">
        <f aca="false">'Raw Data'!K1415</f>
        <v>Sales Executive</v>
      </c>
      <c r="E1415" s="2" t="n">
        <f aca="false">'Raw Data'!Q1415</f>
        <v>7</v>
      </c>
      <c r="F1415" s="2" t="n">
        <f aca="false">'Raw Data'!U1415</f>
        <v>7</v>
      </c>
      <c r="G1415" s="2" t="n">
        <f aca="false">'Raw Data'!W1415</f>
        <v>4</v>
      </c>
      <c r="H1415" s="2" t="n">
        <f aca="false">'Raw Data'!V1415</f>
        <v>4</v>
      </c>
      <c r="I1415" s="2" t="n">
        <f aca="false">IF(AND(ISNUMBER(B1415),B1415&lt;=25),2,0)+IF(AND(ISNUMBER(E1415),E1415&lt;=5),2,0)+IF(AND(ISNUMBER(F1415),F1415&lt;=1),2,0)+IF(AND(ISNUMBER(G1415),G1415&lt;=2),1,0)+IF(AND(ISNUMBER(H1415),H1415&lt;=2),1,0)</f>
        <v>0</v>
      </c>
      <c r="J1415" s="2" t="str">
        <f aca="false">IF(I1415&gt;=6,"High",IF(I1415&gt;=3,"Medium","Low"))</f>
        <v>Low</v>
      </c>
    </row>
    <row r="1416" customFormat="false" ht="15" hidden="false" customHeight="true" outlineLevel="0" collapsed="false">
      <c r="A1416" s="2" t="n">
        <f aca="false">'Raw Data'!H1416</f>
        <v>1415</v>
      </c>
      <c r="B1416" s="2" t="n">
        <f aca="false">'Raw Data'!A1416</f>
        <v>34</v>
      </c>
      <c r="C1416" s="2" t="str">
        <f aca="false">'Raw Data'!D1416</f>
        <v>Research &amp; Development</v>
      </c>
      <c r="D1416" s="2" t="str">
        <f aca="false">'Raw Data'!K1416</f>
        <v>Sales Representative</v>
      </c>
      <c r="E1416" s="2" t="n">
        <f aca="false">'Raw Data'!Q1416</f>
        <v>5</v>
      </c>
      <c r="F1416" s="2" t="n">
        <f aca="false">'Raw Data'!U1416</f>
        <v>0</v>
      </c>
      <c r="G1416" s="2" t="n">
        <f aca="false">'Raw Data'!W1416</f>
        <v>3</v>
      </c>
      <c r="H1416" s="2" t="n">
        <f aca="false">'Raw Data'!V1416</f>
        <v>4</v>
      </c>
      <c r="I1416" s="2" t="n">
        <f aca="false">IF(AND(ISNUMBER(B1416),B1416&lt;=25),2,0)+IF(AND(ISNUMBER(E1416),E1416&lt;=5),2,0)+IF(AND(ISNUMBER(F1416),F1416&lt;=1),2,0)+IF(AND(ISNUMBER(G1416),G1416&lt;=2),1,0)+IF(AND(ISNUMBER(H1416),H1416&lt;=2),1,0)</f>
        <v>4</v>
      </c>
      <c r="J1416" s="2" t="str">
        <f aca="false">IF(I1416&gt;=6,"High",IF(I1416&gt;=3,"Medium","Low"))</f>
        <v>Medium</v>
      </c>
    </row>
    <row r="1417" customFormat="false" ht="15" hidden="false" customHeight="true" outlineLevel="0" collapsed="false">
      <c r="A1417" s="2" t="n">
        <f aca="false">'Raw Data'!H1417</f>
        <v>1416</v>
      </c>
      <c r="B1417" s="2" t="n">
        <f aca="false">'Raw Data'!A1417</f>
        <v>40</v>
      </c>
      <c r="C1417" s="2" t="str">
        <f aca="false">'Raw Data'!D1417</f>
        <v>Research &amp; Development</v>
      </c>
      <c r="D1417" s="2" t="str">
        <f aca="false">'Raw Data'!K1417</f>
        <v>Laboratory Technician</v>
      </c>
      <c r="E1417" s="2" t="n">
        <f aca="false">'Raw Data'!Q1417</f>
        <v>15</v>
      </c>
      <c r="F1417" s="2" t="n">
        <f aca="false">'Raw Data'!U1417</f>
        <v>7</v>
      </c>
      <c r="G1417" s="2" t="n">
        <f aca="false">'Raw Data'!W1417</f>
        <v>4</v>
      </c>
      <c r="H1417" s="2" t="n">
        <f aca="false">'Raw Data'!V1417</f>
        <v>3</v>
      </c>
      <c r="I1417" s="2" t="n">
        <f aca="false">IF(AND(ISNUMBER(B1417),B1417&lt;=25),2,0)+IF(AND(ISNUMBER(E1417),E1417&lt;=5),2,0)+IF(AND(ISNUMBER(F1417),F1417&lt;=1),2,0)+IF(AND(ISNUMBER(G1417),G1417&lt;=2),1,0)+IF(AND(ISNUMBER(H1417),H1417&lt;=2),1,0)</f>
        <v>0</v>
      </c>
      <c r="J1417" s="2" t="str">
        <f aca="false">IF(I1417&gt;=6,"High",IF(I1417&gt;=3,"Medium","Low"))</f>
        <v>Low</v>
      </c>
    </row>
    <row r="1418" customFormat="false" ht="15" hidden="false" customHeight="true" outlineLevel="0" collapsed="false">
      <c r="A1418" s="2" t="n">
        <f aca="false">'Raw Data'!H1418</f>
        <v>1417</v>
      </c>
      <c r="B1418" s="2" t="n">
        <f aca="false">'Raw Data'!A1418</f>
        <v>38</v>
      </c>
      <c r="C1418" s="2" t="str">
        <f aca="false">'Raw Data'!D1418</f>
        <v>Sales</v>
      </c>
      <c r="D1418" s="2" t="str">
        <f aca="false">'Raw Data'!K1418</f>
        <v>Research Scientist</v>
      </c>
      <c r="E1418" s="2" t="n">
        <f aca="false">'Raw Data'!Q1418</f>
        <v>17</v>
      </c>
      <c r="F1418" s="2" t="n">
        <f aca="false">'Raw Data'!U1418</f>
        <v>0</v>
      </c>
      <c r="G1418" s="2" t="n">
        <f aca="false">'Raw Data'!W1418</f>
        <v>1</v>
      </c>
      <c r="H1418" s="2" t="n">
        <f aca="false">'Raw Data'!V1418</f>
        <v>2</v>
      </c>
      <c r="I1418" s="2" t="n">
        <f aca="false">IF(AND(ISNUMBER(B1418),B1418&lt;=25),2,0)+IF(AND(ISNUMBER(E1418),E1418&lt;=5),2,0)+IF(AND(ISNUMBER(F1418),F1418&lt;=1),2,0)+IF(AND(ISNUMBER(G1418),G1418&lt;=2),1,0)+IF(AND(ISNUMBER(H1418),H1418&lt;=2),1,0)</f>
        <v>4</v>
      </c>
      <c r="J1418" s="2" t="str">
        <f aca="false">IF(I1418&gt;=6,"High",IF(I1418&gt;=3,"Medium","Low"))</f>
        <v>Medium</v>
      </c>
    </row>
    <row r="1419" customFormat="false" ht="15" hidden="false" customHeight="true" outlineLevel="0" collapsed="false">
      <c r="A1419" s="2" t="n">
        <f aca="false">'Raw Data'!H1419</f>
        <v>1418</v>
      </c>
      <c r="B1419" s="2" t="n">
        <f aca="false">'Raw Data'!A1419</f>
        <v>29</v>
      </c>
      <c r="C1419" s="2" t="str">
        <f aca="false">'Raw Data'!D1419</f>
        <v>Sales</v>
      </c>
      <c r="D1419" s="2" t="str">
        <f aca="false">'Raw Data'!K1419</f>
        <v>Research Scientist</v>
      </c>
      <c r="E1419" s="2" t="n">
        <f aca="false">'Raw Data'!Q1419</f>
        <v>10</v>
      </c>
      <c r="F1419" s="2" t="n">
        <f aca="false">'Raw Data'!U1419</f>
        <v>9</v>
      </c>
      <c r="G1419" s="2" t="n">
        <f aca="false">'Raw Data'!W1419</f>
        <v>4</v>
      </c>
      <c r="H1419" s="2" t="n">
        <f aca="false">'Raw Data'!V1419</f>
        <v>2</v>
      </c>
      <c r="I1419" s="2" t="n">
        <f aca="false">IF(AND(ISNUMBER(B1419),B1419&lt;=25),2,0)+IF(AND(ISNUMBER(E1419),E1419&lt;=5),2,0)+IF(AND(ISNUMBER(F1419),F1419&lt;=1),2,0)+IF(AND(ISNUMBER(G1419),G1419&lt;=2),1,0)+IF(AND(ISNUMBER(H1419),H1419&lt;=2),1,0)</f>
        <v>1</v>
      </c>
      <c r="J1419" s="2" t="str">
        <f aca="false">IF(I1419&gt;=6,"High",IF(I1419&gt;=3,"Medium","Low"))</f>
        <v>Low</v>
      </c>
    </row>
    <row r="1420" customFormat="false" ht="15" hidden="false" customHeight="true" outlineLevel="0" collapsed="false">
      <c r="A1420" s="2" t="n">
        <f aca="false">'Raw Data'!H1420</f>
        <v>1419</v>
      </c>
      <c r="B1420" s="2" t="n">
        <f aca="false">'Raw Data'!A1420</f>
        <v>22</v>
      </c>
      <c r="C1420" s="2" t="str">
        <f aca="false">'Raw Data'!D1420</f>
        <v>Research &amp; Development</v>
      </c>
      <c r="D1420" s="2" t="str">
        <f aca="false">'Raw Data'!K1420</f>
        <v>Healthcare Representative</v>
      </c>
      <c r="E1420" s="2" t="n">
        <f aca="false">'Raw Data'!Q1420</f>
        <v>4</v>
      </c>
      <c r="F1420" s="2" t="n">
        <f aca="false">'Raw Data'!U1420</f>
        <v>2</v>
      </c>
      <c r="G1420" s="2" t="n">
        <f aca="false">'Raw Data'!W1420</f>
        <v>2</v>
      </c>
      <c r="H1420" s="2" t="n">
        <f aca="false">'Raw Data'!V1420</f>
        <v>4</v>
      </c>
      <c r="I1420" s="2" t="n">
        <f aca="false">IF(AND(ISNUMBER(B1420),B1420&lt;=25),2,0)+IF(AND(ISNUMBER(E1420),E1420&lt;=5),2,0)+IF(AND(ISNUMBER(F1420),F1420&lt;=1),2,0)+IF(AND(ISNUMBER(G1420),G1420&lt;=2),1,0)+IF(AND(ISNUMBER(H1420),H1420&lt;=2),1,0)</f>
        <v>5</v>
      </c>
      <c r="J1420" s="2" t="str">
        <f aca="false">IF(I1420&gt;=6,"High",IF(I1420&gt;=3,"Medium","Low"))</f>
        <v>Medium</v>
      </c>
    </row>
    <row r="1421" customFormat="false" ht="15" hidden="false" customHeight="true" outlineLevel="0" collapsed="false">
      <c r="A1421" s="2" t="n">
        <f aca="false">'Raw Data'!H1421</f>
        <v>1420</v>
      </c>
      <c r="B1421" s="2" t="n">
        <f aca="false">'Raw Data'!A1421</f>
        <v>36</v>
      </c>
      <c r="C1421" s="2" t="str">
        <f aca="false">'Raw Data'!D1421</f>
        <v>Research &amp; Development</v>
      </c>
      <c r="D1421" s="2" t="str">
        <f aca="false">'Raw Data'!K1421</f>
        <v>Laboratory Technician</v>
      </c>
      <c r="E1421" s="2" t="n">
        <f aca="false">'Raw Data'!Q1421</f>
        <v>8</v>
      </c>
      <c r="F1421" s="2" t="n">
        <f aca="false">'Raw Data'!U1421</f>
        <v>7</v>
      </c>
      <c r="G1421" s="2" t="n">
        <f aca="false">'Raw Data'!W1421</f>
        <v>4</v>
      </c>
      <c r="H1421" s="2" t="n">
        <f aca="false">'Raw Data'!V1421</f>
        <v>2</v>
      </c>
      <c r="I1421" s="2" t="n">
        <f aca="false">IF(AND(ISNUMBER(B1421),B1421&lt;=25),2,0)+IF(AND(ISNUMBER(E1421),E1421&lt;=5),2,0)+IF(AND(ISNUMBER(F1421),F1421&lt;=1),2,0)+IF(AND(ISNUMBER(G1421),G1421&lt;=2),1,0)+IF(AND(ISNUMBER(H1421),H1421&lt;=2),1,0)</f>
        <v>1</v>
      </c>
      <c r="J1421" s="2" t="str">
        <f aca="false">IF(I1421&gt;=6,"High",IF(I1421&gt;=3,"Medium","Low"))</f>
        <v>Low</v>
      </c>
    </row>
    <row r="1422" customFormat="false" ht="15" hidden="false" customHeight="true" outlineLevel="0" collapsed="false">
      <c r="A1422" s="2" t="n">
        <f aca="false">'Raw Data'!H1422</f>
        <v>1421</v>
      </c>
      <c r="B1422" s="2" t="n">
        <f aca="false">'Raw Data'!A1422</f>
        <v>40</v>
      </c>
      <c r="C1422" s="2" t="str">
        <f aca="false">'Raw Data'!D1422</f>
        <v>Research &amp; Development</v>
      </c>
      <c r="D1422" s="2" t="str">
        <f aca="false">'Raw Data'!K1422</f>
        <v>Manufacturing Director</v>
      </c>
      <c r="E1422" s="2" t="n">
        <f aca="false">'Raw Data'!Q1422</f>
        <v>5</v>
      </c>
      <c r="F1422" s="2" t="n">
        <f aca="false">'Raw Data'!U1422</f>
        <v>2</v>
      </c>
      <c r="G1422" s="2" t="n">
        <f aca="false">'Raw Data'!W1422</f>
        <v>4</v>
      </c>
      <c r="H1422" s="2" t="n">
        <f aca="false">'Raw Data'!V1422</f>
        <v>4</v>
      </c>
      <c r="I1422" s="2" t="n">
        <f aca="false">IF(AND(ISNUMBER(B1422),B1422&lt;=25),2,0)+IF(AND(ISNUMBER(E1422),E1422&lt;=5),2,0)+IF(AND(ISNUMBER(F1422),F1422&lt;=1),2,0)+IF(AND(ISNUMBER(G1422),G1422&lt;=2),1,0)+IF(AND(ISNUMBER(H1422),H1422&lt;=2),1,0)</f>
        <v>2</v>
      </c>
      <c r="J1422" s="2" t="str">
        <f aca="false">IF(I1422&gt;=6,"High",IF(I1422&gt;=3,"Medium","Low"))</f>
        <v>Low</v>
      </c>
    </row>
    <row r="1423" customFormat="false" ht="15" hidden="false" customHeight="true" outlineLevel="0" collapsed="false">
      <c r="A1423" s="2" t="n">
        <f aca="false">'Raw Data'!H1423</f>
        <v>1422</v>
      </c>
      <c r="B1423" s="2" t="n">
        <f aca="false">'Raw Data'!A1423</f>
        <v>46</v>
      </c>
      <c r="C1423" s="2" t="str">
        <f aca="false">'Raw Data'!D1423</f>
        <v>Research &amp; Development</v>
      </c>
      <c r="D1423" s="2" t="str">
        <f aca="false">'Raw Data'!K1423</f>
        <v>Research Scientist</v>
      </c>
      <c r="E1423" s="2" t="n">
        <f aca="false">'Raw Data'!Q1423</f>
        <v>17</v>
      </c>
      <c r="F1423" s="2" t="n">
        <f aca="false">'Raw Data'!U1423</f>
        <v>3</v>
      </c>
      <c r="G1423" s="2" t="n">
        <f aca="false">'Raw Data'!W1423</f>
        <v>1</v>
      </c>
      <c r="H1423" s="2" t="n">
        <f aca="false">'Raw Data'!V1423</f>
        <v>4</v>
      </c>
      <c r="I1423" s="2" t="n">
        <f aca="false">IF(AND(ISNUMBER(B1423),B1423&lt;=25),2,0)+IF(AND(ISNUMBER(E1423),E1423&lt;=5),2,0)+IF(AND(ISNUMBER(F1423),F1423&lt;=1),2,0)+IF(AND(ISNUMBER(G1423),G1423&lt;=2),1,0)+IF(AND(ISNUMBER(H1423),H1423&lt;=2),1,0)</f>
        <v>1</v>
      </c>
      <c r="J1423" s="2" t="str">
        <f aca="false">IF(I1423&gt;=6,"High",IF(I1423&gt;=3,"Medium","Low"))</f>
        <v>Low</v>
      </c>
    </row>
    <row r="1424" customFormat="false" ht="15" hidden="false" customHeight="true" outlineLevel="0" collapsed="false">
      <c r="A1424" s="2" t="n">
        <f aca="false">'Raw Data'!H1424</f>
        <v>1423</v>
      </c>
      <c r="B1424" s="2" t="n">
        <f aca="false">'Raw Data'!A1424</f>
        <v>32</v>
      </c>
      <c r="C1424" s="2" t="str">
        <f aca="false">'Raw Data'!D1424</f>
        <v>Research &amp; Development</v>
      </c>
      <c r="D1424" s="2" t="str">
        <f aca="false">'Raw Data'!K1424</f>
        <v>Healthcare Representative</v>
      </c>
      <c r="E1424" s="2" t="n">
        <f aca="false">'Raw Data'!Q1424</f>
        <v>14</v>
      </c>
      <c r="F1424" s="2" t="n">
        <f aca="false">'Raw Data'!U1424</f>
        <v>8</v>
      </c>
      <c r="G1424" s="2" t="n">
        <f aca="false">'Raw Data'!W1424</f>
        <v>4</v>
      </c>
      <c r="H1424" s="2" t="n">
        <f aca="false">'Raw Data'!V1424</f>
        <v>4</v>
      </c>
      <c r="I1424" s="2" t="n">
        <f aca="false">IF(AND(ISNUMBER(B1424),B1424&lt;=25),2,0)+IF(AND(ISNUMBER(E1424),E1424&lt;=5),2,0)+IF(AND(ISNUMBER(F1424),F1424&lt;=1),2,0)+IF(AND(ISNUMBER(G1424),G1424&lt;=2),1,0)+IF(AND(ISNUMBER(H1424),H1424&lt;=2),1,0)</f>
        <v>0</v>
      </c>
      <c r="J1424" s="2" t="str">
        <f aca="false">IF(I1424&gt;=6,"High",IF(I1424&gt;=3,"Medium","Low"))</f>
        <v>Low</v>
      </c>
    </row>
    <row r="1425" customFormat="false" ht="15" hidden="false" customHeight="true" outlineLevel="0" collapsed="false">
      <c r="A1425" s="2" t="n">
        <f aca="false">'Raw Data'!H1425</f>
        <v>1424</v>
      </c>
      <c r="B1425" s="2" t="n">
        <f aca="false">'Raw Data'!A1425</f>
        <v>30</v>
      </c>
      <c r="C1425" s="2" t="str">
        <f aca="false">'Raw Data'!D1425</f>
        <v>Research &amp; Development</v>
      </c>
      <c r="D1425" s="2" t="str">
        <f aca="false">'Raw Data'!K1425</f>
        <v>Healthcare Representative</v>
      </c>
      <c r="E1425" s="2" t="n">
        <f aca="false">'Raw Data'!Q1425</f>
        <v>12</v>
      </c>
      <c r="F1425" s="2" t="n">
        <f aca="false">'Raw Data'!U1425</f>
        <v>8</v>
      </c>
      <c r="G1425" s="2" t="n">
        <f aca="false">'Raw Data'!W1425</f>
        <v>3</v>
      </c>
      <c r="H1425" s="2" t="n">
        <f aca="false">'Raw Data'!V1425</f>
        <v>3</v>
      </c>
      <c r="I1425" s="2" t="n">
        <f aca="false">IF(AND(ISNUMBER(B1425),B1425&lt;=25),2,0)+IF(AND(ISNUMBER(E1425),E1425&lt;=5),2,0)+IF(AND(ISNUMBER(F1425),F1425&lt;=1),2,0)+IF(AND(ISNUMBER(G1425),G1425&lt;=2),1,0)+IF(AND(ISNUMBER(H1425),H1425&lt;=2),1,0)</f>
        <v>0</v>
      </c>
      <c r="J1425" s="2" t="str">
        <f aca="false">IF(I1425&gt;=6,"High",IF(I1425&gt;=3,"Medium","Low"))</f>
        <v>Low</v>
      </c>
    </row>
    <row r="1426" customFormat="false" ht="15" hidden="false" customHeight="true" outlineLevel="0" collapsed="false">
      <c r="A1426" s="2" t="n">
        <f aca="false">'Raw Data'!H1426</f>
        <v>1425</v>
      </c>
      <c r="B1426" s="2" t="n">
        <f aca="false">'Raw Data'!A1426</f>
        <v>27</v>
      </c>
      <c r="C1426" s="2" t="str">
        <f aca="false">'Raw Data'!D1426</f>
        <v>Research &amp; Development</v>
      </c>
      <c r="D1426" s="2" t="str">
        <f aca="false">'Raw Data'!K1426</f>
        <v>Laboratory Technician</v>
      </c>
      <c r="E1426" s="2" t="n">
        <f aca="false">'Raw Data'!Q1426</f>
        <v>7</v>
      </c>
      <c r="F1426" s="2" t="n">
        <f aca="false">'Raw Data'!U1426</f>
        <v>7</v>
      </c>
      <c r="G1426" s="2" t="n">
        <f aca="false">'Raw Data'!W1426</f>
        <v>3</v>
      </c>
      <c r="H1426" s="2" t="n">
        <f aca="false">'Raw Data'!V1426</f>
        <v>4</v>
      </c>
      <c r="I1426" s="2" t="n">
        <f aca="false">IF(AND(ISNUMBER(B1426),B1426&lt;=25),2,0)+IF(AND(ISNUMBER(E1426),E1426&lt;=5),2,0)+IF(AND(ISNUMBER(F1426),F1426&lt;=1),2,0)+IF(AND(ISNUMBER(G1426),G1426&lt;=2),1,0)+IF(AND(ISNUMBER(H1426),H1426&lt;=2),1,0)</f>
        <v>0</v>
      </c>
      <c r="J1426" s="2" t="str">
        <f aca="false">IF(I1426&gt;=6,"High",IF(I1426&gt;=3,"Medium","Low"))</f>
        <v>Low</v>
      </c>
    </row>
    <row r="1427" customFormat="false" ht="15" hidden="false" customHeight="true" outlineLevel="0" collapsed="false">
      <c r="A1427" s="2" t="n">
        <f aca="false">'Raw Data'!H1427</f>
        <v>1426</v>
      </c>
      <c r="B1427" s="2" t="n">
        <f aca="false">'Raw Data'!A1427</f>
        <v>51</v>
      </c>
      <c r="C1427" s="2" t="str">
        <f aca="false">'Raw Data'!D1427</f>
        <v>Research &amp; Development</v>
      </c>
      <c r="D1427" s="2" t="str">
        <f aca="false">'Raw Data'!K1427</f>
        <v>Manufacturing Director</v>
      </c>
      <c r="E1427" s="2" t="n">
        <f aca="false">'Raw Data'!Q1427</f>
        <v>16</v>
      </c>
      <c r="F1427" s="2" t="n">
        <f aca="false">'Raw Data'!U1427</f>
        <v>7</v>
      </c>
      <c r="G1427" s="2" t="n">
        <f aca="false">'Raw Data'!W1427</f>
        <v>2</v>
      </c>
      <c r="H1427" s="2" t="n">
        <f aca="false">'Raw Data'!V1427</f>
        <v>2</v>
      </c>
      <c r="I1427" s="2" t="n">
        <f aca="false">IF(AND(ISNUMBER(B1427),B1427&lt;=25),2,0)+IF(AND(ISNUMBER(E1427),E1427&lt;=5),2,0)+IF(AND(ISNUMBER(F1427),F1427&lt;=1),2,0)+IF(AND(ISNUMBER(G1427),G1427&lt;=2),1,0)+IF(AND(ISNUMBER(H1427),H1427&lt;=2),1,0)</f>
        <v>2</v>
      </c>
      <c r="J1427" s="2" t="str">
        <f aca="false">IF(I1427&gt;=6,"High",IF(I1427&gt;=3,"Medium","Low"))</f>
        <v>Low</v>
      </c>
    </row>
    <row r="1428" customFormat="false" ht="15" hidden="false" customHeight="true" outlineLevel="0" collapsed="false">
      <c r="A1428" s="2" t="n">
        <f aca="false">'Raw Data'!H1428</f>
        <v>1427</v>
      </c>
      <c r="B1428" s="2" t="n">
        <f aca="false">'Raw Data'!A1428</f>
        <v>30</v>
      </c>
      <c r="C1428" s="2" t="str">
        <f aca="false">'Raw Data'!D1428</f>
        <v>Research &amp; Development</v>
      </c>
      <c r="D1428" s="2" t="str">
        <f aca="false">'Raw Data'!K1428</f>
        <v>Research Scientist</v>
      </c>
      <c r="E1428" s="2" t="n">
        <f aca="false">'Raw Data'!Q1428</f>
        <v>8</v>
      </c>
      <c r="F1428" s="2" t="n">
        <f aca="false">'Raw Data'!U1428</f>
        <v>4</v>
      </c>
      <c r="G1428" s="2" t="n">
        <f aca="false">'Raw Data'!W1428</f>
        <v>1</v>
      </c>
      <c r="H1428" s="2" t="n">
        <f aca="false">'Raw Data'!V1428</f>
        <v>4</v>
      </c>
      <c r="I1428" s="2" t="n">
        <f aca="false">IF(AND(ISNUMBER(B1428),B1428&lt;=25),2,0)+IF(AND(ISNUMBER(E1428),E1428&lt;=5),2,0)+IF(AND(ISNUMBER(F1428),F1428&lt;=1),2,0)+IF(AND(ISNUMBER(G1428),G1428&lt;=2),1,0)+IF(AND(ISNUMBER(H1428),H1428&lt;=2),1,0)</f>
        <v>1</v>
      </c>
      <c r="J1428" s="2" t="str">
        <f aca="false">IF(I1428&gt;=6,"High",IF(I1428&gt;=3,"Medium","Low"))</f>
        <v>Low</v>
      </c>
    </row>
    <row r="1429" customFormat="false" ht="15" hidden="false" customHeight="true" outlineLevel="0" collapsed="false">
      <c r="A1429" s="2" t="n">
        <f aca="false">'Raw Data'!H1429</f>
        <v>1428</v>
      </c>
      <c r="B1429" s="2" t="n">
        <f aca="false">'Raw Data'!A1429</f>
        <v>41</v>
      </c>
      <c r="C1429" s="2" t="str">
        <f aca="false">'Raw Data'!D1429</f>
        <v>Research &amp; Development</v>
      </c>
      <c r="D1429" s="2" t="str">
        <f aca="false">'Raw Data'!K1429</f>
        <v>Human Resources</v>
      </c>
      <c r="E1429" s="2" t="n">
        <f aca="false">'Raw Data'!Q1429</f>
        <v>16</v>
      </c>
      <c r="F1429" s="2" t="n">
        <f aca="false">'Raw Data'!U1429</f>
        <v>0</v>
      </c>
      <c r="G1429" s="2" t="n">
        <f aca="false">'Raw Data'!W1429</f>
        <v>4</v>
      </c>
      <c r="H1429" s="2" t="n">
        <f aca="false">'Raw Data'!V1429</f>
        <v>4</v>
      </c>
      <c r="I1429" s="2" t="n">
        <f aca="false">IF(AND(ISNUMBER(B1429),B1429&lt;=25),2,0)+IF(AND(ISNUMBER(E1429),E1429&lt;=5),2,0)+IF(AND(ISNUMBER(F1429),F1429&lt;=1),2,0)+IF(AND(ISNUMBER(G1429),G1429&lt;=2),1,0)+IF(AND(ISNUMBER(H1429),H1429&lt;=2),1,0)</f>
        <v>2</v>
      </c>
      <c r="J1429" s="2" t="str">
        <f aca="false">IF(I1429&gt;=6,"High",IF(I1429&gt;=3,"Medium","Low"))</f>
        <v>Low</v>
      </c>
    </row>
    <row r="1430" customFormat="false" ht="15" hidden="false" customHeight="true" outlineLevel="0" collapsed="false">
      <c r="A1430" s="2" t="n">
        <f aca="false">'Raw Data'!H1430</f>
        <v>1429</v>
      </c>
      <c r="B1430" s="2" t="n">
        <f aca="false">'Raw Data'!A1430</f>
        <v>30</v>
      </c>
      <c r="C1430" s="2" t="str">
        <f aca="false">'Raw Data'!D1430</f>
        <v>Sales</v>
      </c>
      <c r="D1430" s="2" t="str">
        <f aca="false">'Raw Data'!K1430</f>
        <v>Healthcare Representative</v>
      </c>
      <c r="E1430" s="2" t="n">
        <f aca="false">'Raw Data'!Q1430</f>
        <v>9</v>
      </c>
      <c r="F1430" s="2" t="n">
        <f aca="false">'Raw Data'!U1430</f>
        <v>1</v>
      </c>
      <c r="G1430" s="2" t="n">
        <f aca="false">'Raw Data'!W1430</f>
        <v>1</v>
      </c>
      <c r="H1430" s="2" t="n">
        <f aca="false">'Raw Data'!V1430</f>
        <v>3</v>
      </c>
      <c r="I1430" s="2" t="n">
        <f aca="false">IF(AND(ISNUMBER(B1430),B1430&lt;=25),2,0)+IF(AND(ISNUMBER(E1430),E1430&lt;=5),2,0)+IF(AND(ISNUMBER(F1430),F1430&lt;=1),2,0)+IF(AND(ISNUMBER(G1430),G1430&lt;=2),1,0)+IF(AND(ISNUMBER(H1430),H1430&lt;=2),1,0)</f>
        <v>3</v>
      </c>
      <c r="J1430" s="2" t="str">
        <f aca="false">IF(I1430&gt;=6,"High",IF(I1430&gt;=3,"Medium","Low"))</f>
        <v>Medium</v>
      </c>
    </row>
    <row r="1431" customFormat="false" ht="15" hidden="false" customHeight="true" outlineLevel="0" collapsed="false">
      <c r="A1431" s="2" t="n">
        <f aca="false">'Raw Data'!H1431</f>
        <v>1430</v>
      </c>
      <c r="B1431" s="2" t="n">
        <f aca="false">'Raw Data'!A1431</f>
        <v>29</v>
      </c>
      <c r="C1431" s="2" t="str">
        <f aca="false">'Raw Data'!D1431</f>
        <v>Research &amp; Development</v>
      </c>
      <c r="D1431" s="2" t="str">
        <f aca="false">'Raw Data'!K1431</f>
        <v>Sales Executive</v>
      </c>
      <c r="E1431" s="2" t="n">
        <f aca="false">'Raw Data'!Q1431</f>
        <v>7</v>
      </c>
      <c r="F1431" s="2" t="n">
        <f aca="false">'Raw Data'!U1431</f>
        <v>5</v>
      </c>
      <c r="G1431" s="2" t="n">
        <f aca="false">'Raw Data'!W1431</f>
        <v>3</v>
      </c>
      <c r="H1431" s="2" t="n">
        <f aca="false">'Raw Data'!V1431</f>
        <v>3</v>
      </c>
      <c r="I1431" s="2" t="n">
        <f aca="false">IF(AND(ISNUMBER(B1431),B1431&lt;=25),2,0)+IF(AND(ISNUMBER(E1431),E1431&lt;=5),2,0)+IF(AND(ISNUMBER(F1431),F1431&lt;=1),2,0)+IF(AND(ISNUMBER(G1431),G1431&lt;=2),1,0)+IF(AND(ISNUMBER(H1431),H1431&lt;=2),1,0)</f>
        <v>0</v>
      </c>
      <c r="J1431" s="2" t="str">
        <f aca="false">IF(I1431&gt;=6,"High",IF(I1431&gt;=3,"Medium","Low"))</f>
        <v>Low</v>
      </c>
    </row>
    <row r="1432" customFormat="false" ht="15" hidden="false" customHeight="true" outlineLevel="0" collapsed="false">
      <c r="A1432" s="2" t="n">
        <f aca="false">'Raw Data'!H1432</f>
        <v>1431</v>
      </c>
      <c r="B1432" s="2" t="n">
        <f aca="false">'Raw Data'!A1432</f>
        <v>45</v>
      </c>
      <c r="C1432" s="2" t="str">
        <f aca="false">'Raw Data'!D1432</f>
        <v>Research &amp; Development</v>
      </c>
      <c r="D1432" s="2" t="str">
        <f aca="false">'Raw Data'!K1432</f>
        <v>Research Scientist</v>
      </c>
      <c r="E1432" s="2" t="n">
        <f aca="false">'Raw Data'!Q1432</f>
        <v>23</v>
      </c>
      <c r="F1432" s="2" t="n">
        <f aca="false">'Raw Data'!U1432</f>
        <v>8</v>
      </c>
      <c r="G1432" s="2" t="n">
        <f aca="false">'Raw Data'!W1432</f>
        <v>4</v>
      </c>
      <c r="H1432" s="2" t="n">
        <f aca="false">'Raw Data'!V1432</f>
        <v>4</v>
      </c>
      <c r="I1432" s="2" t="n">
        <f aca="false">IF(AND(ISNUMBER(B1432),B1432&lt;=25),2,0)+IF(AND(ISNUMBER(E1432),E1432&lt;=5),2,0)+IF(AND(ISNUMBER(F1432),F1432&lt;=1),2,0)+IF(AND(ISNUMBER(G1432),G1432&lt;=2),1,0)+IF(AND(ISNUMBER(H1432),H1432&lt;=2),1,0)</f>
        <v>0</v>
      </c>
      <c r="J1432" s="2" t="str">
        <f aca="false">IF(I1432&gt;=6,"High",IF(I1432&gt;=3,"Medium","Low"))</f>
        <v>Low</v>
      </c>
    </row>
    <row r="1433" customFormat="false" ht="15" hidden="false" customHeight="true" outlineLevel="0" collapsed="false">
      <c r="A1433" s="2" t="n">
        <f aca="false">'Raw Data'!H1433</f>
        <v>1432</v>
      </c>
      <c r="B1433" s="2" t="n">
        <f aca="false">'Raw Data'!A1433</f>
        <v>54</v>
      </c>
      <c r="C1433" s="2" t="str">
        <f aca="false">'Raw Data'!D1433</f>
        <v>Sales</v>
      </c>
      <c r="D1433" s="2" t="str">
        <f aca="false">'Raw Data'!K1433</f>
        <v>Laboratory Technician</v>
      </c>
      <c r="E1433" s="2" t="n">
        <f aca="false">'Raw Data'!Q1433</f>
        <v>16</v>
      </c>
      <c r="F1433" s="2" t="n">
        <f aca="false">'Raw Data'!U1433</f>
        <v>5</v>
      </c>
      <c r="G1433" s="2" t="n">
        <f aca="false">'Raw Data'!W1433</f>
        <v>1</v>
      </c>
      <c r="H1433" s="2" t="n">
        <f aca="false">'Raw Data'!V1433</f>
        <v>4</v>
      </c>
      <c r="I1433" s="2" t="n">
        <f aca="false">IF(AND(ISNUMBER(B1433),B1433&lt;=25),2,0)+IF(AND(ISNUMBER(E1433),E1433&lt;=5),2,0)+IF(AND(ISNUMBER(F1433),F1433&lt;=1),2,0)+IF(AND(ISNUMBER(G1433),G1433&lt;=2),1,0)+IF(AND(ISNUMBER(H1433),H1433&lt;=2),1,0)</f>
        <v>1</v>
      </c>
      <c r="J1433" s="2" t="str">
        <f aca="false">IF(I1433&gt;=6,"High",IF(I1433&gt;=3,"Medium","Low"))</f>
        <v>Low</v>
      </c>
    </row>
    <row r="1434" customFormat="false" ht="15" hidden="false" customHeight="true" outlineLevel="0" collapsed="false">
      <c r="A1434" s="2" t="n">
        <f aca="false">'Raw Data'!H1434</f>
        <v>1433</v>
      </c>
      <c r="B1434" s="2" t="n">
        <f aca="false">'Raw Data'!A1434</f>
        <v>36</v>
      </c>
      <c r="C1434" s="2" t="str">
        <f aca="false">'Raw Data'!D1434</f>
        <v>Research &amp; Development</v>
      </c>
      <c r="D1434" s="2" t="str">
        <f aca="false">'Raw Data'!K1434</f>
        <v>Healthcare Representative</v>
      </c>
      <c r="E1434" s="2" t="n">
        <f aca="false">'Raw Data'!Q1434</f>
        <v>16</v>
      </c>
      <c r="F1434" s="2" t="n">
        <f aca="false">'Raw Data'!U1434</f>
        <v>7</v>
      </c>
      <c r="G1434" s="2" t="n">
        <f aca="false">'Raw Data'!W1434</f>
        <v>2</v>
      </c>
      <c r="H1434" s="2" t="n">
        <f aca="false">'Raw Data'!V1434</f>
        <v>4</v>
      </c>
      <c r="I1434" s="2" t="n">
        <f aca="false">IF(AND(ISNUMBER(B1434),B1434&lt;=25),2,0)+IF(AND(ISNUMBER(E1434),E1434&lt;=5),2,0)+IF(AND(ISNUMBER(F1434),F1434&lt;=1),2,0)+IF(AND(ISNUMBER(G1434),G1434&lt;=2),1,0)+IF(AND(ISNUMBER(H1434),H1434&lt;=2),1,0)</f>
        <v>1</v>
      </c>
      <c r="J1434" s="2" t="str">
        <f aca="false">IF(I1434&gt;=6,"High",IF(I1434&gt;=3,"Medium","Low"))</f>
        <v>Low</v>
      </c>
    </row>
    <row r="1435" customFormat="false" ht="15" hidden="false" customHeight="true" outlineLevel="0" collapsed="false">
      <c r="A1435" s="2" t="n">
        <f aca="false">'Raw Data'!H1435</f>
        <v>1434</v>
      </c>
      <c r="B1435" s="2" t="n">
        <f aca="false">'Raw Data'!A1435</f>
        <v>33</v>
      </c>
      <c r="C1435" s="2" t="str">
        <f aca="false">'Raw Data'!D1435</f>
        <v>Sales</v>
      </c>
      <c r="D1435" s="2" t="str">
        <f aca="false">'Raw Data'!K1435</f>
        <v>Sales Executive</v>
      </c>
      <c r="E1435" s="2" t="n">
        <f aca="false">'Raw Data'!Q1435</f>
        <v>7</v>
      </c>
      <c r="F1435" s="2" t="n">
        <f aca="false">'Raw Data'!U1435</f>
        <v>1</v>
      </c>
      <c r="G1435" s="2" t="n">
        <f aca="false">'Raw Data'!W1435</f>
        <v>2</v>
      </c>
      <c r="H1435" s="2" t="n">
        <f aca="false">'Raw Data'!V1435</f>
        <v>3</v>
      </c>
      <c r="I1435" s="2" t="n">
        <f aca="false">IF(AND(ISNUMBER(B1435),B1435&lt;=25),2,0)+IF(AND(ISNUMBER(E1435),E1435&lt;=5),2,0)+IF(AND(ISNUMBER(F1435),F1435&lt;=1),2,0)+IF(AND(ISNUMBER(G1435),G1435&lt;=2),1,0)+IF(AND(ISNUMBER(H1435),H1435&lt;=2),1,0)</f>
        <v>3</v>
      </c>
      <c r="J1435" s="2" t="str">
        <f aca="false">IF(I1435&gt;=6,"High",IF(I1435&gt;=3,"Medium","Low"))</f>
        <v>Medium</v>
      </c>
    </row>
    <row r="1436" customFormat="false" ht="15" hidden="false" customHeight="true" outlineLevel="0" collapsed="false">
      <c r="A1436" s="2" t="n">
        <f aca="false">'Raw Data'!H1436</f>
        <v>1435</v>
      </c>
      <c r="B1436" s="2" t="n">
        <f aca="false">'Raw Data'!A1436</f>
        <v>37</v>
      </c>
      <c r="C1436" s="2" t="str">
        <f aca="false">'Raw Data'!D1436</f>
        <v>Sales</v>
      </c>
      <c r="D1436" s="2" t="str">
        <f aca="false">'Raw Data'!K1436</f>
        <v>Laboratory Technician</v>
      </c>
      <c r="E1436" s="2" t="n">
        <f aca="false">'Raw Data'!Q1436</f>
        <v>10</v>
      </c>
      <c r="F1436" s="2" t="n">
        <f aca="false">'Raw Data'!U1436</f>
        <v>7</v>
      </c>
      <c r="G1436" s="2" t="n">
        <f aca="false">'Raw Data'!W1436</f>
        <v>4</v>
      </c>
      <c r="H1436" s="2" t="n">
        <f aca="false">'Raw Data'!V1436</f>
        <v>2</v>
      </c>
      <c r="I1436" s="2" t="n">
        <f aca="false">IF(AND(ISNUMBER(B1436),B1436&lt;=25),2,0)+IF(AND(ISNUMBER(E1436),E1436&lt;=5),2,0)+IF(AND(ISNUMBER(F1436),F1436&lt;=1),2,0)+IF(AND(ISNUMBER(G1436),G1436&lt;=2),1,0)+IF(AND(ISNUMBER(H1436),H1436&lt;=2),1,0)</f>
        <v>1</v>
      </c>
      <c r="J1436" s="2" t="str">
        <f aca="false">IF(I1436&gt;=6,"High",IF(I1436&gt;=3,"Medium","Low"))</f>
        <v>Low</v>
      </c>
    </row>
    <row r="1437" customFormat="false" ht="15" hidden="false" customHeight="true" outlineLevel="0" collapsed="false">
      <c r="A1437" s="2" t="n">
        <f aca="false">'Raw Data'!H1437</f>
        <v>1436</v>
      </c>
      <c r="B1437" s="2" t="n">
        <f aca="false">'Raw Data'!A1437</f>
        <v>38</v>
      </c>
      <c r="C1437" s="2" t="str">
        <f aca="false">'Raw Data'!D1437</f>
        <v>Research &amp; Development</v>
      </c>
      <c r="D1437" s="2" t="str">
        <f aca="false">'Raw Data'!K1437</f>
        <v>Laboratory Technician</v>
      </c>
      <c r="E1437" s="2" t="n">
        <f aca="false">'Raw Data'!Q1437</f>
        <v>17</v>
      </c>
      <c r="F1437" s="2" t="n">
        <f aca="false">'Raw Data'!U1437</f>
        <v>13</v>
      </c>
      <c r="G1437" s="2" t="n">
        <f aca="false">'Raw Data'!W1437</f>
        <v>3</v>
      </c>
      <c r="H1437" s="2" t="n">
        <f aca="false">'Raw Data'!V1437</f>
        <v>1</v>
      </c>
      <c r="I1437" s="2" t="n">
        <f aca="false">IF(AND(ISNUMBER(B1437),B1437&lt;=25),2,0)+IF(AND(ISNUMBER(E1437),E1437&lt;=5),2,0)+IF(AND(ISNUMBER(F1437),F1437&lt;=1),2,0)+IF(AND(ISNUMBER(G1437),G1437&lt;=2),1,0)+IF(AND(ISNUMBER(H1437),H1437&lt;=2),1,0)</f>
        <v>1</v>
      </c>
      <c r="J1437" s="2" t="str">
        <f aca="false">IF(I1437&gt;=6,"High",IF(I1437&gt;=3,"Medium","Low"))</f>
        <v>Low</v>
      </c>
    </row>
    <row r="1438" customFormat="false" ht="15" hidden="false" customHeight="true" outlineLevel="0" collapsed="false">
      <c r="A1438" s="2" t="n">
        <f aca="false">'Raw Data'!H1438</f>
        <v>1437</v>
      </c>
      <c r="B1438" s="2" t="n">
        <f aca="false">'Raw Data'!A1438</f>
        <v>31</v>
      </c>
      <c r="C1438" s="2" t="str">
        <f aca="false">'Raw Data'!D1438</f>
        <v>Sales</v>
      </c>
      <c r="D1438" s="2" t="str">
        <f aca="false">'Raw Data'!K1438</f>
        <v>Research Scientist</v>
      </c>
      <c r="E1438" s="2" t="n">
        <f aca="false">'Raw Data'!Q1438</f>
        <v>6</v>
      </c>
      <c r="F1438" s="2" t="n">
        <f aca="false">'Raw Data'!U1438</f>
        <v>4</v>
      </c>
      <c r="G1438" s="2" t="n">
        <f aca="false">'Raw Data'!W1438</f>
        <v>3</v>
      </c>
      <c r="H1438" s="2" t="n">
        <f aca="false">'Raw Data'!V1438</f>
        <v>3</v>
      </c>
      <c r="I1438" s="2" t="n">
        <f aca="false">IF(AND(ISNUMBER(B1438),B1438&lt;=25),2,0)+IF(AND(ISNUMBER(E1438),E1438&lt;=5),2,0)+IF(AND(ISNUMBER(F1438),F1438&lt;=1),2,0)+IF(AND(ISNUMBER(G1438),G1438&lt;=2),1,0)+IF(AND(ISNUMBER(H1438),H1438&lt;=2),1,0)</f>
        <v>0</v>
      </c>
      <c r="J1438" s="2" t="str">
        <f aca="false">IF(I1438&gt;=6,"High",IF(I1438&gt;=3,"Medium","Low"))</f>
        <v>Low</v>
      </c>
    </row>
    <row r="1439" customFormat="false" ht="15" hidden="false" customHeight="true" outlineLevel="0" collapsed="false">
      <c r="A1439" s="2" t="n">
        <f aca="false">'Raw Data'!H1439</f>
        <v>1438</v>
      </c>
      <c r="B1439" s="2" t="n">
        <f aca="false">'Raw Data'!A1439</f>
        <v>59</v>
      </c>
      <c r="C1439" s="2" t="str">
        <f aca="false">'Raw Data'!D1439</f>
        <v>Research &amp; Development</v>
      </c>
      <c r="D1439" s="2" t="str">
        <f aca="false">'Raw Data'!K1439</f>
        <v>Manager</v>
      </c>
      <c r="E1439" s="2" t="n">
        <f aca="false">'Raw Data'!Q1439</f>
        <v>7</v>
      </c>
      <c r="F1439" s="2" t="n">
        <f aca="false">'Raw Data'!U1439</f>
        <v>0</v>
      </c>
      <c r="G1439" s="2" t="n">
        <f aca="false">'Raw Data'!W1439</f>
        <v>4</v>
      </c>
      <c r="H1439" s="2" t="n">
        <f aca="false">'Raw Data'!V1439</f>
        <v>3</v>
      </c>
      <c r="I1439" s="2" t="n">
        <f aca="false">IF(AND(ISNUMBER(B1439),B1439&lt;=25),2,0)+IF(AND(ISNUMBER(E1439),E1439&lt;=5),2,0)+IF(AND(ISNUMBER(F1439),F1439&lt;=1),2,0)+IF(AND(ISNUMBER(G1439),G1439&lt;=2),1,0)+IF(AND(ISNUMBER(H1439),H1439&lt;=2),1,0)</f>
        <v>2</v>
      </c>
      <c r="J1439" s="2" t="str">
        <f aca="false">IF(I1439&gt;=6,"High",IF(I1439&gt;=3,"Medium","Low"))</f>
        <v>Low</v>
      </c>
    </row>
    <row r="1440" customFormat="false" ht="15" hidden="false" customHeight="true" outlineLevel="0" collapsed="false">
      <c r="A1440" s="2" t="n">
        <f aca="false">'Raw Data'!H1440</f>
        <v>1439</v>
      </c>
      <c r="B1440" s="2" t="n">
        <f aca="false">'Raw Data'!A1440</f>
        <v>37</v>
      </c>
      <c r="C1440" s="2" t="str">
        <f aca="false">'Raw Data'!D1440</f>
        <v>Sales</v>
      </c>
      <c r="D1440" s="2" t="str">
        <f aca="false">'Raw Data'!K1440</f>
        <v>Laboratory Technician</v>
      </c>
      <c r="E1440" s="2" t="n">
        <f aca="false">'Raw Data'!Q1440</f>
        <v>13</v>
      </c>
      <c r="F1440" s="2" t="n">
        <f aca="false">'Raw Data'!U1440</f>
        <v>8</v>
      </c>
      <c r="G1440" s="2" t="n">
        <f aca="false">'Raw Data'!W1440</f>
        <v>4</v>
      </c>
      <c r="H1440" s="2" t="n">
        <f aca="false">'Raw Data'!V1440</f>
        <v>1</v>
      </c>
      <c r="I1440" s="2" t="n">
        <f aca="false">IF(AND(ISNUMBER(B1440),B1440&lt;=25),2,0)+IF(AND(ISNUMBER(E1440),E1440&lt;=5),2,0)+IF(AND(ISNUMBER(F1440),F1440&lt;=1),2,0)+IF(AND(ISNUMBER(G1440),G1440&lt;=2),1,0)+IF(AND(ISNUMBER(H1440),H1440&lt;=2),1,0)</f>
        <v>1</v>
      </c>
      <c r="J1440" s="2" t="str">
        <f aca="false">IF(I1440&gt;=6,"High",IF(I1440&gt;=3,"Medium","Low"))</f>
        <v>Low</v>
      </c>
    </row>
    <row r="1441" customFormat="false" ht="15" hidden="false" customHeight="true" outlineLevel="0" collapsed="false">
      <c r="A1441" s="2" t="n">
        <f aca="false">'Raw Data'!H1441</f>
        <v>1440</v>
      </c>
      <c r="B1441" s="2" t="n">
        <f aca="false">'Raw Data'!A1441</f>
        <v>29</v>
      </c>
      <c r="C1441" s="2" t="str">
        <f aca="false">'Raw Data'!D1441</f>
        <v>Sales</v>
      </c>
      <c r="D1441" s="2" t="str">
        <f aca="false">'Raw Data'!K1441</f>
        <v>Sales Executive</v>
      </c>
      <c r="E1441" s="2" t="n">
        <f aca="false">'Raw Data'!Q1441</f>
        <v>11</v>
      </c>
      <c r="F1441" s="2" t="n">
        <f aca="false">'Raw Data'!U1441</f>
        <v>1</v>
      </c>
      <c r="G1441" s="2" t="n">
        <f aca="false">'Raw Data'!W1441</f>
        <v>4</v>
      </c>
      <c r="H1441" s="2" t="n">
        <f aca="false">'Raw Data'!V1441</f>
        <v>2</v>
      </c>
      <c r="I1441" s="2" t="n">
        <f aca="false">IF(AND(ISNUMBER(B1441),B1441&lt;=25),2,0)+IF(AND(ISNUMBER(E1441),E1441&lt;=5),2,0)+IF(AND(ISNUMBER(F1441),F1441&lt;=1),2,0)+IF(AND(ISNUMBER(G1441),G1441&lt;=2),1,0)+IF(AND(ISNUMBER(H1441),H1441&lt;=2),1,0)</f>
        <v>3</v>
      </c>
      <c r="J1441" s="2" t="str">
        <f aca="false">IF(I1441&gt;=6,"High",IF(I1441&gt;=3,"Medium","Low"))</f>
        <v>Medium</v>
      </c>
    </row>
    <row r="1442" customFormat="false" ht="15" hidden="false" customHeight="true" outlineLevel="0" collapsed="false">
      <c r="A1442" s="2" t="n">
        <f aca="false">'Raw Data'!H1442</f>
        <v>1441</v>
      </c>
      <c r="B1442" s="2" t="n">
        <f aca="false">'Raw Data'!A1442</f>
        <v>35</v>
      </c>
      <c r="C1442" s="2" t="str">
        <f aca="false">'Raw Data'!D1442</f>
        <v>Research &amp; Development</v>
      </c>
      <c r="D1442" s="2" t="str">
        <f aca="false">'Raw Data'!K1442</f>
        <v>Sales Executive</v>
      </c>
      <c r="E1442" s="2" t="n">
        <f aca="false">'Raw Data'!Q1442</f>
        <v>10</v>
      </c>
      <c r="F1442" s="2" t="n">
        <f aca="false">'Raw Data'!U1442</f>
        <v>8</v>
      </c>
      <c r="G1442" s="2" t="n">
        <f aca="false">'Raw Data'!W1442</f>
        <v>3</v>
      </c>
      <c r="H1442" s="2" t="n">
        <f aca="false">'Raw Data'!V1442</f>
        <v>3</v>
      </c>
      <c r="I1442" s="2" t="n">
        <f aca="false">IF(AND(ISNUMBER(B1442),B1442&lt;=25),2,0)+IF(AND(ISNUMBER(E1442),E1442&lt;=5),2,0)+IF(AND(ISNUMBER(F1442),F1442&lt;=1),2,0)+IF(AND(ISNUMBER(G1442),G1442&lt;=2),1,0)+IF(AND(ISNUMBER(H1442),H1442&lt;=2),1,0)</f>
        <v>0</v>
      </c>
      <c r="J1442" s="2" t="str">
        <f aca="false">IF(I1442&gt;=6,"High",IF(I1442&gt;=3,"Medium","Low"))</f>
        <v>Low</v>
      </c>
    </row>
    <row r="1443" customFormat="false" ht="15" hidden="false" customHeight="true" outlineLevel="0" collapsed="false">
      <c r="A1443" s="2" t="n">
        <f aca="false">'Raw Data'!H1443</f>
        <v>1442</v>
      </c>
      <c r="B1443" s="2" t="n">
        <f aca="false">'Raw Data'!A1443</f>
        <v>29</v>
      </c>
      <c r="C1443" s="2" t="str">
        <f aca="false">'Raw Data'!D1443</f>
        <v>Research &amp; Development</v>
      </c>
      <c r="D1443" s="2" t="str">
        <f aca="false">'Raw Data'!K1443</f>
        <v>Research Scientist</v>
      </c>
      <c r="E1443" s="2" t="n">
        <f aca="false">'Raw Data'!Q1443</f>
        <v>4</v>
      </c>
      <c r="F1443" s="2" t="n">
        <f aca="false">'Raw Data'!U1443</f>
        <v>1</v>
      </c>
      <c r="G1443" s="2" t="n">
        <f aca="false">'Raw Data'!W1443</f>
        <v>4</v>
      </c>
      <c r="H1443" s="2" t="n">
        <f aca="false">'Raw Data'!V1443</f>
        <v>3</v>
      </c>
      <c r="I1443" s="2" t="n">
        <f aca="false">IF(AND(ISNUMBER(B1443),B1443&lt;=25),2,0)+IF(AND(ISNUMBER(E1443),E1443&lt;=5),2,0)+IF(AND(ISNUMBER(F1443),F1443&lt;=1),2,0)+IF(AND(ISNUMBER(G1443),G1443&lt;=2),1,0)+IF(AND(ISNUMBER(H1443),H1443&lt;=2),1,0)</f>
        <v>4</v>
      </c>
      <c r="J1443" s="2" t="str">
        <f aca="false">IF(I1443&gt;=6,"High",IF(I1443&gt;=3,"Medium","Low"))</f>
        <v>Medium</v>
      </c>
    </row>
    <row r="1444" customFormat="false" ht="15" hidden="false" customHeight="true" outlineLevel="0" collapsed="false">
      <c r="A1444" s="2" t="n">
        <f aca="false">'Raw Data'!H1444</f>
        <v>1443</v>
      </c>
      <c r="B1444" s="2" t="n">
        <f aca="false">'Raw Data'!A1444</f>
        <v>52</v>
      </c>
      <c r="C1444" s="2" t="str">
        <f aca="false">'Raw Data'!D1444</f>
        <v>Research &amp; Development</v>
      </c>
      <c r="D1444" s="2" t="str">
        <f aca="false">'Raw Data'!K1444</f>
        <v>Manager</v>
      </c>
      <c r="E1444" s="2" t="n">
        <f aca="false">'Raw Data'!Q1444</f>
        <v>6</v>
      </c>
      <c r="F1444" s="2" t="n">
        <f aca="false">'Raw Data'!U1444</f>
        <v>2</v>
      </c>
      <c r="G1444" s="2" t="n">
        <f aca="false">'Raw Data'!W1444</f>
        <v>4</v>
      </c>
      <c r="H1444" s="2" t="n">
        <f aca="false">'Raw Data'!V1444</f>
        <v>3</v>
      </c>
      <c r="I1444" s="2" t="n">
        <f aca="false">IF(AND(ISNUMBER(B1444),B1444&lt;=25),2,0)+IF(AND(ISNUMBER(E1444),E1444&lt;=5),2,0)+IF(AND(ISNUMBER(F1444),F1444&lt;=1),2,0)+IF(AND(ISNUMBER(G1444),G1444&lt;=2),1,0)+IF(AND(ISNUMBER(H1444),H1444&lt;=2),1,0)</f>
        <v>0</v>
      </c>
      <c r="J1444" s="2" t="str">
        <f aca="false">IF(I1444&gt;=6,"High",IF(I1444&gt;=3,"Medium","Low"))</f>
        <v>Low</v>
      </c>
    </row>
    <row r="1445" customFormat="false" ht="15" hidden="false" customHeight="true" outlineLevel="0" collapsed="false">
      <c r="A1445" s="2" t="n">
        <f aca="false">'Raw Data'!H1445</f>
        <v>1444</v>
      </c>
      <c r="B1445" s="2" t="n">
        <f aca="false">'Raw Data'!A1445</f>
        <v>42</v>
      </c>
      <c r="C1445" s="2" t="str">
        <f aca="false">'Raw Data'!D1445</f>
        <v>Research &amp; Development</v>
      </c>
      <c r="D1445" s="2" t="str">
        <f aca="false">'Raw Data'!K1445</f>
        <v>Sales Executive</v>
      </c>
      <c r="E1445" s="2" t="n">
        <f aca="false">'Raw Data'!Q1445</f>
        <v>22</v>
      </c>
      <c r="F1445" s="2" t="n">
        <f aca="false">'Raw Data'!U1445</f>
        <v>15</v>
      </c>
      <c r="G1445" s="2" t="n">
        <f aca="false">'Raw Data'!W1445</f>
        <v>4</v>
      </c>
      <c r="H1445" s="2" t="n">
        <f aca="false">'Raw Data'!V1445</f>
        <v>3</v>
      </c>
      <c r="I1445" s="2" t="n">
        <f aca="false">IF(AND(ISNUMBER(B1445),B1445&lt;=25),2,0)+IF(AND(ISNUMBER(E1445),E1445&lt;=5),2,0)+IF(AND(ISNUMBER(F1445),F1445&lt;=1),2,0)+IF(AND(ISNUMBER(G1445),G1445&lt;=2),1,0)+IF(AND(ISNUMBER(H1445),H1445&lt;=2),1,0)</f>
        <v>0</v>
      </c>
      <c r="J1445" s="2" t="str">
        <f aca="false">IF(I1445&gt;=6,"High",IF(I1445&gt;=3,"Medium","Low"))</f>
        <v>Low</v>
      </c>
    </row>
    <row r="1446" customFormat="false" ht="15" hidden="false" customHeight="true" outlineLevel="0" collapsed="false">
      <c r="A1446" s="2" t="n">
        <f aca="false">'Raw Data'!H1446</f>
        <v>1445</v>
      </c>
      <c r="B1446" s="2" t="n">
        <f aca="false">'Raw Data'!A1446</f>
        <v>59</v>
      </c>
      <c r="C1446" s="2" t="str">
        <f aca="false">'Raw Data'!D1446</f>
        <v>Research &amp; Development</v>
      </c>
      <c r="D1446" s="2" t="str">
        <f aca="false">'Raw Data'!K1446</f>
        <v>Healthcare Representative</v>
      </c>
      <c r="E1446" s="2" t="n">
        <f aca="false">'Raw Data'!Q1446</f>
        <v>7</v>
      </c>
      <c r="F1446" s="2" t="n">
        <f aca="false">'Raw Data'!U1446</f>
        <v>2</v>
      </c>
      <c r="G1446" s="2" t="n">
        <f aca="false">'Raw Data'!W1446</f>
        <v>3</v>
      </c>
      <c r="H1446" s="2" t="n">
        <f aca="false">'Raw Data'!V1446</f>
        <v>2</v>
      </c>
      <c r="I1446" s="2" t="n">
        <f aca="false">IF(AND(ISNUMBER(B1446),B1446&lt;=25),2,0)+IF(AND(ISNUMBER(E1446),E1446&lt;=5),2,0)+IF(AND(ISNUMBER(F1446),F1446&lt;=1),2,0)+IF(AND(ISNUMBER(G1446),G1446&lt;=2),1,0)+IF(AND(ISNUMBER(H1446),H1446&lt;=2),1,0)</f>
        <v>1</v>
      </c>
      <c r="J1446" s="2" t="str">
        <f aca="false">IF(I1446&gt;=6,"High",IF(I1446&gt;=3,"Medium","Low"))</f>
        <v>Low</v>
      </c>
    </row>
    <row r="1447" customFormat="false" ht="15" hidden="false" customHeight="true" outlineLevel="0" collapsed="false">
      <c r="A1447" s="2" t="n">
        <f aca="false">'Raw Data'!H1447</f>
        <v>1446</v>
      </c>
      <c r="B1447" s="2" t="n">
        <f aca="false">'Raw Data'!A1447</f>
        <v>50</v>
      </c>
      <c r="C1447" s="2" t="str">
        <f aca="false">'Raw Data'!D1447</f>
        <v>Research &amp; Development</v>
      </c>
      <c r="D1447" s="2" t="str">
        <f aca="false">'Raw Data'!K1447</f>
        <v>Sales Executive</v>
      </c>
      <c r="E1447" s="2" t="n">
        <f aca="false">'Raw Data'!Q1447</f>
        <v>32</v>
      </c>
      <c r="F1447" s="2" t="n">
        <f aca="false">'Raw Data'!U1447</f>
        <v>6</v>
      </c>
      <c r="G1447" s="2" t="n">
        <f aca="false">'Raw Data'!W1447</f>
        <v>4</v>
      </c>
      <c r="H1447" s="2" t="n">
        <f aca="false">'Raw Data'!V1447</f>
        <v>4</v>
      </c>
      <c r="I1447" s="2" t="n">
        <f aca="false">IF(AND(ISNUMBER(B1447),B1447&lt;=25),2,0)+IF(AND(ISNUMBER(E1447),E1447&lt;=5),2,0)+IF(AND(ISNUMBER(F1447),F1447&lt;=1),2,0)+IF(AND(ISNUMBER(G1447),G1447&lt;=2),1,0)+IF(AND(ISNUMBER(H1447),H1447&lt;=2),1,0)</f>
        <v>0</v>
      </c>
      <c r="J1447" s="2" t="str">
        <f aca="false">IF(I1447&gt;=6,"High",IF(I1447&gt;=3,"Medium","Low"))</f>
        <v>Low</v>
      </c>
    </row>
    <row r="1448" customFormat="false" ht="15" hidden="false" customHeight="true" outlineLevel="0" collapsed="false">
      <c r="A1448" s="2" t="n">
        <f aca="false">'Raw Data'!H1448</f>
        <v>1447</v>
      </c>
      <c r="B1448" s="2" t="n">
        <f aca="false">'Raw Data'!A1448</f>
        <v>33</v>
      </c>
      <c r="C1448" s="2" t="str">
        <f aca="false">'Raw Data'!D1448</f>
        <v>Sales</v>
      </c>
      <c r="D1448" s="2" t="str">
        <f aca="false">'Raw Data'!K1448</f>
        <v>Research Scientist</v>
      </c>
      <c r="E1448" s="2" t="n">
        <f aca="false">'Raw Data'!Q1448</f>
        <v>8</v>
      </c>
      <c r="F1448" s="2" t="n">
        <f aca="false">'Raw Data'!U1448</f>
        <v>4</v>
      </c>
      <c r="G1448" s="2" t="n">
        <f aca="false">'Raw Data'!W1448</f>
        <v>4</v>
      </c>
      <c r="H1448" s="2" t="n">
        <f aca="false">'Raw Data'!V1448</f>
        <v>3</v>
      </c>
      <c r="I1448" s="2" t="n">
        <f aca="false">IF(AND(ISNUMBER(B1448),B1448&lt;=25),2,0)+IF(AND(ISNUMBER(E1448),E1448&lt;=5),2,0)+IF(AND(ISNUMBER(F1448),F1448&lt;=1),2,0)+IF(AND(ISNUMBER(G1448),G1448&lt;=2),1,0)+IF(AND(ISNUMBER(H1448),H1448&lt;=2),1,0)</f>
        <v>0</v>
      </c>
      <c r="J1448" s="2" t="str">
        <f aca="false">IF(I1448&gt;=6,"High",IF(I1448&gt;=3,"Medium","Low"))</f>
        <v>Low</v>
      </c>
    </row>
    <row r="1449" customFormat="false" ht="15" hidden="false" customHeight="true" outlineLevel="0" collapsed="false">
      <c r="A1449" s="2" t="n">
        <f aca="false">'Raw Data'!H1449</f>
        <v>1448</v>
      </c>
      <c r="B1449" s="2" t="n">
        <f aca="false">'Raw Data'!A1449</f>
        <v>43</v>
      </c>
      <c r="C1449" s="2" t="str">
        <f aca="false">'Raw Data'!D1449</f>
        <v>Sales</v>
      </c>
      <c r="D1449" s="2" t="str">
        <f aca="false">'Raw Data'!K1449</f>
        <v>Manufacturing Director</v>
      </c>
      <c r="E1449" s="2" t="n">
        <f aca="false">'Raw Data'!Q1449</f>
        <v>22</v>
      </c>
      <c r="F1449" s="2" t="n">
        <f aca="false">'Raw Data'!U1449</f>
        <v>9</v>
      </c>
      <c r="G1449" s="2" t="n">
        <f aca="false">'Raw Data'!W1449</f>
        <v>4</v>
      </c>
      <c r="H1449" s="2" t="n">
        <f aca="false">'Raw Data'!V1449</f>
        <v>4</v>
      </c>
      <c r="I1449" s="2" t="n">
        <f aca="false">IF(AND(ISNUMBER(B1449),B1449&lt;=25),2,0)+IF(AND(ISNUMBER(E1449),E1449&lt;=5),2,0)+IF(AND(ISNUMBER(F1449),F1449&lt;=1),2,0)+IF(AND(ISNUMBER(G1449),G1449&lt;=2),1,0)+IF(AND(ISNUMBER(H1449),H1449&lt;=2),1,0)</f>
        <v>0</v>
      </c>
      <c r="J1449" s="2" t="str">
        <f aca="false">IF(I1449&gt;=6,"High",IF(I1449&gt;=3,"Medium","Low"))</f>
        <v>Low</v>
      </c>
    </row>
    <row r="1450" customFormat="false" ht="15" hidden="false" customHeight="true" outlineLevel="0" collapsed="false">
      <c r="A1450" s="2" t="n">
        <f aca="false">'Raw Data'!H1450</f>
        <v>1449</v>
      </c>
      <c r="B1450" s="2" t="n">
        <f aca="false">'Raw Data'!A1450</f>
        <v>33</v>
      </c>
      <c r="C1450" s="2" t="str">
        <f aca="false">'Raw Data'!D1450</f>
        <v>Sales</v>
      </c>
      <c r="D1450" s="2" t="str">
        <f aca="false">'Raw Data'!K1450</f>
        <v>Manager</v>
      </c>
      <c r="E1450" s="2" t="n">
        <f aca="false">'Raw Data'!Q1450</f>
        <v>13</v>
      </c>
      <c r="F1450" s="2" t="n">
        <f aca="false">'Raw Data'!U1450</f>
        <v>7</v>
      </c>
      <c r="G1450" s="2" t="n">
        <f aca="false">'Raw Data'!W1450</f>
        <v>1</v>
      </c>
      <c r="H1450" s="2" t="n">
        <f aca="false">'Raw Data'!V1450</f>
        <v>1</v>
      </c>
      <c r="I1450" s="2" t="n">
        <f aca="false">IF(AND(ISNUMBER(B1450),B1450&lt;=25),2,0)+IF(AND(ISNUMBER(E1450),E1450&lt;=5),2,0)+IF(AND(ISNUMBER(F1450),F1450&lt;=1),2,0)+IF(AND(ISNUMBER(G1450),G1450&lt;=2),1,0)+IF(AND(ISNUMBER(H1450),H1450&lt;=2),1,0)</f>
        <v>2</v>
      </c>
      <c r="J1450" s="2" t="str">
        <f aca="false">IF(I1450&gt;=6,"High",IF(I1450&gt;=3,"Medium","Low"))</f>
        <v>Low</v>
      </c>
    </row>
    <row r="1451" customFormat="false" ht="15" hidden="false" customHeight="true" outlineLevel="0" collapsed="false">
      <c r="A1451" s="2" t="n">
        <f aca="false">'Raw Data'!H1451</f>
        <v>1450</v>
      </c>
      <c r="B1451" s="2" t="n">
        <f aca="false">'Raw Data'!A1451</f>
        <v>52</v>
      </c>
      <c r="C1451" s="2" t="str">
        <f aca="false">'Raw Data'!D1451</f>
        <v>Research &amp; Development</v>
      </c>
      <c r="D1451" s="2" t="str">
        <f aca="false">'Raw Data'!K1451</f>
        <v>Sales Executive</v>
      </c>
      <c r="E1451" s="2" t="n">
        <f aca="false">'Raw Data'!Q1451</f>
        <v>33</v>
      </c>
      <c r="F1451" s="2" t="n">
        <f aca="false">'Raw Data'!U1451</f>
        <v>12</v>
      </c>
      <c r="G1451" s="2" t="n">
        <f aca="false">'Raw Data'!W1451</f>
        <v>3</v>
      </c>
      <c r="H1451" s="2" t="n">
        <f aca="false">'Raw Data'!V1451</f>
        <v>1</v>
      </c>
      <c r="I1451" s="2" t="n">
        <f aca="false">IF(AND(ISNUMBER(B1451),B1451&lt;=25),2,0)+IF(AND(ISNUMBER(E1451),E1451&lt;=5),2,0)+IF(AND(ISNUMBER(F1451),F1451&lt;=1),2,0)+IF(AND(ISNUMBER(G1451),G1451&lt;=2),1,0)+IF(AND(ISNUMBER(H1451),H1451&lt;=2),1,0)</f>
        <v>1</v>
      </c>
      <c r="J1451" s="2" t="str">
        <f aca="false">IF(I1451&gt;=6,"High",IF(I1451&gt;=3,"Medium","Low"))</f>
        <v>Low</v>
      </c>
    </row>
    <row r="1452" customFormat="false" ht="15" hidden="false" customHeight="true" outlineLevel="0" collapsed="false">
      <c r="A1452" s="2" t="n">
        <f aca="false">'Raw Data'!H1452</f>
        <v>1451</v>
      </c>
      <c r="B1452" s="2" t="n">
        <f aca="false">'Raw Data'!A1452</f>
        <v>32</v>
      </c>
      <c r="C1452" s="2" t="str">
        <f aca="false">'Raw Data'!D1452</f>
        <v>Human Resources</v>
      </c>
      <c r="D1452" s="2" t="str">
        <f aca="false">'Raw Data'!K1452</f>
        <v>Manufacturing Director</v>
      </c>
      <c r="E1452" s="2" t="n">
        <f aca="false">'Raw Data'!Q1452</f>
        <v>6</v>
      </c>
      <c r="F1452" s="2" t="n">
        <f aca="false">'Raw Data'!U1452</f>
        <v>2</v>
      </c>
      <c r="G1452" s="2" t="n">
        <f aca="false">'Raw Data'!W1452</f>
        <v>2</v>
      </c>
      <c r="H1452" s="2" t="n">
        <f aca="false">'Raw Data'!V1452</f>
        <v>3</v>
      </c>
      <c r="I1452" s="2" t="n">
        <f aca="false">IF(AND(ISNUMBER(B1452),B1452&lt;=25),2,0)+IF(AND(ISNUMBER(E1452),E1452&lt;=5),2,0)+IF(AND(ISNUMBER(F1452),F1452&lt;=1),2,0)+IF(AND(ISNUMBER(G1452),G1452&lt;=2),1,0)+IF(AND(ISNUMBER(H1452),H1452&lt;=2),1,0)</f>
        <v>1</v>
      </c>
      <c r="J1452" s="2" t="str">
        <f aca="false">IF(I1452&gt;=6,"High",IF(I1452&gt;=3,"Medium","Low"))</f>
        <v>Low</v>
      </c>
    </row>
    <row r="1453" customFormat="false" ht="15" hidden="false" customHeight="true" outlineLevel="0" collapsed="false">
      <c r="A1453" s="2" t="n">
        <f aca="false">'Raw Data'!H1453</f>
        <v>1452</v>
      </c>
      <c r="B1453" s="2" t="n">
        <f aca="false">'Raw Data'!A1453</f>
        <v>32</v>
      </c>
      <c r="C1453" s="2" t="str">
        <f aca="false">'Raw Data'!D1453</f>
        <v>Sales</v>
      </c>
      <c r="D1453" s="2" t="str">
        <f aca="false">'Raw Data'!K1453</f>
        <v>Healthcare Representative</v>
      </c>
      <c r="E1453" s="2" t="n">
        <f aca="false">'Raw Data'!Q1453</f>
        <v>4</v>
      </c>
      <c r="F1453" s="2" t="n">
        <f aca="false">'Raw Data'!U1453</f>
        <v>2</v>
      </c>
      <c r="G1453" s="2" t="n">
        <f aca="false">'Raw Data'!W1453</f>
        <v>3</v>
      </c>
      <c r="H1453" s="2" t="n">
        <f aca="false">'Raw Data'!V1453</f>
        <v>4</v>
      </c>
      <c r="I1453" s="2" t="n">
        <f aca="false">IF(AND(ISNUMBER(B1453),B1453&lt;=25),2,0)+IF(AND(ISNUMBER(E1453),E1453&lt;=5),2,0)+IF(AND(ISNUMBER(F1453),F1453&lt;=1),2,0)+IF(AND(ISNUMBER(G1453),G1453&lt;=2),1,0)+IF(AND(ISNUMBER(H1453),H1453&lt;=2),1,0)</f>
        <v>2</v>
      </c>
      <c r="J1453" s="2" t="str">
        <f aca="false">IF(I1453&gt;=6,"High",IF(I1453&gt;=3,"Medium","Low"))</f>
        <v>Low</v>
      </c>
    </row>
    <row r="1454" customFormat="false" ht="15" hidden="false" customHeight="true" outlineLevel="0" collapsed="false">
      <c r="A1454" s="2" t="n">
        <f aca="false">'Raw Data'!H1454</f>
        <v>1453</v>
      </c>
      <c r="B1454" s="2" t="n">
        <f aca="false">'Raw Data'!A1454</f>
        <v>39</v>
      </c>
      <c r="C1454" s="2" t="str">
        <f aca="false">'Raw Data'!D1454</f>
        <v>Sales</v>
      </c>
      <c r="D1454" s="2" t="str">
        <f aca="false">'Raw Data'!K1454</f>
        <v>Research Director</v>
      </c>
      <c r="E1454" s="2" t="n">
        <f aca="false">'Raw Data'!Q1454</f>
        <v>7</v>
      </c>
      <c r="F1454" s="2" t="n">
        <f aca="false">'Raw Data'!U1454</f>
        <v>2</v>
      </c>
      <c r="G1454" s="2" t="n">
        <f aca="false">'Raw Data'!W1454</f>
        <v>3</v>
      </c>
      <c r="H1454" s="2" t="n">
        <f aca="false">'Raw Data'!V1454</f>
        <v>3</v>
      </c>
      <c r="I1454" s="2" t="n">
        <f aca="false">IF(AND(ISNUMBER(B1454),B1454&lt;=25),2,0)+IF(AND(ISNUMBER(E1454),E1454&lt;=5),2,0)+IF(AND(ISNUMBER(F1454),F1454&lt;=1),2,0)+IF(AND(ISNUMBER(G1454),G1454&lt;=2),1,0)+IF(AND(ISNUMBER(H1454),H1454&lt;=2),1,0)</f>
        <v>0</v>
      </c>
      <c r="J1454" s="2" t="str">
        <f aca="false">IF(I1454&gt;=6,"High",IF(I1454&gt;=3,"Medium","Low"))</f>
        <v>Low</v>
      </c>
    </row>
    <row r="1455" customFormat="false" ht="15" hidden="false" customHeight="true" outlineLevel="0" collapsed="false">
      <c r="A1455" s="2" t="n">
        <f aca="false">'Raw Data'!H1455</f>
        <v>1454</v>
      </c>
      <c r="B1455" s="2" t="n">
        <f aca="false">'Raw Data'!A1455</f>
        <v>32</v>
      </c>
      <c r="C1455" s="2" t="str">
        <f aca="false">'Raw Data'!D1455</f>
        <v>Sales</v>
      </c>
      <c r="D1455" s="2" t="str">
        <f aca="false">'Raw Data'!K1455</f>
        <v>Research Scientist</v>
      </c>
      <c r="E1455" s="2" t="n">
        <f aca="false">'Raw Data'!Q1455</f>
        <v>4</v>
      </c>
      <c r="F1455" s="2" t="n">
        <f aca="false">'Raw Data'!U1455</f>
        <v>2</v>
      </c>
      <c r="G1455" s="2" t="n">
        <f aca="false">'Raw Data'!W1455</f>
        <v>4</v>
      </c>
      <c r="H1455" s="2" t="n">
        <f aca="false">'Raw Data'!V1455</f>
        <v>3</v>
      </c>
      <c r="I1455" s="2" t="n">
        <f aca="false">IF(AND(ISNUMBER(B1455),B1455&lt;=25),2,0)+IF(AND(ISNUMBER(E1455),E1455&lt;=5),2,0)+IF(AND(ISNUMBER(F1455),F1455&lt;=1),2,0)+IF(AND(ISNUMBER(G1455),G1455&lt;=2),1,0)+IF(AND(ISNUMBER(H1455),H1455&lt;=2),1,0)</f>
        <v>2</v>
      </c>
      <c r="J1455" s="2" t="str">
        <f aca="false">IF(I1455&gt;=6,"High",IF(I1455&gt;=3,"Medium","Low"))</f>
        <v>Low</v>
      </c>
    </row>
    <row r="1456" customFormat="false" ht="15" hidden="false" customHeight="true" outlineLevel="0" collapsed="false">
      <c r="A1456" s="2" t="n">
        <f aca="false">'Raw Data'!H1456</f>
        <v>1455</v>
      </c>
      <c r="B1456" s="2" t="n">
        <f aca="false">'Raw Data'!A1456</f>
        <v>41</v>
      </c>
      <c r="C1456" s="2" t="str">
        <f aca="false">'Raw Data'!D1456</f>
        <v>Sales</v>
      </c>
      <c r="D1456" s="2" t="str">
        <f aca="false">'Raw Data'!K1456</f>
        <v>Laboratory Technician</v>
      </c>
      <c r="E1456" s="2" t="n">
        <f aca="false">'Raw Data'!Q1456</f>
        <v>17</v>
      </c>
      <c r="F1456" s="2" t="n">
        <f aca="false">'Raw Data'!U1456</f>
        <v>0</v>
      </c>
      <c r="G1456" s="2" t="n">
        <f aca="false">'Raw Data'!W1456</f>
        <v>1</v>
      </c>
      <c r="H1456" s="2" t="n">
        <f aca="false">'Raw Data'!V1456</f>
        <v>3</v>
      </c>
      <c r="I1456" s="2" t="n">
        <f aca="false">IF(AND(ISNUMBER(B1456),B1456&lt;=25),2,0)+IF(AND(ISNUMBER(E1456),E1456&lt;=5),2,0)+IF(AND(ISNUMBER(F1456),F1456&lt;=1),2,0)+IF(AND(ISNUMBER(G1456),G1456&lt;=2),1,0)+IF(AND(ISNUMBER(H1456),H1456&lt;=2),1,0)</f>
        <v>3</v>
      </c>
      <c r="J1456" s="2" t="str">
        <f aca="false">IF(I1456&gt;=6,"High",IF(I1456&gt;=3,"Medium","Low"))</f>
        <v>Medium</v>
      </c>
    </row>
    <row r="1457" customFormat="false" ht="15" hidden="false" customHeight="true" outlineLevel="0" collapsed="false">
      <c r="A1457" s="2" t="n">
        <f aca="false">'Raw Data'!H1457</f>
        <v>1456</v>
      </c>
      <c r="B1457" s="2" t="n">
        <f aca="false">'Raw Data'!A1457</f>
        <v>40</v>
      </c>
      <c r="C1457" s="2" t="str">
        <f aca="false">'Raw Data'!D1457</f>
        <v>Research &amp; Development</v>
      </c>
      <c r="D1457" s="2" t="str">
        <f aca="false">'Raw Data'!K1457</f>
        <v>Manufacturing Director</v>
      </c>
      <c r="E1457" s="2" t="n">
        <f aca="false">'Raw Data'!Q1457</f>
        <v>9</v>
      </c>
      <c r="F1457" s="2" t="n">
        <f aca="false">'Raw Data'!U1457</f>
        <v>7</v>
      </c>
      <c r="G1457" s="2" t="n">
        <f aca="false">'Raw Data'!W1457</f>
        <v>4</v>
      </c>
      <c r="H1457" s="2" t="n">
        <f aca="false">'Raw Data'!V1457</f>
        <v>1</v>
      </c>
      <c r="I1457" s="2" t="n">
        <f aca="false">IF(AND(ISNUMBER(B1457),B1457&lt;=25),2,0)+IF(AND(ISNUMBER(E1457),E1457&lt;=5),2,0)+IF(AND(ISNUMBER(F1457),F1457&lt;=1),2,0)+IF(AND(ISNUMBER(G1457),G1457&lt;=2),1,0)+IF(AND(ISNUMBER(H1457),H1457&lt;=2),1,0)</f>
        <v>1</v>
      </c>
      <c r="J1457" s="2" t="str">
        <f aca="false">IF(I1457&gt;=6,"High",IF(I1457&gt;=3,"Medium","Low"))</f>
        <v>Low</v>
      </c>
    </row>
    <row r="1458" customFormat="false" ht="15" hidden="false" customHeight="true" outlineLevel="0" collapsed="false">
      <c r="A1458" s="2" t="n">
        <f aca="false">'Raw Data'!H1458</f>
        <v>1457</v>
      </c>
      <c r="B1458" s="2" t="n">
        <f aca="false">'Raw Data'!A1458</f>
        <v>45</v>
      </c>
      <c r="C1458" s="2" t="str">
        <f aca="false">'Raw Data'!D1458</f>
        <v>Research &amp; Development</v>
      </c>
      <c r="D1458" s="2" t="str">
        <f aca="false">'Raw Data'!K1458</f>
        <v>Sales Representative</v>
      </c>
      <c r="E1458" s="2" t="n">
        <f aca="false">'Raw Data'!Q1458</f>
        <v>25</v>
      </c>
      <c r="F1458" s="2" t="n">
        <f aca="false">'Raw Data'!U1458</f>
        <v>7</v>
      </c>
      <c r="G1458" s="2" t="n">
        <f aca="false">'Raw Data'!W1458</f>
        <v>4</v>
      </c>
      <c r="H1458" s="2" t="n">
        <f aca="false">'Raw Data'!V1458</f>
        <v>3</v>
      </c>
      <c r="I1458" s="2" t="n">
        <f aca="false">IF(AND(ISNUMBER(B1458),B1458&lt;=25),2,0)+IF(AND(ISNUMBER(E1458),E1458&lt;=5),2,0)+IF(AND(ISNUMBER(F1458),F1458&lt;=1),2,0)+IF(AND(ISNUMBER(G1458),G1458&lt;=2),1,0)+IF(AND(ISNUMBER(H1458),H1458&lt;=2),1,0)</f>
        <v>0</v>
      </c>
      <c r="J1458" s="2" t="str">
        <f aca="false">IF(I1458&gt;=6,"High",IF(I1458&gt;=3,"Medium","Low"))</f>
        <v>Low</v>
      </c>
    </row>
    <row r="1459" customFormat="false" ht="15" hidden="false" customHeight="true" outlineLevel="0" collapsed="false">
      <c r="A1459" s="2" t="n">
        <f aca="false">'Raw Data'!H1459</f>
        <v>1458</v>
      </c>
      <c r="B1459" s="2" t="n">
        <f aca="false">'Raw Data'!A1459</f>
        <v>31</v>
      </c>
      <c r="C1459" s="2" t="str">
        <f aca="false">'Raw Data'!D1459</f>
        <v>Research &amp; Development</v>
      </c>
      <c r="D1459" s="2" t="str">
        <f aca="false">'Raw Data'!K1459</f>
        <v>Research Scientist</v>
      </c>
      <c r="E1459" s="2" t="n">
        <f aca="false">'Raw Data'!Q1459</f>
        <v>9</v>
      </c>
      <c r="F1459" s="2" t="n">
        <f aca="false">'Raw Data'!U1459</f>
        <v>2</v>
      </c>
      <c r="G1459" s="2" t="n">
        <f aca="false">'Raw Data'!W1459</f>
        <v>3</v>
      </c>
      <c r="H1459" s="2" t="n">
        <f aca="false">'Raw Data'!V1459</f>
        <v>2</v>
      </c>
      <c r="I1459" s="2" t="n">
        <f aca="false">IF(AND(ISNUMBER(B1459),B1459&lt;=25),2,0)+IF(AND(ISNUMBER(E1459),E1459&lt;=5),2,0)+IF(AND(ISNUMBER(F1459),F1459&lt;=1),2,0)+IF(AND(ISNUMBER(G1459),G1459&lt;=2),1,0)+IF(AND(ISNUMBER(H1459),H1459&lt;=2),1,0)</f>
        <v>1</v>
      </c>
      <c r="J1459" s="2" t="str">
        <f aca="false">IF(I1459&gt;=6,"High",IF(I1459&gt;=3,"Medium","Low"))</f>
        <v>Low</v>
      </c>
    </row>
    <row r="1460" customFormat="false" ht="15" hidden="false" customHeight="true" outlineLevel="0" collapsed="false">
      <c r="A1460" s="2" t="n">
        <f aca="false">'Raw Data'!H1460</f>
        <v>1459</v>
      </c>
      <c r="B1460" s="2" t="n">
        <f aca="false">'Raw Data'!A1460</f>
        <v>33</v>
      </c>
      <c r="C1460" s="2" t="str">
        <f aca="false">'Raw Data'!D1460</f>
        <v>Research &amp; Development</v>
      </c>
      <c r="D1460" s="2" t="str">
        <f aca="false">'Raw Data'!K1460</f>
        <v>Sales Executive</v>
      </c>
      <c r="E1460" s="2" t="n">
        <f aca="false">'Raw Data'!Q1460</f>
        <v>2</v>
      </c>
      <c r="F1460" s="2" t="n">
        <f aca="false">'Raw Data'!U1460</f>
        <v>2</v>
      </c>
      <c r="G1460" s="2" t="n">
        <f aca="false">'Raw Data'!W1460</f>
        <v>4</v>
      </c>
      <c r="H1460" s="2" t="n">
        <f aca="false">'Raw Data'!V1460</f>
        <v>3</v>
      </c>
      <c r="I1460" s="2" t="n">
        <f aca="false">IF(AND(ISNUMBER(B1460),B1460&lt;=25),2,0)+IF(AND(ISNUMBER(E1460),E1460&lt;=5),2,0)+IF(AND(ISNUMBER(F1460),F1460&lt;=1),2,0)+IF(AND(ISNUMBER(G1460),G1460&lt;=2),1,0)+IF(AND(ISNUMBER(H1460),H1460&lt;=2),1,0)</f>
        <v>2</v>
      </c>
      <c r="J1460" s="2" t="str">
        <f aca="false">IF(I1460&gt;=6,"High",IF(I1460&gt;=3,"Medium","Low"))</f>
        <v>Low</v>
      </c>
    </row>
    <row r="1461" customFormat="false" ht="15" hidden="false" customHeight="true" outlineLevel="0" collapsed="false">
      <c r="A1461" s="2" t="n">
        <f aca="false">'Raw Data'!H1461</f>
        <v>1460</v>
      </c>
      <c r="B1461" s="2" t="n">
        <f aca="false">'Raw Data'!A1461</f>
        <v>34</v>
      </c>
      <c r="C1461" s="2" t="str">
        <f aca="false">'Raw Data'!D1461</f>
        <v>Research &amp; Development</v>
      </c>
      <c r="D1461" s="2" t="str">
        <f aca="false">'Raw Data'!K1461</f>
        <v>Sales Executive</v>
      </c>
      <c r="E1461" s="2" t="n">
        <f aca="false">'Raw Data'!Q1461</f>
        <v>13</v>
      </c>
      <c r="F1461" s="2" t="n">
        <f aca="false">'Raw Data'!U1461</f>
        <v>9</v>
      </c>
      <c r="G1461" s="2" t="n">
        <f aca="false">'Raw Data'!W1461</f>
        <v>1</v>
      </c>
      <c r="H1461" s="2" t="n">
        <f aca="false">'Raw Data'!V1461</f>
        <v>4</v>
      </c>
      <c r="I1461" s="2" t="n">
        <f aca="false">IF(AND(ISNUMBER(B1461),B1461&lt;=25),2,0)+IF(AND(ISNUMBER(E1461),E1461&lt;=5),2,0)+IF(AND(ISNUMBER(F1461),F1461&lt;=1),2,0)+IF(AND(ISNUMBER(G1461),G1461&lt;=2),1,0)+IF(AND(ISNUMBER(H1461),H1461&lt;=2),1,0)</f>
        <v>1</v>
      </c>
      <c r="J1461" s="2" t="str">
        <f aca="false">IF(I1461&gt;=6,"High",IF(I1461&gt;=3,"Medium","Low"))</f>
        <v>Low</v>
      </c>
    </row>
    <row r="1462" customFormat="false" ht="15" hidden="false" customHeight="true" outlineLevel="0" collapsed="false">
      <c r="A1462" s="2" t="n">
        <f aca="false">'Raw Data'!H1462</f>
        <v>1461</v>
      </c>
      <c r="B1462" s="2" t="n">
        <f aca="false">'Raw Data'!A1462</f>
        <v>37</v>
      </c>
      <c r="C1462" s="2" t="str">
        <f aca="false">'Raw Data'!D1462</f>
        <v>Research &amp; Development</v>
      </c>
      <c r="D1462" s="2" t="str">
        <f aca="false">'Raw Data'!K1462</f>
        <v>Manufacturing Director</v>
      </c>
      <c r="E1462" s="2" t="n">
        <f aca="false">'Raw Data'!Q1462</f>
        <v>17</v>
      </c>
      <c r="F1462" s="2" t="n">
        <f aca="false">'Raw Data'!U1462</f>
        <v>2</v>
      </c>
      <c r="G1462" s="2" t="n">
        <f aca="false">'Raw Data'!W1462</f>
        <v>1</v>
      </c>
      <c r="H1462" s="2" t="n">
        <f aca="false">'Raw Data'!V1462</f>
        <v>3</v>
      </c>
      <c r="I1462" s="2" t="n">
        <f aca="false">IF(AND(ISNUMBER(B1462),B1462&lt;=25),2,0)+IF(AND(ISNUMBER(E1462),E1462&lt;=5),2,0)+IF(AND(ISNUMBER(F1462),F1462&lt;=1),2,0)+IF(AND(ISNUMBER(G1462),G1462&lt;=2),1,0)+IF(AND(ISNUMBER(H1462),H1462&lt;=2),1,0)</f>
        <v>1</v>
      </c>
      <c r="J1462" s="2" t="str">
        <f aca="false">IF(I1462&gt;=6,"High",IF(I1462&gt;=3,"Medium","Low"))</f>
        <v>Low</v>
      </c>
    </row>
    <row r="1463" customFormat="false" ht="15" hidden="false" customHeight="true" outlineLevel="0" collapsed="false">
      <c r="A1463" s="2" t="n">
        <f aca="false">'Raw Data'!H1463</f>
        <v>1462</v>
      </c>
      <c r="B1463" s="2" t="n">
        <f aca="false">'Raw Data'!A1463</f>
        <v>45</v>
      </c>
      <c r="C1463" s="2" t="str">
        <f aca="false">'Raw Data'!D1463</f>
        <v>Sales</v>
      </c>
      <c r="D1463" s="2" t="str">
        <f aca="false">'Raw Data'!K1463</f>
        <v>Research Scientist</v>
      </c>
      <c r="E1463" s="2" t="n">
        <f aca="false">'Raw Data'!Q1463</f>
        <v>9</v>
      </c>
      <c r="F1463" s="2" t="n">
        <f aca="false">'Raw Data'!U1463</f>
        <v>2</v>
      </c>
      <c r="G1463" s="2" t="n">
        <f aca="false">'Raw Data'!W1463</f>
        <v>3</v>
      </c>
      <c r="H1463" s="2" t="n">
        <f aca="false">'Raw Data'!V1463</f>
        <v>1</v>
      </c>
      <c r="I1463" s="2" t="n">
        <f aca="false">IF(AND(ISNUMBER(B1463),B1463&lt;=25),2,0)+IF(AND(ISNUMBER(E1463),E1463&lt;=5),2,0)+IF(AND(ISNUMBER(F1463),F1463&lt;=1),2,0)+IF(AND(ISNUMBER(G1463),G1463&lt;=2),1,0)+IF(AND(ISNUMBER(H1463),H1463&lt;=2),1,0)</f>
        <v>1</v>
      </c>
      <c r="J1463" s="2" t="str">
        <f aca="false">IF(I1463&gt;=6,"High",IF(I1463&gt;=3,"Medium","Low"))</f>
        <v>Low</v>
      </c>
    </row>
    <row r="1464" customFormat="false" ht="15" hidden="false" customHeight="true" outlineLevel="0" collapsed="false">
      <c r="A1464" s="2" t="n">
        <f aca="false">'Raw Data'!H1464</f>
        <v>1463</v>
      </c>
      <c r="B1464" s="2" t="n">
        <f aca="false">'Raw Data'!A1464</f>
        <v>37</v>
      </c>
      <c r="C1464" s="2" t="str">
        <f aca="false">'Raw Data'!D1464</f>
        <v>Sales</v>
      </c>
      <c r="D1464" s="2" t="str">
        <f aca="false">'Raw Data'!K1464</f>
        <v>Laboratory Technician</v>
      </c>
      <c r="E1464" s="2" t="n">
        <f aca="false">'Raw Data'!Q1464</f>
        <v>17</v>
      </c>
      <c r="F1464" s="2" t="n">
        <f aca="false">'Raw Data'!U1464</f>
        <v>0</v>
      </c>
      <c r="G1464" s="2" t="n">
        <f aca="false">'Raw Data'!W1464</f>
        <v>3</v>
      </c>
      <c r="H1464" s="2" t="n">
        <f aca="false">'Raw Data'!V1464</f>
        <v>1</v>
      </c>
      <c r="I1464" s="2" t="n">
        <f aca="false">IF(AND(ISNUMBER(B1464),B1464&lt;=25),2,0)+IF(AND(ISNUMBER(E1464),E1464&lt;=5),2,0)+IF(AND(ISNUMBER(F1464),F1464&lt;=1),2,0)+IF(AND(ISNUMBER(G1464),G1464&lt;=2),1,0)+IF(AND(ISNUMBER(H1464),H1464&lt;=2),1,0)</f>
        <v>3</v>
      </c>
      <c r="J1464" s="2" t="str">
        <f aca="false">IF(I1464&gt;=6,"High",IF(I1464&gt;=3,"Medium","Low"))</f>
        <v>Medium</v>
      </c>
    </row>
    <row r="1465" customFormat="false" ht="15" hidden="false" customHeight="true" outlineLevel="0" collapsed="false">
      <c r="A1465" s="2" t="n">
        <f aca="false">'Raw Data'!H1465</f>
        <v>1464</v>
      </c>
      <c r="B1465" s="2" t="n">
        <f aca="false">'Raw Data'!A1465</f>
        <v>39</v>
      </c>
      <c r="C1465" s="2" t="str">
        <f aca="false">'Raw Data'!D1465</f>
        <v>Research &amp; Development</v>
      </c>
      <c r="D1465" s="2" t="str">
        <f aca="false">'Raw Data'!K1465</f>
        <v>Manufacturing Director</v>
      </c>
      <c r="E1465" s="2" t="n">
        <f aca="false">'Raw Data'!Q1465</f>
        <v>20</v>
      </c>
      <c r="F1465" s="2" t="n">
        <f aca="false">'Raw Data'!U1465</f>
        <v>8</v>
      </c>
      <c r="G1465" s="2" t="n">
        <f aca="false">'Raw Data'!W1465</f>
        <v>3</v>
      </c>
      <c r="H1465" s="2" t="n">
        <f aca="false">'Raw Data'!V1465</f>
        <v>3</v>
      </c>
      <c r="I1465" s="2" t="n">
        <f aca="false">IF(AND(ISNUMBER(B1465),B1465&lt;=25),2,0)+IF(AND(ISNUMBER(E1465),E1465&lt;=5),2,0)+IF(AND(ISNUMBER(F1465),F1465&lt;=1),2,0)+IF(AND(ISNUMBER(G1465),G1465&lt;=2),1,0)+IF(AND(ISNUMBER(H1465),H1465&lt;=2),1,0)</f>
        <v>0</v>
      </c>
      <c r="J1465" s="2" t="str">
        <f aca="false">IF(I1465&gt;=6,"High",IF(I1465&gt;=3,"Medium","Low"))</f>
        <v>Low</v>
      </c>
    </row>
    <row r="1466" customFormat="false" ht="15" hidden="false" customHeight="true" outlineLevel="0" collapsed="false">
      <c r="A1466" s="2" t="n">
        <f aca="false">'Raw Data'!H1466</f>
        <v>1465</v>
      </c>
      <c r="B1466" s="2" t="n">
        <f aca="false">'Raw Data'!A1466</f>
        <v>29</v>
      </c>
      <c r="C1466" s="2" t="str">
        <f aca="false">'Raw Data'!D1466</f>
        <v>Sales</v>
      </c>
      <c r="D1466" s="2" t="str">
        <f aca="false">'Raw Data'!K1466</f>
        <v>Human Resources</v>
      </c>
      <c r="E1466" s="2" t="n">
        <f aca="false">'Raw Data'!Q1466</f>
        <v>6</v>
      </c>
      <c r="F1466" s="2" t="n">
        <f aca="false">'Raw Data'!U1466</f>
        <v>5</v>
      </c>
      <c r="G1466" s="2" t="n">
        <f aca="false">'Raw Data'!W1466</f>
        <v>4</v>
      </c>
      <c r="H1466" s="2" t="n">
        <f aca="false">'Raw Data'!V1466</f>
        <v>3</v>
      </c>
      <c r="I1466" s="2" t="n">
        <f aca="false">IF(AND(ISNUMBER(B1466),B1466&lt;=25),2,0)+IF(AND(ISNUMBER(E1466),E1466&lt;=5),2,0)+IF(AND(ISNUMBER(F1466),F1466&lt;=1),2,0)+IF(AND(ISNUMBER(G1466),G1466&lt;=2),1,0)+IF(AND(ISNUMBER(H1466),H1466&lt;=2),1,0)</f>
        <v>0</v>
      </c>
      <c r="J1466" s="2" t="str">
        <f aca="false">IF(I1466&gt;=6,"High",IF(I1466&gt;=3,"Medium","Low"))</f>
        <v>Low</v>
      </c>
    </row>
    <row r="1467" customFormat="false" ht="15" hidden="false" customHeight="true" outlineLevel="0" collapsed="false">
      <c r="A1467" s="2" t="n">
        <f aca="false">'Raw Data'!H1467</f>
        <v>1466</v>
      </c>
      <c r="B1467" s="2" t="n">
        <f aca="false">'Raw Data'!A1467</f>
        <v>42</v>
      </c>
      <c r="C1467" s="2" t="str">
        <f aca="false">'Raw Data'!D1467</f>
        <v>Research &amp; Development</v>
      </c>
      <c r="D1467" s="2" t="str">
        <f aca="false">'Raw Data'!K1467</f>
        <v>Research Scientist</v>
      </c>
      <c r="E1467" s="2" t="n">
        <f aca="false">'Raw Data'!Q1467</f>
        <v>10</v>
      </c>
      <c r="F1467" s="2" t="n">
        <f aca="false">'Raw Data'!U1467</f>
        <v>2</v>
      </c>
      <c r="G1467" s="2" t="n">
        <f aca="false">'Raw Data'!W1467</f>
        <v>1</v>
      </c>
      <c r="H1467" s="2" t="n">
        <f aca="false">'Raw Data'!V1467</f>
        <v>4</v>
      </c>
      <c r="I1467" s="2" t="n">
        <f aca="false">IF(AND(ISNUMBER(B1467),B1467&lt;=25),2,0)+IF(AND(ISNUMBER(E1467),E1467&lt;=5),2,0)+IF(AND(ISNUMBER(F1467),F1467&lt;=1),2,0)+IF(AND(ISNUMBER(G1467),G1467&lt;=2),1,0)+IF(AND(ISNUMBER(H1467),H1467&lt;=2),1,0)</f>
        <v>1</v>
      </c>
      <c r="J1467" s="2" t="str">
        <f aca="false">IF(I1467&gt;=6,"High",IF(I1467&gt;=3,"Medium","Low"))</f>
        <v>Low</v>
      </c>
    </row>
    <row r="1468" customFormat="false" ht="15" hidden="false" customHeight="true" outlineLevel="0" collapsed="false">
      <c r="A1468" s="2" t="n">
        <f aca="false">'Raw Data'!H1468</f>
        <v>1467</v>
      </c>
      <c r="B1468" s="2" t="n">
        <f aca="false">'Raw Data'!A1468</f>
        <v>29</v>
      </c>
      <c r="C1468" s="2" t="str">
        <f aca="false">'Raw Data'!D1468</f>
        <v>Research &amp; Development</v>
      </c>
      <c r="D1468" s="2" t="str">
        <f aca="false">'Raw Data'!K1468</f>
        <v>Laboratory Technician</v>
      </c>
      <c r="E1468" s="2" t="n">
        <f aca="false">'Raw Data'!Q1468</f>
        <v>10</v>
      </c>
      <c r="F1468" s="2" t="n">
        <f aca="false">'Raw Data'!U1468</f>
        <v>2</v>
      </c>
      <c r="G1468" s="2" t="n">
        <f aca="false">'Raw Data'!W1468</f>
        <v>4</v>
      </c>
      <c r="H1468" s="2" t="n">
        <f aca="false">'Raw Data'!V1468</f>
        <v>4</v>
      </c>
      <c r="I1468" s="2" t="n">
        <f aca="false">IF(AND(ISNUMBER(B1468),B1468&lt;=25),2,0)+IF(AND(ISNUMBER(E1468),E1468&lt;=5),2,0)+IF(AND(ISNUMBER(F1468),F1468&lt;=1),2,0)+IF(AND(ISNUMBER(G1468),G1468&lt;=2),1,0)+IF(AND(ISNUMBER(H1468),H1468&lt;=2),1,0)</f>
        <v>0</v>
      </c>
      <c r="J1468" s="2" t="str">
        <f aca="false">IF(I1468&gt;=6,"High",IF(I1468&gt;=3,"Medium","Low"))</f>
        <v>Low</v>
      </c>
    </row>
    <row r="1469" customFormat="false" ht="15" hidden="false" customHeight="true" outlineLevel="0" collapsed="false">
      <c r="A1469" s="2" t="n">
        <f aca="false">'Raw Data'!H1469</f>
        <v>1468</v>
      </c>
      <c r="B1469" s="2" t="n">
        <f aca="false">'Raw Data'!A1469</f>
        <v>25</v>
      </c>
      <c r="C1469" s="2" t="str">
        <f aca="false">'Raw Data'!D1469</f>
        <v>Research &amp; Development</v>
      </c>
      <c r="D1469" s="2" t="str">
        <f aca="false">'Raw Data'!K1469</f>
        <v>Sales Executive</v>
      </c>
      <c r="E1469" s="2" t="n">
        <f aca="false">'Raw Data'!Q1469</f>
        <v>5</v>
      </c>
      <c r="F1469" s="2" t="n">
        <f aca="false">'Raw Data'!U1469</f>
        <v>2</v>
      </c>
      <c r="G1469" s="2" t="n">
        <f aca="false">'Raw Data'!W1469</f>
        <v>3</v>
      </c>
      <c r="H1469" s="2" t="n">
        <f aca="false">'Raw Data'!V1469</f>
        <v>1</v>
      </c>
      <c r="I1469" s="2" t="n">
        <f aca="false">IF(AND(ISNUMBER(B1469),B1469&lt;=25),2,0)+IF(AND(ISNUMBER(E1469),E1469&lt;=5),2,0)+IF(AND(ISNUMBER(F1469),F1469&lt;=1),2,0)+IF(AND(ISNUMBER(G1469),G1469&lt;=2),1,0)+IF(AND(ISNUMBER(H1469),H1469&lt;=2),1,0)</f>
        <v>5</v>
      </c>
      <c r="J1469" s="2" t="str">
        <f aca="false">IF(I1469&gt;=6,"High",IF(I1469&gt;=3,"Medium","Low"))</f>
        <v>Medium</v>
      </c>
    </row>
    <row r="1470" customFormat="false" ht="15" hidden="false" customHeight="true" outlineLevel="0" collapsed="false">
      <c r="A1470" s="2" t="n">
        <f aca="false">'Raw Data'!H1470</f>
        <v>1469</v>
      </c>
      <c r="B1470" s="2" t="n">
        <f aca="false">'Raw Data'!A1470</f>
        <v>42</v>
      </c>
      <c r="C1470" s="2" t="str">
        <f aca="false">'Raw Data'!D1470</f>
        <v>Sales</v>
      </c>
      <c r="D1470" s="2" t="str">
        <f aca="false">'Raw Data'!K1470</f>
        <v>Laboratory Technician</v>
      </c>
      <c r="E1470" s="2" t="n">
        <f aca="false">'Raw Data'!Q1470</f>
        <v>10</v>
      </c>
      <c r="F1470" s="2" t="n">
        <f aca="false">'Raw Data'!U1470</f>
        <v>8</v>
      </c>
      <c r="G1470" s="2" t="n">
        <f aca="false">'Raw Data'!W1470</f>
        <v>0</v>
      </c>
      <c r="H1470" s="2" t="n">
        <f aca="false">'Raw Data'!V1470</f>
        <v>4</v>
      </c>
      <c r="I1470" s="2" t="n">
        <f aca="false">IF(AND(ISNUMBER(B1470),B1470&lt;=25),2,0)+IF(AND(ISNUMBER(E1470),E1470&lt;=5),2,0)+IF(AND(ISNUMBER(F1470),F1470&lt;=1),2,0)+IF(AND(ISNUMBER(G1470),G1470&lt;=2),1,0)+IF(AND(ISNUMBER(H1470),H1470&lt;=2),1,0)</f>
        <v>0</v>
      </c>
      <c r="J1470" s="2" t="str">
        <f aca="false">IF(I1470&gt;=6,"High",IF(I1470&gt;=3,"Medium","Low"))</f>
        <v>Low</v>
      </c>
    </row>
    <row r="1471" customFormat="false" ht="15" hidden="false" customHeight="true" outlineLevel="0" collapsed="false">
      <c r="A1471" s="2" t="n">
        <f aca="false">'Raw Data'!H1471</f>
        <v>1470</v>
      </c>
      <c r="B1471" s="2" t="n">
        <f aca="false">'Raw Data'!A1471</f>
        <v>40</v>
      </c>
      <c r="C1471" s="2" t="str">
        <f aca="false">'Raw Data'!D1471</f>
        <v>Research &amp; Development</v>
      </c>
      <c r="D1471" s="2" t="str">
        <f aca="false">'Raw Data'!K1471</f>
        <v>Laboratory Technician</v>
      </c>
      <c r="E1471" s="2" t="n">
        <f aca="false">'Raw Data'!Q1471</f>
        <v>22</v>
      </c>
      <c r="F1471" s="2" t="n">
        <f aca="false">'Raw Data'!U1471</f>
        <v>9</v>
      </c>
      <c r="G1471" s="2" t="n">
        <f aca="false">'Raw Data'!W1471</f>
        <v>3</v>
      </c>
      <c r="H1471" s="2" t="n">
        <f aca="false">'Raw Data'!V1471</f>
        <v>1</v>
      </c>
      <c r="I1471" s="2" t="n">
        <f aca="false">IF(AND(ISNUMBER(B1471),B1471&lt;=25),2,0)+IF(AND(ISNUMBER(E1471),E1471&lt;=5),2,0)+IF(AND(ISNUMBER(F1471),F1471&lt;=1),2,0)+IF(AND(ISNUMBER(G1471),G1471&lt;=2),1,0)+IF(AND(ISNUMBER(H1471),H1471&lt;=2),1,0)</f>
        <v>1</v>
      </c>
      <c r="J1471" s="2" t="str">
        <f aca="false">IF(I1471&gt;=6,"High",IF(I1471&gt;=3,"Medium","Low"))</f>
        <v>Low</v>
      </c>
    </row>
    <row r="1472" customFormat="false" ht="15" hidden="false" customHeight="true" outlineLevel="0" collapsed="false">
      <c r="A1472" s="2" t="n">
        <f aca="false">'Raw Data'!H1472</f>
        <v>1471</v>
      </c>
      <c r="B1472" s="2" t="n">
        <f aca="false">'Raw Data'!A1472</f>
        <v>51</v>
      </c>
      <c r="C1472" s="2" t="str">
        <f aca="false">'Raw Data'!D1472</f>
        <v>Sales</v>
      </c>
      <c r="D1472" s="2" t="str">
        <f aca="false">'Raw Data'!K1472</f>
        <v>Healthcare Representative</v>
      </c>
      <c r="E1472" s="2" t="n">
        <f aca="false">'Raw Data'!Q1472</f>
        <v>1</v>
      </c>
      <c r="F1472" s="2" t="n">
        <f aca="false">'Raw Data'!U1472</f>
        <v>0</v>
      </c>
      <c r="G1472" s="2" t="n">
        <f aca="false">'Raw Data'!W1472</f>
        <v>4</v>
      </c>
      <c r="H1472" s="2" t="n">
        <f aca="false">'Raw Data'!V1472</f>
        <v>3</v>
      </c>
      <c r="I1472" s="2" t="n">
        <f aca="false">IF(AND(ISNUMBER(B1472),B1472&lt;=25),2,0)+IF(AND(ISNUMBER(E1472),E1472&lt;=5),2,0)+IF(AND(ISNUMBER(F1472),F1472&lt;=1),2,0)+IF(AND(ISNUMBER(G1472),G1472&lt;=2),1,0)+IF(AND(ISNUMBER(H1472),H1472&lt;=2),1,0)</f>
        <v>4</v>
      </c>
      <c r="J1472" s="2" t="str">
        <f aca="false">IF(I1472&gt;=6,"High",IF(I1472&gt;=3,"Medium","Low"))</f>
        <v>Medium</v>
      </c>
    </row>
    <row r="1473" customFormat="false" ht="15" hidden="false" customHeight="true" outlineLevel="0" collapsed="false">
      <c r="A1473" s="2" t="n">
        <f aca="false">'Raw Data'!H1473</f>
        <v>1472</v>
      </c>
      <c r="B1473" s="2" t="n">
        <f aca="false">'Raw Data'!A1473</f>
        <v>31</v>
      </c>
      <c r="C1473" s="2" t="str">
        <f aca="false">'Raw Data'!D1473</f>
        <v>Research &amp; Development</v>
      </c>
      <c r="D1473" s="2" t="str">
        <f aca="false">'Raw Data'!K1473</f>
        <v>Research Scientist</v>
      </c>
      <c r="E1473" s="2" t="n">
        <f aca="false">'Raw Data'!Q1473</f>
        <v>6</v>
      </c>
      <c r="F1473" s="2" t="n">
        <f aca="false">'Raw Data'!U1473</f>
        <v>4</v>
      </c>
      <c r="G1473" s="2" t="n">
        <f aca="false">'Raw Data'!W1473</f>
        <v>2</v>
      </c>
      <c r="H1473" s="2" t="n">
        <f aca="false">'Raw Data'!V1473</f>
        <v>3</v>
      </c>
      <c r="I1473" s="2" t="n">
        <f aca="false">IF(AND(ISNUMBER(B1473),B1473&lt;=25),2,0)+IF(AND(ISNUMBER(E1473),E1473&lt;=5),2,0)+IF(AND(ISNUMBER(F1473),F1473&lt;=1),2,0)+IF(AND(ISNUMBER(G1473),G1473&lt;=2),1,0)+IF(AND(ISNUMBER(H1473),H1473&lt;=2),1,0)</f>
        <v>1</v>
      </c>
      <c r="J1473" s="2" t="str">
        <f aca="false">IF(I1473&gt;=6,"High",IF(I1473&gt;=3,"Medium","Low"))</f>
        <v>Low</v>
      </c>
    </row>
    <row r="1474" customFormat="false" ht="15" hidden="false" customHeight="true" outlineLevel="0" collapsed="false">
      <c r="A1474" s="2" t="n">
        <f aca="false">'Raw Data'!H1474</f>
        <v>1473</v>
      </c>
      <c r="B1474" s="2" t="n">
        <f aca="false">'Raw Data'!A1474</f>
        <v>32</v>
      </c>
      <c r="C1474" s="2" t="str">
        <f aca="false">'Raw Data'!D1474</f>
        <v>Research &amp; Development</v>
      </c>
      <c r="D1474" s="2" t="str">
        <f aca="false">'Raw Data'!K1474</f>
        <v>Sales Executive</v>
      </c>
      <c r="E1474" s="2" t="n">
        <f aca="false">'Raw Data'!Q1474</f>
        <v>5</v>
      </c>
      <c r="F1474" s="2" t="n">
        <f aca="false">'Raw Data'!U1474</f>
        <v>3</v>
      </c>
      <c r="G1474" s="2" t="n">
        <f aca="false">'Raw Data'!W1474</f>
        <v>2</v>
      </c>
      <c r="H1474" s="2" t="n">
        <f aca="false">'Raw Data'!V1474</f>
        <v>2</v>
      </c>
      <c r="I1474" s="2" t="n">
        <f aca="false">IF(AND(ISNUMBER(B1474),B1474&lt;=25),2,0)+IF(AND(ISNUMBER(E1474),E1474&lt;=5),2,0)+IF(AND(ISNUMBER(F1474),F1474&lt;=1),2,0)+IF(AND(ISNUMBER(G1474),G1474&lt;=2),1,0)+IF(AND(ISNUMBER(H1474),H1474&lt;=2),1,0)</f>
        <v>4</v>
      </c>
      <c r="J1474" s="2" t="str">
        <f aca="false">IF(I1474&gt;=6,"High",IF(I1474&gt;=3,"Medium","Low"))</f>
        <v>Medium</v>
      </c>
    </row>
    <row r="1475" customFormat="false" ht="15" hidden="false" customHeight="true" outlineLevel="0" collapsed="false">
      <c r="A1475" s="2" t="n">
        <f aca="false">'Raw Data'!H1475</f>
        <v>1474</v>
      </c>
      <c r="B1475" s="2" t="n">
        <f aca="false">'Raw Data'!A1475</f>
        <v>38</v>
      </c>
      <c r="C1475" s="2" t="str">
        <f aca="false">'Raw Data'!D1475</f>
        <v>Research &amp; Development</v>
      </c>
      <c r="D1475" s="2" t="str">
        <f aca="false">'Raw Data'!K1475</f>
        <v>Human Resources</v>
      </c>
      <c r="E1475" s="2" t="n">
        <f aca="false">'Raw Data'!Q1475</f>
        <v>13</v>
      </c>
      <c r="F1475" s="2" t="n">
        <f aca="false">'Raw Data'!U1475</f>
        <v>5</v>
      </c>
      <c r="G1475" s="2" t="n">
        <f aca="false">'Raw Data'!W1475</f>
        <v>4</v>
      </c>
      <c r="H1475" s="2" t="n">
        <f aca="false">'Raw Data'!V1475</f>
        <v>4</v>
      </c>
      <c r="I1475" s="2" t="n">
        <f aca="false">IF(AND(ISNUMBER(B1475),B1475&lt;=25),2,0)+IF(AND(ISNUMBER(E1475),E1475&lt;=5),2,0)+IF(AND(ISNUMBER(F1475),F1475&lt;=1),2,0)+IF(AND(ISNUMBER(G1475),G1475&lt;=2),1,0)+IF(AND(ISNUMBER(H1475),H1475&lt;=2),1,0)</f>
        <v>0</v>
      </c>
      <c r="J1475" s="2" t="str">
        <f aca="false">IF(I1475&gt;=6,"High",IF(I1475&gt;=3,"Medium","Low"))</f>
        <v>Low</v>
      </c>
    </row>
    <row r="1476" customFormat="false" ht="15" hidden="false" customHeight="true" outlineLevel="0" collapsed="false">
      <c r="A1476" s="2" t="n">
        <f aca="false">'Raw Data'!H1476</f>
        <v>1475</v>
      </c>
      <c r="B1476" s="2" t="n">
        <f aca="false">'Raw Data'!A1476</f>
        <v>32</v>
      </c>
      <c r="C1476" s="2" t="str">
        <f aca="false">'Raw Data'!D1476</f>
        <v>Research &amp; Development</v>
      </c>
      <c r="D1476" s="2" t="str">
        <f aca="false">'Raw Data'!K1476</f>
        <v>Sales Executive</v>
      </c>
      <c r="E1476" s="2" t="n">
        <f aca="false">'Raw Data'!Q1476</f>
        <v>9</v>
      </c>
      <c r="F1476" s="2" t="n">
        <f aca="false">'Raw Data'!U1476</f>
        <v>4</v>
      </c>
      <c r="G1476" s="2" t="n">
        <f aca="false">'Raw Data'!W1476</f>
        <v>1</v>
      </c>
      <c r="H1476" s="2" t="n">
        <f aca="false">'Raw Data'!V1476</f>
        <v>4</v>
      </c>
      <c r="I1476" s="2" t="n">
        <f aca="false">IF(AND(ISNUMBER(B1476),B1476&lt;=25),2,0)+IF(AND(ISNUMBER(E1476),E1476&lt;=5),2,0)+IF(AND(ISNUMBER(F1476),F1476&lt;=1),2,0)+IF(AND(ISNUMBER(G1476),G1476&lt;=2),1,0)+IF(AND(ISNUMBER(H1476),H1476&lt;=2),1,0)</f>
        <v>1</v>
      </c>
      <c r="J1476" s="2" t="str">
        <f aca="false">IF(I1476&gt;=6,"High",IF(I1476&gt;=3,"Medium","Low"))</f>
        <v>Low</v>
      </c>
    </row>
    <row r="1477" customFormat="false" ht="15" hidden="false" customHeight="true" outlineLevel="0" collapsed="false">
      <c r="A1477" s="2" t="n">
        <f aca="false">'Raw Data'!H1477</f>
        <v>1476</v>
      </c>
      <c r="B1477" s="2" t="n">
        <f aca="false">'Raw Data'!A1477</f>
        <v>46</v>
      </c>
      <c r="C1477" s="2" t="str">
        <f aca="false">'Raw Data'!D1477</f>
        <v>Research &amp; Development</v>
      </c>
      <c r="D1477" s="2" t="str">
        <f aca="false">'Raw Data'!K1477</f>
        <v>Research Director</v>
      </c>
      <c r="E1477" s="2" t="n">
        <f aca="false">'Raw Data'!Q1477</f>
        <v>28</v>
      </c>
      <c r="F1477" s="2" t="n">
        <f aca="false">'Raw Data'!U1477</f>
        <v>7</v>
      </c>
      <c r="G1477" s="2" t="n">
        <f aca="false">'Raw Data'!W1477</f>
        <v>2</v>
      </c>
      <c r="H1477" s="2" t="n">
        <f aca="false">'Raw Data'!V1477</f>
        <v>3</v>
      </c>
      <c r="I1477" s="2" t="n">
        <f aca="false">IF(AND(ISNUMBER(B1477),B1477&lt;=25),2,0)+IF(AND(ISNUMBER(E1477),E1477&lt;=5),2,0)+IF(AND(ISNUMBER(F1477),F1477&lt;=1),2,0)+IF(AND(ISNUMBER(G1477),G1477&lt;=2),1,0)+IF(AND(ISNUMBER(H1477),H1477&lt;=2),1,0)</f>
        <v>1</v>
      </c>
      <c r="J1477" s="2" t="str">
        <f aca="false">IF(I1477&gt;=6,"High",IF(I1477&gt;=3,"Medium","Low"))</f>
        <v>Low</v>
      </c>
    </row>
    <row r="1478" customFormat="false" ht="15" hidden="false" customHeight="true" outlineLevel="0" collapsed="false">
      <c r="A1478" s="2" t="n">
        <f aca="false">'Raw Data'!H1478</f>
        <v>1477</v>
      </c>
      <c r="B1478" s="2" t="n">
        <f aca="false">'Raw Data'!A1478</f>
        <v>28</v>
      </c>
      <c r="C1478" s="2" t="str">
        <f aca="false">'Raw Data'!D1478</f>
        <v>Research &amp; Development</v>
      </c>
      <c r="D1478" s="2" t="str">
        <f aca="false">'Raw Data'!K1478</f>
        <v>Sales Executive</v>
      </c>
      <c r="E1478" s="2" t="n">
        <f aca="false">'Raw Data'!Q1478</f>
        <v>5</v>
      </c>
      <c r="F1478" s="2" t="n">
        <f aca="false">'Raw Data'!U1478</f>
        <v>0</v>
      </c>
      <c r="G1478" s="2" t="n">
        <f aca="false">'Raw Data'!W1478</f>
        <v>3</v>
      </c>
      <c r="H1478" s="2" t="n">
        <f aca="false">'Raw Data'!V1478</f>
        <v>0</v>
      </c>
      <c r="I1478" s="2" t="n">
        <f aca="false">IF(AND(ISNUMBER(B1478),B1478&lt;=25),2,0)+IF(AND(ISNUMBER(E1478),E1478&lt;=5),2,0)+IF(AND(ISNUMBER(F1478),F1478&lt;=1),2,0)+IF(AND(ISNUMBER(G1478),G1478&lt;=2),1,0)+IF(AND(ISNUMBER(H1478),H1478&lt;=2),1,0)</f>
        <v>4</v>
      </c>
      <c r="J1478" s="2" t="str">
        <f aca="false">IF(I1478&gt;=6,"High",IF(I1478&gt;=3,"Medium","Low"))</f>
        <v>Medium</v>
      </c>
    </row>
    <row r="1479" customFormat="false" ht="15" hidden="false" customHeight="true" outlineLevel="0" collapsed="false">
      <c r="A1479" s="2" t="n">
        <f aca="false">'Raw Data'!H1479</f>
        <v>1478</v>
      </c>
      <c r="B1479" s="2" t="n">
        <f aca="false">'Raw Data'!A1479</f>
        <v>29</v>
      </c>
      <c r="C1479" s="2" t="str">
        <f aca="false">'Raw Data'!D1479</f>
        <v>Research &amp; Development</v>
      </c>
      <c r="D1479" s="2" t="str">
        <f aca="false">'Raw Data'!K1479</f>
        <v>Sales Executive</v>
      </c>
      <c r="E1479" s="2" t="n">
        <f aca="false">'Raw Data'!Q1479</f>
        <v>10</v>
      </c>
      <c r="F1479" s="2" t="n">
        <f aca="false">'Raw Data'!U1479</f>
        <v>0</v>
      </c>
      <c r="G1479" s="2" t="n">
        <f aca="false">'Raw Data'!W1479</f>
        <v>2</v>
      </c>
      <c r="H1479" s="2" t="n">
        <f aca="false">'Raw Data'!V1479</f>
        <v>1</v>
      </c>
      <c r="I1479" s="2" t="n">
        <f aca="false">IF(AND(ISNUMBER(B1479),B1479&lt;=25),2,0)+IF(AND(ISNUMBER(E1479),E1479&lt;=5),2,0)+IF(AND(ISNUMBER(F1479),F1479&lt;=1),2,0)+IF(AND(ISNUMBER(G1479),G1479&lt;=2),1,0)+IF(AND(ISNUMBER(H1479),H1479&lt;=2),1,0)</f>
        <v>4</v>
      </c>
      <c r="J1479" s="2" t="str">
        <f aca="false">IF(I1479&gt;=6,"High",IF(I1479&gt;=3,"Medium","Low"))</f>
        <v>Medium</v>
      </c>
    </row>
    <row r="1480" customFormat="false" ht="15" hidden="false" customHeight="true" outlineLevel="0" collapsed="false">
      <c r="A1480" s="2" t="n">
        <f aca="false">'Raw Data'!H1480</f>
        <v>1479</v>
      </c>
      <c r="B1480" s="2" t="n">
        <f aca="false">'Raw Data'!A1480</f>
        <v>31</v>
      </c>
      <c r="C1480" s="2" t="str">
        <f aca="false">'Raw Data'!D1480</f>
        <v>Research &amp; Development</v>
      </c>
      <c r="D1480" s="2" t="str">
        <f aca="false">'Raw Data'!K1480</f>
        <v>Laboratory Technician</v>
      </c>
      <c r="E1480" s="2" t="n">
        <f aca="false">'Raw Data'!Q1480</f>
        <v>10</v>
      </c>
      <c r="F1480" s="2" t="n">
        <f aca="false">'Raw Data'!U1480</f>
        <v>8</v>
      </c>
      <c r="G1480" s="2" t="n">
        <f aca="false">'Raw Data'!W1480</f>
        <v>4</v>
      </c>
      <c r="H1480" s="2" t="n">
        <f aca="false">'Raw Data'!V1480</f>
        <v>2</v>
      </c>
      <c r="I1480" s="2" t="n">
        <f aca="false">IF(AND(ISNUMBER(B1480),B1480&lt;=25),2,0)+IF(AND(ISNUMBER(E1480),E1480&lt;=5),2,0)+IF(AND(ISNUMBER(F1480),F1480&lt;=1),2,0)+IF(AND(ISNUMBER(G1480),G1480&lt;=2),1,0)+IF(AND(ISNUMBER(H1480),H1480&lt;=2),1,0)</f>
        <v>1</v>
      </c>
      <c r="J1480" s="2" t="str">
        <f aca="false">IF(I1480&gt;=6,"High",IF(I1480&gt;=3,"Medium","Low"))</f>
        <v>Low</v>
      </c>
    </row>
    <row r="1481" customFormat="false" ht="15" hidden="false" customHeight="true" outlineLevel="0" collapsed="false">
      <c r="A1481" s="2" t="n">
        <f aca="false">'Raw Data'!H1481</f>
        <v>1480</v>
      </c>
      <c r="B1481" s="2" t="n">
        <f aca="false">'Raw Data'!A1481</f>
        <v>25</v>
      </c>
      <c r="C1481" s="2" t="str">
        <f aca="false">'Raw Data'!D1481</f>
        <v>Research &amp; Development</v>
      </c>
      <c r="D1481" s="2" t="str">
        <f aca="false">'Raw Data'!K1481</f>
        <v>Laboratory Technician</v>
      </c>
      <c r="E1481" s="2" t="n">
        <f aca="false">'Raw Data'!Q1481</f>
        <v>6</v>
      </c>
      <c r="F1481" s="2" t="n">
        <f aca="false">'Raw Data'!U1481</f>
        <v>5</v>
      </c>
      <c r="G1481" s="2" t="n">
        <f aca="false">'Raw Data'!W1481</f>
        <v>1</v>
      </c>
      <c r="H1481" s="2" t="n">
        <f aca="false">'Raw Data'!V1481</f>
        <v>2</v>
      </c>
      <c r="I1481" s="2" t="n">
        <f aca="false">IF(AND(ISNUMBER(B1481),B1481&lt;=25),2,0)+IF(AND(ISNUMBER(E1481),E1481&lt;=5),2,0)+IF(AND(ISNUMBER(F1481),F1481&lt;=1),2,0)+IF(AND(ISNUMBER(G1481),G1481&lt;=2),1,0)+IF(AND(ISNUMBER(H1481),H1481&lt;=2),1,0)</f>
        <v>4</v>
      </c>
      <c r="J1481" s="2" t="str">
        <f aca="false">IF(I1481&gt;=6,"High",IF(I1481&gt;=3,"Medium","Low"))</f>
        <v>Medium</v>
      </c>
    </row>
    <row r="1482" customFormat="false" ht="15" hidden="false" customHeight="true" outlineLevel="0" collapsed="false">
      <c r="A1482" s="2" t="n">
        <f aca="false">'Raw Data'!H1482</f>
        <v>1481</v>
      </c>
      <c r="B1482" s="2" t="n">
        <f aca="false">'Raw Data'!A1482</f>
        <v>45</v>
      </c>
      <c r="C1482" s="2" t="str">
        <f aca="false">'Raw Data'!D1482</f>
        <v>Research &amp; Development</v>
      </c>
      <c r="D1482" s="2" t="str">
        <f aca="false">'Raw Data'!K1482</f>
        <v>Laboratory Technician</v>
      </c>
      <c r="E1482" s="2" t="n">
        <f aca="false">'Raw Data'!Q1482</f>
        <v>21</v>
      </c>
      <c r="F1482" s="2" t="n">
        <f aca="false">'Raw Data'!U1482</f>
        <v>10</v>
      </c>
      <c r="G1482" s="2" t="n">
        <f aca="false">'Raw Data'!W1482</f>
        <v>4</v>
      </c>
      <c r="H1482" s="2" t="n">
        <f aca="false">'Raw Data'!V1482</f>
        <v>3</v>
      </c>
      <c r="I1482" s="2" t="n">
        <f aca="false">IF(AND(ISNUMBER(B1482),B1482&lt;=25),2,0)+IF(AND(ISNUMBER(E1482),E1482&lt;=5),2,0)+IF(AND(ISNUMBER(F1482),F1482&lt;=1),2,0)+IF(AND(ISNUMBER(G1482),G1482&lt;=2),1,0)+IF(AND(ISNUMBER(H1482),H1482&lt;=2),1,0)</f>
        <v>0</v>
      </c>
      <c r="J1482" s="2" t="str">
        <f aca="false">IF(I1482&gt;=6,"High",IF(I1482&gt;=3,"Medium","Low"))</f>
        <v>Low</v>
      </c>
    </row>
    <row r="1483" customFormat="false" ht="15" hidden="false" customHeight="true" outlineLevel="0" collapsed="false">
      <c r="A1483" s="2" t="n">
        <f aca="false">'Raw Data'!H1483</f>
        <v>1482</v>
      </c>
      <c r="B1483" s="2" t="n">
        <f aca="false">'Raw Data'!A1483</f>
        <v>36</v>
      </c>
      <c r="C1483" s="2" t="str">
        <f aca="false">'Raw Data'!D1483</f>
        <v>Research &amp; Development</v>
      </c>
      <c r="D1483" s="2" t="str">
        <f aca="false">'Raw Data'!K1483</f>
        <v>Laboratory Technician</v>
      </c>
      <c r="E1483" s="2" t="n">
        <f aca="false">'Raw Data'!Q1483</f>
        <v>16</v>
      </c>
      <c r="F1483" s="2" t="n">
        <f aca="false">'Raw Data'!U1483</f>
        <v>11</v>
      </c>
      <c r="G1483" s="2" t="n">
        <f aca="false">'Raw Data'!W1483</f>
        <v>4</v>
      </c>
      <c r="H1483" s="2" t="n">
        <f aca="false">'Raw Data'!V1483</f>
        <v>4</v>
      </c>
      <c r="I1483" s="2" t="n">
        <f aca="false">IF(AND(ISNUMBER(B1483),B1483&lt;=25),2,0)+IF(AND(ISNUMBER(E1483),E1483&lt;=5),2,0)+IF(AND(ISNUMBER(F1483),F1483&lt;=1),2,0)+IF(AND(ISNUMBER(G1483),G1483&lt;=2),1,0)+IF(AND(ISNUMBER(H1483),H1483&lt;=2),1,0)</f>
        <v>0</v>
      </c>
      <c r="J1483" s="2" t="str">
        <f aca="false">IF(I1483&gt;=6,"High",IF(I1483&gt;=3,"Medium","Low"))</f>
        <v>Low</v>
      </c>
    </row>
    <row r="1484" customFormat="false" ht="15" hidden="false" customHeight="true" outlineLevel="0" collapsed="false">
      <c r="A1484" s="2" t="n">
        <f aca="false">'Raw Data'!H1484</f>
        <v>1483</v>
      </c>
      <c r="B1484" s="2" t="n">
        <f aca="false">'Raw Data'!A1484</f>
        <v>55</v>
      </c>
      <c r="C1484" s="2" t="str">
        <f aca="false">'Raw Data'!D1484</f>
        <v>Research &amp; Development</v>
      </c>
      <c r="D1484" s="2" t="str">
        <f aca="false">'Raw Data'!K1484</f>
        <v>Sales Executive</v>
      </c>
      <c r="E1484" s="2" t="n">
        <f aca="false">'Raw Data'!Q1484</f>
        <v>37</v>
      </c>
      <c r="F1484" s="2" t="n">
        <f aca="false">'Raw Data'!U1484</f>
        <v>13</v>
      </c>
      <c r="G1484" s="2" t="n">
        <f aca="false">'Raw Data'!W1484</f>
        <v>1</v>
      </c>
      <c r="H1484" s="2" t="n">
        <f aca="false">'Raw Data'!V1484</f>
        <v>4</v>
      </c>
      <c r="I1484" s="2" t="n">
        <f aca="false">IF(AND(ISNUMBER(B1484),B1484&lt;=25),2,0)+IF(AND(ISNUMBER(E1484),E1484&lt;=5),2,0)+IF(AND(ISNUMBER(F1484),F1484&lt;=1),2,0)+IF(AND(ISNUMBER(G1484),G1484&lt;=2),1,0)+IF(AND(ISNUMBER(H1484),H1484&lt;=2),1,0)</f>
        <v>1</v>
      </c>
      <c r="J1484" s="2" t="str">
        <f aca="false">IF(I1484&gt;=6,"High",IF(I1484&gt;=3,"Medium","Low"))</f>
        <v>Low</v>
      </c>
    </row>
    <row r="1485" customFormat="false" ht="15" hidden="false" customHeight="true" outlineLevel="0" collapsed="false">
      <c r="A1485" s="2" t="n">
        <f aca="false">'Raw Data'!H1485</f>
        <v>1484</v>
      </c>
      <c r="B1485" s="2" t="n">
        <f aca="false">'Raw Data'!A1485</f>
        <v>47</v>
      </c>
      <c r="C1485" s="2" t="str">
        <f aca="false">'Raw Data'!D1485</f>
        <v>Research &amp; Development</v>
      </c>
      <c r="D1485" s="2" t="str">
        <f aca="false">'Raw Data'!K1485</f>
        <v>Research Scientist</v>
      </c>
      <c r="E1485" s="2" t="n">
        <f aca="false">'Raw Data'!Q1485</f>
        <v>10</v>
      </c>
      <c r="F1485" s="2" t="n">
        <f aca="false">'Raw Data'!U1485</f>
        <v>9</v>
      </c>
      <c r="G1485" s="2" t="n">
        <f aca="false">'Raw Data'!W1485</f>
        <v>2</v>
      </c>
      <c r="H1485" s="2" t="n">
        <f aca="false">'Raw Data'!V1485</f>
        <v>1</v>
      </c>
      <c r="I1485" s="2" t="n">
        <f aca="false">IF(AND(ISNUMBER(B1485),B1485&lt;=25),2,0)+IF(AND(ISNUMBER(E1485),E1485&lt;=5),2,0)+IF(AND(ISNUMBER(F1485),F1485&lt;=1),2,0)+IF(AND(ISNUMBER(G1485),G1485&lt;=2),1,0)+IF(AND(ISNUMBER(H1485),H1485&lt;=2),1,0)</f>
        <v>2</v>
      </c>
      <c r="J1485" s="2" t="str">
        <f aca="false">IF(I1485&gt;=6,"High",IF(I1485&gt;=3,"Medium","Low"))</f>
        <v>Low</v>
      </c>
    </row>
    <row r="1486" customFormat="false" ht="15" hidden="false" customHeight="true" outlineLevel="0" collapsed="false">
      <c r="A1486" s="2" t="n">
        <f aca="false">'Raw Data'!H1486</f>
        <v>1485</v>
      </c>
      <c r="B1486" s="2" t="n">
        <f aca="false">'Raw Data'!A1486</f>
        <v>28</v>
      </c>
      <c r="C1486" s="2" t="str">
        <f aca="false">'Raw Data'!D1486</f>
        <v>Research &amp; Development</v>
      </c>
      <c r="D1486" s="2" t="str">
        <f aca="false">'Raw Data'!K1486</f>
        <v>Manufacturing Director</v>
      </c>
      <c r="E1486" s="2" t="n">
        <f aca="false">'Raw Data'!Q1486</f>
        <v>5</v>
      </c>
      <c r="F1486" s="2" t="n">
        <f aca="false">'Raw Data'!U1486</f>
        <v>4</v>
      </c>
      <c r="G1486" s="2" t="n">
        <f aca="false">'Raw Data'!W1486</f>
        <v>4</v>
      </c>
      <c r="H1486" s="2" t="n">
        <f aca="false">'Raw Data'!V1486</f>
        <v>4</v>
      </c>
      <c r="I1486" s="2" t="n">
        <f aca="false">IF(AND(ISNUMBER(B1486),B1486&lt;=25),2,0)+IF(AND(ISNUMBER(E1486),E1486&lt;=5),2,0)+IF(AND(ISNUMBER(F1486),F1486&lt;=1),2,0)+IF(AND(ISNUMBER(G1486),G1486&lt;=2),1,0)+IF(AND(ISNUMBER(H1486),H1486&lt;=2),1,0)</f>
        <v>2</v>
      </c>
      <c r="J1486" s="2" t="str">
        <f aca="false">IF(I1486&gt;=6,"High",IF(I1486&gt;=3,"Medium","Low"))</f>
        <v>Low</v>
      </c>
    </row>
    <row r="1487" customFormat="false" ht="15" hidden="false" customHeight="true" outlineLevel="0" collapsed="false">
      <c r="A1487" s="2" t="n">
        <f aca="false">'Raw Data'!H1487</f>
        <v>1486</v>
      </c>
      <c r="B1487" s="2" t="n">
        <f aca="false">'Raw Data'!A1487</f>
        <v>37</v>
      </c>
      <c r="C1487" s="2" t="str">
        <f aca="false">'Raw Data'!D1487</f>
        <v>Research &amp; Development</v>
      </c>
      <c r="D1487" s="2" t="str">
        <f aca="false">'Raw Data'!K1487</f>
        <v>Healthcare Representative</v>
      </c>
      <c r="E1487" s="2" t="n">
        <f aca="false">'Raw Data'!Q1487</f>
        <v>7</v>
      </c>
      <c r="F1487" s="2" t="n">
        <f aca="false">'Raw Data'!U1487</f>
        <v>1</v>
      </c>
      <c r="G1487" s="2" t="n">
        <f aca="false">'Raw Data'!W1487</f>
        <v>4</v>
      </c>
      <c r="H1487" s="2" t="n">
        <f aca="false">'Raw Data'!V1487</f>
        <v>3</v>
      </c>
      <c r="I1487" s="2" t="n">
        <f aca="false">IF(AND(ISNUMBER(B1487),B1487&lt;=25),2,0)+IF(AND(ISNUMBER(E1487),E1487&lt;=5),2,0)+IF(AND(ISNUMBER(F1487),F1487&lt;=1),2,0)+IF(AND(ISNUMBER(G1487),G1487&lt;=2),1,0)+IF(AND(ISNUMBER(H1487),H1487&lt;=2),1,0)</f>
        <v>2</v>
      </c>
      <c r="J1487" s="2" t="str">
        <f aca="false">IF(I1487&gt;=6,"High",IF(I1487&gt;=3,"Medium","Low"))</f>
        <v>Low</v>
      </c>
    </row>
    <row r="1488" customFormat="false" ht="15" hidden="false" customHeight="true" outlineLevel="0" collapsed="false">
      <c r="A1488" s="2" t="n">
        <f aca="false">'Raw Data'!H1488</f>
        <v>1487</v>
      </c>
      <c r="B1488" s="2" t="n">
        <f aca="false">'Raw Data'!A1488</f>
        <v>21</v>
      </c>
      <c r="C1488" s="2" t="str">
        <f aca="false">'Raw Data'!D1488</f>
        <v>Research &amp; Development</v>
      </c>
      <c r="D1488" s="2" t="str">
        <f aca="false">'Raw Data'!K1488</f>
        <v>Laboratory Technician</v>
      </c>
      <c r="E1488" s="2" t="n">
        <f aca="false">'Raw Data'!Q1488</f>
        <v>3</v>
      </c>
      <c r="F1488" s="2" t="n">
        <f aca="false">'Raw Data'!U1488</f>
        <v>0</v>
      </c>
      <c r="G1488" s="2" t="n">
        <f aca="false">'Raw Data'!W1488</f>
        <v>3</v>
      </c>
      <c r="H1488" s="2" t="n">
        <f aca="false">'Raw Data'!V1488</f>
        <v>4</v>
      </c>
      <c r="I1488" s="2" t="n">
        <f aca="false">IF(AND(ISNUMBER(B1488),B1488&lt;=25),2,0)+IF(AND(ISNUMBER(E1488),E1488&lt;=5),2,0)+IF(AND(ISNUMBER(F1488),F1488&lt;=1),2,0)+IF(AND(ISNUMBER(G1488),G1488&lt;=2),1,0)+IF(AND(ISNUMBER(H1488),H1488&lt;=2),1,0)</f>
        <v>6</v>
      </c>
      <c r="J1488" s="2" t="str">
        <f aca="false">IF(I1488&gt;=6,"High",IF(I1488&gt;=3,"Medium","Low"))</f>
        <v>High</v>
      </c>
    </row>
    <row r="1489" customFormat="false" ht="15" hidden="false" customHeight="true" outlineLevel="0" collapsed="false">
      <c r="A1489" s="2" t="n">
        <f aca="false">'Raw Data'!H1489</f>
        <v>1488</v>
      </c>
      <c r="B1489" s="2" t="n">
        <f aca="false">'Raw Data'!A1489</f>
        <v>37</v>
      </c>
      <c r="C1489" s="2" t="str">
        <f aca="false">'Raw Data'!D1489</f>
        <v>Research &amp; Development</v>
      </c>
      <c r="D1489" s="2" t="str">
        <f aca="false">'Raw Data'!K1489</f>
        <v>Sales Executive</v>
      </c>
      <c r="E1489" s="2" t="n">
        <f aca="false">'Raw Data'!Q1489</f>
        <v>15</v>
      </c>
      <c r="F1489" s="2" t="n">
        <f aca="false">'Raw Data'!U1489</f>
        <v>2</v>
      </c>
      <c r="G1489" s="2" t="n">
        <f aca="false">'Raw Data'!W1489</f>
        <v>4</v>
      </c>
      <c r="H1489" s="2" t="n">
        <f aca="false">'Raw Data'!V1489</f>
        <v>1</v>
      </c>
      <c r="I1489" s="2" t="n">
        <f aca="false">IF(AND(ISNUMBER(B1489),B1489&lt;=25),2,0)+IF(AND(ISNUMBER(E1489),E1489&lt;=5),2,0)+IF(AND(ISNUMBER(F1489),F1489&lt;=1),2,0)+IF(AND(ISNUMBER(G1489),G1489&lt;=2),1,0)+IF(AND(ISNUMBER(H1489),H1489&lt;=2),1,0)</f>
        <v>1</v>
      </c>
      <c r="J1489" s="2" t="str">
        <f aca="false">IF(I1489&gt;=6,"High",IF(I1489&gt;=3,"Medium","Low"))</f>
        <v>Low</v>
      </c>
    </row>
    <row r="1490" customFormat="false" ht="15" hidden="false" customHeight="true" outlineLevel="0" collapsed="false">
      <c r="A1490" s="2" t="n">
        <f aca="false">'Raw Data'!H1490</f>
        <v>1489</v>
      </c>
      <c r="B1490" s="2" t="n">
        <f aca="false">'Raw Data'!A1490</f>
        <v>35</v>
      </c>
      <c r="C1490" s="2" t="str">
        <f aca="false">'Raw Data'!D1490</f>
        <v>Sales</v>
      </c>
      <c r="D1490" s="2" t="str">
        <f aca="false">'Raw Data'!K1490</f>
        <v>Sales Representative</v>
      </c>
      <c r="E1490" s="2" t="n">
        <f aca="false">'Raw Data'!Q1490</f>
        <v>10</v>
      </c>
      <c r="F1490" s="2" t="n">
        <f aca="false">'Raw Data'!U1490</f>
        <v>2</v>
      </c>
      <c r="G1490" s="2" t="n">
        <f aca="false">'Raw Data'!W1490</f>
        <v>2</v>
      </c>
      <c r="H1490" s="2" t="n">
        <f aca="false">'Raw Data'!V1490</f>
        <v>2</v>
      </c>
      <c r="I1490" s="2" t="n">
        <f aca="false">IF(AND(ISNUMBER(B1490),B1490&lt;=25),2,0)+IF(AND(ISNUMBER(E1490),E1490&lt;=5),2,0)+IF(AND(ISNUMBER(F1490),F1490&lt;=1),2,0)+IF(AND(ISNUMBER(G1490),G1490&lt;=2),1,0)+IF(AND(ISNUMBER(H1490),H1490&lt;=2),1,0)</f>
        <v>2</v>
      </c>
      <c r="J1490" s="2" t="str">
        <f aca="false">IF(I1490&gt;=6,"High",IF(I1490&gt;=3,"Medium","Low"))</f>
        <v>Low</v>
      </c>
    </row>
    <row r="1491" customFormat="false" ht="15" hidden="false" customHeight="true" outlineLevel="0" collapsed="false">
      <c r="A1491" s="2" t="n">
        <f aca="false">'Raw Data'!H1491</f>
        <v>1490</v>
      </c>
      <c r="B1491" s="2" t="n">
        <f aca="false">'Raw Data'!A1491</f>
        <v>38</v>
      </c>
      <c r="C1491" s="2" t="str">
        <f aca="false">'Raw Data'!D1491</f>
        <v>Research &amp; Development</v>
      </c>
      <c r="D1491" s="2" t="str">
        <f aca="false">'Raw Data'!K1491</f>
        <v>Manager</v>
      </c>
      <c r="E1491" s="2" t="n">
        <f aca="false">'Raw Data'!Q1491</f>
        <v>8</v>
      </c>
      <c r="F1491" s="2" t="n">
        <f aca="false">'Raw Data'!U1491</f>
        <v>7</v>
      </c>
      <c r="G1491" s="2" t="n">
        <f aca="false">'Raw Data'!W1491</f>
        <v>1</v>
      </c>
      <c r="H1491" s="2" t="n">
        <f aca="false">'Raw Data'!V1491</f>
        <v>1</v>
      </c>
      <c r="I1491" s="2" t="n">
        <f aca="false">IF(AND(ISNUMBER(B1491),B1491&lt;=25),2,0)+IF(AND(ISNUMBER(E1491),E1491&lt;=5),2,0)+IF(AND(ISNUMBER(F1491),F1491&lt;=1),2,0)+IF(AND(ISNUMBER(G1491),G1491&lt;=2),1,0)+IF(AND(ISNUMBER(H1491),H1491&lt;=2),1,0)</f>
        <v>2</v>
      </c>
      <c r="J1491" s="2" t="str">
        <f aca="false">IF(I1491&gt;=6,"High",IF(I1491&gt;=3,"Medium","Low"))</f>
        <v>Low</v>
      </c>
    </row>
    <row r="1492" customFormat="false" ht="15" hidden="false" customHeight="true" outlineLevel="0" collapsed="false">
      <c r="A1492" s="2" t="n">
        <f aca="false">'Raw Data'!H1492</f>
        <v>1491</v>
      </c>
      <c r="B1492" s="2" t="n">
        <f aca="false">'Raw Data'!A1492</f>
        <v>26</v>
      </c>
      <c r="C1492" s="2" t="str">
        <f aca="false">'Raw Data'!D1492</f>
        <v>Research &amp; Development</v>
      </c>
      <c r="D1492" s="2" t="str">
        <f aca="false">'Raw Data'!K1492</f>
        <v>Laboratory Technician</v>
      </c>
      <c r="E1492" s="2" t="n">
        <f aca="false">'Raw Data'!Q1492</f>
        <v>6</v>
      </c>
      <c r="F1492" s="2" t="n">
        <f aca="false">'Raw Data'!U1492</f>
        <v>4</v>
      </c>
      <c r="G1492" s="2" t="n">
        <f aca="false">'Raw Data'!W1492</f>
        <v>2</v>
      </c>
      <c r="H1492" s="2" t="n">
        <f aca="false">'Raw Data'!V1492</f>
        <v>3</v>
      </c>
      <c r="I1492" s="2" t="n">
        <f aca="false">IF(AND(ISNUMBER(B1492),B1492&lt;=25),2,0)+IF(AND(ISNUMBER(E1492),E1492&lt;=5),2,0)+IF(AND(ISNUMBER(F1492),F1492&lt;=1),2,0)+IF(AND(ISNUMBER(G1492),G1492&lt;=2),1,0)+IF(AND(ISNUMBER(H1492),H1492&lt;=2),1,0)</f>
        <v>1</v>
      </c>
      <c r="J1492" s="2" t="str">
        <f aca="false">IF(I1492&gt;=6,"High",IF(I1492&gt;=3,"Medium","Low"))</f>
        <v>Low</v>
      </c>
    </row>
    <row r="1493" customFormat="false" ht="15" hidden="false" customHeight="true" outlineLevel="0" collapsed="false">
      <c r="A1493" s="2" t="n">
        <f aca="false">'Raw Data'!H1493</f>
        <v>1492</v>
      </c>
      <c r="B1493" s="2" t="n">
        <f aca="false">'Raw Data'!A1493</f>
        <v>50</v>
      </c>
      <c r="C1493" s="2" t="str">
        <f aca="false">'Raw Data'!D1493</f>
        <v>Sales</v>
      </c>
      <c r="D1493" s="2" t="str">
        <f aca="false">'Raw Data'!K1493</f>
        <v>Research Scientist</v>
      </c>
      <c r="E1493" s="2" t="n">
        <f aca="false">'Raw Data'!Q1493</f>
        <v>28</v>
      </c>
      <c r="F1493" s="2" t="n">
        <f aca="false">'Raw Data'!U1493</f>
        <v>6</v>
      </c>
      <c r="G1493" s="2" t="n">
        <f aca="false">'Raw Data'!W1493</f>
        <v>2</v>
      </c>
      <c r="H1493" s="2" t="n">
        <f aca="false">'Raw Data'!V1493</f>
        <v>1</v>
      </c>
      <c r="I1493" s="2" t="n">
        <f aca="false">IF(AND(ISNUMBER(B1493),B1493&lt;=25),2,0)+IF(AND(ISNUMBER(E1493),E1493&lt;=5),2,0)+IF(AND(ISNUMBER(F1493),F1493&lt;=1),2,0)+IF(AND(ISNUMBER(G1493),G1493&lt;=2),1,0)+IF(AND(ISNUMBER(H1493),H1493&lt;=2),1,0)</f>
        <v>2</v>
      </c>
      <c r="J1493" s="2" t="str">
        <f aca="false">IF(I1493&gt;=6,"High",IF(I1493&gt;=3,"Medium","Low"))</f>
        <v>Low</v>
      </c>
    </row>
    <row r="1494" customFormat="false" ht="15" hidden="false" customHeight="true" outlineLevel="0" collapsed="false">
      <c r="A1494" s="2" t="n">
        <f aca="false">'Raw Data'!H1494</f>
        <v>1493</v>
      </c>
      <c r="B1494" s="2" t="n">
        <f aca="false">'Raw Data'!A1494</f>
        <v>53</v>
      </c>
      <c r="C1494" s="2" t="str">
        <f aca="false">'Raw Data'!D1494</f>
        <v>Research &amp; Development</v>
      </c>
      <c r="D1494" s="2" t="str">
        <f aca="false">'Raw Data'!K1494</f>
        <v>Research Scientist</v>
      </c>
      <c r="E1494" s="2" t="n">
        <f aca="false">'Raw Data'!Q1494</f>
        <v>21</v>
      </c>
      <c r="F1494" s="2" t="n">
        <f aca="false">'Raw Data'!U1494</f>
        <v>3</v>
      </c>
      <c r="G1494" s="2" t="n">
        <f aca="false">'Raw Data'!W1494</f>
        <v>3</v>
      </c>
      <c r="H1494" s="2" t="n">
        <f aca="false">'Raw Data'!V1494</f>
        <v>3</v>
      </c>
      <c r="I1494" s="2" t="n">
        <f aca="false">IF(AND(ISNUMBER(B1494),B1494&lt;=25),2,0)+IF(AND(ISNUMBER(E1494),E1494&lt;=5),2,0)+IF(AND(ISNUMBER(F1494),F1494&lt;=1),2,0)+IF(AND(ISNUMBER(G1494),G1494&lt;=2),1,0)+IF(AND(ISNUMBER(H1494),H1494&lt;=2),1,0)</f>
        <v>0</v>
      </c>
      <c r="J1494" s="2" t="str">
        <f aca="false">IF(I1494&gt;=6,"High",IF(I1494&gt;=3,"Medium","Low"))</f>
        <v>Low</v>
      </c>
    </row>
    <row r="1495" customFormat="false" ht="15" hidden="false" customHeight="true" outlineLevel="0" collapsed="false">
      <c r="A1495" s="2" t="n">
        <f aca="false">'Raw Data'!H1495</f>
        <v>1494</v>
      </c>
      <c r="B1495" s="2" t="n">
        <f aca="false">'Raw Data'!A1495</f>
        <v>42</v>
      </c>
      <c r="C1495" s="2" t="str">
        <f aca="false">'Raw Data'!D1495</f>
        <v>Research &amp; Development</v>
      </c>
      <c r="D1495" s="2" t="str">
        <f aca="false">'Raw Data'!K1495</f>
        <v>Manufacturing Director</v>
      </c>
      <c r="E1495" s="2" t="n">
        <f aca="false">'Raw Data'!Q1495</f>
        <v>20</v>
      </c>
      <c r="F1495" s="2" t="n">
        <f aca="false">'Raw Data'!U1495</f>
        <v>6</v>
      </c>
      <c r="G1495" s="2" t="n">
        <f aca="false">'Raw Data'!W1495</f>
        <v>3</v>
      </c>
      <c r="H1495" s="2" t="n">
        <f aca="false">'Raw Data'!V1495</f>
        <v>2</v>
      </c>
      <c r="I1495" s="2" t="n">
        <f aca="false">IF(AND(ISNUMBER(B1495),B1495&lt;=25),2,0)+IF(AND(ISNUMBER(E1495),E1495&lt;=5),2,0)+IF(AND(ISNUMBER(F1495),F1495&lt;=1),2,0)+IF(AND(ISNUMBER(G1495),G1495&lt;=2),1,0)+IF(AND(ISNUMBER(H1495),H1495&lt;=2),1,0)</f>
        <v>1</v>
      </c>
      <c r="J1495" s="2" t="str">
        <f aca="false">IF(I1495&gt;=6,"High",IF(I1495&gt;=3,"Medium","Low"))</f>
        <v>Low</v>
      </c>
    </row>
    <row r="1496" customFormat="false" ht="15" hidden="false" customHeight="true" outlineLevel="0" collapsed="false">
      <c r="A1496" s="2" t="n">
        <f aca="false">'Raw Data'!H1496</f>
        <v>1495</v>
      </c>
      <c r="B1496" s="2" t="n">
        <f aca="false">'Raw Data'!A1496</f>
        <v>29</v>
      </c>
      <c r="C1496" s="2" t="str">
        <f aca="false">'Raw Data'!D1496</f>
        <v>Research &amp; Development</v>
      </c>
      <c r="D1496" s="2" t="str">
        <f aca="false">'Raw Data'!K1496</f>
        <v>Laboratory Technician</v>
      </c>
      <c r="E1496" s="2" t="n">
        <f aca="false">'Raw Data'!Q1496</f>
        <v>10</v>
      </c>
      <c r="F1496" s="2" t="n">
        <f aca="false">'Raw Data'!U1496</f>
        <v>9</v>
      </c>
      <c r="G1496" s="2" t="n">
        <f aca="false">'Raw Data'!W1496</f>
        <v>4</v>
      </c>
      <c r="H1496" s="2" t="n">
        <f aca="false">'Raw Data'!V1496</f>
        <v>2</v>
      </c>
      <c r="I1496" s="2" t="n">
        <f aca="false">IF(AND(ISNUMBER(B1496),B1496&lt;=25),2,0)+IF(AND(ISNUMBER(E1496),E1496&lt;=5),2,0)+IF(AND(ISNUMBER(F1496),F1496&lt;=1),2,0)+IF(AND(ISNUMBER(G1496),G1496&lt;=2),1,0)+IF(AND(ISNUMBER(H1496),H1496&lt;=2),1,0)</f>
        <v>1</v>
      </c>
      <c r="J1496" s="2" t="str">
        <f aca="false">IF(I1496&gt;=6,"High",IF(I1496&gt;=3,"Medium","Low"))</f>
        <v>Low</v>
      </c>
    </row>
    <row r="1497" customFormat="false" ht="15" hidden="false" customHeight="true" outlineLevel="0" collapsed="false">
      <c r="A1497" s="2" t="n">
        <f aca="false">'Raw Data'!H1497</f>
        <v>1496</v>
      </c>
      <c r="B1497" s="2" t="n">
        <f aca="false">'Raw Data'!A1497</f>
        <v>55</v>
      </c>
      <c r="C1497" s="2" t="str">
        <f aca="false">'Raw Data'!D1497</f>
        <v>Research &amp; Development</v>
      </c>
      <c r="D1497" s="2" t="str">
        <f aca="false">'Raw Data'!K1497</f>
        <v>Research Scientist</v>
      </c>
      <c r="E1497" s="2" t="n">
        <f aca="false">'Raw Data'!Q1497</f>
        <v>12</v>
      </c>
      <c r="F1497" s="2" t="n">
        <f aca="false">'Raw Data'!U1497</f>
        <v>8</v>
      </c>
      <c r="G1497" s="2" t="n">
        <f aca="false">'Raw Data'!W1497</f>
        <v>4</v>
      </c>
      <c r="H1497" s="2" t="n">
        <f aca="false">'Raw Data'!V1497</f>
        <v>2</v>
      </c>
      <c r="I1497" s="2" t="n">
        <f aca="false">IF(AND(ISNUMBER(B1497),B1497&lt;=25),2,0)+IF(AND(ISNUMBER(E1497),E1497&lt;=5),2,0)+IF(AND(ISNUMBER(F1497),F1497&lt;=1),2,0)+IF(AND(ISNUMBER(G1497),G1497&lt;=2),1,0)+IF(AND(ISNUMBER(H1497),H1497&lt;=2),1,0)</f>
        <v>1</v>
      </c>
      <c r="J1497" s="2" t="str">
        <f aca="false">IF(I1497&gt;=6,"High",IF(I1497&gt;=3,"Medium","Low"))</f>
        <v>Low</v>
      </c>
    </row>
    <row r="1498" customFormat="false" ht="15" hidden="false" customHeight="true" outlineLevel="0" collapsed="false">
      <c r="A1498" s="2" t="n">
        <f aca="false">'Raw Data'!H1498</f>
        <v>1497</v>
      </c>
      <c r="B1498" s="2" t="n">
        <f aca="false">'Raw Data'!A1498</f>
        <v>26</v>
      </c>
      <c r="C1498" s="2" t="str">
        <f aca="false">'Raw Data'!D1498</f>
        <v>Research &amp; Development</v>
      </c>
      <c r="D1498" s="2" t="str">
        <f aca="false">'Raw Data'!K1498</f>
        <v>Manager</v>
      </c>
      <c r="E1498" s="2" t="n">
        <f aca="false">'Raw Data'!Q1498</f>
        <v>5</v>
      </c>
      <c r="F1498" s="2" t="n">
        <f aca="false">'Raw Data'!U1498</f>
        <v>3</v>
      </c>
      <c r="G1498" s="2" t="n">
        <f aca="false">'Raw Data'!W1498</f>
        <v>1</v>
      </c>
      <c r="H1498" s="2" t="n">
        <f aca="false">'Raw Data'!V1498</f>
        <v>1</v>
      </c>
      <c r="I1498" s="2" t="n">
        <f aca="false">IF(AND(ISNUMBER(B1498),B1498&lt;=25),2,0)+IF(AND(ISNUMBER(E1498),E1498&lt;=5),2,0)+IF(AND(ISNUMBER(F1498),F1498&lt;=1),2,0)+IF(AND(ISNUMBER(G1498),G1498&lt;=2),1,0)+IF(AND(ISNUMBER(H1498),H1498&lt;=2),1,0)</f>
        <v>4</v>
      </c>
      <c r="J1498" s="2" t="str">
        <f aca="false">IF(I1498&gt;=6,"High",IF(I1498&gt;=3,"Medium","Low"))</f>
        <v>Medium</v>
      </c>
    </row>
    <row r="1499" customFormat="false" ht="15" hidden="false" customHeight="true" outlineLevel="0" collapsed="false">
      <c r="A1499" s="2" t="n">
        <f aca="false">'Raw Data'!H1499</f>
        <v>1498</v>
      </c>
      <c r="B1499" s="2" t="n">
        <f aca="false">'Raw Data'!A1499</f>
        <v>37</v>
      </c>
      <c r="C1499" s="2" t="str">
        <f aca="false">'Raw Data'!D1499</f>
        <v>Sales</v>
      </c>
      <c r="D1499" s="2" t="str">
        <f aca="false">'Raw Data'!K1499</f>
        <v>Research Scientist</v>
      </c>
      <c r="E1499" s="2" t="n">
        <f aca="false">'Raw Data'!Q1499</f>
        <v>17</v>
      </c>
      <c r="F1499" s="2" t="n">
        <f aca="false">'Raw Data'!U1499</f>
        <v>7</v>
      </c>
      <c r="G1499" s="2" t="n">
        <f aca="false">'Raw Data'!W1499</f>
        <v>4</v>
      </c>
      <c r="H1499" s="2" t="n">
        <f aca="false">'Raw Data'!V1499</f>
        <v>4</v>
      </c>
      <c r="I1499" s="2" t="n">
        <f aca="false">IF(AND(ISNUMBER(B1499),B1499&lt;=25),2,0)+IF(AND(ISNUMBER(E1499),E1499&lt;=5),2,0)+IF(AND(ISNUMBER(F1499),F1499&lt;=1),2,0)+IF(AND(ISNUMBER(G1499),G1499&lt;=2),1,0)+IF(AND(ISNUMBER(H1499),H1499&lt;=2),1,0)</f>
        <v>0</v>
      </c>
      <c r="J1499" s="2" t="str">
        <f aca="false">IF(I1499&gt;=6,"High",IF(I1499&gt;=3,"Medium","Low"))</f>
        <v>Low</v>
      </c>
    </row>
    <row r="1500" customFormat="false" ht="15" hidden="false" customHeight="true" outlineLevel="0" collapsed="false">
      <c r="A1500" s="2" t="n">
        <f aca="false">'Raw Data'!H1500</f>
        <v>1499</v>
      </c>
      <c r="B1500" s="2" t="n">
        <f aca="false">'Raw Data'!A1500</f>
        <v>44</v>
      </c>
      <c r="C1500" s="2" t="str">
        <f aca="false">'Raw Data'!D1500</f>
        <v>Research &amp; Development</v>
      </c>
      <c r="D1500" s="2" t="str">
        <f aca="false">'Raw Data'!K1500</f>
        <v>Research Scientist</v>
      </c>
      <c r="E1500" s="2" t="n">
        <f aca="false">'Raw Data'!Q1500</f>
        <v>19</v>
      </c>
      <c r="F1500" s="2" t="n">
        <f aca="false">'Raw Data'!U1500</f>
        <v>0</v>
      </c>
      <c r="G1500" s="2" t="n">
        <f aca="false">'Raw Data'!W1500</f>
        <v>3</v>
      </c>
      <c r="H1500" s="2" t="n">
        <f aca="false">'Raw Data'!V1500</f>
        <v>4</v>
      </c>
      <c r="I1500" s="2" t="n">
        <f aca="false">IF(AND(ISNUMBER(B1500),B1500&lt;=25),2,0)+IF(AND(ISNUMBER(E1500),E1500&lt;=5),2,0)+IF(AND(ISNUMBER(F1500),F1500&lt;=1),2,0)+IF(AND(ISNUMBER(G1500),G1500&lt;=2),1,0)+IF(AND(ISNUMBER(H1500),H1500&lt;=2),1,0)</f>
        <v>2</v>
      </c>
      <c r="J1500" s="2" t="str">
        <f aca="false">IF(I1500&gt;=6,"High",IF(I1500&gt;=3,"Medium","Low"))</f>
        <v>Low</v>
      </c>
    </row>
    <row r="1501" customFormat="false" ht="15" hidden="false" customHeight="true" outlineLevel="0" collapsed="false">
      <c r="A1501" s="2" t="n">
        <f aca="false">'Raw Data'!H1501</f>
        <v>1500</v>
      </c>
      <c r="B1501" s="2" t="n">
        <f aca="false">'Raw Data'!A1501</f>
        <v>38</v>
      </c>
      <c r="C1501" s="2" t="str">
        <f aca="false">'Raw Data'!D1501</f>
        <v>Sales</v>
      </c>
      <c r="D1501" s="2" t="str">
        <f aca="false">'Raw Data'!K1501</f>
        <v>Manager</v>
      </c>
      <c r="E1501" s="2" t="n">
        <f aca="false">'Raw Data'!Q1501</f>
        <v>10</v>
      </c>
      <c r="F1501" s="2" t="n">
        <f aca="false">'Raw Data'!U1501</f>
        <v>2</v>
      </c>
      <c r="G1501" s="2" t="n">
        <f aca="false">'Raw Data'!W1501</f>
        <v>4</v>
      </c>
      <c r="H1501" s="2" t="n">
        <f aca="false">'Raw Data'!V1501</f>
        <v>4</v>
      </c>
      <c r="I1501" s="2" t="n">
        <f aca="false">IF(AND(ISNUMBER(B1501),B1501&lt;=25),2,0)+IF(AND(ISNUMBER(E1501),E1501&lt;=5),2,0)+IF(AND(ISNUMBER(F1501),F1501&lt;=1),2,0)+IF(AND(ISNUMBER(G1501),G1501&lt;=2),1,0)+IF(AND(ISNUMBER(H1501),H1501&lt;=2),1,0)</f>
        <v>0</v>
      </c>
      <c r="J1501" s="2" t="str">
        <f aca="false">IF(I1501&gt;=6,"High",IF(I1501&gt;=3,"Medium","Low"))</f>
        <v>Low</v>
      </c>
    </row>
    <row r="1502" customFormat="false" ht="15" hidden="false" customHeight="true" outlineLevel="0" collapsed="false">
      <c r="A1502" s="2" t="n">
        <f aca="false">'Raw Data'!H1502</f>
        <v>1501</v>
      </c>
      <c r="B1502" s="2" t="n">
        <f aca="false">'Raw Data'!A1502</f>
        <v>26</v>
      </c>
      <c r="C1502" s="2" t="str">
        <f aca="false">'Raw Data'!D1502</f>
        <v>Research &amp; Development</v>
      </c>
      <c r="D1502" s="2" t="str">
        <f aca="false">'Raw Data'!K1502</f>
        <v>Research Scientist</v>
      </c>
      <c r="E1502" s="2" t="n">
        <f aca="false">'Raw Data'!Q1502</f>
        <v>5</v>
      </c>
      <c r="F1502" s="2" t="n">
        <f aca="false">'Raw Data'!U1502</f>
        <v>2</v>
      </c>
      <c r="G1502" s="2" t="n">
        <f aca="false">'Raw Data'!W1502</f>
        <v>2</v>
      </c>
      <c r="H1502" s="2" t="n">
        <f aca="false">'Raw Data'!V1502</f>
        <v>1</v>
      </c>
      <c r="I1502" s="2" t="n">
        <f aca="false">IF(AND(ISNUMBER(B1502),B1502&lt;=25),2,0)+IF(AND(ISNUMBER(E1502),E1502&lt;=5),2,0)+IF(AND(ISNUMBER(F1502),F1502&lt;=1),2,0)+IF(AND(ISNUMBER(G1502),G1502&lt;=2),1,0)+IF(AND(ISNUMBER(H1502),H1502&lt;=2),1,0)</f>
        <v>4</v>
      </c>
      <c r="J1502" s="2" t="str">
        <f aca="false">IF(I1502&gt;=6,"High",IF(I1502&gt;=3,"Medium","Low"))</f>
        <v>Medium</v>
      </c>
    </row>
    <row r="1503" customFormat="false" ht="15" hidden="false" customHeight="true" outlineLevel="0" collapsed="false">
      <c r="A1503" s="2" t="n">
        <f aca="false">'Raw Data'!H1503</f>
        <v>1502</v>
      </c>
      <c r="B1503" s="2" t="n">
        <f aca="false">'Raw Data'!A1503</f>
        <v>28</v>
      </c>
      <c r="C1503" s="2" t="str">
        <f aca="false">'Raw Data'!D1503</f>
        <v>Research &amp; Development</v>
      </c>
      <c r="D1503" s="2" t="str">
        <f aca="false">'Raw Data'!K1503</f>
        <v>Human Resources</v>
      </c>
      <c r="E1503" s="2" t="n">
        <f aca="false">'Raw Data'!Q1503</f>
        <v>5</v>
      </c>
      <c r="F1503" s="2" t="n">
        <f aca="false">'Raw Data'!U1503</f>
        <v>2</v>
      </c>
      <c r="G1503" s="2" t="n">
        <f aca="false">'Raw Data'!W1503</f>
        <v>4</v>
      </c>
      <c r="H1503" s="2" t="n">
        <f aca="false">'Raw Data'!V1503</f>
        <v>4</v>
      </c>
      <c r="I1503" s="2" t="n">
        <f aca="false">IF(AND(ISNUMBER(B1503),B1503&lt;=25),2,0)+IF(AND(ISNUMBER(E1503),E1503&lt;=5),2,0)+IF(AND(ISNUMBER(F1503),F1503&lt;=1),2,0)+IF(AND(ISNUMBER(G1503),G1503&lt;=2),1,0)+IF(AND(ISNUMBER(H1503),H1503&lt;=2),1,0)</f>
        <v>2</v>
      </c>
      <c r="J1503" s="2" t="str">
        <f aca="false">IF(I1503&gt;=6,"High",IF(I1503&gt;=3,"Medium","Low"))</f>
        <v>Low</v>
      </c>
    </row>
    <row r="1504" customFormat="false" ht="15" hidden="false" customHeight="true" outlineLevel="0" collapsed="false">
      <c r="A1504" s="2" t="n">
        <f aca="false">'Raw Data'!H1504</f>
        <v>1503</v>
      </c>
      <c r="B1504" s="2" t="n">
        <f aca="false">'Raw Data'!A1504</f>
        <v>49</v>
      </c>
      <c r="C1504" s="2" t="str">
        <f aca="false">'Raw Data'!D1504</f>
        <v>Research &amp; Development</v>
      </c>
      <c r="D1504" s="2" t="str">
        <f aca="false">'Raw Data'!K1504</f>
        <v>Research Scientist</v>
      </c>
      <c r="E1504" s="2" t="n">
        <f aca="false">'Raw Data'!Q1504</f>
        <v>22</v>
      </c>
      <c r="F1504" s="2" t="n">
        <f aca="false">'Raw Data'!U1504</f>
        <v>2</v>
      </c>
      <c r="G1504" s="2" t="n">
        <f aca="false">'Raw Data'!W1504</f>
        <v>1</v>
      </c>
      <c r="H1504" s="2" t="n">
        <f aca="false">'Raw Data'!V1504</f>
        <v>3</v>
      </c>
      <c r="I1504" s="2" t="n">
        <f aca="false">IF(AND(ISNUMBER(B1504),B1504&lt;=25),2,0)+IF(AND(ISNUMBER(E1504),E1504&lt;=5),2,0)+IF(AND(ISNUMBER(F1504),F1504&lt;=1),2,0)+IF(AND(ISNUMBER(G1504),G1504&lt;=2),1,0)+IF(AND(ISNUMBER(H1504),H1504&lt;=2),1,0)</f>
        <v>1</v>
      </c>
      <c r="J1504" s="2" t="str">
        <f aca="false">IF(I1504&gt;=6,"High",IF(I1504&gt;=3,"Medium","Low"))</f>
        <v>Low</v>
      </c>
    </row>
    <row r="1505" customFormat="false" ht="15" hidden="false" customHeight="true" outlineLevel="0" collapsed="false">
      <c r="A1505" s="2" t="n">
        <f aca="false">'Raw Data'!H1505</f>
        <v>1504</v>
      </c>
      <c r="B1505" s="2" t="n">
        <f aca="false">'Raw Data'!A1505</f>
        <v>36</v>
      </c>
      <c r="C1505" s="2" t="str">
        <f aca="false">'Raw Data'!D1505</f>
        <v>Sales</v>
      </c>
      <c r="D1505" s="2" t="str">
        <f aca="false">'Raw Data'!K1505</f>
        <v>Sales Executive</v>
      </c>
      <c r="E1505" s="2" t="n">
        <f aca="false">'Raw Data'!Q1505</f>
        <v>10</v>
      </c>
      <c r="F1505" s="2" t="n">
        <f aca="false">'Raw Data'!U1505</f>
        <v>7</v>
      </c>
      <c r="G1505" s="2" t="n">
        <f aca="false">'Raw Data'!W1505</f>
        <v>2</v>
      </c>
      <c r="H1505" s="2" t="n">
        <f aca="false">'Raw Data'!V1505</f>
        <v>3</v>
      </c>
      <c r="I1505" s="2" t="n">
        <f aca="false">IF(AND(ISNUMBER(B1505),B1505&lt;=25),2,0)+IF(AND(ISNUMBER(E1505),E1505&lt;=5),2,0)+IF(AND(ISNUMBER(F1505),F1505&lt;=1),2,0)+IF(AND(ISNUMBER(G1505),G1505&lt;=2),1,0)+IF(AND(ISNUMBER(H1505),H1505&lt;=2),1,0)</f>
        <v>1</v>
      </c>
      <c r="J1505" s="2" t="str">
        <f aca="false">IF(I1505&gt;=6,"High",IF(I1505&gt;=3,"Medium","Low"))</f>
        <v>Low</v>
      </c>
    </row>
    <row r="1506" customFormat="false" ht="15" hidden="false" customHeight="true" outlineLevel="0" collapsed="false">
      <c r="A1506" s="2" t="n">
        <f aca="false">'Raw Data'!H1506</f>
        <v>1505</v>
      </c>
      <c r="B1506" s="2" t="n">
        <f aca="false">'Raw Data'!A1506</f>
        <v>31</v>
      </c>
      <c r="C1506" s="2" t="str">
        <f aca="false">'Raw Data'!D1506</f>
        <v>Research &amp; Development</v>
      </c>
      <c r="D1506" s="2" t="str">
        <f aca="false">'Raw Data'!K1506</f>
        <v>Sales Executive</v>
      </c>
      <c r="E1506" s="2" t="n">
        <f aca="false">'Raw Data'!Q1506</f>
        <v>2</v>
      </c>
      <c r="F1506" s="2" t="n">
        <f aca="false">'Raw Data'!U1506</f>
        <v>2</v>
      </c>
      <c r="G1506" s="2" t="n">
        <f aca="false">'Raw Data'!W1506</f>
        <v>2</v>
      </c>
      <c r="H1506" s="2" t="n">
        <f aca="false">'Raw Data'!V1506</f>
        <v>4</v>
      </c>
      <c r="I1506" s="2" t="n">
        <f aca="false">IF(AND(ISNUMBER(B1506),B1506&lt;=25),2,0)+IF(AND(ISNUMBER(E1506),E1506&lt;=5),2,0)+IF(AND(ISNUMBER(F1506),F1506&lt;=1),2,0)+IF(AND(ISNUMBER(G1506),G1506&lt;=2),1,0)+IF(AND(ISNUMBER(H1506),H1506&lt;=2),1,0)</f>
        <v>3</v>
      </c>
      <c r="J1506" s="2" t="str">
        <f aca="false">IF(I1506&gt;=6,"High",IF(I1506&gt;=3,"Medium","Low"))</f>
        <v>Medium</v>
      </c>
    </row>
    <row r="1507" customFormat="false" ht="15" hidden="false" customHeight="true" outlineLevel="0" collapsed="false">
      <c r="A1507" s="2" t="n">
        <f aca="false">'Raw Data'!H1507</f>
        <v>1506</v>
      </c>
      <c r="B1507" s="2" t="n">
        <f aca="false">'Raw Data'!A1507</f>
        <v>26</v>
      </c>
      <c r="C1507" s="2" t="str">
        <f aca="false">'Raw Data'!D1507</f>
        <v>Research &amp; Development</v>
      </c>
      <c r="D1507" s="2" t="str">
        <f aca="false">'Raw Data'!K1507</f>
        <v>Manager</v>
      </c>
      <c r="E1507" s="2" t="n">
        <f aca="false">'Raw Data'!Q1507</f>
        <v>8</v>
      </c>
      <c r="F1507" s="2" t="n">
        <f aca="false">'Raw Data'!U1507</f>
        <v>4</v>
      </c>
      <c r="G1507" s="2" t="n">
        <f aca="false">'Raw Data'!W1507</f>
        <v>4</v>
      </c>
      <c r="H1507" s="2" t="n">
        <f aca="false">'Raw Data'!V1507</f>
        <v>4</v>
      </c>
      <c r="I1507" s="2" t="n">
        <f aca="false">IF(AND(ISNUMBER(B1507),B1507&lt;=25),2,0)+IF(AND(ISNUMBER(E1507),E1507&lt;=5),2,0)+IF(AND(ISNUMBER(F1507),F1507&lt;=1),2,0)+IF(AND(ISNUMBER(G1507),G1507&lt;=2),1,0)+IF(AND(ISNUMBER(H1507),H1507&lt;=2),1,0)</f>
        <v>0</v>
      </c>
      <c r="J1507" s="2" t="str">
        <f aca="false">IF(I1507&gt;=6,"High",IF(I1507&gt;=3,"Medium","Low"))</f>
        <v>Low</v>
      </c>
    </row>
    <row r="1508" customFormat="false" ht="15" hidden="false" customHeight="true" outlineLevel="0" collapsed="false">
      <c r="A1508" s="2" t="n">
        <f aca="false">'Raw Data'!H1508</f>
        <v>1507</v>
      </c>
      <c r="B1508" s="2" t="n">
        <f aca="false">'Raw Data'!A1508</f>
        <v>37</v>
      </c>
      <c r="C1508" s="2" t="str">
        <f aca="false">'Raw Data'!D1508</f>
        <v>Sales</v>
      </c>
      <c r="D1508" s="2" t="str">
        <f aca="false">'Raw Data'!K1508</f>
        <v>Laboratory Technician</v>
      </c>
      <c r="E1508" s="2" t="n">
        <f aca="false">'Raw Data'!Q1508</f>
        <v>4</v>
      </c>
      <c r="F1508" s="2" t="n">
        <f aca="false">'Raw Data'!U1508</f>
        <v>2</v>
      </c>
      <c r="G1508" s="2" t="n">
        <f aca="false">'Raw Data'!W1508</f>
        <v>4</v>
      </c>
      <c r="H1508" s="2" t="n">
        <f aca="false">'Raw Data'!V1508</f>
        <v>2</v>
      </c>
      <c r="I1508" s="2" t="n">
        <f aca="false">IF(AND(ISNUMBER(B1508),B1508&lt;=25),2,0)+IF(AND(ISNUMBER(E1508),E1508&lt;=5),2,0)+IF(AND(ISNUMBER(F1508),F1508&lt;=1),2,0)+IF(AND(ISNUMBER(G1508),G1508&lt;=2),1,0)+IF(AND(ISNUMBER(H1508),H1508&lt;=2),1,0)</f>
        <v>3</v>
      </c>
      <c r="J1508" s="2" t="str">
        <f aca="false">IF(I1508&gt;=6,"High",IF(I1508&gt;=3,"Medium","Low"))</f>
        <v>Medium</v>
      </c>
    </row>
    <row r="1509" customFormat="false" ht="15" hidden="false" customHeight="true" outlineLevel="0" collapsed="false">
      <c r="A1509" s="2" t="n">
        <f aca="false">'Raw Data'!H1509</f>
        <v>1508</v>
      </c>
      <c r="B1509" s="2" t="n">
        <f aca="false">'Raw Data'!A1509</f>
        <v>42</v>
      </c>
      <c r="C1509" s="2" t="str">
        <f aca="false">'Raw Data'!D1509</f>
        <v>Sales</v>
      </c>
      <c r="D1509" s="2" t="str">
        <f aca="false">'Raw Data'!K1509</f>
        <v>Research Director</v>
      </c>
      <c r="E1509" s="2" t="n">
        <f aca="false">'Raw Data'!Q1509</f>
        <v>23</v>
      </c>
      <c r="F1509" s="2" t="n">
        <f aca="false">'Raw Data'!U1509</f>
        <v>8</v>
      </c>
      <c r="G1509" s="2" t="n">
        <f aca="false">'Raw Data'!W1509</f>
        <v>2</v>
      </c>
      <c r="H1509" s="2" t="n">
        <f aca="false">'Raw Data'!V1509</f>
        <v>3</v>
      </c>
      <c r="I1509" s="2" t="n">
        <f aca="false">IF(AND(ISNUMBER(B1509),B1509&lt;=25),2,0)+IF(AND(ISNUMBER(E1509),E1509&lt;=5),2,0)+IF(AND(ISNUMBER(F1509),F1509&lt;=1),2,0)+IF(AND(ISNUMBER(G1509),G1509&lt;=2),1,0)+IF(AND(ISNUMBER(H1509),H1509&lt;=2),1,0)</f>
        <v>1</v>
      </c>
      <c r="J1509" s="2" t="str">
        <f aca="false">IF(I1509&gt;=6,"High",IF(I1509&gt;=3,"Medium","Low"))</f>
        <v>Low</v>
      </c>
    </row>
    <row r="1510" customFormat="false" ht="15" hidden="false" customHeight="true" outlineLevel="0" collapsed="false">
      <c r="A1510" s="2" t="n">
        <f aca="false">'Raw Data'!H1510</f>
        <v>1509</v>
      </c>
      <c r="B1510" s="2" t="n">
        <f aca="false">'Raw Data'!A1510</f>
        <v>18</v>
      </c>
      <c r="C1510" s="2" t="str">
        <f aca="false">'Raw Data'!D1510</f>
        <v>Research &amp; Development</v>
      </c>
      <c r="D1510" s="2" t="str">
        <f aca="false">'Raw Data'!K1510</f>
        <v>Sales Executive</v>
      </c>
      <c r="E1510" s="2" t="n">
        <f aca="false">'Raw Data'!Q1510</f>
        <v>0</v>
      </c>
      <c r="F1510" s="2" t="n">
        <f aca="false">'Raw Data'!U1510</f>
        <v>0</v>
      </c>
      <c r="G1510" s="2" t="n">
        <f aca="false">'Raw Data'!W1510</f>
        <v>3</v>
      </c>
      <c r="H1510" s="2" t="n">
        <f aca="false">'Raw Data'!V1510</f>
        <v>3</v>
      </c>
      <c r="I1510" s="2" t="n">
        <f aca="false">IF(AND(ISNUMBER(B1510),B1510&lt;=25),2,0)+IF(AND(ISNUMBER(E1510),E1510&lt;=5),2,0)+IF(AND(ISNUMBER(F1510),F1510&lt;=1),2,0)+IF(AND(ISNUMBER(G1510),G1510&lt;=2),1,0)+IF(AND(ISNUMBER(H1510),H1510&lt;=2),1,0)</f>
        <v>6</v>
      </c>
      <c r="J1510" s="2" t="str">
        <f aca="false">IF(I1510&gt;=6,"High",IF(I1510&gt;=3,"Medium","Low"))</f>
        <v>High</v>
      </c>
    </row>
    <row r="1511" customFormat="false" ht="15" hidden="false" customHeight="true" outlineLevel="0" collapsed="false">
      <c r="A1511" s="2" t="n">
        <f aca="false">'Raw Data'!H1511</f>
        <v>1510</v>
      </c>
      <c r="B1511" s="2" t="n">
        <f aca="false">'Raw Data'!A1511</f>
        <v>35</v>
      </c>
      <c r="C1511" s="2" t="str">
        <f aca="false">'Raw Data'!D1511</f>
        <v>Sales</v>
      </c>
      <c r="D1511" s="2" t="str">
        <f aca="false">'Raw Data'!K1511</f>
        <v>Laboratory Technician</v>
      </c>
      <c r="E1511" s="2" t="n">
        <f aca="false">'Raw Data'!Q1511</f>
        <v>12</v>
      </c>
      <c r="F1511" s="2" t="n">
        <f aca="false">'Raw Data'!U1511</f>
        <v>9</v>
      </c>
      <c r="G1511" s="2" t="n">
        <f aca="false">'Raw Data'!W1511</f>
        <v>2</v>
      </c>
      <c r="H1511" s="2" t="n">
        <f aca="false">'Raw Data'!V1511</f>
        <v>3</v>
      </c>
      <c r="I1511" s="2" t="n">
        <f aca="false">IF(AND(ISNUMBER(B1511),B1511&lt;=25),2,0)+IF(AND(ISNUMBER(E1511),E1511&lt;=5),2,0)+IF(AND(ISNUMBER(F1511),F1511&lt;=1),2,0)+IF(AND(ISNUMBER(G1511),G1511&lt;=2),1,0)+IF(AND(ISNUMBER(H1511),H1511&lt;=2),1,0)</f>
        <v>1</v>
      </c>
      <c r="J1511" s="2" t="str">
        <f aca="false">IF(I1511&gt;=6,"High",IF(I1511&gt;=3,"Medium","Low"))</f>
        <v>Low</v>
      </c>
    </row>
    <row r="1512" customFormat="false" ht="15" hidden="false" customHeight="true" outlineLevel="0" collapsed="false">
      <c r="A1512" s="2" t="n">
        <f aca="false">'Raw Data'!H1512</f>
        <v>1511</v>
      </c>
      <c r="B1512" s="2" t="n">
        <f aca="false">'Raw Data'!A1512</f>
        <v>36</v>
      </c>
      <c r="C1512" s="2" t="str">
        <f aca="false">'Raw Data'!D1512</f>
        <v>Research &amp; Development</v>
      </c>
      <c r="D1512" s="2" t="str">
        <f aca="false">'Raw Data'!K1512</f>
        <v>Sales Executive</v>
      </c>
      <c r="E1512" s="2" t="n">
        <f aca="false">'Raw Data'!Q1512</f>
        <v>4</v>
      </c>
      <c r="F1512" s="2" t="n">
        <f aca="false">'Raw Data'!U1512</f>
        <v>0</v>
      </c>
      <c r="G1512" s="2" t="n">
        <f aca="false">'Raw Data'!W1512</f>
        <v>4</v>
      </c>
      <c r="H1512" s="2" t="n">
        <f aca="false">'Raw Data'!V1512</f>
        <v>3</v>
      </c>
      <c r="I1512" s="2" t="n">
        <f aca="false">IF(AND(ISNUMBER(B1512),B1512&lt;=25),2,0)+IF(AND(ISNUMBER(E1512),E1512&lt;=5),2,0)+IF(AND(ISNUMBER(F1512),F1512&lt;=1),2,0)+IF(AND(ISNUMBER(G1512),G1512&lt;=2),1,0)+IF(AND(ISNUMBER(H1512),H1512&lt;=2),1,0)</f>
        <v>4</v>
      </c>
      <c r="J1512" s="2" t="str">
        <f aca="false">IF(I1512&gt;=6,"High",IF(I1512&gt;=3,"Medium","Low"))</f>
        <v>Medium</v>
      </c>
    </row>
    <row r="1513" customFormat="false" ht="15" hidden="false" customHeight="true" outlineLevel="0" collapsed="false">
      <c r="A1513" s="2" t="n">
        <f aca="false">'Raw Data'!H1513</f>
        <v>1512</v>
      </c>
      <c r="B1513" s="2" t="n">
        <f aca="false">'Raw Data'!A1513</f>
        <v>51</v>
      </c>
      <c r="C1513" s="2" t="str">
        <f aca="false">'Raw Data'!D1513</f>
        <v>Research &amp; Development</v>
      </c>
      <c r="D1513" s="2" t="str">
        <f aca="false">'Raw Data'!K1513</f>
        <v>Laboratory Technician</v>
      </c>
      <c r="E1513" s="2" t="n">
        <f aca="false">'Raw Data'!Q1513</f>
        <v>13</v>
      </c>
      <c r="F1513" s="2" t="n">
        <f aca="false">'Raw Data'!U1513</f>
        <v>2</v>
      </c>
      <c r="G1513" s="2" t="n">
        <f aca="false">'Raw Data'!W1513</f>
        <v>2</v>
      </c>
      <c r="H1513" s="2" t="n">
        <f aca="false">'Raw Data'!V1513</f>
        <v>4</v>
      </c>
      <c r="I1513" s="2" t="n">
        <f aca="false">IF(AND(ISNUMBER(B1513),B1513&lt;=25),2,0)+IF(AND(ISNUMBER(E1513),E1513&lt;=5),2,0)+IF(AND(ISNUMBER(F1513),F1513&lt;=1),2,0)+IF(AND(ISNUMBER(G1513),G1513&lt;=2),1,0)+IF(AND(ISNUMBER(H1513),H1513&lt;=2),1,0)</f>
        <v>1</v>
      </c>
      <c r="J1513" s="2" t="str">
        <f aca="false">IF(I1513&gt;=6,"High",IF(I1513&gt;=3,"Medium","Low"))</f>
        <v>Low</v>
      </c>
    </row>
    <row r="1514" customFormat="false" ht="15" hidden="false" customHeight="true" outlineLevel="0" collapsed="false">
      <c r="A1514" s="2" t="n">
        <f aca="false">'Raw Data'!H1514</f>
        <v>1513</v>
      </c>
      <c r="B1514" s="2" t="n">
        <f aca="false">'Raw Data'!A1514</f>
        <v>41</v>
      </c>
      <c r="C1514" s="2" t="str">
        <f aca="false">'Raw Data'!D1514</f>
        <v>Research &amp; Development</v>
      </c>
      <c r="D1514" s="2" t="str">
        <f aca="false">'Raw Data'!K1514</f>
        <v>Laboratory Technician</v>
      </c>
      <c r="E1514" s="2" t="n">
        <f aca="false">'Raw Data'!Q1514</f>
        <v>22</v>
      </c>
      <c r="F1514" s="2" t="n">
        <f aca="false">'Raw Data'!U1514</f>
        <v>4</v>
      </c>
      <c r="G1514" s="2" t="n">
        <f aca="false">'Raw Data'!W1514</f>
        <v>2</v>
      </c>
      <c r="H1514" s="2" t="n">
        <f aca="false">'Raw Data'!V1514</f>
        <v>4</v>
      </c>
      <c r="I1514" s="2" t="n">
        <f aca="false">IF(AND(ISNUMBER(B1514),B1514&lt;=25),2,0)+IF(AND(ISNUMBER(E1514),E1514&lt;=5),2,0)+IF(AND(ISNUMBER(F1514),F1514&lt;=1),2,0)+IF(AND(ISNUMBER(G1514),G1514&lt;=2),1,0)+IF(AND(ISNUMBER(H1514),H1514&lt;=2),1,0)</f>
        <v>1</v>
      </c>
      <c r="J1514" s="2" t="str">
        <f aca="false">IF(I1514&gt;=6,"High",IF(I1514&gt;=3,"Medium","Low"))</f>
        <v>Low</v>
      </c>
    </row>
    <row r="1515" customFormat="false" ht="15" hidden="false" customHeight="true" outlineLevel="0" collapsed="false">
      <c r="A1515" s="2" t="n">
        <f aca="false">'Raw Data'!H1515</f>
        <v>1514</v>
      </c>
      <c r="B1515" s="2" t="n">
        <f aca="false">'Raw Data'!A1515</f>
        <v>18</v>
      </c>
      <c r="C1515" s="2" t="str">
        <f aca="false">'Raw Data'!D1515</f>
        <v>Sales</v>
      </c>
      <c r="D1515" s="2" t="str">
        <f aca="false">'Raw Data'!K1515</f>
        <v>Research Scientist</v>
      </c>
      <c r="E1515" s="2" t="n">
        <f aca="false">'Raw Data'!Q1515</f>
        <v>0</v>
      </c>
      <c r="F1515" s="2" t="n">
        <f aca="false">'Raw Data'!U1515</f>
        <v>0</v>
      </c>
      <c r="G1515" s="2" t="n">
        <f aca="false">'Raw Data'!W1515</f>
        <v>3</v>
      </c>
      <c r="H1515" s="2" t="n">
        <f aca="false">'Raw Data'!V1515</f>
        <v>4</v>
      </c>
      <c r="I1515" s="2" t="n">
        <f aca="false">IF(AND(ISNUMBER(B1515),B1515&lt;=25),2,0)+IF(AND(ISNUMBER(E1515),E1515&lt;=5),2,0)+IF(AND(ISNUMBER(F1515),F1515&lt;=1),2,0)+IF(AND(ISNUMBER(G1515),G1515&lt;=2),1,0)+IF(AND(ISNUMBER(H1515),H1515&lt;=2),1,0)</f>
        <v>6</v>
      </c>
      <c r="J1515" s="2" t="str">
        <f aca="false">IF(I1515&gt;=6,"High",IF(I1515&gt;=3,"Medium","Low"))</f>
        <v>High</v>
      </c>
    </row>
    <row r="1516" customFormat="false" ht="15" hidden="false" customHeight="true" outlineLevel="0" collapsed="false">
      <c r="A1516" s="2" t="n">
        <f aca="false">'Raw Data'!H1516</f>
        <v>1515</v>
      </c>
      <c r="B1516" s="2" t="n">
        <f aca="false">'Raw Data'!A1516</f>
        <v>28</v>
      </c>
      <c r="C1516" s="2" t="str">
        <f aca="false">'Raw Data'!D1516</f>
        <v>Research &amp; Development</v>
      </c>
      <c r="D1516" s="2" t="str">
        <f aca="false">'Raw Data'!K1516</f>
        <v>Sales Representative</v>
      </c>
      <c r="E1516" s="2" t="n">
        <f aca="false">'Raw Data'!Q1516</f>
        <v>9</v>
      </c>
      <c r="F1516" s="2" t="n">
        <f aca="false">'Raw Data'!U1516</f>
        <v>7</v>
      </c>
      <c r="G1516" s="2" t="n">
        <f aca="false">'Raw Data'!W1516</f>
        <v>1</v>
      </c>
      <c r="H1516" s="2" t="n">
        <f aca="false">'Raw Data'!V1516</f>
        <v>2</v>
      </c>
      <c r="I1516" s="2" t="n">
        <f aca="false">IF(AND(ISNUMBER(B1516),B1516&lt;=25),2,0)+IF(AND(ISNUMBER(E1516),E1516&lt;=5),2,0)+IF(AND(ISNUMBER(F1516),F1516&lt;=1),2,0)+IF(AND(ISNUMBER(G1516),G1516&lt;=2),1,0)+IF(AND(ISNUMBER(H1516),H1516&lt;=2),1,0)</f>
        <v>2</v>
      </c>
      <c r="J1516" s="2" t="str">
        <f aca="false">IF(I1516&gt;=6,"High",IF(I1516&gt;=3,"Medium","Low"))</f>
        <v>Low</v>
      </c>
    </row>
    <row r="1517" customFormat="false" ht="15" hidden="false" customHeight="true" outlineLevel="0" collapsed="false">
      <c r="A1517" s="2" t="n">
        <f aca="false">'Raw Data'!H1517</f>
        <v>1516</v>
      </c>
      <c r="B1517" s="2" t="n">
        <f aca="false">'Raw Data'!A1517</f>
        <v>31</v>
      </c>
      <c r="C1517" s="2" t="str">
        <f aca="false">'Raw Data'!D1517</f>
        <v>Research &amp; Development</v>
      </c>
      <c r="D1517" s="2" t="str">
        <f aca="false">'Raw Data'!K1517</f>
        <v>Manufacturing Director</v>
      </c>
      <c r="E1517" s="2" t="n">
        <f aca="false">'Raw Data'!Q1517</f>
        <v>10</v>
      </c>
      <c r="F1517" s="2" t="n">
        <f aca="false">'Raw Data'!U1517</f>
        <v>7</v>
      </c>
      <c r="G1517" s="2" t="n">
        <f aca="false">'Raw Data'!W1517</f>
        <v>4</v>
      </c>
      <c r="H1517" s="2" t="n">
        <f aca="false">'Raw Data'!V1517</f>
        <v>2</v>
      </c>
      <c r="I1517" s="2" t="n">
        <f aca="false">IF(AND(ISNUMBER(B1517),B1517&lt;=25),2,0)+IF(AND(ISNUMBER(E1517),E1517&lt;=5),2,0)+IF(AND(ISNUMBER(F1517),F1517&lt;=1),2,0)+IF(AND(ISNUMBER(G1517),G1517&lt;=2),1,0)+IF(AND(ISNUMBER(H1517),H1517&lt;=2),1,0)</f>
        <v>1</v>
      </c>
      <c r="J1517" s="2" t="str">
        <f aca="false">IF(I1517&gt;=6,"High",IF(I1517&gt;=3,"Medium","Low"))</f>
        <v>Low</v>
      </c>
    </row>
    <row r="1518" customFormat="false" ht="15" hidden="false" customHeight="true" outlineLevel="0" collapsed="false">
      <c r="A1518" s="2" t="n">
        <f aca="false">'Raw Data'!H1518</f>
        <v>1517</v>
      </c>
      <c r="B1518" s="2" t="n">
        <f aca="false">'Raw Data'!A1518</f>
        <v>39</v>
      </c>
      <c r="C1518" s="2" t="str">
        <f aca="false">'Raw Data'!D1518</f>
        <v>Sales</v>
      </c>
      <c r="D1518" s="2" t="str">
        <f aca="false">'Raw Data'!K1518</f>
        <v>Human Resources</v>
      </c>
      <c r="E1518" s="2" t="n">
        <f aca="false">'Raw Data'!Q1518</f>
        <v>19</v>
      </c>
      <c r="F1518" s="2" t="n">
        <f aca="false">'Raw Data'!U1518</f>
        <v>7</v>
      </c>
      <c r="G1518" s="2" t="n">
        <f aca="false">'Raw Data'!W1518</f>
        <v>4</v>
      </c>
      <c r="H1518" s="2" t="n">
        <f aca="false">'Raw Data'!V1518</f>
        <v>3</v>
      </c>
      <c r="I1518" s="2" t="n">
        <f aca="false">IF(AND(ISNUMBER(B1518),B1518&lt;=25),2,0)+IF(AND(ISNUMBER(E1518),E1518&lt;=5),2,0)+IF(AND(ISNUMBER(F1518),F1518&lt;=1),2,0)+IF(AND(ISNUMBER(G1518),G1518&lt;=2),1,0)+IF(AND(ISNUMBER(H1518),H1518&lt;=2),1,0)</f>
        <v>0</v>
      </c>
      <c r="J1518" s="2" t="str">
        <f aca="false">IF(I1518&gt;=6,"High",IF(I1518&gt;=3,"Medium","Low"))</f>
        <v>Low</v>
      </c>
    </row>
    <row r="1519" customFormat="false" ht="15" hidden="false" customHeight="true" outlineLevel="0" collapsed="false">
      <c r="A1519" s="2" t="n">
        <f aca="false">'Raw Data'!H1519</f>
        <v>1518</v>
      </c>
      <c r="B1519" s="2" t="n">
        <f aca="false">'Raw Data'!A1519</f>
        <v>36</v>
      </c>
      <c r="C1519" s="2" t="str">
        <f aca="false">'Raw Data'!D1519</f>
        <v>Research &amp; Development</v>
      </c>
      <c r="D1519" s="2" t="str">
        <f aca="false">'Raw Data'!K1519</f>
        <v>Sales Executive</v>
      </c>
      <c r="E1519" s="2" t="n">
        <f aca="false">'Raw Data'!Q1519</f>
        <v>0</v>
      </c>
      <c r="F1519" s="2" t="n">
        <f aca="false">'Raw Data'!U1519</f>
        <v>8</v>
      </c>
      <c r="G1519" s="2" t="n">
        <f aca="false">'Raw Data'!W1519</f>
        <v>2</v>
      </c>
      <c r="H1519" s="2" t="n">
        <f aca="false">'Raw Data'!V1519</f>
        <v>2</v>
      </c>
      <c r="I1519" s="2" t="n">
        <f aca="false">IF(AND(ISNUMBER(B1519),B1519&lt;=25),2,0)+IF(AND(ISNUMBER(E1519),E1519&lt;=5),2,0)+IF(AND(ISNUMBER(F1519),F1519&lt;=1),2,0)+IF(AND(ISNUMBER(G1519),G1519&lt;=2),1,0)+IF(AND(ISNUMBER(H1519),H1519&lt;=2),1,0)</f>
        <v>2</v>
      </c>
      <c r="J1519" s="2" t="str">
        <f aca="false">IF(I1519&gt;=6,"High",IF(I1519&gt;=3,"Medium","Low"))</f>
        <v>Low</v>
      </c>
    </row>
    <row r="1520" customFormat="false" ht="15" hidden="false" customHeight="true" outlineLevel="0" collapsed="false">
      <c r="A1520" s="2" t="n">
        <f aca="false">'Raw Data'!H1520</f>
        <v>1519</v>
      </c>
      <c r="B1520" s="2" t="n">
        <f aca="false">'Raw Data'!A1520</f>
        <v>32</v>
      </c>
      <c r="C1520" s="2" t="str">
        <f aca="false">'Raw Data'!D1520</f>
        <v>Sales</v>
      </c>
      <c r="D1520" s="2" t="str">
        <f aca="false">'Raw Data'!K1520</f>
        <v>Laboratory Technician</v>
      </c>
      <c r="E1520" s="2" t="n">
        <f aca="false">'Raw Data'!Q1520</f>
        <v>13</v>
      </c>
      <c r="F1520" s="2" t="n">
        <f aca="false">'Raw Data'!U1520</f>
        <v>8</v>
      </c>
      <c r="G1520" s="2" t="n">
        <f aca="false">'Raw Data'!W1520</f>
        <v>3</v>
      </c>
      <c r="H1520" s="2" t="n">
        <f aca="false">'Raw Data'!V1520</f>
        <v>4</v>
      </c>
      <c r="I1520" s="2" t="n">
        <f aca="false">IF(AND(ISNUMBER(B1520),B1520&lt;=25),2,0)+IF(AND(ISNUMBER(E1520),E1520&lt;=5),2,0)+IF(AND(ISNUMBER(F1520),F1520&lt;=1),2,0)+IF(AND(ISNUMBER(G1520),G1520&lt;=2),1,0)+IF(AND(ISNUMBER(H1520),H1520&lt;=2),1,0)</f>
        <v>0</v>
      </c>
      <c r="J1520" s="2" t="str">
        <f aca="false">IF(I1520&gt;=6,"High",IF(I1520&gt;=3,"Medium","Low"))</f>
        <v>Low</v>
      </c>
    </row>
    <row r="1521" customFormat="false" ht="15" hidden="false" customHeight="true" outlineLevel="0" collapsed="false">
      <c r="A1521" s="2" t="n">
        <f aca="false">'Raw Data'!H1521</f>
        <v>1520</v>
      </c>
      <c r="B1521" s="2" t="n">
        <f aca="false">'Raw Data'!A1521</f>
        <v>38</v>
      </c>
      <c r="C1521" s="2" t="str">
        <f aca="false">'Raw Data'!D1521</f>
        <v>Research &amp; Development</v>
      </c>
      <c r="D1521" s="2" t="str">
        <f aca="false">'Raw Data'!K1521</f>
        <v>Research Scientist</v>
      </c>
      <c r="E1521" s="2" t="n">
        <f aca="false">'Raw Data'!Q1521</f>
        <v>19</v>
      </c>
      <c r="F1521" s="2" t="n">
        <f aca="false">'Raw Data'!U1521</f>
        <v>1</v>
      </c>
      <c r="G1521" s="2" t="n">
        <f aca="false">'Raw Data'!W1521</f>
        <v>2</v>
      </c>
      <c r="H1521" s="2" t="n">
        <f aca="false">'Raw Data'!V1521</f>
        <v>1</v>
      </c>
      <c r="I1521" s="2" t="n">
        <f aca="false">IF(AND(ISNUMBER(B1521),B1521&lt;=25),2,0)+IF(AND(ISNUMBER(E1521),E1521&lt;=5),2,0)+IF(AND(ISNUMBER(F1521),F1521&lt;=1),2,0)+IF(AND(ISNUMBER(G1521),G1521&lt;=2),1,0)+IF(AND(ISNUMBER(H1521),H1521&lt;=2),1,0)</f>
        <v>4</v>
      </c>
      <c r="J1521" s="2" t="str">
        <f aca="false">IF(I1521&gt;=6,"High",IF(I1521&gt;=3,"Medium","Low"))</f>
        <v>Medium</v>
      </c>
    </row>
    <row r="1522" customFormat="false" ht="15" hidden="false" customHeight="true" outlineLevel="0" collapsed="false">
      <c r="A1522" s="2" t="n">
        <f aca="false">'Raw Data'!H1522</f>
        <v>1521</v>
      </c>
      <c r="B1522" s="2" t="n">
        <f aca="false">'Raw Data'!A1522</f>
        <v>58</v>
      </c>
      <c r="C1522" s="2" t="str">
        <f aca="false">'Raw Data'!D1522</f>
        <v>Research &amp; Development</v>
      </c>
      <c r="D1522" s="2" t="str">
        <f aca="false">'Raw Data'!K1522</f>
        <v>Manufacturing Director</v>
      </c>
      <c r="E1522" s="2" t="n">
        <f aca="false">'Raw Data'!Q1522</f>
        <v>12</v>
      </c>
      <c r="F1522" s="2" t="n">
        <f aca="false">'Raw Data'!U1522</f>
        <v>2</v>
      </c>
      <c r="G1522" s="2" t="n">
        <f aca="false">'Raw Data'!W1522</f>
        <v>3</v>
      </c>
      <c r="H1522" s="2" t="n">
        <f aca="false">'Raw Data'!V1522</f>
        <v>4</v>
      </c>
      <c r="I1522" s="2" t="n">
        <f aca="false">IF(AND(ISNUMBER(B1522),B1522&lt;=25),2,0)+IF(AND(ISNUMBER(E1522),E1522&lt;=5),2,0)+IF(AND(ISNUMBER(F1522),F1522&lt;=1),2,0)+IF(AND(ISNUMBER(G1522),G1522&lt;=2),1,0)+IF(AND(ISNUMBER(H1522),H1522&lt;=2),1,0)</f>
        <v>0</v>
      </c>
      <c r="J1522" s="2" t="str">
        <f aca="false">IF(I1522&gt;=6,"High",IF(I1522&gt;=3,"Medium","Low"))</f>
        <v>Low</v>
      </c>
    </row>
    <row r="1523" customFormat="false" ht="15" hidden="false" customHeight="true" outlineLevel="0" collapsed="false">
      <c r="A1523" s="2" t="n">
        <f aca="false">'Raw Data'!H1523</f>
        <v>1522</v>
      </c>
      <c r="B1523" s="2" t="n">
        <f aca="false">'Raw Data'!A1523</f>
        <v>31</v>
      </c>
      <c r="C1523" s="2" t="str">
        <f aca="false">'Raw Data'!D1523</f>
        <v>Research &amp; Development</v>
      </c>
      <c r="D1523" s="2" t="str">
        <f aca="false">'Raw Data'!K1523</f>
        <v>Research Scientist</v>
      </c>
      <c r="E1523" s="2" t="n">
        <f aca="false">'Raw Data'!Q1523</f>
        <v>6</v>
      </c>
      <c r="F1523" s="2" t="n">
        <f aca="false">'Raw Data'!U1523</f>
        <v>3</v>
      </c>
      <c r="G1523" s="2" t="n">
        <f aca="false">'Raw Data'!W1523</f>
        <v>4</v>
      </c>
      <c r="H1523" s="2" t="n">
        <f aca="false">'Raw Data'!V1523</f>
        <v>3</v>
      </c>
      <c r="I1523" s="2" t="n">
        <f aca="false">IF(AND(ISNUMBER(B1523),B1523&lt;=25),2,0)+IF(AND(ISNUMBER(E1523),E1523&lt;=5),2,0)+IF(AND(ISNUMBER(F1523),F1523&lt;=1),2,0)+IF(AND(ISNUMBER(G1523),G1523&lt;=2),1,0)+IF(AND(ISNUMBER(H1523),H1523&lt;=2),1,0)</f>
        <v>0</v>
      </c>
      <c r="J1523" s="2" t="str">
        <f aca="false">IF(I1523&gt;=6,"High",IF(I1523&gt;=3,"Medium","Low"))</f>
        <v>Low</v>
      </c>
    </row>
    <row r="1524" customFormat="false" ht="15" hidden="false" customHeight="true" outlineLevel="0" collapsed="false">
      <c r="A1524" s="2" t="n">
        <f aca="false">'Raw Data'!H1524</f>
        <v>1523</v>
      </c>
      <c r="B1524" s="2" t="n">
        <f aca="false">'Raw Data'!A1524</f>
        <v>31</v>
      </c>
      <c r="C1524" s="2" t="str">
        <f aca="false">'Raw Data'!D1524</f>
        <v>Sales</v>
      </c>
      <c r="D1524" s="2" t="str">
        <f aca="false">'Raw Data'!K1524</f>
        <v>Sales Executive</v>
      </c>
      <c r="E1524" s="2" t="n">
        <f aca="false">'Raw Data'!Q1524</f>
        <v>9</v>
      </c>
      <c r="F1524" s="2" t="n">
        <f aca="false">'Raw Data'!U1524</f>
        <v>0</v>
      </c>
      <c r="G1524" s="2" t="n">
        <f aca="false">'Raw Data'!W1524</f>
        <v>1</v>
      </c>
      <c r="H1524" s="2" t="n">
        <f aca="false">'Raw Data'!V1524</f>
        <v>1</v>
      </c>
      <c r="I1524" s="2" t="n">
        <f aca="false">IF(AND(ISNUMBER(B1524),B1524&lt;=25),2,0)+IF(AND(ISNUMBER(E1524),E1524&lt;=5),2,0)+IF(AND(ISNUMBER(F1524),F1524&lt;=1),2,0)+IF(AND(ISNUMBER(G1524),G1524&lt;=2),1,0)+IF(AND(ISNUMBER(H1524),H1524&lt;=2),1,0)</f>
        <v>4</v>
      </c>
      <c r="J1524" s="2" t="str">
        <f aca="false">IF(I1524&gt;=6,"High",IF(I1524&gt;=3,"Medium","Low"))</f>
        <v>Medium</v>
      </c>
    </row>
    <row r="1525" customFormat="false" ht="15" hidden="false" customHeight="true" outlineLevel="0" collapsed="false">
      <c r="A1525" s="2" t="n">
        <f aca="false">'Raw Data'!H1525</f>
        <v>1524</v>
      </c>
      <c r="B1525" s="2" t="n">
        <f aca="false">'Raw Data'!A1525</f>
        <v>45</v>
      </c>
      <c r="C1525" s="2" t="str">
        <f aca="false">'Raw Data'!D1525</f>
        <v>Research &amp; Development</v>
      </c>
      <c r="D1525" s="2" t="str">
        <f aca="false">'Raw Data'!K1525</f>
        <v>Sales Executive</v>
      </c>
      <c r="E1525" s="2" t="n">
        <f aca="false">'Raw Data'!Q1525</f>
        <v>24</v>
      </c>
      <c r="F1525" s="2" t="n">
        <f aca="false">'Raw Data'!U1525</f>
        <v>11</v>
      </c>
      <c r="G1525" s="2" t="n">
        <f aca="false">'Raw Data'!W1525</f>
        <v>1</v>
      </c>
      <c r="H1525" s="2" t="n">
        <f aca="false">'Raw Data'!V1525</f>
        <v>1</v>
      </c>
      <c r="I1525" s="2" t="n">
        <f aca="false">IF(AND(ISNUMBER(B1525),B1525&lt;=25),2,0)+IF(AND(ISNUMBER(E1525),E1525&lt;=5),2,0)+IF(AND(ISNUMBER(F1525),F1525&lt;=1),2,0)+IF(AND(ISNUMBER(G1525),G1525&lt;=2),1,0)+IF(AND(ISNUMBER(H1525),H1525&lt;=2),1,0)</f>
        <v>2</v>
      </c>
      <c r="J1525" s="2" t="str">
        <f aca="false">IF(I1525&gt;=6,"High",IF(I1525&gt;=3,"Medium","Low"))</f>
        <v>Low</v>
      </c>
    </row>
    <row r="1526" customFormat="false" ht="15" hidden="false" customHeight="true" outlineLevel="0" collapsed="false">
      <c r="A1526" s="2" t="n">
        <f aca="false">'Raw Data'!H1526</f>
        <v>1525</v>
      </c>
      <c r="B1526" s="2" t="n">
        <f aca="false">'Raw Data'!A1526</f>
        <v>31</v>
      </c>
      <c r="C1526" s="2" t="str">
        <f aca="false">'Raw Data'!D1526</f>
        <v>Sales</v>
      </c>
      <c r="D1526" s="2" t="str">
        <f aca="false">'Raw Data'!K1526</f>
        <v>Research Scientist</v>
      </c>
      <c r="E1526" s="2" t="n">
        <f aca="false">'Raw Data'!Q1526</f>
        <v>3</v>
      </c>
      <c r="F1526" s="2" t="n">
        <f aca="false">'Raw Data'!U1526</f>
        <v>2</v>
      </c>
      <c r="G1526" s="2" t="n">
        <f aca="false">'Raw Data'!W1526</f>
        <v>4</v>
      </c>
      <c r="H1526" s="2" t="n">
        <f aca="false">'Raw Data'!V1526</f>
        <v>3</v>
      </c>
      <c r="I1526" s="2" t="n">
        <f aca="false">IF(AND(ISNUMBER(B1526),B1526&lt;=25),2,0)+IF(AND(ISNUMBER(E1526),E1526&lt;=5),2,0)+IF(AND(ISNUMBER(F1526),F1526&lt;=1),2,0)+IF(AND(ISNUMBER(G1526),G1526&lt;=2),1,0)+IF(AND(ISNUMBER(H1526),H1526&lt;=2),1,0)</f>
        <v>2</v>
      </c>
      <c r="J1526" s="2" t="str">
        <f aca="false">IF(I1526&gt;=6,"High",IF(I1526&gt;=3,"Medium","Low"))</f>
        <v>Low</v>
      </c>
    </row>
    <row r="1527" customFormat="false" ht="15" hidden="false" customHeight="true" outlineLevel="0" collapsed="false">
      <c r="A1527" s="2" t="n">
        <f aca="false">'Raw Data'!H1527</f>
        <v>1526</v>
      </c>
      <c r="B1527" s="2" t="n">
        <f aca="false">'Raw Data'!A1527</f>
        <v>33</v>
      </c>
      <c r="C1527" s="2" t="str">
        <f aca="false">'Raw Data'!D1527</f>
        <v>Research &amp; Development</v>
      </c>
      <c r="D1527" s="2" t="str">
        <f aca="false">'Raw Data'!K1527</f>
        <v>Research Director</v>
      </c>
      <c r="E1527" s="2" t="n">
        <f aca="false">'Raw Data'!Q1527</f>
        <v>12</v>
      </c>
      <c r="F1527" s="2" t="n">
        <f aca="false">'Raw Data'!U1527</f>
        <v>8</v>
      </c>
      <c r="G1527" s="2" t="n">
        <f aca="false">'Raw Data'!W1527</f>
        <v>2</v>
      </c>
      <c r="H1527" s="2" t="n">
        <f aca="false">'Raw Data'!V1527</f>
        <v>4</v>
      </c>
      <c r="I1527" s="2" t="n">
        <f aca="false">IF(AND(ISNUMBER(B1527),B1527&lt;=25),2,0)+IF(AND(ISNUMBER(E1527),E1527&lt;=5),2,0)+IF(AND(ISNUMBER(F1527),F1527&lt;=1),2,0)+IF(AND(ISNUMBER(G1527),G1527&lt;=2),1,0)+IF(AND(ISNUMBER(H1527),H1527&lt;=2),1,0)</f>
        <v>1</v>
      </c>
      <c r="J1527" s="2" t="str">
        <f aca="false">IF(I1527&gt;=6,"High",IF(I1527&gt;=3,"Medium","Low"))</f>
        <v>Low</v>
      </c>
    </row>
    <row r="1528" customFormat="false" ht="15" hidden="false" customHeight="true" outlineLevel="0" collapsed="false">
      <c r="A1528" s="2" t="n">
        <f aca="false">'Raw Data'!H1528</f>
        <v>1527</v>
      </c>
      <c r="B1528" s="2" t="n">
        <f aca="false">'Raw Data'!A1528</f>
        <v>39</v>
      </c>
      <c r="C1528" s="2" t="str">
        <f aca="false">'Raw Data'!D1528</f>
        <v>Sales</v>
      </c>
      <c r="D1528" s="2" t="str">
        <f aca="false">'Raw Data'!K1528</f>
        <v>Sales Executive</v>
      </c>
      <c r="E1528" s="2" t="n">
        <f aca="false">'Raw Data'!Q1528</f>
        <v>21</v>
      </c>
      <c r="F1528" s="2" t="n">
        <f aca="false">'Raw Data'!U1528</f>
        <v>10</v>
      </c>
      <c r="G1528" s="2" t="n">
        <f aca="false">'Raw Data'!W1528</f>
        <v>1</v>
      </c>
      <c r="H1528" s="2" t="n">
        <f aca="false">'Raw Data'!V1528</f>
        <v>3</v>
      </c>
      <c r="I1528" s="2" t="n">
        <f aca="false">IF(AND(ISNUMBER(B1528),B1528&lt;=25),2,0)+IF(AND(ISNUMBER(E1528),E1528&lt;=5),2,0)+IF(AND(ISNUMBER(F1528),F1528&lt;=1),2,0)+IF(AND(ISNUMBER(G1528),G1528&lt;=2),1,0)+IF(AND(ISNUMBER(H1528),H1528&lt;=2),1,0)</f>
        <v>1</v>
      </c>
      <c r="J1528" s="2" t="str">
        <f aca="false">IF(I1528&gt;=6,"High",IF(I1528&gt;=3,"Medium","Low"))</f>
        <v>Low</v>
      </c>
    </row>
    <row r="1529" customFormat="false" ht="15" hidden="false" customHeight="true" outlineLevel="0" collapsed="false">
      <c r="A1529" s="2" t="n">
        <f aca="false">'Raw Data'!H1529</f>
        <v>1528</v>
      </c>
      <c r="B1529" s="2" t="n">
        <f aca="false">'Raw Data'!A1529</f>
        <v>43</v>
      </c>
      <c r="C1529" s="2" t="str">
        <f aca="false">'Raw Data'!D1529</f>
        <v>Research &amp; Development</v>
      </c>
      <c r="D1529" s="2" t="str">
        <f aca="false">'Raw Data'!K1529</f>
        <v>Research Scientist</v>
      </c>
      <c r="E1529" s="2" t="n">
        <f aca="false">'Raw Data'!Q1529</f>
        <v>9</v>
      </c>
      <c r="F1529" s="2" t="n">
        <f aca="false">'Raw Data'!U1529</f>
        <v>7</v>
      </c>
      <c r="G1529" s="2" t="n">
        <f aca="false">'Raw Data'!W1529</f>
        <v>4</v>
      </c>
      <c r="H1529" s="2" t="n">
        <f aca="false">'Raw Data'!V1529</f>
        <v>3</v>
      </c>
      <c r="I1529" s="2" t="n">
        <f aca="false">IF(AND(ISNUMBER(B1529),B1529&lt;=25),2,0)+IF(AND(ISNUMBER(E1529),E1529&lt;=5),2,0)+IF(AND(ISNUMBER(F1529),F1529&lt;=1),2,0)+IF(AND(ISNUMBER(G1529),G1529&lt;=2),1,0)+IF(AND(ISNUMBER(H1529),H1529&lt;=2),1,0)</f>
        <v>0</v>
      </c>
      <c r="J1529" s="2" t="str">
        <f aca="false">IF(I1529&gt;=6,"High",IF(I1529&gt;=3,"Medium","Low"))</f>
        <v>Low</v>
      </c>
    </row>
    <row r="1530" customFormat="false" ht="15" hidden="false" customHeight="true" outlineLevel="0" collapsed="false">
      <c r="A1530" s="2" t="n">
        <f aca="false">'Raw Data'!H1530</f>
        <v>1529</v>
      </c>
      <c r="B1530" s="2" t="n">
        <f aca="false">'Raw Data'!A1530</f>
        <v>49</v>
      </c>
      <c r="C1530" s="2" t="str">
        <f aca="false">'Raw Data'!D1530</f>
        <v>Research &amp; Development</v>
      </c>
      <c r="D1530" s="2" t="str">
        <f aca="false">'Raw Data'!K1530</f>
        <v>Manufacturing Director</v>
      </c>
      <c r="E1530" s="2" t="n">
        <f aca="false">'Raw Data'!Q1530</f>
        <v>25</v>
      </c>
      <c r="F1530" s="2" t="n">
        <f aca="false">'Raw Data'!U1530</f>
        <v>7</v>
      </c>
      <c r="G1530" s="2" t="n">
        <f aca="false">'Raw Data'!W1530</f>
        <v>3</v>
      </c>
      <c r="H1530" s="2" t="n">
        <f aca="false">'Raw Data'!V1530</f>
        <v>3</v>
      </c>
      <c r="I1530" s="2" t="n">
        <f aca="false">IF(AND(ISNUMBER(B1530),B1530&lt;=25),2,0)+IF(AND(ISNUMBER(E1530),E1530&lt;=5),2,0)+IF(AND(ISNUMBER(F1530),F1530&lt;=1),2,0)+IF(AND(ISNUMBER(G1530),G1530&lt;=2),1,0)+IF(AND(ISNUMBER(H1530),H1530&lt;=2),1,0)</f>
        <v>0</v>
      </c>
      <c r="J1530" s="2" t="str">
        <f aca="false">IF(I1530&gt;=6,"High",IF(I1530&gt;=3,"Medium","Low"))</f>
        <v>Low</v>
      </c>
    </row>
    <row r="1531" customFormat="false" ht="15" hidden="false" customHeight="true" outlineLevel="0" collapsed="false">
      <c r="A1531" s="2" t="n">
        <f aca="false">'Raw Data'!H1531</f>
        <v>1530</v>
      </c>
      <c r="B1531" s="2" t="n">
        <f aca="false">'Raw Data'!A1531</f>
        <v>52</v>
      </c>
      <c r="C1531" s="2" t="str">
        <f aca="false">'Raw Data'!D1531</f>
        <v>Research &amp; Development</v>
      </c>
      <c r="D1531" s="2" t="str">
        <f aca="false">'Raw Data'!K1531</f>
        <v>Research Scientist</v>
      </c>
      <c r="E1531" s="2" t="n">
        <f aca="false">'Raw Data'!Q1531</f>
        <v>11</v>
      </c>
      <c r="F1531" s="2" t="n">
        <f aca="false">'Raw Data'!U1531</f>
        <v>7</v>
      </c>
      <c r="G1531" s="2" t="n">
        <f aca="false">'Raw Data'!W1531</f>
        <v>2</v>
      </c>
      <c r="H1531" s="2" t="n">
        <f aca="false">'Raw Data'!V1531</f>
        <v>3</v>
      </c>
      <c r="I1531" s="2" t="n">
        <f aca="false">IF(AND(ISNUMBER(B1531),B1531&lt;=25),2,0)+IF(AND(ISNUMBER(E1531),E1531&lt;=5),2,0)+IF(AND(ISNUMBER(F1531),F1531&lt;=1),2,0)+IF(AND(ISNUMBER(G1531),G1531&lt;=2),1,0)+IF(AND(ISNUMBER(H1531),H1531&lt;=2),1,0)</f>
        <v>1</v>
      </c>
      <c r="J1531" s="2" t="str">
        <f aca="false">IF(I1531&gt;=6,"High",IF(I1531&gt;=3,"Medium","Low"))</f>
        <v>Low</v>
      </c>
    </row>
    <row r="1532" customFormat="false" ht="15" hidden="false" customHeight="true" outlineLevel="0" collapsed="false">
      <c r="A1532" s="2" t="n">
        <f aca="false">'Raw Data'!H1532</f>
        <v>1531</v>
      </c>
      <c r="B1532" s="2" t="n">
        <f aca="false">'Raw Data'!A1532</f>
        <v>27</v>
      </c>
      <c r="C1532" s="2" t="str">
        <f aca="false">'Raw Data'!D1532</f>
        <v>Research &amp; Development</v>
      </c>
      <c r="D1532" s="2" t="str">
        <f aca="false">'Raw Data'!K1532</f>
        <v>Research Scientist</v>
      </c>
      <c r="E1532" s="2" t="n">
        <f aca="false">'Raw Data'!Q1532</f>
        <v>4</v>
      </c>
      <c r="F1532" s="2" t="n">
        <f aca="false">'Raw Data'!U1532</f>
        <v>2</v>
      </c>
      <c r="G1532" s="2" t="n">
        <f aca="false">'Raw Data'!W1532</f>
        <v>2</v>
      </c>
      <c r="H1532" s="2" t="n">
        <f aca="false">'Raw Data'!V1532</f>
        <v>3</v>
      </c>
      <c r="I1532" s="2" t="n">
        <f aca="false">IF(AND(ISNUMBER(B1532),B1532&lt;=25),2,0)+IF(AND(ISNUMBER(E1532),E1532&lt;=5),2,0)+IF(AND(ISNUMBER(F1532),F1532&lt;=1),2,0)+IF(AND(ISNUMBER(G1532),G1532&lt;=2),1,0)+IF(AND(ISNUMBER(H1532),H1532&lt;=2),1,0)</f>
        <v>3</v>
      </c>
      <c r="J1532" s="2" t="str">
        <f aca="false">IF(I1532&gt;=6,"High",IF(I1532&gt;=3,"Medium","Low"))</f>
        <v>Medium</v>
      </c>
    </row>
    <row r="1533" customFormat="false" ht="15" hidden="false" customHeight="true" outlineLevel="0" collapsed="false">
      <c r="A1533" s="2" t="n">
        <f aca="false">'Raw Data'!H1533</f>
        <v>1532</v>
      </c>
      <c r="B1533" s="2" t="n">
        <f aca="false">'Raw Data'!A1533</f>
        <v>32</v>
      </c>
      <c r="C1533" s="2" t="str">
        <f aca="false">'Raw Data'!D1533</f>
        <v>Research &amp; Development</v>
      </c>
      <c r="D1533" s="2" t="str">
        <f aca="false">'Raw Data'!K1533</f>
        <v>Research Scientist</v>
      </c>
      <c r="E1533" s="2" t="n">
        <f aca="false">'Raw Data'!Q1533</f>
        <v>13</v>
      </c>
      <c r="F1533" s="2" t="n">
        <f aca="false">'Raw Data'!U1533</f>
        <v>9</v>
      </c>
      <c r="G1533" s="2" t="n">
        <f aca="false">'Raw Data'!W1533</f>
        <v>2</v>
      </c>
      <c r="H1533" s="2" t="n">
        <f aca="false">'Raw Data'!V1533</f>
        <v>3</v>
      </c>
      <c r="I1533" s="2" t="n">
        <f aca="false">IF(AND(ISNUMBER(B1533),B1533&lt;=25),2,0)+IF(AND(ISNUMBER(E1533),E1533&lt;=5),2,0)+IF(AND(ISNUMBER(F1533),F1533&lt;=1),2,0)+IF(AND(ISNUMBER(G1533),G1533&lt;=2),1,0)+IF(AND(ISNUMBER(H1533),H1533&lt;=2),1,0)</f>
        <v>1</v>
      </c>
      <c r="J1533" s="2" t="str">
        <f aca="false">IF(I1533&gt;=6,"High",IF(I1533&gt;=3,"Medium","Low"))</f>
        <v>Low</v>
      </c>
    </row>
    <row r="1534" customFormat="false" ht="15" hidden="false" customHeight="true" outlineLevel="0" collapsed="false">
      <c r="A1534" s="2" t="n">
        <f aca="false">'Raw Data'!H1534</f>
        <v>1533</v>
      </c>
      <c r="B1534" s="2" t="n">
        <f aca="false">'Raw Data'!A1534</f>
        <v>27</v>
      </c>
      <c r="C1534" s="2" t="str">
        <f aca="false">'Raw Data'!D1534</f>
        <v>Research &amp; Development</v>
      </c>
      <c r="D1534" s="2" t="str">
        <f aca="false">'Raw Data'!K1534</f>
        <v>Research Director</v>
      </c>
      <c r="E1534" s="2" t="n">
        <f aca="false">'Raw Data'!Q1534</f>
        <v>5</v>
      </c>
      <c r="F1534" s="2" t="n">
        <f aca="false">'Raw Data'!U1534</f>
        <v>4</v>
      </c>
      <c r="G1534" s="2" t="n">
        <f aca="false">'Raw Data'!W1534</f>
        <v>3</v>
      </c>
      <c r="H1534" s="2" t="n">
        <f aca="false">'Raw Data'!V1534</f>
        <v>4</v>
      </c>
      <c r="I1534" s="2" t="n">
        <f aca="false">IF(AND(ISNUMBER(B1534),B1534&lt;=25),2,0)+IF(AND(ISNUMBER(E1534),E1534&lt;=5),2,0)+IF(AND(ISNUMBER(F1534),F1534&lt;=1),2,0)+IF(AND(ISNUMBER(G1534),G1534&lt;=2),1,0)+IF(AND(ISNUMBER(H1534),H1534&lt;=2),1,0)</f>
        <v>2</v>
      </c>
      <c r="J1534" s="2" t="str">
        <f aca="false">IF(I1534&gt;=6,"High",IF(I1534&gt;=3,"Medium","Low"))</f>
        <v>Low</v>
      </c>
    </row>
    <row r="1535" customFormat="false" ht="15" hidden="false" customHeight="true" outlineLevel="0" collapsed="false">
      <c r="A1535" s="2" t="n">
        <f aca="false">'Raw Data'!H1535</f>
        <v>1534</v>
      </c>
      <c r="B1535" s="2" t="n">
        <f aca="false">'Raw Data'!A1535</f>
        <v>31</v>
      </c>
      <c r="C1535" s="2" t="str">
        <f aca="false">'Raw Data'!D1535</f>
        <v>Sales</v>
      </c>
      <c r="D1535" s="2" t="str">
        <f aca="false">'Raw Data'!K1535</f>
        <v>Healthcare Representative</v>
      </c>
      <c r="E1535" s="2" t="n">
        <f aca="false">'Raw Data'!Q1535</f>
        <v>13</v>
      </c>
      <c r="F1535" s="2" t="n">
        <f aca="false">'Raw Data'!U1535</f>
        <v>7</v>
      </c>
      <c r="G1535" s="2" t="n">
        <f aca="false">'Raw Data'!W1535</f>
        <v>4</v>
      </c>
      <c r="H1535" s="2" t="n">
        <f aca="false">'Raw Data'!V1535</f>
        <v>4</v>
      </c>
      <c r="I1535" s="2" t="n">
        <f aca="false">IF(AND(ISNUMBER(B1535),B1535&lt;=25),2,0)+IF(AND(ISNUMBER(E1535),E1535&lt;=5),2,0)+IF(AND(ISNUMBER(F1535),F1535&lt;=1),2,0)+IF(AND(ISNUMBER(G1535),G1535&lt;=2),1,0)+IF(AND(ISNUMBER(H1535),H1535&lt;=2),1,0)</f>
        <v>0</v>
      </c>
      <c r="J1535" s="2" t="str">
        <f aca="false">IF(I1535&gt;=6,"High",IF(I1535&gt;=3,"Medium","Low"))</f>
        <v>Low</v>
      </c>
    </row>
    <row r="1536" customFormat="false" ht="15" hidden="false" customHeight="true" outlineLevel="0" collapsed="false">
      <c r="A1536" s="2" t="n">
        <f aca="false">'Raw Data'!H1536</f>
        <v>1535</v>
      </c>
      <c r="B1536" s="2" t="n">
        <f aca="false">'Raw Data'!A1536</f>
        <v>32</v>
      </c>
      <c r="C1536" s="2" t="str">
        <f aca="false">'Raw Data'!D1536</f>
        <v>Research &amp; Development</v>
      </c>
      <c r="D1536" s="2" t="str">
        <f aca="false">'Raw Data'!K1536</f>
        <v>Healthcare Representative</v>
      </c>
      <c r="E1536" s="2" t="n">
        <f aca="false">'Raw Data'!Q1536</f>
        <v>10</v>
      </c>
      <c r="F1536" s="2" t="n">
        <f aca="false">'Raw Data'!U1536</f>
        <v>7</v>
      </c>
      <c r="G1536" s="2" t="n">
        <f aca="false">'Raw Data'!W1536</f>
        <v>4</v>
      </c>
      <c r="H1536" s="2" t="n">
        <f aca="false">'Raw Data'!V1536</f>
        <v>1</v>
      </c>
      <c r="I1536" s="2" t="n">
        <f aca="false">IF(AND(ISNUMBER(B1536),B1536&lt;=25),2,0)+IF(AND(ISNUMBER(E1536),E1536&lt;=5),2,0)+IF(AND(ISNUMBER(F1536),F1536&lt;=1),2,0)+IF(AND(ISNUMBER(G1536),G1536&lt;=2),1,0)+IF(AND(ISNUMBER(H1536),H1536&lt;=2),1,0)</f>
        <v>1</v>
      </c>
      <c r="J1536" s="2" t="str">
        <f aca="false">IF(I1536&gt;=6,"High",IF(I1536&gt;=3,"Medium","Low"))</f>
        <v>Low</v>
      </c>
    </row>
    <row r="1537" customFormat="false" ht="15" hidden="false" customHeight="true" outlineLevel="0" collapsed="false">
      <c r="A1537" s="2" t="n">
        <f aca="false">'Raw Data'!H1537</f>
        <v>1536</v>
      </c>
      <c r="B1537" s="2" t="n">
        <f aca="false">'Raw Data'!A1537</f>
        <v>28</v>
      </c>
      <c r="C1537" s="2" t="str">
        <f aca="false">'Raw Data'!D1537</f>
        <v>Research &amp; Development</v>
      </c>
      <c r="D1537" s="2" t="str">
        <f aca="false">'Raw Data'!K1537</f>
        <v>Sales Executive</v>
      </c>
      <c r="E1537" s="2" t="n">
        <f aca="false">'Raw Data'!Q1537</f>
        <v>5</v>
      </c>
      <c r="F1537" s="2" t="n">
        <f aca="false">'Raw Data'!U1537</f>
        <v>2</v>
      </c>
      <c r="G1537" s="2" t="n">
        <f aca="false">'Raw Data'!W1537</f>
        <v>4</v>
      </c>
      <c r="H1537" s="2" t="n">
        <f aca="false">'Raw Data'!V1537</f>
        <v>1</v>
      </c>
      <c r="I1537" s="2" t="n">
        <f aca="false">IF(AND(ISNUMBER(B1537),B1537&lt;=25),2,0)+IF(AND(ISNUMBER(E1537),E1537&lt;=5),2,0)+IF(AND(ISNUMBER(F1537),F1537&lt;=1),2,0)+IF(AND(ISNUMBER(G1537),G1537&lt;=2),1,0)+IF(AND(ISNUMBER(H1537),H1537&lt;=2),1,0)</f>
        <v>3</v>
      </c>
      <c r="J1537" s="2" t="str">
        <f aca="false">IF(I1537&gt;=6,"High",IF(I1537&gt;=3,"Medium","Low"))</f>
        <v>Medium</v>
      </c>
    </row>
    <row r="1538" customFormat="false" ht="15" hidden="false" customHeight="true" outlineLevel="0" collapsed="false">
      <c r="A1538" s="2" t="n">
        <f aca="false">'Raw Data'!H1538</f>
        <v>1537</v>
      </c>
      <c r="B1538" s="2" t="n">
        <f aca="false">'Raw Data'!A1538</f>
        <v>30</v>
      </c>
      <c r="C1538" s="2" t="str">
        <f aca="false">'Raw Data'!D1538</f>
        <v>Research &amp; Development</v>
      </c>
      <c r="D1538" s="2" t="str">
        <f aca="false">'Raw Data'!K1538</f>
        <v>Research Director</v>
      </c>
      <c r="E1538" s="2" t="n">
        <f aca="false">'Raw Data'!Q1538</f>
        <v>11</v>
      </c>
      <c r="F1538" s="2" t="n">
        <f aca="false">'Raw Data'!U1538</f>
        <v>9</v>
      </c>
      <c r="G1538" s="2" t="n">
        <f aca="false">'Raw Data'!W1538</f>
        <v>4</v>
      </c>
      <c r="H1538" s="2" t="n">
        <f aca="false">'Raw Data'!V1538</f>
        <v>4</v>
      </c>
      <c r="I1538" s="2" t="n">
        <f aca="false">IF(AND(ISNUMBER(B1538),B1538&lt;=25),2,0)+IF(AND(ISNUMBER(E1538),E1538&lt;=5),2,0)+IF(AND(ISNUMBER(F1538),F1538&lt;=1),2,0)+IF(AND(ISNUMBER(G1538),G1538&lt;=2),1,0)+IF(AND(ISNUMBER(H1538),H1538&lt;=2),1,0)</f>
        <v>0</v>
      </c>
      <c r="J1538" s="2" t="str">
        <f aca="false">IF(I1538&gt;=6,"High",IF(I1538&gt;=3,"Medium","Low"))</f>
        <v>Low</v>
      </c>
    </row>
    <row r="1539" customFormat="false" ht="15" hidden="false" customHeight="true" outlineLevel="0" collapsed="false">
      <c r="A1539" s="2" t="n">
        <f aca="false">'Raw Data'!H1539</f>
        <v>1538</v>
      </c>
      <c r="B1539" s="2" t="n">
        <f aca="false">'Raw Data'!A1539</f>
        <v>31</v>
      </c>
      <c r="C1539" s="2" t="str">
        <f aca="false">'Raw Data'!D1539</f>
        <v>Research &amp; Development</v>
      </c>
      <c r="D1539" s="2" t="str">
        <f aca="false">'Raw Data'!K1539</f>
        <v>Manager</v>
      </c>
      <c r="E1539" s="2" t="n">
        <f aca="false">'Raw Data'!Q1539</f>
        <v>10</v>
      </c>
      <c r="F1539" s="2" t="n">
        <f aca="false">'Raw Data'!U1539</f>
        <v>9</v>
      </c>
      <c r="G1539" s="2" t="n">
        <f aca="false">'Raw Data'!W1539</f>
        <v>3</v>
      </c>
      <c r="H1539" s="2" t="n">
        <f aca="false">'Raw Data'!V1539</f>
        <v>3</v>
      </c>
      <c r="I1539" s="2" t="n">
        <f aca="false">IF(AND(ISNUMBER(B1539),B1539&lt;=25),2,0)+IF(AND(ISNUMBER(E1539),E1539&lt;=5),2,0)+IF(AND(ISNUMBER(F1539),F1539&lt;=1),2,0)+IF(AND(ISNUMBER(G1539),G1539&lt;=2),1,0)+IF(AND(ISNUMBER(H1539),H1539&lt;=2),1,0)</f>
        <v>0</v>
      </c>
      <c r="J1539" s="2" t="str">
        <f aca="false">IF(I1539&gt;=6,"High",IF(I1539&gt;=3,"Medium","Low"))</f>
        <v>Low</v>
      </c>
    </row>
    <row r="1540" customFormat="false" ht="15" hidden="false" customHeight="true" outlineLevel="0" collapsed="false">
      <c r="A1540" s="2" t="n">
        <f aca="false">'Raw Data'!H1540</f>
        <v>1539</v>
      </c>
      <c r="B1540" s="2" t="n">
        <f aca="false">'Raw Data'!A1540</f>
        <v>39</v>
      </c>
      <c r="C1540" s="2" t="str">
        <f aca="false">'Raw Data'!D1540</f>
        <v>Research &amp; Development</v>
      </c>
      <c r="D1540" s="2" t="str">
        <f aca="false">'Raw Data'!K1540</f>
        <v>Research Scientist</v>
      </c>
      <c r="E1540" s="2" t="n">
        <f aca="false">'Raw Data'!Q1540</f>
        <v>21</v>
      </c>
      <c r="F1540" s="2" t="n">
        <f aca="false">'Raw Data'!U1540</f>
        <v>3</v>
      </c>
      <c r="G1540" s="2" t="n">
        <f aca="false">'Raw Data'!W1540</f>
        <v>4</v>
      </c>
      <c r="H1540" s="2" t="n">
        <f aca="false">'Raw Data'!V1540</f>
        <v>3</v>
      </c>
      <c r="I1540" s="2" t="n">
        <f aca="false">IF(AND(ISNUMBER(B1540),B1540&lt;=25),2,0)+IF(AND(ISNUMBER(E1540),E1540&lt;=5),2,0)+IF(AND(ISNUMBER(F1540),F1540&lt;=1),2,0)+IF(AND(ISNUMBER(G1540),G1540&lt;=2),1,0)+IF(AND(ISNUMBER(H1540),H1540&lt;=2),1,0)</f>
        <v>0</v>
      </c>
      <c r="J1540" s="2" t="str">
        <f aca="false">IF(I1540&gt;=6,"High",IF(I1540&gt;=3,"Medium","Low"))</f>
        <v>Low</v>
      </c>
    </row>
    <row r="1541" customFormat="false" ht="15" hidden="false" customHeight="true" outlineLevel="0" collapsed="false">
      <c r="A1541" s="2" t="n">
        <f aca="false">'Raw Data'!H1541</f>
        <v>1540</v>
      </c>
      <c r="B1541" s="2" t="n">
        <f aca="false">'Raw Data'!A1541</f>
        <v>39</v>
      </c>
      <c r="C1541" s="2" t="str">
        <f aca="false">'Raw Data'!D1541</f>
        <v>Research &amp; Development</v>
      </c>
      <c r="D1541" s="2" t="str">
        <f aca="false">'Raw Data'!K1541</f>
        <v>Laboratory Technician</v>
      </c>
      <c r="E1541" s="2" t="n">
        <f aca="false">'Raw Data'!Q1541</f>
        <v>12</v>
      </c>
      <c r="F1541" s="2" t="n">
        <f aca="false">'Raw Data'!U1541</f>
        <v>0</v>
      </c>
      <c r="G1541" s="2" t="n">
        <f aca="false">'Raw Data'!W1541</f>
        <v>3</v>
      </c>
      <c r="H1541" s="2" t="n">
        <f aca="false">'Raw Data'!V1541</f>
        <v>4</v>
      </c>
      <c r="I1541" s="2" t="n">
        <f aca="false">IF(AND(ISNUMBER(B1541),B1541&lt;=25),2,0)+IF(AND(ISNUMBER(E1541),E1541&lt;=5),2,0)+IF(AND(ISNUMBER(F1541),F1541&lt;=1),2,0)+IF(AND(ISNUMBER(G1541),G1541&lt;=2),1,0)+IF(AND(ISNUMBER(H1541),H1541&lt;=2),1,0)</f>
        <v>2</v>
      </c>
      <c r="J1541" s="2" t="str">
        <f aca="false">IF(I1541&gt;=6,"High",IF(I1541&gt;=3,"Medium","Low"))</f>
        <v>Low</v>
      </c>
    </row>
    <row r="1542" customFormat="false" ht="15" hidden="false" customHeight="true" outlineLevel="0" collapsed="false">
      <c r="A1542" s="2" t="n">
        <f aca="false">'Raw Data'!H1542</f>
        <v>1541</v>
      </c>
      <c r="B1542" s="2" t="n">
        <f aca="false">'Raw Data'!A1542</f>
        <v>33</v>
      </c>
      <c r="C1542" s="2" t="str">
        <f aca="false">'Raw Data'!D1542</f>
        <v>Sales</v>
      </c>
      <c r="D1542" s="2" t="str">
        <f aca="false">'Raw Data'!K1542</f>
        <v>Research Scientist</v>
      </c>
      <c r="E1542" s="2" t="n">
        <f aca="false">'Raw Data'!Q1542</f>
        <v>9</v>
      </c>
      <c r="F1542" s="2" t="n">
        <f aca="false">'Raw Data'!U1542</f>
        <v>1</v>
      </c>
      <c r="G1542" s="2" t="n">
        <f aca="false">'Raw Data'!W1542</f>
        <v>4</v>
      </c>
      <c r="H1542" s="2" t="n">
        <f aca="false">'Raw Data'!V1542</f>
        <v>2</v>
      </c>
      <c r="I1542" s="2" t="n">
        <f aca="false">IF(AND(ISNUMBER(B1542),B1542&lt;=25),2,0)+IF(AND(ISNUMBER(E1542),E1542&lt;=5),2,0)+IF(AND(ISNUMBER(F1542),F1542&lt;=1),2,0)+IF(AND(ISNUMBER(G1542),G1542&lt;=2),1,0)+IF(AND(ISNUMBER(H1542),H1542&lt;=2),1,0)</f>
        <v>3</v>
      </c>
      <c r="J1542" s="2" t="str">
        <f aca="false">IF(I1542&gt;=6,"High",IF(I1542&gt;=3,"Medium","Low"))</f>
        <v>Medium</v>
      </c>
    </row>
    <row r="1543" customFormat="false" ht="15" hidden="false" customHeight="true" outlineLevel="0" collapsed="false">
      <c r="A1543" s="2" t="n">
        <f aca="false">'Raw Data'!H1543</f>
        <v>1542</v>
      </c>
      <c r="B1543" s="2" t="n">
        <f aca="false">'Raw Data'!A1543</f>
        <v>47</v>
      </c>
      <c r="C1543" s="2" t="str">
        <f aca="false">'Raw Data'!D1543</f>
        <v>Research &amp; Development</v>
      </c>
      <c r="D1543" s="2" t="str">
        <f aca="false">'Raw Data'!K1543</f>
        <v>Healthcare Representative</v>
      </c>
      <c r="E1543" s="2" t="n">
        <f aca="false">'Raw Data'!Q1543</f>
        <v>21</v>
      </c>
      <c r="F1543" s="2" t="n">
        <f aca="false">'Raw Data'!U1543</f>
        <v>1</v>
      </c>
      <c r="G1543" s="2" t="n">
        <f aca="false">'Raw Data'!W1543</f>
        <v>3</v>
      </c>
      <c r="H1543" s="2" t="n">
        <f aca="false">'Raw Data'!V1543</f>
        <v>4</v>
      </c>
      <c r="I1543" s="2" t="n">
        <f aca="false">IF(AND(ISNUMBER(B1543),B1543&lt;=25),2,0)+IF(AND(ISNUMBER(E1543),E1543&lt;=5),2,0)+IF(AND(ISNUMBER(F1543),F1543&lt;=1),2,0)+IF(AND(ISNUMBER(G1543),G1543&lt;=2),1,0)+IF(AND(ISNUMBER(H1543),H1543&lt;=2),1,0)</f>
        <v>2</v>
      </c>
      <c r="J1543" s="2" t="str">
        <f aca="false">IF(I1543&gt;=6,"High",IF(I1543&gt;=3,"Medium","Low"))</f>
        <v>Low</v>
      </c>
    </row>
    <row r="1544" customFormat="false" ht="15" hidden="false" customHeight="true" outlineLevel="0" collapsed="false">
      <c r="A1544" s="2" t="n">
        <f aca="false">'Raw Data'!H1544</f>
        <v>1543</v>
      </c>
      <c r="B1544" s="2" t="n">
        <f aca="false">'Raw Data'!A1544</f>
        <v>43</v>
      </c>
      <c r="C1544" s="2" t="str">
        <f aca="false">'Raw Data'!D1544</f>
        <v>Research &amp; Development</v>
      </c>
      <c r="D1544" s="2" t="str">
        <f aca="false">'Raw Data'!K1544</f>
        <v>Research Director</v>
      </c>
      <c r="E1544" s="2" t="n">
        <f aca="false">'Raw Data'!Q1544</f>
        <v>9</v>
      </c>
      <c r="F1544" s="2" t="n">
        <f aca="false">'Raw Data'!U1544</f>
        <v>0</v>
      </c>
      <c r="G1544" s="2" t="n">
        <f aca="false">'Raw Data'!W1544</f>
        <v>3</v>
      </c>
      <c r="H1544" s="2" t="n">
        <f aca="false">'Raw Data'!V1544</f>
        <v>3</v>
      </c>
      <c r="I1544" s="2" t="n">
        <f aca="false">IF(AND(ISNUMBER(B1544),B1544&lt;=25),2,0)+IF(AND(ISNUMBER(E1544),E1544&lt;=5),2,0)+IF(AND(ISNUMBER(F1544),F1544&lt;=1),2,0)+IF(AND(ISNUMBER(G1544),G1544&lt;=2),1,0)+IF(AND(ISNUMBER(H1544),H1544&lt;=2),1,0)</f>
        <v>2</v>
      </c>
      <c r="J1544" s="2" t="str">
        <f aca="false">IF(I1544&gt;=6,"High",IF(I1544&gt;=3,"Medium","Low"))</f>
        <v>Low</v>
      </c>
    </row>
    <row r="1545" customFormat="false" ht="15" hidden="false" customHeight="true" outlineLevel="0" collapsed="false">
      <c r="A1545" s="2" t="n">
        <f aca="false">'Raw Data'!H1545</f>
        <v>1544</v>
      </c>
      <c r="B1545" s="2" t="n">
        <f aca="false">'Raw Data'!A1545</f>
        <v>27</v>
      </c>
      <c r="C1545" s="2" t="str">
        <f aca="false">'Raw Data'!D1545</f>
        <v>Research &amp; Development</v>
      </c>
      <c r="D1545" s="2" t="str">
        <f aca="false">'Raw Data'!K1545</f>
        <v>Research Director</v>
      </c>
      <c r="E1545" s="2" t="n">
        <f aca="false">'Raw Data'!Q1545</f>
        <v>6</v>
      </c>
      <c r="F1545" s="2" t="n">
        <f aca="false">'Raw Data'!U1545</f>
        <v>4</v>
      </c>
      <c r="G1545" s="2" t="n">
        <f aca="false">'Raw Data'!W1545</f>
        <v>2</v>
      </c>
      <c r="H1545" s="2" t="n">
        <f aca="false">'Raw Data'!V1545</f>
        <v>3</v>
      </c>
      <c r="I1545" s="2" t="n">
        <f aca="false">IF(AND(ISNUMBER(B1545),B1545&lt;=25),2,0)+IF(AND(ISNUMBER(E1545),E1545&lt;=5),2,0)+IF(AND(ISNUMBER(F1545),F1545&lt;=1),2,0)+IF(AND(ISNUMBER(G1545),G1545&lt;=2),1,0)+IF(AND(ISNUMBER(H1545),H1545&lt;=2),1,0)</f>
        <v>1</v>
      </c>
      <c r="J1545" s="2" t="str">
        <f aca="false">IF(I1545&gt;=6,"High",IF(I1545&gt;=3,"Medium","Low"))</f>
        <v>Low</v>
      </c>
    </row>
    <row r="1546" customFormat="false" ht="15" hidden="false" customHeight="true" outlineLevel="0" collapsed="false">
      <c r="A1546" s="2" t="n">
        <f aca="false">'Raw Data'!H1546</f>
        <v>1545</v>
      </c>
      <c r="B1546" s="2" t="n">
        <f aca="false">'Raw Data'!A1546</f>
        <v>54</v>
      </c>
      <c r="C1546" s="2" t="str">
        <f aca="false">'Raw Data'!D1546</f>
        <v>Research &amp; Development</v>
      </c>
      <c r="D1546" s="2" t="str">
        <f aca="false">'Raw Data'!K1546</f>
        <v>Research Scientist</v>
      </c>
      <c r="E1546" s="2" t="n">
        <f aca="false">'Raw Data'!Q1546</f>
        <v>20</v>
      </c>
      <c r="F1546" s="2" t="n">
        <f aca="false">'Raw Data'!U1546</f>
        <v>3</v>
      </c>
      <c r="G1546" s="2" t="n">
        <f aca="false">'Raw Data'!W1546</f>
        <v>3</v>
      </c>
      <c r="H1546" s="2" t="n">
        <f aca="false">'Raw Data'!V1546</f>
        <v>4</v>
      </c>
      <c r="I1546" s="2" t="n">
        <f aca="false">IF(AND(ISNUMBER(B1546),B1546&lt;=25),2,0)+IF(AND(ISNUMBER(E1546),E1546&lt;=5),2,0)+IF(AND(ISNUMBER(F1546),F1546&lt;=1),2,0)+IF(AND(ISNUMBER(G1546),G1546&lt;=2),1,0)+IF(AND(ISNUMBER(H1546),H1546&lt;=2),1,0)</f>
        <v>0</v>
      </c>
      <c r="J1546" s="2" t="str">
        <f aca="false">IF(I1546&gt;=6,"High",IF(I1546&gt;=3,"Medium","Low"))</f>
        <v>Low</v>
      </c>
    </row>
    <row r="1547" customFormat="false" ht="15" hidden="false" customHeight="true" outlineLevel="0" collapsed="false">
      <c r="A1547" s="2" t="n">
        <f aca="false">'Raw Data'!H1547</f>
        <v>1546</v>
      </c>
      <c r="B1547" s="2" t="n">
        <f aca="false">'Raw Data'!A1547</f>
        <v>43</v>
      </c>
      <c r="C1547" s="2" t="str">
        <f aca="false">'Raw Data'!D1547</f>
        <v>Research &amp; Development</v>
      </c>
      <c r="D1547" s="2" t="str">
        <f aca="false">'Raw Data'!K1547</f>
        <v>Manager</v>
      </c>
      <c r="E1547" s="2" t="n">
        <f aca="false">'Raw Data'!Q1547</f>
        <v>10</v>
      </c>
      <c r="F1547" s="2" t="n">
        <f aca="false">'Raw Data'!U1547</f>
        <v>0</v>
      </c>
      <c r="G1547" s="2" t="n">
        <f aca="false">'Raw Data'!W1547</f>
        <v>1</v>
      </c>
      <c r="H1547" s="2" t="n">
        <f aca="false">'Raw Data'!V1547</f>
        <v>3</v>
      </c>
      <c r="I1547" s="2" t="n">
        <f aca="false">IF(AND(ISNUMBER(B1547),B1547&lt;=25),2,0)+IF(AND(ISNUMBER(E1547),E1547&lt;=5),2,0)+IF(AND(ISNUMBER(F1547),F1547&lt;=1),2,0)+IF(AND(ISNUMBER(G1547),G1547&lt;=2),1,0)+IF(AND(ISNUMBER(H1547),H1547&lt;=2),1,0)</f>
        <v>3</v>
      </c>
      <c r="J1547" s="2" t="str">
        <f aca="false">IF(I1547&gt;=6,"High",IF(I1547&gt;=3,"Medium","Low"))</f>
        <v>Medium</v>
      </c>
    </row>
    <row r="1548" customFormat="false" ht="15" hidden="false" customHeight="true" outlineLevel="0" collapsed="false">
      <c r="A1548" s="2" t="n">
        <f aca="false">'Raw Data'!H1548</f>
        <v>1547</v>
      </c>
      <c r="B1548" s="2" t="n">
        <f aca="false">'Raw Data'!A1548</f>
        <v>45</v>
      </c>
      <c r="C1548" s="2" t="str">
        <f aca="false">'Raw Data'!D1548</f>
        <v>Sales</v>
      </c>
      <c r="D1548" s="2" t="str">
        <f aca="false">'Raw Data'!K1548</f>
        <v>Sales Executive</v>
      </c>
      <c r="E1548" s="2" t="n">
        <f aca="false">'Raw Data'!Q1548</f>
        <v>12</v>
      </c>
      <c r="F1548" s="2" t="n">
        <f aca="false">'Raw Data'!U1548</f>
        <v>8</v>
      </c>
      <c r="G1548" s="2" t="n">
        <f aca="false">'Raw Data'!W1548</f>
        <v>4</v>
      </c>
      <c r="H1548" s="2" t="n">
        <f aca="false">'Raw Data'!V1548</f>
        <v>4</v>
      </c>
      <c r="I1548" s="2" t="n">
        <f aca="false">IF(AND(ISNUMBER(B1548),B1548&lt;=25),2,0)+IF(AND(ISNUMBER(E1548),E1548&lt;=5),2,0)+IF(AND(ISNUMBER(F1548),F1548&lt;=1),2,0)+IF(AND(ISNUMBER(G1548),G1548&lt;=2),1,0)+IF(AND(ISNUMBER(H1548),H1548&lt;=2),1,0)</f>
        <v>0</v>
      </c>
      <c r="J1548" s="2" t="str">
        <f aca="false">IF(I1548&gt;=6,"High",IF(I1548&gt;=3,"Medium","Low"))</f>
        <v>Low</v>
      </c>
    </row>
    <row r="1549" customFormat="false" ht="15" hidden="false" customHeight="true" outlineLevel="0" collapsed="false">
      <c r="A1549" s="2" t="n">
        <f aca="false">'Raw Data'!H1549</f>
        <v>1548</v>
      </c>
      <c r="B1549" s="2" t="n">
        <f aca="false">'Raw Data'!A1549</f>
        <v>40</v>
      </c>
      <c r="C1549" s="2" t="str">
        <f aca="false">'Raw Data'!D1549</f>
        <v>Research &amp; Development</v>
      </c>
      <c r="D1549" s="2" t="str">
        <f aca="false">'Raw Data'!K1549</f>
        <v>Research Scientist</v>
      </c>
      <c r="E1549" s="2" t="n">
        <f aca="false">'Raw Data'!Q1549</f>
        <v>6</v>
      </c>
      <c r="F1549" s="2" t="n">
        <f aca="false">'Raw Data'!U1549</f>
        <v>2</v>
      </c>
      <c r="G1549" s="2" t="n">
        <f aca="false">'Raw Data'!W1549</f>
        <v>4</v>
      </c>
      <c r="H1549" s="2" t="n">
        <f aca="false">'Raw Data'!V1549</f>
        <v>2</v>
      </c>
      <c r="I1549" s="2" t="n">
        <f aca="false">IF(AND(ISNUMBER(B1549),B1549&lt;=25),2,0)+IF(AND(ISNUMBER(E1549),E1549&lt;=5),2,0)+IF(AND(ISNUMBER(F1549),F1549&lt;=1),2,0)+IF(AND(ISNUMBER(G1549),G1549&lt;=2),1,0)+IF(AND(ISNUMBER(H1549),H1549&lt;=2),1,0)</f>
        <v>1</v>
      </c>
      <c r="J1549" s="2" t="str">
        <f aca="false">IF(I1549&gt;=6,"High",IF(I1549&gt;=3,"Medium","Low"))</f>
        <v>Low</v>
      </c>
    </row>
    <row r="1550" customFormat="false" ht="15" hidden="false" customHeight="true" outlineLevel="0" collapsed="false">
      <c r="A1550" s="2" t="n">
        <f aca="false">'Raw Data'!H1550</f>
        <v>1549</v>
      </c>
      <c r="B1550" s="2" t="n">
        <f aca="false">'Raw Data'!A1550</f>
        <v>29</v>
      </c>
      <c r="C1550" s="2" t="str">
        <f aca="false">'Raw Data'!D1550</f>
        <v>Research &amp; Development</v>
      </c>
      <c r="D1550" s="2" t="str">
        <f aca="false">'Raw Data'!K1550</f>
        <v>Research Scientist</v>
      </c>
      <c r="E1550" s="2" t="n">
        <f aca="false">'Raw Data'!Q1550</f>
        <v>7</v>
      </c>
      <c r="F1550" s="2" t="n">
        <f aca="false">'Raw Data'!U1550</f>
        <v>7</v>
      </c>
      <c r="G1550" s="2" t="n">
        <f aca="false">'Raw Data'!W1550</f>
        <v>1</v>
      </c>
      <c r="H1550" s="2" t="n">
        <f aca="false">'Raw Data'!V1550</f>
        <v>2</v>
      </c>
      <c r="I1550" s="2" t="n">
        <f aca="false">IF(AND(ISNUMBER(B1550),B1550&lt;=25),2,0)+IF(AND(ISNUMBER(E1550),E1550&lt;=5),2,0)+IF(AND(ISNUMBER(F1550),F1550&lt;=1),2,0)+IF(AND(ISNUMBER(G1550),G1550&lt;=2),1,0)+IF(AND(ISNUMBER(H1550),H1550&lt;=2),1,0)</f>
        <v>2</v>
      </c>
      <c r="J1550" s="2" t="str">
        <f aca="false">IF(I1550&gt;=6,"High",IF(I1550&gt;=3,"Medium","Low"))</f>
        <v>Low</v>
      </c>
    </row>
    <row r="1551" customFormat="false" ht="15" hidden="false" customHeight="true" outlineLevel="0" collapsed="false">
      <c r="A1551" s="2" t="n">
        <f aca="false">'Raw Data'!H1551</f>
        <v>1550</v>
      </c>
      <c r="B1551" s="2" t="n">
        <f aca="false">'Raw Data'!A1551</f>
        <v>29</v>
      </c>
      <c r="C1551" s="2" t="str">
        <f aca="false">'Raw Data'!D1551</f>
        <v>Human Resources</v>
      </c>
      <c r="D1551" s="2" t="str">
        <f aca="false">'Raw Data'!K1551</f>
        <v>Sales Representative</v>
      </c>
      <c r="E1551" s="2" t="n">
        <f aca="false">'Raw Data'!Q1551</f>
        <v>4</v>
      </c>
      <c r="F1551" s="2" t="n">
        <f aca="false">'Raw Data'!U1551</f>
        <v>2</v>
      </c>
      <c r="G1551" s="2" t="n">
        <f aca="false">'Raw Data'!W1551</f>
        <v>4</v>
      </c>
      <c r="H1551" s="2" t="n">
        <f aca="false">'Raw Data'!V1551</f>
        <v>2</v>
      </c>
      <c r="I1551" s="2" t="n">
        <f aca="false">IF(AND(ISNUMBER(B1551),B1551&lt;=25),2,0)+IF(AND(ISNUMBER(E1551),E1551&lt;=5),2,0)+IF(AND(ISNUMBER(F1551),F1551&lt;=1),2,0)+IF(AND(ISNUMBER(G1551),G1551&lt;=2),1,0)+IF(AND(ISNUMBER(H1551),H1551&lt;=2),1,0)</f>
        <v>3</v>
      </c>
      <c r="J1551" s="2" t="str">
        <f aca="false">IF(I1551&gt;=6,"High",IF(I1551&gt;=3,"Medium","Low"))</f>
        <v>Medium</v>
      </c>
    </row>
    <row r="1552" customFormat="false" ht="15" hidden="false" customHeight="true" outlineLevel="0" collapsed="false">
      <c r="A1552" s="2" t="n">
        <f aca="false">'Raw Data'!H1552</f>
        <v>1551</v>
      </c>
      <c r="B1552" s="2" t="n">
        <f aca="false">'Raw Data'!A1552</f>
        <v>30</v>
      </c>
      <c r="C1552" s="2" t="str">
        <f aca="false">'Raw Data'!D1552</f>
        <v>Research &amp; Development</v>
      </c>
      <c r="D1552" s="2" t="str">
        <f aca="false">'Raw Data'!K1552</f>
        <v>Research Scientist</v>
      </c>
      <c r="E1552" s="2" t="n">
        <f aca="false">'Raw Data'!Q1552</f>
        <v>10</v>
      </c>
      <c r="F1552" s="2" t="n">
        <f aca="false">'Raw Data'!U1552</f>
        <v>2</v>
      </c>
      <c r="G1552" s="2" t="n">
        <f aca="false">'Raw Data'!W1552</f>
        <v>3</v>
      </c>
      <c r="H1552" s="2" t="n">
        <f aca="false">'Raw Data'!V1552</f>
        <v>4</v>
      </c>
      <c r="I1552" s="2" t="n">
        <f aca="false">IF(AND(ISNUMBER(B1552),B1552&lt;=25),2,0)+IF(AND(ISNUMBER(E1552),E1552&lt;=5),2,0)+IF(AND(ISNUMBER(F1552),F1552&lt;=1),2,0)+IF(AND(ISNUMBER(G1552),G1552&lt;=2),1,0)+IF(AND(ISNUMBER(H1552),H1552&lt;=2),1,0)</f>
        <v>0</v>
      </c>
      <c r="J1552" s="2" t="str">
        <f aca="false">IF(I1552&gt;=6,"High",IF(I1552&gt;=3,"Medium","Low"))</f>
        <v>Low</v>
      </c>
    </row>
    <row r="1553" customFormat="false" ht="15" hidden="false" customHeight="true" outlineLevel="0" collapsed="false">
      <c r="A1553" s="2" t="n">
        <f aca="false">'Raw Data'!H1553</f>
        <v>1552</v>
      </c>
      <c r="B1553" s="2" t="n">
        <f aca="false">'Raw Data'!A1553</f>
        <v>27</v>
      </c>
      <c r="C1553" s="2" t="str">
        <f aca="false">'Raw Data'!D1553</f>
        <v>Research &amp; Development</v>
      </c>
      <c r="D1553" s="2" t="str">
        <f aca="false">'Raw Data'!K1553</f>
        <v>Manager</v>
      </c>
      <c r="E1553" s="2" t="n">
        <f aca="false">'Raw Data'!Q1553</f>
        <v>8</v>
      </c>
      <c r="F1553" s="2" t="n">
        <f aca="false">'Raw Data'!U1553</f>
        <v>7</v>
      </c>
      <c r="G1553" s="2" t="n">
        <f aca="false">'Raw Data'!W1553</f>
        <v>2</v>
      </c>
      <c r="H1553" s="2" t="n">
        <f aca="false">'Raw Data'!V1553</f>
        <v>2</v>
      </c>
      <c r="I1553" s="2" t="n">
        <f aca="false">IF(AND(ISNUMBER(B1553),B1553&lt;=25),2,0)+IF(AND(ISNUMBER(E1553),E1553&lt;=5),2,0)+IF(AND(ISNUMBER(F1553),F1553&lt;=1),2,0)+IF(AND(ISNUMBER(G1553),G1553&lt;=2),1,0)+IF(AND(ISNUMBER(H1553),H1553&lt;=2),1,0)</f>
        <v>2</v>
      </c>
      <c r="J1553" s="2" t="str">
        <f aca="false">IF(I1553&gt;=6,"High",IF(I1553&gt;=3,"Medium","Low"))</f>
        <v>Low</v>
      </c>
    </row>
    <row r="1554" customFormat="false" ht="15" hidden="false" customHeight="true" outlineLevel="0" collapsed="false">
      <c r="A1554" s="2" t="n">
        <f aca="false">'Raw Data'!H1554</f>
        <v>1553</v>
      </c>
      <c r="B1554" s="2" t="n">
        <f aca="false">'Raw Data'!A1554</f>
        <v>37</v>
      </c>
      <c r="C1554" s="2" t="str">
        <f aca="false">'Raw Data'!D1554</f>
        <v>Sales</v>
      </c>
      <c r="D1554" s="2" t="str">
        <f aca="false">'Raw Data'!K1554</f>
        <v>Healthcare Representative</v>
      </c>
      <c r="E1554" s="2" t="n">
        <f aca="false">'Raw Data'!Q1554</f>
        <v>8</v>
      </c>
      <c r="F1554" s="2" t="n">
        <f aca="false">'Raw Data'!U1554</f>
        <v>4</v>
      </c>
      <c r="G1554" s="2" t="n">
        <f aca="false">'Raw Data'!W1554</f>
        <v>4</v>
      </c>
      <c r="H1554" s="2" t="n">
        <f aca="false">'Raw Data'!V1554</f>
        <v>4</v>
      </c>
      <c r="I1554" s="2" t="n">
        <f aca="false">IF(AND(ISNUMBER(B1554),B1554&lt;=25),2,0)+IF(AND(ISNUMBER(E1554),E1554&lt;=5),2,0)+IF(AND(ISNUMBER(F1554),F1554&lt;=1),2,0)+IF(AND(ISNUMBER(G1554),G1554&lt;=2),1,0)+IF(AND(ISNUMBER(H1554),H1554&lt;=2),1,0)</f>
        <v>0</v>
      </c>
      <c r="J1554" s="2" t="str">
        <f aca="false">IF(I1554&gt;=6,"High",IF(I1554&gt;=3,"Medium","Low"))</f>
        <v>Low</v>
      </c>
    </row>
    <row r="1555" customFormat="false" ht="15" hidden="false" customHeight="true" outlineLevel="0" collapsed="false">
      <c r="A1555" s="2" t="n">
        <f aca="false">'Raw Data'!H1555</f>
        <v>1554</v>
      </c>
      <c r="B1555" s="2" t="n">
        <f aca="false">'Raw Data'!A1555</f>
        <v>38</v>
      </c>
      <c r="C1555" s="2" t="str">
        <f aca="false">'Raw Data'!D1555</f>
        <v>Research &amp; Development</v>
      </c>
      <c r="D1555" s="2" t="str">
        <f aca="false">'Raw Data'!K1555</f>
        <v>Laboratory Technician</v>
      </c>
      <c r="E1555" s="2" t="n">
        <f aca="false">'Raw Data'!Q1555</f>
        <v>12</v>
      </c>
      <c r="F1555" s="2" t="n">
        <f aca="false">'Raw Data'!U1555</f>
        <v>9</v>
      </c>
      <c r="G1555" s="2" t="n">
        <f aca="false">'Raw Data'!W1555</f>
        <v>4</v>
      </c>
      <c r="H1555" s="2" t="n">
        <f aca="false">'Raw Data'!V1555</f>
        <v>3</v>
      </c>
      <c r="I1555" s="2" t="n">
        <f aca="false">IF(AND(ISNUMBER(B1555),B1555&lt;=25),2,0)+IF(AND(ISNUMBER(E1555),E1555&lt;=5),2,0)+IF(AND(ISNUMBER(F1555),F1555&lt;=1),2,0)+IF(AND(ISNUMBER(G1555),G1555&lt;=2),1,0)+IF(AND(ISNUMBER(H1555),H1555&lt;=2),1,0)</f>
        <v>0</v>
      </c>
      <c r="J1555" s="2" t="str">
        <f aca="false">IF(I1555&gt;=6,"High",IF(I1555&gt;=3,"Medium","Low"))</f>
        <v>Low</v>
      </c>
    </row>
    <row r="1556" customFormat="false" ht="15" hidden="false" customHeight="true" outlineLevel="0" collapsed="false">
      <c r="A1556" s="2" t="n">
        <f aca="false">'Raw Data'!H1556</f>
        <v>1555</v>
      </c>
      <c r="B1556" s="2" t="n">
        <f aca="false">'Raw Data'!A1556</f>
        <v>31</v>
      </c>
      <c r="C1556" s="2" t="str">
        <f aca="false">'Raw Data'!D1556</f>
        <v>Research &amp; Development</v>
      </c>
      <c r="D1556" s="2" t="str">
        <f aca="false">'Raw Data'!K1556</f>
        <v>Manager</v>
      </c>
      <c r="E1556" s="2" t="n">
        <f aca="false">'Raw Data'!Q1556</f>
        <v>11</v>
      </c>
      <c r="F1556" s="2" t="n">
        <f aca="false">'Raw Data'!U1556</f>
        <v>10</v>
      </c>
      <c r="G1556" s="2" t="n">
        <f aca="false">'Raw Data'!W1556</f>
        <v>4</v>
      </c>
      <c r="H1556" s="2" t="n">
        <f aca="false">'Raw Data'!V1556</f>
        <v>3</v>
      </c>
      <c r="I1556" s="2" t="n">
        <f aca="false">IF(AND(ISNUMBER(B1556),B1556&lt;=25),2,0)+IF(AND(ISNUMBER(E1556),E1556&lt;=5),2,0)+IF(AND(ISNUMBER(F1556),F1556&lt;=1),2,0)+IF(AND(ISNUMBER(G1556),G1556&lt;=2),1,0)+IF(AND(ISNUMBER(H1556),H1556&lt;=2),1,0)</f>
        <v>0</v>
      </c>
      <c r="J1556" s="2" t="str">
        <f aca="false">IF(I1556&gt;=6,"High",IF(I1556&gt;=3,"Medium","Low"))</f>
        <v>Low</v>
      </c>
    </row>
    <row r="1557" customFormat="false" ht="15" hidden="false" customHeight="true" outlineLevel="0" collapsed="false">
      <c r="A1557" s="2" t="n">
        <f aca="false">'Raw Data'!H1557</f>
        <v>1556</v>
      </c>
      <c r="B1557" s="2" t="n">
        <f aca="false">'Raw Data'!A1557</f>
        <v>29</v>
      </c>
      <c r="C1557" s="2" t="str">
        <f aca="false">'Raw Data'!D1557</f>
        <v>Research &amp; Development</v>
      </c>
      <c r="D1557" s="2" t="str">
        <f aca="false">'Raw Data'!K1557</f>
        <v>Sales Executive</v>
      </c>
      <c r="E1557" s="2" t="n">
        <f aca="false">'Raw Data'!Q1557</f>
        <v>7</v>
      </c>
      <c r="F1557" s="2" t="n">
        <f aca="false">'Raw Data'!U1557</f>
        <v>7</v>
      </c>
      <c r="G1557" s="2" t="n">
        <f aca="false">'Raw Data'!W1557</f>
        <v>2</v>
      </c>
      <c r="H1557" s="2" t="n">
        <f aca="false">'Raw Data'!V1557</f>
        <v>4</v>
      </c>
      <c r="I1557" s="2" t="n">
        <f aca="false">IF(AND(ISNUMBER(B1557),B1557&lt;=25),2,0)+IF(AND(ISNUMBER(E1557),E1557&lt;=5),2,0)+IF(AND(ISNUMBER(F1557),F1557&lt;=1),2,0)+IF(AND(ISNUMBER(G1557),G1557&lt;=2),1,0)+IF(AND(ISNUMBER(H1557),H1557&lt;=2),1,0)</f>
        <v>1</v>
      </c>
      <c r="J1557" s="2" t="str">
        <f aca="false">IF(I1557&gt;=6,"High",IF(I1557&gt;=3,"Medium","Low"))</f>
        <v>Low</v>
      </c>
    </row>
    <row r="1558" customFormat="false" ht="15" hidden="false" customHeight="true" outlineLevel="0" collapsed="false">
      <c r="A1558" s="2" t="n">
        <f aca="false">'Raw Data'!H1558</f>
        <v>1557</v>
      </c>
      <c r="B1558" s="2" t="n">
        <f aca="false">'Raw Data'!A1558</f>
        <v>35</v>
      </c>
      <c r="C1558" s="2" t="str">
        <f aca="false">'Raw Data'!D1558</f>
        <v>Sales</v>
      </c>
      <c r="D1558" s="2" t="str">
        <f aca="false">'Raw Data'!K1558</f>
        <v>Manager</v>
      </c>
      <c r="E1558" s="2" t="n">
        <f aca="false">'Raw Data'!Q1558</f>
        <v>17</v>
      </c>
      <c r="F1558" s="2" t="n">
        <f aca="false">'Raw Data'!U1558</f>
        <v>13</v>
      </c>
      <c r="G1558" s="2" t="n">
        <f aca="false">'Raw Data'!W1558</f>
        <v>2</v>
      </c>
      <c r="H1558" s="2" t="n">
        <f aca="false">'Raw Data'!V1558</f>
        <v>3</v>
      </c>
      <c r="I1558" s="2" t="n">
        <f aca="false">IF(AND(ISNUMBER(B1558),B1558&lt;=25),2,0)+IF(AND(ISNUMBER(E1558),E1558&lt;=5),2,0)+IF(AND(ISNUMBER(F1558),F1558&lt;=1),2,0)+IF(AND(ISNUMBER(G1558),G1558&lt;=2),1,0)+IF(AND(ISNUMBER(H1558),H1558&lt;=2),1,0)</f>
        <v>1</v>
      </c>
      <c r="J1558" s="2" t="str">
        <f aca="false">IF(I1558&gt;=6,"High",IF(I1558&gt;=3,"Medium","Low"))</f>
        <v>Low</v>
      </c>
    </row>
    <row r="1559" customFormat="false" ht="15" hidden="false" customHeight="true" outlineLevel="0" collapsed="false">
      <c r="A1559" s="2" t="n">
        <f aca="false">'Raw Data'!H1559</f>
        <v>1558</v>
      </c>
      <c r="B1559" s="2" t="n">
        <f aca="false">'Raw Data'!A1559</f>
        <v>23</v>
      </c>
      <c r="C1559" s="2" t="str">
        <f aca="false">'Raw Data'!D1559</f>
        <v>Research &amp; Development</v>
      </c>
      <c r="D1559" s="2" t="str">
        <f aca="false">'Raw Data'!K1559</f>
        <v>Manufacturing Director</v>
      </c>
      <c r="E1559" s="2" t="n">
        <f aca="false">'Raw Data'!Q1559</f>
        <v>4</v>
      </c>
      <c r="F1559" s="2" t="n">
        <f aca="false">'Raw Data'!U1559</f>
        <v>2</v>
      </c>
      <c r="G1559" s="2" t="n">
        <f aca="false">'Raw Data'!W1559</f>
        <v>4</v>
      </c>
      <c r="H1559" s="2" t="n">
        <f aca="false">'Raw Data'!V1559</f>
        <v>3</v>
      </c>
      <c r="I1559" s="2" t="n">
        <f aca="false">IF(AND(ISNUMBER(B1559),B1559&lt;=25),2,0)+IF(AND(ISNUMBER(E1559),E1559&lt;=5),2,0)+IF(AND(ISNUMBER(F1559),F1559&lt;=1),2,0)+IF(AND(ISNUMBER(G1559),G1559&lt;=2),1,0)+IF(AND(ISNUMBER(H1559),H1559&lt;=2),1,0)</f>
        <v>4</v>
      </c>
      <c r="J1559" s="2" t="str">
        <f aca="false">IF(I1559&gt;=6,"High",IF(I1559&gt;=3,"Medium","Low"))</f>
        <v>Medium</v>
      </c>
    </row>
    <row r="1560" customFormat="false" ht="15" hidden="false" customHeight="true" outlineLevel="0" collapsed="false">
      <c r="A1560" s="2" t="n">
        <f aca="false">'Raw Data'!H1560</f>
        <v>1559</v>
      </c>
      <c r="B1560" s="2" t="n">
        <f aca="false">'Raw Data'!A1560</f>
        <v>41</v>
      </c>
      <c r="C1560" s="2" t="str">
        <f aca="false">'Raw Data'!D1560</f>
        <v>Research &amp; Development</v>
      </c>
      <c r="D1560" s="2" t="str">
        <f aca="false">'Raw Data'!K1560</f>
        <v>Laboratory Technician</v>
      </c>
      <c r="E1560" s="2" t="n">
        <f aca="false">'Raw Data'!Q1560</f>
        <v>8</v>
      </c>
      <c r="F1560" s="2" t="n">
        <f aca="false">'Raw Data'!U1560</f>
        <v>2</v>
      </c>
      <c r="G1560" s="2" t="n">
        <f aca="false">'Raw Data'!W1560</f>
        <v>2</v>
      </c>
      <c r="H1560" s="2" t="n">
        <f aca="false">'Raw Data'!V1560</f>
        <v>4</v>
      </c>
      <c r="I1560" s="2" t="n">
        <f aca="false">IF(AND(ISNUMBER(B1560),B1560&lt;=25),2,0)+IF(AND(ISNUMBER(E1560),E1560&lt;=5),2,0)+IF(AND(ISNUMBER(F1560),F1560&lt;=1),2,0)+IF(AND(ISNUMBER(G1560),G1560&lt;=2),1,0)+IF(AND(ISNUMBER(H1560),H1560&lt;=2),1,0)</f>
        <v>1</v>
      </c>
      <c r="J1560" s="2" t="str">
        <f aca="false">IF(I1560&gt;=6,"High",IF(I1560&gt;=3,"Medium","Low"))</f>
        <v>Low</v>
      </c>
    </row>
    <row r="1561" customFormat="false" ht="15" hidden="false" customHeight="true" outlineLevel="0" collapsed="false">
      <c r="A1561" s="2" t="n">
        <f aca="false">'Raw Data'!H1561</f>
        <v>1560</v>
      </c>
      <c r="B1561" s="2" t="n">
        <f aca="false">'Raw Data'!A1561</f>
        <v>47</v>
      </c>
      <c r="C1561" s="2" t="str">
        <f aca="false">'Raw Data'!D1561</f>
        <v>Sales</v>
      </c>
      <c r="D1561" s="2" t="str">
        <f aca="false">'Raw Data'!K1561</f>
        <v>Laboratory Technician</v>
      </c>
      <c r="E1561" s="2" t="n">
        <f aca="false">'Raw Data'!Q1561</f>
        <v>5</v>
      </c>
      <c r="F1561" s="2" t="n">
        <f aca="false">'Raw Data'!U1561</f>
        <v>0</v>
      </c>
      <c r="G1561" s="2" t="n">
        <f aca="false">'Raw Data'!W1561</f>
        <v>3</v>
      </c>
      <c r="H1561" s="2" t="n">
        <f aca="false">'Raw Data'!V1561</f>
        <v>2</v>
      </c>
      <c r="I1561" s="2" t="n">
        <f aca="false">IF(AND(ISNUMBER(B1561),B1561&lt;=25),2,0)+IF(AND(ISNUMBER(E1561),E1561&lt;=5),2,0)+IF(AND(ISNUMBER(F1561),F1561&lt;=1),2,0)+IF(AND(ISNUMBER(G1561),G1561&lt;=2),1,0)+IF(AND(ISNUMBER(H1561),H1561&lt;=2),1,0)</f>
        <v>5</v>
      </c>
      <c r="J1561" s="2" t="str">
        <f aca="false">IF(I1561&gt;=6,"High",IF(I1561&gt;=3,"Medium","Low"))</f>
        <v>Medium</v>
      </c>
    </row>
    <row r="1562" customFormat="false" ht="15" hidden="false" customHeight="true" outlineLevel="0" collapsed="false">
      <c r="A1562" s="2" t="n">
        <f aca="false">'Raw Data'!H1562</f>
        <v>1561</v>
      </c>
      <c r="B1562" s="2" t="n">
        <f aca="false">'Raw Data'!A1562</f>
        <v>42</v>
      </c>
      <c r="C1562" s="2" t="str">
        <f aca="false">'Raw Data'!D1562</f>
        <v>Research &amp; Development</v>
      </c>
      <c r="D1562" s="2" t="str">
        <f aca="false">'Raw Data'!K1562</f>
        <v>Manager</v>
      </c>
      <c r="E1562" s="2" t="n">
        <f aca="false">'Raw Data'!Q1562</f>
        <v>16</v>
      </c>
      <c r="F1562" s="2" t="n">
        <f aca="false">'Raw Data'!U1562</f>
        <v>0</v>
      </c>
      <c r="G1562" s="2" t="n">
        <f aca="false">'Raw Data'!W1562</f>
        <v>4</v>
      </c>
      <c r="H1562" s="2" t="n">
        <f aca="false">'Raw Data'!V1562</f>
        <v>1</v>
      </c>
      <c r="I1562" s="2" t="n">
        <f aca="false">IF(AND(ISNUMBER(B1562),B1562&lt;=25),2,0)+IF(AND(ISNUMBER(E1562),E1562&lt;=5),2,0)+IF(AND(ISNUMBER(F1562),F1562&lt;=1),2,0)+IF(AND(ISNUMBER(G1562),G1562&lt;=2),1,0)+IF(AND(ISNUMBER(H1562),H1562&lt;=2),1,0)</f>
        <v>3</v>
      </c>
      <c r="J1562" s="2" t="str">
        <f aca="false">IF(I1562&gt;=6,"High",IF(I1562&gt;=3,"Medium","Low"))</f>
        <v>Medium</v>
      </c>
    </row>
    <row r="1563" customFormat="false" ht="15" hidden="false" customHeight="true" outlineLevel="0" collapsed="false">
      <c r="A1563" s="2" t="n">
        <f aca="false">'Raw Data'!H1563</f>
        <v>1562</v>
      </c>
      <c r="B1563" s="2" t="n">
        <f aca="false">'Raw Data'!A1563</f>
        <v>29</v>
      </c>
      <c r="C1563" s="2" t="str">
        <f aca="false">'Raw Data'!D1563</f>
        <v>Sales</v>
      </c>
      <c r="D1563" s="2" t="str">
        <f aca="false">'Raw Data'!K1563</f>
        <v>Human Resources</v>
      </c>
      <c r="E1563" s="2" t="n">
        <f aca="false">'Raw Data'!Q1563</f>
        <v>4</v>
      </c>
      <c r="F1563" s="2" t="n">
        <f aca="false">'Raw Data'!U1563</f>
        <v>2</v>
      </c>
      <c r="G1563" s="2" t="n">
        <f aca="false">'Raw Data'!W1563</f>
        <v>3</v>
      </c>
      <c r="H1563" s="2" t="n">
        <f aca="false">'Raw Data'!V1563</f>
        <v>4</v>
      </c>
      <c r="I1563" s="2" t="n">
        <f aca="false">IF(AND(ISNUMBER(B1563),B1563&lt;=25),2,0)+IF(AND(ISNUMBER(E1563),E1563&lt;=5),2,0)+IF(AND(ISNUMBER(F1563),F1563&lt;=1),2,0)+IF(AND(ISNUMBER(G1563),G1563&lt;=2),1,0)+IF(AND(ISNUMBER(H1563),H1563&lt;=2),1,0)</f>
        <v>2</v>
      </c>
      <c r="J1563" s="2" t="str">
        <f aca="false">IF(I1563&gt;=6,"High",IF(I1563&gt;=3,"Medium","Low"))</f>
        <v>Low</v>
      </c>
    </row>
    <row r="1564" customFormat="false" ht="15" hidden="false" customHeight="true" outlineLevel="0" collapsed="false">
      <c r="A1564" s="2" t="n">
        <f aca="false">'Raw Data'!H1564</f>
        <v>1563</v>
      </c>
      <c r="B1564" s="2" t="n">
        <f aca="false">'Raw Data'!A1564</f>
        <v>42</v>
      </c>
      <c r="C1564" s="2" t="str">
        <f aca="false">'Raw Data'!D1564</f>
        <v>Sales</v>
      </c>
      <c r="D1564" s="2" t="str">
        <f aca="false">'Raw Data'!K1564</f>
        <v>Research Scientist</v>
      </c>
      <c r="E1564" s="2" t="n">
        <f aca="false">'Raw Data'!Q1564</f>
        <v>4</v>
      </c>
      <c r="F1564" s="2" t="n">
        <f aca="false">'Raw Data'!U1564</f>
        <v>0</v>
      </c>
      <c r="G1564" s="2" t="n">
        <f aca="false">'Raw Data'!W1564</f>
        <v>3</v>
      </c>
      <c r="H1564" s="2" t="n">
        <f aca="false">'Raw Data'!V1564</f>
        <v>3</v>
      </c>
      <c r="I1564" s="2" t="n">
        <f aca="false">IF(AND(ISNUMBER(B1564),B1564&lt;=25),2,0)+IF(AND(ISNUMBER(E1564),E1564&lt;=5),2,0)+IF(AND(ISNUMBER(F1564),F1564&lt;=1),2,0)+IF(AND(ISNUMBER(G1564),G1564&lt;=2),1,0)+IF(AND(ISNUMBER(H1564),H1564&lt;=2),1,0)</f>
        <v>4</v>
      </c>
      <c r="J1564" s="2" t="str">
        <f aca="false">IF(I1564&gt;=6,"High",IF(I1564&gt;=3,"Medium","Low"))</f>
        <v>Medium</v>
      </c>
    </row>
    <row r="1565" customFormat="false" ht="15" hidden="false" customHeight="true" outlineLevel="0" collapsed="false">
      <c r="A1565" s="2" t="n">
        <f aca="false">'Raw Data'!H1565</f>
        <v>1564</v>
      </c>
      <c r="B1565" s="2" t="n">
        <f aca="false">'Raw Data'!A1565</f>
        <v>32</v>
      </c>
      <c r="C1565" s="2" t="str">
        <f aca="false">'Raw Data'!D1565</f>
        <v>Research &amp; Development</v>
      </c>
      <c r="D1565" s="2" t="str">
        <f aca="false">'Raw Data'!K1565</f>
        <v>Research Scientist</v>
      </c>
      <c r="E1565" s="2" t="n">
        <f aca="false">'Raw Data'!Q1565</f>
        <v>8</v>
      </c>
      <c r="F1565" s="2" t="n">
        <f aca="false">'Raw Data'!U1565</f>
        <v>7</v>
      </c>
      <c r="G1565" s="2" t="n">
        <f aca="false">'Raw Data'!W1565</f>
        <v>2</v>
      </c>
      <c r="H1565" s="2" t="n">
        <f aca="false">'Raw Data'!V1565</f>
        <v>3</v>
      </c>
      <c r="I1565" s="2" t="n">
        <f aca="false">IF(AND(ISNUMBER(B1565),B1565&lt;=25),2,0)+IF(AND(ISNUMBER(E1565),E1565&lt;=5),2,0)+IF(AND(ISNUMBER(F1565),F1565&lt;=1),2,0)+IF(AND(ISNUMBER(G1565),G1565&lt;=2),1,0)+IF(AND(ISNUMBER(H1565),H1565&lt;=2),1,0)</f>
        <v>1</v>
      </c>
      <c r="J1565" s="2" t="str">
        <f aca="false">IF(I1565&gt;=6,"High",IF(I1565&gt;=3,"Medium","Low"))</f>
        <v>Low</v>
      </c>
    </row>
    <row r="1566" customFormat="false" ht="15" hidden="false" customHeight="true" outlineLevel="0" collapsed="false">
      <c r="A1566" s="2" t="n">
        <f aca="false">'Raw Data'!H1566</f>
        <v>1565</v>
      </c>
      <c r="B1566" s="2" t="n">
        <f aca="false">'Raw Data'!A1566</f>
        <v>48</v>
      </c>
      <c r="C1566" s="2" t="str">
        <f aca="false">'Raw Data'!D1566</f>
        <v>Sales</v>
      </c>
      <c r="D1566" s="2" t="str">
        <f aca="false">'Raw Data'!K1566</f>
        <v>Sales Executive</v>
      </c>
      <c r="E1566" s="2" t="n">
        <f aca="false">'Raw Data'!Q1566</f>
        <v>15</v>
      </c>
      <c r="F1566" s="2" t="n">
        <f aca="false">'Raw Data'!U1566</f>
        <v>0</v>
      </c>
      <c r="G1566" s="2" t="n">
        <f aca="false">'Raw Data'!W1566</f>
        <v>3</v>
      </c>
      <c r="H1566" s="2" t="n">
        <f aca="false">'Raw Data'!V1566</f>
        <v>1</v>
      </c>
      <c r="I1566" s="2" t="n">
        <f aca="false">IF(AND(ISNUMBER(B1566),B1566&lt;=25),2,0)+IF(AND(ISNUMBER(E1566),E1566&lt;=5),2,0)+IF(AND(ISNUMBER(F1566),F1566&lt;=1),2,0)+IF(AND(ISNUMBER(G1566),G1566&lt;=2),1,0)+IF(AND(ISNUMBER(H1566),H1566&lt;=2),1,0)</f>
        <v>3</v>
      </c>
      <c r="J1566" s="2" t="str">
        <f aca="false">IF(I1566&gt;=6,"High",IF(I1566&gt;=3,"Medium","Low"))</f>
        <v>Medium</v>
      </c>
    </row>
    <row r="1567" customFormat="false" ht="15" hidden="false" customHeight="true" outlineLevel="0" collapsed="false">
      <c r="A1567" s="2" t="n">
        <f aca="false">'Raw Data'!H1567</f>
        <v>1566</v>
      </c>
      <c r="B1567" s="2" t="n">
        <f aca="false">'Raw Data'!A1567</f>
        <v>37</v>
      </c>
      <c r="C1567" s="2" t="str">
        <f aca="false">'Raw Data'!D1567</f>
        <v>Research &amp; Development</v>
      </c>
      <c r="D1567" s="2" t="str">
        <f aca="false">'Raw Data'!K1567</f>
        <v>Manufacturing Director</v>
      </c>
      <c r="E1567" s="2" t="n">
        <f aca="false">'Raw Data'!Q1567</f>
        <v>13</v>
      </c>
      <c r="F1567" s="2" t="n">
        <f aca="false">'Raw Data'!U1567</f>
        <v>7</v>
      </c>
      <c r="G1567" s="2" t="n">
        <f aca="false">'Raw Data'!W1567</f>
        <v>1</v>
      </c>
      <c r="H1567" s="2" t="n">
        <f aca="false">'Raw Data'!V1567</f>
        <v>3</v>
      </c>
      <c r="I1567" s="2" t="n">
        <f aca="false">IF(AND(ISNUMBER(B1567),B1567&lt;=25),2,0)+IF(AND(ISNUMBER(E1567),E1567&lt;=5),2,0)+IF(AND(ISNUMBER(F1567),F1567&lt;=1),2,0)+IF(AND(ISNUMBER(G1567),G1567&lt;=2),1,0)+IF(AND(ISNUMBER(H1567),H1567&lt;=2),1,0)</f>
        <v>1</v>
      </c>
      <c r="J1567" s="2" t="str">
        <f aca="false">IF(I1567&gt;=6,"High",IF(I1567&gt;=3,"Medium","Low"))</f>
        <v>Low</v>
      </c>
    </row>
    <row r="1568" customFormat="false" ht="15" hidden="false" customHeight="true" outlineLevel="0" collapsed="false">
      <c r="A1568" s="2" t="n">
        <f aca="false">'Raw Data'!H1568</f>
        <v>1567</v>
      </c>
      <c r="B1568" s="2" t="n">
        <f aca="false">'Raw Data'!A1568</f>
        <v>30</v>
      </c>
      <c r="C1568" s="2" t="str">
        <f aca="false">'Raw Data'!D1568</f>
        <v>Sales</v>
      </c>
      <c r="D1568" s="2" t="str">
        <f aca="false">'Raw Data'!K1568</f>
        <v>Healthcare Representative</v>
      </c>
      <c r="E1568" s="2" t="n">
        <f aca="false">'Raw Data'!Q1568</f>
        <v>4</v>
      </c>
      <c r="F1568" s="2" t="n">
        <f aca="false">'Raw Data'!U1568</f>
        <v>2</v>
      </c>
      <c r="G1568" s="2" t="n">
        <f aca="false">'Raw Data'!W1568</f>
        <v>3</v>
      </c>
      <c r="H1568" s="2" t="n">
        <f aca="false">'Raw Data'!V1568</f>
        <v>4</v>
      </c>
      <c r="I1568" s="2" t="n">
        <f aca="false">IF(AND(ISNUMBER(B1568),B1568&lt;=25),2,0)+IF(AND(ISNUMBER(E1568),E1568&lt;=5),2,0)+IF(AND(ISNUMBER(F1568),F1568&lt;=1),2,0)+IF(AND(ISNUMBER(G1568),G1568&lt;=2),1,0)+IF(AND(ISNUMBER(H1568),H1568&lt;=2),1,0)</f>
        <v>2</v>
      </c>
      <c r="J1568" s="2" t="str">
        <f aca="false">IF(I1568&gt;=6,"High",IF(I1568&gt;=3,"Medium","Low"))</f>
        <v>Low</v>
      </c>
    </row>
    <row r="1569" customFormat="false" ht="15" hidden="false" customHeight="true" outlineLevel="0" collapsed="false">
      <c r="A1569" s="2" t="n">
        <f aca="false">'Raw Data'!H1569</f>
        <v>1568</v>
      </c>
      <c r="B1569" s="2" t="n">
        <f aca="false">'Raw Data'!A1569</f>
        <v>26</v>
      </c>
      <c r="C1569" s="2" t="str">
        <f aca="false">'Raw Data'!D1569</f>
        <v>Sales</v>
      </c>
      <c r="D1569" s="2" t="str">
        <f aca="false">'Raw Data'!K1569</f>
        <v>Laboratory Technician</v>
      </c>
      <c r="E1569" s="2" t="n">
        <f aca="false">'Raw Data'!Q1569</f>
        <v>8</v>
      </c>
      <c r="F1569" s="2" t="n">
        <f aca="false">'Raw Data'!U1569</f>
        <v>7</v>
      </c>
      <c r="G1569" s="2" t="n">
        <f aca="false">'Raw Data'!W1569</f>
        <v>3</v>
      </c>
      <c r="H1569" s="2" t="n">
        <f aca="false">'Raw Data'!V1569</f>
        <v>3</v>
      </c>
      <c r="I1569" s="2" t="n">
        <f aca="false">IF(AND(ISNUMBER(B1569),B1569&lt;=25),2,0)+IF(AND(ISNUMBER(E1569),E1569&lt;=5),2,0)+IF(AND(ISNUMBER(F1569),F1569&lt;=1),2,0)+IF(AND(ISNUMBER(G1569),G1569&lt;=2),1,0)+IF(AND(ISNUMBER(H1569),H1569&lt;=2),1,0)</f>
        <v>0</v>
      </c>
      <c r="J1569" s="2" t="str">
        <f aca="false">IF(I1569&gt;=6,"High",IF(I1569&gt;=3,"Medium","Low"))</f>
        <v>Low</v>
      </c>
    </row>
    <row r="1570" customFormat="false" ht="15" hidden="false" customHeight="true" outlineLevel="0" collapsed="false">
      <c r="A1570" s="2" t="n">
        <f aca="false">'Raw Data'!H1570</f>
        <v>1569</v>
      </c>
      <c r="B1570" s="2" t="n">
        <f aca="false">'Raw Data'!A1570</f>
        <v>42</v>
      </c>
      <c r="C1570" s="2" t="str">
        <f aca="false">'Raw Data'!D1570</f>
        <v>Sales</v>
      </c>
      <c r="D1570" s="2" t="str">
        <f aca="false">'Raw Data'!K1570</f>
        <v>Laboratory Technician</v>
      </c>
      <c r="E1570" s="2" t="n">
        <f aca="false">'Raw Data'!Q1570</f>
        <v>14</v>
      </c>
      <c r="F1570" s="2" t="n">
        <f aca="false">'Raw Data'!U1570</f>
        <v>0</v>
      </c>
      <c r="G1570" s="2" t="n">
        <f aca="false">'Raw Data'!W1570</f>
        <v>4</v>
      </c>
      <c r="H1570" s="2" t="n">
        <f aca="false">'Raw Data'!V1570</f>
        <v>1</v>
      </c>
      <c r="I1570" s="2" t="n">
        <f aca="false">IF(AND(ISNUMBER(B1570),B1570&lt;=25),2,0)+IF(AND(ISNUMBER(E1570),E1570&lt;=5),2,0)+IF(AND(ISNUMBER(F1570),F1570&lt;=1),2,0)+IF(AND(ISNUMBER(G1570),G1570&lt;=2),1,0)+IF(AND(ISNUMBER(H1570),H1570&lt;=2),1,0)</f>
        <v>3</v>
      </c>
      <c r="J1570" s="2" t="str">
        <f aca="false">IF(I1570&gt;=6,"High",IF(I1570&gt;=3,"Medium","Low"))</f>
        <v>Medium</v>
      </c>
    </row>
    <row r="1571" customFormat="false" ht="15" hidden="false" customHeight="true" outlineLevel="0" collapsed="false">
      <c r="A1571" s="2" t="n">
        <f aca="false">'Raw Data'!H1571</f>
        <v>1570</v>
      </c>
      <c r="B1571" s="2" t="n">
        <f aca="false">'Raw Data'!A1571</f>
        <v>21</v>
      </c>
      <c r="C1571" s="2" t="str">
        <f aca="false">'Raw Data'!D1571</f>
        <v>Research &amp; Development</v>
      </c>
      <c r="D1571" s="2" t="str">
        <f aca="false">'Raw Data'!K1571</f>
        <v>Manufacturing Director</v>
      </c>
      <c r="E1571" s="2" t="n">
        <f aca="false">'Raw Data'!Q1571</f>
        <v>3</v>
      </c>
      <c r="F1571" s="2" t="n">
        <f aca="false">'Raw Data'!U1571</f>
        <v>2</v>
      </c>
      <c r="G1571" s="2" t="n">
        <f aca="false">'Raw Data'!W1571</f>
        <v>2</v>
      </c>
      <c r="H1571" s="2" t="n">
        <f aca="false">'Raw Data'!V1571</f>
        <v>1</v>
      </c>
      <c r="I1571" s="2" t="n">
        <f aca="false">IF(AND(ISNUMBER(B1571),B1571&lt;=25),2,0)+IF(AND(ISNUMBER(E1571),E1571&lt;=5),2,0)+IF(AND(ISNUMBER(F1571),F1571&lt;=1),2,0)+IF(AND(ISNUMBER(G1571),G1571&lt;=2),1,0)+IF(AND(ISNUMBER(H1571),H1571&lt;=2),1,0)</f>
        <v>6</v>
      </c>
      <c r="J1571" s="2" t="str">
        <f aca="false">IF(I1571&gt;=6,"High",IF(I1571&gt;=3,"Medium","Low"))</f>
        <v>High</v>
      </c>
    </row>
    <row r="1572" customFormat="false" ht="15" hidden="false" customHeight="true" outlineLevel="0" collapsed="false">
      <c r="A1572" s="2" t="n">
        <f aca="false">'Raw Data'!H1572</f>
        <v>1571</v>
      </c>
      <c r="B1572" s="2" t="n">
        <f aca="false">'Raw Data'!A1572</f>
        <v>36</v>
      </c>
      <c r="C1572" s="2" t="str">
        <f aca="false">'Raw Data'!D1572</f>
        <v>Human Resources</v>
      </c>
      <c r="D1572" s="2" t="str">
        <f aca="false">'Raw Data'!K1572</f>
        <v>Laboratory Technician</v>
      </c>
      <c r="E1572" s="2" t="n">
        <f aca="false">'Raw Data'!Q1572</f>
        <v>7</v>
      </c>
      <c r="F1572" s="2" t="n">
        <f aca="false">'Raw Data'!U1572</f>
        <v>0</v>
      </c>
      <c r="G1572" s="2" t="n">
        <f aca="false">'Raw Data'!W1572</f>
        <v>4</v>
      </c>
      <c r="H1572" s="2" t="n">
        <f aca="false">'Raw Data'!V1572</f>
        <v>4</v>
      </c>
      <c r="I1572" s="2" t="n">
        <f aca="false">IF(AND(ISNUMBER(B1572),B1572&lt;=25),2,0)+IF(AND(ISNUMBER(E1572),E1572&lt;=5),2,0)+IF(AND(ISNUMBER(F1572),F1572&lt;=1),2,0)+IF(AND(ISNUMBER(G1572),G1572&lt;=2),1,0)+IF(AND(ISNUMBER(H1572),H1572&lt;=2),1,0)</f>
        <v>2</v>
      </c>
      <c r="J1572" s="2" t="str">
        <f aca="false">IF(I1572&gt;=6,"High",IF(I1572&gt;=3,"Medium","Low"))</f>
        <v>Low</v>
      </c>
    </row>
    <row r="1573" customFormat="false" ht="15" hidden="false" customHeight="true" outlineLevel="0" collapsed="false">
      <c r="A1573" s="2" t="n">
        <f aca="false">'Raw Data'!H1573</f>
        <v>1572</v>
      </c>
      <c r="B1573" s="2" t="n">
        <f aca="false">'Raw Data'!A1573</f>
        <v>36</v>
      </c>
      <c r="C1573" s="2" t="str">
        <f aca="false">'Raw Data'!D1573</f>
        <v>Research &amp; Development</v>
      </c>
      <c r="D1573" s="2" t="str">
        <f aca="false">'Raw Data'!K1573</f>
        <v>Research Scientist</v>
      </c>
      <c r="E1573" s="2" t="n">
        <f aca="false">'Raw Data'!Q1573</f>
        <v>16</v>
      </c>
      <c r="F1573" s="2" t="n">
        <f aca="false">'Raw Data'!U1573</f>
        <v>12</v>
      </c>
      <c r="G1573" s="2" t="n">
        <f aca="false">'Raw Data'!W1573</f>
        <v>4</v>
      </c>
      <c r="H1573" s="2" t="n">
        <f aca="false">'Raw Data'!V1573</f>
        <v>1</v>
      </c>
      <c r="I1573" s="2" t="n">
        <f aca="false">IF(AND(ISNUMBER(B1573),B1573&lt;=25),2,0)+IF(AND(ISNUMBER(E1573),E1573&lt;=5),2,0)+IF(AND(ISNUMBER(F1573),F1573&lt;=1),2,0)+IF(AND(ISNUMBER(G1573),G1573&lt;=2),1,0)+IF(AND(ISNUMBER(H1573),H1573&lt;=2),1,0)</f>
        <v>1</v>
      </c>
      <c r="J1573" s="2" t="str">
        <f aca="false">IF(I1573&gt;=6,"High",IF(I1573&gt;=3,"Medium","Low"))</f>
        <v>Low</v>
      </c>
    </row>
    <row r="1574" customFormat="false" ht="15" hidden="false" customHeight="true" outlineLevel="0" collapsed="false">
      <c r="A1574" s="2" t="n">
        <f aca="false">'Raw Data'!H1574</f>
        <v>1573</v>
      </c>
      <c r="B1574" s="2" t="n">
        <f aca="false">'Raw Data'!A1574</f>
        <v>57</v>
      </c>
      <c r="C1574" s="2" t="str">
        <f aca="false">'Raw Data'!D1574</f>
        <v>Research &amp; Development</v>
      </c>
      <c r="D1574" s="2" t="str">
        <f aca="false">'Raw Data'!K1574</f>
        <v>Research Scientist</v>
      </c>
      <c r="E1574" s="2" t="n">
        <f aca="false">'Raw Data'!Q1574</f>
        <v>15</v>
      </c>
      <c r="F1574" s="2" t="n">
        <f aca="false">'Raw Data'!U1574</f>
        <v>2</v>
      </c>
      <c r="G1574" s="2" t="n">
        <f aca="false">'Raw Data'!W1574</f>
        <v>3</v>
      </c>
      <c r="H1574" s="2" t="n">
        <f aca="false">'Raw Data'!V1574</f>
        <v>4</v>
      </c>
      <c r="I1574" s="2" t="n">
        <f aca="false">IF(AND(ISNUMBER(B1574),B1574&lt;=25),2,0)+IF(AND(ISNUMBER(E1574),E1574&lt;=5),2,0)+IF(AND(ISNUMBER(F1574),F1574&lt;=1),2,0)+IF(AND(ISNUMBER(G1574),G1574&lt;=2),1,0)+IF(AND(ISNUMBER(H1574),H1574&lt;=2),1,0)</f>
        <v>0</v>
      </c>
      <c r="J1574" s="2" t="str">
        <f aca="false">IF(I1574&gt;=6,"High",IF(I1574&gt;=3,"Medium","Low"))</f>
        <v>Low</v>
      </c>
    </row>
    <row r="1575" customFormat="false" ht="15" hidden="false" customHeight="true" outlineLevel="0" collapsed="false">
      <c r="A1575" s="2" t="n">
        <f aca="false">'Raw Data'!H1575</f>
        <v>1574</v>
      </c>
      <c r="B1575" s="2" t="n">
        <f aca="false">'Raw Data'!A1575</f>
        <v>40</v>
      </c>
      <c r="C1575" s="2" t="str">
        <f aca="false">'Raw Data'!D1575</f>
        <v>Research &amp; Development</v>
      </c>
      <c r="D1575" s="2" t="str">
        <f aca="false">'Raw Data'!K1575</f>
        <v>Sales Executive</v>
      </c>
      <c r="E1575" s="2" t="n">
        <f aca="false">'Raw Data'!Q1575</f>
        <v>10</v>
      </c>
      <c r="F1575" s="2" t="n">
        <f aca="false">'Raw Data'!U1575</f>
        <v>7</v>
      </c>
      <c r="G1575" s="2" t="n">
        <f aca="false">'Raw Data'!W1575</f>
        <v>3</v>
      </c>
      <c r="H1575" s="2" t="n">
        <f aca="false">'Raw Data'!V1575</f>
        <v>4</v>
      </c>
      <c r="I1575" s="2" t="n">
        <f aca="false">IF(AND(ISNUMBER(B1575),B1575&lt;=25),2,0)+IF(AND(ISNUMBER(E1575),E1575&lt;=5),2,0)+IF(AND(ISNUMBER(F1575),F1575&lt;=1),2,0)+IF(AND(ISNUMBER(G1575),G1575&lt;=2),1,0)+IF(AND(ISNUMBER(H1575),H1575&lt;=2),1,0)</f>
        <v>0</v>
      </c>
      <c r="J1575" s="2" t="str">
        <f aca="false">IF(I1575&gt;=6,"High",IF(I1575&gt;=3,"Medium","Low"))</f>
        <v>Low</v>
      </c>
    </row>
    <row r="1576" customFormat="false" ht="15" hidden="false" customHeight="true" outlineLevel="0" collapsed="false">
      <c r="A1576" s="2" t="n">
        <f aca="false">'Raw Data'!H1576</f>
        <v>1575</v>
      </c>
      <c r="B1576" s="2" t="n">
        <f aca="false">'Raw Data'!A1576</f>
        <v>21</v>
      </c>
      <c r="C1576" s="2" t="str">
        <f aca="false">'Raw Data'!D1576</f>
        <v>Research &amp; Development</v>
      </c>
      <c r="D1576" s="2" t="str">
        <f aca="false">'Raw Data'!K1576</f>
        <v>Manager</v>
      </c>
      <c r="E1576" s="2" t="n">
        <f aca="false">'Raw Data'!Q1576</f>
        <v>3</v>
      </c>
      <c r="F1576" s="2" t="n">
        <f aca="false">'Raw Data'!U1576</f>
        <v>2</v>
      </c>
      <c r="G1576" s="2" t="n">
        <f aca="false">'Raw Data'!W1576</f>
        <v>4</v>
      </c>
      <c r="H1576" s="2" t="n">
        <f aca="false">'Raw Data'!V1576</f>
        <v>1</v>
      </c>
      <c r="I1576" s="2" t="n">
        <f aca="false">IF(AND(ISNUMBER(B1576),B1576&lt;=25),2,0)+IF(AND(ISNUMBER(E1576),E1576&lt;=5),2,0)+IF(AND(ISNUMBER(F1576),F1576&lt;=1),2,0)+IF(AND(ISNUMBER(G1576),G1576&lt;=2),1,0)+IF(AND(ISNUMBER(H1576),H1576&lt;=2),1,0)</f>
        <v>5</v>
      </c>
      <c r="J1576" s="2" t="str">
        <f aca="false">IF(I1576&gt;=6,"High",IF(I1576&gt;=3,"Medium","Low"))</f>
        <v>Medium</v>
      </c>
    </row>
    <row r="1577" customFormat="false" ht="15" hidden="false" customHeight="true" outlineLevel="0" collapsed="false">
      <c r="A1577" s="2" t="n">
        <f aca="false">'Raw Data'!H1577</f>
        <v>1576</v>
      </c>
      <c r="B1577" s="2" t="n">
        <f aca="false">'Raw Data'!A1577</f>
        <v>33</v>
      </c>
      <c r="C1577" s="2" t="str">
        <f aca="false">'Raw Data'!D1577</f>
        <v>Human Resources</v>
      </c>
      <c r="D1577" s="2" t="str">
        <f aca="false">'Raw Data'!K1577</f>
        <v>Manager</v>
      </c>
      <c r="E1577" s="2" t="n">
        <f aca="false">'Raw Data'!Q1577</f>
        <v>1</v>
      </c>
      <c r="F1577" s="2" t="n">
        <f aca="false">'Raw Data'!U1577</f>
        <v>0</v>
      </c>
      <c r="G1577" s="2" t="n">
        <f aca="false">'Raw Data'!W1577</f>
        <v>3</v>
      </c>
      <c r="H1577" s="2" t="n">
        <f aca="false">'Raw Data'!V1577</f>
        <v>4</v>
      </c>
      <c r="I1577" s="2" t="n">
        <f aca="false">IF(AND(ISNUMBER(B1577),B1577&lt;=25),2,0)+IF(AND(ISNUMBER(E1577),E1577&lt;=5),2,0)+IF(AND(ISNUMBER(F1577),F1577&lt;=1),2,0)+IF(AND(ISNUMBER(G1577),G1577&lt;=2),1,0)+IF(AND(ISNUMBER(H1577),H1577&lt;=2),1,0)</f>
        <v>4</v>
      </c>
      <c r="J1577" s="2" t="str">
        <f aca="false">IF(I1577&gt;=6,"High",IF(I1577&gt;=3,"Medium","Low"))</f>
        <v>Medium</v>
      </c>
    </row>
    <row r="1578" customFormat="false" ht="15" hidden="false" customHeight="true" outlineLevel="0" collapsed="false">
      <c r="A1578" s="2" t="n">
        <f aca="false">'Raw Data'!H1578</f>
        <v>1577</v>
      </c>
      <c r="B1578" s="2" t="n">
        <f aca="false">'Raw Data'!A1578</f>
        <v>37</v>
      </c>
      <c r="C1578" s="2" t="str">
        <f aca="false">'Raw Data'!D1578</f>
        <v>Research &amp; Development</v>
      </c>
      <c r="D1578" s="2" t="str">
        <f aca="false">'Raw Data'!K1578</f>
        <v>Research Scientist</v>
      </c>
      <c r="E1578" s="2" t="n">
        <f aca="false">'Raw Data'!Q1578</f>
        <v>17</v>
      </c>
      <c r="F1578" s="2" t="n">
        <f aca="false">'Raw Data'!U1578</f>
        <v>3</v>
      </c>
      <c r="G1578" s="2" t="n">
        <f aca="false">'Raw Data'!W1578</f>
        <v>1</v>
      </c>
      <c r="H1578" s="2" t="n">
        <f aca="false">'Raw Data'!V1578</f>
        <v>3</v>
      </c>
      <c r="I1578" s="2" t="n">
        <f aca="false">IF(AND(ISNUMBER(B1578),B1578&lt;=25),2,0)+IF(AND(ISNUMBER(E1578),E1578&lt;=5),2,0)+IF(AND(ISNUMBER(F1578),F1578&lt;=1),2,0)+IF(AND(ISNUMBER(G1578),G1578&lt;=2),1,0)+IF(AND(ISNUMBER(H1578),H1578&lt;=2),1,0)</f>
        <v>1</v>
      </c>
      <c r="J1578" s="2" t="str">
        <f aca="false">IF(I1578&gt;=6,"High",IF(I1578&gt;=3,"Medium","Low"))</f>
        <v>Low</v>
      </c>
    </row>
    <row r="1579" customFormat="false" ht="15" hidden="false" customHeight="true" outlineLevel="0" collapsed="false">
      <c r="A1579" s="2" t="n">
        <f aca="false">'Raw Data'!H1579</f>
        <v>1578</v>
      </c>
      <c r="B1579" s="2" t="n">
        <f aca="false">'Raw Data'!A1579</f>
        <v>46</v>
      </c>
      <c r="C1579" s="2" t="str">
        <f aca="false">'Raw Data'!D1579</f>
        <v>Sales</v>
      </c>
      <c r="D1579" s="2" t="str">
        <f aca="false">'Raw Data'!K1579</f>
        <v>Laboratory Technician</v>
      </c>
      <c r="E1579" s="2" t="n">
        <f aca="false">'Raw Data'!Q1579</f>
        <v>7</v>
      </c>
      <c r="F1579" s="2" t="n">
        <f aca="false">'Raw Data'!U1579</f>
        <v>0</v>
      </c>
      <c r="G1579" s="2" t="n">
        <f aca="false">'Raw Data'!W1579</f>
        <v>3</v>
      </c>
      <c r="H1579" s="2" t="n">
        <f aca="false">'Raw Data'!V1579</f>
        <v>3</v>
      </c>
      <c r="I1579" s="2" t="n">
        <f aca="false">IF(AND(ISNUMBER(B1579),B1579&lt;=25),2,0)+IF(AND(ISNUMBER(E1579),E1579&lt;=5),2,0)+IF(AND(ISNUMBER(F1579),F1579&lt;=1),2,0)+IF(AND(ISNUMBER(G1579),G1579&lt;=2),1,0)+IF(AND(ISNUMBER(H1579),H1579&lt;=2),1,0)</f>
        <v>2</v>
      </c>
      <c r="J1579" s="2" t="str">
        <f aca="false">IF(I1579&gt;=6,"High",IF(I1579&gt;=3,"Medium","Low"))</f>
        <v>Low</v>
      </c>
    </row>
    <row r="1580" customFormat="false" ht="15" hidden="false" customHeight="true" outlineLevel="0" collapsed="false">
      <c r="A1580" s="2" t="n">
        <f aca="false">'Raw Data'!H1580</f>
        <v>1579</v>
      </c>
      <c r="B1580" s="2" t="n">
        <f aca="false">'Raw Data'!A1580</f>
        <v>41</v>
      </c>
      <c r="C1580" s="2" t="str">
        <f aca="false">'Raw Data'!D1580</f>
        <v>Research &amp; Development</v>
      </c>
      <c r="D1580" s="2" t="str">
        <f aca="false">'Raw Data'!K1580</f>
        <v>Research Scientist</v>
      </c>
      <c r="E1580" s="2" t="n">
        <f aca="false">'Raw Data'!Q1580</f>
        <v>8</v>
      </c>
      <c r="F1580" s="2" t="n">
        <f aca="false">'Raw Data'!U1580</f>
        <v>7</v>
      </c>
      <c r="G1580" s="2" t="n">
        <f aca="false">'Raw Data'!W1580</f>
        <v>2</v>
      </c>
      <c r="H1580" s="2" t="n">
        <f aca="false">'Raw Data'!V1580</f>
        <v>1</v>
      </c>
      <c r="I1580" s="2" t="n">
        <f aca="false">IF(AND(ISNUMBER(B1580),B1580&lt;=25),2,0)+IF(AND(ISNUMBER(E1580),E1580&lt;=5),2,0)+IF(AND(ISNUMBER(F1580),F1580&lt;=1),2,0)+IF(AND(ISNUMBER(G1580),G1580&lt;=2),1,0)+IF(AND(ISNUMBER(H1580),H1580&lt;=2),1,0)</f>
        <v>2</v>
      </c>
      <c r="J1580" s="2" t="str">
        <f aca="false">IF(I1580&gt;=6,"High",IF(I1580&gt;=3,"Medium","Low"))</f>
        <v>Low</v>
      </c>
    </row>
    <row r="1581" customFormat="false" ht="15" hidden="false" customHeight="true" outlineLevel="0" collapsed="false">
      <c r="A1581" s="2" t="n">
        <f aca="false">'Raw Data'!H1581</f>
        <v>1580</v>
      </c>
      <c r="B1581" s="2" t="n">
        <f aca="false">'Raw Data'!A1581</f>
        <v>50</v>
      </c>
      <c r="C1581" s="2" t="str">
        <f aca="false">'Raw Data'!D1581</f>
        <v>Research &amp; Development</v>
      </c>
      <c r="D1581" s="2" t="str">
        <f aca="false">'Raw Data'!K1581</f>
        <v>Laboratory Technician</v>
      </c>
      <c r="E1581" s="2" t="n">
        <f aca="false">'Raw Data'!Q1581</f>
        <v>20</v>
      </c>
      <c r="F1581" s="2" t="n">
        <f aca="false">'Raw Data'!U1581</f>
        <v>3</v>
      </c>
      <c r="G1581" s="2" t="n">
        <f aca="false">'Raw Data'!W1581</f>
        <v>4</v>
      </c>
      <c r="H1581" s="2" t="n">
        <f aca="false">'Raw Data'!V1581</f>
        <v>4</v>
      </c>
      <c r="I1581" s="2" t="n">
        <f aca="false">IF(AND(ISNUMBER(B1581),B1581&lt;=25),2,0)+IF(AND(ISNUMBER(E1581),E1581&lt;=5),2,0)+IF(AND(ISNUMBER(F1581),F1581&lt;=1),2,0)+IF(AND(ISNUMBER(G1581),G1581&lt;=2),1,0)+IF(AND(ISNUMBER(H1581),H1581&lt;=2),1,0)</f>
        <v>0</v>
      </c>
      <c r="J1581" s="2" t="str">
        <f aca="false">IF(I1581&gt;=6,"High",IF(I1581&gt;=3,"Medium","Low"))</f>
        <v>Low</v>
      </c>
    </row>
    <row r="1582" customFormat="false" ht="15" hidden="false" customHeight="true" outlineLevel="0" collapsed="false">
      <c r="A1582" s="2" t="n">
        <f aca="false">'Raw Data'!H1582</f>
        <v>1581</v>
      </c>
      <c r="B1582" s="2" t="n">
        <f aca="false">'Raw Data'!A1582</f>
        <v>40</v>
      </c>
      <c r="C1582" s="2" t="str">
        <f aca="false">'Raw Data'!D1582</f>
        <v>Research &amp; Development</v>
      </c>
      <c r="D1582" s="2" t="str">
        <f aca="false">'Raw Data'!K1582</f>
        <v>Healthcare Representative</v>
      </c>
      <c r="E1582" s="2" t="n">
        <f aca="false">'Raw Data'!Q1582</f>
        <v>8</v>
      </c>
      <c r="F1582" s="2" t="n">
        <f aca="false">'Raw Data'!U1582</f>
        <v>0</v>
      </c>
      <c r="G1582" s="2" t="n">
        <f aca="false">'Raw Data'!W1582</f>
        <v>3</v>
      </c>
      <c r="H1582" s="2" t="n">
        <f aca="false">'Raw Data'!V1582</f>
        <v>3</v>
      </c>
      <c r="I1582" s="2" t="n">
        <f aca="false">IF(AND(ISNUMBER(B1582),B1582&lt;=25),2,0)+IF(AND(ISNUMBER(E1582),E1582&lt;=5),2,0)+IF(AND(ISNUMBER(F1582),F1582&lt;=1),2,0)+IF(AND(ISNUMBER(G1582),G1582&lt;=2),1,0)+IF(AND(ISNUMBER(H1582),H1582&lt;=2),1,0)</f>
        <v>2</v>
      </c>
      <c r="J1582" s="2" t="str">
        <f aca="false">IF(I1582&gt;=6,"High",IF(I1582&gt;=3,"Medium","Low"))</f>
        <v>Low</v>
      </c>
    </row>
    <row r="1583" customFormat="false" ht="15" hidden="false" customHeight="true" outlineLevel="0" collapsed="false">
      <c r="A1583" s="2" t="n">
        <f aca="false">'Raw Data'!H1583</f>
        <v>1582</v>
      </c>
      <c r="B1583" s="2" t="n">
        <f aca="false">'Raw Data'!A1583</f>
        <v>31</v>
      </c>
      <c r="C1583" s="2" t="str">
        <f aca="false">'Raw Data'!D1583</f>
        <v>Research &amp; Development</v>
      </c>
      <c r="D1583" s="2" t="str">
        <f aca="false">'Raw Data'!K1583</f>
        <v>Human Resources</v>
      </c>
      <c r="E1583" s="2" t="n">
        <f aca="false">'Raw Data'!Q1583</f>
        <v>3</v>
      </c>
      <c r="F1583" s="2" t="n">
        <f aca="false">'Raw Data'!U1583</f>
        <v>2</v>
      </c>
      <c r="G1583" s="2" t="n">
        <f aca="false">'Raw Data'!W1583</f>
        <v>2</v>
      </c>
      <c r="H1583" s="2" t="n">
        <f aca="false">'Raw Data'!V1583</f>
        <v>3</v>
      </c>
      <c r="I1583" s="2" t="n">
        <f aca="false">IF(AND(ISNUMBER(B1583),B1583&lt;=25),2,0)+IF(AND(ISNUMBER(E1583),E1583&lt;=5),2,0)+IF(AND(ISNUMBER(F1583),F1583&lt;=1),2,0)+IF(AND(ISNUMBER(G1583),G1583&lt;=2),1,0)+IF(AND(ISNUMBER(H1583),H1583&lt;=2),1,0)</f>
        <v>3</v>
      </c>
      <c r="J1583" s="2" t="str">
        <f aca="false">IF(I1583&gt;=6,"High",IF(I1583&gt;=3,"Medium","Low"))</f>
        <v>Medium</v>
      </c>
    </row>
    <row r="1584" customFormat="false" ht="15" hidden="false" customHeight="true" outlineLevel="0" collapsed="false">
      <c r="A1584" s="2" t="n">
        <f aca="false">'Raw Data'!H1584</f>
        <v>1583</v>
      </c>
      <c r="B1584" s="2" t="n">
        <f aca="false">'Raw Data'!A1584</f>
        <v>21</v>
      </c>
      <c r="C1584" s="2" t="str">
        <f aca="false">'Raw Data'!D1584</f>
        <v>Human Resources</v>
      </c>
      <c r="D1584" s="2" t="str">
        <f aca="false">'Raw Data'!K1584</f>
        <v>Laboratory Technician</v>
      </c>
      <c r="E1584" s="2" t="n">
        <f aca="false">'Raw Data'!Q1584</f>
        <v>1</v>
      </c>
      <c r="F1584" s="2" t="n">
        <f aca="false">'Raw Data'!U1584</f>
        <v>0</v>
      </c>
      <c r="G1584" s="2" t="n">
        <f aca="false">'Raw Data'!W1584</f>
        <v>2</v>
      </c>
      <c r="H1584" s="2" t="n">
        <f aca="false">'Raw Data'!V1584</f>
        <v>3</v>
      </c>
      <c r="I1584" s="2" t="n">
        <f aca="false">IF(AND(ISNUMBER(B1584),B1584&lt;=25),2,0)+IF(AND(ISNUMBER(E1584),E1584&lt;=5),2,0)+IF(AND(ISNUMBER(F1584),F1584&lt;=1),2,0)+IF(AND(ISNUMBER(G1584),G1584&lt;=2),1,0)+IF(AND(ISNUMBER(H1584),H1584&lt;=2),1,0)</f>
        <v>7</v>
      </c>
      <c r="J1584" s="2" t="str">
        <f aca="false">IF(I1584&gt;=6,"High",IF(I1584&gt;=3,"Medium","Low"))</f>
        <v>High</v>
      </c>
    </row>
    <row r="1585" customFormat="false" ht="15" hidden="false" customHeight="true" outlineLevel="0" collapsed="false">
      <c r="A1585" s="2" t="n">
        <f aca="false">'Raw Data'!H1585</f>
        <v>1584</v>
      </c>
      <c r="B1585" s="2" t="n">
        <f aca="false">'Raw Data'!A1585</f>
        <v>29</v>
      </c>
      <c r="C1585" s="2" t="str">
        <f aca="false">'Raw Data'!D1585</f>
        <v>Research &amp; Development</v>
      </c>
      <c r="D1585" s="2" t="str">
        <f aca="false">'Raw Data'!K1585</f>
        <v>Research Director</v>
      </c>
      <c r="E1585" s="2" t="n">
        <f aca="false">'Raw Data'!Q1585</f>
        <v>6</v>
      </c>
      <c r="F1585" s="2" t="n">
        <f aca="false">'Raw Data'!U1585</f>
        <v>2</v>
      </c>
      <c r="G1585" s="2" t="n">
        <f aca="false">'Raw Data'!W1585</f>
        <v>4</v>
      </c>
      <c r="H1585" s="2" t="n">
        <f aca="false">'Raw Data'!V1585</f>
        <v>4</v>
      </c>
      <c r="I1585" s="2" t="n">
        <f aca="false">IF(AND(ISNUMBER(B1585),B1585&lt;=25),2,0)+IF(AND(ISNUMBER(E1585),E1585&lt;=5),2,0)+IF(AND(ISNUMBER(F1585),F1585&lt;=1),2,0)+IF(AND(ISNUMBER(G1585),G1585&lt;=2),1,0)+IF(AND(ISNUMBER(H1585),H1585&lt;=2),1,0)</f>
        <v>0</v>
      </c>
      <c r="J1585" s="2" t="str">
        <f aca="false">IF(I1585&gt;=6,"High",IF(I1585&gt;=3,"Medium","Low"))</f>
        <v>Low</v>
      </c>
    </row>
    <row r="1586" customFormat="false" ht="15" hidden="false" customHeight="true" outlineLevel="0" collapsed="false">
      <c r="A1586" s="2" t="n">
        <f aca="false">'Raw Data'!H1586</f>
        <v>1585</v>
      </c>
      <c r="B1586" s="2" t="n">
        <f aca="false">'Raw Data'!A1586</f>
        <v>35</v>
      </c>
      <c r="C1586" s="2" t="str">
        <f aca="false">'Raw Data'!D1586</f>
        <v>Research &amp; Development</v>
      </c>
      <c r="D1586" s="2" t="str">
        <f aca="false">'Raw Data'!K1586</f>
        <v>Sales Executive</v>
      </c>
      <c r="E1586" s="2" t="n">
        <f aca="false">'Raw Data'!Q1586</f>
        <v>10</v>
      </c>
      <c r="F1586" s="2" t="n">
        <f aca="false">'Raw Data'!U1586</f>
        <v>0</v>
      </c>
      <c r="G1586" s="2" t="n">
        <f aca="false">'Raw Data'!W1586</f>
        <v>2</v>
      </c>
      <c r="H1586" s="2" t="n">
        <f aca="false">'Raw Data'!V1586</f>
        <v>3</v>
      </c>
      <c r="I1586" s="2" t="n">
        <f aca="false">IF(AND(ISNUMBER(B1586),B1586&lt;=25),2,0)+IF(AND(ISNUMBER(E1586),E1586&lt;=5),2,0)+IF(AND(ISNUMBER(F1586),F1586&lt;=1),2,0)+IF(AND(ISNUMBER(G1586),G1586&lt;=2),1,0)+IF(AND(ISNUMBER(H1586),H1586&lt;=2),1,0)</f>
        <v>3</v>
      </c>
      <c r="J1586" s="2" t="str">
        <f aca="false">IF(I1586&gt;=6,"High",IF(I1586&gt;=3,"Medium","Low"))</f>
        <v>Medium</v>
      </c>
    </row>
    <row r="1587" customFormat="false" ht="15" hidden="false" customHeight="true" outlineLevel="0" collapsed="false">
      <c r="A1587" s="2" t="n">
        <f aca="false">'Raw Data'!H1587</f>
        <v>1586</v>
      </c>
      <c r="B1587" s="2" t="n">
        <f aca="false">'Raw Data'!A1587</f>
        <v>27</v>
      </c>
      <c r="C1587" s="2" t="str">
        <f aca="false">'Raw Data'!D1587</f>
        <v>Sales</v>
      </c>
      <c r="D1587" s="2" t="str">
        <f aca="false">'Raw Data'!K1587</f>
        <v>Sales Executive</v>
      </c>
      <c r="E1587" s="2" t="n">
        <f aca="false">'Raw Data'!Q1587</f>
        <v>5</v>
      </c>
      <c r="F1587" s="2" t="n">
        <f aca="false">'Raw Data'!U1587</f>
        <v>4</v>
      </c>
      <c r="G1587" s="2" t="n">
        <f aca="false">'Raw Data'!W1587</f>
        <v>2</v>
      </c>
      <c r="H1587" s="2" t="n">
        <f aca="false">'Raw Data'!V1587</f>
        <v>4</v>
      </c>
      <c r="I1587" s="2" t="n">
        <f aca="false">IF(AND(ISNUMBER(B1587),B1587&lt;=25),2,0)+IF(AND(ISNUMBER(E1587),E1587&lt;=5),2,0)+IF(AND(ISNUMBER(F1587),F1587&lt;=1),2,0)+IF(AND(ISNUMBER(G1587),G1587&lt;=2),1,0)+IF(AND(ISNUMBER(H1587),H1587&lt;=2),1,0)</f>
        <v>3</v>
      </c>
      <c r="J1587" s="2" t="str">
        <f aca="false">IF(I1587&gt;=6,"High",IF(I1587&gt;=3,"Medium","Low"))</f>
        <v>Medium</v>
      </c>
    </row>
    <row r="1588" customFormat="false" ht="15" hidden="false" customHeight="true" outlineLevel="0" collapsed="false">
      <c r="A1588" s="2" t="n">
        <f aca="false">'Raw Data'!H1588</f>
        <v>1587</v>
      </c>
      <c r="B1588" s="2" t="n">
        <f aca="false">'Raw Data'!A1588</f>
        <v>28</v>
      </c>
      <c r="C1588" s="2" t="str">
        <f aca="false">'Raw Data'!D1588</f>
        <v>Research &amp; Development</v>
      </c>
      <c r="D1588" s="2" t="str">
        <f aca="false">'Raw Data'!K1588</f>
        <v>Manager</v>
      </c>
      <c r="E1588" s="2" t="n">
        <f aca="false">'Raw Data'!Q1588</f>
        <v>7</v>
      </c>
      <c r="F1588" s="2" t="n">
        <f aca="false">'Raw Data'!U1588</f>
        <v>7</v>
      </c>
      <c r="G1588" s="2" t="n">
        <f aca="false">'Raw Data'!W1588</f>
        <v>4</v>
      </c>
      <c r="H1588" s="2" t="n">
        <f aca="false">'Raw Data'!V1588</f>
        <v>2</v>
      </c>
      <c r="I1588" s="2" t="n">
        <f aca="false">IF(AND(ISNUMBER(B1588),B1588&lt;=25),2,0)+IF(AND(ISNUMBER(E1588),E1588&lt;=5),2,0)+IF(AND(ISNUMBER(F1588),F1588&lt;=1),2,0)+IF(AND(ISNUMBER(G1588),G1588&lt;=2),1,0)+IF(AND(ISNUMBER(H1588),H1588&lt;=2),1,0)</f>
        <v>1</v>
      </c>
      <c r="J1588" s="2" t="str">
        <f aca="false">IF(I1588&gt;=6,"High",IF(I1588&gt;=3,"Medium","Low"))</f>
        <v>Low</v>
      </c>
    </row>
    <row r="1589" customFormat="false" ht="15" hidden="false" customHeight="true" outlineLevel="0" collapsed="false">
      <c r="A1589" s="2" t="n">
        <f aca="false">'Raw Data'!H1589</f>
        <v>1588</v>
      </c>
      <c r="B1589" s="2" t="n">
        <f aca="false">'Raw Data'!A1589</f>
        <v>49</v>
      </c>
      <c r="C1589" s="2" t="str">
        <f aca="false">'Raw Data'!D1589</f>
        <v>Sales</v>
      </c>
      <c r="D1589" s="2" t="str">
        <f aca="false">'Raw Data'!K1589</f>
        <v>Manufacturing Director</v>
      </c>
      <c r="E1589" s="2" t="n">
        <f aca="false">'Raw Data'!Q1589</f>
        <v>26</v>
      </c>
      <c r="F1589" s="2" t="n">
        <f aca="false">'Raw Data'!U1589</f>
        <v>0</v>
      </c>
      <c r="G1589" s="2" t="n">
        <f aca="false">'Raw Data'!W1589</f>
        <v>3</v>
      </c>
      <c r="H1589" s="2" t="n">
        <f aca="false">'Raw Data'!V1589</f>
        <v>2</v>
      </c>
      <c r="I1589" s="2" t="n">
        <f aca="false">IF(AND(ISNUMBER(B1589),B1589&lt;=25),2,0)+IF(AND(ISNUMBER(E1589),E1589&lt;=5),2,0)+IF(AND(ISNUMBER(F1589),F1589&lt;=1),2,0)+IF(AND(ISNUMBER(G1589),G1589&lt;=2),1,0)+IF(AND(ISNUMBER(H1589),H1589&lt;=2),1,0)</f>
        <v>3</v>
      </c>
      <c r="J1589" s="2" t="str">
        <f aca="false">IF(I1589&gt;=6,"High",IF(I1589&gt;=3,"Medium","Low"))</f>
        <v>Medium</v>
      </c>
    </row>
    <row r="1590" customFormat="false" ht="15" hidden="false" customHeight="true" outlineLevel="0" collapsed="false">
      <c r="A1590" s="2" t="n">
        <f aca="false">'Raw Data'!H1590</f>
        <v>1589</v>
      </c>
      <c r="B1590" s="2" t="n">
        <f aca="false">'Raw Data'!A1590</f>
        <v>51</v>
      </c>
      <c r="C1590" s="2" t="str">
        <f aca="false">'Raw Data'!D1590</f>
        <v>Research &amp; Development</v>
      </c>
      <c r="D1590" s="2" t="str">
        <f aca="false">'Raw Data'!K1590</f>
        <v>Sales Executive</v>
      </c>
      <c r="E1590" s="2" t="n">
        <f aca="false">'Raw Data'!Q1590</f>
        <v>18</v>
      </c>
      <c r="F1590" s="2" t="n">
        <f aca="false">'Raw Data'!U1590</f>
        <v>7</v>
      </c>
      <c r="G1590" s="2" t="n">
        <f aca="false">'Raw Data'!W1590</f>
        <v>4</v>
      </c>
      <c r="H1590" s="2" t="n">
        <f aca="false">'Raw Data'!V1590</f>
        <v>3</v>
      </c>
      <c r="I1590" s="2" t="n">
        <f aca="false">IF(AND(ISNUMBER(B1590),B1590&lt;=25),2,0)+IF(AND(ISNUMBER(E1590),E1590&lt;=5),2,0)+IF(AND(ISNUMBER(F1590),F1590&lt;=1),2,0)+IF(AND(ISNUMBER(G1590),G1590&lt;=2),1,0)+IF(AND(ISNUMBER(H1590),H1590&lt;=2),1,0)</f>
        <v>0</v>
      </c>
      <c r="J1590" s="2" t="str">
        <f aca="false">IF(I1590&gt;=6,"High",IF(I1590&gt;=3,"Medium","Low"))</f>
        <v>Low</v>
      </c>
    </row>
    <row r="1591" customFormat="false" ht="15" hidden="false" customHeight="true" outlineLevel="0" collapsed="false">
      <c r="A1591" s="2" t="n">
        <f aca="false">'Raw Data'!H1591</f>
        <v>1590</v>
      </c>
      <c r="B1591" s="2" t="n">
        <f aca="false">'Raw Data'!A1591</f>
        <v>36</v>
      </c>
      <c r="C1591" s="2" t="str">
        <f aca="false">'Raw Data'!D1591</f>
        <v>Sales</v>
      </c>
      <c r="D1591" s="2" t="str">
        <f aca="false">'Raw Data'!K1591</f>
        <v>Sales Executive</v>
      </c>
      <c r="E1591" s="2" t="n">
        <f aca="false">'Raw Data'!Q1591</f>
        <v>6</v>
      </c>
      <c r="F1591" s="2" t="n">
        <f aca="false">'Raw Data'!U1591</f>
        <v>2</v>
      </c>
      <c r="G1591" s="2" t="n">
        <f aca="false">'Raw Data'!W1591</f>
        <v>3</v>
      </c>
      <c r="H1591" s="2" t="n">
        <f aca="false">'Raw Data'!V1591</f>
        <v>4</v>
      </c>
      <c r="I1591" s="2" t="n">
        <f aca="false">IF(AND(ISNUMBER(B1591),B1591&lt;=25),2,0)+IF(AND(ISNUMBER(E1591),E1591&lt;=5),2,0)+IF(AND(ISNUMBER(F1591),F1591&lt;=1),2,0)+IF(AND(ISNUMBER(G1591),G1591&lt;=2),1,0)+IF(AND(ISNUMBER(H1591),H1591&lt;=2),1,0)</f>
        <v>0</v>
      </c>
      <c r="J1591" s="2" t="str">
        <f aca="false">IF(I1591&gt;=6,"High",IF(I1591&gt;=3,"Medium","Low"))</f>
        <v>Low</v>
      </c>
    </row>
    <row r="1592" customFormat="false" ht="15" hidden="false" customHeight="true" outlineLevel="0" collapsed="false">
      <c r="A1592" s="2" t="n">
        <f aca="false">'Raw Data'!H1592</f>
        <v>1591</v>
      </c>
      <c r="B1592" s="2" t="n">
        <f aca="false">'Raw Data'!A1592</f>
        <v>34</v>
      </c>
      <c r="C1592" s="2" t="str">
        <f aca="false">'Raw Data'!D1592</f>
        <v>Research &amp; Development</v>
      </c>
      <c r="D1592" s="2" t="str">
        <f aca="false">'Raw Data'!K1592</f>
        <v>Sales Representative</v>
      </c>
      <c r="E1592" s="2" t="n">
        <f aca="false">'Raw Data'!Q1592</f>
        <v>9</v>
      </c>
      <c r="F1592" s="2" t="n">
        <f aca="false">'Raw Data'!U1592</f>
        <v>4</v>
      </c>
      <c r="G1592" s="2" t="n">
        <f aca="false">'Raw Data'!W1592</f>
        <v>4</v>
      </c>
      <c r="H1592" s="2" t="n">
        <f aca="false">'Raw Data'!V1592</f>
        <v>1</v>
      </c>
      <c r="I1592" s="2" t="n">
        <f aca="false">IF(AND(ISNUMBER(B1592),B1592&lt;=25),2,0)+IF(AND(ISNUMBER(E1592),E1592&lt;=5),2,0)+IF(AND(ISNUMBER(F1592),F1592&lt;=1),2,0)+IF(AND(ISNUMBER(G1592),G1592&lt;=2),1,0)+IF(AND(ISNUMBER(H1592),H1592&lt;=2),1,0)</f>
        <v>1</v>
      </c>
      <c r="J1592" s="2" t="str">
        <f aca="false">IF(I1592&gt;=6,"High",IF(I1592&gt;=3,"Medium","Low"))</f>
        <v>Low</v>
      </c>
    </row>
    <row r="1593" customFormat="false" ht="15" hidden="false" customHeight="true" outlineLevel="0" collapsed="false">
      <c r="A1593" s="2" t="n">
        <f aca="false">'Raw Data'!H1593</f>
        <v>1592</v>
      </c>
      <c r="B1593" s="2" t="n">
        <f aca="false">'Raw Data'!A1593</f>
        <v>55</v>
      </c>
      <c r="C1593" s="2" t="str">
        <f aca="false">'Raw Data'!D1593</f>
        <v>Sales</v>
      </c>
      <c r="D1593" s="2" t="str">
        <f aca="false">'Raw Data'!K1593</f>
        <v>Laboratory Technician</v>
      </c>
      <c r="E1593" s="2" t="n">
        <f aca="false">'Raw Data'!Q1593</f>
        <v>30</v>
      </c>
      <c r="F1593" s="2" t="n">
        <f aca="false">'Raw Data'!U1593</f>
        <v>2</v>
      </c>
      <c r="G1593" s="2" t="n">
        <f aca="false">'Raw Data'!W1593</f>
        <v>4</v>
      </c>
      <c r="H1593" s="2" t="n">
        <f aca="false">'Raw Data'!V1593</f>
        <v>3</v>
      </c>
      <c r="I1593" s="2" t="n">
        <f aca="false">IF(AND(ISNUMBER(B1593),B1593&lt;=25),2,0)+IF(AND(ISNUMBER(E1593),E1593&lt;=5),2,0)+IF(AND(ISNUMBER(F1593),F1593&lt;=1),2,0)+IF(AND(ISNUMBER(G1593),G1593&lt;=2),1,0)+IF(AND(ISNUMBER(H1593),H1593&lt;=2),1,0)</f>
        <v>0</v>
      </c>
      <c r="J1593" s="2" t="str">
        <f aca="false">IF(I1593&gt;=6,"High",IF(I1593&gt;=3,"Medium","Low"))</f>
        <v>Low</v>
      </c>
    </row>
    <row r="1594" customFormat="false" ht="15" hidden="false" customHeight="true" outlineLevel="0" collapsed="false">
      <c r="A1594" s="2" t="n">
        <f aca="false">'Raw Data'!H1594</f>
        <v>1593</v>
      </c>
      <c r="B1594" s="2" t="n">
        <f aca="false">'Raw Data'!A1594</f>
        <v>24</v>
      </c>
      <c r="C1594" s="2" t="str">
        <f aca="false">'Raw Data'!D1594</f>
        <v>Research &amp; Development</v>
      </c>
      <c r="D1594" s="2" t="str">
        <f aca="false">'Raw Data'!K1594</f>
        <v>Manager</v>
      </c>
      <c r="E1594" s="2" t="n">
        <f aca="false">'Raw Data'!Q1594</f>
        <v>5</v>
      </c>
      <c r="F1594" s="2" t="n">
        <f aca="false">'Raw Data'!U1594</f>
        <v>3</v>
      </c>
      <c r="G1594" s="2" t="n">
        <f aca="false">'Raw Data'!W1594</f>
        <v>3</v>
      </c>
      <c r="H1594" s="2" t="n">
        <f aca="false">'Raw Data'!V1594</f>
        <v>4</v>
      </c>
      <c r="I1594" s="2" t="n">
        <f aca="false">IF(AND(ISNUMBER(B1594),B1594&lt;=25),2,0)+IF(AND(ISNUMBER(E1594),E1594&lt;=5),2,0)+IF(AND(ISNUMBER(F1594),F1594&lt;=1),2,0)+IF(AND(ISNUMBER(G1594),G1594&lt;=2),1,0)+IF(AND(ISNUMBER(H1594),H1594&lt;=2),1,0)</f>
        <v>4</v>
      </c>
      <c r="J1594" s="2" t="str">
        <f aca="false">IF(I1594&gt;=6,"High",IF(I1594&gt;=3,"Medium","Low"))</f>
        <v>Medium</v>
      </c>
    </row>
    <row r="1595" customFormat="false" ht="15" hidden="false" customHeight="true" outlineLevel="0" collapsed="false">
      <c r="A1595" s="2" t="n">
        <f aca="false">'Raw Data'!H1595</f>
        <v>1594</v>
      </c>
      <c r="B1595" s="2" t="n">
        <f aca="false">'Raw Data'!A1595</f>
        <v>30</v>
      </c>
      <c r="C1595" s="2" t="str">
        <f aca="false">'Raw Data'!D1595</f>
        <v>Research &amp; Development</v>
      </c>
      <c r="D1595" s="2" t="str">
        <f aca="false">'Raw Data'!K1595</f>
        <v>Manager</v>
      </c>
      <c r="E1595" s="2" t="n">
        <f aca="false">'Raw Data'!Q1595</f>
        <v>1</v>
      </c>
      <c r="F1595" s="2" t="n">
        <f aca="false">'Raw Data'!U1595</f>
        <v>0</v>
      </c>
      <c r="G1595" s="2" t="n">
        <f aca="false">'Raw Data'!W1595</f>
        <v>2</v>
      </c>
      <c r="H1595" s="2" t="n">
        <f aca="false">'Raw Data'!V1595</f>
        <v>3</v>
      </c>
      <c r="I1595" s="2" t="n">
        <f aca="false">IF(AND(ISNUMBER(B1595),B1595&lt;=25),2,0)+IF(AND(ISNUMBER(E1595),E1595&lt;=5),2,0)+IF(AND(ISNUMBER(F1595),F1595&lt;=1),2,0)+IF(AND(ISNUMBER(G1595),G1595&lt;=2),1,0)+IF(AND(ISNUMBER(H1595),H1595&lt;=2),1,0)</f>
        <v>5</v>
      </c>
      <c r="J1595" s="2" t="str">
        <f aca="false">IF(I1595&gt;=6,"High",IF(I1595&gt;=3,"Medium","Low"))</f>
        <v>Medium</v>
      </c>
    </row>
    <row r="1596" customFormat="false" ht="15" hidden="false" customHeight="true" outlineLevel="0" collapsed="false">
      <c r="A1596" s="2" t="n">
        <f aca="false">'Raw Data'!H1596</f>
        <v>1595</v>
      </c>
      <c r="B1596" s="2" t="n">
        <f aca="false">'Raw Data'!A1596</f>
        <v>26</v>
      </c>
      <c r="C1596" s="2" t="str">
        <f aca="false">'Raw Data'!D1596</f>
        <v>Sales</v>
      </c>
      <c r="D1596" s="2" t="str">
        <f aca="false">'Raw Data'!K1596</f>
        <v>Manager</v>
      </c>
      <c r="E1596" s="2" t="n">
        <f aca="false">'Raw Data'!Q1596</f>
        <v>7</v>
      </c>
      <c r="F1596" s="2" t="n">
        <f aca="false">'Raw Data'!U1596</f>
        <v>4</v>
      </c>
      <c r="G1596" s="2" t="n">
        <f aca="false">'Raw Data'!W1596</f>
        <v>1</v>
      </c>
      <c r="H1596" s="2" t="n">
        <f aca="false">'Raw Data'!V1596</f>
        <v>3</v>
      </c>
      <c r="I1596" s="2" t="n">
        <f aca="false">IF(AND(ISNUMBER(B1596),B1596&lt;=25),2,0)+IF(AND(ISNUMBER(E1596),E1596&lt;=5),2,0)+IF(AND(ISNUMBER(F1596),F1596&lt;=1),2,0)+IF(AND(ISNUMBER(G1596),G1596&lt;=2),1,0)+IF(AND(ISNUMBER(H1596),H1596&lt;=2),1,0)</f>
        <v>1</v>
      </c>
      <c r="J1596" s="2" t="str">
        <f aca="false">IF(I1596&gt;=6,"High",IF(I1596&gt;=3,"Medium","Low"))</f>
        <v>Low</v>
      </c>
    </row>
    <row r="1597" customFormat="false" ht="15" hidden="false" customHeight="true" outlineLevel="0" collapsed="false">
      <c r="A1597" s="2" t="n">
        <f aca="false">'Raw Data'!H1597</f>
        <v>1596</v>
      </c>
      <c r="B1597" s="2" t="n">
        <f aca="false">'Raw Data'!A1597</f>
        <v>22</v>
      </c>
      <c r="C1597" s="2" t="str">
        <f aca="false">'Raw Data'!D1597</f>
        <v>Research &amp; Development</v>
      </c>
      <c r="D1597" s="2" t="str">
        <f aca="false">'Raw Data'!K1597</f>
        <v>Research Scientist</v>
      </c>
      <c r="E1597" s="2" t="n">
        <f aca="false">'Raw Data'!Q1597</f>
        <v>2</v>
      </c>
      <c r="F1597" s="2" t="n">
        <f aca="false">'Raw Data'!U1597</f>
        <v>2</v>
      </c>
      <c r="G1597" s="2" t="n">
        <f aca="false">'Raw Data'!W1597</f>
        <v>2</v>
      </c>
      <c r="H1597" s="2" t="n">
        <f aca="false">'Raw Data'!V1597</f>
        <v>1</v>
      </c>
      <c r="I1597" s="2" t="n">
        <f aca="false">IF(AND(ISNUMBER(B1597),B1597&lt;=25),2,0)+IF(AND(ISNUMBER(E1597),E1597&lt;=5),2,0)+IF(AND(ISNUMBER(F1597),F1597&lt;=1),2,0)+IF(AND(ISNUMBER(G1597),G1597&lt;=2),1,0)+IF(AND(ISNUMBER(H1597),H1597&lt;=2),1,0)</f>
        <v>6</v>
      </c>
      <c r="J1597" s="2" t="str">
        <f aca="false">IF(I1597&gt;=6,"High",IF(I1597&gt;=3,"Medium","Low"))</f>
        <v>High</v>
      </c>
    </row>
    <row r="1598" customFormat="false" ht="15" hidden="false" customHeight="true" outlineLevel="0" collapsed="false">
      <c r="A1598" s="2" t="n">
        <f aca="false">'Raw Data'!H1598</f>
        <v>1597</v>
      </c>
      <c r="B1598" s="2" t="n">
        <f aca="false">'Raw Data'!A1598</f>
        <v>36</v>
      </c>
      <c r="C1598" s="2" t="str">
        <f aca="false">'Raw Data'!D1598</f>
        <v>Research &amp; Development</v>
      </c>
      <c r="D1598" s="2" t="str">
        <f aca="false">'Raw Data'!K1598</f>
        <v>Healthcare Representative</v>
      </c>
      <c r="E1598" s="2" t="n">
        <f aca="false">'Raw Data'!Q1598</f>
        <v>10</v>
      </c>
      <c r="F1598" s="2" t="n">
        <f aca="false">'Raw Data'!U1598</f>
        <v>0</v>
      </c>
      <c r="G1598" s="2" t="n">
        <f aca="false">'Raw Data'!W1598</f>
        <v>3</v>
      </c>
      <c r="H1598" s="2" t="n">
        <f aca="false">'Raw Data'!V1598</f>
        <v>2</v>
      </c>
      <c r="I1598" s="2" t="n">
        <f aca="false">IF(AND(ISNUMBER(B1598),B1598&lt;=25),2,0)+IF(AND(ISNUMBER(E1598),E1598&lt;=5),2,0)+IF(AND(ISNUMBER(F1598),F1598&lt;=1),2,0)+IF(AND(ISNUMBER(G1598),G1598&lt;=2),1,0)+IF(AND(ISNUMBER(H1598),H1598&lt;=2),1,0)</f>
        <v>3</v>
      </c>
      <c r="J1598" s="2" t="str">
        <f aca="false">IF(I1598&gt;=6,"High",IF(I1598&gt;=3,"Medium","Low"))</f>
        <v>Medium</v>
      </c>
    </row>
    <row r="1599" customFormat="false" ht="15" hidden="false" customHeight="true" outlineLevel="0" collapsed="false">
      <c r="A1599" s="2" t="n">
        <f aca="false">'Raw Data'!H1599</f>
        <v>1598</v>
      </c>
      <c r="B1599" s="2" t="n">
        <f aca="false">'Raw Data'!A1599</f>
        <v>30</v>
      </c>
      <c r="C1599" s="2" t="str">
        <f aca="false">'Raw Data'!D1599</f>
        <v>Sales</v>
      </c>
      <c r="D1599" s="2" t="str">
        <f aca="false">'Raw Data'!K1599</f>
        <v>Research Scientist</v>
      </c>
      <c r="E1599" s="2" t="n">
        <f aca="false">'Raw Data'!Q1599</f>
        <v>3</v>
      </c>
      <c r="F1599" s="2" t="n">
        <f aca="false">'Raw Data'!U1599</f>
        <v>0</v>
      </c>
      <c r="G1599" s="2" t="n">
        <f aca="false">'Raw Data'!W1599</f>
        <v>4</v>
      </c>
      <c r="H1599" s="2" t="n">
        <f aca="false">'Raw Data'!V1599</f>
        <v>3</v>
      </c>
      <c r="I1599" s="2" t="n">
        <f aca="false">IF(AND(ISNUMBER(B1599),B1599&lt;=25),2,0)+IF(AND(ISNUMBER(E1599),E1599&lt;=5),2,0)+IF(AND(ISNUMBER(F1599),F1599&lt;=1),2,0)+IF(AND(ISNUMBER(G1599),G1599&lt;=2),1,0)+IF(AND(ISNUMBER(H1599),H1599&lt;=2),1,0)</f>
        <v>4</v>
      </c>
      <c r="J1599" s="2" t="str">
        <f aca="false">IF(I1599&gt;=6,"High",IF(I1599&gt;=3,"Medium","Low"))</f>
        <v>Medium</v>
      </c>
    </row>
    <row r="1600" customFormat="false" ht="15" hidden="false" customHeight="true" outlineLevel="0" collapsed="false">
      <c r="A1600" s="2" t="n">
        <f aca="false">'Raw Data'!H1600</f>
        <v>1599</v>
      </c>
      <c r="B1600" s="2" t="n">
        <f aca="false">'Raw Data'!A1600</f>
        <v>37</v>
      </c>
      <c r="C1600" s="2" t="str">
        <f aca="false">'Raw Data'!D1600</f>
        <v>Research &amp; Development</v>
      </c>
      <c r="D1600" s="2" t="str">
        <f aca="false">'Raw Data'!K1600</f>
        <v>Sales Executive</v>
      </c>
      <c r="E1600" s="2" t="n">
        <f aca="false">'Raw Data'!Q1600</f>
        <v>18</v>
      </c>
      <c r="F1600" s="2" t="n">
        <f aca="false">'Raw Data'!U1600</f>
        <v>17</v>
      </c>
      <c r="G1600" s="2" t="n">
        <f aca="false">'Raw Data'!W1600</f>
        <v>1</v>
      </c>
      <c r="H1600" s="2" t="n">
        <f aca="false">'Raw Data'!V1600</f>
        <v>4</v>
      </c>
      <c r="I1600" s="2" t="n">
        <f aca="false">IF(AND(ISNUMBER(B1600),B1600&lt;=25),2,0)+IF(AND(ISNUMBER(E1600),E1600&lt;=5),2,0)+IF(AND(ISNUMBER(F1600),F1600&lt;=1),2,0)+IF(AND(ISNUMBER(G1600),G1600&lt;=2),1,0)+IF(AND(ISNUMBER(H1600),H1600&lt;=2),1,0)</f>
        <v>1</v>
      </c>
      <c r="J1600" s="2" t="str">
        <f aca="false">IF(I1600&gt;=6,"High",IF(I1600&gt;=3,"Medium","Low"))</f>
        <v>Low</v>
      </c>
    </row>
    <row r="1601" customFormat="false" ht="15" hidden="false" customHeight="true" outlineLevel="0" collapsed="false">
      <c r="A1601" s="2" t="n">
        <f aca="false">'Raw Data'!H1601</f>
        <v>1600</v>
      </c>
      <c r="B1601" s="2" t="n">
        <f aca="false">'Raw Data'!A1601</f>
        <v>40</v>
      </c>
      <c r="C1601" s="2" t="str">
        <f aca="false">'Raw Data'!D1601</f>
        <v>Research &amp; Development</v>
      </c>
      <c r="D1601" s="2" t="str">
        <f aca="false">'Raw Data'!K1601</f>
        <v>Research Scientist</v>
      </c>
      <c r="E1601" s="2" t="n">
        <f aca="false">'Raw Data'!Q1601</f>
        <v>8</v>
      </c>
      <c r="F1601" s="2" t="n">
        <f aca="false">'Raw Data'!U1601</f>
        <v>3</v>
      </c>
      <c r="G1601" s="2" t="n">
        <f aca="false">'Raw Data'!W1601</f>
        <v>2</v>
      </c>
      <c r="H1601" s="2" t="n">
        <f aca="false">'Raw Data'!V1601</f>
        <v>4</v>
      </c>
      <c r="I1601" s="2" t="n">
        <f aca="false">IF(AND(ISNUMBER(B1601),B1601&lt;=25),2,0)+IF(AND(ISNUMBER(E1601),E1601&lt;=5),2,0)+IF(AND(ISNUMBER(F1601),F1601&lt;=1),2,0)+IF(AND(ISNUMBER(G1601),G1601&lt;=2),1,0)+IF(AND(ISNUMBER(H1601),H1601&lt;=2),1,0)</f>
        <v>1</v>
      </c>
      <c r="J1601" s="2" t="str">
        <f aca="false">IF(I1601&gt;=6,"High",IF(I1601&gt;=3,"Medium","Low"))</f>
        <v>Low</v>
      </c>
    </row>
    <row r="1602" customFormat="false" ht="15" hidden="false" customHeight="true" outlineLevel="0" collapsed="false">
      <c r="A1602" s="2" t="n">
        <f aca="false">'Raw Data'!H1602</f>
        <v>1601</v>
      </c>
      <c r="B1602" s="2" t="n">
        <f aca="false">'Raw Data'!A1602</f>
        <v>42</v>
      </c>
      <c r="C1602" s="2" t="str">
        <f aca="false">'Raw Data'!D1602</f>
        <v>Research &amp; Development</v>
      </c>
      <c r="D1602" s="2" t="str">
        <f aca="false">'Raw Data'!K1602</f>
        <v>Manager</v>
      </c>
      <c r="E1602" s="2" t="n">
        <f aca="false">'Raw Data'!Q1602</f>
        <v>8</v>
      </c>
      <c r="F1602" s="2" t="n">
        <f aca="false">'Raw Data'!U1602</f>
        <v>2</v>
      </c>
      <c r="G1602" s="2" t="n">
        <f aca="false">'Raw Data'!W1602</f>
        <v>1</v>
      </c>
      <c r="H1602" s="2" t="n">
        <f aca="false">'Raw Data'!V1602</f>
        <v>2</v>
      </c>
      <c r="I1602" s="2" t="n">
        <f aca="false">IF(AND(ISNUMBER(B1602),B1602&lt;=25),2,0)+IF(AND(ISNUMBER(E1602),E1602&lt;=5),2,0)+IF(AND(ISNUMBER(F1602),F1602&lt;=1),2,0)+IF(AND(ISNUMBER(G1602),G1602&lt;=2),1,0)+IF(AND(ISNUMBER(H1602),H1602&lt;=2),1,0)</f>
        <v>2</v>
      </c>
      <c r="J1602" s="2" t="str">
        <f aca="false">IF(I1602&gt;=6,"High",IF(I1602&gt;=3,"Medium","Low"))</f>
        <v>Low</v>
      </c>
    </row>
    <row r="1603" customFormat="false" ht="15" hidden="false" customHeight="true" outlineLevel="0" collapsed="false">
      <c r="A1603" s="2" t="n">
        <f aca="false">'Raw Data'!H1603</f>
        <v>1602</v>
      </c>
      <c r="B1603" s="2" t="n">
        <f aca="false">'Raw Data'!A1603</f>
        <v>37</v>
      </c>
      <c r="C1603" s="2" t="str">
        <f aca="false">'Raw Data'!D1603</f>
        <v>Sales</v>
      </c>
      <c r="D1603" s="2" t="str">
        <f aca="false">'Raw Data'!K1603</f>
        <v>Sales Executive</v>
      </c>
      <c r="E1603" s="2" t="n">
        <f aca="false">'Raw Data'!Q1603</f>
        <v>18</v>
      </c>
      <c r="F1603" s="2" t="n">
        <f aca="false">'Raw Data'!U1603</f>
        <v>1</v>
      </c>
      <c r="G1603" s="2" t="n">
        <f aca="false">'Raw Data'!W1603</f>
        <v>2</v>
      </c>
      <c r="H1603" s="2" t="n">
        <f aca="false">'Raw Data'!V1603</f>
        <v>3</v>
      </c>
      <c r="I1603" s="2" t="n">
        <f aca="false">IF(AND(ISNUMBER(B1603),B1603&lt;=25),2,0)+IF(AND(ISNUMBER(E1603),E1603&lt;=5),2,0)+IF(AND(ISNUMBER(F1603),F1603&lt;=1),2,0)+IF(AND(ISNUMBER(G1603),G1603&lt;=2),1,0)+IF(AND(ISNUMBER(H1603),H1603&lt;=2),1,0)</f>
        <v>3</v>
      </c>
      <c r="J1603" s="2" t="str">
        <f aca="false">IF(I1603&gt;=6,"High",IF(I1603&gt;=3,"Medium","Low"))</f>
        <v>Medium</v>
      </c>
    </row>
    <row r="1604" customFormat="false" ht="15" hidden="false" customHeight="true" outlineLevel="0" collapsed="false">
      <c r="A1604" s="2" t="n">
        <f aca="false">'Raw Data'!H1604</f>
        <v>1603</v>
      </c>
      <c r="B1604" s="2" t="n">
        <f aca="false">'Raw Data'!A1604</f>
        <v>43</v>
      </c>
      <c r="C1604" s="2" t="str">
        <f aca="false">'Raw Data'!D1604</f>
        <v>Sales</v>
      </c>
      <c r="D1604" s="2" t="str">
        <f aca="false">'Raw Data'!K1604</f>
        <v>Sales Executive</v>
      </c>
      <c r="E1604" s="2" t="n">
        <f aca="false">'Raw Data'!Q1604</f>
        <v>25</v>
      </c>
      <c r="F1604" s="2" t="n">
        <f aca="false">'Raw Data'!U1604</f>
        <v>9</v>
      </c>
      <c r="G1604" s="2" t="n">
        <f aca="false">'Raw Data'!W1604</f>
        <v>2</v>
      </c>
      <c r="H1604" s="2" t="n">
        <f aca="false">'Raw Data'!V1604</f>
        <v>1</v>
      </c>
      <c r="I1604" s="2" t="n">
        <f aca="false">IF(AND(ISNUMBER(B1604),B1604&lt;=25),2,0)+IF(AND(ISNUMBER(E1604),E1604&lt;=5),2,0)+IF(AND(ISNUMBER(F1604),F1604&lt;=1),2,0)+IF(AND(ISNUMBER(G1604),G1604&lt;=2),1,0)+IF(AND(ISNUMBER(H1604),H1604&lt;=2),1,0)</f>
        <v>2</v>
      </c>
      <c r="J1604" s="2" t="str">
        <f aca="false">IF(I1604&gt;=6,"High",IF(I1604&gt;=3,"Medium","Low"))</f>
        <v>Low</v>
      </c>
    </row>
    <row r="1605" customFormat="false" ht="15" hidden="false" customHeight="true" outlineLevel="0" collapsed="false">
      <c r="A1605" s="2" t="n">
        <f aca="false">'Raw Data'!H1605</f>
        <v>1604</v>
      </c>
      <c r="B1605" s="2" t="n">
        <f aca="false">'Raw Data'!A1605</f>
        <v>40</v>
      </c>
      <c r="C1605" s="2" t="str">
        <f aca="false">'Raw Data'!D1605</f>
        <v>Sales</v>
      </c>
      <c r="D1605" s="2" t="str">
        <f aca="false">'Raw Data'!K1605</f>
        <v>Laboratory Technician</v>
      </c>
      <c r="E1605" s="2" t="n">
        <f aca="false">'Raw Data'!Q1605</f>
        <v>20</v>
      </c>
      <c r="F1605" s="2" t="n">
        <f aca="false">'Raw Data'!U1605</f>
        <v>0</v>
      </c>
      <c r="G1605" s="2" t="n">
        <f aca="false">'Raw Data'!W1605</f>
        <v>3</v>
      </c>
      <c r="H1605" s="2" t="n">
        <f aca="false">'Raw Data'!V1605</f>
        <v>2</v>
      </c>
      <c r="I1605" s="2" t="n">
        <f aca="false">IF(AND(ISNUMBER(B1605),B1605&lt;=25),2,0)+IF(AND(ISNUMBER(E1605),E1605&lt;=5),2,0)+IF(AND(ISNUMBER(F1605),F1605&lt;=1),2,0)+IF(AND(ISNUMBER(G1605),G1605&lt;=2),1,0)+IF(AND(ISNUMBER(H1605),H1605&lt;=2),1,0)</f>
        <v>3</v>
      </c>
      <c r="J1605" s="2" t="str">
        <f aca="false">IF(I1605&gt;=6,"High",IF(I1605&gt;=3,"Medium","Low"))</f>
        <v>Medium</v>
      </c>
    </row>
    <row r="1606" customFormat="false" ht="15" hidden="false" customHeight="true" outlineLevel="0" collapsed="false">
      <c r="A1606" s="2" t="n">
        <f aca="false">'Raw Data'!H1606</f>
        <v>1605</v>
      </c>
      <c r="B1606" s="2" t="n">
        <f aca="false">'Raw Data'!A1606</f>
        <v>54</v>
      </c>
      <c r="C1606" s="2" t="str">
        <f aca="false">'Raw Data'!D1606</f>
        <v>Human Resources</v>
      </c>
      <c r="D1606" s="2" t="str">
        <f aca="false">'Raw Data'!K1606</f>
        <v>Manufacturing Director</v>
      </c>
      <c r="E1606" s="2" t="n">
        <f aca="false">'Raw Data'!Q1606</f>
        <v>24</v>
      </c>
      <c r="F1606" s="2" t="n">
        <f aca="false">'Raw Data'!U1606</f>
        <v>2</v>
      </c>
      <c r="G1606" s="2" t="n">
        <f aca="false">'Raw Data'!W1606</f>
        <v>1</v>
      </c>
      <c r="H1606" s="2" t="n">
        <f aca="false">'Raw Data'!V1606</f>
        <v>1</v>
      </c>
      <c r="I1606" s="2" t="n">
        <f aca="false">IF(AND(ISNUMBER(B1606),B1606&lt;=25),2,0)+IF(AND(ISNUMBER(E1606),E1606&lt;=5),2,0)+IF(AND(ISNUMBER(F1606),F1606&lt;=1),2,0)+IF(AND(ISNUMBER(G1606),G1606&lt;=2),1,0)+IF(AND(ISNUMBER(H1606),H1606&lt;=2),1,0)</f>
        <v>2</v>
      </c>
      <c r="J1606" s="2" t="str">
        <f aca="false">IF(I1606&gt;=6,"High",IF(I1606&gt;=3,"Medium","Low"))</f>
        <v>Low</v>
      </c>
    </row>
    <row r="1607" customFormat="false" ht="15" hidden="false" customHeight="true" outlineLevel="0" collapsed="false">
      <c r="A1607" s="2" t="n">
        <f aca="false">'Raw Data'!H1607</f>
        <v>1606</v>
      </c>
      <c r="B1607" s="2" t="n">
        <f aca="false">'Raw Data'!A1607</f>
        <v>34</v>
      </c>
      <c r="C1607" s="2" t="str">
        <f aca="false">'Raw Data'!D1607</f>
        <v>Research &amp; Development</v>
      </c>
      <c r="D1607" s="2" t="str">
        <f aca="false">'Raw Data'!K1607</f>
        <v>Laboratory Technician</v>
      </c>
      <c r="E1607" s="2" t="n">
        <f aca="false">'Raw Data'!Q1607</f>
        <v>6</v>
      </c>
      <c r="F1607" s="2" t="n">
        <f aca="false">'Raw Data'!U1607</f>
        <v>2</v>
      </c>
      <c r="G1607" s="2" t="n">
        <f aca="false">'Raw Data'!W1607</f>
        <v>3</v>
      </c>
      <c r="H1607" s="2" t="n">
        <f aca="false">'Raw Data'!V1607</f>
        <v>3</v>
      </c>
      <c r="I1607" s="2" t="n">
        <f aca="false">IF(AND(ISNUMBER(B1607),B1607&lt;=25),2,0)+IF(AND(ISNUMBER(E1607),E1607&lt;=5),2,0)+IF(AND(ISNUMBER(F1607),F1607&lt;=1),2,0)+IF(AND(ISNUMBER(G1607),G1607&lt;=2),1,0)+IF(AND(ISNUMBER(H1607),H1607&lt;=2),1,0)</f>
        <v>0</v>
      </c>
      <c r="J1607" s="2" t="str">
        <f aca="false">IF(I1607&gt;=6,"High",IF(I1607&gt;=3,"Medium","Low"))</f>
        <v>Low</v>
      </c>
    </row>
    <row r="1608" customFormat="false" ht="15" hidden="false" customHeight="true" outlineLevel="0" collapsed="false">
      <c r="A1608" s="2" t="n">
        <f aca="false">'Raw Data'!H1608</f>
        <v>1607</v>
      </c>
      <c r="B1608" s="2" t="n">
        <f aca="false">'Raw Data'!A1608</f>
        <v>31</v>
      </c>
      <c r="C1608" s="2" t="str">
        <f aca="false">'Raw Data'!D1608</f>
        <v>Research &amp; Development</v>
      </c>
      <c r="D1608" s="2" t="str">
        <f aca="false">'Raw Data'!K1608</f>
        <v>Sales Executive</v>
      </c>
      <c r="E1608" s="2" t="n">
        <f aca="false">'Raw Data'!Q1608</f>
        <v>13</v>
      </c>
      <c r="F1608" s="2" t="n">
        <f aca="false">'Raw Data'!U1608</f>
        <v>12</v>
      </c>
      <c r="G1608" s="2" t="n">
        <f aca="false">'Raw Data'!W1608</f>
        <v>1</v>
      </c>
      <c r="H1608" s="2" t="n">
        <f aca="false">'Raw Data'!V1608</f>
        <v>2</v>
      </c>
      <c r="I1608" s="2" t="n">
        <f aca="false">IF(AND(ISNUMBER(B1608),B1608&lt;=25),2,0)+IF(AND(ISNUMBER(E1608),E1608&lt;=5),2,0)+IF(AND(ISNUMBER(F1608),F1608&lt;=1),2,0)+IF(AND(ISNUMBER(G1608),G1608&lt;=2),1,0)+IF(AND(ISNUMBER(H1608),H1608&lt;=2),1,0)</f>
        <v>2</v>
      </c>
      <c r="J1608" s="2" t="str">
        <f aca="false">IF(I1608&gt;=6,"High",IF(I1608&gt;=3,"Medium","Low"))</f>
        <v>Low</v>
      </c>
    </row>
    <row r="1609" customFormat="false" ht="15" hidden="false" customHeight="true" outlineLevel="0" collapsed="false">
      <c r="A1609" s="2" t="n">
        <f aca="false">'Raw Data'!H1609</f>
        <v>1608</v>
      </c>
      <c r="B1609" s="2" t="n">
        <f aca="false">'Raw Data'!A1609</f>
        <v>43</v>
      </c>
      <c r="C1609" s="2" t="str">
        <f aca="false">'Raw Data'!D1609</f>
        <v>Sales</v>
      </c>
      <c r="D1609" s="2" t="str">
        <f aca="false">'Raw Data'!K1609</f>
        <v>Manufacturing Director</v>
      </c>
      <c r="E1609" s="2" t="n">
        <f aca="false">'Raw Data'!Q1609</f>
        <v>8</v>
      </c>
      <c r="F1609" s="2" t="n">
        <f aca="false">'Raw Data'!U1609</f>
        <v>2</v>
      </c>
      <c r="G1609" s="2" t="n">
        <f aca="false">'Raw Data'!W1609</f>
        <v>4</v>
      </c>
      <c r="H1609" s="2" t="n">
        <f aca="false">'Raw Data'!V1609</f>
        <v>4</v>
      </c>
      <c r="I1609" s="2" t="n">
        <f aca="false">IF(AND(ISNUMBER(B1609),B1609&lt;=25),2,0)+IF(AND(ISNUMBER(E1609),E1609&lt;=5),2,0)+IF(AND(ISNUMBER(F1609),F1609&lt;=1),2,0)+IF(AND(ISNUMBER(G1609),G1609&lt;=2),1,0)+IF(AND(ISNUMBER(H1609),H1609&lt;=2),1,0)</f>
        <v>0</v>
      </c>
      <c r="J1609" s="2" t="str">
        <f aca="false">IF(I1609&gt;=6,"High",IF(I1609&gt;=3,"Medium","Low"))</f>
        <v>Low</v>
      </c>
    </row>
    <row r="1610" customFormat="false" ht="15" hidden="false" customHeight="true" outlineLevel="0" collapsed="false">
      <c r="A1610" s="2" t="n">
        <f aca="false">'Raw Data'!H1610</f>
        <v>1609</v>
      </c>
      <c r="B1610" s="2" t="n">
        <f aca="false">'Raw Data'!A1610</f>
        <v>43</v>
      </c>
      <c r="C1610" s="2" t="str">
        <f aca="false">'Raw Data'!D1610</f>
        <v>Sales</v>
      </c>
      <c r="D1610" s="2" t="str">
        <f aca="false">'Raw Data'!K1610</f>
        <v>Sales Representative</v>
      </c>
      <c r="E1610" s="2" t="n">
        <f aca="false">'Raw Data'!Q1610</f>
        <v>8</v>
      </c>
      <c r="F1610" s="2" t="n">
        <f aca="false">'Raw Data'!U1610</f>
        <v>2</v>
      </c>
      <c r="G1610" s="2" t="n">
        <f aca="false">'Raw Data'!W1610</f>
        <v>3</v>
      </c>
      <c r="H1610" s="2" t="n">
        <f aca="false">'Raw Data'!V1610</f>
        <v>3</v>
      </c>
      <c r="I1610" s="2" t="n">
        <f aca="false">IF(AND(ISNUMBER(B1610),B1610&lt;=25),2,0)+IF(AND(ISNUMBER(E1610),E1610&lt;=5),2,0)+IF(AND(ISNUMBER(F1610),F1610&lt;=1),2,0)+IF(AND(ISNUMBER(G1610),G1610&lt;=2),1,0)+IF(AND(ISNUMBER(H1610),H1610&lt;=2),1,0)</f>
        <v>0</v>
      </c>
      <c r="J1610" s="2" t="str">
        <f aca="false">IF(I1610&gt;=6,"High",IF(I1610&gt;=3,"Medium","Low"))</f>
        <v>Low</v>
      </c>
    </row>
    <row r="1611" customFormat="false" ht="15" hidden="false" customHeight="true" outlineLevel="0" collapsed="false">
      <c r="A1611" s="2" t="n">
        <f aca="false">'Raw Data'!H1611</f>
        <v>1610</v>
      </c>
      <c r="B1611" s="2" t="n">
        <f aca="false">'Raw Data'!A1611</f>
        <v>25</v>
      </c>
      <c r="C1611" s="2" t="str">
        <f aca="false">'Raw Data'!D1611</f>
        <v>Human Resources</v>
      </c>
      <c r="D1611" s="2" t="str">
        <f aca="false">'Raw Data'!K1611</f>
        <v>Manufacturing Director</v>
      </c>
      <c r="E1611" s="2" t="n">
        <f aca="false">'Raw Data'!Q1611</f>
        <v>5</v>
      </c>
      <c r="F1611" s="2" t="n">
        <f aca="false">'Raw Data'!U1611</f>
        <v>3</v>
      </c>
      <c r="G1611" s="2" t="n">
        <f aca="false">'Raw Data'!W1611</f>
        <v>4</v>
      </c>
      <c r="H1611" s="2" t="n">
        <f aca="false">'Raw Data'!V1611</f>
        <v>2</v>
      </c>
      <c r="I1611" s="2" t="n">
        <f aca="false">IF(AND(ISNUMBER(B1611),B1611&lt;=25),2,0)+IF(AND(ISNUMBER(E1611),E1611&lt;=5),2,0)+IF(AND(ISNUMBER(F1611),F1611&lt;=1),2,0)+IF(AND(ISNUMBER(G1611),G1611&lt;=2),1,0)+IF(AND(ISNUMBER(H1611),H1611&lt;=2),1,0)</f>
        <v>5</v>
      </c>
      <c r="J1611" s="2" t="str">
        <f aca="false">IF(I1611&gt;=6,"High",IF(I1611&gt;=3,"Medium","Low"))</f>
        <v>Medium</v>
      </c>
    </row>
    <row r="1612" customFormat="false" ht="15" hidden="false" customHeight="true" outlineLevel="0" collapsed="false">
      <c r="A1612" s="2" t="n">
        <f aca="false">'Raw Data'!H1612</f>
        <v>1611</v>
      </c>
      <c r="B1612" s="2" t="n">
        <f aca="false">'Raw Data'!A1612</f>
        <v>37</v>
      </c>
      <c r="C1612" s="2" t="str">
        <f aca="false">'Raw Data'!D1612</f>
        <v>Research &amp; Development</v>
      </c>
      <c r="D1612" s="2" t="str">
        <f aca="false">'Raw Data'!K1612</f>
        <v>Laboratory Technician</v>
      </c>
      <c r="E1612" s="2" t="n">
        <f aca="false">'Raw Data'!Q1612</f>
        <v>15</v>
      </c>
      <c r="F1612" s="2" t="n">
        <f aca="false">'Raw Data'!U1612</f>
        <v>7</v>
      </c>
      <c r="G1612" s="2" t="n">
        <f aca="false">'Raw Data'!W1612</f>
        <v>3</v>
      </c>
      <c r="H1612" s="2" t="n">
        <f aca="false">'Raw Data'!V1612</f>
        <v>2</v>
      </c>
      <c r="I1612" s="2" t="n">
        <f aca="false">IF(AND(ISNUMBER(B1612),B1612&lt;=25),2,0)+IF(AND(ISNUMBER(E1612),E1612&lt;=5),2,0)+IF(AND(ISNUMBER(F1612),F1612&lt;=1),2,0)+IF(AND(ISNUMBER(G1612),G1612&lt;=2),1,0)+IF(AND(ISNUMBER(H1612),H1612&lt;=2),1,0)</f>
        <v>1</v>
      </c>
      <c r="J1612" s="2" t="str">
        <f aca="false">IF(I1612&gt;=6,"High",IF(I1612&gt;=3,"Medium","Low"))</f>
        <v>Low</v>
      </c>
    </row>
    <row r="1613" customFormat="false" ht="15" hidden="false" customHeight="true" outlineLevel="0" collapsed="false">
      <c r="A1613" s="2" t="n">
        <f aca="false">'Raw Data'!H1613</f>
        <v>1612</v>
      </c>
      <c r="B1613" s="2" t="n">
        <f aca="false">'Raw Data'!A1613</f>
        <v>31</v>
      </c>
      <c r="C1613" s="2" t="str">
        <f aca="false">'Raw Data'!D1613</f>
        <v>Research &amp; Development</v>
      </c>
      <c r="D1613" s="2" t="str">
        <f aca="false">'Raw Data'!K1613</f>
        <v>Laboratory Technician</v>
      </c>
      <c r="E1613" s="2" t="n">
        <f aca="false">'Raw Data'!Q1613</f>
        <v>4</v>
      </c>
      <c r="F1613" s="2" t="n">
        <f aca="false">'Raw Data'!U1613</f>
        <v>2</v>
      </c>
      <c r="G1613" s="2" t="n">
        <f aca="false">'Raw Data'!W1613</f>
        <v>1</v>
      </c>
      <c r="H1613" s="2" t="n">
        <f aca="false">'Raw Data'!V1613</f>
        <v>4</v>
      </c>
      <c r="I1613" s="2" t="n">
        <f aca="false">IF(AND(ISNUMBER(B1613),B1613&lt;=25),2,0)+IF(AND(ISNUMBER(E1613),E1613&lt;=5),2,0)+IF(AND(ISNUMBER(F1613),F1613&lt;=1),2,0)+IF(AND(ISNUMBER(G1613),G1613&lt;=2),1,0)+IF(AND(ISNUMBER(H1613),H1613&lt;=2),1,0)</f>
        <v>3</v>
      </c>
      <c r="J1613" s="2" t="str">
        <f aca="false">IF(I1613&gt;=6,"High",IF(I1613&gt;=3,"Medium","Low"))</f>
        <v>Medium</v>
      </c>
    </row>
    <row r="1614" customFormat="false" ht="15" hidden="false" customHeight="true" outlineLevel="0" collapsed="false">
      <c r="A1614" s="2" t="n">
        <f aca="false">'Raw Data'!H1614</f>
        <v>1613</v>
      </c>
      <c r="B1614" s="2" t="n">
        <f aca="false">'Raw Data'!A1614</f>
        <v>39</v>
      </c>
      <c r="C1614" s="2" t="str">
        <f aca="false">'Raw Data'!D1614</f>
        <v>Research &amp; Development</v>
      </c>
      <c r="D1614" s="2" t="str">
        <f aca="false">'Raw Data'!K1614</f>
        <v>Sales Executive</v>
      </c>
      <c r="E1614" s="2" t="n">
        <f aca="false">'Raw Data'!Q1614</f>
        <v>21</v>
      </c>
      <c r="F1614" s="2" t="n">
        <f aca="false">'Raw Data'!U1614</f>
        <v>6</v>
      </c>
      <c r="G1614" s="2" t="n">
        <f aca="false">'Raw Data'!W1614</f>
        <v>3</v>
      </c>
      <c r="H1614" s="2" t="n">
        <f aca="false">'Raw Data'!V1614</f>
        <v>2</v>
      </c>
      <c r="I1614" s="2" t="n">
        <f aca="false">IF(AND(ISNUMBER(B1614),B1614&lt;=25),2,0)+IF(AND(ISNUMBER(E1614),E1614&lt;=5),2,0)+IF(AND(ISNUMBER(F1614),F1614&lt;=1),2,0)+IF(AND(ISNUMBER(G1614),G1614&lt;=2),1,0)+IF(AND(ISNUMBER(H1614),H1614&lt;=2),1,0)</f>
        <v>1</v>
      </c>
      <c r="J1614" s="2" t="str">
        <f aca="false">IF(I1614&gt;=6,"High",IF(I1614&gt;=3,"Medium","Low"))</f>
        <v>Low</v>
      </c>
    </row>
    <row r="1615" customFormat="false" ht="15" hidden="false" customHeight="true" outlineLevel="0" collapsed="false">
      <c r="A1615" s="2" t="n">
        <f aca="false">'Raw Data'!H1615</f>
        <v>1614</v>
      </c>
      <c r="B1615" s="2" t="n">
        <f aca="false">'Raw Data'!A1615</f>
        <v>56</v>
      </c>
      <c r="C1615" s="2" t="str">
        <f aca="false">'Raw Data'!D1615</f>
        <v>Research &amp; Development</v>
      </c>
      <c r="D1615" s="2" t="str">
        <f aca="false">'Raw Data'!K1615</f>
        <v>Sales Executive</v>
      </c>
      <c r="E1615" s="2" t="n">
        <f aca="false">'Raw Data'!Q1615</f>
        <v>36</v>
      </c>
      <c r="F1615" s="2" t="n">
        <f aca="false">'Raw Data'!U1615</f>
        <v>7</v>
      </c>
      <c r="G1615" s="2" t="n">
        <f aca="false">'Raw Data'!W1615</f>
        <v>1</v>
      </c>
      <c r="H1615" s="2" t="n">
        <f aca="false">'Raw Data'!V1615</f>
        <v>3</v>
      </c>
      <c r="I1615" s="2" t="n">
        <f aca="false">IF(AND(ISNUMBER(B1615),B1615&lt;=25),2,0)+IF(AND(ISNUMBER(E1615),E1615&lt;=5),2,0)+IF(AND(ISNUMBER(F1615),F1615&lt;=1),2,0)+IF(AND(ISNUMBER(G1615),G1615&lt;=2),1,0)+IF(AND(ISNUMBER(H1615),H1615&lt;=2),1,0)</f>
        <v>1</v>
      </c>
      <c r="J1615" s="2" t="str">
        <f aca="false">IF(I1615&gt;=6,"High",IF(I1615&gt;=3,"Medium","Low"))</f>
        <v>Low</v>
      </c>
    </row>
    <row r="1616" customFormat="false" ht="15" hidden="false" customHeight="true" outlineLevel="0" collapsed="false">
      <c r="A1616" s="2" t="n">
        <f aca="false">'Raw Data'!H1616</f>
        <v>1615</v>
      </c>
      <c r="B1616" s="2" t="n">
        <f aca="false">'Raw Data'!A1616</f>
        <v>30</v>
      </c>
      <c r="C1616" s="2" t="str">
        <f aca="false">'Raw Data'!D1616</f>
        <v>Sales</v>
      </c>
      <c r="D1616" s="2" t="str">
        <f aca="false">'Raw Data'!K1616</f>
        <v>Manufacturing Director</v>
      </c>
      <c r="E1616" s="2" t="n">
        <f aca="false">'Raw Data'!Q1616</f>
        <v>6</v>
      </c>
      <c r="F1616" s="2" t="n">
        <f aca="false">'Raw Data'!U1616</f>
        <v>4</v>
      </c>
      <c r="G1616" s="2" t="n">
        <f aca="false">'Raw Data'!W1616</f>
        <v>3</v>
      </c>
      <c r="H1616" s="2" t="n">
        <f aca="false">'Raw Data'!V1616</f>
        <v>2</v>
      </c>
      <c r="I1616" s="2" t="n">
        <f aca="false">IF(AND(ISNUMBER(B1616),B1616&lt;=25),2,0)+IF(AND(ISNUMBER(E1616),E1616&lt;=5),2,0)+IF(AND(ISNUMBER(F1616),F1616&lt;=1),2,0)+IF(AND(ISNUMBER(G1616),G1616&lt;=2),1,0)+IF(AND(ISNUMBER(H1616),H1616&lt;=2),1,0)</f>
        <v>1</v>
      </c>
      <c r="J1616" s="2" t="str">
        <f aca="false">IF(I1616&gt;=6,"High",IF(I1616&gt;=3,"Medium","Low"))</f>
        <v>Low</v>
      </c>
    </row>
    <row r="1617" customFormat="false" ht="15" hidden="false" customHeight="true" outlineLevel="0" collapsed="false">
      <c r="A1617" s="2" t="n">
        <f aca="false">'Raw Data'!H1617</f>
        <v>1616</v>
      </c>
      <c r="B1617" s="2" t="n">
        <f aca="false">'Raw Data'!A1617</f>
        <v>41</v>
      </c>
      <c r="C1617" s="2" t="str">
        <f aca="false">'Raw Data'!D1617</f>
        <v>Research &amp; Development</v>
      </c>
      <c r="D1617" s="2" t="str">
        <f aca="false">'Raw Data'!K1617</f>
        <v>Research Scientist</v>
      </c>
      <c r="E1617" s="2" t="n">
        <f aca="false">'Raw Data'!Q1617</f>
        <v>10</v>
      </c>
      <c r="F1617" s="2" t="n">
        <f aca="false">'Raw Data'!U1617</f>
        <v>7</v>
      </c>
      <c r="G1617" s="2" t="n">
        <f aca="false">'Raw Data'!W1617</f>
        <v>1</v>
      </c>
      <c r="H1617" s="2" t="n">
        <f aca="false">'Raw Data'!V1617</f>
        <v>2</v>
      </c>
      <c r="I1617" s="2" t="n">
        <f aca="false">IF(AND(ISNUMBER(B1617),B1617&lt;=25),2,0)+IF(AND(ISNUMBER(E1617),E1617&lt;=5),2,0)+IF(AND(ISNUMBER(F1617),F1617&lt;=1),2,0)+IF(AND(ISNUMBER(G1617),G1617&lt;=2),1,0)+IF(AND(ISNUMBER(H1617),H1617&lt;=2),1,0)</f>
        <v>2</v>
      </c>
      <c r="J1617" s="2" t="str">
        <f aca="false">IF(I1617&gt;=6,"High",IF(I1617&gt;=3,"Medium","Low"))</f>
        <v>Low</v>
      </c>
    </row>
    <row r="1618" customFormat="false" ht="15" hidden="false" customHeight="true" outlineLevel="0" collapsed="false">
      <c r="A1618" s="2" t="n">
        <f aca="false">'Raw Data'!H1618</f>
        <v>1617</v>
      </c>
      <c r="B1618" s="2" t="n">
        <f aca="false">'Raw Data'!A1618</f>
        <v>28</v>
      </c>
      <c r="C1618" s="2" t="str">
        <f aca="false">'Raw Data'!D1618</f>
        <v>Research &amp; Development</v>
      </c>
      <c r="D1618" s="2" t="str">
        <f aca="false">'Raw Data'!K1618</f>
        <v>Healthcare Representative</v>
      </c>
      <c r="E1618" s="2" t="n">
        <f aca="false">'Raw Data'!Q1618</f>
        <v>10</v>
      </c>
      <c r="F1618" s="2" t="n">
        <f aca="false">'Raw Data'!U1618</f>
        <v>8</v>
      </c>
      <c r="G1618" s="2" t="n">
        <f aca="false">'Raw Data'!W1618</f>
        <v>1</v>
      </c>
      <c r="H1618" s="2" t="n">
        <f aca="false">'Raw Data'!V1618</f>
        <v>3</v>
      </c>
      <c r="I1618" s="2" t="n">
        <f aca="false">IF(AND(ISNUMBER(B1618),B1618&lt;=25),2,0)+IF(AND(ISNUMBER(E1618),E1618&lt;=5),2,0)+IF(AND(ISNUMBER(F1618),F1618&lt;=1),2,0)+IF(AND(ISNUMBER(G1618),G1618&lt;=2),1,0)+IF(AND(ISNUMBER(H1618),H1618&lt;=2),1,0)</f>
        <v>1</v>
      </c>
      <c r="J1618" s="2" t="str">
        <f aca="false">IF(I1618&gt;=6,"High",IF(I1618&gt;=3,"Medium","Low"))</f>
        <v>Low</v>
      </c>
    </row>
    <row r="1619" customFormat="false" ht="15" hidden="false" customHeight="true" outlineLevel="0" collapsed="false">
      <c r="A1619" s="2" t="n">
        <f aca="false">'Raw Data'!H1619</f>
        <v>1618</v>
      </c>
      <c r="B1619" s="2" t="n">
        <f aca="false">'Raw Data'!A1619</f>
        <v>25</v>
      </c>
      <c r="C1619" s="2" t="str">
        <f aca="false">'Raw Data'!D1619</f>
        <v>Research &amp; Development</v>
      </c>
      <c r="D1619" s="2" t="str">
        <f aca="false">'Raw Data'!K1619</f>
        <v>Laboratory Technician</v>
      </c>
      <c r="E1619" s="2" t="n">
        <f aca="false">'Raw Data'!Q1619</f>
        <v>6</v>
      </c>
      <c r="F1619" s="2" t="n">
        <f aca="false">'Raw Data'!U1619</f>
        <v>2</v>
      </c>
      <c r="G1619" s="2" t="n">
        <f aca="false">'Raw Data'!W1619</f>
        <v>1</v>
      </c>
      <c r="H1619" s="2" t="n">
        <f aca="false">'Raw Data'!V1619</f>
        <v>1</v>
      </c>
      <c r="I1619" s="2" t="n">
        <f aca="false">IF(AND(ISNUMBER(B1619),B1619&lt;=25),2,0)+IF(AND(ISNUMBER(E1619),E1619&lt;=5),2,0)+IF(AND(ISNUMBER(F1619),F1619&lt;=1),2,0)+IF(AND(ISNUMBER(G1619),G1619&lt;=2),1,0)+IF(AND(ISNUMBER(H1619),H1619&lt;=2),1,0)</f>
        <v>4</v>
      </c>
      <c r="J1619" s="2" t="str">
        <f aca="false">IF(I1619&gt;=6,"High",IF(I1619&gt;=3,"Medium","Low"))</f>
        <v>Medium</v>
      </c>
    </row>
    <row r="1620" customFormat="false" ht="15" hidden="false" customHeight="true" outlineLevel="0" collapsed="false">
      <c r="A1620" s="2" t="n">
        <f aca="false">'Raw Data'!H1620</f>
        <v>1619</v>
      </c>
      <c r="B1620" s="2" t="n">
        <f aca="false">'Raw Data'!A1620</f>
        <v>52</v>
      </c>
      <c r="C1620" s="2" t="str">
        <f aca="false">'Raw Data'!D1620</f>
        <v>Research &amp; Development</v>
      </c>
      <c r="D1620" s="2" t="str">
        <f aca="false">'Raw Data'!K1620</f>
        <v>Sales Representative</v>
      </c>
      <c r="E1620" s="2" t="n">
        <f aca="false">'Raw Data'!Q1620</f>
        <v>28</v>
      </c>
      <c r="F1620" s="2" t="n">
        <f aca="false">'Raw Data'!U1620</f>
        <v>4</v>
      </c>
      <c r="G1620" s="2" t="n">
        <f aca="false">'Raw Data'!W1620</f>
        <v>3</v>
      </c>
      <c r="H1620" s="2" t="n">
        <f aca="false">'Raw Data'!V1620</f>
        <v>4</v>
      </c>
      <c r="I1620" s="2" t="n">
        <f aca="false">IF(AND(ISNUMBER(B1620),B1620&lt;=25),2,0)+IF(AND(ISNUMBER(E1620),E1620&lt;=5),2,0)+IF(AND(ISNUMBER(F1620),F1620&lt;=1),2,0)+IF(AND(ISNUMBER(G1620),G1620&lt;=2),1,0)+IF(AND(ISNUMBER(H1620),H1620&lt;=2),1,0)</f>
        <v>0</v>
      </c>
      <c r="J1620" s="2" t="str">
        <f aca="false">IF(I1620&gt;=6,"High",IF(I1620&gt;=3,"Medium","Low"))</f>
        <v>Low</v>
      </c>
    </row>
    <row r="1621" customFormat="false" ht="15" hidden="false" customHeight="true" outlineLevel="0" collapsed="false">
      <c r="A1621" s="2" t="n">
        <f aca="false">'Raw Data'!H1621</f>
        <v>1620</v>
      </c>
      <c r="B1621" s="2" t="n">
        <f aca="false">'Raw Data'!A1621</f>
        <v>45</v>
      </c>
      <c r="C1621" s="2" t="str">
        <f aca="false">'Raw Data'!D1621</f>
        <v>Research &amp; Development</v>
      </c>
      <c r="D1621" s="2" t="str">
        <f aca="false">'Raw Data'!K1621</f>
        <v>Sales Executive</v>
      </c>
      <c r="E1621" s="2" t="n">
        <f aca="false">'Raw Data'!Q1621</f>
        <v>8</v>
      </c>
      <c r="F1621" s="2" t="n">
        <f aca="false">'Raw Data'!U1621</f>
        <v>2</v>
      </c>
      <c r="G1621" s="2" t="n">
        <f aca="false">'Raw Data'!W1621</f>
        <v>4</v>
      </c>
      <c r="H1621" s="2" t="n">
        <f aca="false">'Raw Data'!V1621</f>
        <v>1</v>
      </c>
      <c r="I1621" s="2" t="n">
        <f aca="false">IF(AND(ISNUMBER(B1621),B1621&lt;=25),2,0)+IF(AND(ISNUMBER(E1621),E1621&lt;=5),2,0)+IF(AND(ISNUMBER(F1621),F1621&lt;=1),2,0)+IF(AND(ISNUMBER(G1621),G1621&lt;=2),1,0)+IF(AND(ISNUMBER(H1621),H1621&lt;=2),1,0)</f>
        <v>1</v>
      </c>
      <c r="J1621" s="2" t="str">
        <f aca="false">IF(I1621&gt;=6,"High",IF(I1621&gt;=3,"Medium","Low"))</f>
        <v>Low</v>
      </c>
    </row>
    <row r="1622" customFormat="false" ht="15" hidden="false" customHeight="true" outlineLevel="0" collapsed="false">
      <c r="A1622" s="2" t="n">
        <f aca="false">'Raw Data'!H1622</f>
        <v>1621</v>
      </c>
      <c r="B1622" s="2" t="n">
        <f aca="false">'Raw Data'!A1622</f>
        <v>52</v>
      </c>
      <c r="C1622" s="2" t="str">
        <f aca="false">'Raw Data'!D1622</f>
        <v>Research &amp; Development</v>
      </c>
      <c r="D1622" s="2" t="str">
        <f aca="false">'Raw Data'!K1622</f>
        <v>Research Scientist</v>
      </c>
      <c r="E1622" s="2" t="n">
        <f aca="false">'Raw Data'!Q1622</f>
        <v>31</v>
      </c>
      <c r="F1622" s="2" t="n">
        <f aca="false">'Raw Data'!U1622</f>
        <v>4</v>
      </c>
      <c r="G1622" s="2" t="n">
        <f aca="false">'Raw Data'!W1622</f>
        <v>4</v>
      </c>
      <c r="H1622" s="2" t="n">
        <f aca="false">'Raw Data'!V1622</f>
        <v>4</v>
      </c>
      <c r="I1622" s="2" t="n">
        <f aca="false">IF(AND(ISNUMBER(B1622),B1622&lt;=25),2,0)+IF(AND(ISNUMBER(E1622),E1622&lt;=5),2,0)+IF(AND(ISNUMBER(F1622),F1622&lt;=1),2,0)+IF(AND(ISNUMBER(G1622),G1622&lt;=2),1,0)+IF(AND(ISNUMBER(H1622),H1622&lt;=2),1,0)</f>
        <v>0</v>
      </c>
      <c r="J1622" s="2" t="str">
        <f aca="false">IF(I1622&gt;=6,"High",IF(I1622&gt;=3,"Medium","Low"))</f>
        <v>Low</v>
      </c>
    </row>
    <row r="1623" customFormat="false" ht="15" hidden="false" customHeight="true" outlineLevel="0" collapsed="false">
      <c r="A1623" s="2" t="n">
        <f aca="false">'Raw Data'!H1623</f>
        <v>1622</v>
      </c>
      <c r="B1623" s="2" t="n">
        <f aca="false">'Raw Data'!A1623</f>
        <v>42</v>
      </c>
      <c r="C1623" s="2" t="str">
        <f aca="false">'Raw Data'!D1623</f>
        <v>Sales</v>
      </c>
      <c r="D1623" s="2" t="str">
        <f aca="false">'Raw Data'!K1623</f>
        <v>Healthcare Representative</v>
      </c>
      <c r="E1623" s="2" t="n">
        <f aca="false">'Raw Data'!Q1623</f>
        <v>19</v>
      </c>
      <c r="F1623" s="2" t="n">
        <f aca="false">'Raw Data'!U1623</f>
        <v>2</v>
      </c>
      <c r="G1623" s="2" t="n">
        <f aca="false">'Raw Data'!W1623</f>
        <v>3</v>
      </c>
      <c r="H1623" s="2" t="n">
        <f aca="false">'Raw Data'!V1623</f>
        <v>1</v>
      </c>
      <c r="I1623" s="2" t="n">
        <f aca="false">IF(AND(ISNUMBER(B1623),B1623&lt;=25),2,0)+IF(AND(ISNUMBER(E1623),E1623&lt;=5),2,0)+IF(AND(ISNUMBER(F1623),F1623&lt;=1),2,0)+IF(AND(ISNUMBER(G1623),G1623&lt;=2),1,0)+IF(AND(ISNUMBER(H1623),H1623&lt;=2),1,0)</f>
        <v>1</v>
      </c>
      <c r="J1623" s="2" t="str">
        <f aca="false">IF(I1623&gt;=6,"High",IF(I1623&gt;=3,"Medium","Low"))</f>
        <v>Low</v>
      </c>
    </row>
    <row r="1624" customFormat="false" ht="15" hidden="false" customHeight="true" outlineLevel="0" collapsed="false">
      <c r="A1624" s="2" t="n">
        <f aca="false">'Raw Data'!H1624</f>
        <v>1623</v>
      </c>
      <c r="B1624" s="2" t="n">
        <f aca="false">'Raw Data'!A1624</f>
        <v>30</v>
      </c>
      <c r="C1624" s="2" t="str">
        <f aca="false">'Raw Data'!D1624</f>
        <v>Sales</v>
      </c>
      <c r="D1624" s="2" t="str">
        <f aca="false">'Raw Data'!K1624</f>
        <v>Sales Executive</v>
      </c>
      <c r="E1624" s="2" t="n">
        <f aca="false">'Raw Data'!Q1624</f>
        <v>11</v>
      </c>
      <c r="F1624" s="2" t="n">
        <f aca="false">'Raw Data'!U1624</f>
        <v>2</v>
      </c>
      <c r="G1624" s="2" t="n">
        <f aca="false">'Raw Data'!W1624</f>
        <v>4</v>
      </c>
      <c r="H1624" s="2" t="n">
        <f aca="false">'Raw Data'!V1624</f>
        <v>3</v>
      </c>
      <c r="I1624" s="2" t="n">
        <f aca="false">IF(AND(ISNUMBER(B1624),B1624&lt;=25),2,0)+IF(AND(ISNUMBER(E1624),E1624&lt;=5),2,0)+IF(AND(ISNUMBER(F1624),F1624&lt;=1),2,0)+IF(AND(ISNUMBER(G1624),G1624&lt;=2),1,0)+IF(AND(ISNUMBER(H1624),H1624&lt;=2),1,0)</f>
        <v>0</v>
      </c>
      <c r="J1624" s="2" t="str">
        <f aca="false">IF(I1624&gt;=6,"High",IF(I1624&gt;=3,"Medium","Low"))</f>
        <v>Low</v>
      </c>
    </row>
    <row r="1625" customFormat="false" ht="15" hidden="false" customHeight="true" outlineLevel="0" collapsed="false">
      <c r="A1625" s="2" t="n">
        <f aca="false">'Raw Data'!H1625</f>
        <v>1624</v>
      </c>
      <c r="B1625" s="2" t="n">
        <f aca="false">'Raw Data'!A1625</f>
        <v>60</v>
      </c>
      <c r="C1625" s="2" t="str">
        <f aca="false">'Raw Data'!D1625</f>
        <v>Research &amp; Development</v>
      </c>
      <c r="D1625" s="2" t="str">
        <f aca="false">'Raw Data'!K1625</f>
        <v>Manufacturing Director</v>
      </c>
      <c r="E1625" s="2" t="n">
        <f aca="false">'Raw Data'!Q1625</f>
        <v>33</v>
      </c>
      <c r="F1625" s="2" t="n">
        <f aca="false">'Raw Data'!U1625</f>
        <v>10</v>
      </c>
      <c r="G1625" s="2" t="n">
        <f aca="false">'Raw Data'!W1625</f>
        <v>1</v>
      </c>
      <c r="H1625" s="2" t="n">
        <f aca="false">'Raw Data'!V1625</f>
        <v>1</v>
      </c>
      <c r="I1625" s="2" t="n">
        <f aca="false">IF(AND(ISNUMBER(B1625),B1625&lt;=25),2,0)+IF(AND(ISNUMBER(E1625),E1625&lt;=5),2,0)+IF(AND(ISNUMBER(F1625),F1625&lt;=1),2,0)+IF(AND(ISNUMBER(G1625),G1625&lt;=2),1,0)+IF(AND(ISNUMBER(H1625),H1625&lt;=2),1,0)</f>
        <v>2</v>
      </c>
      <c r="J1625" s="2" t="str">
        <f aca="false">IF(I1625&gt;=6,"High",IF(I1625&gt;=3,"Medium","Low"))</f>
        <v>Low</v>
      </c>
    </row>
    <row r="1626" customFormat="false" ht="15" hidden="false" customHeight="true" outlineLevel="0" collapsed="false">
      <c r="A1626" s="2" t="n">
        <f aca="false">'Raw Data'!H1626</f>
        <v>1625</v>
      </c>
      <c r="B1626" s="2" t="n">
        <f aca="false">'Raw Data'!A1626</f>
        <v>46</v>
      </c>
      <c r="C1626" s="2" t="str">
        <f aca="false">'Raw Data'!D1626</f>
        <v>Sales</v>
      </c>
      <c r="D1626" s="2" t="str">
        <f aca="false">'Raw Data'!K1626</f>
        <v>Sales Executive</v>
      </c>
      <c r="E1626" s="2" t="n">
        <f aca="false">'Raw Data'!Q1626</f>
        <v>19</v>
      </c>
      <c r="F1626" s="2" t="n">
        <f aca="false">'Raw Data'!U1626</f>
        <v>8</v>
      </c>
      <c r="G1626" s="2" t="n">
        <f aca="false">'Raw Data'!W1626</f>
        <v>3</v>
      </c>
      <c r="H1626" s="2" t="n">
        <f aca="false">'Raw Data'!V1626</f>
        <v>3</v>
      </c>
      <c r="I1626" s="2" t="n">
        <f aca="false">IF(AND(ISNUMBER(B1626),B1626&lt;=25),2,0)+IF(AND(ISNUMBER(E1626),E1626&lt;=5),2,0)+IF(AND(ISNUMBER(F1626),F1626&lt;=1),2,0)+IF(AND(ISNUMBER(G1626),G1626&lt;=2),1,0)+IF(AND(ISNUMBER(H1626),H1626&lt;=2),1,0)</f>
        <v>0</v>
      </c>
      <c r="J1626" s="2" t="str">
        <f aca="false">IF(I1626&gt;=6,"High",IF(I1626&gt;=3,"Medium","Low"))</f>
        <v>Low</v>
      </c>
    </row>
    <row r="1627" customFormat="false" ht="15" hidden="false" customHeight="true" outlineLevel="0" collapsed="false">
      <c r="A1627" s="2" t="n">
        <f aca="false">'Raw Data'!H1627</f>
        <v>1626</v>
      </c>
      <c r="B1627" s="2" t="n">
        <f aca="false">'Raw Data'!A1627</f>
        <v>42</v>
      </c>
      <c r="C1627" s="2" t="str">
        <f aca="false">'Raw Data'!D1627</f>
        <v>Research &amp; Development</v>
      </c>
      <c r="D1627" s="2" t="str">
        <f aca="false">'Raw Data'!K1627</f>
        <v>Sales Executive</v>
      </c>
      <c r="E1627" s="2" t="n">
        <f aca="false">'Raw Data'!Q1627</f>
        <v>7</v>
      </c>
      <c r="F1627" s="2" t="n">
        <f aca="false">'Raw Data'!U1627</f>
        <v>4</v>
      </c>
      <c r="G1627" s="2" t="n">
        <f aca="false">'Raw Data'!W1627</f>
        <v>4</v>
      </c>
      <c r="H1627" s="2" t="n">
        <f aca="false">'Raw Data'!V1627</f>
        <v>4</v>
      </c>
      <c r="I1627" s="2" t="n">
        <f aca="false">IF(AND(ISNUMBER(B1627),B1627&lt;=25),2,0)+IF(AND(ISNUMBER(E1627),E1627&lt;=5),2,0)+IF(AND(ISNUMBER(F1627),F1627&lt;=1),2,0)+IF(AND(ISNUMBER(G1627),G1627&lt;=2),1,0)+IF(AND(ISNUMBER(H1627),H1627&lt;=2),1,0)</f>
        <v>0</v>
      </c>
      <c r="J1627" s="2" t="str">
        <f aca="false">IF(I1627&gt;=6,"High",IF(I1627&gt;=3,"Medium","Low"))</f>
        <v>Low</v>
      </c>
    </row>
    <row r="1628" customFormat="false" ht="15" hidden="false" customHeight="true" outlineLevel="0" collapsed="false">
      <c r="A1628" s="2" t="n">
        <f aca="false">'Raw Data'!H1628</f>
        <v>1627</v>
      </c>
      <c r="B1628" s="2" t="n">
        <f aca="false">'Raw Data'!A1628</f>
        <v>24</v>
      </c>
      <c r="C1628" s="2" t="str">
        <f aca="false">'Raw Data'!D1628</f>
        <v>Research &amp; Development</v>
      </c>
      <c r="D1628" s="2" t="str">
        <f aca="false">'Raw Data'!K1628</f>
        <v>Research Scientist</v>
      </c>
      <c r="E1628" s="2" t="n">
        <f aca="false">'Raw Data'!Q1628</f>
        <v>6</v>
      </c>
      <c r="F1628" s="2" t="n">
        <f aca="false">'Raw Data'!U1628</f>
        <v>4</v>
      </c>
      <c r="G1628" s="2" t="n">
        <f aca="false">'Raw Data'!W1628</f>
        <v>2</v>
      </c>
      <c r="H1628" s="2" t="n">
        <f aca="false">'Raw Data'!V1628</f>
        <v>1</v>
      </c>
      <c r="I1628" s="2" t="n">
        <f aca="false">IF(AND(ISNUMBER(B1628),B1628&lt;=25),2,0)+IF(AND(ISNUMBER(E1628),E1628&lt;=5),2,0)+IF(AND(ISNUMBER(F1628),F1628&lt;=1),2,0)+IF(AND(ISNUMBER(G1628),G1628&lt;=2),1,0)+IF(AND(ISNUMBER(H1628),H1628&lt;=2),1,0)</f>
        <v>4</v>
      </c>
      <c r="J1628" s="2" t="str">
        <f aca="false">IF(I1628&gt;=6,"High",IF(I1628&gt;=3,"Medium","Low"))</f>
        <v>Medium</v>
      </c>
    </row>
    <row r="1629" customFormat="false" ht="15" hidden="false" customHeight="true" outlineLevel="0" collapsed="false">
      <c r="A1629" s="2" t="n">
        <f aca="false">'Raw Data'!H1629</f>
        <v>1628</v>
      </c>
      <c r="B1629" s="2" t="n">
        <f aca="false">'Raw Data'!A1629</f>
        <v>34</v>
      </c>
      <c r="C1629" s="2" t="str">
        <f aca="false">'Raw Data'!D1629</f>
        <v>Research &amp; Development</v>
      </c>
      <c r="D1629" s="2" t="str">
        <f aca="false">'Raw Data'!K1629</f>
        <v>Research Scientist</v>
      </c>
      <c r="E1629" s="2" t="n">
        <f aca="false">'Raw Data'!Q1629</f>
        <v>3</v>
      </c>
      <c r="F1629" s="2" t="n">
        <f aca="false">'Raw Data'!U1629</f>
        <v>0</v>
      </c>
      <c r="G1629" s="2" t="n">
        <f aca="false">'Raw Data'!W1629</f>
        <v>3</v>
      </c>
      <c r="H1629" s="2" t="n">
        <f aca="false">'Raw Data'!V1629</f>
        <v>4</v>
      </c>
      <c r="I1629" s="2" t="n">
        <f aca="false">IF(AND(ISNUMBER(B1629),B1629&lt;=25),2,0)+IF(AND(ISNUMBER(E1629),E1629&lt;=5),2,0)+IF(AND(ISNUMBER(F1629),F1629&lt;=1),2,0)+IF(AND(ISNUMBER(G1629),G1629&lt;=2),1,0)+IF(AND(ISNUMBER(H1629),H1629&lt;=2),1,0)</f>
        <v>4</v>
      </c>
      <c r="J1629" s="2" t="str">
        <f aca="false">IF(I1629&gt;=6,"High",IF(I1629&gt;=3,"Medium","Low"))</f>
        <v>Medium</v>
      </c>
    </row>
    <row r="1630" customFormat="false" ht="15" hidden="false" customHeight="true" outlineLevel="0" collapsed="false">
      <c r="A1630" s="2" t="n">
        <f aca="false">'Raw Data'!H1630</f>
        <v>1629</v>
      </c>
      <c r="B1630" s="2" t="n">
        <f aca="false">'Raw Data'!A1630</f>
        <v>38</v>
      </c>
      <c r="C1630" s="2" t="str">
        <f aca="false">'Raw Data'!D1630</f>
        <v>Sales</v>
      </c>
      <c r="D1630" s="2" t="str">
        <f aca="false">'Raw Data'!K1630</f>
        <v>Sales Executive</v>
      </c>
      <c r="E1630" s="2" t="n">
        <f aca="false">'Raw Data'!Q1630</f>
        <v>1</v>
      </c>
      <c r="F1630" s="2" t="n">
        <f aca="false">'Raw Data'!U1630</f>
        <v>0</v>
      </c>
      <c r="G1630" s="2" t="n">
        <f aca="false">'Raw Data'!W1630</f>
        <v>4</v>
      </c>
      <c r="H1630" s="2" t="n">
        <f aca="false">'Raw Data'!V1630</f>
        <v>4</v>
      </c>
      <c r="I1630" s="2" t="n">
        <f aca="false">IF(AND(ISNUMBER(B1630),B1630&lt;=25),2,0)+IF(AND(ISNUMBER(E1630),E1630&lt;=5),2,0)+IF(AND(ISNUMBER(F1630),F1630&lt;=1),2,0)+IF(AND(ISNUMBER(G1630),G1630&lt;=2),1,0)+IF(AND(ISNUMBER(H1630),H1630&lt;=2),1,0)</f>
        <v>4</v>
      </c>
      <c r="J1630" s="2" t="str">
        <f aca="false">IF(I1630&gt;=6,"High",IF(I1630&gt;=3,"Medium","Low"))</f>
        <v>Medium</v>
      </c>
    </row>
    <row r="1631" customFormat="false" ht="15" hidden="false" customHeight="true" outlineLevel="0" collapsed="false">
      <c r="A1631" s="2" t="n">
        <f aca="false">'Raw Data'!H1631</f>
        <v>1630</v>
      </c>
      <c r="B1631" s="2" t="n">
        <f aca="false">'Raw Data'!A1631</f>
        <v>40</v>
      </c>
      <c r="C1631" s="2" t="str">
        <f aca="false">'Raw Data'!D1631</f>
        <v>Sales</v>
      </c>
      <c r="D1631" s="2" t="str">
        <f aca="false">'Raw Data'!K1631</f>
        <v>Sales Executive</v>
      </c>
      <c r="E1631" s="2" t="n">
        <f aca="false">'Raw Data'!Q1631</f>
        <v>21</v>
      </c>
      <c r="F1631" s="2" t="n">
        <f aca="false">'Raw Data'!U1631</f>
        <v>12</v>
      </c>
      <c r="G1631" s="2" t="n">
        <f aca="false">'Raw Data'!W1631</f>
        <v>3</v>
      </c>
      <c r="H1631" s="2" t="n">
        <f aca="false">'Raw Data'!V1631</f>
        <v>3</v>
      </c>
      <c r="I1631" s="2" t="n">
        <f aca="false">IF(AND(ISNUMBER(B1631),B1631&lt;=25),2,0)+IF(AND(ISNUMBER(E1631),E1631&lt;=5),2,0)+IF(AND(ISNUMBER(F1631),F1631&lt;=1),2,0)+IF(AND(ISNUMBER(G1631),G1631&lt;=2),1,0)+IF(AND(ISNUMBER(H1631),H1631&lt;=2),1,0)</f>
        <v>0</v>
      </c>
      <c r="J1631" s="2" t="str">
        <f aca="false">IF(I1631&gt;=6,"High",IF(I1631&gt;=3,"Medium","Low"))</f>
        <v>Low</v>
      </c>
    </row>
    <row r="1632" customFormat="false" ht="15" hidden="false" customHeight="true" outlineLevel="0" collapsed="false">
      <c r="A1632" s="2" t="n">
        <f aca="false">'Raw Data'!H1632</f>
        <v>1631</v>
      </c>
      <c r="B1632" s="2" t="n">
        <f aca="false">'Raw Data'!A1632</f>
        <v>26</v>
      </c>
      <c r="C1632" s="2" t="str">
        <f aca="false">'Raw Data'!D1632</f>
        <v>Research &amp; Development</v>
      </c>
      <c r="D1632" s="2" t="str">
        <f aca="false">'Raw Data'!K1632</f>
        <v>Healthcare Representative</v>
      </c>
      <c r="E1632" s="2" t="n">
        <f aca="false">'Raw Data'!Q1632</f>
        <v>3</v>
      </c>
      <c r="F1632" s="2" t="n">
        <f aca="false">'Raw Data'!U1632</f>
        <v>2</v>
      </c>
      <c r="G1632" s="2" t="n">
        <f aca="false">'Raw Data'!W1632</f>
        <v>4</v>
      </c>
      <c r="H1632" s="2" t="n">
        <f aca="false">'Raw Data'!V1632</f>
        <v>1</v>
      </c>
      <c r="I1632" s="2" t="n">
        <f aca="false">IF(AND(ISNUMBER(B1632),B1632&lt;=25),2,0)+IF(AND(ISNUMBER(E1632),E1632&lt;=5),2,0)+IF(AND(ISNUMBER(F1632),F1632&lt;=1),2,0)+IF(AND(ISNUMBER(G1632),G1632&lt;=2),1,0)+IF(AND(ISNUMBER(H1632),H1632&lt;=2),1,0)</f>
        <v>3</v>
      </c>
      <c r="J1632" s="2" t="str">
        <f aca="false">IF(I1632&gt;=6,"High",IF(I1632&gt;=3,"Medium","Low"))</f>
        <v>Medium</v>
      </c>
    </row>
    <row r="1633" customFormat="false" ht="15" hidden="false" customHeight="true" outlineLevel="0" collapsed="false">
      <c r="A1633" s="2" t="n">
        <f aca="false">'Raw Data'!H1633</f>
        <v>1632</v>
      </c>
      <c r="B1633" s="2" t="n">
        <f aca="false">'Raw Data'!A1633</f>
        <v>30</v>
      </c>
      <c r="C1633" s="2" t="str">
        <f aca="false">'Raw Data'!D1633</f>
        <v>Research &amp; Development</v>
      </c>
      <c r="D1633" s="2" t="str">
        <f aca="false">'Raw Data'!K1633</f>
        <v>Sales Executive</v>
      </c>
      <c r="E1633" s="2" t="n">
        <f aca="false">'Raw Data'!Q1633</f>
        <v>9</v>
      </c>
      <c r="F1633" s="2" t="n">
        <f aca="false">'Raw Data'!U1633</f>
        <v>4</v>
      </c>
      <c r="G1633" s="2" t="n">
        <f aca="false">'Raw Data'!W1633</f>
        <v>4</v>
      </c>
      <c r="H1633" s="2" t="n">
        <f aca="false">'Raw Data'!V1633</f>
        <v>3</v>
      </c>
      <c r="I1633" s="2" t="n">
        <f aca="false">IF(AND(ISNUMBER(B1633),B1633&lt;=25),2,0)+IF(AND(ISNUMBER(E1633),E1633&lt;=5),2,0)+IF(AND(ISNUMBER(F1633),F1633&lt;=1),2,0)+IF(AND(ISNUMBER(G1633),G1633&lt;=2),1,0)+IF(AND(ISNUMBER(H1633),H1633&lt;=2),1,0)</f>
        <v>0</v>
      </c>
      <c r="J1633" s="2" t="str">
        <f aca="false">IF(I1633&gt;=6,"High",IF(I1633&gt;=3,"Medium","Low"))</f>
        <v>Low</v>
      </c>
    </row>
    <row r="1634" customFormat="false" ht="15" hidden="false" customHeight="true" outlineLevel="0" collapsed="false">
      <c r="A1634" s="2" t="n">
        <f aca="false">'Raw Data'!H1634</f>
        <v>1633</v>
      </c>
      <c r="B1634" s="2" t="n">
        <f aca="false">'Raw Data'!A1634</f>
        <v>29</v>
      </c>
      <c r="C1634" s="2" t="str">
        <f aca="false">'Raw Data'!D1634</f>
        <v>Research &amp; Development</v>
      </c>
      <c r="D1634" s="2" t="str">
        <f aca="false">'Raw Data'!K1634</f>
        <v>Manufacturing Director</v>
      </c>
      <c r="E1634" s="2" t="n">
        <f aca="false">'Raw Data'!Q1634</f>
        <v>10</v>
      </c>
      <c r="F1634" s="2" t="n">
        <f aca="false">'Raw Data'!U1634</f>
        <v>7</v>
      </c>
      <c r="G1634" s="2" t="n">
        <f aca="false">'Raw Data'!W1634</f>
        <v>3</v>
      </c>
      <c r="H1634" s="2" t="n">
        <f aca="false">'Raw Data'!V1634</f>
        <v>2</v>
      </c>
      <c r="I1634" s="2" t="n">
        <f aca="false">IF(AND(ISNUMBER(B1634),B1634&lt;=25),2,0)+IF(AND(ISNUMBER(E1634),E1634&lt;=5),2,0)+IF(AND(ISNUMBER(F1634),F1634&lt;=1),2,0)+IF(AND(ISNUMBER(G1634),G1634&lt;=2),1,0)+IF(AND(ISNUMBER(H1634),H1634&lt;=2),1,0)</f>
        <v>1</v>
      </c>
      <c r="J1634" s="2" t="str">
        <f aca="false">IF(I1634&gt;=6,"High",IF(I1634&gt;=3,"Medium","Low"))</f>
        <v>Low</v>
      </c>
    </row>
    <row r="1635" customFormat="false" ht="15" hidden="false" customHeight="true" outlineLevel="0" collapsed="false">
      <c r="A1635" s="2" t="n">
        <f aca="false">'Raw Data'!H1635</f>
        <v>1634</v>
      </c>
      <c r="B1635" s="2" t="n">
        <f aca="false">'Raw Data'!A1635</f>
        <v>29</v>
      </c>
      <c r="C1635" s="2" t="str">
        <f aca="false">'Raw Data'!D1635</f>
        <v>Research &amp; Development</v>
      </c>
      <c r="D1635" s="2" t="str">
        <f aca="false">'Raw Data'!K1635</f>
        <v>Research Scientist</v>
      </c>
      <c r="E1635" s="2" t="n">
        <f aca="false">'Raw Data'!Q1635</f>
        <v>6</v>
      </c>
      <c r="F1635" s="2" t="n">
        <f aca="false">'Raw Data'!U1635</f>
        <v>1</v>
      </c>
      <c r="G1635" s="2" t="n">
        <f aca="false">'Raw Data'!W1635</f>
        <v>2</v>
      </c>
      <c r="H1635" s="2" t="n">
        <f aca="false">'Raw Data'!V1635</f>
        <v>3</v>
      </c>
      <c r="I1635" s="2" t="n">
        <f aca="false">IF(AND(ISNUMBER(B1635),B1635&lt;=25),2,0)+IF(AND(ISNUMBER(E1635),E1635&lt;=5),2,0)+IF(AND(ISNUMBER(F1635),F1635&lt;=1),2,0)+IF(AND(ISNUMBER(G1635),G1635&lt;=2),1,0)+IF(AND(ISNUMBER(H1635),H1635&lt;=2),1,0)</f>
        <v>3</v>
      </c>
      <c r="J1635" s="2" t="str">
        <f aca="false">IF(I1635&gt;=6,"High",IF(I1635&gt;=3,"Medium","Low"))</f>
        <v>Medium</v>
      </c>
    </row>
    <row r="1636" customFormat="false" ht="15" hidden="false" customHeight="true" outlineLevel="0" collapsed="false">
      <c r="A1636" s="2" t="n">
        <f aca="false">'Raw Data'!H1636</f>
        <v>1635</v>
      </c>
      <c r="B1636" s="2" t="n">
        <f aca="false">'Raw Data'!A1636</f>
        <v>19</v>
      </c>
      <c r="C1636" s="2" t="str">
        <f aca="false">'Raw Data'!D1636</f>
        <v>Research &amp; Development</v>
      </c>
      <c r="D1636" s="2" t="str">
        <f aca="false">'Raw Data'!K1636</f>
        <v>Sales Executive</v>
      </c>
      <c r="E1636" s="2" t="n">
        <f aca="false">'Raw Data'!Q1636</f>
        <v>1</v>
      </c>
      <c r="F1636" s="2" t="n">
        <f aca="false">'Raw Data'!U1636</f>
        <v>0</v>
      </c>
      <c r="G1636" s="2" t="n">
        <f aca="false">'Raw Data'!W1636</f>
        <v>4</v>
      </c>
      <c r="H1636" s="2" t="n">
        <f aca="false">'Raw Data'!V1636</f>
        <v>1</v>
      </c>
      <c r="I1636" s="2" t="n">
        <f aca="false">IF(AND(ISNUMBER(B1636),B1636&lt;=25),2,0)+IF(AND(ISNUMBER(E1636),E1636&lt;=5),2,0)+IF(AND(ISNUMBER(F1636),F1636&lt;=1),2,0)+IF(AND(ISNUMBER(G1636),G1636&lt;=2),1,0)+IF(AND(ISNUMBER(H1636),H1636&lt;=2),1,0)</f>
        <v>7</v>
      </c>
      <c r="J1636" s="2" t="str">
        <f aca="false">IF(I1636&gt;=6,"High",IF(I1636&gt;=3,"Medium","Low"))</f>
        <v>High</v>
      </c>
    </row>
    <row r="1637" customFormat="false" ht="15" hidden="false" customHeight="true" outlineLevel="0" collapsed="false">
      <c r="A1637" s="2" t="n">
        <f aca="false">'Raw Data'!H1637</f>
        <v>1636</v>
      </c>
      <c r="B1637" s="2" t="n">
        <f aca="false">'Raw Data'!A1637</f>
        <v>30</v>
      </c>
      <c r="C1637" s="2" t="str">
        <f aca="false">'Raw Data'!D1637</f>
        <v>Research &amp; Development</v>
      </c>
      <c r="D1637" s="2" t="str">
        <f aca="false">'Raw Data'!K1637</f>
        <v>Research Scientist</v>
      </c>
      <c r="E1637" s="2" t="n">
        <f aca="false">'Raw Data'!Q1637</f>
        <v>10</v>
      </c>
      <c r="F1637" s="2" t="n">
        <f aca="false">'Raw Data'!U1637</f>
        <v>8</v>
      </c>
      <c r="G1637" s="2" t="n">
        <f aca="false">'Raw Data'!W1637</f>
        <v>1</v>
      </c>
      <c r="H1637" s="2" t="n">
        <f aca="false">'Raw Data'!V1637</f>
        <v>3</v>
      </c>
      <c r="I1637" s="2" t="n">
        <f aca="false">IF(AND(ISNUMBER(B1637),B1637&lt;=25),2,0)+IF(AND(ISNUMBER(E1637),E1637&lt;=5),2,0)+IF(AND(ISNUMBER(F1637),F1637&lt;=1),2,0)+IF(AND(ISNUMBER(G1637),G1637&lt;=2),1,0)+IF(AND(ISNUMBER(H1637),H1637&lt;=2),1,0)</f>
        <v>1</v>
      </c>
      <c r="J1637" s="2" t="str">
        <f aca="false">IF(I1637&gt;=6,"High",IF(I1637&gt;=3,"Medium","Low"))</f>
        <v>Low</v>
      </c>
    </row>
    <row r="1638" customFormat="false" ht="15" hidden="false" customHeight="true" outlineLevel="0" collapsed="false">
      <c r="A1638" s="2" t="n">
        <f aca="false">'Raw Data'!H1638</f>
        <v>1637</v>
      </c>
      <c r="B1638" s="2" t="n">
        <f aca="false">'Raw Data'!A1638</f>
        <v>57</v>
      </c>
      <c r="C1638" s="2" t="str">
        <f aca="false">'Raw Data'!D1638</f>
        <v>Research &amp; Development</v>
      </c>
      <c r="D1638" s="2" t="str">
        <f aca="false">'Raw Data'!K1638</f>
        <v>Research Scientist</v>
      </c>
      <c r="E1638" s="2" t="n">
        <f aca="false">'Raw Data'!Q1638</f>
        <v>32</v>
      </c>
      <c r="F1638" s="2" t="n">
        <f aca="false">'Raw Data'!U1638</f>
        <v>0</v>
      </c>
      <c r="G1638" s="2" t="n">
        <f aca="false">'Raw Data'!W1638</f>
        <v>4</v>
      </c>
      <c r="H1638" s="2" t="n">
        <f aca="false">'Raw Data'!V1638</f>
        <v>1</v>
      </c>
      <c r="I1638" s="2" t="n">
        <f aca="false">IF(AND(ISNUMBER(B1638),B1638&lt;=25),2,0)+IF(AND(ISNUMBER(E1638),E1638&lt;=5),2,0)+IF(AND(ISNUMBER(F1638),F1638&lt;=1),2,0)+IF(AND(ISNUMBER(G1638),G1638&lt;=2),1,0)+IF(AND(ISNUMBER(H1638),H1638&lt;=2),1,0)</f>
        <v>3</v>
      </c>
      <c r="J1638" s="2" t="str">
        <f aca="false">IF(I1638&gt;=6,"High",IF(I1638&gt;=3,"Medium","Low"))</f>
        <v>Medium</v>
      </c>
    </row>
    <row r="1639" customFormat="false" ht="15" hidden="false" customHeight="true" outlineLevel="0" collapsed="false">
      <c r="A1639" s="2" t="n">
        <f aca="false">'Raw Data'!H1639</f>
        <v>1638</v>
      </c>
      <c r="B1639" s="2" t="n">
        <f aca="false">'Raw Data'!A1639</f>
        <v>50</v>
      </c>
      <c r="C1639" s="2" t="str">
        <f aca="false">'Raw Data'!D1639</f>
        <v>Sales</v>
      </c>
      <c r="D1639" s="2" t="str">
        <f aca="false">'Raw Data'!K1639</f>
        <v>Manager</v>
      </c>
      <c r="E1639" s="2" t="n">
        <f aca="false">'Raw Data'!Q1639</f>
        <v>28</v>
      </c>
      <c r="F1639" s="2" t="n">
        <f aca="false">'Raw Data'!U1639</f>
        <v>7</v>
      </c>
      <c r="G1639" s="2" t="n">
        <f aca="false">'Raw Data'!W1639</f>
        <v>3</v>
      </c>
      <c r="H1639" s="2" t="n">
        <f aca="false">'Raw Data'!V1639</f>
        <v>2</v>
      </c>
      <c r="I1639" s="2" t="n">
        <f aca="false">IF(AND(ISNUMBER(B1639),B1639&lt;=25),2,0)+IF(AND(ISNUMBER(E1639),E1639&lt;=5),2,0)+IF(AND(ISNUMBER(F1639),F1639&lt;=1),2,0)+IF(AND(ISNUMBER(G1639),G1639&lt;=2),1,0)+IF(AND(ISNUMBER(H1639),H1639&lt;=2),1,0)</f>
        <v>1</v>
      </c>
      <c r="J1639" s="2" t="str">
        <f aca="false">IF(I1639&gt;=6,"High",IF(I1639&gt;=3,"Medium","Low"))</f>
        <v>Low</v>
      </c>
    </row>
    <row r="1640" customFormat="false" ht="15" hidden="false" customHeight="true" outlineLevel="0" collapsed="false">
      <c r="A1640" s="2" t="n">
        <f aca="false">'Raw Data'!H1640</f>
        <v>1639</v>
      </c>
      <c r="B1640" s="2" t="n">
        <f aca="false">'Raw Data'!A1640</f>
        <v>30</v>
      </c>
      <c r="C1640" s="2" t="str">
        <f aca="false">'Raw Data'!D1640</f>
        <v>Sales</v>
      </c>
      <c r="D1640" s="2" t="str">
        <f aca="false">'Raw Data'!K1640</f>
        <v>Laboratory Technician</v>
      </c>
      <c r="E1640" s="2" t="n">
        <f aca="false">'Raw Data'!Q1640</f>
        <v>12</v>
      </c>
      <c r="F1640" s="2" t="n">
        <f aca="false">'Raw Data'!U1640</f>
        <v>7</v>
      </c>
      <c r="G1640" s="2" t="n">
        <f aca="false">'Raw Data'!W1640</f>
        <v>4</v>
      </c>
      <c r="H1640" s="2" t="n">
        <f aca="false">'Raw Data'!V1640</f>
        <v>3</v>
      </c>
      <c r="I1640" s="2" t="n">
        <f aca="false">IF(AND(ISNUMBER(B1640),B1640&lt;=25),2,0)+IF(AND(ISNUMBER(E1640),E1640&lt;=5),2,0)+IF(AND(ISNUMBER(F1640),F1640&lt;=1),2,0)+IF(AND(ISNUMBER(G1640),G1640&lt;=2),1,0)+IF(AND(ISNUMBER(H1640),H1640&lt;=2),1,0)</f>
        <v>0</v>
      </c>
      <c r="J1640" s="2" t="str">
        <f aca="false">IF(I1640&gt;=6,"High",IF(I1640&gt;=3,"Medium","Low"))</f>
        <v>Low</v>
      </c>
    </row>
    <row r="1641" customFormat="false" ht="15" hidden="false" customHeight="true" outlineLevel="0" collapsed="false">
      <c r="A1641" s="2" t="n">
        <f aca="false">'Raw Data'!H1641</f>
        <v>1640</v>
      </c>
      <c r="B1641" s="2" t="n">
        <f aca="false">'Raw Data'!A1641</f>
        <v>60</v>
      </c>
      <c r="C1641" s="2" t="str">
        <f aca="false">'Raw Data'!D1641</f>
        <v>Research &amp; Development</v>
      </c>
      <c r="D1641" s="2" t="str">
        <f aca="false">'Raw Data'!K1641</f>
        <v>Laboratory Technician</v>
      </c>
      <c r="E1641" s="2" t="n">
        <f aca="false">'Raw Data'!Q1641</f>
        <v>22</v>
      </c>
      <c r="F1641" s="2" t="n">
        <f aca="false">'Raw Data'!U1641</f>
        <v>11</v>
      </c>
      <c r="G1641" s="2" t="n">
        <f aca="false">'Raw Data'!W1641</f>
        <v>1</v>
      </c>
      <c r="H1641" s="2" t="n">
        <f aca="false">'Raw Data'!V1641</f>
        <v>3</v>
      </c>
      <c r="I1641" s="2" t="n">
        <f aca="false">IF(AND(ISNUMBER(B1641),B1641&lt;=25),2,0)+IF(AND(ISNUMBER(E1641),E1641&lt;=5),2,0)+IF(AND(ISNUMBER(F1641),F1641&lt;=1),2,0)+IF(AND(ISNUMBER(G1641),G1641&lt;=2),1,0)+IF(AND(ISNUMBER(H1641),H1641&lt;=2),1,0)</f>
        <v>1</v>
      </c>
      <c r="J1641" s="2" t="str">
        <f aca="false">IF(I1641&gt;=6,"High",IF(I1641&gt;=3,"Medium","Low"))</f>
        <v>Low</v>
      </c>
    </row>
    <row r="1642" customFormat="false" ht="15" hidden="false" customHeight="true" outlineLevel="0" collapsed="false">
      <c r="A1642" s="2" t="n">
        <f aca="false">'Raw Data'!H1642</f>
        <v>1641</v>
      </c>
      <c r="B1642" s="2" t="n">
        <f aca="false">'Raw Data'!A1642</f>
        <v>47</v>
      </c>
      <c r="C1642" s="2" t="str">
        <f aca="false">'Raw Data'!D1642</f>
        <v>Research &amp; Development</v>
      </c>
      <c r="D1642" s="2" t="str">
        <f aca="false">'Raw Data'!K1642</f>
        <v>Manufacturing Director</v>
      </c>
      <c r="E1642" s="2" t="n">
        <f aca="false">'Raw Data'!Q1642</f>
        <v>20</v>
      </c>
      <c r="F1642" s="2" t="n">
        <f aca="false">'Raw Data'!U1642</f>
        <v>4</v>
      </c>
      <c r="G1642" s="2" t="n">
        <f aca="false">'Raw Data'!W1642</f>
        <v>4</v>
      </c>
      <c r="H1642" s="2" t="n">
        <f aca="false">'Raw Data'!V1642</f>
        <v>1</v>
      </c>
      <c r="I1642" s="2" t="n">
        <f aca="false">IF(AND(ISNUMBER(B1642),B1642&lt;=25),2,0)+IF(AND(ISNUMBER(E1642),E1642&lt;=5),2,0)+IF(AND(ISNUMBER(F1642),F1642&lt;=1),2,0)+IF(AND(ISNUMBER(G1642),G1642&lt;=2),1,0)+IF(AND(ISNUMBER(H1642),H1642&lt;=2),1,0)</f>
        <v>1</v>
      </c>
      <c r="J1642" s="2" t="str">
        <f aca="false">IF(I1642&gt;=6,"High",IF(I1642&gt;=3,"Medium","Low"))</f>
        <v>Low</v>
      </c>
    </row>
    <row r="1643" customFormat="false" ht="15" hidden="false" customHeight="true" outlineLevel="0" collapsed="false">
      <c r="A1643" s="2" t="n">
        <f aca="false">'Raw Data'!H1643</f>
        <v>1642</v>
      </c>
      <c r="B1643" s="2" t="n">
        <f aca="false">'Raw Data'!A1643</f>
        <v>46</v>
      </c>
      <c r="C1643" s="2" t="str">
        <f aca="false">'Raw Data'!D1643</f>
        <v>Sales</v>
      </c>
      <c r="D1643" s="2" t="str">
        <f aca="false">'Raw Data'!K1643</f>
        <v>Laboratory Technician</v>
      </c>
      <c r="E1643" s="2" t="n">
        <f aca="false">'Raw Data'!Q1643</f>
        <v>26</v>
      </c>
      <c r="F1643" s="2" t="n">
        <f aca="false">'Raw Data'!U1643</f>
        <v>1</v>
      </c>
      <c r="G1643" s="2" t="n">
        <f aca="false">'Raw Data'!W1643</f>
        <v>3</v>
      </c>
      <c r="H1643" s="2" t="n">
        <f aca="false">'Raw Data'!V1643</f>
        <v>1</v>
      </c>
      <c r="I1643" s="2" t="n">
        <f aca="false">IF(AND(ISNUMBER(B1643),B1643&lt;=25),2,0)+IF(AND(ISNUMBER(E1643),E1643&lt;=5),2,0)+IF(AND(ISNUMBER(F1643),F1643&lt;=1),2,0)+IF(AND(ISNUMBER(G1643),G1643&lt;=2),1,0)+IF(AND(ISNUMBER(H1643),H1643&lt;=2),1,0)</f>
        <v>3</v>
      </c>
      <c r="J1643" s="2" t="str">
        <f aca="false">IF(I1643&gt;=6,"High",IF(I1643&gt;=3,"Medium","Low"))</f>
        <v>Medium</v>
      </c>
    </row>
    <row r="1644" customFormat="false" ht="15" hidden="false" customHeight="true" outlineLevel="0" collapsed="false">
      <c r="A1644" s="2" t="n">
        <f aca="false">'Raw Data'!H1644</f>
        <v>1643</v>
      </c>
      <c r="B1644" s="2" t="n">
        <f aca="false">'Raw Data'!A1644</f>
        <v>35</v>
      </c>
      <c r="C1644" s="2" t="str">
        <f aca="false">'Raw Data'!D1644</f>
        <v>Research &amp; Development</v>
      </c>
      <c r="D1644" s="2" t="str">
        <f aca="false">'Raw Data'!K1644</f>
        <v>Laboratory Technician</v>
      </c>
      <c r="E1644" s="2" t="n">
        <f aca="false">'Raw Data'!Q1644</f>
        <v>6</v>
      </c>
      <c r="F1644" s="2" t="n">
        <f aca="false">'Raw Data'!U1644</f>
        <v>3</v>
      </c>
      <c r="G1644" s="2" t="n">
        <f aca="false">'Raw Data'!W1644</f>
        <v>3</v>
      </c>
      <c r="H1644" s="2" t="n">
        <f aca="false">'Raw Data'!V1644</f>
        <v>4</v>
      </c>
      <c r="I1644" s="2" t="n">
        <f aca="false">IF(AND(ISNUMBER(B1644),B1644&lt;=25),2,0)+IF(AND(ISNUMBER(E1644),E1644&lt;=5),2,0)+IF(AND(ISNUMBER(F1644),F1644&lt;=1),2,0)+IF(AND(ISNUMBER(G1644),G1644&lt;=2),1,0)+IF(AND(ISNUMBER(H1644),H1644&lt;=2),1,0)</f>
        <v>0</v>
      </c>
      <c r="J1644" s="2" t="str">
        <f aca="false">IF(I1644&gt;=6,"High",IF(I1644&gt;=3,"Medium","Low"))</f>
        <v>Low</v>
      </c>
    </row>
    <row r="1645" customFormat="false" ht="15" hidden="false" customHeight="true" outlineLevel="0" collapsed="false">
      <c r="A1645" s="2" t="n">
        <f aca="false">'Raw Data'!H1645</f>
        <v>1644</v>
      </c>
      <c r="B1645" s="2" t="n">
        <f aca="false">'Raw Data'!A1645</f>
        <v>54</v>
      </c>
      <c r="C1645" s="2" t="str">
        <f aca="false">'Raw Data'!D1645</f>
        <v>Research &amp; Development</v>
      </c>
      <c r="D1645" s="2" t="str">
        <f aca="false">'Raw Data'!K1645</f>
        <v>Human Resources</v>
      </c>
      <c r="E1645" s="2" t="n">
        <f aca="false">'Raw Data'!Q1645</f>
        <v>19</v>
      </c>
      <c r="F1645" s="2" t="n">
        <f aca="false">'Raw Data'!U1645</f>
        <v>0</v>
      </c>
      <c r="G1645" s="2" t="n">
        <f aca="false">'Raw Data'!W1645</f>
        <v>3</v>
      </c>
      <c r="H1645" s="2" t="n">
        <f aca="false">'Raw Data'!V1645</f>
        <v>3</v>
      </c>
      <c r="I1645" s="2" t="n">
        <f aca="false">IF(AND(ISNUMBER(B1645),B1645&lt;=25),2,0)+IF(AND(ISNUMBER(E1645),E1645&lt;=5),2,0)+IF(AND(ISNUMBER(F1645),F1645&lt;=1),2,0)+IF(AND(ISNUMBER(G1645),G1645&lt;=2),1,0)+IF(AND(ISNUMBER(H1645),H1645&lt;=2),1,0)</f>
        <v>2</v>
      </c>
      <c r="J1645" s="2" t="str">
        <f aca="false">IF(I1645&gt;=6,"High",IF(I1645&gt;=3,"Medium","Low"))</f>
        <v>Low</v>
      </c>
    </row>
    <row r="1646" customFormat="false" ht="15" hidden="false" customHeight="true" outlineLevel="0" collapsed="false">
      <c r="A1646" s="2" t="n">
        <f aca="false">'Raw Data'!H1646</f>
        <v>1645</v>
      </c>
      <c r="B1646" s="2" t="n">
        <f aca="false">'Raw Data'!A1646</f>
        <v>34</v>
      </c>
      <c r="C1646" s="2" t="str">
        <f aca="false">'Raw Data'!D1646</f>
        <v>Sales</v>
      </c>
      <c r="D1646" s="2" t="str">
        <f aca="false">'Raw Data'!K1646</f>
        <v>Laboratory Technician</v>
      </c>
      <c r="E1646" s="2" t="n">
        <f aca="false">'Raw Data'!Q1646</f>
        <v>14</v>
      </c>
      <c r="F1646" s="2" t="n">
        <f aca="false">'Raw Data'!U1646</f>
        <v>7</v>
      </c>
      <c r="G1646" s="2" t="n">
        <f aca="false">'Raw Data'!W1646</f>
        <v>3</v>
      </c>
      <c r="H1646" s="2" t="n">
        <f aca="false">'Raw Data'!V1646</f>
        <v>4</v>
      </c>
      <c r="I1646" s="2" t="n">
        <f aca="false">IF(AND(ISNUMBER(B1646),B1646&lt;=25),2,0)+IF(AND(ISNUMBER(E1646),E1646&lt;=5),2,0)+IF(AND(ISNUMBER(F1646),F1646&lt;=1),2,0)+IF(AND(ISNUMBER(G1646),G1646&lt;=2),1,0)+IF(AND(ISNUMBER(H1646),H1646&lt;=2),1,0)</f>
        <v>0</v>
      </c>
      <c r="J1646" s="2" t="str">
        <f aca="false">IF(I1646&gt;=6,"High",IF(I1646&gt;=3,"Medium","Low"))</f>
        <v>Low</v>
      </c>
    </row>
    <row r="1647" customFormat="false" ht="15" hidden="false" customHeight="true" outlineLevel="0" collapsed="false">
      <c r="A1647" s="2" t="n">
        <f aca="false">'Raw Data'!H1647</f>
        <v>1646</v>
      </c>
      <c r="B1647" s="2" t="n">
        <f aca="false">'Raw Data'!A1647</f>
        <v>46</v>
      </c>
      <c r="C1647" s="2" t="str">
        <f aca="false">'Raw Data'!D1647</f>
        <v>Research &amp; Development</v>
      </c>
      <c r="D1647" s="2" t="str">
        <f aca="false">'Raw Data'!K1647</f>
        <v>Healthcare Representative</v>
      </c>
      <c r="E1647" s="2" t="n">
        <f aca="false">'Raw Data'!Q1647</f>
        <v>15</v>
      </c>
      <c r="F1647" s="2" t="n">
        <f aca="false">'Raw Data'!U1647</f>
        <v>2</v>
      </c>
      <c r="G1647" s="2" t="n">
        <f aca="false">'Raw Data'!W1647</f>
        <v>4</v>
      </c>
      <c r="H1647" s="2" t="n">
        <f aca="false">'Raw Data'!V1647</f>
        <v>3</v>
      </c>
      <c r="I1647" s="2" t="n">
        <f aca="false">IF(AND(ISNUMBER(B1647),B1647&lt;=25),2,0)+IF(AND(ISNUMBER(E1647),E1647&lt;=5),2,0)+IF(AND(ISNUMBER(F1647),F1647&lt;=1),2,0)+IF(AND(ISNUMBER(G1647),G1647&lt;=2),1,0)+IF(AND(ISNUMBER(H1647),H1647&lt;=2),1,0)</f>
        <v>0</v>
      </c>
      <c r="J1647" s="2" t="str">
        <f aca="false">IF(I1647&gt;=6,"High",IF(I1647&gt;=3,"Medium","Low"))</f>
        <v>Low</v>
      </c>
    </row>
    <row r="1648" customFormat="false" ht="15" hidden="false" customHeight="true" outlineLevel="0" collapsed="false">
      <c r="A1648" s="2" t="n">
        <f aca="false">'Raw Data'!H1648</f>
        <v>1647</v>
      </c>
      <c r="B1648" s="2" t="n">
        <f aca="false">'Raw Data'!A1648</f>
        <v>31</v>
      </c>
      <c r="C1648" s="2" t="str">
        <f aca="false">'Raw Data'!D1648</f>
        <v>Research &amp; Development</v>
      </c>
      <c r="D1648" s="2" t="str">
        <f aca="false">'Raw Data'!K1648</f>
        <v>Research Director</v>
      </c>
      <c r="E1648" s="2" t="n">
        <f aca="false">'Raw Data'!Q1648</f>
        <v>13</v>
      </c>
      <c r="F1648" s="2" t="n">
        <f aca="false">'Raw Data'!U1648</f>
        <v>8</v>
      </c>
      <c r="G1648" s="2" t="n">
        <f aca="false">'Raw Data'!W1648</f>
        <v>2</v>
      </c>
      <c r="H1648" s="2" t="n">
        <f aca="false">'Raw Data'!V1648</f>
        <v>3</v>
      </c>
      <c r="I1648" s="2" t="n">
        <f aca="false">IF(AND(ISNUMBER(B1648),B1648&lt;=25),2,0)+IF(AND(ISNUMBER(E1648),E1648&lt;=5),2,0)+IF(AND(ISNUMBER(F1648),F1648&lt;=1),2,0)+IF(AND(ISNUMBER(G1648),G1648&lt;=2),1,0)+IF(AND(ISNUMBER(H1648),H1648&lt;=2),1,0)</f>
        <v>1</v>
      </c>
      <c r="J1648" s="2" t="str">
        <f aca="false">IF(I1648&gt;=6,"High",IF(I1648&gt;=3,"Medium","Low"))</f>
        <v>Low</v>
      </c>
    </row>
    <row r="1649" customFormat="false" ht="15" hidden="false" customHeight="true" outlineLevel="0" collapsed="false">
      <c r="A1649" s="2" t="n">
        <f aca="false">'Raw Data'!H1649</f>
        <v>1648</v>
      </c>
      <c r="B1649" s="2" t="n">
        <f aca="false">'Raw Data'!A1649</f>
        <v>33</v>
      </c>
      <c r="C1649" s="2" t="str">
        <f aca="false">'Raw Data'!D1649</f>
        <v>Research &amp; Development</v>
      </c>
      <c r="D1649" s="2" t="str">
        <f aca="false">'Raw Data'!K1649</f>
        <v>Research Director</v>
      </c>
      <c r="E1649" s="2" t="n">
        <f aca="false">'Raw Data'!Q1649</f>
        <v>15</v>
      </c>
      <c r="F1649" s="2" t="n">
        <f aca="false">'Raw Data'!U1649</f>
        <v>7</v>
      </c>
      <c r="G1649" s="2" t="n">
        <f aca="false">'Raw Data'!W1649</f>
        <v>3</v>
      </c>
      <c r="H1649" s="2" t="n">
        <f aca="false">'Raw Data'!V1649</f>
        <v>2</v>
      </c>
      <c r="I1649" s="2" t="n">
        <f aca="false">IF(AND(ISNUMBER(B1649),B1649&lt;=25),2,0)+IF(AND(ISNUMBER(E1649),E1649&lt;=5),2,0)+IF(AND(ISNUMBER(F1649),F1649&lt;=1),2,0)+IF(AND(ISNUMBER(G1649),G1649&lt;=2),1,0)+IF(AND(ISNUMBER(H1649),H1649&lt;=2),1,0)</f>
        <v>1</v>
      </c>
      <c r="J1649" s="2" t="str">
        <f aca="false">IF(I1649&gt;=6,"High",IF(I1649&gt;=3,"Medium","Low"))</f>
        <v>Low</v>
      </c>
    </row>
    <row r="1650" customFormat="false" ht="15" hidden="false" customHeight="true" outlineLevel="0" collapsed="false">
      <c r="A1650" s="2" t="n">
        <f aca="false">'Raw Data'!H1650</f>
        <v>1649</v>
      </c>
      <c r="B1650" s="2" t="n">
        <f aca="false">'Raw Data'!A1650</f>
        <v>33</v>
      </c>
      <c r="C1650" s="2" t="str">
        <f aca="false">'Raw Data'!D1650</f>
        <v>Sales</v>
      </c>
      <c r="D1650" s="2" t="str">
        <f aca="false">'Raw Data'!K1650</f>
        <v>Research Director</v>
      </c>
      <c r="E1650" s="2" t="n">
        <f aca="false">'Raw Data'!Q1650</f>
        <v>8</v>
      </c>
      <c r="F1650" s="2" t="n">
        <f aca="false">'Raw Data'!U1650</f>
        <v>3</v>
      </c>
      <c r="G1650" s="2" t="n">
        <f aca="false">'Raw Data'!W1650</f>
        <v>4</v>
      </c>
      <c r="H1650" s="2" t="n">
        <f aca="false">'Raw Data'!V1650</f>
        <v>1</v>
      </c>
      <c r="I1650" s="2" t="n">
        <f aca="false">IF(AND(ISNUMBER(B1650),B1650&lt;=25),2,0)+IF(AND(ISNUMBER(E1650),E1650&lt;=5),2,0)+IF(AND(ISNUMBER(F1650),F1650&lt;=1),2,0)+IF(AND(ISNUMBER(G1650),G1650&lt;=2),1,0)+IF(AND(ISNUMBER(H1650),H1650&lt;=2),1,0)</f>
        <v>1</v>
      </c>
      <c r="J1650" s="2" t="str">
        <f aca="false">IF(I1650&gt;=6,"High",IF(I1650&gt;=3,"Medium","Low"))</f>
        <v>Low</v>
      </c>
    </row>
    <row r="1651" customFormat="false" ht="15" hidden="false" customHeight="true" outlineLevel="0" collapsed="false">
      <c r="A1651" s="2" t="n">
        <f aca="false">'Raw Data'!H1651</f>
        <v>1650</v>
      </c>
      <c r="B1651" s="2" t="n">
        <f aca="false">'Raw Data'!A1651</f>
        <v>30</v>
      </c>
      <c r="C1651" s="2" t="str">
        <f aca="false">'Raw Data'!D1651</f>
        <v>Research &amp; Development</v>
      </c>
      <c r="D1651" s="2" t="str">
        <f aca="false">'Raw Data'!K1651</f>
        <v>Sales Executive</v>
      </c>
      <c r="E1651" s="2" t="n">
        <f aca="false">'Raw Data'!Q1651</f>
        <v>4</v>
      </c>
      <c r="F1651" s="2" t="n">
        <f aca="false">'Raw Data'!U1651</f>
        <v>2</v>
      </c>
      <c r="G1651" s="2" t="n">
        <f aca="false">'Raw Data'!W1651</f>
        <v>2</v>
      </c>
      <c r="H1651" s="2" t="n">
        <f aca="false">'Raw Data'!V1651</f>
        <v>4</v>
      </c>
      <c r="I1651" s="2" t="n">
        <f aca="false">IF(AND(ISNUMBER(B1651),B1651&lt;=25),2,0)+IF(AND(ISNUMBER(E1651),E1651&lt;=5),2,0)+IF(AND(ISNUMBER(F1651),F1651&lt;=1),2,0)+IF(AND(ISNUMBER(G1651),G1651&lt;=2),1,0)+IF(AND(ISNUMBER(H1651),H1651&lt;=2),1,0)</f>
        <v>3</v>
      </c>
      <c r="J1651" s="2" t="str">
        <f aca="false">IF(I1651&gt;=6,"High",IF(I1651&gt;=3,"Medium","Low"))</f>
        <v>Medium</v>
      </c>
    </row>
    <row r="1652" customFormat="false" ht="15" hidden="false" customHeight="true" outlineLevel="0" collapsed="false">
      <c r="A1652" s="2" t="n">
        <f aca="false">'Raw Data'!H1652</f>
        <v>1651</v>
      </c>
      <c r="B1652" s="2" t="n">
        <f aca="false">'Raw Data'!A1652</f>
        <v>35</v>
      </c>
      <c r="C1652" s="2" t="str">
        <f aca="false">'Raw Data'!D1652</f>
        <v>Research &amp; Development</v>
      </c>
      <c r="D1652" s="2" t="str">
        <f aca="false">'Raw Data'!K1652</f>
        <v>Sales Representative</v>
      </c>
      <c r="E1652" s="2" t="n">
        <f aca="false">'Raw Data'!Q1652</f>
        <v>10</v>
      </c>
      <c r="F1652" s="2" t="n">
        <f aca="false">'Raw Data'!U1652</f>
        <v>0</v>
      </c>
      <c r="G1652" s="2" t="n">
        <f aca="false">'Raw Data'!W1652</f>
        <v>3</v>
      </c>
      <c r="H1652" s="2" t="n">
        <f aca="false">'Raw Data'!V1652</f>
        <v>4</v>
      </c>
      <c r="I1652" s="2" t="n">
        <f aca="false">IF(AND(ISNUMBER(B1652),B1652&lt;=25),2,0)+IF(AND(ISNUMBER(E1652),E1652&lt;=5),2,0)+IF(AND(ISNUMBER(F1652),F1652&lt;=1),2,0)+IF(AND(ISNUMBER(G1652),G1652&lt;=2),1,0)+IF(AND(ISNUMBER(H1652),H1652&lt;=2),1,0)</f>
        <v>2</v>
      </c>
      <c r="J1652" s="2" t="str">
        <f aca="false">IF(I1652&gt;=6,"High",IF(I1652&gt;=3,"Medium","Low"))</f>
        <v>Low</v>
      </c>
    </row>
    <row r="1653" customFormat="false" ht="15" hidden="false" customHeight="true" outlineLevel="0" collapsed="false">
      <c r="A1653" s="2" t="n">
        <f aca="false">'Raw Data'!H1653</f>
        <v>1652</v>
      </c>
      <c r="B1653" s="2" t="n">
        <f aca="false">'Raw Data'!A1653</f>
        <v>31</v>
      </c>
      <c r="C1653" s="2" t="str">
        <f aca="false">'Raw Data'!D1653</f>
        <v>Research &amp; Development</v>
      </c>
      <c r="D1653" s="2" t="str">
        <f aca="false">'Raw Data'!K1653</f>
        <v>Sales Executive</v>
      </c>
      <c r="E1653" s="2" t="n">
        <f aca="false">'Raw Data'!Q1653</f>
        <v>12</v>
      </c>
      <c r="F1653" s="2" t="n">
        <f aca="false">'Raw Data'!U1653</f>
        <v>0</v>
      </c>
      <c r="G1653" s="2" t="n">
        <f aca="false">'Raw Data'!W1653</f>
        <v>3</v>
      </c>
      <c r="H1653" s="2" t="n">
        <f aca="false">'Raw Data'!V1653</f>
        <v>1</v>
      </c>
      <c r="I1653" s="2" t="n">
        <f aca="false">IF(AND(ISNUMBER(B1653),B1653&lt;=25),2,0)+IF(AND(ISNUMBER(E1653),E1653&lt;=5),2,0)+IF(AND(ISNUMBER(F1653),F1653&lt;=1),2,0)+IF(AND(ISNUMBER(G1653),G1653&lt;=2),1,0)+IF(AND(ISNUMBER(H1653),H1653&lt;=2),1,0)</f>
        <v>3</v>
      </c>
      <c r="J1653" s="2" t="str">
        <f aca="false">IF(I1653&gt;=6,"High",IF(I1653&gt;=3,"Medium","Low"))</f>
        <v>Medium</v>
      </c>
    </row>
    <row r="1654" customFormat="false" ht="15" hidden="false" customHeight="true" outlineLevel="0" collapsed="false">
      <c r="A1654" s="2" t="n">
        <f aca="false">'Raw Data'!H1654</f>
        <v>1653</v>
      </c>
      <c r="B1654" s="2" t="n">
        <f aca="false">'Raw Data'!A1654</f>
        <v>34</v>
      </c>
      <c r="C1654" s="2" t="str">
        <f aca="false">'Raw Data'!D1654</f>
        <v>Sales</v>
      </c>
      <c r="D1654" s="2" t="str">
        <f aca="false">'Raw Data'!K1654</f>
        <v>Research Director</v>
      </c>
      <c r="E1654" s="2" t="n">
        <f aca="false">'Raw Data'!Q1654</f>
        <v>11</v>
      </c>
      <c r="F1654" s="2" t="n">
        <f aca="false">'Raw Data'!U1654</f>
        <v>2</v>
      </c>
      <c r="G1654" s="2" t="n">
        <f aca="false">'Raw Data'!W1654</f>
        <v>1</v>
      </c>
      <c r="H1654" s="2" t="n">
        <f aca="false">'Raw Data'!V1654</f>
        <v>2</v>
      </c>
      <c r="I1654" s="2" t="n">
        <f aca="false">IF(AND(ISNUMBER(B1654),B1654&lt;=25),2,0)+IF(AND(ISNUMBER(E1654),E1654&lt;=5),2,0)+IF(AND(ISNUMBER(F1654),F1654&lt;=1),2,0)+IF(AND(ISNUMBER(G1654),G1654&lt;=2),1,0)+IF(AND(ISNUMBER(H1654),H1654&lt;=2),1,0)</f>
        <v>2</v>
      </c>
      <c r="J1654" s="2" t="str">
        <f aca="false">IF(I1654&gt;=6,"High",IF(I1654&gt;=3,"Medium","Low"))</f>
        <v>Low</v>
      </c>
    </row>
    <row r="1655" customFormat="false" ht="15" hidden="false" customHeight="true" outlineLevel="0" collapsed="false">
      <c r="A1655" s="2" t="n">
        <f aca="false">'Raw Data'!H1655</f>
        <v>1654</v>
      </c>
      <c r="B1655" s="2" t="n">
        <f aca="false">'Raw Data'!A1655</f>
        <v>42</v>
      </c>
      <c r="C1655" s="2" t="str">
        <f aca="false">'Raw Data'!D1655</f>
        <v>Research &amp; Development</v>
      </c>
      <c r="D1655" s="2" t="str">
        <f aca="false">'Raw Data'!K1655</f>
        <v>Research Scientist</v>
      </c>
      <c r="E1655" s="2" t="n">
        <f aca="false">'Raw Data'!Q1655</f>
        <v>8</v>
      </c>
      <c r="F1655" s="2" t="n">
        <f aca="false">'Raw Data'!U1655</f>
        <v>0</v>
      </c>
      <c r="G1655" s="2" t="n">
        <f aca="false">'Raw Data'!W1655</f>
        <v>3</v>
      </c>
      <c r="H1655" s="2" t="n">
        <f aca="false">'Raw Data'!V1655</f>
        <v>2</v>
      </c>
      <c r="I1655" s="2" t="n">
        <f aca="false">IF(AND(ISNUMBER(B1655),B1655&lt;=25),2,0)+IF(AND(ISNUMBER(E1655),E1655&lt;=5),2,0)+IF(AND(ISNUMBER(F1655),F1655&lt;=1),2,0)+IF(AND(ISNUMBER(G1655),G1655&lt;=2),1,0)+IF(AND(ISNUMBER(H1655),H1655&lt;=2),1,0)</f>
        <v>3</v>
      </c>
      <c r="J1655" s="2" t="str">
        <f aca="false">IF(I1655&gt;=6,"High",IF(I1655&gt;=3,"Medium","Low"))</f>
        <v>Medium</v>
      </c>
    </row>
    <row r="1656" customFormat="false" ht="15" hidden="false" customHeight="true" outlineLevel="0" collapsed="false">
      <c r="A1656" s="2" t="n">
        <f aca="false">'Raw Data'!H1656</f>
        <v>1655</v>
      </c>
      <c r="B1656" s="2" t="n">
        <f aca="false">'Raw Data'!A1656</f>
        <v>36</v>
      </c>
      <c r="C1656" s="2" t="str">
        <f aca="false">'Raw Data'!D1656</f>
        <v>Research &amp; Development</v>
      </c>
      <c r="D1656" s="2" t="str">
        <f aca="false">'Raw Data'!K1656</f>
        <v>Research Scientist</v>
      </c>
      <c r="E1656" s="2" t="n">
        <f aca="false">'Raw Data'!Q1656</f>
        <v>10</v>
      </c>
      <c r="F1656" s="2" t="n">
        <f aca="false">'Raw Data'!U1656</f>
        <v>7</v>
      </c>
      <c r="G1656" s="2" t="n">
        <f aca="false">'Raw Data'!W1656</f>
        <v>4</v>
      </c>
      <c r="H1656" s="2" t="n">
        <f aca="false">'Raw Data'!V1656</f>
        <v>2</v>
      </c>
      <c r="I1656" s="2" t="n">
        <f aca="false">IF(AND(ISNUMBER(B1656),B1656&lt;=25),2,0)+IF(AND(ISNUMBER(E1656),E1656&lt;=5),2,0)+IF(AND(ISNUMBER(F1656),F1656&lt;=1),2,0)+IF(AND(ISNUMBER(G1656),G1656&lt;=2),1,0)+IF(AND(ISNUMBER(H1656),H1656&lt;=2),1,0)</f>
        <v>1</v>
      </c>
      <c r="J1656" s="2" t="str">
        <f aca="false">IF(I1656&gt;=6,"High",IF(I1656&gt;=3,"Medium","Low"))</f>
        <v>Low</v>
      </c>
    </row>
    <row r="1657" customFormat="false" ht="15" hidden="false" customHeight="true" outlineLevel="0" collapsed="false">
      <c r="A1657" s="2" t="n">
        <f aca="false">'Raw Data'!H1657</f>
        <v>1656</v>
      </c>
      <c r="B1657" s="2" t="n">
        <f aca="false">'Raw Data'!A1657</f>
        <v>22</v>
      </c>
      <c r="C1657" s="2" t="str">
        <f aca="false">'Raw Data'!D1657</f>
        <v>Research &amp; Development</v>
      </c>
      <c r="D1657" s="2" t="str">
        <f aca="false">'Raw Data'!K1657</f>
        <v>Laboratory Technician</v>
      </c>
      <c r="E1657" s="2" t="n">
        <f aca="false">'Raw Data'!Q1657</f>
        <v>4</v>
      </c>
      <c r="F1657" s="2" t="n">
        <f aca="false">'Raw Data'!U1657</f>
        <v>2</v>
      </c>
      <c r="G1657" s="2" t="n">
        <f aca="false">'Raw Data'!W1657</f>
        <v>3</v>
      </c>
      <c r="H1657" s="2" t="n">
        <f aca="false">'Raw Data'!V1657</f>
        <v>3</v>
      </c>
      <c r="I1657" s="2" t="n">
        <f aca="false">IF(AND(ISNUMBER(B1657),B1657&lt;=25),2,0)+IF(AND(ISNUMBER(E1657),E1657&lt;=5),2,0)+IF(AND(ISNUMBER(F1657),F1657&lt;=1),2,0)+IF(AND(ISNUMBER(G1657),G1657&lt;=2),1,0)+IF(AND(ISNUMBER(H1657),H1657&lt;=2),1,0)</f>
        <v>4</v>
      </c>
      <c r="J1657" s="2" t="str">
        <f aca="false">IF(I1657&gt;=6,"High",IF(I1657&gt;=3,"Medium","Low"))</f>
        <v>Medium</v>
      </c>
    </row>
    <row r="1658" customFormat="false" ht="15" hidden="false" customHeight="true" outlineLevel="0" collapsed="false">
      <c r="A1658" s="2" t="n">
        <f aca="false">'Raw Data'!H1658</f>
        <v>1657</v>
      </c>
      <c r="B1658" s="2" t="n">
        <f aca="false">'Raw Data'!A1658</f>
        <v>48</v>
      </c>
      <c r="C1658" s="2" t="str">
        <f aca="false">'Raw Data'!D1658</f>
        <v>Research &amp; Development</v>
      </c>
      <c r="D1658" s="2" t="str">
        <f aca="false">'Raw Data'!K1658</f>
        <v>Laboratory Technician</v>
      </c>
      <c r="E1658" s="2" t="n">
        <f aca="false">'Raw Data'!Q1658</f>
        <v>14</v>
      </c>
      <c r="F1658" s="2" t="n">
        <f aca="false">'Raw Data'!U1658</f>
        <v>7</v>
      </c>
      <c r="G1658" s="2" t="n">
        <f aca="false">'Raw Data'!W1658</f>
        <v>4</v>
      </c>
      <c r="H1658" s="2" t="n">
        <f aca="false">'Raw Data'!V1658</f>
        <v>2</v>
      </c>
      <c r="I1658" s="2" t="n">
        <f aca="false">IF(AND(ISNUMBER(B1658),B1658&lt;=25),2,0)+IF(AND(ISNUMBER(E1658),E1658&lt;=5),2,0)+IF(AND(ISNUMBER(F1658),F1658&lt;=1),2,0)+IF(AND(ISNUMBER(G1658),G1658&lt;=2),1,0)+IF(AND(ISNUMBER(H1658),H1658&lt;=2),1,0)</f>
        <v>1</v>
      </c>
      <c r="J1658" s="2" t="str">
        <f aca="false">IF(I1658&gt;=6,"High",IF(I1658&gt;=3,"Medium","Low"))</f>
        <v>Low</v>
      </c>
    </row>
    <row r="1659" customFormat="false" ht="15" hidden="false" customHeight="true" outlineLevel="0" collapsed="false">
      <c r="A1659" s="2" t="n">
        <f aca="false">'Raw Data'!H1659</f>
        <v>1658</v>
      </c>
      <c r="B1659" s="2" t="n">
        <f aca="false">'Raw Data'!A1659</f>
        <v>55</v>
      </c>
      <c r="C1659" s="2" t="str">
        <f aca="false">'Raw Data'!D1659</f>
        <v>Research &amp; Development</v>
      </c>
      <c r="D1659" s="2" t="str">
        <f aca="false">'Raw Data'!K1659</f>
        <v>Sales Executive</v>
      </c>
      <c r="E1659" s="2" t="n">
        <f aca="false">'Raw Data'!Q1659</f>
        <v>37</v>
      </c>
      <c r="F1659" s="2" t="n">
        <f aca="false">'Raw Data'!U1659</f>
        <v>7</v>
      </c>
      <c r="G1659" s="2" t="n">
        <f aca="false">'Raw Data'!W1659</f>
        <v>2</v>
      </c>
      <c r="H1659" s="2" t="n">
        <f aca="false">'Raw Data'!V1659</f>
        <v>1</v>
      </c>
      <c r="I1659" s="2" t="n">
        <f aca="false">IF(AND(ISNUMBER(B1659),B1659&lt;=25),2,0)+IF(AND(ISNUMBER(E1659),E1659&lt;=5),2,0)+IF(AND(ISNUMBER(F1659),F1659&lt;=1),2,0)+IF(AND(ISNUMBER(G1659),G1659&lt;=2),1,0)+IF(AND(ISNUMBER(H1659),H1659&lt;=2),1,0)</f>
        <v>2</v>
      </c>
      <c r="J1659" s="2" t="str">
        <f aca="false">IF(I1659&gt;=6,"High",IF(I1659&gt;=3,"Medium","Low"))</f>
        <v>Low</v>
      </c>
    </row>
    <row r="1660" customFormat="false" ht="15" hidden="false" customHeight="true" outlineLevel="0" collapsed="false">
      <c r="A1660" s="2" t="n">
        <f aca="false">'Raw Data'!H1660</f>
        <v>1659</v>
      </c>
      <c r="B1660" s="2" t="n">
        <f aca="false">'Raw Data'!A1660</f>
        <v>41</v>
      </c>
      <c r="C1660" s="2" t="str">
        <f aca="false">'Raw Data'!D1660</f>
        <v>Research &amp; Development</v>
      </c>
      <c r="D1660" s="2" t="str">
        <f aca="false">'Raw Data'!K1660</f>
        <v>Research Scientist</v>
      </c>
      <c r="E1660" s="2" t="n">
        <f aca="false">'Raw Data'!Q1660</f>
        <v>16</v>
      </c>
      <c r="F1660" s="2" t="n">
        <f aca="false">'Raw Data'!U1660</f>
        <v>10</v>
      </c>
      <c r="G1660" s="2" t="n">
        <f aca="false">'Raw Data'!W1660</f>
        <v>4</v>
      </c>
      <c r="H1660" s="2" t="n">
        <f aca="false">'Raw Data'!V1660</f>
        <v>4</v>
      </c>
      <c r="I1660" s="2" t="n">
        <f aca="false">IF(AND(ISNUMBER(B1660),B1660&lt;=25),2,0)+IF(AND(ISNUMBER(E1660),E1660&lt;=5),2,0)+IF(AND(ISNUMBER(F1660),F1660&lt;=1),2,0)+IF(AND(ISNUMBER(G1660),G1660&lt;=2),1,0)+IF(AND(ISNUMBER(H1660),H1660&lt;=2),1,0)</f>
        <v>0</v>
      </c>
      <c r="J1660" s="2" t="str">
        <f aca="false">IF(I1660&gt;=6,"High",IF(I1660&gt;=3,"Medium","Low"))</f>
        <v>Low</v>
      </c>
    </row>
    <row r="1661" customFormat="false" ht="15" hidden="false" customHeight="true" outlineLevel="0" collapsed="false">
      <c r="A1661" s="2" t="n">
        <f aca="false">'Raw Data'!H1661</f>
        <v>1660</v>
      </c>
      <c r="B1661" s="2" t="n">
        <f aca="false">'Raw Data'!A1661</f>
        <v>35</v>
      </c>
      <c r="C1661" s="2" t="str">
        <f aca="false">'Raw Data'!D1661</f>
        <v>Research &amp; Development</v>
      </c>
      <c r="D1661" s="2" t="str">
        <f aca="false">'Raw Data'!K1661</f>
        <v>Sales Representative</v>
      </c>
      <c r="E1661" s="2" t="n">
        <f aca="false">'Raw Data'!Q1661</f>
        <v>15</v>
      </c>
      <c r="F1661" s="2" t="n">
        <f aca="false">'Raw Data'!U1661</f>
        <v>9</v>
      </c>
      <c r="G1661" s="2" t="n">
        <f aca="false">'Raw Data'!W1661</f>
        <v>3</v>
      </c>
      <c r="H1661" s="2" t="n">
        <f aca="false">'Raw Data'!V1661</f>
        <v>2</v>
      </c>
      <c r="I1661" s="2" t="n">
        <f aca="false">IF(AND(ISNUMBER(B1661),B1661&lt;=25),2,0)+IF(AND(ISNUMBER(E1661),E1661&lt;=5),2,0)+IF(AND(ISNUMBER(F1661),F1661&lt;=1),2,0)+IF(AND(ISNUMBER(G1661),G1661&lt;=2),1,0)+IF(AND(ISNUMBER(H1661),H1661&lt;=2),1,0)</f>
        <v>1</v>
      </c>
      <c r="J1661" s="2" t="str">
        <f aca="false">IF(I1661&gt;=6,"High",IF(I1661&gt;=3,"Medium","Low"))</f>
        <v>Low</v>
      </c>
    </row>
    <row r="1662" customFormat="false" ht="15" hidden="false" customHeight="true" outlineLevel="0" collapsed="false">
      <c r="A1662" s="2" t="n">
        <f aca="false">'Raw Data'!H1662</f>
        <v>1661</v>
      </c>
      <c r="B1662" s="2" t="n">
        <f aca="false">'Raw Data'!A1662</f>
        <v>40</v>
      </c>
      <c r="C1662" s="2" t="str">
        <f aca="false">'Raw Data'!D1662</f>
        <v>Research &amp; Development</v>
      </c>
      <c r="D1662" s="2" t="str">
        <f aca="false">'Raw Data'!K1662</f>
        <v>Laboratory Technician</v>
      </c>
      <c r="E1662" s="2" t="n">
        <f aca="false">'Raw Data'!Q1662</f>
        <v>22</v>
      </c>
      <c r="F1662" s="2" t="n">
        <f aca="false">'Raw Data'!U1662</f>
        <v>13</v>
      </c>
      <c r="G1662" s="2" t="n">
        <f aca="false">'Raw Data'!W1662</f>
        <v>3</v>
      </c>
      <c r="H1662" s="2" t="n">
        <f aca="false">'Raw Data'!V1662</f>
        <v>2</v>
      </c>
      <c r="I1662" s="2" t="n">
        <f aca="false">IF(AND(ISNUMBER(B1662),B1662&lt;=25),2,0)+IF(AND(ISNUMBER(E1662),E1662&lt;=5),2,0)+IF(AND(ISNUMBER(F1662),F1662&lt;=1),2,0)+IF(AND(ISNUMBER(G1662),G1662&lt;=2),1,0)+IF(AND(ISNUMBER(H1662),H1662&lt;=2),1,0)</f>
        <v>1</v>
      </c>
      <c r="J1662" s="2" t="str">
        <f aca="false">IF(I1662&gt;=6,"High",IF(I1662&gt;=3,"Medium","Low"))</f>
        <v>Low</v>
      </c>
    </row>
    <row r="1663" customFormat="false" ht="15" hidden="false" customHeight="true" outlineLevel="0" collapsed="false">
      <c r="A1663" s="2" t="n">
        <f aca="false">'Raw Data'!H1663</f>
        <v>1662</v>
      </c>
      <c r="B1663" s="2" t="n">
        <f aca="false">'Raw Data'!A1663</f>
        <v>39</v>
      </c>
      <c r="C1663" s="2" t="str">
        <f aca="false">'Raw Data'!D1663</f>
        <v>Research &amp; Development</v>
      </c>
      <c r="D1663" s="2" t="str">
        <f aca="false">'Raw Data'!K1663</f>
        <v>Research Scientist</v>
      </c>
      <c r="E1663" s="2" t="n">
        <f aca="false">'Raw Data'!Q1663</f>
        <v>8</v>
      </c>
      <c r="F1663" s="2" t="n">
        <f aca="false">'Raw Data'!U1663</f>
        <v>7</v>
      </c>
      <c r="G1663" s="2" t="n">
        <f aca="false">'Raw Data'!W1663</f>
        <v>3</v>
      </c>
      <c r="H1663" s="2" t="n">
        <f aca="false">'Raw Data'!V1663</f>
        <v>3</v>
      </c>
      <c r="I1663" s="2" t="n">
        <f aca="false">IF(AND(ISNUMBER(B1663),B1663&lt;=25),2,0)+IF(AND(ISNUMBER(E1663),E1663&lt;=5),2,0)+IF(AND(ISNUMBER(F1663),F1663&lt;=1),2,0)+IF(AND(ISNUMBER(G1663),G1663&lt;=2),1,0)+IF(AND(ISNUMBER(H1663),H1663&lt;=2),1,0)</f>
        <v>0</v>
      </c>
      <c r="J1663" s="2" t="str">
        <f aca="false">IF(I1663&gt;=6,"High",IF(I1663&gt;=3,"Medium","Low"))</f>
        <v>Low</v>
      </c>
    </row>
    <row r="1664" customFormat="false" ht="15" hidden="false" customHeight="true" outlineLevel="0" collapsed="false">
      <c r="A1664" s="2" t="n">
        <f aca="false">'Raw Data'!H1664</f>
        <v>1663</v>
      </c>
      <c r="B1664" s="2" t="n">
        <f aca="false">'Raw Data'!A1664</f>
        <v>31</v>
      </c>
      <c r="C1664" s="2" t="str">
        <f aca="false">'Raw Data'!D1664</f>
        <v>Research &amp; Development</v>
      </c>
      <c r="D1664" s="2" t="str">
        <f aca="false">'Raw Data'!K1664</f>
        <v>Research Director</v>
      </c>
      <c r="E1664" s="2" t="n">
        <f aca="false">'Raw Data'!Q1664</f>
        <v>10</v>
      </c>
      <c r="F1664" s="2" t="n">
        <f aca="false">'Raw Data'!U1664</f>
        <v>5</v>
      </c>
      <c r="G1664" s="2" t="n">
        <f aca="false">'Raw Data'!W1664</f>
        <v>4</v>
      </c>
      <c r="H1664" s="2" t="n">
        <f aca="false">'Raw Data'!V1664</f>
        <v>2</v>
      </c>
      <c r="I1664" s="2" t="n">
        <f aca="false">IF(AND(ISNUMBER(B1664),B1664&lt;=25),2,0)+IF(AND(ISNUMBER(E1664),E1664&lt;=5),2,0)+IF(AND(ISNUMBER(F1664),F1664&lt;=1),2,0)+IF(AND(ISNUMBER(G1664),G1664&lt;=2),1,0)+IF(AND(ISNUMBER(H1664),H1664&lt;=2),1,0)</f>
        <v>1</v>
      </c>
      <c r="J1664" s="2" t="str">
        <f aca="false">IF(I1664&gt;=6,"High",IF(I1664&gt;=3,"Medium","Low"))</f>
        <v>Low</v>
      </c>
    </row>
    <row r="1665" customFormat="false" ht="15" hidden="false" customHeight="true" outlineLevel="0" collapsed="false">
      <c r="A1665" s="2" t="n">
        <f aca="false">'Raw Data'!H1665</f>
        <v>1664</v>
      </c>
      <c r="B1665" s="2" t="n">
        <f aca="false">'Raw Data'!A1665</f>
        <v>42</v>
      </c>
      <c r="C1665" s="2" t="str">
        <f aca="false">'Raw Data'!D1665</f>
        <v>Research &amp; Development</v>
      </c>
      <c r="D1665" s="2" t="str">
        <f aca="false">'Raw Data'!K1665</f>
        <v>Sales Executive</v>
      </c>
      <c r="E1665" s="2" t="n">
        <f aca="false">'Raw Data'!Q1665</f>
        <v>10</v>
      </c>
      <c r="F1665" s="2" t="n">
        <f aca="false">'Raw Data'!U1665</f>
        <v>8</v>
      </c>
      <c r="G1665" s="2" t="n">
        <f aca="false">'Raw Data'!W1665</f>
        <v>1</v>
      </c>
      <c r="H1665" s="2" t="n">
        <f aca="false">'Raw Data'!V1665</f>
        <v>4</v>
      </c>
      <c r="I1665" s="2" t="n">
        <f aca="false">IF(AND(ISNUMBER(B1665),B1665&lt;=25),2,0)+IF(AND(ISNUMBER(E1665),E1665&lt;=5),2,0)+IF(AND(ISNUMBER(F1665),F1665&lt;=1),2,0)+IF(AND(ISNUMBER(G1665),G1665&lt;=2),1,0)+IF(AND(ISNUMBER(H1665),H1665&lt;=2),1,0)</f>
        <v>1</v>
      </c>
      <c r="J1665" s="2" t="str">
        <f aca="false">IF(I1665&gt;=6,"High",IF(I1665&gt;=3,"Medium","Low"))</f>
        <v>Low</v>
      </c>
    </row>
    <row r="1666" customFormat="false" ht="15" hidden="false" customHeight="true" outlineLevel="0" collapsed="false">
      <c r="A1666" s="2" t="n">
        <f aca="false">'Raw Data'!H1666</f>
        <v>1665</v>
      </c>
      <c r="B1666" s="2" t="n">
        <f aca="false">'Raw Data'!A1666</f>
        <v>45</v>
      </c>
      <c r="C1666" s="2" t="str">
        <f aca="false">'Raw Data'!D1666</f>
        <v>Research &amp; Development</v>
      </c>
      <c r="D1666" s="2" t="str">
        <f aca="false">'Raw Data'!K1666</f>
        <v>Sales Executive</v>
      </c>
      <c r="E1666" s="2" t="n">
        <f aca="false">'Raw Data'!Q1666</f>
        <v>9</v>
      </c>
      <c r="F1666" s="2" t="n">
        <f aca="false">'Raw Data'!U1666</f>
        <v>7</v>
      </c>
      <c r="G1666" s="2" t="n">
        <f aca="false">'Raw Data'!W1666</f>
        <v>2</v>
      </c>
      <c r="H1666" s="2" t="n">
        <f aca="false">'Raw Data'!V1666</f>
        <v>4</v>
      </c>
      <c r="I1666" s="2" t="n">
        <f aca="false">IF(AND(ISNUMBER(B1666),B1666&lt;=25),2,0)+IF(AND(ISNUMBER(E1666),E1666&lt;=5),2,0)+IF(AND(ISNUMBER(F1666),F1666&lt;=1),2,0)+IF(AND(ISNUMBER(G1666),G1666&lt;=2),1,0)+IF(AND(ISNUMBER(H1666),H1666&lt;=2),1,0)</f>
        <v>1</v>
      </c>
      <c r="J1666" s="2" t="str">
        <f aca="false">IF(I1666&gt;=6,"High",IF(I1666&gt;=3,"Medium","Low"))</f>
        <v>Low</v>
      </c>
    </row>
    <row r="1667" customFormat="false" ht="15" hidden="false" customHeight="true" outlineLevel="0" collapsed="false">
      <c r="A1667" s="2" t="n">
        <f aca="false">'Raw Data'!H1667</f>
        <v>1666</v>
      </c>
      <c r="B1667" s="2" t="n">
        <f aca="false">'Raw Data'!A1667</f>
        <v>26</v>
      </c>
      <c r="C1667" s="2" t="str">
        <f aca="false">'Raw Data'!D1667</f>
        <v>Research &amp; Development</v>
      </c>
      <c r="D1667" s="2" t="str">
        <f aca="false">'Raw Data'!K1667</f>
        <v>Laboratory Technician</v>
      </c>
      <c r="E1667" s="2" t="n">
        <f aca="false">'Raw Data'!Q1667</f>
        <v>8</v>
      </c>
      <c r="F1667" s="2" t="n">
        <f aca="false">'Raw Data'!U1667</f>
        <v>0</v>
      </c>
      <c r="G1667" s="2" t="n">
        <f aca="false">'Raw Data'!W1667</f>
        <v>3</v>
      </c>
      <c r="H1667" s="2" t="n">
        <f aca="false">'Raw Data'!V1667</f>
        <v>2</v>
      </c>
      <c r="I1667" s="2" t="n">
        <f aca="false">IF(AND(ISNUMBER(B1667),B1667&lt;=25),2,0)+IF(AND(ISNUMBER(E1667),E1667&lt;=5),2,0)+IF(AND(ISNUMBER(F1667),F1667&lt;=1),2,0)+IF(AND(ISNUMBER(G1667),G1667&lt;=2),1,0)+IF(AND(ISNUMBER(H1667),H1667&lt;=2),1,0)</f>
        <v>3</v>
      </c>
      <c r="J1667" s="2" t="str">
        <f aca="false">IF(I1667&gt;=6,"High",IF(I1667&gt;=3,"Medium","Low"))</f>
        <v>Medium</v>
      </c>
    </row>
    <row r="1668" customFormat="false" ht="15" hidden="false" customHeight="true" outlineLevel="0" collapsed="false">
      <c r="A1668" s="2" t="n">
        <f aca="false">'Raw Data'!H1668</f>
        <v>1667</v>
      </c>
      <c r="B1668" s="2" t="n">
        <f aca="false">'Raw Data'!A1668</f>
        <v>29</v>
      </c>
      <c r="C1668" s="2" t="str">
        <f aca="false">'Raw Data'!D1668</f>
        <v>Research &amp; Development</v>
      </c>
      <c r="D1668" s="2" t="str">
        <f aca="false">'Raw Data'!K1668</f>
        <v>Research Scientist</v>
      </c>
      <c r="E1668" s="2" t="n">
        <f aca="false">'Raw Data'!Q1668</f>
        <v>8</v>
      </c>
      <c r="F1668" s="2" t="n">
        <f aca="false">'Raw Data'!U1668</f>
        <v>2</v>
      </c>
      <c r="G1668" s="2" t="n">
        <f aca="false">'Raw Data'!W1668</f>
        <v>4</v>
      </c>
      <c r="H1668" s="2" t="n">
        <f aca="false">'Raw Data'!V1668</f>
        <v>4</v>
      </c>
      <c r="I1668" s="2" t="n">
        <f aca="false">IF(AND(ISNUMBER(B1668),B1668&lt;=25),2,0)+IF(AND(ISNUMBER(E1668),E1668&lt;=5),2,0)+IF(AND(ISNUMBER(F1668),F1668&lt;=1),2,0)+IF(AND(ISNUMBER(G1668),G1668&lt;=2),1,0)+IF(AND(ISNUMBER(H1668),H1668&lt;=2),1,0)</f>
        <v>0</v>
      </c>
      <c r="J1668" s="2" t="str">
        <f aca="false">IF(I1668&gt;=6,"High",IF(I1668&gt;=3,"Medium","Low"))</f>
        <v>Low</v>
      </c>
    </row>
    <row r="1669" customFormat="false" ht="15" hidden="false" customHeight="true" outlineLevel="0" collapsed="false">
      <c r="A1669" s="2" t="n">
        <f aca="false">'Raw Data'!H1669</f>
        <v>1668</v>
      </c>
      <c r="B1669" s="2" t="n">
        <f aca="false">'Raw Data'!A1669</f>
        <v>33</v>
      </c>
      <c r="C1669" s="2" t="str">
        <f aca="false">'Raw Data'!D1669</f>
        <v>Research &amp; Development</v>
      </c>
      <c r="D1669" s="2" t="str">
        <f aca="false">'Raw Data'!K1669</f>
        <v>Laboratory Technician</v>
      </c>
      <c r="E1669" s="2" t="n">
        <f aca="false">'Raw Data'!Q1669</f>
        <v>10</v>
      </c>
      <c r="F1669" s="2" t="n">
        <f aca="false">'Raw Data'!U1669</f>
        <v>5</v>
      </c>
      <c r="G1669" s="2" t="n">
        <f aca="false">'Raw Data'!W1669</f>
        <v>3</v>
      </c>
      <c r="H1669" s="2" t="n">
        <f aca="false">'Raw Data'!V1669</f>
        <v>1</v>
      </c>
      <c r="I1669" s="2" t="n">
        <f aca="false">IF(AND(ISNUMBER(B1669),B1669&lt;=25),2,0)+IF(AND(ISNUMBER(E1669),E1669&lt;=5),2,0)+IF(AND(ISNUMBER(F1669),F1669&lt;=1),2,0)+IF(AND(ISNUMBER(G1669),G1669&lt;=2),1,0)+IF(AND(ISNUMBER(H1669),H1669&lt;=2),1,0)</f>
        <v>1</v>
      </c>
      <c r="J1669" s="2" t="str">
        <f aca="false">IF(I1669&gt;=6,"High",IF(I1669&gt;=3,"Medium","Low"))</f>
        <v>Low</v>
      </c>
    </row>
    <row r="1670" customFormat="false" ht="15" hidden="false" customHeight="true" outlineLevel="0" collapsed="false">
      <c r="A1670" s="2" t="n">
        <f aca="false">'Raw Data'!H1670</f>
        <v>1669</v>
      </c>
      <c r="B1670" s="2" t="n">
        <f aca="false">'Raw Data'!A1670</f>
        <v>31</v>
      </c>
      <c r="C1670" s="2" t="str">
        <f aca="false">'Raw Data'!D1670</f>
        <v>Research &amp; Development</v>
      </c>
      <c r="D1670" s="2" t="str">
        <f aca="false">'Raw Data'!K1670</f>
        <v>Sales Executive</v>
      </c>
      <c r="E1670" s="2" t="n">
        <f aca="false">'Raw Data'!Q1670</f>
        <v>10</v>
      </c>
      <c r="F1670" s="2" t="n">
        <f aca="false">'Raw Data'!U1670</f>
        <v>1</v>
      </c>
      <c r="G1670" s="2" t="n">
        <f aca="false">'Raw Data'!W1670</f>
        <v>4</v>
      </c>
      <c r="H1670" s="2" t="n">
        <f aca="false">'Raw Data'!V1670</f>
        <v>3</v>
      </c>
      <c r="I1670" s="2" t="n">
        <f aca="false">IF(AND(ISNUMBER(B1670),B1670&lt;=25),2,0)+IF(AND(ISNUMBER(E1670),E1670&lt;=5),2,0)+IF(AND(ISNUMBER(F1670),F1670&lt;=1),2,0)+IF(AND(ISNUMBER(G1670),G1670&lt;=2),1,0)+IF(AND(ISNUMBER(H1670),H1670&lt;=2),1,0)</f>
        <v>2</v>
      </c>
      <c r="J1670" s="2" t="str">
        <f aca="false">IF(I1670&gt;=6,"High",IF(I1670&gt;=3,"Medium","Low"))</f>
        <v>Low</v>
      </c>
    </row>
    <row r="1671" customFormat="false" ht="15" hidden="false" customHeight="true" outlineLevel="0" collapsed="false">
      <c r="A1671" s="2" t="n">
        <f aca="false">'Raw Data'!H1671</f>
        <v>1670</v>
      </c>
      <c r="B1671" s="2" t="n">
        <f aca="false">'Raw Data'!A1671</f>
        <v>18</v>
      </c>
      <c r="C1671" s="2" t="str">
        <f aca="false">'Raw Data'!D1671</f>
        <v>Research &amp; Development</v>
      </c>
      <c r="D1671" s="2" t="str">
        <f aca="false">'Raw Data'!K1671</f>
        <v>Sales Executive</v>
      </c>
      <c r="E1671" s="2" t="n">
        <f aca="false">'Raw Data'!Q1671</f>
        <v>0</v>
      </c>
      <c r="F1671" s="2" t="n">
        <f aca="false">'Raw Data'!U1671</f>
        <v>0</v>
      </c>
      <c r="G1671" s="2" t="n">
        <f aca="false">'Raw Data'!W1671</f>
        <v>2</v>
      </c>
      <c r="H1671" s="2" t="n">
        <f aca="false">'Raw Data'!V1671</f>
        <v>2</v>
      </c>
      <c r="I1671" s="2" t="n">
        <f aca="false">IF(AND(ISNUMBER(B1671),B1671&lt;=25),2,0)+IF(AND(ISNUMBER(E1671),E1671&lt;=5),2,0)+IF(AND(ISNUMBER(F1671),F1671&lt;=1),2,0)+IF(AND(ISNUMBER(G1671),G1671&lt;=2),1,0)+IF(AND(ISNUMBER(H1671),H1671&lt;=2),1,0)</f>
        <v>8</v>
      </c>
      <c r="J1671" s="2" t="str">
        <f aca="false">IF(I1671&gt;=6,"High",IF(I1671&gt;=3,"Medium","Low"))</f>
        <v>High</v>
      </c>
    </row>
    <row r="1672" customFormat="false" ht="15" hidden="false" customHeight="true" outlineLevel="0" collapsed="false">
      <c r="A1672" s="2" t="n">
        <f aca="false">'Raw Data'!H1672</f>
        <v>1671</v>
      </c>
      <c r="B1672" s="2" t="n">
        <f aca="false">'Raw Data'!A1672</f>
        <v>40</v>
      </c>
      <c r="C1672" s="2" t="str">
        <f aca="false">'Raw Data'!D1672</f>
        <v>Research &amp; Development</v>
      </c>
      <c r="D1672" s="2" t="str">
        <f aca="false">'Raw Data'!K1672</f>
        <v>Laboratory Technician</v>
      </c>
      <c r="E1672" s="2" t="n">
        <f aca="false">'Raw Data'!Q1672</f>
        <v>20</v>
      </c>
      <c r="F1672" s="2" t="n">
        <f aca="false">'Raw Data'!U1672</f>
        <v>1</v>
      </c>
      <c r="G1672" s="2" t="n">
        <f aca="false">'Raw Data'!W1672</f>
        <v>1</v>
      </c>
      <c r="H1672" s="2" t="n">
        <f aca="false">'Raw Data'!V1672</f>
        <v>3</v>
      </c>
      <c r="I1672" s="2" t="n">
        <f aca="false">IF(AND(ISNUMBER(B1672),B1672&lt;=25),2,0)+IF(AND(ISNUMBER(E1672),E1672&lt;=5),2,0)+IF(AND(ISNUMBER(F1672),F1672&lt;=1),2,0)+IF(AND(ISNUMBER(G1672),G1672&lt;=2),1,0)+IF(AND(ISNUMBER(H1672),H1672&lt;=2),1,0)</f>
        <v>3</v>
      </c>
      <c r="J1672" s="2" t="str">
        <f aca="false">IF(I1672&gt;=6,"High",IF(I1672&gt;=3,"Medium","Low"))</f>
        <v>Medium</v>
      </c>
    </row>
    <row r="1673" customFormat="false" ht="15" hidden="false" customHeight="true" outlineLevel="0" collapsed="false">
      <c r="A1673" s="2" t="n">
        <f aca="false">'Raw Data'!H1673</f>
        <v>1672</v>
      </c>
      <c r="B1673" s="2" t="n">
        <f aca="false">'Raw Data'!A1673</f>
        <v>41</v>
      </c>
      <c r="C1673" s="2" t="str">
        <f aca="false">'Raw Data'!D1673</f>
        <v>Research &amp; Development</v>
      </c>
      <c r="D1673" s="2" t="str">
        <f aca="false">'Raw Data'!K1673</f>
        <v>Manufacturing Director</v>
      </c>
      <c r="E1673" s="2" t="n">
        <f aca="false">'Raw Data'!Q1673</f>
        <v>10</v>
      </c>
      <c r="F1673" s="2" t="n">
        <f aca="false">'Raw Data'!U1673</f>
        <v>7</v>
      </c>
      <c r="G1673" s="2" t="n">
        <f aca="false">'Raw Data'!W1673</f>
        <v>3</v>
      </c>
      <c r="H1673" s="2" t="n">
        <f aca="false">'Raw Data'!V1673</f>
        <v>1</v>
      </c>
      <c r="I1673" s="2" t="n">
        <f aca="false">IF(AND(ISNUMBER(B1673),B1673&lt;=25),2,0)+IF(AND(ISNUMBER(E1673),E1673&lt;=5),2,0)+IF(AND(ISNUMBER(F1673),F1673&lt;=1),2,0)+IF(AND(ISNUMBER(G1673),G1673&lt;=2),1,0)+IF(AND(ISNUMBER(H1673),H1673&lt;=2),1,0)</f>
        <v>1</v>
      </c>
      <c r="J1673" s="2" t="str">
        <f aca="false">IF(I1673&gt;=6,"High",IF(I1673&gt;=3,"Medium","Low"))</f>
        <v>Low</v>
      </c>
    </row>
    <row r="1674" customFormat="false" ht="15" hidden="false" customHeight="true" outlineLevel="0" collapsed="false">
      <c r="A1674" s="2" t="n">
        <f aca="false">'Raw Data'!H1674</f>
        <v>1673</v>
      </c>
      <c r="B1674" s="2" t="n">
        <f aca="false">'Raw Data'!A1674</f>
        <v>26</v>
      </c>
      <c r="C1674" s="2" t="str">
        <f aca="false">'Raw Data'!D1674</f>
        <v>Research &amp; Development</v>
      </c>
      <c r="D1674" s="2" t="str">
        <f aca="false">'Raw Data'!K1674</f>
        <v>Healthcare Representative</v>
      </c>
      <c r="E1674" s="2" t="n">
        <f aca="false">'Raw Data'!Q1674</f>
        <v>8</v>
      </c>
      <c r="F1674" s="2" t="n">
        <f aca="false">'Raw Data'!U1674</f>
        <v>0</v>
      </c>
      <c r="G1674" s="2" t="n">
        <f aca="false">'Raw Data'!W1674</f>
        <v>3</v>
      </c>
      <c r="H1674" s="2" t="n">
        <f aca="false">'Raw Data'!V1674</f>
        <v>1</v>
      </c>
      <c r="I1674" s="2" t="n">
        <f aca="false">IF(AND(ISNUMBER(B1674),B1674&lt;=25),2,0)+IF(AND(ISNUMBER(E1674),E1674&lt;=5),2,0)+IF(AND(ISNUMBER(F1674),F1674&lt;=1),2,0)+IF(AND(ISNUMBER(G1674),G1674&lt;=2),1,0)+IF(AND(ISNUMBER(H1674),H1674&lt;=2),1,0)</f>
        <v>3</v>
      </c>
      <c r="J1674" s="2" t="str">
        <f aca="false">IF(I1674&gt;=6,"High",IF(I1674&gt;=3,"Medium","Low"))</f>
        <v>Medium</v>
      </c>
    </row>
    <row r="1675" customFormat="false" ht="15" hidden="false" customHeight="true" outlineLevel="0" collapsed="false">
      <c r="A1675" s="2" t="n">
        <f aca="false">'Raw Data'!H1675</f>
        <v>1674</v>
      </c>
      <c r="B1675" s="2" t="n">
        <f aca="false">'Raw Data'!A1675</f>
        <v>35</v>
      </c>
      <c r="C1675" s="2" t="str">
        <f aca="false">'Raw Data'!D1675</f>
        <v>Research &amp; Development</v>
      </c>
      <c r="D1675" s="2" t="str">
        <f aca="false">'Raw Data'!K1675</f>
        <v>Human Resources</v>
      </c>
      <c r="E1675" s="2" t="n">
        <f aca="false">'Raw Data'!Q1675</f>
        <v>5</v>
      </c>
      <c r="F1675" s="2" t="n">
        <f aca="false">'Raw Data'!U1675</f>
        <v>3</v>
      </c>
      <c r="G1675" s="2" t="n">
        <f aca="false">'Raw Data'!W1675</f>
        <v>3</v>
      </c>
      <c r="H1675" s="2" t="n">
        <f aca="false">'Raw Data'!V1675</f>
        <v>1</v>
      </c>
      <c r="I1675" s="2" t="n">
        <f aca="false">IF(AND(ISNUMBER(B1675),B1675&lt;=25),2,0)+IF(AND(ISNUMBER(E1675),E1675&lt;=5),2,0)+IF(AND(ISNUMBER(F1675),F1675&lt;=1),2,0)+IF(AND(ISNUMBER(G1675),G1675&lt;=2),1,0)+IF(AND(ISNUMBER(H1675),H1675&lt;=2),1,0)</f>
        <v>3</v>
      </c>
      <c r="J1675" s="2" t="str">
        <f aca="false">IF(I1675&gt;=6,"High",IF(I1675&gt;=3,"Medium","Low"))</f>
        <v>Medium</v>
      </c>
    </row>
    <row r="1676" customFormat="false" ht="15" hidden="false" customHeight="true" outlineLevel="0" collapsed="false">
      <c r="A1676" s="2" t="n">
        <f aca="false">'Raw Data'!H1676</f>
        <v>1675</v>
      </c>
      <c r="B1676" s="2" t="n">
        <f aca="false">'Raw Data'!A1676</f>
        <v>34</v>
      </c>
      <c r="C1676" s="2" t="str">
        <f aca="false">'Raw Data'!D1676</f>
        <v>Research &amp; Development</v>
      </c>
      <c r="D1676" s="2" t="str">
        <f aca="false">'Raw Data'!K1676</f>
        <v>Laboratory Technician</v>
      </c>
      <c r="E1676" s="2" t="n">
        <f aca="false">'Raw Data'!Q1676</f>
        <v>10</v>
      </c>
      <c r="F1676" s="2" t="n">
        <f aca="false">'Raw Data'!U1676</f>
        <v>7</v>
      </c>
      <c r="G1676" s="2" t="n">
        <f aca="false">'Raw Data'!W1676</f>
        <v>4</v>
      </c>
      <c r="H1676" s="2" t="n">
        <f aca="false">'Raw Data'!V1676</f>
        <v>4</v>
      </c>
      <c r="I1676" s="2" t="n">
        <f aca="false">IF(AND(ISNUMBER(B1676),B1676&lt;=25),2,0)+IF(AND(ISNUMBER(E1676),E1676&lt;=5),2,0)+IF(AND(ISNUMBER(F1676),F1676&lt;=1),2,0)+IF(AND(ISNUMBER(G1676),G1676&lt;=2),1,0)+IF(AND(ISNUMBER(H1676),H1676&lt;=2),1,0)</f>
        <v>0</v>
      </c>
      <c r="J1676" s="2" t="str">
        <f aca="false">IF(I1676&gt;=6,"High",IF(I1676&gt;=3,"Medium","Low"))</f>
        <v>Low</v>
      </c>
    </row>
    <row r="1677" customFormat="false" ht="15" hidden="false" customHeight="true" outlineLevel="0" collapsed="false">
      <c r="A1677" s="2" t="n">
        <f aca="false">'Raw Data'!H1677</f>
        <v>1676</v>
      </c>
      <c r="B1677" s="2" t="n">
        <f aca="false">'Raw Data'!A1677</f>
        <v>26</v>
      </c>
      <c r="C1677" s="2" t="str">
        <f aca="false">'Raw Data'!D1677</f>
        <v>Sales</v>
      </c>
      <c r="D1677" s="2" t="str">
        <f aca="false">'Raw Data'!K1677</f>
        <v>Manufacturing Director</v>
      </c>
      <c r="E1677" s="2" t="n">
        <f aca="false">'Raw Data'!Q1677</f>
        <v>1</v>
      </c>
      <c r="F1677" s="2" t="n">
        <f aca="false">'Raw Data'!U1677</f>
        <v>0</v>
      </c>
      <c r="G1677" s="2" t="n">
        <f aca="false">'Raw Data'!W1677</f>
        <v>4</v>
      </c>
      <c r="H1677" s="2" t="n">
        <f aca="false">'Raw Data'!V1677</f>
        <v>3</v>
      </c>
      <c r="I1677" s="2" t="n">
        <f aca="false">IF(AND(ISNUMBER(B1677),B1677&lt;=25),2,0)+IF(AND(ISNUMBER(E1677),E1677&lt;=5),2,0)+IF(AND(ISNUMBER(F1677),F1677&lt;=1),2,0)+IF(AND(ISNUMBER(G1677),G1677&lt;=2),1,0)+IF(AND(ISNUMBER(H1677),H1677&lt;=2),1,0)</f>
        <v>4</v>
      </c>
      <c r="J1677" s="2" t="str">
        <f aca="false">IF(I1677&gt;=6,"High",IF(I1677&gt;=3,"Medium","Low"))</f>
        <v>Medium</v>
      </c>
    </row>
    <row r="1678" customFormat="false" ht="15" hidden="false" customHeight="true" outlineLevel="0" collapsed="false">
      <c r="A1678" s="2" t="n">
        <f aca="false">'Raw Data'!H1678</f>
        <v>1677</v>
      </c>
      <c r="B1678" s="2" t="n">
        <f aca="false">'Raw Data'!A1678</f>
        <v>37</v>
      </c>
      <c r="C1678" s="2" t="str">
        <f aca="false">'Raw Data'!D1678</f>
        <v>Research &amp; Development</v>
      </c>
      <c r="D1678" s="2" t="str">
        <f aca="false">'Raw Data'!K1678</f>
        <v>Sales Executive</v>
      </c>
      <c r="E1678" s="2" t="n">
        <f aca="false">'Raw Data'!Q1678</f>
        <v>12</v>
      </c>
      <c r="F1678" s="2" t="n">
        <f aca="false">'Raw Data'!U1678</f>
        <v>2</v>
      </c>
      <c r="G1678" s="2" t="n">
        <f aca="false">'Raw Data'!W1678</f>
        <v>4</v>
      </c>
      <c r="H1678" s="2" t="n">
        <f aca="false">'Raw Data'!V1678</f>
        <v>2</v>
      </c>
      <c r="I1678" s="2" t="n">
        <f aca="false">IF(AND(ISNUMBER(B1678),B1678&lt;=25),2,0)+IF(AND(ISNUMBER(E1678),E1678&lt;=5),2,0)+IF(AND(ISNUMBER(F1678),F1678&lt;=1),2,0)+IF(AND(ISNUMBER(G1678),G1678&lt;=2),1,0)+IF(AND(ISNUMBER(H1678),H1678&lt;=2),1,0)</f>
        <v>1</v>
      </c>
      <c r="J1678" s="2" t="str">
        <f aca="false">IF(I1678&gt;=6,"High",IF(I1678&gt;=3,"Medium","Low"))</f>
        <v>Low</v>
      </c>
    </row>
    <row r="1679" customFormat="false" ht="15" hidden="false" customHeight="true" outlineLevel="0" collapsed="false">
      <c r="A1679" s="2" t="n">
        <f aca="false">'Raw Data'!H1679</f>
        <v>1678</v>
      </c>
      <c r="B1679" s="2" t="n">
        <f aca="false">'Raw Data'!A1679</f>
        <v>46</v>
      </c>
      <c r="C1679" s="2" t="str">
        <f aca="false">'Raw Data'!D1679</f>
        <v>Research &amp; Development</v>
      </c>
      <c r="D1679" s="2" t="str">
        <f aca="false">'Raw Data'!K1679</f>
        <v>Human Resources</v>
      </c>
      <c r="E1679" s="2" t="n">
        <f aca="false">'Raw Data'!Q1679</f>
        <v>28</v>
      </c>
      <c r="F1679" s="2" t="n">
        <f aca="false">'Raw Data'!U1679</f>
        <v>2</v>
      </c>
      <c r="G1679" s="2" t="n">
        <f aca="false">'Raw Data'!W1679</f>
        <v>3</v>
      </c>
      <c r="H1679" s="2" t="n">
        <f aca="false">'Raw Data'!V1679</f>
        <v>1</v>
      </c>
      <c r="I1679" s="2" t="n">
        <f aca="false">IF(AND(ISNUMBER(B1679),B1679&lt;=25),2,0)+IF(AND(ISNUMBER(E1679),E1679&lt;=5),2,0)+IF(AND(ISNUMBER(F1679),F1679&lt;=1),2,0)+IF(AND(ISNUMBER(G1679),G1679&lt;=2),1,0)+IF(AND(ISNUMBER(H1679),H1679&lt;=2),1,0)</f>
        <v>1</v>
      </c>
      <c r="J1679" s="2" t="str">
        <f aca="false">IF(I1679&gt;=6,"High",IF(I1679&gt;=3,"Medium","Low"))</f>
        <v>Low</v>
      </c>
    </row>
    <row r="1680" customFormat="false" ht="15" hidden="false" customHeight="true" outlineLevel="0" collapsed="false">
      <c r="A1680" s="2" t="n">
        <f aca="false">'Raw Data'!H1680</f>
        <v>1679</v>
      </c>
      <c r="B1680" s="2" t="n">
        <f aca="false">'Raw Data'!A1680</f>
        <v>41</v>
      </c>
      <c r="C1680" s="2" t="str">
        <f aca="false">'Raw Data'!D1680</f>
        <v>Research &amp; Development</v>
      </c>
      <c r="D1680" s="2" t="str">
        <f aca="false">'Raw Data'!K1680</f>
        <v>Research Director</v>
      </c>
      <c r="E1680" s="2" t="n">
        <f aca="false">'Raw Data'!Q1680</f>
        <v>22</v>
      </c>
      <c r="F1680" s="2" t="n">
        <f aca="false">'Raw Data'!U1680</f>
        <v>8</v>
      </c>
      <c r="G1680" s="2" t="n">
        <f aca="false">'Raw Data'!W1680</f>
        <v>0</v>
      </c>
      <c r="H1680" s="2" t="n">
        <f aca="false">'Raw Data'!V1680</f>
        <v>2</v>
      </c>
      <c r="I1680" s="2" t="n">
        <f aca="false">IF(AND(ISNUMBER(B1680),B1680&lt;=25),2,0)+IF(AND(ISNUMBER(E1680),E1680&lt;=5),2,0)+IF(AND(ISNUMBER(F1680),F1680&lt;=1),2,0)+IF(AND(ISNUMBER(G1680),G1680&lt;=2),1,0)+IF(AND(ISNUMBER(H1680),H1680&lt;=2),1,0)</f>
        <v>1</v>
      </c>
      <c r="J1680" s="2" t="str">
        <f aca="false">IF(I1680&gt;=6,"High",IF(I1680&gt;=3,"Medium","Low"))</f>
        <v>Low</v>
      </c>
    </row>
    <row r="1681" customFormat="false" ht="15" hidden="false" customHeight="true" outlineLevel="0" collapsed="false">
      <c r="A1681" s="2" t="n">
        <f aca="false">'Raw Data'!H1681</f>
        <v>1680</v>
      </c>
      <c r="B1681" s="2" t="n">
        <f aca="false">'Raw Data'!A1681</f>
        <v>37</v>
      </c>
      <c r="C1681" s="2" t="str">
        <f aca="false">'Raw Data'!D1681</f>
        <v>Research &amp; Development</v>
      </c>
      <c r="D1681" s="2" t="str">
        <f aca="false">'Raw Data'!K1681</f>
        <v>Sales Executive</v>
      </c>
      <c r="E1681" s="2" t="n">
        <f aca="false">'Raw Data'!Q1681</f>
        <v>9</v>
      </c>
      <c r="F1681" s="2" t="n">
        <f aca="false">'Raw Data'!U1681</f>
        <v>7</v>
      </c>
      <c r="G1681" s="2" t="n">
        <f aca="false">'Raw Data'!W1681</f>
        <v>2</v>
      </c>
      <c r="H1681" s="2" t="n">
        <f aca="false">'Raw Data'!V1681</f>
        <v>1</v>
      </c>
      <c r="I1681" s="2" t="n">
        <f aca="false">IF(AND(ISNUMBER(B1681),B1681&lt;=25),2,0)+IF(AND(ISNUMBER(E1681),E1681&lt;=5),2,0)+IF(AND(ISNUMBER(F1681),F1681&lt;=1),2,0)+IF(AND(ISNUMBER(G1681),G1681&lt;=2),1,0)+IF(AND(ISNUMBER(H1681),H1681&lt;=2),1,0)</f>
        <v>2</v>
      </c>
      <c r="J1681" s="2" t="str">
        <f aca="false">IF(I1681&gt;=6,"High",IF(I1681&gt;=3,"Medium","Low"))</f>
        <v>Low</v>
      </c>
    </row>
    <row r="1682" customFormat="false" ht="15" hidden="false" customHeight="true" outlineLevel="0" collapsed="false">
      <c r="A1682" s="2" t="n">
        <f aca="false">'Raw Data'!H1682</f>
        <v>1681</v>
      </c>
      <c r="B1682" s="2" t="n">
        <f aca="false">'Raw Data'!A1682</f>
        <v>52</v>
      </c>
      <c r="C1682" s="2" t="str">
        <f aca="false">'Raw Data'!D1682</f>
        <v>Sales</v>
      </c>
      <c r="D1682" s="2" t="str">
        <f aca="false">'Raw Data'!K1682</f>
        <v>Laboratory Technician</v>
      </c>
      <c r="E1682" s="2" t="n">
        <f aca="false">'Raw Data'!Q1682</f>
        <v>18</v>
      </c>
      <c r="F1682" s="2" t="n">
        <f aca="false">'Raw Data'!U1682</f>
        <v>9</v>
      </c>
      <c r="G1682" s="2" t="n">
        <f aca="false">'Raw Data'!W1682</f>
        <v>1</v>
      </c>
      <c r="H1682" s="2" t="n">
        <f aca="false">'Raw Data'!V1682</f>
        <v>4</v>
      </c>
      <c r="I1682" s="2" t="n">
        <f aca="false">IF(AND(ISNUMBER(B1682),B1682&lt;=25),2,0)+IF(AND(ISNUMBER(E1682),E1682&lt;=5),2,0)+IF(AND(ISNUMBER(F1682),F1682&lt;=1),2,0)+IF(AND(ISNUMBER(G1682),G1682&lt;=2),1,0)+IF(AND(ISNUMBER(H1682),H1682&lt;=2),1,0)</f>
        <v>1</v>
      </c>
      <c r="J1682" s="2" t="str">
        <f aca="false">IF(I1682&gt;=6,"High",IF(I1682&gt;=3,"Medium","Low"))</f>
        <v>Low</v>
      </c>
    </row>
    <row r="1683" customFormat="false" ht="15" hidden="false" customHeight="true" outlineLevel="0" collapsed="false">
      <c r="A1683" s="2" t="n">
        <f aca="false">'Raw Data'!H1683</f>
        <v>1682</v>
      </c>
      <c r="B1683" s="2" t="n">
        <f aca="false">'Raw Data'!A1683</f>
        <v>32</v>
      </c>
      <c r="C1683" s="2" t="str">
        <f aca="false">'Raw Data'!D1683</f>
        <v>Research &amp; Development</v>
      </c>
      <c r="D1683" s="2" t="str">
        <f aca="false">'Raw Data'!K1683</f>
        <v>Research Director</v>
      </c>
      <c r="E1683" s="2" t="n">
        <f aca="false">'Raw Data'!Q1683</f>
        <v>6</v>
      </c>
      <c r="F1683" s="2" t="n">
        <f aca="false">'Raw Data'!U1683</f>
        <v>2</v>
      </c>
      <c r="G1683" s="2" t="n">
        <f aca="false">'Raw Data'!W1683</f>
        <v>3</v>
      </c>
      <c r="H1683" s="2" t="n">
        <f aca="false">'Raw Data'!V1683</f>
        <v>4</v>
      </c>
      <c r="I1683" s="2" t="n">
        <f aca="false">IF(AND(ISNUMBER(B1683),B1683&lt;=25),2,0)+IF(AND(ISNUMBER(E1683),E1683&lt;=5),2,0)+IF(AND(ISNUMBER(F1683),F1683&lt;=1),2,0)+IF(AND(ISNUMBER(G1683),G1683&lt;=2),1,0)+IF(AND(ISNUMBER(H1683),H1683&lt;=2),1,0)</f>
        <v>0</v>
      </c>
      <c r="J1683" s="2" t="str">
        <f aca="false">IF(I1683&gt;=6,"High",IF(I1683&gt;=3,"Medium","Low"))</f>
        <v>Low</v>
      </c>
    </row>
    <row r="1684" customFormat="false" ht="15" hidden="false" customHeight="true" outlineLevel="0" collapsed="false">
      <c r="A1684" s="2" t="n">
        <f aca="false">'Raw Data'!H1684</f>
        <v>1683</v>
      </c>
      <c r="B1684" s="2" t="n">
        <f aca="false">'Raw Data'!A1684</f>
        <v>24</v>
      </c>
      <c r="C1684" s="2" t="str">
        <f aca="false">'Raw Data'!D1684</f>
        <v>Sales</v>
      </c>
      <c r="D1684" s="2" t="str">
        <f aca="false">'Raw Data'!K1684</f>
        <v>Healthcare Representative</v>
      </c>
      <c r="E1684" s="2" t="n">
        <f aca="false">'Raw Data'!Q1684</f>
        <v>3</v>
      </c>
      <c r="F1684" s="2" t="n">
        <f aca="false">'Raw Data'!U1684</f>
        <v>1</v>
      </c>
      <c r="G1684" s="2" t="n">
        <f aca="false">'Raw Data'!W1684</f>
        <v>4</v>
      </c>
      <c r="H1684" s="2" t="n">
        <f aca="false">'Raw Data'!V1684</f>
        <v>4</v>
      </c>
      <c r="I1684" s="2" t="n">
        <f aca="false">IF(AND(ISNUMBER(B1684),B1684&lt;=25),2,0)+IF(AND(ISNUMBER(E1684),E1684&lt;=5),2,0)+IF(AND(ISNUMBER(F1684),F1684&lt;=1),2,0)+IF(AND(ISNUMBER(G1684),G1684&lt;=2),1,0)+IF(AND(ISNUMBER(H1684),H1684&lt;=2),1,0)</f>
        <v>6</v>
      </c>
      <c r="J1684" s="2" t="str">
        <f aca="false">IF(I1684&gt;=6,"High",IF(I1684&gt;=3,"Medium","Low"))</f>
        <v>High</v>
      </c>
    </row>
    <row r="1685" customFormat="false" ht="15" hidden="false" customHeight="true" outlineLevel="0" collapsed="false">
      <c r="A1685" s="2" t="n">
        <f aca="false">'Raw Data'!H1685</f>
        <v>1684</v>
      </c>
      <c r="B1685" s="2" t="n">
        <f aca="false">'Raw Data'!A1685</f>
        <v>38</v>
      </c>
      <c r="C1685" s="2" t="str">
        <f aca="false">'Raw Data'!D1685</f>
        <v>Research &amp; Development</v>
      </c>
      <c r="D1685" s="2" t="str">
        <f aca="false">'Raw Data'!K1685</f>
        <v>Research Scientist</v>
      </c>
      <c r="E1685" s="2" t="n">
        <f aca="false">'Raw Data'!Q1685</f>
        <v>18</v>
      </c>
      <c r="F1685" s="2" t="n">
        <f aca="false">'Raw Data'!U1685</f>
        <v>0</v>
      </c>
      <c r="G1685" s="2" t="n">
        <f aca="false">'Raw Data'!W1685</f>
        <v>3</v>
      </c>
      <c r="H1685" s="2" t="n">
        <f aca="false">'Raw Data'!V1685</f>
        <v>3</v>
      </c>
      <c r="I1685" s="2" t="n">
        <f aca="false">IF(AND(ISNUMBER(B1685),B1685&lt;=25),2,0)+IF(AND(ISNUMBER(E1685),E1685&lt;=5),2,0)+IF(AND(ISNUMBER(F1685),F1685&lt;=1),2,0)+IF(AND(ISNUMBER(G1685),G1685&lt;=2),1,0)+IF(AND(ISNUMBER(H1685),H1685&lt;=2),1,0)</f>
        <v>2</v>
      </c>
      <c r="J1685" s="2" t="str">
        <f aca="false">IF(I1685&gt;=6,"High",IF(I1685&gt;=3,"Medium","Low"))</f>
        <v>Low</v>
      </c>
    </row>
    <row r="1686" customFormat="false" ht="15" hidden="false" customHeight="true" outlineLevel="0" collapsed="false">
      <c r="A1686" s="2" t="n">
        <f aca="false">'Raw Data'!H1686</f>
        <v>1685</v>
      </c>
      <c r="B1686" s="2" t="n">
        <f aca="false">'Raw Data'!A1686</f>
        <v>37</v>
      </c>
      <c r="C1686" s="2" t="str">
        <f aca="false">'Raw Data'!D1686</f>
        <v>Research &amp; Development</v>
      </c>
      <c r="D1686" s="2" t="str">
        <f aca="false">'Raw Data'!K1686</f>
        <v>Research Scientist</v>
      </c>
      <c r="E1686" s="2" t="n">
        <f aca="false">'Raw Data'!Q1686</f>
        <v>8</v>
      </c>
      <c r="F1686" s="2" t="n">
        <f aca="false">'Raw Data'!U1686</f>
        <v>3</v>
      </c>
      <c r="G1686" s="2" t="n">
        <f aca="false">'Raw Data'!W1686</f>
        <v>2</v>
      </c>
      <c r="H1686" s="2" t="n">
        <f aca="false">'Raw Data'!V1686</f>
        <v>2</v>
      </c>
      <c r="I1686" s="2" t="n">
        <f aca="false">IF(AND(ISNUMBER(B1686),B1686&lt;=25),2,0)+IF(AND(ISNUMBER(E1686),E1686&lt;=5),2,0)+IF(AND(ISNUMBER(F1686),F1686&lt;=1),2,0)+IF(AND(ISNUMBER(G1686),G1686&lt;=2),1,0)+IF(AND(ISNUMBER(H1686),H1686&lt;=2),1,0)</f>
        <v>2</v>
      </c>
      <c r="J1686" s="2" t="str">
        <f aca="false">IF(I1686&gt;=6,"High",IF(I1686&gt;=3,"Medium","Low"))</f>
        <v>Low</v>
      </c>
    </row>
    <row r="1687" customFormat="false" ht="15" hidden="false" customHeight="true" outlineLevel="0" collapsed="false">
      <c r="A1687" s="2" t="n">
        <f aca="false">'Raw Data'!H1687</f>
        <v>1686</v>
      </c>
      <c r="B1687" s="2" t="n">
        <f aca="false">'Raw Data'!A1687</f>
        <v>49</v>
      </c>
      <c r="C1687" s="2" t="str">
        <f aca="false">'Raw Data'!D1687</f>
        <v>Sales</v>
      </c>
      <c r="D1687" s="2" t="str">
        <f aca="false">'Raw Data'!K1687</f>
        <v>Sales Executive</v>
      </c>
      <c r="E1687" s="2" t="n">
        <f aca="false">'Raw Data'!Q1687</f>
        <v>31</v>
      </c>
      <c r="F1687" s="2" t="n">
        <f aca="false">'Raw Data'!U1687</f>
        <v>9</v>
      </c>
      <c r="G1687" s="2" t="n">
        <f aca="false">'Raw Data'!W1687</f>
        <v>3</v>
      </c>
      <c r="H1687" s="2" t="n">
        <f aca="false">'Raw Data'!V1687</f>
        <v>4</v>
      </c>
      <c r="I1687" s="2" t="n">
        <f aca="false">IF(AND(ISNUMBER(B1687),B1687&lt;=25),2,0)+IF(AND(ISNUMBER(E1687),E1687&lt;=5),2,0)+IF(AND(ISNUMBER(F1687),F1687&lt;=1),2,0)+IF(AND(ISNUMBER(G1687),G1687&lt;=2),1,0)+IF(AND(ISNUMBER(H1687),H1687&lt;=2),1,0)</f>
        <v>0</v>
      </c>
      <c r="J1687" s="2" t="str">
        <f aca="false">IF(I1687&gt;=6,"High",IF(I1687&gt;=3,"Medium","Low"))</f>
        <v>Low</v>
      </c>
    </row>
    <row r="1688" customFormat="false" ht="15" hidden="false" customHeight="true" outlineLevel="0" collapsed="false">
      <c r="A1688" s="2" t="n">
        <f aca="false">'Raw Data'!H1688</f>
        <v>1687</v>
      </c>
      <c r="B1688" s="2" t="n">
        <f aca="false">'Raw Data'!A1688</f>
        <v>24</v>
      </c>
      <c r="C1688" s="2" t="str">
        <f aca="false">'Raw Data'!D1688</f>
        <v>Sales</v>
      </c>
      <c r="D1688" s="2" t="str">
        <f aca="false">'Raw Data'!K1688</f>
        <v>Sales Executive</v>
      </c>
      <c r="E1688" s="2" t="n">
        <f aca="false">'Raw Data'!Q1688</f>
        <v>6</v>
      </c>
      <c r="F1688" s="2" t="n">
        <f aca="false">'Raw Data'!U1688</f>
        <v>4</v>
      </c>
      <c r="G1688" s="2" t="n">
        <f aca="false">'Raw Data'!W1688</f>
        <v>4</v>
      </c>
      <c r="H1688" s="2" t="n">
        <f aca="false">'Raw Data'!V1688</f>
        <v>2</v>
      </c>
      <c r="I1688" s="2" t="n">
        <f aca="false">IF(AND(ISNUMBER(B1688),B1688&lt;=25),2,0)+IF(AND(ISNUMBER(E1688),E1688&lt;=5),2,0)+IF(AND(ISNUMBER(F1688),F1688&lt;=1),2,0)+IF(AND(ISNUMBER(G1688),G1688&lt;=2),1,0)+IF(AND(ISNUMBER(H1688),H1688&lt;=2),1,0)</f>
        <v>3</v>
      </c>
      <c r="J1688" s="2" t="str">
        <f aca="false">IF(I1688&gt;=6,"High",IF(I1688&gt;=3,"Medium","Low"))</f>
        <v>Medium</v>
      </c>
    </row>
    <row r="1689" customFormat="false" ht="15" hidden="false" customHeight="true" outlineLevel="0" collapsed="false">
      <c r="A1689" s="2" t="n">
        <f aca="false">'Raw Data'!H1689</f>
        <v>1688</v>
      </c>
      <c r="B1689" s="2" t="n">
        <f aca="false">'Raw Data'!A1689</f>
        <v>26</v>
      </c>
      <c r="C1689" s="2" t="str">
        <f aca="false">'Raw Data'!D1689</f>
        <v>Research &amp; Development</v>
      </c>
      <c r="D1689" s="2" t="str">
        <f aca="false">'Raw Data'!K1689</f>
        <v>Sales Executive</v>
      </c>
      <c r="E1689" s="2" t="n">
        <f aca="false">'Raw Data'!Q1689</f>
        <v>6</v>
      </c>
      <c r="F1689" s="2" t="n">
        <f aca="false">'Raw Data'!U1689</f>
        <v>4</v>
      </c>
      <c r="G1689" s="2" t="n">
        <f aca="false">'Raw Data'!W1689</f>
        <v>2</v>
      </c>
      <c r="H1689" s="2" t="n">
        <f aca="false">'Raw Data'!V1689</f>
        <v>1</v>
      </c>
      <c r="I1689" s="2" t="n">
        <f aca="false">IF(AND(ISNUMBER(B1689),B1689&lt;=25),2,0)+IF(AND(ISNUMBER(E1689),E1689&lt;=5),2,0)+IF(AND(ISNUMBER(F1689),F1689&lt;=1),2,0)+IF(AND(ISNUMBER(G1689),G1689&lt;=2),1,0)+IF(AND(ISNUMBER(H1689),H1689&lt;=2),1,0)</f>
        <v>2</v>
      </c>
      <c r="J1689" s="2" t="str">
        <f aca="false">IF(I1689&gt;=6,"High",IF(I1689&gt;=3,"Medium","Low"))</f>
        <v>Low</v>
      </c>
    </row>
    <row r="1690" customFormat="false" ht="15" hidden="false" customHeight="true" outlineLevel="0" collapsed="false">
      <c r="A1690" s="2" t="n">
        <f aca="false">'Raw Data'!H1690</f>
        <v>1689</v>
      </c>
      <c r="B1690" s="2" t="n">
        <f aca="false">'Raw Data'!A1690</f>
        <v>24</v>
      </c>
      <c r="C1690" s="2" t="str">
        <f aca="false">'Raw Data'!D1690</f>
        <v>Sales</v>
      </c>
      <c r="D1690" s="2" t="str">
        <f aca="false">'Raw Data'!K1690</f>
        <v>Laboratory Technician</v>
      </c>
      <c r="E1690" s="2" t="n">
        <f aca="false">'Raw Data'!Q1690</f>
        <v>1</v>
      </c>
      <c r="F1690" s="2" t="n">
        <f aca="false">'Raw Data'!U1690</f>
        <v>0</v>
      </c>
      <c r="G1690" s="2" t="n">
        <f aca="false">'Raw Data'!W1690</f>
        <v>2</v>
      </c>
      <c r="H1690" s="2" t="n">
        <f aca="false">'Raw Data'!V1690</f>
        <v>4</v>
      </c>
      <c r="I1690" s="2" t="n">
        <f aca="false">IF(AND(ISNUMBER(B1690),B1690&lt;=25),2,0)+IF(AND(ISNUMBER(E1690),E1690&lt;=5),2,0)+IF(AND(ISNUMBER(F1690),F1690&lt;=1),2,0)+IF(AND(ISNUMBER(G1690),G1690&lt;=2),1,0)+IF(AND(ISNUMBER(H1690),H1690&lt;=2),1,0)</f>
        <v>7</v>
      </c>
      <c r="J1690" s="2" t="str">
        <f aca="false">IF(I1690&gt;=6,"High",IF(I1690&gt;=3,"Medium","Low"))</f>
        <v>High</v>
      </c>
    </row>
    <row r="1691" customFormat="false" ht="15" hidden="false" customHeight="true" outlineLevel="0" collapsed="false">
      <c r="A1691" s="2" t="n">
        <f aca="false">'Raw Data'!H1691</f>
        <v>1690</v>
      </c>
      <c r="B1691" s="2" t="n">
        <f aca="false">'Raw Data'!A1691</f>
        <v>50</v>
      </c>
      <c r="C1691" s="2" t="str">
        <f aca="false">'Raw Data'!D1691</f>
        <v>Sales</v>
      </c>
      <c r="D1691" s="2" t="str">
        <f aca="false">'Raw Data'!K1691</f>
        <v>Sales Executive</v>
      </c>
      <c r="E1691" s="2" t="n">
        <f aca="false">'Raw Data'!Q1691</f>
        <v>32</v>
      </c>
      <c r="F1691" s="2" t="n">
        <f aca="false">'Raw Data'!U1691</f>
        <v>7</v>
      </c>
      <c r="G1691" s="2" t="n">
        <f aca="false">'Raw Data'!W1691</f>
        <v>2</v>
      </c>
      <c r="H1691" s="2" t="n">
        <f aca="false">'Raw Data'!V1691</f>
        <v>1</v>
      </c>
      <c r="I1691" s="2" t="n">
        <f aca="false">IF(AND(ISNUMBER(B1691),B1691&lt;=25),2,0)+IF(AND(ISNUMBER(E1691),E1691&lt;=5),2,0)+IF(AND(ISNUMBER(F1691),F1691&lt;=1),2,0)+IF(AND(ISNUMBER(G1691),G1691&lt;=2),1,0)+IF(AND(ISNUMBER(H1691),H1691&lt;=2),1,0)</f>
        <v>2</v>
      </c>
      <c r="J1691" s="2" t="str">
        <f aca="false">IF(I1691&gt;=6,"High",IF(I1691&gt;=3,"Medium","Low"))</f>
        <v>Low</v>
      </c>
    </row>
    <row r="1692" customFormat="false" ht="15" hidden="false" customHeight="true" outlineLevel="0" collapsed="false">
      <c r="A1692" s="2" t="n">
        <f aca="false">'Raw Data'!H1692</f>
        <v>1691</v>
      </c>
      <c r="B1692" s="2" t="n">
        <f aca="false">'Raw Data'!A1692</f>
        <v>25</v>
      </c>
      <c r="C1692" s="2" t="str">
        <f aca="false">'Raw Data'!D1692</f>
        <v>Research &amp; Development</v>
      </c>
      <c r="D1692" s="2" t="str">
        <f aca="false">'Raw Data'!K1692</f>
        <v>Research Scientist</v>
      </c>
      <c r="E1692" s="2" t="n">
        <f aca="false">'Raw Data'!Q1692</f>
        <v>7</v>
      </c>
      <c r="F1692" s="2" t="n">
        <f aca="false">'Raw Data'!U1692</f>
        <v>6</v>
      </c>
      <c r="G1692" s="2" t="n">
        <f aca="false">'Raw Data'!W1692</f>
        <v>3</v>
      </c>
      <c r="H1692" s="2" t="n">
        <f aca="false">'Raw Data'!V1692</f>
        <v>2</v>
      </c>
      <c r="I1692" s="2" t="n">
        <f aca="false">IF(AND(ISNUMBER(B1692),B1692&lt;=25),2,0)+IF(AND(ISNUMBER(E1692),E1692&lt;=5),2,0)+IF(AND(ISNUMBER(F1692),F1692&lt;=1),2,0)+IF(AND(ISNUMBER(G1692),G1692&lt;=2),1,0)+IF(AND(ISNUMBER(H1692),H1692&lt;=2),1,0)</f>
        <v>3</v>
      </c>
      <c r="J1692" s="2" t="str">
        <f aca="false">IF(I1692&gt;=6,"High",IF(I1692&gt;=3,"Medium","Low"))</f>
        <v>Medium</v>
      </c>
    </row>
    <row r="1693" customFormat="false" ht="15" hidden="false" customHeight="true" outlineLevel="0" collapsed="false">
      <c r="A1693" s="2" t="n">
        <f aca="false">'Raw Data'!H1693</f>
        <v>1692</v>
      </c>
      <c r="B1693" s="2" t="n">
        <f aca="false">'Raw Data'!A1693</f>
        <v>24</v>
      </c>
      <c r="C1693" s="2" t="str">
        <f aca="false">'Raw Data'!D1693</f>
        <v>Research &amp; Development</v>
      </c>
      <c r="D1693" s="2" t="str">
        <f aca="false">'Raw Data'!K1693</f>
        <v>Research Scientist</v>
      </c>
      <c r="E1693" s="2" t="n">
        <f aca="false">'Raw Data'!Q1693</f>
        <v>6</v>
      </c>
      <c r="F1693" s="2" t="n">
        <f aca="false">'Raw Data'!U1693</f>
        <v>2</v>
      </c>
      <c r="G1693" s="2" t="n">
        <f aca="false">'Raw Data'!W1693</f>
        <v>3</v>
      </c>
      <c r="H1693" s="2" t="n">
        <f aca="false">'Raw Data'!V1693</f>
        <v>1</v>
      </c>
      <c r="I1693" s="2" t="n">
        <f aca="false">IF(AND(ISNUMBER(B1693),B1693&lt;=25),2,0)+IF(AND(ISNUMBER(E1693),E1693&lt;=5),2,0)+IF(AND(ISNUMBER(F1693),F1693&lt;=1),2,0)+IF(AND(ISNUMBER(G1693),G1693&lt;=2),1,0)+IF(AND(ISNUMBER(H1693),H1693&lt;=2),1,0)</f>
        <v>3</v>
      </c>
      <c r="J1693" s="2" t="str">
        <f aca="false">IF(I1693&gt;=6,"High",IF(I1693&gt;=3,"Medium","Low"))</f>
        <v>Medium</v>
      </c>
    </row>
    <row r="1694" customFormat="false" ht="15" hidden="false" customHeight="true" outlineLevel="0" collapsed="false">
      <c r="A1694" s="2" t="n">
        <f aca="false">'Raw Data'!H1694</f>
        <v>1693</v>
      </c>
      <c r="B1694" s="2" t="n">
        <f aca="false">'Raw Data'!A1694</f>
        <v>30</v>
      </c>
      <c r="C1694" s="2" t="str">
        <f aca="false">'Raw Data'!D1694</f>
        <v>Research &amp; Development</v>
      </c>
      <c r="D1694" s="2" t="str">
        <f aca="false">'Raw Data'!K1694</f>
        <v>Healthcare Representative</v>
      </c>
      <c r="E1694" s="2" t="n">
        <f aca="false">'Raw Data'!Q1694</f>
        <v>1</v>
      </c>
      <c r="F1694" s="2" t="n">
        <f aca="false">'Raw Data'!U1694</f>
        <v>0</v>
      </c>
      <c r="G1694" s="2" t="n">
        <f aca="false">'Raw Data'!W1694</f>
        <v>1</v>
      </c>
      <c r="H1694" s="2" t="n">
        <f aca="false">'Raw Data'!V1694</f>
        <v>2</v>
      </c>
      <c r="I1694" s="2" t="n">
        <f aca="false">IF(AND(ISNUMBER(B1694),B1694&lt;=25),2,0)+IF(AND(ISNUMBER(E1694),E1694&lt;=5),2,0)+IF(AND(ISNUMBER(F1694),F1694&lt;=1),2,0)+IF(AND(ISNUMBER(G1694),G1694&lt;=2),1,0)+IF(AND(ISNUMBER(H1694),H1694&lt;=2),1,0)</f>
        <v>6</v>
      </c>
      <c r="J1694" s="2" t="str">
        <f aca="false">IF(I1694&gt;=6,"High",IF(I1694&gt;=3,"Medium","Low"))</f>
        <v>High</v>
      </c>
    </row>
    <row r="1695" customFormat="false" ht="15" hidden="false" customHeight="true" outlineLevel="0" collapsed="false">
      <c r="A1695" s="2" t="n">
        <f aca="false">'Raw Data'!H1695</f>
        <v>1694</v>
      </c>
      <c r="B1695" s="2" t="n">
        <f aca="false">'Raw Data'!A1695</f>
        <v>34</v>
      </c>
      <c r="C1695" s="2" t="str">
        <f aca="false">'Raw Data'!D1695</f>
        <v>Sales</v>
      </c>
      <c r="D1695" s="2" t="str">
        <f aca="false">'Raw Data'!K1695</f>
        <v>Research Director</v>
      </c>
      <c r="E1695" s="2" t="n">
        <f aca="false">'Raw Data'!Q1695</f>
        <v>6</v>
      </c>
      <c r="F1695" s="2" t="n">
        <f aca="false">'Raw Data'!U1695</f>
        <v>3</v>
      </c>
      <c r="G1695" s="2" t="n">
        <f aca="false">'Raw Data'!W1695</f>
        <v>4</v>
      </c>
      <c r="H1695" s="2" t="n">
        <f aca="false">'Raw Data'!V1695</f>
        <v>2</v>
      </c>
      <c r="I1695" s="2" t="n">
        <f aca="false">IF(AND(ISNUMBER(B1695),B1695&lt;=25),2,0)+IF(AND(ISNUMBER(E1695),E1695&lt;=5),2,0)+IF(AND(ISNUMBER(F1695),F1695&lt;=1),2,0)+IF(AND(ISNUMBER(G1695),G1695&lt;=2),1,0)+IF(AND(ISNUMBER(H1695),H1695&lt;=2),1,0)</f>
        <v>1</v>
      </c>
      <c r="J1695" s="2" t="str">
        <f aca="false">IF(I1695&gt;=6,"High",IF(I1695&gt;=3,"Medium","Low"))</f>
        <v>Low</v>
      </c>
    </row>
    <row r="1696" customFormat="false" ht="15" hidden="false" customHeight="true" outlineLevel="0" collapsed="false">
      <c r="A1696" s="2" t="n">
        <f aca="false">'Raw Data'!H1696</f>
        <v>1695</v>
      </c>
      <c r="B1696" s="2" t="n">
        <f aca="false">'Raw Data'!A1696</f>
        <v>31</v>
      </c>
      <c r="C1696" s="2" t="str">
        <f aca="false">'Raw Data'!D1696</f>
        <v>Research &amp; Development</v>
      </c>
      <c r="D1696" s="2" t="str">
        <f aca="false">'Raw Data'!K1696</f>
        <v>Sales Representative</v>
      </c>
      <c r="E1696" s="2" t="n">
        <f aca="false">'Raw Data'!Q1696</f>
        <v>9</v>
      </c>
      <c r="F1696" s="2" t="n">
        <f aca="false">'Raw Data'!U1696</f>
        <v>2</v>
      </c>
      <c r="G1696" s="2" t="n">
        <f aca="false">'Raw Data'!W1696</f>
        <v>1</v>
      </c>
      <c r="H1696" s="2" t="n">
        <f aca="false">'Raw Data'!V1696</f>
        <v>2</v>
      </c>
      <c r="I1696" s="2" t="n">
        <f aca="false">IF(AND(ISNUMBER(B1696),B1696&lt;=25),2,0)+IF(AND(ISNUMBER(E1696),E1696&lt;=5),2,0)+IF(AND(ISNUMBER(F1696),F1696&lt;=1),2,0)+IF(AND(ISNUMBER(G1696),G1696&lt;=2),1,0)+IF(AND(ISNUMBER(H1696),H1696&lt;=2),1,0)</f>
        <v>2</v>
      </c>
      <c r="J1696" s="2" t="str">
        <f aca="false">IF(I1696&gt;=6,"High",IF(I1696&gt;=3,"Medium","Low"))</f>
        <v>Low</v>
      </c>
    </row>
    <row r="1697" customFormat="false" ht="15" hidden="false" customHeight="true" outlineLevel="0" collapsed="false">
      <c r="A1697" s="2" t="n">
        <f aca="false">'Raw Data'!H1697</f>
        <v>1696</v>
      </c>
      <c r="B1697" s="2" t="n">
        <f aca="false">'Raw Data'!A1697</f>
        <v>35</v>
      </c>
      <c r="C1697" s="2" t="str">
        <f aca="false">'Raw Data'!D1697</f>
        <v>Research &amp; Development</v>
      </c>
      <c r="D1697" s="2" t="str">
        <f aca="false">'Raw Data'!K1697</f>
        <v>Sales Executive</v>
      </c>
      <c r="E1697" s="2" t="n">
        <f aca="false">'Raw Data'!Q1697</f>
        <v>9</v>
      </c>
      <c r="F1697" s="2" t="n">
        <f aca="false">'Raw Data'!U1697</f>
        <v>2</v>
      </c>
      <c r="G1697" s="2" t="n">
        <f aca="false">'Raw Data'!W1697</f>
        <v>4</v>
      </c>
      <c r="H1697" s="2" t="n">
        <f aca="false">'Raw Data'!V1697</f>
        <v>1</v>
      </c>
      <c r="I1697" s="2" t="n">
        <f aca="false">IF(AND(ISNUMBER(B1697),B1697&lt;=25),2,0)+IF(AND(ISNUMBER(E1697),E1697&lt;=5),2,0)+IF(AND(ISNUMBER(F1697),F1697&lt;=1),2,0)+IF(AND(ISNUMBER(G1697),G1697&lt;=2),1,0)+IF(AND(ISNUMBER(H1697),H1697&lt;=2),1,0)</f>
        <v>1</v>
      </c>
      <c r="J1697" s="2" t="str">
        <f aca="false">IF(I1697&gt;=6,"High",IF(I1697&gt;=3,"Medium","Low"))</f>
        <v>Low</v>
      </c>
    </row>
    <row r="1698" customFormat="false" ht="15" hidden="false" customHeight="true" outlineLevel="0" collapsed="false">
      <c r="A1698" s="2" t="n">
        <f aca="false">'Raw Data'!H1698</f>
        <v>1697</v>
      </c>
      <c r="B1698" s="2" t="n">
        <f aca="false">'Raw Data'!A1698</f>
        <v>31</v>
      </c>
      <c r="C1698" s="2" t="str">
        <f aca="false">'Raw Data'!D1698</f>
        <v>Sales</v>
      </c>
      <c r="D1698" s="2" t="str">
        <f aca="false">'Raw Data'!K1698</f>
        <v>Sales Executive</v>
      </c>
      <c r="E1698" s="2" t="n">
        <f aca="false">'Raw Data'!Q1698</f>
        <v>13</v>
      </c>
      <c r="F1698" s="2" t="n">
        <f aca="false">'Raw Data'!U1698</f>
        <v>7</v>
      </c>
      <c r="G1698" s="2" t="n">
        <f aca="false">'Raw Data'!W1698</f>
        <v>4</v>
      </c>
      <c r="H1698" s="2" t="n">
        <f aca="false">'Raw Data'!V1698</f>
        <v>1</v>
      </c>
      <c r="I1698" s="2" t="n">
        <f aca="false">IF(AND(ISNUMBER(B1698),B1698&lt;=25),2,0)+IF(AND(ISNUMBER(E1698),E1698&lt;=5),2,0)+IF(AND(ISNUMBER(F1698),F1698&lt;=1),2,0)+IF(AND(ISNUMBER(G1698),G1698&lt;=2),1,0)+IF(AND(ISNUMBER(H1698),H1698&lt;=2),1,0)</f>
        <v>1</v>
      </c>
      <c r="J1698" s="2" t="str">
        <f aca="false">IF(I1698&gt;=6,"High",IF(I1698&gt;=3,"Medium","Low"))</f>
        <v>Low</v>
      </c>
    </row>
    <row r="1699" customFormat="false" ht="15" hidden="false" customHeight="true" outlineLevel="0" collapsed="false">
      <c r="A1699" s="2" t="n">
        <f aca="false">'Raw Data'!H1699</f>
        <v>1698</v>
      </c>
      <c r="B1699" s="2" t="n">
        <f aca="false">'Raw Data'!A1699</f>
        <v>27</v>
      </c>
      <c r="C1699" s="2" t="str">
        <f aca="false">'Raw Data'!D1699</f>
        <v>Sales</v>
      </c>
      <c r="D1699" s="2" t="str">
        <f aca="false">'Raw Data'!K1699</f>
        <v>Sales Representative</v>
      </c>
      <c r="E1699" s="2" t="n">
        <f aca="false">'Raw Data'!Q1699</f>
        <v>6</v>
      </c>
      <c r="F1699" s="2" t="n">
        <f aca="false">'Raw Data'!U1699</f>
        <v>3</v>
      </c>
      <c r="G1699" s="2" t="n">
        <f aca="false">'Raw Data'!W1699</f>
        <v>3</v>
      </c>
      <c r="H1699" s="2" t="n">
        <f aca="false">'Raw Data'!V1699</f>
        <v>1</v>
      </c>
      <c r="I1699" s="2" t="n">
        <f aca="false">IF(AND(ISNUMBER(B1699),B1699&lt;=25),2,0)+IF(AND(ISNUMBER(E1699),E1699&lt;=5),2,0)+IF(AND(ISNUMBER(F1699),F1699&lt;=1),2,0)+IF(AND(ISNUMBER(G1699),G1699&lt;=2),1,0)+IF(AND(ISNUMBER(H1699),H1699&lt;=2),1,0)</f>
        <v>1</v>
      </c>
      <c r="J1699" s="2" t="str">
        <f aca="false">IF(I1699&gt;=6,"High",IF(I1699&gt;=3,"Medium","Low"))</f>
        <v>Low</v>
      </c>
    </row>
    <row r="1700" customFormat="false" ht="15" hidden="false" customHeight="true" outlineLevel="0" collapsed="false">
      <c r="A1700" s="2" t="n">
        <f aca="false">'Raw Data'!H1700</f>
        <v>1699</v>
      </c>
      <c r="B1700" s="2" t="n">
        <f aca="false">'Raw Data'!A1700</f>
        <v>37</v>
      </c>
      <c r="C1700" s="2" t="str">
        <f aca="false">'Raw Data'!D1700</f>
        <v>Sales</v>
      </c>
      <c r="D1700" s="2" t="str">
        <f aca="false">'Raw Data'!K1700</f>
        <v>Laboratory Technician</v>
      </c>
      <c r="E1700" s="2" t="n">
        <f aca="false">'Raw Data'!Q1700</f>
        <v>17</v>
      </c>
      <c r="F1700" s="2" t="n">
        <f aca="false">'Raw Data'!U1700</f>
        <v>0</v>
      </c>
      <c r="G1700" s="2" t="n">
        <f aca="false">'Raw Data'!W1700</f>
        <v>3</v>
      </c>
      <c r="H1700" s="2" t="n">
        <f aca="false">'Raw Data'!V1700</f>
        <v>4</v>
      </c>
      <c r="I1700" s="2" t="n">
        <f aca="false">IF(AND(ISNUMBER(B1700),B1700&lt;=25),2,0)+IF(AND(ISNUMBER(E1700),E1700&lt;=5),2,0)+IF(AND(ISNUMBER(F1700),F1700&lt;=1),2,0)+IF(AND(ISNUMBER(G1700),G1700&lt;=2),1,0)+IF(AND(ISNUMBER(H1700),H1700&lt;=2),1,0)</f>
        <v>2</v>
      </c>
      <c r="J1700" s="2" t="str">
        <f aca="false">IF(I1700&gt;=6,"High",IF(I1700&gt;=3,"Medium","Low"))</f>
        <v>Low</v>
      </c>
    </row>
    <row r="1701" customFormat="false" ht="15" hidden="false" customHeight="true" outlineLevel="0" collapsed="false">
      <c r="A1701" s="2" t="n">
        <f aca="false">'Raw Data'!H1701</f>
        <v>1700</v>
      </c>
      <c r="B1701" s="2" t="n">
        <f aca="false">'Raw Data'!A1701</f>
        <v>20</v>
      </c>
      <c r="C1701" s="2" t="str">
        <f aca="false">'Raw Data'!D1701</f>
        <v>Research &amp; Development</v>
      </c>
      <c r="D1701" s="2" t="str">
        <f aca="false">'Raw Data'!K1701</f>
        <v>Sales Representative</v>
      </c>
      <c r="E1701" s="2" t="n">
        <f aca="false">'Raw Data'!Q1701</f>
        <v>1</v>
      </c>
      <c r="F1701" s="2" t="n">
        <f aca="false">'Raw Data'!U1701</f>
        <v>0</v>
      </c>
      <c r="G1701" s="2" t="n">
        <f aca="false">'Raw Data'!W1701</f>
        <v>2</v>
      </c>
      <c r="H1701" s="2" t="n">
        <f aca="false">'Raw Data'!V1701</f>
        <v>4</v>
      </c>
      <c r="I1701" s="2" t="n">
        <f aca="false">IF(AND(ISNUMBER(B1701),B1701&lt;=25),2,0)+IF(AND(ISNUMBER(E1701),E1701&lt;=5),2,0)+IF(AND(ISNUMBER(F1701),F1701&lt;=1),2,0)+IF(AND(ISNUMBER(G1701),G1701&lt;=2),1,0)+IF(AND(ISNUMBER(H1701),H1701&lt;=2),1,0)</f>
        <v>7</v>
      </c>
      <c r="J1701" s="2" t="str">
        <f aca="false">IF(I1701&gt;=6,"High",IF(I1701&gt;=3,"Medium","Low"))</f>
        <v>High</v>
      </c>
    </row>
    <row r="1702" customFormat="false" ht="15" hidden="false" customHeight="true" outlineLevel="0" collapsed="false">
      <c r="A1702" s="2" t="n">
        <f aca="false">'Raw Data'!H1702</f>
        <v>1701</v>
      </c>
      <c r="B1702" s="2" t="n">
        <f aca="false">'Raw Data'!A1702</f>
        <v>42</v>
      </c>
      <c r="C1702" s="2" t="str">
        <f aca="false">'Raw Data'!D1702</f>
        <v>Research &amp; Development</v>
      </c>
      <c r="D1702" s="2" t="str">
        <f aca="false">'Raw Data'!K1702</f>
        <v>Manufacturing Director</v>
      </c>
      <c r="E1702" s="2" t="n">
        <f aca="false">'Raw Data'!Q1702</f>
        <v>10</v>
      </c>
      <c r="F1702" s="2" t="n">
        <f aca="false">'Raw Data'!U1702</f>
        <v>2</v>
      </c>
      <c r="G1702" s="2" t="n">
        <f aca="false">'Raw Data'!W1702</f>
        <v>4</v>
      </c>
      <c r="H1702" s="2" t="n">
        <f aca="false">'Raw Data'!V1702</f>
        <v>3</v>
      </c>
      <c r="I1702" s="2" t="n">
        <f aca="false">IF(AND(ISNUMBER(B1702),B1702&lt;=25),2,0)+IF(AND(ISNUMBER(E1702),E1702&lt;=5),2,0)+IF(AND(ISNUMBER(F1702),F1702&lt;=1),2,0)+IF(AND(ISNUMBER(G1702),G1702&lt;=2),1,0)+IF(AND(ISNUMBER(H1702),H1702&lt;=2),1,0)</f>
        <v>0</v>
      </c>
      <c r="J1702" s="2" t="str">
        <f aca="false">IF(I1702&gt;=6,"High",IF(I1702&gt;=3,"Medium","Low"))</f>
        <v>Low</v>
      </c>
    </row>
    <row r="1703" customFormat="false" ht="15" hidden="false" customHeight="true" outlineLevel="0" collapsed="false">
      <c r="A1703" s="2" t="n">
        <f aca="false">'Raw Data'!H1703</f>
        <v>1702</v>
      </c>
      <c r="B1703" s="2" t="n">
        <f aca="false">'Raw Data'!A1703</f>
        <v>43</v>
      </c>
      <c r="C1703" s="2" t="str">
        <f aca="false">'Raw Data'!D1703</f>
        <v>Research &amp; Development</v>
      </c>
      <c r="D1703" s="2" t="str">
        <f aca="false">'Raw Data'!K1703</f>
        <v>Sales Executive</v>
      </c>
      <c r="E1703" s="2" t="n">
        <f aca="false">'Raw Data'!Q1703</f>
        <v>21</v>
      </c>
      <c r="F1703" s="2" t="n">
        <f aca="false">'Raw Data'!U1703</f>
        <v>0</v>
      </c>
      <c r="G1703" s="2" t="n">
        <f aca="false">'Raw Data'!W1703</f>
        <v>4</v>
      </c>
      <c r="H1703" s="2" t="n">
        <f aca="false">'Raw Data'!V1703</f>
        <v>2</v>
      </c>
      <c r="I1703" s="2" t="n">
        <f aca="false">IF(AND(ISNUMBER(B1703),B1703&lt;=25),2,0)+IF(AND(ISNUMBER(E1703),E1703&lt;=5),2,0)+IF(AND(ISNUMBER(F1703),F1703&lt;=1),2,0)+IF(AND(ISNUMBER(G1703),G1703&lt;=2),1,0)+IF(AND(ISNUMBER(H1703),H1703&lt;=2),1,0)</f>
        <v>3</v>
      </c>
      <c r="J1703" s="2" t="str">
        <f aca="false">IF(I1703&gt;=6,"High",IF(I1703&gt;=3,"Medium","Low"))</f>
        <v>Medium</v>
      </c>
    </row>
    <row r="1704" customFormat="false" ht="15" hidden="false" customHeight="true" outlineLevel="0" collapsed="false">
      <c r="A1704" s="2" t="n">
        <f aca="false">'Raw Data'!H1704</f>
        <v>1703</v>
      </c>
      <c r="B1704" s="2" t="n">
        <f aca="false">'Raw Data'!A1704</f>
        <v>38</v>
      </c>
      <c r="C1704" s="2" t="str">
        <f aca="false">'Raw Data'!D1704</f>
        <v>Human Resources</v>
      </c>
      <c r="D1704" s="2" t="str">
        <f aca="false">'Raw Data'!K1704</f>
        <v>Human Resources</v>
      </c>
      <c r="E1704" s="2" t="n">
        <f aca="false">'Raw Data'!Q1704</f>
        <v>8</v>
      </c>
      <c r="F1704" s="2" t="n">
        <f aca="false">'Raw Data'!U1704</f>
        <v>0</v>
      </c>
      <c r="G1704" s="2" t="n">
        <f aca="false">'Raw Data'!W1704</f>
        <v>1</v>
      </c>
      <c r="H1704" s="2" t="n">
        <f aca="false">'Raw Data'!V1704</f>
        <v>3</v>
      </c>
      <c r="I1704" s="2" t="n">
        <f aca="false">IF(AND(ISNUMBER(B1704),B1704&lt;=25),2,0)+IF(AND(ISNUMBER(E1704),E1704&lt;=5),2,0)+IF(AND(ISNUMBER(F1704),F1704&lt;=1),2,0)+IF(AND(ISNUMBER(G1704),G1704&lt;=2),1,0)+IF(AND(ISNUMBER(H1704),H1704&lt;=2),1,0)</f>
        <v>3</v>
      </c>
      <c r="J1704" s="2" t="str">
        <f aca="false">IF(I1704&gt;=6,"High",IF(I1704&gt;=3,"Medium","Low"))</f>
        <v>Medium</v>
      </c>
    </row>
    <row r="1705" customFormat="false" ht="15" hidden="false" customHeight="true" outlineLevel="0" collapsed="false">
      <c r="A1705" s="2" t="n">
        <f aca="false">'Raw Data'!H1705</f>
        <v>1704</v>
      </c>
      <c r="B1705" s="2" t="n">
        <f aca="false">'Raw Data'!A1705</f>
        <v>43</v>
      </c>
      <c r="C1705" s="2" t="str">
        <f aca="false">'Raw Data'!D1705</f>
        <v>Sales</v>
      </c>
      <c r="D1705" s="2" t="str">
        <f aca="false">'Raw Data'!K1705</f>
        <v>Healthcare Representative</v>
      </c>
      <c r="E1705" s="2" t="n">
        <f aca="false">'Raw Data'!Q1705</f>
        <v>10</v>
      </c>
      <c r="F1705" s="2" t="n">
        <f aca="false">'Raw Data'!U1705</f>
        <v>7</v>
      </c>
      <c r="G1705" s="2" t="n">
        <f aca="false">'Raw Data'!W1705</f>
        <v>3</v>
      </c>
      <c r="H1705" s="2" t="n">
        <f aca="false">'Raw Data'!V1705</f>
        <v>4</v>
      </c>
      <c r="I1705" s="2" t="n">
        <f aca="false">IF(AND(ISNUMBER(B1705),B1705&lt;=25),2,0)+IF(AND(ISNUMBER(E1705),E1705&lt;=5),2,0)+IF(AND(ISNUMBER(F1705),F1705&lt;=1),2,0)+IF(AND(ISNUMBER(G1705),G1705&lt;=2),1,0)+IF(AND(ISNUMBER(H1705),H1705&lt;=2),1,0)</f>
        <v>0</v>
      </c>
      <c r="J1705" s="2" t="str">
        <f aca="false">IF(I1705&gt;=6,"High",IF(I1705&gt;=3,"Medium","Low"))</f>
        <v>Low</v>
      </c>
    </row>
    <row r="1706" customFormat="false" ht="15" hidden="false" customHeight="true" outlineLevel="0" collapsed="false">
      <c r="A1706" s="2" t="n">
        <f aca="false">'Raw Data'!H1706</f>
        <v>1705</v>
      </c>
      <c r="B1706" s="2" t="n">
        <f aca="false">'Raw Data'!A1706</f>
        <v>48</v>
      </c>
      <c r="C1706" s="2" t="str">
        <f aca="false">'Raw Data'!D1706</f>
        <v>Research &amp; Development</v>
      </c>
      <c r="D1706" s="2" t="str">
        <f aca="false">'Raw Data'!K1706</f>
        <v>Laboratory Technician</v>
      </c>
      <c r="E1706" s="2" t="n">
        <f aca="false">'Raw Data'!Q1706</f>
        <v>21</v>
      </c>
      <c r="F1706" s="2" t="n">
        <f aca="false">'Raw Data'!U1706</f>
        <v>2</v>
      </c>
      <c r="G1706" s="2" t="n">
        <f aca="false">'Raw Data'!W1706</f>
        <v>1</v>
      </c>
      <c r="H1706" s="2" t="n">
        <f aca="false">'Raw Data'!V1706</f>
        <v>4</v>
      </c>
      <c r="I1706" s="2" t="n">
        <f aca="false">IF(AND(ISNUMBER(B1706),B1706&lt;=25),2,0)+IF(AND(ISNUMBER(E1706),E1706&lt;=5),2,0)+IF(AND(ISNUMBER(F1706),F1706&lt;=1),2,0)+IF(AND(ISNUMBER(G1706),G1706&lt;=2),1,0)+IF(AND(ISNUMBER(H1706),H1706&lt;=2),1,0)</f>
        <v>1</v>
      </c>
      <c r="J1706" s="2" t="str">
        <f aca="false">IF(I1706&gt;=6,"High",IF(I1706&gt;=3,"Medium","Low"))</f>
        <v>Low</v>
      </c>
    </row>
    <row r="1707" customFormat="false" ht="15" hidden="false" customHeight="true" outlineLevel="0" collapsed="false">
      <c r="A1707" s="2" t="n">
        <f aca="false">'Raw Data'!H1707</f>
        <v>1706</v>
      </c>
      <c r="B1707" s="2" t="n">
        <f aca="false">'Raw Data'!A1707</f>
        <v>44</v>
      </c>
      <c r="C1707" s="2" t="str">
        <f aca="false">'Raw Data'!D1707</f>
        <v>Sales</v>
      </c>
      <c r="D1707" s="2" t="str">
        <f aca="false">'Raw Data'!K1707</f>
        <v>Sales Executive</v>
      </c>
      <c r="E1707" s="2" t="n">
        <f aca="false">'Raw Data'!Q1707</f>
        <v>10</v>
      </c>
      <c r="F1707" s="2" t="n">
        <f aca="false">'Raw Data'!U1707</f>
        <v>2</v>
      </c>
      <c r="G1707" s="2" t="n">
        <f aca="false">'Raw Data'!W1707</f>
        <v>3</v>
      </c>
      <c r="H1707" s="2" t="n">
        <f aca="false">'Raw Data'!V1707</f>
        <v>1</v>
      </c>
      <c r="I1707" s="2" t="n">
        <f aca="false">IF(AND(ISNUMBER(B1707),B1707&lt;=25),2,0)+IF(AND(ISNUMBER(E1707),E1707&lt;=5),2,0)+IF(AND(ISNUMBER(F1707),F1707&lt;=1),2,0)+IF(AND(ISNUMBER(G1707),G1707&lt;=2),1,0)+IF(AND(ISNUMBER(H1707),H1707&lt;=2),1,0)</f>
        <v>1</v>
      </c>
      <c r="J1707" s="2" t="str">
        <f aca="false">IF(I1707&gt;=6,"High",IF(I1707&gt;=3,"Medium","Low"))</f>
        <v>Low</v>
      </c>
    </row>
    <row r="1708" customFormat="false" ht="15" hidden="false" customHeight="true" outlineLevel="0" collapsed="false">
      <c r="A1708" s="2" t="n">
        <f aca="false">'Raw Data'!H1708</f>
        <v>1707</v>
      </c>
      <c r="B1708" s="2" t="n">
        <f aca="false">'Raw Data'!A1708</f>
        <v>34</v>
      </c>
      <c r="C1708" s="2" t="str">
        <f aca="false">'Raw Data'!D1708</f>
        <v>Research &amp; Development</v>
      </c>
      <c r="D1708" s="2" t="str">
        <f aca="false">'Raw Data'!K1708</f>
        <v>Laboratory Technician</v>
      </c>
      <c r="E1708" s="2" t="n">
        <f aca="false">'Raw Data'!Q1708</f>
        <v>8</v>
      </c>
      <c r="F1708" s="2" t="n">
        <f aca="false">'Raw Data'!U1708</f>
        <v>6</v>
      </c>
      <c r="G1708" s="2" t="n">
        <f aca="false">'Raw Data'!W1708</f>
        <v>3</v>
      </c>
      <c r="H1708" s="2" t="n">
        <f aca="false">'Raw Data'!V1708</f>
        <v>3</v>
      </c>
      <c r="I1708" s="2" t="n">
        <f aca="false">IF(AND(ISNUMBER(B1708),B1708&lt;=25),2,0)+IF(AND(ISNUMBER(E1708),E1708&lt;=5),2,0)+IF(AND(ISNUMBER(F1708),F1708&lt;=1),2,0)+IF(AND(ISNUMBER(G1708),G1708&lt;=2),1,0)+IF(AND(ISNUMBER(H1708),H1708&lt;=2),1,0)</f>
        <v>0</v>
      </c>
      <c r="J1708" s="2" t="str">
        <f aca="false">IF(I1708&gt;=6,"High",IF(I1708&gt;=3,"Medium","Low"))</f>
        <v>Low</v>
      </c>
    </row>
    <row r="1709" customFormat="false" ht="15" hidden="false" customHeight="true" outlineLevel="0" collapsed="false">
      <c r="A1709" s="2" t="n">
        <f aca="false">'Raw Data'!H1709</f>
        <v>1708</v>
      </c>
      <c r="B1709" s="2" t="n">
        <f aca="false">'Raw Data'!A1709</f>
        <v>27</v>
      </c>
      <c r="C1709" s="2" t="str">
        <f aca="false">'Raw Data'!D1709</f>
        <v>Sales</v>
      </c>
      <c r="D1709" s="2" t="str">
        <f aca="false">'Raw Data'!K1709</f>
        <v>Research Scientist</v>
      </c>
      <c r="E1709" s="2" t="n">
        <f aca="false">'Raw Data'!Q1709</f>
        <v>5</v>
      </c>
      <c r="F1709" s="2" t="n">
        <f aca="false">'Raw Data'!U1709</f>
        <v>2</v>
      </c>
      <c r="G1709" s="2" t="n">
        <f aca="false">'Raw Data'!W1709</f>
        <v>1</v>
      </c>
      <c r="H1709" s="2" t="n">
        <f aca="false">'Raw Data'!V1709</f>
        <v>3</v>
      </c>
      <c r="I1709" s="2" t="n">
        <f aca="false">IF(AND(ISNUMBER(B1709),B1709&lt;=25),2,0)+IF(AND(ISNUMBER(E1709),E1709&lt;=5),2,0)+IF(AND(ISNUMBER(F1709),F1709&lt;=1),2,0)+IF(AND(ISNUMBER(G1709),G1709&lt;=2),1,0)+IF(AND(ISNUMBER(H1709),H1709&lt;=2),1,0)</f>
        <v>3</v>
      </c>
      <c r="J1709" s="2" t="str">
        <f aca="false">IF(I1709&gt;=6,"High",IF(I1709&gt;=3,"Medium","Low"))</f>
        <v>Medium</v>
      </c>
    </row>
    <row r="1710" customFormat="false" ht="15" hidden="false" customHeight="true" outlineLevel="0" collapsed="false">
      <c r="A1710" s="2" t="n">
        <f aca="false">'Raw Data'!H1710</f>
        <v>1709</v>
      </c>
      <c r="B1710" s="2" t="n">
        <f aca="false">'Raw Data'!A1710</f>
        <v>21</v>
      </c>
      <c r="C1710" s="2" t="str">
        <f aca="false">'Raw Data'!D1710</f>
        <v>Sales</v>
      </c>
      <c r="D1710" s="2" t="str">
        <f aca="false">'Raw Data'!K1710</f>
        <v>Sales Executive</v>
      </c>
      <c r="E1710" s="2" t="n">
        <f aca="false">'Raw Data'!Q1710</f>
        <v>3</v>
      </c>
      <c r="F1710" s="2" t="n">
        <f aca="false">'Raw Data'!U1710</f>
        <v>2</v>
      </c>
      <c r="G1710" s="2" t="n">
        <f aca="false">'Raw Data'!W1710</f>
        <v>3</v>
      </c>
      <c r="H1710" s="2" t="n">
        <f aca="false">'Raw Data'!V1710</f>
        <v>3</v>
      </c>
      <c r="I1710" s="2" t="n">
        <f aca="false">IF(AND(ISNUMBER(B1710),B1710&lt;=25),2,0)+IF(AND(ISNUMBER(E1710),E1710&lt;=5),2,0)+IF(AND(ISNUMBER(F1710),F1710&lt;=1),2,0)+IF(AND(ISNUMBER(G1710),G1710&lt;=2),1,0)+IF(AND(ISNUMBER(H1710),H1710&lt;=2),1,0)</f>
        <v>4</v>
      </c>
      <c r="J1710" s="2" t="str">
        <f aca="false">IF(I1710&gt;=6,"High",IF(I1710&gt;=3,"Medium","Low"))</f>
        <v>Medium</v>
      </c>
    </row>
    <row r="1711" customFormat="false" ht="15" hidden="false" customHeight="true" outlineLevel="0" collapsed="false">
      <c r="A1711" s="2" t="n">
        <f aca="false">'Raw Data'!H1711</f>
        <v>1710</v>
      </c>
      <c r="B1711" s="2" t="n">
        <f aca="false">'Raw Data'!A1711</f>
        <v>44</v>
      </c>
      <c r="C1711" s="2" t="str">
        <f aca="false">'Raw Data'!D1711</f>
        <v>Research &amp; Development</v>
      </c>
      <c r="D1711" s="2" t="str">
        <f aca="false">'Raw Data'!K1711</f>
        <v>Laboratory Technician</v>
      </c>
      <c r="E1711" s="2" t="n">
        <f aca="false">'Raw Data'!Q1711</f>
        <v>26</v>
      </c>
      <c r="F1711" s="2" t="n">
        <f aca="false">'Raw Data'!U1711</f>
        <v>1</v>
      </c>
      <c r="G1711" s="2" t="n">
        <f aca="false">'Raw Data'!W1711</f>
        <v>4</v>
      </c>
      <c r="H1711" s="2" t="n">
        <f aca="false">'Raw Data'!V1711</f>
        <v>4</v>
      </c>
      <c r="I1711" s="2" t="n">
        <f aca="false">IF(AND(ISNUMBER(B1711),B1711&lt;=25),2,0)+IF(AND(ISNUMBER(E1711),E1711&lt;=5),2,0)+IF(AND(ISNUMBER(F1711),F1711&lt;=1),2,0)+IF(AND(ISNUMBER(G1711),G1711&lt;=2),1,0)+IF(AND(ISNUMBER(H1711),H1711&lt;=2),1,0)</f>
        <v>2</v>
      </c>
      <c r="J1711" s="2" t="str">
        <f aca="false">IF(I1711&gt;=6,"High",IF(I1711&gt;=3,"Medium","Low"))</f>
        <v>Low</v>
      </c>
    </row>
    <row r="1712" customFormat="false" ht="15" hidden="false" customHeight="true" outlineLevel="0" collapsed="false">
      <c r="A1712" s="2" t="n">
        <f aca="false">'Raw Data'!H1712</f>
        <v>1711</v>
      </c>
      <c r="B1712" s="2" t="n">
        <f aca="false">'Raw Data'!A1712</f>
        <v>22</v>
      </c>
      <c r="C1712" s="2" t="str">
        <f aca="false">'Raw Data'!D1712</f>
        <v>Research &amp; Development</v>
      </c>
      <c r="D1712" s="2" t="str">
        <f aca="false">'Raw Data'!K1712</f>
        <v>Laboratory Technician</v>
      </c>
      <c r="E1712" s="2" t="n">
        <f aca="false">'Raw Data'!Q1712</f>
        <v>3</v>
      </c>
      <c r="F1712" s="2" t="n">
        <f aca="false">'Raw Data'!U1712</f>
        <v>2</v>
      </c>
      <c r="G1712" s="2" t="n">
        <f aca="false">'Raw Data'!W1712</f>
        <v>3</v>
      </c>
      <c r="H1712" s="2" t="n">
        <f aca="false">'Raw Data'!V1712</f>
        <v>1</v>
      </c>
      <c r="I1712" s="2" t="n">
        <f aca="false">IF(AND(ISNUMBER(B1712),B1712&lt;=25),2,0)+IF(AND(ISNUMBER(E1712),E1712&lt;=5),2,0)+IF(AND(ISNUMBER(F1712),F1712&lt;=1),2,0)+IF(AND(ISNUMBER(G1712),G1712&lt;=2),1,0)+IF(AND(ISNUMBER(H1712),H1712&lt;=2),1,0)</f>
        <v>5</v>
      </c>
      <c r="J1712" s="2" t="str">
        <f aca="false">IF(I1712&gt;=6,"High",IF(I1712&gt;=3,"Medium","Low"))</f>
        <v>Medium</v>
      </c>
    </row>
    <row r="1713" customFormat="false" ht="15" hidden="false" customHeight="true" outlineLevel="0" collapsed="false">
      <c r="A1713" s="2" t="n">
        <f aca="false">'Raw Data'!H1713</f>
        <v>1712</v>
      </c>
      <c r="B1713" s="2" t="n">
        <f aca="false">'Raw Data'!A1713</f>
        <v>33</v>
      </c>
      <c r="C1713" s="2" t="str">
        <f aca="false">'Raw Data'!D1713</f>
        <v>Sales</v>
      </c>
      <c r="D1713" s="2" t="str">
        <f aca="false">'Raw Data'!K1713</f>
        <v>Manufacturing Director</v>
      </c>
      <c r="E1713" s="2" t="n">
        <f aca="false">'Raw Data'!Q1713</f>
        <v>6</v>
      </c>
      <c r="F1713" s="2" t="n">
        <f aca="false">'Raw Data'!U1713</f>
        <v>2</v>
      </c>
      <c r="G1713" s="2" t="n">
        <f aca="false">'Raw Data'!W1713</f>
        <v>3</v>
      </c>
      <c r="H1713" s="2" t="n">
        <f aca="false">'Raw Data'!V1713</f>
        <v>3</v>
      </c>
      <c r="I1713" s="2" t="n">
        <f aca="false">IF(AND(ISNUMBER(B1713),B1713&lt;=25),2,0)+IF(AND(ISNUMBER(E1713),E1713&lt;=5),2,0)+IF(AND(ISNUMBER(F1713),F1713&lt;=1),2,0)+IF(AND(ISNUMBER(G1713),G1713&lt;=2),1,0)+IF(AND(ISNUMBER(H1713),H1713&lt;=2),1,0)</f>
        <v>0</v>
      </c>
      <c r="J1713" s="2" t="str">
        <f aca="false">IF(I1713&gt;=6,"High",IF(I1713&gt;=3,"Medium","Low"))</f>
        <v>Low</v>
      </c>
    </row>
    <row r="1714" customFormat="false" ht="15" hidden="false" customHeight="true" outlineLevel="0" collapsed="false">
      <c r="A1714" s="2" t="n">
        <f aca="false">'Raw Data'!H1714</f>
        <v>1713</v>
      </c>
      <c r="B1714" s="2" t="n">
        <f aca="false">'Raw Data'!A1714</f>
        <v>32</v>
      </c>
      <c r="C1714" s="2" t="str">
        <f aca="false">'Raw Data'!D1714</f>
        <v>Research &amp; Development</v>
      </c>
      <c r="D1714" s="2" t="str">
        <f aca="false">'Raw Data'!K1714</f>
        <v>Healthcare Representative</v>
      </c>
      <c r="E1714" s="2" t="n">
        <f aca="false">'Raw Data'!Q1714</f>
        <v>6</v>
      </c>
      <c r="F1714" s="2" t="n">
        <f aca="false">'Raw Data'!U1714</f>
        <v>5</v>
      </c>
      <c r="G1714" s="2" t="n">
        <f aca="false">'Raw Data'!W1714</f>
        <v>4</v>
      </c>
      <c r="H1714" s="2" t="n">
        <f aca="false">'Raw Data'!V1714</f>
        <v>1</v>
      </c>
      <c r="I1714" s="2" t="n">
        <f aca="false">IF(AND(ISNUMBER(B1714),B1714&lt;=25),2,0)+IF(AND(ISNUMBER(E1714),E1714&lt;=5),2,0)+IF(AND(ISNUMBER(F1714),F1714&lt;=1),2,0)+IF(AND(ISNUMBER(G1714),G1714&lt;=2),1,0)+IF(AND(ISNUMBER(H1714),H1714&lt;=2),1,0)</f>
        <v>1</v>
      </c>
      <c r="J1714" s="2" t="str">
        <f aca="false">IF(I1714&gt;=6,"High",IF(I1714&gt;=3,"Medium","Low"))</f>
        <v>Low</v>
      </c>
    </row>
    <row r="1715" customFormat="false" ht="15" hidden="false" customHeight="true" outlineLevel="0" collapsed="false">
      <c r="A1715" s="2" t="n">
        <f aca="false">'Raw Data'!H1715</f>
        <v>1714</v>
      </c>
      <c r="B1715" s="2" t="n">
        <f aca="false">'Raw Data'!A1715</f>
        <v>30</v>
      </c>
      <c r="C1715" s="2" t="str">
        <f aca="false">'Raw Data'!D1715</f>
        <v>Research &amp; Development</v>
      </c>
      <c r="D1715" s="2" t="str">
        <f aca="false">'Raw Data'!K1715</f>
        <v>Manager</v>
      </c>
      <c r="E1715" s="2" t="n">
        <f aca="false">'Raw Data'!Q1715</f>
        <v>1</v>
      </c>
      <c r="F1715" s="2" t="n">
        <f aca="false">'Raw Data'!U1715</f>
        <v>0</v>
      </c>
      <c r="G1715" s="2" t="n">
        <f aca="false">'Raw Data'!W1715</f>
        <v>3</v>
      </c>
      <c r="H1715" s="2" t="n">
        <f aca="false">'Raw Data'!V1715</f>
        <v>3</v>
      </c>
      <c r="I1715" s="2" t="n">
        <f aca="false">IF(AND(ISNUMBER(B1715),B1715&lt;=25),2,0)+IF(AND(ISNUMBER(E1715),E1715&lt;=5),2,0)+IF(AND(ISNUMBER(F1715),F1715&lt;=1),2,0)+IF(AND(ISNUMBER(G1715),G1715&lt;=2),1,0)+IF(AND(ISNUMBER(H1715),H1715&lt;=2),1,0)</f>
        <v>4</v>
      </c>
      <c r="J1715" s="2" t="str">
        <f aca="false">IF(I1715&gt;=6,"High",IF(I1715&gt;=3,"Medium","Low"))</f>
        <v>Medium</v>
      </c>
    </row>
    <row r="1716" customFormat="false" ht="15" hidden="false" customHeight="true" outlineLevel="0" collapsed="false">
      <c r="A1716" s="2" t="n">
        <f aca="false">'Raw Data'!H1716</f>
        <v>1715</v>
      </c>
      <c r="B1716" s="2" t="n">
        <f aca="false">'Raw Data'!A1716</f>
        <v>53</v>
      </c>
      <c r="C1716" s="2" t="str">
        <f aca="false">'Raw Data'!D1716</f>
        <v>Research &amp; Development</v>
      </c>
      <c r="D1716" s="2" t="str">
        <f aca="false">'Raw Data'!K1716</f>
        <v>Manager</v>
      </c>
      <c r="E1716" s="2" t="n">
        <f aca="false">'Raw Data'!Q1716</f>
        <v>18</v>
      </c>
      <c r="F1716" s="2" t="n">
        <f aca="false">'Raw Data'!U1716</f>
        <v>10</v>
      </c>
      <c r="G1716" s="2" t="n">
        <f aca="false">'Raw Data'!W1716</f>
        <v>1</v>
      </c>
      <c r="H1716" s="2" t="n">
        <f aca="false">'Raw Data'!V1716</f>
        <v>4</v>
      </c>
      <c r="I1716" s="2" t="n">
        <f aca="false">IF(AND(ISNUMBER(B1716),B1716&lt;=25),2,0)+IF(AND(ISNUMBER(E1716),E1716&lt;=5),2,0)+IF(AND(ISNUMBER(F1716),F1716&lt;=1),2,0)+IF(AND(ISNUMBER(G1716),G1716&lt;=2),1,0)+IF(AND(ISNUMBER(H1716),H1716&lt;=2),1,0)</f>
        <v>1</v>
      </c>
      <c r="J1716" s="2" t="str">
        <f aca="false">IF(I1716&gt;=6,"High",IF(I1716&gt;=3,"Medium","Low"))</f>
        <v>Low</v>
      </c>
    </row>
    <row r="1717" customFormat="false" ht="15" hidden="false" customHeight="true" outlineLevel="0" collapsed="false">
      <c r="A1717" s="2" t="n">
        <f aca="false">'Raw Data'!H1717</f>
        <v>1716</v>
      </c>
      <c r="B1717" s="2" t="n">
        <f aca="false">'Raw Data'!A1717</f>
        <v>34</v>
      </c>
      <c r="C1717" s="2" t="str">
        <f aca="false">'Raw Data'!D1717</f>
        <v>Research &amp; Development</v>
      </c>
      <c r="D1717" s="2" t="str">
        <f aca="false">'Raw Data'!K1717</f>
        <v>Research Scientist</v>
      </c>
      <c r="E1717" s="2" t="n">
        <f aca="false">'Raw Data'!Q1717</f>
        <v>10</v>
      </c>
      <c r="F1717" s="2" t="n">
        <f aca="false">'Raw Data'!U1717</f>
        <v>8</v>
      </c>
      <c r="G1717" s="2" t="n">
        <f aca="false">'Raw Data'!W1717</f>
        <v>4</v>
      </c>
      <c r="H1717" s="2" t="n">
        <f aca="false">'Raw Data'!V1717</f>
        <v>2</v>
      </c>
      <c r="I1717" s="2" t="n">
        <f aca="false">IF(AND(ISNUMBER(B1717),B1717&lt;=25),2,0)+IF(AND(ISNUMBER(E1717),E1717&lt;=5),2,0)+IF(AND(ISNUMBER(F1717),F1717&lt;=1),2,0)+IF(AND(ISNUMBER(G1717),G1717&lt;=2),1,0)+IF(AND(ISNUMBER(H1717),H1717&lt;=2),1,0)</f>
        <v>1</v>
      </c>
      <c r="J1717" s="2" t="str">
        <f aca="false">IF(I1717&gt;=6,"High",IF(I1717&gt;=3,"Medium","Low"))</f>
        <v>Low</v>
      </c>
    </row>
    <row r="1718" customFormat="false" ht="15" hidden="false" customHeight="true" outlineLevel="0" collapsed="false">
      <c r="A1718" s="2" t="n">
        <f aca="false">'Raw Data'!H1718</f>
        <v>1717</v>
      </c>
      <c r="B1718" s="2" t="n">
        <f aca="false">'Raw Data'!A1718</f>
        <v>45</v>
      </c>
      <c r="C1718" s="2" t="str">
        <f aca="false">'Raw Data'!D1718</f>
        <v>Research &amp; Development</v>
      </c>
      <c r="D1718" s="2" t="str">
        <f aca="false">'Raw Data'!K1718</f>
        <v>Research Director</v>
      </c>
      <c r="E1718" s="2" t="n">
        <f aca="false">'Raw Data'!Q1718</f>
        <v>5</v>
      </c>
      <c r="F1718" s="2" t="n">
        <f aca="false">'Raw Data'!U1718</f>
        <v>0</v>
      </c>
      <c r="G1718" s="2" t="n">
        <f aca="false">'Raw Data'!W1718</f>
        <v>1</v>
      </c>
      <c r="H1718" s="2" t="n">
        <f aca="false">'Raw Data'!V1718</f>
        <v>1</v>
      </c>
      <c r="I1718" s="2" t="n">
        <f aca="false">IF(AND(ISNUMBER(B1718),B1718&lt;=25),2,0)+IF(AND(ISNUMBER(E1718),E1718&lt;=5),2,0)+IF(AND(ISNUMBER(F1718),F1718&lt;=1),2,0)+IF(AND(ISNUMBER(G1718),G1718&lt;=2),1,0)+IF(AND(ISNUMBER(H1718),H1718&lt;=2),1,0)</f>
        <v>6</v>
      </c>
      <c r="J1718" s="2" t="str">
        <f aca="false">IF(I1718&gt;=6,"High",IF(I1718&gt;=3,"Medium","Low"))</f>
        <v>High</v>
      </c>
    </row>
    <row r="1719" customFormat="false" ht="15" hidden="false" customHeight="true" outlineLevel="0" collapsed="false">
      <c r="A1719" s="2" t="n">
        <f aca="false">'Raw Data'!H1719</f>
        <v>1718</v>
      </c>
      <c r="B1719" s="2" t="n">
        <f aca="false">'Raw Data'!A1719</f>
        <v>26</v>
      </c>
      <c r="C1719" s="2" t="str">
        <f aca="false">'Raw Data'!D1719</f>
        <v>Research &amp; Development</v>
      </c>
      <c r="D1719" s="2" t="str">
        <f aca="false">'Raw Data'!K1719</f>
        <v>Manufacturing Director</v>
      </c>
      <c r="E1719" s="2" t="n">
        <f aca="false">'Raw Data'!Q1719</f>
        <v>3</v>
      </c>
      <c r="F1719" s="2" t="n">
        <f aca="false">'Raw Data'!U1719</f>
        <v>2</v>
      </c>
      <c r="G1719" s="2" t="n">
        <f aca="false">'Raw Data'!W1719</f>
        <v>4</v>
      </c>
      <c r="H1719" s="2" t="n">
        <f aca="false">'Raw Data'!V1719</f>
        <v>3</v>
      </c>
      <c r="I1719" s="2" t="n">
        <f aca="false">IF(AND(ISNUMBER(B1719),B1719&lt;=25),2,0)+IF(AND(ISNUMBER(E1719),E1719&lt;=5),2,0)+IF(AND(ISNUMBER(F1719),F1719&lt;=1),2,0)+IF(AND(ISNUMBER(G1719),G1719&lt;=2),1,0)+IF(AND(ISNUMBER(H1719),H1719&lt;=2),1,0)</f>
        <v>2</v>
      </c>
      <c r="J1719" s="2" t="str">
        <f aca="false">IF(I1719&gt;=6,"High",IF(I1719&gt;=3,"Medium","Low"))</f>
        <v>Low</v>
      </c>
    </row>
    <row r="1720" customFormat="false" ht="15" hidden="false" customHeight="true" outlineLevel="0" collapsed="false">
      <c r="A1720" s="2" t="n">
        <f aca="false">'Raw Data'!H1720</f>
        <v>1719</v>
      </c>
      <c r="B1720" s="2" t="n">
        <f aca="false">'Raw Data'!A1720</f>
        <v>37</v>
      </c>
      <c r="C1720" s="2" t="str">
        <f aca="false">'Raw Data'!D1720</f>
        <v>Research &amp; Development</v>
      </c>
      <c r="D1720" s="2" t="str">
        <f aca="false">'Raw Data'!K1720</f>
        <v>Manager</v>
      </c>
      <c r="E1720" s="2" t="n">
        <f aca="false">'Raw Data'!Q1720</f>
        <v>10</v>
      </c>
      <c r="F1720" s="2" t="n">
        <f aca="false">'Raw Data'!U1720</f>
        <v>8</v>
      </c>
      <c r="G1720" s="2" t="n">
        <f aca="false">'Raw Data'!W1720</f>
        <v>3</v>
      </c>
      <c r="H1720" s="2" t="n">
        <f aca="false">'Raw Data'!V1720</f>
        <v>3</v>
      </c>
      <c r="I1720" s="2" t="n">
        <f aca="false">IF(AND(ISNUMBER(B1720),B1720&lt;=25),2,0)+IF(AND(ISNUMBER(E1720),E1720&lt;=5),2,0)+IF(AND(ISNUMBER(F1720),F1720&lt;=1),2,0)+IF(AND(ISNUMBER(G1720),G1720&lt;=2),1,0)+IF(AND(ISNUMBER(H1720),H1720&lt;=2),1,0)</f>
        <v>0</v>
      </c>
      <c r="J1720" s="2" t="str">
        <f aca="false">IF(I1720&gt;=6,"High",IF(I1720&gt;=3,"Medium","Low"))</f>
        <v>Low</v>
      </c>
    </row>
    <row r="1721" customFormat="false" ht="15" hidden="false" customHeight="true" outlineLevel="0" collapsed="false">
      <c r="A1721" s="2" t="n">
        <f aca="false">'Raw Data'!H1721</f>
        <v>1720</v>
      </c>
      <c r="B1721" s="2" t="n">
        <f aca="false">'Raw Data'!A1721</f>
        <v>29</v>
      </c>
      <c r="C1721" s="2" t="str">
        <f aca="false">'Raw Data'!D1721</f>
        <v>Research &amp; Development</v>
      </c>
      <c r="D1721" s="2" t="str">
        <f aca="false">'Raw Data'!K1721</f>
        <v>Healthcare Representative</v>
      </c>
      <c r="E1721" s="2" t="n">
        <f aca="false">'Raw Data'!Q1721</f>
        <v>6</v>
      </c>
      <c r="F1721" s="2" t="n">
        <f aca="false">'Raw Data'!U1721</f>
        <v>2</v>
      </c>
      <c r="G1721" s="2" t="n">
        <f aca="false">'Raw Data'!W1721</f>
        <v>3</v>
      </c>
      <c r="H1721" s="2" t="n">
        <f aca="false">'Raw Data'!V1721</f>
        <v>2</v>
      </c>
      <c r="I1721" s="2" t="n">
        <f aca="false">IF(AND(ISNUMBER(B1721),B1721&lt;=25),2,0)+IF(AND(ISNUMBER(E1721),E1721&lt;=5),2,0)+IF(AND(ISNUMBER(F1721),F1721&lt;=1),2,0)+IF(AND(ISNUMBER(G1721),G1721&lt;=2),1,0)+IF(AND(ISNUMBER(H1721),H1721&lt;=2),1,0)</f>
        <v>1</v>
      </c>
      <c r="J1721" s="2" t="str">
        <f aca="false">IF(I1721&gt;=6,"High",IF(I1721&gt;=3,"Medium","Low"))</f>
        <v>Low</v>
      </c>
    </row>
    <row r="1722" customFormat="false" ht="15" hidden="false" customHeight="true" outlineLevel="0" collapsed="false">
      <c r="A1722" s="2" t="n">
        <f aca="false">'Raw Data'!H1722</f>
        <v>1721</v>
      </c>
      <c r="B1722" s="2" t="n">
        <f aca="false">'Raw Data'!A1722</f>
        <v>35</v>
      </c>
      <c r="C1722" s="2" t="str">
        <f aca="false">'Raw Data'!D1722</f>
        <v>Research &amp; Development</v>
      </c>
      <c r="D1722" s="2" t="str">
        <f aca="false">'Raw Data'!K1722</f>
        <v>Laboratory Technician</v>
      </c>
      <c r="E1722" s="2" t="n">
        <f aca="false">'Raw Data'!Q1722</f>
        <v>17</v>
      </c>
      <c r="F1722" s="2" t="n">
        <f aca="false">'Raw Data'!U1722</f>
        <v>8</v>
      </c>
      <c r="G1722" s="2" t="n">
        <f aca="false">'Raw Data'!W1722</f>
        <v>4</v>
      </c>
      <c r="H1722" s="2" t="n">
        <f aca="false">'Raw Data'!V1722</f>
        <v>2</v>
      </c>
      <c r="I1722" s="2" t="n">
        <f aca="false">IF(AND(ISNUMBER(B1722),B1722&lt;=25),2,0)+IF(AND(ISNUMBER(E1722),E1722&lt;=5),2,0)+IF(AND(ISNUMBER(F1722),F1722&lt;=1),2,0)+IF(AND(ISNUMBER(G1722),G1722&lt;=2),1,0)+IF(AND(ISNUMBER(H1722),H1722&lt;=2),1,0)</f>
        <v>1</v>
      </c>
      <c r="J1722" s="2" t="str">
        <f aca="false">IF(I1722&gt;=6,"High",IF(I1722&gt;=3,"Medium","Low"))</f>
        <v>Low</v>
      </c>
    </row>
    <row r="1723" customFormat="false" ht="15" hidden="false" customHeight="true" outlineLevel="0" collapsed="false">
      <c r="A1723" s="2" t="n">
        <f aca="false">'Raw Data'!H1723</f>
        <v>1722</v>
      </c>
      <c r="B1723" s="2" t="n">
        <f aca="false">'Raw Data'!A1723</f>
        <v>33</v>
      </c>
      <c r="C1723" s="2" t="str">
        <f aca="false">'Raw Data'!D1723</f>
        <v>Research &amp; Development</v>
      </c>
      <c r="D1723" s="2" t="str">
        <f aca="false">'Raw Data'!K1723</f>
        <v>Laboratory Technician</v>
      </c>
      <c r="E1723" s="2" t="n">
        <f aca="false">'Raw Data'!Q1723</f>
        <v>15</v>
      </c>
      <c r="F1723" s="2" t="n">
        <f aca="false">'Raw Data'!U1723</f>
        <v>7</v>
      </c>
      <c r="G1723" s="2" t="n">
        <f aca="false">'Raw Data'!W1723</f>
        <v>4</v>
      </c>
      <c r="H1723" s="2" t="n">
        <f aca="false">'Raw Data'!V1723</f>
        <v>3</v>
      </c>
      <c r="I1723" s="2" t="n">
        <f aca="false">IF(AND(ISNUMBER(B1723),B1723&lt;=25),2,0)+IF(AND(ISNUMBER(E1723),E1723&lt;=5),2,0)+IF(AND(ISNUMBER(F1723),F1723&lt;=1),2,0)+IF(AND(ISNUMBER(G1723),G1723&lt;=2),1,0)+IF(AND(ISNUMBER(H1723),H1723&lt;=2),1,0)</f>
        <v>0</v>
      </c>
      <c r="J1723" s="2" t="str">
        <f aca="false">IF(I1723&gt;=6,"High",IF(I1723&gt;=3,"Medium","Low"))</f>
        <v>Low</v>
      </c>
    </row>
    <row r="1724" customFormat="false" ht="15" hidden="false" customHeight="true" outlineLevel="0" collapsed="false">
      <c r="A1724" s="2" t="n">
        <f aca="false">'Raw Data'!H1724</f>
        <v>1723</v>
      </c>
      <c r="B1724" s="2" t="n">
        <f aca="false">'Raw Data'!A1724</f>
        <v>54</v>
      </c>
      <c r="C1724" s="2" t="str">
        <f aca="false">'Raw Data'!D1724</f>
        <v>Research &amp; Development</v>
      </c>
      <c r="D1724" s="2" t="str">
        <f aca="false">'Raw Data'!K1724</f>
        <v>Sales Executive</v>
      </c>
      <c r="E1724" s="2" t="n">
        <f aca="false">'Raw Data'!Q1724</f>
        <v>16</v>
      </c>
      <c r="F1724" s="2" t="n">
        <f aca="false">'Raw Data'!U1724</f>
        <v>1</v>
      </c>
      <c r="G1724" s="2" t="n">
        <f aca="false">'Raw Data'!W1724</f>
        <v>2</v>
      </c>
      <c r="H1724" s="2" t="n">
        <f aca="false">'Raw Data'!V1724</f>
        <v>3</v>
      </c>
      <c r="I1724" s="2" t="n">
        <f aca="false">IF(AND(ISNUMBER(B1724),B1724&lt;=25),2,0)+IF(AND(ISNUMBER(E1724),E1724&lt;=5),2,0)+IF(AND(ISNUMBER(F1724),F1724&lt;=1),2,0)+IF(AND(ISNUMBER(G1724),G1724&lt;=2),1,0)+IF(AND(ISNUMBER(H1724),H1724&lt;=2),1,0)</f>
        <v>3</v>
      </c>
      <c r="J1724" s="2" t="str">
        <f aca="false">IF(I1724&gt;=6,"High",IF(I1724&gt;=3,"Medium","Low"))</f>
        <v>Medium</v>
      </c>
    </row>
    <row r="1725" customFormat="false" ht="15" hidden="false" customHeight="true" outlineLevel="0" collapsed="false">
      <c r="A1725" s="2" t="n">
        <f aca="false">'Raw Data'!H1725</f>
        <v>1724</v>
      </c>
      <c r="B1725" s="2" t="n">
        <f aca="false">'Raw Data'!A1725</f>
        <v>36</v>
      </c>
      <c r="C1725" s="2" t="str">
        <f aca="false">'Raw Data'!D1725</f>
        <v>Research &amp; Development</v>
      </c>
      <c r="D1725" s="2" t="str">
        <f aca="false">'Raw Data'!K1725</f>
        <v>Research Scientist</v>
      </c>
      <c r="E1725" s="2" t="n">
        <f aca="false">'Raw Data'!Q1725</f>
        <v>13</v>
      </c>
      <c r="F1725" s="2" t="n">
        <f aca="false">'Raw Data'!U1725</f>
        <v>2</v>
      </c>
      <c r="G1725" s="2" t="n">
        <f aca="false">'Raw Data'!W1725</f>
        <v>2</v>
      </c>
      <c r="H1725" s="2" t="n">
        <f aca="false">'Raw Data'!V1725</f>
        <v>2</v>
      </c>
      <c r="I1725" s="2" t="n">
        <f aca="false">IF(AND(ISNUMBER(B1725),B1725&lt;=25),2,0)+IF(AND(ISNUMBER(E1725),E1725&lt;=5),2,0)+IF(AND(ISNUMBER(F1725),F1725&lt;=1),2,0)+IF(AND(ISNUMBER(G1725),G1725&lt;=2),1,0)+IF(AND(ISNUMBER(H1725),H1725&lt;=2),1,0)</f>
        <v>2</v>
      </c>
      <c r="J1725" s="2" t="str">
        <f aca="false">IF(I1725&gt;=6,"High",IF(I1725&gt;=3,"Medium","Low"))</f>
        <v>Low</v>
      </c>
    </row>
    <row r="1726" customFormat="false" ht="15" hidden="false" customHeight="true" outlineLevel="0" collapsed="false">
      <c r="A1726" s="2" t="n">
        <f aca="false">'Raw Data'!H1726</f>
        <v>1725</v>
      </c>
      <c r="B1726" s="2" t="n">
        <f aca="false">'Raw Data'!A1726</f>
        <v>27</v>
      </c>
      <c r="C1726" s="2" t="str">
        <f aca="false">'Raw Data'!D1726</f>
        <v>Sales</v>
      </c>
      <c r="D1726" s="2" t="str">
        <f aca="false">'Raw Data'!K1726</f>
        <v>Research Director</v>
      </c>
      <c r="E1726" s="2" t="n">
        <f aca="false">'Raw Data'!Q1726</f>
        <v>5</v>
      </c>
      <c r="F1726" s="2" t="n">
        <f aca="false">'Raw Data'!U1726</f>
        <v>1</v>
      </c>
      <c r="G1726" s="2" t="n">
        <f aca="false">'Raw Data'!W1726</f>
        <v>4</v>
      </c>
      <c r="H1726" s="2" t="n">
        <f aca="false">'Raw Data'!V1726</f>
        <v>1</v>
      </c>
      <c r="I1726" s="2" t="n">
        <f aca="false">IF(AND(ISNUMBER(B1726),B1726&lt;=25),2,0)+IF(AND(ISNUMBER(E1726),E1726&lt;=5),2,0)+IF(AND(ISNUMBER(F1726),F1726&lt;=1),2,0)+IF(AND(ISNUMBER(G1726),G1726&lt;=2),1,0)+IF(AND(ISNUMBER(H1726),H1726&lt;=2),1,0)</f>
        <v>5</v>
      </c>
      <c r="J1726" s="2" t="str">
        <f aca="false">IF(I1726&gt;=6,"High",IF(I1726&gt;=3,"Medium","Low"))</f>
        <v>Medium</v>
      </c>
    </row>
    <row r="1727" customFormat="false" ht="15" hidden="false" customHeight="true" outlineLevel="0" collapsed="false">
      <c r="A1727" s="2" t="n">
        <f aca="false">'Raw Data'!H1727</f>
        <v>1726</v>
      </c>
      <c r="B1727" s="2" t="n">
        <f aca="false">'Raw Data'!A1727</f>
        <v>20</v>
      </c>
      <c r="C1727" s="2" t="str">
        <f aca="false">'Raw Data'!D1727</f>
        <v>Research &amp; Development</v>
      </c>
      <c r="D1727" s="2" t="str">
        <f aca="false">'Raw Data'!K1727</f>
        <v>Sales Representative</v>
      </c>
      <c r="E1727" s="2" t="n">
        <f aca="false">'Raw Data'!Q1727</f>
        <v>1</v>
      </c>
      <c r="F1727" s="2" t="n">
        <f aca="false">'Raw Data'!U1727</f>
        <v>1</v>
      </c>
      <c r="G1727" s="2" t="n">
        <f aca="false">'Raw Data'!W1727</f>
        <v>3</v>
      </c>
      <c r="H1727" s="2" t="n">
        <f aca="false">'Raw Data'!V1727</f>
        <v>4</v>
      </c>
      <c r="I1727" s="2" t="n">
        <f aca="false">IF(AND(ISNUMBER(B1727),B1727&lt;=25),2,0)+IF(AND(ISNUMBER(E1727),E1727&lt;=5),2,0)+IF(AND(ISNUMBER(F1727),F1727&lt;=1),2,0)+IF(AND(ISNUMBER(G1727),G1727&lt;=2),1,0)+IF(AND(ISNUMBER(H1727),H1727&lt;=2),1,0)</f>
        <v>6</v>
      </c>
      <c r="J1727" s="2" t="str">
        <f aca="false">IF(I1727&gt;=6,"High",IF(I1727&gt;=3,"Medium","Low"))</f>
        <v>High</v>
      </c>
    </row>
    <row r="1728" customFormat="false" ht="15" hidden="false" customHeight="true" outlineLevel="0" collapsed="false">
      <c r="A1728" s="2" t="n">
        <f aca="false">'Raw Data'!H1728</f>
        <v>1727</v>
      </c>
      <c r="B1728" s="2" t="n">
        <f aca="false">'Raw Data'!A1728</f>
        <v>33</v>
      </c>
      <c r="C1728" s="2" t="str">
        <f aca="false">'Raw Data'!D1728</f>
        <v>Research &amp; Development</v>
      </c>
      <c r="D1728" s="2" t="str">
        <f aca="false">'Raw Data'!K1728</f>
        <v>Laboratory Technician</v>
      </c>
      <c r="E1728" s="2" t="n">
        <f aca="false">'Raw Data'!Q1728</f>
        <v>10</v>
      </c>
      <c r="F1728" s="2" t="n">
        <f aca="false">'Raw Data'!U1728</f>
        <v>7</v>
      </c>
      <c r="G1728" s="2" t="n">
        <f aca="false">'Raw Data'!W1728</f>
        <v>1</v>
      </c>
      <c r="H1728" s="2" t="n">
        <f aca="false">'Raw Data'!V1728</f>
        <v>1</v>
      </c>
      <c r="I1728" s="2" t="n">
        <f aca="false">IF(AND(ISNUMBER(B1728),B1728&lt;=25),2,0)+IF(AND(ISNUMBER(E1728),E1728&lt;=5),2,0)+IF(AND(ISNUMBER(F1728),F1728&lt;=1),2,0)+IF(AND(ISNUMBER(G1728),G1728&lt;=2),1,0)+IF(AND(ISNUMBER(H1728),H1728&lt;=2),1,0)</f>
        <v>2</v>
      </c>
      <c r="J1728" s="2" t="str">
        <f aca="false">IF(I1728&gt;=6,"High",IF(I1728&gt;=3,"Medium","Low"))</f>
        <v>Low</v>
      </c>
    </row>
    <row r="1729" customFormat="false" ht="15" hidden="false" customHeight="true" outlineLevel="0" collapsed="false">
      <c r="A1729" s="2" t="n">
        <f aca="false">'Raw Data'!H1729</f>
        <v>1728</v>
      </c>
      <c r="B1729" s="2" t="n">
        <f aca="false">'Raw Data'!A1729</f>
        <v>35</v>
      </c>
      <c r="C1729" s="2" t="str">
        <f aca="false">'Raw Data'!D1729</f>
        <v>Research &amp; Development</v>
      </c>
      <c r="D1729" s="2" t="str">
        <f aca="false">'Raw Data'!K1729</f>
        <v>Research Scientist</v>
      </c>
      <c r="E1729" s="2" t="n">
        <f aca="false">'Raw Data'!Q1729</f>
        <v>1</v>
      </c>
      <c r="F1729" s="2" t="n">
        <f aca="false">'Raw Data'!U1729</f>
        <v>0</v>
      </c>
      <c r="G1729" s="2" t="n">
        <f aca="false">'Raw Data'!W1729</f>
        <v>3</v>
      </c>
      <c r="H1729" s="2" t="n">
        <f aca="false">'Raw Data'!V1729</f>
        <v>3</v>
      </c>
      <c r="I1729" s="2" t="n">
        <f aca="false">IF(AND(ISNUMBER(B1729),B1729&lt;=25),2,0)+IF(AND(ISNUMBER(E1729),E1729&lt;=5),2,0)+IF(AND(ISNUMBER(F1729),F1729&lt;=1),2,0)+IF(AND(ISNUMBER(G1729),G1729&lt;=2),1,0)+IF(AND(ISNUMBER(H1729),H1729&lt;=2),1,0)</f>
        <v>4</v>
      </c>
      <c r="J1729" s="2" t="str">
        <f aca="false">IF(I1729&gt;=6,"High",IF(I1729&gt;=3,"Medium","Low"))</f>
        <v>Medium</v>
      </c>
    </row>
    <row r="1730" customFormat="false" ht="15" hidden="false" customHeight="true" outlineLevel="0" collapsed="false">
      <c r="A1730" s="2" t="n">
        <f aca="false">'Raw Data'!H1730</f>
        <v>1729</v>
      </c>
      <c r="B1730" s="2" t="n">
        <f aca="false">'Raw Data'!A1730</f>
        <v>23</v>
      </c>
      <c r="C1730" s="2" t="str">
        <f aca="false">'Raw Data'!D1730</f>
        <v>Research &amp; Development</v>
      </c>
      <c r="D1730" s="2" t="str">
        <f aca="false">'Raw Data'!K1730</f>
        <v>Healthcare Representative</v>
      </c>
      <c r="E1730" s="2" t="n">
        <f aca="false">'Raw Data'!Q1730</f>
        <v>5</v>
      </c>
      <c r="F1730" s="2" t="n">
        <f aca="false">'Raw Data'!U1730</f>
        <v>2</v>
      </c>
      <c r="G1730" s="2" t="n">
        <f aca="false">'Raw Data'!W1730</f>
        <v>1</v>
      </c>
      <c r="H1730" s="2" t="n">
        <f aca="false">'Raw Data'!V1730</f>
        <v>1</v>
      </c>
      <c r="I1730" s="2" t="n">
        <f aca="false">IF(AND(ISNUMBER(B1730),B1730&lt;=25),2,0)+IF(AND(ISNUMBER(E1730),E1730&lt;=5),2,0)+IF(AND(ISNUMBER(F1730),F1730&lt;=1),2,0)+IF(AND(ISNUMBER(G1730),G1730&lt;=2),1,0)+IF(AND(ISNUMBER(H1730),H1730&lt;=2),1,0)</f>
        <v>6</v>
      </c>
      <c r="J1730" s="2" t="str">
        <f aca="false">IF(I1730&gt;=6,"High",IF(I1730&gt;=3,"Medium","Low"))</f>
        <v>High</v>
      </c>
    </row>
    <row r="1731" customFormat="false" ht="15" hidden="false" customHeight="true" outlineLevel="0" collapsed="false">
      <c r="A1731" s="2" t="n">
        <f aca="false">'Raw Data'!H1731</f>
        <v>1730</v>
      </c>
      <c r="B1731" s="2" t="n">
        <f aca="false">'Raw Data'!A1731</f>
        <v>25</v>
      </c>
      <c r="C1731" s="2" t="str">
        <f aca="false">'Raw Data'!D1731</f>
        <v>Research &amp; Development</v>
      </c>
      <c r="D1731" s="2" t="str">
        <f aca="false">'Raw Data'!K1731</f>
        <v>Manufacturing Director</v>
      </c>
      <c r="E1731" s="2" t="n">
        <f aca="false">'Raw Data'!Q1731</f>
        <v>4</v>
      </c>
      <c r="F1731" s="2" t="n">
        <f aca="false">'Raw Data'!U1731</f>
        <v>2</v>
      </c>
      <c r="G1731" s="2" t="n">
        <f aca="false">'Raw Data'!W1731</f>
        <v>2</v>
      </c>
      <c r="H1731" s="2" t="n">
        <f aca="false">'Raw Data'!V1731</f>
        <v>4</v>
      </c>
      <c r="I1731" s="2" t="n">
        <f aca="false">IF(AND(ISNUMBER(B1731),B1731&lt;=25),2,0)+IF(AND(ISNUMBER(E1731),E1731&lt;=5),2,0)+IF(AND(ISNUMBER(F1731),F1731&lt;=1),2,0)+IF(AND(ISNUMBER(G1731),G1731&lt;=2),1,0)+IF(AND(ISNUMBER(H1731),H1731&lt;=2),1,0)</f>
        <v>5</v>
      </c>
      <c r="J1731" s="2" t="str">
        <f aca="false">IF(I1731&gt;=6,"High",IF(I1731&gt;=3,"Medium","Low"))</f>
        <v>Medium</v>
      </c>
    </row>
    <row r="1732" customFormat="false" ht="15" hidden="false" customHeight="true" outlineLevel="0" collapsed="false">
      <c r="A1732" s="2" t="n">
        <f aca="false">'Raw Data'!H1732</f>
        <v>1731</v>
      </c>
      <c r="B1732" s="2" t="n">
        <f aca="false">'Raw Data'!A1732</f>
        <v>38</v>
      </c>
      <c r="C1732" s="2" t="str">
        <f aca="false">'Raw Data'!D1732</f>
        <v>Research &amp; Development</v>
      </c>
      <c r="D1732" s="2" t="str">
        <f aca="false">'Raw Data'!K1732</f>
        <v>Research Scientist</v>
      </c>
      <c r="E1732" s="2" t="n">
        <f aca="false">'Raw Data'!Q1732</f>
        <v>8</v>
      </c>
      <c r="F1732" s="2" t="n">
        <f aca="false">'Raw Data'!U1732</f>
        <v>5</v>
      </c>
      <c r="G1732" s="2" t="n">
        <f aca="false">'Raw Data'!W1732</f>
        <v>4</v>
      </c>
      <c r="H1732" s="2" t="n">
        <f aca="false">'Raw Data'!V1732</f>
        <v>4</v>
      </c>
      <c r="I1732" s="2" t="n">
        <f aca="false">IF(AND(ISNUMBER(B1732),B1732&lt;=25),2,0)+IF(AND(ISNUMBER(E1732),E1732&lt;=5),2,0)+IF(AND(ISNUMBER(F1732),F1732&lt;=1),2,0)+IF(AND(ISNUMBER(G1732),G1732&lt;=2),1,0)+IF(AND(ISNUMBER(H1732),H1732&lt;=2),1,0)</f>
        <v>0</v>
      </c>
      <c r="J1732" s="2" t="str">
        <f aca="false">IF(I1732&gt;=6,"High",IF(I1732&gt;=3,"Medium","Low"))</f>
        <v>Low</v>
      </c>
    </row>
    <row r="1733" customFormat="false" ht="15" hidden="false" customHeight="true" outlineLevel="0" collapsed="false">
      <c r="A1733" s="2" t="n">
        <f aca="false">'Raw Data'!H1733</f>
        <v>1732</v>
      </c>
      <c r="B1733" s="2" t="n">
        <f aca="false">'Raw Data'!A1733</f>
        <v>29</v>
      </c>
      <c r="C1733" s="2" t="str">
        <f aca="false">'Raw Data'!D1733</f>
        <v>Sales</v>
      </c>
      <c r="D1733" s="2" t="str">
        <f aca="false">'Raw Data'!K1733</f>
        <v>Healthcare Representative</v>
      </c>
      <c r="E1733" s="2" t="n">
        <f aca="false">'Raw Data'!Q1733</f>
        <v>10</v>
      </c>
      <c r="F1733" s="2" t="n">
        <f aca="false">'Raw Data'!U1733</f>
        <v>8</v>
      </c>
      <c r="G1733" s="2" t="n">
        <f aca="false">'Raw Data'!W1733</f>
        <v>4</v>
      </c>
      <c r="H1733" s="2" t="n">
        <f aca="false">'Raw Data'!V1733</f>
        <v>2</v>
      </c>
      <c r="I1733" s="2" t="n">
        <f aca="false">IF(AND(ISNUMBER(B1733),B1733&lt;=25),2,0)+IF(AND(ISNUMBER(E1733),E1733&lt;=5),2,0)+IF(AND(ISNUMBER(F1733),F1733&lt;=1),2,0)+IF(AND(ISNUMBER(G1733),G1733&lt;=2),1,0)+IF(AND(ISNUMBER(H1733),H1733&lt;=2),1,0)</f>
        <v>1</v>
      </c>
      <c r="J1733" s="2" t="str">
        <f aca="false">IF(I1733&gt;=6,"High",IF(I1733&gt;=3,"Medium","Low"))</f>
        <v>Low</v>
      </c>
    </row>
    <row r="1734" customFormat="false" ht="15" hidden="false" customHeight="true" outlineLevel="0" collapsed="false">
      <c r="A1734" s="2" t="n">
        <f aca="false">'Raw Data'!H1734</f>
        <v>1733</v>
      </c>
      <c r="B1734" s="2" t="n">
        <f aca="false">'Raw Data'!A1734</f>
        <v>48</v>
      </c>
      <c r="C1734" s="2" t="str">
        <f aca="false">'Raw Data'!D1734</f>
        <v>Research &amp; Development</v>
      </c>
      <c r="D1734" s="2" t="str">
        <f aca="false">'Raw Data'!K1734</f>
        <v>Sales Executive</v>
      </c>
      <c r="E1734" s="2" t="n">
        <f aca="false">'Raw Data'!Q1734</f>
        <v>12</v>
      </c>
      <c r="F1734" s="2" t="n">
        <f aca="false">'Raw Data'!U1734</f>
        <v>2</v>
      </c>
      <c r="G1734" s="2" t="n">
        <f aca="false">'Raw Data'!W1734</f>
        <v>2</v>
      </c>
      <c r="H1734" s="2" t="n">
        <f aca="false">'Raw Data'!V1734</f>
        <v>2</v>
      </c>
      <c r="I1734" s="2" t="n">
        <f aca="false">IF(AND(ISNUMBER(B1734),B1734&lt;=25),2,0)+IF(AND(ISNUMBER(E1734),E1734&lt;=5),2,0)+IF(AND(ISNUMBER(F1734),F1734&lt;=1),2,0)+IF(AND(ISNUMBER(G1734),G1734&lt;=2),1,0)+IF(AND(ISNUMBER(H1734),H1734&lt;=2),1,0)</f>
        <v>2</v>
      </c>
      <c r="J1734" s="2" t="str">
        <f aca="false">IF(I1734&gt;=6,"High",IF(I1734&gt;=3,"Medium","Low"))</f>
        <v>Low</v>
      </c>
    </row>
    <row r="1735" customFormat="false" ht="15" hidden="false" customHeight="true" outlineLevel="0" collapsed="false">
      <c r="A1735" s="2" t="n">
        <f aca="false">'Raw Data'!H1735</f>
        <v>1734</v>
      </c>
      <c r="B1735" s="2" t="n">
        <f aca="false">'Raw Data'!A1735</f>
        <v>27</v>
      </c>
      <c r="C1735" s="2" t="str">
        <f aca="false">'Raw Data'!D1735</f>
        <v>Sales</v>
      </c>
      <c r="D1735" s="2" t="str">
        <f aca="false">'Raw Data'!K1735</f>
        <v>Laboratory Technician</v>
      </c>
      <c r="E1735" s="2" t="n">
        <f aca="false">'Raw Data'!Q1735</f>
        <v>6</v>
      </c>
      <c r="F1735" s="2" t="n">
        <f aca="false">'Raw Data'!U1735</f>
        <v>4</v>
      </c>
      <c r="G1735" s="2" t="n">
        <f aca="false">'Raw Data'!W1735</f>
        <v>4</v>
      </c>
      <c r="H1735" s="2" t="n">
        <f aca="false">'Raw Data'!V1735</f>
        <v>4</v>
      </c>
      <c r="I1735" s="2" t="n">
        <f aca="false">IF(AND(ISNUMBER(B1735),B1735&lt;=25),2,0)+IF(AND(ISNUMBER(E1735),E1735&lt;=5),2,0)+IF(AND(ISNUMBER(F1735),F1735&lt;=1),2,0)+IF(AND(ISNUMBER(G1735),G1735&lt;=2),1,0)+IF(AND(ISNUMBER(H1735),H1735&lt;=2),1,0)</f>
        <v>0</v>
      </c>
      <c r="J1735" s="2" t="str">
        <f aca="false">IF(I1735&gt;=6,"High",IF(I1735&gt;=3,"Medium","Low"))</f>
        <v>Low</v>
      </c>
    </row>
    <row r="1736" customFormat="false" ht="15" hidden="false" customHeight="true" outlineLevel="0" collapsed="false">
      <c r="A1736" s="2" t="n">
        <f aca="false">'Raw Data'!H1736</f>
        <v>1735</v>
      </c>
      <c r="B1736" s="2" t="n">
        <f aca="false">'Raw Data'!A1736</f>
        <v>37</v>
      </c>
      <c r="C1736" s="2" t="str">
        <f aca="false">'Raw Data'!D1736</f>
        <v>Research &amp; Development</v>
      </c>
      <c r="D1736" s="2" t="str">
        <f aca="false">'Raw Data'!K1736</f>
        <v>Manager</v>
      </c>
      <c r="E1736" s="2" t="n">
        <f aca="false">'Raw Data'!Q1736</f>
        <v>4</v>
      </c>
      <c r="F1736" s="2" t="n">
        <f aca="false">'Raw Data'!U1736</f>
        <v>0</v>
      </c>
      <c r="G1736" s="2" t="n">
        <f aca="false">'Raw Data'!W1736</f>
        <v>4</v>
      </c>
      <c r="H1736" s="2" t="n">
        <f aca="false">'Raw Data'!V1736</f>
        <v>4</v>
      </c>
      <c r="I1736" s="2" t="n">
        <f aca="false">IF(AND(ISNUMBER(B1736),B1736&lt;=25),2,0)+IF(AND(ISNUMBER(E1736),E1736&lt;=5),2,0)+IF(AND(ISNUMBER(F1736),F1736&lt;=1),2,0)+IF(AND(ISNUMBER(G1736),G1736&lt;=2),1,0)+IF(AND(ISNUMBER(H1736),H1736&lt;=2),1,0)</f>
        <v>4</v>
      </c>
      <c r="J1736" s="2" t="str">
        <f aca="false">IF(I1736&gt;=6,"High",IF(I1736&gt;=3,"Medium","Low"))</f>
        <v>Medium</v>
      </c>
    </row>
    <row r="1737" customFormat="false" ht="15" hidden="false" customHeight="true" outlineLevel="0" collapsed="false">
      <c r="A1737" s="2" t="n">
        <f aca="false">'Raw Data'!H1737</f>
        <v>1736</v>
      </c>
      <c r="B1737" s="2" t="n">
        <f aca="false">'Raw Data'!A1737</f>
        <v>50</v>
      </c>
      <c r="C1737" s="2" t="str">
        <f aca="false">'Raw Data'!D1737</f>
        <v>Sales</v>
      </c>
      <c r="D1737" s="2" t="str">
        <f aca="false">'Raw Data'!K1737</f>
        <v>Laboratory Technician</v>
      </c>
      <c r="E1737" s="2" t="n">
        <f aca="false">'Raw Data'!Q1737</f>
        <v>20</v>
      </c>
      <c r="F1737" s="2" t="n">
        <f aca="false">'Raw Data'!U1737</f>
        <v>8</v>
      </c>
      <c r="G1737" s="2" t="n">
        <f aca="false">'Raw Data'!W1737</f>
        <v>3</v>
      </c>
      <c r="H1737" s="2" t="n">
        <f aca="false">'Raw Data'!V1737</f>
        <v>4</v>
      </c>
      <c r="I1737" s="2" t="n">
        <f aca="false">IF(AND(ISNUMBER(B1737),B1737&lt;=25),2,0)+IF(AND(ISNUMBER(E1737),E1737&lt;=5),2,0)+IF(AND(ISNUMBER(F1737),F1737&lt;=1),2,0)+IF(AND(ISNUMBER(G1737),G1737&lt;=2),1,0)+IF(AND(ISNUMBER(H1737),H1737&lt;=2),1,0)</f>
        <v>0</v>
      </c>
      <c r="J1737" s="2" t="str">
        <f aca="false">IF(I1737&gt;=6,"High",IF(I1737&gt;=3,"Medium","Low"))</f>
        <v>Low</v>
      </c>
    </row>
    <row r="1738" customFormat="false" ht="15" hidden="false" customHeight="true" outlineLevel="0" collapsed="false">
      <c r="A1738" s="2" t="n">
        <f aca="false">'Raw Data'!H1738</f>
        <v>1737</v>
      </c>
      <c r="B1738" s="2" t="n">
        <f aca="false">'Raw Data'!A1738</f>
        <v>34</v>
      </c>
      <c r="C1738" s="2" t="str">
        <f aca="false">'Raw Data'!D1738</f>
        <v>Research &amp; Development</v>
      </c>
      <c r="D1738" s="2" t="str">
        <f aca="false">'Raw Data'!K1738</f>
        <v>Healthcare Representative</v>
      </c>
      <c r="E1738" s="2" t="n">
        <f aca="false">'Raw Data'!Q1738</f>
        <v>9</v>
      </c>
      <c r="F1738" s="2" t="n">
        <f aca="false">'Raw Data'!U1738</f>
        <v>7</v>
      </c>
      <c r="G1738" s="2" t="n">
        <f aca="false">'Raw Data'!W1738</f>
        <v>2</v>
      </c>
      <c r="H1738" s="2" t="n">
        <f aca="false">'Raw Data'!V1738</f>
        <v>4</v>
      </c>
      <c r="I1738" s="2" t="n">
        <f aca="false">IF(AND(ISNUMBER(B1738),B1738&lt;=25),2,0)+IF(AND(ISNUMBER(E1738),E1738&lt;=5),2,0)+IF(AND(ISNUMBER(F1738),F1738&lt;=1),2,0)+IF(AND(ISNUMBER(G1738),G1738&lt;=2),1,0)+IF(AND(ISNUMBER(H1738),H1738&lt;=2),1,0)</f>
        <v>1</v>
      </c>
      <c r="J1738" s="2" t="str">
        <f aca="false">IF(I1738&gt;=6,"High",IF(I1738&gt;=3,"Medium","Low"))</f>
        <v>Low</v>
      </c>
    </row>
    <row r="1739" customFormat="false" ht="15" hidden="false" customHeight="true" outlineLevel="0" collapsed="false">
      <c r="A1739" s="2" t="n">
        <f aca="false">'Raw Data'!H1739</f>
        <v>1738</v>
      </c>
      <c r="B1739" s="2" t="n">
        <f aca="false">'Raw Data'!A1739</f>
        <v>24</v>
      </c>
      <c r="C1739" s="2" t="str">
        <f aca="false">'Raw Data'!D1739</f>
        <v>Research &amp; Development</v>
      </c>
      <c r="D1739" s="2" t="str">
        <f aca="false">'Raw Data'!K1739</f>
        <v>Healthcare Representative</v>
      </c>
      <c r="E1739" s="2" t="n">
        <f aca="false">'Raw Data'!Q1739</f>
        <v>4</v>
      </c>
      <c r="F1739" s="2" t="n">
        <f aca="false">'Raw Data'!U1739</f>
        <v>0</v>
      </c>
      <c r="G1739" s="2" t="n">
        <f aca="false">'Raw Data'!W1739</f>
        <v>3</v>
      </c>
      <c r="H1739" s="2" t="n">
        <f aca="false">'Raw Data'!V1739</f>
        <v>1</v>
      </c>
      <c r="I1739" s="2" t="n">
        <f aca="false">IF(AND(ISNUMBER(B1739),B1739&lt;=25),2,0)+IF(AND(ISNUMBER(E1739),E1739&lt;=5),2,0)+IF(AND(ISNUMBER(F1739),F1739&lt;=1),2,0)+IF(AND(ISNUMBER(G1739),G1739&lt;=2),1,0)+IF(AND(ISNUMBER(H1739),H1739&lt;=2),1,0)</f>
        <v>7</v>
      </c>
      <c r="J1739" s="2" t="str">
        <f aca="false">IF(I1739&gt;=6,"High",IF(I1739&gt;=3,"Medium","Low"))</f>
        <v>High</v>
      </c>
    </row>
    <row r="1740" customFormat="false" ht="15" hidden="false" customHeight="true" outlineLevel="0" collapsed="false">
      <c r="A1740" s="2" t="n">
        <f aca="false">'Raw Data'!H1740</f>
        <v>1739</v>
      </c>
      <c r="B1740" s="2" t="n">
        <f aca="false">'Raw Data'!A1740</f>
        <v>39</v>
      </c>
      <c r="C1740" s="2" t="str">
        <f aca="false">'Raw Data'!D1740</f>
        <v>Research &amp; Development</v>
      </c>
      <c r="D1740" s="2" t="str">
        <f aca="false">'Raw Data'!K1740</f>
        <v>Sales Representative</v>
      </c>
      <c r="E1740" s="2" t="n">
        <f aca="false">'Raw Data'!Q1740</f>
        <v>20</v>
      </c>
      <c r="F1740" s="2" t="n">
        <f aca="false">'Raw Data'!U1740</f>
        <v>10</v>
      </c>
      <c r="G1740" s="2" t="n">
        <f aca="false">'Raw Data'!W1740</f>
        <v>3</v>
      </c>
      <c r="H1740" s="2" t="n">
        <f aca="false">'Raw Data'!V1740</f>
        <v>4</v>
      </c>
      <c r="I1740" s="2" t="n">
        <f aca="false">IF(AND(ISNUMBER(B1740),B1740&lt;=25),2,0)+IF(AND(ISNUMBER(E1740),E1740&lt;=5),2,0)+IF(AND(ISNUMBER(F1740),F1740&lt;=1),2,0)+IF(AND(ISNUMBER(G1740),G1740&lt;=2),1,0)+IF(AND(ISNUMBER(H1740),H1740&lt;=2),1,0)</f>
        <v>0</v>
      </c>
      <c r="J1740" s="2" t="str">
        <f aca="false">IF(I1740&gt;=6,"High",IF(I1740&gt;=3,"Medium","Low"))</f>
        <v>Low</v>
      </c>
    </row>
    <row r="1741" customFormat="false" ht="15" hidden="false" customHeight="true" outlineLevel="0" collapsed="false">
      <c r="A1741" s="2" t="n">
        <f aca="false">'Raw Data'!H1741</f>
        <v>1740</v>
      </c>
      <c r="B1741" s="2" t="n">
        <f aca="false">'Raw Data'!A1741</f>
        <v>32</v>
      </c>
      <c r="C1741" s="2" t="str">
        <f aca="false">'Raw Data'!D1741</f>
        <v>Research &amp; Development</v>
      </c>
      <c r="D1741" s="2" t="str">
        <f aca="false">'Raw Data'!K1741</f>
        <v>Research Scientist</v>
      </c>
      <c r="E1741" s="2" t="n">
        <f aca="false">'Raw Data'!Q1741</f>
        <v>10</v>
      </c>
      <c r="F1741" s="2" t="n">
        <f aca="false">'Raw Data'!U1741</f>
        <v>8</v>
      </c>
      <c r="G1741" s="2" t="n">
        <f aca="false">'Raw Data'!W1741</f>
        <v>4</v>
      </c>
      <c r="H1741" s="2" t="n">
        <f aca="false">'Raw Data'!V1741</f>
        <v>4</v>
      </c>
      <c r="I1741" s="2" t="n">
        <f aca="false">IF(AND(ISNUMBER(B1741),B1741&lt;=25),2,0)+IF(AND(ISNUMBER(E1741),E1741&lt;=5),2,0)+IF(AND(ISNUMBER(F1741),F1741&lt;=1),2,0)+IF(AND(ISNUMBER(G1741),G1741&lt;=2),1,0)+IF(AND(ISNUMBER(H1741),H1741&lt;=2),1,0)</f>
        <v>0</v>
      </c>
      <c r="J1741" s="2" t="str">
        <f aca="false">IF(I1741&gt;=6,"High",IF(I1741&gt;=3,"Medium","Low"))</f>
        <v>Low</v>
      </c>
    </row>
    <row r="1742" customFormat="false" ht="15" hidden="false" customHeight="true" outlineLevel="0" collapsed="false">
      <c r="A1742" s="2" t="n">
        <f aca="false">'Raw Data'!H1742</f>
        <v>1741</v>
      </c>
      <c r="B1742" s="2" t="n">
        <f aca="false">'Raw Data'!A1742</f>
        <v>50</v>
      </c>
      <c r="C1742" s="2" t="str">
        <f aca="false">'Raw Data'!D1742</f>
        <v>Research &amp; Development</v>
      </c>
      <c r="D1742" s="2" t="str">
        <f aca="false">'Raw Data'!K1742</f>
        <v>Sales Representative</v>
      </c>
      <c r="E1742" s="2" t="n">
        <f aca="false">'Raw Data'!Q1742</f>
        <v>18</v>
      </c>
      <c r="F1742" s="2" t="n">
        <f aca="false">'Raw Data'!U1742</f>
        <v>3</v>
      </c>
      <c r="G1742" s="2" t="n">
        <f aca="false">'Raw Data'!W1742</f>
        <v>3</v>
      </c>
      <c r="H1742" s="2" t="n">
        <f aca="false">'Raw Data'!V1742</f>
        <v>2</v>
      </c>
      <c r="I1742" s="2" t="n">
        <f aca="false">IF(AND(ISNUMBER(B1742),B1742&lt;=25),2,0)+IF(AND(ISNUMBER(E1742),E1742&lt;=5),2,0)+IF(AND(ISNUMBER(F1742),F1742&lt;=1),2,0)+IF(AND(ISNUMBER(G1742),G1742&lt;=2),1,0)+IF(AND(ISNUMBER(H1742),H1742&lt;=2),1,0)</f>
        <v>1</v>
      </c>
      <c r="J1742" s="2" t="str">
        <f aca="false">IF(I1742&gt;=6,"High",IF(I1742&gt;=3,"Medium","Low"))</f>
        <v>Low</v>
      </c>
    </row>
    <row r="1743" customFormat="false" ht="15" hidden="false" customHeight="true" outlineLevel="0" collapsed="false">
      <c r="A1743" s="2" t="n">
        <f aca="false">'Raw Data'!H1743</f>
        <v>1742</v>
      </c>
      <c r="B1743" s="2" t="n">
        <f aca="false">'Raw Data'!A1743</f>
        <v>38</v>
      </c>
      <c r="C1743" s="2" t="str">
        <f aca="false">'Raw Data'!D1743</f>
        <v>Research &amp; Development</v>
      </c>
      <c r="D1743" s="2" t="str">
        <f aca="false">'Raw Data'!K1743</f>
        <v>Sales Executive</v>
      </c>
      <c r="E1743" s="2" t="n">
        <f aca="false">'Raw Data'!Q1743</f>
        <v>10</v>
      </c>
      <c r="F1743" s="2" t="n">
        <f aca="false">'Raw Data'!U1743</f>
        <v>8</v>
      </c>
      <c r="G1743" s="2" t="n">
        <f aca="false">'Raw Data'!W1743</f>
        <v>4</v>
      </c>
      <c r="H1743" s="2" t="n">
        <f aca="false">'Raw Data'!V1743</f>
        <v>2</v>
      </c>
      <c r="I1743" s="2" t="n">
        <f aca="false">IF(AND(ISNUMBER(B1743),B1743&lt;=25),2,0)+IF(AND(ISNUMBER(E1743),E1743&lt;=5),2,0)+IF(AND(ISNUMBER(F1743),F1743&lt;=1),2,0)+IF(AND(ISNUMBER(G1743),G1743&lt;=2),1,0)+IF(AND(ISNUMBER(H1743),H1743&lt;=2),1,0)</f>
        <v>1</v>
      </c>
      <c r="J1743" s="2" t="str">
        <f aca="false">IF(I1743&gt;=6,"High",IF(I1743&gt;=3,"Medium","Low"))</f>
        <v>Low</v>
      </c>
    </row>
    <row r="1744" customFormat="false" ht="15" hidden="false" customHeight="true" outlineLevel="0" collapsed="false">
      <c r="A1744" s="2" t="n">
        <f aca="false">'Raw Data'!H1744</f>
        <v>1743</v>
      </c>
      <c r="B1744" s="2" t="n">
        <f aca="false">'Raw Data'!A1744</f>
        <v>27</v>
      </c>
      <c r="C1744" s="2" t="str">
        <f aca="false">'Raw Data'!D1744</f>
        <v>Research &amp; Development</v>
      </c>
      <c r="D1744" s="2" t="str">
        <f aca="false">'Raw Data'!K1744</f>
        <v>Research Scientist</v>
      </c>
      <c r="E1744" s="2" t="n">
        <f aca="false">'Raw Data'!Q1744</f>
        <v>9</v>
      </c>
      <c r="F1744" s="2" t="n">
        <f aca="false">'Raw Data'!U1744</f>
        <v>7</v>
      </c>
      <c r="G1744" s="2" t="n">
        <f aca="false">'Raw Data'!W1744</f>
        <v>1</v>
      </c>
      <c r="H1744" s="2" t="n">
        <f aca="false">'Raw Data'!V1744</f>
        <v>3</v>
      </c>
      <c r="I1744" s="2" t="n">
        <f aca="false">IF(AND(ISNUMBER(B1744),B1744&lt;=25),2,0)+IF(AND(ISNUMBER(E1744),E1744&lt;=5),2,0)+IF(AND(ISNUMBER(F1744),F1744&lt;=1),2,0)+IF(AND(ISNUMBER(G1744),G1744&lt;=2),1,0)+IF(AND(ISNUMBER(H1744),H1744&lt;=2),1,0)</f>
        <v>1</v>
      </c>
      <c r="J1744" s="2" t="str">
        <f aca="false">IF(I1744&gt;=6,"High",IF(I1744&gt;=3,"Medium","Low"))</f>
        <v>Low</v>
      </c>
    </row>
    <row r="1745" customFormat="false" ht="15" hidden="false" customHeight="true" outlineLevel="0" collapsed="false">
      <c r="A1745" s="2" t="n">
        <f aca="false">'Raw Data'!H1745</f>
        <v>1744</v>
      </c>
      <c r="B1745" s="2" t="n">
        <f aca="false">'Raw Data'!A1745</f>
        <v>32</v>
      </c>
      <c r="C1745" s="2" t="str">
        <f aca="false">'Raw Data'!D1745</f>
        <v>Sales</v>
      </c>
      <c r="D1745" s="2" t="str">
        <f aca="false">'Raw Data'!K1745</f>
        <v>Sales Executive</v>
      </c>
      <c r="E1745" s="2" t="n">
        <f aca="false">'Raw Data'!Q1745</f>
        <v>10</v>
      </c>
      <c r="F1745" s="2" t="n">
        <f aca="false">'Raw Data'!U1745</f>
        <v>7</v>
      </c>
      <c r="G1745" s="2" t="n">
        <f aca="false">'Raw Data'!W1745</f>
        <v>4</v>
      </c>
      <c r="H1745" s="2" t="n">
        <f aca="false">'Raw Data'!V1745</f>
        <v>3</v>
      </c>
      <c r="I1745" s="2" t="n">
        <f aca="false">IF(AND(ISNUMBER(B1745),B1745&lt;=25),2,0)+IF(AND(ISNUMBER(E1745),E1745&lt;=5),2,0)+IF(AND(ISNUMBER(F1745),F1745&lt;=1),2,0)+IF(AND(ISNUMBER(G1745),G1745&lt;=2),1,0)+IF(AND(ISNUMBER(H1745),H1745&lt;=2),1,0)</f>
        <v>0</v>
      </c>
      <c r="J1745" s="2" t="str">
        <f aca="false">IF(I1745&gt;=6,"High",IF(I1745&gt;=3,"Medium","Low"))</f>
        <v>Low</v>
      </c>
    </row>
    <row r="1746" customFormat="false" ht="15" hidden="false" customHeight="true" outlineLevel="0" collapsed="false">
      <c r="A1746" s="2" t="n">
        <f aca="false">'Raw Data'!H1746</f>
        <v>1745</v>
      </c>
      <c r="B1746" s="2" t="n">
        <f aca="false">'Raw Data'!A1746</f>
        <v>47</v>
      </c>
      <c r="C1746" s="2" t="str">
        <f aca="false">'Raw Data'!D1746</f>
        <v>Research &amp; Development</v>
      </c>
      <c r="D1746" s="2" t="str">
        <f aca="false">'Raw Data'!K1746</f>
        <v>Sales Executive</v>
      </c>
      <c r="E1746" s="2" t="n">
        <f aca="false">'Raw Data'!Q1746</f>
        <v>20</v>
      </c>
      <c r="F1746" s="2" t="n">
        <f aca="false">'Raw Data'!U1746</f>
        <v>7</v>
      </c>
      <c r="G1746" s="2" t="n">
        <f aca="false">'Raw Data'!W1746</f>
        <v>1</v>
      </c>
      <c r="H1746" s="2" t="n">
        <f aca="false">'Raw Data'!V1746</f>
        <v>4</v>
      </c>
      <c r="I1746" s="2" t="n">
        <f aca="false">IF(AND(ISNUMBER(B1746),B1746&lt;=25),2,0)+IF(AND(ISNUMBER(E1746),E1746&lt;=5),2,0)+IF(AND(ISNUMBER(F1746),F1746&lt;=1),2,0)+IF(AND(ISNUMBER(G1746),G1746&lt;=2),1,0)+IF(AND(ISNUMBER(H1746),H1746&lt;=2),1,0)</f>
        <v>1</v>
      </c>
      <c r="J1746" s="2" t="str">
        <f aca="false">IF(I1746&gt;=6,"High",IF(I1746&gt;=3,"Medium","Low"))</f>
        <v>Low</v>
      </c>
    </row>
    <row r="1747" customFormat="false" ht="15" hidden="false" customHeight="true" outlineLevel="0" collapsed="false">
      <c r="A1747" s="2" t="n">
        <f aca="false">'Raw Data'!H1747</f>
        <v>1746</v>
      </c>
      <c r="B1747" s="2" t="n">
        <f aca="false">'Raw Data'!A1747</f>
        <v>40</v>
      </c>
      <c r="C1747" s="2" t="str">
        <f aca="false">'Raw Data'!D1747</f>
        <v>Research &amp; Development</v>
      </c>
      <c r="D1747" s="2" t="str">
        <f aca="false">'Raw Data'!K1747</f>
        <v>Human Resources</v>
      </c>
      <c r="E1747" s="2" t="n">
        <f aca="false">'Raw Data'!Q1747</f>
        <v>20</v>
      </c>
      <c r="F1747" s="2" t="n">
        <f aca="false">'Raw Data'!U1747</f>
        <v>12</v>
      </c>
      <c r="G1747" s="2" t="n">
        <f aca="false">'Raw Data'!W1747</f>
        <v>1</v>
      </c>
      <c r="H1747" s="2" t="n">
        <f aca="false">'Raw Data'!V1747</f>
        <v>4</v>
      </c>
      <c r="I1747" s="2" t="n">
        <f aca="false">IF(AND(ISNUMBER(B1747),B1747&lt;=25),2,0)+IF(AND(ISNUMBER(E1747),E1747&lt;=5),2,0)+IF(AND(ISNUMBER(F1747),F1747&lt;=1),2,0)+IF(AND(ISNUMBER(G1747),G1747&lt;=2),1,0)+IF(AND(ISNUMBER(H1747),H1747&lt;=2),1,0)</f>
        <v>1</v>
      </c>
      <c r="J1747" s="2" t="str">
        <f aca="false">IF(I1747&gt;=6,"High",IF(I1747&gt;=3,"Medium","Low"))</f>
        <v>Low</v>
      </c>
    </row>
    <row r="1748" customFormat="false" ht="15" hidden="false" customHeight="true" outlineLevel="0" collapsed="false">
      <c r="A1748" s="2" t="n">
        <f aca="false">'Raw Data'!H1748</f>
        <v>1747</v>
      </c>
      <c r="B1748" s="2" t="n">
        <f aca="false">'Raw Data'!A1748</f>
        <v>53</v>
      </c>
      <c r="C1748" s="2" t="str">
        <f aca="false">'Raw Data'!D1748</f>
        <v>Research &amp; Development</v>
      </c>
      <c r="D1748" s="2" t="str">
        <f aca="false">'Raw Data'!K1748</f>
        <v>Laboratory Technician</v>
      </c>
      <c r="E1748" s="2" t="n">
        <f aca="false">'Raw Data'!Q1748</f>
        <v>32</v>
      </c>
      <c r="F1748" s="2" t="n">
        <f aca="false">'Raw Data'!U1748</f>
        <v>3</v>
      </c>
      <c r="G1748" s="2" t="n">
        <f aca="false">'Raw Data'!W1748</f>
        <v>3</v>
      </c>
      <c r="H1748" s="2" t="n">
        <f aca="false">'Raw Data'!V1748</f>
        <v>3</v>
      </c>
      <c r="I1748" s="2" t="n">
        <f aca="false">IF(AND(ISNUMBER(B1748),B1748&lt;=25),2,0)+IF(AND(ISNUMBER(E1748),E1748&lt;=5),2,0)+IF(AND(ISNUMBER(F1748),F1748&lt;=1),2,0)+IF(AND(ISNUMBER(G1748),G1748&lt;=2),1,0)+IF(AND(ISNUMBER(H1748),H1748&lt;=2),1,0)</f>
        <v>0</v>
      </c>
      <c r="J1748" s="2" t="str">
        <f aca="false">IF(I1748&gt;=6,"High",IF(I1748&gt;=3,"Medium","Low"))</f>
        <v>Low</v>
      </c>
    </row>
    <row r="1749" customFormat="false" ht="15" hidden="false" customHeight="true" outlineLevel="0" collapsed="false">
      <c r="A1749" s="2" t="n">
        <f aca="false">'Raw Data'!H1749</f>
        <v>1748</v>
      </c>
      <c r="B1749" s="2" t="n">
        <f aca="false">'Raw Data'!A1749</f>
        <v>41</v>
      </c>
      <c r="C1749" s="2" t="str">
        <f aca="false">'Raw Data'!D1749</f>
        <v>Sales</v>
      </c>
      <c r="D1749" s="2" t="str">
        <f aca="false">'Raw Data'!K1749</f>
        <v>Sales Executive</v>
      </c>
      <c r="E1749" s="2" t="n">
        <f aca="false">'Raw Data'!Q1749</f>
        <v>23</v>
      </c>
      <c r="F1749" s="2" t="n">
        <f aca="false">'Raw Data'!U1749</f>
        <v>6</v>
      </c>
      <c r="G1749" s="2" t="n">
        <f aca="false">'Raw Data'!W1749</f>
        <v>4</v>
      </c>
      <c r="H1749" s="2" t="n">
        <f aca="false">'Raw Data'!V1749</f>
        <v>2</v>
      </c>
      <c r="I1749" s="2" t="n">
        <f aca="false">IF(AND(ISNUMBER(B1749),B1749&lt;=25),2,0)+IF(AND(ISNUMBER(E1749),E1749&lt;=5),2,0)+IF(AND(ISNUMBER(F1749),F1749&lt;=1),2,0)+IF(AND(ISNUMBER(G1749),G1749&lt;=2),1,0)+IF(AND(ISNUMBER(H1749),H1749&lt;=2),1,0)</f>
        <v>1</v>
      </c>
      <c r="J1749" s="2" t="str">
        <f aca="false">IF(I1749&gt;=6,"High",IF(I1749&gt;=3,"Medium","Low"))</f>
        <v>Low</v>
      </c>
    </row>
    <row r="1750" customFormat="false" ht="15" hidden="false" customHeight="true" outlineLevel="0" collapsed="false">
      <c r="A1750" s="2" t="n">
        <f aca="false">'Raw Data'!H1750</f>
        <v>1749</v>
      </c>
      <c r="B1750" s="2" t="n">
        <f aca="false">'Raw Data'!A1750</f>
        <v>60</v>
      </c>
      <c r="C1750" s="2" t="str">
        <f aca="false">'Raw Data'!D1750</f>
        <v>Research &amp; Development</v>
      </c>
      <c r="D1750" s="2" t="str">
        <f aca="false">'Raw Data'!K1750</f>
        <v>Laboratory Technician</v>
      </c>
      <c r="E1750" s="2" t="n">
        <f aca="false">'Raw Data'!Q1750</f>
        <v>10</v>
      </c>
      <c r="F1750" s="2" t="n">
        <f aca="false">'Raw Data'!U1750</f>
        <v>2</v>
      </c>
      <c r="G1750" s="2" t="n">
        <f aca="false">'Raw Data'!W1750</f>
        <v>1</v>
      </c>
      <c r="H1750" s="2" t="n">
        <f aca="false">'Raw Data'!V1750</f>
        <v>1</v>
      </c>
      <c r="I1750" s="2" t="n">
        <f aca="false">IF(AND(ISNUMBER(B1750),B1750&lt;=25),2,0)+IF(AND(ISNUMBER(E1750),E1750&lt;=5),2,0)+IF(AND(ISNUMBER(F1750),F1750&lt;=1),2,0)+IF(AND(ISNUMBER(G1750),G1750&lt;=2),1,0)+IF(AND(ISNUMBER(H1750),H1750&lt;=2),1,0)</f>
        <v>2</v>
      </c>
      <c r="J1750" s="2" t="str">
        <f aca="false">IF(I1750&gt;=6,"High",IF(I1750&gt;=3,"Medium","Low"))</f>
        <v>Low</v>
      </c>
    </row>
    <row r="1751" customFormat="false" ht="15" hidden="false" customHeight="true" outlineLevel="0" collapsed="false">
      <c r="A1751" s="2" t="n">
        <f aca="false">'Raw Data'!H1751</f>
        <v>1750</v>
      </c>
      <c r="B1751" s="2" t="n">
        <f aca="false">'Raw Data'!A1751</f>
        <v>27</v>
      </c>
      <c r="C1751" s="2" t="str">
        <f aca="false">'Raw Data'!D1751</f>
        <v>Research &amp; Development</v>
      </c>
      <c r="D1751" s="2" t="str">
        <f aca="false">'Raw Data'!K1751</f>
        <v>Manufacturing Director</v>
      </c>
      <c r="E1751" s="2" t="n">
        <f aca="false">'Raw Data'!Q1751</f>
        <v>9</v>
      </c>
      <c r="F1751" s="2" t="n">
        <f aca="false">'Raw Data'!U1751</f>
        <v>7</v>
      </c>
      <c r="G1751" s="2" t="n">
        <f aca="false">'Raw Data'!W1751</f>
        <v>1</v>
      </c>
      <c r="H1751" s="2" t="n">
        <f aca="false">'Raw Data'!V1751</f>
        <v>4</v>
      </c>
      <c r="I1751" s="2" t="n">
        <f aca="false">IF(AND(ISNUMBER(B1751),B1751&lt;=25),2,0)+IF(AND(ISNUMBER(E1751),E1751&lt;=5),2,0)+IF(AND(ISNUMBER(F1751),F1751&lt;=1),2,0)+IF(AND(ISNUMBER(G1751),G1751&lt;=2),1,0)+IF(AND(ISNUMBER(H1751),H1751&lt;=2),1,0)</f>
        <v>1</v>
      </c>
      <c r="J1751" s="2" t="str">
        <f aca="false">IF(I1751&gt;=6,"High",IF(I1751&gt;=3,"Medium","Low"))</f>
        <v>Low</v>
      </c>
    </row>
    <row r="1752" customFormat="false" ht="15" hidden="false" customHeight="true" outlineLevel="0" collapsed="false">
      <c r="A1752" s="2" t="n">
        <f aca="false">'Raw Data'!H1752</f>
        <v>1751</v>
      </c>
      <c r="B1752" s="2" t="n">
        <f aca="false">'Raw Data'!A1752</f>
        <v>41</v>
      </c>
      <c r="C1752" s="2" t="str">
        <f aca="false">'Raw Data'!D1752</f>
        <v>Research &amp; Development</v>
      </c>
      <c r="D1752" s="2" t="str">
        <f aca="false">'Raw Data'!K1752</f>
        <v>Manufacturing Director</v>
      </c>
      <c r="E1752" s="2" t="n">
        <f aca="false">'Raw Data'!Q1752</f>
        <v>22</v>
      </c>
      <c r="F1752" s="2" t="n">
        <f aca="false">'Raw Data'!U1752</f>
        <v>10</v>
      </c>
      <c r="G1752" s="2" t="n">
        <f aca="false">'Raw Data'!W1752</f>
        <v>3</v>
      </c>
      <c r="H1752" s="2" t="n">
        <f aca="false">'Raw Data'!V1752</f>
        <v>4</v>
      </c>
      <c r="I1752" s="2" t="n">
        <f aca="false">IF(AND(ISNUMBER(B1752),B1752&lt;=25),2,0)+IF(AND(ISNUMBER(E1752),E1752&lt;=5),2,0)+IF(AND(ISNUMBER(F1752),F1752&lt;=1),2,0)+IF(AND(ISNUMBER(G1752),G1752&lt;=2),1,0)+IF(AND(ISNUMBER(H1752),H1752&lt;=2),1,0)</f>
        <v>0</v>
      </c>
      <c r="J1752" s="2" t="str">
        <f aca="false">IF(I1752&gt;=6,"High",IF(I1752&gt;=3,"Medium","Low"))</f>
        <v>Low</v>
      </c>
    </row>
    <row r="1753" customFormat="false" ht="15" hidden="false" customHeight="true" outlineLevel="0" collapsed="false">
      <c r="A1753" s="2" t="n">
        <f aca="false">'Raw Data'!H1753</f>
        <v>1752</v>
      </c>
      <c r="B1753" s="2" t="n">
        <f aca="false">'Raw Data'!A1753</f>
        <v>50</v>
      </c>
      <c r="C1753" s="2" t="str">
        <f aca="false">'Raw Data'!D1753</f>
        <v>Sales</v>
      </c>
      <c r="D1753" s="2" t="str">
        <f aca="false">'Raw Data'!K1753</f>
        <v>Research Scientist</v>
      </c>
      <c r="E1753" s="2" t="n">
        <f aca="false">'Raw Data'!Q1753</f>
        <v>4</v>
      </c>
      <c r="F1753" s="2" t="n">
        <f aca="false">'Raw Data'!U1753</f>
        <v>2</v>
      </c>
      <c r="G1753" s="2" t="n">
        <f aca="false">'Raw Data'!W1753</f>
        <v>2</v>
      </c>
      <c r="H1753" s="2" t="n">
        <f aca="false">'Raw Data'!V1753</f>
        <v>4</v>
      </c>
      <c r="I1753" s="2" t="n">
        <f aca="false">IF(AND(ISNUMBER(B1753),B1753&lt;=25),2,0)+IF(AND(ISNUMBER(E1753),E1753&lt;=5),2,0)+IF(AND(ISNUMBER(F1753),F1753&lt;=1),2,0)+IF(AND(ISNUMBER(G1753),G1753&lt;=2),1,0)+IF(AND(ISNUMBER(H1753),H1753&lt;=2),1,0)</f>
        <v>3</v>
      </c>
      <c r="J1753" s="2" t="str">
        <f aca="false">IF(I1753&gt;=6,"High",IF(I1753&gt;=3,"Medium","Low"))</f>
        <v>Medium</v>
      </c>
    </row>
    <row r="1754" customFormat="false" ht="15" hidden="false" customHeight="true" outlineLevel="0" collapsed="false">
      <c r="A1754" s="2" t="n">
        <f aca="false">'Raw Data'!H1754</f>
        <v>1753</v>
      </c>
      <c r="B1754" s="2" t="n">
        <f aca="false">'Raw Data'!A1754</f>
        <v>28</v>
      </c>
      <c r="C1754" s="2" t="str">
        <f aca="false">'Raw Data'!D1754</f>
        <v>Sales</v>
      </c>
      <c r="D1754" s="2" t="str">
        <f aca="false">'Raw Data'!K1754</f>
        <v>Research Scientist</v>
      </c>
      <c r="E1754" s="2" t="n">
        <f aca="false">'Raw Data'!Q1754</f>
        <v>10</v>
      </c>
      <c r="F1754" s="2" t="n">
        <f aca="false">'Raw Data'!U1754</f>
        <v>7</v>
      </c>
      <c r="G1754" s="2" t="n">
        <f aca="false">'Raw Data'!W1754</f>
        <v>2</v>
      </c>
      <c r="H1754" s="2" t="n">
        <f aca="false">'Raw Data'!V1754</f>
        <v>1</v>
      </c>
      <c r="I1754" s="2" t="n">
        <f aca="false">IF(AND(ISNUMBER(B1754),B1754&lt;=25),2,0)+IF(AND(ISNUMBER(E1754),E1754&lt;=5),2,0)+IF(AND(ISNUMBER(F1754),F1754&lt;=1),2,0)+IF(AND(ISNUMBER(G1754),G1754&lt;=2),1,0)+IF(AND(ISNUMBER(H1754),H1754&lt;=2),1,0)</f>
        <v>2</v>
      </c>
      <c r="J1754" s="2" t="str">
        <f aca="false">IF(I1754&gt;=6,"High",IF(I1754&gt;=3,"Medium","Low"))</f>
        <v>Low</v>
      </c>
    </row>
    <row r="1755" customFormat="false" ht="15" hidden="false" customHeight="true" outlineLevel="0" collapsed="false">
      <c r="A1755" s="2" t="n">
        <f aca="false">'Raw Data'!H1755</f>
        <v>1754</v>
      </c>
      <c r="B1755" s="2" t="n">
        <f aca="false">'Raw Data'!A1755</f>
        <v>36</v>
      </c>
      <c r="C1755" s="2" t="str">
        <f aca="false">'Raw Data'!D1755</f>
        <v>Research &amp; Development</v>
      </c>
      <c r="D1755" s="2" t="str">
        <f aca="false">'Raw Data'!K1755</f>
        <v>Research Scientist</v>
      </c>
      <c r="E1755" s="2" t="n">
        <f aca="false">'Raw Data'!Q1755</f>
        <v>10</v>
      </c>
      <c r="F1755" s="2" t="n">
        <f aca="false">'Raw Data'!U1755</f>
        <v>5</v>
      </c>
      <c r="G1755" s="2" t="n">
        <f aca="false">'Raw Data'!W1755</f>
        <v>1</v>
      </c>
      <c r="H1755" s="2" t="n">
        <f aca="false">'Raw Data'!V1755</f>
        <v>1</v>
      </c>
      <c r="I1755" s="2" t="n">
        <f aca="false">IF(AND(ISNUMBER(B1755),B1755&lt;=25),2,0)+IF(AND(ISNUMBER(E1755),E1755&lt;=5),2,0)+IF(AND(ISNUMBER(F1755),F1755&lt;=1),2,0)+IF(AND(ISNUMBER(G1755),G1755&lt;=2),1,0)+IF(AND(ISNUMBER(H1755),H1755&lt;=2),1,0)</f>
        <v>2</v>
      </c>
      <c r="J1755" s="2" t="str">
        <f aca="false">IF(I1755&gt;=6,"High",IF(I1755&gt;=3,"Medium","Low"))</f>
        <v>Low</v>
      </c>
    </row>
    <row r="1756" customFormat="false" ht="15" hidden="false" customHeight="true" outlineLevel="0" collapsed="false">
      <c r="A1756" s="2" t="n">
        <f aca="false">'Raw Data'!H1756</f>
        <v>1755</v>
      </c>
      <c r="B1756" s="2" t="n">
        <f aca="false">'Raw Data'!A1756</f>
        <v>38</v>
      </c>
      <c r="C1756" s="2" t="str">
        <f aca="false">'Raw Data'!D1756</f>
        <v>Research &amp; Development</v>
      </c>
      <c r="D1756" s="2" t="str">
        <f aca="false">'Raw Data'!K1756</f>
        <v>Manager</v>
      </c>
      <c r="E1756" s="2" t="n">
        <f aca="false">'Raw Data'!Q1756</f>
        <v>10</v>
      </c>
      <c r="F1756" s="2" t="n">
        <f aca="false">'Raw Data'!U1756</f>
        <v>0</v>
      </c>
      <c r="G1756" s="2" t="n">
        <f aca="false">'Raw Data'!W1756</f>
        <v>3</v>
      </c>
      <c r="H1756" s="2" t="n">
        <f aca="false">'Raw Data'!V1756</f>
        <v>3</v>
      </c>
      <c r="I1756" s="2" t="n">
        <f aca="false">IF(AND(ISNUMBER(B1756),B1756&lt;=25),2,0)+IF(AND(ISNUMBER(E1756),E1756&lt;=5),2,0)+IF(AND(ISNUMBER(F1756),F1756&lt;=1),2,0)+IF(AND(ISNUMBER(G1756),G1756&lt;=2),1,0)+IF(AND(ISNUMBER(H1756),H1756&lt;=2),1,0)</f>
        <v>2</v>
      </c>
      <c r="J1756" s="2" t="str">
        <f aca="false">IF(I1756&gt;=6,"High",IF(I1756&gt;=3,"Medium","Low"))</f>
        <v>Low</v>
      </c>
    </row>
    <row r="1757" customFormat="false" ht="15" hidden="false" customHeight="true" outlineLevel="0" collapsed="false">
      <c r="A1757" s="2" t="n">
        <f aca="false">'Raw Data'!H1757</f>
        <v>1756</v>
      </c>
      <c r="B1757" s="2" t="n">
        <f aca="false">'Raw Data'!A1757</f>
        <v>44</v>
      </c>
      <c r="C1757" s="2" t="str">
        <f aca="false">'Raw Data'!D1757</f>
        <v>Research &amp; Development</v>
      </c>
      <c r="D1757" s="2" t="str">
        <f aca="false">'Raw Data'!K1757</f>
        <v>Research Scientist</v>
      </c>
      <c r="E1757" s="2" t="n">
        <f aca="false">'Raw Data'!Q1757</f>
        <v>9</v>
      </c>
      <c r="F1757" s="2" t="n">
        <f aca="false">'Raw Data'!U1757</f>
        <v>4</v>
      </c>
      <c r="G1757" s="2" t="n">
        <f aca="false">'Raw Data'!W1757</f>
        <v>3</v>
      </c>
      <c r="H1757" s="2" t="n">
        <f aca="false">'Raw Data'!V1757</f>
        <v>1</v>
      </c>
      <c r="I1757" s="2" t="n">
        <f aca="false">IF(AND(ISNUMBER(B1757),B1757&lt;=25),2,0)+IF(AND(ISNUMBER(E1757),E1757&lt;=5),2,0)+IF(AND(ISNUMBER(F1757),F1757&lt;=1),2,0)+IF(AND(ISNUMBER(G1757),G1757&lt;=2),1,0)+IF(AND(ISNUMBER(H1757),H1757&lt;=2),1,0)</f>
        <v>1</v>
      </c>
      <c r="J1757" s="2" t="str">
        <f aca="false">IF(I1757&gt;=6,"High",IF(I1757&gt;=3,"Medium","Low"))</f>
        <v>Low</v>
      </c>
    </row>
    <row r="1758" customFormat="false" ht="15" hidden="false" customHeight="true" outlineLevel="0" collapsed="false">
      <c r="A1758" s="2" t="n">
        <f aca="false">'Raw Data'!H1758</f>
        <v>1757</v>
      </c>
      <c r="B1758" s="2" t="n">
        <f aca="false">'Raw Data'!A1758</f>
        <v>47</v>
      </c>
      <c r="C1758" s="2" t="str">
        <f aca="false">'Raw Data'!D1758</f>
        <v>Research &amp; Development</v>
      </c>
      <c r="D1758" s="2" t="str">
        <f aca="false">'Raw Data'!K1758</f>
        <v>Research Scientist</v>
      </c>
      <c r="E1758" s="2" t="n">
        <f aca="false">'Raw Data'!Q1758</f>
        <v>28</v>
      </c>
      <c r="F1758" s="2" t="n">
        <f aca="false">'Raw Data'!U1758</f>
        <v>13</v>
      </c>
      <c r="G1758" s="2" t="n">
        <f aca="false">'Raw Data'!W1758</f>
        <v>3</v>
      </c>
      <c r="H1758" s="2" t="n">
        <f aca="false">'Raw Data'!V1758</f>
        <v>4</v>
      </c>
      <c r="I1758" s="2" t="n">
        <f aca="false">IF(AND(ISNUMBER(B1758),B1758&lt;=25),2,0)+IF(AND(ISNUMBER(E1758),E1758&lt;=5),2,0)+IF(AND(ISNUMBER(F1758),F1758&lt;=1),2,0)+IF(AND(ISNUMBER(G1758),G1758&lt;=2),1,0)+IF(AND(ISNUMBER(H1758),H1758&lt;=2),1,0)</f>
        <v>0</v>
      </c>
      <c r="J1758" s="2" t="str">
        <f aca="false">IF(I1758&gt;=6,"High",IF(I1758&gt;=3,"Medium","Low"))</f>
        <v>Low</v>
      </c>
    </row>
    <row r="1759" customFormat="false" ht="15" hidden="false" customHeight="true" outlineLevel="0" collapsed="false">
      <c r="A1759" s="2" t="n">
        <f aca="false">'Raw Data'!H1759</f>
        <v>1758</v>
      </c>
      <c r="B1759" s="2" t="n">
        <f aca="false">'Raw Data'!A1759</f>
        <v>30</v>
      </c>
      <c r="C1759" s="2" t="str">
        <f aca="false">'Raw Data'!D1759</f>
        <v>Research &amp; Development</v>
      </c>
      <c r="D1759" s="2" t="str">
        <f aca="false">'Raw Data'!K1759</f>
        <v>Sales Executive</v>
      </c>
      <c r="E1759" s="2" t="n">
        <f aca="false">'Raw Data'!Q1759</f>
        <v>10</v>
      </c>
      <c r="F1759" s="2" t="n">
        <f aca="false">'Raw Data'!U1759</f>
        <v>7</v>
      </c>
      <c r="G1759" s="2" t="n">
        <f aca="false">'Raw Data'!W1759</f>
        <v>4</v>
      </c>
      <c r="H1759" s="2" t="n">
        <f aca="false">'Raw Data'!V1759</f>
        <v>3</v>
      </c>
      <c r="I1759" s="2" t="n">
        <f aca="false">IF(AND(ISNUMBER(B1759),B1759&lt;=25),2,0)+IF(AND(ISNUMBER(E1759),E1759&lt;=5),2,0)+IF(AND(ISNUMBER(F1759),F1759&lt;=1),2,0)+IF(AND(ISNUMBER(G1759),G1759&lt;=2),1,0)+IF(AND(ISNUMBER(H1759),H1759&lt;=2),1,0)</f>
        <v>0</v>
      </c>
      <c r="J1759" s="2" t="str">
        <f aca="false">IF(I1759&gt;=6,"High",IF(I1759&gt;=3,"Medium","Low"))</f>
        <v>Low</v>
      </c>
    </row>
    <row r="1760" customFormat="false" ht="15" hidden="false" customHeight="true" outlineLevel="0" collapsed="false">
      <c r="A1760" s="2" t="n">
        <f aca="false">'Raw Data'!H1760</f>
        <v>1759</v>
      </c>
      <c r="B1760" s="2" t="n">
        <f aca="false">'Raw Data'!A1760</f>
        <v>29</v>
      </c>
      <c r="C1760" s="2" t="str">
        <f aca="false">'Raw Data'!D1760</f>
        <v>Research &amp; Development</v>
      </c>
      <c r="D1760" s="2" t="str">
        <f aca="false">'Raw Data'!K1760</f>
        <v>Sales Executive</v>
      </c>
      <c r="E1760" s="2" t="n">
        <f aca="false">'Raw Data'!Q1760</f>
        <v>1</v>
      </c>
      <c r="F1760" s="2" t="n">
        <f aca="false">'Raw Data'!U1760</f>
        <v>0</v>
      </c>
      <c r="G1760" s="2" t="n">
        <f aca="false">'Raw Data'!W1760</f>
        <v>3</v>
      </c>
      <c r="H1760" s="2" t="n">
        <f aca="false">'Raw Data'!V1760</f>
        <v>3</v>
      </c>
      <c r="I1760" s="2" t="n">
        <f aca="false">IF(AND(ISNUMBER(B1760),B1760&lt;=25),2,0)+IF(AND(ISNUMBER(E1760),E1760&lt;=5),2,0)+IF(AND(ISNUMBER(F1760),F1760&lt;=1),2,0)+IF(AND(ISNUMBER(G1760),G1760&lt;=2),1,0)+IF(AND(ISNUMBER(H1760),H1760&lt;=2),1,0)</f>
        <v>4</v>
      </c>
      <c r="J1760" s="2" t="str">
        <f aca="false">IF(I1760&gt;=6,"High",IF(I1760&gt;=3,"Medium","Low"))</f>
        <v>Medium</v>
      </c>
    </row>
    <row r="1761" customFormat="false" ht="15" hidden="false" customHeight="true" outlineLevel="0" collapsed="false">
      <c r="A1761" s="2" t="n">
        <f aca="false">'Raw Data'!H1761</f>
        <v>1760</v>
      </c>
      <c r="B1761" s="2" t="n">
        <f aca="false">'Raw Data'!A1761</f>
        <v>42</v>
      </c>
      <c r="C1761" s="2" t="str">
        <f aca="false">'Raw Data'!D1761</f>
        <v>Research &amp; Development</v>
      </c>
      <c r="D1761" s="2" t="str">
        <f aca="false">'Raw Data'!K1761</f>
        <v>Sales Executive</v>
      </c>
      <c r="E1761" s="2" t="n">
        <f aca="false">'Raw Data'!Q1761</f>
        <v>7</v>
      </c>
      <c r="F1761" s="2" t="n">
        <f aca="false">'Raw Data'!U1761</f>
        <v>2</v>
      </c>
      <c r="G1761" s="2" t="n">
        <f aca="false">'Raw Data'!W1761</f>
        <v>3</v>
      </c>
      <c r="H1761" s="2" t="n">
        <f aca="false">'Raw Data'!V1761</f>
        <v>3</v>
      </c>
      <c r="I1761" s="2" t="n">
        <f aca="false">IF(AND(ISNUMBER(B1761),B1761&lt;=25),2,0)+IF(AND(ISNUMBER(E1761),E1761&lt;=5),2,0)+IF(AND(ISNUMBER(F1761),F1761&lt;=1),2,0)+IF(AND(ISNUMBER(G1761),G1761&lt;=2),1,0)+IF(AND(ISNUMBER(H1761),H1761&lt;=2),1,0)</f>
        <v>0</v>
      </c>
      <c r="J1761" s="2" t="str">
        <f aca="false">IF(I1761&gt;=6,"High",IF(I1761&gt;=3,"Medium","Low"))</f>
        <v>Low</v>
      </c>
    </row>
    <row r="1762" customFormat="false" ht="15" hidden="false" customHeight="true" outlineLevel="0" collapsed="false">
      <c r="A1762" s="2" t="n">
        <f aca="false">'Raw Data'!H1762</f>
        <v>1761</v>
      </c>
      <c r="B1762" s="2" t="n">
        <f aca="false">'Raw Data'!A1762</f>
        <v>43</v>
      </c>
      <c r="C1762" s="2" t="str">
        <f aca="false">'Raw Data'!D1762</f>
        <v>Research &amp; Development</v>
      </c>
      <c r="D1762" s="2" t="str">
        <f aca="false">'Raw Data'!K1762</f>
        <v>Laboratory Technician</v>
      </c>
      <c r="E1762" s="2" t="n">
        <f aca="false">'Raw Data'!Q1762</f>
        <v>7</v>
      </c>
      <c r="F1762" s="2" t="n">
        <f aca="false">'Raw Data'!U1762</f>
        <v>2</v>
      </c>
      <c r="G1762" s="2" t="n">
        <f aca="false">'Raw Data'!W1762</f>
        <v>4</v>
      </c>
      <c r="H1762" s="2" t="n">
        <f aca="false">'Raw Data'!V1762</f>
        <v>4</v>
      </c>
      <c r="I1762" s="2" t="n">
        <f aca="false">IF(AND(ISNUMBER(B1762),B1762&lt;=25),2,0)+IF(AND(ISNUMBER(E1762),E1762&lt;=5),2,0)+IF(AND(ISNUMBER(F1762),F1762&lt;=1),2,0)+IF(AND(ISNUMBER(G1762),G1762&lt;=2),1,0)+IF(AND(ISNUMBER(H1762),H1762&lt;=2),1,0)</f>
        <v>0</v>
      </c>
      <c r="J1762" s="2" t="str">
        <f aca="false">IF(I1762&gt;=6,"High",IF(I1762&gt;=3,"Medium","Low"))</f>
        <v>Low</v>
      </c>
    </row>
    <row r="1763" customFormat="false" ht="15" hidden="false" customHeight="true" outlineLevel="0" collapsed="false">
      <c r="A1763" s="2" t="n">
        <f aca="false">'Raw Data'!H1763</f>
        <v>1762</v>
      </c>
      <c r="B1763" s="2" t="n">
        <f aca="false">'Raw Data'!A1763</f>
        <v>34</v>
      </c>
      <c r="C1763" s="2" t="str">
        <f aca="false">'Raw Data'!D1763</f>
        <v>Research &amp; Development</v>
      </c>
      <c r="D1763" s="2" t="str">
        <f aca="false">'Raw Data'!K1763</f>
        <v>Healthcare Representative</v>
      </c>
      <c r="E1763" s="2" t="n">
        <f aca="false">'Raw Data'!Q1763</f>
        <v>10</v>
      </c>
      <c r="F1763" s="2" t="n">
        <f aca="false">'Raw Data'!U1763</f>
        <v>3</v>
      </c>
      <c r="G1763" s="2" t="n">
        <f aca="false">'Raw Data'!W1763</f>
        <v>3</v>
      </c>
      <c r="H1763" s="2" t="n">
        <f aca="false">'Raw Data'!V1763</f>
        <v>2</v>
      </c>
      <c r="I1763" s="2" t="n">
        <f aca="false">IF(AND(ISNUMBER(B1763),B1763&lt;=25),2,0)+IF(AND(ISNUMBER(E1763),E1763&lt;=5),2,0)+IF(AND(ISNUMBER(F1763),F1763&lt;=1),2,0)+IF(AND(ISNUMBER(G1763),G1763&lt;=2),1,0)+IF(AND(ISNUMBER(H1763),H1763&lt;=2),1,0)</f>
        <v>1</v>
      </c>
      <c r="J1763" s="2" t="str">
        <f aca="false">IF(I1763&gt;=6,"High",IF(I1763&gt;=3,"Medium","Low"))</f>
        <v>Low</v>
      </c>
    </row>
    <row r="1764" customFormat="false" ht="15" hidden="false" customHeight="true" outlineLevel="0" collapsed="false">
      <c r="A1764" s="2" t="n">
        <f aca="false">'Raw Data'!H1764</f>
        <v>1763</v>
      </c>
      <c r="B1764" s="2" t="n">
        <f aca="false">'Raw Data'!A1764</f>
        <v>23</v>
      </c>
      <c r="C1764" s="2" t="str">
        <f aca="false">'Raw Data'!D1764</f>
        <v>Sales</v>
      </c>
      <c r="D1764" s="2" t="str">
        <f aca="false">'Raw Data'!K1764</f>
        <v>Sales Executive</v>
      </c>
      <c r="E1764" s="2" t="n">
        <f aca="false">'Raw Data'!Q1764</f>
        <v>5</v>
      </c>
      <c r="F1764" s="2" t="n">
        <f aca="false">'Raw Data'!U1764</f>
        <v>2</v>
      </c>
      <c r="G1764" s="2" t="n">
        <f aca="false">'Raw Data'!W1764</f>
        <v>1</v>
      </c>
      <c r="H1764" s="2" t="n">
        <f aca="false">'Raw Data'!V1764</f>
        <v>2</v>
      </c>
      <c r="I1764" s="2" t="n">
        <f aca="false">IF(AND(ISNUMBER(B1764),B1764&lt;=25),2,0)+IF(AND(ISNUMBER(E1764),E1764&lt;=5),2,0)+IF(AND(ISNUMBER(F1764),F1764&lt;=1),2,0)+IF(AND(ISNUMBER(G1764),G1764&lt;=2),1,0)+IF(AND(ISNUMBER(H1764),H1764&lt;=2),1,0)</f>
        <v>6</v>
      </c>
      <c r="J1764" s="2" t="str">
        <f aca="false">IF(I1764&gt;=6,"High",IF(I1764&gt;=3,"Medium","Low"))</f>
        <v>High</v>
      </c>
    </row>
    <row r="1765" customFormat="false" ht="15" hidden="false" customHeight="true" outlineLevel="0" collapsed="false">
      <c r="A1765" s="2" t="n">
        <f aca="false">'Raw Data'!H1765</f>
        <v>1764</v>
      </c>
      <c r="B1765" s="2" t="n">
        <f aca="false">'Raw Data'!A1765</f>
        <v>39</v>
      </c>
      <c r="C1765" s="2" t="str">
        <f aca="false">'Raw Data'!D1765</f>
        <v>Sales</v>
      </c>
      <c r="D1765" s="2" t="str">
        <f aca="false">'Raw Data'!K1765</f>
        <v>Healthcare Representative</v>
      </c>
      <c r="E1765" s="2" t="n">
        <f aca="false">'Raw Data'!Q1765</f>
        <v>12</v>
      </c>
      <c r="F1765" s="2" t="n">
        <f aca="false">'Raw Data'!U1765</f>
        <v>6</v>
      </c>
      <c r="G1765" s="2" t="n">
        <f aca="false">'Raw Data'!W1765</f>
        <v>2</v>
      </c>
      <c r="H1765" s="2" t="n">
        <f aca="false">'Raw Data'!V1765</f>
        <v>3</v>
      </c>
      <c r="I1765" s="2" t="n">
        <f aca="false">IF(AND(ISNUMBER(B1765),B1765&lt;=25),2,0)+IF(AND(ISNUMBER(E1765),E1765&lt;=5),2,0)+IF(AND(ISNUMBER(F1765),F1765&lt;=1),2,0)+IF(AND(ISNUMBER(G1765),G1765&lt;=2),1,0)+IF(AND(ISNUMBER(H1765),H1765&lt;=2),1,0)</f>
        <v>1</v>
      </c>
      <c r="J1765" s="2" t="str">
        <f aca="false">IF(I1765&gt;=6,"High",IF(I1765&gt;=3,"Medium","Low"))</f>
        <v>Low</v>
      </c>
    </row>
    <row r="1766" customFormat="false" ht="15" hidden="false" customHeight="true" outlineLevel="0" collapsed="false">
      <c r="A1766" s="2" t="n">
        <f aca="false">'Raw Data'!H1766</f>
        <v>1765</v>
      </c>
      <c r="B1766" s="2" t="n">
        <f aca="false">'Raw Data'!A1766</f>
        <v>56</v>
      </c>
      <c r="C1766" s="2" t="str">
        <f aca="false">'Raw Data'!D1766</f>
        <v>Research &amp; Development</v>
      </c>
      <c r="D1766" s="2" t="str">
        <f aca="false">'Raw Data'!K1766</f>
        <v>Manager</v>
      </c>
      <c r="E1766" s="2" t="n">
        <f aca="false">'Raw Data'!Q1766</f>
        <v>30</v>
      </c>
      <c r="F1766" s="2" t="n">
        <f aca="false">'Raw Data'!U1766</f>
        <v>1</v>
      </c>
      <c r="G1766" s="2" t="n">
        <f aca="false">'Raw Data'!W1766</f>
        <v>4</v>
      </c>
      <c r="H1766" s="2" t="n">
        <f aca="false">'Raw Data'!V1766</f>
        <v>3</v>
      </c>
      <c r="I1766" s="2" t="n">
        <f aca="false">IF(AND(ISNUMBER(B1766),B1766&lt;=25),2,0)+IF(AND(ISNUMBER(E1766),E1766&lt;=5),2,0)+IF(AND(ISNUMBER(F1766),F1766&lt;=1),2,0)+IF(AND(ISNUMBER(G1766),G1766&lt;=2),1,0)+IF(AND(ISNUMBER(H1766),H1766&lt;=2),1,0)</f>
        <v>2</v>
      </c>
      <c r="J1766" s="2" t="str">
        <f aca="false">IF(I1766&gt;=6,"High",IF(I1766&gt;=3,"Medium","Low"))</f>
        <v>Low</v>
      </c>
    </row>
    <row r="1767" customFormat="false" ht="15" hidden="false" customHeight="true" outlineLevel="0" collapsed="false">
      <c r="A1767" s="2" t="n">
        <f aca="false">'Raw Data'!H1767</f>
        <v>1766</v>
      </c>
      <c r="B1767" s="2" t="n">
        <f aca="false">'Raw Data'!A1767</f>
        <v>40</v>
      </c>
      <c r="C1767" s="2" t="str">
        <f aca="false">'Raw Data'!D1767</f>
        <v>Sales</v>
      </c>
      <c r="D1767" s="2" t="str">
        <f aca="false">'Raw Data'!K1767</f>
        <v>Research Scientist</v>
      </c>
      <c r="E1767" s="2" t="n">
        <f aca="false">'Raw Data'!Q1767</f>
        <v>5</v>
      </c>
      <c r="F1767" s="2" t="n">
        <f aca="false">'Raw Data'!U1767</f>
        <v>3</v>
      </c>
      <c r="G1767" s="2" t="n">
        <f aca="false">'Raw Data'!W1767</f>
        <v>4</v>
      </c>
      <c r="H1767" s="2" t="n">
        <f aca="false">'Raw Data'!V1767</f>
        <v>4</v>
      </c>
      <c r="I1767" s="2" t="n">
        <f aca="false">IF(AND(ISNUMBER(B1767),B1767&lt;=25),2,0)+IF(AND(ISNUMBER(E1767),E1767&lt;=5),2,0)+IF(AND(ISNUMBER(F1767),F1767&lt;=1),2,0)+IF(AND(ISNUMBER(G1767),G1767&lt;=2),1,0)+IF(AND(ISNUMBER(H1767),H1767&lt;=2),1,0)</f>
        <v>2</v>
      </c>
      <c r="J1767" s="2" t="str">
        <f aca="false">IF(I1767&gt;=6,"High",IF(I1767&gt;=3,"Medium","Low"))</f>
        <v>Low</v>
      </c>
    </row>
    <row r="1768" customFormat="false" ht="15" hidden="false" customHeight="true" outlineLevel="0" collapsed="false">
      <c r="A1768" s="2" t="n">
        <f aca="false">'Raw Data'!H1768</f>
        <v>1767</v>
      </c>
      <c r="B1768" s="2" t="n">
        <f aca="false">'Raw Data'!A1768</f>
        <v>27</v>
      </c>
      <c r="C1768" s="2" t="str">
        <f aca="false">'Raw Data'!D1768</f>
        <v>Research &amp; Development</v>
      </c>
      <c r="D1768" s="2" t="str">
        <f aca="false">'Raw Data'!K1768</f>
        <v>Laboratory Technician</v>
      </c>
      <c r="E1768" s="2" t="n">
        <f aca="false">'Raw Data'!Q1768</f>
        <v>9</v>
      </c>
      <c r="F1768" s="2" t="n">
        <f aca="false">'Raw Data'!U1768</f>
        <v>7</v>
      </c>
      <c r="G1768" s="2" t="n">
        <f aca="false">'Raw Data'!W1768</f>
        <v>1</v>
      </c>
      <c r="H1768" s="2" t="n">
        <f aca="false">'Raw Data'!V1768</f>
        <v>4</v>
      </c>
      <c r="I1768" s="2" t="n">
        <f aca="false">IF(AND(ISNUMBER(B1768),B1768&lt;=25),2,0)+IF(AND(ISNUMBER(E1768),E1768&lt;=5),2,0)+IF(AND(ISNUMBER(F1768),F1768&lt;=1),2,0)+IF(AND(ISNUMBER(G1768),G1768&lt;=2),1,0)+IF(AND(ISNUMBER(H1768),H1768&lt;=2),1,0)</f>
        <v>1</v>
      </c>
      <c r="J1768" s="2" t="str">
        <f aca="false">IF(I1768&gt;=6,"High",IF(I1768&gt;=3,"Medium","Low"))</f>
        <v>Low</v>
      </c>
    </row>
    <row r="1769" customFormat="false" ht="15" hidden="false" customHeight="true" outlineLevel="0" collapsed="false">
      <c r="A1769" s="2" t="n">
        <f aca="false">'Raw Data'!H1769</f>
        <v>1768</v>
      </c>
      <c r="B1769" s="2" t="n">
        <f aca="false">'Raw Data'!A1769</f>
        <v>29</v>
      </c>
      <c r="C1769" s="2" t="str">
        <f aca="false">'Raw Data'!D1769</f>
        <v>Sales</v>
      </c>
      <c r="D1769" s="2" t="str">
        <f aca="false">'Raw Data'!K1769</f>
        <v>Manager</v>
      </c>
      <c r="E1769" s="2" t="n">
        <f aca="false">'Raw Data'!Q1769</f>
        <v>2</v>
      </c>
      <c r="F1769" s="2" t="n">
        <f aca="false">'Raw Data'!U1769</f>
        <v>2</v>
      </c>
      <c r="G1769" s="2" t="n">
        <f aca="false">'Raw Data'!W1769</f>
        <v>2</v>
      </c>
      <c r="H1769" s="2" t="n">
        <f aca="false">'Raw Data'!V1769</f>
        <v>4</v>
      </c>
      <c r="I1769" s="2" t="n">
        <f aca="false">IF(AND(ISNUMBER(B1769),B1769&lt;=25),2,0)+IF(AND(ISNUMBER(E1769),E1769&lt;=5),2,0)+IF(AND(ISNUMBER(F1769),F1769&lt;=1),2,0)+IF(AND(ISNUMBER(G1769),G1769&lt;=2),1,0)+IF(AND(ISNUMBER(H1769),H1769&lt;=2),1,0)</f>
        <v>3</v>
      </c>
      <c r="J1769" s="2" t="str">
        <f aca="false">IF(I1769&gt;=6,"High",IF(I1769&gt;=3,"Medium","Low"))</f>
        <v>Medium</v>
      </c>
    </row>
    <row r="1770" customFormat="false" ht="15" hidden="false" customHeight="true" outlineLevel="0" collapsed="false">
      <c r="A1770" s="2" t="n">
        <f aca="false">'Raw Data'!H1770</f>
        <v>1769</v>
      </c>
      <c r="B1770" s="2" t="n">
        <f aca="false">'Raw Data'!A1770</f>
        <v>53</v>
      </c>
      <c r="C1770" s="2" t="str">
        <f aca="false">'Raw Data'!D1770</f>
        <v>Research &amp; Development</v>
      </c>
      <c r="D1770" s="2" t="str">
        <f aca="false">'Raw Data'!K1770</f>
        <v>Laboratory Technician</v>
      </c>
      <c r="E1770" s="2" t="n">
        <f aca="false">'Raw Data'!Q1770</f>
        <v>19</v>
      </c>
      <c r="F1770" s="2" t="n">
        <f aca="false">'Raw Data'!U1770</f>
        <v>2</v>
      </c>
      <c r="G1770" s="2" t="n">
        <f aca="false">'Raw Data'!W1770</f>
        <v>4</v>
      </c>
      <c r="H1770" s="2" t="n">
        <f aca="false">'Raw Data'!V1770</f>
        <v>4</v>
      </c>
      <c r="I1770" s="2" t="n">
        <f aca="false">IF(AND(ISNUMBER(B1770),B1770&lt;=25),2,0)+IF(AND(ISNUMBER(E1770),E1770&lt;=5),2,0)+IF(AND(ISNUMBER(F1770),F1770&lt;=1),2,0)+IF(AND(ISNUMBER(G1770),G1770&lt;=2),1,0)+IF(AND(ISNUMBER(H1770),H1770&lt;=2),1,0)</f>
        <v>0</v>
      </c>
      <c r="J1770" s="2" t="str">
        <f aca="false">IF(I1770&gt;=6,"High",IF(I1770&gt;=3,"Medium","Low"))</f>
        <v>Low</v>
      </c>
    </row>
    <row r="1771" customFormat="false" ht="15" hidden="false" customHeight="true" outlineLevel="0" collapsed="false">
      <c r="A1771" s="2" t="n">
        <f aca="false">'Raw Data'!H1771</f>
        <v>1770</v>
      </c>
      <c r="B1771" s="2" t="n">
        <f aca="false">'Raw Data'!A1771</f>
        <v>35</v>
      </c>
      <c r="C1771" s="2" t="str">
        <f aca="false">'Raw Data'!D1771</f>
        <v>Research &amp; Development</v>
      </c>
      <c r="D1771" s="2" t="str">
        <f aca="false">'Raw Data'!K1771</f>
        <v>Healthcare Representative</v>
      </c>
      <c r="E1771" s="2" t="n">
        <f aca="false">'Raw Data'!Q1771</f>
        <v>16</v>
      </c>
      <c r="F1771" s="2" t="n">
        <f aca="false">'Raw Data'!U1771</f>
        <v>0</v>
      </c>
      <c r="G1771" s="2" t="n">
        <f aca="false">'Raw Data'!W1771</f>
        <v>1</v>
      </c>
      <c r="H1771" s="2" t="n">
        <f aca="false">'Raw Data'!V1771</f>
        <v>4</v>
      </c>
      <c r="I1771" s="2" t="n">
        <f aca="false">IF(AND(ISNUMBER(B1771),B1771&lt;=25),2,0)+IF(AND(ISNUMBER(E1771),E1771&lt;=5),2,0)+IF(AND(ISNUMBER(F1771),F1771&lt;=1),2,0)+IF(AND(ISNUMBER(G1771),G1771&lt;=2),1,0)+IF(AND(ISNUMBER(H1771),H1771&lt;=2),1,0)</f>
        <v>3</v>
      </c>
      <c r="J1771" s="2" t="str">
        <f aca="false">IF(I1771&gt;=6,"High",IF(I1771&gt;=3,"Medium","Low"))</f>
        <v>Medium</v>
      </c>
    </row>
    <row r="1772" customFormat="false" ht="15" hidden="false" customHeight="true" outlineLevel="0" collapsed="false">
      <c r="A1772" s="2" t="n">
        <f aca="false">'Raw Data'!H1772</f>
        <v>1771</v>
      </c>
      <c r="B1772" s="2" t="n">
        <f aca="false">'Raw Data'!A1772</f>
        <v>32</v>
      </c>
      <c r="C1772" s="2" t="str">
        <f aca="false">'Raw Data'!D1772</f>
        <v>Sales</v>
      </c>
      <c r="D1772" s="2" t="str">
        <f aca="false">'Raw Data'!K1772</f>
        <v>Sales Executive</v>
      </c>
      <c r="E1772" s="2" t="n">
        <f aca="false">'Raw Data'!Q1772</f>
        <v>10</v>
      </c>
      <c r="F1772" s="2" t="n">
        <f aca="false">'Raw Data'!U1772</f>
        <v>7</v>
      </c>
      <c r="G1772" s="2" t="n">
        <f aca="false">'Raw Data'!W1772</f>
        <v>4</v>
      </c>
      <c r="H1772" s="2" t="n">
        <f aca="false">'Raw Data'!V1772</f>
        <v>1</v>
      </c>
      <c r="I1772" s="2" t="n">
        <f aca="false">IF(AND(ISNUMBER(B1772),B1772&lt;=25),2,0)+IF(AND(ISNUMBER(E1772),E1772&lt;=5),2,0)+IF(AND(ISNUMBER(F1772),F1772&lt;=1),2,0)+IF(AND(ISNUMBER(G1772),G1772&lt;=2),1,0)+IF(AND(ISNUMBER(H1772),H1772&lt;=2),1,0)</f>
        <v>1</v>
      </c>
      <c r="J1772" s="2" t="str">
        <f aca="false">IF(I1772&gt;=6,"High",IF(I1772&gt;=3,"Medium","Low"))</f>
        <v>Low</v>
      </c>
    </row>
    <row r="1773" customFormat="false" ht="15" hidden="false" customHeight="true" outlineLevel="0" collapsed="false">
      <c r="A1773" s="2" t="n">
        <f aca="false">'Raw Data'!H1773</f>
        <v>1772</v>
      </c>
      <c r="B1773" s="2" t="n">
        <f aca="false">'Raw Data'!A1773</f>
        <v>38</v>
      </c>
      <c r="C1773" s="2" t="str">
        <f aca="false">'Raw Data'!D1773</f>
        <v>Sales</v>
      </c>
      <c r="D1773" s="2" t="str">
        <f aca="false">'Raw Data'!K1773</f>
        <v>Laboratory Technician</v>
      </c>
      <c r="E1773" s="2" t="n">
        <f aca="false">'Raw Data'!Q1773</f>
        <v>6</v>
      </c>
      <c r="F1773" s="2" t="n">
        <f aca="false">'Raw Data'!U1773</f>
        <v>1</v>
      </c>
      <c r="G1773" s="2" t="n">
        <f aca="false">'Raw Data'!W1773</f>
        <v>3</v>
      </c>
      <c r="H1773" s="2" t="n">
        <f aca="false">'Raw Data'!V1773</f>
        <v>4</v>
      </c>
      <c r="I1773" s="2" t="n">
        <f aca="false">IF(AND(ISNUMBER(B1773),B1773&lt;=25),2,0)+IF(AND(ISNUMBER(E1773),E1773&lt;=5),2,0)+IF(AND(ISNUMBER(F1773),F1773&lt;=1),2,0)+IF(AND(ISNUMBER(G1773),G1773&lt;=2),1,0)+IF(AND(ISNUMBER(H1773),H1773&lt;=2),1,0)</f>
        <v>2</v>
      </c>
      <c r="J1773" s="2" t="str">
        <f aca="false">IF(I1773&gt;=6,"High",IF(I1773&gt;=3,"Medium","Low"))</f>
        <v>Low</v>
      </c>
    </row>
    <row r="1774" customFormat="false" ht="15" hidden="false" customHeight="true" outlineLevel="0" collapsed="false">
      <c r="A1774" s="2" t="n">
        <f aca="false">'Raw Data'!H1774</f>
        <v>1773</v>
      </c>
      <c r="B1774" s="2" t="n">
        <f aca="false">'Raw Data'!A1774</f>
        <v>34</v>
      </c>
      <c r="C1774" s="2" t="str">
        <f aca="false">'Raw Data'!D1774</f>
        <v>Research &amp; Development</v>
      </c>
      <c r="D1774" s="2" t="str">
        <f aca="false">'Raw Data'!K1774</f>
        <v>Laboratory Technician</v>
      </c>
      <c r="E1774" s="2" t="n">
        <f aca="false">'Raw Data'!Q1774</f>
        <v>7</v>
      </c>
      <c r="F1774" s="2" t="n">
        <f aca="false">'Raw Data'!U1774</f>
        <v>0</v>
      </c>
      <c r="G1774" s="2" t="n">
        <f aca="false">'Raw Data'!W1774</f>
        <v>1</v>
      </c>
      <c r="H1774" s="2" t="n">
        <f aca="false">'Raw Data'!V1774</f>
        <v>2</v>
      </c>
      <c r="I1774" s="2" t="n">
        <f aca="false">IF(AND(ISNUMBER(B1774),B1774&lt;=25),2,0)+IF(AND(ISNUMBER(E1774),E1774&lt;=5),2,0)+IF(AND(ISNUMBER(F1774),F1774&lt;=1),2,0)+IF(AND(ISNUMBER(G1774),G1774&lt;=2),1,0)+IF(AND(ISNUMBER(H1774),H1774&lt;=2),1,0)</f>
        <v>4</v>
      </c>
      <c r="J1774" s="2" t="str">
        <f aca="false">IF(I1774&gt;=6,"High",IF(I1774&gt;=3,"Medium","Low"))</f>
        <v>Medium</v>
      </c>
    </row>
    <row r="1775" customFormat="false" ht="15" hidden="false" customHeight="true" outlineLevel="0" collapsed="false">
      <c r="A1775" s="2" t="n">
        <f aca="false">'Raw Data'!H1775</f>
        <v>1774</v>
      </c>
      <c r="B1775" s="2" t="n">
        <f aca="false">'Raw Data'!A1775</f>
        <v>52</v>
      </c>
      <c r="C1775" s="2" t="str">
        <f aca="false">'Raw Data'!D1775</f>
        <v>Sales</v>
      </c>
      <c r="D1775" s="2" t="str">
        <f aca="false">'Raw Data'!K1775</f>
        <v>Manager</v>
      </c>
      <c r="E1775" s="2" t="n">
        <f aca="false">'Raw Data'!Q1775</f>
        <v>34</v>
      </c>
      <c r="F1775" s="2" t="n">
        <f aca="false">'Raw Data'!U1775</f>
        <v>16</v>
      </c>
      <c r="G1775" s="2" t="n">
        <f aca="false">'Raw Data'!W1775</f>
        <v>1</v>
      </c>
      <c r="H1775" s="2" t="n">
        <f aca="false">'Raw Data'!V1775</f>
        <v>3</v>
      </c>
      <c r="I1775" s="2" t="n">
        <f aca="false">IF(AND(ISNUMBER(B1775),B1775&lt;=25),2,0)+IF(AND(ISNUMBER(E1775),E1775&lt;=5),2,0)+IF(AND(ISNUMBER(F1775),F1775&lt;=1),2,0)+IF(AND(ISNUMBER(G1775),G1775&lt;=2),1,0)+IF(AND(ISNUMBER(H1775),H1775&lt;=2),1,0)</f>
        <v>1</v>
      </c>
      <c r="J1775" s="2" t="str">
        <f aca="false">IF(I1775&gt;=6,"High",IF(I1775&gt;=3,"Medium","Low"))</f>
        <v>Low</v>
      </c>
    </row>
    <row r="1776" customFormat="false" ht="15" hidden="false" customHeight="true" outlineLevel="0" collapsed="false">
      <c r="A1776" s="2" t="n">
        <f aca="false">'Raw Data'!H1776</f>
        <v>1775</v>
      </c>
      <c r="B1776" s="2" t="n">
        <f aca="false">'Raw Data'!A1776</f>
        <v>33</v>
      </c>
      <c r="C1776" s="2" t="str">
        <f aca="false">'Raw Data'!D1776</f>
        <v>Research &amp; Development</v>
      </c>
      <c r="D1776" s="2" t="str">
        <f aca="false">'Raw Data'!K1776</f>
        <v>Laboratory Technician</v>
      </c>
      <c r="E1776" s="2" t="n">
        <f aca="false">'Raw Data'!Q1776</f>
        <v>10</v>
      </c>
      <c r="F1776" s="2" t="n">
        <f aca="false">'Raw Data'!U1776</f>
        <v>8</v>
      </c>
      <c r="G1776" s="2" t="n">
        <f aca="false">'Raw Data'!W1776</f>
        <v>4</v>
      </c>
      <c r="H1776" s="2" t="n">
        <f aca="false">'Raw Data'!V1776</f>
        <v>4</v>
      </c>
      <c r="I1776" s="2" t="n">
        <f aca="false">IF(AND(ISNUMBER(B1776),B1776&lt;=25),2,0)+IF(AND(ISNUMBER(E1776),E1776&lt;=5),2,0)+IF(AND(ISNUMBER(F1776),F1776&lt;=1),2,0)+IF(AND(ISNUMBER(G1776),G1776&lt;=2),1,0)+IF(AND(ISNUMBER(H1776),H1776&lt;=2),1,0)</f>
        <v>0</v>
      </c>
      <c r="J1776" s="2" t="str">
        <f aca="false">IF(I1776&gt;=6,"High",IF(I1776&gt;=3,"Medium","Low"))</f>
        <v>Low</v>
      </c>
    </row>
    <row r="1777" customFormat="false" ht="15" hidden="false" customHeight="true" outlineLevel="0" collapsed="false">
      <c r="A1777" s="2" t="n">
        <f aca="false">'Raw Data'!H1777</f>
        <v>1776</v>
      </c>
      <c r="B1777" s="2" t="n">
        <f aca="false">'Raw Data'!A1777</f>
        <v>25</v>
      </c>
      <c r="C1777" s="2" t="str">
        <f aca="false">'Raw Data'!D1777</f>
        <v>Research &amp; Development</v>
      </c>
      <c r="D1777" s="2" t="str">
        <f aca="false">'Raw Data'!K1777</f>
        <v>Research Scientist</v>
      </c>
      <c r="E1777" s="2" t="n">
        <f aca="false">'Raw Data'!Q1777</f>
        <v>6</v>
      </c>
      <c r="F1777" s="2" t="n">
        <f aca="false">'Raw Data'!U1777</f>
        <v>4</v>
      </c>
      <c r="G1777" s="2" t="n">
        <f aca="false">'Raw Data'!W1777</f>
        <v>4</v>
      </c>
      <c r="H1777" s="2" t="n">
        <f aca="false">'Raw Data'!V1777</f>
        <v>3</v>
      </c>
      <c r="I1777" s="2" t="n">
        <f aca="false">IF(AND(ISNUMBER(B1777),B1777&lt;=25),2,0)+IF(AND(ISNUMBER(E1777),E1777&lt;=5),2,0)+IF(AND(ISNUMBER(F1777),F1777&lt;=1),2,0)+IF(AND(ISNUMBER(G1777),G1777&lt;=2),1,0)+IF(AND(ISNUMBER(H1777),H1777&lt;=2),1,0)</f>
        <v>2</v>
      </c>
      <c r="J1777" s="2" t="str">
        <f aca="false">IF(I1777&gt;=6,"High",IF(I1777&gt;=3,"Medium","Low"))</f>
        <v>Low</v>
      </c>
    </row>
    <row r="1778" customFormat="false" ht="15" hidden="false" customHeight="true" outlineLevel="0" collapsed="false">
      <c r="A1778" s="2" t="n">
        <f aca="false">'Raw Data'!H1778</f>
        <v>1777</v>
      </c>
      <c r="B1778" s="2" t="n">
        <f aca="false">'Raw Data'!A1778</f>
        <v>45</v>
      </c>
      <c r="C1778" s="2" t="str">
        <f aca="false">'Raw Data'!D1778</f>
        <v>Sales</v>
      </c>
      <c r="D1778" s="2" t="str">
        <f aca="false">'Raw Data'!K1778</f>
        <v>Healthcare Representative</v>
      </c>
      <c r="E1778" s="2" t="n">
        <f aca="false">'Raw Data'!Q1778</f>
        <v>9</v>
      </c>
      <c r="F1778" s="2" t="n">
        <f aca="false">'Raw Data'!U1778</f>
        <v>1</v>
      </c>
      <c r="G1778" s="2" t="n">
        <f aca="false">'Raw Data'!W1778</f>
        <v>3</v>
      </c>
      <c r="H1778" s="2" t="n">
        <f aca="false">'Raw Data'!V1778</f>
        <v>2</v>
      </c>
      <c r="I1778" s="2" t="n">
        <f aca="false">IF(AND(ISNUMBER(B1778),B1778&lt;=25),2,0)+IF(AND(ISNUMBER(E1778),E1778&lt;=5),2,0)+IF(AND(ISNUMBER(F1778),F1778&lt;=1),2,0)+IF(AND(ISNUMBER(G1778),G1778&lt;=2),1,0)+IF(AND(ISNUMBER(H1778),H1778&lt;=2),1,0)</f>
        <v>3</v>
      </c>
      <c r="J1778" s="2" t="str">
        <f aca="false">IF(I1778&gt;=6,"High",IF(I1778&gt;=3,"Medium","Low"))</f>
        <v>Medium</v>
      </c>
    </row>
    <row r="1779" customFormat="false" ht="15" hidden="false" customHeight="true" outlineLevel="0" collapsed="false">
      <c r="A1779" s="2" t="n">
        <f aca="false">'Raw Data'!H1779</f>
        <v>1778</v>
      </c>
      <c r="B1779" s="2" t="n">
        <f aca="false">'Raw Data'!A1779</f>
        <v>23</v>
      </c>
      <c r="C1779" s="2" t="str">
        <f aca="false">'Raw Data'!D1779</f>
        <v>Research &amp; Development</v>
      </c>
      <c r="D1779" s="2" t="str">
        <f aca="false">'Raw Data'!K1779</f>
        <v>Research Scientist</v>
      </c>
      <c r="E1779" s="2" t="n">
        <f aca="false">'Raw Data'!Q1779</f>
        <v>2</v>
      </c>
      <c r="F1779" s="2" t="n">
        <f aca="false">'Raw Data'!U1779</f>
        <v>2</v>
      </c>
      <c r="G1779" s="2" t="n">
        <f aca="false">'Raw Data'!W1779</f>
        <v>3</v>
      </c>
      <c r="H1779" s="2" t="n">
        <f aca="false">'Raw Data'!V1779</f>
        <v>1</v>
      </c>
      <c r="I1779" s="2" t="n">
        <f aca="false">IF(AND(ISNUMBER(B1779),B1779&lt;=25),2,0)+IF(AND(ISNUMBER(E1779),E1779&lt;=5),2,0)+IF(AND(ISNUMBER(F1779),F1779&lt;=1),2,0)+IF(AND(ISNUMBER(G1779),G1779&lt;=2),1,0)+IF(AND(ISNUMBER(H1779),H1779&lt;=2),1,0)</f>
        <v>5</v>
      </c>
      <c r="J1779" s="2" t="str">
        <f aca="false">IF(I1779&gt;=6,"High",IF(I1779&gt;=3,"Medium","Low"))</f>
        <v>Medium</v>
      </c>
    </row>
    <row r="1780" customFormat="false" ht="15" hidden="false" customHeight="true" outlineLevel="0" collapsed="false">
      <c r="A1780" s="2" t="n">
        <f aca="false">'Raw Data'!H1780</f>
        <v>1779</v>
      </c>
      <c r="B1780" s="2" t="n">
        <f aca="false">'Raw Data'!A1780</f>
        <v>47</v>
      </c>
      <c r="C1780" s="2" t="str">
        <f aca="false">'Raw Data'!D1780</f>
        <v>Research &amp; Development</v>
      </c>
      <c r="D1780" s="2" t="str">
        <f aca="false">'Raw Data'!K1780</f>
        <v>Research Director</v>
      </c>
      <c r="E1780" s="2" t="n">
        <f aca="false">'Raw Data'!Q1780</f>
        <v>8</v>
      </c>
      <c r="F1780" s="2" t="n">
        <f aca="false">'Raw Data'!U1780</f>
        <v>3</v>
      </c>
      <c r="G1780" s="2" t="n">
        <f aca="false">'Raw Data'!W1780</f>
        <v>3</v>
      </c>
      <c r="H1780" s="2" t="n">
        <f aca="false">'Raw Data'!V1780</f>
        <v>2</v>
      </c>
      <c r="I1780" s="2" t="n">
        <f aca="false">IF(AND(ISNUMBER(B1780),B1780&lt;=25),2,0)+IF(AND(ISNUMBER(E1780),E1780&lt;=5),2,0)+IF(AND(ISNUMBER(F1780),F1780&lt;=1),2,0)+IF(AND(ISNUMBER(G1780),G1780&lt;=2),1,0)+IF(AND(ISNUMBER(H1780),H1780&lt;=2),1,0)</f>
        <v>1</v>
      </c>
      <c r="J1780" s="2" t="str">
        <f aca="false">IF(I1780&gt;=6,"High",IF(I1780&gt;=3,"Medium","Low"))</f>
        <v>Low</v>
      </c>
    </row>
    <row r="1781" customFormat="false" ht="15" hidden="false" customHeight="true" outlineLevel="0" collapsed="false">
      <c r="A1781" s="2" t="n">
        <f aca="false">'Raw Data'!H1781</f>
        <v>1780</v>
      </c>
      <c r="B1781" s="2" t="n">
        <f aca="false">'Raw Data'!A1781</f>
        <v>34</v>
      </c>
      <c r="C1781" s="2" t="str">
        <f aca="false">'Raw Data'!D1781</f>
        <v>Research &amp; Development</v>
      </c>
      <c r="D1781" s="2" t="str">
        <f aca="false">'Raw Data'!K1781</f>
        <v>Research Scientist</v>
      </c>
      <c r="E1781" s="2" t="n">
        <f aca="false">'Raw Data'!Q1781</f>
        <v>6</v>
      </c>
      <c r="F1781" s="2" t="n">
        <f aca="false">'Raw Data'!U1781</f>
        <v>4</v>
      </c>
      <c r="G1781" s="2" t="n">
        <f aca="false">'Raw Data'!W1781</f>
        <v>4</v>
      </c>
      <c r="H1781" s="2" t="n">
        <f aca="false">'Raw Data'!V1781</f>
        <v>4</v>
      </c>
      <c r="I1781" s="2" t="n">
        <f aca="false">IF(AND(ISNUMBER(B1781),B1781&lt;=25),2,0)+IF(AND(ISNUMBER(E1781),E1781&lt;=5),2,0)+IF(AND(ISNUMBER(F1781),F1781&lt;=1),2,0)+IF(AND(ISNUMBER(G1781),G1781&lt;=2),1,0)+IF(AND(ISNUMBER(H1781),H1781&lt;=2),1,0)</f>
        <v>0</v>
      </c>
      <c r="J1781" s="2" t="str">
        <f aca="false">IF(I1781&gt;=6,"High",IF(I1781&gt;=3,"Medium","Low"))</f>
        <v>Low</v>
      </c>
    </row>
    <row r="1782" customFormat="false" ht="15" hidden="false" customHeight="true" outlineLevel="0" collapsed="false">
      <c r="A1782" s="2" t="n">
        <f aca="false">'Raw Data'!H1782</f>
        <v>1781</v>
      </c>
      <c r="B1782" s="2" t="n">
        <f aca="false">'Raw Data'!A1782</f>
        <v>55</v>
      </c>
      <c r="C1782" s="2" t="str">
        <f aca="false">'Raw Data'!D1782</f>
        <v>Human Resources</v>
      </c>
      <c r="D1782" s="2" t="str">
        <f aca="false">'Raw Data'!K1782</f>
        <v>Laboratory Technician</v>
      </c>
      <c r="E1782" s="2" t="n">
        <f aca="false">'Raw Data'!Q1782</f>
        <v>24</v>
      </c>
      <c r="F1782" s="2" t="n">
        <f aca="false">'Raw Data'!U1782</f>
        <v>4</v>
      </c>
      <c r="G1782" s="2" t="n">
        <f aca="false">'Raw Data'!W1782</f>
        <v>1</v>
      </c>
      <c r="H1782" s="2" t="n">
        <f aca="false">'Raw Data'!V1782</f>
        <v>4</v>
      </c>
      <c r="I1782" s="2" t="n">
        <f aca="false">IF(AND(ISNUMBER(B1782),B1782&lt;=25),2,0)+IF(AND(ISNUMBER(E1782),E1782&lt;=5),2,0)+IF(AND(ISNUMBER(F1782),F1782&lt;=1),2,0)+IF(AND(ISNUMBER(G1782),G1782&lt;=2),1,0)+IF(AND(ISNUMBER(H1782),H1782&lt;=2),1,0)</f>
        <v>1</v>
      </c>
      <c r="J1782" s="2" t="str">
        <f aca="false">IF(I1782&gt;=6,"High",IF(I1782&gt;=3,"Medium","Low"))</f>
        <v>Low</v>
      </c>
    </row>
    <row r="1783" customFormat="false" ht="15" hidden="false" customHeight="true" outlineLevel="0" collapsed="false">
      <c r="A1783" s="2" t="n">
        <f aca="false">'Raw Data'!H1783</f>
        <v>1782</v>
      </c>
      <c r="B1783" s="2" t="n">
        <f aca="false">'Raw Data'!A1783</f>
        <v>36</v>
      </c>
      <c r="C1783" s="2" t="str">
        <f aca="false">'Raw Data'!D1783</f>
        <v>Research &amp; Development</v>
      </c>
      <c r="D1783" s="2" t="str">
        <f aca="false">'Raw Data'!K1783</f>
        <v>Sales Executive</v>
      </c>
      <c r="E1783" s="2" t="n">
        <f aca="false">'Raw Data'!Q1783</f>
        <v>10</v>
      </c>
      <c r="F1783" s="2" t="n">
        <f aca="false">'Raw Data'!U1783</f>
        <v>9</v>
      </c>
      <c r="G1783" s="2" t="n">
        <f aca="false">'Raw Data'!W1783</f>
        <v>1</v>
      </c>
      <c r="H1783" s="2" t="n">
        <f aca="false">'Raw Data'!V1783</f>
        <v>1</v>
      </c>
      <c r="I1783" s="2" t="n">
        <f aca="false">IF(AND(ISNUMBER(B1783),B1783&lt;=25),2,0)+IF(AND(ISNUMBER(E1783),E1783&lt;=5),2,0)+IF(AND(ISNUMBER(F1783),F1783&lt;=1),2,0)+IF(AND(ISNUMBER(G1783),G1783&lt;=2),1,0)+IF(AND(ISNUMBER(H1783),H1783&lt;=2),1,0)</f>
        <v>2</v>
      </c>
      <c r="J1783" s="2" t="str">
        <f aca="false">IF(I1783&gt;=6,"High",IF(I1783&gt;=3,"Medium","Low"))</f>
        <v>Low</v>
      </c>
    </row>
    <row r="1784" customFormat="false" ht="15" hidden="false" customHeight="true" outlineLevel="0" collapsed="false">
      <c r="A1784" s="2" t="n">
        <f aca="false">'Raw Data'!H1784</f>
        <v>1783</v>
      </c>
      <c r="B1784" s="2" t="n">
        <f aca="false">'Raw Data'!A1784</f>
        <v>52</v>
      </c>
      <c r="C1784" s="2" t="str">
        <f aca="false">'Raw Data'!D1784</f>
        <v>Research &amp; Development</v>
      </c>
      <c r="D1784" s="2" t="str">
        <f aca="false">'Raw Data'!K1784</f>
        <v>Sales Executive</v>
      </c>
      <c r="E1784" s="2" t="n">
        <f aca="false">'Raw Data'!Q1784</f>
        <v>5</v>
      </c>
      <c r="F1784" s="2" t="n">
        <f aca="false">'Raw Data'!U1784</f>
        <v>2</v>
      </c>
      <c r="G1784" s="2" t="n">
        <f aca="false">'Raw Data'!W1784</f>
        <v>4</v>
      </c>
      <c r="H1784" s="2" t="n">
        <f aca="false">'Raw Data'!V1784</f>
        <v>4</v>
      </c>
      <c r="I1784" s="2" t="n">
        <f aca="false">IF(AND(ISNUMBER(B1784),B1784&lt;=25),2,0)+IF(AND(ISNUMBER(E1784),E1784&lt;=5),2,0)+IF(AND(ISNUMBER(F1784),F1784&lt;=1),2,0)+IF(AND(ISNUMBER(G1784),G1784&lt;=2),1,0)+IF(AND(ISNUMBER(H1784),H1784&lt;=2),1,0)</f>
        <v>2</v>
      </c>
      <c r="J1784" s="2" t="str">
        <f aca="false">IF(I1784&gt;=6,"High",IF(I1784&gt;=3,"Medium","Low"))</f>
        <v>Low</v>
      </c>
    </row>
    <row r="1785" customFormat="false" ht="15" hidden="false" customHeight="true" outlineLevel="0" collapsed="false">
      <c r="A1785" s="2" t="n">
        <f aca="false">'Raw Data'!H1785</f>
        <v>1784</v>
      </c>
      <c r="B1785" s="2" t="n">
        <f aca="false">'Raw Data'!A1785</f>
        <v>26</v>
      </c>
      <c r="C1785" s="2" t="str">
        <f aca="false">'Raw Data'!D1785</f>
        <v>Research &amp; Development</v>
      </c>
      <c r="D1785" s="2" t="str">
        <f aca="false">'Raw Data'!K1785</f>
        <v>Manufacturing Director</v>
      </c>
      <c r="E1785" s="2" t="n">
        <f aca="false">'Raw Data'!Q1785</f>
        <v>5</v>
      </c>
      <c r="F1785" s="2" t="n">
        <f aca="false">'Raw Data'!U1785</f>
        <v>0</v>
      </c>
      <c r="G1785" s="2" t="n">
        <f aca="false">'Raw Data'!W1785</f>
        <v>4</v>
      </c>
      <c r="H1785" s="2" t="n">
        <f aca="false">'Raw Data'!V1785</f>
        <v>1</v>
      </c>
      <c r="I1785" s="2" t="n">
        <f aca="false">IF(AND(ISNUMBER(B1785),B1785&lt;=25),2,0)+IF(AND(ISNUMBER(E1785),E1785&lt;=5),2,0)+IF(AND(ISNUMBER(F1785),F1785&lt;=1),2,0)+IF(AND(ISNUMBER(G1785),G1785&lt;=2),1,0)+IF(AND(ISNUMBER(H1785),H1785&lt;=2),1,0)</f>
        <v>5</v>
      </c>
      <c r="J1785" s="2" t="str">
        <f aca="false">IF(I1785&gt;=6,"High",IF(I1785&gt;=3,"Medium","Low"))</f>
        <v>Medium</v>
      </c>
    </row>
    <row r="1786" customFormat="false" ht="15" hidden="false" customHeight="true" outlineLevel="0" collapsed="false">
      <c r="A1786" s="2" t="n">
        <f aca="false">'Raw Data'!H1786</f>
        <v>1785</v>
      </c>
      <c r="B1786" s="2" t="n">
        <f aca="false">'Raw Data'!A1786</f>
        <v>29</v>
      </c>
      <c r="C1786" s="2" t="str">
        <f aca="false">'Raw Data'!D1786</f>
        <v>Research &amp; Development</v>
      </c>
      <c r="D1786" s="2" t="str">
        <f aca="false">'Raw Data'!K1786</f>
        <v>Manufacturing Director</v>
      </c>
      <c r="E1786" s="2" t="n">
        <f aca="false">'Raw Data'!Q1786</f>
        <v>11</v>
      </c>
      <c r="F1786" s="2" t="n">
        <f aca="false">'Raw Data'!U1786</f>
        <v>1</v>
      </c>
      <c r="G1786" s="2" t="n">
        <f aca="false">'Raw Data'!W1786</f>
        <v>3</v>
      </c>
      <c r="H1786" s="2" t="n">
        <f aca="false">'Raw Data'!V1786</f>
        <v>2</v>
      </c>
      <c r="I1786" s="2" t="n">
        <f aca="false">IF(AND(ISNUMBER(B1786),B1786&lt;=25),2,0)+IF(AND(ISNUMBER(E1786),E1786&lt;=5),2,0)+IF(AND(ISNUMBER(F1786),F1786&lt;=1),2,0)+IF(AND(ISNUMBER(G1786),G1786&lt;=2),1,0)+IF(AND(ISNUMBER(H1786),H1786&lt;=2),1,0)</f>
        <v>3</v>
      </c>
      <c r="J1786" s="2" t="str">
        <f aca="false">IF(I1786&gt;=6,"High",IF(I1786&gt;=3,"Medium","Low"))</f>
        <v>Medium</v>
      </c>
    </row>
    <row r="1787" customFormat="false" ht="15" hidden="false" customHeight="true" outlineLevel="0" collapsed="false">
      <c r="A1787" s="2" t="n">
        <f aca="false">'Raw Data'!H1787</f>
        <v>1786</v>
      </c>
      <c r="B1787" s="2" t="n">
        <f aca="false">'Raw Data'!A1787</f>
        <v>26</v>
      </c>
      <c r="C1787" s="2" t="str">
        <f aca="false">'Raw Data'!D1787</f>
        <v>Research &amp; Development</v>
      </c>
      <c r="D1787" s="2" t="str">
        <f aca="false">'Raw Data'!K1787</f>
        <v>Laboratory Technician</v>
      </c>
      <c r="E1787" s="2" t="n">
        <f aca="false">'Raw Data'!Q1787</f>
        <v>6</v>
      </c>
      <c r="F1787" s="2" t="n">
        <f aca="false">'Raw Data'!U1787</f>
        <v>2</v>
      </c>
      <c r="G1787" s="2" t="n">
        <f aca="false">'Raw Data'!W1787</f>
        <v>1</v>
      </c>
      <c r="H1787" s="2" t="n">
        <f aca="false">'Raw Data'!V1787</f>
        <v>4</v>
      </c>
      <c r="I1787" s="2" t="n">
        <f aca="false">IF(AND(ISNUMBER(B1787),B1787&lt;=25),2,0)+IF(AND(ISNUMBER(E1787),E1787&lt;=5),2,0)+IF(AND(ISNUMBER(F1787),F1787&lt;=1),2,0)+IF(AND(ISNUMBER(G1787),G1787&lt;=2),1,0)+IF(AND(ISNUMBER(H1787),H1787&lt;=2),1,0)</f>
        <v>1</v>
      </c>
      <c r="J1787" s="2" t="str">
        <f aca="false">IF(I1787&gt;=6,"High",IF(I1787&gt;=3,"Medium","Low"))</f>
        <v>Low</v>
      </c>
    </row>
    <row r="1788" customFormat="false" ht="15" hidden="false" customHeight="true" outlineLevel="0" collapsed="false">
      <c r="A1788" s="2" t="n">
        <f aca="false">'Raw Data'!H1788</f>
        <v>1787</v>
      </c>
      <c r="B1788" s="2" t="n">
        <f aca="false">'Raw Data'!A1788</f>
        <v>34</v>
      </c>
      <c r="C1788" s="2" t="str">
        <f aca="false">'Raw Data'!D1788</f>
        <v>Research &amp; Development</v>
      </c>
      <c r="D1788" s="2" t="str">
        <f aca="false">'Raw Data'!K1788</f>
        <v>Manufacturing Director</v>
      </c>
      <c r="E1788" s="2" t="n">
        <f aca="false">'Raw Data'!Q1788</f>
        <v>10</v>
      </c>
      <c r="F1788" s="2" t="n">
        <f aca="false">'Raw Data'!U1788</f>
        <v>3</v>
      </c>
      <c r="G1788" s="2" t="n">
        <f aca="false">'Raw Data'!W1788</f>
        <v>4</v>
      </c>
      <c r="H1788" s="2" t="n">
        <f aca="false">'Raw Data'!V1788</f>
        <v>2</v>
      </c>
      <c r="I1788" s="2" t="n">
        <f aca="false">IF(AND(ISNUMBER(B1788),B1788&lt;=25),2,0)+IF(AND(ISNUMBER(E1788),E1788&lt;=5),2,0)+IF(AND(ISNUMBER(F1788),F1788&lt;=1),2,0)+IF(AND(ISNUMBER(G1788),G1788&lt;=2),1,0)+IF(AND(ISNUMBER(H1788),H1788&lt;=2),1,0)</f>
        <v>1</v>
      </c>
      <c r="J1788" s="2" t="str">
        <f aca="false">IF(I1788&gt;=6,"High",IF(I1788&gt;=3,"Medium","Low"))</f>
        <v>Low</v>
      </c>
    </row>
    <row r="1789" customFormat="false" ht="15" hidden="false" customHeight="true" outlineLevel="0" collapsed="false">
      <c r="A1789" s="2" t="n">
        <f aca="false">'Raw Data'!H1789</f>
        <v>1788</v>
      </c>
      <c r="B1789" s="2" t="n">
        <f aca="false">'Raw Data'!A1789</f>
        <v>54</v>
      </c>
      <c r="C1789" s="2" t="str">
        <f aca="false">'Raw Data'!D1789</f>
        <v>Research &amp; Development</v>
      </c>
      <c r="D1789" s="2" t="str">
        <f aca="false">'Raw Data'!K1789</f>
        <v>Laboratory Technician</v>
      </c>
      <c r="E1789" s="2" t="n">
        <f aca="false">'Raw Data'!Q1789</f>
        <v>9</v>
      </c>
      <c r="F1789" s="2" t="n">
        <f aca="false">'Raw Data'!U1789</f>
        <v>4</v>
      </c>
      <c r="G1789" s="2" t="n">
        <f aca="false">'Raw Data'!W1789</f>
        <v>1</v>
      </c>
      <c r="H1789" s="2" t="n">
        <f aca="false">'Raw Data'!V1789</f>
        <v>4</v>
      </c>
      <c r="I1789" s="2" t="n">
        <f aca="false">IF(AND(ISNUMBER(B1789),B1789&lt;=25),2,0)+IF(AND(ISNUMBER(E1789),E1789&lt;=5),2,0)+IF(AND(ISNUMBER(F1789),F1789&lt;=1),2,0)+IF(AND(ISNUMBER(G1789),G1789&lt;=2),1,0)+IF(AND(ISNUMBER(H1789),H1789&lt;=2),1,0)</f>
        <v>1</v>
      </c>
      <c r="J1789" s="2" t="str">
        <f aca="false">IF(I1789&gt;=6,"High",IF(I1789&gt;=3,"Medium","Low"))</f>
        <v>Low</v>
      </c>
    </row>
    <row r="1790" customFormat="false" ht="15" hidden="false" customHeight="true" outlineLevel="0" collapsed="false">
      <c r="A1790" s="2" t="n">
        <f aca="false">'Raw Data'!H1790</f>
        <v>1789</v>
      </c>
      <c r="B1790" s="2" t="n">
        <f aca="false">'Raw Data'!A1790</f>
        <v>27</v>
      </c>
      <c r="C1790" s="2" t="str">
        <f aca="false">'Raw Data'!D1790</f>
        <v>Research &amp; Development</v>
      </c>
      <c r="D1790" s="2" t="str">
        <f aca="false">'Raw Data'!K1790</f>
        <v>Research Scientist</v>
      </c>
      <c r="E1790" s="2" t="n">
        <f aca="false">'Raw Data'!Q1790</f>
        <v>5</v>
      </c>
      <c r="F1790" s="2" t="n">
        <f aca="false">'Raw Data'!U1790</f>
        <v>1</v>
      </c>
      <c r="G1790" s="2" t="n">
        <f aca="false">'Raw Data'!W1790</f>
        <v>4</v>
      </c>
      <c r="H1790" s="2" t="n">
        <f aca="false">'Raw Data'!V1790</f>
        <v>3</v>
      </c>
      <c r="I1790" s="2" t="n">
        <f aca="false">IF(AND(ISNUMBER(B1790),B1790&lt;=25),2,0)+IF(AND(ISNUMBER(E1790),E1790&lt;=5),2,0)+IF(AND(ISNUMBER(F1790),F1790&lt;=1),2,0)+IF(AND(ISNUMBER(G1790),G1790&lt;=2),1,0)+IF(AND(ISNUMBER(H1790),H1790&lt;=2),1,0)</f>
        <v>4</v>
      </c>
      <c r="J1790" s="2" t="str">
        <f aca="false">IF(I1790&gt;=6,"High",IF(I1790&gt;=3,"Medium","Low"))</f>
        <v>Medium</v>
      </c>
    </row>
    <row r="1791" customFormat="false" ht="15" hidden="false" customHeight="true" outlineLevel="0" collapsed="false">
      <c r="A1791" s="2" t="n">
        <f aca="false">'Raw Data'!H1791</f>
        <v>1790</v>
      </c>
      <c r="B1791" s="2" t="n">
        <f aca="false">'Raw Data'!A1791</f>
        <v>37</v>
      </c>
      <c r="C1791" s="2" t="str">
        <f aca="false">'Raw Data'!D1791</f>
        <v>Sales</v>
      </c>
      <c r="D1791" s="2" t="str">
        <f aca="false">'Raw Data'!K1791</f>
        <v>Manufacturing Director</v>
      </c>
      <c r="E1791" s="2" t="n">
        <f aca="false">'Raw Data'!Q1791</f>
        <v>6</v>
      </c>
      <c r="F1791" s="2" t="n">
        <f aca="false">'Raw Data'!U1791</f>
        <v>3</v>
      </c>
      <c r="G1791" s="2" t="n">
        <f aca="false">'Raw Data'!W1791</f>
        <v>1</v>
      </c>
      <c r="H1791" s="2" t="n">
        <f aca="false">'Raw Data'!V1791</f>
        <v>4</v>
      </c>
      <c r="I1791" s="2" t="n">
        <f aca="false">IF(AND(ISNUMBER(B1791),B1791&lt;=25),2,0)+IF(AND(ISNUMBER(E1791),E1791&lt;=5),2,0)+IF(AND(ISNUMBER(F1791),F1791&lt;=1),2,0)+IF(AND(ISNUMBER(G1791),G1791&lt;=2),1,0)+IF(AND(ISNUMBER(H1791),H1791&lt;=2),1,0)</f>
        <v>1</v>
      </c>
      <c r="J1791" s="2" t="str">
        <f aca="false">IF(I1791&gt;=6,"High",IF(I1791&gt;=3,"Medium","Low"))</f>
        <v>Low</v>
      </c>
    </row>
    <row r="1792" customFormat="false" ht="15" hidden="false" customHeight="true" outlineLevel="0" collapsed="false">
      <c r="A1792" s="2" t="n">
        <f aca="false">'Raw Data'!H1792</f>
        <v>1791</v>
      </c>
      <c r="B1792" s="2" t="n">
        <f aca="false">'Raw Data'!A1792</f>
        <v>38</v>
      </c>
      <c r="C1792" s="2" t="str">
        <f aca="false">'Raw Data'!D1792</f>
        <v>Sales</v>
      </c>
      <c r="D1792" s="2" t="str">
        <f aca="false">'Raw Data'!K1792</f>
        <v>Research Scientist</v>
      </c>
      <c r="E1792" s="2" t="n">
        <f aca="false">'Raw Data'!Q1792</f>
        <v>17</v>
      </c>
      <c r="F1792" s="2" t="n">
        <f aca="false">'Raw Data'!U1792</f>
        <v>12</v>
      </c>
      <c r="G1792" s="2" t="n">
        <f aca="false">'Raw Data'!W1792</f>
        <v>1</v>
      </c>
      <c r="H1792" s="2" t="n">
        <f aca="false">'Raw Data'!V1792</f>
        <v>1</v>
      </c>
      <c r="I1792" s="2" t="n">
        <f aca="false">IF(AND(ISNUMBER(B1792),B1792&lt;=25),2,0)+IF(AND(ISNUMBER(E1792),E1792&lt;=5),2,0)+IF(AND(ISNUMBER(F1792),F1792&lt;=1),2,0)+IF(AND(ISNUMBER(G1792),G1792&lt;=2),1,0)+IF(AND(ISNUMBER(H1792),H1792&lt;=2),1,0)</f>
        <v>2</v>
      </c>
      <c r="J1792" s="2" t="str">
        <f aca="false">IF(I1792&gt;=6,"High",IF(I1792&gt;=3,"Medium","Low"))</f>
        <v>Low</v>
      </c>
    </row>
    <row r="1793" customFormat="false" ht="15" hidden="false" customHeight="true" outlineLevel="0" collapsed="false">
      <c r="A1793" s="2" t="n">
        <f aca="false">'Raw Data'!H1793</f>
        <v>1792</v>
      </c>
      <c r="B1793" s="2" t="n">
        <f aca="false">'Raw Data'!A1793</f>
        <v>34</v>
      </c>
      <c r="C1793" s="2" t="str">
        <f aca="false">'Raw Data'!D1793</f>
        <v>Sales</v>
      </c>
      <c r="D1793" s="2" t="str">
        <f aca="false">'Raw Data'!K1793</f>
        <v>Sales Representative</v>
      </c>
      <c r="E1793" s="2" t="n">
        <f aca="false">'Raw Data'!Q1793</f>
        <v>6</v>
      </c>
      <c r="F1793" s="2" t="n">
        <f aca="false">'Raw Data'!U1793</f>
        <v>3</v>
      </c>
      <c r="G1793" s="2" t="n">
        <f aca="false">'Raw Data'!W1793</f>
        <v>1</v>
      </c>
      <c r="H1793" s="2" t="n">
        <f aca="false">'Raw Data'!V1793</f>
        <v>3</v>
      </c>
      <c r="I1793" s="2" t="n">
        <f aca="false">IF(AND(ISNUMBER(B1793),B1793&lt;=25),2,0)+IF(AND(ISNUMBER(E1793),E1793&lt;=5),2,0)+IF(AND(ISNUMBER(F1793),F1793&lt;=1),2,0)+IF(AND(ISNUMBER(G1793),G1793&lt;=2),1,0)+IF(AND(ISNUMBER(H1793),H1793&lt;=2),1,0)</f>
        <v>1</v>
      </c>
      <c r="J1793" s="2" t="str">
        <f aca="false">IF(I1793&gt;=6,"High",IF(I1793&gt;=3,"Medium","Low"))</f>
        <v>Low</v>
      </c>
    </row>
    <row r="1794" customFormat="false" ht="15" hidden="false" customHeight="true" outlineLevel="0" collapsed="false">
      <c r="A1794" s="2" t="n">
        <f aca="false">'Raw Data'!H1794</f>
        <v>1793</v>
      </c>
      <c r="B1794" s="2" t="n">
        <f aca="false">'Raw Data'!A1794</f>
        <v>35</v>
      </c>
      <c r="C1794" s="2" t="str">
        <f aca="false">'Raw Data'!D1794</f>
        <v>Research &amp; Development</v>
      </c>
      <c r="D1794" s="2" t="str">
        <f aca="false">'Raw Data'!K1794</f>
        <v>Manager</v>
      </c>
      <c r="E1794" s="2" t="n">
        <f aca="false">'Raw Data'!Q1794</f>
        <v>3</v>
      </c>
      <c r="F1794" s="2" t="n">
        <f aca="false">'Raw Data'!U1794</f>
        <v>2</v>
      </c>
      <c r="G1794" s="2" t="n">
        <f aca="false">'Raw Data'!W1794</f>
        <v>4</v>
      </c>
      <c r="H1794" s="2" t="n">
        <f aca="false">'Raw Data'!V1794</f>
        <v>1</v>
      </c>
      <c r="I1794" s="2" t="n">
        <f aca="false">IF(AND(ISNUMBER(B1794),B1794&lt;=25),2,0)+IF(AND(ISNUMBER(E1794),E1794&lt;=5),2,0)+IF(AND(ISNUMBER(F1794),F1794&lt;=1),2,0)+IF(AND(ISNUMBER(G1794),G1794&lt;=2),1,0)+IF(AND(ISNUMBER(H1794),H1794&lt;=2),1,0)</f>
        <v>3</v>
      </c>
      <c r="J1794" s="2" t="str">
        <f aca="false">IF(I1794&gt;=6,"High",IF(I1794&gt;=3,"Medium","Low"))</f>
        <v>Medium</v>
      </c>
    </row>
    <row r="1795" customFormat="false" ht="15" hidden="false" customHeight="true" outlineLevel="0" collapsed="false">
      <c r="A1795" s="2" t="n">
        <f aca="false">'Raw Data'!H1795</f>
        <v>1794</v>
      </c>
      <c r="B1795" s="2" t="n">
        <f aca="false">'Raw Data'!A1795</f>
        <v>30</v>
      </c>
      <c r="C1795" s="2" t="str">
        <f aca="false">'Raw Data'!D1795</f>
        <v>Research &amp; Development</v>
      </c>
      <c r="D1795" s="2" t="str">
        <f aca="false">'Raw Data'!K1795</f>
        <v>Laboratory Technician</v>
      </c>
      <c r="E1795" s="2" t="n">
        <f aca="false">'Raw Data'!Q1795</f>
        <v>7</v>
      </c>
      <c r="F1795" s="2" t="n">
        <f aca="false">'Raw Data'!U1795</f>
        <v>2</v>
      </c>
      <c r="G1795" s="2" t="n">
        <f aca="false">'Raw Data'!W1795</f>
        <v>3</v>
      </c>
      <c r="H1795" s="2" t="n">
        <f aca="false">'Raw Data'!V1795</f>
        <v>4</v>
      </c>
      <c r="I1795" s="2" t="n">
        <f aca="false">IF(AND(ISNUMBER(B1795),B1795&lt;=25),2,0)+IF(AND(ISNUMBER(E1795),E1795&lt;=5),2,0)+IF(AND(ISNUMBER(F1795),F1795&lt;=1),2,0)+IF(AND(ISNUMBER(G1795),G1795&lt;=2),1,0)+IF(AND(ISNUMBER(H1795),H1795&lt;=2),1,0)</f>
        <v>0</v>
      </c>
      <c r="J1795" s="2" t="str">
        <f aca="false">IF(I1795&gt;=6,"High",IF(I1795&gt;=3,"Medium","Low"))</f>
        <v>Low</v>
      </c>
    </row>
    <row r="1796" customFormat="false" ht="15" hidden="false" customHeight="true" outlineLevel="0" collapsed="false">
      <c r="A1796" s="2" t="n">
        <f aca="false">'Raw Data'!H1796</f>
        <v>1795</v>
      </c>
      <c r="B1796" s="2" t="n">
        <f aca="false">'Raw Data'!A1796</f>
        <v>40</v>
      </c>
      <c r="C1796" s="2" t="str">
        <f aca="false">'Raw Data'!D1796</f>
        <v>Research &amp; Development</v>
      </c>
      <c r="D1796" s="2" t="str">
        <f aca="false">'Raw Data'!K1796</f>
        <v>Manufacturing Director</v>
      </c>
      <c r="E1796" s="2" t="n">
        <f aca="false">'Raw Data'!Q1796</f>
        <v>8</v>
      </c>
      <c r="F1796" s="2" t="n">
        <f aca="false">'Raw Data'!U1796</f>
        <v>7</v>
      </c>
      <c r="G1796" s="2" t="n">
        <f aca="false">'Raw Data'!W1796</f>
        <v>2</v>
      </c>
      <c r="H1796" s="2" t="n">
        <f aca="false">'Raw Data'!V1796</f>
        <v>3</v>
      </c>
      <c r="I1796" s="2" t="n">
        <f aca="false">IF(AND(ISNUMBER(B1796),B1796&lt;=25),2,0)+IF(AND(ISNUMBER(E1796),E1796&lt;=5),2,0)+IF(AND(ISNUMBER(F1796),F1796&lt;=1),2,0)+IF(AND(ISNUMBER(G1796),G1796&lt;=2),1,0)+IF(AND(ISNUMBER(H1796),H1796&lt;=2),1,0)</f>
        <v>1</v>
      </c>
      <c r="J1796" s="2" t="str">
        <f aca="false">IF(I1796&gt;=6,"High",IF(I1796&gt;=3,"Medium","Low"))</f>
        <v>Low</v>
      </c>
    </row>
    <row r="1797" customFormat="false" ht="15" hidden="false" customHeight="true" outlineLevel="0" collapsed="false">
      <c r="A1797" s="2" t="n">
        <f aca="false">'Raw Data'!H1797</f>
        <v>1796</v>
      </c>
      <c r="B1797" s="2" t="n">
        <f aca="false">'Raw Data'!A1797</f>
        <v>34</v>
      </c>
      <c r="C1797" s="2" t="str">
        <f aca="false">'Raw Data'!D1797</f>
        <v>Research &amp; Development</v>
      </c>
      <c r="D1797" s="2" t="str">
        <f aca="false">'Raw Data'!K1797</f>
        <v>Healthcare Representative</v>
      </c>
      <c r="E1797" s="2" t="n">
        <f aca="false">'Raw Data'!Q1797</f>
        <v>6</v>
      </c>
      <c r="F1797" s="2" t="n">
        <f aca="false">'Raw Data'!U1797</f>
        <v>2</v>
      </c>
      <c r="G1797" s="2" t="n">
        <f aca="false">'Raw Data'!W1797</f>
        <v>1</v>
      </c>
      <c r="H1797" s="2" t="n">
        <f aca="false">'Raw Data'!V1797</f>
        <v>3</v>
      </c>
      <c r="I1797" s="2" t="n">
        <f aca="false">IF(AND(ISNUMBER(B1797),B1797&lt;=25),2,0)+IF(AND(ISNUMBER(E1797),E1797&lt;=5),2,0)+IF(AND(ISNUMBER(F1797),F1797&lt;=1),2,0)+IF(AND(ISNUMBER(G1797),G1797&lt;=2),1,0)+IF(AND(ISNUMBER(H1797),H1797&lt;=2),1,0)</f>
        <v>1</v>
      </c>
      <c r="J1797" s="2" t="str">
        <f aca="false">IF(I1797&gt;=6,"High",IF(I1797&gt;=3,"Medium","Low"))</f>
        <v>Low</v>
      </c>
    </row>
    <row r="1798" customFormat="false" ht="15" hidden="false" customHeight="true" outlineLevel="0" collapsed="false">
      <c r="A1798" s="2" t="n">
        <f aca="false">'Raw Data'!H1798</f>
        <v>1797</v>
      </c>
      <c r="B1798" s="2" t="n">
        <f aca="false">'Raw Data'!A1798</f>
        <v>42</v>
      </c>
      <c r="C1798" s="2" t="str">
        <f aca="false">'Raw Data'!D1798</f>
        <v>Research &amp; Development</v>
      </c>
      <c r="D1798" s="2" t="str">
        <f aca="false">'Raw Data'!K1798</f>
        <v>Manufacturing Director</v>
      </c>
      <c r="E1798" s="2" t="n">
        <f aca="false">'Raw Data'!Q1798</f>
        <v>24</v>
      </c>
      <c r="F1798" s="2" t="n">
        <f aca="false">'Raw Data'!U1798</f>
        <v>9</v>
      </c>
      <c r="G1798" s="2" t="n">
        <f aca="false">'Raw Data'!W1798</f>
        <v>4</v>
      </c>
      <c r="H1798" s="2" t="n">
        <f aca="false">'Raw Data'!V1798</f>
        <v>2</v>
      </c>
      <c r="I1798" s="2" t="n">
        <f aca="false">IF(AND(ISNUMBER(B1798),B1798&lt;=25),2,0)+IF(AND(ISNUMBER(E1798),E1798&lt;=5),2,0)+IF(AND(ISNUMBER(F1798),F1798&lt;=1),2,0)+IF(AND(ISNUMBER(G1798),G1798&lt;=2),1,0)+IF(AND(ISNUMBER(H1798),H1798&lt;=2),1,0)</f>
        <v>1</v>
      </c>
      <c r="J1798" s="2" t="str">
        <f aca="false">IF(I1798&gt;=6,"High",IF(I1798&gt;=3,"Medium","Low"))</f>
        <v>Low</v>
      </c>
    </row>
    <row r="1799" customFormat="false" ht="15" hidden="false" customHeight="true" outlineLevel="0" collapsed="false">
      <c r="A1799" s="2" t="n">
        <f aca="false">'Raw Data'!H1799</f>
        <v>1798</v>
      </c>
      <c r="B1799" s="2" t="n">
        <f aca="false">'Raw Data'!A1799</f>
        <v>23</v>
      </c>
      <c r="C1799" s="2" t="str">
        <f aca="false">'Raw Data'!D1799</f>
        <v>Sales</v>
      </c>
      <c r="D1799" s="2" t="str">
        <f aca="false">'Raw Data'!K1799</f>
        <v>Manufacturing Director</v>
      </c>
      <c r="E1799" s="2" t="n">
        <f aca="false">'Raw Data'!Q1799</f>
        <v>1</v>
      </c>
      <c r="F1799" s="2" t="n">
        <f aca="false">'Raw Data'!U1799</f>
        <v>0</v>
      </c>
      <c r="G1799" s="2" t="n">
        <f aca="false">'Raw Data'!W1799</f>
        <v>1</v>
      </c>
      <c r="H1799" s="2" t="n">
        <f aca="false">'Raw Data'!V1799</f>
        <v>3</v>
      </c>
      <c r="I1799" s="2" t="n">
        <f aca="false">IF(AND(ISNUMBER(B1799),B1799&lt;=25),2,0)+IF(AND(ISNUMBER(E1799),E1799&lt;=5),2,0)+IF(AND(ISNUMBER(F1799),F1799&lt;=1),2,0)+IF(AND(ISNUMBER(G1799),G1799&lt;=2),1,0)+IF(AND(ISNUMBER(H1799),H1799&lt;=2),1,0)</f>
        <v>7</v>
      </c>
      <c r="J1799" s="2" t="str">
        <f aca="false">IF(I1799&gt;=6,"High",IF(I1799&gt;=3,"Medium","Low"))</f>
        <v>High</v>
      </c>
    </row>
    <row r="1800" customFormat="false" ht="15" hidden="false" customHeight="true" outlineLevel="0" collapsed="false">
      <c r="A1800" s="2" t="n">
        <f aca="false">'Raw Data'!H1800</f>
        <v>1799</v>
      </c>
      <c r="B1800" s="2" t="n">
        <f aca="false">'Raw Data'!A1800</f>
        <v>24</v>
      </c>
      <c r="C1800" s="2" t="str">
        <f aca="false">'Raw Data'!D1800</f>
        <v>Sales</v>
      </c>
      <c r="D1800" s="2" t="str">
        <f aca="false">'Raw Data'!K1800</f>
        <v>Manufacturing Director</v>
      </c>
      <c r="E1800" s="2" t="n">
        <f aca="false">'Raw Data'!Q1800</f>
        <v>1</v>
      </c>
      <c r="F1800" s="2" t="n">
        <f aca="false">'Raw Data'!U1800</f>
        <v>0</v>
      </c>
      <c r="G1800" s="2" t="n">
        <f aca="false">'Raw Data'!W1800</f>
        <v>2</v>
      </c>
      <c r="H1800" s="2" t="n">
        <f aca="false">'Raw Data'!V1800</f>
        <v>3</v>
      </c>
      <c r="I1800" s="2" t="n">
        <f aca="false">IF(AND(ISNUMBER(B1800),B1800&lt;=25),2,0)+IF(AND(ISNUMBER(E1800),E1800&lt;=5),2,0)+IF(AND(ISNUMBER(F1800),F1800&lt;=1),2,0)+IF(AND(ISNUMBER(G1800),G1800&lt;=2),1,0)+IF(AND(ISNUMBER(H1800),H1800&lt;=2),1,0)</f>
        <v>7</v>
      </c>
      <c r="J1800" s="2" t="str">
        <f aca="false">IF(I1800&gt;=6,"High",IF(I1800&gt;=3,"Medium","Low"))</f>
        <v>High</v>
      </c>
    </row>
    <row r="1801" customFormat="false" ht="15" hidden="false" customHeight="true" outlineLevel="0" collapsed="false">
      <c r="A1801" s="2" t="n">
        <f aca="false">'Raw Data'!H1801</f>
        <v>1800</v>
      </c>
      <c r="B1801" s="2" t="n">
        <f aca="false">'Raw Data'!A1801</f>
        <v>52</v>
      </c>
      <c r="C1801" s="2" t="str">
        <f aca="false">'Raw Data'!D1801</f>
        <v>Research &amp; Development</v>
      </c>
      <c r="D1801" s="2" t="str">
        <f aca="false">'Raw Data'!K1801</f>
        <v>Manufacturing Director</v>
      </c>
      <c r="E1801" s="2" t="n">
        <f aca="false">'Raw Data'!Q1801</f>
        <v>9</v>
      </c>
      <c r="F1801" s="2" t="n">
        <f aca="false">'Raw Data'!U1801</f>
        <v>4</v>
      </c>
      <c r="G1801" s="2" t="n">
        <f aca="false">'Raw Data'!W1801</f>
        <v>3</v>
      </c>
      <c r="H1801" s="2" t="n">
        <f aca="false">'Raw Data'!V1801</f>
        <v>4</v>
      </c>
      <c r="I1801" s="2" t="n">
        <f aca="false">IF(AND(ISNUMBER(B1801),B1801&lt;=25),2,0)+IF(AND(ISNUMBER(E1801),E1801&lt;=5),2,0)+IF(AND(ISNUMBER(F1801),F1801&lt;=1),2,0)+IF(AND(ISNUMBER(G1801),G1801&lt;=2),1,0)+IF(AND(ISNUMBER(H1801),H1801&lt;=2),1,0)</f>
        <v>0</v>
      </c>
      <c r="J1801" s="2" t="str">
        <f aca="false">IF(I1801&gt;=6,"High",IF(I1801&gt;=3,"Medium","Low"))</f>
        <v>Low</v>
      </c>
    </row>
    <row r="1802" customFormat="false" ht="15" hidden="false" customHeight="true" outlineLevel="0" collapsed="false">
      <c r="A1802" s="2" t="n">
        <f aca="false">'Raw Data'!H1802</f>
        <v>1801</v>
      </c>
      <c r="B1802" s="2" t="n">
        <f aca="false">'Raw Data'!A1802</f>
        <v>50</v>
      </c>
      <c r="C1802" s="2" t="str">
        <f aca="false">'Raw Data'!D1802</f>
        <v>Research &amp; Development</v>
      </c>
      <c r="D1802" s="2" t="str">
        <f aca="false">'Raw Data'!K1802</f>
        <v>Sales Executive</v>
      </c>
      <c r="E1802" s="2" t="n">
        <f aca="false">'Raw Data'!Q1802</f>
        <v>30</v>
      </c>
      <c r="F1802" s="2" t="n">
        <f aca="false">'Raw Data'!U1802</f>
        <v>3</v>
      </c>
      <c r="G1802" s="2" t="n">
        <f aca="false">'Raw Data'!W1802</f>
        <v>3</v>
      </c>
      <c r="H1802" s="2" t="n">
        <f aca="false">'Raw Data'!V1802</f>
        <v>3</v>
      </c>
      <c r="I1802" s="2" t="n">
        <f aca="false">IF(AND(ISNUMBER(B1802),B1802&lt;=25),2,0)+IF(AND(ISNUMBER(E1802),E1802&lt;=5),2,0)+IF(AND(ISNUMBER(F1802),F1802&lt;=1),2,0)+IF(AND(ISNUMBER(G1802),G1802&lt;=2),1,0)+IF(AND(ISNUMBER(H1802),H1802&lt;=2),1,0)</f>
        <v>0</v>
      </c>
      <c r="J1802" s="2" t="str">
        <f aca="false">IF(I1802&gt;=6,"High",IF(I1802&gt;=3,"Medium","Low"))</f>
        <v>Low</v>
      </c>
    </row>
    <row r="1803" customFormat="false" ht="15" hidden="false" customHeight="true" outlineLevel="0" collapsed="false">
      <c r="A1803" s="2" t="n">
        <f aca="false">'Raw Data'!H1803</f>
        <v>1802</v>
      </c>
      <c r="B1803" s="2" t="n">
        <f aca="false">'Raw Data'!A1803</f>
        <v>29</v>
      </c>
      <c r="C1803" s="2" t="str">
        <f aca="false">'Raw Data'!D1803</f>
        <v>Sales</v>
      </c>
      <c r="D1803" s="2" t="str">
        <f aca="false">'Raw Data'!K1803</f>
        <v>Research Scientist</v>
      </c>
      <c r="E1803" s="2" t="n">
        <f aca="false">'Raw Data'!Q1803</f>
        <v>1</v>
      </c>
      <c r="F1803" s="2" t="n">
        <f aca="false">'Raw Data'!U1803</f>
        <v>0</v>
      </c>
      <c r="G1803" s="2" t="n">
        <f aca="false">'Raw Data'!W1803</f>
        <v>1</v>
      </c>
      <c r="H1803" s="2" t="n">
        <f aca="false">'Raw Data'!V1803</f>
        <v>2</v>
      </c>
      <c r="I1803" s="2" t="n">
        <f aca="false">IF(AND(ISNUMBER(B1803),B1803&lt;=25),2,0)+IF(AND(ISNUMBER(E1803),E1803&lt;=5),2,0)+IF(AND(ISNUMBER(F1803),F1803&lt;=1),2,0)+IF(AND(ISNUMBER(G1803),G1803&lt;=2),1,0)+IF(AND(ISNUMBER(H1803),H1803&lt;=2),1,0)</f>
        <v>6</v>
      </c>
      <c r="J1803" s="2" t="str">
        <f aca="false">IF(I1803&gt;=6,"High",IF(I1803&gt;=3,"Medium","Low"))</f>
        <v>High</v>
      </c>
    </row>
    <row r="1804" customFormat="false" ht="15" hidden="false" customHeight="true" outlineLevel="0" collapsed="false">
      <c r="A1804" s="2" t="n">
        <f aca="false">'Raw Data'!H1804</f>
        <v>1803</v>
      </c>
      <c r="B1804" s="2" t="n">
        <f aca="false">'Raw Data'!A1804</f>
        <v>33</v>
      </c>
      <c r="C1804" s="2" t="str">
        <f aca="false">'Raw Data'!D1804</f>
        <v>Research &amp; Development</v>
      </c>
      <c r="D1804" s="2" t="str">
        <f aca="false">'Raw Data'!K1804</f>
        <v>Manufacturing Director</v>
      </c>
      <c r="E1804" s="2" t="n">
        <f aca="false">'Raw Data'!Q1804</f>
        <v>14</v>
      </c>
      <c r="F1804" s="2" t="n">
        <f aca="false">'Raw Data'!U1804</f>
        <v>7</v>
      </c>
      <c r="G1804" s="2" t="n">
        <f aca="false">'Raw Data'!W1804</f>
        <v>3</v>
      </c>
      <c r="H1804" s="2" t="n">
        <f aca="false">'Raw Data'!V1804</f>
        <v>3</v>
      </c>
      <c r="I1804" s="2" t="n">
        <f aca="false">IF(AND(ISNUMBER(B1804),B1804&lt;=25),2,0)+IF(AND(ISNUMBER(E1804),E1804&lt;=5),2,0)+IF(AND(ISNUMBER(F1804),F1804&lt;=1),2,0)+IF(AND(ISNUMBER(G1804),G1804&lt;=2),1,0)+IF(AND(ISNUMBER(H1804),H1804&lt;=2),1,0)</f>
        <v>0</v>
      </c>
      <c r="J1804" s="2" t="str">
        <f aca="false">IF(I1804&gt;=6,"High",IF(I1804&gt;=3,"Medium","Low"))</f>
        <v>Low</v>
      </c>
    </row>
    <row r="1805" customFormat="false" ht="15" hidden="false" customHeight="true" outlineLevel="0" collapsed="false">
      <c r="A1805" s="2" t="n">
        <f aca="false">'Raw Data'!H1805</f>
        <v>1804</v>
      </c>
      <c r="B1805" s="2" t="n">
        <f aca="false">'Raw Data'!A1805</f>
        <v>33</v>
      </c>
      <c r="C1805" s="2" t="str">
        <f aca="false">'Raw Data'!D1805</f>
        <v>Research &amp; Development</v>
      </c>
      <c r="D1805" s="2" t="str">
        <f aca="false">'Raw Data'!K1805</f>
        <v>Human Resources</v>
      </c>
      <c r="E1805" s="2" t="n">
        <f aca="false">'Raw Data'!Q1805</f>
        <v>6</v>
      </c>
      <c r="F1805" s="2" t="n">
        <f aca="false">'Raw Data'!U1805</f>
        <v>2</v>
      </c>
      <c r="G1805" s="2" t="n">
        <f aca="false">'Raw Data'!W1805</f>
        <v>1</v>
      </c>
      <c r="H1805" s="2" t="n">
        <f aca="false">'Raw Data'!V1805</f>
        <v>1</v>
      </c>
      <c r="I1805" s="2" t="n">
        <f aca="false">IF(AND(ISNUMBER(B1805),B1805&lt;=25),2,0)+IF(AND(ISNUMBER(E1805),E1805&lt;=5),2,0)+IF(AND(ISNUMBER(F1805),F1805&lt;=1),2,0)+IF(AND(ISNUMBER(G1805),G1805&lt;=2),1,0)+IF(AND(ISNUMBER(H1805),H1805&lt;=2),1,0)</f>
        <v>2</v>
      </c>
      <c r="J1805" s="2" t="str">
        <f aca="false">IF(I1805&gt;=6,"High",IF(I1805&gt;=3,"Medium","Low"))</f>
        <v>Low</v>
      </c>
    </row>
    <row r="1806" customFormat="false" ht="15" hidden="false" customHeight="true" outlineLevel="0" collapsed="false">
      <c r="A1806" s="2" t="n">
        <f aca="false">'Raw Data'!H1806</f>
        <v>1805</v>
      </c>
      <c r="B1806" s="2" t="n">
        <f aca="false">'Raw Data'!A1806</f>
        <v>47</v>
      </c>
      <c r="C1806" s="2" t="str">
        <f aca="false">'Raw Data'!D1806</f>
        <v>Research &amp; Development</v>
      </c>
      <c r="D1806" s="2" t="str">
        <f aca="false">'Raw Data'!K1806</f>
        <v>Manager</v>
      </c>
      <c r="E1806" s="2" t="n">
        <f aca="false">'Raw Data'!Q1806</f>
        <v>26</v>
      </c>
      <c r="F1806" s="2" t="n">
        <f aca="false">'Raw Data'!U1806</f>
        <v>0</v>
      </c>
      <c r="G1806" s="2" t="n">
        <f aca="false">'Raw Data'!W1806</f>
        <v>4</v>
      </c>
      <c r="H1806" s="2" t="n">
        <f aca="false">'Raw Data'!V1806</f>
        <v>3</v>
      </c>
      <c r="I1806" s="2" t="n">
        <f aca="false">IF(AND(ISNUMBER(B1806),B1806&lt;=25),2,0)+IF(AND(ISNUMBER(E1806),E1806&lt;=5),2,0)+IF(AND(ISNUMBER(F1806),F1806&lt;=1),2,0)+IF(AND(ISNUMBER(G1806),G1806&lt;=2),1,0)+IF(AND(ISNUMBER(H1806),H1806&lt;=2),1,0)</f>
        <v>2</v>
      </c>
      <c r="J1806" s="2" t="str">
        <f aca="false">IF(I1806&gt;=6,"High",IF(I1806&gt;=3,"Medium","Low"))</f>
        <v>Low</v>
      </c>
    </row>
    <row r="1807" customFormat="false" ht="15" hidden="false" customHeight="true" outlineLevel="0" collapsed="false">
      <c r="A1807" s="2" t="n">
        <f aca="false">'Raw Data'!H1807</f>
        <v>1806</v>
      </c>
      <c r="B1807" s="2" t="n">
        <f aca="false">'Raw Data'!A1807</f>
        <v>36</v>
      </c>
      <c r="C1807" s="2" t="str">
        <f aca="false">'Raw Data'!D1807</f>
        <v>Sales</v>
      </c>
      <c r="D1807" s="2" t="str">
        <f aca="false">'Raw Data'!K1807</f>
        <v>Sales Executive</v>
      </c>
      <c r="E1807" s="2" t="n">
        <f aca="false">'Raw Data'!Q1807</f>
        <v>10</v>
      </c>
      <c r="F1807" s="2" t="n">
        <f aca="false">'Raw Data'!U1807</f>
        <v>5</v>
      </c>
      <c r="G1807" s="2" t="n">
        <f aca="false">'Raw Data'!W1807</f>
        <v>2</v>
      </c>
      <c r="H1807" s="2" t="n">
        <f aca="false">'Raw Data'!V1807</f>
        <v>3</v>
      </c>
      <c r="I1807" s="2" t="n">
        <f aca="false">IF(AND(ISNUMBER(B1807),B1807&lt;=25),2,0)+IF(AND(ISNUMBER(E1807),E1807&lt;=5),2,0)+IF(AND(ISNUMBER(F1807),F1807&lt;=1),2,0)+IF(AND(ISNUMBER(G1807),G1807&lt;=2),1,0)+IF(AND(ISNUMBER(H1807),H1807&lt;=2),1,0)</f>
        <v>1</v>
      </c>
      <c r="J1807" s="2" t="str">
        <f aca="false">IF(I1807&gt;=6,"High",IF(I1807&gt;=3,"Medium","Low"))</f>
        <v>Low</v>
      </c>
    </row>
    <row r="1808" customFormat="false" ht="15" hidden="false" customHeight="true" outlineLevel="0" collapsed="false">
      <c r="A1808" s="2" t="n">
        <f aca="false">'Raw Data'!H1808</f>
        <v>1807</v>
      </c>
      <c r="B1808" s="2" t="n">
        <f aca="false">'Raw Data'!A1808</f>
        <v>29</v>
      </c>
      <c r="C1808" s="2" t="str">
        <f aca="false">'Raw Data'!D1808</f>
        <v>Research &amp; Development</v>
      </c>
      <c r="D1808" s="2" t="str">
        <f aca="false">'Raw Data'!K1808</f>
        <v>Research Scientist</v>
      </c>
      <c r="E1808" s="2" t="n">
        <f aca="false">'Raw Data'!Q1808</f>
        <v>10</v>
      </c>
      <c r="F1808" s="2" t="n">
        <f aca="false">'Raw Data'!U1808</f>
        <v>7</v>
      </c>
      <c r="G1808" s="2" t="n">
        <f aca="false">'Raw Data'!W1808</f>
        <v>3</v>
      </c>
      <c r="H1808" s="2" t="n">
        <f aca="false">'Raw Data'!V1808</f>
        <v>3</v>
      </c>
      <c r="I1808" s="2" t="n">
        <f aca="false">IF(AND(ISNUMBER(B1808),B1808&lt;=25),2,0)+IF(AND(ISNUMBER(E1808),E1808&lt;=5),2,0)+IF(AND(ISNUMBER(F1808),F1808&lt;=1),2,0)+IF(AND(ISNUMBER(G1808),G1808&lt;=2),1,0)+IF(AND(ISNUMBER(H1808),H1808&lt;=2),1,0)</f>
        <v>0</v>
      </c>
      <c r="J1808" s="2" t="str">
        <f aca="false">IF(I1808&gt;=6,"High",IF(I1808&gt;=3,"Medium","Low"))</f>
        <v>Low</v>
      </c>
    </row>
    <row r="1809" customFormat="false" ht="15" hidden="false" customHeight="true" outlineLevel="0" collapsed="false">
      <c r="A1809" s="2" t="n">
        <f aca="false">'Raw Data'!H1809</f>
        <v>1808</v>
      </c>
      <c r="B1809" s="2" t="n">
        <f aca="false">'Raw Data'!A1809</f>
        <v>58</v>
      </c>
      <c r="C1809" s="2" t="str">
        <f aca="false">'Raw Data'!D1809</f>
        <v>Research &amp; Development</v>
      </c>
      <c r="D1809" s="2" t="str">
        <f aca="false">'Raw Data'!K1809</f>
        <v>Research Scientist</v>
      </c>
      <c r="E1809" s="2" t="n">
        <f aca="false">'Raw Data'!Q1809</f>
        <v>40</v>
      </c>
      <c r="F1809" s="2" t="n">
        <f aca="false">'Raw Data'!U1809</f>
        <v>8</v>
      </c>
      <c r="G1809" s="2" t="n">
        <f aca="false">'Raw Data'!W1809</f>
        <v>2</v>
      </c>
      <c r="H1809" s="2" t="n">
        <f aca="false">'Raw Data'!V1809</f>
        <v>4</v>
      </c>
      <c r="I1809" s="2" t="n">
        <f aca="false">IF(AND(ISNUMBER(B1809),B1809&lt;=25),2,0)+IF(AND(ISNUMBER(E1809),E1809&lt;=5),2,0)+IF(AND(ISNUMBER(F1809),F1809&lt;=1),2,0)+IF(AND(ISNUMBER(G1809),G1809&lt;=2),1,0)+IF(AND(ISNUMBER(H1809),H1809&lt;=2),1,0)</f>
        <v>1</v>
      </c>
      <c r="J1809" s="2" t="str">
        <f aca="false">IF(I1809&gt;=6,"High",IF(I1809&gt;=3,"Medium","Low"))</f>
        <v>Low</v>
      </c>
    </row>
    <row r="1810" customFormat="false" ht="15" hidden="false" customHeight="true" outlineLevel="0" collapsed="false">
      <c r="A1810" s="2" t="n">
        <f aca="false">'Raw Data'!H1810</f>
        <v>1809</v>
      </c>
      <c r="B1810" s="2" t="n">
        <f aca="false">'Raw Data'!A1810</f>
        <v>35</v>
      </c>
      <c r="C1810" s="2" t="str">
        <f aca="false">'Raw Data'!D1810</f>
        <v>Sales</v>
      </c>
      <c r="D1810" s="2" t="str">
        <f aca="false">'Raw Data'!K1810</f>
        <v>Research Scientist</v>
      </c>
      <c r="E1810" s="2" t="n">
        <f aca="false">'Raw Data'!Q1810</f>
        <v>7</v>
      </c>
      <c r="F1810" s="2" t="n">
        <f aca="false">'Raw Data'!U1810</f>
        <v>2</v>
      </c>
      <c r="G1810" s="2" t="n">
        <f aca="false">'Raw Data'!W1810</f>
        <v>3</v>
      </c>
      <c r="H1810" s="2" t="n">
        <f aca="false">'Raw Data'!V1810</f>
        <v>4</v>
      </c>
      <c r="I1810" s="2" t="n">
        <f aca="false">IF(AND(ISNUMBER(B1810),B1810&lt;=25),2,0)+IF(AND(ISNUMBER(E1810),E1810&lt;=5),2,0)+IF(AND(ISNUMBER(F1810),F1810&lt;=1),2,0)+IF(AND(ISNUMBER(G1810),G1810&lt;=2),1,0)+IF(AND(ISNUMBER(H1810),H1810&lt;=2),1,0)</f>
        <v>0</v>
      </c>
      <c r="J1810" s="2" t="str">
        <f aca="false">IF(I1810&gt;=6,"High",IF(I1810&gt;=3,"Medium","Low"))</f>
        <v>Low</v>
      </c>
    </row>
    <row r="1811" customFormat="false" ht="15" hidden="false" customHeight="true" outlineLevel="0" collapsed="false">
      <c r="A1811" s="2" t="n">
        <f aca="false">'Raw Data'!H1811</f>
        <v>1810</v>
      </c>
      <c r="B1811" s="2" t="n">
        <f aca="false">'Raw Data'!A1811</f>
        <v>42</v>
      </c>
      <c r="C1811" s="2" t="str">
        <f aca="false">'Raw Data'!D1811</f>
        <v>Sales</v>
      </c>
      <c r="D1811" s="2" t="str">
        <f aca="false">'Raw Data'!K1811</f>
        <v>Laboratory Technician</v>
      </c>
      <c r="E1811" s="2" t="n">
        <f aca="false">'Raw Data'!Q1811</f>
        <v>8</v>
      </c>
      <c r="F1811" s="2" t="n">
        <f aca="false">'Raw Data'!U1811</f>
        <v>2</v>
      </c>
      <c r="G1811" s="2" t="n">
        <f aca="false">'Raw Data'!W1811</f>
        <v>4</v>
      </c>
      <c r="H1811" s="2" t="n">
        <f aca="false">'Raw Data'!V1811</f>
        <v>4</v>
      </c>
      <c r="I1811" s="2" t="n">
        <f aca="false">IF(AND(ISNUMBER(B1811),B1811&lt;=25),2,0)+IF(AND(ISNUMBER(E1811),E1811&lt;=5),2,0)+IF(AND(ISNUMBER(F1811),F1811&lt;=1),2,0)+IF(AND(ISNUMBER(G1811),G1811&lt;=2),1,0)+IF(AND(ISNUMBER(H1811),H1811&lt;=2),1,0)</f>
        <v>0</v>
      </c>
      <c r="J1811" s="2" t="str">
        <f aca="false">IF(I1811&gt;=6,"High",IF(I1811&gt;=3,"Medium","Low"))</f>
        <v>Low</v>
      </c>
    </row>
    <row r="1812" customFormat="false" ht="15" hidden="false" customHeight="true" outlineLevel="0" collapsed="false">
      <c r="A1812" s="2" t="n">
        <f aca="false">'Raw Data'!H1812</f>
        <v>1811</v>
      </c>
      <c r="B1812" s="2" t="n">
        <f aca="false">'Raw Data'!A1812</f>
        <v>28</v>
      </c>
      <c r="C1812" s="2" t="str">
        <f aca="false">'Raw Data'!D1812</f>
        <v>Research &amp; Development</v>
      </c>
      <c r="D1812" s="2" t="str">
        <f aca="false">'Raw Data'!K1812</f>
        <v>Sales Executive</v>
      </c>
      <c r="E1812" s="2" t="n">
        <f aca="false">'Raw Data'!Q1812</f>
        <v>5</v>
      </c>
      <c r="F1812" s="2" t="n">
        <f aca="false">'Raw Data'!U1812</f>
        <v>1</v>
      </c>
      <c r="G1812" s="2" t="n">
        <f aca="false">'Raw Data'!W1812</f>
        <v>3</v>
      </c>
      <c r="H1812" s="2" t="n">
        <f aca="false">'Raw Data'!V1812</f>
        <v>3</v>
      </c>
      <c r="I1812" s="2" t="n">
        <f aca="false">IF(AND(ISNUMBER(B1812),B1812&lt;=25),2,0)+IF(AND(ISNUMBER(E1812),E1812&lt;=5),2,0)+IF(AND(ISNUMBER(F1812),F1812&lt;=1),2,0)+IF(AND(ISNUMBER(G1812),G1812&lt;=2),1,0)+IF(AND(ISNUMBER(H1812),H1812&lt;=2),1,0)</f>
        <v>4</v>
      </c>
      <c r="J1812" s="2" t="str">
        <f aca="false">IF(I1812&gt;=6,"High",IF(I1812&gt;=3,"Medium","Low"))</f>
        <v>Medium</v>
      </c>
    </row>
    <row r="1813" customFormat="false" ht="15" hidden="false" customHeight="true" outlineLevel="0" collapsed="false">
      <c r="A1813" s="2" t="n">
        <f aca="false">'Raw Data'!H1813</f>
        <v>1812</v>
      </c>
      <c r="B1813" s="2" t="n">
        <f aca="false">'Raw Data'!A1813</f>
        <v>36</v>
      </c>
      <c r="C1813" s="2" t="str">
        <f aca="false">'Raw Data'!D1813</f>
        <v>Research &amp; Development</v>
      </c>
      <c r="D1813" s="2" t="str">
        <f aca="false">'Raw Data'!K1813</f>
        <v>Healthcare Representative</v>
      </c>
      <c r="E1813" s="2" t="n">
        <f aca="false">'Raw Data'!Q1813</f>
        <v>8</v>
      </c>
      <c r="F1813" s="2" t="n">
        <f aca="false">'Raw Data'!U1813</f>
        <v>4</v>
      </c>
      <c r="G1813" s="2" t="n">
        <f aca="false">'Raw Data'!W1813</f>
        <v>2</v>
      </c>
      <c r="H1813" s="2" t="n">
        <f aca="false">'Raw Data'!V1813</f>
        <v>3</v>
      </c>
      <c r="I1813" s="2" t="n">
        <f aca="false">IF(AND(ISNUMBER(B1813),B1813&lt;=25),2,0)+IF(AND(ISNUMBER(E1813),E1813&lt;=5),2,0)+IF(AND(ISNUMBER(F1813),F1813&lt;=1),2,0)+IF(AND(ISNUMBER(G1813),G1813&lt;=2),1,0)+IF(AND(ISNUMBER(H1813),H1813&lt;=2),1,0)</f>
        <v>1</v>
      </c>
      <c r="J1813" s="2" t="str">
        <f aca="false">IF(I1813&gt;=6,"High",IF(I1813&gt;=3,"Medium","Low"))</f>
        <v>Low</v>
      </c>
    </row>
    <row r="1814" customFormat="false" ht="15" hidden="false" customHeight="true" outlineLevel="0" collapsed="false">
      <c r="A1814" s="2" t="n">
        <f aca="false">'Raw Data'!H1814</f>
        <v>1813</v>
      </c>
      <c r="B1814" s="2" t="n">
        <f aca="false">'Raw Data'!A1814</f>
        <v>32</v>
      </c>
      <c r="C1814" s="2" t="str">
        <f aca="false">'Raw Data'!D1814</f>
        <v>Research &amp; Development</v>
      </c>
      <c r="D1814" s="2" t="str">
        <f aca="false">'Raw Data'!K1814</f>
        <v>Manufacturing Director</v>
      </c>
      <c r="E1814" s="2" t="n">
        <f aca="false">'Raw Data'!Q1814</f>
        <v>14</v>
      </c>
      <c r="F1814" s="2" t="n">
        <f aca="false">'Raw Data'!U1814</f>
        <v>8</v>
      </c>
      <c r="G1814" s="2" t="n">
        <f aca="false">'Raw Data'!W1814</f>
        <v>3</v>
      </c>
      <c r="H1814" s="2" t="n">
        <f aca="false">'Raw Data'!V1814</f>
        <v>0</v>
      </c>
      <c r="I1814" s="2" t="n">
        <f aca="false">IF(AND(ISNUMBER(B1814),B1814&lt;=25),2,0)+IF(AND(ISNUMBER(E1814),E1814&lt;=5),2,0)+IF(AND(ISNUMBER(F1814),F1814&lt;=1),2,0)+IF(AND(ISNUMBER(G1814),G1814&lt;=2),1,0)+IF(AND(ISNUMBER(H1814),H1814&lt;=2),1,0)</f>
        <v>0</v>
      </c>
      <c r="J1814" s="2" t="str">
        <f aca="false">IF(I1814&gt;=6,"High",IF(I1814&gt;=3,"Medium","Low"))</f>
        <v>Low</v>
      </c>
    </row>
    <row r="1815" customFormat="false" ht="15" hidden="false" customHeight="true" outlineLevel="0" collapsed="false">
      <c r="A1815" s="2" t="n">
        <f aca="false">'Raw Data'!H1815</f>
        <v>1814</v>
      </c>
      <c r="B1815" s="2" t="n">
        <f aca="false">'Raw Data'!A1815</f>
        <v>40</v>
      </c>
      <c r="C1815" s="2" t="str">
        <f aca="false">'Raw Data'!D1815</f>
        <v>Sales</v>
      </c>
      <c r="D1815" s="2" t="str">
        <f aca="false">'Raw Data'!K1815</f>
        <v>Manufacturing Director</v>
      </c>
      <c r="E1815" s="2" t="n">
        <f aca="false">'Raw Data'!Q1815</f>
        <v>10</v>
      </c>
      <c r="F1815" s="2" t="n">
        <f aca="false">'Raw Data'!U1815</f>
        <v>0</v>
      </c>
      <c r="G1815" s="2" t="n">
        <f aca="false">'Raw Data'!W1815</f>
        <v>3</v>
      </c>
      <c r="H1815" s="2" t="n">
        <f aca="false">'Raw Data'!V1815</f>
        <v>1</v>
      </c>
      <c r="I1815" s="2" t="n">
        <f aca="false">IF(AND(ISNUMBER(B1815),B1815&lt;=25),2,0)+IF(AND(ISNUMBER(E1815),E1815&lt;=5),2,0)+IF(AND(ISNUMBER(F1815),F1815&lt;=1),2,0)+IF(AND(ISNUMBER(G1815),G1815&lt;=2),1,0)+IF(AND(ISNUMBER(H1815),H1815&lt;=2),1,0)</f>
        <v>3</v>
      </c>
      <c r="J1815" s="2" t="str">
        <f aca="false">IF(I1815&gt;=6,"High",IF(I1815&gt;=3,"Medium","Low"))</f>
        <v>Medium</v>
      </c>
    </row>
    <row r="1816" customFormat="false" ht="15" hidden="false" customHeight="true" outlineLevel="0" collapsed="false">
      <c r="A1816" s="2" t="n">
        <f aca="false">'Raw Data'!H1816</f>
        <v>1815</v>
      </c>
      <c r="B1816" s="2" t="n">
        <f aca="false">'Raw Data'!A1816</f>
        <v>30</v>
      </c>
      <c r="C1816" s="2" t="str">
        <f aca="false">'Raw Data'!D1816</f>
        <v>Research &amp; Development</v>
      </c>
      <c r="D1816" s="2" t="str">
        <f aca="false">'Raw Data'!K1816</f>
        <v>Research Director</v>
      </c>
      <c r="E1816" s="2" t="n">
        <f aca="false">'Raw Data'!Q1816</f>
        <v>12</v>
      </c>
      <c r="F1816" s="2" t="n">
        <f aca="false">'Raw Data'!U1816</f>
        <v>0</v>
      </c>
      <c r="G1816" s="2" t="n">
        <f aca="false">'Raw Data'!W1816</f>
        <v>4</v>
      </c>
      <c r="H1816" s="2" t="n">
        <f aca="false">'Raw Data'!V1816</f>
        <v>3</v>
      </c>
      <c r="I1816" s="2" t="n">
        <f aca="false">IF(AND(ISNUMBER(B1816),B1816&lt;=25),2,0)+IF(AND(ISNUMBER(E1816),E1816&lt;=5),2,0)+IF(AND(ISNUMBER(F1816),F1816&lt;=1),2,0)+IF(AND(ISNUMBER(G1816),G1816&lt;=2),1,0)+IF(AND(ISNUMBER(H1816),H1816&lt;=2),1,0)</f>
        <v>2</v>
      </c>
      <c r="J1816" s="2" t="str">
        <f aca="false">IF(I1816&gt;=6,"High",IF(I1816&gt;=3,"Medium","Low"))</f>
        <v>Low</v>
      </c>
    </row>
    <row r="1817" customFormat="false" ht="15" hidden="false" customHeight="true" outlineLevel="0" collapsed="false">
      <c r="A1817" s="2" t="n">
        <f aca="false">'Raw Data'!H1817</f>
        <v>1816</v>
      </c>
      <c r="B1817" s="2" t="n">
        <f aca="false">'Raw Data'!A1817</f>
        <v>45</v>
      </c>
      <c r="C1817" s="2" t="str">
        <f aca="false">'Raw Data'!D1817</f>
        <v>Research &amp; Development</v>
      </c>
      <c r="D1817" s="2" t="str">
        <f aca="false">'Raw Data'!K1817</f>
        <v>Research Director</v>
      </c>
      <c r="E1817" s="2" t="n">
        <f aca="false">'Raw Data'!Q1817</f>
        <v>1</v>
      </c>
      <c r="F1817" s="2" t="n">
        <f aca="false">'Raw Data'!U1817</f>
        <v>0</v>
      </c>
      <c r="G1817" s="2" t="n">
        <f aca="false">'Raw Data'!W1817</f>
        <v>3</v>
      </c>
      <c r="H1817" s="2" t="n">
        <f aca="false">'Raw Data'!V1817</f>
        <v>2</v>
      </c>
      <c r="I1817" s="2" t="n">
        <f aca="false">IF(AND(ISNUMBER(B1817),B1817&lt;=25),2,0)+IF(AND(ISNUMBER(E1817),E1817&lt;=5),2,0)+IF(AND(ISNUMBER(F1817),F1817&lt;=1),2,0)+IF(AND(ISNUMBER(G1817),G1817&lt;=2),1,0)+IF(AND(ISNUMBER(H1817),H1817&lt;=2),1,0)</f>
        <v>5</v>
      </c>
      <c r="J1817" s="2" t="str">
        <f aca="false">IF(I1817&gt;=6,"High",IF(I1817&gt;=3,"Medium","Low"))</f>
        <v>Medium</v>
      </c>
    </row>
    <row r="1818" customFormat="false" ht="15" hidden="false" customHeight="true" outlineLevel="0" collapsed="false">
      <c r="A1818" s="2" t="n">
        <f aca="false">'Raw Data'!H1818</f>
        <v>1817</v>
      </c>
      <c r="B1818" s="2" t="n">
        <f aca="false">'Raw Data'!A1818</f>
        <v>42</v>
      </c>
      <c r="C1818" s="2" t="str">
        <f aca="false">'Raw Data'!D1818</f>
        <v>Research &amp; Development</v>
      </c>
      <c r="D1818" s="2" t="str">
        <f aca="false">'Raw Data'!K1818</f>
        <v>Sales Representative</v>
      </c>
      <c r="E1818" s="2" t="n">
        <f aca="false">'Raw Data'!Q1818</f>
        <v>10</v>
      </c>
      <c r="F1818" s="2" t="n">
        <f aca="false">'Raw Data'!U1818</f>
        <v>8</v>
      </c>
      <c r="G1818" s="2" t="n">
        <f aca="false">'Raw Data'!W1818</f>
        <v>2</v>
      </c>
      <c r="H1818" s="2" t="n">
        <f aca="false">'Raw Data'!V1818</f>
        <v>2</v>
      </c>
      <c r="I1818" s="2" t="n">
        <f aca="false">IF(AND(ISNUMBER(B1818),B1818&lt;=25),2,0)+IF(AND(ISNUMBER(E1818),E1818&lt;=5),2,0)+IF(AND(ISNUMBER(F1818),F1818&lt;=1),2,0)+IF(AND(ISNUMBER(G1818),G1818&lt;=2),1,0)+IF(AND(ISNUMBER(H1818),H1818&lt;=2),1,0)</f>
        <v>2</v>
      </c>
      <c r="J1818" s="2" t="str">
        <f aca="false">IF(I1818&gt;=6,"High",IF(I1818&gt;=3,"Medium","Low"))</f>
        <v>Low</v>
      </c>
    </row>
    <row r="1819" customFormat="false" ht="15" hidden="false" customHeight="true" outlineLevel="0" collapsed="false">
      <c r="A1819" s="2" t="n">
        <f aca="false">'Raw Data'!H1819</f>
        <v>1818</v>
      </c>
      <c r="B1819" s="2" t="n">
        <f aca="false">'Raw Data'!A1819</f>
        <v>38</v>
      </c>
      <c r="C1819" s="2" t="str">
        <f aca="false">'Raw Data'!D1819</f>
        <v>Sales</v>
      </c>
      <c r="D1819" s="2" t="str">
        <f aca="false">'Raw Data'!K1819</f>
        <v>Research Scientist</v>
      </c>
      <c r="E1819" s="2" t="n">
        <f aca="false">'Raw Data'!Q1819</f>
        <v>13</v>
      </c>
      <c r="F1819" s="2" t="n">
        <f aca="false">'Raw Data'!U1819</f>
        <v>2</v>
      </c>
      <c r="G1819" s="2" t="n">
        <f aca="false">'Raw Data'!W1819</f>
        <v>1</v>
      </c>
      <c r="H1819" s="2" t="n">
        <f aca="false">'Raw Data'!V1819</f>
        <v>1</v>
      </c>
      <c r="I1819" s="2" t="n">
        <f aca="false">IF(AND(ISNUMBER(B1819),B1819&lt;=25),2,0)+IF(AND(ISNUMBER(E1819),E1819&lt;=5),2,0)+IF(AND(ISNUMBER(F1819),F1819&lt;=1),2,0)+IF(AND(ISNUMBER(G1819),G1819&lt;=2),1,0)+IF(AND(ISNUMBER(H1819),H1819&lt;=2),1,0)</f>
        <v>2</v>
      </c>
      <c r="J1819" s="2" t="str">
        <f aca="false">IF(I1819&gt;=6,"High",IF(I1819&gt;=3,"Medium","Low"))</f>
        <v>Low</v>
      </c>
    </row>
    <row r="1820" customFormat="false" ht="15" hidden="false" customHeight="true" outlineLevel="0" collapsed="false">
      <c r="A1820" s="2" t="n">
        <f aca="false">'Raw Data'!H1820</f>
        <v>1819</v>
      </c>
      <c r="B1820" s="2" t="n">
        <f aca="false">'Raw Data'!A1820</f>
        <v>34</v>
      </c>
      <c r="C1820" s="2" t="str">
        <f aca="false">'Raw Data'!D1820</f>
        <v>Research &amp; Development</v>
      </c>
      <c r="D1820" s="2" t="str">
        <f aca="false">'Raw Data'!K1820</f>
        <v>Laboratory Technician</v>
      </c>
      <c r="E1820" s="2" t="n">
        <f aca="false">'Raw Data'!Q1820</f>
        <v>6</v>
      </c>
      <c r="F1820" s="2" t="n">
        <f aca="false">'Raw Data'!U1820</f>
        <v>3</v>
      </c>
      <c r="G1820" s="2" t="n">
        <f aca="false">'Raw Data'!W1820</f>
        <v>4</v>
      </c>
      <c r="H1820" s="2" t="n">
        <f aca="false">'Raw Data'!V1820</f>
        <v>3</v>
      </c>
      <c r="I1820" s="2" t="n">
        <f aca="false">IF(AND(ISNUMBER(B1820),B1820&lt;=25),2,0)+IF(AND(ISNUMBER(E1820),E1820&lt;=5),2,0)+IF(AND(ISNUMBER(F1820),F1820&lt;=1),2,0)+IF(AND(ISNUMBER(G1820),G1820&lt;=2),1,0)+IF(AND(ISNUMBER(H1820),H1820&lt;=2),1,0)</f>
        <v>0</v>
      </c>
      <c r="J1820" s="2" t="str">
        <f aca="false">IF(I1820&gt;=6,"High",IF(I1820&gt;=3,"Medium","Low"))</f>
        <v>Low</v>
      </c>
    </row>
    <row r="1821" customFormat="false" ht="15" hidden="false" customHeight="true" outlineLevel="0" collapsed="false">
      <c r="A1821" s="2" t="n">
        <f aca="false">'Raw Data'!H1821</f>
        <v>1820</v>
      </c>
      <c r="B1821" s="2" t="n">
        <f aca="false">'Raw Data'!A1821</f>
        <v>49</v>
      </c>
      <c r="C1821" s="2" t="str">
        <f aca="false">'Raw Data'!D1821</f>
        <v>Sales</v>
      </c>
      <c r="D1821" s="2" t="str">
        <f aca="false">'Raw Data'!K1821</f>
        <v>Healthcare Representative</v>
      </c>
      <c r="E1821" s="2" t="n">
        <f aca="false">'Raw Data'!Q1821</f>
        <v>9</v>
      </c>
      <c r="F1821" s="2" t="n">
        <f aca="false">'Raw Data'!U1821</f>
        <v>7</v>
      </c>
      <c r="G1821" s="2" t="n">
        <f aca="false">'Raw Data'!W1821</f>
        <v>4</v>
      </c>
      <c r="H1821" s="2" t="n">
        <f aca="false">'Raw Data'!V1821</f>
        <v>3</v>
      </c>
      <c r="I1821" s="2" t="n">
        <f aca="false">IF(AND(ISNUMBER(B1821),B1821&lt;=25),2,0)+IF(AND(ISNUMBER(E1821),E1821&lt;=5),2,0)+IF(AND(ISNUMBER(F1821),F1821&lt;=1),2,0)+IF(AND(ISNUMBER(G1821),G1821&lt;=2),1,0)+IF(AND(ISNUMBER(H1821),H1821&lt;=2),1,0)</f>
        <v>0</v>
      </c>
      <c r="J1821" s="2" t="str">
        <f aca="false">IF(I1821&gt;=6,"High",IF(I1821&gt;=3,"Medium","Low"))</f>
        <v>Low</v>
      </c>
    </row>
    <row r="1822" customFormat="false" ht="15" hidden="false" customHeight="true" outlineLevel="0" collapsed="false">
      <c r="A1822" s="2" t="n">
        <f aca="false">'Raw Data'!H1822</f>
        <v>1821</v>
      </c>
      <c r="B1822" s="2" t="n">
        <f aca="false">'Raw Data'!A1822</f>
        <v>55</v>
      </c>
      <c r="C1822" s="2" t="str">
        <f aca="false">'Raw Data'!D1822</f>
        <v>Human Resources</v>
      </c>
      <c r="D1822" s="2" t="str">
        <f aca="false">'Raw Data'!K1822</f>
        <v>Manufacturing Director</v>
      </c>
      <c r="E1822" s="2" t="n">
        <f aca="false">'Raw Data'!Q1822</f>
        <v>12</v>
      </c>
      <c r="F1822" s="2" t="n">
        <f aca="false">'Raw Data'!U1822</f>
        <v>3</v>
      </c>
      <c r="G1822" s="2" t="n">
        <f aca="false">'Raw Data'!W1822</f>
        <v>4</v>
      </c>
      <c r="H1822" s="2" t="n">
        <f aca="false">'Raw Data'!V1822</f>
        <v>3</v>
      </c>
      <c r="I1822" s="2" t="n">
        <f aca="false">IF(AND(ISNUMBER(B1822),B1822&lt;=25),2,0)+IF(AND(ISNUMBER(E1822),E1822&lt;=5),2,0)+IF(AND(ISNUMBER(F1822),F1822&lt;=1),2,0)+IF(AND(ISNUMBER(G1822),G1822&lt;=2),1,0)+IF(AND(ISNUMBER(H1822),H1822&lt;=2),1,0)</f>
        <v>0</v>
      </c>
      <c r="J1822" s="2" t="str">
        <f aca="false">IF(I1822&gt;=6,"High",IF(I1822&gt;=3,"Medium","Low"))</f>
        <v>Low</v>
      </c>
    </row>
    <row r="1823" customFormat="false" ht="15" hidden="false" customHeight="true" outlineLevel="0" collapsed="false">
      <c r="A1823" s="2" t="n">
        <f aca="false">'Raw Data'!H1823</f>
        <v>1822</v>
      </c>
      <c r="B1823" s="2" t="n">
        <f aca="false">'Raw Data'!A1823</f>
        <v>43</v>
      </c>
      <c r="C1823" s="2" t="str">
        <f aca="false">'Raw Data'!D1823</f>
        <v>Research &amp; Development</v>
      </c>
      <c r="D1823" s="2" t="str">
        <f aca="false">'Raw Data'!K1823</f>
        <v>Healthcare Representative</v>
      </c>
      <c r="E1823" s="2" t="n">
        <f aca="false">'Raw Data'!Q1823</f>
        <v>22</v>
      </c>
      <c r="F1823" s="2" t="n">
        <f aca="false">'Raw Data'!U1823</f>
        <v>0</v>
      </c>
      <c r="G1823" s="2" t="n">
        <f aca="false">'Raw Data'!W1823</f>
        <v>1</v>
      </c>
      <c r="H1823" s="2" t="n">
        <f aca="false">'Raw Data'!V1823</f>
        <v>2</v>
      </c>
      <c r="I1823" s="2" t="n">
        <f aca="false">IF(AND(ISNUMBER(B1823),B1823&lt;=25),2,0)+IF(AND(ISNUMBER(E1823),E1823&lt;=5),2,0)+IF(AND(ISNUMBER(F1823),F1823&lt;=1),2,0)+IF(AND(ISNUMBER(G1823),G1823&lt;=2),1,0)+IF(AND(ISNUMBER(H1823),H1823&lt;=2),1,0)</f>
        <v>4</v>
      </c>
      <c r="J1823" s="2" t="str">
        <f aca="false">IF(I1823&gt;=6,"High",IF(I1823&gt;=3,"Medium","Low"))</f>
        <v>Medium</v>
      </c>
    </row>
    <row r="1824" customFormat="false" ht="15" hidden="false" customHeight="true" outlineLevel="0" collapsed="false">
      <c r="A1824" s="2" t="n">
        <f aca="false">'Raw Data'!H1824</f>
        <v>1823</v>
      </c>
      <c r="B1824" s="2" t="n">
        <f aca="false">'Raw Data'!A1824</f>
        <v>27</v>
      </c>
      <c r="C1824" s="2" t="str">
        <f aca="false">'Raw Data'!D1824</f>
        <v>Sales</v>
      </c>
      <c r="D1824" s="2" t="str">
        <f aca="false">'Raw Data'!K1824</f>
        <v>Manager</v>
      </c>
      <c r="E1824" s="2" t="n">
        <f aca="false">'Raw Data'!Q1824</f>
        <v>9</v>
      </c>
      <c r="F1824" s="2" t="n">
        <f aca="false">'Raw Data'!U1824</f>
        <v>8</v>
      </c>
      <c r="G1824" s="2" t="n">
        <f aca="false">'Raw Data'!W1824</f>
        <v>4</v>
      </c>
      <c r="H1824" s="2" t="n">
        <f aca="false">'Raw Data'!V1824</f>
        <v>3</v>
      </c>
      <c r="I1824" s="2" t="n">
        <f aca="false">IF(AND(ISNUMBER(B1824),B1824&lt;=25),2,0)+IF(AND(ISNUMBER(E1824),E1824&lt;=5),2,0)+IF(AND(ISNUMBER(F1824),F1824&lt;=1),2,0)+IF(AND(ISNUMBER(G1824),G1824&lt;=2),1,0)+IF(AND(ISNUMBER(H1824),H1824&lt;=2),1,0)</f>
        <v>0</v>
      </c>
      <c r="J1824" s="2" t="str">
        <f aca="false">IF(I1824&gt;=6,"High",IF(I1824&gt;=3,"Medium","Low"))</f>
        <v>Low</v>
      </c>
    </row>
    <row r="1825" customFormat="false" ht="15" hidden="false" customHeight="true" outlineLevel="0" collapsed="false">
      <c r="A1825" s="2" t="n">
        <f aca="false">'Raw Data'!H1825</f>
        <v>1824</v>
      </c>
      <c r="B1825" s="2" t="n">
        <f aca="false">'Raw Data'!A1825</f>
        <v>35</v>
      </c>
      <c r="C1825" s="2" t="str">
        <f aca="false">'Raw Data'!D1825</f>
        <v>Research &amp; Development</v>
      </c>
      <c r="D1825" s="2" t="str">
        <f aca="false">'Raw Data'!K1825</f>
        <v>Research Director</v>
      </c>
      <c r="E1825" s="2" t="n">
        <f aca="false">'Raw Data'!Q1825</f>
        <v>17</v>
      </c>
      <c r="F1825" s="2" t="n">
        <f aca="false">'Raw Data'!U1825</f>
        <v>6</v>
      </c>
      <c r="G1825" s="2" t="n">
        <f aca="false">'Raw Data'!W1825</f>
        <v>3</v>
      </c>
      <c r="H1825" s="2" t="n">
        <f aca="false">'Raw Data'!V1825</f>
        <v>3</v>
      </c>
      <c r="I1825" s="2" t="n">
        <f aca="false">IF(AND(ISNUMBER(B1825),B1825&lt;=25),2,0)+IF(AND(ISNUMBER(E1825),E1825&lt;=5),2,0)+IF(AND(ISNUMBER(F1825),F1825&lt;=1),2,0)+IF(AND(ISNUMBER(G1825),G1825&lt;=2),1,0)+IF(AND(ISNUMBER(H1825),H1825&lt;=2),1,0)</f>
        <v>0</v>
      </c>
      <c r="J1825" s="2" t="str">
        <f aca="false">IF(I1825&gt;=6,"High",IF(I1825&gt;=3,"Medium","Low"))</f>
        <v>Low</v>
      </c>
    </row>
    <row r="1826" customFormat="false" ht="15" hidden="false" customHeight="true" outlineLevel="0" collapsed="false">
      <c r="A1826" s="2" t="n">
        <f aca="false">'Raw Data'!H1826</f>
        <v>1825</v>
      </c>
      <c r="B1826" s="2" t="n">
        <f aca="false">'Raw Data'!A1826</f>
        <v>28</v>
      </c>
      <c r="C1826" s="2" t="str">
        <f aca="false">'Raw Data'!D1826</f>
        <v>Sales</v>
      </c>
      <c r="D1826" s="2" t="str">
        <f aca="false">'Raw Data'!K1826</f>
        <v>Sales Executive</v>
      </c>
      <c r="E1826" s="2" t="n">
        <f aca="false">'Raw Data'!Q1826</f>
        <v>8</v>
      </c>
      <c r="F1826" s="2" t="n">
        <f aca="false">'Raw Data'!U1826</f>
        <v>5</v>
      </c>
      <c r="G1826" s="2" t="n">
        <f aca="false">'Raw Data'!W1826</f>
        <v>2</v>
      </c>
      <c r="H1826" s="2" t="n">
        <f aca="false">'Raw Data'!V1826</f>
        <v>2</v>
      </c>
      <c r="I1826" s="2" t="n">
        <f aca="false">IF(AND(ISNUMBER(B1826),B1826&lt;=25),2,0)+IF(AND(ISNUMBER(E1826),E1826&lt;=5),2,0)+IF(AND(ISNUMBER(F1826),F1826&lt;=1),2,0)+IF(AND(ISNUMBER(G1826),G1826&lt;=2),1,0)+IF(AND(ISNUMBER(H1826),H1826&lt;=2),1,0)</f>
        <v>2</v>
      </c>
      <c r="J1826" s="2" t="str">
        <f aca="false">IF(I1826&gt;=6,"High",IF(I1826&gt;=3,"Medium","Low"))</f>
        <v>Low</v>
      </c>
    </row>
    <row r="1827" customFormat="false" ht="15" hidden="false" customHeight="true" outlineLevel="0" collapsed="false">
      <c r="A1827" s="2" t="n">
        <f aca="false">'Raw Data'!H1827</f>
        <v>1826</v>
      </c>
      <c r="B1827" s="2" t="n">
        <f aca="false">'Raw Data'!A1827</f>
        <v>34</v>
      </c>
      <c r="C1827" s="2" t="str">
        <f aca="false">'Raw Data'!D1827</f>
        <v>Sales</v>
      </c>
      <c r="D1827" s="2" t="str">
        <f aca="false">'Raw Data'!K1827</f>
        <v>Research Scientist</v>
      </c>
      <c r="E1827" s="2" t="n">
        <f aca="false">'Raw Data'!Q1827</f>
        <v>4</v>
      </c>
      <c r="F1827" s="2" t="n">
        <f aca="false">'Raw Data'!U1827</f>
        <v>2</v>
      </c>
      <c r="G1827" s="2" t="n">
        <f aca="false">'Raw Data'!W1827</f>
        <v>4</v>
      </c>
      <c r="H1827" s="2" t="n">
        <f aca="false">'Raw Data'!V1827</f>
        <v>3</v>
      </c>
      <c r="I1827" s="2" t="n">
        <f aca="false">IF(AND(ISNUMBER(B1827),B1827&lt;=25),2,0)+IF(AND(ISNUMBER(E1827),E1827&lt;=5),2,0)+IF(AND(ISNUMBER(F1827),F1827&lt;=1),2,0)+IF(AND(ISNUMBER(G1827),G1827&lt;=2),1,0)+IF(AND(ISNUMBER(H1827),H1827&lt;=2),1,0)</f>
        <v>2</v>
      </c>
      <c r="J1827" s="2" t="str">
        <f aca="false">IF(I1827&gt;=6,"High",IF(I1827&gt;=3,"Medium","Low"))</f>
        <v>Low</v>
      </c>
    </row>
    <row r="1828" customFormat="false" ht="15" hidden="false" customHeight="true" outlineLevel="0" collapsed="false">
      <c r="A1828" s="2" t="n">
        <f aca="false">'Raw Data'!H1828</f>
        <v>1827</v>
      </c>
      <c r="B1828" s="2" t="n">
        <f aca="false">'Raw Data'!A1828</f>
        <v>26</v>
      </c>
      <c r="C1828" s="2" t="str">
        <f aca="false">'Raw Data'!D1828</f>
        <v>Research &amp; Development</v>
      </c>
      <c r="D1828" s="2" t="str">
        <f aca="false">'Raw Data'!K1828</f>
        <v>Sales Executive</v>
      </c>
      <c r="E1828" s="2" t="n">
        <f aca="false">'Raw Data'!Q1828</f>
        <v>8</v>
      </c>
      <c r="F1828" s="2" t="n">
        <f aca="false">'Raw Data'!U1828</f>
        <v>7</v>
      </c>
      <c r="G1828" s="2" t="n">
        <f aca="false">'Raw Data'!W1828</f>
        <v>3</v>
      </c>
      <c r="H1828" s="2" t="n">
        <f aca="false">'Raw Data'!V1828</f>
        <v>3</v>
      </c>
      <c r="I1828" s="2" t="n">
        <f aca="false">IF(AND(ISNUMBER(B1828),B1828&lt;=25),2,0)+IF(AND(ISNUMBER(E1828),E1828&lt;=5),2,0)+IF(AND(ISNUMBER(F1828),F1828&lt;=1),2,0)+IF(AND(ISNUMBER(G1828),G1828&lt;=2),1,0)+IF(AND(ISNUMBER(H1828),H1828&lt;=2),1,0)</f>
        <v>0</v>
      </c>
      <c r="J1828" s="2" t="str">
        <f aca="false">IF(I1828&gt;=6,"High",IF(I1828&gt;=3,"Medium","Low"))</f>
        <v>Low</v>
      </c>
    </row>
    <row r="1829" customFormat="false" ht="15" hidden="false" customHeight="true" outlineLevel="0" collapsed="false">
      <c r="A1829" s="2" t="n">
        <f aca="false">'Raw Data'!H1829</f>
        <v>1828</v>
      </c>
      <c r="B1829" s="2" t="n">
        <f aca="false">'Raw Data'!A1829</f>
        <v>27</v>
      </c>
      <c r="C1829" s="2" t="str">
        <f aca="false">'Raw Data'!D1829</f>
        <v>Sales</v>
      </c>
      <c r="D1829" s="2" t="str">
        <f aca="false">'Raw Data'!K1829</f>
        <v>Sales Executive</v>
      </c>
      <c r="E1829" s="2" t="n">
        <f aca="false">'Raw Data'!Q1829</f>
        <v>0</v>
      </c>
      <c r="F1829" s="2" t="n">
        <f aca="false">'Raw Data'!U1829</f>
        <v>0</v>
      </c>
      <c r="G1829" s="2" t="n">
        <f aca="false">'Raw Data'!W1829</f>
        <v>4</v>
      </c>
      <c r="H1829" s="2" t="n">
        <f aca="false">'Raw Data'!V1829</f>
        <v>4</v>
      </c>
      <c r="I1829" s="2" t="n">
        <f aca="false">IF(AND(ISNUMBER(B1829),B1829&lt;=25),2,0)+IF(AND(ISNUMBER(E1829),E1829&lt;=5),2,0)+IF(AND(ISNUMBER(F1829),F1829&lt;=1),2,0)+IF(AND(ISNUMBER(G1829),G1829&lt;=2),1,0)+IF(AND(ISNUMBER(H1829),H1829&lt;=2),1,0)</f>
        <v>4</v>
      </c>
      <c r="J1829" s="2" t="str">
        <f aca="false">IF(I1829&gt;=6,"High",IF(I1829&gt;=3,"Medium","Low"))</f>
        <v>Medium</v>
      </c>
    </row>
    <row r="1830" customFormat="false" ht="15" hidden="false" customHeight="true" outlineLevel="0" collapsed="false">
      <c r="A1830" s="2" t="n">
        <f aca="false">'Raw Data'!H1830</f>
        <v>1829</v>
      </c>
      <c r="B1830" s="2" t="n">
        <f aca="false">'Raw Data'!A1830</f>
        <v>51</v>
      </c>
      <c r="C1830" s="2" t="str">
        <f aca="false">'Raw Data'!D1830</f>
        <v>Sales</v>
      </c>
      <c r="D1830" s="2" t="str">
        <f aca="false">'Raw Data'!K1830</f>
        <v>Research Scientist</v>
      </c>
      <c r="E1830" s="2" t="n">
        <f aca="false">'Raw Data'!Q1830</f>
        <v>29</v>
      </c>
      <c r="F1830" s="2" t="n">
        <f aca="false">'Raw Data'!U1830</f>
        <v>17</v>
      </c>
      <c r="G1830" s="2" t="n">
        <f aca="false">'Raw Data'!W1830</f>
        <v>3</v>
      </c>
      <c r="H1830" s="2" t="n">
        <f aca="false">'Raw Data'!V1830</f>
        <v>1</v>
      </c>
      <c r="I1830" s="2" t="n">
        <f aca="false">IF(AND(ISNUMBER(B1830),B1830&lt;=25),2,0)+IF(AND(ISNUMBER(E1830),E1830&lt;=5),2,0)+IF(AND(ISNUMBER(F1830),F1830&lt;=1),2,0)+IF(AND(ISNUMBER(G1830),G1830&lt;=2),1,0)+IF(AND(ISNUMBER(H1830),H1830&lt;=2),1,0)</f>
        <v>1</v>
      </c>
      <c r="J1830" s="2" t="str">
        <f aca="false">IF(I1830&gt;=6,"High",IF(I1830&gt;=3,"Medium","Low"))</f>
        <v>Low</v>
      </c>
    </row>
    <row r="1831" customFormat="false" ht="15" hidden="false" customHeight="true" outlineLevel="0" collapsed="false">
      <c r="A1831" s="2" t="n">
        <f aca="false">'Raw Data'!H1831</f>
        <v>1830</v>
      </c>
      <c r="B1831" s="2" t="n">
        <f aca="false">'Raw Data'!A1831</f>
        <v>44</v>
      </c>
      <c r="C1831" s="2" t="str">
        <f aca="false">'Raw Data'!D1831</f>
        <v>Sales</v>
      </c>
      <c r="D1831" s="2" t="str">
        <f aca="false">'Raw Data'!K1831</f>
        <v>Sales Executive</v>
      </c>
      <c r="E1831" s="2" t="n">
        <f aca="false">'Raw Data'!Q1831</f>
        <v>10</v>
      </c>
      <c r="F1831" s="2" t="n">
        <f aca="false">'Raw Data'!U1831</f>
        <v>3</v>
      </c>
      <c r="G1831" s="2" t="n">
        <f aca="false">'Raw Data'!W1831</f>
        <v>2</v>
      </c>
      <c r="H1831" s="2" t="n">
        <f aca="false">'Raw Data'!V1831</f>
        <v>4</v>
      </c>
      <c r="I1831" s="2" t="n">
        <f aca="false">IF(AND(ISNUMBER(B1831),B1831&lt;=25),2,0)+IF(AND(ISNUMBER(E1831),E1831&lt;=5),2,0)+IF(AND(ISNUMBER(F1831),F1831&lt;=1),2,0)+IF(AND(ISNUMBER(G1831),G1831&lt;=2),1,0)+IF(AND(ISNUMBER(H1831),H1831&lt;=2),1,0)</f>
        <v>1</v>
      </c>
      <c r="J1831" s="2" t="str">
        <f aca="false">IF(I1831&gt;=6,"High",IF(I1831&gt;=3,"Medium","Low"))</f>
        <v>Low</v>
      </c>
    </row>
    <row r="1832" customFormat="false" ht="15" hidden="false" customHeight="true" outlineLevel="0" collapsed="false">
      <c r="A1832" s="2" t="n">
        <f aca="false">'Raw Data'!H1832</f>
        <v>1831</v>
      </c>
      <c r="B1832" s="2" t="n">
        <f aca="false">'Raw Data'!A1832</f>
        <v>25</v>
      </c>
      <c r="C1832" s="2" t="str">
        <f aca="false">'Raw Data'!D1832</f>
        <v>Research &amp; Development</v>
      </c>
      <c r="D1832" s="2" t="str">
        <f aca="false">'Raw Data'!K1832</f>
        <v>Laboratory Technician</v>
      </c>
      <c r="E1832" s="2" t="n">
        <f aca="false">'Raw Data'!Q1832</f>
        <v>6</v>
      </c>
      <c r="F1832" s="2" t="n">
        <f aca="false">'Raw Data'!U1832</f>
        <v>1</v>
      </c>
      <c r="G1832" s="2" t="n">
        <f aca="false">'Raw Data'!W1832</f>
        <v>1</v>
      </c>
      <c r="H1832" s="2" t="n">
        <f aca="false">'Raw Data'!V1832</f>
        <v>1</v>
      </c>
      <c r="I1832" s="2" t="n">
        <f aca="false">IF(AND(ISNUMBER(B1832),B1832&lt;=25),2,0)+IF(AND(ISNUMBER(E1832),E1832&lt;=5),2,0)+IF(AND(ISNUMBER(F1832),F1832&lt;=1),2,0)+IF(AND(ISNUMBER(G1832),G1832&lt;=2),1,0)+IF(AND(ISNUMBER(H1832),H1832&lt;=2),1,0)</f>
        <v>6</v>
      </c>
      <c r="J1832" s="2" t="str">
        <f aca="false">IF(I1832&gt;=6,"High",IF(I1832&gt;=3,"Medium","Low"))</f>
        <v>High</v>
      </c>
    </row>
    <row r="1833" customFormat="false" ht="15" hidden="false" customHeight="true" outlineLevel="0" collapsed="false">
      <c r="A1833" s="2" t="n">
        <f aca="false">'Raw Data'!H1833</f>
        <v>1832</v>
      </c>
      <c r="B1833" s="2" t="n">
        <f aca="false">'Raw Data'!A1833</f>
        <v>33</v>
      </c>
      <c r="C1833" s="2" t="str">
        <f aca="false">'Raw Data'!D1833</f>
        <v>Research &amp; Development</v>
      </c>
      <c r="D1833" s="2" t="str">
        <f aca="false">'Raw Data'!K1833</f>
        <v>Laboratory Technician</v>
      </c>
      <c r="E1833" s="2" t="n">
        <f aca="false">'Raw Data'!Q1833</f>
        <v>9</v>
      </c>
      <c r="F1833" s="2" t="n">
        <f aca="false">'Raw Data'!U1833</f>
        <v>8</v>
      </c>
      <c r="G1833" s="2" t="n">
        <f aca="false">'Raw Data'!W1833</f>
        <v>1</v>
      </c>
      <c r="H1833" s="2" t="n">
        <f aca="false">'Raw Data'!V1833</f>
        <v>1</v>
      </c>
      <c r="I1833" s="2" t="n">
        <f aca="false">IF(AND(ISNUMBER(B1833),B1833&lt;=25),2,0)+IF(AND(ISNUMBER(E1833),E1833&lt;=5),2,0)+IF(AND(ISNUMBER(F1833),F1833&lt;=1),2,0)+IF(AND(ISNUMBER(G1833),G1833&lt;=2),1,0)+IF(AND(ISNUMBER(H1833),H1833&lt;=2),1,0)</f>
        <v>2</v>
      </c>
      <c r="J1833" s="2" t="str">
        <f aca="false">IF(I1833&gt;=6,"High",IF(I1833&gt;=3,"Medium","Low"))</f>
        <v>Low</v>
      </c>
    </row>
    <row r="1834" customFormat="false" ht="15" hidden="false" customHeight="true" outlineLevel="0" collapsed="false">
      <c r="A1834" s="2" t="n">
        <f aca="false">'Raw Data'!H1834</f>
        <v>1833</v>
      </c>
      <c r="B1834" s="2" t="n">
        <f aca="false">'Raw Data'!A1834</f>
        <v>35</v>
      </c>
      <c r="C1834" s="2" t="str">
        <f aca="false">'Raw Data'!D1834</f>
        <v>Sales</v>
      </c>
      <c r="D1834" s="2" t="str">
        <f aca="false">'Raw Data'!K1834</f>
        <v>Manager</v>
      </c>
      <c r="E1834" s="2" t="n">
        <f aca="false">'Raw Data'!Q1834</f>
        <v>6</v>
      </c>
      <c r="F1834" s="2" t="n">
        <f aca="false">'Raw Data'!U1834</f>
        <v>1</v>
      </c>
      <c r="G1834" s="2" t="n">
        <f aca="false">'Raw Data'!W1834</f>
        <v>1</v>
      </c>
      <c r="H1834" s="2" t="n">
        <f aca="false">'Raw Data'!V1834</f>
        <v>3</v>
      </c>
      <c r="I1834" s="2" t="n">
        <f aca="false">IF(AND(ISNUMBER(B1834),B1834&lt;=25),2,0)+IF(AND(ISNUMBER(E1834),E1834&lt;=5),2,0)+IF(AND(ISNUMBER(F1834),F1834&lt;=1),2,0)+IF(AND(ISNUMBER(G1834),G1834&lt;=2),1,0)+IF(AND(ISNUMBER(H1834),H1834&lt;=2),1,0)</f>
        <v>3</v>
      </c>
      <c r="J1834" s="2" t="str">
        <f aca="false">IF(I1834&gt;=6,"High",IF(I1834&gt;=3,"Medium","Low"))</f>
        <v>Medium</v>
      </c>
    </row>
    <row r="1835" customFormat="false" ht="15" hidden="false" customHeight="true" outlineLevel="0" collapsed="false">
      <c r="A1835" s="2" t="n">
        <f aca="false">'Raw Data'!H1835</f>
        <v>1834</v>
      </c>
      <c r="B1835" s="2" t="n">
        <f aca="false">'Raw Data'!A1835</f>
        <v>36</v>
      </c>
      <c r="C1835" s="2" t="str">
        <f aca="false">'Raw Data'!D1835</f>
        <v>Sales</v>
      </c>
      <c r="D1835" s="2" t="str">
        <f aca="false">'Raw Data'!K1835</f>
        <v>Manager</v>
      </c>
      <c r="E1835" s="2" t="n">
        <f aca="false">'Raw Data'!Q1835</f>
        <v>18</v>
      </c>
      <c r="F1835" s="2" t="n">
        <f aca="false">'Raw Data'!U1835</f>
        <v>11</v>
      </c>
      <c r="G1835" s="2" t="n">
        <f aca="false">'Raw Data'!W1835</f>
        <v>4</v>
      </c>
      <c r="H1835" s="2" t="n">
        <f aca="false">'Raw Data'!V1835</f>
        <v>2</v>
      </c>
      <c r="I1835" s="2" t="n">
        <f aca="false">IF(AND(ISNUMBER(B1835),B1835&lt;=25),2,0)+IF(AND(ISNUMBER(E1835),E1835&lt;=5),2,0)+IF(AND(ISNUMBER(F1835),F1835&lt;=1),2,0)+IF(AND(ISNUMBER(G1835),G1835&lt;=2),1,0)+IF(AND(ISNUMBER(H1835),H1835&lt;=2),1,0)</f>
        <v>1</v>
      </c>
      <c r="J1835" s="2" t="str">
        <f aca="false">IF(I1835&gt;=6,"High",IF(I1835&gt;=3,"Medium","Low"))</f>
        <v>Low</v>
      </c>
    </row>
    <row r="1836" customFormat="false" ht="15" hidden="false" customHeight="true" outlineLevel="0" collapsed="false">
      <c r="A1836" s="2" t="n">
        <f aca="false">'Raw Data'!H1836</f>
        <v>1835</v>
      </c>
      <c r="B1836" s="2" t="n">
        <f aca="false">'Raw Data'!A1836</f>
        <v>32</v>
      </c>
      <c r="C1836" s="2" t="str">
        <f aca="false">'Raw Data'!D1836</f>
        <v>Research &amp; Development</v>
      </c>
      <c r="D1836" s="2" t="str">
        <f aca="false">'Raw Data'!K1836</f>
        <v>Sales Executive</v>
      </c>
      <c r="E1836" s="2" t="n">
        <f aca="false">'Raw Data'!Q1836</f>
        <v>8</v>
      </c>
      <c r="F1836" s="2" t="n">
        <f aca="false">'Raw Data'!U1836</f>
        <v>3</v>
      </c>
      <c r="G1836" s="2" t="n">
        <f aca="false">'Raw Data'!W1836</f>
        <v>4</v>
      </c>
      <c r="H1836" s="2" t="n">
        <f aca="false">'Raw Data'!V1836</f>
        <v>2</v>
      </c>
      <c r="I1836" s="2" t="n">
        <f aca="false">IF(AND(ISNUMBER(B1836),B1836&lt;=25),2,0)+IF(AND(ISNUMBER(E1836),E1836&lt;=5),2,0)+IF(AND(ISNUMBER(F1836),F1836&lt;=1),2,0)+IF(AND(ISNUMBER(G1836),G1836&lt;=2),1,0)+IF(AND(ISNUMBER(H1836),H1836&lt;=2),1,0)</f>
        <v>1</v>
      </c>
      <c r="J1836" s="2" t="str">
        <f aca="false">IF(I1836&gt;=6,"High",IF(I1836&gt;=3,"Medium","Low"))</f>
        <v>Low</v>
      </c>
    </row>
    <row r="1837" customFormat="false" ht="15" hidden="false" customHeight="true" outlineLevel="0" collapsed="false">
      <c r="A1837" s="2" t="n">
        <f aca="false">'Raw Data'!H1837</f>
        <v>1836</v>
      </c>
      <c r="B1837" s="2" t="n">
        <f aca="false">'Raw Data'!A1837</f>
        <v>30</v>
      </c>
      <c r="C1837" s="2" t="str">
        <f aca="false">'Raw Data'!D1837</f>
        <v>Research &amp; Development</v>
      </c>
      <c r="D1837" s="2" t="str">
        <f aca="false">'Raw Data'!K1837</f>
        <v>Sales Representative</v>
      </c>
      <c r="E1837" s="2" t="n">
        <f aca="false">'Raw Data'!Q1837</f>
        <v>10</v>
      </c>
      <c r="F1837" s="2" t="n">
        <f aca="false">'Raw Data'!U1837</f>
        <v>3</v>
      </c>
      <c r="G1837" s="2" t="n">
        <f aca="false">'Raw Data'!W1837</f>
        <v>4</v>
      </c>
      <c r="H1837" s="2" t="n">
        <f aca="false">'Raw Data'!V1837</f>
        <v>2</v>
      </c>
      <c r="I1837" s="2" t="n">
        <f aca="false">IF(AND(ISNUMBER(B1837),B1837&lt;=25),2,0)+IF(AND(ISNUMBER(E1837),E1837&lt;=5),2,0)+IF(AND(ISNUMBER(F1837),F1837&lt;=1),2,0)+IF(AND(ISNUMBER(G1837),G1837&lt;=2),1,0)+IF(AND(ISNUMBER(H1837),H1837&lt;=2),1,0)</f>
        <v>1</v>
      </c>
      <c r="J1837" s="2" t="str">
        <f aca="false">IF(I1837&gt;=6,"High",IF(I1837&gt;=3,"Medium","Low"))</f>
        <v>Low</v>
      </c>
    </row>
    <row r="1838" customFormat="false" ht="15" hidden="false" customHeight="true" outlineLevel="0" collapsed="false">
      <c r="A1838" s="2" t="n">
        <f aca="false">'Raw Data'!H1838</f>
        <v>1837</v>
      </c>
      <c r="B1838" s="2" t="n">
        <f aca="false">'Raw Data'!A1838</f>
        <v>53</v>
      </c>
      <c r="C1838" s="2" t="str">
        <f aca="false">'Raw Data'!D1838</f>
        <v>Sales</v>
      </c>
      <c r="D1838" s="2" t="str">
        <f aca="false">'Raw Data'!K1838</f>
        <v>Sales Executive</v>
      </c>
      <c r="E1838" s="2" t="n">
        <f aca="false">'Raw Data'!Q1838</f>
        <v>35</v>
      </c>
      <c r="F1838" s="2" t="n">
        <f aca="false">'Raw Data'!U1838</f>
        <v>4</v>
      </c>
      <c r="G1838" s="2" t="n">
        <f aca="false">'Raw Data'!W1838</f>
        <v>4</v>
      </c>
      <c r="H1838" s="2" t="n">
        <f aca="false">'Raw Data'!V1838</f>
        <v>1</v>
      </c>
      <c r="I1838" s="2" t="n">
        <f aca="false">IF(AND(ISNUMBER(B1838),B1838&lt;=25),2,0)+IF(AND(ISNUMBER(E1838),E1838&lt;=5),2,0)+IF(AND(ISNUMBER(F1838),F1838&lt;=1),2,0)+IF(AND(ISNUMBER(G1838),G1838&lt;=2),1,0)+IF(AND(ISNUMBER(H1838),H1838&lt;=2),1,0)</f>
        <v>1</v>
      </c>
      <c r="J1838" s="2" t="str">
        <f aca="false">IF(I1838&gt;=6,"High",IF(I1838&gt;=3,"Medium","Low"))</f>
        <v>Low</v>
      </c>
    </row>
    <row r="1839" customFormat="false" ht="15" hidden="false" customHeight="true" outlineLevel="0" collapsed="false">
      <c r="A1839" s="2" t="n">
        <f aca="false">'Raw Data'!H1839</f>
        <v>1838</v>
      </c>
      <c r="B1839" s="2" t="n">
        <f aca="false">'Raw Data'!A1839</f>
        <v>45</v>
      </c>
      <c r="C1839" s="2" t="str">
        <f aca="false">'Raw Data'!D1839</f>
        <v>Research &amp; Development</v>
      </c>
      <c r="D1839" s="2" t="str">
        <f aca="false">'Raw Data'!K1839</f>
        <v>Healthcare Representative</v>
      </c>
      <c r="E1839" s="2" t="n">
        <f aca="false">'Raw Data'!Q1839</f>
        <v>18</v>
      </c>
      <c r="F1839" s="2" t="n">
        <f aca="false">'Raw Data'!U1839</f>
        <v>2</v>
      </c>
      <c r="G1839" s="2" t="n">
        <f aca="false">'Raw Data'!W1839</f>
        <v>1</v>
      </c>
      <c r="H1839" s="2" t="n">
        <f aca="false">'Raw Data'!V1839</f>
        <v>4</v>
      </c>
      <c r="I1839" s="2" t="n">
        <f aca="false">IF(AND(ISNUMBER(B1839),B1839&lt;=25),2,0)+IF(AND(ISNUMBER(E1839),E1839&lt;=5),2,0)+IF(AND(ISNUMBER(F1839),F1839&lt;=1),2,0)+IF(AND(ISNUMBER(G1839),G1839&lt;=2),1,0)+IF(AND(ISNUMBER(H1839),H1839&lt;=2),1,0)</f>
        <v>1</v>
      </c>
      <c r="J1839" s="2" t="str">
        <f aca="false">IF(I1839&gt;=6,"High",IF(I1839&gt;=3,"Medium","Low"))</f>
        <v>Low</v>
      </c>
    </row>
    <row r="1840" customFormat="false" ht="15" hidden="false" customHeight="true" outlineLevel="0" collapsed="false">
      <c r="A1840" s="2" t="n">
        <f aca="false">'Raw Data'!H1840</f>
        <v>1839</v>
      </c>
      <c r="B1840" s="2" t="n">
        <f aca="false">'Raw Data'!A1840</f>
        <v>32</v>
      </c>
      <c r="C1840" s="2" t="str">
        <f aca="false">'Raw Data'!D1840</f>
        <v>Sales</v>
      </c>
      <c r="D1840" s="2" t="str">
        <f aca="false">'Raw Data'!K1840</f>
        <v>Human Resources</v>
      </c>
      <c r="E1840" s="2" t="n">
        <f aca="false">'Raw Data'!Q1840</f>
        <v>9</v>
      </c>
      <c r="F1840" s="2" t="n">
        <f aca="false">'Raw Data'!U1840</f>
        <v>3</v>
      </c>
      <c r="G1840" s="2" t="n">
        <f aca="false">'Raw Data'!W1840</f>
        <v>3</v>
      </c>
      <c r="H1840" s="2" t="n">
        <f aca="false">'Raw Data'!V1840</f>
        <v>3</v>
      </c>
      <c r="I1840" s="2" t="n">
        <f aca="false">IF(AND(ISNUMBER(B1840),B1840&lt;=25),2,0)+IF(AND(ISNUMBER(E1840),E1840&lt;=5),2,0)+IF(AND(ISNUMBER(F1840),F1840&lt;=1),2,0)+IF(AND(ISNUMBER(G1840),G1840&lt;=2),1,0)+IF(AND(ISNUMBER(H1840),H1840&lt;=2),1,0)</f>
        <v>0</v>
      </c>
      <c r="J1840" s="2" t="str">
        <f aca="false">IF(I1840&gt;=6,"High",IF(I1840&gt;=3,"Medium","Low"))</f>
        <v>Low</v>
      </c>
    </row>
    <row r="1841" customFormat="false" ht="15" hidden="false" customHeight="true" outlineLevel="0" collapsed="false">
      <c r="A1841" s="2" t="n">
        <f aca="false">'Raw Data'!H1841</f>
        <v>1840</v>
      </c>
      <c r="B1841" s="2" t="n">
        <f aca="false">'Raw Data'!A1841</f>
        <v>52</v>
      </c>
      <c r="C1841" s="2" t="str">
        <f aca="false">'Raw Data'!D1841</f>
        <v>Research &amp; Development</v>
      </c>
      <c r="D1841" s="2" t="str">
        <f aca="false">'Raw Data'!K1841</f>
        <v>Laboratory Technician</v>
      </c>
      <c r="E1841" s="2" t="n">
        <f aca="false">'Raw Data'!Q1841</f>
        <v>31</v>
      </c>
      <c r="F1841" s="2" t="n">
        <f aca="false">'Raw Data'!U1841</f>
        <v>0</v>
      </c>
      <c r="G1841" s="2" t="n">
        <f aca="false">'Raw Data'!W1841</f>
        <v>4</v>
      </c>
      <c r="H1841" s="2" t="n">
        <f aca="false">'Raw Data'!V1841</f>
        <v>3</v>
      </c>
      <c r="I1841" s="2" t="n">
        <f aca="false">IF(AND(ISNUMBER(B1841),B1841&lt;=25),2,0)+IF(AND(ISNUMBER(E1841),E1841&lt;=5),2,0)+IF(AND(ISNUMBER(F1841),F1841&lt;=1),2,0)+IF(AND(ISNUMBER(G1841),G1841&lt;=2),1,0)+IF(AND(ISNUMBER(H1841),H1841&lt;=2),1,0)</f>
        <v>2</v>
      </c>
      <c r="J1841" s="2" t="str">
        <f aca="false">IF(I1841&gt;=6,"High",IF(I1841&gt;=3,"Medium","Low"))</f>
        <v>Low</v>
      </c>
    </row>
    <row r="1842" customFormat="false" ht="15" hidden="false" customHeight="true" outlineLevel="0" collapsed="false">
      <c r="A1842" s="2" t="n">
        <f aca="false">'Raw Data'!H1842</f>
        <v>1841</v>
      </c>
      <c r="B1842" s="2" t="n">
        <f aca="false">'Raw Data'!A1842</f>
        <v>37</v>
      </c>
      <c r="C1842" s="2" t="str">
        <f aca="false">'Raw Data'!D1842</f>
        <v>Sales</v>
      </c>
      <c r="D1842" s="2" t="str">
        <f aca="false">'Raw Data'!K1842</f>
        <v>Laboratory Technician</v>
      </c>
      <c r="E1842" s="2" t="n">
        <f aca="false">'Raw Data'!Q1842</f>
        <v>9</v>
      </c>
      <c r="F1842" s="2" t="n">
        <f aca="false">'Raw Data'!U1842</f>
        <v>0</v>
      </c>
      <c r="G1842" s="2" t="n">
        <f aca="false">'Raw Data'!W1842</f>
        <v>3</v>
      </c>
      <c r="H1842" s="2" t="n">
        <f aca="false">'Raw Data'!V1842</f>
        <v>4</v>
      </c>
      <c r="I1842" s="2" t="n">
        <f aca="false">IF(AND(ISNUMBER(B1842),B1842&lt;=25),2,0)+IF(AND(ISNUMBER(E1842),E1842&lt;=5),2,0)+IF(AND(ISNUMBER(F1842),F1842&lt;=1),2,0)+IF(AND(ISNUMBER(G1842),G1842&lt;=2),1,0)+IF(AND(ISNUMBER(H1842),H1842&lt;=2),1,0)</f>
        <v>2</v>
      </c>
      <c r="J1842" s="2" t="str">
        <f aca="false">IF(I1842&gt;=6,"High",IF(I1842&gt;=3,"Medium","Low"))</f>
        <v>Low</v>
      </c>
    </row>
    <row r="1843" customFormat="false" ht="15" hidden="false" customHeight="true" outlineLevel="0" collapsed="false">
      <c r="A1843" s="2" t="n">
        <f aca="false">'Raw Data'!H1843</f>
        <v>1842</v>
      </c>
      <c r="B1843" s="2" t="n">
        <f aca="false">'Raw Data'!A1843</f>
        <v>28</v>
      </c>
      <c r="C1843" s="2" t="str">
        <f aca="false">'Raw Data'!D1843</f>
        <v>Research &amp; Development</v>
      </c>
      <c r="D1843" s="2" t="str">
        <f aca="false">'Raw Data'!K1843</f>
        <v>Healthcare Representative</v>
      </c>
      <c r="E1843" s="2" t="n">
        <f aca="false">'Raw Data'!Q1843</f>
        <v>6</v>
      </c>
      <c r="F1843" s="2" t="n">
        <f aca="false">'Raw Data'!U1843</f>
        <v>4</v>
      </c>
      <c r="G1843" s="2" t="n">
        <f aca="false">'Raw Data'!W1843</f>
        <v>4</v>
      </c>
      <c r="H1843" s="2" t="n">
        <f aca="false">'Raw Data'!V1843</f>
        <v>2</v>
      </c>
      <c r="I1843" s="2" t="n">
        <f aca="false">IF(AND(ISNUMBER(B1843),B1843&lt;=25),2,0)+IF(AND(ISNUMBER(E1843),E1843&lt;=5),2,0)+IF(AND(ISNUMBER(F1843),F1843&lt;=1),2,0)+IF(AND(ISNUMBER(G1843),G1843&lt;=2),1,0)+IF(AND(ISNUMBER(H1843),H1843&lt;=2),1,0)</f>
        <v>1</v>
      </c>
      <c r="J1843" s="2" t="str">
        <f aca="false">IF(I1843&gt;=6,"High",IF(I1843&gt;=3,"Medium","Low"))</f>
        <v>Low</v>
      </c>
    </row>
    <row r="1844" customFormat="false" ht="15" hidden="false" customHeight="true" outlineLevel="0" collapsed="false">
      <c r="A1844" s="2" t="n">
        <f aca="false">'Raw Data'!H1844</f>
        <v>1843</v>
      </c>
      <c r="B1844" s="2" t="n">
        <f aca="false">'Raw Data'!A1844</f>
        <v>22</v>
      </c>
      <c r="C1844" s="2" t="str">
        <f aca="false">'Raw Data'!D1844</f>
        <v>Research &amp; Development</v>
      </c>
      <c r="D1844" s="2" t="str">
        <f aca="false">'Raw Data'!K1844</f>
        <v>Sales Representative</v>
      </c>
      <c r="E1844" s="2" t="n">
        <f aca="false">'Raw Data'!Q1844</f>
        <v>4</v>
      </c>
      <c r="F1844" s="2" t="n">
        <f aca="false">'Raw Data'!U1844</f>
        <v>2</v>
      </c>
      <c r="G1844" s="2" t="n">
        <f aca="false">'Raw Data'!W1844</f>
        <v>4</v>
      </c>
      <c r="H1844" s="2" t="n">
        <f aca="false">'Raw Data'!V1844</f>
        <v>4</v>
      </c>
      <c r="I1844" s="2" t="n">
        <f aca="false">IF(AND(ISNUMBER(B1844),B1844&lt;=25),2,0)+IF(AND(ISNUMBER(E1844),E1844&lt;=5),2,0)+IF(AND(ISNUMBER(F1844),F1844&lt;=1),2,0)+IF(AND(ISNUMBER(G1844),G1844&lt;=2),1,0)+IF(AND(ISNUMBER(H1844),H1844&lt;=2),1,0)</f>
        <v>4</v>
      </c>
      <c r="J1844" s="2" t="str">
        <f aca="false">IF(I1844&gt;=6,"High",IF(I1844&gt;=3,"Medium","Low"))</f>
        <v>Medium</v>
      </c>
    </row>
    <row r="1845" customFormat="false" ht="15" hidden="false" customHeight="true" outlineLevel="0" collapsed="false">
      <c r="A1845" s="2" t="n">
        <f aca="false">'Raw Data'!H1845</f>
        <v>1844</v>
      </c>
      <c r="B1845" s="2" t="n">
        <f aca="false">'Raw Data'!A1845</f>
        <v>44</v>
      </c>
      <c r="C1845" s="2" t="str">
        <f aca="false">'Raw Data'!D1845</f>
        <v>Research &amp; Development</v>
      </c>
      <c r="D1845" s="2" t="str">
        <f aca="false">'Raw Data'!K1845</f>
        <v>Laboratory Technician</v>
      </c>
      <c r="E1845" s="2" t="n">
        <f aca="false">'Raw Data'!Q1845</f>
        <v>10</v>
      </c>
      <c r="F1845" s="2" t="n">
        <f aca="false">'Raw Data'!U1845</f>
        <v>2</v>
      </c>
      <c r="G1845" s="2" t="n">
        <f aca="false">'Raw Data'!W1845</f>
        <v>4</v>
      </c>
      <c r="H1845" s="2" t="n">
        <f aca="false">'Raw Data'!V1845</f>
        <v>1</v>
      </c>
      <c r="I1845" s="2" t="n">
        <f aca="false">IF(AND(ISNUMBER(B1845),B1845&lt;=25),2,0)+IF(AND(ISNUMBER(E1845),E1845&lt;=5),2,0)+IF(AND(ISNUMBER(F1845),F1845&lt;=1),2,0)+IF(AND(ISNUMBER(G1845),G1845&lt;=2),1,0)+IF(AND(ISNUMBER(H1845),H1845&lt;=2),1,0)</f>
        <v>1</v>
      </c>
      <c r="J1845" s="2" t="str">
        <f aca="false">IF(I1845&gt;=6,"High",IF(I1845&gt;=3,"Medium","Low"))</f>
        <v>Low</v>
      </c>
    </row>
    <row r="1846" customFormat="false" ht="15" hidden="false" customHeight="true" outlineLevel="0" collapsed="false">
      <c r="A1846" s="2" t="n">
        <f aca="false">'Raw Data'!H1846</f>
        <v>1845</v>
      </c>
      <c r="B1846" s="2" t="n">
        <f aca="false">'Raw Data'!A1846</f>
        <v>42</v>
      </c>
      <c r="C1846" s="2" t="str">
        <f aca="false">'Raw Data'!D1846</f>
        <v>Sales</v>
      </c>
      <c r="D1846" s="2" t="str">
        <f aca="false">'Raw Data'!K1846</f>
        <v>Laboratory Technician</v>
      </c>
      <c r="E1846" s="2" t="n">
        <f aca="false">'Raw Data'!Q1846</f>
        <v>8</v>
      </c>
      <c r="F1846" s="2" t="n">
        <f aca="false">'Raw Data'!U1846</f>
        <v>2</v>
      </c>
      <c r="G1846" s="2" t="n">
        <f aca="false">'Raw Data'!W1846</f>
        <v>4</v>
      </c>
      <c r="H1846" s="2" t="n">
        <f aca="false">'Raw Data'!V1846</f>
        <v>2</v>
      </c>
      <c r="I1846" s="2" t="n">
        <f aca="false">IF(AND(ISNUMBER(B1846),B1846&lt;=25),2,0)+IF(AND(ISNUMBER(E1846),E1846&lt;=5),2,0)+IF(AND(ISNUMBER(F1846),F1846&lt;=1),2,0)+IF(AND(ISNUMBER(G1846),G1846&lt;=2),1,0)+IF(AND(ISNUMBER(H1846),H1846&lt;=2),1,0)</f>
        <v>1</v>
      </c>
      <c r="J1846" s="2" t="str">
        <f aca="false">IF(I1846&gt;=6,"High",IF(I1846&gt;=3,"Medium","Low"))</f>
        <v>Low</v>
      </c>
    </row>
    <row r="1847" customFormat="false" ht="15" hidden="false" customHeight="true" outlineLevel="0" collapsed="false">
      <c r="A1847" s="2" t="n">
        <f aca="false">'Raw Data'!H1847</f>
        <v>1846</v>
      </c>
      <c r="B1847" s="2" t="n">
        <f aca="false">'Raw Data'!A1847</f>
        <v>36</v>
      </c>
      <c r="C1847" s="2" t="str">
        <f aca="false">'Raw Data'!D1847</f>
        <v>Research &amp; Development</v>
      </c>
      <c r="D1847" s="2" t="str">
        <f aca="false">'Raw Data'!K1847</f>
        <v>Research Scientist</v>
      </c>
      <c r="E1847" s="2" t="n">
        <f aca="false">'Raw Data'!Q1847</f>
        <v>6</v>
      </c>
      <c r="F1847" s="2" t="n">
        <f aca="false">'Raw Data'!U1847</f>
        <v>3</v>
      </c>
      <c r="G1847" s="2" t="n">
        <f aca="false">'Raw Data'!W1847</f>
        <v>1</v>
      </c>
      <c r="H1847" s="2" t="n">
        <f aca="false">'Raw Data'!V1847</f>
        <v>1</v>
      </c>
      <c r="I1847" s="2" t="n">
        <f aca="false">IF(AND(ISNUMBER(B1847),B1847&lt;=25),2,0)+IF(AND(ISNUMBER(E1847),E1847&lt;=5),2,0)+IF(AND(ISNUMBER(F1847),F1847&lt;=1),2,0)+IF(AND(ISNUMBER(G1847),G1847&lt;=2),1,0)+IF(AND(ISNUMBER(H1847),H1847&lt;=2),1,0)</f>
        <v>2</v>
      </c>
      <c r="J1847" s="2" t="str">
        <f aca="false">IF(I1847&gt;=6,"High",IF(I1847&gt;=3,"Medium","Low"))</f>
        <v>Low</v>
      </c>
    </row>
    <row r="1848" customFormat="false" ht="15" hidden="false" customHeight="true" outlineLevel="0" collapsed="false">
      <c r="A1848" s="2" t="n">
        <f aca="false">'Raw Data'!H1848</f>
        <v>1847</v>
      </c>
      <c r="B1848" s="2" t="n">
        <f aca="false">'Raw Data'!A1848</f>
        <v>25</v>
      </c>
      <c r="C1848" s="2" t="str">
        <f aca="false">'Raw Data'!D1848</f>
        <v>Sales</v>
      </c>
      <c r="D1848" s="2" t="str">
        <f aca="false">'Raw Data'!K1848</f>
        <v>Laboratory Technician</v>
      </c>
      <c r="E1848" s="2" t="n">
        <f aca="false">'Raw Data'!Q1848</f>
        <v>5</v>
      </c>
      <c r="F1848" s="2" t="n">
        <f aca="false">'Raw Data'!U1848</f>
        <v>3</v>
      </c>
      <c r="G1848" s="2" t="n">
        <f aca="false">'Raw Data'!W1848</f>
        <v>1</v>
      </c>
      <c r="H1848" s="2" t="n">
        <f aca="false">'Raw Data'!V1848</f>
        <v>3</v>
      </c>
      <c r="I1848" s="2" t="n">
        <f aca="false">IF(AND(ISNUMBER(B1848),B1848&lt;=25),2,0)+IF(AND(ISNUMBER(E1848),E1848&lt;=5),2,0)+IF(AND(ISNUMBER(F1848),F1848&lt;=1),2,0)+IF(AND(ISNUMBER(G1848),G1848&lt;=2),1,0)+IF(AND(ISNUMBER(H1848),H1848&lt;=2),1,0)</f>
        <v>5</v>
      </c>
      <c r="J1848" s="2" t="str">
        <f aca="false">IF(I1848&gt;=6,"High",IF(I1848&gt;=3,"Medium","Low"))</f>
        <v>Medium</v>
      </c>
    </row>
    <row r="1849" customFormat="false" ht="15" hidden="false" customHeight="true" outlineLevel="0" collapsed="false">
      <c r="A1849" s="2" t="n">
        <f aca="false">'Raw Data'!H1849</f>
        <v>1848</v>
      </c>
      <c r="B1849" s="2" t="n">
        <f aca="false">'Raw Data'!A1849</f>
        <v>35</v>
      </c>
      <c r="C1849" s="2" t="str">
        <f aca="false">'Raw Data'!D1849</f>
        <v>Research &amp; Development</v>
      </c>
      <c r="D1849" s="2" t="str">
        <f aca="false">'Raw Data'!K1849</f>
        <v>Healthcare Representative</v>
      </c>
      <c r="E1849" s="2" t="n">
        <f aca="false">'Raw Data'!Q1849</f>
        <v>17</v>
      </c>
      <c r="F1849" s="2" t="n">
        <f aca="false">'Raw Data'!U1849</f>
        <v>15</v>
      </c>
      <c r="G1849" s="2" t="n">
        <f aca="false">'Raw Data'!W1849</f>
        <v>3</v>
      </c>
      <c r="H1849" s="2" t="n">
        <f aca="false">'Raw Data'!V1849</f>
        <v>4</v>
      </c>
      <c r="I1849" s="2" t="n">
        <f aca="false">IF(AND(ISNUMBER(B1849),B1849&lt;=25),2,0)+IF(AND(ISNUMBER(E1849),E1849&lt;=5),2,0)+IF(AND(ISNUMBER(F1849),F1849&lt;=1),2,0)+IF(AND(ISNUMBER(G1849),G1849&lt;=2),1,0)+IF(AND(ISNUMBER(H1849),H1849&lt;=2),1,0)</f>
        <v>0</v>
      </c>
      <c r="J1849" s="2" t="str">
        <f aca="false">IF(I1849&gt;=6,"High",IF(I1849&gt;=3,"Medium","Low"))</f>
        <v>Low</v>
      </c>
    </row>
    <row r="1850" customFormat="false" ht="15" hidden="false" customHeight="true" outlineLevel="0" collapsed="false">
      <c r="A1850" s="2" t="n">
        <f aca="false">'Raw Data'!H1850</f>
        <v>1849</v>
      </c>
      <c r="B1850" s="2" t="n">
        <f aca="false">'Raw Data'!A1850</f>
        <v>35</v>
      </c>
      <c r="C1850" s="2" t="str">
        <f aca="false">'Raw Data'!D1850</f>
        <v>Sales</v>
      </c>
      <c r="D1850" s="2" t="str">
        <f aca="false">'Raw Data'!K1850</f>
        <v>Laboratory Technician</v>
      </c>
      <c r="E1850" s="2" t="n">
        <f aca="false">'Raw Data'!Q1850</f>
        <v>10</v>
      </c>
      <c r="F1850" s="2" t="n">
        <f aca="false">'Raw Data'!U1850</f>
        <v>8</v>
      </c>
      <c r="G1850" s="2" t="n">
        <f aca="false">'Raw Data'!W1850</f>
        <v>2</v>
      </c>
      <c r="H1850" s="2" t="n">
        <f aca="false">'Raw Data'!V1850</f>
        <v>4</v>
      </c>
      <c r="I1850" s="2" t="n">
        <f aca="false">IF(AND(ISNUMBER(B1850),B1850&lt;=25),2,0)+IF(AND(ISNUMBER(E1850),E1850&lt;=5),2,0)+IF(AND(ISNUMBER(F1850),F1850&lt;=1),2,0)+IF(AND(ISNUMBER(G1850),G1850&lt;=2),1,0)+IF(AND(ISNUMBER(H1850),H1850&lt;=2),1,0)</f>
        <v>1</v>
      </c>
      <c r="J1850" s="2" t="str">
        <f aca="false">IF(I1850&gt;=6,"High",IF(I1850&gt;=3,"Medium","Low"))</f>
        <v>Low</v>
      </c>
    </row>
    <row r="1851" customFormat="false" ht="15" hidden="false" customHeight="true" outlineLevel="0" collapsed="false">
      <c r="A1851" s="2" t="n">
        <f aca="false">'Raw Data'!H1851</f>
        <v>1850</v>
      </c>
      <c r="B1851" s="2" t="n">
        <f aca="false">'Raw Data'!A1851</f>
        <v>32</v>
      </c>
      <c r="C1851" s="2" t="str">
        <f aca="false">'Raw Data'!D1851</f>
        <v>Research &amp; Development</v>
      </c>
      <c r="D1851" s="2" t="str">
        <f aca="false">'Raw Data'!K1851</f>
        <v>Sales Executive</v>
      </c>
      <c r="E1851" s="2" t="n">
        <f aca="false">'Raw Data'!Q1851</f>
        <v>4</v>
      </c>
      <c r="F1851" s="2" t="n">
        <f aca="false">'Raw Data'!U1851</f>
        <v>2</v>
      </c>
      <c r="G1851" s="2" t="n">
        <f aca="false">'Raw Data'!W1851</f>
        <v>4</v>
      </c>
      <c r="H1851" s="2" t="n">
        <f aca="false">'Raw Data'!V1851</f>
        <v>4</v>
      </c>
      <c r="I1851" s="2" t="n">
        <f aca="false">IF(AND(ISNUMBER(B1851),B1851&lt;=25),2,0)+IF(AND(ISNUMBER(E1851),E1851&lt;=5),2,0)+IF(AND(ISNUMBER(F1851),F1851&lt;=1),2,0)+IF(AND(ISNUMBER(G1851),G1851&lt;=2),1,0)+IF(AND(ISNUMBER(H1851),H1851&lt;=2),1,0)</f>
        <v>2</v>
      </c>
      <c r="J1851" s="2" t="str">
        <f aca="false">IF(I1851&gt;=6,"High",IF(I1851&gt;=3,"Medium","Low"))</f>
        <v>Low</v>
      </c>
    </row>
    <row r="1852" customFormat="false" ht="15" hidden="false" customHeight="true" outlineLevel="0" collapsed="false">
      <c r="A1852" s="2" t="n">
        <f aca="false">'Raw Data'!H1852</f>
        <v>1851</v>
      </c>
      <c r="B1852" s="2" t="n">
        <f aca="false">'Raw Data'!A1852</f>
        <v>25</v>
      </c>
      <c r="C1852" s="2" t="str">
        <f aca="false">'Raw Data'!D1852</f>
        <v>Sales</v>
      </c>
      <c r="D1852" s="2" t="str">
        <f aca="false">'Raw Data'!K1852</f>
        <v>Research Scientist</v>
      </c>
      <c r="E1852" s="2" t="n">
        <f aca="false">'Raw Data'!Q1852</f>
        <v>5</v>
      </c>
      <c r="F1852" s="2" t="n">
        <f aca="false">'Raw Data'!U1852</f>
        <v>3</v>
      </c>
      <c r="G1852" s="2" t="n">
        <f aca="false">'Raw Data'!W1852</f>
        <v>1</v>
      </c>
      <c r="H1852" s="2" t="n">
        <f aca="false">'Raw Data'!V1852</f>
        <v>3</v>
      </c>
      <c r="I1852" s="2" t="n">
        <f aca="false">IF(AND(ISNUMBER(B1852),B1852&lt;=25),2,0)+IF(AND(ISNUMBER(E1852),E1852&lt;=5),2,0)+IF(AND(ISNUMBER(F1852),F1852&lt;=1),2,0)+IF(AND(ISNUMBER(G1852),G1852&lt;=2),1,0)+IF(AND(ISNUMBER(H1852),H1852&lt;=2),1,0)</f>
        <v>5</v>
      </c>
      <c r="J1852" s="2" t="str">
        <f aca="false">IF(I1852&gt;=6,"High",IF(I1852&gt;=3,"Medium","Low"))</f>
        <v>Medium</v>
      </c>
    </row>
    <row r="1853" customFormat="false" ht="15" hidden="false" customHeight="true" outlineLevel="0" collapsed="false">
      <c r="A1853" s="2" t="n">
        <f aca="false">'Raw Data'!H1853</f>
        <v>1852</v>
      </c>
      <c r="B1853" s="2" t="n">
        <f aca="false">'Raw Data'!A1853</f>
        <v>49</v>
      </c>
      <c r="C1853" s="2" t="str">
        <f aca="false">'Raw Data'!D1853</f>
        <v>Sales</v>
      </c>
      <c r="D1853" s="2" t="str">
        <f aca="false">'Raw Data'!K1853</f>
        <v>Sales Representative</v>
      </c>
      <c r="E1853" s="2" t="n">
        <f aca="false">'Raw Data'!Q1853</f>
        <v>7</v>
      </c>
      <c r="F1853" s="2" t="n">
        <f aca="false">'Raw Data'!U1853</f>
        <v>2</v>
      </c>
      <c r="G1853" s="2" t="n">
        <f aca="false">'Raw Data'!W1853</f>
        <v>1</v>
      </c>
      <c r="H1853" s="2" t="n">
        <f aca="false">'Raw Data'!V1853</f>
        <v>3</v>
      </c>
      <c r="I1853" s="2" t="n">
        <f aca="false">IF(AND(ISNUMBER(B1853),B1853&lt;=25),2,0)+IF(AND(ISNUMBER(E1853),E1853&lt;=5),2,0)+IF(AND(ISNUMBER(F1853),F1853&lt;=1),2,0)+IF(AND(ISNUMBER(G1853),G1853&lt;=2),1,0)+IF(AND(ISNUMBER(H1853),H1853&lt;=2),1,0)</f>
        <v>1</v>
      </c>
      <c r="J1853" s="2" t="str">
        <f aca="false">IF(I1853&gt;=6,"High",IF(I1853&gt;=3,"Medium","Low"))</f>
        <v>Low</v>
      </c>
    </row>
    <row r="1854" customFormat="false" ht="15" hidden="false" customHeight="true" outlineLevel="0" collapsed="false">
      <c r="A1854" s="2" t="n">
        <f aca="false">'Raw Data'!H1854</f>
        <v>1853</v>
      </c>
      <c r="B1854" s="2" t="n">
        <f aca="false">'Raw Data'!A1854</f>
        <v>24</v>
      </c>
      <c r="C1854" s="2" t="str">
        <f aca="false">'Raw Data'!D1854</f>
        <v>Research &amp; Development</v>
      </c>
      <c r="D1854" s="2" t="str">
        <f aca="false">'Raw Data'!K1854</f>
        <v>Healthcare Representative</v>
      </c>
      <c r="E1854" s="2" t="n">
        <f aca="false">'Raw Data'!Q1854</f>
        <v>6</v>
      </c>
      <c r="F1854" s="2" t="n">
        <f aca="false">'Raw Data'!U1854</f>
        <v>4</v>
      </c>
      <c r="G1854" s="2" t="n">
        <f aca="false">'Raw Data'!W1854</f>
        <v>4</v>
      </c>
      <c r="H1854" s="2" t="n">
        <f aca="false">'Raw Data'!V1854</f>
        <v>1</v>
      </c>
      <c r="I1854" s="2" t="n">
        <f aca="false">IF(AND(ISNUMBER(B1854),B1854&lt;=25),2,0)+IF(AND(ISNUMBER(E1854),E1854&lt;=5),2,0)+IF(AND(ISNUMBER(F1854),F1854&lt;=1),2,0)+IF(AND(ISNUMBER(G1854),G1854&lt;=2),1,0)+IF(AND(ISNUMBER(H1854),H1854&lt;=2),1,0)</f>
        <v>3</v>
      </c>
      <c r="J1854" s="2" t="str">
        <f aca="false">IF(I1854&gt;=6,"High",IF(I1854&gt;=3,"Medium","Low"))</f>
        <v>Medium</v>
      </c>
    </row>
    <row r="1855" customFormat="false" ht="15" hidden="false" customHeight="true" outlineLevel="0" collapsed="false">
      <c r="A1855" s="2" t="n">
        <f aca="false">'Raw Data'!H1855</f>
        <v>1854</v>
      </c>
      <c r="B1855" s="2" t="n">
        <f aca="false">'Raw Data'!A1855</f>
        <v>32</v>
      </c>
      <c r="C1855" s="2" t="str">
        <f aca="false">'Raw Data'!D1855</f>
        <v>Research &amp; Development</v>
      </c>
      <c r="D1855" s="2" t="str">
        <f aca="false">'Raw Data'!K1855</f>
        <v>Research Scientist</v>
      </c>
      <c r="E1855" s="2" t="n">
        <f aca="false">'Raw Data'!Q1855</f>
        <v>10</v>
      </c>
      <c r="F1855" s="2" t="n">
        <f aca="false">'Raw Data'!U1855</f>
        <v>3</v>
      </c>
      <c r="G1855" s="2" t="n">
        <f aca="false">'Raw Data'!W1855</f>
        <v>2</v>
      </c>
      <c r="H1855" s="2" t="n">
        <f aca="false">'Raw Data'!V1855</f>
        <v>2</v>
      </c>
      <c r="I1855" s="2" t="n">
        <f aca="false">IF(AND(ISNUMBER(B1855),B1855&lt;=25),2,0)+IF(AND(ISNUMBER(E1855),E1855&lt;=5),2,0)+IF(AND(ISNUMBER(F1855),F1855&lt;=1),2,0)+IF(AND(ISNUMBER(G1855),G1855&lt;=2),1,0)+IF(AND(ISNUMBER(H1855),H1855&lt;=2),1,0)</f>
        <v>2</v>
      </c>
      <c r="J1855" s="2" t="str">
        <f aca="false">IF(I1855&gt;=6,"High",IF(I1855&gt;=3,"Medium","Low"))</f>
        <v>Low</v>
      </c>
    </row>
    <row r="1856" customFormat="false" ht="15" hidden="false" customHeight="true" outlineLevel="0" collapsed="false">
      <c r="A1856" s="2" t="n">
        <f aca="false">'Raw Data'!H1856</f>
        <v>1855</v>
      </c>
      <c r="B1856" s="2" t="n">
        <f aca="false">'Raw Data'!A1856</f>
        <v>38</v>
      </c>
      <c r="C1856" s="2" t="str">
        <f aca="false">'Raw Data'!D1856</f>
        <v>Sales</v>
      </c>
      <c r="D1856" s="2" t="str">
        <f aca="false">'Raw Data'!K1856</f>
        <v>Sales Executive</v>
      </c>
      <c r="E1856" s="2" t="n">
        <f aca="false">'Raw Data'!Q1856</f>
        <v>3</v>
      </c>
      <c r="F1856" s="2" t="n">
        <f aca="false">'Raw Data'!U1856</f>
        <v>2</v>
      </c>
      <c r="G1856" s="2" t="n">
        <f aca="false">'Raw Data'!W1856</f>
        <v>2</v>
      </c>
      <c r="H1856" s="2" t="n">
        <f aca="false">'Raw Data'!V1856</f>
        <v>2</v>
      </c>
      <c r="I1856" s="2" t="n">
        <f aca="false">IF(AND(ISNUMBER(B1856),B1856&lt;=25),2,0)+IF(AND(ISNUMBER(E1856),E1856&lt;=5),2,0)+IF(AND(ISNUMBER(F1856),F1856&lt;=1),2,0)+IF(AND(ISNUMBER(G1856),G1856&lt;=2),1,0)+IF(AND(ISNUMBER(H1856),H1856&lt;=2),1,0)</f>
        <v>4</v>
      </c>
      <c r="J1856" s="2" t="str">
        <f aca="false">IF(I1856&gt;=6,"High",IF(I1856&gt;=3,"Medium","Low"))</f>
        <v>Medium</v>
      </c>
    </row>
    <row r="1857" customFormat="false" ht="15" hidden="false" customHeight="true" outlineLevel="0" collapsed="false">
      <c r="A1857" s="2" t="n">
        <f aca="false">'Raw Data'!H1857</f>
        <v>1856</v>
      </c>
      <c r="B1857" s="2" t="n">
        <f aca="false">'Raw Data'!A1857</f>
        <v>42</v>
      </c>
      <c r="C1857" s="2" t="str">
        <f aca="false">'Raw Data'!D1857</f>
        <v>Research &amp; Development</v>
      </c>
      <c r="D1857" s="2" t="str">
        <f aca="false">'Raw Data'!K1857</f>
        <v>Research Scientist</v>
      </c>
      <c r="E1857" s="2" t="n">
        <f aca="false">'Raw Data'!Q1857</f>
        <v>17</v>
      </c>
      <c r="F1857" s="2" t="n">
        <f aca="false">'Raw Data'!U1857</f>
        <v>3</v>
      </c>
      <c r="G1857" s="2" t="n">
        <f aca="false">'Raw Data'!W1857</f>
        <v>4</v>
      </c>
      <c r="H1857" s="2" t="n">
        <f aca="false">'Raw Data'!V1857</f>
        <v>3</v>
      </c>
      <c r="I1857" s="2" t="n">
        <f aca="false">IF(AND(ISNUMBER(B1857),B1857&lt;=25),2,0)+IF(AND(ISNUMBER(E1857),E1857&lt;=5),2,0)+IF(AND(ISNUMBER(F1857),F1857&lt;=1),2,0)+IF(AND(ISNUMBER(G1857),G1857&lt;=2),1,0)+IF(AND(ISNUMBER(H1857),H1857&lt;=2),1,0)</f>
        <v>0</v>
      </c>
      <c r="J1857" s="2" t="str">
        <f aca="false">IF(I1857&gt;=6,"High",IF(I1857&gt;=3,"Medium","Low"))</f>
        <v>Low</v>
      </c>
    </row>
    <row r="1858" customFormat="false" ht="15" hidden="false" customHeight="true" outlineLevel="0" collapsed="false">
      <c r="A1858" s="2" t="n">
        <f aca="false">'Raw Data'!H1858</f>
        <v>1857</v>
      </c>
      <c r="B1858" s="2" t="n">
        <f aca="false">'Raw Data'!A1858</f>
        <v>31</v>
      </c>
      <c r="C1858" s="2" t="str">
        <f aca="false">'Raw Data'!D1858</f>
        <v>Research &amp; Development</v>
      </c>
      <c r="D1858" s="2" t="str">
        <f aca="false">'Raw Data'!K1858</f>
        <v>Sales Executive</v>
      </c>
      <c r="E1858" s="2" t="n">
        <f aca="false">'Raw Data'!Q1858</f>
        <v>8</v>
      </c>
      <c r="F1858" s="2" t="n">
        <f aca="false">'Raw Data'!U1858</f>
        <v>2</v>
      </c>
      <c r="G1858" s="2" t="n">
        <f aca="false">'Raw Data'!W1858</f>
        <v>4</v>
      </c>
      <c r="H1858" s="2" t="n">
        <f aca="false">'Raw Data'!V1858</f>
        <v>4</v>
      </c>
      <c r="I1858" s="2" t="n">
        <f aca="false">IF(AND(ISNUMBER(B1858),B1858&lt;=25),2,0)+IF(AND(ISNUMBER(E1858),E1858&lt;=5),2,0)+IF(AND(ISNUMBER(F1858),F1858&lt;=1),2,0)+IF(AND(ISNUMBER(G1858),G1858&lt;=2),1,0)+IF(AND(ISNUMBER(H1858),H1858&lt;=2),1,0)</f>
        <v>0</v>
      </c>
      <c r="J1858" s="2" t="str">
        <f aca="false">IF(I1858&gt;=6,"High",IF(I1858&gt;=3,"Medium","Low"))</f>
        <v>Low</v>
      </c>
    </row>
    <row r="1859" customFormat="false" ht="15" hidden="false" customHeight="true" outlineLevel="0" collapsed="false">
      <c r="A1859" s="2" t="n">
        <f aca="false">'Raw Data'!H1859</f>
        <v>1858</v>
      </c>
      <c r="B1859" s="2" t="n">
        <f aca="false">'Raw Data'!A1859</f>
        <v>29</v>
      </c>
      <c r="C1859" s="2" t="str">
        <f aca="false">'Raw Data'!D1859</f>
        <v>Sales</v>
      </c>
      <c r="D1859" s="2" t="str">
        <f aca="false">'Raw Data'!K1859</f>
        <v>Laboratory Technician</v>
      </c>
      <c r="E1859" s="2" t="n">
        <f aca="false">'Raw Data'!Q1859</f>
        <v>5</v>
      </c>
      <c r="F1859" s="2" t="n">
        <f aca="false">'Raw Data'!U1859</f>
        <v>2</v>
      </c>
      <c r="G1859" s="2" t="n">
        <f aca="false">'Raw Data'!W1859</f>
        <v>3</v>
      </c>
      <c r="H1859" s="2" t="n">
        <f aca="false">'Raw Data'!V1859</f>
        <v>2</v>
      </c>
      <c r="I1859" s="2" t="n">
        <f aca="false">IF(AND(ISNUMBER(B1859),B1859&lt;=25),2,0)+IF(AND(ISNUMBER(E1859),E1859&lt;=5),2,0)+IF(AND(ISNUMBER(F1859),F1859&lt;=1),2,0)+IF(AND(ISNUMBER(G1859),G1859&lt;=2),1,0)+IF(AND(ISNUMBER(H1859),H1859&lt;=2),1,0)</f>
        <v>3</v>
      </c>
      <c r="J1859" s="2" t="str">
        <f aca="false">IF(I1859&gt;=6,"High",IF(I1859&gt;=3,"Medium","Low"))</f>
        <v>Medium</v>
      </c>
    </row>
    <row r="1860" customFormat="false" ht="15" hidden="false" customHeight="true" outlineLevel="0" collapsed="false">
      <c r="A1860" s="2" t="n">
        <f aca="false">'Raw Data'!H1860</f>
        <v>1859</v>
      </c>
      <c r="B1860" s="2" t="n">
        <f aca="false">'Raw Data'!A1860</f>
        <v>53</v>
      </c>
      <c r="C1860" s="2" t="str">
        <f aca="false">'Raw Data'!D1860</f>
        <v>Research &amp; Development</v>
      </c>
      <c r="D1860" s="2" t="str">
        <f aca="false">'Raw Data'!K1860</f>
        <v>Sales Representative</v>
      </c>
      <c r="E1860" s="2" t="n">
        <f aca="false">'Raw Data'!Q1860</f>
        <v>28</v>
      </c>
      <c r="F1860" s="2" t="n">
        <f aca="false">'Raw Data'!U1860</f>
        <v>2</v>
      </c>
      <c r="G1860" s="2" t="n">
        <f aca="false">'Raw Data'!W1860</f>
        <v>4</v>
      </c>
      <c r="H1860" s="2" t="n">
        <f aca="false">'Raw Data'!V1860</f>
        <v>1</v>
      </c>
      <c r="I1860" s="2" t="n">
        <f aca="false">IF(AND(ISNUMBER(B1860),B1860&lt;=25),2,0)+IF(AND(ISNUMBER(E1860),E1860&lt;=5),2,0)+IF(AND(ISNUMBER(F1860),F1860&lt;=1),2,0)+IF(AND(ISNUMBER(G1860),G1860&lt;=2),1,0)+IF(AND(ISNUMBER(H1860),H1860&lt;=2),1,0)</f>
        <v>1</v>
      </c>
      <c r="J1860" s="2" t="str">
        <f aca="false">IF(I1860&gt;=6,"High",IF(I1860&gt;=3,"Medium","Low"))</f>
        <v>Low</v>
      </c>
    </row>
    <row r="1861" customFormat="false" ht="15" hidden="false" customHeight="true" outlineLevel="0" collapsed="false">
      <c r="A1861" s="2" t="n">
        <f aca="false">'Raw Data'!H1861</f>
        <v>1860</v>
      </c>
      <c r="B1861" s="2" t="n">
        <f aca="false">'Raw Data'!A1861</f>
        <v>35</v>
      </c>
      <c r="C1861" s="2" t="str">
        <f aca="false">'Raw Data'!D1861</f>
        <v>Research &amp; Development</v>
      </c>
      <c r="D1861" s="2" t="str">
        <f aca="false">'Raw Data'!K1861</f>
        <v>Healthcare Representative</v>
      </c>
      <c r="E1861" s="2" t="n">
        <f aca="false">'Raw Data'!Q1861</f>
        <v>16</v>
      </c>
      <c r="F1861" s="2" t="n">
        <f aca="false">'Raw Data'!U1861</f>
        <v>8</v>
      </c>
      <c r="G1861" s="2" t="n">
        <f aca="false">'Raw Data'!W1861</f>
        <v>2</v>
      </c>
      <c r="H1861" s="2" t="n">
        <f aca="false">'Raw Data'!V1861</f>
        <v>4</v>
      </c>
      <c r="I1861" s="2" t="n">
        <f aca="false">IF(AND(ISNUMBER(B1861),B1861&lt;=25),2,0)+IF(AND(ISNUMBER(E1861),E1861&lt;=5),2,0)+IF(AND(ISNUMBER(F1861),F1861&lt;=1),2,0)+IF(AND(ISNUMBER(G1861),G1861&lt;=2),1,0)+IF(AND(ISNUMBER(H1861),H1861&lt;=2),1,0)</f>
        <v>1</v>
      </c>
      <c r="J1861" s="2" t="str">
        <f aca="false">IF(I1861&gt;=6,"High",IF(I1861&gt;=3,"Medium","Low"))</f>
        <v>Low</v>
      </c>
    </row>
    <row r="1862" customFormat="false" ht="15" hidden="false" customHeight="true" outlineLevel="0" collapsed="false">
      <c r="A1862" s="2" t="n">
        <f aca="false">'Raw Data'!H1862</f>
        <v>1861</v>
      </c>
      <c r="B1862" s="2" t="n">
        <f aca="false">'Raw Data'!A1862</f>
        <v>37</v>
      </c>
      <c r="C1862" s="2" t="str">
        <f aca="false">'Raw Data'!D1862</f>
        <v>Research &amp; Development</v>
      </c>
      <c r="D1862" s="2" t="str">
        <f aca="false">'Raw Data'!K1862</f>
        <v>Human Resources</v>
      </c>
      <c r="E1862" s="2" t="n">
        <f aca="false">'Raw Data'!Q1862</f>
        <v>10</v>
      </c>
      <c r="F1862" s="2" t="n">
        <f aca="false">'Raw Data'!U1862</f>
        <v>0</v>
      </c>
      <c r="G1862" s="2" t="n">
        <f aca="false">'Raw Data'!W1862</f>
        <v>4</v>
      </c>
      <c r="H1862" s="2" t="n">
        <f aca="false">'Raw Data'!V1862</f>
        <v>3</v>
      </c>
      <c r="I1862" s="2" t="n">
        <f aca="false">IF(AND(ISNUMBER(B1862),B1862&lt;=25),2,0)+IF(AND(ISNUMBER(E1862),E1862&lt;=5),2,0)+IF(AND(ISNUMBER(F1862),F1862&lt;=1),2,0)+IF(AND(ISNUMBER(G1862),G1862&lt;=2),1,0)+IF(AND(ISNUMBER(H1862),H1862&lt;=2),1,0)</f>
        <v>2</v>
      </c>
      <c r="J1862" s="2" t="str">
        <f aca="false">IF(I1862&gt;=6,"High",IF(I1862&gt;=3,"Medium","Low"))</f>
        <v>Low</v>
      </c>
    </row>
    <row r="1863" customFormat="false" ht="15" hidden="false" customHeight="true" outlineLevel="0" collapsed="false">
      <c r="A1863" s="2" t="n">
        <f aca="false">'Raw Data'!H1863</f>
        <v>1862</v>
      </c>
      <c r="B1863" s="2" t="n">
        <f aca="false">'Raw Data'!A1863</f>
        <v>53</v>
      </c>
      <c r="C1863" s="2" t="str">
        <f aca="false">'Raw Data'!D1863</f>
        <v>Research &amp; Development</v>
      </c>
      <c r="D1863" s="2" t="str">
        <f aca="false">'Raw Data'!K1863</f>
        <v>Sales Executive</v>
      </c>
      <c r="E1863" s="2" t="n">
        <f aca="false">'Raw Data'!Q1863</f>
        <v>33</v>
      </c>
      <c r="F1863" s="2" t="n">
        <f aca="false">'Raw Data'!U1863</f>
        <v>8</v>
      </c>
      <c r="G1863" s="2" t="n">
        <f aca="false">'Raw Data'!W1863</f>
        <v>4</v>
      </c>
      <c r="H1863" s="2" t="n">
        <f aca="false">'Raw Data'!V1863</f>
        <v>4</v>
      </c>
      <c r="I1863" s="2" t="n">
        <f aca="false">IF(AND(ISNUMBER(B1863),B1863&lt;=25),2,0)+IF(AND(ISNUMBER(E1863),E1863&lt;=5),2,0)+IF(AND(ISNUMBER(F1863),F1863&lt;=1),2,0)+IF(AND(ISNUMBER(G1863),G1863&lt;=2),1,0)+IF(AND(ISNUMBER(H1863),H1863&lt;=2),1,0)</f>
        <v>0</v>
      </c>
      <c r="J1863" s="2" t="str">
        <f aca="false">IF(I1863&gt;=6,"High",IF(I1863&gt;=3,"Medium","Low"))</f>
        <v>Low</v>
      </c>
    </row>
    <row r="1864" customFormat="false" ht="15" hidden="false" customHeight="true" outlineLevel="0" collapsed="false">
      <c r="A1864" s="2" t="n">
        <f aca="false">'Raw Data'!H1864</f>
        <v>1863</v>
      </c>
      <c r="B1864" s="2" t="n">
        <f aca="false">'Raw Data'!A1864</f>
        <v>43</v>
      </c>
      <c r="C1864" s="2" t="str">
        <f aca="false">'Raw Data'!D1864</f>
        <v>Research &amp; Development</v>
      </c>
      <c r="D1864" s="2" t="str">
        <f aca="false">'Raw Data'!K1864</f>
        <v>Laboratory Technician</v>
      </c>
      <c r="E1864" s="2" t="n">
        <f aca="false">'Raw Data'!Q1864</f>
        <v>12</v>
      </c>
      <c r="F1864" s="2" t="n">
        <f aca="false">'Raw Data'!U1864</f>
        <v>2</v>
      </c>
      <c r="G1864" s="2" t="n">
        <f aca="false">'Raw Data'!W1864</f>
        <v>4</v>
      </c>
      <c r="H1864" s="2" t="n">
        <f aca="false">'Raw Data'!V1864</f>
        <v>4</v>
      </c>
      <c r="I1864" s="2" t="n">
        <f aca="false">IF(AND(ISNUMBER(B1864),B1864&lt;=25),2,0)+IF(AND(ISNUMBER(E1864),E1864&lt;=5),2,0)+IF(AND(ISNUMBER(F1864),F1864&lt;=1),2,0)+IF(AND(ISNUMBER(G1864),G1864&lt;=2),1,0)+IF(AND(ISNUMBER(H1864),H1864&lt;=2),1,0)</f>
        <v>0</v>
      </c>
      <c r="J1864" s="2" t="str">
        <f aca="false">IF(I1864&gt;=6,"High",IF(I1864&gt;=3,"Medium","Low"))</f>
        <v>Low</v>
      </c>
    </row>
    <row r="1865" customFormat="false" ht="15" hidden="false" customHeight="true" outlineLevel="0" collapsed="false">
      <c r="A1865" s="2" t="n">
        <f aca="false">'Raw Data'!H1865</f>
        <v>1864</v>
      </c>
      <c r="B1865" s="2" t="n">
        <f aca="false">'Raw Data'!A1865</f>
        <v>47</v>
      </c>
      <c r="C1865" s="2" t="str">
        <f aca="false">'Raw Data'!D1865</f>
        <v>Sales</v>
      </c>
      <c r="D1865" s="2" t="str">
        <f aca="false">'Raw Data'!K1865</f>
        <v>Research Director</v>
      </c>
      <c r="E1865" s="2" t="n">
        <f aca="false">'Raw Data'!Q1865</f>
        <v>8</v>
      </c>
      <c r="F1865" s="2" t="n">
        <f aca="false">'Raw Data'!U1865</f>
        <v>7</v>
      </c>
      <c r="G1865" s="2" t="n">
        <f aca="false">'Raw Data'!W1865</f>
        <v>4</v>
      </c>
      <c r="H1865" s="2" t="n">
        <f aca="false">'Raw Data'!V1865</f>
        <v>3</v>
      </c>
      <c r="I1865" s="2" t="n">
        <f aca="false">IF(AND(ISNUMBER(B1865),B1865&lt;=25),2,0)+IF(AND(ISNUMBER(E1865),E1865&lt;=5),2,0)+IF(AND(ISNUMBER(F1865),F1865&lt;=1),2,0)+IF(AND(ISNUMBER(G1865),G1865&lt;=2),1,0)+IF(AND(ISNUMBER(H1865),H1865&lt;=2),1,0)</f>
        <v>0</v>
      </c>
      <c r="J1865" s="2" t="str">
        <f aca="false">IF(I1865&gt;=6,"High",IF(I1865&gt;=3,"Medium","Low"))</f>
        <v>Low</v>
      </c>
    </row>
    <row r="1866" customFormat="false" ht="15" hidden="false" customHeight="true" outlineLevel="0" collapsed="false">
      <c r="A1866" s="2" t="n">
        <f aca="false">'Raw Data'!H1866</f>
        <v>1865</v>
      </c>
      <c r="B1866" s="2" t="n">
        <f aca="false">'Raw Data'!A1866</f>
        <v>37</v>
      </c>
      <c r="C1866" s="2" t="str">
        <f aca="false">'Raw Data'!D1866</f>
        <v>Research &amp; Development</v>
      </c>
      <c r="D1866" s="2" t="str">
        <f aca="false">'Raw Data'!K1866</f>
        <v>Research Scientist</v>
      </c>
      <c r="E1866" s="2" t="n">
        <f aca="false">'Raw Data'!Q1866</f>
        <v>10</v>
      </c>
      <c r="F1866" s="2" t="n">
        <f aca="false">'Raw Data'!U1866</f>
        <v>9</v>
      </c>
      <c r="G1866" s="2" t="n">
        <f aca="false">'Raw Data'!W1866</f>
        <v>2</v>
      </c>
      <c r="H1866" s="2" t="n">
        <f aca="false">'Raw Data'!V1866</f>
        <v>1</v>
      </c>
      <c r="I1866" s="2" t="n">
        <f aca="false">IF(AND(ISNUMBER(B1866),B1866&lt;=25),2,0)+IF(AND(ISNUMBER(E1866),E1866&lt;=5),2,0)+IF(AND(ISNUMBER(F1866),F1866&lt;=1),2,0)+IF(AND(ISNUMBER(G1866),G1866&lt;=2),1,0)+IF(AND(ISNUMBER(H1866),H1866&lt;=2),1,0)</f>
        <v>2</v>
      </c>
      <c r="J1866" s="2" t="str">
        <f aca="false">IF(I1866&gt;=6,"High",IF(I1866&gt;=3,"Medium","Low"))</f>
        <v>Low</v>
      </c>
    </row>
    <row r="1867" customFormat="false" ht="15" hidden="false" customHeight="true" outlineLevel="0" collapsed="false">
      <c r="A1867" s="2" t="n">
        <f aca="false">'Raw Data'!H1867</f>
        <v>1866</v>
      </c>
      <c r="B1867" s="2" t="n">
        <f aca="false">'Raw Data'!A1867</f>
        <v>50</v>
      </c>
      <c r="C1867" s="2" t="str">
        <f aca="false">'Raw Data'!D1867</f>
        <v>Research &amp; Development</v>
      </c>
      <c r="D1867" s="2" t="str">
        <f aca="false">'Raw Data'!K1867</f>
        <v>Laboratory Technician</v>
      </c>
      <c r="E1867" s="2" t="n">
        <f aca="false">'Raw Data'!Q1867</f>
        <v>31</v>
      </c>
      <c r="F1867" s="2" t="n">
        <f aca="false">'Raw Data'!U1867</f>
        <v>7</v>
      </c>
      <c r="G1867" s="2" t="n">
        <f aca="false">'Raw Data'!W1867</f>
        <v>1</v>
      </c>
      <c r="H1867" s="2" t="n">
        <f aca="false">'Raw Data'!V1867</f>
        <v>1</v>
      </c>
      <c r="I1867" s="2" t="n">
        <f aca="false">IF(AND(ISNUMBER(B1867),B1867&lt;=25),2,0)+IF(AND(ISNUMBER(E1867),E1867&lt;=5),2,0)+IF(AND(ISNUMBER(F1867),F1867&lt;=1),2,0)+IF(AND(ISNUMBER(G1867),G1867&lt;=2),1,0)+IF(AND(ISNUMBER(H1867),H1867&lt;=2),1,0)</f>
        <v>2</v>
      </c>
      <c r="J1867" s="2" t="str">
        <f aca="false">IF(I1867&gt;=6,"High",IF(I1867&gt;=3,"Medium","Low"))</f>
        <v>Low</v>
      </c>
    </row>
    <row r="1868" customFormat="false" ht="15" hidden="false" customHeight="true" outlineLevel="0" collapsed="false">
      <c r="A1868" s="2" t="n">
        <f aca="false">'Raw Data'!H1868</f>
        <v>1867</v>
      </c>
      <c r="B1868" s="2" t="n">
        <f aca="false">'Raw Data'!A1868</f>
        <v>39</v>
      </c>
      <c r="C1868" s="2" t="str">
        <f aca="false">'Raw Data'!D1868</f>
        <v>Research &amp; Development</v>
      </c>
      <c r="D1868" s="2" t="str">
        <f aca="false">'Raw Data'!K1868</f>
        <v>Human Resources</v>
      </c>
      <c r="E1868" s="2" t="n">
        <f aca="false">'Raw Data'!Q1868</f>
        <v>13</v>
      </c>
      <c r="F1868" s="2" t="n">
        <f aca="false">'Raw Data'!U1868</f>
        <v>4</v>
      </c>
      <c r="G1868" s="2" t="n">
        <f aca="false">'Raw Data'!W1868</f>
        <v>4</v>
      </c>
      <c r="H1868" s="2" t="n">
        <f aca="false">'Raw Data'!V1868</f>
        <v>4</v>
      </c>
      <c r="I1868" s="2" t="n">
        <f aca="false">IF(AND(ISNUMBER(B1868),B1868&lt;=25),2,0)+IF(AND(ISNUMBER(E1868),E1868&lt;=5),2,0)+IF(AND(ISNUMBER(F1868),F1868&lt;=1),2,0)+IF(AND(ISNUMBER(G1868),G1868&lt;=2),1,0)+IF(AND(ISNUMBER(H1868),H1868&lt;=2),1,0)</f>
        <v>0</v>
      </c>
      <c r="J1868" s="2" t="str">
        <f aca="false">IF(I1868&gt;=6,"High",IF(I1868&gt;=3,"Medium","Low"))</f>
        <v>Low</v>
      </c>
    </row>
    <row r="1869" customFormat="false" ht="15" hidden="false" customHeight="true" outlineLevel="0" collapsed="false">
      <c r="A1869" s="2" t="n">
        <f aca="false">'Raw Data'!H1869</f>
        <v>1868</v>
      </c>
      <c r="B1869" s="2" t="n">
        <f aca="false">'Raw Data'!A1869</f>
        <v>33</v>
      </c>
      <c r="C1869" s="2" t="str">
        <f aca="false">'Raw Data'!D1869</f>
        <v>Sales</v>
      </c>
      <c r="D1869" s="2" t="str">
        <f aca="false">'Raw Data'!K1869</f>
        <v>Manufacturing Director</v>
      </c>
      <c r="E1869" s="2" t="n">
        <f aca="false">'Raw Data'!Q1869</f>
        <v>7</v>
      </c>
      <c r="F1869" s="2" t="n">
        <f aca="false">'Raw Data'!U1869</f>
        <v>3</v>
      </c>
      <c r="G1869" s="2" t="n">
        <f aca="false">'Raw Data'!W1869</f>
        <v>2</v>
      </c>
      <c r="H1869" s="2" t="n">
        <f aca="false">'Raw Data'!V1869</f>
        <v>4</v>
      </c>
      <c r="I1869" s="2" t="n">
        <f aca="false">IF(AND(ISNUMBER(B1869),B1869&lt;=25),2,0)+IF(AND(ISNUMBER(E1869),E1869&lt;=5),2,0)+IF(AND(ISNUMBER(F1869),F1869&lt;=1),2,0)+IF(AND(ISNUMBER(G1869),G1869&lt;=2),1,0)+IF(AND(ISNUMBER(H1869),H1869&lt;=2),1,0)</f>
        <v>1</v>
      </c>
      <c r="J1869" s="2" t="str">
        <f aca="false">IF(I1869&gt;=6,"High",IF(I1869&gt;=3,"Medium","Low"))</f>
        <v>Low</v>
      </c>
    </row>
    <row r="1870" customFormat="false" ht="15" hidden="false" customHeight="true" outlineLevel="0" collapsed="false">
      <c r="A1870" s="2" t="n">
        <f aca="false">'Raw Data'!H1870</f>
        <v>1869</v>
      </c>
      <c r="B1870" s="2" t="n">
        <f aca="false">'Raw Data'!A1870</f>
        <v>32</v>
      </c>
      <c r="C1870" s="2" t="str">
        <f aca="false">'Raw Data'!D1870</f>
        <v>Research &amp; Development</v>
      </c>
      <c r="D1870" s="2" t="str">
        <f aca="false">'Raw Data'!K1870</f>
        <v>Laboratory Technician</v>
      </c>
      <c r="E1870" s="2" t="n">
        <f aca="false">'Raw Data'!Q1870</f>
        <v>1</v>
      </c>
      <c r="F1870" s="2" t="n">
        <f aca="false">'Raw Data'!U1870</f>
        <v>1</v>
      </c>
      <c r="G1870" s="2" t="n">
        <f aca="false">'Raw Data'!W1870</f>
        <v>4</v>
      </c>
      <c r="H1870" s="2" t="n">
        <f aca="false">'Raw Data'!V1870</f>
        <v>1</v>
      </c>
      <c r="I1870" s="2" t="n">
        <f aca="false">IF(AND(ISNUMBER(B1870),B1870&lt;=25),2,0)+IF(AND(ISNUMBER(E1870),E1870&lt;=5),2,0)+IF(AND(ISNUMBER(F1870),F1870&lt;=1),2,0)+IF(AND(ISNUMBER(G1870),G1870&lt;=2),1,0)+IF(AND(ISNUMBER(H1870),H1870&lt;=2),1,0)</f>
        <v>5</v>
      </c>
      <c r="J1870" s="2" t="str">
        <f aca="false">IF(I1870&gt;=6,"High",IF(I1870&gt;=3,"Medium","Low"))</f>
        <v>Medium</v>
      </c>
    </row>
    <row r="1871" customFormat="false" ht="15" hidden="false" customHeight="true" outlineLevel="0" collapsed="false">
      <c r="A1871" s="2" t="n">
        <f aca="false">'Raw Data'!H1871</f>
        <v>1870</v>
      </c>
      <c r="B1871" s="2" t="n">
        <f aca="false">'Raw Data'!A1871</f>
        <v>29</v>
      </c>
      <c r="C1871" s="2" t="str">
        <f aca="false">'Raw Data'!D1871</f>
        <v>Research &amp; Development</v>
      </c>
      <c r="D1871" s="2" t="str">
        <f aca="false">'Raw Data'!K1871</f>
        <v>Healthcare Representative</v>
      </c>
      <c r="E1871" s="2" t="n">
        <f aca="false">'Raw Data'!Q1871</f>
        <v>8</v>
      </c>
      <c r="F1871" s="2" t="n">
        <f aca="false">'Raw Data'!U1871</f>
        <v>3</v>
      </c>
      <c r="G1871" s="2" t="n">
        <f aca="false">'Raw Data'!W1871</f>
        <v>4</v>
      </c>
      <c r="H1871" s="2" t="n">
        <f aca="false">'Raw Data'!V1871</f>
        <v>1</v>
      </c>
      <c r="I1871" s="2" t="n">
        <f aca="false">IF(AND(ISNUMBER(B1871),B1871&lt;=25),2,0)+IF(AND(ISNUMBER(E1871),E1871&lt;=5),2,0)+IF(AND(ISNUMBER(F1871),F1871&lt;=1),2,0)+IF(AND(ISNUMBER(G1871),G1871&lt;=2),1,0)+IF(AND(ISNUMBER(H1871),H1871&lt;=2),1,0)</f>
        <v>1</v>
      </c>
      <c r="J1871" s="2" t="str">
        <f aca="false">IF(I1871&gt;=6,"High",IF(I1871&gt;=3,"Medium","Low"))</f>
        <v>Low</v>
      </c>
    </row>
    <row r="1872" customFormat="false" ht="15" hidden="false" customHeight="true" outlineLevel="0" collapsed="false">
      <c r="A1872" s="2" t="n">
        <f aca="false">'Raw Data'!H1872</f>
        <v>1871</v>
      </c>
      <c r="B1872" s="2" t="n">
        <f aca="false">'Raw Data'!A1872</f>
        <v>44</v>
      </c>
      <c r="C1872" s="2" t="str">
        <f aca="false">'Raw Data'!D1872</f>
        <v>Research &amp; Development</v>
      </c>
      <c r="D1872" s="2" t="str">
        <f aca="false">'Raw Data'!K1872</f>
        <v>Manufacturing Director</v>
      </c>
      <c r="E1872" s="2" t="n">
        <f aca="false">'Raw Data'!Q1872</f>
        <v>8</v>
      </c>
      <c r="F1872" s="2" t="n">
        <f aca="false">'Raw Data'!U1872</f>
        <v>1</v>
      </c>
      <c r="G1872" s="2" t="n">
        <f aca="false">'Raw Data'!W1872</f>
        <v>1</v>
      </c>
      <c r="H1872" s="2" t="n">
        <f aca="false">'Raw Data'!V1872</f>
        <v>2</v>
      </c>
      <c r="I1872" s="2" t="n">
        <f aca="false">IF(AND(ISNUMBER(B1872),B1872&lt;=25),2,0)+IF(AND(ISNUMBER(E1872),E1872&lt;=5),2,0)+IF(AND(ISNUMBER(F1872),F1872&lt;=1),2,0)+IF(AND(ISNUMBER(G1872),G1872&lt;=2),1,0)+IF(AND(ISNUMBER(H1872),H1872&lt;=2),1,0)</f>
        <v>4</v>
      </c>
      <c r="J1872" s="2" t="str">
        <f aca="false">IF(I1872&gt;=6,"High",IF(I1872&gt;=3,"Medium","Low"))</f>
        <v>Medium</v>
      </c>
    </row>
    <row r="1873" customFormat="false" ht="15" hidden="false" customHeight="true" outlineLevel="0" collapsed="false">
      <c r="A1873" s="2" t="n">
        <f aca="false">'Raw Data'!H1873</f>
        <v>1872</v>
      </c>
      <c r="B1873" s="2" t="n">
        <f aca="false">'Raw Data'!A1873</f>
        <v>28</v>
      </c>
      <c r="C1873" s="2" t="str">
        <f aca="false">'Raw Data'!D1873</f>
        <v>Sales</v>
      </c>
      <c r="D1873" s="2" t="str">
        <f aca="false">'Raw Data'!K1873</f>
        <v>Research Scientist</v>
      </c>
      <c r="E1873" s="2" t="n">
        <f aca="false">'Raw Data'!Q1873</f>
        <v>4</v>
      </c>
      <c r="F1873" s="2" t="n">
        <f aca="false">'Raw Data'!U1873</f>
        <v>2</v>
      </c>
      <c r="G1873" s="2" t="n">
        <f aca="false">'Raw Data'!W1873</f>
        <v>4</v>
      </c>
      <c r="H1873" s="2" t="n">
        <f aca="false">'Raw Data'!V1873</f>
        <v>1</v>
      </c>
      <c r="I1873" s="2" t="n">
        <f aca="false">IF(AND(ISNUMBER(B1873),B1873&lt;=25),2,0)+IF(AND(ISNUMBER(E1873),E1873&lt;=5),2,0)+IF(AND(ISNUMBER(F1873),F1873&lt;=1),2,0)+IF(AND(ISNUMBER(G1873),G1873&lt;=2),1,0)+IF(AND(ISNUMBER(H1873),H1873&lt;=2),1,0)</f>
        <v>3</v>
      </c>
      <c r="J1873" s="2" t="str">
        <f aca="false">IF(I1873&gt;=6,"High",IF(I1873&gt;=3,"Medium","Low"))</f>
        <v>Medium</v>
      </c>
    </row>
    <row r="1874" customFormat="false" ht="15" hidden="false" customHeight="true" outlineLevel="0" collapsed="false">
      <c r="A1874" s="2" t="n">
        <f aca="false">'Raw Data'!H1874</f>
        <v>1873</v>
      </c>
      <c r="B1874" s="2" t="n">
        <f aca="false">'Raw Data'!A1874</f>
        <v>58</v>
      </c>
      <c r="C1874" s="2" t="str">
        <f aca="false">'Raw Data'!D1874</f>
        <v>Sales</v>
      </c>
      <c r="D1874" s="2" t="str">
        <f aca="false">'Raw Data'!K1874</f>
        <v>Sales Executive</v>
      </c>
      <c r="E1874" s="2" t="n">
        <f aca="false">'Raw Data'!Q1874</f>
        <v>3</v>
      </c>
      <c r="F1874" s="2" t="n">
        <f aca="false">'Raw Data'!U1874</f>
        <v>0</v>
      </c>
      <c r="G1874" s="2" t="n">
        <f aca="false">'Raw Data'!W1874</f>
        <v>4</v>
      </c>
      <c r="H1874" s="2" t="n">
        <f aca="false">'Raw Data'!V1874</f>
        <v>4</v>
      </c>
      <c r="I1874" s="2" t="n">
        <f aca="false">IF(AND(ISNUMBER(B1874),B1874&lt;=25),2,0)+IF(AND(ISNUMBER(E1874),E1874&lt;=5),2,0)+IF(AND(ISNUMBER(F1874),F1874&lt;=1),2,0)+IF(AND(ISNUMBER(G1874),G1874&lt;=2),1,0)+IF(AND(ISNUMBER(H1874),H1874&lt;=2),1,0)</f>
        <v>4</v>
      </c>
      <c r="J1874" s="2" t="str">
        <f aca="false">IF(I1874&gt;=6,"High",IF(I1874&gt;=3,"Medium","Low"))</f>
        <v>Medium</v>
      </c>
    </row>
    <row r="1875" customFormat="false" ht="15" hidden="false" customHeight="true" outlineLevel="0" collapsed="false">
      <c r="A1875" s="2" t="n">
        <f aca="false">'Raw Data'!H1875</f>
        <v>1874</v>
      </c>
      <c r="B1875" s="2" t="n">
        <f aca="false">'Raw Data'!A1875</f>
        <v>43</v>
      </c>
      <c r="C1875" s="2" t="str">
        <f aca="false">'Raw Data'!D1875</f>
        <v>Sales</v>
      </c>
      <c r="D1875" s="2" t="str">
        <f aca="false">'Raw Data'!K1875</f>
        <v>Sales Executive</v>
      </c>
      <c r="E1875" s="2" t="n">
        <f aca="false">'Raw Data'!Q1875</f>
        <v>4</v>
      </c>
      <c r="F1875" s="2" t="n">
        <f aca="false">'Raw Data'!U1875</f>
        <v>0</v>
      </c>
      <c r="G1875" s="2" t="n">
        <f aca="false">'Raw Data'!W1875</f>
        <v>2</v>
      </c>
      <c r="H1875" s="2" t="n">
        <f aca="false">'Raw Data'!V1875</f>
        <v>1</v>
      </c>
      <c r="I1875" s="2" t="n">
        <f aca="false">IF(AND(ISNUMBER(B1875),B1875&lt;=25),2,0)+IF(AND(ISNUMBER(E1875),E1875&lt;=5),2,0)+IF(AND(ISNUMBER(F1875),F1875&lt;=1),2,0)+IF(AND(ISNUMBER(G1875),G1875&lt;=2),1,0)+IF(AND(ISNUMBER(H1875),H1875&lt;=2),1,0)</f>
        <v>6</v>
      </c>
      <c r="J1875" s="2" t="str">
        <f aca="false">IF(I1875&gt;=6,"High",IF(I1875&gt;=3,"Medium","Low"))</f>
        <v>High</v>
      </c>
    </row>
    <row r="1876" customFormat="false" ht="15" hidden="false" customHeight="true" outlineLevel="0" collapsed="false">
      <c r="A1876" s="2" t="n">
        <f aca="false">'Raw Data'!H1876</f>
        <v>1875</v>
      </c>
      <c r="B1876" s="2" t="n">
        <f aca="false">'Raw Data'!A1876</f>
        <v>20</v>
      </c>
      <c r="C1876" s="2" t="str">
        <f aca="false">'Raw Data'!D1876</f>
        <v>Research &amp; Development</v>
      </c>
      <c r="D1876" s="2" t="str">
        <f aca="false">'Raw Data'!K1876</f>
        <v>Sales Executive</v>
      </c>
      <c r="E1876" s="2" t="n">
        <f aca="false">'Raw Data'!Q1876</f>
        <v>2</v>
      </c>
      <c r="F1876" s="2" t="n">
        <f aca="false">'Raw Data'!U1876</f>
        <v>2</v>
      </c>
      <c r="G1876" s="2" t="n">
        <f aca="false">'Raw Data'!W1876</f>
        <v>3</v>
      </c>
      <c r="H1876" s="2" t="n">
        <f aca="false">'Raw Data'!V1876</f>
        <v>3</v>
      </c>
      <c r="I1876" s="2" t="n">
        <f aca="false">IF(AND(ISNUMBER(B1876),B1876&lt;=25),2,0)+IF(AND(ISNUMBER(E1876),E1876&lt;=5),2,0)+IF(AND(ISNUMBER(F1876),F1876&lt;=1),2,0)+IF(AND(ISNUMBER(G1876),G1876&lt;=2),1,0)+IF(AND(ISNUMBER(H1876),H1876&lt;=2),1,0)</f>
        <v>4</v>
      </c>
      <c r="J1876" s="2" t="str">
        <f aca="false">IF(I1876&gt;=6,"High",IF(I1876&gt;=3,"Medium","Low"))</f>
        <v>Medium</v>
      </c>
    </row>
    <row r="1877" customFormat="false" ht="15" hidden="false" customHeight="true" outlineLevel="0" collapsed="false">
      <c r="A1877" s="2" t="n">
        <f aca="false">'Raw Data'!H1877</f>
        <v>1876</v>
      </c>
      <c r="B1877" s="2" t="n">
        <f aca="false">'Raw Data'!A1877</f>
        <v>21</v>
      </c>
      <c r="C1877" s="2" t="str">
        <f aca="false">'Raw Data'!D1877</f>
        <v>Research &amp; Development</v>
      </c>
      <c r="D1877" s="2" t="str">
        <f aca="false">'Raw Data'!K1877</f>
        <v>Sales Executive</v>
      </c>
      <c r="E1877" s="2" t="n">
        <f aca="false">'Raw Data'!Q1877</f>
        <v>1</v>
      </c>
      <c r="F1877" s="2" t="n">
        <f aca="false">'Raw Data'!U1877</f>
        <v>0</v>
      </c>
      <c r="G1877" s="2" t="n">
        <f aca="false">'Raw Data'!W1877</f>
        <v>4</v>
      </c>
      <c r="H1877" s="2" t="n">
        <f aca="false">'Raw Data'!V1877</f>
        <v>4</v>
      </c>
      <c r="I1877" s="2" t="n">
        <f aca="false">IF(AND(ISNUMBER(B1877),B1877&lt;=25),2,0)+IF(AND(ISNUMBER(E1877),E1877&lt;=5),2,0)+IF(AND(ISNUMBER(F1877),F1877&lt;=1),2,0)+IF(AND(ISNUMBER(G1877),G1877&lt;=2),1,0)+IF(AND(ISNUMBER(H1877),H1877&lt;=2),1,0)</f>
        <v>6</v>
      </c>
      <c r="J1877" s="2" t="str">
        <f aca="false">IF(I1877&gt;=6,"High",IF(I1877&gt;=3,"Medium","Low"))</f>
        <v>High</v>
      </c>
    </row>
    <row r="1878" customFormat="false" ht="15" hidden="false" customHeight="true" outlineLevel="0" collapsed="false">
      <c r="A1878" s="2" t="n">
        <f aca="false">'Raw Data'!H1878</f>
        <v>1877</v>
      </c>
      <c r="B1878" s="2" t="n">
        <f aca="false">'Raw Data'!A1878</f>
        <v>36</v>
      </c>
      <c r="C1878" s="2" t="str">
        <f aca="false">'Raw Data'!D1878</f>
        <v>Research &amp; Development</v>
      </c>
      <c r="D1878" s="2" t="str">
        <f aca="false">'Raw Data'!K1878</f>
        <v>Laboratory Technician</v>
      </c>
      <c r="E1878" s="2" t="n">
        <f aca="false">'Raw Data'!Q1878</f>
        <v>17</v>
      </c>
      <c r="F1878" s="2" t="n">
        <f aca="false">'Raw Data'!U1878</f>
        <v>11</v>
      </c>
      <c r="G1878" s="2" t="n">
        <f aca="false">'Raw Data'!W1878</f>
        <v>4</v>
      </c>
      <c r="H1878" s="2" t="n">
        <f aca="false">'Raw Data'!V1878</f>
        <v>3</v>
      </c>
      <c r="I1878" s="2" t="n">
        <f aca="false">IF(AND(ISNUMBER(B1878),B1878&lt;=25),2,0)+IF(AND(ISNUMBER(E1878),E1878&lt;=5),2,0)+IF(AND(ISNUMBER(F1878),F1878&lt;=1),2,0)+IF(AND(ISNUMBER(G1878),G1878&lt;=2),1,0)+IF(AND(ISNUMBER(H1878),H1878&lt;=2),1,0)</f>
        <v>0</v>
      </c>
      <c r="J1878" s="2" t="str">
        <f aca="false">IF(I1878&gt;=6,"High",IF(I1878&gt;=3,"Medium","Low"))</f>
        <v>Low</v>
      </c>
    </row>
    <row r="1879" customFormat="false" ht="15" hidden="false" customHeight="true" outlineLevel="0" collapsed="false">
      <c r="A1879" s="2" t="n">
        <f aca="false">'Raw Data'!H1879</f>
        <v>1878</v>
      </c>
      <c r="B1879" s="2" t="n">
        <f aca="false">'Raw Data'!A1879</f>
        <v>47</v>
      </c>
      <c r="C1879" s="2" t="str">
        <f aca="false">'Raw Data'!D1879</f>
        <v>Research &amp; Development</v>
      </c>
      <c r="D1879" s="2" t="str">
        <f aca="false">'Raw Data'!K1879</f>
        <v>Manufacturing Director</v>
      </c>
      <c r="E1879" s="2" t="n">
        <f aca="false">'Raw Data'!Q1879</f>
        <v>3</v>
      </c>
      <c r="F1879" s="2" t="n">
        <f aca="false">'Raw Data'!U1879</f>
        <v>2</v>
      </c>
      <c r="G1879" s="2" t="n">
        <f aca="false">'Raw Data'!W1879</f>
        <v>4</v>
      </c>
      <c r="H1879" s="2" t="n">
        <f aca="false">'Raw Data'!V1879</f>
        <v>4</v>
      </c>
      <c r="I1879" s="2" t="n">
        <f aca="false">IF(AND(ISNUMBER(B1879),B1879&lt;=25),2,0)+IF(AND(ISNUMBER(E1879),E1879&lt;=5),2,0)+IF(AND(ISNUMBER(F1879),F1879&lt;=1),2,0)+IF(AND(ISNUMBER(G1879),G1879&lt;=2),1,0)+IF(AND(ISNUMBER(H1879),H1879&lt;=2),1,0)</f>
        <v>2</v>
      </c>
      <c r="J1879" s="2" t="str">
        <f aca="false">IF(I1879&gt;=6,"High",IF(I1879&gt;=3,"Medium","Low"))</f>
        <v>Low</v>
      </c>
    </row>
    <row r="1880" customFormat="false" ht="15" hidden="false" customHeight="true" outlineLevel="0" collapsed="false">
      <c r="A1880" s="2" t="n">
        <f aca="false">'Raw Data'!H1880</f>
        <v>1879</v>
      </c>
      <c r="B1880" s="2" t="n">
        <f aca="false">'Raw Data'!A1880</f>
        <v>22</v>
      </c>
      <c r="C1880" s="2" t="str">
        <f aca="false">'Raw Data'!D1880</f>
        <v>Research &amp; Development</v>
      </c>
      <c r="D1880" s="2" t="str">
        <f aca="false">'Raw Data'!K1880</f>
        <v>Laboratory Technician</v>
      </c>
      <c r="E1880" s="2" t="n">
        <f aca="false">'Raw Data'!Q1880</f>
        <v>4</v>
      </c>
      <c r="F1880" s="2" t="n">
        <f aca="false">'Raw Data'!U1880</f>
        <v>2</v>
      </c>
      <c r="G1880" s="2" t="n">
        <f aca="false">'Raw Data'!W1880</f>
        <v>3</v>
      </c>
      <c r="H1880" s="2" t="n">
        <f aca="false">'Raw Data'!V1880</f>
        <v>2</v>
      </c>
      <c r="I1880" s="2" t="n">
        <f aca="false">IF(AND(ISNUMBER(B1880),B1880&lt;=25),2,0)+IF(AND(ISNUMBER(E1880),E1880&lt;=5),2,0)+IF(AND(ISNUMBER(F1880),F1880&lt;=1),2,0)+IF(AND(ISNUMBER(G1880),G1880&lt;=2),1,0)+IF(AND(ISNUMBER(H1880),H1880&lt;=2),1,0)</f>
        <v>5</v>
      </c>
      <c r="J1880" s="2" t="str">
        <f aca="false">IF(I1880&gt;=6,"High",IF(I1880&gt;=3,"Medium","Low"))</f>
        <v>Medium</v>
      </c>
    </row>
    <row r="1881" customFormat="false" ht="15" hidden="false" customHeight="true" outlineLevel="0" collapsed="false">
      <c r="A1881" s="2" t="n">
        <f aca="false">'Raw Data'!H1881</f>
        <v>1880</v>
      </c>
      <c r="B1881" s="2" t="n">
        <f aca="false">'Raw Data'!A1881</f>
        <v>41</v>
      </c>
      <c r="C1881" s="2" t="str">
        <f aca="false">'Raw Data'!D1881</f>
        <v>Research &amp; Development</v>
      </c>
      <c r="D1881" s="2" t="str">
        <f aca="false">'Raw Data'!K1881</f>
        <v>Sales Executive</v>
      </c>
      <c r="E1881" s="2" t="n">
        <f aca="false">'Raw Data'!Q1881</f>
        <v>10</v>
      </c>
      <c r="F1881" s="2" t="n">
        <f aca="false">'Raw Data'!U1881</f>
        <v>0</v>
      </c>
      <c r="G1881" s="2" t="n">
        <f aca="false">'Raw Data'!W1881</f>
        <v>4</v>
      </c>
      <c r="H1881" s="2" t="n">
        <f aca="false">'Raw Data'!V1881</f>
        <v>2</v>
      </c>
      <c r="I1881" s="2" t="n">
        <f aca="false">IF(AND(ISNUMBER(B1881),B1881&lt;=25),2,0)+IF(AND(ISNUMBER(E1881),E1881&lt;=5),2,0)+IF(AND(ISNUMBER(F1881),F1881&lt;=1),2,0)+IF(AND(ISNUMBER(G1881),G1881&lt;=2),1,0)+IF(AND(ISNUMBER(H1881),H1881&lt;=2),1,0)</f>
        <v>3</v>
      </c>
      <c r="J1881" s="2" t="str">
        <f aca="false">IF(I1881&gt;=6,"High",IF(I1881&gt;=3,"Medium","Low"))</f>
        <v>Medium</v>
      </c>
    </row>
    <row r="1882" customFormat="false" ht="15" hidden="false" customHeight="true" outlineLevel="0" collapsed="false">
      <c r="A1882" s="2" t="n">
        <f aca="false">'Raw Data'!H1882</f>
        <v>1881</v>
      </c>
      <c r="B1882" s="2" t="n">
        <f aca="false">'Raw Data'!A1882</f>
        <v>28</v>
      </c>
      <c r="C1882" s="2" t="str">
        <f aca="false">'Raw Data'!D1882</f>
        <v>Research &amp; Development</v>
      </c>
      <c r="D1882" s="2" t="str">
        <f aca="false">'Raw Data'!K1882</f>
        <v>Manager</v>
      </c>
      <c r="E1882" s="2" t="n">
        <f aca="false">'Raw Data'!Q1882</f>
        <v>6</v>
      </c>
      <c r="F1882" s="2" t="n">
        <f aca="false">'Raw Data'!U1882</f>
        <v>2</v>
      </c>
      <c r="G1882" s="2" t="n">
        <f aca="false">'Raw Data'!W1882</f>
        <v>3</v>
      </c>
      <c r="H1882" s="2" t="n">
        <f aca="false">'Raw Data'!V1882</f>
        <v>3</v>
      </c>
      <c r="I1882" s="2" t="n">
        <f aca="false">IF(AND(ISNUMBER(B1882),B1882&lt;=25),2,0)+IF(AND(ISNUMBER(E1882),E1882&lt;=5),2,0)+IF(AND(ISNUMBER(F1882),F1882&lt;=1),2,0)+IF(AND(ISNUMBER(G1882),G1882&lt;=2),1,0)+IF(AND(ISNUMBER(H1882),H1882&lt;=2),1,0)</f>
        <v>0</v>
      </c>
      <c r="J1882" s="2" t="str">
        <f aca="false">IF(I1882&gt;=6,"High",IF(I1882&gt;=3,"Medium","Low"))</f>
        <v>Low</v>
      </c>
    </row>
    <row r="1883" customFormat="false" ht="15" hidden="false" customHeight="true" outlineLevel="0" collapsed="false">
      <c r="A1883" s="2" t="n">
        <f aca="false">'Raw Data'!H1883</f>
        <v>1882</v>
      </c>
      <c r="B1883" s="2" t="n">
        <f aca="false">'Raw Data'!A1883</f>
        <v>39</v>
      </c>
      <c r="C1883" s="2" t="str">
        <f aca="false">'Raw Data'!D1883</f>
        <v>Research &amp; Development</v>
      </c>
      <c r="D1883" s="2" t="str">
        <f aca="false">'Raw Data'!K1883</f>
        <v>Human Resources</v>
      </c>
      <c r="E1883" s="2" t="n">
        <f aca="false">'Raw Data'!Q1883</f>
        <v>8</v>
      </c>
      <c r="F1883" s="2" t="n">
        <f aca="false">'Raw Data'!U1883</f>
        <v>2</v>
      </c>
      <c r="G1883" s="2" t="n">
        <f aca="false">'Raw Data'!W1883</f>
        <v>1</v>
      </c>
      <c r="H1883" s="2" t="n">
        <f aca="false">'Raw Data'!V1883</f>
        <v>4</v>
      </c>
      <c r="I1883" s="2" t="n">
        <f aca="false">IF(AND(ISNUMBER(B1883),B1883&lt;=25),2,0)+IF(AND(ISNUMBER(E1883),E1883&lt;=5),2,0)+IF(AND(ISNUMBER(F1883),F1883&lt;=1),2,0)+IF(AND(ISNUMBER(G1883),G1883&lt;=2),1,0)+IF(AND(ISNUMBER(H1883),H1883&lt;=2),1,0)</f>
        <v>1</v>
      </c>
      <c r="J1883" s="2" t="str">
        <f aca="false">IF(I1883&gt;=6,"High",IF(I1883&gt;=3,"Medium","Low"))</f>
        <v>Low</v>
      </c>
    </row>
    <row r="1884" customFormat="false" ht="15" hidden="false" customHeight="true" outlineLevel="0" collapsed="false">
      <c r="A1884" s="2" t="n">
        <f aca="false">'Raw Data'!H1884</f>
        <v>1883</v>
      </c>
      <c r="B1884" s="2" t="n">
        <f aca="false">'Raw Data'!A1884</f>
        <v>27</v>
      </c>
      <c r="C1884" s="2" t="str">
        <f aca="false">'Raw Data'!D1884</f>
        <v>Research &amp; Development</v>
      </c>
      <c r="D1884" s="2" t="str">
        <f aca="false">'Raw Data'!K1884</f>
        <v>Research Scientist</v>
      </c>
      <c r="E1884" s="2" t="n">
        <f aca="false">'Raw Data'!Q1884</f>
        <v>1</v>
      </c>
      <c r="F1884" s="2" t="n">
        <f aca="false">'Raw Data'!U1884</f>
        <v>0</v>
      </c>
      <c r="G1884" s="2" t="n">
        <f aca="false">'Raw Data'!W1884</f>
        <v>3</v>
      </c>
      <c r="H1884" s="2" t="n">
        <f aca="false">'Raw Data'!V1884</f>
        <v>2</v>
      </c>
      <c r="I1884" s="2" t="n">
        <f aca="false">IF(AND(ISNUMBER(B1884),B1884&lt;=25),2,0)+IF(AND(ISNUMBER(E1884),E1884&lt;=5),2,0)+IF(AND(ISNUMBER(F1884),F1884&lt;=1),2,0)+IF(AND(ISNUMBER(G1884),G1884&lt;=2),1,0)+IF(AND(ISNUMBER(H1884),H1884&lt;=2),1,0)</f>
        <v>5</v>
      </c>
      <c r="J1884" s="2" t="str">
        <f aca="false">IF(I1884&gt;=6,"High",IF(I1884&gt;=3,"Medium","Low"))</f>
        <v>Medium</v>
      </c>
    </row>
    <row r="1885" customFormat="false" ht="15" hidden="false" customHeight="true" outlineLevel="0" collapsed="false">
      <c r="A1885" s="2" t="n">
        <f aca="false">'Raw Data'!H1885</f>
        <v>1884</v>
      </c>
      <c r="B1885" s="2" t="n">
        <f aca="false">'Raw Data'!A1885</f>
        <v>34</v>
      </c>
      <c r="C1885" s="2" t="str">
        <f aca="false">'Raw Data'!D1885</f>
        <v>Research &amp; Development</v>
      </c>
      <c r="D1885" s="2" t="str">
        <f aca="false">'Raw Data'!K1885</f>
        <v>Human Resources</v>
      </c>
      <c r="E1885" s="2" t="n">
        <f aca="false">'Raw Data'!Q1885</f>
        <v>1</v>
      </c>
      <c r="F1885" s="2" t="n">
        <f aca="false">'Raw Data'!U1885</f>
        <v>0</v>
      </c>
      <c r="G1885" s="2" t="n">
        <f aca="false">'Raw Data'!W1885</f>
        <v>2</v>
      </c>
      <c r="H1885" s="2" t="n">
        <f aca="false">'Raw Data'!V1885</f>
        <v>2</v>
      </c>
      <c r="I1885" s="2" t="n">
        <f aca="false">IF(AND(ISNUMBER(B1885),B1885&lt;=25),2,0)+IF(AND(ISNUMBER(E1885),E1885&lt;=5),2,0)+IF(AND(ISNUMBER(F1885),F1885&lt;=1),2,0)+IF(AND(ISNUMBER(G1885),G1885&lt;=2),1,0)+IF(AND(ISNUMBER(H1885),H1885&lt;=2),1,0)</f>
        <v>6</v>
      </c>
      <c r="J1885" s="2" t="str">
        <f aca="false">IF(I1885&gt;=6,"High",IF(I1885&gt;=3,"Medium","Low"))</f>
        <v>High</v>
      </c>
    </row>
    <row r="1886" customFormat="false" ht="15" hidden="false" customHeight="true" outlineLevel="0" collapsed="false">
      <c r="A1886" s="2" t="n">
        <f aca="false">'Raw Data'!H1886</f>
        <v>1885</v>
      </c>
      <c r="B1886" s="2" t="n">
        <f aca="false">'Raw Data'!A1886</f>
        <v>42</v>
      </c>
      <c r="C1886" s="2" t="str">
        <f aca="false">'Raw Data'!D1886</f>
        <v>Sales</v>
      </c>
      <c r="D1886" s="2" t="str">
        <f aca="false">'Raw Data'!K1886</f>
        <v>Human Resources</v>
      </c>
      <c r="E1886" s="2" t="n">
        <f aca="false">'Raw Data'!Q1886</f>
        <v>10</v>
      </c>
      <c r="F1886" s="2" t="n">
        <f aca="false">'Raw Data'!U1886</f>
        <v>3</v>
      </c>
      <c r="G1886" s="2" t="n">
        <f aca="false">'Raw Data'!W1886</f>
        <v>3</v>
      </c>
      <c r="H1886" s="2" t="n">
        <f aca="false">'Raw Data'!V1886</f>
        <v>3</v>
      </c>
      <c r="I1886" s="2" t="n">
        <f aca="false">IF(AND(ISNUMBER(B1886),B1886&lt;=25),2,0)+IF(AND(ISNUMBER(E1886),E1886&lt;=5),2,0)+IF(AND(ISNUMBER(F1886),F1886&lt;=1),2,0)+IF(AND(ISNUMBER(G1886),G1886&lt;=2),1,0)+IF(AND(ISNUMBER(H1886),H1886&lt;=2),1,0)</f>
        <v>0</v>
      </c>
      <c r="J1886" s="2" t="str">
        <f aca="false">IF(I1886&gt;=6,"High",IF(I1886&gt;=3,"Medium","Low"))</f>
        <v>Low</v>
      </c>
    </row>
    <row r="1887" customFormat="false" ht="15" hidden="false" customHeight="true" outlineLevel="0" collapsed="false">
      <c r="A1887" s="2" t="n">
        <f aca="false">'Raw Data'!H1887</f>
        <v>1886</v>
      </c>
      <c r="B1887" s="2" t="n">
        <f aca="false">'Raw Data'!A1887</f>
        <v>33</v>
      </c>
      <c r="C1887" s="2" t="str">
        <f aca="false">'Raw Data'!D1887</f>
        <v>Sales</v>
      </c>
      <c r="D1887" s="2" t="str">
        <f aca="false">'Raw Data'!K1887</f>
        <v>Sales Executive</v>
      </c>
      <c r="E1887" s="2" t="n">
        <f aca="false">'Raw Data'!Q1887</f>
        <v>6</v>
      </c>
      <c r="F1887" s="2" t="n">
        <f aca="false">'Raw Data'!U1887</f>
        <v>2</v>
      </c>
      <c r="G1887" s="2" t="n">
        <f aca="false">'Raw Data'!W1887</f>
        <v>1</v>
      </c>
      <c r="H1887" s="2" t="n">
        <f aca="false">'Raw Data'!V1887</f>
        <v>3</v>
      </c>
      <c r="I1887" s="2" t="n">
        <f aca="false">IF(AND(ISNUMBER(B1887),B1887&lt;=25),2,0)+IF(AND(ISNUMBER(E1887),E1887&lt;=5),2,0)+IF(AND(ISNUMBER(F1887),F1887&lt;=1),2,0)+IF(AND(ISNUMBER(G1887),G1887&lt;=2),1,0)+IF(AND(ISNUMBER(H1887),H1887&lt;=2),1,0)</f>
        <v>1</v>
      </c>
      <c r="J1887" s="2" t="str">
        <f aca="false">IF(I1887&gt;=6,"High",IF(I1887&gt;=3,"Medium","Low"))</f>
        <v>Low</v>
      </c>
    </row>
    <row r="1888" customFormat="false" ht="15" hidden="false" customHeight="true" outlineLevel="0" collapsed="false">
      <c r="A1888" s="2" t="n">
        <f aca="false">'Raw Data'!H1888</f>
        <v>1887</v>
      </c>
      <c r="B1888" s="2" t="n">
        <f aca="false">'Raw Data'!A1888</f>
        <v>58</v>
      </c>
      <c r="C1888" s="2" t="str">
        <f aca="false">'Raw Data'!D1888</f>
        <v>Research &amp; Development</v>
      </c>
      <c r="D1888" s="2" t="str">
        <f aca="false">'Raw Data'!K1888</f>
        <v>Research Scientist</v>
      </c>
      <c r="E1888" s="2" t="n">
        <f aca="false">'Raw Data'!Q1888</f>
        <v>24</v>
      </c>
      <c r="F1888" s="2" t="n">
        <f aca="false">'Raw Data'!U1888</f>
        <v>4</v>
      </c>
      <c r="G1888" s="2" t="n">
        <f aca="false">'Raw Data'!W1888</f>
        <v>2</v>
      </c>
      <c r="H1888" s="2" t="n">
        <f aca="false">'Raw Data'!V1888</f>
        <v>3</v>
      </c>
      <c r="I1888" s="2" t="n">
        <f aca="false">IF(AND(ISNUMBER(B1888),B1888&lt;=25),2,0)+IF(AND(ISNUMBER(E1888),E1888&lt;=5),2,0)+IF(AND(ISNUMBER(F1888),F1888&lt;=1),2,0)+IF(AND(ISNUMBER(G1888),G1888&lt;=2),1,0)+IF(AND(ISNUMBER(H1888),H1888&lt;=2),1,0)</f>
        <v>1</v>
      </c>
      <c r="J1888" s="2" t="str">
        <f aca="false">IF(I1888&gt;=6,"High",IF(I1888&gt;=3,"Medium","Low"))</f>
        <v>Low</v>
      </c>
    </row>
    <row r="1889" customFormat="false" ht="15" hidden="false" customHeight="true" outlineLevel="0" collapsed="false">
      <c r="A1889" s="2" t="n">
        <f aca="false">'Raw Data'!H1889</f>
        <v>1888</v>
      </c>
      <c r="B1889" s="2" t="n">
        <f aca="false">'Raw Data'!A1889</f>
        <v>31</v>
      </c>
      <c r="C1889" s="2" t="str">
        <f aca="false">'Raw Data'!D1889</f>
        <v>Sales</v>
      </c>
      <c r="D1889" s="2" t="str">
        <f aca="false">'Raw Data'!K1889</f>
        <v>Sales Representative</v>
      </c>
      <c r="E1889" s="2" t="n">
        <f aca="false">'Raw Data'!Q1889</f>
        <v>13</v>
      </c>
      <c r="F1889" s="2" t="n">
        <f aca="false">'Raw Data'!U1889</f>
        <v>2</v>
      </c>
      <c r="G1889" s="2" t="n">
        <f aca="false">'Raw Data'!W1889</f>
        <v>3</v>
      </c>
      <c r="H1889" s="2" t="n">
        <f aca="false">'Raw Data'!V1889</f>
        <v>2</v>
      </c>
      <c r="I1889" s="2" t="n">
        <f aca="false">IF(AND(ISNUMBER(B1889),B1889&lt;=25),2,0)+IF(AND(ISNUMBER(E1889),E1889&lt;=5),2,0)+IF(AND(ISNUMBER(F1889),F1889&lt;=1),2,0)+IF(AND(ISNUMBER(G1889),G1889&lt;=2),1,0)+IF(AND(ISNUMBER(H1889),H1889&lt;=2),1,0)</f>
        <v>1</v>
      </c>
      <c r="J1889" s="2" t="str">
        <f aca="false">IF(I1889&gt;=6,"High",IF(I1889&gt;=3,"Medium","Low"))</f>
        <v>Low</v>
      </c>
    </row>
    <row r="1890" customFormat="false" ht="15" hidden="false" customHeight="true" outlineLevel="0" collapsed="false">
      <c r="A1890" s="2" t="n">
        <f aca="false">'Raw Data'!H1890</f>
        <v>1889</v>
      </c>
      <c r="B1890" s="2" t="n">
        <f aca="false">'Raw Data'!A1890</f>
        <v>35</v>
      </c>
      <c r="C1890" s="2" t="str">
        <f aca="false">'Raw Data'!D1890</f>
        <v>Research &amp; Development</v>
      </c>
      <c r="D1890" s="2" t="str">
        <f aca="false">'Raw Data'!K1890</f>
        <v>Healthcare Representative</v>
      </c>
      <c r="E1890" s="2" t="n">
        <f aca="false">'Raw Data'!Q1890</f>
        <v>10</v>
      </c>
      <c r="F1890" s="2" t="n">
        <f aca="false">'Raw Data'!U1890</f>
        <v>7</v>
      </c>
      <c r="G1890" s="2" t="n">
        <f aca="false">'Raw Data'!W1890</f>
        <v>4</v>
      </c>
      <c r="H1890" s="2" t="n">
        <f aca="false">'Raw Data'!V1890</f>
        <v>4</v>
      </c>
      <c r="I1890" s="2" t="n">
        <f aca="false">IF(AND(ISNUMBER(B1890),B1890&lt;=25),2,0)+IF(AND(ISNUMBER(E1890),E1890&lt;=5),2,0)+IF(AND(ISNUMBER(F1890),F1890&lt;=1),2,0)+IF(AND(ISNUMBER(G1890),G1890&lt;=2),1,0)+IF(AND(ISNUMBER(H1890),H1890&lt;=2),1,0)</f>
        <v>0</v>
      </c>
      <c r="J1890" s="2" t="str">
        <f aca="false">IF(I1890&gt;=6,"High",IF(I1890&gt;=3,"Medium","Low"))</f>
        <v>Low</v>
      </c>
    </row>
    <row r="1891" customFormat="false" ht="15" hidden="false" customHeight="true" outlineLevel="0" collapsed="false">
      <c r="A1891" s="2" t="n">
        <f aca="false">'Raw Data'!H1891</f>
        <v>1890</v>
      </c>
      <c r="B1891" s="2" t="n">
        <f aca="false">'Raw Data'!A1891</f>
        <v>49</v>
      </c>
      <c r="C1891" s="2" t="str">
        <f aca="false">'Raw Data'!D1891</f>
        <v>Research &amp; Development</v>
      </c>
      <c r="D1891" s="2" t="str">
        <f aca="false">'Raw Data'!K1891</f>
        <v>Sales Executive</v>
      </c>
      <c r="E1891" s="2" t="n">
        <f aca="false">'Raw Data'!Q1891</f>
        <v>29</v>
      </c>
      <c r="F1891" s="2" t="n">
        <f aca="false">'Raw Data'!U1891</f>
        <v>7</v>
      </c>
      <c r="G1891" s="2" t="n">
        <f aca="false">'Raw Data'!W1891</f>
        <v>2</v>
      </c>
      <c r="H1891" s="2" t="n">
        <f aca="false">'Raw Data'!V1891</f>
        <v>1</v>
      </c>
      <c r="I1891" s="2" t="n">
        <f aca="false">IF(AND(ISNUMBER(B1891),B1891&lt;=25),2,0)+IF(AND(ISNUMBER(E1891),E1891&lt;=5),2,0)+IF(AND(ISNUMBER(F1891),F1891&lt;=1),2,0)+IF(AND(ISNUMBER(G1891),G1891&lt;=2),1,0)+IF(AND(ISNUMBER(H1891),H1891&lt;=2),1,0)</f>
        <v>2</v>
      </c>
      <c r="J1891" s="2" t="str">
        <f aca="false">IF(I1891&gt;=6,"High",IF(I1891&gt;=3,"Medium","Low"))</f>
        <v>Low</v>
      </c>
    </row>
    <row r="1892" customFormat="false" ht="15" hidden="false" customHeight="true" outlineLevel="0" collapsed="false">
      <c r="A1892" s="2" t="n">
        <f aca="false">'Raw Data'!H1892</f>
        <v>1891</v>
      </c>
      <c r="B1892" s="2" t="n">
        <f aca="false">'Raw Data'!A1892</f>
        <v>48</v>
      </c>
      <c r="C1892" s="2" t="str">
        <f aca="false">'Raw Data'!D1892</f>
        <v>Research &amp; Development</v>
      </c>
      <c r="D1892" s="2" t="str">
        <f aca="false">'Raw Data'!K1892</f>
        <v>Research Scientist</v>
      </c>
      <c r="E1892" s="2" t="n">
        <f aca="false">'Raw Data'!Q1892</f>
        <v>13</v>
      </c>
      <c r="F1892" s="2" t="n">
        <f aca="false">'Raw Data'!U1892</f>
        <v>0</v>
      </c>
      <c r="G1892" s="2" t="n">
        <f aca="false">'Raw Data'!W1892</f>
        <v>3</v>
      </c>
      <c r="H1892" s="2" t="n">
        <f aca="false">'Raw Data'!V1892</f>
        <v>4</v>
      </c>
      <c r="I1892" s="2" t="n">
        <f aca="false">IF(AND(ISNUMBER(B1892),B1892&lt;=25),2,0)+IF(AND(ISNUMBER(E1892),E1892&lt;=5),2,0)+IF(AND(ISNUMBER(F1892),F1892&lt;=1),2,0)+IF(AND(ISNUMBER(G1892),G1892&lt;=2),1,0)+IF(AND(ISNUMBER(H1892),H1892&lt;=2),1,0)</f>
        <v>2</v>
      </c>
      <c r="J1892" s="2" t="str">
        <f aca="false">IF(I1892&gt;=6,"High",IF(I1892&gt;=3,"Medium","Low"))</f>
        <v>Low</v>
      </c>
    </row>
    <row r="1893" customFormat="false" ht="15" hidden="false" customHeight="true" outlineLevel="0" collapsed="false">
      <c r="A1893" s="2" t="n">
        <f aca="false">'Raw Data'!H1893</f>
        <v>1892</v>
      </c>
      <c r="B1893" s="2" t="n">
        <f aca="false">'Raw Data'!A1893</f>
        <v>31</v>
      </c>
      <c r="C1893" s="2" t="str">
        <f aca="false">'Raw Data'!D1893</f>
        <v>Research &amp; Development</v>
      </c>
      <c r="D1893" s="2" t="str">
        <f aca="false">'Raw Data'!K1893</f>
        <v>Sales Executive</v>
      </c>
      <c r="E1893" s="2" t="n">
        <f aca="false">'Raw Data'!Q1893</f>
        <v>9</v>
      </c>
      <c r="F1893" s="2" t="n">
        <f aca="false">'Raw Data'!U1893</f>
        <v>0</v>
      </c>
      <c r="G1893" s="2" t="n">
        <f aca="false">'Raw Data'!W1893</f>
        <v>3</v>
      </c>
      <c r="H1893" s="2" t="n">
        <f aca="false">'Raw Data'!V1893</f>
        <v>4</v>
      </c>
      <c r="I1893" s="2" t="n">
        <f aca="false">IF(AND(ISNUMBER(B1893),B1893&lt;=25),2,0)+IF(AND(ISNUMBER(E1893),E1893&lt;=5),2,0)+IF(AND(ISNUMBER(F1893),F1893&lt;=1),2,0)+IF(AND(ISNUMBER(G1893),G1893&lt;=2),1,0)+IF(AND(ISNUMBER(H1893),H1893&lt;=2),1,0)</f>
        <v>2</v>
      </c>
      <c r="J1893" s="2" t="str">
        <f aca="false">IF(I1893&gt;=6,"High",IF(I1893&gt;=3,"Medium","Low"))</f>
        <v>Low</v>
      </c>
    </row>
    <row r="1894" customFormat="false" ht="15" hidden="false" customHeight="true" outlineLevel="0" collapsed="false">
      <c r="A1894" s="2" t="n">
        <f aca="false">'Raw Data'!H1894</f>
        <v>1893</v>
      </c>
      <c r="B1894" s="2" t="n">
        <f aca="false">'Raw Data'!A1894</f>
        <v>36</v>
      </c>
      <c r="C1894" s="2" t="str">
        <f aca="false">'Raw Data'!D1894</f>
        <v>Human Resources</v>
      </c>
      <c r="D1894" s="2" t="str">
        <f aca="false">'Raw Data'!K1894</f>
        <v>Sales Executive</v>
      </c>
      <c r="E1894" s="2" t="n">
        <f aca="false">'Raw Data'!Q1894</f>
        <v>8</v>
      </c>
      <c r="F1894" s="2" t="n">
        <f aca="false">'Raw Data'!U1894</f>
        <v>1</v>
      </c>
      <c r="G1894" s="2" t="n">
        <f aca="false">'Raw Data'!W1894</f>
        <v>4</v>
      </c>
      <c r="H1894" s="2" t="n">
        <f aca="false">'Raw Data'!V1894</f>
        <v>2</v>
      </c>
      <c r="I1894" s="2" t="n">
        <f aca="false">IF(AND(ISNUMBER(B1894),B1894&lt;=25),2,0)+IF(AND(ISNUMBER(E1894),E1894&lt;=5),2,0)+IF(AND(ISNUMBER(F1894),F1894&lt;=1),2,0)+IF(AND(ISNUMBER(G1894),G1894&lt;=2),1,0)+IF(AND(ISNUMBER(H1894),H1894&lt;=2),1,0)</f>
        <v>3</v>
      </c>
      <c r="J1894" s="2" t="str">
        <f aca="false">IF(I1894&gt;=6,"High",IF(I1894&gt;=3,"Medium","Low"))</f>
        <v>Medium</v>
      </c>
    </row>
    <row r="1895" customFormat="false" ht="15" hidden="false" customHeight="true" outlineLevel="0" collapsed="false">
      <c r="A1895" s="2" t="n">
        <f aca="false">'Raw Data'!H1895</f>
        <v>1894</v>
      </c>
      <c r="B1895" s="2" t="n">
        <f aca="false">'Raw Data'!A1895</f>
        <v>38</v>
      </c>
      <c r="C1895" s="2" t="str">
        <f aca="false">'Raw Data'!D1895</f>
        <v>Sales</v>
      </c>
      <c r="D1895" s="2" t="str">
        <f aca="false">'Raw Data'!K1895</f>
        <v>Sales Executive</v>
      </c>
      <c r="E1895" s="2" t="n">
        <f aca="false">'Raw Data'!Q1895</f>
        <v>15</v>
      </c>
      <c r="F1895" s="2" t="n">
        <f aca="false">'Raw Data'!U1895</f>
        <v>11</v>
      </c>
      <c r="G1895" s="2" t="n">
        <f aca="false">'Raw Data'!W1895</f>
        <v>1</v>
      </c>
      <c r="H1895" s="2" t="n">
        <f aca="false">'Raw Data'!V1895</f>
        <v>4</v>
      </c>
      <c r="I1895" s="2" t="n">
        <f aca="false">IF(AND(ISNUMBER(B1895),B1895&lt;=25),2,0)+IF(AND(ISNUMBER(E1895),E1895&lt;=5),2,0)+IF(AND(ISNUMBER(F1895),F1895&lt;=1),2,0)+IF(AND(ISNUMBER(G1895),G1895&lt;=2),1,0)+IF(AND(ISNUMBER(H1895),H1895&lt;=2),1,0)</f>
        <v>1</v>
      </c>
      <c r="J1895" s="2" t="str">
        <f aca="false">IF(I1895&gt;=6,"High",IF(I1895&gt;=3,"Medium","Low"))</f>
        <v>Low</v>
      </c>
    </row>
    <row r="1896" customFormat="false" ht="15" hidden="false" customHeight="true" outlineLevel="0" collapsed="false">
      <c r="A1896" s="2" t="n">
        <f aca="false">'Raw Data'!H1896</f>
        <v>1895</v>
      </c>
      <c r="B1896" s="2" t="n">
        <f aca="false">'Raw Data'!A1896</f>
        <v>32</v>
      </c>
      <c r="C1896" s="2" t="str">
        <f aca="false">'Raw Data'!D1896</f>
        <v>Sales</v>
      </c>
      <c r="D1896" s="2" t="str">
        <f aca="false">'Raw Data'!K1896</f>
        <v>Laboratory Technician</v>
      </c>
      <c r="E1896" s="2" t="n">
        <f aca="false">'Raw Data'!Q1896</f>
        <v>5</v>
      </c>
      <c r="F1896" s="2" t="n">
        <f aca="false">'Raw Data'!U1896</f>
        <v>2</v>
      </c>
      <c r="G1896" s="2" t="n">
        <f aca="false">'Raw Data'!W1896</f>
        <v>2</v>
      </c>
      <c r="H1896" s="2" t="n">
        <f aca="false">'Raw Data'!V1896</f>
        <v>3</v>
      </c>
      <c r="I1896" s="2" t="n">
        <f aca="false">IF(AND(ISNUMBER(B1896),B1896&lt;=25),2,0)+IF(AND(ISNUMBER(E1896),E1896&lt;=5),2,0)+IF(AND(ISNUMBER(F1896),F1896&lt;=1),2,0)+IF(AND(ISNUMBER(G1896),G1896&lt;=2),1,0)+IF(AND(ISNUMBER(H1896),H1896&lt;=2),1,0)</f>
        <v>3</v>
      </c>
      <c r="J1896" s="2" t="str">
        <f aca="false">IF(I1896&gt;=6,"High",IF(I1896&gt;=3,"Medium","Low"))</f>
        <v>Medium</v>
      </c>
    </row>
    <row r="1897" customFormat="false" ht="15" hidden="false" customHeight="true" outlineLevel="0" collapsed="false">
      <c r="A1897" s="2" t="n">
        <f aca="false">'Raw Data'!H1897</f>
        <v>1896</v>
      </c>
      <c r="B1897" s="2" t="n">
        <f aca="false">'Raw Data'!A1897</f>
        <v>25</v>
      </c>
      <c r="C1897" s="2" t="str">
        <f aca="false">'Raw Data'!D1897</f>
        <v>Research &amp; Development</v>
      </c>
      <c r="D1897" s="2" t="str">
        <f aca="false">'Raw Data'!K1897</f>
        <v>Sales Executive</v>
      </c>
      <c r="E1897" s="2" t="n">
        <f aca="false">'Raw Data'!Q1897</f>
        <v>1</v>
      </c>
      <c r="F1897" s="2" t="n">
        <f aca="false">'Raw Data'!U1897</f>
        <v>0</v>
      </c>
      <c r="G1897" s="2" t="n">
        <f aca="false">'Raw Data'!W1897</f>
        <v>2</v>
      </c>
      <c r="H1897" s="2" t="n">
        <f aca="false">'Raw Data'!V1897</f>
        <v>3</v>
      </c>
      <c r="I1897" s="2" t="n">
        <f aca="false">IF(AND(ISNUMBER(B1897),B1897&lt;=25),2,0)+IF(AND(ISNUMBER(E1897),E1897&lt;=5),2,0)+IF(AND(ISNUMBER(F1897),F1897&lt;=1),2,0)+IF(AND(ISNUMBER(G1897),G1897&lt;=2),1,0)+IF(AND(ISNUMBER(H1897),H1897&lt;=2),1,0)</f>
        <v>7</v>
      </c>
      <c r="J1897" s="2" t="str">
        <f aca="false">IF(I1897&gt;=6,"High",IF(I1897&gt;=3,"Medium","Low"))</f>
        <v>High</v>
      </c>
    </row>
    <row r="1898" customFormat="false" ht="15" hidden="false" customHeight="true" outlineLevel="0" collapsed="false">
      <c r="A1898" s="2" t="n">
        <f aca="false">'Raw Data'!H1898</f>
        <v>1897</v>
      </c>
      <c r="B1898" s="2" t="n">
        <f aca="false">'Raw Data'!A1898</f>
        <v>40</v>
      </c>
      <c r="C1898" s="2" t="str">
        <f aca="false">'Raw Data'!D1898</f>
        <v>Research &amp; Development</v>
      </c>
      <c r="D1898" s="2" t="str">
        <f aca="false">'Raw Data'!K1898</f>
        <v>Research Scientist</v>
      </c>
      <c r="E1898" s="2" t="n">
        <f aca="false">'Raw Data'!Q1898</f>
        <v>11</v>
      </c>
      <c r="F1898" s="2" t="n">
        <f aca="false">'Raw Data'!U1898</f>
        <v>0</v>
      </c>
      <c r="G1898" s="2" t="n">
        <f aca="false">'Raw Data'!W1898</f>
        <v>2</v>
      </c>
      <c r="H1898" s="2" t="n">
        <f aca="false">'Raw Data'!V1898</f>
        <v>1</v>
      </c>
      <c r="I1898" s="2" t="n">
        <f aca="false">IF(AND(ISNUMBER(B1898),B1898&lt;=25),2,0)+IF(AND(ISNUMBER(E1898),E1898&lt;=5),2,0)+IF(AND(ISNUMBER(F1898),F1898&lt;=1),2,0)+IF(AND(ISNUMBER(G1898),G1898&lt;=2),1,0)+IF(AND(ISNUMBER(H1898),H1898&lt;=2),1,0)</f>
        <v>4</v>
      </c>
      <c r="J1898" s="2" t="str">
        <f aca="false">IF(I1898&gt;=6,"High",IF(I1898&gt;=3,"Medium","Low"))</f>
        <v>Medium</v>
      </c>
    </row>
    <row r="1899" customFormat="false" ht="15" hidden="false" customHeight="true" outlineLevel="0" collapsed="false">
      <c r="A1899" s="2" t="n">
        <f aca="false">'Raw Data'!H1899</f>
        <v>1898</v>
      </c>
      <c r="B1899" s="2" t="n">
        <f aca="false">'Raw Data'!A1899</f>
        <v>26</v>
      </c>
      <c r="C1899" s="2" t="str">
        <f aca="false">'Raw Data'!D1899</f>
        <v>Sales</v>
      </c>
      <c r="D1899" s="2" t="str">
        <f aca="false">'Raw Data'!K1899</f>
        <v>Healthcare Representative</v>
      </c>
      <c r="E1899" s="2" t="n">
        <f aca="false">'Raw Data'!Q1899</f>
        <v>7</v>
      </c>
      <c r="F1899" s="2" t="n">
        <f aca="false">'Raw Data'!U1899</f>
        <v>7</v>
      </c>
      <c r="G1899" s="2" t="n">
        <f aca="false">'Raw Data'!W1899</f>
        <v>1</v>
      </c>
      <c r="H1899" s="2" t="n">
        <f aca="false">'Raw Data'!V1899</f>
        <v>3</v>
      </c>
      <c r="I1899" s="2" t="n">
        <f aca="false">IF(AND(ISNUMBER(B1899),B1899&lt;=25),2,0)+IF(AND(ISNUMBER(E1899),E1899&lt;=5),2,0)+IF(AND(ISNUMBER(F1899),F1899&lt;=1),2,0)+IF(AND(ISNUMBER(G1899),G1899&lt;=2),1,0)+IF(AND(ISNUMBER(H1899),H1899&lt;=2),1,0)</f>
        <v>1</v>
      </c>
      <c r="J1899" s="2" t="str">
        <f aca="false">IF(I1899&gt;=6,"High",IF(I1899&gt;=3,"Medium","Low"))</f>
        <v>Low</v>
      </c>
    </row>
    <row r="1900" customFormat="false" ht="15" hidden="false" customHeight="true" outlineLevel="0" collapsed="false">
      <c r="A1900" s="2" t="n">
        <f aca="false">'Raw Data'!H1900</f>
        <v>1899</v>
      </c>
      <c r="B1900" s="2" t="n">
        <f aca="false">'Raw Data'!A1900</f>
        <v>41</v>
      </c>
      <c r="C1900" s="2" t="str">
        <f aca="false">'Raw Data'!D1900</f>
        <v>Research &amp; Development</v>
      </c>
      <c r="D1900" s="2" t="str">
        <f aca="false">'Raw Data'!K1900</f>
        <v>Research Scientist</v>
      </c>
      <c r="E1900" s="2" t="n">
        <f aca="false">'Raw Data'!Q1900</f>
        <v>20</v>
      </c>
      <c r="F1900" s="2" t="n">
        <f aca="false">'Raw Data'!U1900</f>
        <v>17</v>
      </c>
      <c r="G1900" s="2" t="n">
        <f aca="false">'Raw Data'!W1900</f>
        <v>1</v>
      </c>
      <c r="H1900" s="2" t="n">
        <f aca="false">'Raw Data'!V1900</f>
        <v>4</v>
      </c>
      <c r="I1900" s="2" t="n">
        <f aca="false">IF(AND(ISNUMBER(B1900),B1900&lt;=25),2,0)+IF(AND(ISNUMBER(E1900),E1900&lt;=5),2,0)+IF(AND(ISNUMBER(F1900),F1900&lt;=1),2,0)+IF(AND(ISNUMBER(G1900),G1900&lt;=2),1,0)+IF(AND(ISNUMBER(H1900),H1900&lt;=2),1,0)</f>
        <v>1</v>
      </c>
      <c r="J1900" s="2" t="str">
        <f aca="false">IF(I1900&gt;=6,"High",IF(I1900&gt;=3,"Medium","Low"))</f>
        <v>Low</v>
      </c>
    </row>
    <row r="1901" customFormat="false" ht="15" hidden="false" customHeight="true" outlineLevel="0" collapsed="false">
      <c r="A1901" s="2" t="n">
        <f aca="false">'Raw Data'!H1901</f>
        <v>1900</v>
      </c>
      <c r="B1901" s="2" t="n">
        <f aca="false">'Raw Data'!A1901</f>
        <v>36</v>
      </c>
      <c r="C1901" s="2" t="str">
        <f aca="false">'Raw Data'!D1901</f>
        <v>Research &amp; Development</v>
      </c>
      <c r="D1901" s="2" t="str">
        <f aca="false">'Raw Data'!K1901</f>
        <v>Healthcare Representative</v>
      </c>
      <c r="E1901" s="2" t="n">
        <f aca="false">'Raw Data'!Q1901</f>
        <v>16</v>
      </c>
      <c r="F1901" s="2" t="n">
        <f aca="false">'Raw Data'!U1901</f>
        <v>9</v>
      </c>
      <c r="G1901" s="2" t="n">
        <f aca="false">'Raw Data'!W1901</f>
        <v>3</v>
      </c>
      <c r="H1901" s="2" t="n">
        <f aca="false">'Raw Data'!V1901</f>
        <v>3</v>
      </c>
      <c r="I1901" s="2" t="n">
        <f aca="false">IF(AND(ISNUMBER(B1901),B1901&lt;=25),2,0)+IF(AND(ISNUMBER(E1901),E1901&lt;=5),2,0)+IF(AND(ISNUMBER(F1901),F1901&lt;=1),2,0)+IF(AND(ISNUMBER(G1901),G1901&lt;=2),1,0)+IF(AND(ISNUMBER(H1901),H1901&lt;=2),1,0)</f>
        <v>0</v>
      </c>
      <c r="J1901" s="2" t="str">
        <f aca="false">IF(I1901&gt;=6,"High",IF(I1901&gt;=3,"Medium","Low"))</f>
        <v>Low</v>
      </c>
    </row>
    <row r="1902" customFormat="false" ht="15" hidden="false" customHeight="true" outlineLevel="0" collapsed="false">
      <c r="A1902" s="2" t="n">
        <f aca="false">'Raw Data'!H1902</f>
        <v>1901</v>
      </c>
      <c r="B1902" s="2" t="n">
        <f aca="false">'Raw Data'!A1902</f>
        <v>19</v>
      </c>
      <c r="C1902" s="2" t="str">
        <f aca="false">'Raw Data'!D1902</f>
        <v>Research &amp; Development</v>
      </c>
      <c r="D1902" s="2" t="str">
        <f aca="false">'Raw Data'!K1902</f>
        <v>Research Scientist</v>
      </c>
      <c r="E1902" s="2" t="n">
        <f aca="false">'Raw Data'!Q1902</f>
        <v>1</v>
      </c>
      <c r="F1902" s="2" t="n">
        <f aca="false">'Raw Data'!U1902</f>
        <v>0</v>
      </c>
      <c r="G1902" s="2" t="n">
        <f aca="false">'Raw Data'!W1902</f>
        <v>2</v>
      </c>
      <c r="H1902" s="2" t="n">
        <f aca="false">'Raw Data'!V1902</f>
        <v>4</v>
      </c>
      <c r="I1902" s="2" t="n">
        <f aca="false">IF(AND(ISNUMBER(B1902),B1902&lt;=25),2,0)+IF(AND(ISNUMBER(E1902),E1902&lt;=5),2,0)+IF(AND(ISNUMBER(F1902),F1902&lt;=1),2,0)+IF(AND(ISNUMBER(G1902),G1902&lt;=2),1,0)+IF(AND(ISNUMBER(H1902),H1902&lt;=2),1,0)</f>
        <v>7</v>
      </c>
      <c r="J1902" s="2" t="str">
        <f aca="false">IF(I1902&gt;=6,"High",IF(I1902&gt;=3,"Medium","Low"))</f>
        <v>High</v>
      </c>
    </row>
    <row r="1903" customFormat="false" ht="15" hidden="false" customHeight="true" outlineLevel="0" collapsed="false">
      <c r="A1903" s="2" t="n">
        <f aca="false">'Raw Data'!H1903</f>
        <v>1902</v>
      </c>
      <c r="B1903" s="2" t="n">
        <f aca="false">'Raw Data'!A1903</f>
        <v>20</v>
      </c>
      <c r="C1903" s="2" t="str">
        <f aca="false">'Raw Data'!D1903</f>
        <v>Research &amp; Development</v>
      </c>
      <c r="D1903" s="2" t="str">
        <f aca="false">'Raw Data'!K1903</f>
        <v>Laboratory Technician</v>
      </c>
      <c r="E1903" s="2" t="n">
        <f aca="false">'Raw Data'!Q1903</f>
        <v>1</v>
      </c>
      <c r="F1903" s="2" t="n">
        <f aca="false">'Raw Data'!U1903</f>
        <v>0</v>
      </c>
      <c r="G1903" s="2" t="n">
        <f aca="false">'Raw Data'!W1903</f>
        <v>1</v>
      </c>
      <c r="H1903" s="2" t="n">
        <f aca="false">'Raw Data'!V1903</f>
        <v>1</v>
      </c>
      <c r="I1903" s="2" t="n">
        <f aca="false">IF(AND(ISNUMBER(B1903),B1903&lt;=25),2,0)+IF(AND(ISNUMBER(E1903),E1903&lt;=5),2,0)+IF(AND(ISNUMBER(F1903),F1903&lt;=1),2,0)+IF(AND(ISNUMBER(G1903),G1903&lt;=2),1,0)+IF(AND(ISNUMBER(H1903),H1903&lt;=2),1,0)</f>
        <v>8</v>
      </c>
      <c r="J1903" s="2" t="str">
        <f aca="false">IF(I1903&gt;=6,"High",IF(I1903&gt;=3,"Medium","Low"))</f>
        <v>High</v>
      </c>
    </row>
    <row r="1904" customFormat="false" ht="15" hidden="false" customHeight="true" outlineLevel="0" collapsed="false">
      <c r="A1904" s="2" t="n">
        <f aca="false">'Raw Data'!H1904</f>
        <v>1903</v>
      </c>
      <c r="B1904" s="2" t="n">
        <f aca="false">'Raw Data'!A1904</f>
        <v>31</v>
      </c>
      <c r="C1904" s="2" t="str">
        <f aca="false">'Raw Data'!D1904</f>
        <v>Research &amp; Development</v>
      </c>
      <c r="D1904" s="2" t="str">
        <f aca="false">'Raw Data'!K1904</f>
        <v>Research Director</v>
      </c>
      <c r="E1904" s="2" t="n">
        <f aca="false">'Raw Data'!Q1904</f>
        <v>10</v>
      </c>
      <c r="F1904" s="2" t="n">
        <f aca="false">'Raw Data'!U1904</f>
        <v>5</v>
      </c>
      <c r="G1904" s="2" t="n">
        <f aca="false">'Raw Data'!W1904</f>
        <v>4</v>
      </c>
      <c r="H1904" s="2" t="n">
        <f aca="false">'Raw Data'!V1904</f>
        <v>4</v>
      </c>
      <c r="I1904" s="2" t="n">
        <f aca="false">IF(AND(ISNUMBER(B1904),B1904&lt;=25),2,0)+IF(AND(ISNUMBER(E1904),E1904&lt;=5),2,0)+IF(AND(ISNUMBER(F1904),F1904&lt;=1),2,0)+IF(AND(ISNUMBER(G1904),G1904&lt;=2),1,0)+IF(AND(ISNUMBER(H1904),H1904&lt;=2),1,0)</f>
        <v>0</v>
      </c>
      <c r="J1904" s="2" t="str">
        <f aca="false">IF(I1904&gt;=6,"High",IF(I1904&gt;=3,"Medium","Low"))</f>
        <v>Low</v>
      </c>
    </row>
    <row r="1905" customFormat="false" ht="15" hidden="false" customHeight="true" outlineLevel="0" collapsed="false">
      <c r="A1905" s="2" t="n">
        <f aca="false">'Raw Data'!H1905</f>
        <v>1904</v>
      </c>
      <c r="B1905" s="2" t="n">
        <f aca="false">'Raw Data'!A1905</f>
        <v>40</v>
      </c>
      <c r="C1905" s="2" t="str">
        <f aca="false">'Raw Data'!D1905</f>
        <v>Sales</v>
      </c>
      <c r="D1905" s="2" t="str">
        <f aca="false">'Raw Data'!K1905</f>
        <v>Research Scientist</v>
      </c>
      <c r="E1905" s="2" t="n">
        <f aca="false">'Raw Data'!Q1905</f>
        <v>3</v>
      </c>
      <c r="F1905" s="2" t="n">
        <f aca="false">'Raw Data'!U1905</f>
        <v>0</v>
      </c>
      <c r="G1905" s="2" t="n">
        <f aca="false">'Raw Data'!W1905</f>
        <v>2</v>
      </c>
      <c r="H1905" s="2" t="n">
        <f aca="false">'Raw Data'!V1905</f>
        <v>4</v>
      </c>
      <c r="I1905" s="2" t="n">
        <f aca="false">IF(AND(ISNUMBER(B1905),B1905&lt;=25),2,0)+IF(AND(ISNUMBER(E1905),E1905&lt;=5),2,0)+IF(AND(ISNUMBER(F1905),F1905&lt;=1),2,0)+IF(AND(ISNUMBER(G1905),G1905&lt;=2),1,0)+IF(AND(ISNUMBER(H1905),H1905&lt;=2),1,0)</f>
        <v>5</v>
      </c>
      <c r="J1905" s="2" t="str">
        <f aca="false">IF(I1905&gt;=6,"High",IF(I1905&gt;=3,"Medium","Low"))</f>
        <v>Medium</v>
      </c>
    </row>
    <row r="1906" customFormat="false" ht="15" hidden="false" customHeight="true" outlineLevel="0" collapsed="false">
      <c r="A1906" s="2" t="n">
        <f aca="false">'Raw Data'!H1906</f>
        <v>1905</v>
      </c>
      <c r="B1906" s="2" t="n">
        <f aca="false">'Raw Data'!A1906</f>
        <v>32</v>
      </c>
      <c r="C1906" s="2" t="str">
        <f aca="false">'Raw Data'!D1906</f>
        <v>Research &amp; Development</v>
      </c>
      <c r="D1906" s="2" t="str">
        <f aca="false">'Raw Data'!K1906</f>
        <v>Laboratory Technician</v>
      </c>
      <c r="E1906" s="2" t="n">
        <f aca="false">'Raw Data'!Q1906</f>
        <v>8</v>
      </c>
      <c r="F1906" s="2" t="n">
        <f aca="false">'Raw Data'!U1906</f>
        <v>3</v>
      </c>
      <c r="G1906" s="2" t="n">
        <f aca="false">'Raw Data'!W1906</f>
        <v>1</v>
      </c>
      <c r="H1906" s="2" t="n">
        <f aca="false">'Raw Data'!V1906</f>
        <v>3</v>
      </c>
      <c r="I1906" s="2" t="n">
        <f aca="false">IF(AND(ISNUMBER(B1906),B1906&lt;=25),2,0)+IF(AND(ISNUMBER(E1906),E1906&lt;=5),2,0)+IF(AND(ISNUMBER(F1906),F1906&lt;=1),2,0)+IF(AND(ISNUMBER(G1906),G1906&lt;=2),1,0)+IF(AND(ISNUMBER(H1906),H1906&lt;=2),1,0)</f>
        <v>1</v>
      </c>
      <c r="J1906" s="2" t="str">
        <f aca="false">IF(I1906&gt;=6,"High",IF(I1906&gt;=3,"Medium","Low"))</f>
        <v>Low</v>
      </c>
    </row>
    <row r="1907" customFormat="false" ht="15" hidden="false" customHeight="true" outlineLevel="0" collapsed="false">
      <c r="A1907" s="2" t="n">
        <f aca="false">'Raw Data'!H1907</f>
        <v>1906</v>
      </c>
      <c r="B1907" s="2" t="n">
        <f aca="false">'Raw Data'!A1907</f>
        <v>36</v>
      </c>
      <c r="C1907" s="2" t="str">
        <f aca="false">'Raw Data'!D1907</f>
        <v>Research &amp; Development</v>
      </c>
      <c r="D1907" s="2" t="str">
        <f aca="false">'Raw Data'!K1907</f>
        <v>Sales Executive</v>
      </c>
      <c r="E1907" s="2" t="n">
        <f aca="false">'Raw Data'!Q1907</f>
        <v>16</v>
      </c>
      <c r="F1907" s="2" t="n">
        <f aca="false">'Raw Data'!U1907</f>
        <v>7</v>
      </c>
      <c r="G1907" s="2" t="n">
        <f aca="false">'Raw Data'!W1907</f>
        <v>4</v>
      </c>
      <c r="H1907" s="2" t="n">
        <f aca="false">'Raw Data'!V1907</f>
        <v>3</v>
      </c>
      <c r="I1907" s="2" t="n">
        <f aca="false">IF(AND(ISNUMBER(B1907),B1907&lt;=25),2,0)+IF(AND(ISNUMBER(E1907),E1907&lt;=5),2,0)+IF(AND(ISNUMBER(F1907),F1907&lt;=1),2,0)+IF(AND(ISNUMBER(G1907),G1907&lt;=2),1,0)+IF(AND(ISNUMBER(H1907),H1907&lt;=2),1,0)</f>
        <v>0</v>
      </c>
      <c r="J1907" s="2" t="str">
        <f aca="false">IF(I1907&gt;=6,"High",IF(I1907&gt;=3,"Medium","Low"))</f>
        <v>Low</v>
      </c>
    </row>
    <row r="1908" customFormat="false" ht="15" hidden="false" customHeight="true" outlineLevel="0" collapsed="false">
      <c r="A1908" s="2" t="n">
        <f aca="false">'Raw Data'!H1908</f>
        <v>1907</v>
      </c>
      <c r="B1908" s="2" t="n">
        <f aca="false">'Raw Data'!A1908</f>
        <v>33</v>
      </c>
      <c r="C1908" s="2" t="str">
        <f aca="false">'Raw Data'!D1908</f>
        <v>Research &amp; Development</v>
      </c>
      <c r="D1908" s="2" t="str">
        <f aca="false">'Raw Data'!K1908</f>
        <v>Manufacturing Director</v>
      </c>
      <c r="E1908" s="2" t="n">
        <f aca="false">'Raw Data'!Q1908</f>
        <v>6</v>
      </c>
      <c r="F1908" s="2" t="n">
        <f aca="false">'Raw Data'!U1908</f>
        <v>4</v>
      </c>
      <c r="G1908" s="2" t="n">
        <f aca="false">'Raw Data'!W1908</f>
        <v>4</v>
      </c>
      <c r="H1908" s="2" t="n">
        <f aca="false">'Raw Data'!V1908</f>
        <v>2</v>
      </c>
      <c r="I1908" s="2" t="n">
        <f aca="false">IF(AND(ISNUMBER(B1908),B1908&lt;=25),2,0)+IF(AND(ISNUMBER(E1908),E1908&lt;=5),2,0)+IF(AND(ISNUMBER(F1908),F1908&lt;=1),2,0)+IF(AND(ISNUMBER(G1908),G1908&lt;=2),1,0)+IF(AND(ISNUMBER(H1908),H1908&lt;=2),1,0)</f>
        <v>1</v>
      </c>
      <c r="J1908" s="2" t="str">
        <f aca="false">IF(I1908&gt;=6,"High",IF(I1908&gt;=3,"Medium","Low"))</f>
        <v>Low</v>
      </c>
    </row>
    <row r="1909" customFormat="false" ht="15" hidden="false" customHeight="true" outlineLevel="0" collapsed="false">
      <c r="A1909" s="2" t="n">
        <f aca="false">'Raw Data'!H1909</f>
        <v>1908</v>
      </c>
      <c r="B1909" s="2" t="n">
        <f aca="false">'Raw Data'!A1909</f>
        <v>37</v>
      </c>
      <c r="C1909" s="2" t="str">
        <f aca="false">'Raw Data'!D1909</f>
        <v>Sales</v>
      </c>
      <c r="D1909" s="2" t="str">
        <f aca="false">'Raw Data'!K1909</f>
        <v>Human Resources</v>
      </c>
      <c r="E1909" s="2" t="n">
        <f aca="false">'Raw Data'!Q1909</f>
        <v>17</v>
      </c>
      <c r="F1909" s="2" t="n">
        <f aca="false">'Raw Data'!U1909</f>
        <v>7</v>
      </c>
      <c r="G1909" s="2" t="n">
        <f aca="false">'Raw Data'!W1909</f>
        <v>3</v>
      </c>
      <c r="H1909" s="2" t="n">
        <f aca="false">'Raw Data'!V1909</f>
        <v>1</v>
      </c>
      <c r="I1909" s="2" t="n">
        <f aca="false">IF(AND(ISNUMBER(B1909),B1909&lt;=25),2,0)+IF(AND(ISNUMBER(E1909),E1909&lt;=5),2,0)+IF(AND(ISNUMBER(F1909),F1909&lt;=1),2,0)+IF(AND(ISNUMBER(G1909),G1909&lt;=2),1,0)+IF(AND(ISNUMBER(H1909),H1909&lt;=2),1,0)</f>
        <v>1</v>
      </c>
      <c r="J1909" s="2" t="str">
        <f aca="false">IF(I1909&gt;=6,"High",IF(I1909&gt;=3,"Medium","Low"))</f>
        <v>Low</v>
      </c>
    </row>
    <row r="1910" customFormat="false" ht="15" hidden="false" customHeight="true" outlineLevel="0" collapsed="false">
      <c r="A1910" s="2" t="n">
        <f aca="false">'Raw Data'!H1910</f>
        <v>1909</v>
      </c>
      <c r="B1910" s="2" t="n">
        <f aca="false">'Raw Data'!A1910</f>
        <v>45</v>
      </c>
      <c r="C1910" s="2" t="str">
        <f aca="false">'Raw Data'!D1910</f>
        <v>Research &amp; Development</v>
      </c>
      <c r="D1910" s="2" t="str">
        <f aca="false">'Raw Data'!K1910</f>
        <v>Sales Executive</v>
      </c>
      <c r="E1910" s="2" t="n">
        <f aca="false">'Raw Data'!Q1910</f>
        <v>9</v>
      </c>
      <c r="F1910" s="2" t="n">
        <f aca="false">'Raw Data'!U1910</f>
        <v>8</v>
      </c>
      <c r="G1910" s="2" t="n">
        <f aca="false">'Raw Data'!W1910</f>
        <v>2</v>
      </c>
      <c r="H1910" s="2" t="n">
        <f aca="false">'Raw Data'!V1910</f>
        <v>3</v>
      </c>
      <c r="I1910" s="2" t="n">
        <f aca="false">IF(AND(ISNUMBER(B1910),B1910&lt;=25),2,0)+IF(AND(ISNUMBER(E1910),E1910&lt;=5),2,0)+IF(AND(ISNUMBER(F1910),F1910&lt;=1),2,0)+IF(AND(ISNUMBER(G1910),G1910&lt;=2),1,0)+IF(AND(ISNUMBER(H1910),H1910&lt;=2),1,0)</f>
        <v>1</v>
      </c>
      <c r="J1910" s="2" t="str">
        <f aca="false">IF(I1910&gt;=6,"High",IF(I1910&gt;=3,"Medium","Low"))</f>
        <v>Low</v>
      </c>
    </row>
    <row r="1911" customFormat="false" ht="15" hidden="false" customHeight="true" outlineLevel="0" collapsed="false">
      <c r="A1911" s="2" t="n">
        <f aca="false">'Raw Data'!H1911</f>
        <v>1910</v>
      </c>
      <c r="B1911" s="2" t="n">
        <f aca="false">'Raw Data'!A1911</f>
        <v>29</v>
      </c>
      <c r="C1911" s="2" t="str">
        <f aca="false">'Raw Data'!D1911</f>
        <v>Research &amp; Development</v>
      </c>
      <c r="D1911" s="2" t="str">
        <f aca="false">'Raw Data'!K1911</f>
        <v>Sales Representative</v>
      </c>
      <c r="E1911" s="2" t="n">
        <f aca="false">'Raw Data'!Q1911</f>
        <v>3</v>
      </c>
      <c r="F1911" s="2" t="n">
        <f aca="false">'Raw Data'!U1911</f>
        <v>2</v>
      </c>
      <c r="G1911" s="2" t="n">
        <f aca="false">'Raw Data'!W1911</f>
        <v>0</v>
      </c>
      <c r="H1911" s="2" t="n">
        <f aca="false">'Raw Data'!V1911</f>
        <v>3</v>
      </c>
      <c r="I1911" s="2" t="n">
        <f aca="false">IF(AND(ISNUMBER(B1911),B1911&lt;=25),2,0)+IF(AND(ISNUMBER(E1911),E1911&lt;=5),2,0)+IF(AND(ISNUMBER(F1911),F1911&lt;=1),2,0)+IF(AND(ISNUMBER(G1911),G1911&lt;=2),1,0)+IF(AND(ISNUMBER(H1911),H1911&lt;=2),1,0)</f>
        <v>2</v>
      </c>
      <c r="J1911" s="2" t="str">
        <f aca="false">IF(I1911&gt;=6,"High",IF(I1911&gt;=3,"Medium","Low"))</f>
        <v>Low</v>
      </c>
    </row>
    <row r="1912" customFormat="false" ht="15" hidden="false" customHeight="true" outlineLevel="0" collapsed="false">
      <c r="A1912" s="2" t="n">
        <f aca="false">'Raw Data'!H1912</f>
        <v>1911</v>
      </c>
      <c r="B1912" s="2" t="n">
        <f aca="false">'Raw Data'!A1912</f>
        <v>35</v>
      </c>
      <c r="C1912" s="2" t="str">
        <f aca="false">'Raw Data'!D1912</f>
        <v>Human Resources</v>
      </c>
      <c r="D1912" s="2" t="str">
        <f aca="false">'Raw Data'!K1912</f>
        <v>Laboratory Technician</v>
      </c>
      <c r="E1912" s="2" t="n">
        <f aca="false">'Raw Data'!Q1912</f>
        <v>5</v>
      </c>
      <c r="F1912" s="2" t="n">
        <f aca="false">'Raw Data'!U1912</f>
        <v>0</v>
      </c>
      <c r="G1912" s="2" t="n">
        <f aca="false">'Raw Data'!W1912</f>
        <v>3</v>
      </c>
      <c r="H1912" s="2" t="n">
        <f aca="false">'Raw Data'!V1912</f>
        <v>3</v>
      </c>
      <c r="I1912" s="2" t="n">
        <f aca="false">IF(AND(ISNUMBER(B1912),B1912&lt;=25),2,0)+IF(AND(ISNUMBER(E1912),E1912&lt;=5),2,0)+IF(AND(ISNUMBER(F1912),F1912&lt;=1),2,0)+IF(AND(ISNUMBER(G1912),G1912&lt;=2),1,0)+IF(AND(ISNUMBER(H1912),H1912&lt;=2),1,0)</f>
        <v>4</v>
      </c>
      <c r="J1912" s="2" t="str">
        <f aca="false">IF(I1912&gt;=6,"High",IF(I1912&gt;=3,"Medium","Low"))</f>
        <v>Medium</v>
      </c>
    </row>
    <row r="1913" customFormat="false" ht="15" hidden="false" customHeight="true" outlineLevel="0" collapsed="false">
      <c r="A1913" s="2" t="n">
        <f aca="false">'Raw Data'!H1913</f>
        <v>1912</v>
      </c>
      <c r="B1913" s="2" t="n">
        <f aca="false">'Raw Data'!A1913</f>
        <v>52</v>
      </c>
      <c r="C1913" s="2" t="str">
        <f aca="false">'Raw Data'!D1913</f>
        <v>Research &amp; Development</v>
      </c>
      <c r="D1913" s="2" t="str">
        <f aca="false">'Raw Data'!K1913</f>
        <v>Laboratory Technician</v>
      </c>
      <c r="E1913" s="2" t="n">
        <f aca="false">'Raw Data'!Q1913</f>
        <v>26</v>
      </c>
      <c r="F1913" s="2" t="n">
        <f aca="false">'Raw Data'!U1913</f>
        <v>8</v>
      </c>
      <c r="G1913" s="2" t="n">
        <f aca="false">'Raw Data'!W1913</f>
        <v>4</v>
      </c>
      <c r="H1913" s="2" t="n">
        <f aca="false">'Raw Data'!V1913</f>
        <v>4</v>
      </c>
      <c r="I1913" s="2" t="n">
        <f aca="false">IF(AND(ISNUMBER(B1913),B1913&lt;=25),2,0)+IF(AND(ISNUMBER(E1913),E1913&lt;=5),2,0)+IF(AND(ISNUMBER(F1913),F1913&lt;=1),2,0)+IF(AND(ISNUMBER(G1913),G1913&lt;=2),1,0)+IF(AND(ISNUMBER(H1913),H1913&lt;=2),1,0)</f>
        <v>0</v>
      </c>
      <c r="J1913" s="2" t="str">
        <f aca="false">IF(I1913&gt;=6,"High",IF(I1913&gt;=3,"Medium","Low"))</f>
        <v>Low</v>
      </c>
    </row>
    <row r="1914" customFormat="false" ht="15" hidden="false" customHeight="true" outlineLevel="0" collapsed="false">
      <c r="A1914" s="2" t="n">
        <f aca="false">'Raw Data'!H1914</f>
        <v>1913</v>
      </c>
      <c r="B1914" s="2" t="n">
        <f aca="false">'Raw Data'!A1914</f>
        <v>58</v>
      </c>
      <c r="C1914" s="2" t="str">
        <f aca="false">'Raw Data'!D1914</f>
        <v>Sales</v>
      </c>
      <c r="D1914" s="2" t="str">
        <f aca="false">'Raw Data'!K1914</f>
        <v>Sales Executive</v>
      </c>
      <c r="E1914" s="2" t="n">
        <f aca="false">'Raw Data'!Q1914</f>
        <v>7</v>
      </c>
      <c r="F1914" s="2" t="n">
        <f aca="false">'Raw Data'!U1914</f>
        <v>0</v>
      </c>
      <c r="G1914" s="2" t="n">
        <f aca="false">'Raw Data'!W1914</f>
        <v>3</v>
      </c>
      <c r="H1914" s="2" t="n">
        <f aca="false">'Raw Data'!V1914</f>
        <v>4</v>
      </c>
      <c r="I1914" s="2" t="n">
        <f aca="false">IF(AND(ISNUMBER(B1914),B1914&lt;=25),2,0)+IF(AND(ISNUMBER(E1914),E1914&lt;=5),2,0)+IF(AND(ISNUMBER(F1914),F1914&lt;=1),2,0)+IF(AND(ISNUMBER(G1914),G1914&lt;=2),1,0)+IF(AND(ISNUMBER(H1914),H1914&lt;=2),1,0)</f>
        <v>2</v>
      </c>
      <c r="J1914" s="2" t="str">
        <f aca="false">IF(I1914&gt;=6,"High",IF(I1914&gt;=3,"Medium","Low"))</f>
        <v>Low</v>
      </c>
    </row>
    <row r="1915" customFormat="false" ht="15" hidden="false" customHeight="true" outlineLevel="0" collapsed="false">
      <c r="A1915" s="2" t="n">
        <f aca="false">'Raw Data'!H1915</f>
        <v>1914</v>
      </c>
      <c r="B1915" s="2" t="n">
        <f aca="false">'Raw Data'!A1915</f>
        <v>53</v>
      </c>
      <c r="C1915" s="2" t="str">
        <f aca="false">'Raw Data'!D1915</f>
        <v>Research &amp; Development</v>
      </c>
      <c r="D1915" s="2" t="str">
        <f aca="false">'Raw Data'!K1915</f>
        <v>Manager</v>
      </c>
      <c r="E1915" s="2" t="n">
        <f aca="false">'Raw Data'!Q1915</f>
        <v>22</v>
      </c>
      <c r="F1915" s="2" t="n">
        <f aca="false">'Raw Data'!U1915</f>
        <v>2</v>
      </c>
      <c r="G1915" s="2" t="n">
        <f aca="false">'Raw Data'!W1915</f>
        <v>3</v>
      </c>
      <c r="H1915" s="2" t="n">
        <f aca="false">'Raw Data'!V1915</f>
        <v>3</v>
      </c>
      <c r="I1915" s="2" t="n">
        <f aca="false">IF(AND(ISNUMBER(B1915),B1915&lt;=25),2,0)+IF(AND(ISNUMBER(E1915),E1915&lt;=5),2,0)+IF(AND(ISNUMBER(F1915),F1915&lt;=1),2,0)+IF(AND(ISNUMBER(G1915),G1915&lt;=2),1,0)+IF(AND(ISNUMBER(H1915),H1915&lt;=2),1,0)</f>
        <v>0</v>
      </c>
      <c r="J1915" s="2" t="str">
        <f aca="false">IF(I1915&gt;=6,"High",IF(I1915&gt;=3,"Medium","Low"))</f>
        <v>Low</v>
      </c>
    </row>
    <row r="1916" customFormat="false" ht="15" hidden="false" customHeight="true" outlineLevel="0" collapsed="false">
      <c r="A1916" s="2" t="n">
        <f aca="false">'Raw Data'!H1916</f>
        <v>1915</v>
      </c>
      <c r="B1916" s="2" t="n">
        <f aca="false">'Raw Data'!A1916</f>
        <v>30</v>
      </c>
      <c r="C1916" s="2" t="str">
        <f aca="false">'Raw Data'!D1916</f>
        <v>Sales</v>
      </c>
      <c r="D1916" s="2" t="str">
        <f aca="false">'Raw Data'!K1916</f>
        <v>Sales Executive</v>
      </c>
      <c r="E1916" s="2" t="n">
        <f aca="false">'Raw Data'!Q1916</f>
        <v>10</v>
      </c>
      <c r="F1916" s="2" t="n">
        <f aca="false">'Raw Data'!U1916</f>
        <v>7</v>
      </c>
      <c r="G1916" s="2" t="n">
        <f aca="false">'Raw Data'!W1916</f>
        <v>3</v>
      </c>
      <c r="H1916" s="2" t="n">
        <f aca="false">'Raw Data'!V1916</f>
        <v>3</v>
      </c>
      <c r="I1916" s="2" t="n">
        <f aca="false">IF(AND(ISNUMBER(B1916),B1916&lt;=25),2,0)+IF(AND(ISNUMBER(E1916),E1916&lt;=5),2,0)+IF(AND(ISNUMBER(F1916),F1916&lt;=1),2,0)+IF(AND(ISNUMBER(G1916),G1916&lt;=2),1,0)+IF(AND(ISNUMBER(H1916),H1916&lt;=2),1,0)</f>
        <v>0</v>
      </c>
      <c r="J1916" s="2" t="str">
        <f aca="false">IF(I1916&gt;=6,"High",IF(I1916&gt;=3,"Medium","Low"))</f>
        <v>Low</v>
      </c>
    </row>
    <row r="1917" customFormat="false" ht="15" hidden="false" customHeight="true" outlineLevel="0" collapsed="false">
      <c r="A1917" s="2" t="n">
        <f aca="false">'Raw Data'!H1917</f>
        <v>1916</v>
      </c>
      <c r="B1917" s="2" t="n">
        <f aca="false">'Raw Data'!A1917</f>
        <v>38</v>
      </c>
      <c r="C1917" s="2" t="str">
        <f aca="false">'Raw Data'!D1917</f>
        <v>Sales</v>
      </c>
      <c r="D1917" s="2" t="str">
        <f aca="false">'Raw Data'!K1917</f>
        <v>Research Director</v>
      </c>
      <c r="E1917" s="2" t="n">
        <f aca="false">'Raw Data'!Q1917</f>
        <v>6</v>
      </c>
      <c r="F1917" s="2" t="n">
        <f aca="false">'Raw Data'!U1917</f>
        <v>3</v>
      </c>
      <c r="G1917" s="2" t="n">
        <f aca="false">'Raw Data'!W1917</f>
        <v>4</v>
      </c>
      <c r="H1917" s="2" t="n">
        <f aca="false">'Raw Data'!V1917</f>
        <v>3</v>
      </c>
      <c r="I1917" s="2" t="n">
        <f aca="false">IF(AND(ISNUMBER(B1917),B1917&lt;=25),2,0)+IF(AND(ISNUMBER(E1917),E1917&lt;=5),2,0)+IF(AND(ISNUMBER(F1917),F1917&lt;=1),2,0)+IF(AND(ISNUMBER(G1917),G1917&lt;=2),1,0)+IF(AND(ISNUMBER(H1917),H1917&lt;=2),1,0)</f>
        <v>0</v>
      </c>
      <c r="J1917" s="2" t="str">
        <f aca="false">IF(I1917&gt;=6,"High",IF(I1917&gt;=3,"Medium","Low"))</f>
        <v>Low</v>
      </c>
    </row>
    <row r="1918" customFormat="false" ht="15" hidden="false" customHeight="true" outlineLevel="0" collapsed="false">
      <c r="A1918" s="2" t="n">
        <f aca="false">'Raw Data'!H1918</f>
        <v>1917</v>
      </c>
      <c r="B1918" s="2" t="n">
        <f aca="false">'Raw Data'!A1918</f>
        <v>35</v>
      </c>
      <c r="C1918" s="2" t="str">
        <f aca="false">'Raw Data'!D1918</f>
        <v>Sales</v>
      </c>
      <c r="D1918" s="2" t="str">
        <f aca="false">'Raw Data'!K1918</f>
        <v>Healthcare Representative</v>
      </c>
      <c r="E1918" s="2" t="n">
        <f aca="false">'Raw Data'!Q1918</f>
        <v>12</v>
      </c>
      <c r="F1918" s="2" t="n">
        <f aca="false">'Raw Data'!U1918</f>
        <v>8</v>
      </c>
      <c r="G1918" s="2" t="n">
        <f aca="false">'Raw Data'!W1918</f>
        <v>4</v>
      </c>
      <c r="H1918" s="2" t="n">
        <f aca="false">'Raw Data'!V1918</f>
        <v>4</v>
      </c>
      <c r="I1918" s="2" t="n">
        <f aca="false">IF(AND(ISNUMBER(B1918),B1918&lt;=25),2,0)+IF(AND(ISNUMBER(E1918),E1918&lt;=5),2,0)+IF(AND(ISNUMBER(F1918),F1918&lt;=1),2,0)+IF(AND(ISNUMBER(G1918),G1918&lt;=2),1,0)+IF(AND(ISNUMBER(H1918),H1918&lt;=2),1,0)</f>
        <v>0</v>
      </c>
      <c r="J1918" s="2" t="str">
        <f aca="false">IF(I1918&gt;=6,"High",IF(I1918&gt;=3,"Medium","Low"))</f>
        <v>Low</v>
      </c>
    </row>
    <row r="1919" customFormat="false" ht="15" hidden="false" customHeight="true" outlineLevel="0" collapsed="false">
      <c r="A1919" s="2" t="n">
        <f aca="false">'Raw Data'!H1919</f>
        <v>1918</v>
      </c>
      <c r="B1919" s="2" t="n">
        <f aca="false">'Raw Data'!A1919</f>
        <v>39</v>
      </c>
      <c r="C1919" s="2" t="str">
        <f aca="false">'Raw Data'!D1919</f>
        <v>Sales</v>
      </c>
      <c r="D1919" s="2" t="str">
        <f aca="false">'Raw Data'!K1919</f>
        <v>Research Scientist</v>
      </c>
      <c r="E1919" s="2" t="n">
        <f aca="false">'Raw Data'!Q1919</f>
        <v>9</v>
      </c>
      <c r="F1919" s="2" t="n">
        <f aca="false">'Raw Data'!U1919</f>
        <v>7</v>
      </c>
      <c r="G1919" s="2" t="n">
        <f aca="false">'Raw Data'!W1919</f>
        <v>3</v>
      </c>
      <c r="H1919" s="2" t="n">
        <f aca="false">'Raw Data'!V1919</f>
        <v>1</v>
      </c>
      <c r="I1919" s="2" t="n">
        <f aca="false">IF(AND(ISNUMBER(B1919),B1919&lt;=25),2,0)+IF(AND(ISNUMBER(E1919),E1919&lt;=5),2,0)+IF(AND(ISNUMBER(F1919),F1919&lt;=1),2,0)+IF(AND(ISNUMBER(G1919),G1919&lt;=2),1,0)+IF(AND(ISNUMBER(H1919),H1919&lt;=2),1,0)</f>
        <v>1</v>
      </c>
      <c r="J1919" s="2" t="str">
        <f aca="false">IF(I1919&gt;=6,"High",IF(I1919&gt;=3,"Medium","Low"))</f>
        <v>Low</v>
      </c>
    </row>
    <row r="1920" customFormat="false" ht="15" hidden="false" customHeight="true" outlineLevel="0" collapsed="false">
      <c r="A1920" s="2" t="n">
        <f aca="false">'Raw Data'!H1920</f>
        <v>1919</v>
      </c>
      <c r="B1920" s="2" t="n">
        <f aca="false">'Raw Data'!A1920</f>
        <v>40</v>
      </c>
      <c r="C1920" s="2" t="str">
        <f aca="false">'Raw Data'!D1920</f>
        <v>Research &amp; Development</v>
      </c>
      <c r="D1920" s="2" t="str">
        <f aca="false">'Raw Data'!K1920</f>
        <v>Human Resources</v>
      </c>
      <c r="E1920" s="2" t="n">
        <f aca="false">'Raw Data'!Q1920</f>
        <v>22</v>
      </c>
      <c r="F1920" s="2" t="n">
        <f aca="false">'Raw Data'!U1920</f>
        <v>0</v>
      </c>
      <c r="G1920" s="2" t="n">
        <f aca="false">'Raw Data'!W1920</f>
        <v>2</v>
      </c>
      <c r="H1920" s="2" t="n">
        <f aca="false">'Raw Data'!V1920</f>
        <v>2</v>
      </c>
      <c r="I1920" s="2" t="n">
        <f aca="false">IF(AND(ISNUMBER(B1920),B1920&lt;=25),2,0)+IF(AND(ISNUMBER(E1920),E1920&lt;=5),2,0)+IF(AND(ISNUMBER(F1920),F1920&lt;=1),2,0)+IF(AND(ISNUMBER(G1920),G1920&lt;=2),1,0)+IF(AND(ISNUMBER(H1920),H1920&lt;=2),1,0)</f>
        <v>4</v>
      </c>
      <c r="J1920" s="2" t="str">
        <f aca="false">IF(I1920&gt;=6,"High",IF(I1920&gt;=3,"Medium","Low"))</f>
        <v>Medium</v>
      </c>
    </row>
    <row r="1921" customFormat="false" ht="15" hidden="false" customHeight="true" outlineLevel="0" collapsed="false">
      <c r="A1921" s="2" t="n">
        <f aca="false">'Raw Data'!H1921</f>
        <v>1920</v>
      </c>
      <c r="B1921" s="2" t="n">
        <f aca="false">'Raw Data'!A1921</f>
        <v>47</v>
      </c>
      <c r="C1921" s="2" t="str">
        <f aca="false">'Raw Data'!D1921</f>
        <v>Research &amp; Development</v>
      </c>
      <c r="D1921" s="2" t="str">
        <f aca="false">'Raw Data'!K1921</f>
        <v>Sales Executive</v>
      </c>
      <c r="E1921" s="2" t="n">
        <f aca="false">'Raw Data'!Q1921</f>
        <v>20</v>
      </c>
      <c r="F1921" s="2" t="n">
        <f aca="false">'Raw Data'!U1921</f>
        <v>7</v>
      </c>
      <c r="G1921" s="2" t="n">
        <f aca="false">'Raw Data'!W1921</f>
        <v>3</v>
      </c>
      <c r="H1921" s="2" t="n">
        <f aca="false">'Raw Data'!V1921</f>
        <v>3</v>
      </c>
      <c r="I1921" s="2" t="n">
        <f aca="false">IF(AND(ISNUMBER(B1921),B1921&lt;=25),2,0)+IF(AND(ISNUMBER(E1921),E1921&lt;=5),2,0)+IF(AND(ISNUMBER(F1921),F1921&lt;=1),2,0)+IF(AND(ISNUMBER(G1921),G1921&lt;=2),1,0)+IF(AND(ISNUMBER(H1921),H1921&lt;=2),1,0)</f>
        <v>0</v>
      </c>
      <c r="J1921" s="2" t="str">
        <f aca="false">IF(I1921&gt;=6,"High",IF(I1921&gt;=3,"Medium","Low"))</f>
        <v>Low</v>
      </c>
    </row>
    <row r="1922" customFormat="false" ht="15" hidden="false" customHeight="true" outlineLevel="0" collapsed="false">
      <c r="A1922" s="2" t="n">
        <f aca="false">'Raw Data'!H1922</f>
        <v>1921</v>
      </c>
      <c r="B1922" s="2" t="n">
        <f aca="false">'Raw Data'!A1922</f>
        <v>36</v>
      </c>
      <c r="C1922" s="2" t="str">
        <f aca="false">'Raw Data'!D1922</f>
        <v>Sales</v>
      </c>
      <c r="D1922" s="2" t="str">
        <f aca="false">'Raw Data'!K1922</f>
        <v>Research Scientist</v>
      </c>
      <c r="E1922" s="2" t="n">
        <f aca="false">'Raw Data'!Q1922</f>
        <v>12</v>
      </c>
      <c r="F1922" s="2" t="n">
        <f aca="false">'Raw Data'!U1922</f>
        <v>7</v>
      </c>
      <c r="G1922" s="2" t="n">
        <f aca="false">'Raw Data'!W1922</f>
        <v>4</v>
      </c>
      <c r="H1922" s="2" t="n">
        <f aca="false">'Raw Data'!V1922</f>
        <v>1</v>
      </c>
      <c r="I1922" s="2" t="n">
        <f aca="false">IF(AND(ISNUMBER(B1922),B1922&lt;=25),2,0)+IF(AND(ISNUMBER(E1922),E1922&lt;=5),2,0)+IF(AND(ISNUMBER(F1922),F1922&lt;=1),2,0)+IF(AND(ISNUMBER(G1922),G1922&lt;=2),1,0)+IF(AND(ISNUMBER(H1922),H1922&lt;=2),1,0)</f>
        <v>1</v>
      </c>
      <c r="J1922" s="2" t="str">
        <f aca="false">IF(I1922&gt;=6,"High",IF(I1922&gt;=3,"Medium","Low"))</f>
        <v>Low</v>
      </c>
    </row>
    <row r="1923" customFormat="false" ht="15" hidden="false" customHeight="true" outlineLevel="0" collapsed="false">
      <c r="A1923" s="2" t="n">
        <f aca="false">'Raw Data'!H1923</f>
        <v>1922</v>
      </c>
      <c r="B1923" s="2" t="n">
        <f aca="false">'Raw Data'!A1923</f>
        <v>31</v>
      </c>
      <c r="C1923" s="2" t="str">
        <f aca="false">'Raw Data'!D1923</f>
        <v>Research &amp; Development</v>
      </c>
      <c r="D1923" s="2" t="str">
        <f aca="false">'Raw Data'!K1923</f>
        <v>Research Scientist</v>
      </c>
      <c r="E1923" s="2" t="n">
        <f aca="false">'Raw Data'!Q1923</f>
        <v>4</v>
      </c>
      <c r="F1923" s="2" t="n">
        <f aca="false">'Raw Data'!U1923</f>
        <v>2</v>
      </c>
      <c r="G1923" s="2" t="n">
        <f aca="false">'Raw Data'!W1923</f>
        <v>1</v>
      </c>
      <c r="H1923" s="2" t="n">
        <f aca="false">'Raw Data'!V1923</f>
        <v>3</v>
      </c>
      <c r="I1923" s="2" t="n">
        <f aca="false">IF(AND(ISNUMBER(B1923),B1923&lt;=25),2,0)+IF(AND(ISNUMBER(E1923),E1923&lt;=5),2,0)+IF(AND(ISNUMBER(F1923),F1923&lt;=1),2,0)+IF(AND(ISNUMBER(G1923),G1923&lt;=2),1,0)+IF(AND(ISNUMBER(H1923),H1923&lt;=2),1,0)</f>
        <v>3</v>
      </c>
      <c r="J1923" s="2" t="str">
        <f aca="false">IF(I1923&gt;=6,"High",IF(I1923&gt;=3,"Medium","Low"))</f>
        <v>Medium</v>
      </c>
    </row>
    <row r="1924" customFormat="false" ht="15" hidden="false" customHeight="true" outlineLevel="0" collapsed="false">
      <c r="A1924" s="2" t="n">
        <f aca="false">'Raw Data'!H1924</f>
        <v>1923</v>
      </c>
      <c r="B1924" s="2" t="n">
        <f aca="false">'Raw Data'!A1924</f>
        <v>33</v>
      </c>
      <c r="C1924" s="2" t="str">
        <f aca="false">'Raw Data'!D1924</f>
        <v>Sales</v>
      </c>
      <c r="D1924" s="2" t="str">
        <f aca="false">'Raw Data'!K1924</f>
        <v>Research Director</v>
      </c>
      <c r="E1924" s="2" t="n">
        <f aca="false">'Raw Data'!Q1924</f>
        <v>10</v>
      </c>
      <c r="F1924" s="2" t="n">
        <f aca="false">'Raw Data'!U1924</f>
        <v>0</v>
      </c>
      <c r="G1924" s="2" t="n">
        <f aca="false">'Raw Data'!W1924</f>
        <v>3</v>
      </c>
      <c r="H1924" s="2" t="n">
        <f aca="false">'Raw Data'!V1924</f>
        <v>4</v>
      </c>
      <c r="I1924" s="2" t="n">
        <f aca="false">IF(AND(ISNUMBER(B1924),B1924&lt;=25),2,0)+IF(AND(ISNUMBER(E1924),E1924&lt;=5),2,0)+IF(AND(ISNUMBER(F1924),F1924&lt;=1),2,0)+IF(AND(ISNUMBER(G1924),G1924&lt;=2),1,0)+IF(AND(ISNUMBER(H1924),H1924&lt;=2),1,0)</f>
        <v>2</v>
      </c>
      <c r="J1924" s="2" t="str">
        <f aca="false">IF(I1924&gt;=6,"High",IF(I1924&gt;=3,"Medium","Low"))</f>
        <v>Low</v>
      </c>
    </row>
    <row r="1925" customFormat="false" ht="15" hidden="false" customHeight="true" outlineLevel="0" collapsed="false">
      <c r="A1925" s="2" t="n">
        <f aca="false">'Raw Data'!H1925</f>
        <v>1924</v>
      </c>
      <c r="B1925" s="2" t="n">
        <f aca="false">'Raw Data'!A1925</f>
        <v>29</v>
      </c>
      <c r="C1925" s="2" t="str">
        <f aca="false">'Raw Data'!D1925</f>
        <v>Human Resources</v>
      </c>
      <c r="D1925" s="2" t="str">
        <f aca="false">'Raw Data'!K1925</f>
        <v>Sales Executive</v>
      </c>
      <c r="E1925" s="2" t="n">
        <f aca="false">'Raw Data'!Q1925</f>
        <v>3</v>
      </c>
      <c r="F1925" s="2" t="n">
        <f aca="false">'Raw Data'!U1925</f>
        <v>0</v>
      </c>
      <c r="G1925" s="2" t="n">
        <f aca="false">'Raw Data'!W1925</f>
        <v>1</v>
      </c>
      <c r="H1925" s="2" t="n">
        <f aca="false">'Raw Data'!V1925</f>
        <v>4</v>
      </c>
      <c r="I1925" s="2" t="n">
        <f aca="false">IF(AND(ISNUMBER(B1925),B1925&lt;=25),2,0)+IF(AND(ISNUMBER(E1925),E1925&lt;=5),2,0)+IF(AND(ISNUMBER(F1925),F1925&lt;=1),2,0)+IF(AND(ISNUMBER(G1925),G1925&lt;=2),1,0)+IF(AND(ISNUMBER(H1925),H1925&lt;=2),1,0)</f>
        <v>5</v>
      </c>
      <c r="J1925" s="2" t="str">
        <f aca="false">IF(I1925&gt;=6,"High",IF(I1925&gt;=3,"Medium","Low"))</f>
        <v>Medium</v>
      </c>
    </row>
    <row r="1926" customFormat="false" ht="15" hidden="false" customHeight="true" outlineLevel="0" collapsed="false">
      <c r="A1926" s="2" t="n">
        <f aca="false">'Raw Data'!H1926</f>
        <v>1925</v>
      </c>
      <c r="B1926" s="2" t="n">
        <f aca="false">'Raw Data'!A1926</f>
        <v>33</v>
      </c>
      <c r="C1926" s="2" t="str">
        <f aca="false">'Raw Data'!D1926</f>
        <v>Research &amp; Development</v>
      </c>
      <c r="D1926" s="2" t="str">
        <f aca="false">'Raw Data'!K1926</f>
        <v>Laboratory Technician</v>
      </c>
      <c r="E1926" s="2" t="n">
        <f aca="false">'Raw Data'!Q1926</f>
        <v>5</v>
      </c>
      <c r="F1926" s="2" t="n">
        <f aca="false">'Raw Data'!U1926</f>
        <v>2</v>
      </c>
      <c r="G1926" s="2" t="n">
        <f aca="false">'Raw Data'!W1926</f>
        <v>4</v>
      </c>
      <c r="H1926" s="2" t="n">
        <f aca="false">'Raw Data'!V1926</f>
        <v>2</v>
      </c>
      <c r="I1926" s="2" t="n">
        <f aca="false">IF(AND(ISNUMBER(B1926),B1926&lt;=25),2,0)+IF(AND(ISNUMBER(E1926),E1926&lt;=5),2,0)+IF(AND(ISNUMBER(F1926),F1926&lt;=1),2,0)+IF(AND(ISNUMBER(G1926),G1926&lt;=2),1,0)+IF(AND(ISNUMBER(H1926),H1926&lt;=2),1,0)</f>
        <v>3</v>
      </c>
      <c r="J1926" s="2" t="str">
        <f aca="false">IF(I1926&gt;=6,"High",IF(I1926&gt;=3,"Medium","Low"))</f>
        <v>Medium</v>
      </c>
    </row>
    <row r="1927" customFormat="false" ht="15" hidden="false" customHeight="true" outlineLevel="0" collapsed="false">
      <c r="A1927" s="2" t="n">
        <f aca="false">'Raw Data'!H1927</f>
        <v>1926</v>
      </c>
      <c r="B1927" s="2" t="n">
        <f aca="false">'Raw Data'!A1927</f>
        <v>45</v>
      </c>
      <c r="C1927" s="2" t="str">
        <f aca="false">'Raw Data'!D1927</f>
        <v>Research &amp; Development</v>
      </c>
      <c r="D1927" s="2" t="str">
        <f aca="false">'Raw Data'!K1927</f>
        <v>Healthcare Representative</v>
      </c>
      <c r="E1927" s="2" t="n">
        <f aca="false">'Raw Data'!Q1927</f>
        <v>8</v>
      </c>
      <c r="F1927" s="2" t="n">
        <f aca="false">'Raw Data'!U1927</f>
        <v>2</v>
      </c>
      <c r="G1927" s="2" t="n">
        <f aca="false">'Raw Data'!W1927</f>
        <v>4</v>
      </c>
      <c r="H1927" s="2" t="n">
        <f aca="false">'Raw Data'!V1927</f>
        <v>4</v>
      </c>
      <c r="I1927" s="2" t="n">
        <f aca="false">IF(AND(ISNUMBER(B1927),B1927&lt;=25),2,0)+IF(AND(ISNUMBER(E1927),E1927&lt;=5),2,0)+IF(AND(ISNUMBER(F1927),F1927&lt;=1),2,0)+IF(AND(ISNUMBER(G1927),G1927&lt;=2),1,0)+IF(AND(ISNUMBER(H1927),H1927&lt;=2),1,0)</f>
        <v>0</v>
      </c>
      <c r="J1927" s="2" t="str">
        <f aca="false">IF(I1927&gt;=6,"High",IF(I1927&gt;=3,"Medium","Low"))</f>
        <v>Low</v>
      </c>
    </row>
    <row r="1928" customFormat="false" ht="15" hidden="false" customHeight="true" outlineLevel="0" collapsed="false">
      <c r="A1928" s="2" t="n">
        <f aca="false">'Raw Data'!H1928</f>
        <v>1927</v>
      </c>
      <c r="B1928" s="2" t="n">
        <f aca="false">'Raw Data'!A1928</f>
        <v>50</v>
      </c>
      <c r="C1928" s="2" t="str">
        <f aca="false">'Raw Data'!D1928</f>
        <v>Sales</v>
      </c>
      <c r="D1928" s="2" t="str">
        <f aca="false">'Raw Data'!K1928</f>
        <v>Manufacturing Director</v>
      </c>
      <c r="E1928" s="2" t="n">
        <f aca="false">'Raw Data'!Q1928</f>
        <v>32</v>
      </c>
      <c r="F1928" s="2" t="n">
        <f aca="false">'Raw Data'!U1928</f>
        <v>3</v>
      </c>
      <c r="G1928" s="2" t="n">
        <f aca="false">'Raw Data'!W1928</f>
        <v>4</v>
      </c>
      <c r="H1928" s="2" t="n">
        <f aca="false">'Raw Data'!V1928</f>
        <v>4</v>
      </c>
      <c r="I1928" s="2" t="n">
        <f aca="false">IF(AND(ISNUMBER(B1928),B1928&lt;=25),2,0)+IF(AND(ISNUMBER(E1928),E1928&lt;=5),2,0)+IF(AND(ISNUMBER(F1928),F1928&lt;=1),2,0)+IF(AND(ISNUMBER(G1928),G1928&lt;=2),1,0)+IF(AND(ISNUMBER(H1928),H1928&lt;=2),1,0)</f>
        <v>0</v>
      </c>
      <c r="J1928" s="2" t="str">
        <f aca="false">IF(I1928&gt;=6,"High",IF(I1928&gt;=3,"Medium","Low"))</f>
        <v>Low</v>
      </c>
    </row>
    <row r="1929" customFormat="false" ht="15" hidden="false" customHeight="true" outlineLevel="0" collapsed="false">
      <c r="A1929" s="2" t="n">
        <f aca="false">'Raw Data'!H1929</f>
        <v>1928</v>
      </c>
      <c r="B1929" s="2" t="n">
        <f aca="false">'Raw Data'!A1929</f>
        <v>33</v>
      </c>
      <c r="C1929" s="2" t="str">
        <f aca="false">'Raw Data'!D1929</f>
        <v>Sales</v>
      </c>
      <c r="D1929" s="2" t="str">
        <f aca="false">'Raw Data'!K1929</f>
        <v>Human Resources</v>
      </c>
      <c r="E1929" s="2" t="n">
        <f aca="false">'Raw Data'!Q1929</f>
        <v>6</v>
      </c>
      <c r="F1929" s="2" t="n">
        <f aca="false">'Raw Data'!U1929</f>
        <v>2</v>
      </c>
      <c r="G1929" s="2" t="n">
        <f aca="false">'Raw Data'!W1929</f>
        <v>2</v>
      </c>
      <c r="H1929" s="2" t="n">
        <f aca="false">'Raw Data'!V1929</f>
        <v>3</v>
      </c>
      <c r="I1929" s="2" t="n">
        <f aca="false">IF(AND(ISNUMBER(B1929),B1929&lt;=25),2,0)+IF(AND(ISNUMBER(E1929),E1929&lt;=5),2,0)+IF(AND(ISNUMBER(F1929),F1929&lt;=1),2,0)+IF(AND(ISNUMBER(G1929),G1929&lt;=2),1,0)+IF(AND(ISNUMBER(H1929),H1929&lt;=2),1,0)</f>
        <v>1</v>
      </c>
      <c r="J1929" s="2" t="str">
        <f aca="false">IF(I1929&gt;=6,"High",IF(I1929&gt;=3,"Medium","Low"))</f>
        <v>Low</v>
      </c>
    </row>
    <row r="1930" customFormat="false" ht="15" hidden="false" customHeight="true" outlineLevel="0" collapsed="false">
      <c r="A1930" s="2" t="n">
        <f aca="false">'Raw Data'!H1930</f>
        <v>1929</v>
      </c>
      <c r="B1930" s="2" t="n">
        <f aca="false">'Raw Data'!A1930</f>
        <v>41</v>
      </c>
      <c r="C1930" s="2" t="str">
        <f aca="false">'Raw Data'!D1930</f>
        <v>Sales</v>
      </c>
      <c r="D1930" s="2" t="str">
        <f aca="false">'Raw Data'!K1930</f>
        <v>Laboratory Technician</v>
      </c>
      <c r="E1930" s="2" t="n">
        <f aca="false">'Raw Data'!Q1930</f>
        <v>21</v>
      </c>
      <c r="F1930" s="2" t="n">
        <f aca="false">'Raw Data'!U1930</f>
        <v>11</v>
      </c>
      <c r="G1930" s="2" t="n">
        <f aca="false">'Raw Data'!W1930</f>
        <v>3</v>
      </c>
      <c r="H1930" s="2" t="n">
        <f aca="false">'Raw Data'!V1930</f>
        <v>1</v>
      </c>
      <c r="I1930" s="2" t="n">
        <f aca="false">IF(AND(ISNUMBER(B1930),B1930&lt;=25),2,0)+IF(AND(ISNUMBER(E1930),E1930&lt;=5),2,0)+IF(AND(ISNUMBER(F1930),F1930&lt;=1),2,0)+IF(AND(ISNUMBER(G1930),G1930&lt;=2),1,0)+IF(AND(ISNUMBER(H1930),H1930&lt;=2),1,0)</f>
        <v>1</v>
      </c>
      <c r="J1930" s="2" t="str">
        <f aca="false">IF(I1930&gt;=6,"High",IF(I1930&gt;=3,"Medium","Low"))</f>
        <v>Low</v>
      </c>
    </row>
    <row r="1931" customFormat="false" ht="15" hidden="false" customHeight="true" outlineLevel="0" collapsed="false">
      <c r="A1931" s="2" t="n">
        <f aca="false">'Raw Data'!H1931</f>
        <v>1930</v>
      </c>
      <c r="B1931" s="2" t="n">
        <f aca="false">'Raw Data'!A1931</f>
        <v>27</v>
      </c>
      <c r="C1931" s="2" t="str">
        <f aca="false">'Raw Data'!D1931</f>
        <v>Research &amp; Development</v>
      </c>
      <c r="D1931" s="2" t="str">
        <f aca="false">'Raw Data'!K1931</f>
        <v>Manufacturing Director</v>
      </c>
      <c r="E1931" s="2" t="n">
        <f aca="false">'Raw Data'!Q1931</f>
        <v>4</v>
      </c>
      <c r="F1931" s="2" t="n">
        <f aca="false">'Raw Data'!U1931</f>
        <v>2</v>
      </c>
      <c r="G1931" s="2" t="n">
        <f aca="false">'Raw Data'!W1931</f>
        <v>2</v>
      </c>
      <c r="H1931" s="2" t="n">
        <f aca="false">'Raw Data'!V1931</f>
        <v>3</v>
      </c>
      <c r="I1931" s="2" t="n">
        <f aca="false">IF(AND(ISNUMBER(B1931),B1931&lt;=25),2,0)+IF(AND(ISNUMBER(E1931),E1931&lt;=5),2,0)+IF(AND(ISNUMBER(F1931),F1931&lt;=1),2,0)+IF(AND(ISNUMBER(G1931),G1931&lt;=2),1,0)+IF(AND(ISNUMBER(H1931),H1931&lt;=2),1,0)</f>
        <v>3</v>
      </c>
      <c r="J1931" s="2" t="str">
        <f aca="false">IF(I1931&gt;=6,"High",IF(I1931&gt;=3,"Medium","Low"))</f>
        <v>Medium</v>
      </c>
    </row>
    <row r="1932" customFormat="false" ht="15" hidden="false" customHeight="true" outlineLevel="0" collapsed="false">
      <c r="A1932" s="2" t="n">
        <f aca="false">'Raw Data'!H1932</f>
        <v>1931</v>
      </c>
      <c r="B1932" s="2" t="n">
        <f aca="false">'Raw Data'!A1932</f>
        <v>45</v>
      </c>
      <c r="C1932" s="2" t="str">
        <f aca="false">'Raw Data'!D1932</f>
        <v>Sales</v>
      </c>
      <c r="D1932" s="2" t="str">
        <f aca="false">'Raw Data'!K1932</f>
        <v>Sales Executive</v>
      </c>
      <c r="E1932" s="2" t="n">
        <f aca="false">'Raw Data'!Q1932</f>
        <v>9</v>
      </c>
      <c r="F1932" s="2" t="n">
        <f aca="false">'Raw Data'!U1932</f>
        <v>8</v>
      </c>
      <c r="G1932" s="2" t="n">
        <f aca="false">'Raw Data'!W1932</f>
        <v>1</v>
      </c>
      <c r="H1932" s="2" t="n">
        <f aca="false">'Raw Data'!V1932</f>
        <v>4</v>
      </c>
      <c r="I1932" s="2" t="n">
        <f aca="false">IF(AND(ISNUMBER(B1932),B1932&lt;=25),2,0)+IF(AND(ISNUMBER(E1932),E1932&lt;=5),2,0)+IF(AND(ISNUMBER(F1932),F1932&lt;=1),2,0)+IF(AND(ISNUMBER(G1932),G1932&lt;=2),1,0)+IF(AND(ISNUMBER(H1932),H1932&lt;=2),1,0)</f>
        <v>1</v>
      </c>
      <c r="J1932" s="2" t="str">
        <f aca="false">IF(I1932&gt;=6,"High",IF(I1932&gt;=3,"Medium","Low"))</f>
        <v>Low</v>
      </c>
    </row>
    <row r="1933" customFormat="false" ht="15" hidden="false" customHeight="true" outlineLevel="0" collapsed="false">
      <c r="A1933" s="2" t="n">
        <f aca="false">'Raw Data'!H1933</f>
        <v>1932</v>
      </c>
      <c r="B1933" s="2" t="n">
        <f aca="false">'Raw Data'!A1933</f>
        <v>47</v>
      </c>
      <c r="C1933" s="2" t="str">
        <f aca="false">'Raw Data'!D1933</f>
        <v>Sales</v>
      </c>
      <c r="D1933" s="2" t="str">
        <f aca="false">'Raw Data'!K1933</f>
        <v>Research Scientist</v>
      </c>
      <c r="E1933" s="2" t="n">
        <f aca="false">'Raw Data'!Q1933</f>
        <v>9</v>
      </c>
      <c r="F1933" s="2" t="n">
        <f aca="false">'Raw Data'!U1933</f>
        <v>7</v>
      </c>
      <c r="G1933" s="2" t="n">
        <f aca="false">'Raw Data'!W1933</f>
        <v>4</v>
      </c>
      <c r="H1933" s="2" t="n">
        <f aca="false">'Raw Data'!V1933</f>
        <v>4</v>
      </c>
      <c r="I1933" s="2" t="n">
        <f aca="false">IF(AND(ISNUMBER(B1933),B1933&lt;=25),2,0)+IF(AND(ISNUMBER(E1933),E1933&lt;=5),2,0)+IF(AND(ISNUMBER(F1933),F1933&lt;=1),2,0)+IF(AND(ISNUMBER(G1933),G1933&lt;=2),1,0)+IF(AND(ISNUMBER(H1933),H1933&lt;=2),1,0)</f>
        <v>0</v>
      </c>
      <c r="J1933" s="2" t="str">
        <f aca="false">IF(I1933&gt;=6,"High",IF(I1933&gt;=3,"Medium","Low"))</f>
        <v>Low</v>
      </c>
    </row>
    <row r="1934" customFormat="false" ht="15" hidden="false" customHeight="true" outlineLevel="0" collapsed="false">
      <c r="A1934" s="2" t="n">
        <f aca="false">'Raw Data'!H1934</f>
        <v>1933</v>
      </c>
      <c r="B1934" s="2" t="n">
        <f aca="false">'Raw Data'!A1934</f>
        <v>30</v>
      </c>
      <c r="C1934" s="2" t="str">
        <f aca="false">'Raw Data'!D1934</f>
        <v>Sales</v>
      </c>
      <c r="D1934" s="2" t="str">
        <f aca="false">'Raw Data'!K1934</f>
        <v>Healthcare Representative</v>
      </c>
      <c r="E1934" s="2" t="n">
        <f aca="false">'Raw Data'!Q1934</f>
        <v>7</v>
      </c>
      <c r="F1934" s="2" t="n">
        <f aca="false">'Raw Data'!U1934</f>
        <v>1</v>
      </c>
      <c r="G1934" s="2" t="n">
        <f aca="false">'Raw Data'!W1934</f>
        <v>3</v>
      </c>
      <c r="H1934" s="2" t="n">
        <f aca="false">'Raw Data'!V1934</f>
        <v>1</v>
      </c>
      <c r="I1934" s="2" t="n">
        <f aca="false">IF(AND(ISNUMBER(B1934),B1934&lt;=25),2,0)+IF(AND(ISNUMBER(E1934),E1934&lt;=5),2,0)+IF(AND(ISNUMBER(F1934),F1934&lt;=1),2,0)+IF(AND(ISNUMBER(G1934),G1934&lt;=2),1,0)+IF(AND(ISNUMBER(H1934),H1934&lt;=2),1,0)</f>
        <v>3</v>
      </c>
      <c r="J1934" s="2" t="str">
        <f aca="false">IF(I1934&gt;=6,"High",IF(I1934&gt;=3,"Medium","Low"))</f>
        <v>Medium</v>
      </c>
    </row>
    <row r="1935" customFormat="false" ht="15" hidden="false" customHeight="true" outlineLevel="0" collapsed="false">
      <c r="A1935" s="2" t="n">
        <f aca="false">'Raw Data'!H1935</f>
        <v>1934</v>
      </c>
      <c r="B1935" s="2" t="n">
        <f aca="false">'Raw Data'!A1935</f>
        <v>50</v>
      </c>
      <c r="C1935" s="2" t="str">
        <f aca="false">'Raw Data'!D1935</f>
        <v>Research &amp; Development</v>
      </c>
      <c r="D1935" s="2" t="str">
        <f aca="false">'Raw Data'!K1935</f>
        <v>Sales Executive</v>
      </c>
      <c r="E1935" s="2" t="n">
        <f aca="false">'Raw Data'!Q1935</f>
        <v>22</v>
      </c>
      <c r="F1935" s="2" t="n">
        <f aca="false">'Raw Data'!U1935</f>
        <v>5</v>
      </c>
      <c r="G1935" s="2" t="n">
        <f aca="false">'Raw Data'!W1935</f>
        <v>3</v>
      </c>
      <c r="H1935" s="2" t="n">
        <f aca="false">'Raw Data'!V1935</f>
        <v>4</v>
      </c>
      <c r="I1935" s="2" t="n">
        <f aca="false">IF(AND(ISNUMBER(B1935),B1935&lt;=25),2,0)+IF(AND(ISNUMBER(E1935),E1935&lt;=5),2,0)+IF(AND(ISNUMBER(F1935),F1935&lt;=1),2,0)+IF(AND(ISNUMBER(G1935),G1935&lt;=2),1,0)+IF(AND(ISNUMBER(H1935),H1935&lt;=2),1,0)</f>
        <v>0</v>
      </c>
      <c r="J1935" s="2" t="str">
        <f aca="false">IF(I1935&gt;=6,"High",IF(I1935&gt;=3,"Medium","Low"))</f>
        <v>Low</v>
      </c>
    </row>
    <row r="1936" customFormat="false" ht="15" hidden="false" customHeight="true" outlineLevel="0" collapsed="false">
      <c r="A1936" s="2" t="n">
        <f aca="false">'Raw Data'!H1936</f>
        <v>1935</v>
      </c>
      <c r="B1936" s="2" t="n">
        <f aca="false">'Raw Data'!A1936</f>
        <v>38</v>
      </c>
      <c r="C1936" s="2" t="str">
        <f aca="false">'Raw Data'!D1936</f>
        <v>Research &amp; Development</v>
      </c>
      <c r="D1936" s="2" t="str">
        <f aca="false">'Raw Data'!K1936</f>
        <v>Manufacturing Director</v>
      </c>
      <c r="E1936" s="2" t="n">
        <f aca="false">'Raw Data'!Q1936</f>
        <v>3</v>
      </c>
      <c r="F1936" s="2" t="n">
        <f aca="false">'Raw Data'!U1936</f>
        <v>2</v>
      </c>
      <c r="G1936" s="2" t="n">
        <f aca="false">'Raw Data'!W1936</f>
        <v>3</v>
      </c>
      <c r="H1936" s="2" t="n">
        <f aca="false">'Raw Data'!V1936</f>
        <v>3</v>
      </c>
      <c r="I1936" s="2" t="n">
        <f aca="false">IF(AND(ISNUMBER(B1936),B1936&lt;=25),2,0)+IF(AND(ISNUMBER(E1936),E1936&lt;=5),2,0)+IF(AND(ISNUMBER(F1936),F1936&lt;=1),2,0)+IF(AND(ISNUMBER(G1936),G1936&lt;=2),1,0)+IF(AND(ISNUMBER(H1936),H1936&lt;=2),1,0)</f>
        <v>2</v>
      </c>
      <c r="J1936" s="2" t="str">
        <f aca="false">IF(I1936&gt;=6,"High",IF(I1936&gt;=3,"Medium","Low"))</f>
        <v>Low</v>
      </c>
    </row>
    <row r="1937" customFormat="false" ht="15" hidden="false" customHeight="true" outlineLevel="0" collapsed="false">
      <c r="A1937" s="2" t="n">
        <f aca="false">'Raw Data'!H1937</f>
        <v>1936</v>
      </c>
      <c r="B1937" s="2" t="n">
        <f aca="false">'Raw Data'!A1937</f>
        <v>46</v>
      </c>
      <c r="C1937" s="2" t="str">
        <f aca="false">'Raw Data'!D1937</f>
        <v>Research &amp; Development</v>
      </c>
      <c r="D1937" s="2" t="str">
        <f aca="false">'Raw Data'!K1937</f>
        <v>Human Resources</v>
      </c>
      <c r="E1937" s="2" t="n">
        <f aca="false">'Raw Data'!Q1937</f>
        <v>13</v>
      </c>
      <c r="F1937" s="2" t="n">
        <f aca="false">'Raw Data'!U1937</f>
        <v>7</v>
      </c>
      <c r="G1937" s="2" t="n">
        <f aca="false">'Raw Data'!W1937</f>
        <v>3</v>
      </c>
      <c r="H1937" s="2" t="n">
        <f aca="false">'Raw Data'!V1937</f>
        <v>4</v>
      </c>
      <c r="I1937" s="2" t="n">
        <f aca="false">IF(AND(ISNUMBER(B1937),B1937&lt;=25),2,0)+IF(AND(ISNUMBER(E1937),E1937&lt;=5),2,0)+IF(AND(ISNUMBER(F1937),F1937&lt;=1),2,0)+IF(AND(ISNUMBER(G1937),G1937&lt;=2),1,0)+IF(AND(ISNUMBER(H1937),H1937&lt;=2),1,0)</f>
        <v>0</v>
      </c>
      <c r="J1937" s="2" t="str">
        <f aca="false">IF(I1937&gt;=6,"High",IF(I1937&gt;=3,"Medium","Low"))</f>
        <v>Low</v>
      </c>
    </row>
    <row r="1938" customFormat="false" ht="15" hidden="false" customHeight="true" outlineLevel="0" collapsed="false">
      <c r="A1938" s="2" t="n">
        <f aca="false">'Raw Data'!H1938</f>
        <v>1937</v>
      </c>
      <c r="B1938" s="2" t="n">
        <f aca="false">'Raw Data'!A1938</f>
        <v>24</v>
      </c>
      <c r="C1938" s="2" t="str">
        <f aca="false">'Raw Data'!D1938</f>
        <v>Sales</v>
      </c>
      <c r="D1938" s="2" t="str">
        <f aca="false">'Raw Data'!K1938</f>
        <v>Healthcare Representative</v>
      </c>
      <c r="E1938" s="2" t="n">
        <f aca="false">'Raw Data'!Q1938</f>
        <v>5</v>
      </c>
      <c r="F1938" s="2" t="n">
        <f aca="false">'Raw Data'!U1938</f>
        <v>2</v>
      </c>
      <c r="G1938" s="2" t="n">
        <f aca="false">'Raw Data'!W1938</f>
        <v>3</v>
      </c>
      <c r="H1938" s="2" t="n">
        <f aca="false">'Raw Data'!V1938</f>
        <v>4</v>
      </c>
      <c r="I1938" s="2" t="n">
        <f aca="false">IF(AND(ISNUMBER(B1938),B1938&lt;=25),2,0)+IF(AND(ISNUMBER(E1938),E1938&lt;=5),2,0)+IF(AND(ISNUMBER(F1938),F1938&lt;=1),2,0)+IF(AND(ISNUMBER(G1938),G1938&lt;=2),1,0)+IF(AND(ISNUMBER(H1938),H1938&lt;=2),1,0)</f>
        <v>4</v>
      </c>
      <c r="J1938" s="2" t="str">
        <f aca="false">IF(I1938&gt;=6,"High",IF(I1938&gt;=3,"Medium","Low"))</f>
        <v>Medium</v>
      </c>
    </row>
    <row r="1939" customFormat="false" ht="15" hidden="false" customHeight="true" outlineLevel="0" collapsed="false">
      <c r="A1939" s="2" t="n">
        <f aca="false">'Raw Data'!H1939</f>
        <v>1938</v>
      </c>
      <c r="B1939" s="2" t="n">
        <f aca="false">'Raw Data'!A1939</f>
        <v>35</v>
      </c>
      <c r="C1939" s="2" t="str">
        <f aca="false">'Raw Data'!D1939</f>
        <v>Sales</v>
      </c>
      <c r="D1939" s="2" t="str">
        <f aca="false">'Raw Data'!K1939</f>
        <v>Healthcare Representative</v>
      </c>
      <c r="E1939" s="2" t="n">
        <f aca="false">'Raw Data'!Q1939</f>
        <v>5</v>
      </c>
      <c r="F1939" s="2" t="n">
        <f aca="false">'Raw Data'!U1939</f>
        <v>2</v>
      </c>
      <c r="G1939" s="2" t="n">
        <f aca="false">'Raw Data'!W1939</f>
        <v>2</v>
      </c>
      <c r="H1939" s="2" t="n">
        <f aca="false">'Raw Data'!V1939</f>
        <v>3</v>
      </c>
      <c r="I1939" s="2" t="n">
        <f aca="false">IF(AND(ISNUMBER(B1939),B1939&lt;=25),2,0)+IF(AND(ISNUMBER(E1939),E1939&lt;=5),2,0)+IF(AND(ISNUMBER(F1939),F1939&lt;=1),2,0)+IF(AND(ISNUMBER(G1939),G1939&lt;=2),1,0)+IF(AND(ISNUMBER(H1939),H1939&lt;=2),1,0)</f>
        <v>3</v>
      </c>
      <c r="J1939" s="2" t="str">
        <f aca="false">IF(I1939&gt;=6,"High",IF(I1939&gt;=3,"Medium","Low"))</f>
        <v>Medium</v>
      </c>
    </row>
    <row r="1940" customFormat="false" ht="15" hidden="false" customHeight="true" outlineLevel="0" collapsed="false">
      <c r="A1940" s="2" t="n">
        <f aca="false">'Raw Data'!H1940</f>
        <v>1939</v>
      </c>
      <c r="B1940" s="2" t="n">
        <f aca="false">'Raw Data'!A1940</f>
        <v>31</v>
      </c>
      <c r="C1940" s="2" t="str">
        <f aca="false">'Raw Data'!D1940</f>
        <v>Research &amp; Development</v>
      </c>
      <c r="D1940" s="2" t="str">
        <f aca="false">'Raw Data'!K1940</f>
        <v>Sales Executive</v>
      </c>
      <c r="E1940" s="2" t="n">
        <f aca="false">'Raw Data'!Q1940</f>
        <v>4</v>
      </c>
      <c r="F1940" s="2" t="n">
        <f aca="false">'Raw Data'!U1940</f>
        <v>3</v>
      </c>
      <c r="G1940" s="2" t="n">
        <f aca="false">'Raw Data'!W1940</f>
        <v>1</v>
      </c>
      <c r="H1940" s="2" t="n">
        <f aca="false">'Raw Data'!V1940</f>
        <v>3</v>
      </c>
      <c r="I1940" s="2" t="n">
        <f aca="false">IF(AND(ISNUMBER(B1940),B1940&lt;=25),2,0)+IF(AND(ISNUMBER(E1940),E1940&lt;=5),2,0)+IF(AND(ISNUMBER(F1940),F1940&lt;=1),2,0)+IF(AND(ISNUMBER(G1940),G1940&lt;=2),1,0)+IF(AND(ISNUMBER(H1940),H1940&lt;=2),1,0)</f>
        <v>3</v>
      </c>
      <c r="J1940" s="2" t="str">
        <f aca="false">IF(I1940&gt;=6,"High",IF(I1940&gt;=3,"Medium","Low"))</f>
        <v>Medium</v>
      </c>
    </row>
    <row r="1941" customFormat="false" ht="15" hidden="false" customHeight="true" outlineLevel="0" collapsed="false">
      <c r="A1941" s="2" t="n">
        <f aca="false">'Raw Data'!H1941</f>
        <v>1940</v>
      </c>
      <c r="B1941" s="2" t="n">
        <f aca="false">'Raw Data'!A1941</f>
        <v>18</v>
      </c>
      <c r="C1941" s="2" t="str">
        <f aca="false">'Raw Data'!D1941</f>
        <v>Sales</v>
      </c>
      <c r="D1941" s="2" t="str">
        <f aca="false">'Raw Data'!K1941</f>
        <v>Manager</v>
      </c>
      <c r="E1941" s="2" t="n">
        <f aca="false">'Raw Data'!Q1941</f>
        <v>0</v>
      </c>
      <c r="F1941" s="2" t="n">
        <f aca="false">'Raw Data'!U1941</f>
        <v>0</v>
      </c>
      <c r="G1941" s="2" t="n">
        <f aca="false">'Raw Data'!W1941</f>
        <v>4</v>
      </c>
      <c r="H1941" s="2" t="n">
        <f aca="false">'Raw Data'!V1941</f>
        <v>2</v>
      </c>
      <c r="I1941" s="2" t="n">
        <f aca="false">IF(AND(ISNUMBER(B1941),B1941&lt;=25),2,0)+IF(AND(ISNUMBER(E1941),E1941&lt;=5),2,0)+IF(AND(ISNUMBER(F1941),F1941&lt;=1),2,0)+IF(AND(ISNUMBER(G1941),G1941&lt;=2),1,0)+IF(AND(ISNUMBER(H1941),H1941&lt;=2),1,0)</f>
        <v>7</v>
      </c>
      <c r="J1941" s="2" t="str">
        <f aca="false">IF(I1941&gt;=6,"High",IF(I1941&gt;=3,"Medium","Low"))</f>
        <v>High</v>
      </c>
    </row>
    <row r="1942" customFormat="false" ht="15" hidden="false" customHeight="true" outlineLevel="0" collapsed="false">
      <c r="A1942" s="2" t="n">
        <f aca="false">'Raw Data'!H1942</f>
        <v>1941</v>
      </c>
      <c r="B1942" s="2" t="n">
        <f aca="false">'Raw Data'!A1942</f>
        <v>54</v>
      </c>
      <c r="C1942" s="2" t="str">
        <f aca="false">'Raw Data'!D1942</f>
        <v>Sales</v>
      </c>
      <c r="D1942" s="2" t="str">
        <f aca="false">'Raw Data'!K1942</f>
        <v>Laboratory Technician</v>
      </c>
      <c r="E1942" s="2" t="n">
        <f aca="false">'Raw Data'!Q1942</f>
        <v>22</v>
      </c>
      <c r="F1942" s="2" t="n">
        <f aca="false">'Raw Data'!U1942</f>
        <v>8</v>
      </c>
      <c r="G1942" s="2" t="n">
        <f aca="false">'Raw Data'!W1942</f>
        <v>3</v>
      </c>
      <c r="H1942" s="2" t="n">
        <f aca="false">'Raw Data'!V1942</f>
        <v>3</v>
      </c>
      <c r="I1942" s="2" t="n">
        <f aca="false">IF(AND(ISNUMBER(B1942),B1942&lt;=25),2,0)+IF(AND(ISNUMBER(E1942),E1942&lt;=5),2,0)+IF(AND(ISNUMBER(F1942),F1942&lt;=1),2,0)+IF(AND(ISNUMBER(G1942),G1942&lt;=2),1,0)+IF(AND(ISNUMBER(H1942),H1942&lt;=2),1,0)</f>
        <v>0</v>
      </c>
      <c r="J1942" s="2" t="str">
        <f aca="false">IF(I1942&gt;=6,"High",IF(I1942&gt;=3,"Medium","Low"))</f>
        <v>Low</v>
      </c>
    </row>
    <row r="1943" customFormat="false" ht="15" hidden="false" customHeight="true" outlineLevel="0" collapsed="false">
      <c r="A1943" s="2" t="n">
        <f aca="false">'Raw Data'!H1943</f>
        <v>1942</v>
      </c>
      <c r="B1943" s="2" t="n">
        <f aca="false">'Raw Data'!A1943</f>
        <v>35</v>
      </c>
      <c r="C1943" s="2" t="str">
        <f aca="false">'Raw Data'!D1943</f>
        <v>Research &amp; Development</v>
      </c>
      <c r="D1943" s="2" t="str">
        <f aca="false">'Raw Data'!K1943</f>
        <v>Manufacturing Director</v>
      </c>
      <c r="E1943" s="2" t="n">
        <f aca="false">'Raw Data'!Q1943</f>
        <v>16</v>
      </c>
      <c r="F1943" s="2" t="n">
        <f aca="false">'Raw Data'!U1943</f>
        <v>1</v>
      </c>
      <c r="G1943" s="2" t="n">
        <f aca="false">'Raw Data'!W1943</f>
        <v>3</v>
      </c>
      <c r="H1943" s="2" t="n">
        <f aca="false">'Raw Data'!V1943</f>
        <v>3</v>
      </c>
      <c r="I1943" s="2" t="n">
        <f aca="false">IF(AND(ISNUMBER(B1943),B1943&lt;=25),2,0)+IF(AND(ISNUMBER(E1943),E1943&lt;=5),2,0)+IF(AND(ISNUMBER(F1943),F1943&lt;=1),2,0)+IF(AND(ISNUMBER(G1943),G1943&lt;=2),1,0)+IF(AND(ISNUMBER(H1943),H1943&lt;=2),1,0)</f>
        <v>2</v>
      </c>
      <c r="J1943" s="2" t="str">
        <f aca="false">IF(I1943&gt;=6,"High",IF(I1943&gt;=3,"Medium","Low"))</f>
        <v>Low</v>
      </c>
    </row>
    <row r="1944" customFormat="false" ht="15" hidden="false" customHeight="true" outlineLevel="0" collapsed="false">
      <c r="A1944" s="2" t="n">
        <f aca="false">'Raw Data'!H1944</f>
        <v>1943</v>
      </c>
      <c r="B1944" s="2" t="n">
        <f aca="false">'Raw Data'!A1944</f>
        <v>30</v>
      </c>
      <c r="C1944" s="2" t="str">
        <f aca="false">'Raw Data'!D1944</f>
        <v>Research &amp; Development</v>
      </c>
      <c r="D1944" s="2" t="str">
        <f aca="false">'Raw Data'!K1944</f>
        <v>Healthcare Representative</v>
      </c>
      <c r="E1944" s="2" t="n">
        <f aca="false">'Raw Data'!Q1944</f>
        <v>9</v>
      </c>
      <c r="F1944" s="2" t="n">
        <f aca="false">'Raw Data'!U1944</f>
        <v>7</v>
      </c>
      <c r="G1944" s="2" t="n">
        <f aca="false">'Raw Data'!W1944</f>
        <v>1</v>
      </c>
      <c r="H1944" s="2" t="n">
        <f aca="false">'Raw Data'!V1944</f>
        <v>2</v>
      </c>
      <c r="I1944" s="2" t="n">
        <f aca="false">IF(AND(ISNUMBER(B1944),B1944&lt;=25),2,0)+IF(AND(ISNUMBER(E1944),E1944&lt;=5),2,0)+IF(AND(ISNUMBER(F1944),F1944&lt;=1),2,0)+IF(AND(ISNUMBER(G1944),G1944&lt;=2),1,0)+IF(AND(ISNUMBER(H1944),H1944&lt;=2),1,0)</f>
        <v>2</v>
      </c>
      <c r="J1944" s="2" t="str">
        <f aca="false">IF(I1944&gt;=6,"High",IF(I1944&gt;=3,"Medium","Low"))</f>
        <v>Low</v>
      </c>
    </row>
    <row r="1945" customFormat="false" ht="15" hidden="false" customHeight="true" outlineLevel="0" collapsed="false">
      <c r="A1945" s="2" t="n">
        <f aca="false">'Raw Data'!H1945</f>
        <v>1944</v>
      </c>
      <c r="B1945" s="2" t="n">
        <f aca="false">'Raw Data'!A1945</f>
        <v>20</v>
      </c>
      <c r="C1945" s="2" t="str">
        <f aca="false">'Raw Data'!D1945</f>
        <v>Research &amp; Development</v>
      </c>
      <c r="D1945" s="2" t="str">
        <f aca="false">'Raw Data'!K1945</f>
        <v>Research Scientist</v>
      </c>
      <c r="E1945" s="2" t="n">
        <f aca="false">'Raw Data'!Q1945</f>
        <v>1</v>
      </c>
      <c r="F1945" s="2" t="n">
        <f aca="false">'Raw Data'!U1945</f>
        <v>0</v>
      </c>
      <c r="G1945" s="2" t="n">
        <f aca="false">'Raw Data'!W1945</f>
        <v>1</v>
      </c>
      <c r="H1945" s="2" t="n">
        <f aca="false">'Raw Data'!V1945</f>
        <v>4</v>
      </c>
      <c r="I1945" s="2" t="n">
        <f aca="false">IF(AND(ISNUMBER(B1945),B1945&lt;=25),2,0)+IF(AND(ISNUMBER(E1945),E1945&lt;=5),2,0)+IF(AND(ISNUMBER(F1945),F1945&lt;=1),2,0)+IF(AND(ISNUMBER(G1945),G1945&lt;=2),1,0)+IF(AND(ISNUMBER(H1945),H1945&lt;=2),1,0)</f>
        <v>7</v>
      </c>
      <c r="J1945" s="2" t="str">
        <f aca="false">IF(I1945&gt;=6,"High",IF(I1945&gt;=3,"Medium","Low"))</f>
        <v>High</v>
      </c>
    </row>
    <row r="1946" customFormat="false" ht="15" hidden="false" customHeight="true" outlineLevel="0" collapsed="false">
      <c r="A1946" s="2" t="n">
        <f aca="false">'Raw Data'!H1946</f>
        <v>1945</v>
      </c>
      <c r="B1946" s="2" t="n">
        <f aca="false">'Raw Data'!A1946</f>
        <v>30</v>
      </c>
      <c r="C1946" s="2" t="str">
        <f aca="false">'Raw Data'!D1946</f>
        <v>Research &amp; Development</v>
      </c>
      <c r="D1946" s="2" t="str">
        <f aca="false">'Raw Data'!K1946</f>
        <v>Sales Executive</v>
      </c>
      <c r="E1946" s="2" t="n">
        <f aca="false">'Raw Data'!Q1946</f>
        <v>4</v>
      </c>
      <c r="F1946" s="2" t="n">
        <f aca="false">'Raw Data'!U1946</f>
        <v>2</v>
      </c>
      <c r="G1946" s="2" t="n">
        <f aca="false">'Raw Data'!W1946</f>
        <v>2</v>
      </c>
      <c r="H1946" s="2" t="n">
        <f aca="false">'Raw Data'!V1946</f>
        <v>2</v>
      </c>
      <c r="I1946" s="2" t="n">
        <f aca="false">IF(AND(ISNUMBER(B1946),B1946&lt;=25),2,0)+IF(AND(ISNUMBER(E1946),E1946&lt;=5),2,0)+IF(AND(ISNUMBER(F1946),F1946&lt;=1),2,0)+IF(AND(ISNUMBER(G1946),G1946&lt;=2),1,0)+IF(AND(ISNUMBER(H1946),H1946&lt;=2),1,0)</f>
        <v>4</v>
      </c>
      <c r="J1946" s="2" t="str">
        <f aca="false">IF(I1946&gt;=6,"High",IF(I1946&gt;=3,"Medium","Low"))</f>
        <v>Medium</v>
      </c>
    </row>
    <row r="1947" customFormat="false" ht="15" hidden="false" customHeight="true" outlineLevel="0" collapsed="false">
      <c r="A1947" s="2" t="n">
        <f aca="false">'Raw Data'!H1947</f>
        <v>1946</v>
      </c>
      <c r="B1947" s="2" t="n">
        <f aca="false">'Raw Data'!A1947</f>
        <v>26</v>
      </c>
      <c r="C1947" s="2" t="str">
        <f aca="false">'Raw Data'!D1947</f>
        <v>Sales</v>
      </c>
      <c r="D1947" s="2" t="str">
        <f aca="false">'Raw Data'!K1947</f>
        <v>Research Scientist</v>
      </c>
      <c r="E1947" s="2" t="n">
        <f aca="false">'Raw Data'!Q1947</f>
        <v>8</v>
      </c>
      <c r="F1947" s="2" t="n">
        <f aca="false">'Raw Data'!U1947</f>
        <v>3</v>
      </c>
      <c r="G1947" s="2" t="n">
        <f aca="false">'Raw Data'!W1947</f>
        <v>4</v>
      </c>
      <c r="H1947" s="2" t="n">
        <f aca="false">'Raw Data'!V1947</f>
        <v>4</v>
      </c>
      <c r="I1947" s="2" t="n">
        <f aca="false">IF(AND(ISNUMBER(B1947),B1947&lt;=25),2,0)+IF(AND(ISNUMBER(E1947),E1947&lt;=5),2,0)+IF(AND(ISNUMBER(F1947),F1947&lt;=1),2,0)+IF(AND(ISNUMBER(G1947),G1947&lt;=2),1,0)+IF(AND(ISNUMBER(H1947),H1947&lt;=2),1,0)</f>
        <v>0</v>
      </c>
      <c r="J1947" s="2" t="str">
        <f aca="false">IF(I1947&gt;=6,"High",IF(I1947&gt;=3,"Medium","Low"))</f>
        <v>Low</v>
      </c>
    </row>
    <row r="1948" customFormat="false" ht="15" hidden="false" customHeight="true" outlineLevel="0" collapsed="false">
      <c r="A1948" s="2" t="n">
        <f aca="false">'Raw Data'!H1948</f>
        <v>1947</v>
      </c>
      <c r="B1948" s="2" t="n">
        <f aca="false">'Raw Data'!A1948</f>
        <v>22</v>
      </c>
      <c r="C1948" s="2" t="str">
        <f aca="false">'Raw Data'!D1948</f>
        <v>Research &amp; Development</v>
      </c>
      <c r="D1948" s="2" t="str">
        <f aca="false">'Raw Data'!K1948</f>
        <v>Sales Representative</v>
      </c>
      <c r="E1948" s="2" t="n">
        <f aca="false">'Raw Data'!Q1948</f>
        <v>4</v>
      </c>
      <c r="F1948" s="2" t="n">
        <f aca="false">'Raw Data'!U1948</f>
        <v>1</v>
      </c>
      <c r="G1948" s="2" t="n">
        <f aca="false">'Raw Data'!W1948</f>
        <v>1</v>
      </c>
      <c r="H1948" s="2" t="n">
        <f aca="false">'Raw Data'!V1948</f>
        <v>2</v>
      </c>
      <c r="I1948" s="2" t="n">
        <f aca="false">IF(AND(ISNUMBER(B1948),B1948&lt;=25),2,0)+IF(AND(ISNUMBER(E1948),E1948&lt;=5),2,0)+IF(AND(ISNUMBER(F1948),F1948&lt;=1),2,0)+IF(AND(ISNUMBER(G1948),G1948&lt;=2),1,0)+IF(AND(ISNUMBER(H1948),H1948&lt;=2),1,0)</f>
        <v>8</v>
      </c>
      <c r="J1948" s="2" t="str">
        <f aca="false">IF(I1948&gt;=6,"High",IF(I1948&gt;=3,"Medium","Low"))</f>
        <v>High</v>
      </c>
    </row>
    <row r="1949" customFormat="false" ht="15" hidden="false" customHeight="true" outlineLevel="0" collapsed="false">
      <c r="A1949" s="2" t="n">
        <f aca="false">'Raw Data'!H1949</f>
        <v>1948</v>
      </c>
      <c r="B1949" s="2" t="n">
        <f aca="false">'Raw Data'!A1949</f>
        <v>48</v>
      </c>
      <c r="C1949" s="2" t="str">
        <f aca="false">'Raw Data'!D1949</f>
        <v>Human Resources</v>
      </c>
      <c r="D1949" s="2" t="str">
        <f aca="false">'Raw Data'!K1949</f>
        <v>Sales Executive</v>
      </c>
      <c r="E1949" s="2" t="n">
        <f aca="false">'Raw Data'!Q1949</f>
        <v>19</v>
      </c>
      <c r="F1949" s="2" t="n">
        <f aca="false">'Raw Data'!U1949</f>
        <v>2</v>
      </c>
      <c r="G1949" s="2" t="n">
        <f aca="false">'Raw Data'!W1949</f>
        <v>3</v>
      </c>
      <c r="H1949" s="2" t="n">
        <f aca="false">'Raw Data'!V1949</f>
        <v>1</v>
      </c>
      <c r="I1949" s="2" t="n">
        <f aca="false">IF(AND(ISNUMBER(B1949),B1949&lt;=25),2,0)+IF(AND(ISNUMBER(E1949),E1949&lt;=5),2,0)+IF(AND(ISNUMBER(F1949),F1949&lt;=1),2,0)+IF(AND(ISNUMBER(G1949),G1949&lt;=2),1,0)+IF(AND(ISNUMBER(H1949),H1949&lt;=2),1,0)</f>
        <v>1</v>
      </c>
      <c r="J1949" s="2" t="str">
        <f aca="false">IF(I1949&gt;=6,"High",IF(I1949&gt;=3,"Medium","Low"))</f>
        <v>Low</v>
      </c>
    </row>
    <row r="1950" customFormat="false" ht="15" hidden="false" customHeight="true" outlineLevel="0" collapsed="false">
      <c r="A1950" s="2" t="n">
        <f aca="false">'Raw Data'!H1950</f>
        <v>1949</v>
      </c>
      <c r="B1950" s="2" t="n">
        <f aca="false">'Raw Data'!A1950</f>
        <v>48</v>
      </c>
      <c r="C1950" s="2" t="str">
        <f aca="false">'Raw Data'!D1950</f>
        <v>Sales</v>
      </c>
      <c r="D1950" s="2" t="str">
        <f aca="false">'Raw Data'!K1950</f>
        <v>Research Director</v>
      </c>
      <c r="E1950" s="2" t="n">
        <f aca="false">'Raw Data'!Q1950</f>
        <v>27</v>
      </c>
      <c r="F1950" s="2" t="n">
        <f aca="false">'Raw Data'!U1950</f>
        <v>8</v>
      </c>
      <c r="G1950" s="2" t="n">
        <f aca="false">'Raw Data'!W1950</f>
        <v>3</v>
      </c>
      <c r="H1950" s="2" t="n">
        <f aca="false">'Raw Data'!V1950</f>
        <v>3</v>
      </c>
      <c r="I1950" s="2" t="n">
        <f aca="false">IF(AND(ISNUMBER(B1950),B1950&lt;=25),2,0)+IF(AND(ISNUMBER(E1950),E1950&lt;=5),2,0)+IF(AND(ISNUMBER(F1950),F1950&lt;=1),2,0)+IF(AND(ISNUMBER(G1950),G1950&lt;=2),1,0)+IF(AND(ISNUMBER(H1950),H1950&lt;=2),1,0)</f>
        <v>0</v>
      </c>
      <c r="J1950" s="2" t="str">
        <f aca="false">IF(I1950&gt;=6,"High",IF(I1950&gt;=3,"Medium","Low"))</f>
        <v>Low</v>
      </c>
    </row>
    <row r="1951" customFormat="false" ht="15" hidden="false" customHeight="true" outlineLevel="0" collapsed="false">
      <c r="A1951" s="2" t="n">
        <f aca="false">'Raw Data'!H1951</f>
        <v>1950</v>
      </c>
      <c r="B1951" s="2" t="n">
        <f aca="false">'Raw Data'!A1951</f>
        <v>41</v>
      </c>
      <c r="C1951" s="2" t="str">
        <f aca="false">'Raw Data'!D1951</f>
        <v>Research &amp; Development</v>
      </c>
      <c r="D1951" s="2" t="str">
        <f aca="false">'Raw Data'!K1951</f>
        <v>Research Scientist</v>
      </c>
      <c r="E1951" s="2" t="n">
        <f aca="false">'Raw Data'!Q1951</f>
        <v>8</v>
      </c>
      <c r="F1951" s="2" t="n">
        <f aca="false">'Raw Data'!U1951</f>
        <v>1</v>
      </c>
      <c r="G1951" s="2" t="n">
        <f aca="false">'Raw Data'!W1951</f>
        <v>3</v>
      </c>
      <c r="H1951" s="2" t="n">
        <f aca="false">'Raw Data'!V1951</f>
        <v>4</v>
      </c>
      <c r="I1951" s="2" t="n">
        <f aca="false">IF(AND(ISNUMBER(B1951),B1951&lt;=25),2,0)+IF(AND(ISNUMBER(E1951),E1951&lt;=5),2,0)+IF(AND(ISNUMBER(F1951),F1951&lt;=1),2,0)+IF(AND(ISNUMBER(G1951),G1951&lt;=2),1,0)+IF(AND(ISNUMBER(H1951),H1951&lt;=2),1,0)</f>
        <v>2</v>
      </c>
      <c r="J1951" s="2" t="str">
        <f aca="false">IF(I1951&gt;=6,"High",IF(I1951&gt;=3,"Medium","Low"))</f>
        <v>Low</v>
      </c>
    </row>
    <row r="1952" customFormat="false" ht="15" hidden="false" customHeight="true" outlineLevel="0" collapsed="false">
      <c r="A1952" s="2" t="n">
        <f aca="false">'Raw Data'!H1952</f>
        <v>1951</v>
      </c>
      <c r="B1952" s="2" t="n">
        <f aca="false">'Raw Data'!A1952</f>
        <v>39</v>
      </c>
      <c r="C1952" s="2" t="str">
        <f aca="false">'Raw Data'!D1952</f>
        <v>Sales</v>
      </c>
      <c r="D1952" s="2" t="str">
        <f aca="false">'Raw Data'!K1952</f>
        <v>Human Resources</v>
      </c>
      <c r="E1952" s="2" t="n">
        <f aca="false">'Raw Data'!Q1952</f>
        <v>21</v>
      </c>
      <c r="F1952" s="2" t="n">
        <f aca="false">'Raw Data'!U1952</f>
        <v>8</v>
      </c>
      <c r="G1952" s="2" t="n">
        <f aca="false">'Raw Data'!W1952</f>
        <v>4</v>
      </c>
      <c r="H1952" s="2" t="n">
        <f aca="false">'Raw Data'!V1952</f>
        <v>4</v>
      </c>
      <c r="I1952" s="2" t="n">
        <f aca="false">IF(AND(ISNUMBER(B1952),B1952&lt;=25),2,0)+IF(AND(ISNUMBER(E1952),E1952&lt;=5),2,0)+IF(AND(ISNUMBER(F1952),F1952&lt;=1),2,0)+IF(AND(ISNUMBER(G1952),G1952&lt;=2),1,0)+IF(AND(ISNUMBER(H1952),H1952&lt;=2),1,0)</f>
        <v>0</v>
      </c>
      <c r="J1952" s="2" t="str">
        <f aca="false">IF(I1952&gt;=6,"High",IF(I1952&gt;=3,"Medium","Low"))</f>
        <v>Low</v>
      </c>
    </row>
    <row r="1953" customFormat="false" ht="15" hidden="false" customHeight="true" outlineLevel="0" collapsed="false">
      <c r="A1953" s="2" t="n">
        <f aca="false">'Raw Data'!H1953</f>
        <v>1952</v>
      </c>
      <c r="B1953" s="2" t="n">
        <f aca="false">'Raw Data'!A1953</f>
        <v>27</v>
      </c>
      <c r="C1953" s="2" t="str">
        <f aca="false">'Raw Data'!D1953</f>
        <v>Research &amp; Development</v>
      </c>
      <c r="D1953" s="2" t="str">
        <f aca="false">'Raw Data'!K1953</f>
        <v>Human Resources</v>
      </c>
      <c r="E1953" s="2" t="n">
        <f aca="false">'Raw Data'!Q1953</f>
        <v>4</v>
      </c>
      <c r="F1953" s="2" t="n">
        <f aca="false">'Raw Data'!U1953</f>
        <v>2</v>
      </c>
      <c r="G1953" s="2" t="n">
        <f aca="false">'Raw Data'!W1953</f>
        <v>4</v>
      </c>
      <c r="H1953" s="2" t="n">
        <f aca="false">'Raw Data'!V1953</f>
        <v>1</v>
      </c>
      <c r="I1953" s="2" t="n">
        <f aca="false">IF(AND(ISNUMBER(B1953),B1953&lt;=25),2,0)+IF(AND(ISNUMBER(E1953),E1953&lt;=5),2,0)+IF(AND(ISNUMBER(F1953),F1953&lt;=1),2,0)+IF(AND(ISNUMBER(G1953),G1953&lt;=2),1,0)+IF(AND(ISNUMBER(H1953),H1953&lt;=2),1,0)</f>
        <v>3</v>
      </c>
      <c r="J1953" s="2" t="str">
        <f aca="false">IF(I1953&gt;=6,"High",IF(I1953&gt;=3,"Medium","Low"))</f>
        <v>Medium</v>
      </c>
    </row>
    <row r="1954" customFormat="false" ht="15" hidden="false" customHeight="true" outlineLevel="0" collapsed="false">
      <c r="A1954" s="2" t="n">
        <f aca="false">'Raw Data'!H1954</f>
        <v>1953</v>
      </c>
      <c r="B1954" s="2" t="n">
        <f aca="false">'Raw Data'!A1954</f>
        <v>35</v>
      </c>
      <c r="C1954" s="2" t="str">
        <f aca="false">'Raw Data'!D1954</f>
        <v>Sales</v>
      </c>
      <c r="D1954" s="2" t="str">
        <f aca="false">'Raw Data'!K1954</f>
        <v>Sales Executive</v>
      </c>
      <c r="E1954" s="2" t="n">
        <f aca="false">'Raw Data'!Q1954</f>
        <v>3</v>
      </c>
      <c r="F1954" s="2" t="n">
        <f aca="false">'Raw Data'!U1954</f>
        <v>2</v>
      </c>
      <c r="G1954" s="2" t="n">
        <f aca="false">'Raw Data'!W1954</f>
        <v>4</v>
      </c>
      <c r="H1954" s="2" t="n">
        <f aca="false">'Raw Data'!V1954</f>
        <v>2</v>
      </c>
      <c r="I1954" s="2" t="n">
        <f aca="false">IF(AND(ISNUMBER(B1954),B1954&lt;=25),2,0)+IF(AND(ISNUMBER(E1954),E1954&lt;=5),2,0)+IF(AND(ISNUMBER(F1954),F1954&lt;=1),2,0)+IF(AND(ISNUMBER(G1954),G1954&lt;=2),1,0)+IF(AND(ISNUMBER(H1954),H1954&lt;=2),1,0)</f>
        <v>3</v>
      </c>
      <c r="J1954" s="2" t="str">
        <f aca="false">IF(I1954&gt;=6,"High",IF(I1954&gt;=3,"Medium","Low"))</f>
        <v>Medium</v>
      </c>
    </row>
    <row r="1955" customFormat="false" ht="15" hidden="false" customHeight="true" outlineLevel="0" collapsed="false">
      <c r="A1955" s="2" t="n">
        <f aca="false">'Raw Data'!H1955</f>
        <v>1954</v>
      </c>
      <c r="B1955" s="2" t="n">
        <f aca="false">'Raw Data'!A1955</f>
        <v>42</v>
      </c>
      <c r="C1955" s="2" t="str">
        <f aca="false">'Raw Data'!D1955</f>
        <v>Research &amp; Development</v>
      </c>
      <c r="D1955" s="2" t="str">
        <f aca="false">'Raw Data'!K1955</f>
        <v>Research Scientist</v>
      </c>
      <c r="E1955" s="2" t="n">
        <f aca="false">'Raw Data'!Q1955</f>
        <v>21</v>
      </c>
      <c r="F1955" s="2" t="n">
        <f aca="false">'Raw Data'!U1955</f>
        <v>0</v>
      </c>
      <c r="G1955" s="2" t="n">
        <f aca="false">'Raw Data'!W1955</f>
        <v>3</v>
      </c>
      <c r="H1955" s="2" t="n">
        <f aca="false">'Raw Data'!V1955</f>
        <v>4</v>
      </c>
      <c r="I1955" s="2" t="n">
        <f aca="false">IF(AND(ISNUMBER(B1955),B1955&lt;=25),2,0)+IF(AND(ISNUMBER(E1955),E1955&lt;=5),2,0)+IF(AND(ISNUMBER(F1955),F1955&lt;=1),2,0)+IF(AND(ISNUMBER(G1955),G1955&lt;=2),1,0)+IF(AND(ISNUMBER(H1955),H1955&lt;=2),1,0)</f>
        <v>2</v>
      </c>
      <c r="J1955" s="2" t="str">
        <f aca="false">IF(I1955&gt;=6,"High",IF(I1955&gt;=3,"Medium","Low"))</f>
        <v>Low</v>
      </c>
    </row>
    <row r="1956" customFormat="false" ht="15" hidden="false" customHeight="true" outlineLevel="0" collapsed="false">
      <c r="A1956" s="2" t="n">
        <f aca="false">'Raw Data'!H1956</f>
        <v>1955</v>
      </c>
      <c r="B1956" s="2" t="n">
        <f aca="false">'Raw Data'!A1956</f>
        <v>50</v>
      </c>
      <c r="C1956" s="2" t="str">
        <f aca="false">'Raw Data'!D1956</f>
        <v>Sales</v>
      </c>
      <c r="D1956" s="2" t="str">
        <f aca="false">'Raw Data'!K1956</f>
        <v>Sales Executive</v>
      </c>
      <c r="E1956" s="2" t="n">
        <f aca="false">'Raw Data'!Q1956</f>
        <v>8</v>
      </c>
      <c r="F1956" s="2" t="n">
        <f aca="false">'Raw Data'!U1956</f>
        <v>0</v>
      </c>
      <c r="G1956" s="2" t="n">
        <f aca="false">'Raw Data'!W1956</f>
        <v>4</v>
      </c>
      <c r="H1956" s="2" t="n">
        <f aca="false">'Raw Data'!V1956</f>
        <v>1</v>
      </c>
      <c r="I1956" s="2" t="n">
        <f aca="false">IF(AND(ISNUMBER(B1956),B1956&lt;=25),2,0)+IF(AND(ISNUMBER(E1956),E1956&lt;=5),2,0)+IF(AND(ISNUMBER(F1956),F1956&lt;=1),2,0)+IF(AND(ISNUMBER(G1956),G1956&lt;=2),1,0)+IF(AND(ISNUMBER(H1956),H1956&lt;=2),1,0)</f>
        <v>3</v>
      </c>
      <c r="J1956" s="2" t="str">
        <f aca="false">IF(I1956&gt;=6,"High",IF(I1956&gt;=3,"Medium","Low"))</f>
        <v>Medium</v>
      </c>
    </row>
    <row r="1957" customFormat="false" ht="15" hidden="false" customHeight="true" outlineLevel="0" collapsed="false">
      <c r="A1957" s="2" t="n">
        <f aca="false">'Raw Data'!H1957</f>
        <v>1956</v>
      </c>
      <c r="B1957" s="2" t="n">
        <f aca="false">'Raw Data'!A1957</f>
        <v>59</v>
      </c>
      <c r="C1957" s="2" t="str">
        <f aca="false">'Raw Data'!D1957</f>
        <v>Research &amp; Development</v>
      </c>
      <c r="D1957" s="2" t="str">
        <f aca="false">'Raw Data'!K1957</f>
        <v>Laboratory Technician</v>
      </c>
      <c r="E1957" s="2" t="n">
        <f aca="false">'Raw Data'!Q1957</f>
        <v>30</v>
      </c>
      <c r="F1957" s="2" t="n">
        <f aca="false">'Raw Data'!U1957</f>
        <v>3</v>
      </c>
      <c r="G1957" s="2" t="n">
        <f aca="false">'Raw Data'!W1957</f>
        <v>4</v>
      </c>
      <c r="H1957" s="2" t="n">
        <f aca="false">'Raw Data'!V1957</f>
        <v>3</v>
      </c>
      <c r="I1957" s="2" t="n">
        <f aca="false">IF(AND(ISNUMBER(B1957),B1957&lt;=25),2,0)+IF(AND(ISNUMBER(E1957),E1957&lt;=5),2,0)+IF(AND(ISNUMBER(F1957),F1957&lt;=1),2,0)+IF(AND(ISNUMBER(G1957),G1957&lt;=2),1,0)+IF(AND(ISNUMBER(H1957),H1957&lt;=2),1,0)</f>
        <v>0</v>
      </c>
      <c r="J1957" s="2" t="str">
        <f aca="false">IF(I1957&gt;=6,"High",IF(I1957&gt;=3,"Medium","Low"))</f>
        <v>Low</v>
      </c>
    </row>
    <row r="1958" customFormat="false" ht="15" hidden="false" customHeight="true" outlineLevel="0" collapsed="false">
      <c r="A1958" s="2" t="n">
        <f aca="false">'Raw Data'!H1958</f>
        <v>1957</v>
      </c>
      <c r="B1958" s="2" t="n">
        <f aca="false">'Raw Data'!A1958</f>
        <v>37</v>
      </c>
      <c r="C1958" s="2" t="str">
        <f aca="false">'Raw Data'!D1958</f>
        <v>Sales</v>
      </c>
      <c r="D1958" s="2" t="str">
        <f aca="false">'Raw Data'!K1958</f>
        <v>Laboratory Technician</v>
      </c>
      <c r="E1958" s="2" t="n">
        <f aca="false">'Raw Data'!Q1958</f>
        <v>15</v>
      </c>
      <c r="F1958" s="2" t="n">
        <f aca="false">'Raw Data'!U1958</f>
        <v>0</v>
      </c>
      <c r="G1958" s="2" t="n">
        <f aca="false">'Raw Data'!W1958</f>
        <v>2</v>
      </c>
      <c r="H1958" s="2" t="n">
        <f aca="false">'Raw Data'!V1958</f>
        <v>1</v>
      </c>
      <c r="I1958" s="2" t="n">
        <f aca="false">IF(AND(ISNUMBER(B1958),B1958&lt;=25),2,0)+IF(AND(ISNUMBER(E1958),E1958&lt;=5),2,0)+IF(AND(ISNUMBER(F1958),F1958&lt;=1),2,0)+IF(AND(ISNUMBER(G1958),G1958&lt;=2),1,0)+IF(AND(ISNUMBER(H1958),H1958&lt;=2),1,0)</f>
        <v>4</v>
      </c>
      <c r="J1958" s="2" t="str">
        <f aca="false">IF(I1958&gt;=6,"High",IF(I1958&gt;=3,"Medium","Low"))</f>
        <v>Medium</v>
      </c>
    </row>
    <row r="1959" customFormat="false" ht="15" hidden="false" customHeight="true" outlineLevel="0" collapsed="false">
      <c r="A1959" s="2" t="n">
        <f aca="false">'Raw Data'!H1959</f>
        <v>1958</v>
      </c>
      <c r="B1959" s="2" t="n">
        <f aca="false">'Raw Data'!A1959</f>
        <v>55</v>
      </c>
      <c r="C1959" s="2" t="str">
        <f aca="false">'Raw Data'!D1959</f>
        <v>Research &amp; Development</v>
      </c>
      <c r="D1959" s="2" t="str">
        <f aca="false">'Raw Data'!K1959</f>
        <v>Sales Executive</v>
      </c>
      <c r="E1959" s="2" t="n">
        <f aca="false">'Raw Data'!Q1959</f>
        <v>17</v>
      </c>
      <c r="F1959" s="2" t="n">
        <f aca="false">'Raw Data'!U1959</f>
        <v>7</v>
      </c>
      <c r="G1959" s="2" t="n">
        <f aca="false">'Raw Data'!W1959</f>
        <v>2</v>
      </c>
      <c r="H1959" s="2" t="n">
        <f aca="false">'Raw Data'!V1959</f>
        <v>3</v>
      </c>
      <c r="I1959" s="2" t="n">
        <f aca="false">IF(AND(ISNUMBER(B1959),B1959&lt;=25),2,0)+IF(AND(ISNUMBER(E1959),E1959&lt;=5),2,0)+IF(AND(ISNUMBER(F1959),F1959&lt;=1),2,0)+IF(AND(ISNUMBER(G1959),G1959&lt;=2),1,0)+IF(AND(ISNUMBER(H1959),H1959&lt;=2),1,0)</f>
        <v>1</v>
      </c>
      <c r="J1959" s="2" t="str">
        <f aca="false">IF(I1959&gt;=6,"High",IF(I1959&gt;=3,"Medium","Low"))</f>
        <v>Low</v>
      </c>
    </row>
    <row r="1960" customFormat="false" ht="15" hidden="false" customHeight="true" outlineLevel="0" collapsed="false">
      <c r="A1960" s="2" t="n">
        <f aca="false">'Raw Data'!H1960</f>
        <v>1959</v>
      </c>
      <c r="B1960" s="2" t="n">
        <f aca="false">'Raw Data'!A1960</f>
        <v>41</v>
      </c>
      <c r="C1960" s="2" t="str">
        <f aca="false">'Raw Data'!D1960</f>
        <v>Research &amp; Development</v>
      </c>
      <c r="D1960" s="2" t="str">
        <f aca="false">'Raw Data'!K1960</f>
        <v>Research Scientist</v>
      </c>
      <c r="E1960" s="2" t="n">
        <f aca="false">'Raw Data'!Q1960</f>
        <v>21</v>
      </c>
      <c r="F1960" s="2" t="n">
        <f aca="false">'Raw Data'!U1960</f>
        <v>10</v>
      </c>
      <c r="G1960" s="2" t="n">
        <f aca="false">'Raw Data'!W1960</f>
        <v>3</v>
      </c>
      <c r="H1960" s="2" t="n">
        <f aca="false">'Raw Data'!V1960</f>
        <v>2</v>
      </c>
      <c r="I1960" s="2" t="n">
        <f aca="false">IF(AND(ISNUMBER(B1960),B1960&lt;=25),2,0)+IF(AND(ISNUMBER(E1960),E1960&lt;=5),2,0)+IF(AND(ISNUMBER(F1960),F1960&lt;=1),2,0)+IF(AND(ISNUMBER(G1960),G1960&lt;=2),1,0)+IF(AND(ISNUMBER(H1960),H1960&lt;=2),1,0)</f>
        <v>1</v>
      </c>
      <c r="J1960" s="2" t="str">
        <f aca="false">IF(I1960&gt;=6,"High",IF(I1960&gt;=3,"Medium","Low"))</f>
        <v>Low</v>
      </c>
    </row>
    <row r="1961" customFormat="false" ht="15" hidden="false" customHeight="true" outlineLevel="0" collapsed="false">
      <c r="A1961" s="2" t="n">
        <f aca="false">'Raw Data'!H1961</f>
        <v>1960</v>
      </c>
      <c r="B1961" s="2" t="n">
        <f aca="false">'Raw Data'!A1961</f>
        <v>38</v>
      </c>
      <c r="C1961" s="2" t="str">
        <f aca="false">'Raw Data'!D1961</f>
        <v>Research &amp; Development</v>
      </c>
      <c r="D1961" s="2" t="str">
        <f aca="false">'Raw Data'!K1961</f>
        <v>Laboratory Technician</v>
      </c>
      <c r="E1961" s="2" t="n">
        <f aca="false">'Raw Data'!Q1961</f>
        <v>19</v>
      </c>
      <c r="F1961" s="2" t="n">
        <f aca="false">'Raw Data'!U1961</f>
        <v>0</v>
      </c>
      <c r="G1961" s="2" t="n">
        <f aca="false">'Raw Data'!W1961</f>
        <v>4</v>
      </c>
      <c r="H1961" s="2" t="n">
        <f aca="false">'Raw Data'!V1961</f>
        <v>2</v>
      </c>
      <c r="I1961" s="2" t="n">
        <f aca="false">IF(AND(ISNUMBER(B1961),B1961&lt;=25),2,0)+IF(AND(ISNUMBER(E1961),E1961&lt;=5),2,0)+IF(AND(ISNUMBER(F1961),F1961&lt;=1),2,0)+IF(AND(ISNUMBER(G1961),G1961&lt;=2),1,0)+IF(AND(ISNUMBER(H1961),H1961&lt;=2),1,0)</f>
        <v>3</v>
      </c>
      <c r="J1961" s="2" t="str">
        <f aca="false">IF(I1961&gt;=6,"High",IF(I1961&gt;=3,"Medium","Low"))</f>
        <v>Medium</v>
      </c>
    </row>
    <row r="1962" customFormat="false" ht="15" hidden="false" customHeight="true" outlineLevel="0" collapsed="false">
      <c r="A1962" s="2" t="n">
        <f aca="false">'Raw Data'!H1962</f>
        <v>1961</v>
      </c>
      <c r="B1962" s="2" t="n">
        <f aca="false">'Raw Data'!A1962</f>
        <v>26</v>
      </c>
      <c r="C1962" s="2" t="str">
        <f aca="false">'Raw Data'!D1962</f>
        <v>Research &amp; Development</v>
      </c>
      <c r="D1962" s="2" t="str">
        <f aca="false">'Raw Data'!K1962</f>
        <v>Manufacturing Director</v>
      </c>
      <c r="E1962" s="2" t="n">
        <f aca="false">'Raw Data'!Q1962</f>
        <v>7</v>
      </c>
      <c r="F1962" s="2" t="n">
        <f aca="false">'Raw Data'!U1962</f>
        <v>2</v>
      </c>
      <c r="G1962" s="2" t="n">
        <f aca="false">'Raw Data'!W1962</f>
        <v>1</v>
      </c>
      <c r="H1962" s="2" t="n">
        <f aca="false">'Raw Data'!V1962</f>
        <v>2</v>
      </c>
      <c r="I1962" s="2" t="n">
        <f aca="false">IF(AND(ISNUMBER(B1962),B1962&lt;=25),2,0)+IF(AND(ISNUMBER(E1962),E1962&lt;=5),2,0)+IF(AND(ISNUMBER(F1962),F1962&lt;=1),2,0)+IF(AND(ISNUMBER(G1962),G1962&lt;=2),1,0)+IF(AND(ISNUMBER(H1962),H1962&lt;=2),1,0)</f>
        <v>2</v>
      </c>
      <c r="J1962" s="2" t="str">
        <f aca="false">IF(I1962&gt;=6,"High",IF(I1962&gt;=3,"Medium","Low"))</f>
        <v>Low</v>
      </c>
    </row>
    <row r="1963" customFormat="false" ht="15" hidden="false" customHeight="true" outlineLevel="0" collapsed="false">
      <c r="A1963" s="2" t="n">
        <f aca="false">'Raw Data'!H1963</f>
        <v>1962</v>
      </c>
      <c r="B1963" s="2" t="n">
        <f aca="false">'Raw Data'!A1963</f>
        <v>52</v>
      </c>
      <c r="C1963" s="2" t="str">
        <f aca="false">'Raw Data'!D1963</f>
        <v>Research &amp; Development</v>
      </c>
      <c r="D1963" s="2" t="str">
        <f aca="false">'Raw Data'!K1963</f>
        <v>Human Resources</v>
      </c>
      <c r="E1963" s="2" t="n">
        <f aca="false">'Raw Data'!Q1963</f>
        <v>33</v>
      </c>
      <c r="F1963" s="2" t="n">
        <f aca="false">'Raw Data'!U1963</f>
        <v>9</v>
      </c>
      <c r="G1963" s="2" t="n">
        <f aca="false">'Raw Data'!W1963</f>
        <v>4</v>
      </c>
      <c r="H1963" s="2" t="n">
        <f aca="false">'Raw Data'!V1963</f>
        <v>1</v>
      </c>
      <c r="I1963" s="2" t="n">
        <f aca="false">IF(AND(ISNUMBER(B1963),B1963&lt;=25),2,0)+IF(AND(ISNUMBER(E1963),E1963&lt;=5),2,0)+IF(AND(ISNUMBER(F1963),F1963&lt;=1),2,0)+IF(AND(ISNUMBER(G1963),G1963&lt;=2),1,0)+IF(AND(ISNUMBER(H1963),H1963&lt;=2),1,0)</f>
        <v>1</v>
      </c>
      <c r="J1963" s="2" t="str">
        <f aca="false">IF(I1963&gt;=6,"High",IF(I1963&gt;=3,"Medium","Low"))</f>
        <v>Low</v>
      </c>
    </row>
    <row r="1964" customFormat="false" ht="15" hidden="false" customHeight="true" outlineLevel="0" collapsed="false">
      <c r="A1964" s="2" t="n">
        <f aca="false">'Raw Data'!H1964</f>
        <v>1963</v>
      </c>
      <c r="B1964" s="2" t="n">
        <f aca="false">'Raw Data'!A1964</f>
        <v>44</v>
      </c>
      <c r="C1964" s="2" t="str">
        <f aca="false">'Raw Data'!D1964</f>
        <v>Research &amp; Development</v>
      </c>
      <c r="D1964" s="2" t="str">
        <f aca="false">'Raw Data'!K1964</f>
        <v>Healthcare Representative</v>
      </c>
      <c r="E1964" s="2" t="n">
        <f aca="false">'Raw Data'!Q1964</f>
        <v>23</v>
      </c>
      <c r="F1964" s="2" t="n">
        <f aca="false">'Raw Data'!U1964</f>
        <v>11</v>
      </c>
      <c r="G1964" s="2" t="n">
        <f aca="false">'Raw Data'!W1964</f>
        <v>4</v>
      </c>
      <c r="H1964" s="2" t="n">
        <f aca="false">'Raw Data'!V1964</f>
        <v>4</v>
      </c>
      <c r="I1964" s="2" t="n">
        <f aca="false">IF(AND(ISNUMBER(B1964),B1964&lt;=25),2,0)+IF(AND(ISNUMBER(E1964),E1964&lt;=5),2,0)+IF(AND(ISNUMBER(F1964),F1964&lt;=1),2,0)+IF(AND(ISNUMBER(G1964),G1964&lt;=2),1,0)+IF(AND(ISNUMBER(H1964),H1964&lt;=2),1,0)</f>
        <v>0</v>
      </c>
      <c r="J1964" s="2" t="str">
        <f aca="false">IF(I1964&gt;=6,"High",IF(I1964&gt;=3,"Medium","Low"))</f>
        <v>Low</v>
      </c>
    </row>
    <row r="1965" customFormat="false" ht="15" hidden="false" customHeight="true" outlineLevel="0" collapsed="false">
      <c r="A1965" s="2" t="n">
        <f aca="false">'Raw Data'!H1965</f>
        <v>1964</v>
      </c>
      <c r="B1965" s="2" t="n">
        <f aca="false">'Raw Data'!A1965</f>
        <v>50</v>
      </c>
      <c r="C1965" s="2" t="str">
        <f aca="false">'Raw Data'!D1965</f>
        <v>Human Resources</v>
      </c>
      <c r="D1965" s="2" t="str">
        <f aca="false">'Raw Data'!K1965</f>
        <v>Laboratory Technician</v>
      </c>
      <c r="E1965" s="2" t="n">
        <f aca="false">'Raw Data'!Q1965</f>
        <v>19</v>
      </c>
      <c r="F1965" s="2" t="n">
        <f aca="false">'Raw Data'!U1965</f>
        <v>13</v>
      </c>
      <c r="G1965" s="2" t="n">
        <f aca="false">'Raw Data'!W1965</f>
        <v>3</v>
      </c>
      <c r="H1965" s="2" t="n">
        <f aca="false">'Raw Data'!V1965</f>
        <v>4</v>
      </c>
      <c r="I1965" s="2" t="n">
        <f aca="false">IF(AND(ISNUMBER(B1965),B1965&lt;=25),2,0)+IF(AND(ISNUMBER(E1965),E1965&lt;=5),2,0)+IF(AND(ISNUMBER(F1965),F1965&lt;=1),2,0)+IF(AND(ISNUMBER(G1965),G1965&lt;=2),1,0)+IF(AND(ISNUMBER(H1965),H1965&lt;=2),1,0)</f>
        <v>0</v>
      </c>
      <c r="J1965" s="2" t="str">
        <f aca="false">IF(I1965&gt;=6,"High",IF(I1965&gt;=3,"Medium","Low"))</f>
        <v>Low</v>
      </c>
    </row>
    <row r="1966" customFormat="false" ht="15" hidden="false" customHeight="true" outlineLevel="0" collapsed="false">
      <c r="A1966" s="2" t="n">
        <f aca="false">'Raw Data'!H1966</f>
        <v>1965</v>
      </c>
      <c r="B1966" s="2" t="n">
        <f aca="false">'Raw Data'!A1966</f>
        <v>36</v>
      </c>
      <c r="C1966" s="2" t="str">
        <f aca="false">'Raw Data'!D1966</f>
        <v>Sales</v>
      </c>
      <c r="D1966" s="2" t="str">
        <f aca="false">'Raw Data'!K1966</f>
        <v>Sales Executive</v>
      </c>
      <c r="E1966" s="2" t="n">
        <f aca="false">'Raw Data'!Q1966</f>
        <v>18</v>
      </c>
      <c r="F1966" s="2" t="n">
        <f aca="false">'Raw Data'!U1966</f>
        <v>14</v>
      </c>
      <c r="G1966" s="2" t="n">
        <f aca="false">'Raw Data'!W1966</f>
        <v>1</v>
      </c>
      <c r="H1966" s="2" t="n">
        <f aca="false">'Raw Data'!V1966</f>
        <v>3</v>
      </c>
      <c r="I1966" s="2" t="n">
        <f aca="false">IF(AND(ISNUMBER(B1966),B1966&lt;=25),2,0)+IF(AND(ISNUMBER(E1966),E1966&lt;=5),2,0)+IF(AND(ISNUMBER(F1966),F1966&lt;=1),2,0)+IF(AND(ISNUMBER(G1966),G1966&lt;=2),1,0)+IF(AND(ISNUMBER(H1966),H1966&lt;=2),1,0)</f>
        <v>1</v>
      </c>
      <c r="J1966" s="2" t="str">
        <f aca="false">IF(I1966&gt;=6,"High",IF(I1966&gt;=3,"Medium","Low"))</f>
        <v>Low</v>
      </c>
    </row>
    <row r="1967" customFormat="false" ht="15" hidden="false" customHeight="true" outlineLevel="0" collapsed="false">
      <c r="A1967" s="2" t="n">
        <f aca="false">'Raw Data'!H1967</f>
        <v>1966</v>
      </c>
      <c r="B1967" s="2" t="n">
        <f aca="false">'Raw Data'!A1967</f>
        <v>39</v>
      </c>
      <c r="C1967" s="2" t="str">
        <f aca="false">'Raw Data'!D1967</f>
        <v>Sales</v>
      </c>
      <c r="D1967" s="2" t="str">
        <f aca="false">'Raw Data'!K1967</f>
        <v>Sales Executive</v>
      </c>
      <c r="E1967" s="2" t="n">
        <f aca="false">'Raw Data'!Q1967</f>
        <v>21</v>
      </c>
      <c r="F1967" s="2" t="n">
        <f aca="false">'Raw Data'!U1967</f>
        <v>8</v>
      </c>
      <c r="G1967" s="2" t="n">
        <f aca="false">'Raw Data'!W1967</f>
        <v>1</v>
      </c>
      <c r="H1967" s="2" t="n">
        <f aca="false">'Raw Data'!V1967</f>
        <v>4</v>
      </c>
      <c r="I1967" s="2" t="n">
        <f aca="false">IF(AND(ISNUMBER(B1967),B1967&lt;=25),2,0)+IF(AND(ISNUMBER(E1967),E1967&lt;=5),2,0)+IF(AND(ISNUMBER(F1967),F1967&lt;=1),2,0)+IF(AND(ISNUMBER(G1967),G1967&lt;=2),1,0)+IF(AND(ISNUMBER(H1967),H1967&lt;=2),1,0)</f>
        <v>1</v>
      </c>
      <c r="J1967" s="2" t="str">
        <f aca="false">IF(I1967&gt;=6,"High",IF(I1967&gt;=3,"Medium","Low"))</f>
        <v>Low</v>
      </c>
    </row>
    <row r="1968" customFormat="false" ht="15" hidden="false" customHeight="true" outlineLevel="0" collapsed="false">
      <c r="A1968" s="2" t="n">
        <f aca="false">'Raw Data'!H1968</f>
        <v>1967</v>
      </c>
      <c r="B1968" s="2" t="n">
        <f aca="false">'Raw Data'!A1968</f>
        <v>33</v>
      </c>
      <c r="C1968" s="2" t="str">
        <f aca="false">'Raw Data'!D1968</f>
        <v>Sales</v>
      </c>
      <c r="D1968" s="2" t="str">
        <f aca="false">'Raw Data'!K1968</f>
        <v>Sales Representative</v>
      </c>
      <c r="E1968" s="2" t="n">
        <f aca="false">'Raw Data'!Q1968</f>
        <v>3</v>
      </c>
      <c r="F1968" s="2" t="n">
        <f aca="false">'Raw Data'!U1968</f>
        <v>2</v>
      </c>
      <c r="G1968" s="2" t="n">
        <f aca="false">'Raw Data'!W1968</f>
        <v>4</v>
      </c>
      <c r="H1968" s="2" t="n">
        <f aca="false">'Raw Data'!V1968</f>
        <v>2</v>
      </c>
      <c r="I1968" s="2" t="n">
        <f aca="false">IF(AND(ISNUMBER(B1968),B1968&lt;=25),2,0)+IF(AND(ISNUMBER(E1968),E1968&lt;=5),2,0)+IF(AND(ISNUMBER(F1968),F1968&lt;=1),2,0)+IF(AND(ISNUMBER(G1968),G1968&lt;=2),1,0)+IF(AND(ISNUMBER(H1968),H1968&lt;=2),1,0)</f>
        <v>3</v>
      </c>
      <c r="J1968" s="2" t="str">
        <f aca="false">IF(I1968&gt;=6,"High",IF(I1968&gt;=3,"Medium","Low"))</f>
        <v>Medium</v>
      </c>
    </row>
    <row r="1969" customFormat="false" ht="15" hidden="false" customHeight="true" outlineLevel="0" collapsed="false">
      <c r="A1969" s="2" t="n">
        <f aca="false">'Raw Data'!H1969</f>
        <v>1968</v>
      </c>
      <c r="B1969" s="2" t="n">
        <f aca="false">'Raw Data'!A1969</f>
        <v>45</v>
      </c>
      <c r="C1969" s="2" t="str">
        <f aca="false">'Raw Data'!D1969</f>
        <v>Research &amp; Development</v>
      </c>
      <c r="D1969" s="2" t="str">
        <f aca="false">'Raw Data'!K1969</f>
        <v>Human Resources</v>
      </c>
      <c r="E1969" s="2" t="n">
        <f aca="false">'Raw Data'!Q1969</f>
        <v>26</v>
      </c>
      <c r="F1969" s="2" t="n">
        <f aca="false">'Raw Data'!U1969</f>
        <v>1</v>
      </c>
      <c r="G1969" s="2" t="n">
        <f aca="false">'Raw Data'!W1969</f>
        <v>4</v>
      </c>
      <c r="H1969" s="2" t="n">
        <f aca="false">'Raw Data'!V1969</f>
        <v>4</v>
      </c>
      <c r="I1969" s="2" t="n">
        <f aca="false">IF(AND(ISNUMBER(B1969),B1969&lt;=25),2,0)+IF(AND(ISNUMBER(E1969),E1969&lt;=5),2,0)+IF(AND(ISNUMBER(F1969),F1969&lt;=1),2,0)+IF(AND(ISNUMBER(G1969),G1969&lt;=2),1,0)+IF(AND(ISNUMBER(H1969),H1969&lt;=2),1,0)</f>
        <v>2</v>
      </c>
      <c r="J1969" s="2" t="str">
        <f aca="false">IF(I1969&gt;=6,"High",IF(I1969&gt;=3,"Medium","Low"))</f>
        <v>Low</v>
      </c>
    </row>
    <row r="1970" customFormat="false" ht="15" hidden="false" customHeight="true" outlineLevel="0" collapsed="false">
      <c r="A1970" s="2" t="n">
        <f aca="false">'Raw Data'!H1970</f>
        <v>1969</v>
      </c>
      <c r="B1970" s="2" t="n">
        <f aca="false">'Raw Data'!A1970</f>
        <v>32</v>
      </c>
      <c r="C1970" s="2" t="str">
        <f aca="false">'Raw Data'!D1970</f>
        <v>Research &amp; Development</v>
      </c>
      <c r="D1970" s="2" t="str">
        <f aca="false">'Raw Data'!K1970</f>
        <v>Manager</v>
      </c>
      <c r="E1970" s="2" t="n">
        <f aca="false">'Raw Data'!Q1970</f>
        <v>10</v>
      </c>
      <c r="F1970" s="2" t="n">
        <f aca="false">'Raw Data'!U1970</f>
        <v>7</v>
      </c>
      <c r="G1970" s="2" t="n">
        <f aca="false">'Raw Data'!W1970</f>
        <v>3</v>
      </c>
      <c r="H1970" s="2" t="n">
        <f aca="false">'Raw Data'!V1970</f>
        <v>4</v>
      </c>
      <c r="I1970" s="2" t="n">
        <f aca="false">IF(AND(ISNUMBER(B1970),B1970&lt;=25),2,0)+IF(AND(ISNUMBER(E1970),E1970&lt;=5),2,0)+IF(AND(ISNUMBER(F1970),F1970&lt;=1),2,0)+IF(AND(ISNUMBER(G1970),G1970&lt;=2),1,0)+IF(AND(ISNUMBER(H1970),H1970&lt;=2),1,0)</f>
        <v>0</v>
      </c>
      <c r="J1970" s="2" t="str">
        <f aca="false">IF(I1970&gt;=6,"High",IF(I1970&gt;=3,"Medium","Low"))</f>
        <v>Low</v>
      </c>
    </row>
    <row r="1971" customFormat="false" ht="15" hidden="false" customHeight="true" outlineLevel="0" collapsed="false">
      <c r="A1971" s="2" t="n">
        <f aca="false">'Raw Data'!H1971</f>
        <v>1970</v>
      </c>
      <c r="B1971" s="2" t="n">
        <f aca="false">'Raw Data'!A1971</f>
        <v>34</v>
      </c>
      <c r="C1971" s="2" t="str">
        <f aca="false">'Raw Data'!D1971</f>
        <v>Sales</v>
      </c>
      <c r="D1971" s="2" t="str">
        <f aca="false">'Raw Data'!K1971</f>
        <v>Research Director</v>
      </c>
      <c r="E1971" s="2" t="n">
        <f aca="false">'Raw Data'!Q1971</f>
        <v>16</v>
      </c>
      <c r="F1971" s="2" t="n">
        <f aca="false">'Raw Data'!U1971</f>
        <v>9</v>
      </c>
      <c r="G1971" s="2" t="n">
        <f aca="false">'Raw Data'!W1971</f>
        <v>4</v>
      </c>
      <c r="H1971" s="2" t="n">
        <f aca="false">'Raw Data'!V1971</f>
        <v>2</v>
      </c>
      <c r="I1971" s="2" t="n">
        <f aca="false">IF(AND(ISNUMBER(B1971),B1971&lt;=25),2,0)+IF(AND(ISNUMBER(E1971),E1971&lt;=5),2,0)+IF(AND(ISNUMBER(F1971),F1971&lt;=1),2,0)+IF(AND(ISNUMBER(G1971),G1971&lt;=2),1,0)+IF(AND(ISNUMBER(H1971),H1971&lt;=2),1,0)</f>
        <v>1</v>
      </c>
      <c r="J1971" s="2" t="str">
        <f aca="false">IF(I1971&gt;=6,"High",IF(I1971&gt;=3,"Medium","Low"))</f>
        <v>Low</v>
      </c>
    </row>
    <row r="1972" customFormat="false" ht="15" hidden="false" customHeight="true" outlineLevel="0" collapsed="false">
      <c r="A1972" s="2" t="n">
        <f aca="false">'Raw Data'!H1972</f>
        <v>1971</v>
      </c>
      <c r="B1972" s="2" t="n">
        <f aca="false">'Raw Data'!A1972</f>
        <v>59</v>
      </c>
      <c r="C1972" s="2" t="str">
        <f aca="false">'Raw Data'!D1972</f>
        <v>Research &amp; Development</v>
      </c>
      <c r="D1972" s="2" t="str">
        <f aca="false">'Raw Data'!K1972</f>
        <v>Research Scientist</v>
      </c>
      <c r="E1972" s="2" t="n">
        <f aca="false">'Raw Data'!Q1972</f>
        <v>14</v>
      </c>
      <c r="F1972" s="2" t="n">
        <f aca="false">'Raw Data'!U1972</f>
        <v>4</v>
      </c>
      <c r="G1972" s="2" t="n">
        <f aca="false">'Raw Data'!W1972</f>
        <v>4</v>
      </c>
      <c r="H1972" s="2" t="n">
        <f aca="false">'Raw Data'!V1972</f>
        <v>2</v>
      </c>
      <c r="I1972" s="2" t="n">
        <f aca="false">IF(AND(ISNUMBER(B1972),B1972&lt;=25),2,0)+IF(AND(ISNUMBER(E1972),E1972&lt;=5),2,0)+IF(AND(ISNUMBER(F1972),F1972&lt;=1),2,0)+IF(AND(ISNUMBER(G1972),G1972&lt;=2),1,0)+IF(AND(ISNUMBER(H1972),H1972&lt;=2),1,0)</f>
        <v>1</v>
      </c>
      <c r="J1972" s="2" t="str">
        <f aca="false">IF(I1972&gt;=6,"High",IF(I1972&gt;=3,"Medium","Low"))</f>
        <v>Low</v>
      </c>
    </row>
    <row r="1973" customFormat="false" ht="15" hidden="false" customHeight="true" outlineLevel="0" collapsed="false">
      <c r="A1973" s="2" t="n">
        <f aca="false">'Raw Data'!H1973</f>
        <v>1972</v>
      </c>
      <c r="B1973" s="2" t="n">
        <f aca="false">'Raw Data'!A1973</f>
        <v>45</v>
      </c>
      <c r="C1973" s="2" t="str">
        <f aca="false">'Raw Data'!D1973</f>
        <v>Research &amp; Development</v>
      </c>
      <c r="D1973" s="2" t="str">
        <f aca="false">'Raw Data'!K1973</f>
        <v>Sales Executive</v>
      </c>
      <c r="E1973" s="2" t="n">
        <f aca="false">'Raw Data'!Q1973</f>
        <v>6</v>
      </c>
      <c r="F1973" s="2" t="n">
        <f aca="false">'Raw Data'!U1973</f>
        <v>4</v>
      </c>
      <c r="G1973" s="2" t="n">
        <f aca="false">'Raw Data'!W1973</f>
        <v>2</v>
      </c>
      <c r="H1973" s="2" t="n">
        <f aca="false">'Raw Data'!V1973</f>
        <v>2</v>
      </c>
      <c r="I1973" s="2" t="n">
        <f aca="false">IF(AND(ISNUMBER(B1973),B1973&lt;=25),2,0)+IF(AND(ISNUMBER(E1973),E1973&lt;=5),2,0)+IF(AND(ISNUMBER(F1973),F1973&lt;=1),2,0)+IF(AND(ISNUMBER(G1973),G1973&lt;=2),1,0)+IF(AND(ISNUMBER(H1973),H1973&lt;=2),1,0)</f>
        <v>2</v>
      </c>
      <c r="J1973" s="2" t="str">
        <f aca="false">IF(I1973&gt;=6,"High",IF(I1973&gt;=3,"Medium","Low"))</f>
        <v>Low</v>
      </c>
    </row>
    <row r="1974" customFormat="false" ht="15" hidden="false" customHeight="true" outlineLevel="0" collapsed="false">
      <c r="A1974" s="2" t="n">
        <f aca="false">'Raw Data'!H1974</f>
        <v>1973</v>
      </c>
      <c r="B1974" s="2" t="n">
        <f aca="false">'Raw Data'!A1974</f>
        <v>53</v>
      </c>
      <c r="C1974" s="2" t="str">
        <f aca="false">'Raw Data'!D1974</f>
        <v>Sales</v>
      </c>
      <c r="D1974" s="2" t="str">
        <f aca="false">'Raw Data'!K1974</f>
        <v>Research Scientist</v>
      </c>
      <c r="E1974" s="2" t="n">
        <f aca="false">'Raw Data'!Q1974</f>
        <v>30</v>
      </c>
      <c r="F1974" s="2" t="n">
        <f aca="false">'Raw Data'!U1974</f>
        <v>12</v>
      </c>
      <c r="G1974" s="2" t="n">
        <f aca="false">'Raw Data'!W1974</f>
        <v>2</v>
      </c>
      <c r="H1974" s="2" t="n">
        <f aca="false">'Raw Data'!V1974</f>
        <v>3</v>
      </c>
      <c r="I1974" s="2" t="n">
        <f aca="false">IF(AND(ISNUMBER(B1974),B1974&lt;=25),2,0)+IF(AND(ISNUMBER(E1974),E1974&lt;=5),2,0)+IF(AND(ISNUMBER(F1974),F1974&lt;=1),2,0)+IF(AND(ISNUMBER(G1974),G1974&lt;=2),1,0)+IF(AND(ISNUMBER(H1974),H1974&lt;=2),1,0)</f>
        <v>1</v>
      </c>
      <c r="J1974" s="2" t="str">
        <f aca="false">IF(I1974&gt;=6,"High",IF(I1974&gt;=3,"Medium","Low"))</f>
        <v>Low</v>
      </c>
    </row>
    <row r="1975" customFormat="false" ht="15" hidden="false" customHeight="true" outlineLevel="0" collapsed="false">
      <c r="A1975" s="2" t="n">
        <f aca="false">'Raw Data'!H1975</f>
        <v>1974</v>
      </c>
      <c r="B1975" s="2" t="n">
        <f aca="false">'Raw Data'!A1975</f>
        <v>36</v>
      </c>
      <c r="C1975" s="2" t="str">
        <f aca="false">'Raw Data'!D1975</f>
        <v>Research &amp; Development</v>
      </c>
      <c r="D1975" s="2" t="str">
        <f aca="false">'Raw Data'!K1975</f>
        <v>Research Scientist</v>
      </c>
      <c r="E1975" s="2" t="n">
        <f aca="false">'Raw Data'!Q1975</f>
        <v>9</v>
      </c>
      <c r="F1975" s="2" t="n">
        <f aca="false">'Raw Data'!U1975</f>
        <v>0</v>
      </c>
      <c r="G1975" s="2" t="n">
        <f aca="false">'Raw Data'!W1975</f>
        <v>3</v>
      </c>
      <c r="H1975" s="2" t="n">
        <f aca="false">'Raw Data'!V1975</f>
        <v>1</v>
      </c>
      <c r="I1975" s="2" t="n">
        <f aca="false">IF(AND(ISNUMBER(B1975),B1975&lt;=25),2,0)+IF(AND(ISNUMBER(E1975),E1975&lt;=5),2,0)+IF(AND(ISNUMBER(F1975),F1975&lt;=1),2,0)+IF(AND(ISNUMBER(G1975),G1975&lt;=2),1,0)+IF(AND(ISNUMBER(H1975),H1975&lt;=2),1,0)</f>
        <v>3</v>
      </c>
      <c r="J1975" s="2" t="str">
        <f aca="false">IF(I1975&gt;=6,"High",IF(I1975&gt;=3,"Medium","Low"))</f>
        <v>Medium</v>
      </c>
    </row>
    <row r="1976" customFormat="false" ht="15" hidden="false" customHeight="true" outlineLevel="0" collapsed="false">
      <c r="A1976" s="2" t="n">
        <f aca="false">'Raw Data'!H1976</f>
        <v>1975</v>
      </c>
      <c r="B1976" s="2" t="n">
        <f aca="false">'Raw Data'!A1976</f>
        <v>26</v>
      </c>
      <c r="C1976" s="2" t="str">
        <f aca="false">'Raw Data'!D1976</f>
        <v>Sales</v>
      </c>
      <c r="D1976" s="2" t="str">
        <f aca="false">'Raw Data'!K1976</f>
        <v>Research Scientist</v>
      </c>
      <c r="E1976" s="2" t="n">
        <f aca="false">'Raw Data'!Q1976</f>
        <v>6</v>
      </c>
      <c r="F1976" s="2" t="n">
        <f aca="false">'Raw Data'!U1976</f>
        <v>2</v>
      </c>
      <c r="G1976" s="2" t="n">
        <f aca="false">'Raw Data'!W1976</f>
        <v>1</v>
      </c>
      <c r="H1976" s="2" t="n">
        <f aca="false">'Raw Data'!V1976</f>
        <v>1</v>
      </c>
      <c r="I1976" s="2" t="n">
        <f aca="false">IF(AND(ISNUMBER(B1976),B1976&lt;=25),2,0)+IF(AND(ISNUMBER(E1976),E1976&lt;=5),2,0)+IF(AND(ISNUMBER(F1976),F1976&lt;=1),2,0)+IF(AND(ISNUMBER(G1976),G1976&lt;=2),1,0)+IF(AND(ISNUMBER(H1976),H1976&lt;=2),1,0)</f>
        <v>2</v>
      </c>
      <c r="J1976" s="2" t="str">
        <f aca="false">IF(I1976&gt;=6,"High",IF(I1976&gt;=3,"Medium","Low"))</f>
        <v>Low</v>
      </c>
    </row>
    <row r="1977" customFormat="false" ht="15" hidden="false" customHeight="true" outlineLevel="0" collapsed="false">
      <c r="A1977" s="2" t="n">
        <f aca="false">'Raw Data'!H1977</f>
        <v>1976</v>
      </c>
      <c r="B1977" s="2" t="n">
        <f aca="false">'Raw Data'!A1977</f>
        <v>34</v>
      </c>
      <c r="C1977" s="2" t="str">
        <f aca="false">'Raw Data'!D1977</f>
        <v>Research &amp; Development</v>
      </c>
      <c r="D1977" s="2" t="str">
        <f aca="false">'Raw Data'!K1977</f>
        <v>Sales Representative</v>
      </c>
      <c r="E1977" s="2" t="n">
        <f aca="false">'Raw Data'!Q1977</f>
        <v>1</v>
      </c>
      <c r="F1977" s="2" t="n">
        <f aca="false">'Raw Data'!U1977</f>
        <v>0</v>
      </c>
      <c r="G1977" s="2" t="n">
        <f aca="false">'Raw Data'!W1977</f>
        <v>3</v>
      </c>
      <c r="H1977" s="2" t="n">
        <f aca="false">'Raw Data'!V1977</f>
        <v>3</v>
      </c>
      <c r="I1977" s="2" t="n">
        <f aca="false">IF(AND(ISNUMBER(B1977),B1977&lt;=25),2,0)+IF(AND(ISNUMBER(E1977),E1977&lt;=5),2,0)+IF(AND(ISNUMBER(F1977),F1977&lt;=1),2,0)+IF(AND(ISNUMBER(G1977),G1977&lt;=2),1,0)+IF(AND(ISNUMBER(H1977),H1977&lt;=2),1,0)</f>
        <v>4</v>
      </c>
      <c r="J1977" s="2" t="str">
        <f aca="false">IF(I1977&gt;=6,"High",IF(I1977&gt;=3,"Medium","Low"))</f>
        <v>Medium</v>
      </c>
    </row>
    <row r="1978" customFormat="false" ht="15" hidden="false" customHeight="true" outlineLevel="0" collapsed="false">
      <c r="A1978" s="2" t="n">
        <f aca="false">'Raw Data'!H1978</f>
        <v>1977</v>
      </c>
      <c r="B1978" s="2" t="n">
        <f aca="false">'Raw Data'!A1978</f>
        <v>28</v>
      </c>
      <c r="C1978" s="2" t="str">
        <f aca="false">'Raw Data'!D1978</f>
        <v>Research &amp; Development</v>
      </c>
      <c r="D1978" s="2" t="str">
        <f aca="false">'Raw Data'!K1978</f>
        <v>Sales Representative</v>
      </c>
      <c r="E1978" s="2" t="n">
        <f aca="false">'Raw Data'!Q1978</f>
        <v>1</v>
      </c>
      <c r="F1978" s="2" t="n">
        <f aca="false">'Raw Data'!U1978</f>
        <v>0</v>
      </c>
      <c r="G1978" s="2" t="n">
        <f aca="false">'Raw Data'!W1978</f>
        <v>2</v>
      </c>
      <c r="H1978" s="2" t="n">
        <f aca="false">'Raw Data'!V1978</f>
        <v>4</v>
      </c>
      <c r="I1978" s="2" t="n">
        <f aca="false">IF(AND(ISNUMBER(B1978),B1978&lt;=25),2,0)+IF(AND(ISNUMBER(E1978),E1978&lt;=5),2,0)+IF(AND(ISNUMBER(F1978),F1978&lt;=1),2,0)+IF(AND(ISNUMBER(G1978),G1978&lt;=2),1,0)+IF(AND(ISNUMBER(H1978),H1978&lt;=2),1,0)</f>
        <v>5</v>
      </c>
      <c r="J1978" s="2" t="str">
        <f aca="false">IF(I1978&gt;=6,"High",IF(I1978&gt;=3,"Medium","Low"))</f>
        <v>Medium</v>
      </c>
    </row>
    <row r="1979" customFormat="false" ht="15" hidden="false" customHeight="true" outlineLevel="0" collapsed="false">
      <c r="A1979" s="2" t="n">
        <f aca="false">'Raw Data'!H1979</f>
        <v>1978</v>
      </c>
      <c r="B1979" s="2" t="n">
        <f aca="false">'Raw Data'!A1979</f>
        <v>38</v>
      </c>
      <c r="C1979" s="2" t="str">
        <f aca="false">'Raw Data'!D1979</f>
        <v>Sales</v>
      </c>
      <c r="D1979" s="2" t="str">
        <f aca="false">'Raw Data'!K1979</f>
        <v>Research Scientist</v>
      </c>
      <c r="E1979" s="2" t="n">
        <f aca="false">'Raw Data'!Q1979</f>
        <v>8</v>
      </c>
      <c r="F1979" s="2" t="n">
        <f aca="false">'Raw Data'!U1979</f>
        <v>2</v>
      </c>
      <c r="G1979" s="2" t="n">
        <f aca="false">'Raw Data'!W1979</f>
        <v>3</v>
      </c>
      <c r="H1979" s="2" t="n">
        <f aca="false">'Raw Data'!V1979</f>
        <v>3</v>
      </c>
      <c r="I1979" s="2" t="n">
        <f aca="false">IF(AND(ISNUMBER(B1979),B1979&lt;=25),2,0)+IF(AND(ISNUMBER(E1979),E1979&lt;=5),2,0)+IF(AND(ISNUMBER(F1979),F1979&lt;=1),2,0)+IF(AND(ISNUMBER(G1979),G1979&lt;=2),1,0)+IF(AND(ISNUMBER(H1979),H1979&lt;=2),1,0)</f>
        <v>0</v>
      </c>
      <c r="J1979" s="2" t="str">
        <f aca="false">IF(I1979&gt;=6,"High",IF(I1979&gt;=3,"Medium","Low"))</f>
        <v>Low</v>
      </c>
    </row>
    <row r="1980" customFormat="false" ht="15" hidden="false" customHeight="true" outlineLevel="0" collapsed="false">
      <c r="A1980" s="2" t="n">
        <f aca="false">'Raw Data'!H1980</f>
        <v>1979</v>
      </c>
      <c r="B1980" s="2" t="n">
        <f aca="false">'Raw Data'!A1980</f>
        <v>50</v>
      </c>
      <c r="C1980" s="2" t="str">
        <f aca="false">'Raw Data'!D1980</f>
        <v>Research &amp; Development</v>
      </c>
      <c r="D1980" s="2" t="str">
        <f aca="false">'Raw Data'!K1980</f>
        <v>Sales Executive</v>
      </c>
      <c r="E1980" s="2" t="n">
        <f aca="false">'Raw Data'!Q1980</f>
        <v>29</v>
      </c>
      <c r="F1980" s="2" t="n">
        <f aca="false">'Raw Data'!U1980</f>
        <v>7</v>
      </c>
      <c r="G1980" s="2" t="n">
        <f aca="false">'Raw Data'!W1980</f>
        <v>3</v>
      </c>
      <c r="H1980" s="2" t="n">
        <f aca="false">'Raw Data'!V1980</f>
        <v>2</v>
      </c>
      <c r="I1980" s="2" t="n">
        <f aca="false">IF(AND(ISNUMBER(B1980),B1980&lt;=25),2,0)+IF(AND(ISNUMBER(E1980),E1980&lt;=5),2,0)+IF(AND(ISNUMBER(F1980),F1980&lt;=1),2,0)+IF(AND(ISNUMBER(G1980),G1980&lt;=2),1,0)+IF(AND(ISNUMBER(H1980),H1980&lt;=2),1,0)</f>
        <v>1</v>
      </c>
      <c r="J1980" s="2" t="str">
        <f aca="false">IF(I1980&gt;=6,"High",IF(I1980&gt;=3,"Medium","Low"))</f>
        <v>Low</v>
      </c>
    </row>
    <row r="1981" customFormat="false" ht="15" hidden="false" customHeight="true" outlineLevel="0" collapsed="false">
      <c r="A1981" s="2" t="n">
        <f aca="false">'Raw Data'!H1981</f>
        <v>1980</v>
      </c>
      <c r="B1981" s="2" t="n">
        <f aca="false">'Raw Data'!A1981</f>
        <v>37</v>
      </c>
      <c r="C1981" s="2" t="str">
        <f aca="false">'Raw Data'!D1981</f>
        <v>Research &amp; Development</v>
      </c>
      <c r="D1981" s="2" t="str">
        <f aca="false">'Raw Data'!K1981</f>
        <v>Laboratory Technician</v>
      </c>
      <c r="E1981" s="2" t="n">
        <f aca="false">'Raw Data'!Q1981</f>
        <v>8</v>
      </c>
      <c r="F1981" s="2" t="n">
        <f aca="false">'Raw Data'!U1981</f>
        <v>1</v>
      </c>
      <c r="G1981" s="2" t="n">
        <f aca="false">'Raw Data'!W1981</f>
        <v>2</v>
      </c>
      <c r="H1981" s="2" t="n">
        <f aca="false">'Raw Data'!V1981</f>
        <v>4</v>
      </c>
      <c r="I1981" s="2" t="n">
        <f aca="false">IF(AND(ISNUMBER(B1981),B1981&lt;=25),2,0)+IF(AND(ISNUMBER(E1981),E1981&lt;=5),2,0)+IF(AND(ISNUMBER(F1981),F1981&lt;=1),2,0)+IF(AND(ISNUMBER(G1981),G1981&lt;=2),1,0)+IF(AND(ISNUMBER(H1981),H1981&lt;=2),1,0)</f>
        <v>3</v>
      </c>
      <c r="J1981" s="2" t="str">
        <f aca="false">IF(I1981&gt;=6,"High",IF(I1981&gt;=3,"Medium","Low"))</f>
        <v>Medium</v>
      </c>
    </row>
    <row r="1982" customFormat="false" ht="15" hidden="false" customHeight="true" outlineLevel="0" collapsed="false">
      <c r="A1982" s="2" t="n">
        <f aca="false">'Raw Data'!H1982</f>
        <v>1981</v>
      </c>
      <c r="B1982" s="2" t="n">
        <f aca="false">'Raw Data'!A1982</f>
        <v>40</v>
      </c>
      <c r="C1982" s="2" t="str">
        <f aca="false">'Raw Data'!D1982</f>
        <v>Human Resources</v>
      </c>
      <c r="D1982" s="2" t="str">
        <f aca="false">'Raw Data'!K1982</f>
        <v>Sales Executive</v>
      </c>
      <c r="E1982" s="2" t="n">
        <f aca="false">'Raw Data'!Q1982</f>
        <v>8</v>
      </c>
      <c r="F1982" s="2" t="n">
        <f aca="false">'Raw Data'!U1982</f>
        <v>5</v>
      </c>
      <c r="G1982" s="2" t="n">
        <f aca="false">'Raw Data'!W1982</f>
        <v>1</v>
      </c>
      <c r="H1982" s="2" t="n">
        <f aca="false">'Raw Data'!V1982</f>
        <v>3</v>
      </c>
      <c r="I1982" s="2" t="n">
        <f aca="false">IF(AND(ISNUMBER(B1982),B1982&lt;=25),2,0)+IF(AND(ISNUMBER(E1982),E1982&lt;=5),2,0)+IF(AND(ISNUMBER(F1982),F1982&lt;=1),2,0)+IF(AND(ISNUMBER(G1982),G1982&lt;=2),1,0)+IF(AND(ISNUMBER(H1982),H1982&lt;=2),1,0)</f>
        <v>1</v>
      </c>
      <c r="J1982" s="2" t="str">
        <f aca="false">IF(I1982&gt;=6,"High",IF(I1982&gt;=3,"Medium","Low"))</f>
        <v>Low</v>
      </c>
    </row>
    <row r="1983" customFormat="false" ht="15" hidden="false" customHeight="true" outlineLevel="0" collapsed="false">
      <c r="A1983" s="2" t="n">
        <f aca="false">'Raw Data'!H1983</f>
        <v>1982</v>
      </c>
      <c r="B1983" s="2" t="n">
        <f aca="false">'Raw Data'!A1983</f>
        <v>26</v>
      </c>
      <c r="C1983" s="2" t="str">
        <f aca="false">'Raw Data'!D1983</f>
        <v>Research &amp; Development</v>
      </c>
      <c r="D1983" s="2" t="str">
        <f aca="false">'Raw Data'!K1983</f>
        <v>Laboratory Technician</v>
      </c>
      <c r="E1983" s="2" t="n">
        <f aca="false">'Raw Data'!Q1983</f>
        <v>5</v>
      </c>
      <c r="F1983" s="2" t="n">
        <f aca="false">'Raw Data'!U1983</f>
        <v>3</v>
      </c>
      <c r="G1983" s="2" t="n">
        <f aca="false">'Raw Data'!W1983</f>
        <v>3</v>
      </c>
      <c r="H1983" s="2" t="n">
        <f aca="false">'Raw Data'!V1983</f>
        <v>1</v>
      </c>
      <c r="I1983" s="2" t="n">
        <f aca="false">IF(AND(ISNUMBER(B1983),B1983&lt;=25),2,0)+IF(AND(ISNUMBER(E1983),E1983&lt;=5),2,0)+IF(AND(ISNUMBER(F1983),F1983&lt;=1),2,0)+IF(AND(ISNUMBER(G1983),G1983&lt;=2),1,0)+IF(AND(ISNUMBER(H1983),H1983&lt;=2),1,0)</f>
        <v>3</v>
      </c>
      <c r="J1983" s="2" t="str">
        <f aca="false">IF(I1983&gt;=6,"High",IF(I1983&gt;=3,"Medium","Low"))</f>
        <v>Medium</v>
      </c>
    </row>
    <row r="1984" customFormat="false" ht="15" hidden="false" customHeight="true" outlineLevel="0" collapsed="false">
      <c r="A1984" s="2" t="n">
        <f aca="false">'Raw Data'!H1984</f>
        <v>1983</v>
      </c>
      <c r="B1984" s="2" t="n">
        <f aca="false">'Raw Data'!A1984</f>
        <v>46</v>
      </c>
      <c r="C1984" s="2" t="str">
        <f aca="false">'Raw Data'!D1984</f>
        <v>Research &amp; Development</v>
      </c>
      <c r="D1984" s="2" t="str">
        <f aca="false">'Raw Data'!K1984</f>
        <v>Research Scientist</v>
      </c>
      <c r="E1984" s="2" t="n">
        <f aca="false">'Raw Data'!Q1984</f>
        <v>23</v>
      </c>
      <c r="F1984" s="2" t="n">
        <f aca="false">'Raw Data'!U1984</f>
        <v>2</v>
      </c>
      <c r="G1984" s="2" t="n">
        <f aca="false">'Raw Data'!W1984</f>
        <v>4</v>
      </c>
      <c r="H1984" s="2" t="n">
        <f aca="false">'Raw Data'!V1984</f>
        <v>4</v>
      </c>
      <c r="I1984" s="2" t="n">
        <f aca="false">IF(AND(ISNUMBER(B1984),B1984&lt;=25),2,0)+IF(AND(ISNUMBER(E1984),E1984&lt;=5),2,0)+IF(AND(ISNUMBER(F1984),F1984&lt;=1),2,0)+IF(AND(ISNUMBER(G1984),G1984&lt;=2),1,0)+IF(AND(ISNUMBER(H1984),H1984&lt;=2),1,0)</f>
        <v>0</v>
      </c>
      <c r="J1984" s="2" t="str">
        <f aca="false">IF(I1984&gt;=6,"High",IF(I1984&gt;=3,"Medium","Low"))</f>
        <v>Low</v>
      </c>
    </row>
    <row r="1985" customFormat="false" ht="15" hidden="false" customHeight="true" outlineLevel="0" collapsed="false">
      <c r="A1985" s="2" t="n">
        <f aca="false">'Raw Data'!H1985</f>
        <v>1984</v>
      </c>
      <c r="B1985" s="2" t="n">
        <f aca="false">'Raw Data'!A1985</f>
        <v>54</v>
      </c>
      <c r="C1985" s="2" t="str">
        <f aca="false">'Raw Data'!D1985</f>
        <v>Research &amp; Development</v>
      </c>
      <c r="D1985" s="2" t="str">
        <f aca="false">'Raw Data'!K1985</f>
        <v>Manufacturing Director</v>
      </c>
      <c r="E1985" s="2" t="n">
        <f aca="false">'Raw Data'!Q1985</f>
        <v>13</v>
      </c>
      <c r="F1985" s="2" t="n">
        <f aca="false">'Raw Data'!U1985</f>
        <v>0</v>
      </c>
      <c r="G1985" s="2" t="n">
        <f aca="false">'Raw Data'!W1985</f>
        <v>3</v>
      </c>
      <c r="H1985" s="2" t="n">
        <f aca="false">'Raw Data'!V1985</f>
        <v>3</v>
      </c>
      <c r="I1985" s="2" t="n">
        <f aca="false">IF(AND(ISNUMBER(B1985),B1985&lt;=25),2,0)+IF(AND(ISNUMBER(E1985),E1985&lt;=5),2,0)+IF(AND(ISNUMBER(F1985),F1985&lt;=1),2,0)+IF(AND(ISNUMBER(G1985),G1985&lt;=2),1,0)+IF(AND(ISNUMBER(H1985),H1985&lt;=2),1,0)</f>
        <v>2</v>
      </c>
      <c r="J1985" s="2" t="str">
        <f aca="false">IF(I1985&gt;=6,"High",IF(I1985&gt;=3,"Medium","Low"))</f>
        <v>Low</v>
      </c>
    </row>
    <row r="1986" customFormat="false" ht="15" hidden="false" customHeight="true" outlineLevel="0" collapsed="false">
      <c r="A1986" s="2" t="n">
        <f aca="false">'Raw Data'!H1986</f>
        <v>1985</v>
      </c>
      <c r="B1986" s="2" t="n">
        <f aca="false">'Raw Data'!A1986</f>
        <v>56</v>
      </c>
      <c r="C1986" s="2" t="str">
        <f aca="false">'Raw Data'!D1986</f>
        <v>Research &amp; Development</v>
      </c>
      <c r="D1986" s="2" t="str">
        <f aca="false">'Raw Data'!K1986</f>
        <v>Manufacturing Director</v>
      </c>
      <c r="E1986" s="2" t="n">
        <f aca="false">'Raw Data'!Q1986</f>
        <v>18</v>
      </c>
      <c r="F1986" s="2" t="n">
        <f aca="false">'Raw Data'!U1986</f>
        <v>3</v>
      </c>
      <c r="G1986" s="2" t="n">
        <f aca="false">'Raw Data'!W1986</f>
        <v>3</v>
      </c>
      <c r="H1986" s="2" t="n">
        <f aca="false">'Raw Data'!V1986</f>
        <v>1</v>
      </c>
      <c r="I1986" s="2" t="n">
        <f aca="false">IF(AND(ISNUMBER(B1986),B1986&lt;=25),2,0)+IF(AND(ISNUMBER(E1986),E1986&lt;=5),2,0)+IF(AND(ISNUMBER(F1986),F1986&lt;=1),2,0)+IF(AND(ISNUMBER(G1986),G1986&lt;=2),1,0)+IF(AND(ISNUMBER(H1986),H1986&lt;=2),1,0)</f>
        <v>1</v>
      </c>
      <c r="J1986" s="2" t="str">
        <f aca="false">IF(I1986&gt;=6,"High",IF(I1986&gt;=3,"Medium","Low"))</f>
        <v>Low</v>
      </c>
    </row>
    <row r="1987" customFormat="false" ht="15" hidden="false" customHeight="true" outlineLevel="0" collapsed="false">
      <c r="A1987" s="2" t="n">
        <f aca="false">'Raw Data'!H1987</f>
        <v>1986</v>
      </c>
      <c r="B1987" s="2" t="n">
        <f aca="false">'Raw Data'!A1987</f>
        <v>36</v>
      </c>
      <c r="C1987" s="2" t="str">
        <f aca="false">'Raw Data'!D1987</f>
        <v>Research &amp; Development</v>
      </c>
      <c r="D1987" s="2" t="str">
        <f aca="false">'Raw Data'!K1987</f>
        <v>Human Resources</v>
      </c>
      <c r="E1987" s="2" t="n">
        <f aca="false">'Raw Data'!Q1987</f>
        <v>15</v>
      </c>
      <c r="F1987" s="2" t="n">
        <f aca="false">'Raw Data'!U1987</f>
        <v>8</v>
      </c>
      <c r="G1987" s="2" t="n">
        <f aca="false">'Raw Data'!W1987</f>
        <v>4</v>
      </c>
      <c r="H1987" s="2" t="n">
        <f aca="false">'Raw Data'!V1987</f>
        <v>4</v>
      </c>
      <c r="I1987" s="2" t="n">
        <f aca="false">IF(AND(ISNUMBER(B1987),B1987&lt;=25),2,0)+IF(AND(ISNUMBER(E1987),E1987&lt;=5),2,0)+IF(AND(ISNUMBER(F1987),F1987&lt;=1),2,0)+IF(AND(ISNUMBER(G1987),G1987&lt;=2),1,0)+IF(AND(ISNUMBER(H1987),H1987&lt;=2),1,0)</f>
        <v>0</v>
      </c>
      <c r="J1987" s="2" t="str">
        <f aca="false">IF(I1987&gt;=6,"High",IF(I1987&gt;=3,"Medium","Low"))</f>
        <v>Low</v>
      </c>
    </row>
    <row r="1988" customFormat="false" ht="15" hidden="false" customHeight="true" outlineLevel="0" collapsed="false">
      <c r="A1988" s="2" t="n">
        <f aca="false">'Raw Data'!H1988</f>
        <v>1987</v>
      </c>
      <c r="B1988" s="2" t="n">
        <f aca="false">'Raw Data'!A1988</f>
        <v>55</v>
      </c>
      <c r="C1988" s="2" t="str">
        <f aca="false">'Raw Data'!D1988</f>
        <v>Research &amp; Development</v>
      </c>
      <c r="D1988" s="2" t="str">
        <f aca="false">'Raw Data'!K1988</f>
        <v>Manager</v>
      </c>
      <c r="E1988" s="2" t="n">
        <f aca="false">'Raw Data'!Q1988</f>
        <v>31</v>
      </c>
      <c r="F1988" s="2" t="n">
        <f aca="false">'Raw Data'!U1988</f>
        <v>2</v>
      </c>
      <c r="G1988" s="2" t="n">
        <f aca="false">'Raw Data'!W1988</f>
        <v>1</v>
      </c>
      <c r="H1988" s="2" t="n">
        <f aca="false">'Raw Data'!V1988</f>
        <v>3</v>
      </c>
      <c r="I1988" s="2" t="n">
        <f aca="false">IF(AND(ISNUMBER(B1988),B1988&lt;=25),2,0)+IF(AND(ISNUMBER(E1988),E1988&lt;=5),2,0)+IF(AND(ISNUMBER(F1988),F1988&lt;=1),2,0)+IF(AND(ISNUMBER(G1988),G1988&lt;=2),1,0)+IF(AND(ISNUMBER(H1988),H1988&lt;=2),1,0)</f>
        <v>1</v>
      </c>
      <c r="J1988" s="2" t="str">
        <f aca="false">IF(I1988&gt;=6,"High",IF(I1988&gt;=3,"Medium","Low"))</f>
        <v>Low</v>
      </c>
    </row>
    <row r="1989" customFormat="false" ht="15" hidden="false" customHeight="true" outlineLevel="0" collapsed="false">
      <c r="A1989" s="2" t="n">
        <f aca="false">'Raw Data'!H1989</f>
        <v>1988</v>
      </c>
      <c r="B1989" s="2" t="n">
        <f aca="false">'Raw Data'!A1989</f>
        <v>43</v>
      </c>
      <c r="C1989" s="2" t="str">
        <f aca="false">'Raw Data'!D1989</f>
        <v>Sales</v>
      </c>
      <c r="D1989" s="2" t="str">
        <f aca="false">'Raw Data'!K1989</f>
        <v>Research Scientist</v>
      </c>
      <c r="E1989" s="2" t="n">
        <f aca="false">'Raw Data'!Q1989</f>
        <v>18</v>
      </c>
      <c r="F1989" s="2" t="n">
        <f aca="false">'Raw Data'!U1989</f>
        <v>0</v>
      </c>
      <c r="G1989" s="2" t="n">
        <f aca="false">'Raw Data'!W1989</f>
        <v>4</v>
      </c>
      <c r="H1989" s="2" t="n">
        <f aca="false">'Raw Data'!V1989</f>
        <v>3</v>
      </c>
      <c r="I1989" s="2" t="n">
        <f aca="false">IF(AND(ISNUMBER(B1989),B1989&lt;=25),2,0)+IF(AND(ISNUMBER(E1989),E1989&lt;=5),2,0)+IF(AND(ISNUMBER(F1989),F1989&lt;=1),2,0)+IF(AND(ISNUMBER(G1989),G1989&lt;=2),1,0)+IF(AND(ISNUMBER(H1989),H1989&lt;=2),1,0)</f>
        <v>2</v>
      </c>
      <c r="J1989" s="2" t="str">
        <f aca="false">IF(I1989&gt;=6,"High",IF(I1989&gt;=3,"Medium","Low"))</f>
        <v>Low</v>
      </c>
    </row>
    <row r="1990" customFormat="false" ht="15" hidden="false" customHeight="true" outlineLevel="0" collapsed="false">
      <c r="A1990" s="2" t="n">
        <f aca="false">'Raw Data'!H1990</f>
        <v>1989</v>
      </c>
      <c r="B1990" s="2" t="n">
        <f aca="false">'Raw Data'!A1990</f>
        <v>20</v>
      </c>
      <c r="C1990" s="2" t="str">
        <f aca="false">'Raw Data'!D1990</f>
        <v>Sales</v>
      </c>
      <c r="D1990" s="2" t="str">
        <f aca="false">'Raw Data'!K1990</f>
        <v>Sales Executive</v>
      </c>
      <c r="E1990" s="2" t="n">
        <f aca="false">'Raw Data'!Q1990</f>
        <v>2</v>
      </c>
      <c r="F1990" s="2" t="n">
        <f aca="false">'Raw Data'!U1990</f>
        <v>2</v>
      </c>
      <c r="G1990" s="2" t="n">
        <f aca="false">'Raw Data'!W1990</f>
        <v>4</v>
      </c>
      <c r="H1990" s="2" t="n">
        <f aca="false">'Raw Data'!V1990</f>
        <v>4</v>
      </c>
      <c r="I1990" s="2" t="n">
        <f aca="false">IF(AND(ISNUMBER(B1990),B1990&lt;=25),2,0)+IF(AND(ISNUMBER(E1990),E1990&lt;=5),2,0)+IF(AND(ISNUMBER(F1990),F1990&lt;=1),2,0)+IF(AND(ISNUMBER(G1990),G1990&lt;=2),1,0)+IF(AND(ISNUMBER(H1990),H1990&lt;=2),1,0)</f>
        <v>4</v>
      </c>
      <c r="J1990" s="2" t="str">
        <f aca="false">IF(I1990&gt;=6,"High",IF(I1990&gt;=3,"Medium","Low"))</f>
        <v>Medium</v>
      </c>
    </row>
    <row r="1991" customFormat="false" ht="15" hidden="false" customHeight="true" outlineLevel="0" collapsed="false">
      <c r="A1991" s="2" t="n">
        <f aca="false">'Raw Data'!H1991</f>
        <v>1990</v>
      </c>
      <c r="B1991" s="2" t="n">
        <f aca="false">'Raw Data'!A1991</f>
        <v>21</v>
      </c>
      <c r="C1991" s="2" t="str">
        <f aca="false">'Raw Data'!D1991</f>
        <v>Research &amp; Development</v>
      </c>
      <c r="D1991" s="2" t="str">
        <f aca="false">'Raw Data'!K1991</f>
        <v>Manager</v>
      </c>
      <c r="E1991" s="2" t="n">
        <f aca="false">'Raw Data'!Q1991</f>
        <v>1</v>
      </c>
      <c r="F1991" s="2" t="n">
        <f aca="false">'Raw Data'!U1991</f>
        <v>0</v>
      </c>
      <c r="G1991" s="2" t="n">
        <f aca="false">'Raw Data'!W1991</f>
        <v>1</v>
      </c>
      <c r="H1991" s="2" t="n">
        <f aca="false">'Raw Data'!V1991</f>
        <v>3</v>
      </c>
      <c r="I1991" s="2" t="n">
        <f aca="false">IF(AND(ISNUMBER(B1991),B1991&lt;=25),2,0)+IF(AND(ISNUMBER(E1991),E1991&lt;=5),2,0)+IF(AND(ISNUMBER(F1991),F1991&lt;=1),2,0)+IF(AND(ISNUMBER(G1991),G1991&lt;=2),1,0)+IF(AND(ISNUMBER(H1991),H1991&lt;=2),1,0)</f>
        <v>7</v>
      </c>
      <c r="J1991" s="2" t="str">
        <f aca="false">IF(I1991&gt;=6,"High",IF(I1991&gt;=3,"Medium","Low"))</f>
        <v>High</v>
      </c>
    </row>
    <row r="1992" customFormat="false" ht="15" hidden="false" customHeight="true" outlineLevel="0" collapsed="false">
      <c r="A1992" s="2" t="n">
        <f aca="false">'Raw Data'!H1992</f>
        <v>1991</v>
      </c>
      <c r="B1992" s="2" t="n">
        <f aca="false">'Raw Data'!A1992</f>
        <v>46</v>
      </c>
      <c r="C1992" s="2" t="str">
        <f aca="false">'Raw Data'!D1992</f>
        <v>Sales</v>
      </c>
      <c r="D1992" s="2" t="str">
        <f aca="false">'Raw Data'!K1992</f>
        <v>Healthcare Representative</v>
      </c>
      <c r="E1992" s="2" t="n">
        <f aca="false">'Raw Data'!Q1992</f>
        <v>19</v>
      </c>
      <c r="F1992" s="2" t="n">
        <f aca="false">'Raw Data'!U1992</f>
        <v>7</v>
      </c>
      <c r="G1992" s="2" t="n">
        <f aca="false">'Raw Data'!W1992</f>
        <v>1</v>
      </c>
      <c r="H1992" s="2" t="n">
        <f aca="false">'Raw Data'!V1992</f>
        <v>4</v>
      </c>
      <c r="I1992" s="2" t="n">
        <f aca="false">IF(AND(ISNUMBER(B1992),B1992&lt;=25),2,0)+IF(AND(ISNUMBER(E1992),E1992&lt;=5),2,0)+IF(AND(ISNUMBER(F1992),F1992&lt;=1),2,0)+IF(AND(ISNUMBER(G1992),G1992&lt;=2),1,0)+IF(AND(ISNUMBER(H1992),H1992&lt;=2),1,0)</f>
        <v>1</v>
      </c>
      <c r="J1992" s="2" t="str">
        <f aca="false">IF(I1992&gt;=6,"High",IF(I1992&gt;=3,"Medium","Low"))</f>
        <v>Low</v>
      </c>
    </row>
    <row r="1993" customFormat="false" ht="15" hidden="false" customHeight="true" outlineLevel="0" collapsed="false">
      <c r="A1993" s="2" t="n">
        <f aca="false">'Raw Data'!H1993</f>
        <v>1992</v>
      </c>
      <c r="B1993" s="2" t="n">
        <f aca="false">'Raw Data'!A1993</f>
        <v>51</v>
      </c>
      <c r="C1993" s="2" t="str">
        <f aca="false">'Raw Data'!D1993</f>
        <v>Sales</v>
      </c>
      <c r="D1993" s="2" t="str">
        <f aca="false">'Raw Data'!K1993</f>
        <v>Research Scientist</v>
      </c>
      <c r="E1993" s="2" t="n">
        <f aca="false">'Raw Data'!Q1993</f>
        <v>18</v>
      </c>
      <c r="F1993" s="2" t="n">
        <f aca="false">'Raw Data'!U1993</f>
        <v>7</v>
      </c>
      <c r="G1993" s="2" t="n">
        <f aca="false">'Raw Data'!W1993</f>
        <v>3</v>
      </c>
      <c r="H1993" s="2" t="n">
        <f aca="false">'Raw Data'!V1993</f>
        <v>1</v>
      </c>
      <c r="I1993" s="2" t="n">
        <f aca="false">IF(AND(ISNUMBER(B1993),B1993&lt;=25),2,0)+IF(AND(ISNUMBER(E1993),E1993&lt;=5),2,0)+IF(AND(ISNUMBER(F1993),F1993&lt;=1),2,0)+IF(AND(ISNUMBER(G1993),G1993&lt;=2),1,0)+IF(AND(ISNUMBER(H1993),H1993&lt;=2),1,0)</f>
        <v>1</v>
      </c>
      <c r="J1993" s="2" t="str">
        <f aca="false">IF(I1993&gt;=6,"High",IF(I1993&gt;=3,"Medium","Low"))</f>
        <v>Low</v>
      </c>
    </row>
    <row r="1994" customFormat="false" ht="15" hidden="false" customHeight="true" outlineLevel="0" collapsed="false">
      <c r="A1994" s="2" t="n">
        <f aca="false">'Raw Data'!H1994</f>
        <v>1993</v>
      </c>
      <c r="B1994" s="2" t="n">
        <f aca="false">'Raw Data'!A1994</f>
        <v>28</v>
      </c>
      <c r="C1994" s="2" t="str">
        <f aca="false">'Raw Data'!D1994</f>
        <v>Research &amp; Development</v>
      </c>
      <c r="D1994" s="2" t="str">
        <f aca="false">'Raw Data'!K1994</f>
        <v>Laboratory Technician</v>
      </c>
      <c r="E1994" s="2" t="n">
        <f aca="false">'Raw Data'!Q1994</f>
        <v>10</v>
      </c>
      <c r="F1994" s="2" t="n">
        <f aca="false">'Raw Data'!U1994</f>
        <v>9</v>
      </c>
      <c r="G1994" s="2" t="n">
        <f aca="false">'Raw Data'!W1994</f>
        <v>1</v>
      </c>
      <c r="H1994" s="2" t="n">
        <f aca="false">'Raw Data'!V1994</f>
        <v>2</v>
      </c>
      <c r="I1994" s="2" t="n">
        <f aca="false">IF(AND(ISNUMBER(B1994),B1994&lt;=25),2,0)+IF(AND(ISNUMBER(E1994),E1994&lt;=5),2,0)+IF(AND(ISNUMBER(F1994),F1994&lt;=1),2,0)+IF(AND(ISNUMBER(G1994),G1994&lt;=2),1,0)+IF(AND(ISNUMBER(H1994),H1994&lt;=2),1,0)</f>
        <v>2</v>
      </c>
      <c r="J1994" s="2" t="str">
        <f aca="false">IF(I1994&gt;=6,"High",IF(I1994&gt;=3,"Medium","Low"))</f>
        <v>Low</v>
      </c>
    </row>
    <row r="1995" customFormat="false" ht="15" hidden="false" customHeight="true" outlineLevel="0" collapsed="false">
      <c r="A1995" s="2" t="n">
        <f aca="false">'Raw Data'!H1995</f>
        <v>1994</v>
      </c>
      <c r="B1995" s="2" t="n">
        <f aca="false">'Raw Data'!A1995</f>
        <v>26</v>
      </c>
      <c r="C1995" s="2" t="str">
        <f aca="false">'Raw Data'!D1995</f>
        <v>Research &amp; Development</v>
      </c>
      <c r="D1995" s="2" t="str">
        <f aca="false">'Raw Data'!K1995</f>
        <v>Sales Executive</v>
      </c>
      <c r="E1995" s="2" t="n">
        <f aca="false">'Raw Data'!Q1995</f>
        <v>6</v>
      </c>
      <c r="F1995" s="2" t="n">
        <f aca="false">'Raw Data'!U1995</f>
        <v>3</v>
      </c>
      <c r="G1995" s="2" t="n">
        <f aca="false">'Raw Data'!W1995</f>
        <v>1</v>
      </c>
      <c r="H1995" s="2" t="n">
        <f aca="false">'Raw Data'!V1995</f>
        <v>1</v>
      </c>
      <c r="I1995" s="2" t="n">
        <f aca="false">IF(AND(ISNUMBER(B1995),B1995&lt;=25),2,0)+IF(AND(ISNUMBER(E1995),E1995&lt;=5),2,0)+IF(AND(ISNUMBER(F1995),F1995&lt;=1),2,0)+IF(AND(ISNUMBER(G1995),G1995&lt;=2),1,0)+IF(AND(ISNUMBER(H1995),H1995&lt;=2),1,0)</f>
        <v>2</v>
      </c>
      <c r="J1995" s="2" t="str">
        <f aca="false">IF(I1995&gt;=6,"High",IF(I1995&gt;=3,"Medium","Low"))</f>
        <v>Low</v>
      </c>
    </row>
    <row r="1996" customFormat="false" ht="15" hidden="false" customHeight="true" outlineLevel="0" collapsed="false">
      <c r="A1996" s="2" t="n">
        <f aca="false">'Raw Data'!H1996</f>
        <v>1995</v>
      </c>
      <c r="B1996" s="2" t="n">
        <f aca="false">'Raw Data'!A1996</f>
        <v>30</v>
      </c>
      <c r="C1996" s="2" t="str">
        <f aca="false">'Raw Data'!D1996</f>
        <v>Research &amp; Development</v>
      </c>
      <c r="D1996" s="2" t="str">
        <f aca="false">'Raw Data'!K1996</f>
        <v>Sales Executive</v>
      </c>
      <c r="E1996" s="2" t="n">
        <f aca="false">'Raw Data'!Q1996</f>
        <v>7</v>
      </c>
      <c r="F1996" s="2" t="n">
        <f aca="false">'Raw Data'!U1996</f>
        <v>2</v>
      </c>
      <c r="G1996" s="2" t="n">
        <f aca="false">'Raw Data'!W1996</f>
        <v>1</v>
      </c>
      <c r="H1996" s="2" t="n">
        <f aca="false">'Raw Data'!V1996</f>
        <v>3</v>
      </c>
      <c r="I1996" s="2" t="n">
        <f aca="false">IF(AND(ISNUMBER(B1996),B1996&lt;=25),2,0)+IF(AND(ISNUMBER(E1996),E1996&lt;=5),2,0)+IF(AND(ISNUMBER(F1996),F1996&lt;=1),2,0)+IF(AND(ISNUMBER(G1996),G1996&lt;=2),1,0)+IF(AND(ISNUMBER(H1996),H1996&lt;=2),1,0)</f>
        <v>1</v>
      </c>
      <c r="J1996" s="2" t="str">
        <f aca="false">IF(I1996&gt;=6,"High",IF(I1996&gt;=3,"Medium","Low"))</f>
        <v>Low</v>
      </c>
    </row>
    <row r="1997" customFormat="false" ht="15" hidden="false" customHeight="true" outlineLevel="0" collapsed="false">
      <c r="A1997" s="2" t="n">
        <f aca="false">'Raw Data'!H1997</f>
        <v>1996</v>
      </c>
      <c r="B1997" s="2" t="n">
        <f aca="false">'Raw Data'!A1997</f>
        <v>41</v>
      </c>
      <c r="C1997" s="2" t="str">
        <f aca="false">'Raw Data'!D1997</f>
        <v>Sales</v>
      </c>
      <c r="D1997" s="2" t="str">
        <f aca="false">'Raw Data'!K1997</f>
        <v>Research Director</v>
      </c>
      <c r="E1997" s="2" t="n">
        <f aca="false">'Raw Data'!Q1997</f>
        <v>10</v>
      </c>
      <c r="F1997" s="2" t="n">
        <f aca="false">'Raw Data'!U1997</f>
        <v>8</v>
      </c>
      <c r="G1997" s="2" t="n">
        <f aca="false">'Raw Data'!W1997</f>
        <v>3</v>
      </c>
      <c r="H1997" s="2" t="n">
        <f aca="false">'Raw Data'!V1997</f>
        <v>2</v>
      </c>
      <c r="I1997" s="2" t="n">
        <f aca="false">IF(AND(ISNUMBER(B1997),B1997&lt;=25),2,0)+IF(AND(ISNUMBER(E1997),E1997&lt;=5),2,0)+IF(AND(ISNUMBER(F1997),F1997&lt;=1),2,0)+IF(AND(ISNUMBER(G1997),G1997&lt;=2),1,0)+IF(AND(ISNUMBER(H1997),H1997&lt;=2),1,0)</f>
        <v>1</v>
      </c>
      <c r="J1997" s="2" t="str">
        <f aca="false">IF(I1997&gt;=6,"High",IF(I1997&gt;=3,"Medium","Low"))</f>
        <v>Low</v>
      </c>
    </row>
    <row r="1998" customFormat="false" ht="15" hidden="false" customHeight="true" outlineLevel="0" collapsed="false">
      <c r="A1998" s="2" t="n">
        <f aca="false">'Raw Data'!H1998</f>
        <v>1997</v>
      </c>
      <c r="B1998" s="2" t="n">
        <f aca="false">'Raw Data'!A1998</f>
        <v>38</v>
      </c>
      <c r="C1998" s="2" t="str">
        <f aca="false">'Raw Data'!D1998</f>
        <v>Research &amp; Development</v>
      </c>
      <c r="D1998" s="2" t="str">
        <f aca="false">'Raw Data'!K1998</f>
        <v>Sales Executive</v>
      </c>
      <c r="E1998" s="2" t="n">
        <f aca="false">'Raw Data'!Q1998</f>
        <v>20</v>
      </c>
      <c r="F1998" s="2" t="n">
        <f aca="false">'Raw Data'!U1998</f>
        <v>9</v>
      </c>
      <c r="G1998" s="2" t="n">
        <f aca="false">'Raw Data'!W1998</f>
        <v>3</v>
      </c>
      <c r="H1998" s="2" t="n">
        <f aca="false">'Raw Data'!V1998</f>
        <v>3</v>
      </c>
      <c r="I1998" s="2" t="n">
        <f aca="false">IF(AND(ISNUMBER(B1998),B1998&lt;=25),2,0)+IF(AND(ISNUMBER(E1998),E1998&lt;=5),2,0)+IF(AND(ISNUMBER(F1998),F1998&lt;=1),2,0)+IF(AND(ISNUMBER(G1998),G1998&lt;=2),1,0)+IF(AND(ISNUMBER(H1998),H1998&lt;=2),1,0)</f>
        <v>0</v>
      </c>
      <c r="J1998" s="2" t="str">
        <f aca="false">IF(I1998&gt;=6,"High",IF(I1998&gt;=3,"Medium","Low"))</f>
        <v>Low</v>
      </c>
    </row>
    <row r="1999" customFormat="false" ht="15" hidden="false" customHeight="true" outlineLevel="0" collapsed="false">
      <c r="A1999" s="2" t="n">
        <f aca="false">'Raw Data'!H1999</f>
        <v>1998</v>
      </c>
      <c r="B1999" s="2" t="n">
        <f aca="false">'Raw Data'!A1999</f>
        <v>40</v>
      </c>
      <c r="C1999" s="2" t="str">
        <f aca="false">'Raw Data'!D1999</f>
        <v>Sales</v>
      </c>
      <c r="D1999" s="2" t="str">
        <f aca="false">'Raw Data'!K1999</f>
        <v>Sales Executive</v>
      </c>
      <c r="E1999" s="2" t="n">
        <f aca="false">'Raw Data'!Q1999</f>
        <v>14</v>
      </c>
      <c r="F1999" s="2" t="n">
        <f aca="false">'Raw Data'!U1999</f>
        <v>1</v>
      </c>
      <c r="G1999" s="2" t="n">
        <f aca="false">'Raw Data'!W1999</f>
        <v>4</v>
      </c>
      <c r="H1999" s="2" t="n">
        <f aca="false">'Raw Data'!V1999</f>
        <v>1</v>
      </c>
      <c r="I1999" s="2" t="n">
        <f aca="false">IF(AND(ISNUMBER(B1999),B1999&lt;=25),2,0)+IF(AND(ISNUMBER(E1999),E1999&lt;=5),2,0)+IF(AND(ISNUMBER(F1999),F1999&lt;=1),2,0)+IF(AND(ISNUMBER(G1999),G1999&lt;=2),1,0)+IF(AND(ISNUMBER(H1999),H1999&lt;=2),1,0)</f>
        <v>3</v>
      </c>
      <c r="J1999" s="2" t="str">
        <f aca="false">IF(I1999&gt;=6,"High",IF(I1999&gt;=3,"Medium","Low"))</f>
        <v>Medium</v>
      </c>
    </row>
    <row r="2000" customFormat="false" ht="15" hidden="false" customHeight="true" outlineLevel="0" collapsed="false">
      <c r="A2000" s="2" t="n">
        <f aca="false">'Raw Data'!H2000</f>
        <v>1999</v>
      </c>
      <c r="B2000" s="2" t="n">
        <f aca="false">'Raw Data'!A2000</f>
        <v>27</v>
      </c>
      <c r="C2000" s="2" t="str">
        <f aca="false">'Raw Data'!D2000</f>
        <v>Sales</v>
      </c>
      <c r="D2000" s="2" t="str">
        <f aca="false">'Raw Data'!K2000</f>
        <v>Laboratory Technician</v>
      </c>
      <c r="E2000" s="2" t="n">
        <f aca="false">'Raw Data'!Q2000</f>
        <v>3</v>
      </c>
      <c r="F2000" s="2" t="n">
        <f aca="false">'Raw Data'!U2000</f>
        <v>2</v>
      </c>
      <c r="G2000" s="2" t="n">
        <f aca="false">'Raw Data'!W2000</f>
        <v>3</v>
      </c>
      <c r="H2000" s="2" t="n">
        <f aca="false">'Raw Data'!V2000</f>
        <v>1</v>
      </c>
      <c r="I2000" s="2" t="n">
        <f aca="false">IF(AND(ISNUMBER(B2000),B2000&lt;=25),2,0)+IF(AND(ISNUMBER(E2000),E2000&lt;=5),2,0)+IF(AND(ISNUMBER(F2000),F2000&lt;=1),2,0)+IF(AND(ISNUMBER(G2000),G2000&lt;=2),1,0)+IF(AND(ISNUMBER(H2000),H2000&lt;=2),1,0)</f>
        <v>3</v>
      </c>
      <c r="J2000" s="2" t="str">
        <f aca="false">IF(I2000&gt;=6,"High",IF(I2000&gt;=3,"Medium","Low"))</f>
        <v>Medium</v>
      </c>
    </row>
    <row r="2001" customFormat="false" ht="15" hidden="false" customHeight="true" outlineLevel="0" collapsed="false">
      <c r="A2001" s="2" t="n">
        <f aca="false">'Raw Data'!H2001</f>
        <v>2000</v>
      </c>
      <c r="B2001" s="2" t="n">
        <f aca="false">'Raw Data'!A2001</f>
        <v>55</v>
      </c>
      <c r="C2001" s="2" t="str">
        <f aca="false">'Raw Data'!D2001</f>
        <v>Research &amp; Development</v>
      </c>
      <c r="D2001" s="2" t="str">
        <f aca="false">'Raw Data'!K2001</f>
        <v>Laboratory Technician</v>
      </c>
      <c r="E2001" s="2" t="n">
        <f aca="false">'Raw Data'!Q2001</f>
        <v>23</v>
      </c>
      <c r="F2001" s="2" t="n">
        <f aca="false">'Raw Data'!U2001</f>
        <v>2</v>
      </c>
      <c r="G2001" s="2" t="n">
        <f aca="false">'Raw Data'!W2001</f>
        <v>2</v>
      </c>
      <c r="H2001" s="2" t="n">
        <f aca="false">'Raw Data'!V2001</f>
        <v>4</v>
      </c>
      <c r="I2001" s="2" t="n">
        <f aca="false">IF(AND(ISNUMBER(B2001),B2001&lt;=25),2,0)+IF(AND(ISNUMBER(E2001),E2001&lt;=5),2,0)+IF(AND(ISNUMBER(F2001),F2001&lt;=1),2,0)+IF(AND(ISNUMBER(G2001),G2001&lt;=2),1,0)+IF(AND(ISNUMBER(H2001),H2001&lt;=2),1,0)</f>
        <v>1</v>
      </c>
      <c r="J2001" s="2" t="str">
        <f aca="false">IF(I2001&gt;=6,"High",IF(I2001&gt;=3,"Medium","Low"))</f>
        <v>Low</v>
      </c>
    </row>
    <row r="2002" customFormat="false" ht="15" hidden="false" customHeight="true" outlineLevel="0" collapsed="false">
      <c r="A2002" s="2" t="n">
        <f aca="false">'Raw Data'!H2002</f>
        <v>2001</v>
      </c>
      <c r="B2002" s="2" t="n">
        <f aca="false">'Raw Data'!A2002</f>
        <v>28</v>
      </c>
      <c r="C2002" s="2" t="str">
        <f aca="false">'Raw Data'!D2002</f>
        <v>Research &amp; Development</v>
      </c>
      <c r="D2002" s="2" t="str">
        <f aca="false">'Raw Data'!K2002</f>
        <v>Healthcare Representative</v>
      </c>
      <c r="E2002" s="2" t="n">
        <f aca="false">'Raw Data'!Q2002</f>
        <v>10</v>
      </c>
      <c r="F2002" s="2" t="n">
        <f aca="false">'Raw Data'!U2002</f>
        <v>7</v>
      </c>
      <c r="G2002" s="2" t="n">
        <f aca="false">'Raw Data'!W2002</f>
        <v>3</v>
      </c>
      <c r="H2002" s="2" t="n">
        <f aca="false">'Raw Data'!V2002</f>
        <v>3</v>
      </c>
      <c r="I2002" s="2" t="n">
        <f aca="false">IF(AND(ISNUMBER(B2002),B2002&lt;=25),2,0)+IF(AND(ISNUMBER(E2002),E2002&lt;=5),2,0)+IF(AND(ISNUMBER(F2002),F2002&lt;=1),2,0)+IF(AND(ISNUMBER(G2002),G2002&lt;=2),1,0)+IF(AND(ISNUMBER(H2002),H2002&lt;=2),1,0)</f>
        <v>0</v>
      </c>
      <c r="J2002" s="2" t="str">
        <f aca="false">IF(I2002&gt;=6,"High",IF(I2002&gt;=3,"Medium","Low"))</f>
        <v>Low</v>
      </c>
    </row>
    <row r="2003" customFormat="false" ht="15" hidden="false" customHeight="true" outlineLevel="0" collapsed="false">
      <c r="A2003" s="2" t="n">
        <f aca="false">'Raw Data'!H2003</f>
        <v>2002</v>
      </c>
      <c r="B2003" s="2" t="n">
        <f aca="false">'Raw Data'!A2003</f>
        <v>44</v>
      </c>
      <c r="C2003" s="2" t="str">
        <f aca="false">'Raw Data'!D2003</f>
        <v>Research &amp; Development</v>
      </c>
      <c r="D2003" s="2" t="str">
        <f aca="false">'Raw Data'!K2003</f>
        <v>Sales Executive</v>
      </c>
      <c r="E2003" s="2" t="n">
        <f aca="false">'Raw Data'!Q2003</f>
        <v>24</v>
      </c>
      <c r="F2003" s="2" t="n">
        <f aca="false">'Raw Data'!U2003</f>
        <v>6</v>
      </c>
      <c r="G2003" s="2" t="n">
        <f aca="false">'Raw Data'!W2003</f>
        <v>1</v>
      </c>
      <c r="H2003" s="2" t="n">
        <f aca="false">'Raw Data'!V2003</f>
        <v>2</v>
      </c>
      <c r="I2003" s="2" t="n">
        <f aca="false">IF(AND(ISNUMBER(B2003),B2003&lt;=25),2,0)+IF(AND(ISNUMBER(E2003),E2003&lt;=5),2,0)+IF(AND(ISNUMBER(F2003),F2003&lt;=1),2,0)+IF(AND(ISNUMBER(G2003),G2003&lt;=2),1,0)+IF(AND(ISNUMBER(H2003),H2003&lt;=2),1,0)</f>
        <v>2</v>
      </c>
      <c r="J2003" s="2" t="str">
        <f aca="false">IF(I2003&gt;=6,"High",IF(I2003&gt;=3,"Medium","Low"))</f>
        <v>Low</v>
      </c>
    </row>
    <row r="2004" customFormat="false" ht="15" hidden="false" customHeight="true" outlineLevel="0" collapsed="false">
      <c r="A2004" s="2" t="n">
        <f aca="false">'Raw Data'!H2004</f>
        <v>2003</v>
      </c>
      <c r="B2004" s="2" t="n">
        <f aca="false">'Raw Data'!A2004</f>
        <v>33</v>
      </c>
      <c r="C2004" s="2" t="str">
        <f aca="false">'Raw Data'!D2004</f>
        <v>Sales</v>
      </c>
      <c r="D2004" s="2" t="str">
        <f aca="false">'Raw Data'!K2004</f>
        <v>Sales Executive</v>
      </c>
      <c r="E2004" s="2" t="n">
        <f aca="false">'Raw Data'!Q2004</f>
        <v>9</v>
      </c>
      <c r="F2004" s="2" t="n">
        <f aca="false">'Raw Data'!U2004</f>
        <v>2</v>
      </c>
      <c r="G2004" s="2" t="n">
        <f aca="false">'Raw Data'!W2004</f>
        <v>4</v>
      </c>
      <c r="H2004" s="2" t="n">
        <f aca="false">'Raw Data'!V2004</f>
        <v>4</v>
      </c>
      <c r="I2004" s="2" t="n">
        <f aca="false">IF(AND(ISNUMBER(B2004),B2004&lt;=25),2,0)+IF(AND(ISNUMBER(E2004),E2004&lt;=5),2,0)+IF(AND(ISNUMBER(F2004),F2004&lt;=1),2,0)+IF(AND(ISNUMBER(G2004),G2004&lt;=2),1,0)+IF(AND(ISNUMBER(H2004),H2004&lt;=2),1,0)</f>
        <v>0</v>
      </c>
      <c r="J2004" s="2" t="str">
        <f aca="false">IF(I2004&gt;=6,"High",IF(I2004&gt;=3,"Medium","Low"))</f>
        <v>Low</v>
      </c>
    </row>
    <row r="2005" customFormat="false" ht="15" hidden="false" customHeight="true" outlineLevel="0" collapsed="false">
      <c r="A2005" s="2" t="n">
        <f aca="false">'Raw Data'!H2005</f>
        <v>2004</v>
      </c>
      <c r="B2005" s="2" t="n">
        <f aca="false">'Raw Data'!A2005</f>
        <v>35</v>
      </c>
      <c r="C2005" s="2" t="str">
        <f aca="false">'Raw Data'!D2005</f>
        <v>Sales</v>
      </c>
      <c r="D2005" s="2" t="str">
        <f aca="false">'Raw Data'!K2005</f>
        <v>Sales Representative</v>
      </c>
      <c r="E2005" s="2" t="n">
        <f aca="false">'Raw Data'!Q2005</f>
        <v>9</v>
      </c>
      <c r="F2005" s="2" t="n">
        <f aca="false">'Raw Data'!U2005</f>
        <v>7</v>
      </c>
      <c r="G2005" s="2" t="n">
        <f aca="false">'Raw Data'!W2005</f>
        <v>1</v>
      </c>
      <c r="H2005" s="2" t="n">
        <f aca="false">'Raw Data'!V2005</f>
        <v>4</v>
      </c>
      <c r="I2005" s="2" t="n">
        <f aca="false">IF(AND(ISNUMBER(B2005),B2005&lt;=25),2,0)+IF(AND(ISNUMBER(E2005),E2005&lt;=5),2,0)+IF(AND(ISNUMBER(F2005),F2005&lt;=1),2,0)+IF(AND(ISNUMBER(G2005),G2005&lt;=2),1,0)+IF(AND(ISNUMBER(H2005),H2005&lt;=2),1,0)</f>
        <v>1</v>
      </c>
      <c r="J2005" s="2" t="str">
        <f aca="false">IF(I2005&gt;=6,"High",IF(I2005&gt;=3,"Medium","Low"))</f>
        <v>Low</v>
      </c>
    </row>
    <row r="2006" customFormat="false" ht="15" hidden="false" customHeight="true" outlineLevel="0" collapsed="false">
      <c r="A2006" s="2" t="n">
        <f aca="false">'Raw Data'!H2006</f>
        <v>2005</v>
      </c>
      <c r="B2006" s="2" t="n">
        <f aca="false">'Raw Data'!A2006</f>
        <v>33</v>
      </c>
      <c r="C2006" s="2" t="str">
        <f aca="false">'Raw Data'!D2006</f>
        <v>Research &amp; Development</v>
      </c>
      <c r="D2006" s="2" t="str">
        <f aca="false">'Raw Data'!K2006</f>
        <v>Sales Executive</v>
      </c>
      <c r="E2006" s="2" t="n">
        <f aca="false">'Raw Data'!Q2006</f>
        <v>14</v>
      </c>
      <c r="F2006" s="2" t="n">
        <f aca="false">'Raw Data'!U2006</f>
        <v>8</v>
      </c>
      <c r="G2006" s="2" t="n">
        <f aca="false">'Raw Data'!W2006</f>
        <v>3</v>
      </c>
      <c r="H2006" s="2" t="n">
        <f aca="false">'Raw Data'!V2006</f>
        <v>1</v>
      </c>
      <c r="I2006" s="2" t="n">
        <f aca="false">IF(AND(ISNUMBER(B2006),B2006&lt;=25),2,0)+IF(AND(ISNUMBER(E2006),E2006&lt;=5),2,0)+IF(AND(ISNUMBER(F2006),F2006&lt;=1),2,0)+IF(AND(ISNUMBER(G2006),G2006&lt;=2),1,0)+IF(AND(ISNUMBER(H2006),H2006&lt;=2),1,0)</f>
        <v>1</v>
      </c>
      <c r="J2006" s="2" t="str">
        <f aca="false">IF(I2006&gt;=6,"High",IF(I2006&gt;=3,"Medium","Low"))</f>
        <v>Low</v>
      </c>
    </row>
    <row r="2007" customFormat="false" ht="15" hidden="false" customHeight="true" outlineLevel="0" collapsed="false">
      <c r="A2007" s="2" t="n">
        <f aca="false">'Raw Data'!H2007</f>
        <v>2006</v>
      </c>
      <c r="B2007" s="2" t="n">
        <f aca="false">'Raw Data'!A2007</f>
        <v>28</v>
      </c>
      <c r="C2007" s="2" t="str">
        <f aca="false">'Raw Data'!D2007</f>
        <v>Human Resources</v>
      </c>
      <c r="D2007" s="2" t="str">
        <f aca="false">'Raw Data'!K2007</f>
        <v>Research Scientist</v>
      </c>
      <c r="E2007" s="2" t="n">
        <f aca="false">'Raw Data'!Q2007</f>
        <v>4</v>
      </c>
      <c r="F2007" s="2" t="n">
        <f aca="false">'Raw Data'!U2007</f>
        <v>2</v>
      </c>
      <c r="G2007" s="2" t="n">
        <f aca="false">'Raw Data'!W2007</f>
        <v>3</v>
      </c>
      <c r="H2007" s="2" t="n">
        <f aca="false">'Raw Data'!V2007</f>
        <v>1</v>
      </c>
      <c r="I2007" s="2" t="n">
        <f aca="false">IF(AND(ISNUMBER(B2007),B2007&lt;=25),2,0)+IF(AND(ISNUMBER(E2007),E2007&lt;=5),2,0)+IF(AND(ISNUMBER(F2007),F2007&lt;=1),2,0)+IF(AND(ISNUMBER(G2007),G2007&lt;=2),1,0)+IF(AND(ISNUMBER(H2007),H2007&lt;=2),1,0)</f>
        <v>3</v>
      </c>
      <c r="J2007" s="2" t="str">
        <f aca="false">IF(I2007&gt;=6,"High",IF(I2007&gt;=3,"Medium","Low"))</f>
        <v>Medium</v>
      </c>
    </row>
    <row r="2008" customFormat="false" ht="15" hidden="false" customHeight="true" outlineLevel="0" collapsed="false">
      <c r="A2008" s="2" t="n">
        <f aca="false">'Raw Data'!H2008</f>
        <v>2007</v>
      </c>
      <c r="B2008" s="2" t="n">
        <f aca="false">'Raw Data'!A2008</f>
        <v>34</v>
      </c>
      <c r="C2008" s="2" t="str">
        <f aca="false">'Raw Data'!D2008</f>
        <v>Sales</v>
      </c>
      <c r="D2008" s="2" t="str">
        <f aca="false">'Raw Data'!K2008</f>
        <v>Research Scientist</v>
      </c>
      <c r="E2008" s="2" t="n">
        <f aca="false">'Raw Data'!Q2008</f>
        <v>7</v>
      </c>
      <c r="F2008" s="2" t="n">
        <f aca="false">'Raw Data'!U2008</f>
        <v>4</v>
      </c>
      <c r="G2008" s="2" t="n">
        <f aca="false">'Raw Data'!W2008</f>
        <v>4</v>
      </c>
      <c r="H2008" s="2" t="n">
        <f aca="false">'Raw Data'!V2008</f>
        <v>1</v>
      </c>
      <c r="I2008" s="2" t="n">
        <f aca="false">IF(AND(ISNUMBER(B2008),B2008&lt;=25),2,0)+IF(AND(ISNUMBER(E2008),E2008&lt;=5),2,0)+IF(AND(ISNUMBER(F2008),F2008&lt;=1),2,0)+IF(AND(ISNUMBER(G2008),G2008&lt;=2),1,0)+IF(AND(ISNUMBER(H2008),H2008&lt;=2),1,0)</f>
        <v>1</v>
      </c>
      <c r="J2008" s="2" t="str">
        <f aca="false">IF(I2008&gt;=6,"High",IF(I2008&gt;=3,"Medium","Low"))</f>
        <v>Low</v>
      </c>
    </row>
    <row r="2009" customFormat="false" ht="15" hidden="false" customHeight="true" outlineLevel="0" collapsed="false">
      <c r="A2009" s="2" t="n">
        <f aca="false">'Raw Data'!H2009</f>
        <v>2008</v>
      </c>
      <c r="B2009" s="2" t="n">
        <f aca="false">'Raw Data'!A2009</f>
        <v>37</v>
      </c>
      <c r="C2009" s="2" t="str">
        <f aca="false">'Raw Data'!D2009</f>
        <v>Research &amp; Development</v>
      </c>
      <c r="D2009" s="2" t="str">
        <f aca="false">'Raw Data'!K2009</f>
        <v>Sales Executive</v>
      </c>
      <c r="E2009" s="2" t="n">
        <f aca="false">'Raw Data'!Q2009</f>
        <v>8</v>
      </c>
      <c r="F2009" s="2" t="n">
        <f aca="false">'Raw Data'!U2009</f>
        <v>0</v>
      </c>
      <c r="G2009" s="2" t="n">
        <f aca="false">'Raw Data'!W2009</f>
        <v>4</v>
      </c>
      <c r="H2009" s="2" t="n">
        <f aca="false">'Raw Data'!V2009</f>
        <v>4</v>
      </c>
      <c r="I2009" s="2" t="n">
        <f aca="false">IF(AND(ISNUMBER(B2009),B2009&lt;=25),2,0)+IF(AND(ISNUMBER(E2009),E2009&lt;=5),2,0)+IF(AND(ISNUMBER(F2009),F2009&lt;=1),2,0)+IF(AND(ISNUMBER(G2009),G2009&lt;=2),1,0)+IF(AND(ISNUMBER(H2009),H2009&lt;=2),1,0)</f>
        <v>2</v>
      </c>
      <c r="J2009" s="2" t="str">
        <f aca="false">IF(I2009&gt;=6,"High",IF(I2009&gt;=3,"Medium","Low"))</f>
        <v>Low</v>
      </c>
    </row>
    <row r="2010" customFormat="false" ht="15" hidden="false" customHeight="true" outlineLevel="0" collapsed="false">
      <c r="A2010" s="2" t="n">
        <f aca="false">'Raw Data'!H2010</f>
        <v>2009</v>
      </c>
      <c r="B2010" s="2" t="n">
        <f aca="false">'Raw Data'!A2010</f>
        <v>25</v>
      </c>
      <c r="C2010" s="2" t="str">
        <f aca="false">'Raw Data'!D2010</f>
        <v>Human Resources</v>
      </c>
      <c r="D2010" s="2" t="str">
        <f aca="false">'Raw Data'!K2010</f>
        <v>Research Scientist</v>
      </c>
      <c r="E2010" s="2" t="n">
        <f aca="false">'Raw Data'!Q2010</f>
        <v>7</v>
      </c>
      <c r="F2010" s="2" t="n">
        <f aca="false">'Raw Data'!U2010</f>
        <v>6</v>
      </c>
      <c r="G2010" s="2" t="n">
        <f aca="false">'Raw Data'!W2010</f>
        <v>4</v>
      </c>
      <c r="H2010" s="2" t="n">
        <f aca="false">'Raw Data'!V2010</f>
        <v>4</v>
      </c>
      <c r="I2010" s="2" t="n">
        <f aca="false">IF(AND(ISNUMBER(B2010),B2010&lt;=25),2,0)+IF(AND(ISNUMBER(E2010),E2010&lt;=5),2,0)+IF(AND(ISNUMBER(F2010),F2010&lt;=1),2,0)+IF(AND(ISNUMBER(G2010),G2010&lt;=2),1,0)+IF(AND(ISNUMBER(H2010),H2010&lt;=2),1,0)</f>
        <v>2</v>
      </c>
      <c r="J2010" s="2" t="str">
        <f aca="false">IF(I2010&gt;=6,"High",IF(I2010&gt;=3,"Medium","Low"))</f>
        <v>Low</v>
      </c>
    </row>
    <row r="2011" customFormat="false" ht="15" hidden="false" customHeight="true" outlineLevel="0" collapsed="false">
      <c r="A2011" s="2" t="n">
        <f aca="false">'Raw Data'!H2011</f>
        <v>2010</v>
      </c>
      <c r="B2011" s="2" t="n">
        <f aca="false">'Raw Data'!A2011</f>
        <v>26</v>
      </c>
      <c r="C2011" s="2" t="str">
        <f aca="false">'Raw Data'!D2011</f>
        <v>Sales</v>
      </c>
      <c r="D2011" s="2" t="str">
        <f aca="false">'Raw Data'!K2011</f>
        <v>Sales Executive</v>
      </c>
      <c r="E2011" s="2" t="n">
        <f aca="false">'Raw Data'!Q2011</f>
        <v>1</v>
      </c>
      <c r="F2011" s="2" t="n">
        <f aca="false">'Raw Data'!U2011</f>
        <v>0</v>
      </c>
      <c r="G2011" s="2" t="n">
        <f aca="false">'Raw Data'!W2011</f>
        <v>3</v>
      </c>
      <c r="H2011" s="2" t="n">
        <f aca="false">'Raw Data'!V2011</f>
        <v>1</v>
      </c>
      <c r="I2011" s="2" t="n">
        <f aca="false">IF(AND(ISNUMBER(B2011),B2011&lt;=25),2,0)+IF(AND(ISNUMBER(E2011),E2011&lt;=5),2,0)+IF(AND(ISNUMBER(F2011),F2011&lt;=1),2,0)+IF(AND(ISNUMBER(G2011),G2011&lt;=2),1,0)+IF(AND(ISNUMBER(H2011),H2011&lt;=2),1,0)</f>
        <v>5</v>
      </c>
      <c r="J2011" s="2" t="str">
        <f aca="false">IF(I2011&gt;=6,"High",IF(I2011&gt;=3,"Medium","Low"))</f>
        <v>Medium</v>
      </c>
    </row>
    <row r="2012" customFormat="false" ht="15" hidden="false" customHeight="true" outlineLevel="0" collapsed="false">
      <c r="A2012" s="2" t="n">
        <f aca="false">'Raw Data'!H2012</f>
        <v>2011</v>
      </c>
      <c r="B2012" s="2" t="n">
        <f aca="false">'Raw Data'!A2012</f>
        <v>33</v>
      </c>
      <c r="C2012" s="2" t="str">
        <f aca="false">'Raw Data'!D2012</f>
        <v>Research &amp; Development</v>
      </c>
      <c r="D2012" s="2" t="str">
        <f aca="false">'Raw Data'!K2012</f>
        <v>Manufacturing Director</v>
      </c>
      <c r="E2012" s="2" t="n">
        <f aca="false">'Raw Data'!Q2012</f>
        <v>5</v>
      </c>
      <c r="F2012" s="2" t="n">
        <f aca="false">'Raw Data'!U2012</f>
        <v>2</v>
      </c>
      <c r="G2012" s="2" t="n">
        <f aca="false">'Raw Data'!W2012</f>
        <v>2</v>
      </c>
      <c r="H2012" s="2" t="n">
        <f aca="false">'Raw Data'!V2012</f>
        <v>1</v>
      </c>
      <c r="I2012" s="2" t="n">
        <f aca="false">IF(AND(ISNUMBER(B2012),B2012&lt;=25),2,0)+IF(AND(ISNUMBER(E2012),E2012&lt;=5),2,0)+IF(AND(ISNUMBER(F2012),F2012&lt;=1),2,0)+IF(AND(ISNUMBER(G2012),G2012&lt;=2),1,0)+IF(AND(ISNUMBER(H2012),H2012&lt;=2),1,0)</f>
        <v>4</v>
      </c>
      <c r="J2012" s="2" t="str">
        <f aca="false">IF(I2012&gt;=6,"High",IF(I2012&gt;=3,"Medium","Low"))</f>
        <v>Medium</v>
      </c>
    </row>
    <row r="2013" customFormat="false" ht="15" hidden="false" customHeight="true" outlineLevel="0" collapsed="false">
      <c r="A2013" s="2" t="n">
        <f aca="false">'Raw Data'!H2013</f>
        <v>2012</v>
      </c>
      <c r="B2013" s="2" t="n">
        <f aca="false">'Raw Data'!A2013</f>
        <v>42</v>
      </c>
      <c r="C2013" s="2" t="str">
        <f aca="false">'Raw Data'!D2013</f>
        <v>Research &amp; Development</v>
      </c>
      <c r="D2013" s="2" t="str">
        <f aca="false">'Raw Data'!K2013</f>
        <v>Research Scientist</v>
      </c>
      <c r="E2013" s="2" t="n">
        <f aca="false">'Raw Data'!Q2013</f>
        <v>23</v>
      </c>
      <c r="F2013" s="2" t="n">
        <f aca="false">'Raw Data'!U2013</f>
        <v>7</v>
      </c>
      <c r="G2013" s="2" t="n">
        <f aca="false">'Raw Data'!W2013</f>
        <v>1</v>
      </c>
      <c r="H2013" s="2" t="n">
        <f aca="false">'Raw Data'!V2013</f>
        <v>4</v>
      </c>
      <c r="I2013" s="2" t="n">
        <f aca="false">IF(AND(ISNUMBER(B2013),B2013&lt;=25),2,0)+IF(AND(ISNUMBER(E2013),E2013&lt;=5),2,0)+IF(AND(ISNUMBER(F2013),F2013&lt;=1),2,0)+IF(AND(ISNUMBER(G2013),G2013&lt;=2),1,0)+IF(AND(ISNUMBER(H2013),H2013&lt;=2),1,0)</f>
        <v>1</v>
      </c>
      <c r="J2013" s="2" t="str">
        <f aca="false">IF(I2013&gt;=6,"High",IF(I2013&gt;=3,"Medium","Low"))</f>
        <v>Low</v>
      </c>
    </row>
    <row r="2014" customFormat="false" ht="15" hidden="false" customHeight="true" outlineLevel="0" collapsed="false">
      <c r="A2014" s="2" t="n">
        <f aca="false">'Raw Data'!H2014</f>
        <v>2013</v>
      </c>
      <c r="B2014" s="2" t="n">
        <f aca="false">'Raw Data'!A2014</f>
        <v>28</v>
      </c>
      <c r="C2014" s="2" t="str">
        <f aca="false">'Raw Data'!D2014</f>
        <v>Research &amp; Development</v>
      </c>
      <c r="D2014" s="2" t="str">
        <f aca="false">'Raw Data'!K2014</f>
        <v>Manager</v>
      </c>
      <c r="E2014" s="2" t="n">
        <f aca="false">'Raw Data'!Q2014</f>
        <v>1</v>
      </c>
      <c r="F2014" s="2" t="n">
        <f aca="false">'Raw Data'!U2014</f>
        <v>0</v>
      </c>
      <c r="G2014" s="2" t="n">
        <f aca="false">'Raw Data'!W2014</f>
        <v>2</v>
      </c>
      <c r="H2014" s="2" t="n">
        <f aca="false">'Raw Data'!V2014</f>
        <v>1</v>
      </c>
      <c r="I2014" s="2" t="n">
        <f aca="false">IF(AND(ISNUMBER(B2014),B2014&lt;=25),2,0)+IF(AND(ISNUMBER(E2014),E2014&lt;=5),2,0)+IF(AND(ISNUMBER(F2014),F2014&lt;=1),2,0)+IF(AND(ISNUMBER(G2014),G2014&lt;=2),1,0)+IF(AND(ISNUMBER(H2014),H2014&lt;=2),1,0)</f>
        <v>6</v>
      </c>
      <c r="J2014" s="2" t="str">
        <f aca="false">IF(I2014&gt;=6,"High",IF(I2014&gt;=3,"Medium","Low"))</f>
        <v>High</v>
      </c>
    </row>
    <row r="2015" customFormat="false" ht="15" hidden="false" customHeight="true" outlineLevel="0" collapsed="false">
      <c r="A2015" s="2" t="n">
        <f aca="false">'Raw Data'!H2015</f>
        <v>2014</v>
      </c>
      <c r="B2015" s="2" t="n">
        <f aca="false">'Raw Data'!A2015</f>
        <v>50</v>
      </c>
      <c r="C2015" s="2" t="str">
        <f aca="false">'Raw Data'!D2015</f>
        <v>Research &amp; Development</v>
      </c>
      <c r="D2015" s="2" t="str">
        <f aca="false">'Raw Data'!K2015</f>
        <v>Research Scientist</v>
      </c>
      <c r="E2015" s="2" t="n">
        <f aca="false">'Raw Data'!Q2015</f>
        <v>5</v>
      </c>
      <c r="F2015" s="2" t="n">
        <f aca="false">'Raw Data'!U2015</f>
        <v>0</v>
      </c>
      <c r="G2015" s="2" t="n">
        <f aca="false">'Raw Data'!W2015</f>
        <v>3</v>
      </c>
      <c r="H2015" s="2" t="n">
        <f aca="false">'Raw Data'!V2015</f>
        <v>4</v>
      </c>
      <c r="I2015" s="2" t="n">
        <f aca="false">IF(AND(ISNUMBER(B2015),B2015&lt;=25),2,0)+IF(AND(ISNUMBER(E2015),E2015&lt;=5),2,0)+IF(AND(ISNUMBER(F2015),F2015&lt;=1),2,0)+IF(AND(ISNUMBER(G2015),G2015&lt;=2),1,0)+IF(AND(ISNUMBER(H2015),H2015&lt;=2),1,0)</f>
        <v>4</v>
      </c>
      <c r="J2015" s="2" t="str">
        <f aca="false">IF(I2015&gt;=6,"High",IF(I2015&gt;=3,"Medium","Low"))</f>
        <v>Medium</v>
      </c>
    </row>
    <row r="2016" customFormat="false" ht="15" hidden="false" customHeight="true" outlineLevel="0" collapsed="false">
      <c r="A2016" s="2" t="n">
        <f aca="false">'Raw Data'!H2016</f>
        <v>2015</v>
      </c>
      <c r="B2016" s="2" t="n">
        <f aca="false">'Raw Data'!A2016</f>
        <v>33</v>
      </c>
      <c r="C2016" s="2" t="str">
        <f aca="false">'Raw Data'!D2016</f>
        <v>Sales</v>
      </c>
      <c r="D2016" s="2" t="str">
        <f aca="false">'Raw Data'!K2016</f>
        <v>Research Scientist</v>
      </c>
      <c r="E2016" s="2" t="n">
        <f aca="false">'Raw Data'!Q2016</f>
        <v>4</v>
      </c>
      <c r="F2016" s="2" t="n">
        <f aca="false">'Raw Data'!U2016</f>
        <v>2</v>
      </c>
      <c r="G2016" s="2" t="n">
        <f aca="false">'Raw Data'!W2016</f>
        <v>2</v>
      </c>
      <c r="H2016" s="2" t="n">
        <f aca="false">'Raw Data'!V2016</f>
        <v>4</v>
      </c>
      <c r="I2016" s="2" t="n">
        <f aca="false">IF(AND(ISNUMBER(B2016),B2016&lt;=25),2,0)+IF(AND(ISNUMBER(E2016),E2016&lt;=5),2,0)+IF(AND(ISNUMBER(F2016),F2016&lt;=1),2,0)+IF(AND(ISNUMBER(G2016),G2016&lt;=2),1,0)+IF(AND(ISNUMBER(H2016),H2016&lt;=2),1,0)</f>
        <v>3</v>
      </c>
      <c r="J2016" s="2" t="str">
        <f aca="false">IF(I2016&gt;=6,"High",IF(I2016&gt;=3,"Medium","Low"))</f>
        <v>Medium</v>
      </c>
    </row>
    <row r="2017" customFormat="false" ht="15" hidden="false" customHeight="true" outlineLevel="0" collapsed="false">
      <c r="A2017" s="2" t="n">
        <f aca="false">'Raw Data'!H2017</f>
        <v>2016</v>
      </c>
      <c r="B2017" s="2" t="n">
        <f aca="false">'Raw Data'!A2017</f>
        <v>34</v>
      </c>
      <c r="C2017" s="2" t="str">
        <f aca="false">'Raw Data'!D2017</f>
        <v>Sales</v>
      </c>
      <c r="D2017" s="2" t="str">
        <f aca="false">'Raw Data'!K2017</f>
        <v>Research Director</v>
      </c>
      <c r="E2017" s="2" t="n">
        <f aca="false">'Raw Data'!Q2017</f>
        <v>6</v>
      </c>
      <c r="F2017" s="2" t="n">
        <f aca="false">'Raw Data'!U2017</f>
        <v>0</v>
      </c>
      <c r="G2017" s="2" t="n">
        <f aca="false">'Raw Data'!W2017</f>
        <v>4</v>
      </c>
      <c r="H2017" s="2" t="n">
        <f aca="false">'Raw Data'!V2017</f>
        <v>3</v>
      </c>
      <c r="I2017" s="2" t="n">
        <f aca="false">IF(AND(ISNUMBER(B2017),B2017&lt;=25),2,0)+IF(AND(ISNUMBER(E2017),E2017&lt;=5),2,0)+IF(AND(ISNUMBER(F2017),F2017&lt;=1),2,0)+IF(AND(ISNUMBER(G2017),G2017&lt;=2),1,0)+IF(AND(ISNUMBER(H2017),H2017&lt;=2),1,0)</f>
        <v>2</v>
      </c>
      <c r="J2017" s="2" t="str">
        <f aca="false">IF(I2017&gt;=6,"High",IF(I2017&gt;=3,"Medium","Low"))</f>
        <v>Low</v>
      </c>
    </row>
    <row r="2018" customFormat="false" ht="15" hidden="false" customHeight="true" outlineLevel="0" collapsed="false">
      <c r="A2018" s="2" t="n">
        <f aca="false">'Raw Data'!H2018</f>
        <v>2017</v>
      </c>
      <c r="B2018" s="2" t="n">
        <f aca="false">'Raw Data'!A2018</f>
        <v>48</v>
      </c>
      <c r="C2018" s="2" t="str">
        <f aca="false">'Raw Data'!D2018</f>
        <v>Sales</v>
      </c>
      <c r="D2018" s="2" t="str">
        <f aca="false">'Raw Data'!K2018</f>
        <v>Sales Executive</v>
      </c>
      <c r="E2018" s="2" t="n">
        <f aca="false">'Raw Data'!Q2018</f>
        <v>27</v>
      </c>
      <c r="F2018" s="2" t="n">
        <f aca="false">'Raw Data'!U2018</f>
        <v>1</v>
      </c>
      <c r="G2018" s="2" t="n">
        <f aca="false">'Raw Data'!W2018</f>
        <v>4</v>
      </c>
      <c r="H2018" s="2" t="n">
        <f aca="false">'Raw Data'!V2018</f>
        <v>1</v>
      </c>
      <c r="I2018" s="2" t="n">
        <f aca="false">IF(AND(ISNUMBER(B2018),B2018&lt;=25),2,0)+IF(AND(ISNUMBER(E2018),E2018&lt;=5),2,0)+IF(AND(ISNUMBER(F2018),F2018&lt;=1),2,0)+IF(AND(ISNUMBER(G2018),G2018&lt;=2),1,0)+IF(AND(ISNUMBER(H2018),H2018&lt;=2),1,0)</f>
        <v>3</v>
      </c>
      <c r="J2018" s="2" t="str">
        <f aca="false">IF(I2018&gt;=6,"High",IF(I2018&gt;=3,"Medium","Low"))</f>
        <v>Medium</v>
      </c>
    </row>
    <row r="2019" customFormat="false" ht="15" hidden="false" customHeight="true" outlineLevel="0" collapsed="false">
      <c r="A2019" s="2" t="n">
        <f aca="false">'Raw Data'!H2019</f>
        <v>2018</v>
      </c>
      <c r="B2019" s="2" t="n">
        <f aca="false">'Raw Data'!A2019</f>
        <v>45</v>
      </c>
      <c r="C2019" s="2" t="str">
        <f aca="false">'Raw Data'!D2019</f>
        <v>Research &amp; Development</v>
      </c>
      <c r="D2019" s="2" t="str">
        <f aca="false">'Raw Data'!K2019</f>
        <v>Human Resources</v>
      </c>
      <c r="E2019" s="2" t="n">
        <f aca="false">'Raw Data'!Q2019</f>
        <v>15</v>
      </c>
      <c r="F2019" s="2" t="n">
        <f aca="false">'Raw Data'!U2019</f>
        <v>12</v>
      </c>
      <c r="G2019" s="2" t="n">
        <f aca="false">'Raw Data'!W2019</f>
        <v>3</v>
      </c>
      <c r="H2019" s="2" t="n">
        <f aca="false">'Raw Data'!V2019</f>
        <v>2</v>
      </c>
      <c r="I2019" s="2" t="n">
        <f aca="false">IF(AND(ISNUMBER(B2019),B2019&lt;=25),2,0)+IF(AND(ISNUMBER(E2019),E2019&lt;=5),2,0)+IF(AND(ISNUMBER(F2019),F2019&lt;=1),2,0)+IF(AND(ISNUMBER(G2019),G2019&lt;=2),1,0)+IF(AND(ISNUMBER(H2019),H2019&lt;=2),1,0)</f>
        <v>1</v>
      </c>
      <c r="J2019" s="2" t="str">
        <f aca="false">IF(I2019&gt;=6,"High",IF(I2019&gt;=3,"Medium","Low"))</f>
        <v>Low</v>
      </c>
    </row>
    <row r="2020" customFormat="false" ht="15" hidden="false" customHeight="true" outlineLevel="0" collapsed="false">
      <c r="A2020" s="2" t="n">
        <f aca="false">'Raw Data'!H2020</f>
        <v>2019</v>
      </c>
      <c r="B2020" s="2" t="n">
        <f aca="false">'Raw Data'!A2020</f>
        <v>52</v>
      </c>
      <c r="C2020" s="2" t="str">
        <f aca="false">'Raw Data'!D2020</f>
        <v>Sales</v>
      </c>
      <c r="D2020" s="2" t="str">
        <f aca="false">'Raw Data'!K2020</f>
        <v>Sales Executive</v>
      </c>
      <c r="E2020" s="2" t="n">
        <f aca="false">'Raw Data'!Q2020</f>
        <v>18</v>
      </c>
      <c r="F2020" s="2" t="n">
        <f aca="false">'Raw Data'!U2020</f>
        <v>0</v>
      </c>
      <c r="G2020" s="2" t="n">
        <f aca="false">'Raw Data'!W2020</f>
        <v>2</v>
      </c>
      <c r="H2020" s="2" t="n">
        <f aca="false">'Raw Data'!V2020</f>
        <v>2</v>
      </c>
      <c r="I2020" s="2" t="n">
        <f aca="false">IF(AND(ISNUMBER(B2020),B2020&lt;=25),2,0)+IF(AND(ISNUMBER(E2020),E2020&lt;=5),2,0)+IF(AND(ISNUMBER(F2020),F2020&lt;=1),2,0)+IF(AND(ISNUMBER(G2020),G2020&lt;=2),1,0)+IF(AND(ISNUMBER(H2020),H2020&lt;=2),1,0)</f>
        <v>4</v>
      </c>
      <c r="J2020" s="2" t="str">
        <f aca="false">IF(I2020&gt;=6,"High",IF(I2020&gt;=3,"Medium","Low"))</f>
        <v>Medium</v>
      </c>
    </row>
    <row r="2021" customFormat="false" ht="15" hidden="false" customHeight="true" outlineLevel="0" collapsed="false">
      <c r="A2021" s="2" t="n">
        <f aca="false">'Raw Data'!H2021</f>
        <v>2020</v>
      </c>
      <c r="B2021" s="2" t="n">
        <f aca="false">'Raw Data'!A2021</f>
        <v>38</v>
      </c>
      <c r="C2021" s="2" t="str">
        <f aca="false">'Raw Data'!D2021</f>
        <v>Research &amp; Development</v>
      </c>
      <c r="D2021" s="2" t="str">
        <f aca="false">'Raw Data'!K2021</f>
        <v>Research Scientist</v>
      </c>
      <c r="E2021" s="2" t="n">
        <f aca="false">'Raw Data'!Q2021</f>
        <v>9</v>
      </c>
      <c r="F2021" s="2" t="n">
        <f aca="false">'Raw Data'!U2021</f>
        <v>7</v>
      </c>
      <c r="G2021" s="2" t="n">
        <f aca="false">'Raw Data'!W2021</f>
        <v>3</v>
      </c>
      <c r="H2021" s="2" t="n">
        <f aca="false">'Raw Data'!V2021</f>
        <v>3</v>
      </c>
      <c r="I2021" s="2" t="n">
        <f aca="false">IF(AND(ISNUMBER(B2021),B2021&lt;=25),2,0)+IF(AND(ISNUMBER(E2021),E2021&lt;=5),2,0)+IF(AND(ISNUMBER(F2021),F2021&lt;=1),2,0)+IF(AND(ISNUMBER(G2021),G2021&lt;=2),1,0)+IF(AND(ISNUMBER(H2021),H2021&lt;=2),1,0)</f>
        <v>0</v>
      </c>
      <c r="J2021" s="2" t="str">
        <f aca="false">IF(I2021&gt;=6,"High",IF(I2021&gt;=3,"Medium","Low"))</f>
        <v>Low</v>
      </c>
    </row>
    <row r="2022" customFormat="false" ht="15" hidden="false" customHeight="true" outlineLevel="0" collapsed="false">
      <c r="A2022" s="2" t="n">
        <f aca="false">'Raw Data'!H2022</f>
        <v>2021</v>
      </c>
      <c r="B2022" s="2" t="n">
        <f aca="false">'Raw Data'!A2022</f>
        <v>29</v>
      </c>
      <c r="C2022" s="2" t="str">
        <f aca="false">'Raw Data'!D2022</f>
        <v>Research &amp; Development</v>
      </c>
      <c r="D2022" s="2" t="str">
        <f aca="false">'Raw Data'!K2022</f>
        <v>Research Scientist</v>
      </c>
      <c r="E2022" s="2" t="n">
        <f aca="false">'Raw Data'!Q2022</f>
        <v>11</v>
      </c>
      <c r="F2022" s="2" t="n">
        <f aca="false">'Raw Data'!U2022</f>
        <v>7</v>
      </c>
      <c r="G2022" s="2" t="n">
        <f aca="false">'Raw Data'!W2022</f>
        <v>4</v>
      </c>
      <c r="H2022" s="2" t="n">
        <f aca="false">'Raw Data'!V2022</f>
        <v>3</v>
      </c>
      <c r="I2022" s="2" t="n">
        <f aca="false">IF(AND(ISNUMBER(B2022),B2022&lt;=25),2,0)+IF(AND(ISNUMBER(E2022),E2022&lt;=5),2,0)+IF(AND(ISNUMBER(F2022),F2022&lt;=1),2,0)+IF(AND(ISNUMBER(G2022),G2022&lt;=2),1,0)+IF(AND(ISNUMBER(H2022),H2022&lt;=2),1,0)</f>
        <v>0</v>
      </c>
      <c r="J2022" s="2" t="str">
        <f aca="false">IF(I2022&gt;=6,"High",IF(I2022&gt;=3,"Medium","Low"))</f>
        <v>Low</v>
      </c>
    </row>
    <row r="2023" customFormat="false" ht="15" hidden="false" customHeight="true" outlineLevel="0" collapsed="false">
      <c r="A2023" s="2" t="n">
        <f aca="false">'Raw Data'!H2023</f>
        <v>2022</v>
      </c>
      <c r="B2023" s="2" t="n">
        <f aca="false">'Raw Data'!A2023</f>
        <v>28</v>
      </c>
      <c r="C2023" s="2" t="str">
        <f aca="false">'Raw Data'!D2023</f>
        <v>Human Resources</v>
      </c>
      <c r="D2023" s="2" t="str">
        <f aca="false">'Raw Data'!K2023</f>
        <v>Laboratory Technician</v>
      </c>
      <c r="E2023" s="2" t="n">
        <f aca="false">'Raw Data'!Q2023</f>
        <v>10</v>
      </c>
      <c r="F2023" s="2" t="n">
        <f aca="false">'Raw Data'!U2023</f>
        <v>7</v>
      </c>
      <c r="G2023" s="2" t="n">
        <f aca="false">'Raw Data'!W2023</f>
        <v>2</v>
      </c>
      <c r="H2023" s="2" t="n">
        <f aca="false">'Raw Data'!V2023</f>
        <v>4</v>
      </c>
      <c r="I2023" s="2" t="n">
        <f aca="false">IF(AND(ISNUMBER(B2023),B2023&lt;=25),2,0)+IF(AND(ISNUMBER(E2023),E2023&lt;=5),2,0)+IF(AND(ISNUMBER(F2023),F2023&lt;=1),2,0)+IF(AND(ISNUMBER(G2023),G2023&lt;=2),1,0)+IF(AND(ISNUMBER(H2023),H2023&lt;=2),1,0)</f>
        <v>1</v>
      </c>
      <c r="J2023" s="2" t="str">
        <f aca="false">IF(I2023&gt;=6,"High",IF(I2023&gt;=3,"Medium","Low"))</f>
        <v>Low</v>
      </c>
    </row>
    <row r="2024" customFormat="false" ht="15" hidden="false" customHeight="true" outlineLevel="0" collapsed="false">
      <c r="A2024" s="2" t="n">
        <f aca="false">'Raw Data'!H2024</f>
        <v>2023</v>
      </c>
      <c r="B2024" s="2" t="n">
        <f aca="false">'Raw Data'!A2024</f>
        <v>46</v>
      </c>
      <c r="C2024" s="2" t="str">
        <f aca="false">'Raw Data'!D2024</f>
        <v>Research &amp; Development</v>
      </c>
      <c r="D2024" s="2" t="str">
        <f aca="false">'Raw Data'!K2024</f>
        <v>Sales Executive</v>
      </c>
      <c r="E2024" s="2" t="n">
        <f aca="false">'Raw Data'!Q2024</f>
        <v>23</v>
      </c>
      <c r="F2024" s="2" t="n">
        <f aca="false">'Raw Data'!U2024</f>
        <v>9</v>
      </c>
      <c r="G2024" s="2" t="n">
        <f aca="false">'Raw Data'!W2024</f>
        <v>3</v>
      </c>
      <c r="H2024" s="2" t="n">
        <f aca="false">'Raw Data'!V2024</f>
        <v>1</v>
      </c>
      <c r="I2024" s="2" t="n">
        <f aca="false">IF(AND(ISNUMBER(B2024),B2024&lt;=25),2,0)+IF(AND(ISNUMBER(E2024),E2024&lt;=5),2,0)+IF(AND(ISNUMBER(F2024),F2024&lt;=1),2,0)+IF(AND(ISNUMBER(G2024),G2024&lt;=2),1,0)+IF(AND(ISNUMBER(H2024),H2024&lt;=2),1,0)</f>
        <v>1</v>
      </c>
      <c r="J2024" s="2" t="str">
        <f aca="false">IF(I2024&gt;=6,"High",IF(I2024&gt;=3,"Medium","Low"))</f>
        <v>Low</v>
      </c>
    </row>
    <row r="2025" customFormat="false" ht="15" hidden="false" customHeight="true" outlineLevel="0" collapsed="false">
      <c r="A2025" s="2" t="n">
        <f aca="false">'Raw Data'!H2025</f>
        <v>2024</v>
      </c>
      <c r="B2025" s="2" t="n">
        <f aca="false">'Raw Data'!A2025</f>
        <v>38</v>
      </c>
      <c r="C2025" s="2" t="str">
        <f aca="false">'Raw Data'!D2025</f>
        <v>Research &amp; Development</v>
      </c>
      <c r="D2025" s="2" t="str">
        <f aca="false">'Raw Data'!K2025</f>
        <v>Sales Executive</v>
      </c>
      <c r="E2025" s="2" t="n">
        <f aca="false">'Raw Data'!Q2025</f>
        <v>10</v>
      </c>
      <c r="F2025" s="2" t="n">
        <f aca="false">'Raw Data'!U2025</f>
        <v>0</v>
      </c>
      <c r="G2025" s="2" t="n">
        <f aca="false">'Raw Data'!W2025</f>
        <v>2</v>
      </c>
      <c r="H2025" s="2" t="n">
        <f aca="false">'Raw Data'!V2025</f>
        <v>4</v>
      </c>
      <c r="I2025" s="2" t="n">
        <f aca="false">IF(AND(ISNUMBER(B2025),B2025&lt;=25),2,0)+IF(AND(ISNUMBER(E2025),E2025&lt;=5),2,0)+IF(AND(ISNUMBER(F2025),F2025&lt;=1),2,0)+IF(AND(ISNUMBER(G2025),G2025&lt;=2),1,0)+IF(AND(ISNUMBER(H2025),H2025&lt;=2),1,0)</f>
        <v>3</v>
      </c>
      <c r="J2025" s="2" t="str">
        <f aca="false">IF(I2025&gt;=6,"High",IF(I2025&gt;=3,"Medium","Low"))</f>
        <v>Medium</v>
      </c>
    </row>
    <row r="2026" customFormat="false" ht="15" hidden="false" customHeight="true" outlineLevel="0" collapsed="false">
      <c r="A2026" s="2" t="n">
        <f aca="false">'Raw Data'!H2026</f>
        <v>2025</v>
      </c>
      <c r="B2026" s="2" t="n">
        <f aca="false">'Raw Data'!A2026</f>
        <v>43</v>
      </c>
      <c r="C2026" s="2" t="str">
        <f aca="false">'Raw Data'!D2026</f>
        <v>Research &amp; Development</v>
      </c>
      <c r="D2026" s="2" t="str">
        <f aca="false">'Raw Data'!K2026</f>
        <v>Laboratory Technician</v>
      </c>
      <c r="E2026" s="2" t="n">
        <f aca="false">'Raw Data'!Q2026</f>
        <v>18</v>
      </c>
      <c r="F2026" s="2" t="n">
        <f aca="false">'Raw Data'!U2026</f>
        <v>1</v>
      </c>
      <c r="G2026" s="2" t="n">
        <f aca="false">'Raw Data'!W2026</f>
        <v>1</v>
      </c>
      <c r="H2026" s="2" t="n">
        <f aca="false">'Raw Data'!V2026</f>
        <v>3</v>
      </c>
      <c r="I2026" s="2" t="n">
        <f aca="false">IF(AND(ISNUMBER(B2026),B2026&lt;=25),2,0)+IF(AND(ISNUMBER(E2026),E2026&lt;=5),2,0)+IF(AND(ISNUMBER(F2026),F2026&lt;=1),2,0)+IF(AND(ISNUMBER(G2026),G2026&lt;=2),1,0)+IF(AND(ISNUMBER(H2026),H2026&lt;=2),1,0)</f>
        <v>3</v>
      </c>
      <c r="J2026" s="2" t="str">
        <f aca="false">IF(I2026&gt;=6,"High",IF(I2026&gt;=3,"Medium","Low"))</f>
        <v>Medium</v>
      </c>
    </row>
    <row r="2027" customFormat="false" ht="15" hidden="false" customHeight="true" outlineLevel="0" collapsed="false">
      <c r="A2027" s="2" t="n">
        <f aca="false">'Raw Data'!H2027</f>
        <v>2026</v>
      </c>
      <c r="B2027" s="2" t="n">
        <f aca="false">'Raw Data'!A2027</f>
        <v>39</v>
      </c>
      <c r="C2027" s="2" t="str">
        <f aca="false">'Raw Data'!D2027</f>
        <v>Sales</v>
      </c>
      <c r="D2027" s="2" t="str">
        <f aca="false">'Raw Data'!K2027</f>
        <v>Healthcare Representative</v>
      </c>
      <c r="E2027" s="2" t="n">
        <f aca="false">'Raw Data'!Q2027</f>
        <v>21</v>
      </c>
      <c r="F2027" s="2" t="n">
        <f aca="false">'Raw Data'!U2027</f>
        <v>5</v>
      </c>
      <c r="G2027" s="2" t="n">
        <f aca="false">'Raw Data'!W2027</f>
        <v>4</v>
      </c>
      <c r="H2027" s="2" t="n">
        <f aca="false">'Raw Data'!V2027</f>
        <v>1</v>
      </c>
      <c r="I2027" s="2" t="n">
        <f aca="false">IF(AND(ISNUMBER(B2027),B2027&lt;=25),2,0)+IF(AND(ISNUMBER(E2027),E2027&lt;=5),2,0)+IF(AND(ISNUMBER(F2027),F2027&lt;=1),2,0)+IF(AND(ISNUMBER(G2027),G2027&lt;=2),1,0)+IF(AND(ISNUMBER(H2027),H2027&lt;=2),1,0)</f>
        <v>1</v>
      </c>
      <c r="J2027" s="2" t="str">
        <f aca="false">IF(I2027&gt;=6,"High",IF(I2027&gt;=3,"Medium","Low"))</f>
        <v>Low</v>
      </c>
    </row>
    <row r="2028" customFormat="false" ht="15" hidden="false" customHeight="true" outlineLevel="0" collapsed="false">
      <c r="A2028" s="2" t="n">
        <f aca="false">'Raw Data'!H2028</f>
        <v>2027</v>
      </c>
      <c r="B2028" s="2" t="n">
        <f aca="false">'Raw Data'!A2028</f>
        <v>40</v>
      </c>
      <c r="C2028" s="2" t="str">
        <f aca="false">'Raw Data'!D2028</f>
        <v>Research &amp; Development</v>
      </c>
      <c r="D2028" s="2" t="str">
        <f aca="false">'Raw Data'!K2028</f>
        <v>Healthcare Representative</v>
      </c>
      <c r="E2028" s="2" t="n">
        <f aca="false">'Raw Data'!Q2028</f>
        <v>21</v>
      </c>
      <c r="F2028" s="2" t="n">
        <f aca="false">'Raw Data'!U2028</f>
        <v>9</v>
      </c>
      <c r="G2028" s="2" t="n">
        <f aca="false">'Raw Data'!W2028</f>
        <v>3</v>
      </c>
      <c r="H2028" s="2" t="n">
        <f aca="false">'Raw Data'!V2028</f>
        <v>3</v>
      </c>
      <c r="I2028" s="2" t="n">
        <f aca="false">IF(AND(ISNUMBER(B2028),B2028&lt;=25),2,0)+IF(AND(ISNUMBER(E2028),E2028&lt;=5),2,0)+IF(AND(ISNUMBER(F2028),F2028&lt;=1),2,0)+IF(AND(ISNUMBER(G2028),G2028&lt;=2),1,0)+IF(AND(ISNUMBER(H2028),H2028&lt;=2),1,0)</f>
        <v>0</v>
      </c>
      <c r="J2028" s="2" t="str">
        <f aca="false">IF(I2028&gt;=6,"High",IF(I2028&gt;=3,"Medium","Low"))</f>
        <v>Low</v>
      </c>
    </row>
    <row r="2029" customFormat="false" ht="15" hidden="false" customHeight="true" outlineLevel="0" collapsed="false">
      <c r="A2029" s="2" t="n">
        <f aca="false">'Raw Data'!H2029</f>
        <v>2028</v>
      </c>
      <c r="B2029" s="2" t="n">
        <f aca="false">'Raw Data'!A2029</f>
        <v>21</v>
      </c>
      <c r="C2029" s="2" t="str">
        <f aca="false">'Raw Data'!D2029</f>
        <v>Research &amp; Development</v>
      </c>
      <c r="D2029" s="2" t="str">
        <f aca="false">'Raw Data'!K2029</f>
        <v>Research Scientist</v>
      </c>
      <c r="E2029" s="2" t="n">
        <f aca="false">'Raw Data'!Q2029</f>
        <v>2</v>
      </c>
      <c r="F2029" s="2" t="n">
        <f aca="false">'Raw Data'!U2029</f>
        <v>2</v>
      </c>
      <c r="G2029" s="2" t="n">
        <f aca="false">'Raw Data'!W2029</f>
        <v>2</v>
      </c>
      <c r="H2029" s="2" t="n">
        <f aca="false">'Raw Data'!V2029</f>
        <v>4</v>
      </c>
      <c r="I2029" s="2" t="n">
        <f aca="false">IF(AND(ISNUMBER(B2029),B2029&lt;=25),2,0)+IF(AND(ISNUMBER(E2029),E2029&lt;=5),2,0)+IF(AND(ISNUMBER(F2029),F2029&lt;=1),2,0)+IF(AND(ISNUMBER(G2029),G2029&lt;=2),1,0)+IF(AND(ISNUMBER(H2029),H2029&lt;=2),1,0)</f>
        <v>5</v>
      </c>
      <c r="J2029" s="2" t="str">
        <f aca="false">IF(I2029&gt;=6,"High",IF(I2029&gt;=3,"Medium","Low"))</f>
        <v>Medium</v>
      </c>
    </row>
    <row r="2030" customFormat="false" ht="15" hidden="false" customHeight="true" outlineLevel="0" collapsed="false">
      <c r="A2030" s="2" t="n">
        <f aca="false">'Raw Data'!H2030</f>
        <v>2029</v>
      </c>
      <c r="B2030" s="2" t="n">
        <f aca="false">'Raw Data'!A2030</f>
        <v>39</v>
      </c>
      <c r="C2030" s="2" t="str">
        <f aca="false">'Raw Data'!D2030</f>
        <v>Research &amp; Development</v>
      </c>
      <c r="D2030" s="2" t="str">
        <f aca="false">'Raw Data'!K2030</f>
        <v>Laboratory Technician</v>
      </c>
      <c r="E2030" s="2" t="n">
        <f aca="false">'Raw Data'!Q2030</f>
        <v>9</v>
      </c>
      <c r="F2030" s="2" t="n">
        <f aca="false">'Raw Data'!U2030</f>
        <v>3</v>
      </c>
      <c r="G2030" s="2" t="n">
        <f aca="false">'Raw Data'!W2030</f>
        <v>2</v>
      </c>
      <c r="H2030" s="2" t="n">
        <f aca="false">'Raw Data'!V2030</f>
        <v>3</v>
      </c>
      <c r="I2030" s="2" t="n">
        <f aca="false">IF(AND(ISNUMBER(B2030),B2030&lt;=25),2,0)+IF(AND(ISNUMBER(E2030),E2030&lt;=5),2,0)+IF(AND(ISNUMBER(F2030),F2030&lt;=1),2,0)+IF(AND(ISNUMBER(G2030),G2030&lt;=2),1,0)+IF(AND(ISNUMBER(H2030),H2030&lt;=2),1,0)</f>
        <v>1</v>
      </c>
      <c r="J2030" s="2" t="str">
        <f aca="false">IF(I2030&gt;=6,"High",IF(I2030&gt;=3,"Medium","Low"))</f>
        <v>Low</v>
      </c>
    </row>
    <row r="2031" customFormat="false" ht="15" hidden="false" customHeight="true" outlineLevel="0" collapsed="false">
      <c r="A2031" s="2" t="n">
        <f aca="false">'Raw Data'!H2031</f>
        <v>2030</v>
      </c>
      <c r="B2031" s="2" t="n">
        <f aca="false">'Raw Data'!A2031</f>
        <v>36</v>
      </c>
      <c r="C2031" s="2" t="str">
        <f aca="false">'Raw Data'!D2031</f>
        <v>Research &amp; Development</v>
      </c>
      <c r="D2031" s="2" t="str">
        <f aca="false">'Raw Data'!K2031</f>
        <v>Sales Representative</v>
      </c>
      <c r="E2031" s="2" t="n">
        <f aca="false">'Raw Data'!Q2031</f>
        <v>18</v>
      </c>
      <c r="F2031" s="2" t="n">
        <f aca="false">'Raw Data'!U2031</f>
        <v>9</v>
      </c>
      <c r="G2031" s="2" t="n">
        <f aca="false">'Raw Data'!W2031</f>
        <v>4</v>
      </c>
      <c r="H2031" s="2" t="n">
        <f aca="false">'Raw Data'!V2031</f>
        <v>1</v>
      </c>
      <c r="I2031" s="2" t="n">
        <f aca="false">IF(AND(ISNUMBER(B2031),B2031&lt;=25),2,0)+IF(AND(ISNUMBER(E2031),E2031&lt;=5),2,0)+IF(AND(ISNUMBER(F2031),F2031&lt;=1),2,0)+IF(AND(ISNUMBER(G2031),G2031&lt;=2),1,0)+IF(AND(ISNUMBER(H2031),H2031&lt;=2),1,0)</f>
        <v>1</v>
      </c>
      <c r="J2031" s="2" t="str">
        <f aca="false">IF(I2031&gt;=6,"High",IF(I2031&gt;=3,"Medium","Low"))</f>
        <v>Low</v>
      </c>
    </row>
    <row r="2032" customFormat="false" ht="15" hidden="false" customHeight="true" outlineLevel="0" collapsed="false">
      <c r="A2032" s="2" t="n">
        <f aca="false">'Raw Data'!H2032</f>
        <v>2031</v>
      </c>
      <c r="B2032" s="2" t="n">
        <f aca="false">'Raw Data'!A2032</f>
        <v>31</v>
      </c>
      <c r="C2032" s="2" t="str">
        <f aca="false">'Raw Data'!D2032</f>
        <v>Research &amp; Development</v>
      </c>
      <c r="D2032" s="2" t="str">
        <f aca="false">'Raw Data'!K2032</f>
        <v>Sales Executive</v>
      </c>
      <c r="E2032" s="2" t="n">
        <f aca="false">'Raw Data'!Q2032</f>
        <v>3</v>
      </c>
      <c r="F2032" s="2" t="n">
        <f aca="false">'Raw Data'!U2032</f>
        <v>2</v>
      </c>
      <c r="G2032" s="2" t="n">
        <f aca="false">'Raw Data'!W2032</f>
        <v>4</v>
      </c>
      <c r="H2032" s="2" t="n">
        <f aca="false">'Raw Data'!V2032</f>
        <v>3</v>
      </c>
      <c r="I2032" s="2" t="n">
        <f aca="false">IF(AND(ISNUMBER(B2032),B2032&lt;=25),2,0)+IF(AND(ISNUMBER(E2032),E2032&lt;=5),2,0)+IF(AND(ISNUMBER(F2032),F2032&lt;=1),2,0)+IF(AND(ISNUMBER(G2032),G2032&lt;=2),1,0)+IF(AND(ISNUMBER(H2032),H2032&lt;=2),1,0)</f>
        <v>2</v>
      </c>
      <c r="J2032" s="2" t="str">
        <f aca="false">IF(I2032&gt;=6,"High",IF(I2032&gt;=3,"Medium","Low"))</f>
        <v>Low</v>
      </c>
    </row>
    <row r="2033" customFormat="false" ht="15" hidden="false" customHeight="true" outlineLevel="0" collapsed="false">
      <c r="A2033" s="2" t="n">
        <f aca="false">'Raw Data'!H2033</f>
        <v>2032</v>
      </c>
      <c r="B2033" s="2" t="n">
        <f aca="false">'Raw Data'!A2033</f>
        <v>28</v>
      </c>
      <c r="C2033" s="2" t="str">
        <f aca="false">'Raw Data'!D2033</f>
        <v>Sales</v>
      </c>
      <c r="D2033" s="2" t="str">
        <f aca="false">'Raw Data'!K2033</f>
        <v>Sales Executive</v>
      </c>
      <c r="E2033" s="2" t="n">
        <f aca="false">'Raw Data'!Q2033</f>
        <v>6</v>
      </c>
      <c r="F2033" s="2" t="n">
        <f aca="false">'Raw Data'!U2033</f>
        <v>4</v>
      </c>
      <c r="G2033" s="2" t="n">
        <f aca="false">'Raw Data'!W2033</f>
        <v>2</v>
      </c>
      <c r="H2033" s="2" t="n">
        <f aca="false">'Raw Data'!V2033</f>
        <v>1</v>
      </c>
      <c r="I2033" s="2" t="n">
        <f aca="false">IF(AND(ISNUMBER(B2033),B2033&lt;=25),2,0)+IF(AND(ISNUMBER(E2033),E2033&lt;=5),2,0)+IF(AND(ISNUMBER(F2033),F2033&lt;=1),2,0)+IF(AND(ISNUMBER(G2033),G2033&lt;=2),1,0)+IF(AND(ISNUMBER(H2033),H2033&lt;=2),1,0)</f>
        <v>2</v>
      </c>
      <c r="J2033" s="2" t="str">
        <f aca="false">IF(I2033&gt;=6,"High",IF(I2033&gt;=3,"Medium","Low"))</f>
        <v>Low</v>
      </c>
    </row>
    <row r="2034" customFormat="false" ht="15" hidden="false" customHeight="true" outlineLevel="0" collapsed="false">
      <c r="A2034" s="2" t="n">
        <f aca="false">'Raw Data'!H2034</f>
        <v>2033</v>
      </c>
      <c r="B2034" s="2" t="n">
        <f aca="false">'Raw Data'!A2034</f>
        <v>35</v>
      </c>
      <c r="C2034" s="2" t="str">
        <f aca="false">'Raw Data'!D2034</f>
        <v>Research &amp; Development</v>
      </c>
      <c r="D2034" s="2" t="str">
        <f aca="false">'Raw Data'!K2034</f>
        <v>Manufacturing Director</v>
      </c>
      <c r="E2034" s="2" t="n">
        <f aca="false">'Raw Data'!Q2034</f>
        <v>5</v>
      </c>
      <c r="F2034" s="2" t="n">
        <f aca="false">'Raw Data'!U2034</f>
        <v>2</v>
      </c>
      <c r="G2034" s="2" t="n">
        <f aca="false">'Raw Data'!W2034</f>
        <v>4</v>
      </c>
      <c r="H2034" s="2" t="n">
        <f aca="false">'Raw Data'!V2034</f>
        <v>4</v>
      </c>
      <c r="I2034" s="2" t="n">
        <f aca="false">IF(AND(ISNUMBER(B2034),B2034&lt;=25),2,0)+IF(AND(ISNUMBER(E2034),E2034&lt;=5),2,0)+IF(AND(ISNUMBER(F2034),F2034&lt;=1),2,0)+IF(AND(ISNUMBER(G2034),G2034&lt;=2),1,0)+IF(AND(ISNUMBER(H2034),H2034&lt;=2),1,0)</f>
        <v>2</v>
      </c>
      <c r="J2034" s="2" t="str">
        <f aca="false">IF(I2034&gt;=6,"High",IF(I2034&gt;=3,"Medium","Low"))</f>
        <v>Low</v>
      </c>
    </row>
    <row r="2035" customFormat="false" ht="15" hidden="false" customHeight="true" outlineLevel="0" collapsed="false">
      <c r="A2035" s="2" t="n">
        <f aca="false">'Raw Data'!H2035</f>
        <v>2034</v>
      </c>
      <c r="B2035" s="2" t="n">
        <f aca="false">'Raw Data'!A2035</f>
        <v>49</v>
      </c>
      <c r="C2035" s="2" t="str">
        <f aca="false">'Raw Data'!D2035</f>
        <v>Sales</v>
      </c>
      <c r="D2035" s="2" t="str">
        <f aca="false">'Raw Data'!K2035</f>
        <v>Sales Executive</v>
      </c>
      <c r="E2035" s="2" t="n">
        <f aca="false">'Raw Data'!Q2035</f>
        <v>22</v>
      </c>
      <c r="F2035" s="2" t="n">
        <f aca="false">'Raw Data'!U2035</f>
        <v>3</v>
      </c>
      <c r="G2035" s="2" t="n">
        <f aca="false">'Raw Data'!W2035</f>
        <v>2</v>
      </c>
      <c r="H2035" s="2" t="n">
        <f aca="false">'Raw Data'!V2035</f>
        <v>4</v>
      </c>
      <c r="I2035" s="2" t="n">
        <f aca="false">IF(AND(ISNUMBER(B2035),B2035&lt;=25),2,0)+IF(AND(ISNUMBER(E2035),E2035&lt;=5),2,0)+IF(AND(ISNUMBER(F2035),F2035&lt;=1),2,0)+IF(AND(ISNUMBER(G2035),G2035&lt;=2),1,0)+IF(AND(ISNUMBER(H2035),H2035&lt;=2),1,0)</f>
        <v>1</v>
      </c>
      <c r="J2035" s="2" t="str">
        <f aca="false">IF(I2035&gt;=6,"High",IF(I2035&gt;=3,"Medium","Low"))</f>
        <v>Low</v>
      </c>
    </row>
    <row r="2036" customFormat="false" ht="15" hidden="false" customHeight="true" outlineLevel="0" collapsed="false">
      <c r="A2036" s="2" t="n">
        <f aca="false">'Raw Data'!H2036</f>
        <v>2035</v>
      </c>
      <c r="B2036" s="2" t="n">
        <f aca="false">'Raw Data'!A2036</f>
        <v>34</v>
      </c>
      <c r="C2036" s="2" t="str">
        <f aca="false">'Raw Data'!D2036</f>
        <v>Sales</v>
      </c>
      <c r="D2036" s="2" t="str">
        <f aca="false">'Raw Data'!K2036</f>
        <v>Sales Executive</v>
      </c>
      <c r="E2036" s="2" t="n">
        <f aca="false">'Raw Data'!Q2036</f>
        <v>5</v>
      </c>
      <c r="F2036" s="2" t="n">
        <f aca="false">'Raw Data'!U2036</f>
        <v>2</v>
      </c>
      <c r="G2036" s="2" t="n">
        <f aca="false">'Raw Data'!W2036</f>
        <v>3</v>
      </c>
      <c r="H2036" s="2" t="n">
        <f aca="false">'Raw Data'!V2036</f>
        <v>4</v>
      </c>
      <c r="I2036" s="2" t="n">
        <f aca="false">IF(AND(ISNUMBER(B2036),B2036&lt;=25),2,0)+IF(AND(ISNUMBER(E2036),E2036&lt;=5),2,0)+IF(AND(ISNUMBER(F2036),F2036&lt;=1),2,0)+IF(AND(ISNUMBER(G2036),G2036&lt;=2),1,0)+IF(AND(ISNUMBER(H2036),H2036&lt;=2),1,0)</f>
        <v>2</v>
      </c>
      <c r="J2036" s="2" t="str">
        <f aca="false">IF(I2036&gt;=6,"High",IF(I2036&gt;=3,"Medium","Low"))</f>
        <v>Low</v>
      </c>
    </row>
    <row r="2037" customFormat="false" ht="15" hidden="false" customHeight="true" outlineLevel="0" collapsed="false">
      <c r="A2037" s="2" t="n">
        <f aca="false">'Raw Data'!H2037</f>
        <v>2036</v>
      </c>
      <c r="B2037" s="2" t="n">
        <f aca="false">'Raw Data'!A2037</f>
        <v>29</v>
      </c>
      <c r="C2037" s="2" t="str">
        <f aca="false">'Raw Data'!D2037</f>
        <v>Research &amp; Development</v>
      </c>
      <c r="D2037" s="2" t="str">
        <f aca="false">'Raw Data'!K2037</f>
        <v>Research Scientist</v>
      </c>
      <c r="E2037" s="2" t="n">
        <f aca="false">'Raw Data'!Q2037</f>
        <v>8</v>
      </c>
      <c r="F2037" s="2" t="n">
        <f aca="false">'Raw Data'!U2037</f>
        <v>1</v>
      </c>
      <c r="G2037" s="2" t="n">
        <f aca="false">'Raw Data'!W2037</f>
        <v>2</v>
      </c>
      <c r="H2037" s="2" t="n">
        <f aca="false">'Raw Data'!V2037</f>
        <v>4</v>
      </c>
      <c r="I2037" s="2" t="n">
        <f aca="false">IF(AND(ISNUMBER(B2037),B2037&lt;=25),2,0)+IF(AND(ISNUMBER(E2037),E2037&lt;=5),2,0)+IF(AND(ISNUMBER(F2037),F2037&lt;=1),2,0)+IF(AND(ISNUMBER(G2037),G2037&lt;=2),1,0)+IF(AND(ISNUMBER(H2037),H2037&lt;=2),1,0)</f>
        <v>3</v>
      </c>
      <c r="J2037" s="2" t="str">
        <f aca="false">IF(I2037&gt;=6,"High",IF(I2037&gt;=3,"Medium","Low"))</f>
        <v>Medium</v>
      </c>
    </row>
    <row r="2038" customFormat="false" ht="15" hidden="false" customHeight="true" outlineLevel="0" collapsed="false">
      <c r="A2038" s="2" t="n">
        <f aca="false">'Raw Data'!H2038</f>
        <v>2037</v>
      </c>
      <c r="B2038" s="2" t="n">
        <f aca="false">'Raw Data'!A2038</f>
        <v>42</v>
      </c>
      <c r="C2038" s="2" t="str">
        <f aca="false">'Raw Data'!D2038</f>
        <v>Sales</v>
      </c>
      <c r="D2038" s="2" t="str">
        <f aca="false">'Raw Data'!K2038</f>
        <v>Healthcare Representative</v>
      </c>
      <c r="E2038" s="2" t="n">
        <f aca="false">'Raw Data'!Q2038</f>
        <v>16</v>
      </c>
      <c r="F2038" s="2" t="n">
        <f aca="false">'Raw Data'!U2038</f>
        <v>0</v>
      </c>
      <c r="G2038" s="2" t="n">
        <f aca="false">'Raw Data'!W2038</f>
        <v>4</v>
      </c>
      <c r="H2038" s="2" t="n">
        <f aca="false">'Raw Data'!V2038</f>
        <v>2</v>
      </c>
      <c r="I2038" s="2" t="n">
        <f aca="false">IF(AND(ISNUMBER(B2038),B2038&lt;=25),2,0)+IF(AND(ISNUMBER(E2038),E2038&lt;=5),2,0)+IF(AND(ISNUMBER(F2038),F2038&lt;=1),2,0)+IF(AND(ISNUMBER(G2038),G2038&lt;=2),1,0)+IF(AND(ISNUMBER(H2038),H2038&lt;=2),1,0)</f>
        <v>3</v>
      </c>
      <c r="J2038" s="2" t="str">
        <f aca="false">IF(I2038&gt;=6,"High",IF(I2038&gt;=3,"Medium","Low"))</f>
        <v>Medium</v>
      </c>
    </row>
    <row r="2039" customFormat="false" ht="15" hidden="false" customHeight="true" outlineLevel="0" collapsed="false">
      <c r="A2039" s="2" t="n">
        <f aca="false">'Raw Data'!H2039</f>
        <v>2038</v>
      </c>
      <c r="B2039" s="2" t="n">
        <f aca="false">'Raw Data'!A2039</f>
        <v>29</v>
      </c>
      <c r="C2039" s="2" t="str">
        <f aca="false">'Raw Data'!D2039</f>
        <v>Sales</v>
      </c>
      <c r="D2039" s="2" t="str">
        <f aca="false">'Raw Data'!K2039</f>
        <v>Healthcare Representative</v>
      </c>
      <c r="E2039" s="2" t="n">
        <f aca="false">'Raw Data'!Q2039</f>
        <v>10</v>
      </c>
      <c r="F2039" s="2" t="n">
        <f aca="false">'Raw Data'!U2039</f>
        <v>2</v>
      </c>
      <c r="G2039" s="2" t="n">
        <f aca="false">'Raw Data'!W2039</f>
        <v>4</v>
      </c>
      <c r="H2039" s="2" t="n">
        <f aca="false">'Raw Data'!V2039</f>
        <v>2</v>
      </c>
      <c r="I2039" s="2" t="n">
        <f aca="false">IF(AND(ISNUMBER(B2039),B2039&lt;=25),2,0)+IF(AND(ISNUMBER(E2039),E2039&lt;=5),2,0)+IF(AND(ISNUMBER(F2039),F2039&lt;=1),2,0)+IF(AND(ISNUMBER(G2039),G2039&lt;=2),1,0)+IF(AND(ISNUMBER(H2039),H2039&lt;=2),1,0)</f>
        <v>1</v>
      </c>
      <c r="J2039" s="2" t="str">
        <f aca="false">IF(I2039&gt;=6,"High",IF(I2039&gt;=3,"Medium","Low"))</f>
        <v>Low</v>
      </c>
    </row>
    <row r="2040" customFormat="false" ht="15" hidden="false" customHeight="true" outlineLevel="0" collapsed="false">
      <c r="A2040" s="2" t="n">
        <f aca="false">'Raw Data'!H2040</f>
        <v>2039</v>
      </c>
      <c r="B2040" s="2" t="n">
        <f aca="false">'Raw Data'!A2040</f>
        <v>38</v>
      </c>
      <c r="C2040" s="2" t="str">
        <f aca="false">'Raw Data'!D2040</f>
        <v>Research &amp; Development</v>
      </c>
      <c r="D2040" s="2" t="str">
        <f aca="false">'Raw Data'!K2040</f>
        <v>Human Resources</v>
      </c>
      <c r="E2040" s="2" t="n">
        <f aca="false">'Raw Data'!Q2040</f>
        <v>7</v>
      </c>
      <c r="F2040" s="2" t="n">
        <f aca="false">'Raw Data'!U2040</f>
        <v>0</v>
      </c>
      <c r="G2040" s="2" t="n">
        <f aca="false">'Raw Data'!W2040</f>
        <v>3</v>
      </c>
      <c r="H2040" s="2" t="n">
        <f aca="false">'Raw Data'!V2040</f>
        <v>3</v>
      </c>
      <c r="I2040" s="2" t="n">
        <f aca="false">IF(AND(ISNUMBER(B2040),B2040&lt;=25),2,0)+IF(AND(ISNUMBER(E2040),E2040&lt;=5),2,0)+IF(AND(ISNUMBER(F2040),F2040&lt;=1),2,0)+IF(AND(ISNUMBER(G2040),G2040&lt;=2),1,0)+IF(AND(ISNUMBER(H2040),H2040&lt;=2),1,0)</f>
        <v>2</v>
      </c>
      <c r="J2040" s="2" t="str">
        <f aca="false">IF(I2040&gt;=6,"High",IF(I2040&gt;=3,"Medium","Low"))</f>
        <v>Low</v>
      </c>
    </row>
    <row r="2041" customFormat="false" ht="15" hidden="false" customHeight="true" outlineLevel="0" collapsed="false">
      <c r="A2041" s="2" t="n">
        <f aca="false">'Raw Data'!H2041</f>
        <v>2040</v>
      </c>
      <c r="B2041" s="2" t="n">
        <f aca="false">'Raw Data'!A2041</f>
        <v>28</v>
      </c>
      <c r="C2041" s="2" t="str">
        <f aca="false">'Raw Data'!D2041</f>
        <v>Sales</v>
      </c>
      <c r="D2041" s="2" t="str">
        <f aca="false">'Raw Data'!K2041</f>
        <v>Manager</v>
      </c>
      <c r="E2041" s="2" t="n">
        <f aca="false">'Raw Data'!Q2041</f>
        <v>3</v>
      </c>
      <c r="F2041" s="2" t="n">
        <f aca="false">'Raw Data'!U2041</f>
        <v>2</v>
      </c>
      <c r="G2041" s="2" t="n">
        <f aca="false">'Raw Data'!W2041</f>
        <v>3</v>
      </c>
      <c r="H2041" s="2" t="n">
        <f aca="false">'Raw Data'!V2041</f>
        <v>3</v>
      </c>
      <c r="I2041" s="2" t="n">
        <f aca="false">IF(AND(ISNUMBER(B2041),B2041&lt;=25),2,0)+IF(AND(ISNUMBER(E2041),E2041&lt;=5),2,0)+IF(AND(ISNUMBER(F2041),F2041&lt;=1),2,0)+IF(AND(ISNUMBER(G2041),G2041&lt;=2),1,0)+IF(AND(ISNUMBER(H2041),H2041&lt;=2),1,0)</f>
        <v>2</v>
      </c>
      <c r="J2041" s="2" t="str">
        <f aca="false">IF(I2041&gt;=6,"High",IF(I2041&gt;=3,"Medium","Low"))</f>
        <v>Low</v>
      </c>
    </row>
    <row r="2042" customFormat="false" ht="15" hidden="false" customHeight="true" outlineLevel="0" collapsed="false">
      <c r="A2042" s="2" t="n">
        <f aca="false">'Raw Data'!H2042</f>
        <v>2041</v>
      </c>
      <c r="B2042" s="2" t="n">
        <f aca="false">'Raw Data'!A2042</f>
        <v>18</v>
      </c>
      <c r="C2042" s="2" t="str">
        <f aca="false">'Raw Data'!D2042</f>
        <v>Research &amp; Development</v>
      </c>
      <c r="D2042" s="2" t="str">
        <f aca="false">'Raw Data'!K2042</f>
        <v>Laboratory Technician</v>
      </c>
      <c r="E2042" s="2" t="n">
        <f aca="false">'Raw Data'!Q2042</f>
        <v>0</v>
      </c>
      <c r="F2042" s="2" t="n">
        <f aca="false">'Raw Data'!U2042</f>
        <v>0</v>
      </c>
      <c r="G2042" s="2" t="n">
        <f aca="false">'Raw Data'!W2042</f>
        <v>3</v>
      </c>
      <c r="H2042" s="2" t="n">
        <f aca="false">'Raw Data'!V2042</f>
        <v>3</v>
      </c>
      <c r="I2042" s="2" t="n">
        <f aca="false">IF(AND(ISNUMBER(B2042),B2042&lt;=25),2,0)+IF(AND(ISNUMBER(E2042),E2042&lt;=5),2,0)+IF(AND(ISNUMBER(F2042),F2042&lt;=1),2,0)+IF(AND(ISNUMBER(G2042),G2042&lt;=2),1,0)+IF(AND(ISNUMBER(H2042),H2042&lt;=2),1,0)</f>
        <v>6</v>
      </c>
      <c r="J2042" s="2" t="str">
        <f aca="false">IF(I2042&gt;=6,"High",IF(I2042&gt;=3,"Medium","Low"))</f>
        <v>High</v>
      </c>
    </row>
    <row r="2043" customFormat="false" ht="15" hidden="false" customHeight="true" outlineLevel="0" collapsed="false">
      <c r="A2043" s="2" t="n">
        <f aca="false">'Raw Data'!H2043</f>
        <v>2042</v>
      </c>
      <c r="B2043" s="2" t="n">
        <f aca="false">'Raw Data'!A2043</f>
        <v>33</v>
      </c>
      <c r="C2043" s="2" t="str">
        <f aca="false">'Raw Data'!D2043</f>
        <v>Research &amp; Development</v>
      </c>
      <c r="D2043" s="2" t="str">
        <f aca="false">'Raw Data'!K2043</f>
        <v>Sales Executive</v>
      </c>
      <c r="E2043" s="2" t="n">
        <f aca="false">'Raw Data'!Q2043</f>
        <v>6</v>
      </c>
      <c r="F2043" s="2" t="n">
        <f aca="false">'Raw Data'!U2043</f>
        <v>3</v>
      </c>
      <c r="G2043" s="2" t="n">
        <f aca="false">'Raw Data'!W2043</f>
        <v>1</v>
      </c>
      <c r="H2043" s="2" t="n">
        <f aca="false">'Raw Data'!V2043</f>
        <v>1</v>
      </c>
      <c r="I2043" s="2" t="n">
        <f aca="false">IF(AND(ISNUMBER(B2043),B2043&lt;=25),2,0)+IF(AND(ISNUMBER(E2043),E2043&lt;=5),2,0)+IF(AND(ISNUMBER(F2043),F2043&lt;=1),2,0)+IF(AND(ISNUMBER(G2043),G2043&lt;=2),1,0)+IF(AND(ISNUMBER(H2043),H2043&lt;=2),1,0)</f>
        <v>2</v>
      </c>
      <c r="J2043" s="2" t="str">
        <f aca="false">IF(I2043&gt;=6,"High",IF(I2043&gt;=3,"Medium","Low"))</f>
        <v>Low</v>
      </c>
    </row>
    <row r="2044" customFormat="false" ht="15" hidden="false" customHeight="true" outlineLevel="0" collapsed="false">
      <c r="A2044" s="2" t="n">
        <f aca="false">'Raw Data'!H2044</f>
        <v>2043</v>
      </c>
      <c r="B2044" s="2" t="n">
        <f aca="false">'Raw Data'!A2044</f>
        <v>41</v>
      </c>
      <c r="C2044" s="2" t="str">
        <f aca="false">'Raw Data'!D2044</f>
        <v>Research &amp; Development</v>
      </c>
      <c r="D2044" s="2" t="str">
        <f aca="false">'Raw Data'!K2044</f>
        <v>Research Scientist</v>
      </c>
      <c r="E2044" s="2" t="n">
        <f aca="false">'Raw Data'!Q2044</f>
        <v>6</v>
      </c>
      <c r="F2044" s="2" t="n">
        <f aca="false">'Raw Data'!U2044</f>
        <v>0</v>
      </c>
      <c r="G2044" s="2" t="n">
        <f aca="false">'Raw Data'!W2044</f>
        <v>4</v>
      </c>
      <c r="H2044" s="2" t="n">
        <f aca="false">'Raw Data'!V2044</f>
        <v>2</v>
      </c>
      <c r="I2044" s="2" t="n">
        <f aca="false">IF(AND(ISNUMBER(B2044),B2044&lt;=25),2,0)+IF(AND(ISNUMBER(E2044),E2044&lt;=5),2,0)+IF(AND(ISNUMBER(F2044),F2044&lt;=1),2,0)+IF(AND(ISNUMBER(G2044),G2044&lt;=2),1,0)+IF(AND(ISNUMBER(H2044),H2044&lt;=2),1,0)</f>
        <v>3</v>
      </c>
      <c r="J2044" s="2" t="str">
        <f aca="false">IF(I2044&gt;=6,"High",IF(I2044&gt;=3,"Medium","Low"))</f>
        <v>Medium</v>
      </c>
    </row>
    <row r="2045" customFormat="false" ht="15" hidden="false" customHeight="true" outlineLevel="0" collapsed="false">
      <c r="A2045" s="2" t="n">
        <f aca="false">'Raw Data'!H2045</f>
        <v>2044</v>
      </c>
      <c r="B2045" s="2" t="n">
        <f aca="false">'Raw Data'!A2045</f>
        <v>31</v>
      </c>
      <c r="C2045" s="2" t="str">
        <f aca="false">'Raw Data'!D2045</f>
        <v>Sales</v>
      </c>
      <c r="D2045" s="2" t="str">
        <f aca="false">'Raw Data'!K2045</f>
        <v>Research Director</v>
      </c>
      <c r="E2045" s="2" t="n">
        <f aca="false">'Raw Data'!Q2045</f>
        <v>2</v>
      </c>
      <c r="F2045" s="2" t="n">
        <f aca="false">'Raw Data'!U2045</f>
        <v>2</v>
      </c>
      <c r="G2045" s="2" t="n">
        <f aca="false">'Raw Data'!W2045</f>
        <v>3</v>
      </c>
      <c r="H2045" s="2" t="n">
        <f aca="false">'Raw Data'!V2045</f>
        <v>3</v>
      </c>
      <c r="I2045" s="2" t="n">
        <f aca="false">IF(AND(ISNUMBER(B2045),B2045&lt;=25),2,0)+IF(AND(ISNUMBER(E2045),E2045&lt;=5),2,0)+IF(AND(ISNUMBER(F2045),F2045&lt;=1),2,0)+IF(AND(ISNUMBER(G2045),G2045&lt;=2),1,0)+IF(AND(ISNUMBER(H2045),H2045&lt;=2),1,0)</f>
        <v>2</v>
      </c>
      <c r="J2045" s="2" t="str">
        <f aca="false">IF(I2045&gt;=6,"High",IF(I2045&gt;=3,"Medium","Low"))</f>
        <v>Low</v>
      </c>
    </row>
    <row r="2046" customFormat="false" ht="15" hidden="false" customHeight="true" outlineLevel="0" collapsed="false">
      <c r="A2046" s="2" t="n">
        <f aca="false">'Raw Data'!H2046</f>
        <v>2045</v>
      </c>
      <c r="B2046" s="2" t="n">
        <f aca="false">'Raw Data'!A2046</f>
        <v>37</v>
      </c>
      <c r="C2046" s="2" t="str">
        <f aca="false">'Raw Data'!D2046</f>
        <v>Research &amp; Development</v>
      </c>
      <c r="D2046" s="2" t="str">
        <f aca="false">'Raw Data'!K2046</f>
        <v>Manufacturing Director</v>
      </c>
      <c r="E2046" s="2" t="n">
        <f aca="false">'Raw Data'!Q2046</f>
        <v>9</v>
      </c>
      <c r="F2046" s="2" t="n">
        <f aca="false">'Raw Data'!U2046</f>
        <v>3</v>
      </c>
      <c r="G2046" s="2" t="n">
        <f aca="false">'Raw Data'!W2046</f>
        <v>4</v>
      </c>
      <c r="H2046" s="2" t="n">
        <f aca="false">'Raw Data'!V2046</f>
        <v>3</v>
      </c>
      <c r="I2046" s="2" t="n">
        <f aca="false">IF(AND(ISNUMBER(B2046),B2046&lt;=25),2,0)+IF(AND(ISNUMBER(E2046),E2046&lt;=5),2,0)+IF(AND(ISNUMBER(F2046),F2046&lt;=1),2,0)+IF(AND(ISNUMBER(G2046),G2046&lt;=2),1,0)+IF(AND(ISNUMBER(H2046),H2046&lt;=2),1,0)</f>
        <v>0</v>
      </c>
      <c r="J2046" s="2" t="str">
        <f aca="false">IF(I2046&gt;=6,"High",IF(I2046&gt;=3,"Medium","Low"))</f>
        <v>Low</v>
      </c>
    </row>
    <row r="2047" customFormat="false" ht="15" hidden="false" customHeight="true" outlineLevel="0" collapsed="false">
      <c r="A2047" s="2" t="n">
        <f aca="false">'Raw Data'!H2047</f>
        <v>2046</v>
      </c>
      <c r="B2047" s="2" t="n">
        <f aca="false">'Raw Data'!A2047</f>
        <v>27</v>
      </c>
      <c r="C2047" s="2" t="str">
        <f aca="false">'Raw Data'!D2047</f>
        <v>Research &amp; Development</v>
      </c>
      <c r="D2047" s="2" t="str">
        <f aca="false">'Raw Data'!K2047</f>
        <v>Healthcare Representative</v>
      </c>
      <c r="E2047" s="2" t="n">
        <f aca="false">'Raw Data'!Q2047</f>
        <v>4</v>
      </c>
      <c r="F2047" s="2" t="n">
        <f aca="false">'Raw Data'!U2047</f>
        <v>2</v>
      </c>
      <c r="G2047" s="2" t="n">
        <f aca="false">'Raw Data'!W2047</f>
        <v>3</v>
      </c>
      <c r="H2047" s="2" t="n">
        <f aca="false">'Raw Data'!V2047</f>
        <v>4</v>
      </c>
      <c r="I2047" s="2" t="n">
        <f aca="false">IF(AND(ISNUMBER(B2047),B2047&lt;=25),2,0)+IF(AND(ISNUMBER(E2047),E2047&lt;=5),2,0)+IF(AND(ISNUMBER(F2047),F2047&lt;=1),2,0)+IF(AND(ISNUMBER(G2047),G2047&lt;=2),1,0)+IF(AND(ISNUMBER(H2047),H2047&lt;=2),1,0)</f>
        <v>2</v>
      </c>
      <c r="J2047" s="2" t="str">
        <f aca="false">IF(I2047&gt;=6,"High",IF(I2047&gt;=3,"Medium","Low"))</f>
        <v>Low</v>
      </c>
    </row>
    <row r="2048" customFormat="false" ht="15" hidden="false" customHeight="true" outlineLevel="0" collapsed="false">
      <c r="A2048" s="2" t="n">
        <f aca="false">'Raw Data'!H2048</f>
        <v>2047</v>
      </c>
      <c r="B2048" s="2" t="n">
        <f aca="false">'Raw Data'!A2048</f>
        <v>34</v>
      </c>
      <c r="C2048" s="2" t="str">
        <f aca="false">'Raw Data'!D2048</f>
        <v>Sales</v>
      </c>
      <c r="D2048" s="2" t="str">
        <f aca="false">'Raw Data'!K2048</f>
        <v>Laboratory Technician</v>
      </c>
      <c r="E2048" s="2" t="n">
        <f aca="false">'Raw Data'!Q2048</f>
        <v>6</v>
      </c>
      <c r="F2048" s="2" t="n">
        <f aca="false">'Raw Data'!U2048</f>
        <v>3</v>
      </c>
      <c r="G2048" s="2" t="n">
        <f aca="false">'Raw Data'!W2048</f>
        <v>3</v>
      </c>
      <c r="H2048" s="2" t="n">
        <f aca="false">'Raw Data'!V2048</f>
        <v>2</v>
      </c>
      <c r="I2048" s="2" t="n">
        <f aca="false">IF(AND(ISNUMBER(B2048),B2048&lt;=25),2,0)+IF(AND(ISNUMBER(E2048),E2048&lt;=5),2,0)+IF(AND(ISNUMBER(F2048),F2048&lt;=1),2,0)+IF(AND(ISNUMBER(G2048),G2048&lt;=2),1,0)+IF(AND(ISNUMBER(H2048),H2048&lt;=2),1,0)</f>
        <v>1</v>
      </c>
      <c r="J2048" s="2" t="str">
        <f aca="false">IF(I2048&gt;=6,"High",IF(I2048&gt;=3,"Medium","Low"))</f>
        <v>Low</v>
      </c>
    </row>
    <row r="2049" customFormat="false" ht="15" hidden="false" customHeight="true" outlineLevel="0" collapsed="false">
      <c r="A2049" s="2" t="n">
        <f aca="false">'Raw Data'!H2049</f>
        <v>2048</v>
      </c>
      <c r="B2049" s="2" t="n">
        <f aca="false">'Raw Data'!A2049</f>
        <v>35</v>
      </c>
      <c r="C2049" s="2" t="str">
        <f aca="false">'Raw Data'!D2049</f>
        <v>Research &amp; Development</v>
      </c>
      <c r="D2049" s="2" t="str">
        <f aca="false">'Raw Data'!K2049</f>
        <v>Laboratory Technician</v>
      </c>
      <c r="E2049" s="2" t="n">
        <f aca="false">'Raw Data'!Q2049</f>
        <v>6</v>
      </c>
      <c r="F2049" s="2" t="n">
        <f aca="false">'Raw Data'!U2049</f>
        <v>4</v>
      </c>
      <c r="G2049" s="2" t="n">
        <f aca="false">'Raw Data'!W2049</f>
        <v>3</v>
      </c>
      <c r="H2049" s="2" t="n">
        <f aca="false">'Raw Data'!V2049</f>
        <v>3</v>
      </c>
      <c r="I2049" s="2" t="n">
        <f aca="false">IF(AND(ISNUMBER(B2049),B2049&lt;=25),2,0)+IF(AND(ISNUMBER(E2049),E2049&lt;=5),2,0)+IF(AND(ISNUMBER(F2049),F2049&lt;=1),2,0)+IF(AND(ISNUMBER(G2049),G2049&lt;=2),1,0)+IF(AND(ISNUMBER(H2049),H2049&lt;=2),1,0)</f>
        <v>0</v>
      </c>
      <c r="J2049" s="2" t="str">
        <f aca="false">IF(I2049&gt;=6,"High",IF(I2049&gt;=3,"Medium","Low"))</f>
        <v>Low</v>
      </c>
    </row>
    <row r="2050" customFormat="false" ht="15" hidden="false" customHeight="true" outlineLevel="0" collapsed="false">
      <c r="A2050" s="2" t="n">
        <f aca="false">'Raw Data'!H2050</f>
        <v>2049</v>
      </c>
      <c r="B2050" s="2" t="n">
        <f aca="false">'Raw Data'!A2050</f>
        <v>29</v>
      </c>
      <c r="C2050" s="2" t="str">
        <f aca="false">'Raw Data'!D2050</f>
        <v>Research &amp; Development</v>
      </c>
      <c r="D2050" s="2" t="str">
        <f aca="false">'Raw Data'!K2050</f>
        <v>Sales Executive</v>
      </c>
      <c r="E2050" s="2" t="n">
        <f aca="false">'Raw Data'!Q2050</f>
        <v>11</v>
      </c>
      <c r="F2050" s="2" t="n">
        <f aca="false">'Raw Data'!U2050</f>
        <v>10</v>
      </c>
      <c r="G2050" s="2" t="n">
        <f aca="false">'Raw Data'!W2050</f>
        <v>1</v>
      </c>
      <c r="H2050" s="2" t="n">
        <f aca="false">'Raw Data'!V2050</f>
        <v>4</v>
      </c>
      <c r="I2050" s="2" t="n">
        <f aca="false">IF(AND(ISNUMBER(B2050),B2050&lt;=25),2,0)+IF(AND(ISNUMBER(E2050),E2050&lt;=5),2,0)+IF(AND(ISNUMBER(F2050),F2050&lt;=1),2,0)+IF(AND(ISNUMBER(G2050),G2050&lt;=2),1,0)+IF(AND(ISNUMBER(H2050),H2050&lt;=2),1,0)</f>
        <v>1</v>
      </c>
      <c r="J2050" s="2" t="str">
        <f aca="false">IF(I2050&gt;=6,"High",IF(I2050&gt;=3,"Medium","Low"))</f>
        <v>Low</v>
      </c>
    </row>
    <row r="2051" customFormat="false" ht="15" hidden="false" customHeight="true" outlineLevel="0" collapsed="false">
      <c r="A2051" s="2" t="n">
        <f aca="false">'Raw Data'!H2051</f>
        <v>2050</v>
      </c>
      <c r="B2051" s="2" t="n">
        <f aca="false">'Raw Data'!A2051</f>
        <v>40</v>
      </c>
      <c r="C2051" s="2" t="str">
        <f aca="false">'Raw Data'!D2051</f>
        <v>Research &amp; Development</v>
      </c>
      <c r="D2051" s="2" t="str">
        <f aca="false">'Raw Data'!K2051</f>
        <v>Human Resources</v>
      </c>
      <c r="E2051" s="2" t="n">
        <f aca="false">'Raw Data'!Q2051</f>
        <v>20</v>
      </c>
      <c r="F2051" s="2" t="n">
        <f aca="false">'Raw Data'!U2051</f>
        <v>13</v>
      </c>
      <c r="G2051" s="2" t="n">
        <f aca="false">'Raw Data'!W2051</f>
        <v>3</v>
      </c>
      <c r="H2051" s="2" t="n">
        <f aca="false">'Raw Data'!V2051</f>
        <v>2</v>
      </c>
      <c r="I2051" s="2" t="n">
        <f aca="false">IF(AND(ISNUMBER(B2051),B2051&lt;=25),2,0)+IF(AND(ISNUMBER(E2051),E2051&lt;=5),2,0)+IF(AND(ISNUMBER(F2051),F2051&lt;=1),2,0)+IF(AND(ISNUMBER(G2051),G2051&lt;=2),1,0)+IF(AND(ISNUMBER(H2051),H2051&lt;=2),1,0)</f>
        <v>1</v>
      </c>
      <c r="J2051" s="2" t="str">
        <f aca="false">IF(I2051&gt;=6,"High",IF(I2051&gt;=3,"Medium","Low"))</f>
        <v>Low</v>
      </c>
    </row>
    <row r="2052" customFormat="false" ht="15" hidden="false" customHeight="true" outlineLevel="0" collapsed="false">
      <c r="A2052" s="2" t="n">
        <f aca="false">'Raw Data'!H2052</f>
        <v>2051</v>
      </c>
      <c r="B2052" s="2" t="n">
        <f aca="false">'Raw Data'!A2052</f>
        <v>42</v>
      </c>
      <c r="C2052" s="2" t="str">
        <f aca="false">'Raw Data'!D2052</f>
        <v>Sales</v>
      </c>
      <c r="D2052" s="2" t="str">
        <f aca="false">'Raw Data'!K2052</f>
        <v>Laboratory Technician</v>
      </c>
      <c r="E2052" s="2" t="n">
        <f aca="false">'Raw Data'!Q2052</f>
        <v>22</v>
      </c>
      <c r="F2052" s="2" t="n">
        <f aca="false">'Raw Data'!U2052</f>
        <v>14</v>
      </c>
      <c r="G2052" s="2" t="n">
        <f aca="false">'Raw Data'!W2052</f>
        <v>1</v>
      </c>
      <c r="H2052" s="2" t="n">
        <f aca="false">'Raw Data'!V2052</f>
        <v>3</v>
      </c>
      <c r="I2052" s="2" t="n">
        <f aca="false">IF(AND(ISNUMBER(B2052),B2052&lt;=25),2,0)+IF(AND(ISNUMBER(E2052),E2052&lt;=5),2,0)+IF(AND(ISNUMBER(F2052),F2052&lt;=1),2,0)+IF(AND(ISNUMBER(G2052),G2052&lt;=2),1,0)+IF(AND(ISNUMBER(H2052),H2052&lt;=2),1,0)</f>
        <v>1</v>
      </c>
      <c r="J2052" s="2" t="str">
        <f aca="false">IF(I2052&gt;=6,"High",IF(I2052&gt;=3,"Medium","Low"))</f>
        <v>Low</v>
      </c>
    </row>
    <row r="2053" customFormat="false" ht="15" hidden="false" customHeight="true" outlineLevel="0" collapsed="false">
      <c r="A2053" s="2" t="n">
        <f aca="false">'Raw Data'!H2053</f>
        <v>2052</v>
      </c>
      <c r="B2053" s="2" t="n">
        <f aca="false">'Raw Data'!A2053</f>
        <v>42</v>
      </c>
      <c r="C2053" s="2" t="str">
        <f aca="false">'Raw Data'!D2053</f>
        <v>Research &amp; Development</v>
      </c>
      <c r="D2053" s="2" t="str">
        <f aca="false">'Raw Data'!K2053</f>
        <v>Laboratory Technician</v>
      </c>
      <c r="E2053" s="2" t="n">
        <f aca="false">'Raw Data'!Q2053</f>
        <v>9</v>
      </c>
      <c r="F2053" s="2" t="n">
        <f aca="false">'Raw Data'!U2053</f>
        <v>5</v>
      </c>
      <c r="G2053" s="2" t="n">
        <f aca="false">'Raw Data'!W2053</f>
        <v>1</v>
      </c>
      <c r="H2053" s="2" t="n">
        <f aca="false">'Raw Data'!V2053</f>
        <v>2</v>
      </c>
      <c r="I2053" s="2" t="n">
        <f aca="false">IF(AND(ISNUMBER(B2053),B2053&lt;=25),2,0)+IF(AND(ISNUMBER(E2053),E2053&lt;=5),2,0)+IF(AND(ISNUMBER(F2053),F2053&lt;=1),2,0)+IF(AND(ISNUMBER(G2053),G2053&lt;=2),1,0)+IF(AND(ISNUMBER(H2053),H2053&lt;=2),1,0)</f>
        <v>2</v>
      </c>
      <c r="J2053" s="2" t="str">
        <f aca="false">IF(I2053&gt;=6,"High",IF(I2053&gt;=3,"Medium","Low"))</f>
        <v>Low</v>
      </c>
    </row>
    <row r="2054" customFormat="false" ht="15" hidden="false" customHeight="true" outlineLevel="0" collapsed="false">
      <c r="A2054" s="2" t="n">
        <f aca="false">'Raw Data'!H2054</f>
        <v>2053</v>
      </c>
      <c r="B2054" s="2" t="n">
        <f aca="false">'Raw Data'!A2054</f>
        <v>35</v>
      </c>
      <c r="C2054" s="2" t="str">
        <f aca="false">'Raw Data'!D2054</f>
        <v>Research &amp; Development</v>
      </c>
      <c r="D2054" s="2" t="str">
        <f aca="false">'Raw Data'!K2054</f>
        <v>Healthcare Representative</v>
      </c>
      <c r="E2054" s="2" t="n">
        <f aca="false">'Raw Data'!Q2054</f>
        <v>10</v>
      </c>
      <c r="F2054" s="2" t="n">
        <f aca="false">'Raw Data'!U2054</f>
        <v>7</v>
      </c>
      <c r="G2054" s="2" t="n">
        <f aca="false">'Raw Data'!W2054</f>
        <v>3</v>
      </c>
      <c r="H2054" s="2" t="n">
        <f aca="false">'Raw Data'!V2054</f>
        <v>4</v>
      </c>
      <c r="I2054" s="2" t="n">
        <f aca="false">IF(AND(ISNUMBER(B2054),B2054&lt;=25),2,0)+IF(AND(ISNUMBER(E2054),E2054&lt;=5),2,0)+IF(AND(ISNUMBER(F2054),F2054&lt;=1),2,0)+IF(AND(ISNUMBER(G2054),G2054&lt;=2),1,0)+IF(AND(ISNUMBER(H2054),H2054&lt;=2),1,0)</f>
        <v>0</v>
      </c>
      <c r="J2054" s="2" t="str">
        <f aca="false">IF(I2054&gt;=6,"High",IF(I2054&gt;=3,"Medium","Low"))</f>
        <v>Low</v>
      </c>
    </row>
    <row r="2055" customFormat="false" ht="15" hidden="false" customHeight="true" outlineLevel="0" collapsed="false">
      <c r="A2055" s="2" t="n">
        <f aca="false">'Raw Data'!H2055</f>
        <v>2054</v>
      </c>
      <c r="B2055" s="2" t="n">
        <f aca="false">'Raw Data'!A2055</f>
        <v>24</v>
      </c>
      <c r="C2055" s="2" t="str">
        <f aca="false">'Raw Data'!D2055</f>
        <v>Sales</v>
      </c>
      <c r="D2055" s="2" t="str">
        <f aca="false">'Raw Data'!K2055</f>
        <v>Laboratory Technician</v>
      </c>
      <c r="E2055" s="2" t="n">
        <f aca="false">'Raw Data'!Q2055</f>
        <v>6</v>
      </c>
      <c r="F2055" s="2" t="n">
        <f aca="false">'Raw Data'!U2055</f>
        <v>2</v>
      </c>
      <c r="G2055" s="2" t="n">
        <f aca="false">'Raw Data'!W2055</f>
        <v>2</v>
      </c>
      <c r="H2055" s="2" t="n">
        <f aca="false">'Raw Data'!V2055</f>
        <v>4</v>
      </c>
      <c r="I2055" s="2" t="n">
        <f aca="false">IF(AND(ISNUMBER(B2055),B2055&lt;=25),2,0)+IF(AND(ISNUMBER(E2055),E2055&lt;=5),2,0)+IF(AND(ISNUMBER(F2055),F2055&lt;=1),2,0)+IF(AND(ISNUMBER(G2055),G2055&lt;=2),1,0)+IF(AND(ISNUMBER(H2055),H2055&lt;=2),1,0)</f>
        <v>3</v>
      </c>
      <c r="J2055" s="2" t="str">
        <f aca="false">IF(I2055&gt;=6,"High",IF(I2055&gt;=3,"Medium","Low"))</f>
        <v>Medium</v>
      </c>
    </row>
    <row r="2056" customFormat="false" ht="15" hidden="false" customHeight="true" outlineLevel="0" collapsed="false">
      <c r="A2056" s="2" t="n">
        <f aca="false">'Raw Data'!H2056</f>
        <v>2055</v>
      </c>
      <c r="B2056" s="2" t="n">
        <f aca="false">'Raw Data'!A2056</f>
        <v>28</v>
      </c>
      <c r="C2056" s="2" t="str">
        <f aca="false">'Raw Data'!D2056</f>
        <v>Research &amp; Development</v>
      </c>
      <c r="D2056" s="2" t="str">
        <f aca="false">'Raw Data'!K2056</f>
        <v>Sales Executive</v>
      </c>
      <c r="E2056" s="2" t="n">
        <f aca="false">'Raw Data'!Q2056</f>
        <v>1</v>
      </c>
      <c r="F2056" s="2" t="n">
        <f aca="false">'Raw Data'!U2056</f>
        <v>0</v>
      </c>
      <c r="G2056" s="2" t="n">
        <f aca="false">'Raw Data'!W2056</f>
        <v>4</v>
      </c>
      <c r="H2056" s="2" t="n">
        <f aca="false">'Raw Data'!V2056</f>
        <v>3</v>
      </c>
      <c r="I2056" s="2" t="n">
        <f aca="false">IF(AND(ISNUMBER(B2056),B2056&lt;=25),2,0)+IF(AND(ISNUMBER(E2056),E2056&lt;=5),2,0)+IF(AND(ISNUMBER(F2056),F2056&lt;=1),2,0)+IF(AND(ISNUMBER(G2056),G2056&lt;=2),1,0)+IF(AND(ISNUMBER(H2056),H2056&lt;=2),1,0)</f>
        <v>4</v>
      </c>
      <c r="J2056" s="2" t="str">
        <f aca="false">IF(I2056&gt;=6,"High",IF(I2056&gt;=3,"Medium","Low"))</f>
        <v>Medium</v>
      </c>
    </row>
    <row r="2057" customFormat="false" ht="15" hidden="false" customHeight="true" outlineLevel="0" collapsed="false">
      <c r="A2057" s="2" t="n">
        <f aca="false">'Raw Data'!H2057</f>
        <v>2056</v>
      </c>
      <c r="B2057" s="2" t="n">
        <f aca="false">'Raw Data'!A2057</f>
        <v>26</v>
      </c>
      <c r="C2057" s="2" t="str">
        <f aca="false">'Raw Data'!D2057</f>
        <v>Research &amp; Development</v>
      </c>
      <c r="D2057" s="2" t="str">
        <f aca="false">'Raw Data'!K2057</f>
        <v>Sales Representative</v>
      </c>
      <c r="E2057" s="2" t="n">
        <f aca="false">'Raw Data'!Q2057</f>
        <v>8</v>
      </c>
      <c r="F2057" s="2" t="n">
        <f aca="false">'Raw Data'!U2057</f>
        <v>7</v>
      </c>
      <c r="G2057" s="2" t="n">
        <f aca="false">'Raw Data'!W2057</f>
        <v>4</v>
      </c>
      <c r="H2057" s="2" t="n">
        <f aca="false">'Raw Data'!V2057</f>
        <v>1</v>
      </c>
      <c r="I2057" s="2" t="n">
        <f aca="false">IF(AND(ISNUMBER(B2057),B2057&lt;=25),2,0)+IF(AND(ISNUMBER(E2057),E2057&lt;=5),2,0)+IF(AND(ISNUMBER(F2057),F2057&lt;=1),2,0)+IF(AND(ISNUMBER(G2057),G2057&lt;=2),1,0)+IF(AND(ISNUMBER(H2057),H2057&lt;=2),1,0)</f>
        <v>1</v>
      </c>
      <c r="J2057" s="2" t="str">
        <f aca="false">IF(I2057&gt;=6,"High",IF(I2057&gt;=3,"Medium","Low"))</f>
        <v>Low</v>
      </c>
    </row>
    <row r="2058" customFormat="false" ht="15" hidden="false" customHeight="true" outlineLevel="0" collapsed="false">
      <c r="A2058" s="2" t="n">
        <f aca="false">'Raw Data'!H2058</f>
        <v>2057</v>
      </c>
      <c r="B2058" s="2" t="n">
        <f aca="false">'Raw Data'!A2058</f>
        <v>30</v>
      </c>
      <c r="C2058" s="2" t="str">
        <f aca="false">'Raw Data'!D2058</f>
        <v>Research &amp; Development</v>
      </c>
      <c r="D2058" s="2" t="str">
        <f aca="false">'Raw Data'!K2058</f>
        <v>Manufacturing Director</v>
      </c>
      <c r="E2058" s="2" t="n">
        <f aca="false">'Raw Data'!Q2058</f>
        <v>10</v>
      </c>
      <c r="F2058" s="2" t="n">
        <f aca="false">'Raw Data'!U2058</f>
        <v>4</v>
      </c>
      <c r="G2058" s="2" t="n">
        <f aca="false">'Raw Data'!W2058</f>
        <v>3</v>
      </c>
      <c r="H2058" s="2" t="n">
        <f aca="false">'Raw Data'!V2058</f>
        <v>3</v>
      </c>
      <c r="I2058" s="2" t="n">
        <f aca="false">IF(AND(ISNUMBER(B2058),B2058&lt;=25),2,0)+IF(AND(ISNUMBER(E2058),E2058&lt;=5),2,0)+IF(AND(ISNUMBER(F2058),F2058&lt;=1),2,0)+IF(AND(ISNUMBER(G2058),G2058&lt;=2),1,0)+IF(AND(ISNUMBER(H2058),H2058&lt;=2),1,0)</f>
        <v>0</v>
      </c>
      <c r="J2058" s="2" t="str">
        <f aca="false">IF(I2058&gt;=6,"High",IF(I2058&gt;=3,"Medium","Low"))</f>
        <v>Low</v>
      </c>
    </row>
    <row r="2059" customFormat="false" ht="15" hidden="false" customHeight="true" outlineLevel="0" collapsed="false">
      <c r="A2059" s="2" t="n">
        <f aca="false">'Raw Data'!H2059</f>
        <v>2058</v>
      </c>
      <c r="B2059" s="2" t="n">
        <f aca="false">'Raw Data'!A2059</f>
        <v>40</v>
      </c>
      <c r="C2059" s="2" t="str">
        <f aca="false">'Raw Data'!D2059</f>
        <v>Research &amp; Development</v>
      </c>
      <c r="D2059" s="2" t="str">
        <f aca="false">'Raw Data'!K2059</f>
        <v>Research Scientist</v>
      </c>
      <c r="E2059" s="2" t="n">
        <f aca="false">'Raw Data'!Q2059</f>
        <v>16</v>
      </c>
      <c r="F2059" s="2" t="n">
        <f aca="false">'Raw Data'!U2059</f>
        <v>0</v>
      </c>
      <c r="G2059" s="2" t="n">
        <f aca="false">'Raw Data'!W2059</f>
        <v>4</v>
      </c>
      <c r="H2059" s="2" t="n">
        <f aca="false">'Raw Data'!V2059</f>
        <v>3</v>
      </c>
      <c r="I2059" s="2" t="n">
        <f aca="false">IF(AND(ISNUMBER(B2059),B2059&lt;=25),2,0)+IF(AND(ISNUMBER(E2059),E2059&lt;=5),2,0)+IF(AND(ISNUMBER(F2059),F2059&lt;=1),2,0)+IF(AND(ISNUMBER(G2059),G2059&lt;=2),1,0)+IF(AND(ISNUMBER(H2059),H2059&lt;=2),1,0)</f>
        <v>2</v>
      </c>
      <c r="J2059" s="2" t="str">
        <f aca="false">IF(I2059&gt;=6,"High",IF(I2059&gt;=3,"Medium","Low"))</f>
        <v>Low</v>
      </c>
    </row>
    <row r="2060" customFormat="false" ht="15" hidden="false" customHeight="true" outlineLevel="0" collapsed="false">
      <c r="A2060" s="2" t="n">
        <f aca="false">'Raw Data'!H2060</f>
        <v>2059</v>
      </c>
      <c r="B2060" s="2" t="n">
        <f aca="false">'Raw Data'!A2060</f>
        <v>35</v>
      </c>
      <c r="C2060" s="2" t="str">
        <f aca="false">'Raw Data'!D2060</f>
        <v>Research &amp; Development</v>
      </c>
      <c r="D2060" s="2" t="str">
        <f aca="false">'Raw Data'!K2060</f>
        <v>Research Scientist</v>
      </c>
      <c r="E2060" s="2" t="n">
        <f aca="false">'Raw Data'!Q2060</f>
        <v>15</v>
      </c>
      <c r="F2060" s="2" t="n">
        <f aca="false">'Raw Data'!U2060</f>
        <v>4</v>
      </c>
      <c r="G2060" s="2" t="n">
        <f aca="false">'Raw Data'!W2060</f>
        <v>2</v>
      </c>
      <c r="H2060" s="2" t="n">
        <f aca="false">'Raw Data'!V2060</f>
        <v>3</v>
      </c>
      <c r="I2060" s="2" t="n">
        <f aca="false">IF(AND(ISNUMBER(B2060),B2060&lt;=25),2,0)+IF(AND(ISNUMBER(E2060),E2060&lt;=5),2,0)+IF(AND(ISNUMBER(F2060),F2060&lt;=1),2,0)+IF(AND(ISNUMBER(G2060),G2060&lt;=2),1,0)+IF(AND(ISNUMBER(H2060),H2060&lt;=2),1,0)</f>
        <v>1</v>
      </c>
      <c r="J2060" s="2" t="str">
        <f aca="false">IF(I2060&gt;=6,"High",IF(I2060&gt;=3,"Medium","Low"))</f>
        <v>Low</v>
      </c>
    </row>
    <row r="2061" customFormat="false" ht="15" hidden="false" customHeight="true" outlineLevel="0" collapsed="false">
      <c r="A2061" s="2" t="n">
        <f aca="false">'Raw Data'!H2061</f>
        <v>2060</v>
      </c>
      <c r="B2061" s="2" t="n">
        <f aca="false">'Raw Data'!A2061</f>
        <v>34</v>
      </c>
      <c r="C2061" s="2" t="str">
        <f aca="false">'Raw Data'!D2061</f>
        <v>Research &amp; Development</v>
      </c>
      <c r="D2061" s="2" t="str">
        <f aca="false">'Raw Data'!K2061</f>
        <v>Research Director</v>
      </c>
      <c r="E2061" s="2" t="n">
        <f aca="false">'Raw Data'!Q2061</f>
        <v>14</v>
      </c>
      <c r="F2061" s="2" t="n">
        <f aca="false">'Raw Data'!U2061</f>
        <v>9</v>
      </c>
      <c r="G2061" s="2" t="n">
        <f aca="false">'Raw Data'!W2061</f>
        <v>1</v>
      </c>
      <c r="H2061" s="2" t="n">
        <f aca="false">'Raw Data'!V2061</f>
        <v>4</v>
      </c>
      <c r="I2061" s="2" t="n">
        <f aca="false">IF(AND(ISNUMBER(B2061),B2061&lt;=25),2,0)+IF(AND(ISNUMBER(E2061),E2061&lt;=5),2,0)+IF(AND(ISNUMBER(F2061),F2061&lt;=1),2,0)+IF(AND(ISNUMBER(G2061),G2061&lt;=2),1,0)+IF(AND(ISNUMBER(H2061),H2061&lt;=2),1,0)</f>
        <v>1</v>
      </c>
      <c r="J2061" s="2" t="str">
        <f aca="false">IF(I2061&gt;=6,"High",IF(I2061&gt;=3,"Medium","Low"))</f>
        <v>Low</v>
      </c>
    </row>
    <row r="2062" customFormat="false" ht="15" hidden="false" customHeight="true" outlineLevel="0" collapsed="false">
      <c r="A2062" s="2" t="n">
        <f aca="false">'Raw Data'!H2062</f>
        <v>2061</v>
      </c>
      <c r="B2062" s="2" t="n">
        <f aca="false">'Raw Data'!A2062</f>
        <v>35</v>
      </c>
      <c r="C2062" s="2" t="str">
        <f aca="false">'Raw Data'!D2062</f>
        <v>Research &amp; Development</v>
      </c>
      <c r="D2062" s="2" t="str">
        <f aca="false">'Raw Data'!K2062</f>
        <v>Laboratory Technician</v>
      </c>
      <c r="E2062" s="2" t="n">
        <f aca="false">'Raw Data'!Q2062</f>
        <v>2</v>
      </c>
      <c r="F2062" s="2" t="n">
        <f aca="false">'Raw Data'!U2062</f>
        <v>2</v>
      </c>
      <c r="G2062" s="2" t="n">
        <f aca="false">'Raw Data'!W2062</f>
        <v>4</v>
      </c>
      <c r="H2062" s="2" t="n">
        <f aca="false">'Raw Data'!V2062</f>
        <v>4</v>
      </c>
      <c r="I2062" s="2" t="n">
        <f aca="false">IF(AND(ISNUMBER(B2062),B2062&lt;=25),2,0)+IF(AND(ISNUMBER(E2062),E2062&lt;=5),2,0)+IF(AND(ISNUMBER(F2062),F2062&lt;=1),2,0)+IF(AND(ISNUMBER(G2062),G2062&lt;=2),1,0)+IF(AND(ISNUMBER(H2062),H2062&lt;=2),1,0)</f>
        <v>2</v>
      </c>
      <c r="J2062" s="2" t="str">
        <f aca="false">IF(I2062&gt;=6,"High",IF(I2062&gt;=3,"Medium","Low"))</f>
        <v>Low</v>
      </c>
    </row>
    <row r="2063" customFormat="false" ht="15" hidden="false" customHeight="true" outlineLevel="0" collapsed="false">
      <c r="A2063" s="2" t="n">
        <f aca="false">'Raw Data'!H2063</f>
        <v>2062</v>
      </c>
      <c r="B2063" s="2" t="n">
        <f aca="false">'Raw Data'!A2063</f>
        <v>43</v>
      </c>
      <c r="C2063" s="2" t="str">
        <f aca="false">'Raw Data'!D2063</f>
        <v>Sales</v>
      </c>
      <c r="D2063" s="2" t="str">
        <f aca="false">'Raw Data'!K2063</f>
        <v>Research Scientist</v>
      </c>
      <c r="E2063" s="2" t="n">
        <f aca="false">'Raw Data'!Q2063</f>
        <v>7</v>
      </c>
      <c r="F2063" s="2" t="n">
        <f aca="false">'Raw Data'!U2063</f>
        <v>3</v>
      </c>
      <c r="G2063" s="2" t="n">
        <f aca="false">'Raw Data'!W2063</f>
        <v>3</v>
      </c>
      <c r="H2063" s="2" t="n">
        <f aca="false">'Raw Data'!V2063</f>
        <v>1</v>
      </c>
      <c r="I2063" s="2" t="n">
        <f aca="false">IF(AND(ISNUMBER(B2063),B2063&lt;=25),2,0)+IF(AND(ISNUMBER(E2063),E2063&lt;=5),2,0)+IF(AND(ISNUMBER(F2063),F2063&lt;=1),2,0)+IF(AND(ISNUMBER(G2063),G2063&lt;=2),1,0)+IF(AND(ISNUMBER(H2063),H2063&lt;=2),1,0)</f>
        <v>1</v>
      </c>
      <c r="J2063" s="2" t="str">
        <f aca="false">IF(I2063&gt;=6,"High",IF(I2063&gt;=3,"Medium","Low"))</f>
        <v>Low</v>
      </c>
    </row>
    <row r="2064" customFormat="false" ht="15" hidden="false" customHeight="true" outlineLevel="0" collapsed="false">
      <c r="A2064" s="2" t="n">
        <f aca="false">'Raw Data'!H2064</f>
        <v>2063</v>
      </c>
      <c r="B2064" s="2" t="n">
        <f aca="false">'Raw Data'!A2064</f>
        <v>32</v>
      </c>
      <c r="C2064" s="2" t="str">
        <f aca="false">'Raw Data'!D2064</f>
        <v>Research &amp; Development</v>
      </c>
      <c r="D2064" s="2" t="str">
        <f aca="false">'Raw Data'!K2064</f>
        <v>Research Scientist</v>
      </c>
      <c r="E2064" s="2" t="n">
        <f aca="false">'Raw Data'!Q2064</f>
        <v>1</v>
      </c>
      <c r="F2064" s="2" t="n">
        <f aca="false">'Raw Data'!U2064</f>
        <v>0</v>
      </c>
      <c r="G2064" s="2" t="n">
        <f aca="false">'Raw Data'!W2064</f>
        <v>1</v>
      </c>
      <c r="H2064" s="2" t="n">
        <f aca="false">'Raw Data'!V2064</f>
        <v>3</v>
      </c>
      <c r="I2064" s="2" t="n">
        <f aca="false">IF(AND(ISNUMBER(B2064),B2064&lt;=25),2,0)+IF(AND(ISNUMBER(E2064),E2064&lt;=5),2,0)+IF(AND(ISNUMBER(F2064),F2064&lt;=1),2,0)+IF(AND(ISNUMBER(G2064),G2064&lt;=2),1,0)+IF(AND(ISNUMBER(H2064),H2064&lt;=2),1,0)</f>
        <v>5</v>
      </c>
      <c r="J2064" s="2" t="str">
        <f aca="false">IF(I2064&gt;=6,"High",IF(I2064&gt;=3,"Medium","Low"))</f>
        <v>Medium</v>
      </c>
    </row>
    <row r="2065" customFormat="false" ht="15" hidden="false" customHeight="true" outlineLevel="0" collapsed="false">
      <c r="A2065" s="2" t="n">
        <f aca="false">'Raw Data'!H2065</f>
        <v>2064</v>
      </c>
      <c r="B2065" s="2" t="n">
        <f aca="false">'Raw Data'!A2065</f>
        <v>56</v>
      </c>
      <c r="C2065" s="2" t="str">
        <f aca="false">'Raw Data'!D2065</f>
        <v>Research &amp; Development</v>
      </c>
      <c r="D2065" s="2" t="str">
        <f aca="false">'Raw Data'!K2065</f>
        <v>Healthcare Representative</v>
      </c>
      <c r="E2065" s="2" t="n">
        <f aca="false">'Raw Data'!Q2065</f>
        <v>28</v>
      </c>
      <c r="F2065" s="2" t="n">
        <f aca="false">'Raw Data'!U2065</f>
        <v>2</v>
      </c>
      <c r="G2065" s="2" t="n">
        <f aca="false">'Raw Data'!W2065</f>
        <v>1</v>
      </c>
      <c r="H2065" s="2" t="n">
        <f aca="false">'Raw Data'!V2065</f>
        <v>4</v>
      </c>
      <c r="I2065" s="2" t="n">
        <f aca="false">IF(AND(ISNUMBER(B2065),B2065&lt;=25),2,0)+IF(AND(ISNUMBER(E2065),E2065&lt;=5),2,0)+IF(AND(ISNUMBER(F2065),F2065&lt;=1),2,0)+IF(AND(ISNUMBER(G2065),G2065&lt;=2),1,0)+IF(AND(ISNUMBER(H2065),H2065&lt;=2),1,0)</f>
        <v>1</v>
      </c>
      <c r="J2065" s="2" t="str">
        <f aca="false">IF(I2065&gt;=6,"High",IF(I2065&gt;=3,"Medium","Low"))</f>
        <v>Low</v>
      </c>
    </row>
    <row r="2066" customFormat="false" ht="15" hidden="false" customHeight="true" outlineLevel="0" collapsed="false">
      <c r="A2066" s="2" t="n">
        <f aca="false">'Raw Data'!H2066</f>
        <v>2065</v>
      </c>
      <c r="B2066" s="2" t="n">
        <f aca="false">'Raw Data'!A2066</f>
        <v>29</v>
      </c>
      <c r="C2066" s="2" t="str">
        <f aca="false">'Raw Data'!D2066</f>
        <v>Research &amp; Development</v>
      </c>
      <c r="D2066" s="2" t="str">
        <f aca="false">'Raw Data'!K2066</f>
        <v>Laboratory Technician</v>
      </c>
      <c r="E2066" s="2" t="n">
        <f aca="false">'Raw Data'!Q2066</f>
        <v>10</v>
      </c>
      <c r="F2066" s="2" t="n">
        <f aca="false">'Raw Data'!U2066</f>
        <v>8</v>
      </c>
      <c r="G2066" s="2" t="n">
        <f aca="false">'Raw Data'!W2066</f>
        <v>4</v>
      </c>
      <c r="H2066" s="2" t="n">
        <f aca="false">'Raw Data'!V2066</f>
        <v>2</v>
      </c>
      <c r="I2066" s="2" t="n">
        <f aca="false">IF(AND(ISNUMBER(B2066),B2066&lt;=25),2,0)+IF(AND(ISNUMBER(E2066),E2066&lt;=5),2,0)+IF(AND(ISNUMBER(F2066),F2066&lt;=1),2,0)+IF(AND(ISNUMBER(G2066),G2066&lt;=2),1,0)+IF(AND(ISNUMBER(H2066),H2066&lt;=2),1,0)</f>
        <v>1</v>
      </c>
      <c r="J2066" s="2" t="str">
        <f aca="false">IF(I2066&gt;=6,"High",IF(I2066&gt;=3,"Medium","Low"))</f>
        <v>Low</v>
      </c>
    </row>
    <row r="2067" customFormat="false" ht="15" hidden="false" customHeight="true" outlineLevel="0" collapsed="false">
      <c r="A2067" s="2" t="n">
        <f aca="false">'Raw Data'!H2067</f>
        <v>2066</v>
      </c>
      <c r="B2067" s="2" t="n">
        <f aca="false">'Raw Data'!A2067</f>
        <v>19</v>
      </c>
      <c r="C2067" s="2" t="str">
        <f aca="false">'Raw Data'!D2067</f>
        <v>Research &amp; Development</v>
      </c>
      <c r="D2067" s="2" t="str">
        <f aca="false">'Raw Data'!K2067</f>
        <v>Laboratory Technician</v>
      </c>
      <c r="E2067" s="2" t="n">
        <f aca="false">'Raw Data'!Q2067</f>
        <v>1</v>
      </c>
      <c r="F2067" s="2" t="n">
        <f aca="false">'Raw Data'!U2067</f>
        <v>0</v>
      </c>
      <c r="G2067" s="2" t="n">
        <f aca="false">'Raw Data'!W2067</f>
        <v>1</v>
      </c>
      <c r="H2067" s="2" t="n">
        <f aca="false">'Raw Data'!V2067</f>
        <v>3</v>
      </c>
      <c r="I2067" s="2" t="n">
        <f aca="false">IF(AND(ISNUMBER(B2067),B2067&lt;=25),2,0)+IF(AND(ISNUMBER(E2067),E2067&lt;=5),2,0)+IF(AND(ISNUMBER(F2067),F2067&lt;=1),2,0)+IF(AND(ISNUMBER(G2067),G2067&lt;=2),1,0)+IF(AND(ISNUMBER(H2067),H2067&lt;=2),1,0)</f>
        <v>7</v>
      </c>
      <c r="J2067" s="2" t="str">
        <f aca="false">IF(I2067&gt;=6,"High",IF(I2067&gt;=3,"Medium","Low"))</f>
        <v>High</v>
      </c>
    </row>
    <row r="2068" customFormat="false" ht="15" hidden="false" customHeight="true" outlineLevel="0" collapsed="false">
      <c r="A2068" s="2" t="n">
        <f aca="false">'Raw Data'!H2068</f>
        <v>2067</v>
      </c>
      <c r="B2068" s="2" t="n">
        <f aca="false">'Raw Data'!A2068</f>
        <v>45</v>
      </c>
      <c r="C2068" s="2" t="str">
        <f aca="false">'Raw Data'!D2068</f>
        <v>Research &amp; Development</v>
      </c>
      <c r="D2068" s="2" t="str">
        <f aca="false">'Raw Data'!K2068</f>
        <v>Sales Representative</v>
      </c>
      <c r="E2068" s="2" t="n">
        <f aca="false">'Raw Data'!Q2068</f>
        <v>7</v>
      </c>
      <c r="F2068" s="2" t="n">
        <f aca="false">'Raw Data'!U2068</f>
        <v>2</v>
      </c>
      <c r="G2068" s="2" t="n">
        <f aca="false">'Raw Data'!W2068</f>
        <v>3</v>
      </c>
      <c r="H2068" s="2" t="n">
        <f aca="false">'Raw Data'!V2068</f>
        <v>1</v>
      </c>
      <c r="I2068" s="2" t="n">
        <f aca="false">IF(AND(ISNUMBER(B2068),B2068&lt;=25),2,0)+IF(AND(ISNUMBER(E2068),E2068&lt;=5),2,0)+IF(AND(ISNUMBER(F2068),F2068&lt;=1),2,0)+IF(AND(ISNUMBER(G2068),G2068&lt;=2),1,0)+IF(AND(ISNUMBER(H2068),H2068&lt;=2),1,0)</f>
        <v>1</v>
      </c>
      <c r="J2068" s="2" t="str">
        <f aca="false">IF(I2068&gt;=6,"High",IF(I2068&gt;=3,"Medium","Low"))</f>
        <v>Low</v>
      </c>
    </row>
    <row r="2069" customFormat="false" ht="15" hidden="false" customHeight="true" outlineLevel="0" collapsed="false">
      <c r="A2069" s="2" t="n">
        <f aca="false">'Raw Data'!H2069</f>
        <v>2068</v>
      </c>
      <c r="B2069" s="2" t="n">
        <f aca="false">'Raw Data'!A2069</f>
        <v>37</v>
      </c>
      <c r="C2069" s="2" t="str">
        <f aca="false">'Raw Data'!D2069</f>
        <v>Research &amp; Development</v>
      </c>
      <c r="D2069" s="2" t="str">
        <f aca="false">'Raw Data'!K2069</f>
        <v>Research Scientist</v>
      </c>
      <c r="E2069" s="2" t="n">
        <f aca="false">'Raw Data'!Q2069</f>
        <v>14</v>
      </c>
      <c r="F2069" s="2" t="n">
        <f aca="false">'Raw Data'!U2069</f>
        <v>11</v>
      </c>
      <c r="G2069" s="2" t="n">
        <f aca="false">'Raw Data'!W2069</f>
        <v>4</v>
      </c>
      <c r="H2069" s="2" t="n">
        <f aca="false">'Raw Data'!V2069</f>
        <v>4</v>
      </c>
      <c r="I2069" s="2" t="n">
        <f aca="false">IF(AND(ISNUMBER(B2069),B2069&lt;=25),2,0)+IF(AND(ISNUMBER(E2069),E2069&lt;=5),2,0)+IF(AND(ISNUMBER(F2069),F2069&lt;=1),2,0)+IF(AND(ISNUMBER(G2069),G2069&lt;=2),1,0)+IF(AND(ISNUMBER(H2069),H2069&lt;=2),1,0)</f>
        <v>0</v>
      </c>
      <c r="J2069" s="2" t="str">
        <f aca="false">IF(I2069&gt;=6,"High",IF(I2069&gt;=3,"Medium","Low"))</f>
        <v>Low</v>
      </c>
    </row>
    <row r="2070" customFormat="false" ht="15" hidden="false" customHeight="true" outlineLevel="0" collapsed="false">
      <c r="A2070" s="2" t="n">
        <f aca="false">'Raw Data'!H2070</f>
        <v>2069</v>
      </c>
      <c r="B2070" s="2" t="n">
        <f aca="false">'Raw Data'!A2070</f>
        <v>20</v>
      </c>
      <c r="C2070" s="2" t="str">
        <f aca="false">'Raw Data'!D2070</f>
        <v>Research &amp; Development</v>
      </c>
      <c r="D2070" s="2" t="str">
        <f aca="false">'Raw Data'!K2070</f>
        <v>Research Director</v>
      </c>
      <c r="E2070" s="2" t="n">
        <f aca="false">'Raw Data'!Q2070</f>
        <v>2</v>
      </c>
      <c r="F2070" s="2" t="n">
        <f aca="false">'Raw Data'!U2070</f>
        <v>2</v>
      </c>
      <c r="G2070" s="2" t="n">
        <f aca="false">'Raw Data'!W2070</f>
        <v>3</v>
      </c>
      <c r="H2070" s="2" t="n">
        <f aca="false">'Raw Data'!V2070</f>
        <v>1</v>
      </c>
      <c r="I2070" s="2" t="n">
        <f aca="false">IF(AND(ISNUMBER(B2070),B2070&lt;=25),2,0)+IF(AND(ISNUMBER(E2070),E2070&lt;=5),2,0)+IF(AND(ISNUMBER(F2070),F2070&lt;=1),2,0)+IF(AND(ISNUMBER(G2070),G2070&lt;=2),1,0)+IF(AND(ISNUMBER(H2070),H2070&lt;=2),1,0)</f>
        <v>5</v>
      </c>
      <c r="J2070" s="2" t="str">
        <f aca="false">IF(I2070&gt;=6,"High",IF(I2070&gt;=3,"Medium","Low"))</f>
        <v>Medium</v>
      </c>
    </row>
    <row r="2071" customFormat="false" ht="15" hidden="false" customHeight="true" outlineLevel="0" collapsed="false">
      <c r="A2071" s="2" t="n">
        <f aca="false">'Raw Data'!H2071</f>
        <v>2070</v>
      </c>
      <c r="B2071" s="2" t="n">
        <f aca="false">'Raw Data'!A2071</f>
        <v>44</v>
      </c>
      <c r="C2071" s="2" t="str">
        <f aca="false">'Raw Data'!D2071</f>
        <v>Human Resources</v>
      </c>
      <c r="D2071" s="2" t="str">
        <f aca="false">'Raw Data'!K2071</f>
        <v>Sales Executive</v>
      </c>
      <c r="E2071" s="2" t="n">
        <f aca="false">'Raw Data'!Q2071</f>
        <v>6</v>
      </c>
      <c r="F2071" s="2" t="n">
        <f aca="false">'Raw Data'!U2071</f>
        <v>2</v>
      </c>
      <c r="G2071" s="2" t="n">
        <f aca="false">'Raw Data'!W2071</f>
        <v>3</v>
      </c>
      <c r="H2071" s="2" t="n">
        <f aca="false">'Raw Data'!V2071</f>
        <v>3</v>
      </c>
      <c r="I2071" s="2" t="n">
        <f aca="false">IF(AND(ISNUMBER(B2071),B2071&lt;=25),2,0)+IF(AND(ISNUMBER(E2071),E2071&lt;=5),2,0)+IF(AND(ISNUMBER(F2071),F2071&lt;=1),2,0)+IF(AND(ISNUMBER(G2071),G2071&lt;=2),1,0)+IF(AND(ISNUMBER(H2071),H2071&lt;=2),1,0)</f>
        <v>0</v>
      </c>
      <c r="J2071" s="2" t="str">
        <f aca="false">IF(I2071&gt;=6,"High",IF(I2071&gt;=3,"Medium","Low"))</f>
        <v>Low</v>
      </c>
    </row>
    <row r="2072" customFormat="false" ht="15" hidden="false" customHeight="true" outlineLevel="0" collapsed="false">
      <c r="A2072" s="2" t="n">
        <f aca="false">'Raw Data'!H2072</f>
        <v>2071</v>
      </c>
      <c r="B2072" s="2" t="n">
        <f aca="false">'Raw Data'!A2072</f>
        <v>53</v>
      </c>
      <c r="C2072" s="2" t="str">
        <f aca="false">'Raw Data'!D2072</f>
        <v>Research &amp; Development</v>
      </c>
      <c r="D2072" s="2" t="str">
        <f aca="false">'Raw Data'!K2072</f>
        <v>Research Director</v>
      </c>
      <c r="E2072" s="2" t="n">
        <f aca="false">'Raw Data'!Q2072</f>
        <v>26</v>
      </c>
      <c r="F2072" s="2" t="n">
        <f aca="false">'Raw Data'!U2072</f>
        <v>7</v>
      </c>
      <c r="G2072" s="2" t="n">
        <f aca="false">'Raw Data'!W2072</f>
        <v>3</v>
      </c>
      <c r="H2072" s="2" t="n">
        <f aca="false">'Raw Data'!V2072</f>
        <v>4</v>
      </c>
      <c r="I2072" s="2" t="n">
        <f aca="false">IF(AND(ISNUMBER(B2072),B2072&lt;=25),2,0)+IF(AND(ISNUMBER(E2072),E2072&lt;=5),2,0)+IF(AND(ISNUMBER(F2072),F2072&lt;=1),2,0)+IF(AND(ISNUMBER(G2072),G2072&lt;=2),1,0)+IF(AND(ISNUMBER(H2072),H2072&lt;=2),1,0)</f>
        <v>0</v>
      </c>
      <c r="J2072" s="2" t="str">
        <f aca="false">IF(I2072&gt;=6,"High",IF(I2072&gt;=3,"Medium","Low"))</f>
        <v>Low</v>
      </c>
    </row>
    <row r="2073" customFormat="false" ht="15" hidden="false" customHeight="true" outlineLevel="0" collapsed="false">
      <c r="A2073" s="2" t="n">
        <f aca="false">'Raw Data'!H2073</f>
        <v>2072</v>
      </c>
      <c r="B2073" s="2" t="n">
        <f aca="false">'Raw Data'!A2073</f>
        <v>29</v>
      </c>
      <c r="C2073" s="2" t="str">
        <f aca="false">'Raw Data'!D2073</f>
        <v>Research &amp; Development</v>
      </c>
      <c r="D2073" s="2" t="str">
        <f aca="false">'Raw Data'!K2073</f>
        <v>Sales Executive</v>
      </c>
      <c r="E2073" s="2" t="n">
        <f aca="false">'Raw Data'!Q2073</f>
        <v>6</v>
      </c>
      <c r="F2073" s="2" t="n">
        <f aca="false">'Raw Data'!U2073</f>
        <v>3</v>
      </c>
      <c r="G2073" s="2" t="n">
        <f aca="false">'Raw Data'!W2073</f>
        <v>4</v>
      </c>
      <c r="H2073" s="2" t="n">
        <f aca="false">'Raw Data'!V2073</f>
        <v>2</v>
      </c>
      <c r="I2073" s="2" t="n">
        <f aca="false">IF(AND(ISNUMBER(B2073),B2073&lt;=25),2,0)+IF(AND(ISNUMBER(E2073),E2073&lt;=5),2,0)+IF(AND(ISNUMBER(F2073),F2073&lt;=1),2,0)+IF(AND(ISNUMBER(G2073),G2073&lt;=2),1,0)+IF(AND(ISNUMBER(H2073),H2073&lt;=2),1,0)</f>
        <v>1</v>
      </c>
      <c r="J2073" s="2" t="str">
        <f aca="false">IF(I2073&gt;=6,"High",IF(I2073&gt;=3,"Medium","Low"))</f>
        <v>Low</v>
      </c>
    </row>
    <row r="2074" customFormat="false" ht="15" hidden="false" customHeight="true" outlineLevel="0" collapsed="false">
      <c r="A2074" s="2" t="n">
        <f aca="false">'Raw Data'!H2074</f>
        <v>2073</v>
      </c>
      <c r="B2074" s="2" t="n">
        <f aca="false">'Raw Data'!A2074</f>
        <v>22</v>
      </c>
      <c r="C2074" s="2" t="str">
        <f aca="false">'Raw Data'!D2074</f>
        <v>Research &amp; Development</v>
      </c>
      <c r="D2074" s="2" t="str">
        <f aca="false">'Raw Data'!K2074</f>
        <v>Sales Representative</v>
      </c>
      <c r="E2074" s="2" t="n">
        <f aca="false">'Raw Data'!Q2074</f>
        <v>1</v>
      </c>
      <c r="F2074" s="2" t="n">
        <f aca="false">'Raw Data'!U2074</f>
        <v>0</v>
      </c>
      <c r="G2074" s="2" t="n">
        <f aca="false">'Raw Data'!W2074</f>
        <v>4</v>
      </c>
      <c r="H2074" s="2" t="n">
        <f aca="false">'Raw Data'!V2074</f>
        <v>3</v>
      </c>
      <c r="I2074" s="2" t="n">
        <f aca="false">IF(AND(ISNUMBER(B2074),B2074&lt;=25),2,0)+IF(AND(ISNUMBER(E2074),E2074&lt;=5),2,0)+IF(AND(ISNUMBER(F2074),F2074&lt;=1),2,0)+IF(AND(ISNUMBER(G2074),G2074&lt;=2),1,0)+IF(AND(ISNUMBER(H2074),H2074&lt;=2),1,0)</f>
        <v>6</v>
      </c>
      <c r="J2074" s="2" t="str">
        <f aca="false">IF(I2074&gt;=6,"High",IF(I2074&gt;=3,"Medium","Low"))</f>
        <v>High</v>
      </c>
    </row>
    <row r="2075" customFormat="false" ht="15" hidden="false" customHeight="true" outlineLevel="0" collapsed="false">
      <c r="A2075" s="2" t="n">
        <f aca="false">'Raw Data'!H2075</f>
        <v>2074</v>
      </c>
      <c r="B2075" s="2" t="n">
        <f aca="false">'Raw Data'!A2075</f>
        <v>46</v>
      </c>
      <c r="C2075" s="2" t="str">
        <f aca="false">'Raw Data'!D2075</f>
        <v>Research &amp; Development</v>
      </c>
      <c r="D2075" s="2" t="str">
        <f aca="false">'Raw Data'!K2075</f>
        <v>Research Scientist</v>
      </c>
      <c r="E2075" s="2" t="n">
        <f aca="false">'Raw Data'!Q2075</f>
        <v>28</v>
      </c>
      <c r="F2075" s="2" t="n">
        <f aca="false">'Raw Data'!U2075</f>
        <v>9</v>
      </c>
      <c r="G2075" s="2" t="n">
        <f aca="false">'Raw Data'!W2075</f>
        <v>1</v>
      </c>
      <c r="H2075" s="2" t="n">
        <f aca="false">'Raw Data'!V2075</f>
        <v>3</v>
      </c>
      <c r="I2075" s="2" t="n">
        <f aca="false">IF(AND(ISNUMBER(B2075),B2075&lt;=25),2,0)+IF(AND(ISNUMBER(E2075),E2075&lt;=5),2,0)+IF(AND(ISNUMBER(F2075),F2075&lt;=1),2,0)+IF(AND(ISNUMBER(G2075),G2075&lt;=2),1,0)+IF(AND(ISNUMBER(H2075),H2075&lt;=2),1,0)</f>
        <v>1</v>
      </c>
      <c r="J2075" s="2" t="str">
        <f aca="false">IF(I2075&gt;=6,"High",IF(I2075&gt;=3,"Medium","Low"))</f>
        <v>Low</v>
      </c>
    </row>
    <row r="2076" customFormat="false" ht="15" hidden="false" customHeight="true" outlineLevel="0" collapsed="false">
      <c r="A2076" s="2" t="n">
        <f aca="false">'Raw Data'!H2076</f>
        <v>2075</v>
      </c>
      <c r="B2076" s="2" t="n">
        <f aca="false">'Raw Data'!A2076</f>
        <v>44</v>
      </c>
      <c r="C2076" s="2" t="str">
        <f aca="false">'Raw Data'!D2076</f>
        <v>Research &amp; Development</v>
      </c>
      <c r="D2076" s="2" t="str">
        <f aca="false">'Raw Data'!K2076</f>
        <v>Sales Representative</v>
      </c>
      <c r="E2076" s="2" t="n">
        <f aca="false">'Raw Data'!Q2076</f>
        <v>6</v>
      </c>
      <c r="F2076" s="2" t="n">
        <f aca="false">'Raw Data'!U2076</f>
        <v>0</v>
      </c>
      <c r="G2076" s="2" t="n">
        <f aca="false">'Raw Data'!W2076</f>
        <v>3</v>
      </c>
      <c r="H2076" s="2" t="n">
        <f aca="false">'Raw Data'!V2076</f>
        <v>4</v>
      </c>
      <c r="I2076" s="2" t="n">
        <f aca="false">IF(AND(ISNUMBER(B2076),B2076&lt;=25),2,0)+IF(AND(ISNUMBER(E2076),E2076&lt;=5),2,0)+IF(AND(ISNUMBER(F2076),F2076&lt;=1),2,0)+IF(AND(ISNUMBER(G2076),G2076&lt;=2),1,0)+IF(AND(ISNUMBER(H2076),H2076&lt;=2),1,0)</f>
        <v>2</v>
      </c>
      <c r="J2076" s="2" t="str">
        <f aca="false">IF(I2076&gt;=6,"High",IF(I2076&gt;=3,"Medium","Low"))</f>
        <v>Low</v>
      </c>
    </row>
    <row r="2077" customFormat="false" ht="15" hidden="false" customHeight="true" outlineLevel="0" collapsed="false">
      <c r="A2077" s="2" t="n">
        <f aca="false">'Raw Data'!H2077</f>
        <v>2076</v>
      </c>
      <c r="B2077" s="2" t="n">
        <f aca="false">'Raw Data'!A2077</f>
        <v>33</v>
      </c>
      <c r="C2077" s="2" t="str">
        <f aca="false">'Raw Data'!D2077</f>
        <v>Research &amp; Development</v>
      </c>
      <c r="D2077" s="2" t="str">
        <f aca="false">'Raw Data'!K2077</f>
        <v>Manager</v>
      </c>
      <c r="E2077" s="2" t="n">
        <f aca="false">'Raw Data'!Q2077</f>
        <v>5</v>
      </c>
      <c r="F2077" s="2" t="n">
        <f aca="false">'Raw Data'!U2077</f>
        <v>4</v>
      </c>
      <c r="G2077" s="2" t="n">
        <f aca="false">'Raw Data'!W2077</f>
        <v>3</v>
      </c>
      <c r="H2077" s="2" t="n">
        <f aca="false">'Raw Data'!V2077</f>
        <v>2</v>
      </c>
      <c r="I2077" s="2" t="n">
        <f aca="false">IF(AND(ISNUMBER(B2077),B2077&lt;=25),2,0)+IF(AND(ISNUMBER(E2077),E2077&lt;=5),2,0)+IF(AND(ISNUMBER(F2077),F2077&lt;=1),2,0)+IF(AND(ISNUMBER(G2077),G2077&lt;=2),1,0)+IF(AND(ISNUMBER(H2077),H2077&lt;=2),1,0)</f>
        <v>3</v>
      </c>
      <c r="J2077" s="2" t="str">
        <f aca="false">IF(I2077&gt;=6,"High",IF(I2077&gt;=3,"Medium","Low"))</f>
        <v>Medium</v>
      </c>
    </row>
    <row r="2078" customFormat="false" ht="15" hidden="false" customHeight="true" outlineLevel="0" collapsed="false">
      <c r="A2078" s="2" t="n">
        <f aca="false">'Raw Data'!H2078</f>
        <v>2077</v>
      </c>
      <c r="B2078" s="2" t="n">
        <f aca="false">'Raw Data'!A2078</f>
        <v>41</v>
      </c>
      <c r="C2078" s="2" t="str">
        <f aca="false">'Raw Data'!D2078</f>
        <v>Research &amp; Development</v>
      </c>
      <c r="D2078" s="2" t="str">
        <f aca="false">'Raw Data'!K2078</f>
        <v>Sales Representative</v>
      </c>
      <c r="E2078" s="2" t="n">
        <f aca="false">'Raw Data'!Q2078</f>
        <v>5</v>
      </c>
      <c r="F2078" s="2" t="n">
        <f aca="false">'Raw Data'!U2078</f>
        <v>0</v>
      </c>
      <c r="G2078" s="2" t="n">
        <f aca="false">'Raw Data'!W2078</f>
        <v>1</v>
      </c>
      <c r="H2078" s="2" t="n">
        <f aca="false">'Raw Data'!V2078</f>
        <v>1</v>
      </c>
      <c r="I2078" s="2" t="n">
        <f aca="false">IF(AND(ISNUMBER(B2078),B2078&lt;=25),2,0)+IF(AND(ISNUMBER(E2078),E2078&lt;=5),2,0)+IF(AND(ISNUMBER(F2078),F2078&lt;=1),2,0)+IF(AND(ISNUMBER(G2078),G2078&lt;=2),1,0)+IF(AND(ISNUMBER(H2078),H2078&lt;=2),1,0)</f>
        <v>6</v>
      </c>
      <c r="J2078" s="2" t="str">
        <f aca="false">IF(I2078&gt;=6,"High",IF(I2078&gt;=3,"Medium","Low"))</f>
        <v>High</v>
      </c>
    </row>
    <row r="2079" customFormat="false" ht="15" hidden="false" customHeight="true" outlineLevel="0" collapsed="false">
      <c r="A2079" s="2" t="n">
        <f aca="false">'Raw Data'!H2079</f>
        <v>2078</v>
      </c>
      <c r="B2079" s="2" t="n">
        <f aca="false">'Raw Data'!A2079</f>
        <v>30</v>
      </c>
      <c r="C2079" s="2" t="str">
        <f aca="false">'Raw Data'!D2079</f>
        <v>Sales</v>
      </c>
      <c r="D2079" s="2" t="str">
        <f aca="false">'Raw Data'!K2079</f>
        <v>Sales Executive</v>
      </c>
      <c r="E2079" s="2" t="n">
        <f aca="false">'Raw Data'!Q2079</f>
        <v>8</v>
      </c>
      <c r="F2079" s="2" t="n">
        <f aca="false">'Raw Data'!U2079</f>
        <v>3</v>
      </c>
      <c r="G2079" s="2" t="n">
        <f aca="false">'Raw Data'!W2079</f>
        <v>1</v>
      </c>
      <c r="H2079" s="2" t="n">
        <f aca="false">'Raw Data'!V2079</f>
        <v>3</v>
      </c>
      <c r="I2079" s="2" t="n">
        <f aca="false">IF(AND(ISNUMBER(B2079),B2079&lt;=25),2,0)+IF(AND(ISNUMBER(E2079),E2079&lt;=5),2,0)+IF(AND(ISNUMBER(F2079),F2079&lt;=1),2,0)+IF(AND(ISNUMBER(G2079),G2079&lt;=2),1,0)+IF(AND(ISNUMBER(H2079),H2079&lt;=2),1,0)</f>
        <v>1</v>
      </c>
      <c r="J2079" s="2" t="str">
        <f aca="false">IF(I2079&gt;=6,"High",IF(I2079&gt;=3,"Medium","Low"))</f>
        <v>Low</v>
      </c>
    </row>
    <row r="2080" customFormat="false" ht="15" hidden="false" customHeight="true" outlineLevel="0" collapsed="false">
      <c r="A2080" s="2" t="n">
        <f aca="false">'Raw Data'!H2080</f>
        <v>2079</v>
      </c>
      <c r="B2080" s="2" t="n">
        <f aca="false">'Raw Data'!A2080</f>
        <v>40</v>
      </c>
      <c r="C2080" s="2" t="str">
        <f aca="false">'Raw Data'!D2080</f>
        <v>Sales</v>
      </c>
      <c r="D2080" s="2" t="str">
        <f aca="false">'Raw Data'!K2080</f>
        <v>Manufacturing Director</v>
      </c>
      <c r="E2080" s="2" t="n">
        <f aca="false">'Raw Data'!Q2080</f>
        <v>5</v>
      </c>
      <c r="F2080" s="2" t="n">
        <f aca="false">'Raw Data'!U2080</f>
        <v>0</v>
      </c>
      <c r="G2080" s="2" t="n">
        <f aca="false">'Raw Data'!W2080</f>
        <v>2</v>
      </c>
      <c r="H2080" s="2" t="n">
        <f aca="false">'Raw Data'!V2080</f>
        <v>2</v>
      </c>
      <c r="I2080" s="2" t="n">
        <f aca="false">IF(AND(ISNUMBER(B2080),B2080&lt;=25),2,0)+IF(AND(ISNUMBER(E2080),E2080&lt;=5),2,0)+IF(AND(ISNUMBER(F2080),F2080&lt;=1),2,0)+IF(AND(ISNUMBER(G2080),G2080&lt;=2),1,0)+IF(AND(ISNUMBER(H2080),H2080&lt;=2),1,0)</f>
        <v>6</v>
      </c>
      <c r="J2080" s="2" t="str">
        <f aca="false">IF(I2080&gt;=6,"High",IF(I2080&gt;=3,"Medium","Low"))</f>
        <v>High</v>
      </c>
    </row>
    <row r="2081" customFormat="false" ht="15" hidden="false" customHeight="true" outlineLevel="0" collapsed="false">
      <c r="A2081" s="2" t="n">
        <f aca="false">'Raw Data'!H2081</f>
        <v>2080</v>
      </c>
      <c r="B2081" s="2" t="n">
        <f aca="false">'Raw Data'!A2081</f>
        <v>50</v>
      </c>
      <c r="C2081" s="2" t="str">
        <f aca="false">'Raw Data'!D2081</f>
        <v>Research &amp; Development</v>
      </c>
      <c r="D2081" s="2" t="str">
        <f aca="false">'Raw Data'!K2081</f>
        <v>Healthcare Representative</v>
      </c>
      <c r="E2081" s="2" t="n">
        <f aca="false">'Raw Data'!Q2081</f>
        <v>32</v>
      </c>
      <c r="F2081" s="2" t="n">
        <f aca="false">'Raw Data'!U2081</f>
        <v>2</v>
      </c>
      <c r="G2081" s="2" t="n">
        <f aca="false">'Raw Data'!W2081</f>
        <v>1</v>
      </c>
      <c r="H2081" s="2" t="n">
        <f aca="false">'Raw Data'!V2081</f>
        <v>4</v>
      </c>
      <c r="I2081" s="2" t="n">
        <f aca="false">IF(AND(ISNUMBER(B2081),B2081&lt;=25),2,0)+IF(AND(ISNUMBER(E2081),E2081&lt;=5),2,0)+IF(AND(ISNUMBER(F2081),F2081&lt;=1),2,0)+IF(AND(ISNUMBER(G2081),G2081&lt;=2),1,0)+IF(AND(ISNUMBER(H2081),H2081&lt;=2),1,0)</f>
        <v>1</v>
      </c>
      <c r="J2081" s="2" t="str">
        <f aca="false">IF(I2081&gt;=6,"High",IF(I2081&gt;=3,"Medium","Low"))</f>
        <v>Low</v>
      </c>
    </row>
    <row r="2082" customFormat="false" ht="15" hidden="false" customHeight="true" outlineLevel="0" collapsed="false">
      <c r="A2082" s="2" t="n">
        <f aca="false">'Raw Data'!H2082</f>
        <v>2081</v>
      </c>
      <c r="B2082" s="2" t="n">
        <f aca="false">'Raw Data'!A2082</f>
        <v>28</v>
      </c>
      <c r="C2082" s="2" t="str">
        <f aca="false">'Raw Data'!D2082</f>
        <v>Research &amp; Development</v>
      </c>
      <c r="D2082" s="2" t="str">
        <f aca="false">'Raw Data'!K2082</f>
        <v>Research Scientist</v>
      </c>
      <c r="E2082" s="2" t="n">
        <f aca="false">'Raw Data'!Q2082</f>
        <v>6</v>
      </c>
      <c r="F2082" s="2" t="n">
        <f aca="false">'Raw Data'!U2082</f>
        <v>3</v>
      </c>
      <c r="G2082" s="2" t="n">
        <f aca="false">'Raw Data'!W2082</f>
        <v>1</v>
      </c>
      <c r="H2082" s="2" t="n">
        <f aca="false">'Raw Data'!V2082</f>
        <v>4</v>
      </c>
      <c r="I2082" s="2" t="n">
        <f aca="false">IF(AND(ISNUMBER(B2082),B2082&lt;=25),2,0)+IF(AND(ISNUMBER(E2082),E2082&lt;=5),2,0)+IF(AND(ISNUMBER(F2082),F2082&lt;=1),2,0)+IF(AND(ISNUMBER(G2082),G2082&lt;=2),1,0)+IF(AND(ISNUMBER(H2082),H2082&lt;=2),1,0)</f>
        <v>1</v>
      </c>
      <c r="J2082" s="2" t="str">
        <f aca="false">IF(I2082&gt;=6,"High",IF(I2082&gt;=3,"Medium","Low"))</f>
        <v>Low</v>
      </c>
    </row>
    <row r="2083" customFormat="false" ht="15" hidden="false" customHeight="true" outlineLevel="0" collapsed="false">
      <c r="A2083" s="2" t="n">
        <f aca="false">'Raw Data'!H2083</f>
        <v>2082</v>
      </c>
      <c r="B2083" s="2" t="n">
        <f aca="false">'Raw Data'!A2083</f>
        <v>46</v>
      </c>
      <c r="C2083" s="2" t="str">
        <f aca="false">'Raw Data'!D2083</f>
        <v>Research &amp; Development</v>
      </c>
      <c r="D2083" s="2" t="str">
        <f aca="false">'Raw Data'!K2083</f>
        <v>Manager</v>
      </c>
      <c r="E2083" s="2" t="n">
        <f aca="false">'Raw Data'!Q2083</f>
        <v>25</v>
      </c>
      <c r="F2083" s="2" t="n">
        <f aca="false">'Raw Data'!U2083</f>
        <v>3</v>
      </c>
      <c r="G2083" s="2" t="n">
        <f aca="false">'Raw Data'!W2083</f>
        <v>2</v>
      </c>
      <c r="H2083" s="2" t="n">
        <f aca="false">'Raw Data'!V2083</f>
        <v>4</v>
      </c>
      <c r="I2083" s="2" t="n">
        <f aca="false">IF(AND(ISNUMBER(B2083),B2083&lt;=25),2,0)+IF(AND(ISNUMBER(E2083),E2083&lt;=5),2,0)+IF(AND(ISNUMBER(F2083),F2083&lt;=1),2,0)+IF(AND(ISNUMBER(G2083),G2083&lt;=2),1,0)+IF(AND(ISNUMBER(H2083),H2083&lt;=2),1,0)</f>
        <v>1</v>
      </c>
      <c r="J2083" s="2" t="str">
        <f aca="false">IF(I2083&gt;=6,"High",IF(I2083&gt;=3,"Medium","Low"))</f>
        <v>Low</v>
      </c>
    </row>
    <row r="2084" customFormat="false" ht="15" hidden="false" customHeight="true" outlineLevel="0" collapsed="false">
      <c r="A2084" s="2" t="n">
        <f aca="false">'Raw Data'!H2084</f>
        <v>2083</v>
      </c>
      <c r="B2084" s="2" t="n">
        <f aca="false">'Raw Data'!A2084</f>
        <v>35</v>
      </c>
      <c r="C2084" s="2" t="str">
        <f aca="false">'Raw Data'!D2084</f>
        <v>Sales</v>
      </c>
      <c r="D2084" s="2" t="str">
        <f aca="false">'Raw Data'!K2084</f>
        <v>Laboratory Technician</v>
      </c>
      <c r="E2084" s="2" t="n">
        <f aca="false">'Raw Data'!Q2084</f>
        <v>15</v>
      </c>
      <c r="F2084" s="2" t="n">
        <f aca="false">'Raw Data'!U2084</f>
        <v>7</v>
      </c>
      <c r="G2084" s="2" t="n">
        <f aca="false">'Raw Data'!W2084</f>
        <v>1</v>
      </c>
      <c r="H2084" s="2" t="n">
        <f aca="false">'Raw Data'!V2084</f>
        <v>3</v>
      </c>
      <c r="I2084" s="2" t="n">
        <f aca="false">IF(AND(ISNUMBER(B2084),B2084&lt;=25),2,0)+IF(AND(ISNUMBER(E2084),E2084&lt;=5),2,0)+IF(AND(ISNUMBER(F2084),F2084&lt;=1),2,0)+IF(AND(ISNUMBER(G2084),G2084&lt;=2),1,0)+IF(AND(ISNUMBER(H2084),H2084&lt;=2),1,0)</f>
        <v>1</v>
      </c>
      <c r="J2084" s="2" t="str">
        <f aca="false">IF(I2084&gt;=6,"High",IF(I2084&gt;=3,"Medium","Low"))</f>
        <v>Low</v>
      </c>
    </row>
    <row r="2085" customFormat="false" ht="15" hidden="false" customHeight="true" outlineLevel="0" collapsed="false">
      <c r="A2085" s="2" t="n">
        <f aca="false">'Raw Data'!H2085</f>
        <v>2084</v>
      </c>
      <c r="B2085" s="2" t="n">
        <f aca="false">'Raw Data'!A2085</f>
        <v>24</v>
      </c>
      <c r="C2085" s="2" t="str">
        <f aca="false">'Raw Data'!D2085</f>
        <v>Human Resources</v>
      </c>
      <c r="D2085" s="2" t="str">
        <f aca="false">'Raw Data'!K2085</f>
        <v>Manufacturing Director</v>
      </c>
      <c r="E2085" s="2" t="n">
        <f aca="false">'Raw Data'!Q2085</f>
        <v>1</v>
      </c>
      <c r="F2085" s="2" t="n">
        <f aca="false">'Raw Data'!U2085</f>
        <v>0</v>
      </c>
      <c r="G2085" s="2" t="n">
        <f aca="false">'Raw Data'!W2085</f>
        <v>2</v>
      </c>
      <c r="H2085" s="2" t="n">
        <f aca="false">'Raw Data'!V2085</f>
        <v>4</v>
      </c>
      <c r="I2085" s="2" t="n">
        <f aca="false">IF(AND(ISNUMBER(B2085),B2085&lt;=25),2,0)+IF(AND(ISNUMBER(E2085),E2085&lt;=5),2,0)+IF(AND(ISNUMBER(F2085),F2085&lt;=1),2,0)+IF(AND(ISNUMBER(G2085),G2085&lt;=2),1,0)+IF(AND(ISNUMBER(H2085),H2085&lt;=2),1,0)</f>
        <v>7</v>
      </c>
      <c r="J2085" s="2" t="str">
        <f aca="false">IF(I2085&gt;=6,"High",IF(I2085&gt;=3,"Medium","Low"))</f>
        <v>High</v>
      </c>
    </row>
    <row r="2086" customFormat="false" ht="15" hidden="false" customHeight="true" outlineLevel="0" collapsed="false">
      <c r="A2086" s="2" t="n">
        <f aca="false">'Raw Data'!H2086</f>
        <v>2085</v>
      </c>
      <c r="B2086" s="2" t="n">
        <f aca="false">'Raw Data'!A2086</f>
        <v>33</v>
      </c>
      <c r="C2086" s="2" t="str">
        <f aca="false">'Raw Data'!D2086</f>
        <v>Research &amp; Development</v>
      </c>
      <c r="D2086" s="2" t="str">
        <f aca="false">'Raw Data'!K2086</f>
        <v>Sales Executive</v>
      </c>
      <c r="E2086" s="2" t="n">
        <f aca="false">'Raw Data'!Q2086</f>
        <v>10</v>
      </c>
      <c r="F2086" s="2" t="n">
        <f aca="false">'Raw Data'!U2086</f>
        <v>1</v>
      </c>
      <c r="G2086" s="2" t="n">
        <f aca="false">'Raw Data'!W2086</f>
        <v>3</v>
      </c>
      <c r="H2086" s="2" t="n">
        <f aca="false">'Raw Data'!V2086</f>
        <v>2</v>
      </c>
      <c r="I2086" s="2" t="n">
        <f aca="false">IF(AND(ISNUMBER(B2086),B2086&lt;=25),2,0)+IF(AND(ISNUMBER(E2086),E2086&lt;=5),2,0)+IF(AND(ISNUMBER(F2086),F2086&lt;=1),2,0)+IF(AND(ISNUMBER(G2086),G2086&lt;=2),1,0)+IF(AND(ISNUMBER(H2086),H2086&lt;=2),1,0)</f>
        <v>3</v>
      </c>
      <c r="J2086" s="2" t="str">
        <f aca="false">IF(I2086&gt;=6,"High",IF(I2086&gt;=3,"Medium","Low"))</f>
        <v>Medium</v>
      </c>
    </row>
    <row r="2087" customFormat="false" ht="15" hidden="false" customHeight="true" outlineLevel="0" collapsed="false">
      <c r="A2087" s="2" t="n">
        <f aca="false">'Raw Data'!H2087</f>
        <v>2086</v>
      </c>
      <c r="B2087" s="2" t="n">
        <f aca="false">'Raw Data'!A2087</f>
        <v>36</v>
      </c>
      <c r="C2087" s="2" t="str">
        <f aca="false">'Raw Data'!D2087</f>
        <v>Research &amp; Development</v>
      </c>
      <c r="D2087" s="2" t="str">
        <f aca="false">'Raw Data'!K2087</f>
        <v>Sales Executive</v>
      </c>
      <c r="E2087" s="2" t="n">
        <f aca="false">'Raw Data'!Q2087</f>
        <v>7</v>
      </c>
      <c r="F2087" s="2" t="n">
        <f aca="false">'Raw Data'!U2087</f>
        <v>7</v>
      </c>
      <c r="G2087" s="2" t="n">
        <f aca="false">'Raw Data'!W2087</f>
        <v>3</v>
      </c>
      <c r="H2087" s="2" t="n">
        <f aca="false">'Raw Data'!V2087</f>
        <v>3</v>
      </c>
      <c r="I2087" s="2" t="n">
        <f aca="false">IF(AND(ISNUMBER(B2087),B2087&lt;=25),2,0)+IF(AND(ISNUMBER(E2087),E2087&lt;=5),2,0)+IF(AND(ISNUMBER(F2087),F2087&lt;=1),2,0)+IF(AND(ISNUMBER(G2087),G2087&lt;=2),1,0)+IF(AND(ISNUMBER(H2087),H2087&lt;=2),1,0)</f>
        <v>0</v>
      </c>
      <c r="J2087" s="2" t="str">
        <f aca="false">IF(I2087&gt;=6,"High",IF(I2087&gt;=3,"Medium","Low"))</f>
        <v>Low</v>
      </c>
    </row>
    <row r="2088" customFormat="false" ht="15" hidden="false" customHeight="true" outlineLevel="0" collapsed="false">
      <c r="A2088" s="2" t="n">
        <f aca="false">'Raw Data'!H2088</f>
        <v>2087</v>
      </c>
      <c r="B2088" s="2" t="n">
        <f aca="false">'Raw Data'!A2088</f>
        <v>30</v>
      </c>
      <c r="C2088" s="2" t="str">
        <f aca="false">'Raw Data'!D2088</f>
        <v>Sales</v>
      </c>
      <c r="D2088" s="2" t="str">
        <f aca="false">'Raw Data'!K2088</f>
        <v>Sales Executive</v>
      </c>
      <c r="E2088" s="2" t="n">
        <f aca="false">'Raw Data'!Q2088</f>
        <v>10</v>
      </c>
      <c r="F2088" s="2" t="n">
        <f aca="false">'Raw Data'!U2088</f>
        <v>9</v>
      </c>
      <c r="G2088" s="2" t="n">
        <f aca="false">'Raw Data'!W2088</f>
        <v>3</v>
      </c>
      <c r="H2088" s="2" t="n">
        <f aca="false">'Raw Data'!V2088</f>
        <v>3</v>
      </c>
      <c r="I2088" s="2" t="n">
        <f aca="false">IF(AND(ISNUMBER(B2088),B2088&lt;=25),2,0)+IF(AND(ISNUMBER(E2088),E2088&lt;=5),2,0)+IF(AND(ISNUMBER(F2088),F2088&lt;=1),2,0)+IF(AND(ISNUMBER(G2088),G2088&lt;=2),1,0)+IF(AND(ISNUMBER(H2088),H2088&lt;=2),1,0)</f>
        <v>0</v>
      </c>
      <c r="J2088" s="2" t="str">
        <f aca="false">IF(I2088&gt;=6,"High",IF(I2088&gt;=3,"Medium","Low"))</f>
        <v>Low</v>
      </c>
    </row>
    <row r="2089" customFormat="false" ht="15" hidden="false" customHeight="true" outlineLevel="0" collapsed="false">
      <c r="A2089" s="2" t="n">
        <f aca="false">'Raw Data'!H2089</f>
        <v>2088</v>
      </c>
      <c r="B2089" s="2" t="n">
        <f aca="false">'Raw Data'!A2089</f>
        <v>44</v>
      </c>
      <c r="C2089" s="2" t="str">
        <f aca="false">'Raw Data'!D2089</f>
        <v>Research &amp; Development</v>
      </c>
      <c r="D2089" s="2" t="str">
        <f aca="false">'Raw Data'!K2089</f>
        <v>Research Scientist</v>
      </c>
      <c r="E2089" s="2" t="n">
        <f aca="false">'Raw Data'!Q2089</f>
        <v>20</v>
      </c>
      <c r="F2089" s="2" t="n">
        <f aca="false">'Raw Data'!U2089</f>
        <v>17</v>
      </c>
      <c r="G2089" s="2" t="n">
        <f aca="false">'Raw Data'!W2089</f>
        <v>4</v>
      </c>
      <c r="H2089" s="2" t="n">
        <f aca="false">'Raw Data'!V2089</f>
        <v>4</v>
      </c>
      <c r="I2089" s="2" t="n">
        <f aca="false">IF(AND(ISNUMBER(B2089),B2089&lt;=25),2,0)+IF(AND(ISNUMBER(E2089),E2089&lt;=5),2,0)+IF(AND(ISNUMBER(F2089),F2089&lt;=1),2,0)+IF(AND(ISNUMBER(G2089),G2089&lt;=2),1,0)+IF(AND(ISNUMBER(H2089),H2089&lt;=2),1,0)</f>
        <v>0</v>
      </c>
      <c r="J2089" s="2" t="str">
        <f aca="false">IF(I2089&gt;=6,"High",IF(I2089&gt;=3,"Medium","Low"))</f>
        <v>Low</v>
      </c>
    </row>
    <row r="2090" customFormat="false" ht="15" hidden="false" customHeight="true" outlineLevel="0" collapsed="false">
      <c r="A2090" s="2" t="n">
        <f aca="false">'Raw Data'!H2090</f>
        <v>2089</v>
      </c>
      <c r="B2090" s="2" t="n">
        <f aca="false">'Raw Data'!A2090</f>
        <v>20</v>
      </c>
      <c r="C2090" s="2" t="str">
        <f aca="false">'Raw Data'!D2090</f>
        <v>Research &amp; Development</v>
      </c>
      <c r="D2090" s="2" t="str">
        <f aca="false">'Raw Data'!K2090</f>
        <v>Human Resources</v>
      </c>
      <c r="E2090" s="2" t="n">
        <f aca="false">'Raw Data'!Q2090</f>
        <v>2</v>
      </c>
      <c r="F2090" s="2" t="n">
        <f aca="false">'Raw Data'!U2090</f>
        <v>2</v>
      </c>
      <c r="G2090" s="2" t="n">
        <f aca="false">'Raw Data'!W2090</f>
        <v>4</v>
      </c>
      <c r="H2090" s="2" t="n">
        <f aca="false">'Raw Data'!V2090</f>
        <v>3</v>
      </c>
      <c r="I2090" s="2" t="n">
        <f aca="false">IF(AND(ISNUMBER(B2090),B2090&lt;=25),2,0)+IF(AND(ISNUMBER(E2090),E2090&lt;=5),2,0)+IF(AND(ISNUMBER(F2090),F2090&lt;=1),2,0)+IF(AND(ISNUMBER(G2090),G2090&lt;=2),1,0)+IF(AND(ISNUMBER(H2090),H2090&lt;=2),1,0)</f>
        <v>4</v>
      </c>
      <c r="J2090" s="2" t="str">
        <f aca="false">IF(I2090&gt;=6,"High",IF(I2090&gt;=3,"Medium","Low"))</f>
        <v>Medium</v>
      </c>
    </row>
    <row r="2091" customFormat="false" ht="15" hidden="false" customHeight="true" outlineLevel="0" collapsed="false">
      <c r="A2091" s="2" t="n">
        <f aca="false">'Raw Data'!H2091</f>
        <v>2090</v>
      </c>
      <c r="B2091" s="2" t="n">
        <f aca="false">'Raw Data'!A2091</f>
        <v>46</v>
      </c>
      <c r="C2091" s="2" t="str">
        <f aca="false">'Raw Data'!D2091</f>
        <v>Sales</v>
      </c>
      <c r="D2091" s="2" t="str">
        <f aca="false">'Raw Data'!K2091</f>
        <v>Sales Executive</v>
      </c>
      <c r="E2091" s="2" t="n">
        <f aca="false">'Raw Data'!Q2091</f>
        <v>12</v>
      </c>
      <c r="F2091" s="2" t="n">
        <f aca="false">'Raw Data'!U2091</f>
        <v>4</v>
      </c>
      <c r="G2091" s="2" t="n">
        <f aca="false">'Raw Data'!W2091</f>
        <v>4</v>
      </c>
      <c r="H2091" s="2" t="n">
        <f aca="false">'Raw Data'!V2091</f>
        <v>4</v>
      </c>
      <c r="I2091" s="2" t="n">
        <f aca="false">IF(AND(ISNUMBER(B2091),B2091&lt;=25),2,0)+IF(AND(ISNUMBER(E2091),E2091&lt;=5),2,0)+IF(AND(ISNUMBER(F2091),F2091&lt;=1),2,0)+IF(AND(ISNUMBER(G2091),G2091&lt;=2),1,0)+IF(AND(ISNUMBER(H2091),H2091&lt;=2),1,0)</f>
        <v>0</v>
      </c>
      <c r="J2091" s="2" t="str">
        <f aca="false">IF(I2091&gt;=6,"High",IF(I2091&gt;=3,"Medium","Low"))</f>
        <v>Low</v>
      </c>
    </row>
    <row r="2092" customFormat="false" ht="15" hidden="false" customHeight="true" outlineLevel="0" collapsed="false">
      <c r="A2092" s="2" t="n">
        <f aca="false">'Raw Data'!H2092</f>
        <v>2091</v>
      </c>
      <c r="B2092" s="2" t="n">
        <f aca="false">'Raw Data'!A2092</f>
        <v>42</v>
      </c>
      <c r="C2092" s="2" t="str">
        <f aca="false">'Raw Data'!D2092</f>
        <v>Research &amp; Development</v>
      </c>
      <c r="D2092" s="2" t="str">
        <f aca="false">'Raw Data'!K2092</f>
        <v>Sales Executive</v>
      </c>
      <c r="E2092" s="2" t="n">
        <f aca="false">'Raw Data'!Q2092</f>
        <v>10</v>
      </c>
      <c r="F2092" s="2" t="n">
        <f aca="false">'Raw Data'!U2092</f>
        <v>3</v>
      </c>
      <c r="G2092" s="2" t="n">
        <f aca="false">'Raw Data'!W2092</f>
        <v>1</v>
      </c>
      <c r="H2092" s="2" t="n">
        <f aca="false">'Raw Data'!V2092</f>
        <v>4</v>
      </c>
      <c r="I2092" s="2" t="n">
        <f aca="false">IF(AND(ISNUMBER(B2092),B2092&lt;=25),2,0)+IF(AND(ISNUMBER(E2092),E2092&lt;=5),2,0)+IF(AND(ISNUMBER(F2092),F2092&lt;=1),2,0)+IF(AND(ISNUMBER(G2092),G2092&lt;=2),1,0)+IF(AND(ISNUMBER(H2092),H2092&lt;=2),1,0)</f>
        <v>1</v>
      </c>
      <c r="J2092" s="2" t="str">
        <f aca="false">IF(I2092&gt;=6,"High",IF(I2092&gt;=3,"Medium","Low"))</f>
        <v>Low</v>
      </c>
    </row>
    <row r="2093" customFormat="false" ht="15" hidden="false" customHeight="true" outlineLevel="0" collapsed="false">
      <c r="A2093" s="2" t="n">
        <f aca="false">'Raw Data'!H2093</f>
        <v>2092</v>
      </c>
      <c r="B2093" s="2" t="n">
        <f aca="false">'Raw Data'!A2093</f>
        <v>60</v>
      </c>
      <c r="C2093" s="2" t="str">
        <f aca="false">'Raw Data'!D2093</f>
        <v>Sales</v>
      </c>
      <c r="D2093" s="2" t="str">
        <f aca="false">'Raw Data'!K2093</f>
        <v>Sales Executive</v>
      </c>
      <c r="E2093" s="2" t="n">
        <f aca="false">'Raw Data'!Q2093</f>
        <v>12</v>
      </c>
      <c r="F2093" s="2" t="n">
        <f aca="false">'Raw Data'!U2093</f>
        <v>9</v>
      </c>
      <c r="G2093" s="2" t="n">
        <f aca="false">'Raw Data'!W2093</f>
        <v>4</v>
      </c>
      <c r="H2093" s="2" t="n">
        <f aca="false">'Raw Data'!V2093</f>
        <v>2</v>
      </c>
      <c r="I2093" s="2" t="n">
        <f aca="false">IF(AND(ISNUMBER(B2093),B2093&lt;=25),2,0)+IF(AND(ISNUMBER(E2093),E2093&lt;=5),2,0)+IF(AND(ISNUMBER(F2093),F2093&lt;=1),2,0)+IF(AND(ISNUMBER(G2093),G2093&lt;=2),1,0)+IF(AND(ISNUMBER(H2093),H2093&lt;=2),1,0)</f>
        <v>1</v>
      </c>
      <c r="J2093" s="2" t="str">
        <f aca="false">IF(I2093&gt;=6,"High",IF(I2093&gt;=3,"Medium","Low"))</f>
        <v>Low</v>
      </c>
    </row>
    <row r="2094" customFormat="false" ht="15" hidden="false" customHeight="true" outlineLevel="0" collapsed="false">
      <c r="A2094" s="2" t="n">
        <f aca="false">'Raw Data'!H2094</f>
        <v>2093</v>
      </c>
      <c r="B2094" s="2" t="n">
        <f aca="false">'Raw Data'!A2094</f>
        <v>32</v>
      </c>
      <c r="C2094" s="2" t="str">
        <f aca="false">'Raw Data'!D2094</f>
        <v>Sales</v>
      </c>
      <c r="D2094" s="2" t="str">
        <f aca="false">'Raw Data'!K2094</f>
        <v>Sales Executive</v>
      </c>
      <c r="E2094" s="2" t="n">
        <f aca="false">'Raw Data'!Q2094</f>
        <v>2</v>
      </c>
      <c r="F2094" s="2" t="n">
        <f aca="false">'Raw Data'!U2094</f>
        <v>2</v>
      </c>
      <c r="G2094" s="2" t="n">
        <f aca="false">'Raw Data'!W2094</f>
        <v>2</v>
      </c>
      <c r="H2094" s="2" t="n">
        <f aca="false">'Raw Data'!V2094</f>
        <v>3</v>
      </c>
      <c r="I2094" s="2" t="n">
        <f aca="false">IF(AND(ISNUMBER(B2094),B2094&lt;=25),2,0)+IF(AND(ISNUMBER(E2094),E2094&lt;=5),2,0)+IF(AND(ISNUMBER(F2094),F2094&lt;=1),2,0)+IF(AND(ISNUMBER(G2094),G2094&lt;=2),1,0)+IF(AND(ISNUMBER(H2094),H2094&lt;=2),1,0)</f>
        <v>3</v>
      </c>
      <c r="J2094" s="2" t="str">
        <f aca="false">IF(I2094&gt;=6,"High",IF(I2094&gt;=3,"Medium","Low"))</f>
        <v>Medium</v>
      </c>
    </row>
    <row r="2095" customFormat="false" ht="15" hidden="false" customHeight="true" outlineLevel="0" collapsed="false">
      <c r="A2095" s="2" t="n">
        <f aca="false">'Raw Data'!H2095</f>
        <v>2094</v>
      </c>
      <c r="B2095" s="2" t="n">
        <f aca="false">'Raw Data'!A2095</f>
        <v>32</v>
      </c>
      <c r="C2095" s="2" t="str">
        <f aca="false">'Raw Data'!D2095</f>
        <v>Research &amp; Development</v>
      </c>
      <c r="D2095" s="2" t="str">
        <f aca="false">'Raw Data'!K2095</f>
        <v>Research Scientist</v>
      </c>
      <c r="E2095" s="2" t="n">
        <f aca="false">'Raw Data'!Q2095</f>
        <v>10</v>
      </c>
      <c r="F2095" s="2" t="n">
        <f aca="false">'Raw Data'!U2095</f>
        <v>7</v>
      </c>
      <c r="G2095" s="2" t="n">
        <f aca="false">'Raw Data'!W2095</f>
        <v>3</v>
      </c>
      <c r="H2095" s="2" t="n">
        <f aca="false">'Raw Data'!V2095</f>
        <v>4</v>
      </c>
      <c r="I2095" s="2" t="n">
        <f aca="false">IF(AND(ISNUMBER(B2095),B2095&lt;=25),2,0)+IF(AND(ISNUMBER(E2095),E2095&lt;=5),2,0)+IF(AND(ISNUMBER(F2095),F2095&lt;=1),2,0)+IF(AND(ISNUMBER(G2095),G2095&lt;=2),1,0)+IF(AND(ISNUMBER(H2095),H2095&lt;=2),1,0)</f>
        <v>0</v>
      </c>
      <c r="J2095" s="2" t="str">
        <f aca="false">IF(I2095&gt;=6,"High",IF(I2095&gt;=3,"Medium","Low"))</f>
        <v>Low</v>
      </c>
    </row>
    <row r="2096" customFormat="false" ht="15" hidden="false" customHeight="true" outlineLevel="0" collapsed="false">
      <c r="A2096" s="2" t="n">
        <f aca="false">'Raw Data'!H2096</f>
        <v>2095</v>
      </c>
      <c r="B2096" s="2" t="n">
        <f aca="false">'Raw Data'!A2096</f>
        <v>36</v>
      </c>
      <c r="C2096" s="2" t="str">
        <f aca="false">'Raw Data'!D2096</f>
        <v>Sales</v>
      </c>
      <c r="D2096" s="2" t="str">
        <f aca="false">'Raw Data'!K2096</f>
        <v>Healthcare Representative</v>
      </c>
      <c r="E2096" s="2" t="n">
        <f aca="false">'Raw Data'!Q2096</f>
        <v>17</v>
      </c>
      <c r="F2096" s="2" t="n">
        <f aca="false">'Raw Data'!U2096</f>
        <v>7</v>
      </c>
      <c r="G2096" s="2" t="n">
        <f aca="false">'Raw Data'!W2096</f>
        <v>1</v>
      </c>
      <c r="H2096" s="2" t="n">
        <f aca="false">'Raw Data'!V2096</f>
        <v>3</v>
      </c>
      <c r="I2096" s="2" t="n">
        <f aca="false">IF(AND(ISNUMBER(B2096),B2096&lt;=25),2,0)+IF(AND(ISNUMBER(E2096),E2096&lt;=5),2,0)+IF(AND(ISNUMBER(F2096),F2096&lt;=1),2,0)+IF(AND(ISNUMBER(G2096),G2096&lt;=2),1,0)+IF(AND(ISNUMBER(H2096),H2096&lt;=2),1,0)</f>
        <v>1</v>
      </c>
      <c r="J2096" s="2" t="str">
        <f aca="false">IF(I2096&gt;=6,"High",IF(I2096&gt;=3,"Medium","Low"))</f>
        <v>Low</v>
      </c>
    </row>
    <row r="2097" customFormat="false" ht="15" hidden="false" customHeight="true" outlineLevel="0" collapsed="false">
      <c r="A2097" s="2" t="n">
        <f aca="false">'Raw Data'!H2097</f>
        <v>2096</v>
      </c>
      <c r="B2097" s="2" t="n">
        <f aca="false">'Raw Data'!A2097</f>
        <v>33</v>
      </c>
      <c r="C2097" s="2" t="str">
        <f aca="false">'Raw Data'!D2097</f>
        <v>Sales</v>
      </c>
      <c r="D2097" s="2" t="str">
        <f aca="false">'Raw Data'!K2097</f>
        <v>Research Scientist</v>
      </c>
      <c r="E2097" s="2" t="n">
        <f aca="false">'Raw Data'!Q2097</f>
        <v>15</v>
      </c>
      <c r="F2097" s="2" t="n">
        <f aca="false">'Raw Data'!U2097</f>
        <v>10</v>
      </c>
      <c r="G2097" s="2" t="n">
        <f aca="false">'Raw Data'!W2097</f>
        <v>4</v>
      </c>
      <c r="H2097" s="2" t="n">
        <f aca="false">'Raw Data'!V2097</f>
        <v>1</v>
      </c>
      <c r="I2097" s="2" t="n">
        <f aca="false">IF(AND(ISNUMBER(B2097),B2097&lt;=25),2,0)+IF(AND(ISNUMBER(E2097),E2097&lt;=5),2,0)+IF(AND(ISNUMBER(F2097),F2097&lt;=1),2,0)+IF(AND(ISNUMBER(G2097),G2097&lt;=2),1,0)+IF(AND(ISNUMBER(H2097),H2097&lt;=2),1,0)</f>
        <v>1</v>
      </c>
      <c r="J2097" s="2" t="str">
        <f aca="false">IF(I2097&gt;=6,"High",IF(I2097&gt;=3,"Medium","Low"))</f>
        <v>Low</v>
      </c>
    </row>
    <row r="2098" customFormat="false" ht="15" hidden="false" customHeight="true" outlineLevel="0" collapsed="false">
      <c r="A2098" s="2" t="n">
        <f aca="false">'Raw Data'!H2098</f>
        <v>2097</v>
      </c>
      <c r="B2098" s="2" t="n">
        <f aca="false">'Raw Data'!A2098</f>
        <v>40</v>
      </c>
      <c r="C2098" s="2" t="str">
        <f aca="false">'Raw Data'!D2098</f>
        <v>Research &amp; Development</v>
      </c>
      <c r="D2098" s="2" t="str">
        <f aca="false">'Raw Data'!K2098</f>
        <v>Research Scientist</v>
      </c>
      <c r="E2098" s="2" t="n">
        <f aca="false">'Raw Data'!Q2098</f>
        <v>7</v>
      </c>
      <c r="F2098" s="2" t="n">
        <f aca="false">'Raw Data'!U2098</f>
        <v>3</v>
      </c>
      <c r="G2098" s="2" t="n">
        <f aca="false">'Raw Data'!W2098</f>
        <v>2</v>
      </c>
      <c r="H2098" s="2" t="n">
        <f aca="false">'Raw Data'!V2098</f>
        <v>2</v>
      </c>
      <c r="I2098" s="2" t="n">
        <f aca="false">IF(AND(ISNUMBER(B2098),B2098&lt;=25),2,0)+IF(AND(ISNUMBER(E2098),E2098&lt;=5),2,0)+IF(AND(ISNUMBER(F2098),F2098&lt;=1),2,0)+IF(AND(ISNUMBER(G2098),G2098&lt;=2),1,0)+IF(AND(ISNUMBER(H2098),H2098&lt;=2),1,0)</f>
        <v>2</v>
      </c>
      <c r="J2098" s="2" t="str">
        <f aca="false">IF(I2098&gt;=6,"High",IF(I2098&gt;=3,"Medium","Low"))</f>
        <v>Low</v>
      </c>
    </row>
    <row r="2099" customFormat="false" ht="15" hidden="false" customHeight="true" outlineLevel="0" collapsed="false">
      <c r="A2099" s="2" t="n">
        <f aca="false">'Raw Data'!H2099</f>
        <v>2098</v>
      </c>
      <c r="B2099" s="2" t="n">
        <f aca="false">'Raw Data'!A2099</f>
        <v>25</v>
      </c>
      <c r="C2099" s="2" t="str">
        <f aca="false">'Raw Data'!D2099</f>
        <v>Research &amp; Development</v>
      </c>
      <c r="D2099" s="2" t="str">
        <f aca="false">'Raw Data'!K2099</f>
        <v>Laboratory Technician</v>
      </c>
      <c r="E2099" s="2" t="n">
        <f aca="false">'Raw Data'!Q2099</f>
        <v>5</v>
      </c>
      <c r="F2099" s="2" t="n">
        <f aca="false">'Raw Data'!U2099</f>
        <v>1</v>
      </c>
      <c r="G2099" s="2" t="n">
        <f aca="false">'Raw Data'!W2099</f>
        <v>4</v>
      </c>
      <c r="H2099" s="2" t="n">
        <f aca="false">'Raw Data'!V2099</f>
        <v>3</v>
      </c>
      <c r="I2099" s="2" t="n">
        <f aca="false">IF(AND(ISNUMBER(B2099),B2099&lt;=25),2,0)+IF(AND(ISNUMBER(E2099),E2099&lt;=5),2,0)+IF(AND(ISNUMBER(F2099),F2099&lt;=1),2,0)+IF(AND(ISNUMBER(G2099),G2099&lt;=2),1,0)+IF(AND(ISNUMBER(H2099),H2099&lt;=2),1,0)</f>
        <v>6</v>
      </c>
      <c r="J2099" s="2" t="str">
        <f aca="false">IF(I2099&gt;=6,"High",IF(I2099&gt;=3,"Medium","Low"))</f>
        <v>High</v>
      </c>
    </row>
    <row r="2100" customFormat="false" ht="15" hidden="false" customHeight="true" outlineLevel="0" collapsed="false">
      <c r="A2100" s="2" t="n">
        <f aca="false">'Raw Data'!H2100</f>
        <v>2099</v>
      </c>
      <c r="B2100" s="2" t="n">
        <f aca="false">'Raw Data'!A2100</f>
        <v>30</v>
      </c>
      <c r="C2100" s="2" t="str">
        <f aca="false">'Raw Data'!D2100</f>
        <v>Sales</v>
      </c>
      <c r="D2100" s="2" t="str">
        <f aca="false">'Raw Data'!K2100</f>
        <v>Research Scientist</v>
      </c>
      <c r="E2100" s="2" t="n">
        <f aca="false">'Raw Data'!Q2100</f>
        <v>12</v>
      </c>
      <c r="F2100" s="2" t="n">
        <f aca="false">'Raw Data'!U2100</f>
        <v>7</v>
      </c>
      <c r="G2100" s="2" t="n">
        <f aca="false">'Raw Data'!W2100</f>
        <v>2</v>
      </c>
      <c r="H2100" s="2" t="n">
        <f aca="false">'Raw Data'!V2100</f>
        <v>4</v>
      </c>
      <c r="I2100" s="2" t="n">
        <f aca="false">IF(AND(ISNUMBER(B2100),B2100&lt;=25),2,0)+IF(AND(ISNUMBER(E2100),E2100&lt;=5),2,0)+IF(AND(ISNUMBER(F2100),F2100&lt;=1),2,0)+IF(AND(ISNUMBER(G2100),G2100&lt;=2),1,0)+IF(AND(ISNUMBER(H2100),H2100&lt;=2),1,0)</f>
        <v>1</v>
      </c>
      <c r="J2100" s="2" t="str">
        <f aca="false">IF(I2100&gt;=6,"High",IF(I2100&gt;=3,"Medium","Low"))</f>
        <v>Low</v>
      </c>
    </row>
    <row r="2101" customFormat="false" ht="15" hidden="false" customHeight="true" outlineLevel="0" collapsed="false">
      <c r="A2101" s="2" t="n">
        <f aca="false">'Raw Data'!H2101</f>
        <v>2100</v>
      </c>
      <c r="B2101" s="2" t="n">
        <f aca="false">'Raw Data'!A2101</f>
        <v>42</v>
      </c>
      <c r="C2101" s="2" t="str">
        <f aca="false">'Raw Data'!D2101</f>
        <v>Human Resources</v>
      </c>
      <c r="D2101" s="2" t="str">
        <f aca="false">'Raw Data'!K2101</f>
        <v>Sales Executive</v>
      </c>
      <c r="E2101" s="2" t="n">
        <f aca="false">'Raw Data'!Q2101</f>
        <v>20</v>
      </c>
      <c r="F2101" s="2" t="n">
        <f aca="false">'Raw Data'!U2101</f>
        <v>0</v>
      </c>
      <c r="G2101" s="2" t="n">
        <f aca="false">'Raw Data'!W2101</f>
        <v>1</v>
      </c>
      <c r="H2101" s="2" t="n">
        <f aca="false">'Raw Data'!V2101</f>
        <v>1</v>
      </c>
      <c r="I2101" s="2" t="n">
        <f aca="false">IF(AND(ISNUMBER(B2101),B2101&lt;=25),2,0)+IF(AND(ISNUMBER(E2101),E2101&lt;=5),2,0)+IF(AND(ISNUMBER(F2101),F2101&lt;=1),2,0)+IF(AND(ISNUMBER(G2101),G2101&lt;=2),1,0)+IF(AND(ISNUMBER(H2101),H2101&lt;=2),1,0)</f>
        <v>4</v>
      </c>
      <c r="J2101" s="2" t="str">
        <f aca="false">IF(I2101&gt;=6,"High",IF(I2101&gt;=3,"Medium","Low"))</f>
        <v>Medium</v>
      </c>
    </row>
    <row r="2102" customFormat="false" ht="15" hidden="false" customHeight="true" outlineLevel="0" collapsed="false">
      <c r="A2102" s="2" t="n">
        <f aca="false">'Raw Data'!H2102</f>
        <v>2101</v>
      </c>
      <c r="B2102" s="2" t="n">
        <f aca="false">'Raw Data'!A2102</f>
        <v>35</v>
      </c>
      <c r="C2102" s="2" t="str">
        <f aca="false">'Raw Data'!D2102</f>
        <v>Research &amp; Development</v>
      </c>
      <c r="D2102" s="2" t="str">
        <f aca="false">'Raw Data'!K2102</f>
        <v>Sales Executive</v>
      </c>
      <c r="E2102" s="2" t="n">
        <f aca="false">'Raw Data'!Q2102</f>
        <v>16</v>
      </c>
      <c r="F2102" s="2" t="n">
        <f aca="false">'Raw Data'!U2102</f>
        <v>12</v>
      </c>
      <c r="G2102" s="2" t="n">
        <f aca="false">'Raw Data'!W2102</f>
        <v>4</v>
      </c>
      <c r="H2102" s="2" t="n">
        <f aca="false">'Raw Data'!V2102</f>
        <v>3</v>
      </c>
      <c r="I2102" s="2" t="n">
        <f aca="false">IF(AND(ISNUMBER(B2102),B2102&lt;=25),2,0)+IF(AND(ISNUMBER(E2102),E2102&lt;=5),2,0)+IF(AND(ISNUMBER(F2102),F2102&lt;=1),2,0)+IF(AND(ISNUMBER(G2102),G2102&lt;=2),1,0)+IF(AND(ISNUMBER(H2102),H2102&lt;=2),1,0)</f>
        <v>0</v>
      </c>
      <c r="J2102" s="2" t="str">
        <f aca="false">IF(I2102&gt;=6,"High",IF(I2102&gt;=3,"Medium","Low"))</f>
        <v>Low</v>
      </c>
    </row>
    <row r="2103" customFormat="false" ht="15" hidden="false" customHeight="true" outlineLevel="0" collapsed="false">
      <c r="A2103" s="2" t="n">
        <f aca="false">'Raw Data'!H2103</f>
        <v>2102</v>
      </c>
      <c r="B2103" s="2" t="n">
        <f aca="false">'Raw Data'!A2103</f>
        <v>27</v>
      </c>
      <c r="C2103" s="2" t="str">
        <f aca="false">'Raw Data'!D2103</f>
        <v>Research &amp; Development</v>
      </c>
      <c r="D2103" s="2" t="str">
        <f aca="false">'Raw Data'!K2103</f>
        <v>Manufacturing Director</v>
      </c>
      <c r="E2103" s="2" t="n">
        <f aca="false">'Raw Data'!Q2103</f>
        <v>9</v>
      </c>
      <c r="F2103" s="2" t="n">
        <f aca="false">'Raw Data'!U2103</f>
        <v>8</v>
      </c>
      <c r="G2103" s="2" t="n">
        <f aca="false">'Raw Data'!W2103</f>
        <v>1</v>
      </c>
      <c r="H2103" s="2" t="n">
        <f aca="false">'Raw Data'!V2103</f>
        <v>1</v>
      </c>
      <c r="I2103" s="2" t="n">
        <f aca="false">IF(AND(ISNUMBER(B2103),B2103&lt;=25),2,0)+IF(AND(ISNUMBER(E2103),E2103&lt;=5),2,0)+IF(AND(ISNUMBER(F2103),F2103&lt;=1),2,0)+IF(AND(ISNUMBER(G2103),G2103&lt;=2),1,0)+IF(AND(ISNUMBER(H2103),H2103&lt;=2),1,0)</f>
        <v>2</v>
      </c>
      <c r="J2103" s="2" t="str">
        <f aca="false">IF(I2103&gt;=6,"High",IF(I2103&gt;=3,"Medium","Low"))</f>
        <v>Low</v>
      </c>
    </row>
    <row r="2104" customFormat="false" ht="15" hidden="false" customHeight="true" outlineLevel="0" collapsed="false">
      <c r="A2104" s="2" t="n">
        <f aca="false">'Raw Data'!H2104</f>
        <v>2103</v>
      </c>
      <c r="B2104" s="2" t="n">
        <f aca="false">'Raw Data'!A2104</f>
        <v>54</v>
      </c>
      <c r="C2104" s="2" t="str">
        <f aca="false">'Raw Data'!D2104</f>
        <v>Research &amp; Development</v>
      </c>
      <c r="D2104" s="2" t="str">
        <f aca="false">'Raw Data'!K2104</f>
        <v>Sales Representative</v>
      </c>
      <c r="E2104" s="2" t="n">
        <f aca="false">'Raw Data'!Q2104</f>
        <v>33</v>
      </c>
      <c r="F2104" s="2" t="n">
        <f aca="false">'Raw Data'!U2104</f>
        <v>4</v>
      </c>
      <c r="G2104" s="2" t="n">
        <f aca="false">'Raw Data'!W2104</f>
        <v>3</v>
      </c>
      <c r="H2104" s="2" t="n">
        <f aca="false">'Raw Data'!V2104</f>
        <v>4</v>
      </c>
      <c r="I2104" s="2" t="n">
        <f aca="false">IF(AND(ISNUMBER(B2104),B2104&lt;=25),2,0)+IF(AND(ISNUMBER(E2104),E2104&lt;=5),2,0)+IF(AND(ISNUMBER(F2104),F2104&lt;=1),2,0)+IF(AND(ISNUMBER(G2104),G2104&lt;=2),1,0)+IF(AND(ISNUMBER(H2104),H2104&lt;=2),1,0)</f>
        <v>0</v>
      </c>
      <c r="J2104" s="2" t="str">
        <f aca="false">IF(I2104&gt;=6,"High",IF(I2104&gt;=3,"Medium","Low"))</f>
        <v>Low</v>
      </c>
    </row>
    <row r="2105" customFormat="false" ht="15" hidden="false" customHeight="true" outlineLevel="0" collapsed="false">
      <c r="A2105" s="2" t="n">
        <f aca="false">'Raw Data'!H2105</f>
        <v>2104</v>
      </c>
      <c r="B2105" s="2" t="n">
        <f aca="false">'Raw Data'!A2105</f>
        <v>44</v>
      </c>
      <c r="C2105" s="2" t="str">
        <f aca="false">'Raw Data'!D2105</f>
        <v>Human Resources</v>
      </c>
      <c r="D2105" s="2" t="str">
        <f aca="false">'Raw Data'!K2105</f>
        <v>Laboratory Technician</v>
      </c>
      <c r="E2105" s="2" t="n">
        <f aca="false">'Raw Data'!Q2105</f>
        <v>10</v>
      </c>
      <c r="F2105" s="2" t="n">
        <f aca="false">'Raw Data'!U2105</f>
        <v>7</v>
      </c>
      <c r="G2105" s="2" t="n">
        <f aca="false">'Raw Data'!W2105</f>
        <v>4</v>
      </c>
      <c r="H2105" s="2" t="n">
        <f aca="false">'Raw Data'!V2105</f>
        <v>1</v>
      </c>
      <c r="I2105" s="2" t="n">
        <f aca="false">IF(AND(ISNUMBER(B2105),B2105&lt;=25),2,0)+IF(AND(ISNUMBER(E2105),E2105&lt;=5),2,0)+IF(AND(ISNUMBER(F2105),F2105&lt;=1),2,0)+IF(AND(ISNUMBER(G2105),G2105&lt;=2),1,0)+IF(AND(ISNUMBER(H2105),H2105&lt;=2),1,0)</f>
        <v>1</v>
      </c>
      <c r="J2105" s="2" t="str">
        <f aca="false">IF(I2105&gt;=6,"High",IF(I2105&gt;=3,"Medium","Low"))</f>
        <v>Low</v>
      </c>
    </row>
    <row r="2106" customFormat="false" ht="15" hidden="false" customHeight="true" outlineLevel="0" collapsed="false">
      <c r="A2106" s="2" t="n">
        <f aca="false">'Raw Data'!H2106</f>
        <v>2105</v>
      </c>
      <c r="B2106" s="2" t="n">
        <f aca="false">'Raw Data'!A2106</f>
        <v>19</v>
      </c>
      <c r="C2106" s="2" t="str">
        <f aca="false">'Raw Data'!D2106</f>
        <v>Sales</v>
      </c>
      <c r="D2106" s="2" t="str">
        <f aca="false">'Raw Data'!K2106</f>
        <v>Healthcare Representative</v>
      </c>
      <c r="E2106" s="2" t="n">
        <f aca="false">'Raw Data'!Q2106</f>
        <v>1</v>
      </c>
      <c r="F2106" s="2" t="n">
        <f aca="false">'Raw Data'!U2106</f>
        <v>0</v>
      </c>
      <c r="G2106" s="2" t="n">
        <f aca="false">'Raw Data'!W2106</f>
        <v>2</v>
      </c>
      <c r="H2106" s="2" t="n">
        <f aca="false">'Raw Data'!V2106</f>
        <v>1</v>
      </c>
      <c r="I2106" s="2" t="n">
        <f aca="false">IF(AND(ISNUMBER(B2106),B2106&lt;=25),2,0)+IF(AND(ISNUMBER(E2106),E2106&lt;=5),2,0)+IF(AND(ISNUMBER(F2106),F2106&lt;=1),2,0)+IF(AND(ISNUMBER(G2106),G2106&lt;=2),1,0)+IF(AND(ISNUMBER(H2106),H2106&lt;=2),1,0)</f>
        <v>8</v>
      </c>
      <c r="J2106" s="2" t="str">
        <f aca="false">IF(I2106&gt;=6,"High",IF(I2106&gt;=3,"Medium","Low"))</f>
        <v>High</v>
      </c>
    </row>
    <row r="2107" customFormat="false" ht="15" hidden="false" customHeight="true" outlineLevel="0" collapsed="false">
      <c r="A2107" s="2" t="n">
        <f aca="false">'Raw Data'!H2107</f>
        <v>2106</v>
      </c>
      <c r="B2107" s="2" t="n">
        <f aca="false">'Raw Data'!A2107</f>
        <v>29</v>
      </c>
      <c r="C2107" s="2" t="str">
        <f aca="false">'Raw Data'!D2107</f>
        <v>Research &amp; Development</v>
      </c>
      <c r="D2107" s="2" t="str">
        <f aca="false">'Raw Data'!K2107</f>
        <v>Manufacturing Director</v>
      </c>
      <c r="E2107" s="2" t="n">
        <f aca="false">'Raw Data'!Q2107</f>
        <v>3</v>
      </c>
      <c r="F2107" s="2" t="n">
        <f aca="false">'Raw Data'!U2107</f>
        <v>2</v>
      </c>
      <c r="G2107" s="2" t="n">
        <f aca="false">'Raw Data'!W2107</f>
        <v>4</v>
      </c>
      <c r="H2107" s="2" t="n">
        <f aca="false">'Raw Data'!V2107</f>
        <v>1</v>
      </c>
      <c r="I2107" s="2" t="n">
        <f aca="false">IF(AND(ISNUMBER(B2107),B2107&lt;=25),2,0)+IF(AND(ISNUMBER(E2107),E2107&lt;=5),2,0)+IF(AND(ISNUMBER(F2107),F2107&lt;=1),2,0)+IF(AND(ISNUMBER(G2107),G2107&lt;=2),1,0)+IF(AND(ISNUMBER(H2107),H2107&lt;=2),1,0)</f>
        <v>3</v>
      </c>
      <c r="J2107" s="2" t="str">
        <f aca="false">IF(I2107&gt;=6,"High",IF(I2107&gt;=3,"Medium","Low"))</f>
        <v>Medium</v>
      </c>
    </row>
    <row r="2108" customFormat="false" ht="15" hidden="false" customHeight="true" outlineLevel="0" collapsed="false">
      <c r="A2108" s="2" t="n">
        <f aca="false">'Raw Data'!H2108</f>
        <v>2107</v>
      </c>
      <c r="B2108" s="2" t="n">
        <f aca="false">'Raw Data'!A2108</f>
        <v>54</v>
      </c>
      <c r="C2108" s="2" t="str">
        <f aca="false">'Raw Data'!D2108</f>
        <v>Research &amp; Development</v>
      </c>
      <c r="D2108" s="2" t="str">
        <f aca="false">'Raw Data'!K2108</f>
        <v>Sales Executive</v>
      </c>
      <c r="E2108" s="2" t="n">
        <f aca="false">'Raw Data'!Q2108</f>
        <v>36</v>
      </c>
      <c r="F2108" s="2" t="n">
        <f aca="false">'Raw Data'!U2108</f>
        <v>9</v>
      </c>
      <c r="G2108" s="2" t="n">
        <f aca="false">'Raw Data'!W2108</f>
        <v>4</v>
      </c>
      <c r="H2108" s="2" t="n">
        <f aca="false">'Raw Data'!V2108</f>
        <v>4</v>
      </c>
      <c r="I2108" s="2" t="n">
        <f aca="false">IF(AND(ISNUMBER(B2108),B2108&lt;=25),2,0)+IF(AND(ISNUMBER(E2108),E2108&lt;=5),2,0)+IF(AND(ISNUMBER(F2108),F2108&lt;=1),2,0)+IF(AND(ISNUMBER(G2108),G2108&lt;=2),1,0)+IF(AND(ISNUMBER(H2108),H2108&lt;=2),1,0)</f>
        <v>0</v>
      </c>
      <c r="J2108" s="2" t="str">
        <f aca="false">IF(I2108&gt;=6,"High",IF(I2108&gt;=3,"Medium","Low"))</f>
        <v>Low</v>
      </c>
    </row>
    <row r="2109" customFormat="false" ht="15" hidden="false" customHeight="true" outlineLevel="0" collapsed="false">
      <c r="A2109" s="2" t="n">
        <f aca="false">'Raw Data'!H2109</f>
        <v>2108</v>
      </c>
      <c r="B2109" s="2" t="n">
        <f aca="false">'Raw Data'!A2109</f>
        <v>31</v>
      </c>
      <c r="C2109" s="2" t="str">
        <f aca="false">'Raw Data'!D2109</f>
        <v>Research &amp; Development</v>
      </c>
      <c r="D2109" s="2" t="str">
        <f aca="false">'Raw Data'!K2109</f>
        <v>Laboratory Technician</v>
      </c>
      <c r="E2109" s="2" t="n">
        <f aca="false">'Raw Data'!Q2109</f>
        <v>6</v>
      </c>
      <c r="F2109" s="2" t="n">
        <f aca="false">'Raw Data'!U2109</f>
        <v>1</v>
      </c>
      <c r="G2109" s="2" t="n">
        <f aca="false">'Raw Data'!W2109</f>
        <v>1</v>
      </c>
      <c r="H2109" s="2" t="n">
        <f aca="false">'Raw Data'!V2109</f>
        <v>3</v>
      </c>
      <c r="I2109" s="2" t="n">
        <f aca="false">IF(AND(ISNUMBER(B2109),B2109&lt;=25),2,0)+IF(AND(ISNUMBER(E2109),E2109&lt;=5),2,0)+IF(AND(ISNUMBER(F2109),F2109&lt;=1),2,0)+IF(AND(ISNUMBER(G2109),G2109&lt;=2),1,0)+IF(AND(ISNUMBER(H2109),H2109&lt;=2),1,0)</f>
        <v>3</v>
      </c>
      <c r="J2109" s="2" t="str">
        <f aca="false">IF(I2109&gt;=6,"High",IF(I2109&gt;=3,"Medium","Low"))</f>
        <v>Medium</v>
      </c>
    </row>
    <row r="2110" customFormat="false" ht="15" hidden="false" customHeight="true" outlineLevel="0" collapsed="false">
      <c r="A2110" s="2" t="n">
        <f aca="false">'Raw Data'!H2110</f>
        <v>2109</v>
      </c>
      <c r="B2110" s="2" t="n">
        <f aca="false">'Raw Data'!A2110</f>
        <v>31</v>
      </c>
      <c r="C2110" s="2" t="str">
        <f aca="false">'Raw Data'!D2110</f>
        <v>Sales</v>
      </c>
      <c r="D2110" s="2" t="str">
        <f aca="false">'Raw Data'!K2110</f>
        <v>Sales Executive</v>
      </c>
      <c r="E2110" s="2" t="n">
        <f aca="false">'Raw Data'!Q2110</f>
        <v>10</v>
      </c>
      <c r="F2110" s="2" t="n">
        <f aca="false">'Raw Data'!U2110</f>
        <v>8</v>
      </c>
      <c r="G2110" s="2" t="n">
        <f aca="false">'Raw Data'!W2110</f>
        <v>1</v>
      </c>
      <c r="H2110" s="2" t="n">
        <f aca="false">'Raw Data'!V2110</f>
        <v>3</v>
      </c>
      <c r="I2110" s="2" t="n">
        <f aca="false">IF(AND(ISNUMBER(B2110),B2110&lt;=25),2,0)+IF(AND(ISNUMBER(E2110),E2110&lt;=5),2,0)+IF(AND(ISNUMBER(F2110),F2110&lt;=1),2,0)+IF(AND(ISNUMBER(G2110),G2110&lt;=2),1,0)+IF(AND(ISNUMBER(H2110),H2110&lt;=2),1,0)</f>
        <v>1</v>
      </c>
      <c r="J2110" s="2" t="str">
        <f aca="false">IF(I2110&gt;=6,"High",IF(I2110&gt;=3,"Medium","Low"))</f>
        <v>Low</v>
      </c>
    </row>
    <row r="2111" customFormat="false" ht="15" hidden="false" customHeight="true" outlineLevel="0" collapsed="false">
      <c r="A2111" s="2" t="n">
        <f aca="false">'Raw Data'!H2111</f>
        <v>2110</v>
      </c>
      <c r="B2111" s="2" t="n">
        <f aca="false">'Raw Data'!A2111</f>
        <v>59</v>
      </c>
      <c r="C2111" s="2" t="str">
        <f aca="false">'Raw Data'!D2111</f>
        <v>Research &amp; Development</v>
      </c>
      <c r="D2111" s="2" t="str">
        <f aca="false">'Raw Data'!K2111</f>
        <v>Research Scientist</v>
      </c>
      <c r="E2111" s="2" t="n">
        <f aca="false">'Raw Data'!Q2111</f>
        <v>13</v>
      </c>
      <c r="F2111" s="2" t="n">
        <f aca="false">'Raw Data'!U2111</f>
        <v>5</v>
      </c>
      <c r="G2111" s="2" t="n">
        <f aca="false">'Raw Data'!W2111</f>
        <v>4</v>
      </c>
      <c r="H2111" s="2" t="n">
        <f aca="false">'Raw Data'!V2111</f>
        <v>3</v>
      </c>
      <c r="I2111" s="2" t="n">
        <f aca="false">IF(AND(ISNUMBER(B2111),B2111&lt;=25),2,0)+IF(AND(ISNUMBER(E2111),E2111&lt;=5),2,0)+IF(AND(ISNUMBER(F2111),F2111&lt;=1),2,0)+IF(AND(ISNUMBER(G2111),G2111&lt;=2),1,0)+IF(AND(ISNUMBER(H2111),H2111&lt;=2),1,0)</f>
        <v>0</v>
      </c>
      <c r="J2111" s="2" t="str">
        <f aca="false">IF(I2111&gt;=6,"High",IF(I2111&gt;=3,"Medium","Low"))</f>
        <v>Low</v>
      </c>
    </row>
    <row r="2112" customFormat="false" ht="15" hidden="false" customHeight="true" outlineLevel="0" collapsed="false">
      <c r="A2112" s="2" t="n">
        <f aca="false">'Raw Data'!H2112</f>
        <v>2111</v>
      </c>
      <c r="B2112" s="2" t="n">
        <f aca="false">'Raw Data'!A2112</f>
        <v>43</v>
      </c>
      <c r="C2112" s="2" t="str">
        <f aca="false">'Raw Data'!D2112</f>
        <v>Research &amp; Development</v>
      </c>
      <c r="D2112" s="2" t="str">
        <f aca="false">'Raw Data'!K2112</f>
        <v>Laboratory Technician</v>
      </c>
      <c r="E2112" s="2" t="n">
        <f aca="false">'Raw Data'!Q2112</f>
        <v>25</v>
      </c>
      <c r="F2112" s="2" t="n">
        <f aca="false">'Raw Data'!U2112</f>
        <v>7</v>
      </c>
      <c r="G2112" s="2" t="n">
        <f aca="false">'Raw Data'!W2112</f>
        <v>4</v>
      </c>
      <c r="H2112" s="2" t="n">
        <f aca="false">'Raw Data'!V2112</f>
        <v>3</v>
      </c>
      <c r="I2112" s="2" t="n">
        <f aca="false">IF(AND(ISNUMBER(B2112),B2112&lt;=25),2,0)+IF(AND(ISNUMBER(E2112),E2112&lt;=5),2,0)+IF(AND(ISNUMBER(F2112),F2112&lt;=1),2,0)+IF(AND(ISNUMBER(G2112),G2112&lt;=2),1,0)+IF(AND(ISNUMBER(H2112),H2112&lt;=2),1,0)</f>
        <v>0</v>
      </c>
      <c r="J2112" s="2" t="str">
        <f aca="false">IF(I2112&gt;=6,"High",IF(I2112&gt;=3,"Medium","Low"))</f>
        <v>Low</v>
      </c>
    </row>
    <row r="2113" customFormat="false" ht="15" hidden="false" customHeight="true" outlineLevel="0" collapsed="false">
      <c r="A2113" s="2" t="n">
        <f aca="false">'Raw Data'!H2113</f>
        <v>2112</v>
      </c>
      <c r="B2113" s="2" t="n">
        <f aca="false">'Raw Data'!A2113</f>
        <v>49</v>
      </c>
      <c r="C2113" s="2" t="str">
        <f aca="false">'Raw Data'!D2113</f>
        <v>Sales</v>
      </c>
      <c r="D2113" s="2" t="str">
        <f aca="false">'Raw Data'!K2113</f>
        <v>Research Scientist</v>
      </c>
      <c r="E2113" s="2" t="n">
        <f aca="false">'Raw Data'!Q2113</f>
        <v>23</v>
      </c>
      <c r="F2113" s="2" t="n">
        <f aca="false">'Raw Data'!U2113</f>
        <v>0</v>
      </c>
      <c r="G2113" s="2" t="n">
        <f aca="false">'Raw Data'!W2113</f>
        <v>3</v>
      </c>
      <c r="H2113" s="2" t="n">
        <f aca="false">'Raw Data'!V2113</f>
        <v>1</v>
      </c>
      <c r="I2113" s="2" t="n">
        <f aca="false">IF(AND(ISNUMBER(B2113),B2113&lt;=25),2,0)+IF(AND(ISNUMBER(E2113),E2113&lt;=5),2,0)+IF(AND(ISNUMBER(F2113),F2113&lt;=1),2,0)+IF(AND(ISNUMBER(G2113),G2113&lt;=2),1,0)+IF(AND(ISNUMBER(H2113),H2113&lt;=2),1,0)</f>
        <v>3</v>
      </c>
      <c r="J2113" s="2" t="str">
        <f aca="false">IF(I2113&gt;=6,"High",IF(I2113&gt;=3,"Medium","Low"))</f>
        <v>Medium</v>
      </c>
    </row>
    <row r="2114" customFormat="false" ht="15" hidden="false" customHeight="true" outlineLevel="0" collapsed="false">
      <c r="A2114" s="2" t="n">
        <f aca="false">'Raw Data'!H2114</f>
        <v>2113</v>
      </c>
      <c r="B2114" s="2" t="n">
        <f aca="false">'Raw Data'!A2114</f>
        <v>36</v>
      </c>
      <c r="C2114" s="2" t="str">
        <f aca="false">'Raw Data'!D2114</f>
        <v>Sales</v>
      </c>
      <c r="D2114" s="2" t="str">
        <f aca="false">'Raw Data'!K2114</f>
        <v>Laboratory Technician</v>
      </c>
      <c r="E2114" s="2" t="n">
        <f aca="false">'Raw Data'!Q2114</f>
        <v>12</v>
      </c>
      <c r="F2114" s="2" t="n">
        <f aca="false">'Raw Data'!U2114</f>
        <v>7</v>
      </c>
      <c r="G2114" s="2" t="n">
        <f aca="false">'Raw Data'!W2114</f>
        <v>2</v>
      </c>
      <c r="H2114" s="2" t="n">
        <f aca="false">'Raw Data'!V2114</f>
        <v>3</v>
      </c>
      <c r="I2114" s="2" t="n">
        <f aca="false">IF(AND(ISNUMBER(B2114),B2114&lt;=25),2,0)+IF(AND(ISNUMBER(E2114),E2114&lt;=5),2,0)+IF(AND(ISNUMBER(F2114),F2114&lt;=1),2,0)+IF(AND(ISNUMBER(G2114),G2114&lt;=2),1,0)+IF(AND(ISNUMBER(H2114),H2114&lt;=2),1,0)</f>
        <v>1</v>
      </c>
      <c r="J2114" s="2" t="str">
        <f aca="false">IF(I2114&gt;=6,"High",IF(I2114&gt;=3,"Medium","Low"))</f>
        <v>Low</v>
      </c>
    </row>
    <row r="2115" customFormat="false" ht="15" hidden="false" customHeight="true" outlineLevel="0" collapsed="false">
      <c r="A2115" s="2" t="n">
        <f aca="false">'Raw Data'!H2115</f>
        <v>2114</v>
      </c>
      <c r="B2115" s="2" t="n">
        <f aca="false">'Raw Data'!A2115</f>
        <v>48</v>
      </c>
      <c r="C2115" s="2" t="str">
        <f aca="false">'Raw Data'!D2115</f>
        <v>Research &amp; Development</v>
      </c>
      <c r="D2115" s="2" t="str">
        <f aca="false">'Raw Data'!K2115</f>
        <v>Laboratory Technician</v>
      </c>
      <c r="E2115" s="2" t="n">
        <f aca="false">'Raw Data'!Q2115</f>
        <v>7</v>
      </c>
      <c r="F2115" s="2" t="n">
        <f aca="false">'Raw Data'!U2115</f>
        <v>0</v>
      </c>
      <c r="G2115" s="2" t="n">
        <f aca="false">'Raw Data'!W2115</f>
        <v>2</v>
      </c>
      <c r="H2115" s="2" t="n">
        <f aca="false">'Raw Data'!V2115</f>
        <v>4</v>
      </c>
      <c r="I2115" s="2" t="n">
        <f aca="false">IF(AND(ISNUMBER(B2115),B2115&lt;=25),2,0)+IF(AND(ISNUMBER(E2115),E2115&lt;=5),2,0)+IF(AND(ISNUMBER(F2115),F2115&lt;=1),2,0)+IF(AND(ISNUMBER(G2115),G2115&lt;=2),1,0)+IF(AND(ISNUMBER(H2115),H2115&lt;=2),1,0)</f>
        <v>3</v>
      </c>
      <c r="J2115" s="2" t="str">
        <f aca="false">IF(I2115&gt;=6,"High",IF(I2115&gt;=3,"Medium","Low"))</f>
        <v>Medium</v>
      </c>
    </row>
    <row r="2116" customFormat="false" ht="15" hidden="false" customHeight="true" outlineLevel="0" collapsed="false">
      <c r="A2116" s="2" t="n">
        <f aca="false">'Raw Data'!H2116</f>
        <v>2115</v>
      </c>
      <c r="B2116" s="2" t="n">
        <f aca="false">'Raw Data'!A2116</f>
        <v>27</v>
      </c>
      <c r="C2116" s="2" t="str">
        <f aca="false">'Raw Data'!D2116</f>
        <v>Research &amp; Development</v>
      </c>
      <c r="D2116" s="2" t="str">
        <f aca="false">'Raw Data'!K2116</f>
        <v>Laboratory Technician</v>
      </c>
      <c r="E2116" s="2" t="n">
        <f aca="false">'Raw Data'!Q2116</f>
        <v>5</v>
      </c>
      <c r="F2116" s="2" t="n">
        <f aca="false">'Raw Data'!U2116</f>
        <v>3</v>
      </c>
      <c r="G2116" s="2" t="n">
        <f aca="false">'Raw Data'!W2116</f>
        <v>3</v>
      </c>
      <c r="H2116" s="2" t="n">
        <f aca="false">'Raw Data'!V2116</f>
        <v>1</v>
      </c>
      <c r="I2116" s="2" t="n">
        <f aca="false">IF(AND(ISNUMBER(B2116),B2116&lt;=25),2,0)+IF(AND(ISNUMBER(E2116),E2116&lt;=5),2,0)+IF(AND(ISNUMBER(F2116),F2116&lt;=1),2,0)+IF(AND(ISNUMBER(G2116),G2116&lt;=2),1,0)+IF(AND(ISNUMBER(H2116),H2116&lt;=2),1,0)</f>
        <v>3</v>
      </c>
      <c r="J2116" s="2" t="str">
        <f aca="false">IF(I2116&gt;=6,"High",IF(I2116&gt;=3,"Medium","Low"))</f>
        <v>Medium</v>
      </c>
    </row>
    <row r="2117" customFormat="false" ht="15" hidden="false" customHeight="true" outlineLevel="0" collapsed="false">
      <c r="A2117" s="2" t="n">
        <f aca="false">'Raw Data'!H2117</f>
        <v>2116</v>
      </c>
      <c r="B2117" s="2" t="n">
        <f aca="false">'Raw Data'!A2117</f>
        <v>29</v>
      </c>
      <c r="C2117" s="2" t="str">
        <f aca="false">'Raw Data'!D2117</f>
        <v>Sales</v>
      </c>
      <c r="D2117" s="2" t="str">
        <f aca="false">'Raw Data'!K2117</f>
        <v>Laboratory Technician</v>
      </c>
      <c r="E2117" s="2" t="n">
        <f aca="false">'Raw Data'!Q2117</f>
        <v>6</v>
      </c>
      <c r="F2117" s="2" t="n">
        <f aca="false">'Raw Data'!U2117</f>
        <v>0</v>
      </c>
      <c r="G2117" s="2" t="n">
        <f aca="false">'Raw Data'!W2117</f>
        <v>4</v>
      </c>
      <c r="H2117" s="2" t="n">
        <f aca="false">'Raw Data'!V2117</f>
        <v>3</v>
      </c>
      <c r="I2117" s="2" t="n">
        <f aca="false">IF(AND(ISNUMBER(B2117),B2117&lt;=25),2,0)+IF(AND(ISNUMBER(E2117),E2117&lt;=5),2,0)+IF(AND(ISNUMBER(F2117),F2117&lt;=1),2,0)+IF(AND(ISNUMBER(G2117),G2117&lt;=2),1,0)+IF(AND(ISNUMBER(H2117),H2117&lt;=2),1,0)</f>
        <v>2</v>
      </c>
      <c r="J2117" s="2" t="str">
        <f aca="false">IF(I2117&gt;=6,"High",IF(I2117&gt;=3,"Medium","Low"))</f>
        <v>Low</v>
      </c>
    </row>
    <row r="2118" customFormat="false" ht="15" hidden="false" customHeight="true" outlineLevel="0" collapsed="false">
      <c r="A2118" s="2" t="n">
        <f aca="false">'Raw Data'!H2118</f>
        <v>2117</v>
      </c>
      <c r="B2118" s="2" t="n">
        <f aca="false">'Raw Data'!A2118</f>
        <v>48</v>
      </c>
      <c r="C2118" s="2" t="str">
        <f aca="false">'Raw Data'!D2118</f>
        <v>Sales</v>
      </c>
      <c r="D2118" s="2" t="str">
        <f aca="false">'Raw Data'!K2118</f>
        <v>Manufacturing Director</v>
      </c>
      <c r="E2118" s="2" t="n">
        <f aca="false">'Raw Data'!Q2118</f>
        <v>25</v>
      </c>
      <c r="F2118" s="2" t="n">
        <f aca="false">'Raw Data'!U2118</f>
        <v>0</v>
      </c>
      <c r="G2118" s="2" t="n">
        <f aca="false">'Raw Data'!W2118</f>
        <v>4</v>
      </c>
      <c r="H2118" s="2" t="n">
        <f aca="false">'Raw Data'!V2118</f>
        <v>4</v>
      </c>
      <c r="I2118" s="2" t="n">
        <f aca="false">IF(AND(ISNUMBER(B2118),B2118&lt;=25),2,0)+IF(AND(ISNUMBER(E2118),E2118&lt;=5),2,0)+IF(AND(ISNUMBER(F2118),F2118&lt;=1),2,0)+IF(AND(ISNUMBER(G2118),G2118&lt;=2),1,0)+IF(AND(ISNUMBER(H2118),H2118&lt;=2),1,0)</f>
        <v>2</v>
      </c>
      <c r="J2118" s="2" t="str">
        <f aca="false">IF(I2118&gt;=6,"High",IF(I2118&gt;=3,"Medium","Low"))</f>
        <v>Low</v>
      </c>
    </row>
    <row r="2119" customFormat="false" ht="15" hidden="false" customHeight="true" outlineLevel="0" collapsed="false">
      <c r="A2119" s="2" t="n">
        <f aca="false">'Raw Data'!H2119</f>
        <v>2118</v>
      </c>
      <c r="B2119" s="2" t="n">
        <f aca="false">'Raw Data'!A2119</f>
        <v>29</v>
      </c>
      <c r="C2119" s="2" t="str">
        <f aca="false">'Raw Data'!D2119</f>
        <v>Research &amp; Development</v>
      </c>
      <c r="D2119" s="2" t="str">
        <f aca="false">'Raw Data'!K2119</f>
        <v>Healthcare Representative</v>
      </c>
      <c r="E2119" s="2" t="n">
        <f aca="false">'Raw Data'!Q2119</f>
        <v>9</v>
      </c>
      <c r="F2119" s="2" t="n">
        <f aca="false">'Raw Data'!U2119</f>
        <v>7</v>
      </c>
      <c r="G2119" s="2" t="n">
        <f aca="false">'Raw Data'!W2119</f>
        <v>4</v>
      </c>
      <c r="H2119" s="2" t="n">
        <f aca="false">'Raw Data'!V2119</f>
        <v>4</v>
      </c>
      <c r="I2119" s="2" t="n">
        <f aca="false">IF(AND(ISNUMBER(B2119),B2119&lt;=25),2,0)+IF(AND(ISNUMBER(E2119),E2119&lt;=5),2,0)+IF(AND(ISNUMBER(F2119),F2119&lt;=1),2,0)+IF(AND(ISNUMBER(G2119),G2119&lt;=2),1,0)+IF(AND(ISNUMBER(H2119),H2119&lt;=2),1,0)</f>
        <v>0</v>
      </c>
      <c r="J2119" s="2" t="str">
        <f aca="false">IF(I2119&gt;=6,"High",IF(I2119&gt;=3,"Medium","Low"))</f>
        <v>Low</v>
      </c>
    </row>
    <row r="2120" customFormat="false" ht="15" hidden="false" customHeight="true" outlineLevel="0" collapsed="false">
      <c r="A2120" s="2" t="n">
        <f aca="false">'Raw Data'!H2120</f>
        <v>2119</v>
      </c>
      <c r="B2120" s="2" t="n">
        <f aca="false">'Raw Data'!A2120</f>
        <v>34</v>
      </c>
      <c r="C2120" s="2" t="str">
        <f aca="false">'Raw Data'!D2120</f>
        <v>Sales</v>
      </c>
      <c r="D2120" s="2" t="str">
        <f aca="false">'Raw Data'!K2120</f>
        <v>Laboratory Technician</v>
      </c>
      <c r="E2120" s="2" t="n">
        <f aca="false">'Raw Data'!Q2120</f>
        <v>2</v>
      </c>
      <c r="F2120" s="2" t="n">
        <f aca="false">'Raw Data'!U2120</f>
        <v>0</v>
      </c>
      <c r="G2120" s="2" t="n">
        <f aca="false">'Raw Data'!W2120</f>
        <v>3</v>
      </c>
      <c r="H2120" s="2" t="n">
        <f aca="false">'Raw Data'!V2120</f>
        <v>3</v>
      </c>
      <c r="I2120" s="2" t="n">
        <f aca="false">IF(AND(ISNUMBER(B2120),B2120&lt;=25),2,0)+IF(AND(ISNUMBER(E2120),E2120&lt;=5),2,0)+IF(AND(ISNUMBER(F2120),F2120&lt;=1),2,0)+IF(AND(ISNUMBER(G2120),G2120&lt;=2),1,0)+IF(AND(ISNUMBER(H2120),H2120&lt;=2),1,0)</f>
        <v>4</v>
      </c>
      <c r="J2120" s="2" t="str">
        <f aca="false">IF(I2120&gt;=6,"High",IF(I2120&gt;=3,"Medium","Low"))</f>
        <v>Medium</v>
      </c>
    </row>
    <row r="2121" customFormat="false" ht="15" hidden="false" customHeight="true" outlineLevel="0" collapsed="false">
      <c r="A2121" s="2" t="n">
        <f aca="false">'Raw Data'!H2121</f>
        <v>2120</v>
      </c>
      <c r="B2121" s="2" t="n">
        <f aca="false">'Raw Data'!A2121</f>
        <v>44</v>
      </c>
      <c r="C2121" s="2" t="str">
        <f aca="false">'Raw Data'!D2121</f>
        <v>Research &amp; Development</v>
      </c>
      <c r="D2121" s="2" t="str">
        <f aca="false">'Raw Data'!K2121</f>
        <v>Laboratory Technician</v>
      </c>
      <c r="E2121" s="2" t="n">
        <f aca="false">'Raw Data'!Q2121</f>
        <v>26</v>
      </c>
      <c r="F2121" s="2" t="n">
        <f aca="false">'Raw Data'!U2121</f>
        <v>10</v>
      </c>
      <c r="G2121" s="2" t="n">
        <f aca="false">'Raw Data'!W2121</f>
        <v>2</v>
      </c>
      <c r="H2121" s="2" t="n">
        <f aca="false">'Raw Data'!V2121</f>
        <v>2</v>
      </c>
      <c r="I2121" s="2" t="n">
        <f aca="false">IF(AND(ISNUMBER(B2121),B2121&lt;=25),2,0)+IF(AND(ISNUMBER(E2121),E2121&lt;=5),2,0)+IF(AND(ISNUMBER(F2121),F2121&lt;=1),2,0)+IF(AND(ISNUMBER(G2121),G2121&lt;=2),1,0)+IF(AND(ISNUMBER(H2121),H2121&lt;=2),1,0)</f>
        <v>2</v>
      </c>
      <c r="J2121" s="2" t="str">
        <f aca="false">IF(I2121&gt;=6,"High",IF(I2121&gt;=3,"Medium","Low"))</f>
        <v>Low</v>
      </c>
    </row>
    <row r="2122" customFormat="false" ht="15" hidden="false" customHeight="true" outlineLevel="0" collapsed="false">
      <c r="A2122" s="2" t="n">
        <f aca="false">'Raw Data'!H2122</f>
        <v>2121</v>
      </c>
      <c r="B2122" s="2" t="n">
        <f aca="false">'Raw Data'!A2122</f>
        <v>33</v>
      </c>
      <c r="C2122" s="2" t="str">
        <f aca="false">'Raw Data'!D2122</f>
        <v>Research &amp; Development</v>
      </c>
      <c r="D2122" s="2" t="str">
        <f aca="false">'Raw Data'!K2122</f>
        <v>Research Scientist</v>
      </c>
      <c r="E2122" s="2" t="n">
        <f aca="false">'Raw Data'!Q2122</f>
        <v>10</v>
      </c>
      <c r="F2122" s="2" t="n">
        <f aca="false">'Raw Data'!U2122</f>
        <v>8</v>
      </c>
      <c r="G2122" s="2" t="n">
        <f aca="false">'Raw Data'!W2122</f>
        <v>3</v>
      </c>
      <c r="H2122" s="2" t="n">
        <f aca="false">'Raw Data'!V2122</f>
        <v>4</v>
      </c>
      <c r="I2122" s="2" t="n">
        <f aca="false">IF(AND(ISNUMBER(B2122),B2122&lt;=25),2,0)+IF(AND(ISNUMBER(E2122),E2122&lt;=5),2,0)+IF(AND(ISNUMBER(F2122),F2122&lt;=1),2,0)+IF(AND(ISNUMBER(G2122),G2122&lt;=2),1,0)+IF(AND(ISNUMBER(H2122),H2122&lt;=2),1,0)</f>
        <v>0</v>
      </c>
      <c r="J2122" s="2" t="str">
        <f aca="false">IF(I2122&gt;=6,"High",IF(I2122&gt;=3,"Medium","Low"))</f>
        <v>Low</v>
      </c>
    </row>
    <row r="2123" customFormat="false" ht="15" hidden="false" customHeight="true" outlineLevel="0" collapsed="false">
      <c r="A2123" s="2" t="n">
        <f aca="false">'Raw Data'!H2123</f>
        <v>2122</v>
      </c>
      <c r="B2123" s="2" t="n">
        <f aca="false">'Raw Data'!A2123</f>
        <v>19</v>
      </c>
      <c r="C2123" s="2" t="str">
        <f aca="false">'Raw Data'!D2123</f>
        <v>Sales</v>
      </c>
      <c r="D2123" s="2" t="str">
        <f aca="false">'Raw Data'!K2123</f>
        <v>Laboratory Technician</v>
      </c>
      <c r="E2123" s="2" t="n">
        <f aca="false">'Raw Data'!Q2123</f>
        <v>1</v>
      </c>
      <c r="F2123" s="2" t="n">
        <f aca="false">'Raw Data'!U2123</f>
        <v>1</v>
      </c>
      <c r="G2123" s="2" t="n">
        <f aca="false">'Raw Data'!W2123</f>
        <v>4</v>
      </c>
      <c r="H2123" s="2" t="n">
        <f aca="false">'Raw Data'!V2123</f>
        <v>2</v>
      </c>
      <c r="I2123" s="2" t="n">
        <f aca="false">IF(AND(ISNUMBER(B2123),B2123&lt;=25),2,0)+IF(AND(ISNUMBER(E2123),E2123&lt;=5),2,0)+IF(AND(ISNUMBER(F2123),F2123&lt;=1),2,0)+IF(AND(ISNUMBER(G2123),G2123&lt;=2),1,0)+IF(AND(ISNUMBER(H2123),H2123&lt;=2),1,0)</f>
        <v>7</v>
      </c>
      <c r="J2123" s="2" t="str">
        <f aca="false">IF(I2123&gt;=6,"High",IF(I2123&gt;=3,"Medium","Low"))</f>
        <v>High</v>
      </c>
    </row>
    <row r="2124" customFormat="false" ht="15" hidden="false" customHeight="true" outlineLevel="0" collapsed="false">
      <c r="A2124" s="2" t="n">
        <f aca="false">'Raw Data'!H2124</f>
        <v>2123</v>
      </c>
      <c r="B2124" s="2" t="n">
        <f aca="false">'Raw Data'!A2124</f>
        <v>23</v>
      </c>
      <c r="C2124" s="2" t="str">
        <f aca="false">'Raw Data'!D2124</f>
        <v>Sales</v>
      </c>
      <c r="D2124" s="2" t="str">
        <f aca="false">'Raw Data'!K2124</f>
        <v>Laboratory Technician</v>
      </c>
      <c r="E2124" s="2" t="n">
        <f aca="false">'Raw Data'!Q2124</f>
        <v>1</v>
      </c>
      <c r="F2124" s="2" t="n">
        <f aca="false">'Raw Data'!U2124</f>
        <v>1</v>
      </c>
      <c r="G2124" s="2" t="n">
        <f aca="false">'Raw Data'!W2124</f>
        <v>3</v>
      </c>
      <c r="H2124" s="2" t="n">
        <f aca="false">'Raw Data'!V2124</f>
        <v>4</v>
      </c>
      <c r="I2124" s="2" t="n">
        <f aca="false">IF(AND(ISNUMBER(B2124),B2124&lt;=25),2,0)+IF(AND(ISNUMBER(E2124),E2124&lt;=5),2,0)+IF(AND(ISNUMBER(F2124),F2124&lt;=1),2,0)+IF(AND(ISNUMBER(G2124),G2124&lt;=2),1,0)+IF(AND(ISNUMBER(H2124),H2124&lt;=2),1,0)</f>
        <v>6</v>
      </c>
      <c r="J2124" s="2" t="str">
        <f aca="false">IF(I2124&gt;=6,"High",IF(I2124&gt;=3,"Medium","Low"))</f>
        <v>High</v>
      </c>
    </row>
    <row r="2125" customFormat="false" ht="15" hidden="false" customHeight="true" outlineLevel="0" collapsed="false">
      <c r="A2125" s="2" t="n">
        <f aca="false">'Raw Data'!H2125</f>
        <v>2124</v>
      </c>
      <c r="B2125" s="2" t="n">
        <f aca="false">'Raw Data'!A2125</f>
        <v>25</v>
      </c>
      <c r="C2125" s="2" t="str">
        <f aca="false">'Raw Data'!D2125</f>
        <v>Research &amp; Development</v>
      </c>
      <c r="D2125" s="2" t="str">
        <f aca="false">'Raw Data'!K2125</f>
        <v>Manufacturing Director</v>
      </c>
      <c r="E2125" s="2" t="n">
        <f aca="false">'Raw Data'!Q2125</f>
        <v>1</v>
      </c>
      <c r="F2125" s="2" t="n">
        <f aca="false">'Raw Data'!U2125</f>
        <v>0</v>
      </c>
      <c r="G2125" s="2" t="n">
        <f aca="false">'Raw Data'!W2125</f>
        <v>4</v>
      </c>
      <c r="H2125" s="2" t="n">
        <f aca="false">'Raw Data'!V2125</f>
        <v>3</v>
      </c>
      <c r="I2125" s="2" t="n">
        <f aca="false">IF(AND(ISNUMBER(B2125),B2125&lt;=25),2,0)+IF(AND(ISNUMBER(E2125),E2125&lt;=5),2,0)+IF(AND(ISNUMBER(F2125),F2125&lt;=1),2,0)+IF(AND(ISNUMBER(G2125),G2125&lt;=2),1,0)+IF(AND(ISNUMBER(H2125),H2125&lt;=2),1,0)</f>
        <v>6</v>
      </c>
      <c r="J2125" s="2" t="str">
        <f aca="false">IF(I2125&gt;=6,"High",IF(I2125&gt;=3,"Medium","Low"))</f>
        <v>High</v>
      </c>
    </row>
    <row r="2126" customFormat="false" ht="15" hidden="false" customHeight="true" outlineLevel="0" collapsed="false">
      <c r="A2126" s="2" t="n">
        <f aca="false">'Raw Data'!H2126</f>
        <v>2125</v>
      </c>
      <c r="B2126" s="2" t="n">
        <f aca="false">'Raw Data'!A2126</f>
        <v>26</v>
      </c>
      <c r="C2126" s="2" t="str">
        <f aca="false">'Raw Data'!D2126</f>
        <v>Human Resources</v>
      </c>
      <c r="D2126" s="2" t="str">
        <f aca="false">'Raw Data'!K2126</f>
        <v>Research Scientist</v>
      </c>
      <c r="E2126" s="2" t="n">
        <f aca="false">'Raw Data'!Q2126</f>
        <v>8</v>
      </c>
      <c r="F2126" s="2" t="n">
        <f aca="false">'Raw Data'!U2126</f>
        <v>2</v>
      </c>
      <c r="G2126" s="2" t="n">
        <f aca="false">'Raw Data'!W2126</f>
        <v>4</v>
      </c>
      <c r="H2126" s="2" t="n">
        <f aca="false">'Raw Data'!V2126</f>
        <v>3</v>
      </c>
      <c r="I2126" s="2" t="n">
        <f aca="false">IF(AND(ISNUMBER(B2126),B2126&lt;=25),2,0)+IF(AND(ISNUMBER(E2126),E2126&lt;=5),2,0)+IF(AND(ISNUMBER(F2126),F2126&lt;=1),2,0)+IF(AND(ISNUMBER(G2126),G2126&lt;=2),1,0)+IF(AND(ISNUMBER(H2126),H2126&lt;=2),1,0)</f>
        <v>0</v>
      </c>
      <c r="J2126" s="2" t="str">
        <f aca="false">IF(I2126&gt;=6,"High",IF(I2126&gt;=3,"Medium","Low"))</f>
        <v>Low</v>
      </c>
    </row>
    <row r="2127" customFormat="false" ht="15" hidden="false" customHeight="true" outlineLevel="0" collapsed="false">
      <c r="A2127" s="2" t="n">
        <f aca="false">'Raw Data'!H2127</f>
        <v>2126</v>
      </c>
      <c r="B2127" s="2" t="n">
        <f aca="false">'Raw Data'!A2127</f>
        <v>45</v>
      </c>
      <c r="C2127" s="2" t="str">
        <f aca="false">'Raw Data'!D2127</f>
        <v>Human Resources</v>
      </c>
      <c r="D2127" s="2" t="str">
        <f aca="false">'Raw Data'!K2127</f>
        <v>Laboratory Technician</v>
      </c>
      <c r="E2127" s="2" t="n">
        <f aca="false">'Raw Data'!Q2127</f>
        <v>26</v>
      </c>
      <c r="F2127" s="2" t="n">
        <f aca="false">'Raw Data'!U2127</f>
        <v>11</v>
      </c>
      <c r="G2127" s="2" t="n">
        <f aca="false">'Raw Data'!W2127</f>
        <v>2</v>
      </c>
      <c r="H2127" s="2" t="n">
        <f aca="false">'Raw Data'!V2127</f>
        <v>1</v>
      </c>
      <c r="I2127" s="2" t="n">
        <f aca="false">IF(AND(ISNUMBER(B2127),B2127&lt;=25),2,0)+IF(AND(ISNUMBER(E2127),E2127&lt;=5),2,0)+IF(AND(ISNUMBER(F2127),F2127&lt;=1),2,0)+IF(AND(ISNUMBER(G2127),G2127&lt;=2),1,0)+IF(AND(ISNUMBER(H2127),H2127&lt;=2),1,0)</f>
        <v>2</v>
      </c>
      <c r="J2127" s="2" t="str">
        <f aca="false">IF(I2127&gt;=6,"High",IF(I2127&gt;=3,"Medium","Low"))</f>
        <v>Low</v>
      </c>
    </row>
    <row r="2128" customFormat="false" ht="15" hidden="false" customHeight="true" outlineLevel="0" collapsed="false">
      <c r="A2128" s="2" t="n">
        <f aca="false">'Raw Data'!H2128</f>
        <v>2127</v>
      </c>
      <c r="B2128" s="2" t="n">
        <f aca="false">'Raw Data'!A2128</f>
        <v>55</v>
      </c>
      <c r="C2128" s="2" t="str">
        <f aca="false">'Raw Data'!D2128</f>
        <v>Research &amp; Development</v>
      </c>
      <c r="D2128" s="2" t="str">
        <f aca="false">'Raw Data'!K2128</f>
        <v>Manager</v>
      </c>
      <c r="E2128" s="2" t="n">
        <f aca="false">'Raw Data'!Q2128</f>
        <v>34</v>
      </c>
      <c r="F2128" s="2" t="n">
        <f aca="false">'Raw Data'!U2128</f>
        <v>0</v>
      </c>
      <c r="G2128" s="2" t="n">
        <f aca="false">'Raw Data'!W2128</f>
        <v>2</v>
      </c>
      <c r="H2128" s="2" t="n">
        <f aca="false">'Raw Data'!V2128</f>
        <v>4</v>
      </c>
      <c r="I2128" s="2" t="n">
        <f aca="false">IF(AND(ISNUMBER(B2128),B2128&lt;=25),2,0)+IF(AND(ISNUMBER(E2128),E2128&lt;=5),2,0)+IF(AND(ISNUMBER(F2128),F2128&lt;=1),2,0)+IF(AND(ISNUMBER(G2128),G2128&lt;=2),1,0)+IF(AND(ISNUMBER(H2128),H2128&lt;=2),1,0)</f>
        <v>3</v>
      </c>
      <c r="J2128" s="2" t="str">
        <f aca="false">IF(I2128&gt;=6,"High",IF(I2128&gt;=3,"Medium","Low"))</f>
        <v>Medium</v>
      </c>
    </row>
    <row r="2129" customFormat="false" ht="15" hidden="false" customHeight="true" outlineLevel="0" collapsed="false">
      <c r="A2129" s="2" t="n">
        <f aca="false">'Raw Data'!H2129</f>
        <v>2128</v>
      </c>
      <c r="B2129" s="2" t="n">
        <f aca="false">'Raw Data'!A2129</f>
        <v>21</v>
      </c>
      <c r="C2129" s="2" t="str">
        <f aca="false">'Raw Data'!D2129</f>
        <v>Research &amp; Development</v>
      </c>
      <c r="D2129" s="2" t="str">
        <f aca="false">'Raw Data'!K2129</f>
        <v>Research Scientist</v>
      </c>
      <c r="E2129" s="2" t="n">
        <f aca="false">'Raw Data'!Q2129</f>
        <v>2</v>
      </c>
      <c r="F2129" s="2" t="n">
        <f aca="false">'Raw Data'!U2129</f>
        <v>2</v>
      </c>
      <c r="G2129" s="2" t="n">
        <f aca="false">'Raw Data'!W2129</f>
        <v>3</v>
      </c>
      <c r="H2129" s="2" t="n">
        <f aca="false">'Raw Data'!V2129</f>
        <v>1</v>
      </c>
      <c r="I2129" s="2" t="n">
        <f aca="false">IF(AND(ISNUMBER(B2129),B2129&lt;=25),2,0)+IF(AND(ISNUMBER(E2129),E2129&lt;=5),2,0)+IF(AND(ISNUMBER(F2129),F2129&lt;=1),2,0)+IF(AND(ISNUMBER(G2129),G2129&lt;=2),1,0)+IF(AND(ISNUMBER(H2129),H2129&lt;=2),1,0)</f>
        <v>5</v>
      </c>
      <c r="J2129" s="2" t="str">
        <f aca="false">IF(I2129&gt;=6,"High",IF(I2129&gt;=3,"Medium","Low"))</f>
        <v>Medium</v>
      </c>
    </row>
    <row r="2130" customFormat="false" ht="15" hidden="false" customHeight="true" outlineLevel="0" collapsed="false">
      <c r="A2130" s="2" t="n">
        <f aca="false">'Raw Data'!H2130</f>
        <v>2129</v>
      </c>
      <c r="B2130" s="2" t="n">
        <f aca="false">'Raw Data'!A2130</f>
        <v>46</v>
      </c>
      <c r="C2130" s="2" t="str">
        <f aca="false">'Raw Data'!D2130</f>
        <v>Research &amp; Development</v>
      </c>
      <c r="D2130" s="2" t="str">
        <f aca="false">'Raw Data'!K2130</f>
        <v>Manufacturing Director</v>
      </c>
      <c r="E2130" s="2" t="n">
        <f aca="false">'Raw Data'!Q2130</f>
        <v>26</v>
      </c>
      <c r="F2130" s="2" t="n">
        <f aca="false">'Raw Data'!U2130</f>
        <v>8</v>
      </c>
      <c r="G2130" s="2" t="n">
        <f aca="false">'Raw Data'!W2130</f>
        <v>2</v>
      </c>
      <c r="H2130" s="2" t="n">
        <f aca="false">'Raw Data'!V2130</f>
        <v>4</v>
      </c>
      <c r="I2130" s="2" t="n">
        <f aca="false">IF(AND(ISNUMBER(B2130),B2130&lt;=25),2,0)+IF(AND(ISNUMBER(E2130),E2130&lt;=5),2,0)+IF(AND(ISNUMBER(F2130),F2130&lt;=1),2,0)+IF(AND(ISNUMBER(G2130),G2130&lt;=2),1,0)+IF(AND(ISNUMBER(H2130),H2130&lt;=2),1,0)</f>
        <v>1</v>
      </c>
      <c r="J2130" s="2" t="str">
        <f aca="false">IF(I2130&gt;=6,"High",IF(I2130&gt;=3,"Medium","Low"))</f>
        <v>Low</v>
      </c>
    </row>
    <row r="2131" customFormat="false" ht="15" hidden="false" customHeight="true" outlineLevel="0" collapsed="false">
      <c r="A2131" s="2" t="n">
        <f aca="false">'Raw Data'!H2131</f>
        <v>2130</v>
      </c>
      <c r="B2131" s="2" t="n">
        <f aca="false">'Raw Data'!A2131</f>
        <v>34</v>
      </c>
      <c r="C2131" s="2" t="str">
        <f aca="false">'Raw Data'!D2131</f>
        <v>Sales</v>
      </c>
      <c r="D2131" s="2" t="str">
        <f aca="false">'Raw Data'!K2131</f>
        <v>Sales Representative</v>
      </c>
      <c r="E2131" s="2" t="n">
        <f aca="false">'Raw Data'!Q2131</f>
        <v>4</v>
      </c>
      <c r="F2131" s="2" t="n">
        <f aca="false">'Raw Data'!U2131</f>
        <v>2</v>
      </c>
      <c r="G2131" s="2" t="n">
        <f aca="false">'Raw Data'!W2131</f>
        <v>1</v>
      </c>
      <c r="H2131" s="2" t="n">
        <f aca="false">'Raw Data'!V2131</f>
        <v>3</v>
      </c>
      <c r="I2131" s="2" t="n">
        <f aca="false">IF(AND(ISNUMBER(B2131),B2131&lt;=25),2,0)+IF(AND(ISNUMBER(E2131),E2131&lt;=5),2,0)+IF(AND(ISNUMBER(F2131),F2131&lt;=1),2,0)+IF(AND(ISNUMBER(G2131),G2131&lt;=2),1,0)+IF(AND(ISNUMBER(H2131),H2131&lt;=2),1,0)</f>
        <v>3</v>
      </c>
      <c r="J2131" s="2" t="str">
        <f aca="false">IF(I2131&gt;=6,"High",IF(I2131&gt;=3,"Medium","Low"))</f>
        <v>Medium</v>
      </c>
    </row>
    <row r="2132" customFormat="false" ht="15" hidden="false" customHeight="true" outlineLevel="0" collapsed="false">
      <c r="A2132" s="2" t="n">
        <f aca="false">'Raw Data'!H2132</f>
        <v>2131</v>
      </c>
      <c r="B2132" s="2" t="n">
        <f aca="false">'Raw Data'!A2132</f>
        <v>51</v>
      </c>
      <c r="C2132" s="2" t="str">
        <f aca="false">'Raw Data'!D2132</f>
        <v>Research &amp; Development</v>
      </c>
      <c r="D2132" s="2" t="str">
        <f aca="false">'Raw Data'!K2132</f>
        <v>Research Director</v>
      </c>
      <c r="E2132" s="2" t="n">
        <f aca="false">'Raw Data'!Q2132</f>
        <v>31</v>
      </c>
      <c r="F2132" s="2" t="n">
        <f aca="false">'Raw Data'!U2132</f>
        <v>10</v>
      </c>
      <c r="G2132" s="2" t="n">
        <f aca="false">'Raw Data'!W2132</f>
        <v>2</v>
      </c>
      <c r="H2132" s="2" t="n">
        <f aca="false">'Raw Data'!V2132</f>
        <v>4</v>
      </c>
      <c r="I2132" s="2" t="n">
        <f aca="false">IF(AND(ISNUMBER(B2132),B2132&lt;=25),2,0)+IF(AND(ISNUMBER(E2132),E2132&lt;=5),2,0)+IF(AND(ISNUMBER(F2132),F2132&lt;=1),2,0)+IF(AND(ISNUMBER(G2132),G2132&lt;=2),1,0)+IF(AND(ISNUMBER(H2132),H2132&lt;=2),1,0)</f>
        <v>1</v>
      </c>
      <c r="J2132" s="2" t="str">
        <f aca="false">IF(I2132&gt;=6,"High",IF(I2132&gt;=3,"Medium","Low"))</f>
        <v>Low</v>
      </c>
    </row>
    <row r="2133" customFormat="false" ht="15" hidden="false" customHeight="true" outlineLevel="0" collapsed="false">
      <c r="A2133" s="2" t="n">
        <f aca="false">'Raw Data'!H2133</f>
        <v>2132</v>
      </c>
      <c r="B2133" s="2" t="n">
        <f aca="false">'Raw Data'!A2133</f>
        <v>59</v>
      </c>
      <c r="C2133" s="2" t="str">
        <f aca="false">'Raw Data'!D2133</f>
        <v>Research &amp; Development</v>
      </c>
      <c r="D2133" s="2" t="str">
        <f aca="false">'Raw Data'!K2133</f>
        <v>Research Scientist</v>
      </c>
      <c r="E2133" s="2" t="n">
        <f aca="false">'Raw Data'!Q2133</f>
        <v>25</v>
      </c>
      <c r="F2133" s="2" t="n">
        <f aca="false">'Raw Data'!U2133</f>
        <v>4</v>
      </c>
      <c r="G2133" s="2" t="n">
        <f aca="false">'Raw Data'!W2133</f>
        <v>4</v>
      </c>
      <c r="H2133" s="2" t="n">
        <f aca="false">'Raw Data'!V2133</f>
        <v>4</v>
      </c>
      <c r="I2133" s="2" t="n">
        <f aca="false">IF(AND(ISNUMBER(B2133),B2133&lt;=25),2,0)+IF(AND(ISNUMBER(E2133),E2133&lt;=5),2,0)+IF(AND(ISNUMBER(F2133),F2133&lt;=1),2,0)+IF(AND(ISNUMBER(G2133),G2133&lt;=2),1,0)+IF(AND(ISNUMBER(H2133),H2133&lt;=2),1,0)</f>
        <v>0</v>
      </c>
      <c r="J2133" s="2" t="str">
        <f aca="false">IF(I2133&gt;=6,"High",IF(I2133&gt;=3,"Medium","Low"))</f>
        <v>Low</v>
      </c>
    </row>
    <row r="2134" customFormat="false" ht="15" hidden="false" customHeight="true" outlineLevel="0" collapsed="false">
      <c r="A2134" s="2" t="n">
        <f aca="false">'Raw Data'!H2134</f>
        <v>2133</v>
      </c>
      <c r="B2134" s="2" t="n">
        <f aca="false">'Raw Data'!A2134</f>
        <v>34</v>
      </c>
      <c r="C2134" s="2" t="str">
        <f aca="false">'Raw Data'!D2134</f>
        <v>Sales</v>
      </c>
      <c r="D2134" s="2" t="str">
        <f aca="false">'Raw Data'!K2134</f>
        <v>Research Scientist</v>
      </c>
      <c r="E2134" s="2" t="n">
        <f aca="false">'Raw Data'!Q2134</f>
        <v>15</v>
      </c>
      <c r="F2134" s="2" t="n">
        <f aca="false">'Raw Data'!U2134</f>
        <v>10</v>
      </c>
      <c r="G2134" s="2" t="n">
        <f aca="false">'Raw Data'!W2134</f>
        <v>2</v>
      </c>
      <c r="H2134" s="2" t="n">
        <f aca="false">'Raw Data'!V2134</f>
        <v>3</v>
      </c>
      <c r="I2134" s="2" t="n">
        <f aca="false">IF(AND(ISNUMBER(B2134),B2134&lt;=25),2,0)+IF(AND(ISNUMBER(E2134),E2134&lt;=5),2,0)+IF(AND(ISNUMBER(F2134),F2134&lt;=1),2,0)+IF(AND(ISNUMBER(G2134),G2134&lt;=2),1,0)+IF(AND(ISNUMBER(H2134),H2134&lt;=2),1,0)</f>
        <v>1</v>
      </c>
      <c r="J2134" s="2" t="str">
        <f aca="false">IF(I2134&gt;=6,"High",IF(I2134&gt;=3,"Medium","Low"))</f>
        <v>Low</v>
      </c>
    </row>
    <row r="2135" customFormat="false" ht="15" hidden="false" customHeight="true" outlineLevel="0" collapsed="false">
      <c r="A2135" s="2" t="n">
        <f aca="false">'Raw Data'!H2135</f>
        <v>2134</v>
      </c>
      <c r="B2135" s="2" t="n">
        <f aca="false">'Raw Data'!A2135</f>
        <v>28</v>
      </c>
      <c r="C2135" s="2" t="str">
        <f aca="false">'Raw Data'!D2135</f>
        <v>Research &amp; Development</v>
      </c>
      <c r="D2135" s="2" t="str">
        <f aca="false">'Raw Data'!K2135</f>
        <v>Manager</v>
      </c>
      <c r="E2135" s="2" t="n">
        <f aca="false">'Raw Data'!Q2135</f>
        <v>5</v>
      </c>
      <c r="F2135" s="2" t="n">
        <f aca="false">'Raw Data'!U2135</f>
        <v>2</v>
      </c>
      <c r="G2135" s="2" t="n">
        <f aca="false">'Raw Data'!W2135</f>
        <v>3</v>
      </c>
      <c r="H2135" s="2" t="n">
        <f aca="false">'Raw Data'!V2135</f>
        <v>4</v>
      </c>
      <c r="I2135" s="2" t="n">
        <f aca="false">IF(AND(ISNUMBER(B2135),B2135&lt;=25),2,0)+IF(AND(ISNUMBER(E2135),E2135&lt;=5),2,0)+IF(AND(ISNUMBER(F2135),F2135&lt;=1),2,0)+IF(AND(ISNUMBER(G2135),G2135&lt;=2),1,0)+IF(AND(ISNUMBER(H2135),H2135&lt;=2),1,0)</f>
        <v>2</v>
      </c>
      <c r="J2135" s="2" t="str">
        <f aca="false">IF(I2135&gt;=6,"High",IF(I2135&gt;=3,"Medium","Low"))</f>
        <v>Low</v>
      </c>
    </row>
    <row r="2136" customFormat="false" ht="15" hidden="false" customHeight="true" outlineLevel="0" collapsed="false">
      <c r="A2136" s="2" t="n">
        <f aca="false">'Raw Data'!H2136</f>
        <v>2135</v>
      </c>
      <c r="B2136" s="2" t="n">
        <f aca="false">'Raw Data'!A2136</f>
        <v>44</v>
      </c>
      <c r="C2136" s="2" t="str">
        <f aca="false">'Raw Data'!D2136</f>
        <v>Research &amp; Development</v>
      </c>
      <c r="D2136" s="2" t="str">
        <f aca="false">'Raw Data'!K2136</f>
        <v>Research Scientist</v>
      </c>
      <c r="E2136" s="2" t="n">
        <f aca="false">'Raw Data'!Q2136</f>
        <v>26</v>
      </c>
      <c r="F2136" s="2" t="n">
        <f aca="false">'Raw Data'!U2136</f>
        <v>13</v>
      </c>
      <c r="G2136" s="2" t="n">
        <f aca="false">'Raw Data'!W2136</f>
        <v>1</v>
      </c>
      <c r="H2136" s="2" t="n">
        <f aca="false">'Raw Data'!V2136</f>
        <v>3</v>
      </c>
      <c r="I2136" s="2" t="n">
        <f aca="false">IF(AND(ISNUMBER(B2136),B2136&lt;=25),2,0)+IF(AND(ISNUMBER(E2136),E2136&lt;=5),2,0)+IF(AND(ISNUMBER(F2136),F2136&lt;=1),2,0)+IF(AND(ISNUMBER(G2136),G2136&lt;=2),1,0)+IF(AND(ISNUMBER(H2136),H2136&lt;=2),1,0)</f>
        <v>1</v>
      </c>
      <c r="J2136" s="2" t="str">
        <f aca="false">IF(I2136&gt;=6,"High",IF(I2136&gt;=3,"Medium","Low"))</f>
        <v>Low</v>
      </c>
    </row>
    <row r="2137" customFormat="false" ht="15" hidden="false" customHeight="true" outlineLevel="0" collapsed="false">
      <c r="A2137" s="2" t="n">
        <f aca="false">'Raw Data'!H2137</f>
        <v>2136</v>
      </c>
      <c r="B2137" s="2" t="n">
        <f aca="false">'Raw Data'!A2137</f>
        <v>34</v>
      </c>
      <c r="C2137" s="2" t="str">
        <f aca="false">'Raw Data'!D2137</f>
        <v>Sales</v>
      </c>
      <c r="D2137" s="2" t="str">
        <f aca="false">'Raw Data'!K2137</f>
        <v>Sales Executive</v>
      </c>
      <c r="E2137" s="2" t="n">
        <f aca="false">'Raw Data'!Q2137</f>
        <v>14</v>
      </c>
      <c r="F2137" s="2" t="n">
        <f aca="false">'Raw Data'!U2137</f>
        <v>8</v>
      </c>
      <c r="G2137" s="2" t="n">
        <f aca="false">'Raw Data'!W2137</f>
        <v>2</v>
      </c>
      <c r="H2137" s="2" t="n">
        <f aca="false">'Raw Data'!V2137</f>
        <v>3</v>
      </c>
      <c r="I2137" s="2" t="n">
        <f aca="false">IF(AND(ISNUMBER(B2137),B2137&lt;=25),2,0)+IF(AND(ISNUMBER(E2137),E2137&lt;=5),2,0)+IF(AND(ISNUMBER(F2137),F2137&lt;=1),2,0)+IF(AND(ISNUMBER(G2137),G2137&lt;=2),1,0)+IF(AND(ISNUMBER(H2137),H2137&lt;=2),1,0)</f>
        <v>1</v>
      </c>
      <c r="J2137" s="2" t="str">
        <f aca="false">IF(I2137&gt;=6,"High",IF(I2137&gt;=3,"Medium","Low"))</f>
        <v>Low</v>
      </c>
    </row>
    <row r="2138" customFormat="false" ht="15" hidden="false" customHeight="true" outlineLevel="0" collapsed="false">
      <c r="A2138" s="2" t="n">
        <f aca="false">'Raw Data'!H2138</f>
        <v>2137</v>
      </c>
      <c r="B2138" s="2" t="n">
        <f aca="false">'Raw Data'!A2138</f>
        <v>35</v>
      </c>
      <c r="C2138" s="2" t="str">
        <f aca="false">'Raw Data'!D2138</f>
        <v>Research &amp; Development</v>
      </c>
      <c r="D2138" s="2" t="str">
        <f aca="false">'Raw Data'!K2138</f>
        <v>Healthcare Representative</v>
      </c>
      <c r="E2138" s="2" t="n">
        <f aca="false">'Raw Data'!Q2138</f>
        <v>4</v>
      </c>
      <c r="F2138" s="2" t="n">
        <f aca="false">'Raw Data'!U2138</f>
        <v>2</v>
      </c>
      <c r="G2138" s="2" t="n">
        <f aca="false">'Raw Data'!W2138</f>
        <v>3</v>
      </c>
      <c r="H2138" s="2" t="n">
        <f aca="false">'Raw Data'!V2138</f>
        <v>3</v>
      </c>
      <c r="I2138" s="2" t="n">
        <f aca="false">IF(AND(ISNUMBER(B2138),B2138&lt;=25),2,0)+IF(AND(ISNUMBER(E2138),E2138&lt;=5),2,0)+IF(AND(ISNUMBER(F2138),F2138&lt;=1),2,0)+IF(AND(ISNUMBER(G2138),G2138&lt;=2),1,0)+IF(AND(ISNUMBER(H2138),H2138&lt;=2),1,0)</f>
        <v>2</v>
      </c>
      <c r="J2138" s="2" t="str">
        <f aca="false">IF(I2138&gt;=6,"High",IF(I2138&gt;=3,"Medium","Low"))</f>
        <v>Low</v>
      </c>
    </row>
    <row r="2139" customFormat="false" ht="15" hidden="false" customHeight="true" outlineLevel="0" collapsed="false">
      <c r="A2139" s="2" t="n">
        <f aca="false">'Raw Data'!H2139</f>
        <v>2138</v>
      </c>
      <c r="B2139" s="2" t="n">
        <f aca="false">'Raw Data'!A2139</f>
        <v>42</v>
      </c>
      <c r="C2139" s="2" t="str">
        <f aca="false">'Raw Data'!D2139</f>
        <v>Research &amp; Development</v>
      </c>
      <c r="D2139" s="2" t="str">
        <f aca="false">'Raw Data'!K2139</f>
        <v>Manager</v>
      </c>
      <c r="E2139" s="2" t="n">
        <f aca="false">'Raw Data'!Q2139</f>
        <v>18</v>
      </c>
      <c r="F2139" s="2" t="n">
        <f aca="false">'Raw Data'!U2139</f>
        <v>0</v>
      </c>
      <c r="G2139" s="2" t="n">
        <f aca="false">'Raw Data'!W2139</f>
        <v>2</v>
      </c>
      <c r="H2139" s="2" t="n">
        <f aca="false">'Raw Data'!V2139</f>
        <v>2</v>
      </c>
      <c r="I2139" s="2" t="n">
        <f aca="false">IF(AND(ISNUMBER(B2139),B2139&lt;=25),2,0)+IF(AND(ISNUMBER(E2139),E2139&lt;=5),2,0)+IF(AND(ISNUMBER(F2139),F2139&lt;=1),2,0)+IF(AND(ISNUMBER(G2139),G2139&lt;=2),1,0)+IF(AND(ISNUMBER(H2139),H2139&lt;=2),1,0)</f>
        <v>4</v>
      </c>
      <c r="J2139" s="2" t="str">
        <f aca="false">IF(I2139&gt;=6,"High",IF(I2139&gt;=3,"Medium","Low"))</f>
        <v>Medium</v>
      </c>
    </row>
    <row r="2140" customFormat="false" ht="15" hidden="false" customHeight="true" outlineLevel="0" collapsed="false">
      <c r="A2140" s="2" t="n">
        <f aca="false">'Raw Data'!H2140</f>
        <v>2139</v>
      </c>
      <c r="B2140" s="2" t="n">
        <f aca="false">'Raw Data'!A2140</f>
        <v>43</v>
      </c>
      <c r="C2140" s="2" t="str">
        <f aca="false">'Raw Data'!D2140</f>
        <v>Research &amp; Development</v>
      </c>
      <c r="D2140" s="2" t="str">
        <f aca="false">'Raw Data'!K2140</f>
        <v>Laboratory Technician</v>
      </c>
      <c r="E2140" s="2" t="n">
        <f aca="false">'Raw Data'!Q2140</f>
        <v>23</v>
      </c>
      <c r="F2140" s="2" t="n">
        <f aca="false">'Raw Data'!U2140</f>
        <v>17</v>
      </c>
      <c r="G2140" s="2" t="n">
        <f aca="false">'Raw Data'!W2140</f>
        <v>4</v>
      </c>
      <c r="H2140" s="2" t="n">
        <f aca="false">'Raw Data'!V2140</f>
        <v>4</v>
      </c>
      <c r="I2140" s="2" t="n">
        <f aca="false">IF(AND(ISNUMBER(B2140),B2140&lt;=25),2,0)+IF(AND(ISNUMBER(E2140),E2140&lt;=5),2,0)+IF(AND(ISNUMBER(F2140),F2140&lt;=1),2,0)+IF(AND(ISNUMBER(G2140),G2140&lt;=2),1,0)+IF(AND(ISNUMBER(H2140),H2140&lt;=2),1,0)</f>
        <v>0</v>
      </c>
      <c r="J2140" s="2" t="str">
        <f aca="false">IF(I2140&gt;=6,"High",IF(I2140&gt;=3,"Medium","Low"))</f>
        <v>Low</v>
      </c>
    </row>
    <row r="2141" customFormat="false" ht="15" hidden="false" customHeight="true" outlineLevel="0" collapsed="false">
      <c r="A2141" s="2" t="n">
        <f aca="false">'Raw Data'!H2141</f>
        <v>2140</v>
      </c>
      <c r="B2141" s="2" t="n">
        <f aca="false">'Raw Data'!A2141</f>
        <v>36</v>
      </c>
      <c r="C2141" s="2" t="str">
        <f aca="false">'Raw Data'!D2141</f>
        <v>Research &amp; Development</v>
      </c>
      <c r="D2141" s="2" t="str">
        <f aca="false">'Raw Data'!K2141</f>
        <v>Healthcare Representative</v>
      </c>
      <c r="E2141" s="2" t="n">
        <f aca="false">'Raw Data'!Q2141</f>
        <v>18</v>
      </c>
      <c r="F2141" s="2" t="n">
        <f aca="false">'Raw Data'!U2141</f>
        <v>12</v>
      </c>
      <c r="G2141" s="2" t="n">
        <f aca="false">'Raw Data'!W2141</f>
        <v>2</v>
      </c>
      <c r="H2141" s="2" t="n">
        <f aca="false">'Raw Data'!V2141</f>
        <v>3</v>
      </c>
      <c r="I2141" s="2" t="n">
        <f aca="false">IF(AND(ISNUMBER(B2141),B2141&lt;=25),2,0)+IF(AND(ISNUMBER(E2141),E2141&lt;=5),2,0)+IF(AND(ISNUMBER(F2141),F2141&lt;=1),2,0)+IF(AND(ISNUMBER(G2141),G2141&lt;=2),1,0)+IF(AND(ISNUMBER(H2141),H2141&lt;=2),1,0)</f>
        <v>1</v>
      </c>
      <c r="J2141" s="2" t="str">
        <f aca="false">IF(I2141&gt;=6,"High",IF(I2141&gt;=3,"Medium","Low"))</f>
        <v>Low</v>
      </c>
    </row>
    <row r="2142" customFormat="false" ht="15" hidden="false" customHeight="true" outlineLevel="0" collapsed="false">
      <c r="A2142" s="2" t="n">
        <f aca="false">'Raw Data'!H2142</f>
        <v>2141</v>
      </c>
      <c r="B2142" s="2" t="n">
        <f aca="false">'Raw Data'!A2142</f>
        <v>44</v>
      </c>
      <c r="C2142" s="2" t="str">
        <f aca="false">'Raw Data'!D2142</f>
        <v>Research &amp; Development</v>
      </c>
      <c r="D2142" s="2" t="str">
        <f aca="false">'Raw Data'!K2142</f>
        <v>Laboratory Technician</v>
      </c>
      <c r="E2142" s="2" t="n">
        <f aca="false">'Raw Data'!Q2142</f>
        <v>10</v>
      </c>
      <c r="F2142" s="2" t="n">
        <f aca="false">'Raw Data'!U2142</f>
        <v>5</v>
      </c>
      <c r="G2142" s="2" t="n">
        <f aca="false">'Raw Data'!W2142</f>
        <v>4</v>
      </c>
      <c r="H2142" s="2" t="n">
        <f aca="false">'Raw Data'!V2142</f>
        <v>1</v>
      </c>
      <c r="I2142" s="2" t="n">
        <f aca="false">IF(AND(ISNUMBER(B2142),B2142&lt;=25),2,0)+IF(AND(ISNUMBER(E2142),E2142&lt;=5),2,0)+IF(AND(ISNUMBER(F2142),F2142&lt;=1),2,0)+IF(AND(ISNUMBER(G2142),G2142&lt;=2),1,0)+IF(AND(ISNUMBER(H2142),H2142&lt;=2),1,0)</f>
        <v>1</v>
      </c>
      <c r="J2142" s="2" t="str">
        <f aca="false">IF(I2142&gt;=6,"High",IF(I2142&gt;=3,"Medium","Low"))</f>
        <v>Low</v>
      </c>
    </row>
    <row r="2143" customFormat="false" ht="15" hidden="false" customHeight="true" outlineLevel="0" collapsed="false">
      <c r="A2143" s="2" t="n">
        <f aca="false">'Raw Data'!H2143</f>
        <v>2142</v>
      </c>
      <c r="B2143" s="2" t="n">
        <f aca="false">'Raw Data'!A2143</f>
        <v>28</v>
      </c>
      <c r="C2143" s="2" t="str">
        <f aca="false">'Raw Data'!D2143</f>
        <v>Research &amp; Development</v>
      </c>
      <c r="D2143" s="2" t="str">
        <f aca="false">'Raw Data'!K2143</f>
        <v>Sales Representative</v>
      </c>
      <c r="E2143" s="2" t="n">
        <f aca="false">'Raw Data'!Q2143</f>
        <v>2</v>
      </c>
      <c r="F2143" s="2" t="n">
        <f aca="false">'Raw Data'!U2143</f>
        <v>2</v>
      </c>
      <c r="G2143" s="2" t="n">
        <f aca="false">'Raw Data'!W2143</f>
        <v>4</v>
      </c>
      <c r="H2143" s="2" t="n">
        <f aca="false">'Raw Data'!V2143</f>
        <v>4</v>
      </c>
      <c r="I2143" s="2" t="n">
        <f aca="false">IF(AND(ISNUMBER(B2143),B2143&lt;=25),2,0)+IF(AND(ISNUMBER(E2143),E2143&lt;=5),2,0)+IF(AND(ISNUMBER(F2143),F2143&lt;=1),2,0)+IF(AND(ISNUMBER(G2143),G2143&lt;=2),1,0)+IF(AND(ISNUMBER(H2143),H2143&lt;=2),1,0)</f>
        <v>2</v>
      </c>
      <c r="J2143" s="2" t="str">
        <f aca="false">IF(I2143&gt;=6,"High",IF(I2143&gt;=3,"Medium","Low"))</f>
        <v>Low</v>
      </c>
    </row>
    <row r="2144" customFormat="false" ht="15" hidden="false" customHeight="true" outlineLevel="0" collapsed="false">
      <c r="A2144" s="2" t="n">
        <f aca="false">'Raw Data'!H2144</f>
        <v>2143</v>
      </c>
      <c r="B2144" s="2" t="n">
        <f aca="false">'Raw Data'!A2144</f>
        <v>51</v>
      </c>
      <c r="C2144" s="2" t="str">
        <f aca="false">'Raw Data'!D2144</f>
        <v>Sales</v>
      </c>
      <c r="D2144" s="2" t="str">
        <f aca="false">'Raw Data'!K2144</f>
        <v>Research Scientist</v>
      </c>
      <c r="E2144" s="2" t="n">
        <f aca="false">'Raw Data'!Q2144</f>
        <v>8</v>
      </c>
      <c r="F2144" s="2" t="n">
        <f aca="false">'Raw Data'!U2144</f>
        <v>7</v>
      </c>
      <c r="G2144" s="2" t="n">
        <f aca="false">'Raw Data'!W2144</f>
        <v>3</v>
      </c>
      <c r="H2144" s="2" t="n">
        <f aca="false">'Raw Data'!V2144</f>
        <v>2</v>
      </c>
      <c r="I2144" s="2" t="n">
        <f aca="false">IF(AND(ISNUMBER(B2144),B2144&lt;=25),2,0)+IF(AND(ISNUMBER(E2144),E2144&lt;=5),2,0)+IF(AND(ISNUMBER(F2144),F2144&lt;=1),2,0)+IF(AND(ISNUMBER(G2144),G2144&lt;=2),1,0)+IF(AND(ISNUMBER(H2144),H2144&lt;=2),1,0)</f>
        <v>1</v>
      </c>
      <c r="J2144" s="2" t="str">
        <f aca="false">IF(I2144&gt;=6,"High",IF(I2144&gt;=3,"Medium","Low"))</f>
        <v>Low</v>
      </c>
    </row>
    <row r="2145" customFormat="false" ht="15" hidden="false" customHeight="true" outlineLevel="0" collapsed="false">
      <c r="A2145" s="2" t="n">
        <f aca="false">'Raw Data'!H2145</f>
        <v>2144</v>
      </c>
      <c r="B2145" s="2" t="n">
        <f aca="false">'Raw Data'!A2145</f>
        <v>30</v>
      </c>
      <c r="C2145" s="2" t="str">
        <f aca="false">'Raw Data'!D2145</f>
        <v>Research &amp; Development</v>
      </c>
      <c r="D2145" s="2" t="str">
        <f aca="false">'Raw Data'!K2145</f>
        <v>Research Scientist</v>
      </c>
      <c r="E2145" s="2" t="n">
        <f aca="false">'Raw Data'!Q2145</f>
        <v>10</v>
      </c>
      <c r="F2145" s="2" t="n">
        <f aca="false">'Raw Data'!U2145</f>
        <v>7</v>
      </c>
      <c r="G2145" s="2" t="n">
        <f aca="false">'Raw Data'!W2145</f>
        <v>3</v>
      </c>
      <c r="H2145" s="2" t="n">
        <f aca="false">'Raw Data'!V2145</f>
        <v>3</v>
      </c>
      <c r="I2145" s="2" t="n">
        <f aca="false">IF(AND(ISNUMBER(B2145),B2145&lt;=25),2,0)+IF(AND(ISNUMBER(E2145),E2145&lt;=5),2,0)+IF(AND(ISNUMBER(F2145),F2145&lt;=1),2,0)+IF(AND(ISNUMBER(G2145),G2145&lt;=2),1,0)+IF(AND(ISNUMBER(H2145),H2145&lt;=2),1,0)</f>
        <v>0</v>
      </c>
      <c r="J2145" s="2" t="str">
        <f aca="false">IF(I2145&gt;=6,"High",IF(I2145&gt;=3,"Medium","Low"))</f>
        <v>Low</v>
      </c>
    </row>
    <row r="2146" customFormat="false" ht="15" hidden="false" customHeight="true" outlineLevel="0" collapsed="false">
      <c r="A2146" s="2" t="n">
        <f aca="false">'Raw Data'!H2146</f>
        <v>2145</v>
      </c>
      <c r="B2146" s="2" t="n">
        <f aca="false">'Raw Data'!A2146</f>
        <v>29</v>
      </c>
      <c r="C2146" s="2" t="str">
        <f aca="false">'Raw Data'!D2146</f>
        <v>Research &amp; Development</v>
      </c>
      <c r="D2146" s="2" t="str">
        <f aca="false">'Raw Data'!K2146</f>
        <v>Sales Representative</v>
      </c>
      <c r="E2146" s="2" t="n">
        <f aca="false">'Raw Data'!Q2146</f>
        <v>10</v>
      </c>
      <c r="F2146" s="2" t="n">
        <f aca="false">'Raw Data'!U2146</f>
        <v>7</v>
      </c>
      <c r="G2146" s="2" t="n">
        <f aca="false">'Raw Data'!W2146</f>
        <v>3</v>
      </c>
      <c r="H2146" s="2" t="n">
        <f aca="false">'Raw Data'!V2146</f>
        <v>2</v>
      </c>
      <c r="I2146" s="2" t="n">
        <f aca="false">IF(AND(ISNUMBER(B2146),B2146&lt;=25),2,0)+IF(AND(ISNUMBER(E2146),E2146&lt;=5),2,0)+IF(AND(ISNUMBER(F2146),F2146&lt;=1),2,0)+IF(AND(ISNUMBER(G2146),G2146&lt;=2),1,0)+IF(AND(ISNUMBER(H2146),H2146&lt;=2),1,0)</f>
        <v>1</v>
      </c>
      <c r="J2146" s="2" t="str">
        <f aca="false">IF(I2146&gt;=6,"High",IF(I2146&gt;=3,"Medium","Low"))</f>
        <v>Low</v>
      </c>
    </row>
    <row r="2147" customFormat="false" ht="15" hidden="false" customHeight="true" outlineLevel="0" collapsed="false">
      <c r="A2147" s="2" t="n">
        <f aca="false">'Raw Data'!H2147</f>
        <v>2146</v>
      </c>
      <c r="B2147" s="2" t="n">
        <f aca="false">'Raw Data'!A2147</f>
        <v>28</v>
      </c>
      <c r="C2147" s="2" t="str">
        <f aca="false">'Raw Data'!D2147</f>
        <v>Sales</v>
      </c>
      <c r="D2147" s="2" t="str">
        <f aca="false">'Raw Data'!K2147</f>
        <v>Sales Representative</v>
      </c>
      <c r="E2147" s="2" t="n">
        <f aca="false">'Raw Data'!Q2147</f>
        <v>5</v>
      </c>
      <c r="F2147" s="2" t="n">
        <f aca="false">'Raw Data'!U2147</f>
        <v>2</v>
      </c>
      <c r="G2147" s="2" t="n">
        <f aca="false">'Raw Data'!W2147</f>
        <v>1</v>
      </c>
      <c r="H2147" s="2" t="n">
        <f aca="false">'Raw Data'!V2147</f>
        <v>4</v>
      </c>
      <c r="I2147" s="2" t="n">
        <f aca="false">IF(AND(ISNUMBER(B2147),B2147&lt;=25),2,0)+IF(AND(ISNUMBER(E2147),E2147&lt;=5),2,0)+IF(AND(ISNUMBER(F2147),F2147&lt;=1),2,0)+IF(AND(ISNUMBER(G2147),G2147&lt;=2),1,0)+IF(AND(ISNUMBER(H2147),H2147&lt;=2),1,0)</f>
        <v>3</v>
      </c>
      <c r="J2147" s="2" t="str">
        <f aca="false">IF(I2147&gt;=6,"High",IF(I2147&gt;=3,"Medium","Low"))</f>
        <v>Medium</v>
      </c>
    </row>
    <row r="2148" customFormat="false" ht="15" hidden="false" customHeight="true" outlineLevel="0" collapsed="false">
      <c r="A2148" s="2" t="n">
        <f aca="false">'Raw Data'!H2148</f>
        <v>2147</v>
      </c>
      <c r="B2148" s="2" t="n">
        <f aca="false">'Raw Data'!A2148</f>
        <v>25</v>
      </c>
      <c r="C2148" s="2" t="str">
        <f aca="false">'Raw Data'!D2148</f>
        <v>Research &amp; Development</v>
      </c>
      <c r="D2148" s="2" t="str">
        <f aca="false">'Raw Data'!K2148</f>
        <v>Research Scientist</v>
      </c>
      <c r="E2148" s="2" t="n">
        <f aca="false">'Raw Data'!Q2148</f>
        <v>2</v>
      </c>
      <c r="F2148" s="2" t="n">
        <f aca="false">'Raw Data'!U2148</f>
        <v>1</v>
      </c>
      <c r="G2148" s="2" t="n">
        <f aca="false">'Raw Data'!W2148</f>
        <v>2</v>
      </c>
      <c r="H2148" s="2" t="n">
        <f aca="false">'Raw Data'!V2148</f>
        <v>4</v>
      </c>
      <c r="I2148" s="2" t="n">
        <f aca="false">IF(AND(ISNUMBER(B2148),B2148&lt;=25),2,0)+IF(AND(ISNUMBER(E2148),E2148&lt;=5),2,0)+IF(AND(ISNUMBER(F2148),F2148&lt;=1),2,0)+IF(AND(ISNUMBER(G2148),G2148&lt;=2),1,0)+IF(AND(ISNUMBER(H2148),H2148&lt;=2),1,0)</f>
        <v>7</v>
      </c>
      <c r="J2148" s="2" t="str">
        <f aca="false">IF(I2148&gt;=6,"High",IF(I2148&gt;=3,"Medium","Low"))</f>
        <v>High</v>
      </c>
    </row>
    <row r="2149" customFormat="false" ht="15" hidden="false" customHeight="true" outlineLevel="0" collapsed="false">
      <c r="A2149" s="2" t="n">
        <f aca="false">'Raw Data'!H2149</f>
        <v>2148</v>
      </c>
      <c r="B2149" s="2" t="n">
        <f aca="false">'Raw Data'!A2149</f>
        <v>32</v>
      </c>
      <c r="C2149" s="2" t="str">
        <f aca="false">'Raw Data'!D2149</f>
        <v>Research &amp; Development</v>
      </c>
      <c r="D2149" s="2" t="str">
        <f aca="false">'Raw Data'!K2149</f>
        <v>Sales Executive</v>
      </c>
      <c r="E2149" s="2" t="n">
        <f aca="false">'Raw Data'!Q2149</f>
        <v>10</v>
      </c>
      <c r="F2149" s="2" t="n">
        <f aca="false">'Raw Data'!U2149</f>
        <v>8</v>
      </c>
      <c r="G2149" s="2" t="n">
        <f aca="false">'Raw Data'!W2149</f>
        <v>4</v>
      </c>
      <c r="H2149" s="2" t="n">
        <f aca="false">'Raw Data'!V2149</f>
        <v>3</v>
      </c>
      <c r="I2149" s="2" t="n">
        <f aca="false">IF(AND(ISNUMBER(B2149),B2149&lt;=25),2,0)+IF(AND(ISNUMBER(E2149),E2149&lt;=5),2,0)+IF(AND(ISNUMBER(F2149),F2149&lt;=1),2,0)+IF(AND(ISNUMBER(G2149),G2149&lt;=2),1,0)+IF(AND(ISNUMBER(H2149),H2149&lt;=2),1,0)</f>
        <v>0</v>
      </c>
      <c r="J2149" s="2" t="str">
        <f aca="false">IF(I2149&gt;=6,"High",IF(I2149&gt;=3,"Medium","Low"))</f>
        <v>Low</v>
      </c>
    </row>
    <row r="2150" customFormat="false" ht="15" hidden="false" customHeight="true" outlineLevel="0" collapsed="false">
      <c r="A2150" s="2" t="n">
        <f aca="false">'Raw Data'!H2150</f>
        <v>2149</v>
      </c>
      <c r="B2150" s="2" t="n">
        <f aca="false">'Raw Data'!A2150</f>
        <v>45</v>
      </c>
      <c r="C2150" s="2" t="str">
        <f aca="false">'Raw Data'!D2150</f>
        <v>Research &amp; Development</v>
      </c>
      <c r="D2150" s="2" t="str">
        <f aca="false">'Raw Data'!K2150</f>
        <v>Laboratory Technician</v>
      </c>
      <c r="E2150" s="2" t="n">
        <f aca="false">'Raw Data'!Q2150</f>
        <v>22</v>
      </c>
      <c r="F2150" s="2" t="n">
        <f aca="false">'Raw Data'!U2150</f>
        <v>0</v>
      </c>
      <c r="G2150" s="2" t="n">
        <f aca="false">'Raw Data'!W2150</f>
        <v>2</v>
      </c>
      <c r="H2150" s="2" t="n">
        <f aca="false">'Raw Data'!V2150</f>
        <v>0</v>
      </c>
      <c r="I2150" s="2" t="n">
        <f aca="false">IF(AND(ISNUMBER(B2150),B2150&lt;=25),2,0)+IF(AND(ISNUMBER(E2150),E2150&lt;=5),2,0)+IF(AND(ISNUMBER(F2150),F2150&lt;=1),2,0)+IF(AND(ISNUMBER(G2150),G2150&lt;=2),1,0)+IF(AND(ISNUMBER(H2150),H2150&lt;=2),1,0)</f>
        <v>3</v>
      </c>
      <c r="J2150" s="2" t="str">
        <f aca="false">IF(I2150&gt;=6,"High",IF(I2150&gt;=3,"Medium","Low"))</f>
        <v>Medium</v>
      </c>
    </row>
    <row r="2151" customFormat="false" ht="15" hidden="false" customHeight="true" outlineLevel="0" collapsed="false">
      <c r="A2151" s="2" t="n">
        <f aca="false">'Raw Data'!H2151</f>
        <v>2150</v>
      </c>
      <c r="B2151" s="2" t="n">
        <f aca="false">'Raw Data'!A2151</f>
        <v>39</v>
      </c>
      <c r="C2151" s="2" t="str">
        <f aca="false">'Raw Data'!D2151</f>
        <v>Sales</v>
      </c>
      <c r="D2151" s="2" t="str">
        <f aca="false">'Raw Data'!K2151</f>
        <v>Laboratory Technician</v>
      </c>
      <c r="E2151" s="2" t="n">
        <f aca="false">'Raw Data'!Q2151</f>
        <v>21</v>
      </c>
      <c r="F2151" s="2" t="n">
        <f aca="false">'Raw Data'!U2151</f>
        <v>2</v>
      </c>
      <c r="G2151" s="2" t="n">
        <f aca="false">'Raw Data'!W2151</f>
        <v>2</v>
      </c>
      <c r="H2151" s="2" t="n">
        <f aca="false">'Raw Data'!V2151</f>
        <v>3</v>
      </c>
      <c r="I2151" s="2" t="n">
        <f aca="false">IF(AND(ISNUMBER(B2151),B2151&lt;=25),2,0)+IF(AND(ISNUMBER(E2151),E2151&lt;=5),2,0)+IF(AND(ISNUMBER(F2151),F2151&lt;=1),2,0)+IF(AND(ISNUMBER(G2151),G2151&lt;=2),1,0)+IF(AND(ISNUMBER(H2151),H2151&lt;=2),1,0)</f>
        <v>1</v>
      </c>
      <c r="J2151" s="2" t="str">
        <f aca="false">IF(I2151&gt;=6,"High",IF(I2151&gt;=3,"Medium","Low"))</f>
        <v>Low</v>
      </c>
    </row>
    <row r="2152" customFormat="false" ht="15" hidden="false" customHeight="true" outlineLevel="0" collapsed="false">
      <c r="A2152" s="2" t="n">
        <f aca="false">'Raw Data'!H2152</f>
        <v>2151</v>
      </c>
      <c r="B2152" s="2" t="n">
        <f aca="false">'Raw Data'!A2152</f>
        <v>58</v>
      </c>
      <c r="C2152" s="2" t="str">
        <f aca="false">'Raw Data'!D2152</f>
        <v>Research &amp; Development</v>
      </c>
      <c r="D2152" s="2" t="str">
        <f aca="false">'Raw Data'!K2152</f>
        <v>Laboratory Technician</v>
      </c>
      <c r="E2152" s="2" t="n">
        <f aca="false">'Raw Data'!Q2152</f>
        <v>2</v>
      </c>
      <c r="F2152" s="2" t="n">
        <f aca="false">'Raw Data'!U2152</f>
        <v>2</v>
      </c>
      <c r="G2152" s="2" t="n">
        <f aca="false">'Raw Data'!W2152</f>
        <v>3</v>
      </c>
      <c r="H2152" s="2" t="n">
        <f aca="false">'Raw Data'!V2152</f>
        <v>1</v>
      </c>
      <c r="I2152" s="2" t="n">
        <f aca="false">IF(AND(ISNUMBER(B2152),B2152&lt;=25),2,0)+IF(AND(ISNUMBER(E2152),E2152&lt;=5),2,0)+IF(AND(ISNUMBER(F2152),F2152&lt;=1),2,0)+IF(AND(ISNUMBER(G2152),G2152&lt;=2),1,0)+IF(AND(ISNUMBER(H2152),H2152&lt;=2),1,0)</f>
        <v>3</v>
      </c>
      <c r="J2152" s="2" t="str">
        <f aca="false">IF(I2152&gt;=6,"High",IF(I2152&gt;=3,"Medium","Low"))</f>
        <v>Medium</v>
      </c>
    </row>
    <row r="2153" customFormat="false" ht="15" hidden="false" customHeight="true" outlineLevel="0" collapsed="false">
      <c r="A2153" s="2" t="n">
        <f aca="false">'Raw Data'!H2153</f>
        <v>2152</v>
      </c>
      <c r="B2153" s="2" t="n">
        <f aca="false">'Raw Data'!A2153</f>
        <v>32</v>
      </c>
      <c r="C2153" s="2" t="str">
        <f aca="false">'Raw Data'!D2153</f>
        <v>Research &amp; Development</v>
      </c>
      <c r="D2153" s="2" t="str">
        <f aca="false">'Raw Data'!K2153</f>
        <v>Sales Executive</v>
      </c>
      <c r="E2153" s="2" t="n">
        <f aca="false">'Raw Data'!Q2153</f>
        <v>10</v>
      </c>
      <c r="F2153" s="2" t="n">
        <f aca="false">'Raw Data'!U2153</f>
        <v>1</v>
      </c>
      <c r="G2153" s="2" t="n">
        <f aca="false">'Raw Data'!W2153</f>
        <v>3</v>
      </c>
      <c r="H2153" s="2" t="n">
        <f aca="false">'Raw Data'!V2153</f>
        <v>4</v>
      </c>
      <c r="I2153" s="2" t="n">
        <f aca="false">IF(AND(ISNUMBER(B2153),B2153&lt;=25),2,0)+IF(AND(ISNUMBER(E2153),E2153&lt;=5),2,0)+IF(AND(ISNUMBER(F2153),F2153&lt;=1),2,0)+IF(AND(ISNUMBER(G2153),G2153&lt;=2),1,0)+IF(AND(ISNUMBER(H2153),H2153&lt;=2),1,0)</f>
        <v>2</v>
      </c>
      <c r="J2153" s="2" t="str">
        <f aca="false">IF(I2153&gt;=6,"High",IF(I2153&gt;=3,"Medium","Low"))</f>
        <v>Low</v>
      </c>
    </row>
    <row r="2154" customFormat="false" ht="15" hidden="false" customHeight="true" outlineLevel="0" collapsed="false">
      <c r="A2154" s="2" t="n">
        <f aca="false">'Raw Data'!H2154</f>
        <v>2153</v>
      </c>
      <c r="B2154" s="2" t="n">
        <f aca="false">'Raw Data'!A2154</f>
        <v>39</v>
      </c>
      <c r="C2154" s="2" t="str">
        <f aca="false">'Raw Data'!D2154</f>
        <v>Research &amp; Development</v>
      </c>
      <c r="D2154" s="2" t="str">
        <f aca="false">'Raw Data'!K2154</f>
        <v>Laboratory Technician</v>
      </c>
      <c r="E2154" s="2" t="n">
        <f aca="false">'Raw Data'!Q2154</f>
        <v>6</v>
      </c>
      <c r="F2154" s="2" t="n">
        <f aca="false">'Raw Data'!U2154</f>
        <v>3</v>
      </c>
      <c r="G2154" s="2" t="n">
        <f aca="false">'Raw Data'!W2154</f>
        <v>1</v>
      </c>
      <c r="H2154" s="2" t="n">
        <f aca="false">'Raw Data'!V2154</f>
        <v>3</v>
      </c>
      <c r="I2154" s="2" t="n">
        <f aca="false">IF(AND(ISNUMBER(B2154),B2154&lt;=25),2,0)+IF(AND(ISNUMBER(E2154),E2154&lt;=5),2,0)+IF(AND(ISNUMBER(F2154),F2154&lt;=1),2,0)+IF(AND(ISNUMBER(G2154),G2154&lt;=2),1,0)+IF(AND(ISNUMBER(H2154),H2154&lt;=2),1,0)</f>
        <v>1</v>
      </c>
      <c r="J2154" s="2" t="str">
        <f aca="false">IF(I2154&gt;=6,"High",IF(I2154&gt;=3,"Medium","Low"))</f>
        <v>Low</v>
      </c>
    </row>
    <row r="2155" customFormat="false" ht="15" hidden="false" customHeight="true" outlineLevel="0" collapsed="false">
      <c r="A2155" s="2" t="n">
        <f aca="false">'Raw Data'!H2155</f>
        <v>2154</v>
      </c>
      <c r="B2155" s="2" t="n">
        <f aca="false">'Raw Data'!A2155</f>
        <v>30</v>
      </c>
      <c r="C2155" s="2" t="str">
        <f aca="false">'Raw Data'!D2155</f>
        <v>Sales</v>
      </c>
      <c r="D2155" s="2" t="str">
        <f aca="false">'Raw Data'!K2155</f>
        <v>Research Director</v>
      </c>
      <c r="E2155" s="2" t="n">
        <f aca="false">'Raw Data'!Q2155</f>
        <v>10</v>
      </c>
      <c r="F2155" s="2" t="n">
        <f aca="false">'Raw Data'!U2155</f>
        <v>7</v>
      </c>
      <c r="G2155" s="2" t="n">
        <f aca="false">'Raw Data'!W2155</f>
        <v>4</v>
      </c>
      <c r="H2155" s="2" t="n">
        <f aca="false">'Raw Data'!V2155</f>
        <v>1</v>
      </c>
      <c r="I2155" s="2" t="n">
        <f aca="false">IF(AND(ISNUMBER(B2155),B2155&lt;=25),2,0)+IF(AND(ISNUMBER(E2155),E2155&lt;=5),2,0)+IF(AND(ISNUMBER(F2155),F2155&lt;=1),2,0)+IF(AND(ISNUMBER(G2155),G2155&lt;=2),1,0)+IF(AND(ISNUMBER(H2155),H2155&lt;=2),1,0)</f>
        <v>1</v>
      </c>
      <c r="J2155" s="2" t="str">
        <f aca="false">IF(I2155&gt;=6,"High",IF(I2155&gt;=3,"Medium","Low"))</f>
        <v>Low</v>
      </c>
    </row>
    <row r="2156" customFormat="false" ht="15" hidden="false" customHeight="true" outlineLevel="0" collapsed="false">
      <c r="A2156" s="2" t="n">
        <f aca="false">'Raw Data'!H2156</f>
        <v>2155</v>
      </c>
      <c r="B2156" s="2" t="n">
        <f aca="false">'Raw Data'!A2156</f>
        <v>36</v>
      </c>
      <c r="C2156" s="2" t="str">
        <f aca="false">'Raw Data'!D2156</f>
        <v>Sales</v>
      </c>
      <c r="D2156" s="2" t="str">
        <f aca="false">'Raw Data'!K2156</f>
        <v>Sales Executive</v>
      </c>
      <c r="E2156" s="2" t="n">
        <f aca="false">'Raw Data'!Q2156</f>
        <v>10</v>
      </c>
      <c r="F2156" s="2" t="n">
        <f aca="false">'Raw Data'!U2156</f>
        <v>7</v>
      </c>
      <c r="G2156" s="2" t="n">
        <f aca="false">'Raw Data'!W2156</f>
        <v>3</v>
      </c>
      <c r="H2156" s="2" t="n">
        <f aca="false">'Raw Data'!V2156</f>
        <v>4</v>
      </c>
      <c r="I2156" s="2" t="n">
        <f aca="false">IF(AND(ISNUMBER(B2156),B2156&lt;=25),2,0)+IF(AND(ISNUMBER(E2156),E2156&lt;=5),2,0)+IF(AND(ISNUMBER(F2156),F2156&lt;=1),2,0)+IF(AND(ISNUMBER(G2156),G2156&lt;=2),1,0)+IF(AND(ISNUMBER(H2156),H2156&lt;=2),1,0)</f>
        <v>0</v>
      </c>
      <c r="J2156" s="2" t="str">
        <f aca="false">IF(I2156&gt;=6,"High",IF(I2156&gt;=3,"Medium","Low"))</f>
        <v>Low</v>
      </c>
    </row>
    <row r="2157" customFormat="false" ht="15" hidden="false" customHeight="true" outlineLevel="0" collapsed="false">
      <c r="A2157" s="2" t="n">
        <f aca="false">'Raw Data'!H2157</f>
        <v>2156</v>
      </c>
      <c r="B2157" s="2" t="n">
        <f aca="false">'Raw Data'!A2157</f>
        <v>46</v>
      </c>
      <c r="C2157" s="2" t="str">
        <f aca="false">'Raw Data'!D2157</f>
        <v>Sales</v>
      </c>
      <c r="D2157" s="2" t="str">
        <f aca="false">'Raw Data'!K2157</f>
        <v>Research Scientist</v>
      </c>
      <c r="E2157" s="2" t="n">
        <f aca="false">'Raw Data'!Q2157</f>
        <v>10</v>
      </c>
      <c r="F2157" s="2" t="n">
        <f aca="false">'Raw Data'!U2157</f>
        <v>7</v>
      </c>
      <c r="G2157" s="2" t="n">
        <f aca="false">'Raw Data'!W2157</f>
        <v>1</v>
      </c>
      <c r="H2157" s="2" t="n">
        <f aca="false">'Raw Data'!V2157</f>
        <v>4</v>
      </c>
      <c r="I2157" s="2" t="n">
        <f aca="false">IF(AND(ISNUMBER(B2157),B2157&lt;=25),2,0)+IF(AND(ISNUMBER(E2157),E2157&lt;=5),2,0)+IF(AND(ISNUMBER(F2157),F2157&lt;=1),2,0)+IF(AND(ISNUMBER(G2157),G2157&lt;=2),1,0)+IF(AND(ISNUMBER(H2157),H2157&lt;=2),1,0)</f>
        <v>1</v>
      </c>
      <c r="J2157" s="2" t="str">
        <f aca="false">IF(I2157&gt;=6,"High",IF(I2157&gt;=3,"Medium","Low"))</f>
        <v>Low</v>
      </c>
    </row>
    <row r="2158" customFormat="false" ht="15" hidden="false" customHeight="true" outlineLevel="0" collapsed="false">
      <c r="A2158" s="2" t="n">
        <f aca="false">'Raw Data'!H2158</f>
        <v>2157</v>
      </c>
      <c r="B2158" s="2" t="n">
        <f aca="false">'Raw Data'!A2158</f>
        <v>28</v>
      </c>
      <c r="C2158" s="2" t="str">
        <f aca="false">'Raw Data'!D2158</f>
        <v>Research &amp; Development</v>
      </c>
      <c r="D2158" s="2" t="str">
        <f aca="false">'Raw Data'!K2158</f>
        <v>Sales Executive</v>
      </c>
      <c r="E2158" s="2" t="n">
        <f aca="false">'Raw Data'!Q2158</f>
        <v>10</v>
      </c>
      <c r="F2158" s="2" t="n">
        <f aca="false">'Raw Data'!U2158</f>
        <v>5</v>
      </c>
      <c r="G2158" s="2" t="n">
        <f aca="false">'Raw Data'!W2158</f>
        <v>4</v>
      </c>
      <c r="H2158" s="2" t="n">
        <f aca="false">'Raw Data'!V2158</f>
        <v>3</v>
      </c>
      <c r="I2158" s="2" t="n">
        <f aca="false">IF(AND(ISNUMBER(B2158),B2158&lt;=25),2,0)+IF(AND(ISNUMBER(E2158),E2158&lt;=5),2,0)+IF(AND(ISNUMBER(F2158),F2158&lt;=1),2,0)+IF(AND(ISNUMBER(G2158),G2158&lt;=2),1,0)+IF(AND(ISNUMBER(H2158),H2158&lt;=2),1,0)</f>
        <v>0</v>
      </c>
      <c r="J2158" s="2" t="str">
        <f aca="false">IF(I2158&gt;=6,"High",IF(I2158&gt;=3,"Medium","Low"))</f>
        <v>Low</v>
      </c>
    </row>
    <row r="2159" customFormat="false" ht="15" hidden="false" customHeight="true" outlineLevel="0" collapsed="false">
      <c r="A2159" s="2" t="n">
        <f aca="false">'Raw Data'!H2159</f>
        <v>2158</v>
      </c>
      <c r="B2159" s="2" t="n">
        <f aca="false">'Raw Data'!A2159</f>
        <v>50</v>
      </c>
      <c r="C2159" s="2" t="str">
        <f aca="false">'Raw Data'!D2159</f>
        <v>Research &amp; Development</v>
      </c>
      <c r="D2159" s="2" t="str">
        <f aca="false">'Raw Data'!K2159</f>
        <v>Laboratory Technician</v>
      </c>
      <c r="E2159" s="2" t="n">
        <f aca="false">'Raw Data'!Q2159</f>
        <v>25</v>
      </c>
      <c r="F2159" s="2" t="n">
        <f aca="false">'Raw Data'!U2159</f>
        <v>2</v>
      </c>
      <c r="G2159" s="2" t="n">
        <f aca="false">'Raw Data'!W2159</f>
        <v>1</v>
      </c>
      <c r="H2159" s="2" t="n">
        <f aca="false">'Raw Data'!V2159</f>
        <v>4</v>
      </c>
      <c r="I2159" s="2" t="n">
        <f aca="false">IF(AND(ISNUMBER(B2159),B2159&lt;=25),2,0)+IF(AND(ISNUMBER(E2159),E2159&lt;=5),2,0)+IF(AND(ISNUMBER(F2159),F2159&lt;=1),2,0)+IF(AND(ISNUMBER(G2159),G2159&lt;=2),1,0)+IF(AND(ISNUMBER(H2159),H2159&lt;=2),1,0)</f>
        <v>1</v>
      </c>
      <c r="J2159" s="2" t="str">
        <f aca="false">IF(I2159&gt;=6,"High",IF(I2159&gt;=3,"Medium","Low"))</f>
        <v>Low</v>
      </c>
    </row>
    <row r="2160" customFormat="false" ht="15" hidden="false" customHeight="true" outlineLevel="0" collapsed="false">
      <c r="A2160" s="2" t="n">
        <f aca="false">'Raw Data'!H2160</f>
        <v>2159</v>
      </c>
      <c r="B2160" s="2" t="n">
        <f aca="false">'Raw Data'!A2160</f>
        <v>40</v>
      </c>
      <c r="C2160" s="2" t="str">
        <f aca="false">'Raw Data'!D2160</f>
        <v>Sales</v>
      </c>
      <c r="D2160" s="2" t="str">
        <f aca="false">'Raw Data'!K2160</f>
        <v>Laboratory Technician</v>
      </c>
      <c r="E2160" s="2" t="n">
        <f aca="false">'Raw Data'!Q2160</f>
        <v>9</v>
      </c>
      <c r="F2160" s="2" t="n">
        <f aca="false">'Raw Data'!U2160</f>
        <v>0</v>
      </c>
      <c r="G2160" s="2" t="n">
        <f aca="false">'Raw Data'!W2160</f>
        <v>2</v>
      </c>
      <c r="H2160" s="2" t="n">
        <f aca="false">'Raw Data'!V2160</f>
        <v>4</v>
      </c>
      <c r="I2160" s="2" t="n">
        <f aca="false">IF(AND(ISNUMBER(B2160),B2160&lt;=25),2,0)+IF(AND(ISNUMBER(E2160),E2160&lt;=5),2,0)+IF(AND(ISNUMBER(F2160),F2160&lt;=1),2,0)+IF(AND(ISNUMBER(G2160),G2160&lt;=2),1,0)+IF(AND(ISNUMBER(H2160),H2160&lt;=2),1,0)</f>
        <v>3</v>
      </c>
      <c r="J2160" s="2" t="str">
        <f aca="false">IF(I2160&gt;=6,"High",IF(I2160&gt;=3,"Medium","Low"))</f>
        <v>Medium</v>
      </c>
    </row>
    <row r="2161" customFormat="false" ht="15" hidden="false" customHeight="true" outlineLevel="0" collapsed="false">
      <c r="A2161" s="2" t="n">
        <f aca="false">'Raw Data'!H2161</f>
        <v>2160</v>
      </c>
      <c r="B2161" s="2" t="n">
        <f aca="false">'Raw Data'!A2161</f>
        <v>52</v>
      </c>
      <c r="C2161" s="2" t="str">
        <f aca="false">'Raw Data'!D2161</f>
        <v>Research &amp; Development</v>
      </c>
      <c r="D2161" s="2" t="str">
        <f aca="false">'Raw Data'!K2161</f>
        <v>Laboratory Technician</v>
      </c>
      <c r="E2161" s="2" t="n">
        <f aca="false">'Raw Data'!Q2161</f>
        <v>10</v>
      </c>
      <c r="F2161" s="2" t="n">
        <f aca="false">'Raw Data'!U2161</f>
        <v>7</v>
      </c>
      <c r="G2161" s="2" t="n">
        <f aca="false">'Raw Data'!W2161</f>
        <v>2</v>
      </c>
      <c r="H2161" s="2" t="n">
        <f aca="false">'Raw Data'!V2161</f>
        <v>2</v>
      </c>
      <c r="I2161" s="2" t="n">
        <f aca="false">IF(AND(ISNUMBER(B2161),B2161&lt;=25),2,0)+IF(AND(ISNUMBER(E2161),E2161&lt;=5),2,0)+IF(AND(ISNUMBER(F2161),F2161&lt;=1),2,0)+IF(AND(ISNUMBER(G2161),G2161&lt;=2),1,0)+IF(AND(ISNUMBER(H2161),H2161&lt;=2),1,0)</f>
        <v>2</v>
      </c>
      <c r="J2161" s="2" t="str">
        <f aca="false">IF(I2161&gt;=6,"High",IF(I2161&gt;=3,"Medium","Low"))</f>
        <v>Low</v>
      </c>
    </row>
    <row r="2162" customFormat="false" ht="15" hidden="false" customHeight="true" outlineLevel="0" collapsed="false">
      <c r="A2162" s="2" t="n">
        <f aca="false">'Raw Data'!H2162</f>
        <v>2161</v>
      </c>
      <c r="B2162" s="2" t="n">
        <f aca="false">'Raw Data'!A2162</f>
        <v>30</v>
      </c>
      <c r="C2162" s="2" t="str">
        <f aca="false">'Raw Data'!D2162</f>
        <v>Research &amp; Development</v>
      </c>
      <c r="D2162" s="2" t="str">
        <f aca="false">'Raw Data'!K2162</f>
        <v>Sales Executive</v>
      </c>
      <c r="E2162" s="2" t="n">
        <f aca="false">'Raw Data'!Q2162</f>
        <v>9</v>
      </c>
      <c r="F2162" s="2" t="n">
        <f aca="false">'Raw Data'!U2162</f>
        <v>8</v>
      </c>
      <c r="G2162" s="2" t="n">
        <f aca="false">'Raw Data'!W2162</f>
        <v>1</v>
      </c>
      <c r="H2162" s="2" t="n">
        <f aca="false">'Raw Data'!V2162</f>
        <v>2</v>
      </c>
      <c r="I2162" s="2" t="n">
        <f aca="false">IF(AND(ISNUMBER(B2162),B2162&lt;=25),2,0)+IF(AND(ISNUMBER(E2162),E2162&lt;=5),2,0)+IF(AND(ISNUMBER(F2162),F2162&lt;=1),2,0)+IF(AND(ISNUMBER(G2162),G2162&lt;=2),1,0)+IF(AND(ISNUMBER(H2162),H2162&lt;=2),1,0)</f>
        <v>2</v>
      </c>
      <c r="J2162" s="2" t="str">
        <f aca="false">IF(I2162&gt;=6,"High",IF(I2162&gt;=3,"Medium","Low"))</f>
        <v>Low</v>
      </c>
    </row>
    <row r="2163" customFormat="false" ht="15" hidden="false" customHeight="true" outlineLevel="0" collapsed="false">
      <c r="A2163" s="2" t="n">
        <f aca="false">'Raw Data'!H2163</f>
        <v>2162</v>
      </c>
      <c r="B2163" s="2" t="n">
        <f aca="false">'Raw Data'!A2163</f>
        <v>39</v>
      </c>
      <c r="C2163" s="2" t="str">
        <f aca="false">'Raw Data'!D2163</f>
        <v>Research &amp; Development</v>
      </c>
      <c r="D2163" s="2" t="str">
        <f aca="false">'Raw Data'!K2163</f>
        <v>Healthcare Representative</v>
      </c>
      <c r="E2163" s="2" t="n">
        <f aca="false">'Raw Data'!Q2163</f>
        <v>9</v>
      </c>
      <c r="F2163" s="2" t="n">
        <f aca="false">'Raw Data'!U2163</f>
        <v>7</v>
      </c>
      <c r="G2163" s="2" t="n">
        <f aca="false">'Raw Data'!W2163</f>
        <v>3</v>
      </c>
      <c r="H2163" s="2" t="n">
        <f aca="false">'Raw Data'!V2163</f>
        <v>1</v>
      </c>
      <c r="I2163" s="2" t="n">
        <f aca="false">IF(AND(ISNUMBER(B2163),B2163&lt;=25),2,0)+IF(AND(ISNUMBER(E2163),E2163&lt;=5),2,0)+IF(AND(ISNUMBER(F2163),F2163&lt;=1),2,0)+IF(AND(ISNUMBER(G2163),G2163&lt;=2),1,0)+IF(AND(ISNUMBER(H2163),H2163&lt;=2),1,0)</f>
        <v>1</v>
      </c>
      <c r="J2163" s="2" t="str">
        <f aca="false">IF(I2163&gt;=6,"High",IF(I2163&gt;=3,"Medium","Low"))</f>
        <v>Low</v>
      </c>
    </row>
    <row r="2164" customFormat="false" ht="15" hidden="false" customHeight="true" outlineLevel="0" collapsed="false">
      <c r="A2164" s="2" t="n">
        <f aca="false">'Raw Data'!H2164</f>
        <v>2163</v>
      </c>
      <c r="B2164" s="2" t="n">
        <f aca="false">'Raw Data'!A2164</f>
        <v>31</v>
      </c>
      <c r="C2164" s="2" t="str">
        <f aca="false">'Raw Data'!D2164</f>
        <v>Research &amp; Development</v>
      </c>
      <c r="D2164" s="2" t="str">
        <f aca="false">'Raw Data'!K2164</f>
        <v>Sales Executive</v>
      </c>
      <c r="E2164" s="2" t="n">
        <f aca="false">'Raw Data'!Q2164</f>
        <v>10</v>
      </c>
      <c r="F2164" s="2" t="n">
        <f aca="false">'Raw Data'!U2164</f>
        <v>6</v>
      </c>
      <c r="G2164" s="2" t="n">
        <f aca="false">'Raw Data'!W2164</f>
        <v>3</v>
      </c>
      <c r="H2164" s="2" t="n">
        <f aca="false">'Raw Data'!V2164</f>
        <v>4</v>
      </c>
      <c r="I2164" s="2" t="n">
        <f aca="false">IF(AND(ISNUMBER(B2164),B2164&lt;=25),2,0)+IF(AND(ISNUMBER(E2164),E2164&lt;=5),2,0)+IF(AND(ISNUMBER(F2164),F2164&lt;=1),2,0)+IF(AND(ISNUMBER(G2164),G2164&lt;=2),1,0)+IF(AND(ISNUMBER(H2164),H2164&lt;=2),1,0)</f>
        <v>0</v>
      </c>
      <c r="J2164" s="2" t="str">
        <f aca="false">IF(I2164&gt;=6,"High",IF(I2164&gt;=3,"Medium","Low"))</f>
        <v>Low</v>
      </c>
    </row>
    <row r="2165" customFormat="false" ht="15" hidden="false" customHeight="true" outlineLevel="0" collapsed="false">
      <c r="A2165" s="2" t="n">
        <f aca="false">'Raw Data'!H2165</f>
        <v>2164</v>
      </c>
      <c r="B2165" s="2" t="n">
        <f aca="false">'Raw Data'!A2165</f>
        <v>41</v>
      </c>
      <c r="C2165" s="2" t="str">
        <f aca="false">'Raw Data'!D2165</f>
        <v>Sales</v>
      </c>
      <c r="D2165" s="2" t="str">
        <f aca="false">'Raw Data'!K2165</f>
        <v>Research Director</v>
      </c>
      <c r="E2165" s="2" t="n">
        <f aca="false">'Raw Data'!Q2165</f>
        <v>19</v>
      </c>
      <c r="F2165" s="2" t="n">
        <f aca="false">'Raw Data'!U2165</f>
        <v>9</v>
      </c>
      <c r="G2165" s="2" t="n">
        <f aca="false">'Raw Data'!W2165</f>
        <v>2</v>
      </c>
      <c r="H2165" s="2" t="n">
        <f aca="false">'Raw Data'!V2165</f>
        <v>3</v>
      </c>
      <c r="I2165" s="2" t="n">
        <f aca="false">IF(AND(ISNUMBER(B2165),B2165&lt;=25),2,0)+IF(AND(ISNUMBER(E2165),E2165&lt;=5),2,0)+IF(AND(ISNUMBER(F2165),F2165&lt;=1),2,0)+IF(AND(ISNUMBER(G2165),G2165&lt;=2),1,0)+IF(AND(ISNUMBER(H2165),H2165&lt;=2),1,0)</f>
        <v>1</v>
      </c>
      <c r="J2165" s="2" t="str">
        <f aca="false">IF(I2165&gt;=6,"High",IF(I2165&gt;=3,"Medium","Low"))</f>
        <v>Low</v>
      </c>
    </row>
    <row r="2166" customFormat="false" ht="15" hidden="false" customHeight="true" outlineLevel="0" collapsed="false">
      <c r="A2166" s="2" t="n">
        <f aca="false">'Raw Data'!H2166</f>
        <v>2165</v>
      </c>
      <c r="B2166" s="2" t="n">
        <f aca="false">'Raw Data'!A2166</f>
        <v>31</v>
      </c>
      <c r="C2166" s="2" t="str">
        <f aca="false">'Raw Data'!D2166</f>
        <v>Research &amp; Development</v>
      </c>
      <c r="D2166" s="2" t="str">
        <f aca="false">'Raw Data'!K2166</f>
        <v>Sales Executive</v>
      </c>
      <c r="E2166" s="2" t="n">
        <f aca="false">'Raw Data'!Q2166</f>
        <v>3</v>
      </c>
      <c r="F2166" s="2" t="n">
        <f aca="false">'Raw Data'!U2166</f>
        <v>2</v>
      </c>
      <c r="G2166" s="2" t="n">
        <f aca="false">'Raw Data'!W2166</f>
        <v>2</v>
      </c>
      <c r="H2166" s="2" t="n">
        <f aca="false">'Raw Data'!V2166</f>
        <v>4</v>
      </c>
      <c r="I2166" s="2" t="n">
        <f aca="false">IF(AND(ISNUMBER(B2166),B2166&lt;=25),2,0)+IF(AND(ISNUMBER(E2166),E2166&lt;=5),2,0)+IF(AND(ISNUMBER(F2166),F2166&lt;=1),2,0)+IF(AND(ISNUMBER(G2166),G2166&lt;=2),1,0)+IF(AND(ISNUMBER(H2166),H2166&lt;=2),1,0)</f>
        <v>3</v>
      </c>
      <c r="J2166" s="2" t="str">
        <f aca="false">IF(I2166&gt;=6,"High",IF(I2166&gt;=3,"Medium","Low"))</f>
        <v>Medium</v>
      </c>
    </row>
    <row r="2167" customFormat="false" ht="15" hidden="false" customHeight="true" outlineLevel="0" collapsed="false">
      <c r="A2167" s="2" t="n">
        <f aca="false">'Raw Data'!H2167</f>
        <v>2166</v>
      </c>
      <c r="B2167" s="2" t="n">
        <f aca="false">'Raw Data'!A2167</f>
        <v>44</v>
      </c>
      <c r="C2167" s="2" t="str">
        <f aca="false">'Raw Data'!D2167</f>
        <v>Sales</v>
      </c>
      <c r="D2167" s="2" t="str">
        <f aca="false">'Raw Data'!K2167</f>
        <v>Laboratory Technician</v>
      </c>
      <c r="E2167" s="2" t="n">
        <f aca="false">'Raw Data'!Q2167</f>
        <v>10</v>
      </c>
      <c r="F2167" s="2" t="n">
        <f aca="false">'Raw Data'!U2167</f>
        <v>2</v>
      </c>
      <c r="G2167" s="2" t="n">
        <f aca="false">'Raw Data'!W2167</f>
        <v>1</v>
      </c>
      <c r="H2167" s="2" t="n">
        <f aca="false">'Raw Data'!V2167</f>
        <v>1</v>
      </c>
      <c r="I2167" s="2" t="n">
        <f aca="false">IF(AND(ISNUMBER(B2167),B2167&lt;=25),2,0)+IF(AND(ISNUMBER(E2167),E2167&lt;=5),2,0)+IF(AND(ISNUMBER(F2167),F2167&lt;=1),2,0)+IF(AND(ISNUMBER(G2167),G2167&lt;=2),1,0)+IF(AND(ISNUMBER(H2167),H2167&lt;=2),1,0)</f>
        <v>2</v>
      </c>
      <c r="J2167" s="2" t="str">
        <f aca="false">IF(I2167&gt;=6,"High",IF(I2167&gt;=3,"Medium","Low"))</f>
        <v>Low</v>
      </c>
    </row>
    <row r="2168" customFormat="false" ht="15" hidden="false" customHeight="true" outlineLevel="0" collapsed="false">
      <c r="A2168" s="2" t="n">
        <f aca="false">'Raw Data'!H2168</f>
        <v>2167</v>
      </c>
      <c r="B2168" s="2" t="n">
        <f aca="false">'Raw Data'!A2168</f>
        <v>42</v>
      </c>
      <c r="C2168" s="2" t="str">
        <f aca="false">'Raw Data'!D2168</f>
        <v>Research &amp; Development</v>
      </c>
      <c r="D2168" s="2" t="str">
        <f aca="false">'Raw Data'!K2168</f>
        <v>Laboratory Technician</v>
      </c>
      <c r="E2168" s="2" t="n">
        <f aca="false">'Raw Data'!Q2168</f>
        <v>21</v>
      </c>
      <c r="F2168" s="2" t="n">
        <f aca="false">'Raw Data'!U2168</f>
        <v>10</v>
      </c>
      <c r="G2168" s="2" t="n">
        <f aca="false">'Raw Data'!W2168</f>
        <v>3</v>
      </c>
      <c r="H2168" s="2" t="n">
        <f aca="false">'Raw Data'!V2168</f>
        <v>3</v>
      </c>
      <c r="I2168" s="2" t="n">
        <f aca="false">IF(AND(ISNUMBER(B2168),B2168&lt;=25),2,0)+IF(AND(ISNUMBER(E2168),E2168&lt;=5),2,0)+IF(AND(ISNUMBER(F2168),F2168&lt;=1),2,0)+IF(AND(ISNUMBER(G2168),G2168&lt;=2),1,0)+IF(AND(ISNUMBER(H2168),H2168&lt;=2),1,0)</f>
        <v>0</v>
      </c>
      <c r="J2168" s="2" t="str">
        <f aca="false">IF(I2168&gt;=6,"High",IF(I2168&gt;=3,"Medium","Low"))</f>
        <v>Low</v>
      </c>
    </row>
    <row r="2169" customFormat="false" ht="15" hidden="false" customHeight="true" outlineLevel="0" collapsed="false">
      <c r="A2169" s="2" t="n">
        <f aca="false">'Raw Data'!H2169</f>
        <v>2168</v>
      </c>
      <c r="B2169" s="2" t="n">
        <f aca="false">'Raw Data'!A2169</f>
        <v>55</v>
      </c>
      <c r="C2169" s="2" t="str">
        <f aca="false">'Raw Data'!D2169</f>
        <v>Sales</v>
      </c>
      <c r="D2169" s="2" t="str">
        <f aca="false">'Raw Data'!K2169</f>
        <v>Manufacturing Director</v>
      </c>
      <c r="E2169" s="2" t="n">
        <f aca="false">'Raw Data'!Q2169</f>
        <v>23</v>
      </c>
      <c r="F2169" s="2" t="n">
        <f aca="false">'Raw Data'!U2169</f>
        <v>11</v>
      </c>
      <c r="G2169" s="2" t="n">
        <f aca="false">'Raw Data'!W2169</f>
        <v>3</v>
      </c>
      <c r="H2169" s="2" t="n">
        <f aca="false">'Raw Data'!V2169</f>
        <v>4</v>
      </c>
      <c r="I2169" s="2" t="n">
        <f aca="false">IF(AND(ISNUMBER(B2169),B2169&lt;=25),2,0)+IF(AND(ISNUMBER(E2169),E2169&lt;=5),2,0)+IF(AND(ISNUMBER(F2169),F2169&lt;=1),2,0)+IF(AND(ISNUMBER(G2169),G2169&lt;=2),1,0)+IF(AND(ISNUMBER(H2169),H2169&lt;=2),1,0)</f>
        <v>0</v>
      </c>
      <c r="J2169" s="2" t="str">
        <f aca="false">IF(I2169&gt;=6,"High",IF(I2169&gt;=3,"Medium","Low"))</f>
        <v>Low</v>
      </c>
    </row>
    <row r="2170" customFormat="false" ht="15" hidden="false" customHeight="true" outlineLevel="0" collapsed="false">
      <c r="A2170" s="2" t="n">
        <f aca="false">'Raw Data'!H2170</f>
        <v>2169</v>
      </c>
      <c r="B2170" s="2" t="n">
        <f aca="false">'Raw Data'!A2170</f>
        <v>56</v>
      </c>
      <c r="C2170" s="2" t="str">
        <f aca="false">'Raw Data'!D2170</f>
        <v>Sales</v>
      </c>
      <c r="D2170" s="2" t="str">
        <f aca="false">'Raw Data'!K2170</f>
        <v>Manufacturing Director</v>
      </c>
      <c r="E2170" s="2" t="n">
        <f aca="false">'Raw Data'!Q2170</f>
        <v>36</v>
      </c>
      <c r="F2170" s="2" t="n">
        <f aca="false">'Raw Data'!U2170</f>
        <v>7</v>
      </c>
      <c r="G2170" s="2" t="n">
        <f aca="false">'Raw Data'!W2170</f>
        <v>2</v>
      </c>
      <c r="H2170" s="2" t="n">
        <f aca="false">'Raw Data'!V2170</f>
        <v>4</v>
      </c>
      <c r="I2170" s="2" t="n">
        <f aca="false">IF(AND(ISNUMBER(B2170),B2170&lt;=25),2,0)+IF(AND(ISNUMBER(E2170),E2170&lt;=5),2,0)+IF(AND(ISNUMBER(F2170),F2170&lt;=1),2,0)+IF(AND(ISNUMBER(G2170),G2170&lt;=2),1,0)+IF(AND(ISNUMBER(H2170),H2170&lt;=2),1,0)</f>
        <v>1</v>
      </c>
      <c r="J2170" s="2" t="str">
        <f aca="false">IF(I2170&gt;=6,"High",IF(I2170&gt;=3,"Medium","Low"))</f>
        <v>Low</v>
      </c>
    </row>
    <row r="2171" customFormat="false" ht="15" hidden="false" customHeight="true" outlineLevel="0" collapsed="false">
      <c r="A2171" s="2" t="n">
        <f aca="false">'Raw Data'!H2171</f>
        <v>2170</v>
      </c>
      <c r="B2171" s="2" t="n">
        <f aca="false">'Raw Data'!A2171</f>
        <v>40</v>
      </c>
      <c r="C2171" s="2" t="str">
        <f aca="false">'Raw Data'!D2171</f>
        <v>Research &amp; Development</v>
      </c>
      <c r="D2171" s="2" t="str">
        <f aca="false">'Raw Data'!K2171</f>
        <v>Laboratory Technician</v>
      </c>
      <c r="E2171" s="2" t="n">
        <f aca="false">'Raw Data'!Q2171</f>
        <v>6</v>
      </c>
      <c r="F2171" s="2" t="n">
        <f aca="false">'Raw Data'!U2171</f>
        <v>0</v>
      </c>
      <c r="G2171" s="2" t="n">
        <f aca="false">'Raw Data'!W2171</f>
        <v>3</v>
      </c>
      <c r="H2171" s="2" t="n">
        <f aca="false">'Raw Data'!V2171</f>
        <v>3</v>
      </c>
      <c r="I2171" s="2" t="n">
        <f aca="false">IF(AND(ISNUMBER(B2171),B2171&lt;=25),2,0)+IF(AND(ISNUMBER(E2171),E2171&lt;=5),2,0)+IF(AND(ISNUMBER(F2171),F2171&lt;=1),2,0)+IF(AND(ISNUMBER(G2171),G2171&lt;=2),1,0)+IF(AND(ISNUMBER(H2171),H2171&lt;=2),1,0)</f>
        <v>2</v>
      </c>
      <c r="J2171" s="2" t="str">
        <f aca="false">IF(I2171&gt;=6,"High",IF(I2171&gt;=3,"Medium","Low"))</f>
        <v>Low</v>
      </c>
    </row>
    <row r="2172" customFormat="false" ht="15" hidden="false" customHeight="true" outlineLevel="0" collapsed="false">
      <c r="A2172" s="2" t="n">
        <f aca="false">'Raw Data'!H2172</f>
        <v>2171</v>
      </c>
      <c r="B2172" s="2" t="n">
        <f aca="false">'Raw Data'!A2172</f>
        <v>34</v>
      </c>
      <c r="C2172" s="2" t="str">
        <f aca="false">'Raw Data'!D2172</f>
        <v>Research &amp; Development</v>
      </c>
      <c r="D2172" s="2" t="str">
        <f aca="false">'Raw Data'!K2172</f>
        <v>Research Director</v>
      </c>
      <c r="E2172" s="2" t="n">
        <f aca="false">'Raw Data'!Q2172</f>
        <v>10</v>
      </c>
      <c r="F2172" s="2" t="n">
        <f aca="false">'Raw Data'!U2172</f>
        <v>6</v>
      </c>
      <c r="G2172" s="2" t="n">
        <f aca="false">'Raw Data'!W2172</f>
        <v>4</v>
      </c>
      <c r="H2172" s="2" t="n">
        <f aca="false">'Raw Data'!V2172</f>
        <v>4</v>
      </c>
      <c r="I2172" s="2" t="n">
        <f aca="false">IF(AND(ISNUMBER(B2172),B2172&lt;=25),2,0)+IF(AND(ISNUMBER(E2172),E2172&lt;=5),2,0)+IF(AND(ISNUMBER(F2172),F2172&lt;=1),2,0)+IF(AND(ISNUMBER(G2172),G2172&lt;=2),1,0)+IF(AND(ISNUMBER(H2172),H2172&lt;=2),1,0)</f>
        <v>0</v>
      </c>
      <c r="J2172" s="2" t="str">
        <f aca="false">IF(I2172&gt;=6,"High",IF(I2172&gt;=3,"Medium","Low"))</f>
        <v>Low</v>
      </c>
    </row>
    <row r="2173" customFormat="false" ht="15" hidden="false" customHeight="true" outlineLevel="0" collapsed="false">
      <c r="A2173" s="2" t="n">
        <f aca="false">'Raw Data'!H2173</f>
        <v>2172</v>
      </c>
      <c r="B2173" s="2" t="n">
        <f aca="false">'Raw Data'!A2173</f>
        <v>40</v>
      </c>
      <c r="C2173" s="2" t="str">
        <f aca="false">'Raw Data'!D2173</f>
        <v>Sales</v>
      </c>
      <c r="D2173" s="2" t="str">
        <f aca="false">'Raw Data'!K2173</f>
        <v>Sales Executive</v>
      </c>
      <c r="E2173" s="2" t="n">
        <f aca="false">'Raw Data'!Q2173</f>
        <v>9</v>
      </c>
      <c r="F2173" s="2" t="n">
        <f aca="false">'Raw Data'!U2173</f>
        <v>8</v>
      </c>
      <c r="G2173" s="2" t="n">
        <f aca="false">'Raw Data'!W2173</f>
        <v>4</v>
      </c>
      <c r="H2173" s="2" t="n">
        <f aca="false">'Raw Data'!V2173</f>
        <v>3</v>
      </c>
      <c r="I2173" s="2" t="n">
        <f aca="false">IF(AND(ISNUMBER(B2173),B2173&lt;=25),2,0)+IF(AND(ISNUMBER(E2173),E2173&lt;=5),2,0)+IF(AND(ISNUMBER(F2173),F2173&lt;=1),2,0)+IF(AND(ISNUMBER(G2173),G2173&lt;=2),1,0)+IF(AND(ISNUMBER(H2173),H2173&lt;=2),1,0)</f>
        <v>0</v>
      </c>
      <c r="J2173" s="2" t="str">
        <f aca="false">IF(I2173&gt;=6,"High",IF(I2173&gt;=3,"Medium","Low"))</f>
        <v>Low</v>
      </c>
    </row>
    <row r="2174" customFormat="false" ht="15" hidden="false" customHeight="true" outlineLevel="0" collapsed="false">
      <c r="A2174" s="2" t="n">
        <f aca="false">'Raw Data'!H2174</f>
        <v>2173</v>
      </c>
      <c r="B2174" s="2" t="n">
        <f aca="false">'Raw Data'!A2174</f>
        <v>41</v>
      </c>
      <c r="C2174" s="2" t="str">
        <f aca="false">'Raw Data'!D2174</f>
        <v>Sales</v>
      </c>
      <c r="D2174" s="2" t="str">
        <f aca="false">'Raw Data'!K2174</f>
        <v>Healthcare Representative</v>
      </c>
      <c r="E2174" s="2" t="n">
        <f aca="false">'Raw Data'!Q2174</f>
        <v>10</v>
      </c>
      <c r="F2174" s="2" t="n">
        <f aca="false">'Raw Data'!U2174</f>
        <v>7</v>
      </c>
      <c r="G2174" s="2" t="n">
        <f aca="false">'Raw Data'!W2174</f>
        <v>1</v>
      </c>
      <c r="H2174" s="2" t="n">
        <f aca="false">'Raw Data'!V2174</f>
        <v>3</v>
      </c>
      <c r="I2174" s="2" t="n">
        <f aca="false">IF(AND(ISNUMBER(B2174),B2174&lt;=25),2,0)+IF(AND(ISNUMBER(E2174),E2174&lt;=5),2,0)+IF(AND(ISNUMBER(F2174),F2174&lt;=1),2,0)+IF(AND(ISNUMBER(G2174),G2174&lt;=2),1,0)+IF(AND(ISNUMBER(H2174),H2174&lt;=2),1,0)</f>
        <v>1</v>
      </c>
      <c r="J2174" s="2" t="str">
        <f aca="false">IF(I2174&gt;=6,"High",IF(I2174&gt;=3,"Medium","Low"))</f>
        <v>Low</v>
      </c>
    </row>
    <row r="2175" customFormat="false" ht="15" hidden="false" customHeight="true" outlineLevel="0" collapsed="false">
      <c r="A2175" s="2" t="n">
        <f aca="false">'Raw Data'!H2175</f>
        <v>2174</v>
      </c>
      <c r="B2175" s="2" t="n">
        <f aca="false">'Raw Data'!A2175</f>
        <v>35</v>
      </c>
      <c r="C2175" s="2" t="str">
        <f aca="false">'Raw Data'!D2175</f>
        <v>Sales</v>
      </c>
      <c r="D2175" s="2" t="str">
        <f aca="false">'Raw Data'!K2175</f>
        <v>Manager</v>
      </c>
      <c r="E2175" s="2" t="n">
        <f aca="false">'Raw Data'!Q2175</f>
        <v>9</v>
      </c>
      <c r="F2175" s="2" t="n">
        <f aca="false">'Raw Data'!U2175</f>
        <v>1</v>
      </c>
      <c r="G2175" s="2" t="n">
        <f aca="false">'Raw Data'!W2175</f>
        <v>3</v>
      </c>
      <c r="H2175" s="2" t="n">
        <f aca="false">'Raw Data'!V2175</f>
        <v>3</v>
      </c>
      <c r="I2175" s="2" t="n">
        <f aca="false">IF(AND(ISNUMBER(B2175),B2175&lt;=25),2,0)+IF(AND(ISNUMBER(E2175),E2175&lt;=5),2,0)+IF(AND(ISNUMBER(F2175),F2175&lt;=1),2,0)+IF(AND(ISNUMBER(G2175),G2175&lt;=2),1,0)+IF(AND(ISNUMBER(H2175),H2175&lt;=2),1,0)</f>
        <v>2</v>
      </c>
      <c r="J2175" s="2" t="str">
        <f aca="false">IF(I2175&gt;=6,"High",IF(I2175&gt;=3,"Medium","Low"))</f>
        <v>Low</v>
      </c>
    </row>
    <row r="2176" customFormat="false" ht="15" hidden="false" customHeight="true" outlineLevel="0" collapsed="false">
      <c r="A2176" s="2" t="n">
        <f aca="false">'Raw Data'!H2176</f>
        <v>2175</v>
      </c>
      <c r="B2176" s="2" t="n">
        <f aca="false">'Raw Data'!A2176</f>
        <v>51</v>
      </c>
      <c r="C2176" s="2" t="str">
        <f aca="false">'Raw Data'!D2176</f>
        <v>Sales</v>
      </c>
      <c r="D2176" s="2" t="str">
        <f aca="false">'Raw Data'!K2176</f>
        <v>Manufacturing Director</v>
      </c>
      <c r="E2176" s="2" t="n">
        <f aca="false">'Raw Data'!Q2176</f>
        <v>33</v>
      </c>
      <c r="F2176" s="2" t="n">
        <f aca="false">'Raw Data'!U2176</f>
        <v>10</v>
      </c>
      <c r="G2176" s="2" t="n">
        <f aca="false">'Raw Data'!W2176</f>
        <v>2</v>
      </c>
      <c r="H2176" s="2" t="n">
        <f aca="false">'Raw Data'!V2176</f>
        <v>3</v>
      </c>
      <c r="I2176" s="2" t="n">
        <f aca="false">IF(AND(ISNUMBER(B2176),B2176&lt;=25),2,0)+IF(AND(ISNUMBER(E2176),E2176&lt;=5),2,0)+IF(AND(ISNUMBER(F2176),F2176&lt;=1),2,0)+IF(AND(ISNUMBER(G2176),G2176&lt;=2),1,0)+IF(AND(ISNUMBER(H2176),H2176&lt;=2),1,0)</f>
        <v>1</v>
      </c>
      <c r="J2176" s="2" t="str">
        <f aca="false">IF(I2176&gt;=6,"High",IF(I2176&gt;=3,"Medium","Low"))</f>
        <v>Low</v>
      </c>
    </row>
    <row r="2177" customFormat="false" ht="15" hidden="false" customHeight="true" outlineLevel="0" collapsed="false">
      <c r="A2177" s="2" t="n">
        <f aca="false">'Raw Data'!H2177</f>
        <v>2176</v>
      </c>
      <c r="B2177" s="2" t="n">
        <f aca="false">'Raw Data'!A2177</f>
        <v>38</v>
      </c>
      <c r="C2177" s="2" t="str">
        <f aca="false">'Raw Data'!D2177</f>
        <v>Sales</v>
      </c>
      <c r="D2177" s="2" t="str">
        <f aca="false">'Raw Data'!K2177</f>
        <v>Research Scientist</v>
      </c>
      <c r="E2177" s="2" t="n">
        <f aca="false">'Raw Data'!Q2177</f>
        <v>11</v>
      </c>
      <c r="F2177" s="2" t="n">
        <f aca="false">'Raw Data'!U2177</f>
        <v>7</v>
      </c>
      <c r="G2177" s="2" t="n">
        <f aca="false">'Raw Data'!W2177</f>
        <v>1</v>
      </c>
      <c r="H2177" s="2" t="n">
        <f aca="false">'Raw Data'!V2177</f>
        <v>2</v>
      </c>
      <c r="I2177" s="2" t="n">
        <f aca="false">IF(AND(ISNUMBER(B2177),B2177&lt;=25),2,0)+IF(AND(ISNUMBER(E2177),E2177&lt;=5),2,0)+IF(AND(ISNUMBER(F2177),F2177&lt;=1),2,0)+IF(AND(ISNUMBER(G2177),G2177&lt;=2),1,0)+IF(AND(ISNUMBER(H2177),H2177&lt;=2),1,0)</f>
        <v>2</v>
      </c>
      <c r="J2177" s="2" t="str">
        <f aca="false">IF(I2177&gt;=6,"High",IF(I2177&gt;=3,"Medium","Low"))</f>
        <v>Low</v>
      </c>
    </row>
    <row r="2178" customFormat="false" ht="15" hidden="false" customHeight="true" outlineLevel="0" collapsed="false">
      <c r="A2178" s="2" t="n">
        <f aca="false">'Raw Data'!H2178</f>
        <v>2177</v>
      </c>
      <c r="B2178" s="2" t="n">
        <f aca="false">'Raw Data'!A2178</f>
        <v>34</v>
      </c>
      <c r="C2178" s="2" t="str">
        <f aca="false">'Raw Data'!D2178</f>
        <v>Sales</v>
      </c>
      <c r="D2178" s="2" t="str">
        <f aca="false">'Raw Data'!K2178</f>
        <v>Research Scientist</v>
      </c>
      <c r="E2178" s="2" t="n">
        <f aca="false">'Raw Data'!Q2178</f>
        <v>10</v>
      </c>
      <c r="F2178" s="2" t="n">
        <f aca="false">'Raw Data'!U2178</f>
        <v>6</v>
      </c>
      <c r="G2178" s="2" t="n">
        <f aca="false">'Raw Data'!W2178</f>
        <v>1</v>
      </c>
      <c r="H2178" s="2" t="n">
        <f aca="false">'Raw Data'!V2178</f>
        <v>3</v>
      </c>
      <c r="I2178" s="2" t="n">
        <f aca="false">IF(AND(ISNUMBER(B2178),B2178&lt;=25),2,0)+IF(AND(ISNUMBER(E2178),E2178&lt;=5),2,0)+IF(AND(ISNUMBER(F2178),F2178&lt;=1),2,0)+IF(AND(ISNUMBER(G2178),G2178&lt;=2),1,0)+IF(AND(ISNUMBER(H2178),H2178&lt;=2),1,0)</f>
        <v>1</v>
      </c>
      <c r="J2178" s="2" t="str">
        <f aca="false">IF(I2178&gt;=6,"High",IF(I2178&gt;=3,"Medium","Low"))</f>
        <v>Low</v>
      </c>
    </row>
    <row r="2179" customFormat="false" ht="15" hidden="false" customHeight="true" outlineLevel="0" collapsed="false">
      <c r="A2179" s="2" t="n">
        <f aca="false">'Raw Data'!H2179</f>
        <v>2178</v>
      </c>
      <c r="B2179" s="2" t="n">
        <f aca="false">'Raw Data'!A2179</f>
        <v>25</v>
      </c>
      <c r="C2179" s="2" t="str">
        <f aca="false">'Raw Data'!D2179</f>
        <v>Research &amp; Development</v>
      </c>
      <c r="D2179" s="2" t="str">
        <f aca="false">'Raw Data'!K2179</f>
        <v>Research Scientist</v>
      </c>
      <c r="E2179" s="2" t="n">
        <f aca="false">'Raw Data'!Q2179</f>
        <v>7</v>
      </c>
      <c r="F2179" s="2" t="n">
        <f aca="false">'Raw Data'!U2179</f>
        <v>2</v>
      </c>
      <c r="G2179" s="2" t="n">
        <f aca="false">'Raw Data'!W2179</f>
        <v>4</v>
      </c>
      <c r="H2179" s="2" t="n">
        <f aca="false">'Raw Data'!V2179</f>
        <v>4</v>
      </c>
      <c r="I2179" s="2" t="n">
        <f aca="false">IF(AND(ISNUMBER(B2179),B2179&lt;=25),2,0)+IF(AND(ISNUMBER(E2179),E2179&lt;=5),2,0)+IF(AND(ISNUMBER(F2179),F2179&lt;=1),2,0)+IF(AND(ISNUMBER(G2179),G2179&lt;=2),1,0)+IF(AND(ISNUMBER(H2179),H2179&lt;=2),1,0)</f>
        <v>2</v>
      </c>
      <c r="J2179" s="2" t="str">
        <f aca="false">IF(I2179&gt;=6,"High",IF(I2179&gt;=3,"Medium","Low"))</f>
        <v>Low</v>
      </c>
    </row>
    <row r="2180" customFormat="false" ht="15" hidden="false" customHeight="true" outlineLevel="0" collapsed="false">
      <c r="A2180" s="2" t="n">
        <f aca="false">'Raw Data'!H2180</f>
        <v>2179</v>
      </c>
      <c r="B2180" s="2" t="n">
        <f aca="false">'Raw Data'!A2180</f>
        <v>58</v>
      </c>
      <c r="C2180" s="2" t="str">
        <f aca="false">'Raw Data'!D2180</f>
        <v>Sales</v>
      </c>
      <c r="D2180" s="2" t="str">
        <f aca="false">'Raw Data'!K2180</f>
        <v>Sales Executive</v>
      </c>
      <c r="E2180" s="2" t="n">
        <f aca="false">'Raw Data'!Q2180</f>
        <v>31</v>
      </c>
      <c r="F2180" s="2" t="n">
        <f aca="false">'Raw Data'!U2180</f>
        <v>9</v>
      </c>
      <c r="G2180" s="2" t="n">
        <f aca="false">'Raw Data'!W2180</f>
        <v>1</v>
      </c>
      <c r="H2180" s="2" t="n">
        <f aca="false">'Raw Data'!V2180</f>
        <v>3</v>
      </c>
      <c r="I2180" s="2" t="n">
        <f aca="false">IF(AND(ISNUMBER(B2180),B2180&lt;=25),2,0)+IF(AND(ISNUMBER(E2180),E2180&lt;=5),2,0)+IF(AND(ISNUMBER(F2180),F2180&lt;=1),2,0)+IF(AND(ISNUMBER(G2180),G2180&lt;=2),1,0)+IF(AND(ISNUMBER(H2180),H2180&lt;=2),1,0)</f>
        <v>1</v>
      </c>
      <c r="J2180" s="2" t="str">
        <f aca="false">IF(I2180&gt;=6,"High",IF(I2180&gt;=3,"Medium","Low"))</f>
        <v>Low</v>
      </c>
    </row>
    <row r="2181" customFormat="false" ht="15" hidden="false" customHeight="true" outlineLevel="0" collapsed="false">
      <c r="A2181" s="2" t="n">
        <f aca="false">'Raw Data'!H2181</f>
        <v>2180</v>
      </c>
      <c r="B2181" s="2" t="n">
        <f aca="false">'Raw Data'!A2181</f>
        <v>40</v>
      </c>
      <c r="C2181" s="2" t="str">
        <f aca="false">'Raw Data'!D2181</f>
        <v>Research &amp; Development</v>
      </c>
      <c r="D2181" s="2" t="str">
        <f aca="false">'Raw Data'!K2181</f>
        <v>Research Scientist</v>
      </c>
      <c r="E2181" s="2" t="n">
        <f aca="false">'Raw Data'!Q2181</f>
        <v>7</v>
      </c>
      <c r="F2181" s="2" t="n">
        <f aca="false">'Raw Data'!U2181</f>
        <v>3</v>
      </c>
      <c r="G2181" s="2" t="n">
        <f aca="false">'Raw Data'!W2181</f>
        <v>2</v>
      </c>
      <c r="H2181" s="2" t="n">
        <f aca="false">'Raw Data'!V2181</f>
        <v>2</v>
      </c>
      <c r="I2181" s="2" t="n">
        <f aca="false">IF(AND(ISNUMBER(B2181),B2181&lt;=25),2,0)+IF(AND(ISNUMBER(E2181),E2181&lt;=5),2,0)+IF(AND(ISNUMBER(F2181),F2181&lt;=1),2,0)+IF(AND(ISNUMBER(G2181),G2181&lt;=2),1,0)+IF(AND(ISNUMBER(H2181),H2181&lt;=2),1,0)</f>
        <v>2</v>
      </c>
      <c r="J2181" s="2" t="str">
        <f aca="false">IF(I2181&gt;=6,"High",IF(I2181&gt;=3,"Medium","Low"))</f>
        <v>Low</v>
      </c>
    </row>
    <row r="2182" customFormat="false" ht="15" hidden="false" customHeight="true" outlineLevel="0" collapsed="false">
      <c r="A2182" s="2" t="n">
        <f aca="false">'Raw Data'!H2182</f>
        <v>2181</v>
      </c>
      <c r="B2182" s="2" t="n">
        <f aca="false">'Raw Data'!A2182</f>
        <v>36</v>
      </c>
      <c r="C2182" s="2" t="str">
        <f aca="false">'Raw Data'!D2182</f>
        <v>Sales</v>
      </c>
      <c r="D2182" s="2" t="str">
        <f aca="false">'Raw Data'!K2182</f>
        <v>Research Scientist</v>
      </c>
      <c r="E2182" s="2" t="n">
        <f aca="false">'Raw Data'!Q2182</f>
        <v>17</v>
      </c>
      <c r="F2182" s="2" t="n">
        <f aca="false">'Raw Data'!U2182</f>
        <v>13</v>
      </c>
      <c r="G2182" s="2" t="n">
        <f aca="false">'Raw Data'!W2182</f>
        <v>1</v>
      </c>
      <c r="H2182" s="2" t="n">
        <f aca="false">'Raw Data'!V2182</f>
        <v>1</v>
      </c>
      <c r="I2182" s="2" t="n">
        <f aca="false">IF(AND(ISNUMBER(B2182),B2182&lt;=25),2,0)+IF(AND(ISNUMBER(E2182),E2182&lt;=5),2,0)+IF(AND(ISNUMBER(F2182),F2182&lt;=1),2,0)+IF(AND(ISNUMBER(G2182),G2182&lt;=2),1,0)+IF(AND(ISNUMBER(H2182),H2182&lt;=2),1,0)</f>
        <v>2</v>
      </c>
      <c r="J2182" s="2" t="str">
        <f aca="false">IF(I2182&gt;=6,"High",IF(I2182&gt;=3,"Medium","Low"))</f>
        <v>Low</v>
      </c>
    </row>
    <row r="2183" customFormat="false" ht="15" hidden="false" customHeight="true" outlineLevel="0" collapsed="false">
      <c r="A2183" s="2" t="n">
        <f aca="false">'Raw Data'!H2183</f>
        <v>2182</v>
      </c>
      <c r="B2183" s="2" t="n">
        <f aca="false">'Raw Data'!A2183</f>
        <v>48</v>
      </c>
      <c r="C2183" s="2" t="str">
        <f aca="false">'Raw Data'!D2183</f>
        <v>Research &amp; Development</v>
      </c>
      <c r="D2183" s="2" t="str">
        <f aca="false">'Raw Data'!K2183</f>
        <v>Research Scientist</v>
      </c>
      <c r="E2183" s="2" t="n">
        <f aca="false">'Raw Data'!Q2183</f>
        <v>11</v>
      </c>
      <c r="F2183" s="2" t="n">
        <f aca="false">'Raw Data'!U2183</f>
        <v>8</v>
      </c>
      <c r="G2183" s="2" t="n">
        <f aca="false">'Raw Data'!W2183</f>
        <v>4</v>
      </c>
      <c r="H2183" s="2" t="n">
        <f aca="false">'Raw Data'!V2183</f>
        <v>4</v>
      </c>
      <c r="I2183" s="2" t="n">
        <f aca="false">IF(AND(ISNUMBER(B2183),B2183&lt;=25),2,0)+IF(AND(ISNUMBER(E2183),E2183&lt;=5),2,0)+IF(AND(ISNUMBER(F2183),F2183&lt;=1),2,0)+IF(AND(ISNUMBER(G2183),G2183&lt;=2),1,0)+IF(AND(ISNUMBER(H2183),H2183&lt;=2),1,0)</f>
        <v>0</v>
      </c>
      <c r="J2183" s="2" t="str">
        <f aca="false">IF(I2183&gt;=6,"High",IF(I2183&gt;=3,"Medium","Low"))</f>
        <v>Low</v>
      </c>
    </row>
    <row r="2184" customFormat="false" ht="15" hidden="false" customHeight="true" outlineLevel="0" collapsed="false">
      <c r="A2184" s="2" t="n">
        <f aca="false">'Raw Data'!H2184</f>
        <v>2183</v>
      </c>
      <c r="B2184" s="2" t="n">
        <f aca="false">'Raw Data'!A2184</f>
        <v>27</v>
      </c>
      <c r="C2184" s="2" t="str">
        <f aca="false">'Raw Data'!D2184</f>
        <v>Research &amp; Development</v>
      </c>
      <c r="D2184" s="2" t="str">
        <f aca="false">'Raw Data'!K2184</f>
        <v>Laboratory Technician</v>
      </c>
      <c r="E2184" s="2" t="n">
        <f aca="false">'Raw Data'!Q2184</f>
        <v>5</v>
      </c>
      <c r="F2184" s="2" t="n">
        <f aca="false">'Raw Data'!U2184</f>
        <v>0</v>
      </c>
      <c r="G2184" s="2" t="n">
        <f aca="false">'Raw Data'!W2184</f>
        <v>0</v>
      </c>
      <c r="H2184" s="2" t="n">
        <f aca="false">'Raw Data'!V2184</f>
        <v>3</v>
      </c>
      <c r="I2184" s="2" t="n">
        <f aca="false">IF(AND(ISNUMBER(B2184),B2184&lt;=25),2,0)+IF(AND(ISNUMBER(E2184),E2184&lt;=5),2,0)+IF(AND(ISNUMBER(F2184),F2184&lt;=1),2,0)+IF(AND(ISNUMBER(G2184),G2184&lt;=2),1,0)+IF(AND(ISNUMBER(H2184),H2184&lt;=2),1,0)</f>
        <v>4</v>
      </c>
      <c r="J2184" s="2" t="str">
        <f aca="false">IF(I2184&gt;=6,"High",IF(I2184&gt;=3,"Medium","Low"))</f>
        <v>Medium</v>
      </c>
    </row>
    <row r="2185" customFormat="false" ht="15" hidden="false" customHeight="true" outlineLevel="0" collapsed="false">
      <c r="A2185" s="2" t="n">
        <f aca="false">'Raw Data'!H2185</f>
        <v>2184</v>
      </c>
      <c r="B2185" s="2" t="n">
        <f aca="false">'Raw Data'!A2185</f>
        <v>51</v>
      </c>
      <c r="C2185" s="2" t="str">
        <f aca="false">'Raw Data'!D2185</f>
        <v>Research &amp; Development</v>
      </c>
      <c r="D2185" s="2" t="str">
        <f aca="false">'Raw Data'!K2185</f>
        <v>Manufacturing Director</v>
      </c>
      <c r="E2185" s="2" t="n">
        <f aca="false">'Raw Data'!Q2185</f>
        <v>29</v>
      </c>
      <c r="F2185" s="2" t="n">
        <f aca="false">'Raw Data'!U2185</f>
        <v>3</v>
      </c>
      <c r="G2185" s="2" t="n">
        <f aca="false">'Raw Data'!W2185</f>
        <v>2</v>
      </c>
      <c r="H2185" s="2" t="n">
        <f aca="false">'Raw Data'!V2185</f>
        <v>4</v>
      </c>
      <c r="I2185" s="2" t="n">
        <f aca="false">IF(AND(ISNUMBER(B2185),B2185&lt;=25),2,0)+IF(AND(ISNUMBER(E2185),E2185&lt;=5),2,0)+IF(AND(ISNUMBER(F2185),F2185&lt;=1),2,0)+IF(AND(ISNUMBER(G2185),G2185&lt;=2),1,0)+IF(AND(ISNUMBER(H2185),H2185&lt;=2),1,0)</f>
        <v>1</v>
      </c>
      <c r="J2185" s="2" t="str">
        <f aca="false">IF(I2185&gt;=6,"High",IF(I2185&gt;=3,"Medium","Low"))</f>
        <v>Low</v>
      </c>
    </row>
    <row r="2186" customFormat="false" ht="15" hidden="false" customHeight="true" outlineLevel="0" collapsed="false">
      <c r="A2186" s="2" t="n">
        <f aca="false">'Raw Data'!H2186</f>
        <v>2185</v>
      </c>
      <c r="B2186" s="2" t="n">
        <f aca="false">'Raw Data'!A2186</f>
        <v>18</v>
      </c>
      <c r="C2186" s="2" t="str">
        <f aca="false">'Raw Data'!D2186</f>
        <v>Research &amp; Development</v>
      </c>
      <c r="D2186" s="2" t="str">
        <f aca="false">'Raw Data'!K2186</f>
        <v>Sales Executive</v>
      </c>
      <c r="E2186" s="2" t="n">
        <f aca="false">'Raw Data'!Q2186</f>
        <v>0</v>
      </c>
      <c r="F2186" s="2" t="n">
        <f aca="false">'Raw Data'!U2186</f>
        <v>0</v>
      </c>
      <c r="G2186" s="2" t="n">
        <f aca="false">'Raw Data'!W2186</f>
        <v>4</v>
      </c>
      <c r="H2186" s="2" t="n">
        <f aca="false">'Raw Data'!V2186</f>
        <v>4</v>
      </c>
      <c r="I2186" s="2" t="n">
        <f aca="false">IF(AND(ISNUMBER(B2186),B2186&lt;=25),2,0)+IF(AND(ISNUMBER(E2186),E2186&lt;=5),2,0)+IF(AND(ISNUMBER(F2186),F2186&lt;=1),2,0)+IF(AND(ISNUMBER(G2186),G2186&lt;=2),1,0)+IF(AND(ISNUMBER(H2186),H2186&lt;=2),1,0)</f>
        <v>6</v>
      </c>
      <c r="J2186" s="2" t="str">
        <f aca="false">IF(I2186&gt;=6,"High",IF(I2186&gt;=3,"Medium","Low"))</f>
        <v>High</v>
      </c>
    </row>
    <row r="2187" customFormat="false" ht="15" hidden="false" customHeight="true" outlineLevel="0" collapsed="false">
      <c r="A2187" s="2" t="n">
        <f aca="false">'Raw Data'!H2187</f>
        <v>2186</v>
      </c>
      <c r="B2187" s="2" t="n">
        <f aca="false">'Raw Data'!A2187</f>
        <v>35</v>
      </c>
      <c r="C2187" s="2" t="str">
        <f aca="false">'Raw Data'!D2187</f>
        <v>Research &amp; Development</v>
      </c>
      <c r="D2187" s="2" t="str">
        <f aca="false">'Raw Data'!K2187</f>
        <v>Research Director</v>
      </c>
      <c r="E2187" s="2" t="n">
        <f aca="false">'Raw Data'!Q2187</f>
        <v>10</v>
      </c>
      <c r="F2187" s="2" t="n">
        <f aca="false">'Raw Data'!U2187</f>
        <v>0</v>
      </c>
      <c r="G2187" s="2" t="n">
        <f aca="false">'Raw Data'!W2187</f>
        <v>4</v>
      </c>
      <c r="H2187" s="2" t="n">
        <f aca="false">'Raw Data'!V2187</f>
        <v>4</v>
      </c>
      <c r="I2187" s="2" t="n">
        <f aca="false">IF(AND(ISNUMBER(B2187),B2187&lt;=25),2,0)+IF(AND(ISNUMBER(E2187),E2187&lt;=5),2,0)+IF(AND(ISNUMBER(F2187),F2187&lt;=1),2,0)+IF(AND(ISNUMBER(G2187),G2187&lt;=2),1,0)+IF(AND(ISNUMBER(H2187),H2187&lt;=2),1,0)</f>
        <v>2</v>
      </c>
      <c r="J2187" s="2" t="str">
        <f aca="false">IF(I2187&gt;=6,"High",IF(I2187&gt;=3,"Medium","Low"))</f>
        <v>Low</v>
      </c>
    </row>
    <row r="2188" customFormat="false" ht="15" hidden="false" customHeight="true" outlineLevel="0" collapsed="false">
      <c r="A2188" s="2" t="n">
        <f aca="false">'Raw Data'!H2188</f>
        <v>2187</v>
      </c>
      <c r="B2188" s="2" t="n">
        <f aca="false">'Raw Data'!A2188</f>
        <v>27</v>
      </c>
      <c r="C2188" s="2" t="str">
        <f aca="false">'Raw Data'!D2188</f>
        <v>Research &amp; Development</v>
      </c>
      <c r="D2188" s="2" t="str">
        <f aca="false">'Raw Data'!K2188</f>
        <v>Research Director</v>
      </c>
      <c r="E2188" s="2" t="n">
        <f aca="false">'Raw Data'!Q2188</f>
        <v>8</v>
      </c>
      <c r="F2188" s="2" t="n">
        <f aca="false">'Raw Data'!U2188</f>
        <v>0</v>
      </c>
      <c r="G2188" s="2" t="n">
        <f aca="false">'Raw Data'!W2188</f>
        <v>4</v>
      </c>
      <c r="H2188" s="2" t="n">
        <f aca="false">'Raw Data'!V2188</f>
        <v>4</v>
      </c>
      <c r="I2188" s="2" t="n">
        <f aca="false">IF(AND(ISNUMBER(B2188),B2188&lt;=25),2,0)+IF(AND(ISNUMBER(E2188),E2188&lt;=5),2,0)+IF(AND(ISNUMBER(F2188),F2188&lt;=1),2,0)+IF(AND(ISNUMBER(G2188),G2188&lt;=2),1,0)+IF(AND(ISNUMBER(H2188),H2188&lt;=2),1,0)</f>
        <v>2</v>
      </c>
      <c r="J2188" s="2" t="str">
        <f aca="false">IF(I2188&gt;=6,"High",IF(I2188&gt;=3,"Medium","Low"))</f>
        <v>Low</v>
      </c>
    </row>
    <row r="2189" customFormat="false" ht="15" hidden="false" customHeight="true" outlineLevel="0" collapsed="false">
      <c r="A2189" s="2" t="n">
        <f aca="false">'Raw Data'!H2189</f>
        <v>2188</v>
      </c>
      <c r="B2189" s="2" t="n">
        <f aca="false">'Raw Data'!A2189</f>
        <v>55</v>
      </c>
      <c r="C2189" s="2" t="str">
        <f aca="false">'Raw Data'!D2189</f>
        <v>Research &amp; Development</v>
      </c>
      <c r="D2189" s="2" t="str">
        <f aca="false">'Raw Data'!K2189</f>
        <v>Human Resources</v>
      </c>
      <c r="E2189" s="2" t="n">
        <f aca="false">'Raw Data'!Q2189</f>
        <v>24</v>
      </c>
      <c r="F2189" s="2" t="n">
        <f aca="false">'Raw Data'!U2189</f>
        <v>8</v>
      </c>
      <c r="G2189" s="2" t="n">
        <f aca="false">'Raw Data'!W2189</f>
        <v>3</v>
      </c>
      <c r="H2189" s="2" t="n">
        <f aca="false">'Raw Data'!V2189</f>
        <v>1</v>
      </c>
      <c r="I2189" s="2" t="n">
        <f aca="false">IF(AND(ISNUMBER(B2189),B2189&lt;=25),2,0)+IF(AND(ISNUMBER(E2189),E2189&lt;=5),2,0)+IF(AND(ISNUMBER(F2189),F2189&lt;=1),2,0)+IF(AND(ISNUMBER(G2189),G2189&lt;=2),1,0)+IF(AND(ISNUMBER(H2189),H2189&lt;=2),1,0)</f>
        <v>1</v>
      </c>
      <c r="J2189" s="2" t="str">
        <f aca="false">IF(I2189&gt;=6,"High",IF(I2189&gt;=3,"Medium","Low"))</f>
        <v>Low</v>
      </c>
    </row>
    <row r="2190" customFormat="false" ht="15" hidden="false" customHeight="true" outlineLevel="0" collapsed="false">
      <c r="A2190" s="2" t="n">
        <f aca="false">'Raw Data'!H2190</f>
        <v>2189</v>
      </c>
      <c r="B2190" s="2" t="n">
        <f aca="false">'Raw Data'!A2190</f>
        <v>56</v>
      </c>
      <c r="C2190" s="2" t="str">
        <f aca="false">'Raw Data'!D2190</f>
        <v>Research &amp; Development</v>
      </c>
      <c r="D2190" s="2" t="str">
        <f aca="false">'Raw Data'!K2190</f>
        <v>Laboratory Technician</v>
      </c>
      <c r="E2190" s="2" t="n">
        <f aca="false">'Raw Data'!Q2190</f>
        <v>33</v>
      </c>
      <c r="F2190" s="2" t="n">
        <f aca="false">'Raw Data'!U2190</f>
        <v>9</v>
      </c>
      <c r="G2190" s="2" t="n">
        <f aca="false">'Raw Data'!W2190</f>
        <v>2</v>
      </c>
      <c r="H2190" s="2" t="n">
        <f aca="false">'Raw Data'!V2190</f>
        <v>4</v>
      </c>
      <c r="I2190" s="2" t="n">
        <f aca="false">IF(AND(ISNUMBER(B2190),B2190&lt;=25),2,0)+IF(AND(ISNUMBER(E2190),E2190&lt;=5),2,0)+IF(AND(ISNUMBER(F2190),F2190&lt;=1),2,0)+IF(AND(ISNUMBER(G2190),G2190&lt;=2),1,0)+IF(AND(ISNUMBER(H2190),H2190&lt;=2),1,0)</f>
        <v>1</v>
      </c>
      <c r="J2190" s="2" t="str">
        <f aca="false">IF(I2190&gt;=6,"High",IF(I2190&gt;=3,"Medium","Low"))</f>
        <v>Low</v>
      </c>
    </row>
    <row r="2191" customFormat="false" ht="15" hidden="false" customHeight="true" outlineLevel="0" collapsed="false">
      <c r="A2191" s="2" t="n">
        <f aca="false">'Raw Data'!H2191</f>
        <v>2190</v>
      </c>
      <c r="B2191" s="2" t="n">
        <f aca="false">'Raw Data'!A2191</f>
        <v>34</v>
      </c>
      <c r="C2191" s="2" t="str">
        <f aca="false">'Raw Data'!D2191</f>
        <v>Sales</v>
      </c>
      <c r="D2191" s="2" t="str">
        <f aca="false">'Raw Data'!K2191</f>
        <v>Research Scientist</v>
      </c>
      <c r="E2191" s="2" t="n">
        <f aca="false">'Raw Data'!Q2191</f>
        <v>5</v>
      </c>
      <c r="F2191" s="2" t="n">
        <f aca="false">'Raw Data'!U2191</f>
        <v>0</v>
      </c>
      <c r="G2191" s="2" t="n">
        <f aca="false">'Raw Data'!W2191</f>
        <v>3</v>
      </c>
      <c r="H2191" s="2" t="n">
        <f aca="false">'Raw Data'!V2191</f>
        <v>1</v>
      </c>
      <c r="I2191" s="2" t="n">
        <f aca="false">IF(AND(ISNUMBER(B2191),B2191&lt;=25),2,0)+IF(AND(ISNUMBER(E2191),E2191&lt;=5),2,0)+IF(AND(ISNUMBER(F2191),F2191&lt;=1),2,0)+IF(AND(ISNUMBER(G2191),G2191&lt;=2),1,0)+IF(AND(ISNUMBER(H2191),H2191&lt;=2),1,0)</f>
        <v>5</v>
      </c>
      <c r="J2191" s="2" t="str">
        <f aca="false">IF(I2191&gt;=6,"High",IF(I2191&gt;=3,"Medium","Low"))</f>
        <v>Medium</v>
      </c>
    </row>
    <row r="2192" customFormat="false" ht="15" hidden="false" customHeight="true" outlineLevel="0" collapsed="false">
      <c r="A2192" s="2" t="n">
        <f aca="false">'Raw Data'!H2192</f>
        <v>2191</v>
      </c>
      <c r="B2192" s="2" t="n">
        <f aca="false">'Raw Data'!A2192</f>
        <v>40</v>
      </c>
      <c r="C2192" s="2" t="str">
        <f aca="false">'Raw Data'!D2192</f>
        <v>Research &amp; Development</v>
      </c>
      <c r="D2192" s="2" t="str">
        <f aca="false">'Raw Data'!K2192</f>
        <v>Sales Executive</v>
      </c>
      <c r="E2192" s="2" t="n">
        <f aca="false">'Raw Data'!Q2192</f>
        <v>15</v>
      </c>
      <c r="F2192" s="2" t="n">
        <f aca="false">'Raw Data'!U2192</f>
        <v>8</v>
      </c>
      <c r="G2192" s="2" t="n">
        <f aca="false">'Raw Data'!W2192</f>
        <v>3</v>
      </c>
      <c r="H2192" s="2" t="n">
        <f aca="false">'Raw Data'!V2192</f>
        <v>2</v>
      </c>
      <c r="I2192" s="2" t="n">
        <f aca="false">IF(AND(ISNUMBER(B2192),B2192&lt;=25),2,0)+IF(AND(ISNUMBER(E2192),E2192&lt;=5),2,0)+IF(AND(ISNUMBER(F2192),F2192&lt;=1),2,0)+IF(AND(ISNUMBER(G2192),G2192&lt;=2),1,0)+IF(AND(ISNUMBER(H2192),H2192&lt;=2),1,0)</f>
        <v>1</v>
      </c>
      <c r="J2192" s="2" t="str">
        <f aca="false">IF(I2192&gt;=6,"High",IF(I2192&gt;=3,"Medium","Low"))</f>
        <v>Low</v>
      </c>
    </row>
    <row r="2193" customFormat="false" ht="15" hidden="false" customHeight="true" outlineLevel="0" collapsed="false">
      <c r="A2193" s="2" t="n">
        <f aca="false">'Raw Data'!H2193</f>
        <v>2192</v>
      </c>
      <c r="B2193" s="2" t="n">
        <f aca="false">'Raw Data'!A2193</f>
        <v>34</v>
      </c>
      <c r="C2193" s="2" t="str">
        <f aca="false">'Raw Data'!D2193</f>
        <v>Research &amp; Development</v>
      </c>
      <c r="D2193" s="2" t="str">
        <f aca="false">'Raw Data'!K2193</f>
        <v>Research Scientist</v>
      </c>
      <c r="E2193" s="2" t="n">
        <f aca="false">'Raw Data'!Q2193</f>
        <v>10</v>
      </c>
      <c r="F2193" s="2" t="n">
        <f aca="false">'Raw Data'!U2193</f>
        <v>7</v>
      </c>
      <c r="G2193" s="2" t="n">
        <f aca="false">'Raw Data'!W2193</f>
        <v>3</v>
      </c>
      <c r="H2193" s="2" t="n">
        <f aca="false">'Raw Data'!V2193</f>
        <v>2</v>
      </c>
      <c r="I2193" s="2" t="n">
        <f aca="false">IF(AND(ISNUMBER(B2193),B2193&lt;=25),2,0)+IF(AND(ISNUMBER(E2193),E2193&lt;=5),2,0)+IF(AND(ISNUMBER(F2193),F2193&lt;=1),2,0)+IF(AND(ISNUMBER(G2193),G2193&lt;=2),1,0)+IF(AND(ISNUMBER(H2193),H2193&lt;=2),1,0)</f>
        <v>1</v>
      </c>
      <c r="J2193" s="2" t="str">
        <f aca="false">IF(I2193&gt;=6,"High",IF(I2193&gt;=3,"Medium","Low"))</f>
        <v>Low</v>
      </c>
    </row>
    <row r="2194" customFormat="false" ht="15" hidden="false" customHeight="true" outlineLevel="0" collapsed="false">
      <c r="A2194" s="2" t="n">
        <f aca="false">'Raw Data'!H2194</f>
        <v>2193</v>
      </c>
      <c r="B2194" s="2" t="n">
        <f aca="false">'Raw Data'!A2194</f>
        <v>31</v>
      </c>
      <c r="C2194" s="2" t="str">
        <f aca="false">'Raw Data'!D2194</f>
        <v>Research &amp; Development</v>
      </c>
      <c r="D2194" s="2" t="str">
        <f aca="false">'Raw Data'!K2194</f>
        <v>Manufacturing Director</v>
      </c>
      <c r="E2194" s="2" t="n">
        <f aca="false">'Raw Data'!Q2194</f>
        <v>3</v>
      </c>
      <c r="F2194" s="2" t="n">
        <f aca="false">'Raw Data'!U2194</f>
        <v>0</v>
      </c>
      <c r="G2194" s="2" t="n">
        <f aca="false">'Raw Data'!W2194</f>
        <v>4</v>
      </c>
      <c r="H2194" s="2" t="n">
        <f aca="false">'Raw Data'!V2194</f>
        <v>3</v>
      </c>
      <c r="I2194" s="2" t="n">
        <f aca="false">IF(AND(ISNUMBER(B2194),B2194&lt;=25),2,0)+IF(AND(ISNUMBER(E2194),E2194&lt;=5),2,0)+IF(AND(ISNUMBER(F2194),F2194&lt;=1),2,0)+IF(AND(ISNUMBER(G2194),G2194&lt;=2),1,0)+IF(AND(ISNUMBER(H2194),H2194&lt;=2),1,0)</f>
        <v>4</v>
      </c>
      <c r="J2194" s="2" t="str">
        <f aca="false">IF(I2194&gt;=6,"High",IF(I2194&gt;=3,"Medium","Low"))</f>
        <v>Medium</v>
      </c>
    </row>
    <row r="2195" customFormat="false" ht="15" hidden="false" customHeight="true" outlineLevel="0" collapsed="false">
      <c r="A2195" s="2" t="n">
        <f aca="false">'Raw Data'!H2195</f>
        <v>2194</v>
      </c>
      <c r="B2195" s="2" t="n">
        <f aca="false">'Raw Data'!A2195</f>
        <v>35</v>
      </c>
      <c r="C2195" s="2" t="str">
        <f aca="false">'Raw Data'!D2195</f>
        <v>Research &amp; Development</v>
      </c>
      <c r="D2195" s="2" t="str">
        <f aca="false">'Raw Data'!K2195</f>
        <v>Manufacturing Director</v>
      </c>
      <c r="E2195" s="2" t="n">
        <f aca="false">'Raw Data'!Q2195</f>
        <v>5</v>
      </c>
      <c r="F2195" s="2" t="n">
        <f aca="false">'Raw Data'!U2195</f>
        <v>2</v>
      </c>
      <c r="G2195" s="2" t="n">
        <f aca="false">'Raw Data'!W2195</f>
        <v>3</v>
      </c>
      <c r="H2195" s="2" t="n">
        <f aca="false">'Raw Data'!V2195</f>
        <v>4</v>
      </c>
      <c r="I2195" s="2" t="n">
        <f aca="false">IF(AND(ISNUMBER(B2195),B2195&lt;=25),2,0)+IF(AND(ISNUMBER(E2195),E2195&lt;=5),2,0)+IF(AND(ISNUMBER(F2195),F2195&lt;=1),2,0)+IF(AND(ISNUMBER(G2195),G2195&lt;=2),1,0)+IF(AND(ISNUMBER(H2195),H2195&lt;=2),1,0)</f>
        <v>2</v>
      </c>
      <c r="J2195" s="2" t="str">
        <f aca="false">IF(I2195&gt;=6,"High",IF(I2195&gt;=3,"Medium","Low"))</f>
        <v>Low</v>
      </c>
    </row>
    <row r="2196" customFormat="false" ht="15" hidden="false" customHeight="true" outlineLevel="0" collapsed="false">
      <c r="A2196" s="2" t="n">
        <f aca="false">'Raw Data'!H2196</f>
        <v>2195</v>
      </c>
      <c r="B2196" s="2" t="n">
        <f aca="false">'Raw Data'!A2196</f>
        <v>38</v>
      </c>
      <c r="C2196" s="2" t="str">
        <f aca="false">'Raw Data'!D2196</f>
        <v>Research &amp; Development</v>
      </c>
      <c r="D2196" s="2" t="str">
        <f aca="false">'Raw Data'!K2196</f>
        <v>Sales Representative</v>
      </c>
      <c r="E2196" s="2" t="n">
        <f aca="false">'Raw Data'!Q2196</f>
        <v>4</v>
      </c>
      <c r="F2196" s="2" t="n">
        <f aca="false">'Raw Data'!U2196</f>
        <v>3</v>
      </c>
      <c r="G2196" s="2" t="n">
        <f aca="false">'Raw Data'!W2196</f>
        <v>3</v>
      </c>
      <c r="H2196" s="2" t="n">
        <f aca="false">'Raw Data'!V2196</f>
        <v>4</v>
      </c>
      <c r="I2196" s="2" t="n">
        <f aca="false">IF(AND(ISNUMBER(B2196),B2196&lt;=25),2,0)+IF(AND(ISNUMBER(E2196),E2196&lt;=5),2,0)+IF(AND(ISNUMBER(F2196),F2196&lt;=1),2,0)+IF(AND(ISNUMBER(G2196),G2196&lt;=2),1,0)+IF(AND(ISNUMBER(H2196),H2196&lt;=2),1,0)</f>
        <v>2</v>
      </c>
      <c r="J2196" s="2" t="str">
        <f aca="false">IF(I2196&gt;=6,"High",IF(I2196&gt;=3,"Medium","Low"))</f>
        <v>Low</v>
      </c>
    </row>
    <row r="2197" customFormat="false" ht="15" hidden="false" customHeight="true" outlineLevel="0" collapsed="false">
      <c r="A2197" s="2" t="n">
        <f aca="false">'Raw Data'!H2197</f>
        <v>2196</v>
      </c>
      <c r="B2197" s="2" t="n">
        <f aca="false">'Raw Data'!A2197</f>
        <v>34</v>
      </c>
      <c r="C2197" s="2" t="str">
        <f aca="false">'Raw Data'!D2197</f>
        <v>Research &amp; Development</v>
      </c>
      <c r="D2197" s="2" t="str">
        <f aca="false">'Raw Data'!K2197</f>
        <v>Laboratory Technician</v>
      </c>
      <c r="E2197" s="2" t="n">
        <f aca="false">'Raw Data'!Q2197</f>
        <v>14</v>
      </c>
      <c r="F2197" s="2" t="n">
        <f aca="false">'Raw Data'!U2197</f>
        <v>11</v>
      </c>
      <c r="G2197" s="2" t="n">
        <f aca="false">'Raw Data'!W2197</f>
        <v>4</v>
      </c>
      <c r="H2197" s="2" t="n">
        <f aca="false">'Raw Data'!V2197</f>
        <v>3</v>
      </c>
      <c r="I2197" s="2" t="n">
        <f aca="false">IF(AND(ISNUMBER(B2197),B2197&lt;=25),2,0)+IF(AND(ISNUMBER(E2197),E2197&lt;=5),2,0)+IF(AND(ISNUMBER(F2197),F2197&lt;=1),2,0)+IF(AND(ISNUMBER(G2197),G2197&lt;=2),1,0)+IF(AND(ISNUMBER(H2197),H2197&lt;=2),1,0)</f>
        <v>0</v>
      </c>
      <c r="J2197" s="2" t="str">
        <f aca="false">IF(I2197&gt;=6,"High",IF(I2197&gt;=3,"Medium","Low"))</f>
        <v>Low</v>
      </c>
    </row>
    <row r="2198" customFormat="false" ht="15" hidden="false" customHeight="true" outlineLevel="0" collapsed="false">
      <c r="A2198" s="2" t="n">
        <f aca="false">'Raw Data'!H2198</f>
        <v>2197</v>
      </c>
      <c r="B2198" s="2" t="n">
        <f aca="false">'Raw Data'!A2198</f>
        <v>28</v>
      </c>
      <c r="C2198" s="2" t="str">
        <f aca="false">'Raw Data'!D2198</f>
        <v>Research &amp; Development</v>
      </c>
      <c r="D2198" s="2" t="str">
        <f aca="false">'Raw Data'!K2198</f>
        <v>Healthcare Representative</v>
      </c>
      <c r="E2198" s="2" t="n">
        <f aca="false">'Raw Data'!Q2198</f>
        <v>5</v>
      </c>
      <c r="F2198" s="2" t="n">
        <f aca="false">'Raw Data'!U2198</f>
        <v>4</v>
      </c>
      <c r="G2198" s="2" t="n">
        <f aca="false">'Raw Data'!W2198</f>
        <v>1</v>
      </c>
      <c r="H2198" s="2" t="n">
        <f aca="false">'Raw Data'!V2198</f>
        <v>3</v>
      </c>
      <c r="I2198" s="2" t="n">
        <f aca="false">IF(AND(ISNUMBER(B2198),B2198&lt;=25),2,0)+IF(AND(ISNUMBER(E2198),E2198&lt;=5),2,0)+IF(AND(ISNUMBER(F2198),F2198&lt;=1),2,0)+IF(AND(ISNUMBER(G2198),G2198&lt;=2),1,0)+IF(AND(ISNUMBER(H2198),H2198&lt;=2),1,0)</f>
        <v>3</v>
      </c>
      <c r="J2198" s="2" t="str">
        <f aca="false">IF(I2198&gt;=6,"High",IF(I2198&gt;=3,"Medium","Low"))</f>
        <v>Medium</v>
      </c>
    </row>
    <row r="2199" customFormat="false" ht="15" hidden="false" customHeight="true" outlineLevel="0" collapsed="false">
      <c r="A2199" s="2" t="n">
        <f aca="false">'Raw Data'!H2199</f>
        <v>2198</v>
      </c>
      <c r="B2199" s="2" t="n">
        <f aca="false">'Raw Data'!A2199</f>
        <v>31</v>
      </c>
      <c r="C2199" s="2" t="str">
        <f aca="false">'Raw Data'!D2199</f>
        <v>Research &amp; Development</v>
      </c>
      <c r="D2199" s="2" t="str">
        <f aca="false">'Raw Data'!K2199</f>
        <v>Sales Executive</v>
      </c>
      <c r="E2199" s="2" t="n">
        <f aca="false">'Raw Data'!Q2199</f>
        <v>10</v>
      </c>
      <c r="F2199" s="2" t="n">
        <f aca="false">'Raw Data'!U2199</f>
        <v>7</v>
      </c>
      <c r="G2199" s="2" t="n">
        <f aca="false">'Raw Data'!W2199</f>
        <v>3</v>
      </c>
      <c r="H2199" s="2" t="n">
        <f aca="false">'Raw Data'!V2199</f>
        <v>4</v>
      </c>
      <c r="I2199" s="2" t="n">
        <f aca="false">IF(AND(ISNUMBER(B2199),B2199&lt;=25),2,0)+IF(AND(ISNUMBER(E2199),E2199&lt;=5),2,0)+IF(AND(ISNUMBER(F2199),F2199&lt;=1),2,0)+IF(AND(ISNUMBER(G2199),G2199&lt;=2),1,0)+IF(AND(ISNUMBER(H2199),H2199&lt;=2),1,0)</f>
        <v>0</v>
      </c>
      <c r="J2199" s="2" t="str">
        <f aca="false">IF(I2199&gt;=6,"High",IF(I2199&gt;=3,"Medium","Low"))</f>
        <v>Low</v>
      </c>
    </row>
    <row r="2200" customFormat="false" ht="15" hidden="false" customHeight="true" outlineLevel="0" collapsed="false">
      <c r="A2200" s="2" t="n">
        <f aca="false">'Raw Data'!H2200</f>
        <v>2199</v>
      </c>
      <c r="B2200" s="2" t="n">
        <f aca="false">'Raw Data'!A2200</f>
        <v>39</v>
      </c>
      <c r="C2200" s="2" t="str">
        <f aca="false">'Raw Data'!D2200</f>
        <v>Research &amp; Development</v>
      </c>
      <c r="D2200" s="2" t="str">
        <f aca="false">'Raw Data'!K2200</f>
        <v>Healthcare Representative</v>
      </c>
      <c r="E2200" s="2" t="n">
        <f aca="false">'Raw Data'!Q2200</f>
        <v>8</v>
      </c>
      <c r="F2200" s="2" t="n">
        <f aca="false">'Raw Data'!U2200</f>
        <v>4</v>
      </c>
      <c r="G2200" s="2" t="n">
        <f aca="false">'Raw Data'!W2200</f>
        <v>4</v>
      </c>
      <c r="H2200" s="2" t="n">
        <f aca="false">'Raw Data'!V2200</f>
        <v>1</v>
      </c>
      <c r="I2200" s="2" t="n">
        <f aca="false">IF(AND(ISNUMBER(B2200),B2200&lt;=25),2,0)+IF(AND(ISNUMBER(E2200),E2200&lt;=5),2,0)+IF(AND(ISNUMBER(F2200),F2200&lt;=1),2,0)+IF(AND(ISNUMBER(G2200),G2200&lt;=2),1,0)+IF(AND(ISNUMBER(H2200),H2200&lt;=2),1,0)</f>
        <v>1</v>
      </c>
      <c r="J2200" s="2" t="str">
        <f aca="false">IF(I2200&gt;=6,"High",IF(I2200&gt;=3,"Medium","Low"))</f>
        <v>Low</v>
      </c>
    </row>
    <row r="2201" customFormat="false" ht="15" hidden="false" customHeight="true" outlineLevel="0" collapsed="false">
      <c r="A2201" s="2" t="n">
        <f aca="false">'Raw Data'!H2201</f>
        <v>2200</v>
      </c>
      <c r="B2201" s="2" t="n">
        <f aca="false">'Raw Data'!A2201</f>
        <v>51</v>
      </c>
      <c r="C2201" s="2" t="str">
        <f aca="false">'Raw Data'!D2201</f>
        <v>Research &amp; Development</v>
      </c>
      <c r="D2201" s="2" t="str">
        <f aca="false">'Raw Data'!K2201</f>
        <v>Sales Executive</v>
      </c>
      <c r="E2201" s="2" t="n">
        <f aca="false">'Raw Data'!Q2201</f>
        <v>14</v>
      </c>
      <c r="F2201" s="2" t="n">
        <f aca="false">'Raw Data'!U2201</f>
        <v>2</v>
      </c>
      <c r="G2201" s="2" t="n">
        <f aca="false">'Raw Data'!W2201</f>
        <v>2</v>
      </c>
      <c r="H2201" s="2" t="n">
        <f aca="false">'Raw Data'!V2201</f>
        <v>2</v>
      </c>
      <c r="I2201" s="2" t="n">
        <f aca="false">IF(AND(ISNUMBER(B2201),B2201&lt;=25),2,0)+IF(AND(ISNUMBER(E2201),E2201&lt;=5),2,0)+IF(AND(ISNUMBER(F2201),F2201&lt;=1),2,0)+IF(AND(ISNUMBER(G2201),G2201&lt;=2),1,0)+IF(AND(ISNUMBER(H2201),H2201&lt;=2),1,0)</f>
        <v>2</v>
      </c>
      <c r="J2201" s="2" t="str">
        <f aca="false">IF(I2201&gt;=6,"High",IF(I2201&gt;=3,"Medium","Low"))</f>
        <v>Low</v>
      </c>
    </row>
    <row r="2202" customFormat="false" ht="15" hidden="false" customHeight="true" outlineLevel="0" collapsed="false">
      <c r="A2202" s="2" t="n">
        <f aca="false">'Raw Data'!H2202</f>
        <v>2201</v>
      </c>
      <c r="B2202" s="2" t="n">
        <f aca="false">'Raw Data'!A2202</f>
        <v>41</v>
      </c>
      <c r="C2202" s="2" t="str">
        <f aca="false">'Raw Data'!D2202</f>
        <v>Research &amp; Development</v>
      </c>
      <c r="D2202" s="2" t="str">
        <f aca="false">'Raw Data'!K2202</f>
        <v>Sales Executive</v>
      </c>
      <c r="E2202" s="2" t="n">
        <f aca="false">'Raw Data'!Q2202</f>
        <v>12</v>
      </c>
      <c r="F2202" s="2" t="n">
        <f aca="false">'Raw Data'!U2202</f>
        <v>3</v>
      </c>
      <c r="G2202" s="2" t="n">
        <f aca="false">'Raw Data'!W2202</f>
        <v>4</v>
      </c>
      <c r="H2202" s="2" t="n">
        <f aca="false">'Raw Data'!V2202</f>
        <v>4</v>
      </c>
      <c r="I2202" s="2" t="n">
        <f aca="false">IF(AND(ISNUMBER(B2202),B2202&lt;=25),2,0)+IF(AND(ISNUMBER(E2202),E2202&lt;=5),2,0)+IF(AND(ISNUMBER(F2202),F2202&lt;=1),2,0)+IF(AND(ISNUMBER(G2202),G2202&lt;=2),1,0)+IF(AND(ISNUMBER(H2202),H2202&lt;=2),1,0)</f>
        <v>0</v>
      </c>
      <c r="J2202" s="2" t="str">
        <f aca="false">IF(I2202&gt;=6,"High",IF(I2202&gt;=3,"Medium","Low"))</f>
        <v>Low</v>
      </c>
    </row>
    <row r="2203" customFormat="false" ht="15" hidden="false" customHeight="true" outlineLevel="0" collapsed="false">
      <c r="A2203" s="2" t="n">
        <f aca="false">'Raw Data'!H2203</f>
        <v>2202</v>
      </c>
      <c r="B2203" s="2" t="n">
        <f aca="false">'Raw Data'!A2203</f>
        <v>37</v>
      </c>
      <c r="C2203" s="2" t="str">
        <f aca="false">'Raw Data'!D2203</f>
        <v>Research &amp; Development</v>
      </c>
      <c r="D2203" s="2" t="str">
        <f aca="false">'Raw Data'!K2203</f>
        <v>Healthcare Representative</v>
      </c>
      <c r="E2203" s="2" t="n">
        <f aca="false">'Raw Data'!Q2203</f>
        <v>8</v>
      </c>
      <c r="F2203" s="2" t="n">
        <f aca="false">'Raw Data'!U2203</f>
        <v>3</v>
      </c>
      <c r="G2203" s="2" t="n">
        <f aca="false">'Raw Data'!W2203</f>
        <v>3</v>
      </c>
      <c r="H2203" s="2" t="n">
        <f aca="false">'Raw Data'!V2203</f>
        <v>3</v>
      </c>
      <c r="I2203" s="2" t="n">
        <f aca="false">IF(AND(ISNUMBER(B2203),B2203&lt;=25),2,0)+IF(AND(ISNUMBER(E2203),E2203&lt;=5),2,0)+IF(AND(ISNUMBER(F2203),F2203&lt;=1),2,0)+IF(AND(ISNUMBER(G2203),G2203&lt;=2),1,0)+IF(AND(ISNUMBER(H2203),H2203&lt;=2),1,0)</f>
        <v>0</v>
      </c>
      <c r="J2203" s="2" t="str">
        <f aca="false">IF(I2203&gt;=6,"High",IF(I2203&gt;=3,"Medium","Low"))</f>
        <v>Low</v>
      </c>
    </row>
    <row r="2204" customFormat="false" ht="15" hidden="false" customHeight="true" outlineLevel="0" collapsed="false">
      <c r="A2204" s="2" t="n">
        <f aca="false">'Raw Data'!H2204</f>
        <v>2203</v>
      </c>
      <c r="B2204" s="2" t="n">
        <f aca="false">'Raw Data'!A2204</f>
        <v>33</v>
      </c>
      <c r="C2204" s="2" t="str">
        <f aca="false">'Raw Data'!D2204</f>
        <v>Research &amp; Development</v>
      </c>
      <c r="D2204" s="2" t="str">
        <f aca="false">'Raw Data'!K2204</f>
        <v>Sales Executive</v>
      </c>
      <c r="E2204" s="2" t="n">
        <f aca="false">'Raw Data'!Q2204</f>
        <v>8</v>
      </c>
      <c r="F2204" s="2" t="n">
        <f aca="false">'Raw Data'!U2204</f>
        <v>2</v>
      </c>
      <c r="G2204" s="2" t="n">
        <f aca="false">'Raw Data'!W2204</f>
        <v>4</v>
      </c>
      <c r="H2204" s="2" t="n">
        <f aca="false">'Raw Data'!V2204</f>
        <v>2</v>
      </c>
      <c r="I2204" s="2" t="n">
        <f aca="false">IF(AND(ISNUMBER(B2204),B2204&lt;=25),2,0)+IF(AND(ISNUMBER(E2204),E2204&lt;=5),2,0)+IF(AND(ISNUMBER(F2204),F2204&lt;=1),2,0)+IF(AND(ISNUMBER(G2204),G2204&lt;=2),1,0)+IF(AND(ISNUMBER(H2204),H2204&lt;=2),1,0)</f>
        <v>1</v>
      </c>
      <c r="J2204" s="2" t="str">
        <f aca="false">IF(I2204&gt;=6,"High",IF(I2204&gt;=3,"Medium","Low"))</f>
        <v>Low</v>
      </c>
    </row>
    <row r="2205" customFormat="false" ht="15" hidden="false" customHeight="true" outlineLevel="0" collapsed="false">
      <c r="A2205" s="2" t="n">
        <f aca="false">'Raw Data'!H2205</f>
        <v>2204</v>
      </c>
      <c r="B2205" s="2" t="n">
        <f aca="false">'Raw Data'!A2205</f>
        <v>32</v>
      </c>
      <c r="C2205" s="2" t="str">
        <f aca="false">'Raw Data'!D2205</f>
        <v>Research &amp; Development</v>
      </c>
      <c r="D2205" s="2" t="str">
        <f aca="false">'Raw Data'!K2205</f>
        <v>Research Director</v>
      </c>
      <c r="E2205" s="2" t="n">
        <f aca="false">'Raw Data'!Q2205</f>
        <v>4</v>
      </c>
      <c r="F2205" s="2" t="n">
        <f aca="false">'Raw Data'!U2205</f>
        <v>2</v>
      </c>
      <c r="G2205" s="2" t="n">
        <f aca="false">'Raw Data'!W2205</f>
        <v>2</v>
      </c>
      <c r="H2205" s="2" t="n">
        <f aca="false">'Raw Data'!V2205</f>
        <v>3</v>
      </c>
      <c r="I2205" s="2" t="n">
        <f aca="false">IF(AND(ISNUMBER(B2205),B2205&lt;=25),2,0)+IF(AND(ISNUMBER(E2205),E2205&lt;=5),2,0)+IF(AND(ISNUMBER(F2205),F2205&lt;=1),2,0)+IF(AND(ISNUMBER(G2205),G2205&lt;=2),1,0)+IF(AND(ISNUMBER(H2205),H2205&lt;=2),1,0)</f>
        <v>3</v>
      </c>
      <c r="J2205" s="2" t="str">
        <f aca="false">IF(I2205&gt;=6,"High",IF(I2205&gt;=3,"Medium","Low"))</f>
        <v>Medium</v>
      </c>
    </row>
    <row r="2206" customFormat="false" ht="15" hidden="false" customHeight="true" outlineLevel="0" collapsed="false">
      <c r="A2206" s="2" t="n">
        <f aca="false">'Raw Data'!H2206</f>
        <v>2205</v>
      </c>
      <c r="B2206" s="2" t="n">
        <f aca="false">'Raw Data'!A2206</f>
        <v>39</v>
      </c>
      <c r="C2206" s="2" t="str">
        <f aca="false">'Raw Data'!D2206</f>
        <v>Research &amp; Development</v>
      </c>
      <c r="D2206" s="2" t="str">
        <f aca="false">'Raw Data'!K2206</f>
        <v>Sales Executive</v>
      </c>
      <c r="E2206" s="2" t="n">
        <f aca="false">'Raw Data'!Q2206</f>
        <v>13</v>
      </c>
      <c r="F2206" s="2" t="n">
        <f aca="false">'Raw Data'!U2206</f>
        <v>5</v>
      </c>
      <c r="G2206" s="2" t="n">
        <f aca="false">'Raw Data'!W2206</f>
        <v>3</v>
      </c>
      <c r="H2206" s="2" t="n">
        <f aca="false">'Raw Data'!V2206</f>
        <v>3</v>
      </c>
      <c r="I2206" s="2" t="n">
        <f aca="false">IF(AND(ISNUMBER(B2206),B2206&lt;=25),2,0)+IF(AND(ISNUMBER(E2206),E2206&lt;=5),2,0)+IF(AND(ISNUMBER(F2206),F2206&lt;=1),2,0)+IF(AND(ISNUMBER(G2206),G2206&lt;=2),1,0)+IF(AND(ISNUMBER(H2206),H2206&lt;=2),1,0)</f>
        <v>0</v>
      </c>
      <c r="J2206" s="2" t="str">
        <f aca="false">IF(I2206&gt;=6,"High",IF(I2206&gt;=3,"Medium","Low"))</f>
        <v>Low</v>
      </c>
    </row>
    <row r="2207" customFormat="false" ht="15" hidden="false" customHeight="true" outlineLevel="0" collapsed="false">
      <c r="A2207" s="2" t="n">
        <f aca="false">'Raw Data'!H2207</f>
        <v>2206</v>
      </c>
      <c r="B2207" s="2" t="n">
        <f aca="false">'Raw Data'!A2207</f>
        <v>25</v>
      </c>
      <c r="C2207" s="2" t="str">
        <f aca="false">'Raw Data'!D2207</f>
        <v>Research &amp; Development</v>
      </c>
      <c r="D2207" s="2" t="str">
        <f aca="false">'Raw Data'!K2207</f>
        <v>Sales Executive</v>
      </c>
      <c r="E2207" s="2" t="n">
        <f aca="false">'Raw Data'!Q2207</f>
        <v>6</v>
      </c>
      <c r="F2207" s="2" t="n">
        <f aca="false">'Raw Data'!U2207</f>
        <v>2</v>
      </c>
      <c r="G2207" s="2" t="n">
        <f aca="false">'Raw Data'!W2207</f>
        <v>3</v>
      </c>
      <c r="H2207" s="2" t="n">
        <f aca="false">'Raw Data'!V2207</f>
        <v>1</v>
      </c>
      <c r="I2207" s="2" t="n">
        <f aca="false">IF(AND(ISNUMBER(B2207),B2207&lt;=25),2,0)+IF(AND(ISNUMBER(E2207),E2207&lt;=5),2,0)+IF(AND(ISNUMBER(F2207),F2207&lt;=1),2,0)+IF(AND(ISNUMBER(G2207),G2207&lt;=2),1,0)+IF(AND(ISNUMBER(H2207),H2207&lt;=2),1,0)</f>
        <v>3</v>
      </c>
      <c r="J2207" s="2" t="str">
        <f aca="false">IF(I2207&gt;=6,"High",IF(I2207&gt;=3,"Medium","Low"))</f>
        <v>Medium</v>
      </c>
    </row>
    <row r="2208" customFormat="false" ht="15" hidden="false" customHeight="true" outlineLevel="0" collapsed="false">
      <c r="A2208" s="2" t="n">
        <f aca="false">'Raw Data'!H2208</f>
        <v>2207</v>
      </c>
      <c r="B2208" s="2" t="n">
        <f aca="false">'Raw Data'!A2208</f>
        <v>52</v>
      </c>
      <c r="C2208" s="2" t="str">
        <f aca="false">'Raw Data'!D2208</f>
        <v>Research &amp; Development</v>
      </c>
      <c r="D2208" s="2" t="str">
        <f aca="false">'Raw Data'!K2208</f>
        <v>Sales Executive</v>
      </c>
      <c r="E2208" s="2" t="n">
        <f aca="false">'Raw Data'!Q2208</f>
        <v>24</v>
      </c>
      <c r="F2208" s="2" t="n">
        <f aca="false">'Raw Data'!U2208</f>
        <v>2</v>
      </c>
      <c r="G2208" s="2" t="n">
        <f aca="false">'Raw Data'!W2208</f>
        <v>3</v>
      </c>
      <c r="H2208" s="2" t="n">
        <f aca="false">'Raw Data'!V2208</f>
        <v>4</v>
      </c>
      <c r="I2208" s="2" t="n">
        <f aca="false">IF(AND(ISNUMBER(B2208),B2208&lt;=25),2,0)+IF(AND(ISNUMBER(E2208),E2208&lt;=5),2,0)+IF(AND(ISNUMBER(F2208),F2208&lt;=1),2,0)+IF(AND(ISNUMBER(G2208),G2208&lt;=2),1,0)+IF(AND(ISNUMBER(H2208),H2208&lt;=2),1,0)</f>
        <v>0</v>
      </c>
      <c r="J2208" s="2" t="str">
        <f aca="false">IF(I2208&gt;=6,"High",IF(I2208&gt;=3,"Medium","Low"))</f>
        <v>Low</v>
      </c>
    </row>
    <row r="2209" customFormat="false" ht="15" hidden="false" customHeight="true" outlineLevel="0" collapsed="false">
      <c r="A2209" s="2" t="n">
        <f aca="false">'Raw Data'!H2209</f>
        <v>2208</v>
      </c>
      <c r="B2209" s="2" t="n">
        <f aca="false">'Raw Data'!A2209</f>
        <v>43</v>
      </c>
      <c r="C2209" s="2" t="str">
        <f aca="false">'Raw Data'!D2209</f>
        <v>Research &amp; Development</v>
      </c>
      <c r="D2209" s="2" t="str">
        <f aca="false">'Raw Data'!K2209</f>
        <v>Laboratory Technician</v>
      </c>
      <c r="E2209" s="2" t="n">
        <f aca="false">'Raw Data'!Q2209</f>
        <v>20</v>
      </c>
      <c r="F2209" s="2" t="n">
        <f aca="false">'Raw Data'!U2209</f>
        <v>8</v>
      </c>
      <c r="G2209" s="2" t="n">
        <f aca="false">'Raw Data'!W2209</f>
        <v>3</v>
      </c>
      <c r="H2209" s="2" t="n">
        <f aca="false">'Raw Data'!V2209</f>
        <v>1</v>
      </c>
      <c r="I2209" s="2" t="n">
        <f aca="false">IF(AND(ISNUMBER(B2209),B2209&lt;=25),2,0)+IF(AND(ISNUMBER(E2209),E2209&lt;=5),2,0)+IF(AND(ISNUMBER(F2209),F2209&lt;=1),2,0)+IF(AND(ISNUMBER(G2209),G2209&lt;=2),1,0)+IF(AND(ISNUMBER(H2209),H2209&lt;=2),1,0)</f>
        <v>1</v>
      </c>
      <c r="J2209" s="2" t="str">
        <f aca="false">IF(I2209&gt;=6,"High",IF(I2209&gt;=3,"Medium","Low"))</f>
        <v>Low</v>
      </c>
    </row>
    <row r="2210" customFormat="false" ht="15" hidden="false" customHeight="true" outlineLevel="0" collapsed="false">
      <c r="A2210" s="2" t="n">
        <f aca="false">'Raw Data'!H2210</f>
        <v>2209</v>
      </c>
      <c r="B2210" s="2" t="n">
        <f aca="false">'Raw Data'!A2210</f>
        <v>27</v>
      </c>
      <c r="C2210" s="2" t="str">
        <f aca="false">'Raw Data'!D2210</f>
        <v>Research &amp; Development</v>
      </c>
      <c r="D2210" s="2" t="str">
        <f aca="false">'Raw Data'!K2210</f>
        <v>Human Resources</v>
      </c>
      <c r="E2210" s="2" t="n">
        <f aca="false">'Raw Data'!Q2210</f>
        <v>6</v>
      </c>
      <c r="F2210" s="2" t="n">
        <f aca="false">'Raw Data'!U2210</f>
        <v>4</v>
      </c>
      <c r="G2210" s="2" t="n">
        <f aca="false">'Raw Data'!W2210</f>
        <v>4</v>
      </c>
      <c r="H2210" s="2" t="n">
        <f aca="false">'Raw Data'!V2210</f>
        <v>4</v>
      </c>
      <c r="I2210" s="2" t="n">
        <f aca="false">IF(AND(ISNUMBER(B2210),B2210&lt;=25),2,0)+IF(AND(ISNUMBER(E2210),E2210&lt;=5),2,0)+IF(AND(ISNUMBER(F2210),F2210&lt;=1),2,0)+IF(AND(ISNUMBER(G2210),G2210&lt;=2),1,0)+IF(AND(ISNUMBER(H2210),H2210&lt;=2),1,0)</f>
        <v>0</v>
      </c>
      <c r="J2210" s="2" t="str">
        <f aca="false">IF(I2210&gt;=6,"High",IF(I2210&gt;=3,"Medium","Low"))</f>
        <v>Low</v>
      </c>
    </row>
    <row r="2211" customFormat="false" ht="15" hidden="false" customHeight="true" outlineLevel="0" collapsed="false">
      <c r="A2211" s="2" t="n">
        <f aca="false">'Raw Data'!H2211</f>
        <v>2210</v>
      </c>
      <c r="B2211" s="2" t="n">
        <f aca="false">'Raw Data'!A2211</f>
        <v>27</v>
      </c>
      <c r="C2211" s="2" t="str">
        <f aca="false">'Raw Data'!D2211</f>
        <v>Research &amp; Development</v>
      </c>
      <c r="D2211" s="2" t="str">
        <f aca="false">'Raw Data'!K2211</f>
        <v>Research Scientist</v>
      </c>
      <c r="E2211" s="2" t="n">
        <f aca="false">'Raw Data'!Q2211</f>
        <v>8</v>
      </c>
      <c r="F2211" s="2" t="n">
        <f aca="false">'Raw Data'!U2211</f>
        <v>7</v>
      </c>
      <c r="G2211" s="2" t="n">
        <f aca="false">'Raw Data'!W2211</f>
        <v>3</v>
      </c>
      <c r="H2211" s="2" t="n">
        <f aca="false">'Raw Data'!V2211</f>
        <v>4</v>
      </c>
      <c r="I2211" s="2" t="n">
        <f aca="false">IF(AND(ISNUMBER(B2211),B2211&lt;=25),2,0)+IF(AND(ISNUMBER(E2211),E2211&lt;=5),2,0)+IF(AND(ISNUMBER(F2211),F2211&lt;=1),2,0)+IF(AND(ISNUMBER(G2211),G2211&lt;=2),1,0)+IF(AND(ISNUMBER(H2211),H2211&lt;=2),1,0)</f>
        <v>0</v>
      </c>
      <c r="J2211" s="2" t="str">
        <f aca="false">IF(I2211&gt;=6,"High",IF(I2211&gt;=3,"Medium","Low"))</f>
        <v>Low</v>
      </c>
    </row>
    <row r="2212" customFormat="false" ht="15" hidden="false" customHeight="true" outlineLevel="0" collapsed="false">
      <c r="A2212" s="2" t="n">
        <f aca="false">'Raw Data'!H2212</f>
        <v>2211</v>
      </c>
      <c r="B2212" s="2" t="n">
        <f aca="false">'Raw Data'!A2212</f>
        <v>26</v>
      </c>
      <c r="C2212" s="2" t="str">
        <f aca="false">'Raw Data'!D2212</f>
        <v>Research &amp; Development</v>
      </c>
      <c r="D2212" s="2" t="str">
        <f aca="false">'Raw Data'!K2212</f>
        <v>Laboratory Technician</v>
      </c>
      <c r="E2212" s="2" t="n">
        <f aca="false">'Raw Data'!Q2212</f>
        <v>5</v>
      </c>
      <c r="F2212" s="2" t="n">
        <f aca="false">'Raw Data'!U2212</f>
        <v>1</v>
      </c>
      <c r="G2212" s="2" t="n">
        <f aca="false">'Raw Data'!W2212</f>
        <v>4</v>
      </c>
      <c r="H2212" s="2" t="n">
        <f aca="false">'Raw Data'!V2212</f>
        <v>1</v>
      </c>
      <c r="I2212" s="2" t="n">
        <f aca="false">IF(AND(ISNUMBER(B2212),B2212&lt;=25),2,0)+IF(AND(ISNUMBER(E2212),E2212&lt;=5),2,0)+IF(AND(ISNUMBER(F2212),F2212&lt;=1),2,0)+IF(AND(ISNUMBER(G2212),G2212&lt;=2),1,0)+IF(AND(ISNUMBER(H2212),H2212&lt;=2),1,0)</f>
        <v>5</v>
      </c>
      <c r="J2212" s="2" t="str">
        <f aca="false">IF(I2212&gt;=6,"High",IF(I2212&gt;=3,"Medium","Low"))</f>
        <v>Medium</v>
      </c>
    </row>
    <row r="2213" customFormat="false" ht="15" hidden="false" customHeight="true" outlineLevel="0" collapsed="false">
      <c r="A2213" s="2" t="n">
        <f aca="false">'Raw Data'!H2213</f>
        <v>2212</v>
      </c>
      <c r="B2213" s="2" t="n">
        <f aca="false">'Raw Data'!A2213</f>
        <v>42</v>
      </c>
      <c r="C2213" s="2" t="str">
        <f aca="false">'Raw Data'!D2213</f>
        <v>Sales</v>
      </c>
      <c r="D2213" s="2" t="str">
        <f aca="false">'Raw Data'!K2213</f>
        <v>Research Scientist</v>
      </c>
      <c r="E2213" s="2" t="n">
        <f aca="false">'Raw Data'!Q2213</f>
        <v>21</v>
      </c>
      <c r="F2213" s="2" t="n">
        <f aca="false">'Raw Data'!U2213</f>
        <v>9</v>
      </c>
      <c r="G2213" s="2" t="n">
        <f aca="false">'Raw Data'!W2213</f>
        <v>1</v>
      </c>
      <c r="H2213" s="2" t="n">
        <f aca="false">'Raw Data'!V2213</f>
        <v>3</v>
      </c>
      <c r="I2213" s="2" t="n">
        <f aca="false">IF(AND(ISNUMBER(B2213),B2213&lt;=25),2,0)+IF(AND(ISNUMBER(E2213),E2213&lt;=5),2,0)+IF(AND(ISNUMBER(F2213),F2213&lt;=1),2,0)+IF(AND(ISNUMBER(G2213),G2213&lt;=2),1,0)+IF(AND(ISNUMBER(H2213),H2213&lt;=2),1,0)</f>
        <v>1</v>
      </c>
      <c r="J2213" s="2" t="str">
        <f aca="false">IF(I2213&gt;=6,"High",IF(I2213&gt;=3,"Medium","Low"))</f>
        <v>Low</v>
      </c>
    </row>
    <row r="2214" customFormat="false" ht="15" hidden="false" customHeight="true" outlineLevel="0" collapsed="false">
      <c r="A2214" s="2" t="n">
        <f aca="false">'Raw Data'!H2214</f>
        <v>2213</v>
      </c>
      <c r="B2214" s="2" t="n">
        <f aca="false">'Raw Data'!A2214</f>
        <v>52</v>
      </c>
      <c r="C2214" s="2" t="str">
        <f aca="false">'Raw Data'!D2214</f>
        <v>Research &amp; Development</v>
      </c>
      <c r="D2214" s="2" t="str">
        <f aca="false">'Raw Data'!K2214</f>
        <v>Healthcare Representative</v>
      </c>
      <c r="E2214" s="2" t="n">
        <f aca="false">'Raw Data'!Q2214</f>
        <v>12</v>
      </c>
      <c r="F2214" s="2" t="n">
        <f aca="false">'Raw Data'!U2214</f>
        <v>4</v>
      </c>
      <c r="G2214" s="2" t="n">
        <f aca="false">'Raw Data'!W2214</f>
        <v>1</v>
      </c>
      <c r="H2214" s="2" t="n">
        <f aca="false">'Raw Data'!V2214</f>
        <v>3</v>
      </c>
      <c r="I2214" s="2" t="n">
        <f aca="false">IF(AND(ISNUMBER(B2214),B2214&lt;=25),2,0)+IF(AND(ISNUMBER(E2214),E2214&lt;=5),2,0)+IF(AND(ISNUMBER(F2214),F2214&lt;=1),2,0)+IF(AND(ISNUMBER(G2214),G2214&lt;=2),1,0)+IF(AND(ISNUMBER(H2214),H2214&lt;=2),1,0)</f>
        <v>1</v>
      </c>
      <c r="J2214" s="2" t="str">
        <f aca="false">IF(I2214&gt;=6,"High",IF(I2214&gt;=3,"Medium","Low"))</f>
        <v>Low</v>
      </c>
    </row>
    <row r="2215" customFormat="false" ht="15" hidden="false" customHeight="true" outlineLevel="0" collapsed="false">
      <c r="A2215" s="2" t="n">
        <f aca="false">'Raw Data'!H2215</f>
        <v>2214</v>
      </c>
      <c r="B2215" s="2" t="n">
        <f aca="false">'Raw Data'!A2215</f>
        <v>37</v>
      </c>
      <c r="C2215" s="2" t="str">
        <f aca="false">'Raw Data'!D2215</f>
        <v>Research &amp; Development</v>
      </c>
      <c r="D2215" s="2" t="str">
        <f aca="false">'Raw Data'!K2215</f>
        <v>Manager</v>
      </c>
      <c r="E2215" s="2" t="n">
        <f aca="false">'Raw Data'!Q2215</f>
        <v>8</v>
      </c>
      <c r="F2215" s="2" t="n">
        <f aca="false">'Raw Data'!U2215</f>
        <v>2</v>
      </c>
      <c r="G2215" s="2" t="n">
        <f aca="false">'Raw Data'!W2215</f>
        <v>3</v>
      </c>
      <c r="H2215" s="2" t="n">
        <f aca="false">'Raw Data'!V2215</f>
        <v>1</v>
      </c>
      <c r="I2215" s="2" t="n">
        <f aca="false">IF(AND(ISNUMBER(B2215),B2215&lt;=25),2,0)+IF(AND(ISNUMBER(E2215),E2215&lt;=5),2,0)+IF(AND(ISNUMBER(F2215),F2215&lt;=1),2,0)+IF(AND(ISNUMBER(G2215),G2215&lt;=2),1,0)+IF(AND(ISNUMBER(H2215),H2215&lt;=2),1,0)</f>
        <v>1</v>
      </c>
      <c r="J2215" s="2" t="str">
        <f aca="false">IF(I2215&gt;=6,"High",IF(I2215&gt;=3,"Medium","Low"))</f>
        <v>Low</v>
      </c>
    </row>
    <row r="2216" customFormat="false" ht="15" hidden="false" customHeight="true" outlineLevel="0" collapsed="false">
      <c r="A2216" s="2" t="n">
        <f aca="false">'Raw Data'!H2216</f>
        <v>2215</v>
      </c>
      <c r="B2216" s="2" t="n">
        <f aca="false">'Raw Data'!A2216</f>
        <v>35</v>
      </c>
      <c r="C2216" s="2" t="str">
        <f aca="false">'Raw Data'!D2216</f>
        <v>Research &amp; Development</v>
      </c>
      <c r="D2216" s="2" t="str">
        <f aca="false">'Raw Data'!K2216</f>
        <v>Research Director</v>
      </c>
      <c r="E2216" s="2" t="n">
        <f aca="false">'Raw Data'!Q2216</f>
        <v>10</v>
      </c>
      <c r="F2216" s="2" t="n">
        <f aca="false">'Raw Data'!U2216</f>
        <v>2</v>
      </c>
      <c r="G2216" s="2" t="n">
        <f aca="false">'Raw Data'!W2216</f>
        <v>4</v>
      </c>
      <c r="H2216" s="2" t="n">
        <f aca="false">'Raw Data'!V2216</f>
        <v>3</v>
      </c>
      <c r="I2216" s="2" t="n">
        <f aca="false">IF(AND(ISNUMBER(B2216),B2216&lt;=25),2,0)+IF(AND(ISNUMBER(E2216),E2216&lt;=5),2,0)+IF(AND(ISNUMBER(F2216),F2216&lt;=1),2,0)+IF(AND(ISNUMBER(G2216),G2216&lt;=2),1,0)+IF(AND(ISNUMBER(H2216),H2216&lt;=2),1,0)</f>
        <v>0</v>
      </c>
      <c r="J2216" s="2" t="str">
        <f aca="false">IF(I2216&gt;=6,"High",IF(I2216&gt;=3,"Medium","Low"))</f>
        <v>Low</v>
      </c>
    </row>
    <row r="2217" customFormat="false" ht="15" hidden="false" customHeight="true" outlineLevel="0" collapsed="false">
      <c r="A2217" s="2" t="n">
        <f aca="false">'Raw Data'!H2217</f>
        <v>2216</v>
      </c>
      <c r="B2217" s="2" t="n">
        <f aca="false">'Raw Data'!A2217</f>
        <v>25</v>
      </c>
      <c r="C2217" s="2" t="str">
        <f aca="false">'Raw Data'!D2217</f>
        <v>Research &amp; Development</v>
      </c>
      <c r="D2217" s="2" t="str">
        <f aca="false">'Raw Data'!K2217</f>
        <v>Sales Executive</v>
      </c>
      <c r="E2217" s="2" t="n">
        <f aca="false">'Raw Data'!Q2217</f>
        <v>7</v>
      </c>
      <c r="F2217" s="2" t="n">
        <f aca="false">'Raw Data'!U2217</f>
        <v>2</v>
      </c>
      <c r="G2217" s="2" t="n">
        <f aca="false">'Raw Data'!W2217</f>
        <v>4</v>
      </c>
      <c r="H2217" s="2" t="n">
        <f aca="false">'Raw Data'!V2217</f>
        <v>1</v>
      </c>
      <c r="I2217" s="2" t="n">
        <f aca="false">IF(AND(ISNUMBER(B2217),B2217&lt;=25),2,0)+IF(AND(ISNUMBER(E2217),E2217&lt;=5),2,0)+IF(AND(ISNUMBER(F2217),F2217&lt;=1),2,0)+IF(AND(ISNUMBER(G2217),G2217&lt;=2),1,0)+IF(AND(ISNUMBER(H2217),H2217&lt;=2),1,0)</f>
        <v>3</v>
      </c>
      <c r="J2217" s="2" t="str">
        <f aca="false">IF(I2217&gt;=6,"High",IF(I2217&gt;=3,"Medium","Low"))</f>
        <v>Medium</v>
      </c>
    </row>
    <row r="2218" customFormat="false" ht="15" hidden="false" customHeight="true" outlineLevel="0" collapsed="false">
      <c r="A2218" s="2" t="n">
        <f aca="false">'Raw Data'!H2218</f>
        <v>2217</v>
      </c>
      <c r="B2218" s="2" t="n">
        <f aca="false">'Raw Data'!A2218</f>
        <v>26</v>
      </c>
      <c r="C2218" s="2" t="str">
        <f aca="false">'Raw Data'!D2218</f>
        <v>Research &amp; Development</v>
      </c>
      <c r="D2218" s="2" t="str">
        <f aca="false">'Raw Data'!K2218</f>
        <v>Research Scientist</v>
      </c>
      <c r="E2218" s="2" t="n">
        <f aca="false">'Raw Data'!Q2218</f>
        <v>8</v>
      </c>
      <c r="F2218" s="2" t="n">
        <f aca="false">'Raw Data'!U2218</f>
        <v>7</v>
      </c>
      <c r="G2218" s="2" t="n">
        <f aca="false">'Raw Data'!W2218</f>
        <v>1</v>
      </c>
      <c r="H2218" s="2" t="n">
        <f aca="false">'Raw Data'!V2218</f>
        <v>3</v>
      </c>
      <c r="I2218" s="2" t="n">
        <f aca="false">IF(AND(ISNUMBER(B2218),B2218&lt;=25),2,0)+IF(AND(ISNUMBER(E2218),E2218&lt;=5),2,0)+IF(AND(ISNUMBER(F2218),F2218&lt;=1),2,0)+IF(AND(ISNUMBER(G2218),G2218&lt;=2),1,0)+IF(AND(ISNUMBER(H2218),H2218&lt;=2),1,0)</f>
        <v>1</v>
      </c>
      <c r="J2218" s="2" t="str">
        <f aca="false">IF(I2218&gt;=6,"High",IF(I2218&gt;=3,"Medium","Low"))</f>
        <v>Low</v>
      </c>
    </row>
    <row r="2219" customFormat="false" ht="15" hidden="false" customHeight="true" outlineLevel="0" collapsed="false">
      <c r="A2219" s="2" t="n">
        <f aca="false">'Raw Data'!H2219</f>
        <v>2218</v>
      </c>
      <c r="B2219" s="2" t="n">
        <f aca="false">'Raw Data'!A2219</f>
        <v>29</v>
      </c>
      <c r="C2219" s="2" t="str">
        <f aca="false">'Raw Data'!D2219</f>
        <v>Sales</v>
      </c>
      <c r="D2219" s="2" t="str">
        <f aca="false">'Raw Data'!K2219</f>
        <v>Laboratory Technician</v>
      </c>
      <c r="E2219" s="2" t="n">
        <f aca="false">'Raw Data'!Q2219</f>
        <v>10</v>
      </c>
      <c r="F2219" s="2" t="n">
        <f aca="false">'Raw Data'!U2219</f>
        <v>9</v>
      </c>
      <c r="G2219" s="2" t="n">
        <f aca="false">'Raw Data'!W2219</f>
        <v>1</v>
      </c>
      <c r="H2219" s="2" t="n">
        <f aca="false">'Raw Data'!V2219</f>
        <v>2</v>
      </c>
      <c r="I2219" s="2" t="n">
        <f aca="false">IF(AND(ISNUMBER(B2219),B2219&lt;=25),2,0)+IF(AND(ISNUMBER(E2219),E2219&lt;=5),2,0)+IF(AND(ISNUMBER(F2219),F2219&lt;=1),2,0)+IF(AND(ISNUMBER(G2219),G2219&lt;=2),1,0)+IF(AND(ISNUMBER(H2219),H2219&lt;=2),1,0)</f>
        <v>2</v>
      </c>
      <c r="J2219" s="2" t="str">
        <f aca="false">IF(I2219&gt;=6,"High",IF(I2219&gt;=3,"Medium","Low"))</f>
        <v>Low</v>
      </c>
    </row>
    <row r="2220" customFormat="false" ht="15" hidden="false" customHeight="true" outlineLevel="0" collapsed="false">
      <c r="A2220" s="2" t="n">
        <f aca="false">'Raw Data'!H2220</f>
        <v>2219</v>
      </c>
      <c r="B2220" s="2" t="n">
        <f aca="false">'Raw Data'!A2220</f>
        <v>49</v>
      </c>
      <c r="C2220" s="2" t="str">
        <f aca="false">'Raw Data'!D2220</f>
        <v>Sales</v>
      </c>
      <c r="D2220" s="2" t="str">
        <f aca="false">'Raw Data'!K2220</f>
        <v>Healthcare Representative</v>
      </c>
      <c r="E2220" s="2" t="n">
        <f aca="false">'Raw Data'!Q2220</f>
        <v>20</v>
      </c>
      <c r="F2220" s="2" t="n">
        <f aca="false">'Raw Data'!U2220</f>
        <v>3</v>
      </c>
      <c r="G2220" s="2" t="n">
        <f aca="false">'Raw Data'!W2220</f>
        <v>1</v>
      </c>
      <c r="H2220" s="2" t="n">
        <f aca="false">'Raw Data'!V2220</f>
        <v>1</v>
      </c>
      <c r="I2220" s="2" t="n">
        <f aca="false">IF(AND(ISNUMBER(B2220),B2220&lt;=25),2,0)+IF(AND(ISNUMBER(E2220),E2220&lt;=5),2,0)+IF(AND(ISNUMBER(F2220),F2220&lt;=1),2,0)+IF(AND(ISNUMBER(G2220),G2220&lt;=2),1,0)+IF(AND(ISNUMBER(H2220),H2220&lt;=2),1,0)</f>
        <v>2</v>
      </c>
      <c r="J2220" s="2" t="str">
        <f aca="false">IF(I2220&gt;=6,"High",IF(I2220&gt;=3,"Medium","Low"))</f>
        <v>Low</v>
      </c>
    </row>
    <row r="2221" customFormat="false" ht="15" hidden="false" customHeight="true" outlineLevel="0" collapsed="false">
      <c r="A2221" s="2" t="n">
        <f aca="false">'Raw Data'!H2221</f>
        <v>2220</v>
      </c>
      <c r="B2221" s="2" t="n">
        <f aca="false">'Raw Data'!A2221</f>
        <v>29</v>
      </c>
      <c r="C2221" s="2" t="str">
        <f aca="false">'Raw Data'!D2221</f>
        <v>Sales</v>
      </c>
      <c r="D2221" s="2" t="str">
        <f aca="false">'Raw Data'!K2221</f>
        <v>Laboratory Technician</v>
      </c>
      <c r="E2221" s="2" t="n">
        <f aca="false">'Raw Data'!Q2221</f>
        <v>9</v>
      </c>
      <c r="F2221" s="2" t="n">
        <f aca="false">'Raw Data'!U2221</f>
        <v>7</v>
      </c>
      <c r="G2221" s="2" t="n">
        <f aca="false">'Raw Data'!W2221</f>
        <v>4</v>
      </c>
      <c r="H2221" s="2" t="n">
        <f aca="false">'Raw Data'!V2221</f>
        <v>3</v>
      </c>
      <c r="I2221" s="2" t="n">
        <f aca="false">IF(AND(ISNUMBER(B2221),B2221&lt;=25),2,0)+IF(AND(ISNUMBER(E2221),E2221&lt;=5),2,0)+IF(AND(ISNUMBER(F2221),F2221&lt;=1),2,0)+IF(AND(ISNUMBER(G2221),G2221&lt;=2),1,0)+IF(AND(ISNUMBER(H2221),H2221&lt;=2),1,0)</f>
        <v>0</v>
      </c>
      <c r="J2221" s="2" t="str">
        <f aca="false">IF(I2221&gt;=6,"High",IF(I2221&gt;=3,"Medium","Low"))</f>
        <v>Low</v>
      </c>
    </row>
    <row r="2222" customFormat="false" ht="15" hidden="false" customHeight="true" outlineLevel="0" collapsed="false">
      <c r="A2222" s="2" t="n">
        <f aca="false">'Raw Data'!H2222</f>
        <v>2221</v>
      </c>
      <c r="B2222" s="2" t="n">
        <f aca="false">'Raw Data'!A2222</f>
        <v>54</v>
      </c>
      <c r="C2222" s="2" t="str">
        <f aca="false">'Raw Data'!D2222</f>
        <v>Sales</v>
      </c>
      <c r="D2222" s="2" t="str">
        <f aca="false">'Raw Data'!K2222</f>
        <v>Manager</v>
      </c>
      <c r="E2222" s="2" t="n">
        <f aca="false">'Raw Data'!Q2222</f>
        <v>29</v>
      </c>
      <c r="F2222" s="2" t="n">
        <f aca="false">'Raw Data'!U2222</f>
        <v>7</v>
      </c>
      <c r="G2222" s="2" t="n">
        <f aca="false">'Raw Data'!W2222</f>
        <v>4</v>
      </c>
      <c r="H2222" s="2" t="n">
        <f aca="false">'Raw Data'!V2222</f>
        <v>4</v>
      </c>
      <c r="I2222" s="2" t="n">
        <f aca="false">IF(AND(ISNUMBER(B2222),B2222&lt;=25),2,0)+IF(AND(ISNUMBER(E2222),E2222&lt;=5),2,0)+IF(AND(ISNUMBER(F2222),F2222&lt;=1),2,0)+IF(AND(ISNUMBER(G2222),G2222&lt;=2),1,0)+IF(AND(ISNUMBER(H2222),H2222&lt;=2),1,0)</f>
        <v>0</v>
      </c>
      <c r="J2222" s="2" t="str">
        <f aca="false">IF(I2222&gt;=6,"High",IF(I2222&gt;=3,"Medium","Low"))</f>
        <v>Low</v>
      </c>
    </row>
    <row r="2223" customFormat="false" ht="15" hidden="false" customHeight="true" outlineLevel="0" collapsed="false">
      <c r="A2223" s="2" t="n">
        <f aca="false">'Raw Data'!H2223</f>
        <v>2222</v>
      </c>
      <c r="B2223" s="2" t="n">
        <f aca="false">'Raw Data'!A2223</f>
        <v>58</v>
      </c>
      <c r="C2223" s="2" t="str">
        <f aca="false">'Raw Data'!D2223</f>
        <v>Sales</v>
      </c>
      <c r="D2223" s="2" t="str">
        <f aca="false">'Raw Data'!K2223</f>
        <v>Laboratory Technician</v>
      </c>
      <c r="E2223" s="2" t="n">
        <f aca="false">'Raw Data'!Q2223</f>
        <v>32</v>
      </c>
      <c r="F2223" s="2" t="n">
        <f aca="false">'Raw Data'!U2223</f>
        <v>5</v>
      </c>
      <c r="G2223" s="2" t="n">
        <f aca="false">'Raw Data'!W2223</f>
        <v>1</v>
      </c>
      <c r="H2223" s="2" t="n">
        <f aca="false">'Raw Data'!V2223</f>
        <v>4</v>
      </c>
      <c r="I2223" s="2" t="n">
        <f aca="false">IF(AND(ISNUMBER(B2223),B2223&lt;=25),2,0)+IF(AND(ISNUMBER(E2223),E2223&lt;=5),2,0)+IF(AND(ISNUMBER(F2223),F2223&lt;=1),2,0)+IF(AND(ISNUMBER(G2223),G2223&lt;=2),1,0)+IF(AND(ISNUMBER(H2223),H2223&lt;=2),1,0)</f>
        <v>1</v>
      </c>
      <c r="J2223" s="2" t="str">
        <f aca="false">IF(I2223&gt;=6,"High",IF(I2223&gt;=3,"Medium","Low"))</f>
        <v>Low</v>
      </c>
    </row>
    <row r="2224" customFormat="false" ht="15" hidden="false" customHeight="true" outlineLevel="0" collapsed="false">
      <c r="A2224" s="2" t="n">
        <f aca="false">'Raw Data'!H2224</f>
        <v>2223</v>
      </c>
      <c r="B2224" s="2" t="n">
        <f aca="false">'Raw Data'!A2224</f>
        <v>55</v>
      </c>
      <c r="C2224" s="2" t="str">
        <f aca="false">'Raw Data'!D2224</f>
        <v>Research &amp; Development</v>
      </c>
      <c r="D2224" s="2" t="str">
        <f aca="false">'Raw Data'!K2224</f>
        <v>Research Scientist</v>
      </c>
      <c r="E2224" s="2" t="n">
        <f aca="false">'Raw Data'!Q2224</f>
        <v>31</v>
      </c>
      <c r="F2224" s="2" t="n">
        <f aca="false">'Raw Data'!U2224</f>
        <v>0</v>
      </c>
      <c r="G2224" s="2" t="n">
        <f aca="false">'Raw Data'!W2224</f>
        <v>4</v>
      </c>
      <c r="H2224" s="2" t="n">
        <f aca="false">'Raw Data'!V2224</f>
        <v>2</v>
      </c>
      <c r="I2224" s="2" t="n">
        <f aca="false">IF(AND(ISNUMBER(B2224),B2224&lt;=25),2,0)+IF(AND(ISNUMBER(E2224),E2224&lt;=5),2,0)+IF(AND(ISNUMBER(F2224),F2224&lt;=1),2,0)+IF(AND(ISNUMBER(G2224),G2224&lt;=2),1,0)+IF(AND(ISNUMBER(H2224),H2224&lt;=2),1,0)</f>
        <v>3</v>
      </c>
      <c r="J2224" s="2" t="str">
        <f aca="false">IF(I2224&gt;=6,"High",IF(I2224&gt;=3,"Medium","Low"))</f>
        <v>Medium</v>
      </c>
    </row>
    <row r="2225" customFormat="false" ht="15" hidden="false" customHeight="true" outlineLevel="0" collapsed="false">
      <c r="A2225" s="2" t="n">
        <f aca="false">'Raw Data'!H2225</f>
        <v>2224</v>
      </c>
      <c r="B2225" s="2" t="n">
        <f aca="false">'Raw Data'!A2225</f>
        <v>36</v>
      </c>
      <c r="C2225" s="2" t="str">
        <f aca="false">'Raw Data'!D2225</f>
        <v>Research &amp; Development</v>
      </c>
      <c r="D2225" s="2" t="str">
        <f aca="false">'Raw Data'!K2225</f>
        <v>Sales Executive</v>
      </c>
      <c r="E2225" s="2" t="n">
        <f aca="false">'Raw Data'!Q2225</f>
        <v>15</v>
      </c>
      <c r="F2225" s="2" t="n">
        <f aca="false">'Raw Data'!U2225</f>
        <v>1</v>
      </c>
      <c r="G2225" s="2" t="n">
        <f aca="false">'Raw Data'!W2225</f>
        <v>2</v>
      </c>
      <c r="H2225" s="2" t="n">
        <f aca="false">'Raw Data'!V2225</f>
        <v>1</v>
      </c>
      <c r="I2225" s="2" t="n">
        <f aca="false">IF(AND(ISNUMBER(B2225),B2225&lt;=25),2,0)+IF(AND(ISNUMBER(E2225),E2225&lt;=5),2,0)+IF(AND(ISNUMBER(F2225),F2225&lt;=1),2,0)+IF(AND(ISNUMBER(G2225),G2225&lt;=2),1,0)+IF(AND(ISNUMBER(H2225),H2225&lt;=2),1,0)</f>
        <v>4</v>
      </c>
      <c r="J2225" s="2" t="str">
        <f aca="false">IF(I2225&gt;=6,"High",IF(I2225&gt;=3,"Medium","Low"))</f>
        <v>Medium</v>
      </c>
    </row>
    <row r="2226" customFormat="false" ht="15" hidden="false" customHeight="true" outlineLevel="0" collapsed="false">
      <c r="A2226" s="2" t="n">
        <f aca="false">'Raw Data'!H2226</f>
        <v>2225</v>
      </c>
      <c r="B2226" s="2" t="n">
        <f aca="false">'Raw Data'!A2226</f>
        <v>31</v>
      </c>
      <c r="C2226" s="2" t="str">
        <f aca="false">'Raw Data'!D2226</f>
        <v>Sales</v>
      </c>
      <c r="D2226" s="2" t="str">
        <f aca="false">'Raw Data'!K2226</f>
        <v>Manager</v>
      </c>
      <c r="E2226" s="2" t="n">
        <f aca="false">'Raw Data'!Q2226</f>
        <v>1</v>
      </c>
      <c r="F2226" s="2" t="n">
        <f aca="false">'Raw Data'!U2226</f>
        <v>0</v>
      </c>
      <c r="G2226" s="2" t="n">
        <f aca="false">'Raw Data'!W2226</f>
        <v>3</v>
      </c>
      <c r="H2226" s="2" t="n">
        <f aca="false">'Raw Data'!V2226</f>
        <v>2</v>
      </c>
      <c r="I2226" s="2" t="n">
        <f aca="false">IF(AND(ISNUMBER(B2226),B2226&lt;=25),2,0)+IF(AND(ISNUMBER(E2226),E2226&lt;=5),2,0)+IF(AND(ISNUMBER(F2226),F2226&lt;=1),2,0)+IF(AND(ISNUMBER(G2226),G2226&lt;=2),1,0)+IF(AND(ISNUMBER(H2226),H2226&lt;=2),1,0)</f>
        <v>5</v>
      </c>
      <c r="J2226" s="2" t="str">
        <f aca="false">IF(I2226&gt;=6,"High",IF(I2226&gt;=3,"Medium","Low"))</f>
        <v>Medium</v>
      </c>
    </row>
    <row r="2227" customFormat="false" ht="15" hidden="false" customHeight="true" outlineLevel="0" collapsed="false">
      <c r="A2227" s="2" t="n">
        <f aca="false">'Raw Data'!H2227</f>
        <v>2226</v>
      </c>
      <c r="B2227" s="2" t="n">
        <f aca="false">'Raw Data'!A2227</f>
        <v>30</v>
      </c>
      <c r="C2227" s="2" t="str">
        <f aca="false">'Raw Data'!D2227</f>
        <v>Sales</v>
      </c>
      <c r="D2227" s="2" t="str">
        <f aca="false">'Raw Data'!K2227</f>
        <v>Sales Executive</v>
      </c>
      <c r="E2227" s="2" t="n">
        <f aca="false">'Raw Data'!Q2227</f>
        <v>8</v>
      </c>
      <c r="F2227" s="2" t="n">
        <f aca="false">'Raw Data'!U2227</f>
        <v>2</v>
      </c>
      <c r="G2227" s="2" t="n">
        <f aca="false">'Raw Data'!W2227</f>
        <v>1</v>
      </c>
      <c r="H2227" s="2" t="n">
        <f aca="false">'Raw Data'!V2227</f>
        <v>4</v>
      </c>
      <c r="I2227" s="2" t="n">
        <f aca="false">IF(AND(ISNUMBER(B2227),B2227&lt;=25),2,0)+IF(AND(ISNUMBER(E2227),E2227&lt;=5),2,0)+IF(AND(ISNUMBER(F2227),F2227&lt;=1),2,0)+IF(AND(ISNUMBER(G2227),G2227&lt;=2),1,0)+IF(AND(ISNUMBER(H2227),H2227&lt;=2),1,0)</f>
        <v>1</v>
      </c>
      <c r="J2227" s="2" t="str">
        <f aca="false">IF(I2227&gt;=6,"High",IF(I2227&gt;=3,"Medium","Low"))</f>
        <v>Low</v>
      </c>
    </row>
    <row r="2228" customFormat="false" ht="15" hidden="false" customHeight="true" outlineLevel="0" collapsed="false">
      <c r="A2228" s="2" t="n">
        <f aca="false">'Raw Data'!H2228</f>
        <v>2227</v>
      </c>
      <c r="B2228" s="2" t="n">
        <f aca="false">'Raw Data'!A2228</f>
        <v>31</v>
      </c>
      <c r="C2228" s="2" t="str">
        <f aca="false">'Raw Data'!D2228</f>
        <v>Research &amp; Development</v>
      </c>
      <c r="D2228" s="2" t="str">
        <f aca="false">'Raw Data'!K2228</f>
        <v>Laboratory Technician</v>
      </c>
      <c r="E2228" s="2" t="n">
        <f aca="false">'Raw Data'!Q2228</f>
        <v>9</v>
      </c>
      <c r="F2228" s="2" t="n">
        <f aca="false">'Raw Data'!U2228</f>
        <v>0</v>
      </c>
      <c r="G2228" s="2" t="n">
        <f aca="false">'Raw Data'!W2228</f>
        <v>2</v>
      </c>
      <c r="H2228" s="2" t="n">
        <f aca="false">'Raw Data'!V2228</f>
        <v>1</v>
      </c>
      <c r="I2228" s="2" t="n">
        <f aca="false">IF(AND(ISNUMBER(B2228),B2228&lt;=25),2,0)+IF(AND(ISNUMBER(E2228),E2228&lt;=5),2,0)+IF(AND(ISNUMBER(F2228),F2228&lt;=1),2,0)+IF(AND(ISNUMBER(G2228),G2228&lt;=2),1,0)+IF(AND(ISNUMBER(H2228),H2228&lt;=2),1,0)</f>
        <v>4</v>
      </c>
      <c r="J2228" s="2" t="str">
        <f aca="false">IF(I2228&gt;=6,"High",IF(I2228&gt;=3,"Medium","Low"))</f>
        <v>Medium</v>
      </c>
    </row>
    <row r="2229" customFormat="false" ht="15" hidden="false" customHeight="true" outlineLevel="0" collapsed="false">
      <c r="A2229" s="2" t="n">
        <f aca="false">'Raw Data'!H2229</f>
        <v>2228</v>
      </c>
      <c r="B2229" s="2" t="n">
        <f aca="false">'Raw Data'!A2229</f>
        <v>34</v>
      </c>
      <c r="C2229" s="2" t="str">
        <f aca="false">'Raw Data'!D2229</f>
        <v>Sales</v>
      </c>
      <c r="D2229" s="2" t="str">
        <f aca="false">'Raw Data'!K2229</f>
        <v>Manager</v>
      </c>
      <c r="E2229" s="2" t="n">
        <f aca="false">'Raw Data'!Q2229</f>
        <v>10</v>
      </c>
      <c r="F2229" s="2" t="n">
        <f aca="false">'Raw Data'!U2229</f>
        <v>3</v>
      </c>
      <c r="G2229" s="2" t="n">
        <f aca="false">'Raw Data'!W2229</f>
        <v>1</v>
      </c>
      <c r="H2229" s="2" t="n">
        <f aca="false">'Raw Data'!V2229</f>
        <v>4</v>
      </c>
      <c r="I2229" s="2" t="n">
        <f aca="false">IF(AND(ISNUMBER(B2229),B2229&lt;=25),2,0)+IF(AND(ISNUMBER(E2229),E2229&lt;=5),2,0)+IF(AND(ISNUMBER(F2229),F2229&lt;=1),2,0)+IF(AND(ISNUMBER(G2229),G2229&lt;=2),1,0)+IF(AND(ISNUMBER(H2229),H2229&lt;=2),1,0)</f>
        <v>1</v>
      </c>
      <c r="J2229" s="2" t="str">
        <f aca="false">IF(I2229&gt;=6,"High",IF(I2229&gt;=3,"Medium","Low"))</f>
        <v>Low</v>
      </c>
    </row>
    <row r="2230" customFormat="false" ht="15" hidden="false" customHeight="true" outlineLevel="0" collapsed="false">
      <c r="A2230" s="2" t="n">
        <f aca="false">'Raw Data'!H2230</f>
        <v>2229</v>
      </c>
      <c r="B2230" s="2" t="n">
        <f aca="false">'Raw Data'!A2230</f>
        <v>31</v>
      </c>
      <c r="C2230" s="2" t="str">
        <f aca="false">'Raw Data'!D2230</f>
        <v>Sales</v>
      </c>
      <c r="D2230" s="2" t="str">
        <f aca="false">'Raw Data'!K2230</f>
        <v>Research Scientist</v>
      </c>
      <c r="E2230" s="2" t="n">
        <f aca="false">'Raw Data'!Q2230</f>
        <v>1</v>
      </c>
      <c r="F2230" s="2" t="n">
        <f aca="false">'Raw Data'!U2230</f>
        <v>0</v>
      </c>
      <c r="G2230" s="2" t="n">
        <f aca="false">'Raw Data'!W2230</f>
        <v>2</v>
      </c>
      <c r="H2230" s="2" t="n">
        <f aca="false">'Raw Data'!V2230</f>
        <v>1</v>
      </c>
      <c r="I2230" s="2" t="n">
        <f aca="false">IF(AND(ISNUMBER(B2230),B2230&lt;=25),2,0)+IF(AND(ISNUMBER(E2230),E2230&lt;=5),2,0)+IF(AND(ISNUMBER(F2230),F2230&lt;=1),2,0)+IF(AND(ISNUMBER(G2230),G2230&lt;=2),1,0)+IF(AND(ISNUMBER(H2230),H2230&lt;=2),1,0)</f>
        <v>6</v>
      </c>
      <c r="J2230" s="2" t="str">
        <f aca="false">IF(I2230&gt;=6,"High",IF(I2230&gt;=3,"Medium","Low"))</f>
        <v>High</v>
      </c>
    </row>
    <row r="2231" customFormat="false" ht="15" hidden="false" customHeight="true" outlineLevel="0" collapsed="false">
      <c r="A2231" s="2" t="n">
        <f aca="false">'Raw Data'!H2231</f>
        <v>2230</v>
      </c>
      <c r="B2231" s="2" t="n">
        <f aca="false">'Raw Data'!A2231</f>
        <v>27</v>
      </c>
      <c r="C2231" s="2" t="str">
        <f aca="false">'Raw Data'!D2231</f>
        <v>Human Resources</v>
      </c>
      <c r="D2231" s="2" t="str">
        <f aca="false">'Raw Data'!K2231</f>
        <v>Sales Executive</v>
      </c>
      <c r="E2231" s="2" t="n">
        <f aca="false">'Raw Data'!Q2231</f>
        <v>6</v>
      </c>
      <c r="F2231" s="2" t="n">
        <f aca="false">'Raw Data'!U2231</f>
        <v>4</v>
      </c>
      <c r="G2231" s="2" t="n">
        <f aca="false">'Raw Data'!W2231</f>
        <v>1</v>
      </c>
      <c r="H2231" s="2" t="n">
        <f aca="false">'Raw Data'!V2231</f>
        <v>2</v>
      </c>
      <c r="I2231" s="2" t="n">
        <f aca="false">IF(AND(ISNUMBER(B2231),B2231&lt;=25),2,0)+IF(AND(ISNUMBER(E2231),E2231&lt;=5),2,0)+IF(AND(ISNUMBER(F2231),F2231&lt;=1),2,0)+IF(AND(ISNUMBER(G2231),G2231&lt;=2),1,0)+IF(AND(ISNUMBER(H2231),H2231&lt;=2),1,0)</f>
        <v>2</v>
      </c>
      <c r="J2231" s="2" t="str">
        <f aca="false">IF(I2231&gt;=6,"High",IF(I2231&gt;=3,"Medium","Low"))</f>
        <v>Low</v>
      </c>
    </row>
    <row r="2232" customFormat="false" ht="15" hidden="false" customHeight="true" outlineLevel="0" collapsed="false">
      <c r="A2232" s="2" t="n">
        <f aca="false">'Raw Data'!H2232</f>
        <v>2231</v>
      </c>
      <c r="B2232" s="2" t="n">
        <f aca="false">'Raw Data'!A2232</f>
        <v>36</v>
      </c>
      <c r="C2232" s="2" t="str">
        <f aca="false">'Raw Data'!D2232</f>
        <v>Sales</v>
      </c>
      <c r="D2232" s="2" t="str">
        <f aca="false">'Raw Data'!K2232</f>
        <v>Research Scientist</v>
      </c>
      <c r="E2232" s="2" t="n">
        <f aca="false">'Raw Data'!Q2232</f>
        <v>10</v>
      </c>
      <c r="F2232" s="2" t="n">
        <f aca="false">'Raw Data'!U2232</f>
        <v>8</v>
      </c>
      <c r="G2232" s="2" t="n">
        <f aca="false">'Raw Data'!W2232</f>
        <v>4</v>
      </c>
      <c r="H2232" s="2" t="n">
        <f aca="false">'Raw Data'!V2232</f>
        <v>1</v>
      </c>
      <c r="I2232" s="2" t="n">
        <f aca="false">IF(AND(ISNUMBER(B2232),B2232&lt;=25),2,0)+IF(AND(ISNUMBER(E2232),E2232&lt;=5),2,0)+IF(AND(ISNUMBER(F2232),F2232&lt;=1),2,0)+IF(AND(ISNUMBER(G2232),G2232&lt;=2),1,0)+IF(AND(ISNUMBER(H2232),H2232&lt;=2),1,0)</f>
        <v>1</v>
      </c>
      <c r="J2232" s="2" t="str">
        <f aca="false">IF(I2232&gt;=6,"High",IF(I2232&gt;=3,"Medium","Low"))</f>
        <v>Low</v>
      </c>
    </row>
    <row r="2233" customFormat="false" ht="15" hidden="false" customHeight="true" outlineLevel="0" collapsed="false">
      <c r="A2233" s="2" t="n">
        <f aca="false">'Raw Data'!H2233</f>
        <v>2232</v>
      </c>
      <c r="B2233" s="2" t="n">
        <f aca="false">'Raw Data'!A2233</f>
        <v>36</v>
      </c>
      <c r="C2233" s="2" t="str">
        <f aca="false">'Raw Data'!D2233</f>
        <v>Research &amp; Development</v>
      </c>
      <c r="D2233" s="2" t="str">
        <f aca="false">'Raw Data'!K2233</f>
        <v>Research Director</v>
      </c>
      <c r="E2233" s="2" t="n">
        <f aca="false">'Raw Data'!Q2233</f>
        <v>11</v>
      </c>
      <c r="F2233" s="2" t="n">
        <f aca="false">'Raw Data'!U2233</f>
        <v>2</v>
      </c>
      <c r="G2233" s="2" t="n">
        <f aca="false">'Raw Data'!W2233</f>
        <v>1</v>
      </c>
      <c r="H2233" s="2" t="n">
        <f aca="false">'Raw Data'!V2233</f>
        <v>3</v>
      </c>
      <c r="I2233" s="2" t="n">
        <f aca="false">IF(AND(ISNUMBER(B2233),B2233&lt;=25),2,0)+IF(AND(ISNUMBER(E2233),E2233&lt;=5),2,0)+IF(AND(ISNUMBER(F2233),F2233&lt;=1),2,0)+IF(AND(ISNUMBER(G2233),G2233&lt;=2),1,0)+IF(AND(ISNUMBER(H2233),H2233&lt;=2),1,0)</f>
        <v>1</v>
      </c>
      <c r="J2233" s="2" t="str">
        <f aca="false">IF(I2233&gt;=6,"High",IF(I2233&gt;=3,"Medium","Low"))</f>
        <v>Low</v>
      </c>
    </row>
    <row r="2234" customFormat="false" ht="15" hidden="false" customHeight="true" outlineLevel="0" collapsed="false">
      <c r="A2234" s="2" t="n">
        <f aca="false">'Raw Data'!H2234</f>
        <v>2233</v>
      </c>
      <c r="B2234" s="2" t="n">
        <f aca="false">'Raw Data'!A2234</f>
        <v>47</v>
      </c>
      <c r="C2234" s="2" t="str">
        <f aca="false">'Raw Data'!D2234</f>
        <v>Research &amp; Development</v>
      </c>
      <c r="D2234" s="2" t="str">
        <f aca="false">'Raw Data'!K2234</f>
        <v>Sales Executive</v>
      </c>
      <c r="E2234" s="2" t="n">
        <f aca="false">'Raw Data'!Q2234</f>
        <v>17</v>
      </c>
      <c r="F2234" s="2" t="n">
        <f aca="false">'Raw Data'!U2234</f>
        <v>2</v>
      </c>
      <c r="G2234" s="2" t="n">
        <f aca="false">'Raw Data'!W2234</f>
        <v>4</v>
      </c>
      <c r="H2234" s="2" t="n">
        <f aca="false">'Raw Data'!V2234</f>
        <v>1</v>
      </c>
      <c r="I2234" s="2" t="n">
        <f aca="false">IF(AND(ISNUMBER(B2234),B2234&lt;=25),2,0)+IF(AND(ISNUMBER(E2234),E2234&lt;=5),2,0)+IF(AND(ISNUMBER(F2234),F2234&lt;=1),2,0)+IF(AND(ISNUMBER(G2234),G2234&lt;=2),1,0)+IF(AND(ISNUMBER(H2234),H2234&lt;=2),1,0)</f>
        <v>1</v>
      </c>
      <c r="J2234" s="2" t="str">
        <f aca="false">IF(I2234&gt;=6,"High",IF(I2234&gt;=3,"Medium","Low"))</f>
        <v>Low</v>
      </c>
    </row>
    <row r="2235" customFormat="false" ht="15" hidden="false" customHeight="true" outlineLevel="0" collapsed="false">
      <c r="A2235" s="2" t="n">
        <f aca="false">'Raw Data'!H2235</f>
        <v>2234</v>
      </c>
      <c r="B2235" s="2" t="n">
        <f aca="false">'Raw Data'!A2235</f>
        <v>25</v>
      </c>
      <c r="C2235" s="2" t="str">
        <f aca="false">'Raw Data'!D2235</f>
        <v>Sales</v>
      </c>
      <c r="D2235" s="2" t="str">
        <f aca="false">'Raw Data'!K2235</f>
        <v>Research Scientist</v>
      </c>
      <c r="E2235" s="2" t="n">
        <f aca="false">'Raw Data'!Q2235</f>
        <v>6</v>
      </c>
      <c r="F2235" s="2" t="n">
        <f aca="false">'Raw Data'!U2235</f>
        <v>2</v>
      </c>
      <c r="G2235" s="2" t="n">
        <f aca="false">'Raw Data'!W2235</f>
        <v>1</v>
      </c>
      <c r="H2235" s="2" t="n">
        <f aca="false">'Raw Data'!V2235</f>
        <v>1</v>
      </c>
      <c r="I2235" s="2" t="n">
        <f aca="false">IF(AND(ISNUMBER(B2235),B2235&lt;=25),2,0)+IF(AND(ISNUMBER(E2235),E2235&lt;=5),2,0)+IF(AND(ISNUMBER(F2235),F2235&lt;=1),2,0)+IF(AND(ISNUMBER(G2235),G2235&lt;=2),1,0)+IF(AND(ISNUMBER(H2235),H2235&lt;=2),1,0)</f>
        <v>4</v>
      </c>
      <c r="J2235" s="2" t="str">
        <f aca="false">IF(I2235&gt;=6,"High",IF(I2235&gt;=3,"Medium","Low"))</f>
        <v>Medium</v>
      </c>
    </row>
    <row r="2236" customFormat="false" ht="15" hidden="false" customHeight="true" outlineLevel="0" collapsed="false">
      <c r="A2236" s="2" t="n">
        <f aca="false">'Raw Data'!H2236</f>
        <v>2235</v>
      </c>
      <c r="B2236" s="2" t="n">
        <f aca="false">'Raw Data'!A2236</f>
        <v>37</v>
      </c>
      <c r="C2236" s="2" t="str">
        <f aca="false">'Raw Data'!D2236</f>
        <v>Sales</v>
      </c>
      <c r="D2236" s="2" t="str">
        <f aca="false">'Raw Data'!K2236</f>
        <v>Healthcare Representative</v>
      </c>
      <c r="E2236" s="2" t="n">
        <f aca="false">'Raw Data'!Q2236</f>
        <v>7</v>
      </c>
      <c r="F2236" s="2" t="n">
        <f aca="false">'Raw Data'!U2236</f>
        <v>3</v>
      </c>
      <c r="G2236" s="2" t="n">
        <f aca="false">'Raw Data'!W2236</f>
        <v>3</v>
      </c>
      <c r="H2236" s="2" t="n">
        <f aca="false">'Raw Data'!V2236</f>
        <v>3</v>
      </c>
      <c r="I2236" s="2" t="n">
        <f aca="false">IF(AND(ISNUMBER(B2236),B2236&lt;=25),2,0)+IF(AND(ISNUMBER(E2236),E2236&lt;=5),2,0)+IF(AND(ISNUMBER(F2236),F2236&lt;=1),2,0)+IF(AND(ISNUMBER(G2236),G2236&lt;=2),1,0)+IF(AND(ISNUMBER(H2236),H2236&lt;=2),1,0)</f>
        <v>0</v>
      </c>
      <c r="J2236" s="2" t="str">
        <f aca="false">IF(I2236&gt;=6,"High",IF(I2236&gt;=3,"Medium","Low"))</f>
        <v>Low</v>
      </c>
    </row>
    <row r="2237" customFormat="false" ht="15" hidden="false" customHeight="true" outlineLevel="0" collapsed="false">
      <c r="A2237" s="2" t="n">
        <f aca="false">'Raw Data'!H2237</f>
        <v>2236</v>
      </c>
      <c r="B2237" s="2" t="n">
        <f aca="false">'Raw Data'!A2237</f>
        <v>56</v>
      </c>
      <c r="C2237" s="2" t="str">
        <f aca="false">'Raw Data'!D2237</f>
        <v>Research &amp; Development</v>
      </c>
      <c r="D2237" s="2" t="str">
        <f aca="false">'Raw Data'!K2237</f>
        <v>Sales Representative</v>
      </c>
      <c r="E2237" s="2" t="n">
        <f aca="false">'Raw Data'!Q2237</f>
        <v>5</v>
      </c>
      <c r="F2237" s="2" t="n">
        <f aca="false">'Raw Data'!U2237</f>
        <v>0</v>
      </c>
      <c r="G2237" s="2" t="n">
        <f aca="false">'Raw Data'!W2237</f>
        <v>1</v>
      </c>
      <c r="H2237" s="2" t="n">
        <f aca="false">'Raw Data'!V2237</f>
        <v>1</v>
      </c>
      <c r="I2237" s="2" t="n">
        <f aca="false">IF(AND(ISNUMBER(B2237),B2237&lt;=25),2,0)+IF(AND(ISNUMBER(E2237),E2237&lt;=5),2,0)+IF(AND(ISNUMBER(F2237),F2237&lt;=1),2,0)+IF(AND(ISNUMBER(G2237),G2237&lt;=2),1,0)+IF(AND(ISNUMBER(H2237),H2237&lt;=2),1,0)</f>
        <v>6</v>
      </c>
      <c r="J2237" s="2" t="str">
        <f aca="false">IF(I2237&gt;=6,"High",IF(I2237&gt;=3,"Medium","Low"))</f>
        <v>High</v>
      </c>
    </row>
    <row r="2238" customFormat="false" ht="15" hidden="false" customHeight="true" outlineLevel="0" collapsed="false">
      <c r="A2238" s="2" t="n">
        <f aca="false">'Raw Data'!H2238</f>
        <v>2237</v>
      </c>
      <c r="B2238" s="2" t="n">
        <f aca="false">'Raw Data'!A2238</f>
        <v>47</v>
      </c>
      <c r="C2238" s="2" t="str">
        <f aca="false">'Raw Data'!D2238</f>
        <v>Research &amp; Development</v>
      </c>
      <c r="D2238" s="2" t="str">
        <f aca="false">'Raw Data'!K2238</f>
        <v>Laboratory Technician</v>
      </c>
      <c r="E2238" s="2" t="n">
        <f aca="false">'Raw Data'!Q2238</f>
        <v>26</v>
      </c>
      <c r="F2238" s="2" t="n">
        <f aca="false">'Raw Data'!U2238</f>
        <v>6</v>
      </c>
      <c r="G2238" s="2" t="n">
        <f aca="false">'Raw Data'!W2238</f>
        <v>3</v>
      </c>
      <c r="H2238" s="2" t="n">
        <f aca="false">'Raw Data'!V2238</f>
        <v>1</v>
      </c>
      <c r="I2238" s="2" t="n">
        <f aca="false">IF(AND(ISNUMBER(B2238),B2238&lt;=25),2,0)+IF(AND(ISNUMBER(E2238),E2238&lt;=5),2,0)+IF(AND(ISNUMBER(F2238),F2238&lt;=1),2,0)+IF(AND(ISNUMBER(G2238),G2238&lt;=2),1,0)+IF(AND(ISNUMBER(H2238),H2238&lt;=2),1,0)</f>
        <v>1</v>
      </c>
      <c r="J2238" s="2" t="str">
        <f aca="false">IF(I2238&gt;=6,"High",IF(I2238&gt;=3,"Medium","Low"))</f>
        <v>Low</v>
      </c>
    </row>
    <row r="2239" customFormat="false" ht="15" hidden="false" customHeight="true" outlineLevel="0" collapsed="false">
      <c r="A2239" s="2" t="n">
        <f aca="false">'Raw Data'!H2239</f>
        <v>2238</v>
      </c>
      <c r="B2239" s="2" t="n">
        <f aca="false">'Raw Data'!A2239</f>
        <v>24</v>
      </c>
      <c r="C2239" s="2" t="str">
        <f aca="false">'Raw Data'!D2239</f>
        <v>Research &amp; Development</v>
      </c>
      <c r="D2239" s="2" t="str">
        <f aca="false">'Raw Data'!K2239</f>
        <v>Manufacturing Director</v>
      </c>
      <c r="E2239" s="2" t="n">
        <f aca="false">'Raw Data'!Q2239</f>
        <v>5</v>
      </c>
      <c r="F2239" s="2" t="n">
        <f aca="false">'Raw Data'!U2239</f>
        <v>3</v>
      </c>
      <c r="G2239" s="2" t="n">
        <f aca="false">'Raw Data'!W2239</f>
        <v>3</v>
      </c>
      <c r="H2239" s="2" t="n">
        <f aca="false">'Raw Data'!V2239</f>
        <v>4</v>
      </c>
      <c r="I2239" s="2" t="n">
        <f aca="false">IF(AND(ISNUMBER(B2239),B2239&lt;=25),2,0)+IF(AND(ISNUMBER(E2239),E2239&lt;=5),2,0)+IF(AND(ISNUMBER(F2239),F2239&lt;=1),2,0)+IF(AND(ISNUMBER(G2239),G2239&lt;=2),1,0)+IF(AND(ISNUMBER(H2239),H2239&lt;=2),1,0)</f>
        <v>4</v>
      </c>
      <c r="J2239" s="2" t="str">
        <f aca="false">IF(I2239&gt;=6,"High",IF(I2239&gt;=3,"Medium","Low"))</f>
        <v>Medium</v>
      </c>
    </row>
    <row r="2240" customFormat="false" ht="15" hidden="false" customHeight="true" outlineLevel="0" collapsed="false">
      <c r="A2240" s="2" t="n">
        <f aca="false">'Raw Data'!H2240</f>
        <v>2239</v>
      </c>
      <c r="B2240" s="2" t="n">
        <f aca="false">'Raw Data'!A2240</f>
        <v>32</v>
      </c>
      <c r="C2240" s="2" t="str">
        <f aca="false">'Raw Data'!D2240</f>
        <v>Sales</v>
      </c>
      <c r="D2240" s="2" t="str">
        <f aca="false">'Raw Data'!K2240</f>
        <v>Research Scientist</v>
      </c>
      <c r="E2240" s="2" t="n">
        <f aca="false">'Raw Data'!Q2240</f>
        <v>7</v>
      </c>
      <c r="F2240" s="2" t="n">
        <f aca="false">'Raw Data'!U2240</f>
        <v>3</v>
      </c>
      <c r="G2240" s="2" t="n">
        <f aca="false">'Raw Data'!W2240</f>
        <v>4</v>
      </c>
      <c r="H2240" s="2" t="n">
        <f aca="false">'Raw Data'!V2240</f>
        <v>4</v>
      </c>
      <c r="I2240" s="2" t="n">
        <f aca="false">IF(AND(ISNUMBER(B2240),B2240&lt;=25),2,0)+IF(AND(ISNUMBER(E2240),E2240&lt;=5),2,0)+IF(AND(ISNUMBER(F2240),F2240&lt;=1),2,0)+IF(AND(ISNUMBER(G2240),G2240&lt;=2),1,0)+IF(AND(ISNUMBER(H2240),H2240&lt;=2),1,0)</f>
        <v>0</v>
      </c>
      <c r="J2240" s="2" t="str">
        <f aca="false">IF(I2240&gt;=6,"High",IF(I2240&gt;=3,"Medium","Low"))</f>
        <v>Low</v>
      </c>
    </row>
    <row r="2241" customFormat="false" ht="15" hidden="false" customHeight="true" outlineLevel="0" collapsed="false">
      <c r="A2241" s="2" t="n">
        <f aca="false">'Raw Data'!H2241</f>
        <v>2240</v>
      </c>
      <c r="B2241" s="2" t="n">
        <f aca="false">'Raw Data'!A2241</f>
        <v>34</v>
      </c>
      <c r="C2241" s="2" t="str">
        <f aca="false">'Raw Data'!D2241</f>
        <v>Research &amp; Development</v>
      </c>
      <c r="D2241" s="2" t="str">
        <f aca="false">'Raw Data'!K2241</f>
        <v>Sales Executive</v>
      </c>
      <c r="E2241" s="2" t="n">
        <f aca="false">'Raw Data'!Q2241</f>
        <v>7</v>
      </c>
      <c r="F2241" s="2" t="n">
        <f aca="false">'Raw Data'!U2241</f>
        <v>2</v>
      </c>
      <c r="G2241" s="2" t="n">
        <f aca="false">'Raw Data'!W2241</f>
        <v>2</v>
      </c>
      <c r="H2241" s="2" t="n">
        <f aca="false">'Raw Data'!V2241</f>
        <v>4</v>
      </c>
      <c r="I2241" s="2" t="n">
        <f aca="false">IF(AND(ISNUMBER(B2241),B2241&lt;=25),2,0)+IF(AND(ISNUMBER(E2241),E2241&lt;=5),2,0)+IF(AND(ISNUMBER(F2241),F2241&lt;=1),2,0)+IF(AND(ISNUMBER(G2241),G2241&lt;=2),1,0)+IF(AND(ISNUMBER(H2241),H2241&lt;=2),1,0)</f>
        <v>1</v>
      </c>
      <c r="J2241" s="2" t="str">
        <f aca="false">IF(I2241&gt;=6,"High",IF(I2241&gt;=3,"Medium","Low"))</f>
        <v>Low</v>
      </c>
    </row>
    <row r="2242" customFormat="false" ht="15" hidden="false" customHeight="true" outlineLevel="0" collapsed="false">
      <c r="A2242" s="2" t="n">
        <f aca="false">'Raw Data'!H2242</f>
        <v>2241</v>
      </c>
      <c r="B2242" s="2" t="n">
        <f aca="false">'Raw Data'!A2242</f>
        <v>41</v>
      </c>
      <c r="C2242" s="2" t="str">
        <f aca="false">'Raw Data'!D2242</f>
        <v>Research &amp; Development</v>
      </c>
      <c r="D2242" s="2" t="str">
        <f aca="false">'Raw Data'!K2242</f>
        <v>Sales Executive</v>
      </c>
      <c r="E2242" s="2" t="n">
        <f aca="false">'Raw Data'!Q2242</f>
        <v>7</v>
      </c>
      <c r="F2242" s="2" t="n">
        <f aca="false">'Raw Data'!U2242</f>
        <v>3</v>
      </c>
      <c r="G2242" s="2" t="n">
        <f aca="false">'Raw Data'!W2242</f>
        <v>3</v>
      </c>
      <c r="H2242" s="2" t="n">
        <f aca="false">'Raw Data'!V2242</f>
        <v>2</v>
      </c>
      <c r="I2242" s="2" t="n">
        <f aca="false">IF(AND(ISNUMBER(B2242),B2242&lt;=25),2,0)+IF(AND(ISNUMBER(E2242),E2242&lt;=5),2,0)+IF(AND(ISNUMBER(F2242),F2242&lt;=1),2,0)+IF(AND(ISNUMBER(G2242),G2242&lt;=2),1,0)+IF(AND(ISNUMBER(H2242),H2242&lt;=2),1,0)</f>
        <v>1</v>
      </c>
      <c r="J2242" s="2" t="str">
        <f aca="false">IF(I2242&gt;=6,"High",IF(I2242&gt;=3,"Medium","Low"))</f>
        <v>Low</v>
      </c>
    </row>
    <row r="2243" customFormat="false" ht="15" hidden="false" customHeight="true" outlineLevel="0" collapsed="false">
      <c r="A2243" s="2" t="n">
        <f aca="false">'Raw Data'!H2243</f>
        <v>2242</v>
      </c>
      <c r="B2243" s="2" t="n">
        <f aca="false">'Raw Data'!A2243</f>
        <v>40</v>
      </c>
      <c r="C2243" s="2" t="str">
        <f aca="false">'Raw Data'!D2243</f>
        <v>Sales</v>
      </c>
      <c r="D2243" s="2" t="str">
        <f aca="false">'Raw Data'!K2243</f>
        <v>Sales Executive</v>
      </c>
      <c r="E2243" s="2" t="n">
        <f aca="false">'Raw Data'!Q2243</f>
        <v>11</v>
      </c>
      <c r="F2243" s="2" t="n">
        <f aca="false">'Raw Data'!U2243</f>
        <v>7</v>
      </c>
      <c r="G2243" s="2" t="n">
        <f aca="false">'Raw Data'!W2243</f>
        <v>3</v>
      </c>
      <c r="H2243" s="2" t="n">
        <f aca="false">'Raw Data'!V2243</f>
        <v>3</v>
      </c>
      <c r="I2243" s="2" t="n">
        <f aca="false">IF(AND(ISNUMBER(B2243),B2243&lt;=25),2,0)+IF(AND(ISNUMBER(E2243),E2243&lt;=5),2,0)+IF(AND(ISNUMBER(F2243),F2243&lt;=1),2,0)+IF(AND(ISNUMBER(G2243),G2243&lt;=2),1,0)+IF(AND(ISNUMBER(H2243),H2243&lt;=2),1,0)</f>
        <v>0</v>
      </c>
      <c r="J2243" s="2" t="str">
        <f aca="false">IF(I2243&gt;=6,"High",IF(I2243&gt;=3,"Medium","Low"))</f>
        <v>Low</v>
      </c>
    </row>
    <row r="2244" customFormat="false" ht="15" hidden="false" customHeight="true" outlineLevel="0" collapsed="false">
      <c r="A2244" s="2" t="n">
        <f aca="false">'Raw Data'!H2244</f>
        <v>2243</v>
      </c>
      <c r="B2244" s="2" t="n">
        <f aca="false">'Raw Data'!A2244</f>
        <v>31</v>
      </c>
      <c r="C2244" s="2" t="str">
        <f aca="false">'Raw Data'!D2244</f>
        <v>Research &amp; Development</v>
      </c>
      <c r="D2244" s="2" t="str">
        <f aca="false">'Raw Data'!K2244</f>
        <v>Human Resources</v>
      </c>
      <c r="E2244" s="2" t="n">
        <f aca="false">'Raw Data'!Q2244</f>
        <v>13</v>
      </c>
      <c r="F2244" s="2" t="n">
        <f aca="false">'Raw Data'!U2244</f>
        <v>9</v>
      </c>
      <c r="G2244" s="2" t="n">
        <f aca="false">'Raw Data'!W2244</f>
        <v>4</v>
      </c>
      <c r="H2244" s="2" t="n">
        <f aca="false">'Raw Data'!V2244</f>
        <v>1</v>
      </c>
      <c r="I2244" s="2" t="n">
        <f aca="false">IF(AND(ISNUMBER(B2244),B2244&lt;=25),2,0)+IF(AND(ISNUMBER(E2244),E2244&lt;=5),2,0)+IF(AND(ISNUMBER(F2244),F2244&lt;=1),2,0)+IF(AND(ISNUMBER(G2244),G2244&lt;=2),1,0)+IF(AND(ISNUMBER(H2244),H2244&lt;=2),1,0)</f>
        <v>1</v>
      </c>
      <c r="J2244" s="2" t="str">
        <f aca="false">IF(I2244&gt;=6,"High",IF(I2244&gt;=3,"Medium","Low"))</f>
        <v>Low</v>
      </c>
    </row>
    <row r="2245" customFormat="false" ht="15" hidden="false" customHeight="true" outlineLevel="0" collapsed="false">
      <c r="A2245" s="2" t="n">
        <f aca="false">'Raw Data'!H2245</f>
        <v>2244</v>
      </c>
      <c r="B2245" s="2" t="n">
        <f aca="false">'Raw Data'!A2245</f>
        <v>46</v>
      </c>
      <c r="C2245" s="2" t="str">
        <f aca="false">'Raw Data'!D2245</f>
        <v>Research &amp; Development</v>
      </c>
      <c r="D2245" s="2" t="str">
        <f aca="false">'Raw Data'!K2245</f>
        <v>Manufacturing Director</v>
      </c>
      <c r="E2245" s="2" t="n">
        <f aca="false">'Raw Data'!Q2245</f>
        <v>28</v>
      </c>
      <c r="F2245" s="2" t="n">
        <f aca="false">'Raw Data'!U2245</f>
        <v>3</v>
      </c>
      <c r="G2245" s="2" t="n">
        <f aca="false">'Raw Data'!W2245</f>
        <v>4</v>
      </c>
      <c r="H2245" s="2" t="n">
        <f aca="false">'Raw Data'!V2245</f>
        <v>1</v>
      </c>
      <c r="I2245" s="2" t="n">
        <f aca="false">IF(AND(ISNUMBER(B2245),B2245&lt;=25),2,0)+IF(AND(ISNUMBER(E2245),E2245&lt;=5),2,0)+IF(AND(ISNUMBER(F2245),F2245&lt;=1),2,0)+IF(AND(ISNUMBER(G2245),G2245&lt;=2),1,0)+IF(AND(ISNUMBER(H2245),H2245&lt;=2),1,0)</f>
        <v>1</v>
      </c>
      <c r="J2245" s="2" t="str">
        <f aca="false">IF(I2245&gt;=6,"High",IF(I2245&gt;=3,"Medium","Low"))</f>
        <v>Low</v>
      </c>
    </row>
    <row r="2246" customFormat="false" ht="15" hidden="false" customHeight="true" outlineLevel="0" collapsed="false">
      <c r="A2246" s="2" t="n">
        <f aca="false">'Raw Data'!H2246</f>
        <v>2245</v>
      </c>
      <c r="B2246" s="2" t="n">
        <f aca="false">'Raw Data'!A2246</f>
        <v>39</v>
      </c>
      <c r="C2246" s="2" t="str">
        <f aca="false">'Raw Data'!D2246</f>
        <v>Research &amp; Development</v>
      </c>
      <c r="D2246" s="2" t="str">
        <f aca="false">'Raw Data'!K2246</f>
        <v>Manufacturing Director</v>
      </c>
      <c r="E2246" s="2" t="n">
        <f aca="false">'Raw Data'!Q2246</f>
        <v>11</v>
      </c>
      <c r="F2246" s="2" t="n">
        <f aca="false">'Raw Data'!U2246</f>
        <v>0</v>
      </c>
      <c r="G2246" s="2" t="n">
        <f aca="false">'Raw Data'!W2246</f>
        <v>1</v>
      </c>
      <c r="H2246" s="2" t="n">
        <f aca="false">'Raw Data'!V2246</f>
        <v>1</v>
      </c>
      <c r="I2246" s="2" t="n">
        <f aca="false">IF(AND(ISNUMBER(B2246),B2246&lt;=25),2,0)+IF(AND(ISNUMBER(E2246),E2246&lt;=5),2,0)+IF(AND(ISNUMBER(F2246),F2246&lt;=1),2,0)+IF(AND(ISNUMBER(G2246),G2246&lt;=2),1,0)+IF(AND(ISNUMBER(H2246),H2246&lt;=2),1,0)</f>
        <v>4</v>
      </c>
      <c r="J2246" s="2" t="str">
        <f aca="false">IF(I2246&gt;=6,"High",IF(I2246&gt;=3,"Medium","Low"))</f>
        <v>Medium</v>
      </c>
    </row>
    <row r="2247" customFormat="false" ht="15" hidden="false" customHeight="true" outlineLevel="0" collapsed="false">
      <c r="A2247" s="2" t="n">
        <f aca="false">'Raw Data'!H2247</f>
        <v>2246</v>
      </c>
      <c r="B2247" s="2" t="n">
        <f aca="false">'Raw Data'!A2247</f>
        <v>31</v>
      </c>
      <c r="C2247" s="2" t="str">
        <f aca="false">'Raw Data'!D2247</f>
        <v>Sales</v>
      </c>
      <c r="D2247" s="2" t="str">
        <f aca="false">'Raw Data'!K2247</f>
        <v>Sales Executive</v>
      </c>
      <c r="E2247" s="2" t="n">
        <f aca="false">'Raw Data'!Q2247</f>
        <v>10</v>
      </c>
      <c r="F2247" s="2" t="n">
        <f aca="false">'Raw Data'!U2247</f>
        <v>7</v>
      </c>
      <c r="G2247" s="2" t="n">
        <f aca="false">'Raw Data'!W2247</f>
        <v>2</v>
      </c>
      <c r="H2247" s="2" t="n">
        <f aca="false">'Raw Data'!V2247</f>
        <v>3</v>
      </c>
      <c r="I2247" s="2" t="n">
        <f aca="false">IF(AND(ISNUMBER(B2247),B2247&lt;=25),2,0)+IF(AND(ISNUMBER(E2247),E2247&lt;=5),2,0)+IF(AND(ISNUMBER(F2247),F2247&lt;=1),2,0)+IF(AND(ISNUMBER(G2247),G2247&lt;=2),1,0)+IF(AND(ISNUMBER(H2247),H2247&lt;=2),1,0)</f>
        <v>1</v>
      </c>
      <c r="J2247" s="2" t="str">
        <f aca="false">IF(I2247&gt;=6,"High",IF(I2247&gt;=3,"Medium","Low"))</f>
        <v>Low</v>
      </c>
    </row>
    <row r="2248" customFormat="false" ht="15" hidden="false" customHeight="true" outlineLevel="0" collapsed="false">
      <c r="A2248" s="2" t="n">
        <f aca="false">'Raw Data'!H2248</f>
        <v>2247</v>
      </c>
      <c r="B2248" s="2" t="n">
        <f aca="false">'Raw Data'!A2248</f>
        <v>45</v>
      </c>
      <c r="C2248" s="2" t="str">
        <f aca="false">'Raw Data'!D2248</f>
        <v>Sales</v>
      </c>
      <c r="D2248" s="2" t="str">
        <f aca="false">'Raw Data'!K2248</f>
        <v>Sales Executive</v>
      </c>
      <c r="E2248" s="2" t="n">
        <f aca="false">'Raw Data'!Q2248</f>
        <v>24</v>
      </c>
      <c r="F2248" s="2" t="n">
        <f aca="false">'Raw Data'!U2248</f>
        <v>7</v>
      </c>
      <c r="G2248" s="2" t="n">
        <f aca="false">'Raw Data'!W2248</f>
        <v>1</v>
      </c>
      <c r="H2248" s="2" t="n">
        <f aca="false">'Raw Data'!V2248</f>
        <v>2</v>
      </c>
      <c r="I2248" s="2" t="n">
        <f aca="false">IF(AND(ISNUMBER(B2248),B2248&lt;=25),2,0)+IF(AND(ISNUMBER(E2248),E2248&lt;=5),2,0)+IF(AND(ISNUMBER(F2248),F2248&lt;=1),2,0)+IF(AND(ISNUMBER(G2248),G2248&lt;=2),1,0)+IF(AND(ISNUMBER(H2248),H2248&lt;=2),1,0)</f>
        <v>2</v>
      </c>
      <c r="J2248" s="2" t="str">
        <f aca="false">IF(I2248&gt;=6,"High",IF(I2248&gt;=3,"Medium","Low"))</f>
        <v>Low</v>
      </c>
    </row>
    <row r="2249" customFormat="false" ht="15" hidden="false" customHeight="true" outlineLevel="0" collapsed="false">
      <c r="A2249" s="2" t="n">
        <f aca="false">'Raw Data'!H2249</f>
        <v>2248</v>
      </c>
      <c r="B2249" s="2" t="n">
        <f aca="false">'Raw Data'!A2249</f>
        <v>31</v>
      </c>
      <c r="C2249" s="2" t="str">
        <f aca="false">'Raw Data'!D2249</f>
        <v>Research &amp; Development</v>
      </c>
      <c r="D2249" s="2" t="str">
        <f aca="false">'Raw Data'!K2249</f>
        <v>Human Resources</v>
      </c>
      <c r="E2249" s="2" t="n">
        <f aca="false">'Raw Data'!Q2249</f>
        <v>8</v>
      </c>
      <c r="F2249" s="2" t="n">
        <f aca="false">'Raw Data'!U2249</f>
        <v>2</v>
      </c>
      <c r="G2249" s="2" t="n">
        <f aca="false">'Raw Data'!W2249</f>
        <v>2</v>
      </c>
      <c r="H2249" s="2" t="n">
        <f aca="false">'Raw Data'!V2249</f>
        <v>4</v>
      </c>
      <c r="I2249" s="2" t="n">
        <f aca="false">IF(AND(ISNUMBER(B2249),B2249&lt;=25),2,0)+IF(AND(ISNUMBER(E2249),E2249&lt;=5),2,0)+IF(AND(ISNUMBER(F2249),F2249&lt;=1),2,0)+IF(AND(ISNUMBER(G2249),G2249&lt;=2),1,0)+IF(AND(ISNUMBER(H2249),H2249&lt;=2),1,0)</f>
        <v>1</v>
      </c>
      <c r="J2249" s="2" t="str">
        <f aca="false">IF(I2249&gt;=6,"High",IF(I2249&gt;=3,"Medium","Low"))</f>
        <v>Low</v>
      </c>
    </row>
    <row r="2250" customFormat="false" ht="15" hidden="false" customHeight="true" outlineLevel="0" collapsed="false">
      <c r="A2250" s="2" t="n">
        <f aca="false">'Raw Data'!H2250</f>
        <v>2249</v>
      </c>
      <c r="B2250" s="2" t="n">
        <f aca="false">'Raw Data'!A2250</f>
        <v>31</v>
      </c>
      <c r="C2250" s="2" t="str">
        <f aca="false">'Raw Data'!D2250</f>
        <v>Research &amp; Development</v>
      </c>
      <c r="D2250" s="2" t="str">
        <f aca="false">'Raw Data'!K2250</f>
        <v>Laboratory Technician</v>
      </c>
      <c r="E2250" s="2" t="n">
        <f aca="false">'Raw Data'!Q2250</f>
        <v>7</v>
      </c>
      <c r="F2250" s="2" t="n">
        <f aca="false">'Raw Data'!U2250</f>
        <v>2</v>
      </c>
      <c r="G2250" s="2" t="n">
        <f aca="false">'Raw Data'!W2250</f>
        <v>4</v>
      </c>
      <c r="H2250" s="2" t="n">
        <f aca="false">'Raw Data'!V2250</f>
        <v>2</v>
      </c>
      <c r="I2250" s="2" t="n">
        <f aca="false">IF(AND(ISNUMBER(B2250),B2250&lt;=25),2,0)+IF(AND(ISNUMBER(E2250),E2250&lt;=5),2,0)+IF(AND(ISNUMBER(F2250),F2250&lt;=1),2,0)+IF(AND(ISNUMBER(G2250),G2250&lt;=2),1,0)+IF(AND(ISNUMBER(H2250),H2250&lt;=2),1,0)</f>
        <v>1</v>
      </c>
      <c r="J2250" s="2" t="str">
        <f aca="false">IF(I2250&gt;=6,"High",IF(I2250&gt;=3,"Medium","Low"))</f>
        <v>Low</v>
      </c>
    </row>
    <row r="2251" customFormat="false" ht="15" hidden="false" customHeight="true" outlineLevel="0" collapsed="false">
      <c r="A2251" s="2" t="n">
        <f aca="false">'Raw Data'!H2251</f>
        <v>2250</v>
      </c>
      <c r="B2251" s="2" t="n">
        <f aca="false">'Raw Data'!A2251</f>
        <v>45</v>
      </c>
      <c r="C2251" s="2" t="str">
        <f aca="false">'Raw Data'!D2251</f>
        <v>Research &amp; Development</v>
      </c>
      <c r="D2251" s="2" t="str">
        <f aca="false">'Raw Data'!K2251</f>
        <v>Research Scientist</v>
      </c>
      <c r="E2251" s="2" t="n">
        <f aca="false">'Raw Data'!Q2251</f>
        <v>10</v>
      </c>
      <c r="F2251" s="2" t="n">
        <f aca="false">'Raw Data'!U2251</f>
        <v>2</v>
      </c>
      <c r="G2251" s="2" t="n">
        <f aca="false">'Raw Data'!W2251</f>
        <v>4</v>
      </c>
      <c r="H2251" s="2" t="n">
        <f aca="false">'Raw Data'!V2251</f>
        <v>2</v>
      </c>
      <c r="I2251" s="2" t="n">
        <f aca="false">IF(AND(ISNUMBER(B2251),B2251&lt;=25),2,0)+IF(AND(ISNUMBER(E2251),E2251&lt;=5),2,0)+IF(AND(ISNUMBER(F2251),F2251&lt;=1),2,0)+IF(AND(ISNUMBER(G2251),G2251&lt;=2),1,0)+IF(AND(ISNUMBER(H2251),H2251&lt;=2),1,0)</f>
        <v>1</v>
      </c>
      <c r="J2251" s="2" t="str">
        <f aca="false">IF(I2251&gt;=6,"High",IF(I2251&gt;=3,"Medium","Low"))</f>
        <v>Low</v>
      </c>
    </row>
    <row r="2252" customFormat="false" ht="15" hidden="false" customHeight="true" outlineLevel="0" collapsed="false">
      <c r="A2252" s="2" t="n">
        <f aca="false">'Raw Data'!H2252</f>
        <v>2251</v>
      </c>
      <c r="B2252" s="2" t="n">
        <f aca="false">'Raw Data'!A2252</f>
        <v>48</v>
      </c>
      <c r="C2252" s="2" t="str">
        <f aca="false">'Raw Data'!D2252</f>
        <v>Research &amp; Development</v>
      </c>
      <c r="D2252" s="2" t="str">
        <f aca="false">'Raw Data'!K2252</f>
        <v>Research Scientist</v>
      </c>
      <c r="E2252" s="2" t="n">
        <f aca="false">'Raw Data'!Q2252</f>
        <v>15</v>
      </c>
      <c r="F2252" s="2" t="n">
        <f aca="false">'Raw Data'!U2252</f>
        <v>2</v>
      </c>
      <c r="G2252" s="2" t="n">
        <f aca="false">'Raw Data'!W2252</f>
        <v>1</v>
      </c>
      <c r="H2252" s="2" t="n">
        <f aca="false">'Raw Data'!V2252</f>
        <v>3</v>
      </c>
      <c r="I2252" s="2" t="n">
        <f aca="false">IF(AND(ISNUMBER(B2252),B2252&lt;=25),2,0)+IF(AND(ISNUMBER(E2252),E2252&lt;=5),2,0)+IF(AND(ISNUMBER(F2252),F2252&lt;=1),2,0)+IF(AND(ISNUMBER(G2252),G2252&lt;=2),1,0)+IF(AND(ISNUMBER(H2252),H2252&lt;=2),1,0)</f>
        <v>1</v>
      </c>
      <c r="J2252" s="2" t="str">
        <f aca="false">IF(I2252&gt;=6,"High",IF(I2252&gt;=3,"Medium","Low"))</f>
        <v>Low</v>
      </c>
    </row>
    <row r="2253" customFormat="false" ht="15" hidden="false" customHeight="true" outlineLevel="0" collapsed="false">
      <c r="A2253" s="2" t="n">
        <f aca="false">'Raw Data'!H2253</f>
        <v>2252</v>
      </c>
      <c r="B2253" s="2" t="n">
        <f aca="false">'Raw Data'!A2253</f>
        <v>34</v>
      </c>
      <c r="C2253" s="2" t="str">
        <f aca="false">'Raw Data'!D2253</f>
        <v>Research &amp; Development</v>
      </c>
      <c r="D2253" s="2" t="str">
        <f aca="false">'Raw Data'!K2253</f>
        <v>Research Scientist</v>
      </c>
      <c r="E2253" s="2" t="n">
        <f aca="false">'Raw Data'!Q2253</f>
        <v>2</v>
      </c>
      <c r="F2253" s="2" t="n">
        <f aca="false">'Raw Data'!U2253</f>
        <v>2</v>
      </c>
      <c r="G2253" s="2" t="n">
        <f aca="false">'Raw Data'!W2253</f>
        <v>3</v>
      </c>
      <c r="H2253" s="2" t="n">
        <f aca="false">'Raw Data'!V2253</f>
        <v>1</v>
      </c>
      <c r="I2253" s="2" t="n">
        <f aca="false">IF(AND(ISNUMBER(B2253),B2253&lt;=25),2,0)+IF(AND(ISNUMBER(E2253),E2253&lt;=5),2,0)+IF(AND(ISNUMBER(F2253),F2253&lt;=1),2,0)+IF(AND(ISNUMBER(G2253),G2253&lt;=2),1,0)+IF(AND(ISNUMBER(H2253),H2253&lt;=2),1,0)</f>
        <v>3</v>
      </c>
      <c r="J2253" s="2" t="str">
        <f aca="false">IF(I2253&gt;=6,"High",IF(I2253&gt;=3,"Medium","Low"))</f>
        <v>Medium</v>
      </c>
    </row>
    <row r="2254" customFormat="false" ht="15" hidden="false" customHeight="true" outlineLevel="0" collapsed="false">
      <c r="A2254" s="2" t="n">
        <f aca="false">'Raw Data'!H2254</f>
        <v>2253</v>
      </c>
      <c r="B2254" s="2" t="n">
        <f aca="false">'Raw Data'!A2254</f>
        <v>40</v>
      </c>
      <c r="C2254" s="2" t="str">
        <f aca="false">'Raw Data'!D2254</f>
        <v>Research &amp; Development</v>
      </c>
      <c r="D2254" s="2" t="str">
        <f aca="false">'Raw Data'!K2254</f>
        <v>Sales Executive</v>
      </c>
      <c r="E2254" s="2" t="n">
        <f aca="false">'Raw Data'!Q2254</f>
        <v>16</v>
      </c>
      <c r="F2254" s="2" t="n">
        <f aca="false">'Raw Data'!U2254</f>
        <v>8</v>
      </c>
      <c r="G2254" s="2" t="n">
        <f aca="false">'Raw Data'!W2254</f>
        <v>2</v>
      </c>
      <c r="H2254" s="2" t="n">
        <f aca="false">'Raw Data'!V2254</f>
        <v>4</v>
      </c>
      <c r="I2254" s="2" t="n">
        <f aca="false">IF(AND(ISNUMBER(B2254),B2254&lt;=25),2,0)+IF(AND(ISNUMBER(E2254),E2254&lt;=5),2,0)+IF(AND(ISNUMBER(F2254),F2254&lt;=1),2,0)+IF(AND(ISNUMBER(G2254),G2254&lt;=2),1,0)+IF(AND(ISNUMBER(H2254),H2254&lt;=2),1,0)</f>
        <v>1</v>
      </c>
      <c r="J2254" s="2" t="str">
        <f aca="false">IF(I2254&gt;=6,"High",IF(I2254&gt;=3,"Medium","Low"))</f>
        <v>Low</v>
      </c>
    </row>
    <row r="2255" customFormat="false" ht="15" hidden="false" customHeight="true" outlineLevel="0" collapsed="false">
      <c r="A2255" s="2" t="n">
        <f aca="false">'Raw Data'!H2255</f>
        <v>2254</v>
      </c>
      <c r="B2255" s="2" t="n">
        <f aca="false">'Raw Data'!A2255</f>
        <v>28</v>
      </c>
      <c r="C2255" s="2" t="str">
        <f aca="false">'Raw Data'!D2255</f>
        <v>Research &amp; Development</v>
      </c>
      <c r="D2255" s="2" t="str">
        <f aca="false">'Raw Data'!K2255</f>
        <v>Research Scientist</v>
      </c>
      <c r="E2255" s="2" t="n">
        <f aca="false">'Raw Data'!Q2255</f>
        <v>6</v>
      </c>
      <c r="F2255" s="2" t="n">
        <f aca="false">'Raw Data'!U2255</f>
        <v>3</v>
      </c>
      <c r="G2255" s="2" t="n">
        <f aca="false">'Raw Data'!W2255</f>
        <v>1</v>
      </c>
      <c r="H2255" s="2" t="n">
        <f aca="false">'Raw Data'!V2255</f>
        <v>4</v>
      </c>
      <c r="I2255" s="2" t="n">
        <f aca="false">IF(AND(ISNUMBER(B2255),B2255&lt;=25),2,0)+IF(AND(ISNUMBER(E2255),E2255&lt;=5),2,0)+IF(AND(ISNUMBER(F2255),F2255&lt;=1),2,0)+IF(AND(ISNUMBER(G2255),G2255&lt;=2),1,0)+IF(AND(ISNUMBER(H2255),H2255&lt;=2),1,0)</f>
        <v>1</v>
      </c>
      <c r="J2255" s="2" t="str">
        <f aca="false">IF(I2255&gt;=6,"High",IF(I2255&gt;=3,"Medium","Low"))</f>
        <v>Low</v>
      </c>
    </row>
    <row r="2256" customFormat="false" ht="15" hidden="false" customHeight="true" outlineLevel="0" collapsed="false">
      <c r="A2256" s="2" t="n">
        <f aca="false">'Raw Data'!H2256</f>
        <v>2255</v>
      </c>
      <c r="B2256" s="2" t="n">
        <f aca="false">'Raw Data'!A2256</f>
        <v>44</v>
      </c>
      <c r="C2256" s="2" t="str">
        <f aca="false">'Raw Data'!D2256</f>
        <v>Research &amp; Development</v>
      </c>
      <c r="D2256" s="2" t="str">
        <f aca="false">'Raw Data'!K2256</f>
        <v>Laboratory Technician</v>
      </c>
      <c r="E2256" s="2" t="n">
        <f aca="false">'Raw Data'!Q2256</f>
        <v>7</v>
      </c>
      <c r="F2256" s="2" t="n">
        <f aca="false">'Raw Data'!U2256</f>
        <v>3</v>
      </c>
      <c r="G2256" s="2" t="n">
        <f aca="false">'Raw Data'!W2256</f>
        <v>3</v>
      </c>
      <c r="H2256" s="2" t="n">
        <f aca="false">'Raw Data'!V2256</f>
        <v>3</v>
      </c>
      <c r="I2256" s="2" t="n">
        <f aca="false">IF(AND(ISNUMBER(B2256),B2256&lt;=25),2,0)+IF(AND(ISNUMBER(E2256),E2256&lt;=5),2,0)+IF(AND(ISNUMBER(F2256),F2256&lt;=1),2,0)+IF(AND(ISNUMBER(G2256),G2256&lt;=2),1,0)+IF(AND(ISNUMBER(H2256),H2256&lt;=2),1,0)</f>
        <v>0</v>
      </c>
      <c r="J2256" s="2" t="str">
        <f aca="false">IF(I2256&gt;=6,"High",IF(I2256&gt;=3,"Medium","Low"))</f>
        <v>Low</v>
      </c>
    </row>
    <row r="2257" customFormat="false" ht="15" hidden="false" customHeight="true" outlineLevel="0" collapsed="false">
      <c r="A2257" s="2" t="n">
        <f aca="false">'Raw Data'!H2257</f>
        <v>2256</v>
      </c>
      <c r="B2257" s="2" t="n">
        <f aca="false">'Raw Data'!A2257</f>
        <v>53</v>
      </c>
      <c r="C2257" s="2" t="str">
        <f aca="false">'Raw Data'!D2257</f>
        <v>Research &amp; Development</v>
      </c>
      <c r="D2257" s="2" t="str">
        <f aca="false">'Raw Data'!K2257</f>
        <v>Manager</v>
      </c>
      <c r="E2257" s="2" t="n">
        <f aca="false">'Raw Data'!Q2257</f>
        <v>35</v>
      </c>
      <c r="F2257" s="2" t="n">
        <f aca="false">'Raw Data'!U2257</f>
        <v>8</v>
      </c>
      <c r="G2257" s="2" t="n">
        <f aca="false">'Raw Data'!W2257</f>
        <v>2</v>
      </c>
      <c r="H2257" s="2" t="n">
        <f aca="false">'Raw Data'!V2257</f>
        <v>4</v>
      </c>
      <c r="I2257" s="2" t="n">
        <f aca="false">IF(AND(ISNUMBER(B2257),B2257&lt;=25),2,0)+IF(AND(ISNUMBER(E2257),E2257&lt;=5),2,0)+IF(AND(ISNUMBER(F2257),F2257&lt;=1),2,0)+IF(AND(ISNUMBER(G2257),G2257&lt;=2),1,0)+IF(AND(ISNUMBER(H2257),H2257&lt;=2),1,0)</f>
        <v>1</v>
      </c>
      <c r="J2257" s="2" t="str">
        <f aca="false">IF(I2257&gt;=6,"High",IF(I2257&gt;=3,"Medium","Low"))</f>
        <v>Low</v>
      </c>
    </row>
    <row r="2258" customFormat="false" ht="15" hidden="false" customHeight="true" outlineLevel="0" collapsed="false">
      <c r="A2258" s="2" t="n">
        <f aca="false">'Raw Data'!H2258</f>
        <v>2257</v>
      </c>
      <c r="B2258" s="2" t="n">
        <f aca="false">'Raw Data'!A2258</f>
        <v>49</v>
      </c>
      <c r="C2258" s="2" t="str">
        <f aca="false">'Raw Data'!D2258</f>
        <v>Research &amp; Development</v>
      </c>
      <c r="D2258" s="2" t="str">
        <f aca="false">'Raw Data'!K2258</f>
        <v>Laboratory Technician</v>
      </c>
      <c r="E2258" s="2" t="n">
        <f aca="false">'Raw Data'!Q2258</f>
        <v>20</v>
      </c>
      <c r="F2258" s="2" t="n">
        <f aca="false">'Raw Data'!U2258</f>
        <v>2</v>
      </c>
      <c r="G2258" s="2" t="n">
        <f aca="false">'Raw Data'!W2258</f>
        <v>3</v>
      </c>
      <c r="H2258" s="2" t="n">
        <f aca="false">'Raw Data'!V2258</f>
        <v>1</v>
      </c>
      <c r="I2258" s="2" t="n">
        <f aca="false">IF(AND(ISNUMBER(B2258),B2258&lt;=25),2,0)+IF(AND(ISNUMBER(E2258),E2258&lt;=5),2,0)+IF(AND(ISNUMBER(F2258),F2258&lt;=1),2,0)+IF(AND(ISNUMBER(G2258),G2258&lt;=2),1,0)+IF(AND(ISNUMBER(H2258),H2258&lt;=2),1,0)</f>
        <v>1</v>
      </c>
      <c r="J2258" s="2" t="str">
        <f aca="false">IF(I2258&gt;=6,"High",IF(I2258&gt;=3,"Medium","Low"))</f>
        <v>Low</v>
      </c>
    </row>
    <row r="2259" customFormat="false" ht="15" hidden="false" customHeight="true" outlineLevel="0" collapsed="false">
      <c r="A2259" s="2" t="n">
        <f aca="false">'Raw Data'!H2259</f>
        <v>2258</v>
      </c>
      <c r="B2259" s="2" t="n">
        <f aca="false">'Raw Data'!A2259</f>
        <v>40</v>
      </c>
      <c r="C2259" s="2" t="str">
        <f aca="false">'Raw Data'!D2259</f>
        <v>Research &amp; Development</v>
      </c>
      <c r="D2259" s="2" t="str">
        <f aca="false">'Raw Data'!K2259</f>
        <v>Laboratory Technician</v>
      </c>
      <c r="E2259" s="2" t="n">
        <f aca="false">'Raw Data'!Q2259</f>
        <v>8</v>
      </c>
      <c r="F2259" s="2" t="n">
        <f aca="false">'Raw Data'!U2259</f>
        <v>2</v>
      </c>
      <c r="G2259" s="2" t="n">
        <f aca="false">'Raw Data'!W2259</f>
        <v>3</v>
      </c>
      <c r="H2259" s="2" t="n">
        <f aca="false">'Raw Data'!V2259</f>
        <v>3</v>
      </c>
      <c r="I2259" s="2" t="n">
        <f aca="false">IF(AND(ISNUMBER(B2259),B2259&lt;=25),2,0)+IF(AND(ISNUMBER(E2259),E2259&lt;=5),2,0)+IF(AND(ISNUMBER(F2259),F2259&lt;=1),2,0)+IF(AND(ISNUMBER(G2259),G2259&lt;=2),1,0)+IF(AND(ISNUMBER(H2259),H2259&lt;=2),1,0)</f>
        <v>0</v>
      </c>
      <c r="J2259" s="2" t="str">
        <f aca="false">IF(I2259&gt;=6,"High",IF(I2259&gt;=3,"Medium","Low"))</f>
        <v>Low</v>
      </c>
    </row>
    <row r="2260" customFormat="false" ht="15" hidden="false" customHeight="true" outlineLevel="0" collapsed="false">
      <c r="A2260" s="2" t="n">
        <f aca="false">'Raw Data'!H2260</f>
        <v>2259</v>
      </c>
      <c r="B2260" s="2" t="n">
        <f aca="false">'Raw Data'!A2260</f>
        <v>44</v>
      </c>
      <c r="C2260" s="2" t="str">
        <f aca="false">'Raw Data'!D2260</f>
        <v>Research &amp; Development</v>
      </c>
      <c r="D2260" s="2" t="str">
        <f aca="false">'Raw Data'!K2260</f>
        <v>Research Scientist</v>
      </c>
      <c r="E2260" s="2" t="n">
        <f aca="false">'Raw Data'!Q2260</f>
        <v>6</v>
      </c>
      <c r="F2260" s="2" t="n">
        <f aca="false">'Raw Data'!U2260</f>
        <v>3</v>
      </c>
      <c r="G2260" s="2" t="n">
        <f aca="false">'Raw Data'!W2260</f>
        <v>2</v>
      </c>
      <c r="H2260" s="2" t="n">
        <f aca="false">'Raw Data'!V2260</f>
        <v>4</v>
      </c>
      <c r="I2260" s="2" t="n">
        <f aca="false">IF(AND(ISNUMBER(B2260),B2260&lt;=25),2,0)+IF(AND(ISNUMBER(E2260),E2260&lt;=5),2,0)+IF(AND(ISNUMBER(F2260),F2260&lt;=1),2,0)+IF(AND(ISNUMBER(G2260),G2260&lt;=2),1,0)+IF(AND(ISNUMBER(H2260),H2260&lt;=2),1,0)</f>
        <v>1</v>
      </c>
      <c r="J2260" s="2" t="str">
        <f aca="false">IF(I2260&gt;=6,"High",IF(I2260&gt;=3,"Medium","Low"))</f>
        <v>Low</v>
      </c>
    </row>
    <row r="2261" customFormat="false" ht="15" hidden="false" customHeight="true" outlineLevel="0" collapsed="false">
      <c r="A2261" s="2" t="n">
        <f aca="false">'Raw Data'!H2261</f>
        <v>2260</v>
      </c>
      <c r="B2261" s="2" t="n">
        <f aca="false">'Raw Data'!A2261</f>
        <v>33</v>
      </c>
      <c r="C2261" s="2" t="str">
        <f aca="false">'Raw Data'!D2261</f>
        <v>Human Resources</v>
      </c>
      <c r="D2261" s="2" t="str">
        <f aca="false">'Raw Data'!K2261</f>
        <v>Sales Executive</v>
      </c>
      <c r="E2261" s="2" t="n">
        <f aca="false">'Raw Data'!Q2261</f>
        <v>5</v>
      </c>
      <c r="F2261" s="2" t="n">
        <f aca="false">'Raw Data'!U2261</f>
        <v>3</v>
      </c>
      <c r="G2261" s="2" t="n">
        <f aca="false">'Raw Data'!W2261</f>
        <v>1</v>
      </c>
      <c r="H2261" s="2" t="n">
        <f aca="false">'Raw Data'!V2261</f>
        <v>4</v>
      </c>
      <c r="I2261" s="2" t="n">
        <f aca="false">IF(AND(ISNUMBER(B2261),B2261&lt;=25),2,0)+IF(AND(ISNUMBER(E2261),E2261&lt;=5),2,0)+IF(AND(ISNUMBER(F2261),F2261&lt;=1),2,0)+IF(AND(ISNUMBER(G2261),G2261&lt;=2),1,0)+IF(AND(ISNUMBER(H2261),H2261&lt;=2),1,0)</f>
        <v>3</v>
      </c>
      <c r="J2261" s="2" t="str">
        <f aca="false">IF(I2261&gt;=6,"High",IF(I2261&gt;=3,"Medium","Low"))</f>
        <v>Medium</v>
      </c>
    </row>
    <row r="2262" customFormat="false" ht="15" hidden="false" customHeight="true" outlineLevel="0" collapsed="false">
      <c r="A2262" s="2" t="n">
        <f aca="false">'Raw Data'!H2262</f>
        <v>2261</v>
      </c>
      <c r="B2262" s="2" t="n">
        <f aca="false">'Raw Data'!A2262</f>
        <v>34</v>
      </c>
      <c r="C2262" s="2" t="str">
        <f aca="false">'Raw Data'!D2262</f>
        <v>Research &amp; Development</v>
      </c>
      <c r="D2262" s="2" t="str">
        <f aca="false">'Raw Data'!K2262</f>
        <v>Sales Representative</v>
      </c>
      <c r="E2262" s="2" t="n">
        <f aca="false">'Raw Data'!Q2262</f>
        <v>15</v>
      </c>
      <c r="F2262" s="2" t="n">
        <f aca="false">'Raw Data'!U2262</f>
        <v>12</v>
      </c>
      <c r="G2262" s="2" t="n">
        <f aca="false">'Raw Data'!W2262</f>
        <v>1</v>
      </c>
      <c r="H2262" s="2" t="n">
        <f aca="false">'Raw Data'!V2262</f>
        <v>4</v>
      </c>
      <c r="I2262" s="2" t="n">
        <f aca="false">IF(AND(ISNUMBER(B2262),B2262&lt;=25),2,0)+IF(AND(ISNUMBER(E2262),E2262&lt;=5),2,0)+IF(AND(ISNUMBER(F2262),F2262&lt;=1),2,0)+IF(AND(ISNUMBER(G2262),G2262&lt;=2),1,0)+IF(AND(ISNUMBER(H2262),H2262&lt;=2),1,0)</f>
        <v>1</v>
      </c>
      <c r="J2262" s="2" t="str">
        <f aca="false">IF(I2262&gt;=6,"High",IF(I2262&gt;=3,"Medium","Low"))</f>
        <v>Low</v>
      </c>
    </row>
    <row r="2263" customFormat="false" ht="15" hidden="false" customHeight="true" outlineLevel="0" collapsed="false">
      <c r="A2263" s="2" t="n">
        <f aca="false">'Raw Data'!H2263</f>
        <v>2262</v>
      </c>
      <c r="B2263" s="2" t="n">
        <f aca="false">'Raw Data'!A2263</f>
        <v>30</v>
      </c>
      <c r="C2263" s="2" t="str">
        <f aca="false">'Raw Data'!D2263</f>
        <v>Sales</v>
      </c>
      <c r="D2263" s="2" t="str">
        <f aca="false">'Raw Data'!K2263</f>
        <v>Laboratory Technician</v>
      </c>
      <c r="E2263" s="2" t="n">
        <f aca="false">'Raw Data'!Q2263</f>
        <v>4</v>
      </c>
      <c r="F2263" s="2" t="n">
        <f aca="false">'Raw Data'!U2263</f>
        <v>2</v>
      </c>
      <c r="G2263" s="2" t="n">
        <f aca="false">'Raw Data'!W2263</f>
        <v>3</v>
      </c>
      <c r="H2263" s="2" t="n">
        <f aca="false">'Raw Data'!V2263</f>
        <v>4</v>
      </c>
      <c r="I2263" s="2" t="n">
        <f aca="false">IF(AND(ISNUMBER(B2263),B2263&lt;=25),2,0)+IF(AND(ISNUMBER(E2263),E2263&lt;=5),2,0)+IF(AND(ISNUMBER(F2263),F2263&lt;=1),2,0)+IF(AND(ISNUMBER(G2263),G2263&lt;=2),1,0)+IF(AND(ISNUMBER(H2263),H2263&lt;=2),1,0)</f>
        <v>2</v>
      </c>
      <c r="J2263" s="2" t="str">
        <f aca="false">IF(I2263&gt;=6,"High",IF(I2263&gt;=3,"Medium","Low"))</f>
        <v>Low</v>
      </c>
    </row>
    <row r="2264" customFormat="false" ht="15" hidden="false" customHeight="true" outlineLevel="0" collapsed="false">
      <c r="A2264" s="2" t="n">
        <f aca="false">'Raw Data'!H2264</f>
        <v>2263</v>
      </c>
      <c r="B2264" s="2" t="n">
        <f aca="false">'Raw Data'!A2264</f>
        <v>42</v>
      </c>
      <c r="C2264" s="2" t="str">
        <f aca="false">'Raw Data'!D2264</f>
        <v>Research &amp; Development</v>
      </c>
      <c r="D2264" s="2" t="str">
        <f aca="false">'Raw Data'!K2264</f>
        <v>Sales Executive</v>
      </c>
      <c r="E2264" s="2" t="n">
        <f aca="false">'Raw Data'!Q2264</f>
        <v>12</v>
      </c>
      <c r="F2264" s="2" t="n">
        <f aca="false">'Raw Data'!U2264</f>
        <v>8</v>
      </c>
      <c r="G2264" s="2" t="n">
        <f aca="false">'Raw Data'!W2264</f>
        <v>4</v>
      </c>
      <c r="H2264" s="2" t="n">
        <f aca="false">'Raw Data'!V2264</f>
        <v>1</v>
      </c>
      <c r="I2264" s="2" t="n">
        <f aca="false">IF(AND(ISNUMBER(B2264),B2264&lt;=25),2,0)+IF(AND(ISNUMBER(E2264),E2264&lt;=5),2,0)+IF(AND(ISNUMBER(F2264),F2264&lt;=1),2,0)+IF(AND(ISNUMBER(G2264),G2264&lt;=2),1,0)+IF(AND(ISNUMBER(H2264),H2264&lt;=2),1,0)</f>
        <v>1</v>
      </c>
      <c r="J2264" s="2" t="str">
        <f aca="false">IF(I2264&gt;=6,"High",IF(I2264&gt;=3,"Medium","Low"))</f>
        <v>Low</v>
      </c>
    </row>
    <row r="2265" customFormat="false" ht="15" hidden="false" customHeight="true" outlineLevel="0" collapsed="false">
      <c r="A2265" s="2" t="n">
        <f aca="false">'Raw Data'!H2265</f>
        <v>2264</v>
      </c>
      <c r="B2265" s="2" t="n">
        <f aca="false">'Raw Data'!A2265</f>
        <v>44</v>
      </c>
      <c r="C2265" s="2" t="str">
        <f aca="false">'Raw Data'!D2265</f>
        <v>Research &amp; Development</v>
      </c>
      <c r="D2265" s="2" t="str">
        <f aca="false">'Raw Data'!K2265</f>
        <v>Manufacturing Director</v>
      </c>
      <c r="E2265" s="2" t="n">
        <f aca="false">'Raw Data'!Q2265</f>
        <v>11</v>
      </c>
      <c r="F2265" s="2" t="n">
        <f aca="false">'Raw Data'!U2265</f>
        <v>0</v>
      </c>
      <c r="G2265" s="2" t="n">
        <f aca="false">'Raw Data'!W2265</f>
        <v>3</v>
      </c>
      <c r="H2265" s="2" t="n">
        <f aca="false">'Raw Data'!V2265</f>
        <v>1</v>
      </c>
      <c r="I2265" s="2" t="n">
        <f aca="false">IF(AND(ISNUMBER(B2265),B2265&lt;=25),2,0)+IF(AND(ISNUMBER(E2265),E2265&lt;=5),2,0)+IF(AND(ISNUMBER(F2265),F2265&lt;=1),2,0)+IF(AND(ISNUMBER(G2265),G2265&lt;=2),1,0)+IF(AND(ISNUMBER(H2265),H2265&lt;=2),1,0)</f>
        <v>3</v>
      </c>
      <c r="J2265" s="2" t="str">
        <f aca="false">IF(I2265&gt;=6,"High",IF(I2265&gt;=3,"Medium","Low"))</f>
        <v>Medium</v>
      </c>
    </row>
    <row r="2266" customFormat="false" ht="15" hidden="false" customHeight="true" outlineLevel="0" collapsed="false">
      <c r="A2266" s="2" t="n">
        <f aca="false">'Raw Data'!H2266</f>
        <v>2265</v>
      </c>
      <c r="B2266" s="2" t="n">
        <f aca="false">'Raw Data'!A2266</f>
        <v>30</v>
      </c>
      <c r="C2266" s="2" t="str">
        <f aca="false">'Raw Data'!D2266</f>
        <v>Research &amp; Development</v>
      </c>
      <c r="D2266" s="2" t="str">
        <f aca="false">'Raw Data'!K2266</f>
        <v>Manufacturing Director</v>
      </c>
      <c r="E2266" s="2" t="n">
        <f aca="false">'Raw Data'!Q2266</f>
        <v>1</v>
      </c>
      <c r="F2266" s="2" t="n">
        <f aca="false">'Raw Data'!U2266</f>
        <v>0</v>
      </c>
      <c r="G2266" s="2" t="n">
        <f aca="false">'Raw Data'!W2266</f>
        <v>3</v>
      </c>
      <c r="H2266" s="2" t="n">
        <f aca="false">'Raw Data'!V2266</f>
        <v>3</v>
      </c>
      <c r="I2266" s="2" t="n">
        <f aca="false">IF(AND(ISNUMBER(B2266),B2266&lt;=25),2,0)+IF(AND(ISNUMBER(E2266),E2266&lt;=5),2,0)+IF(AND(ISNUMBER(F2266),F2266&lt;=1),2,0)+IF(AND(ISNUMBER(G2266),G2266&lt;=2),1,0)+IF(AND(ISNUMBER(H2266),H2266&lt;=2),1,0)</f>
        <v>4</v>
      </c>
      <c r="J2266" s="2" t="str">
        <f aca="false">IF(I2266&gt;=6,"High",IF(I2266&gt;=3,"Medium","Low"))</f>
        <v>Medium</v>
      </c>
    </row>
    <row r="2267" customFormat="false" ht="15" hidden="false" customHeight="true" outlineLevel="0" collapsed="false">
      <c r="A2267" s="2" t="n">
        <f aca="false">'Raw Data'!H2267</f>
        <v>2266</v>
      </c>
      <c r="B2267" s="2" t="n">
        <f aca="false">'Raw Data'!A2267</f>
        <v>57</v>
      </c>
      <c r="C2267" s="2" t="str">
        <f aca="false">'Raw Data'!D2267</f>
        <v>Sales</v>
      </c>
      <c r="D2267" s="2" t="str">
        <f aca="false">'Raw Data'!K2267</f>
        <v>Research Scientist</v>
      </c>
      <c r="E2267" s="2" t="n">
        <f aca="false">'Raw Data'!Q2267</f>
        <v>13</v>
      </c>
      <c r="F2267" s="2" t="n">
        <f aca="false">'Raw Data'!U2267</f>
        <v>8</v>
      </c>
      <c r="G2267" s="2" t="n">
        <f aca="false">'Raw Data'!W2267</f>
        <v>3</v>
      </c>
      <c r="H2267" s="2" t="n">
        <f aca="false">'Raw Data'!V2267</f>
        <v>2</v>
      </c>
      <c r="I2267" s="2" t="n">
        <f aca="false">IF(AND(ISNUMBER(B2267),B2267&lt;=25),2,0)+IF(AND(ISNUMBER(E2267),E2267&lt;=5),2,0)+IF(AND(ISNUMBER(F2267),F2267&lt;=1),2,0)+IF(AND(ISNUMBER(G2267),G2267&lt;=2),1,0)+IF(AND(ISNUMBER(H2267),H2267&lt;=2),1,0)</f>
        <v>1</v>
      </c>
      <c r="J2267" s="2" t="str">
        <f aca="false">IF(I2267&gt;=6,"High",IF(I2267&gt;=3,"Medium","Low"))</f>
        <v>Low</v>
      </c>
    </row>
    <row r="2268" customFormat="false" ht="15" hidden="false" customHeight="true" outlineLevel="0" collapsed="false">
      <c r="A2268" s="2" t="n">
        <f aca="false">'Raw Data'!H2268</f>
        <v>2267</v>
      </c>
      <c r="B2268" s="2" t="n">
        <f aca="false">'Raw Data'!A2268</f>
        <v>49</v>
      </c>
      <c r="C2268" s="2" t="str">
        <f aca="false">'Raw Data'!D2268</f>
        <v>Research &amp; Development</v>
      </c>
      <c r="D2268" s="2" t="str">
        <f aca="false">'Raw Data'!K2268</f>
        <v>Sales Executive</v>
      </c>
      <c r="E2268" s="2" t="n">
        <f aca="false">'Raw Data'!Q2268</f>
        <v>29</v>
      </c>
      <c r="F2268" s="2" t="n">
        <f aca="false">'Raw Data'!U2268</f>
        <v>7</v>
      </c>
      <c r="G2268" s="2" t="n">
        <f aca="false">'Raw Data'!W2268</f>
        <v>2</v>
      </c>
      <c r="H2268" s="2" t="n">
        <f aca="false">'Raw Data'!V2268</f>
        <v>3</v>
      </c>
      <c r="I2268" s="2" t="n">
        <f aca="false">IF(AND(ISNUMBER(B2268),B2268&lt;=25),2,0)+IF(AND(ISNUMBER(E2268),E2268&lt;=5),2,0)+IF(AND(ISNUMBER(F2268),F2268&lt;=1),2,0)+IF(AND(ISNUMBER(G2268),G2268&lt;=2),1,0)+IF(AND(ISNUMBER(H2268),H2268&lt;=2),1,0)</f>
        <v>1</v>
      </c>
      <c r="J2268" s="2" t="str">
        <f aca="false">IF(I2268&gt;=6,"High",IF(I2268&gt;=3,"Medium","Low"))</f>
        <v>Low</v>
      </c>
    </row>
    <row r="2269" customFormat="false" ht="15" hidden="false" customHeight="true" outlineLevel="0" collapsed="false">
      <c r="A2269" s="2" t="n">
        <f aca="false">'Raw Data'!H2269</f>
        <v>2268</v>
      </c>
      <c r="B2269" s="2" t="n">
        <f aca="false">'Raw Data'!A2269</f>
        <v>34</v>
      </c>
      <c r="C2269" s="2" t="str">
        <f aca="false">'Raw Data'!D2269</f>
        <v>Research &amp; Development</v>
      </c>
      <c r="D2269" s="2" t="str">
        <f aca="false">'Raw Data'!K2269</f>
        <v>Sales Representative</v>
      </c>
      <c r="E2269" s="2" t="n">
        <f aca="false">'Raw Data'!Q2269</f>
        <v>16</v>
      </c>
      <c r="F2269" s="2" t="n">
        <f aca="false">'Raw Data'!U2269</f>
        <v>9</v>
      </c>
      <c r="G2269" s="2" t="n">
        <f aca="false">'Raw Data'!W2269</f>
        <v>1</v>
      </c>
      <c r="H2269" s="2" t="n">
        <f aca="false">'Raw Data'!V2269</f>
        <v>2</v>
      </c>
      <c r="I2269" s="2" t="n">
        <f aca="false">IF(AND(ISNUMBER(B2269),B2269&lt;=25),2,0)+IF(AND(ISNUMBER(E2269),E2269&lt;=5),2,0)+IF(AND(ISNUMBER(F2269),F2269&lt;=1),2,0)+IF(AND(ISNUMBER(G2269),G2269&lt;=2),1,0)+IF(AND(ISNUMBER(H2269),H2269&lt;=2),1,0)</f>
        <v>2</v>
      </c>
      <c r="J2269" s="2" t="str">
        <f aca="false">IF(I2269&gt;=6,"High",IF(I2269&gt;=3,"Medium","Low"))</f>
        <v>Low</v>
      </c>
    </row>
    <row r="2270" customFormat="false" ht="15" hidden="false" customHeight="true" outlineLevel="0" collapsed="false">
      <c r="A2270" s="2" t="n">
        <f aca="false">'Raw Data'!H2270</f>
        <v>2269</v>
      </c>
      <c r="B2270" s="2" t="n">
        <f aca="false">'Raw Data'!A2270</f>
        <v>28</v>
      </c>
      <c r="C2270" s="2" t="str">
        <f aca="false">'Raw Data'!D2270</f>
        <v>Research &amp; Development</v>
      </c>
      <c r="D2270" s="2" t="str">
        <f aca="false">'Raw Data'!K2270</f>
        <v>Research Scientist</v>
      </c>
      <c r="E2270" s="2" t="n">
        <f aca="false">'Raw Data'!Q2270</f>
        <v>5</v>
      </c>
      <c r="F2270" s="2" t="n">
        <f aca="false">'Raw Data'!U2270</f>
        <v>2</v>
      </c>
      <c r="G2270" s="2" t="n">
        <f aca="false">'Raw Data'!W2270</f>
        <v>3</v>
      </c>
      <c r="H2270" s="2" t="n">
        <f aca="false">'Raw Data'!V2270</f>
        <v>1</v>
      </c>
      <c r="I2270" s="2" t="n">
        <f aca="false">IF(AND(ISNUMBER(B2270),B2270&lt;=25),2,0)+IF(AND(ISNUMBER(E2270),E2270&lt;=5),2,0)+IF(AND(ISNUMBER(F2270),F2270&lt;=1),2,0)+IF(AND(ISNUMBER(G2270),G2270&lt;=2),1,0)+IF(AND(ISNUMBER(H2270),H2270&lt;=2),1,0)</f>
        <v>3</v>
      </c>
      <c r="J2270" s="2" t="str">
        <f aca="false">IF(I2270&gt;=6,"High",IF(I2270&gt;=3,"Medium","Low"))</f>
        <v>Medium</v>
      </c>
    </row>
    <row r="2271" customFormat="false" ht="15" hidden="false" customHeight="true" outlineLevel="0" collapsed="false">
      <c r="A2271" s="2" t="n">
        <f aca="false">'Raw Data'!H2271</f>
        <v>2270</v>
      </c>
      <c r="B2271" s="2" t="n">
        <f aca="false">'Raw Data'!A2271</f>
        <v>29</v>
      </c>
      <c r="C2271" s="2" t="str">
        <f aca="false">'Raw Data'!D2271</f>
        <v>Research &amp; Development</v>
      </c>
      <c r="D2271" s="2" t="str">
        <f aca="false">'Raw Data'!K2271</f>
        <v>Research Scientist</v>
      </c>
      <c r="E2271" s="2" t="n">
        <f aca="false">'Raw Data'!Q2271</f>
        <v>7</v>
      </c>
      <c r="F2271" s="2" t="n">
        <f aca="false">'Raw Data'!U2271</f>
        <v>0</v>
      </c>
      <c r="G2271" s="2" t="n">
        <f aca="false">'Raw Data'!W2271</f>
        <v>2</v>
      </c>
      <c r="H2271" s="2" t="n">
        <f aca="false">'Raw Data'!V2271</f>
        <v>1</v>
      </c>
      <c r="I2271" s="2" t="n">
        <f aca="false">IF(AND(ISNUMBER(B2271),B2271&lt;=25),2,0)+IF(AND(ISNUMBER(E2271),E2271&lt;=5),2,0)+IF(AND(ISNUMBER(F2271),F2271&lt;=1),2,0)+IF(AND(ISNUMBER(G2271),G2271&lt;=2),1,0)+IF(AND(ISNUMBER(H2271),H2271&lt;=2),1,0)</f>
        <v>4</v>
      </c>
      <c r="J2271" s="2" t="str">
        <f aca="false">IF(I2271&gt;=6,"High",IF(I2271&gt;=3,"Medium","Low"))</f>
        <v>Medium</v>
      </c>
    </row>
    <row r="2272" customFormat="false" ht="15" hidden="false" customHeight="true" outlineLevel="0" collapsed="false">
      <c r="A2272" s="2" t="n">
        <f aca="false">'Raw Data'!H2272</f>
        <v>2271</v>
      </c>
      <c r="B2272" s="2" t="n">
        <f aca="false">'Raw Data'!A2272</f>
        <v>34</v>
      </c>
      <c r="C2272" s="2" t="str">
        <f aca="false">'Raw Data'!D2272</f>
        <v>Research &amp; Development</v>
      </c>
      <c r="D2272" s="2" t="str">
        <f aca="false">'Raw Data'!K2272</f>
        <v>Research Scientist</v>
      </c>
      <c r="E2272" s="2" t="n">
        <f aca="false">'Raw Data'!Q2272</f>
        <v>16</v>
      </c>
      <c r="F2272" s="2" t="n">
        <f aca="false">'Raw Data'!U2272</f>
        <v>10</v>
      </c>
      <c r="G2272" s="2" t="n">
        <f aca="false">'Raw Data'!W2272</f>
        <v>2</v>
      </c>
      <c r="H2272" s="2" t="n">
        <f aca="false">'Raw Data'!V2272</f>
        <v>1</v>
      </c>
      <c r="I2272" s="2" t="n">
        <f aca="false">IF(AND(ISNUMBER(B2272),B2272&lt;=25),2,0)+IF(AND(ISNUMBER(E2272),E2272&lt;=5),2,0)+IF(AND(ISNUMBER(F2272),F2272&lt;=1),2,0)+IF(AND(ISNUMBER(G2272),G2272&lt;=2),1,0)+IF(AND(ISNUMBER(H2272),H2272&lt;=2),1,0)</f>
        <v>2</v>
      </c>
      <c r="J2272" s="2" t="str">
        <f aca="false">IF(I2272&gt;=6,"High",IF(I2272&gt;=3,"Medium","Low"))</f>
        <v>Low</v>
      </c>
    </row>
    <row r="2273" customFormat="false" ht="15" hidden="false" customHeight="true" outlineLevel="0" collapsed="false">
      <c r="A2273" s="2" t="n">
        <f aca="false">'Raw Data'!H2273</f>
        <v>2272</v>
      </c>
      <c r="B2273" s="2" t="n">
        <f aca="false">'Raw Data'!A2273</f>
        <v>35</v>
      </c>
      <c r="C2273" s="2" t="str">
        <f aca="false">'Raw Data'!D2273</f>
        <v>Sales</v>
      </c>
      <c r="D2273" s="2" t="str">
        <f aca="false">'Raw Data'!K2273</f>
        <v>Healthcare Representative</v>
      </c>
      <c r="E2273" s="2" t="n">
        <f aca="false">'Raw Data'!Q2273</f>
        <v>1</v>
      </c>
      <c r="F2273" s="2" t="n">
        <f aca="false">'Raw Data'!U2273</f>
        <v>0</v>
      </c>
      <c r="G2273" s="2" t="n">
        <f aca="false">'Raw Data'!W2273</f>
        <v>3</v>
      </c>
      <c r="H2273" s="2" t="n">
        <f aca="false">'Raw Data'!V2273</f>
        <v>4</v>
      </c>
      <c r="I2273" s="2" t="n">
        <f aca="false">IF(AND(ISNUMBER(B2273),B2273&lt;=25),2,0)+IF(AND(ISNUMBER(E2273),E2273&lt;=5),2,0)+IF(AND(ISNUMBER(F2273),F2273&lt;=1),2,0)+IF(AND(ISNUMBER(G2273),G2273&lt;=2),1,0)+IF(AND(ISNUMBER(H2273),H2273&lt;=2),1,0)</f>
        <v>4</v>
      </c>
      <c r="J2273" s="2" t="str">
        <f aca="false">IF(I2273&gt;=6,"High",IF(I2273&gt;=3,"Medium","Low"))</f>
        <v>Medium</v>
      </c>
    </row>
    <row r="2274" customFormat="false" ht="15" hidden="false" customHeight="true" outlineLevel="0" collapsed="false">
      <c r="A2274" s="2" t="n">
        <f aca="false">'Raw Data'!H2274</f>
        <v>2273</v>
      </c>
      <c r="B2274" s="2" t="n">
        <f aca="false">'Raw Data'!A2274</f>
        <v>24</v>
      </c>
      <c r="C2274" s="2" t="str">
        <f aca="false">'Raw Data'!D2274</f>
        <v>Sales</v>
      </c>
      <c r="D2274" s="2" t="str">
        <f aca="false">'Raw Data'!K2274</f>
        <v>Research Scientist</v>
      </c>
      <c r="E2274" s="2" t="n">
        <f aca="false">'Raw Data'!Q2274</f>
        <v>4</v>
      </c>
      <c r="F2274" s="2" t="n">
        <f aca="false">'Raw Data'!U2274</f>
        <v>0</v>
      </c>
      <c r="G2274" s="2" t="n">
        <f aca="false">'Raw Data'!W2274</f>
        <v>1</v>
      </c>
      <c r="H2274" s="2" t="n">
        <f aca="false">'Raw Data'!V2274</f>
        <v>2</v>
      </c>
      <c r="I2274" s="2" t="n">
        <f aca="false">IF(AND(ISNUMBER(B2274),B2274&lt;=25),2,0)+IF(AND(ISNUMBER(E2274),E2274&lt;=5),2,0)+IF(AND(ISNUMBER(F2274),F2274&lt;=1),2,0)+IF(AND(ISNUMBER(G2274),G2274&lt;=2),1,0)+IF(AND(ISNUMBER(H2274),H2274&lt;=2),1,0)</f>
        <v>8</v>
      </c>
      <c r="J2274" s="2" t="str">
        <f aca="false">IF(I2274&gt;=6,"High",IF(I2274&gt;=3,"Medium","Low"))</f>
        <v>High</v>
      </c>
    </row>
    <row r="2275" customFormat="false" ht="15" hidden="false" customHeight="true" outlineLevel="0" collapsed="false">
      <c r="A2275" s="2" t="n">
        <f aca="false">'Raw Data'!H2275</f>
        <v>2274</v>
      </c>
      <c r="B2275" s="2" t="n">
        <f aca="false">'Raw Data'!A2275</f>
        <v>24</v>
      </c>
      <c r="C2275" s="2" t="str">
        <f aca="false">'Raw Data'!D2275</f>
        <v>Research &amp; Development</v>
      </c>
      <c r="D2275" s="2" t="str">
        <f aca="false">'Raw Data'!K2275</f>
        <v>Manager</v>
      </c>
      <c r="E2275" s="2" t="n">
        <f aca="false">'Raw Data'!Q2275</f>
        <v>1</v>
      </c>
      <c r="F2275" s="2" t="n">
        <f aca="false">'Raw Data'!U2275</f>
        <v>0</v>
      </c>
      <c r="G2275" s="2" t="n">
        <f aca="false">'Raw Data'!W2275</f>
        <v>2</v>
      </c>
      <c r="H2275" s="2" t="n">
        <f aca="false">'Raw Data'!V2275</f>
        <v>4</v>
      </c>
      <c r="I2275" s="2" t="n">
        <f aca="false">IF(AND(ISNUMBER(B2275),B2275&lt;=25),2,0)+IF(AND(ISNUMBER(E2275),E2275&lt;=5),2,0)+IF(AND(ISNUMBER(F2275),F2275&lt;=1),2,0)+IF(AND(ISNUMBER(G2275),G2275&lt;=2),1,0)+IF(AND(ISNUMBER(H2275),H2275&lt;=2),1,0)</f>
        <v>7</v>
      </c>
      <c r="J2275" s="2" t="str">
        <f aca="false">IF(I2275&gt;=6,"High",IF(I2275&gt;=3,"Medium","Low"))</f>
        <v>High</v>
      </c>
    </row>
    <row r="2276" customFormat="false" ht="15" hidden="false" customHeight="true" outlineLevel="0" collapsed="false">
      <c r="A2276" s="2" t="n">
        <f aca="false">'Raw Data'!H2276</f>
        <v>2275</v>
      </c>
      <c r="B2276" s="2" t="n">
        <f aca="false">'Raw Data'!A2276</f>
        <v>44</v>
      </c>
      <c r="C2276" s="2" t="str">
        <f aca="false">'Raw Data'!D2276</f>
        <v>Research &amp; Development</v>
      </c>
      <c r="D2276" s="2" t="str">
        <f aca="false">'Raw Data'!K2276</f>
        <v>Research Scientist</v>
      </c>
      <c r="E2276" s="2" t="n">
        <f aca="false">'Raw Data'!Q2276</f>
        <v>16</v>
      </c>
      <c r="F2276" s="2" t="n">
        <f aca="false">'Raw Data'!U2276</f>
        <v>2</v>
      </c>
      <c r="G2276" s="2" t="n">
        <f aca="false">'Raw Data'!W2276</f>
        <v>3</v>
      </c>
      <c r="H2276" s="2" t="n">
        <f aca="false">'Raw Data'!V2276</f>
        <v>2</v>
      </c>
      <c r="I2276" s="2" t="n">
        <f aca="false">IF(AND(ISNUMBER(B2276),B2276&lt;=25),2,0)+IF(AND(ISNUMBER(E2276),E2276&lt;=5),2,0)+IF(AND(ISNUMBER(F2276),F2276&lt;=1),2,0)+IF(AND(ISNUMBER(G2276),G2276&lt;=2),1,0)+IF(AND(ISNUMBER(H2276),H2276&lt;=2),1,0)</f>
        <v>1</v>
      </c>
      <c r="J2276" s="2" t="str">
        <f aca="false">IF(I2276&gt;=6,"High",IF(I2276&gt;=3,"Medium","Low"))</f>
        <v>Low</v>
      </c>
    </row>
    <row r="2277" customFormat="false" ht="15" hidden="false" customHeight="true" outlineLevel="0" collapsed="false">
      <c r="A2277" s="2" t="n">
        <f aca="false">'Raw Data'!H2277</f>
        <v>2276</v>
      </c>
      <c r="B2277" s="2" t="n">
        <f aca="false">'Raw Data'!A2277</f>
        <v>29</v>
      </c>
      <c r="C2277" s="2" t="str">
        <f aca="false">'Raw Data'!D2277</f>
        <v>Sales</v>
      </c>
      <c r="D2277" s="2" t="str">
        <f aca="false">'Raw Data'!K2277</f>
        <v>Sales Executive</v>
      </c>
      <c r="E2277" s="2" t="n">
        <f aca="false">'Raw Data'!Q2277</f>
        <v>10</v>
      </c>
      <c r="F2277" s="2" t="n">
        <f aca="false">'Raw Data'!U2277</f>
        <v>4</v>
      </c>
      <c r="G2277" s="2" t="n">
        <f aca="false">'Raw Data'!W2277</f>
        <v>3</v>
      </c>
      <c r="H2277" s="2" t="n">
        <f aca="false">'Raw Data'!V2277</f>
        <v>3</v>
      </c>
      <c r="I2277" s="2" t="n">
        <f aca="false">IF(AND(ISNUMBER(B2277),B2277&lt;=25),2,0)+IF(AND(ISNUMBER(E2277),E2277&lt;=5),2,0)+IF(AND(ISNUMBER(F2277),F2277&lt;=1),2,0)+IF(AND(ISNUMBER(G2277),G2277&lt;=2),1,0)+IF(AND(ISNUMBER(H2277),H2277&lt;=2),1,0)</f>
        <v>0</v>
      </c>
      <c r="J2277" s="2" t="str">
        <f aca="false">IF(I2277&gt;=6,"High",IF(I2277&gt;=3,"Medium","Low"))</f>
        <v>Low</v>
      </c>
    </row>
    <row r="2278" customFormat="false" ht="15" hidden="false" customHeight="true" outlineLevel="0" collapsed="false">
      <c r="A2278" s="2" t="n">
        <f aca="false">'Raw Data'!H2278</f>
        <v>2277</v>
      </c>
      <c r="B2278" s="2" t="n">
        <f aca="false">'Raw Data'!A2278</f>
        <v>30</v>
      </c>
      <c r="C2278" s="2" t="str">
        <f aca="false">'Raw Data'!D2278</f>
        <v>Research &amp; Development</v>
      </c>
      <c r="D2278" s="2" t="str">
        <f aca="false">'Raw Data'!K2278</f>
        <v>Sales Executive</v>
      </c>
      <c r="E2278" s="2" t="n">
        <f aca="false">'Raw Data'!Q2278</f>
        <v>6</v>
      </c>
      <c r="F2278" s="2" t="n">
        <f aca="false">'Raw Data'!U2278</f>
        <v>3</v>
      </c>
      <c r="G2278" s="2" t="n">
        <f aca="false">'Raw Data'!W2278</f>
        <v>3</v>
      </c>
      <c r="H2278" s="2" t="n">
        <f aca="false">'Raw Data'!V2278</f>
        <v>3</v>
      </c>
      <c r="I2278" s="2" t="n">
        <f aca="false">IF(AND(ISNUMBER(B2278),B2278&lt;=25),2,0)+IF(AND(ISNUMBER(E2278),E2278&lt;=5),2,0)+IF(AND(ISNUMBER(F2278),F2278&lt;=1),2,0)+IF(AND(ISNUMBER(G2278),G2278&lt;=2),1,0)+IF(AND(ISNUMBER(H2278),H2278&lt;=2),1,0)</f>
        <v>0</v>
      </c>
      <c r="J2278" s="2" t="str">
        <f aca="false">IF(I2278&gt;=6,"High",IF(I2278&gt;=3,"Medium","Low"))</f>
        <v>Low</v>
      </c>
    </row>
    <row r="2279" customFormat="false" ht="15" hidden="false" customHeight="true" outlineLevel="0" collapsed="false">
      <c r="A2279" s="2" t="n">
        <f aca="false">'Raw Data'!H2279</f>
        <v>2278</v>
      </c>
      <c r="B2279" s="2" t="n">
        <f aca="false">'Raw Data'!A2279</f>
        <v>55</v>
      </c>
      <c r="C2279" s="2" t="str">
        <f aca="false">'Raw Data'!D2279</f>
        <v>Sales</v>
      </c>
      <c r="D2279" s="2" t="str">
        <f aca="false">'Raw Data'!K2279</f>
        <v>Research Scientist</v>
      </c>
      <c r="E2279" s="2" t="n">
        <f aca="false">'Raw Data'!Q2279</f>
        <v>4</v>
      </c>
      <c r="F2279" s="2" t="n">
        <f aca="false">'Raw Data'!U2279</f>
        <v>2</v>
      </c>
      <c r="G2279" s="2" t="n">
        <f aca="false">'Raw Data'!W2279</f>
        <v>3</v>
      </c>
      <c r="H2279" s="2" t="n">
        <f aca="false">'Raw Data'!V2279</f>
        <v>4</v>
      </c>
      <c r="I2279" s="2" t="n">
        <f aca="false">IF(AND(ISNUMBER(B2279),B2279&lt;=25),2,0)+IF(AND(ISNUMBER(E2279),E2279&lt;=5),2,0)+IF(AND(ISNUMBER(F2279),F2279&lt;=1),2,0)+IF(AND(ISNUMBER(G2279),G2279&lt;=2),1,0)+IF(AND(ISNUMBER(H2279),H2279&lt;=2),1,0)</f>
        <v>2</v>
      </c>
      <c r="J2279" s="2" t="str">
        <f aca="false">IF(I2279&gt;=6,"High",IF(I2279&gt;=3,"Medium","Low"))</f>
        <v>Low</v>
      </c>
    </row>
    <row r="2280" customFormat="false" ht="15" hidden="false" customHeight="true" outlineLevel="0" collapsed="false">
      <c r="A2280" s="2" t="n">
        <f aca="false">'Raw Data'!H2280</f>
        <v>2279</v>
      </c>
      <c r="B2280" s="2" t="n">
        <f aca="false">'Raw Data'!A2280</f>
        <v>33</v>
      </c>
      <c r="C2280" s="2" t="str">
        <f aca="false">'Raw Data'!D2280</f>
        <v>Research &amp; Development</v>
      </c>
      <c r="D2280" s="2" t="str">
        <f aca="false">'Raw Data'!K2280</f>
        <v>Research Scientist</v>
      </c>
      <c r="E2280" s="2" t="n">
        <f aca="false">'Raw Data'!Q2280</f>
        <v>8</v>
      </c>
      <c r="F2280" s="2" t="n">
        <f aca="false">'Raw Data'!U2280</f>
        <v>2</v>
      </c>
      <c r="G2280" s="2" t="n">
        <f aca="false">'Raw Data'!W2280</f>
        <v>2</v>
      </c>
      <c r="H2280" s="2" t="n">
        <f aca="false">'Raw Data'!V2280</f>
        <v>1</v>
      </c>
      <c r="I2280" s="2" t="n">
        <f aca="false">IF(AND(ISNUMBER(B2280),B2280&lt;=25),2,0)+IF(AND(ISNUMBER(E2280),E2280&lt;=5),2,0)+IF(AND(ISNUMBER(F2280),F2280&lt;=1),2,0)+IF(AND(ISNUMBER(G2280),G2280&lt;=2),1,0)+IF(AND(ISNUMBER(H2280),H2280&lt;=2),1,0)</f>
        <v>2</v>
      </c>
      <c r="J2280" s="2" t="str">
        <f aca="false">IF(I2280&gt;=6,"High",IF(I2280&gt;=3,"Medium","Low"))</f>
        <v>Low</v>
      </c>
    </row>
    <row r="2281" customFormat="false" ht="15" hidden="false" customHeight="true" outlineLevel="0" collapsed="false">
      <c r="A2281" s="2" t="n">
        <f aca="false">'Raw Data'!H2281</f>
        <v>2280</v>
      </c>
      <c r="B2281" s="2" t="n">
        <f aca="false">'Raw Data'!A2281</f>
        <v>47</v>
      </c>
      <c r="C2281" s="2" t="str">
        <f aca="false">'Raw Data'!D2281</f>
        <v>Research &amp; Development</v>
      </c>
      <c r="D2281" s="2" t="str">
        <f aca="false">'Raw Data'!K2281</f>
        <v>Sales Representative</v>
      </c>
      <c r="E2281" s="2" t="n">
        <f aca="false">'Raw Data'!Q2281</f>
        <v>11</v>
      </c>
      <c r="F2281" s="2" t="n">
        <f aca="false">'Raw Data'!U2281</f>
        <v>2</v>
      </c>
      <c r="G2281" s="2" t="n">
        <f aca="false">'Raw Data'!W2281</f>
        <v>3</v>
      </c>
      <c r="H2281" s="2" t="n">
        <f aca="false">'Raw Data'!V2281</f>
        <v>3</v>
      </c>
      <c r="I2281" s="2" t="n">
        <f aca="false">IF(AND(ISNUMBER(B2281),B2281&lt;=25),2,0)+IF(AND(ISNUMBER(E2281),E2281&lt;=5),2,0)+IF(AND(ISNUMBER(F2281),F2281&lt;=1),2,0)+IF(AND(ISNUMBER(G2281),G2281&lt;=2),1,0)+IF(AND(ISNUMBER(H2281),H2281&lt;=2),1,0)</f>
        <v>0</v>
      </c>
      <c r="J2281" s="2" t="str">
        <f aca="false">IF(I2281&gt;=6,"High",IF(I2281&gt;=3,"Medium","Low"))</f>
        <v>Low</v>
      </c>
    </row>
    <row r="2282" customFormat="false" ht="15" hidden="false" customHeight="true" outlineLevel="0" collapsed="false">
      <c r="A2282" s="2" t="n">
        <f aca="false">'Raw Data'!H2282</f>
        <v>2281</v>
      </c>
      <c r="B2282" s="2" t="n">
        <f aca="false">'Raw Data'!A2282</f>
        <v>28</v>
      </c>
      <c r="C2282" s="2" t="str">
        <f aca="false">'Raw Data'!D2282</f>
        <v>Sales</v>
      </c>
      <c r="D2282" s="2" t="str">
        <f aca="false">'Raw Data'!K2282</f>
        <v>Laboratory Technician</v>
      </c>
      <c r="E2282" s="2" t="n">
        <f aca="false">'Raw Data'!Q2282</f>
        <v>8</v>
      </c>
      <c r="F2282" s="2" t="n">
        <f aca="false">'Raw Data'!U2282</f>
        <v>0</v>
      </c>
      <c r="G2282" s="2" t="n">
        <f aca="false">'Raw Data'!W2282</f>
        <v>1</v>
      </c>
      <c r="H2282" s="2" t="n">
        <f aca="false">'Raw Data'!V2282</f>
        <v>3</v>
      </c>
      <c r="I2282" s="2" t="n">
        <f aca="false">IF(AND(ISNUMBER(B2282),B2282&lt;=25),2,0)+IF(AND(ISNUMBER(E2282),E2282&lt;=5),2,0)+IF(AND(ISNUMBER(F2282),F2282&lt;=1),2,0)+IF(AND(ISNUMBER(G2282),G2282&lt;=2),1,0)+IF(AND(ISNUMBER(H2282),H2282&lt;=2),1,0)</f>
        <v>3</v>
      </c>
      <c r="J2282" s="2" t="str">
        <f aca="false">IF(I2282&gt;=6,"High",IF(I2282&gt;=3,"Medium","Low"))</f>
        <v>Medium</v>
      </c>
    </row>
    <row r="2283" customFormat="false" ht="15" hidden="false" customHeight="true" outlineLevel="0" collapsed="false">
      <c r="A2283" s="2" t="n">
        <f aca="false">'Raw Data'!H2283</f>
        <v>2282</v>
      </c>
      <c r="B2283" s="2" t="n">
        <f aca="false">'Raw Data'!A2283</f>
        <v>28</v>
      </c>
      <c r="C2283" s="2" t="str">
        <f aca="false">'Raw Data'!D2283</f>
        <v>Sales</v>
      </c>
      <c r="D2283" s="2" t="str">
        <f aca="false">'Raw Data'!K2283</f>
        <v>Laboratory Technician</v>
      </c>
      <c r="E2283" s="2" t="n">
        <f aca="false">'Raw Data'!Q2283</f>
        <v>1</v>
      </c>
      <c r="F2283" s="2" t="n">
        <f aca="false">'Raw Data'!U2283</f>
        <v>0</v>
      </c>
      <c r="G2283" s="2" t="n">
        <f aca="false">'Raw Data'!W2283</f>
        <v>3</v>
      </c>
      <c r="H2283" s="2" t="n">
        <f aca="false">'Raw Data'!V2283</f>
        <v>1</v>
      </c>
      <c r="I2283" s="2" t="n">
        <f aca="false">IF(AND(ISNUMBER(B2283),B2283&lt;=25),2,0)+IF(AND(ISNUMBER(E2283),E2283&lt;=5),2,0)+IF(AND(ISNUMBER(F2283),F2283&lt;=1),2,0)+IF(AND(ISNUMBER(G2283),G2283&lt;=2),1,0)+IF(AND(ISNUMBER(H2283),H2283&lt;=2),1,0)</f>
        <v>5</v>
      </c>
      <c r="J2283" s="2" t="str">
        <f aca="false">IF(I2283&gt;=6,"High",IF(I2283&gt;=3,"Medium","Low"))</f>
        <v>Medium</v>
      </c>
    </row>
    <row r="2284" customFormat="false" ht="15" hidden="false" customHeight="true" outlineLevel="0" collapsed="false">
      <c r="A2284" s="2" t="n">
        <f aca="false">'Raw Data'!H2284</f>
        <v>2283</v>
      </c>
      <c r="B2284" s="2" t="n">
        <f aca="false">'Raw Data'!A2284</f>
        <v>28</v>
      </c>
      <c r="C2284" s="2" t="str">
        <f aca="false">'Raw Data'!D2284</f>
        <v>Research &amp; Development</v>
      </c>
      <c r="D2284" s="2" t="str">
        <f aca="false">'Raw Data'!K2284</f>
        <v>Sales Executive</v>
      </c>
      <c r="E2284" s="2" t="n">
        <f aca="false">'Raw Data'!Q2284</f>
        <v>5</v>
      </c>
      <c r="F2284" s="2" t="n">
        <f aca="false">'Raw Data'!U2284</f>
        <v>3</v>
      </c>
      <c r="G2284" s="2" t="n">
        <f aca="false">'Raw Data'!W2284</f>
        <v>1</v>
      </c>
      <c r="H2284" s="2" t="n">
        <f aca="false">'Raw Data'!V2284</f>
        <v>3</v>
      </c>
      <c r="I2284" s="2" t="n">
        <f aca="false">IF(AND(ISNUMBER(B2284),B2284&lt;=25),2,0)+IF(AND(ISNUMBER(E2284),E2284&lt;=5),2,0)+IF(AND(ISNUMBER(F2284),F2284&lt;=1),2,0)+IF(AND(ISNUMBER(G2284),G2284&lt;=2),1,0)+IF(AND(ISNUMBER(H2284),H2284&lt;=2),1,0)</f>
        <v>3</v>
      </c>
      <c r="J2284" s="2" t="str">
        <f aca="false">IF(I2284&gt;=6,"High",IF(I2284&gt;=3,"Medium","Low"))</f>
        <v>Medium</v>
      </c>
    </row>
    <row r="2285" customFormat="false" ht="15" hidden="false" customHeight="true" outlineLevel="0" collapsed="false">
      <c r="A2285" s="2" t="n">
        <f aca="false">'Raw Data'!H2285</f>
        <v>2284</v>
      </c>
      <c r="B2285" s="2" t="n">
        <f aca="false">'Raw Data'!A2285</f>
        <v>49</v>
      </c>
      <c r="C2285" s="2" t="str">
        <f aca="false">'Raw Data'!D2285</f>
        <v>Research &amp; Development</v>
      </c>
      <c r="D2285" s="2" t="str">
        <f aca="false">'Raw Data'!K2285</f>
        <v>Research Scientist</v>
      </c>
      <c r="E2285" s="2" t="n">
        <f aca="false">'Raw Data'!Q2285</f>
        <v>10</v>
      </c>
      <c r="F2285" s="2" t="n">
        <f aca="false">'Raw Data'!U2285</f>
        <v>2</v>
      </c>
      <c r="G2285" s="2" t="n">
        <f aca="false">'Raw Data'!W2285</f>
        <v>1</v>
      </c>
      <c r="H2285" s="2" t="n">
        <f aca="false">'Raw Data'!V2285</f>
        <v>3</v>
      </c>
      <c r="I2285" s="2" t="n">
        <f aca="false">IF(AND(ISNUMBER(B2285),B2285&lt;=25),2,0)+IF(AND(ISNUMBER(E2285),E2285&lt;=5),2,0)+IF(AND(ISNUMBER(F2285),F2285&lt;=1),2,0)+IF(AND(ISNUMBER(G2285),G2285&lt;=2),1,0)+IF(AND(ISNUMBER(H2285),H2285&lt;=2),1,0)</f>
        <v>1</v>
      </c>
      <c r="J2285" s="2" t="str">
        <f aca="false">IF(I2285&gt;=6,"High",IF(I2285&gt;=3,"Medium","Low"))</f>
        <v>Low</v>
      </c>
    </row>
    <row r="2286" customFormat="false" ht="15" hidden="false" customHeight="true" outlineLevel="0" collapsed="false">
      <c r="A2286" s="2" t="n">
        <f aca="false">'Raw Data'!H2286</f>
        <v>2285</v>
      </c>
      <c r="B2286" s="2" t="n">
        <f aca="false">'Raw Data'!A2286</f>
        <v>29</v>
      </c>
      <c r="C2286" s="2" t="str">
        <f aca="false">'Raw Data'!D2286</f>
        <v>Research &amp; Development</v>
      </c>
      <c r="D2286" s="2" t="str">
        <f aca="false">'Raw Data'!K2286</f>
        <v>Research Scientist</v>
      </c>
      <c r="E2286" s="2" t="n">
        <f aca="false">'Raw Data'!Q2286</f>
        <v>4</v>
      </c>
      <c r="F2286" s="2" t="n">
        <f aca="false">'Raw Data'!U2286</f>
        <v>2</v>
      </c>
      <c r="G2286" s="2" t="n">
        <f aca="false">'Raw Data'!W2286</f>
        <v>2</v>
      </c>
      <c r="H2286" s="2" t="n">
        <f aca="false">'Raw Data'!V2286</f>
        <v>4</v>
      </c>
      <c r="I2286" s="2" t="n">
        <f aca="false">IF(AND(ISNUMBER(B2286),B2286&lt;=25),2,0)+IF(AND(ISNUMBER(E2286),E2286&lt;=5),2,0)+IF(AND(ISNUMBER(F2286),F2286&lt;=1),2,0)+IF(AND(ISNUMBER(G2286),G2286&lt;=2),1,0)+IF(AND(ISNUMBER(H2286),H2286&lt;=2),1,0)</f>
        <v>3</v>
      </c>
      <c r="J2286" s="2" t="str">
        <f aca="false">IF(I2286&gt;=6,"High",IF(I2286&gt;=3,"Medium","Low"))</f>
        <v>Medium</v>
      </c>
    </row>
    <row r="2287" customFormat="false" ht="15" hidden="false" customHeight="true" outlineLevel="0" collapsed="false">
      <c r="A2287" s="2" t="n">
        <f aca="false">'Raw Data'!H2287</f>
        <v>2286</v>
      </c>
      <c r="B2287" s="2" t="n">
        <f aca="false">'Raw Data'!A2287</f>
        <v>28</v>
      </c>
      <c r="C2287" s="2" t="str">
        <f aca="false">'Raw Data'!D2287</f>
        <v>Research &amp; Development</v>
      </c>
      <c r="D2287" s="2" t="str">
        <f aca="false">'Raw Data'!K2287</f>
        <v>Laboratory Technician</v>
      </c>
      <c r="E2287" s="2" t="n">
        <f aca="false">'Raw Data'!Q2287</f>
        <v>8</v>
      </c>
      <c r="F2287" s="2" t="n">
        <f aca="false">'Raw Data'!U2287</f>
        <v>7</v>
      </c>
      <c r="G2287" s="2" t="n">
        <f aca="false">'Raw Data'!W2287</f>
        <v>2</v>
      </c>
      <c r="H2287" s="2" t="n">
        <f aca="false">'Raw Data'!V2287</f>
        <v>3</v>
      </c>
      <c r="I2287" s="2" t="n">
        <f aca="false">IF(AND(ISNUMBER(B2287),B2287&lt;=25),2,0)+IF(AND(ISNUMBER(E2287),E2287&lt;=5),2,0)+IF(AND(ISNUMBER(F2287),F2287&lt;=1),2,0)+IF(AND(ISNUMBER(G2287),G2287&lt;=2),1,0)+IF(AND(ISNUMBER(H2287),H2287&lt;=2),1,0)</f>
        <v>1</v>
      </c>
      <c r="J2287" s="2" t="str">
        <f aca="false">IF(I2287&gt;=6,"High",IF(I2287&gt;=3,"Medium","Low"))</f>
        <v>Low</v>
      </c>
    </row>
    <row r="2288" customFormat="false" ht="15" hidden="false" customHeight="true" outlineLevel="0" collapsed="false">
      <c r="A2288" s="2" t="n">
        <f aca="false">'Raw Data'!H2288</f>
        <v>2287</v>
      </c>
      <c r="B2288" s="2" t="n">
        <f aca="false">'Raw Data'!A2288</f>
        <v>33</v>
      </c>
      <c r="C2288" s="2" t="str">
        <f aca="false">'Raw Data'!D2288</f>
        <v>Research &amp; Development</v>
      </c>
      <c r="D2288" s="2" t="str">
        <f aca="false">'Raw Data'!K2288</f>
        <v>Sales Executive</v>
      </c>
      <c r="E2288" s="2" t="n">
        <f aca="false">'Raw Data'!Q2288</f>
        <v>14</v>
      </c>
      <c r="F2288" s="2" t="n">
        <f aca="false">'Raw Data'!U2288</f>
        <v>0</v>
      </c>
      <c r="G2288" s="2" t="n">
        <f aca="false">'Raw Data'!W2288</f>
        <v>3</v>
      </c>
      <c r="H2288" s="2" t="n">
        <f aca="false">'Raw Data'!V2288</f>
        <v>4</v>
      </c>
      <c r="I2288" s="2" t="n">
        <f aca="false">IF(AND(ISNUMBER(B2288),B2288&lt;=25),2,0)+IF(AND(ISNUMBER(E2288),E2288&lt;=5),2,0)+IF(AND(ISNUMBER(F2288),F2288&lt;=1),2,0)+IF(AND(ISNUMBER(G2288),G2288&lt;=2),1,0)+IF(AND(ISNUMBER(H2288),H2288&lt;=2),1,0)</f>
        <v>2</v>
      </c>
      <c r="J2288" s="2" t="str">
        <f aca="false">IF(I2288&gt;=6,"High",IF(I2288&gt;=3,"Medium","Low"))</f>
        <v>Low</v>
      </c>
    </row>
    <row r="2289" customFormat="false" ht="15" hidden="false" customHeight="true" outlineLevel="0" collapsed="false">
      <c r="A2289" s="2" t="n">
        <f aca="false">'Raw Data'!H2289</f>
        <v>2288</v>
      </c>
      <c r="B2289" s="2" t="n">
        <f aca="false">'Raw Data'!A2289</f>
        <v>32</v>
      </c>
      <c r="C2289" s="2" t="str">
        <f aca="false">'Raw Data'!D2289</f>
        <v>Research &amp; Development</v>
      </c>
      <c r="D2289" s="2" t="str">
        <f aca="false">'Raw Data'!K2289</f>
        <v>Laboratory Technician</v>
      </c>
      <c r="E2289" s="2" t="n">
        <f aca="false">'Raw Data'!Q2289</f>
        <v>10</v>
      </c>
      <c r="F2289" s="2" t="n">
        <f aca="false">'Raw Data'!U2289</f>
        <v>0</v>
      </c>
      <c r="G2289" s="2" t="n">
        <f aca="false">'Raw Data'!W2289</f>
        <v>4</v>
      </c>
      <c r="H2289" s="2" t="n">
        <f aca="false">'Raw Data'!V2289</f>
        <v>3</v>
      </c>
      <c r="I2289" s="2" t="n">
        <f aca="false">IF(AND(ISNUMBER(B2289),B2289&lt;=25),2,0)+IF(AND(ISNUMBER(E2289),E2289&lt;=5),2,0)+IF(AND(ISNUMBER(F2289),F2289&lt;=1),2,0)+IF(AND(ISNUMBER(G2289),G2289&lt;=2),1,0)+IF(AND(ISNUMBER(H2289),H2289&lt;=2),1,0)</f>
        <v>2</v>
      </c>
      <c r="J2289" s="2" t="str">
        <f aca="false">IF(I2289&gt;=6,"High",IF(I2289&gt;=3,"Medium","Low"))</f>
        <v>Low</v>
      </c>
    </row>
    <row r="2290" customFormat="false" ht="15" hidden="false" customHeight="true" outlineLevel="0" collapsed="false">
      <c r="A2290" s="2" t="n">
        <f aca="false">'Raw Data'!H2290</f>
        <v>2289</v>
      </c>
      <c r="B2290" s="2" t="n">
        <f aca="false">'Raw Data'!A2290</f>
        <v>54</v>
      </c>
      <c r="C2290" s="2" t="str">
        <f aca="false">'Raw Data'!D2290</f>
        <v>Sales</v>
      </c>
      <c r="D2290" s="2" t="str">
        <f aca="false">'Raw Data'!K2290</f>
        <v>Research Scientist</v>
      </c>
      <c r="E2290" s="2" t="n">
        <f aca="false">'Raw Data'!Q2290</f>
        <v>26</v>
      </c>
      <c r="F2290" s="2" t="n">
        <f aca="false">'Raw Data'!U2290</f>
        <v>12</v>
      </c>
      <c r="G2290" s="2" t="n">
        <f aca="false">'Raw Data'!W2290</f>
        <v>4</v>
      </c>
      <c r="H2290" s="2" t="n">
        <f aca="false">'Raw Data'!V2290</f>
        <v>2</v>
      </c>
      <c r="I2290" s="2" t="n">
        <f aca="false">IF(AND(ISNUMBER(B2290),B2290&lt;=25),2,0)+IF(AND(ISNUMBER(E2290),E2290&lt;=5),2,0)+IF(AND(ISNUMBER(F2290),F2290&lt;=1),2,0)+IF(AND(ISNUMBER(G2290),G2290&lt;=2),1,0)+IF(AND(ISNUMBER(H2290),H2290&lt;=2),1,0)</f>
        <v>1</v>
      </c>
      <c r="J2290" s="2" t="str">
        <f aca="false">IF(I2290&gt;=6,"High",IF(I2290&gt;=3,"Medium","Low"))</f>
        <v>Low</v>
      </c>
    </row>
    <row r="2291" customFormat="false" ht="15" hidden="false" customHeight="true" outlineLevel="0" collapsed="false">
      <c r="A2291" s="2" t="n">
        <f aca="false">'Raw Data'!H2291</f>
        <v>2290</v>
      </c>
      <c r="B2291" s="2" t="n">
        <f aca="false">'Raw Data'!A2291</f>
        <v>29</v>
      </c>
      <c r="C2291" s="2" t="str">
        <f aca="false">'Raw Data'!D2291</f>
        <v>Research &amp; Development</v>
      </c>
      <c r="D2291" s="2" t="str">
        <f aca="false">'Raw Data'!K2291</f>
        <v>Research Scientist</v>
      </c>
      <c r="E2291" s="2" t="n">
        <f aca="false">'Raw Data'!Q2291</f>
        <v>11</v>
      </c>
      <c r="F2291" s="2" t="n">
        <f aca="false">'Raw Data'!U2291</f>
        <v>7</v>
      </c>
      <c r="G2291" s="2" t="n">
        <f aca="false">'Raw Data'!W2291</f>
        <v>1</v>
      </c>
      <c r="H2291" s="2" t="n">
        <f aca="false">'Raw Data'!V2291</f>
        <v>1</v>
      </c>
      <c r="I2291" s="2" t="n">
        <f aca="false">IF(AND(ISNUMBER(B2291),B2291&lt;=25),2,0)+IF(AND(ISNUMBER(E2291),E2291&lt;=5),2,0)+IF(AND(ISNUMBER(F2291),F2291&lt;=1),2,0)+IF(AND(ISNUMBER(G2291),G2291&lt;=2),1,0)+IF(AND(ISNUMBER(H2291),H2291&lt;=2),1,0)</f>
        <v>2</v>
      </c>
      <c r="J2291" s="2" t="str">
        <f aca="false">IF(I2291&gt;=6,"High",IF(I2291&gt;=3,"Medium","Low"))</f>
        <v>Low</v>
      </c>
    </row>
    <row r="2292" customFormat="false" ht="15" hidden="false" customHeight="true" outlineLevel="0" collapsed="false">
      <c r="A2292" s="2" t="n">
        <f aca="false">'Raw Data'!H2292</f>
        <v>2291</v>
      </c>
      <c r="B2292" s="2" t="n">
        <f aca="false">'Raw Data'!A2292</f>
        <v>44</v>
      </c>
      <c r="C2292" s="2" t="str">
        <f aca="false">'Raw Data'!D2292</f>
        <v>Sales</v>
      </c>
      <c r="D2292" s="2" t="str">
        <f aca="false">'Raw Data'!K2292</f>
        <v>Sales Representative</v>
      </c>
      <c r="E2292" s="2" t="n">
        <f aca="false">'Raw Data'!Q2292</f>
        <v>24</v>
      </c>
      <c r="F2292" s="2" t="n">
        <f aca="false">'Raw Data'!U2292</f>
        <v>17</v>
      </c>
      <c r="G2292" s="2" t="n">
        <f aca="false">'Raw Data'!W2292</f>
        <v>1</v>
      </c>
      <c r="H2292" s="2" t="n">
        <f aca="false">'Raw Data'!V2292</f>
        <v>4</v>
      </c>
      <c r="I2292" s="2" t="n">
        <f aca="false">IF(AND(ISNUMBER(B2292),B2292&lt;=25),2,0)+IF(AND(ISNUMBER(E2292),E2292&lt;=5),2,0)+IF(AND(ISNUMBER(F2292),F2292&lt;=1),2,0)+IF(AND(ISNUMBER(G2292),G2292&lt;=2),1,0)+IF(AND(ISNUMBER(H2292),H2292&lt;=2),1,0)</f>
        <v>1</v>
      </c>
      <c r="J2292" s="2" t="str">
        <f aca="false">IF(I2292&gt;=6,"High",IF(I2292&gt;=3,"Medium","Low"))</f>
        <v>Low</v>
      </c>
    </row>
    <row r="2293" customFormat="false" ht="15" hidden="false" customHeight="true" outlineLevel="0" collapsed="false">
      <c r="A2293" s="2" t="n">
        <f aca="false">'Raw Data'!H2293</f>
        <v>2292</v>
      </c>
      <c r="B2293" s="2" t="n">
        <f aca="false">'Raw Data'!A2293</f>
        <v>39</v>
      </c>
      <c r="C2293" s="2" t="str">
        <f aca="false">'Raw Data'!D2293</f>
        <v>Sales</v>
      </c>
      <c r="D2293" s="2" t="str">
        <f aca="false">'Raw Data'!K2293</f>
        <v>Laboratory Technician</v>
      </c>
      <c r="E2293" s="2" t="n">
        <f aca="false">'Raw Data'!Q2293</f>
        <v>9</v>
      </c>
      <c r="F2293" s="2" t="n">
        <f aca="false">'Raw Data'!U2293</f>
        <v>2</v>
      </c>
      <c r="G2293" s="2" t="n">
        <f aca="false">'Raw Data'!W2293</f>
        <v>2</v>
      </c>
      <c r="H2293" s="2" t="n">
        <f aca="false">'Raw Data'!V2293</f>
        <v>2</v>
      </c>
      <c r="I2293" s="2" t="n">
        <f aca="false">IF(AND(ISNUMBER(B2293),B2293&lt;=25),2,0)+IF(AND(ISNUMBER(E2293),E2293&lt;=5),2,0)+IF(AND(ISNUMBER(F2293),F2293&lt;=1),2,0)+IF(AND(ISNUMBER(G2293),G2293&lt;=2),1,0)+IF(AND(ISNUMBER(H2293),H2293&lt;=2),1,0)</f>
        <v>2</v>
      </c>
      <c r="J2293" s="2" t="str">
        <f aca="false">IF(I2293&gt;=6,"High",IF(I2293&gt;=3,"Medium","Low"))</f>
        <v>Low</v>
      </c>
    </row>
    <row r="2294" customFormat="false" ht="15" hidden="false" customHeight="true" outlineLevel="0" collapsed="false">
      <c r="A2294" s="2" t="n">
        <f aca="false">'Raw Data'!H2294</f>
        <v>2293</v>
      </c>
      <c r="B2294" s="2" t="n">
        <f aca="false">'Raw Data'!A2294</f>
        <v>46</v>
      </c>
      <c r="C2294" s="2" t="str">
        <f aca="false">'Raw Data'!D2294</f>
        <v>Research &amp; Development</v>
      </c>
      <c r="D2294" s="2" t="str">
        <f aca="false">'Raw Data'!K2294</f>
        <v>Manufacturing Director</v>
      </c>
      <c r="E2294" s="2" t="n">
        <f aca="false">'Raw Data'!Q2294</f>
        <v>23</v>
      </c>
      <c r="F2294" s="2" t="n">
        <f aca="false">'Raw Data'!U2294</f>
        <v>1</v>
      </c>
      <c r="G2294" s="2" t="n">
        <f aca="false">'Raw Data'!W2294</f>
        <v>2</v>
      </c>
      <c r="H2294" s="2" t="n">
        <f aca="false">'Raw Data'!V2294</f>
        <v>3</v>
      </c>
      <c r="I2294" s="2" t="n">
        <f aca="false">IF(AND(ISNUMBER(B2294),B2294&lt;=25),2,0)+IF(AND(ISNUMBER(E2294),E2294&lt;=5),2,0)+IF(AND(ISNUMBER(F2294),F2294&lt;=1),2,0)+IF(AND(ISNUMBER(G2294),G2294&lt;=2),1,0)+IF(AND(ISNUMBER(H2294),H2294&lt;=2),1,0)</f>
        <v>3</v>
      </c>
      <c r="J2294" s="2" t="str">
        <f aca="false">IF(I2294&gt;=6,"High",IF(I2294&gt;=3,"Medium","Low"))</f>
        <v>Medium</v>
      </c>
    </row>
    <row r="2295" customFormat="false" ht="15" hidden="false" customHeight="true" outlineLevel="0" collapsed="false">
      <c r="A2295" s="2" t="n">
        <f aca="false">'Raw Data'!H2295</f>
        <v>2294</v>
      </c>
      <c r="B2295" s="2" t="n">
        <f aca="false">'Raw Data'!A2295</f>
        <v>35</v>
      </c>
      <c r="C2295" s="2" t="str">
        <f aca="false">'Raw Data'!D2295</f>
        <v>Research &amp; Development</v>
      </c>
      <c r="D2295" s="2" t="str">
        <f aca="false">'Raw Data'!K2295</f>
        <v>Research Scientist</v>
      </c>
      <c r="E2295" s="2" t="n">
        <f aca="false">'Raw Data'!Q2295</f>
        <v>11</v>
      </c>
      <c r="F2295" s="2" t="n">
        <f aca="false">'Raw Data'!U2295</f>
        <v>3</v>
      </c>
      <c r="G2295" s="2" t="n">
        <f aca="false">'Raw Data'!W2295</f>
        <v>2</v>
      </c>
      <c r="H2295" s="2" t="n">
        <f aca="false">'Raw Data'!V2295</f>
        <v>4</v>
      </c>
      <c r="I2295" s="2" t="n">
        <f aca="false">IF(AND(ISNUMBER(B2295),B2295&lt;=25),2,0)+IF(AND(ISNUMBER(E2295),E2295&lt;=5),2,0)+IF(AND(ISNUMBER(F2295),F2295&lt;=1),2,0)+IF(AND(ISNUMBER(G2295),G2295&lt;=2),1,0)+IF(AND(ISNUMBER(H2295),H2295&lt;=2),1,0)</f>
        <v>1</v>
      </c>
      <c r="J2295" s="2" t="str">
        <f aca="false">IF(I2295&gt;=6,"High",IF(I2295&gt;=3,"Medium","Low"))</f>
        <v>Low</v>
      </c>
    </row>
    <row r="2296" customFormat="false" ht="15" hidden="false" customHeight="true" outlineLevel="0" collapsed="false">
      <c r="A2296" s="2" t="n">
        <f aca="false">'Raw Data'!H2296</f>
        <v>2295</v>
      </c>
      <c r="B2296" s="2" t="n">
        <f aca="false">'Raw Data'!A2296</f>
        <v>23</v>
      </c>
      <c r="C2296" s="2" t="str">
        <f aca="false">'Raw Data'!D2296</f>
        <v>Research &amp; Development</v>
      </c>
      <c r="D2296" s="2" t="str">
        <f aca="false">'Raw Data'!K2296</f>
        <v>Manager</v>
      </c>
      <c r="E2296" s="2" t="n">
        <f aca="false">'Raw Data'!Q2296</f>
        <v>5</v>
      </c>
      <c r="F2296" s="2" t="n">
        <f aca="false">'Raw Data'!U2296</f>
        <v>2</v>
      </c>
      <c r="G2296" s="2" t="n">
        <f aca="false">'Raw Data'!W2296</f>
        <v>3</v>
      </c>
      <c r="H2296" s="2" t="n">
        <f aca="false">'Raw Data'!V2296</f>
        <v>1</v>
      </c>
      <c r="I2296" s="2" t="n">
        <f aca="false">IF(AND(ISNUMBER(B2296),B2296&lt;=25),2,0)+IF(AND(ISNUMBER(E2296),E2296&lt;=5),2,0)+IF(AND(ISNUMBER(F2296),F2296&lt;=1),2,0)+IF(AND(ISNUMBER(G2296),G2296&lt;=2),1,0)+IF(AND(ISNUMBER(H2296),H2296&lt;=2),1,0)</f>
        <v>5</v>
      </c>
      <c r="J2296" s="2" t="str">
        <f aca="false">IF(I2296&gt;=6,"High",IF(I2296&gt;=3,"Medium","Low"))</f>
        <v>Medium</v>
      </c>
    </row>
    <row r="2297" customFormat="false" ht="15" hidden="false" customHeight="true" outlineLevel="0" collapsed="false">
      <c r="A2297" s="2" t="n">
        <f aca="false">'Raw Data'!H2297</f>
        <v>2296</v>
      </c>
      <c r="B2297" s="2" t="n">
        <f aca="false">'Raw Data'!A2297</f>
        <v>40</v>
      </c>
      <c r="C2297" s="2" t="str">
        <f aca="false">'Raw Data'!D2297</f>
        <v>Research &amp; Development</v>
      </c>
      <c r="D2297" s="2" t="str">
        <f aca="false">'Raw Data'!K2297</f>
        <v>Research Director</v>
      </c>
      <c r="E2297" s="2" t="n">
        <f aca="false">'Raw Data'!Q2297</f>
        <v>15</v>
      </c>
      <c r="F2297" s="2" t="n">
        <f aca="false">'Raw Data'!U2297</f>
        <v>0</v>
      </c>
      <c r="G2297" s="2" t="n">
        <f aca="false">'Raw Data'!W2297</f>
        <v>1</v>
      </c>
      <c r="H2297" s="2" t="n">
        <f aca="false">'Raw Data'!V2297</f>
        <v>4</v>
      </c>
      <c r="I2297" s="2" t="n">
        <f aca="false">IF(AND(ISNUMBER(B2297),B2297&lt;=25),2,0)+IF(AND(ISNUMBER(E2297),E2297&lt;=5),2,0)+IF(AND(ISNUMBER(F2297),F2297&lt;=1),2,0)+IF(AND(ISNUMBER(G2297),G2297&lt;=2),1,0)+IF(AND(ISNUMBER(H2297),H2297&lt;=2),1,0)</f>
        <v>3</v>
      </c>
      <c r="J2297" s="2" t="str">
        <f aca="false">IF(I2297&gt;=6,"High",IF(I2297&gt;=3,"Medium","Low"))</f>
        <v>Medium</v>
      </c>
    </row>
    <row r="2298" customFormat="false" ht="15" hidden="false" customHeight="true" outlineLevel="0" collapsed="false">
      <c r="A2298" s="2" t="n">
        <f aca="false">'Raw Data'!H2298</f>
        <v>2297</v>
      </c>
      <c r="B2298" s="2" t="n">
        <f aca="false">'Raw Data'!A2298</f>
        <v>34</v>
      </c>
      <c r="C2298" s="2" t="str">
        <f aca="false">'Raw Data'!D2298</f>
        <v>Human Resources</v>
      </c>
      <c r="D2298" s="2" t="str">
        <f aca="false">'Raw Data'!K2298</f>
        <v>Manufacturing Director</v>
      </c>
      <c r="E2298" s="2" t="n">
        <f aca="false">'Raw Data'!Q2298</f>
        <v>10</v>
      </c>
      <c r="F2298" s="2" t="n">
        <f aca="false">'Raw Data'!U2298</f>
        <v>6</v>
      </c>
      <c r="G2298" s="2" t="n">
        <f aca="false">'Raw Data'!W2298</f>
        <v>3</v>
      </c>
      <c r="H2298" s="2" t="n">
        <f aca="false">'Raw Data'!V2298</f>
        <v>4</v>
      </c>
      <c r="I2298" s="2" t="n">
        <f aca="false">IF(AND(ISNUMBER(B2298),B2298&lt;=25),2,0)+IF(AND(ISNUMBER(E2298),E2298&lt;=5),2,0)+IF(AND(ISNUMBER(F2298),F2298&lt;=1),2,0)+IF(AND(ISNUMBER(G2298),G2298&lt;=2),1,0)+IF(AND(ISNUMBER(H2298),H2298&lt;=2),1,0)</f>
        <v>0</v>
      </c>
      <c r="J2298" s="2" t="str">
        <f aca="false">IF(I2298&gt;=6,"High",IF(I2298&gt;=3,"Medium","Low"))</f>
        <v>Low</v>
      </c>
    </row>
    <row r="2299" customFormat="false" ht="15" hidden="false" customHeight="true" outlineLevel="0" collapsed="false">
      <c r="A2299" s="2" t="n">
        <f aca="false">'Raw Data'!H2299</f>
        <v>2298</v>
      </c>
      <c r="B2299" s="2" t="n">
        <f aca="false">'Raw Data'!A2299</f>
        <v>31</v>
      </c>
      <c r="C2299" s="2" t="str">
        <f aca="false">'Raw Data'!D2299</f>
        <v>Research &amp; Development</v>
      </c>
      <c r="D2299" s="2" t="str">
        <f aca="false">'Raw Data'!K2299</f>
        <v>Healthcare Representative</v>
      </c>
      <c r="E2299" s="2" t="n">
        <f aca="false">'Raw Data'!Q2299</f>
        <v>7</v>
      </c>
      <c r="F2299" s="2" t="n">
        <f aca="false">'Raw Data'!U2299</f>
        <v>7</v>
      </c>
      <c r="G2299" s="2" t="n">
        <f aca="false">'Raw Data'!W2299</f>
        <v>3</v>
      </c>
      <c r="H2299" s="2" t="n">
        <f aca="false">'Raw Data'!V2299</f>
        <v>4</v>
      </c>
      <c r="I2299" s="2" t="n">
        <f aca="false">IF(AND(ISNUMBER(B2299),B2299&lt;=25),2,0)+IF(AND(ISNUMBER(E2299),E2299&lt;=5),2,0)+IF(AND(ISNUMBER(F2299),F2299&lt;=1),2,0)+IF(AND(ISNUMBER(G2299),G2299&lt;=2),1,0)+IF(AND(ISNUMBER(H2299),H2299&lt;=2),1,0)</f>
        <v>0</v>
      </c>
      <c r="J2299" s="2" t="str">
        <f aca="false">IF(I2299&gt;=6,"High",IF(I2299&gt;=3,"Medium","Low"))</f>
        <v>Low</v>
      </c>
    </row>
    <row r="2300" customFormat="false" ht="15" hidden="false" customHeight="true" outlineLevel="0" collapsed="false">
      <c r="A2300" s="2" t="n">
        <f aca="false">'Raw Data'!H2300</f>
        <v>2299</v>
      </c>
      <c r="B2300" s="2" t="n">
        <f aca="false">'Raw Data'!A2300</f>
        <v>50</v>
      </c>
      <c r="C2300" s="2" t="str">
        <f aca="false">'Raw Data'!D2300</f>
        <v>Research &amp; Development</v>
      </c>
      <c r="D2300" s="2" t="str">
        <f aca="false">'Raw Data'!K2300</f>
        <v>Manager</v>
      </c>
      <c r="E2300" s="2" t="n">
        <f aca="false">'Raw Data'!Q2300</f>
        <v>32</v>
      </c>
      <c r="F2300" s="2" t="n">
        <f aca="false">'Raw Data'!U2300</f>
        <v>9</v>
      </c>
      <c r="G2300" s="2" t="n">
        <f aca="false">'Raw Data'!W2300</f>
        <v>4</v>
      </c>
      <c r="H2300" s="2" t="n">
        <f aca="false">'Raw Data'!V2300</f>
        <v>3</v>
      </c>
      <c r="I2300" s="2" t="n">
        <f aca="false">IF(AND(ISNUMBER(B2300),B2300&lt;=25),2,0)+IF(AND(ISNUMBER(E2300),E2300&lt;=5),2,0)+IF(AND(ISNUMBER(F2300),F2300&lt;=1),2,0)+IF(AND(ISNUMBER(G2300),G2300&lt;=2),1,0)+IF(AND(ISNUMBER(H2300),H2300&lt;=2),1,0)</f>
        <v>0</v>
      </c>
      <c r="J2300" s="2" t="str">
        <f aca="false">IF(I2300&gt;=6,"High",IF(I2300&gt;=3,"Medium","Low"))</f>
        <v>Low</v>
      </c>
    </row>
    <row r="2301" customFormat="false" ht="15" hidden="false" customHeight="true" outlineLevel="0" collapsed="false">
      <c r="A2301" s="2" t="n">
        <f aca="false">'Raw Data'!H2301</f>
        <v>2300</v>
      </c>
      <c r="B2301" s="2" t="n">
        <f aca="false">'Raw Data'!A2301</f>
        <v>34</v>
      </c>
      <c r="C2301" s="2" t="str">
        <f aca="false">'Raw Data'!D2301</f>
        <v>Sales</v>
      </c>
      <c r="D2301" s="2" t="str">
        <f aca="false">'Raw Data'!K2301</f>
        <v>Research Scientist</v>
      </c>
      <c r="E2301" s="2" t="n">
        <f aca="false">'Raw Data'!Q2301</f>
        <v>12</v>
      </c>
      <c r="F2301" s="2" t="n">
        <f aca="false">'Raw Data'!U2301</f>
        <v>7</v>
      </c>
      <c r="G2301" s="2" t="n">
        <f aca="false">'Raw Data'!W2301</f>
        <v>3</v>
      </c>
      <c r="H2301" s="2" t="n">
        <f aca="false">'Raw Data'!V2301</f>
        <v>2</v>
      </c>
      <c r="I2301" s="2" t="n">
        <f aca="false">IF(AND(ISNUMBER(B2301),B2301&lt;=25),2,0)+IF(AND(ISNUMBER(E2301),E2301&lt;=5),2,0)+IF(AND(ISNUMBER(F2301),F2301&lt;=1),2,0)+IF(AND(ISNUMBER(G2301),G2301&lt;=2),1,0)+IF(AND(ISNUMBER(H2301),H2301&lt;=2),1,0)</f>
        <v>1</v>
      </c>
      <c r="J2301" s="2" t="str">
        <f aca="false">IF(I2301&gt;=6,"High",IF(I2301&gt;=3,"Medium","Low"))</f>
        <v>Low</v>
      </c>
    </row>
    <row r="2302" customFormat="false" ht="15" hidden="false" customHeight="true" outlineLevel="0" collapsed="false">
      <c r="A2302" s="2" t="n">
        <f aca="false">'Raw Data'!H2302</f>
        <v>2301</v>
      </c>
      <c r="B2302" s="2" t="n">
        <f aca="false">'Raw Data'!A2302</f>
        <v>42</v>
      </c>
      <c r="C2302" s="2" t="str">
        <f aca="false">'Raw Data'!D2302</f>
        <v>Research &amp; Development</v>
      </c>
      <c r="D2302" s="2" t="str">
        <f aca="false">'Raw Data'!K2302</f>
        <v>Manufacturing Director</v>
      </c>
      <c r="E2302" s="2" t="n">
        <f aca="false">'Raw Data'!Q2302</f>
        <v>4</v>
      </c>
      <c r="F2302" s="2" t="n">
        <f aca="false">'Raw Data'!U2302</f>
        <v>0</v>
      </c>
      <c r="G2302" s="2" t="n">
        <f aca="false">'Raw Data'!W2302</f>
        <v>2</v>
      </c>
      <c r="H2302" s="2" t="n">
        <f aca="false">'Raw Data'!V2302</f>
        <v>3</v>
      </c>
      <c r="I2302" s="2" t="n">
        <f aca="false">IF(AND(ISNUMBER(B2302),B2302&lt;=25),2,0)+IF(AND(ISNUMBER(E2302),E2302&lt;=5),2,0)+IF(AND(ISNUMBER(F2302),F2302&lt;=1),2,0)+IF(AND(ISNUMBER(G2302),G2302&lt;=2),1,0)+IF(AND(ISNUMBER(H2302),H2302&lt;=2),1,0)</f>
        <v>5</v>
      </c>
      <c r="J2302" s="2" t="str">
        <f aca="false">IF(I2302&gt;=6,"High",IF(I2302&gt;=3,"Medium","Low"))</f>
        <v>Medium</v>
      </c>
    </row>
    <row r="2303" customFormat="false" ht="15" hidden="false" customHeight="true" outlineLevel="0" collapsed="false">
      <c r="A2303" s="2" t="n">
        <f aca="false">'Raw Data'!H2303</f>
        <v>2302</v>
      </c>
      <c r="B2303" s="2" t="n">
        <f aca="false">'Raw Data'!A2303</f>
        <v>37</v>
      </c>
      <c r="C2303" s="2" t="str">
        <f aca="false">'Raw Data'!D2303</f>
        <v>Research &amp; Development</v>
      </c>
      <c r="D2303" s="2" t="str">
        <f aca="false">'Raw Data'!K2303</f>
        <v>Research Scientist</v>
      </c>
      <c r="E2303" s="2" t="n">
        <f aca="false">'Raw Data'!Q2303</f>
        <v>10</v>
      </c>
      <c r="F2303" s="2" t="n">
        <f aca="false">'Raw Data'!U2303</f>
        <v>7</v>
      </c>
      <c r="G2303" s="2" t="n">
        <f aca="false">'Raw Data'!W2303</f>
        <v>4</v>
      </c>
      <c r="H2303" s="2" t="n">
        <f aca="false">'Raw Data'!V2303</f>
        <v>1</v>
      </c>
      <c r="I2303" s="2" t="n">
        <f aca="false">IF(AND(ISNUMBER(B2303),B2303&lt;=25),2,0)+IF(AND(ISNUMBER(E2303),E2303&lt;=5),2,0)+IF(AND(ISNUMBER(F2303),F2303&lt;=1),2,0)+IF(AND(ISNUMBER(G2303),G2303&lt;=2),1,0)+IF(AND(ISNUMBER(H2303),H2303&lt;=2),1,0)</f>
        <v>1</v>
      </c>
      <c r="J2303" s="2" t="str">
        <f aca="false">IF(I2303&gt;=6,"High",IF(I2303&gt;=3,"Medium","Low"))</f>
        <v>Low</v>
      </c>
    </row>
    <row r="2304" customFormat="false" ht="15" hidden="false" customHeight="true" outlineLevel="0" collapsed="false">
      <c r="A2304" s="2" t="n">
        <f aca="false">'Raw Data'!H2304</f>
        <v>2303</v>
      </c>
      <c r="B2304" s="2" t="n">
        <f aca="false">'Raw Data'!A2304</f>
        <v>29</v>
      </c>
      <c r="C2304" s="2" t="str">
        <f aca="false">'Raw Data'!D2304</f>
        <v>Research &amp; Development</v>
      </c>
      <c r="D2304" s="2" t="str">
        <f aca="false">'Raw Data'!K2304</f>
        <v>Manager</v>
      </c>
      <c r="E2304" s="2" t="n">
        <f aca="false">'Raw Data'!Q2304</f>
        <v>9</v>
      </c>
      <c r="F2304" s="2" t="n">
        <f aca="false">'Raw Data'!U2304</f>
        <v>7</v>
      </c>
      <c r="G2304" s="2" t="n">
        <f aca="false">'Raw Data'!W2304</f>
        <v>1</v>
      </c>
      <c r="H2304" s="2" t="n">
        <f aca="false">'Raw Data'!V2304</f>
        <v>3</v>
      </c>
      <c r="I2304" s="2" t="n">
        <f aca="false">IF(AND(ISNUMBER(B2304),B2304&lt;=25),2,0)+IF(AND(ISNUMBER(E2304),E2304&lt;=5),2,0)+IF(AND(ISNUMBER(F2304),F2304&lt;=1),2,0)+IF(AND(ISNUMBER(G2304),G2304&lt;=2),1,0)+IF(AND(ISNUMBER(H2304),H2304&lt;=2),1,0)</f>
        <v>1</v>
      </c>
      <c r="J2304" s="2" t="str">
        <f aca="false">IF(I2304&gt;=6,"High",IF(I2304&gt;=3,"Medium","Low"))</f>
        <v>Low</v>
      </c>
    </row>
    <row r="2305" customFormat="false" ht="15" hidden="false" customHeight="true" outlineLevel="0" collapsed="false">
      <c r="A2305" s="2" t="n">
        <f aca="false">'Raw Data'!H2305</f>
        <v>2304</v>
      </c>
      <c r="B2305" s="2" t="n">
        <f aca="false">'Raw Data'!A2305</f>
        <v>33</v>
      </c>
      <c r="C2305" s="2" t="str">
        <f aca="false">'Raw Data'!D2305</f>
        <v>Research &amp; Development</v>
      </c>
      <c r="D2305" s="2" t="str">
        <f aca="false">'Raw Data'!K2305</f>
        <v>Research Scientist</v>
      </c>
      <c r="E2305" s="2" t="n">
        <f aca="false">'Raw Data'!Q2305</f>
        <v>5</v>
      </c>
      <c r="F2305" s="2" t="n">
        <f aca="false">'Raw Data'!U2305</f>
        <v>2</v>
      </c>
      <c r="G2305" s="2" t="n">
        <f aca="false">'Raw Data'!W2305</f>
        <v>2</v>
      </c>
      <c r="H2305" s="2" t="n">
        <f aca="false">'Raw Data'!V2305</f>
        <v>4</v>
      </c>
      <c r="I2305" s="2" t="n">
        <f aca="false">IF(AND(ISNUMBER(B2305),B2305&lt;=25),2,0)+IF(AND(ISNUMBER(E2305),E2305&lt;=5),2,0)+IF(AND(ISNUMBER(F2305),F2305&lt;=1),2,0)+IF(AND(ISNUMBER(G2305),G2305&lt;=2),1,0)+IF(AND(ISNUMBER(H2305),H2305&lt;=2),1,0)</f>
        <v>3</v>
      </c>
      <c r="J2305" s="2" t="str">
        <f aca="false">IF(I2305&gt;=6,"High",IF(I2305&gt;=3,"Medium","Low"))</f>
        <v>Medium</v>
      </c>
    </row>
    <row r="2306" customFormat="false" ht="15" hidden="false" customHeight="true" outlineLevel="0" collapsed="false">
      <c r="A2306" s="2" t="n">
        <f aca="false">'Raw Data'!H2306</f>
        <v>2305</v>
      </c>
      <c r="B2306" s="2" t="n">
        <f aca="false">'Raw Data'!A2306</f>
        <v>45</v>
      </c>
      <c r="C2306" s="2" t="str">
        <f aca="false">'Raw Data'!D2306</f>
        <v>Sales</v>
      </c>
      <c r="D2306" s="2" t="str">
        <f aca="false">'Raw Data'!K2306</f>
        <v>Laboratory Technician</v>
      </c>
      <c r="E2306" s="2" t="n">
        <f aca="false">'Raw Data'!Q2306</f>
        <v>8</v>
      </c>
      <c r="F2306" s="2" t="n">
        <f aca="false">'Raw Data'!U2306</f>
        <v>3</v>
      </c>
      <c r="G2306" s="2" t="n">
        <f aca="false">'Raw Data'!W2306</f>
        <v>4</v>
      </c>
      <c r="H2306" s="2" t="n">
        <f aca="false">'Raw Data'!V2306</f>
        <v>4</v>
      </c>
      <c r="I2306" s="2" t="n">
        <f aca="false">IF(AND(ISNUMBER(B2306),B2306&lt;=25),2,0)+IF(AND(ISNUMBER(E2306),E2306&lt;=5),2,0)+IF(AND(ISNUMBER(F2306),F2306&lt;=1),2,0)+IF(AND(ISNUMBER(G2306),G2306&lt;=2),1,0)+IF(AND(ISNUMBER(H2306),H2306&lt;=2),1,0)</f>
        <v>0</v>
      </c>
      <c r="J2306" s="2" t="str">
        <f aca="false">IF(I2306&gt;=6,"High",IF(I2306&gt;=3,"Medium","Low"))</f>
        <v>Low</v>
      </c>
    </row>
    <row r="2307" customFormat="false" ht="15" hidden="false" customHeight="true" outlineLevel="0" collapsed="false">
      <c r="A2307" s="2" t="n">
        <f aca="false">'Raw Data'!H2307</f>
        <v>2306</v>
      </c>
      <c r="B2307" s="2" t="n">
        <f aca="false">'Raw Data'!A2307</f>
        <v>42</v>
      </c>
      <c r="C2307" s="2" t="str">
        <f aca="false">'Raw Data'!D2307</f>
        <v>Human Resources</v>
      </c>
      <c r="D2307" s="2" t="str">
        <f aca="false">'Raw Data'!K2307</f>
        <v>Manufacturing Director</v>
      </c>
      <c r="E2307" s="2" t="n">
        <f aca="false">'Raw Data'!Q2307</f>
        <v>24</v>
      </c>
      <c r="F2307" s="2" t="n">
        <f aca="false">'Raw Data'!U2307</f>
        <v>9</v>
      </c>
      <c r="G2307" s="2" t="n">
        <f aca="false">'Raw Data'!W2307</f>
        <v>4</v>
      </c>
      <c r="H2307" s="2" t="n">
        <f aca="false">'Raw Data'!V2307</f>
        <v>4</v>
      </c>
      <c r="I2307" s="2" t="n">
        <f aca="false">IF(AND(ISNUMBER(B2307),B2307&lt;=25),2,0)+IF(AND(ISNUMBER(E2307),E2307&lt;=5),2,0)+IF(AND(ISNUMBER(F2307),F2307&lt;=1),2,0)+IF(AND(ISNUMBER(G2307),G2307&lt;=2),1,0)+IF(AND(ISNUMBER(H2307),H2307&lt;=2),1,0)</f>
        <v>0</v>
      </c>
      <c r="J2307" s="2" t="str">
        <f aca="false">IF(I2307&gt;=6,"High",IF(I2307&gt;=3,"Medium","Low"))</f>
        <v>Low</v>
      </c>
    </row>
    <row r="2308" customFormat="false" ht="15" hidden="false" customHeight="true" outlineLevel="0" collapsed="false">
      <c r="A2308" s="2" t="n">
        <f aca="false">'Raw Data'!H2308</f>
        <v>2307</v>
      </c>
      <c r="B2308" s="2" t="n">
        <f aca="false">'Raw Data'!A2308</f>
        <v>40</v>
      </c>
      <c r="C2308" s="2" t="str">
        <f aca="false">'Raw Data'!D2308</f>
        <v>Sales</v>
      </c>
      <c r="D2308" s="2" t="str">
        <f aca="false">'Raw Data'!K2308</f>
        <v>Manufacturing Director</v>
      </c>
      <c r="E2308" s="2" t="n">
        <f aca="false">'Raw Data'!Q2308</f>
        <v>9</v>
      </c>
      <c r="F2308" s="2" t="n">
        <f aca="false">'Raw Data'!U2308</f>
        <v>1</v>
      </c>
      <c r="G2308" s="2" t="n">
        <f aca="false">'Raw Data'!W2308</f>
        <v>1</v>
      </c>
      <c r="H2308" s="2" t="n">
        <f aca="false">'Raw Data'!V2308</f>
        <v>1</v>
      </c>
      <c r="I2308" s="2" t="n">
        <f aca="false">IF(AND(ISNUMBER(B2308),B2308&lt;=25),2,0)+IF(AND(ISNUMBER(E2308),E2308&lt;=5),2,0)+IF(AND(ISNUMBER(F2308),F2308&lt;=1),2,0)+IF(AND(ISNUMBER(G2308),G2308&lt;=2),1,0)+IF(AND(ISNUMBER(H2308),H2308&lt;=2),1,0)</f>
        <v>4</v>
      </c>
      <c r="J2308" s="2" t="str">
        <f aca="false">IF(I2308&gt;=6,"High",IF(I2308&gt;=3,"Medium","Low"))</f>
        <v>Medium</v>
      </c>
    </row>
    <row r="2309" customFormat="false" ht="15" hidden="false" customHeight="true" outlineLevel="0" collapsed="false">
      <c r="A2309" s="2" t="n">
        <f aca="false">'Raw Data'!H2309</f>
        <v>2308</v>
      </c>
      <c r="B2309" s="2" t="n">
        <f aca="false">'Raw Data'!A2309</f>
        <v>33</v>
      </c>
      <c r="C2309" s="2" t="str">
        <f aca="false">'Raw Data'!D2309</f>
        <v>Research &amp; Development</v>
      </c>
      <c r="D2309" s="2" t="str">
        <f aca="false">'Raw Data'!K2309</f>
        <v>Manufacturing Director</v>
      </c>
      <c r="E2309" s="2" t="n">
        <f aca="false">'Raw Data'!Q2309</f>
        <v>15</v>
      </c>
      <c r="F2309" s="2" t="n">
        <f aca="false">'Raw Data'!U2309</f>
        <v>7</v>
      </c>
      <c r="G2309" s="2" t="n">
        <f aca="false">'Raw Data'!W2309</f>
        <v>3</v>
      </c>
      <c r="H2309" s="2" t="n">
        <f aca="false">'Raw Data'!V2309</f>
        <v>2</v>
      </c>
      <c r="I2309" s="2" t="n">
        <f aca="false">IF(AND(ISNUMBER(B2309),B2309&lt;=25),2,0)+IF(AND(ISNUMBER(E2309),E2309&lt;=5),2,0)+IF(AND(ISNUMBER(F2309),F2309&lt;=1),2,0)+IF(AND(ISNUMBER(G2309),G2309&lt;=2),1,0)+IF(AND(ISNUMBER(H2309),H2309&lt;=2),1,0)</f>
        <v>1</v>
      </c>
      <c r="J2309" s="2" t="str">
        <f aca="false">IF(I2309&gt;=6,"High",IF(I2309&gt;=3,"Medium","Low"))</f>
        <v>Low</v>
      </c>
    </row>
    <row r="2310" customFormat="false" ht="15" hidden="false" customHeight="true" outlineLevel="0" collapsed="false">
      <c r="A2310" s="2" t="n">
        <f aca="false">'Raw Data'!H2310</f>
        <v>2309</v>
      </c>
      <c r="B2310" s="2" t="n">
        <f aca="false">'Raw Data'!A2310</f>
        <v>40</v>
      </c>
      <c r="C2310" s="2" t="str">
        <f aca="false">'Raw Data'!D2310</f>
        <v>Sales</v>
      </c>
      <c r="D2310" s="2" t="str">
        <f aca="false">'Raw Data'!K2310</f>
        <v>Manufacturing Director</v>
      </c>
      <c r="E2310" s="2" t="n">
        <f aca="false">'Raw Data'!Q2310</f>
        <v>21</v>
      </c>
      <c r="F2310" s="2" t="n">
        <f aca="false">'Raw Data'!U2310</f>
        <v>7</v>
      </c>
      <c r="G2310" s="2" t="n">
        <f aca="false">'Raw Data'!W2310</f>
        <v>4</v>
      </c>
      <c r="H2310" s="2" t="n">
        <f aca="false">'Raw Data'!V2310</f>
        <v>3</v>
      </c>
      <c r="I2310" s="2" t="n">
        <f aca="false">IF(AND(ISNUMBER(B2310),B2310&lt;=25),2,0)+IF(AND(ISNUMBER(E2310),E2310&lt;=5),2,0)+IF(AND(ISNUMBER(F2310),F2310&lt;=1),2,0)+IF(AND(ISNUMBER(G2310),G2310&lt;=2),1,0)+IF(AND(ISNUMBER(H2310),H2310&lt;=2),1,0)</f>
        <v>0</v>
      </c>
      <c r="J2310" s="2" t="str">
        <f aca="false">IF(I2310&gt;=6,"High",IF(I2310&gt;=3,"Medium","Low"))</f>
        <v>Low</v>
      </c>
    </row>
    <row r="2311" customFormat="false" ht="15" hidden="false" customHeight="true" outlineLevel="0" collapsed="false">
      <c r="A2311" s="2" t="n">
        <f aca="false">'Raw Data'!H2311</f>
        <v>2310</v>
      </c>
      <c r="B2311" s="2" t="n">
        <f aca="false">'Raw Data'!A2311</f>
        <v>24</v>
      </c>
      <c r="C2311" s="2" t="str">
        <f aca="false">'Raw Data'!D2311</f>
        <v>Sales</v>
      </c>
      <c r="D2311" s="2" t="str">
        <f aca="false">'Raw Data'!K2311</f>
        <v>Manufacturing Director</v>
      </c>
      <c r="E2311" s="2" t="n">
        <f aca="false">'Raw Data'!Q2311</f>
        <v>2</v>
      </c>
      <c r="F2311" s="2" t="n">
        <f aca="false">'Raw Data'!U2311</f>
        <v>0</v>
      </c>
      <c r="G2311" s="2" t="n">
        <f aca="false">'Raw Data'!W2311</f>
        <v>1</v>
      </c>
      <c r="H2311" s="2" t="n">
        <f aca="false">'Raw Data'!V2311</f>
        <v>3</v>
      </c>
      <c r="I2311" s="2" t="n">
        <f aca="false">IF(AND(ISNUMBER(B2311),B2311&lt;=25),2,0)+IF(AND(ISNUMBER(E2311),E2311&lt;=5),2,0)+IF(AND(ISNUMBER(F2311),F2311&lt;=1),2,0)+IF(AND(ISNUMBER(G2311),G2311&lt;=2),1,0)+IF(AND(ISNUMBER(H2311),H2311&lt;=2),1,0)</f>
        <v>7</v>
      </c>
      <c r="J2311" s="2" t="str">
        <f aca="false">IF(I2311&gt;=6,"High",IF(I2311&gt;=3,"Medium","Low"))</f>
        <v>High</v>
      </c>
    </row>
    <row r="2312" customFormat="false" ht="15" hidden="false" customHeight="true" outlineLevel="0" collapsed="false">
      <c r="A2312" s="2" t="n">
        <f aca="false">'Raw Data'!H2312</f>
        <v>2311</v>
      </c>
      <c r="B2312" s="2" t="n">
        <f aca="false">'Raw Data'!A2312</f>
        <v>40</v>
      </c>
      <c r="C2312" s="2" t="str">
        <f aca="false">'Raw Data'!D2312</f>
        <v>Research &amp; Development</v>
      </c>
      <c r="D2312" s="2" t="str">
        <f aca="false">'Raw Data'!K2312</f>
        <v>Research Scientist</v>
      </c>
      <c r="E2312" s="2" t="n">
        <f aca="false">'Raw Data'!Q2312</f>
        <v>8</v>
      </c>
      <c r="F2312" s="2" t="n">
        <f aca="false">'Raw Data'!U2312</f>
        <v>2</v>
      </c>
      <c r="G2312" s="2" t="n">
        <f aca="false">'Raw Data'!W2312</f>
        <v>4</v>
      </c>
      <c r="H2312" s="2" t="n">
        <f aca="false">'Raw Data'!V2312</f>
        <v>4</v>
      </c>
      <c r="I2312" s="2" t="n">
        <f aca="false">IF(AND(ISNUMBER(B2312),B2312&lt;=25),2,0)+IF(AND(ISNUMBER(E2312),E2312&lt;=5),2,0)+IF(AND(ISNUMBER(F2312),F2312&lt;=1),2,0)+IF(AND(ISNUMBER(G2312),G2312&lt;=2),1,0)+IF(AND(ISNUMBER(H2312),H2312&lt;=2),1,0)</f>
        <v>0</v>
      </c>
      <c r="J2312" s="2" t="str">
        <f aca="false">IF(I2312&gt;=6,"High",IF(I2312&gt;=3,"Medium","Low"))</f>
        <v>Low</v>
      </c>
    </row>
    <row r="2313" customFormat="false" ht="15" hidden="false" customHeight="true" outlineLevel="0" collapsed="false">
      <c r="A2313" s="2" t="n">
        <f aca="false">'Raw Data'!H2313</f>
        <v>2312</v>
      </c>
      <c r="B2313" s="2" t="n">
        <f aca="false">'Raw Data'!A2313</f>
        <v>45</v>
      </c>
      <c r="C2313" s="2" t="str">
        <f aca="false">'Raw Data'!D2313</f>
        <v>Research &amp; Development</v>
      </c>
      <c r="D2313" s="2" t="str">
        <f aca="false">'Raw Data'!K2313</f>
        <v>Laboratory Technician</v>
      </c>
      <c r="E2313" s="2" t="n">
        <f aca="false">'Raw Data'!Q2313</f>
        <v>10</v>
      </c>
      <c r="F2313" s="2" t="n">
        <f aca="false">'Raw Data'!U2313</f>
        <v>7</v>
      </c>
      <c r="G2313" s="2" t="n">
        <f aca="false">'Raw Data'!W2313</f>
        <v>2</v>
      </c>
      <c r="H2313" s="2" t="n">
        <f aca="false">'Raw Data'!V2313</f>
        <v>1</v>
      </c>
      <c r="I2313" s="2" t="n">
        <f aca="false">IF(AND(ISNUMBER(B2313),B2313&lt;=25),2,0)+IF(AND(ISNUMBER(E2313),E2313&lt;=5),2,0)+IF(AND(ISNUMBER(F2313),F2313&lt;=1),2,0)+IF(AND(ISNUMBER(G2313),G2313&lt;=2),1,0)+IF(AND(ISNUMBER(H2313),H2313&lt;=2),1,0)</f>
        <v>2</v>
      </c>
      <c r="J2313" s="2" t="str">
        <f aca="false">IF(I2313&gt;=6,"High",IF(I2313&gt;=3,"Medium","Low"))</f>
        <v>Low</v>
      </c>
    </row>
    <row r="2314" customFormat="false" ht="15" hidden="false" customHeight="true" outlineLevel="0" collapsed="false">
      <c r="A2314" s="2" t="n">
        <f aca="false">'Raw Data'!H2314</f>
        <v>2313</v>
      </c>
      <c r="B2314" s="2" t="n">
        <f aca="false">'Raw Data'!A2314</f>
        <v>35</v>
      </c>
      <c r="C2314" s="2" t="str">
        <f aca="false">'Raw Data'!D2314</f>
        <v>Research &amp; Development</v>
      </c>
      <c r="D2314" s="2" t="str">
        <f aca="false">'Raw Data'!K2314</f>
        <v>Healthcare Representative</v>
      </c>
      <c r="E2314" s="2" t="n">
        <f aca="false">'Raw Data'!Q2314</f>
        <v>6</v>
      </c>
      <c r="F2314" s="2" t="n">
        <f aca="false">'Raw Data'!U2314</f>
        <v>2</v>
      </c>
      <c r="G2314" s="2" t="n">
        <f aca="false">'Raw Data'!W2314</f>
        <v>3</v>
      </c>
      <c r="H2314" s="2" t="n">
        <f aca="false">'Raw Data'!V2314</f>
        <v>2</v>
      </c>
      <c r="I2314" s="2" t="n">
        <f aca="false">IF(AND(ISNUMBER(B2314),B2314&lt;=25),2,0)+IF(AND(ISNUMBER(E2314),E2314&lt;=5),2,0)+IF(AND(ISNUMBER(F2314),F2314&lt;=1),2,0)+IF(AND(ISNUMBER(G2314),G2314&lt;=2),1,0)+IF(AND(ISNUMBER(H2314),H2314&lt;=2),1,0)</f>
        <v>1</v>
      </c>
      <c r="J2314" s="2" t="str">
        <f aca="false">IF(I2314&gt;=6,"High",IF(I2314&gt;=3,"Medium","Low"))</f>
        <v>Low</v>
      </c>
    </row>
    <row r="2315" customFormat="false" ht="15" hidden="false" customHeight="true" outlineLevel="0" collapsed="false">
      <c r="A2315" s="2" t="n">
        <f aca="false">'Raw Data'!H2315</f>
        <v>2314</v>
      </c>
      <c r="B2315" s="2" t="n">
        <f aca="false">'Raw Data'!A2315</f>
        <v>32</v>
      </c>
      <c r="C2315" s="2" t="str">
        <f aca="false">'Raw Data'!D2315</f>
        <v>Research &amp; Development</v>
      </c>
      <c r="D2315" s="2" t="str">
        <f aca="false">'Raw Data'!K2315</f>
        <v>Sales Executive</v>
      </c>
      <c r="E2315" s="2" t="n">
        <f aca="false">'Raw Data'!Q2315</f>
        <v>12</v>
      </c>
      <c r="F2315" s="2" t="n">
        <f aca="false">'Raw Data'!U2315</f>
        <v>5</v>
      </c>
      <c r="G2315" s="2" t="n">
        <f aca="false">'Raw Data'!W2315</f>
        <v>2</v>
      </c>
      <c r="H2315" s="2" t="n">
        <f aca="false">'Raw Data'!V2315</f>
        <v>4</v>
      </c>
      <c r="I2315" s="2" t="n">
        <f aca="false">IF(AND(ISNUMBER(B2315),B2315&lt;=25),2,0)+IF(AND(ISNUMBER(E2315),E2315&lt;=5),2,0)+IF(AND(ISNUMBER(F2315),F2315&lt;=1),2,0)+IF(AND(ISNUMBER(G2315),G2315&lt;=2),1,0)+IF(AND(ISNUMBER(H2315),H2315&lt;=2),1,0)</f>
        <v>1</v>
      </c>
      <c r="J2315" s="2" t="str">
        <f aca="false">IF(I2315&gt;=6,"High",IF(I2315&gt;=3,"Medium","Low"))</f>
        <v>Low</v>
      </c>
    </row>
    <row r="2316" customFormat="false" ht="15" hidden="false" customHeight="true" outlineLevel="0" collapsed="false">
      <c r="A2316" s="2" t="n">
        <f aca="false">'Raw Data'!H2316</f>
        <v>2315</v>
      </c>
      <c r="B2316" s="2" t="n">
        <f aca="false">'Raw Data'!A2316</f>
        <v>36</v>
      </c>
      <c r="C2316" s="2" t="str">
        <f aca="false">'Raw Data'!D2316</f>
        <v>Sales</v>
      </c>
      <c r="D2316" s="2" t="str">
        <f aca="false">'Raw Data'!K2316</f>
        <v>Research Scientist</v>
      </c>
      <c r="E2316" s="2" t="n">
        <f aca="false">'Raw Data'!Q2316</f>
        <v>7</v>
      </c>
      <c r="F2316" s="2" t="n">
        <f aca="false">'Raw Data'!U2316</f>
        <v>2</v>
      </c>
      <c r="G2316" s="2" t="n">
        <f aca="false">'Raw Data'!W2316</f>
        <v>4</v>
      </c>
      <c r="H2316" s="2" t="n">
        <f aca="false">'Raw Data'!V2316</f>
        <v>3</v>
      </c>
      <c r="I2316" s="2" t="n">
        <f aca="false">IF(AND(ISNUMBER(B2316),B2316&lt;=25),2,0)+IF(AND(ISNUMBER(E2316),E2316&lt;=5),2,0)+IF(AND(ISNUMBER(F2316),F2316&lt;=1),2,0)+IF(AND(ISNUMBER(G2316),G2316&lt;=2),1,0)+IF(AND(ISNUMBER(H2316),H2316&lt;=2),1,0)</f>
        <v>0</v>
      </c>
      <c r="J2316" s="2" t="str">
        <f aca="false">IF(I2316&gt;=6,"High",IF(I2316&gt;=3,"Medium","Low"))</f>
        <v>Low</v>
      </c>
    </row>
    <row r="2317" customFormat="false" ht="15" hidden="false" customHeight="true" outlineLevel="0" collapsed="false">
      <c r="A2317" s="2" t="n">
        <f aca="false">'Raw Data'!H2317</f>
        <v>2316</v>
      </c>
      <c r="B2317" s="2" t="n">
        <f aca="false">'Raw Data'!A2317</f>
        <v>48</v>
      </c>
      <c r="C2317" s="2" t="str">
        <f aca="false">'Raw Data'!D2317</f>
        <v>Research &amp; Development</v>
      </c>
      <c r="D2317" s="2" t="str">
        <f aca="false">'Raw Data'!K2317</f>
        <v>Laboratory Technician</v>
      </c>
      <c r="E2317" s="2" t="n">
        <f aca="false">'Raw Data'!Q2317</f>
        <v>18</v>
      </c>
      <c r="F2317" s="2" t="n">
        <f aca="false">'Raw Data'!U2317</f>
        <v>7</v>
      </c>
      <c r="G2317" s="2" t="n">
        <f aca="false">'Raw Data'!W2317</f>
        <v>3</v>
      </c>
      <c r="H2317" s="2" t="n">
        <f aca="false">'Raw Data'!V2317</f>
        <v>3</v>
      </c>
      <c r="I2317" s="2" t="n">
        <f aca="false">IF(AND(ISNUMBER(B2317),B2317&lt;=25),2,0)+IF(AND(ISNUMBER(E2317),E2317&lt;=5),2,0)+IF(AND(ISNUMBER(F2317),F2317&lt;=1),2,0)+IF(AND(ISNUMBER(G2317),G2317&lt;=2),1,0)+IF(AND(ISNUMBER(H2317),H2317&lt;=2),1,0)</f>
        <v>0</v>
      </c>
      <c r="J2317" s="2" t="str">
        <f aca="false">IF(I2317&gt;=6,"High",IF(I2317&gt;=3,"Medium","Low"))</f>
        <v>Low</v>
      </c>
    </row>
    <row r="2318" customFormat="false" ht="15" hidden="false" customHeight="true" outlineLevel="0" collapsed="false">
      <c r="A2318" s="2" t="n">
        <f aca="false">'Raw Data'!H2318</f>
        <v>2317</v>
      </c>
      <c r="B2318" s="2" t="n">
        <f aca="false">'Raw Data'!A2318</f>
        <v>29</v>
      </c>
      <c r="C2318" s="2" t="str">
        <f aca="false">'Raw Data'!D2318</f>
        <v>Research &amp; Development</v>
      </c>
      <c r="D2318" s="2" t="str">
        <f aca="false">'Raw Data'!K2318</f>
        <v>Healthcare Representative</v>
      </c>
      <c r="E2318" s="2" t="n">
        <f aca="false">'Raw Data'!Q2318</f>
        <v>5</v>
      </c>
      <c r="F2318" s="2" t="n">
        <f aca="false">'Raw Data'!U2318</f>
        <v>0</v>
      </c>
      <c r="G2318" s="2" t="n">
        <f aca="false">'Raw Data'!W2318</f>
        <v>3</v>
      </c>
      <c r="H2318" s="2" t="n">
        <f aca="false">'Raw Data'!V2318</f>
        <v>3</v>
      </c>
      <c r="I2318" s="2" t="n">
        <f aca="false">IF(AND(ISNUMBER(B2318),B2318&lt;=25),2,0)+IF(AND(ISNUMBER(E2318),E2318&lt;=5),2,0)+IF(AND(ISNUMBER(F2318),F2318&lt;=1),2,0)+IF(AND(ISNUMBER(G2318),G2318&lt;=2),1,0)+IF(AND(ISNUMBER(H2318),H2318&lt;=2),1,0)</f>
        <v>4</v>
      </c>
      <c r="J2318" s="2" t="str">
        <f aca="false">IF(I2318&gt;=6,"High",IF(I2318&gt;=3,"Medium","Low"))</f>
        <v>Medium</v>
      </c>
    </row>
    <row r="2319" customFormat="false" ht="15" hidden="false" customHeight="true" outlineLevel="0" collapsed="false">
      <c r="A2319" s="2" t="n">
        <f aca="false">'Raw Data'!H2319</f>
        <v>2318</v>
      </c>
      <c r="B2319" s="2" t="n">
        <f aca="false">'Raw Data'!A2319</f>
        <v>33</v>
      </c>
      <c r="C2319" s="2" t="str">
        <f aca="false">'Raw Data'!D2319</f>
        <v>Research &amp; Development</v>
      </c>
      <c r="D2319" s="2" t="str">
        <f aca="false">'Raw Data'!K2319</f>
        <v>Healthcare Representative</v>
      </c>
      <c r="E2319" s="2" t="n">
        <f aca="false">'Raw Data'!Q2319</f>
        <v>8</v>
      </c>
      <c r="F2319" s="2" t="n">
        <f aca="false">'Raw Data'!U2319</f>
        <v>2</v>
      </c>
      <c r="G2319" s="2" t="n">
        <f aca="false">'Raw Data'!W2319</f>
        <v>1</v>
      </c>
      <c r="H2319" s="2" t="n">
        <f aca="false">'Raw Data'!V2319</f>
        <v>1</v>
      </c>
      <c r="I2319" s="2" t="n">
        <f aca="false">IF(AND(ISNUMBER(B2319),B2319&lt;=25),2,0)+IF(AND(ISNUMBER(E2319),E2319&lt;=5),2,0)+IF(AND(ISNUMBER(F2319),F2319&lt;=1),2,0)+IF(AND(ISNUMBER(G2319),G2319&lt;=2),1,0)+IF(AND(ISNUMBER(H2319),H2319&lt;=2),1,0)</f>
        <v>2</v>
      </c>
      <c r="J2319" s="2" t="str">
        <f aca="false">IF(I2319&gt;=6,"High",IF(I2319&gt;=3,"Medium","Low"))</f>
        <v>Low</v>
      </c>
    </row>
    <row r="2320" customFormat="false" ht="15" hidden="false" customHeight="true" outlineLevel="0" collapsed="false">
      <c r="A2320" s="2" t="n">
        <f aca="false">'Raw Data'!H2320</f>
        <v>2319</v>
      </c>
      <c r="B2320" s="2" t="n">
        <f aca="false">'Raw Data'!A2320</f>
        <v>30</v>
      </c>
      <c r="C2320" s="2" t="str">
        <f aca="false">'Raw Data'!D2320</f>
        <v>Research &amp; Development</v>
      </c>
      <c r="D2320" s="2" t="str">
        <f aca="false">'Raw Data'!K2320</f>
        <v>Sales Executive</v>
      </c>
      <c r="E2320" s="2" t="n">
        <f aca="false">'Raw Data'!Q2320</f>
        <v>10</v>
      </c>
      <c r="F2320" s="2" t="n">
        <f aca="false">'Raw Data'!U2320</f>
        <v>7</v>
      </c>
      <c r="G2320" s="2" t="n">
        <f aca="false">'Raw Data'!W2320</f>
        <v>1</v>
      </c>
      <c r="H2320" s="2" t="n">
        <f aca="false">'Raw Data'!V2320</f>
        <v>2</v>
      </c>
      <c r="I2320" s="2" t="n">
        <f aca="false">IF(AND(ISNUMBER(B2320),B2320&lt;=25),2,0)+IF(AND(ISNUMBER(E2320),E2320&lt;=5),2,0)+IF(AND(ISNUMBER(F2320),F2320&lt;=1),2,0)+IF(AND(ISNUMBER(G2320),G2320&lt;=2),1,0)+IF(AND(ISNUMBER(H2320),H2320&lt;=2),1,0)</f>
        <v>2</v>
      </c>
      <c r="J2320" s="2" t="str">
        <f aca="false">IF(I2320&gt;=6,"High",IF(I2320&gt;=3,"Medium","Low"))</f>
        <v>Low</v>
      </c>
    </row>
    <row r="2321" customFormat="false" ht="15" hidden="false" customHeight="true" outlineLevel="0" collapsed="false">
      <c r="A2321" s="2" t="n">
        <f aca="false">'Raw Data'!H2321</f>
        <v>2320</v>
      </c>
      <c r="B2321" s="2" t="n">
        <f aca="false">'Raw Data'!A2321</f>
        <v>38</v>
      </c>
      <c r="C2321" s="2" t="str">
        <f aca="false">'Raw Data'!D2321</f>
        <v>Sales</v>
      </c>
      <c r="D2321" s="2" t="str">
        <f aca="false">'Raw Data'!K2321</f>
        <v>Manufacturing Director</v>
      </c>
      <c r="E2321" s="2" t="n">
        <f aca="false">'Raw Data'!Q2321</f>
        <v>10</v>
      </c>
      <c r="F2321" s="2" t="n">
        <f aca="false">'Raw Data'!U2321</f>
        <v>2</v>
      </c>
      <c r="G2321" s="2" t="n">
        <f aca="false">'Raw Data'!W2321</f>
        <v>3</v>
      </c>
      <c r="H2321" s="2" t="n">
        <f aca="false">'Raw Data'!V2321</f>
        <v>3</v>
      </c>
      <c r="I2321" s="2" t="n">
        <f aca="false">IF(AND(ISNUMBER(B2321),B2321&lt;=25),2,0)+IF(AND(ISNUMBER(E2321),E2321&lt;=5),2,0)+IF(AND(ISNUMBER(F2321),F2321&lt;=1),2,0)+IF(AND(ISNUMBER(G2321),G2321&lt;=2),1,0)+IF(AND(ISNUMBER(H2321),H2321&lt;=2),1,0)</f>
        <v>0</v>
      </c>
      <c r="J2321" s="2" t="str">
        <f aca="false">IF(I2321&gt;=6,"High",IF(I2321&gt;=3,"Medium","Low"))</f>
        <v>Low</v>
      </c>
    </row>
    <row r="2322" customFormat="false" ht="15" hidden="false" customHeight="true" outlineLevel="0" collapsed="false">
      <c r="A2322" s="2" t="n">
        <f aca="false">'Raw Data'!H2322</f>
        <v>2321</v>
      </c>
      <c r="B2322" s="2" t="n">
        <f aca="false">'Raw Data'!A2322</f>
        <v>35</v>
      </c>
      <c r="C2322" s="2" t="str">
        <f aca="false">'Raw Data'!D2322</f>
        <v>Sales</v>
      </c>
      <c r="D2322" s="2" t="str">
        <f aca="false">'Raw Data'!K2322</f>
        <v>Sales Executive</v>
      </c>
      <c r="E2322" s="2" t="n">
        <f aca="false">'Raw Data'!Q2322</f>
        <v>3</v>
      </c>
      <c r="F2322" s="2" t="n">
        <f aca="false">'Raw Data'!U2322</f>
        <v>2</v>
      </c>
      <c r="G2322" s="2" t="n">
        <f aca="false">'Raw Data'!W2322</f>
        <v>1</v>
      </c>
      <c r="H2322" s="2" t="n">
        <f aca="false">'Raw Data'!V2322</f>
        <v>4</v>
      </c>
      <c r="I2322" s="2" t="n">
        <f aca="false">IF(AND(ISNUMBER(B2322),B2322&lt;=25),2,0)+IF(AND(ISNUMBER(E2322),E2322&lt;=5),2,0)+IF(AND(ISNUMBER(F2322),F2322&lt;=1),2,0)+IF(AND(ISNUMBER(G2322),G2322&lt;=2),1,0)+IF(AND(ISNUMBER(H2322),H2322&lt;=2),1,0)</f>
        <v>3</v>
      </c>
      <c r="J2322" s="2" t="str">
        <f aca="false">IF(I2322&gt;=6,"High",IF(I2322&gt;=3,"Medium","Low"))</f>
        <v>Medium</v>
      </c>
    </row>
    <row r="2323" customFormat="false" ht="15" hidden="false" customHeight="true" outlineLevel="0" collapsed="false">
      <c r="A2323" s="2" t="n">
        <f aca="false">'Raw Data'!H2323</f>
        <v>2322</v>
      </c>
      <c r="B2323" s="2" t="n">
        <f aca="false">'Raw Data'!A2323</f>
        <v>30</v>
      </c>
      <c r="C2323" s="2" t="str">
        <f aca="false">'Raw Data'!D2323</f>
        <v>Research &amp; Development</v>
      </c>
      <c r="D2323" s="2" t="str">
        <f aca="false">'Raw Data'!K2323</f>
        <v>Research Director</v>
      </c>
      <c r="E2323" s="2" t="n">
        <f aca="false">'Raw Data'!Q2323</f>
        <v>9</v>
      </c>
      <c r="F2323" s="2" t="n">
        <f aca="false">'Raw Data'!U2323</f>
        <v>3</v>
      </c>
      <c r="G2323" s="2" t="n">
        <f aca="false">'Raw Data'!W2323</f>
        <v>2</v>
      </c>
      <c r="H2323" s="2" t="n">
        <f aca="false">'Raw Data'!V2323</f>
        <v>3</v>
      </c>
      <c r="I2323" s="2" t="n">
        <f aca="false">IF(AND(ISNUMBER(B2323),B2323&lt;=25),2,0)+IF(AND(ISNUMBER(E2323),E2323&lt;=5),2,0)+IF(AND(ISNUMBER(F2323),F2323&lt;=1),2,0)+IF(AND(ISNUMBER(G2323),G2323&lt;=2),1,0)+IF(AND(ISNUMBER(H2323),H2323&lt;=2),1,0)</f>
        <v>1</v>
      </c>
      <c r="J2323" s="2" t="str">
        <f aca="false">IF(I2323&gt;=6,"High",IF(I2323&gt;=3,"Medium","Low"))</f>
        <v>Low</v>
      </c>
    </row>
    <row r="2324" customFormat="false" ht="15" hidden="false" customHeight="true" outlineLevel="0" collapsed="false">
      <c r="A2324" s="2" t="n">
        <f aca="false">'Raw Data'!H2324</f>
        <v>2323</v>
      </c>
      <c r="B2324" s="2" t="n">
        <f aca="false">'Raw Data'!A2324</f>
        <v>35</v>
      </c>
      <c r="C2324" s="2" t="str">
        <f aca="false">'Raw Data'!D2324</f>
        <v>Research &amp; Development</v>
      </c>
      <c r="D2324" s="2" t="str">
        <f aca="false">'Raw Data'!K2324</f>
        <v>Research Scientist</v>
      </c>
      <c r="E2324" s="2" t="n">
        <f aca="false">'Raw Data'!Q2324</f>
        <v>1</v>
      </c>
      <c r="F2324" s="2" t="n">
        <f aca="false">'Raw Data'!U2324</f>
        <v>0</v>
      </c>
      <c r="G2324" s="2" t="n">
        <f aca="false">'Raw Data'!W2324</f>
        <v>1</v>
      </c>
      <c r="H2324" s="2" t="n">
        <f aca="false">'Raw Data'!V2324</f>
        <v>1</v>
      </c>
      <c r="I2324" s="2" t="n">
        <f aca="false">IF(AND(ISNUMBER(B2324),B2324&lt;=25),2,0)+IF(AND(ISNUMBER(E2324),E2324&lt;=5),2,0)+IF(AND(ISNUMBER(F2324),F2324&lt;=1),2,0)+IF(AND(ISNUMBER(G2324),G2324&lt;=2),1,0)+IF(AND(ISNUMBER(H2324),H2324&lt;=2),1,0)</f>
        <v>6</v>
      </c>
      <c r="J2324" s="2" t="str">
        <f aca="false">IF(I2324&gt;=6,"High",IF(I2324&gt;=3,"Medium","Low"))</f>
        <v>High</v>
      </c>
    </row>
    <row r="2325" customFormat="false" ht="15" hidden="false" customHeight="true" outlineLevel="0" collapsed="false">
      <c r="A2325" s="2" t="n">
        <f aca="false">'Raw Data'!H2325</f>
        <v>2324</v>
      </c>
      <c r="B2325" s="2" t="n">
        <f aca="false">'Raw Data'!A2325</f>
        <v>53</v>
      </c>
      <c r="C2325" s="2" t="str">
        <f aca="false">'Raw Data'!D2325</f>
        <v>Research &amp; Development</v>
      </c>
      <c r="D2325" s="2" t="str">
        <f aca="false">'Raw Data'!K2325</f>
        <v>Manager</v>
      </c>
      <c r="E2325" s="2" t="n">
        <f aca="false">'Raw Data'!Q2325</f>
        <v>34</v>
      </c>
      <c r="F2325" s="2" t="n">
        <f aca="false">'Raw Data'!U2325</f>
        <v>9</v>
      </c>
      <c r="G2325" s="2" t="n">
        <f aca="false">'Raw Data'!W2325</f>
        <v>4</v>
      </c>
      <c r="H2325" s="2" t="n">
        <f aca="false">'Raw Data'!V2325</f>
        <v>3</v>
      </c>
      <c r="I2325" s="2" t="n">
        <f aca="false">IF(AND(ISNUMBER(B2325),B2325&lt;=25),2,0)+IF(AND(ISNUMBER(E2325),E2325&lt;=5),2,0)+IF(AND(ISNUMBER(F2325),F2325&lt;=1),2,0)+IF(AND(ISNUMBER(G2325),G2325&lt;=2),1,0)+IF(AND(ISNUMBER(H2325),H2325&lt;=2),1,0)</f>
        <v>0</v>
      </c>
      <c r="J2325" s="2" t="str">
        <f aca="false">IF(I2325&gt;=6,"High",IF(I2325&gt;=3,"Medium","Low"))</f>
        <v>Low</v>
      </c>
    </row>
    <row r="2326" customFormat="false" ht="15" hidden="false" customHeight="true" outlineLevel="0" collapsed="false">
      <c r="A2326" s="2" t="n">
        <f aca="false">'Raw Data'!H2326</f>
        <v>2325</v>
      </c>
      <c r="B2326" s="2" t="n">
        <f aca="false">'Raw Data'!A2326</f>
        <v>38</v>
      </c>
      <c r="C2326" s="2" t="str">
        <f aca="false">'Raw Data'!D2326</f>
        <v>Research &amp; Development</v>
      </c>
      <c r="D2326" s="2" t="str">
        <f aca="false">'Raw Data'!K2326</f>
        <v>Sales Executive</v>
      </c>
      <c r="E2326" s="2" t="n">
        <f aca="false">'Raw Data'!Q2326</f>
        <v>7</v>
      </c>
      <c r="F2326" s="2" t="n">
        <f aca="false">'Raw Data'!U2326</f>
        <v>4</v>
      </c>
      <c r="G2326" s="2" t="n">
        <f aca="false">'Raw Data'!W2326</f>
        <v>2</v>
      </c>
      <c r="H2326" s="2" t="n">
        <f aca="false">'Raw Data'!V2326</f>
        <v>3</v>
      </c>
      <c r="I2326" s="2" t="n">
        <f aca="false">IF(AND(ISNUMBER(B2326),B2326&lt;=25),2,0)+IF(AND(ISNUMBER(E2326),E2326&lt;=5),2,0)+IF(AND(ISNUMBER(F2326),F2326&lt;=1),2,0)+IF(AND(ISNUMBER(G2326),G2326&lt;=2),1,0)+IF(AND(ISNUMBER(H2326),H2326&lt;=2),1,0)</f>
        <v>1</v>
      </c>
      <c r="J2326" s="2" t="str">
        <f aca="false">IF(I2326&gt;=6,"High",IF(I2326&gt;=3,"Medium","Low"))</f>
        <v>Low</v>
      </c>
    </row>
    <row r="2327" customFormat="false" ht="15" hidden="false" customHeight="true" outlineLevel="0" collapsed="false">
      <c r="A2327" s="2" t="n">
        <f aca="false">'Raw Data'!H2327</f>
        <v>2326</v>
      </c>
      <c r="B2327" s="2" t="n">
        <f aca="false">'Raw Data'!A2327</f>
        <v>32</v>
      </c>
      <c r="C2327" s="2" t="str">
        <f aca="false">'Raw Data'!D2327</f>
        <v>Research &amp; Development</v>
      </c>
      <c r="D2327" s="2" t="str">
        <f aca="false">'Raw Data'!K2327</f>
        <v>Research Scientist</v>
      </c>
      <c r="E2327" s="2" t="n">
        <f aca="false">'Raw Data'!Q2327</f>
        <v>9</v>
      </c>
      <c r="F2327" s="2" t="n">
        <f aca="false">'Raw Data'!U2327</f>
        <v>2</v>
      </c>
      <c r="G2327" s="2" t="n">
        <f aca="false">'Raw Data'!W2327</f>
        <v>1</v>
      </c>
      <c r="H2327" s="2" t="n">
        <f aca="false">'Raw Data'!V2327</f>
        <v>4</v>
      </c>
      <c r="I2327" s="2" t="n">
        <f aca="false">IF(AND(ISNUMBER(B2327),B2327&lt;=25),2,0)+IF(AND(ISNUMBER(E2327),E2327&lt;=5),2,0)+IF(AND(ISNUMBER(F2327),F2327&lt;=1),2,0)+IF(AND(ISNUMBER(G2327),G2327&lt;=2),1,0)+IF(AND(ISNUMBER(H2327),H2327&lt;=2),1,0)</f>
        <v>1</v>
      </c>
      <c r="J2327" s="2" t="str">
        <f aca="false">IF(I2327&gt;=6,"High",IF(I2327&gt;=3,"Medium","Low"))</f>
        <v>Low</v>
      </c>
    </row>
    <row r="2328" customFormat="false" ht="15" hidden="false" customHeight="true" outlineLevel="0" collapsed="false">
      <c r="A2328" s="2" t="n">
        <f aca="false">'Raw Data'!H2328</f>
        <v>2327</v>
      </c>
      <c r="B2328" s="2" t="n">
        <f aca="false">'Raw Data'!A2328</f>
        <v>48</v>
      </c>
      <c r="C2328" s="2" t="str">
        <f aca="false">'Raw Data'!D2328</f>
        <v>Research &amp; Development</v>
      </c>
      <c r="D2328" s="2" t="str">
        <f aca="false">'Raw Data'!K2328</f>
        <v>Sales Executive</v>
      </c>
      <c r="E2328" s="2" t="n">
        <f aca="false">'Raw Data'!Q2328</f>
        <v>10</v>
      </c>
      <c r="F2328" s="2" t="n">
        <f aca="false">'Raw Data'!U2328</f>
        <v>6</v>
      </c>
      <c r="G2328" s="2" t="n">
        <f aca="false">'Raw Data'!W2328</f>
        <v>1</v>
      </c>
      <c r="H2328" s="2" t="n">
        <f aca="false">'Raw Data'!V2328</f>
        <v>3</v>
      </c>
      <c r="I2328" s="2" t="n">
        <f aca="false">IF(AND(ISNUMBER(B2328),B2328&lt;=25),2,0)+IF(AND(ISNUMBER(E2328),E2328&lt;=5),2,0)+IF(AND(ISNUMBER(F2328),F2328&lt;=1),2,0)+IF(AND(ISNUMBER(G2328),G2328&lt;=2),1,0)+IF(AND(ISNUMBER(H2328),H2328&lt;=2),1,0)</f>
        <v>1</v>
      </c>
      <c r="J2328" s="2" t="str">
        <f aca="false">IF(I2328&gt;=6,"High",IF(I2328&gt;=3,"Medium","Low"))</f>
        <v>Low</v>
      </c>
    </row>
    <row r="2329" customFormat="false" ht="15" hidden="false" customHeight="true" outlineLevel="0" collapsed="false">
      <c r="A2329" s="2" t="n">
        <f aca="false">'Raw Data'!H2329</f>
        <v>2328</v>
      </c>
      <c r="B2329" s="2" t="n">
        <f aca="false">'Raw Data'!A2329</f>
        <v>34</v>
      </c>
      <c r="C2329" s="2" t="str">
        <f aca="false">'Raw Data'!D2329</f>
        <v>Research &amp; Development</v>
      </c>
      <c r="D2329" s="2" t="str">
        <f aca="false">'Raw Data'!K2329</f>
        <v>Sales Executive</v>
      </c>
      <c r="E2329" s="2" t="n">
        <f aca="false">'Raw Data'!Q2329</f>
        <v>1</v>
      </c>
      <c r="F2329" s="2" t="n">
        <f aca="false">'Raw Data'!U2329</f>
        <v>0</v>
      </c>
      <c r="G2329" s="2" t="n">
        <f aca="false">'Raw Data'!W2329</f>
        <v>4</v>
      </c>
      <c r="H2329" s="2" t="n">
        <f aca="false">'Raw Data'!V2329</f>
        <v>1</v>
      </c>
      <c r="I2329" s="2" t="n">
        <f aca="false">IF(AND(ISNUMBER(B2329),B2329&lt;=25),2,0)+IF(AND(ISNUMBER(E2329),E2329&lt;=5),2,0)+IF(AND(ISNUMBER(F2329),F2329&lt;=1),2,0)+IF(AND(ISNUMBER(G2329),G2329&lt;=2),1,0)+IF(AND(ISNUMBER(H2329),H2329&lt;=2),1,0)</f>
        <v>5</v>
      </c>
      <c r="J2329" s="2" t="str">
        <f aca="false">IF(I2329&gt;=6,"High",IF(I2329&gt;=3,"Medium","Low"))</f>
        <v>Medium</v>
      </c>
    </row>
    <row r="2330" customFormat="false" ht="15" hidden="false" customHeight="true" outlineLevel="0" collapsed="false">
      <c r="A2330" s="2" t="n">
        <f aca="false">'Raw Data'!H2330</f>
        <v>2329</v>
      </c>
      <c r="B2330" s="2" t="n">
        <f aca="false">'Raw Data'!A2330</f>
        <v>55</v>
      </c>
      <c r="C2330" s="2" t="str">
        <f aca="false">'Raw Data'!D2330</f>
        <v>Research &amp; Development</v>
      </c>
      <c r="D2330" s="2" t="str">
        <f aca="false">'Raw Data'!K2330</f>
        <v>Laboratory Technician</v>
      </c>
      <c r="E2330" s="2" t="n">
        <f aca="false">'Raw Data'!Q2330</f>
        <v>36</v>
      </c>
      <c r="F2330" s="2" t="n">
        <f aca="false">'Raw Data'!U2330</f>
        <v>13</v>
      </c>
      <c r="G2330" s="2" t="n">
        <f aca="false">'Raw Data'!W2330</f>
        <v>4</v>
      </c>
      <c r="H2330" s="2" t="n">
        <f aca="false">'Raw Data'!V2330</f>
        <v>3</v>
      </c>
      <c r="I2330" s="2" t="n">
        <f aca="false">IF(AND(ISNUMBER(B2330),B2330&lt;=25),2,0)+IF(AND(ISNUMBER(E2330),E2330&lt;=5),2,0)+IF(AND(ISNUMBER(F2330),F2330&lt;=1),2,0)+IF(AND(ISNUMBER(G2330),G2330&lt;=2),1,0)+IF(AND(ISNUMBER(H2330),H2330&lt;=2),1,0)</f>
        <v>0</v>
      </c>
      <c r="J2330" s="2" t="str">
        <f aca="false">IF(I2330&gt;=6,"High",IF(I2330&gt;=3,"Medium","Low"))</f>
        <v>Low</v>
      </c>
    </row>
    <row r="2331" customFormat="false" ht="15" hidden="false" customHeight="true" outlineLevel="0" collapsed="false">
      <c r="A2331" s="2" t="n">
        <f aca="false">'Raw Data'!H2331</f>
        <v>2330</v>
      </c>
      <c r="B2331" s="2" t="n">
        <f aca="false">'Raw Data'!A2331</f>
        <v>34</v>
      </c>
      <c r="C2331" s="2" t="str">
        <f aca="false">'Raw Data'!D2331</f>
        <v>Research &amp; Development</v>
      </c>
      <c r="D2331" s="2" t="str">
        <f aca="false">'Raw Data'!K2331</f>
        <v>Research Scientist</v>
      </c>
      <c r="E2331" s="2" t="n">
        <f aca="false">'Raw Data'!Q2331</f>
        <v>9</v>
      </c>
      <c r="F2331" s="2" t="n">
        <f aca="false">'Raw Data'!U2331</f>
        <v>1</v>
      </c>
      <c r="G2331" s="2" t="n">
        <f aca="false">'Raw Data'!W2331</f>
        <v>4</v>
      </c>
      <c r="H2331" s="2" t="n">
        <f aca="false">'Raw Data'!V2331</f>
        <v>2</v>
      </c>
      <c r="I2331" s="2" t="n">
        <f aca="false">IF(AND(ISNUMBER(B2331),B2331&lt;=25),2,0)+IF(AND(ISNUMBER(E2331),E2331&lt;=5),2,0)+IF(AND(ISNUMBER(F2331),F2331&lt;=1),2,0)+IF(AND(ISNUMBER(G2331),G2331&lt;=2),1,0)+IF(AND(ISNUMBER(H2331),H2331&lt;=2),1,0)</f>
        <v>3</v>
      </c>
      <c r="J2331" s="2" t="str">
        <f aca="false">IF(I2331&gt;=6,"High",IF(I2331&gt;=3,"Medium","Low"))</f>
        <v>Medium</v>
      </c>
    </row>
    <row r="2332" customFormat="false" ht="15" hidden="false" customHeight="true" outlineLevel="0" collapsed="false">
      <c r="A2332" s="2" t="n">
        <f aca="false">'Raw Data'!H2332</f>
        <v>2331</v>
      </c>
      <c r="B2332" s="2" t="n">
        <f aca="false">'Raw Data'!A2332</f>
        <v>26</v>
      </c>
      <c r="C2332" s="2" t="str">
        <f aca="false">'Raw Data'!D2332</f>
        <v>Research &amp; Development</v>
      </c>
      <c r="D2332" s="2" t="str">
        <f aca="false">'Raw Data'!K2332</f>
        <v>Research Director</v>
      </c>
      <c r="E2332" s="2" t="n">
        <f aca="false">'Raw Data'!Q2332</f>
        <v>1</v>
      </c>
      <c r="F2332" s="2" t="n">
        <f aca="false">'Raw Data'!U2332</f>
        <v>0</v>
      </c>
      <c r="G2332" s="2" t="n">
        <f aca="false">'Raw Data'!W2332</f>
        <v>4</v>
      </c>
      <c r="H2332" s="2" t="n">
        <f aca="false">'Raw Data'!V2332</f>
        <v>1</v>
      </c>
      <c r="I2332" s="2" t="n">
        <f aca="false">IF(AND(ISNUMBER(B2332),B2332&lt;=25),2,0)+IF(AND(ISNUMBER(E2332),E2332&lt;=5),2,0)+IF(AND(ISNUMBER(F2332),F2332&lt;=1),2,0)+IF(AND(ISNUMBER(G2332),G2332&lt;=2),1,0)+IF(AND(ISNUMBER(H2332),H2332&lt;=2),1,0)</f>
        <v>5</v>
      </c>
      <c r="J2332" s="2" t="str">
        <f aca="false">IF(I2332&gt;=6,"High",IF(I2332&gt;=3,"Medium","Low"))</f>
        <v>Medium</v>
      </c>
    </row>
    <row r="2333" customFormat="false" ht="15" hidden="false" customHeight="true" outlineLevel="0" collapsed="false">
      <c r="A2333" s="2" t="n">
        <f aca="false">'Raw Data'!H2333</f>
        <v>2332</v>
      </c>
      <c r="B2333" s="2" t="n">
        <f aca="false">'Raw Data'!A2333</f>
        <v>38</v>
      </c>
      <c r="C2333" s="2" t="str">
        <f aca="false">'Raw Data'!D2333</f>
        <v>Sales</v>
      </c>
      <c r="D2333" s="2" t="str">
        <f aca="false">'Raw Data'!K2333</f>
        <v>Sales Executive</v>
      </c>
      <c r="E2333" s="2" t="n">
        <f aca="false">'Raw Data'!Q2333</f>
        <v>10</v>
      </c>
      <c r="F2333" s="2" t="n">
        <f aca="false">'Raw Data'!U2333</f>
        <v>7</v>
      </c>
      <c r="G2333" s="2" t="n">
        <f aca="false">'Raw Data'!W2333</f>
        <v>2</v>
      </c>
      <c r="H2333" s="2" t="n">
        <f aca="false">'Raw Data'!V2333</f>
        <v>3</v>
      </c>
      <c r="I2333" s="2" t="n">
        <f aca="false">IF(AND(ISNUMBER(B2333),B2333&lt;=25),2,0)+IF(AND(ISNUMBER(E2333),E2333&lt;=5),2,0)+IF(AND(ISNUMBER(F2333),F2333&lt;=1),2,0)+IF(AND(ISNUMBER(G2333),G2333&lt;=2),1,0)+IF(AND(ISNUMBER(H2333),H2333&lt;=2),1,0)</f>
        <v>1</v>
      </c>
      <c r="J2333" s="2" t="str">
        <f aca="false">IF(I2333&gt;=6,"High",IF(I2333&gt;=3,"Medium","Low"))</f>
        <v>Low</v>
      </c>
    </row>
    <row r="2334" customFormat="false" ht="15" hidden="false" customHeight="true" outlineLevel="0" collapsed="false">
      <c r="A2334" s="2" t="n">
        <f aca="false">'Raw Data'!H2334</f>
        <v>2333</v>
      </c>
      <c r="B2334" s="2" t="n">
        <f aca="false">'Raw Data'!A2334</f>
        <v>38</v>
      </c>
      <c r="C2334" s="2" t="str">
        <f aca="false">'Raw Data'!D2334</f>
        <v>Research &amp; Development</v>
      </c>
      <c r="D2334" s="2" t="str">
        <f aca="false">'Raw Data'!K2334</f>
        <v>Manufacturing Director</v>
      </c>
      <c r="E2334" s="2" t="n">
        <f aca="false">'Raw Data'!Q2334</f>
        <v>8</v>
      </c>
      <c r="F2334" s="2" t="n">
        <f aca="false">'Raw Data'!U2334</f>
        <v>2</v>
      </c>
      <c r="G2334" s="2" t="n">
        <f aca="false">'Raw Data'!W2334</f>
        <v>2</v>
      </c>
      <c r="H2334" s="2" t="n">
        <f aca="false">'Raw Data'!V2334</f>
        <v>2</v>
      </c>
      <c r="I2334" s="2" t="n">
        <f aca="false">IF(AND(ISNUMBER(B2334),B2334&lt;=25),2,0)+IF(AND(ISNUMBER(E2334),E2334&lt;=5),2,0)+IF(AND(ISNUMBER(F2334),F2334&lt;=1),2,0)+IF(AND(ISNUMBER(G2334),G2334&lt;=2),1,0)+IF(AND(ISNUMBER(H2334),H2334&lt;=2),1,0)</f>
        <v>2</v>
      </c>
      <c r="J2334" s="2" t="str">
        <f aca="false">IF(I2334&gt;=6,"High",IF(I2334&gt;=3,"Medium","Low"))</f>
        <v>Low</v>
      </c>
    </row>
    <row r="2335" customFormat="false" ht="15" hidden="false" customHeight="true" outlineLevel="0" collapsed="false">
      <c r="A2335" s="2" t="n">
        <f aca="false">'Raw Data'!H2335</f>
        <v>2334</v>
      </c>
      <c r="B2335" s="2" t="n">
        <f aca="false">'Raw Data'!A2335</f>
        <v>36</v>
      </c>
      <c r="C2335" s="2" t="str">
        <f aca="false">'Raw Data'!D2335</f>
        <v>Human Resources</v>
      </c>
      <c r="D2335" s="2" t="str">
        <f aca="false">'Raw Data'!K2335</f>
        <v>Research Scientist</v>
      </c>
      <c r="E2335" s="2" t="n">
        <f aca="false">'Raw Data'!Q2335</f>
        <v>15</v>
      </c>
      <c r="F2335" s="2" t="n">
        <f aca="false">'Raw Data'!U2335</f>
        <v>0</v>
      </c>
      <c r="G2335" s="2" t="n">
        <f aca="false">'Raw Data'!W2335</f>
        <v>3</v>
      </c>
      <c r="H2335" s="2" t="n">
        <f aca="false">'Raw Data'!V2335</f>
        <v>2</v>
      </c>
      <c r="I2335" s="2" t="n">
        <f aca="false">IF(AND(ISNUMBER(B2335),B2335&lt;=25),2,0)+IF(AND(ISNUMBER(E2335),E2335&lt;=5),2,0)+IF(AND(ISNUMBER(F2335),F2335&lt;=1),2,0)+IF(AND(ISNUMBER(G2335),G2335&lt;=2),1,0)+IF(AND(ISNUMBER(H2335),H2335&lt;=2),1,0)</f>
        <v>3</v>
      </c>
      <c r="J2335" s="2" t="str">
        <f aca="false">IF(I2335&gt;=6,"High",IF(I2335&gt;=3,"Medium","Low"))</f>
        <v>Medium</v>
      </c>
    </row>
    <row r="2336" customFormat="false" ht="15" hidden="false" customHeight="true" outlineLevel="0" collapsed="false">
      <c r="A2336" s="2" t="n">
        <f aca="false">'Raw Data'!H2336</f>
        <v>2335</v>
      </c>
      <c r="B2336" s="2" t="n">
        <f aca="false">'Raw Data'!A2336</f>
        <v>29</v>
      </c>
      <c r="C2336" s="2" t="str">
        <f aca="false">'Raw Data'!D2336</f>
        <v>Research &amp; Development</v>
      </c>
      <c r="D2336" s="2" t="str">
        <f aca="false">'Raw Data'!K2336</f>
        <v>Sales Representative</v>
      </c>
      <c r="E2336" s="2" t="n">
        <f aca="false">'Raw Data'!Q2336</f>
        <v>10</v>
      </c>
      <c r="F2336" s="2" t="n">
        <f aca="false">'Raw Data'!U2336</f>
        <v>5</v>
      </c>
      <c r="G2336" s="2" t="n">
        <f aca="false">'Raw Data'!W2336</f>
        <v>1</v>
      </c>
      <c r="H2336" s="2" t="n">
        <f aca="false">'Raw Data'!V2336</f>
        <v>2</v>
      </c>
      <c r="I2336" s="2" t="n">
        <f aca="false">IF(AND(ISNUMBER(B2336),B2336&lt;=25),2,0)+IF(AND(ISNUMBER(E2336),E2336&lt;=5),2,0)+IF(AND(ISNUMBER(F2336),F2336&lt;=1),2,0)+IF(AND(ISNUMBER(G2336),G2336&lt;=2),1,0)+IF(AND(ISNUMBER(H2336),H2336&lt;=2),1,0)</f>
        <v>2</v>
      </c>
      <c r="J2336" s="2" t="str">
        <f aca="false">IF(I2336&gt;=6,"High",IF(I2336&gt;=3,"Medium","Low"))</f>
        <v>Low</v>
      </c>
    </row>
    <row r="2337" customFormat="false" ht="15" hidden="false" customHeight="true" outlineLevel="0" collapsed="false">
      <c r="A2337" s="2" t="n">
        <f aca="false">'Raw Data'!H2337</f>
        <v>2336</v>
      </c>
      <c r="B2337" s="2" t="n">
        <f aca="false">'Raw Data'!A2337</f>
        <v>35</v>
      </c>
      <c r="C2337" s="2" t="str">
        <f aca="false">'Raw Data'!D2337</f>
        <v>Sales</v>
      </c>
      <c r="D2337" s="2" t="str">
        <f aca="false">'Raw Data'!K2337</f>
        <v>Sales Executive</v>
      </c>
      <c r="E2337" s="2" t="n">
        <f aca="false">'Raw Data'!Q2337</f>
        <v>10</v>
      </c>
      <c r="F2337" s="2" t="n">
        <f aca="false">'Raw Data'!U2337</f>
        <v>4</v>
      </c>
      <c r="G2337" s="2" t="n">
        <f aca="false">'Raw Data'!W2337</f>
        <v>3</v>
      </c>
      <c r="H2337" s="2" t="n">
        <f aca="false">'Raw Data'!V2337</f>
        <v>1</v>
      </c>
      <c r="I2337" s="2" t="n">
        <f aca="false">IF(AND(ISNUMBER(B2337),B2337&lt;=25),2,0)+IF(AND(ISNUMBER(E2337),E2337&lt;=5),2,0)+IF(AND(ISNUMBER(F2337),F2337&lt;=1),2,0)+IF(AND(ISNUMBER(G2337),G2337&lt;=2),1,0)+IF(AND(ISNUMBER(H2337),H2337&lt;=2),1,0)</f>
        <v>1</v>
      </c>
      <c r="J2337" s="2" t="str">
        <f aca="false">IF(I2337&gt;=6,"High",IF(I2337&gt;=3,"Medium","Low"))</f>
        <v>Low</v>
      </c>
    </row>
    <row r="2338" customFormat="false" ht="15" hidden="false" customHeight="true" outlineLevel="0" collapsed="false">
      <c r="A2338" s="2" t="n">
        <f aca="false">'Raw Data'!H2338</f>
        <v>2337</v>
      </c>
      <c r="B2338" s="2" t="n">
        <f aca="false">'Raw Data'!A2338</f>
        <v>39</v>
      </c>
      <c r="C2338" s="2" t="str">
        <f aca="false">'Raw Data'!D2338</f>
        <v>Sales</v>
      </c>
      <c r="D2338" s="2" t="str">
        <f aca="false">'Raw Data'!K2338</f>
        <v>Sales Executive</v>
      </c>
      <c r="E2338" s="2" t="n">
        <f aca="false">'Raw Data'!Q2338</f>
        <v>11</v>
      </c>
      <c r="F2338" s="2" t="n">
        <f aca="false">'Raw Data'!U2338</f>
        <v>6</v>
      </c>
      <c r="G2338" s="2" t="n">
        <f aca="false">'Raw Data'!W2338</f>
        <v>3</v>
      </c>
      <c r="H2338" s="2" t="n">
        <f aca="false">'Raw Data'!V2338</f>
        <v>4</v>
      </c>
      <c r="I2338" s="2" t="n">
        <f aca="false">IF(AND(ISNUMBER(B2338),B2338&lt;=25),2,0)+IF(AND(ISNUMBER(E2338),E2338&lt;=5),2,0)+IF(AND(ISNUMBER(F2338),F2338&lt;=1),2,0)+IF(AND(ISNUMBER(G2338),G2338&lt;=2),1,0)+IF(AND(ISNUMBER(H2338),H2338&lt;=2),1,0)</f>
        <v>0</v>
      </c>
      <c r="J2338" s="2" t="str">
        <f aca="false">IF(I2338&gt;=6,"High",IF(I2338&gt;=3,"Medium","Low"))</f>
        <v>Low</v>
      </c>
    </row>
    <row r="2339" customFormat="false" ht="15" hidden="false" customHeight="true" outlineLevel="0" collapsed="false">
      <c r="A2339" s="2" t="n">
        <f aca="false">'Raw Data'!H2339</f>
        <v>2338</v>
      </c>
      <c r="B2339" s="2" t="n">
        <f aca="false">'Raw Data'!A2339</f>
        <v>29</v>
      </c>
      <c r="C2339" s="2" t="str">
        <f aca="false">'Raw Data'!D2339</f>
        <v>Research &amp; Development</v>
      </c>
      <c r="D2339" s="2" t="str">
        <f aca="false">'Raw Data'!K2339</f>
        <v>Research Scientist</v>
      </c>
      <c r="E2339" s="2" t="n">
        <f aca="false">'Raw Data'!Q2339</f>
        <v>6</v>
      </c>
      <c r="F2339" s="2" t="n">
        <f aca="false">'Raw Data'!U2339</f>
        <v>3</v>
      </c>
      <c r="G2339" s="2" t="n">
        <f aca="false">'Raw Data'!W2339</f>
        <v>4</v>
      </c>
      <c r="H2339" s="2" t="n">
        <f aca="false">'Raw Data'!V2339</f>
        <v>1</v>
      </c>
      <c r="I2339" s="2" t="n">
        <f aca="false">IF(AND(ISNUMBER(B2339),B2339&lt;=25),2,0)+IF(AND(ISNUMBER(E2339),E2339&lt;=5),2,0)+IF(AND(ISNUMBER(F2339),F2339&lt;=1),2,0)+IF(AND(ISNUMBER(G2339),G2339&lt;=2),1,0)+IF(AND(ISNUMBER(H2339),H2339&lt;=2),1,0)</f>
        <v>1</v>
      </c>
      <c r="J2339" s="2" t="str">
        <f aca="false">IF(I2339&gt;=6,"High",IF(I2339&gt;=3,"Medium","Low"))</f>
        <v>Low</v>
      </c>
    </row>
    <row r="2340" customFormat="false" ht="15" hidden="false" customHeight="true" outlineLevel="0" collapsed="false">
      <c r="A2340" s="2" t="n">
        <f aca="false">'Raw Data'!H2340</f>
        <v>2339</v>
      </c>
      <c r="B2340" s="2" t="n">
        <f aca="false">'Raw Data'!A2340</f>
        <v>50</v>
      </c>
      <c r="C2340" s="2" t="str">
        <f aca="false">'Raw Data'!D2340</f>
        <v>Research &amp; Development</v>
      </c>
      <c r="D2340" s="2" t="str">
        <f aca="false">'Raw Data'!K2340</f>
        <v>Laboratory Technician</v>
      </c>
      <c r="E2340" s="2" t="n">
        <f aca="false">'Raw Data'!Q2340</f>
        <v>27</v>
      </c>
      <c r="F2340" s="2" t="n">
        <f aca="false">'Raw Data'!U2340</f>
        <v>0</v>
      </c>
      <c r="G2340" s="2" t="n">
        <f aca="false">'Raw Data'!W2340</f>
        <v>3</v>
      </c>
      <c r="H2340" s="2" t="n">
        <f aca="false">'Raw Data'!V2340</f>
        <v>3</v>
      </c>
      <c r="I2340" s="2" t="n">
        <f aca="false">IF(AND(ISNUMBER(B2340),B2340&lt;=25),2,0)+IF(AND(ISNUMBER(E2340),E2340&lt;=5),2,0)+IF(AND(ISNUMBER(F2340),F2340&lt;=1),2,0)+IF(AND(ISNUMBER(G2340),G2340&lt;=2),1,0)+IF(AND(ISNUMBER(H2340),H2340&lt;=2),1,0)</f>
        <v>2</v>
      </c>
      <c r="J2340" s="2" t="str">
        <f aca="false">IF(I2340&gt;=6,"High",IF(I2340&gt;=3,"Medium","Low"))</f>
        <v>Low</v>
      </c>
    </row>
    <row r="2341" customFormat="false" ht="15" hidden="false" customHeight="true" outlineLevel="0" collapsed="false">
      <c r="A2341" s="2" t="n">
        <f aca="false">'Raw Data'!H2341</f>
        <v>2340</v>
      </c>
      <c r="B2341" s="2" t="n">
        <f aca="false">'Raw Data'!A2341</f>
        <v>23</v>
      </c>
      <c r="C2341" s="2" t="str">
        <f aca="false">'Raw Data'!D2341</f>
        <v>Research &amp; Development</v>
      </c>
      <c r="D2341" s="2" t="str">
        <f aca="false">'Raw Data'!K2341</f>
        <v>Manager</v>
      </c>
      <c r="E2341" s="2" t="n">
        <f aca="false">'Raw Data'!Q2341</f>
        <v>4</v>
      </c>
      <c r="F2341" s="2" t="n">
        <f aca="false">'Raw Data'!U2341</f>
        <v>2</v>
      </c>
      <c r="G2341" s="2" t="n">
        <f aca="false">'Raw Data'!W2341</f>
        <v>3</v>
      </c>
      <c r="H2341" s="2" t="n">
        <f aca="false">'Raw Data'!V2341</f>
        <v>4</v>
      </c>
      <c r="I2341" s="2" t="n">
        <f aca="false">IF(AND(ISNUMBER(B2341),B2341&lt;=25),2,0)+IF(AND(ISNUMBER(E2341),E2341&lt;=5),2,0)+IF(AND(ISNUMBER(F2341),F2341&lt;=1),2,0)+IF(AND(ISNUMBER(G2341),G2341&lt;=2),1,0)+IF(AND(ISNUMBER(H2341),H2341&lt;=2),1,0)</f>
        <v>4</v>
      </c>
      <c r="J2341" s="2" t="str">
        <f aca="false">IF(I2341&gt;=6,"High",IF(I2341&gt;=3,"Medium","Low"))</f>
        <v>Medium</v>
      </c>
    </row>
    <row r="2342" customFormat="false" ht="15" hidden="false" customHeight="true" outlineLevel="0" collapsed="false">
      <c r="A2342" s="2" t="n">
        <f aca="false">'Raw Data'!H2342</f>
        <v>2341</v>
      </c>
      <c r="B2342" s="2" t="n">
        <f aca="false">'Raw Data'!A2342</f>
        <v>36</v>
      </c>
      <c r="C2342" s="2" t="str">
        <f aca="false">'Raw Data'!D2342</f>
        <v>Sales</v>
      </c>
      <c r="D2342" s="2" t="str">
        <f aca="false">'Raw Data'!K2342</f>
        <v>Human Resources</v>
      </c>
      <c r="E2342" s="2" t="n">
        <f aca="false">'Raw Data'!Q2342</f>
        <v>9</v>
      </c>
      <c r="F2342" s="2" t="n">
        <f aca="false">'Raw Data'!U2342</f>
        <v>2</v>
      </c>
      <c r="G2342" s="2" t="n">
        <f aca="false">'Raw Data'!W2342</f>
        <v>1</v>
      </c>
      <c r="H2342" s="2" t="n">
        <f aca="false">'Raw Data'!V2342</f>
        <v>1</v>
      </c>
      <c r="I2342" s="2" t="n">
        <f aca="false">IF(AND(ISNUMBER(B2342),B2342&lt;=25),2,0)+IF(AND(ISNUMBER(E2342),E2342&lt;=5),2,0)+IF(AND(ISNUMBER(F2342),F2342&lt;=1),2,0)+IF(AND(ISNUMBER(G2342),G2342&lt;=2),1,0)+IF(AND(ISNUMBER(H2342),H2342&lt;=2),1,0)</f>
        <v>2</v>
      </c>
      <c r="J2342" s="2" t="str">
        <f aca="false">IF(I2342&gt;=6,"High",IF(I2342&gt;=3,"Medium","Low"))</f>
        <v>Low</v>
      </c>
    </row>
    <row r="2343" customFormat="false" ht="15" hidden="false" customHeight="true" outlineLevel="0" collapsed="false">
      <c r="A2343" s="2" t="n">
        <f aca="false">'Raw Data'!H2343</f>
        <v>2342</v>
      </c>
      <c r="B2343" s="2" t="n">
        <f aca="false">'Raw Data'!A2343</f>
        <v>42</v>
      </c>
      <c r="C2343" s="2" t="str">
        <f aca="false">'Raw Data'!D2343</f>
        <v>Research &amp; Development</v>
      </c>
      <c r="D2343" s="2" t="str">
        <f aca="false">'Raw Data'!K2343</f>
        <v>Manager</v>
      </c>
      <c r="E2343" s="2" t="n">
        <f aca="false">'Raw Data'!Q2343</f>
        <v>24</v>
      </c>
      <c r="F2343" s="2" t="n">
        <f aca="false">'Raw Data'!U2343</f>
        <v>1</v>
      </c>
      <c r="G2343" s="2" t="n">
        <f aca="false">'Raw Data'!W2343</f>
        <v>4</v>
      </c>
      <c r="H2343" s="2" t="n">
        <f aca="false">'Raw Data'!V2343</f>
        <v>4</v>
      </c>
      <c r="I2343" s="2" t="n">
        <f aca="false">IF(AND(ISNUMBER(B2343),B2343&lt;=25),2,0)+IF(AND(ISNUMBER(E2343),E2343&lt;=5),2,0)+IF(AND(ISNUMBER(F2343),F2343&lt;=1),2,0)+IF(AND(ISNUMBER(G2343),G2343&lt;=2),1,0)+IF(AND(ISNUMBER(H2343),H2343&lt;=2),1,0)</f>
        <v>2</v>
      </c>
      <c r="J2343" s="2" t="str">
        <f aca="false">IF(I2343&gt;=6,"High",IF(I2343&gt;=3,"Medium","Low"))</f>
        <v>Low</v>
      </c>
    </row>
    <row r="2344" customFormat="false" ht="15" hidden="false" customHeight="true" outlineLevel="0" collapsed="false">
      <c r="A2344" s="2" t="n">
        <f aca="false">'Raw Data'!H2344</f>
        <v>2343</v>
      </c>
      <c r="B2344" s="2" t="n">
        <f aca="false">'Raw Data'!A2344</f>
        <v>35</v>
      </c>
      <c r="C2344" s="2" t="str">
        <f aca="false">'Raw Data'!D2344</f>
        <v>Sales</v>
      </c>
      <c r="D2344" s="2" t="str">
        <f aca="false">'Raw Data'!K2344</f>
        <v>Laboratory Technician</v>
      </c>
      <c r="E2344" s="2" t="n">
        <f aca="false">'Raw Data'!Q2344</f>
        <v>10</v>
      </c>
      <c r="F2344" s="2" t="n">
        <f aca="false">'Raw Data'!U2344</f>
        <v>8</v>
      </c>
      <c r="G2344" s="2" t="n">
        <f aca="false">'Raw Data'!W2344</f>
        <v>3</v>
      </c>
      <c r="H2344" s="2" t="n">
        <f aca="false">'Raw Data'!V2344</f>
        <v>2</v>
      </c>
      <c r="I2344" s="2" t="n">
        <f aca="false">IF(AND(ISNUMBER(B2344),B2344&lt;=25),2,0)+IF(AND(ISNUMBER(E2344),E2344&lt;=5),2,0)+IF(AND(ISNUMBER(F2344),F2344&lt;=1),2,0)+IF(AND(ISNUMBER(G2344),G2344&lt;=2),1,0)+IF(AND(ISNUMBER(H2344),H2344&lt;=2),1,0)</f>
        <v>1</v>
      </c>
      <c r="J2344" s="2" t="str">
        <f aca="false">IF(I2344&gt;=6,"High",IF(I2344&gt;=3,"Medium","Low"))</f>
        <v>Low</v>
      </c>
    </row>
    <row r="2345" customFormat="false" ht="15" hidden="false" customHeight="true" outlineLevel="0" collapsed="false">
      <c r="A2345" s="2" t="n">
        <f aca="false">'Raw Data'!H2345</f>
        <v>2344</v>
      </c>
      <c r="B2345" s="2" t="n">
        <f aca="false">'Raw Data'!A2345</f>
        <v>34</v>
      </c>
      <c r="C2345" s="2" t="str">
        <f aca="false">'Raw Data'!D2345</f>
        <v>Research &amp; Development</v>
      </c>
      <c r="D2345" s="2" t="str">
        <f aca="false">'Raw Data'!K2345</f>
        <v>Manager</v>
      </c>
      <c r="E2345" s="2" t="n">
        <f aca="false">'Raw Data'!Q2345</f>
        <v>8</v>
      </c>
      <c r="F2345" s="2" t="n">
        <f aca="false">'Raw Data'!U2345</f>
        <v>7</v>
      </c>
      <c r="G2345" s="2" t="n">
        <f aca="false">'Raw Data'!W2345</f>
        <v>3</v>
      </c>
      <c r="H2345" s="2" t="n">
        <f aca="false">'Raw Data'!V2345</f>
        <v>4</v>
      </c>
      <c r="I2345" s="2" t="n">
        <f aca="false">IF(AND(ISNUMBER(B2345),B2345&lt;=25),2,0)+IF(AND(ISNUMBER(E2345),E2345&lt;=5),2,0)+IF(AND(ISNUMBER(F2345),F2345&lt;=1),2,0)+IF(AND(ISNUMBER(G2345),G2345&lt;=2),1,0)+IF(AND(ISNUMBER(H2345),H2345&lt;=2),1,0)</f>
        <v>0</v>
      </c>
      <c r="J2345" s="2" t="str">
        <f aca="false">IF(I2345&gt;=6,"High",IF(I2345&gt;=3,"Medium","Low"))</f>
        <v>Low</v>
      </c>
    </row>
    <row r="2346" customFormat="false" ht="15" hidden="false" customHeight="true" outlineLevel="0" collapsed="false">
      <c r="A2346" s="2" t="n">
        <f aca="false">'Raw Data'!H2346</f>
        <v>2345</v>
      </c>
      <c r="B2346" s="2" t="n">
        <f aca="false">'Raw Data'!A2346</f>
        <v>40</v>
      </c>
      <c r="C2346" s="2" t="str">
        <f aca="false">'Raw Data'!D2346</f>
        <v>Research &amp; Development</v>
      </c>
      <c r="D2346" s="2" t="str">
        <f aca="false">'Raw Data'!K2346</f>
        <v>Laboratory Technician</v>
      </c>
      <c r="E2346" s="2" t="n">
        <f aca="false">'Raw Data'!Q2346</f>
        <v>5</v>
      </c>
      <c r="F2346" s="2" t="n">
        <f aca="false">'Raw Data'!U2346</f>
        <v>2</v>
      </c>
      <c r="G2346" s="2" t="n">
        <f aca="false">'Raw Data'!W2346</f>
        <v>1</v>
      </c>
      <c r="H2346" s="2" t="n">
        <f aca="false">'Raw Data'!V2346</f>
        <v>4</v>
      </c>
      <c r="I2346" s="2" t="n">
        <f aca="false">IF(AND(ISNUMBER(B2346),B2346&lt;=25),2,0)+IF(AND(ISNUMBER(E2346),E2346&lt;=5),2,0)+IF(AND(ISNUMBER(F2346),F2346&lt;=1),2,0)+IF(AND(ISNUMBER(G2346),G2346&lt;=2),1,0)+IF(AND(ISNUMBER(H2346),H2346&lt;=2),1,0)</f>
        <v>3</v>
      </c>
      <c r="J2346" s="2" t="str">
        <f aca="false">IF(I2346&gt;=6,"High",IF(I2346&gt;=3,"Medium","Low"))</f>
        <v>Medium</v>
      </c>
    </row>
    <row r="2347" customFormat="false" ht="15" hidden="false" customHeight="true" outlineLevel="0" collapsed="false">
      <c r="A2347" s="2" t="n">
        <f aca="false">'Raw Data'!H2347</f>
        <v>2346</v>
      </c>
      <c r="B2347" s="2" t="n">
        <f aca="false">'Raw Data'!A2347</f>
        <v>43</v>
      </c>
      <c r="C2347" s="2" t="str">
        <f aca="false">'Raw Data'!D2347</f>
        <v>Research &amp; Development</v>
      </c>
      <c r="D2347" s="2" t="str">
        <f aca="false">'Raw Data'!K2347</f>
        <v>Manager</v>
      </c>
      <c r="E2347" s="2" t="n">
        <f aca="false">'Raw Data'!Q2347</f>
        <v>8</v>
      </c>
      <c r="F2347" s="2" t="n">
        <f aca="false">'Raw Data'!U2347</f>
        <v>2</v>
      </c>
      <c r="G2347" s="2" t="n">
        <f aca="false">'Raw Data'!W2347</f>
        <v>2</v>
      </c>
      <c r="H2347" s="2" t="n">
        <f aca="false">'Raw Data'!V2347</f>
        <v>4</v>
      </c>
      <c r="I2347" s="2" t="n">
        <f aca="false">IF(AND(ISNUMBER(B2347),B2347&lt;=25),2,0)+IF(AND(ISNUMBER(E2347),E2347&lt;=5),2,0)+IF(AND(ISNUMBER(F2347),F2347&lt;=1),2,0)+IF(AND(ISNUMBER(G2347),G2347&lt;=2),1,0)+IF(AND(ISNUMBER(H2347),H2347&lt;=2),1,0)</f>
        <v>1</v>
      </c>
      <c r="J2347" s="2" t="str">
        <f aca="false">IF(I2347&gt;=6,"High",IF(I2347&gt;=3,"Medium","Low"))</f>
        <v>Low</v>
      </c>
    </row>
    <row r="2348" customFormat="false" ht="15" hidden="false" customHeight="true" outlineLevel="0" collapsed="false">
      <c r="A2348" s="2" t="n">
        <f aca="false">'Raw Data'!H2348</f>
        <v>2347</v>
      </c>
      <c r="B2348" s="2" t="n">
        <f aca="false">'Raw Data'!A2348</f>
        <v>35</v>
      </c>
      <c r="C2348" s="2" t="str">
        <f aca="false">'Raw Data'!D2348</f>
        <v>Sales</v>
      </c>
      <c r="D2348" s="2" t="str">
        <f aca="false">'Raw Data'!K2348</f>
        <v>Sales Representative</v>
      </c>
      <c r="E2348" s="2" t="n">
        <f aca="false">'Raw Data'!Q2348</f>
        <v>1</v>
      </c>
      <c r="F2348" s="2" t="n">
        <f aca="false">'Raw Data'!U2348</f>
        <v>1</v>
      </c>
      <c r="G2348" s="2" t="n">
        <f aca="false">'Raw Data'!W2348</f>
        <v>4</v>
      </c>
      <c r="H2348" s="2" t="n">
        <f aca="false">'Raw Data'!V2348</f>
        <v>3</v>
      </c>
      <c r="I2348" s="2" t="n">
        <f aca="false">IF(AND(ISNUMBER(B2348),B2348&lt;=25),2,0)+IF(AND(ISNUMBER(E2348),E2348&lt;=5),2,0)+IF(AND(ISNUMBER(F2348),F2348&lt;=1),2,0)+IF(AND(ISNUMBER(G2348),G2348&lt;=2),1,0)+IF(AND(ISNUMBER(H2348),H2348&lt;=2),1,0)</f>
        <v>4</v>
      </c>
      <c r="J2348" s="2" t="str">
        <f aca="false">IF(I2348&gt;=6,"High",IF(I2348&gt;=3,"Medium","Low"))</f>
        <v>Medium</v>
      </c>
    </row>
    <row r="2349" customFormat="false" ht="15" hidden="false" customHeight="true" outlineLevel="0" collapsed="false">
      <c r="A2349" s="2" t="n">
        <f aca="false">'Raw Data'!H2349</f>
        <v>2348</v>
      </c>
      <c r="B2349" s="2" t="n">
        <f aca="false">'Raw Data'!A2349</f>
        <v>46</v>
      </c>
      <c r="C2349" s="2" t="str">
        <f aca="false">'Raw Data'!D2349</f>
        <v>Research &amp; Development</v>
      </c>
      <c r="D2349" s="2" t="str">
        <f aca="false">'Raw Data'!K2349</f>
        <v>Laboratory Technician</v>
      </c>
      <c r="E2349" s="2" t="n">
        <f aca="false">'Raw Data'!Q2349</f>
        <v>27</v>
      </c>
      <c r="F2349" s="2" t="n">
        <f aca="false">'Raw Data'!U2349</f>
        <v>12</v>
      </c>
      <c r="G2349" s="2" t="n">
        <f aca="false">'Raw Data'!W2349</f>
        <v>1</v>
      </c>
      <c r="H2349" s="2" t="n">
        <f aca="false">'Raw Data'!V2349</f>
        <v>4</v>
      </c>
      <c r="I2349" s="2" t="n">
        <f aca="false">IF(AND(ISNUMBER(B2349),B2349&lt;=25),2,0)+IF(AND(ISNUMBER(E2349),E2349&lt;=5),2,0)+IF(AND(ISNUMBER(F2349),F2349&lt;=1),2,0)+IF(AND(ISNUMBER(G2349),G2349&lt;=2),1,0)+IF(AND(ISNUMBER(H2349),H2349&lt;=2),1,0)</f>
        <v>1</v>
      </c>
      <c r="J2349" s="2" t="str">
        <f aca="false">IF(I2349&gt;=6,"High",IF(I2349&gt;=3,"Medium","Low"))</f>
        <v>Low</v>
      </c>
    </row>
    <row r="2350" customFormat="false" ht="15" hidden="false" customHeight="true" outlineLevel="0" collapsed="false">
      <c r="A2350" s="2" t="n">
        <f aca="false">'Raw Data'!H2350</f>
        <v>2349</v>
      </c>
      <c r="B2350" s="2" t="n">
        <f aca="false">'Raw Data'!A2350</f>
        <v>28</v>
      </c>
      <c r="C2350" s="2" t="str">
        <f aca="false">'Raw Data'!D2350</f>
        <v>Human Resources</v>
      </c>
      <c r="D2350" s="2" t="str">
        <f aca="false">'Raw Data'!K2350</f>
        <v>Laboratory Technician</v>
      </c>
      <c r="E2350" s="2" t="n">
        <f aca="false">'Raw Data'!Q2350</f>
        <v>1</v>
      </c>
      <c r="F2350" s="2" t="n">
        <f aca="false">'Raw Data'!U2350</f>
        <v>0</v>
      </c>
      <c r="G2350" s="2" t="n">
        <f aca="false">'Raw Data'!W2350</f>
        <v>2</v>
      </c>
      <c r="H2350" s="2" t="n">
        <f aca="false">'Raw Data'!V2350</f>
        <v>3</v>
      </c>
      <c r="I2350" s="2" t="n">
        <f aca="false">IF(AND(ISNUMBER(B2350),B2350&lt;=25),2,0)+IF(AND(ISNUMBER(E2350),E2350&lt;=5),2,0)+IF(AND(ISNUMBER(F2350),F2350&lt;=1),2,0)+IF(AND(ISNUMBER(G2350),G2350&lt;=2),1,0)+IF(AND(ISNUMBER(H2350),H2350&lt;=2),1,0)</f>
        <v>5</v>
      </c>
      <c r="J2350" s="2" t="str">
        <f aca="false">IF(I2350&gt;=6,"High",IF(I2350&gt;=3,"Medium","Low"))</f>
        <v>Medium</v>
      </c>
    </row>
    <row r="2351" customFormat="false" ht="15" hidden="false" customHeight="true" outlineLevel="0" collapsed="false">
      <c r="A2351" s="2" t="n">
        <f aca="false">'Raw Data'!H2351</f>
        <v>2350</v>
      </c>
      <c r="B2351" s="2" t="n">
        <f aca="false">'Raw Data'!A2351</f>
        <v>22</v>
      </c>
      <c r="C2351" s="2" t="str">
        <f aca="false">'Raw Data'!D2351</f>
        <v>Sales</v>
      </c>
      <c r="D2351" s="2" t="str">
        <f aca="false">'Raw Data'!K2351</f>
        <v>Sales Executive</v>
      </c>
      <c r="E2351" s="2" t="n">
        <f aca="false">'Raw Data'!Q2351</f>
        <v>4</v>
      </c>
      <c r="F2351" s="2" t="n">
        <f aca="false">'Raw Data'!U2351</f>
        <v>3</v>
      </c>
      <c r="G2351" s="2" t="n">
        <f aca="false">'Raw Data'!W2351</f>
        <v>3</v>
      </c>
      <c r="H2351" s="2" t="n">
        <f aca="false">'Raw Data'!V2351</f>
        <v>2</v>
      </c>
      <c r="I2351" s="2" t="n">
        <f aca="false">IF(AND(ISNUMBER(B2351),B2351&lt;=25),2,0)+IF(AND(ISNUMBER(E2351),E2351&lt;=5),2,0)+IF(AND(ISNUMBER(F2351),F2351&lt;=1),2,0)+IF(AND(ISNUMBER(G2351),G2351&lt;=2),1,0)+IF(AND(ISNUMBER(H2351),H2351&lt;=2),1,0)</f>
        <v>5</v>
      </c>
      <c r="J2351" s="2" t="str">
        <f aca="false">IF(I2351&gt;=6,"High",IF(I2351&gt;=3,"Medium","Low"))</f>
        <v>Medium</v>
      </c>
    </row>
    <row r="2352" customFormat="false" ht="15" hidden="false" customHeight="true" outlineLevel="0" collapsed="false">
      <c r="A2352" s="2" t="n">
        <f aca="false">'Raw Data'!H2352</f>
        <v>2351</v>
      </c>
      <c r="B2352" s="2" t="n">
        <f aca="false">'Raw Data'!A2352</f>
        <v>50</v>
      </c>
      <c r="C2352" s="2" t="str">
        <f aca="false">'Raw Data'!D2352</f>
        <v>Research &amp; Development</v>
      </c>
      <c r="D2352" s="2" t="str">
        <f aca="false">'Raw Data'!K2352</f>
        <v>Research Scientist</v>
      </c>
      <c r="E2352" s="2" t="n">
        <f aca="false">'Raw Data'!Q2352</f>
        <v>32</v>
      </c>
      <c r="F2352" s="2" t="n">
        <f aca="false">'Raw Data'!U2352</f>
        <v>13</v>
      </c>
      <c r="G2352" s="2" t="n">
        <f aca="false">'Raw Data'!W2352</f>
        <v>3</v>
      </c>
      <c r="H2352" s="2" t="n">
        <f aca="false">'Raw Data'!V2352</f>
        <v>2</v>
      </c>
      <c r="I2352" s="2" t="n">
        <f aca="false">IF(AND(ISNUMBER(B2352),B2352&lt;=25),2,0)+IF(AND(ISNUMBER(E2352),E2352&lt;=5),2,0)+IF(AND(ISNUMBER(F2352),F2352&lt;=1),2,0)+IF(AND(ISNUMBER(G2352),G2352&lt;=2),1,0)+IF(AND(ISNUMBER(H2352),H2352&lt;=2),1,0)</f>
        <v>1</v>
      </c>
      <c r="J2352" s="2" t="str">
        <f aca="false">IF(I2352&gt;=6,"High",IF(I2352&gt;=3,"Medium","Low"))</f>
        <v>Low</v>
      </c>
    </row>
    <row r="2353" customFormat="false" ht="15" hidden="false" customHeight="true" outlineLevel="0" collapsed="false">
      <c r="A2353" s="2" t="n">
        <f aca="false">'Raw Data'!H2353</f>
        <v>2352</v>
      </c>
      <c r="B2353" s="2" t="n">
        <f aca="false">'Raw Data'!A2353</f>
        <v>32</v>
      </c>
      <c r="C2353" s="2" t="str">
        <f aca="false">'Raw Data'!D2353</f>
        <v>Research &amp; Development</v>
      </c>
      <c r="D2353" s="2" t="str">
        <f aca="false">'Raw Data'!K2353</f>
        <v>Research Scientist</v>
      </c>
      <c r="E2353" s="2" t="n">
        <f aca="false">'Raw Data'!Q2353</f>
        <v>6</v>
      </c>
      <c r="F2353" s="2" t="n">
        <f aca="false">'Raw Data'!U2353</f>
        <v>2</v>
      </c>
      <c r="G2353" s="2" t="n">
        <f aca="false">'Raw Data'!W2353</f>
        <v>4</v>
      </c>
      <c r="H2353" s="2" t="n">
        <f aca="false">'Raw Data'!V2353</f>
        <v>2</v>
      </c>
      <c r="I2353" s="2" t="n">
        <f aca="false">IF(AND(ISNUMBER(B2353),B2353&lt;=25),2,0)+IF(AND(ISNUMBER(E2353),E2353&lt;=5),2,0)+IF(AND(ISNUMBER(F2353),F2353&lt;=1),2,0)+IF(AND(ISNUMBER(G2353),G2353&lt;=2),1,0)+IF(AND(ISNUMBER(H2353),H2353&lt;=2),1,0)</f>
        <v>1</v>
      </c>
      <c r="J2353" s="2" t="str">
        <f aca="false">IF(I2353&gt;=6,"High",IF(I2353&gt;=3,"Medium","Low"))</f>
        <v>Low</v>
      </c>
    </row>
    <row r="2354" customFormat="false" ht="15" hidden="false" customHeight="true" outlineLevel="0" collapsed="false">
      <c r="A2354" s="2" t="n">
        <f aca="false">'Raw Data'!H2354</f>
        <v>2353</v>
      </c>
      <c r="B2354" s="2" t="n">
        <f aca="false">'Raw Data'!A2354</f>
        <v>44</v>
      </c>
      <c r="C2354" s="2" t="str">
        <f aca="false">'Raw Data'!D2354</f>
        <v>Research &amp; Development</v>
      </c>
      <c r="D2354" s="2" t="str">
        <f aca="false">'Raw Data'!K2354</f>
        <v>Manager</v>
      </c>
      <c r="E2354" s="2" t="n">
        <f aca="false">'Raw Data'!Q2354</f>
        <v>23</v>
      </c>
      <c r="F2354" s="2" t="n">
        <f aca="false">'Raw Data'!U2354</f>
        <v>10</v>
      </c>
      <c r="G2354" s="2" t="n">
        <f aca="false">'Raw Data'!W2354</f>
        <v>4</v>
      </c>
      <c r="H2354" s="2" t="n">
        <f aca="false">'Raw Data'!V2354</f>
        <v>2</v>
      </c>
      <c r="I2354" s="2" t="n">
        <f aca="false">IF(AND(ISNUMBER(B2354),B2354&lt;=25),2,0)+IF(AND(ISNUMBER(E2354),E2354&lt;=5),2,0)+IF(AND(ISNUMBER(F2354),F2354&lt;=1),2,0)+IF(AND(ISNUMBER(G2354),G2354&lt;=2),1,0)+IF(AND(ISNUMBER(H2354),H2354&lt;=2),1,0)</f>
        <v>1</v>
      </c>
      <c r="J2354" s="2" t="str">
        <f aca="false">IF(I2354&gt;=6,"High",IF(I2354&gt;=3,"Medium","Low"))</f>
        <v>Low</v>
      </c>
    </row>
    <row r="2355" customFormat="false" ht="15" hidden="false" customHeight="true" outlineLevel="0" collapsed="false">
      <c r="A2355" s="2" t="n">
        <f aca="false">'Raw Data'!H2355</f>
        <v>2354</v>
      </c>
      <c r="B2355" s="2" t="n">
        <f aca="false">'Raw Data'!A2355</f>
        <v>30</v>
      </c>
      <c r="C2355" s="2" t="str">
        <f aca="false">'Raw Data'!D2355</f>
        <v>Research &amp; Development</v>
      </c>
      <c r="D2355" s="2" t="str">
        <f aca="false">'Raw Data'!K2355</f>
        <v>Research Director</v>
      </c>
      <c r="E2355" s="2" t="n">
        <f aca="false">'Raw Data'!Q2355</f>
        <v>6</v>
      </c>
      <c r="F2355" s="2" t="n">
        <f aca="false">'Raw Data'!U2355</f>
        <v>1</v>
      </c>
      <c r="G2355" s="2" t="n">
        <f aca="false">'Raw Data'!W2355</f>
        <v>2</v>
      </c>
      <c r="H2355" s="2" t="n">
        <f aca="false">'Raw Data'!V2355</f>
        <v>2</v>
      </c>
      <c r="I2355" s="2" t="n">
        <f aca="false">IF(AND(ISNUMBER(B2355),B2355&lt;=25),2,0)+IF(AND(ISNUMBER(E2355),E2355&lt;=5),2,0)+IF(AND(ISNUMBER(F2355),F2355&lt;=1),2,0)+IF(AND(ISNUMBER(G2355),G2355&lt;=2),1,0)+IF(AND(ISNUMBER(H2355),H2355&lt;=2),1,0)</f>
        <v>4</v>
      </c>
      <c r="J2355" s="2" t="str">
        <f aca="false">IF(I2355&gt;=6,"High",IF(I2355&gt;=3,"Medium","Low"))</f>
        <v>Medium</v>
      </c>
    </row>
    <row r="2356" customFormat="false" ht="15" hidden="false" customHeight="true" outlineLevel="0" collapsed="false">
      <c r="A2356" s="2" t="n">
        <f aca="false">'Raw Data'!H2356</f>
        <v>2355</v>
      </c>
      <c r="B2356" s="2" t="n">
        <f aca="false">'Raw Data'!A2356</f>
        <v>45</v>
      </c>
      <c r="C2356" s="2" t="str">
        <f aca="false">'Raw Data'!D2356</f>
        <v>Sales</v>
      </c>
      <c r="D2356" s="2" t="str">
        <f aca="false">'Raw Data'!K2356</f>
        <v>Research Scientist</v>
      </c>
      <c r="E2356" s="2" t="n">
        <f aca="false">'Raw Data'!Q2356</f>
        <v>10</v>
      </c>
      <c r="F2356" s="2" t="n">
        <f aca="false">'Raw Data'!U2356</f>
        <v>4</v>
      </c>
      <c r="G2356" s="2" t="n">
        <f aca="false">'Raw Data'!W2356</f>
        <v>1</v>
      </c>
      <c r="H2356" s="2" t="n">
        <f aca="false">'Raw Data'!V2356</f>
        <v>3</v>
      </c>
      <c r="I2356" s="2" t="n">
        <f aca="false">IF(AND(ISNUMBER(B2356),B2356&lt;=25),2,0)+IF(AND(ISNUMBER(E2356),E2356&lt;=5),2,0)+IF(AND(ISNUMBER(F2356),F2356&lt;=1),2,0)+IF(AND(ISNUMBER(G2356),G2356&lt;=2),1,0)+IF(AND(ISNUMBER(H2356),H2356&lt;=2),1,0)</f>
        <v>1</v>
      </c>
      <c r="J2356" s="2" t="str">
        <f aca="false">IF(I2356&gt;=6,"High",IF(I2356&gt;=3,"Medium","Low"))</f>
        <v>Low</v>
      </c>
    </row>
    <row r="2357" customFormat="false" ht="15" hidden="false" customHeight="true" outlineLevel="0" collapsed="false">
      <c r="A2357" s="2" t="n">
        <f aca="false">'Raw Data'!H2357</f>
        <v>2356</v>
      </c>
      <c r="B2357" s="2" t="n">
        <f aca="false">'Raw Data'!A2357</f>
        <v>45</v>
      </c>
      <c r="C2357" s="2" t="str">
        <f aca="false">'Raw Data'!D2357</f>
        <v>Sales</v>
      </c>
      <c r="D2357" s="2" t="str">
        <f aca="false">'Raw Data'!K2357</f>
        <v>Manufacturing Director</v>
      </c>
      <c r="E2357" s="2" t="n">
        <f aca="false">'Raw Data'!Q2357</f>
        <v>10</v>
      </c>
      <c r="F2357" s="2" t="n">
        <f aca="false">'Raw Data'!U2357</f>
        <v>5</v>
      </c>
      <c r="G2357" s="2" t="n">
        <f aca="false">'Raw Data'!W2357</f>
        <v>1</v>
      </c>
      <c r="H2357" s="2" t="n">
        <f aca="false">'Raw Data'!V2357</f>
        <v>1</v>
      </c>
      <c r="I2357" s="2" t="n">
        <f aca="false">IF(AND(ISNUMBER(B2357),B2357&lt;=25),2,0)+IF(AND(ISNUMBER(E2357),E2357&lt;=5),2,0)+IF(AND(ISNUMBER(F2357),F2357&lt;=1),2,0)+IF(AND(ISNUMBER(G2357),G2357&lt;=2),1,0)+IF(AND(ISNUMBER(H2357),H2357&lt;=2),1,0)</f>
        <v>2</v>
      </c>
      <c r="J2357" s="2" t="str">
        <f aca="false">IF(I2357&gt;=6,"High",IF(I2357&gt;=3,"Medium","Low"))</f>
        <v>Low</v>
      </c>
    </row>
    <row r="2358" customFormat="false" ht="15" hidden="false" customHeight="true" outlineLevel="0" collapsed="false">
      <c r="A2358" s="2" t="n">
        <f aca="false">'Raw Data'!H2358</f>
        <v>2357</v>
      </c>
      <c r="B2358" s="2" t="n">
        <f aca="false">'Raw Data'!A2358</f>
        <v>31</v>
      </c>
      <c r="C2358" s="2" t="str">
        <f aca="false">'Raw Data'!D2358</f>
        <v>Research &amp; Development</v>
      </c>
      <c r="D2358" s="2" t="str">
        <f aca="false">'Raw Data'!K2358</f>
        <v>Research Scientist</v>
      </c>
      <c r="E2358" s="2" t="n">
        <f aca="false">'Raw Data'!Q2358</f>
        <v>10</v>
      </c>
      <c r="F2358" s="2" t="n">
        <f aca="false">'Raw Data'!U2358</f>
        <v>3</v>
      </c>
      <c r="G2358" s="2" t="n">
        <f aca="false">'Raw Data'!W2358</f>
        <v>1</v>
      </c>
      <c r="H2358" s="2" t="n">
        <f aca="false">'Raw Data'!V2358</f>
        <v>4</v>
      </c>
      <c r="I2358" s="2" t="n">
        <f aca="false">IF(AND(ISNUMBER(B2358),B2358&lt;=25),2,0)+IF(AND(ISNUMBER(E2358),E2358&lt;=5),2,0)+IF(AND(ISNUMBER(F2358),F2358&lt;=1),2,0)+IF(AND(ISNUMBER(G2358),G2358&lt;=2),1,0)+IF(AND(ISNUMBER(H2358),H2358&lt;=2),1,0)</f>
        <v>1</v>
      </c>
      <c r="J2358" s="2" t="str">
        <f aca="false">IF(I2358&gt;=6,"High",IF(I2358&gt;=3,"Medium","Low"))</f>
        <v>Low</v>
      </c>
    </row>
    <row r="2359" customFormat="false" ht="15" hidden="false" customHeight="true" outlineLevel="0" collapsed="false">
      <c r="A2359" s="2" t="n">
        <f aca="false">'Raw Data'!H2359</f>
        <v>2358</v>
      </c>
      <c r="B2359" s="2" t="n">
        <f aca="false">'Raw Data'!A2359</f>
        <v>36</v>
      </c>
      <c r="C2359" s="2" t="str">
        <f aca="false">'Raw Data'!D2359</f>
        <v>Research &amp; Development</v>
      </c>
      <c r="D2359" s="2" t="str">
        <f aca="false">'Raw Data'!K2359</f>
        <v>Manufacturing Director</v>
      </c>
      <c r="E2359" s="2" t="n">
        <f aca="false">'Raw Data'!Q2359</f>
        <v>7</v>
      </c>
      <c r="F2359" s="2" t="n">
        <f aca="false">'Raw Data'!U2359</f>
        <v>1</v>
      </c>
      <c r="G2359" s="2" t="n">
        <f aca="false">'Raw Data'!W2359</f>
        <v>3</v>
      </c>
      <c r="H2359" s="2" t="n">
        <f aca="false">'Raw Data'!V2359</f>
        <v>3</v>
      </c>
      <c r="I2359" s="2" t="n">
        <f aca="false">IF(AND(ISNUMBER(B2359),B2359&lt;=25),2,0)+IF(AND(ISNUMBER(E2359),E2359&lt;=5),2,0)+IF(AND(ISNUMBER(F2359),F2359&lt;=1),2,0)+IF(AND(ISNUMBER(G2359),G2359&lt;=2),1,0)+IF(AND(ISNUMBER(H2359),H2359&lt;=2),1,0)</f>
        <v>2</v>
      </c>
      <c r="J2359" s="2" t="str">
        <f aca="false">IF(I2359&gt;=6,"High",IF(I2359&gt;=3,"Medium","Low"))</f>
        <v>Low</v>
      </c>
    </row>
    <row r="2360" customFormat="false" ht="15" hidden="false" customHeight="true" outlineLevel="0" collapsed="false">
      <c r="A2360" s="2" t="n">
        <f aca="false">'Raw Data'!H2360</f>
        <v>2359</v>
      </c>
      <c r="B2360" s="2" t="n">
        <f aca="false">'Raw Data'!A2360</f>
        <v>34</v>
      </c>
      <c r="C2360" s="2" t="str">
        <f aca="false">'Raw Data'!D2360</f>
        <v>Sales</v>
      </c>
      <c r="D2360" s="2" t="str">
        <f aca="false">'Raw Data'!K2360</f>
        <v>Manufacturing Director</v>
      </c>
      <c r="E2360" s="2" t="n">
        <f aca="false">'Raw Data'!Q2360</f>
        <v>9</v>
      </c>
      <c r="F2360" s="2" t="n">
        <f aca="false">'Raw Data'!U2360</f>
        <v>2</v>
      </c>
      <c r="G2360" s="2" t="n">
        <f aca="false">'Raw Data'!W2360</f>
        <v>4</v>
      </c>
      <c r="H2360" s="2" t="n">
        <f aca="false">'Raw Data'!V2360</f>
        <v>3</v>
      </c>
      <c r="I2360" s="2" t="n">
        <f aca="false">IF(AND(ISNUMBER(B2360),B2360&lt;=25),2,0)+IF(AND(ISNUMBER(E2360),E2360&lt;=5),2,0)+IF(AND(ISNUMBER(F2360),F2360&lt;=1),2,0)+IF(AND(ISNUMBER(G2360),G2360&lt;=2),1,0)+IF(AND(ISNUMBER(H2360),H2360&lt;=2),1,0)</f>
        <v>0</v>
      </c>
      <c r="J2360" s="2" t="str">
        <f aca="false">IF(I2360&gt;=6,"High",IF(I2360&gt;=3,"Medium","Low"))</f>
        <v>Low</v>
      </c>
    </row>
    <row r="2361" customFormat="false" ht="15" hidden="false" customHeight="true" outlineLevel="0" collapsed="false">
      <c r="A2361" s="2" t="n">
        <f aca="false">'Raw Data'!H2361</f>
        <v>2360</v>
      </c>
      <c r="B2361" s="2" t="n">
        <f aca="false">'Raw Data'!A2361</f>
        <v>49</v>
      </c>
      <c r="C2361" s="2" t="str">
        <f aca="false">'Raw Data'!D2361</f>
        <v>Research &amp; Development</v>
      </c>
      <c r="D2361" s="2" t="str">
        <f aca="false">'Raw Data'!K2361</f>
        <v>Healthcare Representative</v>
      </c>
      <c r="E2361" s="2" t="n">
        <f aca="false">'Raw Data'!Q2361</f>
        <v>10</v>
      </c>
      <c r="F2361" s="2" t="n">
        <f aca="false">'Raw Data'!U2361</f>
        <v>4</v>
      </c>
      <c r="G2361" s="2" t="n">
        <f aca="false">'Raw Data'!W2361</f>
        <v>1</v>
      </c>
      <c r="H2361" s="2" t="n">
        <f aca="false">'Raw Data'!V2361</f>
        <v>3</v>
      </c>
      <c r="I2361" s="2" t="n">
        <f aca="false">IF(AND(ISNUMBER(B2361),B2361&lt;=25),2,0)+IF(AND(ISNUMBER(E2361),E2361&lt;=5),2,0)+IF(AND(ISNUMBER(F2361),F2361&lt;=1),2,0)+IF(AND(ISNUMBER(G2361),G2361&lt;=2),1,0)+IF(AND(ISNUMBER(H2361),H2361&lt;=2),1,0)</f>
        <v>1</v>
      </c>
      <c r="J2361" s="2" t="str">
        <f aca="false">IF(I2361&gt;=6,"High",IF(I2361&gt;=3,"Medium","Low"))</f>
        <v>Low</v>
      </c>
    </row>
    <row r="2362" customFormat="false" ht="15" hidden="false" customHeight="true" outlineLevel="0" collapsed="false">
      <c r="A2362" s="2" t="n">
        <f aca="false">'Raw Data'!H2362</f>
        <v>2361</v>
      </c>
      <c r="B2362" s="2" t="n">
        <f aca="false">'Raw Data'!A2362</f>
        <v>39</v>
      </c>
      <c r="C2362" s="2" t="str">
        <f aca="false">'Raw Data'!D2362</f>
        <v>Research &amp; Development</v>
      </c>
      <c r="D2362" s="2" t="str">
        <f aca="false">'Raw Data'!K2362</f>
        <v>Research Scientist</v>
      </c>
      <c r="E2362" s="2" t="n">
        <f aca="false">'Raw Data'!Q2362</f>
        <v>10</v>
      </c>
      <c r="F2362" s="2" t="n">
        <f aca="false">'Raw Data'!U2362</f>
        <v>7</v>
      </c>
      <c r="G2362" s="2" t="n">
        <f aca="false">'Raw Data'!W2362</f>
        <v>1</v>
      </c>
      <c r="H2362" s="2" t="n">
        <f aca="false">'Raw Data'!V2362</f>
        <v>2</v>
      </c>
      <c r="I2362" s="2" t="n">
        <f aca="false">IF(AND(ISNUMBER(B2362),B2362&lt;=25),2,0)+IF(AND(ISNUMBER(E2362),E2362&lt;=5),2,0)+IF(AND(ISNUMBER(F2362),F2362&lt;=1),2,0)+IF(AND(ISNUMBER(G2362),G2362&lt;=2),1,0)+IF(AND(ISNUMBER(H2362),H2362&lt;=2),1,0)</f>
        <v>2</v>
      </c>
      <c r="J2362" s="2" t="str">
        <f aca="false">IF(I2362&gt;=6,"High",IF(I2362&gt;=3,"Medium","Low"))</f>
        <v>Low</v>
      </c>
    </row>
    <row r="2363" customFormat="false" ht="15" hidden="false" customHeight="true" outlineLevel="0" collapsed="false">
      <c r="A2363" s="2" t="n">
        <f aca="false">'Raw Data'!H2363</f>
        <v>2362</v>
      </c>
      <c r="B2363" s="2" t="n">
        <f aca="false">'Raw Data'!A2363</f>
        <v>27</v>
      </c>
      <c r="C2363" s="2" t="str">
        <f aca="false">'Raw Data'!D2363</f>
        <v>Research &amp; Development</v>
      </c>
      <c r="D2363" s="2" t="str">
        <f aca="false">'Raw Data'!K2363</f>
        <v>Research Scientist</v>
      </c>
      <c r="E2363" s="2" t="n">
        <f aca="false">'Raw Data'!Q2363</f>
        <v>7</v>
      </c>
      <c r="F2363" s="2" t="n">
        <f aca="false">'Raw Data'!U2363</f>
        <v>7</v>
      </c>
      <c r="G2363" s="2" t="n">
        <f aca="false">'Raw Data'!W2363</f>
        <v>1</v>
      </c>
      <c r="H2363" s="2" t="n">
        <f aca="false">'Raw Data'!V2363</f>
        <v>4</v>
      </c>
      <c r="I2363" s="2" t="n">
        <f aca="false">IF(AND(ISNUMBER(B2363),B2363&lt;=25),2,0)+IF(AND(ISNUMBER(E2363),E2363&lt;=5),2,0)+IF(AND(ISNUMBER(F2363),F2363&lt;=1),2,0)+IF(AND(ISNUMBER(G2363),G2363&lt;=2),1,0)+IF(AND(ISNUMBER(H2363),H2363&lt;=2),1,0)</f>
        <v>1</v>
      </c>
      <c r="J2363" s="2" t="str">
        <f aca="false">IF(I2363&gt;=6,"High",IF(I2363&gt;=3,"Medium","Low"))</f>
        <v>Low</v>
      </c>
    </row>
    <row r="2364" customFormat="false" ht="15" hidden="false" customHeight="true" outlineLevel="0" collapsed="false">
      <c r="A2364" s="2" t="n">
        <f aca="false">'Raw Data'!H2364</f>
        <v>2363</v>
      </c>
      <c r="B2364" s="2" t="n">
        <f aca="false">'Raw Data'!A2364</f>
        <v>35</v>
      </c>
      <c r="C2364" s="2" t="str">
        <f aca="false">'Raw Data'!D2364</f>
        <v>Research &amp; Development</v>
      </c>
      <c r="D2364" s="2" t="str">
        <f aca="false">'Raw Data'!K2364</f>
        <v>Sales Executive</v>
      </c>
      <c r="E2364" s="2" t="n">
        <f aca="false">'Raw Data'!Q2364</f>
        <v>16</v>
      </c>
      <c r="F2364" s="2" t="n">
        <f aca="false">'Raw Data'!U2364</f>
        <v>10</v>
      </c>
      <c r="G2364" s="2" t="n">
        <f aca="false">'Raw Data'!W2364</f>
        <v>1</v>
      </c>
      <c r="H2364" s="2" t="n">
        <f aca="false">'Raw Data'!V2364</f>
        <v>2</v>
      </c>
      <c r="I2364" s="2" t="n">
        <f aca="false">IF(AND(ISNUMBER(B2364),B2364&lt;=25),2,0)+IF(AND(ISNUMBER(E2364),E2364&lt;=5),2,0)+IF(AND(ISNUMBER(F2364),F2364&lt;=1),2,0)+IF(AND(ISNUMBER(G2364),G2364&lt;=2),1,0)+IF(AND(ISNUMBER(H2364),H2364&lt;=2),1,0)</f>
        <v>2</v>
      </c>
      <c r="J2364" s="2" t="str">
        <f aca="false">IF(I2364&gt;=6,"High",IF(I2364&gt;=3,"Medium","Low"))</f>
        <v>Low</v>
      </c>
    </row>
    <row r="2365" customFormat="false" ht="15" hidden="false" customHeight="true" outlineLevel="0" collapsed="false">
      <c r="A2365" s="2" t="n">
        <f aca="false">'Raw Data'!H2365</f>
        <v>2364</v>
      </c>
      <c r="B2365" s="2" t="n">
        <f aca="false">'Raw Data'!A2365</f>
        <v>28</v>
      </c>
      <c r="C2365" s="2" t="str">
        <f aca="false">'Raw Data'!D2365</f>
        <v>Research &amp; Development</v>
      </c>
      <c r="D2365" s="2" t="str">
        <f aca="false">'Raw Data'!K2365</f>
        <v>Manufacturing Director</v>
      </c>
      <c r="E2365" s="2" t="n">
        <f aca="false">'Raw Data'!Q2365</f>
        <v>6</v>
      </c>
      <c r="F2365" s="2" t="n">
        <f aca="false">'Raw Data'!U2365</f>
        <v>0</v>
      </c>
      <c r="G2365" s="2" t="n">
        <f aca="false">'Raw Data'!W2365</f>
        <v>1</v>
      </c>
      <c r="H2365" s="2" t="n">
        <f aca="false">'Raw Data'!V2365</f>
        <v>2</v>
      </c>
      <c r="I2365" s="2" t="n">
        <f aca="false">IF(AND(ISNUMBER(B2365),B2365&lt;=25),2,0)+IF(AND(ISNUMBER(E2365),E2365&lt;=5),2,0)+IF(AND(ISNUMBER(F2365),F2365&lt;=1),2,0)+IF(AND(ISNUMBER(G2365),G2365&lt;=2),1,0)+IF(AND(ISNUMBER(H2365),H2365&lt;=2),1,0)</f>
        <v>4</v>
      </c>
      <c r="J2365" s="2" t="str">
        <f aca="false">IF(I2365&gt;=6,"High",IF(I2365&gt;=3,"Medium","Low"))</f>
        <v>Medium</v>
      </c>
    </row>
    <row r="2366" customFormat="false" ht="15" hidden="false" customHeight="true" outlineLevel="0" collapsed="false">
      <c r="A2366" s="2" t="n">
        <f aca="false">'Raw Data'!H2366</f>
        <v>2365</v>
      </c>
      <c r="B2366" s="2" t="n">
        <f aca="false">'Raw Data'!A2366</f>
        <v>21</v>
      </c>
      <c r="C2366" s="2" t="str">
        <f aca="false">'Raw Data'!D2366</f>
        <v>Research &amp; Development</v>
      </c>
      <c r="D2366" s="2" t="str">
        <f aca="false">'Raw Data'!K2366</f>
        <v>Laboratory Technician</v>
      </c>
      <c r="E2366" s="2" t="n">
        <f aca="false">'Raw Data'!Q2366</f>
        <v>3</v>
      </c>
      <c r="F2366" s="2" t="n">
        <f aca="false">'Raw Data'!U2366</f>
        <v>2</v>
      </c>
      <c r="G2366" s="2" t="n">
        <f aca="false">'Raw Data'!W2366</f>
        <v>4</v>
      </c>
      <c r="H2366" s="2" t="n">
        <f aca="false">'Raw Data'!V2366</f>
        <v>3</v>
      </c>
      <c r="I2366" s="2" t="n">
        <f aca="false">IF(AND(ISNUMBER(B2366),B2366&lt;=25),2,0)+IF(AND(ISNUMBER(E2366),E2366&lt;=5),2,0)+IF(AND(ISNUMBER(F2366),F2366&lt;=1),2,0)+IF(AND(ISNUMBER(G2366),G2366&lt;=2),1,0)+IF(AND(ISNUMBER(H2366),H2366&lt;=2),1,0)</f>
        <v>4</v>
      </c>
      <c r="J2366" s="2" t="str">
        <f aca="false">IF(I2366&gt;=6,"High",IF(I2366&gt;=3,"Medium","Low"))</f>
        <v>Medium</v>
      </c>
    </row>
    <row r="2367" customFormat="false" ht="15" hidden="false" customHeight="true" outlineLevel="0" collapsed="false">
      <c r="A2367" s="2" t="n">
        <f aca="false">'Raw Data'!H2367</f>
        <v>2366</v>
      </c>
      <c r="B2367" s="2" t="n">
        <f aca="false">'Raw Data'!A2367</f>
        <v>18</v>
      </c>
      <c r="C2367" s="2" t="str">
        <f aca="false">'Raw Data'!D2367</f>
        <v>Research &amp; Development</v>
      </c>
      <c r="D2367" s="2" t="str">
        <f aca="false">'Raw Data'!K2367</f>
        <v>Research Director</v>
      </c>
      <c r="E2367" s="2" t="n">
        <f aca="false">'Raw Data'!Q2367</f>
        <v>0</v>
      </c>
      <c r="F2367" s="2" t="n">
        <f aca="false">'Raw Data'!U2367</f>
        <v>0</v>
      </c>
      <c r="G2367" s="2" t="n">
        <f aca="false">'Raw Data'!W2367</f>
        <v>4</v>
      </c>
      <c r="H2367" s="2" t="n">
        <f aca="false">'Raw Data'!V2367</f>
        <v>2</v>
      </c>
      <c r="I2367" s="2" t="n">
        <f aca="false">IF(AND(ISNUMBER(B2367),B2367&lt;=25),2,0)+IF(AND(ISNUMBER(E2367),E2367&lt;=5),2,0)+IF(AND(ISNUMBER(F2367),F2367&lt;=1),2,0)+IF(AND(ISNUMBER(G2367),G2367&lt;=2),1,0)+IF(AND(ISNUMBER(H2367),H2367&lt;=2),1,0)</f>
        <v>7</v>
      </c>
      <c r="J2367" s="2" t="str">
        <f aca="false">IF(I2367&gt;=6,"High",IF(I2367&gt;=3,"Medium","Low"))</f>
        <v>High</v>
      </c>
    </row>
    <row r="2368" customFormat="false" ht="15" hidden="false" customHeight="true" outlineLevel="0" collapsed="false">
      <c r="A2368" s="2" t="n">
        <f aca="false">'Raw Data'!H2368</f>
        <v>2367</v>
      </c>
      <c r="B2368" s="2" t="n">
        <f aca="false">'Raw Data'!A2368</f>
        <v>47</v>
      </c>
      <c r="C2368" s="2" t="str">
        <f aca="false">'Raw Data'!D2368</f>
        <v>Research &amp; Development</v>
      </c>
      <c r="D2368" s="2" t="str">
        <f aca="false">'Raw Data'!K2368</f>
        <v>Research Scientist</v>
      </c>
      <c r="E2368" s="2" t="n">
        <f aca="false">'Raw Data'!Q2368</f>
        <v>27</v>
      </c>
      <c r="F2368" s="2" t="n">
        <f aca="false">'Raw Data'!U2368</f>
        <v>0</v>
      </c>
      <c r="G2368" s="2" t="n">
        <f aca="false">'Raw Data'!W2368</f>
        <v>3</v>
      </c>
      <c r="H2368" s="2" t="n">
        <f aca="false">'Raw Data'!V2368</f>
        <v>4</v>
      </c>
      <c r="I2368" s="2" t="n">
        <f aca="false">IF(AND(ISNUMBER(B2368),B2368&lt;=25),2,0)+IF(AND(ISNUMBER(E2368),E2368&lt;=5),2,0)+IF(AND(ISNUMBER(F2368),F2368&lt;=1),2,0)+IF(AND(ISNUMBER(G2368),G2368&lt;=2),1,0)+IF(AND(ISNUMBER(H2368),H2368&lt;=2),1,0)</f>
        <v>2</v>
      </c>
      <c r="J2368" s="2" t="str">
        <f aca="false">IF(I2368&gt;=6,"High",IF(I2368&gt;=3,"Medium","Low"))</f>
        <v>Low</v>
      </c>
    </row>
    <row r="2369" customFormat="false" ht="15" hidden="false" customHeight="true" outlineLevel="0" collapsed="false">
      <c r="A2369" s="2" t="n">
        <f aca="false">'Raw Data'!H2369</f>
        <v>2368</v>
      </c>
      <c r="B2369" s="2" t="n">
        <f aca="false">'Raw Data'!A2369</f>
        <v>39</v>
      </c>
      <c r="C2369" s="2" t="str">
        <f aca="false">'Raw Data'!D2369</f>
        <v>Sales</v>
      </c>
      <c r="D2369" s="2" t="str">
        <f aca="false">'Raw Data'!K2369</f>
        <v>Laboratory Technician</v>
      </c>
      <c r="E2369" s="2" t="n">
        <f aca="false">'Raw Data'!Q2369</f>
        <v>0</v>
      </c>
      <c r="F2369" s="2" t="n">
        <f aca="false">'Raw Data'!U2369</f>
        <v>7</v>
      </c>
      <c r="G2369" s="2" t="n">
        <f aca="false">'Raw Data'!W2369</f>
        <v>3</v>
      </c>
      <c r="H2369" s="2" t="n">
        <f aca="false">'Raw Data'!V2369</f>
        <v>3</v>
      </c>
      <c r="I2369" s="2" t="n">
        <f aca="false">IF(AND(ISNUMBER(B2369),B2369&lt;=25),2,0)+IF(AND(ISNUMBER(E2369),E2369&lt;=5),2,0)+IF(AND(ISNUMBER(F2369),F2369&lt;=1),2,0)+IF(AND(ISNUMBER(G2369),G2369&lt;=2),1,0)+IF(AND(ISNUMBER(H2369),H2369&lt;=2),1,0)</f>
        <v>0</v>
      </c>
      <c r="J2369" s="2" t="str">
        <f aca="false">IF(I2369&gt;=6,"High",IF(I2369&gt;=3,"Medium","Low"))</f>
        <v>Low</v>
      </c>
    </row>
    <row r="2370" customFormat="false" ht="15" hidden="false" customHeight="true" outlineLevel="0" collapsed="false">
      <c r="A2370" s="2" t="n">
        <f aca="false">'Raw Data'!H2370</f>
        <v>2369</v>
      </c>
      <c r="B2370" s="2" t="n">
        <f aca="false">'Raw Data'!A2370</f>
        <v>40</v>
      </c>
      <c r="C2370" s="2" t="str">
        <f aca="false">'Raw Data'!D2370</f>
        <v>Research &amp; Development</v>
      </c>
      <c r="D2370" s="2" t="str">
        <f aca="false">'Raw Data'!K2370</f>
        <v>Laboratory Technician</v>
      </c>
      <c r="E2370" s="2" t="n">
        <f aca="false">'Raw Data'!Q2370</f>
        <v>18</v>
      </c>
      <c r="F2370" s="2" t="n">
        <f aca="false">'Raw Data'!U2370</f>
        <v>12</v>
      </c>
      <c r="G2370" s="2" t="n">
        <f aca="false">'Raw Data'!W2370</f>
        <v>3</v>
      </c>
      <c r="H2370" s="2" t="n">
        <f aca="false">'Raw Data'!V2370</f>
        <v>1</v>
      </c>
      <c r="I2370" s="2" t="n">
        <f aca="false">IF(AND(ISNUMBER(B2370),B2370&lt;=25),2,0)+IF(AND(ISNUMBER(E2370),E2370&lt;=5),2,0)+IF(AND(ISNUMBER(F2370),F2370&lt;=1),2,0)+IF(AND(ISNUMBER(G2370),G2370&lt;=2),1,0)+IF(AND(ISNUMBER(H2370),H2370&lt;=2),1,0)</f>
        <v>1</v>
      </c>
      <c r="J2370" s="2" t="str">
        <f aca="false">IF(I2370&gt;=6,"High",IF(I2370&gt;=3,"Medium","Low"))</f>
        <v>Low</v>
      </c>
    </row>
    <row r="2371" customFormat="false" ht="15" hidden="false" customHeight="true" outlineLevel="0" collapsed="false">
      <c r="A2371" s="2" t="n">
        <f aca="false">'Raw Data'!H2371</f>
        <v>2370</v>
      </c>
      <c r="B2371" s="2" t="n">
        <f aca="false">'Raw Data'!A2371</f>
        <v>35</v>
      </c>
      <c r="C2371" s="2" t="str">
        <f aca="false">'Raw Data'!D2371</f>
        <v>Research &amp; Development</v>
      </c>
      <c r="D2371" s="2" t="str">
        <f aca="false">'Raw Data'!K2371</f>
        <v>Sales Executive</v>
      </c>
      <c r="E2371" s="2" t="n">
        <f aca="false">'Raw Data'!Q2371</f>
        <v>15</v>
      </c>
      <c r="F2371" s="2" t="n">
        <f aca="false">'Raw Data'!U2371</f>
        <v>9</v>
      </c>
      <c r="G2371" s="2" t="n">
        <f aca="false">'Raw Data'!W2371</f>
        <v>3</v>
      </c>
      <c r="H2371" s="2" t="n">
        <f aca="false">'Raw Data'!V2371</f>
        <v>3</v>
      </c>
      <c r="I2371" s="2" t="n">
        <f aca="false">IF(AND(ISNUMBER(B2371),B2371&lt;=25),2,0)+IF(AND(ISNUMBER(E2371),E2371&lt;=5),2,0)+IF(AND(ISNUMBER(F2371),F2371&lt;=1),2,0)+IF(AND(ISNUMBER(G2371),G2371&lt;=2),1,0)+IF(AND(ISNUMBER(H2371),H2371&lt;=2),1,0)</f>
        <v>0</v>
      </c>
      <c r="J2371" s="2" t="str">
        <f aca="false">IF(I2371&gt;=6,"High",IF(I2371&gt;=3,"Medium","Low"))</f>
        <v>Low</v>
      </c>
    </row>
    <row r="2372" customFormat="false" ht="15" hidden="false" customHeight="true" outlineLevel="0" collapsed="false">
      <c r="A2372" s="2" t="n">
        <f aca="false">'Raw Data'!H2372</f>
        <v>2371</v>
      </c>
      <c r="B2372" s="2" t="n">
        <f aca="false">'Raw Data'!A2372</f>
        <v>37</v>
      </c>
      <c r="C2372" s="2" t="str">
        <f aca="false">'Raw Data'!D2372</f>
        <v>Research &amp; Development</v>
      </c>
      <c r="D2372" s="2" t="str">
        <f aca="false">'Raw Data'!K2372</f>
        <v>Laboratory Technician</v>
      </c>
      <c r="E2372" s="2" t="n">
        <f aca="false">'Raw Data'!Q2372</f>
        <v>9</v>
      </c>
      <c r="F2372" s="2" t="n">
        <f aca="false">'Raw Data'!U2372</f>
        <v>2</v>
      </c>
      <c r="G2372" s="2" t="n">
        <f aca="false">'Raw Data'!W2372</f>
        <v>3</v>
      </c>
      <c r="H2372" s="2" t="n">
        <f aca="false">'Raw Data'!V2372</f>
        <v>3</v>
      </c>
      <c r="I2372" s="2" t="n">
        <f aca="false">IF(AND(ISNUMBER(B2372),B2372&lt;=25),2,0)+IF(AND(ISNUMBER(E2372),E2372&lt;=5),2,0)+IF(AND(ISNUMBER(F2372),F2372&lt;=1),2,0)+IF(AND(ISNUMBER(G2372),G2372&lt;=2),1,0)+IF(AND(ISNUMBER(H2372),H2372&lt;=2),1,0)</f>
        <v>0</v>
      </c>
      <c r="J2372" s="2" t="str">
        <f aca="false">IF(I2372&gt;=6,"High",IF(I2372&gt;=3,"Medium","Low"))</f>
        <v>Low</v>
      </c>
    </row>
    <row r="2373" customFormat="false" ht="15" hidden="false" customHeight="true" outlineLevel="0" collapsed="false">
      <c r="A2373" s="2" t="n">
        <f aca="false">'Raw Data'!H2373</f>
        <v>2372</v>
      </c>
      <c r="B2373" s="2" t="n">
        <f aca="false">'Raw Data'!A2373</f>
        <v>39</v>
      </c>
      <c r="C2373" s="2" t="str">
        <f aca="false">'Raw Data'!D2373</f>
        <v>Research &amp; Development</v>
      </c>
      <c r="D2373" s="2" t="str">
        <f aca="false">'Raw Data'!K2373</f>
        <v>Manager</v>
      </c>
      <c r="E2373" s="2" t="n">
        <f aca="false">'Raw Data'!Q2373</f>
        <v>10</v>
      </c>
      <c r="F2373" s="2" t="n">
        <f aca="false">'Raw Data'!U2373</f>
        <v>8</v>
      </c>
      <c r="G2373" s="2" t="n">
        <f aca="false">'Raw Data'!W2373</f>
        <v>3</v>
      </c>
      <c r="H2373" s="2" t="n">
        <f aca="false">'Raw Data'!V2373</f>
        <v>1</v>
      </c>
      <c r="I2373" s="2" t="n">
        <f aca="false">IF(AND(ISNUMBER(B2373),B2373&lt;=25),2,0)+IF(AND(ISNUMBER(E2373),E2373&lt;=5),2,0)+IF(AND(ISNUMBER(F2373),F2373&lt;=1),2,0)+IF(AND(ISNUMBER(G2373),G2373&lt;=2),1,0)+IF(AND(ISNUMBER(H2373),H2373&lt;=2),1,0)</f>
        <v>1</v>
      </c>
      <c r="J2373" s="2" t="str">
        <f aca="false">IF(I2373&gt;=6,"High",IF(I2373&gt;=3,"Medium","Low"))</f>
        <v>Low</v>
      </c>
    </row>
    <row r="2374" customFormat="false" ht="15" hidden="false" customHeight="true" outlineLevel="0" collapsed="false">
      <c r="A2374" s="2" t="n">
        <f aca="false">'Raw Data'!H2374</f>
        <v>2373</v>
      </c>
      <c r="B2374" s="2" t="n">
        <f aca="false">'Raw Data'!A2374</f>
        <v>45</v>
      </c>
      <c r="C2374" s="2" t="str">
        <f aca="false">'Raw Data'!D2374</f>
        <v>Research &amp; Development</v>
      </c>
      <c r="D2374" s="2" t="str">
        <f aca="false">'Raw Data'!K2374</f>
        <v>Laboratory Technician</v>
      </c>
      <c r="E2374" s="2" t="n">
        <f aca="false">'Raw Data'!Q2374</f>
        <v>10</v>
      </c>
      <c r="F2374" s="2" t="n">
        <f aca="false">'Raw Data'!U2374</f>
        <v>9</v>
      </c>
      <c r="G2374" s="2" t="n">
        <f aca="false">'Raw Data'!W2374</f>
        <v>4</v>
      </c>
      <c r="H2374" s="2" t="n">
        <f aca="false">'Raw Data'!V2374</f>
        <v>4</v>
      </c>
      <c r="I2374" s="2" t="n">
        <f aca="false">IF(AND(ISNUMBER(B2374),B2374&lt;=25),2,0)+IF(AND(ISNUMBER(E2374),E2374&lt;=5),2,0)+IF(AND(ISNUMBER(F2374),F2374&lt;=1),2,0)+IF(AND(ISNUMBER(G2374),G2374&lt;=2),1,0)+IF(AND(ISNUMBER(H2374),H2374&lt;=2),1,0)</f>
        <v>0</v>
      </c>
      <c r="J2374" s="2" t="str">
        <f aca="false">IF(I2374&gt;=6,"High",IF(I2374&gt;=3,"Medium","Low"))</f>
        <v>Low</v>
      </c>
    </row>
    <row r="2375" customFormat="false" ht="15" hidden="false" customHeight="true" outlineLevel="0" collapsed="false">
      <c r="A2375" s="2" t="n">
        <f aca="false">'Raw Data'!H2375</f>
        <v>2374</v>
      </c>
      <c r="B2375" s="2" t="n">
        <f aca="false">'Raw Data'!A2375</f>
        <v>38</v>
      </c>
      <c r="C2375" s="2" t="str">
        <f aca="false">'Raw Data'!D2375</f>
        <v>Research &amp; Development</v>
      </c>
      <c r="D2375" s="2" t="str">
        <f aca="false">'Raw Data'!K2375</f>
        <v>Sales Executive</v>
      </c>
      <c r="E2375" s="2" t="n">
        <f aca="false">'Raw Data'!Q2375</f>
        <v>10</v>
      </c>
      <c r="F2375" s="2" t="n">
        <f aca="false">'Raw Data'!U2375</f>
        <v>2</v>
      </c>
      <c r="G2375" s="2" t="n">
        <f aca="false">'Raw Data'!W2375</f>
        <v>3</v>
      </c>
      <c r="H2375" s="2" t="n">
        <f aca="false">'Raw Data'!V2375</f>
        <v>4</v>
      </c>
      <c r="I2375" s="2" t="n">
        <f aca="false">IF(AND(ISNUMBER(B2375),B2375&lt;=25),2,0)+IF(AND(ISNUMBER(E2375),E2375&lt;=5),2,0)+IF(AND(ISNUMBER(F2375),F2375&lt;=1),2,0)+IF(AND(ISNUMBER(G2375),G2375&lt;=2),1,0)+IF(AND(ISNUMBER(H2375),H2375&lt;=2),1,0)</f>
        <v>0</v>
      </c>
      <c r="J2375" s="2" t="str">
        <f aca="false">IF(I2375&gt;=6,"High",IF(I2375&gt;=3,"Medium","Low"))</f>
        <v>Low</v>
      </c>
    </row>
    <row r="2376" customFormat="false" ht="15" hidden="false" customHeight="true" outlineLevel="0" collapsed="false">
      <c r="A2376" s="2" t="n">
        <f aca="false">'Raw Data'!H2376</f>
        <v>2375</v>
      </c>
      <c r="B2376" s="2" t="n">
        <f aca="false">'Raw Data'!A2376</f>
        <v>35</v>
      </c>
      <c r="C2376" s="2" t="str">
        <f aca="false">'Raw Data'!D2376</f>
        <v>Research &amp; Development</v>
      </c>
      <c r="D2376" s="2" t="str">
        <f aca="false">'Raw Data'!K2376</f>
        <v>Healthcare Representative</v>
      </c>
      <c r="E2376" s="2" t="n">
        <f aca="false">'Raw Data'!Q2376</f>
        <v>15</v>
      </c>
      <c r="F2376" s="2" t="n">
        <f aca="false">'Raw Data'!U2376</f>
        <v>0</v>
      </c>
      <c r="G2376" s="2" t="n">
        <f aca="false">'Raw Data'!W2376</f>
        <v>1</v>
      </c>
      <c r="H2376" s="2" t="n">
        <f aca="false">'Raw Data'!V2376</f>
        <v>4</v>
      </c>
      <c r="I2376" s="2" t="n">
        <f aca="false">IF(AND(ISNUMBER(B2376),B2376&lt;=25),2,0)+IF(AND(ISNUMBER(E2376),E2376&lt;=5),2,0)+IF(AND(ISNUMBER(F2376),F2376&lt;=1),2,0)+IF(AND(ISNUMBER(G2376),G2376&lt;=2),1,0)+IF(AND(ISNUMBER(H2376),H2376&lt;=2),1,0)</f>
        <v>3</v>
      </c>
      <c r="J2376" s="2" t="str">
        <f aca="false">IF(I2376&gt;=6,"High",IF(I2376&gt;=3,"Medium","Low"))</f>
        <v>Medium</v>
      </c>
    </row>
    <row r="2377" customFormat="false" ht="15" hidden="false" customHeight="true" outlineLevel="0" collapsed="false">
      <c r="A2377" s="2" t="n">
        <f aca="false">'Raw Data'!H2377</f>
        <v>2376</v>
      </c>
      <c r="B2377" s="2" t="n">
        <f aca="false">'Raw Data'!A2377</f>
        <v>37</v>
      </c>
      <c r="C2377" s="2" t="str">
        <f aca="false">'Raw Data'!D2377</f>
        <v>Research &amp; Development</v>
      </c>
      <c r="D2377" s="2" t="str">
        <f aca="false">'Raw Data'!K2377</f>
        <v>Healthcare Representative</v>
      </c>
      <c r="E2377" s="2" t="n">
        <f aca="false">'Raw Data'!Q2377</f>
        <v>8</v>
      </c>
      <c r="F2377" s="2" t="n">
        <f aca="false">'Raw Data'!U2377</f>
        <v>7</v>
      </c>
      <c r="G2377" s="2" t="n">
        <f aca="false">'Raw Data'!W2377</f>
        <v>2</v>
      </c>
      <c r="H2377" s="2" t="n">
        <f aca="false">'Raw Data'!V2377</f>
        <v>2</v>
      </c>
      <c r="I2377" s="2" t="n">
        <f aca="false">IF(AND(ISNUMBER(B2377),B2377&lt;=25),2,0)+IF(AND(ISNUMBER(E2377),E2377&lt;=5),2,0)+IF(AND(ISNUMBER(F2377),F2377&lt;=1),2,0)+IF(AND(ISNUMBER(G2377),G2377&lt;=2),1,0)+IF(AND(ISNUMBER(H2377),H2377&lt;=2),1,0)</f>
        <v>2</v>
      </c>
      <c r="J2377" s="2" t="str">
        <f aca="false">IF(I2377&gt;=6,"High",IF(I2377&gt;=3,"Medium","Low"))</f>
        <v>Low</v>
      </c>
    </row>
    <row r="2378" customFormat="false" ht="15" hidden="false" customHeight="true" outlineLevel="0" collapsed="false">
      <c r="A2378" s="2" t="n">
        <f aca="false">'Raw Data'!H2378</f>
        <v>2377</v>
      </c>
      <c r="B2378" s="2" t="n">
        <f aca="false">'Raw Data'!A2378</f>
        <v>40</v>
      </c>
      <c r="C2378" s="2" t="str">
        <f aca="false">'Raw Data'!D2378</f>
        <v>Research &amp; Development</v>
      </c>
      <c r="D2378" s="2" t="str">
        <f aca="false">'Raw Data'!K2378</f>
        <v>Healthcare Representative</v>
      </c>
      <c r="E2378" s="2" t="n">
        <f aca="false">'Raw Data'!Q2378</f>
        <v>18</v>
      </c>
      <c r="F2378" s="2" t="n">
        <f aca="false">'Raw Data'!U2378</f>
        <v>3</v>
      </c>
      <c r="G2378" s="2" t="n">
        <f aca="false">'Raw Data'!W2378</f>
        <v>4</v>
      </c>
      <c r="H2378" s="2" t="n">
        <f aca="false">'Raw Data'!V2378</f>
        <v>3</v>
      </c>
      <c r="I2378" s="2" t="n">
        <f aca="false">IF(AND(ISNUMBER(B2378),B2378&lt;=25),2,0)+IF(AND(ISNUMBER(E2378),E2378&lt;=5),2,0)+IF(AND(ISNUMBER(F2378),F2378&lt;=1),2,0)+IF(AND(ISNUMBER(G2378),G2378&lt;=2),1,0)+IF(AND(ISNUMBER(H2378),H2378&lt;=2),1,0)</f>
        <v>0</v>
      </c>
      <c r="J2378" s="2" t="str">
        <f aca="false">IF(I2378&gt;=6,"High",IF(I2378&gt;=3,"Medium","Low"))</f>
        <v>Low</v>
      </c>
    </row>
    <row r="2379" customFormat="false" ht="15" hidden="false" customHeight="true" outlineLevel="0" collapsed="false">
      <c r="A2379" s="2" t="n">
        <f aca="false">'Raw Data'!H2379</f>
        <v>2378</v>
      </c>
      <c r="B2379" s="2" t="n">
        <f aca="false">'Raw Data'!A2379</f>
        <v>44</v>
      </c>
      <c r="C2379" s="2" t="str">
        <f aca="false">'Raw Data'!D2379</f>
        <v>Sales</v>
      </c>
      <c r="D2379" s="2" t="str">
        <f aca="false">'Raw Data'!K2379</f>
        <v>Laboratory Technician</v>
      </c>
      <c r="E2379" s="2" t="n">
        <f aca="false">'Raw Data'!Q2379</f>
        <v>14</v>
      </c>
      <c r="F2379" s="2" t="n">
        <f aca="false">'Raw Data'!U2379</f>
        <v>2</v>
      </c>
      <c r="G2379" s="2" t="n">
        <f aca="false">'Raw Data'!W2379</f>
        <v>4</v>
      </c>
      <c r="H2379" s="2" t="n">
        <f aca="false">'Raw Data'!V2379</f>
        <v>1</v>
      </c>
      <c r="I2379" s="2" t="n">
        <f aca="false">IF(AND(ISNUMBER(B2379),B2379&lt;=25),2,0)+IF(AND(ISNUMBER(E2379),E2379&lt;=5),2,0)+IF(AND(ISNUMBER(F2379),F2379&lt;=1),2,0)+IF(AND(ISNUMBER(G2379),G2379&lt;=2),1,0)+IF(AND(ISNUMBER(H2379),H2379&lt;=2),1,0)</f>
        <v>1</v>
      </c>
      <c r="J2379" s="2" t="str">
        <f aca="false">IF(I2379&gt;=6,"High",IF(I2379&gt;=3,"Medium","Low"))</f>
        <v>Low</v>
      </c>
    </row>
    <row r="2380" customFormat="false" ht="15" hidden="false" customHeight="true" outlineLevel="0" collapsed="false">
      <c r="A2380" s="2" t="n">
        <f aca="false">'Raw Data'!H2380</f>
        <v>2379</v>
      </c>
      <c r="B2380" s="2" t="n">
        <f aca="false">'Raw Data'!A2380</f>
        <v>48</v>
      </c>
      <c r="C2380" s="2" t="str">
        <f aca="false">'Raw Data'!D2380</f>
        <v>Sales</v>
      </c>
      <c r="D2380" s="2" t="str">
        <f aca="false">'Raw Data'!K2380</f>
        <v>Manager</v>
      </c>
      <c r="E2380" s="2" t="n">
        <f aca="false">'Raw Data'!Q2380</f>
        <v>23</v>
      </c>
      <c r="F2380" s="2" t="n">
        <f aca="false">'Raw Data'!U2380</f>
        <v>2</v>
      </c>
      <c r="G2380" s="2" t="n">
        <f aca="false">'Raw Data'!W2380</f>
        <v>4</v>
      </c>
      <c r="H2380" s="2" t="n">
        <f aca="false">'Raw Data'!V2380</f>
        <v>3</v>
      </c>
      <c r="I2380" s="2" t="n">
        <f aca="false">IF(AND(ISNUMBER(B2380),B2380&lt;=25),2,0)+IF(AND(ISNUMBER(E2380),E2380&lt;=5),2,0)+IF(AND(ISNUMBER(F2380),F2380&lt;=1),2,0)+IF(AND(ISNUMBER(G2380),G2380&lt;=2),1,0)+IF(AND(ISNUMBER(H2380),H2380&lt;=2),1,0)</f>
        <v>0</v>
      </c>
      <c r="J2380" s="2" t="str">
        <f aca="false">IF(I2380&gt;=6,"High",IF(I2380&gt;=3,"Medium","Low"))</f>
        <v>Low</v>
      </c>
    </row>
    <row r="2381" customFormat="false" ht="15" hidden="false" customHeight="true" outlineLevel="0" collapsed="false">
      <c r="A2381" s="2" t="n">
        <f aca="false">'Raw Data'!H2381</f>
        <v>2380</v>
      </c>
      <c r="B2381" s="2" t="n">
        <f aca="false">'Raw Data'!A2381</f>
        <v>35</v>
      </c>
      <c r="C2381" s="2" t="str">
        <f aca="false">'Raw Data'!D2381</f>
        <v>Research &amp; Development</v>
      </c>
      <c r="D2381" s="2" t="str">
        <f aca="false">'Raw Data'!K2381</f>
        <v>Manager</v>
      </c>
      <c r="E2381" s="2" t="n">
        <f aca="false">'Raw Data'!Q2381</f>
        <v>7</v>
      </c>
      <c r="F2381" s="2" t="n">
        <f aca="false">'Raw Data'!U2381</f>
        <v>2</v>
      </c>
      <c r="G2381" s="2" t="n">
        <f aca="false">'Raw Data'!W2381</f>
        <v>4</v>
      </c>
      <c r="H2381" s="2" t="n">
        <f aca="false">'Raw Data'!V2381</f>
        <v>0</v>
      </c>
      <c r="I2381" s="2" t="n">
        <f aca="false">IF(AND(ISNUMBER(B2381),B2381&lt;=25),2,0)+IF(AND(ISNUMBER(E2381),E2381&lt;=5),2,0)+IF(AND(ISNUMBER(F2381),F2381&lt;=1),2,0)+IF(AND(ISNUMBER(G2381),G2381&lt;=2),1,0)+IF(AND(ISNUMBER(H2381),H2381&lt;=2),1,0)</f>
        <v>0</v>
      </c>
      <c r="J2381" s="2" t="str">
        <f aca="false">IF(I2381&gt;=6,"High",IF(I2381&gt;=3,"Medium","Low"))</f>
        <v>Low</v>
      </c>
    </row>
    <row r="2382" customFormat="false" ht="15" hidden="false" customHeight="true" outlineLevel="0" collapsed="false">
      <c r="A2382" s="2" t="n">
        <f aca="false">'Raw Data'!H2382</f>
        <v>2381</v>
      </c>
      <c r="B2382" s="2" t="n">
        <f aca="false">'Raw Data'!A2382</f>
        <v>24</v>
      </c>
      <c r="C2382" s="2" t="str">
        <f aca="false">'Raw Data'!D2382</f>
        <v>Research &amp; Development</v>
      </c>
      <c r="D2382" s="2" t="str">
        <f aca="false">'Raw Data'!K2382</f>
        <v>Research Scientist</v>
      </c>
      <c r="E2382" s="2" t="n">
        <f aca="false">'Raw Data'!Q2382</f>
        <v>6</v>
      </c>
      <c r="F2382" s="2" t="n">
        <f aca="false">'Raw Data'!U2382</f>
        <v>3</v>
      </c>
      <c r="G2382" s="2" t="n">
        <f aca="false">'Raw Data'!W2382</f>
        <v>4</v>
      </c>
      <c r="H2382" s="2" t="n">
        <f aca="false">'Raw Data'!V2382</f>
        <v>1</v>
      </c>
      <c r="I2382" s="2" t="n">
        <f aca="false">IF(AND(ISNUMBER(B2382),B2382&lt;=25),2,0)+IF(AND(ISNUMBER(E2382),E2382&lt;=5),2,0)+IF(AND(ISNUMBER(F2382),F2382&lt;=1),2,0)+IF(AND(ISNUMBER(G2382),G2382&lt;=2),1,0)+IF(AND(ISNUMBER(H2382),H2382&lt;=2),1,0)</f>
        <v>3</v>
      </c>
      <c r="J2382" s="2" t="str">
        <f aca="false">IF(I2382&gt;=6,"High",IF(I2382&gt;=3,"Medium","Low"))</f>
        <v>Medium</v>
      </c>
    </row>
    <row r="2383" customFormat="false" ht="15" hidden="false" customHeight="true" outlineLevel="0" collapsed="false">
      <c r="A2383" s="2" t="n">
        <f aca="false">'Raw Data'!H2383</f>
        <v>2382</v>
      </c>
      <c r="B2383" s="2" t="n">
        <f aca="false">'Raw Data'!A2383</f>
        <v>27</v>
      </c>
      <c r="C2383" s="2" t="str">
        <f aca="false">'Raw Data'!D2383</f>
        <v>Sales</v>
      </c>
      <c r="D2383" s="2" t="str">
        <f aca="false">'Raw Data'!K2383</f>
        <v>Sales Executive</v>
      </c>
      <c r="E2383" s="2" t="n">
        <f aca="false">'Raw Data'!Q2383</f>
        <v>5</v>
      </c>
      <c r="F2383" s="2" t="n">
        <f aca="false">'Raw Data'!U2383</f>
        <v>2</v>
      </c>
      <c r="G2383" s="2" t="n">
        <f aca="false">'Raw Data'!W2383</f>
        <v>3</v>
      </c>
      <c r="H2383" s="2" t="n">
        <f aca="false">'Raw Data'!V2383</f>
        <v>2</v>
      </c>
      <c r="I2383" s="2" t="n">
        <f aca="false">IF(AND(ISNUMBER(B2383),B2383&lt;=25),2,0)+IF(AND(ISNUMBER(E2383),E2383&lt;=5),2,0)+IF(AND(ISNUMBER(F2383),F2383&lt;=1),2,0)+IF(AND(ISNUMBER(G2383),G2383&lt;=2),1,0)+IF(AND(ISNUMBER(H2383),H2383&lt;=2),1,0)</f>
        <v>3</v>
      </c>
      <c r="J2383" s="2" t="str">
        <f aca="false">IF(I2383&gt;=6,"High",IF(I2383&gt;=3,"Medium","Low"))</f>
        <v>Medium</v>
      </c>
    </row>
    <row r="2384" customFormat="false" ht="15" hidden="false" customHeight="true" outlineLevel="0" collapsed="false">
      <c r="A2384" s="2" t="n">
        <f aca="false">'Raw Data'!H2384</f>
        <v>2383</v>
      </c>
      <c r="B2384" s="2" t="n">
        <f aca="false">'Raw Data'!A2384</f>
        <v>27</v>
      </c>
      <c r="C2384" s="2" t="str">
        <f aca="false">'Raw Data'!D2384</f>
        <v>Research &amp; Development</v>
      </c>
      <c r="D2384" s="2" t="str">
        <f aca="false">'Raw Data'!K2384</f>
        <v>Research Scientist</v>
      </c>
      <c r="E2384" s="2" t="n">
        <f aca="false">'Raw Data'!Q2384</f>
        <v>6</v>
      </c>
      <c r="F2384" s="2" t="n">
        <f aca="false">'Raw Data'!U2384</f>
        <v>2</v>
      </c>
      <c r="G2384" s="2" t="n">
        <f aca="false">'Raw Data'!W2384</f>
        <v>4</v>
      </c>
      <c r="H2384" s="2" t="n">
        <f aca="false">'Raw Data'!V2384</f>
        <v>4</v>
      </c>
      <c r="I2384" s="2" t="n">
        <f aca="false">IF(AND(ISNUMBER(B2384),B2384&lt;=25),2,0)+IF(AND(ISNUMBER(E2384),E2384&lt;=5),2,0)+IF(AND(ISNUMBER(F2384),F2384&lt;=1),2,0)+IF(AND(ISNUMBER(G2384),G2384&lt;=2),1,0)+IF(AND(ISNUMBER(H2384),H2384&lt;=2),1,0)</f>
        <v>0</v>
      </c>
      <c r="J2384" s="2" t="str">
        <f aca="false">IF(I2384&gt;=6,"High",IF(I2384&gt;=3,"Medium","Low"))</f>
        <v>Low</v>
      </c>
    </row>
    <row r="2385" customFormat="false" ht="15" hidden="false" customHeight="true" outlineLevel="0" collapsed="false">
      <c r="A2385" s="2" t="n">
        <f aca="false">'Raw Data'!H2385</f>
        <v>2384</v>
      </c>
      <c r="B2385" s="2" t="n">
        <f aca="false">'Raw Data'!A2385</f>
        <v>40</v>
      </c>
      <c r="C2385" s="2" t="str">
        <f aca="false">'Raw Data'!D2385</f>
        <v>Sales</v>
      </c>
      <c r="D2385" s="2" t="str">
        <f aca="false">'Raw Data'!K2385</f>
        <v>Research Director</v>
      </c>
      <c r="E2385" s="2" t="n">
        <f aca="false">'Raw Data'!Q2385</f>
        <v>10</v>
      </c>
      <c r="F2385" s="2" t="n">
        <f aca="false">'Raw Data'!U2385</f>
        <v>3</v>
      </c>
      <c r="G2385" s="2" t="n">
        <f aca="false">'Raw Data'!W2385</f>
        <v>1</v>
      </c>
      <c r="H2385" s="2" t="n">
        <f aca="false">'Raw Data'!V2385</f>
        <v>1</v>
      </c>
      <c r="I2385" s="2" t="n">
        <f aca="false">IF(AND(ISNUMBER(B2385),B2385&lt;=25),2,0)+IF(AND(ISNUMBER(E2385),E2385&lt;=5),2,0)+IF(AND(ISNUMBER(F2385),F2385&lt;=1),2,0)+IF(AND(ISNUMBER(G2385),G2385&lt;=2),1,0)+IF(AND(ISNUMBER(H2385),H2385&lt;=2),1,0)</f>
        <v>2</v>
      </c>
      <c r="J2385" s="2" t="str">
        <f aca="false">IF(I2385&gt;=6,"High",IF(I2385&gt;=3,"Medium","Low"))</f>
        <v>Low</v>
      </c>
    </row>
    <row r="2386" customFormat="false" ht="15" hidden="false" customHeight="true" outlineLevel="0" collapsed="false">
      <c r="A2386" s="2" t="n">
        <f aca="false">'Raw Data'!H2386</f>
        <v>2385</v>
      </c>
      <c r="B2386" s="2" t="n">
        <f aca="false">'Raw Data'!A2386</f>
        <v>29</v>
      </c>
      <c r="C2386" s="2" t="str">
        <f aca="false">'Raw Data'!D2386</f>
        <v>Research &amp; Development</v>
      </c>
      <c r="D2386" s="2" t="str">
        <f aca="false">'Raw Data'!K2386</f>
        <v>Manager</v>
      </c>
      <c r="E2386" s="2" t="n">
        <f aca="false">'Raw Data'!Q2386</f>
        <v>8</v>
      </c>
      <c r="F2386" s="2" t="n">
        <f aca="false">'Raw Data'!U2386</f>
        <v>4</v>
      </c>
      <c r="G2386" s="2" t="n">
        <f aca="false">'Raw Data'!W2386</f>
        <v>3</v>
      </c>
      <c r="H2386" s="2" t="n">
        <f aca="false">'Raw Data'!V2386</f>
        <v>3</v>
      </c>
      <c r="I2386" s="2" t="n">
        <f aca="false">IF(AND(ISNUMBER(B2386),B2386&lt;=25),2,0)+IF(AND(ISNUMBER(E2386),E2386&lt;=5),2,0)+IF(AND(ISNUMBER(F2386),F2386&lt;=1),2,0)+IF(AND(ISNUMBER(G2386),G2386&lt;=2),1,0)+IF(AND(ISNUMBER(H2386),H2386&lt;=2),1,0)</f>
        <v>0</v>
      </c>
      <c r="J2386" s="2" t="str">
        <f aca="false">IF(I2386&gt;=6,"High",IF(I2386&gt;=3,"Medium","Low"))</f>
        <v>Low</v>
      </c>
    </row>
    <row r="2387" customFormat="false" ht="15" hidden="false" customHeight="true" outlineLevel="0" collapsed="false">
      <c r="A2387" s="2" t="n">
        <f aca="false">'Raw Data'!H2387</f>
        <v>2386</v>
      </c>
      <c r="B2387" s="2" t="n">
        <f aca="false">'Raw Data'!A2387</f>
        <v>36</v>
      </c>
      <c r="C2387" s="2" t="str">
        <f aca="false">'Raw Data'!D2387</f>
        <v>Research &amp; Development</v>
      </c>
      <c r="D2387" s="2" t="str">
        <f aca="false">'Raw Data'!K2387</f>
        <v>Sales Executive</v>
      </c>
      <c r="E2387" s="2" t="n">
        <f aca="false">'Raw Data'!Q2387</f>
        <v>9</v>
      </c>
      <c r="F2387" s="2" t="n">
        <f aca="false">'Raw Data'!U2387</f>
        <v>2</v>
      </c>
      <c r="G2387" s="2" t="n">
        <f aca="false">'Raw Data'!W2387</f>
        <v>1</v>
      </c>
      <c r="H2387" s="2" t="n">
        <f aca="false">'Raw Data'!V2387</f>
        <v>2</v>
      </c>
      <c r="I2387" s="2" t="n">
        <f aca="false">IF(AND(ISNUMBER(B2387),B2387&lt;=25),2,0)+IF(AND(ISNUMBER(E2387),E2387&lt;=5),2,0)+IF(AND(ISNUMBER(F2387),F2387&lt;=1),2,0)+IF(AND(ISNUMBER(G2387),G2387&lt;=2),1,0)+IF(AND(ISNUMBER(H2387),H2387&lt;=2),1,0)</f>
        <v>2</v>
      </c>
      <c r="J2387" s="2" t="str">
        <f aca="false">IF(I2387&gt;=6,"High",IF(I2387&gt;=3,"Medium","Low"))</f>
        <v>Low</v>
      </c>
    </row>
    <row r="2388" customFormat="false" ht="15" hidden="false" customHeight="true" outlineLevel="0" collapsed="false">
      <c r="A2388" s="2" t="n">
        <f aca="false">'Raw Data'!H2388</f>
        <v>2387</v>
      </c>
      <c r="B2388" s="2" t="n">
        <f aca="false">'Raw Data'!A2388</f>
        <v>25</v>
      </c>
      <c r="C2388" s="2" t="str">
        <f aca="false">'Raw Data'!D2388</f>
        <v>Sales</v>
      </c>
      <c r="D2388" s="2" t="str">
        <f aca="false">'Raw Data'!K2388</f>
        <v>Manufacturing Director</v>
      </c>
      <c r="E2388" s="2" t="n">
        <f aca="false">'Raw Data'!Q2388</f>
        <v>7</v>
      </c>
      <c r="F2388" s="2" t="n">
        <f aca="false">'Raw Data'!U2388</f>
        <v>7</v>
      </c>
      <c r="G2388" s="2" t="n">
        <f aca="false">'Raw Data'!W2388</f>
        <v>3</v>
      </c>
      <c r="H2388" s="2" t="n">
        <f aca="false">'Raw Data'!V2388</f>
        <v>4</v>
      </c>
      <c r="I2388" s="2" t="n">
        <f aca="false">IF(AND(ISNUMBER(B2388),B2388&lt;=25),2,0)+IF(AND(ISNUMBER(E2388),E2388&lt;=5),2,0)+IF(AND(ISNUMBER(F2388),F2388&lt;=1),2,0)+IF(AND(ISNUMBER(G2388),G2388&lt;=2),1,0)+IF(AND(ISNUMBER(H2388),H2388&lt;=2),1,0)</f>
        <v>2</v>
      </c>
      <c r="J2388" s="2" t="str">
        <f aca="false">IF(I2388&gt;=6,"High",IF(I2388&gt;=3,"Medium","Low"))</f>
        <v>Low</v>
      </c>
    </row>
    <row r="2389" customFormat="false" ht="15" hidden="false" customHeight="true" outlineLevel="0" collapsed="false">
      <c r="A2389" s="2" t="n">
        <f aca="false">'Raw Data'!H2389</f>
        <v>2388</v>
      </c>
      <c r="B2389" s="2" t="n">
        <f aca="false">'Raw Data'!A2389</f>
        <v>39</v>
      </c>
      <c r="C2389" s="2" t="str">
        <f aca="false">'Raw Data'!D2389</f>
        <v>Sales</v>
      </c>
      <c r="D2389" s="2" t="str">
        <f aca="false">'Raw Data'!K2389</f>
        <v>Research Director</v>
      </c>
      <c r="E2389" s="2" t="n">
        <f aca="false">'Raw Data'!Q2389</f>
        <v>7</v>
      </c>
      <c r="F2389" s="2" t="n">
        <f aca="false">'Raw Data'!U2389</f>
        <v>0</v>
      </c>
      <c r="G2389" s="2" t="n">
        <f aca="false">'Raw Data'!W2389</f>
        <v>2</v>
      </c>
      <c r="H2389" s="2" t="n">
        <f aca="false">'Raw Data'!V2389</f>
        <v>4</v>
      </c>
      <c r="I2389" s="2" t="n">
        <f aca="false">IF(AND(ISNUMBER(B2389),B2389&lt;=25),2,0)+IF(AND(ISNUMBER(E2389),E2389&lt;=5),2,0)+IF(AND(ISNUMBER(F2389),F2389&lt;=1),2,0)+IF(AND(ISNUMBER(G2389),G2389&lt;=2),1,0)+IF(AND(ISNUMBER(H2389),H2389&lt;=2),1,0)</f>
        <v>3</v>
      </c>
      <c r="J2389" s="2" t="str">
        <f aca="false">IF(I2389&gt;=6,"High",IF(I2389&gt;=3,"Medium","Low"))</f>
        <v>Medium</v>
      </c>
    </row>
    <row r="2390" customFormat="false" ht="15" hidden="false" customHeight="true" outlineLevel="0" collapsed="false">
      <c r="A2390" s="2" t="n">
        <f aca="false">'Raw Data'!H2390</f>
        <v>2389</v>
      </c>
      <c r="B2390" s="2" t="n">
        <f aca="false">'Raw Data'!A2390</f>
        <v>49</v>
      </c>
      <c r="C2390" s="2" t="str">
        <f aca="false">'Raw Data'!D2390</f>
        <v>Sales</v>
      </c>
      <c r="D2390" s="2" t="str">
        <f aca="false">'Raw Data'!K2390</f>
        <v>Research Director</v>
      </c>
      <c r="E2390" s="2" t="n">
        <f aca="false">'Raw Data'!Q2390</f>
        <v>27</v>
      </c>
      <c r="F2390" s="2" t="n">
        <f aca="false">'Raw Data'!U2390</f>
        <v>2</v>
      </c>
      <c r="G2390" s="2" t="n">
        <f aca="false">'Raw Data'!W2390</f>
        <v>2</v>
      </c>
      <c r="H2390" s="2" t="n">
        <f aca="false">'Raw Data'!V2390</f>
        <v>1</v>
      </c>
      <c r="I2390" s="2" t="n">
        <f aca="false">IF(AND(ISNUMBER(B2390),B2390&lt;=25),2,0)+IF(AND(ISNUMBER(E2390),E2390&lt;=5),2,0)+IF(AND(ISNUMBER(F2390),F2390&lt;=1),2,0)+IF(AND(ISNUMBER(G2390),G2390&lt;=2),1,0)+IF(AND(ISNUMBER(H2390),H2390&lt;=2),1,0)</f>
        <v>2</v>
      </c>
      <c r="J2390" s="2" t="str">
        <f aca="false">IF(I2390&gt;=6,"High",IF(I2390&gt;=3,"Medium","Low"))</f>
        <v>Low</v>
      </c>
    </row>
    <row r="2391" customFormat="false" ht="15" hidden="false" customHeight="true" outlineLevel="0" collapsed="false">
      <c r="A2391" s="2" t="n">
        <f aca="false">'Raw Data'!H2391</f>
        <v>2390</v>
      </c>
      <c r="B2391" s="2" t="n">
        <f aca="false">'Raw Data'!A2391</f>
        <v>50</v>
      </c>
      <c r="C2391" s="2" t="str">
        <f aca="false">'Raw Data'!D2391</f>
        <v>Research &amp; Development</v>
      </c>
      <c r="D2391" s="2" t="str">
        <f aca="false">'Raw Data'!K2391</f>
        <v>Sales Executive</v>
      </c>
      <c r="E2391" s="2" t="n">
        <f aca="false">'Raw Data'!Q2391</f>
        <v>19</v>
      </c>
      <c r="F2391" s="2" t="n">
        <f aca="false">'Raw Data'!U2391</f>
        <v>11</v>
      </c>
      <c r="G2391" s="2" t="n">
        <f aca="false">'Raw Data'!W2391</f>
        <v>1</v>
      </c>
      <c r="H2391" s="2" t="n">
        <f aca="false">'Raw Data'!V2391</f>
        <v>4</v>
      </c>
      <c r="I2391" s="2" t="n">
        <f aca="false">IF(AND(ISNUMBER(B2391),B2391&lt;=25),2,0)+IF(AND(ISNUMBER(E2391),E2391&lt;=5),2,0)+IF(AND(ISNUMBER(F2391),F2391&lt;=1),2,0)+IF(AND(ISNUMBER(G2391),G2391&lt;=2),1,0)+IF(AND(ISNUMBER(H2391),H2391&lt;=2),1,0)</f>
        <v>1</v>
      </c>
      <c r="J2391" s="2" t="str">
        <f aca="false">IF(I2391&gt;=6,"High",IF(I2391&gt;=3,"Medium","Low"))</f>
        <v>Low</v>
      </c>
    </row>
    <row r="2392" customFormat="false" ht="15" hidden="false" customHeight="true" outlineLevel="0" collapsed="false">
      <c r="A2392" s="2" t="n">
        <f aca="false">'Raw Data'!H2392</f>
        <v>2391</v>
      </c>
      <c r="B2392" s="2" t="n">
        <f aca="false">'Raw Data'!A2392</f>
        <v>20</v>
      </c>
      <c r="C2392" s="2" t="str">
        <f aca="false">'Raw Data'!D2392</f>
        <v>Research &amp; Development</v>
      </c>
      <c r="D2392" s="2" t="str">
        <f aca="false">'Raw Data'!K2392</f>
        <v>Sales Executive</v>
      </c>
      <c r="E2392" s="2" t="n">
        <f aca="false">'Raw Data'!Q2392</f>
        <v>2</v>
      </c>
      <c r="F2392" s="2" t="n">
        <f aca="false">'Raw Data'!U2392</f>
        <v>2</v>
      </c>
      <c r="G2392" s="2" t="n">
        <f aca="false">'Raw Data'!W2392</f>
        <v>3</v>
      </c>
      <c r="H2392" s="2" t="n">
        <f aca="false">'Raw Data'!V2392</f>
        <v>3</v>
      </c>
      <c r="I2392" s="2" t="n">
        <f aca="false">IF(AND(ISNUMBER(B2392),B2392&lt;=25),2,0)+IF(AND(ISNUMBER(E2392),E2392&lt;=5),2,0)+IF(AND(ISNUMBER(F2392),F2392&lt;=1),2,0)+IF(AND(ISNUMBER(G2392),G2392&lt;=2),1,0)+IF(AND(ISNUMBER(H2392),H2392&lt;=2),1,0)</f>
        <v>4</v>
      </c>
      <c r="J2392" s="2" t="str">
        <f aca="false">IF(I2392&gt;=6,"High",IF(I2392&gt;=3,"Medium","Low"))</f>
        <v>Medium</v>
      </c>
    </row>
    <row r="2393" customFormat="false" ht="15" hidden="false" customHeight="true" outlineLevel="0" collapsed="false">
      <c r="A2393" s="2" t="n">
        <f aca="false">'Raw Data'!H2393</f>
        <v>2392</v>
      </c>
      <c r="B2393" s="2" t="n">
        <f aca="false">'Raw Data'!A2393</f>
        <v>34</v>
      </c>
      <c r="C2393" s="2" t="str">
        <f aca="false">'Raw Data'!D2393</f>
        <v>Research &amp; Development</v>
      </c>
      <c r="D2393" s="2" t="str">
        <f aca="false">'Raw Data'!K2393</f>
        <v>Laboratory Technician</v>
      </c>
      <c r="E2393" s="2" t="n">
        <f aca="false">'Raw Data'!Q2393</f>
        <v>11</v>
      </c>
      <c r="F2393" s="2" t="n">
        <f aca="false">'Raw Data'!U2393</f>
        <v>9</v>
      </c>
      <c r="G2393" s="2" t="n">
        <f aca="false">'Raw Data'!W2393</f>
        <v>2</v>
      </c>
      <c r="H2393" s="2" t="n">
        <f aca="false">'Raw Data'!V2393</f>
        <v>4</v>
      </c>
      <c r="I2393" s="2" t="n">
        <f aca="false">IF(AND(ISNUMBER(B2393),B2393&lt;=25),2,0)+IF(AND(ISNUMBER(E2393),E2393&lt;=5),2,0)+IF(AND(ISNUMBER(F2393),F2393&lt;=1),2,0)+IF(AND(ISNUMBER(G2393),G2393&lt;=2),1,0)+IF(AND(ISNUMBER(H2393),H2393&lt;=2),1,0)</f>
        <v>1</v>
      </c>
      <c r="J2393" s="2" t="str">
        <f aca="false">IF(I2393&gt;=6,"High",IF(I2393&gt;=3,"Medium","Low"))</f>
        <v>Low</v>
      </c>
    </row>
    <row r="2394" customFormat="false" ht="15" hidden="false" customHeight="true" outlineLevel="0" collapsed="false">
      <c r="A2394" s="2" t="n">
        <f aca="false">'Raw Data'!H2394</f>
        <v>2393</v>
      </c>
      <c r="B2394" s="2" t="n">
        <f aca="false">'Raw Data'!A2394</f>
        <v>36</v>
      </c>
      <c r="C2394" s="2" t="str">
        <f aca="false">'Raw Data'!D2394</f>
        <v>Research &amp; Development</v>
      </c>
      <c r="D2394" s="2" t="str">
        <f aca="false">'Raw Data'!K2394</f>
        <v>Healthcare Representative</v>
      </c>
      <c r="E2394" s="2" t="n">
        <f aca="false">'Raw Data'!Q2394</f>
        <v>15</v>
      </c>
      <c r="F2394" s="2" t="n">
        <f aca="false">'Raw Data'!U2394</f>
        <v>3</v>
      </c>
      <c r="G2394" s="2" t="n">
        <f aca="false">'Raw Data'!W2394</f>
        <v>2</v>
      </c>
      <c r="H2394" s="2" t="n">
        <f aca="false">'Raw Data'!V2394</f>
        <v>1</v>
      </c>
      <c r="I2394" s="2" t="n">
        <f aca="false">IF(AND(ISNUMBER(B2394),B2394&lt;=25),2,0)+IF(AND(ISNUMBER(E2394),E2394&lt;=5),2,0)+IF(AND(ISNUMBER(F2394),F2394&lt;=1),2,0)+IF(AND(ISNUMBER(G2394),G2394&lt;=2),1,0)+IF(AND(ISNUMBER(H2394),H2394&lt;=2),1,0)</f>
        <v>2</v>
      </c>
      <c r="J2394" s="2" t="str">
        <f aca="false">IF(I2394&gt;=6,"High",IF(I2394&gt;=3,"Medium","Low"))</f>
        <v>Low</v>
      </c>
    </row>
    <row r="2395" customFormat="false" ht="15" hidden="false" customHeight="true" outlineLevel="0" collapsed="false">
      <c r="A2395" s="2" t="n">
        <f aca="false">'Raw Data'!H2395</f>
        <v>2394</v>
      </c>
      <c r="B2395" s="2" t="n">
        <f aca="false">'Raw Data'!A2395</f>
        <v>49</v>
      </c>
      <c r="C2395" s="2" t="str">
        <f aca="false">'Raw Data'!D2395</f>
        <v>Human Resources</v>
      </c>
      <c r="D2395" s="2" t="str">
        <f aca="false">'Raw Data'!K2395</f>
        <v>Research Scientist</v>
      </c>
      <c r="E2395" s="2" t="n">
        <f aca="false">'Raw Data'!Q2395</f>
        <v>30</v>
      </c>
      <c r="F2395" s="2" t="n">
        <f aca="false">'Raw Data'!U2395</f>
        <v>12</v>
      </c>
      <c r="G2395" s="2" t="n">
        <f aca="false">'Raw Data'!W2395</f>
        <v>3</v>
      </c>
      <c r="H2395" s="2" t="n">
        <f aca="false">'Raw Data'!V2395</f>
        <v>3</v>
      </c>
      <c r="I2395" s="2" t="n">
        <f aca="false">IF(AND(ISNUMBER(B2395),B2395&lt;=25),2,0)+IF(AND(ISNUMBER(E2395),E2395&lt;=5),2,0)+IF(AND(ISNUMBER(F2395),F2395&lt;=1),2,0)+IF(AND(ISNUMBER(G2395),G2395&lt;=2),1,0)+IF(AND(ISNUMBER(H2395),H2395&lt;=2),1,0)</f>
        <v>0</v>
      </c>
      <c r="J2395" s="2" t="str">
        <f aca="false">IF(I2395&gt;=6,"High",IF(I2395&gt;=3,"Medium","Low"))</f>
        <v>Low</v>
      </c>
    </row>
    <row r="2396" customFormat="false" ht="15" hidden="false" customHeight="true" outlineLevel="0" collapsed="false">
      <c r="A2396" s="2" t="n">
        <f aca="false">'Raw Data'!H2396</f>
        <v>2395</v>
      </c>
      <c r="B2396" s="2" t="n">
        <f aca="false">'Raw Data'!A2396</f>
        <v>36</v>
      </c>
      <c r="C2396" s="2" t="str">
        <f aca="false">'Raw Data'!D2396</f>
        <v>Research &amp; Development</v>
      </c>
      <c r="D2396" s="2" t="str">
        <f aca="false">'Raw Data'!K2396</f>
        <v>Laboratory Technician</v>
      </c>
      <c r="E2396" s="2" t="n">
        <f aca="false">'Raw Data'!Q2396</f>
        <v>4</v>
      </c>
      <c r="F2396" s="2" t="n">
        <f aca="false">'Raw Data'!U2396</f>
        <v>2</v>
      </c>
      <c r="G2396" s="2" t="n">
        <f aca="false">'Raw Data'!W2396</f>
        <v>3</v>
      </c>
      <c r="H2396" s="2" t="n">
        <f aca="false">'Raw Data'!V2396</f>
        <v>4</v>
      </c>
      <c r="I2396" s="2" t="n">
        <f aca="false">IF(AND(ISNUMBER(B2396),B2396&lt;=25),2,0)+IF(AND(ISNUMBER(E2396),E2396&lt;=5),2,0)+IF(AND(ISNUMBER(F2396),F2396&lt;=1),2,0)+IF(AND(ISNUMBER(G2396),G2396&lt;=2),1,0)+IF(AND(ISNUMBER(H2396),H2396&lt;=2),1,0)</f>
        <v>2</v>
      </c>
      <c r="J2396" s="2" t="str">
        <f aca="false">IF(I2396&gt;=6,"High",IF(I2396&gt;=3,"Medium","Low"))</f>
        <v>Low</v>
      </c>
    </row>
    <row r="2397" customFormat="false" ht="15" hidden="false" customHeight="true" outlineLevel="0" collapsed="false">
      <c r="A2397" s="2" t="n">
        <f aca="false">'Raw Data'!H2397</f>
        <v>2396</v>
      </c>
      <c r="B2397" s="2" t="n">
        <f aca="false">'Raw Data'!A2397</f>
        <v>36</v>
      </c>
      <c r="C2397" s="2" t="str">
        <f aca="false">'Raw Data'!D2397</f>
        <v>Research &amp; Development</v>
      </c>
      <c r="D2397" s="2" t="str">
        <f aca="false">'Raw Data'!K2397</f>
        <v>Healthcare Representative</v>
      </c>
      <c r="E2397" s="2" t="n">
        <f aca="false">'Raw Data'!Q2397</f>
        <v>13</v>
      </c>
      <c r="F2397" s="2" t="n">
        <f aca="false">'Raw Data'!U2397</f>
        <v>4</v>
      </c>
      <c r="G2397" s="2" t="n">
        <f aca="false">'Raw Data'!W2397</f>
        <v>1</v>
      </c>
      <c r="H2397" s="2" t="n">
        <f aca="false">'Raw Data'!V2397</f>
        <v>4</v>
      </c>
      <c r="I2397" s="2" t="n">
        <f aca="false">IF(AND(ISNUMBER(B2397),B2397&lt;=25),2,0)+IF(AND(ISNUMBER(E2397),E2397&lt;=5),2,0)+IF(AND(ISNUMBER(F2397),F2397&lt;=1),2,0)+IF(AND(ISNUMBER(G2397),G2397&lt;=2),1,0)+IF(AND(ISNUMBER(H2397),H2397&lt;=2),1,0)</f>
        <v>1</v>
      </c>
      <c r="J2397" s="2" t="str">
        <f aca="false">IF(I2397&gt;=6,"High",IF(I2397&gt;=3,"Medium","Low"))</f>
        <v>Low</v>
      </c>
    </row>
    <row r="2398" customFormat="false" ht="15" hidden="false" customHeight="true" outlineLevel="0" collapsed="false">
      <c r="A2398" s="2" t="n">
        <f aca="false">'Raw Data'!H2398</f>
        <v>2397</v>
      </c>
      <c r="B2398" s="2" t="n">
        <f aca="false">'Raw Data'!A2398</f>
        <v>54</v>
      </c>
      <c r="C2398" s="2" t="str">
        <f aca="false">'Raw Data'!D2398</f>
        <v>Sales</v>
      </c>
      <c r="D2398" s="2" t="str">
        <f aca="false">'Raw Data'!K2398</f>
        <v>Laboratory Technician</v>
      </c>
      <c r="E2398" s="2" t="n">
        <f aca="false">'Raw Data'!Q2398</f>
        <v>36</v>
      </c>
      <c r="F2398" s="2" t="n">
        <f aca="false">'Raw Data'!U2398</f>
        <v>7</v>
      </c>
      <c r="G2398" s="2" t="n">
        <f aca="false">'Raw Data'!W2398</f>
        <v>3</v>
      </c>
      <c r="H2398" s="2" t="n">
        <f aca="false">'Raw Data'!V2398</f>
        <v>2</v>
      </c>
      <c r="I2398" s="2" t="n">
        <f aca="false">IF(AND(ISNUMBER(B2398),B2398&lt;=25),2,0)+IF(AND(ISNUMBER(E2398),E2398&lt;=5),2,0)+IF(AND(ISNUMBER(F2398),F2398&lt;=1),2,0)+IF(AND(ISNUMBER(G2398),G2398&lt;=2),1,0)+IF(AND(ISNUMBER(H2398),H2398&lt;=2),1,0)</f>
        <v>1</v>
      </c>
      <c r="J2398" s="2" t="str">
        <f aca="false">IF(I2398&gt;=6,"High",IF(I2398&gt;=3,"Medium","Low"))</f>
        <v>Low</v>
      </c>
    </row>
    <row r="2399" customFormat="false" ht="15" hidden="false" customHeight="true" outlineLevel="0" collapsed="false">
      <c r="A2399" s="2" t="n">
        <f aca="false">'Raw Data'!H2399</f>
        <v>2398</v>
      </c>
      <c r="B2399" s="2" t="n">
        <f aca="false">'Raw Data'!A2399</f>
        <v>43</v>
      </c>
      <c r="C2399" s="2" t="str">
        <f aca="false">'Raw Data'!D2399</f>
        <v>Research &amp; Development</v>
      </c>
      <c r="D2399" s="2" t="str">
        <f aca="false">'Raw Data'!K2399</f>
        <v>Research Scientist</v>
      </c>
      <c r="E2399" s="2" t="n">
        <f aca="false">'Raw Data'!Q2399</f>
        <v>14</v>
      </c>
      <c r="F2399" s="2" t="n">
        <f aca="false">'Raw Data'!U2399</f>
        <v>11</v>
      </c>
      <c r="G2399" s="2" t="n">
        <f aca="false">'Raw Data'!W2399</f>
        <v>3</v>
      </c>
      <c r="H2399" s="2" t="n">
        <f aca="false">'Raw Data'!V2399</f>
        <v>3</v>
      </c>
      <c r="I2399" s="2" t="n">
        <f aca="false">IF(AND(ISNUMBER(B2399),B2399&lt;=25),2,0)+IF(AND(ISNUMBER(E2399),E2399&lt;=5),2,0)+IF(AND(ISNUMBER(F2399),F2399&lt;=1),2,0)+IF(AND(ISNUMBER(G2399),G2399&lt;=2),1,0)+IF(AND(ISNUMBER(H2399),H2399&lt;=2),1,0)</f>
        <v>0</v>
      </c>
      <c r="J2399" s="2" t="str">
        <f aca="false">IF(I2399&gt;=6,"High",IF(I2399&gt;=3,"Medium","Low"))</f>
        <v>Low</v>
      </c>
    </row>
    <row r="2400" customFormat="false" ht="15" hidden="false" customHeight="true" outlineLevel="0" collapsed="false">
      <c r="A2400" s="2" t="n">
        <f aca="false">'Raw Data'!H2400</f>
        <v>2399</v>
      </c>
      <c r="B2400" s="2" t="n">
        <f aca="false">'Raw Data'!A2400</f>
        <v>35</v>
      </c>
      <c r="C2400" s="2" t="str">
        <f aca="false">'Raw Data'!D2400</f>
        <v>Research &amp; Development</v>
      </c>
      <c r="D2400" s="2" t="str">
        <f aca="false">'Raw Data'!K2400</f>
        <v>Research Director</v>
      </c>
      <c r="E2400" s="2" t="n">
        <f aca="false">'Raw Data'!Q2400</f>
        <v>13</v>
      </c>
      <c r="F2400" s="2" t="n">
        <f aca="false">'Raw Data'!U2400</f>
        <v>7</v>
      </c>
      <c r="G2400" s="2" t="n">
        <f aca="false">'Raw Data'!W2400</f>
        <v>4</v>
      </c>
      <c r="H2400" s="2" t="n">
        <f aca="false">'Raw Data'!V2400</f>
        <v>4</v>
      </c>
      <c r="I2400" s="2" t="n">
        <f aca="false">IF(AND(ISNUMBER(B2400),B2400&lt;=25),2,0)+IF(AND(ISNUMBER(E2400),E2400&lt;=5),2,0)+IF(AND(ISNUMBER(F2400),F2400&lt;=1),2,0)+IF(AND(ISNUMBER(G2400),G2400&lt;=2),1,0)+IF(AND(ISNUMBER(H2400),H2400&lt;=2),1,0)</f>
        <v>0</v>
      </c>
      <c r="J2400" s="2" t="str">
        <f aca="false">IF(I2400&gt;=6,"High",IF(I2400&gt;=3,"Medium","Low"))</f>
        <v>Low</v>
      </c>
    </row>
    <row r="2401" customFormat="false" ht="15" hidden="false" customHeight="true" outlineLevel="0" collapsed="false">
      <c r="A2401" s="2" t="n">
        <f aca="false">'Raw Data'!H2401</f>
        <v>2400</v>
      </c>
      <c r="B2401" s="2" t="n">
        <f aca="false">'Raw Data'!A2401</f>
        <v>38</v>
      </c>
      <c r="C2401" s="2" t="str">
        <f aca="false">'Raw Data'!D2401</f>
        <v>Research &amp; Development</v>
      </c>
      <c r="D2401" s="2" t="str">
        <f aca="false">'Raw Data'!K2401</f>
        <v>Research Scientist</v>
      </c>
      <c r="E2401" s="2" t="n">
        <f aca="false">'Raw Data'!Q2401</f>
        <v>19</v>
      </c>
      <c r="F2401" s="2" t="n">
        <f aca="false">'Raw Data'!U2401</f>
        <v>9</v>
      </c>
      <c r="G2401" s="2" t="n">
        <f aca="false">'Raw Data'!W2401</f>
        <v>4</v>
      </c>
      <c r="H2401" s="2" t="n">
        <f aca="false">'Raw Data'!V2401</f>
        <v>4</v>
      </c>
      <c r="I2401" s="2" t="n">
        <f aca="false">IF(AND(ISNUMBER(B2401),B2401&lt;=25),2,0)+IF(AND(ISNUMBER(E2401),E2401&lt;=5),2,0)+IF(AND(ISNUMBER(F2401),F2401&lt;=1),2,0)+IF(AND(ISNUMBER(G2401),G2401&lt;=2),1,0)+IF(AND(ISNUMBER(H2401),H2401&lt;=2),1,0)</f>
        <v>0</v>
      </c>
      <c r="J2401" s="2" t="str">
        <f aca="false">IF(I2401&gt;=6,"High",IF(I2401&gt;=3,"Medium","Low"))</f>
        <v>Low</v>
      </c>
    </row>
    <row r="2402" customFormat="false" ht="15" hidden="false" customHeight="true" outlineLevel="0" collapsed="false">
      <c r="A2402" s="2" t="n">
        <f aca="false">'Raw Data'!H2402</f>
        <v>2401</v>
      </c>
      <c r="B2402" s="2" t="n">
        <f aca="false">'Raw Data'!A2402</f>
        <v>29</v>
      </c>
      <c r="C2402" s="2" t="str">
        <f aca="false">'Raw Data'!D2402</f>
        <v>Research &amp; Development</v>
      </c>
      <c r="D2402" s="2" t="str">
        <f aca="false">'Raw Data'!K2402</f>
        <v>Sales Representative</v>
      </c>
      <c r="E2402" s="2" t="n">
        <f aca="false">'Raw Data'!Q2402</f>
        <v>10</v>
      </c>
      <c r="F2402" s="2" t="n">
        <f aca="false">'Raw Data'!U2402</f>
        <v>9</v>
      </c>
      <c r="G2402" s="2" t="n">
        <f aca="false">'Raw Data'!W2402</f>
        <v>2</v>
      </c>
      <c r="H2402" s="2" t="n">
        <f aca="false">'Raw Data'!V2402</f>
        <v>1</v>
      </c>
      <c r="I2402" s="2" t="n">
        <f aca="false">IF(AND(ISNUMBER(B2402),B2402&lt;=25),2,0)+IF(AND(ISNUMBER(E2402),E2402&lt;=5),2,0)+IF(AND(ISNUMBER(F2402),F2402&lt;=1),2,0)+IF(AND(ISNUMBER(G2402),G2402&lt;=2),1,0)+IF(AND(ISNUMBER(H2402),H2402&lt;=2),1,0)</f>
        <v>2</v>
      </c>
      <c r="J2402" s="2" t="str">
        <f aca="false">IF(I2402&gt;=6,"High",IF(I2402&gt;=3,"Medium","Low"))</f>
        <v>Low</v>
      </c>
    </row>
    <row r="2403" customFormat="false" ht="15" hidden="false" customHeight="true" outlineLevel="0" collapsed="false">
      <c r="A2403" s="2" t="n">
        <f aca="false">'Raw Data'!H2403</f>
        <v>2402</v>
      </c>
      <c r="B2403" s="2" t="n">
        <f aca="false">'Raw Data'!A2403</f>
        <v>33</v>
      </c>
      <c r="C2403" s="2" t="str">
        <f aca="false">'Raw Data'!D2403</f>
        <v>Research &amp; Development</v>
      </c>
      <c r="D2403" s="2" t="str">
        <f aca="false">'Raw Data'!K2403</f>
        <v>Sales Executive</v>
      </c>
      <c r="E2403" s="2" t="n">
        <f aca="false">'Raw Data'!Q2403</f>
        <v>6</v>
      </c>
      <c r="F2403" s="2" t="n">
        <f aca="false">'Raw Data'!U2403</f>
        <v>4</v>
      </c>
      <c r="G2403" s="2" t="n">
        <f aca="false">'Raw Data'!W2403</f>
        <v>4</v>
      </c>
      <c r="H2403" s="2" t="n">
        <f aca="false">'Raw Data'!V2403</f>
        <v>4</v>
      </c>
      <c r="I2403" s="2" t="n">
        <f aca="false">IF(AND(ISNUMBER(B2403),B2403&lt;=25),2,0)+IF(AND(ISNUMBER(E2403),E2403&lt;=5),2,0)+IF(AND(ISNUMBER(F2403),F2403&lt;=1),2,0)+IF(AND(ISNUMBER(G2403),G2403&lt;=2),1,0)+IF(AND(ISNUMBER(H2403),H2403&lt;=2),1,0)</f>
        <v>0</v>
      </c>
      <c r="J2403" s="2" t="str">
        <f aca="false">IF(I2403&gt;=6,"High",IF(I2403&gt;=3,"Medium","Low"))</f>
        <v>Low</v>
      </c>
    </row>
    <row r="2404" customFormat="false" ht="15" hidden="false" customHeight="true" outlineLevel="0" collapsed="false">
      <c r="A2404" s="2" t="n">
        <f aca="false">'Raw Data'!H2404</f>
        <v>2403</v>
      </c>
      <c r="B2404" s="2" t="n">
        <f aca="false">'Raw Data'!A2404</f>
        <v>32</v>
      </c>
      <c r="C2404" s="2" t="str">
        <f aca="false">'Raw Data'!D2404</f>
        <v>Research &amp; Development</v>
      </c>
      <c r="D2404" s="2" t="str">
        <f aca="false">'Raw Data'!K2404</f>
        <v>Research Scientist</v>
      </c>
      <c r="E2404" s="2" t="n">
        <f aca="false">'Raw Data'!Q2404</f>
        <v>10</v>
      </c>
      <c r="F2404" s="2" t="n">
        <f aca="false">'Raw Data'!U2404</f>
        <v>6</v>
      </c>
      <c r="G2404" s="2" t="n">
        <f aca="false">'Raw Data'!W2404</f>
        <v>2</v>
      </c>
      <c r="H2404" s="2" t="n">
        <f aca="false">'Raw Data'!V2404</f>
        <v>4</v>
      </c>
      <c r="I2404" s="2" t="n">
        <f aca="false">IF(AND(ISNUMBER(B2404),B2404&lt;=25),2,0)+IF(AND(ISNUMBER(E2404),E2404&lt;=5),2,0)+IF(AND(ISNUMBER(F2404),F2404&lt;=1),2,0)+IF(AND(ISNUMBER(G2404),G2404&lt;=2),1,0)+IF(AND(ISNUMBER(H2404),H2404&lt;=2),1,0)</f>
        <v>1</v>
      </c>
      <c r="J2404" s="2" t="str">
        <f aca="false">IF(I2404&gt;=6,"High",IF(I2404&gt;=3,"Medium","Low"))</f>
        <v>Low</v>
      </c>
    </row>
    <row r="2405" customFormat="false" ht="15" hidden="false" customHeight="true" outlineLevel="0" collapsed="false">
      <c r="A2405" s="2" t="n">
        <f aca="false">'Raw Data'!H2405</f>
        <v>2404</v>
      </c>
      <c r="B2405" s="2" t="n">
        <f aca="false">'Raw Data'!A2405</f>
        <v>31</v>
      </c>
      <c r="C2405" s="2" t="str">
        <f aca="false">'Raw Data'!D2405</f>
        <v>Research &amp; Development</v>
      </c>
      <c r="D2405" s="2" t="str">
        <f aca="false">'Raw Data'!K2405</f>
        <v>Sales Executive</v>
      </c>
      <c r="E2405" s="2" t="n">
        <f aca="false">'Raw Data'!Q2405</f>
        <v>10</v>
      </c>
      <c r="F2405" s="2" t="n">
        <f aca="false">'Raw Data'!U2405</f>
        <v>2</v>
      </c>
      <c r="G2405" s="2" t="n">
        <f aca="false">'Raw Data'!W2405</f>
        <v>4</v>
      </c>
      <c r="H2405" s="2" t="n">
        <f aca="false">'Raw Data'!V2405</f>
        <v>1</v>
      </c>
      <c r="I2405" s="2" t="n">
        <f aca="false">IF(AND(ISNUMBER(B2405),B2405&lt;=25),2,0)+IF(AND(ISNUMBER(E2405),E2405&lt;=5),2,0)+IF(AND(ISNUMBER(F2405),F2405&lt;=1),2,0)+IF(AND(ISNUMBER(G2405),G2405&lt;=2),1,0)+IF(AND(ISNUMBER(H2405),H2405&lt;=2),1,0)</f>
        <v>1</v>
      </c>
      <c r="J2405" s="2" t="str">
        <f aca="false">IF(I2405&gt;=6,"High",IF(I2405&gt;=3,"Medium","Low"))</f>
        <v>Low</v>
      </c>
    </row>
    <row r="2406" customFormat="false" ht="15" hidden="false" customHeight="true" outlineLevel="0" collapsed="false">
      <c r="A2406" s="2" t="n">
        <f aca="false">'Raw Data'!H2406</f>
        <v>2405</v>
      </c>
      <c r="B2406" s="2" t="n">
        <f aca="false">'Raw Data'!A2406</f>
        <v>49</v>
      </c>
      <c r="C2406" s="2" t="str">
        <f aca="false">'Raw Data'!D2406</f>
        <v>Research &amp; Development</v>
      </c>
      <c r="D2406" s="2" t="str">
        <f aca="false">'Raw Data'!K2406</f>
        <v>Laboratory Technician</v>
      </c>
      <c r="E2406" s="2" t="n">
        <f aca="false">'Raw Data'!Q2406</f>
        <v>17</v>
      </c>
      <c r="F2406" s="2" t="n">
        <f aca="false">'Raw Data'!U2406</f>
        <v>2</v>
      </c>
      <c r="G2406" s="2" t="n">
        <f aca="false">'Raw Data'!W2406</f>
        <v>1</v>
      </c>
      <c r="H2406" s="2" t="n">
        <f aca="false">'Raw Data'!V2406</f>
        <v>4</v>
      </c>
      <c r="I2406" s="2" t="n">
        <f aca="false">IF(AND(ISNUMBER(B2406),B2406&lt;=25),2,0)+IF(AND(ISNUMBER(E2406),E2406&lt;=5),2,0)+IF(AND(ISNUMBER(F2406),F2406&lt;=1),2,0)+IF(AND(ISNUMBER(G2406),G2406&lt;=2),1,0)+IF(AND(ISNUMBER(H2406),H2406&lt;=2),1,0)</f>
        <v>1</v>
      </c>
      <c r="J2406" s="2" t="str">
        <f aca="false">IF(I2406&gt;=6,"High",IF(I2406&gt;=3,"Medium","Low"))</f>
        <v>Low</v>
      </c>
    </row>
    <row r="2407" customFormat="false" ht="15" hidden="false" customHeight="true" outlineLevel="0" collapsed="false">
      <c r="A2407" s="2" t="n">
        <f aca="false">'Raw Data'!H2407</f>
        <v>2406</v>
      </c>
      <c r="B2407" s="2" t="n">
        <f aca="false">'Raw Data'!A2407</f>
        <v>38</v>
      </c>
      <c r="C2407" s="2" t="str">
        <f aca="false">'Raw Data'!D2407</f>
        <v>Sales</v>
      </c>
      <c r="D2407" s="2" t="str">
        <f aca="false">'Raw Data'!K2407</f>
        <v>Sales Executive</v>
      </c>
      <c r="E2407" s="2" t="n">
        <f aca="false">'Raw Data'!Q2407</f>
        <v>4</v>
      </c>
      <c r="F2407" s="2" t="n">
        <f aca="false">'Raw Data'!U2407</f>
        <v>3</v>
      </c>
      <c r="G2407" s="2" t="n">
        <f aca="false">'Raw Data'!W2407</f>
        <v>2</v>
      </c>
      <c r="H2407" s="2" t="n">
        <f aca="false">'Raw Data'!V2407</f>
        <v>4</v>
      </c>
      <c r="I2407" s="2" t="n">
        <f aca="false">IF(AND(ISNUMBER(B2407),B2407&lt;=25),2,0)+IF(AND(ISNUMBER(E2407),E2407&lt;=5),2,0)+IF(AND(ISNUMBER(F2407),F2407&lt;=1),2,0)+IF(AND(ISNUMBER(G2407),G2407&lt;=2),1,0)+IF(AND(ISNUMBER(H2407),H2407&lt;=2),1,0)</f>
        <v>3</v>
      </c>
      <c r="J2407" s="2" t="str">
        <f aca="false">IF(I2407&gt;=6,"High",IF(I2407&gt;=3,"Medium","Low"))</f>
        <v>Medium</v>
      </c>
    </row>
    <row r="2408" customFormat="false" ht="15" hidden="false" customHeight="true" outlineLevel="0" collapsed="false">
      <c r="A2408" s="2" t="n">
        <f aca="false">'Raw Data'!H2408</f>
        <v>2407</v>
      </c>
      <c r="B2408" s="2" t="n">
        <f aca="false">'Raw Data'!A2408</f>
        <v>47</v>
      </c>
      <c r="C2408" s="2" t="str">
        <f aca="false">'Raw Data'!D2408</f>
        <v>Research &amp; Development</v>
      </c>
      <c r="D2408" s="2" t="str">
        <f aca="false">'Raw Data'!K2408</f>
        <v>Laboratory Technician</v>
      </c>
      <c r="E2408" s="2" t="n">
        <f aca="false">'Raw Data'!Q2408</f>
        <v>29</v>
      </c>
      <c r="F2408" s="2" t="n">
        <f aca="false">'Raw Data'!U2408</f>
        <v>2</v>
      </c>
      <c r="G2408" s="2" t="n">
        <f aca="false">'Raw Data'!W2408</f>
        <v>2</v>
      </c>
      <c r="H2408" s="2" t="n">
        <f aca="false">'Raw Data'!V2408</f>
        <v>2</v>
      </c>
      <c r="I2408" s="2" t="n">
        <f aca="false">IF(AND(ISNUMBER(B2408),B2408&lt;=25),2,0)+IF(AND(ISNUMBER(E2408),E2408&lt;=5),2,0)+IF(AND(ISNUMBER(F2408),F2408&lt;=1),2,0)+IF(AND(ISNUMBER(G2408),G2408&lt;=2),1,0)+IF(AND(ISNUMBER(H2408),H2408&lt;=2),1,0)</f>
        <v>2</v>
      </c>
      <c r="J2408" s="2" t="str">
        <f aca="false">IF(I2408&gt;=6,"High",IF(I2408&gt;=3,"Medium","Low"))</f>
        <v>Low</v>
      </c>
    </row>
    <row r="2409" customFormat="false" ht="15" hidden="false" customHeight="true" outlineLevel="0" collapsed="false">
      <c r="A2409" s="2" t="n">
        <f aca="false">'Raw Data'!H2409</f>
        <v>2408</v>
      </c>
      <c r="B2409" s="2" t="n">
        <f aca="false">'Raw Data'!A2409</f>
        <v>49</v>
      </c>
      <c r="C2409" s="2" t="str">
        <f aca="false">'Raw Data'!D2409</f>
        <v>Research &amp; Development</v>
      </c>
      <c r="D2409" s="2" t="str">
        <f aca="false">'Raw Data'!K2409</f>
        <v>Manufacturing Director</v>
      </c>
      <c r="E2409" s="2" t="n">
        <f aca="false">'Raw Data'!Q2409</f>
        <v>23</v>
      </c>
      <c r="F2409" s="2" t="n">
        <f aca="false">'Raw Data'!U2409</f>
        <v>0</v>
      </c>
      <c r="G2409" s="2" t="n">
        <f aca="false">'Raw Data'!W2409</f>
        <v>3</v>
      </c>
      <c r="H2409" s="2" t="n">
        <f aca="false">'Raw Data'!V2409</f>
        <v>3</v>
      </c>
      <c r="I2409" s="2" t="n">
        <f aca="false">IF(AND(ISNUMBER(B2409),B2409&lt;=25),2,0)+IF(AND(ISNUMBER(E2409),E2409&lt;=5),2,0)+IF(AND(ISNUMBER(F2409),F2409&lt;=1),2,0)+IF(AND(ISNUMBER(G2409),G2409&lt;=2),1,0)+IF(AND(ISNUMBER(H2409),H2409&lt;=2),1,0)</f>
        <v>2</v>
      </c>
      <c r="J2409" s="2" t="str">
        <f aca="false">IF(I2409&gt;=6,"High",IF(I2409&gt;=3,"Medium","Low"))</f>
        <v>Low</v>
      </c>
    </row>
    <row r="2410" customFormat="false" ht="15" hidden="false" customHeight="true" outlineLevel="0" collapsed="false">
      <c r="A2410" s="2" t="n">
        <f aca="false">'Raw Data'!H2410</f>
        <v>2409</v>
      </c>
      <c r="B2410" s="2" t="n">
        <f aca="false">'Raw Data'!A2410</f>
        <v>41</v>
      </c>
      <c r="C2410" s="2" t="str">
        <f aca="false">'Raw Data'!D2410</f>
        <v>Research &amp; Development</v>
      </c>
      <c r="D2410" s="2" t="str">
        <f aca="false">'Raw Data'!K2410</f>
        <v>Manager</v>
      </c>
      <c r="E2410" s="2" t="n">
        <f aca="false">'Raw Data'!Q2410</f>
        <v>21</v>
      </c>
      <c r="F2410" s="2" t="n">
        <f aca="false">'Raw Data'!U2410</f>
        <v>2</v>
      </c>
      <c r="G2410" s="2" t="n">
        <f aca="false">'Raw Data'!W2410</f>
        <v>3</v>
      </c>
      <c r="H2410" s="2" t="n">
        <f aca="false">'Raw Data'!V2410</f>
        <v>4</v>
      </c>
      <c r="I2410" s="2" t="n">
        <f aca="false">IF(AND(ISNUMBER(B2410),B2410&lt;=25),2,0)+IF(AND(ISNUMBER(E2410),E2410&lt;=5),2,0)+IF(AND(ISNUMBER(F2410),F2410&lt;=1),2,0)+IF(AND(ISNUMBER(G2410),G2410&lt;=2),1,0)+IF(AND(ISNUMBER(H2410),H2410&lt;=2),1,0)</f>
        <v>0</v>
      </c>
      <c r="J2410" s="2" t="str">
        <f aca="false">IF(I2410&gt;=6,"High",IF(I2410&gt;=3,"Medium","Low"))</f>
        <v>Low</v>
      </c>
    </row>
    <row r="2411" customFormat="false" ht="15" hidden="false" customHeight="true" outlineLevel="0" collapsed="false">
      <c r="A2411" s="2" t="n">
        <f aca="false">'Raw Data'!H2411</f>
        <v>2410</v>
      </c>
      <c r="B2411" s="2" t="n">
        <f aca="false">'Raw Data'!A2411</f>
        <v>20</v>
      </c>
      <c r="C2411" s="2" t="str">
        <f aca="false">'Raw Data'!D2411</f>
        <v>Research &amp; Development</v>
      </c>
      <c r="D2411" s="2" t="str">
        <f aca="false">'Raw Data'!K2411</f>
        <v>Sales Representative</v>
      </c>
      <c r="E2411" s="2" t="n">
        <f aca="false">'Raw Data'!Q2411</f>
        <v>2</v>
      </c>
      <c r="F2411" s="2" t="n">
        <f aca="false">'Raw Data'!U2411</f>
        <v>2</v>
      </c>
      <c r="G2411" s="2" t="n">
        <f aca="false">'Raw Data'!W2411</f>
        <v>1</v>
      </c>
      <c r="H2411" s="2" t="n">
        <f aca="false">'Raw Data'!V2411</f>
        <v>4</v>
      </c>
      <c r="I2411" s="2" t="n">
        <f aca="false">IF(AND(ISNUMBER(B2411),B2411&lt;=25),2,0)+IF(AND(ISNUMBER(E2411),E2411&lt;=5),2,0)+IF(AND(ISNUMBER(F2411),F2411&lt;=1),2,0)+IF(AND(ISNUMBER(G2411),G2411&lt;=2),1,0)+IF(AND(ISNUMBER(H2411),H2411&lt;=2),1,0)</f>
        <v>5</v>
      </c>
      <c r="J2411" s="2" t="str">
        <f aca="false">IF(I2411&gt;=6,"High",IF(I2411&gt;=3,"Medium","Low"))</f>
        <v>Medium</v>
      </c>
    </row>
    <row r="2412" customFormat="false" ht="15" hidden="false" customHeight="true" outlineLevel="0" collapsed="false">
      <c r="A2412" s="2" t="n">
        <f aca="false">'Raw Data'!H2412</f>
        <v>2411</v>
      </c>
      <c r="B2412" s="2" t="n">
        <f aca="false">'Raw Data'!A2412</f>
        <v>33</v>
      </c>
      <c r="C2412" s="2" t="str">
        <f aca="false">'Raw Data'!D2412</f>
        <v>Research &amp; Development</v>
      </c>
      <c r="D2412" s="2" t="str">
        <f aca="false">'Raw Data'!K2412</f>
        <v>Healthcare Representative</v>
      </c>
      <c r="E2412" s="2" t="n">
        <f aca="false">'Raw Data'!Q2412</f>
        <v>7</v>
      </c>
      <c r="F2412" s="2" t="n">
        <f aca="false">'Raw Data'!U2412</f>
        <v>2</v>
      </c>
      <c r="G2412" s="2" t="n">
        <f aca="false">'Raw Data'!W2412</f>
        <v>4</v>
      </c>
      <c r="H2412" s="2" t="n">
        <f aca="false">'Raw Data'!V2412</f>
        <v>3</v>
      </c>
      <c r="I2412" s="2" t="n">
        <f aca="false">IF(AND(ISNUMBER(B2412),B2412&lt;=25),2,0)+IF(AND(ISNUMBER(E2412),E2412&lt;=5),2,0)+IF(AND(ISNUMBER(F2412),F2412&lt;=1),2,0)+IF(AND(ISNUMBER(G2412),G2412&lt;=2),1,0)+IF(AND(ISNUMBER(H2412),H2412&lt;=2),1,0)</f>
        <v>0</v>
      </c>
      <c r="J2412" s="2" t="str">
        <f aca="false">IF(I2412&gt;=6,"High",IF(I2412&gt;=3,"Medium","Low"))</f>
        <v>Low</v>
      </c>
    </row>
    <row r="2413" customFormat="false" ht="15" hidden="false" customHeight="true" outlineLevel="0" collapsed="false">
      <c r="A2413" s="2" t="n">
        <f aca="false">'Raw Data'!H2413</f>
        <v>2412</v>
      </c>
      <c r="B2413" s="2" t="n">
        <f aca="false">'Raw Data'!A2413</f>
        <v>36</v>
      </c>
      <c r="C2413" s="2" t="str">
        <f aca="false">'Raw Data'!D2413</f>
        <v>Research &amp; Development</v>
      </c>
      <c r="D2413" s="2" t="str">
        <f aca="false">'Raw Data'!K2413</f>
        <v>Sales Executive</v>
      </c>
      <c r="E2413" s="2" t="n">
        <f aca="false">'Raw Data'!Q2413</f>
        <v>10</v>
      </c>
      <c r="F2413" s="2" t="n">
        <f aca="false">'Raw Data'!U2413</f>
        <v>2</v>
      </c>
      <c r="G2413" s="2" t="n">
        <f aca="false">'Raw Data'!W2413</f>
        <v>3</v>
      </c>
      <c r="H2413" s="2" t="n">
        <f aca="false">'Raw Data'!V2413</f>
        <v>1</v>
      </c>
      <c r="I2413" s="2" t="n">
        <f aca="false">IF(AND(ISNUMBER(B2413),B2413&lt;=25),2,0)+IF(AND(ISNUMBER(E2413),E2413&lt;=5),2,0)+IF(AND(ISNUMBER(F2413),F2413&lt;=1),2,0)+IF(AND(ISNUMBER(G2413),G2413&lt;=2),1,0)+IF(AND(ISNUMBER(H2413),H2413&lt;=2),1,0)</f>
        <v>1</v>
      </c>
      <c r="J2413" s="2" t="str">
        <f aca="false">IF(I2413&gt;=6,"High",IF(I2413&gt;=3,"Medium","Low"))</f>
        <v>Low</v>
      </c>
    </row>
    <row r="2414" customFormat="false" ht="15" hidden="false" customHeight="true" outlineLevel="0" collapsed="false">
      <c r="A2414" s="2" t="n">
        <f aca="false">'Raw Data'!H2414</f>
        <v>2413</v>
      </c>
      <c r="B2414" s="2" t="n">
        <f aca="false">'Raw Data'!A2414</f>
        <v>44</v>
      </c>
      <c r="C2414" s="2" t="str">
        <f aca="false">'Raw Data'!D2414</f>
        <v>Research &amp; Development</v>
      </c>
      <c r="D2414" s="2" t="str">
        <f aca="false">'Raw Data'!K2414</f>
        <v>Healthcare Representative</v>
      </c>
      <c r="E2414" s="2" t="n">
        <f aca="false">'Raw Data'!Q2414</f>
        <v>8</v>
      </c>
      <c r="F2414" s="2" t="n">
        <f aca="false">'Raw Data'!U2414</f>
        <v>2</v>
      </c>
      <c r="G2414" s="2" t="n">
        <f aca="false">'Raw Data'!W2414</f>
        <v>4</v>
      </c>
      <c r="H2414" s="2" t="n">
        <f aca="false">'Raw Data'!V2414</f>
        <v>3</v>
      </c>
      <c r="I2414" s="2" t="n">
        <f aca="false">IF(AND(ISNUMBER(B2414),B2414&lt;=25),2,0)+IF(AND(ISNUMBER(E2414),E2414&lt;=5),2,0)+IF(AND(ISNUMBER(F2414),F2414&lt;=1),2,0)+IF(AND(ISNUMBER(G2414),G2414&lt;=2),1,0)+IF(AND(ISNUMBER(H2414),H2414&lt;=2),1,0)</f>
        <v>0</v>
      </c>
      <c r="J2414" s="2" t="str">
        <f aca="false">IF(I2414&gt;=6,"High",IF(I2414&gt;=3,"Medium","Low"))</f>
        <v>Low</v>
      </c>
    </row>
    <row r="2415" customFormat="false" ht="15" hidden="false" customHeight="true" outlineLevel="0" collapsed="false">
      <c r="A2415" s="2" t="n">
        <f aca="false">'Raw Data'!H2415</f>
        <v>2414</v>
      </c>
      <c r="B2415" s="2" t="n">
        <f aca="false">'Raw Data'!A2415</f>
        <v>23</v>
      </c>
      <c r="C2415" s="2" t="str">
        <f aca="false">'Raw Data'!D2415</f>
        <v>Human Resources</v>
      </c>
      <c r="D2415" s="2" t="str">
        <f aca="false">'Raw Data'!K2415</f>
        <v>Laboratory Technician</v>
      </c>
      <c r="E2415" s="2" t="n">
        <f aca="false">'Raw Data'!Q2415</f>
        <v>5</v>
      </c>
      <c r="F2415" s="2" t="n">
        <f aca="false">'Raw Data'!U2415</f>
        <v>2</v>
      </c>
      <c r="G2415" s="2" t="n">
        <f aca="false">'Raw Data'!W2415</f>
        <v>3</v>
      </c>
      <c r="H2415" s="2" t="n">
        <f aca="false">'Raw Data'!V2415</f>
        <v>4</v>
      </c>
      <c r="I2415" s="2" t="n">
        <f aca="false">IF(AND(ISNUMBER(B2415),B2415&lt;=25),2,0)+IF(AND(ISNUMBER(E2415),E2415&lt;=5),2,0)+IF(AND(ISNUMBER(F2415),F2415&lt;=1),2,0)+IF(AND(ISNUMBER(G2415),G2415&lt;=2),1,0)+IF(AND(ISNUMBER(H2415),H2415&lt;=2),1,0)</f>
        <v>4</v>
      </c>
      <c r="J2415" s="2" t="str">
        <f aca="false">IF(I2415&gt;=6,"High",IF(I2415&gt;=3,"Medium","Low"))</f>
        <v>Medium</v>
      </c>
    </row>
    <row r="2416" customFormat="false" ht="15" hidden="false" customHeight="true" outlineLevel="0" collapsed="false">
      <c r="A2416" s="2" t="n">
        <f aca="false">'Raw Data'!H2416</f>
        <v>2415</v>
      </c>
      <c r="B2416" s="2" t="n">
        <f aca="false">'Raw Data'!A2416</f>
        <v>38</v>
      </c>
      <c r="C2416" s="2" t="str">
        <f aca="false">'Raw Data'!D2416</f>
        <v>Research &amp; Development</v>
      </c>
      <c r="D2416" s="2" t="str">
        <f aca="false">'Raw Data'!K2416</f>
        <v>Sales Executive</v>
      </c>
      <c r="E2416" s="2" t="n">
        <f aca="false">'Raw Data'!Q2416</f>
        <v>7</v>
      </c>
      <c r="F2416" s="2" t="n">
        <f aca="false">'Raw Data'!U2416</f>
        <v>0</v>
      </c>
      <c r="G2416" s="2" t="n">
        <f aca="false">'Raw Data'!W2416</f>
        <v>3</v>
      </c>
      <c r="H2416" s="2" t="n">
        <f aca="false">'Raw Data'!V2416</f>
        <v>4</v>
      </c>
      <c r="I2416" s="2" t="n">
        <f aca="false">IF(AND(ISNUMBER(B2416),B2416&lt;=25),2,0)+IF(AND(ISNUMBER(E2416),E2416&lt;=5),2,0)+IF(AND(ISNUMBER(F2416),F2416&lt;=1),2,0)+IF(AND(ISNUMBER(G2416),G2416&lt;=2),1,0)+IF(AND(ISNUMBER(H2416),H2416&lt;=2),1,0)</f>
        <v>2</v>
      </c>
      <c r="J2416" s="2" t="str">
        <f aca="false">IF(I2416&gt;=6,"High",IF(I2416&gt;=3,"Medium","Low"))</f>
        <v>Low</v>
      </c>
    </row>
    <row r="2417" customFormat="false" ht="15" hidden="false" customHeight="true" outlineLevel="0" collapsed="false">
      <c r="A2417" s="2" t="n">
        <f aca="false">'Raw Data'!H2417</f>
        <v>2416</v>
      </c>
      <c r="B2417" s="2" t="n">
        <f aca="false">'Raw Data'!A2417</f>
        <v>53</v>
      </c>
      <c r="C2417" s="2" t="str">
        <f aca="false">'Raw Data'!D2417</f>
        <v>Research &amp; Development</v>
      </c>
      <c r="D2417" s="2" t="str">
        <f aca="false">'Raw Data'!K2417</f>
        <v>Research Director</v>
      </c>
      <c r="E2417" s="2" t="n">
        <f aca="false">'Raw Data'!Q2417</f>
        <v>11</v>
      </c>
      <c r="F2417" s="2" t="n">
        <f aca="false">'Raw Data'!U2417</f>
        <v>2</v>
      </c>
      <c r="G2417" s="2" t="n">
        <f aca="false">'Raw Data'!W2417</f>
        <v>4</v>
      </c>
      <c r="H2417" s="2" t="n">
        <f aca="false">'Raw Data'!V2417</f>
        <v>2</v>
      </c>
      <c r="I2417" s="2" t="n">
        <f aca="false">IF(AND(ISNUMBER(B2417),B2417&lt;=25),2,0)+IF(AND(ISNUMBER(E2417),E2417&lt;=5),2,0)+IF(AND(ISNUMBER(F2417),F2417&lt;=1),2,0)+IF(AND(ISNUMBER(G2417),G2417&lt;=2),1,0)+IF(AND(ISNUMBER(H2417),H2417&lt;=2),1,0)</f>
        <v>1</v>
      </c>
      <c r="J2417" s="2" t="str">
        <f aca="false">IF(I2417&gt;=6,"High",IF(I2417&gt;=3,"Medium","Low"))</f>
        <v>Low</v>
      </c>
    </row>
    <row r="2418" customFormat="false" ht="15" hidden="false" customHeight="true" outlineLevel="0" collapsed="false">
      <c r="A2418" s="2" t="n">
        <f aca="false">'Raw Data'!H2418</f>
        <v>2417</v>
      </c>
      <c r="B2418" s="2" t="n">
        <f aca="false">'Raw Data'!A2418</f>
        <v>48</v>
      </c>
      <c r="C2418" s="2" t="str">
        <f aca="false">'Raw Data'!D2418</f>
        <v>Sales</v>
      </c>
      <c r="D2418" s="2" t="str">
        <f aca="false">'Raw Data'!K2418</f>
        <v>Healthcare Representative</v>
      </c>
      <c r="E2418" s="2" t="n">
        <f aca="false">'Raw Data'!Q2418</f>
        <v>19</v>
      </c>
      <c r="F2418" s="2" t="n">
        <f aca="false">'Raw Data'!U2418</f>
        <v>7</v>
      </c>
      <c r="G2418" s="2" t="n">
        <f aca="false">'Raw Data'!W2418</f>
        <v>3</v>
      </c>
      <c r="H2418" s="2" t="n">
        <f aca="false">'Raw Data'!V2418</f>
        <v>4</v>
      </c>
      <c r="I2418" s="2" t="n">
        <f aca="false">IF(AND(ISNUMBER(B2418),B2418&lt;=25),2,0)+IF(AND(ISNUMBER(E2418),E2418&lt;=5),2,0)+IF(AND(ISNUMBER(F2418),F2418&lt;=1),2,0)+IF(AND(ISNUMBER(G2418),G2418&lt;=2),1,0)+IF(AND(ISNUMBER(H2418),H2418&lt;=2),1,0)</f>
        <v>0</v>
      </c>
      <c r="J2418" s="2" t="str">
        <f aca="false">IF(I2418&gt;=6,"High",IF(I2418&gt;=3,"Medium","Low"))</f>
        <v>Low</v>
      </c>
    </row>
    <row r="2419" customFormat="false" ht="15" hidden="false" customHeight="true" outlineLevel="0" collapsed="false">
      <c r="A2419" s="2" t="n">
        <f aca="false">'Raw Data'!H2419</f>
        <v>2418</v>
      </c>
      <c r="B2419" s="2" t="n">
        <f aca="false">'Raw Data'!A2419</f>
        <v>32</v>
      </c>
      <c r="C2419" s="2" t="str">
        <f aca="false">'Raw Data'!D2419</f>
        <v>Sales</v>
      </c>
      <c r="D2419" s="2" t="str">
        <f aca="false">'Raw Data'!K2419</f>
        <v>Research Scientist</v>
      </c>
      <c r="E2419" s="2" t="n">
        <f aca="false">'Raw Data'!Q2419</f>
        <v>1</v>
      </c>
      <c r="F2419" s="2" t="n">
        <f aca="false">'Raw Data'!U2419</f>
        <v>0</v>
      </c>
      <c r="G2419" s="2" t="n">
        <f aca="false">'Raw Data'!W2419</f>
        <v>2</v>
      </c>
      <c r="H2419" s="2" t="n">
        <f aca="false">'Raw Data'!V2419</f>
        <v>4</v>
      </c>
      <c r="I2419" s="2" t="n">
        <f aca="false">IF(AND(ISNUMBER(B2419),B2419&lt;=25),2,0)+IF(AND(ISNUMBER(E2419),E2419&lt;=5),2,0)+IF(AND(ISNUMBER(F2419),F2419&lt;=1),2,0)+IF(AND(ISNUMBER(G2419),G2419&lt;=2),1,0)+IF(AND(ISNUMBER(H2419),H2419&lt;=2),1,0)</f>
        <v>5</v>
      </c>
      <c r="J2419" s="2" t="str">
        <f aca="false">IF(I2419&gt;=6,"High",IF(I2419&gt;=3,"Medium","Low"))</f>
        <v>Medium</v>
      </c>
    </row>
    <row r="2420" customFormat="false" ht="15" hidden="false" customHeight="true" outlineLevel="0" collapsed="false">
      <c r="A2420" s="2" t="n">
        <f aca="false">'Raw Data'!H2420</f>
        <v>2419</v>
      </c>
      <c r="B2420" s="2" t="n">
        <f aca="false">'Raw Data'!A2420</f>
        <v>26</v>
      </c>
      <c r="C2420" s="2" t="str">
        <f aca="false">'Raw Data'!D2420</f>
        <v>Research &amp; Development</v>
      </c>
      <c r="D2420" s="2" t="str">
        <f aca="false">'Raw Data'!K2420</f>
        <v>Human Resources</v>
      </c>
      <c r="E2420" s="2" t="n">
        <f aca="false">'Raw Data'!Q2420</f>
        <v>7</v>
      </c>
      <c r="F2420" s="2" t="n">
        <f aca="false">'Raw Data'!U2420</f>
        <v>7</v>
      </c>
      <c r="G2420" s="2" t="n">
        <f aca="false">'Raw Data'!W2420</f>
        <v>4</v>
      </c>
      <c r="H2420" s="2" t="n">
        <f aca="false">'Raw Data'!V2420</f>
        <v>4</v>
      </c>
      <c r="I2420" s="2" t="n">
        <f aca="false">IF(AND(ISNUMBER(B2420),B2420&lt;=25),2,0)+IF(AND(ISNUMBER(E2420),E2420&lt;=5),2,0)+IF(AND(ISNUMBER(F2420),F2420&lt;=1),2,0)+IF(AND(ISNUMBER(G2420),G2420&lt;=2),1,0)+IF(AND(ISNUMBER(H2420),H2420&lt;=2),1,0)</f>
        <v>0</v>
      </c>
      <c r="J2420" s="2" t="str">
        <f aca="false">IF(I2420&gt;=6,"High",IF(I2420&gt;=3,"Medium","Low"))</f>
        <v>Low</v>
      </c>
    </row>
    <row r="2421" customFormat="false" ht="15" hidden="false" customHeight="true" outlineLevel="0" collapsed="false">
      <c r="A2421" s="2" t="n">
        <f aca="false">'Raw Data'!H2421</f>
        <v>2420</v>
      </c>
      <c r="B2421" s="2" t="n">
        <f aca="false">'Raw Data'!A2421</f>
        <v>55</v>
      </c>
      <c r="C2421" s="2" t="str">
        <f aca="false">'Raw Data'!D2421</f>
        <v>Research &amp; Development</v>
      </c>
      <c r="D2421" s="2" t="str">
        <f aca="false">'Raw Data'!K2421</f>
        <v>Laboratory Technician</v>
      </c>
      <c r="E2421" s="2" t="n">
        <f aca="false">'Raw Data'!Q2421</f>
        <v>8</v>
      </c>
      <c r="F2421" s="2" t="n">
        <f aca="false">'Raw Data'!U2421</f>
        <v>2</v>
      </c>
      <c r="G2421" s="2" t="n">
        <f aca="false">'Raw Data'!W2421</f>
        <v>2</v>
      </c>
      <c r="H2421" s="2" t="n">
        <f aca="false">'Raw Data'!V2421</f>
        <v>1</v>
      </c>
      <c r="I2421" s="2" t="n">
        <f aca="false">IF(AND(ISNUMBER(B2421),B2421&lt;=25),2,0)+IF(AND(ISNUMBER(E2421),E2421&lt;=5),2,0)+IF(AND(ISNUMBER(F2421),F2421&lt;=1),2,0)+IF(AND(ISNUMBER(G2421),G2421&lt;=2),1,0)+IF(AND(ISNUMBER(H2421),H2421&lt;=2),1,0)</f>
        <v>2</v>
      </c>
      <c r="J2421" s="2" t="str">
        <f aca="false">IF(I2421&gt;=6,"High",IF(I2421&gt;=3,"Medium","Low"))</f>
        <v>Low</v>
      </c>
    </row>
    <row r="2422" customFormat="false" ht="15" hidden="false" customHeight="true" outlineLevel="0" collapsed="false">
      <c r="A2422" s="2" t="n">
        <f aca="false">'Raw Data'!H2422</f>
        <v>2421</v>
      </c>
      <c r="B2422" s="2" t="n">
        <f aca="false">'Raw Data'!A2422</f>
        <v>34</v>
      </c>
      <c r="C2422" s="2" t="str">
        <f aca="false">'Raw Data'!D2422</f>
        <v>Sales</v>
      </c>
      <c r="D2422" s="2" t="str">
        <f aca="false">'Raw Data'!K2422</f>
        <v>Research Scientist</v>
      </c>
      <c r="E2422" s="2" t="n">
        <f aca="false">'Raw Data'!Q2422</f>
        <v>15</v>
      </c>
      <c r="F2422" s="2" t="n">
        <f aca="false">'Raw Data'!U2422</f>
        <v>13</v>
      </c>
      <c r="G2422" s="2" t="n">
        <f aca="false">'Raw Data'!W2422</f>
        <v>4</v>
      </c>
      <c r="H2422" s="2" t="n">
        <f aca="false">'Raw Data'!V2422</f>
        <v>2</v>
      </c>
      <c r="I2422" s="2" t="n">
        <f aca="false">IF(AND(ISNUMBER(B2422),B2422&lt;=25),2,0)+IF(AND(ISNUMBER(E2422),E2422&lt;=5),2,0)+IF(AND(ISNUMBER(F2422),F2422&lt;=1),2,0)+IF(AND(ISNUMBER(G2422),G2422&lt;=2),1,0)+IF(AND(ISNUMBER(H2422),H2422&lt;=2),1,0)</f>
        <v>1</v>
      </c>
      <c r="J2422" s="2" t="str">
        <f aca="false">IF(I2422&gt;=6,"High",IF(I2422&gt;=3,"Medium","Low"))</f>
        <v>Low</v>
      </c>
    </row>
    <row r="2423" customFormat="false" ht="15" hidden="false" customHeight="true" outlineLevel="0" collapsed="false">
      <c r="A2423" s="2" t="n">
        <f aca="false">'Raw Data'!H2423</f>
        <v>2422</v>
      </c>
      <c r="B2423" s="2" t="n">
        <f aca="false">'Raw Data'!A2423</f>
        <v>60</v>
      </c>
      <c r="C2423" s="2" t="str">
        <f aca="false">'Raw Data'!D2423</f>
        <v>Sales</v>
      </c>
      <c r="D2423" s="2" t="str">
        <f aca="false">'Raw Data'!K2423</f>
        <v>Manager</v>
      </c>
      <c r="E2423" s="2" t="n">
        <f aca="false">'Raw Data'!Q2423</f>
        <v>19</v>
      </c>
      <c r="F2423" s="2" t="n">
        <f aca="false">'Raw Data'!U2423</f>
        <v>0</v>
      </c>
      <c r="G2423" s="2" t="n">
        <f aca="false">'Raw Data'!W2423</f>
        <v>4</v>
      </c>
      <c r="H2423" s="2" t="n">
        <f aca="false">'Raw Data'!V2423</f>
        <v>3</v>
      </c>
      <c r="I2423" s="2" t="n">
        <f aca="false">IF(AND(ISNUMBER(B2423),B2423&lt;=25),2,0)+IF(AND(ISNUMBER(E2423),E2423&lt;=5),2,0)+IF(AND(ISNUMBER(F2423),F2423&lt;=1),2,0)+IF(AND(ISNUMBER(G2423),G2423&lt;=2),1,0)+IF(AND(ISNUMBER(H2423),H2423&lt;=2),1,0)</f>
        <v>2</v>
      </c>
      <c r="J2423" s="2" t="str">
        <f aca="false">IF(I2423&gt;=6,"High",IF(I2423&gt;=3,"Medium","Low"))</f>
        <v>Low</v>
      </c>
    </row>
    <row r="2424" customFormat="false" ht="15" hidden="false" customHeight="true" outlineLevel="0" collapsed="false">
      <c r="A2424" s="2" t="n">
        <f aca="false">'Raw Data'!H2424</f>
        <v>2423</v>
      </c>
      <c r="B2424" s="2" t="n">
        <f aca="false">'Raw Data'!A2424</f>
        <v>33</v>
      </c>
      <c r="C2424" s="2" t="str">
        <f aca="false">'Raw Data'!D2424</f>
        <v>Sales</v>
      </c>
      <c r="D2424" s="2" t="str">
        <f aca="false">'Raw Data'!K2424</f>
        <v>Manager</v>
      </c>
      <c r="E2424" s="2" t="n">
        <f aca="false">'Raw Data'!Q2424</f>
        <v>14</v>
      </c>
      <c r="F2424" s="2" t="n">
        <f aca="false">'Raw Data'!U2424</f>
        <v>13</v>
      </c>
      <c r="G2424" s="2" t="n">
        <f aca="false">'Raw Data'!W2424</f>
        <v>2</v>
      </c>
      <c r="H2424" s="2" t="n">
        <f aca="false">'Raw Data'!V2424</f>
        <v>2</v>
      </c>
      <c r="I2424" s="2" t="n">
        <f aca="false">IF(AND(ISNUMBER(B2424),B2424&lt;=25),2,0)+IF(AND(ISNUMBER(E2424),E2424&lt;=5),2,0)+IF(AND(ISNUMBER(F2424),F2424&lt;=1),2,0)+IF(AND(ISNUMBER(G2424),G2424&lt;=2),1,0)+IF(AND(ISNUMBER(H2424),H2424&lt;=2),1,0)</f>
        <v>2</v>
      </c>
      <c r="J2424" s="2" t="str">
        <f aca="false">IF(I2424&gt;=6,"High",IF(I2424&gt;=3,"Medium","Low"))</f>
        <v>Low</v>
      </c>
    </row>
    <row r="2425" customFormat="false" ht="15" hidden="false" customHeight="true" outlineLevel="0" collapsed="false">
      <c r="A2425" s="2" t="n">
        <f aca="false">'Raw Data'!H2425</f>
        <v>2424</v>
      </c>
      <c r="B2425" s="2" t="n">
        <f aca="false">'Raw Data'!A2425</f>
        <v>37</v>
      </c>
      <c r="C2425" s="2" t="str">
        <f aca="false">'Raw Data'!D2425</f>
        <v>Research &amp; Development</v>
      </c>
      <c r="D2425" s="2" t="str">
        <f aca="false">'Raw Data'!K2425</f>
        <v>Laboratory Technician</v>
      </c>
      <c r="E2425" s="2" t="n">
        <f aca="false">'Raw Data'!Q2425</f>
        <v>6</v>
      </c>
      <c r="F2425" s="2" t="n">
        <f aca="false">'Raw Data'!U2425</f>
        <v>3</v>
      </c>
      <c r="G2425" s="2" t="n">
        <f aca="false">'Raw Data'!W2425</f>
        <v>4</v>
      </c>
      <c r="H2425" s="2" t="n">
        <f aca="false">'Raw Data'!V2425</f>
        <v>3</v>
      </c>
      <c r="I2425" s="2" t="n">
        <f aca="false">IF(AND(ISNUMBER(B2425),B2425&lt;=25),2,0)+IF(AND(ISNUMBER(E2425),E2425&lt;=5),2,0)+IF(AND(ISNUMBER(F2425),F2425&lt;=1),2,0)+IF(AND(ISNUMBER(G2425),G2425&lt;=2),1,0)+IF(AND(ISNUMBER(H2425),H2425&lt;=2),1,0)</f>
        <v>0</v>
      </c>
      <c r="J2425" s="2" t="str">
        <f aca="false">IF(I2425&gt;=6,"High",IF(I2425&gt;=3,"Medium","Low"))</f>
        <v>Low</v>
      </c>
    </row>
    <row r="2426" customFormat="false" ht="15" hidden="false" customHeight="true" outlineLevel="0" collapsed="false">
      <c r="A2426" s="2" t="n">
        <f aca="false">'Raw Data'!H2426</f>
        <v>2425</v>
      </c>
      <c r="B2426" s="2" t="n">
        <f aca="false">'Raw Data'!A2426</f>
        <v>34</v>
      </c>
      <c r="C2426" s="2" t="str">
        <f aca="false">'Raw Data'!D2426</f>
        <v>Research &amp; Development</v>
      </c>
      <c r="D2426" s="2" t="str">
        <f aca="false">'Raw Data'!K2426</f>
        <v>Healthcare Representative</v>
      </c>
      <c r="E2426" s="2" t="n">
        <f aca="false">'Raw Data'!Q2426</f>
        <v>10</v>
      </c>
      <c r="F2426" s="2" t="n">
        <f aca="false">'Raw Data'!U2426</f>
        <v>7</v>
      </c>
      <c r="G2426" s="2" t="n">
        <f aca="false">'Raw Data'!W2426</f>
        <v>4</v>
      </c>
      <c r="H2426" s="2" t="n">
        <f aca="false">'Raw Data'!V2426</f>
        <v>2</v>
      </c>
      <c r="I2426" s="2" t="n">
        <f aca="false">IF(AND(ISNUMBER(B2426),B2426&lt;=25),2,0)+IF(AND(ISNUMBER(E2426),E2426&lt;=5),2,0)+IF(AND(ISNUMBER(F2426),F2426&lt;=1),2,0)+IF(AND(ISNUMBER(G2426),G2426&lt;=2),1,0)+IF(AND(ISNUMBER(H2426),H2426&lt;=2),1,0)</f>
        <v>1</v>
      </c>
      <c r="J2426" s="2" t="str">
        <f aca="false">IF(I2426&gt;=6,"High",IF(I2426&gt;=3,"Medium","Low"))</f>
        <v>Low</v>
      </c>
    </row>
    <row r="2427" customFormat="false" ht="15" hidden="false" customHeight="true" outlineLevel="0" collapsed="false">
      <c r="A2427" s="2" t="n">
        <f aca="false">'Raw Data'!H2427</f>
        <v>2426</v>
      </c>
      <c r="B2427" s="2" t="n">
        <f aca="false">'Raw Data'!A2427</f>
        <v>23</v>
      </c>
      <c r="C2427" s="2" t="str">
        <f aca="false">'Raw Data'!D2427</f>
        <v>Research &amp; Development</v>
      </c>
      <c r="D2427" s="2" t="str">
        <f aca="false">'Raw Data'!K2427</f>
        <v>Research Scientist</v>
      </c>
      <c r="E2427" s="2" t="n">
        <f aca="false">'Raw Data'!Q2427</f>
        <v>3</v>
      </c>
      <c r="F2427" s="2" t="n">
        <f aca="false">'Raw Data'!U2427</f>
        <v>2</v>
      </c>
      <c r="G2427" s="2" t="n">
        <f aca="false">'Raw Data'!W2427</f>
        <v>4</v>
      </c>
      <c r="H2427" s="2" t="n">
        <f aca="false">'Raw Data'!V2427</f>
        <v>3</v>
      </c>
      <c r="I2427" s="2" t="n">
        <f aca="false">IF(AND(ISNUMBER(B2427),B2427&lt;=25),2,0)+IF(AND(ISNUMBER(E2427),E2427&lt;=5),2,0)+IF(AND(ISNUMBER(F2427),F2427&lt;=1),2,0)+IF(AND(ISNUMBER(G2427),G2427&lt;=2),1,0)+IF(AND(ISNUMBER(H2427),H2427&lt;=2),1,0)</f>
        <v>4</v>
      </c>
      <c r="J2427" s="2" t="str">
        <f aca="false">IF(I2427&gt;=6,"High",IF(I2427&gt;=3,"Medium","Low"))</f>
        <v>Medium</v>
      </c>
    </row>
    <row r="2428" customFormat="false" ht="15" hidden="false" customHeight="true" outlineLevel="0" collapsed="false">
      <c r="A2428" s="2" t="n">
        <f aca="false">'Raw Data'!H2428</f>
        <v>2427</v>
      </c>
      <c r="B2428" s="2" t="n">
        <f aca="false">'Raw Data'!A2428</f>
        <v>44</v>
      </c>
      <c r="C2428" s="2" t="str">
        <f aca="false">'Raw Data'!D2428</f>
        <v>Human Resources</v>
      </c>
      <c r="D2428" s="2" t="str">
        <f aca="false">'Raw Data'!K2428</f>
        <v>Research Scientist</v>
      </c>
      <c r="E2428" s="2" t="n">
        <f aca="false">'Raw Data'!Q2428</f>
        <v>9</v>
      </c>
      <c r="F2428" s="2" t="n">
        <f aca="false">'Raw Data'!U2428</f>
        <v>7</v>
      </c>
      <c r="G2428" s="2" t="n">
        <f aca="false">'Raw Data'!W2428</f>
        <v>4</v>
      </c>
      <c r="H2428" s="2" t="n">
        <f aca="false">'Raw Data'!V2428</f>
        <v>3</v>
      </c>
      <c r="I2428" s="2" t="n">
        <f aca="false">IF(AND(ISNUMBER(B2428),B2428&lt;=25),2,0)+IF(AND(ISNUMBER(E2428),E2428&lt;=5),2,0)+IF(AND(ISNUMBER(F2428),F2428&lt;=1),2,0)+IF(AND(ISNUMBER(G2428),G2428&lt;=2),1,0)+IF(AND(ISNUMBER(H2428),H2428&lt;=2),1,0)</f>
        <v>0</v>
      </c>
      <c r="J2428" s="2" t="str">
        <f aca="false">IF(I2428&gt;=6,"High",IF(I2428&gt;=3,"Medium","Low"))</f>
        <v>Low</v>
      </c>
    </row>
    <row r="2429" customFormat="false" ht="15" hidden="false" customHeight="true" outlineLevel="0" collapsed="false">
      <c r="A2429" s="2" t="n">
        <f aca="false">'Raw Data'!H2429</f>
        <v>2428</v>
      </c>
      <c r="B2429" s="2" t="n">
        <f aca="false">'Raw Data'!A2429</f>
        <v>35</v>
      </c>
      <c r="C2429" s="2" t="str">
        <f aca="false">'Raw Data'!D2429</f>
        <v>Research &amp; Development</v>
      </c>
      <c r="D2429" s="2" t="str">
        <f aca="false">'Raw Data'!K2429</f>
        <v>Sales Executive</v>
      </c>
      <c r="E2429" s="2" t="n">
        <f aca="false">'Raw Data'!Q2429</f>
        <v>6</v>
      </c>
      <c r="F2429" s="2" t="n">
        <f aca="false">'Raw Data'!U2429</f>
        <v>4</v>
      </c>
      <c r="G2429" s="2" t="n">
        <f aca="false">'Raw Data'!W2429</f>
        <v>4</v>
      </c>
      <c r="H2429" s="2" t="n">
        <f aca="false">'Raw Data'!V2429</f>
        <v>1</v>
      </c>
      <c r="I2429" s="2" t="n">
        <f aca="false">IF(AND(ISNUMBER(B2429),B2429&lt;=25),2,0)+IF(AND(ISNUMBER(E2429),E2429&lt;=5),2,0)+IF(AND(ISNUMBER(F2429),F2429&lt;=1),2,0)+IF(AND(ISNUMBER(G2429),G2429&lt;=2),1,0)+IF(AND(ISNUMBER(H2429),H2429&lt;=2),1,0)</f>
        <v>1</v>
      </c>
      <c r="J2429" s="2" t="str">
        <f aca="false">IF(I2429&gt;=6,"High",IF(I2429&gt;=3,"Medium","Low"))</f>
        <v>Low</v>
      </c>
    </row>
    <row r="2430" customFormat="false" ht="15" hidden="false" customHeight="true" outlineLevel="0" collapsed="false">
      <c r="A2430" s="2" t="n">
        <f aca="false">'Raw Data'!H2430</f>
        <v>2429</v>
      </c>
      <c r="B2430" s="2" t="n">
        <f aca="false">'Raw Data'!A2430</f>
        <v>43</v>
      </c>
      <c r="C2430" s="2" t="str">
        <f aca="false">'Raw Data'!D2430</f>
        <v>Research &amp; Development</v>
      </c>
      <c r="D2430" s="2" t="str">
        <f aca="false">'Raw Data'!K2430</f>
        <v>Sales Executive</v>
      </c>
      <c r="E2430" s="2" t="n">
        <f aca="false">'Raw Data'!Q2430</f>
        <v>10</v>
      </c>
      <c r="F2430" s="2" t="n">
        <f aca="false">'Raw Data'!U2430</f>
        <v>8</v>
      </c>
      <c r="G2430" s="2" t="n">
        <f aca="false">'Raw Data'!W2430</f>
        <v>4</v>
      </c>
      <c r="H2430" s="2" t="n">
        <f aca="false">'Raw Data'!V2430</f>
        <v>4</v>
      </c>
      <c r="I2430" s="2" t="n">
        <f aca="false">IF(AND(ISNUMBER(B2430),B2430&lt;=25),2,0)+IF(AND(ISNUMBER(E2430),E2430&lt;=5),2,0)+IF(AND(ISNUMBER(F2430),F2430&lt;=1),2,0)+IF(AND(ISNUMBER(G2430),G2430&lt;=2),1,0)+IF(AND(ISNUMBER(H2430),H2430&lt;=2),1,0)</f>
        <v>0</v>
      </c>
      <c r="J2430" s="2" t="str">
        <f aca="false">IF(I2430&gt;=6,"High",IF(I2430&gt;=3,"Medium","Low"))</f>
        <v>Low</v>
      </c>
    </row>
    <row r="2431" customFormat="false" ht="15" hidden="false" customHeight="true" outlineLevel="0" collapsed="false">
      <c r="A2431" s="2" t="n">
        <f aca="false">'Raw Data'!H2431</f>
        <v>2430</v>
      </c>
      <c r="B2431" s="2" t="n">
        <f aca="false">'Raw Data'!A2431</f>
        <v>24</v>
      </c>
      <c r="C2431" s="2" t="str">
        <f aca="false">'Raw Data'!D2431</f>
        <v>Research &amp; Development</v>
      </c>
      <c r="D2431" s="2" t="str">
        <f aca="false">'Raw Data'!K2431</f>
        <v>Sales Executive</v>
      </c>
      <c r="E2431" s="2" t="n">
        <f aca="false">'Raw Data'!Q2431</f>
        <v>5</v>
      </c>
      <c r="F2431" s="2" t="n">
        <f aca="false">'Raw Data'!U2431</f>
        <v>4</v>
      </c>
      <c r="G2431" s="2" t="n">
        <f aca="false">'Raw Data'!W2431</f>
        <v>3</v>
      </c>
      <c r="H2431" s="2" t="n">
        <f aca="false">'Raw Data'!V2431</f>
        <v>3</v>
      </c>
      <c r="I2431" s="2" t="n">
        <f aca="false">IF(AND(ISNUMBER(B2431),B2431&lt;=25),2,0)+IF(AND(ISNUMBER(E2431),E2431&lt;=5),2,0)+IF(AND(ISNUMBER(F2431),F2431&lt;=1),2,0)+IF(AND(ISNUMBER(G2431),G2431&lt;=2),1,0)+IF(AND(ISNUMBER(H2431),H2431&lt;=2),1,0)</f>
        <v>4</v>
      </c>
      <c r="J2431" s="2" t="str">
        <f aca="false">IF(I2431&gt;=6,"High",IF(I2431&gt;=3,"Medium","Low"))</f>
        <v>Medium</v>
      </c>
    </row>
    <row r="2432" customFormat="false" ht="15" hidden="false" customHeight="true" outlineLevel="0" collapsed="false">
      <c r="A2432" s="2" t="n">
        <f aca="false">'Raw Data'!H2432</f>
        <v>2431</v>
      </c>
      <c r="B2432" s="2" t="n">
        <f aca="false">'Raw Data'!A2432</f>
        <v>41</v>
      </c>
      <c r="C2432" s="2" t="str">
        <f aca="false">'Raw Data'!D2432</f>
        <v>Sales</v>
      </c>
      <c r="D2432" s="2" t="str">
        <f aca="false">'Raw Data'!K2432</f>
        <v>Research Scientist</v>
      </c>
      <c r="E2432" s="2" t="n">
        <f aca="false">'Raw Data'!Q2432</f>
        <v>10</v>
      </c>
      <c r="F2432" s="2" t="n">
        <f aca="false">'Raw Data'!U2432</f>
        <v>7</v>
      </c>
      <c r="G2432" s="2" t="n">
        <f aca="false">'Raw Data'!W2432</f>
        <v>3</v>
      </c>
      <c r="H2432" s="2" t="n">
        <f aca="false">'Raw Data'!V2432</f>
        <v>4</v>
      </c>
      <c r="I2432" s="2" t="n">
        <f aca="false">IF(AND(ISNUMBER(B2432),B2432&lt;=25),2,0)+IF(AND(ISNUMBER(E2432),E2432&lt;=5),2,0)+IF(AND(ISNUMBER(F2432),F2432&lt;=1),2,0)+IF(AND(ISNUMBER(G2432),G2432&lt;=2),1,0)+IF(AND(ISNUMBER(H2432),H2432&lt;=2),1,0)</f>
        <v>0</v>
      </c>
      <c r="J2432" s="2" t="str">
        <f aca="false">IF(I2432&gt;=6,"High",IF(I2432&gt;=3,"Medium","Low"))</f>
        <v>Low</v>
      </c>
    </row>
    <row r="2433" customFormat="false" ht="15" hidden="false" customHeight="true" outlineLevel="0" collapsed="false">
      <c r="A2433" s="2" t="n">
        <f aca="false">'Raw Data'!H2433</f>
        <v>2432</v>
      </c>
      <c r="B2433" s="2" t="n">
        <f aca="false">'Raw Data'!A2433</f>
        <v>29</v>
      </c>
      <c r="C2433" s="2" t="str">
        <f aca="false">'Raw Data'!D2433</f>
        <v>Research &amp; Development</v>
      </c>
      <c r="D2433" s="2" t="str">
        <f aca="false">'Raw Data'!K2433</f>
        <v>Research Scientist</v>
      </c>
      <c r="E2433" s="2" t="n">
        <f aca="false">'Raw Data'!Q2433</f>
        <v>9</v>
      </c>
      <c r="F2433" s="2" t="n">
        <f aca="false">'Raw Data'!U2433</f>
        <v>2</v>
      </c>
      <c r="G2433" s="2" t="n">
        <f aca="false">'Raw Data'!W2433</f>
        <v>3</v>
      </c>
      <c r="H2433" s="2" t="n">
        <f aca="false">'Raw Data'!V2433</f>
        <v>4</v>
      </c>
      <c r="I2433" s="2" t="n">
        <f aca="false">IF(AND(ISNUMBER(B2433),B2433&lt;=25),2,0)+IF(AND(ISNUMBER(E2433),E2433&lt;=5),2,0)+IF(AND(ISNUMBER(F2433),F2433&lt;=1),2,0)+IF(AND(ISNUMBER(G2433),G2433&lt;=2),1,0)+IF(AND(ISNUMBER(H2433),H2433&lt;=2),1,0)</f>
        <v>0</v>
      </c>
      <c r="J2433" s="2" t="str">
        <f aca="false">IF(I2433&gt;=6,"High",IF(I2433&gt;=3,"Medium","Low"))</f>
        <v>Low</v>
      </c>
    </row>
    <row r="2434" customFormat="false" ht="15" hidden="false" customHeight="true" outlineLevel="0" collapsed="false">
      <c r="A2434" s="2" t="n">
        <f aca="false">'Raw Data'!H2434</f>
        <v>2433</v>
      </c>
      <c r="B2434" s="2" t="n">
        <f aca="false">'Raw Data'!A2434</f>
        <v>36</v>
      </c>
      <c r="C2434" s="2" t="str">
        <f aca="false">'Raw Data'!D2434</f>
        <v>Human Resources</v>
      </c>
      <c r="D2434" s="2" t="str">
        <f aca="false">'Raw Data'!K2434</f>
        <v>Research Scientist</v>
      </c>
      <c r="E2434" s="2" t="n">
        <f aca="false">'Raw Data'!Q2434</f>
        <v>17</v>
      </c>
      <c r="F2434" s="2" t="n">
        <f aca="false">'Raw Data'!U2434</f>
        <v>7</v>
      </c>
      <c r="G2434" s="2" t="n">
        <f aca="false">'Raw Data'!W2434</f>
        <v>4</v>
      </c>
      <c r="H2434" s="2" t="n">
        <f aca="false">'Raw Data'!V2434</f>
        <v>3</v>
      </c>
      <c r="I2434" s="2" t="n">
        <f aca="false">IF(AND(ISNUMBER(B2434),B2434&lt;=25),2,0)+IF(AND(ISNUMBER(E2434),E2434&lt;=5),2,0)+IF(AND(ISNUMBER(F2434),F2434&lt;=1),2,0)+IF(AND(ISNUMBER(G2434),G2434&lt;=2),1,0)+IF(AND(ISNUMBER(H2434),H2434&lt;=2),1,0)</f>
        <v>0</v>
      </c>
      <c r="J2434" s="2" t="str">
        <f aca="false">IF(I2434&gt;=6,"High",IF(I2434&gt;=3,"Medium","Low"))</f>
        <v>Low</v>
      </c>
    </row>
    <row r="2435" customFormat="false" ht="15" hidden="false" customHeight="true" outlineLevel="0" collapsed="false">
      <c r="A2435" s="2" t="n">
        <f aca="false">'Raw Data'!H2435</f>
        <v>2434</v>
      </c>
      <c r="B2435" s="2" t="n">
        <f aca="false">'Raw Data'!A2435</f>
        <v>45</v>
      </c>
      <c r="C2435" s="2" t="str">
        <f aca="false">'Raw Data'!D2435</f>
        <v>Sales</v>
      </c>
      <c r="D2435" s="2" t="str">
        <f aca="false">'Raw Data'!K2435</f>
        <v>Manufacturing Director</v>
      </c>
      <c r="E2435" s="2" t="n">
        <f aca="false">'Raw Data'!Q2435</f>
        <v>25</v>
      </c>
      <c r="F2435" s="2" t="n">
        <f aca="false">'Raw Data'!U2435</f>
        <v>4</v>
      </c>
      <c r="G2435" s="2" t="n">
        <f aca="false">'Raw Data'!W2435</f>
        <v>3</v>
      </c>
      <c r="H2435" s="2" t="n">
        <f aca="false">'Raw Data'!V2435</f>
        <v>3</v>
      </c>
      <c r="I2435" s="2" t="n">
        <f aca="false">IF(AND(ISNUMBER(B2435),B2435&lt;=25),2,0)+IF(AND(ISNUMBER(E2435),E2435&lt;=5),2,0)+IF(AND(ISNUMBER(F2435),F2435&lt;=1),2,0)+IF(AND(ISNUMBER(G2435),G2435&lt;=2),1,0)+IF(AND(ISNUMBER(H2435),H2435&lt;=2),1,0)</f>
        <v>0</v>
      </c>
      <c r="J2435" s="2" t="str">
        <f aca="false">IF(I2435&gt;=6,"High",IF(I2435&gt;=3,"Medium","Low"))</f>
        <v>Low</v>
      </c>
    </row>
    <row r="2436" customFormat="false" ht="15" hidden="false" customHeight="true" outlineLevel="0" collapsed="false">
      <c r="A2436" s="2" t="n">
        <f aca="false">'Raw Data'!H2436</f>
        <v>2435</v>
      </c>
      <c r="B2436" s="2" t="n">
        <f aca="false">'Raw Data'!A2436</f>
        <v>24</v>
      </c>
      <c r="C2436" s="2" t="str">
        <f aca="false">'Raw Data'!D2436</f>
        <v>Sales</v>
      </c>
      <c r="D2436" s="2" t="str">
        <f aca="false">'Raw Data'!K2436</f>
        <v>Manager</v>
      </c>
      <c r="E2436" s="2" t="n">
        <f aca="false">'Raw Data'!Q2436</f>
        <v>1</v>
      </c>
      <c r="F2436" s="2" t="n">
        <f aca="false">'Raw Data'!U2436</f>
        <v>0</v>
      </c>
      <c r="G2436" s="2" t="n">
        <f aca="false">'Raw Data'!W2436</f>
        <v>3</v>
      </c>
      <c r="H2436" s="2" t="n">
        <f aca="false">'Raw Data'!V2436</f>
        <v>4</v>
      </c>
      <c r="I2436" s="2" t="n">
        <f aca="false">IF(AND(ISNUMBER(B2436),B2436&lt;=25),2,0)+IF(AND(ISNUMBER(E2436),E2436&lt;=5),2,0)+IF(AND(ISNUMBER(F2436),F2436&lt;=1),2,0)+IF(AND(ISNUMBER(G2436),G2436&lt;=2),1,0)+IF(AND(ISNUMBER(H2436),H2436&lt;=2),1,0)</f>
        <v>6</v>
      </c>
      <c r="J2436" s="2" t="str">
        <f aca="false">IF(I2436&gt;=6,"High",IF(I2436&gt;=3,"Medium","Low"))</f>
        <v>High</v>
      </c>
    </row>
    <row r="2437" customFormat="false" ht="15" hidden="false" customHeight="true" outlineLevel="0" collapsed="false">
      <c r="A2437" s="2" t="n">
        <f aca="false">'Raw Data'!H2437</f>
        <v>2436</v>
      </c>
      <c r="B2437" s="2" t="n">
        <f aca="false">'Raw Data'!A2437</f>
        <v>47</v>
      </c>
      <c r="C2437" s="2" t="str">
        <f aca="false">'Raw Data'!D2437</f>
        <v>Research &amp; Development</v>
      </c>
      <c r="D2437" s="2" t="str">
        <f aca="false">'Raw Data'!K2437</f>
        <v>Sales Executive</v>
      </c>
      <c r="E2437" s="2" t="n">
        <f aca="false">'Raw Data'!Q2437</f>
        <v>25</v>
      </c>
      <c r="F2437" s="2" t="n">
        <f aca="false">'Raw Data'!U2437</f>
        <v>10</v>
      </c>
      <c r="G2437" s="2" t="n">
        <f aca="false">'Raw Data'!W2437</f>
        <v>3</v>
      </c>
      <c r="H2437" s="2" t="n">
        <f aca="false">'Raw Data'!V2437</f>
        <v>3</v>
      </c>
      <c r="I2437" s="2" t="n">
        <f aca="false">IF(AND(ISNUMBER(B2437),B2437&lt;=25),2,0)+IF(AND(ISNUMBER(E2437),E2437&lt;=5),2,0)+IF(AND(ISNUMBER(F2437),F2437&lt;=1),2,0)+IF(AND(ISNUMBER(G2437),G2437&lt;=2),1,0)+IF(AND(ISNUMBER(H2437),H2437&lt;=2),1,0)</f>
        <v>0</v>
      </c>
      <c r="J2437" s="2" t="str">
        <f aca="false">IF(I2437&gt;=6,"High",IF(I2437&gt;=3,"Medium","Low"))</f>
        <v>Low</v>
      </c>
    </row>
    <row r="2438" customFormat="false" ht="15" hidden="false" customHeight="true" outlineLevel="0" collapsed="false">
      <c r="A2438" s="2" t="n">
        <f aca="false">'Raw Data'!H2438</f>
        <v>2437</v>
      </c>
      <c r="B2438" s="2" t="n">
        <f aca="false">'Raw Data'!A2438</f>
        <v>26</v>
      </c>
      <c r="C2438" s="2" t="str">
        <f aca="false">'Raw Data'!D2438</f>
        <v>Research &amp; Development</v>
      </c>
      <c r="D2438" s="2" t="str">
        <f aca="false">'Raw Data'!K2438</f>
        <v>Sales Executive</v>
      </c>
      <c r="E2438" s="2" t="n">
        <f aca="false">'Raw Data'!Q2438</f>
        <v>3</v>
      </c>
      <c r="F2438" s="2" t="n">
        <f aca="false">'Raw Data'!U2438</f>
        <v>2</v>
      </c>
      <c r="G2438" s="2" t="n">
        <f aca="false">'Raw Data'!W2438</f>
        <v>3</v>
      </c>
      <c r="H2438" s="2" t="n">
        <f aca="false">'Raw Data'!V2438</f>
        <v>4</v>
      </c>
      <c r="I2438" s="2" t="n">
        <f aca="false">IF(AND(ISNUMBER(B2438),B2438&lt;=25),2,0)+IF(AND(ISNUMBER(E2438),E2438&lt;=5),2,0)+IF(AND(ISNUMBER(F2438),F2438&lt;=1),2,0)+IF(AND(ISNUMBER(G2438),G2438&lt;=2),1,0)+IF(AND(ISNUMBER(H2438),H2438&lt;=2),1,0)</f>
        <v>2</v>
      </c>
      <c r="J2438" s="2" t="str">
        <f aca="false">IF(I2438&gt;=6,"High",IF(I2438&gt;=3,"Medium","Low"))</f>
        <v>Low</v>
      </c>
    </row>
    <row r="2439" customFormat="false" ht="15" hidden="false" customHeight="true" outlineLevel="0" collapsed="false">
      <c r="A2439" s="2" t="n">
        <f aca="false">'Raw Data'!H2439</f>
        <v>2438</v>
      </c>
      <c r="B2439" s="2" t="n">
        <f aca="false">'Raw Data'!A2439</f>
        <v>45</v>
      </c>
      <c r="C2439" s="2" t="str">
        <f aca="false">'Raw Data'!D2439</f>
        <v>Research &amp; Development</v>
      </c>
      <c r="D2439" s="2" t="str">
        <f aca="false">'Raw Data'!K2439</f>
        <v>Research Director</v>
      </c>
      <c r="E2439" s="2" t="n">
        <f aca="false">'Raw Data'!Q2439</f>
        <v>21</v>
      </c>
      <c r="F2439" s="2" t="n">
        <f aca="false">'Raw Data'!U2439</f>
        <v>6</v>
      </c>
      <c r="G2439" s="2" t="n">
        <f aca="false">'Raw Data'!W2439</f>
        <v>2</v>
      </c>
      <c r="H2439" s="2" t="n">
        <f aca="false">'Raw Data'!V2439</f>
        <v>4</v>
      </c>
      <c r="I2439" s="2" t="n">
        <f aca="false">IF(AND(ISNUMBER(B2439),B2439&lt;=25),2,0)+IF(AND(ISNUMBER(E2439),E2439&lt;=5),2,0)+IF(AND(ISNUMBER(F2439),F2439&lt;=1),2,0)+IF(AND(ISNUMBER(G2439),G2439&lt;=2),1,0)+IF(AND(ISNUMBER(H2439),H2439&lt;=2),1,0)</f>
        <v>1</v>
      </c>
      <c r="J2439" s="2" t="str">
        <f aca="false">IF(I2439&gt;=6,"High",IF(I2439&gt;=3,"Medium","Low"))</f>
        <v>Low</v>
      </c>
    </row>
    <row r="2440" customFormat="false" ht="15" hidden="false" customHeight="true" outlineLevel="0" collapsed="false">
      <c r="A2440" s="2" t="n">
        <f aca="false">'Raw Data'!H2440</f>
        <v>2439</v>
      </c>
      <c r="B2440" s="2" t="n">
        <f aca="false">'Raw Data'!A2440</f>
        <v>32</v>
      </c>
      <c r="C2440" s="2" t="str">
        <f aca="false">'Raw Data'!D2440</f>
        <v>Sales</v>
      </c>
      <c r="D2440" s="2" t="str">
        <f aca="false">'Raw Data'!K2440</f>
        <v>Laboratory Technician</v>
      </c>
      <c r="E2440" s="2" t="n">
        <f aca="false">'Raw Data'!Q2440</f>
        <v>10</v>
      </c>
      <c r="F2440" s="2" t="n">
        <f aca="false">'Raw Data'!U2440</f>
        <v>3</v>
      </c>
      <c r="G2440" s="2" t="n">
        <f aca="false">'Raw Data'!W2440</f>
        <v>3</v>
      </c>
      <c r="H2440" s="2" t="n">
        <f aca="false">'Raw Data'!V2440</f>
        <v>1</v>
      </c>
      <c r="I2440" s="2" t="n">
        <f aca="false">IF(AND(ISNUMBER(B2440),B2440&lt;=25),2,0)+IF(AND(ISNUMBER(E2440),E2440&lt;=5),2,0)+IF(AND(ISNUMBER(F2440),F2440&lt;=1),2,0)+IF(AND(ISNUMBER(G2440),G2440&lt;=2),1,0)+IF(AND(ISNUMBER(H2440),H2440&lt;=2),1,0)</f>
        <v>1</v>
      </c>
      <c r="J2440" s="2" t="str">
        <f aca="false">IF(I2440&gt;=6,"High",IF(I2440&gt;=3,"Medium","Low"))</f>
        <v>Low</v>
      </c>
    </row>
    <row r="2441" customFormat="false" ht="15" hidden="false" customHeight="true" outlineLevel="0" collapsed="false">
      <c r="A2441" s="2" t="n">
        <f aca="false">'Raw Data'!H2441</f>
        <v>2440</v>
      </c>
      <c r="B2441" s="2" t="n">
        <f aca="false">'Raw Data'!A2441</f>
        <v>31</v>
      </c>
      <c r="C2441" s="2" t="str">
        <f aca="false">'Raw Data'!D2441</f>
        <v>Research &amp; Development</v>
      </c>
      <c r="D2441" s="2" t="str">
        <f aca="false">'Raw Data'!K2441</f>
        <v>Sales Executive</v>
      </c>
      <c r="E2441" s="2" t="n">
        <f aca="false">'Raw Data'!Q2441</f>
        <v>6</v>
      </c>
      <c r="F2441" s="2" t="n">
        <f aca="false">'Raw Data'!U2441</f>
        <v>3</v>
      </c>
      <c r="G2441" s="2" t="n">
        <f aca="false">'Raw Data'!W2441</f>
        <v>3</v>
      </c>
      <c r="H2441" s="2" t="n">
        <f aca="false">'Raw Data'!V2441</f>
        <v>2</v>
      </c>
      <c r="I2441" s="2" t="n">
        <f aca="false">IF(AND(ISNUMBER(B2441),B2441&lt;=25),2,0)+IF(AND(ISNUMBER(E2441),E2441&lt;=5),2,0)+IF(AND(ISNUMBER(F2441),F2441&lt;=1),2,0)+IF(AND(ISNUMBER(G2441),G2441&lt;=2),1,0)+IF(AND(ISNUMBER(H2441),H2441&lt;=2),1,0)</f>
        <v>1</v>
      </c>
      <c r="J2441" s="2" t="str">
        <f aca="false">IF(I2441&gt;=6,"High",IF(I2441&gt;=3,"Medium","Low"))</f>
        <v>Low</v>
      </c>
    </row>
    <row r="2442" customFormat="false" ht="15" hidden="false" customHeight="true" outlineLevel="0" collapsed="false">
      <c r="A2442" s="2" t="n">
        <f aca="false">'Raw Data'!H2442</f>
        <v>2441</v>
      </c>
      <c r="B2442" s="2" t="n">
        <f aca="false">'Raw Data'!A2442</f>
        <v>41</v>
      </c>
      <c r="C2442" s="2" t="str">
        <f aca="false">'Raw Data'!D2442</f>
        <v>Sales</v>
      </c>
      <c r="D2442" s="2" t="str">
        <f aca="false">'Raw Data'!K2442</f>
        <v>Research Scientist</v>
      </c>
      <c r="E2442" s="2" t="n">
        <f aca="false">'Raw Data'!Q2442</f>
        <v>10</v>
      </c>
      <c r="F2442" s="2" t="n">
        <f aca="false">'Raw Data'!U2442</f>
        <v>2</v>
      </c>
      <c r="G2442" s="2" t="n">
        <f aca="false">'Raw Data'!W2442</f>
        <v>2</v>
      </c>
      <c r="H2442" s="2" t="n">
        <f aca="false">'Raw Data'!V2442</f>
        <v>3</v>
      </c>
      <c r="I2442" s="2" t="n">
        <f aca="false">IF(AND(ISNUMBER(B2442),B2442&lt;=25),2,0)+IF(AND(ISNUMBER(E2442),E2442&lt;=5),2,0)+IF(AND(ISNUMBER(F2442),F2442&lt;=1),2,0)+IF(AND(ISNUMBER(G2442),G2442&lt;=2),1,0)+IF(AND(ISNUMBER(H2442),H2442&lt;=2),1,0)</f>
        <v>1</v>
      </c>
      <c r="J2442" s="2" t="str">
        <f aca="false">IF(I2442&gt;=6,"High",IF(I2442&gt;=3,"Medium","Low"))</f>
        <v>Low</v>
      </c>
    </row>
    <row r="2443" customFormat="false" ht="15" hidden="false" customHeight="true" outlineLevel="0" collapsed="false">
      <c r="A2443" s="2" t="n">
        <f aca="false">'Raw Data'!H2443</f>
        <v>2442</v>
      </c>
      <c r="B2443" s="2" t="n">
        <f aca="false">'Raw Data'!A2443</f>
        <v>40</v>
      </c>
      <c r="C2443" s="2" t="str">
        <f aca="false">'Raw Data'!D2443</f>
        <v>Research &amp; Development</v>
      </c>
      <c r="D2443" s="2" t="str">
        <f aca="false">'Raw Data'!K2443</f>
        <v>Healthcare Representative</v>
      </c>
      <c r="E2443" s="2" t="n">
        <f aca="false">'Raw Data'!Q2443</f>
        <v>18</v>
      </c>
      <c r="F2443" s="2" t="n">
        <f aca="false">'Raw Data'!U2443</f>
        <v>0</v>
      </c>
      <c r="G2443" s="2" t="n">
        <f aca="false">'Raw Data'!W2443</f>
        <v>1</v>
      </c>
      <c r="H2443" s="2" t="n">
        <f aca="false">'Raw Data'!V2443</f>
        <v>2</v>
      </c>
      <c r="I2443" s="2" t="n">
        <f aca="false">IF(AND(ISNUMBER(B2443),B2443&lt;=25),2,0)+IF(AND(ISNUMBER(E2443),E2443&lt;=5),2,0)+IF(AND(ISNUMBER(F2443),F2443&lt;=1),2,0)+IF(AND(ISNUMBER(G2443),G2443&lt;=2),1,0)+IF(AND(ISNUMBER(H2443),H2443&lt;=2),1,0)</f>
        <v>4</v>
      </c>
      <c r="J2443" s="2" t="str">
        <f aca="false">IF(I2443&gt;=6,"High",IF(I2443&gt;=3,"Medium","Low"))</f>
        <v>Medium</v>
      </c>
    </row>
    <row r="2444" customFormat="false" ht="15" hidden="false" customHeight="true" outlineLevel="0" collapsed="false">
      <c r="A2444" s="2" t="n">
        <f aca="false">'Raw Data'!H2444</f>
        <v>2443</v>
      </c>
      <c r="B2444" s="2" t="n">
        <f aca="false">'Raw Data'!A2444</f>
        <v>24</v>
      </c>
      <c r="C2444" s="2" t="str">
        <f aca="false">'Raw Data'!D2444</f>
        <v>Research &amp; Development</v>
      </c>
      <c r="D2444" s="2" t="str">
        <f aca="false">'Raw Data'!K2444</f>
        <v>Research Scientist</v>
      </c>
      <c r="E2444" s="2" t="n">
        <f aca="false">'Raw Data'!Q2444</f>
        <v>6</v>
      </c>
      <c r="F2444" s="2" t="n">
        <f aca="false">'Raw Data'!U2444</f>
        <v>2</v>
      </c>
      <c r="G2444" s="2" t="n">
        <f aca="false">'Raw Data'!W2444</f>
        <v>1</v>
      </c>
      <c r="H2444" s="2" t="n">
        <f aca="false">'Raw Data'!V2444</f>
        <v>2</v>
      </c>
      <c r="I2444" s="2" t="n">
        <f aca="false">IF(AND(ISNUMBER(B2444),B2444&lt;=25),2,0)+IF(AND(ISNUMBER(E2444),E2444&lt;=5),2,0)+IF(AND(ISNUMBER(F2444),F2444&lt;=1),2,0)+IF(AND(ISNUMBER(G2444),G2444&lt;=2),1,0)+IF(AND(ISNUMBER(H2444),H2444&lt;=2),1,0)</f>
        <v>4</v>
      </c>
      <c r="J2444" s="2" t="str">
        <f aca="false">IF(I2444&gt;=6,"High",IF(I2444&gt;=3,"Medium","Low"))</f>
        <v>Medium</v>
      </c>
    </row>
    <row r="2445" customFormat="false" ht="15" hidden="false" customHeight="true" outlineLevel="0" collapsed="false">
      <c r="A2445" s="2" t="n">
        <f aca="false">'Raw Data'!H2445</f>
        <v>2444</v>
      </c>
      <c r="B2445" s="2" t="n">
        <f aca="false">'Raw Data'!A2445</f>
        <v>46</v>
      </c>
      <c r="C2445" s="2" t="str">
        <f aca="false">'Raw Data'!D2445</f>
        <v>Research &amp; Development</v>
      </c>
      <c r="D2445" s="2" t="str">
        <f aca="false">'Raw Data'!K2445</f>
        <v>Sales Executive</v>
      </c>
      <c r="E2445" s="2" t="n">
        <f aca="false">'Raw Data'!Q2445</f>
        <v>19</v>
      </c>
      <c r="F2445" s="2" t="n">
        <f aca="false">'Raw Data'!U2445</f>
        <v>9</v>
      </c>
      <c r="G2445" s="2" t="n">
        <f aca="false">'Raw Data'!W2445</f>
        <v>2</v>
      </c>
      <c r="H2445" s="2" t="n">
        <f aca="false">'Raw Data'!V2445</f>
        <v>3</v>
      </c>
      <c r="I2445" s="2" t="n">
        <f aca="false">IF(AND(ISNUMBER(B2445),B2445&lt;=25),2,0)+IF(AND(ISNUMBER(E2445),E2445&lt;=5),2,0)+IF(AND(ISNUMBER(F2445),F2445&lt;=1),2,0)+IF(AND(ISNUMBER(G2445),G2445&lt;=2),1,0)+IF(AND(ISNUMBER(H2445),H2445&lt;=2),1,0)</f>
        <v>1</v>
      </c>
      <c r="J2445" s="2" t="str">
        <f aca="false">IF(I2445&gt;=6,"High",IF(I2445&gt;=3,"Medium","Low"))</f>
        <v>Low</v>
      </c>
    </row>
    <row r="2446" customFormat="false" ht="15" hidden="false" customHeight="true" outlineLevel="0" collapsed="false">
      <c r="A2446" s="2" t="n">
        <f aca="false">'Raw Data'!H2446</f>
        <v>2445</v>
      </c>
      <c r="B2446" s="2" t="n">
        <f aca="false">'Raw Data'!A2446</f>
        <v>35</v>
      </c>
      <c r="C2446" s="2" t="str">
        <f aca="false">'Raw Data'!D2446</f>
        <v>Sales</v>
      </c>
      <c r="D2446" s="2" t="str">
        <f aca="false">'Raw Data'!K2446</f>
        <v>Laboratory Technician</v>
      </c>
      <c r="E2446" s="2" t="n">
        <f aca="false">'Raw Data'!Q2446</f>
        <v>17</v>
      </c>
      <c r="F2446" s="2" t="n">
        <f aca="false">'Raw Data'!U2446</f>
        <v>7</v>
      </c>
      <c r="G2446" s="2" t="n">
        <f aca="false">'Raw Data'!W2446</f>
        <v>3</v>
      </c>
      <c r="H2446" s="2" t="n">
        <f aca="false">'Raw Data'!V2446</f>
        <v>4</v>
      </c>
      <c r="I2446" s="2" t="n">
        <f aca="false">IF(AND(ISNUMBER(B2446),B2446&lt;=25),2,0)+IF(AND(ISNUMBER(E2446),E2446&lt;=5),2,0)+IF(AND(ISNUMBER(F2446),F2446&lt;=1),2,0)+IF(AND(ISNUMBER(G2446),G2446&lt;=2),1,0)+IF(AND(ISNUMBER(H2446),H2446&lt;=2),1,0)</f>
        <v>0</v>
      </c>
      <c r="J2446" s="2" t="str">
        <f aca="false">IF(I2446&gt;=6,"High",IF(I2446&gt;=3,"Medium","Low"))</f>
        <v>Low</v>
      </c>
    </row>
    <row r="2447" customFormat="false" ht="15" hidden="false" customHeight="true" outlineLevel="0" collapsed="false">
      <c r="A2447" s="2" t="n">
        <f aca="false">'Raw Data'!H2447</f>
        <v>2446</v>
      </c>
      <c r="B2447" s="2" t="n">
        <f aca="false">'Raw Data'!A2447</f>
        <v>30</v>
      </c>
      <c r="C2447" s="2" t="str">
        <f aca="false">'Raw Data'!D2447</f>
        <v>Sales</v>
      </c>
      <c r="D2447" s="2" t="str">
        <f aca="false">'Raw Data'!K2447</f>
        <v>Laboratory Technician</v>
      </c>
      <c r="E2447" s="2" t="n">
        <f aca="false">'Raw Data'!Q2447</f>
        <v>10</v>
      </c>
      <c r="F2447" s="2" t="n">
        <f aca="false">'Raw Data'!U2447</f>
        <v>8</v>
      </c>
      <c r="G2447" s="2" t="n">
        <f aca="false">'Raw Data'!W2447</f>
        <v>4</v>
      </c>
      <c r="H2447" s="2" t="n">
        <f aca="false">'Raw Data'!V2447</f>
        <v>2</v>
      </c>
      <c r="I2447" s="2" t="n">
        <f aca="false">IF(AND(ISNUMBER(B2447),B2447&lt;=25),2,0)+IF(AND(ISNUMBER(E2447),E2447&lt;=5),2,0)+IF(AND(ISNUMBER(F2447),F2447&lt;=1),2,0)+IF(AND(ISNUMBER(G2447),G2447&lt;=2),1,0)+IF(AND(ISNUMBER(H2447),H2447&lt;=2),1,0)</f>
        <v>1</v>
      </c>
      <c r="J2447" s="2" t="str">
        <f aca="false">IF(I2447&gt;=6,"High",IF(I2447&gt;=3,"Medium","Low"))</f>
        <v>Low</v>
      </c>
    </row>
    <row r="2448" customFormat="false" ht="15" hidden="false" customHeight="true" outlineLevel="0" collapsed="false">
      <c r="A2448" s="2" t="n">
        <f aca="false">'Raw Data'!H2448</f>
        <v>2447</v>
      </c>
      <c r="B2448" s="2" t="n">
        <f aca="false">'Raw Data'!A2448</f>
        <v>47</v>
      </c>
      <c r="C2448" s="2" t="str">
        <f aca="false">'Raw Data'!D2448</f>
        <v>Research &amp; Development</v>
      </c>
      <c r="D2448" s="2" t="str">
        <f aca="false">'Raw Data'!K2448</f>
        <v>Sales Executive</v>
      </c>
      <c r="E2448" s="2" t="n">
        <f aca="false">'Raw Data'!Q2448</f>
        <v>4</v>
      </c>
      <c r="F2448" s="2" t="n">
        <f aca="false">'Raw Data'!U2448</f>
        <v>0</v>
      </c>
      <c r="G2448" s="2" t="n">
        <f aca="false">'Raw Data'!W2448</f>
        <v>2</v>
      </c>
      <c r="H2448" s="2" t="n">
        <f aca="false">'Raw Data'!V2448</f>
        <v>3</v>
      </c>
      <c r="I2448" s="2" t="n">
        <f aca="false">IF(AND(ISNUMBER(B2448),B2448&lt;=25),2,0)+IF(AND(ISNUMBER(E2448),E2448&lt;=5),2,0)+IF(AND(ISNUMBER(F2448),F2448&lt;=1),2,0)+IF(AND(ISNUMBER(G2448),G2448&lt;=2),1,0)+IF(AND(ISNUMBER(H2448),H2448&lt;=2),1,0)</f>
        <v>5</v>
      </c>
      <c r="J2448" s="2" t="str">
        <f aca="false">IF(I2448&gt;=6,"High",IF(I2448&gt;=3,"Medium","Low"))</f>
        <v>Medium</v>
      </c>
    </row>
    <row r="2449" customFormat="false" ht="15" hidden="false" customHeight="true" outlineLevel="0" collapsed="false">
      <c r="A2449" s="2" t="n">
        <f aca="false">'Raw Data'!H2449</f>
        <v>2448</v>
      </c>
      <c r="B2449" s="2" t="n">
        <f aca="false">'Raw Data'!A2449</f>
        <v>46</v>
      </c>
      <c r="C2449" s="2" t="str">
        <f aca="false">'Raw Data'!D2449</f>
        <v>Research &amp; Development</v>
      </c>
      <c r="D2449" s="2" t="str">
        <f aca="false">'Raw Data'!K2449</f>
        <v>Sales Executive</v>
      </c>
      <c r="E2449" s="2" t="n">
        <f aca="false">'Raw Data'!Q2449</f>
        <v>13</v>
      </c>
      <c r="F2449" s="2" t="n">
        <f aca="false">'Raw Data'!U2449</f>
        <v>3</v>
      </c>
      <c r="G2449" s="2" t="n">
        <f aca="false">'Raw Data'!W2449</f>
        <v>4</v>
      </c>
      <c r="H2449" s="2" t="n">
        <f aca="false">'Raw Data'!V2449</f>
        <v>3</v>
      </c>
      <c r="I2449" s="2" t="n">
        <f aca="false">IF(AND(ISNUMBER(B2449),B2449&lt;=25),2,0)+IF(AND(ISNUMBER(E2449),E2449&lt;=5),2,0)+IF(AND(ISNUMBER(F2449),F2449&lt;=1),2,0)+IF(AND(ISNUMBER(G2449),G2449&lt;=2),1,0)+IF(AND(ISNUMBER(H2449),H2449&lt;=2),1,0)</f>
        <v>0</v>
      </c>
      <c r="J2449" s="2" t="str">
        <f aca="false">IF(I2449&gt;=6,"High",IF(I2449&gt;=3,"Medium","Low"))</f>
        <v>Low</v>
      </c>
    </row>
    <row r="2450" customFormat="false" ht="15" hidden="false" customHeight="true" outlineLevel="0" collapsed="false">
      <c r="A2450" s="2" t="n">
        <f aca="false">'Raw Data'!H2450</f>
        <v>2449</v>
      </c>
      <c r="B2450" s="2" t="n">
        <f aca="false">'Raw Data'!A2450</f>
        <v>36</v>
      </c>
      <c r="C2450" s="2" t="str">
        <f aca="false">'Raw Data'!D2450</f>
        <v>Research &amp; Development</v>
      </c>
      <c r="D2450" s="2" t="str">
        <f aca="false">'Raw Data'!K2450</f>
        <v>Manufacturing Director</v>
      </c>
      <c r="E2450" s="2" t="n">
        <f aca="false">'Raw Data'!Q2450</f>
        <v>16</v>
      </c>
      <c r="F2450" s="2" t="n">
        <f aca="false">'Raw Data'!U2450</f>
        <v>2</v>
      </c>
      <c r="G2450" s="2" t="n">
        <f aca="false">'Raw Data'!W2450</f>
        <v>1</v>
      </c>
      <c r="H2450" s="2" t="n">
        <f aca="false">'Raw Data'!V2450</f>
        <v>2</v>
      </c>
      <c r="I2450" s="2" t="n">
        <f aca="false">IF(AND(ISNUMBER(B2450),B2450&lt;=25),2,0)+IF(AND(ISNUMBER(E2450),E2450&lt;=5),2,0)+IF(AND(ISNUMBER(F2450),F2450&lt;=1),2,0)+IF(AND(ISNUMBER(G2450),G2450&lt;=2),1,0)+IF(AND(ISNUMBER(H2450),H2450&lt;=2),1,0)</f>
        <v>2</v>
      </c>
      <c r="J2450" s="2" t="str">
        <f aca="false">IF(I2450&gt;=6,"High",IF(I2450&gt;=3,"Medium","Low"))</f>
        <v>Low</v>
      </c>
    </row>
    <row r="2451" customFormat="false" ht="15" hidden="false" customHeight="true" outlineLevel="0" collapsed="false">
      <c r="A2451" s="2" t="n">
        <f aca="false">'Raw Data'!H2451</f>
        <v>2450</v>
      </c>
      <c r="B2451" s="2" t="n">
        <f aca="false">'Raw Data'!A2451</f>
        <v>32</v>
      </c>
      <c r="C2451" s="2" t="str">
        <f aca="false">'Raw Data'!D2451</f>
        <v>Research &amp; Development</v>
      </c>
      <c r="D2451" s="2" t="str">
        <f aca="false">'Raw Data'!K2451</f>
        <v>Research Director</v>
      </c>
      <c r="E2451" s="2" t="n">
        <f aca="false">'Raw Data'!Q2451</f>
        <v>10</v>
      </c>
      <c r="F2451" s="2" t="n">
        <f aca="false">'Raw Data'!U2451</f>
        <v>0</v>
      </c>
      <c r="G2451" s="2" t="n">
        <f aca="false">'Raw Data'!W2451</f>
        <v>2</v>
      </c>
      <c r="H2451" s="2" t="n">
        <f aca="false">'Raw Data'!V2451</f>
        <v>1</v>
      </c>
      <c r="I2451" s="2" t="n">
        <f aca="false">IF(AND(ISNUMBER(B2451),B2451&lt;=25),2,0)+IF(AND(ISNUMBER(E2451),E2451&lt;=5),2,0)+IF(AND(ISNUMBER(F2451),F2451&lt;=1),2,0)+IF(AND(ISNUMBER(G2451),G2451&lt;=2),1,0)+IF(AND(ISNUMBER(H2451),H2451&lt;=2),1,0)</f>
        <v>4</v>
      </c>
      <c r="J2451" s="2" t="str">
        <f aca="false">IF(I2451&gt;=6,"High",IF(I2451&gt;=3,"Medium","Low"))</f>
        <v>Medium</v>
      </c>
    </row>
    <row r="2452" customFormat="false" ht="15" hidden="false" customHeight="true" outlineLevel="0" collapsed="false">
      <c r="A2452" s="2" t="n">
        <f aca="false">'Raw Data'!H2452</f>
        <v>2451</v>
      </c>
      <c r="B2452" s="2" t="n">
        <f aca="false">'Raw Data'!A2452</f>
        <v>23</v>
      </c>
      <c r="C2452" s="2" t="str">
        <f aca="false">'Raw Data'!D2452</f>
        <v>Sales</v>
      </c>
      <c r="D2452" s="2" t="str">
        <f aca="false">'Raw Data'!K2452</f>
        <v>Manufacturing Director</v>
      </c>
      <c r="E2452" s="2" t="n">
        <f aca="false">'Raw Data'!Q2452</f>
        <v>3</v>
      </c>
      <c r="F2452" s="2" t="n">
        <f aca="false">'Raw Data'!U2452</f>
        <v>2</v>
      </c>
      <c r="G2452" s="2" t="n">
        <f aca="false">'Raw Data'!W2452</f>
        <v>2</v>
      </c>
      <c r="H2452" s="2" t="n">
        <f aca="false">'Raw Data'!V2452</f>
        <v>3</v>
      </c>
      <c r="I2452" s="2" t="n">
        <f aca="false">IF(AND(ISNUMBER(B2452),B2452&lt;=25),2,0)+IF(AND(ISNUMBER(E2452),E2452&lt;=5),2,0)+IF(AND(ISNUMBER(F2452),F2452&lt;=1),2,0)+IF(AND(ISNUMBER(G2452),G2452&lt;=2),1,0)+IF(AND(ISNUMBER(H2452),H2452&lt;=2),1,0)</f>
        <v>5</v>
      </c>
      <c r="J2452" s="2" t="str">
        <f aca="false">IF(I2452&gt;=6,"High",IF(I2452&gt;=3,"Medium","Low"))</f>
        <v>Medium</v>
      </c>
    </row>
    <row r="2453" customFormat="false" ht="15" hidden="false" customHeight="true" outlineLevel="0" collapsed="false">
      <c r="A2453" s="2" t="n">
        <f aca="false">'Raw Data'!H2453</f>
        <v>2452</v>
      </c>
      <c r="B2453" s="2" t="n">
        <f aca="false">'Raw Data'!A2453</f>
        <v>31</v>
      </c>
      <c r="C2453" s="2" t="str">
        <f aca="false">'Raw Data'!D2453</f>
        <v>Sales</v>
      </c>
      <c r="D2453" s="2" t="str">
        <f aca="false">'Raw Data'!K2453</f>
        <v>Sales Executive</v>
      </c>
      <c r="E2453" s="2" t="n">
        <f aca="false">'Raw Data'!Q2453</f>
        <v>9</v>
      </c>
      <c r="F2453" s="2" t="n">
        <f aca="false">'Raw Data'!U2453</f>
        <v>4</v>
      </c>
      <c r="G2453" s="2" t="n">
        <f aca="false">'Raw Data'!W2453</f>
        <v>4</v>
      </c>
      <c r="H2453" s="2" t="n">
        <f aca="false">'Raw Data'!V2453</f>
        <v>4</v>
      </c>
      <c r="I2453" s="2" t="n">
        <f aca="false">IF(AND(ISNUMBER(B2453),B2453&lt;=25),2,0)+IF(AND(ISNUMBER(E2453),E2453&lt;=5),2,0)+IF(AND(ISNUMBER(F2453),F2453&lt;=1),2,0)+IF(AND(ISNUMBER(G2453),G2453&lt;=2),1,0)+IF(AND(ISNUMBER(H2453),H2453&lt;=2),1,0)</f>
        <v>0</v>
      </c>
      <c r="J2453" s="2" t="str">
        <f aca="false">IF(I2453&gt;=6,"High",IF(I2453&gt;=3,"Medium","Low"))</f>
        <v>Low</v>
      </c>
    </row>
    <row r="2454" customFormat="false" ht="15" hidden="false" customHeight="true" outlineLevel="0" collapsed="false">
      <c r="A2454" s="2" t="n">
        <f aca="false">'Raw Data'!H2454</f>
        <v>2453</v>
      </c>
      <c r="B2454" s="2" t="n">
        <f aca="false">'Raw Data'!A2454</f>
        <v>39</v>
      </c>
      <c r="C2454" s="2" t="str">
        <f aca="false">'Raw Data'!D2454</f>
        <v>Research &amp; Development</v>
      </c>
      <c r="D2454" s="2" t="str">
        <f aca="false">'Raw Data'!K2454</f>
        <v>Manufacturing Director</v>
      </c>
      <c r="E2454" s="2" t="n">
        <f aca="false">'Raw Data'!Q2454</f>
        <v>9</v>
      </c>
      <c r="F2454" s="2" t="n">
        <f aca="false">'Raw Data'!U2454</f>
        <v>8</v>
      </c>
      <c r="G2454" s="2" t="n">
        <f aca="false">'Raw Data'!W2454</f>
        <v>4</v>
      </c>
      <c r="H2454" s="2" t="n">
        <f aca="false">'Raw Data'!V2454</f>
        <v>4</v>
      </c>
      <c r="I2454" s="2" t="n">
        <f aca="false">IF(AND(ISNUMBER(B2454),B2454&lt;=25),2,0)+IF(AND(ISNUMBER(E2454),E2454&lt;=5),2,0)+IF(AND(ISNUMBER(F2454),F2454&lt;=1),2,0)+IF(AND(ISNUMBER(G2454),G2454&lt;=2),1,0)+IF(AND(ISNUMBER(H2454),H2454&lt;=2),1,0)</f>
        <v>0</v>
      </c>
      <c r="J2454" s="2" t="str">
        <f aca="false">IF(I2454&gt;=6,"High",IF(I2454&gt;=3,"Medium","Low"))</f>
        <v>Low</v>
      </c>
    </row>
    <row r="2455" customFormat="false" ht="15" hidden="false" customHeight="true" outlineLevel="0" collapsed="false">
      <c r="A2455" s="2" t="n">
        <f aca="false">'Raw Data'!H2455</f>
        <v>2454</v>
      </c>
      <c r="B2455" s="2" t="n">
        <f aca="false">'Raw Data'!A2455</f>
        <v>32</v>
      </c>
      <c r="C2455" s="2" t="str">
        <f aca="false">'Raw Data'!D2455</f>
        <v>Research &amp; Development</v>
      </c>
      <c r="D2455" s="2" t="str">
        <f aca="false">'Raw Data'!K2455</f>
        <v>Research Scientist</v>
      </c>
      <c r="E2455" s="2" t="n">
        <f aca="false">'Raw Data'!Q2455</f>
        <v>10</v>
      </c>
      <c r="F2455" s="2" t="n">
        <f aca="false">'Raw Data'!U2455</f>
        <v>2</v>
      </c>
      <c r="G2455" s="2" t="n">
        <f aca="false">'Raw Data'!W2455</f>
        <v>3</v>
      </c>
      <c r="H2455" s="2" t="n">
        <f aca="false">'Raw Data'!V2455</f>
        <v>4</v>
      </c>
      <c r="I2455" s="2" t="n">
        <f aca="false">IF(AND(ISNUMBER(B2455),B2455&lt;=25),2,0)+IF(AND(ISNUMBER(E2455),E2455&lt;=5),2,0)+IF(AND(ISNUMBER(F2455),F2455&lt;=1),2,0)+IF(AND(ISNUMBER(G2455),G2455&lt;=2),1,0)+IF(AND(ISNUMBER(H2455),H2455&lt;=2),1,0)</f>
        <v>0</v>
      </c>
      <c r="J2455" s="2" t="str">
        <f aca="false">IF(I2455&gt;=6,"High",IF(I2455&gt;=3,"Medium","Low"))</f>
        <v>Low</v>
      </c>
    </row>
    <row r="2456" customFormat="false" ht="15" hidden="false" customHeight="true" outlineLevel="0" collapsed="false">
      <c r="A2456" s="2" t="n">
        <f aca="false">'Raw Data'!H2456</f>
        <v>2455</v>
      </c>
      <c r="B2456" s="2" t="n">
        <f aca="false">'Raw Data'!A2456</f>
        <v>40</v>
      </c>
      <c r="C2456" s="2" t="str">
        <f aca="false">'Raw Data'!D2456</f>
        <v>Sales</v>
      </c>
      <c r="D2456" s="2" t="str">
        <f aca="false">'Raw Data'!K2456</f>
        <v>Manufacturing Director</v>
      </c>
      <c r="E2456" s="2" t="n">
        <f aca="false">'Raw Data'!Q2456</f>
        <v>21</v>
      </c>
      <c r="F2456" s="2" t="n">
        <f aca="false">'Raw Data'!U2456</f>
        <v>8</v>
      </c>
      <c r="G2456" s="2" t="n">
        <f aca="false">'Raw Data'!W2456</f>
        <v>2</v>
      </c>
      <c r="H2456" s="2" t="n">
        <f aca="false">'Raw Data'!V2456</f>
        <v>2</v>
      </c>
      <c r="I2456" s="2" t="n">
        <f aca="false">IF(AND(ISNUMBER(B2456),B2456&lt;=25),2,0)+IF(AND(ISNUMBER(E2456),E2456&lt;=5),2,0)+IF(AND(ISNUMBER(F2456),F2456&lt;=1),2,0)+IF(AND(ISNUMBER(G2456),G2456&lt;=2),1,0)+IF(AND(ISNUMBER(H2456),H2456&lt;=2),1,0)</f>
        <v>2</v>
      </c>
      <c r="J2456" s="2" t="str">
        <f aca="false">IF(I2456&gt;=6,"High",IF(I2456&gt;=3,"Medium","Low"))</f>
        <v>Low</v>
      </c>
    </row>
    <row r="2457" customFormat="false" ht="15" hidden="false" customHeight="true" outlineLevel="0" collapsed="false">
      <c r="A2457" s="2" t="n">
        <f aca="false">'Raw Data'!H2457</f>
        <v>2456</v>
      </c>
      <c r="B2457" s="2" t="n">
        <f aca="false">'Raw Data'!A2457</f>
        <v>45</v>
      </c>
      <c r="C2457" s="2" t="str">
        <f aca="false">'Raw Data'!D2457</f>
        <v>Research &amp; Development</v>
      </c>
      <c r="D2457" s="2" t="str">
        <f aca="false">'Raw Data'!K2457</f>
        <v>Sales Representative</v>
      </c>
      <c r="E2457" s="2" t="n">
        <f aca="false">'Raw Data'!Q2457</f>
        <v>9</v>
      </c>
      <c r="F2457" s="2" t="n">
        <f aca="false">'Raw Data'!U2457</f>
        <v>3</v>
      </c>
      <c r="G2457" s="2" t="n">
        <f aca="false">'Raw Data'!W2457</f>
        <v>3</v>
      </c>
      <c r="H2457" s="2" t="n">
        <f aca="false">'Raw Data'!V2457</f>
        <v>3</v>
      </c>
      <c r="I2457" s="2" t="n">
        <f aca="false">IF(AND(ISNUMBER(B2457),B2457&lt;=25),2,0)+IF(AND(ISNUMBER(E2457),E2457&lt;=5),2,0)+IF(AND(ISNUMBER(F2457),F2457&lt;=1),2,0)+IF(AND(ISNUMBER(G2457),G2457&lt;=2),1,0)+IF(AND(ISNUMBER(H2457),H2457&lt;=2),1,0)</f>
        <v>0</v>
      </c>
      <c r="J2457" s="2" t="str">
        <f aca="false">IF(I2457&gt;=6,"High",IF(I2457&gt;=3,"Medium","Low"))</f>
        <v>Low</v>
      </c>
    </row>
    <row r="2458" customFormat="false" ht="15" hidden="false" customHeight="true" outlineLevel="0" collapsed="false">
      <c r="A2458" s="2" t="n">
        <f aca="false">'Raw Data'!H2458</f>
        <v>2457</v>
      </c>
      <c r="B2458" s="2" t="n">
        <f aca="false">'Raw Data'!A2458</f>
        <v>30</v>
      </c>
      <c r="C2458" s="2" t="str">
        <f aca="false">'Raw Data'!D2458</f>
        <v>Sales</v>
      </c>
      <c r="D2458" s="2" t="str">
        <f aca="false">'Raw Data'!K2458</f>
        <v>Research Director</v>
      </c>
      <c r="E2458" s="2" t="n">
        <f aca="false">'Raw Data'!Q2458</f>
        <v>10</v>
      </c>
      <c r="F2458" s="2" t="n">
        <f aca="false">'Raw Data'!U2458</f>
        <v>7</v>
      </c>
      <c r="G2458" s="2" t="n">
        <f aca="false">'Raw Data'!W2458</f>
        <v>1</v>
      </c>
      <c r="H2458" s="2" t="n">
        <f aca="false">'Raw Data'!V2458</f>
        <v>4</v>
      </c>
      <c r="I2458" s="2" t="n">
        <f aca="false">IF(AND(ISNUMBER(B2458),B2458&lt;=25),2,0)+IF(AND(ISNUMBER(E2458),E2458&lt;=5),2,0)+IF(AND(ISNUMBER(F2458),F2458&lt;=1),2,0)+IF(AND(ISNUMBER(G2458),G2458&lt;=2),1,0)+IF(AND(ISNUMBER(H2458),H2458&lt;=2),1,0)</f>
        <v>1</v>
      </c>
      <c r="J2458" s="2" t="str">
        <f aca="false">IF(I2458&gt;=6,"High",IF(I2458&gt;=3,"Medium","Low"))</f>
        <v>Low</v>
      </c>
    </row>
    <row r="2459" customFormat="false" ht="15" hidden="false" customHeight="true" outlineLevel="0" collapsed="false">
      <c r="A2459" s="2" t="n">
        <f aca="false">'Raw Data'!H2459</f>
        <v>2458</v>
      </c>
      <c r="B2459" s="2" t="n">
        <f aca="false">'Raw Data'!A2459</f>
        <v>24</v>
      </c>
      <c r="C2459" s="2" t="str">
        <f aca="false">'Raw Data'!D2459</f>
        <v>Sales</v>
      </c>
      <c r="D2459" s="2" t="str">
        <f aca="false">'Raw Data'!K2459</f>
        <v>Sales Executive</v>
      </c>
      <c r="E2459" s="2" t="n">
        <f aca="false">'Raw Data'!Q2459</f>
        <v>3</v>
      </c>
      <c r="F2459" s="2" t="n">
        <f aca="false">'Raw Data'!U2459</f>
        <v>1</v>
      </c>
      <c r="G2459" s="2" t="n">
        <f aca="false">'Raw Data'!W2459</f>
        <v>4</v>
      </c>
      <c r="H2459" s="2" t="n">
        <f aca="false">'Raw Data'!V2459</f>
        <v>1</v>
      </c>
      <c r="I2459" s="2" t="n">
        <f aca="false">IF(AND(ISNUMBER(B2459),B2459&lt;=25),2,0)+IF(AND(ISNUMBER(E2459),E2459&lt;=5),2,0)+IF(AND(ISNUMBER(F2459),F2459&lt;=1),2,0)+IF(AND(ISNUMBER(G2459),G2459&lt;=2),1,0)+IF(AND(ISNUMBER(H2459),H2459&lt;=2),1,0)</f>
        <v>7</v>
      </c>
      <c r="J2459" s="2" t="str">
        <f aca="false">IF(I2459&gt;=6,"High",IF(I2459&gt;=3,"Medium","Low"))</f>
        <v>High</v>
      </c>
    </row>
    <row r="2460" customFormat="false" ht="15" hidden="false" customHeight="true" outlineLevel="0" collapsed="false">
      <c r="A2460" s="2" t="n">
        <f aca="false">'Raw Data'!H2460</f>
        <v>2459</v>
      </c>
      <c r="B2460" s="2" t="n">
        <f aca="false">'Raw Data'!A2460</f>
        <v>30</v>
      </c>
      <c r="C2460" s="2" t="str">
        <f aca="false">'Raw Data'!D2460</f>
        <v>Research &amp; Development</v>
      </c>
      <c r="D2460" s="2" t="str">
        <f aca="false">'Raw Data'!K2460</f>
        <v>Human Resources</v>
      </c>
      <c r="E2460" s="2" t="n">
        <f aca="false">'Raw Data'!Q2460</f>
        <v>6</v>
      </c>
      <c r="F2460" s="2" t="n">
        <f aca="false">'Raw Data'!U2460</f>
        <v>2</v>
      </c>
      <c r="G2460" s="2" t="n">
        <f aca="false">'Raw Data'!W2460</f>
        <v>4</v>
      </c>
      <c r="H2460" s="2" t="n">
        <f aca="false">'Raw Data'!V2460</f>
        <v>3</v>
      </c>
      <c r="I2460" s="2" t="n">
        <f aca="false">IF(AND(ISNUMBER(B2460),B2460&lt;=25),2,0)+IF(AND(ISNUMBER(E2460),E2460&lt;=5),2,0)+IF(AND(ISNUMBER(F2460),F2460&lt;=1),2,0)+IF(AND(ISNUMBER(G2460),G2460&lt;=2),1,0)+IF(AND(ISNUMBER(H2460),H2460&lt;=2),1,0)</f>
        <v>0</v>
      </c>
      <c r="J2460" s="2" t="str">
        <f aca="false">IF(I2460&gt;=6,"High",IF(I2460&gt;=3,"Medium","Low"))</f>
        <v>Low</v>
      </c>
    </row>
    <row r="2461" customFormat="false" ht="15" hidden="false" customHeight="true" outlineLevel="0" collapsed="false">
      <c r="A2461" s="2" t="n">
        <f aca="false">'Raw Data'!H2461</f>
        <v>2460</v>
      </c>
      <c r="B2461" s="2" t="n">
        <f aca="false">'Raw Data'!A2461</f>
        <v>31</v>
      </c>
      <c r="C2461" s="2" t="str">
        <f aca="false">'Raw Data'!D2461</f>
        <v>Research &amp; Development</v>
      </c>
      <c r="D2461" s="2" t="str">
        <f aca="false">'Raw Data'!K2461</f>
        <v>Laboratory Technician</v>
      </c>
      <c r="E2461" s="2" t="n">
        <f aca="false">'Raw Data'!Q2461</f>
        <v>6</v>
      </c>
      <c r="F2461" s="2" t="n">
        <f aca="false">'Raw Data'!U2461</f>
        <v>2</v>
      </c>
      <c r="G2461" s="2" t="n">
        <f aca="false">'Raw Data'!W2461</f>
        <v>3</v>
      </c>
      <c r="H2461" s="2" t="n">
        <f aca="false">'Raw Data'!V2461</f>
        <v>1</v>
      </c>
      <c r="I2461" s="2" t="n">
        <f aca="false">IF(AND(ISNUMBER(B2461),B2461&lt;=25),2,0)+IF(AND(ISNUMBER(E2461),E2461&lt;=5),2,0)+IF(AND(ISNUMBER(F2461),F2461&lt;=1),2,0)+IF(AND(ISNUMBER(G2461),G2461&lt;=2),1,0)+IF(AND(ISNUMBER(H2461),H2461&lt;=2),1,0)</f>
        <v>1</v>
      </c>
      <c r="J2461" s="2" t="str">
        <f aca="false">IF(I2461&gt;=6,"High",IF(I2461&gt;=3,"Medium","Low"))</f>
        <v>Low</v>
      </c>
    </row>
    <row r="2462" customFormat="false" ht="15" hidden="false" customHeight="true" outlineLevel="0" collapsed="false">
      <c r="A2462" s="2" t="n">
        <f aca="false">'Raw Data'!H2462</f>
        <v>2461</v>
      </c>
      <c r="B2462" s="2" t="n">
        <f aca="false">'Raw Data'!A2462</f>
        <v>27</v>
      </c>
      <c r="C2462" s="2" t="str">
        <f aca="false">'Raw Data'!D2462</f>
        <v>Sales</v>
      </c>
      <c r="D2462" s="2" t="str">
        <f aca="false">'Raw Data'!K2462</f>
        <v>Manager</v>
      </c>
      <c r="E2462" s="2" t="n">
        <f aca="false">'Raw Data'!Q2462</f>
        <v>6</v>
      </c>
      <c r="F2462" s="2" t="n">
        <f aca="false">'Raw Data'!U2462</f>
        <v>4</v>
      </c>
      <c r="G2462" s="2" t="n">
        <f aca="false">'Raw Data'!W2462</f>
        <v>4</v>
      </c>
      <c r="H2462" s="2" t="n">
        <f aca="false">'Raw Data'!V2462</f>
        <v>3</v>
      </c>
      <c r="I2462" s="2" t="n">
        <f aca="false">IF(AND(ISNUMBER(B2462),B2462&lt;=25),2,0)+IF(AND(ISNUMBER(E2462),E2462&lt;=5),2,0)+IF(AND(ISNUMBER(F2462),F2462&lt;=1),2,0)+IF(AND(ISNUMBER(G2462),G2462&lt;=2),1,0)+IF(AND(ISNUMBER(H2462),H2462&lt;=2),1,0)</f>
        <v>0</v>
      </c>
      <c r="J2462" s="2" t="str">
        <f aca="false">IF(I2462&gt;=6,"High",IF(I2462&gt;=3,"Medium","Low"))</f>
        <v>Low</v>
      </c>
    </row>
    <row r="2463" customFormat="false" ht="15" hidden="false" customHeight="true" outlineLevel="0" collapsed="false">
      <c r="A2463" s="2" t="n">
        <f aca="false">'Raw Data'!H2463</f>
        <v>2462</v>
      </c>
      <c r="B2463" s="2" t="n">
        <f aca="false">'Raw Data'!A2463</f>
        <v>29</v>
      </c>
      <c r="C2463" s="2" t="str">
        <f aca="false">'Raw Data'!D2463</f>
        <v>Sales</v>
      </c>
      <c r="D2463" s="2" t="str">
        <f aca="false">'Raw Data'!K2463</f>
        <v>Research Scientist</v>
      </c>
      <c r="E2463" s="2" t="n">
        <f aca="false">'Raw Data'!Q2463</f>
        <v>2</v>
      </c>
      <c r="F2463" s="2" t="n">
        <f aca="false">'Raw Data'!U2463</f>
        <v>2</v>
      </c>
      <c r="G2463" s="2" t="n">
        <f aca="false">'Raw Data'!W2463</f>
        <v>2</v>
      </c>
      <c r="H2463" s="2" t="n">
        <f aca="false">'Raw Data'!V2463</f>
        <v>2</v>
      </c>
      <c r="I2463" s="2" t="n">
        <f aca="false">IF(AND(ISNUMBER(B2463),B2463&lt;=25),2,0)+IF(AND(ISNUMBER(E2463),E2463&lt;=5),2,0)+IF(AND(ISNUMBER(F2463),F2463&lt;=1),2,0)+IF(AND(ISNUMBER(G2463),G2463&lt;=2),1,0)+IF(AND(ISNUMBER(H2463),H2463&lt;=2),1,0)</f>
        <v>4</v>
      </c>
      <c r="J2463" s="2" t="str">
        <f aca="false">IF(I2463&gt;=6,"High",IF(I2463&gt;=3,"Medium","Low"))</f>
        <v>Medium</v>
      </c>
    </row>
    <row r="2464" customFormat="false" ht="15" hidden="false" customHeight="true" outlineLevel="0" collapsed="false">
      <c r="A2464" s="2" t="n">
        <f aca="false">'Raw Data'!H2464</f>
        <v>2463</v>
      </c>
      <c r="B2464" s="2" t="n">
        <f aca="false">'Raw Data'!A2464</f>
        <v>29</v>
      </c>
      <c r="C2464" s="2" t="str">
        <f aca="false">'Raw Data'!D2464</f>
        <v>Research &amp; Development</v>
      </c>
      <c r="D2464" s="2" t="str">
        <f aca="false">'Raw Data'!K2464</f>
        <v>Sales Executive</v>
      </c>
      <c r="E2464" s="2" t="n">
        <f aca="false">'Raw Data'!Q2464</f>
        <v>10</v>
      </c>
      <c r="F2464" s="2" t="n">
        <f aca="false">'Raw Data'!U2464</f>
        <v>2</v>
      </c>
      <c r="G2464" s="2" t="n">
        <f aca="false">'Raw Data'!W2464</f>
        <v>3</v>
      </c>
      <c r="H2464" s="2" t="n">
        <f aca="false">'Raw Data'!V2464</f>
        <v>4</v>
      </c>
      <c r="I2464" s="2" t="n">
        <f aca="false">IF(AND(ISNUMBER(B2464),B2464&lt;=25),2,0)+IF(AND(ISNUMBER(E2464),E2464&lt;=5),2,0)+IF(AND(ISNUMBER(F2464),F2464&lt;=1),2,0)+IF(AND(ISNUMBER(G2464),G2464&lt;=2),1,0)+IF(AND(ISNUMBER(H2464),H2464&lt;=2),1,0)</f>
        <v>0</v>
      </c>
      <c r="J2464" s="2" t="str">
        <f aca="false">IF(I2464&gt;=6,"High",IF(I2464&gt;=3,"Medium","Low"))</f>
        <v>Low</v>
      </c>
    </row>
    <row r="2465" customFormat="false" ht="15" hidden="false" customHeight="true" outlineLevel="0" collapsed="false">
      <c r="A2465" s="2" t="n">
        <f aca="false">'Raw Data'!H2465</f>
        <v>2464</v>
      </c>
      <c r="B2465" s="2" t="n">
        <f aca="false">'Raw Data'!A2465</f>
        <v>30</v>
      </c>
      <c r="C2465" s="2" t="str">
        <f aca="false">'Raw Data'!D2465</f>
        <v>Sales</v>
      </c>
      <c r="D2465" s="2" t="str">
        <f aca="false">'Raw Data'!K2465</f>
        <v>Sales Executive</v>
      </c>
      <c r="E2465" s="2" t="n">
        <f aca="false">'Raw Data'!Q2465</f>
        <v>12</v>
      </c>
      <c r="F2465" s="2" t="n">
        <f aca="false">'Raw Data'!U2465</f>
        <v>7</v>
      </c>
      <c r="G2465" s="2" t="n">
        <f aca="false">'Raw Data'!W2465</f>
        <v>1</v>
      </c>
      <c r="H2465" s="2" t="n">
        <f aca="false">'Raw Data'!V2465</f>
        <v>3</v>
      </c>
      <c r="I2465" s="2" t="n">
        <f aca="false">IF(AND(ISNUMBER(B2465),B2465&lt;=25),2,0)+IF(AND(ISNUMBER(E2465),E2465&lt;=5),2,0)+IF(AND(ISNUMBER(F2465),F2465&lt;=1),2,0)+IF(AND(ISNUMBER(G2465),G2465&lt;=2),1,0)+IF(AND(ISNUMBER(H2465),H2465&lt;=2),1,0)</f>
        <v>1</v>
      </c>
      <c r="J2465" s="2" t="str">
        <f aca="false">IF(I2465&gt;=6,"High",IF(I2465&gt;=3,"Medium","Low"))</f>
        <v>Low</v>
      </c>
    </row>
    <row r="2466" customFormat="false" ht="15" hidden="false" customHeight="true" outlineLevel="0" collapsed="false">
      <c r="A2466" s="2" t="n">
        <f aca="false">'Raw Data'!H2466</f>
        <v>2465</v>
      </c>
      <c r="B2466" s="2" t="n">
        <f aca="false">'Raw Data'!A2466</f>
        <v>34</v>
      </c>
      <c r="C2466" s="2" t="str">
        <f aca="false">'Raw Data'!D2466</f>
        <v>Research &amp; Development</v>
      </c>
      <c r="D2466" s="2" t="str">
        <f aca="false">'Raw Data'!K2466</f>
        <v>Healthcare Representative</v>
      </c>
      <c r="E2466" s="2" t="n">
        <f aca="false">'Raw Data'!Q2466</f>
        <v>6</v>
      </c>
      <c r="F2466" s="2" t="n">
        <f aca="false">'Raw Data'!U2466</f>
        <v>2</v>
      </c>
      <c r="G2466" s="2" t="n">
        <f aca="false">'Raw Data'!W2466</f>
        <v>4</v>
      </c>
      <c r="H2466" s="2" t="n">
        <f aca="false">'Raw Data'!V2466</f>
        <v>4</v>
      </c>
      <c r="I2466" s="2" t="n">
        <f aca="false">IF(AND(ISNUMBER(B2466),B2466&lt;=25),2,0)+IF(AND(ISNUMBER(E2466),E2466&lt;=5),2,0)+IF(AND(ISNUMBER(F2466),F2466&lt;=1),2,0)+IF(AND(ISNUMBER(G2466),G2466&lt;=2),1,0)+IF(AND(ISNUMBER(H2466),H2466&lt;=2),1,0)</f>
        <v>0</v>
      </c>
      <c r="J2466" s="2" t="str">
        <f aca="false">IF(I2466&gt;=6,"High",IF(I2466&gt;=3,"Medium","Low"))</f>
        <v>Low</v>
      </c>
    </row>
    <row r="2467" customFormat="false" ht="15" hidden="false" customHeight="true" outlineLevel="0" collapsed="false">
      <c r="A2467" s="2" t="n">
        <f aca="false">'Raw Data'!H2467</f>
        <v>2466</v>
      </c>
      <c r="B2467" s="2" t="n">
        <f aca="false">'Raw Data'!A2467</f>
        <v>33</v>
      </c>
      <c r="C2467" s="2" t="str">
        <f aca="false">'Raw Data'!D2467</f>
        <v>Research &amp; Development</v>
      </c>
      <c r="D2467" s="2" t="str">
        <f aca="false">'Raw Data'!K2467</f>
        <v>Sales Representative</v>
      </c>
      <c r="E2467" s="2" t="n">
        <f aca="false">'Raw Data'!Q2467</f>
        <v>13</v>
      </c>
      <c r="F2467" s="2" t="n">
        <f aca="false">'Raw Data'!U2467</f>
        <v>7</v>
      </c>
      <c r="G2467" s="2" t="n">
        <f aca="false">'Raw Data'!W2467</f>
        <v>2</v>
      </c>
      <c r="H2467" s="2" t="n">
        <f aca="false">'Raw Data'!V2467</f>
        <v>4</v>
      </c>
      <c r="I2467" s="2" t="n">
        <f aca="false">IF(AND(ISNUMBER(B2467),B2467&lt;=25),2,0)+IF(AND(ISNUMBER(E2467),E2467&lt;=5),2,0)+IF(AND(ISNUMBER(F2467),F2467&lt;=1),2,0)+IF(AND(ISNUMBER(G2467),G2467&lt;=2),1,0)+IF(AND(ISNUMBER(H2467),H2467&lt;=2),1,0)</f>
        <v>1</v>
      </c>
      <c r="J2467" s="2" t="str">
        <f aca="false">IF(I2467&gt;=6,"High",IF(I2467&gt;=3,"Medium","Low"))</f>
        <v>Low</v>
      </c>
    </row>
    <row r="2468" customFormat="false" ht="15" hidden="false" customHeight="true" outlineLevel="0" collapsed="false">
      <c r="A2468" s="2" t="n">
        <f aca="false">'Raw Data'!H2468</f>
        <v>2467</v>
      </c>
      <c r="B2468" s="2" t="n">
        <f aca="false">'Raw Data'!A2468</f>
        <v>49</v>
      </c>
      <c r="C2468" s="2" t="str">
        <f aca="false">'Raw Data'!D2468</f>
        <v>Sales</v>
      </c>
      <c r="D2468" s="2" t="str">
        <f aca="false">'Raw Data'!K2468</f>
        <v>Sales Executive</v>
      </c>
      <c r="E2468" s="2" t="n">
        <f aca="false">'Raw Data'!Q2468</f>
        <v>8</v>
      </c>
      <c r="F2468" s="2" t="n">
        <f aca="false">'Raw Data'!U2468</f>
        <v>4</v>
      </c>
      <c r="G2468" s="2" t="n">
        <f aca="false">'Raw Data'!W2468</f>
        <v>4</v>
      </c>
      <c r="H2468" s="2" t="n">
        <f aca="false">'Raw Data'!V2468</f>
        <v>4</v>
      </c>
      <c r="I2468" s="2" t="n">
        <f aca="false">IF(AND(ISNUMBER(B2468),B2468&lt;=25),2,0)+IF(AND(ISNUMBER(E2468),E2468&lt;=5),2,0)+IF(AND(ISNUMBER(F2468),F2468&lt;=1),2,0)+IF(AND(ISNUMBER(G2468),G2468&lt;=2),1,0)+IF(AND(ISNUMBER(H2468),H2468&lt;=2),1,0)</f>
        <v>0</v>
      </c>
      <c r="J2468" s="2" t="str">
        <f aca="false">IF(I2468&gt;=6,"High",IF(I2468&gt;=3,"Medium","Low"))</f>
        <v>Low</v>
      </c>
    </row>
    <row r="2469" customFormat="false" ht="15" hidden="false" customHeight="true" outlineLevel="0" collapsed="false">
      <c r="A2469" s="2" t="n">
        <f aca="false">'Raw Data'!H2469</f>
        <v>2468</v>
      </c>
      <c r="B2469" s="2" t="n">
        <f aca="false">'Raw Data'!A2469</f>
        <v>33</v>
      </c>
      <c r="C2469" s="2" t="str">
        <f aca="false">'Raw Data'!D2469</f>
        <v>Research &amp; Development</v>
      </c>
      <c r="D2469" s="2" t="str">
        <f aca="false">'Raw Data'!K2469</f>
        <v>Sales Executive</v>
      </c>
      <c r="E2469" s="2" t="n">
        <f aca="false">'Raw Data'!Q2469</f>
        <v>11</v>
      </c>
      <c r="F2469" s="2" t="n">
        <f aca="false">'Raw Data'!U2469</f>
        <v>0</v>
      </c>
      <c r="G2469" s="2" t="n">
        <f aca="false">'Raw Data'!W2469</f>
        <v>1</v>
      </c>
      <c r="H2469" s="2" t="n">
        <f aca="false">'Raw Data'!V2469</f>
        <v>1</v>
      </c>
      <c r="I2469" s="2" t="n">
        <f aca="false">IF(AND(ISNUMBER(B2469),B2469&lt;=25),2,0)+IF(AND(ISNUMBER(E2469),E2469&lt;=5),2,0)+IF(AND(ISNUMBER(F2469),F2469&lt;=1),2,0)+IF(AND(ISNUMBER(G2469),G2469&lt;=2),1,0)+IF(AND(ISNUMBER(H2469),H2469&lt;=2),1,0)</f>
        <v>4</v>
      </c>
      <c r="J2469" s="2" t="str">
        <f aca="false">IF(I2469&gt;=6,"High",IF(I2469&gt;=3,"Medium","Low"))</f>
        <v>Medium</v>
      </c>
    </row>
    <row r="2470" customFormat="false" ht="15" hidden="false" customHeight="true" outlineLevel="0" collapsed="false">
      <c r="A2470" s="2" t="n">
        <f aca="false">'Raw Data'!H2470</f>
        <v>2469</v>
      </c>
      <c r="B2470" s="2" t="n">
        <f aca="false">'Raw Data'!A2470</f>
        <v>38</v>
      </c>
      <c r="C2470" s="2" t="str">
        <f aca="false">'Raw Data'!D2470</f>
        <v>Research &amp; Development</v>
      </c>
      <c r="D2470" s="2" t="str">
        <f aca="false">'Raw Data'!K2470</f>
        <v>Healthcare Representative</v>
      </c>
      <c r="E2470" s="2" t="n">
        <f aca="false">'Raw Data'!Q2470</f>
        <v>9</v>
      </c>
      <c r="F2470" s="2" t="n">
        <f aca="false">'Raw Data'!U2470</f>
        <v>5</v>
      </c>
      <c r="G2470" s="2" t="n">
        <f aca="false">'Raw Data'!W2470</f>
        <v>2</v>
      </c>
      <c r="H2470" s="2" t="n">
        <f aca="false">'Raw Data'!V2470</f>
        <v>3</v>
      </c>
      <c r="I2470" s="2" t="n">
        <f aca="false">IF(AND(ISNUMBER(B2470),B2470&lt;=25),2,0)+IF(AND(ISNUMBER(E2470),E2470&lt;=5),2,0)+IF(AND(ISNUMBER(F2470),F2470&lt;=1),2,0)+IF(AND(ISNUMBER(G2470),G2470&lt;=2),1,0)+IF(AND(ISNUMBER(H2470),H2470&lt;=2),1,0)</f>
        <v>1</v>
      </c>
      <c r="J2470" s="2" t="str">
        <f aca="false">IF(I2470&gt;=6,"High",IF(I2470&gt;=3,"Medium","Low"))</f>
        <v>Low</v>
      </c>
    </row>
    <row r="2471" customFormat="false" ht="15" hidden="false" customHeight="true" outlineLevel="0" collapsed="false">
      <c r="A2471" s="2" t="n">
        <f aca="false">'Raw Data'!H2471</f>
        <v>2470</v>
      </c>
      <c r="B2471" s="2" t="n">
        <f aca="false">'Raw Data'!A2471</f>
        <v>31</v>
      </c>
      <c r="C2471" s="2" t="str">
        <f aca="false">'Raw Data'!D2471</f>
        <v>Human Resources</v>
      </c>
      <c r="D2471" s="2" t="str">
        <f aca="false">'Raw Data'!K2471</f>
        <v>Laboratory Technician</v>
      </c>
      <c r="E2471" s="2" t="n">
        <f aca="false">'Raw Data'!Q2471</f>
        <v>10</v>
      </c>
      <c r="F2471" s="2" t="n">
        <f aca="false">'Raw Data'!U2471</f>
        <v>0</v>
      </c>
      <c r="G2471" s="2" t="n">
        <f aca="false">'Raw Data'!W2471</f>
        <v>3</v>
      </c>
      <c r="H2471" s="2" t="n">
        <f aca="false">'Raw Data'!V2471</f>
        <v>1</v>
      </c>
      <c r="I2471" s="2" t="n">
        <f aca="false">IF(AND(ISNUMBER(B2471),B2471&lt;=25),2,0)+IF(AND(ISNUMBER(E2471),E2471&lt;=5),2,0)+IF(AND(ISNUMBER(F2471),F2471&lt;=1),2,0)+IF(AND(ISNUMBER(G2471),G2471&lt;=2),1,0)+IF(AND(ISNUMBER(H2471),H2471&lt;=2),1,0)</f>
        <v>3</v>
      </c>
      <c r="J2471" s="2" t="str">
        <f aca="false">IF(I2471&gt;=6,"High",IF(I2471&gt;=3,"Medium","Low"))</f>
        <v>Medium</v>
      </c>
    </row>
    <row r="2472" customFormat="false" ht="15" hidden="false" customHeight="true" outlineLevel="0" collapsed="false">
      <c r="A2472" s="2" t="n">
        <f aca="false">'Raw Data'!H2472</f>
        <v>2471</v>
      </c>
      <c r="B2472" s="2" t="n">
        <f aca="false">'Raw Data'!A2472</f>
        <v>29</v>
      </c>
      <c r="C2472" s="2" t="str">
        <f aca="false">'Raw Data'!D2472</f>
        <v>Research &amp; Development</v>
      </c>
      <c r="D2472" s="2" t="str">
        <f aca="false">'Raw Data'!K2472</f>
        <v>Sales Representative</v>
      </c>
      <c r="E2472" s="2" t="n">
        <f aca="false">'Raw Data'!Q2472</f>
        <v>1</v>
      </c>
      <c r="F2472" s="2" t="n">
        <f aca="false">'Raw Data'!U2472</f>
        <v>0</v>
      </c>
      <c r="G2472" s="2" t="n">
        <f aca="false">'Raw Data'!W2472</f>
        <v>1</v>
      </c>
      <c r="H2472" s="2" t="n">
        <f aca="false">'Raw Data'!V2472</f>
        <v>4</v>
      </c>
      <c r="I2472" s="2" t="n">
        <f aca="false">IF(AND(ISNUMBER(B2472),B2472&lt;=25),2,0)+IF(AND(ISNUMBER(E2472),E2472&lt;=5),2,0)+IF(AND(ISNUMBER(F2472),F2472&lt;=1),2,0)+IF(AND(ISNUMBER(G2472),G2472&lt;=2),1,0)+IF(AND(ISNUMBER(H2472),H2472&lt;=2),1,0)</f>
        <v>5</v>
      </c>
      <c r="J2472" s="2" t="str">
        <f aca="false">IF(I2472&gt;=6,"High",IF(I2472&gt;=3,"Medium","Low"))</f>
        <v>Medium</v>
      </c>
    </row>
    <row r="2473" customFormat="false" ht="15" hidden="false" customHeight="true" outlineLevel="0" collapsed="false">
      <c r="A2473" s="2" t="n">
        <f aca="false">'Raw Data'!H2473</f>
        <v>2472</v>
      </c>
      <c r="B2473" s="2" t="n">
        <f aca="false">'Raw Data'!A2473</f>
        <v>30</v>
      </c>
      <c r="C2473" s="2" t="str">
        <f aca="false">'Raw Data'!D2473</f>
        <v>Research &amp; Development</v>
      </c>
      <c r="D2473" s="2" t="str">
        <f aca="false">'Raw Data'!K2473</f>
        <v>Sales Representative</v>
      </c>
      <c r="E2473" s="2" t="n">
        <f aca="false">'Raw Data'!Q2473</f>
        <v>10</v>
      </c>
      <c r="F2473" s="2" t="n">
        <f aca="false">'Raw Data'!U2473</f>
        <v>7</v>
      </c>
      <c r="G2473" s="2" t="n">
        <f aca="false">'Raw Data'!W2473</f>
        <v>3</v>
      </c>
      <c r="H2473" s="2" t="n">
        <f aca="false">'Raw Data'!V2473</f>
        <v>3</v>
      </c>
      <c r="I2473" s="2" t="n">
        <f aca="false">IF(AND(ISNUMBER(B2473),B2473&lt;=25),2,0)+IF(AND(ISNUMBER(E2473),E2473&lt;=5),2,0)+IF(AND(ISNUMBER(F2473),F2473&lt;=1),2,0)+IF(AND(ISNUMBER(G2473),G2473&lt;=2),1,0)+IF(AND(ISNUMBER(H2473),H2473&lt;=2),1,0)</f>
        <v>0</v>
      </c>
      <c r="J2473" s="2" t="str">
        <f aca="false">IF(I2473&gt;=6,"High",IF(I2473&gt;=3,"Medium","Low"))</f>
        <v>Low</v>
      </c>
    </row>
    <row r="2474" customFormat="false" ht="15" hidden="false" customHeight="true" outlineLevel="0" collapsed="false">
      <c r="A2474" s="2" t="n">
        <f aca="false">'Raw Data'!H2474</f>
        <v>2473</v>
      </c>
      <c r="B2474" s="2" t="n">
        <f aca="false">'Raw Data'!A2474</f>
        <v>32</v>
      </c>
      <c r="C2474" s="2" t="str">
        <f aca="false">'Raw Data'!D2474</f>
        <v>Research &amp; Development</v>
      </c>
      <c r="D2474" s="2" t="str">
        <f aca="false">'Raw Data'!K2474</f>
        <v>Laboratory Technician</v>
      </c>
      <c r="E2474" s="2" t="n">
        <f aca="false">'Raw Data'!Q2474</f>
        <v>12</v>
      </c>
      <c r="F2474" s="2" t="n">
        <f aca="false">'Raw Data'!U2474</f>
        <v>7</v>
      </c>
      <c r="G2474" s="2" t="n">
        <f aca="false">'Raw Data'!W2474</f>
        <v>2</v>
      </c>
      <c r="H2474" s="2" t="n">
        <f aca="false">'Raw Data'!V2474</f>
        <v>2</v>
      </c>
      <c r="I2474" s="2" t="n">
        <f aca="false">IF(AND(ISNUMBER(B2474),B2474&lt;=25),2,0)+IF(AND(ISNUMBER(E2474),E2474&lt;=5),2,0)+IF(AND(ISNUMBER(F2474),F2474&lt;=1),2,0)+IF(AND(ISNUMBER(G2474),G2474&lt;=2),1,0)+IF(AND(ISNUMBER(H2474),H2474&lt;=2),1,0)</f>
        <v>2</v>
      </c>
      <c r="J2474" s="2" t="str">
        <f aca="false">IF(I2474&gt;=6,"High",IF(I2474&gt;=3,"Medium","Low"))</f>
        <v>Low</v>
      </c>
    </row>
    <row r="2475" customFormat="false" ht="15" hidden="false" customHeight="true" outlineLevel="0" collapsed="false">
      <c r="A2475" s="2" t="n">
        <f aca="false">'Raw Data'!H2475</f>
        <v>2474</v>
      </c>
      <c r="B2475" s="2" t="n">
        <f aca="false">'Raw Data'!A2475</f>
        <v>38</v>
      </c>
      <c r="C2475" s="2" t="str">
        <f aca="false">'Raw Data'!D2475</f>
        <v>Research &amp; Development</v>
      </c>
      <c r="D2475" s="2" t="str">
        <f aca="false">'Raw Data'!K2475</f>
        <v>Manufacturing Director</v>
      </c>
      <c r="E2475" s="2" t="n">
        <f aca="false">'Raw Data'!Q2475</f>
        <v>15</v>
      </c>
      <c r="F2475" s="2" t="n">
        <f aca="false">'Raw Data'!U2475</f>
        <v>0</v>
      </c>
      <c r="G2475" s="2" t="n">
        <f aca="false">'Raw Data'!W2475</f>
        <v>4</v>
      </c>
      <c r="H2475" s="2" t="n">
        <f aca="false">'Raw Data'!V2475</f>
        <v>2</v>
      </c>
      <c r="I2475" s="2" t="n">
        <f aca="false">IF(AND(ISNUMBER(B2475),B2475&lt;=25),2,0)+IF(AND(ISNUMBER(E2475),E2475&lt;=5),2,0)+IF(AND(ISNUMBER(F2475),F2475&lt;=1),2,0)+IF(AND(ISNUMBER(G2475),G2475&lt;=2),1,0)+IF(AND(ISNUMBER(H2475),H2475&lt;=2),1,0)</f>
        <v>3</v>
      </c>
      <c r="J2475" s="2" t="str">
        <f aca="false">IF(I2475&gt;=6,"High",IF(I2475&gt;=3,"Medium","Low"))</f>
        <v>Medium</v>
      </c>
    </row>
    <row r="2476" customFormat="false" ht="15" hidden="false" customHeight="true" outlineLevel="0" collapsed="false">
      <c r="A2476" s="2" t="n">
        <f aca="false">'Raw Data'!H2476</f>
        <v>2475</v>
      </c>
      <c r="B2476" s="2" t="n">
        <f aca="false">'Raw Data'!A2476</f>
        <v>43</v>
      </c>
      <c r="C2476" s="2" t="str">
        <f aca="false">'Raw Data'!D2476</f>
        <v>Research &amp; Development</v>
      </c>
      <c r="D2476" s="2" t="str">
        <f aca="false">'Raw Data'!K2476</f>
        <v>Sales Executive</v>
      </c>
      <c r="E2476" s="2" t="n">
        <f aca="false">'Raw Data'!Q2476</f>
        <v>6</v>
      </c>
      <c r="F2476" s="2" t="n">
        <f aca="false">'Raw Data'!U2476</f>
        <v>0</v>
      </c>
      <c r="G2476" s="2" t="n">
        <f aca="false">'Raw Data'!W2476</f>
        <v>3</v>
      </c>
      <c r="H2476" s="2" t="n">
        <f aca="false">'Raw Data'!V2476</f>
        <v>3</v>
      </c>
      <c r="I2476" s="2" t="n">
        <f aca="false">IF(AND(ISNUMBER(B2476),B2476&lt;=25),2,0)+IF(AND(ISNUMBER(E2476),E2476&lt;=5),2,0)+IF(AND(ISNUMBER(F2476),F2476&lt;=1),2,0)+IF(AND(ISNUMBER(G2476),G2476&lt;=2),1,0)+IF(AND(ISNUMBER(H2476),H2476&lt;=2),1,0)</f>
        <v>2</v>
      </c>
      <c r="J2476" s="2" t="str">
        <f aca="false">IF(I2476&gt;=6,"High",IF(I2476&gt;=3,"Medium","Low"))</f>
        <v>Low</v>
      </c>
    </row>
    <row r="2477" customFormat="false" ht="15" hidden="false" customHeight="true" outlineLevel="0" collapsed="false">
      <c r="A2477" s="2" t="n">
        <f aca="false">'Raw Data'!H2477</f>
        <v>2476</v>
      </c>
      <c r="B2477" s="2" t="n">
        <f aca="false">'Raw Data'!A2477</f>
        <v>42</v>
      </c>
      <c r="C2477" s="2" t="str">
        <f aca="false">'Raw Data'!D2477</f>
        <v>Human Resources</v>
      </c>
      <c r="D2477" s="2" t="str">
        <f aca="false">'Raw Data'!K2477</f>
        <v>Healthcare Representative</v>
      </c>
      <c r="E2477" s="2" t="n">
        <f aca="false">'Raw Data'!Q2477</f>
        <v>7</v>
      </c>
      <c r="F2477" s="2" t="n">
        <f aca="false">'Raw Data'!U2477</f>
        <v>4</v>
      </c>
      <c r="G2477" s="2" t="n">
        <f aca="false">'Raw Data'!W2477</f>
        <v>2</v>
      </c>
      <c r="H2477" s="2" t="n">
        <f aca="false">'Raw Data'!V2477</f>
        <v>2</v>
      </c>
      <c r="I2477" s="2" t="n">
        <f aca="false">IF(AND(ISNUMBER(B2477),B2477&lt;=25),2,0)+IF(AND(ISNUMBER(E2477),E2477&lt;=5),2,0)+IF(AND(ISNUMBER(F2477),F2477&lt;=1),2,0)+IF(AND(ISNUMBER(G2477),G2477&lt;=2),1,0)+IF(AND(ISNUMBER(H2477),H2477&lt;=2),1,0)</f>
        <v>2</v>
      </c>
      <c r="J2477" s="2" t="str">
        <f aca="false">IF(I2477&gt;=6,"High",IF(I2477&gt;=3,"Medium","Low"))</f>
        <v>Low</v>
      </c>
    </row>
    <row r="2478" customFormat="false" ht="15" hidden="false" customHeight="true" outlineLevel="0" collapsed="false">
      <c r="A2478" s="2" t="n">
        <f aca="false">'Raw Data'!H2478</f>
        <v>2477</v>
      </c>
      <c r="B2478" s="2" t="n">
        <f aca="false">'Raw Data'!A2478</f>
        <v>55</v>
      </c>
      <c r="C2478" s="2" t="str">
        <f aca="false">'Raw Data'!D2478</f>
        <v>Research &amp; Development</v>
      </c>
      <c r="D2478" s="2" t="str">
        <f aca="false">'Raw Data'!K2478</f>
        <v>Sales Executive</v>
      </c>
      <c r="E2478" s="2" t="n">
        <f aca="false">'Raw Data'!Q2478</f>
        <v>34</v>
      </c>
      <c r="F2478" s="2" t="n">
        <f aca="false">'Raw Data'!U2478</f>
        <v>0</v>
      </c>
      <c r="G2478" s="2" t="n">
        <f aca="false">'Raw Data'!W2478</f>
        <v>0</v>
      </c>
      <c r="H2478" s="2" t="n">
        <f aca="false">'Raw Data'!V2478</f>
        <v>3</v>
      </c>
      <c r="I2478" s="2" t="n">
        <f aca="false">IF(AND(ISNUMBER(B2478),B2478&lt;=25),2,0)+IF(AND(ISNUMBER(E2478),E2478&lt;=5),2,0)+IF(AND(ISNUMBER(F2478),F2478&lt;=1),2,0)+IF(AND(ISNUMBER(G2478),G2478&lt;=2),1,0)+IF(AND(ISNUMBER(H2478),H2478&lt;=2),1,0)</f>
        <v>2</v>
      </c>
      <c r="J2478" s="2" t="str">
        <f aca="false">IF(I2478&gt;=6,"High",IF(I2478&gt;=3,"Medium","Low"))</f>
        <v>Low</v>
      </c>
    </row>
    <row r="2479" customFormat="false" ht="15" hidden="false" customHeight="true" outlineLevel="0" collapsed="false">
      <c r="A2479" s="2" t="n">
        <f aca="false">'Raw Data'!H2479</f>
        <v>2478</v>
      </c>
      <c r="B2479" s="2" t="n">
        <f aca="false">'Raw Data'!A2479</f>
        <v>33</v>
      </c>
      <c r="C2479" s="2" t="str">
        <f aca="false">'Raw Data'!D2479</f>
        <v>Research &amp; Development</v>
      </c>
      <c r="D2479" s="2" t="str">
        <f aca="false">'Raw Data'!K2479</f>
        <v>Research Scientist</v>
      </c>
      <c r="E2479" s="2" t="n">
        <f aca="false">'Raw Data'!Q2479</f>
        <v>11</v>
      </c>
      <c r="F2479" s="2" t="n">
        <f aca="false">'Raw Data'!U2479</f>
        <v>7</v>
      </c>
      <c r="G2479" s="2" t="n">
        <f aca="false">'Raw Data'!W2479</f>
        <v>2</v>
      </c>
      <c r="H2479" s="2" t="n">
        <f aca="false">'Raw Data'!V2479</f>
        <v>4</v>
      </c>
      <c r="I2479" s="2" t="n">
        <f aca="false">IF(AND(ISNUMBER(B2479),B2479&lt;=25),2,0)+IF(AND(ISNUMBER(E2479),E2479&lt;=5),2,0)+IF(AND(ISNUMBER(F2479),F2479&lt;=1),2,0)+IF(AND(ISNUMBER(G2479),G2479&lt;=2),1,0)+IF(AND(ISNUMBER(H2479),H2479&lt;=2),1,0)</f>
        <v>1</v>
      </c>
      <c r="J2479" s="2" t="str">
        <f aca="false">IF(I2479&gt;=6,"High",IF(I2479&gt;=3,"Medium","Low"))</f>
        <v>Low</v>
      </c>
    </row>
    <row r="2480" customFormat="false" ht="15" hidden="false" customHeight="true" outlineLevel="0" collapsed="false">
      <c r="A2480" s="2" t="n">
        <f aca="false">'Raw Data'!H2480</f>
        <v>2479</v>
      </c>
      <c r="B2480" s="2" t="n">
        <f aca="false">'Raw Data'!A2480</f>
        <v>41</v>
      </c>
      <c r="C2480" s="2" t="str">
        <f aca="false">'Raw Data'!D2480</f>
        <v>Research &amp; Development</v>
      </c>
      <c r="D2480" s="2" t="str">
        <f aca="false">'Raw Data'!K2480</f>
        <v>Sales Representative</v>
      </c>
      <c r="E2480" s="2" t="n">
        <f aca="false">'Raw Data'!Q2480</f>
        <v>5</v>
      </c>
      <c r="F2480" s="2" t="n">
        <f aca="false">'Raw Data'!U2480</f>
        <v>4</v>
      </c>
      <c r="G2480" s="2" t="n">
        <f aca="false">'Raw Data'!W2480</f>
        <v>1</v>
      </c>
      <c r="H2480" s="2" t="n">
        <f aca="false">'Raw Data'!V2480</f>
        <v>3</v>
      </c>
      <c r="I2480" s="2" t="n">
        <f aca="false">IF(AND(ISNUMBER(B2480),B2480&lt;=25),2,0)+IF(AND(ISNUMBER(E2480),E2480&lt;=5),2,0)+IF(AND(ISNUMBER(F2480),F2480&lt;=1),2,0)+IF(AND(ISNUMBER(G2480),G2480&lt;=2),1,0)+IF(AND(ISNUMBER(H2480),H2480&lt;=2),1,0)</f>
        <v>3</v>
      </c>
      <c r="J2480" s="2" t="str">
        <f aca="false">IF(I2480&gt;=6,"High",IF(I2480&gt;=3,"Medium","Low"))</f>
        <v>Medium</v>
      </c>
    </row>
    <row r="2481" customFormat="false" ht="15" hidden="false" customHeight="true" outlineLevel="0" collapsed="false">
      <c r="A2481" s="2" t="n">
        <f aca="false">'Raw Data'!H2481</f>
        <v>2480</v>
      </c>
      <c r="B2481" s="2" t="n">
        <f aca="false">'Raw Data'!A2481</f>
        <v>34</v>
      </c>
      <c r="C2481" s="2" t="str">
        <f aca="false">'Raw Data'!D2481</f>
        <v>Research &amp; Development</v>
      </c>
      <c r="D2481" s="2" t="str">
        <f aca="false">'Raw Data'!K2481</f>
        <v>Research Scientist</v>
      </c>
      <c r="E2481" s="2" t="n">
        <f aca="false">'Raw Data'!Q2481</f>
        <v>15</v>
      </c>
      <c r="F2481" s="2" t="n">
        <f aca="false">'Raw Data'!U2481</f>
        <v>7</v>
      </c>
      <c r="G2481" s="2" t="n">
        <f aca="false">'Raw Data'!W2481</f>
        <v>3</v>
      </c>
      <c r="H2481" s="2" t="n">
        <f aca="false">'Raw Data'!V2481</f>
        <v>4</v>
      </c>
      <c r="I2481" s="2" t="n">
        <f aca="false">IF(AND(ISNUMBER(B2481),B2481&lt;=25),2,0)+IF(AND(ISNUMBER(E2481),E2481&lt;=5),2,0)+IF(AND(ISNUMBER(F2481),F2481&lt;=1),2,0)+IF(AND(ISNUMBER(G2481),G2481&lt;=2),1,0)+IF(AND(ISNUMBER(H2481),H2481&lt;=2),1,0)</f>
        <v>0</v>
      </c>
      <c r="J2481" s="2" t="str">
        <f aca="false">IF(I2481&gt;=6,"High",IF(I2481&gt;=3,"Medium","Low"))</f>
        <v>Low</v>
      </c>
    </row>
    <row r="2482" customFormat="false" ht="15" hidden="false" customHeight="true" outlineLevel="0" collapsed="false">
      <c r="A2482" s="2" t="n">
        <f aca="false">'Raw Data'!H2482</f>
        <v>2481</v>
      </c>
      <c r="B2482" s="2" t="n">
        <f aca="false">'Raw Data'!A2482</f>
        <v>53</v>
      </c>
      <c r="C2482" s="2" t="str">
        <f aca="false">'Raw Data'!D2482</f>
        <v>Research &amp; Development</v>
      </c>
      <c r="D2482" s="2" t="str">
        <f aca="false">'Raw Data'!K2482</f>
        <v>Healthcare Representative</v>
      </c>
      <c r="E2482" s="2" t="n">
        <f aca="false">'Raw Data'!Q2482</f>
        <v>27</v>
      </c>
      <c r="F2482" s="2" t="n">
        <f aca="false">'Raw Data'!U2482</f>
        <v>2</v>
      </c>
      <c r="G2482" s="2" t="n">
        <f aca="false">'Raw Data'!W2482</f>
        <v>3</v>
      </c>
      <c r="H2482" s="2" t="n">
        <f aca="false">'Raw Data'!V2482</f>
        <v>1</v>
      </c>
      <c r="I2482" s="2" t="n">
        <f aca="false">IF(AND(ISNUMBER(B2482),B2482&lt;=25),2,0)+IF(AND(ISNUMBER(E2482),E2482&lt;=5),2,0)+IF(AND(ISNUMBER(F2482),F2482&lt;=1),2,0)+IF(AND(ISNUMBER(G2482),G2482&lt;=2),1,0)+IF(AND(ISNUMBER(H2482),H2482&lt;=2),1,0)</f>
        <v>1</v>
      </c>
      <c r="J2482" s="2" t="str">
        <f aca="false">IF(I2482&gt;=6,"High",IF(I2482&gt;=3,"Medium","Low"))</f>
        <v>Low</v>
      </c>
    </row>
    <row r="2483" customFormat="false" ht="15" hidden="false" customHeight="true" outlineLevel="0" collapsed="false">
      <c r="A2483" s="2" t="n">
        <f aca="false">'Raw Data'!H2483</f>
        <v>2482</v>
      </c>
      <c r="B2483" s="2" t="n">
        <f aca="false">'Raw Data'!A2483</f>
        <v>43</v>
      </c>
      <c r="C2483" s="2" t="str">
        <f aca="false">'Raw Data'!D2483</f>
        <v>Sales</v>
      </c>
      <c r="D2483" s="2" t="str">
        <f aca="false">'Raw Data'!K2483</f>
        <v>Laboratory Technician</v>
      </c>
      <c r="E2483" s="2" t="n">
        <f aca="false">'Raw Data'!Q2483</f>
        <v>10</v>
      </c>
      <c r="F2483" s="2" t="n">
        <f aca="false">'Raw Data'!U2483</f>
        <v>8</v>
      </c>
      <c r="G2483" s="2" t="n">
        <f aca="false">'Raw Data'!W2483</f>
        <v>4</v>
      </c>
      <c r="H2483" s="2" t="n">
        <f aca="false">'Raw Data'!V2483</f>
        <v>2</v>
      </c>
      <c r="I2483" s="2" t="n">
        <f aca="false">IF(AND(ISNUMBER(B2483),B2483&lt;=25),2,0)+IF(AND(ISNUMBER(E2483),E2483&lt;=5),2,0)+IF(AND(ISNUMBER(F2483),F2483&lt;=1),2,0)+IF(AND(ISNUMBER(G2483),G2483&lt;=2),1,0)+IF(AND(ISNUMBER(H2483),H2483&lt;=2),1,0)</f>
        <v>1</v>
      </c>
      <c r="J2483" s="2" t="str">
        <f aca="false">IF(I2483&gt;=6,"High",IF(I2483&gt;=3,"Medium","Low"))</f>
        <v>Low</v>
      </c>
    </row>
    <row r="2484" customFormat="false" ht="15" hidden="false" customHeight="true" outlineLevel="0" collapsed="false">
      <c r="A2484" s="2" t="n">
        <f aca="false">'Raw Data'!H2484</f>
        <v>2483</v>
      </c>
      <c r="B2484" s="2" t="n">
        <f aca="false">'Raw Data'!A2484</f>
        <v>34</v>
      </c>
      <c r="C2484" s="2" t="str">
        <f aca="false">'Raw Data'!D2484</f>
        <v>Sales</v>
      </c>
      <c r="D2484" s="2" t="str">
        <f aca="false">'Raw Data'!K2484</f>
        <v>Sales Executive</v>
      </c>
      <c r="E2484" s="2" t="n">
        <f aca="false">'Raw Data'!Q2484</f>
        <v>6</v>
      </c>
      <c r="F2484" s="2" t="n">
        <f aca="false">'Raw Data'!U2484</f>
        <v>2</v>
      </c>
      <c r="G2484" s="2" t="n">
        <f aca="false">'Raw Data'!W2484</f>
        <v>4</v>
      </c>
      <c r="H2484" s="2" t="n">
        <f aca="false">'Raw Data'!V2484</f>
        <v>4</v>
      </c>
      <c r="I2484" s="2" t="n">
        <f aca="false">IF(AND(ISNUMBER(B2484),B2484&lt;=25),2,0)+IF(AND(ISNUMBER(E2484),E2484&lt;=5),2,0)+IF(AND(ISNUMBER(F2484),F2484&lt;=1),2,0)+IF(AND(ISNUMBER(G2484),G2484&lt;=2),1,0)+IF(AND(ISNUMBER(H2484),H2484&lt;=2),1,0)</f>
        <v>0</v>
      </c>
      <c r="J2484" s="2" t="str">
        <f aca="false">IF(I2484&gt;=6,"High",IF(I2484&gt;=3,"Medium","Low"))</f>
        <v>Low</v>
      </c>
    </row>
    <row r="2485" customFormat="false" ht="15" hidden="false" customHeight="true" outlineLevel="0" collapsed="false">
      <c r="A2485" s="2" t="n">
        <f aca="false">'Raw Data'!H2485</f>
        <v>2484</v>
      </c>
      <c r="B2485" s="2" t="n">
        <f aca="false">'Raw Data'!A2485</f>
        <v>21</v>
      </c>
      <c r="C2485" s="2" t="str">
        <f aca="false">'Raw Data'!D2485</f>
        <v>Sales</v>
      </c>
      <c r="D2485" s="2" t="str">
        <f aca="false">'Raw Data'!K2485</f>
        <v>Healthcare Representative</v>
      </c>
      <c r="E2485" s="2" t="n">
        <f aca="false">'Raw Data'!Q2485</f>
        <v>1</v>
      </c>
      <c r="F2485" s="2" t="n">
        <f aca="false">'Raw Data'!U2485</f>
        <v>0</v>
      </c>
      <c r="G2485" s="2" t="n">
        <f aca="false">'Raw Data'!W2485</f>
        <v>2</v>
      </c>
      <c r="H2485" s="2" t="n">
        <f aca="false">'Raw Data'!V2485</f>
        <v>2</v>
      </c>
      <c r="I2485" s="2" t="n">
        <f aca="false">IF(AND(ISNUMBER(B2485),B2485&lt;=25),2,0)+IF(AND(ISNUMBER(E2485),E2485&lt;=5),2,0)+IF(AND(ISNUMBER(F2485),F2485&lt;=1),2,0)+IF(AND(ISNUMBER(G2485),G2485&lt;=2),1,0)+IF(AND(ISNUMBER(H2485),H2485&lt;=2),1,0)</f>
        <v>8</v>
      </c>
      <c r="J2485" s="2" t="str">
        <f aca="false">IF(I2485&gt;=6,"High",IF(I2485&gt;=3,"Medium","Low"))</f>
        <v>High</v>
      </c>
    </row>
    <row r="2486" customFormat="false" ht="15" hidden="false" customHeight="true" outlineLevel="0" collapsed="false">
      <c r="A2486" s="2" t="n">
        <f aca="false">'Raw Data'!H2486</f>
        <v>2485</v>
      </c>
      <c r="B2486" s="2" t="n">
        <f aca="false">'Raw Data'!A2486</f>
        <v>38</v>
      </c>
      <c r="C2486" s="2" t="str">
        <f aca="false">'Raw Data'!D2486</f>
        <v>Research &amp; Development</v>
      </c>
      <c r="D2486" s="2" t="str">
        <f aca="false">'Raw Data'!K2486</f>
        <v>Sales Executive</v>
      </c>
      <c r="E2486" s="2" t="n">
        <f aca="false">'Raw Data'!Q2486</f>
        <v>5</v>
      </c>
      <c r="F2486" s="2" t="n">
        <f aca="false">'Raw Data'!U2486</f>
        <v>4</v>
      </c>
      <c r="G2486" s="2" t="n">
        <f aca="false">'Raw Data'!W2486</f>
        <v>3</v>
      </c>
      <c r="H2486" s="2" t="n">
        <f aca="false">'Raw Data'!V2486</f>
        <v>4</v>
      </c>
      <c r="I2486" s="2" t="n">
        <f aca="false">IF(AND(ISNUMBER(B2486),B2486&lt;=25),2,0)+IF(AND(ISNUMBER(E2486),E2486&lt;=5),2,0)+IF(AND(ISNUMBER(F2486),F2486&lt;=1),2,0)+IF(AND(ISNUMBER(G2486),G2486&lt;=2),1,0)+IF(AND(ISNUMBER(H2486),H2486&lt;=2),1,0)</f>
        <v>2</v>
      </c>
      <c r="J2486" s="2" t="str">
        <f aca="false">IF(I2486&gt;=6,"High",IF(I2486&gt;=3,"Medium","Low"))</f>
        <v>Low</v>
      </c>
    </row>
    <row r="2487" customFormat="false" ht="15" hidden="false" customHeight="true" outlineLevel="0" collapsed="false">
      <c r="A2487" s="2" t="n">
        <f aca="false">'Raw Data'!H2487</f>
        <v>2486</v>
      </c>
      <c r="B2487" s="2" t="n">
        <f aca="false">'Raw Data'!A2487</f>
        <v>22</v>
      </c>
      <c r="C2487" s="2" t="str">
        <f aca="false">'Raw Data'!D2487</f>
        <v>Research &amp; Development</v>
      </c>
      <c r="D2487" s="2" t="str">
        <f aca="false">'Raw Data'!K2487</f>
        <v>Research Scientist</v>
      </c>
      <c r="E2487" s="2" t="n">
        <f aca="false">'Raw Data'!Q2487</f>
        <v>1</v>
      </c>
      <c r="F2487" s="2" t="n">
        <f aca="false">'Raw Data'!U2487</f>
        <v>0</v>
      </c>
      <c r="G2487" s="2" t="n">
        <f aca="false">'Raw Data'!W2487</f>
        <v>1</v>
      </c>
      <c r="H2487" s="2" t="n">
        <f aca="false">'Raw Data'!V2487</f>
        <v>3</v>
      </c>
      <c r="I2487" s="2" t="n">
        <f aca="false">IF(AND(ISNUMBER(B2487),B2487&lt;=25),2,0)+IF(AND(ISNUMBER(E2487),E2487&lt;=5),2,0)+IF(AND(ISNUMBER(F2487),F2487&lt;=1),2,0)+IF(AND(ISNUMBER(G2487),G2487&lt;=2),1,0)+IF(AND(ISNUMBER(H2487),H2487&lt;=2),1,0)</f>
        <v>7</v>
      </c>
      <c r="J2487" s="2" t="str">
        <f aca="false">IF(I2487&gt;=6,"High",IF(I2487&gt;=3,"Medium","Low"))</f>
        <v>High</v>
      </c>
    </row>
    <row r="2488" customFormat="false" ht="15" hidden="false" customHeight="true" outlineLevel="0" collapsed="false">
      <c r="A2488" s="2" t="n">
        <f aca="false">'Raw Data'!H2488</f>
        <v>2487</v>
      </c>
      <c r="B2488" s="2" t="n">
        <f aca="false">'Raw Data'!A2488</f>
        <v>31</v>
      </c>
      <c r="C2488" s="2" t="str">
        <f aca="false">'Raw Data'!D2488</f>
        <v>Research &amp; Development</v>
      </c>
      <c r="D2488" s="2" t="str">
        <f aca="false">'Raw Data'!K2488</f>
        <v>Sales Executive</v>
      </c>
      <c r="E2488" s="2" t="n">
        <f aca="false">'Raw Data'!Q2488</f>
        <v>13</v>
      </c>
      <c r="F2488" s="2" t="n">
        <f aca="false">'Raw Data'!U2488</f>
        <v>7</v>
      </c>
      <c r="G2488" s="2" t="n">
        <f aca="false">'Raw Data'!W2488</f>
        <v>4</v>
      </c>
      <c r="H2488" s="2" t="n">
        <f aca="false">'Raw Data'!V2488</f>
        <v>1</v>
      </c>
      <c r="I2488" s="2" t="n">
        <f aca="false">IF(AND(ISNUMBER(B2488),B2488&lt;=25),2,0)+IF(AND(ISNUMBER(E2488),E2488&lt;=5),2,0)+IF(AND(ISNUMBER(F2488),F2488&lt;=1),2,0)+IF(AND(ISNUMBER(G2488),G2488&lt;=2),1,0)+IF(AND(ISNUMBER(H2488),H2488&lt;=2),1,0)</f>
        <v>1</v>
      </c>
      <c r="J2488" s="2" t="str">
        <f aca="false">IF(I2488&gt;=6,"High",IF(I2488&gt;=3,"Medium","Low"))</f>
        <v>Low</v>
      </c>
    </row>
    <row r="2489" customFormat="false" ht="15" hidden="false" customHeight="true" outlineLevel="0" collapsed="false">
      <c r="A2489" s="2" t="n">
        <f aca="false">'Raw Data'!H2489</f>
        <v>2488</v>
      </c>
      <c r="B2489" s="2" t="n">
        <f aca="false">'Raw Data'!A2489</f>
        <v>51</v>
      </c>
      <c r="C2489" s="2" t="str">
        <f aca="false">'Raw Data'!D2489</f>
        <v>Research &amp; Development</v>
      </c>
      <c r="D2489" s="2" t="str">
        <f aca="false">'Raw Data'!K2489</f>
        <v>Manager</v>
      </c>
      <c r="E2489" s="2" t="n">
        <f aca="false">'Raw Data'!Q2489</f>
        <v>15</v>
      </c>
      <c r="F2489" s="2" t="n">
        <f aca="false">'Raw Data'!U2489</f>
        <v>2</v>
      </c>
      <c r="G2489" s="2" t="n">
        <f aca="false">'Raw Data'!W2489</f>
        <v>3</v>
      </c>
      <c r="H2489" s="2" t="n">
        <f aca="false">'Raw Data'!V2489</f>
        <v>1</v>
      </c>
      <c r="I2489" s="2" t="n">
        <f aca="false">IF(AND(ISNUMBER(B2489),B2489&lt;=25),2,0)+IF(AND(ISNUMBER(E2489),E2489&lt;=5),2,0)+IF(AND(ISNUMBER(F2489),F2489&lt;=1),2,0)+IF(AND(ISNUMBER(G2489),G2489&lt;=2),1,0)+IF(AND(ISNUMBER(H2489),H2489&lt;=2),1,0)</f>
        <v>1</v>
      </c>
      <c r="J2489" s="2" t="str">
        <f aca="false">IF(I2489&gt;=6,"High",IF(I2489&gt;=3,"Medium","Low"))</f>
        <v>Low</v>
      </c>
    </row>
    <row r="2490" customFormat="false" ht="15" hidden="false" customHeight="true" outlineLevel="0" collapsed="false">
      <c r="A2490" s="2" t="n">
        <f aca="false">'Raw Data'!H2490</f>
        <v>2489</v>
      </c>
      <c r="B2490" s="2" t="n">
        <f aca="false">'Raw Data'!A2490</f>
        <v>37</v>
      </c>
      <c r="C2490" s="2" t="str">
        <f aca="false">'Raw Data'!D2490</f>
        <v>Research &amp; Development</v>
      </c>
      <c r="D2490" s="2" t="str">
        <f aca="false">'Raw Data'!K2490</f>
        <v>Sales Executive</v>
      </c>
      <c r="E2490" s="2" t="n">
        <f aca="false">'Raw Data'!Q2490</f>
        <v>5</v>
      </c>
      <c r="F2490" s="2" t="n">
        <f aca="false">'Raw Data'!U2490</f>
        <v>3</v>
      </c>
      <c r="G2490" s="2" t="n">
        <f aca="false">'Raw Data'!W2490</f>
        <v>2</v>
      </c>
      <c r="H2490" s="2" t="n">
        <f aca="false">'Raw Data'!V2490</f>
        <v>2</v>
      </c>
      <c r="I2490" s="2" t="n">
        <f aca="false">IF(AND(ISNUMBER(B2490),B2490&lt;=25),2,0)+IF(AND(ISNUMBER(E2490),E2490&lt;=5),2,0)+IF(AND(ISNUMBER(F2490),F2490&lt;=1),2,0)+IF(AND(ISNUMBER(G2490),G2490&lt;=2),1,0)+IF(AND(ISNUMBER(H2490),H2490&lt;=2),1,0)</f>
        <v>4</v>
      </c>
      <c r="J2490" s="2" t="str">
        <f aca="false">IF(I2490&gt;=6,"High",IF(I2490&gt;=3,"Medium","Low"))</f>
        <v>Medium</v>
      </c>
    </row>
    <row r="2491" customFormat="false" ht="15" hidden="false" customHeight="true" outlineLevel="0" collapsed="false">
      <c r="A2491" s="2" t="n">
        <f aca="false">'Raw Data'!H2491</f>
        <v>2490</v>
      </c>
      <c r="B2491" s="2" t="n">
        <f aca="false">'Raw Data'!A2491</f>
        <v>46</v>
      </c>
      <c r="C2491" s="2" t="str">
        <f aca="false">'Raw Data'!D2491</f>
        <v>Sales</v>
      </c>
      <c r="D2491" s="2" t="str">
        <f aca="false">'Raw Data'!K2491</f>
        <v>Sales Representative</v>
      </c>
      <c r="E2491" s="2" t="n">
        <f aca="false">'Raw Data'!Q2491</f>
        <v>24</v>
      </c>
      <c r="F2491" s="2" t="n">
        <f aca="false">'Raw Data'!U2491</f>
        <v>2</v>
      </c>
      <c r="G2491" s="2" t="n">
        <f aca="false">'Raw Data'!W2491</f>
        <v>4</v>
      </c>
      <c r="H2491" s="2" t="n">
        <f aca="false">'Raw Data'!V2491</f>
        <v>3</v>
      </c>
      <c r="I2491" s="2" t="n">
        <f aca="false">IF(AND(ISNUMBER(B2491),B2491&lt;=25),2,0)+IF(AND(ISNUMBER(E2491),E2491&lt;=5),2,0)+IF(AND(ISNUMBER(F2491),F2491&lt;=1),2,0)+IF(AND(ISNUMBER(G2491),G2491&lt;=2),1,0)+IF(AND(ISNUMBER(H2491),H2491&lt;=2),1,0)</f>
        <v>0</v>
      </c>
      <c r="J2491" s="2" t="str">
        <f aca="false">IF(I2491&gt;=6,"High",IF(I2491&gt;=3,"Medium","Low"))</f>
        <v>Low</v>
      </c>
    </row>
    <row r="2492" customFormat="false" ht="15" hidden="false" customHeight="true" outlineLevel="0" collapsed="false">
      <c r="A2492" s="2" t="n">
        <f aca="false">'Raw Data'!H2492</f>
        <v>2491</v>
      </c>
      <c r="B2492" s="2" t="n">
        <f aca="false">'Raw Data'!A2492</f>
        <v>36</v>
      </c>
      <c r="C2492" s="2" t="str">
        <f aca="false">'Raw Data'!D2492</f>
        <v>Research &amp; Development</v>
      </c>
      <c r="D2492" s="2" t="str">
        <f aca="false">'Raw Data'!K2492</f>
        <v>Research Scientist</v>
      </c>
      <c r="E2492" s="2" t="n">
        <f aca="false">'Raw Data'!Q2492</f>
        <v>15</v>
      </c>
      <c r="F2492" s="2" t="n">
        <f aca="false">'Raw Data'!U2492</f>
        <v>7</v>
      </c>
      <c r="G2492" s="2" t="n">
        <f aca="false">'Raw Data'!W2492</f>
        <v>1</v>
      </c>
      <c r="H2492" s="2" t="n">
        <f aca="false">'Raw Data'!V2492</f>
        <v>4</v>
      </c>
      <c r="I2492" s="2" t="n">
        <f aca="false">IF(AND(ISNUMBER(B2492),B2492&lt;=25),2,0)+IF(AND(ISNUMBER(E2492),E2492&lt;=5),2,0)+IF(AND(ISNUMBER(F2492),F2492&lt;=1),2,0)+IF(AND(ISNUMBER(G2492),G2492&lt;=2),1,0)+IF(AND(ISNUMBER(H2492),H2492&lt;=2),1,0)</f>
        <v>1</v>
      </c>
      <c r="J2492" s="2" t="str">
        <f aca="false">IF(I2492&gt;=6,"High",IF(I2492&gt;=3,"Medium","Low"))</f>
        <v>Low</v>
      </c>
    </row>
    <row r="2493" customFormat="false" ht="15" hidden="false" customHeight="true" outlineLevel="0" collapsed="false">
      <c r="A2493" s="2" t="n">
        <f aca="false">'Raw Data'!H2493</f>
        <v>2492</v>
      </c>
      <c r="B2493" s="2" t="n">
        <f aca="false">'Raw Data'!A2493</f>
        <v>44</v>
      </c>
      <c r="C2493" s="2" t="str">
        <f aca="false">'Raw Data'!D2493</f>
        <v>Sales</v>
      </c>
      <c r="D2493" s="2" t="str">
        <f aca="false">'Raw Data'!K2493</f>
        <v>Research Scientist</v>
      </c>
      <c r="E2493" s="2" t="n">
        <f aca="false">'Raw Data'!Q2493</f>
        <v>6</v>
      </c>
      <c r="F2493" s="2" t="n">
        <f aca="false">'Raw Data'!U2493</f>
        <v>3</v>
      </c>
      <c r="G2493" s="2" t="n">
        <f aca="false">'Raw Data'!W2493</f>
        <v>2</v>
      </c>
      <c r="H2493" s="2" t="n">
        <f aca="false">'Raw Data'!V2493</f>
        <v>3</v>
      </c>
      <c r="I2493" s="2" t="n">
        <f aca="false">IF(AND(ISNUMBER(B2493),B2493&lt;=25),2,0)+IF(AND(ISNUMBER(E2493),E2493&lt;=5),2,0)+IF(AND(ISNUMBER(F2493),F2493&lt;=1),2,0)+IF(AND(ISNUMBER(G2493),G2493&lt;=2),1,0)+IF(AND(ISNUMBER(H2493),H2493&lt;=2),1,0)</f>
        <v>1</v>
      </c>
      <c r="J2493" s="2" t="str">
        <f aca="false">IF(I2493&gt;=6,"High",IF(I2493&gt;=3,"Medium","Low"))</f>
        <v>Low</v>
      </c>
    </row>
    <row r="2494" customFormat="false" ht="15" hidden="false" customHeight="true" outlineLevel="0" collapsed="false">
      <c r="A2494" s="2" t="n">
        <f aca="false">'Raw Data'!H2494</f>
        <v>2493</v>
      </c>
      <c r="B2494" s="2" t="n">
        <f aca="false">'Raw Data'!A2494</f>
        <v>37</v>
      </c>
      <c r="C2494" s="2" t="str">
        <f aca="false">'Raw Data'!D2494</f>
        <v>Research &amp; Development</v>
      </c>
      <c r="D2494" s="2" t="str">
        <f aca="false">'Raw Data'!K2494</f>
        <v>Sales Executive</v>
      </c>
      <c r="E2494" s="2" t="n">
        <f aca="false">'Raw Data'!Q2494</f>
        <v>19</v>
      </c>
      <c r="F2494" s="2" t="n">
        <f aca="false">'Raw Data'!U2494</f>
        <v>7</v>
      </c>
      <c r="G2494" s="2" t="n">
        <f aca="false">'Raw Data'!W2494</f>
        <v>2</v>
      </c>
      <c r="H2494" s="2" t="n">
        <f aca="false">'Raw Data'!V2494</f>
        <v>3</v>
      </c>
      <c r="I2494" s="2" t="n">
        <f aca="false">IF(AND(ISNUMBER(B2494),B2494&lt;=25),2,0)+IF(AND(ISNUMBER(E2494),E2494&lt;=5),2,0)+IF(AND(ISNUMBER(F2494),F2494&lt;=1),2,0)+IF(AND(ISNUMBER(G2494),G2494&lt;=2),1,0)+IF(AND(ISNUMBER(H2494),H2494&lt;=2),1,0)</f>
        <v>1</v>
      </c>
      <c r="J2494" s="2" t="str">
        <f aca="false">IF(I2494&gt;=6,"High",IF(I2494&gt;=3,"Medium","Low"))</f>
        <v>Low</v>
      </c>
    </row>
    <row r="2495" customFormat="false" ht="15" hidden="false" customHeight="true" outlineLevel="0" collapsed="false">
      <c r="A2495" s="2" t="n">
        <f aca="false">'Raw Data'!H2495</f>
        <v>2494</v>
      </c>
      <c r="B2495" s="2" t="n">
        <f aca="false">'Raw Data'!A2495</f>
        <v>35</v>
      </c>
      <c r="C2495" s="2" t="str">
        <f aca="false">'Raw Data'!D2495</f>
        <v>Research &amp; Development</v>
      </c>
      <c r="D2495" s="2" t="str">
        <f aca="false">'Raw Data'!K2495</f>
        <v>Research Scientist</v>
      </c>
      <c r="E2495" s="2" t="n">
        <f aca="false">'Raw Data'!Q2495</f>
        <v>10</v>
      </c>
      <c r="F2495" s="2" t="n">
        <f aca="false">'Raw Data'!U2495</f>
        <v>7</v>
      </c>
      <c r="G2495" s="2" t="n">
        <f aca="false">'Raw Data'!W2495</f>
        <v>4</v>
      </c>
      <c r="H2495" s="2" t="n">
        <f aca="false">'Raw Data'!V2495</f>
        <v>3</v>
      </c>
      <c r="I2495" s="2" t="n">
        <f aca="false">IF(AND(ISNUMBER(B2495),B2495&lt;=25),2,0)+IF(AND(ISNUMBER(E2495),E2495&lt;=5),2,0)+IF(AND(ISNUMBER(F2495),F2495&lt;=1),2,0)+IF(AND(ISNUMBER(G2495),G2495&lt;=2),1,0)+IF(AND(ISNUMBER(H2495),H2495&lt;=2),1,0)</f>
        <v>0</v>
      </c>
      <c r="J2495" s="2" t="str">
        <f aca="false">IF(I2495&gt;=6,"High",IF(I2495&gt;=3,"Medium","Low"))</f>
        <v>Low</v>
      </c>
    </row>
    <row r="2496" customFormat="false" ht="15" hidden="false" customHeight="true" outlineLevel="0" collapsed="false">
      <c r="A2496" s="2" t="n">
        <f aca="false">'Raw Data'!H2496</f>
        <v>2495</v>
      </c>
      <c r="B2496" s="2" t="n">
        <f aca="false">'Raw Data'!A2496</f>
        <v>33</v>
      </c>
      <c r="C2496" s="2" t="str">
        <f aca="false">'Raw Data'!D2496</f>
        <v>Research &amp; Development</v>
      </c>
      <c r="D2496" s="2" t="str">
        <f aca="false">'Raw Data'!K2496</f>
        <v>Laboratory Technician</v>
      </c>
      <c r="E2496" s="2" t="n">
        <f aca="false">'Raw Data'!Q2496</f>
        <v>14</v>
      </c>
      <c r="F2496" s="2" t="n">
        <f aca="false">'Raw Data'!U2496</f>
        <v>6</v>
      </c>
      <c r="G2496" s="2" t="n">
        <f aca="false">'Raw Data'!W2496</f>
        <v>1</v>
      </c>
      <c r="H2496" s="2" t="n">
        <f aca="false">'Raw Data'!V2496</f>
        <v>4</v>
      </c>
      <c r="I2496" s="2" t="n">
        <f aca="false">IF(AND(ISNUMBER(B2496),B2496&lt;=25),2,0)+IF(AND(ISNUMBER(E2496),E2496&lt;=5),2,0)+IF(AND(ISNUMBER(F2496),F2496&lt;=1),2,0)+IF(AND(ISNUMBER(G2496),G2496&lt;=2),1,0)+IF(AND(ISNUMBER(H2496),H2496&lt;=2),1,0)</f>
        <v>1</v>
      </c>
      <c r="J2496" s="2" t="str">
        <f aca="false">IF(I2496&gt;=6,"High",IF(I2496&gt;=3,"Medium","Low"))</f>
        <v>Low</v>
      </c>
    </row>
    <row r="2497" customFormat="false" ht="15" hidden="false" customHeight="true" outlineLevel="0" collapsed="false">
      <c r="A2497" s="2" t="n">
        <f aca="false">'Raw Data'!H2497</f>
        <v>2496</v>
      </c>
      <c r="B2497" s="2" t="n">
        <f aca="false">'Raw Data'!A2497</f>
        <v>28</v>
      </c>
      <c r="C2497" s="2" t="str">
        <f aca="false">'Raw Data'!D2497</f>
        <v>Sales</v>
      </c>
      <c r="D2497" s="2" t="str">
        <f aca="false">'Raw Data'!K2497</f>
        <v>Sales Executive</v>
      </c>
      <c r="E2497" s="2" t="n">
        <f aca="false">'Raw Data'!Q2497</f>
        <v>5</v>
      </c>
      <c r="F2497" s="2" t="n">
        <f aca="false">'Raw Data'!U2497</f>
        <v>3</v>
      </c>
      <c r="G2497" s="2" t="n">
        <f aca="false">'Raw Data'!W2497</f>
        <v>4</v>
      </c>
      <c r="H2497" s="2" t="n">
        <f aca="false">'Raw Data'!V2497</f>
        <v>3</v>
      </c>
      <c r="I2497" s="2" t="n">
        <f aca="false">IF(AND(ISNUMBER(B2497),B2497&lt;=25),2,0)+IF(AND(ISNUMBER(E2497),E2497&lt;=5),2,0)+IF(AND(ISNUMBER(F2497),F2497&lt;=1),2,0)+IF(AND(ISNUMBER(G2497),G2497&lt;=2),1,0)+IF(AND(ISNUMBER(H2497),H2497&lt;=2),1,0)</f>
        <v>2</v>
      </c>
      <c r="J2497" s="2" t="str">
        <f aca="false">IF(I2497&gt;=6,"High",IF(I2497&gt;=3,"Medium","Low"))</f>
        <v>Low</v>
      </c>
    </row>
    <row r="2498" customFormat="false" ht="15" hidden="false" customHeight="true" outlineLevel="0" collapsed="false">
      <c r="A2498" s="2" t="n">
        <f aca="false">'Raw Data'!H2498</f>
        <v>2497</v>
      </c>
      <c r="B2498" s="2" t="n">
        <f aca="false">'Raw Data'!A2498</f>
        <v>39</v>
      </c>
      <c r="C2498" s="2" t="str">
        <f aca="false">'Raw Data'!D2498</f>
        <v>Sales</v>
      </c>
      <c r="D2498" s="2" t="str">
        <f aca="false">'Raw Data'!K2498</f>
        <v>Laboratory Technician</v>
      </c>
      <c r="E2498" s="2" t="n">
        <f aca="false">'Raw Data'!Q2498</f>
        <v>9</v>
      </c>
      <c r="F2498" s="2" t="n">
        <f aca="false">'Raw Data'!U2498</f>
        <v>2</v>
      </c>
      <c r="G2498" s="2" t="n">
        <f aca="false">'Raw Data'!W2498</f>
        <v>3</v>
      </c>
      <c r="H2498" s="2" t="n">
        <f aca="false">'Raw Data'!V2498</f>
        <v>3</v>
      </c>
      <c r="I2498" s="2" t="n">
        <f aca="false">IF(AND(ISNUMBER(B2498),B2498&lt;=25),2,0)+IF(AND(ISNUMBER(E2498),E2498&lt;=5),2,0)+IF(AND(ISNUMBER(F2498),F2498&lt;=1),2,0)+IF(AND(ISNUMBER(G2498),G2498&lt;=2),1,0)+IF(AND(ISNUMBER(H2498),H2498&lt;=2),1,0)</f>
        <v>0</v>
      </c>
      <c r="J2498" s="2" t="str">
        <f aca="false">IF(I2498&gt;=6,"High",IF(I2498&gt;=3,"Medium","Low"))</f>
        <v>Low</v>
      </c>
    </row>
    <row r="2499" customFormat="false" ht="15" hidden="false" customHeight="true" outlineLevel="0" collapsed="false">
      <c r="A2499" s="2" t="n">
        <f aca="false">'Raw Data'!H2499</f>
        <v>2498</v>
      </c>
      <c r="B2499" s="2" t="n">
        <f aca="false">'Raw Data'!A2499</f>
        <v>46</v>
      </c>
      <c r="C2499" s="2" t="str">
        <f aca="false">'Raw Data'!D2499</f>
        <v>Research &amp; Development</v>
      </c>
      <c r="D2499" s="2" t="str">
        <f aca="false">'Raw Data'!K2499</f>
        <v>Manufacturing Director</v>
      </c>
      <c r="E2499" s="2" t="n">
        <f aca="false">'Raw Data'!Q2499</f>
        <v>6</v>
      </c>
      <c r="F2499" s="2" t="n">
        <f aca="false">'Raw Data'!U2499</f>
        <v>2</v>
      </c>
      <c r="G2499" s="2" t="n">
        <f aca="false">'Raw Data'!W2499</f>
        <v>2</v>
      </c>
      <c r="H2499" s="2" t="n">
        <f aca="false">'Raw Data'!V2499</f>
        <v>2</v>
      </c>
      <c r="I2499" s="2" t="n">
        <f aca="false">IF(AND(ISNUMBER(B2499),B2499&lt;=25),2,0)+IF(AND(ISNUMBER(E2499),E2499&lt;=5),2,0)+IF(AND(ISNUMBER(F2499),F2499&lt;=1),2,0)+IF(AND(ISNUMBER(G2499),G2499&lt;=2),1,0)+IF(AND(ISNUMBER(H2499),H2499&lt;=2),1,0)</f>
        <v>2</v>
      </c>
      <c r="J2499" s="2" t="str">
        <f aca="false">IF(I2499&gt;=6,"High",IF(I2499&gt;=3,"Medium","Low"))</f>
        <v>Low</v>
      </c>
    </row>
    <row r="2500" customFormat="false" ht="15" hidden="false" customHeight="true" outlineLevel="0" collapsed="false">
      <c r="A2500" s="2" t="n">
        <f aca="false">'Raw Data'!H2500</f>
        <v>2499</v>
      </c>
      <c r="B2500" s="2" t="n">
        <f aca="false">'Raw Data'!A2500</f>
        <v>40</v>
      </c>
      <c r="C2500" s="2" t="str">
        <f aca="false">'Raw Data'!D2500</f>
        <v>Research &amp; Development</v>
      </c>
      <c r="D2500" s="2" t="str">
        <f aca="false">'Raw Data'!K2500</f>
        <v>Research Director</v>
      </c>
      <c r="E2500" s="2" t="n">
        <f aca="false">'Raw Data'!Q2500</f>
        <v>7</v>
      </c>
      <c r="F2500" s="2" t="n">
        <f aca="false">'Raw Data'!U2500</f>
        <v>2</v>
      </c>
      <c r="G2500" s="2" t="n">
        <f aca="false">'Raw Data'!W2500</f>
        <v>1</v>
      </c>
      <c r="H2500" s="2" t="n">
        <f aca="false">'Raw Data'!V2500</f>
        <v>3</v>
      </c>
      <c r="I2500" s="2" t="n">
        <f aca="false">IF(AND(ISNUMBER(B2500),B2500&lt;=25),2,0)+IF(AND(ISNUMBER(E2500),E2500&lt;=5),2,0)+IF(AND(ISNUMBER(F2500),F2500&lt;=1),2,0)+IF(AND(ISNUMBER(G2500),G2500&lt;=2),1,0)+IF(AND(ISNUMBER(H2500),H2500&lt;=2),1,0)</f>
        <v>1</v>
      </c>
      <c r="J2500" s="2" t="str">
        <f aca="false">IF(I2500&gt;=6,"High",IF(I2500&gt;=3,"Medium","Low"))</f>
        <v>Low</v>
      </c>
    </row>
    <row r="2501" customFormat="false" ht="15" hidden="false" customHeight="true" outlineLevel="0" collapsed="false">
      <c r="A2501" s="2" t="n">
        <f aca="false">'Raw Data'!H2501</f>
        <v>2500</v>
      </c>
      <c r="B2501" s="2" t="n">
        <f aca="false">'Raw Data'!A2501</f>
        <v>42</v>
      </c>
      <c r="C2501" s="2" t="str">
        <f aca="false">'Raw Data'!D2501</f>
        <v>Research &amp; Development</v>
      </c>
      <c r="D2501" s="2" t="str">
        <f aca="false">'Raw Data'!K2501</f>
        <v>Laboratory Technician</v>
      </c>
      <c r="E2501" s="2" t="n">
        <f aca="false">'Raw Data'!Q2501</f>
        <v>10</v>
      </c>
      <c r="F2501" s="2" t="n">
        <f aca="false">'Raw Data'!U2501</f>
        <v>0</v>
      </c>
      <c r="G2501" s="2" t="n">
        <f aca="false">'Raw Data'!W2501</f>
        <v>1</v>
      </c>
      <c r="H2501" s="2" t="n">
        <f aca="false">'Raw Data'!V2501</f>
        <v>2</v>
      </c>
      <c r="I2501" s="2" t="n">
        <f aca="false">IF(AND(ISNUMBER(B2501),B2501&lt;=25),2,0)+IF(AND(ISNUMBER(E2501),E2501&lt;=5),2,0)+IF(AND(ISNUMBER(F2501),F2501&lt;=1),2,0)+IF(AND(ISNUMBER(G2501),G2501&lt;=2),1,0)+IF(AND(ISNUMBER(H2501),H2501&lt;=2),1,0)</f>
        <v>4</v>
      </c>
      <c r="J2501" s="2" t="str">
        <f aca="false">IF(I2501&gt;=6,"High",IF(I2501&gt;=3,"Medium","Low"))</f>
        <v>Medium</v>
      </c>
    </row>
    <row r="2502" customFormat="false" ht="15" hidden="false" customHeight="true" outlineLevel="0" collapsed="false">
      <c r="A2502" s="2" t="n">
        <f aca="false">'Raw Data'!H2502</f>
        <v>2501</v>
      </c>
      <c r="B2502" s="2" t="n">
        <f aca="false">'Raw Data'!A2502</f>
        <v>35</v>
      </c>
      <c r="C2502" s="2" t="str">
        <f aca="false">'Raw Data'!D2502</f>
        <v>Sales</v>
      </c>
      <c r="D2502" s="2" t="str">
        <f aca="false">'Raw Data'!K2502</f>
        <v>Research Director</v>
      </c>
      <c r="E2502" s="2" t="n">
        <f aca="false">'Raw Data'!Q2502</f>
        <v>15</v>
      </c>
      <c r="F2502" s="2" t="n">
        <f aca="false">'Raw Data'!U2502</f>
        <v>7</v>
      </c>
      <c r="G2502" s="2" t="n">
        <f aca="false">'Raw Data'!W2502</f>
        <v>4</v>
      </c>
      <c r="H2502" s="2" t="n">
        <f aca="false">'Raw Data'!V2502</f>
        <v>2</v>
      </c>
      <c r="I2502" s="2" t="n">
        <f aca="false">IF(AND(ISNUMBER(B2502),B2502&lt;=25),2,0)+IF(AND(ISNUMBER(E2502),E2502&lt;=5),2,0)+IF(AND(ISNUMBER(F2502),F2502&lt;=1),2,0)+IF(AND(ISNUMBER(G2502),G2502&lt;=2),1,0)+IF(AND(ISNUMBER(H2502),H2502&lt;=2),1,0)</f>
        <v>1</v>
      </c>
      <c r="J2502" s="2" t="str">
        <f aca="false">IF(I2502&gt;=6,"High",IF(I2502&gt;=3,"Medium","Low"))</f>
        <v>Low</v>
      </c>
    </row>
    <row r="2503" customFormat="false" ht="15" hidden="false" customHeight="true" outlineLevel="0" collapsed="false">
      <c r="A2503" s="2" t="n">
        <f aca="false">'Raw Data'!H2503</f>
        <v>2502</v>
      </c>
      <c r="B2503" s="2" t="n">
        <f aca="false">'Raw Data'!A2503</f>
        <v>38</v>
      </c>
      <c r="C2503" s="2" t="str">
        <f aca="false">'Raw Data'!D2503</f>
        <v>Sales</v>
      </c>
      <c r="D2503" s="2" t="str">
        <f aca="false">'Raw Data'!K2503</f>
        <v>Sales Executive</v>
      </c>
      <c r="E2503" s="2" t="n">
        <f aca="false">'Raw Data'!Q2503</f>
        <v>13</v>
      </c>
      <c r="F2503" s="2" t="n">
        <f aca="false">'Raw Data'!U2503</f>
        <v>8</v>
      </c>
      <c r="G2503" s="2" t="n">
        <f aca="false">'Raw Data'!W2503</f>
        <v>2</v>
      </c>
      <c r="H2503" s="2" t="n">
        <f aca="false">'Raw Data'!V2503</f>
        <v>1</v>
      </c>
      <c r="I2503" s="2" t="n">
        <f aca="false">IF(AND(ISNUMBER(B2503),B2503&lt;=25),2,0)+IF(AND(ISNUMBER(E2503),E2503&lt;=5),2,0)+IF(AND(ISNUMBER(F2503),F2503&lt;=1),2,0)+IF(AND(ISNUMBER(G2503),G2503&lt;=2),1,0)+IF(AND(ISNUMBER(H2503),H2503&lt;=2),1,0)</f>
        <v>2</v>
      </c>
      <c r="J2503" s="2" t="str">
        <f aca="false">IF(I2503&gt;=6,"High",IF(I2503&gt;=3,"Medium","Low"))</f>
        <v>Low</v>
      </c>
    </row>
    <row r="2504" customFormat="false" ht="15" hidden="false" customHeight="true" outlineLevel="0" collapsed="false">
      <c r="A2504" s="2" t="n">
        <f aca="false">'Raw Data'!H2504</f>
        <v>2503</v>
      </c>
      <c r="B2504" s="2" t="n">
        <f aca="false">'Raw Data'!A2504</f>
        <v>34</v>
      </c>
      <c r="C2504" s="2" t="str">
        <f aca="false">'Raw Data'!D2504</f>
        <v>Research &amp; Development</v>
      </c>
      <c r="D2504" s="2" t="str">
        <f aca="false">'Raw Data'!K2504</f>
        <v>Manufacturing Director</v>
      </c>
      <c r="E2504" s="2" t="n">
        <f aca="false">'Raw Data'!Q2504</f>
        <v>11</v>
      </c>
      <c r="F2504" s="2" t="n">
        <f aca="false">'Raw Data'!U2504</f>
        <v>7</v>
      </c>
      <c r="G2504" s="2" t="n">
        <f aca="false">'Raw Data'!W2504</f>
        <v>1</v>
      </c>
      <c r="H2504" s="2" t="n">
        <f aca="false">'Raw Data'!V2504</f>
        <v>4</v>
      </c>
      <c r="I2504" s="2" t="n">
        <f aca="false">IF(AND(ISNUMBER(B2504),B2504&lt;=25),2,0)+IF(AND(ISNUMBER(E2504),E2504&lt;=5),2,0)+IF(AND(ISNUMBER(F2504),F2504&lt;=1),2,0)+IF(AND(ISNUMBER(G2504),G2504&lt;=2),1,0)+IF(AND(ISNUMBER(H2504),H2504&lt;=2),1,0)</f>
        <v>1</v>
      </c>
      <c r="J2504" s="2" t="str">
        <f aca="false">IF(I2504&gt;=6,"High",IF(I2504&gt;=3,"Medium","Low"))</f>
        <v>Low</v>
      </c>
    </row>
    <row r="2505" customFormat="false" ht="15" hidden="false" customHeight="true" outlineLevel="0" collapsed="false">
      <c r="A2505" s="2" t="n">
        <f aca="false">'Raw Data'!H2505</f>
        <v>2504</v>
      </c>
      <c r="B2505" s="2" t="n">
        <f aca="false">'Raw Data'!A2505</f>
        <v>37</v>
      </c>
      <c r="C2505" s="2" t="str">
        <f aca="false">'Raw Data'!D2505</f>
        <v>Research &amp; Development</v>
      </c>
      <c r="D2505" s="2" t="str">
        <f aca="false">'Raw Data'!K2505</f>
        <v>Laboratory Technician</v>
      </c>
      <c r="E2505" s="2" t="n">
        <f aca="false">'Raw Data'!Q2505</f>
        <v>10</v>
      </c>
      <c r="F2505" s="2" t="n">
        <f aca="false">'Raw Data'!U2505</f>
        <v>8</v>
      </c>
      <c r="G2505" s="2" t="n">
        <f aca="false">'Raw Data'!W2505</f>
        <v>1</v>
      </c>
      <c r="H2505" s="2" t="n">
        <f aca="false">'Raw Data'!V2505</f>
        <v>4</v>
      </c>
      <c r="I2505" s="2" t="n">
        <f aca="false">IF(AND(ISNUMBER(B2505),B2505&lt;=25),2,0)+IF(AND(ISNUMBER(E2505),E2505&lt;=5),2,0)+IF(AND(ISNUMBER(F2505),F2505&lt;=1),2,0)+IF(AND(ISNUMBER(G2505),G2505&lt;=2),1,0)+IF(AND(ISNUMBER(H2505),H2505&lt;=2),1,0)</f>
        <v>1</v>
      </c>
      <c r="J2505" s="2" t="str">
        <f aca="false">IF(I2505&gt;=6,"High",IF(I2505&gt;=3,"Medium","Low"))</f>
        <v>Low</v>
      </c>
    </row>
    <row r="2506" customFormat="false" ht="15" hidden="false" customHeight="true" outlineLevel="0" collapsed="false">
      <c r="A2506" s="2" t="n">
        <f aca="false">'Raw Data'!H2506</f>
        <v>2505</v>
      </c>
      <c r="B2506" s="2" t="n">
        <f aca="false">'Raw Data'!A2506</f>
        <v>39</v>
      </c>
      <c r="C2506" s="2" t="str">
        <f aca="false">'Raw Data'!D2506</f>
        <v>Research &amp; Development</v>
      </c>
      <c r="D2506" s="2" t="str">
        <f aca="false">'Raw Data'!K2506</f>
        <v>Healthcare Representative</v>
      </c>
      <c r="E2506" s="2" t="n">
        <f aca="false">'Raw Data'!Q2506</f>
        <v>7</v>
      </c>
      <c r="F2506" s="2" t="n">
        <f aca="false">'Raw Data'!U2506</f>
        <v>2</v>
      </c>
      <c r="G2506" s="2" t="n">
        <f aca="false">'Raw Data'!W2506</f>
        <v>4</v>
      </c>
      <c r="H2506" s="2" t="n">
        <f aca="false">'Raw Data'!V2506</f>
        <v>3</v>
      </c>
      <c r="I2506" s="2" t="n">
        <f aca="false">IF(AND(ISNUMBER(B2506),B2506&lt;=25),2,0)+IF(AND(ISNUMBER(E2506),E2506&lt;=5),2,0)+IF(AND(ISNUMBER(F2506),F2506&lt;=1),2,0)+IF(AND(ISNUMBER(G2506),G2506&lt;=2),1,0)+IF(AND(ISNUMBER(H2506),H2506&lt;=2),1,0)</f>
        <v>0</v>
      </c>
      <c r="J2506" s="2" t="str">
        <f aca="false">IF(I2506&gt;=6,"High",IF(I2506&gt;=3,"Medium","Low"))</f>
        <v>Low</v>
      </c>
    </row>
    <row r="2507" customFormat="false" ht="15" hidden="false" customHeight="true" outlineLevel="0" collapsed="false">
      <c r="A2507" s="2" t="n">
        <f aca="false">'Raw Data'!H2507</f>
        <v>2506</v>
      </c>
      <c r="B2507" s="2" t="n">
        <f aca="false">'Raw Data'!A2507</f>
        <v>43</v>
      </c>
      <c r="C2507" s="2" t="str">
        <f aca="false">'Raw Data'!D2507</f>
        <v>Human Resources</v>
      </c>
      <c r="D2507" s="2" t="str">
        <f aca="false">'Raw Data'!K2507</f>
        <v>Sales Executive</v>
      </c>
      <c r="E2507" s="2" t="n">
        <f aca="false">'Raw Data'!Q2507</f>
        <v>7</v>
      </c>
      <c r="F2507" s="2" t="n">
        <f aca="false">'Raw Data'!U2507</f>
        <v>2</v>
      </c>
      <c r="G2507" s="2" t="n">
        <f aca="false">'Raw Data'!W2507</f>
        <v>3</v>
      </c>
      <c r="H2507" s="2" t="n">
        <f aca="false">'Raw Data'!V2507</f>
        <v>1</v>
      </c>
      <c r="I2507" s="2" t="n">
        <f aca="false">IF(AND(ISNUMBER(B2507),B2507&lt;=25),2,0)+IF(AND(ISNUMBER(E2507),E2507&lt;=5),2,0)+IF(AND(ISNUMBER(F2507),F2507&lt;=1),2,0)+IF(AND(ISNUMBER(G2507),G2507&lt;=2),1,0)+IF(AND(ISNUMBER(H2507),H2507&lt;=2),1,0)</f>
        <v>1</v>
      </c>
      <c r="J2507" s="2" t="str">
        <f aca="false">IF(I2507&gt;=6,"High",IF(I2507&gt;=3,"Medium","Low"))</f>
        <v>Low</v>
      </c>
    </row>
    <row r="2508" customFormat="false" ht="15" hidden="false" customHeight="true" outlineLevel="0" collapsed="false">
      <c r="A2508" s="2" t="n">
        <f aca="false">'Raw Data'!H2508</f>
        <v>2507</v>
      </c>
      <c r="B2508" s="2" t="n">
        <f aca="false">'Raw Data'!A2508</f>
        <v>41</v>
      </c>
      <c r="C2508" s="2" t="str">
        <f aca="false">'Raw Data'!D2508</f>
        <v>Research &amp; Development</v>
      </c>
      <c r="D2508" s="2" t="str">
        <f aca="false">'Raw Data'!K2508</f>
        <v>Research Scientist</v>
      </c>
      <c r="E2508" s="2" t="n">
        <f aca="false">'Raw Data'!Q2508</f>
        <v>11</v>
      </c>
      <c r="F2508" s="2" t="n">
        <f aca="false">'Raw Data'!U2508</f>
        <v>2</v>
      </c>
      <c r="G2508" s="2" t="n">
        <f aca="false">'Raw Data'!W2508</f>
        <v>2</v>
      </c>
      <c r="H2508" s="2" t="n">
        <f aca="false">'Raw Data'!V2508</f>
        <v>2</v>
      </c>
      <c r="I2508" s="2" t="n">
        <f aca="false">IF(AND(ISNUMBER(B2508),B2508&lt;=25),2,0)+IF(AND(ISNUMBER(E2508),E2508&lt;=5),2,0)+IF(AND(ISNUMBER(F2508),F2508&lt;=1),2,0)+IF(AND(ISNUMBER(G2508),G2508&lt;=2),1,0)+IF(AND(ISNUMBER(H2508),H2508&lt;=2),1,0)</f>
        <v>2</v>
      </c>
      <c r="J2508" s="2" t="str">
        <f aca="false">IF(I2508&gt;=6,"High",IF(I2508&gt;=3,"Medium","Low"))</f>
        <v>Low</v>
      </c>
    </row>
    <row r="2509" customFormat="false" ht="15" hidden="false" customHeight="true" outlineLevel="0" collapsed="false">
      <c r="A2509" s="2" t="n">
        <f aca="false">'Raw Data'!H2509</f>
        <v>2508</v>
      </c>
      <c r="B2509" s="2" t="n">
        <f aca="false">'Raw Data'!A2509</f>
        <v>41</v>
      </c>
      <c r="C2509" s="2" t="str">
        <f aca="false">'Raw Data'!D2509</f>
        <v>Research &amp; Development</v>
      </c>
      <c r="D2509" s="2" t="str">
        <f aca="false">'Raw Data'!K2509</f>
        <v>Laboratory Technician</v>
      </c>
      <c r="E2509" s="2" t="n">
        <f aca="false">'Raw Data'!Q2509</f>
        <v>23</v>
      </c>
      <c r="F2509" s="2" t="n">
        <f aca="false">'Raw Data'!U2509</f>
        <v>5</v>
      </c>
      <c r="G2509" s="2" t="n">
        <f aca="false">'Raw Data'!W2509</f>
        <v>3</v>
      </c>
      <c r="H2509" s="2" t="n">
        <f aca="false">'Raw Data'!V2509</f>
        <v>3</v>
      </c>
      <c r="I2509" s="2" t="n">
        <f aca="false">IF(AND(ISNUMBER(B2509),B2509&lt;=25),2,0)+IF(AND(ISNUMBER(E2509),E2509&lt;=5),2,0)+IF(AND(ISNUMBER(F2509),F2509&lt;=1),2,0)+IF(AND(ISNUMBER(G2509),G2509&lt;=2),1,0)+IF(AND(ISNUMBER(H2509),H2509&lt;=2),1,0)</f>
        <v>0</v>
      </c>
      <c r="J2509" s="2" t="str">
        <f aca="false">IF(I2509&gt;=6,"High",IF(I2509&gt;=3,"Medium","Low"))</f>
        <v>Low</v>
      </c>
    </row>
    <row r="2510" customFormat="false" ht="15" hidden="false" customHeight="true" outlineLevel="0" collapsed="false">
      <c r="A2510" s="2" t="n">
        <f aca="false">'Raw Data'!H2510</f>
        <v>2509</v>
      </c>
      <c r="B2510" s="2" t="n">
        <f aca="false">'Raw Data'!A2510</f>
        <v>30</v>
      </c>
      <c r="C2510" s="2" t="str">
        <f aca="false">'Raw Data'!D2510</f>
        <v>Sales</v>
      </c>
      <c r="D2510" s="2" t="str">
        <f aca="false">'Raw Data'!K2510</f>
        <v>Manager</v>
      </c>
      <c r="E2510" s="2" t="n">
        <f aca="false">'Raw Data'!Q2510</f>
        <v>9</v>
      </c>
      <c r="F2510" s="2" t="n">
        <f aca="false">'Raw Data'!U2510</f>
        <v>2</v>
      </c>
      <c r="G2510" s="2" t="n">
        <f aca="false">'Raw Data'!W2510</f>
        <v>3</v>
      </c>
      <c r="H2510" s="2" t="n">
        <f aca="false">'Raw Data'!V2510</f>
        <v>1</v>
      </c>
      <c r="I2510" s="2" t="n">
        <f aca="false">IF(AND(ISNUMBER(B2510),B2510&lt;=25),2,0)+IF(AND(ISNUMBER(E2510),E2510&lt;=5),2,0)+IF(AND(ISNUMBER(F2510),F2510&lt;=1),2,0)+IF(AND(ISNUMBER(G2510),G2510&lt;=2),1,0)+IF(AND(ISNUMBER(H2510),H2510&lt;=2),1,0)</f>
        <v>1</v>
      </c>
      <c r="J2510" s="2" t="str">
        <f aca="false">IF(I2510&gt;=6,"High",IF(I2510&gt;=3,"Medium","Low"))</f>
        <v>Low</v>
      </c>
    </row>
    <row r="2511" customFormat="false" ht="15" hidden="false" customHeight="true" outlineLevel="0" collapsed="false">
      <c r="A2511" s="2" t="n">
        <f aca="false">'Raw Data'!H2511</f>
        <v>2510</v>
      </c>
      <c r="B2511" s="2" t="n">
        <f aca="false">'Raw Data'!A2511</f>
        <v>26</v>
      </c>
      <c r="C2511" s="2" t="str">
        <f aca="false">'Raw Data'!D2511</f>
        <v>Human Resources</v>
      </c>
      <c r="D2511" s="2" t="str">
        <f aca="false">'Raw Data'!K2511</f>
        <v>Sales Executive</v>
      </c>
      <c r="E2511" s="2" t="n">
        <f aca="false">'Raw Data'!Q2511</f>
        <v>6</v>
      </c>
      <c r="F2511" s="2" t="n">
        <f aca="false">'Raw Data'!U2511</f>
        <v>4</v>
      </c>
      <c r="G2511" s="2" t="n">
        <f aca="false">'Raw Data'!W2511</f>
        <v>2</v>
      </c>
      <c r="H2511" s="2" t="n">
        <f aca="false">'Raw Data'!V2511</f>
        <v>4</v>
      </c>
      <c r="I2511" s="2" t="n">
        <f aca="false">IF(AND(ISNUMBER(B2511),B2511&lt;=25),2,0)+IF(AND(ISNUMBER(E2511),E2511&lt;=5),2,0)+IF(AND(ISNUMBER(F2511),F2511&lt;=1),2,0)+IF(AND(ISNUMBER(G2511),G2511&lt;=2),1,0)+IF(AND(ISNUMBER(H2511),H2511&lt;=2),1,0)</f>
        <v>1</v>
      </c>
      <c r="J2511" s="2" t="str">
        <f aca="false">IF(I2511&gt;=6,"High",IF(I2511&gt;=3,"Medium","Low"))</f>
        <v>Low</v>
      </c>
    </row>
    <row r="2512" customFormat="false" ht="15" hidden="false" customHeight="true" outlineLevel="0" collapsed="false">
      <c r="A2512" s="2" t="n">
        <f aca="false">'Raw Data'!H2512</f>
        <v>2511</v>
      </c>
      <c r="B2512" s="2" t="n">
        <f aca="false">'Raw Data'!A2512</f>
        <v>46</v>
      </c>
      <c r="C2512" s="2" t="str">
        <f aca="false">'Raw Data'!D2512</f>
        <v>Research &amp; Development</v>
      </c>
      <c r="D2512" s="2" t="str">
        <f aca="false">'Raw Data'!K2512</f>
        <v>Sales Executive</v>
      </c>
      <c r="E2512" s="2" t="n">
        <f aca="false">'Raw Data'!Q2512</f>
        <v>13</v>
      </c>
      <c r="F2512" s="2" t="n">
        <f aca="false">'Raw Data'!U2512</f>
        <v>7</v>
      </c>
      <c r="G2512" s="2" t="n">
        <f aca="false">'Raw Data'!W2512</f>
        <v>2</v>
      </c>
      <c r="H2512" s="2" t="n">
        <f aca="false">'Raw Data'!V2512</f>
        <v>4</v>
      </c>
      <c r="I2512" s="2" t="n">
        <f aca="false">IF(AND(ISNUMBER(B2512),B2512&lt;=25),2,0)+IF(AND(ISNUMBER(E2512),E2512&lt;=5),2,0)+IF(AND(ISNUMBER(F2512),F2512&lt;=1),2,0)+IF(AND(ISNUMBER(G2512),G2512&lt;=2),1,0)+IF(AND(ISNUMBER(H2512),H2512&lt;=2),1,0)</f>
        <v>1</v>
      </c>
      <c r="J2512" s="2" t="str">
        <f aca="false">IF(I2512&gt;=6,"High",IF(I2512&gt;=3,"Medium","Low"))</f>
        <v>Low</v>
      </c>
    </row>
    <row r="2513" customFormat="false" ht="15" hidden="false" customHeight="true" outlineLevel="0" collapsed="false">
      <c r="A2513" s="2" t="n">
        <f aca="false">'Raw Data'!H2513</f>
        <v>2512</v>
      </c>
      <c r="B2513" s="2" t="n">
        <f aca="false">'Raw Data'!A2513</f>
        <v>40</v>
      </c>
      <c r="C2513" s="2" t="str">
        <f aca="false">'Raw Data'!D2513</f>
        <v>Sales</v>
      </c>
      <c r="D2513" s="2" t="str">
        <f aca="false">'Raw Data'!K2513</f>
        <v>Sales Executive</v>
      </c>
      <c r="E2513" s="2" t="n">
        <f aca="false">'Raw Data'!Q2513</f>
        <v>12</v>
      </c>
      <c r="F2513" s="2" t="n">
        <f aca="false">'Raw Data'!U2513</f>
        <v>3</v>
      </c>
      <c r="G2513" s="2" t="n">
        <f aca="false">'Raw Data'!W2513</f>
        <v>4</v>
      </c>
      <c r="H2513" s="2" t="n">
        <f aca="false">'Raw Data'!V2513</f>
        <v>3</v>
      </c>
      <c r="I2513" s="2" t="n">
        <f aca="false">IF(AND(ISNUMBER(B2513),B2513&lt;=25),2,0)+IF(AND(ISNUMBER(E2513),E2513&lt;=5),2,0)+IF(AND(ISNUMBER(F2513),F2513&lt;=1),2,0)+IF(AND(ISNUMBER(G2513),G2513&lt;=2),1,0)+IF(AND(ISNUMBER(H2513),H2513&lt;=2),1,0)</f>
        <v>0</v>
      </c>
      <c r="J2513" s="2" t="str">
        <f aca="false">IF(I2513&gt;=6,"High",IF(I2513&gt;=3,"Medium","Low"))</f>
        <v>Low</v>
      </c>
    </row>
    <row r="2514" customFormat="false" ht="15" hidden="false" customHeight="true" outlineLevel="0" collapsed="false">
      <c r="A2514" s="2" t="n">
        <f aca="false">'Raw Data'!H2514</f>
        <v>2513</v>
      </c>
      <c r="B2514" s="2" t="n">
        <f aca="false">'Raw Data'!A2514</f>
        <v>34</v>
      </c>
      <c r="C2514" s="2" t="str">
        <f aca="false">'Raw Data'!D2514</f>
        <v>Research &amp; Development</v>
      </c>
      <c r="D2514" s="2" t="str">
        <f aca="false">'Raw Data'!K2514</f>
        <v>Laboratory Technician</v>
      </c>
      <c r="E2514" s="2" t="n">
        <f aca="false">'Raw Data'!Q2514</f>
        <v>10</v>
      </c>
      <c r="F2514" s="2" t="n">
        <f aca="false">'Raw Data'!U2514</f>
        <v>8</v>
      </c>
      <c r="G2514" s="2" t="n">
        <f aca="false">'Raw Data'!W2514</f>
        <v>3</v>
      </c>
      <c r="H2514" s="2" t="n">
        <f aca="false">'Raw Data'!V2514</f>
        <v>2</v>
      </c>
      <c r="I2514" s="2" t="n">
        <f aca="false">IF(AND(ISNUMBER(B2514),B2514&lt;=25),2,0)+IF(AND(ISNUMBER(E2514),E2514&lt;=5),2,0)+IF(AND(ISNUMBER(F2514),F2514&lt;=1),2,0)+IF(AND(ISNUMBER(G2514),G2514&lt;=2),1,0)+IF(AND(ISNUMBER(H2514),H2514&lt;=2),1,0)</f>
        <v>1</v>
      </c>
      <c r="J2514" s="2" t="str">
        <f aca="false">IF(I2514&gt;=6,"High",IF(I2514&gt;=3,"Medium","Low"))</f>
        <v>Low</v>
      </c>
    </row>
    <row r="2515" customFormat="false" ht="15" hidden="false" customHeight="true" outlineLevel="0" collapsed="false">
      <c r="A2515" s="2" t="n">
        <f aca="false">'Raw Data'!H2515</f>
        <v>2514</v>
      </c>
      <c r="B2515" s="2" t="n">
        <f aca="false">'Raw Data'!A2515</f>
        <v>58</v>
      </c>
      <c r="C2515" s="2" t="str">
        <f aca="false">'Raw Data'!D2515</f>
        <v>Research &amp; Development</v>
      </c>
      <c r="D2515" s="2" t="str">
        <f aca="false">'Raw Data'!K2515</f>
        <v>Laboratory Technician</v>
      </c>
      <c r="E2515" s="2" t="n">
        <f aca="false">'Raw Data'!Q2515</f>
        <v>37</v>
      </c>
      <c r="F2515" s="2" t="n">
        <f aca="false">'Raw Data'!U2515</f>
        <v>14</v>
      </c>
      <c r="G2515" s="2" t="n">
        <f aca="false">'Raw Data'!W2515</f>
        <v>2</v>
      </c>
      <c r="H2515" s="2" t="n">
        <f aca="false">'Raw Data'!V2515</f>
        <v>2</v>
      </c>
      <c r="I2515" s="2" t="n">
        <f aca="false">IF(AND(ISNUMBER(B2515),B2515&lt;=25),2,0)+IF(AND(ISNUMBER(E2515),E2515&lt;=5),2,0)+IF(AND(ISNUMBER(F2515),F2515&lt;=1),2,0)+IF(AND(ISNUMBER(G2515),G2515&lt;=2),1,0)+IF(AND(ISNUMBER(H2515),H2515&lt;=2),1,0)</f>
        <v>2</v>
      </c>
      <c r="J2515" s="2" t="str">
        <f aca="false">IF(I2515&gt;=6,"High",IF(I2515&gt;=3,"Medium","Low"))</f>
        <v>Low</v>
      </c>
    </row>
    <row r="2516" customFormat="false" ht="15" hidden="false" customHeight="true" outlineLevel="0" collapsed="false">
      <c r="A2516" s="2" t="n">
        <f aca="false">'Raw Data'!H2516</f>
        <v>2515</v>
      </c>
      <c r="B2516" s="2" t="n">
        <f aca="false">'Raw Data'!A2516</f>
        <v>35</v>
      </c>
      <c r="C2516" s="2" t="str">
        <f aca="false">'Raw Data'!D2516</f>
        <v>Research &amp; Development</v>
      </c>
      <c r="D2516" s="2" t="str">
        <f aca="false">'Raw Data'!K2516</f>
        <v>Manufacturing Director</v>
      </c>
      <c r="E2516" s="2" t="n">
        <f aca="false">'Raw Data'!Q2516</f>
        <v>6</v>
      </c>
      <c r="F2516" s="2" t="n">
        <f aca="false">'Raw Data'!U2516</f>
        <v>3</v>
      </c>
      <c r="G2516" s="2" t="n">
        <f aca="false">'Raw Data'!W2516</f>
        <v>3</v>
      </c>
      <c r="H2516" s="2" t="n">
        <f aca="false">'Raw Data'!V2516</f>
        <v>2</v>
      </c>
      <c r="I2516" s="2" t="n">
        <f aca="false">IF(AND(ISNUMBER(B2516),B2516&lt;=25),2,0)+IF(AND(ISNUMBER(E2516),E2516&lt;=5),2,0)+IF(AND(ISNUMBER(F2516),F2516&lt;=1),2,0)+IF(AND(ISNUMBER(G2516),G2516&lt;=2),1,0)+IF(AND(ISNUMBER(H2516),H2516&lt;=2),1,0)</f>
        <v>1</v>
      </c>
      <c r="J2516" s="2" t="str">
        <f aca="false">IF(I2516&gt;=6,"High",IF(I2516&gt;=3,"Medium","Low"))</f>
        <v>Low</v>
      </c>
    </row>
    <row r="2517" customFormat="false" ht="15" hidden="false" customHeight="true" outlineLevel="0" collapsed="false">
      <c r="A2517" s="2" t="n">
        <f aca="false">'Raw Data'!H2517</f>
        <v>2516</v>
      </c>
      <c r="B2517" s="2" t="n">
        <f aca="false">'Raw Data'!A2517</f>
        <v>47</v>
      </c>
      <c r="C2517" s="2" t="str">
        <f aca="false">'Raw Data'!D2517</f>
        <v>Research &amp; Development</v>
      </c>
      <c r="D2517" s="2" t="str">
        <f aca="false">'Raw Data'!K2517</f>
        <v>Research Scientist</v>
      </c>
      <c r="E2517" s="2" t="n">
        <f aca="false">'Raw Data'!Q2517</f>
        <v>28</v>
      </c>
      <c r="F2517" s="2" t="n">
        <f aca="false">'Raw Data'!U2517</f>
        <v>10</v>
      </c>
      <c r="G2517" s="2" t="n">
        <f aca="false">'Raw Data'!W2517</f>
        <v>2</v>
      </c>
      <c r="H2517" s="2" t="n">
        <f aca="false">'Raw Data'!V2517</f>
        <v>3</v>
      </c>
      <c r="I2517" s="2" t="n">
        <f aca="false">IF(AND(ISNUMBER(B2517),B2517&lt;=25),2,0)+IF(AND(ISNUMBER(E2517),E2517&lt;=5),2,0)+IF(AND(ISNUMBER(F2517),F2517&lt;=1),2,0)+IF(AND(ISNUMBER(G2517),G2517&lt;=2),1,0)+IF(AND(ISNUMBER(H2517),H2517&lt;=2),1,0)</f>
        <v>1</v>
      </c>
      <c r="J2517" s="2" t="str">
        <f aca="false">IF(I2517&gt;=6,"High",IF(I2517&gt;=3,"Medium","Low"))</f>
        <v>Low</v>
      </c>
    </row>
    <row r="2518" customFormat="false" ht="15" hidden="false" customHeight="true" outlineLevel="0" collapsed="false">
      <c r="A2518" s="2" t="n">
        <f aca="false">'Raw Data'!H2518</f>
        <v>2517</v>
      </c>
      <c r="B2518" s="2" t="n">
        <f aca="false">'Raw Data'!A2518</f>
        <v>40</v>
      </c>
      <c r="C2518" s="2" t="str">
        <f aca="false">'Raw Data'!D2518</f>
        <v>Research &amp; Development</v>
      </c>
      <c r="D2518" s="2" t="str">
        <f aca="false">'Raw Data'!K2518</f>
        <v>Manager</v>
      </c>
      <c r="E2518" s="2" t="n">
        <f aca="false">'Raw Data'!Q2518</f>
        <v>15</v>
      </c>
      <c r="F2518" s="2" t="n">
        <f aca="false">'Raw Data'!U2518</f>
        <v>7</v>
      </c>
      <c r="G2518" s="2" t="n">
        <f aca="false">'Raw Data'!W2518</f>
        <v>1</v>
      </c>
      <c r="H2518" s="2" t="n">
        <f aca="false">'Raw Data'!V2518</f>
        <v>2</v>
      </c>
      <c r="I2518" s="2" t="n">
        <f aca="false">IF(AND(ISNUMBER(B2518),B2518&lt;=25),2,0)+IF(AND(ISNUMBER(E2518),E2518&lt;=5),2,0)+IF(AND(ISNUMBER(F2518),F2518&lt;=1),2,0)+IF(AND(ISNUMBER(G2518),G2518&lt;=2),1,0)+IF(AND(ISNUMBER(H2518),H2518&lt;=2),1,0)</f>
        <v>2</v>
      </c>
      <c r="J2518" s="2" t="str">
        <f aca="false">IF(I2518&gt;=6,"High",IF(I2518&gt;=3,"Medium","Low"))</f>
        <v>Low</v>
      </c>
    </row>
    <row r="2519" customFormat="false" ht="15" hidden="false" customHeight="true" outlineLevel="0" collapsed="false">
      <c r="A2519" s="2" t="n">
        <f aca="false">'Raw Data'!H2519</f>
        <v>2518</v>
      </c>
      <c r="B2519" s="2" t="n">
        <f aca="false">'Raw Data'!A2519</f>
        <v>54</v>
      </c>
      <c r="C2519" s="2" t="str">
        <f aca="false">'Raw Data'!D2519</f>
        <v>Sales</v>
      </c>
      <c r="D2519" s="2" t="str">
        <f aca="false">'Raw Data'!K2519</f>
        <v>Research Scientist</v>
      </c>
      <c r="E2519" s="2" t="n">
        <f aca="false">'Raw Data'!Q2519</f>
        <v>14</v>
      </c>
      <c r="F2519" s="2" t="n">
        <f aca="false">'Raw Data'!U2519</f>
        <v>7</v>
      </c>
      <c r="G2519" s="2" t="n">
        <f aca="false">'Raw Data'!W2519</f>
        <v>4</v>
      </c>
      <c r="H2519" s="2" t="n">
        <f aca="false">'Raw Data'!V2519</f>
        <v>4</v>
      </c>
      <c r="I2519" s="2" t="n">
        <f aca="false">IF(AND(ISNUMBER(B2519),B2519&lt;=25),2,0)+IF(AND(ISNUMBER(E2519),E2519&lt;=5),2,0)+IF(AND(ISNUMBER(F2519),F2519&lt;=1),2,0)+IF(AND(ISNUMBER(G2519),G2519&lt;=2),1,0)+IF(AND(ISNUMBER(H2519),H2519&lt;=2),1,0)</f>
        <v>0</v>
      </c>
      <c r="J2519" s="2" t="str">
        <f aca="false">IF(I2519&gt;=6,"High",IF(I2519&gt;=3,"Medium","Low"))</f>
        <v>Low</v>
      </c>
    </row>
    <row r="2520" customFormat="false" ht="15" hidden="false" customHeight="true" outlineLevel="0" collapsed="false">
      <c r="A2520" s="2" t="n">
        <f aca="false">'Raw Data'!H2520</f>
        <v>2519</v>
      </c>
      <c r="B2520" s="2" t="n">
        <f aca="false">'Raw Data'!A2520</f>
        <v>31</v>
      </c>
      <c r="C2520" s="2" t="str">
        <f aca="false">'Raw Data'!D2520</f>
        <v>Sales</v>
      </c>
      <c r="D2520" s="2" t="str">
        <f aca="false">'Raw Data'!K2520</f>
        <v>Manufacturing Director</v>
      </c>
      <c r="E2520" s="2" t="n">
        <f aca="false">'Raw Data'!Q2520</f>
        <v>9</v>
      </c>
      <c r="F2520" s="2" t="n">
        <f aca="false">'Raw Data'!U2520</f>
        <v>2</v>
      </c>
      <c r="G2520" s="2" t="n">
        <f aca="false">'Raw Data'!W2520</f>
        <v>1</v>
      </c>
      <c r="H2520" s="2" t="n">
        <f aca="false">'Raw Data'!V2520</f>
        <v>1</v>
      </c>
      <c r="I2520" s="2" t="n">
        <f aca="false">IF(AND(ISNUMBER(B2520),B2520&lt;=25),2,0)+IF(AND(ISNUMBER(E2520),E2520&lt;=5),2,0)+IF(AND(ISNUMBER(F2520),F2520&lt;=1),2,0)+IF(AND(ISNUMBER(G2520),G2520&lt;=2),1,0)+IF(AND(ISNUMBER(H2520),H2520&lt;=2),1,0)</f>
        <v>2</v>
      </c>
      <c r="J2520" s="2" t="str">
        <f aca="false">IF(I2520&gt;=6,"High",IF(I2520&gt;=3,"Medium","Low"))</f>
        <v>Low</v>
      </c>
    </row>
    <row r="2521" customFormat="false" ht="15" hidden="false" customHeight="true" outlineLevel="0" collapsed="false">
      <c r="A2521" s="2" t="n">
        <f aca="false">'Raw Data'!H2521</f>
        <v>2520</v>
      </c>
      <c r="B2521" s="2" t="n">
        <f aca="false">'Raw Data'!A2521</f>
        <v>28</v>
      </c>
      <c r="C2521" s="2" t="str">
        <f aca="false">'Raw Data'!D2521</f>
        <v>Sales</v>
      </c>
      <c r="D2521" s="2" t="str">
        <f aca="false">'Raw Data'!K2521</f>
        <v>Manager</v>
      </c>
      <c r="E2521" s="2" t="n">
        <f aca="false">'Raw Data'!Q2521</f>
        <v>3</v>
      </c>
      <c r="F2521" s="2" t="n">
        <f aca="false">'Raw Data'!U2521</f>
        <v>2</v>
      </c>
      <c r="G2521" s="2" t="n">
        <f aca="false">'Raw Data'!W2521</f>
        <v>1</v>
      </c>
      <c r="H2521" s="2" t="n">
        <f aca="false">'Raw Data'!V2521</f>
        <v>3</v>
      </c>
      <c r="I2521" s="2" t="n">
        <f aca="false">IF(AND(ISNUMBER(B2521),B2521&lt;=25),2,0)+IF(AND(ISNUMBER(E2521),E2521&lt;=5),2,0)+IF(AND(ISNUMBER(F2521),F2521&lt;=1),2,0)+IF(AND(ISNUMBER(G2521),G2521&lt;=2),1,0)+IF(AND(ISNUMBER(H2521),H2521&lt;=2),1,0)</f>
        <v>3</v>
      </c>
      <c r="J2521" s="2" t="str">
        <f aca="false">IF(I2521&gt;=6,"High",IF(I2521&gt;=3,"Medium","Low"))</f>
        <v>Medium</v>
      </c>
    </row>
    <row r="2522" customFormat="false" ht="15" hidden="false" customHeight="true" outlineLevel="0" collapsed="false">
      <c r="A2522" s="2" t="n">
        <f aca="false">'Raw Data'!H2522</f>
        <v>2521</v>
      </c>
      <c r="B2522" s="2" t="n">
        <f aca="false">'Raw Data'!A2522</f>
        <v>38</v>
      </c>
      <c r="C2522" s="2" t="str">
        <f aca="false">'Raw Data'!D2522</f>
        <v>Research &amp; Development</v>
      </c>
      <c r="D2522" s="2" t="str">
        <f aca="false">'Raw Data'!K2522</f>
        <v>Manufacturing Director</v>
      </c>
      <c r="E2522" s="2" t="n">
        <f aca="false">'Raw Data'!Q2522</f>
        <v>20</v>
      </c>
      <c r="F2522" s="2" t="n">
        <f aca="false">'Raw Data'!U2522</f>
        <v>3</v>
      </c>
      <c r="G2522" s="2" t="n">
        <f aca="false">'Raw Data'!W2522</f>
        <v>4</v>
      </c>
      <c r="H2522" s="2" t="n">
        <f aca="false">'Raw Data'!V2522</f>
        <v>2</v>
      </c>
      <c r="I2522" s="2" t="n">
        <f aca="false">IF(AND(ISNUMBER(B2522),B2522&lt;=25),2,0)+IF(AND(ISNUMBER(E2522),E2522&lt;=5),2,0)+IF(AND(ISNUMBER(F2522),F2522&lt;=1),2,0)+IF(AND(ISNUMBER(G2522),G2522&lt;=2),1,0)+IF(AND(ISNUMBER(H2522),H2522&lt;=2),1,0)</f>
        <v>1</v>
      </c>
      <c r="J2522" s="2" t="str">
        <f aca="false">IF(I2522&gt;=6,"High",IF(I2522&gt;=3,"Medium","Low"))</f>
        <v>Low</v>
      </c>
    </row>
    <row r="2523" customFormat="false" ht="15" hidden="false" customHeight="true" outlineLevel="0" collapsed="false">
      <c r="A2523" s="2" t="n">
        <f aca="false">'Raw Data'!H2523</f>
        <v>2522</v>
      </c>
      <c r="B2523" s="2" t="n">
        <f aca="false">'Raw Data'!A2523</f>
        <v>26</v>
      </c>
      <c r="C2523" s="2" t="str">
        <f aca="false">'Raw Data'!D2523</f>
        <v>Sales</v>
      </c>
      <c r="D2523" s="2" t="str">
        <f aca="false">'Raw Data'!K2523</f>
        <v>Healthcare Representative</v>
      </c>
      <c r="E2523" s="2" t="n">
        <f aca="false">'Raw Data'!Q2523</f>
        <v>5</v>
      </c>
      <c r="F2523" s="2" t="n">
        <f aca="false">'Raw Data'!U2523</f>
        <v>2</v>
      </c>
      <c r="G2523" s="2" t="n">
        <f aca="false">'Raw Data'!W2523</f>
        <v>4</v>
      </c>
      <c r="H2523" s="2" t="n">
        <f aca="false">'Raw Data'!V2523</f>
        <v>3</v>
      </c>
      <c r="I2523" s="2" t="n">
        <f aca="false">IF(AND(ISNUMBER(B2523),B2523&lt;=25),2,0)+IF(AND(ISNUMBER(E2523),E2523&lt;=5),2,0)+IF(AND(ISNUMBER(F2523),F2523&lt;=1),2,0)+IF(AND(ISNUMBER(G2523),G2523&lt;=2),1,0)+IF(AND(ISNUMBER(H2523),H2523&lt;=2),1,0)</f>
        <v>2</v>
      </c>
      <c r="J2523" s="2" t="str">
        <f aca="false">IF(I2523&gt;=6,"High",IF(I2523&gt;=3,"Medium","Low"))</f>
        <v>Low</v>
      </c>
    </row>
    <row r="2524" customFormat="false" ht="15" hidden="false" customHeight="true" outlineLevel="0" collapsed="false">
      <c r="A2524" s="2" t="n">
        <f aca="false">'Raw Data'!H2524</f>
        <v>2523</v>
      </c>
      <c r="B2524" s="2" t="n">
        <f aca="false">'Raw Data'!A2524</f>
        <v>58</v>
      </c>
      <c r="C2524" s="2" t="str">
        <f aca="false">'Raw Data'!D2524</f>
        <v>Research &amp; Development</v>
      </c>
      <c r="D2524" s="2" t="str">
        <f aca="false">'Raw Data'!K2524</f>
        <v>Sales Representative</v>
      </c>
      <c r="E2524" s="2" t="n">
        <f aca="false">'Raw Data'!Q2524</f>
        <v>23</v>
      </c>
      <c r="F2524" s="2" t="n">
        <f aca="false">'Raw Data'!U2524</f>
        <v>2</v>
      </c>
      <c r="G2524" s="2" t="n">
        <f aca="false">'Raw Data'!W2524</f>
        <v>3</v>
      </c>
      <c r="H2524" s="2" t="n">
        <f aca="false">'Raw Data'!V2524</f>
        <v>1</v>
      </c>
      <c r="I2524" s="2" t="n">
        <f aca="false">IF(AND(ISNUMBER(B2524),B2524&lt;=25),2,0)+IF(AND(ISNUMBER(E2524),E2524&lt;=5),2,0)+IF(AND(ISNUMBER(F2524),F2524&lt;=1),2,0)+IF(AND(ISNUMBER(G2524),G2524&lt;=2),1,0)+IF(AND(ISNUMBER(H2524),H2524&lt;=2),1,0)</f>
        <v>1</v>
      </c>
      <c r="J2524" s="2" t="str">
        <f aca="false">IF(I2524&gt;=6,"High",IF(I2524&gt;=3,"Medium","Low"))</f>
        <v>Low</v>
      </c>
    </row>
    <row r="2525" customFormat="false" ht="15" hidden="false" customHeight="true" outlineLevel="0" collapsed="false">
      <c r="A2525" s="2" t="n">
        <f aca="false">'Raw Data'!H2525</f>
        <v>2524</v>
      </c>
      <c r="B2525" s="2" t="n">
        <f aca="false">'Raw Data'!A2525</f>
        <v>18</v>
      </c>
      <c r="C2525" s="2" t="str">
        <f aca="false">'Raw Data'!D2525</f>
        <v>Research &amp; Development</v>
      </c>
      <c r="D2525" s="2" t="str">
        <f aca="false">'Raw Data'!K2525</f>
        <v>Sales Representative</v>
      </c>
      <c r="E2525" s="2" t="n">
        <f aca="false">'Raw Data'!Q2525</f>
        <v>0</v>
      </c>
      <c r="F2525" s="2" t="n">
        <f aca="false">'Raw Data'!U2525</f>
        <v>0</v>
      </c>
      <c r="G2525" s="2" t="n">
        <f aca="false">'Raw Data'!W2525</f>
        <v>3</v>
      </c>
      <c r="H2525" s="2" t="n">
        <f aca="false">'Raw Data'!V2525</f>
        <v>2</v>
      </c>
      <c r="I2525" s="2" t="n">
        <f aca="false">IF(AND(ISNUMBER(B2525),B2525&lt;=25),2,0)+IF(AND(ISNUMBER(E2525),E2525&lt;=5),2,0)+IF(AND(ISNUMBER(F2525),F2525&lt;=1),2,0)+IF(AND(ISNUMBER(G2525),G2525&lt;=2),1,0)+IF(AND(ISNUMBER(H2525),H2525&lt;=2),1,0)</f>
        <v>7</v>
      </c>
      <c r="J2525" s="2" t="str">
        <f aca="false">IF(I2525&gt;=6,"High",IF(I2525&gt;=3,"Medium","Low"))</f>
        <v>High</v>
      </c>
    </row>
    <row r="2526" customFormat="false" ht="15" hidden="false" customHeight="true" outlineLevel="0" collapsed="false">
      <c r="A2526" s="2" t="n">
        <f aca="false">'Raw Data'!H2526</f>
        <v>2525</v>
      </c>
      <c r="B2526" s="2" t="n">
        <f aca="false">'Raw Data'!A2526</f>
        <v>31</v>
      </c>
      <c r="C2526" s="2" t="str">
        <f aca="false">'Raw Data'!D2526</f>
        <v>Research &amp; Development</v>
      </c>
      <c r="D2526" s="2" t="str">
        <f aca="false">'Raw Data'!K2526</f>
        <v>Laboratory Technician</v>
      </c>
      <c r="E2526" s="2" t="n">
        <f aca="false">'Raw Data'!Q2526</f>
        <v>2</v>
      </c>
      <c r="F2526" s="2" t="n">
        <f aca="false">'Raw Data'!U2526</f>
        <v>0</v>
      </c>
      <c r="G2526" s="2" t="n">
        <f aca="false">'Raw Data'!W2526</f>
        <v>1</v>
      </c>
      <c r="H2526" s="2" t="n">
        <f aca="false">'Raw Data'!V2526</f>
        <v>4</v>
      </c>
      <c r="I2526" s="2" t="n">
        <f aca="false">IF(AND(ISNUMBER(B2526),B2526&lt;=25),2,0)+IF(AND(ISNUMBER(E2526),E2526&lt;=5),2,0)+IF(AND(ISNUMBER(F2526),F2526&lt;=1),2,0)+IF(AND(ISNUMBER(G2526),G2526&lt;=2),1,0)+IF(AND(ISNUMBER(H2526),H2526&lt;=2),1,0)</f>
        <v>5</v>
      </c>
      <c r="J2526" s="2" t="str">
        <f aca="false">IF(I2526&gt;=6,"High",IF(I2526&gt;=3,"Medium","Low"))</f>
        <v>Medium</v>
      </c>
    </row>
    <row r="2527" customFormat="false" ht="15" hidden="false" customHeight="true" outlineLevel="0" collapsed="false">
      <c r="A2527" s="2" t="n">
        <f aca="false">'Raw Data'!H2527</f>
        <v>2526</v>
      </c>
      <c r="B2527" s="2" t="n">
        <f aca="false">'Raw Data'!A2527</f>
        <v>29</v>
      </c>
      <c r="C2527" s="2" t="str">
        <f aca="false">'Raw Data'!D2527</f>
        <v>Research &amp; Development</v>
      </c>
      <c r="D2527" s="2" t="str">
        <f aca="false">'Raw Data'!K2527</f>
        <v>Manager</v>
      </c>
      <c r="E2527" s="2" t="n">
        <f aca="false">'Raw Data'!Q2527</f>
        <v>4</v>
      </c>
      <c r="F2527" s="2" t="n">
        <f aca="false">'Raw Data'!U2527</f>
        <v>0</v>
      </c>
      <c r="G2527" s="2" t="n">
        <f aca="false">'Raw Data'!W2527</f>
        <v>1</v>
      </c>
      <c r="H2527" s="2" t="n">
        <f aca="false">'Raw Data'!V2527</f>
        <v>1</v>
      </c>
      <c r="I2527" s="2" t="n">
        <f aca="false">IF(AND(ISNUMBER(B2527),B2527&lt;=25),2,0)+IF(AND(ISNUMBER(E2527),E2527&lt;=5),2,0)+IF(AND(ISNUMBER(F2527),F2527&lt;=1),2,0)+IF(AND(ISNUMBER(G2527),G2527&lt;=2),1,0)+IF(AND(ISNUMBER(H2527),H2527&lt;=2),1,0)</f>
        <v>6</v>
      </c>
      <c r="J2527" s="2" t="str">
        <f aca="false">IF(I2527&gt;=6,"High",IF(I2527&gt;=3,"Medium","Low"))</f>
        <v>High</v>
      </c>
    </row>
    <row r="2528" customFormat="false" ht="15" hidden="false" customHeight="true" outlineLevel="0" collapsed="false">
      <c r="A2528" s="2" t="n">
        <f aca="false">'Raw Data'!H2528</f>
        <v>2527</v>
      </c>
      <c r="B2528" s="2" t="n">
        <f aca="false">'Raw Data'!A2528</f>
        <v>45</v>
      </c>
      <c r="C2528" s="2" t="str">
        <f aca="false">'Raw Data'!D2528</f>
        <v>Sales</v>
      </c>
      <c r="D2528" s="2" t="str">
        <f aca="false">'Raw Data'!K2528</f>
        <v>Research Scientist</v>
      </c>
      <c r="E2528" s="2" t="n">
        <f aca="false">'Raw Data'!Q2528</f>
        <v>10</v>
      </c>
      <c r="F2528" s="2" t="n">
        <f aca="false">'Raw Data'!U2528</f>
        <v>7</v>
      </c>
      <c r="G2528" s="2" t="n">
        <f aca="false">'Raw Data'!W2528</f>
        <v>3</v>
      </c>
      <c r="H2528" s="2" t="n">
        <f aca="false">'Raw Data'!V2528</f>
        <v>3</v>
      </c>
      <c r="I2528" s="2" t="n">
        <f aca="false">IF(AND(ISNUMBER(B2528),B2528&lt;=25),2,0)+IF(AND(ISNUMBER(E2528),E2528&lt;=5),2,0)+IF(AND(ISNUMBER(F2528),F2528&lt;=1),2,0)+IF(AND(ISNUMBER(G2528),G2528&lt;=2),1,0)+IF(AND(ISNUMBER(H2528),H2528&lt;=2),1,0)</f>
        <v>0</v>
      </c>
      <c r="J2528" s="2" t="str">
        <f aca="false">IF(I2528&gt;=6,"High",IF(I2528&gt;=3,"Medium","Low"))</f>
        <v>Low</v>
      </c>
    </row>
    <row r="2529" customFormat="false" ht="15" hidden="false" customHeight="true" outlineLevel="0" collapsed="false">
      <c r="A2529" s="2" t="n">
        <f aca="false">'Raw Data'!H2529</f>
        <v>2528</v>
      </c>
      <c r="B2529" s="2" t="n">
        <f aca="false">'Raw Data'!A2529</f>
        <v>36</v>
      </c>
      <c r="C2529" s="2" t="str">
        <f aca="false">'Raw Data'!D2529</f>
        <v>Sales</v>
      </c>
      <c r="D2529" s="2" t="str">
        <f aca="false">'Raw Data'!K2529</f>
        <v>Laboratory Technician</v>
      </c>
      <c r="E2529" s="2" t="n">
        <f aca="false">'Raw Data'!Q2529</f>
        <v>15</v>
      </c>
      <c r="F2529" s="2" t="n">
        <f aca="false">'Raw Data'!U2529</f>
        <v>0</v>
      </c>
      <c r="G2529" s="2" t="n">
        <f aca="false">'Raw Data'!W2529</f>
        <v>2</v>
      </c>
      <c r="H2529" s="2" t="n">
        <f aca="false">'Raw Data'!V2529</f>
        <v>4</v>
      </c>
      <c r="I2529" s="2" t="n">
        <f aca="false">IF(AND(ISNUMBER(B2529),B2529&lt;=25),2,0)+IF(AND(ISNUMBER(E2529),E2529&lt;=5),2,0)+IF(AND(ISNUMBER(F2529),F2529&lt;=1),2,0)+IF(AND(ISNUMBER(G2529),G2529&lt;=2),1,0)+IF(AND(ISNUMBER(H2529),H2529&lt;=2),1,0)</f>
        <v>3</v>
      </c>
      <c r="J2529" s="2" t="str">
        <f aca="false">IF(I2529&gt;=6,"High",IF(I2529&gt;=3,"Medium","Low"))</f>
        <v>Medium</v>
      </c>
    </row>
    <row r="2530" customFormat="false" ht="15" hidden="false" customHeight="true" outlineLevel="0" collapsed="false">
      <c r="A2530" s="2" t="n">
        <f aca="false">'Raw Data'!H2530</f>
        <v>2529</v>
      </c>
      <c r="B2530" s="2" t="n">
        <f aca="false">'Raw Data'!A2530</f>
        <v>43</v>
      </c>
      <c r="C2530" s="2" t="str">
        <f aca="false">'Raw Data'!D2530</f>
        <v>Sales</v>
      </c>
      <c r="D2530" s="2" t="str">
        <f aca="false">'Raw Data'!K2530</f>
        <v>Research Director</v>
      </c>
      <c r="E2530" s="2" t="n">
        <f aca="false">'Raw Data'!Q2530</f>
        <v>7</v>
      </c>
      <c r="F2530" s="2" t="n">
        <f aca="false">'Raw Data'!U2530</f>
        <v>7</v>
      </c>
      <c r="G2530" s="2" t="n">
        <f aca="false">'Raw Data'!W2530</f>
        <v>4</v>
      </c>
      <c r="H2530" s="2" t="n">
        <f aca="false">'Raw Data'!V2530</f>
        <v>1</v>
      </c>
      <c r="I2530" s="2" t="n">
        <f aca="false">IF(AND(ISNUMBER(B2530),B2530&lt;=25),2,0)+IF(AND(ISNUMBER(E2530),E2530&lt;=5),2,0)+IF(AND(ISNUMBER(F2530),F2530&lt;=1),2,0)+IF(AND(ISNUMBER(G2530),G2530&lt;=2),1,0)+IF(AND(ISNUMBER(H2530),H2530&lt;=2),1,0)</f>
        <v>1</v>
      </c>
      <c r="J2530" s="2" t="str">
        <f aca="false">IF(I2530&gt;=6,"High",IF(I2530&gt;=3,"Medium","Low"))</f>
        <v>Low</v>
      </c>
    </row>
    <row r="2531" customFormat="false" ht="15" hidden="false" customHeight="true" outlineLevel="0" collapsed="false">
      <c r="A2531" s="2" t="n">
        <f aca="false">'Raw Data'!H2531</f>
        <v>2530</v>
      </c>
      <c r="B2531" s="2" t="n">
        <f aca="false">'Raw Data'!A2531</f>
        <v>27</v>
      </c>
      <c r="C2531" s="2" t="str">
        <f aca="false">'Raw Data'!D2531</f>
        <v>Sales</v>
      </c>
      <c r="D2531" s="2" t="str">
        <f aca="false">'Raw Data'!K2531</f>
        <v>Research Scientist</v>
      </c>
      <c r="E2531" s="2" t="n">
        <f aca="false">'Raw Data'!Q2531</f>
        <v>6</v>
      </c>
      <c r="F2531" s="2" t="n">
        <f aca="false">'Raw Data'!U2531</f>
        <v>2</v>
      </c>
      <c r="G2531" s="2" t="n">
        <f aca="false">'Raw Data'!W2531</f>
        <v>4</v>
      </c>
      <c r="H2531" s="2" t="n">
        <f aca="false">'Raw Data'!V2531</f>
        <v>4</v>
      </c>
      <c r="I2531" s="2" t="n">
        <f aca="false">IF(AND(ISNUMBER(B2531),B2531&lt;=25),2,0)+IF(AND(ISNUMBER(E2531),E2531&lt;=5),2,0)+IF(AND(ISNUMBER(F2531),F2531&lt;=1),2,0)+IF(AND(ISNUMBER(G2531),G2531&lt;=2),1,0)+IF(AND(ISNUMBER(H2531),H2531&lt;=2),1,0)</f>
        <v>0</v>
      </c>
      <c r="J2531" s="2" t="str">
        <f aca="false">IF(I2531&gt;=6,"High",IF(I2531&gt;=3,"Medium","Low"))</f>
        <v>Low</v>
      </c>
    </row>
    <row r="2532" customFormat="false" ht="15" hidden="false" customHeight="true" outlineLevel="0" collapsed="false">
      <c r="A2532" s="2" t="n">
        <f aca="false">'Raw Data'!H2532</f>
        <v>2531</v>
      </c>
      <c r="B2532" s="2" t="n">
        <f aca="false">'Raw Data'!A2532</f>
        <v>29</v>
      </c>
      <c r="C2532" s="2" t="str">
        <f aca="false">'Raw Data'!D2532</f>
        <v>Research &amp; Development</v>
      </c>
      <c r="D2532" s="2" t="str">
        <f aca="false">'Raw Data'!K2532</f>
        <v>Human Resources</v>
      </c>
      <c r="E2532" s="2" t="n">
        <f aca="false">'Raw Data'!Q2532</f>
        <v>11</v>
      </c>
      <c r="F2532" s="2" t="n">
        <f aca="false">'Raw Data'!U2532</f>
        <v>10</v>
      </c>
      <c r="G2532" s="2" t="n">
        <f aca="false">'Raw Data'!W2532</f>
        <v>4</v>
      </c>
      <c r="H2532" s="2" t="n">
        <f aca="false">'Raw Data'!V2532</f>
        <v>4</v>
      </c>
      <c r="I2532" s="2" t="n">
        <f aca="false">IF(AND(ISNUMBER(B2532),B2532&lt;=25),2,0)+IF(AND(ISNUMBER(E2532),E2532&lt;=5),2,0)+IF(AND(ISNUMBER(F2532),F2532&lt;=1),2,0)+IF(AND(ISNUMBER(G2532),G2532&lt;=2),1,0)+IF(AND(ISNUMBER(H2532),H2532&lt;=2),1,0)</f>
        <v>0</v>
      </c>
      <c r="J2532" s="2" t="str">
        <f aca="false">IF(I2532&gt;=6,"High",IF(I2532&gt;=3,"Medium","Low"))</f>
        <v>Low</v>
      </c>
    </row>
    <row r="2533" customFormat="false" ht="15" hidden="false" customHeight="true" outlineLevel="0" collapsed="false">
      <c r="A2533" s="2" t="n">
        <f aca="false">'Raw Data'!H2533</f>
        <v>2532</v>
      </c>
      <c r="B2533" s="2" t="n">
        <f aca="false">'Raw Data'!A2533</f>
        <v>32</v>
      </c>
      <c r="C2533" s="2" t="str">
        <f aca="false">'Raw Data'!D2533</f>
        <v>Sales</v>
      </c>
      <c r="D2533" s="2" t="str">
        <f aca="false">'Raw Data'!K2533</f>
        <v>Sales Executive</v>
      </c>
      <c r="E2533" s="2" t="n">
        <f aca="false">'Raw Data'!Q2533</f>
        <v>4</v>
      </c>
      <c r="F2533" s="2" t="n">
        <f aca="false">'Raw Data'!U2533</f>
        <v>0</v>
      </c>
      <c r="G2533" s="2" t="n">
        <f aca="false">'Raw Data'!W2533</f>
        <v>4</v>
      </c>
      <c r="H2533" s="2" t="n">
        <f aca="false">'Raw Data'!V2533</f>
        <v>4</v>
      </c>
      <c r="I2533" s="2" t="n">
        <f aca="false">IF(AND(ISNUMBER(B2533),B2533&lt;=25),2,0)+IF(AND(ISNUMBER(E2533),E2533&lt;=5),2,0)+IF(AND(ISNUMBER(F2533),F2533&lt;=1),2,0)+IF(AND(ISNUMBER(G2533),G2533&lt;=2),1,0)+IF(AND(ISNUMBER(H2533),H2533&lt;=2),1,0)</f>
        <v>4</v>
      </c>
      <c r="J2533" s="2" t="str">
        <f aca="false">IF(I2533&gt;=6,"High",IF(I2533&gt;=3,"Medium","Low"))</f>
        <v>Medium</v>
      </c>
    </row>
    <row r="2534" customFormat="false" ht="15" hidden="false" customHeight="true" outlineLevel="0" collapsed="false">
      <c r="A2534" s="2" t="n">
        <f aca="false">'Raw Data'!H2534</f>
        <v>2533</v>
      </c>
      <c r="B2534" s="2" t="n">
        <f aca="false">'Raw Data'!A2534</f>
        <v>42</v>
      </c>
      <c r="C2534" s="2" t="str">
        <f aca="false">'Raw Data'!D2534</f>
        <v>Research &amp; Development</v>
      </c>
      <c r="D2534" s="2" t="str">
        <f aca="false">'Raw Data'!K2534</f>
        <v>Manager</v>
      </c>
      <c r="E2534" s="2" t="n">
        <f aca="false">'Raw Data'!Q2534</f>
        <v>10</v>
      </c>
      <c r="F2534" s="2" t="n">
        <f aca="false">'Raw Data'!U2534</f>
        <v>3</v>
      </c>
      <c r="G2534" s="2" t="n">
        <f aca="false">'Raw Data'!W2534</f>
        <v>3</v>
      </c>
      <c r="H2534" s="2" t="n">
        <f aca="false">'Raw Data'!V2534</f>
        <v>3</v>
      </c>
      <c r="I2534" s="2" t="n">
        <f aca="false">IF(AND(ISNUMBER(B2534),B2534&lt;=25),2,0)+IF(AND(ISNUMBER(E2534),E2534&lt;=5),2,0)+IF(AND(ISNUMBER(F2534),F2534&lt;=1),2,0)+IF(AND(ISNUMBER(G2534),G2534&lt;=2),1,0)+IF(AND(ISNUMBER(H2534),H2534&lt;=2),1,0)</f>
        <v>0</v>
      </c>
      <c r="J2534" s="2" t="str">
        <f aca="false">IF(I2534&gt;=6,"High",IF(I2534&gt;=3,"Medium","Low"))</f>
        <v>Low</v>
      </c>
    </row>
    <row r="2535" customFormat="false" ht="15" hidden="false" customHeight="true" outlineLevel="0" collapsed="false">
      <c r="A2535" s="2" t="n">
        <f aca="false">'Raw Data'!H2535</f>
        <v>2534</v>
      </c>
      <c r="B2535" s="2" t="n">
        <f aca="false">'Raw Data'!A2535</f>
        <v>47</v>
      </c>
      <c r="C2535" s="2" t="str">
        <f aca="false">'Raw Data'!D2535</f>
        <v>Sales</v>
      </c>
      <c r="D2535" s="2" t="str">
        <f aca="false">'Raw Data'!K2535</f>
        <v>Manager</v>
      </c>
      <c r="E2535" s="2" t="n">
        <f aca="false">'Raw Data'!Q2535</f>
        <v>7</v>
      </c>
      <c r="F2535" s="2" t="n">
        <f aca="false">'Raw Data'!U2535</f>
        <v>0</v>
      </c>
      <c r="G2535" s="2" t="n">
        <f aca="false">'Raw Data'!W2535</f>
        <v>3</v>
      </c>
      <c r="H2535" s="2" t="n">
        <f aca="false">'Raw Data'!V2535</f>
        <v>2</v>
      </c>
      <c r="I2535" s="2" t="n">
        <f aca="false">IF(AND(ISNUMBER(B2535),B2535&lt;=25),2,0)+IF(AND(ISNUMBER(E2535),E2535&lt;=5),2,0)+IF(AND(ISNUMBER(F2535),F2535&lt;=1),2,0)+IF(AND(ISNUMBER(G2535),G2535&lt;=2),1,0)+IF(AND(ISNUMBER(H2535),H2535&lt;=2),1,0)</f>
        <v>3</v>
      </c>
      <c r="J2535" s="2" t="str">
        <f aca="false">IF(I2535&gt;=6,"High",IF(I2535&gt;=3,"Medium","Low"))</f>
        <v>Medium</v>
      </c>
    </row>
    <row r="2536" customFormat="false" ht="15" hidden="false" customHeight="true" outlineLevel="0" collapsed="false">
      <c r="A2536" s="2" t="n">
        <f aca="false">'Raw Data'!H2536</f>
        <v>2535</v>
      </c>
      <c r="B2536" s="2" t="n">
        <f aca="false">'Raw Data'!A2536</f>
        <v>46</v>
      </c>
      <c r="C2536" s="2" t="str">
        <f aca="false">'Raw Data'!D2536</f>
        <v>Human Resources</v>
      </c>
      <c r="D2536" s="2" t="str">
        <f aca="false">'Raw Data'!K2536</f>
        <v>Laboratory Technician</v>
      </c>
      <c r="E2536" s="2" t="n">
        <f aca="false">'Raw Data'!Q2536</f>
        <v>12</v>
      </c>
      <c r="F2536" s="2" t="n">
        <f aca="false">'Raw Data'!U2536</f>
        <v>7</v>
      </c>
      <c r="G2536" s="2" t="n">
        <f aca="false">'Raw Data'!W2536</f>
        <v>4</v>
      </c>
      <c r="H2536" s="2" t="n">
        <f aca="false">'Raw Data'!V2536</f>
        <v>4</v>
      </c>
      <c r="I2536" s="2" t="n">
        <f aca="false">IF(AND(ISNUMBER(B2536),B2536&lt;=25),2,0)+IF(AND(ISNUMBER(E2536),E2536&lt;=5),2,0)+IF(AND(ISNUMBER(F2536),F2536&lt;=1),2,0)+IF(AND(ISNUMBER(G2536),G2536&lt;=2),1,0)+IF(AND(ISNUMBER(H2536),H2536&lt;=2),1,0)</f>
        <v>0</v>
      </c>
      <c r="J2536" s="2" t="str">
        <f aca="false">IF(I2536&gt;=6,"High",IF(I2536&gt;=3,"Medium","Low"))</f>
        <v>Low</v>
      </c>
    </row>
    <row r="2537" customFormat="false" ht="15" hidden="false" customHeight="true" outlineLevel="0" collapsed="false">
      <c r="A2537" s="2" t="n">
        <f aca="false">'Raw Data'!H2537</f>
        <v>2536</v>
      </c>
      <c r="B2537" s="2" t="n">
        <f aca="false">'Raw Data'!A2537</f>
        <v>28</v>
      </c>
      <c r="C2537" s="2" t="str">
        <f aca="false">'Raw Data'!D2537</f>
        <v>Research &amp; Development</v>
      </c>
      <c r="D2537" s="2" t="str">
        <f aca="false">'Raw Data'!K2537</f>
        <v>Sales Executive</v>
      </c>
      <c r="E2537" s="2" t="n">
        <f aca="false">'Raw Data'!Q2537</f>
        <v>3</v>
      </c>
      <c r="F2537" s="2" t="n">
        <f aca="false">'Raw Data'!U2537</f>
        <v>2</v>
      </c>
      <c r="G2537" s="2" t="n">
        <f aca="false">'Raw Data'!W2537</f>
        <v>4</v>
      </c>
      <c r="H2537" s="2" t="n">
        <f aca="false">'Raw Data'!V2537</f>
        <v>3</v>
      </c>
      <c r="I2537" s="2" t="n">
        <f aca="false">IF(AND(ISNUMBER(B2537),B2537&lt;=25),2,0)+IF(AND(ISNUMBER(E2537),E2537&lt;=5),2,0)+IF(AND(ISNUMBER(F2537),F2537&lt;=1),2,0)+IF(AND(ISNUMBER(G2537),G2537&lt;=2),1,0)+IF(AND(ISNUMBER(H2537),H2537&lt;=2),1,0)</f>
        <v>2</v>
      </c>
      <c r="J2537" s="2" t="str">
        <f aca="false">IF(I2537&gt;=6,"High",IF(I2537&gt;=3,"Medium","Low"))</f>
        <v>Low</v>
      </c>
    </row>
    <row r="2538" customFormat="false" ht="15" hidden="false" customHeight="true" outlineLevel="0" collapsed="false">
      <c r="A2538" s="2" t="n">
        <f aca="false">'Raw Data'!H2538</f>
        <v>2537</v>
      </c>
      <c r="B2538" s="2" t="n">
        <f aca="false">'Raw Data'!A2538</f>
        <v>29</v>
      </c>
      <c r="C2538" s="2" t="str">
        <f aca="false">'Raw Data'!D2538</f>
        <v>Research &amp; Development</v>
      </c>
      <c r="D2538" s="2" t="str">
        <f aca="false">'Raw Data'!K2538</f>
        <v>Manufacturing Director</v>
      </c>
      <c r="E2538" s="2" t="n">
        <f aca="false">'Raw Data'!Q2538</f>
        <v>11</v>
      </c>
      <c r="F2538" s="2" t="n">
        <f aca="false">'Raw Data'!U2538</f>
        <v>6</v>
      </c>
      <c r="G2538" s="2" t="n">
        <f aca="false">'Raw Data'!W2538</f>
        <v>3</v>
      </c>
      <c r="H2538" s="2" t="n">
        <f aca="false">'Raw Data'!V2538</f>
        <v>4</v>
      </c>
      <c r="I2538" s="2" t="n">
        <f aca="false">IF(AND(ISNUMBER(B2538),B2538&lt;=25),2,0)+IF(AND(ISNUMBER(E2538),E2538&lt;=5),2,0)+IF(AND(ISNUMBER(F2538),F2538&lt;=1),2,0)+IF(AND(ISNUMBER(G2538),G2538&lt;=2),1,0)+IF(AND(ISNUMBER(H2538),H2538&lt;=2),1,0)</f>
        <v>0</v>
      </c>
      <c r="J2538" s="2" t="str">
        <f aca="false">IF(I2538&gt;=6,"High",IF(I2538&gt;=3,"Medium","Low"))</f>
        <v>Low</v>
      </c>
    </row>
    <row r="2539" customFormat="false" ht="15" hidden="false" customHeight="true" outlineLevel="0" collapsed="false">
      <c r="A2539" s="2" t="n">
        <f aca="false">'Raw Data'!H2539</f>
        <v>2538</v>
      </c>
      <c r="B2539" s="2" t="n">
        <f aca="false">'Raw Data'!A2539</f>
        <v>42</v>
      </c>
      <c r="C2539" s="2" t="str">
        <f aca="false">'Raw Data'!D2539</f>
        <v>Sales</v>
      </c>
      <c r="D2539" s="2" t="str">
        <f aca="false">'Raw Data'!K2539</f>
        <v>Research Director</v>
      </c>
      <c r="E2539" s="2" t="n">
        <f aca="false">'Raw Data'!Q2539</f>
        <v>8</v>
      </c>
      <c r="F2539" s="2" t="n">
        <f aca="false">'Raw Data'!U2539</f>
        <v>0</v>
      </c>
      <c r="G2539" s="2" t="n">
        <f aca="false">'Raw Data'!W2539</f>
        <v>3</v>
      </c>
      <c r="H2539" s="2" t="n">
        <f aca="false">'Raw Data'!V2539</f>
        <v>4</v>
      </c>
      <c r="I2539" s="2" t="n">
        <f aca="false">IF(AND(ISNUMBER(B2539),B2539&lt;=25),2,0)+IF(AND(ISNUMBER(E2539),E2539&lt;=5),2,0)+IF(AND(ISNUMBER(F2539),F2539&lt;=1),2,0)+IF(AND(ISNUMBER(G2539),G2539&lt;=2),1,0)+IF(AND(ISNUMBER(H2539),H2539&lt;=2),1,0)</f>
        <v>2</v>
      </c>
      <c r="J2539" s="2" t="str">
        <f aca="false">IF(I2539&gt;=6,"High",IF(I2539&gt;=3,"Medium","Low"))</f>
        <v>Low</v>
      </c>
    </row>
    <row r="2540" customFormat="false" ht="15" hidden="false" customHeight="true" outlineLevel="0" collapsed="false">
      <c r="A2540" s="2" t="n">
        <f aca="false">'Raw Data'!H2540</f>
        <v>2539</v>
      </c>
      <c r="B2540" s="2" t="n">
        <f aca="false">'Raw Data'!A2540</f>
        <v>32</v>
      </c>
      <c r="C2540" s="2" t="str">
        <f aca="false">'Raw Data'!D2540</f>
        <v>Research &amp; Development</v>
      </c>
      <c r="D2540" s="2" t="str">
        <f aca="false">'Raw Data'!K2540</f>
        <v>Laboratory Technician</v>
      </c>
      <c r="E2540" s="2" t="n">
        <f aca="false">'Raw Data'!Q2540</f>
        <v>7</v>
      </c>
      <c r="F2540" s="2" t="n">
        <f aca="false">'Raw Data'!U2540</f>
        <v>2</v>
      </c>
      <c r="G2540" s="2" t="n">
        <f aca="false">'Raw Data'!W2540</f>
        <v>2</v>
      </c>
      <c r="H2540" s="2" t="n">
        <f aca="false">'Raw Data'!V2540</f>
        <v>3</v>
      </c>
      <c r="I2540" s="2" t="n">
        <f aca="false">IF(AND(ISNUMBER(B2540),B2540&lt;=25),2,0)+IF(AND(ISNUMBER(E2540),E2540&lt;=5),2,0)+IF(AND(ISNUMBER(F2540),F2540&lt;=1),2,0)+IF(AND(ISNUMBER(G2540),G2540&lt;=2),1,0)+IF(AND(ISNUMBER(H2540),H2540&lt;=2),1,0)</f>
        <v>1</v>
      </c>
      <c r="J2540" s="2" t="str">
        <f aca="false">IF(I2540&gt;=6,"High",IF(I2540&gt;=3,"Medium","Low"))</f>
        <v>Low</v>
      </c>
    </row>
    <row r="2541" customFormat="false" ht="15" hidden="false" customHeight="true" outlineLevel="0" collapsed="false">
      <c r="A2541" s="2" t="n">
        <f aca="false">'Raw Data'!H2541</f>
        <v>2540</v>
      </c>
      <c r="B2541" s="2" t="n">
        <f aca="false">'Raw Data'!A2541</f>
        <v>46</v>
      </c>
      <c r="C2541" s="2" t="str">
        <f aca="false">'Raw Data'!D2541</f>
        <v>Research &amp; Development</v>
      </c>
      <c r="D2541" s="2" t="str">
        <f aca="false">'Raw Data'!K2541</f>
        <v>Laboratory Technician</v>
      </c>
      <c r="E2541" s="2" t="n">
        <f aca="false">'Raw Data'!Q2541</f>
        <v>25</v>
      </c>
      <c r="F2541" s="2" t="n">
        <f aca="false">'Raw Data'!U2541</f>
        <v>8</v>
      </c>
      <c r="G2541" s="2" t="n">
        <f aca="false">'Raw Data'!W2541</f>
        <v>1</v>
      </c>
      <c r="H2541" s="2" t="n">
        <f aca="false">'Raw Data'!V2541</f>
        <v>1</v>
      </c>
      <c r="I2541" s="2" t="n">
        <f aca="false">IF(AND(ISNUMBER(B2541),B2541&lt;=25),2,0)+IF(AND(ISNUMBER(E2541),E2541&lt;=5),2,0)+IF(AND(ISNUMBER(F2541),F2541&lt;=1),2,0)+IF(AND(ISNUMBER(G2541),G2541&lt;=2),1,0)+IF(AND(ISNUMBER(H2541),H2541&lt;=2),1,0)</f>
        <v>2</v>
      </c>
      <c r="J2541" s="2" t="str">
        <f aca="false">IF(I2541&gt;=6,"High",IF(I2541&gt;=3,"Medium","Low"))</f>
        <v>Low</v>
      </c>
    </row>
    <row r="2542" customFormat="false" ht="15" hidden="false" customHeight="true" outlineLevel="0" collapsed="false">
      <c r="A2542" s="2" t="n">
        <f aca="false">'Raw Data'!H2542</f>
        <v>2541</v>
      </c>
      <c r="B2542" s="2" t="n">
        <f aca="false">'Raw Data'!A2542</f>
        <v>27</v>
      </c>
      <c r="C2542" s="2" t="str">
        <f aca="false">'Raw Data'!D2542</f>
        <v>Sales</v>
      </c>
      <c r="D2542" s="2" t="str">
        <f aca="false">'Raw Data'!K2542</f>
        <v>Research Scientist</v>
      </c>
      <c r="E2542" s="2" t="n">
        <f aca="false">'Raw Data'!Q2542</f>
        <v>9</v>
      </c>
      <c r="F2542" s="2" t="n">
        <f aca="false">'Raw Data'!U2542</f>
        <v>8</v>
      </c>
      <c r="G2542" s="2" t="n">
        <f aca="false">'Raw Data'!W2542</f>
        <v>3</v>
      </c>
      <c r="H2542" s="2" t="n">
        <f aca="false">'Raw Data'!V2542</f>
        <v>2</v>
      </c>
      <c r="I2542" s="2" t="n">
        <f aca="false">IF(AND(ISNUMBER(B2542),B2542&lt;=25),2,0)+IF(AND(ISNUMBER(E2542),E2542&lt;=5),2,0)+IF(AND(ISNUMBER(F2542),F2542&lt;=1),2,0)+IF(AND(ISNUMBER(G2542),G2542&lt;=2),1,0)+IF(AND(ISNUMBER(H2542),H2542&lt;=2),1,0)</f>
        <v>1</v>
      </c>
      <c r="J2542" s="2" t="str">
        <f aca="false">IF(I2542&gt;=6,"High",IF(I2542&gt;=3,"Medium","Low"))</f>
        <v>Low</v>
      </c>
    </row>
    <row r="2543" customFormat="false" ht="15" hidden="false" customHeight="true" outlineLevel="0" collapsed="false">
      <c r="A2543" s="2" t="n">
        <f aca="false">'Raw Data'!H2543</f>
        <v>2542</v>
      </c>
      <c r="B2543" s="2" t="n">
        <f aca="false">'Raw Data'!A2543</f>
        <v>29</v>
      </c>
      <c r="C2543" s="2" t="str">
        <f aca="false">'Raw Data'!D2543</f>
        <v>Research &amp; Development</v>
      </c>
      <c r="D2543" s="2" t="str">
        <f aca="false">'Raw Data'!K2543</f>
        <v>Sales Executive</v>
      </c>
      <c r="E2543" s="2" t="n">
        <f aca="false">'Raw Data'!Q2543</f>
        <v>1</v>
      </c>
      <c r="F2543" s="2" t="n">
        <f aca="false">'Raw Data'!U2543</f>
        <v>0</v>
      </c>
      <c r="G2543" s="2" t="n">
        <f aca="false">'Raw Data'!W2543</f>
        <v>2</v>
      </c>
      <c r="H2543" s="2" t="n">
        <f aca="false">'Raw Data'!V2543</f>
        <v>4</v>
      </c>
      <c r="I2543" s="2" t="n">
        <f aca="false">IF(AND(ISNUMBER(B2543),B2543&lt;=25),2,0)+IF(AND(ISNUMBER(E2543),E2543&lt;=5),2,0)+IF(AND(ISNUMBER(F2543),F2543&lt;=1),2,0)+IF(AND(ISNUMBER(G2543),G2543&lt;=2),1,0)+IF(AND(ISNUMBER(H2543),H2543&lt;=2),1,0)</f>
        <v>5</v>
      </c>
      <c r="J2543" s="2" t="str">
        <f aca="false">IF(I2543&gt;=6,"High",IF(I2543&gt;=3,"Medium","Low"))</f>
        <v>Medium</v>
      </c>
    </row>
    <row r="2544" customFormat="false" ht="15" hidden="false" customHeight="true" outlineLevel="0" collapsed="false">
      <c r="A2544" s="2" t="n">
        <f aca="false">'Raw Data'!H2544</f>
        <v>2543</v>
      </c>
      <c r="B2544" s="2" t="n">
        <f aca="false">'Raw Data'!A2544</f>
        <v>43</v>
      </c>
      <c r="C2544" s="2" t="str">
        <f aca="false">'Raw Data'!D2544</f>
        <v>Research &amp; Development</v>
      </c>
      <c r="D2544" s="2" t="str">
        <f aca="false">'Raw Data'!K2544</f>
        <v>Manufacturing Director</v>
      </c>
      <c r="E2544" s="2" t="n">
        <f aca="false">'Raw Data'!Q2544</f>
        <v>21</v>
      </c>
      <c r="F2544" s="2" t="n">
        <f aca="false">'Raw Data'!U2544</f>
        <v>14</v>
      </c>
      <c r="G2544" s="2" t="n">
        <f aca="false">'Raw Data'!W2544</f>
        <v>3</v>
      </c>
      <c r="H2544" s="2" t="n">
        <f aca="false">'Raw Data'!V2544</f>
        <v>1</v>
      </c>
      <c r="I2544" s="2" t="n">
        <f aca="false">IF(AND(ISNUMBER(B2544),B2544&lt;=25),2,0)+IF(AND(ISNUMBER(E2544),E2544&lt;=5),2,0)+IF(AND(ISNUMBER(F2544),F2544&lt;=1),2,0)+IF(AND(ISNUMBER(G2544),G2544&lt;=2),1,0)+IF(AND(ISNUMBER(H2544),H2544&lt;=2),1,0)</f>
        <v>1</v>
      </c>
      <c r="J2544" s="2" t="str">
        <f aca="false">IF(I2544&gt;=6,"High",IF(I2544&gt;=3,"Medium","Low"))</f>
        <v>Low</v>
      </c>
    </row>
    <row r="2545" customFormat="false" ht="15" hidden="false" customHeight="true" outlineLevel="0" collapsed="false">
      <c r="A2545" s="2" t="n">
        <f aca="false">'Raw Data'!H2545</f>
        <v>2544</v>
      </c>
      <c r="B2545" s="2" t="n">
        <f aca="false">'Raw Data'!A2545</f>
        <v>48</v>
      </c>
      <c r="C2545" s="2" t="str">
        <f aca="false">'Raw Data'!D2545</f>
        <v>Research &amp; Development</v>
      </c>
      <c r="D2545" s="2" t="str">
        <f aca="false">'Raw Data'!K2545</f>
        <v>Manager</v>
      </c>
      <c r="E2545" s="2" t="n">
        <f aca="false">'Raw Data'!Q2545</f>
        <v>29</v>
      </c>
      <c r="F2545" s="2" t="n">
        <f aca="false">'Raw Data'!U2545</f>
        <v>9</v>
      </c>
      <c r="G2545" s="2" t="n">
        <f aca="false">'Raw Data'!W2545</f>
        <v>2</v>
      </c>
      <c r="H2545" s="2" t="n">
        <f aca="false">'Raw Data'!V2545</f>
        <v>4</v>
      </c>
      <c r="I2545" s="2" t="n">
        <f aca="false">IF(AND(ISNUMBER(B2545),B2545&lt;=25),2,0)+IF(AND(ISNUMBER(E2545),E2545&lt;=5),2,0)+IF(AND(ISNUMBER(F2545),F2545&lt;=1),2,0)+IF(AND(ISNUMBER(G2545),G2545&lt;=2),1,0)+IF(AND(ISNUMBER(H2545),H2545&lt;=2),1,0)</f>
        <v>1</v>
      </c>
      <c r="J2545" s="2" t="str">
        <f aca="false">IF(I2545&gt;=6,"High",IF(I2545&gt;=3,"Medium","Low"))</f>
        <v>Low</v>
      </c>
    </row>
    <row r="2546" customFormat="false" ht="15" hidden="false" customHeight="true" outlineLevel="0" collapsed="false">
      <c r="A2546" s="2" t="n">
        <f aca="false">'Raw Data'!H2546</f>
        <v>2545</v>
      </c>
      <c r="B2546" s="2" t="n">
        <f aca="false">'Raw Data'!A2546</f>
        <v>29</v>
      </c>
      <c r="C2546" s="2" t="str">
        <f aca="false">'Raw Data'!D2546</f>
        <v>Research &amp; Development</v>
      </c>
      <c r="D2546" s="2" t="str">
        <f aca="false">'Raw Data'!K2546</f>
        <v>Laboratory Technician</v>
      </c>
      <c r="E2546" s="2" t="n">
        <f aca="false">'Raw Data'!Q2546</f>
        <v>1</v>
      </c>
      <c r="F2546" s="2" t="n">
        <f aca="false">'Raw Data'!U2546</f>
        <v>0</v>
      </c>
      <c r="G2546" s="2" t="n">
        <f aca="false">'Raw Data'!W2546</f>
        <v>4</v>
      </c>
      <c r="H2546" s="2" t="n">
        <f aca="false">'Raw Data'!V2546</f>
        <v>4</v>
      </c>
      <c r="I2546" s="2" t="n">
        <f aca="false">IF(AND(ISNUMBER(B2546),B2546&lt;=25),2,0)+IF(AND(ISNUMBER(E2546),E2546&lt;=5),2,0)+IF(AND(ISNUMBER(F2546),F2546&lt;=1),2,0)+IF(AND(ISNUMBER(G2546),G2546&lt;=2),1,0)+IF(AND(ISNUMBER(H2546),H2546&lt;=2),1,0)</f>
        <v>4</v>
      </c>
      <c r="J2546" s="2" t="str">
        <f aca="false">IF(I2546&gt;=6,"High",IF(I2546&gt;=3,"Medium","Low"))</f>
        <v>Medium</v>
      </c>
    </row>
    <row r="2547" customFormat="false" ht="15" hidden="false" customHeight="true" outlineLevel="0" collapsed="false">
      <c r="A2547" s="2" t="n">
        <f aca="false">'Raw Data'!H2547</f>
        <v>2546</v>
      </c>
      <c r="B2547" s="2" t="n">
        <f aca="false">'Raw Data'!A2547</f>
        <v>46</v>
      </c>
      <c r="C2547" s="2" t="str">
        <f aca="false">'Raw Data'!D2547</f>
        <v>Research &amp; Development</v>
      </c>
      <c r="D2547" s="2" t="str">
        <f aca="false">'Raw Data'!K2547</f>
        <v>Sales Representative</v>
      </c>
      <c r="E2547" s="2" t="n">
        <f aca="false">'Raw Data'!Q2547</f>
        <v>14</v>
      </c>
      <c r="F2547" s="2" t="n">
        <f aca="false">'Raw Data'!U2547</f>
        <v>7</v>
      </c>
      <c r="G2547" s="2" t="n">
        <f aca="false">'Raw Data'!W2547</f>
        <v>2</v>
      </c>
      <c r="H2547" s="2" t="n">
        <f aca="false">'Raw Data'!V2547</f>
        <v>3</v>
      </c>
      <c r="I2547" s="2" t="n">
        <f aca="false">IF(AND(ISNUMBER(B2547),B2547&lt;=25),2,0)+IF(AND(ISNUMBER(E2547),E2547&lt;=5),2,0)+IF(AND(ISNUMBER(F2547),F2547&lt;=1),2,0)+IF(AND(ISNUMBER(G2547),G2547&lt;=2),1,0)+IF(AND(ISNUMBER(H2547),H2547&lt;=2),1,0)</f>
        <v>1</v>
      </c>
      <c r="J2547" s="2" t="str">
        <f aca="false">IF(I2547&gt;=6,"High",IF(I2547&gt;=3,"Medium","Low"))</f>
        <v>Low</v>
      </c>
    </row>
    <row r="2548" customFormat="false" ht="15" hidden="false" customHeight="true" outlineLevel="0" collapsed="false">
      <c r="A2548" s="2" t="n">
        <f aca="false">'Raw Data'!H2548</f>
        <v>2547</v>
      </c>
      <c r="B2548" s="2" t="n">
        <f aca="false">'Raw Data'!A2548</f>
        <v>27</v>
      </c>
      <c r="C2548" s="2" t="str">
        <f aca="false">'Raw Data'!D2548</f>
        <v>Research &amp; Development</v>
      </c>
      <c r="D2548" s="2" t="str">
        <f aca="false">'Raw Data'!K2548</f>
        <v>Healthcare Representative</v>
      </c>
      <c r="E2548" s="2" t="n">
        <f aca="false">'Raw Data'!Q2548</f>
        <v>8</v>
      </c>
      <c r="F2548" s="2" t="n">
        <f aca="false">'Raw Data'!U2548</f>
        <v>3</v>
      </c>
      <c r="G2548" s="2" t="n">
        <f aca="false">'Raw Data'!W2548</f>
        <v>1</v>
      </c>
      <c r="H2548" s="2" t="n">
        <f aca="false">'Raw Data'!V2548</f>
        <v>4</v>
      </c>
      <c r="I2548" s="2" t="n">
        <f aca="false">IF(AND(ISNUMBER(B2548),B2548&lt;=25),2,0)+IF(AND(ISNUMBER(E2548),E2548&lt;=5),2,0)+IF(AND(ISNUMBER(F2548),F2548&lt;=1),2,0)+IF(AND(ISNUMBER(G2548),G2548&lt;=2),1,0)+IF(AND(ISNUMBER(H2548),H2548&lt;=2),1,0)</f>
        <v>1</v>
      </c>
      <c r="J2548" s="2" t="str">
        <f aca="false">IF(I2548&gt;=6,"High",IF(I2548&gt;=3,"Medium","Low"))</f>
        <v>Low</v>
      </c>
    </row>
    <row r="2549" customFormat="false" ht="15" hidden="false" customHeight="true" outlineLevel="0" collapsed="false">
      <c r="A2549" s="2" t="n">
        <f aca="false">'Raw Data'!H2549</f>
        <v>2548</v>
      </c>
      <c r="B2549" s="2" t="n">
        <f aca="false">'Raw Data'!A2549</f>
        <v>39</v>
      </c>
      <c r="C2549" s="2" t="str">
        <f aca="false">'Raw Data'!D2549</f>
        <v>Research &amp; Development</v>
      </c>
      <c r="D2549" s="2" t="str">
        <f aca="false">'Raw Data'!K2549</f>
        <v>Healthcare Representative</v>
      </c>
      <c r="E2549" s="2" t="n">
        <f aca="false">'Raw Data'!Q2549</f>
        <v>7</v>
      </c>
      <c r="F2549" s="2" t="n">
        <f aca="false">'Raw Data'!U2549</f>
        <v>2</v>
      </c>
      <c r="G2549" s="2" t="n">
        <f aca="false">'Raw Data'!W2549</f>
        <v>4</v>
      </c>
      <c r="H2549" s="2" t="n">
        <f aca="false">'Raw Data'!V2549</f>
        <v>4</v>
      </c>
      <c r="I2549" s="2" t="n">
        <f aca="false">IF(AND(ISNUMBER(B2549),B2549&lt;=25),2,0)+IF(AND(ISNUMBER(E2549),E2549&lt;=5),2,0)+IF(AND(ISNUMBER(F2549),F2549&lt;=1),2,0)+IF(AND(ISNUMBER(G2549),G2549&lt;=2),1,0)+IF(AND(ISNUMBER(H2549),H2549&lt;=2),1,0)</f>
        <v>0</v>
      </c>
      <c r="J2549" s="2" t="str">
        <f aca="false">IF(I2549&gt;=6,"High",IF(I2549&gt;=3,"Medium","Low"))</f>
        <v>Low</v>
      </c>
    </row>
    <row r="2550" customFormat="false" ht="15" hidden="false" customHeight="true" outlineLevel="0" collapsed="false">
      <c r="A2550" s="2" t="n">
        <f aca="false">'Raw Data'!H2550</f>
        <v>2549</v>
      </c>
      <c r="B2550" s="2" t="n">
        <f aca="false">'Raw Data'!A2550</f>
        <v>55</v>
      </c>
      <c r="C2550" s="2" t="str">
        <f aca="false">'Raw Data'!D2550</f>
        <v>Research &amp; Development</v>
      </c>
      <c r="D2550" s="2" t="str">
        <f aca="false">'Raw Data'!K2550</f>
        <v>Human Resources</v>
      </c>
      <c r="E2550" s="2" t="n">
        <f aca="false">'Raw Data'!Q2550</f>
        <v>19</v>
      </c>
      <c r="F2550" s="2" t="n">
        <f aca="false">'Raw Data'!U2550</f>
        <v>4</v>
      </c>
      <c r="G2550" s="2" t="n">
        <f aca="false">'Raw Data'!W2550</f>
        <v>4</v>
      </c>
      <c r="H2550" s="2" t="n">
        <f aca="false">'Raw Data'!V2550</f>
        <v>2</v>
      </c>
      <c r="I2550" s="2" t="n">
        <f aca="false">IF(AND(ISNUMBER(B2550),B2550&lt;=25),2,0)+IF(AND(ISNUMBER(E2550),E2550&lt;=5),2,0)+IF(AND(ISNUMBER(F2550),F2550&lt;=1),2,0)+IF(AND(ISNUMBER(G2550),G2550&lt;=2),1,0)+IF(AND(ISNUMBER(H2550),H2550&lt;=2),1,0)</f>
        <v>1</v>
      </c>
      <c r="J2550" s="2" t="str">
        <f aca="false">IF(I2550&gt;=6,"High",IF(I2550&gt;=3,"Medium","Low"))</f>
        <v>Low</v>
      </c>
    </row>
    <row r="2551" customFormat="false" ht="15" hidden="false" customHeight="true" outlineLevel="0" collapsed="false">
      <c r="A2551" s="2" t="n">
        <f aca="false">'Raw Data'!H2551</f>
        <v>2550</v>
      </c>
      <c r="B2551" s="2" t="n">
        <f aca="false">'Raw Data'!A2551</f>
        <v>28</v>
      </c>
      <c r="C2551" s="2" t="str">
        <f aca="false">'Raw Data'!D2551</f>
        <v>Research &amp; Development</v>
      </c>
      <c r="D2551" s="2" t="str">
        <f aca="false">'Raw Data'!K2551</f>
        <v>Laboratory Technician</v>
      </c>
      <c r="E2551" s="2" t="n">
        <f aca="false">'Raw Data'!Q2551</f>
        <v>1</v>
      </c>
      <c r="F2551" s="2" t="n">
        <f aca="false">'Raw Data'!U2551</f>
        <v>0</v>
      </c>
      <c r="G2551" s="2" t="n">
        <f aca="false">'Raw Data'!W2551</f>
        <v>2</v>
      </c>
      <c r="H2551" s="2" t="n">
        <f aca="false">'Raw Data'!V2551</f>
        <v>2</v>
      </c>
      <c r="I2551" s="2" t="n">
        <f aca="false">IF(AND(ISNUMBER(B2551),B2551&lt;=25),2,0)+IF(AND(ISNUMBER(E2551),E2551&lt;=5),2,0)+IF(AND(ISNUMBER(F2551),F2551&lt;=1),2,0)+IF(AND(ISNUMBER(G2551),G2551&lt;=2),1,0)+IF(AND(ISNUMBER(H2551),H2551&lt;=2),1,0)</f>
        <v>6</v>
      </c>
      <c r="J2551" s="2" t="str">
        <f aca="false">IF(I2551&gt;=6,"High",IF(I2551&gt;=3,"Medium","Low"))</f>
        <v>High</v>
      </c>
    </row>
    <row r="2552" customFormat="false" ht="15" hidden="false" customHeight="true" outlineLevel="0" collapsed="false">
      <c r="A2552" s="2" t="n">
        <f aca="false">'Raw Data'!H2552</f>
        <v>2551</v>
      </c>
      <c r="B2552" s="2" t="n">
        <f aca="false">'Raw Data'!A2552</f>
        <v>30</v>
      </c>
      <c r="C2552" s="2" t="str">
        <f aca="false">'Raw Data'!D2552</f>
        <v>Sales</v>
      </c>
      <c r="D2552" s="2" t="str">
        <f aca="false">'Raw Data'!K2552</f>
        <v>Sales Executive</v>
      </c>
      <c r="E2552" s="2" t="n">
        <f aca="false">'Raw Data'!Q2552</f>
        <v>1</v>
      </c>
      <c r="F2552" s="2" t="n">
        <f aca="false">'Raw Data'!U2552</f>
        <v>0</v>
      </c>
      <c r="G2552" s="2" t="n">
        <f aca="false">'Raw Data'!W2552</f>
        <v>4</v>
      </c>
      <c r="H2552" s="2" t="n">
        <f aca="false">'Raw Data'!V2552</f>
        <v>2</v>
      </c>
      <c r="I2552" s="2" t="n">
        <f aca="false">IF(AND(ISNUMBER(B2552),B2552&lt;=25),2,0)+IF(AND(ISNUMBER(E2552),E2552&lt;=5),2,0)+IF(AND(ISNUMBER(F2552),F2552&lt;=1),2,0)+IF(AND(ISNUMBER(G2552),G2552&lt;=2),1,0)+IF(AND(ISNUMBER(H2552),H2552&lt;=2),1,0)</f>
        <v>5</v>
      </c>
      <c r="J2552" s="2" t="str">
        <f aca="false">IF(I2552&gt;=6,"High",IF(I2552&gt;=3,"Medium","Low"))</f>
        <v>Medium</v>
      </c>
    </row>
    <row r="2553" customFormat="false" ht="15" hidden="false" customHeight="true" outlineLevel="0" collapsed="false">
      <c r="A2553" s="2" t="n">
        <f aca="false">'Raw Data'!H2553</f>
        <v>2552</v>
      </c>
      <c r="B2553" s="2" t="n">
        <f aca="false">'Raw Data'!A2553</f>
        <v>22</v>
      </c>
      <c r="C2553" s="2" t="str">
        <f aca="false">'Raw Data'!D2553</f>
        <v>Research &amp; Development</v>
      </c>
      <c r="D2553" s="2" t="str">
        <f aca="false">'Raw Data'!K2553</f>
        <v>Laboratory Technician</v>
      </c>
      <c r="E2553" s="2" t="n">
        <f aca="false">'Raw Data'!Q2553</f>
        <v>1</v>
      </c>
      <c r="F2553" s="2" t="n">
        <f aca="false">'Raw Data'!U2553</f>
        <v>0</v>
      </c>
      <c r="G2553" s="2" t="n">
        <f aca="false">'Raw Data'!W2553</f>
        <v>2</v>
      </c>
      <c r="H2553" s="2" t="n">
        <f aca="false">'Raw Data'!V2553</f>
        <v>4</v>
      </c>
      <c r="I2553" s="2" t="n">
        <f aca="false">IF(AND(ISNUMBER(B2553),B2553&lt;=25),2,0)+IF(AND(ISNUMBER(E2553),E2553&lt;=5),2,0)+IF(AND(ISNUMBER(F2553),F2553&lt;=1),2,0)+IF(AND(ISNUMBER(G2553),G2553&lt;=2),1,0)+IF(AND(ISNUMBER(H2553),H2553&lt;=2),1,0)</f>
        <v>7</v>
      </c>
      <c r="J2553" s="2" t="str">
        <f aca="false">IF(I2553&gt;=6,"High",IF(I2553&gt;=3,"Medium","Low"))</f>
        <v>High</v>
      </c>
    </row>
    <row r="2554" customFormat="false" ht="15" hidden="false" customHeight="true" outlineLevel="0" collapsed="false">
      <c r="A2554" s="2" t="n">
        <f aca="false">'Raw Data'!H2554</f>
        <v>2553</v>
      </c>
      <c r="B2554" s="2" t="n">
        <f aca="false">'Raw Data'!A2554</f>
        <v>36</v>
      </c>
      <c r="C2554" s="2" t="str">
        <f aca="false">'Raw Data'!D2554</f>
        <v>Research &amp; Development</v>
      </c>
      <c r="D2554" s="2" t="str">
        <f aca="false">'Raw Data'!K2554</f>
        <v>Sales Executive</v>
      </c>
      <c r="E2554" s="2" t="n">
        <f aca="false">'Raw Data'!Q2554</f>
        <v>10</v>
      </c>
      <c r="F2554" s="2" t="n">
        <f aca="false">'Raw Data'!U2554</f>
        <v>7</v>
      </c>
      <c r="G2554" s="2" t="n">
        <f aca="false">'Raw Data'!W2554</f>
        <v>3</v>
      </c>
      <c r="H2554" s="2" t="n">
        <f aca="false">'Raw Data'!V2554</f>
        <v>2</v>
      </c>
      <c r="I2554" s="2" t="n">
        <f aca="false">IF(AND(ISNUMBER(B2554),B2554&lt;=25),2,0)+IF(AND(ISNUMBER(E2554),E2554&lt;=5),2,0)+IF(AND(ISNUMBER(F2554),F2554&lt;=1),2,0)+IF(AND(ISNUMBER(G2554),G2554&lt;=2),1,0)+IF(AND(ISNUMBER(H2554),H2554&lt;=2),1,0)</f>
        <v>1</v>
      </c>
      <c r="J2554" s="2" t="str">
        <f aca="false">IF(I2554&gt;=6,"High",IF(I2554&gt;=3,"Medium","Low"))</f>
        <v>Low</v>
      </c>
    </row>
    <row r="2555" customFormat="false" ht="15" hidden="false" customHeight="true" outlineLevel="0" collapsed="false">
      <c r="A2555" s="2" t="n">
        <f aca="false">'Raw Data'!H2555</f>
        <v>2554</v>
      </c>
      <c r="B2555" s="2" t="n">
        <f aca="false">'Raw Data'!A2555</f>
        <v>31</v>
      </c>
      <c r="C2555" s="2" t="str">
        <f aca="false">'Raw Data'!D2555</f>
        <v>Research &amp; Development</v>
      </c>
      <c r="D2555" s="2" t="str">
        <f aca="false">'Raw Data'!K2555</f>
        <v>Manager</v>
      </c>
      <c r="E2555" s="2" t="n">
        <f aca="false">'Raw Data'!Q2555</f>
        <v>10</v>
      </c>
      <c r="F2555" s="2" t="n">
        <f aca="false">'Raw Data'!U2555</f>
        <v>2</v>
      </c>
      <c r="G2555" s="2" t="n">
        <f aca="false">'Raw Data'!W2555</f>
        <v>3</v>
      </c>
      <c r="H2555" s="2" t="n">
        <f aca="false">'Raw Data'!V2555</f>
        <v>2</v>
      </c>
      <c r="I2555" s="2" t="n">
        <f aca="false">IF(AND(ISNUMBER(B2555),B2555&lt;=25),2,0)+IF(AND(ISNUMBER(E2555),E2555&lt;=5),2,0)+IF(AND(ISNUMBER(F2555),F2555&lt;=1),2,0)+IF(AND(ISNUMBER(G2555),G2555&lt;=2),1,0)+IF(AND(ISNUMBER(H2555),H2555&lt;=2),1,0)</f>
        <v>1</v>
      </c>
      <c r="J2555" s="2" t="str">
        <f aca="false">IF(I2555&gt;=6,"High",IF(I2555&gt;=3,"Medium","Low"))</f>
        <v>Low</v>
      </c>
    </row>
    <row r="2556" customFormat="false" ht="15" hidden="false" customHeight="true" outlineLevel="0" collapsed="false">
      <c r="A2556" s="2" t="n">
        <f aca="false">'Raw Data'!H2556</f>
        <v>2555</v>
      </c>
      <c r="B2556" s="2" t="n">
        <f aca="false">'Raw Data'!A2556</f>
        <v>34</v>
      </c>
      <c r="C2556" s="2" t="str">
        <f aca="false">'Raw Data'!D2556</f>
        <v>Sales</v>
      </c>
      <c r="D2556" s="2" t="str">
        <f aca="false">'Raw Data'!K2556</f>
        <v>Sales Executive</v>
      </c>
      <c r="E2556" s="2" t="n">
        <f aca="false">'Raw Data'!Q2556</f>
        <v>9</v>
      </c>
      <c r="F2556" s="2" t="n">
        <f aca="false">'Raw Data'!U2556</f>
        <v>0</v>
      </c>
      <c r="G2556" s="2" t="n">
        <f aca="false">'Raw Data'!W2556</f>
        <v>4</v>
      </c>
      <c r="H2556" s="2" t="n">
        <f aca="false">'Raw Data'!V2556</f>
        <v>3</v>
      </c>
      <c r="I2556" s="2" t="n">
        <f aca="false">IF(AND(ISNUMBER(B2556),B2556&lt;=25),2,0)+IF(AND(ISNUMBER(E2556),E2556&lt;=5),2,0)+IF(AND(ISNUMBER(F2556),F2556&lt;=1),2,0)+IF(AND(ISNUMBER(G2556),G2556&lt;=2),1,0)+IF(AND(ISNUMBER(H2556),H2556&lt;=2),1,0)</f>
        <v>2</v>
      </c>
      <c r="J2556" s="2" t="str">
        <f aca="false">IF(I2556&gt;=6,"High",IF(I2556&gt;=3,"Medium","Low"))</f>
        <v>Low</v>
      </c>
    </row>
    <row r="2557" customFormat="false" ht="15" hidden="false" customHeight="true" outlineLevel="0" collapsed="false">
      <c r="A2557" s="2" t="n">
        <f aca="false">'Raw Data'!H2557</f>
        <v>2556</v>
      </c>
      <c r="B2557" s="2" t="n">
        <f aca="false">'Raw Data'!A2557</f>
        <v>29</v>
      </c>
      <c r="C2557" s="2" t="str">
        <f aca="false">'Raw Data'!D2557</f>
        <v>Research &amp; Development</v>
      </c>
      <c r="D2557" s="2" t="str">
        <f aca="false">'Raw Data'!K2557</f>
        <v>Sales Executive</v>
      </c>
      <c r="E2557" s="2" t="n">
        <f aca="false">'Raw Data'!Q2557</f>
        <v>11</v>
      </c>
      <c r="F2557" s="2" t="n">
        <f aca="false">'Raw Data'!U2557</f>
        <v>2</v>
      </c>
      <c r="G2557" s="2" t="n">
        <f aca="false">'Raw Data'!W2557</f>
        <v>1</v>
      </c>
      <c r="H2557" s="2" t="n">
        <f aca="false">'Raw Data'!V2557</f>
        <v>4</v>
      </c>
      <c r="I2557" s="2" t="n">
        <f aca="false">IF(AND(ISNUMBER(B2557),B2557&lt;=25),2,0)+IF(AND(ISNUMBER(E2557),E2557&lt;=5),2,0)+IF(AND(ISNUMBER(F2557),F2557&lt;=1),2,0)+IF(AND(ISNUMBER(G2557),G2557&lt;=2),1,0)+IF(AND(ISNUMBER(H2557),H2557&lt;=2),1,0)</f>
        <v>1</v>
      </c>
      <c r="J2557" s="2" t="str">
        <f aca="false">IF(I2557&gt;=6,"High",IF(I2557&gt;=3,"Medium","Low"))</f>
        <v>Low</v>
      </c>
    </row>
    <row r="2558" customFormat="false" ht="15" hidden="false" customHeight="true" outlineLevel="0" collapsed="false">
      <c r="A2558" s="2" t="n">
        <f aca="false">'Raw Data'!H2558</f>
        <v>2557</v>
      </c>
      <c r="B2558" s="2" t="n">
        <f aca="false">'Raw Data'!A2558</f>
        <v>37</v>
      </c>
      <c r="C2558" s="2" t="str">
        <f aca="false">'Raw Data'!D2558</f>
        <v>Research &amp; Development</v>
      </c>
      <c r="D2558" s="2" t="str">
        <f aca="false">'Raw Data'!K2558</f>
        <v>Manufacturing Director</v>
      </c>
      <c r="E2558" s="2" t="n">
        <f aca="false">'Raw Data'!Q2558</f>
        <v>16</v>
      </c>
      <c r="F2558" s="2" t="n">
        <f aca="false">'Raw Data'!U2558</f>
        <v>4</v>
      </c>
      <c r="G2558" s="2" t="n">
        <f aca="false">'Raw Data'!W2558</f>
        <v>1</v>
      </c>
      <c r="H2558" s="2" t="n">
        <f aca="false">'Raw Data'!V2558</f>
        <v>4</v>
      </c>
      <c r="I2558" s="2" t="n">
        <f aca="false">IF(AND(ISNUMBER(B2558),B2558&lt;=25),2,0)+IF(AND(ISNUMBER(E2558),E2558&lt;=5),2,0)+IF(AND(ISNUMBER(F2558),F2558&lt;=1),2,0)+IF(AND(ISNUMBER(G2558),G2558&lt;=2),1,0)+IF(AND(ISNUMBER(H2558),H2558&lt;=2),1,0)</f>
        <v>1</v>
      </c>
      <c r="J2558" s="2" t="str">
        <f aca="false">IF(I2558&gt;=6,"High",IF(I2558&gt;=3,"Medium","Low"))</f>
        <v>Low</v>
      </c>
    </row>
    <row r="2559" customFormat="false" ht="15" hidden="false" customHeight="true" outlineLevel="0" collapsed="false">
      <c r="A2559" s="2" t="n">
        <f aca="false">'Raw Data'!H2559</f>
        <v>2558</v>
      </c>
      <c r="B2559" s="2" t="n">
        <f aca="false">'Raw Data'!A2559</f>
        <v>35</v>
      </c>
      <c r="C2559" s="2" t="str">
        <f aca="false">'Raw Data'!D2559</f>
        <v>Sales</v>
      </c>
      <c r="D2559" s="2" t="str">
        <f aca="false">'Raw Data'!K2559</f>
        <v>Laboratory Technician</v>
      </c>
      <c r="E2559" s="2" t="n">
        <f aca="false">'Raw Data'!Q2559</f>
        <v>4</v>
      </c>
      <c r="F2559" s="2" t="n">
        <f aca="false">'Raw Data'!U2559</f>
        <v>2</v>
      </c>
      <c r="G2559" s="2" t="n">
        <f aca="false">'Raw Data'!W2559</f>
        <v>2</v>
      </c>
      <c r="H2559" s="2" t="n">
        <f aca="false">'Raw Data'!V2559</f>
        <v>4</v>
      </c>
      <c r="I2559" s="2" t="n">
        <f aca="false">IF(AND(ISNUMBER(B2559),B2559&lt;=25),2,0)+IF(AND(ISNUMBER(E2559),E2559&lt;=5),2,0)+IF(AND(ISNUMBER(F2559),F2559&lt;=1),2,0)+IF(AND(ISNUMBER(G2559),G2559&lt;=2),1,0)+IF(AND(ISNUMBER(H2559),H2559&lt;=2),1,0)</f>
        <v>3</v>
      </c>
      <c r="J2559" s="2" t="str">
        <f aca="false">IF(I2559&gt;=6,"High",IF(I2559&gt;=3,"Medium","Low"))</f>
        <v>Medium</v>
      </c>
    </row>
    <row r="2560" customFormat="false" ht="15" hidden="false" customHeight="true" outlineLevel="0" collapsed="false">
      <c r="A2560" s="2" t="n">
        <f aca="false">'Raw Data'!H2560</f>
        <v>2559</v>
      </c>
      <c r="B2560" s="2" t="n">
        <f aca="false">'Raw Data'!A2560</f>
        <v>45</v>
      </c>
      <c r="C2560" s="2" t="str">
        <f aca="false">'Raw Data'!D2560</f>
        <v>Research &amp; Development</v>
      </c>
      <c r="D2560" s="2" t="str">
        <f aca="false">'Raw Data'!K2560</f>
        <v>Sales Executive</v>
      </c>
      <c r="E2560" s="2" t="n">
        <f aca="false">'Raw Data'!Q2560</f>
        <v>10</v>
      </c>
      <c r="F2560" s="2" t="n">
        <f aca="false">'Raw Data'!U2560</f>
        <v>8</v>
      </c>
      <c r="G2560" s="2" t="n">
        <f aca="false">'Raw Data'!W2560</f>
        <v>4</v>
      </c>
      <c r="H2560" s="2" t="n">
        <f aca="false">'Raw Data'!V2560</f>
        <v>2</v>
      </c>
      <c r="I2560" s="2" t="n">
        <f aca="false">IF(AND(ISNUMBER(B2560),B2560&lt;=25),2,0)+IF(AND(ISNUMBER(E2560),E2560&lt;=5),2,0)+IF(AND(ISNUMBER(F2560),F2560&lt;=1),2,0)+IF(AND(ISNUMBER(G2560),G2560&lt;=2),1,0)+IF(AND(ISNUMBER(H2560),H2560&lt;=2),1,0)</f>
        <v>1</v>
      </c>
      <c r="J2560" s="2" t="str">
        <f aca="false">IF(I2560&gt;=6,"High",IF(I2560&gt;=3,"Medium","Low"))</f>
        <v>Low</v>
      </c>
    </row>
    <row r="2561" customFormat="false" ht="15" hidden="false" customHeight="true" outlineLevel="0" collapsed="false">
      <c r="A2561" s="2" t="n">
        <f aca="false">'Raw Data'!H2561</f>
        <v>2560</v>
      </c>
      <c r="B2561" s="2" t="n">
        <f aca="false">'Raw Data'!A2561</f>
        <v>36</v>
      </c>
      <c r="C2561" s="2" t="str">
        <f aca="false">'Raw Data'!D2561</f>
        <v>Research &amp; Development</v>
      </c>
      <c r="D2561" s="2" t="str">
        <f aca="false">'Raw Data'!K2561</f>
        <v>Manufacturing Director</v>
      </c>
      <c r="E2561" s="2" t="n">
        <f aca="false">'Raw Data'!Q2561</f>
        <v>10</v>
      </c>
      <c r="F2561" s="2" t="n">
        <f aca="false">'Raw Data'!U2561</f>
        <v>8</v>
      </c>
      <c r="G2561" s="2" t="n">
        <f aca="false">'Raw Data'!W2561</f>
        <v>4</v>
      </c>
      <c r="H2561" s="2" t="n">
        <f aca="false">'Raw Data'!V2561</f>
        <v>2</v>
      </c>
      <c r="I2561" s="2" t="n">
        <f aca="false">IF(AND(ISNUMBER(B2561),B2561&lt;=25),2,0)+IF(AND(ISNUMBER(E2561),E2561&lt;=5),2,0)+IF(AND(ISNUMBER(F2561),F2561&lt;=1),2,0)+IF(AND(ISNUMBER(G2561),G2561&lt;=2),1,0)+IF(AND(ISNUMBER(H2561),H2561&lt;=2),1,0)</f>
        <v>1</v>
      </c>
      <c r="J2561" s="2" t="str">
        <f aca="false">IF(I2561&gt;=6,"High",IF(I2561&gt;=3,"Medium","Low"))</f>
        <v>Low</v>
      </c>
    </row>
    <row r="2562" customFormat="false" ht="15" hidden="false" customHeight="true" outlineLevel="0" collapsed="false">
      <c r="A2562" s="2" t="n">
        <f aca="false">'Raw Data'!H2562</f>
        <v>2561</v>
      </c>
      <c r="B2562" s="2" t="n">
        <f aca="false">'Raw Data'!A2562</f>
        <v>40</v>
      </c>
      <c r="C2562" s="2" t="str">
        <f aca="false">'Raw Data'!D2562</f>
        <v>Research &amp; Development</v>
      </c>
      <c r="D2562" s="2" t="str">
        <f aca="false">'Raw Data'!K2562</f>
        <v>Sales Executive</v>
      </c>
      <c r="E2562" s="2" t="n">
        <f aca="false">'Raw Data'!Q2562</f>
        <v>22</v>
      </c>
      <c r="F2562" s="2" t="n">
        <f aca="false">'Raw Data'!U2562</f>
        <v>16</v>
      </c>
      <c r="G2562" s="2" t="n">
        <f aca="false">'Raw Data'!W2562</f>
        <v>1</v>
      </c>
      <c r="H2562" s="2" t="n">
        <f aca="false">'Raw Data'!V2562</f>
        <v>1</v>
      </c>
      <c r="I2562" s="2" t="n">
        <f aca="false">IF(AND(ISNUMBER(B2562),B2562&lt;=25),2,0)+IF(AND(ISNUMBER(E2562),E2562&lt;=5),2,0)+IF(AND(ISNUMBER(F2562),F2562&lt;=1),2,0)+IF(AND(ISNUMBER(G2562),G2562&lt;=2),1,0)+IF(AND(ISNUMBER(H2562),H2562&lt;=2),1,0)</f>
        <v>2</v>
      </c>
      <c r="J2562" s="2" t="str">
        <f aca="false">IF(I2562&gt;=6,"High",IF(I2562&gt;=3,"Medium","Low"))</f>
        <v>Low</v>
      </c>
    </row>
    <row r="2563" customFormat="false" ht="15" hidden="false" customHeight="true" outlineLevel="0" collapsed="false">
      <c r="A2563" s="2" t="n">
        <f aca="false">'Raw Data'!H2563</f>
        <v>2562</v>
      </c>
      <c r="B2563" s="2" t="n">
        <f aca="false">'Raw Data'!A2563</f>
        <v>26</v>
      </c>
      <c r="C2563" s="2" t="str">
        <f aca="false">'Raw Data'!D2563</f>
        <v>Research &amp; Development</v>
      </c>
      <c r="D2563" s="2" t="str">
        <f aca="false">'Raw Data'!K2563</f>
        <v>Human Resources</v>
      </c>
      <c r="E2563" s="2" t="n">
        <f aca="false">'Raw Data'!Q2563</f>
        <v>1</v>
      </c>
      <c r="F2563" s="2" t="n">
        <f aca="false">'Raw Data'!U2563</f>
        <v>0</v>
      </c>
      <c r="G2563" s="2" t="n">
        <f aca="false">'Raw Data'!W2563</f>
        <v>3</v>
      </c>
      <c r="H2563" s="2" t="n">
        <f aca="false">'Raw Data'!V2563</f>
        <v>2</v>
      </c>
      <c r="I2563" s="2" t="n">
        <f aca="false">IF(AND(ISNUMBER(B2563),B2563&lt;=25),2,0)+IF(AND(ISNUMBER(E2563),E2563&lt;=5),2,0)+IF(AND(ISNUMBER(F2563),F2563&lt;=1),2,0)+IF(AND(ISNUMBER(G2563),G2563&lt;=2),1,0)+IF(AND(ISNUMBER(H2563),H2563&lt;=2),1,0)</f>
        <v>5</v>
      </c>
      <c r="J2563" s="2" t="str">
        <f aca="false">IF(I2563&gt;=6,"High",IF(I2563&gt;=3,"Medium","Low"))</f>
        <v>Medium</v>
      </c>
    </row>
    <row r="2564" customFormat="false" ht="15" hidden="false" customHeight="true" outlineLevel="0" collapsed="false">
      <c r="A2564" s="2" t="n">
        <f aca="false">'Raw Data'!H2564</f>
        <v>2563</v>
      </c>
      <c r="B2564" s="2" t="n">
        <f aca="false">'Raw Data'!A2564</f>
        <v>27</v>
      </c>
      <c r="C2564" s="2" t="str">
        <f aca="false">'Raw Data'!D2564</f>
        <v>Research &amp; Development</v>
      </c>
      <c r="D2564" s="2" t="str">
        <f aca="false">'Raw Data'!K2564</f>
        <v>Manufacturing Director</v>
      </c>
      <c r="E2564" s="2" t="n">
        <f aca="false">'Raw Data'!Q2564</f>
        <v>9</v>
      </c>
      <c r="F2564" s="2" t="n">
        <f aca="false">'Raw Data'!U2564</f>
        <v>7</v>
      </c>
      <c r="G2564" s="2" t="n">
        <f aca="false">'Raw Data'!W2564</f>
        <v>3</v>
      </c>
      <c r="H2564" s="2" t="n">
        <f aca="false">'Raw Data'!V2564</f>
        <v>1</v>
      </c>
      <c r="I2564" s="2" t="n">
        <f aca="false">IF(AND(ISNUMBER(B2564),B2564&lt;=25),2,0)+IF(AND(ISNUMBER(E2564),E2564&lt;=5),2,0)+IF(AND(ISNUMBER(F2564),F2564&lt;=1),2,0)+IF(AND(ISNUMBER(G2564),G2564&lt;=2),1,0)+IF(AND(ISNUMBER(H2564),H2564&lt;=2),1,0)</f>
        <v>1</v>
      </c>
      <c r="J2564" s="2" t="str">
        <f aca="false">IF(I2564&gt;=6,"High",IF(I2564&gt;=3,"Medium","Low"))</f>
        <v>Low</v>
      </c>
    </row>
    <row r="2565" customFormat="false" ht="15" hidden="false" customHeight="true" outlineLevel="0" collapsed="false">
      <c r="A2565" s="2" t="n">
        <f aca="false">'Raw Data'!H2565</f>
        <v>2564</v>
      </c>
      <c r="B2565" s="2" t="n">
        <f aca="false">'Raw Data'!A2565</f>
        <v>48</v>
      </c>
      <c r="C2565" s="2" t="str">
        <f aca="false">'Raw Data'!D2565</f>
        <v>Research &amp; Development</v>
      </c>
      <c r="D2565" s="2" t="str">
        <f aca="false">'Raw Data'!K2565</f>
        <v>Research Director</v>
      </c>
      <c r="E2565" s="2" t="n">
        <f aca="false">'Raw Data'!Q2565</f>
        <v>24</v>
      </c>
      <c r="F2565" s="2" t="n">
        <f aca="false">'Raw Data'!U2565</f>
        <v>7</v>
      </c>
      <c r="G2565" s="2" t="n">
        <f aca="false">'Raw Data'!W2565</f>
        <v>4</v>
      </c>
      <c r="H2565" s="2" t="n">
        <f aca="false">'Raw Data'!V2565</f>
        <v>4</v>
      </c>
      <c r="I2565" s="2" t="n">
        <f aca="false">IF(AND(ISNUMBER(B2565),B2565&lt;=25),2,0)+IF(AND(ISNUMBER(E2565),E2565&lt;=5),2,0)+IF(AND(ISNUMBER(F2565),F2565&lt;=1),2,0)+IF(AND(ISNUMBER(G2565),G2565&lt;=2),1,0)+IF(AND(ISNUMBER(H2565),H2565&lt;=2),1,0)</f>
        <v>0</v>
      </c>
      <c r="J2565" s="2" t="str">
        <f aca="false">IF(I2565&gt;=6,"High",IF(I2565&gt;=3,"Medium","Low"))</f>
        <v>Low</v>
      </c>
    </row>
    <row r="2566" customFormat="false" ht="15" hidden="false" customHeight="true" outlineLevel="0" collapsed="false">
      <c r="A2566" s="2" t="n">
        <f aca="false">'Raw Data'!H2566</f>
        <v>2565</v>
      </c>
      <c r="B2566" s="2" t="n">
        <f aca="false">'Raw Data'!A2566</f>
        <v>44</v>
      </c>
      <c r="C2566" s="2" t="str">
        <f aca="false">'Raw Data'!D2566</f>
        <v>Sales</v>
      </c>
      <c r="D2566" s="2" t="str">
        <f aca="false">'Raw Data'!K2566</f>
        <v>Manager</v>
      </c>
      <c r="E2566" s="2" t="n">
        <f aca="false">'Raw Data'!Q2566</f>
        <v>10</v>
      </c>
      <c r="F2566" s="2" t="n">
        <f aca="false">'Raw Data'!U2566</f>
        <v>2</v>
      </c>
      <c r="G2566" s="2" t="n">
        <f aca="false">'Raw Data'!W2566</f>
        <v>1</v>
      </c>
      <c r="H2566" s="2" t="n">
        <f aca="false">'Raw Data'!V2566</f>
        <v>2</v>
      </c>
      <c r="I2566" s="2" t="n">
        <f aca="false">IF(AND(ISNUMBER(B2566),B2566&lt;=25),2,0)+IF(AND(ISNUMBER(E2566),E2566&lt;=5),2,0)+IF(AND(ISNUMBER(F2566),F2566&lt;=1),2,0)+IF(AND(ISNUMBER(G2566),G2566&lt;=2),1,0)+IF(AND(ISNUMBER(H2566),H2566&lt;=2),1,0)</f>
        <v>2</v>
      </c>
      <c r="J2566" s="2" t="str">
        <f aca="false">IF(I2566&gt;=6,"High",IF(I2566&gt;=3,"Medium","Low"))</f>
        <v>Low</v>
      </c>
    </row>
    <row r="2567" customFormat="false" ht="15" hidden="false" customHeight="true" outlineLevel="0" collapsed="false">
      <c r="A2567" s="2" t="n">
        <f aca="false">'Raw Data'!H2567</f>
        <v>2566</v>
      </c>
      <c r="B2567" s="2" t="n">
        <f aca="false">'Raw Data'!A2567</f>
        <v>34</v>
      </c>
      <c r="C2567" s="2" t="str">
        <f aca="false">'Raw Data'!D2567</f>
        <v>Research &amp; Development</v>
      </c>
      <c r="D2567" s="2" t="str">
        <f aca="false">'Raw Data'!K2567</f>
        <v>Sales Representative</v>
      </c>
      <c r="E2567" s="2" t="n">
        <f aca="false">'Raw Data'!Q2567</f>
        <v>5</v>
      </c>
      <c r="F2567" s="2" t="n">
        <f aca="false">'Raw Data'!U2567</f>
        <v>0</v>
      </c>
      <c r="G2567" s="2" t="n">
        <f aca="false">'Raw Data'!W2567</f>
        <v>1</v>
      </c>
      <c r="H2567" s="2" t="n">
        <f aca="false">'Raw Data'!V2567</f>
        <v>4</v>
      </c>
      <c r="I2567" s="2" t="n">
        <f aca="false">IF(AND(ISNUMBER(B2567),B2567&lt;=25),2,0)+IF(AND(ISNUMBER(E2567),E2567&lt;=5),2,0)+IF(AND(ISNUMBER(F2567),F2567&lt;=1),2,0)+IF(AND(ISNUMBER(G2567),G2567&lt;=2),1,0)+IF(AND(ISNUMBER(H2567),H2567&lt;=2),1,0)</f>
        <v>5</v>
      </c>
      <c r="J2567" s="2" t="str">
        <f aca="false">IF(I2567&gt;=6,"High",IF(I2567&gt;=3,"Medium","Low"))</f>
        <v>Medium</v>
      </c>
    </row>
    <row r="2568" customFormat="false" ht="15" hidden="false" customHeight="true" outlineLevel="0" collapsed="false">
      <c r="A2568" s="2" t="n">
        <f aca="false">'Raw Data'!H2568</f>
        <v>2567</v>
      </c>
      <c r="B2568" s="2" t="n">
        <f aca="false">'Raw Data'!A2568</f>
        <v>56</v>
      </c>
      <c r="C2568" s="2" t="str">
        <f aca="false">'Raw Data'!D2568</f>
        <v>Human Resources</v>
      </c>
      <c r="D2568" s="2" t="str">
        <f aca="false">'Raw Data'!K2568</f>
        <v>Sales Executive</v>
      </c>
      <c r="E2568" s="2" t="n">
        <f aca="false">'Raw Data'!Q2568</f>
        <v>5</v>
      </c>
      <c r="F2568" s="2" t="n">
        <f aca="false">'Raw Data'!U2568</f>
        <v>0</v>
      </c>
      <c r="G2568" s="2" t="n">
        <f aca="false">'Raw Data'!W2568</f>
        <v>4</v>
      </c>
      <c r="H2568" s="2" t="n">
        <f aca="false">'Raw Data'!V2568</f>
        <v>1</v>
      </c>
      <c r="I2568" s="2" t="n">
        <f aca="false">IF(AND(ISNUMBER(B2568),B2568&lt;=25),2,0)+IF(AND(ISNUMBER(E2568),E2568&lt;=5),2,0)+IF(AND(ISNUMBER(F2568),F2568&lt;=1),2,0)+IF(AND(ISNUMBER(G2568),G2568&lt;=2),1,0)+IF(AND(ISNUMBER(H2568),H2568&lt;=2),1,0)</f>
        <v>5</v>
      </c>
      <c r="J2568" s="2" t="str">
        <f aca="false">IF(I2568&gt;=6,"High",IF(I2568&gt;=3,"Medium","Low"))</f>
        <v>Medium</v>
      </c>
    </row>
    <row r="2569" customFormat="false" ht="15" hidden="false" customHeight="true" outlineLevel="0" collapsed="false">
      <c r="A2569" s="2" t="n">
        <f aca="false">'Raw Data'!H2569</f>
        <v>2568</v>
      </c>
      <c r="B2569" s="2" t="n">
        <f aca="false">'Raw Data'!A2569</f>
        <v>36</v>
      </c>
      <c r="C2569" s="2" t="str">
        <f aca="false">'Raw Data'!D2569</f>
        <v>Research &amp; Development</v>
      </c>
      <c r="D2569" s="2" t="str">
        <f aca="false">'Raw Data'!K2569</f>
        <v>Healthcare Representative</v>
      </c>
      <c r="E2569" s="2" t="n">
        <f aca="false">'Raw Data'!Q2569</f>
        <v>12</v>
      </c>
      <c r="F2569" s="2" t="n">
        <f aca="false">'Raw Data'!U2569</f>
        <v>3</v>
      </c>
      <c r="G2569" s="2" t="n">
        <f aca="false">'Raw Data'!W2569</f>
        <v>2</v>
      </c>
      <c r="H2569" s="2" t="n">
        <f aca="false">'Raw Data'!V2569</f>
        <v>3</v>
      </c>
      <c r="I2569" s="2" t="n">
        <f aca="false">IF(AND(ISNUMBER(B2569),B2569&lt;=25),2,0)+IF(AND(ISNUMBER(E2569),E2569&lt;=5),2,0)+IF(AND(ISNUMBER(F2569),F2569&lt;=1),2,0)+IF(AND(ISNUMBER(G2569),G2569&lt;=2),1,0)+IF(AND(ISNUMBER(H2569),H2569&lt;=2),1,0)</f>
        <v>1</v>
      </c>
      <c r="J2569" s="2" t="str">
        <f aca="false">IF(I2569&gt;=6,"High",IF(I2569&gt;=3,"Medium","Low"))</f>
        <v>Low</v>
      </c>
    </row>
    <row r="2570" customFormat="false" ht="15" hidden="false" customHeight="true" outlineLevel="0" collapsed="false">
      <c r="A2570" s="2" t="n">
        <f aca="false">'Raw Data'!H2570</f>
        <v>2569</v>
      </c>
      <c r="B2570" s="2" t="n">
        <f aca="false">'Raw Data'!A2570</f>
        <v>41</v>
      </c>
      <c r="C2570" s="2" t="str">
        <f aca="false">'Raw Data'!D2570</f>
        <v>Research &amp; Development</v>
      </c>
      <c r="D2570" s="2" t="str">
        <f aca="false">'Raw Data'!K2570</f>
        <v>Sales Executive</v>
      </c>
      <c r="E2570" s="2" t="n">
        <f aca="false">'Raw Data'!Q2570</f>
        <v>14</v>
      </c>
      <c r="F2570" s="2" t="n">
        <f aca="false">'Raw Data'!U2570</f>
        <v>4</v>
      </c>
      <c r="G2570" s="2" t="n">
        <f aca="false">'Raw Data'!W2570</f>
        <v>2</v>
      </c>
      <c r="H2570" s="2" t="n">
        <f aca="false">'Raw Data'!V2570</f>
        <v>0</v>
      </c>
      <c r="I2570" s="2" t="n">
        <f aca="false">IF(AND(ISNUMBER(B2570),B2570&lt;=25),2,0)+IF(AND(ISNUMBER(E2570),E2570&lt;=5),2,0)+IF(AND(ISNUMBER(F2570),F2570&lt;=1),2,0)+IF(AND(ISNUMBER(G2570),G2570&lt;=2),1,0)+IF(AND(ISNUMBER(H2570),H2570&lt;=2),1,0)</f>
        <v>1</v>
      </c>
      <c r="J2570" s="2" t="str">
        <f aca="false">IF(I2570&gt;=6,"High",IF(I2570&gt;=3,"Medium","Low"))</f>
        <v>Low</v>
      </c>
    </row>
    <row r="2571" customFormat="false" ht="15" hidden="false" customHeight="true" outlineLevel="0" collapsed="false">
      <c r="A2571" s="2" t="n">
        <f aca="false">'Raw Data'!H2571</f>
        <v>2570</v>
      </c>
      <c r="B2571" s="2" t="n">
        <f aca="false">'Raw Data'!A2571</f>
        <v>42</v>
      </c>
      <c r="C2571" s="2" t="str">
        <f aca="false">'Raw Data'!D2571</f>
        <v>Research &amp; Development</v>
      </c>
      <c r="D2571" s="2" t="str">
        <f aca="false">'Raw Data'!K2571</f>
        <v>Sales Executive</v>
      </c>
      <c r="E2571" s="2" t="n">
        <f aca="false">'Raw Data'!Q2571</f>
        <v>18</v>
      </c>
      <c r="F2571" s="2" t="n">
        <f aca="false">'Raw Data'!U2571</f>
        <v>7</v>
      </c>
      <c r="G2571" s="2" t="n">
        <f aca="false">'Raw Data'!W2571</f>
        <v>1</v>
      </c>
      <c r="H2571" s="2" t="n">
        <f aca="false">'Raw Data'!V2571</f>
        <v>3</v>
      </c>
      <c r="I2571" s="2" t="n">
        <f aca="false">IF(AND(ISNUMBER(B2571),B2571&lt;=25),2,0)+IF(AND(ISNUMBER(E2571),E2571&lt;=5),2,0)+IF(AND(ISNUMBER(F2571),F2571&lt;=1),2,0)+IF(AND(ISNUMBER(G2571),G2571&lt;=2),1,0)+IF(AND(ISNUMBER(H2571),H2571&lt;=2),1,0)</f>
        <v>1</v>
      </c>
      <c r="J2571" s="2" t="str">
        <f aca="false">IF(I2571&gt;=6,"High",IF(I2571&gt;=3,"Medium","Low"))</f>
        <v>Low</v>
      </c>
    </row>
    <row r="2572" customFormat="false" ht="15" hidden="false" customHeight="true" outlineLevel="0" collapsed="false">
      <c r="A2572" s="2" t="n">
        <f aca="false">'Raw Data'!H2572</f>
        <v>2571</v>
      </c>
      <c r="B2572" s="2" t="n">
        <f aca="false">'Raw Data'!A2572</f>
        <v>31</v>
      </c>
      <c r="C2572" s="2" t="str">
        <f aca="false">'Raw Data'!D2572</f>
        <v>Sales</v>
      </c>
      <c r="D2572" s="2" t="str">
        <f aca="false">'Raw Data'!K2572</f>
        <v>Sales Executive</v>
      </c>
      <c r="E2572" s="2" t="n">
        <f aca="false">'Raw Data'!Q2572</f>
        <v>8</v>
      </c>
      <c r="F2572" s="2" t="n">
        <f aca="false">'Raw Data'!U2572</f>
        <v>4</v>
      </c>
      <c r="G2572" s="2" t="n">
        <f aca="false">'Raw Data'!W2572</f>
        <v>4</v>
      </c>
      <c r="H2572" s="2" t="n">
        <f aca="false">'Raw Data'!V2572</f>
        <v>3</v>
      </c>
      <c r="I2572" s="2" t="n">
        <f aca="false">IF(AND(ISNUMBER(B2572),B2572&lt;=25),2,0)+IF(AND(ISNUMBER(E2572),E2572&lt;=5),2,0)+IF(AND(ISNUMBER(F2572),F2572&lt;=1),2,0)+IF(AND(ISNUMBER(G2572),G2572&lt;=2),1,0)+IF(AND(ISNUMBER(H2572),H2572&lt;=2),1,0)</f>
        <v>0</v>
      </c>
      <c r="J2572" s="2" t="str">
        <f aca="false">IF(I2572&gt;=6,"High",IF(I2572&gt;=3,"Medium","Low"))</f>
        <v>Low</v>
      </c>
    </row>
    <row r="2573" customFormat="false" ht="15" hidden="false" customHeight="true" outlineLevel="0" collapsed="false">
      <c r="A2573" s="2" t="n">
        <f aca="false">'Raw Data'!H2573</f>
        <v>2572</v>
      </c>
      <c r="B2573" s="2" t="n">
        <f aca="false">'Raw Data'!A2573</f>
        <v>34</v>
      </c>
      <c r="C2573" s="2" t="str">
        <f aca="false">'Raw Data'!D2573</f>
        <v>Research &amp; Development</v>
      </c>
      <c r="D2573" s="2" t="str">
        <f aca="false">'Raw Data'!K2573</f>
        <v>Laboratory Technician</v>
      </c>
      <c r="E2573" s="2" t="n">
        <f aca="false">'Raw Data'!Q2573</f>
        <v>9</v>
      </c>
      <c r="F2573" s="2" t="n">
        <f aca="false">'Raw Data'!U2573</f>
        <v>1</v>
      </c>
      <c r="G2573" s="2" t="n">
        <f aca="false">'Raw Data'!W2573</f>
        <v>4</v>
      </c>
      <c r="H2573" s="2" t="n">
        <f aca="false">'Raw Data'!V2573</f>
        <v>4</v>
      </c>
      <c r="I2573" s="2" t="n">
        <f aca="false">IF(AND(ISNUMBER(B2573),B2573&lt;=25),2,0)+IF(AND(ISNUMBER(E2573),E2573&lt;=5),2,0)+IF(AND(ISNUMBER(F2573),F2573&lt;=1),2,0)+IF(AND(ISNUMBER(G2573),G2573&lt;=2),1,0)+IF(AND(ISNUMBER(H2573),H2573&lt;=2),1,0)</f>
        <v>2</v>
      </c>
      <c r="J2573" s="2" t="str">
        <f aca="false">IF(I2573&gt;=6,"High",IF(I2573&gt;=3,"Medium","Low"))</f>
        <v>Low</v>
      </c>
    </row>
    <row r="2574" customFormat="false" ht="15" hidden="false" customHeight="true" outlineLevel="0" collapsed="false">
      <c r="A2574" s="2" t="n">
        <f aca="false">'Raw Data'!H2574</f>
        <v>2573</v>
      </c>
      <c r="B2574" s="2" t="n">
        <f aca="false">'Raw Data'!A2574</f>
        <v>31</v>
      </c>
      <c r="C2574" s="2" t="str">
        <f aca="false">'Raw Data'!D2574</f>
        <v>Sales</v>
      </c>
      <c r="D2574" s="2" t="str">
        <f aca="false">'Raw Data'!K2574</f>
        <v>Manufacturing Director</v>
      </c>
      <c r="E2574" s="2" t="n">
        <f aca="false">'Raw Data'!Q2574</f>
        <v>4</v>
      </c>
      <c r="F2574" s="2" t="n">
        <f aca="false">'Raw Data'!U2574</f>
        <v>2</v>
      </c>
      <c r="G2574" s="2" t="n">
        <f aca="false">'Raw Data'!W2574</f>
        <v>3</v>
      </c>
      <c r="H2574" s="2" t="n">
        <f aca="false">'Raw Data'!V2574</f>
        <v>1</v>
      </c>
      <c r="I2574" s="2" t="n">
        <f aca="false">IF(AND(ISNUMBER(B2574),B2574&lt;=25),2,0)+IF(AND(ISNUMBER(E2574),E2574&lt;=5),2,0)+IF(AND(ISNUMBER(F2574),F2574&lt;=1),2,0)+IF(AND(ISNUMBER(G2574),G2574&lt;=2),1,0)+IF(AND(ISNUMBER(H2574),H2574&lt;=2),1,0)</f>
        <v>3</v>
      </c>
      <c r="J2574" s="2" t="str">
        <f aca="false">IF(I2574&gt;=6,"High",IF(I2574&gt;=3,"Medium","Low"))</f>
        <v>Medium</v>
      </c>
    </row>
    <row r="2575" customFormat="false" ht="15" hidden="false" customHeight="true" outlineLevel="0" collapsed="false">
      <c r="A2575" s="2" t="n">
        <f aca="false">'Raw Data'!H2575</f>
        <v>2574</v>
      </c>
      <c r="B2575" s="2" t="n">
        <f aca="false">'Raw Data'!A2575</f>
        <v>26</v>
      </c>
      <c r="C2575" s="2" t="str">
        <f aca="false">'Raw Data'!D2575</f>
        <v>Sales</v>
      </c>
      <c r="D2575" s="2" t="str">
        <f aca="false">'Raw Data'!K2575</f>
        <v>Healthcare Representative</v>
      </c>
      <c r="E2575" s="2" t="n">
        <f aca="false">'Raw Data'!Q2575</f>
        <v>8</v>
      </c>
      <c r="F2575" s="2" t="n">
        <f aca="false">'Raw Data'!U2575</f>
        <v>7</v>
      </c>
      <c r="G2575" s="2" t="n">
        <f aca="false">'Raw Data'!W2575</f>
        <v>4</v>
      </c>
      <c r="H2575" s="2" t="n">
        <f aca="false">'Raw Data'!V2575</f>
        <v>3</v>
      </c>
      <c r="I2575" s="2" t="n">
        <f aca="false">IF(AND(ISNUMBER(B2575),B2575&lt;=25),2,0)+IF(AND(ISNUMBER(E2575),E2575&lt;=5),2,0)+IF(AND(ISNUMBER(F2575),F2575&lt;=1),2,0)+IF(AND(ISNUMBER(G2575),G2575&lt;=2),1,0)+IF(AND(ISNUMBER(H2575),H2575&lt;=2),1,0)</f>
        <v>0</v>
      </c>
      <c r="J2575" s="2" t="str">
        <f aca="false">IF(I2575&gt;=6,"High",IF(I2575&gt;=3,"Medium","Low"))</f>
        <v>Low</v>
      </c>
    </row>
    <row r="2576" customFormat="false" ht="15" hidden="false" customHeight="true" outlineLevel="0" collapsed="false">
      <c r="A2576" s="2" t="n">
        <f aca="false">'Raw Data'!H2576</f>
        <v>2575</v>
      </c>
      <c r="B2576" s="2" t="n">
        <f aca="false">'Raw Data'!A2576</f>
        <v>45</v>
      </c>
      <c r="C2576" s="2" t="str">
        <f aca="false">'Raw Data'!D2576</f>
        <v>Research &amp; Development</v>
      </c>
      <c r="D2576" s="2" t="str">
        <f aca="false">'Raw Data'!K2576</f>
        <v>Manager</v>
      </c>
      <c r="E2576" s="2" t="n">
        <f aca="false">'Raw Data'!Q2576</f>
        <v>12</v>
      </c>
      <c r="F2576" s="2" t="n">
        <f aca="false">'Raw Data'!U2576</f>
        <v>3</v>
      </c>
      <c r="G2576" s="2" t="n">
        <f aca="false">'Raw Data'!W2576</f>
        <v>3</v>
      </c>
      <c r="H2576" s="2" t="n">
        <f aca="false">'Raw Data'!V2576</f>
        <v>2</v>
      </c>
      <c r="I2576" s="2" t="n">
        <f aca="false">IF(AND(ISNUMBER(B2576),B2576&lt;=25),2,0)+IF(AND(ISNUMBER(E2576),E2576&lt;=5),2,0)+IF(AND(ISNUMBER(F2576),F2576&lt;=1),2,0)+IF(AND(ISNUMBER(G2576),G2576&lt;=2),1,0)+IF(AND(ISNUMBER(H2576),H2576&lt;=2),1,0)</f>
        <v>1</v>
      </c>
      <c r="J2576" s="2" t="str">
        <f aca="false">IF(I2576&gt;=6,"High",IF(I2576&gt;=3,"Medium","Low"))</f>
        <v>Low</v>
      </c>
    </row>
    <row r="2577" customFormat="false" ht="15" hidden="false" customHeight="true" outlineLevel="0" collapsed="false">
      <c r="A2577" s="2" t="n">
        <f aca="false">'Raw Data'!H2577</f>
        <v>2576</v>
      </c>
      <c r="B2577" s="2" t="n">
        <f aca="false">'Raw Data'!A2577</f>
        <v>33</v>
      </c>
      <c r="C2577" s="2" t="str">
        <f aca="false">'Raw Data'!D2577</f>
        <v>Sales</v>
      </c>
      <c r="D2577" s="2" t="str">
        <f aca="false">'Raw Data'!K2577</f>
        <v>Sales Executive</v>
      </c>
      <c r="E2577" s="2" t="n">
        <f aca="false">'Raw Data'!Q2577</f>
        <v>10</v>
      </c>
      <c r="F2577" s="2" t="n">
        <f aca="false">'Raw Data'!U2577</f>
        <v>9</v>
      </c>
      <c r="G2577" s="2" t="n">
        <f aca="false">'Raw Data'!W2577</f>
        <v>3</v>
      </c>
      <c r="H2577" s="2" t="n">
        <f aca="false">'Raw Data'!V2577</f>
        <v>2</v>
      </c>
      <c r="I2577" s="2" t="n">
        <f aca="false">IF(AND(ISNUMBER(B2577),B2577&lt;=25),2,0)+IF(AND(ISNUMBER(E2577),E2577&lt;=5),2,0)+IF(AND(ISNUMBER(F2577),F2577&lt;=1),2,0)+IF(AND(ISNUMBER(G2577),G2577&lt;=2),1,0)+IF(AND(ISNUMBER(H2577),H2577&lt;=2),1,0)</f>
        <v>1</v>
      </c>
      <c r="J2577" s="2" t="str">
        <f aca="false">IF(I2577&gt;=6,"High",IF(I2577&gt;=3,"Medium","Low"))</f>
        <v>Low</v>
      </c>
    </row>
    <row r="2578" customFormat="false" ht="15" hidden="false" customHeight="true" outlineLevel="0" collapsed="false">
      <c r="A2578" s="2" t="n">
        <f aca="false">'Raw Data'!H2578</f>
        <v>2577</v>
      </c>
      <c r="B2578" s="2" t="n">
        <f aca="false">'Raw Data'!A2578</f>
        <v>28</v>
      </c>
      <c r="C2578" s="2" t="str">
        <f aca="false">'Raw Data'!D2578</f>
        <v>Sales</v>
      </c>
      <c r="D2578" s="2" t="str">
        <f aca="false">'Raw Data'!K2578</f>
        <v>Research Scientist</v>
      </c>
      <c r="E2578" s="2" t="n">
        <f aca="false">'Raw Data'!Q2578</f>
        <v>7</v>
      </c>
      <c r="F2578" s="2" t="n">
        <f aca="false">'Raw Data'!U2578</f>
        <v>7</v>
      </c>
      <c r="G2578" s="2" t="n">
        <f aca="false">'Raw Data'!W2578</f>
        <v>4</v>
      </c>
      <c r="H2578" s="2" t="n">
        <f aca="false">'Raw Data'!V2578</f>
        <v>3</v>
      </c>
      <c r="I2578" s="2" t="n">
        <f aca="false">IF(AND(ISNUMBER(B2578),B2578&lt;=25),2,0)+IF(AND(ISNUMBER(E2578),E2578&lt;=5),2,0)+IF(AND(ISNUMBER(F2578),F2578&lt;=1),2,0)+IF(AND(ISNUMBER(G2578),G2578&lt;=2),1,0)+IF(AND(ISNUMBER(H2578),H2578&lt;=2),1,0)</f>
        <v>0</v>
      </c>
      <c r="J2578" s="2" t="str">
        <f aca="false">IF(I2578&gt;=6,"High",IF(I2578&gt;=3,"Medium","Low"))</f>
        <v>Low</v>
      </c>
    </row>
    <row r="2579" customFormat="false" ht="15" hidden="false" customHeight="true" outlineLevel="0" collapsed="false">
      <c r="A2579" s="2" t="n">
        <f aca="false">'Raw Data'!H2579</f>
        <v>2578</v>
      </c>
      <c r="B2579" s="2" t="n">
        <f aca="false">'Raw Data'!A2579</f>
        <v>29</v>
      </c>
      <c r="C2579" s="2" t="str">
        <f aca="false">'Raw Data'!D2579</f>
        <v>Human Resources</v>
      </c>
      <c r="D2579" s="2" t="str">
        <f aca="false">'Raw Data'!K2579</f>
        <v>Sales Executive</v>
      </c>
      <c r="E2579" s="2" t="n">
        <f aca="false">'Raw Data'!Q2579</f>
        <v>1</v>
      </c>
      <c r="F2579" s="2" t="n">
        <f aca="false">'Raw Data'!U2579</f>
        <v>0</v>
      </c>
      <c r="G2579" s="2" t="n">
        <f aca="false">'Raw Data'!W2579</f>
        <v>1</v>
      </c>
      <c r="H2579" s="2" t="n">
        <f aca="false">'Raw Data'!V2579</f>
        <v>3</v>
      </c>
      <c r="I2579" s="2" t="n">
        <f aca="false">IF(AND(ISNUMBER(B2579),B2579&lt;=25),2,0)+IF(AND(ISNUMBER(E2579),E2579&lt;=5),2,0)+IF(AND(ISNUMBER(F2579),F2579&lt;=1),2,0)+IF(AND(ISNUMBER(G2579),G2579&lt;=2),1,0)+IF(AND(ISNUMBER(H2579),H2579&lt;=2),1,0)</f>
        <v>5</v>
      </c>
      <c r="J2579" s="2" t="str">
        <f aca="false">IF(I2579&gt;=6,"High",IF(I2579&gt;=3,"Medium","Low"))</f>
        <v>Medium</v>
      </c>
    </row>
    <row r="2580" customFormat="false" ht="15" hidden="false" customHeight="true" outlineLevel="0" collapsed="false">
      <c r="A2580" s="2" t="n">
        <f aca="false">'Raw Data'!H2580</f>
        <v>2579</v>
      </c>
      <c r="B2580" s="2" t="n">
        <f aca="false">'Raw Data'!A2580</f>
        <v>39</v>
      </c>
      <c r="C2580" s="2" t="str">
        <f aca="false">'Raw Data'!D2580</f>
        <v>Research &amp; Development</v>
      </c>
      <c r="D2580" s="2" t="str">
        <f aca="false">'Raw Data'!K2580</f>
        <v>Sales Representative</v>
      </c>
      <c r="E2580" s="2" t="n">
        <f aca="false">'Raw Data'!Q2580</f>
        <v>10</v>
      </c>
      <c r="F2580" s="2" t="n">
        <f aca="false">'Raw Data'!U2580</f>
        <v>2</v>
      </c>
      <c r="G2580" s="2" t="n">
        <f aca="false">'Raw Data'!W2580</f>
        <v>3</v>
      </c>
      <c r="H2580" s="2" t="n">
        <f aca="false">'Raw Data'!V2580</f>
        <v>1</v>
      </c>
      <c r="I2580" s="2" t="n">
        <f aca="false">IF(AND(ISNUMBER(B2580),B2580&lt;=25),2,0)+IF(AND(ISNUMBER(E2580),E2580&lt;=5),2,0)+IF(AND(ISNUMBER(F2580),F2580&lt;=1),2,0)+IF(AND(ISNUMBER(G2580),G2580&lt;=2),1,0)+IF(AND(ISNUMBER(H2580),H2580&lt;=2),1,0)</f>
        <v>1</v>
      </c>
      <c r="J2580" s="2" t="str">
        <f aca="false">IF(I2580&gt;=6,"High",IF(I2580&gt;=3,"Medium","Low"))</f>
        <v>Low</v>
      </c>
    </row>
    <row r="2581" customFormat="false" ht="15" hidden="false" customHeight="true" outlineLevel="0" collapsed="false">
      <c r="A2581" s="2" t="n">
        <f aca="false">'Raw Data'!H2581</f>
        <v>2580</v>
      </c>
      <c r="B2581" s="2" t="n">
        <f aca="false">'Raw Data'!A2581</f>
        <v>27</v>
      </c>
      <c r="C2581" s="2" t="str">
        <f aca="false">'Raw Data'!D2581</f>
        <v>Sales</v>
      </c>
      <c r="D2581" s="2" t="str">
        <f aca="false">'Raw Data'!K2581</f>
        <v>Healthcare Representative</v>
      </c>
      <c r="E2581" s="2" t="n">
        <f aca="false">'Raw Data'!Q2581</f>
        <v>6</v>
      </c>
      <c r="F2581" s="2" t="n">
        <f aca="false">'Raw Data'!U2581</f>
        <v>2</v>
      </c>
      <c r="G2581" s="2" t="n">
        <f aca="false">'Raw Data'!W2581</f>
        <v>2</v>
      </c>
      <c r="H2581" s="2" t="n">
        <f aca="false">'Raw Data'!V2581</f>
        <v>2</v>
      </c>
      <c r="I2581" s="2" t="n">
        <f aca="false">IF(AND(ISNUMBER(B2581),B2581&lt;=25),2,0)+IF(AND(ISNUMBER(E2581),E2581&lt;=5),2,0)+IF(AND(ISNUMBER(F2581),F2581&lt;=1),2,0)+IF(AND(ISNUMBER(G2581),G2581&lt;=2),1,0)+IF(AND(ISNUMBER(H2581),H2581&lt;=2),1,0)</f>
        <v>2</v>
      </c>
      <c r="J2581" s="2" t="str">
        <f aca="false">IF(I2581&gt;=6,"High",IF(I2581&gt;=3,"Medium","Low"))</f>
        <v>Low</v>
      </c>
    </row>
    <row r="2582" customFormat="false" ht="15" hidden="false" customHeight="true" outlineLevel="0" collapsed="false">
      <c r="A2582" s="2" t="n">
        <f aca="false">'Raw Data'!H2582</f>
        <v>2581</v>
      </c>
      <c r="B2582" s="2" t="n">
        <f aca="false">'Raw Data'!A2582</f>
        <v>34</v>
      </c>
      <c r="C2582" s="2" t="str">
        <f aca="false">'Raw Data'!D2582</f>
        <v>Research &amp; Development</v>
      </c>
      <c r="D2582" s="2" t="str">
        <f aca="false">'Raw Data'!K2582</f>
        <v>Manufacturing Director</v>
      </c>
      <c r="E2582" s="2" t="n">
        <f aca="false">'Raw Data'!Q2582</f>
        <v>16</v>
      </c>
      <c r="F2582" s="2" t="n">
        <f aca="false">'Raw Data'!U2582</f>
        <v>11</v>
      </c>
      <c r="G2582" s="2" t="n">
        <f aca="false">'Raw Data'!W2582</f>
        <v>4</v>
      </c>
      <c r="H2582" s="2" t="n">
        <f aca="false">'Raw Data'!V2582</f>
        <v>3</v>
      </c>
      <c r="I2582" s="2" t="n">
        <f aca="false">IF(AND(ISNUMBER(B2582),B2582&lt;=25),2,0)+IF(AND(ISNUMBER(E2582),E2582&lt;=5),2,0)+IF(AND(ISNUMBER(F2582),F2582&lt;=1),2,0)+IF(AND(ISNUMBER(G2582),G2582&lt;=2),1,0)+IF(AND(ISNUMBER(H2582),H2582&lt;=2),1,0)</f>
        <v>0</v>
      </c>
      <c r="J2582" s="2" t="str">
        <f aca="false">IF(I2582&gt;=6,"High",IF(I2582&gt;=3,"Medium","Low"))</f>
        <v>Low</v>
      </c>
    </row>
    <row r="2583" customFormat="false" ht="15" hidden="false" customHeight="true" outlineLevel="0" collapsed="false">
      <c r="A2583" s="2" t="n">
        <f aca="false">'Raw Data'!H2583</f>
        <v>2582</v>
      </c>
      <c r="B2583" s="2" t="n">
        <f aca="false">'Raw Data'!A2583</f>
        <v>28</v>
      </c>
      <c r="C2583" s="2" t="str">
        <f aca="false">'Raw Data'!D2583</f>
        <v>Research &amp; Development</v>
      </c>
      <c r="D2583" s="2" t="str">
        <f aca="false">'Raw Data'!K2583</f>
        <v>Research Director</v>
      </c>
      <c r="E2583" s="2" t="n">
        <f aca="false">'Raw Data'!Q2583</f>
        <v>6</v>
      </c>
      <c r="F2583" s="2" t="n">
        <f aca="false">'Raw Data'!U2583</f>
        <v>2</v>
      </c>
      <c r="G2583" s="2" t="n">
        <f aca="false">'Raw Data'!W2583</f>
        <v>3</v>
      </c>
      <c r="H2583" s="2" t="n">
        <f aca="false">'Raw Data'!V2583</f>
        <v>4</v>
      </c>
      <c r="I2583" s="2" t="n">
        <f aca="false">IF(AND(ISNUMBER(B2583),B2583&lt;=25),2,0)+IF(AND(ISNUMBER(E2583),E2583&lt;=5),2,0)+IF(AND(ISNUMBER(F2583),F2583&lt;=1),2,0)+IF(AND(ISNUMBER(G2583),G2583&lt;=2),1,0)+IF(AND(ISNUMBER(H2583),H2583&lt;=2),1,0)</f>
        <v>0</v>
      </c>
      <c r="J2583" s="2" t="str">
        <f aca="false">IF(I2583&gt;=6,"High",IF(I2583&gt;=3,"Medium","Low"))</f>
        <v>Low</v>
      </c>
    </row>
    <row r="2584" customFormat="false" ht="15" hidden="false" customHeight="true" outlineLevel="0" collapsed="false">
      <c r="A2584" s="2" t="n">
        <f aca="false">'Raw Data'!H2584</f>
        <v>2583</v>
      </c>
      <c r="B2584" s="2" t="n">
        <f aca="false">'Raw Data'!A2584</f>
        <v>47</v>
      </c>
      <c r="C2584" s="2" t="str">
        <f aca="false">'Raw Data'!D2584</f>
        <v>Research &amp; Development</v>
      </c>
      <c r="D2584" s="2" t="str">
        <f aca="false">'Raw Data'!K2584</f>
        <v>Research Scientist</v>
      </c>
      <c r="E2584" s="2" t="n">
        <f aca="false">'Raw Data'!Q2584</f>
        <v>16</v>
      </c>
      <c r="F2584" s="2" t="n">
        <f aca="false">'Raw Data'!U2584</f>
        <v>7</v>
      </c>
      <c r="G2584" s="2" t="n">
        <f aca="false">'Raw Data'!W2584</f>
        <v>2</v>
      </c>
      <c r="H2584" s="2" t="n">
        <f aca="false">'Raw Data'!V2584</f>
        <v>3</v>
      </c>
      <c r="I2584" s="2" t="n">
        <f aca="false">IF(AND(ISNUMBER(B2584),B2584&lt;=25),2,0)+IF(AND(ISNUMBER(E2584),E2584&lt;=5),2,0)+IF(AND(ISNUMBER(F2584),F2584&lt;=1),2,0)+IF(AND(ISNUMBER(G2584),G2584&lt;=2),1,0)+IF(AND(ISNUMBER(H2584),H2584&lt;=2),1,0)</f>
        <v>1</v>
      </c>
      <c r="J2584" s="2" t="str">
        <f aca="false">IF(I2584&gt;=6,"High",IF(I2584&gt;=3,"Medium","Low"))</f>
        <v>Low</v>
      </c>
    </row>
    <row r="2585" customFormat="false" ht="15" hidden="false" customHeight="true" outlineLevel="0" collapsed="false">
      <c r="A2585" s="2" t="n">
        <f aca="false">'Raw Data'!H2585</f>
        <v>2584</v>
      </c>
      <c r="B2585" s="2" t="n">
        <f aca="false">'Raw Data'!A2585</f>
        <v>56</v>
      </c>
      <c r="C2585" s="2" t="str">
        <f aca="false">'Raw Data'!D2585</f>
        <v>Research &amp; Development</v>
      </c>
      <c r="D2585" s="2" t="str">
        <f aca="false">'Raw Data'!K2585</f>
        <v>Sales Executive</v>
      </c>
      <c r="E2585" s="2" t="n">
        <f aca="false">'Raw Data'!Q2585</f>
        <v>6</v>
      </c>
      <c r="F2585" s="2" t="n">
        <f aca="false">'Raw Data'!U2585</f>
        <v>0</v>
      </c>
      <c r="G2585" s="2" t="n">
        <f aca="false">'Raw Data'!W2585</f>
        <v>1</v>
      </c>
      <c r="H2585" s="2" t="n">
        <f aca="false">'Raw Data'!V2585</f>
        <v>4</v>
      </c>
      <c r="I2585" s="2" t="n">
        <f aca="false">IF(AND(ISNUMBER(B2585),B2585&lt;=25),2,0)+IF(AND(ISNUMBER(E2585),E2585&lt;=5),2,0)+IF(AND(ISNUMBER(F2585),F2585&lt;=1),2,0)+IF(AND(ISNUMBER(G2585),G2585&lt;=2),1,0)+IF(AND(ISNUMBER(H2585),H2585&lt;=2),1,0)</f>
        <v>3</v>
      </c>
      <c r="J2585" s="2" t="str">
        <f aca="false">IF(I2585&gt;=6,"High",IF(I2585&gt;=3,"Medium","Low"))</f>
        <v>Medium</v>
      </c>
    </row>
    <row r="2586" customFormat="false" ht="15" hidden="false" customHeight="true" outlineLevel="0" collapsed="false">
      <c r="A2586" s="2" t="n">
        <f aca="false">'Raw Data'!H2586</f>
        <v>2585</v>
      </c>
      <c r="B2586" s="2" t="n">
        <f aca="false">'Raw Data'!A2586</f>
        <v>39</v>
      </c>
      <c r="C2586" s="2" t="str">
        <f aca="false">'Raw Data'!D2586</f>
        <v>Research &amp; Development</v>
      </c>
      <c r="D2586" s="2" t="str">
        <f aca="false">'Raw Data'!K2586</f>
        <v>Laboratory Technician</v>
      </c>
      <c r="E2586" s="2" t="n">
        <f aca="false">'Raw Data'!Q2586</f>
        <v>10</v>
      </c>
      <c r="F2586" s="2" t="n">
        <f aca="false">'Raw Data'!U2586</f>
        <v>9</v>
      </c>
      <c r="G2586" s="2" t="n">
        <f aca="false">'Raw Data'!W2586</f>
        <v>1</v>
      </c>
      <c r="H2586" s="2" t="n">
        <f aca="false">'Raw Data'!V2586</f>
        <v>1</v>
      </c>
      <c r="I2586" s="2" t="n">
        <f aca="false">IF(AND(ISNUMBER(B2586),B2586&lt;=25),2,0)+IF(AND(ISNUMBER(E2586),E2586&lt;=5),2,0)+IF(AND(ISNUMBER(F2586),F2586&lt;=1),2,0)+IF(AND(ISNUMBER(G2586),G2586&lt;=2),1,0)+IF(AND(ISNUMBER(H2586),H2586&lt;=2),1,0)</f>
        <v>2</v>
      </c>
      <c r="J2586" s="2" t="str">
        <f aca="false">IF(I2586&gt;=6,"High",IF(I2586&gt;=3,"Medium","Low"))</f>
        <v>Low</v>
      </c>
    </row>
    <row r="2587" customFormat="false" ht="15" hidden="false" customHeight="true" outlineLevel="0" collapsed="false">
      <c r="A2587" s="2" t="n">
        <f aca="false">'Raw Data'!H2587</f>
        <v>2586</v>
      </c>
      <c r="B2587" s="2" t="n">
        <f aca="false">'Raw Data'!A2587</f>
        <v>38</v>
      </c>
      <c r="C2587" s="2" t="str">
        <f aca="false">'Raw Data'!D2587</f>
        <v>Research &amp; Development</v>
      </c>
      <c r="D2587" s="2" t="str">
        <f aca="false">'Raw Data'!K2587</f>
        <v>Manager</v>
      </c>
      <c r="E2587" s="2" t="n">
        <f aca="false">'Raw Data'!Q2587</f>
        <v>20</v>
      </c>
      <c r="F2587" s="2" t="n">
        <f aca="false">'Raw Data'!U2587</f>
        <v>7</v>
      </c>
      <c r="G2587" s="2" t="n">
        <f aca="false">'Raw Data'!W2587</f>
        <v>2</v>
      </c>
      <c r="H2587" s="2" t="n">
        <f aca="false">'Raw Data'!V2587</f>
        <v>4</v>
      </c>
      <c r="I2587" s="2" t="n">
        <f aca="false">IF(AND(ISNUMBER(B2587),B2587&lt;=25),2,0)+IF(AND(ISNUMBER(E2587),E2587&lt;=5),2,0)+IF(AND(ISNUMBER(F2587),F2587&lt;=1),2,0)+IF(AND(ISNUMBER(G2587),G2587&lt;=2),1,0)+IF(AND(ISNUMBER(H2587),H2587&lt;=2),1,0)</f>
        <v>1</v>
      </c>
      <c r="J2587" s="2" t="str">
        <f aca="false">IF(I2587&gt;=6,"High",IF(I2587&gt;=3,"Medium","Low"))</f>
        <v>Low</v>
      </c>
    </row>
    <row r="2588" customFormat="false" ht="15" hidden="false" customHeight="true" outlineLevel="0" collapsed="false">
      <c r="A2588" s="2" t="n">
        <f aca="false">'Raw Data'!H2588</f>
        <v>2587</v>
      </c>
      <c r="B2588" s="2" t="n">
        <f aca="false">'Raw Data'!A2588</f>
        <v>58</v>
      </c>
      <c r="C2588" s="2" t="str">
        <f aca="false">'Raw Data'!D2588</f>
        <v>Sales</v>
      </c>
      <c r="D2588" s="2" t="str">
        <f aca="false">'Raw Data'!K2588</f>
        <v>Sales Representative</v>
      </c>
      <c r="E2588" s="2" t="n">
        <f aca="false">'Raw Data'!Q2588</f>
        <v>29</v>
      </c>
      <c r="F2588" s="2" t="n">
        <f aca="false">'Raw Data'!U2588</f>
        <v>0</v>
      </c>
      <c r="G2588" s="2" t="n">
        <f aca="false">'Raw Data'!W2588</f>
        <v>4</v>
      </c>
      <c r="H2588" s="2" t="n">
        <f aca="false">'Raw Data'!V2588</f>
        <v>4</v>
      </c>
      <c r="I2588" s="2" t="n">
        <f aca="false">IF(AND(ISNUMBER(B2588),B2588&lt;=25),2,0)+IF(AND(ISNUMBER(E2588),E2588&lt;=5),2,0)+IF(AND(ISNUMBER(F2588),F2588&lt;=1),2,0)+IF(AND(ISNUMBER(G2588),G2588&lt;=2),1,0)+IF(AND(ISNUMBER(H2588),H2588&lt;=2),1,0)</f>
        <v>2</v>
      </c>
      <c r="J2588" s="2" t="str">
        <f aca="false">IF(I2588&gt;=6,"High",IF(I2588&gt;=3,"Medium","Low"))</f>
        <v>Low</v>
      </c>
    </row>
    <row r="2589" customFormat="false" ht="15" hidden="false" customHeight="true" outlineLevel="0" collapsed="false">
      <c r="A2589" s="2" t="n">
        <f aca="false">'Raw Data'!H2589</f>
        <v>2588</v>
      </c>
      <c r="B2589" s="2" t="n">
        <f aca="false">'Raw Data'!A2589</f>
        <v>32</v>
      </c>
      <c r="C2589" s="2" t="str">
        <f aca="false">'Raw Data'!D2589</f>
        <v>Research &amp; Development</v>
      </c>
      <c r="D2589" s="2" t="str">
        <f aca="false">'Raw Data'!K2589</f>
        <v>Laboratory Technician</v>
      </c>
      <c r="E2589" s="2" t="n">
        <f aca="false">'Raw Data'!Q2589</f>
        <v>8</v>
      </c>
      <c r="F2589" s="2" t="n">
        <f aca="false">'Raw Data'!U2589</f>
        <v>3</v>
      </c>
      <c r="G2589" s="2" t="n">
        <f aca="false">'Raw Data'!W2589</f>
        <v>3</v>
      </c>
      <c r="H2589" s="2" t="n">
        <f aca="false">'Raw Data'!V2589</f>
        <v>1</v>
      </c>
      <c r="I2589" s="2" t="n">
        <f aca="false">IF(AND(ISNUMBER(B2589),B2589&lt;=25),2,0)+IF(AND(ISNUMBER(E2589),E2589&lt;=5),2,0)+IF(AND(ISNUMBER(F2589),F2589&lt;=1),2,0)+IF(AND(ISNUMBER(G2589),G2589&lt;=2),1,0)+IF(AND(ISNUMBER(H2589),H2589&lt;=2),1,0)</f>
        <v>1</v>
      </c>
      <c r="J2589" s="2" t="str">
        <f aca="false">IF(I2589&gt;=6,"High",IF(I2589&gt;=3,"Medium","Low"))</f>
        <v>Low</v>
      </c>
    </row>
    <row r="2590" customFormat="false" ht="15" hidden="false" customHeight="true" outlineLevel="0" collapsed="false">
      <c r="A2590" s="2" t="n">
        <f aca="false">'Raw Data'!H2590</f>
        <v>2589</v>
      </c>
      <c r="B2590" s="2" t="n">
        <f aca="false">'Raw Data'!A2590</f>
        <v>38</v>
      </c>
      <c r="C2590" s="2" t="str">
        <f aca="false">'Raw Data'!D2590</f>
        <v>Research &amp; Development</v>
      </c>
      <c r="D2590" s="2" t="str">
        <f aca="false">'Raw Data'!K2590</f>
        <v>Sales Representative</v>
      </c>
      <c r="E2590" s="2" t="n">
        <f aca="false">'Raw Data'!Q2590</f>
        <v>10</v>
      </c>
      <c r="F2590" s="2" t="n">
        <f aca="false">'Raw Data'!U2590</f>
        <v>3</v>
      </c>
      <c r="G2590" s="2" t="n">
        <f aca="false">'Raw Data'!W2590</f>
        <v>4</v>
      </c>
      <c r="H2590" s="2" t="n">
        <f aca="false">'Raw Data'!V2590</f>
        <v>2</v>
      </c>
      <c r="I2590" s="2" t="n">
        <f aca="false">IF(AND(ISNUMBER(B2590),B2590&lt;=25),2,0)+IF(AND(ISNUMBER(E2590),E2590&lt;=5),2,0)+IF(AND(ISNUMBER(F2590),F2590&lt;=1),2,0)+IF(AND(ISNUMBER(G2590),G2590&lt;=2),1,0)+IF(AND(ISNUMBER(H2590),H2590&lt;=2),1,0)</f>
        <v>1</v>
      </c>
      <c r="J2590" s="2" t="str">
        <f aca="false">IF(I2590&gt;=6,"High",IF(I2590&gt;=3,"Medium","Low"))</f>
        <v>Low</v>
      </c>
    </row>
    <row r="2591" customFormat="false" ht="15" hidden="false" customHeight="true" outlineLevel="0" collapsed="false">
      <c r="A2591" s="2" t="n">
        <f aca="false">'Raw Data'!H2591</f>
        <v>2590</v>
      </c>
      <c r="B2591" s="2" t="n">
        <f aca="false">'Raw Data'!A2591</f>
        <v>49</v>
      </c>
      <c r="C2591" s="2" t="str">
        <f aca="false">'Raw Data'!D2591</f>
        <v>Sales</v>
      </c>
      <c r="D2591" s="2" t="str">
        <f aca="false">'Raw Data'!K2591</f>
        <v>Research Scientist</v>
      </c>
      <c r="E2591" s="2" t="n">
        <f aca="false">'Raw Data'!Q2591</f>
        <v>28</v>
      </c>
      <c r="F2591" s="2" t="n">
        <f aca="false">'Raw Data'!U2591</f>
        <v>3</v>
      </c>
      <c r="G2591" s="2" t="n">
        <f aca="false">'Raw Data'!W2591</f>
        <v>4</v>
      </c>
      <c r="H2591" s="2" t="n">
        <f aca="false">'Raw Data'!V2591</f>
        <v>2</v>
      </c>
      <c r="I2591" s="2" t="n">
        <f aca="false">IF(AND(ISNUMBER(B2591),B2591&lt;=25),2,0)+IF(AND(ISNUMBER(E2591),E2591&lt;=5),2,0)+IF(AND(ISNUMBER(F2591),F2591&lt;=1),2,0)+IF(AND(ISNUMBER(G2591),G2591&lt;=2),1,0)+IF(AND(ISNUMBER(H2591),H2591&lt;=2),1,0)</f>
        <v>1</v>
      </c>
      <c r="J2591" s="2" t="str">
        <f aca="false">IF(I2591&gt;=6,"High",IF(I2591&gt;=3,"Medium","Low"))</f>
        <v>Low</v>
      </c>
    </row>
    <row r="2592" customFormat="false" ht="15" hidden="false" customHeight="true" outlineLevel="0" collapsed="false">
      <c r="A2592" s="2" t="n">
        <f aca="false">'Raw Data'!H2592</f>
        <v>2591</v>
      </c>
      <c r="B2592" s="2" t="n">
        <f aca="false">'Raw Data'!A2592</f>
        <v>42</v>
      </c>
      <c r="C2592" s="2" t="str">
        <f aca="false">'Raw Data'!D2592</f>
        <v>Sales</v>
      </c>
      <c r="D2592" s="2" t="str">
        <f aca="false">'Raw Data'!K2592</f>
        <v>Sales Executive</v>
      </c>
      <c r="E2592" s="2" t="n">
        <f aca="false">'Raw Data'!Q2592</f>
        <v>14</v>
      </c>
      <c r="F2592" s="2" t="n">
        <f aca="false">'Raw Data'!U2592</f>
        <v>0</v>
      </c>
      <c r="G2592" s="2" t="n">
        <f aca="false">'Raw Data'!W2592</f>
        <v>4</v>
      </c>
      <c r="H2592" s="2" t="n">
        <f aca="false">'Raw Data'!V2592</f>
        <v>2</v>
      </c>
      <c r="I2592" s="2" t="n">
        <f aca="false">IF(AND(ISNUMBER(B2592),B2592&lt;=25),2,0)+IF(AND(ISNUMBER(E2592),E2592&lt;=5),2,0)+IF(AND(ISNUMBER(F2592),F2592&lt;=1),2,0)+IF(AND(ISNUMBER(G2592),G2592&lt;=2),1,0)+IF(AND(ISNUMBER(H2592),H2592&lt;=2),1,0)</f>
        <v>3</v>
      </c>
      <c r="J2592" s="2" t="str">
        <f aca="false">IF(I2592&gt;=6,"High",IF(I2592&gt;=3,"Medium","Low"))</f>
        <v>Medium</v>
      </c>
    </row>
    <row r="2593" customFormat="false" ht="15" hidden="false" customHeight="true" outlineLevel="0" collapsed="false">
      <c r="A2593" s="2" t="n">
        <f aca="false">'Raw Data'!H2593</f>
        <v>2592</v>
      </c>
      <c r="B2593" s="2" t="n">
        <f aca="false">'Raw Data'!A2593</f>
        <v>27</v>
      </c>
      <c r="C2593" s="2" t="str">
        <f aca="false">'Raw Data'!D2593</f>
        <v>Sales</v>
      </c>
      <c r="D2593" s="2" t="str">
        <f aca="false">'Raw Data'!K2593</f>
        <v>Laboratory Technician</v>
      </c>
      <c r="E2593" s="2" t="n">
        <f aca="false">'Raw Data'!Q2593</f>
        <v>1</v>
      </c>
      <c r="F2593" s="2" t="n">
        <f aca="false">'Raw Data'!U2593</f>
        <v>0</v>
      </c>
      <c r="G2593" s="2" t="n">
        <f aca="false">'Raw Data'!W2593</f>
        <v>2</v>
      </c>
      <c r="H2593" s="2" t="n">
        <f aca="false">'Raw Data'!V2593</f>
        <v>1</v>
      </c>
      <c r="I2593" s="2" t="n">
        <f aca="false">IF(AND(ISNUMBER(B2593),B2593&lt;=25),2,0)+IF(AND(ISNUMBER(E2593),E2593&lt;=5),2,0)+IF(AND(ISNUMBER(F2593),F2593&lt;=1),2,0)+IF(AND(ISNUMBER(G2593),G2593&lt;=2),1,0)+IF(AND(ISNUMBER(H2593),H2593&lt;=2),1,0)</f>
        <v>6</v>
      </c>
      <c r="J2593" s="2" t="str">
        <f aca="false">IF(I2593&gt;=6,"High",IF(I2593&gt;=3,"Medium","Low"))</f>
        <v>High</v>
      </c>
    </row>
    <row r="2594" customFormat="false" ht="15" hidden="false" customHeight="true" outlineLevel="0" collapsed="false">
      <c r="A2594" s="2" t="n">
        <f aca="false">'Raw Data'!H2594</f>
        <v>2593</v>
      </c>
      <c r="B2594" s="2" t="n">
        <f aca="false">'Raw Data'!A2594</f>
        <v>35</v>
      </c>
      <c r="C2594" s="2" t="str">
        <f aca="false">'Raw Data'!D2594</f>
        <v>Research &amp; Development</v>
      </c>
      <c r="D2594" s="2" t="str">
        <f aca="false">'Raw Data'!K2594</f>
        <v>Sales Executive</v>
      </c>
      <c r="E2594" s="2" t="n">
        <f aca="false">'Raw Data'!Q2594</f>
        <v>6</v>
      </c>
      <c r="F2594" s="2" t="n">
        <f aca="false">'Raw Data'!U2594</f>
        <v>4</v>
      </c>
      <c r="G2594" s="2" t="n">
        <f aca="false">'Raw Data'!W2594</f>
        <v>1</v>
      </c>
      <c r="H2594" s="2" t="n">
        <f aca="false">'Raw Data'!V2594</f>
        <v>2</v>
      </c>
      <c r="I2594" s="2" t="n">
        <f aca="false">IF(AND(ISNUMBER(B2594),B2594&lt;=25),2,0)+IF(AND(ISNUMBER(E2594),E2594&lt;=5),2,0)+IF(AND(ISNUMBER(F2594),F2594&lt;=1),2,0)+IF(AND(ISNUMBER(G2594),G2594&lt;=2),1,0)+IF(AND(ISNUMBER(H2594),H2594&lt;=2),1,0)</f>
        <v>2</v>
      </c>
      <c r="J2594" s="2" t="str">
        <f aca="false">IF(I2594&gt;=6,"High",IF(I2594&gt;=3,"Medium","Low"))</f>
        <v>Low</v>
      </c>
    </row>
    <row r="2595" customFormat="false" ht="15" hidden="false" customHeight="true" outlineLevel="0" collapsed="false">
      <c r="A2595" s="2" t="n">
        <f aca="false">'Raw Data'!H2595</f>
        <v>2594</v>
      </c>
      <c r="B2595" s="2" t="n">
        <f aca="false">'Raw Data'!A2595</f>
        <v>28</v>
      </c>
      <c r="C2595" s="2" t="str">
        <f aca="false">'Raw Data'!D2595</f>
        <v>Research &amp; Development</v>
      </c>
      <c r="D2595" s="2" t="str">
        <f aca="false">'Raw Data'!K2595</f>
        <v>Research Scientist</v>
      </c>
      <c r="E2595" s="2" t="n">
        <f aca="false">'Raw Data'!Q2595</f>
        <v>5</v>
      </c>
      <c r="F2595" s="2" t="n">
        <f aca="false">'Raw Data'!U2595</f>
        <v>4</v>
      </c>
      <c r="G2595" s="2" t="n">
        <f aca="false">'Raw Data'!W2595</f>
        <v>3</v>
      </c>
      <c r="H2595" s="2" t="n">
        <f aca="false">'Raw Data'!V2595</f>
        <v>3</v>
      </c>
      <c r="I2595" s="2" t="n">
        <f aca="false">IF(AND(ISNUMBER(B2595),B2595&lt;=25),2,0)+IF(AND(ISNUMBER(E2595),E2595&lt;=5),2,0)+IF(AND(ISNUMBER(F2595),F2595&lt;=1),2,0)+IF(AND(ISNUMBER(G2595),G2595&lt;=2),1,0)+IF(AND(ISNUMBER(H2595),H2595&lt;=2),1,0)</f>
        <v>2</v>
      </c>
      <c r="J2595" s="2" t="str">
        <f aca="false">IF(I2595&gt;=6,"High",IF(I2595&gt;=3,"Medium","Low"))</f>
        <v>Low</v>
      </c>
    </row>
    <row r="2596" customFormat="false" ht="15" hidden="false" customHeight="true" outlineLevel="0" collapsed="false">
      <c r="A2596" s="2" t="n">
        <f aca="false">'Raw Data'!H2596</f>
        <v>2595</v>
      </c>
      <c r="B2596" s="2" t="n">
        <f aca="false">'Raw Data'!A2596</f>
        <v>31</v>
      </c>
      <c r="C2596" s="2" t="str">
        <f aca="false">'Raw Data'!D2596</f>
        <v>Sales</v>
      </c>
      <c r="D2596" s="2" t="str">
        <f aca="false">'Raw Data'!K2596</f>
        <v>Sales Executive</v>
      </c>
      <c r="E2596" s="2" t="n">
        <f aca="false">'Raw Data'!Q2596</f>
        <v>4</v>
      </c>
      <c r="F2596" s="2" t="n">
        <f aca="false">'Raw Data'!U2596</f>
        <v>3</v>
      </c>
      <c r="G2596" s="2" t="n">
        <f aca="false">'Raw Data'!W2596</f>
        <v>1</v>
      </c>
      <c r="H2596" s="2" t="n">
        <f aca="false">'Raw Data'!V2596</f>
        <v>3</v>
      </c>
      <c r="I2596" s="2" t="n">
        <f aca="false">IF(AND(ISNUMBER(B2596),B2596&lt;=25),2,0)+IF(AND(ISNUMBER(E2596),E2596&lt;=5),2,0)+IF(AND(ISNUMBER(F2596),F2596&lt;=1),2,0)+IF(AND(ISNUMBER(G2596),G2596&lt;=2),1,0)+IF(AND(ISNUMBER(H2596),H2596&lt;=2),1,0)</f>
        <v>3</v>
      </c>
      <c r="J2596" s="2" t="str">
        <f aca="false">IF(I2596&gt;=6,"High",IF(I2596&gt;=3,"Medium","Low"))</f>
        <v>Medium</v>
      </c>
    </row>
    <row r="2597" customFormat="false" ht="15" hidden="false" customHeight="true" outlineLevel="0" collapsed="false">
      <c r="A2597" s="2" t="n">
        <f aca="false">'Raw Data'!H2597</f>
        <v>2596</v>
      </c>
      <c r="B2597" s="2" t="n">
        <f aca="false">'Raw Data'!A2597</f>
        <v>36</v>
      </c>
      <c r="C2597" s="2" t="str">
        <f aca="false">'Raw Data'!D2597</f>
        <v>Research &amp; Development</v>
      </c>
      <c r="D2597" s="2" t="str">
        <f aca="false">'Raw Data'!K2597</f>
        <v>Research Scientist</v>
      </c>
      <c r="E2597" s="2" t="n">
        <f aca="false">'Raw Data'!Q2597</f>
        <v>5</v>
      </c>
      <c r="F2597" s="2" t="n">
        <f aca="false">'Raw Data'!U2597</f>
        <v>2</v>
      </c>
      <c r="G2597" s="2" t="n">
        <f aca="false">'Raw Data'!W2597</f>
        <v>2</v>
      </c>
      <c r="H2597" s="2" t="n">
        <f aca="false">'Raw Data'!V2597</f>
        <v>1</v>
      </c>
      <c r="I2597" s="2" t="n">
        <f aca="false">IF(AND(ISNUMBER(B2597),B2597&lt;=25),2,0)+IF(AND(ISNUMBER(E2597),E2597&lt;=5),2,0)+IF(AND(ISNUMBER(F2597),F2597&lt;=1),2,0)+IF(AND(ISNUMBER(G2597),G2597&lt;=2),1,0)+IF(AND(ISNUMBER(H2597),H2597&lt;=2),1,0)</f>
        <v>4</v>
      </c>
      <c r="J2597" s="2" t="str">
        <f aca="false">IF(I2597&gt;=6,"High",IF(I2597&gt;=3,"Medium","Low"))</f>
        <v>Medium</v>
      </c>
    </row>
    <row r="2598" customFormat="false" ht="15" hidden="false" customHeight="true" outlineLevel="0" collapsed="false">
      <c r="A2598" s="2" t="n">
        <f aca="false">'Raw Data'!H2598</f>
        <v>2597</v>
      </c>
      <c r="B2598" s="2" t="n">
        <f aca="false">'Raw Data'!A2598</f>
        <v>34</v>
      </c>
      <c r="C2598" s="2" t="str">
        <f aca="false">'Raw Data'!D2598</f>
        <v>Sales</v>
      </c>
      <c r="D2598" s="2" t="str">
        <f aca="false">'Raw Data'!K2598</f>
        <v>Healthcare Representative</v>
      </c>
      <c r="E2598" s="2" t="n">
        <f aca="false">'Raw Data'!Q2598</f>
        <v>14</v>
      </c>
      <c r="F2598" s="2" t="n">
        <f aca="false">'Raw Data'!U2598</f>
        <v>1</v>
      </c>
      <c r="G2598" s="2" t="n">
        <f aca="false">'Raw Data'!W2598</f>
        <v>4</v>
      </c>
      <c r="H2598" s="2" t="n">
        <f aca="false">'Raw Data'!V2598</f>
        <v>1</v>
      </c>
      <c r="I2598" s="2" t="n">
        <f aca="false">IF(AND(ISNUMBER(B2598),B2598&lt;=25),2,0)+IF(AND(ISNUMBER(E2598),E2598&lt;=5),2,0)+IF(AND(ISNUMBER(F2598),F2598&lt;=1),2,0)+IF(AND(ISNUMBER(G2598),G2598&lt;=2),1,0)+IF(AND(ISNUMBER(H2598),H2598&lt;=2),1,0)</f>
        <v>3</v>
      </c>
      <c r="J2598" s="2" t="str">
        <f aca="false">IF(I2598&gt;=6,"High",IF(I2598&gt;=3,"Medium","Low"))</f>
        <v>Medium</v>
      </c>
    </row>
    <row r="2599" customFormat="false" ht="15" hidden="false" customHeight="true" outlineLevel="0" collapsed="false">
      <c r="A2599" s="2" t="n">
        <f aca="false">'Raw Data'!H2599</f>
        <v>2598</v>
      </c>
      <c r="B2599" s="2" t="n">
        <f aca="false">'Raw Data'!A2599</f>
        <v>34</v>
      </c>
      <c r="C2599" s="2" t="str">
        <f aca="false">'Raw Data'!D2599</f>
        <v>Research &amp; Development</v>
      </c>
      <c r="D2599" s="2" t="str">
        <f aca="false">'Raw Data'!K2599</f>
        <v>Research Director</v>
      </c>
      <c r="E2599" s="2" t="n">
        <f aca="false">'Raw Data'!Q2599</f>
        <v>9</v>
      </c>
      <c r="F2599" s="2" t="n">
        <f aca="false">'Raw Data'!U2599</f>
        <v>1</v>
      </c>
      <c r="G2599" s="2" t="n">
        <f aca="false">'Raw Data'!W2599</f>
        <v>3</v>
      </c>
      <c r="H2599" s="2" t="n">
        <f aca="false">'Raw Data'!V2599</f>
        <v>4</v>
      </c>
      <c r="I2599" s="2" t="n">
        <f aca="false">IF(AND(ISNUMBER(B2599),B2599&lt;=25),2,0)+IF(AND(ISNUMBER(E2599),E2599&lt;=5),2,0)+IF(AND(ISNUMBER(F2599),F2599&lt;=1),2,0)+IF(AND(ISNUMBER(G2599),G2599&lt;=2),1,0)+IF(AND(ISNUMBER(H2599),H2599&lt;=2),1,0)</f>
        <v>2</v>
      </c>
      <c r="J2599" s="2" t="str">
        <f aca="false">IF(I2599&gt;=6,"High",IF(I2599&gt;=3,"Medium","Low"))</f>
        <v>Low</v>
      </c>
    </row>
    <row r="2600" customFormat="false" ht="15" hidden="false" customHeight="true" outlineLevel="0" collapsed="false">
      <c r="A2600" s="2" t="n">
        <f aca="false">'Raw Data'!H2600</f>
        <v>2599</v>
      </c>
      <c r="B2600" s="2" t="n">
        <f aca="false">'Raw Data'!A2600</f>
        <v>26</v>
      </c>
      <c r="C2600" s="2" t="str">
        <f aca="false">'Raw Data'!D2600</f>
        <v>Research &amp; Development</v>
      </c>
      <c r="D2600" s="2" t="str">
        <f aca="false">'Raw Data'!K2600</f>
        <v>Research Scientist</v>
      </c>
      <c r="E2600" s="2" t="n">
        <f aca="false">'Raw Data'!Q2600</f>
        <v>8</v>
      </c>
      <c r="F2600" s="2" t="n">
        <f aca="false">'Raw Data'!U2600</f>
        <v>6</v>
      </c>
      <c r="G2600" s="2" t="n">
        <f aca="false">'Raw Data'!W2600</f>
        <v>1</v>
      </c>
      <c r="H2600" s="2" t="n">
        <f aca="false">'Raw Data'!V2600</f>
        <v>3</v>
      </c>
      <c r="I2600" s="2" t="n">
        <f aca="false">IF(AND(ISNUMBER(B2600),B2600&lt;=25),2,0)+IF(AND(ISNUMBER(E2600),E2600&lt;=5),2,0)+IF(AND(ISNUMBER(F2600),F2600&lt;=1),2,0)+IF(AND(ISNUMBER(G2600),G2600&lt;=2),1,0)+IF(AND(ISNUMBER(H2600),H2600&lt;=2),1,0)</f>
        <v>1</v>
      </c>
      <c r="J2600" s="2" t="str">
        <f aca="false">IF(I2600&gt;=6,"High",IF(I2600&gt;=3,"Medium","Low"))</f>
        <v>Low</v>
      </c>
    </row>
    <row r="2601" customFormat="false" ht="15" hidden="false" customHeight="true" outlineLevel="0" collapsed="false">
      <c r="A2601" s="2" t="n">
        <f aca="false">'Raw Data'!H2601</f>
        <v>2600</v>
      </c>
      <c r="B2601" s="2" t="n">
        <f aca="false">'Raw Data'!A2601</f>
        <v>29</v>
      </c>
      <c r="C2601" s="2" t="str">
        <f aca="false">'Raw Data'!D2601</f>
        <v>Research &amp; Development</v>
      </c>
      <c r="D2601" s="2" t="str">
        <f aca="false">'Raw Data'!K2601</f>
        <v>Laboratory Technician</v>
      </c>
      <c r="E2601" s="2" t="n">
        <f aca="false">'Raw Data'!Q2601</f>
        <v>6</v>
      </c>
      <c r="F2601" s="2" t="n">
        <f aca="false">'Raw Data'!U2601</f>
        <v>2</v>
      </c>
      <c r="G2601" s="2" t="n">
        <f aca="false">'Raw Data'!W2601</f>
        <v>1</v>
      </c>
      <c r="H2601" s="2" t="n">
        <f aca="false">'Raw Data'!V2601</f>
        <v>1</v>
      </c>
      <c r="I2601" s="2" t="n">
        <f aca="false">IF(AND(ISNUMBER(B2601),B2601&lt;=25),2,0)+IF(AND(ISNUMBER(E2601),E2601&lt;=5),2,0)+IF(AND(ISNUMBER(F2601),F2601&lt;=1),2,0)+IF(AND(ISNUMBER(G2601),G2601&lt;=2),1,0)+IF(AND(ISNUMBER(H2601),H2601&lt;=2),1,0)</f>
        <v>2</v>
      </c>
      <c r="J2601" s="2" t="str">
        <f aca="false">IF(I2601&gt;=6,"High",IF(I2601&gt;=3,"Medium","Low"))</f>
        <v>Low</v>
      </c>
    </row>
    <row r="2602" customFormat="false" ht="15" hidden="false" customHeight="true" outlineLevel="0" collapsed="false">
      <c r="A2602" s="2" t="n">
        <f aca="false">'Raw Data'!H2602</f>
        <v>2601</v>
      </c>
      <c r="B2602" s="2" t="n">
        <f aca="false">'Raw Data'!A2602</f>
        <v>32</v>
      </c>
      <c r="C2602" s="2" t="str">
        <f aca="false">'Raw Data'!D2602</f>
        <v>Research &amp; Development</v>
      </c>
      <c r="D2602" s="2" t="str">
        <f aca="false">'Raw Data'!K2602</f>
        <v>Manager</v>
      </c>
      <c r="E2602" s="2" t="n">
        <f aca="false">'Raw Data'!Q2602</f>
        <v>9</v>
      </c>
      <c r="F2602" s="2" t="n">
        <f aca="false">'Raw Data'!U2602</f>
        <v>2</v>
      </c>
      <c r="G2602" s="2" t="n">
        <f aca="false">'Raw Data'!W2602</f>
        <v>4</v>
      </c>
      <c r="H2602" s="2" t="n">
        <f aca="false">'Raw Data'!V2602</f>
        <v>3</v>
      </c>
      <c r="I2602" s="2" t="n">
        <f aca="false">IF(AND(ISNUMBER(B2602),B2602&lt;=25),2,0)+IF(AND(ISNUMBER(E2602),E2602&lt;=5),2,0)+IF(AND(ISNUMBER(F2602),F2602&lt;=1),2,0)+IF(AND(ISNUMBER(G2602),G2602&lt;=2),1,0)+IF(AND(ISNUMBER(H2602),H2602&lt;=2),1,0)</f>
        <v>0</v>
      </c>
      <c r="J2602" s="2" t="str">
        <f aca="false">IF(I2602&gt;=6,"High",IF(I2602&gt;=3,"Medium","Low"))</f>
        <v>Low</v>
      </c>
    </row>
    <row r="2603" customFormat="false" ht="15" hidden="false" customHeight="true" outlineLevel="0" collapsed="false">
      <c r="A2603" s="2" t="n">
        <f aca="false">'Raw Data'!H2603</f>
        <v>2602</v>
      </c>
      <c r="B2603" s="2" t="n">
        <f aca="false">'Raw Data'!A2603</f>
        <v>31</v>
      </c>
      <c r="C2603" s="2" t="str">
        <f aca="false">'Raw Data'!D2603</f>
        <v>Research &amp; Development</v>
      </c>
      <c r="D2603" s="2" t="str">
        <f aca="false">'Raw Data'!K2603</f>
        <v>Human Resources</v>
      </c>
      <c r="E2603" s="2" t="n">
        <f aca="false">'Raw Data'!Q2603</f>
        <v>10</v>
      </c>
      <c r="F2603" s="2" t="n">
        <f aca="false">'Raw Data'!U2603</f>
        <v>7</v>
      </c>
      <c r="G2603" s="2" t="n">
        <f aca="false">'Raw Data'!W2603</f>
        <v>1</v>
      </c>
      <c r="H2603" s="2" t="n">
        <f aca="false">'Raw Data'!V2603</f>
        <v>4</v>
      </c>
      <c r="I2603" s="2" t="n">
        <f aca="false">IF(AND(ISNUMBER(B2603),B2603&lt;=25),2,0)+IF(AND(ISNUMBER(E2603),E2603&lt;=5),2,0)+IF(AND(ISNUMBER(F2603),F2603&lt;=1),2,0)+IF(AND(ISNUMBER(G2603),G2603&lt;=2),1,0)+IF(AND(ISNUMBER(H2603),H2603&lt;=2),1,0)</f>
        <v>1</v>
      </c>
      <c r="J2603" s="2" t="str">
        <f aca="false">IF(I2603&gt;=6,"High",IF(I2603&gt;=3,"Medium","Low"))</f>
        <v>Low</v>
      </c>
    </row>
    <row r="2604" customFormat="false" ht="15" hidden="false" customHeight="true" outlineLevel="0" collapsed="false">
      <c r="A2604" s="2" t="n">
        <f aca="false">'Raw Data'!H2604</f>
        <v>2603</v>
      </c>
      <c r="B2604" s="2" t="n">
        <f aca="false">'Raw Data'!A2604</f>
        <v>28</v>
      </c>
      <c r="C2604" s="2" t="str">
        <f aca="false">'Raw Data'!D2604</f>
        <v>Sales</v>
      </c>
      <c r="D2604" s="2" t="str">
        <f aca="false">'Raw Data'!K2604</f>
        <v>Sales Representative</v>
      </c>
      <c r="E2604" s="2" t="n">
        <f aca="false">'Raw Data'!Q2604</f>
        <v>6</v>
      </c>
      <c r="F2604" s="2" t="n">
        <f aca="false">'Raw Data'!U2604</f>
        <v>3</v>
      </c>
      <c r="G2604" s="2" t="n">
        <f aca="false">'Raw Data'!W2604</f>
        <v>4</v>
      </c>
      <c r="H2604" s="2" t="n">
        <f aca="false">'Raw Data'!V2604</f>
        <v>3</v>
      </c>
      <c r="I2604" s="2" t="n">
        <f aca="false">IF(AND(ISNUMBER(B2604),B2604&lt;=25),2,0)+IF(AND(ISNUMBER(E2604),E2604&lt;=5),2,0)+IF(AND(ISNUMBER(F2604),F2604&lt;=1),2,0)+IF(AND(ISNUMBER(G2604),G2604&lt;=2),1,0)+IF(AND(ISNUMBER(H2604),H2604&lt;=2),1,0)</f>
        <v>0</v>
      </c>
      <c r="J2604" s="2" t="str">
        <f aca="false">IF(I2604&gt;=6,"High",IF(I2604&gt;=3,"Medium","Low"))</f>
        <v>Low</v>
      </c>
    </row>
    <row r="2605" customFormat="false" ht="15" hidden="false" customHeight="true" outlineLevel="0" collapsed="false">
      <c r="A2605" s="2" t="n">
        <f aca="false">'Raw Data'!H2605</f>
        <v>2604</v>
      </c>
      <c r="B2605" s="2" t="n">
        <f aca="false">'Raw Data'!A2605</f>
        <v>38</v>
      </c>
      <c r="C2605" s="2" t="str">
        <f aca="false">'Raw Data'!D2605</f>
        <v>Research &amp; Development</v>
      </c>
      <c r="D2605" s="2" t="str">
        <f aca="false">'Raw Data'!K2605</f>
        <v>Sales Representative</v>
      </c>
      <c r="E2605" s="2" t="n">
        <f aca="false">'Raw Data'!Q2605</f>
        <v>20</v>
      </c>
      <c r="F2605" s="2" t="n">
        <f aca="false">'Raw Data'!U2605</f>
        <v>0</v>
      </c>
      <c r="G2605" s="2" t="n">
        <f aca="false">'Raw Data'!W2605</f>
        <v>1</v>
      </c>
      <c r="H2605" s="2" t="n">
        <f aca="false">'Raw Data'!V2605</f>
        <v>1</v>
      </c>
      <c r="I2605" s="2" t="n">
        <f aca="false">IF(AND(ISNUMBER(B2605),B2605&lt;=25),2,0)+IF(AND(ISNUMBER(E2605),E2605&lt;=5),2,0)+IF(AND(ISNUMBER(F2605),F2605&lt;=1),2,0)+IF(AND(ISNUMBER(G2605),G2605&lt;=2),1,0)+IF(AND(ISNUMBER(H2605),H2605&lt;=2),1,0)</f>
        <v>4</v>
      </c>
      <c r="J2605" s="2" t="str">
        <f aca="false">IF(I2605&gt;=6,"High",IF(I2605&gt;=3,"Medium","Low"))</f>
        <v>Medium</v>
      </c>
    </row>
    <row r="2606" customFormat="false" ht="15" hidden="false" customHeight="true" outlineLevel="0" collapsed="false">
      <c r="A2606" s="2" t="n">
        <f aca="false">'Raw Data'!H2606</f>
        <v>2605</v>
      </c>
      <c r="B2606" s="2" t="n">
        <f aca="false">'Raw Data'!A2606</f>
        <v>35</v>
      </c>
      <c r="C2606" s="2" t="str">
        <f aca="false">'Raw Data'!D2606</f>
        <v>Research &amp; Development</v>
      </c>
      <c r="D2606" s="2" t="str">
        <f aca="false">'Raw Data'!K2606</f>
        <v>Sales Representative</v>
      </c>
      <c r="E2606" s="2" t="n">
        <f aca="false">'Raw Data'!Q2606</f>
        <v>10</v>
      </c>
      <c r="F2606" s="2" t="n">
        <f aca="false">'Raw Data'!U2606</f>
        <v>9</v>
      </c>
      <c r="G2606" s="2" t="n">
        <f aca="false">'Raw Data'!W2606</f>
        <v>4</v>
      </c>
      <c r="H2606" s="2" t="n">
        <f aca="false">'Raw Data'!V2606</f>
        <v>3</v>
      </c>
      <c r="I2606" s="2" t="n">
        <f aca="false">IF(AND(ISNUMBER(B2606),B2606&lt;=25),2,0)+IF(AND(ISNUMBER(E2606),E2606&lt;=5),2,0)+IF(AND(ISNUMBER(F2606),F2606&lt;=1),2,0)+IF(AND(ISNUMBER(G2606),G2606&lt;=2),1,0)+IF(AND(ISNUMBER(H2606),H2606&lt;=2),1,0)</f>
        <v>0</v>
      </c>
      <c r="J2606" s="2" t="str">
        <f aca="false">IF(I2606&gt;=6,"High",IF(I2606&gt;=3,"Medium","Low"))</f>
        <v>Low</v>
      </c>
    </row>
    <row r="2607" customFormat="false" ht="15" hidden="false" customHeight="true" outlineLevel="0" collapsed="false">
      <c r="A2607" s="2" t="n">
        <f aca="false">'Raw Data'!H2607</f>
        <v>2606</v>
      </c>
      <c r="B2607" s="2" t="n">
        <f aca="false">'Raw Data'!A2607</f>
        <v>27</v>
      </c>
      <c r="C2607" s="2" t="str">
        <f aca="false">'Raw Data'!D2607</f>
        <v>Sales</v>
      </c>
      <c r="D2607" s="2" t="str">
        <f aca="false">'Raw Data'!K2607</f>
        <v>Manager</v>
      </c>
      <c r="E2607" s="2" t="n">
        <f aca="false">'Raw Data'!Q2607</f>
        <v>7</v>
      </c>
      <c r="F2607" s="2" t="n">
        <f aca="false">'Raw Data'!U2607</f>
        <v>7</v>
      </c>
      <c r="G2607" s="2" t="n">
        <f aca="false">'Raw Data'!W2607</f>
        <v>4</v>
      </c>
      <c r="H2607" s="2" t="n">
        <f aca="false">'Raw Data'!V2607</f>
        <v>4</v>
      </c>
      <c r="I2607" s="2" t="n">
        <f aca="false">IF(AND(ISNUMBER(B2607),B2607&lt;=25),2,0)+IF(AND(ISNUMBER(E2607),E2607&lt;=5),2,0)+IF(AND(ISNUMBER(F2607),F2607&lt;=1),2,0)+IF(AND(ISNUMBER(G2607),G2607&lt;=2),1,0)+IF(AND(ISNUMBER(H2607),H2607&lt;=2),1,0)</f>
        <v>0</v>
      </c>
      <c r="J2607" s="2" t="str">
        <f aca="false">IF(I2607&gt;=6,"High",IF(I2607&gt;=3,"Medium","Low"))</f>
        <v>Low</v>
      </c>
    </row>
    <row r="2608" customFormat="false" ht="15" hidden="false" customHeight="true" outlineLevel="0" collapsed="false">
      <c r="A2608" s="2" t="n">
        <f aca="false">'Raw Data'!H2608</f>
        <v>2607</v>
      </c>
      <c r="B2608" s="2" t="n">
        <f aca="false">'Raw Data'!A2608</f>
        <v>32</v>
      </c>
      <c r="C2608" s="2" t="str">
        <f aca="false">'Raw Data'!D2608</f>
        <v>Research &amp; Development</v>
      </c>
      <c r="D2608" s="2" t="str">
        <f aca="false">'Raw Data'!K2608</f>
        <v>Research Scientist</v>
      </c>
      <c r="E2608" s="2" t="n">
        <f aca="false">'Raw Data'!Q2608</f>
        <v>8</v>
      </c>
      <c r="F2608" s="2" t="n">
        <f aca="false">'Raw Data'!U2608</f>
        <v>0</v>
      </c>
      <c r="G2608" s="2" t="n">
        <f aca="false">'Raw Data'!W2608</f>
        <v>4</v>
      </c>
      <c r="H2608" s="2" t="n">
        <f aca="false">'Raw Data'!V2608</f>
        <v>4</v>
      </c>
      <c r="I2608" s="2" t="n">
        <f aca="false">IF(AND(ISNUMBER(B2608),B2608&lt;=25),2,0)+IF(AND(ISNUMBER(E2608),E2608&lt;=5),2,0)+IF(AND(ISNUMBER(F2608),F2608&lt;=1),2,0)+IF(AND(ISNUMBER(G2608),G2608&lt;=2),1,0)+IF(AND(ISNUMBER(H2608),H2608&lt;=2),1,0)</f>
        <v>2</v>
      </c>
      <c r="J2608" s="2" t="str">
        <f aca="false">IF(I2608&gt;=6,"High",IF(I2608&gt;=3,"Medium","Low"))</f>
        <v>Low</v>
      </c>
    </row>
    <row r="2609" customFormat="false" ht="15" hidden="false" customHeight="true" outlineLevel="0" collapsed="false">
      <c r="A2609" s="2" t="n">
        <f aca="false">'Raw Data'!H2609</f>
        <v>2608</v>
      </c>
      <c r="B2609" s="2" t="n">
        <f aca="false">'Raw Data'!A2609</f>
        <v>31</v>
      </c>
      <c r="C2609" s="2" t="str">
        <f aca="false">'Raw Data'!D2609</f>
        <v>Research &amp; Development</v>
      </c>
      <c r="D2609" s="2" t="str">
        <f aca="false">'Raw Data'!K2609</f>
        <v>Sales Executive</v>
      </c>
      <c r="E2609" s="2" t="n">
        <f aca="false">'Raw Data'!Q2609</f>
        <v>10</v>
      </c>
      <c r="F2609" s="2" t="n">
        <f aca="false">'Raw Data'!U2609</f>
        <v>8</v>
      </c>
      <c r="G2609" s="2" t="n">
        <f aca="false">'Raw Data'!W2609</f>
        <v>4</v>
      </c>
      <c r="H2609" s="2" t="n">
        <f aca="false">'Raw Data'!V2609</f>
        <v>1</v>
      </c>
      <c r="I2609" s="2" t="n">
        <f aca="false">IF(AND(ISNUMBER(B2609),B2609&lt;=25),2,0)+IF(AND(ISNUMBER(E2609),E2609&lt;=5),2,0)+IF(AND(ISNUMBER(F2609),F2609&lt;=1),2,0)+IF(AND(ISNUMBER(G2609),G2609&lt;=2),1,0)+IF(AND(ISNUMBER(H2609),H2609&lt;=2),1,0)</f>
        <v>1</v>
      </c>
      <c r="J2609" s="2" t="str">
        <f aca="false">IF(I2609&gt;=6,"High",IF(I2609&gt;=3,"Medium","Low"))</f>
        <v>Low</v>
      </c>
    </row>
    <row r="2610" customFormat="false" ht="15" hidden="false" customHeight="true" outlineLevel="0" collapsed="false">
      <c r="A2610" s="2" t="n">
        <f aca="false">'Raw Data'!H2610</f>
        <v>2609</v>
      </c>
      <c r="B2610" s="2" t="n">
        <f aca="false">'Raw Data'!A2610</f>
        <v>53</v>
      </c>
      <c r="C2610" s="2" t="str">
        <f aca="false">'Raw Data'!D2610</f>
        <v>Research &amp; Development</v>
      </c>
      <c r="D2610" s="2" t="str">
        <f aca="false">'Raw Data'!K2610</f>
        <v>Research Scientist</v>
      </c>
      <c r="E2610" s="2" t="n">
        <f aca="false">'Raw Data'!Q2610</f>
        <v>15</v>
      </c>
      <c r="F2610" s="2" t="n">
        <f aca="false">'Raw Data'!U2610</f>
        <v>2</v>
      </c>
      <c r="G2610" s="2" t="n">
        <f aca="false">'Raw Data'!W2610</f>
        <v>1</v>
      </c>
      <c r="H2610" s="2" t="n">
        <f aca="false">'Raw Data'!V2610</f>
        <v>1</v>
      </c>
      <c r="I2610" s="2" t="n">
        <f aca="false">IF(AND(ISNUMBER(B2610),B2610&lt;=25),2,0)+IF(AND(ISNUMBER(E2610),E2610&lt;=5),2,0)+IF(AND(ISNUMBER(F2610),F2610&lt;=1),2,0)+IF(AND(ISNUMBER(G2610),G2610&lt;=2),1,0)+IF(AND(ISNUMBER(H2610),H2610&lt;=2),1,0)</f>
        <v>2</v>
      </c>
      <c r="J2610" s="2" t="str">
        <f aca="false">IF(I2610&gt;=6,"High",IF(I2610&gt;=3,"Medium","Low"))</f>
        <v>Low</v>
      </c>
    </row>
    <row r="2611" customFormat="false" ht="15" hidden="false" customHeight="true" outlineLevel="0" collapsed="false">
      <c r="A2611" s="2" t="n">
        <f aca="false">'Raw Data'!H2611</f>
        <v>2610</v>
      </c>
      <c r="B2611" s="2" t="n">
        <f aca="false">'Raw Data'!A2611</f>
        <v>54</v>
      </c>
      <c r="C2611" s="2" t="str">
        <f aca="false">'Raw Data'!D2611</f>
        <v>Research &amp; Development</v>
      </c>
      <c r="D2611" s="2" t="str">
        <f aca="false">'Raw Data'!K2611</f>
        <v>Research Scientist</v>
      </c>
      <c r="E2611" s="2" t="n">
        <f aca="false">'Raw Data'!Q2611</f>
        <v>9</v>
      </c>
      <c r="F2611" s="2" t="n">
        <f aca="false">'Raw Data'!U2611</f>
        <v>3</v>
      </c>
      <c r="G2611" s="2" t="n">
        <f aca="false">'Raw Data'!W2611</f>
        <v>3</v>
      </c>
      <c r="H2611" s="2" t="n">
        <f aca="false">'Raw Data'!V2611</f>
        <v>1</v>
      </c>
      <c r="I2611" s="2" t="n">
        <f aca="false">IF(AND(ISNUMBER(B2611),B2611&lt;=25),2,0)+IF(AND(ISNUMBER(E2611),E2611&lt;=5),2,0)+IF(AND(ISNUMBER(F2611),F2611&lt;=1),2,0)+IF(AND(ISNUMBER(G2611),G2611&lt;=2),1,0)+IF(AND(ISNUMBER(H2611),H2611&lt;=2),1,0)</f>
        <v>1</v>
      </c>
      <c r="J2611" s="2" t="str">
        <f aca="false">IF(I2611&gt;=6,"High",IF(I2611&gt;=3,"Medium","Low"))</f>
        <v>Low</v>
      </c>
    </row>
    <row r="2612" customFormat="false" ht="15" hidden="false" customHeight="true" outlineLevel="0" collapsed="false">
      <c r="A2612" s="2" t="n">
        <f aca="false">'Raw Data'!H2612</f>
        <v>2611</v>
      </c>
      <c r="B2612" s="2" t="n">
        <f aca="false">'Raw Data'!A2612</f>
        <v>33</v>
      </c>
      <c r="C2612" s="2" t="str">
        <f aca="false">'Raw Data'!D2612</f>
        <v>Research &amp; Development</v>
      </c>
      <c r="D2612" s="2" t="str">
        <f aca="false">'Raw Data'!K2612</f>
        <v>Sales Executive</v>
      </c>
      <c r="E2612" s="2" t="n">
        <f aca="false">'Raw Data'!Q2612</f>
        <v>9</v>
      </c>
      <c r="F2612" s="2" t="n">
        <f aca="false">'Raw Data'!U2612</f>
        <v>8</v>
      </c>
      <c r="G2612" s="2" t="n">
        <f aca="false">'Raw Data'!W2612</f>
        <v>3</v>
      </c>
      <c r="H2612" s="2" t="n">
        <f aca="false">'Raw Data'!V2612</f>
        <v>4</v>
      </c>
      <c r="I2612" s="2" t="n">
        <f aca="false">IF(AND(ISNUMBER(B2612),B2612&lt;=25),2,0)+IF(AND(ISNUMBER(E2612),E2612&lt;=5),2,0)+IF(AND(ISNUMBER(F2612),F2612&lt;=1),2,0)+IF(AND(ISNUMBER(G2612),G2612&lt;=2),1,0)+IF(AND(ISNUMBER(H2612),H2612&lt;=2),1,0)</f>
        <v>0</v>
      </c>
      <c r="J2612" s="2" t="str">
        <f aca="false">IF(I2612&gt;=6,"High",IF(I2612&gt;=3,"Medium","Low"))</f>
        <v>Low</v>
      </c>
    </row>
    <row r="2613" customFormat="false" ht="15" hidden="false" customHeight="true" outlineLevel="0" collapsed="false">
      <c r="A2613" s="2" t="n">
        <f aca="false">'Raw Data'!H2613</f>
        <v>2612</v>
      </c>
      <c r="B2613" s="2" t="n">
        <f aca="false">'Raw Data'!A2613</f>
        <v>43</v>
      </c>
      <c r="C2613" s="2" t="str">
        <f aca="false">'Raw Data'!D2613</f>
        <v>Research &amp; Development</v>
      </c>
      <c r="D2613" s="2" t="str">
        <f aca="false">'Raw Data'!K2613</f>
        <v>Research Scientist</v>
      </c>
      <c r="E2613" s="2" t="n">
        <f aca="false">'Raw Data'!Q2613</f>
        <v>10</v>
      </c>
      <c r="F2613" s="2" t="n">
        <f aca="false">'Raw Data'!U2613</f>
        <v>9</v>
      </c>
      <c r="G2613" s="2" t="n">
        <f aca="false">'Raw Data'!W2613</f>
        <v>3</v>
      </c>
      <c r="H2613" s="2" t="n">
        <f aca="false">'Raw Data'!V2613</f>
        <v>1</v>
      </c>
      <c r="I2613" s="2" t="n">
        <f aca="false">IF(AND(ISNUMBER(B2613),B2613&lt;=25),2,0)+IF(AND(ISNUMBER(E2613),E2613&lt;=5),2,0)+IF(AND(ISNUMBER(F2613),F2613&lt;=1),2,0)+IF(AND(ISNUMBER(G2613),G2613&lt;=2),1,0)+IF(AND(ISNUMBER(H2613),H2613&lt;=2),1,0)</f>
        <v>1</v>
      </c>
      <c r="J2613" s="2" t="str">
        <f aca="false">IF(I2613&gt;=6,"High",IF(I2613&gt;=3,"Medium","Low"))</f>
        <v>Low</v>
      </c>
    </row>
    <row r="2614" customFormat="false" ht="15" hidden="false" customHeight="true" outlineLevel="0" collapsed="false">
      <c r="A2614" s="2" t="n">
        <f aca="false">'Raw Data'!H2614</f>
        <v>2613</v>
      </c>
      <c r="B2614" s="2" t="n">
        <f aca="false">'Raw Data'!A2614</f>
        <v>38</v>
      </c>
      <c r="C2614" s="2" t="str">
        <f aca="false">'Raw Data'!D2614</f>
        <v>Research &amp; Development</v>
      </c>
      <c r="D2614" s="2" t="str">
        <f aca="false">'Raw Data'!K2614</f>
        <v>Sales Executive</v>
      </c>
      <c r="E2614" s="2" t="n">
        <f aca="false">'Raw Data'!Q2614</f>
        <v>7</v>
      </c>
      <c r="F2614" s="2" t="n">
        <f aca="false">'Raw Data'!U2614</f>
        <v>2</v>
      </c>
      <c r="G2614" s="2" t="n">
        <f aca="false">'Raw Data'!W2614</f>
        <v>2</v>
      </c>
      <c r="H2614" s="2" t="n">
        <f aca="false">'Raw Data'!V2614</f>
        <v>4</v>
      </c>
      <c r="I2614" s="2" t="n">
        <f aca="false">IF(AND(ISNUMBER(B2614),B2614&lt;=25),2,0)+IF(AND(ISNUMBER(E2614),E2614&lt;=5),2,0)+IF(AND(ISNUMBER(F2614),F2614&lt;=1),2,0)+IF(AND(ISNUMBER(G2614),G2614&lt;=2),1,0)+IF(AND(ISNUMBER(H2614),H2614&lt;=2),1,0)</f>
        <v>1</v>
      </c>
      <c r="J2614" s="2" t="str">
        <f aca="false">IF(I2614&gt;=6,"High",IF(I2614&gt;=3,"Medium","Low"))</f>
        <v>Low</v>
      </c>
    </row>
    <row r="2615" customFormat="false" ht="15" hidden="false" customHeight="true" outlineLevel="0" collapsed="false">
      <c r="A2615" s="2" t="n">
        <f aca="false">'Raw Data'!H2615</f>
        <v>2614</v>
      </c>
      <c r="B2615" s="2" t="n">
        <f aca="false">'Raw Data'!A2615</f>
        <v>55</v>
      </c>
      <c r="C2615" s="2" t="str">
        <f aca="false">'Raw Data'!D2615</f>
        <v>Sales</v>
      </c>
      <c r="D2615" s="2" t="str">
        <f aca="false">'Raw Data'!K2615</f>
        <v>Laboratory Technician</v>
      </c>
      <c r="E2615" s="2" t="n">
        <f aca="false">'Raw Data'!Q2615</f>
        <v>35</v>
      </c>
      <c r="F2615" s="2" t="n">
        <f aca="false">'Raw Data'!U2615</f>
        <v>4</v>
      </c>
      <c r="G2615" s="2" t="n">
        <f aca="false">'Raw Data'!W2615</f>
        <v>2</v>
      </c>
      <c r="H2615" s="2" t="n">
        <f aca="false">'Raw Data'!V2615</f>
        <v>3</v>
      </c>
      <c r="I2615" s="2" t="n">
        <f aca="false">IF(AND(ISNUMBER(B2615),B2615&lt;=25),2,0)+IF(AND(ISNUMBER(E2615),E2615&lt;=5),2,0)+IF(AND(ISNUMBER(F2615),F2615&lt;=1),2,0)+IF(AND(ISNUMBER(G2615),G2615&lt;=2),1,0)+IF(AND(ISNUMBER(H2615),H2615&lt;=2),1,0)</f>
        <v>1</v>
      </c>
      <c r="J2615" s="2" t="str">
        <f aca="false">IF(I2615&gt;=6,"High",IF(I2615&gt;=3,"Medium","Low"))</f>
        <v>Low</v>
      </c>
    </row>
    <row r="2616" customFormat="false" ht="15" hidden="false" customHeight="true" outlineLevel="0" collapsed="false">
      <c r="A2616" s="2" t="n">
        <f aca="false">'Raw Data'!H2616</f>
        <v>2615</v>
      </c>
      <c r="B2616" s="2" t="n">
        <f aca="false">'Raw Data'!A2616</f>
        <v>31</v>
      </c>
      <c r="C2616" s="2" t="str">
        <f aca="false">'Raw Data'!D2616</f>
        <v>Sales</v>
      </c>
      <c r="D2616" s="2" t="str">
        <f aca="false">'Raw Data'!K2616</f>
        <v>Manufacturing Director</v>
      </c>
      <c r="E2616" s="2" t="n">
        <f aca="false">'Raw Data'!Q2616</f>
        <v>1</v>
      </c>
      <c r="F2616" s="2" t="n">
        <f aca="false">'Raw Data'!U2616</f>
        <v>0</v>
      </c>
      <c r="G2616" s="2" t="n">
        <f aca="false">'Raw Data'!W2616</f>
        <v>4</v>
      </c>
      <c r="H2616" s="2" t="n">
        <f aca="false">'Raw Data'!V2616</f>
        <v>4</v>
      </c>
      <c r="I2616" s="2" t="n">
        <f aca="false">IF(AND(ISNUMBER(B2616),B2616&lt;=25),2,0)+IF(AND(ISNUMBER(E2616),E2616&lt;=5),2,0)+IF(AND(ISNUMBER(F2616),F2616&lt;=1),2,0)+IF(AND(ISNUMBER(G2616),G2616&lt;=2),1,0)+IF(AND(ISNUMBER(H2616),H2616&lt;=2),1,0)</f>
        <v>4</v>
      </c>
      <c r="J2616" s="2" t="str">
        <f aca="false">IF(I2616&gt;=6,"High",IF(I2616&gt;=3,"Medium","Low"))</f>
        <v>Medium</v>
      </c>
    </row>
    <row r="2617" customFormat="false" ht="15" hidden="false" customHeight="true" outlineLevel="0" collapsed="false">
      <c r="A2617" s="2" t="n">
        <f aca="false">'Raw Data'!H2617</f>
        <v>2616</v>
      </c>
      <c r="B2617" s="2" t="n">
        <f aca="false">'Raw Data'!A2617</f>
        <v>39</v>
      </c>
      <c r="C2617" s="2" t="str">
        <f aca="false">'Raw Data'!D2617</f>
        <v>Research &amp; Development</v>
      </c>
      <c r="D2617" s="2" t="str">
        <f aca="false">'Raw Data'!K2617</f>
        <v>Sales Executive</v>
      </c>
      <c r="E2617" s="2" t="n">
        <f aca="false">'Raw Data'!Q2617</f>
        <v>21</v>
      </c>
      <c r="F2617" s="2" t="n">
        <f aca="false">'Raw Data'!U2617</f>
        <v>10</v>
      </c>
      <c r="G2617" s="2" t="n">
        <f aca="false">'Raw Data'!W2617</f>
        <v>1</v>
      </c>
      <c r="H2617" s="2" t="n">
        <f aca="false">'Raw Data'!V2617</f>
        <v>2</v>
      </c>
      <c r="I2617" s="2" t="n">
        <f aca="false">IF(AND(ISNUMBER(B2617),B2617&lt;=25),2,0)+IF(AND(ISNUMBER(E2617),E2617&lt;=5),2,0)+IF(AND(ISNUMBER(F2617),F2617&lt;=1),2,0)+IF(AND(ISNUMBER(G2617),G2617&lt;=2),1,0)+IF(AND(ISNUMBER(H2617),H2617&lt;=2),1,0)</f>
        <v>2</v>
      </c>
      <c r="J2617" s="2" t="str">
        <f aca="false">IF(I2617&gt;=6,"High",IF(I2617&gt;=3,"Medium","Low"))</f>
        <v>Low</v>
      </c>
    </row>
    <row r="2618" customFormat="false" ht="15" hidden="false" customHeight="true" outlineLevel="0" collapsed="false">
      <c r="A2618" s="2" t="n">
        <f aca="false">'Raw Data'!H2618</f>
        <v>2617</v>
      </c>
      <c r="B2618" s="2" t="n">
        <f aca="false">'Raw Data'!A2618</f>
        <v>42</v>
      </c>
      <c r="C2618" s="2" t="str">
        <f aca="false">'Raw Data'!D2618</f>
        <v>Research &amp; Development</v>
      </c>
      <c r="D2618" s="2" t="str">
        <f aca="false">'Raw Data'!K2618</f>
        <v>Research Scientist</v>
      </c>
      <c r="E2618" s="2" t="n">
        <f aca="false">'Raw Data'!Q2618</f>
        <v>20</v>
      </c>
      <c r="F2618" s="2" t="n">
        <f aca="false">'Raw Data'!U2618</f>
        <v>7</v>
      </c>
      <c r="G2618" s="2" t="n">
        <f aca="false">'Raw Data'!W2618</f>
        <v>3</v>
      </c>
      <c r="H2618" s="2" t="n">
        <f aca="false">'Raw Data'!V2618</f>
        <v>4</v>
      </c>
      <c r="I2618" s="2" t="n">
        <f aca="false">IF(AND(ISNUMBER(B2618),B2618&lt;=25),2,0)+IF(AND(ISNUMBER(E2618),E2618&lt;=5),2,0)+IF(AND(ISNUMBER(F2618),F2618&lt;=1),2,0)+IF(AND(ISNUMBER(G2618),G2618&lt;=2),1,0)+IF(AND(ISNUMBER(H2618),H2618&lt;=2),1,0)</f>
        <v>0</v>
      </c>
      <c r="J2618" s="2" t="str">
        <f aca="false">IF(I2618&gt;=6,"High",IF(I2618&gt;=3,"Medium","Low"))</f>
        <v>Low</v>
      </c>
    </row>
    <row r="2619" customFormat="false" ht="15" hidden="false" customHeight="true" outlineLevel="0" collapsed="false">
      <c r="A2619" s="2" t="n">
        <f aca="false">'Raw Data'!H2619</f>
        <v>2618</v>
      </c>
      <c r="B2619" s="2" t="n">
        <f aca="false">'Raw Data'!A2619</f>
        <v>31</v>
      </c>
      <c r="C2619" s="2" t="str">
        <f aca="false">'Raw Data'!D2619</f>
        <v>Research &amp; Development</v>
      </c>
      <c r="D2619" s="2" t="str">
        <f aca="false">'Raw Data'!K2619</f>
        <v>Healthcare Representative</v>
      </c>
      <c r="E2619" s="2" t="n">
        <f aca="false">'Raw Data'!Q2619</f>
        <v>13</v>
      </c>
      <c r="F2619" s="2" t="n">
        <f aca="false">'Raw Data'!U2619</f>
        <v>8</v>
      </c>
      <c r="G2619" s="2" t="n">
        <f aca="false">'Raw Data'!W2619</f>
        <v>3</v>
      </c>
      <c r="H2619" s="2" t="n">
        <f aca="false">'Raw Data'!V2619</f>
        <v>3</v>
      </c>
      <c r="I2619" s="2" t="n">
        <f aca="false">IF(AND(ISNUMBER(B2619),B2619&lt;=25),2,0)+IF(AND(ISNUMBER(E2619),E2619&lt;=5),2,0)+IF(AND(ISNUMBER(F2619),F2619&lt;=1),2,0)+IF(AND(ISNUMBER(G2619),G2619&lt;=2),1,0)+IF(AND(ISNUMBER(H2619),H2619&lt;=2),1,0)</f>
        <v>0</v>
      </c>
      <c r="J2619" s="2" t="str">
        <f aca="false">IF(I2619&gt;=6,"High",IF(I2619&gt;=3,"Medium","Low"))</f>
        <v>Low</v>
      </c>
    </row>
    <row r="2620" customFormat="false" ht="15" hidden="false" customHeight="true" outlineLevel="0" collapsed="false">
      <c r="A2620" s="2" t="n">
        <f aca="false">'Raw Data'!H2620</f>
        <v>2619</v>
      </c>
      <c r="B2620" s="2" t="n">
        <f aca="false">'Raw Data'!A2620</f>
        <v>54</v>
      </c>
      <c r="C2620" s="2" t="str">
        <f aca="false">'Raw Data'!D2620</f>
        <v>Research &amp; Development</v>
      </c>
      <c r="D2620" s="2" t="str">
        <f aca="false">'Raw Data'!K2620</f>
        <v>Human Resources</v>
      </c>
      <c r="E2620" s="2" t="n">
        <f aca="false">'Raw Data'!Q2620</f>
        <v>9</v>
      </c>
      <c r="F2620" s="2" t="n">
        <f aca="false">'Raw Data'!U2620</f>
        <v>4</v>
      </c>
      <c r="G2620" s="2" t="n">
        <f aca="false">'Raw Data'!W2620</f>
        <v>1</v>
      </c>
      <c r="H2620" s="2" t="n">
        <f aca="false">'Raw Data'!V2620</f>
        <v>3</v>
      </c>
      <c r="I2620" s="2" t="n">
        <f aca="false">IF(AND(ISNUMBER(B2620),B2620&lt;=25),2,0)+IF(AND(ISNUMBER(E2620),E2620&lt;=5),2,0)+IF(AND(ISNUMBER(F2620),F2620&lt;=1),2,0)+IF(AND(ISNUMBER(G2620),G2620&lt;=2),1,0)+IF(AND(ISNUMBER(H2620),H2620&lt;=2),1,0)</f>
        <v>1</v>
      </c>
      <c r="J2620" s="2" t="str">
        <f aca="false">IF(I2620&gt;=6,"High",IF(I2620&gt;=3,"Medium","Low"))</f>
        <v>Low</v>
      </c>
    </row>
    <row r="2621" customFormat="false" ht="15" hidden="false" customHeight="true" outlineLevel="0" collapsed="false">
      <c r="A2621" s="2" t="n">
        <f aca="false">'Raw Data'!H2621</f>
        <v>2620</v>
      </c>
      <c r="B2621" s="2" t="n">
        <f aca="false">'Raw Data'!A2621</f>
        <v>24</v>
      </c>
      <c r="C2621" s="2" t="str">
        <f aca="false">'Raw Data'!D2621</f>
        <v>Research &amp; Development</v>
      </c>
      <c r="D2621" s="2" t="str">
        <f aca="false">'Raw Data'!K2621</f>
        <v>Manufacturing Director</v>
      </c>
      <c r="E2621" s="2" t="n">
        <f aca="false">'Raw Data'!Q2621</f>
        <v>4</v>
      </c>
      <c r="F2621" s="2" t="n">
        <f aca="false">'Raw Data'!U2621</f>
        <v>2</v>
      </c>
      <c r="G2621" s="2" t="n">
        <f aca="false">'Raw Data'!W2621</f>
        <v>3</v>
      </c>
      <c r="H2621" s="2" t="n">
        <f aca="false">'Raw Data'!V2621</f>
        <v>2</v>
      </c>
      <c r="I2621" s="2" t="n">
        <f aca="false">IF(AND(ISNUMBER(B2621),B2621&lt;=25),2,0)+IF(AND(ISNUMBER(E2621),E2621&lt;=5),2,0)+IF(AND(ISNUMBER(F2621),F2621&lt;=1),2,0)+IF(AND(ISNUMBER(G2621),G2621&lt;=2),1,0)+IF(AND(ISNUMBER(H2621),H2621&lt;=2),1,0)</f>
        <v>5</v>
      </c>
      <c r="J2621" s="2" t="str">
        <f aca="false">IF(I2621&gt;=6,"High",IF(I2621&gt;=3,"Medium","Low"))</f>
        <v>Medium</v>
      </c>
    </row>
    <row r="2622" customFormat="false" ht="15" hidden="false" customHeight="true" outlineLevel="0" collapsed="false">
      <c r="A2622" s="2" t="n">
        <f aca="false">'Raw Data'!H2622</f>
        <v>2621</v>
      </c>
      <c r="B2622" s="2" t="n">
        <f aca="false">'Raw Data'!A2622</f>
        <v>23</v>
      </c>
      <c r="C2622" s="2" t="str">
        <f aca="false">'Raw Data'!D2622</f>
        <v>Research &amp; Development</v>
      </c>
      <c r="D2622" s="2" t="str">
        <f aca="false">'Raw Data'!K2622</f>
        <v>Research Scientist</v>
      </c>
      <c r="E2622" s="2" t="n">
        <f aca="false">'Raw Data'!Q2622</f>
        <v>5</v>
      </c>
      <c r="F2622" s="2" t="n">
        <f aca="false">'Raw Data'!U2622</f>
        <v>4</v>
      </c>
      <c r="G2622" s="2" t="n">
        <f aca="false">'Raw Data'!W2622</f>
        <v>4</v>
      </c>
      <c r="H2622" s="2" t="n">
        <f aca="false">'Raw Data'!V2622</f>
        <v>4</v>
      </c>
      <c r="I2622" s="2" t="n">
        <f aca="false">IF(AND(ISNUMBER(B2622),B2622&lt;=25),2,0)+IF(AND(ISNUMBER(E2622),E2622&lt;=5),2,0)+IF(AND(ISNUMBER(F2622),F2622&lt;=1),2,0)+IF(AND(ISNUMBER(G2622),G2622&lt;=2),1,0)+IF(AND(ISNUMBER(H2622),H2622&lt;=2),1,0)</f>
        <v>4</v>
      </c>
      <c r="J2622" s="2" t="str">
        <f aca="false">IF(I2622&gt;=6,"High",IF(I2622&gt;=3,"Medium","Low"))</f>
        <v>Medium</v>
      </c>
    </row>
    <row r="2623" customFormat="false" ht="15" hidden="false" customHeight="true" outlineLevel="0" collapsed="false">
      <c r="A2623" s="2" t="n">
        <f aca="false">'Raw Data'!H2623</f>
        <v>2622</v>
      </c>
      <c r="B2623" s="2" t="n">
        <f aca="false">'Raw Data'!A2623</f>
        <v>40</v>
      </c>
      <c r="C2623" s="2" t="str">
        <f aca="false">'Raw Data'!D2623</f>
        <v>Research &amp; Development</v>
      </c>
      <c r="D2623" s="2" t="str">
        <f aca="false">'Raw Data'!K2623</f>
        <v>Research Scientist</v>
      </c>
      <c r="E2623" s="2" t="n">
        <f aca="false">'Raw Data'!Q2623</f>
        <v>10</v>
      </c>
      <c r="F2623" s="2" t="n">
        <f aca="false">'Raw Data'!U2623</f>
        <v>4</v>
      </c>
      <c r="G2623" s="2" t="n">
        <f aca="false">'Raw Data'!W2623</f>
        <v>3</v>
      </c>
      <c r="H2623" s="2" t="n">
        <f aca="false">'Raw Data'!V2623</f>
        <v>4</v>
      </c>
      <c r="I2623" s="2" t="n">
        <f aca="false">IF(AND(ISNUMBER(B2623),B2623&lt;=25),2,0)+IF(AND(ISNUMBER(E2623),E2623&lt;=5),2,0)+IF(AND(ISNUMBER(F2623),F2623&lt;=1),2,0)+IF(AND(ISNUMBER(G2623),G2623&lt;=2),1,0)+IF(AND(ISNUMBER(H2623),H2623&lt;=2),1,0)</f>
        <v>0</v>
      </c>
      <c r="J2623" s="2" t="str">
        <f aca="false">IF(I2623&gt;=6,"High",IF(I2623&gt;=3,"Medium","Low"))</f>
        <v>Low</v>
      </c>
    </row>
    <row r="2624" customFormat="false" ht="15" hidden="false" customHeight="true" outlineLevel="0" collapsed="false">
      <c r="A2624" s="2" t="n">
        <f aca="false">'Raw Data'!H2624</f>
        <v>2623</v>
      </c>
      <c r="B2624" s="2" t="n">
        <f aca="false">'Raw Data'!A2624</f>
        <v>40</v>
      </c>
      <c r="C2624" s="2" t="str">
        <f aca="false">'Raw Data'!D2624</f>
        <v>Research &amp; Development</v>
      </c>
      <c r="D2624" s="2" t="str">
        <f aca="false">'Raw Data'!K2624</f>
        <v>Research Scientist</v>
      </c>
      <c r="E2624" s="2" t="n">
        <f aca="false">'Raw Data'!Q2624</f>
        <v>15</v>
      </c>
      <c r="F2624" s="2" t="n">
        <f aca="false">'Raw Data'!U2624</f>
        <v>10</v>
      </c>
      <c r="G2624" s="2" t="n">
        <f aca="false">'Raw Data'!W2624</f>
        <v>2</v>
      </c>
      <c r="H2624" s="2" t="n">
        <f aca="false">'Raw Data'!V2624</f>
        <v>2</v>
      </c>
      <c r="I2624" s="2" t="n">
        <f aca="false">IF(AND(ISNUMBER(B2624),B2624&lt;=25),2,0)+IF(AND(ISNUMBER(E2624),E2624&lt;=5),2,0)+IF(AND(ISNUMBER(F2624),F2624&lt;=1),2,0)+IF(AND(ISNUMBER(G2624),G2624&lt;=2),1,0)+IF(AND(ISNUMBER(H2624),H2624&lt;=2),1,0)</f>
        <v>2</v>
      </c>
      <c r="J2624" s="2" t="str">
        <f aca="false">IF(I2624&gt;=6,"High",IF(I2624&gt;=3,"Medium","Low"))</f>
        <v>Low</v>
      </c>
    </row>
    <row r="2625" customFormat="false" ht="15" hidden="false" customHeight="true" outlineLevel="0" collapsed="false">
      <c r="A2625" s="2" t="n">
        <f aca="false">'Raw Data'!H2625</f>
        <v>2624</v>
      </c>
      <c r="B2625" s="2" t="n">
        <f aca="false">'Raw Data'!A2625</f>
        <v>25</v>
      </c>
      <c r="C2625" s="2" t="str">
        <f aca="false">'Raw Data'!D2625</f>
        <v>Sales</v>
      </c>
      <c r="D2625" s="2" t="str">
        <f aca="false">'Raw Data'!K2625</f>
        <v>Laboratory Technician</v>
      </c>
      <c r="E2625" s="2" t="n">
        <f aca="false">'Raw Data'!Q2625</f>
        <v>6</v>
      </c>
      <c r="F2625" s="2" t="n">
        <f aca="false">'Raw Data'!U2625</f>
        <v>2</v>
      </c>
      <c r="G2625" s="2" t="n">
        <f aca="false">'Raw Data'!W2625</f>
        <v>2</v>
      </c>
      <c r="H2625" s="2" t="n">
        <f aca="false">'Raw Data'!V2625</f>
        <v>3</v>
      </c>
      <c r="I2625" s="2" t="n">
        <f aca="false">IF(AND(ISNUMBER(B2625),B2625&lt;=25),2,0)+IF(AND(ISNUMBER(E2625),E2625&lt;=5),2,0)+IF(AND(ISNUMBER(F2625),F2625&lt;=1),2,0)+IF(AND(ISNUMBER(G2625),G2625&lt;=2),1,0)+IF(AND(ISNUMBER(H2625),H2625&lt;=2),1,0)</f>
        <v>3</v>
      </c>
      <c r="J2625" s="2" t="str">
        <f aca="false">IF(I2625&gt;=6,"High",IF(I2625&gt;=3,"Medium","Low"))</f>
        <v>Medium</v>
      </c>
    </row>
    <row r="2626" customFormat="false" ht="15" hidden="false" customHeight="true" outlineLevel="0" collapsed="false">
      <c r="A2626" s="2" t="n">
        <f aca="false">'Raw Data'!H2626</f>
        <v>2625</v>
      </c>
      <c r="B2626" s="2" t="n">
        <f aca="false">'Raw Data'!A2626</f>
        <v>30</v>
      </c>
      <c r="C2626" s="2" t="str">
        <f aca="false">'Raw Data'!D2626</f>
        <v>Human Resources</v>
      </c>
      <c r="D2626" s="2" t="str">
        <f aca="false">'Raw Data'!K2626</f>
        <v>Research Scientist</v>
      </c>
      <c r="E2626" s="2" t="n">
        <f aca="false">'Raw Data'!Q2626</f>
        <v>12</v>
      </c>
      <c r="F2626" s="2" t="n">
        <f aca="false">'Raw Data'!U2626</f>
        <v>7</v>
      </c>
      <c r="G2626" s="2" t="n">
        <f aca="false">'Raw Data'!W2626</f>
        <v>2</v>
      </c>
      <c r="H2626" s="2" t="n">
        <f aca="false">'Raw Data'!V2626</f>
        <v>4</v>
      </c>
      <c r="I2626" s="2" t="n">
        <f aca="false">IF(AND(ISNUMBER(B2626),B2626&lt;=25),2,0)+IF(AND(ISNUMBER(E2626),E2626&lt;=5),2,0)+IF(AND(ISNUMBER(F2626),F2626&lt;=1),2,0)+IF(AND(ISNUMBER(G2626),G2626&lt;=2),1,0)+IF(AND(ISNUMBER(H2626),H2626&lt;=2),1,0)</f>
        <v>1</v>
      </c>
      <c r="J2626" s="2" t="str">
        <f aca="false">IF(I2626&gt;=6,"High",IF(I2626&gt;=3,"Medium","Low"))</f>
        <v>Low</v>
      </c>
    </row>
    <row r="2627" customFormat="false" ht="15" hidden="false" customHeight="true" outlineLevel="0" collapsed="false">
      <c r="A2627" s="2" t="n">
        <f aca="false">'Raw Data'!H2627</f>
        <v>2626</v>
      </c>
      <c r="B2627" s="2" t="n">
        <f aca="false">'Raw Data'!A2627</f>
        <v>25</v>
      </c>
      <c r="C2627" s="2" t="str">
        <f aca="false">'Raw Data'!D2627</f>
        <v>Research &amp; Development</v>
      </c>
      <c r="D2627" s="2" t="str">
        <f aca="false">'Raw Data'!K2627</f>
        <v>Sales Executive</v>
      </c>
      <c r="E2627" s="2" t="n">
        <f aca="false">'Raw Data'!Q2627</f>
        <v>7</v>
      </c>
      <c r="F2627" s="2" t="n">
        <f aca="false">'Raw Data'!U2627</f>
        <v>2</v>
      </c>
      <c r="G2627" s="2" t="n">
        <f aca="false">'Raw Data'!W2627</f>
        <v>3</v>
      </c>
      <c r="H2627" s="2" t="n">
        <f aca="false">'Raw Data'!V2627</f>
        <v>4</v>
      </c>
      <c r="I2627" s="2" t="n">
        <f aca="false">IF(AND(ISNUMBER(B2627),B2627&lt;=25),2,0)+IF(AND(ISNUMBER(E2627),E2627&lt;=5),2,0)+IF(AND(ISNUMBER(F2627),F2627&lt;=1),2,0)+IF(AND(ISNUMBER(G2627),G2627&lt;=2),1,0)+IF(AND(ISNUMBER(H2627),H2627&lt;=2),1,0)</f>
        <v>2</v>
      </c>
      <c r="J2627" s="2" t="str">
        <f aca="false">IF(I2627&gt;=6,"High",IF(I2627&gt;=3,"Medium","Low"))</f>
        <v>Low</v>
      </c>
    </row>
    <row r="2628" customFormat="false" ht="15" hidden="false" customHeight="true" outlineLevel="0" collapsed="false">
      <c r="A2628" s="2" t="n">
        <f aca="false">'Raw Data'!H2628</f>
        <v>2627</v>
      </c>
      <c r="B2628" s="2" t="n">
        <f aca="false">'Raw Data'!A2628</f>
        <v>47</v>
      </c>
      <c r="C2628" s="2" t="str">
        <f aca="false">'Raw Data'!D2628</f>
        <v>Research &amp; Development</v>
      </c>
      <c r="D2628" s="2" t="str">
        <f aca="false">'Raw Data'!K2628</f>
        <v>Sales Executive</v>
      </c>
      <c r="E2628" s="2" t="n">
        <f aca="false">'Raw Data'!Q2628</f>
        <v>25</v>
      </c>
      <c r="F2628" s="2" t="n">
        <f aca="false">'Raw Data'!U2628</f>
        <v>11</v>
      </c>
      <c r="G2628" s="2" t="n">
        <f aca="false">'Raw Data'!W2628</f>
        <v>3</v>
      </c>
      <c r="H2628" s="2" t="n">
        <f aca="false">'Raw Data'!V2628</f>
        <v>1</v>
      </c>
      <c r="I2628" s="2" t="n">
        <f aca="false">IF(AND(ISNUMBER(B2628),B2628&lt;=25),2,0)+IF(AND(ISNUMBER(E2628),E2628&lt;=5),2,0)+IF(AND(ISNUMBER(F2628),F2628&lt;=1),2,0)+IF(AND(ISNUMBER(G2628),G2628&lt;=2),1,0)+IF(AND(ISNUMBER(H2628),H2628&lt;=2),1,0)</f>
        <v>1</v>
      </c>
      <c r="J2628" s="2" t="str">
        <f aca="false">IF(I2628&gt;=6,"High",IF(I2628&gt;=3,"Medium","Low"))</f>
        <v>Low</v>
      </c>
    </row>
    <row r="2629" customFormat="false" ht="15" hidden="false" customHeight="true" outlineLevel="0" collapsed="false">
      <c r="A2629" s="2" t="n">
        <f aca="false">'Raw Data'!H2629</f>
        <v>2628</v>
      </c>
      <c r="B2629" s="2" t="n">
        <f aca="false">'Raw Data'!A2629</f>
        <v>33</v>
      </c>
      <c r="C2629" s="2" t="str">
        <f aca="false">'Raw Data'!D2629</f>
        <v>Research &amp; Development</v>
      </c>
      <c r="D2629" s="2" t="str">
        <f aca="false">'Raw Data'!K2629</f>
        <v>Research Scientist</v>
      </c>
      <c r="E2629" s="2" t="n">
        <f aca="false">'Raw Data'!Q2629</f>
        <v>1</v>
      </c>
      <c r="F2629" s="2" t="n">
        <f aca="false">'Raw Data'!U2629</f>
        <v>0</v>
      </c>
      <c r="G2629" s="2" t="n">
        <f aca="false">'Raw Data'!W2629</f>
        <v>3</v>
      </c>
      <c r="H2629" s="2" t="n">
        <f aca="false">'Raw Data'!V2629</f>
        <v>2</v>
      </c>
      <c r="I2629" s="2" t="n">
        <f aca="false">IF(AND(ISNUMBER(B2629),B2629&lt;=25),2,0)+IF(AND(ISNUMBER(E2629),E2629&lt;=5),2,0)+IF(AND(ISNUMBER(F2629),F2629&lt;=1),2,0)+IF(AND(ISNUMBER(G2629),G2629&lt;=2),1,0)+IF(AND(ISNUMBER(H2629),H2629&lt;=2),1,0)</f>
        <v>5</v>
      </c>
      <c r="J2629" s="2" t="str">
        <f aca="false">IF(I2629&gt;=6,"High",IF(I2629&gt;=3,"Medium","Low"))</f>
        <v>Medium</v>
      </c>
    </row>
    <row r="2630" customFormat="false" ht="15" hidden="false" customHeight="true" outlineLevel="0" collapsed="false">
      <c r="A2630" s="2" t="n">
        <f aca="false">'Raw Data'!H2630</f>
        <v>2629</v>
      </c>
      <c r="B2630" s="2" t="n">
        <f aca="false">'Raw Data'!A2630</f>
        <v>38</v>
      </c>
      <c r="C2630" s="2" t="str">
        <f aca="false">'Raw Data'!D2630</f>
        <v>Research &amp; Development</v>
      </c>
      <c r="D2630" s="2" t="str">
        <f aca="false">'Raw Data'!K2630</f>
        <v>Sales Executive</v>
      </c>
      <c r="E2630" s="2" t="n">
        <f aca="false">'Raw Data'!Q2630</f>
        <v>16</v>
      </c>
      <c r="F2630" s="2" t="n">
        <f aca="false">'Raw Data'!U2630</f>
        <v>8</v>
      </c>
      <c r="G2630" s="2" t="n">
        <f aca="false">'Raw Data'!W2630</f>
        <v>2</v>
      </c>
      <c r="H2630" s="2" t="n">
        <f aca="false">'Raw Data'!V2630</f>
        <v>4</v>
      </c>
      <c r="I2630" s="2" t="n">
        <f aca="false">IF(AND(ISNUMBER(B2630),B2630&lt;=25),2,0)+IF(AND(ISNUMBER(E2630),E2630&lt;=5),2,0)+IF(AND(ISNUMBER(F2630),F2630&lt;=1),2,0)+IF(AND(ISNUMBER(G2630),G2630&lt;=2),1,0)+IF(AND(ISNUMBER(H2630),H2630&lt;=2),1,0)</f>
        <v>1</v>
      </c>
      <c r="J2630" s="2" t="str">
        <f aca="false">IF(I2630&gt;=6,"High",IF(I2630&gt;=3,"Medium","Low"))</f>
        <v>Low</v>
      </c>
    </row>
    <row r="2631" customFormat="false" ht="15" hidden="false" customHeight="true" outlineLevel="0" collapsed="false">
      <c r="A2631" s="2" t="n">
        <f aca="false">'Raw Data'!H2631</f>
        <v>2630</v>
      </c>
      <c r="B2631" s="2" t="n">
        <f aca="false">'Raw Data'!A2631</f>
        <v>31</v>
      </c>
      <c r="C2631" s="2" t="str">
        <f aca="false">'Raw Data'!D2631</f>
        <v>Research &amp; Development</v>
      </c>
      <c r="D2631" s="2" t="str">
        <f aca="false">'Raw Data'!K2631</f>
        <v>Sales Executive</v>
      </c>
      <c r="E2631" s="2" t="n">
        <f aca="false">'Raw Data'!Q2631</f>
        <v>3</v>
      </c>
      <c r="F2631" s="2" t="n">
        <f aca="false">'Raw Data'!U2631</f>
        <v>2</v>
      </c>
      <c r="G2631" s="2" t="n">
        <f aca="false">'Raw Data'!W2631</f>
        <v>3</v>
      </c>
      <c r="H2631" s="2" t="n">
        <f aca="false">'Raw Data'!V2631</f>
        <v>1</v>
      </c>
      <c r="I2631" s="2" t="n">
        <f aca="false">IF(AND(ISNUMBER(B2631),B2631&lt;=25),2,0)+IF(AND(ISNUMBER(E2631),E2631&lt;=5),2,0)+IF(AND(ISNUMBER(F2631),F2631&lt;=1),2,0)+IF(AND(ISNUMBER(G2631),G2631&lt;=2),1,0)+IF(AND(ISNUMBER(H2631),H2631&lt;=2),1,0)</f>
        <v>3</v>
      </c>
      <c r="J2631" s="2" t="str">
        <f aca="false">IF(I2631&gt;=6,"High",IF(I2631&gt;=3,"Medium","Low"))</f>
        <v>Medium</v>
      </c>
    </row>
    <row r="2632" customFormat="false" ht="15" hidden="false" customHeight="true" outlineLevel="0" collapsed="false">
      <c r="A2632" s="2" t="n">
        <f aca="false">'Raw Data'!H2632</f>
        <v>2631</v>
      </c>
      <c r="B2632" s="2" t="n">
        <f aca="false">'Raw Data'!A2632</f>
        <v>38</v>
      </c>
      <c r="C2632" s="2" t="str">
        <f aca="false">'Raw Data'!D2632</f>
        <v>Research &amp; Development</v>
      </c>
      <c r="D2632" s="2" t="str">
        <f aca="false">'Raw Data'!K2632</f>
        <v>Research Scientist</v>
      </c>
      <c r="E2632" s="2" t="n">
        <f aca="false">'Raw Data'!Q2632</f>
        <v>10</v>
      </c>
      <c r="F2632" s="2" t="n">
        <f aca="false">'Raw Data'!U2632</f>
        <v>7</v>
      </c>
      <c r="G2632" s="2" t="n">
        <f aca="false">'Raw Data'!W2632</f>
        <v>3</v>
      </c>
      <c r="H2632" s="2" t="n">
        <f aca="false">'Raw Data'!V2632</f>
        <v>1</v>
      </c>
      <c r="I2632" s="2" t="n">
        <f aca="false">IF(AND(ISNUMBER(B2632),B2632&lt;=25),2,0)+IF(AND(ISNUMBER(E2632),E2632&lt;=5),2,0)+IF(AND(ISNUMBER(F2632),F2632&lt;=1),2,0)+IF(AND(ISNUMBER(G2632),G2632&lt;=2),1,0)+IF(AND(ISNUMBER(H2632),H2632&lt;=2),1,0)</f>
        <v>1</v>
      </c>
      <c r="J2632" s="2" t="str">
        <f aca="false">IF(I2632&gt;=6,"High",IF(I2632&gt;=3,"Medium","Low"))</f>
        <v>Low</v>
      </c>
    </row>
    <row r="2633" customFormat="false" ht="15" hidden="false" customHeight="true" outlineLevel="0" collapsed="false">
      <c r="A2633" s="2" t="n">
        <f aca="false">'Raw Data'!H2633</f>
        <v>2632</v>
      </c>
      <c r="B2633" s="2" t="n">
        <f aca="false">'Raw Data'!A2633</f>
        <v>42</v>
      </c>
      <c r="C2633" s="2" t="str">
        <f aca="false">'Raw Data'!D2633</f>
        <v>Research &amp; Development</v>
      </c>
      <c r="D2633" s="2" t="str">
        <f aca="false">'Raw Data'!K2633</f>
        <v>Laboratory Technician</v>
      </c>
      <c r="E2633" s="2" t="n">
        <f aca="false">'Raw Data'!Q2633</f>
        <v>9</v>
      </c>
      <c r="F2633" s="2" t="n">
        <f aca="false">'Raw Data'!U2633</f>
        <v>2</v>
      </c>
      <c r="G2633" s="2" t="n">
        <f aca="false">'Raw Data'!W2633</f>
        <v>1</v>
      </c>
      <c r="H2633" s="2" t="n">
        <f aca="false">'Raw Data'!V2633</f>
        <v>4</v>
      </c>
      <c r="I2633" s="2" t="n">
        <f aca="false">IF(AND(ISNUMBER(B2633),B2633&lt;=25),2,0)+IF(AND(ISNUMBER(E2633),E2633&lt;=5),2,0)+IF(AND(ISNUMBER(F2633),F2633&lt;=1),2,0)+IF(AND(ISNUMBER(G2633),G2633&lt;=2),1,0)+IF(AND(ISNUMBER(H2633),H2633&lt;=2),1,0)</f>
        <v>1</v>
      </c>
      <c r="J2633" s="2" t="str">
        <f aca="false">IF(I2633&gt;=6,"High",IF(I2633&gt;=3,"Medium","Low"))</f>
        <v>Low</v>
      </c>
    </row>
    <row r="2634" customFormat="false" ht="15" hidden="false" customHeight="true" outlineLevel="0" collapsed="false">
      <c r="A2634" s="2" t="n">
        <f aca="false">'Raw Data'!H2634</f>
        <v>2633</v>
      </c>
      <c r="B2634" s="2" t="n">
        <f aca="false">'Raw Data'!A2634</f>
        <v>41</v>
      </c>
      <c r="C2634" s="2" t="str">
        <f aca="false">'Raw Data'!D2634</f>
        <v>Sales</v>
      </c>
      <c r="D2634" s="2" t="str">
        <f aca="false">'Raw Data'!K2634</f>
        <v>Healthcare Representative</v>
      </c>
      <c r="E2634" s="2" t="n">
        <f aca="false">'Raw Data'!Q2634</f>
        <v>12</v>
      </c>
      <c r="F2634" s="2" t="n">
        <f aca="false">'Raw Data'!U2634</f>
        <v>0</v>
      </c>
      <c r="G2634" s="2" t="n">
        <f aca="false">'Raw Data'!W2634</f>
        <v>4</v>
      </c>
      <c r="H2634" s="2" t="n">
        <f aca="false">'Raw Data'!V2634</f>
        <v>4</v>
      </c>
      <c r="I2634" s="2" t="n">
        <f aca="false">IF(AND(ISNUMBER(B2634),B2634&lt;=25),2,0)+IF(AND(ISNUMBER(E2634),E2634&lt;=5),2,0)+IF(AND(ISNUMBER(F2634),F2634&lt;=1),2,0)+IF(AND(ISNUMBER(G2634),G2634&lt;=2),1,0)+IF(AND(ISNUMBER(H2634),H2634&lt;=2),1,0)</f>
        <v>2</v>
      </c>
      <c r="J2634" s="2" t="str">
        <f aca="false">IF(I2634&gt;=6,"High",IF(I2634&gt;=3,"Medium","Low"))</f>
        <v>Low</v>
      </c>
    </row>
    <row r="2635" customFormat="false" ht="15" hidden="false" customHeight="true" outlineLevel="0" collapsed="false">
      <c r="A2635" s="2" t="n">
        <f aca="false">'Raw Data'!H2635</f>
        <v>2634</v>
      </c>
      <c r="B2635" s="2" t="n">
        <f aca="false">'Raw Data'!A2635</f>
        <v>47</v>
      </c>
      <c r="C2635" s="2" t="str">
        <f aca="false">'Raw Data'!D2635</f>
        <v>Research &amp; Development</v>
      </c>
      <c r="D2635" s="2" t="str">
        <f aca="false">'Raw Data'!K2635</f>
        <v>Sales Executive</v>
      </c>
      <c r="E2635" s="2" t="n">
        <f aca="false">'Raw Data'!Q2635</f>
        <v>14</v>
      </c>
      <c r="F2635" s="2" t="n">
        <f aca="false">'Raw Data'!U2635</f>
        <v>12</v>
      </c>
      <c r="G2635" s="2" t="n">
        <f aca="false">'Raw Data'!W2635</f>
        <v>2</v>
      </c>
      <c r="H2635" s="2" t="n">
        <f aca="false">'Raw Data'!V2635</f>
        <v>3</v>
      </c>
      <c r="I2635" s="2" t="n">
        <f aca="false">IF(AND(ISNUMBER(B2635),B2635&lt;=25),2,0)+IF(AND(ISNUMBER(E2635),E2635&lt;=5),2,0)+IF(AND(ISNUMBER(F2635),F2635&lt;=1),2,0)+IF(AND(ISNUMBER(G2635),G2635&lt;=2),1,0)+IF(AND(ISNUMBER(H2635),H2635&lt;=2),1,0)</f>
        <v>1</v>
      </c>
      <c r="J2635" s="2" t="str">
        <f aca="false">IF(I2635&gt;=6,"High",IF(I2635&gt;=3,"Medium","Low"))</f>
        <v>Low</v>
      </c>
    </row>
    <row r="2636" customFormat="false" ht="15" hidden="false" customHeight="true" outlineLevel="0" collapsed="false">
      <c r="A2636" s="2" t="n">
        <f aca="false">'Raw Data'!H2636</f>
        <v>2635</v>
      </c>
      <c r="B2636" s="2" t="n">
        <f aca="false">'Raw Data'!A2636</f>
        <v>35</v>
      </c>
      <c r="C2636" s="2" t="str">
        <f aca="false">'Raw Data'!D2636</f>
        <v>Research &amp; Development</v>
      </c>
      <c r="D2636" s="2" t="str">
        <f aca="false">'Raw Data'!K2636</f>
        <v>Healthcare Representative</v>
      </c>
      <c r="E2636" s="2" t="n">
        <f aca="false">'Raw Data'!Q2636</f>
        <v>5</v>
      </c>
      <c r="F2636" s="2" t="n">
        <f aca="false">'Raw Data'!U2636</f>
        <v>2</v>
      </c>
      <c r="G2636" s="2" t="n">
        <f aca="false">'Raw Data'!W2636</f>
        <v>3</v>
      </c>
      <c r="H2636" s="2" t="n">
        <f aca="false">'Raw Data'!V2636</f>
        <v>4</v>
      </c>
      <c r="I2636" s="2" t="n">
        <f aca="false">IF(AND(ISNUMBER(B2636),B2636&lt;=25),2,0)+IF(AND(ISNUMBER(E2636),E2636&lt;=5),2,0)+IF(AND(ISNUMBER(F2636),F2636&lt;=1),2,0)+IF(AND(ISNUMBER(G2636),G2636&lt;=2),1,0)+IF(AND(ISNUMBER(H2636),H2636&lt;=2),1,0)</f>
        <v>2</v>
      </c>
      <c r="J2636" s="2" t="str">
        <f aca="false">IF(I2636&gt;=6,"High",IF(I2636&gt;=3,"Medium","Low"))</f>
        <v>Low</v>
      </c>
    </row>
    <row r="2637" customFormat="false" ht="15" hidden="false" customHeight="true" outlineLevel="0" collapsed="false">
      <c r="A2637" s="2" t="n">
        <f aca="false">'Raw Data'!H2637</f>
        <v>2636</v>
      </c>
      <c r="B2637" s="2" t="n">
        <f aca="false">'Raw Data'!A2637</f>
        <v>22</v>
      </c>
      <c r="C2637" s="2" t="str">
        <f aca="false">'Raw Data'!D2637</f>
        <v>Human Resources</v>
      </c>
      <c r="D2637" s="2" t="str">
        <f aca="false">'Raw Data'!K2637</f>
        <v>Sales Executive</v>
      </c>
      <c r="E2637" s="2" t="n">
        <f aca="false">'Raw Data'!Q2637</f>
        <v>4</v>
      </c>
      <c r="F2637" s="2" t="n">
        <f aca="false">'Raw Data'!U2637</f>
        <v>2</v>
      </c>
      <c r="G2637" s="2" t="n">
        <f aca="false">'Raw Data'!W2637</f>
        <v>3</v>
      </c>
      <c r="H2637" s="2" t="n">
        <f aca="false">'Raw Data'!V2637</f>
        <v>4</v>
      </c>
      <c r="I2637" s="2" t="n">
        <f aca="false">IF(AND(ISNUMBER(B2637),B2637&lt;=25),2,0)+IF(AND(ISNUMBER(E2637),E2637&lt;=5),2,0)+IF(AND(ISNUMBER(F2637),F2637&lt;=1),2,0)+IF(AND(ISNUMBER(G2637),G2637&lt;=2),1,0)+IF(AND(ISNUMBER(H2637),H2637&lt;=2),1,0)</f>
        <v>4</v>
      </c>
      <c r="J2637" s="2" t="str">
        <f aca="false">IF(I2637&gt;=6,"High",IF(I2637&gt;=3,"Medium","Low"))</f>
        <v>Medium</v>
      </c>
    </row>
    <row r="2638" customFormat="false" ht="15" hidden="false" customHeight="true" outlineLevel="0" collapsed="false">
      <c r="A2638" s="2" t="n">
        <f aca="false">'Raw Data'!H2638</f>
        <v>2637</v>
      </c>
      <c r="B2638" s="2" t="n">
        <f aca="false">'Raw Data'!A2638</f>
        <v>35</v>
      </c>
      <c r="C2638" s="2" t="str">
        <f aca="false">'Raw Data'!D2638</f>
        <v>Research &amp; Development</v>
      </c>
      <c r="D2638" s="2" t="str">
        <f aca="false">'Raw Data'!K2638</f>
        <v>Sales Executive</v>
      </c>
      <c r="E2638" s="2" t="n">
        <f aca="false">'Raw Data'!Q2638</f>
        <v>10</v>
      </c>
      <c r="F2638" s="2" t="n">
        <f aca="false">'Raw Data'!U2638</f>
        <v>8</v>
      </c>
      <c r="G2638" s="2" t="n">
        <f aca="false">'Raw Data'!W2638</f>
        <v>3</v>
      </c>
      <c r="H2638" s="2" t="n">
        <f aca="false">'Raw Data'!V2638</f>
        <v>2</v>
      </c>
      <c r="I2638" s="2" t="n">
        <f aca="false">IF(AND(ISNUMBER(B2638),B2638&lt;=25),2,0)+IF(AND(ISNUMBER(E2638),E2638&lt;=5),2,0)+IF(AND(ISNUMBER(F2638),F2638&lt;=1),2,0)+IF(AND(ISNUMBER(G2638),G2638&lt;=2),1,0)+IF(AND(ISNUMBER(H2638),H2638&lt;=2),1,0)</f>
        <v>1</v>
      </c>
      <c r="J2638" s="2" t="str">
        <f aca="false">IF(I2638&gt;=6,"High",IF(I2638&gt;=3,"Medium","Low"))</f>
        <v>Low</v>
      </c>
    </row>
    <row r="2639" customFormat="false" ht="15" hidden="false" customHeight="true" outlineLevel="0" collapsed="false">
      <c r="A2639" s="2" t="n">
        <f aca="false">'Raw Data'!H2639</f>
        <v>2638</v>
      </c>
      <c r="B2639" s="2" t="n">
        <f aca="false">'Raw Data'!A2639</f>
        <v>33</v>
      </c>
      <c r="C2639" s="2" t="str">
        <f aca="false">'Raw Data'!D2639</f>
        <v>Sales</v>
      </c>
      <c r="D2639" s="2" t="str">
        <f aca="false">'Raw Data'!K2639</f>
        <v>Healthcare Representative</v>
      </c>
      <c r="E2639" s="2" t="n">
        <f aca="false">'Raw Data'!Q2639</f>
        <v>10</v>
      </c>
      <c r="F2639" s="2" t="n">
        <f aca="false">'Raw Data'!U2639</f>
        <v>1</v>
      </c>
      <c r="G2639" s="2" t="n">
        <f aca="false">'Raw Data'!W2639</f>
        <v>4</v>
      </c>
      <c r="H2639" s="2" t="n">
        <f aca="false">'Raw Data'!V2639</f>
        <v>2</v>
      </c>
      <c r="I2639" s="2" t="n">
        <f aca="false">IF(AND(ISNUMBER(B2639),B2639&lt;=25),2,0)+IF(AND(ISNUMBER(E2639),E2639&lt;=5),2,0)+IF(AND(ISNUMBER(F2639),F2639&lt;=1),2,0)+IF(AND(ISNUMBER(G2639),G2639&lt;=2),1,0)+IF(AND(ISNUMBER(H2639),H2639&lt;=2),1,0)</f>
        <v>3</v>
      </c>
      <c r="J2639" s="2" t="str">
        <f aca="false">IF(I2639&gt;=6,"High",IF(I2639&gt;=3,"Medium","Low"))</f>
        <v>Medium</v>
      </c>
    </row>
    <row r="2640" customFormat="false" ht="15" hidden="false" customHeight="true" outlineLevel="0" collapsed="false">
      <c r="A2640" s="2" t="n">
        <f aca="false">'Raw Data'!H2640</f>
        <v>2639</v>
      </c>
      <c r="B2640" s="2" t="n">
        <f aca="false">'Raw Data'!A2640</f>
        <v>32</v>
      </c>
      <c r="C2640" s="2" t="str">
        <f aca="false">'Raw Data'!D2640</f>
        <v>Research &amp; Development</v>
      </c>
      <c r="D2640" s="2" t="str">
        <f aca="false">'Raw Data'!K2640</f>
        <v>Manufacturing Director</v>
      </c>
      <c r="E2640" s="2" t="n">
        <f aca="false">'Raw Data'!Q2640</f>
        <v>6</v>
      </c>
      <c r="F2640" s="2" t="n">
        <f aca="false">'Raw Data'!U2640</f>
        <v>1</v>
      </c>
      <c r="G2640" s="2" t="n">
        <f aca="false">'Raw Data'!W2640</f>
        <v>2</v>
      </c>
      <c r="H2640" s="2" t="n">
        <f aca="false">'Raw Data'!V2640</f>
        <v>3</v>
      </c>
      <c r="I2640" s="2" t="n">
        <f aca="false">IF(AND(ISNUMBER(B2640),B2640&lt;=25),2,0)+IF(AND(ISNUMBER(E2640),E2640&lt;=5),2,0)+IF(AND(ISNUMBER(F2640),F2640&lt;=1),2,0)+IF(AND(ISNUMBER(G2640),G2640&lt;=2),1,0)+IF(AND(ISNUMBER(H2640),H2640&lt;=2),1,0)</f>
        <v>3</v>
      </c>
      <c r="J2640" s="2" t="str">
        <f aca="false">IF(I2640&gt;=6,"High",IF(I2640&gt;=3,"Medium","Low"))</f>
        <v>Medium</v>
      </c>
    </row>
    <row r="2641" customFormat="false" ht="15" hidden="false" customHeight="true" outlineLevel="0" collapsed="false">
      <c r="A2641" s="2" t="n">
        <f aca="false">'Raw Data'!H2641</f>
        <v>2640</v>
      </c>
      <c r="B2641" s="2" t="n">
        <f aca="false">'Raw Data'!A2641</f>
        <v>40</v>
      </c>
      <c r="C2641" s="2" t="str">
        <f aca="false">'Raw Data'!D2641</f>
        <v>Research &amp; Development</v>
      </c>
      <c r="D2641" s="2" t="str">
        <f aca="false">'Raw Data'!K2641</f>
        <v>Research Director</v>
      </c>
      <c r="E2641" s="2" t="n">
        <f aca="false">'Raw Data'!Q2641</f>
        <v>8</v>
      </c>
      <c r="F2641" s="2" t="n">
        <f aca="false">'Raw Data'!U2641</f>
        <v>0</v>
      </c>
      <c r="G2641" s="2" t="n">
        <f aca="false">'Raw Data'!W2641</f>
        <v>4</v>
      </c>
      <c r="H2641" s="2" t="n">
        <f aca="false">'Raw Data'!V2641</f>
        <v>1</v>
      </c>
      <c r="I2641" s="2" t="n">
        <f aca="false">IF(AND(ISNUMBER(B2641),B2641&lt;=25),2,0)+IF(AND(ISNUMBER(E2641),E2641&lt;=5),2,0)+IF(AND(ISNUMBER(F2641),F2641&lt;=1),2,0)+IF(AND(ISNUMBER(G2641),G2641&lt;=2),1,0)+IF(AND(ISNUMBER(H2641),H2641&lt;=2),1,0)</f>
        <v>3</v>
      </c>
      <c r="J2641" s="2" t="str">
        <f aca="false">IF(I2641&gt;=6,"High",IF(I2641&gt;=3,"Medium","Low"))</f>
        <v>Medium</v>
      </c>
    </row>
    <row r="2642" customFormat="false" ht="15" hidden="false" customHeight="true" outlineLevel="0" collapsed="false">
      <c r="A2642" s="2" t="n">
        <f aca="false">'Raw Data'!H2642</f>
        <v>2641</v>
      </c>
      <c r="B2642" s="2" t="n">
        <f aca="false">'Raw Data'!A2642</f>
        <v>32</v>
      </c>
      <c r="C2642" s="2" t="str">
        <f aca="false">'Raw Data'!D2642</f>
        <v>Research &amp; Development</v>
      </c>
      <c r="D2642" s="2" t="str">
        <f aca="false">'Raw Data'!K2642</f>
        <v>Sales Executive</v>
      </c>
      <c r="E2642" s="2" t="n">
        <f aca="false">'Raw Data'!Q2642</f>
        <v>3</v>
      </c>
      <c r="F2642" s="2" t="n">
        <f aca="false">'Raw Data'!U2642</f>
        <v>2</v>
      </c>
      <c r="G2642" s="2" t="n">
        <f aca="false">'Raw Data'!W2642</f>
        <v>2</v>
      </c>
      <c r="H2642" s="2" t="n">
        <f aca="false">'Raw Data'!V2642</f>
        <v>2</v>
      </c>
      <c r="I2642" s="2" t="n">
        <f aca="false">IF(AND(ISNUMBER(B2642),B2642&lt;=25),2,0)+IF(AND(ISNUMBER(E2642),E2642&lt;=5),2,0)+IF(AND(ISNUMBER(F2642),F2642&lt;=1),2,0)+IF(AND(ISNUMBER(G2642),G2642&lt;=2),1,0)+IF(AND(ISNUMBER(H2642),H2642&lt;=2),1,0)</f>
        <v>4</v>
      </c>
      <c r="J2642" s="2" t="str">
        <f aca="false">IF(I2642&gt;=6,"High",IF(I2642&gt;=3,"Medium","Low"))</f>
        <v>Medium</v>
      </c>
    </row>
    <row r="2643" customFormat="false" ht="15" hidden="false" customHeight="true" outlineLevel="0" collapsed="false">
      <c r="A2643" s="2" t="n">
        <f aca="false">'Raw Data'!H2643</f>
        <v>2642</v>
      </c>
      <c r="B2643" s="2" t="n">
        <f aca="false">'Raw Data'!A2643</f>
        <v>39</v>
      </c>
      <c r="C2643" s="2" t="str">
        <f aca="false">'Raw Data'!D2643</f>
        <v>Research &amp; Development</v>
      </c>
      <c r="D2643" s="2" t="str">
        <f aca="false">'Raw Data'!K2643</f>
        <v>Sales Executive</v>
      </c>
      <c r="E2643" s="2" t="n">
        <f aca="false">'Raw Data'!Q2643</f>
        <v>18</v>
      </c>
      <c r="F2643" s="2" t="n">
        <f aca="false">'Raw Data'!U2643</f>
        <v>7</v>
      </c>
      <c r="G2643" s="2" t="n">
        <f aca="false">'Raw Data'!W2643</f>
        <v>4</v>
      </c>
      <c r="H2643" s="2" t="n">
        <f aca="false">'Raw Data'!V2643</f>
        <v>1</v>
      </c>
      <c r="I2643" s="2" t="n">
        <f aca="false">IF(AND(ISNUMBER(B2643),B2643&lt;=25),2,0)+IF(AND(ISNUMBER(E2643),E2643&lt;=5),2,0)+IF(AND(ISNUMBER(F2643),F2643&lt;=1),2,0)+IF(AND(ISNUMBER(G2643),G2643&lt;=2),1,0)+IF(AND(ISNUMBER(H2643),H2643&lt;=2),1,0)</f>
        <v>1</v>
      </c>
      <c r="J2643" s="2" t="str">
        <f aca="false">IF(I2643&gt;=6,"High",IF(I2643&gt;=3,"Medium","Low"))</f>
        <v>Low</v>
      </c>
    </row>
    <row r="2644" customFormat="false" ht="15" hidden="false" customHeight="true" outlineLevel="0" collapsed="false">
      <c r="A2644" s="2" t="n">
        <f aca="false">'Raw Data'!H2644</f>
        <v>2643</v>
      </c>
      <c r="B2644" s="2" t="n">
        <f aca="false">'Raw Data'!A2644</f>
        <v>38</v>
      </c>
      <c r="C2644" s="2" t="str">
        <f aca="false">'Raw Data'!D2644</f>
        <v>Sales</v>
      </c>
      <c r="D2644" s="2" t="str">
        <f aca="false">'Raw Data'!K2644</f>
        <v>Research Director</v>
      </c>
      <c r="E2644" s="2" t="n">
        <f aca="false">'Raw Data'!Q2644</f>
        <v>20</v>
      </c>
      <c r="F2644" s="2" t="n">
        <f aca="false">'Raw Data'!U2644</f>
        <v>11</v>
      </c>
      <c r="G2644" s="2" t="n">
        <f aca="false">'Raw Data'!W2644</f>
        <v>3</v>
      </c>
      <c r="H2644" s="2" t="n">
        <f aca="false">'Raw Data'!V2644</f>
        <v>2</v>
      </c>
      <c r="I2644" s="2" t="n">
        <f aca="false">IF(AND(ISNUMBER(B2644),B2644&lt;=25),2,0)+IF(AND(ISNUMBER(E2644),E2644&lt;=5),2,0)+IF(AND(ISNUMBER(F2644),F2644&lt;=1),2,0)+IF(AND(ISNUMBER(G2644),G2644&lt;=2),1,0)+IF(AND(ISNUMBER(H2644),H2644&lt;=2),1,0)</f>
        <v>1</v>
      </c>
      <c r="J2644" s="2" t="str">
        <f aca="false">IF(I2644&gt;=6,"High",IF(I2644&gt;=3,"Medium","Low"))</f>
        <v>Low</v>
      </c>
    </row>
    <row r="2645" customFormat="false" ht="15" hidden="false" customHeight="true" outlineLevel="0" collapsed="false">
      <c r="A2645" s="2" t="n">
        <f aca="false">'Raw Data'!H2645</f>
        <v>2644</v>
      </c>
      <c r="B2645" s="2" t="n">
        <f aca="false">'Raw Data'!A2645</f>
        <v>32</v>
      </c>
      <c r="C2645" s="2" t="str">
        <f aca="false">'Raw Data'!D2645</f>
        <v>Research &amp; Development</v>
      </c>
      <c r="D2645" s="2" t="str">
        <f aca="false">'Raw Data'!K2645</f>
        <v>Manager</v>
      </c>
      <c r="E2645" s="2" t="n">
        <f aca="false">'Raw Data'!Q2645</f>
        <v>14</v>
      </c>
      <c r="F2645" s="2" t="n">
        <f aca="false">'Raw Data'!U2645</f>
        <v>7</v>
      </c>
      <c r="G2645" s="2" t="n">
        <f aca="false">'Raw Data'!W2645</f>
        <v>4</v>
      </c>
      <c r="H2645" s="2" t="n">
        <f aca="false">'Raw Data'!V2645</f>
        <v>3</v>
      </c>
      <c r="I2645" s="2" t="n">
        <f aca="false">IF(AND(ISNUMBER(B2645),B2645&lt;=25),2,0)+IF(AND(ISNUMBER(E2645),E2645&lt;=5),2,0)+IF(AND(ISNUMBER(F2645),F2645&lt;=1),2,0)+IF(AND(ISNUMBER(G2645),G2645&lt;=2),1,0)+IF(AND(ISNUMBER(H2645),H2645&lt;=2),1,0)</f>
        <v>0</v>
      </c>
      <c r="J2645" s="2" t="str">
        <f aca="false">IF(I2645&gt;=6,"High",IF(I2645&gt;=3,"Medium","Low"))</f>
        <v>Low</v>
      </c>
    </row>
    <row r="2646" customFormat="false" ht="15" hidden="false" customHeight="true" outlineLevel="0" collapsed="false">
      <c r="A2646" s="2" t="n">
        <f aca="false">'Raw Data'!H2646</f>
        <v>2645</v>
      </c>
      <c r="B2646" s="2" t="n">
        <f aca="false">'Raw Data'!A2646</f>
        <v>37</v>
      </c>
      <c r="C2646" s="2" t="str">
        <f aca="false">'Raw Data'!D2646</f>
        <v>Research &amp; Development</v>
      </c>
      <c r="D2646" s="2" t="str">
        <f aca="false">'Raw Data'!K2646</f>
        <v>Sales Executive</v>
      </c>
      <c r="E2646" s="2" t="n">
        <f aca="false">'Raw Data'!Q2646</f>
        <v>16</v>
      </c>
      <c r="F2646" s="2" t="n">
        <f aca="false">'Raw Data'!U2646</f>
        <v>8</v>
      </c>
      <c r="G2646" s="2" t="n">
        <f aca="false">'Raw Data'!W2646</f>
        <v>4</v>
      </c>
      <c r="H2646" s="2" t="n">
        <f aca="false">'Raw Data'!V2646</f>
        <v>3</v>
      </c>
      <c r="I2646" s="2" t="n">
        <f aca="false">IF(AND(ISNUMBER(B2646),B2646&lt;=25),2,0)+IF(AND(ISNUMBER(E2646),E2646&lt;=5),2,0)+IF(AND(ISNUMBER(F2646),F2646&lt;=1),2,0)+IF(AND(ISNUMBER(G2646),G2646&lt;=2),1,0)+IF(AND(ISNUMBER(H2646),H2646&lt;=2),1,0)</f>
        <v>0</v>
      </c>
      <c r="J2646" s="2" t="str">
        <f aca="false">IF(I2646&gt;=6,"High",IF(I2646&gt;=3,"Medium","Low"))</f>
        <v>Low</v>
      </c>
    </row>
    <row r="2647" customFormat="false" ht="15" hidden="false" customHeight="true" outlineLevel="0" collapsed="false">
      <c r="A2647" s="2" t="n">
        <f aca="false">'Raw Data'!H2647</f>
        <v>2646</v>
      </c>
      <c r="B2647" s="2" t="n">
        <f aca="false">'Raw Data'!A2647</f>
        <v>25</v>
      </c>
      <c r="C2647" s="2" t="str">
        <f aca="false">'Raw Data'!D2647</f>
        <v>Research &amp; Development</v>
      </c>
      <c r="D2647" s="2" t="str">
        <f aca="false">'Raw Data'!K2647</f>
        <v>Manufacturing Director</v>
      </c>
      <c r="E2647" s="2" t="n">
        <f aca="false">'Raw Data'!Q2647</f>
        <v>6</v>
      </c>
      <c r="F2647" s="2" t="n">
        <f aca="false">'Raw Data'!U2647</f>
        <v>4</v>
      </c>
      <c r="G2647" s="2" t="n">
        <f aca="false">'Raw Data'!W2647</f>
        <v>3</v>
      </c>
      <c r="H2647" s="2" t="n">
        <f aca="false">'Raw Data'!V2647</f>
        <v>1</v>
      </c>
      <c r="I2647" s="2" t="n">
        <f aca="false">IF(AND(ISNUMBER(B2647),B2647&lt;=25),2,0)+IF(AND(ISNUMBER(E2647),E2647&lt;=5),2,0)+IF(AND(ISNUMBER(F2647),F2647&lt;=1),2,0)+IF(AND(ISNUMBER(G2647),G2647&lt;=2),1,0)+IF(AND(ISNUMBER(H2647),H2647&lt;=2),1,0)</f>
        <v>3</v>
      </c>
      <c r="J2647" s="2" t="str">
        <f aca="false">IF(I2647&gt;=6,"High",IF(I2647&gt;=3,"Medium","Low"))</f>
        <v>Medium</v>
      </c>
    </row>
    <row r="2648" customFormat="false" ht="15" hidden="false" customHeight="true" outlineLevel="0" collapsed="false">
      <c r="A2648" s="2" t="n">
        <f aca="false">'Raw Data'!H2648</f>
        <v>2647</v>
      </c>
      <c r="B2648" s="2" t="n">
        <f aca="false">'Raw Data'!A2648</f>
        <v>52</v>
      </c>
      <c r="C2648" s="2" t="str">
        <f aca="false">'Raw Data'!D2648</f>
        <v>Research &amp; Development</v>
      </c>
      <c r="D2648" s="2" t="str">
        <f aca="false">'Raw Data'!K2648</f>
        <v>Manager</v>
      </c>
      <c r="E2648" s="2" t="n">
        <f aca="false">'Raw Data'!Q2648</f>
        <v>16</v>
      </c>
      <c r="F2648" s="2" t="n">
        <f aca="false">'Raw Data'!U2648</f>
        <v>0</v>
      </c>
      <c r="G2648" s="2" t="n">
        <f aca="false">'Raw Data'!W2648</f>
        <v>4</v>
      </c>
      <c r="H2648" s="2" t="n">
        <f aca="false">'Raw Data'!V2648</f>
        <v>1</v>
      </c>
      <c r="I2648" s="2" t="n">
        <f aca="false">IF(AND(ISNUMBER(B2648),B2648&lt;=25),2,0)+IF(AND(ISNUMBER(E2648),E2648&lt;=5),2,0)+IF(AND(ISNUMBER(F2648),F2648&lt;=1),2,0)+IF(AND(ISNUMBER(G2648),G2648&lt;=2),1,0)+IF(AND(ISNUMBER(H2648),H2648&lt;=2),1,0)</f>
        <v>3</v>
      </c>
      <c r="J2648" s="2" t="str">
        <f aca="false">IF(I2648&gt;=6,"High",IF(I2648&gt;=3,"Medium","Low"))</f>
        <v>Medium</v>
      </c>
    </row>
    <row r="2649" customFormat="false" ht="15" hidden="false" customHeight="true" outlineLevel="0" collapsed="false">
      <c r="A2649" s="2" t="n">
        <f aca="false">'Raw Data'!H2649</f>
        <v>2648</v>
      </c>
      <c r="B2649" s="2" t="n">
        <f aca="false">'Raw Data'!A2649</f>
        <v>44</v>
      </c>
      <c r="C2649" s="2" t="str">
        <f aca="false">'Raw Data'!D2649</f>
        <v>Research &amp; Development</v>
      </c>
      <c r="D2649" s="2" t="str">
        <f aca="false">'Raw Data'!K2649</f>
        <v>Sales Representative</v>
      </c>
      <c r="E2649" s="2" t="n">
        <f aca="false">'Raw Data'!Q2649</f>
        <v>6</v>
      </c>
      <c r="F2649" s="2" t="n">
        <f aca="false">'Raw Data'!U2649</f>
        <v>2</v>
      </c>
      <c r="G2649" s="2" t="n">
        <f aca="false">'Raw Data'!W2649</f>
        <v>4</v>
      </c>
      <c r="H2649" s="2" t="n">
        <f aca="false">'Raw Data'!V2649</f>
        <v>2</v>
      </c>
      <c r="I2649" s="2" t="n">
        <f aca="false">IF(AND(ISNUMBER(B2649),B2649&lt;=25),2,0)+IF(AND(ISNUMBER(E2649),E2649&lt;=5),2,0)+IF(AND(ISNUMBER(F2649),F2649&lt;=1),2,0)+IF(AND(ISNUMBER(G2649),G2649&lt;=2),1,0)+IF(AND(ISNUMBER(H2649),H2649&lt;=2),1,0)</f>
        <v>1</v>
      </c>
      <c r="J2649" s="2" t="str">
        <f aca="false">IF(I2649&gt;=6,"High",IF(I2649&gt;=3,"Medium","Low"))</f>
        <v>Low</v>
      </c>
    </row>
    <row r="2650" customFormat="false" ht="15" hidden="false" customHeight="true" outlineLevel="0" collapsed="false">
      <c r="A2650" s="2" t="n">
        <f aca="false">'Raw Data'!H2650</f>
        <v>2649</v>
      </c>
      <c r="B2650" s="2" t="n">
        <f aca="false">'Raw Data'!A2650</f>
        <v>21</v>
      </c>
      <c r="C2650" s="2" t="str">
        <f aca="false">'Raw Data'!D2650</f>
        <v>Sales</v>
      </c>
      <c r="D2650" s="2" t="str">
        <f aca="false">'Raw Data'!K2650</f>
        <v>Research Scientist</v>
      </c>
      <c r="E2650" s="2" t="n">
        <f aca="false">'Raw Data'!Q2650</f>
        <v>2</v>
      </c>
      <c r="F2650" s="2" t="n">
        <f aca="false">'Raw Data'!U2650</f>
        <v>2</v>
      </c>
      <c r="G2650" s="2" t="n">
        <f aca="false">'Raw Data'!W2650</f>
        <v>1</v>
      </c>
      <c r="H2650" s="2" t="n">
        <f aca="false">'Raw Data'!V2650</f>
        <v>3</v>
      </c>
      <c r="I2650" s="2" t="n">
        <f aca="false">IF(AND(ISNUMBER(B2650),B2650&lt;=25),2,0)+IF(AND(ISNUMBER(E2650),E2650&lt;=5),2,0)+IF(AND(ISNUMBER(F2650),F2650&lt;=1),2,0)+IF(AND(ISNUMBER(G2650),G2650&lt;=2),1,0)+IF(AND(ISNUMBER(H2650),H2650&lt;=2),1,0)</f>
        <v>5</v>
      </c>
      <c r="J2650" s="2" t="str">
        <f aca="false">IF(I2650&gt;=6,"High",IF(I2650&gt;=3,"Medium","Low"))</f>
        <v>Medium</v>
      </c>
    </row>
    <row r="2651" customFormat="false" ht="15" hidden="false" customHeight="true" outlineLevel="0" collapsed="false">
      <c r="A2651" s="2" t="n">
        <f aca="false">'Raw Data'!H2651</f>
        <v>2650</v>
      </c>
      <c r="B2651" s="2" t="n">
        <f aca="false">'Raw Data'!A2651</f>
        <v>39</v>
      </c>
      <c r="C2651" s="2" t="str">
        <f aca="false">'Raw Data'!D2651</f>
        <v>Research &amp; Development</v>
      </c>
      <c r="D2651" s="2" t="str">
        <f aca="false">'Raw Data'!K2651</f>
        <v>Research Director</v>
      </c>
      <c r="E2651" s="2" t="n">
        <f aca="false">'Raw Data'!Q2651</f>
        <v>21</v>
      </c>
      <c r="F2651" s="2" t="n">
        <f aca="false">'Raw Data'!U2651</f>
        <v>3</v>
      </c>
      <c r="G2651" s="2" t="n">
        <f aca="false">'Raw Data'!W2651</f>
        <v>4</v>
      </c>
      <c r="H2651" s="2" t="n">
        <f aca="false">'Raw Data'!V2651</f>
        <v>4</v>
      </c>
      <c r="I2651" s="2" t="n">
        <f aca="false">IF(AND(ISNUMBER(B2651),B2651&lt;=25),2,0)+IF(AND(ISNUMBER(E2651),E2651&lt;=5),2,0)+IF(AND(ISNUMBER(F2651),F2651&lt;=1),2,0)+IF(AND(ISNUMBER(G2651),G2651&lt;=2),1,0)+IF(AND(ISNUMBER(H2651),H2651&lt;=2),1,0)</f>
        <v>0</v>
      </c>
      <c r="J2651" s="2" t="str">
        <f aca="false">IF(I2651&gt;=6,"High",IF(I2651&gt;=3,"Medium","Low"))</f>
        <v>Low</v>
      </c>
    </row>
    <row r="2652" customFormat="false" ht="15" hidden="false" customHeight="true" outlineLevel="0" collapsed="false">
      <c r="A2652" s="2" t="n">
        <f aca="false">'Raw Data'!H2652</f>
        <v>2651</v>
      </c>
      <c r="B2652" s="2" t="n">
        <f aca="false">'Raw Data'!A2652</f>
        <v>23</v>
      </c>
      <c r="C2652" s="2" t="str">
        <f aca="false">'Raw Data'!D2652</f>
        <v>Research &amp; Development</v>
      </c>
      <c r="D2652" s="2" t="str">
        <f aca="false">'Raw Data'!K2652</f>
        <v>Manufacturing Director</v>
      </c>
      <c r="E2652" s="2" t="n">
        <f aca="false">'Raw Data'!Q2652</f>
        <v>1</v>
      </c>
      <c r="F2652" s="2" t="n">
        <f aca="false">'Raw Data'!U2652</f>
        <v>0</v>
      </c>
      <c r="G2652" s="2" t="n">
        <f aca="false">'Raw Data'!W2652</f>
        <v>1</v>
      </c>
      <c r="H2652" s="2" t="n">
        <f aca="false">'Raw Data'!V2652</f>
        <v>4</v>
      </c>
      <c r="I2652" s="2" t="n">
        <f aca="false">IF(AND(ISNUMBER(B2652),B2652&lt;=25),2,0)+IF(AND(ISNUMBER(E2652),E2652&lt;=5),2,0)+IF(AND(ISNUMBER(F2652),F2652&lt;=1),2,0)+IF(AND(ISNUMBER(G2652),G2652&lt;=2),1,0)+IF(AND(ISNUMBER(H2652),H2652&lt;=2),1,0)</f>
        <v>7</v>
      </c>
      <c r="J2652" s="2" t="str">
        <f aca="false">IF(I2652&gt;=6,"High",IF(I2652&gt;=3,"Medium","Low"))</f>
        <v>High</v>
      </c>
    </row>
    <row r="2653" customFormat="false" ht="15" hidden="false" customHeight="true" outlineLevel="0" collapsed="false">
      <c r="A2653" s="2" t="n">
        <f aca="false">'Raw Data'!H2653</f>
        <v>2652</v>
      </c>
      <c r="B2653" s="2" t="n">
        <f aca="false">'Raw Data'!A2653</f>
        <v>36</v>
      </c>
      <c r="C2653" s="2" t="str">
        <f aca="false">'Raw Data'!D2653</f>
        <v>Research &amp; Development</v>
      </c>
      <c r="D2653" s="2" t="str">
        <f aca="false">'Raw Data'!K2653</f>
        <v>Laboratory Technician</v>
      </c>
      <c r="E2653" s="2" t="n">
        <f aca="false">'Raw Data'!Q2653</f>
        <v>10</v>
      </c>
      <c r="F2653" s="2" t="n">
        <f aca="false">'Raw Data'!U2653</f>
        <v>4</v>
      </c>
      <c r="G2653" s="2" t="n">
        <f aca="false">'Raw Data'!W2653</f>
        <v>4</v>
      </c>
      <c r="H2653" s="2" t="n">
        <f aca="false">'Raw Data'!V2653</f>
        <v>1</v>
      </c>
      <c r="I2653" s="2" t="n">
        <f aca="false">IF(AND(ISNUMBER(B2653),B2653&lt;=25),2,0)+IF(AND(ISNUMBER(E2653),E2653&lt;=5),2,0)+IF(AND(ISNUMBER(F2653),F2653&lt;=1),2,0)+IF(AND(ISNUMBER(G2653),G2653&lt;=2),1,0)+IF(AND(ISNUMBER(H2653),H2653&lt;=2),1,0)</f>
        <v>1</v>
      </c>
      <c r="J2653" s="2" t="str">
        <f aca="false">IF(I2653&gt;=6,"High",IF(I2653&gt;=3,"Medium","Low"))</f>
        <v>Low</v>
      </c>
    </row>
    <row r="2654" customFormat="false" ht="15" hidden="false" customHeight="true" outlineLevel="0" collapsed="false">
      <c r="A2654" s="2" t="n">
        <f aca="false">'Raw Data'!H2654</f>
        <v>2653</v>
      </c>
      <c r="B2654" s="2" t="n">
        <f aca="false">'Raw Data'!A2654</f>
        <v>36</v>
      </c>
      <c r="C2654" s="2" t="str">
        <f aca="false">'Raw Data'!D2654</f>
        <v>Research &amp; Development</v>
      </c>
      <c r="D2654" s="2" t="str">
        <f aca="false">'Raw Data'!K2654</f>
        <v>Sales Executive</v>
      </c>
      <c r="E2654" s="2" t="n">
        <f aca="false">'Raw Data'!Q2654</f>
        <v>18</v>
      </c>
      <c r="F2654" s="2" t="n">
        <f aca="false">'Raw Data'!U2654</f>
        <v>2</v>
      </c>
      <c r="G2654" s="2" t="n">
        <f aca="false">'Raw Data'!W2654</f>
        <v>2</v>
      </c>
      <c r="H2654" s="2" t="n">
        <f aca="false">'Raw Data'!V2654</f>
        <v>4</v>
      </c>
      <c r="I2654" s="2" t="n">
        <f aca="false">IF(AND(ISNUMBER(B2654),B2654&lt;=25),2,0)+IF(AND(ISNUMBER(E2654),E2654&lt;=5),2,0)+IF(AND(ISNUMBER(F2654),F2654&lt;=1),2,0)+IF(AND(ISNUMBER(G2654),G2654&lt;=2),1,0)+IF(AND(ISNUMBER(H2654),H2654&lt;=2),1,0)</f>
        <v>1</v>
      </c>
      <c r="J2654" s="2" t="str">
        <f aca="false">IF(I2654&gt;=6,"High",IF(I2654&gt;=3,"Medium","Low"))</f>
        <v>Low</v>
      </c>
    </row>
    <row r="2655" customFormat="false" ht="15" hidden="false" customHeight="true" outlineLevel="0" collapsed="false">
      <c r="A2655" s="2" t="n">
        <f aca="false">'Raw Data'!H2655</f>
        <v>2654</v>
      </c>
      <c r="B2655" s="2" t="n">
        <f aca="false">'Raw Data'!A2655</f>
        <v>56</v>
      </c>
      <c r="C2655" s="2" t="str">
        <f aca="false">'Raw Data'!D2655</f>
        <v>Research &amp; Development</v>
      </c>
      <c r="D2655" s="2" t="str">
        <f aca="false">'Raw Data'!K2655</f>
        <v>Sales Executive</v>
      </c>
      <c r="E2655" s="2" t="n">
        <f aca="false">'Raw Data'!Q2655</f>
        <v>13</v>
      </c>
      <c r="F2655" s="2" t="n">
        <f aca="false">'Raw Data'!U2655</f>
        <v>9</v>
      </c>
      <c r="G2655" s="2" t="n">
        <f aca="false">'Raw Data'!W2655</f>
        <v>3</v>
      </c>
      <c r="H2655" s="2" t="n">
        <f aca="false">'Raw Data'!V2655</f>
        <v>3</v>
      </c>
      <c r="I2655" s="2" t="n">
        <f aca="false">IF(AND(ISNUMBER(B2655),B2655&lt;=25),2,0)+IF(AND(ISNUMBER(E2655),E2655&lt;=5),2,0)+IF(AND(ISNUMBER(F2655),F2655&lt;=1),2,0)+IF(AND(ISNUMBER(G2655),G2655&lt;=2),1,0)+IF(AND(ISNUMBER(H2655),H2655&lt;=2),1,0)</f>
        <v>0</v>
      </c>
      <c r="J2655" s="2" t="str">
        <f aca="false">IF(I2655&gt;=6,"High",IF(I2655&gt;=3,"Medium","Low"))</f>
        <v>Low</v>
      </c>
    </row>
    <row r="2656" customFormat="false" ht="15" hidden="false" customHeight="true" outlineLevel="0" collapsed="false">
      <c r="A2656" s="2" t="n">
        <f aca="false">'Raw Data'!H2656</f>
        <v>2655</v>
      </c>
      <c r="B2656" s="2" t="n">
        <f aca="false">'Raw Data'!A2656</f>
        <v>29</v>
      </c>
      <c r="C2656" s="2" t="str">
        <f aca="false">'Raw Data'!D2656</f>
        <v>Research &amp; Development</v>
      </c>
      <c r="D2656" s="2" t="str">
        <f aca="false">'Raw Data'!K2656</f>
        <v>Sales Representative</v>
      </c>
      <c r="E2656" s="2" t="n">
        <f aca="false">'Raw Data'!Q2656</f>
        <v>4</v>
      </c>
      <c r="F2656" s="2" t="n">
        <f aca="false">'Raw Data'!U2656</f>
        <v>2</v>
      </c>
      <c r="G2656" s="2" t="n">
        <f aca="false">'Raw Data'!W2656</f>
        <v>4</v>
      </c>
      <c r="H2656" s="2" t="n">
        <f aca="false">'Raw Data'!V2656</f>
        <v>1</v>
      </c>
      <c r="I2656" s="2" t="n">
        <f aca="false">IF(AND(ISNUMBER(B2656),B2656&lt;=25),2,0)+IF(AND(ISNUMBER(E2656),E2656&lt;=5),2,0)+IF(AND(ISNUMBER(F2656),F2656&lt;=1),2,0)+IF(AND(ISNUMBER(G2656),G2656&lt;=2),1,0)+IF(AND(ISNUMBER(H2656),H2656&lt;=2),1,0)</f>
        <v>3</v>
      </c>
      <c r="J2656" s="2" t="str">
        <f aca="false">IF(I2656&gt;=6,"High",IF(I2656&gt;=3,"Medium","Low"))</f>
        <v>Medium</v>
      </c>
    </row>
    <row r="2657" customFormat="false" ht="15" hidden="false" customHeight="true" outlineLevel="0" collapsed="false">
      <c r="A2657" s="2" t="n">
        <f aca="false">'Raw Data'!H2657</f>
        <v>2656</v>
      </c>
      <c r="B2657" s="2" t="n">
        <f aca="false">'Raw Data'!A2657</f>
        <v>42</v>
      </c>
      <c r="C2657" s="2" t="str">
        <f aca="false">'Raw Data'!D2657</f>
        <v>Research &amp; Development</v>
      </c>
      <c r="D2657" s="2" t="str">
        <f aca="false">'Raw Data'!K2657</f>
        <v>Research Scientist</v>
      </c>
      <c r="E2657" s="2" t="n">
        <f aca="false">'Raw Data'!Q2657</f>
        <v>24</v>
      </c>
      <c r="F2657" s="2" t="n">
        <f aca="false">'Raw Data'!U2657</f>
        <v>14</v>
      </c>
      <c r="G2657" s="2" t="n">
        <f aca="false">'Raw Data'!W2657</f>
        <v>3</v>
      </c>
      <c r="H2657" s="2" t="n">
        <f aca="false">'Raw Data'!V2657</f>
        <v>1</v>
      </c>
      <c r="I2657" s="2" t="n">
        <f aca="false">IF(AND(ISNUMBER(B2657),B2657&lt;=25),2,0)+IF(AND(ISNUMBER(E2657),E2657&lt;=5),2,0)+IF(AND(ISNUMBER(F2657),F2657&lt;=1),2,0)+IF(AND(ISNUMBER(G2657),G2657&lt;=2),1,0)+IF(AND(ISNUMBER(H2657),H2657&lt;=2),1,0)</f>
        <v>1</v>
      </c>
      <c r="J2657" s="2" t="str">
        <f aca="false">IF(I2657&gt;=6,"High",IF(I2657&gt;=3,"Medium","Low"))</f>
        <v>Low</v>
      </c>
    </row>
    <row r="2658" customFormat="false" ht="15" hidden="false" customHeight="true" outlineLevel="0" collapsed="false">
      <c r="A2658" s="2" t="n">
        <f aca="false">'Raw Data'!H2658</f>
        <v>2657</v>
      </c>
      <c r="B2658" s="2" t="n">
        <f aca="false">'Raw Data'!A2658</f>
        <v>56</v>
      </c>
      <c r="C2658" s="2" t="str">
        <f aca="false">'Raw Data'!D2658</f>
        <v>Sales</v>
      </c>
      <c r="D2658" s="2" t="str">
        <f aca="false">'Raw Data'!K2658</f>
        <v>Sales Executive</v>
      </c>
      <c r="E2658" s="2" t="n">
        <f aca="false">'Raw Data'!Q2658</f>
        <v>14</v>
      </c>
      <c r="F2658" s="2" t="n">
        <f aca="false">'Raw Data'!U2658</f>
        <v>8</v>
      </c>
      <c r="G2658" s="2" t="n">
        <f aca="false">'Raw Data'!W2658</f>
        <v>3</v>
      </c>
      <c r="H2658" s="2" t="n">
        <f aca="false">'Raw Data'!V2658</f>
        <v>4</v>
      </c>
      <c r="I2658" s="2" t="n">
        <f aca="false">IF(AND(ISNUMBER(B2658),B2658&lt;=25),2,0)+IF(AND(ISNUMBER(E2658),E2658&lt;=5),2,0)+IF(AND(ISNUMBER(F2658),F2658&lt;=1),2,0)+IF(AND(ISNUMBER(G2658),G2658&lt;=2),1,0)+IF(AND(ISNUMBER(H2658),H2658&lt;=2),1,0)</f>
        <v>0</v>
      </c>
      <c r="J2658" s="2" t="str">
        <f aca="false">IF(I2658&gt;=6,"High",IF(I2658&gt;=3,"Medium","Low"))</f>
        <v>Low</v>
      </c>
    </row>
    <row r="2659" customFormat="false" ht="15" hidden="false" customHeight="true" outlineLevel="0" collapsed="false">
      <c r="A2659" s="2" t="n">
        <f aca="false">'Raw Data'!H2659</f>
        <v>2658</v>
      </c>
      <c r="B2659" s="2" t="n">
        <f aca="false">'Raw Data'!A2659</f>
        <v>41</v>
      </c>
      <c r="C2659" s="2" t="str">
        <f aca="false">'Raw Data'!D2659</f>
        <v>Research &amp; Development</v>
      </c>
      <c r="D2659" s="2" t="str">
        <f aca="false">'Raw Data'!K2659</f>
        <v>Healthcare Representative</v>
      </c>
      <c r="E2659" s="2" t="n">
        <f aca="false">'Raw Data'!Q2659</f>
        <v>21</v>
      </c>
      <c r="F2659" s="2" t="n">
        <f aca="false">'Raw Data'!U2659</f>
        <v>10</v>
      </c>
      <c r="G2659" s="2" t="n">
        <f aca="false">'Raw Data'!W2659</f>
        <v>2</v>
      </c>
      <c r="H2659" s="2" t="n">
        <f aca="false">'Raw Data'!V2659</f>
        <v>1</v>
      </c>
      <c r="I2659" s="2" t="n">
        <f aca="false">IF(AND(ISNUMBER(B2659),B2659&lt;=25),2,0)+IF(AND(ISNUMBER(E2659),E2659&lt;=5),2,0)+IF(AND(ISNUMBER(F2659),F2659&lt;=1),2,0)+IF(AND(ISNUMBER(G2659),G2659&lt;=2),1,0)+IF(AND(ISNUMBER(H2659),H2659&lt;=2),1,0)</f>
        <v>2</v>
      </c>
      <c r="J2659" s="2" t="str">
        <f aca="false">IF(I2659&gt;=6,"High",IF(I2659&gt;=3,"Medium","Low"))</f>
        <v>Low</v>
      </c>
    </row>
    <row r="2660" customFormat="false" ht="15" hidden="false" customHeight="true" outlineLevel="0" collapsed="false">
      <c r="A2660" s="2" t="n">
        <f aca="false">'Raw Data'!H2660</f>
        <v>2659</v>
      </c>
      <c r="B2660" s="2" t="n">
        <f aca="false">'Raw Data'!A2660</f>
        <v>34</v>
      </c>
      <c r="C2660" s="2" t="str">
        <f aca="false">'Raw Data'!D2660</f>
        <v>Sales</v>
      </c>
      <c r="D2660" s="2" t="str">
        <f aca="false">'Raw Data'!K2660</f>
        <v>Laboratory Technician</v>
      </c>
      <c r="E2660" s="2" t="n">
        <f aca="false">'Raw Data'!Q2660</f>
        <v>8</v>
      </c>
      <c r="F2660" s="2" t="n">
        <f aca="false">'Raw Data'!U2660</f>
        <v>7</v>
      </c>
      <c r="G2660" s="2" t="n">
        <f aca="false">'Raw Data'!W2660</f>
        <v>3</v>
      </c>
      <c r="H2660" s="2" t="n">
        <f aca="false">'Raw Data'!V2660</f>
        <v>4</v>
      </c>
      <c r="I2660" s="2" t="n">
        <f aca="false">IF(AND(ISNUMBER(B2660),B2660&lt;=25),2,0)+IF(AND(ISNUMBER(E2660),E2660&lt;=5),2,0)+IF(AND(ISNUMBER(F2660),F2660&lt;=1),2,0)+IF(AND(ISNUMBER(G2660),G2660&lt;=2),1,0)+IF(AND(ISNUMBER(H2660),H2660&lt;=2),1,0)</f>
        <v>0</v>
      </c>
      <c r="J2660" s="2" t="str">
        <f aca="false">IF(I2660&gt;=6,"High",IF(I2660&gt;=3,"Medium","Low"))</f>
        <v>Low</v>
      </c>
    </row>
    <row r="2661" customFormat="false" ht="15" hidden="false" customHeight="true" outlineLevel="0" collapsed="false">
      <c r="A2661" s="2" t="n">
        <f aca="false">'Raw Data'!H2661</f>
        <v>2660</v>
      </c>
      <c r="B2661" s="2" t="n">
        <f aca="false">'Raw Data'!A2661</f>
        <v>36</v>
      </c>
      <c r="C2661" s="2" t="str">
        <f aca="false">'Raw Data'!D2661</f>
        <v>Sales</v>
      </c>
      <c r="D2661" s="2" t="str">
        <f aca="false">'Raw Data'!K2661</f>
        <v>Human Resources</v>
      </c>
      <c r="E2661" s="2" t="n">
        <f aca="false">'Raw Data'!Q2661</f>
        <v>15</v>
      </c>
      <c r="F2661" s="2" t="n">
        <f aca="false">'Raw Data'!U2661</f>
        <v>11</v>
      </c>
      <c r="G2661" s="2" t="n">
        <f aca="false">'Raw Data'!W2661</f>
        <v>4</v>
      </c>
      <c r="H2661" s="2" t="n">
        <f aca="false">'Raw Data'!V2661</f>
        <v>4</v>
      </c>
      <c r="I2661" s="2" t="n">
        <f aca="false">IF(AND(ISNUMBER(B2661),B2661&lt;=25),2,0)+IF(AND(ISNUMBER(E2661),E2661&lt;=5),2,0)+IF(AND(ISNUMBER(F2661),F2661&lt;=1),2,0)+IF(AND(ISNUMBER(G2661),G2661&lt;=2),1,0)+IF(AND(ISNUMBER(H2661),H2661&lt;=2),1,0)</f>
        <v>0</v>
      </c>
      <c r="J2661" s="2" t="str">
        <f aca="false">IF(I2661&gt;=6,"High",IF(I2661&gt;=3,"Medium","Low"))</f>
        <v>Low</v>
      </c>
    </row>
    <row r="2662" customFormat="false" ht="15" hidden="false" customHeight="true" outlineLevel="0" collapsed="false">
      <c r="A2662" s="2" t="n">
        <f aca="false">'Raw Data'!H2662</f>
        <v>2661</v>
      </c>
      <c r="B2662" s="2" t="n">
        <f aca="false">'Raw Data'!A2662</f>
        <v>41</v>
      </c>
      <c r="C2662" s="2" t="str">
        <f aca="false">'Raw Data'!D2662</f>
        <v>Research &amp; Development</v>
      </c>
      <c r="D2662" s="2" t="str">
        <f aca="false">'Raw Data'!K2662</f>
        <v>Healthcare Representative</v>
      </c>
      <c r="E2662" s="2" t="n">
        <f aca="false">'Raw Data'!Q2662</f>
        <v>14</v>
      </c>
      <c r="F2662" s="2" t="n">
        <f aca="false">'Raw Data'!U2662</f>
        <v>4</v>
      </c>
      <c r="G2662" s="2" t="n">
        <f aca="false">'Raw Data'!W2662</f>
        <v>2</v>
      </c>
      <c r="H2662" s="2" t="n">
        <f aca="false">'Raw Data'!V2662</f>
        <v>3</v>
      </c>
      <c r="I2662" s="2" t="n">
        <f aca="false">IF(AND(ISNUMBER(B2662),B2662&lt;=25),2,0)+IF(AND(ISNUMBER(E2662),E2662&lt;=5),2,0)+IF(AND(ISNUMBER(F2662),F2662&lt;=1),2,0)+IF(AND(ISNUMBER(G2662),G2662&lt;=2),1,0)+IF(AND(ISNUMBER(H2662),H2662&lt;=2),1,0)</f>
        <v>1</v>
      </c>
      <c r="J2662" s="2" t="str">
        <f aca="false">IF(I2662&gt;=6,"High",IF(I2662&gt;=3,"Medium","Low"))</f>
        <v>Low</v>
      </c>
    </row>
    <row r="2663" customFormat="false" ht="15" hidden="false" customHeight="true" outlineLevel="0" collapsed="false">
      <c r="A2663" s="2" t="n">
        <f aca="false">'Raw Data'!H2663</f>
        <v>2662</v>
      </c>
      <c r="B2663" s="2" t="n">
        <f aca="false">'Raw Data'!A2663</f>
        <v>32</v>
      </c>
      <c r="C2663" s="2" t="str">
        <f aca="false">'Raw Data'!D2663</f>
        <v>Sales</v>
      </c>
      <c r="D2663" s="2" t="str">
        <f aca="false">'Raw Data'!K2663</f>
        <v>Research Scientist</v>
      </c>
      <c r="E2663" s="2" t="n">
        <f aca="false">'Raw Data'!Q2663</f>
        <v>4</v>
      </c>
      <c r="F2663" s="2" t="n">
        <f aca="false">'Raw Data'!U2663</f>
        <v>2</v>
      </c>
      <c r="G2663" s="2" t="n">
        <f aca="false">'Raw Data'!W2663</f>
        <v>1</v>
      </c>
      <c r="H2663" s="2" t="n">
        <f aca="false">'Raw Data'!V2663</f>
        <v>4</v>
      </c>
      <c r="I2663" s="2" t="n">
        <f aca="false">IF(AND(ISNUMBER(B2663),B2663&lt;=25),2,0)+IF(AND(ISNUMBER(E2663),E2663&lt;=5),2,0)+IF(AND(ISNUMBER(F2663),F2663&lt;=1),2,0)+IF(AND(ISNUMBER(G2663),G2663&lt;=2),1,0)+IF(AND(ISNUMBER(H2663),H2663&lt;=2),1,0)</f>
        <v>3</v>
      </c>
      <c r="J2663" s="2" t="str">
        <f aca="false">IF(I2663&gt;=6,"High",IF(I2663&gt;=3,"Medium","Low"))</f>
        <v>Medium</v>
      </c>
    </row>
    <row r="2664" customFormat="false" ht="15" hidden="false" customHeight="true" outlineLevel="0" collapsed="false">
      <c r="A2664" s="2" t="n">
        <f aca="false">'Raw Data'!H2664</f>
        <v>2663</v>
      </c>
      <c r="B2664" s="2" t="n">
        <f aca="false">'Raw Data'!A2664</f>
        <v>35</v>
      </c>
      <c r="C2664" s="2" t="str">
        <f aca="false">'Raw Data'!D2664</f>
        <v>Research &amp; Development</v>
      </c>
      <c r="D2664" s="2" t="str">
        <f aca="false">'Raw Data'!K2664</f>
        <v>Healthcare Representative</v>
      </c>
      <c r="E2664" s="2" t="n">
        <f aca="false">'Raw Data'!Q2664</f>
        <v>9</v>
      </c>
      <c r="F2664" s="2" t="n">
        <f aca="false">'Raw Data'!U2664</f>
        <v>7</v>
      </c>
      <c r="G2664" s="2" t="n">
        <f aca="false">'Raw Data'!W2664</f>
        <v>4</v>
      </c>
      <c r="H2664" s="2" t="n">
        <f aca="false">'Raw Data'!V2664</f>
        <v>3</v>
      </c>
      <c r="I2664" s="2" t="n">
        <f aca="false">IF(AND(ISNUMBER(B2664),B2664&lt;=25),2,0)+IF(AND(ISNUMBER(E2664),E2664&lt;=5),2,0)+IF(AND(ISNUMBER(F2664),F2664&lt;=1),2,0)+IF(AND(ISNUMBER(G2664),G2664&lt;=2),1,0)+IF(AND(ISNUMBER(H2664),H2664&lt;=2),1,0)</f>
        <v>0</v>
      </c>
      <c r="J2664" s="2" t="str">
        <f aca="false">IF(I2664&gt;=6,"High",IF(I2664&gt;=3,"Medium","Low"))</f>
        <v>Low</v>
      </c>
    </row>
    <row r="2665" customFormat="false" ht="15" hidden="false" customHeight="true" outlineLevel="0" collapsed="false">
      <c r="A2665" s="2" t="n">
        <f aca="false">'Raw Data'!H2665</f>
        <v>2664</v>
      </c>
      <c r="B2665" s="2" t="n">
        <f aca="false">'Raw Data'!A2665</f>
        <v>38</v>
      </c>
      <c r="C2665" s="2" t="str">
        <f aca="false">'Raw Data'!D2665</f>
        <v>Research &amp; Development</v>
      </c>
      <c r="D2665" s="2" t="str">
        <f aca="false">'Raw Data'!K2665</f>
        <v>Sales Representative</v>
      </c>
      <c r="E2665" s="2" t="n">
        <f aca="false">'Raw Data'!Q2665</f>
        <v>10</v>
      </c>
      <c r="F2665" s="2" t="n">
        <f aca="false">'Raw Data'!U2665</f>
        <v>9</v>
      </c>
      <c r="G2665" s="2" t="n">
        <f aca="false">'Raw Data'!W2665</f>
        <v>4</v>
      </c>
      <c r="H2665" s="2" t="n">
        <f aca="false">'Raw Data'!V2665</f>
        <v>1</v>
      </c>
      <c r="I2665" s="2" t="n">
        <f aca="false">IF(AND(ISNUMBER(B2665),B2665&lt;=25),2,0)+IF(AND(ISNUMBER(E2665),E2665&lt;=5),2,0)+IF(AND(ISNUMBER(F2665),F2665&lt;=1),2,0)+IF(AND(ISNUMBER(G2665),G2665&lt;=2),1,0)+IF(AND(ISNUMBER(H2665),H2665&lt;=2),1,0)</f>
        <v>1</v>
      </c>
      <c r="J2665" s="2" t="str">
        <f aca="false">IF(I2665&gt;=6,"High",IF(I2665&gt;=3,"Medium","Low"))</f>
        <v>Low</v>
      </c>
    </row>
    <row r="2666" customFormat="false" ht="15" hidden="false" customHeight="true" outlineLevel="0" collapsed="false">
      <c r="A2666" s="2" t="n">
        <f aca="false">'Raw Data'!H2666</f>
        <v>2665</v>
      </c>
      <c r="B2666" s="2" t="n">
        <f aca="false">'Raw Data'!A2666</f>
        <v>50</v>
      </c>
      <c r="C2666" s="2" t="str">
        <f aca="false">'Raw Data'!D2666</f>
        <v>Sales</v>
      </c>
      <c r="D2666" s="2" t="str">
        <f aca="false">'Raw Data'!K2666</f>
        <v>Laboratory Technician</v>
      </c>
      <c r="E2666" s="2" t="n">
        <f aca="false">'Raw Data'!Q2666</f>
        <v>12</v>
      </c>
      <c r="F2666" s="2" t="n">
        <f aca="false">'Raw Data'!U2666</f>
        <v>1</v>
      </c>
      <c r="G2666" s="2" t="n">
        <f aca="false">'Raw Data'!W2666</f>
        <v>3</v>
      </c>
      <c r="H2666" s="2" t="n">
        <f aca="false">'Raw Data'!V2666</f>
        <v>2</v>
      </c>
      <c r="I2666" s="2" t="n">
        <f aca="false">IF(AND(ISNUMBER(B2666),B2666&lt;=25),2,0)+IF(AND(ISNUMBER(E2666),E2666&lt;=5),2,0)+IF(AND(ISNUMBER(F2666),F2666&lt;=1),2,0)+IF(AND(ISNUMBER(G2666),G2666&lt;=2),1,0)+IF(AND(ISNUMBER(H2666),H2666&lt;=2),1,0)</f>
        <v>3</v>
      </c>
      <c r="J2666" s="2" t="str">
        <f aca="false">IF(I2666&gt;=6,"High",IF(I2666&gt;=3,"Medium","Low"))</f>
        <v>Medium</v>
      </c>
    </row>
    <row r="2667" customFormat="false" ht="15" hidden="false" customHeight="true" outlineLevel="0" collapsed="false">
      <c r="A2667" s="2" t="n">
        <f aca="false">'Raw Data'!H2667</f>
        <v>2666</v>
      </c>
      <c r="B2667" s="2" t="n">
        <f aca="false">'Raw Data'!A2667</f>
        <v>36</v>
      </c>
      <c r="C2667" s="2" t="str">
        <f aca="false">'Raw Data'!D2667</f>
        <v>Research &amp; Development</v>
      </c>
      <c r="D2667" s="2" t="str">
        <f aca="false">'Raw Data'!K2667</f>
        <v>Healthcare Representative</v>
      </c>
      <c r="E2667" s="2" t="n">
        <f aca="false">'Raw Data'!Q2667</f>
        <v>8</v>
      </c>
      <c r="F2667" s="2" t="n">
        <f aca="false">'Raw Data'!U2667</f>
        <v>0</v>
      </c>
      <c r="G2667" s="2" t="n">
        <f aca="false">'Raw Data'!W2667</f>
        <v>4</v>
      </c>
      <c r="H2667" s="2" t="n">
        <f aca="false">'Raw Data'!V2667</f>
        <v>2</v>
      </c>
      <c r="I2667" s="2" t="n">
        <f aca="false">IF(AND(ISNUMBER(B2667),B2667&lt;=25),2,0)+IF(AND(ISNUMBER(E2667),E2667&lt;=5),2,0)+IF(AND(ISNUMBER(F2667),F2667&lt;=1),2,0)+IF(AND(ISNUMBER(G2667),G2667&lt;=2),1,0)+IF(AND(ISNUMBER(H2667),H2667&lt;=2),1,0)</f>
        <v>3</v>
      </c>
      <c r="J2667" s="2" t="str">
        <f aca="false">IF(I2667&gt;=6,"High",IF(I2667&gt;=3,"Medium","Low"))</f>
        <v>Medium</v>
      </c>
    </row>
    <row r="2668" customFormat="false" ht="15" hidden="false" customHeight="true" outlineLevel="0" collapsed="false">
      <c r="A2668" s="2" t="n">
        <f aca="false">'Raw Data'!H2668</f>
        <v>2667</v>
      </c>
      <c r="B2668" s="2" t="n">
        <f aca="false">'Raw Data'!A2668</f>
        <v>45</v>
      </c>
      <c r="C2668" s="2" t="str">
        <f aca="false">'Raw Data'!D2668</f>
        <v>Sales</v>
      </c>
      <c r="D2668" s="2" t="str">
        <f aca="false">'Raw Data'!K2668</f>
        <v>Laboratory Technician</v>
      </c>
      <c r="E2668" s="2" t="n">
        <f aca="false">'Raw Data'!Q2668</f>
        <v>8</v>
      </c>
      <c r="F2668" s="2" t="n">
        <f aca="false">'Raw Data'!U2668</f>
        <v>1</v>
      </c>
      <c r="G2668" s="2" t="n">
        <f aca="false">'Raw Data'!W2668</f>
        <v>3</v>
      </c>
      <c r="H2668" s="2" t="n">
        <f aca="false">'Raw Data'!V2668</f>
        <v>4</v>
      </c>
      <c r="I2668" s="2" t="n">
        <f aca="false">IF(AND(ISNUMBER(B2668),B2668&lt;=25),2,0)+IF(AND(ISNUMBER(E2668),E2668&lt;=5),2,0)+IF(AND(ISNUMBER(F2668),F2668&lt;=1),2,0)+IF(AND(ISNUMBER(G2668),G2668&lt;=2),1,0)+IF(AND(ISNUMBER(H2668),H2668&lt;=2),1,0)</f>
        <v>2</v>
      </c>
      <c r="J2668" s="2" t="str">
        <f aca="false">IF(I2668&gt;=6,"High",IF(I2668&gt;=3,"Medium","Low"))</f>
        <v>Low</v>
      </c>
    </row>
    <row r="2669" customFormat="false" ht="15" hidden="false" customHeight="true" outlineLevel="0" collapsed="false">
      <c r="A2669" s="2" t="n">
        <f aca="false">'Raw Data'!H2669</f>
        <v>2668</v>
      </c>
      <c r="B2669" s="2" t="n">
        <f aca="false">'Raw Data'!A2669</f>
        <v>40</v>
      </c>
      <c r="C2669" s="2" t="str">
        <f aca="false">'Raw Data'!D2669</f>
        <v>Sales</v>
      </c>
      <c r="D2669" s="2" t="str">
        <f aca="false">'Raw Data'!K2669</f>
        <v>Research Scientist</v>
      </c>
      <c r="E2669" s="2" t="n">
        <f aca="false">'Raw Data'!Q2669</f>
        <v>8</v>
      </c>
      <c r="F2669" s="2" t="n">
        <f aca="false">'Raw Data'!U2669</f>
        <v>2</v>
      </c>
      <c r="G2669" s="2" t="n">
        <f aca="false">'Raw Data'!W2669</f>
        <v>3</v>
      </c>
      <c r="H2669" s="2" t="n">
        <f aca="false">'Raw Data'!V2669</f>
        <v>3</v>
      </c>
      <c r="I2669" s="2" t="n">
        <f aca="false">IF(AND(ISNUMBER(B2669),B2669&lt;=25),2,0)+IF(AND(ISNUMBER(E2669),E2669&lt;=5),2,0)+IF(AND(ISNUMBER(F2669),F2669&lt;=1),2,0)+IF(AND(ISNUMBER(G2669),G2669&lt;=2),1,0)+IF(AND(ISNUMBER(H2669),H2669&lt;=2),1,0)</f>
        <v>0</v>
      </c>
      <c r="J2669" s="2" t="str">
        <f aca="false">IF(I2669&gt;=6,"High",IF(I2669&gt;=3,"Medium","Low"))</f>
        <v>Low</v>
      </c>
    </row>
    <row r="2670" customFormat="false" ht="15" hidden="false" customHeight="true" outlineLevel="0" collapsed="false">
      <c r="A2670" s="2" t="n">
        <f aca="false">'Raw Data'!H2670</f>
        <v>2669</v>
      </c>
      <c r="B2670" s="2" t="n">
        <f aca="false">'Raw Data'!A2670</f>
        <v>35</v>
      </c>
      <c r="C2670" s="2" t="str">
        <f aca="false">'Raw Data'!D2670</f>
        <v>Sales</v>
      </c>
      <c r="D2670" s="2" t="str">
        <f aca="false">'Raw Data'!K2670</f>
        <v>Manufacturing Director</v>
      </c>
      <c r="E2670" s="2" t="n">
        <f aca="false">'Raw Data'!Q2670</f>
        <v>10</v>
      </c>
      <c r="F2670" s="2" t="n">
        <f aca="false">'Raw Data'!U2670</f>
        <v>2</v>
      </c>
      <c r="G2670" s="2" t="n">
        <f aca="false">'Raw Data'!W2670</f>
        <v>3</v>
      </c>
      <c r="H2670" s="2" t="n">
        <f aca="false">'Raw Data'!V2670</f>
        <v>3</v>
      </c>
      <c r="I2670" s="2" t="n">
        <f aca="false">IF(AND(ISNUMBER(B2670),B2670&lt;=25),2,0)+IF(AND(ISNUMBER(E2670),E2670&lt;=5),2,0)+IF(AND(ISNUMBER(F2670),F2670&lt;=1),2,0)+IF(AND(ISNUMBER(G2670),G2670&lt;=2),1,0)+IF(AND(ISNUMBER(H2670),H2670&lt;=2),1,0)</f>
        <v>0</v>
      </c>
      <c r="J2670" s="2" t="str">
        <f aca="false">IF(I2670&gt;=6,"High",IF(I2670&gt;=3,"Medium","Low"))</f>
        <v>Low</v>
      </c>
    </row>
    <row r="2671" customFormat="false" ht="15" hidden="false" customHeight="true" outlineLevel="0" collapsed="false">
      <c r="A2671" s="2" t="n">
        <f aca="false">'Raw Data'!H2671</f>
        <v>2670</v>
      </c>
      <c r="B2671" s="2" t="n">
        <f aca="false">'Raw Data'!A2671</f>
        <v>40</v>
      </c>
      <c r="C2671" s="2" t="str">
        <f aca="false">'Raw Data'!D2671</f>
        <v>Research &amp; Development</v>
      </c>
      <c r="D2671" s="2" t="str">
        <f aca="false">'Raw Data'!K2671</f>
        <v>Manager</v>
      </c>
      <c r="E2671" s="2" t="n">
        <f aca="false">'Raw Data'!Q2671</f>
        <v>20</v>
      </c>
      <c r="F2671" s="2" t="n">
        <f aca="false">'Raw Data'!U2671</f>
        <v>2</v>
      </c>
      <c r="G2671" s="2" t="n">
        <f aca="false">'Raw Data'!W2671</f>
        <v>3</v>
      </c>
      <c r="H2671" s="2" t="n">
        <f aca="false">'Raw Data'!V2671</f>
        <v>3</v>
      </c>
      <c r="I2671" s="2" t="n">
        <f aca="false">IF(AND(ISNUMBER(B2671),B2671&lt;=25),2,0)+IF(AND(ISNUMBER(E2671),E2671&lt;=5),2,0)+IF(AND(ISNUMBER(F2671),F2671&lt;=1),2,0)+IF(AND(ISNUMBER(G2671),G2671&lt;=2),1,0)+IF(AND(ISNUMBER(H2671),H2671&lt;=2),1,0)</f>
        <v>0</v>
      </c>
      <c r="J2671" s="2" t="str">
        <f aca="false">IF(I2671&gt;=6,"High",IF(I2671&gt;=3,"Medium","Low"))</f>
        <v>Low</v>
      </c>
    </row>
    <row r="2672" customFormat="false" ht="15" hidden="false" customHeight="true" outlineLevel="0" collapsed="false">
      <c r="A2672" s="2" t="n">
        <f aca="false">'Raw Data'!H2672</f>
        <v>2671</v>
      </c>
      <c r="B2672" s="2" t="n">
        <f aca="false">'Raw Data'!A2672</f>
        <v>35</v>
      </c>
      <c r="C2672" s="2" t="str">
        <f aca="false">'Raw Data'!D2672</f>
        <v>Human Resources</v>
      </c>
      <c r="D2672" s="2" t="str">
        <f aca="false">'Raw Data'!K2672</f>
        <v>Research Scientist</v>
      </c>
      <c r="E2672" s="2" t="n">
        <f aca="false">'Raw Data'!Q2672</f>
        <v>4</v>
      </c>
      <c r="F2672" s="2" t="n">
        <f aca="false">'Raw Data'!U2672</f>
        <v>1</v>
      </c>
      <c r="G2672" s="2" t="n">
        <f aca="false">'Raw Data'!W2672</f>
        <v>4</v>
      </c>
      <c r="H2672" s="2" t="n">
        <f aca="false">'Raw Data'!V2672</f>
        <v>3</v>
      </c>
      <c r="I2672" s="2" t="n">
        <f aca="false">IF(AND(ISNUMBER(B2672),B2672&lt;=25),2,0)+IF(AND(ISNUMBER(E2672),E2672&lt;=5),2,0)+IF(AND(ISNUMBER(F2672),F2672&lt;=1),2,0)+IF(AND(ISNUMBER(G2672),G2672&lt;=2),1,0)+IF(AND(ISNUMBER(H2672),H2672&lt;=2),1,0)</f>
        <v>4</v>
      </c>
      <c r="J2672" s="2" t="str">
        <f aca="false">IF(I2672&gt;=6,"High",IF(I2672&gt;=3,"Medium","Low"))</f>
        <v>Medium</v>
      </c>
    </row>
    <row r="2673" customFormat="false" ht="15" hidden="false" customHeight="true" outlineLevel="0" collapsed="false">
      <c r="A2673" s="2" t="n">
        <f aca="false">'Raw Data'!H2673</f>
        <v>2672</v>
      </c>
      <c r="B2673" s="2" t="n">
        <f aca="false">'Raw Data'!A2673</f>
        <v>29</v>
      </c>
      <c r="C2673" s="2" t="str">
        <f aca="false">'Raw Data'!D2673</f>
        <v>Research &amp; Development</v>
      </c>
      <c r="D2673" s="2" t="str">
        <f aca="false">'Raw Data'!K2673</f>
        <v>Sales Executive</v>
      </c>
      <c r="E2673" s="2" t="n">
        <f aca="false">'Raw Data'!Q2673</f>
        <v>10</v>
      </c>
      <c r="F2673" s="2" t="n">
        <f aca="false">'Raw Data'!U2673</f>
        <v>3</v>
      </c>
      <c r="G2673" s="2" t="n">
        <f aca="false">'Raw Data'!W2673</f>
        <v>2</v>
      </c>
      <c r="H2673" s="2" t="n">
        <f aca="false">'Raw Data'!V2673</f>
        <v>4</v>
      </c>
      <c r="I2673" s="2" t="n">
        <f aca="false">IF(AND(ISNUMBER(B2673),B2673&lt;=25),2,0)+IF(AND(ISNUMBER(E2673),E2673&lt;=5),2,0)+IF(AND(ISNUMBER(F2673),F2673&lt;=1),2,0)+IF(AND(ISNUMBER(G2673),G2673&lt;=2),1,0)+IF(AND(ISNUMBER(H2673),H2673&lt;=2),1,0)</f>
        <v>1</v>
      </c>
      <c r="J2673" s="2" t="str">
        <f aca="false">IF(I2673&gt;=6,"High",IF(I2673&gt;=3,"Medium","Low"))</f>
        <v>Low</v>
      </c>
    </row>
    <row r="2674" customFormat="false" ht="15" hidden="false" customHeight="true" outlineLevel="0" collapsed="false">
      <c r="A2674" s="2" t="n">
        <f aca="false">'Raw Data'!H2674</f>
        <v>2673</v>
      </c>
      <c r="B2674" s="2" t="n">
        <f aca="false">'Raw Data'!A2674</f>
        <v>29</v>
      </c>
      <c r="C2674" s="2" t="str">
        <f aca="false">'Raw Data'!D2674</f>
        <v>Research &amp; Development</v>
      </c>
      <c r="D2674" s="2" t="str">
        <f aca="false">'Raw Data'!K2674</f>
        <v>Sales Representative</v>
      </c>
      <c r="E2674" s="2" t="n">
        <f aca="false">'Raw Data'!Q2674</f>
        <v>5</v>
      </c>
      <c r="F2674" s="2" t="n">
        <f aca="false">'Raw Data'!U2674</f>
        <v>4</v>
      </c>
      <c r="G2674" s="2" t="n">
        <f aca="false">'Raw Data'!W2674</f>
        <v>1</v>
      </c>
      <c r="H2674" s="2" t="n">
        <f aca="false">'Raw Data'!V2674</f>
        <v>4</v>
      </c>
      <c r="I2674" s="2" t="n">
        <f aca="false">IF(AND(ISNUMBER(B2674),B2674&lt;=25),2,0)+IF(AND(ISNUMBER(E2674),E2674&lt;=5),2,0)+IF(AND(ISNUMBER(F2674),F2674&lt;=1),2,0)+IF(AND(ISNUMBER(G2674),G2674&lt;=2),1,0)+IF(AND(ISNUMBER(H2674),H2674&lt;=2),1,0)</f>
        <v>3</v>
      </c>
      <c r="J2674" s="2" t="str">
        <f aca="false">IF(I2674&gt;=6,"High",IF(I2674&gt;=3,"Medium","Low"))</f>
        <v>Medium</v>
      </c>
    </row>
    <row r="2675" customFormat="false" ht="15" hidden="false" customHeight="true" outlineLevel="0" collapsed="false">
      <c r="A2675" s="2" t="n">
        <f aca="false">'Raw Data'!H2675</f>
        <v>2674</v>
      </c>
      <c r="B2675" s="2" t="n">
        <f aca="false">'Raw Data'!A2675</f>
        <v>50</v>
      </c>
      <c r="C2675" s="2" t="str">
        <f aca="false">'Raw Data'!D2675</f>
        <v>Research &amp; Development</v>
      </c>
      <c r="D2675" s="2" t="str">
        <f aca="false">'Raw Data'!K2675</f>
        <v>Research Scientist</v>
      </c>
      <c r="E2675" s="2" t="n">
        <f aca="false">'Raw Data'!Q2675</f>
        <v>20</v>
      </c>
      <c r="F2675" s="2" t="n">
        <f aca="false">'Raw Data'!U2675</f>
        <v>0</v>
      </c>
      <c r="G2675" s="2" t="n">
        <f aca="false">'Raw Data'!W2675</f>
        <v>1</v>
      </c>
      <c r="H2675" s="2" t="n">
        <f aca="false">'Raw Data'!V2675</f>
        <v>4</v>
      </c>
      <c r="I2675" s="2" t="n">
        <f aca="false">IF(AND(ISNUMBER(B2675),B2675&lt;=25),2,0)+IF(AND(ISNUMBER(E2675),E2675&lt;=5),2,0)+IF(AND(ISNUMBER(F2675),F2675&lt;=1),2,0)+IF(AND(ISNUMBER(G2675),G2675&lt;=2),1,0)+IF(AND(ISNUMBER(H2675),H2675&lt;=2),1,0)</f>
        <v>3</v>
      </c>
      <c r="J2675" s="2" t="str">
        <f aca="false">IF(I2675&gt;=6,"High",IF(I2675&gt;=3,"Medium","Low"))</f>
        <v>Medium</v>
      </c>
    </row>
    <row r="2676" customFormat="false" ht="15" hidden="false" customHeight="true" outlineLevel="0" collapsed="false">
      <c r="A2676" s="2" t="n">
        <f aca="false">'Raw Data'!H2676</f>
        <v>2675</v>
      </c>
      <c r="B2676" s="2" t="n">
        <f aca="false">'Raw Data'!A2676</f>
        <v>39</v>
      </c>
      <c r="C2676" s="2" t="str">
        <f aca="false">'Raw Data'!D2676</f>
        <v>Sales</v>
      </c>
      <c r="D2676" s="2" t="str">
        <f aca="false">'Raw Data'!K2676</f>
        <v>Sales Executive</v>
      </c>
      <c r="E2676" s="2" t="n">
        <f aca="false">'Raw Data'!Q2676</f>
        <v>21</v>
      </c>
      <c r="F2676" s="2" t="n">
        <f aca="false">'Raw Data'!U2676</f>
        <v>6</v>
      </c>
      <c r="G2676" s="2" t="n">
        <f aca="false">'Raw Data'!W2676</f>
        <v>4</v>
      </c>
      <c r="H2676" s="2" t="n">
        <f aca="false">'Raw Data'!V2676</f>
        <v>2</v>
      </c>
      <c r="I2676" s="2" t="n">
        <f aca="false">IF(AND(ISNUMBER(B2676),B2676&lt;=25),2,0)+IF(AND(ISNUMBER(E2676),E2676&lt;=5),2,0)+IF(AND(ISNUMBER(F2676),F2676&lt;=1),2,0)+IF(AND(ISNUMBER(G2676),G2676&lt;=2),1,0)+IF(AND(ISNUMBER(H2676),H2676&lt;=2),1,0)</f>
        <v>1</v>
      </c>
      <c r="J2676" s="2" t="str">
        <f aca="false">IF(I2676&gt;=6,"High",IF(I2676&gt;=3,"Medium","Low"))</f>
        <v>Low</v>
      </c>
    </row>
    <row r="2677" customFormat="false" ht="15" hidden="false" customHeight="true" outlineLevel="0" collapsed="false">
      <c r="A2677" s="2" t="n">
        <f aca="false">'Raw Data'!H2677</f>
        <v>2676</v>
      </c>
      <c r="B2677" s="2" t="n">
        <f aca="false">'Raw Data'!A2677</f>
        <v>31</v>
      </c>
      <c r="C2677" s="2" t="str">
        <f aca="false">'Raw Data'!D2677</f>
        <v>Research &amp; Development</v>
      </c>
      <c r="D2677" s="2" t="str">
        <f aca="false">'Raw Data'!K2677</f>
        <v>Sales Executive</v>
      </c>
      <c r="E2677" s="2" t="n">
        <f aca="false">'Raw Data'!Q2677</f>
        <v>10</v>
      </c>
      <c r="F2677" s="2" t="n">
        <f aca="false">'Raw Data'!U2677</f>
        <v>7</v>
      </c>
      <c r="G2677" s="2" t="n">
        <f aca="false">'Raw Data'!W2677</f>
        <v>1</v>
      </c>
      <c r="H2677" s="2" t="n">
        <f aca="false">'Raw Data'!V2677</f>
        <v>2</v>
      </c>
      <c r="I2677" s="2" t="n">
        <f aca="false">IF(AND(ISNUMBER(B2677),B2677&lt;=25),2,0)+IF(AND(ISNUMBER(E2677),E2677&lt;=5),2,0)+IF(AND(ISNUMBER(F2677),F2677&lt;=1),2,0)+IF(AND(ISNUMBER(G2677),G2677&lt;=2),1,0)+IF(AND(ISNUMBER(H2677),H2677&lt;=2),1,0)</f>
        <v>2</v>
      </c>
      <c r="J2677" s="2" t="str">
        <f aca="false">IF(I2677&gt;=6,"High",IF(I2677&gt;=3,"Medium","Low"))</f>
        <v>Low</v>
      </c>
    </row>
    <row r="2678" customFormat="false" ht="15" hidden="false" customHeight="true" outlineLevel="0" collapsed="false">
      <c r="A2678" s="2" t="n">
        <f aca="false">'Raw Data'!H2678</f>
        <v>2677</v>
      </c>
      <c r="B2678" s="2" t="n">
        <f aca="false">'Raw Data'!A2678</f>
        <v>26</v>
      </c>
      <c r="C2678" s="2" t="str">
        <f aca="false">'Raw Data'!D2678</f>
        <v>Research &amp; Development</v>
      </c>
      <c r="D2678" s="2" t="str">
        <f aca="false">'Raw Data'!K2678</f>
        <v>Manager</v>
      </c>
      <c r="E2678" s="2" t="n">
        <f aca="false">'Raw Data'!Q2678</f>
        <v>5</v>
      </c>
      <c r="F2678" s="2" t="n">
        <f aca="false">'Raw Data'!U2678</f>
        <v>0</v>
      </c>
      <c r="G2678" s="2" t="n">
        <f aca="false">'Raw Data'!W2678</f>
        <v>3</v>
      </c>
      <c r="H2678" s="2" t="n">
        <f aca="false">'Raw Data'!V2678</f>
        <v>4</v>
      </c>
      <c r="I2678" s="2" t="n">
        <f aca="false">IF(AND(ISNUMBER(B2678),B2678&lt;=25),2,0)+IF(AND(ISNUMBER(E2678),E2678&lt;=5),2,0)+IF(AND(ISNUMBER(F2678),F2678&lt;=1),2,0)+IF(AND(ISNUMBER(G2678),G2678&lt;=2),1,0)+IF(AND(ISNUMBER(H2678),H2678&lt;=2),1,0)</f>
        <v>4</v>
      </c>
      <c r="J2678" s="2" t="str">
        <f aca="false">IF(I2678&gt;=6,"High",IF(I2678&gt;=3,"Medium","Low"))</f>
        <v>Medium</v>
      </c>
    </row>
    <row r="2679" customFormat="false" ht="15" hidden="false" customHeight="true" outlineLevel="0" collapsed="false">
      <c r="A2679" s="2" t="n">
        <f aca="false">'Raw Data'!H2679</f>
        <v>2678</v>
      </c>
      <c r="B2679" s="2" t="n">
        <f aca="false">'Raw Data'!A2679</f>
        <v>36</v>
      </c>
      <c r="C2679" s="2" t="str">
        <f aca="false">'Raw Data'!D2679</f>
        <v>Research &amp; Development</v>
      </c>
      <c r="D2679" s="2" t="str">
        <f aca="false">'Raw Data'!K2679</f>
        <v>Sales Executive</v>
      </c>
      <c r="E2679" s="2" t="n">
        <f aca="false">'Raw Data'!Q2679</f>
        <v>17</v>
      </c>
      <c r="F2679" s="2" t="n">
        <f aca="false">'Raw Data'!U2679</f>
        <v>3</v>
      </c>
      <c r="G2679" s="2" t="n">
        <f aca="false">'Raw Data'!W2679</f>
        <v>4</v>
      </c>
      <c r="H2679" s="2" t="n">
        <f aca="false">'Raw Data'!V2679</f>
        <v>3</v>
      </c>
      <c r="I2679" s="2" t="n">
        <f aca="false">IF(AND(ISNUMBER(B2679),B2679&lt;=25),2,0)+IF(AND(ISNUMBER(E2679),E2679&lt;=5),2,0)+IF(AND(ISNUMBER(F2679),F2679&lt;=1),2,0)+IF(AND(ISNUMBER(G2679),G2679&lt;=2),1,0)+IF(AND(ISNUMBER(H2679),H2679&lt;=2),1,0)</f>
        <v>0</v>
      </c>
      <c r="J2679" s="2" t="str">
        <f aca="false">IF(I2679&gt;=6,"High",IF(I2679&gt;=3,"Medium","Low"))</f>
        <v>Low</v>
      </c>
    </row>
    <row r="2680" customFormat="false" ht="15" hidden="false" customHeight="true" outlineLevel="0" collapsed="false">
      <c r="A2680" s="2" t="n">
        <f aca="false">'Raw Data'!H2680</f>
        <v>2679</v>
      </c>
      <c r="B2680" s="2" t="n">
        <f aca="false">'Raw Data'!A2680</f>
        <v>39</v>
      </c>
      <c r="C2680" s="2" t="str">
        <f aca="false">'Raw Data'!D2680</f>
        <v>Research &amp; Development</v>
      </c>
      <c r="D2680" s="2" t="str">
        <f aca="false">'Raw Data'!K2680</f>
        <v>Research Scientist</v>
      </c>
      <c r="E2680" s="2" t="n">
        <f aca="false">'Raw Data'!Q2680</f>
        <v>9</v>
      </c>
      <c r="F2680" s="2" t="n">
        <f aca="false">'Raw Data'!U2680</f>
        <v>7</v>
      </c>
      <c r="G2680" s="2" t="n">
        <f aca="false">'Raw Data'!W2680</f>
        <v>1</v>
      </c>
      <c r="H2680" s="2" t="n">
        <f aca="false">'Raw Data'!V2680</f>
        <v>4</v>
      </c>
      <c r="I2680" s="2" t="n">
        <f aca="false">IF(AND(ISNUMBER(B2680),B2680&lt;=25),2,0)+IF(AND(ISNUMBER(E2680),E2680&lt;=5),2,0)+IF(AND(ISNUMBER(F2680),F2680&lt;=1),2,0)+IF(AND(ISNUMBER(G2680),G2680&lt;=2),1,0)+IF(AND(ISNUMBER(H2680),H2680&lt;=2),1,0)</f>
        <v>1</v>
      </c>
      <c r="J2680" s="2" t="str">
        <f aca="false">IF(I2680&gt;=6,"High",IF(I2680&gt;=3,"Medium","Low"))</f>
        <v>Low</v>
      </c>
    </row>
    <row r="2681" customFormat="false" ht="15" hidden="false" customHeight="true" outlineLevel="0" collapsed="false">
      <c r="A2681" s="2" t="n">
        <f aca="false">'Raw Data'!H2681</f>
        <v>2680</v>
      </c>
      <c r="B2681" s="2" t="n">
        <f aca="false">'Raw Data'!A2681</f>
        <v>27</v>
      </c>
      <c r="C2681" s="2" t="str">
        <f aca="false">'Raw Data'!D2681</f>
        <v>Research &amp; Development</v>
      </c>
      <c r="D2681" s="2" t="str">
        <f aca="false">'Raw Data'!K2681</f>
        <v>Laboratory Technician</v>
      </c>
      <c r="E2681" s="2" t="n">
        <f aca="false">'Raw Data'!Q2681</f>
        <v>6</v>
      </c>
      <c r="F2681" s="2" t="n">
        <f aca="false">'Raw Data'!U2681</f>
        <v>3</v>
      </c>
      <c r="G2681" s="2" t="n">
        <f aca="false">'Raw Data'!W2681</f>
        <v>2</v>
      </c>
      <c r="H2681" s="2" t="n">
        <f aca="false">'Raw Data'!V2681</f>
        <v>2</v>
      </c>
      <c r="I2681" s="2" t="n">
        <f aca="false">IF(AND(ISNUMBER(B2681),B2681&lt;=25),2,0)+IF(AND(ISNUMBER(E2681),E2681&lt;=5),2,0)+IF(AND(ISNUMBER(F2681),F2681&lt;=1),2,0)+IF(AND(ISNUMBER(G2681),G2681&lt;=2),1,0)+IF(AND(ISNUMBER(H2681),H2681&lt;=2),1,0)</f>
        <v>2</v>
      </c>
      <c r="J2681" s="2" t="str">
        <f aca="false">IF(I2681&gt;=6,"High",IF(I2681&gt;=3,"Medium","Low"))</f>
        <v>Low</v>
      </c>
    </row>
    <row r="2682" customFormat="false" ht="15" hidden="false" customHeight="true" outlineLevel="0" collapsed="false">
      <c r="A2682" s="2" t="n">
        <f aca="false">'Raw Data'!H2682</f>
        <v>2681</v>
      </c>
      <c r="B2682" s="2" t="n">
        <f aca="false">'Raw Data'!A2682</f>
        <v>49</v>
      </c>
      <c r="C2682" s="2" t="str">
        <f aca="false">'Raw Data'!D2682</f>
        <v>Research &amp; Development</v>
      </c>
      <c r="D2682" s="2" t="str">
        <f aca="false">'Raw Data'!K2682</f>
        <v>Healthcare Representative</v>
      </c>
      <c r="E2682" s="2" t="n">
        <f aca="false">'Raw Data'!Q2682</f>
        <v>17</v>
      </c>
      <c r="F2682" s="2" t="n">
        <f aca="false">'Raw Data'!U2682</f>
        <v>8</v>
      </c>
      <c r="G2682" s="2" t="n">
        <f aca="false">'Raw Data'!W2682</f>
        <v>2</v>
      </c>
      <c r="H2682" s="2" t="n">
        <f aca="false">'Raw Data'!V2682</f>
        <v>4</v>
      </c>
      <c r="I2682" s="2" t="n">
        <f aca="false">IF(AND(ISNUMBER(B2682),B2682&lt;=25),2,0)+IF(AND(ISNUMBER(E2682),E2682&lt;=5),2,0)+IF(AND(ISNUMBER(F2682),F2682&lt;=1),2,0)+IF(AND(ISNUMBER(G2682),G2682&lt;=2),1,0)+IF(AND(ISNUMBER(H2682),H2682&lt;=2),1,0)</f>
        <v>1</v>
      </c>
      <c r="J2682" s="2" t="str">
        <f aca="false">IF(I2682&gt;=6,"High",IF(I2682&gt;=3,"Medium","Low"))</f>
        <v>Low</v>
      </c>
    </row>
    <row r="2683" customFormat="false" ht="15" hidden="false" customHeight="true" outlineLevel="0" collapsed="false">
      <c r="A2683" s="2" t="n">
        <f aca="false">'Raw Data'!H2683</f>
        <v>2682</v>
      </c>
      <c r="B2683" s="2" t="n">
        <f aca="false">'Raw Data'!A2683</f>
        <v>34</v>
      </c>
      <c r="C2683" s="2" t="str">
        <f aca="false">'Raw Data'!D2683</f>
        <v>Sales</v>
      </c>
      <c r="D2683" s="2" t="str">
        <f aca="false">'Raw Data'!K2683</f>
        <v>Sales Executive</v>
      </c>
      <c r="E2683" s="2" t="n">
        <f aca="false">'Raw Data'!Q2683</f>
        <v>6</v>
      </c>
      <c r="F2683" s="2" t="n">
        <f aca="false">'Raw Data'!U2683</f>
        <v>2</v>
      </c>
      <c r="G2683" s="2" t="n">
        <f aca="false">'Raw Data'!W2683</f>
        <v>3</v>
      </c>
      <c r="H2683" s="2" t="n">
        <f aca="false">'Raw Data'!V2683</f>
        <v>2</v>
      </c>
      <c r="I2683" s="2" t="n">
        <f aca="false">IF(AND(ISNUMBER(B2683),B2683&lt;=25),2,0)+IF(AND(ISNUMBER(E2683),E2683&lt;=5),2,0)+IF(AND(ISNUMBER(F2683),F2683&lt;=1),2,0)+IF(AND(ISNUMBER(G2683),G2683&lt;=2),1,0)+IF(AND(ISNUMBER(H2683),H2683&lt;=2),1,0)</f>
        <v>1</v>
      </c>
      <c r="J2683" s="2" t="str">
        <f aca="false">IF(I2683&gt;=6,"High",IF(I2683&gt;=3,"Medium","Low"))</f>
        <v>Low</v>
      </c>
    </row>
    <row r="2684" customFormat="false" ht="15" hidden="false" customHeight="true" outlineLevel="0" collapsed="false">
      <c r="A2684" s="2" t="n">
        <f aca="false">'Raw Data'!H2684</f>
        <v>2683</v>
      </c>
      <c r="B2684" s="2" t="n">
        <f aca="false">'Raw Data'!A2684</f>
        <v>41</v>
      </c>
      <c r="C2684" s="2" t="str">
        <f aca="false">'Raw Data'!D2684</f>
        <v>Research &amp; Development</v>
      </c>
      <c r="D2684" s="2" t="str">
        <f aca="false">'Raw Data'!K2684</f>
        <v>Research Scientist</v>
      </c>
      <c r="E2684" s="2" t="n">
        <f aca="false">'Raw Data'!Q2684</f>
        <v>8</v>
      </c>
      <c r="F2684" s="2" t="n">
        <f aca="false">'Raw Data'!U2684</f>
        <v>5</v>
      </c>
      <c r="G2684" s="2" t="n">
        <f aca="false">'Raw Data'!W2684</f>
        <v>4</v>
      </c>
      <c r="H2684" s="2" t="n">
        <f aca="false">'Raw Data'!V2684</f>
        <v>2</v>
      </c>
      <c r="I2684" s="2" t="n">
        <f aca="false">IF(AND(ISNUMBER(B2684),B2684&lt;=25),2,0)+IF(AND(ISNUMBER(E2684),E2684&lt;=5),2,0)+IF(AND(ISNUMBER(F2684),F2684&lt;=1),2,0)+IF(AND(ISNUMBER(G2684),G2684&lt;=2),1,0)+IF(AND(ISNUMBER(H2684),H2684&lt;=2),1,0)</f>
        <v>1</v>
      </c>
      <c r="J2684" s="2" t="str">
        <f aca="false">IF(I2684&gt;=6,"High",IF(I2684&gt;=3,"Medium","Low"))</f>
        <v>Low</v>
      </c>
    </row>
    <row r="2685" customFormat="false" ht="15" hidden="false" customHeight="true" outlineLevel="0" collapsed="false">
      <c r="A2685" s="2" t="n">
        <f aca="false">'Raw Data'!H2685</f>
        <v>2684</v>
      </c>
      <c r="B2685" s="2" t="n">
        <f aca="false">'Raw Data'!A2685</f>
        <v>49</v>
      </c>
      <c r="C2685" s="2" t="str">
        <f aca="false">'Raw Data'!D2685</f>
        <v>Sales</v>
      </c>
      <c r="D2685" s="2" t="str">
        <f aca="false">'Raw Data'!K2685</f>
        <v>Manufacturing Director</v>
      </c>
      <c r="E2685" s="2" t="n">
        <f aca="false">'Raw Data'!Q2685</f>
        <v>10</v>
      </c>
      <c r="F2685" s="2" t="n">
        <f aca="false">'Raw Data'!U2685</f>
        <v>7</v>
      </c>
      <c r="G2685" s="2" t="n">
        <f aca="false">'Raw Data'!W2685</f>
        <v>2</v>
      </c>
      <c r="H2685" s="2" t="n">
        <f aca="false">'Raw Data'!V2685</f>
        <v>3</v>
      </c>
      <c r="I2685" s="2" t="n">
        <f aca="false">IF(AND(ISNUMBER(B2685),B2685&lt;=25),2,0)+IF(AND(ISNUMBER(E2685),E2685&lt;=5),2,0)+IF(AND(ISNUMBER(F2685),F2685&lt;=1),2,0)+IF(AND(ISNUMBER(G2685),G2685&lt;=2),1,0)+IF(AND(ISNUMBER(H2685),H2685&lt;=2),1,0)</f>
        <v>1</v>
      </c>
      <c r="J2685" s="2" t="str">
        <f aca="false">IF(I2685&gt;=6,"High",IF(I2685&gt;=3,"Medium","Low"))</f>
        <v>Low</v>
      </c>
    </row>
    <row r="2686" customFormat="false" ht="15" hidden="false" customHeight="true" outlineLevel="0" collapsed="false">
      <c r="A2686" s="2" t="n">
        <f aca="false">'Raw Data'!H2686</f>
        <v>2685</v>
      </c>
      <c r="B2686" s="2" t="n">
        <f aca="false">'Raw Data'!A2686</f>
        <v>37</v>
      </c>
      <c r="C2686" s="2" t="str">
        <f aca="false">'Raw Data'!D2686</f>
        <v>Research &amp; Development</v>
      </c>
      <c r="D2686" s="2" t="str">
        <f aca="false">'Raw Data'!K2686</f>
        <v>Sales Executive</v>
      </c>
      <c r="E2686" s="2" t="n">
        <f aca="false">'Raw Data'!Q2686</f>
        <v>7</v>
      </c>
      <c r="F2686" s="2" t="n">
        <f aca="false">'Raw Data'!U2686</f>
        <v>0</v>
      </c>
      <c r="G2686" s="2" t="n">
        <f aca="false">'Raw Data'!W2686</f>
        <v>3</v>
      </c>
      <c r="H2686" s="2" t="n">
        <f aca="false">'Raw Data'!V2686</f>
        <v>4</v>
      </c>
      <c r="I2686" s="2" t="n">
        <f aca="false">IF(AND(ISNUMBER(B2686),B2686&lt;=25),2,0)+IF(AND(ISNUMBER(E2686),E2686&lt;=5),2,0)+IF(AND(ISNUMBER(F2686),F2686&lt;=1),2,0)+IF(AND(ISNUMBER(G2686),G2686&lt;=2),1,0)+IF(AND(ISNUMBER(H2686),H2686&lt;=2),1,0)</f>
        <v>2</v>
      </c>
      <c r="J2686" s="2" t="str">
        <f aca="false">IF(I2686&gt;=6,"High",IF(I2686&gt;=3,"Medium","Low"))</f>
        <v>Low</v>
      </c>
    </row>
    <row r="2687" customFormat="false" ht="15" hidden="false" customHeight="true" outlineLevel="0" collapsed="false">
      <c r="A2687" s="2" t="n">
        <f aca="false">'Raw Data'!H2687</f>
        <v>2686</v>
      </c>
      <c r="B2687" s="2" t="n">
        <f aca="false">'Raw Data'!A2687</f>
        <v>33</v>
      </c>
      <c r="C2687" s="2" t="str">
        <f aca="false">'Raw Data'!D2687</f>
        <v>Research &amp; Development</v>
      </c>
      <c r="D2687" s="2" t="str">
        <f aca="false">'Raw Data'!K2687</f>
        <v>Research Scientist</v>
      </c>
      <c r="E2687" s="2" t="n">
        <f aca="false">'Raw Data'!Q2687</f>
        <v>8</v>
      </c>
      <c r="F2687" s="2" t="n">
        <f aca="false">'Raw Data'!U2687</f>
        <v>0</v>
      </c>
      <c r="G2687" s="2" t="n">
        <f aca="false">'Raw Data'!W2687</f>
        <v>3</v>
      </c>
      <c r="H2687" s="2" t="n">
        <f aca="false">'Raw Data'!V2687</f>
        <v>4</v>
      </c>
      <c r="I2687" s="2" t="n">
        <f aca="false">IF(AND(ISNUMBER(B2687),B2687&lt;=25),2,0)+IF(AND(ISNUMBER(E2687),E2687&lt;=5),2,0)+IF(AND(ISNUMBER(F2687),F2687&lt;=1),2,0)+IF(AND(ISNUMBER(G2687),G2687&lt;=2),1,0)+IF(AND(ISNUMBER(H2687),H2687&lt;=2),1,0)</f>
        <v>2</v>
      </c>
      <c r="J2687" s="2" t="str">
        <f aca="false">IF(I2687&gt;=6,"High",IF(I2687&gt;=3,"Medium","Low"))</f>
        <v>Low</v>
      </c>
    </row>
    <row r="2688" customFormat="false" ht="15" hidden="false" customHeight="true" outlineLevel="0" collapsed="false">
      <c r="A2688" s="2" t="n">
        <f aca="false">'Raw Data'!H2688</f>
        <v>2687</v>
      </c>
      <c r="B2688" s="2" t="n">
        <f aca="false">'Raw Data'!A2688</f>
        <v>27</v>
      </c>
      <c r="C2688" s="2" t="str">
        <f aca="false">'Raw Data'!D2688</f>
        <v>Sales</v>
      </c>
      <c r="D2688" s="2" t="str">
        <f aca="false">'Raw Data'!K2688</f>
        <v>Manufacturing Director</v>
      </c>
      <c r="E2688" s="2" t="n">
        <f aca="false">'Raw Data'!Q2688</f>
        <v>6</v>
      </c>
      <c r="F2688" s="2" t="n">
        <f aca="false">'Raw Data'!U2688</f>
        <v>2</v>
      </c>
      <c r="G2688" s="2" t="n">
        <f aca="false">'Raw Data'!W2688</f>
        <v>2</v>
      </c>
      <c r="H2688" s="2" t="n">
        <f aca="false">'Raw Data'!V2688</f>
        <v>1</v>
      </c>
      <c r="I2688" s="2" t="n">
        <f aca="false">IF(AND(ISNUMBER(B2688),B2688&lt;=25),2,0)+IF(AND(ISNUMBER(E2688),E2688&lt;=5),2,0)+IF(AND(ISNUMBER(F2688),F2688&lt;=1),2,0)+IF(AND(ISNUMBER(G2688),G2688&lt;=2),1,0)+IF(AND(ISNUMBER(H2688),H2688&lt;=2),1,0)</f>
        <v>2</v>
      </c>
      <c r="J2688" s="2" t="str">
        <f aca="false">IF(I2688&gt;=6,"High",IF(I2688&gt;=3,"Medium","Low"))</f>
        <v>Low</v>
      </c>
    </row>
    <row r="2689" customFormat="false" ht="15" hidden="false" customHeight="true" outlineLevel="0" collapsed="false">
      <c r="A2689" s="2" t="n">
        <f aca="false">'Raw Data'!H2689</f>
        <v>2688</v>
      </c>
      <c r="B2689" s="2" t="n">
        <f aca="false">'Raw Data'!A2689</f>
        <v>32</v>
      </c>
      <c r="C2689" s="2" t="str">
        <f aca="false">'Raw Data'!D2689</f>
        <v>Research &amp; Development</v>
      </c>
      <c r="D2689" s="2" t="str">
        <f aca="false">'Raw Data'!K2689</f>
        <v>Research Scientist</v>
      </c>
      <c r="E2689" s="2" t="n">
        <f aca="false">'Raw Data'!Q2689</f>
        <v>8</v>
      </c>
      <c r="F2689" s="2" t="n">
        <f aca="false">'Raw Data'!U2689</f>
        <v>6</v>
      </c>
      <c r="G2689" s="2" t="n">
        <f aca="false">'Raw Data'!W2689</f>
        <v>4</v>
      </c>
      <c r="H2689" s="2" t="n">
        <f aca="false">'Raw Data'!V2689</f>
        <v>4</v>
      </c>
      <c r="I2689" s="2" t="n">
        <f aca="false">IF(AND(ISNUMBER(B2689),B2689&lt;=25),2,0)+IF(AND(ISNUMBER(E2689),E2689&lt;=5),2,0)+IF(AND(ISNUMBER(F2689),F2689&lt;=1),2,0)+IF(AND(ISNUMBER(G2689),G2689&lt;=2),1,0)+IF(AND(ISNUMBER(H2689),H2689&lt;=2),1,0)</f>
        <v>0</v>
      </c>
      <c r="J2689" s="2" t="str">
        <f aca="false">IF(I2689&gt;=6,"High",IF(I2689&gt;=3,"Medium","Low"))</f>
        <v>Low</v>
      </c>
    </row>
    <row r="2690" customFormat="false" ht="15" hidden="false" customHeight="true" outlineLevel="0" collapsed="false">
      <c r="A2690" s="2" t="n">
        <f aca="false">'Raw Data'!H2690</f>
        <v>2689</v>
      </c>
      <c r="B2690" s="2" t="n">
        <f aca="false">'Raw Data'!A2690</f>
        <v>59</v>
      </c>
      <c r="C2690" s="2" t="str">
        <f aca="false">'Raw Data'!D2690</f>
        <v>Sales</v>
      </c>
      <c r="D2690" s="2" t="str">
        <f aca="false">'Raw Data'!K2690</f>
        <v>Sales Representative</v>
      </c>
      <c r="E2690" s="2" t="n">
        <f aca="false">'Raw Data'!Q2690</f>
        <v>12</v>
      </c>
      <c r="F2690" s="2" t="n">
        <f aca="false">'Raw Data'!U2690</f>
        <v>0</v>
      </c>
      <c r="G2690" s="2" t="n">
        <f aca="false">'Raw Data'!W2690</f>
        <v>1</v>
      </c>
      <c r="H2690" s="2" t="n">
        <f aca="false">'Raw Data'!V2690</f>
        <v>3</v>
      </c>
      <c r="I2690" s="2" t="n">
        <f aca="false">IF(AND(ISNUMBER(B2690),B2690&lt;=25),2,0)+IF(AND(ISNUMBER(E2690),E2690&lt;=5),2,0)+IF(AND(ISNUMBER(F2690),F2690&lt;=1),2,0)+IF(AND(ISNUMBER(G2690),G2690&lt;=2),1,0)+IF(AND(ISNUMBER(H2690),H2690&lt;=2),1,0)</f>
        <v>3</v>
      </c>
      <c r="J2690" s="2" t="str">
        <f aca="false">IF(I2690&gt;=6,"High",IF(I2690&gt;=3,"Medium","Low"))</f>
        <v>Medium</v>
      </c>
    </row>
    <row r="2691" customFormat="false" ht="15" hidden="false" customHeight="true" outlineLevel="0" collapsed="false">
      <c r="A2691" s="2" t="n">
        <f aca="false">'Raw Data'!H2691</f>
        <v>2690</v>
      </c>
      <c r="B2691" s="2" t="n">
        <f aca="false">'Raw Data'!A2691</f>
        <v>30</v>
      </c>
      <c r="C2691" s="2" t="str">
        <f aca="false">'Raw Data'!D2691</f>
        <v>Research &amp; Development</v>
      </c>
      <c r="D2691" s="2" t="str">
        <f aca="false">'Raw Data'!K2691</f>
        <v>Laboratory Technician</v>
      </c>
      <c r="E2691" s="2" t="n">
        <f aca="false">'Raw Data'!Q2691</f>
        <v>1</v>
      </c>
      <c r="F2691" s="2" t="n">
        <f aca="false">'Raw Data'!U2691</f>
        <v>0</v>
      </c>
      <c r="G2691" s="2" t="n">
        <f aca="false">'Raw Data'!W2691</f>
        <v>3</v>
      </c>
      <c r="H2691" s="2" t="n">
        <f aca="false">'Raw Data'!V2691</f>
        <v>4</v>
      </c>
      <c r="I2691" s="2" t="n">
        <f aca="false">IF(AND(ISNUMBER(B2691),B2691&lt;=25),2,0)+IF(AND(ISNUMBER(E2691),E2691&lt;=5),2,0)+IF(AND(ISNUMBER(F2691),F2691&lt;=1),2,0)+IF(AND(ISNUMBER(G2691),G2691&lt;=2),1,0)+IF(AND(ISNUMBER(H2691),H2691&lt;=2),1,0)</f>
        <v>4</v>
      </c>
      <c r="J2691" s="2" t="str">
        <f aca="false">IF(I2691&gt;=6,"High",IF(I2691&gt;=3,"Medium","Low"))</f>
        <v>Medium</v>
      </c>
    </row>
    <row r="2692" customFormat="false" ht="15" hidden="false" customHeight="true" outlineLevel="0" collapsed="false">
      <c r="A2692" s="2" t="n">
        <f aca="false">'Raw Data'!H2692</f>
        <v>2691</v>
      </c>
      <c r="B2692" s="2" t="n">
        <f aca="false">'Raw Data'!A2692</f>
        <v>38</v>
      </c>
      <c r="C2692" s="2" t="str">
        <f aca="false">'Raw Data'!D2692</f>
        <v>Sales</v>
      </c>
      <c r="D2692" s="2" t="str">
        <f aca="false">'Raw Data'!K2692</f>
        <v>Healthcare Representative</v>
      </c>
      <c r="E2692" s="2" t="n">
        <f aca="false">'Raw Data'!Q2692</f>
        <v>10</v>
      </c>
      <c r="F2692" s="2" t="n">
        <f aca="false">'Raw Data'!U2692</f>
        <v>8</v>
      </c>
      <c r="G2692" s="2" t="n">
        <f aca="false">'Raw Data'!W2692</f>
        <v>3</v>
      </c>
      <c r="H2692" s="2" t="n">
        <f aca="false">'Raw Data'!V2692</f>
        <v>4</v>
      </c>
      <c r="I2692" s="2" t="n">
        <f aca="false">IF(AND(ISNUMBER(B2692),B2692&lt;=25),2,0)+IF(AND(ISNUMBER(E2692),E2692&lt;=5),2,0)+IF(AND(ISNUMBER(F2692),F2692&lt;=1),2,0)+IF(AND(ISNUMBER(G2692),G2692&lt;=2),1,0)+IF(AND(ISNUMBER(H2692),H2692&lt;=2),1,0)</f>
        <v>0</v>
      </c>
      <c r="J2692" s="2" t="str">
        <f aca="false">IF(I2692&gt;=6,"High",IF(I2692&gt;=3,"Medium","Low"))</f>
        <v>Low</v>
      </c>
    </row>
    <row r="2693" customFormat="false" ht="15" hidden="false" customHeight="true" outlineLevel="0" collapsed="false">
      <c r="A2693" s="2" t="n">
        <f aca="false">'Raw Data'!H2693</f>
        <v>2692</v>
      </c>
      <c r="B2693" s="2" t="n">
        <f aca="false">'Raw Data'!A2693</f>
        <v>36</v>
      </c>
      <c r="C2693" s="2" t="str">
        <f aca="false">'Raw Data'!D2693</f>
        <v>Research &amp; Development</v>
      </c>
      <c r="D2693" s="2" t="str">
        <f aca="false">'Raw Data'!K2693</f>
        <v>Sales Executive</v>
      </c>
      <c r="E2693" s="2" t="n">
        <f aca="false">'Raw Data'!Q2693</f>
        <v>17</v>
      </c>
      <c r="F2693" s="2" t="n">
        <f aca="false">'Raw Data'!U2693</f>
        <v>7</v>
      </c>
      <c r="G2693" s="2" t="n">
        <f aca="false">'Raw Data'!W2693</f>
        <v>3</v>
      </c>
      <c r="H2693" s="2" t="n">
        <f aca="false">'Raw Data'!V2693</f>
        <v>3</v>
      </c>
      <c r="I2693" s="2" t="n">
        <f aca="false">IF(AND(ISNUMBER(B2693),B2693&lt;=25),2,0)+IF(AND(ISNUMBER(E2693),E2693&lt;=5),2,0)+IF(AND(ISNUMBER(F2693),F2693&lt;=1),2,0)+IF(AND(ISNUMBER(G2693),G2693&lt;=2),1,0)+IF(AND(ISNUMBER(H2693),H2693&lt;=2),1,0)</f>
        <v>0</v>
      </c>
      <c r="J2693" s="2" t="str">
        <f aca="false">IF(I2693&gt;=6,"High",IF(I2693&gt;=3,"Medium","Low"))</f>
        <v>Low</v>
      </c>
    </row>
    <row r="2694" customFormat="false" ht="15" hidden="false" customHeight="true" outlineLevel="0" collapsed="false">
      <c r="A2694" s="2" t="n">
        <f aca="false">'Raw Data'!H2694</f>
        <v>2693</v>
      </c>
      <c r="B2694" s="2" t="n">
        <f aca="false">'Raw Data'!A2694</f>
        <v>35</v>
      </c>
      <c r="C2694" s="2" t="str">
        <f aca="false">'Raw Data'!D2694</f>
        <v>Human Resources</v>
      </c>
      <c r="D2694" s="2" t="str">
        <f aca="false">'Raw Data'!K2694</f>
        <v>Manager</v>
      </c>
      <c r="E2694" s="2" t="n">
        <f aca="false">'Raw Data'!Q2694</f>
        <v>6</v>
      </c>
      <c r="F2694" s="2" t="n">
        <f aca="false">'Raw Data'!U2694</f>
        <v>3</v>
      </c>
      <c r="G2694" s="2" t="n">
        <f aca="false">'Raw Data'!W2694</f>
        <v>2</v>
      </c>
      <c r="H2694" s="2" t="n">
        <f aca="false">'Raw Data'!V2694</f>
        <v>1</v>
      </c>
      <c r="I2694" s="2" t="n">
        <f aca="false">IF(AND(ISNUMBER(B2694),B2694&lt;=25),2,0)+IF(AND(ISNUMBER(E2694),E2694&lt;=5),2,0)+IF(AND(ISNUMBER(F2694),F2694&lt;=1),2,0)+IF(AND(ISNUMBER(G2694),G2694&lt;=2),1,0)+IF(AND(ISNUMBER(H2694),H2694&lt;=2),1,0)</f>
        <v>2</v>
      </c>
      <c r="J2694" s="2" t="str">
        <f aca="false">IF(I2694&gt;=6,"High",IF(I2694&gt;=3,"Medium","Low"))</f>
        <v>Low</v>
      </c>
    </row>
    <row r="2695" customFormat="false" ht="15" hidden="false" customHeight="true" outlineLevel="0" collapsed="false">
      <c r="A2695" s="2" t="n">
        <f aca="false">'Raw Data'!H2695</f>
        <v>2694</v>
      </c>
      <c r="B2695" s="2" t="n">
        <f aca="false">'Raw Data'!A2695</f>
        <v>29</v>
      </c>
      <c r="C2695" s="2" t="str">
        <f aca="false">'Raw Data'!D2695</f>
        <v>Sales</v>
      </c>
      <c r="D2695" s="2" t="str">
        <f aca="false">'Raw Data'!K2695</f>
        <v>Laboratory Technician</v>
      </c>
      <c r="E2695" s="2" t="n">
        <f aca="false">'Raw Data'!Q2695</f>
        <v>10</v>
      </c>
      <c r="F2695" s="2" t="n">
        <f aca="false">'Raw Data'!U2695</f>
        <v>8</v>
      </c>
      <c r="G2695" s="2" t="n">
        <f aca="false">'Raw Data'!W2695</f>
        <v>3</v>
      </c>
      <c r="H2695" s="2" t="n">
        <f aca="false">'Raw Data'!V2695</f>
        <v>4</v>
      </c>
      <c r="I2695" s="2" t="n">
        <f aca="false">IF(AND(ISNUMBER(B2695),B2695&lt;=25),2,0)+IF(AND(ISNUMBER(E2695),E2695&lt;=5),2,0)+IF(AND(ISNUMBER(F2695),F2695&lt;=1),2,0)+IF(AND(ISNUMBER(G2695),G2695&lt;=2),1,0)+IF(AND(ISNUMBER(H2695),H2695&lt;=2),1,0)</f>
        <v>0</v>
      </c>
      <c r="J2695" s="2" t="str">
        <f aca="false">IF(I2695&gt;=6,"High",IF(I2695&gt;=3,"Medium","Low"))</f>
        <v>Low</v>
      </c>
    </row>
    <row r="2696" customFormat="false" ht="15" hidden="false" customHeight="true" outlineLevel="0" collapsed="false">
      <c r="A2696" s="2" t="n">
        <f aca="false">'Raw Data'!H2696</f>
        <v>2695</v>
      </c>
      <c r="B2696" s="2" t="n">
        <f aca="false">'Raw Data'!A2696</f>
        <v>31</v>
      </c>
      <c r="C2696" s="2" t="str">
        <f aca="false">'Raw Data'!D2696</f>
        <v>Research &amp; Development</v>
      </c>
      <c r="D2696" s="2" t="str">
        <f aca="false">'Raw Data'!K2696</f>
        <v>Laboratory Technician</v>
      </c>
      <c r="E2696" s="2" t="n">
        <f aca="false">'Raw Data'!Q2696</f>
        <v>5</v>
      </c>
      <c r="F2696" s="2" t="n">
        <f aca="false">'Raw Data'!U2696</f>
        <v>3</v>
      </c>
      <c r="G2696" s="2" t="n">
        <f aca="false">'Raw Data'!W2696</f>
        <v>3</v>
      </c>
      <c r="H2696" s="2" t="n">
        <f aca="false">'Raw Data'!V2696</f>
        <v>1</v>
      </c>
      <c r="I2696" s="2" t="n">
        <f aca="false">IF(AND(ISNUMBER(B2696),B2696&lt;=25),2,0)+IF(AND(ISNUMBER(E2696),E2696&lt;=5),2,0)+IF(AND(ISNUMBER(F2696),F2696&lt;=1),2,0)+IF(AND(ISNUMBER(G2696),G2696&lt;=2),1,0)+IF(AND(ISNUMBER(H2696),H2696&lt;=2),1,0)</f>
        <v>3</v>
      </c>
      <c r="J2696" s="2" t="str">
        <f aca="false">IF(I2696&gt;=6,"High",IF(I2696&gt;=3,"Medium","Low"))</f>
        <v>Medium</v>
      </c>
    </row>
    <row r="2697" customFormat="false" ht="15" hidden="false" customHeight="true" outlineLevel="0" collapsed="false">
      <c r="A2697" s="2" t="n">
        <f aca="false">'Raw Data'!H2697</f>
        <v>2696</v>
      </c>
      <c r="B2697" s="2" t="n">
        <f aca="false">'Raw Data'!A2697</f>
        <v>34</v>
      </c>
      <c r="C2697" s="2" t="str">
        <f aca="false">'Raw Data'!D2697</f>
        <v>Research &amp; Development</v>
      </c>
      <c r="D2697" s="2" t="str">
        <f aca="false">'Raw Data'!K2697</f>
        <v>Laboratory Technician</v>
      </c>
      <c r="E2697" s="2" t="n">
        <f aca="false">'Raw Data'!Q2697</f>
        <v>3</v>
      </c>
      <c r="F2697" s="2" t="n">
        <f aca="false">'Raw Data'!U2697</f>
        <v>2</v>
      </c>
      <c r="G2697" s="2" t="n">
        <f aca="false">'Raw Data'!W2697</f>
        <v>4</v>
      </c>
      <c r="H2697" s="2" t="n">
        <f aca="false">'Raw Data'!V2697</f>
        <v>2</v>
      </c>
      <c r="I2697" s="2" t="n">
        <f aca="false">IF(AND(ISNUMBER(B2697),B2697&lt;=25),2,0)+IF(AND(ISNUMBER(E2697),E2697&lt;=5),2,0)+IF(AND(ISNUMBER(F2697),F2697&lt;=1),2,0)+IF(AND(ISNUMBER(G2697),G2697&lt;=2),1,0)+IF(AND(ISNUMBER(H2697),H2697&lt;=2),1,0)</f>
        <v>3</v>
      </c>
      <c r="J2697" s="2" t="str">
        <f aca="false">IF(I2697&gt;=6,"High",IF(I2697&gt;=3,"Medium","Low"))</f>
        <v>Medium</v>
      </c>
    </row>
    <row r="2698" customFormat="false" ht="15" hidden="false" customHeight="true" outlineLevel="0" collapsed="false">
      <c r="A2698" s="2" t="n">
        <f aca="false">'Raw Data'!H2698</f>
        <v>2697</v>
      </c>
      <c r="B2698" s="2" t="n">
        <f aca="false">'Raw Data'!A2698</f>
        <v>28</v>
      </c>
      <c r="C2698" s="2" t="str">
        <f aca="false">'Raw Data'!D2698</f>
        <v>Research &amp; Development</v>
      </c>
      <c r="D2698" s="2" t="str">
        <f aca="false">'Raw Data'!K2698</f>
        <v>Research Director</v>
      </c>
      <c r="E2698" s="2" t="n">
        <f aca="false">'Raw Data'!Q2698</f>
        <v>6</v>
      </c>
      <c r="F2698" s="2" t="n">
        <f aca="false">'Raw Data'!U2698</f>
        <v>3</v>
      </c>
      <c r="G2698" s="2" t="n">
        <f aca="false">'Raw Data'!W2698</f>
        <v>3</v>
      </c>
      <c r="H2698" s="2" t="n">
        <f aca="false">'Raw Data'!V2698</f>
        <v>3</v>
      </c>
      <c r="I2698" s="2" t="n">
        <f aca="false">IF(AND(ISNUMBER(B2698),B2698&lt;=25),2,0)+IF(AND(ISNUMBER(E2698),E2698&lt;=5),2,0)+IF(AND(ISNUMBER(F2698),F2698&lt;=1),2,0)+IF(AND(ISNUMBER(G2698),G2698&lt;=2),1,0)+IF(AND(ISNUMBER(H2698),H2698&lt;=2),1,0)</f>
        <v>0</v>
      </c>
      <c r="J2698" s="2" t="str">
        <f aca="false">IF(I2698&gt;=6,"High",IF(I2698&gt;=3,"Medium","Low"))</f>
        <v>Low</v>
      </c>
    </row>
    <row r="2699" customFormat="false" ht="15" hidden="false" customHeight="true" outlineLevel="0" collapsed="false">
      <c r="A2699" s="2" t="n">
        <f aca="false">'Raw Data'!H2699</f>
        <v>2698</v>
      </c>
      <c r="B2699" s="2" t="n">
        <f aca="false">'Raw Data'!A2699</f>
        <v>29</v>
      </c>
      <c r="C2699" s="2" t="str">
        <f aca="false">'Raw Data'!D2699</f>
        <v>Research &amp; Development</v>
      </c>
      <c r="D2699" s="2" t="str">
        <f aca="false">'Raw Data'!K2699</f>
        <v>Laboratory Technician</v>
      </c>
      <c r="E2699" s="2" t="n">
        <f aca="false">'Raw Data'!Q2699</f>
        <v>10</v>
      </c>
      <c r="F2699" s="2" t="n">
        <f aca="false">'Raw Data'!U2699</f>
        <v>8</v>
      </c>
      <c r="G2699" s="2" t="n">
        <f aca="false">'Raw Data'!W2699</f>
        <v>1</v>
      </c>
      <c r="H2699" s="2" t="n">
        <f aca="false">'Raw Data'!V2699</f>
        <v>2</v>
      </c>
      <c r="I2699" s="2" t="n">
        <f aca="false">IF(AND(ISNUMBER(B2699),B2699&lt;=25),2,0)+IF(AND(ISNUMBER(E2699),E2699&lt;=5),2,0)+IF(AND(ISNUMBER(F2699),F2699&lt;=1),2,0)+IF(AND(ISNUMBER(G2699),G2699&lt;=2),1,0)+IF(AND(ISNUMBER(H2699),H2699&lt;=2),1,0)</f>
        <v>2</v>
      </c>
      <c r="J2699" s="2" t="str">
        <f aca="false">IF(I2699&gt;=6,"High",IF(I2699&gt;=3,"Medium","Low"))</f>
        <v>Low</v>
      </c>
    </row>
    <row r="2700" customFormat="false" ht="15" hidden="false" customHeight="true" outlineLevel="0" collapsed="false">
      <c r="A2700" s="2" t="n">
        <f aca="false">'Raw Data'!H2700</f>
        <v>2699</v>
      </c>
      <c r="B2700" s="2" t="n">
        <f aca="false">'Raw Data'!A2700</f>
        <v>32</v>
      </c>
      <c r="C2700" s="2" t="str">
        <f aca="false">'Raw Data'!D2700</f>
        <v>Human Resources</v>
      </c>
      <c r="D2700" s="2" t="str">
        <f aca="false">'Raw Data'!K2700</f>
        <v>Research Director</v>
      </c>
      <c r="E2700" s="2" t="n">
        <f aca="false">'Raw Data'!Q2700</f>
        <v>7</v>
      </c>
      <c r="F2700" s="2" t="n">
        <f aca="false">'Raw Data'!U2700</f>
        <v>5</v>
      </c>
      <c r="G2700" s="2" t="n">
        <f aca="false">'Raw Data'!W2700</f>
        <v>2</v>
      </c>
      <c r="H2700" s="2" t="n">
        <f aca="false">'Raw Data'!V2700</f>
        <v>1</v>
      </c>
      <c r="I2700" s="2" t="n">
        <f aca="false">IF(AND(ISNUMBER(B2700),B2700&lt;=25),2,0)+IF(AND(ISNUMBER(E2700),E2700&lt;=5),2,0)+IF(AND(ISNUMBER(F2700),F2700&lt;=1),2,0)+IF(AND(ISNUMBER(G2700),G2700&lt;=2),1,0)+IF(AND(ISNUMBER(H2700),H2700&lt;=2),1,0)</f>
        <v>2</v>
      </c>
      <c r="J2700" s="2" t="str">
        <f aca="false">IF(I2700&gt;=6,"High",IF(I2700&gt;=3,"Medium","Low"))</f>
        <v>Low</v>
      </c>
    </row>
    <row r="2701" customFormat="false" ht="15" hidden="false" customHeight="true" outlineLevel="0" collapsed="false">
      <c r="A2701" s="2" t="n">
        <f aca="false">'Raw Data'!H2701</f>
        <v>2700</v>
      </c>
      <c r="B2701" s="2" t="n">
        <f aca="false">'Raw Data'!A2701</f>
        <v>22</v>
      </c>
      <c r="C2701" s="2" t="str">
        <f aca="false">'Raw Data'!D2701</f>
        <v>Research &amp; Development</v>
      </c>
      <c r="D2701" s="2" t="str">
        <f aca="false">'Raw Data'!K2701</f>
        <v>Sales Executive</v>
      </c>
      <c r="E2701" s="2" t="n">
        <f aca="false">'Raw Data'!Q2701</f>
        <v>1</v>
      </c>
      <c r="F2701" s="2" t="n">
        <f aca="false">'Raw Data'!U2701</f>
        <v>0</v>
      </c>
      <c r="G2701" s="2" t="n">
        <f aca="false">'Raw Data'!W2701</f>
        <v>4</v>
      </c>
      <c r="H2701" s="2" t="n">
        <f aca="false">'Raw Data'!V2701</f>
        <v>4</v>
      </c>
      <c r="I2701" s="2" t="n">
        <f aca="false">IF(AND(ISNUMBER(B2701),B2701&lt;=25),2,0)+IF(AND(ISNUMBER(E2701),E2701&lt;=5),2,0)+IF(AND(ISNUMBER(F2701),F2701&lt;=1),2,0)+IF(AND(ISNUMBER(G2701),G2701&lt;=2),1,0)+IF(AND(ISNUMBER(H2701),H2701&lt;=2),1,0)</f>
        <v>6</v>
      </c>
      <c r="J2701" s="2" t="str">
        <f aca="false">IF(I2701&gt;=6,"High",IF(I2701&gt;=3,"Medium","Low"))</f>
        <v>High</v>
      </c>
    </row>
    <row r="2702" customFormat="false" ht="15" hidden="false" customHeight="true" outlineLevel="0" collapsed="false">
      <c r="A2702" s="2" t="n">
        <f aca="false">'Raw Data'!H2702</f>
        <v>2701</v>
      </c>
      <c r="B2702" s="2" t="n">
        <f aca="false">'Raw Data'!A2702</f>
        <v>53</v>
      </c>
      <c r="C2702" s="2" t="str">
        <f aca="false">'Raw Data'!D2702</f>
        <v>Research &amp; Development</v>
      </c>
      <c r="D2702" s="2" t="str">
        <f aca="false">'Raw Data'!K2702</f>
        <v>Manager</v>
      </c>
      <c r="E2702" s="2" t="n">
        <f aca="false">'Raw Data'!Q2702</f>
        <v>31</v>
      </c>
      <c r="F2702" s="2" t="n">
        <f aca="false">'Raw Data'!U2702</f>
        <v>7</v>
      </c>
      <c r="G2702" s="2" t="n">
        <f aca="false">'Raw Data'!W2702</f>
        <v>4</v>
      </c>
      <c r="H2702" s="2" t="n">
        <f aca="false">'Raw Data'!V2702</f>
        <v>1</v>
      </c>
      <c r="I2702" s="2" t="n">
        <f aca="false">IF(AND(ISNUMBER(B2702),B2702&lt;=25),2,0)+IF(AND(ISNUMBER(E2702),E2702&lt;=5),2,0)+IF(AND(ISNUMBER(F2702),F2702&lt;=1),2,0)+IF(AND(ISNUMBER(G2702),G2702&lt;=2),1,0)+IF(AND(ISNUMBER(H2702),H2702&lt;=2),1,0)</f>
        <v>1</v>
      </c>
      <c r="J2702" s="2" t="str">
        <f aca="false">IF(I2702&gt;=6,"High",IF(I2702&gt;=3,"Medium","Low"))</f>
        <v>Low</v>
      </c>
    </row>
    <row r="2703" customFormat="false" ht="15" hidden="false" customHeight="true" outlineLevel="0" collapsed="false">
      <c r="A2703" s="2" t="n">
        <f aca="false">'Raw Data'!H2703</f>
        <v>2702</v>
      </c>
      <c r="B2703" s="2" t="n">
        <f aca="false">'Raw Data'!A2703</f>
        <v>38</v>
      </c>
      <c r="C2703" s="2" t="str">
        <f aca="false">'Raw Data'!D2703</f>
        <v>Research &amp; Development</v>
      </c>
      <c r="D2703" s="2" t="str">
        <f aca="false">'Raw Data'!K2703</f>
        <v>Manufacturing Director</v>
      </c>
      <c r="E2703" s="2" t="n">
        <f aca="false">'Raw Data'!Q2703</f>
        <v>6</v>
      </c>
      <c r="F2703" s="2" t="n">
        <f aca="false">'Raw Data'!U2703</f>
        <v>2</v>
      </c>
      <c r="G2703" s="2" t="n">
        <f aca="false">'Raw Data'!W2703</f>
        <v>4</v>
      </c>
      <c r="H2703" s="2" t="n">
        <f aca="false">'Raw Data'!V2703</f>
        <v>4</v>
      </c>
      <c r="I2703" s="2" t="n">
        <f aca="false">IF(AND(ISNUMBER(B2703),B2703&lt;=25),2,0)+IF(AND(ISNUMBER(E2703),E2703&lt;=5),2,0)+IF(AND(ISNUMBER(F2703),F2703&lt;=1),2,0)+IF(AND(ISNUMBER(G2703),G2703&lt;=2),1,0)+IF(AND(ISNUMBER(H2703),H2703&lt;=2),1,0)</f>
        <v>0</v>
      </c>
      <c r="J2703" s="2" t="str">
        <f aca="false">IF(I2703&gt;=6,"High",IF(I2703&gt;=3,"Medium","Low"))</f>
        <v>Low</v>
      </c>
    </row>
    <row r="2704" customFormat="false" ht="15" hidden="false" customHeight="true" outlineLevel="0" collapsed="false">
      <c r="A2704" s="2" t="n">
        <f aca="false">'Raw Data'!H2704</f>
        <v>2703</v>
      </c>
      <c r="B2704" s="2" t="n">
        <f aca="false">'Raw Data'!A2704</f>
        <v>24</v>
      </c>
      <c r="C2704" s="2" t="str">
        <f aca="false">'Raw Data'!D2704</f>
        <v>Research &amp; Development</v>
      </c>
      <c r="D2704" s="2" t="str">
        <f aca="false">'Raw Data'!K2704</f>
        <v>Research Scientist</v>
      </c>
      <c r="E2704" s="2" t="n">
        <f aca="false">'Raw Data'!Q2704</f>
        <v>5</v>
      </c>
      <c r="F2704" s="2" t="n">
        <f aca="false">'Raw Data'!U2704</f>
        <v>3</v>
      </c>
      <c r="G2704" s="2" t="n">
        <f aca="false">'Raw Data'!W2704</f>
        <v>3</v>
      </c>
      <c r="H2704" s="2" t="n">
        <f aca="false">'Raw Data'!V2704</f>
        <v>1</v>
      </c>
      <c r="I2704" s="2" t="n">
        <f aca="false">IF(AND(ISNUMBER(B2704),B2704&lt;=25),2,0)+IF(AND(ISNUMBER(E2704),E2704&lt;=5),2,0)+IF(AND(ISNUMBER(F2704),F2704&lt;=1),2,0)+IF(AND(ISNUMBER(G2704),G2704&lt;=2),1,0)+IF(AND(ISNUMBER(H2704),H2704&lt;=2),1,0)</f>
        <v>5</v>
      </c>
      <c r="J2704" s="2" t="str">
        <f aca="false">IF(I2704&gt;=6,"High",IF(I2704&gt;=3,"Medium","Low"))</f>
        <v>Medium</v>
      </c>
    </row>
    <row r="2705" customFormat="false" ht="15" hidden="false" customHeight="true" outlineLevel="0" collapsed="false">
      <c r="A2705" s="2" t="n">
        <f aca="false">'Raw Data'!H2705</f>
        <v>2704</v>
      </c>
      <c r="B2705" s="2" t="n">
        <f aca="false">'Raw Data'!A2705</f>
        <v>36</v>
      </c>
      <c r="C2705" s="2" t="str">
        <f aca="false">'Raw Data'!D2705</f>
        <v>Research &amp; Development</v>
      </c>
      <c r="D2705" s="2" t="str">
        <f aca="false">'Raw Data'!K2705</f>
        <v>Research Director</v>
      </c>
      <c r="E2705" s="2" t="n">
        <f aca="false">'Raw Data'!Q2705</f>
        <v>10</v>
      </c>
      <c r="F2705" s="2" t="n">
        <f aca="false">'Raw Data'!U2705</f>
        <v>3</v>
      </c>
      <c r="G2705" s="2" t="n">
        <f aca="false">'Raw Data'!W2705</f>
        <v>1</v>
      </c>
      <c r="H2705" s="2" t="n">
        <f aca="false">'Raw Data'!V2705</f>
        <v>3</v>
      </c>
      <c r="I2705" s="2" t="n">
        <f aca="false">IF(AND(ISNUMBER(B2705),B2705&lt;=25),2,0)+IF(AND(ISNUMBER(E2705),E2705&lt;=5),2,0)+IF(AND(ISNUMBER(F2705),F2705&lt;=1),2,0)+IF(AND(ISNUMBER(G2705),G2705&lt;=2),1,0)+IF(AND(ISNUMBER(H2705),H2705&lt;=2),1,0)</f>
        <v>1</v>
      </c>
      <c r="J2705" s="2" t="str">
        <f aca="false">IF(I2705&gt;=6,"High",IF(I2705&gt;=3,"Medium","Low"))</f>
        <v>Low</v>
      </c>
    </row>
    <row r="2706" customFormat="false" ht="15" hidden="false" customHeight="true" outlineLevel="0" collapsed="false">
      <c r="A2706" s="2" t="n">
        <f aca="false">'Raw Data'!H2706</f>
        <v>2705</v>
      </c>
      <c r="B2706" s="2" t="n">
        <f aca="false">'Raw Data'!A2706</f>
        <v>34</v>
      </c>
      <c r="C2706" s="2" t="str">
        <f aca="false">'Raw Data'!D2706</f>
        <v>Sales</v>
      </c>
      <c r="D2706" s="2" t="str">
        <f aca="false">'Raw Data'!K2706</f>
        <v>Research Scientist</v>
      </c>
      <c r="E2706" s="2" t="n">
        <f aca="false">'Raw Data'!Q2706</f>
        <v>13</v>
      </c>
      <c r="F2706" s="2" t="n">
        <f aca="false">'Raw Data'!U2706</f>
        <v>11</v>
      </c>
      <c r="G2706" s="2" t="n">
        <f aca="false">'Raw Data'!W2706</f>
        <v>2</v>
      </c>
      <c r="H2706" s="2" t="n">
        <f aca="false">'Raw Data'!V2706</f>
        <v>1</v>
      </c>
      <c r="I2706" s="2" t="n">
        <f aca="false">IF(AND(ISNUMBER(B2706),B2706&lt;=25),2,0)+IF(AND(ISNUMBER(E2706),E2706&lt;=5),2,0)+IF(AND(ISNUMBER(F2706),F2706&lt;=1),2,0)+IF(AND(ISNUMBER(G2706),G2706&lt;=2),1,0)+IF(AND(ISNUMBER(H2706),H2706&lt;=2),1,0)</f>
        <v>2</v>
      </c>
      <c r="J2706" s="2" t="str">
        <f aca="false">IF(I2706&gt;=6,"High",IF(I2706&gt;=3,"Medium","Low"))</f>
        <v>Low</v>
      </c>
    </row>
    <row r="2707" customFormat="false" ht="15" hidden="false" customHeight="true" outlineLevel="0" collapsed="false">
      <c r="A2707" s="2" t="n">
        <f aca="false">'Raw Data'!H2707</f>
        <v>2706</v>
      </c>
      <c r="B2707" s="2" t="n">
        <f aca="false">'Raw Data'!A2707</f>
        <v>21</v>
      </c>
      <c r="C2707" s="2" t="str">
        <f aca="false">'Raw Data'!D2707</f>
        <v>Sales</v>
      </c>
      <c r="D2707" s="2" t="str">
        <f aca="false">'Raw Data'!K2707</f>
        <v>Manufacturing Director</v>
      </c>
      <c r="E2707" s="2" t="n">
        <f aca="false">'Raw Data'!Q2707</f>
        <v>0</v>
      </c>
      <c r="F2707" s="2" t="n">
        <f aca="false">'Raw Data'!U2707</f>
        <v>0</v>
      </c>
      <c r="G2707" s="2" t="n">
        <f aca="false">'Raw Data'!W2707</f>
        <v>4</v>
      </c>
      <c r="H2707" s="2" t="n">
        <f aca="false">'Raw Data'!V2707</f>
        <v>3</v>
      </c>
      <c r="I2707" s="2" t="n">
        <f aca="false">IF(AND(ISNUMBER(B2707),B2707&lt;=25),2,0)+IF(AND(ISNUMBER(E2707),E2707&lt;=5),2,0)+IF(AND(ISNUMBER(F2707),F2707&lt;=1),2,0)+IF(AND(ISNUMBER(G2707),G2707&lt;=2),1,0)+IF(AND(ISNUMBER(H2707),H2707&lt;=2),1,0)</f>
        <v>6</v>
      </c>
      <c r="J2707" s="2" t="str">
        <f aca="false">IF(I2707&gt;=6,"High",IF(I2707&gt;=3,"Medium","Low"))</f>
        <v>High</v>
      </c>
    </row>
    <row r="2708" customFormat="false" ht="15" hidden="false" customHeight="true" outlineLevel="0" collapsed="false">
      <c r="A2708" s="2" t="n">
        <f aca="false">'Raw Data'!H2708</f>
        <v>2707</v>
      </c>
      <c r="B2708" s="2" t="n">
        <f aca="false">'Raw Data'!A2708</f>
        <v>34</v>
      </c>
      <c r="C2708" s="2" t="str">
        <f aca="false">'Raw Data'!D2708</f>
        <v>Sales</v>
      </c>
      <c r="D2708" s="2" t="str">
        <f aca="false">'Raw Data'!K2708</f>
        <v>Research Scientist</v>
      </c>
      <c r="E2708" s="2" t="n">
        <f aca="false">'Raw Data'!Q2708</f>
        <v>8</v>
      </c>
      <c r="F2708" s="2" t="n">
        <f aca="false">'Raw Data'!U2708</f>
        <v>3</v>
      </c>
      <c r="G2708" s="2" t="n">
        <f aca="false">'Raw Data'!W2708</f>
        <v>1</v>
      </c>
      <c r="H2708" s="2" t="n">
        <f aca="false">'Raw Data'!V2708</f>
        <v>2</v>
      </c>
      <c r="I2708" s="2" t="n">
        <f aca="false">IF(AND(ISNUMBER(B2708),B2708&lt;=25),2,0)+IF(AND(ISNUMBER(E2708),E2708&lt;=5),2,0)+IF(AND(ISNUMBER(F2708),F2708&lt;=1),2,0)+IF(AND(ISNUMBER(G2708),G2708&lt;=2),1,0)+IF(AND(ISNUMBER(H2708),H2708&lt;=2),1,0)</f>
        <v>2</v>
      </c>
      <c r="J2708" s="2" t="str">
        <f aca="false">IF(I2708&gt;=6,"High",IF(I2708&gt;=3,"Medium","Low"))</f>
        <v>Low</v>
      </c>
    </row>
    <row r="2709" customFormat="false" ht="15" hidden="false" customHeight="true" outlineLevel="0" collapsed="false">
      <c r="A2709" s="2" t="n">
        <f aca="false">'Raw Data'!H2709</f>
        <v>2708</v>
      </c>
      <c r="B2709" s="2" t="n">
        <f aca="false">'Raw Data'!A2709</f>
        <v>53</v>
      </c>
      <c r="C2709" s="2" t="str">
        <f aca="false">'Raw Data'!D2709</f>
        <v>Sales</v>
      </c>
      <c r="D2709" s="2" t="str">
        <f aca="false">'Raw Data'!K2709</f>
        <v>Human Resources</v>
      </c>
      <c r="E2709" s="2" t="n">
        <f aca="false">'Raw Data'!Q2709</f>
        <v>26</v>
      </c>
      <c r="F2709" s="2" t="n">
        <f aca="false">'Raw Data'!U2709</f>
        <v>8</v>
      </c>
      <c r="G2709" s="2" t="n">
        <f aca="false">'Raw Data'!W2709</f>
        <v>0</v>
      </c>
      <c r="H2709" s="2" t="n">
        <f aca="false">'Raw Data'!V2709</f>
        <v>3</v>
      </c>
      <c r="I2709" s="2" t="n">
        <f aca="false">IF(AND(ISNUMBER(B2709),B2709&lt;=25),2,0)+IF(AND(ISNUMBER(E2709),E2709&lt;=5),2,0)+IF(AND(ISNUMBER(F2709),F2709&lt;=1),2,0)+IF(AND(ISNUMBER(G2709),G2709&lt;=2),1,0)+IF(AND(ISNUMBER(H2709),H2709&lt;=2),1,0)</f>
        <v>0</v>
      </c>
      <c r="J2709" s="2" t="str">
        <f aca="false">IF(I2709&gt;=6,"High",IF(I2709&gt;=3,"Medium","Low"))</f>
        <v>Low</v>
      </c>
    </row>
    <row r="2710" customFormat="false" ht="15" hidden="false" customHeight="true" outlineLevel="0" collapsed="false">
      <c r="A2710" s="2" t="n">
        <f aca="false">'Raw Data'!H2710</f>
        <v>2709</v>
      </c>
      <c r="B2710" s="2" t="n">
        <f aca="false">'Raw Data'!A2710</f>
        <v>32</v>
      </c>
      <c r="C2710" s="2" t="str">
        <f aca="false">'Raw Data'!D2710</f>
        <v>Research &amp; Development</v>
      </c>
      <c r="D2710" s="2" t="str">
        <f aca="false">'Raw Data'!K2710</f>
        <v>Manufacturing Director</v>
      </c>
      <c r="E2710" s="2" t="n">
        <f aca="false">'Raw Data'!Q2710</f>
        <v>10</v>
      </c>
      <c r="F2710" s="2" t="n">
        <f aca="false">'Raw Data'!U2710</f>
        <v>7</v>
      </c>
      <c r="G2710" s="2" t="n">
        <f aca="false">'Raw Data'!W2710</f>
        <v>1</v>
      </c>
      <c r="H2710" s="2" t="n">
        <f aca="false">'Raw Data'!V2710</f>
        <v>2</v>
      </c>
      <c r="I2710" s="2" t="n">
        <f aca="false">IF(AND(ISNUMBER(B2710),B2710&lt;=25),2,0)+IF(AND(ISNUMBER(E2710),E2710&lt;=5),2,0)+IF(AND(ISNUMBER(F2710),F2710&lt;=1),2,0)+IF(AND(ISNUMBER(G2710),G2710&lt;=2),1,0)+IF(AND(ISNUMBER(H2710),H2710&lt;=2),1,0)</f>
        <v>2</v>
      </c>
      <c r="J2710" s="2" t="str">
        <f aca="false">IF(I2710&gt;=6,"High",IF(I2710&gt;=3,"Medium","Low"))</f>
        <v>Low</v>
      </c>
    </row>
    <row r="2711" customFormat="false" ht="15" hidden="false" customHeight="true" outlineLevel="0" collapsed="false">
      <c r="A2711" s="2" t="n">
        <f aca="false">'Raw Data'!H2711</f>
        <v>2710</v>
      </c>
      <c r="B2711" s="2" t="n">
        <f aca="false">'Raw Data'!A2711</f>
        <v>42</v>
      </c>
      <c r="C2711" s="2" t="str">
        <f aca="false">'Raw Data'!D2711</f>
        <v>Research &amp; Development</v>
      </c>
      <c r="D2711" s="2" t="str">
        <f aca="false">'Raw Data'!K2711</f>
        <v>Laboratory Technician</v>
      </c>
      <c r="E2711" s="2" t="n">
        <f aca="false">'Raw Data'!Q2711</f>
        <v>10</v>
      </c>
      <c r="F2711" s="2" t="n">
        <f aca="false">'Raw Data'!U2711</f>
        <v>2</v>
      </c>
      <c r="G2711" s="2" t="n">
        <f aca="false">'Raw Data'!W2711</f>
        <v>2</v>
      </c>
      <c r="H2711" s="2" t="n">
        <f aca="false">'Raw Data'!V2711</f>
        <v>3</v>
      </c>
      <c r="I2711" s="2" t="n">
        <f aca="false">IF(AND(ISNUMBER(B2711),B2711&lt;=25),2,0)+IF(AND(ISNUMBER(E2711),E2711&lt;=5),2,0)+IF(AND(ISNUMBER(F2711),F2711&lt;=1),2,0)+IF(AND(ISNUMBER(G2711),G2711&lt;=2),1,0)+IF(AND(ISNUMBER(H2711),H2711&lt;=2),1,0)</f>
        <v>1</v>
      </c>
      <c r="J2711" s="2" t="str">
        <f aca="false">IF(I2711&gt;=6,"High",IF(I2711&gt;=3,"Medium","Low"))</f>
        <v>Low</v>
      </c>
    </row>
    <row r="2712" customFormat="false" ht="15" hidden="false" customHeight="true" outlineLevel="0" collapsed="false">
      <c r="A2712" s="2" t="n">
        <f aca="false">'Raw Data'!H2712</f>
        <v>2711</v>
      </c>
      <c r="B2712" s="2" t="n">
        <f aca="false">'Raw Data'!A2712</f>
        <v>44</v>
      </c>
      <c r="C2712" s="2" t="str">
        <f aca="false">'Raw Data'!D2712</f>
        <v>Research &amp; Development</v>
      </c>
      <c r="D2712" s="2" t="str">
        <f aca="false">'Raw Data'!K2712</f>
        <v>Manufacturing Director</v>
      </c>
      <c r="E2712" s="2" t="n">
        <f aca="false">'Raw Data'!Q2712</f>
        <v>24</v>
      </c>
      <c r="F2712" s="2" t="n">
        <f aca="false">'Raw Data'!U2712</f>
        <v>17</v>
      </c>
      <c r="G2712" s="2" t="n">
        <f aca="false">'Raw Data'!W2712</f>
        <v>4</v>
      </c>
      <c r="H2712" s="2" t="n">
        <f aca="false">'Raw Data'!V2712</f>
        <v>1</v>
      </c>
      <c r="I2712" s="2" t="n">
        <f aca="false">IF(AND(ISNUMBER(B2712),B2712&lt;=25),2,0)+IF(AND(ISNUMBER(E2712),E2712&lt;=5),2,0)+IF(AND(ISNUMBER(F2712),F2712&lt;=1),2,0)+IF(AND(ISNUMBER(G2712),G2712&lt;=2),1,0)+IF(AND(ISNUMBER(H2712),H2712&lt;=2),1,0)</f>
        <v>1</v>
      </c>
      <c r="J2712" s="2" t="str">
        <f aca="false">IF(I2712&gt;=6,"High",IF(I2712&gt;=3,"Medium","Low"))</f>
        <v>Low</v>
      </c>
    </row>
    <row r="2713" customFormat="false" ht="15" hidden="false" customHeight="true" outlineLevel="0" collapsed="false">
      <c r="A2713" s="2" t="n">
        <f aca="false">'Raw Data'!H2713</f>
        <v>2712</v>
      </c>
      <c r="B2713" s="2" t="n">
        <f aca="false">'Raw Data'!A2713</f>
        <v>46</v>
      </c>
      <c r="C2713" s="2" t="str">
        <f aca="false">'Raw Data'!D2713</f>
        <v>Sales</v>
      </c>
      <c r="D2713" s="2" t="str">
        <f aca="false">'Raw Data'!K2713</f>
        <v>Research Scientist</v>
      </c>
      <c r="E2713" s="2" t="n">
        <f aca="false">'Raw Data'!Q2713</f>
        <v>22</v>
      </c>
      <c r="F2713" s="2" t="n">
        <f aca="false">'Raw Data'!U2713</f>
        <v>1</v>
      </c>
      <c r="G2713" s="2" t="n">
        <f aca="false">'Raw Data'!W2713</f>
        <v>1</v>
      </c>
      <c r="H2713" s="2" t="n">
        <f aca="false">'Raw Data'!V2713</f>
        <v>2</v>
      </c>
      <c r="I2713" s="2" t="n">
        <f aca="false">IF(AND(ISNUMBER(B2713),B2713&lt;=25),2,0)+IF(AND(ISNUMBER(E2713),E2713&lt;=5),2,0)+IF(AND(ISNUMBER(F2713),F2713&lt;=1),2,0)+IF(AND(ISNUMBER(G2713),G2713&lt;=2),1,0)+IF(AND(ISNUMBER(H2713),H2713&lt;=2),1,0)</f>
        <v>4</v>
      </c>
      <c r="J2713" s="2" t="str">
        <f aca="false">IF(I2713&gt;=6,"High",IF(I2713&gt;=3,"Medium","Low"))</f>
        <v>Medium</v>
      </c>
    </row>
    <row r="2714" customFormat="false" ht="15" hidden="false" customHeight="true" outlineLevel="0" collapsed="false">
      <c r="A2714" s="2" t="n">
        <f aca="false">'Raw Data'!H2714</f>
        <v>2713</v>
      </c>
      <c r="B2714" s="2" t="n">
        <f aca="false">'Raw Data'!A2714</f>
        <v>33</v>
      </c>
      <c r="C2714" s="2" t="str">
        <f aca="false">'Raw Data'!D2714</f>
        <v>Sales</v>
      </c>
      <c r="D2714" s="2" t="str">
        <f aca="false">'Raw Data'!K2714</f>
        <v>Manufacturing Director</v>
      </c>
      <c r="E2714" s="2" t="n">
        <f aca="false">'Raw Data'!Q2714</f>
        <v>7</v>
      </c>
      <c r="F2714" s="2" t="n">
        <f aca="false">'Raw Data'!U2714</f>
        <v>0</v>
      </c>
      <c r="G2714" s="2" t="n">
        <f aca="false">'Raw Data'!W2714</f>
        <v>4</v>
      </c>
      <c r="H2714" s="2" t="n">
        <f aca="false">'Raw Data'!V2714</f>
        <v>3</v>
      </c>
      <c r="I2714" s="2" t="n">
        <f aca="false">IF(AND(ISNUMBER(B2714),B2714&lt;=25),2,0)+IF(AND(ISNUMBER(E2714),E2714&lt;=5),2,0)+IF(AND(ISNUMBER(F2714),F2714&lt;=1),2,0)+IF(AND(ISNUMBER(G2714),G2714&lt;=2),1,0)+IF(AND(ISNUMBER(H2714),H2714&lt;=2),1,0)</f>
        <v>2</v>
      </c>
      <c r="J2714" s="2" t="str">
        <f aca="false">IF(I2714&gt;=6,"High",IF(I2714&gt;=3,"Medium","Low"))</f>
        <v>Low</v>
      </c>
    </row>
    <row r="2715" customFormat="false" ht="15" hidden="false" customHeight="true" outlineLevel="0" collapsed="false">
      <c r="A2715" s="2" t="n">
        <f aca="false">'Raw Data'!H2715</f>
        <v>2714</v>
      </c>
      <c r="B2715" s="2" t="n">
        <f aca="false">'Raw Data'!A2715</f>
        <v>44</v>
      </c>
      <c r="C2715" s="2" t="str">
        <f aca="false">'Raw Data'!D2715</f>
        <v>Human Resources</v>
      </c>
      <c r="D2715" s="2" t="str">
        <f aca="false">'Raw Data'!K2715</f>
        <v>Healthcare Representative</v>
      </c>
      <c r="E2715" s="2" t="n">
        <f aca="false">'Raw Data'!Q2715</f>
        <v>9</v>
      </c>
      <c r="F2715" s="2" t="n">
        <f aca="false">'Raw Data'!U2715</f>
        <v>3</v>
      </c>
      <c r="G2715" s="2" t="n">
        <f aca="false">'Raw Data'!W2715</f>
        <v>4</v>
      </c>
      <c r="H2715" s="2" t="n">
        <f aca="false">'Raw Data'!V2715</f>
        <v>4</v>
      </c>
      <c r="I2715" s="2" t="n">
        <f aca="false">IF(AND(ISNUMBER(B2715),B2715&lt;=25),2,0)+IF(AND(ISNUMBER(E2715),E2715&lt;=5),2,0)+IF(AND(ISNUMBER(F2715),F2715&lt;=1),2,0)+IF(AND(ISNUMBER(G2715),G2715&lt;=2),1,0)+IF(AND(ISNUMBER(H2715),H2715&lt;=2),1,0)</f>
        <v>0</v>
      </c>
      <c r="J2715" s="2" t="str">
        <f aca="false">IF(I2715&gt;=6,"High",IF(I2715&gt;=3,"Medium","Low"))</f>
        <v>Low</v>
      </c>
    </row>
    <row r="2716" customFormat="false" ht="15" hidden="false" customHeight="true" outlineLevel="0" collapsed="false">
      <c r="A2716" s="2" t="n">
        <f aca="false">'Raw Data'!H2716</f>
        <v>2715</v>
      </c>
      <c r="B2716" s="2" t="n">
        <f aca="false">'Raw Data'!A2716</f>
        <v>30</v>
      </c>
      <c r="C2716" s="2" t="str">
        <f aca="false">'Raw Data'!D2716</f>
        <v>Research &amp; Development</v>
      </c>
      <c r="D2716" s="2" t="str">
        <f aca="false">'Raw Data'!K2716</f>
        <v>Research Scientist</v>
      </c>
      <c r="E2716" s="2" t="n">
        <f aca="false">'Raw Data'!Q2716</f>
        <v>10</v>
      </c>
      <c r="F2716" s="2" t="n">
        <f aca="false">'Raw Data'!U2716</f>
        <v>8</v>
      </c>
      <c r="G2716" s="2" t="n">
        <f aca="false">'Raw Data'!W2716</f>
        <v>3</v>
      </c>
      <c r="H2716" s="2" t="n">
        <f aca="false">'Raw Data'!V2716</f>
        <v>4</v>
      </c>
      <c r="I2716" s="2" t="n">
        <f aca="false">IF(AND(ISNUMBER(B2716),B2716&lt;=25),2,0)+IF(AND(ISNUMBER(E2716),E2716&lt;=5),2,0)+IF(AND(ISNUMBER(F2716),F2716&lt;=1),2,0)+IF(AND(ISNUMBER(G2716),G2716&lt;=2),1,0)+IF(AND(ISNUMBER(H2716),H2716&lt;=2),1,0)</f>
        <v>0</v>
      </c>
      <c r="J2716" s="2" t="str">
        <f aca="false">IF(I2716&gt;=6,"High",IF(I2716&gt;=3,"Medium","Low"))</f>
        <v>Low</v>
      </c>
    </row>
    <row r="2717" customFormat="false" ht="15" hidden="false" customHeight="true" outlineLevel="0" collapsed="false">
      <c r="A2717" s="2" t="n">
        <f aca="false">'Raw Data'!H2717</f>
        <v>2716</v>
      </c>
      <c r="B2717" s="2" t="n">
        <f aca="false">'Raw Data'!A2717</f>
        <v>39</v>
      </c>
      <c r="C2717" s="2" t="str">
        <f aca="false">'Raw Data'!D2717</f>
        <v>Human Resources</v>
      </c>
      <c r="D2717" s="2" t="str">
        <f aca="false">'Raw Data'!K2717</f>
        <v>Sales Executive</v>
      </c>
      <c r="E2717" s="2" t="n">
        <f aca="false">'Raw Data'!Q2717</f>
        <v>19</v>
      </c>
      <c r="F2717" s="2" t="n">
        <f aca="false">'Raw Data'!U2717</f>
        <v>0</v>
      </c>
      <c r="G2717" s="2" t="n">
        <f aca="false">'Raw Data'!W2717</f>
        <v>4</v>
      </c>
      <c r="H2717" s="2" t="n">
        <f aca="false">'Raw Data'!V2717</f>
        <v>4</v>
      </c>
      <c r="I2717" s="2" t="n">
        <f aca="false">IF(AND(ISNUMBER(B2717),B2717&lt;=25),2,0)+IF(AND(ISNUMBER(E2717),E2717&lt;=5),2,0)+IF(AND(ISNUMBER(F2717),F2717&lt;=1),2,0)+IF(AND(ISNUMBER(G2717),G2717&lt;=2),1,0)+IF(AND(ISNUMBER(H2717),H2717&lt;=2),1,0)</f>
        <v>2</v>
      </c>
      <c r="J2717" s="2" t="str">
        <f aca="false">IF(I2717&gt;=6,"High",IF(I2717&gt;=3,"Medium","Low"))</f>
        <v>Low</v>
      </c>
    </row>
    <row r="2718" customFormat="false" ht="15" hidden="false" customHeight="true" outlineLevel="0" collapsed="false">
      <c r="A2718" s="2" t="n">
        <f aca="false">'Raw Data'!H2718</f>
        <v>2717</v>
      </c>
      <c r="B2718" s="2" t="n">
        <f aca="false">'Raw Data'!A2718</f>
        <v>24</v>
      </c>
      <c r="C2718" s="2" t="str">
        <f aca="false">'Raw Data'!D2718</f>
        <v>Human Resources</v>
      </c>
      <c r="D2718" s="2" t="str">
        <f aca="false">'Raw Data'!K2718</f>
        <v>Sales Executive</v>
      </c>
      <c r="E2718" s="2" t="n">
        <f aca="false">'Raw Data'!Q2718</f>
        <v>6</v>
      </c>
      <c r="F2718" s="2" t="n">
        <f aca="false">'Raw Data'!U2718</f>
        <v>0</v>
      </c>
      <c r="G2718" s="2" t="n">
        <f aca="false">'Raw Data'!W2718</f>
        <v>4</v>
      </c>
      <c r="H2718" s="2" t="n">
        <f aca="false">'Raw Data'!V2718</f>
        <v>2</v>
      </c>
      <c r="I2718" s="2" t="n">
        <f aca="false">IF(AND(ISNUMBER(B2718),B2718&lt;=25),2,0)+IF(AND(ISNUMBER(E2718),E2718&lt;=5),2,0)+IF(AND(ISNUMBER(F2718),F2718&lt;=1),2,0)+IF(AND(ISNUMBER(G2718),G2718&lt;=2),1,0)+IF(AND(ISNUMBER(H2718),H2718&lt;=2),1,0)</f>
        <v>5</v>
      </c>
      <c r="J2718" s="2" t="str">
        <f aca="false">IF(I2718&gt;=6,"High",IF(I2718&gt;=3,"Medium","Low"))</f>
        <v>Medium</v>
      </c>
    </row>
    <row r="2719" customFormat="false" ht="15" hidden="false" customHeight="true" outlineLevel="0" collapsed="false">
      <c r="A2719" s="2" t="n">
        <f aca="false">'Raw Data'!H2719</f>
        <v>2718</v>
      </c>
      <c r="B2719" s="2" t="n">
        <f aca="false">'Raw Data'!A2719</f>
        <v>43</v>
      </c>
      <c r="C2719" s="2" t="str">
        <f aca="false">'Raw Data'!D2719</f>
        <v>Sales</v>
      </c>
      <c r="D2719" s="2" t="str">
        <f aca="false">'Raw Data'!K2719</f>
        <v>Research Director</v>
      </c>
      <c r="E2719" s="2" t="n">
        <f aca="false">'Raw Data'!Q2719</f>
        <v>6</v>
      </c>
      <c r="F2719" s="2" t="n">
        <f aca="false">'Raw Data'!U2719</f>
        <v>4</v>
      </c>
      <c r="G2719" s="2" t="n">
        <f aca="false">'Raw Data'!W2719</f>
        <v>3</v>
      </c>
      <c r="H2719" s="2" t="n">
        <f aca="false">'Raw Data'!V2719</f>
        <v>4</v>
      </c>
      <c r="I2719" s="2" t="n">
        <f aca="false">IF(AND(ISNUMBER(B2719),B2719&lt;=25),2,0)+IF(AND(ISNUMBER(E2719),E2719&lt;=5),2,0)+IF(AND(ISNUMBER(F2719),F2719&lt;=1),2,0)+IF(AND(ISNUMBER(G2719),G2719&lt;=2),1,0)+IF(AND(ISNUMBER(H2719),H2719&lt;=2),1,0)</f>
        <v>0</v>
      </c>
      <c r="J2719" s="2" t="str">
        <f aca="false">IF(I2719&gt;=6,"High",IF(I2719&gt;=3,"Medium","Low"))</f>
        <v>Low</v>
      </c>
    </row>
    <row r="2720" customFormat="false" ht="15" hidden="false" customHeight="true" outlineLevel="0" collapsed="false">
      <c r="A2720" s="2" t="n">
        <f aca="false">'Raw Data'!H2720</f>
        <v>2719</v>
      </c>
      <c r="B2720" s="2" t="n">
        <f aca="false">'Raw Data'!A2720</f>
        <v>50</v>
      </c>
      <c r="C2720" s="2" t="str">
        <f aca="false">'Raw Data'!D2720</f>
        <v>Research &amp; Development</v>
      </c>
      <c r="D2720" s="2" t="str">
        <f aca="false">'Raw Data'!K2720</f>
        <v>Research Director</v>
      </c>
      <c r="E2720" s="2" t="n">
        <f aca="false">'Raw Data'!Q2720</f>
        <v>3</v>
      </c>
      <c r="F2720" s="2" t="n">
        <f aca="false">'Raw Data'!U2720</f>
        <v>2</v>
      </c>
      <c r="G2720" s="2" t="n">
        <f aca="false">'Raw Data'!W2720</f>
        <v>3</v>
      </c>
      <c r="H2720" s="2" t="n">
        <f aca="false">'Raw Data'!V2720</f>
        <v>1</v>
      </c>
      <c r="I2720" s="2" t="n">
        <f aca="false">IF(AND(ISNUMBER(B2720),B2720&lt;=25),2,0)+IF(AND(ISNUMBER(E2720),E2720&lt;=5),2,0)+IF(AND(ISNUMBER(F2720),F2720&lt;=1),2,0)+IF(AND(ISNUMBER(G2720),G2720&lt;=2),1,0)+IF(AND(ISNUMBER(H2720),H2720&lt;=2),1,0)</f>
        <v>3</v>
      </c>
      <c r="J2720" s="2" t="str">
        <f aca="false">IF(I2720&gt;=6,"High",IF(I2720&gt;=3,"Medium","Low"))</f>
        <v>Medium</v>
      </c>
    </row>
    <row r="2721" customFormat="false" ht="15" hidden="false" customHeight="true" outlineLevel="0" collapsed="false">
      <c r="A2721" s="2" t="n">
        <f aca="false">'Raw Data'!H2721</f>
        <v>2720</v>
      </c>
      <c r="B2721" s="2" t="n">
        <f aca="false">'Raw Data'!A2721</f>
        <v>35</v>
      </c>
      <c r="C2721" s="2" t="str">
        <f aca="false">'Raw Data'!D2721</f>
        <v>Sales</v>
      </c>
      <c r="D2721" s="2" t="str">
        <f aca="false">'Raw Data'!K2721</f>
        <v>Manufacturing Director</v>
      </c>
      <c r="E2721" s="2" t="n">
        <f aca="false">'Raw Data'!Q2721</f>
        <v>2</v>
      </c>
      <c r="F2721" s="2" t="n">
        <f aca="false">'Raw Data'!U2721</f>
        <v>2</v>
      </c>
      <c r="G2721" s="2" t="n">
        <f aca="false">'Raw Data'!W2721</f>
        <v>4</v>
      </c>
      <c r="H2721" s="2" t="n">
        <f aca="false">'Raw Data'!V2721</f>
        <v>4</v>
      </c>
      <c r="I2721" s="2" t="n">
        <f aca="false">IF(AND(ISNUMBER(B2721),B2721&lt;=25),2,0)+IF(AND(ISNUMBER(E2721),E2721&lt;=5),2,0)+IF(AND(ISNUMBER(F2721),F2721&lt;=1),2,0)+IF(AND(ISNUMBER(G2721),G2721&lt;=2),1,0)+IF(AND(ISNUMBER(H2721),H2721&lt;=2),1,0)</f>
        <v>2</v>
      </c>
      <c r="J2721" s="2" t="str">
        <f aca="false">IF(I2721&gt;=6,"High",IF(I2721&gt;=3,"Medium","Low"))</f>
        <v>Low</v>
      </c>
    </row>
    <row r="2722" customFormat="false" ht="15" hidden="false" customHeight="true" outlineLevel="0" collapsed="false">
      <c r="A2722" s="2" t="n">
        <f aca="false">'Raw Data'!H2722</f>
        <v>2721</v>
      </c>
      <c r="B2722" s="2" t="n">
        <f aca="false">'Raw Data'!A2722</f>
        <v>36</v>
      </c>
      <c r="C2722" s="2" t="str">
        <f aca="false">'Raw Data'!D2722</f>
        <v>Research &amp; Development</v>
      </c>
      <c r="D2722" s="2" t="str">
        <f aca="false">'Raw Data'!K2722</f>
        <v>Sales Executive</v>
      </c>
      <c r="E2722" s="2" t="n">
        <f aca="false">'Raw Data'!Q2722</f>
        <v>6</v>
      </c>
      <c r="F2722" s="2" t="n">
        <f aca="false">'Raw Data'!U2722</f>
        <v>0</v>
      </c>
      <c r="G2722" s="2" t="n">
        <f aca="false">'Raw Data'!W2722</f>
        <v>1</v>
      </c>
      <c r="H2722" s="2" t="n">
        <f aca="false">'Raw Data'!V2722</f>
        <v>2</v>
      </c>
      <c r="I2722" s="2" t="n">
        <f aca="false">IF(AND(ISNUMBER(B2722),B2722&lt;=25),2,0)+IF(AND(ISNUMBER(E2722),E2722&lt;=5),2,0)+IF(AND(ISNUMBER(F2722),F2722&lt;=1),2,0)+IF(AND(ISNUMBER(G2722),G2722&lt;=2),1,0)+IF(AND(ISNUMBER(H2722),H2722&lt;=2),1,0)</f>
        <v>4</v>
      </c>
      <c r="J2722" s="2" t="str">
        <f aca="false">IF(I2722&gt;=6,"High",IF(I2722&gt;=3,"Medium","Low"))</f>
        <v>Medium</v>
      </c>
    </row>
    <row r="2723" customFormat="false" ht="15" hidden="false" customHeight="true" outlineLevel="0" collapsed="false">
      <c r="A2723" s="2" t="n">
        <f aca="false">'Raw Data'!H2723</f>
        <v>2722</v>
      </c>
      <c r="B2723" s="2" t="n">
        <f aca="false">'Raw Data'!A2723</f>
        <v>33</v>
      </c>
      <c r="C2723" s="2" t="str">
        <f aca="false">'Raw Data'!D2723</f>
        <v>Sales</v>
      </c>
      <c r="D2723" s="2" t="str">
        <f aca="false">'Raw Data'!K2723</f>
        <v>Human Resources</v>
      </c>
      <c r="E2723" s="2" t="n">
        <f aca="false">'Raw Data'!Q2723</f>
        <v>10</v>
      </c>
      <c r="F2723" s="2" t="n">
        <f aca="false">'Raw Data'!U2723</f>
        <v>3</v>
      </c>
      <c r="G2723" s="2" t="n">
        <f aca="false">'Raw Data'!W2723</f>
        <v>1</v>
      </c>
      <c r="H2723" s="2" t="n">
        <f aca="false">'Raw Data'!V2723</f>
        <v>3</v>
      </c>
      <c r="I2723" s="2" t="n">
        <f aca="false">IF(AND(ISNUMBER(B2723),B2723&lt;=25),2,0)+IF(AND(ISNUMBER(E2723),E2723&lt;=5),2,0)+IF(AND(ISNUMBER(F2723),F2723&lt;=1),2,0)+IF(AND(ISNUMBER(G2723),G2723&lt;=2),1,0)+IF(AND(ISNUMBER(H2723),H2723&lt;=2),1,0)</f>
        <v>1</v>
      </c>
      <c r="J2723" s="2" t="str">
        <f aca="false">IF(I2723&gt;=6,"High",IF(I2723&gt;=3,"Medium","Low"))</f>
        <v>Low</v>
      </c>
    </row>
    <row r="2724" customFormat="false" ht="15" hidden="false" customHeight="true" outlineLevel="0" collapsed="false">
      <c r="A2724" s="2" t="n">
        <f aca="false">'Raw Data'!H2724</f>
        <v>2723</v>
      </c>
      <c r="B2724" s="2" t="n">
        <f aca="false">'Raw Data'!A2724</f>
        <v>35</v>
      </c>
      <c r="C2724" s="2" t="str">
        <f aca="false">'Raw Data'!D2724</f>
        <v>Research &amp; Development</v>
      </c>
      <c r="D2724" s="2" t="str">
        <f aca="false">'Raw Data'!K2724</f>
        <v>Research Scientist</v>
      </c>
      <c r="E2724" s="2" t="n">
        <f aca="false">'Raw Data'!Q2724</f>
        <v>1</v>
      </c>
      <c r="F2724" s="2" t="n">
        <f aca="false">'Raw Data'!U2724</f>
        <v>0</v>
      </c>
      <c r="G2724" s="2" t="n">
        <f aca="false">'Raw Data'!W2724</f>
        <v>4</v>
      </c>
      <c r="H2724" s="2" t="n">
        <f aca="false">'Raw Data'!V2724</f>
        <v>3</v>
      </c>
      <c r="I2724" s="2" t="n">
        <f aca="false">IF(AND(ISNUMBER(B2724),B2724&lt;=25),2,0)+IF(AND(ISNUMBER(E2724),E2724&lt;=5),2,0)+IF(AND(ISNUMBER(F2724),F2724&lt;=1),2,0)+IF(AND(ISNUMBER(G2724),G2724&lt;=2),1,0)+IF(AND(ISNUMBER(H2724),H2724&lt;=2),1,0)</f>
        <v>4</v>
      </c>
      <c r="J2724" s="2" t="str">
        <f aca="false">IF(I2724&gt;=6,"High",IF(I2724&gt;=3,"Medium","Low"))</f>
        <v>Medium</v>
      </c>
    </row>
    <row r="2725" customFormat="false" ht="15" hidden="false" customHeight="true" outlineLevel="0" collapsed="false">
      <c r="A2725" s="2" t="n">
        <f aca="false">'Raw Data'!H2725</f>
        <v>2724</v>
      </c>
      <c r="B2725" s="2" t="n">
        <f aca="false">'Raw Data'!A2725</f>
        <v>27</v>
      </c>
      <c r="C2725" s="2" t="str">
        <f aca="false">'Raw Data'!D2725</f>
        <v>Sales</v>
      </c>
      <c r="D2725" s="2" t="str">
        <f aca="false">'Raw Data'!K2725</f>
        <v>Research Scientist</v>
      </c>
      <c r="E2725" s="2" t="n">
        <f aca="false">'Raw Data'!Q2725</f>
        <v>1</v>
      </c>
      <c r="F2725" s="2" t="n">
        <f aca="false">'Raw Data'!U2725</f>
        <v>0</v>
      </c>
      <c r="G2725" s="2" t="n">
        <f aca="false">'Raw Data'!W2725</f>
        <v>1</v>
      </c>
      <c r="H2725" s="2" t="n">
        <f aca="false">'Raw Data'!V2725</f>
        <v>4</v>
      </c>
      <c r="I2725" s="2" t="n">
        <f aca="false">IF(AND(ISNUMBER(B2725),B2725&lt;=25),2,0)+IF(AND(ISNUMBER(E2725),E2725&lt;=5),2,0)+IF(AND(ISNUMBER(F2725),F2725&lt;=1),2,0)+IF(AND(ISNUMBER(G2725),G2725&lt;=2),1,0)+IF(AND(ISNUMBER(H2725),H2725&lt;=2),1,0)</f>
        <v>5</v>
      </c>
      <c r="J2725" s="2" t="str">
        <f aca="false">IF(I2725&gt;=6,"High",IF(I2725&gt;=3,"Medium","Low"))</f>
        <v>Medium</v>
      </c>
    </row>
    <row r="2726" customFormat="false" ht="15" hidden="false" customHeight="true" outlineLevel="0" collapsed="false">
      <c r="A2726" s="2" t="n">
        <f aca="false">'Raw Data'!H2726</f>
        <v>2725</v>
      </c>
      <c r="B2726" s="2" t="n">
        <f aca="false">'Raw Data'!A2726</f>
        <v>26</v>
      </c>
      <c r="C2726" s="2" t="str">
        <f aca="false">'Raw Data'!D2726</f>
        <v>Sales</v>
      </c>
      <c r="D2726" s="2" t="str">
        <f aca="false">'Raw Data'!K2726</f>
        <v>Manager</v>
      </c>
      <c r="E2726" s="2" t="n">
        <f aca="false">'Raw Data'!Q2726</f>
        <v>1</v>
      </c>
      <c r="F2726" s="2" t="n">
        <f aca="false">'Raw Data'!U2726</f>
        <v>1</v>
      </c>
      <c r="G2726" s="2" t="n">
        <f aca="false">'Raw Data'!W2726</f>
        <v>3</v>
      </c>
      <c r="H2726" s="2" t="n">
        <f aca="false">'Raw Data'!V2726</f>
        <v>1</v>
      </c>
      <c r="I2726" s="2" t="n">
        <f aca="false">IF(AND(ISNUMBER(B2726),B2726&lt;=25),2,0)+IF(AND(ISNUMBER(E2726),E2726&lt;=5),2,0)+IF(AND(ISNUMBER(F2726),F2726&lt;=1),2,0)+IF(AND(ISNUMBER(G2726),G2726&lt;=2),1,0)+IF(AND(ISNUMBER(H2726),H2726&lt;=2),1,0)</f>
        <v>5</v>
      </c>
      <c r="J2726" s="2" t="str">
        <f aca="false">IF(I2726&gt;=6,"High",IF(I2726&gt;=3,"Medium","Low"))</f>
        <v>Medium</v>
      </c>
    </row>
    <row r="2727" customFormat="false" ht="15" hidden="false" customHeight="true" outlineLevel="0" collapsed="false">
      <c r="A2727" s="2" t="n">
        <f aca="false">'Raw Data'!H2727</f>
        <v>2726</v>
      </c>
      <c r="B2727" s="2" t="n">
        <f aca="false">'Raw Data'!A2727</f>
        <v>27</v>
      </c>
      <c r="C2727" s="2" t="str">
        <f aca="false">'Raw Data'!D2727</f>
        <v>Sales</v>
      </c>
      <c r="D2727" s="2" t="str">
        <f aca="false">'Raw Data'!K2727</f>
        <v>Healthcare Representative</v>
      </c>
      <c r="E2727" s="2" t="n">
        <f aca="false">'Raw Data'!Q2727</f>
        <v>9</v>
      </c>
      <c r="F2727" s="2" t="n">
        <f aca="false">'Raw Data'!U2727</f>
        <v>7</v>
      </c>
      <c r="G2727" s="2" t="n">
        <f aca="false">'Raw Data'!W2727</f>
        <v>3</v>
      </c>
      <c r="H2727" s="2" t="n">
        <f aca="false">'Raw Data'!V2727</f>
        <v>4</v>
      </c>
      <c r="I2727" s="2" t="n">
        <f aca="false">IF(AND(ISNUMBER(B2727),B2727&lt;=25),2,0)+IF(AND(ISNUMBER(E2727),E2727&lt;=5),2,0)+IF(AND(ISNUMBER(F2727),F2727&lt;=1),2,0)+IF(AND(ISNUMBER(G2727),G2727&lt;=2),1,0)+IF(AND(ISNUMBER(H2727),H2727&lt;=2),1,0)</f>
        <v>0</v>
      </c>
      <c r="J2727" s="2" t="str">
        <f aca="false">IF(I2727&gt;=6,"High",IF(I2727&gt;=3,"Medium","Low"))</f>
        <v>Low</v>
      </c>
    </row>
    <row r="2728" customFormat="false" ht="15" hidden="false" customHeight="true" outlineLevel="0" collapsed="false">
      <c r="A2728" s="2" t="n">
        <f aca="false">'Raw Data'!H2728</f>
        <v>2727</v>
      </c>
      <c r="B2728" s="2" t="n">
        <f aca="false">'Raw Data'!A2728</f>
        <v>30</v>
      </c>
      <c r="C2728" s="2" t="str">
        <f aca="false">'Raw Data'!D2728</f>
        <v>Research &amp; Development</v>
      </c>
      <c r="D2728" s="2" t="str">
        <f aca="false">'Raw Data'!K2728</f>
        <v>Research Scientist</v>
      </c>
      <c r="E2728" s="2" t="n">
        <f aca="false">'Raw Data'!Q2728</f>
        <v>12</v>
      </c>
      <c r="F2728" s="2" t="n">
        <f aca="false">'Raw Data'!U2728</f>
        <v>7</v>
      </c>
      <c r="G2728" s="2" t="n">
        <f aca="false">'Raw Data'!W2728</f>
        <v>4</v>
      </c>
      <c r="H2728" s="2" t="n">
        <f aca="false">'Raw Data'!V2728</f>
        <v>3</v>
      </c>
      <c r="I2728" s="2" t="n">
        <f aca="false">IF(AND(ISNUMBER(B2728),B2728&lt;=25),2,0)+IF(AND(ISNUMBER(E2728),E2728&lt;=5),2,0)+IF(AND(ISNUMBER(F2728),F2728&lt;=1),2,0)+IF(AND(ISNUMBER(G2728),G2728&lt;=2),1,0)+IF(AND(ISNUMBER(H2728),H2728&lt;=2),1,0)</f>
        <v>0</v>
      </c>
      <c r="J2728" s="2" t="str">
        <f aca="false">IF(I2728&gt;=6,"High",IF(I2728&gt;=3,"Medium","Low"))</f>
        <v>Low</v>
      </c>
    </row>
    <row r="2729" customFormat="false" ht="15" hidden="false" customHeight="true" outlineLevel="0" collapsed="false">
      <c r="A2729" s="2" t="n">
        <f aca="false">'Raw Data'!H2729</f>
        <v>2728</v>
      </c>
      <c r="B2729" s="2" t="n">
        <f aca="false">'Raw Data'!A2729</f>
        <v>41</v>
      </c>
      <c r="C2729" s="2" t="str">
        <f aca="false">'Raw Data'!D2729</f>
        <v>Sales</v>
      </c>
      <c r="D2729" s="2" t="str">
        <f aca="false">'Raw Data'!K2729</f>
        <v>Sales Executive</v>
      </c>
      <c r="E2729" s="2" t="n">
        <f aca="false">'Raw Data'!Q2729</f>
        <v>23</v>
      </c>
      <c r="F2729" s="2" t="n">
        <f aca="false">'Raw Data'!U2729</f>
        <v>8</v>
      </c>
      <c r="G2729" s="2" t="n">
        <f aca="false">'Raw Data'!W2729</f>
        <v>3</v>
      </c>
      <c r="H2729" s="2" t="n">
        <f aca="false">'Raw Data'!V2729</f>
        <v>2</v>
      </c>
      <c r="I2729" s="2" t="n">
        <f aca="false">IF(AND(ISNUMBER(B2729),B2729&lt;=25),2,0)+IF(AND(ISNUMBER(E2729),E2729&lt;=5),2,0)+IF(AND(ISNUMBER(F2729),F2729&lt;=1),2,0)+IF(AND(ISNUMBER(G2729),G2729&lt;=2),1,0)+IF(AND(ISNUMBER(H2729),H2729&lt;=2),1,0)</f>
        <v>1</v>
      </c>
      <c r="J2729" s="2" t="str">
        <f aca="false">IF(I2729&gt;=6,"High",IF(I2729&gt;=3,"Medium","Low"))</f>
        <v>Low</v>
      </c>
    </row>
    <row r="2730" customFormat="false" ht="15" hidden="false" customHeight="true" outlineLevel="0" collapsed="false">
      <c r="A2730" s="2" t="n">
        <f aca="false">'Raw Data'!H2730</f>
        <v>2729</v>
      </c>
      <c r="B2730" s="2" t="n">
        <f aca="false">'Raw Data'!A2730</f>
        <v>34</v>
      </c>
      <c r="C2730" s="2" t="str">
        <f aca="false">'Raw Data'!D2730</f>
        <v>Research &amp; Development</v>
      </c>
      <c r="D2730" s="2" t="str">
        <f aca="false">'Raw Data'!K2730</f>
        <v>Research Scientist</v>
      </c>
      <c r="E2730" s="2" t="n">
        <f aca="false">'Raw Data'!Q2730</f>
        <v>10</v>
      </c>
      <c r="F2730" s="2" t="n">
        <f aca="false">'Raw Data'!U2730</f>
        <v>7</v>
      </c>
      <c r="G2730" s="2" t="n">
        <f aca="false">'Raw Data'!W2730</f>
        <v>3</v>
      </c>
      <c r="H2730" s="2" t="n">
        <f aca="false">'Raw Data'!V2730</f>
        <v>2</v>
      </c>
      <c r="I2730" s="2" t="n">
        <f aca="false">IF(AND(ISNUMBER(B2730),B2730&lt;=25),2,0)+IF(AND(ISNUMBER(E2730),E2730&lt;=5),2,0)+IF(AND(ISNUMBER(F2730),F2730&lt;=1),2,0)+IF(AND(ISNUMBER(G2730),G2730&lt;=2),1,0)+IF(AND(ISNUMBER(H2730),H2730&lt;=2),1,0)</f>
        <v>1</v>
      </c>
      <c r="J2730" s="2" t="str">
        <f aca="false">IF(I2730&gt;=6,"High",IF(I2730&gt;=3,"Medium","Low"))</f>
        <v>Low</v>
      </c>
    </row>
    <row r="2731" customFormat="false" ht="15" hidden="false" customHeight="true" outlineLevel="0" collapsed="false">
      <c r="A2731" s="2" t="n">
        <f aca="false">'Raw Data'!H2731</f>
        <v>2730</v>
      </c>
      <c r="B2731" s="2" t="n">
        <f aca="false">'Raw Data'!A2731</f>
        <v>37</v>
      </c>
      <c r="C2731" s="2" t="str">
        <f aca="false">'Raw Data'!D2731</f>
        <v>Research &amp; Development</v>
      </c>
      <c r="D2731" s="2" t="str">
        <f aca="false">'Raw Data'!K2731</f>
        <v>Sales Executive</v>
      </c>
      <c r="E2731" s="2" t="n">
        <f aca="false">'Raw Data'!Q2731</f>
        <v>8</v>
      </c>
      <c r="F2731" s="2" t="n">
        <f aca="false">'Raw Data'!U2731</f>
        <v>0</v>
      </c>
      <c r="G2731" s="2" t="n">
        <f aca="false">'Raw Data'!W2731</f>
        <v>2</v>
      </c>
      <c r="H2731" s="2" t="n">
        <f aca="false">'Raw Data'!V2731</f>
        <v>2</v>
      </c>
      <c r="I2731" s="2" t="n">
        <f aca="false">IF(AND(ISNUMBER(B2731),B2731&lt;=25),2,0)+IF(AND(ISNUMBER(E2731),E2731&lt;=5),2,0)+IF(AND(ISNUMBER(F2731),F2731&lt;=1),2,0)+IF(AND(ISNUMBER(G2731),G2731&lt;=2),1,0)+IF(AND(ISNUMBER(H2731),H2731&lt;=2),1,0)</f>
        <v>4</v>
      </c>
      <c r="J2731" s="2" t="str">
        <f aca="false">IF(I2731&gt;=6,"High",IF(I2731&gt;=3,"Medium","Low"))</f>
        <v>Medium</v>
      </c>
    </row>
    <row r="2732" customFormat="false" ht="15" hidden="false" customHeight="true" outlineLevel="0" collapsed="false">
      <c r="A2732" s="2" t="n">
        <f aca="false">'Raw Data'!H2732</f>
        <v>2731</v>
      </c>
      <c r="B2732" s="2" t="n">
        <f aca="false">'Raw Data'!A2732</f>
        <v>46</v>
      </c>
      <c r="C2732" s="2" t="str">
        <f aca="false">'Raw Data'!D2732</f>
        <v>Research &amp; Development</v>
      </c>
      <c r="D2732" s="2" t="str">
        <f aca="false">'Raw Data'!K2732</f>
        <v>Sales Executive</v>
      </c>
      <c r="E2732" s="2" t="n">
        <f aca="false">'Raw Data'!Q2732</f>
        <v>14</v>
      </c>
      <c r="F2732" s="2" t="n">
        <f aca="false">'Raw Data'!U2732</f>
        <v>8</v>
      </c>
      <c r="G2732" s="2" t="n">
        <f aca="false">'Raw Data'!W2732</f>
        <v>4</v>
      </c>
      <c r="H2732" s="2" t="n">
        <f aca="false">'Raw Data'!V2732</f>
        <v>1</v>
      </c>
      <c r="I2732" s="2" t="n">
        <f aca="false">IF(AND(ISNUMBER(B2732),B2732&lt;=25),2,0)+IF(AND(ISNUMBER(E2732),E2732&lt;=5),2,0)+IF(AND(ISNUMBER(F2732),F2732&lt;=1),2,0)+IF(AND(ISNUMBER(G2732),G2732&lt;=2),1,0)+IF(AND(ISNUMBER(H2732),H2732&lt;=2),1,0)</f>
        <v>1</v>
      </c>
      <c r="J2732" s="2" t="str">
        <f aca="false">IF(I2732&gt;=6,"High",IF(I2732&gt;=3,"Medium","Low"))</f>
        <v>Low</v>
      </c>
    </row>
    <row r="2733" customFormat="false" ht="15" hidden="false" customHeight="true" outlineLevel="0" collapsed="false">
      <c r="A2733" s="2" t="n">
        <f aca="false">'Raw Data'!H2733</f>
        <v>2732</v>
      </c>
      <c r="B2733" s="2" t="n">
        <f aca="false">'Raw Data'!A2733</f>
        <v>35</v>
      </c>
      <c r="C2733" s="2" t="str">
        <f aca="false">'Raw Data'!D2733</f>
        <v>Research &amp; Development</v>
      </c>
      <c r="D2733" s="2" t="str">
        <f aca="false">'Raw Data'!K2733</f>
        <v>Research Scientist</v>
      </c>
      <c r="E2733" s="2" t="n">
        <f aca="false">'Raw Data'!Q2733</f>
        <v>1</v>
      </c>
      <c r="F2733" s="2" t="n">
        <f aca="false">'Raw Data'!U2733</f>
        <v>1</v>
      </c>
      <c r="G2733" s="2" t="n">
        <f aca="false">'Raw Data'!W2733</f>
        <v>4</v>
      </c>
      <c r="H2733" s="2" t="n">
        <f aca="false">'Raw Data'!V2733</f>
        <v>4</v>
      </c>
      <c r="I2733" s="2" t="n">
        <f aca="false">IF(AND(ISNUMBER(B2733),B2733&lt;=25),2,0)+IF(AND(ISNUMBER(E2733),E2733&lt;=5),2,0)+IF(AND(ISNUMBER(F2733),F2733&lt;=1),2,0)+IF(AND(ISNUMBER(G2733),G2733&lt;=2),1,0)+IF(AND(ISNUMBER(H2733),H2733&lt;=2),1,0)</f>
        <v>4</v>
      </c>
      <c r="J2733" s="2" t="str">
        <f aca="false">IF(I2733&gt;=6,"High",IF(I2733&gt;=3,"Medium","Low"))</f>
        <v>Medium</v>
      </c>
    </row>
    <row r="2734" customFormat="false" ht="15" hidden="false" customHeight="true" outlineLevel="0" collapsed="false">
      <c r="A2734" s="2" t="n">
        <f aca="false">'Raw Data'!H2734</f>
        <v>2733</v>
      </c>
      <c r="B2734" s="2" t="n">
        <f aca="false">'Raw Data'!A2734</f>
        <v>48</v>
      </c>
      <c r="C2734" s="2" t="str">
        <f aca="false">'Raw Data'!D2734</f>
        <v>Research &amp; Development</v>
      </c>
      <c r="D2734" s="2" t="str">
        <f aca="false">'Raw Data'!K2734</f>
        <v>Sales Executive</v>
      </c>
      <c r="E2734" s="2" t="n">
        <f aca="false">'Raw Data'!Q2734</f>
        <v>23</v>
      </c>
      <c r="F2734" s="2" t="n">
        <f aca="false">'Raw Data'!U2734</f>
        <v>0</v>
      </c>
      <c r="G2734" s="2" t="n">
        <f aca="false">'Raw Data'!W2734</f>
        <v>3</v>
      </c>
      <c r="H2734" s="2" t="n">
        <f aca="false">'Raw Data'!V2734</f>
        <v>1</v>
      </c>
      <c r="I2734" s="2" t="n">
        <f aca="false">IF(AND(ISNUMBER(B2734),B2734&lt;=25),2,0)+IF(AND(ISNUMBER(E2734),E2734&lt;=5),2,0)+IF(AND(ISNUMBER(F2734),F2734&lt;=1),2,0)+IF(AND(ISNUMBER(G2734),G2734&lt;=2),1,0)+IF(AND(ISNUMBER(H2734),H2734&lt;=2),1,0)</f>
        <v>3</v>
      </c>
      <c r="J2734" s="2" t="str">
        <f aca="false">IF(I2734&gt;=6,"High",IF(I2734&gt;=3,"Medium","Low"))</f>
        <v>Medium</v>
      </c>
    </row>
    <row r="2735" customFormat="false" ht="15" hidden="false" customHeight="true" outlineLevel="0" collapsed="false">
      <c r="A2735" s="2" t="n">
        <f aca="false">'Raw Data'!H2735</f>
        <v>2734</v>
      </c>
      <c r="B2735" s="2" t="n">
        <f aca="false">'Raw Data'!A2735</f>
        <v>28</v>
      </c>
      <c r="C2735" s="2" t="str">
        <f aca="false">'Raw Data'!D2735</f>
        <v>Research &amp; Development</v>
      </c>
      <c r="D2735" s="2" t="str">
        <f aca="false">'Raw Data'!K2735</f>
        <v>Sales Executive</v>
      </c>
      <c r="E2735" s="2" t="n">
        <f aca="false">'Raw Data'!Q2735</f>
        <v>2</v>
      </c>
      <c r="F2735" s="2" t="n">
        <f aca="false">'Raw Data'!U2735</f>
        <v>2</v>
      </c>
      <c r="G2735" s="2" t="n">
        <f aca="false">'Raw Data'!W2735</f>
        <v>3</v>
      </c>
      <c r="H2735" s="2" t="n">
        <f aca="false">'Raw Data'!V2735</f>
        <v>3</v>
      </c>
      <c r="I2735" s="2" t="n">
        <f aca="false">IF(AND(ISNUMBER(B2735),B2735&lt;=25),2,0)+IF(AND(ISNUMBER(E2735),E2735&lt;=5),2,0)+IF(AND(ISNUMBER(F2735),F2735&lt;=1),2,0)+IF(AND(ISNUMBER(G2735),G2735&lt;=2),1,0)+IF(AND(ISNUMBER(H2735),H2735&lt;=2),1,0)</f>
        <v>2</v>
      </c>
      <c r="J2735" s="2" t="str">
        <f aca="false">IF(I2735&gt;=6,"High",IF(I2735&gt;=3,"Medium","Low"))</f>
        <v>Low</v>
      </c>
    </row>
    <row r="2736" customFormat="false" ht="15" hidden="false" customHeight="true" outlineLevel="0" collapsed="false">
      <c r="A2736" s="2" t="n">
        <f aca="false">'Raw Data'!H2736</f>
        <v>2735</v>
      </c>
      <c r="B2736" s="2" t="n">
        <f aca="false">'Raw Data'!A2736</f>
        <v>44</v>
      </c>
      <c r="C2736" s="2" t="str">
        <f aca="false">'Raw Data'!D2736</f>
        <v>Research &amp; Development</v>
      </c>
      <c r="D2736" s="2" t="str">
        <f aca="false">'Raw Data'!K2736</f>
        <v>Research Scientist</v>
      </c>
      <c r="E2736" s="2" t="n">
        <f aca="false">'Raw Data'!Q2736</f>
        <v>9</v>
      </c>
      <c r="F2736" s="2" t="n">
        <f aca="false">'Raw Data'!U2736</f>
        <v>3</v>
      </c>
      <c r="G2736" s="2" t="n">
        <f aca="false">'Raw Data'!W2736</f>
        <v>1</v>
      </c>
      <c r="H2736" s="2" t="n">
        <f aca="false">'Raw Data'!V2736</f>
        <v>2</v>
      </c>
      <c r="I2736" s="2" t="n">
        <f aca="false">IF(AND(ISNUMBER(B2736),B2736&lt;=25),2,0)+IF(AND(ISNUMBER(E2736),E2736&lt;=5),2,0)+IF(AND(ISNUMBER(F2736),F2736&lt;=1),2,0)+IF(AND(ISNUMBER(G2736),G2736&lt;=2),1,0)+IF(AND(ISNUMBER(H2736),H2736&lt;=2),1,0)</f>
        <v>2</v>
      </c>
      <c r="J2736" s="2" t="str">
        <f aca="false">IF(I2736&gt;=6,"High",IF(I2736&gt;=3,"Medium","Low"))</f>
        <v>Low</v>
      </c>
    </row>
    <row r="2737" customFormat="false" ht="15" hidden="false" customHeight="true" outlineLevel="0" collapsed="false">
      <c r="A2737" s="2" t="n">
        <f aca="false">'Raw Data'!H2737</f>
        <v>2736</v>
      </c>
      <c r="B2737" s="2" t="n">
        <f aca="false">'Raw Data'!A2737</f>
        <v>35</v>
      </c>
      <c r="C2737" s="2" t="str">
        <f aca="false">'Raw Data'!D2737</f>
        <v>Research &amp; Development</v>
      </c>
      <c r="D2737" s="2" t="str">
        <f aca="false">'Raw Data'!K2737</f>
        <v>Manufacturing Director</v>
      </c>
      <c r="E2737" s="2" t="n">
        <f aca="false">'Raw Data'!Q2737</f>
        <v>10</v>
      </c>
      <c r="F2737" s="2" t="n">
        <f aca="false">'Raw Data'!U2737</f>
        <v>3</v>
      </c>
      <c r="G2737" s="2" t="n">
        <f aca="false">'Raw Data'!W2737</f>
        <v>1</v>
      </c>
      <c r="H2737" s="2" t="n">
        <f aca="false">'Raw Data'!V2737</f>
        <v>3</v>
      </c>
      <c r="I2737" s="2" t="n">
        <f aca="false">IF(AND(ISNUMBER(B2737),B2737&lt;=25),2,0)+IF(AND(ISNUMBER(E2737),E2737&lt;=5),2,0)+IF(AND(ISNUMBER(F2737),F2737&lt;=1),2,0)+IF(AND(ISNUMBER(G2737),G2737&lt;=2),1,0)+IF(AND(ISNUMBER(H2737),H2737&lt;=2),1,0)</f>
        <v>1</v>
      </c>
      <c r="J2737" s="2" t="str">
        <f aca="false">IF(I2737&gt;=6,"High",IF(I2737&gt;=3,"Medium","Low"))</f>
        <v>Low</v>
      </c>
    </row>
    <row r="2738" customFormat="false" ht="15" hidden="false" customHeight="true" outlineLevel="0" collapsed="false">
      <c r="A2738" s="2" t="n">
        <f aca="false">'Raw Data'!H2738</f>
        <v>2737</v>
      </c>
      <c r="B2738" s="2" t="n">
        <f aca="false">'Raw Data'!A2738</f>
        <v>26</v>
      </c>
      <c r="C2738" s="2" t="str">
        <f aca="false">'Raw Data'!D2738</f>
        <v>Research &amp; Development</v>
      </c>
      <c r="D2738" s="2" t="str">
        <f aca="false">'Raw Data'!K2738</f>
        <v>Sales Executive</v>
      </c>
      <c r="E2738" s="2" t="n">
        <f aca="false">'Raw Data'!Q2738</f>
        <v>5</v>
      </c>
      <c r="F2738" s="2" t="n">
        <f aca="false">'Raw Data'!U2738</f>
        <v>0</v>
      </c>
      <c r="G2738" s="2" t="n">
        <f aca="false">'Raw Data'!W2738</f>
        <v>4</v>
      </c>
      <c r="H2738" s="2" t="n">
        <f aca="false">'Raw Data'!V2738</f>
        <v>0</v>
      </c>
      <c r="I2738" s="2" t="n">
        <f aca="false">IF(AND(ISNUMBER(B2738),B2738&lt;=25),2,0)+IF(AND(ISNUMBER(E2738),E2738&lt;=5),2,0)+IF(AND(ISNUMBER(F2738),F2738&lt;=1),2,0)+IF(AND(ISNUMBER(G2738),G2738&lt;=2),1,0)+IF(AND(ISNUMBER(H2738),H2738&lt;=2),1,0)</f>
        <v>4</v>
      </c>
      <c r="J2738" s="2" t="str">
        <f aca="false">IF(I2738&gt;=6,"High",IF(I2738&gt;=3,"Medium","Low"))</f>
        <v>Medium</v>
      </c>
    </row>
    <row r="2739" customFormat="false" ht="15" hidden="false" customHeight="true" outlineLevel="0" collapsed="false">
      <c r="A2739" s="2" t="n">
        <f aca="false">'Raw Data'!H2739</f>
        <v>2738</v>
      </c>
      <c r="B2739" s="2" t="n">
        <f aca="false">'Raw Data'!A2739</f>
        <v>33</v>
      </c>
      <c r="C2739" s="2" t="str">
        <f aca="false">'Raw Data'!D2739</f>
        <v>Sales</v>
      </c>
      <c r="D2739" s="2" t="str">
        <f aca="false">'Raw Data'!K2739</f>
        <v>Human Resources</v>
      </c>
      <c r="E2739" s="2" t="n">
        <f aca="false">'Raw Data'!Q2739</f>
        <v>15</v>
      </c>
      <c r="F2739" s="2" t="n">
        <f aca="false">'Raw Data'!U2739</f>
        <v>12</v>
      </c>
      <c r="G2739" s="2" t="n">
        <f aca="false">'Raw Data'!W2739</f>
        <v>4</v>
      </c>
      <c r="H2739" s="2" t="n">
        <f aca="false">'Raw Data'!V2739</f>
        <v>1</v>
      </c>
      <c r="I2739" s="2" t="n">
        <f aca="false">IF(AND(ISNUMBER(B2739),B2739&lt;=25),2,0)+IF(AND(ISNUMBER(E2739),E2739&lt;=5),2,0)+IF(AND(ISNUMBER(F2739),F2739&lt;=1),2,0)+IF(AND(ISNUMBER(G2739),G2739&lt;=2),1,0)+IF(AND(ISNUMBER(H2739),H2739&lt;=2),1,0)</f>
        <v>1</v>
      </c>
      <c r="J2739" s="2" t="str">
        <f aca="false">IF(I2739&gt;=6,"High",IF(I2739&gt;=3,"Medium","Low"))</f>
        <v>Low</v>
      </c>
    </row>
    <row r="2740" customFormat="false" ht="15" hidden="false" customHeight="true" outlineLevel="0" collapsed="false">
      <c r="A2740" s="2" t="n">
        <f aca="false">'Raw Data'!H2740</f>
        <v>2739</v>
      </c>
      <c r="B2740" s="2" t="n">
        <f aca="false">'Raw Data'!A2740</f>
        <v>35</v>
      </c>
      <c r="C2740" s="2" t="str">
        <f aca="false">'Raw Data'!D2740</f>
        <v>Research &amp; Development</v>
      </c>
      <c r="D2740" s="2" t="str">
        <f aca="false">'Raw Data'!K2740</f>
        <v>Manufacturing Director</v>
      </c>
      <c r="E2740" s="2" t="n">
        <f aca="false">'Raw Data'!Q2740</f>
        <v>9</v>
      </c>
      <c r="F2740" s="2" t="n">
        <f aca="false">'Raw Data'!U2740</f>
        <v>8</v>
      </c>
      <c r="G2740" s="2" t="n">
        <f aca="false">'Raw Data'!W2740</f>
        <v>1</v>
      </c>
      <c r="H2740" s="2" t="n">
        <f aca="false">'Raw Data'!V2740</f>
        <v>2</v>
      </c>
      <c r="I2740" s="2" t="n">
        <f aca="false">IF(AND(ISNUMBER(B2740),B2740&lt;=25),2,0)+IF(AND(ISNUMBER(E2740),E2740&lt;=5),2,0)+IF(AND(ISNUMBER(F2740),F2740&lt;=1),2,0)+IF(AND(ISNUMBER(G2740),G2740&lt;=2),1,0)+IF(AND(ISNUMBER(H2740),H2740&lt;=2),1,0)</f>
        <v>2</v>
      </c>
      <c r="J2740" s="2" t="str">
        <f aca="false">IF(I2740&gt;=6,"High",IF(I2740&gt;=3,"Medium","Low"))</f>
        <v>Low</v>
      </c>
    </row>
    <row r="2741" customFormat="false" ht="15" hidden="false" customHeight="true" outlineLevel="0" collapsed="false">
      <c r="A2741" s="2" t="n">
        <f aca="false">'Raw Data'!H2741</f>
        <v>2740</v>
      </c>
      <c r="B2741" s="2" t="n">
        <f aca="false">'Raw Data'!A2741</f>
        <v>35</v>
      </c>
      <c r="C2741" s="2" t="str">
        <f aca="false">'Raw Data'!D2741</f>
        <v>Human Resources</v>
      </c>
      <c r="D2741" s="2" t="str">
        <f aca="false">'Raw Data'!K2741</f>
        <v>Laboratory Technician</v>
      </c>
      <c r="E2741" s="2" t="n">
        <f aca="false">'Raw Data'!Q2741</f>
        <v>4</v>
      </c>
      <c r="F2741" s="2" t="n">
        <f aca="false">'Raw Data'!U2741</f>
        <v>2</v>
      </c>
      <c r="G2741" s="2" t="n">
        <f aca="false">'Raw Data'!W2741</f>
        <v>1</v>
      </c>
      <c r="H2741" s="2" t="n">
        <f aca="false">'Raw Data'!V2741</f>
        <v>3</v>
      </c>
      <c r="I2741" s="2" t="n">
        <f aca="false">IF(AND(ISNUMBER(B2741),B2741&lt;=25),2,0)+IF(AND(ISNUMBER(E2741),E2741&lt;=5),2,0)+IF(AND(ISNUMBER(F2741),F2741&lt;=1),2,0)+IF(AND(ISNUMBER(G2741),G2741&lt;=2),1,0)+IF(AND(ISNUMBER(H2741),H2741&lt;=2),1,0)</f>
        <v>3</v>
      </c>
      <c r="J2741" s="2" t="str">
        <f aca="false">IF(I2741&gt;=6,"High",IF(I2741&gt;=3,"Medium","Low"))</f>
        <v>Medium</v>
      </c>
    </row>
    <row r="2742" customFormat="false" ht="15" hidden="false" customHeight="true" outlineLevel="0" collapsed="false">
      <c r="A2742" s="2" t="n">
        <f aca="false">'Raw Data'!H2742</f>
        <v>2741</v>
      </c>
      <c r="B2742" s="2" t="n">
        <f aca="false">'Raw Data'!A2742</f>
        <v>31</v>
      </c>
      <c r="C2742" s="2" t="str">
        <f aca="false">'Raw Data'!D2742</f>
        <v>Sales</v>
      </c>
      <c r="D2742" s="2" t="str">
        <f aca="false">'Raw Data'!K2742</f>
        <v>Research Scientist</v>
      </c>
      <c r="E2742" s="2" t="n">
        <f aca="false">'Raw Data'!Q2742</f>
        <v>10</v>
      </c>
      <c r="F2742" s="2" t="n">
        <f aca="false">'Raw Data'!U2742</f>
        <v>7</v>
      </c>
      <c r="G2742" s="2" t="n">
        <f aca="false">'Raw Data'!W2742</f>
        <v>4</v>
      </c>
      <c r="H2742" s="2" t="n">
        <f aca="false">'Raw Data'!V2742</f>
        <v>4</v>
      </c>
      <c r="I2742" s="2" t="n">
        <f aca="false">IF(AND(ISNUMBER(B2742),B2742&lt;=25),2,0)+IF(AND(ISNUMBER(E2742),E2742&lt;=5),2,0)+IF(AND(ISNUMBER(F2742),F2742&lt;=1),2,0)+IF(AND(ISNUMBER(G2742),G2742&lt;=2),1,0)+IF(AND(ISNUMBER(H2742),H2742&lt;=2),1,0)</f>
        <v>0</v>
      </c>
      <c r="J2742" s="2" t="str">
        <f aca="false">IF(I2742&gt;=6,"High",IF(I2742&gt;=3,"Medium","Low"))</f>
        <v>Low</v>
      </c>
    </row>
    <row r="2743" customFormat="false" ht="15" hidden="false" customHeight="true" outlineLevel="0" collapsed="false">
      <c r="A2743" s="2" t="n">
        <f aca="false">'Raw Data'!H2743</f>
        <v>2742</v>
      </c>
      <c r="B2743" s="2" t="n">
        <f aca="false">'Raw Data'!A2743</f>
        <v>37</v>
      </c>
      <c r="C2743" s="2" t="str">
        <f aca="false">'Raw Data'!D2743</f>
        <v>Sales</v>
      </c>
      <c r="D2743" s="2" t="str">
        <f aca="false">'Raw Data'!K2743</f>
        <v>Human Resources</v>
      </c>
      <c r="E2743" s="2" t="n">
        <f aca="false">'Raw Data'!Q2743</f>
        <v>7</v>
      </c>
      <c r="F2743" s="2" t="n">
        <f aca="false">'Raw Data'!U2743</f>
        <v>7</v>
      </c>
      <c r="G2743" s="2" t="n">
        <f aca="false">'Raw Data'!W2743</f>
        <v>3</v>
      </c>
      <c r="H2743" s="2" t="n">
        <f aca="false">'Raw Data'!V2743</f>
        <v>1</v>
      </c>
      <c r="I2743" s="2" t="n">
        <f aca="false">IF(AND(ISNUMBER(B2743),B2743&lt;=25),2,0)+IF(AND(ISNUMBER(E2743),E2743&lt;=5),2,0)+IF(AND(ISNUMBER(F2743),F2743&lt;=1),2,0)+IF(AND(ISNUMBER(G2743),G2743&lt;=2),1,0)+IF(AND(ISNUMBER(H2743),H2743&lt;=2),1,0)</f>
        <v>1</v>
      </c>
      <c r="J2743" s="2" t="str">
        <f aca="false">IF(I2743&gt;=6,"High",IF(I2743&gt;=3,"Medium","Low"))</f>
        <v>Low</v>
      </c>
    </row>
    <row r="2744" customFormat="false" ht="15" hidden="false" customHeight="true" outlineLevel="0" collapsed="false">
      <c r="A2744" s="2" t="n">
        <f aca="false">'Raw Data'!H2744</f>
        <v>2743</v>
      </c>
      <c r="B2744" s="2" t="n">
        <f aca="false">'Raw Data'!A2744</f>
        <v>32</v>
      </c>
      <c r="C2744" s="2" t="str">
        <f aca="false">'Raw Data'!D2744</f>
        <v>Research &amp; Development</v>
      </c>
      <c r="D2744" s="2" t="str">
        <f aca="false">'Raw Data'!K2744</f>
        <v>Sales Executive</v>
      </c>
      <c r="E2744" s="2" t="n">
        <f aca="false">'Raw Data'!Q2744</f>
        <v>9</v>
      </c>
      <c r="F2744" s="2" t="n">
        <f aca="false">'Raw Data'!U2744</f>
        <v>8</v>
      </c>
      <c r="G2744" s="2" t="n">
        <f aca="false">'Raw Data'!W2744</f>
        <v>4</v>
      </c>
      <c r="H2744" s="2" t="n">
        <f aca="false">'Raw Data'!V2744</f>
        <v>1</v>
      </c>
      <c r="I2744" s="2" t="n">
        <f aca="false">IF(AND(ISNUMBER(B2744),B2744&lt;=25),2,0)+IF(AND(ISNUMBER(E2744),E2744&lt;=5),2,0)+IF(AND(ISNUMBER(F2744),F2744&lt;=1),2,0)+IF(AND(ISNUMBER(G2744),G2744&lt;=2),1,0)+IF(AND(ISNUMBER(H2744),H2744&lt;=2),1,0)</f>
        <v>1</v>
      </c>
      <c r="J2744" s="2" t="str">
        <f aca="false">IF(I2744&gt;=6,"High",IF(I2744&gt;=3,"Medium","Low"))</f>
        <v>Low</v>
      </c>
    </row>
    <row r="2745" customFormat="false" ht="15" hidden="false" customHeight="true" outlineLevel="0" collapsed="false">
      <c r="A2745" s="2" t="n">
        <f aca="false">'Raw Data'!H2745</f>
        <v>2744</v>
      </c>
      <c r="B2745" s="2" t="n">
        <f aca="false">'Raw Data'!A2745</f>
        <v>38</v>
      </c>
      <c r="C2745" s="2" t="str">
        <f aca="false">'Raw Data'!D2745</f>
        <v>Research &amp; Development</v>
      </c>
      <c r="D2745" s="2" t="str">
        <f aca="false">'Raw Data'!K2745</f>
        <v>Manufacturing Director</v>
      </c>
      <c r="E2745" s="2" t="n">
        <f aca="false">'Raw Data'!Q2745</f>
        <v>10</v>
      </c>
      <c r="F2745" s="2" t="n">
        <f aca="false">'Raw Data'!U2745</f>
        <v>9</v>
      </c>
      <c r="G2745" s="2" t="n">
        <f aca="false">'Raw Data'!W2745</f>
        <v>4</v>
      </c>
      <c r="H2745" s="2" t="n">
        <f aca="false">'Raw Data'!V2745</f>
        <v>4</v>
      </c>
      <c r="I2745" s="2" t="n">
        <f aca="false">IF(AND(ISNUMBER(B2745),B2745&lt;=25),2,0)+IF(AND(ISNUMBER(E2745),E2745&lt;=5),2,0)+IF(AND(ISNUMBER(F2745),F2745&lt;=1),2,0)+IF(AND(ISNUMBER(G2745),G2745&lt;=2),1,0)+IF(AND(ISNUMBER(H2745),H2745&lt;=2),1,0)</f>
        <v>0</v>
      </c>
      <c r="J2745" s="2" t="str">
        <f aca="false">IF(I2745&gt;=6,"High",IF(I2745&gt;=3,"Medium","Low"))</f>
        <v>Low</v>
      </c>
    </row>
    <row r="2746" customFormat="false" ht="15" hidden="false" customHeight="true" outlineLevel="0" collapsed="false">
      <c r="A2746" s="2" t="n">
        <f aca="false">'Raw Data'!H2746</f>
        <v>2745</v>
      </c>
      <c r="B2746" s="2" t="n">
        <f aca="false">'Raw Data'!A2746</f>
        <v>50</v>
      </c>
      <c r="C2746" s="2" t="str">
        <f aca="false">'Raw Data'!D2746</f>
        <v>Sales</v>
      </c>
      <c r="D2746" s="2" t="str">
        <f aca="false">'Raw Data'!K2746</f>
        <v>Research Scientist</v>
      </c>
      <c r="E2746" s="2" t="n">
        <f aca="false">'Raw Data'!Q2746</f>
        <v>29</v>
      </c>
      <c r="F2746" s="2" t="n">
        <f aca="false">'Raw Data'!U2746</f>
        <v>8</v>
      </c>
      <c r="G2746" s="2" t="n">
        <f aca="false">'Raw Data'!W2746</f>
        <v>3</v>
      </c>
      <c r="H2746" s="2" t="n">
        <f aca="false">'Raw Data'!V2746</f>
        <v>2</v>
      </c>
      <c r="I2746" s="2" t="n">
        <f aca="false">IF(AND(ISNUMBER(B2746),B2746&lt;=25),2,0)+IF(AND(ISNUMBER(E2746),E2746&lt;=5),2,0)+IF(AND(ISNUMBER(F2746),F2746&lt;=1),2,0)+IF(AND(ISNUMBER(G2746),G2746&lt;=2),1,0)+IF(AND(ISNUMBER(H2746),H2746&lt;=2),1,0)</f>
        <v>1</v>
      </c>
      <c r="J2746" s="2" t="str">
        <f aca="false">IF(I2746&gt;=6,"High",IF(I2746&gt;=3,"Medium","Low"))</f>
        <v>Low</v>
      </c>
    </row>
    <row r="2747" customFormat="false" ht="15" hidden="false" customHeight="true" outlineLevel="0" collapsed="false">
      <c r="A2747" s="2" t="n">
        <f aca="false">'Raw Data'!H2747</f>
        <v>2746</v>
      </c>
      <c r="B2747" s="2" t="n">
        <f aca="false">'Raw Data'!A2747</f>
        <v>59</v>
      </c>
      <c r="C2747" s="2" t="str">
        <f aca="false">'Raw Data'!D2747</f>
        <v>Research &amp; Development</v>
      </c>
      <c r="D2747" s="2" t="str">
        <f aca="false">'Raw Data'!K2747</f>
        <v>Laboratory Technician</v>
      </c>
      <c r="E2747" s="2" t="n">
        <f aca="false">'Raw Data'!Q2747</f>
        <v>28</v>
      </c>
      <c r="F2747" s="2" t="n">
        <f aca="false">'Raw Data'!U2747</f>
        <v>9</v>
      </c>
      <c r="G2747" s="2" t="n">
        <f aca="false">'Raw Data'!W2747</f>
        <v>1</v>
      </c>
      <c r="H2747" s="2" t="n">
        <f aca="false">'Raw Data'!V2747</f>
        <v>1</v>
      </c>
      <c r="I2747" s="2" t="n">
        <f aca="false">IF(AND(ISNUMBER(B2747),B2747&lt;=25),2,0)+IF(AND(ISNUMBER(E2747),E2747&lt;=5),2,0)+IF(AND(ISNUMBER(F2747),F2747&lt;=1),2,0)+IF(AND(ISNUMBER(G2747),G2747&lt;=2),1,0)+IF(AND(ISNUMBER(H2747),H2747&lt;=2),1,0)</f>
        <v>2</v>
      </c>
      <c r="J2747" s="2" t="str">
        <f aca="false">IF(I2747&gt;=6,"High",IF(I2747&gt;=3,"Medium","Low"))</f>
        <v>Low</v>
      </c>
    </row>
    <row r="2748" customFormat="false" ht="15" hidden="false" customHeight="true" outlineLevel="0" collapsed="false">
      <c r="A2748" s="2" t="n">
        <f aca="false">'Raw Data'!H2748</f>
        <v>2747</v>
      </c>
      <c r="B2748" s="2" t="n">
        <f aca="false">'Raw Data'!A2748</f>
        <v>36</v>
      </c>
      <c r="C2748" s="2" t="str">
        <f aca="false">'Raw Data'!D2748</f>
        <v>Sales</v>
      </c>
      <c r="D2748" s="2" t="str">
        <f aca="false">'Raw Data'!K2748</f>
        <v>Sales Executive</v>
      </c>
      <c r="E2748" s="2" t="n">
        <f aca="false">'Raw Data'!Q2748</f>
        <v>17</v>
      </c>
      <c r="F2748" s="2" t="n">
        <f aca="false">'Raw Data'!U2748</f>
        <v>8</v>
      </c>
      <c r="G2748" s="2" t="n">
        <f aca="false">'Raw Data'!W2748</f>
        <v>3</v>
      </c>
      <c r="H2748" s="2" t="n">
        <f aca="false">'Raw Data'!V2748</f>
        <v>3</v>
      </c>
      <c r="I2748" s="2" t="n">
        <f aca="false">IF(AND(ISNUMBER(B2748),B2748&lt;=25),2,0)+IF(AND(ISNUMBER(E2748),E2748&lt;=5),2,0)+IF(AND(ISNUMBER(F2748),F2748&lt;=1),2,0)+IF(AND(ISNUMBER(G2748),G2748&lt;=2),1,0)+IF(AND(ISNUMBER(H2748),H2748&lt;=2),1,0)</f>
        <v>0</v>
      </c>
      <c r="J2748" s="2" t="str">
        <f aca="false">IF(I2748&gt;=6,"High",IF(I2748&gt;=3,"Medium","Low"))</f>
        <v>Low</v>
      </c>
    </row>
    <row r="2749" customFormat="false" ht="15" hidden="false" customHeight="true" outlineLevel="0" collapsed="false">
      <c r="A2749" s="2" t="n">
        <f aca="false">'Raw Data'!H2749</f>
        <v>2748</v>
      </c>
      <c r="B2749" s="2" t="n">
        <f aca="false">'Raw Data'!A2749</f>
        <v>55</v>
      </c>
      <c r="C2749" s="2" t="str">
        <f aca="false">'Raw Data'!D2749</f>
        <v>Research &amp; Development</v>
      </c>
      <c r="D2749" s="2" t="str">
        <f aca="false">'Raw Data'!K2749</f>
        <v>Research Scientist</v>
      </c>
      <c r="E2749" s="2" t="n">
        <f aca="false">'Raw Data'!Q2749</f>
        <v>21</v>
      </c>
      <c r="F2749" s="2" t="n">
        <f aca="false">'Raw Data'!U2749</f>
        <v>2</v>
      </c>
      <c r="G2749" s="2" t="n">
        <f aca="false">'Raw Data'!W2749</f>
        <v>3</v>
      </c>
      <c r="H2749" s="2" t="n">
        <f aca="false">'Raw Data'!V2749</f>
        <v>4</v>
      </c>
      <c r="I2749" s="2" t="n">
        <f aca="false">IF(AND(ISNUMBER(B2749),B2749&lt;=25),2,0)+IF(AND(ISNUMBER(E2749),E2749&lt;=5),2,0)+IF(AND(ISNUMBER(F2749),F2749&lt;=1),2,0)+IF(AND(ISNUMBER(G2749),G2749&lt;=2),1,0)+IF(AND(ISNUMBER(H2749),H2749&lt;=2),1,0)</f>
        <v>0</v>
      </c>
      <c r="J2749" s="2" t="str">
        <f aca="false">IF(I2749&gt;=6,"High",IF(I2749&gt;=3,"Medium","Low"))</f>
        <v>Low</v>
      </c>
    </row>
    <row r="2750" customFormat="false" ht="15" hidden="false" customHeight="true" outlineLevel="0" collapsed="false">
      <c r="A2750" s="2" t="n">
        <f aca="false">'Raw Data'!H2750</f>
        <v>2749</v>
      </c>
      <c r="B2750" s="2" t="n">
        <f aca="false">'Raw Data'!A2750</f>
        <v>36</v>
      </c>
      <c r="C2750" s="2" t="str">
        <f aca="false">'Raw Data'!D2750</f>
        <v>Research &amp; Development</v>
      </c>
      <c r="D2750" s="2" t="str">
        <f aca="false">'Raw Data'!K2750</f>
        <v>Laboratory Technician</v>
      </c>
      <c r="E2750" s="2" t="n">
        <f aca="false">'Raw Data'!Q2750</f>
        <v>6</v>
      </c>
      <c r="F2750" s="2" t="n">
        <f aca="false">'Raw Data'!U2750</f>
        <v>3</v>
      </c>
      <c r="G2750" s="2" t="n">
        <f aca="false">'Raw Data'!W2750</f>
        <v>2</v>
      </c>
      <c r="H2750" s="2" t="n">
        <f aca="false">'Raw Data'!V2750</f>
        <v>2</v>
      </c>
      <c r="I2750" s="2" t="n">
        <f aca="false">IF(AND(ISNUMBER(B2750),B2750&lt;=25),2,0)+IF(AND(ISNUMBER(E2750),E2750&lt;=5),2,0)+IF(AND(ISNUMBER(F2750),F2750&lt;=1),2,0)+IF(AND(ISNUMBER(G2750),G2750&lt;=2),1,0)+IF(AND(ISNUMBER(H2750),H2750&lt;=2),1,0)</f>
        <v>2</v>
      </c>
      <c r="J2750" s="2" t="str">
        <f aca="false">IF(I2750&gt;=6,"High",IF(I2750&gt;=3,"Medium","Low"))</f>
        <v>Low</v>
      </c>
    </row>
    <row r="2751" customFormat="false" ht="15" hidden="false" customHeight="true" outlineLevel="0" collapsed="false">
      <c r="A2751" s="2" t="n">
        <f aca="false">'Raw Data'!H2751</f>
        <v>2750</v>
      </c>
      <c r="B2751" s="2" t="n">
        <f aca="false">'Raw Data'!A2751</f>
        <v>45</v>
      </c>
      <c r="C2751" s="2" t="str">
        <f aca="false">'Raw Data'!D2751</f>
        <v>Research &amp; Development</v>
      </c>
      <c r="D2751" s="2" t="str">
        <f aca="false">'Raw Data'!K2751</f>
        <v>Sales Executive</v>
      </c>
      <c r="E2751" s="2" t="n">
        <f aca="false">'Raw Data'!Q2751</f>
        <v>25</v>
      </c>
      <c r="F2751" s="2" t="n">
        <f aca="false">'Raw Data'!U2751</f>
        <v>0</v>
      </c>
      <c r="G2751" s="2" t="n">
        <f aca="false">'Raw Data'!W2751</f>
        <v>1</v>
      </c>
      <c r="H2751" s="2" t="n">
        <f aca="false">'Raw Data'!V2751</f>
        <v>2</v>
      </c>
      <c r="I2751" s="2" t="n">
        <f aca="false">IF(AND(ISNUMBER(B2751),B2751&lt;=25),2,0)+IF(AND(ISNUMBER(E2751),E2751&lt;=5),2,0)+IF(AND(ISNUMBER(F2751),F2751&lt;=1),2,0)+IF(AND(ISNUMBER(G2751),G2751&lt;=2),1,0)+IF(AND(ISNUMBER(H2751),H2751&lt;=2),1,0)</f>
        <v>4</v>
      </c>
      <c r="J2751" s="2" t="str">
        <f aca="false">IF(I2751&gt;=6,"High",IF(I2751&gt;=3,"Medium","Low"))</f>
        <v>Medium</v>
      </c>
    </row>
    <row r="2752" customFormat="false" ht="15" hidden="false" customHeight="true" outlineLevel="0" collapsed="false">
      <c r="A2752" s="2" t="n">
        <f aca="false">'Raw Data'!H2752</f>
        <v>2751</v>
      </c>
      <c r="B2752" s="2" t="n">
        <f aca="false">'Raw Data'!A2752</f>
        <v>35</v>
      </c>
      <c r="C2752" s="2" t="str">
        <f aca="false">'Raw Data'!D2752</f>
        <v>Human Resources</v>
      </c>
      <c r="D2752" s="2" t="str">
        <f aca="false">'Raw Data'!K2752</f>
        <v>Sales Representative</v>
      </c>
      <c r="E2752" s="2" t="n">
        <f aca="false">'Raw Data'!Q2752</f>
        <v>5</v>
      </c>
      <c r="F2752" s="2" t="n">
        <f aca="false">'Raw Data'!U2752</f>
        <v>2</v>
      </c>
      <c r="G2752" s="2" t="n">
        <f aca="false">'Raw Data'!W2752</f>
        <v>1</v>
      </c>
      <c r="H2752" s="2" t="n">
        <f aca="false">'Raw Data'!V2752</f>
        <v>2</v>
      </c>
      <c r="I2752" s="2" t="n">
        <f aca="false">IF(AND(ISNUMBER(B2752),B2752&lt;=25),2,0)+IF(AND(ISNUMBER(E2752),E2752&lt;=5),2,0)+IF(AND(ISNUMBER(F2752),F2752&lt;=1),2,0)+IF(AND(ISNUMBER(G2752),G2752&lt;=2),1,0)+IF(AND(ISNUMBER(H2752),H2752&lt;=2),1,0)</f>
        <v>4</v>
      </c>
      <c r="J2752" s="2" t="str">
        <f aca="false">IF(I2752&gt;=6,"High",IF(I2752&gt;=3,"Medium","Low"))</f>
        <v>Medium</v>
      </c>
    </row>
    <row r="2753" customFormat="false" ht="15" hidden="false" customHeight="true" outlineLevel="0" collapsed="false">
      <c r="A2753" s="2" t="n">
        <f aca="false">'Raw Data'!H2753</f>
        <v>2752</v>
      </c>
      <c r="B2753" s="2" t="n">
        <f aca="false">'Raw Data'!A2753</f>
        <v>36</v>
      </c>
      <c r="C2753" s="2" t="str">
        <f aca="false">'Raw Data'!D2753</f>
        <v>Sales</v>
      </c>
      <c r="D2753" s="2" t="str">
        <f aca="false">'Raw Data'!K2753</f>
        <v>Laboratory Technician</v>
      </c>
      <c r="E2753" s="2" t="n">
        <f aca="false">'Raw Data'!Q2753</f>
        <v>2</v>
      </c>
      <c r="F2753" s="2" t="n">
        <f aca="false">'Raw Data'!U2753</f>
        <v>0</v>
      </c>
      <c r="G2753" s="2" t="n">
        <f aca="false">'Raw Data'!W2753</f>
        <v>3</v>
      </c>
      <c r="H2753" s="2" t="n">
        <f aca="false">'Raw Data'!V2753</f>
        <v>4</v>
      </c>
      <c r="I2753" s="2" t="n">
        <f aca="false">IF(AND(ISNUMBER(B2753),B2753&lt;=25),2,0)+IF(AND(ISNUMBER(E2753),E2753&lt;=5),2,0)+IF(AND(ISNUMBER(F2753),F2753&lt;=1),2,0)+IF(AND(ISNUMBER(G2753),G2753&lt;=2),1,0)+IF(AND(ISNUMBER(H2753),H2753&lt;=2),1,0)</f>
        <v>4</v>
      </c>
      <c r="J2753" s="2" t="str">
        <f aca="false">IF(I2753&gt;=6,"High",IF(I2753&gt;=3,"Medium","Low"))</f>
        <v>Medium</v>
      </c>
    </row>
    <row r="2754" customFormat="false" ht="15" hidden="false" customHeight="true" outlineLevel="0" collapsed="false">
      <c r="A2754" s="2" t="n">
        <f aca="false">'Raw Data'!H2754</f>
        <v>2753</v>
      </c>
      <c r="B2754" s="2" t="n">
        <f aca="false">'Raw Data'!A2754</f>
        <v>59</v>
      </c>
      <c r="C2754" s="2" t="str">
        <f aca="false">'Raw Data'!D2754</f>
        <v>Research &amp; Development</v>
      </c>
      <c r="D2754" s="2" t="str">
        <f aca="false">'Raw Data'!K2754</f>
        <v>Research Scientist</v>
      </c>
      <c r="E2754" s="2" t="n">
        <f aca="false">'Raw Data'!Q2754</f>
        <v>20</v>
      </c>
      <c r="F2754" s="2" t="n">
        <f aca="false">'Raw Data'!U2754</f>
        <v>3</v>
      </c>
      <c r="G2754" s="2" t="n">
        <f aca="false">'Raw Data'!W2754</f>
        <v>3</v>
      </c>
      <c r="H2754" s="2" t="n">
        <f aca="false">'Raw Data'!V2754</f>
        <v>1</v>
      </c>
      <c r="I2754" s="2" t="n">
        <f aca="false">IF(AND(ISNUMBER(B2754),B2754&lt;=25),2,0)+IF(AND(ISNUMBER(E2754),E2754&lt;=5),2,0)+IF(AND(ISNUMBER(F2754),F2754&lt;=1),2,0)+IF(AND(ISNUMBER(G2754),G2754&lt;=2),1,0)+IF(AND(ISNUMBER(H2754),H2754&lt;=2),1,0)</f>
        <v>1</v>
      </c>
      <c r="J2754" s="2" t="str">
        <f aca="false">IF(I2754&gt;=6,"High",IF(I2754&gt;=3,"Medium","Low"))</f>
        <v>Low</v>
      </c>
    </row>
    <row r="2755" customFormat="false" ht="15" hidden="false" customHeight="true" outlineLevel="0" collapsed="false">
      <c r="A2755" s="2" t="n">
        <f aca="false">'Raw Data'!H2755</f>
        <v>2754</v>
      </c>
      <c r="B2755" s="2" t="n">
        <f aca="false">'Raw Data'!A2755</f>
        <v>29</v>
      </c>
      <c r="C2755" s="2" t="str">
        <f aca="false">'Raw Data'!D2755</f>
        <v>Research &amp; Development</v>
      </c>
      <c r="D2755" s="2" t="str">
        <f aca="false">'Raw Data'!K2755</f>
        <v>Sales Representative</v>
      </c>
      <c r="E2755" s="2" t="n">
        <f aca="false">'Raw Data'!Q2755</f>
        <v>6</v>
      </c>
      <c r="F2755" s="2" t="n">
        <f aca="false">'Raw Data'!U2755</f>
        <v>4</v>
      </c>
      <c r="G2755" s="2" t="n">
        <f aca="false">'Raw Data'!W2755</f>
        <v>2</v>
      </c>
      <c r="H2755" s="2" t="n">
        <f aca="false">'Raw Data'!V2755</f>
        <v>3</v>
      </c>
      <c r="I2755" s="2" t="n">
        <f aca="false">IF(AND(ISNUMBER(B2755),B2755&lt;=25),2,0)+IF(AND(ISNUMBER(E2755),E2755&lt;=5),2,0)+IF(AND(ISNUMBER(F2755),F2755&lt;=1),2,0)+IF(AND(ISNUMBER(G2755),G2755&lt;=2),1,0)+IF(AND(ISNUMBER(H2755),H2755&lt;=2),1,0)</f>
        <v>1</v>
      </c>
      <c r="J2755" s="2" t="str">
        <f aca="false">IF(I2755&gt;=6,"High",IF(I2755&gt;=3,"Medium","Low"))</f>
        <v>Low</v>
      </c>
    </row>
    <row r="2756" customFormat="false" ht="15" hidden="false" customHeight="true" outlineLevel="0" collapsed="false">
      <c r="A2756" s="2" t="n">
        <f aca="false">'Raw Data'!H2756</f>
        <v>2755</v>
      </c>
      <c r="B2756" s="2" t="n">
        <f aca="false">'Raw Data'!A2756</f>
        <v>31</v>
      </c>
      <c r="C2756" s="2" t="str">
        <f aca="false">'Raw Data'!D2756</f>
        <v>Research &amp; Development</v>
      </c>
      <c r="D2756" s="2" t="str">
        <f aca="false">'Raw Data'!K2756</f>
        <v>Sales Executive</v>
      </c>
      <c r="E2756" s="2" t="n">
        <f aca="false">'Raw Data'!Q2756</f>
        <v>1</v>
      </c>
      <c r="F2756" s="2" t="n">
        <f aca="false">'Raw Data'!U2756</f>
        <v>0</v>
      </c>
      <c r="G2756" s="2" t="n">
        <f aca="false">'Raw Data'!W2756</f>
        <v>2</v>
      </c>
      <c r="H2756" s="2" t="n">
        <f aca="false">'Raw Data'!V2756</f>
        <v>3</v>
      </c>
      <c r="I2756" s="2" t="n">
        <f aca="false">IF(AND(ISNUMBER(B2756),B2756&lt;=25),2,0)+IF(AND(ISNUMBER(E2756),E2756&lt;=5),2,0)+IF(AND(ISNUMBER(F2756),F2756&lt;=1),2,0)+IF(AND(ISNUMBER(G2756),G2756&lt;=2),1,0)+IF(AND(ISNUMBER(H2756),H2756&lt;=2),1,0)</f>
        <v>5</v>
      </c>
      <c r="J2756" s="2" t="str">
        <f aca="false">IF(I2756&gt;=6,"High",IF(I2756&gt;=3,"Medium","Low"))</f>
        <v>Medium</v>
      </c>
    </row>
    <row r="2757" customFormat="false" ht="15" hidden="false" customHeight="true" outlineLevel="0" collapsed="false">
      <c r="A2757" s="2" t="n">
        <f aca="false">'Raw Data'!H2757</f>
        <v>2756</v>
      </c>
      <c r="B2757" s="2" t="n">
        <f aca="false">'Raw Data'!A2757</f>
        <v>32</v>
      </c>
      <c r="C2757" s="2" t="str">
        <f aca="false">'Raw Data'!D2757</f>
        <v>Sales</v>
      </c>
      <c r="D2757" s="2" t="str">
        <f aca="false">'Raw Data'!K2757</f>
        <v>Manufacturing Director</v>
      </c>
      <c r="E2757" s="2" t="n">
        <f aca="false">'Raw Data'!Q2757</f>
        <v>10</v>
      </c>
      <c r="F2757" s="2" t="n">
        <f aca="false">'Raw Data'!U2757</f>
        <v>9</v>
      </c>
      <c r="G2757" s="2" t="n">
        <f aca="false">'Raw Data'!W2757</f>
        <v>2</v>
      </c>
      <c r="H2757" s="2" t="n">
        <f aca="false">'Raw Data'!V2757</f>
        <v>2</v>
      </c>
      <c r="I2757" s="2" t="n">
        <f aca="false">IF(AND(ISNUMBER(B2757),B2757&lt;=25),2,0)+IF(AND(ISNUMBER(E2757),E2757&lt;=5),2,0)+IF(AND(ISNUMBER(F2757),F2757&lt;=1),2,0)+IF(AND(ISNUMBER(G2757),G2757&lt;=2),1,0)+IF(AND(ISNUMBER(H2757),H2757&lt;=2),1,0)</f>
        <v>2</v>
      </c>
      <c r="J2757" s="2" t="str">
        <f aca="false">IF(I2757&gt;=6,"High",IF(I2757&gt;=3,"Medium","Low"))</f>
        <v>Low</v>
      </c>
    </row>
    <row r="2758" customFormat="false" ht="15" hidden="false" customHeight="true" outlineLevel="0" collapsed="false">
      <c r="A2758" s="2" t="n">
        <f aca="false">'Raw Data'!H2758</f>
        <v>2757</v>
      </c>
      <c r="B2758" s="2" t="n">
        <f aca="false">'Raw Data'!A2758</f>
        <v>36</v>
      </c>
      <c r="C2758" s="2" t="str">
        <f aca="false">'Raw Data'!D2758</f>
        <v>Research &amp; Development</v>
      </c>
      <c r="D2758" s="2" t="str">
        <f aca="false">'Raw Data'!K2758</f>
        <v>Sales Representative</v>
      </c>
      <c r="E2758" s="2" t="n">
        <f aca="false">'Raw Data'!Q2758</f>
        <v>5</v>
      </c>
      <c r="F2758" s="2" t="n">
        <f aca="false">'Raw Data'!U2758</f>
        <v>0</v>
      </c>
      <c r="G2758" s="2" t="n">
        <f aca="false">'Raw Data'!W2758</f>
        <v>4</v>
      </c>
      <c r="H2758" s="2" t="n">
        <f aca="false">'Raw Data'!V2758</f>
        <v>2</v>
      </c>
      <c r="I2758" s="2" t="n">
        <f aca="false">IF(AND(ISNUMBER(B2758),B2758&lt;=25),2,0)+IF(AND(ISNUMBER(E2758),E2758&lt;=5),2,0)+IF(AND(ISNUMBER(F2758),F2758&lt;=1),2,0)+IF(AND(ISNUMBER(G2758),G2758&lt;=2),1,0)+IF(AND(ISNUMBER(H2758),H2758&lt;=2),1,0)</f>
        <v>5</v>
      </c>
      <c r="J2758" s="2" t="str">
        <f aca="false">IF(I2758&gt;=6,"High",IF(I2758&gt;=3,"Medium","Low"))</f>
        <v>Medium</v>
      </c>
    </row>
    <row r="2759" customFormat="false" ht="15" hidden="false" customHeight="true" outlineLevel="0" collapsed="false">
      <c r="A2759" s="2" t="n">
        <f aca="false">'Raw Data'!H2759</f>
        <v>2758</v>
      </c>
      <c r="B2759" s="2" t="n">
        <f aca="false">'Raw Data'!A2759</f>
        <v>31</v>
      </c>
      <c r="C2759" s="2" t="str">
        <f aca="false">'Raw Data'!D2759</f>
        <v>Research &amp; Development</v>
      </c>
      <c r="D2759" s="2" t="str">
        <f aca="false">'Raw Data'!K2759</f>
        <v>Research Director</v>
      </c>
      <c r="E2759" s="2" t="n">
        <f aca="false">'Raw Data'!Q2759</f>
        <v>11</v>
      </c>
      <c r="F2759" s="2" t="n">
        <f aca="false">'Raw Data'!U2759</f>
        <v>8</v>
      </c>
      <c r="G2759" s="2" t="n">
        <f aca="false">'Raw Data'!W2759</f>
        <v>4</v>
      </c>
      <c r="H2759" s="2" t="n">
        <f aca="false">'Raw Data'!V2759</f>
        <v>3</v>
      </c>
      <c r="I2759" s="2" t="n">
        <f aca="false">IF(AND(ISNUMBER(B2759),B2759&lt;=25),2,0)+IF(AND(ISNUMBER(E2759),E2759&lt;=5),2,0)+IF(AND(ISNUMBER(F2759),F2759&lt;=1),2,0)+IF(AND(ISNUMBER(G2759),G2759&lt;=2),1,0)+IF(AND(ISNUMBER(H2759),H2759&lt;=2),1,0)</f>
        <v>0</v>
      </c>
      <c r="J2759" s="2" t="str">
        <f aca="false">IF(I2759&gt;=6,"High",IF(I2759&gt;=3,"Medium","Low"))</f>
        <v>Low</v>
      </c>
    </row>
    <row r="2760" customFormat="false" ht="15" hidden="false" customHeight="true" outlineLevel="0" collapsed="false">
      <c r="A2760" s="2" t="n">
        <f aca="false">'Raw Data'!H2760</f>
        <v>2759</v>
      </c>
      <c r="B2760" s="2" t="n">
        <f aca="false">'Raw Data'!A2760</f>
        <v>35</v>
      </c>
      <c r="C2760" s="2" t="str">
        <f aca="false">'Raw Data'!D2760</f>
        <v>Research &amp; Development</v>
      </c>
      <c r="D2760" s="2" t="str">
        <f aca="false">'Raw Data'!K2760</f>
        <v>Healthcare Representative</v>
      </c>
      <c r="E2760" s="2" t="n">
        <f aca="false">'Raw Data'!Q2760</f>
        <v>16</v>
      </c>
      <c r="F2760" s="2" t="n">
        <f aca="false">'Raw Data'!U2760</f>
        <v>8</v>
      </c>
      <c r="G2760" s="2" t="n">
        <f aca="false">'Raw Data'!W2760</f>
        <v>1</v>
      </c>
      <c r="H2760" s="2" t="n">
        <f aca="false">'Raw Data'!V2760</f>
        <v>3</v>
      </c>
      <c r="I2760" s="2" t="n">
        <f aca="false">IF(AND(ISNUMBER(B2760),B2760&lt;=25),2,0)+IF(AND(ISNUMBER(E2760),E2760&lt;=5),2,0)+IF(AND(ISNUMBER(F2760),F2760&lt;=1),2,0)+IF(AND(ISNUMBER(G2760),G2760&lt;=2),1,0)+IF(AND(ISNUMBER(H2760),H2760&lt;=2),1,0)</f>
        <v>1</v>
      </c>
      <c r="J2760" s="2" t="str">
        <f aca="false">IF(I2760&gt;=6,"High",IF(I2760&gt;=3,"Medium","Low"))</f>
        <v>Low</v>
      </c>
    </row>
    <row r="2761" customFormat="false" ht="15" hidden="false" customHeight="true" outlineLevel="0" collapsed="false">
      <c r="A2761" s="2" t="n">
        <f aca="false">'Raw Data'!H2761</f>
        <v>2760</v>
      </c>
      <c r="B2761" s="2" t="n">
        <f aca="false">'Raw Data'!A2761</f>
        <v>45</v>
      </c>
      <c r="C2761" s="2" t="str">
        <f aca="false">'Raw Data'!D2761</f>
        <v>Human Resources</v>
      </c>
      <c r="D2761" s="2" t="str">
        <f aca="false">'Raw Data'!K2761</f>
        <v>Sales Executive</v>
      </c>
      <c r="E2761" s="2" t="n">
        <f aca="false">'Raw Data'!Q2761</f>
        <v>17</v>
      </c>
      <c r="F2761" s="2" t="n">
        <f aca="false">'Raw Data'!U2761</f>
        <v>0</v>
      </c>
      <c r="G2761" s="2" t="n">
        <f aca="false">'Raw Data'!W2761</f>
        <v>1</v>
      </c>
      <c r="H2761" s="2" t="n">
        <f aca="false">'Raw Data'!V2761</f>
        <v>4</v>
      </c>
      <c r="I2761" s="2" t="n">
        <f aca="false">IF(AND(ISNUMBER(B2761),B2761&lt;=25),2,0)+IF(AND(ISNUMBER(E2761),E2761&lt;=5),2,0)+IF(AND(ISNUMBER(F2761),F2761&lt;=1),2,0)+IF(AND(ISNUMBER(G2761),G2761&lt;=2),1,0)+IF(AND(ISNUMBER(H2761),H2761&lt;=2),1,0)</f>
        <v>3</v>
      </c>
      <c r="J2761" s="2" t="str">
        <f aca="false">IF(I2761&gt;=6,"High",IF(I2761&gt;=3,"Medium","Low"))</f>
        <v>Medium</v>
      </c>
    </row>
    <row r="2762" customFormat="false" ht="15" hidden="false" customHeight="true" outlineLevel="0" collapsed="false">
      <c r="A2762" s="2" t="n">
        <f aca="false">'Raw Data'!H2762</f>
        <v>2761</v>
      </c>
      <c r="B2762" s="2" t="n">
        <f aca="false">'Raw Data'!A2762</f>
        <v>37</v>
      </c>
      <c r="C2762" s="2" t="str">
        <f aca="false">'Raw Data'!D2762</f>
        <v>Research &amp; Development</v>
      </c>
      <c r="D2762" s="2" t="str">
        <f aca="false">'Raw Data'!K2762</f>
        <v>Sales Executive</v>
      </c>
      <c r="E2762" s="2" t="n">
        <f aca="false">'Raw Data'!Q2762</f>
        <v>16</v>
      </c>
      <c r="F2762" s="2" t="n">
        <f aca="false">'Raw Data'!U2762</f>
        <v>2</v>
      </c>
      <c r="G2762" s="2" t="n">
        <f aca="false">'Raw Data'!W2762</f>
        <v>3</v>
      </c>
      <c r="H2762" s="2" t="n">
        <f aca="false">'Raw Data'!V2762</f>
        <v>1</v>
      </c>
      <c r="I2762" s="2" t="n">
        <f aca="false">IF(AND(ISNUMBER(B2762),B2762&lt;=25),2,0)+IF(AND(ISNUMBER(E2762),E2762&lt;=5),2,0)+IF(AND(ISNUMBER(F2762),F2762&lt;=1),2,0)+IF(AND(ISNUMBER(G2762),G2762&lt;=2),1,0)+IF(AND(ISNUMBER(H2762),H2762&lt;=2),1,0)</f>
        <v>1</v>
      </c>
      <c r="J2762" s="2" t="str">
        <f aca="false">IF(I2762&gt;=6,"High",IF(I2762&gt;=3,"Medium","Low"))</f>
        <v>Low</v>
      </c>
    </row>
    <row r="2763" customFormat="false" ht="15" hidden="false" customHeight="true" outlineLevel="0" collapsed="false">
      <c r="A2763" s="2" t="n">
        <f aca="false">'Raw Data'!H2763</f>
        <v>2762</v>
      </c>
      <c r="B2763" s="2" t="n">
        <f aca="false">'Raw Data'!A2763</f>
        <v>46</v>
      </c>
      <c r="C2763" s="2" t="str">
        <f aca="false">'Raw Data'!D2763</f>
        <v>Research &amp; Development</v>
      </c>
      <c r="D2763" s="2" t="str">
        <f aca="false">'Raw Data'!K2763</f>
        <v>Manager</v>
      </c>
      <c r="E2763" s="2" t="n">
        <f aca="false">'Raw Data'!Q2763</f>
        <v>16</v>
      </c>
      <c r="F2763" s="2" t="n">
        <f aca="false">'Raw Data'!U2763</f>
        <v>2</v>
      </c>
      <c r="G2763" s="2" t="n">
        <f aca="false">'Raw Data'!W2763</f>
        <v>2</v>
      </c>
      <c r="H2763" s="2" t="n">
        <f aca="false">'Raw Data'!V2763</f>
        <v>2</v>
      </c>
      <c r="I2763" s="2" t="n">
        <f aca="false">IF(AND(ISNUMBER(B2763),B2763&lt;=25),2,0)+IF(AND(ISNUMBER(E2763),E2763&lt;=5),2,0)+IF(AND(ISNUMBER(F2763),F2763&lt;=1),2,0)+IF(AND(ISNUMBER(G2763),G2763&lt;=2),1,0)+IF(AND(ISNUMBER(H2763),H2763&lt;=2),1,0)</f>
        <v>2</v>
      </c>
      <c r="J2763" s="2" t="str">
        <f aca="false">IF(I2763&gt;=6,"High",IF(I2763&gt;=3,"Medium","Low"))</f>
        <v>Low</v>
      </c>
    </row>
    <row r="2764" customFormat="false" ht="15" hidden="false" customHeight="true" outlineLevel="0" collapsed="false">
      <c r="A2764" s="2" t="n">
        <f aca="false">'Raw Data'!H2764</f>
        <v>2763</v>
      </c>
      <c r="B2764" s="2" t="n">
        <f aca="false">'Raw Data'!A2764</f>
        <v>30</v>
      </c>
      <c r="C2764" s="2" t="str">
        <f aca="false">'Raw Data'!D2764</f>
        <v>Sales</v>
      </c>
      <c r="D2764" s="2" t="str">
        <f aca="false">'Raw Data'!K2764</f>
        <v>Human Resources</v>
      </c>
      <c r="E2764" s="2" t="n">
        <f aca="false">'Raw Data'!Q2764</f>
        <v>10</v>
      </c>
      <c r="F2764" s="2" t="n">
        <f aca="false">'Raw Data'!U2764</f>
        <v>0</v>
      </c>
      <c r="G2764" s="2" t="n">
        <f aca="false">'Raw Data'!W2764</f>
        <v>4</v>
      </c>
      <c r="H2764" s="2" t="n">
        <f aca="false">'Raw Data'!V2764</f>
        <v>4</v>
      </c>
      <c r="I2764" s="2" t="n">
        <f aca="false">IF(AND(ISNUMBER(B2764),B2764&lt;=25),2,0)+IF(AND(ISNUMBER(E2764),E2764&lt;=5),2,0)+IF(AND(ISNUMBER(F2764),F2764&lt;=1),2,0)+IF(AND(ISNUMBER(G2764),G2764&lt;=2),1,0)+IF(AND(ISNUMBER(H2764),H2764&lt;=2),1,0)</f>
        <v>2</v>
      </c>
      <c r="J2764" s="2" t="str">
        <f aca="false">IF(I2764&gt;=6,"High",IF(I2764&gt;=3,"Medium","Low"))</f>
        <v>Low</v>
      </c>
    </row>
    <row r="2765" customFormat="false" ht="15" hidden="false" customHeight="true" outlineLevel="0" collapsed="false">
      <c r="A2765" s="2" t="n">
        <f aca="false">'Raw Data'!H2765</f>
        <v>2764</v>
      </c>
      <c r="B2765" s="2" t="n">
        <f aca="false">'Raw Data'!A2765</f>
        <v>35</v>
      </c>
      <c r="C2765" s="2" t="str">
        <f aca="false">'Raw Data'!D2765</f>
        <v>Research &amp; Development</v>
      </c>
      <c r="D2765" s="2" t="str">
        <f aca="false">'Raw Data'!K2765</f>
        <v>Human Resources</v>
      </c>
      <c r="E2765" s="2" t="n">
        <f aca="false">'Raw Data'!Q2765</f>
        <v>6</v>
      </c>
      <c r="F2765" s="2" t="n">
        <f aca="false">'Raw Data'!U2765</f>
        <v>4</v>
      </c>
      <c r="G2765" s="2" t="n">
        <f aca="false">'Raw Data'!W2765</f>
        <v>3</v>
      </c>
      <c r="H2765" s="2" t="n">
        <f aca="false">'Raw Data'!V2765</f>
        <v>2</v>
      </c>
      <c r="I2765" s="2" t="n">
        <f aca="false">IF(AND(ISNUMBER(B2765),B2765&lt;=25),2,0)+IF(AND(ISNUMBER(E2765),E2765&lt;=5),2,0)+IF(AND(ISNUMBER(F2765),F2765&lt;=1),2,0)+IF(AND(ISNUMBER(G2765),G2765&lt;=2),1,0)+IF(AND(ISNUMBER(H2765),H2765&lt;=2),1,0)</f>
        <v>1</v>
      </c>
      <c r="J2765" s="2" t="str">
        <f aca="false">IF(I2765&gt;=6,"High",IF(I2765&gt;=3,"Medium","Low"))</f>
        <v>Low</v>
      </c>
    </row>
    <row r="2766" customFormat="false" ht="15" hidden="false" customHeight="true" outlineLevel="0" collapsed="false">
      <c r="A2766" s="2" t="n">
        <f aca="false">'Raw Data'!H2766</f>
        <v>2765</v>
      </c>
      <c r="B2766" s="2" t="n">
        <f aca="false">'Raw Data'!A2766</f>
        <v>55</v>
      </c>
      <c r="C2766" s="2" t="str">
        <f aca="false">'Raw Data'!D2766</f>
        <v>Research &amp; Development</v>
      </c>
      <c r="D2766" s="2" t="str">
        <f aca="false">'Raw Data'!K2766</f>
        <v>Laboratory Technician</v>
      </c>
      <c r="E2766" s="2" t="n">
        <f aca="false">'Raw Data'!Q2766</f>
        <v>24</v>
      </c>
      <c r="F2766" s="2" t="n">
        <f aca="false">'Raw Data'!U2766</f>
        <v>0</v>
      </c>
      <c r="G2766" s="2" t="n">
        <f aca="false">'Raw Data'!W2766</f>
        <v>4</v>
      </c>
      <c r="H2766" s="2" t="n">
        <f aca="false">'Raw Data'!V2766</f>
        <v>1</v>
      </c>
      <c r="I2766" s="2" t="n">
        <f aca="false">IF(AND(ISNUMBER(B2766),B2766&lt;=25),2,0)+IF(AND(ISNUMBER(E2766),E2766&lt;=5),2,0)+IF(AND(ISNUMBER(F2766),F2766&lt;=1),2,0)+IF(AND(ISNUMBER(G2766),G2766&lt;=2),1,0)+IF(AND(ISNUMBER(H2766),H2766&lt;=2),1,0)</f>
        <v>3</v>
      </c>
      <c r="J2766" s="2" t="str">
        <f aca="false">IF(I2766&gt;=6,"High",IF(I2766&gt;=3,"Medium","Low"))</f>
        <v>Medium</v>
      </c>
    </row>
    <row r="2767" customFormat="false" ht="15" hidden="false" customHeight="true" outlineLevel="0" collapsed="false">
      <c r="A2767" s="2" t="n">
        <f aca="false">'Raw Data'!H2767</f>
        <v>2766</v>
      </c>
      <c r="B2767" s="2" t="n">
        <f aca="false">'Raw Data'!A2767</f>
        <v>38</v>
      </c>
      <c r="C2767" s="2" t="str">
        <f aca="false">'Raw Data'!D2767</f>
        <v>Sales</v>
      </c>
      <c r="D2767" s="2" t="str">
        <f aca="false">'Raw Data'!K2767</f>
        <v>Laboratory Technician</v>
      </c>
      <c r="E2767" s="2" t="n">
        <f aca="false">'Raw Data'!Q2767</f>
        <v>17</v>
      </c>
      <c r="F2767" s="2" t="n">
        <f aca="false">'Raw Data'!U2767</f>
        <v>9</v>
      </c>
      <c r="G2767" s="2" t="n">
        <f aca="false">'Raw Data'!W2767</f>
        <v>4</v>
      </c>
      <c r="H2767" s="2" t="n">
        <f aca="false">'Raw Data'!V2767</f>
        <v>2</v>
      </c>
      <c r="I2767" s="2" t="n">
        <f aca="false">IF(AND(ISNUMBER(B2767),B2767&lt;=25),2,0)+IF(AND(ISNUMBER(E2767),E2767&lt;=5),2,0)+IF(AND(ISNUMBER(F2767),F2767&lt;=1),2,0)+IF(AND(ISNUMBER(G2767),G2767&lt;=2),1,0)+IF(AND(ISNUMBER(H2767),H2767&lt;=2),1,0)</f>
        <v>1</v>
      </c>
      <c r="J2767" s="2" t="str">
        <f aca="false">IF(I2767&gt;=6,"High",IF(I2767&gt;=3,"Medium","Low"))</f>
        <v>Low</v>
      </c>
    </row>
    <row r="2768" customFormat="false" ht="15" hidden="false" customHeight="true" outlineLevel="0" collapsed="false">
      <c r="A2768" s="2" t="n">
        <f aca="false">'Raw Data'!H2768</f>
        <v>2767</v>
      </c>
      <c r="B2768" s="2" t="n">
        <f aca="false">'Raw Data'!A2768</f>
        <v>34</v>
      </c>
      <c r="C2768" s="2" t="str">
        <f aca="false">'Raw Data'!D2768</f>
        <v>Research &amp; Development</v>
      </c>
      <c r="D2768" s="2" t="str">
        <f aca="false">'Raw Data'!K2768</f>
        <v>Research Scientist</v>
      </c>
      <c r="E2768" s="2" t="n">
        <f aca="false">'Raw Data'!Q2768</f>
        <v>5</v>
      </c>
      <c r="F2768" s="2" t="n">
        <f aca="false">'Raw Data'!U2768</f>
        <v>3</v>
      </c>
      <c r="G2768" s="2" t="n">
        <f aca="false">'Raw Data'!W2768</f>
        <v>2</v>
      </c>
      <c r="H2768" s="2" t="n">
        <f aca="false">'Raw Data'!V2768</f>
        <v>1</v>
      </c>
      <c r="I2768" s="2" t="n">
        <f aca="false">IF(AND(ISNUMBER(B2768),B2768&lt;=25),2,0)+IF(AND(ISNUMBER(E2768),E2768&lt;=5),2,0)+IF(AND(ISNUMBER(F2768),F2768&lt;=1),2,0)+IF(AND(ISNUMBER(G2768),G2768&lt;=2),1,0)+IF(AND(ISNUMBER(H2768),H2768&lt;=2),1,0)</f>
        <v>4</v>
      </c>
      <c r="J2768" s="2" t="str">
        <f aca="false">IF(I2768&gt;=6,"High",IF(I2768&gt;=3,"Medium","Low"))</f>
        <v>Medium</v>
      </c>
    </row>
    <row r="2769" customFormat="false" ht="15" hidden="false" customHeight="true" outlineLevel="0" collapsed="false">
      <c r="A2769" s="2" t="n">
        <f aca="false">'Raw Data'!H2769</f>
        <v>2768</v>
      </c>
      <c r="B2769" s="2" t="n">
        <f aca="false">'Raw Data'!A2769</f>
        <v>56</v>
      </c>
      <c r="C2769" s="2" t="str">
        <f aca="false">'Raw Data'!D2769</f>
        <v>Human Resources</v>
      </c>
      <c r="D2769" s="2" t="str">
        <f aca="false">'Raw Data'!K2769</f>
        <v>Sales Executive</v>
      </c>
      <c r="E2769" s="2" t="n">
        <f aca="false">'Raw Data'!Q2769</f>
        <v>37</v>
      </c>
      <c r="F2769" s="2" t="n">
        <f aca="false">'Raw Data'!U2769</f>
        <v>2</v>
      </c>
      <c r="G2769" s="2" t="n">
        <f aca="false">'Raw Data'!W2769</f>
        <v>4</v>
      </c>
      <c r="H2769" s="2" t="n">
        <f aca="false">'Raw Data'!V2769</f>
        <v>4</v>
      </c>
      <c r="I2769" s="2" t="n">
        <f aca="false">IF(AND(ISNUMBER(B2769),B2769&lt;=25),2,0)+IF(AND(ISNUMBER(E2769),E2769&lt;=5),2,0)+IF(AND(ISNUMBER(F2769),F2769&lt;=1),2,0)+IF(AND(ISNUMBER(G2769),G2769&lt;=2),1,0)+IF(AND(ISNUMBER(H2769),H2769&lt;=2),1,0)</f>
        <v>0</v>
      </c>
      <c r="J2769" s="2" t="str">
        <f aca="false">IF(I2769&gt;=6,"High",IF(I2769&gt;=3,"Medium","Low"))</f>
        <v>Low</v>
      </c>
    </row>
    <row r="2770" customFormat="false" ht="15" hidden="false" customHeight="true" outlineLevel="0" collapsed="false">
      <c r="A2770" s="2" t="n">
        <f aca="false">'Raw Data'!H2770</f>
        <v>2769</v>
      </c>
      <c r="B2770" s="2" t="n">
        <f aca="false">'Raw Data'!A2770</f>
        <v>23</v>
      </c>
      <c r="C2770" s="2" t="str">
        <f aca="false">'Raw Data'!D2770</f>
        <v>Research &amp; Development</v>
      </c>
      <c r="D2770" s="2" t="str">
        <f aca="false">'Raw Data'!K2770</f>
        <v>Laboratory Technician</v>
      </c>
      <c r="E2770" s="2" t="n">
        <f aca="false">'Raw Data'!Q2770</f>
        <v>3</v>
      </c>
      <c r="F2770" s="2" t="n">
        <f aca="false">'Raw Data'!U2770</f>
        <v>0</v>
      </c>
      <c r="G2770" s="2" t="n">
        <f aca="false">'Raw Data'!W2770</f>
        <v>1</v>
      </c>
      <c r="H2770" s="2" t="n">
        <f aca="false">'Raw Data'!V2770</f>
        <v>3</v>
      </c>
      <c r="I2770" s="2" t="n">
        <f aca="false">IF(AND(ISNUMBER(B2770),B2770&lt;=25),2,0)+IF(AND(ISNUMBER(E2770),E2770&lt;=5),2,0)+IF(AND(ISNUMBER(F2770),F2770&lt;=1),2,0)+IF(AND(ISNUMBER(G2770),G2770&lt;=2),1,0)+IF(AND(ISNUMBER(H2770),H2770&lt;=2),1,0)</f>
        <v>7</v>
      </c>
      <c r="J2770" s="2" t="str">
        <f aca="false">IF(I2770&gt;=6,"High",IF(I2770&gt;=3,"Medium","Low"))</f>
        <v>High</v>
      </c>
    </row>
    <row r="2771" customFormat="false" ht="15" hidden="false" customHeight="true" outlineLevel="0" collapsed="false">
      <c r="A2771" s="2" t="n">
        <f aca="false">'Raw Data'!H2771</f>
        <v>2770</v>
      </c>
      <c r="B2771" s="2" t="n">
        <f aca="false">'Raw Data'!A2771</f>
        <v>51</v>
      </c>
      <c r="C2771" s="2" t="str">
        <f aca="false">'Raw Data'!D2771</f>
        <v>Research &amp; Development</v>
      </c>
      <c r="D2771" s="2" t="str">
        <f aca="false">'Raw Data'!K2771</f>
        <v>Manufacturing Director</v>
      </c>
      <c r="E2771" s="2" t="n">
        <f aca="false">'Raw Data'!Q2771</f>
        <v>10</v>
      </c>
      <c r="F2771" s="2" t="n">
        <f aca="false">'Raw Data'!U2771</f>
        <v>3</v>
      </c>
      <c r="G2771" s="2" t="n">
        <f aca="false">'Raw Data'!W2771</f>
        <v>4</v>
      </c>
      <c r="H2771" s="2" t="n">
        <f aca="false">'Raw Data'!V2771</f>
        <v>4</v>
      </c>
      <c r="I2771" s="2" t="n">
        <f aca="false">IF(AND(ISNUMBER(B2771),B2771&lt;=25),2,0)+IF(AND(ISNUMBER(E2771),E2771&lt;=5),2,0)+IF(AND(ISNUMBER(F2771),F2771&lt;=1),2,0)+IF(AND(ISNUMBER(G2771),G2771&lt;=2),1,0)+IF(AND(ISNUMBER(H2771),H2771&lt;=2),1,0)</f>
        <v>0</v>
      </c>
      <c r="J2771" s="2" t="str">
        <f aca="false">IF(I2771&gt;=6,"High",IF(I2771&gt;=3,"Medium","Low"))</f>
        <v>Low</v>
      </c>
    </row>
    <row r="2772" customFormat="false" ht="15" hidden="false" customHeight="true" outlineLevel="0" collapsed="false">
      <c r="A2772" s="2" t="n">
        <f aca="false">'Raw Data'!H2772</f>
        <v>2771</v>
      </c>
      <c r="B2772" s="2" t="n">
        <f aca="false">'Raw Data'!A2772</f>
        <v>30</v>
      </c>
      <c r="C2772" s="2" t="str">
        <f aca="false">'Raw Data'!D2772</f>
        <v>Sales</v>
      </c>
      <c r="D2772" s="2" t="str">
        <f aca="false">'Raw Data'!K2772</f>
        <v>Sales Representative</v>
      </c>
      <c r="E2772" s="2" t="n">
        <f aca="false">'Raw Data'!Q2772</f>
        <v>11</v>
      </c>
      <c r="F2772" s="2" t="n">
        <f aca="false">'Raw Data'!U2772</f>
        <v>8</v>
      </c>
      <c r="G2772" s="2" t="n">
        <f aca="false">'Raw Data'!W2772</f>
        <v>4</v>
      </c>
      <c r="H2772" s="2" t="n">
        <f aca="false">'Raw Data'!V2772</f>
        <v>3</v>
      </c>
      <c r="I2772" s="2" t="n">
        <f aca="false">IF(AND(ISNUMBER(B2772),B2772&lt;=25),2,0)+IF(AND(ISNUMBER(E2772),E2772&lt;=5),2,0)+IF(AND(ISNUMBER(F2772),F2772&lt;=1),2,0)+IF(AND(ISNUMBER(G2772),G2772&lt;=2),1,0)+IF(AND(ISNUMBER(H2772),H2772&lt;=2),1,0)</f>
        <v>0</v>
      </c>
      <c r="J2772" s="2" t="str">
        <f aca="false">IF(I2772&gt;=6,"High",IF(I2772&gt;=3,"Medium","Low"))</f>
        <v>Low</v>
      </c>
    </row>
    <row r="2773" customFormat="false" ht="15" hidden="false" customHeight="true" outlineLevel="0" collapsed="false">
      <c r="A2773" s="2" t="n">
        <f aca="false">'Raw Data'!H2773</f>
        <v>2772</v>
      </c>
      <c r="B2773" s="2" t="n">
        <f aca="false">'Raw Data'!A2773</f>
        <v>46</v>
      </c>
      <c r="C2773" s="2" t="str">
        <f aca="false">'Raw Data'!D2773</f>
        <v>Sales</v>
      </c>
      <c r="D2773" s="2" t="str">
        <f aca="false">'Raw Data'!K2773</f>
        <v>Research Scientist</v>
      </c>
      <c r="E2773" s="2" t="n">
        <f aca="false">'Raw Data'!Q2773</f>
        <v>9</v>
      </c>
      <c r="F2773" s="2" t="n">
        <f aca="false">'Raw Data'!U2773</f>
        <v>7</v>
      </c>
      <c r="G2773" s="2" t="n">
        <f aca="false">'Raw Data'!W2773</f>
        <v>4</v>
      </c>
      <c r="H2773" s="2" t="n">
        <f aca="false">'Raw Data'!V2773</f>
        <v>3</v>
      </c>
      <c r="I2773" s="2" t="n">
        <f aca="false">IF(AND(ISNUMBER(B2773),B2773&lt;=25),2,0)+IF(AND(ISNUMBER(E2773),E2773&lt;=5),2,0)+IF(AND(ISNUMBER(F2773),F2773&lt;=1),2,0)+IF(AND(ISNUMBER(G2773),G2773&lt;=2),1,0)+IF(AND(ISNUMBER(H2773),H2773&lt;=2),1,0)</f>
        <v>0</v>
      </c>
      <c r="J2773" s="2" t="str">
        <f aca="false">IF(I2773&gt;=6,"High",IF(I2773&gt;=3,"Medium","Low"))</f>
        <v>Low</v>
      </c>
    </row>
    <row r="2774" customFormat="false" ht="15" hidden="false" customHeight="true" outlineLevel="0" collapsed="false">
      <c r="A2774" s="2" t="n">
        <f aca="false">'Raw Data'!H2774</f>
        <v>2773</v>
      </c>
      <c r="B2774" s="2" t="n">
        <f aca="false">'Raw Data'!A2774</f>
        <v>40</v>
      </c>
      <c r="C2774" s="2" t="str">
        <f aca="false">'Raw Data'!D2774</f>
        <v>Research &amp; Development</v>
      </c>
      <c r="D2774" s="2" t="str">
        <f aca="false">'Raw Data'!K2774</f>
        <v>Healthcare Representative</v>
      </c>
      <c r="E2774" s="2" t="n">
        <f aca="false">'Raw Data'!Q2774</f>
        <v>22</v>
      </c>
      <c r="F2774" s="2" t="n">
        <f aca="false">'Raw Data'!U2774</f>
        <v>11</v>
      </c>
      <c r="G2774" s="2" t="n">
        <f aca="false">'Raw Data'!W2774</f>
        <v>2</v>
      </c>
      <c r="H2774" s="2" t="n">
        <f aca="false">'Raw Data'!V2774</f>
        <v>3</v>
      </c>
      <c r="I2774" s="2" t="n">
        <f aca="false">IF(AND(ISNUMBER(B2774),B2774&lt;=25),2,0)+IF(AND(ISNUMBER(E2774),E2774&lt;=5),2,0)+IF(AND(ISNUMBER(F2774),F2774&lt;=1),2,0)+IF(AND(ISNUMBER(G2774),G2774&lt;=2),1,0)+IF(AND(ISNUMBER(H2774),H2774&lt;=2),1,0)</f>
        <v>1</v>
      </c>
      <c r="J2774" s="2" t="str">
        <f aca="false">IF(I2774&gt;=6,"High",IF(I2774&gt;=3,"Medium","Low"))</f>
        <v>Low</v>
      </c>
    </row>
    <row r="2775" customFormat="false" ht="15" hidden="false" customHeight="true" outlineLevel="0" collapsed="false">
      <c r="A2775" s="2" t="n">
        <f aca="false">'Raw Data'!H2775</f>
        <v>2774</v>
      </c>
      <c r="B2775" s="2" t="n">
        <f aca="false">'Raw Data'!A2775</f>
        <v>51</v>
      </c>
      <c r="C2775" s="2" t="str">
        <f aca="false">'Raw Data'!D2775</f>
        <v>Research &amp; Development</v>
      </c>
      <c r="D2775" s="2" t="str">
        <f aca="false">'Raw Data'!K2775</f>
        <v>Sales Representative</v>
      </c>
      <c r="E2775" s="2" t="n">
        <f aca="false">'Raw Data'!Q2775</f>
        <v>11</v>
      </c>
      <c r="F2775" s="2" t="n">
        <f aca="false">'Raw Data'!U2775</f>
        <v>0</v>
      </c>
      <c r="G2775" s="2" t="n">
        <f aca="false">'Raw Data'!W2775</f>
        <v>4</v>
      </c>
      <c r="H2775" s="2" t="n">
        <f aca="false">'Raw Data'!V2775</f>
        <v>3</v>
      </c>
      <c r="I2775" s="2" t="n">
        <f aca="false">IF(AND(ISNUMBER(B2775),B2775&lt;=25),2,0)+IF(AND(ISNUMBER(E2775),E2775&lt;=5),2,0)+IF(AND(ISNUMBER(F2775),F2775&lt;=1),2,0)+IF(AND(ISNUMBER(G2775),G2775&lt;=2),1,0)+IF(AND(ISNUMBER(H2775),H2775&lt;=2),1,0)</f>
        <v>2</v>
      </c>
      <c r="J2775" s="2" t="str">
        <f aca="false">IF(I2775&gt;=6,"High",IF(I2775&gt;=3,"Medium","Low"))</f>
        <v>Low</v>
      </c>
    </row>
    <row r="2776" customFormat="false" ht="15" hidden="false" customHeight="true" outlineLevel="0" collapsed="false">
      <c r="A2776" s="2" t="n">
        <f aca="false">'Raw Data'!H2776</f>
        <v>2775</v>
      </c>
      <c r="B2776" s="2" t="n">
        <f aca="false">'Raw Data'!A2776</f>
        <v>30</v>
      </c>
      <c r="C2776" s="2" t="str">
        <f aca="false">'Raw Data'!D2776</f>
        <v>Research &amp; Development</v>
      </c>
      <c r="D2776" s="2" t="str">
        <f aca="false">'Raw Data'!K2776</f>
        <v>Manufacturing Director</v>
      </c>
      <c r="E2776" s="2" t="n">
        <f aca="false">'Raw Data'!Q2776</f>
        <v>11</v>
      </c>
      <c r="F2776" s="2" t="n">
        <f aca="false">'Raw Data'!U2776</f>
        <v>7</v>
      </c>
      <c r="G2776" s="2" t="n">
        <f aca="false">'Raw Data'!W2776</f>
        <v>2</v>
      </c>
      <c r="H2776" s="2" t="n">
        <f aca="false">'Raw Data'!V2776</f>
        <v>3</v>
      </c>
      <c r="I2776" s="2" t="n">
        <f aca="false">IF(AND(ISNUMBER(B2776),B2776&lt;=25),2,0)+IF(AND(ISNUMBER(E2776),E2776&lt;=5),2,0)+IF(AND(ISNUMBER(F2776),F2776&lt;=1),2,0)+IF(AND(ISNUMBER(G2776),G2776&lt;=2),1,0)+IF(AND(ISNUMBER(H2776),H2776&lt;=2),1,0)</f>
        <v>1</v>
      </c>
      <c r="J2776" s="2" t="str">
        <f aca="false">IF(I2776&gt;=6,"High",IF(I2776&gt;=3,"Medium","Low"))</f>
        <v>Low</v>
      </c>
    </row>
    <row r="2777" customFormat="false" ht="15" hidden="false" customHeight="true" outlineLevel="0" collapsed="false">
      <c r="A2777" s="2" t="n">
        <f aca="false">'Raw Data'!H2777</f>
        <v>2776</v>
      </c>
      <c r="B2777" s="2" t="n">
        <f aca="false">'Raw Data'!A2777</f>
        <v>46</v>
      </c>
      <c r="C2777" s="2" t="str">
        <f aca="false">'Raw Data'!D2777</f>
        <v>Research &amp; Development</v>
      </c>
      <c r="D2777" s="2" t="str">
        <f aca="false">'Raw Data'!K2777</f>
        <v>Laboratory Technician</v>
      </c>
      <c r="E2777" s="2" t="n">
        <f aca="false">'Raw Data'!Q2777</f>
        <v>21</v>
      </c>
      <c r="F2777" s="2" t="n">
        <f aca="false">'Raw Data'!U2777</f>
        <v>5</v>
      </c>
      <c r="G2777" s="2" t="n">
        <f aca="false">'Raw Data'!W2777</f>
        <v>1</v>
      </c>
      <c r="H2777" s="2" t="n">
        <f aca="false">'Raw Data'!V2777</f>
        <v>3</v>
      </c>
      <c r="I2777" s="2" t="n">
        <f aca="false">IF(AND(ISNUMBER(B2777),B2777&lt;=25),2,0)+IF(AND(ISNUMBER(E2777),E2777&lt;=5),2,0)+IF(AND(ISNUMBER(F2777),F2777&lt;=1),2,0)+IF(AND(ISNUMBER(G2777),G2777&lt;=2),1,0)+IF(AND(ISNUMBER(H2777),H2777&lt;=2),1,0)</f>
        <v>1</v>
      </c>
      <c r="J2777" s="2" t="str">
        <f aca="false">IF(I2777&gt;=6,"High",IF(I2777&gt;=3,"Medium","Low"))</f>
        <v>Low</v>
      </c>
    </row>
    <row r="2778" customFormat="false" ht="15" hidden="false" customHeight="true" outlineLevel="0" collapsed="false">
      <c r="A2778" s="2" t="n">
        <f aca="false">'Raw Data'!H2778</f>
        <v>2777</v>
      </c>
      <c r="B2778" s="2" t="n">
        <f aca="false">'Raw Data'!A2778</f>
        <v>32</v>
      </c>
      <c r="C2778" s="2" t="str">
        <f aca="false">'Raw Data'!D2778</f>
        <v>Sales</v>
      </c>
      <c r="D2778" s="2" t="str">
        <f aca="false">'Raw Data'!K2778</f>
        <v>Research Scientist</v>
      </c>
      <c r="E2778" s="2" t="n">
        <f aca="false">'Raw Data'!Q2778</f>
        <v>12</v>
      </c>
      <c r="F2778" s="2" t="n">
        <f aca="false">'Raw Data'!U2778</f>
        <v>7</v>
      </c>
      <c r="G2778" s="2" t="n">
        <f aca="false">'Raw Data'!W2778</f>
        <v>3</v>
      </c>
      <c r="H2778" s="2" t="n">
        <f aca="false">'Raw Data'!V2778</f>
        <v>2</v>
      </c>
      <c r="I2778" s="2" t="n">
        <f aca="false">IF(AND(ISNUMBER(B2778),B2778&lt;=25),2,0)+IF(AND(ISNUMBER(E2778),E2778&lt;=5),2,0)+IF(AND(ISNUMBER(F2778),F2778&lt;=1),2,0)+IF(AND(ISNUMBER(G2778),G2778&lt;=2),1,0)+IF(AND(ISNUMBER(H2778),H2778&lt;=2),1,0)</f>
        <v>1</v>
      </c>
      <c r="J2778" s="2" t="str">
        <f aca="false">IF(I2778&gt;=6,"High",IF(I2778&gt;=3,"Medium","Low"))</f>
        <v>Low</v>
      </c>
    </row>
    <row r="2779" customFormat="false" ht="15" hidden="false" customHeight="true" outlineLevel="0" collapsed="false">
      <c r="A2779" s="2" t="n">
        <f aca="false">'Raw Data'!H2779</f>
        <v>2778</v>
      </c>
      <c r="B2779" s="2" t="n">
        <f aca="false">'Raw Data'!A2779</f>
        <v>54</v>
      </c>
      <c r="C2779" s="2" t="str">
        <f aca="false">'Raw Data'!D2779</f>
        <v>Research &amp; Development</v>
      </c>
      <c r="D2779" s="2" t="str">
        <f aca="false">'Raw Data'!K2779</f>
        <v>Laboratory Technician</v>
      </c>
      <c r="E2779" s="2" t="n">
        <f aca="false">'Raw Data'!Q2779</f>
        <v>16</v>
      </c>
      <c r="F2779" s="2" t="n">
        <f aca="false">'Raw Data'!U2779</f>
        <v>3</v>
      </c>
      <c r="G2779" s="2" t="n">
        <f aca="false">'Raw Data'!W2779</f>
        <v>3</v>
      </c>
      <c r="H2779" s="2" t="n">
        <f aca="false">'Raw Data'!V2779</f>
        <v>1</v>
      </c>
      <c r="I2779" s="2" t="n">
        <f aca="false">IF(AND(ISNUMBER(B2779),B2779&lt;=25),2,0)+IF(AND(ISNUMBER(E2779),E2779&lt;=5),2,0)+IF(AND(ISNUMBER(F2779),F2779&lt;=1),2,0)+IF(AND(ISNUMBER(G2779),G2779&lt;=2),1,0)+IF(AND(ISNUMBER(H2779),H2779&lt;=2),1,0)</f>
        <v>1</v>
      </c>
      <c r="J2779" s="2" t="str">
        <f aca="false">IF(I2779&gt;=6,"High",IF(I2779&gt;=3,"Medium","Low"))</f>
        <v>Low</v>
      </c>
    </row>
    <row r="2780" customFormat="false" ht="15" hidden="false" customHeight="true" outlineLevel="0" collapsed="false">
      <c r="A2780" s="2" t="n">
        <f aca="false">'Raw Data'!H2780</f>
        <v>2779</v>
      </c>
      <c r="B2780" s="2" t="n">
        <f aca="false">'Raw Data'!A2780</f>
        <v>24</v>
      </c>
      <c r="C2780" s="2" t="str">
        <f aca="false">'Raw Data'!D2780</f>
        <v>Sales</v>
      </c>
      <c r="D2780" s="2" t="str">
        <f aca="false">'Raw Data'!K2780</f>
        <v>Research Scientist</v>
      </c>
      <c r="E2780" s="2" t="n">
        <f aca="false">'Raw Data'!Q2780</f>
        <v>4</v>
      </c>
      <c r="F2780" s="2" t="n">
        <f aca="false">'Raw Data'!U2780</f>
        <v>2</v>
      </c>
      <c r="G2780" s="2" t="n">
        <f aca="false">'Raw Data'!W2780</f>
        <v>3</v>
      </c>
      <c r="H2780" s="2" t="n">
        <f aca="false">'Raw Data'!V2780</f>
        <v>1</v>
      </c>
      <c r="I2780" s="2" t="n">
        <f aca="false">IF(AND(ISNUMBER(B2780),B2780&lt;=25),2,0)+IF(AND(ISNUMBER(E2780),E2780&lt;=5),2,0)+IF(AND(ISNUMBER(F2780),F2780&lt;=1),2,0)+IF(AND(ISNUMBER(G2780),G2780&lt;=2),1,0)+IF(AND(ISNUMBER(H2780),H2780&lt;=2),1,0)</f>
        <v>5</v>
      </c>
      <c r="J2780" s="2" t="str">
        <f aca="false">IF(I2780&gt;=6,"High",IF(I2780&gt;=3,"Medium","Low"))</f>
        <v>Medium</v>
      </c>
    </row>
    <row r="2781" customFormat="false" ht="15" hidden="false" customHeight="true" outlineLevel="0" collapsed="false">
      <c r="A2781" s="2" t="n">
        <f aca="false">'Raw Data'!H2781</f>
        <v>2780</v>
      </c>
      <c r="B2781" s="2" t="n">
        <f aca="false">'Raw Data'!A2781</f>
        <v>28</v>
      </c>
      <c r="C2781" s="2" t="str">
        <f aca="false">'Raw Data'!D2781</f>
        <v>Sales</v>
      </c>
      <c r="D2781" s="2" t="str">
        <f aca="false">'Raw Data'!K2781</f>
        <v>Laboratory Technician</v>
      </c>
      <c r="E2781" s="2" t="n">
        <f aca="false">'Raw Data'!Q2781</f>
        <v>5</v>
      </c>
      <c r="F2781" s="2" t="n">
        <f aca="false">'Raw Data'!U2781</f>
        <v>4</v>
      </c>
      <c r="G2781" s="2" t="n">
        <f aca="false">'Raw Data'!W2781</f>
        <v>3</v>
      </c>
      <c r="H2781" s="2" t="n">
        <f aca="false">'Raw Data'!V2781</f>
        <v>2</v>
      </c>
      <c r="I2781" s="2" t="n">
        <f aca="false">IF(AND(ISNUMBER(B2781),B2781&lt;=25),2,0)+IF(AND(ISNUMBER(E2781),E2781&lt;=5),2,0)+IF(AND(ISNUMBER(F2781),F2781&lt;=1),2,0)+IF(AND(ISNUMBER(G2781),G2781&lt;=2),1,0)+IF(AND(ISNUMBER(H2781),H2781&lt;=2),1,0)</f>
        <v>3</v>
      </c>
      <c r="J2781" s="2" t="str">
        <f aca="false">IF(I2781&gt;=6,"High",IF(I2781&gt;=3,"Medium","Low"))</f>
        <v>Medium</v>
      </c>
    </row>
    <row r="2782" customFormat="false" ht="15" hidden="false" customHeight="true" outlineLevel="0" collapsed="false">
      <c r="A2782" s="2" t="n">
        <f aca="false">'Raw Data'!H2782</f>
        <v>2781</v>
      </c>
      <c r="B2782" s="2" t="n">
        <f aca="false">'Raw Data'!A2782</f>
        <v>58</v>
      </c>
      <c r="C2782" s="2" t="str">
        <f aca="false">'Raw Data'!D2782</f>
        <v>Research &amp; Development</v>
      </c>
      <c r="D2782" s="2" t="str">
        <f aca="false">'Raw Data'!K2782</f>
        <v>Sales Executive</v>
      </c>
      <c r="E2782" s="2" t="n">
        <f aca="false">'Raw Data'!Q2782</f>
        <v>38</v>
      </c>
      <c r="F2782" s="2" t="n">
        <f aca="false">'Raw Data'!U2782</f>
        <v>8</v>
      </c>
      <c r="G2782" s="2" t="n">
        <f aca="false">'Raw Data'!W2782</f>
        <v>3</v>
      </c>
      <c r="H2782" s="2" t="n">
        <f aca="false">'Raw Data'!V2782</f>
        <v>4</v>
      </c>
      <c r="I2782" s="2" t="n">
        <f aca="false">IF(AND(ISNUMBER(B2782),B2782&lt;=25),2,0)+IF(AND(ISNUMBER(E2782),E2782&lt;=5),2,0)+IF(AND(ISNUMBER(F2782),F2782&lt;=1),2,0)+IF(AND(ISNUMBER(G2782),G2782&lt;=2),1,0)+IF(AND(ISNUMBER(H2782),H2782&lt;=2),1,0)</f>
        <v>0</v>
      </c>
      <c r="J2782" s="2" t="str">
        <f aca="false">IF(I2782&gt;=6,"High",IF(I2782&gt;=3,"Medium","Low"))</f>
        <v>Low</v>
      </c>
    </row>
    <row r="2783" customFormat="false" ht="15" hidden="false" customHeight="true" outlineLevel="0" collapsed="false">
      <c r="A2783" s="2" t="n">
        <f aca="false">'Raw Data'!H2783</f>
        <v>2782</v>
      </c>
      <c r="B2783" s="2" t="n">
        <f aca="false">'Raw Data'!A2783</f>
        <v>44</v>
      </c>
      <c r="C2783" s="2" t="str">
        <f aca="false">'Raw Data'!D2783</f>
        <v>Research &amp; Development</v>
      </c>
      <c r="D2783" s="2" t="str">
        <f aca="false">'Raw Data'!K2783</f>
        <v>Research Scientist</v>
      </c>
      <c r="E2783" s="2" t="n">
        <f aca="false">'Raw Data'!Q2783</f>
        <v>17</v>
      </c>
      <c r="F2783" s="2" t="n">
        <f aca="false">'Raw Data'!U2783</f>
        <v>2</v>
      </c>
      <c r="G2783" s="2" t="n">
        <f aca="false">'Raw Data'!W2783</f>
        <v>2</v>
      </c>
      <c r="H2783" s="2" t="n">
        <f aca="false">'Raw Data'!V2783</f>
        <v>2</v>
      </c>
      <c r="I2783" s="2" t="n">
        <f aca="false">IF(AND(ISNUMBER(B2783),B2783&lt;=25),2,0)+IF(AND(ISNUMBER(E2783),E2783&lt;=5),2,0)+IF(AND(ISNUMBER(F2783),F2783&lt;=1),2,0)+IF(AND(ISNUMBER(G2783),G2783&lt;=2),1,0)+IF(AND(ISNUMBER(H2783),H2783&lt;=2),1,0)</f>
        <v>2</v>
      </c>
      <c r="J2783" s="2" t="str">
        <f aca="false">IF(I2783&gt;=6,"High",IF(I2783&gt;=3,"Medium","Low"))</f>
        <v>Low</v>
      </c>
    </row>
    <row r="2784" customFormat="false" ht="15" hidden="false" customHeight="true" outlineLevel="0" collapsed="false">
      <c r="A2784" s="2" t="n">
        <f aca="false">'Raw Data'!H2784</f>
        <v>2783</v>
      </c>
      <c r="B2784" s="2" t="n">
        <f aca="false">'Raw Data'!A2784</f>
        <v>37</v>
      </c>
      <c r="C2784" s="2" t="str">
        <f aca="false">'Raw Data'!D2784</f>
        <v>Human Resources</v>
      </c>
      <c r="D2784" s="2" t="str">
        <f aca="false">'Raw Data'!K2784</f>
        <v>Healthcare Representative</v>
      </c>
      <c r="E2784" s="2" t="n">
        <f aca="false">'Raw Data'!Q2784</f>
        <v>7</v>
      </c>
      <c r="F2784" s="2" t="n">
        <f aca="false">'Raw Data'!U2784</f>
        <v>2</v>
      </c>
      <c r="G2784" s="2" t="n">
        <f aca="false">'Raw Data'!W2784</f>
        <v>1</v>
      </c>
      <c r="H2784" s="2" t="n">
        <f aca="false">'Raw Data'!V2784</f>
        <v>3</v>
      </c>
      <c r="I2784" s="2" t="n">
        <f aca="false">IF(AND(ISNUMBER(B2784),B2784&lt;=25),2,0)+IF(AND(ISNUMBER(E2784),E2784&lt;=5),2,0)+IF(AND(ISNUMBER(F2784),F2784&lt;=1),2,0)+IF(AND(ISNUMBER(G2784),G2784&lt;=2),1,0)+IF(AND(ISNUMBER(H2784),H2784&lt;=2),1,0)</f>
        <v>1</v>
      </c>
      <c r="J2784" s="2" t="str">
        <f aca="false">IF(I2784&gt;=6,"High",IF(I2784&gt;=3,"Medium","Low"))</f>
        <v>Low</v>
      </c>
    </row>
    <row r="2785" customFormat="false" ht="15" hidden="false" customHeight="true" outlineLevel="0" collapsed="false">
      <c r="A2785" s="2" t="n">
        <f aca="false">'Raw Data'!H2785</f>
        <v>2784</v>
      </c>
      <c r="B2785" s="2" t="n">
        <f aca="false">'Raw Data'!A2785</f>
        <v>32</v>
      </c>
      <c r="C2785" s="2" t="str">
        <f aca="false">'Raw Data'!D2785</f>
        <v>Human Resources</v>
      </c>
      <c r="D2785" s="2" t="str">
        <f aca="false">'Raw Data'!K2785</f>
        <v>Sales Representative</v>
      </c>
      <c r="E2785" s="2" t="n">
        <f aca="false">'Raw Data'!Q2785</f>
        <v>1</v>
      </c>
      <c r="F2785" s="2" t="n">
        <f aca="false">'Raw Data'!U2785</f>
        <v>0</v>
      </c>
      <c r="G2785" s="2" t="n">
        <f aca="false">'Raw Data'!W2785</f>
        <v>1</v>
      </c>
      <c r="H2785" s="2" t="n">
        <f aca="false">'Raw Data'!V2785</f>
        <v>4</v>
      </c>
      <c r="I2785" s="2" t="n">
        <f aca="false">IF(AND(ISNUMBER(B2785),B2785&lt;=25),2,0)+IF(AND(ISNUMBER(E2785),E2785&lt;=5),2,0)+IF(AND(ISNUMBER(F2785),F2785&lt;=1),2,0)+IF(AND(ISNUMBER(G2785),G2785&lt;=2),1,0)+IF(AND(ISNUMBER(H2785),H2785&lt;=2),1,0)</f>
        <v>5</v>
      </c>
      <c r="J2785" s="2" t="str">
        <f aca="false">IF(I2785&gt;=6,"High",IF(I2785&gt;=3,"Medium","Low"))</f>
        <v>Medium</v>
      </c>
    </row>
    <row r="2786" customFormat="false" ht="15" hidden="false" customHeight="true" outlineLevel="0" collapsed="false">
      <c r="A2786" s="2" t="n">
        <f aca="false">'Raw Data'!H2786</f>
        <v>2785</v>
      </c>
      <c r="B2786" s="2" t="n">
        <f aca="false">'Raw Data'!A2786</f>
        <v>20</v>
      </c>
      <c r="C2786" s="2" t="str">
        <f aca="false">'Raw Data'!D2786</f>
        <v>Sales</v>
      </c>
      <c r="D2786" s="2" t="str">
        <f aca="false">'Raw Data'!K2786</f>
        <v>Healthcare Representative</v>
      </c>
      <c r="E2786" s="2" t="n">
        <f aca="false">'Raw Data'!Q2786</f>
        <v>1</v>
      </c>
      <c r="F2786" s="2" t="n">
        <f aca="false">'Raw Data'!U2786</f>
        <v>0</v>
      </c>
      <c r="G2786" s="2" t="n">
        <f aca="false">'Raw Data'!W2786</f>
        <v>4</v>
      </c>
      <c r="H2786" s="2" t="n">
        <f aca="false">'Raw Data'!V2786</f>
        <v>4</v>
      </c>
      <c r="I2786" s="2" t="n">
        <f aca="false">IF(AND(ISNUMBER(B2786),B2786&lt;=25),2,0)+IF(AND(ISNUMBER(E2786),E2786&lt;=5),2,0)+IF(AND(ISNUMBER(F2786),F2786&lt;=1),2,0)+IF(AND(ISNUMBER(G2786),G2786&lt;=2),1,0)+IF(AND(ISNUMBER(H2786),H2786&lt;=2),1,0)</f>
        <v>6</v>
      </c>
      <c r="J2786" s="2" t="str">
        <f aca="false">IF(I2786&gt;=6,"High",IF(I2786&gt;=3,"Medium","Low"))</f>
        <v>High</v>
      </c>
    </row>
    <row r="2787" customFormat="false" ht="15" hidden="false" customHeight="true" outlineLevel="0" collapsed="false">
      <c r="A2787" s="2" t="n">
        <f aca="false">'Raw Data'!H2787</f>
        <v>2786</v>
      </c>
      <c r="B2787" s="2" t="n">
        <f aca="false">'Raw Data'!A2787</f>
        <v>34</v>
      </c>
      <c r="C2787" s="2" t="str">
        <f aca="false">'Raw Data'!D2787</f>
        <v>Research &amp; Development</v>
      </c>
      <c r="D2787" s="2" t="str">
        <f aca="false">'Raw Data'!K2787</f>
        <v>Laboratory Technician</v>
      </c>
      <c r="E2787" s="2" t="n">
        <f aca="false">'Raw Data'!Q2787</f>
        <v>16</v>
      </c>
      <c r="F2787" s="2" t="n">
        <f aca="false">'Raw Data'!U2787</f>
        <v>10</v>
      </c>
      <c r="G2787" s="2" t="n">
        <f aca="false">'Raw Data'!W2787</f>
        <v>3</v>
      </c>
      <c r="H2787" s="2" t="n">
        <f aca="false">'Raw Data'!V2787</f>
        <v>1</v>
      </c>
      <c r="I2787" s="2" t="n">
        <f aca="false">IF(AND(ISNUMBER(B2787),B2787&lt;=25),2,0)+IF(AND(ISNUMBER(E2787),E2787&lt;=5),2,0)+IF(AND(ISNUMBER(F2787),F2787&lt;=1),2,0)+IF(AND(ISNUMBER(G2787),G2787&lt;=2),1,0)+IF(AND(ISNUMBER(H2787),H2787&lt;=2),1,0)</f>
        <v>1</v>
      </c>
      <c r="J2787" s="2" t="str">
        <f aca="false">IF(I2787&gt;=6,"High",IF(I2787&gt;=3,"Medium","Low"))</f>
        <v>Low</v>
      </c>
    </row>
    <row r="2788" customFormat="false" ht="15" hidden="false" customHeight="true" outlineLevel="0" collapsed="false">
      <c r="A2788" s="2" t="n">
        <f aca="false">'Raw Data'!H2788</f>
        <v>2787</v>
      </c>
      <c r="B2788" s="2" t="n">
        <f aca="false">'Raw Data'!A2788</f>
        <v>37</v>
      </c>
      <c r="C2788" s="2" t="str">
        <f aca="false">'Raw Data'!D2788</f>
        <v>Sales</v>
      </c>
      <c r="D2788" s="2" t="str">
        <f aca="false">'Raw Data'!K2788</f>
        <v>Research Scientist</v>
      </c>
      <c r="E2788" s="2" t="n">
        <f aca="false">'Raw Data'!Q2788</f>
        <v>17</v>
      </c>
      <c r="F2788" s="2" t="n">
        <f aca="false">'Raw Data'!U2788</f>
        <v>0</v>
      </c>
      <c r="G2788" s="2" t="n">
        <f aca="false">'Raw Data'!W2788</f>
        <v>4</v>
      </c>
      <c r="H2788" s="2" t="n">
        <f aca="false">'Raw Data'!V2788</f>
        <v>3</v>
      </c>
      <c r="I2788" s="2" t="n">
        <f aca="false">IF(AND(ISNUMBER(B2788),B2788&lt;=25),2,0)+IF(AND(ISNUMBER(E2788),E2788&lt;=5),2,0)+IF(AND(ISNUMBER(F2788),F2788&lt;=1),2,0)+IF(AND(ISNUMBER(G2788),G2788&lt;=2),1,0)+IF(AND(ISNUMBER(H2788),H2788&lt;=2),1,0)</f>
        <v>2</v>
      </c>
      <c r="J2788" s="2" t="str">
        <f aca="false">IF(I2788&gt;=6,"High",IF(I2788&gt;=3,"Medium","Low"))</f>
        <v>Low</v>
      </c>
    </row>
    <row r="2789" customFormat="false" ht="15" hidden="false" customHeight="true" outlineLevel="0" collapsed="false">
      <c r="A2789" s="2" t="n">
        <f aca="false">'Raw Data'!H2789</f>
        <v>2788</v>
      </c>
      <c r="B2789" s="2" t="n">
        <f aca="false">'Raw Data'!A2789</f>
        <v>59</v>
      </c>
      <c r="C2789" s="2" t="str">
        <f aca="false">'Raw Data'!D2789</f>
        <v>Research &amp; Development</v>
      </c>
      <c r="D2789" s="2" t="str">
        <f aca="false">'Raw Data'!K2789</f>
        <v>Sales Executive</v>
      </c>
      <c r="E2789" s="2" t="n">
        <f aca="false">'Raw Data'!Q2789</f>
        <v>30</v>
      </c>
      <c r="F2789" s="2" t="n">
        <f aca="false">'Raw Data'!U2789</f>
        <v>2</v>
      </c>
      <c r="G2789" s="2" t="n">
        <f aca="false">'Raw Data'!W2789</f>
        <v>4</v>
      </c>
      <c r="H2789" s="2" t="n">
        <f aca="false">'Raw Data'!V2789</f>
        <v>3</v>
      </c>
      <c r="I2789" s="2" t="n">
        <f aca="false">IF(AND(ISNUMBER(B2789),B2789&lt;=25),2,0)+IF(AND(ISNUMBER(E2789),E2789&lt;=5),2,0)+IF(AND(ISNUMBER(F2789),F2789&lt;=1),2,0)+IF(AND(ISNUMBER(G2789),G2789&lt;=2),1,0)+IF(AND(ISNUMBER(H2789),H2789&lt;=2),1,0)</f>
        <v>0</v>
      </c>
      <c r="J2789" s="2" t="str">
        <f aca="false">IF(I2789&gt;=6,"High",IF(I2789&gt;=3,"Medium","Low"))</f>
        <v>Low</v>
      </c>
    </row>
    <row r="2790" customFormat="false" ht="15" hidden="false" customHeight="true" outlineLevel="0" collapsed="false">
      <c r="A2790" s="2" t="n">
        <f aca="false">'Raw Data'!H2790</f>
        <v>2789</v>
      </c>
      <c r="B2790" s="2" t="n">
        <f aca="false">'Raw Data'!A2790</f>
        <v>50</v>
      </c>
      <c r="C2790" s="2" t="str">
        <f aca="false">'Raw Data'!D2790</f>
        <v>Research &amp; Development</v>
      </c>
      <c r="D2790" s="2" t="str">
        <f aca="false">'Raw Data'!K2790</f>
        <v>Research Scientist</v>
      </c>
      <c r="E2790" s="2" t="n">
        <f aca="false">'Raw Data'!Q2790</f>
        <v>28</v>
      </c>
      <c r="F2790" s="2" t="n">
        <f aca="false">'Raw Data'!U2790</f>
        <v>7</v>
      </c>
      <c r="G2790" s="2" t="n">
        <f aca="false">'Raw Data'!W2790</f>
        <v>2</v>
      </c>
      <c r="H2790" s="2" t="n">
        <f aca="false">'Raw Data'!V2790</f>
        <v>1</v>
      </c>
      <c r="I2790" s="2" t="n">
        <f aca="false">IF(AND(ISNUMBER(B2790),B2790&lt;=25),2,0)+IF(AND(ISNUMBER(E2790),E2790&lt;=5),2,0)+IF(AND(ISNUMBER(F2790),F2790&lt;=1),2,0)+IF(AND(ISNUMBER(G2790),G2790&lt;=2),1,0)+IF(AND(ISNUMBER(H2790),H2790&lt;=2),1,0)</f>
        <v>2</v>
      </c>
      <c r="J2790" s="2" t="str">
        <f aca="false">IF(I2790&gt;=6,"High",IF(I2790&gt;=3,"Medium","Low"))</f>
        <v>Low</v>
      </c>
    </row>
    <row r="2791" customFormat="false" ht="15" hidden="false" customHeight="true" outlineLevel="0" collapsed="false">
      <c r="A2791" s="2" t="n">
        <f aca="false">'Raw Data'!H2791</f>
        <v>2790</v>
      </c>
      <c r="B2791" s="2" t="n">
        <f aca="false">'Raw Data'!A2791</f>
        <v>25</v>
      </c>
      <c r="C2791" s="2" t="str">
        <f aca="false">'Raw Data'!D2791</f>
        <v>Sales</v>
      </c>
      <c r="D2791" s="2" t="str">
        <f aca="false">'Raw Data'!K2791</f>
        <v>Research Director</v>
      </c>
      <c r="E2791" s="2" t="n">
        <f aca="false">'Raw Data'!Q2791</f>
        <v>6</v>
      </c>
      <c r="F2791" s="2" t="n">
        <f aca="false">'Raw Data'!U2791</f>
        <v>3</v>
      </c>
      <c r="G2791" s="2" t="n">
        <f aca="false">'Raw Data'!W2791</f>
        <v>3</v>
      </c>
      <c r="H2791" s="2" t="n">
        <f aca="false">'Raw Data'!V2791</f>
        <v>3</v>
      </c>
      <c r="I2791" s="2" t="n">
        <f aca="false">IF(AND(ISNUMBER(B2791),B2791&lt;=25),2,0)+IF(AND(ISNUMBER(E2791),E2791&lt;=5),2,0)+IF(AND(ISNUMBER(F2791),F2791&lt;=1),2,0)+IF(AND(ISNUMBER(G2791),G2791&lt;=2),1,0)+IF(AND(ISNUMBER(H2791),H2791&lt;=2),1,0)</f>
        <v>2</v>
      </c>
      <c r="J2791" s="2" t="str">
        <f aca="false">IF(I2791&gt;=6,"High",IF(I2791&gt;=3,"Medium","Low"))</f>
        <v>Low</v>
      </c>
    </row>
    <row r="2792" customFormat="false" ht="15" hidden="false" customHeight="true" outlineLevel="0" collapsed="false">
      <c r="A2792" s="2" t="n">
        <f aca="false">'Raw Data'!H2792</f>
        <v>2791</v>
      </c>
      <c r="B2792" s="2" t="n">
        <f aca="false">'Raw Data'!A2792</f>
        <v>25</v>
      </c>
      <c r="C2792" s="2" t="str">
        <f aca="false">'Raw Data'!D2792</f>
        <v>Research &amp; Development</v>
      </c>
      <c r="D2792" s="2" t="str">
        <f aca="false">'Raw Data'!K2792</f>
        <v>Laboratory Technician</v>
      </c>
      <c r="E2792" s="2" t="n">
        <f aca="false">'Raw Data'!Q2792</f>
        <v>2</v>
      </c>
      <c r="F2792" s="2" t="n">
        <f aca="false">'Raw Data'!U2792</f>
        <v>1</v>
      </c>
      <c r="G2792" s="2" t="n">
        <f aca="false">'Raw Data'!W2792</f>
        <v>4</v>
      </c>
      <c r="H2792" s="2" t="n">
        <f aca="false">'Raw Data'!V2792</f>
        <v>4</v>
      </c>
      <c r="I2792" s="2" t="n">
        <f aca="false">IF(AND(ISNUMBER(B2792),B2792&lt;=25),2,0)+IF(AND(ISNUMBER(E2792),E2792&lt;=5),2,0)+IF(AND(ISNUMBER(F2792),F2792&lt;=1),2,0)+IF(AND(ISNUMBER(G2792),G2792&lt;=2),1,0)+IF(AND(ISNUMBER(H2792),H2792&lt;=2),1,0)</f>
        <v>6</v>
      </c>
      <c r="J2792" s="2" t="str">
        <f aca="false">IF(I2792&gt;=6,"High",IF(I2792&gt;=3,"Medium","Low"))</f>
        <v>High</v>
      </c>
    </row>
    <row r="2793" customFormat="false" ht="15" hidden="false" customHeight="true" outlineLevel="0" collapsed="false">
      <c r="A2793" s="2" t="n">
        <f aca="false">'Raw Data'!H2793</f>
        <v>2792</v>
      </c>
      <c r="B2793" s="2" t="n">
        <f aca="false">'Raw Data'!A2793</f>
        <v>22</v>
      </c>
      <c r="C2793" s="2" t="str">
        <f aca="false">'Raw Data'!D2793</f>
        <v>Research &amp; Development</v>
      </c>
      <c r="D2793" s="2" t="str">
        <f aca="false">'Raw Data'!K2793</f>
        <v>Sales Representative</v>
      </c>
      <c r="E2793" s="2" t="n">
        <f aca="false">'Raw Data'!Q2793</f>
        <v>1</v>
      </c>
      <c r="F2793" s="2" t="n">
        <f aca="false">'Raw Data'!U2793</f>
        <v>0</v>
      </c>
      <c r="G2793" s="2" t="n">
        <f aca="false">'Raw Data'!W2793</f>
        <v>4</v>
      </c>
      <c r="H2793" s="2" t="n">
        <f aca="false">'Raw Data'!V2793</f>
        <v>2</v>
      </c>
      <c r="I2793" s="2" t="n">
        <f aca="false">IF(AND(ISNUMBER(B2793),B2793&lt;=25),2,0)+IF(AND(ISNUMBER(E2793),E2793&lt;=5),2,0)+IF(AND(ISNUMBER(F2793),F2793&lt;=1),2,0)+IF(AND(ISNUMBER(G2793),G2793&lt;=2),1,0)+IF(AND(ISNUMBER(H2793),H2793&lt;=2),1,0)</f>
        <v>7</v>
      </c>
      <c r="J2793" s="2" t="str">
        <f aca="false">IF(I2793&gt;=6,"High",IF(I2793&gt;=3,"Medium","Low"))</f>
        <v>High</v>
      </c>
    </row>
    <row r="2794" customFormat="false" ht="15" hidden="false" customHeight="true" outlineLevel="0" collapsed="false">
      <c r="A2794" s="2" t="n">
        <f aca="false">'Raw Data'!H2794</f>
        <v>2793</v>
      </c>
      <c r="B2794" s="2" t="n">
        <f aca="false">'Raw Data'!A2794</f>
        <v>51</v>
      </c>
      <c r="C2794" s="2" t="str">
        <f aca="false">'Raw Data'!D2794</f>
        <v>Research &amp; Development</v>
      </c>
      <c r="D2794" s="2" t="str">
        <f aca="false">'Raw Data'!K2794</f>
        <v>Sales Executive</v>
      </c>
      <c r="E2794" s="2" t="n">
        <f aca="false">'Raw Data'!Q2794</f>
        <v>23</v>
      </c>
      <c r="F2794" s="2" t="n">
        <f aca="false">'Raw Data'!U2794</f>
        <v>8</v>
      </c>
      <c r="G2794" s="2" t="n">
        <f aca="false">'Raw Data'!W2794</f>
        <v>1</v>
      </c>
      <c r="H2794" s="2" t="n">
        <f aca="false">'Raw Data'!V2794</f>
        <v>1</v>
      </c>
      <c r="I2794" s="2" t="n">
        <f aca="false">IF(AND(ISNUMBER(B2794),B2794&lt;=25),2,0)+IF(AND(ISNUMBER(E2794),E2794&lt;=5),2,0)+IF(AND(ISNUMBER(F2794),F2794&lt;=1),2,0)+IF(AND(ISNUMBER(G2794),G2794&lt;=2),1,0)+IF(AND(ISNUMBER(H2794),H2794&lt;=2),1,0)</f>
        <v>2</v>
      </c>
      <c r="J2794" s="2" t="str">
        <f aca="false">IF(I2794&gt;=6,"High",IF(I2794&gt;=3,"Medium","Low"))</f>
        <v>Low</v>
      </c>
    </row>
    <row r="2795" customFormat="false" ht="15" hidden="false" customHeight="true" outlineLevel="0" collapsed="false">
      <c r="A2795" s="2" t="n">
        <f aca="false">'Raw Data'!H2795</f>
        <v>2794</v>
      </c>
      <c r="B2795" s="2" t="n">
        <f aca="false">'Raw Data'!A2795</f>
        <v>34</v>
      </c>
      <c r="C2795" s="2" t="str">
        <f aca="false">'Raw Data'!D2795</f>
        <v>Human Resources</v>
      </c>
      <c r="D2795" s="2" t="str">
        <f aca="false">'Raw Data'!K2795</f>
        <v>Sales Executive</v>
      </c>
      <c r="E2795" s="2" t="n">
        <f aca="false">'Raw Data'!Q2795</f>
        <v>9</v>
      </c>
      <c r="F2795" s="2" t="n">
        <f aca="false">'Raw Data'!U2795</f>
        <v>6</v>
      </c>
      <c r="G2795" s="2" t="n">
        <f aca="false">'Raw Data'!W2795</f>
        <v>3</v>
      </c>
      <c r="H2795" s="2" t="n">
        <f aca="false">'Raw Data'!V2795</f>
        <v>1</v>
      </c>
      <c r="I2795" s="2" t="n">
        <f aca="false">IF(AND(ISNUMBER(B2795),B2795&lt;=25),2,0)+IF(AND(ISNUMBER(E2795),E2795&lt;=5),2,0)+IF(AND(ISNUMBER(F2795),F2795&lt;=1),2,0)+IF(AND(ISNUMBER(G2795),G2795&lt;=2),1,0)+IF(AND(ISNUMBER(H2795),H2795&lt;=2),1,0)</f>
        <v>1</v>
      </c>
      <c r="J2795" s="2" t="str">
        <f aca="false">IF(I2795&gt;=6,"High",IF(I2795&gt;=3,"Medium","Low"))</f>
        <v>Low</v>
      </c>
    </row>
    <row r="2796" customFormat="false" ht="15" hidden="false" customHeight="true" outlineLevel="0" collapsed="false">
      <c r="A2796" s="2" t="n">
        <f aca="false">'Raw Data'!H2796</f>
        <v>2795</v>
      </c>
      <c r="B2796" s="2" t="n">
        <f aca="false">'Raw Data'!A2796</f>
        <v>54</v>
      </c>
      <c r="C2796" s="2" t="str">
        <f aca="false">'Raw Data'!D2796</f>
        <v>Research &amp; Development</v>
      </c>
      <c r="D2796" s="2" t="str">
        <f aca="false">'Raw Data'!K2796</f>
        <v>Laboratory Technician</v>
      </c>
      <c r="E2796" s="2" t="n">
        <f aca="false">'Raw Data'!Q2796</f>
        <v>23</v>
      </c>
      <c r="F2796" s="2" t="n">
        <f aca="false">'Raw Data'!U2796</f>
        <v>4</v>
      </c>
      <c r="G2796" s="2" t="n">
        <f aca="false">'Raw Data'!W2796</f>
        <v>4</v>
      </c>
      <c r="H2796" s="2" t="n">
        <f aca="false">'Raw Data'!V2796</f>
        <v>4</v>
      </c>
      <c r="I2796" s="2" t="n">
        <f aca="false">IF(AND(ISNUMBER(B2796),B2796&lt;=25),2,0)+IF(AND(ISNUMBER(E2796),E2796&lt;=5),2,0)+IF(AND(ISNUMBER(F2796),F2796&lt;=1),2,0)+IF(AND(ISNUMBER(G2796),G2796&lt;=2),1,0)+IF(AND(ISNUMBER(H2796),H2796&lt;=2),1,0)</f>
        <v>0</v>
      </c>
      <c r="J2796" s="2" t="str">
        <f aca="false">IF(I2796&gt;=6,"High",IF(I2796&gt;=3,"Medium","Low"))</f>
        <v>Low</v>
      </c>
    </row>
    <row r="2797" customFormat="false" ht="15" hidden="false" customHeight="true" outlineLevel="0" collapsed="false">
      <c r="A2797" s="2" t="n">
        <f aca="false">'Raw Data'!H2797</f>
        <v>2796</v>
      </c>
      <c r="B2797" s="2" t="n">
        <f aca="false">'Raw Data'!A2797</f>
        <v>24</v>
      </c>
      <c r="C2797" s="2" t="str">
        <f aca="false">'Raw Data'!D2797</f>
        <v>Research &amp; Development</v>
      </c>
      <c r="D2797" s="2" t="str">
        <f aca="false">'Raw Data'!K2797</f>
        <v>Laboratory Technician</v>
      </c>
      <c r="E2797" s="2" t="n">
        <f aca="false">'Raw Data'!Q2797</f>
        <v>6</v>
      </c>
      <c r="F2797" s="2" t="n">
        <f aca="false">'Raw Data'!U2797</f>
        <v>2</v>
      </c>
      <c r="G2797" s="2" t="n">
        <f aca="false">'Raw Data'!W2797</f>
        <v>3</v>
      </c>
      <c r="H2797" s="2" t="n">
        <f aca="false">'Raw Data'!V2797</f>
        <v>2</v>
      </c>
      <c r="I2797" s="2" t="n">
        <f aca="false">IF(AND(ISNUMBER(B2797),B2797&lt;=25),2,0)+IF(AND(ISNUMBER(E2797),E2797&lt;=5),2,0)+IF(AND(ISNUMBER(F2797),F2797&lt;=1),2,0)+IF(AND(ISNUMBER(G2797),G2797&lt;=2),1,0)+IF(AND(ISNUMBER(H2797),H2797&lt;=2),1,0)</f>
        <v>3</v>
      </c>
      <c r="J2797" s="2" t="str">
        <f aca="false">IF(I2797&gt;=6,"High",IF(I2797&gt;=3,"Medium","Low"))</f>
        <v>Medium</v>
      </c>
    </row>
    <row r="2798" customFormat="false" ht="15" hidden="false" customHeight="true" outlineLevel="0" collapsed="false">
      <c r="A2798" s="2" t="n">
        <f aca="false">'Raw Data'!H2798</f>
        <v>2797</v>
      </c>
      <c r="B2798" s="2" t="n">
        <f aca="false">'Raw Data'!A2798</f>
        <v>34</v>
      </c>
      <c r="C2798" s="2" t="str">
        <f aca="false">'Raw Data'!D2798</f>
        <v>Sales</v>
      </c>
      <c r="D2798" s="2" t="str">
        <f aca="false">'Raw Data'!K2798</f>
        <v>Sales Representative</v>
      </c>
      <c r="E2798" s="2" t="n">
        <f aca="false">'Raw Data'!Q2798</f>
        <v>12</v>
      </c>
      <c r="F2798" s="2" t="n">
        <f aca="false">'Raw Data'!U2798</f>
        <v>0</v>
      </c>
      <c r="G2798" s="2" t="n">
        <f aca="false">'Raw Data'!W2798</f>
        <v>2</v>
      </c>
      <c r="H2798" s="2" t="n">
        <f aca="false">'Raw Data'!V2798</f>
        <v>3</v>
      </c>
      <c r="I2798" s="2" t="n">
        <f aca="false">IF(AND(ISNUMBER(B2798),B2798&lt;=25),2,0)+IF(AND(ISNUMBER(E2798),E2798&lt;=5),2,0)+IF(AND(ISNUMBER(F2798),F2798&lt;=1),2,0)+IF(AND(ISNUMBER(G2798),G2798&lt;=2),1,0)+IF(AND(ISNUMBER(H2798),H2798&lt;=2),1,0)</f>
        <v>3</v>
      </c>
      <c r="J2798" s="2" t="str">
        <f aca="false">IF(I2798&gt;=6,"High",IF(I2798&gt;=3,"Medium","Low"))</f>
        <v>Medium</v>
      </c>
    </row>
    <row r="2799" customFormat="false" ht="15" hidden="false" customHeight="true" outlineLevel="0" collapsed="false">
      <c r="A2799" s="2" t="n">
        <f aca="false">'Raw Data'!H2799</f>
        <v>2798</v>
      </c>
      <c r="B2799" s="2" t="n">
        <f aca="false">'Raw Data'!A2799</f>
        <v>37</v>
      </c>
      <c r="C2799" s="2" t="str">
        <f aca="false">'Raw Data'!D2799</f>
        <v>Sales</v>
      </c>
      <c r="D2799" s="2" t="str">
        <f aca="false">'Raw Data'!K2799</f>
        <v>Laboratory Technician</v>
      </c>
      <c r="E2799" s="2" t="n">
        <f aca="false">'Raw Data'!Q2799</f>
        <v>12</v>
      </c>
      <c r="F2799" s="2" t="n">
        <f aca="false">'Raw Data'!U2799</f>
        <v>3</v>
      </c>
      <c r="G2799" s="2" t="n">
        <f aca="false">'Raw Data'!W2799</f>
        <v>4</v>
      </c>
      <c r="H2799" s="2" t="n">
        <f aca="false">'Raw Data'!V2799</f>
        <v>3</v>
      </c>
      <c r="I2799" s="2" t="n">
        <f aca="false">IF(AND(ISNUMBER(B2799),B2799&lt;=25),2,0)+IF(AND(ISNUMBER(E2799),E2799&lt;=5),2,0)+IF(AND(ISNUMBER(F2799),F2799&lt;=1),2,0)+IF(AND(ISNUMBER(G2799),G2799&lt;=2),1,0)+IF(AND(ISNUMBER(H2799),H2799&lt;=2),1,0)</f>
        <v>0</v>
      </c>
      <c r="J2799" s="2" t="str">
        <f aca="false">IF(I2799&gt;=6,"High",IF(I2799&gt;=3,"Medium","Low"))</f>
        <v>Low</v>
      </c>
    </row>
    <row r="2800" customFormat="false" ht="15" hidden="false" customHeight="true" outlineLevel="0" collapsed="false">
      <c r="A2800" s="2" t="n">
        <f aca="false">'Raw Data'!H2800</f>
        <v>2799</v>
      </c>
      <c r="B2800" s="2" t="n">
        <f aca="false">'Raw Data'!A2800</f>
        <v>34</v>
      </c>
      <c r="C2800" s="2" t="str">
        <f aca="false">'Raw Data'!D2800</f>
        <v>Sales</v>
      </c>
      <c r="D2800" s="2" t="str">
        <f aca="false">'Raw Data'!K2800</f>
        <v>Healthcare Representative</v>
      </c>
      <c r="E2800" s="2" t="n">
        <f aca="false">'Raw Data'!Q2800</f>
        <v>14</v>
      </c>
      <c r="F2800" s="2" t="n">
        <f aca="false">'Raw Data'!U2800</f>
        <v>8</v>
      </c>
      <c r="G2800" s="2" t="n">
        <f aca="false">'Raw Data'!W2800</f>
        <v>1</v>
      </c>
      <c r="H2800" s="2" t="n">
        <f aca="false">'Raw Data'!V2800</f>
        <v>3</v>
      </c>
      <c r="I2800" s="2" t="n">
        <f aca="false">IF(AND(ISNUMBER(B2800),B2800&lt;=25),2,0)+IF(AND(ISNUMBER(E2800),E2800&lt;=5),2,0)+IF(AND(ISNUMBER(F2800),F2800&lt;=1),2,0)+IF(AND(ISNUMBER(G2800),G2800&lt;=2),1,0)+IF(AND(ISNUMBER(H2800),H2800&lt;=2),1,0)</f>
        <v>1</v>
      </c>
      <c r="J2800" s="2" t="str">
        <f aca="false">IF(I2800&gt;=6,"High",IF(I2800&gt;=3,"Medium","Low"))</f>
        <v>Low</v>
      </c>
    </row>
    <row r="2801" customFormat="false" ht="15" hidden="false" customHeight="true" outlineLevel="0" collapsed="false">
      <c r="A2801" s="2" t="n">
        <f aca="false">'Raw Data'!H2801</f>
        <v>2800</v>
      </c>
      <c r="B2801" s="2" t="n">
        <f aca="false">'Raw Data'!A2801</f>
        <v>36</v>
      </c>
      <c r="C2801" s="2" t="str">
        <f aca="false">'Raw Data'!D2801</f>
        <v>Human Resources</v>
      </c>
      <c r="D2801" s="2" t="str">
        <f aca="false">'Raw Data'!K2801</f>
        <v>Research Scientist</v>
      </c>
      <c r="E2801" s="2" t="n">
        <f aca="false">'Raw Data'!Q2801</f>
        <v>10</v>
      </c>
      <c r="F2801" s="2" t="n">
        <f aca="false">'Raw Data'!U2801</f>
        <v>8</v>
      </c>
      <c r="G2801" s="2" t="n">
        <f aca="false">'Raw Data'!W2801</f>
        <v>4</v>
      </c>
      <c r="H2801" s="2" t="n">
        <f aca="false">'Raw Data'!V2801</f>
        <v>2</v>
      </c>
      <c r="I2801" s="2" t="n">
        <f aca="false">IF(AND(ISNUMBER(B2801),B2801&lt;=25),2,0)+IF(AND(ISNUMBER(E2801),E2801&lt;=5),2,0)+IF(AND(ISNUMBER(F2801),F2801&lt;=1),2,0)+IF(AND(ISNUMBER(G2801),G2801&lt;=2),1,0)+IF(AND(ISNUMBER(H2801),H2801&lt;=2),1,0)</f>
        <v>1</v>
      </c>
      <c r="J2801" s="2" t="str">
        <f aca="false">IF(I2801&gt;=6,"High",IF(I2801&gt;=3,"Medium","Low"))</f>
        <v>Low</v>
      </c>
    </row>
    <row r="2802" customFormat="false" ht="15" hidden="false" customHeight="true" outlineLevel="0" collapsed="false">
      <c r="A2802" s="2" t="n">
        <f aca="false">'Raw Data'!H2802</f>
        <v>2801</v>
      </c>
      <c r="B2802" s="2" t="n">
        <f aca="false">'Raw Data'!A2802</f>
        <v>36</v>
      </c>
      <c r="C2802" s="2" t="str">
        <f aca="false">'Raw Data'!D2802</f>
        <v>Research &amp; Development</v>
      </c>
      <c r="D2802" s="2" t="str">
        <f aca="false">'Raw Data'!K2802</f>
        <v>Manufacturing Director</v>
      </c>
      <c r="E2802" s="2" t="n">
        <f aca="false">'Raw Data'!Q2802</f>
        <v>7</v>
      </c>
      <c r="F2802" s="2" t="n">
        <f aca="false">'Raw Data'!U2802</f>
        <v>0</v>
      </c>
      <c r="G2802" s="2" t="n">
        <f aca="false">'Raw Data'!W2802</f>
        <v>4</v>
      </c>
      <c r="H2802" s="2" t="n">
        <f aca="false">'Raw Data'!V2802</f>
        <v>1</v>
      </c>
      <c r="I2802" s="2" t="n">
        <f aca="false">IF(AND(ISNUMBER(B2802),B2802&lt;=25),2,0)+IF(AND(ISNUMBER(E2802),E2802&lt;=5),2,0)+IF(AND(ISNUMBER(F2802),F2802&lt;=1),2,0)+IF(AND(ISNUMBER(G2802),G2802&lt;=2),1,0)+IF(AND(ISNUMBER(H2802),H2802&lt;=2),1,0)</f>
        <v>3</v>
      </c>
      <c r="J2802" s="2" t="str">
        <f aca="false">IF(I2802&gt;=6,"High",IF(I2802&gt;=3,"Medium","Low"))</f>
        <v>Medium</v>
      </c>
    </row>
    <row r="2803" customFormat="false" ht="15" hidden="false" customHeight="true" outlineLevel="0" collapsed="false">
      <c r="A2803" s="2" t="n">
        <f aca="false">'Raw Data'!H2803</f>
        <v>2802</v>
      </c>
      <c r="B2803" s="2" t="n">
        <f aca="false">'Raw Data'!A2803</f>
        <v>43</v>
      </c>
      <c r="C2803" s="2" t="str">
        <f aca="false">'Raw Data'!D2803</f>
        <v>Research &amp; Development</v>
      </c>
      <c r="D2803" s="2" t="str">
        <f aca="false">'Raw Data'!K2803</f>
        <v>Sales Executive</v>
      </c>
      <c r="E2803" s="2" t="n">
        <f aca="false">'Raw Data'!Q2803</f>
        <v>25</v>
      </c>
      <c r="F2803" s="2" t="n">
        <f aca="false">'Raw Data'!U2803</f>
        <v>12</v>
      </c>
      <c r="G2803" s="2" t="n">
        <f aca="false">'Raw Data'!W2803</f>
        <v>4</v>
      </c>
      <c r="H2803" s="2" t="n">
        <f aca="false">'Raw Data'!V2803</f>
        <v>3</v>
      </c>
      <c r="I2803" s="2" t="n">
        <f aca="false">IF(AND(ISNUMBER(B2803),B2803&lt;=25),2,0)+IF(AND(ISNUMBER(E2803),E2803&lt;=5),2,0)+IF(AND(ISNUMBER(F2803),F2803&lt;=1),2,0)+IF(AND(ISNUMBER(G2803),G2803&lt;=2),1,0)+IF(AND(ISNUMBER(H2803),H2803&lt;=2),1,0)</f>
        <v>0</v>
      </c>
      <c r="J2803" s="2" t="str">
        <f aca="false">IF(I2803&gt;=6,"High",IF(I2803&gt;=3,"Medium","Low"))</f>
        <v>Low</v>
      </c>
    </row>
    <row r="2804" customFormat="false" ht="15" hidden="false" customHeight="true" outlineLevel="0" collapsed="false">
      <c r="A2804" s="2" t="n">
        <f aca="false">'Raw Data'!H2804</f>
        <v>2803</v>
      </c>
      <c r="B2804" s="2" t="n">
        <f aca="false">'Raw Data'!A2804</f>
        <v>30</v>
      </c>
      <c r="C2804" s="2" t="str">
        <f aca="false">'Raw Data'!D2804</f>
        <v>Research &amp; Development</v>
      </c>
      <c r="D2804" s="2" t="str">
        <f aca="false">'Raw Data'!K2804</f>
        <v>Healthcare Representative</v>
      </c>
      <c r="E2804" s="2" t="n">
        <f aca="false">'Raw Data'!Q2804</f>
        <v>10</v>
      </c>
      <c r="F2804" s="2" t="n">
        <f aca="false">'Raw Data'!U2804</f>
        <v>9</v>
      </c>
      <c r="G2804" s="2" t="n">
        <f aca="false">'Raw Data'!W2804</f>
        <v>3</v>
      </c>
      <c r="H2804" s="2" t="n">
        <f aca="false">'Raw Data'!V2804</f>
        <v>1</v>
      </c>
      <c r="I2804" s="2" t="n">
        <f aca="false">IF(AND(ISNUMBER(B2804),B2804&lt;=25),2,0)+IF(AND(ISNUMBER(E2804),E2804&lt;=5),2,0)+IF(AND(ISNUMBER(F2804),F2804&lt;=1),2,0)+IF(AND(ISNUMBER(G2804),G2804&lt;=2),1,0)+IF(AND(ISNUMBER(H2804),H2804&lt;=2),1,0)</f>
        <v>1</v>
      </c>
      <c r="J2804" s="2" t="str">
        <f aca="false">IF(I2804&gt;=6,"High",IF(I2804&gt;=3,"Medium","Low"))</f>
        <v>Low</v>
      </c>
    </row>
    <row r="2805" customFormat="false" ht="15" hidden="false" customHeight="true" outlineLevel="0" collapsed="false">
      <c r="A2805" s="2" t="n">
        <f aca="false">'Raw Data'!H2805</f>
        <v>2804</v>
      </c>
      <c r="B2805" s="2" t="n">
        <f aca="false">'Raw Data'!A2805</f>
        <v>33</v>
      </c>
      <c r="C2805" s="2" t="str">
        <f aca="false">'Raw Data'!D2805</f>
        <v>Sales</v>
      </c>
      <c r="D2805" s="2" t="str">
        <f aca="false">'Raw Data'!K2805</f>
        <v>Sales Executive</v>
      </c>
      <c r="E2805" s="2" t="n">
        <f aca="false">'Raw Data'!Q2805</f>
        <v>8</v>
      </c>
      <c r="F2805" s="2" t="n">
        <f aca="false">'Raw Data'!U2805</f>
        <v>7</v>
      </c>
      <c r="G2805" s="2" t="n">
        <f aca="false">'Raw Data'!W2805</f>
        <v>2</v>
      </c>
      <c r="H2805" s="2" t="n">
        <f aca="false">'Raw Data'!V2805</f>
        <v>3</v>
      </c>
      <c r="I2805" s="2" t="n">
        <f aca="false">IF(AND(ISNUMBER(B2805),B2805&lt;=25),2,0)+IF(AND(ISNUMBER(E2805),E2805&lt;=5),2,0)+IF(AND(ISNUMBER(F2805),F2805&lt;=1),2,0)+IF(AND(ISNUMBER(G2805),G2805&lt;=2),1,0)+IF(AND(ISNUMBER(H2805),H2805&lt;=2),1,0)</f>
        <v>1</v>
      </c>
      <c r="J2805" s="2" t="str">
        <f aca="false">IF(I2805&gt;=6,"High",IF(I2805&gt;=3,"Medium","Low"))</f>
        <v>Low</v>
      </c>
    </row>
    <row r="2806" customFormat="false" ht="15" hidden="false" customHeight="true" outlineLevel="0" collapsed="false">
      <c r="A2806" s="2" t="n">
        <f aca="false">'Raw Data'!H2806</f>
        <v>2805</v>
      </c>
      <c r="B2806" s="2" t="n">
        <f aca="false">'Raw Data'!A2806</f>
        <v>56</v>
      </c>
      <c r="C2806" s="2" t="str">
        <f aca="false">'Raw Data'!D2806</f>
        <v>Research &amp; Development</v>
      </c>
      <c r="D2806" s="2" t="str">
        <f aca="false">'Raw Data'!K2806</f>
        <v>Laboratory Technician</v>
      </c>
      <c r="E2806" s="2" t="n">
        <f aca="false">'Raw Data'!Q2806</f>
        <v>7</v>
      </c>
      <c r="F2806" s="2" t="n">
        <f aca="false">'Raw Data'!U2806</f>
        <v>3</v>
      </c>
      <c r="G2806" s="2" t="n">
        <f aca="false">'Raw Data'!W2806</f>
        <v>2</v>
      </c>
      <c r="H2806" s="2" t="n">
        <f aca="false">'Raw Data'!V2806</f>
        <v>2</v>
      </c>
      <c r="I2806" s="2" t="n">
        <f aca="false">IF(AND(ISNUMBER(B2806),B2806&lt;=25),2,0)+IF(AND(ISNUMBER(E2806),E2806&lt;=5),2,0)+IF(AND(ISNUMBER(F2806),F2806&lt;=1),2,0)+IF(AND(ISNUMBER(G2806),G2806&lt;=2),1,0)+IF(AND(ISNUMBER(H2806),H2806&lt;=2),1,0)</f>
        <v>2</v>
      </c>
      <c r="J2806" s="2" t="str">
        <f aca="false">IF(I2806&gt;=6,"High",IF(I2806&gt;=3,"Medium","Low"))</f>
        <v>Low</v>
      </c>
    </row>
    <row r="2807" customFormat="false" ht="15" hidden="false" customHeight="true" outlineLevel="0" collapsed="false">
      <c r="A2807" s="2" t="n">
        <f aca="false">'Raw Data'!H2807</f>
        <v>2806</v>
      </c>
      <c r="B2807" s="2" t="n">
        <f aca="false">'Raw Data'!A2807</f>
        <v>51</v>
      </c>
      <c r="C2807" s="2" t="str">
        <f aca="false">'Raw Data'!D2807</f>
        <v>Research &amp; Development</v>
      </c>
      <c r="D2807" s="2" t="str">
        <f aca="false">'Raw Data'!K2807</f>
        <v>Sales Representative</v>
      </c>
      <c r="E2807" s="2" t="n">
        <f aca="false">'Raw Data'!Q2807</f>
        <v>23</v>
      </c>
      <c r="F2807" s="2" t="n">
        <f aca="false">'Raw Data'!U2807</f>
        <v>15</v>
      </c>
      <c r="G2807" s="2" t="n">
        <f aca="false">'Raw Data'!W2807</f>
        <v>3</v>
      </c>
      <c r="H2807" s="2" t="n">
        <f aca="false">'Raw Data'!V2807</f>
        <v>1</v>
      </c>
      <c r="I2807" s="2" t="n">
        <f aca="false">IF(AND(ISNUMBER(B2807),B2807&lt;=25),2,0)+IF(AND(ISNUMBER(E2807),E2807&lt;=5),2,0)+IF(AND(ISNUMBER(F2807),F2807&lt;=1),2,0)+IF(AND(ISNUMBER(G2807),G2807&lt;=2),1,0)+IF(AND(ISNUMBER(H2807),H2807&lt;=2),1,0)</f>
        <v>1</v>
      </c>
      <c r="J2807" s="2" t="str">
        <f aca="false">IF(I2807&gt;=6,"High",IF(I2807&gt;=3,"Medium","Low"))</f>
        <v>Low</v>
      </c>
    </row>
    <row r="2808" customFormat="false" ht="15" hidden="false" customHeight="true" outlineLevel="0" collapsed="false">
      <c r="A2808" s="2" t="n">
        <f aca="false">'Raw Data'!H2808</f>
        <v>2807</v>
      </c>
      <c r="B2808" s="2" t="n">
        <f aca="false">'Raw Data'!A2808</f>
        <v>31</v>
      </c>
      <c r="C2808" s="2" t="str">
        <f aca="false">'Raw Data'!D2808</f>
        <v>Research &amp; Development</v>
      </c>
      <c r="D2808" s="2" t="str">
        <f aca="false">'Raw Data'!K2808</f>
        <v>Sales Executive</v>
      </c>
      <c r="E2808" s="2" t="n">
        <f aca="false">'Raw Data'!Q2808</f>
        <v>12</v>
      </c>
      <c r="F2808" s="2" t="n">
        <f aca="false">'Raw Data'!U2808</f>
        <v>7</v>
      </c>
      <c r="G2808" s="2" t="n">
        <f aca="false">'Raw Data'!W2808</f>
        <v>3</v>
      </c>
      <c r="H2808" s="2" t="n">
        <f aca="false">'Raw Data'!V2808</f>
        <v>2</v>
      </c>
      <c r="I2808" s="2" t="n">
        <f aca="false">IF(AND(ISNUMBER(B2808),B2808&lt;=25),2,0)+IF(AND(ISNUMBER(E2808),E2808&lt;=5),2,0)+IF(AND(ISNUMBER(F2808),F2808&lt;=1),2,0)+IF(AND(ISNUMBER(G2808),G2808&lt;=2),1,0)+IF(AND(ISNUMBER(H2808),H2808&lt;=2),1,0)</f>
        <v>1</v>
      </c>
      <c r="J2808" s="2" t="str">
        <f aca="false">IF(I2808&gt;=6,"High",IF(I2808&gt;=3,"Medium","Low"))</f>
        <v>Low</v>
      </c>
    </row>
    <row r="2809" customFormat="false" ht="15" hidden="false" customHeight="true" outlineLevel="0" collapsed="false">
      <c r="A2809" s="2" t="n">
        <f aca="false">'Raw Data'!H2809</f>
        <v>2808</v>
      </c>
      <c r="B2809" s="2" t="n">
        <f aca="false">'Raw Data'!A2809</f>
        <v>26</v>
      </c>
      <c r="C2809" s="2" t="str">
        <f aca="false">'Raw Data'!D2809</f>
        <v>Sales</v>
      </c>
      <c r="D2809" s="2" t="str">
        <f aca="false">'Raw Data'!K2809</f>
        <v>Manager</v>
      </c>
      <c r="E2809" s="2" t="n">
        <f aca="false">'Raw Data'!Q2809</f>
        <v>5</v>
      </c>
      <c r="F2809" s="2" t="n">
        <f aca="false">'Raw Data'!U2809</f>
        <v>3</v>
      </c>
      <c r="G2809" s="2" t="n">
        <f aca="false">'Raw Data'!W2809</f>
        <v>2</v>
      </c>
      <c r="H2809" s="2" t="n">
        <f aca="false">'Raw Data'!V2809</f>
        <v>3</v>
      </c>
      <c r="I2809" s="2" t="n">
        <f aca="false">IF(AND(ISNUMBER(B2809),B2809&lt;=25),2,0)+IF(AND(ISNUMBER(E2809),E2809&lt;=5),2,0)+IF(AND(ISNUMBER(F2809),F2809&lt;=1),2,0)+IF(AND(ISNUMBER(G2809),G2809&lt;=2),1,0)+IF(AND(ISNUMBER(H2809),H2809&lt;=2),1,0)</f>
        <v>3</v>
      </c>
      <c r="J2809" s="2" t="str">
        <f aca="false">IF(I2809&gt;=6,"High",IF(I2809&gt;=3,"Medium","Low"))</f>
        <v>Medium</v>
      </c>
    </row>
    <row r="2810" customFormat="false" ht="15" hidden="false" customHeight="true" outlineLevel="0" collapsed="false">
      <c r="A2810" s="2" t="n">
        <f aca="false">'Raw Data'!H2810</f>
        <v>2809</v>
      </c>
      <c r="B2810" s="2" t="n">
        <f aca="false">'Raw Data'!A2810</f>
        <v>58</v>
      </c>
      <c r="C2810" s="2" t="str">
        <f aca="false">'Raw Data'!D2810</f>
        <v>Sales</v>
      </c>
      <c r="D2810" s="2" t="str">
        <f aca="false">'Raw Data'!K2810</f>
        <v>Research Scientist</v>
      </c>
      <c r="E2810" s="2" t="n">
        <f aca="false">'Raw Data'!Q2810</f>
        <v>40</v>
      </c>
      <c r="F2810" s="2" t="n">
        <f aca="false">'Raw Data'!U2810</f>
        <v>6</v>
      </c>
      <c r="G2810" s="2" t="n">
        <f aca="false">'Raw Data'!W2810</f>
        <v>4</v>
      </c>
      <c r="H2810" s="2" t="n">
        <f aca="false">'Raw Data'!V2810</f>
        <v>4</v>
      </c>
      <c r="I2810" s="2" t="n">
        <f aca="false">IF(AND(ISNUMBER(B2810),B2810&lt;=25),2,0)+IF(AND(ISNUMBER(E2810),E2810&lt;=5),2,0)+IF(AND(ISNUMBER(F2810),F2810&lt;=1),2,0)+IF(AND(ISNUMBER(G2810),G2810&lt;=2),1,0)+IF(AND(ISNUMBER(H2810),H2810&lt;=2),1,0)</f>
        <v>0</v>
      </c>
      <c r="J2810" s="2" t="str">
        <f aca="false">IF(I2810&gt;=6,"High",IF(I2810&gt;=3,"Medium","Low"))</f>
        <v>Low</v>
      </c>
    </row>
    <row r="2811" customFormat="false" ht="15" hidden="false" customHeight="true" outlineLevel="0" collapsed="false">
      <c r="A2811" s="2" t="n">
        <f aca="false">'Raw Data'!H2811</f>
        <v>2810</v>
      </c>
      <c r="B2811" s="2" t="n">
        <f aca="false">'Raw Data'!A2811</f>
        <v>19</v>
      </c>
      <c r="C2811" s="2" t="str">
        <f aca="false">'Raw Data'!D2811</f>
        <v>Research &amp; Development</v>
      </c>
      <c r="D2811" s="2" t="str">
        <f aca="false">'Raw Data'!K2811</f>
        <v>Manager</v>
      </c>
      <c r="E2811" s="2" t="n">
        <f aca="false">'Raw Data'!Q2811</f>
        <v>0</v>
      </c>
      <c r="F2811" s="2" t="n">
        <f aca="false">'Raw Data'!U2811</f>
        <v>0</v>
      </c>
      <c r="G2811" s="2" t="n">
        <f aca="false">'Raw Data'!W2811</f>
        <v>3</v>
      </c>
      <c r="H2811" s="2" t="n">
        <f aca="false">'Raw Data'!V2811</f>
        <v>4</v>
      </c>
      <c r="I2811" s="2" t="n">
        <f aca="false">IF(AND(ISNUMBER(B2811),B2811&lt;=25),2,0)+IF(AND(ISNUMBER(E2811),E2811&lt;=5),2,0)+IF(AND(ISNUMBER(F2811),F2811&lt;=1),2,0)+IF(AND(ISNUMBER(G2811),G2811&lt;=2),1,0)+IF(AND(ISNUMBER(H2811),H2811&lt;=2),1,0)</f>
        <v>6</v>
      </c>
      <c r="J2811" s="2" t="str">
        <f aca="false">IF(I2811&gt;=6,"High",IF(I2811&gt;=3,"Medium","Low"))</f>
        <v>High</v>
      </c>
    </row>
    <row r="2812" customFormat="false" ht="15" hidden="false" customHeight="true" outlineLevel="0" collapsed="false">
      <c r="A2812" s="2" t="n">
        <f aca="false">'Raw Data'!H2812</f>
        <v>2811</v>
      </c>
      <c r="B2812" s="2" t="n">
        <f aca="false">'Raw Data'!A2812</f>
        <v>22</v>
      </c>
      <c r="C2812" s="2" t="str">
        <f aca="false">'Raw Data'!D2812</f>
        <v>Sales</v>
      </c>
      <c r="D2812" s="2" t="str">
        <f aca="false">'Raw Data'!K2812</f>
        <v>Sales Executive</v>
      </c>
      <c r="E2812" s="2" t="n">
        <f aca="false">'Raw Data'!Q2812</f>
        <v>3</v>
      </c>
      <c r="F2812" s="2" t="n">
        <f aca="false">'Raw Data'!U2812</f>
        <v>1</v>
      </c>
      <c r="G2812" s="2" t="n">
        <f aca="false">'Raw Data'!W2812</f>
        <v>4</v>
      </c>
      <c r="H2812" s="2" t="n">
        <f aca="false">'Raw Data'!V2812</f>
        <v>3</v>
      </c>
      <c r="I2812" s="2" t="n">
        <f aca="false">IF(AND(ISNUMBER(B2812),B2812&lt;=25),2,0)+IF(AND(ISNUMBER(E2812),E2812&lt;=5),2,0)+IF(AND(ISNUMBER(F2812),F2812&lt;=1),2,0)+IF(AND(ISNUMBER(G2812),G2812&lt;=2),1,0)+IF(AND(ISNUMBER(H2812),H2812&lt;=2),1,0)</f>
        <v>6</v>
      </c>
      <c r="J2812" s="2" t="str">
        <f aca="false">IF(I2812&gt;=6,"High",IF(I2812&gt;=3,"Medium","Low"))</f>
        <v>High</v>
      </c>
    </row>
    <row r="2813" customFormat="false" ht="15" hidden="false" customHeight="true" outlineLevel="0" collapsed="false">
      <c r="A2813" s="2" t="n">
        <f aca="false">'Raw Data'!H2813</f>
        <v>2812</v>
      </c>
      <c r="B2813" s="2" t="n">
        <f aca="false">'Raw Data'!A2813</f>
        <v>49</v>
      </c>
      <c r="C2813" s="2" t="str">
        <f aca="false">'Raw Data'!D2813</f>
        <v>Research &amp; Development</v>
      </c>
      <c r="D2813" s="2" t="str">
        <f aca="false">'Raw Data'!K2813</f>
        <v>Sales Executive</v>
      </c>
      <c r="E2813" s="2" t="n">
        <f aca="false">'Raw Data'!Q2813</f>
        <v>16</v>
      </c>
      <c r="F2813" s="2" t="n">
        <f aca="false">'Raw Data'!U2813</f>
        <v>11</v>
      </c>
      <c r="G2813" s="2" t="n">
        <f aca="false">'Raw Data'!W2813</f>
        <v>1</v>
      </c>
      <c r="H2813" s="2" t="n">
        <f aca="false">'Raw Data'!V2813</f>
        <v>3</v>
      </c>
      <c r="I2813" s="2" t="n">
        <f aca="false">IF(AND(ISNUMBER(B2813),B2813&lt;=25),2,0)+IF(AND(ISNUMBER(E2813),E2813&lt;=5),2,0)+IF(AND(ISNUMBER(F2813),F2813&lt;=1),2,0)+IF(AND(ISNUMBER(G2813),G2813&lt;=2),1,0)+IF(AND(ISNUMBER(H2813),H2813&lt;=2),1,0)</f>
        <v>1</v>
      </c>
      <c r="J2813" s="2" t="str">
        <f aca="false">IF(I2813&gt;=6,"High",IF(I2813&gt;=3,"Medium","Low"))</f>
        <v>Low</v>
      </c>
    </row>
    <row r="2814" customFormat="false" ht="15" hidden="false" customHeight="true" outlineLevel="0" collapsed="false">
      <c r="A2814" s="2" t="n">
        <f aca="false">'Raw Data'!H2814</f>
        <v>2813</v>
      </c>
      <c r="B2814" s="2" t="n">
        <f aca="false">'Raw Data'!A2814</f>
        <v>43</v>
      </c>
      <c r="C2814" s="2" t="str">
        <f aca="false">'Raw Data'!D2814</f>
        <v>Sales</v>
      </c>
      <c r="D2814" s="2" t="str">
        <f aca="false">'Raw Data'!K2814</f>
        <v>Sales Executive</v>
      </c>
      <c r="E2814" s="2" t="n">
        <f aca="false">'Raw Data'!Q2814</f>
        <v>18</v>
      </c>
      <c r="F2814" s="2" t="n">
        <f aca="false">'Raw Data'!U2814</f>
        <v>2</v>
      </c>
      <c r="G2814" s="2" t="n">
        <f aca="false">'Raw Data'!W2814</f>
        <v>3</v>
      </c>
      <c r="H2814" s="2" t="n">
        <f aca="false">'Raw Data'!V2814</f>
        <v>2</v>
      </c>
      <c r="I2814" s="2" t="n">
        <f aca="false">IF(AND(ISNUMBER(B2814),B2814&lt;=25),2,0)+IF(AND(ISNUMBER(E2814),E2814&lt;=5),2,0)+IF(AND(ISNUMBER(F2814),F2814&lt;=1),2,0)+IF(AND(ISNUMBER(G2814),G2814&lt;=2),1,0)+IF(AND(ISNUMBER(H2814),H2814&lt;=2),1,0)</f>
        <v>1</v>
      </c>
      <c r="J2814" s="2" t="str">
        <f aca="false">IF(I2814&gt;=6,"High",IF(I2814&gt;=3,"Medium","Low"))</f>
        <v>Low</v>
      </c>
    </row>
    <row r="2815" customFormat="false" ht="15" hidden="false" customHeight="true" outlineLevel="0" collapsed="false">
      <c r="A2815" s="2" t="n">
        <f aca="false">'Raw Data'!H2815</f>
        <v>2814</v>
      </c>
      <c r="B2815" s="2" t="n">
        <f aca="false">'Raw Data'!A2815</f>
        <v>50</v>
      </c>
      <c r="C2815" s="2" t="str">
        <f aca="false">'Raw Data'!D2815</f>
        <v>Research &amp; Development</v>
      </c>
      <c r="D2815" s="2" t="str">
        <f aca="false">'Raw Data'!K2815</f>
        <v>Sales Executive</v>
      </c>
      <c r="E2815" s="2" t="n">
        <f aca="false">'Raw Data'!Q2815</f>
        <v>16</v>
      </c>
      <c r="F2815" s="2" t="n">
        <f aca="false">'Raw Data'!U2815</f>
        <v>1</v>
      </c>
      <c r="G2815" s="2" t="n">
        <f aca="false">'Raw Data'!W2815</f>
        <v>4</v>
      </c>
      <c r="H2815" s="2" t="n">
        <f aca="false">'Raw Data'!V2815</f>
        <v>3</v>
      </c>
      <c r="I2815" s="2" t="n">
        <f aca="false">IF(AND(ISNUMBER(B2815),B2815&lt;=25),2,0)+IF(AND(ISNUMBER(E2815),E2815&lt;=5),2,0)+IF(AND(ISNUMBER(F2815),F2815&lt;=1),2,0)+IF(AND(ISNUMBER(G2815),G2815&lt;=2),1,0)+IF(AND(ISNUMBER(H2815),H2815&lt;=2),1,0)</f>
        <v>2</v>
      </c>
      <c r="J2815" s="2" t="str">
        <f aca="false">IF(I2815&gt;=6,"High",IF(I2815&gt;=3,"Medium","Low"))</f>
        <v>Low</v>
      </c>
    </row>
    <row r="2816" customFormat="false" ht="15" hidden="false" customHeight="true" outlineLevel="0" collapsed="false">
      <c r="A2816" s="2" t="n">
        <f aca="false">'Raw Data'!H2816</f>
        <v>2815</v>
      </c>
      <c r="B2816" s="2" t="n">
        <f aca="false">'Raw Data'!A2816</f>
        <v>31</v>
      </c>
      <c r="C2816" s="2" t="str">
        <f aca="false">'Raw Data'!D2816</f>
        <v>Research &amp; Development</v>
      </c>
      <c r="D2816" s="2" t="str">
        <f aca="false">'Raw Data'!K2816</f>
        <v>Sales Executive</v>
      </c>
      <c r="E2816" s="2" t="n">
        <f aca="false">'Raw Data'!Q2816</f>
        <v>4</v>
      </c>
      <c r="F2816" s="2" t="n">
        <f aca="false">'Raw Data'!U2816</f>
        <v>2</v>
      </c>
      <c r="G2816" s="2" t="n">
        <f aca="false">'Raw Data'!W2816</f>
        <v>3</v>
      </c>
      <c r="H2816" s="2" t="n">
        <f aca="false">'Raw Data'!V2816</f>
        <v>2</v>
      </c>
      <c r="I2816" s="2" t="n">
        <f aca="false">IF(AND(ISNUMBER(B2816),B2816&lt;=25),2,0)+IF(AND(ISNUMBER(E2816),E2816&lt;=5),2,0)+IF(AND(ISNUMBER(F2816),F2816&lt;=1),2,0)+IF(AND(ISNUMBER(G2816),G2816&lt;=2),1,0)+IF(AND(ISNUMBER(H2816),H2816&lt;=2),1,0)</f>
        <v>3</v>
      </c>
      <c r="J2816" s="2" t="str">
        <f aca="false">IF(I2816&gt;=6,"High",IF(I2816&gt;=3,"Medium","Low"))</f>
        <v>Medium</v>
      </c>
    </row>
    <row r="2817" customFormat="false" ht="15" hidden="false" customHeight="true" outlineLevel="0" collapsed="false">
      <c r="A2817" s="2" t="n">
        <f aca="false">'Raw Data'!H2817</f>
        <v>2816</v>
      </c>
      <c r="B2817" s="2" t="n">
        <f aca="false">'Raw Data'!A2817</f>
        <v>41</v>
      </c>
      <c r="C2817" s="2" t="str">
        <f aca="false">'Raw Data'!D2817</f>
        <v>Research &amp; Development</v>
      </c>
      <c r="D2817" s="2" t="str">
        <f aca="false">'Raw Data'!K2817</f>
        <v>Manufacturing Director</v>
      </c>
      <c r="E2817" s="2" t="n">
        <f aca="false">'Raw Data'!Q2817</f>
        <v>12</v>
      </c>
      <c r="F2817" s="2" t="n">
        <f aca="false">'Raw Data'!U2817</f>
        <v>7</v>
      </c>
      <c r="G2817" s="2" t="n">
        <f aca="false">'Raw Data'!W2817</f>
        <v>3</v>
      </c>
      <c r="H2817" s="2" t="n">
        <f aca="false">'Raw Data'!V2817</f>
        <v>3</v>
      </c>
      <c r="I2817" s="2" t="n">
        <f aca="false">IF(AND(ISNUMBER(B2817),B2817&lt;=25),2,0)+IF(AND(ISNUMBER(E2817),E2817&lt;=5),2,0)+IF(AND(ISNUMBER(F2817),F2817&lt;=1),2,0)+IF(AND(ISNUMBER(G2817),G2817&lt;=2),1,0)+IF(AND(ISNUMBER(H2817),H2817&lt;=2),1,0)</f>
        <v>0</v>
      </c>
      <c r="J2817" s="2" t="str">
        <f aca="false">IF(I2817&gt;=6,"High",IF(I2817&gt;=3,"Medium","Low"))</f>
        <v>Low</v>
      </c>
    </row>
    <row r="2818" customFormat="false" ht="15" hidden="false" customHeight="true" outlineLevel="0" collapsed="false">
      <c r="A2818" s="2" t="n">
        <f aca="false">'Raw Data'!H2818</f>
        <v>2817</v>
      </c>
      <c r="B2818" s="2" t="n">
        <f aca="false">'Raw Data'!A2818</f>
        <v>26</v>
      </c>
      <c r="C2818" s="2" t="str">
        <f aca="false">'Raw Data'!D2818</f>
        <v>Research &amp; Development</v>
      </c>
      <c r="D2818" s="2" t="str">
        <f aca="false">'Raw Data'!K2818</f>
        <v>Sales Executive</v>
      </c>
      <c r="E2818" s="2" t="n">
        <f aca="false">'Raw Data'!Q2818</f>
        <v>8</v>
      </c>
      <c r="F2818" s="2" t="n">
        <f aca="false">'Raw Data'!U2818</f>
        <v>7</v>
      </c>
      <c r="G2818" s="2" t="n">
        <f aca="false">'Raw Data'!W2818</f>
        <v>3</v>
      </c>
      <c r="H2818" s="2" t="n">
        <f aca="false">'Raw Data'!V2818</f>
        <v>3</v>
      </c>
      <c r="I2818" s="2" t="n">
        <f aca="false">IF(AND(ISNUMBER(B2818),B2818&lt;=25),2,0)+IF(AND(ISNUMBER(E2818),E2818&lt;=5),2,0)+IF(AND(ISNUMBER(F2818),F2818&lt;=1),2,0)+IF(AND(ISNUMBER(G2818),G2818&lt;=2),1,0)+IF(AND(ISNUMBER(H2818),H2818&lt;=2),1,0)</f>
        <v>0</v>
      </c>
      <c r="J2818" s="2" t="str">
        <f aca="false">IF(I2818&gt;=6,"High",IF(I2818&gt;=3,"Medium","Low"))</f>
        <v>Low</v>
      </c>
    </row>
    <row r="2819" customFormat="false" ht="15" hidden="false" customHeight="true" outlineLevel="0" collapsed="false">
      <c r="A2819" s="2" t="n">
        <f aca="false">'Raw Data'!H2819</f>
        <v>2818</v>
      </c>
      <c r="B2819" s="2" t="n">
        <f aca="false">'Raw Data'!A2819</f>
        <v>36</v>
      </c>
      <c r="C2819" s="2" t="str">
        <f aca="false">'Raw Data'!D2819</f>
        <v>Human Resources</v>
      </c>
      <c r="D2819" s="2" t="str">
        <f aca="false">'Raw Data'!K2819</f>
        <v>Research Scientist</v>
      </c>
      <c r="E2819" s="2" t="n">
        <f aca="false">'Raw Data'!Q2819</f>
        <v>7</v>
      </c>
      <c r="F2819" s="2" t="n">
        <f aca="false">'Raw Data'!U2819</f>
        <v>1</v>
      </c>
      <c r="G2819" s="2" t="n">
        <f aca="false">'Raw Data'!W2819</f>
        <v>2</v>
      </c>
      <c r="H2819" s="2" t="n">
        <f aca="false">'Raw Data'!V2819</f>
        <v>2</v>
      </c>
      <c r="I2819" s="2" t="n">
        <f aca="false">IF(AND(ISNUMBER(B2819),B2819&lt;=25),2,0)+IF(AND(ISNUMBER(E2819),E2819&lt;=5),2,0)+IF(AND(ISNUMBER(F2819),F2819&lt;=1),2,0)+IF(AND(ISNUMBER(G2819),G2819&lt;=2),1,0)+IF(AND(ISNUMBER(H2819),H2819&lt;=2),1,0)</f>
        <v>4</v>
      </c>
      <c r="J2819" s="2" t="str">
        <f aca="false">IF(I2819&gt;=6,"High",IF(I2819&gt;=3,"Medium","Low"))</f>
        <v>Medium</v>
      </c>
    </row>
    <row r="2820" customFormat="false" ht="15" hidden="false" customHeight="true" outlineLevel="0" collapsed="false">
      <c r="A2820" s="2" t="n">
        <f aca="false">'Raw Data'!H2820</f>
        <v>2819</v>
      </c>
      <c r="B2820" s="2" t="n">
        <f aca="false">'Raw Data'!A2820</f>
        <v>51</v>
      </c>
      <c r="C2820" s="2" t="str">
        <f aca="false">'Raw Data'!D2820</f>
        <v>Research &amp; Development</v>
      </c>
      <c r="D2820" s="2" t="str">
        <f aca="false">'Raw Data'!K2820</f>
        <v>Manager</v>
      </c>
      <c r="E2820" s="2" t="n">
        <f aca="false">'Raw Data'!Q2820</f>
        <v>18</v>
      </c>
      <c r="F2820" s="2" t="n">
        <f aca="false">'Raw Data'!U2820</f>
        <v>3</v>
      </c>
      <c r="G2820" s="2" t="n">
        <f aca="false">'Raw Data'!W2820</f>
        <v>4</v>
      </c>
      <c r="H2820" s="2" t="n">
        <f aca="false">'Raw Data'!V2820</f>
        <v>1</v>
      </c>
      <c r="I2820" s="2" t="n">
        <f aca="false">IF(AND(ISNUMBER(B2820),B2820&lt;=25),2,0)+IF(AND(ISNUMBER(E2820),E2820&lt;=5),2,0)+IF(AND(ISNUMBER(F2820),F2820&lt;=1),2,0)+IF(AND(ISNUMBER(G2820),G2820&lt;=2),1,0)+IF(AND(ISNUMBER(H2820),H2820&lt;=2),1,0)</f>
        <v>1</v>
      </c>
      <c r="J2820" s="2" t="str">
        <f aca="false">IF(I2820&gt;=6,"High",IF(I2820&gt;=3,"Medium","Low"))</f>
        <v>Low</v>
      </c>
    </row>
    <row r="2821" customFormat="false" ht="15" hidden="false" customHeight="true" outlineLevel="0" collapsed="false">
      <c r="A2821" s="2" t="n">
        <f aca="false">'Raw Data'!H2821</f>
        <v>2820</v>
      </c>
      <c r="B2821" s="2" t="n">
        <f aca="false">'Raw Data'!A2821</f>
        <v>39</v>
      </c>
      <c r="C2821" s="2" t="str">
        <f aca="false">'Raw Data'!D2821</f>
        <v>Research &amp; Development</v>
      </c>
      <c r="D2821" s="2" t="str">
        <f aca="false">'Raw Data'!K2821</f>
        <v>Research Scientist</v>
      </c>
      <c r="E2821" s="2" t="n">
        <f aca="false">'Raw Data'!Q2821</f>
        <v>17</v>
      </c>
      <c r="F2821" s="2" t="n">
        <f aca="false">'Raw Data'!U2821</f>
        <v>9</v>
      </c>
      <c r="G2821" s="2" t="n">
        <f aca="false">'Raw Data'!W2821</f>
        <v>3</v>
      </c>
      <c r="H2821" s="2" t="n">
        <f aca="false">'Raw Data'!V2821</f>
        <v>4</v>
      </c>
      <c r="I2821" s="2" t="n">
        <f aca="false">IF(AND(ISNUMBER(B2821),B2821&lt;=25),2,0)+IF(AND(ISNUMBER(E2821),E2821&lt;=5),2,0)+IF(AND(ISNUMBER(F2821),F2821&lt;=1),2,0)+IF(AND(ISNUMBER(G2821),G2821&lt;=2),1,0)+IF(AND(ISNUMBER(H2821),H2821&lt;=2),1,0)</f>
        <v>0</v>
      </c>
      <c r="J2821" s="2" t="str">
        <f aca="false">IF(I2821&gt;=6,"High",IF(I2821&gt;=3,"Medium","Low"))</f>
        <v>Low</v>
      </c>
    </row>
    <row r="2822" customFormat="false" ht="15" hidden="false" customHeight="true" outlineLevel="0" collapsed="false">
      <c r="A2822" s="2" t="n">
        <f aca="false">'Raw Data'!H2822</f>
        <v>2821</v>
      </c>
      <c r="B2822" s="2" t="n">
        <f aca="false">'Raw Data'!A2822</f>
        <v>25</v>
      </c>
      <c r="C2822" s="2" t="str">
        <f aca="false">'Raw Data'!D2822</f>
        <v>Sales</v>
      </c>
      <c r="D2822" s="2" t="str">
        <f aca="false">'Raw Data'!K2822</f>
        <v>Research Scientist</v>
      </c>
      <c r="E2822" s="2" t="n">
        <f aca="false">'Raw Data'!Q2822</f>
        <v>6</v>
      </c>
      <c r="F2822" s="2" t="n">
        <f aca="false">'Raw Data'!U2822</f>
        <v>2</v>
      </c>
      <c r="G2822" s="2" t="n">
        <f aca="false">'Raw Data'!W2822</f>
        <v>3</v>
      </c>
      <c r="H2822" s="2" t="n">
        <f aca="false">'Raw Data'!V2822</f>
        <v>1</v>
      </c>
      <c r="I2822" s="2" t="n">
        <f aca="false">IF(AND(ISNUMBER(B2822),B2822&lt;=25),2,0)+IF(AND(ISNUMBER(E2822),E2822&lt;=5),2,0)+IF(AND(ISNUMBER(F2822),F2822&lt;=1),2,0)+IF(AND(ISNUMBER(G2822),G2822&lt;=2),1,0)+IF(AND(ISNUMBER(H2822),H2822&lt;=2),1,0)</f>
        <v>3</v>
      </c>
      <c r="J2822" s="2" t="str">
        <f aca="false">IF(I2822&gt;=6,"High",IF(I2822&gt;=3,"Medium","Low"))</f>
        <v>Medium</v>
      </c>
    </row>
    <row r="2823" customFormat="false" ht="15" hidden="false" customHeight="true" outlineLevel="0" collapsed="false">
      <c r="A2823" s="2" t="n">
        <f aca="false">'Raw Data'!H2823</f>
        <v>2822</v>
      </c>
      <c r="B2823" s="2" t="n">
        <f aca="false">'Raw Data'!A2823</f>
        <v>30</v>
      </c>
      <c r="C2823" s="2" t="str">
        <f aca="false">'Raw Data'!D2823</f>
        <v>Research &amp; Development</v>
      </c>
      <c r="D2823" s="2" t="str">
        <f aca="false">'Raw Data'!K2823</f>
        <v>Laboratory Technician</v>
      </c>
      <c r="E2823" s="2" t="n">
        <f aca="false">'Raw Data'!Q2823</f>
        <v>12</v>
      </c>
      <c r="F2823" s="2" t="n">
        <f aca="false">'Raw Data'!U2823</f>
        <v>7</v>
      </c>
      <c r="G2823" s="2" t="n">
        <f aca="false">'Raw Data'!W2823</f>
        <v>4</v>
      </c>
      <c r="H2823" s="2" t="n">
        <f aca="false">'Raw Data'!V2823</f>
        <v>3</v>
      </c>
      <c r="I2823" s="2" t="n">
        <f aca="false">IF(AND(ISNUMBER(B2823),B2823&lt;=25),2,0)+IF(AND(ISNUMBER(E2823),E2823&lt;=5),2,0)+IF(AND(ISNUMBER(F2823),F2823&lt;=1),2,0)+IF(AND(ISNUMBER(G2823),G2823&lt;=2),1,0)+IF(AND(ISNUMBER(H2823),H2823&lt;=2),1,0)</f>
        <v>0</v>
      </c>
      <c r="J2823" s="2" t="str">
        <f aca="false">IF(I2823&gt;=6,"High",IF(I2823&gt;=3,"Medium","Low"))</f>
        <v>Low</v>
      </c>
    </row>
    <row r="2824" customFormat="false" ht="15" hidden="false" customHeight="true" outlineLevel="0" collapsed="false">
      <c r="A2824" s="2" t="n">
        <f aca="false">'Raw Data'!H2824</f>
        <v>2823</v>
      </c>
      <c r="B2824" s="2" t="n">
        <f aca="false">'Raw Data'!A2824</f>
        <v>32</v>
      </c>
      <c r="C2824" s="2" t="str">
        <f aca="false">'Raw Data'!D2824</f>
        <v>Research &amp; Development</v>
      </c>
      <c r="D2824" s="2" t="str">
        <f aca="false">'Raw Data'!K2824</f>
        <v>Research Director</v>
      </c>
      <c r="E2824" s="2" t="n">
        <f aca="false">'Raw Data'!Q2824</f>
        <v>10</v>
      </c>
      <c r="F2824" s="2" t="n">
        <f aca="false">'Raw Data'!U2824</f>
        <v>4</v>
      </c>
      <c r="G2824" s="2" t="n">
        <f aca="false">'Raw Data'!W2824</f>
        <v>1</v>
      </c>
      <c r="H2824" s="2" t="n">
        <f aca="false">'Raw Data'!V2824</f>
        <v>1</v>
      </c>
      <c r="I2824" s="2" t="n">
        <f aca="false">IF(AND(ISNUMBER(B2824),B2824&lt;=25),2,0)+IF(AND(ISNUMBER(E2824),E2824&lt;=5),2,0)+IF(AND(ISNUMBER(F2824),F2824&lt;=1),2,0)+IF(AND(ISNUMBER(G2824),G2824&lt;=2),1,0)+IF(AND(ISNUMBER(H2824),H2824&lt;=2),1,0)</f>
        <v>2</v>
      </c>
      <c r="J2824" s="2" t="str">
        <f aca="false">IF(I2824&gt;=6,"High",IF(I2824&gt;=3,"Medium","Low"))</f>
        <v>Low</v>
      </c>
    </row>
    <row r="2825" customFormat="false" ht="15" hidden="false" customHeight="true" outlineLevel="0" collapsed="false">
      <c r="A2825" s="2" t="n">
        <f aca="false">'Raw Data'!H2825</f>
        <v>2824</v>
      </c>
      <c r="B2825" s="2" t="n">
        <f aca="false">'Raw Data'!A2825</f>
        <v>45</v>
      </c>
      <c r="C2825" s="2" t="str">
        <f aca="false">'Raw Data'!D2825</f>
        <v>Research &amp; Development</v>
      </c>
      <c r="D2825" s="2" t="str">
        <f aca="false">'Raw Data'!K2825</f>
        <v>Healthcare Representative</v>
      </c>
      <c r="E2825" s="2" t="n">
        <f aca="false">'Raw Data'!Q2825</f>
        <v>9</v>
      </c>
      <c r="F2825" s="2" t="n">
        <f aca="false">'Raw Data'!U2825</f>
        <v>3</v>
      </c>
      <c r="G2825" s="2" t="n">
        <f aca="false">'Raw Data'!W2825</f>
        <v>4</v>
      </c>
      <c r="H2825" s="2" t="n">
        <f aca="false">'Raw Data'!V2825</f>
        <v>3</v>
      </c>
      <c r="I2825" s="2" t="n">
        <f aca="false">IF(AND(ISNUMBER(B2825),B2825&lt;=25),2,0)+IF(AND(ISNUMBER(E2825),E2825&lt;=5),2,0)+IF(AND(ISNUMBER(F2825),F2825&lt;=1),2,0)+IF(AND(ISNUMBER(G2825),G2825&lt;=2),1,0)+IF(AND(ISNUMBER(H2825),H2825&lt;=2),1,0)</f>
        <v>0</v>
      </c>
      <c r="J2825" s="2" t="str">
        <f aca="false">IF(I2825&gt;=6,"High",IF(I2825&gt;=3,"Medium","Low"))</f>
        <v>Low</v>
      </c>
    </row>
    <row r="2826" customFormat="false" ht="15" hidden="false" customHeight="true" outlineLevel="0" collapsed="false">
      <c r="A2826" s="2" t="n">
        <f aca="false">'Raw Data'!H2826</f>
        <v>2825</v>
      </c>
      <c r="B2826" s="2" t="n">
        <f aca="false">'Raw Data'!A2826</f>
        <v>38</v>
      </c>
      <c r="C2826" s="2" t="str">
        <f aca="false">'Raw Data'!D2826</f>
        <v>Research &amp; Development</v>
      </c>
      <c r="D2826" s="2" t="str">
        <f aca="false">'Raw Data'!K2826</f>
        <v>Research Director</v>
      </c>
      <c r="E2826" s="2" t="n">
        <f aca="false">'Raw Data'!Q2826</f>
        <v>19</v>
      </c>
      <c r="F2826" s="2" t="n">
        <f aca="false">'Raw Data'!U2826</f>
        <v>2</v>
      </c>
      <c r="G2826" s="2" t="n">
        <f aca="false">'Raw Data'!W2826</f>
        <v>3</v>
      </c>
      <c r="H2826" s="2" t="n">
        <f aca="false">'Raw Data'!V2826</f>
        <v>4</v>
      </c>
      <c r="I2826" s="2" t="n">
        <f aca="false">IF(AND(ISNUMBER(B2826),B2826&lt;=25),2,0)+IF(AND(ISNUMBER(E2826),E2826&lt;=5),2,0)+IF(AND(ISNUMBER(F2826),F2826&lt;=1),2,0)+IF(AND(ISNUMBER(G2826),G2826&lt;=2),1,0)+IF(AND(ISNUMBER(H2826),H2826&lt;=2),1,0)</f>
        <v>0</v>
      </c>
      <c r="J2826" s="2" t="str">
        <f aca="false">IF(I2826&gt;=6,"High",IF(I2826&gt;=3,"Medium","Low"))</f>
        <v>Low</v>
      </c>
    </row>
    <row r="2827" customFormat="false" ht="15" hidden="false" customHeight="true" outlineLevel="0" collapsed="false">
      <c r="A2827" s="2" t="n">
        <f aca="false">'Raw Data'!H2827</f>
        <v>2826</v>
      </c>
      <c r="B2827" s="2" t="n">
        <f aca="false">'Raw Data'!A2827</f>
        <v>30</v>
      </c>
      <c r="C2827" s="2" t="str">
        <f aca="false">'Raw Data'!D2827</f>
        <v>Sales</v>
      </c>
      <c r="D2827" s="2" t="str">
        <f aca="false">'Raw Data'!K2827</f>
        <v>Laboratory Technician</v>
      </c>
      <c r="E2827" s="2" t="n">
        <f aca="false">'Raw Data'!Q2827</f>
        <v>5</v>
      </c>
      <c r="F2827" s="2" t="n">
        <f aca="false">'Raw Data'!U2827</f>
        <v>4</v>
      </c>
      <c r="G2827" s="2" t="n">
        <f aca="false">'Raw Data'!W2827</f>
        <v>3</v>
      </c>
      <c r="H2827" s="2" t="n">
        <f aca="false">'Raw Data'!V2827</f>
        <v>1</v>
      </c>
      <c r="I2827" s="2" t="n">
        <f aca="false">IF(AND(ISNUMBER(B2827),B2827&lt;=25),2,0)+IF(AND(ISNUMBER(E2827),E2827&lt;=5),2,0)+IF(AND(ISNUMBER(F2827),F2827&lt;=1),2,0)+IF(AND(ISNUMBER(G2827),G2827&lt;=2),1,0)+IF(AND(ISNUMBER(H2827),H2827&lt;=2),1,0)</f>
        <v>3</v>
      </c>
      <c r="J2827" s="2" t="str">
        <f aca="false">IF(I2827&gt;=6,"High",IF(I2827&gt;=3,"Medium","Low"))</f>
        <v>Medium</v>
      </c>
    </row>
    <row r="2828" customFormat="false" ht="15" hidden="false" customHeight="true" outlineLevel="0" collapsed="false">
      <c r="A2828" s="2" t="n">
        <f aca="false">'Raw Data'!H2828</f>
        <v>2827</v>
      </c>
      <c r="B2828" s="2" t="n">
        <f aca="false">'Raw Data'!A2828</f>
        <v>32</v>
      </c>
      <c r="C2828" s="2" t="str">
        <f aca="false">'Raw Data'!D2828</f>
        <v>Sales</v>
      </c>
      <c r="D2828" s="2" t="str">
        <f aca="false">'Raw Data'!K2828</f>
        <v>Laboratory Technician</v>
      </c>
      <c r="E2828" s="2" t="n">
        <f aca="false">'Raw Data'!Q2828</f>
        <v>9</v>
      </c>
      <c r="F2828" s="2" t="n">
        <f aca="false">'Raw Data'!U2828</f>
        <v>7</v>
      </c>
      <c r="G2828" s="2" t="n">
        <f aca="false">'Raw Data'!W2828</f>
        <v>4</v>
      </c>
      <c r="H2828" s="2" t="n">
        <f aca="false">'Raw Data'!V2828</f>
        <v>4</v>
      </c>
      <c r="I2828" s="2" t="n">
        <f aca="false">IF(AND(ISNUMBER(B2828),B2828&lt;=25),2,0)+IF(AND(ISNUMBER(E2828),E2828&lt;=5),2,0)+IF(AND(ISNUMBER(F2828),F2828&lt;=1),2,0)+IF(AND(ISNUMBER(G2828),G2828&lt;=2),1,0)+IF(AND(ISNUMBER(H2828),H2828&lt;=2),1,0)</f>
        <v>0</v>
      </c>
      <c r="J2828" s="2" t="str">
        <f aca="false">IF(I2828&gt;=6,"High",IF(I2828&gt;=3,"Medium","Low"))</f>
        <v>Low</v>
      </c>
    </row>
    <row r="2829" customFormat="false" ht="15" hidden="false" customHeight="true" outlineLevel="0" collapsed="false">
      <c r="A2829" s="2" t="n">
        <f aca="false">'Raw Data'!H2829</f>
        <v>2828</v>
      </c>
      <c r="B2829" s="2" t="n">
        <f aca="false">'Raw Data'!A2829</f>
        <v>30</v>
      </c>
      <c r="C2829" s="2" t="str">
        <f aca="false">'Raw Data'!D2829</f>
        <v>Research &amp; Development</v>
      </c>
      <c r="D2829" s="2" t="str">
        <f aca="false">'Raw Data'!K2829</f>
        <v>Sales Executive</v>
      </c>
      <c r="E2829" s="2" t="n">
        <f aca="false">'Raw Data'!Q2829</f>
        <v>8</v>
      </c>
      <c r="F2829" s="2" t="n">
        <f aca="false">'Raw Data'!U2829</f>
        <v>2</v>
      </c>
      <c r="G2829" s="2" t="n">
        <f aca="false">'Raw Data'!W2829</f>
        <v>1</v>
      </c>
      <c r="H2829" s="2" t="n">
        <f aca="false">'Raw Data'!V2829</f>
        <v>4</v>
      </c>
      <c r="I2829" s="2" t="n">
        <f aca="false">IF(AND(ISNUMBER(B2829),B2829&lt;=25),2,0)+IF(AND(ISNUMBER(E2829),E2829&lt;=5),2,0)+IF(AND(ISNUMBER(F2829),F2829&lt;=1),2,0)+IF(AND(ISNUMBER(G2829),G2829&lt;=2),1,0)+IF(AND(ISNUMBER(H2829),H2829&lt;=2),1,0)</f>
        <v>1</v>
      </c>
      <c r="J2829" s="2" t="str">
        <f aca="false">IF(I2829&gt;=6,"High",IF(I2829&gt;=3,"Medium","Low"))</f>
        <v>Low</v>
      </c>
    </row>
    <row r="2830" customFormat="false" ht="15" hidden="false" customHeight="true" outlineLevel="0" collapsed="false">
      <c r="A2830" s="2" t="n">
        <f aca="false">'Raw Data'!H2830</f>
        <v>2829</v>
      </c>
      <c r="B2830" s="2" t="n">
        <f aca="false">'Raw Data'!A2830</f>
        <v>30</v>
      </c>
      <c r="C2830" s="2" t="str">
        <f aca="false">'Raw Data'!D2830</f>
        <v>Sales</v>
      </c>
      <c r="D2830" s="2" t="str">
        <f aca="false">'Raw Data'!K2830</f>
        <v>Research Scientist</v>
      </c>
      <c r="E2830" s="2" t="n">
        <f aca="false">'Raw Data'!Q2830</f>
        <v>6</v>
      </c>
      <c r="F2830" s="2" t="n">
        <f aca="false">'Raw Data'!U2830</f>
        <v>2</v>
      </c>
      <c r="G2830" s="2" t="n">
        <f aca="false">'Raw Data'!W2830</f>
        <v>4</v>
      </c>
      <c r="H2830" s="2" t="n">
        <f aca="false">'Raw Data'!V2830</f>
        <v>2</v>
      </c>
      <c r="I2830" s="2" t="n">
        <f aca="false">IF(AND(ISNUMBER(B2830),B2830&lt;=25),2,0)+IF(AND(ISNUMBER(E2830),E2830&lt;=5),2,0)+IF(AND(ISNUMBER(F2830),F2830&lt;=1),2,0)+IF(AND(ISNUMBER(G2830),G2830&lt;=2),1,0)+IF(AND(ISNUMBER(H2830),H2830&lt;=2),1,0)</f>
        <v>1</v>
      </c>
      <c r="J2830" s="2" t="str">
        <f aca="false">IF(I2830&gt;=6,"High",IF(I2830&gt;=3,"Medium","Low"))</f>
        <v>Low</v>
      </c>
    </row>
    <row r="2831" customFormat="false" ht="15" hidden="false" customHeight="true" outlineLevel="0" collapsed="false">
      <c r="A2831" s="2" t="n">
        <f aca="false">'Raw Data'!H2831</f>
        <v>2830</v>
      </c>
      <c r="B2831" s="2" t="n">
        <f aca="false">'Raw Data'!A2831</f>
        <v>41</v>
      </c>
      <c r="C2831" s="2" t="str">
        <f aca="false">'Raw Data'!D2831</f>
        <v>Sales</v>
      </c>
      <c r="D2831" s="2" t="str">
        <f aca="false">'Raw Data'!K2831</f>
        <v>Manufacturing Director</v>
      </c>
      <c r="E2831" s="2" t="n">
        <f aca="false">'Raw Data'!Q2831</f>
        <v>21</v>
      </c>
      <c r="F2831" s="2" t="n">
        <f aca="false">'Raw Data'!U2831</f>
        <v>7</v>
      </c>
      <c r="G2831" s="2" t="n">
        <f aca="false">'Raw Data'!W2831</f>
        <v>1</v>
      </c>
      <c r="H2831" s="2" t="n">
        <f aca="false">'Raw Data'!V2831</f>
        <v>4</v>
      </c>
      <c r="I2831" s="2" t="n">
        <f aca="false">IF(AND(ISNUMBER(B2831),B2831&lt;=25),2,0)+IF(AND(ISNUMBER(E2831),E2831&lt;=5),2,0)+IF(AND(ISNUMBER(F2831),F2831&lt;=1),2,0)+IF(AND(ISNUMBER(G2831),G2831&lt;=2),1,0)+IF(AND(ISNUMBER(H2831),H2831&lt;=2),1,0)</f>
        <v>1</v>
      </c>
      <c r="J2831" s="2" t="str">
        <f aca="false">IF(I2831&gt;=6,"High",IF(I2831&gt;=3,"Medium","Low"))</f>
        <v>Low</v>
      </c>
    </row>
    <row r="2832" customFormat="false" ht="15" hidden="false" customHeight="true" outlineLevel="0" collapsed="false">
      <c r="A2832" s="2" t="n">
        <f aca="false">'Raw Data'!H2832</f>
        <v>2831</v>
      </c>
      <c r="B2832" s="2" t="n">
        <f aca="false">'Raw Data'!A2832</f>
        <v>41</v>
      </c>
      <c r="C2832" s="2" t="str">
        <f aca="false">'Raw Data'!D2832</f>
        <v>Research &amp; Development</v>
      </c>
      <c r="D2832" s="2" t="str">
        <f aca="false">'Raw Data'!K2832</f>
        <v>Research Scientist</v>
      </c>
      <c r="E2832" s="2" t="n">
        <f aca="false">'Raw Data'!Q2832</f>
        <v>7</v>
      </c>
      <c r="F2832" s="2" t="n">
        <f aca="false">'Raw Data'!U2832</f>
        <v>4</v>
      </c>
      <c r="G2832" s="2" t="n">
        <f aca="false">'Raw Data'!W2832</f>
        <v>1</v>
      </c>
      <c r="H2832" s="2" t="n">
        <f aca="false">'Raw Data'!V2832</f>
        <v>3</v>
      </c>
      <c r="I2832" s="2" t="n">
        <f aca="false">IF(AND(ISNUMBER(B2832),B2832&lt;=25),2,0)+IF(AND(ISNUMBER(E2832),E2832&lt;=5),2,0)+IF(AND(ISNUMBER(F2832),F2832&lt;=1),2,0)+IF(AND(ISNUMBER(G2832),G2832&lt;=2),1,0)+IF(AND(ISNUMBER(H2832),H2832&lt;=2),1,0)</f>
        <v>1</v>
      </c>
      <c r="J2832" s="2" t="str">
        <f aca="false">IF(I2832&gt;=6,"High",IF(I2832&gt;=3,"Medium","Low"))</f>
        <v>Low</v>
      </c>
    </row>
    <row r="2833" customFormat="false" ht="15" hidden="false" customHeight="true" outlineLevel="0" collapsed="false">
      <c r="A2833" s="2" t="n">
        <f aca="false">'Raw Data'!H2833</f>
        <v>2832</v>
      </c>
      <c r="B2833" s="2" t="n">
        <f aca="false">'Raw Data'!A2833</f>
        <v>19</v>
      </c>
      <c r="C2833" s="2" t="str">
        <f aca="false">'Raw Data'!D2833</f>
        <v>Research &amp; Development</v>
      </c>
      <c r="D2833" s="2" t="str">
        <f aca="false">'Raw Data'!K2833</f>
        <v>Manufacturing Director</v>
      </c>
      <c r="E2833" s="2" t="n">
        <f aca="false">'Raw Data'!Q2833</f>
        <v>1</v>
      </c>
      <c r="F2833" s="2" t="n">
        <f aca="false">'Raw Data'!U2833</f>
        <v>0</v>
      </c>
      <c r="G2833" s="2" t="n">
        <f aca="false">'Raw Data'!W2833</f>
        <v>2</v>
      </c>
      <c r="H2833" s="2" t="n">
        <f aca="false">'Raw Data'!V2833</f>
        <v>2</v>
      </c>
      <c r="I2833" s="2" t="n">
        <f aca="false">IF(AND(ISNUMBER(B2833),B2833&lt;=25),2,0)+IF(AND(ISNUMBER(E2833),E2833&lt;=5),2,0)+IF(AND(ISNUMBER(F2833),F2833&lt;=1),2,0)+IF(AND(ISNUMBER(G2833),G2833&lt;=2),1,0)+IF(AND(ISNUMBER(H2833),H2833&lt;=2),1,0)</f>
        <v>8</v>
      </c>
      <c r="J2833" s="2" t="str">
        <f aca="false">IF(I2833&gt;=6,"High",IF(I2833&gt;=3,"Medium","Low"))</f>
        <v>High</v>
      </c>
    </row>
    <row r="2834" customFormat="false" ht="15" hidden="false" customHeight="true" outlineLevel="0" collapsed="false">
      <c r="A2834" s="2" t="n">
        <f aca="false">'Raw Data'!H2834</f>
        <v>2833</v>
      </c>
      <c r="B2834" s="2" t="n">
        <f aca="false">'Raw Data'!A2834</f>
        <v>40</v>
      </c>
      <c r="C2834" s="2" t="str">
        <f aca="false">'Raw Data'!D2834</f>
        <v>Research &amp; Development</v>
      </c>
      <c r="D2834" s="2" t="str">
        <f aca="false">'Raw Data'!K2834</f>
        <v>Manufacturing Director</v>
      </c>
      <c r="E2834" s="2" t="n">
        <f aca="false">'Raw Data'!Q2834</f>
        <v>20</v>
      </c>
      <c r="F2834" s="2" t="n">
        <f aca="false">'Raw Data'!U2834</f>
        <v>13</v>
      </c>
      <c r="G2834" s="2" t="n">
        <f aca="false">'Raw Data'!W2834</f>
        <v>2</v>
      </c>
      <c r="H2834" s="2" t="n">
        <f aca="false">'Raw Data'!V2834</f>
        <v>2</v>
      </c>
      <c r="I2834" s="2" t="n">
        <f aca="false">IF(AND(ISNUMBER(B2834),B2834&lt;=25),2,0)+IF(AND(ISNUMBER(E2834),E2834&lt;=5),2,0)+IF(AND(ISNUMBER(F2834),F2834&lt;=1),2,0)+IF(AND(ISNUMBER(G2834),G2834&lt;=2),1,0)+IF(AND(ISNUMBER(H2834),H2834&lt;=2),1,0)</f>
        <v>2</v>
      </c>
      <c r="J2834" s="2" t="str">
        <f aca="false">IF(I2834&gt;=6,"High",IF(I2834&gt;=3,"Medium","Low"))</f>
        <v>Low</v>
      </c>
    </row>
    <row r="2835" customFormat="false" ht="15" hidden="false" customHeight="true" outlineLevel="0" collapsed="false">
      <c r="A2835" s="2" t="n">
        <f aca="false">'Raw Data'!H2835</f>
        <v>2834</v>
      </c>
      <c r="B2835" s="2" t="n">
        <f aca="false">'Raw Data'!A2835</f>
        <v>35</v>
      </c>
      <c r="C2835" s="2" t="str">
        <f aca="false">'Raw Data'!D2835</f>
        <v>Sales</v>
      </c>
      <c r="D2835" s="2" t="str">
        <f aca="false">'Raw Data'!K2835</f>
        <v>Laboratory Technician</v>
      </c>
      <c r="E2835" s="2" t="n">
        <f aca="false">'Raw Data'!Q2835</f>
        <v>10</v>
      </c>
      <c r="F2835" s="2" t="n">
        <f aca="false">'Raw Data'!U2835</f>
        <v>6</v>
      </c>
      <c r="G2835" s="2" t="n">
        <f aca="false">'Raw Data'!W2835</f>
        <v>2</v>
      </c>
      <c r="H2835" s="2" t="n">
        <f aca="false">'Raw Data'!V2835</f>
        <v>3</v>
      </c>
      <c r="I2835" s="2" t="n">
        <f aca="false">IF(AND(ISNUMBER(B2835),B2835&lt;=25),2,0)+IF(AND(ISNUMBER(E2835),E2835&lt;=5),2,0)+IF(AND(ISNUMBER(F2835),F2835&lt;=1),2,0)+IF(AND(ISNUMBER(G2835),G2835&lt;=2),1,0)+IF(AND(ISNUMBER(H2835),H2835&lt;=2),1,0)</f>
        <v>1</v>
      </c>
      <c r="J2835" s="2" t="str">
        <f aca="false">IF(I2835&gt;=6,"High",IF(I2835&gt;=3,"Medium","Low"))</f>
        <v>Low</v>
      </c>
    </row>
    <row r="2836" customFormat="false" ht="15" hidden="false" customHeight="true" outlineLevel="0" collapsed="false">
      <c r="A2836" s="2" t="n">
        <f aca="false">'Raw Data'!H2836</f>
        <v>2835</v>
      </c>
      <c r="B2836" s="2" t="n">
        <f aca="false">'Raw Data'!A2836</f>
        <v>53</v>
      </c>
      <c r="C2836" s="2" t="str">
        <f aca="false">'Raw Data'!D2836</f>
        <v>Sales</v>
      </c>
      <c r="D2836" s="2" t="str">
        <f aca="false">'Raw Data'!K2836</f>
        <v>Manufacturing Director</v>
      </c>
      <c r="E2836" s="2" t="n">
        <f aca="false">'Raw Data'!Q2836</f>
        <v>13</v>
      </c>
      <c r="F2836" s="2" t="n">
        <f aca="false">'Raw Data'!U2836</f>
        <v>5</v>
      </c>
      <c r="G2836" s="2" t="n">
        <f aca="false">'Raw Data'!W2836</f>
        <v>3</v>
      </c>
      <c r="H2836" s="2" t="n">
        <f aca="false">'Raw Data'!V2836</f>
        <v>2</v>
      </c>
      <c r="I2836" s="2" t="n">
        <f aca="false">IF(AND(ISNUMBER(B2836),B2836&lt;=25),2,0)+IF(AND(ISNUMBER(E2836),E2836&lt;=5),2,0)+IF(AND(ISNUMBER(F2836),F2836&lt;=1),2,0)+IF(AND(ISNUMBER(G2836),G2836&lt;=2),1,0)+IF(AND(ISNUMBER(H2836),H2836&lt;=2),1,0)</f>
        <v>1</v>
      </c>
      <c r="J2836" s="2" t="str">
        <f aca="false">IF(I2836&gt;=6,"High",IF(I2836&gt;=3,"Medium","Low"))</f>
        <v>Low</v>
      </c>
    </row>
    <row r="2837" customFormat="false" ht="15" hidden="false" customHeight="true" outlineLevel="0" collapsed="false">
      <c r="A2837" s="2" t="n">
        <f aca="false">'Raw Data'!H2837</f>
        <v>2836</v>
      </c>
      <c r="B2837" s="2" t="n">
        <f aca="false">'Raw Data'!A2837</f>
        <v>45</v>
      </c>
      <c r="C2837" s="2" t="str">
        <f aca="false">'Raw Data'!D2837</f>
        <v>Sales</v>
      </c>
      <c r="D2837" s="2" t="str">
        <f aca="false">'Raw Data'!K2837</f>
        <v>Research Scientist</v>
      </c>
      <c r="E2837" s="2" t="n">
        <f aca="false">'Raw Data'!Q2837</f>
        <v>20</v>
      </c>
      <c r="F2837" s="2" t="n">
        <f aca="false">'Raw Data'!U2837</f>
        <v>15</v>
      </c>
      <c r="G2837" s="2" t="n">
        <f aca="false">'Raw Data'!W2837</f>
        <v>2</v>
      </c>
      <c r="H2837" s="2" t="n">
        <f aca="false">'Raw Data'!V2837</f>
        <v>2</v>
      </c>
      <c r="I2837" s="2" t="n">
        <f aca="false">IF(AND(ISNUMBER(B2837),B2837&lt;=25),2,0)+IF(AND(ISNUMBER(E2837),E2837&lt;=5),2,0)+IF(AND(ISNUMBER(F2837),F2837&lt;=1),2,0)+IF(AND(ISNUMBER(G2837),G2837&lt;=2),1,0)+IF(AND(ISNUMBER(H2837),H2837&lt;=2),1,0)</f>
        <v>2</v>
      </c>
      <c r="J2837" s="2" t="str">
        <f aca="false">IF(I2837&gt;=6,"High",IF(I2837&gt;=3,"Medium","Low"))</f>
        <v>Low</v>
      </c>
    </row>
    <row r="2838" customFormat="false" ht="15" hidden="false" customHeight="true" outlineLevel="0" collapsed="false">
      <c r="A2838" s="2" t="n">
        <f aca="false">'Raw Data'!H2838</f>
        <v>2837</v>
      </c>
      <c r="B2838" s="2" t="n">
        <f aca="false">'Raw Data'!A2838</f>
        <v>32</v>
      </c>
      <c r="C2838" s="2" t="str">
        <f aca="false">'Raw Data'!D2838</f>
        <v>Sales</v>
      </c>
      <c r="D2838" s="2" t="str">
        <f aca="false">'Raw Data'!K2838</f>
        <v>Manufacturing Director</v>
      </c>
      <c r="E2838" s="2" t="n">
        <f aca="false">'Raw Data'!Q2838</f>
        <v>9</v>
      </c>
      <c r="F2838" s="2" t="n">
        <f aca="false">'Raw Data'!U2838</f>
        <v>7</v>
      </c>
      <c r="G2838" s="2" t="n">
        <f aca="false">'Raw Data'!W2838</f>
        <v>4</v>
      </c>
      <c r="H2838" s="2" t="n">
        <f aca="false">'Raw Data'!V2838</f>
        <v>2</v>
      </c>
      <c r="I2838" s="2" t="n">
        <f aca="false">IF(AND(ISNUMBER(B2838),B2838&lt;=25),2,0)+IF(AND(ISNUMBER(E2838),E2838&lt;=5),2,0)+IF(AND(ISNUMBER(F2838),F2838&lt;=1),2,0)+IF(AND(ISNUMBER(G2838),G2838&lt;=2),1,0)+IF(AND(ISNUMBER(H2838),H2838&lt;=2),1,0)</f>
        <v>1</v>
      </c>
      <c r="J2838" s="2" t="str">
        <f aca="false">IF(I2838&gt;=6,"High",IF(I2838&gt;=3,"Medium","Low"))</f>
        <v>Low</v>
      </c>
    </row>
    <row r="2839" customFormat="false" ht="15" hidden="false" customHeight="true" outlineLevel="0" collapsed="false">
      <c r="A2839" s="2" t="n">
        <f aca="false">'Raw Data'!H2839</f>
        <v>2838</v>
      </c>
      <c r="B2839" s="2" t="n">
        <f aca="false">'Raw Data'!A2839</f>
        <v>29</v>
      </c>
      <c r="C2839" s="2" t="str">
        <f aca="false">'Raw Data'!D2839</f>
        <v>Research &amp; Development</v>
      </c>
      <c r="D2839" s="2" t="str">
        <f aca="false">'Raw Data'!K2839</f>
        <v>Healthcare Representative</v>
      </c>
      <c r="E2839" s="2" t="n">
        <f aca="false">'Raw Data'!Q2839</f>
        <v>10</v>
      </c>
      <c r="F2839" s="2" t="n">
        <f aca="false">'Raw Data'!U2839</f>
        <v>9</v>
      </c>
      <c r="G2839" s="2" t="n">
        <f aca="false">'Raw Data'!W2839</f>
        <v>3</v>
      </c>
      <c r="H2839" s="2" t="n">
        <f aca="false">'Raw Data'!V2839</f>
        <v>4</v>
      </c>
      <c r="I2839" s="2" t="n">
        <f aca="false">IF(AND(ISNUMBER(B2839),B2839&lt;=25),2,0)+IF(AND(ISNUMBER(E2839),E2839&lt;=5),2,0)+IF(AND(ISNUMBER(F2839),F2839&lt;=1),2,0)+IF(AND(ISNUMBER(G2839),G2839&lt;=2),1,0)+IF(AND(ISNUMBER(H2839),H2839&lt;=2),1,0)</f>
        <v>0</v>
      </c>
      <c r="J2839" s="2" t="str">
        <f aca="false">IF(I2839&gt;=6,"High",IF(I2839&gt;=3,"Medium","Low"))</f>
        <v>Low</v>
      </c>
    </row>
    <row r="2840" customFormat="false" ht="15" hidden="false" customHeight="true" outlineLevel="0" collapsed="false">
      <c r="A2840" s="2" t="n">
        <f aca="false">'Raw Data'!H2840</f>
        <v>2839</v>
      </c>
      <c r="B2840" s="2" t="n">
        <f aca="false">'Raw Data'!A2840</f>
        <v>51</v>
      </c>
      <c r="C2840" s="2" t="str">
        <f aca="false">'Raw Data'!D2840</f>
        <v>Research &amp; Development</v>
      </c>
      <c r="D2840" s="2" t="str">
        <f aca="false">'Raw Data'!K2840</f>
        <v>Research Director</v>
      </c>
      <c r="E2840" s="2" t="n">
        <f aca="false">'Raw Data'!Q2840</f>
        <v>10</v>
      </c>
      <c r="F2840" s="2" t="n">
        <f aca="false">'Raw Data'!U2840</f>
        <v>0</v>
      </c>
      <c r="G2840" s="2" t="n">
        <f aca="false">'Raw Data'!W2840</f>
        <v>3</v>
      </c>
      <c r="H2840" s="2" t="n">
        <f aca="false">'Raw Data'!V2840</f>
        <v>2</v>
      </c>
      <c r="I2840" s="2" t="n">
        <f aca="false">IF(AND(ISNUMBER(B2840),B2840&lt;=25),2,0)+IF(AND(ISNUMBER(E2840),E2840&lt;=5),2,0)+IF(AND(ISNUMBER(F2840),F2840&lt;=1),2,0)+IF(AND(ISNUMBER(G2840),G2840&lt;=2),1,0)+IF(AND(ISNUMBER(H2840),H2840&lt;=2),1,0)</f>
        <v>3</v>
      </c>
      <c r="J2840" s="2" t="str">
        <f aca="false">IF(I2840&gt;=6,"High",IF(I2840&gt;=3,"Medium","Low"))</f>
        <v>Medium</v>
      </c>
    </row>
    <row r="2841" customFormat="false" ht="15" hidden="false" customHeight="true" outlineLevel="0" collapsed="false">
      <c r="A2841" s="2" t="n">
        <f aca="false">'Raw Data'!H2841</f>
        <v>2840</v>
      </c>
      <c r="B2841" s="2" t="n">
        <f aca="false">'Raw Data'!A2841</f>
        <v>58</v>
      </c>
      <c r="C2841" s="2" t="str">
        <f aca="false">'Raw Data'!D2841</f>
        <v>Sales</v>
      </c>
      <c r="D2841" s="2" t="str">
        <f aca="false">'Raw Data'!K2841</f>
        <v>Research Scientist</v>
      </c>
      <c r="E2841" s="2" t="n">
        <f aca="false">'Raw Data'!Q2841</f>
        <v>9</v>
      </c>
      <c r="F2841" s="2" t="n">
        <f aca="false">'Raw Data'!U2841</f>
        <v>0</v>
      </c>
      <c r="G2841" s="2" t="n">
        <f aca="false">'Raw Data'!W2841</f>
        <v>2</v>
      </c>
      <c r="H2841" s="2" t="n">
        <f aca="false">'Raw Data'!V2841</f>
        <v>2</v>
      </c>
      <c r="I2841" s="2" t="n">
        <f aca="false">IF(AND(ISNUMBER(B2841),B2841&lt;=25),2,0)+IF(AND(ISNUMBER(E2841),E2841&lt;=5),2,0)+IF(AND(ISNUMBER(F2841),F2841&lt;=1),2,0)+IF(AND(ISNUMBER(G2841),G2841&lt;=2),1,0)+IF(AND(ISNUMBER(H2841),H2841&lt;=2),1,0)</f>
        <v>4</v>
      </c>
      <c r="J2841" s="2" t="str">
        <f aca="false">IF(I2841&gt;=6,"High",IF(I2841&gt;=3,"Medium","Low"))</f>
        <v>Medium</v>
      </c>
    </row>
    <row r="2842" customFormat="false" ht="15" hidden="false" customHeight="true" outlineLevel="0" collapsed="false">
      <c r="A2842" s="2" t="n">
        <f aca="false">'Raw Data'!H2842</f>
        <v>2841</v>
      </c>
      <c r="B2842" s="2" t="n">
        <f aca="false">'Raw Data'!A2842</f>
        <v>40</v>
      </c>
      <c r="C2842" s="2" t="str">
        <f aca="false">'Raw Data'!D2842</f>
        <v>Research &amp; Development</v>
      </c>
      <c r="D2842" s="2" t="str">
        <f aca="false">'Raw Data'!K2842</f>
        <v>Laboratory Technician</v>
      </c>
      <c r="E2842" s="2" t="n">
        <f aca="false">'Raw Data'!Q2842</f>
        <v>15</v>
      </c>
      <c r="F2842" s="2" t="n">
        <f aca="false">'Raw Data'!U2842</f>
        <v>11</v>
      </c>
      <c r="G2842" s="2" t="n">
        <f aca="false">'Raw Data'!W2842</f>
        <v>4</v>
      </c>
      <c r="H2842" s="2" t="n">
        <f aca="false">'Raw Data'!V2842</f>
        <v>3</v>
      </c>
      <c r="I2842" s="2" t="n">
        <f aca="false">IF(AND(ISNUMBER(B2842),B2842&lt;=25),2,0)+IF(AND(ISNUMBER(E2842),E2842&lt;=5),2,0)+IF(AND(ISNUMBER(F2842),F2842&lt;=1),2,0)+IF(AND(ISNUMBER(G2842),G2842&lt;=2),1,0)+IF(AND(ISNUMBER(H2842),H2842&lt;=2),1,0)</f>
        <v>0</v>
      </c>
      <c r="J2842" s="2" t="str">
        <f aca="false">IF(I2842&gt;=6,"High",IF(I2842&gt;=3,"Medium","Low"))</f>
        <v>Low</v>
      </c>
    </row>
    <row r="2843" customFormat="false" ht="15" hidden="false" customHeight="true" outlineLevel="0" collapsed="false">
      <c r="A2843" s="2" t="n">
        <f aca="false">'Raw Data'!H2843</f>
        <v>2842</v>
      </c>
      <c r="B2843" s="2" t="n">
        <f aca="false">'Raw Data'!A2843</f>
        <v>34</v>
      </c>
      <c r="C2843" s="2" t="str">
        <f aca="false">'Raw Data'!D2843</f>
        <v>Sales</v>
      </c>
      <c r="D2843" s="2" t="str">
        <f aca="false">'Raw Data'!K2843</f>
        <v>Manufacturing Director</v>
      </c>
      <c r="E2843" s="2" t="n">
        <f aca="false">'Raw Data'!Q2843</f>
        <v>6</v>
      </c>
      <c r="F2843" s="2" t="n">
        <f aca="false">'Raw Data'!U2843</f>
        <v>2</v>
      </c>
      <c r="G2843" s="2" t="n">
        <f aca="false">'Raw Data'!W2843</f>
        <v>3</v>
      </c>
      <c r="H2843" s="2" t="n">
        <f aca="false">'Raw Data'!V2843</f>
        <v>3</v>
      </c>
      <c r="I2843" s="2" t="n">
        <f aca="false">IF(AND(ISNUMBER(B2843),B2843&lt;=25),2,0)+IF(AND(ISNUMBER(E2843),E2843&lt;=5),2,0)+IF(AND(ISNUMBER(F2843),F2843&lt;=1),2,0)+IF(AND(ISNUMBER(G2843),G2843&lt;=2),1,0)+IF(AND(ISNUMBER(H2843),H2843&lt;=2),1,0)</f>
        <v>0</v>
      </c>
      <c r="J2843" s="2" t="str">
        <f aca="false">IF(I2843&gt;=6,"High",IF(I2843&gt;=3,"Medium","Low"))</f>
        <v>Low</v>
      </c>
    </row>
    <row r="2844" customFormat="false" ht="15" hidden="false" customHeight="true" outlineLevel="0" collapsed="false">
      <c r="A2844" s="2" t="n">
        <f aca="false">'Raw Data'!H2844</f>
        <v>2843</v>
      </c>
      <c r="B2844" s="2" t="n">
        <f aca="false">'Raw Data'!A2844</f>
        <v>22</v>
      </c>
      <c r="C2844" s="2" t="str">
        <f aca="false">'Raw Data'!D2844</f>
        <v>Research &amp; Development</v>
      </c>
      <c r="D2844" s="2" t="str">
        <f aca="false">'Raw Data'!K2844</f>
        <v>Laboratory Technician</v>
      </c>
      <c r="E2844" s="2" t="n">
        <f aca="false">'Raw Data'!Q2844</f>
        <v>2</v>
      </c>
      <c r="F2844" s="2" t="n">
        <f aca="false">'Raw Data'!U2844</f>
        <v>2</v>
      </c>
      <c r="G2844" s="2" t="n">
        <f aca="false">'Raw Data'!W2844</f>
        <v>4</v>
      </c>
      <c r="H2844" s="2" t="n">
        <f aca="false">'Raw Data'!V2844</f>
        <v>3</v>
      </c>
      <c r="I2844" s="2" t="n">
        <f aca="false">IF(AND(ISNUMBER(B2844),B2844&lt;=25),2,0)+IF(AND(ISNUMBER(E2844),E2844&lt;=5),2,0)+IF(AND(ISNUMBER(F2844),F2844&lt;=1),2,0)+IF(AND(ISNUMBER(G2844),G2844&lt;=2),1,0)+IF(AND(ISNUMBER(H2844),H2844&lt;=2),1,0)</f>
        <v>4</v>
      </c>
      <c r="J2844" s="2" t="str">
        <f aca="false">IF(I2844&gt;=6,"High",IF(I2844&gt;=3,"Medium","Low"))</f>
        <v>Medium</v>
      </c>
    </row>
    <row r="2845" customFormat="false" ht="15" hidden="false" customHeight="true" outlineLevel="0" collapsed="false">
      <c r="A2845" s="2" t="n">
        <f aca="false">'Raw Data'!H2845</f>
        <v>2844</v>
      </c>
      <c r="B2845" s="2" t="n">
        <f aca="false">'Raw Data'!A2845</f>
        <v>27</v>
      </c>
      <c r="C2845" s="2" t="str">
        <f aca="false">'Raw Data'!D2845</f>
        <v>Research &amp; Development</v>
      </c>
      <c r="D2845" s="2" t="str">
        <f aca="false">'Raw Data'!K2845</f>
        <v>Healthcare Representative</v>
      </c>
      <c r="E2845" s="2" t="n">
        <f aca="false">'Raw Data'!Q2845</f>
        <v>6</v>
      </c>
      <c r="F2845" s="2" t="n">
        <f aca="false">'Raw Data'!U2845</f>
        <v>2</v>
      </c>
      <c r="G2845" s="2" t="n">
        <f aca="false">'Raw Data'!W2845</f>
        <v>2</v>
      </c>
      <c r="H2845" s="2" t="n">
        <f aca="false">'Raw Data'!V2845</f>
        <v>4</v>
      </c>
      <c r="I2845" s="2" t="n">
        <f aca="false">IF(AND(ISNUMBER(B2845),B2845&lt;=25),2,0)+IF(AND(ISNUMBER(E2845),E2845&lt;=5),2,0)+IF(AND(ISNUMBER(F2845),F2845&lt;=1),2,0)+IF(AND(ISNUMBER(G2845),G2845&lt;=2),1,0)+IF(AND(ISNUMBER(H2845),H2845&lt;=2),1,0)</f>
        <v>1</v>
      </c>
      <c r="J2845" s="2" t="str">
        <f aca="false">IF(I2845&gt;=6,"High",IF(I2845&gt;=3,"Medium","Low"))</f>
        <v>Low</v>
      </c>
    </row>
    <row r="2846" customFormat="false" ht="15" hidden="false" customHeight="true" outlineLevel="0" collapsed="false">
      <c r="A2846" s="2" t="n">
        <f aca="false">'Raw Data'!H2846</f>
        <v>2845</v>
      </c>
      <c r="B2846" s="2" t="n">
        <f aca="false">'Raw Data'!A2846</f>
        <v>28</v>
      </c>
      <c r="C2846" s="2" t="str">
        <f aca="false">'Raw Data'!D2846</f>
        <v>Sales</v>
      </c>
      <c r="D2846" s="2" t="str">
        <f aca="false">'Raw Data'!K2846</f>
        <v>Healthcare Representative</v>
      </c>
      <c r="E2846" s="2" t="n">
        <f aca="false">'Raw Data'!Q2846</f>
        <v>5</v>
      </c>
      <c r="F2846" s="2" t="n">
        <f aca="false">'Raw Data'!U2846</f>
        <v>2</v>
      </c>
      <c r="G2846" s="2" t="n">
        <f aca="false">'Raw Data'!W2846</f>
        <v>4</v>
      </c>
      <c r="H2846" s="2" t="n">
        <f aca="false">'Raw Data'!V2846</f>
        <v>3</v>
      </c>
      <c r="I2846" s="2" t="n">
        <f aca="false">IF(AND(ISNUMBER(B2846),B2846&lt;=25),2,0)+IF(AND(ISNUMBER(E2846),E2846&lt;=5),2,0)+IF(AND(ISNUMBER(F2846),F2846&lt;=1),2,0)+IF(AND(ISNUMBER(G2846),G2846&lt;=2),1,0)+IF(AND(ISNUMBER(H2846),H2846&lt;=2),1,0)</f>
        <v>2</v>
      </c>
      <c r="J2846" s="2" t="str">
        <f aca="false">IF(I2846&gt;=6,"High",IF(I2846&gt;=3,"Medium","Low"))</f>
        <v>Low</v>
      </c>
    </row>
    <row r="2847" customFormat="false" ht="15" hidden="false" customHeight="true" outlineLevel="0" collapsed="false">
      <c r="A2847" s="2" t="n">
        <f aca="false">'Raw Data'!H2847</f>
        <v>2846</v>
      </c>
      <c r="B2847" s="2" t="n">
        <f aca="false">'Raw Data'!A2847</f>
        <v>57</v>
      </c>
      <c r="C2847" s="2" t="str">
        <f aca="false">'Raw Data'!D2847</f>
        <v>Research &amp; Development</v>
      </c>
      <c r="D2847" s="2" t="str">
        <f aca="false">'Raw Data'!K2847</f>
        <v>Manufacturing Director</v>
      </c>
      <c r="E2847" s="2" t="n">
        <f aca="false">'Raw Data'!Q2847</f>
        <v>12</v>
      </c>
      <c r="F2847" s="2" t="n">
        <f aca="false">'Raw Data'!U2847</f>
        <v>4</v>
      </c>
      <c r="G2847" s="2" t="n">
        <f aca="false">'Raw Data'!W2847</f>
        <v>4</v>
      </c>
      <c r="H2847" s="2" t="n">
        <f aca="false">'Raw Data'!V2847</f>
        <v>3</v>
      </c>
      <c r="I2847" s="2" t="n">
        <f aca="false">IF(AND(ISNUMBER(B2847),B2847&lt;=25),2,0)+IF(AND(ISNUMBER(E2847),E2847&lt;=5),2,0)+IF(AND(ISNUMBER(F2847),F2847&lt;=1),2,0)+IF(AND(ISNUMBER(G2847),G2847&lt;=2),1,0)+IF(AND(ISNUMBER(H2847),H2847&lt;=2),1,0)</f>
        <v>0</v>
      </c>
      <c r="J2847" s="2" t="str">
        <f aca="false">IF(I2847&gt;=6,"High",IF(I2847&gt;=3,"Medium","Low"))</f>
        <v>Low</v>
      </c>
    </row>
    <row r="2848" customFormat="false" ht="15" hidden="false" customHeight="true" outlineLevel="0" collapsed="false">
      <c r="A2848" s="2" t="n">
        <f aca="false">'Raw Data'!H2848</f>
        <v>2847</v>
      </c>
      <c r="B2848" s="2" t="n">
        <f aca="false">'Raw Data'!A2848</f>
        <v>27</v>
      </c>
      <c r="C2848" s="2" t="str">
        <f aca="false">'Raw Data'!D2848</f>
        <v>Research &amp; Development</v>
      </c>
      <c r="D2848" s="2" t="str">
        <f aca="false">'Raw Data'!K2848</f>
        <v>Manufacturing Director</v>
      </c>
      <c r="E2848" s="2" t="n">
        <f aca="false">'Raw Data'!Q2848</f>
        <v>1</v>
      </c>
      <c r="F2848" s="2" t="n">
        <f aca="false">'Raw Data'!U2848</f>
        <v>1</v>
      </c>
      <c r="G2848" s="2" t="n">
        <f aca="false">'Raw Data'!W2848</f>
        <v>3</v>
      </c>
      <c r="H2848" s="2" t="n">
        <f aca="false">'Raw Data'!V2848</f>
        <v>3</v>
      </c>
      <c r="I2848" s="2" t="n">
        <f aca="false">IF(AND(ISNUMBER(B2848),B2848&lt;=25),2,0)+IF(AND(ISNUMBER(E2848),E2848&lt;=5),2,0)+IF(AND(ISNUMBER(F2848),F2848&lt;=1),2,0)+IF(AND(ISNUMBER(G2848),G2848&lt;=2),1,0)+IF(AND(ISNUMBER(H2848),H2848&lt;=2),1,0)</f>
        <v>4</v>
      </c>
      <c r="J2848" s="2" t="str">
        <f aca="false">IF(I2848&gt;=6,"High",IF(I2848&gt;=3,"Medium","Low"))</f>
        <v>Medium</v>
      </c>
    </row>
    <row r="2849" customFormat="false" ht="15" hidden="false" customHeight="true" outlineLevel="0" collapsed="false">
      <c r="A2849" s="2" t="n">
        <f aca="false">'Raw Data'!H2849</f>
        <v>2848</v>
      </c>
      <c r="B2849" s="2" t="n">
        <f aca="false">'Raw Data'!A2849</f>
        <v>50</v>
      </c>
      <c r="C2849" s="2" t="str">
        <f aca="false">'Raw Data'!D2849</f>
        <v>Research &amp; Development</v>
      </c>
      <c r="D2849" s="2" t="str">
        <f aca="false">'Raw Data'!K2849</f>
        <v>Manufacturing Director</v>
      </c>
      <c r="E2849" s="2" t="n">
        <f aca="false">'Raw Data'!Q2849</f>
        <v>21</v>
      </c>
      <c r="F2849" s="2" t="n">
        <f aca="false">'Raw Data'!U2849</f>
        <v>4</v>
      </c>
      <c r="G2849" s="2" t="n">
        <f aca="false">'Raw Data'!W2849</f>
        <v>2</v>
      </c>
      <c r="H2849" s="2" t="n">
        <f aca="false">'Raw Data'!V2849</f>
        <v>3</v>
      </c>
      <c r="I2849" s="2" t="n">
        <f aca="false">IF(AND(ISNUMBER(B2849),B2849&lt;=25),2,0)+IF(AND(ISNUMBER(E2849),E2849&lt;=5),2,0)+IF(AND(ISNUMBER(F2849),F2849&lt;=1),2,0)+IF(AND(ISNUMBER(G2849),G2849&lt;=2),1,0)+IF(AND(ISNUMBER(H2849),H2849&lt;=2),1,0)</f>
        <v>1</v>
      </c>
      <c r="J2849" s="2" t="str">
        <f aca="false">IF(I2849&gt;=6,"High",IF(I2849&gt;=3,"Medium","Low"))</f>
        <v>Low</v>
      </c>
    </row>
    <row r="2850" customFormat="false" ht="15" hidden="false" customHeight="true" outlineLevel="0" collapsed="false">
      <c r="A2850" s="2" t="n">
        <f aca="false">'Raw Data'!H2850</f>
        <v>2849</v>
      </c>
      <c r="B2850" s="2" t="n">
        <f aca="false">'Raw Data'!A2850</f>
        <v>41</v>
      </c>
      <c r="C2850" s="2" t="str">
        <f aca="false">'Raw Data'!D2850</f>
        <v>Sales</v>
      </c>
      <c r="D2850" s="2" t="str">
        <f aca="false">'Raw Data'!K2850</f>
        <v>Laboratory Technician</v>
      </c>
      <c r="E2850" s="2" t="n">
        <f aca="false">'Raw Data'!Q2850</f>
        <v>13</v>
      </c>
      <c r="F2850" s="2" t="n">
        <f aca="false">'Raw Data'!U2850</f>
        <v>8</v>
      </c>
      <c r="G2850" s="2" t="n">
        <f aca="false">'Raw Data'!W2850</f>
        <v>3</v>
      </c>
      <c r="H2850" s="2" t="n">
        <f aca="false">'Raw Data'!V2850</f>
        <v>1</v>
      </c>
      <c r="I2850" s="2" t="n">
        <f aca="false">IF(AND(ISNUMBER(B2850),B2850&lt;=25),2,0)+IF(AND(ISNUMBER(E2850),E2850&lt;=5),2,0)+IF(AND(ISNUMBER(F2850),F2850&lt;=1),2,0)+IF(AND(ISNUMBER(G2850),G2850&lt;=2),1,0)+IF(AND(ISNUMBER(H2850),H2850&lt;=2),1,0)</f>
        <v>1</v>
      </c>
      <c r="J2850" s="2" t="str">
        <f aca="false">IF(I2850&gt;=6,"High",IF(I2850&gt;=3,"Medium","Low"))</f>
        <v>Low</v>
      </c>
    </row>
    <row r="2851" customFormat="false" ht="15" hidden="false" customHeight="true" outlineLevel="0" collapsed="false">
      <c r="A2851" s="2" t="n">
        <f aca="false">'Raw Data'!H2851</f>
        <v>2850</v>
      </c>
      <c r="B2851" s="2" t="n">
        <f aca="false">'Raw Data'!A2851</f>
        <v>30</v>
      </c>
      <c r="C2851" s="2" t="str">
        <f aca="false">'Raw Data'!D2851</f>
        <v>Human Resources</v>
      </c>
      <c r="D2851" s="2" t="str">
        <f aca="false">'Raw Data'!K2851</f>
        <v>Manager</v>
      </c>
      <c r="E2851" s="2" t="n">
        <f aca="false">'Raw Data'!Q2851</f>
        <v>12</v>
      </c>
      <c r="F2851" s="2" t="n">
        <f aca="false">'Raw Data'!U2851</f>
        <v>4</v>
      </c>
      <c r="G2851" s="2" t="n">
        <f aca="false">'Raw Data'!W2851</f>
        <v>4</v>
      </c>
      <c r="H2851" s="2" t="n">
        <f aca="false">'Raw Data'!V2851</f>
        <v>2</v>
      </c>
      <c r="I2851" s="2" t="n">
        <f aca="false">IF(AND(ISNUMBER(B2851),B2851&lt;=25),2,0)+IF(AND(ISNUMBER(E2851),E2851&lt;=5),2,0)+IF(AND(ISNUMBER(F2851),F2851&lt;=1),2,0)+IF(AND(ISNUMBER(G2851),G2851&lt;=2),1,0)+IF(AND(ISNUMBER(H2851),H2851&lt;=2),1,0)</f>
        <v>1</v>
      </c>
      <c r="J2851" s="2" t="str">
        <f aca="false">IF(I2851&gt;=6,"High",IF(I2851&gt;=3,"Medium","Low"))</f>
        <v>Low</v>
      </c>
    </row>
    <row r="2852" customFormat="false" ht="15" hidden="false" customHeight="true" outlineLevel="0" collapsed="false">
      <c r="A2852" s="2" t="n">
        <f aca="false">'Raw Data'!H2852</f>
        <v>2851</v>
      </c>
      <c r="B2852" s="2" t="n">
        <f aca="false">'Raw Data'!A2852</f>
        <v>38</v>
      </c>
      <c r="C2852" s="2" t="str">
        <f aca="false">'Raw Data'!D2852</f>
        <v>Sales</v>
      </c>
      <c r="D2852" s="2" t="str">
        <f aca="false">'Raw Data'!K2852</f>
        <v>Laboratory Technician</v>
      </c>
      <c r="E2852" s="2" t="n">
        <f aca="false">'Raw Data'!Q2852</f>
        <v>12</v>
      </c>
      <c r="F2852" s="2" t="n">
        <f aca="false">'Raw Data'!U2852</f>
        <v>7</v>
      </c>
      <c r="G2852" s="2" t="n">
        <f aca="false">'Raw Data'!W2852</f>
        <v>4</v>
      </c>
      <c r="H2852" s="2" t="n">
        <f aca="false">'Raw Data'!V2852</f>
        <v>1</v>
      </c>
      <c r="I2852" s="2" t="n">
        <f aca="false">IF(AND(ISNUMBER(B2852),B2852&lt;=25),2,0)+IF(AND(ISNUMBER(E2852),E2852&lt;=5),2,0)+IF(AND(ISNUMBER(F2852),F2852&lt;=1),2,0)+IF(AND(ISNUMBER(G2852),G2852&lt;=2),1,0)+IF(AND(ISNUMBER(H2852),H2852&lt;=2),1,0)</f>
        <v>1</v>
      </c>
      <c r="J2852" s="2" t="str">
        <f aca="false">IF(I2852&gt;=6,"High",IF(I2852&gt;=3,"Medium","Low"))</f>
        <v>Low</v>
      </c>
    </row>
    <row r="2853" customFormat="false" ht="15" hidden="false" customHeight="true" outlineLevel="0" collapsed="false">
      <c r="A2853" s="2" t="n">
        <f aca="false">'Raw Data'!H2853</f>
        <v>2852</v>
      </c>
      <c r="B2853" s="2" t="n">
        <f aca="false">'Raw Data'!A2853</f>
        <v>32</v>
      </c>
      <c r="C2853" s="2" t="str">
        <f aca="false">'Raw Data'!D2853</f>
        <v>Research &amp; Development</v>
      </c>
      <c r="D2853" s="2" t="str">
        <f aca="false">'Raw Data'!K2853</f>
        <v>Manufacturing Director</v>
      </c>
      <c r="E2853" s="2" t="n">
        <f aca="false">'Raw Data'!Q2853</f>
        <v>8</v>
      </c>
      <c r="F2853" s="2" t="n">
        <f aca="false">'Raw Data'!U2853</f>
        <v>4</v>
      </c>
      <c r="G2853" s="2" t="n">
        <f aca="false">'Raw Data'!W2853</f>
        <v>3</v>
      </c>
      <c r="H2853" s="2" t="n">
        <f aca="false">'Raw Data'!V2853</f>
        <v>3</v>
      </c>
      <c r="I2853" s="2" t="n">
        <f aca="false">IF(AND(ISNUMBER(B2853),B2853&lt;=25),2,0)+IF(AND(ISNUMBER(E2853),E2853&lt;=5),2,0)+IF(AND(ISNUMBER(F2853),F2853&lt;=1),2,0)+IF(AND(ISNUMBER(G2853),G2853&lt;=2),1,0)+IF(AND(ISNUMBER(H2853),H2853&lt;=2),1,0)</f>
        <v>0</v>
      </c>
      <c r="J2853" s="2" t="str">
        <f aca="false">IF(I2853&gt;=6,"High",IF(I2853&gt;=3,"Medium","Low"))</f>
        <v>Low</v>
      </c>
    </row>
    <row r="2854" customFormat="false" ht="15" hidden="false" customHeight="true" outlineLevel="0" collapsed="false">
      <c r="A2854" s="2" t="n">
        <f aca="false">'Raw Data'!H2854</f>
        <v>2853</v>
      </c>
      <c r="B2854" s="2" t="n">
        <f aca="false">'Raw Data'!A2854</f>
        <v>27</v>
      </c>
      <c r="C2854" s="2" t="str">
        <f aca="false">'Raw Data'!D2854</f>
        <v>Research &amp; Development</v>
      </c>
      <c r="D2854" s="2" t="str">
        <f aca="false">'Raw Data'!K2854</f>
        <v>Healthcare Representative</v>
      </c>
      <c r="E2854" s="2" t="n">
        <f aca="false">'Raw Data'!Q2854</f>
        <v>6</v>
      </c>
      <c r="F2854" s="2" t="n">
        <f aca="false">'Raw Data'!U2854</f>
        <v>1</v>
      </c>
      <c r="G2854" s="2" t="n">
        <f aca="false">'Raw Data'!W2854</f>
        <v>2</v>
      </c>
      <c r="H2854" s="2" t="n">
        <f aca="false">'Raw Data'!V2854</f>
        <v>3</v>
      </c>
      <c r="I2854" s="2" t="n">
        <f aca="false">IF(AND(ISNUMBER(B2854),B2854&lt;=25),2,0)+IF(AND(ISNUMBER(E2854),E2854&lt;=5),2,0)+IF(AND(ISNUMBER(F2854),F2854&lt;=1),2,0)+IF(AND(ISNUMBER(G2854),G2854&lt;=2),1,0)+IF(AND(ISNUMBER(H2854),H2854&lt;=2),1,0)</f>
        <v>3</v>
      </c>
      <c r="J2854" s="2" t="str">
        <f aca="false">IF(I2854&gt;=6,"High",IF(I2854&gt;=3,"Medium","Low"))</f>
        <v>Medium</v>
      </c>
    </row>
    <row r="2855" customFormat="false" ht="15" hidden="false" customHeight="true" outlineLevel="0" collapsed="false">
      <c r="A2855" s="2" t="n">
        <f aca="false">'Raw Data'!H2855</f>
        <v>2854</v>
      </c>
      <c r="B2855" s="2" t="n">
        <f aca="false">'Raw Data'!A2855</f>
        <v>19</v>
      </c>
      <c r="C2855" s="2" t="str">
        <f aca="false">'Raw Data'!D2855</f>
        <v>Research &amp; Development</v>
      </c>
      <c r="D2855" s="2" t="str">
        <f aca="false">'Raw Data'!K2855</f>
        <v>Healthcare Representative</v>
      </c>
      <c r="E2855" s="2" t="n">
        <f aca="false">'Raw Data'!Q2855</f>
        <v>1</v>
      </c>
      <c r="F2855" s="2" t="n">
        <f aca="false">'Raw Data'!U2855</f>
        <v>0</v>
      </c>
      <c r="G2855" s="2" t="n">
        <f aca="false">'Raw Data'!W2855</f>
        <v>1</v>
      </c>
      <c r="H2855" s="2" t="n">
        <f aca="false">'Raw Data'!V2855</f>
        <v>3</v>
      </c>
      <c r="I2855" s="2" t="n">
        <f aca="false">IF(AND(ISNUMBER(B2855),B2855&lt;=25),2,0)+IF(AND(ISNUMBER(E2855),E2855&lt;=5),2,0)+IF(AND(ISNUMBER(F2855),F2855&lt;=1),2,0)+IF(AND(ISNUMBER(G2855),G2855&lt;=2),1,0)+IF(AND(ISNUMBER(H2855),H2855&lt;=2),1,0)</f>
        <v>7</v>
      </c>
      <c r="J2855" s="2" t="str">
        <f aca="false">IF(I2855&gt;=6,"High",IF(I2855&gt;=3,"Medium","Low"))</f>
        <v>High</v>
      </c>
    </row>
    <row r="2856" customFormat="false" ht="15" hidden="false" customHeight="true" outlineLevel="0" collapsed="false">
      <c r="A2856" s="2" t="n">
        <f aca="false">'Raw Data'!H2856</f>
        <v>2855</v>
      </c>
      <c r="B2856" s="2" t="n">
        <f aca="false">'Raw Data'!A2856</f>
        <v>36</v>
      </c>
      <c r="C2856" s="2" t="str">
        <f aca="false">'Raw Data'!D2856</f>
        <v>Sales</v>
      </c>
      <c r="D2856" s="2" t="str">
        <f aca="false">'Raw Data'!K2856</f>
        <v>Research Director</v>
      </c>
      <c r="E2856" s="2" t="n">
        <f aca="false">'Raw Data'!Q2856</f>
        <v>13</v>
      </c>
      <c r="F2856" s="2" t="n">
        <f aca="false">'Raw Data'!U2856</f>
        <v>2</v>
      </c>
      <c r="G2856" s="2" t="n">
        <f aca="false">'Raw Data'!W2856</f>
        <v>2</v>
      </c>
      <c r="H2856" s="2" t="n">
        <f aca="false">'Raw Data'!V2856</f>
        <v>4</v>
      </c>
      <c r="I2856" s="2" t="n">
        <f aca="false">IF(AND(ISNUMBER(B2856),B2856&lt;=25),2,0)+IF(AND(ISNUMBER(E2856),E2856&lt;=5),2,0)+IF(AND(ISNUMBER(F2856),F2856&lt;=1),2,0)+IF(AND(ISNUMBER(G2856),G2856&lt;=2),1,0)+IF(AND(ISNUMBER(H2856),H2856&lt;=2),1,0)</f>
        <v>1</v>
      </c>
      <c r="J2856" s="2" t="str">
        <f aca="false">IF(I2856&gt;=6,"High",IF(I2856&gt;=3,"Medium","Low"))</f>
        <v>Low</v>
      </c>
    </row>
    <row r="2857" customFormat="false" ht="15" hidden="false" customHeight="true" outlineLevel="0" collapsed="false">
      <c r="A2857" s="2" t="n">
        <f aca="false">'Raw Data'!H2857</f>
        <v>2856</v>
      </c>
      <c r="B2857" s="2" t="n">
        <f aca="false">'Raw Data'!A2857</f>
        <v>30</v>
      </c>
      <c r="C2857" s="2" t="str">
        <f aca="false">'Raw Data'!D2857</f>
        <v>Sales</v>
      </c>
      <c r="D2857" s="2" t="str">
        <f aca="false">'Raw Data'!K2857</f>
        <v>Sales Executive</v>
      </c>
      <c r="E2857" s="2" t="n">
        <f aca="false">'Raw Data'!Q2857</f>
        <v>12</v>
      </c>
      <c r="F2857" s="2" t="n">
        <f aca="false">'Raw Data'!U2857</f>
        <v>10</v>
      </c>
      <c r="G2857" s="2" t="n">
        <f aca="false">'Raw Data'!W2857</f>
        <v>1</v>
      </c>
      <c r="H2857" s="2" t="n">
        <f aca="false">'Raw Data'!V2857</f>
        <v>3</v>
      </c>
      <c r="I2857" s="2" t="n">
        <f aca="false">IF(AND(ISNUMBER(B2857),B2857&lt;=25),2,0)+IF(AND(ISNUMBER(E2857),E2857&lt;=5),2,0)+IF(AND(ISNUMBER(F2857),F2857&lt;=1),2,0)+IF(AND(ISNUMBER(G2857),G2857&lt;=2),1,0)+IF(AND(ISNUMBER(H2857),H2857&lt;=2),1,0)</f>
        <v>1</v>
      </c>
      <c r="J2857" s="2" t="str">
        <f aca="false">IF(I2857&gt;=6,"High",IF(I2857&gt;=3,"Medium","Low"))</f>
        <v>Low</v>
      </c>
    </row>
    <row r="2858" customFormat="false" ht="15" hidden="false" customHeight="true" outlineLevel="0" collapsed="false">
      <c r="A2858" s="2" t="n">
        <f aca="false">'Raw Data'!H2858</f>
        <v>2857</v>
      </c>
      <c r="B2858" s="2" t="n">
        <f aca="false">'Raw Data'!A2858</f>
        <v>45</v>
      </c>
      <c r="C2858" s="2" t="str">
        <f aca="false">'Raw Data'!D2858</f>
        <v>Research &amp; Development</v>
      </c>
      <c r="D2858" s="2" t="str">
        <f aca="false">'Raw Data'!K2858</f>
        <v>Sales Executive</v>
      </c>
      <c r="E2858" s="2" t="n">
        <f aca="false">'Raw Data'!Q2858</f>
        <v>9</v>
      </c>
      <c r="F2858" s="2" t="n">
        <f aca="false">'Raw Data'!U2858</f>
        <v>3</v>
      </c>
      <c r="G2858" s="2" t="n">
        <f aca="false">'Raw Data'!W2858</f>
        <v>1</v>
      </c>
      <c r="H2858" s="2" t="n">
        <f aca="false">'Raw Data'!V2858</f>
        <v>3</v>
      </c>
      <c r="I2858" s="2" t="n">
        <f aca="false">IF(AND(ISNUMBER(B2858),B2858&lt;=25),2,0)+IF(AND(ISNUMBER(E2858),E2858&lt;=5),2,0)+IF(AND(ISNUMBER(F2858),F2858&lt;=1),2,0)+IF(AND(ISNUMBER(G2858),G2858&lt;=2),1,0)+IF(AND(ISNUMBER(H2858),H2858&lt;=2),1,0)</f>
        <v>1</v>
      </c>
      <c r="J2858" s="2" t="str">
        <f aca="false">IF(I2858&gt;=6,"High",IF(I2858&gt;=3,"Medium","Low"))</f>
        <v>Low</v>
      </c>
    </row>
    <row r="2859" customFormat="false" ht="15" hidden="false" customHeight="true" outlineLevel="0" collapsed="false">
      <c r="A2859" s="2" t="n">
        <f aca="false">'Raw Data'!H2859</f>
        <v>2858</v>
      </c>
      <c r="B2859" s="2" t="n">
        <f aca="false">'Raw Data'!A2859</f>
        <v>56</v>
      </c>
      <c r="C2859" s="2" t="str">
        <f aca="false">'Raw Data'!D2859</f>
        <v>Research &amp; Development</v>
      </c>
      <c r="D2859" s="2" t="str">
        <f aca="false">'Raw Data'!K2859</f>
        <v>Manager</v>
      </c>
      <c r="E2859" s="2" t="n">
        <f aca="false">'Raw Data'!Q2859</f>
        <v>19</v>
      </c>
      <c r="F2859" s="2" t="n">
        <f aca="false">'Raw Data'!U2859</f>
        <v>2</v>
      </c>
      <c r="G2859" s="2" t="n">
        <f aca="false">'Raw Data'!W2859</f>
        <v>1</v>
      </c>
      <c r="H2859" s="2" t="n">
        <f aca="false">'Raw Data'!V2859</f>
        <v>3</v>
      </c>
      <c r="I2859" s="2" t="n">
        <f aca="false">IF(AND(ISNUMBER(B2859),B2859&lt;=25),2,0)+IF(AND(ISNUMBER(E2859),E2859&lt;=5),2,0)+IF(AND(ISNUMBER(F2859),F2859&lt;=1),2,0)+IF(AND(ISNUMBER(G2859),G2859&lt;=2),1,0)+IF(AND(ISNUMBER(H2859),H2859&lt;=2),1,0)</f>
        <v>1</v>
      </c>
      <c r="J2859" s="2" t="str">
        <f aca="false">IF(I2859&gt;=6,"High",IF(I2859&gt;=3,"Medium","Low"))</f>
        <v>Low</v>
      </c>
    </row>
    <row r="2860" customFormat="false" ht="15" hidden="false" customHeight="true" outlineLevel="0" collapsed="false">
      <c r="A2860" s="2" t="n">
        <f aca="false">'Raw Data'!H2860</f>
        <v>2859</v>
      </c>
      <c r="B2860" s="2" t="n">
        <f aca="false">'Raw Data'!A2860</f>
        <v>33</v>
      </c>
      <c r="C2860" s="2" t="str">
        <f aca="false">'Raw Data'!D2860</f>
        <v>Research &amp; Development</v>
      </c>
      <c r="D2860" s="2" t="str">
        <f aca="false">'Raw Data'!K2860</f>
        <v>Sales Executive</v>
      </c>
      <c r="E2860" s="2" t="n">
        <f aca="false">'Raw Data'!Q2860</f>
        <v>4</v>
      </c>
      <c r="F2860" s="2" t="n">
        <f aca="false">'Raw Data'!U2860</f>
        <v>2</v>
      </c>
      <c r="G2860" s="2" t="n">
        <f aca="false">'Raw Data'!W2860</f>
        <v>4</v>
      </c>
      <c r="H2860" s="2" t="n">
        <f aca="false">'Raw Data'!V2860</f>
        <v>3</v>
      </c>
      <c r="I2860" s="2" t="n">
        <f aca="false">IF(AND(ISNUMBER(B2860),B2860&lt;=25),2,0)+IF(AND(ISNUMBER(E2860),E2860&lt;=5),2,0)+IF(AND(ISNUMBER(F2860),F2860&lt;=1),2,0)+IF(AND(ISNUMBER(G2860),G2860&lt;=2),1,0)+IF(AND(ISNUMBER(H2860),H2860&lt;=2),1,0)</f>
        <v>2</v>
      </c>
      <c r="J2860" s="2" t="str">
        <f aca="false">IF(I2860&gt;=6,"High",IF(I2860&gt;=3,"Medium","Low"))</f>
        <v>Low</v>
      </c>
    </row>
    <row r="2861" customFormat="false" ht="15" hidden="false" customHeight="true" outlineLevel="0" collapsed="false">
      <c r="A2861" s="2" t="n">
        <f aca="false">'Raw Data'!H2861</f>
        <v>2860</v>
      </c>
      <c r="B2861" s="2" t="n">
        <f aca="false">'Raw Data'!A2861</f>
        <v>19</v>
      </c>
      <c r="C2861" s="2" t="str">
        <f aca="false">'Raw Data'!D2861</f>
        <v>Research &amp; Development</v>
      </c>
      <c r="D2861" s="2" t="str">
        <f aca="false">'Raw Data'!K2861</f>
        <v>Sales Executive</v>
      </c>
      <c r="E2861" s="2" t="n">
        <f aca="false">'Raw Data'!Q2861</f>
        <v>1</v>
      </c>
      <c r="F2861" s="2" t="n">
        <f aca="false">'Raw Data'!U2861</f>
        <v>0</v>
      </c>
      <c r="G2861" s="2" t="n">
        <f aca="false">'Raw Data'!W2861</f>
        <v>4</v>
      </c>
      <c r="H2861" s="2" t="n">
        <f aca="false">'Raw Data'!V2861</f>
        <v>2</v>
      </c>
      <c r="I2861" s="2" t="n">
        <f aca="false">IF(AND(ISNUMBER(B2861),B2861&lt;=25),2,0)+IF(AND(ISNUMBER(E2861),E2861&lt;=5),2,0)+IF(AND(ISNUMBER(F2861),F2861&lt;=1),2,0)+IF(AND(ISNUMBER(G2861),G2861&lt;=2),1,0)+IF(AND(ISNUMBER(H2861),H2861&lt;=2),1,0)</f>
        <v>7</v>
      </c>
      <c r="J2861" s="2" t="str">
        <f aca="false">IF(I2861&gt;=6,"High",IF(I2861&gt;=3,"Medium","Low"))</f>
        <v>High</v>
      </c>
    </row>
    <row r="2862" customFormat="false" ht="15" hidden="false" customHeight="true" outlineLevel="0" collapsed="false">
      <c r="A2862" s="2" t="n">
        <f aca="false">'Raw Data'!H2862</f>
        <v>2861</v>
      </c>
      <c r="B2862" s="2" t="n">
        <f aca="false">'Raw Data'!A2862</f>
        <v>46</v>
      </c>
      <c r="C2862" s="2" t="str">
        <f aca="false">'Raw Data'!D2862</f>
        <v>Research &amp; Development</v>
      </c>
      <c r="D2862" s="2" t="str">
        <f aca="false">'Raw Data'!K2862</f>
        <v>Laboratory Technician</v>
      </c>
      <c r="E2862" s="2" t="n">
        <f aca="false">'Raw Data'!Q2862</f>
        <v>24</v>
      </c>
      <c r="F2862" s="2" t="n">
        <f aca="false">'Raw Data'!U2862</f>
        <v>7</v>
      </c>
      <c r="G2862" s="2" t="n">
        <f aca="false">'Raw Data'!W2862</f>
        <v>1</v>
      </c>
      <c r="H2862" s="2" t="n">
        <f aca="false">'Raw Data'!V2862</f>
        <v>2</v>
      </c>
      <c r="I2862" s="2" t="n">
        <f aca="false">IF(AND(ISNUMBER(B2862),B2862&lt;=25),2,0)+IF(AND(ISNUMBER(E2862),E2862&lt;=5),2,0)+IF(AND(ISNUMBER(F2862),F2862&lt;=1),2,0)+IF(AND(ISNUMBER(G2862),G2862&lt;=2),1,0)+IF(AND(ISNUMBER(H2862),H2862&lt;=2),1,0)</f>
        <v>2</v>
      </c>
      <c r="J2862" s="2" t="str">
        <f aca="false">IF(I2862&gt;=6,"High",IF(I2862&gt;=3,"Medium","Low"))</f>
        <v>Low</v>
      </c>
    </row>
    <row r="2863" customFormat="false" ht="15" hidden="false" customHeight="true" outlineLevel="0" collapsed="false">
      <c r="A2863" s="2" t="n">
        <f aca="false">'Raw Data'!H2863</f>
        <v>2862</v>
      </c>
      <c r="B2863" s="2" t="n">
        <f aca="false">'Raw Data'!A2863</f>
        <v>38</v>
      </c>
      <c r="C2863" s="2" t="str">
        <f aca="false">'Raw Data'!D2863</f>
        <v>Sales</v>
      </c>
      <c r="D2863" s="2" t="str">
        <f aca="false">'Raw Data'!K2863</f>
        <v>Manufacturing Director</v>
      </c>
      <c r="E2863" s="2" t="n">
        <f aca="false">'Raw Data'!Q2863</f>
        <v>2</v>
      </c>
      <c r="F2863" s="2" t="n">
        <f aca="false">'Raw Data'!U2863</f>
        <v>1</v>
      </c>
      <c r="G2863" s="2" t="n">
        <f aca="false">'Raw Data'!W2863</f>
        <v>4</v>
      </c>
      <c r="H2863" s="2" t="n">
        <f aca="false">'Raw Data'!V2863</f>
        <v>3</v>
      </c>
      <c r="I2863" s="2" t="n">
        <f aca="false">IF(AND(ISNUMBER(B2863),B2863&lt;=25),2,0)+IF(AND(ISNUMBER(E2863),E2863&lt;=5),2,0)+IF(AND(ISNUMBER(F2863),F2863&lt;=1),2,0)+IF(AND(ISNUMBER(G2863),G2863&lt;=2),1,0)+IF(AND(ISNUMBER(H2863),H2863&lt;=2),1,0)</f>
        <v>4</v>
      </c>
      <c r="J2863" s="2" t="str">
        <f aca="false">IF(I2863&gt;=6,"High",IF(I2863&gt;=3,"Medium","Low"))</f>
        <v>Medium</v>
      </c>
    </row>
    <row r="2864" customFormat="false" ht="15" hidden="false" customHeight="true" outlineLevel="0" collapsed="false">
      <c r="A2864" s="2" t="n">
        <f aca="false">'Raw Data'!H2864</f>
        <v>2863</v>
      </c>
      <c r="B2864" s="2" t="n">
        <f aca="false">'Raw Data'!A2864</f>
        <v>31</v>
      </c>
      <c r="C2864" s="2" t="str">
        <f aca="false">'Raw Data'!D2864</f>
        <v>Sales</v>
      </c>
      <c r="D2864" s="2" t="str">
        <f aca="false">'Raw Data'!K2864</f>
        <v>Sales Representative</v>
      </c>
      <c r="E2864" s="2" t="n">
        <f aca="false">'Raw Data'!Q2864</f>
        <v>7</v>
      </c>
      <c r="F2864" s="2" t="n">
        <f aca="false">'Raw Data'!U2864</f>
        <v>2</v>
      </c>
      <c r="G2864" s="2" t="n">
        <f aca="false">'Raw Data'!W2864</f>
        <v>4</v>
      </c>
      <c r="H2864" s="2" t="n">
        <f aca="false">'Raw Data'!V2864</f>
        <v>3</v>
      </c>
      <c r="I2864" s="2" t="n">
        <f aca="false">IF(AND(ISNUMBER(B2864),B2864&lt;=25),2,0)+IF(AND(ISNUMBER(E2864),E2864&lt;=5),2,0)+IF(AND(ISNUMBER(F2864),F2864&lt;=1),2,0)+IF(AND(ISNUMBER(G2864),G2864&lt;=2),1,0)+IF(AND(ISNUMBER(H2864),H2864&lt;=2),1,0)</f>
        <v>0</v>
      </c>
      <c r="J2864" s="2" t="str">
        <f aca="false">IF(I2864&gt;=6,"High",IF(I2864&gt;=3,"Medium","Low"))</f>
        <v>Low</v>
      </c>
    </row>
    <row r="2865" customFormat="false" ht="15" hidden="false" customHeight="true" outlineLevel="0" collapsed="false">
      <c r="A2865" s="2" t="n">
        <f aca="false">'Raw Data'!H2865</f>
        <v>2864</v>
      </c>
      <c r="B2865" s="2" t="n">
        <f aca="false">'Raw Data'!A2865</f>
        <v>34</v>
      </c>
      <c r="C2865" s="2" t="str">
        <f aca="false">'Raw Data'!D2865</f>
        <v>Sales</v>
      </c>
      <c r="D2865" s="2" t="str">
        <f aca="false">'Raw Data'!K2865</f>
        <v>Manager</v>
      </c>
      <c r="E2865" s="2" t="n">
        <f aca="false">'Raw Data'!Q2865</f>
        <v>9</v>
      </c>
      <c r="F2865" s="2" t="n">
        <f aca="false">'Raw Data'!U2865</f>
        <v>2</v>
      </c>
      <c r="G2865" s="2" t="n">
        <f aca="false">'Raw Data'!W2865</f>
        <v>2</v>
      </c>
      <c r="H2865" s="2" t="n">
        <f aca="false">'Raw Data'!V2865</f>
        <v>4</v>
      </c>
      <c r="I2865" s="2" t="n">
        <f aca="false">IF(AND(ISNUMBER(B2865),B2865&lt;=25),2,0)+IF(AND(ISNUMBER(E2865),E2865&lt;=5),2,0)+IF(AND(ISNUMBER(F2865),F2865&lt;=1),2,0)+IF(AND(ISNUMBER(G2865),G2865&lt;=2),1,0)+IF(AND(ISNUMBER(H2865),H2865&lt;=2),1,0)</f>
        <v>1</v>
      </c>
      <c r="J2865" s="2" t="str">
        <f aca="false">IF(I2865&gt;=6,"High",IF(I2865&gt;=3,"Medium","Low"))</f>
        <v>Low</v>
      </c>
    </row>
    <row r="2866" customFormat="false" ht="15" hidden="false" customHeight="true" outlineLevel="0" collapsed="false">
      <c r="A2866" s="2" t="n">
        <f aca="false">'Raw Data'!H2866</f>
        <v>2865</v>
      </c>
      <c r="B2866" s="2" t="n">
        <f aca="false">'Raw Data'!A2866</f>
        <v>41</v>
      </c>
      <c r="C2866" s="2" t="str">
        <f aca="false">'Raw Data'!D2866</f>
        <v>Research &amp; Development</v>
      </c>
      <c r="D2866" s="2" t="str">
        <f aca="false">'Raw Data'!K2866</f>
        <v>Laboratory Technician</v>
      </c>
      <c r="E2866" s="2" t="n">
        <f aca="false">'Raw Data'!Q2866</f>
        <v>4</v>
      </c>
      <c r="F2866" s="2" t="n">
        <f aca="false">'Raw Data'!U2866</f>
        <v>2</v>
      </c>
      <c r="G2866" s="2" t="n">
        <f aca="false">'Raw Data'!W2866</f>
        <v>2</v>
      </c>
      <c r="H2866" s="2" t="n">
        <f aca="false">'Raw Data'!V2866</f>
        <v>2</v>
      </c>
      <c r="I2866" s="2" t="n">
        <f aca="false">IF(AND(ISNUMBER(B2866),B2866&lt;=25),2,0)+IF(AND(ISNUMBER(E2866),E2866&lt;=5),2,0)+IF(AND(ISNUMBER(F2866),F2866&lt;=1),2,0)+IF(AND(ISNUMBER(G2866),G2866&lt;=2),1,0)+IF(AND(ISNUMBER(H2866),H2866&lt;=2),1,0)</f>
        <v>4</v>
      </c>
      <c r="J2866" s="2" t="str">
        <f aca="false">IF(I2866&gt;=6,"High",IF(I2866&gt;=3,"Medium","Low"))</f>
        <v>Medium</v>
      </c>
    </row>
    <row r="2867" customFormat="false" ht="15" hidden="false" customHeight="true" outlineLevel="0" collapsed="false">
      <c r="A2867" s="2" t="n">
        <f aca="false">'Raw Data'!H2867</f>
        <v>2866</v>
      </c>
      <c r="B2867" s="2" t="n">
        <f aca="false">'Raw Data'!A2867</f>
        <v>50</v>
      </c>
      <c r="C2867" s="2" t="str">
        <f aca="false">'Raw Data'!D2867</f>
        <v>Sales</v>
      </c>
      <c r="D2867" s="2" t="str">
        <f aca="false">'Raw Data'!K2867</f>
        <v>Sales Executive</v>
      </c>
      <c r="E2867" s="2" t="n">
        <f aca="false">'Raw Data'!Q2867</f>
        <v>5</v>
      </c>
      <c r="F2867" s="2" t="n">
        <f aca="false">'Raw Data'!U2867</f>
        <v>2</v>
      </c>
      <c r="G2867" s="2" t="n">
        <f aca="false">'Raw Data'!W2867</f>
        <v>3</v>
      </c>
      <c r="H2867" s="2" t="n">
        <f aca="false">'Raw Data'!V2867</f>
        <v>3</v>
      </c>
      <c r="I2867" s="2" t="n">
        <f aca="false">IF(AND(ISNUMBER(B2867),B2867&lt;=25),2,0)+IF(AND(ISNUMBER(E2867),E2867&lt;=5),2,0)+IF(AND(ISNUMBER(F2867),F2867&lt;=1),2,0)+IF(AND(ISNUMBER(G2867),G2867&lt;=2),1,0)+IF(AND(ISNUMBER(H2867),H2867&lt;=2),1,0)</f>
        <v>2</v>
      </c>
      <c r="J2867" s="2" t="str">
        <f aca="false">IF(I2867&gt;=6,"High",IF(I2867&gt;=3,"Medium","Low"))</f>
        <v>Low</v>
      </c>
    </row>
    <row r="2868" customFormat="false" ht="15" hidden="false" customHeight="true" outlineLevel="0" collapsed="false">
      <c r="A2868" s="2" t="n">
        <f aca="false">'Raw Data'!H2868</f>
        <v>2867</v>
      </c>
      <c r="B2868" s="2" t="n">
        <f aca="false">'Raw Data'!A2868</f>
        <v>53</v>
      </c>
      <c r="C2868" s="2" t="str">
        <f aca="false">'Raw Data'!D2868</f>
        <v>Sales</v>
      </c>
      <c r="D2868" s="2" t="str">
        <f aca="false">'Raw Data'!K2868</f>
        <v>Manager</v>
      </c>
      <c r="E2868" s="2" t="n">
        <f aca="false">'Raw Data'!Q2868</f>
        <v>5</v>
      </c>
      <c r="F2868" s="2" t="n">
        <f aca="false">'Raw Data'!U2868</f>
        <v>3</v>
      </c>
      <c r="G2868" s="2" t="n">
        <f aca="false">'Raw Data'!W2868</f>
        <v>1</v>
      </c>
      <c r="H2868" s="2" t="n">
        <f aca="false">'Raw Data'!V2868</f>
        <v>4</v>
      </c>
      <c r="I2868" s="2" t="n">
        <f aca="false">IF(AND(ISNUMBER(B2868),B2868&lt;=25),2,0)+IF(AND(ISNUMBER(E2868),E2868&lt;=5),2,0)+IF(AND(ISNUMBER(F2868),F2868&lt;=1),2,0)+IF(AND(ISNUMBER(G2868),G2868&lt;=2),1,0)+IF(AND(ISNUMBER(H2868),H2868&lt;=2),1,0)</f>
        <v>3</v>
      </c>
      <c r="J2868" s="2" t="str">
        <f aca="false">IF(I2868&gt;=6,"High",IF(I2868&gt;=3,"Medium","Low"))</f>
        <v>Medium</v>
      </c>
    </row>
    <row r="2869" customFormat="false" ht="15" hidden="false" customHeight="true" outlineLevel="0" collapsed="false">
      <c r="A2869" s="2" t="n">
        <f aca="false">'Raw Data'!H2869</f>
        <v>2868</v>
      </c>
      <c r="B2869" s="2" t="n">
        <f aca="false">'Raw Data'!A2869</f>
        <v>33</v>
      </c>
      <c r="C2869" s="2" t="str">
        <f aca="false">'Raw Data'!D2869</f>
        <v>Research &amp; Development</v>
      </c>
      <c r="D2869" s="2" t="str">
        <f aca="false">'Raw Data'!K2869</f>
        <v>Human Resources</v>
      </c>
      <c r="E2869" s="2" t="n">
        <f aca="false">'Raw Data'!Q2869</f>
        <v>8</v>
      </c>
      <c r="F2869" s="2" t="n">
        <f aca="false">'Raw Data'!U2869</f>
        <v>6</v>
      </c>
      <c r="G2869" s="2" t="n">
        <f aca="false">'Raw Data'!W2869</f>
        <v>2</v>
      </c>
      <c r="H2869" s="2" t="n">
        <f aca="false">'Raw Data'!V2869</f>
        <v>4</v>
      </c>
      <c r="I2869" s="2" t="n">
        <f aca="false">IF(AND(ISNUMBER(B2869),B2869&lt;=25),2,0)+IF(AND(ISNUMBER(E2869),E2869&lt;=5),2,0)+IF(AND(ISNUMBER(F2869),F2869&lt;=1),2,0)+IF(AND(ISNUMBER(G2869),G2869&lt;=2),1,0)+IF(AND(ISNUMBER(H2869),H2869&lt;=2),1,0)</f>
        <v>1</v>
      </c>
      <c r="J2869" s="2" t="str">
        <f aca="false">IF(I2869&gt;=6,"High",IF(I2869&gt;=3,"Medium","Low"))</f>
        <v>Low</v>
      </c>
    </row>
    <row r="2870" customFormat="false" ht="15" hidden="false" customHeight="true" outlineLevel="0" collapsed="false">
      <c r="A2870" s="2" t="n">
        <f aca="false">'Raw Data'!H2870</f>
        <v>2869</v>
      </c>
      <c r="B2870" s="2" t="n">
        <f aca="false">'Raw Data'!A2870</f>
        <v>40</v>
      </c>
      <c r="C2870" s="2" t="str">
        <f aca="false">'Raw Data'!D2870</f>
        <v>Research &amp; Development</v>
      </c>
      <c r="D2870" s="2" t="str">
        <f aca="false">'Raw Data'!K2870</f>
        <v>Sales Executive</v>
      </c>
      <c r="E2870" s="2" t="n">
        <f aca="false">'Raw Data'!Q2870</f>
        <v>21</v>
      </c>
      <c r="F2870" s="2" t="n">
        <f aca="false">'Raw Data'!U2870</f>
        <v>9</v>
      </c>
      <c r="G2870" s="2" t="n">
        <f aca="false">'Raw Data'!W2870</f>
        <v>3</v>
      </c>
      <c r="H2870" s="2" t="n">
        <f aca="false">'Raw Data'!V2870</f>
        <v>4</v>
      </c>
      <c r="I2870" s="2" t="n">
        <f aca="false">IF(AND(ISNUMBER(B2870),B2870&lt;=25),2,0)+IF(AND(ISNUMBER(E2870),E2870&lt;=5),2,0)+IF(AND(ISNUMBER(F2870),F2870&lt;=1),2,0)+IF(AND(ISNUMBER(G2870),G2870&lt;=2),1,0)+IF(AND(ISNUMBER(H2870),H2870&lt;=2),1,0)</f>
        <v>0</v>
      </c>
      <c r="J2870" s="2" t="str">
        <f aca="false">IF(I2870&gt;=6,"High",IF(I2870&gt;=3,"Medium","Low"))</f>
        <v>Low</v>
      </c>
    </row>
    <row r="2871" customFormat="false" ht="15" hidden="false" customHeight="true" outlineLevel="0" collapsed="false">
      <c r="A2871" s="2" t="n">
        <f aca="false">'Raw Data'!H2871</f>
        <v>2870</v>
      </c>
      <c r="B2871" s="2" t="n">
        <f aca="false">'Raw Data'!A2871</f>
        <v>55</v>
      </c>
      <c r="C2871" s="2" t="str">
        <f aca="false">'Raw Data'!D2871</f>
        <v>Research &amp; Development</v>
      </c>
      <c r="D2871" s="2" t="str">
        <f aca="false">'Raw Data'!K2871</f>
        <v>Laboratory Technician</v>
      </c>
      <c r="E2871" s="2" t="n">
        <f aca="false">'Raw Data'!Q2871</f>
        <v>36</v>
      </c>
      <c r="F2871" s="2" t="n">
        <f aca="false">'Raw Data'!U2871</f>
        <v>15</v>
      </c>
      <c r="G2871" s="2" t="n">
        <f aca="false">'Raw Data'!W2871</f>
        <v>2</v>
      </c>
      <c r="H2871" s="2" t="n">
        <f aca="false">'Raw Data'!V2871</f>
        <v>3</v>
      </c>
      <c r="I2871" s="2" t="n">
        <f aca="false">IF(AND(ISNUMBER(B2871),B2871&lt;=25),2,0)+IF(AND(ISNUMBER(E2871),E2871&lt;=5),2,0)+IF(AND(ISNUMBER(F2871),F2871&lt;=1),2,0)+IF(AND(ISNUMBER(G2871),G2871&lt;=2),1,0)+IF(AND(ISNUMBER(H2871),H2871&lt;=2),1,0)</f>
        <v>1</v>
      </c>
      <c r="J2871" s="2" t="str">
        <f aca="false">IF(I2871&gt;=6,"High",IF(I2871&gt;=3,"Medium","Low"))</f>
        <v>Low</v>
      </c>
    </row>
    <row r="2872" customFormat="false" ht="15" hidden="false" customHeight="true" outlineLevel="0" collapsed="false">
      <c r="A2872" s="2" t="n">
        <f aca="false">'Raw Data'!H2872</f>
        <v>2871</v>
      </c>
      <c r="B2872" s="2" t="n">
        <f aca="false">'Raw Data'!A2872</f>
        <v>34</v>
      </c>
      <c r="C2872" s="2" t="str">
        <f aca="false">'Raw Data'!D2872</f>
        <v>Human Resources</v>
      </c>
      <c r="D2872" s="2" t="str">
        <f aca="false">'Raw Data'!K2872</f>
        <v>Research Scientist</v>
      </c>
      <c r="E2872" s="2" t="n">
        <f aca="false">'Raw Data'!Q2872</f>
        <v>10</v>
      </c>
      <c r="F2872" s="2" t="n">
        <f aca="false">'Raw Data'!U2872</f>
        <v>9</v>
      </c>
      <c r="G2872" s="2" t="n">
        <f aca="false">'Raw Data'!W2872</f>
        <v>3</v>
      </c>
      <c r="H2872" s="2" t="n">
        <f aca="false">'Raw Data'!V2872</f>
        <v>4</v>
      </c>
      <c r="I2872" s="2" t="n">
        <f aca="false">IF(AND(ISNUMBER(B2872),B2872&lt;=25),2,0)+IF(AND(ISNUMBER(E2872),E2872&lt;=5),2,0)+IF(AND(ISNUMBER(F2872),F2872&lt;=1),2,0)+IF(AND(ISNUMBER(G2872),G2872&lt;=2),1,0)+IF(AND(ISNUMBER(H2872),H2872&lt;=2),1,0)</f>
        <v>0</v>
      </c>
      <c r="J2872" s="2" t="str">
        <f aca="false">IF(I2872&gt;=6,"High",IF(I2872&gt;=3,"Medium","Low"))</f>
        <v>Low</v>
      </c>
    </row>
    <row r="2873" customFormat="false" ht="15" hidden="false" customHeight="true" outlineLevel="0" collapsed="false">
      <c r="A2873" s="2" t="n">
        <f aca="false">'Raw Data'!H2873</f>
        <v>2872</v>
      </c>
      <c r="B2873" s="2" t="n">
        <f aca="false">'Raw Data'!A2873</f>
        <v>51</v>
      </c>
      <c r="C2873" s="2" t="str">
        <f aca="false">'Raw Data'!D2873</f>
        <v>Human Resources</v>
      </c>
      <c r="D2873" s="2" t="str">
        <f aca="false">'Raw Data'!K2873</f>
        <v>Sales Representative</v>
      </c>
      <c r="E2873" s="2" t="n">
        <f aca="false">'Raw Data'!Q2873</f>
        <v>21</v>
      </c>
      <c r="F2873" s="2" t="n">
        <f aca="false">'Raw Data'!U2873</f>
        <v>0</v>
      </c>
      <c r="G2873" s="2" t="n">
        <f aca="false">'Raw Data'!W2873</f>
        <v>2</v>
      </c>
      <c r="H2873" s="2" t="n">
        <f aca="false">'Raw Data'!V2873</f>
        <v>4</v>
      </c>
      <c r="I2873" s="2" t="n">
        <f aca="false">IF(AND(ISNUMBER(B2873),B2873&lt;=25),2,0)+IF(AND(ISNUMBER(E2873),E2873&lt;=5),2,0)+IF(AND(ISNUMBER(F2873),F2873&lt;=1),2,0)+IF(AND(ISNUMBER(G2873),G2873&lt;=2),1,0)+IF(AND(ISNUMBER(H2873),H2873&lt;=2),1,0)</f>
        <v>3</v>
      </c>
      <c r="J2873" s="2" t="str">
        <f aca="false">IF(I2873&gt;=6,"High",IF(I2873&gt;=3,"Medium","Low"))</f>
        <v>Medium</v>
      </c>
    </row>
    <row r="2874" customFormat="false" ht="15" hidden="false" customHeight="true" outlineLevel="0" collapsed="false">
      <c r="A2874" s="2" t="n">
        <f aca="false">'Raw Data'!H2874</f>
        <v>2873</v>
      </c>
      <c r="B2874" s="2" t="n">
        <f aca="false">'Raw Data'!A2874</f>
        <v>52</v>
      </c>
      <c r="C2874" s="2" t="str">
        <f aca="false">'Raw Data'!D2874</f>
        <v>Research &amp; Development</v>
      </c>
      <c r="D2874" s="2" t="str">
        <f aca="false">'Raw Data'!K2874</f>
        <v>Sales Representative</v>
      </c>
      <c r="E2874" s="2" t="n">
        <f aca="false">'Raw Data'!Q2874</f>
        <v>34</v>
      </c>
      <c r="F2874" s="2" t="n">
        <f aca="false">'Raw Data'!U2874</f>
        <v>9</v>
      </c>
      <c r="G2874" s="2" t="n">
        <f aca="false">'Raw Data'!W2874</f>
        <v>3</v>
      </c>
      <c r="H2874" s="2" t="n">
        <f aca="false">'Raw Data'!V2874</f>
        <v>3</v>
      </c>
      <c r="I2874" s="2" t="n">
        <f aca="false">IF(AND(ISNUMBER(B2874),B2874&lt;=25),2,0)+IF(AND(ISNUMBER(E2874),E2874&lt;=5),2,0)+IF(AND(ISNUMBER(F2874),F2874&lt;=1),2,0)+IF(AND(ISNUMBER(G2874),G2874&lt;=2),1,0)+IF(AND(ISNUMBER(H2874),H2874&lt;=2),1,0)</f>
        <v>0</v>
      </c>
      <c r="J2874" s="2" t="str">
        <f aca="false">IF(I2874&gt;=6,"High",IF(I2874&gt;=3,"Medium","Low"))</f>
        <v>Low</v>
      </c>
    </row>
    <row r="2875" customFormat="false" ht="15" hidden="false" customHeight="true" outlineLevel="0" collapsed="false">
      <c r="A2875" s="2" t="n">
        <f aca="false">'Raw Data'!H2875</f>
        <v>2874</v>
      </c>
      <c r="B2875" s="2" t="n">
        <f aca="false">'Raw Data'!A2875</f>
        <v>27</v>
      </c>
      <c r="C2875" s="2" t="str">
        <f aca="false">'Raw Data'!D2875</f>
        <v>Sales</v>
      </c>
      <c r="D2875" s="2" t="str">
        <f aca="false">'Raw Data'!K2875</f>
        <v>Research Scientist</v>
      </c>
      <c r="E2875" s="2" t="n">
        <f aca="false">'Raw Data'!Q2875</f>
        <v>7</v>
      </c>
      <c r="F2875" s="2" t="n">
        <f aca="false">'Raw Data'!U2875</f>
        <v>3</v>
      </c>
      <c r="G2875" s="2" t="n">
        <f aca="false">'Raw Data'!W2875</f>
        <v>2</v>
      </c>
      <c r="H2875" s="2" t="n">
        <f aca="false">'Raw Data'!V2875</f>
        <v>4</v>
      </c>
      <c r="I2875" s="2" t="n">
        <f aca="false">IF(AND(ISNUMBER(B2875),B2875&lt;=25),2,0)+IF(AND(ISNUMBER(E2875),E2875&lt;=5),2,0)+IF(AND(ISNUMBER(F2875),F2875&lt;=1),2,0)+IF(AND(ISNUMBER(G2875),G2875&lt;=2),1,0)+IF(AND(ISNUMBER(H2875),H2875&lt;=2),1,0)</f>
        <v>1</v>
      </c>
      <c r="J2875" s="2" t="str">
        <f aca="false">IF(I2875&gt;=6,"High",IF(I2875&gt;=3,"Medium","Low"))</f>
        <v>Low</v>
      </c>
    </row>
    <row r="2876" customFormat="false" ht="15" hidden="false" customHeight="true" outlineLevel="0" collapsed="false">
      <c r="A2876" s="2" t="n">
        <f aca="false">'Raw Data'!H2876</f>
        <v>2875</v>
      </c>
      <c r="B2876" s="2" t="n">
        <f aca="false">'Raw Data'!A2876</f>
        <v>35</v>
      </c>
      <c r="C2876" s="2" t="str">
        <f aca="false">'Raw Data'!D2876</f>
        <v>Research &amp; Development</v>
      </c>
      <c r="D2876" s="2" t="str">
        <f aca="false">'Raw Data'!K2876</f>
        <v>Research Director</v>
      </c>
      <c r="E2876" s="2" t="n">
        <f aca="false">'Raw Data'!Q2876</f>
        <v>8</v>
      </c>
      <c r="F2876" s="2" t="n">
        <f aca="false">'Raw Data'!U2876</f>
        <v>1</v>
      </c>
      <c r="G2876" s="2" t="n">
        <f aca="false">'Raw Data'!W2876</f>
        <v>3</v>
      </c>
      <c r="H2876" s="2" t="n">
        <f aca="false">'Raw Data'!V2876</f>
        <v>2</v>
      </c>
      <c r="I2876" s="2" t="n">
        <f aca="false">IF(AND(ISNUMBER(B2876),B2876&lt;=25),2,0)+IF(AND(ISNUMBER(E2876),E2876&lt;=5),2,0)+IF(AND(ISNUMBER(F2876),F2876&lt;=1),2,0)+IF(AND(ISNUMBER(G2876),G2876&lt;=2),1,0)+IF(AND(ISNUMBER(H2876),H2876&lt;=2),1,0)</f>
        <v>3</v>
      </c>
      <c r="J2876" s="2" t="str">
        <f aca="false">IF(I2876&gt;=6,"High",IF(I2876&gt;=3,"Medium","Low"))</f>
        <v>Medium</v>
      </c>
    </row>
    <row r="2877" customFormat="false" ht="15" hidden="false" customHeight="true" outlineLevel="0" collapsed="false">
      <c r="A2877" s="2" t="n">
        <f aca="false">'Raw Data'!H2877</f>
        <v>2876</v>
      </c>
      <c r="B2877" s="2" t="n">
        <f aca="false">'Raw Data'!A2877</f>
        <v>43</v>
      </c>
      <c r="C2877" s="2" t="str">
        <f aca="false">'Raw Data'!D2877</f>
        <v>Research &amp; Development</v>
      </c>
      <c r="D2877" s="2" t="str">
        <f aca="false">'Raw Data'!K2877</f>
        <v>Healthcare Representative</v>
      </c>
      <c r="E2877" s="2" t="n">
        <f aca="false">'Raw Data'!Q2877</f>
        <v>7</v>
      </c>
      <c r="F2877" s="2" t="n">
        <f aca="false">'Raw Data'!U2877</f>
        <v>2</v>
      </c>
      <c r="G2877" s="2" t="n">
        <f aca="false">'Raw Data'!W2877</f>
        <v>0</v>
      </c>
      <c r="H2877" s="2" t="n">
        <f aca="false">'Raw Data'!V2877</f>
        <v>4</v>
      </c>
      <c r="I2877" s="2" t="n">
        <f aca="false">IF(AND(ISNUMBER(B2877),B2877&lt;=25),2,0)+IF(AND(ISNUMBER(E2877),E2877&lt;=5),2,0)+IF(AND(ISNUMBER(F2877),F2877&lt;=1),2,0)+IF(AND(ISNUMBER(G2877),G2877&lt;=2),1,0)+IF(AND(ISNUMBER(H2877),H2877&lt;=2),1,0)</f>
        <v>0</v>
      </c>
      <c r="J2877" s="2" t="str">
        <f aca="false">IF(I2877&gt;=6,"High",IF(I2877&gt;=3,"Medium","Low"))</f>
        <v>Low</v>
      </c>
    </row>
    <row r="2878" customFormat="false" ht="15" hidden="false" customHeight="true" outlineLevel="0" collapsed="false">
      <c r="A2878" s="2" t="n">
        <f aca="false">'Raw Data'!H2878</f>
        <v>2877</v>
      </c>
      <c r="B2878" s="2" t="n">
        <f aca="false">'Raw Data'!A2878</f>
        <v>45</v>
      </c>
      <c r="C2878" s="2" t="str">
        <f aca="false">'Raw Data'!D2878</f>
        <v>Research &amp; Development</v>
      </c>
      <c r="D2878" s="2" t="str">
        <f aca="false">'Raw Data'!K2878</f>
        <v>Sales Executive</v>
      </c>
      <c r="E2878" s="2" t="n">
        <f aca="false">'Raw Data'!Q2878</f>
        <v>22</v>
      </c>
      <c r="F2878" s="2" t="n">
        <f aca="false">'Raw Data'!U2878</f>
        <v>8</v>
      </c>
      <c r="G2878" s="2" t="n">
        <f aca="false">'Raw Data'!W2878</f>
        <v>4</v>
      </c>
      <c r="H2878" s="2" t="n">
        <f aca="false">'Raw Data'!V2878</f>
        <v>1</v>
      </c>
      <c r="I2878" s="2" t="n">
        <f aca="false">IF(AND(ISNUMBER(B2878),B2878&lt;=25),2,0)+IF(AND(ISNUMBER(E2878),E2878&lt;=5),2,0)+IF(AND(ISNUMBER(F2878),F2878&lt;=1),2,0)+IF(AND(ISNUMBER(G2878),G2878&lt;=2),1,0)+IF(AND(ISNUMBER(H2878),H2878&lt;=2),1,0)</f>
        <v>1</v>
      </c>
      <c r="J2878" s="2" t="str">
        <f aca="false">IF(I2878&gt;=6,"High",IF(I2878&gt;=3,"Medium","Low"))</f>
        <v>Low</v>
      </c>
    </row>
    <row r="2879" customFormat="false" ht="15" hidden="false" customHeight="true" outlineLevel="0" collapsed="false">
      <c r="A2879" s="2" t="n">
        <f aca="false">'Raw Data'!H2879</f>
        <v>2878</v>
      </c>
      <c r="B2879" s="2" t="n">
        <f aca="false">'Raw Data'!A2879</f>
        <v>37</v>
      </c>
      <c r="C2879" s="2" t="str">
        <f aca="false">'Raw Data'!D2879</f>
        <v>Research &amp; Development</v>
      </c>
      <c r="D2879" s="2" t="str">
        <f aca="false">'Raw Data'!K2879</f>
        <v>Research Scientist</v>
      </c>
      <c r="E2879" s="2" t="n">
        <f aca="false">'Raw Data'!Q2879</f>
        <v>8</v>
      </c>
      <c r="F2879" s="2" t="n">
        <f aca="false">'Raw Data'!U2879</f>
        <v>7</v>
      </c>
      <c r="G2879" s="2" t="n">
        <f aca="false">'Raw Data'!W2879</f>
        <v>1</v>
      </c>
      <c r="H2879" s="2" t="n">
        <f aca="false">'Raw Data'!V2879</f>
        <v>2</v>
      </c>
      <c r="I2879" s="2" t="n">
        <f aca="false">IF(AND(ISNUMBER(B2879),B2879&lt;=25),2,0)+IF(AND(ISNUMBER(E2879),E2879&lt;=5),2,0)+IF(AND(ISNUMBER(F2879),F2879&lt;=1),2,0)+IF(AND(ISNUMBER(G2879),G2879&lt;=2),1,0)+IF(AND(ISNUMBER(H2879),H2879&lt;=2),1,0)</f>
        <v>2</v>
      </c>
      <c r="J2879" s="2" t="str">
        <f aca="false">IF(I2879&gt;=6,"High",IF(I2879&gt;=3,"Medium","Low"))</f>
        <v>Low</v>
      </c>
    </row>
    <row r="2880" customFormat="false" ht="15" hidden="false" customHeight="true" outlineLevel="0" collapsed="false">
      <c r="A2880" s="2" t="n">
        <f aca="false">'Raw Data'!H2880</f>
        <v>2879</v>
      </c>
      <c r="B2880" s="2" t="n">
        <f aca="false">'Raw Data'!A2880</f>
        <v>35</v>
      </c>
      <c r="C2880" s="2" t="str">
        <f aca="false">'Raw Data'!D2880</f>
        <v>Research &amp; Development</v>
      </c>
      <c r="D2880" s="2" t="str">
        <f aca="false">'Raw Data'!K2880</f>
        <v>Research Director</v>
      </c>
      <c r="E2880" s="2" t="n">
        <f aca="false">'Raw Data'!Q2880</f>
        <v>10</v>
      </c>
      <c r="F2880" s="2" t="n">
        <f aca="false">'Raw Data'!U2880</f>
        <v>2</v>
      </c>
      <c r="G2880" s="2" t="n">
        <f aca="false">'Raw Data'!W2880</f>
        <v>2</v>
      </c>
      <c r="H2880" s="2" t="n">
        <f aca="false">'Raw Data'!V2880</f>
        <v>2</v>
      </c>
      <c r="I2880" s="2" t="n">
        <f aca="false">IF(AND(ISNUMBER(B2880),B2880&lt;=25),2,0)+IF(AND(ISNUMBER(E2880),E2880&lt;=5),2,0)+IF(AND(ISNUMBER(F2880),F2880&lt;=1),2,0)+IF(AND(ISNUMBER(G2880),G2880&lt;=2),1,0)+IF(AND(ISNUMBER(H2880),H2880&lt;=2),1,0)</f>
        <v>2</v>
      </c>
      <c r="J2880" s="2" t="str">
        <f aca="false">IF(I2880&gt;=6,"High",IF(I2880&gt;=3,"Medium","Low"))</f>
        <v>Low</v>
      </c>
    </row>
    <row r="2881" customFormat="false" ht="15" hidden="false" customHeight="true" outlineLevel="0" collapsed="false">
      <c r="A2881" s="2" t="n">
        <f aca="false">'Raw Data'!H2881</f>
        <v>2880</v>
      </c>
      <c r="B2881" s="2" t="n">
        <f aca="false">'Raw Data'!A2881</f>
        <v>42</v>
      </c>
      <c r="C2881" s="2" t="str">
        <f aca="false">'Raw Data'!D2881</f>
        <v>Research &amp; Development</v>
      </c>
      <c r="D2881" s="2" t="str">
        <f aca="false">'Raw Data'!K2881</f>
        <v>Sales Executive</v>
      </c>
      <c r="E2881" s="2" t="n">
        <f aca="false">'Raw Data'!Q2881</f>
        <v>11</v>
      </c>
      <c r="F2881" s="2" t="n">
        <f aca="false">'Raw Data'!U2881</f>
        <v>2</v>
      </c>
      <c r="G2881" s="2" t="n">
        <f aca="false">'Raw Data'!W2881</f>
        <v>3</v>
      </c>
      <c r="H2881" s="2" t="n">
        <f aca="false">'Raw Data'!V2881</f>
        <v>3</v>
      </c>
      <c r="I2881" s="2" t="n">
        <f aca="false">IF(AND(ISNUMBER(B2881),B2881&lt;=25),2,0)+IF(AND(ISNUMBER(E2881),E2881&lt;=5),2,0)+IF(AND(ISNUMBER(F2881),F2881&lt;=1),2,0)+IF(AND(ISNUMBER(G2881),G2881&lt;=2),1,0)+IF(AND(ISNUMBER(H2881),H2881&lt;=2),1,0)</f>
        <v>0</v>
      </c>
      <c r="J2881" s="2" t="str">
        <f aca="false">IF(I2881&gt;=6,"High",IF(I2881&gt;=3,"Medium","Low"))</f>
        <v>Low</v>
      </c>
    </row>
    <row r="2882" customFormat="false" ht="15" hidden="false" customHeight="true" outlineLevel="0" collapsed="false">
      <c r="A2882" s="2" t="n">
        <f aca="false">'Raw Data'!H2882</f>
        <v>2881</v>
      </c>
      <c r="B2882" s="2" t="n">
        <f aca="false">'Raw Data'!A2882</f>
        <v>38</v>
      </c>
      <c r="C2882" s="2" t="str">
        <f aca="false">'Raw Data'!D2882</f>
        <v>Sales</v>
      </c>
      <c r="D2882" s="2" t="str">
        <f aca="false">'Raw Data'!K2882</f>
        <v>Research Scientist</v>
      </c>
      <c r="E2882" s="2" t="n">
        <f aca="false">'Raw Data'!Q2882</f>
        <v>14</v>
      </c>
      <c r="F2882" s="2" t="n">
        <f aca="false">'Raw Data'!U2882</f>
        <v>0</v>
      </c>
      <c r="G2882" s="2" t="n">
        <f aca="false">'Raw Data'!W2882</f>
        <v>3</v>
      </c>
      <c r="H2882" s="2" t="n">
        <f aca="false">'Raw Data'!V2882</f>
        <v>4</v>
      </c>
      <c r="I2882" s="2" t="n">
        <f aca="false">IF(AND(ISNUMBER(B2882),B2882&lt;=25),2,0)+IF(AND(ISNUMBER(E2882),E2882&lt;=5),2,0)+IF(AND(ISNUMBER(F2882),F2882&lt;=1),2,0)+IF(AND(ISNUMBER(G2882),G2882&lt;=2),1,0)+IF(AND(ISNUMBER(H2882),H2882&lt;=2),1,0)</f>
        <v>2</v>
      </c>
      <c r="J2882" s="2" t="str">
        <f aca="false">IF(I2882&gt;=6,"High",IF(I2882&gt;=3,"Medium","Low"))</f>
        <v>Low</v>
      </c>
    </row>
    <row r="2883" customFormat="false" ht="15" hidden="false" customHeight="true" outlineLevel="0" collapsed="false">
      <c r="A2883" s="2" t="n">
        <f aca="false">'Raw Data'!H2883</f>
        <v>2882</v>
      </c>
      <c r="B2883" s="2" t="n">
        <f aca="false">'Raw Data'!A2883</f>
        <v>38</v>
      </c>
      <c r="C2883" s="2" t="str">
        <f aca="false">'Raw Data'!D2883</f>
        <v>Human Resources</v>
      </c>
      <c r="D2883" s="2" t="str">
        <f aca="false">'Raw Data'!K2883</f>
        <v>Manufacturing Director</v>
      </c>
      <c r="E2883" s="2" t="n">
        <f aca="false">'Raw Data'!Q2883</f>
        <v>9</v>
      </c>
      <c r="F2883" s="2" t="n">
        <f aca="false">'Raw Data'!U2883</f>
        <v>7</v>
      </c>
      <c r="G2883" s="2" t="n">
        <f aca="false">'Raw Data'!W2883</f>
        <v>4</v>
      </c>
      <c r="H2883" s="2" t="n">
        <f aca="false">'Raw Data'!V2883</f>
        <v>4</v>
      </c>
      <c r="I2883" s="2" t="n">
        <f aca="false">IF(AND(ISNUMBER(B2883),B2883&lt;=25),2,0)+IF(AND(ISNUMBER(E2883),E2883&lt;=5),2,0)+IF(AND(ISNUMBER(F2883),F2883&lt;=1),2,0)+IF(AND(ISNUMBER(G2883),G2883&lt;=2),1,0)+IF(AND(ISNUMBER(H2883),H2883&lt;=2),1,0)</f>
        <v>0</v>
      </c>
      <c r="J2883" s="2" t="str">
        <f aca="false">IF(I2883&gt;=6,"High",IF(I2883&gt;=3,"Medium","Low"))</f>
        <v>Low</v>
      </c>
    </row>
    <row r="2884" customFormat="false" ht="15" hidden="false" customHeight="true" outlineLevel="0" collapsed="false">
      <c r="A2884" s="2" t="n">
        <f aca="false">'Raw Data'!H2884</f>
        <v>2883</v>
      </c>
      <c r="B2884" s="2" t="n">
        <f aca="false">'Raw Data'!A2884</f>
        <v>27</v>
      </c>
      <c r="C2884" s="2" t="str">
        <f aca="false">'Raw Data'!D2884</f>
        <v>Research &amp; Development</v>
      </c>
      <c r="D2884" s="2" t="str">
        <f aca="false">'Raw Data'!K2884</f>
        <v>Manager</v>
      </c>
      <c r="E2884" s="2" t="n">
        <f aca="false">'Raw Data'!Q2884</f>
        <v>6</v>
      </c>
      <c r="F2884" s="2" t="n">
        <f aca="false">'Raw Data'!U2884</f>
        <v>0</v>
      </c>
      <c r="G2884" s="2" t="n">
        <f aca="false">'Raw Data'!W2884</f>
        <v>1</v>
      </c>
      <c r="H2884" s="2" t="n">
        <f aca="false">'Raw Data'!V2884</f>
        <v>3</v>
      </c>
      <c r="I2884" s="2" t="n">
        <f aca="false">IF(AND(ISNUMBER(B2884),B2884&lt;=25),2,0)+IF(AND(ISNUMBER(E2884),E2884&lt;=5),2,0)+IF(AND(ISNUMBER(F2884),F2884&lt;=1),2,0)+IF(AND(ISNUMBER(G2884),G2884&lt;=2),1,0)+IF(AND(ISNUMBER(H2884),H2884&lt;=2),1,0)</f>
        <v>3</v>
      </c>
      <c r="J2884" s="2" t="str">
        <f aca="false">IF(I2884&gt;=6,"High",IF(I2884&gt;=3,"Medium","Low"))</f>
        <v>Medium</v>
      </c>
    </row>
    <row r="2885" customFormat="false" ht="15" hidden="false" customHeight="true" outlineLevel="0" collapsed="false">
      <c r="A2885" s="2" t="n">
        <f aca="false">'Raw Data'!H2885</f>
        <v>2884</v>
      </c>
      <c r="B2885" s="2" t="n">
        <f aca="false">'Raw Data'!A2885</f>
        <v>49</v>
      </c>
      <c r="C2885" s="2" t="str">
        <f aca="false">'Raw Data'!D2885</f>
        <v>Research &amp; Development</v>
      </c>
      <c r="D2885" s="2" t="str">
        <f aca="false">'Raw Data'!K2885</f>
        <v>Sales Executive</v>
      </c>
      <c r="E2885" s="2" t="n">
        <f aca="false">'Raw Data'!Q2885</f>
        <v>7</v>
      </c>
      <c r="F2885" s="2" t="n">
        <f aca="false">'Raw Data'!U2885</f>
        <v>7</v>
      </c>
      <c r="G2885" s="2" t="n">
        <f aca="false">'Raw Data'!W2885</f>
        <v>4</v>
      </c>
      <c r="H2885" s="2" t="n">
        <f aca="false">'Raw Data'!V2885</f>
        <v>4</v>
      </c>
      <c r="I2885" s="2" t="n">
        <f aca="false">IF(AND(ISNUMBER(B2885),B2885&lt;=25),2,0)+IF(AND(ISNUMBER(E2885),E2885&lt;=5),2,0)+IF(AND(ISNUMBER(F2885),F2885&lt;=1),2,0)+IF(AND(ISNUMBER(G2885),G2885&lt;=2),1,0)+IF(AND(ISNUMBER(H2885),H2885&lt;=2),1,0)</f>
        <v>0</v>
      </c>
      <c r="J2885" s="2" t="str">
        <f aca="false">IF(I2885&gt;=6,"High",IF(I2885&gt;=3,"Medium","Low"))</f>
        <v>Low</v>
      </c>
    </row>
    <row r="2886" customFormat="false" ht="15" hidden="false" customHeight="true" outlineLevel="0" collapsed="false">
      <c r="A2886" s="2" t="n">
        <f aca="false">'Raw Data'!H2886</f>
        <v>2885</v>
      </c>
      <c r="B2886" s="2" t="n">
        <f aca="false">'Raw Data'!A2886</f>
        <v>34</v>
      </c>
      <c r="C2886" s="2" t="str">
        <f aca="false">'Raw Data'!D2886</f>
        <v>Research &amp; Development</v>
      </c>
      <c r="D2886" s="2" t="str">
        <f aca="false">'Raw Data'!K2886</f>
        <v>Sales Representative</v>
      </c>
      <c r="E2886" s="2" t="n">
        <f aca="false">'Raw Data'!Q2886</f>
        <v>5</v>
      </c>
      <c r="F2886" s="2" t="n">
        <f aca="false">'Raw Data'!U2886</f>
        <v>0</v>
      </c>
      <c r="G2886" s="2" t="n">
        <f aca="false">'Raw Data'!W2886</f>
        <v>3</v>
      </c>
      <c r="H2886" s="2" t="n">
        <f aca="false">'Raw Data'!V2886</f>
        <v>4</v>
      </c>
      <c r="I2886" s="2" t="n">
        <f aca="false">IF(AND(ISNUMBER(B2886),B2886&lt;=25),2,0)+IF(AND(ISNUMBER(E2886),E2886&lt;=5),2,0)+IF(AND(ISNUMBER(F2886),F2886&lt;=1),2,0)+IF(AND(ISNUMBER(G2886),G2886&lt;=2),1,0)+IF(AND(ISNUMBER(H2886),H2886&lt;=2),1,0)</f>
        <v>4</v>
      </c>
      <c r="J2886" s="2" t="str">
        <f aca="false">IF(I2886&gt;=6,"High",IF(I2886&gt;=3,"Medium","Low"))</f>
        <v>Medium</v>
      </c>
    </row>
    <row r="2887" customFormat="false" ht="15" hidden="false" customHeight="true" outlineLevel="0" collapsed="false">
      <c r="A2887" s="2" t="n">
        <f aca="false">'Raw Data'!H2887</f>
        <v>2886</v>
      </c>
      <c r="B2887" s="2" t="n">
        <f aca="false">'Raw Data'!A2887</f>
        <v>40</v>
      </c>
      <c r="C2887" s="2" t="str">
        <f aca="false">'Raw Data'!D2887</f>
        <v>Research &amp; Development</v>
      </c>
      <c r="D2887" s="2" t="str">
        <f aca="false">'Raw Data'!K2887</f>
        <v>Laboratory Technician</v>
      </c>
      <c r="E2887" s="2" t="n">
        <f aca="false">'Raw Data'!Q2887</f>
        <v>15</v>
      </c>
      <c r="F2887" s="2" t="n">
        <f aca="false">'Raw Data'!U2887</f>
        <v>7</v>
      </c>
      <c r="G2887" s="2" t="n">
        <f aca="false">'Raw Data'!W2887</f>
        <v>4</v>
      </c>
      <c r="H2887" s="2" t="n">
        <f aca="false">'Raw Data'!V2887</f>
        <v>3</v>
      </c>
      <c r="I2887" s="2" t="n">
        <f aca="false">IF(AND(ISNUMBER(B2887),B2887&lt;=25),2,0)+IF(AND(ISNUMBER(E2887),E2887&lt;=5),2,0)+IF(AND(ISNUMBER(F2887),F2887&lt;=1),2,0)+IF(AND(ISNUMBER(G2887),G2887&lt;=2),1,0)+IF(AND(ISNUMBER(H2887),H2887&lt;=2),1,0)</f>
        <v>0</v>
      </c>
      <c r="J2887" s="2" t="str">
        <f aca="false">IF(I2887&gt;=6,"High",IF(I2887&gt;=3,"Medium","Low"))</f>
        <v>Low</v>
      </c>
    </row>
    <row r="2888" customFormat="false" ht="15" hidden="false" customHeight="true" outlineLevel="0" collapsed="false">
      <c r="A2888" s="2" t="n">
        <f aca="false">'Raw Data'!H2888</f>
        <v>2887</v>
      </c>
      <c r="B2888" s="2" t="n">
        <f aca="false">'Raw Data'!A2888</f>
        <v>38</v>
      </c>
      <c r="C2888" s="2" t="str">
        <f aca="false">'Raw Data'!D2888</f>
        <v>Sales</v>
      </c>
      <c r="D2888" s="2" t="str">
        <f aca="false">'Raw Data'!K2888</f>
        <v>Research Scientist</v>
      </c>
      <c r="E2888" s="2" t="n">
        <f aca="false">'Raw Data'!Q2888</f>
        <v>17</v>
      </c>
      <c r="F2888" s="2" t="n">
        <f aca="false">'Raw Data'!U2888</f>
        <v>0</v>
      </c>
      <c r="G2888" s="2" t="n">
        <f aca="false">'Raw Data'!W2888</f>
        <v>1</v>
      </c>
      <c r="H2888" s="2" t="n">
        <f aca="false">'Raw Data'!V2888</f>
        <v>2</v>
      </c>
      <c r="I2888" s="2" t="n">
        <f aca="false">IF(AND(ISNUMBER(B2888),B2888&lt;=25),2,0)+IF(AND(ISNUMBER(E2888),E2888&lt;=5),2,0)+IF(AND(ISNUMBER(F2888),F2888&lt;=1),2,0)+IF(AND(ISNUMBER(G2888),G2888&lt;=2),1,0)+IF(AND(ISNUMBER(H2888),H2888&lt;=2),1,0)</f>
        <v>4</v>
      </c>
      <c r="J2888" s="2" t="str">
        <f aca="false">IF(I2888&gt;=6,"High",IF(I2888&gt;=3,"Medium","Low"))</f>
        <v>Medium</v>
      </c>
    </row>
    <row r="2889" customFormat="false" ht="15" hidden="false" customHeight="true" outlineLevel="0" collapsed="false">
      <c r="A2889" s="2" t="n">
        <f aca="false">'Raw Data'!H2889</f>
        <v>2888</v>
      </c>
      <c r="B2889" s="2" t="n">
        <f aca="false">'Raw Data'!A2889</f>
        <v>29</v>
      </c>
      <c r="C2889" s="2" t="str">
        <f aca="false">'Raw Data'!D2889</f>
        <v>Sales</v>
      </c>
      <c r="D2889" s="2" t="str">
        <f aca="false">'Raw Data'!K2889</f>
        <v>Research Scientist</v>
      </c>
      <c r="E2889" s="2" t="n">
        <f aca="false">'Raw Data'!Q2889</f>
        <v>10</v>
      </c>
      <c r="F2889" s="2" t="n">
        <f aca="false">'Raw Data'!U2889</f>
        <v>9</v>
      </c>
      <c r="G2889" s="2" t="n">
        <f aca="false">'Raw Data'!W2889</f>
        <v>4</v>
      </c>
      <c r="H2889" s="2" t="n">
        <f aca="false">'Raw Data'!V2889</f>
        <v>2</v>
      </c>
      <c r="I2889" s="2" t="n">
        <f aca="false">IF(AND(ISNUMBER(B2889),B2889&lt;=25),2,0)+IF(AND(ISNUMBER(E2889),E2889&lt;=5),2,0)+IF(AND(ISNUMBER(F2889),F2889&lt;=1),2,0)+IF(AND(ISNUMBER(G2889),G2889&lt;=2),1,0)+IF(AND(ISNUMBER(H2889),H2889&lt;=2),1,0)</f>
        <v>1</v>
      </c>
      <c r="J2889" s="2" t="str">
        <f aca="false">IF(I2889&gt;=6,"High",IF(I2889&gt;=3,"Medium","Low"))</f>
        <v>Low</v>
      </c>
    </row>
    <row r="2890" customFormat="false" ht="15" hidden="false" customHeight="true" outlineLevel="0" collapsed="false">
      <c r="A2890" s="2" t="n">
        <f aca="false">'Raw Data'!H2890</f>
        <v>2889</v>
      </c>
      <c r="B2890" s="2" t="n">
        <f aca="false">'Raw Data'!A2890</f>
        <v>22</v>
      </c>
      <c r="C2890" s="2" t="str">
        <f aca="false">'Raw Data'!D2890</f>
        <v>Research &amp; Development</v>
      </c>
      <c r="D2890" s="2" t="str">
        <f aca="false">'Raw Data'!K2890</f>
        <v>Healthcare Representative</v>
      </c>
      <c r="E2890" s="2" t="n">
        <f aca="false">'Raw Data'!Q2890</f>
        <v>4</v>
      </c>
      <c r="F2890" s="2" t="n">
        <f aca="false">'Raw Data'!U2890</f>
        <v>2</v>
      </c>
      <c r="G2890" s="2" t="n">
        <f aca="false">'Raw Data'!W2890</f>
        <v>2</v>
      </c>
      <c r="H2890" s="2" t="n">
        <f aca="false">'Raw Data'!V2890</f>
        <v>4</v>
      </c>
      <c r="I2890" s="2" t="n">
        <f aca="false">IF(AND(ISNUMBER(B2890),B2890&lt;=25),2,0)+IF(AND(ISNUMBER(E2890),E2890&lt;=5),2,0)+IF(AND(ISNUMBER(F2890),F2890&lt;=1),2,0)+IF(AND(ISNUMBER(G2890),G2890&lt;=2),1,0)+IF(AND(ISNUMBER(H2890),H2890&lt;=2),1,0)</f>
        <v>5</v>
      </c>
      <c r="J2890" s="2" t="str">
        <f aca="false">IF(I2890&gt;=6,"High",IF(I2890&gt;=3,"Medium","Low"))</f>
        <v>Medium</v>
      </c>
    </row>
    <row r="2891" customFormat="false" ht="15" hidden="false" customHeight="true" outlineLevel="0" collapsed="false">
      <c r="A2891" s="2" t="n">
        <f aca="false">'Raw Data'!H2891</f>
        <v>2890</v>
      </c>
      <c r="B2891" s="2" t="n">
        <f aca="false">'Raw Data'!A2891</f>
        <v>36</v>
      </c>
      <c r="C2891" s="2" t="str">
        <f aca="false">'Raw Data'!D2891</f>
        <v>Research &amp; Development</v>
      </c>
      <c r="D2891" s="2" t="str">
        <f aca="false">'Raw Data'!K2891</f>
        <v>Laboratory Technician</v>
      </c>
      <c r="E2891" s="2" t="n">
        <f aca="false">'Raw Data'!Q2891</f>
        <v>8</v>
      </c>
      <c r="F2891" s="2" t="n">
        <f aca="false">'Raw Data'!U2891</f>
        <v>7</v>
      </c>
      <c r="G2891" s="2" t="n">
        <f aca="false">'Raw Data'!W2891</f>
        <v>4</v>
      </c>
      <c r="H2891" s="2" t="n">
        <f aca="false">'Raw Data'!V2891</f>
        <v>2</v>
      </c>
      <c r="I2891" s="2" t="n">
        <f aca="false">IF(AND(ISNUMBER(B2891),B2891&lt;=25),2,0)+IF(AND(ISNUMBER(E2891),E2891&lt;=5),2,0)+IF(AND(ISNUMBER(F2891),F2891&lt;=1),2,0)+IF(AND(ISNUMBER(G2891),G2891&lt;=2),1,0)+IF(AND(ISNUMBER(H2891),H2891&lt;=2),1,0)</f>
        <v>1</v>
      </c>
      <c r="J2891" s="2" t="str">
        <f aca="false">IF(I2891&gt;=6,"High",IF(I2891&gt;=3,"Medium","Low"))</f>
        <v>Low</v>
      </c>
    </row>
    <row r="2892" customFormat="false" ht="15" hidden="false" customHeight="true" outlineLevel="0" collapsed="false">
      <c r="A2892" s="2" t="n">
        <f aca="false">'Raw Data'!H2892</f>
        <v>2891</v>
      </c>
      <c r="B2892" s="2" t="n">
        <f aca="false">'Raw Data'!A2892</f>
        <v>40</v>
      </c>
      <c r="C2892" s="2" t="str">
        <f aca="false">'Raw Data'!D2892</f>
        <v>Research &amp; Development</v>
      </c>
      <c r="D2892" s="2" t="str">
        <f aca="false">'Raw Data'!K2892</f>
        <v>Manufacturing Director</v>
      </c>
      <c r="E2892" s="2" t="n">
        <f aca="false">'Raw Data'!Q2892</f>
        <v>5</v>
      </c>
      <c r="F2892" s="2" t="n">
        <f aca="false">'Raw Data'!U2892</f>
        <v>2</v>
      </c>
      <c r="G2892" s="2" t="n">
        <f aca="false">'Raw Data'!W2892</f>
        <v>4</v>
      </c>
      <c r="H2892" s="2" t="n">
        <f aca="false">'Raw Data'!V2892</f>
        <v>4</v>
      </c>
      <c r="I2892" s="2" t="n">
        <f aca="false">IF(AND(ISNUMBER(B2892),B2892&lt;=25),2,0)+IF(AND(ISNUMBER(E2892),E2892&lt;=5),2,0)+IF(AND(ISNUMBER(F2892),F2892&lt;=1),2,0)+IF(AND(ISNUMBER(G2892),G2892&lt;=2),1,0)+IF(AND(ISNUMBER(H2892),H2892&lt;=2),1,0)</f>
        <v>2</v>
      </c>
      <c r="J2892" s="2" t="str">
        <f aca="false">IF(I2892&gt;=6,"High",IF(I2892&gt;=3,"Medium","Low"))</f>
        <v>Low</v>
      </c>
    </row>
    <row r="2893" customFormat="false" ht="15" hidden="false" customHeight="true" outlineLevel="0" collapsed="false">
      <c r="A2893" s="2" t="n">
        <f aca="false">'Raw Data'!H2893</f>
        <v>2892</v>
      </c>
      <c r="B2893" s="2" t="n">
        <f aca="false">'Raw Data'!A2893</f>
        <v>46</v>
      </c>
      <c r="C2893" s="2" t="str">
        <f aca="false">'Raw Data'!D2893</f>
        <v>Research &amp; Development</v>
      </c>
      <c r="D2893" s="2" t="str">
        <f aca="false">'Raw Data'!K2893</f>
        <v>Research Scientist</v>
      </c>
      <c r="E2893" s="2" t="n">
        <f aca="false">'Raw Data'!Q2893</f>
        <v>17</v>
      </c>
      <c r="F2893" s="2" t="n">
        <f aca="false">'Raw Data'!U2893</f>
        <v>3</v>
      </c>
      <c r="G2893" s="2" t="n">
        <f aca="false">'Raw Data'!W2893</f>
        <v>1</v>
      </c>
      <c r="H2893" s="2" t="n">
        <f aca="false">'Raw Data'!V2893</f>
        <v>4</v>
      </c>
      <c r="I2893" s="2" t="n">
        <f aca="false">IF(AND(ISNUMBER(B2893),B2893&lt;=25),2,0)+IF(AND(ISNUMBER(E2893),E2893&lt;=5),2,0)+IF(AND(ISNUMBER(F2893),F2893&lt;=1),2,0)+IF(AND(ISNUMBER(G2893),G2893&lt;=2),1,0)+IF(AND(ISNUMBER(H2893),H2893&lt;=2),1,0)</f>
        <v>1</v>
      </c>
      <c r="J2893" s="2" t="str">
        <f aca="false">IF(I2893&gt;=6,"High",IF(I2893&gt;=3,"Medium","Low"))</f>
        <v>Low</v>
      </c>
    </row>
    <row r="2894" customFormat="false" ht="15" hidden="false" customHeight="true" outlineLevel="0" collapsed="false">
      <c r="A2894" s="2" t="n">
        <f aca="false">'Raw Data'!H2894</f>
        <v>2893</v>
      </c>
      <c r="B2894" s="2" t="n">
        <f aca="false">'Raw Data'!A2894</f>
        <v>32</v>
      </c>
      <c r="C2894" s="2" t="str">
        <f aca="false">'Raw Data'!D2894</f>
        <v>Research &amp; Development</v>
      </c>
      <c r="D2894" s="2" t="str">
        <f aca="false">'Raw Data'!K2894</f>
        <v>Healthcare Representative</v>
      </c>
      <c r="E2894" s="2" t="n">
        <f aca="false">'Raw Data'!Q2894</f>
        <v>14</v>
      </c>
      <c r="F2894" s="2" t="n">
        <f aca="false">'Raw Data'!U2894</f>
        <v>8</v>
      </c>
      <c r="G2894" s="2" t="n">
        <f aca="false">'Raw Data'!W2894</f>
        <v>4</v>
      </c>
      <c r="H2894" s="2" t="n">
        <f aca="false">'Raw Data'!V2894</f>
        <v>4</v>
      </c>
      <c r="I2894" s="2" t="n">
        <f aca="false">IF(AND(ISNUMBER(B2894),B2894&lt;=25),2,0)+IF(AND(ISNUMBER(E2894),E2894&lt;=5),2,0)+IF(AND(ISNUMBER(F2894),F2894&lt;=1),2,0)+IF(AND(ISNUMBER(G2894),G2894&lt;=2),1,0)+IF(AND(ISNUMBER(H2894),H2894&lt;=2),1,0)</f>
        <v>0</v>
      </c>
      <c r="J2894" s="2" t="str">
        <f aca="false">IF(I2894&gt;=6,"High",IF(I2894&gt;=3,"Medium","Low"))</f>
        <v>Low</v>
      </c>
    </row>
    <row r="2895" customFormat="false" ht="15" hidden="false" customHeight="true" outlineLevel="0" collapsed="false">
      <c r="A2895" s="2" t="n">
        <f aca="false">'Raw Data'!H2895</f>
        <v>2894</v>
      </c>
      <c r="B2895" s="2" t="n">
        <f aca="false">'Raw Data'!A2895</f>
        <v>30</v>
      </c>
      <c r="C2895" s="2" t="str">
        <f aca="false">'Raw Data'!D2895</f>
        <v>Research &amp; Development</v>
      </c>
      <c r="D2895" s="2" t="str">
        <f aca="false">'Raw Data'!K2895</f>
        <v>Healthcare Representative</v>
      </c>
      <c r="E2895" s="2" t="n">
        <f aca="false">'Raw Data'!Q2895</f>
        <v>12</v>
      </c>
      <c r="F2895" s="2" t="n">
        <f aca="false">'Raw Data'!U2895</f>
        <v>8</v>
      </c>
      <c r="G2895" s="2" t="n">
        <f aca="false">'Raw Data'!W2895</f>
        <v>3</v>
      </c>
      <c r="H2895" s="2" t="n">
        <f aca="false">'Raw Data'!V2895</f>
        <v>3</v>
      </c>
      <c r="I2895" s="2" t="n">
        <f aca="false">IF(AND(ISNUMBER(B2895),B2895&lt;=25),2,0)+IF(AND(ISNUMBER(E2895),E2895&lt;=5),2,0)+IF(AND(ISNUMBER(F2895),F2895&lt;=1),2,0)+IF(AND(ISNUMBER(G2895),G2895&lt;=2),1,0)+IF(AND(ISNUMBER(H2895),H2895&lt;=2),1,0)</f>
        <v>0</v>
      </c>
      <c r="J2895" s="2" t="str">
        <f aca="false">IF(I2895&gt;=6,"High",IF(I2895&gt;=3,"Medium","Low"))</f>
        <v>Low</v>
      </c>
    </row>
    <row r="2896" customFormat="false" ht="15" hidden="false" customHeight="true" outlineLevel="0" collapsed="false">
      <c r="A2896" s="2" t="n">
        <f aca="false">'Raw Data'!H2896</f>
        <v>2895</v>
      </c>
      <c r="B2896" s="2" t="n">
        <f aca="false">'Raw Data'!A2896</f>
        <v>27</v>
      </c>
      <c r="C2896" s="2" t="str">
        <f aca="false">'Raw Data'!D2896</f>
        <v>Research &amp; Development</v>
      </c>
      <c r="D2896" s="2" t="str">
        <f aca="false">'Raw Data'!K2896</f>
        <v>Laboratory Technician</v>
      </c>
      <c r="E2896" s="2" t="n">
        <f aca="false">'Raw Data'!Q2896</f>
        <v>7</v>
      </c>
      <c r="F2896" s="2" t="n">
        <f aca="false">'Raw Data'!U2896</f>
        <v>7</v>
      </c>
      <c r="G2896" s="2" t="n">
        <f aca="false">'Raw Data'!W2896</f>
        <v>3</v>
      </c>
      <c r="H2896" s="2" t="n">
        <f aca="false">'Raw Data'!V2896</f>
        <v>4</v>
      </c>
      <c r="I2896" s="2" t="n">
        <f aca="false">IF(AND(ISNUMBER(B2896),B2896&lt;=25),2,0)+IF(AND(ISNUMBER(E2896),E2896&lt;=5),2,0)+IF(AND(ISNUMBER(F2896),F2896&lt;=1),2,0)+IF(AND(ISNUMBER(G2896),G2896&lt;=2),1,0)+IF(AND(ISNUMBER(H2896),H2896&lt;=2),1,0)</f>
        <v>0</v>
      </c>
      <c r="J2896" s="2" t="str">
        <f aca="false">IF(I2896&gt;=6,"High",IF(I2896&gt;=3,"Medium","Low"))</f>
        <v>Low</v>
      </c>
    </row>
    <row r="2897" customFormat="false" ht="15" hidden="false" customHeight="true" outlineLevel="0" collapsed="false">
      <c r="A2897" s="2" t="n">
        <f aca="false">'Raw Data'!H2897</f>
        <v>2896</v>
      </c>
      <c r="B2897" s="2" t="n">
        <f aca="false">'Raw Data'!A2897</f>
        <v>51</v>
      </c>
      <c r="C2897" s="2" t="str">
        <f aca="false">'Raw Data'!D2897</f>
        <v>Research &amp; Development</v>
      </c>
      <c r="D2897" s="2" t="str">
        <f aca="false">'Raw Data'!K2897</f>
        <v>Manufacturing Director</v>
      </c>
      <c r="E2897" s="2" t="n">
        <f aca="false">'Raw Data'!Q2897</f>
        <v>16</v>
      </c>
      <c r="F2897" s="2" t="n">
        <f aca="false">'Raw Data'!U2897</f>
        <v>7</v>
      </c>
      <c r="G2897" s="2" t="n">
        <f aca="false">'Raw Data'!W2897</f>
        <v>2</v>
      </c>
      <c r="H2897" s="2" t="n">
        <f aca="false">'Raw Data'!V2897</f>
        <v>2</v>
      </c>
      <c r="I2897" s="2" t="n">
        <f aca="false">IF(AND(ISNUMBER(B2897),B2897&lt;=25),2,0)+IF(AND(ISNUMBER(E2897),E2897&lt;=5),2,0)+IF(AND(ISNUMBER(F2897),F2897&lt;=1),2,0)+IF(AND(ISNUMBER(G2897),G2897&lt;=2),1,0)+IF(AND(ISNUMBER(H2897),H2897&lt;=2),1,0)</f>
        <v>2</v>
      </c>
      <c r="J2897" s="2" t="str">
        <f aca="false">IF(I2897&gt;=6,"High",IF(I2897&gt;=3,"Medium","Low"))</f>
        <v>Low</v>
      </c>
    </row>
    <row r="2898" customFormat="false" ht="15" hidden="false" customHeight="true" outlineLevel="0" collapsed="false">
      <c r="A2898" s="2" t="n">
        <f aca="false">'Raw Data'!H2898</f>
        <v>2897</v>
      </c>
      <c r="B2898" s="2" t="n">
        <f aca="false">'Raw Data'!A2898</f>
        <v>30</v>
      </c>
      <c r="C2898" s="2" t="str">
        <f aca="false">'Raw Data'!D2898</f>
        <v>Research &amp; Development</v>
      </c>
      <c r="D2898" s="2" t="str">
        <f aca="false">'Raw Data'!K2898</f>
        <v>Research Scientist</v>
      </c>
      <c r="E2898" s="2" t="n">
        <f aca="false">'Raw Data'!Q2898</f>
        <v>8</v>
      </c>
      <c r="F2898" s="2" t="n">
        <f aca="false">'Raw Data'!U2898</f>
        <v>4</v>
      </c>
      <c r="G2898" s="2" t="n">
        <f aca="false">'Raw Data'!W2898</f>
        <v>1</v>
      </c>
      <c r="H2898" s="2" t="n">
        <f aca="false">'Raw Data'!V2898</f>
        <v>4</v>
      </c>
      <c r="I2898" s="2" t="n">
        <f aca="false">IF(AND(ISNUMBER(B2898),B2898&lt;=25),2,0)+IF(AND(ISNUMBER(E2898),E2898&lt;=5),2,0)+IF(AND(ISNUMBER(F2898),F2898&lt;=1),2,0)+IF(AND(ISNUMBER(G2898),G2898&lt;=2),1,0)+IF(AND(ISNUMBER(H2898),H2898&lt;=2),1,0)</f>
        <v>1</v>
      </c>
      <c r="J2898" s="2" t="str">
        <f aca="false">IF(I2898&gt;=6,"High",IF(I2898&gt;=3,"Medium","Low"))</f>
        <v>Low</v>
      </c>
    </row>
    <row r="2899" customFormat="false" ht="15" hidden="false" customHeight="true" outlineLevel="0" collapsed="false">
      <c r="A2899" s="2" t="n">
        <f aca="false">'Raw Data'!H2899</f>
        <v>2898</v>
      </c>
      <c r="B2899" s="2" t="n">
        <f aca="false">'Raw Data'!A2899</f>
        <v>41</v>
      </c>
      <c r="C2899" s="2" t="str">
        <f aca="false">'Raw Data'!D2899</f>
        <v>Research &amp; Development</v>
      </c>
      <c r="D2899" s="2" t="str">
        <f aca="false">'Raw Data'!K2899</f>
        <v>Human Resources</v>
      </c>
      <c r="E2899" s="2" t="n">
        <f aca="false">'Raw Data'!Q2899</f>
        <v>16</v>
      </c>
      <c r="F2899" s="2" t="n">
        <f aca="false">'Raw Data'!U2899</f>
        <v>0</v>
      </c>
      <c r="G2899" s="2" t="n">
        <f aca="false">'Raw Data'!W2899</f>
        <v>4</v>
      </c>
      <c r="H2899" s="2" t="n">
        <f aca="false">'Raw Data'!V2899</f>
        <v>4</v>
      </c>
      <c r="I2899" s="2" t="n">
        <f aca="false">IF(AND(ISNUMBER(B2899),B2899&lt;=25),2,0)+IF(AND(ISNUMBER(E2899),E2899&lt;=5),2,0)+IF(AND(ISNUMBER(F2899),F2899&lt;=1),2,0)+IF(AND(ISNUMBER(G2899),G2899&lt;=2),1,0)+IF(AND(ISNUMBER(H2899),H2899&lt;=2),1,0)</f>
        <v>2</v>
      </c>
      <c r="J2899" s="2" t="str">
        <f aca="false">IF(I2899&gt;=6,"High",IF(I2899&gt;=3,"Medium","Low"))</f>
        <v>Low</v>
      </c>
    </row>
    <row r="2900" customFormat="false" ht="15" hidden="false" customHeight="true" outlineLevel="0" collapsed="false">
      <c r="A2900" s="2" t="n">
        <f aca="false">'Raw Data'!H2900</f>
        <v>2899</v>
      </c>
      <c r="B2900" s="2" t="n">
        <f aca="false">'Raw Data'!A2900</f>
        <v>30</v>
      </c>
      <c r="C2900" s="2" t="str">
        <f aca="false">'Raw Data'!D2900</f>
        <v>Sales</v>
      </c>
      <c r="D2900" s="2" t="str">
        <f aca="false">'Raw Data'!K2900</f>
        <v>Healthcare Representative</v>
      </c>
      <c r="E2900" s="2" t="n">
        <f aca="false">'Raw Data'!Q2900</f>
        <v>9</v>
      </c>
      <c r="F2900" s="2" t="n">
        <f aca="false">'Raw Data'!U2900</f>
        <v>1</v>
      </c>
      <c r="G2900" s="2" t="n">
        <f aca="false">'Raw Data'!W2900</f>
        <v>1</v>
      </c>
      <c r="H2900" s="2" t="n">
        <f aca="false">'Raw Data'!V2900</f>
        <v>3</v>
      </c>
      <c r="I2900" s="2" t="n">
        <f aca="false">IF(AND(ISNUMBER(B2900),B2900&lt;=25),2,0)+IF(AND(ISNUMBER(E2900),E2900&lt;=5),2,0)+IF(AND(ISNUMBER(F2900),F2900&lt;=1),2,0)+IF(AND(ISNUMBER(G2900),G2900&lt;=2),1,0)+IF(AND(ISNUMBER(H2900),H2900&lt;=2),1,0)</f>
        <v>3</v>
      </c>
      <c r="J2900" s="2" t="str">
        <f aca="false">IF(I2900&gt;=6,"High",IF(I2900&gt;=3,"Medium","Low"))</f>
        <v>Medium</v>
      </c>
    </row>
    <row r="2901" customFormat="false" ht="15" hidden="false" customHeight="true" outlineLevel="0" collapsed="false">
      <c r="A2901" s="2" t="n">
        <f aca="false">'Raw Data'!H2901</f>
        <v>2900</v>
      </c>
      <c r="B2901" s="2" t="n">
        <f aca="false">'Raw Data'!A2901</f>
        <v>29</v>
      </c>
      <c r="C2901" s="2" t="str">
        <f aca="false">'Raw Data'!D2901</f>
        <v>Research &amp; Development</v>
      </c>
      <c r="D2901" s="2" t="str">
        <f aca="false">'Raw Data'!K2901</f>
        <v>Sales Executive</v>
      </c>
      <c r="E2901" s="2" t="n">
        <f aca="false">'Raw Data'!Q2901</f>
        <v>7</v>
      </c>
      <c r="F2901" s="2" t="n">
        <f aca="false">'Raw Data'!U2901</f>
        <v>5</v>
      </c>
      <c r="G2901" s="2" t="n">
        <f aca="false">'Raw Data'!W2901</f>
        <v>3</v>
      </c>
      <c r="H2901" s="2" t="n">
        <f aca="false">'Raw Data'!V2901</f>
        <v>3</v>
      </c>
      <c r="I2901" s="2" t="n">
        <f aca="false">IF(AND(ISNUMBER(B2901),B2901&lt;=25),2,0)+IF(AND(ISNUMBER(E2901),E2901&lt;=5),2,0)+IF(AND(ISNUMBER(F2901),F2901&lt;=1),2,0)+IF(AND(ISNUMBER(G2901),G2901&lt;=2),1,0)+IF(AND(ISNUMBER(H2901),H2901&lt;=2),1,0)</f>
        <v>0</v>
      </c>
      <c r="J2901" s="2" t="str">
        <f aca="false">IF(I2901&gt;=6,"High",IF(I2901&gt;=3,"Medium","Low"))</f>
        <v>Low</v>
      </c>
    </row>
    <row r="2902" customFormat="false" ht="15" hidden="false" customHeight="true" outlineLevel="0" collapsed="false">
      <c r="A2902" s="2" t="n">
        <f aca="false">'Raw Data'!H2902</f>
        <v>2901</v>
      </c>
      <c r="B2902" s="2" t="n">
        <f aca="false">'Raw Data'!A2902</f>
        <v>45</v>
      </c>
      <c r="C2902" s="2" t="str">
        <f aca="false">'Raw Data'!D2902</f>
        <v>Research &amp; Development</v>
      </c>
      <c r="D2902" s="2" t="str">
        <f aca="false">'Raw Data'!K2902</f>
        <v>Research Scientist</v>
      </c>
      <c r="E2902" s="2" t="n">
        <f aca="false">'Raw Data'!Q2902</f>
        <v>23</v>
      </c>
      <c r="F2902" s="2" t="n">
        <f aca="false">'Raw Data'!U2902</f>
        <v>8</v>
      </c>
      <c r="G2902" s="2" t="n">
        <f aca="false">'Raw Data'!W2902</f>
        <v>4</v>
      </c>
      <c r="H2902" s="2" t="n">
        <f aca="false">'Raw Data'!V2902</f>
        <v>4</v>
      </c>
      <c r="I2902" s="2" t="n">
        <f aca="false">IF(AND(ISNUMBER(B2902),B2902&lt;=25),2,0)+IF(AND(ISNUMBER(E2902),E2902&lt;=5),2,0)+IF(AND(ISNUMBER(F2902),F2902&lt;=1),2,0)+IF(AND(ISNUMBER(G2902),G2902&lt;=2),1,0)+IF(AND(ISNUMBER(H2902),H2902&lt;=2),1,0)</f>
        <v>0</v>
      </c>
      <c r="J2902" s="2" t="str">
        <f aca="false">IF(I2902&gt;=6,"High",IF(I2902&gt;=3,"Medium","Low"))</f>
        <v>Low</v>
      </c>
    </row>
    <row r="2903" customFormat="false" ht="15" hidden="false" customHeight="true" outlineLevel="0" collapsed="false">
      <c r="A2903" s="2" t="n">
        <f aca="false">'Raw Data'!H2903</f>
        <v>2902</v>
      </c>
      <c r="B2903" s="2" t="n">
        <f aca="false">'Raw Data'!A2903</f>
        <v>54</v>
      </c>
      <c r="C2903" s="2" t="str">
        <f aca="false">'Raw Data'!D2903</f>
        <v>Sales</v>
      </c>
      <c r="D2903" s="2" t="str">
        <f aca="false">'Raw Data'!K2903</f>
        <v>Laboratory Technician</v>
      </c>
      <c r="E2903" s="2" t="n">
        <f aca="false">'Raw Data'!Q2903</f>
        <v>16</v>
      </c>
      <c r="F2903" s="2" t="n">
        <f aca="false">'Raw Data'!U2903</f>
        <v>5</v>
      </c>
      <c r="G2903" s="2" t="n">
        <f aca="false">'Raw Data'!W2903</f>
        <v>1</v>
      </c>
      <c r="H2903" s="2" t="n">
        <f aca="false">'Raw Data'!V2903</f>
        <v>4</v>
      </c>
      <c r="I2903" s="2" t="n">
        <f aca="false">IF(AND(ISNUMBER(B2903),B2903&lt;=25),2,0)+IF(AND(ISNUMBER(E2903),E2903&lt;=5),2,0)+IF(AND(ISNUMBER(F2903),F2903&lt;=1),2,0)+IF(AND(ISNUMBER(G2903),G2903&lt;=2),1,0)+IF(AND(ISNUMBER(H2903),H2903&lt;=2),1,0)</f>
        <v>1</v>
      </c>
      <c r="J2903" s="2" t="str">
        <f aca="false">IF(I2903&gt;=6,"High",IF(I2903&gt;=3,"Medium","Low"))</f>
        <v>Low</v>
      </c>
    </row>
    <row r="2904" customFormat="false" ht="15" hidden="false" customHeight="true" outlineLevel="0" collapsed="false">
      <c r="A2904" s="2" t="n">
        <f aca="false">'Raw Data'!H2904</f>
        <v>2903</v>
      </c>
      <c r="B2904" s="2" t="n">
        <f aca="false">'Raw Data'!A2904</f>
        <v>36</v>
      </c>
      <c r="C2904" s="2" t="str">
        <f aca="false">'Raw Data'!D2904</f>
        <v>Research &amp; Development</v>
      </c>
      <c r="D2904" s="2" t="str">
        <f aca="false">'Raw Data'!K2904</f>
        <v>Healthcare Representative</v>
      </c>
      <c r="E2904" s="2" t="n">
        <f aca="false">'Raw Data'!Q2904</f>
        <v>16</v>
      </c>
      <c r="F2904" s="2" t="n">
        <f aca="false">'Raw Data'!U2904</f>
        <v>7</v>
      </c>
      <c r="G2904" s="2" t="n">
        <f aca="false">'Raw Data'!W2904</f>
        <v>2</v>
      </c>
      <c r="H2904" s="2" t="n">
        <f aca="false">'Raw Data'!V2904</f>
        <v>4</v>
      </c>
      <c r="I2904" s="2" t="n">
        <f aca="false">IF(AND(ISNUMBER(B2904),B2904&lt;=25),2,0)+IF(AND(ISNUMBER(E2904),E2904&lt;=5),2,0)+IF(AND(ISNUMBER(F2904),F2904&lt;=1),2,0)+IF(AND(ISNUMBER(G2904),G2904&lt;=2),1,0)+IF(AND(ISNUMBER(H2904),H2904&lt;=2),1,0)</f>
        <v>1</v>
      </c>
      <c r="J2904" s="2" t="str">
        <f aca="false">IF(I2904&gt;=6,"High",IF(I2904&gt;=3,"Medium","Low"))</f>
        <v>Low</v>
      </c>
    </row>
    <row r="2905" customFormat="false" ht="15" hidden="false" customHeight="true" outlineLevel="0" collapsed="false">
      <c r="A2905" s="2" t="n">
        <f aca="false">'Raw Data'!H2905</f>
        <v>2904</v>
      </c>
      <c r="B2905" s="2" t="n">
        <f aca="false">'Raw Data'!A2905</f>
        <v>33</v>
      </c>
      <c r="C2905" s="2" t="str">
        <f aca="false">'Raw Data'!D2905</f>
        <v>Sales</v>
      </c>
      <c r="D2905" s="2" t="str">
        <f aca="false">'Raw Data'!K2905</f>
        <v>Sales Executive</v>
      </c>
      <c r="E2905" s="2" t="n">
        <f aca="false">'Raw Data'!Q2905</f>
        <v>7</v>
      </c>
      <c r="F2905" s="2" t="n">
        <f aca="false">'Raw Data'!U2905</f>
        <v>1</v>
      </c>
      <c r="G2905" s="2" t="n">
        <f aca="false">'Raw Data'!W2905</f>
        <v>2</v>
      </c>
      <c r="H2905" s="2" t="n">
        <f aca="false">'Raw Data'!V2905</f>
        <v>3</v>
      </c>
      <c r="I2905" s="2" t="n">
        <f aca="false">IF(AND(ISNUMBER(B2905),B2905&lt;=25),2,0)+IF(AND(ISNUMBER(E2905),E2905&lt;=5),2,0)+IF(AND(ISNUMBER(F2905),F2905&lt;=1),2,0)+IF(AND(ISNUMBER(G2905),G2905&lt;=2),1,0)+IF(AND(ISNUMBER(H2905),H2905&lt;=2),1,0)</f>
        <v>3</v>
      </c>
      <c r="J2905" s="2" t="str">
        <f aca="false">IF(I2905&gt;=6,"High",IF(I2905&gt;=3,"Medium","Low"))</f>
        <v>Medium</v>
      </c>
    </row>
    <row r="2906" customFormat="false" ht="15" hidden="false" customHeight="true" outlineLevel="0" collapsed="false">
      <c r="A2906" s="2" t="n">
        <f aca="false">'Raw Data'!H2906</f>
        <v>2905</v>
      </c>
      <c r="B2906" s="2" t="n">
        <f aca="false">'Raw Data'!A2906</f>
        <v>37</v>
      </c>
      <c r="C2906" s="2" t="str">
        <f aca="false">'Raw Data'!D2906</f>
        <v>Sales</v>
      </c>
      <c r="D2906" s="2" t="str">
        <f aca="false">'Raw Data'!K2906</f>
        <v>Laboratory Technician</v>
      </c>
      <c r="E2906" s="2" t="n">
        <f aca="false">'Raw Data'!Q2906</f>
        <v>10</v>
      </c>
      <c r="F2906" s="2" t="n">
        <f aca="false">'Raw Data'!U2906</f>
        <v>7</v>
      </c>
      <c r="G2906" s="2" t="n">
        <f aca="false">'Raw Data'!W2906</f>
        <v>4</v>
      </c>
      <c r="H2906" s="2" t="n">
        <f aca="false">'Raw Data'!V2906</f>
        <v>2</v>
      </c>
      <c r="I2906" s="2" t="n">
        <f aca="false">IF(AND(ISNUMBER(B2906),B2906&lt;=25),2,0)+IF(AND(ISNUMBER(E2906),E2906&lt;=5),2,0)+IF(AND(ISNUMBER(F2906),F2906&lt;=1),2,0)+IF(AND(ISNUMBER(G2906),G2906&lt;=2),1,0)+IF(AND(ISNUMBER(H2906),H2906&lt;=2),1,0)</f>
        <v>1</v>
      </c>
      <c r="J2906" s="2" t="str">
        <f aca="false">IF(I2906&gt;=6,"High",IF(I2906&gt;=3,"Medium","Low"))</f>
        <v>Low</v>
      </c>
    </row>
    <row r="2907" customFormat="false" ht="15" hidden="false" customHeight="true" outlineLevel="0" collapsed="false">
      <c r="A2907" s="2" t="n">
        <f aca="false">'Raw Data'!H2907</f>
        <v>2906</v>
      </c>
      <c r="B2907" s="2" t="n">
        <f aca="false">'Raw Data'!A2907</f>
        <v>38</v>
      </c>
      <c r="C2907" s="2" t="str">
        <f aca="false">'Raw Data'!D2907</f>
        <v>Research &amp; Development</v>
      </c>
      <c r="D2907" s="2" t="str">
        <f aca="false">'Raw Data'!K2907</f>
        <v>Laboratory Technician</v>
      </c>
      <c r="E2907" s="2" t="n">
        <f aca="false">'Raw Data'!Q2907</f>
        <v>17</v>
      </c>
      <c r="F2907" s="2" t="n">
        <f aca="false">'Raw Data'!U2907</f>
        <v>13</v>
      </c>
      <c r="G2907" s="2" t="n">
        <f aca="false">'Raw Data'!W2907</f>
        <v>3</v>
      </c>
      <c r="H2907" s="2" t="n">
        <f aca="false">'Raw Data'!V2907</f>
        <v>1</v>
      </c>
      <c r="I2907" s="2" t="n">
        <f aca="false">IF(AND(ISNUMBER(B2907),B2907&lt;=25),2,0)+IF(AND(ISNUMBER(E2907),E2907&lt;=5),2,0)+IF(AND(ISNUMBER(F2907),F2907&lt;=1),2,0)+IF(AND(ISNUMBER(G2907),G2907&lt;=2),1,0)+IF(AND(ISNUMBER(H2907),H2907&lt;=2),1,0)</f>
        <v>1</v>
      </c>
      <c r="J2907" s="2" t="str">
        <f aca="false">IF(I2907&gt;=6,"High",IF(I2907&gt;=3,"Medium","Low"))</f>
        <v>Low</v>
      </c>
    </row>
    <row r="2908" customFormat="false" ht="15" hidden="false" customHeight="true" outlineLevel="0" collapsed="false">
      <c r="A2908" s="2" t="n">
        <f aca="false">'Raw Data'!H2908</f>
        <v>2907</v>
      </c>
      <c r="B2908" s="2" t="n">
        <f aca="false">'Raw Data'!A2908</f>
        <v>31</v>
      </c>
      <c r="C2908" s="2" t="str">
        <f aca="false">'Raw Data'!D2908</f>
        <v>Sales</v>
      </c>
      <c r="D2908" s="2" t="str">
        <f aca="false">'Raw Data'!K2908</f>
        <v>Research Scientist</v>
      </c>
      <c r="E2908" s="2" t="n">
        <f aca="false">'Raw Data'!Q2908</f>
        <v>6</v>
      </c>
      <c r="F2908" s="2" t="n">
        <f aca="false">'Raw Data'!U2908</f>
        <v>4</v>
      </c>
      <c r="G2908" s="2" t="n">
        <f aca="false">'Raw Data'!W2908</f>
        <v>3</v>
      </c>
      <c r="H2908" s="2" t="n">
        <f aca="false">'Raw Data'!V2908</f>
        <v>3</v>
      </c>
      <c r="I2908" s="2" t="n">
        <f aca="false">IF(AND(ISNUMBER(B2908),B2908&lt;=25),2,0)+IF(AND(ISNUMBER(E2908),E2908&lt;=5),2,0)+IF(AND(ISNUMBER(F2908),F2908&lt;=1),2,0)+IF(AND(ISNUMBER(G2908),G2908&lt;=2),1,0)+IF(AND(ISNUMBER(H2908),H2908&lt;=2),1,0)</f>
        <v>0</v>
      </c>
      <c r="J2908" s="2" t="str">
        <f aca="false">IF(I2908&gt;=6,"High",IF(I2908&gt;=3,"Medium","Low"))</f>
        <v>Low</v>
      </c>
    </row>
    <row r="2909" customFormat="false" ht="15" hidden="false" customHeight="true" outlineLevel="0" collapsed="false">
      <c r="A2909" s="2" t="n">
        <f aca="false">'Raw Data'!H2909</f>
        <v>2908</v>
      </c>
      <c r="B2909" s="2" t="n">
        <f aca="false">'Raw Data'!A2909</f>
        <v>59</v>
      </c>
      <c r="C2909" s="2" t="str">
        <f aca="false">'Raw Data'!D2909</f>
        <v>Research &amp; Development</v>
      </c>
      <c r="D2909" s="2" t="str">
        <f aca="false">'Raw Data'!K2909</f>
        <v>Manager</v>
      </c>
      <c r="E2909" s="2" t="n">
        <f aca="false">'Raw Data'!Q2909</f>
        <v>7</v>
      </c>
      <c r="F2909" s="2" t="n">
        <f aca="false">'Raw Data'!U2909</f>
        <v>0</v>
      </c>
      <c r="G2909" s="2" t="n">
        <f aca="false">'Raw Data'!W2909</f>
        <v>4</v>
      </c>
      <c r="H2909" s="2" t="n">
        <f aca="false">'Raw Data'!V2909</f>
        <v>3</v>
      </c>
      <c r="I2909" s="2" t="n">
        <f aca="false">IF(AND(ISNUMBER(B2909),B2909&lt;=25),2,0)+IF(AND(ISNUMBER(E2909),E2909&lt;=5),2,0)+IF(AND(ISNUMBER(F2909),F2909&lt;=1),2,0)+IF(AND(ISNUMBER(G2909),G2909&lt;=2),1,0)+IF(AND(ISNUMBER(H2909),H2909&lt;=2),1,0)</f>
        <v>2</v>
      </c>
      <c r="J2909" s="2" t="str">
        <f aca="false">IF(I2909&gt;=6,"High",IF(I2909&gt;=3,"Medium","Low"))</f>
        <v>Low</v>
      </c>
    </row>
    <row r="2910" customFormat="false" ht="15" hidden="false" customHeight="true" outlineLevel="0" collapsed="false">
      <c r="A2910" s="2" t="n">
        <f aca="false">'Raw Data'!H2910</f>
        <v>2909</v>
      </c>
      <c r="B2910" s="2" t="n">
        <f aca="false">'Raw Data'!A2910</f>
        <v>37</v>
      </c>
      <c r="C2910" s="2" t="str">
        <f aca="false">'Raw Data'!D2910</f>
        <v>Sales</v>
      </c>
      <c r="D2910" s="2" t="str">
        <f aca="false">'Raw Data'!K2910</f>
        <v>Laboratory Technician</v>
      </c>
      <c r="E2910" s="2" t="n">
        <f aca="false">'Raw Data'!Q2910</f>
        <v>13</v>
      </c>
      <c r="F2910" s="2" t="n">
        <f aca="false">'Raw Data'!U2910</f>
        <v>8</v>
      </c>
      <c r="G2910" s="2" t="n">
        <f aca="false">'Raw Data'!W2910</f>
        <v>4</v>
      </c>
      <c r="H2910" s="2" t="n">
        <f aca="false">'Raw Data'!V2910</f>
        <v>1</v>
      </c>
      <c r="I2910" s="2" t="n">
        <f aca="false">IF(AND(ISNUMBER(B2910),B2910&lt;=25),2,0)+IF(AND(ISNUMBER(E2910),E2910&lt;=5),2,0)+IF(AND(ISNUMBER(F2910),F2910&lt;=1),2,0)+IF(AND(ISNUMBER(G2910),G2910&lt;=2),1,0)+IF(AND(ISNUMBER(H2910),H2910&lt;=2),1,0)</f>
        <v>1</v>
      </c>
      <c r="J2910" s="2" t="str">
        <f aca="false">IF(I2910&gt;=6,"High",IF(I2910&gt;=3,"Medium","Low"))</f>
        <v>Low</v>
      </c>
    </row>
    <row r="2911" customFormat="false" ht="15" hidden="false" customHeight="true" outlineLevel="0" collapsed="false">
      <c r="A2911" s="2" t="n">
        <f aca="false">'Raw Data'!H2911</f>
        <v>2910</v>
      </c>
      <c r="B2911" s="2" t="n">
        <f aca="false">'Raw Data'!A2911</f>
        <v>29</v>
      </c>
      <c r="C2911" s="2" t="str">
        <f aca="false">'Raw Data'!D2911</f>
        <v>Sales</v>
      </c>
      <c r="D2911" s="2" t="str">
        <f aca="false">'Raw Data'!K2911</f>
        <v>Sales Executive</v>
      </c>
      <c r="E2911" s="2" t="n">
        <f aca="false">'Raw Data'!Q2911</f>
        <v>11</v>
      </c>
      <c r="F2911" s="2" t="n">
        <f aca="false">'Raw Data'!U2911</f>
        <v>1</v>
      </c>
      <c r="G2911" s="2" t="n">
        <f aca="false">'Raw Data'!W2911</f>
        <v>4</v>
      </c>
      <c r="H2911" s="2" t="n">
        <f aca="false">'Raw Data'!V2911</f>
        <v>2</v>
      </c>
      <c r="I2911" s="2" t="n">
        <f aca="false">IF(AND(ISNUMBER(B2911),B2911&lt;=25),2,0)+IF(AND(ISNUMBER(E2911),E2911&lt;=5),2,0)+IF(AND(ISNUMBER(F2911),F2911&lt;=1),2,0)+IF(AND(ISNUMBER(G2911),G2911&lt;=2),1,0)+IF(AND(ISNUMBER(H2911),H2911&lt;=2),1,0)</f>
        <v>3</v>
      </c>
      <c r="J2911" s="2" t="str">
        <f aca="false">IF(I2911&gt;=6,"High",IF(I2911&gt;=3,"Medium","Low"))</f>
        <v>Medium</v>
      </c>
    </row>
    <row r="2912" customFormat="false" ht="15" hidden="false" customHeight="true" outlineLevel="0" collapsed="false">
      <c r="A2912" s="2" t="n">
        <f aca="false">'Raw Data'!H2912</f>
        <v>2911</v>
      </c>
      <c r="B2912" s="2" t="n">
        <f aca="false">'Raw Data'!A2912</f>
        <v>35</v>
      </c>
      <c r="C2912" s="2" t="str">
        <f aca="false">'Raw Data'!D2912</f>
        <v>Research &amp; Development</v>
      </c>
      <c r="D2912" s="2" t="str">
        <f aca="false">'Raw Data'!K2912</f>
        <v>Sales Executive</v>
      </c>
      <c r="E2912" s="2" t="n">
        <f aca="false">'Raw Data'!Q2912</f>
        <v>10</v>
      </c>
      <c r="F2912" s="2" t="n">
        <f aca="false">'Raw Data'!U2912</f>
        <v>8</v>
      </c>
      <c r="G2912" s="2" t="n">
        <f aca="false">'Raw Data'!W2912</f>
        <v>3</v>
      </c>
      <c r="H2912" s="2" t="n">
        <f aca="false">'Raw Data'!V2912</f>
        <v>3</v>
      </c>
      <c r="I2912" s="2" t="n">
        <f aca="false">IF(AND(ISNUMBER(B2912),B2912&lt;=25),2,0)+IF(AND(ISNUMBER(E2912),E2912&lt;=5),2,0)+IF(AND(ISNUMBER(F2912),F2912&lt;=1),2,0)+IF(AND(ISNUMBER(G2912),G2912&lt;=2),1,0)+IF(AND(ISNUMBER(H2912),H2912&lt;=2),1,0)</f>
        <v>0</v>
      </c>
      <c r="J2912" s="2" t="str">
        <f aca="false">IF(I2912&gt;=6,"High",IF(I2912&gt;=3,"Medium","Low"))</f>
        <v>Low</v>
      </c>
    </row>
    <row r="2913" customFormat="false" ht="15" hidden="false" customHeight="true" outlineLevel="0" collapsed="false">
      <c r="A2913" s="2" t="n">
        <f aca="false">'Raw Data'!H2913</f>
        <v>2912</v>
      </c>
      <c r="B2913" s="2" t="n">
        <f aca="false">'Raw Data'!A2913</f>
        <v>29</v>
      </c>
      <c r="C2913" s="2" t="str">
        <f aca="false">'Raw Data'!D2913</f>
        <v>Research &amp; Development</v>
      </c>
      <c r="D2913" s="2" t="str">
        <f aca="false">'Raw Data'!K2913</f>
        <v>Research Scientist</v>
      </c>
      <c r="E2913" s="2" t="n">
        <f aca="false">'Raw Data'!Q2913</f>
        <v>4</v>
      </c>
      <c r="F2913" s="2" t="n">
        <f aca="false">'Raw Data'!U2913</f>
        <v>1</v>
      </c>
      <c r="G2913" s="2" t="n">
        <f aca="false">'Raw Data'!W2913</f>
        <v>4</v>
      </c>
      <c r="H2913" s="2" t="n">
        <f aca="false">'Raw Data'!V2913</f>
        <v>3</v>
      </c>
      <c r="I2913" s="2" t="n">
        <f aca="false">IF(AND(ISNUMBER(B2913),B2913&lt;=25),2,0)+IF(AND(ISNUMBER(E2913),E2913&lt;=5),2,0)+IF(AND(ISNUMBER(F2913),F2913&lt;=1),2,0)+IF(AND(ISNUMBER(G2913),G2913&lt;=2),1,0)+IF(AND(ISNUMBER(H2913),H2913&lt;=2),1,0)</f>
        <v>4</v>
      </c>
      <c r="J2913" s="2" t="str">
        <f aca="false">IF(I2913&gt;=6,"High",IF(I2913&gt;=3,"Medium","Low"))</f>
        <v>Medium</v>
      </c>
    </row>
    <row r="2914" customFormat="false" ht="15" hidden="false" customHeight="true" outlineLevel="0" collapsed="false">
      <c r="A2914" s="2" t="n">
        <f aca="false">'Raw Data'!H2914</f>
        <v>2913</v>
      </c>
      <c r="B2914" s="2" t="n">
        <f aca="false">'Raw Data'!A2914</f>
        <v>52</v>
      </c>
      <c r="C2914" s="2" t="str">
        <f aca="false">'Raw Data'!D2914</f>
        <v>Research &amp; Development</v>
      </c>
      <c r="D2914" s="2" t="str">
        <f aca="false">'Raw Data'!K2914</f>
        <v>Manager</v>
      </c>
      <c r="E2914" s="2" t="n">
        <f aca="false">'Raw Data'!Q2914</f>
        <v>6</v>
      </c>
      <c r="F2914" s="2" t="n">
        <f aca="false">'Raw Data'!U2914</f>
        <v>2</v>
      </c>
      <c r="G2914" s="2" t="n">
        <f aca="false">'Raw Data'!W2914</f>
        <v>4</v>
      </c>
      <c r="H2914" s="2" t="n">
        <f aca="false">'Raw Data'!V2914</f>
        <v>3</v>
      </c>
      <c r="I2914" s="2" t="n">
        <f aca="false">IF(AND(ISNUMBER(B2914),B2914&lt;=25),2,0)+IF(AND(ISNUMBER(E2914),E2914&lt;=5),2,0)+IF(AND(ISNUMBER(F2914),F2914&lt;=1),2,0)+IF(AND(ISNUMBER(G2914),G2914&lt;=2),1,0)+IF(AND(ISNUMBER(H2914),H2914&lt;=2),1,0)</f>
        <v>0</v>
      </c>
      <c r="J2914" s="2" t="str">
        <f aca="false">IF(I2914&gt;=6,"High",IF(I2914&gt;=3,"Medium","Low"))</f>
        <v>Low</v>
      </c>
    </row>
    <row r="2915" customFormat="false" ht="15" hidden="false" customHeight="true" outlineLevel="0" collapsed="false">
      <c r="A2915" s="2" t="n">
        <f aca="false">'Raw Data'!H2915</f>
        <v>2914</v>
      </c>
      <c r="B2915" s="2" t="n">
        <f aca="false">'Raw Data'!A2915</f>
        <v>42</v>
      </c>
      <c r="C2915" s="2" t="str">
        <f aca="false">'Raw Data'!D2915</f>
        <v>Research &amp; Development</v>
      </c>
      <c r="D2915" s="2" t="str">
        <f aca="false">'Raw Data'!K2915</f>
        <v>Sales Executive</v>
      </c>
      <c r="E2915" s="2" t="n">
        <f aca="false">'Raw Data'!Q2915</f>
        <v>22</v>
      </c>
      <c r="F2915" s="2" t="n">
        <f aca="false">'Raw Data'!U2915</f>
        <v>15</v>
      </c>
      <c r="G2915" s="2" t="n">
        <f aca="false">'Raw Data'!W2915</f>
        <v>4</v>
      </c>
      <c r="H2915" s="2" t="n">
        <f aca="false">'Raw Data'!V2915</f>
        <v>3</v>
      </c>
      <c r="I2915" s="2" t="n">
        <f aca="false">IF(AND(ISNUMBER(B2915),B2915&lt;=25),2,0)+IF(AND(ISNUMBER(E2915),E2915&lt;=5),2,0)+IF(AND(ISNUMBER(F2915),F2915&lt;=1),2,0)+IF(AND(ISNUMBER(G2915),G2915&lt;=2),1,0)+IF(AND(ISNUMBER(H2915),H2915&lt;=2),1,0)</f>
        <v>0</v>
      </c>
      <c r="J2915" s="2" t="str">
        <f aca="false">IF(I2915&gt;=6,"High",IF(I2915&gt;=3,"Medium","Low"))</f>
        <v>Low</v>
      </c>
    </row>
    <row r="2916" customFormat="false" ht="15" hidden="false" customHeight="true" outlineLevel="0" collapsed="false">
      <c r="A2916" s="2" t="n">
        <f aca="false">'Raw Data'!H2916</f>
        <v>2915</v>
      </c>
      <c r="B2916" s="2" t="n">
        <f aca="false">'Raw Data'!A2916</f>
        <v>59</v>
      </c>
      <c r="C2916" s="2" t="str">
        <f aca="false">'Raw Data'!D2916</f>
        <v>Research &amp; Development</v>
      </c>
      <c r="D2916" s="2" t="str">
        <f aca="false">'Raw Data'!K2916</f>
        <v>Healthcare Representative</v>
      </c>
      <c r="E2916" s="2" t="n">
        <f aca="false">'Raw Data'!Q2916</f>
        <v>7</v>
      </c>
      <c r="F2916" s="2" t="n">
        <f aca="false">'Raw Data'!U2916</f>
        <v>2</v>
      </c>
      <c r="G2916" s="2" t="n">
        <f aca="false">'Raw Data'!W2916</f>
        <v>3</v>
      </c>
      <c r="H2916" s="2" t="n">
        <f aca="false">'Raw Data'!V2916</f>
        <v>2</v>
      </c>
      <c r="I2916" s="2" t="n">
        <f aca="false">IF(AND(ISNUMBER(B2916),B2916&lt;=25),2,0)+IF(AND(ISNUMBER(E2916),E2916&lt;=5),2,0)+IF(AND(ISNUMBER(F2916),F2916&lt;=1),2,0)+IF(AND(ISNUMBER(G2916),G2916&lt;=2),1,0)+IF(AND(ISNUMBER(H2916),H2916&lt;=2),1,0)</f>
        <v>1</v>
      </c>
      <c r="J2916" s="2" t="str">
        <f aca="false">IF(I2916&gt;=6,"High",IF(I2916&gt;=3,"Medium","Low"))</f>
        <v>Low</v>
      </c>
    </row>
    <row r="2917" customFormat="false" ht="15" hidden="false" customHeight="true" outlineLevel="0" collapsed="false">
      <c r="A2917" s="2" t="n">
        <f aca="false">'Raw Data'!H2917</f>
        <v>2916</v>
      </c>
      <c r="B2917" s="2" t="n">
        <f aca="false">'Raw Data'!A2917</f>
        <v>50</v>
      </c>
      <c r="C2917" s="2" t="str">
        <f aca="false">'Raw Data'!D2917</f>
        <v>Research &amp; Development</v>
      </c>
      <c r="D2917" s="2" t="str">
        <f aca="false">'Raw Data'!K2917</f>
        <v>Sales Executive</v>
      </c>
      <c r="E2917" s="2" t="n">
        <f aca="false">'Raw Data'!Q2917</f>
        <v>32</v>
      </c>
      <c r="F2917" s="2" t="n">
        <f aca="false">'Raw Data'!U2917</f>
        <v>6</v>
      </c>
      <c r="G2917" s="2" t="n">
        <f aca="false">'Raw Data'!W2917</f>
        <v>4</v>
      </c>
      <c r="H2917" s="2" t="n">
        <f aca="false">'Raw Data'!V2917</f>
        <v>4</v>
      </c>
      <c r="I2917" s="2" t="n">
        <f aca="false">IF(AND(ISNUMBER(B2917),B2917&lt;=25),2,0)+IF(AND(ISNUMBER(E2917),E2917&lt;=5),2,0)+IF(AND(ISNUMBER(F2917),F2917&lt;=1),2,0)+IF(AND(ISNUMBER(G2917),G2917&lt;=2),1,0)+IF(AND(ISNUMBER(H2917),H2917&lt;=2),1,0)</f>
        <v>0</v>
      </c>
      <c r="J2917" s="2" t="str">
        <f aca="false">IF(I2917&gt;=6,"High",IF(I2917&gt;=3,"Medium","Low"))</f>
        <v>Low</v>
      </c>
    </row>
    <row r="2918" customFormat="false" ht="15" hidden="false" customHeight="true" outlineLevel="0" collapsed="false">
      <c r="A2918" s="2" t="n">
        <f aca="false">'Raw Data'!H2918</f>
        <v>2917</v>
      </c>
      <c r="B2918" s="2" t="n">
        <f aca="false">'Raw Data'!A2918</f>
        <v>33</v>
      </c>
      <c r="C2918" s="2" t="str">
        <f aca="false">'Raw Data'!D2918</f>
        <v>Sales</v>
      </c>
      <c r="D2918" s="2" t="str">
        <f aca="false">'Raw Data'!K2918</f>
        <v>Research Scientist</v>
      </c>
      <c r="E2918" s="2" t="n">
        <f aca="false">'Raw Data'!Q2918</f>
        <v>8</v>
      </c>
      <c r="F2918" s="2" t="n">
        <f aca="false">'Raw Data'!U2918</f>
        <v>4</v>
      </c>
      <c r="G2918" s="2" t="n">
        <f aca="false">'Raw Data'!W2918</f>
        <v>4</v>
      </c>
      <c r="H2918" s="2" t="n">
        <f aca="false">'Raw Data'!V2918</f>
        <v>3</v>
      </c>
      <c r="I2918" s="2" t="n">
        <f aca="false">IF(AND(ISNUMBER(B2918),B2918&lt;=25),2,0)+IF(AND(ISNUMBER(E2918),E2918&lt;=5),2,0)+IF(AND(ISNUMBER(F2918),F2918&lt;=1),2,0)+IF(AND(ISNUMBER(G2918),G2918&lt;=2),1,0)+IF(AND(ISNUMBER(H2918),H2918&lt;=2),1,0)</f>
        <v>0</v>
      </c>
      <c r="J2918" s="2" t="str">
        <f aca="false">IF(I2918&gt;=6,"High",IF(I2918&gt;=3,"Medium","Low"))</f>
        <v>Low</v>
      </c>
    </row>
    <row r="2919" customFormat="false" ht="15" hidden="false" customHeight="true" outlineLevel="0" collapsed="false">
      <c r="A2919" s="2" t="n">
        <f aca="false">'Raw Data'!H2919</f>
        <v>2918</v>
      </c>
      <c r="B2919" s="2" t="n">
        <f aca="false">'Raw Data'!A2919</f>
        <v>43</v>
      </c>
      <c r="C2919" s="2" t="str">
        <f aca="false">'Raw Data'!D2919</f>
        <v>Sales</v>
      </c>
      <c r="D2919" s="2" t="str">
        <f aca="false">'Raw Data'!K2919</f>
        <v>Manufacturing Director</v>
      </c>
      <c r="E2919" s="2" t="n">
        <f aca="false">'Raw Data'!Q2919</f>
        <v>22</v>
      </c>
      <c r="F2919" s="2" t="n">
        <f aca="false">'Raw Data'!U2919</f>
        <v>9</v>
      </c>
      <c r="G2919" s="2" t="n">
        <f aca="false">'Raw Data'!W2919</f>
        <v>4</v>
      </c>
      <c r="H2919" s="2" t="n">
        <f aca="false">'Raw Data'!V2919</f>
        <v>4</v>
      </c>
      <c r="I2919" s="2" t="n">
        <f aca="false">IF(AND(ISNUMBER(B2919),B2919&lt;=25),2,0)+IF(AND(ISNUMBER(E2919),E2919&lt;=5),2,0)+IF(AND(ISNUMBER(F2919),F2919&lt;=1),2,0)+IF(AND(ISNUMBER(G2919),G2919&lt;=2),1,0)+IF(AND(ISNUMBER(H2919),H2919&lt;=2),1,0)</f>
        <v>0</v>
      </c>
      <c r="J2919" s="2" t="str">
        <f aca="false">IF(I2919&gt;=6,"High",IF(I2919&gt;=3,"Medium","Low"))</f>
        <v>Low</v>
      </c>
    </row>
    <row r="2920" customFormat="false" ht="15" hidden="false" customHeight="true" outlineLevel="0" collapsed="false">
      <c r="A2920" s="2" t="n">
        <f aca="false">'Raw Data'!H2920</f>
        <v>2919</v>
      </c>
      <c r="B2920" s="2" t="n">
        <f aca="false">'Raw Data'!A2920</f>
        <v>33</v>
      </c>
      <c r="C2920" s="2" t="str">
        <f aca="false">'Raw Data'!D2920</f>
        <v>Sales</v>
      </c>
      <c r="D2920" s="2" t="str">
        <f aca="false">'Raw Data'!K2920</f>
        <v>Manager</v>
      </c>
      <c r="E2920" s="2" t="n">
        <f aca="false">'Raw Data'!Q2920</f>
        <v>13</v>
      </c>
      <c r="F2920" s="2" t="n">
        <f aca="false">'Raw Data'!U2920</f>
        <v>7</v>
      </c>
      <c r="G2920" s="2" t="n">
        <f aca="false">'Raw Data'!W2920</f>
        <v>1</v>
      </c>
      <c r="H2920" s="2" t="n">
        <f aca="false">'Raw Data'!V2920</f>
        <v>1</v>
      </c>
      <c r="I2920" s="2" t="n">
        <f aca="false">IF(AND(ISNUMBER(B2920),B2920&lt;=25),2,0)+IF(AND(ISNUMBER(E2920),E2920&lt;=5),2,0)+IF(AND(ISNUMBER(F2920),F2920&lt;=1),2,0)+IF(AND(ISNUMBER(G2920),G2920&lt;=2),1,0)+IF(AND(ISNUMBER(H2920),H2920&lt;=2),1,0)</f>
        <v>2</v>
      </c>
      <c r="J2920" s="2" t="str">
        <f aca="false">IF(I2920&gt;=6,"High",IF(I2920&gt;=3,"Medium","Low"))</f>
        <v>Low</v>
      </c>
    </row>
    <row r="2921" customFormat="false" ht="15" hidden="false" customHeight="true" outlineLevel="0" collapsed="false">
      <c r="A2921" s="2" t="n">
        <f aca="false">'Raw Data'!H2921</f>
        <v>2920</v>
      </c>
      <c r="B2921" s="2" t="n">
        <f aca="false">'Raw Data'!A2921</f>
        <v>52</v>
      </c>
      <c r="C2921" s="2" t="str">
        <f aca="false">'Raw Data'!D2921</f>
        <v>Research &amp; Development</v>
      </c>
      <c r="D2921" s="2" t="str">
        <f aca="false">'Raw Data'!K2921</f>
        <v>Sales Executive</v>
      </c>
      <c r="E2921" s="2" t="n">
        <f aca="false">'Raw Data'!Q2921</f>
        <v>33</v>
      </c>
      <c r="F2921" s="2" t="n">
        <f aca="false">'Raw Data'!U2921</f>
        <v>12</v>
      </c>
      <c r="G2921" s="2" t="n">
        <f aca="false">'Raw Data'!W2921</f>
        <v>3</v>
      </c>
      <c r="H2921" s="2" t="n">
        <f aca="false">'Raw Data'!V2921</f>
        <v>1</v>
      </c>
      <c r="I2921" s="2" t="n">
        <f aca="false">IF(AND(ISNUMBER(B2921),B2921&lt;=25),2,0)+IF(AND(ISNUMBER(E2921),E2921&lt;=5),2,0)+IF(AND(ISNUMBER(F2921),F2921&lt;=1),2,0)+IF(AND(ISNUMBER(G2921),G2921&lt;=2),1,0)+IF(AND(ISNUMBER(H2921),H2921&lt;=2),1,0)</f>
        <v>1</v>
      </c>
      <c r="J2921" s="2" t="str">
        <f aca="false">IF(I2921&gt;=6,"High",IF(I2921&gt;=3,"Medium","Low"))</f>
        <v>Low</v>
      </c>
    </row>
    <row r="2922" customFormat="false" ht="15" hidden="false" customHeight="true" outlineLevel="0" collapsed="false">
      <c r="A2922" s="2" t="n">
        <f aca="false">'Raw Data'!H2922</f>
        <v>2921</v>
      </c>
      <c r="B2922" s="2" t="n">
        <f aca="false">'Raw Data'!A2922</f>
        <v>32</v>
      </c>
      <c r="C2922" s="2" t="str">
        <f aca="false">'Raw Data'!D2922</f>
        <v>Human Resources</v>
      </c>
      <c r="D2922" s="2" t="str">
        <f aca="false">'Raw Data'!K2922</f>
        <v>Manufacturing Director</v>
      </c>
      <c r="E2922" s="2" t="n">
        <f aca="false">'Raw Data'!Q2922</f>
        <v>6</v>
      </c>
      <c r="F2922" s="2" t="n">
        <f aca="false">'Raw Data'!U2922</f>
        <v>2</v>
      </c>
      <c r="G2922" s="2" t="n">
        <f aca="false">'Raw Data'!W2922</f>
        <v>2</v>
      </c>
      <c r="H2922" s="2" t="n">
        <f aca="false">'Raw Data'!V2922</f>
        <v>3</v>
      </c>
      <c r="I2922" s="2" t="n">
        <f aca="false">IF(AND(ISNUMBER(B2922),B2922&lt;=25),2,0)+IF(AND(ISNUMBER(E2922),E2922&lt;=5),2,0)+IF(AND(ISNUMBER(F2922),F2922&lt;=1),2,0)+IF(AND(ISNUMBER(G2922),G2922&lt;=2),1,0)+IF(AND(ISNUMBER(H2922),H2922&lt;=2),1,0)</f>
        <v>1</v>
      </c>
      <c r="J2922" s="2" t="str">
        <f aca="false">IF(I2922&gt;=6,"High",IF(I2922&gt;=3,"Medium","Low"))</f>
        <v>Low</v>
      </c>
    </row>
    <row r="2923" customFormat="false" ht="15" hidden="false" customHeight="true" outlineLevel="0" collapsed="false">
      <c r="A2923" s="2" t="n">
        <f aca="false">'Raw Data'!H2923</f>
        <v>2922</v>
      </c>
      <c r="B2923" s="2" t="n">
        <f aca="false">'Raw Data'!A2923</f>
        <v>32</v>
      </c>
      <c r="C2923" s="2" t="str">
        <f aca="false">'Raw Data'!D2923</f>
        <v>Sales</v>
      </c>
      <c r="D2923" s="2" t="str">
        <f aca="false">'Raw Data'!K2923</f>
        <v>Healthcare Representative</v>
      </c>
      <c r="E2923" s="2" t="n">
        <f aca="false">'Raw Data'!Q2923</f>
        <v>4</v>
      </c>
      <c r="F2923" s="2" t="n">
        <f aca="false">'Raw Data'!U2923</f>
        <v>2</v>
      </c>
      <c r="G2923" s="2" t="n">
        <f aca="false">'Raw Data'!W2923</f>
        <v>3</v>
      </c>
      <c r="H2923" s="2" t="n">
        <f aca="false">'Raw Data'!V2923</f>
        <v>4</v>
      </c>
      <c r="I2923" s="2" t="n">
        <f aca="false">IF(AND(ISNUMBER(B2923),B2923&lt;=25),2,0)+IF(AND(ISNUMBER(E2923),E2923&lt;=5),2,0)+IF(AND(ISNUMBER(F2923),F2923&lt;=1),2,0)+IF(AND(ISNUMBER(G2923),G2923&lt;=2),1,0)+IF(AND(ISNUMBER(H2923),H2923&lt;=2),1,0)</f>
        <v>2</v>
      </c>
      <c r="J2923" s="2" t="str">
        <f aca="false">IF(I2923&gt;=6,"High",IF(I2923&gt;=3,"Medium","Low"))</f>
        <v>Low</v>
      </c>
    </row>
    <row r="2924" customFormat="false" ht="15" hidden="false" customHeight="true" outlineLevel="0" collapsed="false">
      <c r="A2924" s="2" t="n">
        <f aca="false">'Raw Data'!H2924</f>
        <v>2923</v>
      </c>
      <c r="B2924" s="2" t="n">
        <f aca="false">'Raw Data'!A2924</f>
        <v>39</v>
      </c>
      <c r="C2924" s="2" t="str">
        <f aca="false">'Raw Data'!D2924</f>
        <v>Sales</v>
      </c>
      <c r="D2924" s="2" t="str">
        <f aca="false">'Raw Data'!K2924</f>
        <v>Research Director</v>
      </c>
      <c r="E2924" s="2" t="n">
        <f aca="false">'Raw Data'!Q2924</f>
        <v>7</v>
      </c>
      <c r="F2924" s="2" t="n">
        <f aca="false">'Raw Data'!U2924</f>
        <v>2</v>
      </c>
      <c r="G2924" s="2" t="n">
        <f aca="false">'Raw Data'!W2924</f>
        <v>3</v>
      </c>
      <c r="H2924" s="2" t="n">
        <f aca="false">'Raw Data'!V2924</f>
        <v>3</v>
      </c>
      <c r="I2924" s="2" t="n">
        <f aca="false">IF(AND(ISNUMBER(B2924),B2924&lt;=25),2,0)+IF(AND(ISNUMBER(E2924),E2924&lt;=5),2,0)+IF(AND(ISNUMBER(F2924),F2924&lt;=1),2,0)+IF(AND(ISNUMBER(G2924),G2924&lt;=2),1,0)+IF(AND(ISNUMBER(H2924),H2924&lt;=2),1,0)</f>
        <v>0</v>
      </c>
      <c r="J2924" s="2" t="str">
        <f aca="false">IF(I2924&gt;=6,"High",IF(I2924&gt;=3,"Medium","Low"))</f>
        <v>Low</v>
      </c>
    </row>
    <row r="2925" customFormat="false" ht="15" hidden="false" customHeight="true" outlineLevel="0" collapsed="false">
      <c r="A2925" s="2" t="n">
        <f aca="false">'Raw Data'!H2925</f>
        <v>2924</v>
      </c>
      <c r="B2925" s="2" t="n">
        <f aca="false">'Raw Data'!A2925</f>
        <v>32</v>
      </c>
      <c r="C2925" s="2" t="str">
        <f aca="false">'Raw Data'!D2925</f>
        <v>Sales</v>
      </c>
      <c r="D2925" s="2" t="str">
        <f aca="false">'Raw Data'!K2925</f>
        <v>Research Scientist</v>
      </c>
      <c r="E2925" s="2" t="n">
        <f aca="false">'Raw Data'!Q2925</f>
        <v>4</v>
      </c>
      <c r="F2925" s="2" t="n">
        <f aca="false">'Raw Data'!U2925</f>
        <v>2</v>
      </c>
      <c r="G2925" s="2" t="n">
        <f aca="false">'Raw Data'!W2925</f>
        <v>4</v>
      </c>
      <c r="H2925" s="2" t="n">
        <f aca="false">'Raw Data'!V2925</f>
        <v>3</v>
      </c>
      <c r="I2925" s="2" t="n">
        <f aca="false">IF(AND(ISNUMBER(B2925),B2925&lt;=25),2,0)+IF(AND(ISNUMBER(E2925),E2925&lt;=5),2,0)+IF(AND(ISNUMBER(F2925),F2925&lt;=1),2,0)+IF(AND(ISNUMBER(G2925),G2925&lt;=2),1,0)+IF(AND(ISNUMBER(H2925),H2925&lt;=2),1,0)</f>
        <v>2</v>
      </c>
      <c r="J2925" s="2" t="str">
        <f aca="false">IF(I2925&gt;=6,"High",IF(I2925&gt;=3,"Medium","Low"))</f>
        <v>Low</v>
      </c>
    </row>
    <row r="2926" customFormat="false" ht="15" hidden="false" customHeight="true" outlineLevel="0" collapsed="false">
      <c r="A2926" s="2" t="n">
        <f aca="false">'Raw Data'!H2926</f>
        <v>2925</v>
      </c>
      <c r="B2926" s="2" t="n">
        <f aca="false">'Raw Data'!A2926</f>
        <v>41</v>
      </c>
      <c r="C2926" s="2" t="str">
        <f aca="false">'Raw Data'!D2926</f>
        <v>Sales</v>
      </c>
      <c r="D2926" s="2" t="str">
        <f aca="false">'Raw Data'!K2926</f>
        <v>Laboratory Technician</v>
      </c>
      <c r="E2926" s="2" t="n">
        <f aca="false">'Raw Data'!Q2926</f>
        <v>17</v>
      </c>
      <c r="F2926" s="2" t="n">
        <f aca="false">'Raw Data'!U2926</f>
        <v>0</v>
      </c>
      <c r="G2926" s="2" t="n">
        <f aca="false">'Raw Data'!W2926</f>
        <v>1</v>
      </c>
      <c r="H2926" s="2" t="n">
        <f aca="false">'Raw Data'!V2926</f>
        <v>3</v>
      </c>
      <c r="I2926" s="2" t="n">
        <f aca="false">IF(AND(ISNUMBER(B2926),B2926&lt;=25),2,0)+IF(AND(ISNUMBER(E2926),E2926&lt;=5),2,0)+IF(AND(ISNUMBER(F2926),F2926&lt;=1),2,0)+IF(AND(ISNUMBER(G2926),G2926&lt;=2),1,0)+IF(AND(ISNUMBER(H2926),H2926&lt;=2),1,0)</f>
        <v>3</v>
      </c>
      <c r="J2926" s="2" t="str">
        <f aca="false">IF(I2926&gt;=6,"High",IF(I2926&gt;=3,"Medium","Low"))</f>
        <v>Medium</v>
      </c>
    </row>
    <row r="2927" customFormat="false" ht="15" hidden="false" customHeight="true" outlineLevel="0" collapsed="false">
      <c r="A2927" s="2" t="n">
        <f aca="false">'Raw Data'!H2927</f>
        <v>2926</v>
      </c>
      <c r="B2927" s="2" t="n">
        <f aca="false">'Raw Data'!A2927</f>
        <v>40</v>
      </c>
      <c r="C2927" s="2" t="str">
        <f aca="false">'Raw Data'!D2927</f>
        <v>Research &amp; Development</v>
      </c>
      <c r="D2927" s="2" t="str">
        <f aca="false">'Raw Data'!K2927</f>
        <v>Manufacturing Director</v>
      </c>
      <c r="E2927" s="2" t="n">
        <f aca="false">'Raw Data'!Q2927</f>
        <v>9</v>
      </c>
      <c r="F2927" s="2" t="n">
        <f aca="false">'Raw Data'!U2927</f>
        <v>7</v>
      </c>
      <c r="G2927" s="2" t="n">
        <f aca="false">'Raw Data'!W2927</f>
        <v>4</v>
      </c>
      <c r="H2927" s="2" t="n">
        <f aca="false">'Raw Data'!V2927</f>
        <v>0</v>
      </c>
      <c r="I2927" s="2" t="n">
        <f aca="false">IF(AND(ISNUMBER(B2927),B2927&lt;=25),2,0)+IF(AND(ISNUMBER(E2927),E2927&lt;=5),2,0)+IF(AND(ISNUMBER(F2927),F2927&lt;=1),2,0)+IF(AND(ISNUMBER(G2927),G2927&lt;=2),1,0)+IF(AND(ISNUMBER(H2927),H2927&lt;=2),1,0)</f>
        <v>0</v>
      </c>
      <c r="J2927" s="2" t="str">
        <f aca="false">IF(I2927&gt;=6,"High",IF(I2927&gt;=3,"Medium","Low"))</f>
        <v>Low</v>
      </c>
    </row>
    <row r="2928" customFormat="false" ht="15" hidden="false" customHeight="true" outlineLevel="0" collapsed="false">
      <c r="A2928" s="2" t="n">
        <f aca="false">'Raw Data'!H2928</f>
        <v>2927</v>
      </c>
      <c r="B2928" s="2" t="n">
        <f aca="false">'Raw Data'!A2928</f>
        <v>45</v>
      </c>
      <c r="C2928" s="2" t="str">
        <f aca="false">'Raw Data'!D2928</f>
        <v>Research &amp; Development</v>
      </c>
      <c r="D2928" s="2" t="str">
        <f aca="false">'Raw Data'!K2928</f>
        <v>Sales Representative</v>
      </c>
      <c r="E2928" s="2" t="n">
        <f aca="false">'Raw Data'!Q2928</f>
        <v>25</v>
      </c>
      <c r="F2928" s="2" t="n">
        <f aca="false">'Raw Data'!U2928</f>
        <v>7</v>
      </c>
      <c r="G2928" s="2" t="n">
        <f aca="false">'Raw Data'!W2928</f>
        <v>4</v>
      </c>
      <c r="H2928" s="2" t="n">
        <f aca="false">'Raw Data'!V2928</f>
        <v>3</v>
      </c>
      <c r="I2928" s="2" t="n">
        <f aca="false">IF(AND(ISNUMBER(B2928),B2928&lt;=25),2,0)+IF(AND(ISNUMBER(E2928),E2928&lt;=5),2,0)+IF(AND(ISNUMBER(F2928),F2928&lt;=1),2,0)+IF(AND(ISNUMBER(G2928),G2928&lt;=2),1,0)+IF(AND(ISNUMBER(H2928),H2928&lt;=2),1,0)</f>
        <v>0</v>
      </c>
      <c r="J2928" s="2" t="str">
        <f aca="false">IF(I2928&gt;=6,"High",IF(I2928&gt;=3,"Medium","Low"))</f>
        <v>Low</v>
      </c>
    </row>
    <row r="2929" customFormat="false" ht="15" hidden="false" customHeight="true" outlineLevel="0" collapsed="false">
      <c r="A2929" s="2" t="n">
        <f aca="false">'Raw Data'!H2929</f>
        <v>2928</v>
      </c>
      <c r="B2929" s="2" t="n">
        <f aca="false">'Raw Data'!A2929</f>
        <v>31</v>
      </c>
      <c r="C2929" s="2" t="str">
        <f aca="false">'Raw Data'!D2929</f>
        <v>Research &amp; Development</v>
      </c>
      <c r="D2929" s="2" t="str">
        <f aca="false">'Raw Data'!K2929</f>
        <v>Research Scientist</v>
      </c>
      <c r="E2929" s="2" t="n">
        <f aca="false">'Raw Data'!Q2929</f>
        <v>9</v>
      </c>
      <c r="F2929" s="2" t="n">
        <f aca="false">'Raw Data'!U2929</f>
        <v>2</v>
      </c>
      <c r="G2929" s="2" t="n">
        <f aca="false">'Raw Data'!W2929</f>
        <v>3</v>
      </c>
      <c r="H2929" s="2" t="n">
        <f aca="false">'Raw Data'!V2929</f>
        <v>2</v>
      </c>
      <c r="I2929" s="2" t="n">
        <f aca="false">IF(AND(ISNUMBER(B2929),B2929&lt;=25),2,0)+IF(AND(ISNUMBER(E2929),E2929&lt;=5),2,0)+IF(AND(ISNUMBER(F2929),F2929&lt;=1),2,0)+IF(AND(ISNUMBER(G2929),G2929&lt;=2),1,0)+IF(AND(ISNUMBER(H2929),H2929&lt;=2),1,0)</f>
        <v>1</v>
      </c>
      <c r="J2929" s="2" t="str">
        <f aca="false">IF(I2929&gt;=6,"High",IF(I2929&gt;=3,"Medium","Low"))</f>
        <v>Low</v>
      </c>
    </row>
    <row r="2930" customFormat="false" ht="15" hidden="false" customHeight="true" outlineLevel="0" collapsed="false">
      <c r="A2930" s="2" t="n">
        <f aca="false">'Raw Data'!H2930</f>
        <v>2929</v>
      </c>
      <c r="B2930" s="2" t="n">
        <f aca="false">'Raw Data'!A2930</f>
        <v>33</v>
      </c>
      <c r="C2930" s="2" t="str">
        <f aca="false">'Raw Data'!D2930</f>
        <v>Research &amp; Development</v>
      </c>
      <c r="D2930" s="2" t="str">
        <f aca="false">'Raw Data'!K2930</f>
        <v>Sales Executive</v>
      </c>
      <c r="E2930" s="2" t="n">
        <f aca="false">'Raw Data'!Q2930</f>
        <v>2</v>
      </c>
      <c r="F2930" s="2" t="n">
        <f aca="false">'Raw Data'!U2930</f>
        <v>2</v>
      </c>
      <c r="G2930" s="2" t="n">
        <f aca="false">'Raw Data'!W2930</f>
        <v>4</v>
      </c>
      <c r="H2930" s="2" t="n">
        <f aca="false">'Raw Data'!V2930</f>
        <v>3</v>
      </c>
      <c r="I2930" s="2" t="n">
        <f aca="false">IF(AND(ISNUMBER(B2930),B2930&lt;=25),2,0)+IF(AND(ISNUMBER(E2930),E2930&lt;=5),2,0)+IF(AND(ISNUMBER(F2930),F2930&lt;=1),2,0)+IF(AND(ISNUMBER(G2930),G2930&lt;=2),1,0)+IF(AND(ISNUMBER(H2930),H2930&lt;=2),1,0)</f>
        <v>2</v>
      </c>
      <c r="J2930" s="2" t="str">
        <f aca="false">IF(I2930&gt;=6,"High",IF(I2930&gt;=3,"Medium","Low"))</f>
        <v>Low</v>
      </c>
    </row>
    <row r="2931" customFormat="false" ht="15" hidden="false" customHeight="true" outlineLevel="0" collapsed="false">
      <c r="A2931" s="2" t="n">
        <f aca="false">'Raw Data'!H2931</f>
        <v>2930</v>
      </c>
      <c r="B2931" s="2" t="n">
        <f aca="false">'Raw Data'!A2931</f>
        <v>34</v>
      </c>
      <c r="C2931" s="2" t="str">
        <f aca="false">'Raw Data'!D2931</f>
        <v>Research &amp; Development</v>
      </c>
      <c r="D2931" s="2" t="str">
        <f aca="false">'Raw Data'!K2931</f>
        <v>Sales Executive</v>
      </c>
      <c r="E2931" s="2" t="n">
        <f aca="false">'Raw Data'!Q2931</f>
        <v>13</v>
      </c>
      <c r="F2931" s="2" t="n">
        <f aca="false">'Raw Data'!U2931</f>
        <v>9</v>
      </c>
      <c r="G2931" s="2" t="n">
        <f aca="false">'Raw Data'!W2931</f>
        <v>1</v>
      </c>
      <c r="H2931" s="2" t="n">
        <f aca="false">'Raw Data'!V2931</f>
        <v>4</v>
      </c>
      <c r="I2931" s="2" t="n">
        <f aca="false">IF(AND(ISNUMBER(B2931),B2931&lt;=25),2,0)+IF(AND(ISNUMBER(E2931),E2931&lt;=5),2,0)+IF(AND(ISNUMBER(F2931),F2931&lt;=1),2,0)+IF(AND(ISNUMBER(G2931),G2931&lt;=2),1,0)+IF(AND(ISNUMBER(H2931),H2931&lt;=2),1,0)</f>
        <v>1</v>
      </c>
      <c r="J2931" s="2" t="str">
        <f aca="false">IF(I2931&gt;=6,"High",IF(I2931&gt;=3,"Medium","Low"))</f>
        <v>Low</v>
      </c>
    </row>
    <row r="2932" customFormat="false" ht="15" hidden="false" customHeight="true" outlineLevel="0" collapsed="false">
      <c r="A2932" s="2" t="n">
        <f aca="false">'Raw Data'!H2932</f>
        <v>2931</v>
      </c>
      <c r="B2932" s="2" t="n">
        <f aca="false">'Raw Data'!A2932</f>
        <v>37</v>
      </c>
      <c r="C2932" s="2" t="str">
        <f aca="false">'Raw Data'!D2932</f>
        <v>Research &amp; Development</v>
      </c>
      <c r="D2932" s="2" t="str">
        <f aca="false">'Raw Data'!K2932</f>
        <v>Manufacturing Director</v>
      </c>
      <c r="E2932" s="2" t="n">
        <f aca="false">'Raw Data'!Q2932</f>
        <v>17</v>
      </c>
      <c r="F2932" s="2" t="n">
        <f aca="false">'Raw Data'!U2932</f>
        <v>2</v>
      </c>
      <c r="G2932" s="2" t="n">
        <f aca="false">'Raw Data'!W2932</f>
        <v>1</v>
      </c>
      <c r="H2932" s="2" t="n">
        <f aca="false">'Raw Data'!V2932</f>
        <v>3</v>
      </c>
      <c r="I2932" s="2" t="n">
        <f aca="false">IF(AND(ISNUMBER(B2932),B2932&lt;=25),2,0)+IF(AND(ISNUMBER(E2932),E2932&lt;=5),2,0)+IF(AND(ISNUMBER(F2932),F2932&lt;=1),2,0)+IF(AND(ISNUMBER(G2932),G2932&lt;=2),1,0)+IF(AND(ISNUMBER(H2932),H2932&lt;=2),1,0)</f>
        <v>1</v>
      </c>
      <c r="J2932" s="2" t="str">
        <f aca="false">IF(I2932&gt;=6,"High",IF(I2932&gt;=3,"Medium","Low"))</f>
        <v>Low</v>
      </c>
    </row>
    <row r="2933" customFormat="false" ht="15" hidden="false" customHeight="true" outlineLevel="0" collapsed="false">
      <c r="A2933" s="2" t="n">
        <f aca="false">'Raw Data'!H2933</f>
        <v>2932</v>
      </c>
      <c r="B2933" s="2" t="n">
        <f aca="false">'Raw Data'!A2933</f>
        <v>45</v>
      </c>
      <c r="C2933" s="2" t="str">
        <f aca="false">'Raw Data'!D2933</f>
        <v>Sales</v>
      </c>
      <c r="D2933" s="2" t="str">
        <f aca="false">'Raw Data'!K2933</f>
        <v>Research Scientist</v>
      </c>
      <c r="E2933" s="2" t="n">
        <f aca="false">'Raw Data'!Q2933</f>
        <v>9</v>
      </c>
      <c r="F2933" s="2" t="n">
        <f aca="false">'Raw Data'!U2933</f>
        <v>2</v>
      </c>
      <c r="G2933" s="2" t="n">
        <f aca="false">'Raw Data'!W2933</f>
        <v>3</v>
      </c>
      <c r="H2933" s="2" t="n">
        <f aca="false">'Raw Data'!V2933</f>
        <v>1</v>
      </c>
      <c r="I2933" s="2" t="n">
        <f aca="false">IF(AND(ISNUMBER(B2933),B2933&lt;=25),2,0)+IF(AND(ISNUMBER(E2933),E2933&lt;=5),2,0)+IF(AND(ISNUMBER(F2933),F2933&lt;=1),2,0)+IF(AND(ISNUMBER(G2933),G2933&lt;=2),1,0)+IF(AND(ISNUMBER(H2933),H2933&lt;=2),1,0)</f>
        <v>1</v>
      </c>
      <c r="J2933" s="2" t="str">
        <f aca="false">IF(I2933&gt;=6,"High",IF(I2933&gt;=3,"Medium","Low"))</f>
        <v>Low</v>
      </c>
    </row>
    <row r="2934" customFormat="false" ht="15" hidden="false" customHeight="true" outlineLevel="0" collapsed="false">
      <c r="A2934" s="2" t="n">
        <f aca="false">'Raw Data'!H2934</f>
        <v>2933</v>
      </c>
      <c r="B2934" s="2" t="n">
        <f aca="false">'Raw Data'!A2934</f>
        <v>37</v>
      </c>
      <c r="C2934" s="2" t="str">
        <f aca="false">'Raw Data'!D2934</f>
        <v>Sales</v>
      </c>
      <c r="D2934" s="2" t="str">
        <f aca="false">'Raw Data'!K2934</f>
        <v>Laboratory Technician</v>
      </c>
      <c r="E2934" s="2" t="n">
        <f aca="false">'Raw Data'!Q2934</f>
        <v>17</v>
      </c>
      <c r="F2934" s="2" t="n">
        <f aca="false">'Raw Data'!U2934</f>
        <v>0</v>
      </c>
      <c r="G2934" s="2" t="n">
        <f aca="false">'Raw Data'!W2934</f>
        <v>3</v>
      </c>
      <c r="H2934" s="2" t="n">
        <f aca="false">'Raw Data'!V2934</f>
        <v>1</v>
      </c>
      <c r="I2934" s="2" t="n">
        <f aca="false">IF(AND(ISNUMBER(B2934),B2934&lt;=25),2,0)+IF(AND(ISNUMBER(E2934),E2934&lt;=5),2,0)+IF(AND(ISNUMBER(F2934),F2934&lt;=1),2,0)+IF(AND(ISNUMBER(G2934),G2934&lt;=2),1,0)+IF(AND(ISNUMBER(H2934),H2934&lt;=2),1,0)</f>
        <v>3</v>
      </c>
      <c r="J2934" s="2" t="str">
        <f aca="false">IF(I2934&gt;=6,"High",IF(I2934&gt;=3,"Medium","Low"))</f>
        <v>Medium</v>
      </c>
    </row>
    <row r="2935" customFormat="false" ht="15" hidden="false" customHeight="true" outlineLevel="0" collapsed="false">
      <c r="A2935" s="2" t="n">
        <f aca="false">'Raw Data'!H2935</f>
        <v>2934</v>
      </c>
      <c r="B2935" s="2" t="n">
        <f aca="false">'Raw Data'!A2935</f>
        <v>39</v>
      </c>
      <c r="C2935" s="2" t="str">
        <f aca="false">'Raw Data'!D2935</f>
        <v>Research &amp; Development</v>
      </c>
      <c r="D2935" s="2" t="str">
        <f aca="false">'Raw Data'!K2935</f>
        <v>Manufacturing Director</v>
      </c>
      <c r="E2935" s="2" t="n">
        <f aca="false">'Raw Data'!Q2935</f>
        <v>20</v>
      </c>
      <c r="F2935" s="2" t="n">
        <f aca="false">'Raw Data'!U2935</f>
        <v>8</v>
      </c>
      <c r="G2935" s="2" t="n">
        <f aca="false">'Raw Data'!W2935</f>
        <v>3</v>
      </c>
      <c r="H2935" s="2" t="n">
        <f aca="false">'Raw Data'!V2935</f>
        <v>3</v>
      </c>
      <c r="I2935" s="2" t="n">
        <f aca="false">IF(AND(ISNUMBER(B2935),B2935&lt;=25),2,0)+IF(AND(ISNUMBER(E2935),E2935&lt;=5),2,0)+IF(AND(ISNUMBER(F2935),F2935&lt;=1),2,0)+IF(AND(ISNUMBER(G2935),G2935&lt;=2),1,0)+IF(AND(ISNUMBER(H2935),H2935&lt;=2),1,0)</f>
        <v>0</v>
      </c>
      <c r="J2935" s="2" t="str">
        <f aca="false">IF(I2935&gt;=6,"High",IF(I2935&gt;=3,"Medium","Low"))</f>
        <v>Low</v>
      </c>
    </row>
    <row r="2936" customFormat="false" ht="15" hidden="false" customHeight="true" outlineLevel="0" collapsed="false">
      <c r="A2936" s="2" t="n">
        <f aca="false">'Raw Data'!H2936</f>
        <v>2935</v>
      </c>
      <c r="B2936" s="2" t="n">
        <f aca="false">'Raw Data'!A2936</f>
        <v>29</v>
      </c>
      <c r="C2936" s="2" t="str">
        <f aca="false">'Raw Data'!D2936</f>
        <v>Sales</v>
      </c>
      <c r="D2936" s="2" t="str">
        <f aca="false">'Raw Data'!K2936</f>
        <v>Human Resources</v>
      </c>
      <c r="E2936" s="2" t="n">
        <f aca="false">'Raw Data'!Q2936</f>
        <v>6</v>
      </c>
      <c r="F2936" s="2" t="n">
        <f aca="false">'Raw Data'!U2936</f>
        <v>5</v>
      </c>
      <c r="G2936" s="2" t="n">
        <f aca="false">'Raw Data'!W2936</f>
        <v>4</v>
      </c>
      <c r="H2936" s="2" t="n">
        <f aca="false">'Raw Data'!V2936</f>
        <v>3</v>
      </c>
      <c r="I2936" s="2" t="n">
        <f aca="false">IF(AND(ISNUMBER(B2936),B2936&lt;=25),2,0)+IF(AND(ISNUMBER(E2936),E2936&lt;=5),2,0)+IF(AND(ISNUMBER(F2936),F2936&lt;=1),2,0)+IF(AND(ISNUMBER(G2936),G2936&lt;=2),1,0)+IF(AND(ISNUMBER(H2936),H2936&lt;=2),1,0)</f>
        <v>0</v>
      </c>
      <c r="J2936" s="2" t="str">
        <f aca="false">IF(I2936&gt;=6,"High",IF(I2936&gt;=3,"Medium","Low"))</f>
        <v>Low</v>
      </c>
    </row>
    <row r="2937" customFormat="false" ht="15" hidden="false" customHeight="true" outlineLevel="0" collapsed="false">
      <c r="A2937" s="2" t="n">
        <f aca="false">'Raw Data'!H2937</f>
        <v>2936</v>
      </c>
      <c r="B2937" s="2" t="n">
        <f aca="false">'Raw Data'!A2937</f>
        <v>42</v>
      </c>
      <c r="C2937" s="2" t="str">
        <f aca="false">'Raw Data'!D2937</f>
        <v>Research &amp; Development</v>
      </c>
      <c r="D2937" s="2" t="str">
        <f aca="false">'Raw Data'!K2937</f>
        <v>Research Scientist</v>
      </c>
      <c r="E2937" s="2" t="n">
        <f aca="false">'Raw Data'!Q2937</f>
        <v>10</v>
      </c>
      <c r="F2937" s="2" t="n">
        <f aca="false">'Raw Data'!U2937</f>
        <v>2</v>
      </c>
      <c r="G2937" s="2" t="n">
        <f aca="false">'Raw Data'!W2937</f>
        <v>1</v>
      </c>
      <c r="H2937" s="2" t="n">
        <f aca="false">'Raw Data'!V2937</f>
        <v>4</v>
      </c>
      <c r="I2937" s="2" t="n">
        <f aca="false">IF(AND(ISNUMBER(B2937),B2937&lt;=25),2,0)+IF(AND(ISNUMBER(E2937),E2937&lt;=5),2,0)+IF(AND(ISNUMBER(F2937),F2937&lt;=1),2,0)+IF(AND(ISNUMBER(G2937),G2937&lt;=2),1,0)+IF(AND(ISNUMBER(H2937),H2937&lt;=2),1,0)</f>
        <v>1</v>
      </c>
      <c r="J2937" s="2" t="str">
        <f aca="false">IF(I2937&gt;=6,"High",IF(I2937&gt;=3,"Medium","Low"))</f>
        <v>Low</v>
      </c>
    </row>
    <row r="2938" customFormat="false" ht="15" hidden="false" customHeight="true" outlineLevel="0" collapsed="false">
      <c r="A2938" s="2" t="n">
        <f aca="false">'Raw Data'!H2938</f>
        <v>2937</v>
      </c>
      <c r="B2938" s="2" t="n">
        <f aca="false">'Raw Data'!A2938</f>
        <v>29</v>
      </c>
      <c r="C2938" s="2" t="str">
        <f aca="false">'Raw Data'!D2938</f>
        <v>Research &amp; Development</v>
      </c>
      <c r="D2938" s="2" t="str">
        <f aca="false">'Raw Data'!K2938</f>
        <v>Laboratory Technician</v>
      </c>
      <c r="E2938" s="2" t="n">
        <f aca="false">'Raw Data'!Q2938</f>
        <v>10</v>
      </c>
      <c r="F2938" s="2" t="n">
        <f aca="false">'Raw Data'!U2938</f>
        <v>2</v>
      </c>
      <c r="G2938" s="2" t="n">
        <f aca="false">'Raw Data'!W2938</f>
        <v>4</v>
      </c>
      <c r="H2938" s="2" t="n">
        <f aca="false">'Raw Data'!V2938</f>
        <v>4</v>
      </c>
      <c r="I2938" s="2" t="n">
        <f aca="false">IF(AND(ISNUMBER(B2938),B2938&lt;=25),2,0)+IF(AND(ISNUMBER(E2938),E2938&lt;=5),2,0)+IF(AND(ISNUMBER(F2938),F2938&lt;=1),2,0)+IF(AND(ISNUMBER(G2938),G2938&lt;=2),1,0)+IF(AND(ISNUMBER(H2938),H2938&lt;=2),1,0)</f>
        <v>0</v>
      </c>
      <c r="J2938" s="2" t="str">
        <f aca="false">IF(I2938&gt;=6,"High",IF(I2938&gt;=3,"Medium","Low"))</f>
        <v>Low</v>
      </c>
    </row>
    <row r="2939" customFormat="false" ht="15" hidden="false" customHeight="true" outlineLevel="0" collapsed="false">
      <c r="A2939" s="2" t="n">
        <f aca="false">'Raw Data'!H2939</f>
        <v>2938</v>
      </c>
      <c r="B2939" s="2" t="n">
        <f aca="false">'Raw Data'!A2939</f>
        <v>25</v>
      </c>
      <c r="C2939" s="2" t="str">
        <f aca="false">'Raw Data'!D2939</f>
        <v>Research &amp; Development</v>
      </c>
      <c r="D2939" s="2" t="str">
        <f aca="false">'Raw Data'!K2939</f>
        <v>Sales Executive</v>
      </c>
      <c r="E2939" s="2" t="n">
        <f aca="false">'Raw Data'!Q2939</f>
        <v>5</v>
      </c>
      <c r="F2939" s="2" t="n">
        <f aca="false">'Raw Data'!U2939</f>
        <v>2</v>
      </c>
      <c r="G2939" s="2" t="n">
        <f aca="false">'Raw Data'!W2939</f>
        <v>3</v>
      </c>
      <c r="H2939" s="2" t="n">
        <f aca="false">'Raw Data'!V2939</f>
        <v>1</v>
      </c>
      <c r="I2939" s="2" t="n">
        <f aca="false">IF(AND(ISNUMBER(B2939),B2939&lt;=25),2,0)+IF(AND(ISNUMBER(E2939),E2939&lt;=5),2,0)+IF(AND(ISNUMBER(F2939),F2939&lt;=1),2,0)+IF(AND(ISNUMBER(G2939),G2939&lt;=2),1,0)+IF(AND(ISNUMBER(H2939),H2939&lt;=2),1,0)</f>
        <v>5</v>
      </c>
      <c r="J2939" s="2" t="str">
        <f aca="false">IF(I2939&gt;=6,"High",IF(I2939&gt;=3,"Medium","Low"))</f>
        <v>Medium</v>
      </c>
    </row>
    <row r="2940" customFormat="false" ht="15" hidden="false" customHeight="true" outlineLevel="0" collapsed="false">
      <c r="A2940" s="2" t="n">
        <f aca="false">'Raw Data'!H2940</f>
        <v>2939</v>
      </c>
      <c r="B2940" s="2" t="n">
        <f aca="false">'Raw Data'!A2940</f>
        <v>42</v>
      </c>
      <c r="C2940" s="2" t="str">
        <f aca="false">'Raw Data'!D2940</f>
        <v>Sales</v>
      </c>
      <c r="D2940" s="2" t="str">
        <f aca="false">'Raw Data'!K2940</f>
        <v>Laboratory Technician</v>
      </c>
      <c r="E2940" s="2" t="n">
        <f aca="false">'Raw Data'!Q2940</f>
        <v>10</v>
      </c>
      <c r="F2940" s="2" t="n">
        <f aca="false">'Raw Data'!U2940</f>
        <v>8</v>
      </c>
      <c r="G2940" s="2" t="n">
        <f aca="false">'Raw Data'!W2940</f>
        <v>1</v>
      </c>
      <c r="H2940" s="2" t="n">
        <f aca="false">'Raw Data'!V2940</f>
        <v>4</v>
      </c>
      <c r="I2940" s="2" t="n">
        <f aca="false">IF(AND(ISNUMBER(B2940),B2940&lt;=25),2,0)+IF(AND(ISNUMBER(E2940),E2940&lt;=5),2,0)+IF(AND(ISNUMBER(F2940),F2940&lt;=1),2,0)+IF(AND(ISNUMBER(G2940),G2940&lt;=2),1,0)+IF(AND(ISNUMBER(H2940),H2940&lt;=2),1,0)</f>
        <v>1</v>
      </c>
      <c r="J2940" s="2" t="str">
        <f aca="false">IF(I2940&gt;=6,"High",IF(I2940&gt;=3,"Medium","Low"))</f>
        <v>Low</v>
      </c>
    </row>
    <row r="2941" customFormat="false" ht="15" hidden="false" customHeight="true" outlineLevel="0" collapsed="false">
      <c r="A2941" s="2" t="n">
        <f aca="false">'Raw Data'!H2941</f>
        <v>2940</v>
      </c>
      <c r="B2941" s="2" t="n">
        <f aca="false">'Raw Data'!A2941</f>
        <v>40</v>
      </c>
      <c r="C2941" s="2" t="str">
        <f aca="false">'Raw Data'!D2941</f>
        <v>Research &amp; Development</v>
      </c>
      <c r="D2941" s="2" t="str">
        <f aca="false">'Raw Data'!K2941</f>
        <v>Laboratory Technician</v>
      </c>
      <c r="E2941" s="2" t="n">
        <f aca="false">'Raw Data'!Q2941</f>
        <v>22</v>
      </c>
      <c r="F2941" s="2" t="n">
        <f aca="false">'Raw Data'!U2941</f>
        <v>9</v>
      </c>
      <c r="G2941" s="2" t="n">
        <f aca="false">'Raw Data'!W2941</f>
        <v>3</v>
      </c>
      <c r="H2941" s="2" t="n">
        <f aca="false">'Raw Data'!V2941</f>
        <v>1</v>
      </c>
      <c r="I2941" s="2" t="n">
        <f aca="false">IF(AND(ISNUMBER(B2941),B2941&lt;=25),2,0)+IF(AND(ISNUMBER(E2941),E2941&lt;=5),2,0)+IF(AND(ISNUMBER(F2941),F2941&lt;=1),2,0)+IF(AND(ISNUMBER(G2941),G2941&lt;=2),1,0)+IF(AND(ISNUMBER(H2941),H2941&lt;=2),1,0)</f>
        <v>1</v>
      </c>
      <c r="J2941" s="2" t="str">
        <f aca="false">IF(I2941&gt;=6,"High",IF(I2941&gt;=3,"Medium","Low"))</f>
        <v>Low</v>
      </c>
    </row>
    <row r="2942" customFormat="false" ht="15" hidden="false" customHeight="true" outlineLevel="0" collapsed="false">
      <c r="A2942" s="2" t="n">
        <f aca="false">'Raw Data'!H2942</f>
        <v>2941</v>
      </c>
      <c r="B2942" s="2" t="n">
        <f aca="false">'Raw Data'!A2942</f>
        <v>51</v>
      </c>
      <c r="C2942" s="2" t="str">
        <f aca="false">'Raw Data'!D2942</f>
        <v>Sales</v>
      </c>
      <c r="D2942" s="2" t="str">
        <f aca="false">'Raw Data'!K2942</f>
        <v>Healthcare Representative</v>
      </c>
      <c r="E2942" s="2" t="n">
        <f aca="false">'Raw Data'!Q2942</f>
        <v>1</v>
      </c>
      <c r="F2942" s="2" t="n">
        <f aca="false">'Raw Data'!U2942</f>
        <v>0</v>
      </c>
      <c r="G2942" s="2" t="n">
        <f aca="false">'Raw Data'!W2942</f>
        <v>4</v>
      </c>
      <c r="H2942" s="2" t="n">
        <f aca="false">'Raw Data'!V2942</f>
        <v>3</v>
      </c>
      <c r="I2942" s="2" t="n">
        <f aca="false">IF(AND(ISNUMBER(B2942),B2942&lt;=25),2,0)+IF(AND(ISNUMBER(E2942),E2942&lt;=5),2,0)+IF(AND(ISNUMBER(F2942),F2942&lt;=1),2,0)+IF(AND(ISNUMBER(G2942),G2942&lt;=2),1,0)+IF(AND(ISNUMBER(H2942),H2942&lt;=2),1,0)</f>
        <v>4</v>
      </c>
      <c r="J2942" s="2" t="str">
        <f aca="false">IF(I2942&gt;=6,"High",IF(I2942&gt;=3,"Medium","Low"))</f>
        <v>Medium</v>
      </c>
    </row>
    <row r="2943" customFormat="false" ht="15" hidden="false" customHeight="true" outlineLevel="0" collapsed="false">
      <c r="A2943" s="2" t="n">
        <f aca="false">'Raw Data'!H2943</f>
        <v>2942</v>
      </c>
      <c r="B2943" s="2" t="n">
        <f aca="false">'Raw Data'!A2943</f>
        <v>31</v>
      </c>
      <c r="C2943" s="2" t="str">
        <f aca="false">'Raw Data'!D2943</f>
        <v>Research &amp; Development</v>
      </c>
      <c r="D2943" s="2" t="str">
        <f aca="false">'Raw Data'!K2943</f>
        <v>Research Scientist</v>
      </c>
      <c r="E2943" s="2" t="n">
        <f aca="false">'Raw Data'!Q2943</f>
        <v>6</v>
      </c>
      <c r="F2943" s="2" t="n">
        <f aca="false">'Raw Data'!U2943</f>
        <v>4</v>
      </c>
      <c r="G2943" s="2" t="n">
        <f aca="false">'Raw Data'!W2943</f>
        <v>2</v>
      </c>
      <c r="H2943" s="2" t="n">
        <f aca="false">'Raw Data'!V2943</f>
        <v>3</v>
      </c>
      <c r="I2943" s="2" t="n">
        <f aca="false">IF(AND(ISNUMBER(B2943),B2943&lt;=25),2,0)+IF(AND(ISNUMBER(E2943),E2943&lt;=5),2,0)+IF(AND(ISNUMBER(F2943),F2943&lt;=1),2,0)+IF(AND(ISNUMBER(G2943),G2943&lt;=2),1,0)+IF(AND(ISNUMBER(H2943),H2943&lt;=2),1,0)</f>
        <v>1</v>
      </c>
      <c r="J2943" s="2" t="str">
        <f aca="false">IF(I2943&gt;=6,"High",IF(I2943&gt;=3,"Medium","Low"))</f>
        <v>Low</v>
      </c>
    </row>
    <row r="2944" customFormat="false" ht="15" hidden="false" customHeight="true" outlineLevel="0" collapsed="false">
      <c r="A2944" s="2" t="n">
        <f aca="false">'Raw Data'!H2944</f>
        <v>2943</v>
      </c>
      <c r="B2944" s="2" t="n">
        <f aca="false">'Raw Data'!A2944</f>
        <v>32</v>
      </c>
      <c r="C2944" s="2" t="str">
        <f aca="false">'Raw Data'!D2944</f>
        <v>Research &amp; Development</v>
      </c>
      <c r="D2944" s="2" t="str">
        <f aca="false">'Raw Data'!K2944</f>
        <v>Sales Executive</v>
      </c>
      <c r="E2944" s="2" t="n">
        <f aca="false">'Raw Data'!Q2944</f>
        <v>5</v>
      </c>
      <c r="F2944" s="2" t="n">
        <f aca="false">'Raw Data'!U2944</f>
        <v>3</v>
      </c>
      <c r="G2944" s="2" t="n">
        <f aca="false">'Raw Data'!W2944</f>
        <v>2</v>
      </c>
      <c r="H2944" s="2" t="n">
        <f aca="false">'Raw Data'!V2944</f>
        <v>2</v>
      </c>
      <c r="I2944" s="2" t="n">
        <f aca="false">IF(AND(ISNUMBER(B2944),B2944&lt;=25),2,0)+IF(AND(ISNUMBER(E2944),E2944&lt;=5),2,0)+IF(AND(ISNUMBER(F2944),F2944&lt;=1),2,0)+IF(AND(ISNUMBER(G2944),G2944&lt;=2),1,0)+IF(AND(ISNUMBER(H2944),H2944&lt;=2),1,0)</f>
        <v>4</v>
      </c>
      <c r="J2944" s="2" t="str">
        <f aca="false">IF(I2944&gt;=6,"High",IF(I2944&gt;=3,"Medium","Low"))</f>
        <v>Medium</v>
      </c>
    </row>
    <row r="2945" customFormat="false" ht="15" hidden="false" customHeight="true" outlineLevel="0" collapsed="false">
      <c r="A2945" s="2" t="n">
        <f aca="false">'Raw Data'!H2945</f>
        <v>2944</v>
      </c>
      <c r="B2945" s="2" t="n">
        <f aca="false">'Raw Data'!A2945</f>
        <v>38</v>
      </c>
      <c r="C2945" s="2" t="str">
        <f aca="false">'Raw Data'!D2945</f>
        <v>Research &amp; Development</v>
      </c>
      <c r="D2945" s="2" t="str">
        <f aca="false">'Raw Data'!K2945</f>
        <v>Human Resources</v>
      </c>
      <c r="E2945" s="2" t="n">
        <f aca="false">'Raw Data'!Q2945</f>
        <v>13</v>
      </c>
      <c r="F2945" s="2" t="n">
        <f aca="false">'Raw Data'!U2945</f>
        <v>5</v>
      </c>
      <c r="G2945" s="2" t="n">
        <f aca="false">'Raw Data'!W2945</f>
        <v>4</v>
      </c>
      <c r="H2945" s="2" t="n">
        <f aca="false">'Raw Data'!V2945</f>
        <v>4</v>
      </c>
      <c r="I2945" s="2" t="n">
        <f aca="false">IF(AND(ISNUMBER(B2945),B2945&lt;=25),2,0)+IF(AND(ISNUMBER(E2945),E2945&lt;=5),2,0)+IF(AND(ISNUMBER(F2945),F2945&lt;=1),2,0)+IF(AND(ISNUMBER(G2945),G2945&lt;=2),1,0)+IF(AND(ISNUMBER(H2945),H2945&lt;=2),1,0)</f>
        <v>0</v>
      </c>
      <c r="J2945" s="2" t="str">
        <f aca="false">IF(I2945&gt;=6,"High",IF(I2945&gt;=3,"Medium","Low"))</f>
        <v>Low</v>
      </c>
    </row>
    <row r="2946" customFormat="false" ht="15" hidden="false" customHeight="true" outlineLevel="0" collapsed="false">
      <c r="A2946" s="2" t="n">
        <f aca="false">'Raw Data'!H2946</f>
        <v>2945</v>
      </c>
      <c r="B2946" s="2" t="n">
        <f aca="false">'Raw Data'!A2946</f>
        <v>32</v>
      </c>
      <c r="C2946" s="2" t="str">
        <f aca="false">'Raw Data'!D2946</f>
        <v>Research &amp; Development</v>
      </c>
      <c r="D2946" s="2" t="str">
        <f aca="false">'Raw Data'!K2946</f>
        <v>Sales Executive</v>
      </c>
      <c r="E2946" s="2" t="n">
        <f aca="false">'Raw Data'!Q2946</f>
        <v>9</v>
      </c>
      <c r="F2946" s="2" t="n">
        <f aca="false">'Raw Data'!U2946</f>
        <v>4</v>
      </c>
      <c r="G2946" s="2" t="n">
        <f aca="false">'Raw Data'!W2946</f>
        <v>1</v>
      </c>
      <c r="H2946" s="2" t="n">
        <f aca="false">'Raw Data'!V2946</f>
        <v>4</v>
      </c>
      <c r="I2946" s="2" t="n">
        <f aca="false">IF(AND(ISNUMBER(B2946),B2946&lt;=25),2,0)+IF(AND(ISNUMBER(E2946),E2946&lt;=5),2,0)+IF(AND(ISNUMBER(F2946),F2946&lt;=1),2,0)+IF(AND(ISNUMBER(G2946),G2946&lt;=2),1,0)+IF(AND(ISNUMBER(H2946),H2946&lt;=2),1,0)</f>
        <v>1</v>
      </c>
      <c r="J2946" s="2" t="str">
        <f aca="false">IF(I2946&gt;=6,"High",IF(I2946&gt;=3,"Medium","Low"))</f>
        <v>Low</v>
      </c>
    </row>
    <row r="2947" customFormat="false" ht="15" hidden="false" customHeight="true" outlineLevel="0" collapsed="false">
      <c r="A2947" s="2" t="n">
        <f aca="false">'Raw Data'!H2947</f>
        <v>2946</v>
      </c>
      <c r="B2947" s="2" t="n">
        <f aca="false">'Raw Data'!A2947</f>
        <v>46</v>
      </c>
      <c r="C2947" s="2" t="str">
        <f aca="false">'Raw Data'!D2947</f>
        <v>Research &amp; Development</v>
      </c>
      <c r="D2947" s="2" t="str">
        <f aca="false">'Raw Data'!K2947</f>
        <v>Research Director</v>
      </c>
      <c r="E2947" s="2" t="n">
        <f aca="false">'Raw Data'!Q2947</f>
        <v>28</v>
      </c>
      <c r="F2947" s="2" t="n">
        <f aca="false">'Raw Data'!U2947</f>
        <v>7</v>
      </c>
      <c r="G2947" s="2" t="n">
        <f aca="false">'Raw Data'!W2947</f>
        <v>2</v>
      </c>
      <c r="H2947" s="2" t="n">
        <f aca="false">'Raw Data'!V2947</f>
        <v>3</v>
      </c>
      <c r="I2947" s="2" t="n">
        <f aca="false">IF(AND(ISNUMBER(B2947),B2947&lt;=25),2,0)+IF(AND(ISNUMBER(E2947),E2947&lt;=5),2,0)+IF(AND(ISNUMBER(F2947),F2947&lt;=1),2,0)+IF(AND(ISNUMBER(G2947),G2947&lt;=2),1,0)+IF(AND(ISNUMBER(H2947),H2947&lt;=2),1,0)</f>
        <v>1</v>
      </c>
      <c r="J2947" s="2" t="str">
        <f aca="false">IF(I2947&gt;=6,"High",IF(I2947&gt;=3,"Medium","Low"))</f>
        <v>Low</v>
      </c>
    </row>
    <row r="2948" customFormat="false" ht="15" hidden="false" customHeight="true" outlineLevel="0" collapsed="false">
      <c r="A2948" s="2" t="n">
        <f aca="false">'Raw Data'!H2948</f>
        <v>2947</v>
      </c>
      <c r="B2948" s="2" t="n">
        <f aca="false">'Raw Data'!A2948</f>
        <v>28</v>
      </c>
      <c r="C2948" s="2" t="str">
        <f aca="false">'Raw Data'!D2948</f>
        <v>Research &amp; Development</v>
      </c>
      <c r="D2948" s="2" t="str">
        <f aca="false">'Raw Data'!K2948</f>
        <v>Sales Executive</v>
      </c>
      <c r="E2948" s="2" t="n">
        <f aca="false">'Raw Data'!Q2948</f>
        <v>5</v>
      </c>
      <c r="F2948" s="2" t="n">
        <f aca="false">'Raw Data'!U2948</f>
        <v>0</v>
      </c>
      <c r="G2948" s="2" t="n">
        <f aca="false">'Raw Data'!W2948</f>
        <v>3</v>
      </c>
      <c r="H2948" s="2" t="n">
        <f aca="false">'Raw Data'!V2948</f>
        <v>1</v>
      </c>
      <c r="I2948" s="2" t="n">
        <f aca="false">IF(AND(ISNUMBER(B2948),B2948&lt;=25),2,0)+IF(AND(ISNUMBER(E2948),E2948&lt;=5),2,0)+IF(AND(ISNUMBER(F2948),F2948&lt;=1),2,0)+IF(AND(ISNUMBER(G2948),G2948&lt;=2),1,0)+IF(AND(ISNUMBER(H2948),H2948&lt;=2),1,0)</f>
        <v>5</v>
      </c>
      <c r="J2948" s="2" t="str">
        <f aca="false">IF(I2948&gt;=6,"High",IF(I2948&gt;=3,"Medium","Low"))</f>
        <v>Medium</v>
      </c>
    </row>
    <row r="2949" customFormat="false" ht="15" hidden="false" customHeight="true" outlineLevel="0" collapsed="false">
      <c r="A2949" s="2" t="n">
        <f aca="false">'Raw Data'!H2949</f>
        <v>2948</v>
      </c>
      <c r="B2949" s="2" t="n">
        <f aca="false">'Raw Data'!A2949</f>
        <v>29</v>
      </c>
      <c r="C2949" s="2" t="str">
        <f aca="false">'Raw Data'!D2949</f>
        <v>Research &amp; Development</v>
      </c>
      <c r="D2949" s="2" t="str">
        <f aca="false">'Raw Data'!K2949</f>
        <v>Sales Executive</v>
      </c>
      <c r="E2949" s="2" t="n">
        <f aca="false">'Raw Data'!Q2949</f>
        <v>10</v>
      </c>
      <c r="F2949" s="2" t="n">
        <f aca="false">'Raw Data'!U2949</f>
        <v>0</v>
      </c>
      <c r="G2949" s="2" t="n">
        <f aca="false">'Raw Data'!W2949</f>
        <v>2</v>
      </c>
      <c r="H2949" s="2" t="n">
        <f aca="false">'Raw Data'!V2949</f>
        <v>1</v>
      </c>
      <c r="I2949" s="2" t="n">
        <f aca="false">IF(AND(ISNUMBER(B2949),B2949&lt;=25),2,0)+IF(AND(ISNUMBER(E2949),E2949&lt;=5),2,0)+IF(AND(ISNUMBER(F2949),F2949&lt;=1),2,0)+IF(AND(ISNUMBER(G2949),G2949&lt;=2),1,0)+IF(AND(ISNUMBER(H2949),H2949&lt;=2),1,0)</f>
        <v>4</v>
      </c>
      <c r="J2949" s="2" t="str">
        <f aca="false">IF(I2949&gt;=6,"High",IF(I2949&gt;=3,"Medium","Low"))</f>
        <v>Medium</v>
      </c>
    </row>
    <row r="2950" customFormat="false" ht="15" hidden="false" customHeight="true" outlineLevel="0" collapsed="false">
      <c r="A2950" s="2" t="n">
        <f aca="false">'Raw Data'!H2950</f>
        <v>2949</v>
      </c>
      <c r="B2950" s="2" t="n">
        <f aca="false">'Raw Data'!A2950</f>
        <v>31</v>
      </c>
      <c r="C2950" s="2" t="str">
        <f aca="false">'Raw Data'!D2950</f>
        <v>Research &amp; Development</v>
      </c>
      <c r="D2950" s="2" t="str">
        <f aca="false">'Raw Data'!K2950</f>
        <v>Laboratory Technician</v>
      </c>
      <c r="E2950" s="2" t="n">
        <f aca="false">'Raw Data'!Q2950</f>
        <v>10</v>
      </c>
      <c r="F2950" s="2" t="n">
        <f aca="false">'Raw Data'!U2950</f>
        <v>8</v>
      </c>
      <c r="G2950" s="2" t="n">
        <f aca="false">'Raw Data'!W2950</f>
        <v>4</v>
      </c>
      <c r="H2950" s="2" t="n">
        <f aca="false">'Raw Data'!V2950</f>
        <v>2</v>
      </c>
      <c r="I2950" s="2" t="n">
        <f aca="false">IF(AND(ISNUMBER(B2950),B2950&lt;=25),2,0)+IF(AND(ISNUMBER(E2950),E2950&lt;=5),2,0)+IF(AND(ISNUMBER(F2950),F2950&lt;=1),2,0)+IF(AND(ISNUMBER(G2950),G2950&lt;=2),1,0)+IF(AND(ISNUMBER(H2950),H2950&lt;=2),1,0)</f>
        <v>1</v>
      </c>
      <c r="J2950" s="2" t="str">
        <f aca="false">IF(I2950&gt;=6,"High",IF(I2950&gt;=3,"Medium","Low"))</f>
        <v>Low</v>
      </c>
    </row>
    <row r="2951" customFormat="false" ht="15" hidden="false" customHeight="true" outlineLevel="0" collapsed="false">
      <c r="A2951" s="2" t="n">
        <f aca="false">'Raw Data'!H2951</f>
        <v>2950</v>
      </c>
      <c r="B2951" s="2" t="n">
        <f aca="false">'Raw Data'!A2951</f>
        <v>25</v>
      </c>
      <c r="C2951" s="2" t="str">
        <f aca="false">'Raw Data'!D2951</f>
        <v>Research &amp; Development</v>
      </c>
      <c r="D2951" s="2" t="str">
        <f aca="false">'Raw Data'!K2951</f>
        <v>Laboratory Technician</v>
      </c>
      <c r="E2951" s="2" t="n">
        <f aca="false">'Raw Data'!Q2951</f>
        <v>6</v>
      </c>
      <c r="F2951" s="2" t="n">
        <f aca="false">'Raw Data'!U2951</f>
        <v>5</v>
      </c>
      <c r="G2951" s="2" t="n">
        <f aca="false">'Raw Data'!W2951</f>
        <v>1</v>
      </c>
      <c r="H2951" s="2" t="n">
        <f aca="false">'Raw Data'!V2951</f>
        <v>2</v>
      </c>
      <c r="I2951" s="2" t="n">
        <f aca="false">IF(AND(ISNUMBER(B2951),B2951&lt;=25),2,0)+IF(AND(ISNUMBER(E2951),E2951&lt;=5),2,0)+IF(AND(ISNUMBER(F2951),F2951&lt;=1),2,0)+IF(AND(ISNUMBER(G2951),G2951&lt;=2),1,0)+IF(AND(ISNUMBER(H2951),H2951&lt;=2),1,0)</f>
        <v>4</v>
      </c>
      <c r="J2951" s="2" t="str">
        <f aca="false">IF(I2951&gt;=6,"High",IF(I2951&gt;=3,"Medium","Low"))</f>
        <v>Medium</v>
      </c>
    </row>
    <row r="2952" customFormat="false" ht="15" hidden="false" customHeight="true" outlineLevel="0" collapsed="false">
      <c r="A2952" s="2" t="n">
        <f aca="false">'Raw Data'!H2952</f>
        <v>2951</v>
      </c>
      <c r="B2952" s="2" t="n">
        <f aca="false">'Raw Data'!A2952</f>
        <v>45</v>
      </c>
      <c r="C2952" s="2" t="str">
        <f aca="false">'Raw Data'!D2952</f>
        <v>Research &amp; Development</v>
      </c>
      <c r="D2952" s="2" t="str">
        <f aca="false">'Raw Data'!K2952</f>
        <v>Laboratory Technician</v>
      </c>
      <c r="E2952" s="2" t="n">
        <f aca="false">'Raw Data'!Q2952</f>
        <v>21</v>
      </c>
      <c r="F2952" s="2" t="n">
        <f aca="false">'Raw Data'!U2952</f>
        <v>10</v>
      </c>
      <c r="G2952" s="2" t="n">
        <f aca="false">'Raw Data'!W2952</f>
        <v>4</v>
      </c>
      <c r="H2952" s="2" t="n">
        <f aca="false">'Raw Data'!V2952</f>
        <v>3</v>
      </c>
      <c r="I2952" s="2" t="n">
        <f aca="false">IF(AND(ISNUMBER(B2952),B2952&lt;=25),2,0)+IF(AND(ISNUMBER(E2952),E2952&lt;=5),2,0)+IF(AND(ISNUMBER(F2952),F2952&lt;=1),2,0)+IF(AND(ISNUMBER(G2952),G2952&lt;=2),1,0)+IF(AND(ISNUMBER(H2952),H2952&lt;=2),1,0)</f>
        <v>0</v>
      </c>
      <c r="J2952" s="2" t="str">
        <f aca="false">IF(I2952&gt;=6,"High",IF(I2952&gt;=3,"Medium","Low"))</f>
        <v>Low</v>
      </c>
    </row>
    <row r="2953" customFormat="false" ht="15" hidden="false" customHeight="true" outlineLevel="0" collapsed="false">
      <c r="A2953" s="2" t="n">
        <f aca="false">'Raw Data'!H2953</f>
        <v>2952</v>
      </c>
      <c r="B2953" s="2" t="n">
        <f aca="false">'Raw Data'!A2953</f>
        <v>36</v>
      </c>
      <c r="C2953" s="2" t="str">
        <f aca="false">'Raw Data'!D2953</f>
        <v>Research &amp; Development</v>
      </c>
      <c r="D2953" s="2" t="str">
        <f aca="false">'Raw Data'!K2953</f>
        <v>Laboratory Technician</v>
      </c>
      <c r="E2953" s="2" t="n">
        <f aca="false">'Raw Data'!Q2953</f>
        <v>16</v>
      </c>
      <c r="F2953" s="2" t="n">
        <f aca="false">'Raw Data'!U2953</f>
        <v>11</v>
      </c>
      <c r="G2953" s="2" t="n">
        <f aca="false">'Raw Data'!W2953</f>
        <v>4</v>
      </c>
      <c r="H2953" s="2" t="n">
        <f aca="false">'Raw Data'!V2953</f>
        <v>4</v>
      </c>
      <c r="I2953" s="2" t="n">
        <f aca="false">IF(AND(ISNUMBER(B2953),B2953&lt;=25),2,0)+IF(AND(ISNUMBER(E2953),E2953&lt;=5),2,0)+IF(AND(ISNUMBER(F2953),F2953&lt;=1),2,0)+IF(AND(ISNUMBER(G2953),G2953&lt;=2),1,0)+IF(AND(ISNUMBER(H2953),H2953&lt;=2),1,0)</f>
        <v>0</v>
      </c>
      <c r="J2953" s="2" t="str">
        <f aca="false">IF(I2953&gt;=6,"High",IF(I2953&gt;=3,"Medium","Low"))</f>
        <v>Low</v>
      </c>
    </row>
    <row r="2954" customFormat="false" ht="15" hidden="false" customHeight="true" outlineLevel="0" collapsed="false">
      <c r="A2954" s="2" t="n">
        <f aca="false">'Raw Data'!H2954</f>
        <v>2953</v>
      </c>
      <c r="B2954" s="2" t="n">
        <f aca="false">'Raw Data'!A2954</f>
        <v>55</v>
      </c>
      <c r="C2954" s="2" t="str">
        <f aca="false">'Raw Data'!D2954</f>
        <v>Research &amp; Development</v>
      </c>
      <c r="D2954" s="2" t="str">
        <f aca="false">'Raw Data'!K2954</f>
        <v>Sales Executive</v>
      </c>
      <c r="E2954" s="2" t="n">
        <f aca="false">'Raw Data'!Q2954</f>
        <v>37</v>
      </c>
      <c r="F2954" s="2" t="n">
        <f aca="false">'Raw Data'!U2954</f>
        <v>13</v>
      </c>
      <c r="G2954" s="2" t="n">
        <f aca="false">'Raw Data'!W2954</f>
        <v>1</v>
      </c>
      <c r="H2954" s="2" t="n">
        <f aca="false">'Raw Data'!V2954</f>
        <v>4</v>
      </c>
      <c r="I2954" s="2" t="n">
        <f aca="false">IF(AND(ISNUMBER(B2954),B2954&lt;=25),2,0)+IF(AND(ISNUMBER(E2954),E2954&lt;=5),2,0)+IF(AND(ISNUMBER(F2954),F2954&lt;=1),2,0)+IF(AND(ISNUMBER(G2954),G2954&lt;=2),1,0)+IF(AND(ISNUMBER(H2954),H2954&lt;=2),1,0)</f>
        <v>1</v>
      </c>
      <c r="J2954" s="2" t="str">
        <f aca="false">IF(I2954&gt;=6,"High",IF(I2954&gt;=3,"Medium","Low"))</f>
        <v>Low</v>
      </c>
    </row>
    <row r="2955" customFormat="false" ht="15" hidden="false" customHeight="true" outlineLevel="0" collapsed="false">
      <c r="A2955" s="2" t="n">
        <f aca="false">'Raw Data'!H2955</f>
        <v>2954</v>
      </c>
      <c r="B2955" s="2" t="n">
        <f aca="false">'Raw Data'!A2955</f>
        <v>47</v>
      </c>
      <c r="C2955" s="2" t="str">
        <f aca="false">'Raw Data'!D2955</f>
        <v>Research &amp; Development</v>
      </c>
      <c r="D2955" s="2" t="str">
        <f aca="false">'Raw Data'!K2955</f>
        <v>Research Scientist</v>
      </c>
      <c r="E2955" s="2" t="n">
        <f aca="false">'Raw Data'!Q2955</f>
        <v>10</v>
      </c>
      <c r="F2955" s="2" t="n">
        <f aca="false">'Raw Data'!U2955</f>
        <v>9</v>
      </c>
      <c r="G2955" s="2" t="n">
        <f aca="false">'Raw Data'!W2955</f>
        <v>2</v>
      </c>
      <c r="H2955" s="2" t="n">
        <f aca="false">'Raw Data'!V2955</f>
        <v>1</v>
      </c>
      <c r="I2955" s="2" t="n">
        <f aca="false">IF(AND(ISNUMBER(B2955),B2955&lt;=25),2,0)+IF(AND(ISNUMBER(E2955),E2955&lt;=5),2,0)+IF(AND(ISNUMBER(F2955),F2955&lt;=1),2,0)+IF(AND(ISNUMBER(G2955),G2955&lt;=2),1,0)+IF(AND(ISNUMBER(H2955),H2955&lt;=2),1,0)</f>
        <v>2</v>
      </c>
      <c r="J2955" s="2" t="str">
        <f aca="false">IF(I2955&gt;=6,"High",IF(I2955&gt;=3,"Medium","Low"))</f>
        <v>Low</v>
      </c>
    </row>
    <row r="2956" customFormat="false" ht="15" hidden="false" customHeight="true" outlineLevel="0" collapsed="false">
      <c r="A2956" s="2" t="n">
        <f aca="false">'Raw Data'!H2956</f>
        <v>2955</v>
      </c>
      <c r="B2956" s="2" t="n">
        <f aca="false">'Raw Data'!A2956</f>
        <v>28</v>
      </c>
      <c r="C2956" s="2" t="str">
        <f aca="false">'Raw Data'!D2956</f>
        <v>Research &amp; Development</v>
      </c>
      <c r="D2956" s="2" t="str">
        <f aca="false">'Raw Data'!K2956</f>
        <v>Manufacturing Director</v>
      </c>
      <c r="E2956" s="2" t="n">
        <f aca="false">'Raw Data'!Q2956</f>
        <v>5</v>
      </c>
      <c r="F2956" s="2" t="n">
        <f aca="false">'Raw Data'!U2956</f>
        <v>4</v>
      </c>
      <c r="G2956" s="2" t="n">
        <f aca="false">'Raw Data'!W2956</f>
        <v>4</v>
      </c>
      <c r="H2956" s="2" t="n">
        <f aca="false">'Raw Data'!V2956</f>
        <v>4</v>
      </c>
      <c r="I2956" s="2" t="n">
        <f aca="false">IF(AND(ISNUMBER(B2956),B2956&lt;=25),2,0)+IF(AND(ISNUMBER(E2956),E2956&lt;=5),2,0)+IF(AND(ISNUMBER(F2956),F2956&lt;=1),2,0)+IF(AND(ISNUMBER(G2956),G2956&lt;=2),1,0)+IF(AND(ISNUMBER(H2956),H2956&lt;=2),1,0)</f>
        <v>2</v>
      </c>
      <c r="J2956" s="2" t="str">
        <f aca="false">IF(I2956&gt;=6,"High",IF(I2956&gt;=3,"Medium","Low"))</f>
        <v>Low</v>
      </c>
    </row>
    <row r="2957" customFormat="false" ht="15" hidden="false" customHeight="true" outlineLevel="0" collapsed="false">
      <c r="A2957" s="2" t="n">
        <f aca="false">'Raw Data'!H2957</f>
        <v>2956</v>
      </c>
      <c r="B2957" s="2" t="n">
        <f aca="false">'Raw Data'!A2957</f>
        <v>37</v>
      </c>
      <c r="C2957" s="2" t="str">
        <f aca="false">'Raw Data'!D2957</f>
        <v>Research &amp; Development</v>
      </c>
      <c r="D2957" s="2" t="str">
        <f aca="false">'Raw Data'!K2957</f>
        <v>Healthcare Representative</v>
      </c>
      <c r="E2957" s="2" t="n">
        <f aca="false">'Raw Data'!Q2957</f>
        <v>7</v>
      </c>
      <c r="F2957" s="2" t="n">
        <f aca="false">'Raw Data'!U2957</f>
        <v>1</v>
      </c>
      <c r="G2957" s="2" t="n">
        <f aca="false">'Raw Data'!W2957</f>
        <v>4</v>
      </c>
      <c r="H2957" s="2" t="n">
        <f aca="false">'Raw Data'!V2957</f>
        <v>3</v>
      </c>
      <c r="I2957" s="2" t="n">
        <f aca="false">IF(AND(ISNUMBER(B2957),B2957&lt;=25),2,0)+IF(AND(ISNUMBER(E2957),E2957&lt;=5),2,0)+IF(AND(ISNUMBER(F2957),F2957&lt;=1),2,0)+IF(AND(ISNUMBER(G2957),G2957&lt;=2),1,0)+IF(AND(ISNUMBER(H2957),H2957&lt;=2),1,0)</f>
        <v>2</v>
      </c>
      <c r="J2957" s="2" t="str">
        <f aca="false">IF(I2957&gt;=6,"High",IF(I2957&gt;=3,"Medium","Low"))</f>
        <v>Low</v>
      </c>
    </row>
    <row r="2958" customFormat="false" ht="15" hidden="false" customHeight="true" outlineLevel="0" collapsed="false">
      <c r="A2958" s="2" t="n">
        <f aca="false">'Raw Data'!H2958</f>
        <v>2957</v>
      </c>
      <c r="B2958" s="2" t="n">
        <f aca="false">'Raw Data'!A2958</f>
        <v>21</v>
      </c>
      <c r="C2958" s="2" t="str">
        <f aca="false">'Raw Data'!D2958</f>
        <v>Research &amp; Development</v>
      </c>
      <c r="D2958" s="2" t="str">
        <f aca="false">'Raw Data'!K2958</f>
        <v>Laboratory Technician</v>
      </c>
      <c r="E2958" s="2" t="n">
        <f aca="false">'Raw Data'!Q2958</f>
        <v>3</v>
      </c>
      <c r="F2958" s="2" t="n">
        <f aca="false">'Raw Data'!U2958</f>
        <v>0</v>
      </c>
      <c r="G2958" s="2" t="n">
        <f aca="false">'Raw Data'!W2958</f>
        <v>3</v>
      </c>
      <c r="H2958" s="2" t="n">
        <f aca="false">'Raw Data'!V2958</f>
        <v>4</v>
      </c>
      <c r="I2958" s="2" t="n">
        <f aca="false">IF(AND(ISNUMBER(B2958),B2958&lt;=25),2,0)+IF(AND(ISNUMBER(E2958),E2958&lt;=5),2,0)+IF(AND(ISNUMBER(F2958),F2958&lt;=1),2,0)+IF(AND(ISNUMBER(G2958),G2958&lt;=2),1,0)+IF(AND(ISNUMBER(H2958),H2958&lt;=2),1,0)</f>
        <v>6</v>
      </c>
      <c r="J2958" s="2" t="str">
        <f aca="false">IF(I2958&gt;=6,"High",IF(I2958&gt;=3,"Medium","Low"))</f>
        <v>High</v>
      </c>
    </row>
    <row r="2959" customFormat="false" ht="15" hidden="false" customHeight="true" outlineLevel="0" collapsed="false">
      <c r="A2959" s="2" t="n">
        <f aca="false">'Raw Data'!H2959</f>
        <v>2958</v>
      </c>
      <c r="B2959" s="2" t="n">
        <f aca="false">'Raw Data'!A2959</f>
        <v>37</v>
      </c>
      <c r="C2959" s="2" t="str">
        <f aca="false">'Raw Data'!D2959</f>
        <v>Research &amp; Development</v>
      </c>
      <c r="D2959" s="2" t="str">
        <f aca="false">'Raw Data'!K2959</f>
        <v>Sales Executive</v>
      </c>
      <c r="E2959" s="2" t="n">
        <f aca="false">'Raw Data'!Q2959</f>
        <v>15</v>
      </c>
      <c r="F2959" s="2" t="n">
        <f aca="false">'Raw Data'!U2959</f>
        <v>2</v>
      </c>
      <c r="G2959" s="2" t="n">
        <f aca="false">'Raw Data'!W2959</f>
        <v>4</v>
      </c>
      <c r="H2959" s="2" t="n">
        <f aca="false">'Raw Data'!V2959</f>
        <v>1</v>
      </c>
      <c r="I2959" s="2" t="n">
        <f aca="false">IF(AND(ISNUMBER(B2959),B2959&lt;=25),2,0)+IF(AND(ISNUMBER(E2959),E2959&lt;=5),2,0)+IF(AND(ISNUMBER(F2959),F2959&lt;=1),2,0)+IF(AND(ISNUMBER(G2959),G2959&lt;=2),1,0)+IF(AND(ISNUMBER(H2959),H2959&lt;=2),1,0)</f>
        <v>1</v>
      </c>
      <c r="J2959" s="2" t="str">
        <f aca="false">IF(I2959&gt;=6,"High",IF(I2959&gt;=3,"Medium","Low"))</f>
        <v>Low</v>
      </c>
    </row>
    <row r="2960" customFormat="false" ht="15" hidden="false" customHeight="true" outlineLevel="0" collapsed="false">
      <c r="A2960" s="2" t="n">
        <f aca="false">'Raw Data'!H2960</f>
        <v>2959</v>
      </c>
      <c r="B2960" s="2" t="n">
        <f aca="false">'Raw Data'!A2960</f>
        <v>35</v>
      </c>
      <c r="C2960" s="2" t="str">
        <f aca="false">'Raw Data'!D2960</f>
        <v>Sales</v>
      </c>
      <c r="D2960" s="2" t="str">
        <f aca="false">'Raw Data'!K2960</f>
        <v>Sales Representative</v>
      </c>
      <c r="E2960" s="2" t="n">
        <f aca="false">'Raw Data'!Q2960</f>
        <v>10</v>
      </c>
      <c r="F2960" s="2" t="n">
        <f aca="false">'Raw Data'!U2960</f>
        <v>2</v>
      </c>
      <c r="G2960" s="2" t="n">
        <f aca="false">'Raw Data'!W2960</f>
        <v>2</v>
      </c>
      <c r="H2960" s="2" t="n">
        <f aca="false">'Raw Data'!V2960</f>
        <v>2</v>
      </c>
      <c r="I2960" s="2" t="n">
        <f aca="false">IF(AND(ISNUMBER(B2960),B2960&lt;=25),2,0)+IF(AND(ISNUMBER(E2960),E2960&lt;=5),2,0)+IF(AND(ISNUMBER(F2960),F2960&lt;=1),2,0)+IF(AND(ISNUMBER(G2960),G2960&lt;=2),1,0)+IF(AND(ISNUMBER(H2960),H2960&lt;=2),1,0)</f>
        <v>2</v>
      </c>
      <c r="J2960" s="2" t="str">
        <f aca="false">IF(I2960&gt;=6,"High",IF(I2960&gt;=3,"Medium","Low"))</f>
        <v>Low</v>
      </c>
    </row>
    <row r="2961" customFormat="false" ht="15" hidden="false" customHeight="true" outlineLevel="0" collapsed="false">
      <c r="A2961" s="2" t="n">
        <f aca="false">'Raw Data'!H2961</f>
        <v>2960</v>
      </c>
      <c r="B2961" s="2" t="n">
        <f aca="false">'Raw Data'!A2961</f>
        <v>38</v>
      </c>
      <c r="C2961" s="2" t="str">
        <f aca="false">'Raw Data'!D2961</f>
        <v>Research &amp; Development</v>
      </c>
      <c r="D2961" s="2" t="str">
        <f aca="false">'Raw Data'!K2961</f>
        <v>Manager</v>
      </c>
      <c r="E2961" s="2" t="n">
        <f aca="false">'Raw Data'!Q2961</f>
        <v>8</v>
      </c>
      <c r="F2961" s="2" t="n">
        <f aca="false">'Raw Data'!U2961</f>
        <v>7</v>
      </c>
      <c r="G2961" s="2" t="n">
        <f aca="false">'Raw Data'!W2961</f>
        <v>1</v>
      </c>
      <c r="H2961" s="2" t="n">
        <f aca="false">'Raw Data'!V2961</f>
        <v>1</v>
      </c>
      <c r="I2961" s="2" t="n">
        <f aca="false">IF(AND(ISNUMBER(B2961),B2961&lt;=25),2,0)+IF(AND(ISNUMBER(E2961),E2961&lt;=5),2,0)+IF(AND(ISNUMBER(F2961),F2961&lt;=1),2,0)+IF(AND(ISNUMBER(G2961),G2961&lt;=2),1,0)+IF(AND(ISNUMBER(H2961),H2961&lt;=2),1,0)</f>
        <v>2</v>
      </c>
      <c r="J2961" s="2" t="str">
        <f aca="false">IF(I2961&gt;=6,"High",IF(I2961&gt;=3,"Medium","Low"))</f>
        <v>Low</v>
      </c>
    </row>
    <row r="2962" customFormat="false" ht="15" hidden="false" customHeight="true" outlineLevel="0" collapsed="false">
      <c r="A2962" s="2" t="n">
        <f aca="false">'Raw Data'!H2962</f>
        <v>2961</v>
      </c>
      <c r="B2962" s="2" t="n">
        <f aca="false">'Raw Data'!A2962</f>
        <v>26</v>
      </c>
      <c r="C2962" s="2" t="str">
        <f aca="false">'Raw Data'!D2962</f>
        <v>Research &amp; Development</v>
      </c>
      <c r="D2962" s="2" t="str">
        <f aca="false">'Raw Data'!K2962</f>
        <v>Laboratory Technician</v>
      </c>
      <c r="E2962" s="2" t="n">
        <f aca="false">'Raw Data'!Q2962</f>
        <v>6</v>
      </c>
      <c r="F2962" s="2" t="n">
        <f aca="false">'Raw Data'!U2962</f>
        <v>4</v>
      </c>
      <c r="G2962" s="2" t="n">
        <f aca="false">'Raw Data'!W2962</f>
        <v>2</v>
      </c>
      <c r="H2962" s="2" t="n">
        <f aca="false">'Raw Data'!V2962</f>
        <v>3</v>
      </c>
      <c r="I2962" s="2" t="n">
        <f aca="false">IF(AND(ISNUMBER(B2962),B2962&lt;=25),2,0)+IF(AND(ISNUMBER(E2962),E2962&lt;=5),2,0)+IF(AND(ISNUMBER(F2962),F2962&lt;=1),2,0)+IF(AND(ISNUMBER(G2962),G2962&lt;=2),1,0)+IF(AND(ISNUMBER(H2962),H2962&lt;=2),1,0)</f>
        <v>1</v>
      </c>
      <c r="J2962" s="2" t="str">
        <f aca="false">IF(I2962&gt;=6,"High",IF(I2962&gt;=3,"Medium","Low"))</f>
        <v>Low</v>
      </c>
    </row>
    <row r="2963" customFormat="false" ht="15" hidden="false" customHeight="true" outlineLevel="0" collapsed="false">
      <c r="A2963" s="2" t="n">
        <f aca="false">'Raw Data'!H2963</f>
        <v>2962</v>
      </c>
      <c r="B2963" s="2" t="n">
        <f aca="false">'Raw Data'!A2963</f>
        <v>50</v>
      </c>
      <c r="C2963" s="2" t="str">
        <f aca="false">'Raw Data'!D2963</f>
        <v>Sales</v>
      </c>
      <c r="D2963" s="2" t="str">
        <f aca="false">'Raw Data'!K2963</f>
        <v>Research Scientist</v>
      </c>
      <c r="E2963" s="2" t="n">
        <f aca="false">'Raw Data'!Q2963</f>
        <v>28</v>
      </c>
      <c r="F2963" s="2" t="n">
        <f aca="false">'Raw Data'!U2963</f>
        <v>6</v>
      </c>
      <c r="G2963" s="2" t="n">
        <f aca="false">'Raw Data'!W2963</f>
        <v>2</v>
      </c>
      <c r="H2963" s="2" t="n">
        <f aca="false">'Raw Data'!V2963</f>
        <v>1</v>
      </c>
      <c r="I2963" s="2" t="n">
        <f aca="false">IF(AND(ISNUMBER(B2963),B2963&lt;=25),2,0)+IF(AND(ISNUMBER(E2963),E2963&lt;=5),2,0)+IF(AND(ISNUMBER(F2963),F2963&lt;=1),2,0)+IF(AND(ISNUMBER(G2963),G2963&lt;=2),1,0)+IF(AND(ISNUMBER(H2963),H2963&lt;=2),1,0)</f>
        <v>2</v>
      </c>
      <c r="J2963" s="2" t="str">
        <f aca="false">IF(I2963&gt;=6,"High",IF(I2963&gt;=3,"Medium","Low"))</f>
        <v>Low</v>
      </c>
    </row>
    <row r="2964" customFormat="false" ht="15" hidden="false" customHeight="true" outlineLevel="0" collapsed="false">
      <c r="A2964" s="2" t="n">
        <f aca="false">'Raw Data'!H2964</f>
        <v>2963</v>
      </c>
      <c r="B2964" s="2" t="n">
        <f aca="false">'Raw Data'!A2964</f>
        <v>53</v>
      </c>
      <c r="C2964" s="2" t="str">
        <f aca="false">'Raw Data'!D2964</f>
        <v>Research &amp; Development</v>
      </c>
      <c r="D2964" s="2" t="str">
        <f aca="false">'Raw Data'!K2964</f>
        <v>Research Scientist</v>
      </c>
      <c r="E2964" s="2" t="n">
        <f aca="false">'Raw Data'!Q2964</f>
        <v>21</v>
      </c>
      <c r="F2964" s="2" t="n">
        <f aca="false">'Raw Data'!U2964</f>
        <v>3</v>
      </c>
      <c r="G2964" s="2" t="n">
        <f aca="false">'Raw Data'!W2964</f>
        <v>3</v>
      </c>
      <c r="H2964" s="2" t="n">
        <f aca="false">'Raw Data'!V2964</f>
        <v>3</v>
      </c>
      <c r="I2964" s="2" t="n">
        <f aca="false">IF(AND(ISNUMBER(B2964),B2964&lt;=25),2,0)+IF(AND(ISNUMBER(E2964),E2964&lt;=5),2,0)+IF(AND(ISNUMBER(F2964),F2964&lt;=1),2,0)+IF(AND(ISNUMBER(G2964),G2964&lt;=2),1,0)+IF(AND(ISNUMBER(H2964),H2964&lt;=2),1,0)</f>
        <v>0</v>
      </c>
      <c r="J2964" s="2" t="str">
        <f aca="false">IF(I2964&gt;=6,"High",IF(I2964&gt;=3,"Medium","Low"))</f>
        <v>Low</v>
      </c>
    </row>
    <row r="2965" customFormat="false" ht="15" hidden="false" customHeight="true" outlineLevel="0" collapsed="false">
      <c r="A2965" s="2" t="n">
        <f aca="false">'Raw Data'!H2965</f>
        <v>2964</v>
      </c>
      <c r="B2965" s="2" t="n">
        <f aca="false">'Raw Data'!A2965</f>
        <v>42</v>
      </c>
      <c r="C2965" s="2" t="str">
        <f aca="false">'Raw Data'!D2965</f>
        <v>Research &amp; Development</v>
      </c>
      <c r="D2965" s="2" t="str">
        <f aca="false">'Raw Data'!K2965</f>
        <v>Manufacturing Director</v>
      </c>
      <c r="E2965" s="2" t="n">
        <f aca="false">'Raw Data'!Q2965</f>
        <v>20</v>
      </c>
      <c r="F2965" s="2" t="n">
        <f aca="false">'Raw Data'!U2965</f>
        <v>6</v>
      </c>
      <c r="G2965" s="2" t="n">
        <f aca="false">'Raw Data'!W2965</f>
        <v>3</v>
      </c>
      <c r="H2965" s="2" t="n">
        <f aca="false">'Raw Data'!V2965</f>
        <v>2</v>
      </c>
      <c r="I2965" s="2" t="n">
        <f aca="false">IF(AND(ISNUMBER(B2965),B2965&lt;=25),2,0)+IF(AND(ISNUMBER(E2965),E2965&lt;=5),2,0)+IF(AND(ISNUMBER(F2965),F2965&lt;=1),2,0)+IF(AND(ISNUMBER(G2965),G2965&lt;=2),1,0)+IF(AND(ISNUMBER(H2965),H2965&lt;=2),1,0)</f>
        <v>1</v>
      </c>
      <c r="J2965" s="2" t="str">
        <f aca="false">IF(I2965&gt;=6,"High",IF(I2965&gt;=3,"Medium","Low"))</f>
        <v>Low</v>
      </c>
    </row>
    <row r="2966" customFormat="false" ht="15" hidden="false" customHeight="true" outlineLevel="0" collapsed="false">
      <c r="A2966" s="2" t="n">
        <f aca="false">'Raw Data'!H2966</f>
        <v>2965</v>
      </c>
      <c r="B2966" s="2" t="n">
        <f aca="false">'Raw Data'!A2966</f>
        <v>29</v>
      </c>
      <c r="C2966" s="2" t="str">
        <f aca="false">'Raw Data'!D2966</f>
        <v>Research &amp; Development</v>
      </c>
      <c r="D2966" s="2" t="str">
        <f aca="false">'Raw Data'!K2966</f>
        <v>Laboratory Technician</v>
      </c>
      <c r="E2966" s="2" t="n">
        <f aca="false">'Raw Data'!Q2966</f>
        <v>10</v>
      </c>
      <c r="F2966" s="2" t="n">
        <f aca="false">'Raw Data'!U2966</f>
        <v>9</v>
      </c>
      <c r="G2966" s="2" t="n">
        <f aca="false">'Raw Data'!W2966</f>
        <v>4</v>
      </c>
      <c r="H2966" s="2" t="n">
        <f aca="false">'Raw Data'!V2966</f>
        <v>2</v>
      </c>
      <c r="I2966" s="2" t="n">
        <f aca="false">IF(AND(ISNUMBER(B2966),B2966&lt;=25),2,0)+IF(AND(ISNUMBER(E2966),E2966&lt;=5),2,0)+IF(AND(ISNUMBER(F2966),F2966&lt;=1),2,0)+IF(AND(ISNUMBER(G2966),G2966&lt;=2),1,0)+IF(AND(ISNUMBER(H2966),H2966&lt;=2),1,0)</f>
        <v>1</v>
      </c>
      <c r="J2966" s="2" t="str">
        <f aca="false">IF(I2966&gt;=6,"High",IF(I2966&gt;=3,"Medium","Low"))</f>
        <v>Low</v>
      </c>
    </row>
    <row r="2967" customFormat="false" ht="15" hidden="false" customHeight="true" outlineLevel="0" collapsed="false">
      <c r="A2967" s="2" t="n">
        <f aca="false">'Raw Data'!H2967</f>
        <v>2966</v>
      </c>
      <c r="B2967" s="2" t="n">
        <f aca="false">'Raw Data'!A2967</f>
        <v>55</v>
      </c>
      <c r="C2967" s="2" t="str">
        <f aca="false">'Raw Data'!D2967</f>
        <v>Research &amp; Development</v>
      </c>
      <c r="D2967" s="2" t="str">
        <f aca="false">'Raw Data'!K2967</f>
        <v>Research Scientist</v>
      </c>
      <c r="E2967" s="2" t="n">
        <f aca="false">'Raw Data'!Q2967</f>
        <v>12</v>
      </c>
      <c r="F2967" s="2" t="n">
        <f aca="false">'Raw Data'!U2967</f>
        <v>8</v>
      </c>
      <c r="G2967" s="2" t="n">
        <f aca="false">'Raw Data'!W2967</f>
        <v>4</v>
      </c>
      <c r="H2967" s="2" t="n">
        <f aca="false">'Raw Data'!V2967</f>
        <v>2</v>
      </c>
      <c r="I2967" s="2" t="n">
        <f aca="false">IF(AND(ISNUMBER(B2967),B2967&lt;=25),2,0)+IF(AND(ISNUMBER(E2967),E2967&lt;=5),2,0)+IF(AND(ISNUMBER(F2967),F2967&lt;=1),2,0)+IF(AND(ISNUMBER(G2967),G2967&lt;=2),1,0)+IF(AND(ISNUMBER(H2967),H2967&lt;=2),1,0)</f>
        <v>1</v>
      </c>
      <c r="J2967" s="2" t="str">
        <f aca="false">IF(I2967&gt;=6,"High",IF(I2967&gt;=3,"Medium","Low"))</f>
        <v>Low</v>
      </c>
    </row>
    <row r="2968" customFormat="false" ht="15" hidden="false" customHeight="true" outlineLevel="0" collapsed="false">
      <c r="A2968" s="2" t="n">
        <f aca="false">'Raw Data'!H2968</f>
        <v>2967</v>
      </c>
      <c r="B2968" s="2" t="n">
        <f aca="false">'Raw Data'!A2968</f>
        <v>26</v>
      </c>
      <c r="C2968" s="2" t="str">
        <f aca="false">'Raw Data'!D2968</f>
        <v>Research &amp; Development</v>
      </c>
      <c r="D2968" s="2" t="str">
        <f aca="false">'Raw Data'!K2968</f>
        <v>Manager</v>
      </c>
      <c r="E2968" s="2" t="n">
        <f aca="false">'Raw Data'!Q2968</f>
        <v>5</v>
      </c>
      <c r="F2968" s="2" t="n">
        <f aca="false">'Raw Data'!U2968</f>
        <v>3</v>
      </c>
      <c r="G2968" s="2" t="n">
        <f aca="false">'Raw Data'!W2968</f>
        <v>1</v>
      </c>
      <c r="H2968" s="2" t="n">
        <f aca="false">'Raw Data'!V2968</f>
        <v>1</v>
      </c>
      <c r="I2968" s="2" t="n">
        <f aca="false">IF(AND(ISNUMBER(B2968),B2968&lt;=25),2,0)+IF(AND(ISNUMBER(E2968),E2968&lt;=5),2,0)+IF(AND(ISNUMBER(F2968),F2968&lt;=1),2,0)+IF(AND(ISNUMBER(G2968),G2968&lt;=2),1,0)+IF(AND(ISNUMBER(H2968),H2968&lt;=2),1,0)</f>
        <v>4</v>
      </c>
      <c r="J2968" s="2" t="str">
        <f aca="false">IF(I2968&gt;=6,"High",IF(I2968&gt;=3,"Medium","Low"))</f>
        <v>Medium</v>
      </c>
    </row>
    <row r="2969" customFormat="false" ht="15" hidden="false" customHeight="true" outlineLevel="0" collapsed="false">
      <c r="A2969" s="2" t="n">
        <f aca="false">'Raw Data'!H2969</f>
        <v>2968</v>
      </c>
      <c r="B2969" s="2" t="n">
        <f aca="false">'Raw Data'!A2969</f>
        <v>37</v>
      </c>
      <c r="C2969" s="2" t="str">
        <f aca="false">'Raw Data'!D2969</f>
        <v>Sales</v>
      </c>
      <c r="D2969" s="2" t="str">
        <f aca="false">'Raw Data'!K2969</f>
        <v>Research Scientist</v>
      </c>
      <c r="E2969" s="2" t="n">
        <f aca="false">'Raw Data'!Q2969</f>
        <v>17</v>
      </c>
      <c r="F2969" s="2" t="n">
        <f aca="false">'Raw Data'!U2969</f>
        <v>7</v>
      </c>
      <c r="G2969" s="2" t="n">
        <f aca="false">'Raw Data'!W2969</f>
        <v>4</v>
      </c>
      <c r="H2969" s="2" t="n">
        <f aca="false">'Raw Data'!V2969</f>
        <v>4</v>
      </c>
      <c r="I2969" s="2" t="n">
        <f aca="false">IF(AND(ISNUMBER(B2969),B2969&lt;=25),2,0)+IF(AND(ISNUMBER(E2969),E2969&lt;=5),2,0)+IF(AND(ISNUMBER(F2969),F2969&lt;=1),2,0)+IF(AND(ISNUMBER(G2969),G2969&lt;=2),1,0)+IF(AND(ISNUMBER(H2969),H2969&lt;=2),1,0)</f>
        <v>0</v>
      </c>
      <c r="J2969" s="2" t="str">
        <f aca="false">IF(I2969&gt;=6,"High",IF(I2969&gt;=3,"Medium","Low"))</f>
        <v>Low</v>
      </c>
    </row>
    <row r="2970" customFormat="false" ht="15" hidden="false" customHeight="true" outlineLevel="0" collapsed="false">
      <c r="A2970" s="2" t="n">
        <f aca="false">'Raw Data'!H2970</f>
        <v>2969</v>
      </c>
      <c r="B2970" s="2" t="n">
        <f aca="false">'Raw Data'!A2970</f>
        <v>44</v>
      </c>
      <c r="C2970" s="2" t="str">
        <f aca="false">'Raw Data'!D2970</f>
        <v>Research &amp; Development</v>
      </c>
      <c r="D2970" s="2" t="str">
        <f aca="false">'Raw Data'!K2970</f>
        <v>Research Scientist</v>
      </c>
      <c r="E2970" s="2" t="n">
        <f aca="false">'Raw Data'!Q2970</f>
        <v>19</v>
      </c>
      <c r="F2970" s="2" t="n">
        <f aca="false">'Raw Data'!U2970</f>
        <v>0</v>
      </c>
      <c r="G2970" s="2" t="n">
        <f aca="false">'Raw Data'!W2970</f>
        <v>3</v>
      </c>
      <c r="H2970" s="2" t="n">
        <f aca="false">'Raw Data'!V2970</f>
        <v>4</v>
      </c>
      <c r="I2970" s="2" t="n">
        <f aca="false">IF(AND(ISNUMBER(B2970),B2970&lt;=25),2,0)+IF(AND(ISNUMBER(E2970),E2970&lt;=5),2,0)+IF(AND(ISNUMBER(F2970),F2970&lt;=1),2,0)+IF(AND(ISNUMBER(G2970),G2970&lt;=2),1,0)+IF(AND(ISNUMBER(H2970),H2970&lt;=2),1,0)</f>
        <v>2</v>
      </c>
      <c r="J2970" s="2" t="str">
        <f aca="false">IF(I2970&gt;=6,"High",IF(I2970&gt;=3,"Medium","Low"))</f>
        <v>Low</v>
      </c>
    </row>
    <row r="2971" customFormat="false" ht="15" hidden="false" customHeight="true" outlineLevel="0" collapsed="false">
      <c r="A2971" s="2" t="n">
        <f aca="false">'Raw Data'!H2971</f>
        <v>2970</v>
      </c>
      <c r="B2971" s="2" t="n">
        <f aca="false">'Raw Data'!A2971</f>
        <v>38</v>
      </c>
      <c r="C2971" s="2" t="str">
        <f aca="false">'Raw Data'!D2971</f>
        <v>Sales</v>
      </c>
      <c r="D2971" s="2" t="str">
        <f aca="false">'Raw Data'!K2971</f>
        <v>Manager</v>
      </c>
      <c r="E2971" s="2" t="n">
        <f aca="false">'Raw Data'!Q2971</f>
        <v>10</v>
      </c>
      <c r="F2971" s="2" t="n">
        <f aca="false">'Raw Data'!U2971</f>
        <v>2</v>
      </c>
      <c r="G2971" s="2" t="n">
        <f aca="false">'Raw Data'!W2971</f>
        <v>4</v>
      </c>
      <c r="H2971" s="2" t="n">
        <f aca="false">'Raw Data'!V2971</f>
        <v>4</v>
      </c>
      <c r="I2971" s="2" t="n">
        <f aca="false">IF(AND(ISNUMBER(B2971),B2971&lt;=25),2,0)+IF(AND(ISNUMBER(E2971),E2971&lt;=5),2,0)+IF(AND(ISNUMBER(F2971),F2971&lt;=1),2,0)+IF(AND(ISNUMBER(G2971),G2971&lt;=2),1,0)+IF(AND(ISNUMBER(H2971),H2971&lt;=2),1,0)</f>
        <v>0</v>
      </c>
      <c r="J2971" s="2" t="str">
        <f aca="false">IF(I2971&gt;=6,"High",IF(I2971&gt;=3,"Medium","Low"))</f>
        <v>Low</v>
      </c>
    </row>
    <row r="2972" customFormat="false" ht="15" hidden="false" customHeight="true" outlineLevel="0" collapsed="false">
      <c r="A2972" s="2" t="n">
        <f aca="false">'Raw Data'!H2972</f>
        <v>2971</v>
      </c>
      <c r="B2972" s="2" t="n">
        <f aca="false">'Raw Data'!A2972</f>
        <v>26</v>
      </c>
      <c r="C2972" s="2" t="str">
        <f aca="false">'Raw Data'!D2972</f>
        <v>Research &amp; Development</v>
      </c>
      <c r="D2972" s="2" t="str">
        <f aca="false">'Raw Data'!K2972</f>
        <v>Research Scientist</v>
      </c>
      <c r="E2972" s="2" t="n">
        <f aca="false">'Raw Data'!Q2972</f>
        <v>5</v>
      </c>
      <c r="F2972" s="2" t="n">
        <f aca="false">'Raw Data'!U2972</f>
        <v>2</v>
      </c>
      <c r="G2972" s="2" t="n">
        <f aca="false">'Raw Data'!W2972</f>
        <v>2</v>
      </c>
      <c r="H2972" s="2" t="n">
        <f aca="false">'Raw Data'!V2972</f>
        <v>1</v>
      </c>
      <c r="I2972" s="2" t="n">
        <f aca="false">IF(AND(ISNUMBER(B2972),B2972&lt;=25),2,0)+IF(AND(ISNUMBER(E2972),E2972&lt;=5),2,0)+IF(AND(ISNUMBER(F2972),F2972&lt;=1),2,0)+IF(AND(ISNUMBER(G2972),G2972&lt;=2),1,0)+IF(AND(ISNUMBER(H2972),H2972&lt;=2),1,0)</f>
        <v>4</v>
      </c>
      <c r="J2972" s="2" t="str">
        <f aca="false">IF(I2972&gt;=6,"High",IF(I2972&gt;=3,"Medium","Low"))</f>
        <v>Medium</v>
      </c>
    </row>
    <row r="2973" customFormat="false" ht="15" hidden="false" customHeight="true" outlineLevel="0" collapsed="false">
      <c r="A2973" s="2" t="n">
        <f aca="false">'Raw Data'!H2973</f>
        <v>2972</v>
      </c>
      <c r="B2973" s="2" t="n">
        <f aca="false">'Raw Data'!A2973</f>
        <v>28</v>
      </c>
      <c r="C2973" s="2" t="str">
        <f aca="false">'Raw Data'!D2973</f>
        <v>Research &amp; Development</v>
      </c>
      <c r="D2973" s="2" t="str">
        <f aca="false">'Raw Data'!K2973</f>
        <v>Human Resources</v>
      </c>
      <c r="E2973" s="2" t="n">
        <f aca="false">'Raw Data'!Q2973</f>
        <v>5</v>
      </c>
      <c r="F2973" s="2" t="n">
        <f aca="false">'Raw Data'!U2973</f>
        <v>2</v>
      </c>
      <c r="G2973" s="2" t="n">
        <f aca="false">'Raw Data'!W2973</f>
        <v>4</v>
      </c>
      <c r="H2973" s="2" t="n">
        <f aca="false">'Raw Data'!V2973</f>
        <v>4</v>
      </c>
      <c r="I2973" s="2" t="n">
        <f aca="false">IF(AND(ISNUMBER(B2973),B2973&lt;=25),2,0)+IF(AND(ISNUMBER(E2973),E2973&lt;=5),2,0)+IF(AND(ISNUMBER(F2973),F2973&lt;=1),2,0)+IF(AND(ISNUMBER(G2973),G2973&lt;=2),1,0)+IF(AND(ISNUMBER(H2973),H2973&lt;=2),1,0)</f>
        <v>2</v>
      </c>
      <c r="J2973" s="2" t="str">
        <f aca="false">IF(I2973&gt;=6,"High",IF(I2973&gt;=3,"Medium","Low"))</f>
        <v>Low</v>
      </c>
    </row>
    <row r="2974" customFormat="false" ht="15" hidden="false" customHeight="true" outlineLevel="0" collapsed="false">
      <c r="A2974" s="2" t="n">
        <f aca="false">'Raw Data'!H2974</f>
        <v>2973</v>
      </c>
      <c r="B2974" s="2" t="n">
        <f aca="false">'Raw Data'!A2974</f>
        <v>49</v>
      </c>
      <c r="C2974" s="2" t="str">
        <f aca="false">'Raw Data'!D2974</f>
        <v>Research &amp; Development</v>
      </c>
      <c r="D2974" s="2" t="str">
        <f aca="false">'Raw Data'!K2974</f>
        <v>Research Scientist</v>
      </c>
      <c r="E2974" s="2" t="n">
        <f aca="false">'Raw Data'!Q2974</f>
        <v>22</v>
      </c>
      <c r="F2974" s="2" t="n">
        <f aca="false">'Raw Data'!U2974</f>
        <v>2</v>
      </c>
      <c r="G2974" s="2" t="n">
        <f aca="false">'Raw Data'!W2974</f>
        <v>1</v>
      </c>
      <c r="H2974" s="2" t="n">
        <f aca="false">'Raw Data'!V2974</f>
        <v>3</v>
      </c>
      <c r="I2974" s="2" t="n">
        <f aca="false">IF(AND(ISNUMBER(B2974),B2974&lt;=25),2,0)+IF(AND(ISNUMBER(E2974),E2974&lt;=5),2,0)+IF(AND(ISNUMBER(F2974),F2974&lt;=1),2,0)+IF(AND(ISNUMBER(G2974),G2974&lt;=2),1,0)+IF(AND(ISNUMBER(H2974),H2974&lt;=2),1,0)</f>
        <v>1</v>
      </c>
      <c r="J2974" s="2" t="str">
        <f aca="false">IF(I2974&gt;=6,"High",IF(I2974&gt;=3,"Medium","Low"))</f>
        <v>Low</v>
      </c>
    </row>
    <row r="2975" customFormat="false" ht="15" hidden="false" customHeight="true" outlineLevel="0" collapsed="false">
      <c r="A2975" s="2" t="n">
        <f aca="false">'Raw Data'!H2975</f>
        <v>2974</v>
      </c>
      <c r="B2975" s="2" t="n">
        <f aca="false">'Raw Data'!A2975</f>
        <v>36</v>
      </c>
      <c r="C2975" s="2" t="str">
        <f aca="false">'Raw Data'!D2975</f>
        <v>Sales</v>
      </c>
      <c r="D2975" s="2" t="str">
        <f aca="false">'Raw Data'!K2975</f>
        <v>Sales Executive</v>
      </c>
      <c r="E2975" s="2" t="n">
        <f aca="false">'Raw Data'!Q2975</f>
        <v>10</v>
      </c>
      <c r="F2975" s="2" t="n">
        <f aca="false">'Raw Data'!U2975</f>
        <v>7</v>
      </c>
      <c r="G2975" s="2" t="n">
        <f aca="false">'Raw Data'!W2975</f>
        <v>2</v>
      </c>
      <c r="H2975" s="2" t="n">
        <f aca="false">'Raw Data'!V2975</f>
        <v>3</v>
      </c>
      <c r="I2975" s="2" t="n">
        <f aca="false">IF(AND(ISNUMBER(B2975),B2975&lt;=25),2,0)+IF(AND(ISNUMBER(E2975),E2975&lt;=5),2,0)+IF(AND(ISNUMBER(F2975),F2975&lt;=1),2,0)+IF(AND(ISNUMBER(G2975),G2975&lt;=2),1,0)+IF(AND(ISNUMBER(H2975),H2975&lt;=2),1,0)</f>
        <v>1</v>
      </c>
      <c r="J2975" s="2" t="str">
        <f aca="false">IF(I2975&gt;=6,"High",IF(I2975&gt;=3,"Medium","Low"))</f>
        <v>Low</v>
      </c>
    </row>
    <row r="2976" customFormat="false" ht="15" hidden="false" customHeight="true" outlineLevel="0" collapsed="false">
      <c r="A2976" s="2" t="n">
        <f aca="false">'Raw Data'!H2976</f>
        <v>2975</v>
      </c>
      <c r="B2976" s="2" t="n">
        <f aca="false">'Raw Data'!A2976</f>
        <v>31</v>
      </c>
      <c r="C2976" s="2" t="str">
        <f aca="false">'Raw Data'!D2976</f>
        <v>Research &amp; Development</v>
      </c>
      <c r="D2976" s="2" t="str">
        <f aca="false">'Raw Data'!K2976</f>
        <v>Sales Executive</v>
      </c>
      <c r="E2976" s="2" t="n">
        <f aca="false">'Raw Data'!Q2976</f>
        <v>2</v>
      </c>
      <c r="F2976" s="2" t="n">
        <f aca="false">'Raw Data'!U2976</f>
        <v>2</v>
      </c>
      <c r="G2976" s="2" t="n">
        <f aca="false">'Raw Data'!W2976</f>
        <v>2</v>
      </c>
      <c r="H2976" s="2" t="n">
        <f aca="false">'Raw Data'!V2976</f>
        <v>4</v>
      </c>
      <c r="I2976" s="2" t="n">
        <f aca="false">IF(AND(ISNUMBER(B2976),B2976&lt;=25),2,0)+IF(AND(ISNUMBER(E2976),E2976&lt;=5),2,0)+IF(AND(ISNUMBER(F2976),F2976&lt;=1),2,0)+IF(AND(ISNUMBER(G2976),G2976&lt;=2),1,0)+IF(AND(ISNUMBER(H2976),H2976&lt;=2),1,0)</f>
        <v>3</v>
      </c>
      <c r="J2976" s="2" t="str">
        <f aca="false">IF(I2976&gt;=6,"High",IF(I2976&gt;=3,"Medium","Low"))</f>
        <v>Medium</v>
      </c>
    </row>
    <row r="2977" customFormat="false" ht="15" hidden="false" customHeight="true" outlineLevel="0" collapsed="false">
      <c r="A2977" s="2" t="n">
        <f aca="false">'Raw Data'!H2977</f>
        <v>2976</v>
      </c>
      <c r="B2977" s="2" t="n">
        <f aca="false">'Raw Data'!A2977</f>
        <v>26</v>
      </c>
      <c r="C2977" s="2" t="str">
        <f aca="false">'Raw Data'!D2977</f>
        <v>Research &amp; Development</v>
      </c>
      <c r="D2977" s="2" t="str">
        <f aca="false">'Raw Data'!K2977</f>
        <v>Manager</v>
      </c>
      <c r="E2977" s="2" t="n">
        <f aca="false">'Raw Data'!Q2977</f>
        <v>8</v>
      </c>
      <c r="F2977" s="2" t="n">
        <f aca="false">'Raw Data'!U2977</f>
        <v>4</v>
      </c>
      <c r="G2977" s="2" t="n">
        <f aca="false">'Raw Data'!W2977</f>
        <v>4</v>
      </c>
      <c r="H2977" s="2" t="n">
        <f aca="false">'Raw Data'!V2977</f>
        <v>4</v>
      </c>
      <c r="I2977" s="2" t="n">
        <f aca="false">IF(AND(ISNUMBER(B2977),B2977&lt;=25),2,0)+IF(AND(ISNUMBER(E2977),E2977&lt;=5),2,0)+IF(AND(ISNUMBER(F2977),F2977&lt;=1),2,0)+IF(AND(ISNUMBER(G2977),G2977&lt;=2),1,0)+IF(AND(ISNUMBER(H2977),H2977&lt;=2),1,0)</f>
        <v>0</v>
      </c>
      <c r="J2977" s="2" t="str">
        <f aca="false">IF(I2977&gt;=6,"High",IF(I2977&gt;=3,"Medium","Low"))</f>
        <v>Low</v>
      </c>
    </row>
    <row r="2978" customFormat="false" ht="15" hidden="false" customHeight="true" outlineLevel="0" collapsed="false">
      <c r="A2978" s="2" t="n">
        <f aca="false">'Raw Data'!H2978</f>
        <v>2977</v>
      </c>
      <c r="B2978" s="2" t="n">
        <f aca="false">'Raw Data'!A2978</f>
        <v>37</v>
      </c>
      <c r="C2978" s="2" t="str">
        <f aca="false">'Raw Data'!D2978</f>
        <v>Sales</v>
      </c>
      <c r="D2978" s="2" t="str">
        <f aca="false">'Raw Data'!K2978</f>
        <v>Laboratory Technician</v>
      </c>
      <c r="E2978" s="2" t="n">
        <f aca="false">'Raw Data'!Q2978</f>
        <v>4</v>
      </c>
      <c r="F2978" s="2" t="n">
        <f aca="false">'Raw Data'!U2978</f>
        <v>2</v>
      </c>
      <c r="G2978" s="2" t="n">
        <f aca="false">'Raw Data'!W2978</f>
        <v>4</v>
      </c>
      <c r="H2978" s="2" t="n">
        <f aca="false">'Raw Data'!V2978</f>
        <v>2</v>
      </c>
      <c r="I2978" s="2" t="n">
        <f aca="false">IF(AND(ISNUMBER(B2978),B2978&lt;=25),2,0)+IF(AND(ISNUMBER(E2978),E2978&lt;=5),2,0)+IF(AND(ISNUMBER(F2978),F2978&lt;=1),2,0)+IF(AND(ISNUMBER(G2978),G2978&lt;=2),1,0)+IF(AND(ISNUMBER(H2978),H2978&lt;=2),1,0)</f>
        <v>3</v>
      </c>
      <c r="J2978" s="2" t="str">
        <f aca="false">IF(I2978&gt;=6,"High",IF(I2978&gt;=3,"Medium","Low"))</f>
        <v>Medium</v>
      </c>
    </row>
    <row r="2979" customFormat="false" ht="15" hidden="false" customHeight="true" outlineLevel="0" collapsed="false">
      <c r="A2979" s="2" t="n">
        <f aca="false">'Raw Data'!H2979</f>
        <v>2978</v>
      </c>
      <c r="B2979" s="2" t="n">
        <f aca="false">'Raw Data'!A2979</f>
        <v>42</v>
      </c>
      <c r="C2979" s="2" t="str">
        <f aca="false">'Raw Data'!D2979</f>
        <v>Sales</v>
      </c>
      <c r="D2979" s="2" t="str">
        <f aca="false">'Raw Data'!K2979</f>
        <v>Research Director</v>
      </c>
      <c r="E2979" s="2" t="n">
        <f aca="false">'Raw Data'!Q2979</f>
        <v>23</v>
      </c>
      <c r="F2979" s="2" t="n">
        <f aca="false">'Raw Data'!U2979</f>
        <v>8</v>
      </c>
      <c r="G2979" s="2" t="n">
        <f aca="false">'Raw Data'!W2979</f>
        <v>2</v>
      </c>
      <c r="H2979" s="2" t="n">
        <f aca="false">'Raw Data'!V2979</f>
        <v>3</v>
      </c>
      <c r="I2979" s="2" t="n">
        <f aca="false">IF(AND(ISNUMBER(B2979),B2979&lt;=25),2,0)+IF(AND(ISNUMBER(E2979),E2979&lt;=5),2,0)+IF(AND(ISNUMBER(F2979),F2979&lt;=1),2,0)+IF(AND(ISNUMBER(G2979),G2979&lt;=2),1,0)+IF(AND(ISNUMBER(H2979),H2979&lt;=2),1,0)</f>
        <v>1</v>
      </c>
      <c r="J2979" s="2" t="str">
        <f aca="false">IF(I2979&gt;=6,"High",IF(I2979&gt;=3,"Medium","Low"))</f>
        <v>Low</v>
      </c>
    </row>
    <row r="2980" customFormat="false" ht="15" hidden="false" customHeight="true" outlineLevel="0" collapsed="false">
      <c r="A2980" s="2" t="n">
        <f aca="false">'Raw Data'!H2980</f>
        <v>2979</v>
      </c>
      <c r="B2980" s="2" t="n">
        <f aca="false">'Raw Data'!A2980</f>
        <v>18</v>
      </c>
      <c r="C2980" s="2" t="str">
        <f aca="false">'Raw Data'!D2980</f>
        <v>Research &amp; Development</v>
      </c>
      <c r="D2980" s="2" t="str">
        <f aca="false">'Raw Data'!K2980</f>
        <v>Sales Executive</v>
      </c>
      <c r="E2980" s="2" t="n">
        <f aca="false">'Raw Data'!Q2980</f>
        <v>0</v>
      </c>
      <c r="F2980" s="2" t="n">
        <f aca="false">'Raw Data'!U2980</f>
        <v>0</v>
      </c>
      <c r="G2980" s="2" t="n">
        <f aca="false">'Raw Data'!W2980</f>
        <v>3</v>
      </c>
      <c r="H2980" s="2" t="n">
        <f aca="false">'Raw Data'!V2980</f>
        <v>3</v>
      </c>
      <c r="I2980" s="2" t="n">
        <f aca="false">IF(AND(ISNUMBER(B2980),B2980&lt;=25),2,0)+IF(AND(ISNUMBER(E2980),E2980&lt;=5),2,0)+IF(AND(ISNUMBER(F2980),F2980&lt;=1),2,0)+IF(AND(ISNUMBER(G2980),G2980&lt;=2),1,0)+IF(AND(ISNUMBER(H2980),H2980&lt;=2),1,0)</f>
        <v>6</v>
      </c>
      <c r="J2980" s="2" t="str">
        <f aca="false">IF(I2980&gt;=6,"High",IF(I2980&gt;=3,"Medium","Low"))</f>
        <v>High</v>
      </c>
    </row>
    <row r="2981" customFormat="false" ht="15" hidden="false" customHeight="true" outlineLevel="0" collapsed="false">
      <c r="A2981" s="2" t="n">
        <f aca="false">'Raw Data'!H2981</f>
        <v>2980</v>
      </c>
      <c r="B2981" s="2" t="n">
        <f aca="false">'Raw Data'!A2981</f>
        <v>35</v>
      </c>
      <c r="C2981" s="2" t="str">
        <f aca="false">'Raw Data'!D2981</f>
        <v>Sales</v>
      </c>
      <c r="D2981" s="2" t="str">
        <f aca="false">'Raw Data'!K2981</f>
        <v>Laboratory Technician</v>
      </c>
      <c r="E2981" s="2" t="n">
        <f aca="false">'Raw Data'!Q2981</f>
        <v>12</v>
      </c>
      <c r="F2981" s="2" t="n">
        <f aca="false">'Raw Data'!U2981</f>
        <v>9</v>
      </c>
      <c r="G2981" s="2" t="n">
        <f aca="false">'Raw Data'!W2981</f>
        <v>2</v>
      </c>
      <c r="H2981" s="2" t="n">
        <f aca="false">'Raw Data'!V2981</f>
        <v>3</v>
      </c>
      <c r="I2981" s="2" t="n">
        <f aca="false">IF(AND(ISNUMBER(B2981),B2981&lt;=25),2,0)+IF(AND(ISNUMBER(E2981),E2981&lt;=5),2,0)+IF(AND(ISNUMBER(F2981),F2981&lt;=1),2,0)+IF(AND(ISNUMBER(G2981),G2981&lt;=2),1,0)+IF(AND(ISNUMBER(H2981),H2981&lt;=2),1,0)</f>
        <v>1</v>
      </c>
      <c r="J2981" s="2" t="str">
        <f aca="false">IF(I2981&gt;=6,"High",IF(I2981&gt;=3,"Medium","Low"))</f>
        <v>Low</v>
      </c>
    </row>
    <row r="2982" customFormat="false" ht="15" hidden="false" customHeight="true" outlineLevel="0" collapsed="false">
      <c r="A2982" s="2" t="n">
        <f aca="false">'Raw Data'!H2982</f>
        <v>2981</v>
      </c>
      <c r="B2982" s="2" t="n">
        <f aca="false">'Raw Data'!A2982</f>
        <v>36</v>
      </c>
      <c r="C2982" s="2" t="str">
        <f aca="false">'Raw Data'!D2982</f>
        <v>Research &amp; Development</v>
      </c>
      <c r="D2982" s="2" t="str">
        <f aca="false">'Raw Data'!K2982</f>
        <v>Sales Executive</v>
      </c>
      <c r="E2982" s="2" t="n">
        <f aca="false">'Raw Data'!Q2982</f>
        <v>4</v>
      </c>
      <c r="F2982" s="2" t="n">
        <f aca="false">'Raw Data'!U2982</f>
        <v>0</v>
      </c>
      <c r="G2982" s="2" t="n">
        <f aca="false">'Raw Data'!W2982</f>
        <v>4</v>
      </c>
      <c r="H2982" s="2" t="n">
        <f aca="false">'Raw Data'!V2982</f>
        <v>3</v>
      </c>
      <c r="I2982" s="2" t="n">
        <f aca="false">IF(AND(ISNUMBER(B2982),B2982&lt;=25),2,0)+IF(AND(ISNUMBER(E2982),E2982&lt;=5),2,0)+IF(AND(ISNUMBER(F2982),F2982&lt;=1),2,0)+IF(AND(ISNUMBER(G2982),G2982&lt;=2),1,0)+IF(AND(ISNUMBER(H2982),H2982&lt;=2),1,0)</f>
        <v>4</v>
      </c>
      <c r="J2982" s="2" t="str">
        <f aca="false">IF(I2982&gt;=6,"High",IF(I2982&gt;=3,"Medium","Low"))</f>
        <v>Medium</v>
      </c>
    </row>
    <row r="2983" customFormat="false" ht="15" hidden="false" customHeight="true" outlineLevel="0" collapsed="false">
      <c r="A2983" s="2" t="n">
        <f aca="false">'Raw Data'!H2983</f>
        <v>2982</v>
      </c>
      <c r="B2983" s="2" t="n">
        <f aca="false">'Raw Data'!A2983</f>
        <v>51</v>
      </c>
      <c r="C2983" s="2" t="str">
        <f aca="false">'Raw Data'!D2983</f>
        <v>Research &amp; Development</v>
      </c>
      <c r="D2983" s="2" t="str">
        <f aca="false">'Raw Data'!K2983</f>
        <v>Laboratory Technician</v>
      </c>
      <c r="E2983" s="2" t="n">
        <f aca="false">'Raw Data'!Q2983</f>
        <v>13</v>
      </c>
      <c r="F2983" s="2" t="n">
        <f aca="false">'Raw Data'!U2983</f>
        <v>2</v>
      </c>
      <c r="G2983" s="2" t="n">
        <f aca="false">'Raw Data'!W2983</f>
        <v>2</v>
      </c>
      <c r="H2983" s="2" t="n">
        <f aca="false">'Raw Data'!V2983</f>
        <v>4</v>
      </c>
      <c r="I2983" s="2" t="n">
        <f aca="false">IF(AND(ISNUMBER(B2983),B2983&lt;=25),2,0)+IF(AND(ISNUMBER(E2983),E2983&lt;=5),2,0)+IF(AND(ISNUMBER(F2983),F2983&lt;=1),2,0)+IF(AND(ISNUMBER(G2983),G2983&lt;=2),1,0)+IF(AND(ISNUMBER(H2983),H2983&lt;=2),1,0)</f>
        <v>1</v>
      </c>
      <c r="J2983" s="2" t="str">
        <f aca="false">IF(I2983&gt;=6,"High",IF(I2983&gt;=3,"Medium","Low"))</f>
        <v>Low</v>
      </c>
    </row>
    <row r="2984" customFormat="false" ht="15" hidden="false" customHeight="true" outlineLevel="0" collapsed="false">
      <c r="A2984" s="2" t="n">
        <f aca="false">'Raw Data'!H2984</f>
        <v>2983</v>
      </c>
      <c r="B2984" s="2" t="n">
        <f aca="false">'Raw Data'!A2984</f>
        <v>41</v>
      </c>
      <c r="C2984" s="2" t="str">
        <f aca="false">'Raw Data'!D2984</f>
        <v>Research &amp; Development</v>
      </c>
      <c r="D2984" s="2" t="str">
        <f aca="false">'Raw Data'!K2984</f>
        <v>Laboratory Technician</v>
      </c>
      <c r="E2984" s="2" t="n">
        <f aca="false">'Raw Data'!Q2984</f>
        <v>22</v>
      </c>
      <c r="F2984" s="2" t="n">
        <f aca="false">'Raw Data'!U2984</f>
        <v>4</v>
      </c>
      <c r="G2984" s="2" t="n">
        <f aca="false">'Raw Data'!W2984</f>
        <v>2</v>
      </c>
      <c r="H2984" s="2" t="n">
        <f aca="false">'Raw Data'!V2984</f>
        <v>4</v>
      </c>
      <c r="I2984" s="2" t="n">
        <f aca="false">IF(AND(ISNUMBER(B2984),B2984&lt;=25),2,0)+IF(AND(ISNUMBER(E2984),E2984&lt;=5),2,0)+IF(AND(ISNUMBER(F2984),F2984&lt;=1),2,0)+IF(AND(ISNUMBER(G2984),G2984&lt;=2),1,0)+IF(AND(ISNUMBER(H2984),H2984&lt;=2),1,0)</f>
        <v>1</v>
      </c>
      <c r="J2984" s="2" t="str">
        <f aca="false">IF(I2984&gt;=6,"High",IF(I2984&gt;=3,"Medium","Low"))</f>
        <v>Low</v>
      </c>
    </row>
    <row r="2985" customFormat="false" ht="15" hidden="false" customHeight="true" outlineLevel="0" collapsed="false">
      <c r="A2985" s="2" t="n">
        <f aca="false">'Raw Data'!H2985</f>
        <v>2984</v>
      </c>
      <c r="B2985" s="2" t="n">
        <f aca="false">'Raw Data'!A2985</f>
        <v>18</v>
      </c>
      <c r="C2985" s="2" t="str">
        <f aca="false">'Raw Data'!D2985</f>
        <v>Sales</v>
      </c>
      <c r="D2985" s="2" t="str">
        <f aca="false">'Raw Data'!K2985</f>
        <v>Research Scientist</v>
      </c>
      <c r="E2985" s="2" t="n">
        <f aca="false">'Raw Data'!Q2985</f>
        <v>0</v>
      </c>
      <c r="F2985" s="2" t="n">
        <f aca="false">'Raw Data'!U2985</f>
        <v>0</v>
      </c>
      <c r="G2985" s="2" t="n">
        <f aca="false">'Raw Data'!W2985</f>
        <v>3</v>
      </c>
      <c r="H2985" s="2" t="n">
        <f aca="false">'Raw Data'!V2985</f>
        <v>4</v>
      </c>
      <c r="I2985" s="2" t="n">
        <f aca="false">IF(AND(ISNUMBER(B2985),B2985&lt;=25),2,0)+IF(AND(ISNUMBER(E2985),E2985&lt;=5),2,0)+IF(AND(ISNUMBER(F2985),F2985&lt;=1),2,0)+IF(AND(ISNUMBER(G2985),G2985&lt;=2),1,0)+IF(AND(ISNUMBER(H2985),H2985&lt;=2),1,0)</f>
        <v>6</v>
      </c>
      <c r="J2985" s="2" t="str">
        <f aca="false">IF(I2985&gt;=6,"High",IF(I2985&gt;=3,"Medium","Low"))</f>
        <v>High</v>
      </c>
    </row>
    <row r="2986" customFormat="false" ht="15" hidden="false" customHeight="true" outlineLevel="0" collapsed="false">
      <c r="A2986" s="2" t="n">
        <f aca="false">'Raw Data'!H2986</f>
        <v>2985</v>
      </c>
      <c r="B2986" s="2" t="n">
        <f aca="false">'Raw Data'!A2986</f>
        <v>28</v>
      </c>
      <c r="C2986" s="2" t="str">
        <f aca="false">'Raw Data'!D2986</f>
        <v>Research &amp; Development</v>
      </c>
      <c r="D2986" s="2" t="str">
        <f aca="false">'Raw Data'!K2986</f>
        <v>Sales Representative</v>
      </c>
      <c r="E2986" s="2" t="n">
        <f aca="false">'Raw Data'!Q2986</f>
        <v>9</v>
      </c>
      <c r="F2986" s="2" t="n">
        <f aca="false">'Raw Data'!U2986</f>
        <v>7</v>
      </c>
      <c r="G2986" s="2" t="n">
        <f aca="false">'Raw Data'!W2986</f>
        <v>1</v>
      </c>
      <c r="H2986" s="2" t="n">
        <f aca="false">'Raw Data'!V2986</f>
        <v>2</v>
      </c>
      <c r="I2986" s="2" t="n">
        <f aca="false">IF(AND(ISNUMBER(B2986),B2986&lt;=25),2,0)+IF(AND(ISNUMBER(E2986),E2986&lt;=5),2,0)+IF(AND(ISNUMBER(F2986),F2986&lt;=1),2,0)+IF(AND(ISNUMBER(G2986),G2986&lt;=2),1,0)+IF(AND(ISNUMBER(H2986),H2986&lt;=2),1,0)</f>
        <v>2</v>
      </c>
      <c r="J2986" s="2" t="str">
        <f aca="false">IF(I2986&gt;=6,"High",IF(I2986&gt;=3,"Medium","Low"))</f>
        <v>Low</v>
      </c>
    </row>
    <row r="2987" customFormat="false" ht="15" hidden="false" customHeight="true" outlineLevel="0" collapsed="false">
      <c r="A2987" s="2" t="n">
        <f aca="false">'Raw Data'!H2987</f>
        <v>2986</v>
      </c>
      <c r="B2987" s="2" t="n">
        <f aca="false">'Raw Data'!A2987</f>
        <v>31</v>
      </c>
      <c r="C2987" s="2" t="str">
        <f aca="false">'Raw Data'!D2987</f>
        <v>Research &amp; Development</v>
      </c>
      <c r="D2987" s="2" t="str">
        <f aca="false">'Raw Data'!K2987</f>
        <v>Manufacturing Director</v>
      </c>
      <c r="E2987" s="2" t="n">
        <f aca="false">'Raw Data'!Q2987</f>
        <v>10</v>
      </c>
      <c r="F2987" s="2" t="n">
        <f aca="false">'Raw Data'!U2987</f>
        <v>7</v>
      </c>
      <c r="G2987" s="2" t="n">
        <f aca="false">'Raw Data'!W2987</f>
        <v>4</v>
      </c>
      <c r="H2987" s="2" t="n">
        <f aca="false">'Raw Data'!V2987</f>
        <v>2</v>
      </c>
      <c r="I2987" s="2" t="n">
        <f aca="false">IF(AND(ISNUMBER(B2987),B2987&lt;=25),2,0)+IF(AND(ISNUMBER(E2987),E2987&lt;=5),2,0)+IF(AND(ISNUMBER(F2987),F2987&lt;=1),2,0)+IF(AND(ISNUMBER(G2987),G2987&lt;=2),1,0)+IF(AND(ISNUMBER(H2987),H2987&lt;=2),1,0)</f>
        <v>1</v>
      </c>
      <c r="J2987" s="2" t="str">
        <f aca="false">IF(I2987&gt;=6,"High",IF(I2987&gt;=3,"Medium","Low"))</f>
        <v>Low</v>
      </c>
    </row>
    <row r="2988" customFormat="false" ht="15" hidden="false" customHeight="true" outlineLevel="0" collapsed="false">
      <c r="A2988" s="2" t="n">
        <f aca="false">'Raw Data'!H2988</f>
        <v>2987</v>
      </c>
      <c r="B2988" s="2" t="n">
        <f aca="false">'Raw Data'!A2988</f>
        <v>39</v>
      </c>
      <c r="C2988" s="2" t="str">
        <f aca="false">'Raw Data'!D2988</f>
        <v>Sales</v>
      </c>
      <c r="D2988" s="2" t="str">
        <f aca="false">'Raw Data'!K2988</f>
        <v>Human Resources</v>
      </c>
      <c r="E2988" s="2" t="n">
        <f aca="false">'Raw Data'!Q2988</f>
        <v>19</v>
      </c>
      <c r="F2988" s="2" t="n">
        <f aca="false">'Raw Data'!U2988</f>
        <v>7</v>
      </c>
      <c r="G2988" s="2" t="n">
        <f aca="false">'Raw Data'!W2988</f>
        <v>4</v>
      </c>
      <c r="H2988" s="2" t="n">
        <f aca="false">'Raw Data'!V2988</f>
        <v>3</v>
      </c>
      <c r="I2988" s="2" t="n">
        <f aca="false">IF(AND(ISNUMBER(B2988),B2988&lt;=25),2,0)+IF(AND(ISNUMBER(E2988),E2988&lt;=5),2,0)+IF(AND(ISNUMBER(F2988),F2988&lt;=1),2,0)+IF(AND(ISNUMBER(G2988),G2988&lt;=2),1,0)+IF(AND(ISNUMBER(H2988),H2988&lt;=2),1,0)</f>
        <v>0</v>
      </c>
      <c r="J2988" s="2" t="str">
        <f aca="false">IF(I2988&gt;=6,"High",IF(I2988&gt;=3,"Medium","Low"))</f>
        <v>Low</v>
      </c>
    </row>
    <row r="2989" customFormat="false" ht="15" hidden="false" customHeight="true" outlineLevel="0" collapsed="false">
      <c r="A2989" s="2" t="n">
        <f aca="false">'Raw Data'!H2989</f>
        <v>2988</v>
      </c>
      <c r="B2989" s="2" t="n">
        <f aca="false">'Raw Data'!A2989</f>
        <v>36</v>
      </c>
      <c r="C2989" s="2" t="str">
        <f aca="false">'Raw Data'!D2989</f>
        <v>Research &amp; Development</v>
      </c>
      <c r="D2989" s="2" t="str">
        <f aca="false">'Raw Data'!K2989</f>
        <v>Sales Executive</v>
      </c>
      <c r="E2989" s="2" t="n">
        <f aca="false">'Raw Data'!Q2989</f>
        <v>11</v>
      </c>
      <c r="F2989" s="2" t="n">
        <f aca="false">'Raw Data'!U2989</f>
        <v>8</v>
      </c>
      <c r="G2989" s="2" t="n">
        <f aca="false">'Raw Data'!W2989</f>
        <v>2</v>
      </c>
      <c r="H2989" s="2" t="n">
        <f aca="false">'Raw Data'!V2989</f>
        <v>2</v>
      </c>
      <c r="I2989" s="2" t="n">
        <f aca="false">IF(AND(ISNUMBER(B2989),B2989&lt;=25),2,0)+IF(AND(ISNUMBER(E2989),E2989&lt;=5),2,0)+IF(AND(ISNUMBER(F2989),F2989&lt;=1),2,0)+IF(AND(ISNUMBER(G2989),G2989&lt;=2),1,0)+IF(AND(ISNUMBER(H2989),H2989&lt;=2),1,0)</f>
        <v>2</v>
      </c>
      <c r="J2989" s="2" t="str">
        <f aca="false">IF(I2989&gt;=6,"High",IF(I2989&gt;=3,"Medium","Low"))</f>
        <v>Low</v>
      </c>
    </row>
    <row r="2990" customFormat="false" ht="15" hidden="false" customHeight="true" outlineLevel="0" collapsed="false">
      <c r="A2990" s="2" t="n">
        <f aca="false">'Raw Data'!H2990</f>
        <v>2989</v>
      </c>
      <c r="B2990" s="2" t="n">
        <f aca="false">'Raw Data'!A2990</f>
        <v>32</v>
      </c>
      <c r="C2990" s="2" t="str">
        <f aca="false">'Raw Data'!D2990</f>
        <v>Sales</v>
      </c>
      <c r="D2990" s="2" t="str">
        <f aca="false">'Raw Data'!K2990</f>
        <v>Laboratory Technician</v>
      </c>
      <c r="E2990" s="2" t="n">
        <f aca="false">'Raw Data'!Q2990</f>
        <v>13</v>
      </c>
      <c r="F2990" s="2" t="n">
        <f aca="false">'Raw Data'!U2990</f>
        <v>8</v>
      </c>
      <c r="G2990" s="2" t="n">
        <f aca="false">'Raw Data'!W2990</f>
        <v>3</v>
      </c>
      <c r="H2990" s="2" t="n">
        <f aca="false">'Raw Data'!V2990</f>
        <v>4</v>
      </c>
      <c r="I2990" s="2" t="n">
        <f aca="false">IF(AND(ISNUMBER(B2990),B2990&lt;=25),2,0)+IF(AND(ISNUMBER(E2990),E2990&lt;=5),2,0)+IF(AND(ISNUMBER(F2990),F2990&lt;=1),2,0)+IF(AND(ISNUMBER(G2990),G2990&lt;=2),1,0)+IF(AND(ISNUMBER(H2990),H2990&lt;=2),1,0)</f>
        <v>0</v>
      </c>
      <c r="J2990" s="2" t="str">
        <f aca="false">IF(I2990&gt;=6,"High",IF(I2990&gt;=3,"Medium","Low"))</f>
        <v>Low</v>
      </c>
    </row>
    <row r="2991" customFormat="false" ht="15" hidden="false" customHeight="true" outlineLevel="0" collapsed="false">
      <c r="A2991" s="2" t="n">
        <f aca="false">'Raw Data'!H2991</f>
        <v>2990</v>
      </c>
      <c r="B2991" s="2" t="n">
        <f aca="false">'Raw Data'!A2991</f>
        <v>38</v>
      </c>
      <c r="C2991" s="2" t="str">
        <f aca="false">'Raw Data'!D2991</f>
        <v>Research &amp; Development</v>
      </c>
      <c r="D2991" s="2" t="str">
        <f aca="false">'Raw Data'!K2991</f>
        <v>Research Scientist</v>
      </c>
      <c r="E2991" s="2" t="n">
        <f aca="false">'Raw Data'!Q2991</f>
        <v>19</v>
      </c>
      <c r="F2991" s="2" t="n">
        <f aca="false">'Raw Data'!U2991</f>
        <v>1</v>
      </c>
      <c r="G2991" s="2" t="n">
        <f aca="false">'Raw Data'!W2991</f>
        <v>2</v>
      </c>
      <c r="H2991" s="2" t="n">
        <f aca="false">'Raw Data'!V2991</f>
        <v>1</v>
      </c>
      <c r="I2991" s="2" t="n">
        <f aca="false">IF(AND(ISNUMBER(B2991),B2991&lt;=25),2,0)+IF(AND(ISNUMBER(E2991),E2991&lt;=5),2,0)+IF(AND(ISNUMBER(F2991),F2991&lt;=1),2,0)+IF(AND(ISNUMBER(G2991),G2991&lt;=2),1,0)+IF(AND(ISNUMBER(H2991),H2991&lt;=2),1,0)</f>
        <v>4</v>
      </c>
      <c r="J2991" s="2" t="str">
        <f aca="false">IF(I2991&gt;=6,"High",IF(I2991&gt;=3,"Medium","Low"))</f>
        <v>Medium</v>
      </c>
    </row>
    <row r="2992" customFormat="false" ht="15" hidden="false" customHeight="true" outlineLevel="0" collapsed="false">
      <c r="A2992" s="2" t="n">
        <f aca="false">'Raw Data'!H2992</f>
        <v>2991</v>
      </c>
      <c r="B2992" s="2" t="n">
        <f aca="false">'Raw Data'!A2992</f>
        <v>58</v>
      </c>
      <c r="C2992" s="2" t="str">
        <f aca="false">'Raw Data'!D2992</f>
        <v>Research &amp; Development</v>
      </c>
      <c r="D2992" s="2" t="str">
        <f aca="false">'Raw Data'!K2992</f>
        <v>Manufacturing Director</v>
      </c>
      <c r="E2992" s="2" t="n">
        <f aca="false">'Raw Data'!Q2992</f>
        <v>12</v>
      </c>
      <c r="F2992" s="2" t="n">
        <f aca="false">'Raw Data'!U2992</f>
        <v>2</v>
      </c>
      <c r="G2992" s="2" t="n">
        <f aca="false">'Raw Data'!W2992</f>
        <v>3</v>
      </c>
      <c r="H2992" s="2" t="n">
        <f aca="false">'Raw Data'!V2992</f>
        <v>4</v>
      </c>
      <c r="I2992" s="2" t="n">
        <f aca="false">IF(AND(ISNUMBER(B2992),B2992&lt;=25),2,0)+IF(AND(ISNUMBER(E2992),E2992&lt;=5),2,0)+IF(AND(ISNUMBER(F2992),F2992&lt;=1),2,0)+IF(AND(ISNUMBER(G2992),G2992&lt;=2),1,0)+IF(AND(ISNUMBER(H2992),H2992&lt;=2),1,0)</f>
        <v>0</v>
      </c>
      <c r="J2992" s="2" t="str">
        <f aca="false">IF(I2992&gt;=6,"High",IF(I2992&gt;=3,"Medium","Low"))</f>
        <v>Low</v>
      </c>
    </row>
    <row r="2993" customFormat="false" ht="15" hidden="false" customHeight="true" outlineLevel="0" collapsed="false">
      <c r="A2993" s="2" t="n">
        <f aca="false">'Raw Data'!H2993</f>
        <v>2992</v>
      </c>
      <c r="B2993" s="2" t="n">
        <f aca="false">'Raw Data'!A2993</f>
        <v>31</v>
      </c>
      <c r="C2993" s="2" t="str">
        <f aca="false">'Raw Data'!D2993</f>
        <v>Research &amp; Development</v>
      </c>
      <c r="D2993" s="2" t="str">
        <f aca="false">'Raw Data'!K2993</f>
        <v>Research Scientist</v>
      </c>
      <c r="E2993" s="2" t="n">
        <f aca="false">'Raw Data'!Q2993</f>
        <v>6</v>
      </c>
      <c r="F2993" s="2" t="n">
        <f aca="false">'Raw Data'!U2993</f>
        <v>3</v>
      </c>
      <c r="G2993" s="2" t="n">
        <f aca="false">'Raw Data'!W2993</f>
        <v>4</v>
      </c>
      <c r="H2993" s="2" t="n">
        <f aca="false">'Raw Data'!V2993</f>
        <v>3</v>
      </c>
      <c r="I2993" s="2" t="n">
        <f aca="false">IF(AND(ISNUMBER(B2993),B2993&lt;=25),2,0)+IF(AND(ISNUMBER(E2993),E2993&lt;=5),2,0)+IF(AND(ISNUMBER(F2993),F2993&lt;=1),2,0)+IF(AND(ISNUMBER(G2993),G2993&lt;=2),1,0)+IF(AND(ISNUMBER(H2993),H2993&lt;=2),1,0)</f>
        <v>0</v>
      </c>
      <c r="J2993" s="2" t="str">
        <f aca="false">IF(I2993&gt;=6,"High",IF(I2993&gt;=3,"Medium","Low"))</f>
        <v>Low</v>
      </c>
    </row>
    <row r="2994" customFormat="false" ht="15" hidden="false" customHeight="true" outlineLevel="0" collapsed="false">
      <c r="A2994" s="2" t="n">
        <f aca="false">'Raw Data'!H2994</f>
        <v>2993</v>
      </c>
      <c r="B2994" s="2" t="n">
        <f aca="false">'Raw Data'!A2994</f>
        <v>31</v>
      </c>
      <c r="C2994" s="2" t="str">
        <f aca="false">'Raw Data'!D2994</f>
        <v>Sales</v>
      </c>
      <c r="D2994" s="2" t="str">
        <f aca="false">'Raw Data'!K2994</f>
        <v>Sales Executive</v>
      </c>
      <c r="E2994" s="2" t="n">
        <f aca="false">'Raw Data'!Q2994</f>
        <v>9</v>
      </c>
      <c r="F2994" s="2" t="n">
        <f aca="false">'Raw Data'!U2994</f>
        <v>0</v>
      </c>
      <c r="G2994" s="2" t="n">
        <f aca="false">'Raw Data'!W2994</f>
        <v>1</v>
      </c>
      <c r="H2994" s="2" t="n">
        <f aca="false">'Raw Data'!V2994</f>
        <v>1</v>
      </c>
      <c r="I2994" s="2" t="n">
        <f aca="false">IF(AND(ISNUMBER(B2994),B2994&lt;=25),2,0)+IF(AND(ISNUMBER(E2994),E2994&lt;=5),2,0)+IF(AND(ISNUMBER(F2994),F2994&lt;=1),2,0)+IF(AND(ISNUMBER(G2994),G2994&lt;=2),1,0)+IF(AND(ISNUMBER(H2994),H2994&lt;=2),1,0)</f>
        <v>4</v>
      </c>
      <c r="J2994" s="2" t="str">
        <f aca="false">IF(I2994&gt;=6,"High",IF(I2994&gt;=3,"Medium","Low"))</f>
        <v>Medium</v>
      </c>
    </row>
    <row r="2995" customFormat="false" ht="15" hidden="false" customHeight="true" outlineLevel="0" collapsed="false">
      <c r="A2995" s="2" t="n">
        <f aca="false">'Raw Data'!H2995</f>
        <v>2994</v>
      </c>
      <c r="B2995" s="2" t="n">
        <f aca="false">'Raw Data'!A2995</f>
        <v>45</v>
      </c>
      <c r="C2995" s="2" t="str">
        <f aca="false">'Raw Data'!D2995</f>
        <v>Research &amp; Development</v>
      </c>
      <c r="D2995" s="2" t="str">
        <f aca="false">'Raw Data'!K2995</f>
        <v>Sales Executive</v>
      </c>
      <c r="E2995" s="2" t="n">
        <f aca="false">'Raw Data'!Q2995</f>
        <v>24</v>
      </c>
      <c r="F2995" s="2" t="n">
        <f aca="false">'Raw Data'!U2995</f>
        <v>11</v>
      </c>
      <c r="G2995" s="2" t="n">
        <f aca="false">'Raw Data'!W2995</f>
        <v>1</v>
      </c>
      <c r="H2995" s="2" t="n">
        <f aca="false">'Raw Data'!V2995</f>
        <v>1</v>
      </c>
      <c r="I2995" s="2" t="n">
        <f aca="false">IF(AND(ISNUMBER(B2995),B2995&lt;=25),2,0)+IF(AND(ISNUMBER(E2995),E2995&lt;=5),2,0)+IF(AND(ISNUMBER(F2995),F2995&lt;=1),2,0)+IF(AND(ISNUMBER(G2995),G2995&lt;=2),1,0)+IF(AND(ISNUMBER(H2995),H2995&lt;=2),1,0)</f>
        <v>2</v>
      </c>
      <c r="J2995" s="2" t="str">
        <f aca="false">IF(I2995&gt;=6,"High",IF(I2995&gt;=3,"Medium","Low"))</f>
        <v>Low</v>
      </c>
    </row>
    <row r="2996" customFormat="false" ht="15" hidden="false" customHeight="true" outlineLevel="0" collapsed="false">
      <c r="A2996" s="2" t="n">
        <f aca="false">'Raw Data'!H2996</f>
        <v>2995</v>
      </c>
      <c r="B2996" s="2" t="n">
        <f aca="false">'Raw Data'!A2996</f>
        <v>31</v>
      </c>
      <c r="C2996" s="2" t="str">
        <f aca="false">'Raw Data'!D2996</f>
        <v>Sales</v>
      </c>
      <c r="D2996" s="2" t="str">
        <f aca="false">'Raw Data'!K2996</f>
        <v>Research Scientist</v>
      </c>
      <c r="E2996" s="2" t="n">
        <f aca="false">'Raw Data'!Q2996</f>
        <v>3</v>
      </c>
      <c r="F2996" s="2" t="n">
        <f aca="false">'Raw Data'!U2996</f>
        <v>2</v>
      </c>
      <c r="G2996" s="2" t="n">
        <f aca="false">'Raw Data'!W2996</f>
        <v>4</v>
      </c>
      <c r="H2996" s="2" t="n">
        <f aca="false">'Raw Data'!V2996</f>
        <v>3</v>
      </c>
      <c r="I2996" s="2" t="n">
        <f aca="false">IF(AND(ISNUMBER(B2996),B2996&lt;=25),2,0)+IF(AND(ISNUMBER(E2996),E2996&lt;=5),2,0)+IF(AND(ISNUMBER(F2996),F2996&lt;=1),2,0)+IF(AND(ISNUMBER(G2996),G2996&lt;=2),1,0)+IF(AND(ISNUMBER(H2996),H2996&lt;=2),1,0)</f>
        <v>2</v>
      </c>
      <c r="J2996" s="2" t="str">
        <f aca="false">IF(I2996&gt;=6,"High",IF(I2996&gt;=3,"Medium","Low"))</f>
        <v>Low</v>
      </c>
    </row>
    <row r="2997" customFormat="false" ht="15" hidden="false" customHeight="true" outlineLevel="0" collapsed="false">
      <c r="A2997" s="2" t="n">
        <f aca="false">'Raw Data'!H2997</f>
        <v>2996</v>
      </c>
      <c r="B2997" s="2" t="n">
        <f aca="false">'Raw Data'!A2997</f>
        <v>33</v>
      </c>
      <c r="C2997" s="2" t="str">
        <f aca="false">'Raw Data'!D2997</f>
        <v>Research &amp; Development</v>
      </c>
      <c r="D2997" s="2" t="str">
        <f aca="false">'Raw Data'!K2997</f>
        <v>Research Director</v>
      </c>
      <c r="E2997" s="2" t="n">
        <f aca="false">'Raw Data'!Q2997</f>
        <v>12</v>
      </c>
      <c r="F2997" s="2" t="n">
        <f aca="false">'Raw Data'!U2997</f>
        <v>8</v>
      </c>
      <c r="G2997" s="2" t="n">
        <f aca="false">'Raw Data'!W2997</f>
        <v>2</v>
      </c>
      <c r="H2997" s="2" t="n">
        <f aca="false">'Raw Data'!V2997</f>
        <v>4</v>
      </c>
      <c r="I2997" s="2" t="n">
        <f aca="false">IF(AND(ISNUMBER(B2997),B2997&lt;=25),2,0)+IF(AND(ISNUMBER(E2997),E2997&lt;=5),2,0)+IF(AND(ISNUMBER(F2997),F2997&lt;=1),2,0)+IF(AND(ISNUMBER(G2997),G2997&lt;=2),1,0)+IF(AND(ISNUMBER(H2997),H2997&lt;=2),1,0)</f>
        <v>1</v>
      </c>
      <c r="J2997" s="2" t="str">
        <f aca="false">IF(I2997&gt;=6,"High",IF(I2997&gt;=3,"Medium","Low"))</f>
        <v>Low</v>
      </c>
    </row>
    <row r="2998" customFormat="false" ht="15" hidden="false" customHeight="true" outlineLevel="0" collapsed="false">
      <c r="A2998" s="2" t="n">
        <f aca="false">'Raw Data'!H2998</f>
        <v>2997</v>
      </c>
      <c r="B2998" s="2" t="n">
        <f aca="false">'Raw Data'!A2998</f>
        <v>39</v>
      </c>
      <c r="C2998" s="2" t="str">
        <f aca="false">'Raw Data'!D2998</f>
        <v>Sales</v>
      </c>
      <c r="D2998" s="2" t="str">
        <f aca="false">'Raw Data'!K2998</f>
        <v>Sales Executive</v>
      </c>
      <c r="E2998" s="2" t="n">
        <f aca="false">'Raw Data'!Q2998</f>
        <v>21</v>
      </c>
      <c r="F2998" s="2" t="n">
        <f aca="false">'Raw Data'!U2998</f>
        <v>10</v>
      </c>
      <c r="G2998" s="2" t="n">
        <f aca="false">'Raw Data'!W2998</f>
        <v>1</v>
      </c>
      <c r="H2998" s="2" t="n">
        <f aca="false">'Raw Data'!V2998</f>
        <v>3</v>
      </c>
      <c r="I2998" s="2" t="n">
        <f aca="false">IF(AND(ISNUMBER(B2998),B2998&lt;=25),2,0)+IF(AND(ISNUMBER(E2998),E2998&lt;=5),2,0)+IF(AND(ISNUMBER(F2998),F2998&lt;=1),2,0)+IF(AND(ISNUMBER(G2998),G2998&lt;=2),1,0)+IF(AND(ISNUMBER(H2998),H2998&lt;=2),1,0)</f>
        <v>1</v>
      </c>
      <c r="J2998" s="2" t="str">
        <f aca="false">IF(I2998&gt;=6,"High",IF(I2998&gt;=3,"Medium","Low"))</f>
        <v>Low</v>
      </c>
    </row>
    <row r="2999" customFormat="false" ht="15" hidden="false" customHeight="true" outlineLevel="0" collapsed="false">
      <c r="A2999" s="2" t="n">
        <f aca="false">'Raw Data'!H2999</f>
        <v>2998</v>
      </c>
      <c r="B2999" s="2" t="n">
        <f aca="false">'Raw Data'!A2999</f>
        <v>43</v>
      </c>
      <c r="C2999" s="2" t="str">
        <f aca="false">'Raw Data'!D2999</f>
        <v>Research &amp; Development</v>
      </c>
      <c r="D2999" s="2" t="str">
        <f aca="false">'Raw Data'!K2999</f>
        <v>Research Scientist</v>
      </c>
      <c r="E2999" s="2" t="n">
        <f aca="false">'Raw Data'!Q2999</f>
        <v>9</v>
      </c>
      <c r="F2999" s="2" t="n">
        <f aca="false">'Raw Data'!U2999</f>
        <v>7</v>
      </c>
      <c r="G2999" s="2" t="n">
        <f aca="false">'Raw Data'!W2999</f>
        <v>4</v>
      </c>
      <c r="H2999" s="2" t="n">
        <f aca="false">'Raw Data'!V2999</f>
        <v>3</v>
      </c>
      <c r="I2999" s="2" t="n">
        <f aca="false">IF(AND(ISNUMBER(B2999),B2999&lt;=25),2,0)+IF(AND(ISNUMBER(E2999),E2999&lt;=5),2,0)+IF(AND(ISNUMBER(F2999),F2999&lt;=1),2,0)+IF(AND(ISNUMBER(G2999),G2999&lt;=2),1,0)+IF(AND(ISNUMBER(H2999),H2999&lt;=2),1,0)</f>
        <v>0</v>
      </c>
      <c r="J2999" s="2" t="str">
        <f aca="false">IF(I2999&gt;=6,"High",IF(I2999&gt;=3,"Medium","Low"))</f>
        <v>Low</v>
      </c>
    </row>
    <row r="3000" customFormat="false" ht="15" hidden="false" customHeight="true" outlineLevel="0" collapsed="false">
      <c r="A3000" s="2" t="n">
        <f aca="false">'Raw Data'!H3000</f>
        <v>2999</v>
      </c>
      <c r="B3000" s="2" t="n">
        <f aca="false">'Raw Data'!A3000</f>
        <v>49</v>
      </c>
      <c r="C3000" s="2" t="str">
        <f aca="false">'Raw Data'!D3000</f>
        <v>Research &amp; Development</v>
      </c>
      <c r="D3000" s="2" t="str">
        <f aca="false">'Raw Data'!K3000</f>
        <v>Manufacturing Director</v>
      </c>
      <c r="E3000" s="2" t="n">
        <f aca="false">'Raw Data'!Q3000</f>
        <v>25</v>
      </c>
      <c r="F3000" s="2" t="n">
        <f aca="false">'Raw Data'!U3000</f>
        <v>7</v>
      </c>
      <c r="G3000" s="2" t="n">
        <f aca="false">'Raw Data'!W3000</f>
        <v>3</v>
      </c>
      <c r="H3000" s="2" t="n">
        <f aca="false">'Raw Data'!V3000</f>
        <v>3</v>
      </c>
      <c r="I3000" s="2" t="n">
        <f aca="false">IF(AND(ISNUMBER(B3000),B3000&lt;=25),2,0)+IF(AND(ISNUMBER(E3000),E3000&lt;=5),2,0)+IF(AND(ISNUMBER(F3000),F3000&lt;=1),2,0)+IF(AND(ISNUMBER(G3000),G3000&lt;=2),1,0)+IF(AND(ISNUMBER(H3000),H3000&lt;=2),1,0)</f>
        <v>0</v>
      </c>
      <c r="J3000" s="2" t="str">
        <f aca="false">IF(I3000&gt;=6,"High",IF(I3000&gt;=3,"Medium","Low"))</f>
        <v>Low</v>
      </c>
    </row>
    <row r="3001" customFormat="false" ht="15" hidden="false" customHeight="true" outlineLevel="0" collapsed="false">
      <c r="A3001" s="2" t="n">
        <f aca="false">'Raw Data'!H3001</f>
        <v>3000</v>
      </c>
      <c r="B3001" s="2" t="n">
        <f aca="false">'Raw Data'!A3001</f>
        <v>52</v>
      </c>
      <c r="C3001" s="2" t="str">
        <f aca="false">'Raw Data'!D3001</f>
        <v>Research &amp; Development</v>
      </c>
      <c r="D3001" s="2" t="str">
        <f aca="false">'Raw Data'!K3001</f>
        <v>Research Scientist</v>
      </c>
      <c r="E3001" s="2" t="n">
        <f aca="false">'Raw Data'!Q3001</f>
        <v>11</v>
      </c>
      <c r="F3001" s="2" t="n">
        <f aca="false">'Raw Data'!U3001</f>
        <v>7</v>
      </c>
      <c r="G3001" s="2" t="n">
        <f aca="false">'Raw Data'!W3001</f>
        <v>2</v>
      </c>
      <c r="H3001" s="2" t="n">
        <f aca="false">'Raw Data'!V3001</f>
        <v>3</v>
      </c>
      <c r="I3001" s="2" t="n">
        <f aca="false">IF(AND(ISNUMBER(B3001),B3001&lt;=25),2,0)+IF(AND(ISNUMBER(E3001),E3001&lt;=5),2,0)+IF(AND(ISNUMBER(F3001),F3001&lt;=1),2,0)+IF(AND(ISNUMBER(G3001),G3001&lt;=2),1,0)+IF(AND(ISNUMBER(H3001),H3001&lt;=2),1,0)</f>
        <v>1</v>
      </c>
      <c r="J3001" s="2" t="str">
        <f aca="false">IF(I3001&gt;=6,"High",IF(I3001&gt;=3,"Medium","Low"))</f>
        <v>Low</v>
      </c>
    </row>
    <row r="3002" customFormat="false" ht="15" hidden="false" customHeight="true" outlineLevel="0" collapsed="false">
      <c r="A3002" s="2" t="n">
        <f aca="false">'Raw Data'!H3002</f>
        <v>3001</v>
      </c>
      <c r="B3002" s="2" t="n">
        <f aca="false">'Raw Data'!A3002</f>
        <v>27</v>
      </c>
      <c r="C3002" s="2" t="str">
        <f aca="false">'Raw Data'!D3002</f>
        <v>Research &amp; Development</v>
      </c>
      <c r="D3002" s="2" t="str">
        <f aca="false">'Raw Data'!K3002</f>
        <v>Research Scientist</v>
      </c>
      <c r="E3002" s="2" t="n">
        <f aca="false">'Raw Data'!Q3002</f>
        <v>4</v>
      </c>
      <c r="F3002" s="2" t="n">
        <f aca="false">'Raw Data'!U3002</f>
        <v>2</v>
      </c>
      <c r="G3002" s="2" t="n">
        <f aca="false">'Raw Data'!W3002</f>
        <v>2</v>
      </c>
      <c r="H3002" s="2" t="n">
        <f aca="false">'Raw Data'!V3002</f>
        <v>3</v>
      </c>
      <c r="I3002" s="2" t="n">
        <f aca="false">IF(AND(ISNUMBER(B3002),B3002&lt;=25),2,0)+IF(AND(ISNUMBER(E3002),E3002&lt;=5),2,0)+IF(AND(ISNUMBER(F3002),F3002&lt;=1),2,0)+IF(AND(ISNUMBER(G3002),G3002&lt;=2),1,0)+IF(AND(ISNUMBER(H3002),H3002&lt;=2),1,0)</f>
        <v>3</v>
      </c>
      <c r="J3002" s="2" t="str">
        <f aca="false">IF(I3002&gt;=6,"High",IF(I3002&gt;=3,"Medium","Low"))</f>
        <v>Medium</v>
      </c>
    </row>
    <row r="3003" customFormat="false" ht="15" hidden="false" customHeight="true" outlineLevel="0" collapsed="false">
      <c r="A3003" s="2" t="n">
        <f aca="false">'Raw Data'!H3003</f>
        <v>3002</v>
      </c>
      <c r="B3003" s="2" t="n">
        <f aca="false">'Raw Data'!A3003</f>
        <v>32</v>
      </c>
      <c r="C3003" s="2" t="str">
        <f aca="false">'Raw Data'!D3003</f>
        <v>Research &amp; Development</v>
      </c>
      <c r="D3003" s="2" t="str">
        <f aca="false">'Raw Data'!K3003</f>
        <v>Research Scientist</v>
      </c>
      <c r="E3003" s="2" t="n">
        <f aca="false">'Raw Data'!Q3003</f>
        <v>13</v>
      </c>
      <c r="F3003" s="2" t="n">
        <f aca="false">'Raw Data'!U3003</f>
        <v>9</v>
      </c>
      <c r="G3003" s="2" t="n">
        <f aca="false">'Raw Data'!W3003</f>
        <v>2</v>
      </c>
      <c r="H3003" s="2" t="n">
        <f aca="false">'Raw Data'!V3003</f>
        <v>3</v>
      </c>
      <c r="I3003" s="2" t="n">
        <f aca="false">IF(AND(ISNUMBER(B3003),B3003&lt;=25),2,0)+IF(AND(ISNUMBER(E3003),E3003&lt;=5),2,0)+IF(AND(ISNUMBER(F3003),F3003&lt;=1),2,0)+IF(AND(ISNUMBER(G3003),G3003&lt;=2),1,0)+IF(AND(ISNUMBER(H3003),H3003&lt;=2),1,0)</f>
        <v>1</v>
      </c>
      <c r="J3003" s="2" t="str">
        <f aca="false">IF(I3003&gt;=6,"High",IF(I3003&gt;=3,"Medium","Low"))</f>
        <v>Low</v>
      </c>
    </row>
    <row r="3004" customFormat="false" ht="15" hidden="false" customHeight="true" outlineLevel="0" collapsed="false">
      <c r="A3004" s="2" t="n">
        <f aca="false">'Raw Data'!H3004</f>
        <v>3003</v>
      </c>
      <c r="B3004" s="2" t="n">
        <f aca="false">'Raw Data'!A3004</f>
        <v>27</v>
      </c>
      <c r="C3004" s="2" t="str">
        <f aca="false">'Raw Data'!D3004</f>
        <v>Research &amp; Development</v>
      </c>
      <c r="D3004" s="2" t="str">
        <f aca="false">'Raw Data'!K3004</f>
        <v>Research Director</v>
      </c>
      <c r="E3004" s="2" t="n">
        <f aca="false">'Raw Data'!Q3004</f>
        <v>5</v>
      </c>
      <c r="F3004" s="2" t="n">
        <f aca="false">'Raw Data'!U3004</f>
        <v>4</v>
      </c>
      <c r="G3004" s="2" t="n">
        <f aca="false">'Raw Data'!W3004</f>
        <v>3</v>
      </c>
      <c r="H3004" s="2" t="n">
        <f aca="false">'Raw Data'!V3004</f>
        <v>4</v>
      </c>
      <c r="I3004" s="2" t="n">
        <f aca="false">IF(AND(ISNUMBER(B3004),B3004&lt;=25),2,0)+IF(AND(ISNUMBER(E3004),E3004&lt;=5),2,0)+IF(AND(ISNUMBER(F3004),F3004&lt;=1),2,0)+IF(AND(ISNUMBER(G3004),G3004&lt;=2),1,0)+IF(AND(ISNUMBER(H3004),H3004&lt;=2),1,0)</f>
        <v>2</v>
      </c>
      <c r="J3004" s="2" t="str">
        <f aca="false">IF(I3004&gt;=6,"High",IF(I3004&gt;=3,"Medium","Low"))</f>
        <v>Low</v>
      </c>
    </row>
    <row r="3005" customFormat="false" ht="15" hidden="false" customHeight="true" outlineLevel="0" collapsed="false">
      <c r="A3005" s="2" t="n">
        <f aca="false">'Raw Data'!H3005</f>
        <v>3004</v>
      </c>
      <c r="B3005" s="2" t="n">
        <f aca="false">'Raw Data'!A3005</f>
        <v>31</v>
      </c>
      <c r="C3005" s="2" t="str">
        <f aca="false">'Raw Data'!D3005</f>
        <v>Sales</v>
      </c>
      <c r="D3005" s="2" t="str">
        <f aca="false">'Raw Data'!K3005</f>
        <v>Healthcare Representative</v>
      </c>
      <c r="E3005" s="2" t="n">
        <f aca="false">'Raw Data'!Q3005</f>
        <v>13</v>
      </c>
      <c r="F3005" s="2" t="n">
        <f aca="false">'Raw Data'!U3005</f>
        <v>7</v>
      </c>
      <c r="G3005" s="2" t="n">
        <f aca="false">'Raw Data'!W3005</f>
        <v>4</v>
      </c>
      <c r="H3005" s="2" t="n">
        <f aca="false">'Raw Data'!V3005</f>
        <v>4</v>
      </c>
      <c r="I3005" s="2" t="n">
        <f aca="false">IF(AND(ISNUMBER(B3005),B3005&lt;=25),2,0)+IF(AND(ISNUMBER(E3005),E3005&lt;=5),2,0)+IF(AND(ISNUMBER(F3005),F3005&lt;=1),2,0)+IF(AND(ISNUMBER(G3005),G3005&lt;=2),1,0)+IF(AND(ISNUMBER(H3005),H3005&lt;=2),1,0)</f>
        <v>0</v>
      </c>
      <c r="J3005" s="2" t="str">
        <f aca="false">IF(I3005&gt;=6,"High",IF(I3005&gt;=3,"Medium","Low"))</f>
        <v>Low</v>
      </c>
    </row>
    <row r="3006" customFormat="false" ht="15" hidden="false" customHeight="true" outlineLevel="0" collapsed="false">
      <c r="A3006" s="2" t="n">
        <f aca="false">'Raw Data'!H3006</f>
        <v>3005</v>
      </c>
      <c r="B3006" s="2" t="n">
        <f aca="false">'Raw Data'!A3006</f>
        <v>32</v>
      </c>
      <c r="C3006" s="2" t="str">
        <f aca="false">'Raw Data'!D3006</f>
        <v>Research &amp; Development</v>
      </c>
      <c r="D3006" s="2" t="str">
        <f aca="false">'Raw Data'!K3006</f>
        <v>Healthcare Representative</v>
      </c>
      <c r="E3006" s="2" t="n">
        <f aca="false">'Raw Data'!Q3006</f>
        <v>10</v>
      </c>
      <c r="F3006" s="2" t="n">
        <f aca="false">'Raw Data'!U3006</f>
        <v>7</v>
      </c>
      <c r="G3006" s="2" t="n">
        <f aca="false">'Raw Data'!W3006</f>
        <v>4</v>
      </c>
      <c r="H3006" s="2" t="n">
        <f aca="false">'Raw Data'!V3006</f>
        <v>1</v>
      </c>
      <c r="I3006" s="2" t="n">
        <f aca="false">IF(AND(ISNUMBER(B3006),B3006&lt;=25),2,0)+IF(AND(ISNUMBER(E3006),E3006&lt;=5),2,0)+IF(AND(ISNUMBER(F3006),F3006&lt;=1),2,0)+IF(AND(ISNUMBER(G3006),G3006&lt;=2),1,0)+IF(AND(ISNUMBER(H3006),H3006&lt;=2),1,0)</f>
        <v>1</v>
      </c>
      <c r="J3006" s="2" t="str">
        <f aca="false">IF(I3006&gt;=6,"High",IF(I3006&gt;=3,"Medium","Low"))</f>
        <v>Low</v>
      </c>
    </row>
    <row r="3007" customFormat="false" ht="15" hidden="false" customHeight="true" outlineLevel="0" collapsed="false">
      <c r="A3007" s="2" t="n">
        <f aca="false">'Raw Data'!H3007</f>
        <v>3006</v>
      </c>
      <c r="B3007" s="2" t="n">
        <f aca="false">'Raw Data'!A3007</f>
        <v>28</v>
      </c>
      <c r="C3007" s="2" t="str">
        <f aca="false">'Raw Data'!D3007</f>
        <v>Research &amp; Development</v>
      </c>
      <c r="D3007" s="2" t="str">
        <f aca="false">'Raw Data'!K3007</f>
        <v>Sales Executive</v>
      </c>
      <c r="E3007" s="2" t="n">
        <f aca="false">'Raw Data'!Q3007</f>
        <v>5</v>
      </c>
      <c r="F3007" s="2" t="n">
        <f aca="false">'Raw Data'!U3007</f>
        <v>2</v>
      </c>
      <c r="G3007" s="2" t="n">
        <f aca="false">'Raw Data'!W3007</f>
        <v>4</v>
      </c>
      <c r="H3007" s="2" t="n">
        <f aca="false">'Raw Data'!V3007</f>
        <v>1</v>
      </c>
      <c r="I3007" s="2" t="n">
        <f aca="false">IF(AND(ISNUMBER(B3007),B3007&lt;=25),2,0)+IF(AND(ISNUMBER(E3007),E3007&lt;=5),2,0)+IF(AND(ISNUMBER(F3007),F3007&lt;=1),2,0)+IF(AND(ISNUMBER(G3007),G3007&lt;=2),1,0)+IF(AND(ISNUMBER(H3007),H3007&lt;=2),1,0)</f>
        <v>3</v>
      </c>
      <c r="J3007" s="2" t="str">
        <f aca="false">IF(I3007&gt;=6,"High",IF(I3007&gt;=3,"Medium","Low"))</f>
        <v>Medium</v>
      </c>
    </row>
    <row r="3008" customFormat="false" ht="15" hidden="false" customHeight="true" outlineLevel="0" collapsed="false">
      <c r="A3008" s="2" t="n">
        <f aca="false">'Raw Data'!H3008</f>
        <v>3007</v>
      </c>
      <c r="B3008" s="2" t="n">
        <f aca="false">'Raw Data'!A3008</f>
        <v>30</v>
      </c>
      <c r="C3008" s="2" t="str">
        <f aca="false">'Raw Data'!D3008</f>
        <v>Research &amp; Development</v>
      </c>
      <c r="D3008" s="2" t="str">
        <f aca="false">'Raw Data'!K3008</f>
        <v>Research Director</v>
      </c>
      <c r="E3008" s="2" t="n">
        <f aca="false">'Raw Data'!Q3008</f>
        <v>11</v>
      </c>
      <c r="F3008" s="2" t="n">
        <f aca="false">'Raw Data'!U3008</f>
        <v>9</v>
      </c>
      <c r="G3008" s="2" t="n">
        <f aca="false">'Raw Data'!W3008</f>
        <v>4</v>
      </c>
      <c r="H3008" s="2" t="n">
        <f aca="false">'Raw Data'!V3008</f>
        <v>4</v>
      </c>
      <c r="I3008" s="2" t="n">
        <f aca="false">IF(AND(ISNUMBER(B3008),B3008&lt;=25),2,0)+IF(AND(ISNUMBER(E3008),E3008&lt;=5),2,0)+IF(AND(ISNUMBER(F3008),F3008&lt;=1),2,0)+IF(AND(ISNUMBER(G3008),G3008&lt;=2),1,0)+IF(AND(ISNUMBER(H3008),H3008&lt;=2),1,0)</f>
        <v>0</v>
      </c>
      <c r="J3008" s="2" t="str">
        <f aca="false">IF(I3008&gt;=6,"High",IF(I3008&gt;=3,"Medium","Low"))</f>
        <v>Low</v>
      </c>
    </row>
    <row r="3009" customFormat="false" ht="15" hidden="false" customHeight="true" outlineLevel="0" collapsed="false">
      <c r="A3009" s="2" t="n">
        <f aca="false">'Raw Data'!H3009</f>
        <v>3008</v>
      </c>
      <c r="B3009" s="2" t="n">
        <f aca="false">'Raw Data'!A3009</f>
        <v>31</v>
      </c>
      <c r="C3009" s="2" t="str">
        <f aca="false">'Raw Data'!D3009</f>
        <v>Research &amp; Development</v>
      </c>
      <c r="D3009" s="2" t="str">
        <f aca="false">'Raw Data'!K3009</f>
        <v>Manager</v>
      </c>
      <c r="E3009" s="2" t="n">
        <f aca="false">'Raw Data'!Q3009</f>
        <v>10</v>
      </c>
      <c r="F3009" s="2" t="n">
        <f aca="false">'Raw Data'!U3009</f>
        <v>9</v>
      </c>
      <c r="G3009" s="2" t="n">
        <f aca="false">'Raw Data'!W3009</f>
        <v>3</v>
      </c>
      <c r="H3009" s="2" t="n">
        <f aca="false">'Raw Data'!V3009</f>
        <v>3</v>
      </c>
      <c r="I3009" s="2" t="n">
        <f aca="false">IF(AND(ISNUMBER(B3009),B3009&lt;=25),2,0)+IF(AND(ISNUMBER(E3009),E3009&lt;=5),2,0)+IF(AND(ISNUMBER(F3009),F3009&lt;=1),2,0)+IF(AND(ISNUMBER(G3009),G3009&lt;=2),1,0)+IF(AND(ISNUMBER(H3009),H3009&lt;=2),1,0)</f>
        <v>0</v>
      </c>
      <c r="J3009" s="2" t="str">
        <f aca="false">IF(I3009&gt;=6,"High",IF(I3009&gt;=3,"Medium","Low"))</f>
        <v>Low</v>
      </c>
    </row>
    <row r="3010" customFormat="false" ht="15" hidden="false" customHeight="true" outlineLevel="0" collapsed="false">
      <c r="A3010" s="2" t="n">
        <f aca="false">'Raw Data'!H3010</f>
        <v>3009</v>
      </c>
      <c r="B3010" s="2" t="n">
        <f aca="false">'Raw Data'!A3010</f>
        <v>39</v>
      </c>
      <c r="C3010" s="2" t="str">
        <f aca="false">'Raw Data'!D3010</f>
        <v>Research &amp; Development</v>
      </c>
      <c r="D3010" s="2" t="str">
        <f aca="false">'Raw Data'!K3010</f>
        <v>Research Scientist</v>
      </c>
      <c r="E3010" s="2" t="n">
        <f aca="false">'Raw Data'!Q3010</f>
        <v>21</v>
      </c>
      <c r="F3010" s="2" t="n">
        <f aca="false">'Raw Data'!U3010</f>
        <v>3</v>
      </c>
      <c r="G3010" s="2" t="n">
        <f aca="false">'Raw Data'!W3010</f>
        <v>4</v>
      </c>
      <c r="H3010" s="2" t="n">
        <f aca="false">'Raw Data'!V3010</f>
        <v>3</v>
      </c>
      <c r="I3010" s="2" t="n">
        <f aca="false">IF(AND(ISNUMBER(B3010),B3010&lt;=25),2,0)+IF(AND(ISNUMBER(E3010),E3010&lt;=5),2,0)+IF(AND(ISNUMBER(F3010),F3010&lt;=1),2,0)+IF(AND(ISNUMBER(G3010),G3010&lt;=2),1,0)+IF(AND(ISNUMBER(H3010),H3010&lt;=2),1,0)</f>
        <v>0</v>
      </c>
      <c r="J3010" s="2" t="str">
        <f aca="false">IF(I3010&gt;=6,"High",IF(I3010&gt;=3,"Medium","Low"))</f>
        <v>Low</v>
      </c>
    </row>
    <row r="3011" customFormat="false" ht="15" hidden="false" customHeight="true" outlineLevel="0" collapsed="false">
      <c r="A3011" s="2" t="n">
        <f aca="false">'Raw Data'!H3011</f>
        <v>3010</v>
      </c>
      <c r="B3011" s="2" t="n">
        <f aca="false">'Raw Data'!A3011</f>
        <v>39</v>
      </c>
      <c r="C3011" s="2" t="str">
        <f aca="false">'Raw Data'!D3011</f>
        <v>Research &amp; Development</v>
      </c>
      <c r="D3011" s="2" t="str">
        <f aca="false">'Raw Data'!K3011</f>
        <v>Laboratory Technician</v>
      </c>
      <c r="E3011" s="2" t="n">
        <f aca="false">'Raw Data'!Q3011</f>
        <v>12</v>
      </c>
      <c r="F3011" s="2" t="n">
        <f aca="false">'Raw Data'!U3011</f>
        <v>0</v>
      </c>
      <c r="G3011" s="2" t="n">
        <f aca="false">'Raw Data'!W3011</f>
        <v>3</v>
      </c>
      <c r="H3011" s="2" t="n">
        <f aca="false">'Raw Data'!V3011</f>
        <v>4</v>
      </c>
      <c r="I3011" s="2" t="n">
        <f aca="false">IF(AND(ISNUMBER(B3011),B3011&lt;=25),2,0)+IF(AND(ISNUMBER(E3011),E3011&lt;=5),2,0)+IF(AND(ISNUMBER(F3011),F3011&lt;=1),2,0)+IF(AND(ISNUMBER(G3011),G3011&lt;=2),1,0)+IF(AND(ISNUMBER(H3011),H3011&lt;=2),1,0)</f>
        <v>2</v>
      </c>
      <c r="J3011" s="2" t="str">
        <f aca="false">IF(I3011&gt;=6,"High",IF(I3011&gt;=3,"Medium","Low"))</f>
        <v>Low</v>
      </c>
    </row>
    <row r="3012" customFormat="false" ht="15" hidden="false" customHeight="true" outlineLevel="0" collapsed="false">
      <c r="A3012" s="2" t="n">
        <f aca="false">'Raw Data'!H3012</f>
        <v>3011</v>
      </c>
      <c r="B3012" s="2" t="n">
        <f aca="false">'Raw Data'!A3012</f>
        <v>33</v>
      </c>
      <c r="C3012" s="2" t="str">
        <f aca="false">'Raw Data'!D3012</f>
        <v>Sales</v>
      </c>
      <c r="D3012" s="2" t="str">
        <f aca="false">'Raw Data'!K3012</f>
        <v>Research Scientist</v>
      </c>
      <c r="E3012" s="2" t="n">
        <f aca="false">'Raw Data'!Q3012</f>
        <v>9</v>
      </c>
      <c r="F3012" s="2" t="n">
        <f aca="false">'Raw Data'!U3012</f>
        <v>1</v>
      </c>
      <c r="G3012" s="2" t="n">
        <f aca="false">'Raw Data'!W3012</f>
        <v>4</v>
      </c>
      <c r="H3012" s="2" t="n">
        <f aca="false">'Raw Data'!V3012</f>
        <v>2</v>
      </c>
      <c r="I3012" s="2" t="n">
        <f aca="false">IF(AND(ISNUMBER(B3012),B3012&lt;=25),2,0)+IF(AND(ISNUMBER(E3012),E3012&lt;=5),2,0)+IF(AND(ISNUMBER(F3012),F3012&lt;=1),2,0)+IF(AND(ISNUMBER(G3012),G3012&lt;=2),1,0)+IF(AND(ISNUMBER(H3012),H3012&lt;=2),1,0)</f>
        <v>3</v>
      </c>
      <c r="J3012" s="2" t="str">
        <f aca="false">IF(I3012&gt;=6,"High",IF(I3012&gt;=3,"Medium","Low"))</f>
        <v>Medium</v>
      </c>
    </row>
    <row r="3013" customFormat="false" ht="15" hidden="false" customHeight="true" outlineLevel="0" collapsed="false">
      <c r="A3013" s="2" t="n">
        <f aca="false">'Raw Data'!H3013</f>
        <v>3012</v>
      </c>
      <c r="B3013" s="2" t="n">
        <f aca="false">'Raw Data'!A3013</f>
        <v>47</v>
      </c>
      <c r="C3013" s="2" t="str">
        <f aca="false">'Raw Data'!D3013</f>
        <v>Research &amp; Development</v>
      </c>
      <c r="D3013" s="2" t="str">
        <f aca="false">'Raw Data'!K3013</f>
        <v>Healthcare Representative</v>
      </c>
      <c r="E3013" s="2" t="n">
        <f aca="false">'Raw Data'!Q3013</f>
        <v>21</v>
      </c>
      <c r="F3013" s="2" t="n">
        <f aca="false">'Raw Data'!U3013</f>
        <v>1</v>
      </c>
      <c r="G3013" s="2" t="n">
        <f aca="false">'Raw Data'!W3013</f>
        <v>3</v>
      </c>
      <c r="H3013" s="2" t="n">
        <f aca="false">'Raw Data'!V3013</f>
        <v>4</v>
      </c>
      <c r="I3013" s="2" t="n">
        <f aca="false">IF(AND(ISNUMBER(B3013),B3013&lt;=25),2,0)+IF(AND(ISNUMBER(E3013),E3013&lt;=5),2,0)+IF(AND(ISNUMBER(F3013),F3013&lt;=1),2,0)+IF(AND(ISNUMBER(G3013),G3013&lt;=2),1,0)+IF(AND(ISNUMBER(H3013),H3013&lt;=2),1,0)</f>
        <v>2</v>
      </c>
      <c r="J3013" s="2" t="str">
        <f aca="false">IF(I3013&gt;=6,"High",IF(I3013&gt;=3,"Medium","Low"))</f>
        <v>Low</v>
      </c>
    </row>
    <row r="3014" customFormat="false" ht="15" hidden="false" customHeight="true" outlineLevel="0" collapsed="false">
      <c r="A3014" s="2" t="n">
        <f aca="false">'Raw Data'!H3014</f>
        <v>3013</v>
      </c>
      <c r="B3014" s="2" t="n">
        <f aca="false">'Raw Data'!A3014</f>
        <v>43</v>
      </c>
      <c r="C3014" s="2" t="str">
        <f aca="false">'Raw Data'!D3014</f>
        <v>Research &amp; Development</v>
      </c>
      <c r="D3014" s="2" t="str">
        <f aca="false">'Raw Data'!K3014</f>
        <v>Research Director</v>
      </c>
      <c r="E3014" s="2" t="n">
        <f aca="false">'Raw Data'!Q3014</f>
        <v>9</v>
      </c>
      <c r="F3014" s="2" t="n">
        <f aca="false">'Raw Data'!U3014</f>
        <v>0</v>
      </c>
      <c r="G3014" s="2" t="n">
        <f aca="false">'Raw Data'!W3014</f>
        <v>3</v>
      </c>
      <c r="H3014" s="2" t="n">
        <f aca="false">'Raw Data'!V3014</f>
        <v>3</v>
      </c>
      <c r="I3014" s="2" t="n">
        <f aca="false">IF(AND(ISNUMBER(B3014),B3014&lt;=25),2,0)+IF(AND(ISNUMBER(E3014),E3014&lt;=5),2,0)+IF(AND(ISNUMBER(F3014),F3014&lt;=1),2,0)+IF(AND(ISNUMBER(G3014),G3014&lt;=2),1,0)+IF(AND(ISNUMBER(H3014),H3014&lt;=2),1,0)</f>
        <v>2</v>
      </c>
      <c r="J3014" s="2" t="str">
        <f aca="false">IF(I3014&gt;=6,"High",IF(I3014&gt;=3,"Medium","Low"))</f>
        <v>Low</v>
      </c>
    </row>
    <row r="3015" customFormat="false" ht="15" hidden="false" customHeight="true" outlineLevel="0" collapsed="false">
      <c r="A3015" s="2" t="n">
        <f aca="false">'Raw Data'!H3015</f>
        <v>3014</v>
      </c>
      <c r="B3015" s="2" t="n">
        <f aca="false">'Raw Data'!A3015</f>
        <v>27</v>
      </c>
      <c r="C3015" s="2" t="str">
        <f aca="false">'Raw Data'!D3015</f>
        <v>Research &amp; Development</v>
      </c>
      <c r="D3015" s="2" t="str">
        <f aca="false">'Raw Data'!K3015</f>
        <v>Research Director</v>
      </c>
      <c r="E3015" s="2" t="n">
        <f aca="false">'Raw Data'!Q3015</f>
        <v>6</v>
      </c>
      <c r="F3015" s="2" t="n">
        <f aca="false">'Raw Data'!U3015</f>
        <v>4</v>
      </c>
      <c r="G3015" s="2" t="n">
        <f aca="false">'Raw Data'!W3015</f>
        <v>2</v>
      </c>
      <c r="H3015" s="2" t="n">
        <f aca="false">'Raw Data'!V3015</f>
        <v>3</v>
      </c>
      <c r="I3015" s="2" t="n">
        <f aca="false">IF(AND(ISNUMBER(B3015),B3015&lt;=25),2,0)+IF(AND(ISNUMBER(E3015),E3015&lt;=5),2,0)+IF(AND(ISNUMBER(F3015),F3015&lt;=1),2,0)+IF(AND(ISNUMBER(G3015),G3015&lt;=2),1,0)+IF(AND(ISNUMBER(H3015),H3015&lt;=2),1,0)</f>
        <v>1</v>
      </c>
      <c r="J3015" s="2" t="str">
        <f aca="false">IF(I3015&gt;=6,"High",IF(I3015&gt;=3,"Medium","Low"))</f>
        <v>Low</v>
      </c>
    </row>
    <row r="3016" customFormat="false" ht="15" hidden="false" customHeight="true" outlineLevel="0" collapsed="false">
      <c r="A3016" s="2" t="n">
        <f aca="false">'Raw Data'!H3016</f>
        <v>3015</v>
      </c>
      <c r="B3016" s="2" t="n">
        <f aca="false">'Raw Data'!A3016</f>
        <v>54</v>
      </c>
      <c r="C3016" s="2" t="str">
        <f aca="false">'Raw Data'!D3016</f>
        <v>Research &amp; Development</v>
      </c>
      <c r="D3016" s="2" t="str">
        <f aca="false">'Raw Data'!K3016</f>
        <v>Research Scientist</v>
      </c>
      <c r="E3016" s="2" t="n">
        <f aca="false">'Raw Data'!Q3016</f>
        <v>20</v>
      </c>
      <c r="F3016" s="2" t="n">
        <f aca="false">'Raw Data'!U3016</f>
        <v>3</v>
      </c>
      <c r="G3016" s="2" t="n">
        <f aca="false">'Raw Data'!W3016</f>
        <v>3</v>
      </c>
      <c r="H3016" s="2" t="n">
        <f aca="false">'Raw Data'!V3016</f>
        <v>4</v>
      </c>
      <c r="I3016" s="2" t="n">
        <f aca="false">IF(AND(ISNUMBER(B3016),B3016&lt;=25),2,0)+IF(AND(ISNUMBER(E3016),E3016&lt;=5),2,0)+IF(AND(ISNUMBER(F3016),F3016&lt;=1),2,0)+IF(AND(ISNUMBER(G3016),G3016&lt;=2),1,0)+IF(AND(ISNUMBER(H3016),H3016&lt;=2),1,0)</f>
        <v>0</v>
      </c>
      <c r="J3016" s="2" t="str">
        <f aca="false">IF(I3016&gt;=6,"High",IF(I3016&gt;=3,"Medium","Low"))</f>
        <v>Low</v>
      </c>
    </row>
    <row r="3017" customFormat="false" ht="15" hidden="false" customHeight="true" outlineLevel="0" collapsed="false">
      <c r="A3017" s="2" t="n">
        <f aca="false">'Raw Data'!H3017</f>
        <v>3016</v>
      </c>
      <c r="B3017" s="2" t="n">
        <f aca="false">'Raw Data'!A3017</f>
        <v>43</v>
      </c>
      <c r="C3017" s="2" t="str">
        <f aca="false">'Raw Data'!D3017</f>
        <v>Research &amp; Development</v>
      </c>
      <c r="D3017" s="2" t="str">
        <f aca="false">'Raw Data'!K3017</f>
        <v>Manager</v>
      </c>
      <c r="E3017" s="2" t="n">
        <f aca="false">'Raw Data'!Q3017</f>
        <v>10</v>
      </c>
      <c r="F3017" s="2" t="n">
        <f aca="false">'Raw Data'!U3017</f>
        <v>0</v>
      </c>
      <c r="G3017" s="2" t="n">
        <f aca="false">'Raw Data'!W3017</f>
        <v>1</v>
      </c>
      <c r="H3017" s="2" t="n">
        <f aca="false">'Raw Data'!V3017</f>
        <v>3</v>
      </c>
      <c r="I3017" s="2" t="n">
        <f aca="false">IF(AND(ISNUMBER(B3017),B3017&lt;=25),2,0)+IF(AND(ISNUMBER(E3017),E3017&lt;=5),2,0)+IF(AND(ISNUMBER(F3017),F3017&lt;=1),2,0)+IF(AND(ISNUMBER(G3017),G3017&lt;=2),1,0)+IF(AND(ISNUMBER(H3017),H3017&lt;=2),1,0)</f>
        <v>3</v>
      </c>
      <c r="J3017" s="2" t="str">
        <f aca="false">IF(I3017&gt;=6,"High",IF(I3017&gt;=3,"Medium","Low"))</f>
        <v>Medium</v>
      </c>
    </row>
    <row r="3018" customFormat="false" ht="15" hidden="false" customHeight="true" outlineLevel="0" collapsed="false">
      <c r="A3018" s="2" t="n">
        <f aca="false">'Raw Data'!H3018</f>
        <v>3017</v>
      </c>
      <c r="B3018" s="2" t="n">
        <f aca="false">'Raw Data'!A3018</f>
        <v>45</v>
      </c>
      <c r="C3018" s="2" t="str">
        <f aca="false">'Raw Data'!D3018</f>
        <v>Sales</v>
      </c>
      <c r="D3018" s="2" t="str">
        <f aca="false">'Raw Data'!K3018</f>
        <v>Sales Executive</v>
      </c>
      <c r="E3018" s="2" t="n">
        <f aca="false">'Raw Data'!Q3018</f>
        <v>12</v>
      </c>
      <c r="F3018" s="2" t="n">
        <f aca="false">'Raw Data'!U3018</f>
        <v>8</v>
      </c>
      <c r="G3018" s="2" t="n">
        <f aca="false">'Raw Data'!W3018</f>
        <v>4</v>
      </c>
      <c r="H3018" s="2" t="n">
        <f aca="false">'Raw Data'!V3018</f>
        <v>4</v>
      </c>
      <c r="I3018" s="2" t="n">
        <f aca="false">IF(AND(ISNUMBER(B3018),B3018&lt;=25),2,0)+IF(AND(ISNUMBER(E3018),E3018&lt;=5),2,0)+IF(AND(ISNUMBER(F3018),F3018&lt;=1),2,0)+IF(AND(ISNUMBER(G3018),G3018&lt;=2),1,0)+IF(AND(ISNUMBER(H3018),H3018&lt;=2),1,0)</f>
        <v>0</v>
      </c>
      <c r="J3018" s="2" t="str">
        <f aca="false">IF(I3018&gt;=6,"High",IF(I3018&gt;=3,"Medium","Low"))</f>
        <v>Low</v>
      </c>
    </row>
    <row r="3019" customFormat="false" ht="15" hidden="false" customHeight="true" outlineLevel="0" collapsed="false">
      <c r="A3019" s="2" t="n">
        <f aca="false">'Raw Data'!H3019</f>
        <v>3018</v>
      </c>
      <c r="B3019" s="2" t="n">
        <f aca="false">'Raw Data'!A3019</f>
        <v>40</v>
      </c>
      <c r="C3019" s="2" t="str">
        <f aca="false">'Raw Data'!D3019</f>
        <v>Research &amp; Development</v>
      </c>
      <c r="D3019" s="2" t="str">
        <f aca="false">'Raw Data'!K3019</f>
        <v>Research Scientist</v>
      </c>
      <c r="E3019" s="2" t="n">
        <f aca="false">'Raw Data'!Q3019</f>
        <v>6</v>
      </c>
      <c r="F3019" s="2" t="n">
        <f aca="false">'Raw Data'!U3019</f>
        <v>2</v>
      </c>
      <c r="G3019" s="2" t="n">
        <f aca="false">'Raw Data'!W3019</f>
        <v>4</v>
      </c>
      <c r="H3019" s="2" t="n">
        <f aca="false">'Raw Data'!V3019</f>
        <v>2</v>
      </c>
      <c r="I3019" s="2" t="n">
        <f aca="false">IF(AND(ISNUMBER(B3019),B3019&lt;=25),2,0)+IF(AND(ISNUMBER(E3019),E3019&lt;=5),2,0)+IF(AND(ISNUMBER(F3019),F3019&lt;=1),2,0)+IF(AND(ISNUMBER(G3019),G3019&lt;=2),1,0)+IF(AND(ISNUMBER(H3019),H3019&lt;=2),1,0)</f>
        <v>1</v>
      </c>
      <c r="J3019" s="2" t="str">
        <f aca="false">IF(I3019&gt;=6,"High",IF(I3019&gt;=3,"Medium","Low"))</f>
        <v>Low</v>
      </c>
    </row>
    <row r="3020" customFormat="false" ht="15" hidden="false" customHeight="true" outlineLevel="0" collapsed="false">
      <c r="A3020" s="2" t="n">
        <f aca="false">'Raw Data'!H3020</f>
        <v>3019</v>
      </c>
      <c r="B3020" s="2" t="n">
        <f aca="false">'Raw Data'!A3020</f>
        <v>29</v>
      </c>
      <c r="C3020" s="2" t="str">
        <f aca="false">'Raw Data'!D3020</f>
        <v>Research &amp; Development</v>
      </c>
      <c r="D3020" s="2" t="str">
        <f aca="false">'Raw Data'!K3020</f>
        <v>Research Scientist</v>
      </c>
      <c r="E3020" s="2" t="n">
        <f aca="false">'Raw Data'!Q3020</f>
        <v>7</v>
      </c>
      <c r="F3020" s="2" t="n">
        <f aca="false">'Raw Data'!U3020</f>
        <v>7</v>
      </c>
      <c r="G3020" s="2" t="n">
        <f aca="false">'Raw Data'!W3020</f>
        <v>1</v>
      </c>
      <c r="H3020" s="2" t="n">
        <f aca="false">'Raw Data'!V3020</f>
        <v>2</v>
      </c>
      <c r="I3020" s="2" t="n">
        <f aca="false">IF(AND(ISNUMBER(B3020),B3020&lt;=25),2,0)+IF(AND(ISNUMBER(E3020),E3020&lt;=5),2,0)+IF(AND(ISNUMBER(F3020),F3020&lt;=1),2,0)+IF(AND(ISNUMBER(G3020),G3020&lt;=2),1,0)+IF(AND(ISNUMBER(H3020),H3020&lt;=2),1,0)</f>
        <v>2</v>
      </c>
      <c r="J3020" s="2" t="str">
        <f aca="false">IF(I3020&gt;=6,"High",IF(I3020&gt;=3,"Medium","Low"))</f>
        <v>Low</v>
      </c>
    </row>
    <row r="3021" customFormat="false" ht="15" hidden="false" customHeight="true" outlineLevel="0" collapsed="false">
      <c r="A3021" s="2" t="n">
        <f aca="false">'Raw Data'!H3021</f>
        <v>3020</v>
      </c>
      <c r="B3021" s="2" t="n">
        <f aca="false">'Raw Data'!A3021</f>
        <v>29</v>
      </c>
      <c r="C3021" s="2" t="str">
        <f aca="false">'Raw Data'!D3021</f>
        <v>Human Resources</v>
      </c>
      <c r="D3021" s="2" t="str">
        <f aca="false">'Raw Data'!K3021</f>
        <v>Sales Representative</v>
      </c>
      <c r="E3021" s="2" t="n">
        <f aca="false">'Raw Data'!Q3021</f>
        <v>4</v>
      </c>
      <c r="F3021" s="2" t="n">
        <f aca="false">'Raw Data'!U3021</f>
        <v>2</v>
      </c>
      <c r="G3021" s="2" t="n">
        <f aca="false">'Raw Data'!W3021</f>
        <v>4</v>
      </c>
      <c r="H3021" s="2" t="n">
        <f aca="false">'Raw Data'!V3021</f>
        <v>2</v>
      </c>
      <c r="I3021" s="2" t="n">
        <f aca="false">IF(AND(ISNUMBER(B3021),B3021&lt;=25),2,0)+IF(AND(ISNUMBER(E3021),E3021&lt;=5),2,0)+IF(AND(ISNUMBER(F3021),F3021&lt;=1),2,0)+IF(AND(ISNUMBER(G3021),G3021&lt;=2),1,0)+IF(AND(ISNUMBER(H3021),H3021&lt;=2),1,0)</f>
        <v>3</v>
      </c>
      <c r="J3021" s="2" t="str">
        <f aca="false">IF(I3021&gt;=6,"High",IF(I3021&gt;=3,"Medium","Low"))</f>
        <v>Medium</v>
      </c>
    </row>
    <row r="3022" customFormat="false" ht="15" hidden="false" customHeight="true" outlineLevel="0" collapsed="false">
      <c r="A3022" s="2" t="n">
        <f aca="false">'Raw Data'!H3022</f>
        <v>3021</v>
      </c>
      <c r="B3022" s="2" t="n">
        <f aca="false">'Raw Data'!A3022</f>
        <v>30</v>
      </c>
      <c r="C3022" s="2" t="str">
        <f aca="false">'Raw Data'!D3022</f>
        <v>Research &amp; Development</v>
      </c>
      <c r="D3022" s="2" t="str">
        <f aca="false">'Raw Data'!K3022</f>
        <v>Research Scientist</v>
      </c>
      <c r="E3022" s="2" t="n">
        <f aca="false">'Raw Data'!Q3022</f>
        <v>10</v>
      </c>
      <c r="F3022" s="2" t="n">
        <f aca="false">'Raw Data'!U3022</f>
        <v>2</v>
      </c>
      <c r="G3022" s="2" t="n">
        <f aca="false">'Raw Data'!W3022</f>
        <v>3</v>
      </c>
      <c r="H3022" s="2" t="n">
        <f aca="false">'Raw Data'!V3022</f>
        <v>4</v>
      </c>
      <c r="I3022" s="2" t="n">
        <f aca="false">IF(AND(ISNUMBER(B3022),B3022&lt;=25),2,0)+IF(AND(ISNUMBER(E3022),E3022&lt;=5),2,0)+IF(AND(ISNUMBER(F3022),F3022&lt;=1),2,0)+IF(AND(ISNUMBER(G3022),G3022&lt;=2),1,0)+IF(AND(ISNUMBER(H3022),H3022&lt;=2),1,0)</f>
        <v>0</v>
      </c>
      <c r="J3022" s="2" t="str">
        <f aca="false">IF(I3022&gt;=6,"High",IF(I3022&gt;=3,"Medium","Low"))</f>
        <v>Low</v>
      </c>
    </row>
    <row r="3023" customFormat="false" ht="15" hidden="false" customHeight="true" outlineLevel="0" collapsed="false">
      <c r="A3023" s="2" t="n">
        <f aca="false">'Raw Data'!H3023</f>
        <v>3022</v>
      </c>
      <c r="B3023" s="2" t="n">
        <f aca="false">'Raw Data'!A3023</f>
        <v>27</v>
      </c>
      <c r="C3023" s="2" t="str">
        <f aca="false">'Raw Data'!D3023</f>
        <v>Research &amp; Development</v>
      </c>
      <c r="D3023" s="2" t="str">
        <f aca="false">'Raw Data'!K3023</f>
        <v>Manager</v>
      </c>
      <c r="E3023" s="2" t="n">
        <f aca="false">'Raw Data'!Q3023</f>
        <v>8</v>
      </c>
      <c r="F3023" s="2" t="n">
        <f aca="false">'Raw Data'!U3023</f>
        <v>7</v>
      </c>
      <c r="G3023" s="2" t="n">
        <f aca="false">'Raw Data'!W3023</f>
        <v>2</v>
      </c>
      <c r="H3023" s="2" t="n">
        <f aca="false">'Raw Data'!V3023</f>
        <v>2</v>
      </c>
      <c r="I3023" s="2" t="n">
        <f aca="false">IF(AND(ISNUMBER(B3023),B3023&lt;=25),2,0)+IF(AND(ISNUMBER(E3023),E3023&lt;=5),2,0)+IF(AND(ISNUMBER(F3023),F3023&lt;=1),2,0)+IF(AND(ISNUMBER(G3023),G3023&lt;=2),1,0)+IF(AND(ISNUMBER(H3023),H3023&lt;=2),1,0)</f>
        <v>2</v>
      </c>
      <c r="J3023" s="2" t="str">
        <f aca="false">IF(I3023&gt;=6,"High",IF(I3023&gt;=3,"Medium","Low"))</f>
        <v>Low</v>
      </c>
    </row>
    <row r="3024" customFormat="false" ht="15" hidden="false" customHeight="true" outlineLevel="0" collapsed="false">
      <c r="A3024" s="2" t="n">
        <f aca="false">'Raw Data'!H3024</f>
        <v>3023</v>
      </c>
      <c r="B3024" s="2" t="n">
        <f aca="false">'Raw Data'!A3024</f>
        <v>37</v>
      </c>
      <c r="C3024" s="2" t="str">
        <f aca="false">'Raw Data'!D3024</f>
        <v>Sales</v>
      </c>
      <c r="D3024" s="2" t="str">
        <f aca="false">'Raw Data'!K3024</f>
        <v>Healthcare Representative</v>
      </c>
      <c r="E3024" s="2" t="n">
        <f aca="false">'Raw Data'!Q3024</f>
        <v>8</v>
      </c>
      <c r="F3024" s="2" t="n">
        <f aca="false">'Raw Data'!U3024</f>
        <v>4</v>
      </c>
      <c r="G3024" s="2" t="n">
        <f aca="false">'Raw Data'!W3024</f>
        <v>4</v>
      </c>
      <c r="H3024" s="2" t="n">
        <f aca="false">'Raw Data'!V3024</f>
        <v>4</v>
      </c>
      <c r="I3024" s="2" t="n">
        <f aca="false">IF(AND(ISNUMBER(B3024),B3024&lt;=25),2,0)+IF(AND(ISNUMBER(E3024),E3024&lt;=5),2,0)+IF(AND(ISNUMBER(F3024),F3024&lt;=1),2,0)+IF(AND(ISNUMBER(G3024),G3024&lt;=2),1,0)+IF(AND(ISNUMBER(H3024),H3024&lt;=2),1,0)</f>
        <v>0</v>
      </c>
      <c r="J3024" s="2" t="str">
        <f aca="false">IF(I3024&gt;=6,"High",IF(I3024&gt;=3,"Medium","Low"))</f>
        <v>Low</v>
      </c>
    </row>
    <row r="3025" customFormat="false" ht="15" hidden="false" customHeight="true" outlineLevel="0" collapsed="false">
      <c r="A3025" s="2" t="n">
        <f aca="false">'Raw Data'!H3025</f>
        <v>3024</v>
      </c>
      <c r="B3025" s="2" t="n">
        <f aca="false">'Raw Data'!A3025</f>
        <v>38</v>
      </c>
      <c r="C3025" s="2" t="str">
        <f aca="false">'Raw Data'!D3025</f>
        <v>Research &amp; Development</v>
      </c>
      <c r="D3025" s="2" t="str">
        <f aca="false">'Raw Data'!K3025</f>
        <v>Laboratory Technician</v>
      </c>
      <c r="E3025" s="2" t="n">
        <f aca="false">'Raw Data'!Q3025</f>
        <v>12</v>
      </c>
      <c r="F3025" s="2" t="n">
        <f aca="false">'Raw Data'!U3025</f>
        <v>9</v>
      </c>
      <c r="G3025" s="2" t="n">
        <f aca="false">'Raw Data'!W3025</f>
        <v>4</v>
      </c>
      <c r="H3025" s="2" t="n">
        <f aca="false">'Raw Data'!V3025</f>
        <v>3</v>
      </c>
      <c r="I3025" s="2" t="n">
        <f aca="false">IF(AND(ISNUMBER(B3025),B3025&lt;=25),2,0)+IF(AND(ISNUMBER(E3025),E3025&lt;=5),2,0)+IF(AND(ISNUMBER(F3025),F3025&lt;=1),2,0)+IF(AND(ISNUMBER(G3025),G3025&lt;=2),1,0)+IF(AND(ISNUMBER(H3025),H3025&lt;=2),1,0)</f>
        <v>0</v>
      </c>
      <c r="J3025" s="2" t="str">
        <f aca="false">IF(I3025&gt;=6,"High",IF(I3025&gt;=3,"Medium","Low"))</f>
        <v>Low</v>
      </c>
    </row>
    <row r="3026" customFormat="false" ht="15" hidden="false" customHeight="true" outlineLevel="0" collapsed="false">
      <c r="A3026" s="2" t="n">
        <f aca="false">'Raw Data'!H3026</f>
        <v>3025</v>
      </c>
      <c r="B3026" s="2" t="n">
        <f aca="false">'Raw Data'!A3026</f>
        <v>31</v>
      </c>
      <c r="C3026" s="2" t="str">
        <f aca="false">'Raw Data'!D3026</f>
        <v>Research &amp; Development</v>
      </c>
      <c r="D3026" s="2" t="str">
        <f aca="false">'Raw Data'!K3026</f>
        <v>Manager</v>
      </c>
      <c r="E3026" s="2" t="n">
        <f aca="false">'Raw Data'!Q3026</f>
        <v>11</v>
      </c>
      <c r="F3026" s="2" t="n">
        <f aca="false">'Raw Data'!U3026</f>
        <v>10</v>
      </c>
      <c r="G3026" s="2" t="n">
        <f aca="false">'Raw Data'!W3026</f>
        <v>4</v>
      </c>
      <c r="H3026" s="2" t="n">
        <f aca="false">'Raw Data'!V3026</f>
        <v>3</v>
      </c>
      <c r="I3026" s="2" t="n">
        <f aca="false">IF(AND(ISNUMBER(B3026),B3026&lt;=25),2,0)+IF(AND(ISNUMBER(E3026),E3026&lt;=5),2,0)+IF(AND(ISNUMBER(F3026),F3026&lt;=1),2,0)+IF(AND(ISNUMBER(G3026),G3026&lt;=2),1,0)+IF(AND(ISNUMBER(H3026),H3026&lt;=2),1,0)</f>
        <v>0</v>
      </c>
      <c r="J3026" s="2" t="str">
        <f aca="false">IF(I3026&gt;=6,"High",IF(I3026&gt;=3,"Medium","Low"))</f>
        <v>Low</v>
      </c>
    </row>
    <row r="3027" customFormat="false" ht="15" hidden="false" customHeight="true" outlineLevel="0" collapsed="false">
      <c r="A3027" s="2" t="n">
        <f aca="false">'Raw Data'!H3027</f>
        <v>3026</v>
      </c>
      <c r="B3027" s="2" t="n">
        <f aca="false">'Raw Data'!A3027</f>
        <v>29</v>
      </c>
      <c r="C3027" s="2" t="str">
        <f aca="false">'Raw Data'!D3027</f>
        <v>Research &amp; Development</v>
      </c>
      <c r="D3027" s="2" t="str">
        <f aca="false">'Raw Data'!K3027</f>
        <v>Sales Executive</v>
      </c>
      <c r="E3027" s="2" t="n">
        <f aca="false">'Raw Data'!Q3027</f>
        <v>7</v>
      </c>
      <c r="F3027" s="2" t="n">
        <f aca="false">'Raw Data'!U3027</f>
        <v>7</v>
      </c>
      <c r="G3027" s="2" t="n">
        <f aca="false">'Raw Data'!W3027</f>
        <v>2</v>
      </c>
      <c r="H3027" s="2" t="n">
        <f aca="false">'Raw Data'!V3027</f>
        <v>4</v>
      </c>
      <c r="I3027" s="2" t="n">
        <f aca="false">IF(AND(ISNUMBER(B3027),B3027&lt;=25),2,0)+IF(AND(ISNUMBER(E3027),E3027&lt;=5),2,0)+IF(AND(ISNUMBER(F3027),F3027&lt;=1),2,0)+IF(AND(ISNUMBER(G3027),G3027&lt;=2),1,0)+IF(AND(ISNUMBER(H3027),H3027&lt;=2),1,0)</f>
        <v>1</v>
      </c>
      <c r="J3027" s="2" t="str">
        <f aca="false">IF(I3027&gt;=6,"High",IF(I3027&gt;=3,"Medium","Low"))</f>
        <v>Low</v>
      </c>
    </row>
    <row r="3028" customFormat="false" ht="15" hidden="false" customHeight="true" outlineLevel="0" collapsed="false">
      <c r="A3028" s="2" t="n">
        <f aca="false">'Raw Data'!H3028</f>
        <v>3027</v>
      </c>
      <c r="B3028" s="2" t="n">
        <f aca="false">'Raw Data'!A3028</f>
        <v>35</v>
      </c>
      <c r="C3028" s="2" t="str">
        <f aca="false">'Raw Data'!D3028</f>
        <v>Sales</v>
      </c>
      <c r="D3028" s="2" t="str">
        <f aca="false">'Raw Data'!K3028</f>
        <v>Manager</v>
      </c>
      <c r="E3028" s="2" t="n">
        <f aca="false">'Raw Data'!Q3028</f>
        <v>17</v>
      </c>
      <c r="F3028" s="2" t="n">
        <f aca="false">'Raw Data'!U3028</f>
        <v>13</v>
      </c>
      <c r="G3028" s="2" t="n">
        <f aca="false">'Raw Data'!W3028</f>
        <v>2</v>
      </c>
      <c r="H3028" s="2" t="n">
        <f aca="false">'Raw Data'!V3028</f>
        <v>3</v>
      </c>
      <c r="I3028" s="2" t="n">
        <f aca="false">IF(AND(ISNUMBER(B3028),B3028&lt;=25),2,0)+IF(AND(ISNUMBER(E3028),E3028&lt;=5),2,0)+IF(AND(ISNUMBER(F3028),F3028&lt;=1),2,0)+IF(AND(ISNUMBER(G3028),G3028&lt;=2),1,0)+IF(AND(ISNUMBER(H3028),H3028&lt;=2),1,0)</f>
        <v>1</v>
      </c>
      <c r="J3028" s="2" t="str">
        <f aca="false">IF(I3028&gt;=6,"High",IF(I3028&gt;=3,"Medium","Low"))</f>
        <v>Low</v>
      </c>
    </row>
    <row r="3029" customFormat="false" ht="15" hidden="false" customHeight="true" outlineLevel="0" collapsed="false">
      <c r="A3029" s="2" t="n">
        <f aca="false">'Raw Data'!H3029</f>
        <v>3028</v>
      </c>
      <c r="B3029" s="2" t="n">
        <f aca="false">'Raw Data'!A3029</f>
        <v>23</v>
      </c>
      <c r="C3029" s="2" t="str">
        <f aca="false">'Raw Data'!D3029</f>
        <v>Research &amp; Development</v>
      </c>
      <c r="D3029" s="2" t="str">
        <f aca="false">'Raw Data'!K3029</f>
        <v>Manufacturing Director</v>
      </c>
      <c r="E3029" s="2" t="n">
        <f aca="false">'Raw Data'!Q3029</f>
        <v>4</v>
      </c>
      <c r="F3029" s="2" t="n">
        <f aca="false">'Raw Data'!U3029</f>
        <v>2</v>
      </c>
      <c r="G3029" s="2" t="n">
        <f aca="false">'Raw Data'!W3029</f>
        <v>4</v>
      </c>
      <c r="H3029" s="2" t="n">
        <f aca="false">'Raw Data'!V3029</f>
        <v>3</v>
      </c>
      <c r="I3029" s="2" t="n">
        <f aca="false">IF(AND(ISNUMBER(B3029),B3029&lt;=25),2,0)+IF(AND(ISNUMBER(E3029),E3029&lt;=5),2,0)+IF(AND(ISNUMBER(F3029),F3029&lt;=1),2,0)+IF(AND(ISNUMBER(G3029),G3029&lt;=2),1,0)+IF(AND(ISNUMBER(H3029),H3029&lt;=2),1,0)</f>
        <v>4</v>
      </c>
      <c r="J3029" s="2" t="str">
        <f aca="false">IF(I3029&gt;=6,"High",IF(I3029&gt;=3,"Medium","Low"))</f>
        <v>Medium</v>
      </c>
    </row>
    <row r="3030" customFormat="false" ht="15" hidden="false" customHeight="true" outlineLevel="0" collapsed="false">
      <c r="A3030" s="2" t="n">
        <f aca="false">'Raw Data'!H3030</f>
        <v>3029</v>
      </c>
      <c r="B3030" s="2" t="n">
        <f aca="false">'Raw Data'!A3030</f>
        <v>41</v>
      </c>
      <c r="C3030" s="2" t="str">
        <f aca="false">'Raw Data'!D3030</f>
        <v>Research &amp; Development</v>
      </c>
      <c r="D3030" s="2" t="str">
        <f aca="false">'Raw Data'!K3030</f>
        <v>Laboratory Technician</v>
      </c>
      <c r="E3030" s="2" t="n">
        <f aca="false">'Raw Data'!Q3030</f>
        <v>8</v>
      </c>
      <c r="F3030" s="2" t="n">
        <f aca="false">'Raw Data'!U3030</f>
        <v>2</v>
      </c>
      <c r="G3030" s="2" t="n">
        <f aca="false">'Raw Data'!W3030</f>
        <v>2</v>
      </c>
      <c r="H3030" s="2" t="n">
        <f aca="false">'Raw Data'!V3030</f>
        <v>4</v>
      </c>
      <c r="I3030" s="2" t="n">
        <f aca="false">IF(AND(ISNUMBER(B3030),B3030&lt;=25),2,0)+IF(AND(ISNUMBER(E3030),E3030&lt;=5),2,0)+IF(AND(ISNUMBER(F3030),F3030&lt;=1),2,0)+IF(AND(ISNUMBER(G3030),G3030&lt;=2),1,0)+IF(AND(ISNUMBER(H3030),H3030&lt;=2),1,0)</f>
        <v>1</v>
      </c>
      <c r="J3030" s="2" t="str">
        <f aca="false">IF(I3030&gt;=6,"High",IF(I3030&gt;=3,"Medium","Low"))</f>
        <v>Low</v>
      </c>
    </row>
    <row r="3031" customFormat="false" ht="15" hidden="false" customHeight="true" outlineLevel="0" collapsed="false">
      <c r="A3031" s="2" t="n">
        <f aca="false">'Raw Data'!H3031</f>
        <v>3030</v>
      </c>
      <c r="B3031" s="2" t="n">
        <f aca="false">'Raw Data'!A3031</f>
        <v>47</v>
      </c>
      <c r="C3031" s="2" t="str">
        <f aca="false">'Raw Data'!D3031</f>
        <v>Sales</v>
      </c>
      <c r="D3031" s="2" t="str">
        <f aca="false">'Raw Data'!K3031</f>
        <v>Laboratory Technician</v>
      </c>
      <c r="E3031" s="2" t="n">
        <f aca="false">'Raw Data'!Q3031</f>
        <v>5</v>
      </c>
      <c r="F3031" s="2" t="n">
        <f aca="false">'Raw Data'!U3031</f>
        <v>0</v>
      </c>
      <c r="G3031" s="2" t="n">
        <f aca="false">'Raw Data'!W3031</f>
        <v>3</v>
      </c>
      <c r="H3031" s="2" t="n">
        <f aca="false">'Raw Data'!V3031</f>
        <v>2</v>
      </c>
      <c r="I3031" s="2" t="n">
        <f aca="false">IF(AND(ISNUMBER(B3031),B3031&lt;=25),2,0)+IF(AND(ISNUMBER(E3031),E3031&lt;=5),2,0)+IF(AND(ISNUMBER(F3031),F3031&lt;=1),2,0)+IF(AND(ISNUMBER(G3031),G3031&lt;=2),1,0)+IF(AND(ISNUMBER(H3031),H3031&lt;=2),1,0)</f>
        <v>5</v>
      </c>
      <c r="J3031" s="2" t="str">
        <f aca="false">IF(I3031&gt;=6,"High",IF(I3031&gt;=3,"Medium","Low"))</f>
        <v>Medium</v>
      </c>
    </row>
    <row r="3032" customFormat="false" ht="15" hidden="false" customHeight="true" outlineLevel="0" collapsed="false">
      <c r="A3032" s="2" t="n">
        <f aca="false">'Raw Data'!H3032</f>
        <v>3031</v>
      </c>
      <c r="B3032" s="2" t="n">
        <f aca="false">'Raw Data'!A3032</f>
        <v>42</v>
      </c>
      <c r="C3032" s="2" t="str">
        <f aca="false">'Raw Data'!D3032</f>
        <v>Research &amp; Development</v>
      </c>
      <c r="D3032" s="2" t="str">
        <f aca="false">'Raw Data'!K3032</f>
        <v>Manager</v>
      </c>
      <c r="E3032" s="2" t="n">
        <f aca="false">'Raw Data'!Q3032</f>
        <v>16</v>
      </c>
      <c r="F3032" s="2" t="n">
        <f aca="false">'Raw Data'!U3032</f>
        <v>0</v>
      </c>
      <c r="G3032" s="2" t="n">
        <f aca="false">'Raw Data'!W3032</f>
        <v>4</v>
      </c>
      <c r="H3032" s="2" t="n">
        <f aca="false">'Raw Data'!V3032</f>
        <v>1</v>
      </c>
      <c r="I3032" s="2" t="n">
        <f aca="false">IF(AND(ISNUMBER(B3032),B3032&lt;=25),2,0)+IF(AND(ISNUMBER(E3032),E3032&lt;=5),2,0)+IF(AND(ISNUMBER(F3032),F3032&lt;=1),2,0)+IF(AND(ISNUMBER(G3032),G3032&lt;=2),1,0)+IF(AND(ISNUMBER(H3032),H3032&lt;=2),1,0)</f>
        <v>3</v>
      </c>
      <c r="J3032" s="2" t="str">
        <f aca="false">IF(I3032&gt;=6,"High",IF(I3032&gt;=3,"Medium","Low"))</f>
        <v>Medium</v>
      </c>
    </row>
    <row r="3033" customFormat="false" ht="15" hidden="false" customHeight="true" outlineLevel="0" collapsed="false">
      <c r="A3033" s="2" t="n">
        <f aca="false">'Raw Data'!H3033</f>
        <v>3032</v>
      </c>
      <c r="B3033" s="2" t="n">
        <f aca="false">'Raw Data'!A3033</f>
        <v>29</v>
      </c>
      <c r="C3033" s="2" t="str">
        <f aca="false">'Raw Data'!D3033</f>
        <v>Sales</v>
      </c>
      <c r="D3033" s="2" t="str">
        <f aca="false">'Raw Data'!K3033</f>
        <v>Human Resources</v>
      </c>
      <c r="E3033" s="2" t="n">
        <f aca="false">'Raw Data'!Q3033</f>
        <v>4</v>
      </c>
      <c r="F3033" s="2" t="n">
        <f aca="false">'Raw Data'!U3033</f>
        <v>2</v>
      </c>
      <c r="G3033" s="2" t="n">
        <f aca="false">'Raw Data'!W3033</f>
        <v>3</v>
      </c>
      <c r="H3033" s="2" t="n">
        <f aca="false">'Raw Data'!V3033</f>
        <v>4</v>
      </c>
      <c r="I3033" s="2" t="n">
        <f aca="false">IF(AND(ISNUMBER(B3033),B3033&lt;=25),2,0)+IF(AND(ISNUMBER(E3033),E3033&lt;=5),2,0)+IF(AND(ISNUMBER(F3033),F3033&lt;=1),2,0)+IF(AND(ISNUMBER(G3033),G3033&lt;=2),1,0)+IF(AND(ISNUMBER(H3033),H3033&lt;=2),1,0)</f>
        <v>2</v>
      </c>
      <c r="J3033" s="2" t="str">
        <f aca="false">IF(I3033&gt;=6,"High",IF(I3033&gt;=3,"Medium","Low"))</f>
        <v>Low</v>
      </c>
    </row>
    <row r="3034" customFormat="false" ht="15" hidden="false" customHeight="true" outlineLevel="0" collapsed="false">
      <c r="A3034" s="2" t="n">
        <f aca="false">'Raw Data'!H3034</f>
        <v>3033</v>
      </c>
      <c r="B3034" s="2" t="n">
        <f aca="false">'Raw Data'!A3034</f>
        <v>42</v>
      </c>
      <c r="C3034" s="2" t="str">
        <f aca="false">'Raw Data'!D3034</f>
        <v>Sales</v>
      </c>
      <c r="D3034" s="2" t="str">
        <f aca="false">'Raw Data'!K3034</f>
        <v>Research Scientist</v>
      </c>
      <c r="E3034" s="2" t="n">
        <f aca="false">'Raw Data'!Q3034</f>
        <v>4</v>
      </c>
      <c r="F3034" s="2" t="n">
        <f aca="false">'Raw Data'!U3034</f>
        <v>0</v>
      </c>
      <c r="G3034" s="2" t="n">
        <f aca="false">'Raw Data'!W3034</f>
        <v>3</v>
      </c>
      <c r="H3034" s="2" t="n">
        <f aca="false">'Raw Data'!V3034</f>
        <v>3</v>
      </c>
      <c r="I3034" s="2" t="n">
        <f aca="false">IF(AND(ISNUMBER(B3034),B3034&lt;=25),2,0)+IF(AND(ISNUMBER(E3034),E3034&lt;=5),2,0)+IF(AND(ISNUMBER(F3034),F3034&lt;=1),2,0)+IF(AND(ISNUMBER(G3034),G3034&lt;=2),1,0)+IF(AND(ISNUMBER(H3034),H3034&lt;=2),1,0)</f>
        <v>4</v>
      </c>
      <c r="J3034" s="2" t="str">
        <f aca="false">IF(I3034&gt;=6,"High",IF(I3034&gt;=3,"Medium","Low"))</f>
        <v>Medium</v>
      </c>
    </row>
    <row r="3035" customFormat="false" ht="15" hidden="false" customHeight="true" outlineLevel="0" collapsed="false">
      <c r="A3035" s="2" t="n">
        <f aca="false">'Raw Data'!H3035</f>
        <v>3034</v>
      </c>
      <c r="B3035" s="2" t="n">
        <f aca="false">'Raw Data'!A3035</f>
        <v>32</v>
      </c>
      <c r="C3035" s="2" t="str">
        <f aca="false">'Raw Data'!D3035</f>
        <v>Research &amp; Development</v>
      </c>
      <c r="D3035" s="2" t="str">
        <f aca="false">'Raw Data'!K3035</f>
        <v>Research Scientist</v>
      </c>
      <c r="E3035" s="2" t="n">
        <f aca="false">'Raw Data'!Q3035</f>
        <v>8</v>
      </c>
      <c r="F3035" s="2" t="n">
        <f aca="false">'Raw Data'!U3035</f>
        <v>7</v>
      </c>
      <c r="G3035" s="2" t="n">
        <f aca="false">'Raw Data'!W3035</f>
        <v>2</v>
      </c>
      <c r="H3035" s="2" t="n">
        <f aca="false">'Raw Data'!V3035</f>
        <v>3</v>
      </c>
      <c r="I3035" s="2" t="n">
        <f aca="false">IF(AND(ISNUMBER(B3035),B3035&lt;=25),2,0)+IF(AND(ISNUMBER(E3035),E3035&lt;=5),2,0)+IF(AND(ISNUMBER(F3035),F3035&lt;=1),2,0)+IF(AND(ISNUMBER(G3035),G3035&lt;=2),1,0)+IF(AND(ISNUMBER(H3035),H3035&lt;=2),1,0)</f>
        <v>1</v>
      </c>
      <c r="J3035" s="2" t="str">
        <f aca="false">IF(I3035&gt;=6,"High",IF(I3035&gt;=3,"Medium","Low"))</f>
        <v>Low</v>
      </c>
    </row>
    <row r="3036" customFormat="false" ht="15" hidden="false" customHeight="true" outlineLevel="0" collapsed="false">
      <c r="A3036" s="2" t="n">
        <f aca="false">'Raw Data'!H3036</f>
        <v>3035</v>
      </c>
      <c r="B3036" s="2" t="n">
        <f aca="false">'Raw Data'!A3036</f>
        <v>48</v>
      </c>
      <c r="C3036" s="2" t="str">
        <f aca="false">'Raw Data'!D3036</f>
        <v>Sales</v>
      </c>
      <c r="D3036" s="2" t="str">
        <f aca="false">'Raw Data'!K3036</f>
        <v>Sales Executive</v>
      </c>
      <c r="E3036" s="2" t="n">
        <f aca="false">'Raw Data'!Q3036</f>
        <v>15</v>
      </c>
      <c r="F3036" s="2" t="n">
        <f aca="false">'Raw Data'!U3036</f>
        <v>0</v>
      </c>
      <c r="G3036" s="2" t="n">
        <f aca="false">'Raw Data'!W3036</f>
        <v>3</v>
      </c>
      <c r="H3036" s="2" t="n">
        <f aca="false">'Raw Data'!V3036</f>
        <v>1</v>
      </c>
      <c r="I3036" s="2" t="n">
        <f aca="false">IF(AND(ISNUMBER(B3036),B3036&lt;=25),2,0)+IF(AND(ISNUMBER(E3036),E3036&lt;=5),2,0)+IF(AND(ISNUMBER(F3036),F3036&lt;=1),2,0)+IF(AND(ISNUMBER(G3036),G3036&lt;=2),1,0)+IF(AND(ISNUMBER(H3036),H3036&lt;=2),1,0)</f>
        <v>3</v>
      </c>
      <c r="J3036" s="2" t="str">
        <f aca="false">IF(I3036&gt;=6,"High",IF(I3036&gt;=3,"Medium","Low"))</f>
        <v>Medium</v>
      </c>
    </row>
    <row r="3037" customFormat="false" ht="15" hidden="false" customHeight="true" outlineLevel="0" collapsed="false">
      <c r="A3037" s="2" t="n">
        <f aca="false">'Raw Data'!H3037</f>
        <v>3036</v>
      </c>
      <c r="B3037" s="2" t="n">
        <f aca="false">'Raw Data'!A3037</f>
        <v>37</v>
      </c>
      <c r="C3037" s="2" t="str">
        <f aca="false">'Raw Data'!D3037</f>
        <v>Research &amp; Development</v>
      </c>
      <c r="D3037" s="2" t="str">
        <f aca="false">'Raw Data'!K3037</f>
        <v>Manufacturing Director</v>
      </c>
      <c r="E3037" s="2" t="n">
        <f aca="false">'Raw Data'!Q3037</f>
        <v>13</v>
      </c>
      <c r="F3037" s="2" t="n">
        <f aca="false">'Raw Data'!U3037</f>
        <v>7</v>
      </c>
      <c r="G3037" s="2" t="n">
        <f aca="false">'Raw Data'!W3037</f>
        <v>1</v>
      </c>
      <c r="H3037" s="2" t="n">
        <f aca="false">'Raw Data'!V3037</f>
        <v>3</v>
      </c>
      <c r="I3037" s="2" t="n">
        <f aca="false">IF(AND(ISNUMBER(B3037),B3037&lt;=25),2,0)+IF(AND(ISNUMBER(E3037),E3037&lt;=5),2,0)+IF(AND(ISNUMBER(F3037),F3037&lt;=1),2,0)+IF(AND(ISNUMBER(G3037),G3037&lt;=2),1,0)+IF(AND(ISNUMBER(H3037),H3037&lt;=2),1,0)</f>
        <v>1</v>
      </c>
      <c r="J3037" s="2" t="str">
        <f aca="false">IF(I3037&gt;=6,"High",IF(I3037&gt;=3,"Medium","Low"))</f>
        <v>Low</v>
      </c>
    </row>
    <row r="3038" customFormat="false" ht="15" hidden="false" customHeight="true" outlineLevel="0" collapsed="false">
      <c r="A3038" s="2" t="n">
        <f aca="false">'Raw Data'!H3038</f>
        <v>3037</v>
      </c>
      <c r="B3038" s="2" t="n">
        <f aca="false">'Raw Data'!A3038</f>
        <v>30</v>
      </c>
      <c r="C3038" s="2" t="str">
        <f aca="false">'Raw Data'!D3038</f>
        <v>Sales</v>
      </c>
      <c r="D3038" s="2" t="str">
        <f aca="false">'Raw Data'!K3038</f>
        <v>Healthcare Representative</v>
      </c>
      <c r="E3038" s="2" t="n">
        <f aca="false">'Raw Data'!Q3038</f>
        <v>4</v>
      </c>
      <c r="F3038" s="2" t="n">
        <f aca="false">'Raw Data'!U3038</f>
        <v>2</v>
      </c>
      <c r="G3038" s="2" t="n">
        <f aca="false">'Raw Data'!W3038</f>
        <v>3</v>
      </c>
      <c r="H3038" s="2" t="n">
        <f aca="false">'Raw Data'!V3038</f>
        <v>4</v>
      </c>
      <c r="I3038" s="2" t="n">
        <f aca="false">IF(AND(ISNUMBER(B3038),B3038&lt;=25),2,0)+IF(AND(ISNUMBER(E3038),E3038&lt;=5),2,0)+IF(AND(ISNUMBER(F3038),F3038&lt;=1),2,0)+IF(AND(ISNUMBER(G3038),G3038&lt;=2),1,0)+IF(AND(ISNUMBER(H3038),H3038&lt;=2),1,0)</f>
        <v>2</v>
      </c>
      <c r="J3038" s="2" t="str">
        <f aca="false">IF(I3038&gt;=6,"High",IF(I3038&gt;=3,"Medium","Low"))</f>
        <v>Low</v>
      </c>
    </row>
    <row r="3039" customFormat="false" ht="15" hidden="false" customHeight="true" outlineLevel="0" collapsed="false">
      <c r="A3039" s="2" t="n">
        <f aca="false">'Raw Data'!H3039</f>
        <v>3038</v>
      </c>
      <c r="B3039" s="2" t="n">
        <f aca="false">'Raw Data'!A3039</f>
        <v>26</v>
      </c>
      <c r="C3039" s="2" t="str">
        <f aca="false">'Raw Data'!D3039</f>
        <v>Sales</v>
      </c>
      <c r="D3039" s="2" t="str">
        <f aca="false">'Raw Data'!K3039</f>
        <v>Laboratory Technician</v>
      </c>
      <c r="E3039" s="2" t="n">
        <f aca="false">'Raw Data'!Q3039</f>
        <v>8</v>
      </c>
      <c r="F3039" s="2" t="n">
        <f aca="false">'Raw Data'!U3039</f>
        <v>7</v>
      </c>
      <c r="G3039" s="2" t="n">
        <f aca="false">'Raw Data'!W3039</f>
        <v>3</v>
      </c>
      <c r="H3039" s="2" t="n">
        <f aca="false">'Raw Data'!V3039</f>
        <v>3</v>
      </c>
      <c r="I3039" s="2" t="n">
        <f aca="false">IF(AND(ISNUMBER(B3039),B3039&lt;=25),2,0)+IF(AND(ISNUMBER(E3039),E3039&lt;=5),2,0)+IF(AND(ISNUMBER(F3039),F3039&lt;=1),2,0)+IF(AND(ISNUMBER(G3039),G3039&lt;=2),1,0)+IF(AND(ISNUMBER(H3039),H3039&lt;=2),1,0)</f>
        <v>0</v>
      </c>
      <c r="J3039" s="2" t="str">
        <f aca="false">IF(I3039&gt;=6,"High",IF(I3039&gt;=3,"Medium","Low"))</f>
        <v>Low</v>
      </c>
    </row>
    <row r="3040" customFormat="false" ht="15" hidden="false" customHeight="true" outlineLevel="0" collapsed="false">
      <c r="A3040" s="2" t="n">
        <f aca="false">'Raw Data'!H3040</f>
        <v>3039</v>
      </c>
      <c r="B3040" s="2" t="n">
        <f aca="false">'Raw Data'!A3040</f>
        <v>42</v>
      </c>
      <c r="C3040" s="2" t="str">
        <f aca="false">'Raw Data'!D3040</f>
        <v>Sales</v>
      </c>
      <c r="D3040" s="2" t="str">
        <f aca="false">'Raw Data'!K3040</f>
        <v>Laboratory Technician</v>
      </c>
      <c r="E3040" s="2" t="n">
        <f aca="false">'Raw Data'!Q3040</f>
        <v>14</v>
      </c>
      <c r="F3040" s="2" t="n">
        <f aca="false">'Raw Data'!U3040</f>
        <v>0</v>
      </c>
      <c r="G3040" s="2" t="n">
        <f aca="false">'Raw Data'!W3040</f>
        <v>4</v>
      </c>
      <c r="H3040" s="2" t="n">
        <f aca="false">'Raw Data'!V3040</f>
        <v>1</v>
      </c>
      <c r="I3040" s="2" t="n">
        <f aca="false">IF(AND(ISNUMBER(B3040),B3040&lt;=25),2,0)+IF(AND(ISNUMBER(E3040),E3040&lt;=5),2,0)+IF(AND(ISNUMBER(F3040),F3040&lt;=1),2,0)+IF(AND(ISNUMBER(G3040),G3040&lt;=2),1,0)+IF(AND(ISNUMBER(H3040),H3040&lt;=2),1,0)</f>
        <v>3</v>
      </c>
      <c r="J3040" s="2" t="str">
        <f aca="false">IF(I3040&gt;=6,"High",IF(I3040&gt;=3,"Medium","Low"))</f>
        <v>Medium</v>
      </c>
    </row>
    <row r="3041" customFormat="false" ht="15" hidden="false" customHeight="true" outlineLevel="0" collapsed="false">
      <c r="A3041" s="2" t="n">
        <f aca="false">'Raw Data'!H3041</f>
        <v>3040</v>
      </c>
      <c r="B3041" s="2" t="n">
        <f aca="false">'Raw Data'!A3041</f>
        <v>21</v>
      </c>
      <c r="C3041" s="2" t="str">
        <f aca="false">'Raw Data'!D3041</f>
        <v>Research &amp; Development</v>
      </c>
      <c r="D3041" s="2" t="str">
        <f aca="false">'Raw Data'!K3041</f>
        <v>Manufacturing Director</v>
      </c>
      <c r="E3041" s="2" t="n">
        <f aca="false">'Raw Data'!Q3041</f>
        <v>3</v>
      </c>
      <c r="F3041" s="2" t="n">
        <f aca="false">'Raw Data'!U3041</f>
        <v>2</v>
      </c>
      <c r="G3041" s="2" t="n">
        <f aca="false">'Raw Data'!W3041</f>
        <v>2</v>
      </c>
      <c r="H3041" s="2" t="n">
        <f aca="false">'Raw Data'!V3041</f>
        <v>1</v>
      </c>
      <c r="I3041" s="2" t="n">
        <f aca="false">IF(AND(ISNUMBER(B3041),B3041&lt;=25),2,0)+IF(AND(ISNUMBER(E3041),E3041&lt;=5),2,0)+IF(AND(ISNUMBER(F3041),F3041&lt;=1),2,0)+IF(AND(ISNUMBER(G3041),G3041&lt;=2),1,0)+IF(AND(ISNUMBER(H3041),H3041&lt;=2),1,0)</f>
        <v>6</v>
      </c>
      <c r="J3041" s="2" t="str">
        <f aca="false">IF(I3041&gt;=6,"High",IF(I3041&gt;=3,"Medium","Low"))</f>
        <v>High</v>
      </c>
    </row>
    <row r="3042" customFormat="false" ht="15" hidden="false" customHeight="true" outlineLevel="0" collapsed="false">
      <c r="A3042" s="2" t="n">
        <f aca="false">'Raw Data'!H3042</f>
        <v>3041</v>
      </c>
      <c r="B3042" s="2" t="n">
        <f aca="false">'Raw Data'!A3042</f>
        <v>36</v>
      </c>
      <c r="C3042" s="2" t="str">
        <f aca="false">'Raw Data'!D3042</f>
        <v>Human Resources</v>
      </c>
      <c r="D3042" s="2" t="str">
        <f aca="false">'Raw Data'!K3042</f>
        <v>Laboratory Technician</v>
      </c>
      <c r="E3042" s="2" t="n">
        <f aca="false">'Raw Data'!Q3042</f>
        <v>7</v>
      </c>
      <c r="F3042" s="2" t="n">
        <f aca="false">'Raw Data'!U3042</f>
        <v>0</v>
      </c>
      <c r="G3042" s="2" t="n">
        <f aca="false">'Raw Data'!W3042</f>
        <v>4</v>
      </c>
      <c r="H3042" s="2" t="n">
        <f aca="false">'Raw Data'!V3042</f>
        <v>4</v>
      </c>
      <c r="I3042" s="2" t="n">
        <f aca="false">IF(AND(ISNUMBER(B3042),B3042&lt;=25),2,0)+IF(AND(ISNUMBER(E3042),E3042&lt;=5),2,0)+IF(AND(ISNUMBER(F3042),F3042&lt;=1),2,0)+IF(AND(ISNUMBER(G3042),G3042&lt;=2),1,0)+IF(AND(ISNUMBER(H3042),H3042&lt;=2),1,0)</f>
        <v>2</v>
      </c>
      <c r="J3042" s="2" t="str">
        <f aca="false">IF(I3042&gt;=6,"High",IF(I3042&gt;=3,"Medium","Low"))</f>
        <v>Low</v>
      </c>
    </row>
    <row r="3043" customFormat="false" ht="15" hidden="false" customHeight="true" outlineLevel="0" collapsed="false">
      <c r="A3043" s="2" t="n">
        <f aca="false">'Raw Data'!H3043</f>
        <v>3042</v>
      </c>
      <c r="B3043" s="2" t="n">
        <f aca="false">'Raw Data'!A3043</f>
        <v>36</v>
      </c>
      <c r="C3043" s="2" t="str">
        <f aca="false">'Raw Data'!D3043</f>
        <v>Research &amp; Development</v>
      </c>
      <c r="D3043" s="2" t="str">
        <f aca="false">'Raw Data'!K3043</f>
        <v>Research Scientist</v>
      </c>
      <c r="E3043" s="2" t="n">
        <f aca="false">'Raw Data'!Q3043</f>
        <v>16</v>
      </c>
      <c r="F3043" s="2" t="n">
        <f aca="false">'Raw Data'!U3043</f>
        <v>12</v>
      </c>
      <c r="G3043" s="2" t="n">
        <f aca="false">'Raw Data'!W3043</f>
        <v>4</v>
      </c>
      <c r="H3043" s="2" t="n">
        <f aca="false">'Raw Data'!V3043</f>
        <v>1</v>
      </c>
      <c r="I3043" s="2" t="n">
        <f aca="false">IF(AND(ISNUMBER(B3043),B3043&lt;=25),2,0)+IF(AND(ISNUMBER(E3043),E3043&lt;=5),2,0)+IF(AND(ISNUMBER(F3043),F3043&lt;=1),2,0)+IF(AND(ISNUMBER(G3043),G3043&lt;=2),1,0)+IF(AND(ISNUMBER(H3043),H3043&lt;=2),1,0)</f>
        <v>1</v>
      </c>
      <c r="J3043" s="2" t="str">
        <f aca="false">IF(I3043&gt;=6,"High",IF(I3043&gt;=3,"Medium","Low"))</f>
        <v>Low</v>
      </c>
    </row>
    <row r="3044" customFormat="false" ht="15" hidden="false" customHeight="true" outlineLevel="0" collapsed="false">
      <c r="A3044" s="2" t="n">
        <f aca="false">'Raw Data'!H3044</f>
        <v>3043</v>
      </c>
      <c r="B3044" s="2" t="n">
        <f aca="false">'Raw Data'!A3044</f>
        <v>57</v>
      </c>
      <c r="C3044" s="2" t="str">
        <f aca="false">'Raw Data'!D3044</f>
        <v>Research &amp; Development</v>
      </c>
      <c r="D3044" s="2" t="str">
        <f aca="false">'Raw Data'!K3044</f>
        <v>Research Scientist</v>
      </c>
      <c r="E3044" s="2" t="n">
        <f aca="false">'Raw Data'!Q3044</f>
        <v>15</v>
      </c>
      <c r="F3044" s="2" t="n">
        <f aca="false">'Raw Data'!U3044</f>
        <v>2</v>
      </c>
      <c r="G3044" s="2" t="n">
        <f aca="false">'Raw Data'!W3044</f>
        <v>3</v>
      </c>
      <c r="H3044" s="2" t="n">
        <f aca="false">'Raw Data'!V3044</f>
        <v>4</v>
      </c>
      <c r="I3044" s="2" t="n">
        <f aca="false">IF(AND(ISNUMBER(B3044),B3044&lt;=25),2,0)+IF(AND(ISNUMBER(E3044),E3044&lt;=5),2,0)+IF(AND(ISNUMBER(F3044),F3044&lt;=1),2,0)+IF(AND(ISNUMBER(G3044),G3044&lt;=2),1,0)+IF(AND(ISNUMBER(H3044),H3044&lt;=2),1,0)</f>
        <v>0</v>
      </c>
      <c r="J3044" s="2" t="str">
        <f aca="false">IF(I3044&gt;=6,"High",IF(I3044&gt;=3,"Medium","Low"))</f>
        <v>Low</v>
      </c>
    </row>
    <row r="3045" customFormat="false" ht="15" hidden="false" customHeight="true" outlineLevel="0" collapsed="false">
      <c r="A3045" s="2" t="n">
        <f aca="false">'Raw Data'!H3045</f>
        <v>3044</v>
      </c>
      <c r="B3045" s="2" t="n">
        <f aca="false">'Raw Data'!A3045</f>
        <v>40</v>
      </c>
      <c r="C3045" s="2" t="str">
        <f aca="false">'Raw Data'!D3045</f>
        <v>Research &amp; Development</v>
      </c>
      <c r="D3045" s="2" t="str">
        <f aca="false">'Raw Data'!K3045</f>
        <v>Sales Executive</v>
      </c>
      <c r="E3045" s="2" t="n">
        <f aca="false">'Raw Data'!Q3045</f>
        <v>10</v>
      </c>
      <c r="F3045" s="2" t="n">
        <f aca="false">'Raw Data'!U3045</f>
        <v>7</v>
      </c>
      <c r="G3045" s="2" t="n">
        <f aca="false">'Raw Data'!W3045</f>
        <v>3</v>
      </c>
      <c r="H3045" s="2" t="n">
        <f aca="false">'Raw Data'!V3045</f>
        <v>4</v>
      </c>
      <c r="I3045" s="2" t="n">
        <f aca="false">IF(AND(ISNUMBER(B3045),B3045&lt;=25),2,0)+IF(AND(ISNUMBER(E3045),E3045&lt;=5),2,0)+IF(AND(ISNUMBER(F3045),F3045&lt;=1),2,0)+IF(AND(ISNUMBER(G3045),G3045&lt;=2),1,0)+IF(AND(ISNUMBER(H3045),H3045&lt;=2),1,0)</f>
        <v>0</v>
      </c>
      <c r="J3045" s="2" t="str">
        <f aca="false">IF(I3045&gt;=6,"High",IF(I3045&gt;=3,"Medium","Low"))</f>
        <v>Low</v>
      </c>
    </row>
    <row r="3046" customFormat="false" ht="15" hidden="false" customHeight="true" outlineLevel="0" collapsed="false">
      <c r="A3046" s="2" t="n">
        <f aca="false">'Raw Data'!H3046</f>
        <v>3045</v>
      </c>
      <c r="B3046" s="2" t="n">
        <f aca="false">'Raw Data'!A3046</f>
        <v>21</v>
      </c>
      <c r="C3046" s="2" t="str">
        <f aca="false">'Raw Data'!D3046</f>
        <v>Research &amp; Development</v>
      </c>
      <c r="D3046" s="2" t="str">
        <f aca="false">'Raw Data'!K3046</f>
        <v>Manager</v>
      </c>
      <c r="E3046" s="2" t="n">
        <f aca="false">'Raw Data'!Q3046</f>
        <v>3</v>
      </c>
      <c r="F3046" s="2" t="n">
        <f aca="false">'Raw Data'!U3046</f>
        <v>2</v>
      </c>
      <c r="G3046" s="2" t="n">
        <f aca="false">'Raw Data'!W3046</f>
        <v>4</v>
      </c>
      <c r="H3046" s="2" t="n">
        <f aca="false">'Raw Data'!V3046</f>
        <v>1</v>
      </c>
      <c r="I3046" s="2" t="n">
        <f aca="false">IF(AND(ISNUMBER(B3046),B3046&lt;=25),2,0)+IF(AND(ISNUMBER(E3046),E3046&lt;=5),2,0)+IF(AND(ISNUMBER(F3046),F3046&lt;=1),2,0)+IF(AND(ISNUMBER(G3046),G3046&lt;=2),1,0)+IF(AND(ISNUMBER(H3046),H3046&lt;=2),1,0)</f>
        <v>5</v>
      </c>
      <c r="J3046" s="2" t="str">
        <f aca="false">IF(I3046&gt;=6,"High",IF(I3046&gt;=3,"Medium","Low"))</f>
        <v>Medium</v>
      </c>
    </row>
    <row r="3047" customFormat="false" ht="15" hidden="false" customHeight="true" outlineLevel="0" collapsed="false">
      <c r="A3047" s="2" t="n">
        <f aca="false">'Raw Data'!H3047</f>
        <v>3046</v>
      </c>
      <c r="B3047" s="2" t="n">
        <f aca="false">'Raw Data'!A3047</f>
        <v>33</v>
      </c>
      <c r="C3047" s="2" t="str">
        <f aca="false">'Raw Data'!D3047</f>
        <v>Human Resources</v>
      </c>
      <c r="D3047" s="2" t="str">
        <f aca="false">'Raw Data'!K3047</f>
        <v>Manager</v>
      </c>
      <c r="E3047" s="2" t="n">
        <f aca="false">'Raw Data'!Q3047</f>
        <v>1</v>
      </c>
      <c r="F3047" s="2" t="n">
        <f aca="false">'Raw Data'!U3047</f>
        <v>0</v>
      </c>
      <c r="G3047" s="2" t="n">
        <f aca="false">'Raw Data'!W3047</f>
        <v>3</v>
      </c>
      <c r="H3047" s="2" t="n">
        <f aca="false">'Raw Data'!V3047</f>
        <v>4</v>
      </c>
      <c r="I3047" s="2" t="n">
        <f aca="false">IF(AND(ISNUMBER(B3047),B3047&lt;=25),2,0)+IF(AND(ISNUMBER(E3047),E3047&lt;=5),2,0)+IF(AND(ISNUMBER(F3047),F3047&lt;=1),2,0)+IF(AND(ISNUMBER(G3047),G3047&lt;=2),1,0)+IF(AND(ISNUMBER(H3047),H3047&lt;=2),1,0)</f>
        <v>4</v>
      </c>
      <c r="J3047" s="2" t="str">
        <f aca="false">IF(I3047&gt;=6,"High",IF(I3047&gt;=3,"Medium","Low"))</f>
        <v>Medium</v>
      </c>
    </row>
    <row r="3048" customFormat="false" ht="15" hidden="false" customHeight="true" outlineLevel="0" collapsed="false">
      <c r="A3048" s="2" t="n">
        <f aca="false">'Raw Data'!H3048</f>
        <v>3047</v>
      </c>
      <c r="B3048" s="2" t="n">
        <f aca="false">'Raw Data'!A3048</f>
        <v>37</v>
      </c>
      <c r="C3048" s="2" t="str">
        <f aca="false">'Raw Data'!D3048</f>
        <v>Research &amp; Development</v>
      </c>
      <c r="D3048" s="2" t="str">
        <f aca="false">'Raw Data'!K3048</f>
        <v>Research Scientist</v>
      </c>
      <c r="E3048" s="2" t="n">
        <f aca="false">'Raw Data'!Q3048</f>
        <v>17</v>
      </c>
      <c r="F3048" s="2" t="n">
        <f aca="false">'Raw Data'!U3048</f>
        <v>3</v>
      </c>
      <c r="G3048" s="2" t="n">
        <f aca="false">'Raw Data'!W3048</f>
        <v>1</v>
      </c>
      <c r="H3048" s="2" t="n">
        <f aca="false">'Raw Data'!V3048</f>
        <v>3</v>
      </c>
      <c r="I3048" s="2" t="n">
        <f aca="false">IF(AND(ISNUMBER(B3048),B3048&lt;=25),2,0)+IF(AND(ISNUMBER(E3048),E3048&lt;=5),2,0)+IF(AND(ISNUMBER(F3048),F3048&lt;=1),2,0)+IF(AND(ISNUMBER(G3048),G3048&lt;=2),1,0)+IF(AND(ISNUMBER(H3048),H3048&lt;=2),1,0)</f>
        <v>1</v>
      </c>
      <c r="J3048" s="2" t="str">
        <f aca="false">IF(I3048&gt;=6,"High",IF(I3048&gt;=3,"Medium","Low"))</f>
        <v>Low</v>
      </c>
    </row>
    <row r="3049" customFormat="false" ht="15" hidden="false" customHeight="true" outlineLevel="0" collapsed="false">
      <c r="A3049" s="2" t="n">
        <f aca="false">'Raw Data'!H3049</f>
        <v>3048</v>
      </c>
      <c r="B3049" s="2" t="n">
        <f aca="false">'Raw Data'!A3049</f>
        <v>46</v>
      </c>
      <c r="C3049" s="2" t="str">
        <f aca="false">'Raw Data'!D3049</f>
        <v>Sales</v>
      </c>
      <c r="D3049" s="2" t="str">
        <f aca="false">'Raw Data'!K3049</f>
        <v>Laboratory Technician</v>
      </c>
      <c r="E3049" s="2" t="n">
        <f aca="false">'Raw Data'!Q3049</f>
        <v>7</v>
      </c>
      <c r="F3049" s="2" t="n">
        <f aca="false">'Raw Data'!U3049</f>
        <v>0</v>
      </c>
      <c r="G3049" s="2" t="n">
        <f aca="false">'Raw Data'!W3049</f>
        <v>3</v>
      </c>
      <c r="H3049" s="2" t="n">
        <f aca="false">'Raw Data'!V3049</f>
        <v>3</v>
      </c>
      <c r="I3049" s="2" t="n">
        <f aca="false">IF(AND(ISNUMBER(B3049),B3049&lt;=25),2,0)+IF(AND(ISNUMBER(E3049),E3049&lt;=5),2,0)+IF(AND(ISNUMBER(F3049),F3049&lt;=1),2,0)+IF(AND(ISNUMBER(G3049),G3049&lt;=2),1,0)+IF(AND(ISNUMBER(H3049),H3049&lt;=2),1,0)</f>
        <v>2</v>
      </c>
      <c r="J3049" s="2" t="str">
        <f aca="false">IF(I3049&gt;=6,"High",IF(I3049&gt;=3,"Medium","Low"))</f>
        <v>Low</v>
      </c>
    </row>
    <row r="3050" customFormat="false" ht="15" hidden="false" customHeight="true" outlineLevel="0" collapsed="false">
      <c r="A3050" s="2" t="n">
        <f aca="false">'Raw Data'!H3050</f>
        <v>3049</v>
      </c>
      <c r="B3050" s="2" t="n">
        <f aca="false">'Raw Data'!A3050</f>
        <v>41</v>
      </c>
      <c r="C3050" s="2" t="str">
        <f aca="false">'Raw Data'!D3050</f>
        <v>Research &amp; Development</v>
      </c>
      <c r="D3050" s="2" t="str">
        <f aca="false">'Raw Data'!K3050</f>
        <v>Research Scientist</v>
      </c>
      <c r="E3050" s="2" t="n">
        <f aca="false">'Raw Data'!Q3050</f>
        <v>8</v>
      </c>
      <c r="F3050" s="2" t="n">
        <f aca="false">'Raw Data'!U3050</f>
        <v>7</v>
      </c>
      <c r="G3050" s="2" t="n">
        <f aca="false">'Raw Data'!W3050</f>
        <v>2</v>
      </c>
      <c r="H3050" s="2" t="n">
        <f aca="false">'Raw Data'!V3050</f>
        <v>1</v>
      </c>
      <c r="I3050" s="2" t="n">
        <f aca="false">IF(AND(ISNUMBER(B3050),B3050&lt;=25),2,0)+IF(AND(ISNUMBER(E3050),E3050&lt;=5),2,0)+IF(AND(ISNUMBER(F3050),F3050&lt;=1),2,0)+IF(AND(ISNUMBER(G3050),G3050&lt;=2),1,0)+IF(AND(ISNUMBER(H3050),H3050&lt;=2),1,0)</f>
        <v>2</v>
      </c>
      <c r="J3050" s="2" t="str">
        <f aca="false">IF(I3050&gt;=6,"High",IF(I3050&gt;=3,"Medium","Low"))</f>
        <v>Low</v>
      </c>
    </row>
    <row r="3051" customFormat="false" ht="15" hidden="false" customHeight="true" outlineLevel="0" collapsed="false">
      <c r="A3051" s="2" t="n">
        <f aca="false">'Raw Data'!H3051</f>
        <v>3050</v>
      </c>
      <c r="B3051" s="2" t="n">
        <f aca="false">'Raw Data'!A3051</f>
        <v>50</v>
      </c>
      <c r="C3051" s="2" t="str">
        <f aca="false">'Raw Data'!D3051</f>
        <v>Research &amp; Development</v>
      </c>
      <c r="D3051" s="2" t="str">
        <f aca="false">'Raw Data'!K3051</f>
        <v>Laboratory Technician</v>
      </c>
      <c r="E3051" s="2" t="n">
        <f aca="false">'Raw Data'!Q3051</f>
        <v>20</v>
      </c>
      <c r="F3051" s="2" t="n">
        <f aca="false">'Raw Data'!U3051</f>
        <v>3</v>
      </c>
      <c r="G3051" s="2" t="n">
        <f aca="false">'Raw Data'!W3051</f>
        <v>4</v>
      </c>
      <c r="H3051" s="2" t="n">
        <f aca="false">'Raw Data'!V3051</f>
        <v>4</v>
      </c>
      <c r="I3051" s="2" t="n">
        <f aca="false">IF(AND(ISNUMBER(B3051),B3051&lt;=25),2,0)+IF(AND(ISNUMBER(E3051),E3051&lt;=5),2,0)+IF(AND(ISNUMBER(F3051),F3051&lt;=1),2,0)+IF(AND(ISNUMBER(G3051),G3051&lt;=2),1,0)+IF(AND(ISNUMBER(H3051),H3051&lt;=2),1,0)</f>
        <v>0</v>
      </c>
      <c r="J3051" s="2" t="str">
        <f aca="false">IF(I3051&gt;=6,"High",IF(I3051&gt;=3,"Medium","Low"))</f>
        <v>Low</v>
      </c>
    </row>
    <row r="3052" customFormat="false" ht="15" hidden="false" customHeight="true" outlineLevel="0" collapsed="false">
      <c r="A3052" s="2" t="n">
        <f aca="false">'Raw Data'!H3052</f>
        <v>3051</v>
      </c>
      <c r="B3052" s="2" t="n">
        <f aca="false">'Raw Data'!A3052</f>
        <v>40</v>
      </c>
      <c r="C3052" s="2" t="str">
        <f aca="false">'Raw Data'!D3052</f>
        <v>Research &amp; Development</v>
      </c>
      <c r="D3052" s="2" t="str">
        <f aca="false">'Raw Data'!K3052</f>
        <v>Healthcare Representative</v>
      </c>
      <c r="E3052" s="2" t="n">
        <f aca="false">'Raw Data'!Q3052</f>
        <v>8</v>
      </c>
      <c r="F3052" s="2" t="n">
        <f aca="false">'Raw Data'!U3052</f>
        <v>0</v>
      </c>
      <c r="G3052" s="2" t="n">
        <f aca="false">'Raw Data'!W3052</f>
        <v>3</v>
      </c>
      <c r="H3052" s="2" t="n">
        <f aca="false">'Raw Data'!V3052</f>
        <v>3</v>
      </c>
      <c r="I3052" s="2" t="n">
        <f aca="false">IF(AND(ISNUMBER(B3052),B3052&lt;=25),2,0)+IF(AND(ISNUMBER(E3052),E3052&lt;=5),2,0)+IF(AND(ISNUMBER(F3052),F3052&lt;=1),2,0)+IF(AND(ISNUMBER(G3052),G3052&lt;=2),1,0)+IF(AND(ISNUMBER(H3052),H3052&lt;=2),1,0)</f>
        <v>2</v>
      </c>
      <c r="J3052" s="2" t="str">
        <f aca="false">IF(I3052&gt;=6,"High",IF(I3052&gt;=3,"Medium","Low"))</f>
        <v>Low</v>
      </c>
    </row>
    <row r="3053" customFormat="false" ht="15" hidden="false" customHeight="true" outlineLevel="0" collapsed="false">
      <c r="A3053" s="2" t="n">
        <f aca="false">'Raw Data'!H3053</f>
        <v>3052</v>
      </c>
      <c r="B3053" s="2" t="n">
        <f aca="false">'Raw Data'!A3053</f>
        <v>31</v>
      </c>
      <c r="C3053" s="2" t="str">
        <f aca="false">'Raw Data'!D3053</f>
        <v>Research &amp; Development</v>
      </c>
      <c r="D3053" s="2" t="str">
        <f aca="false">'Raw Data'!K3053</f>
        <v>Human Resources</v>
      </c>
      <c r="E3053" s="2" t="n">
        <f aca="false">'Raw Data'!Q3053</f>
        <v>3</v>
      </c>
      <c r="F3053" s="2" t="n">
        <f aca="false">'Raw Data'!U3053</f>
        <v>2</v>
      </c>
      <c r="G3053" s="2" t="n">
        <f aca="false">'Raw Data'!W3053</f>
        <v>2</v>
      </c>
      <c r="H3053" s="2" t="n">
        <f aca="false">'Raw Data'!V3053</f>
        <v>3</v>
      </c>
      <c r="I3053" s="2" t="n">
        <f aca="false">IF(AND(ISNUMBER(B3053),B3053&lt;=25),2,0)+IF(AND(ISNUMBER(E3053),E3053&lt;=5),2,0)+IF(AND(ISNUMBER(F3053),F3053&lt;=1),2,0)+IF(AND(ISNUMBER(G3053),G3053&lt;=2),1,0)+IF(AND(ISNUMBER(H3053),H3053&lt;=2),1,0)</f>
        <v>3</v>
      </c>
      <c r="J3053" s="2" t="str">
        <f aca="false">IF(I3053&gt;=6,"High",IF(I3053&gt;=3,"Medium","Low"))</f>
        <v>Medium</v>
      </c>
    </row>
    <row r="3054" customFormat="false" ht="15" hidden="false" customHeight="true" outlineLevel="0" collapsed="false">
      <c r="A3054" s="2" t="n">
        <f aca="false">'Raw Data'!H3054</f>
        <v>3053</v>
      </c>
      <c r="B3054" s="2" t="n">
        <f aca="false">'Raw Data'!A3054</f>
        <v>21</v>
      </c>
      <c r="C3054" s="2" t="str">
        <f aca="false">'Raw Data'!D3054</f>
        <v>Human Resources</v>
      </c>
      <c r="D3054" s="2" t="str">
        <f aca="false">'Raw Data'!K3054</f>
        <v>Laboratory Technician</v>
      </c>
      <c r="E3054" s="2" t="n">
        <f aca="false">'Raw Data'!Q3054</f>
        <v>1</v>
      </c>
      <c r="F3054" s="2" t="n">
        <f aca="false">'Raw Data'!U3054</f>
        <v>0</v>
      </c>
      <c r="G3054" s="2" t="n">
        <f aca="false">'Raw Data'!W3054</f>
        <v>2</v>
      </c>
      <c r="H3054" s="2" t="n">
        <f aca="false">'Raw Data'!V3054</f>
        <v>3</v>
      </c>
      <c r="I3054" s="2" t="n">
        <f aca="false">IF(AND(ISNUMBER(B3054),B3054&lt;=25),2,0)+IF(AND(ISNUMBER(E3054),E3054&lt;=5),2,0)+IF(AND(ISNUMBER(F3054),F3054&lt;=1),2,0)+IF(AND(ISNUMBER(G3054),G3054&lt;=2),1,0)+IF(AND(ISNUMBER(H3054),H3054&lt;=2),1,0)</f>
        <v>7</v>
      </c>
      <c r="J3054" s="2" t="str">
        <f aca="false">IF(I3054&gt;=6,"High",IF(I3054&gt;=3,"Medium","Low"))</f>
        <v>High</v>
      </c>
    </row>
    <row r="3055" customFormat="false" ht="15" hidden="false" customHeight="true" outlineLevel="0" collapsed="false">
      <c r="A3055" s="2" t="n">
        <f aca="false">'Raw Data'!H3055</f>
        <v>3054</v>
      </c>
      <c r="B3055" s="2" t="n">
        <f aca="false">'Raw Data'!A3055</f>
        <v>29</v>
      </c>
      <c r="C3055" s="2" t="str">
        <f aca="false">'Raw Data'!D3055</f>
        <v>Research &amp; Development</v>
      </c>
      <c r="D3055" s="2" t="str">
        <f aca="false">'Raw Data'!K3055</f>
        <v>Research Director</v>
      </c>
      <c r="E3055" s="2" t="n">
        <f aca="false">'Raw Data'!Q3055</f>
        <v>6</v>
      </c>
      <c r="F3055" s="2" t="n">
        <f aca="false">'Raw Data'!U3055</f>
        <v>2</v>
      </c>
      <c r="G3055" s="2" t="n">
        <f aca="false">'Raw Data'!W3055</f>
        <v>4</v>
      </c>
      <c r="H3055" s="2" t="n">
        <f aca="false">'Raw Data'!V3055</f>
        <v>4</v>
      </c>
      <c r="I3055" s="2" t="n">
        <f aca="false">IF(AND(ISNUMBER(B3055),B3055&lt;=25),2,0)+IF(AND(ISNUMBER(E3055),E3055&lt;=5),2,0)+IF(AND(ISNUMBER(F3055),F3055&lt;=1),2,0)+IF(AND(ISNUMBER(G3055),G3055&lt;=2),1,0)+IF(AND(ISNUMBER(H3055),H3055&lt;=2),1,0)</f>
        <v>0</v>
      </c>
      <c r="J3055" s="2" t="str">
        <f aca="false">IF(I3055&gt;=6,"High",IF(I3055&gt;=3,"Medium","Low"))</f>
        <v>Low</v>
      </c>
    </row>
    <row r="3056" customFormat="false" ht="15" hidden="false" customHeight="true" outlineLevel="0" collapsed="false">
      <c r="A3056" s="2" t="n">
        <f aca="false">'Raw Data'!H3056</f>
        <v>3055</v>
      </c>
      <c r="B3056" s="2" t="n">
        <f aca="false">'Raw Data'!A3056</f>
        <v>35</v>
      </c>
      <c r="C3056" s="2" t="str">
        <f aca="false">'Raw Data'!D3056</f>
        <v>Research &amp; Development</v>
      </c>
      <c r="D3056" s="2" t="str">
        <f aca="false">'Raw Data'!K3056</f>
        <v>Sales Executive</v>
      </c>
      <c r="E3056" s="2" t="n">
        <f aca="false">'Raw Data'!Q3056</f>
        <v>10</v>
      </c>
      <c r="F3056" s="2" t="n">
        <f aca="false">'Raw Data'!U3056</f>
        <v>0</v>
      </c>
      <c r="G3056" s="2" t="n">
        <f aca="false">'Raw Data'!W3056</f>
        <v>2</v>
      </c>
      <c r="H3056" s="2" t="n">
        <f aca="false">'Raw Data'!V3056</f>
        <v>3</v>
      </c>
      <c r="I3056" s="2" t="n">
        <f aca="false">IF(AND(ISNUMBER(B3056),B3056&lt;=25),2,0)+IF(AND(ISNUMBER(E3056),E3056&lt;=5),2,0)+IF(AND(ISNUMBER(F3056),F3056&lt;=1),2,0)+IF(AND(ISNUMBER(G3056),G3056&lt;=2),1,0)+IF(AND(ISNUMBER(H3056),H3056&lt;=2),1,0)</f>
        <v>3</v>
      </c>
      <c r="J3056" s="2" t="str">
        <f aca="false">IF(I3056&gt;=6,"High",IF(I3056&gt;=3,"Medium","Low"))</f>
        <v>Medium</v>
      </c>
    </row>
    <row r="3057" customFormat="false" ht="15" hidden="false" customHeight="true" outlineLevel="0" collapsed="false">
      <c r="A3057" s="2" t="n">
        <f aca="false">'Raw Data'!H3057</f>
        <v>3056</v>
      </c>
      <c r="B3057" s="2" t="n">
        <f aca="false">'Raw Data'!A3057</f>
        <v>27</v>
      </c>
      <c r="C3057" s="2" t="str">
        <f aca="false">'Raw Data'!D3057</f>
        <v>Sales</v>
      </c>
      <c r="D3057" s="2" t="str">
        <f aca="false">'Raw Data'!K3057</f>
        <v>Sales Executive</v>
      </c>
      <c r="E3057" s="2" t="n">
        <f aca="false">'Raw Data'!Q3057</f>
        <v>5</v>
      </c>
      <c r="F3057" s="2" t="n">
        <f aca="false">'Raw Data'!U3057</f>
        <v>4</v>
      </c>
      <c r="G3057" s="2" t="n">
        <f aca="false">'Raw Data'!W3057</f>
        <v>2</v>
      </c>
      <c r="H3057" s="2" t="n">
        <f aca="false">'Raw Data'!V3057</f>
        <v>4</v>
      </c>
      <c r="I3057" s="2" t="n">
        <f aca="false">IF(AND(ISNUMBER(B3057),B3057&lt;=25),2,0)+IF(AND(ISNUMBER(E3057),E3057&lt;=5),2,0)+IF(AND(ISNUMBER(F3057),F3057&lt;=1),2,0)+IF(AND(ISNUMBER(G3057),G3057&lt;=2),1,0)+IF(AND(ISNUMBER(H3057),H3057&lt;=2),1,0)</f>
        <v>3</v>
      </c>
      <c r="J3057" s="2" t="str">
        <f aca="false">IF(I3057&gt;=6,"High",IF(I3057&gt;=3,"Medium","Low"))</f>
        <v>Medium</v>
      </c>
    </row>
    <row r="3058" customFormat="false" ht="15" hidden="false" customHeight="true" outlineLevel="0" collapsed="false">
      <c r="A3058" s="2" t="n">
        <f aca="false">'Raw Data'!H3058</f>
        <v>3057</v>
      </c>
      <c r="B3058" s="2" t="n">
        <f aca="false">'Raw Data'!A3058</f>
        <v>28</v>
      </c>
      <c r="C3058" s="2" t="str">
        <f aca="false">'Raw Data'!D3058</f>
        <v>Research &amp; Development</v>
      </c>
      <c r="D3058" s="2" t="str">
        <f aca="false">'Raw Data'!K3058</f>
        <v>Manager</v>
      </c>
      <c r="E3058" s="2" t="n">
        <f aca="false">'Raw Data'!Q3058</f>
        <v>7</v>
      </c>
      <c r="F3058" s="2" t="n">
        <f aca="false">'Raw Data'!U3058</f>
        <v>7</v>
      </c>
      <c r="G3058" s="2" t="n">
        <f aca="false">'Raw Data'!W3058</f>
        <v>4</v>
      </c>
      <c r="H3058" s="2" t="n">
        <f aca="false">'Raw Data'!V3058</f>
        <v>2</v>
      </c>
      <c r="I3058" s="2" t="n">
        <f aca="false">IF(AND(ISNUMBER(B3058),B3058&lt;=25),2,0)+IF(AND(ISNUMBER(E3058),E3058&lt;=5),2,0)+IF(AND(ISNUMBER(F3058),F3058&lt;=1),2,0)+IF(AND(ISNUMBER(G3058),G3058&lt;=2),1,0)+IF(AND(ISNUMBER(H3058),H3058&lt;=2),1,0)</f>
        <v>1</v>
      </c>
      <c r="J3058" s="2" t="str">
        <f aca="false">IF(I3058&gt;=6,"High",IF(I3058&gt;=3,"Medium","Low"))</f>
        <v>Low</v>
      </c>
    </row>
    <row r="3059" customFormat="false" ht="15" hidden="false" customHeight="true" outlineLevel="0" collapsed="false">
      <c r="A3059" s="2" t="n">
        <f aca="false">'Raw Data'!H3059</f>
        <v>3058</v>
      </c>
      <c r="B3059" s="2" t="n">
        <f aca="false">'Raw Data'!A3059</f>
        <v>49</v>
      </c>
      <c r="C3059" s="2" t="str">
        <f aca="false">'Raw Data'!D3059</f>
        <v>Sales</v>
      </c>
      <c r="D3059" s="2" t="str">
        <f aca="false">'Raw Data'!K3059</f>
        <v>Manufacturing Director</v>
      </c>
      <c r="E3059" s="2" t="n">
        <f aca="false">'Raw Data'!Q3059</f>
        <v>26</v>
      </c>
      <c r="F3059" s="2" t="n">
        <f aca="false">'Raw Data'!U3059</f>
        <v>0</v>
      </c>
      <c r="G3059" s="2" t="n">
        <f aca="false">'Raw Data'!W3059</f>
        <v>3</v>
      </c>
      <c r="H3059" s="2" t="n">
        <f aca="false">'Raw Data'!V3059</f>
        <v>2</v>
      </c>
      <c r="I3059" s="2" t="n">
        <f aca="false">IF(AND(ISNUMBER(B3059),B3059&lt;=25),2,0)+IF(AND(ISNUMBER(E3059),E3059&lt;=5),2,0)+IF(AND(ISNUMBER(F3059),F3059&lt;=1),2,0)+IF(AND(ISNUMBER(G3059),G3059&lt;=2),1,0)+IF(AND(ISNUMBER(H3059),H3059&lt;=2),1,0)</f>
        <v>3</v>
      </c>
      <c r="J3059" s="2" t="str">
        <f aca="false">IF(I3059&gt;=6,"High",IF(I3059&gt;=3,"Medium","Low"))</f>
        <v>Medium</v>
      </c>
    </row>
    <row r="3060" customFormat="false" ht="15" hidden="false" customHeight="true" outlineLevel="0" collapsed="false">
      <c r="A3060" s="2" t="n">
        <f aca="false">'Raw Data'!H3060</f>
        <v>3059</v>
      </c>
      <c r="B3060" s="2" t="n">
        <f aca="false">'Raw Data'!A3060</f>
        <v>51</v>
      </c>
      <c r="C3060" s="2" t="str">
        <f aca="false">'Raw Data'!D3060</f>
        <v>Research &amp; Development</v>
      </c>
      <c r="D3060" s="2" t="str">
        <f aca="false">'Raw Data'!K3060</f>
        <v>Sales Executive</v>
      </c>
      <c r="E3060" s="2" t="n">
        <f aca="false">'Raw Data'!Q3060</f>
        <v>18</v>
      </c>
      <c r="F3060" s="2" t="n">
        <f aca="false">'Raw Data'!U3060</f>
        <v>7</v>
      </c>
      <c r="G3060" s="2" t="n">
        <f aca="false">'Raw Data'!W3060</f>
        <v>4</v>
      </c>
      <c r="H3060" s="2" t="n">
        <f aca="false">'Raw Data'!V3060</f>
        <v>3</v>
      </c>
      <c r="I3060" s="2" t="n">
        <f aca="false">IF(AND(ISNUMBER(B3060),B3060&lt;=25),2,0)+IF(AND(ISNUMBER(E3060),E3060&lt;=5),2,0)+IF(AND(ISNUMBER(F3060),F3060&lt;=1),2,0)+IF(AND(ISNUMBER(G3060),G3060&lt;=2),1,0)+IF(AND(ISNUMBER(H3060),H3060&lt;=2),1,0)</f>
        <v>0</v>
      </c>
      <c r="J3060" s="2" t="str">
        <f aca="false">IF(I3060&gt;=6,"High",IF(I3060&gt;=3,"Medium","Low"))</f>
        <v>Low</v>
      </c>
    </row>
    <row r="3061" customFormat="false" ht="15" hidden="false" customHeight="true" outlineLevel="0" collapsed="false">
      <c r="A3061" s="2" t="n">
        <f aca="false">'Raw Data'!H3061</f>
        <v>3060</v>
      </c>
      <c r="B3061" s="2" t="n">
        <f aca="false">'Raw Data'!A3061</f>
        <v>36</v>
      </c>
      <c r="C3061" s="2" t="str">
        <f aca="false">'Raw Data'!D3061</f>
        <v>Sales</v>
      </c>
      <c r="D3061" s="2" t="str">
        <f aca="false">'Raw Data'!K3061</f>
        <v>Sales Executive</v>
      </c>
      <c r="E3061" s="2" t="n">
        <f aca="false">'Raw Data'!Q3061</f>
        <v>6</v>
      </c>
      <c r="F3061" s="2" t="n">
        <f aca="false">'Raw Data'!U3061</f>
        <v>2</v>
      </c>
      <c r="G3061" s="2" t="n">
        <f aca="false">'Raw Data'!W3061</f>
        <v>3</v>
      </c>
      <c r="H3061" s="2" t="n">
        <f aca="false">'Raw Data'!V3061</f>
        <v>4</v>
      </c>
      <c r="I3061" s="2" t="n">
        <f aca="false">IF(AND(ISNUMBER(B3061),B3061&lt;=25),2,0)+IF(AND(ISNUMBER(E3061),E3061&lt;=5),2,0)+IF(AND(ISNUMBER(F3061),F3061&lt;=1),2,0)+IF(AND(ISNUMBER(G3061),G3061&lt;=2),1,0)+IF(AND(ISNUMBER(H3061),H3061&lt;=2),1,0)</f>
        <v>0</v>
      </c>
      <c r="J3061" s="2" t="str">
        <f aca="false">IF(I3061&gt;=6,"High",IF(I3061&gt;=3,"Medium","Low"))</f>
        <v>Low</v>
      </c>
    </row>
    <row r="3062" customFormat="false" ht="15" hidden="false" customHeight="true" outlineLevel="0" collapsed="false">
      <c r="A3062" s="2" t="n">
        <f aca="false">'Raw Data'!H3062</f>
        <v>3061</v>
      </c>
      <c r="B3062" s="2" t="n">
        <f aca="false">'Raw Data'!A3062</f>
        <v>34</v>
      </c>
      <c r="C3062" s="2" t="str">
        <f aca="false">'Raw Data'!D3062</f>
        <v>Research &amp; Development</v>
      </c>
      <c r="D3062" s="2" t="str">
        <f aca="false">'Raw Data'!K3062</f>
        <v>Sales Representative</v>
      </c>
      <c r="E3062" s="2" t="n">
        <f aca="false">'Raw Data'!Q3062</f>
        <v>9</v>
      </c>
      <c r="F3062" s="2" t="n">
        <f aca="false">'Raw Data'!U3062</f>
        <v>4</v>
      </c>
      <c r="G3062" s="2" t="n">
        <f aca="false">'Raw Data'!W3062</f>
        <v>4</v>
      </c>
      <c r="H3062" s="2" t="n">
        <f aca="false">'Raw Data'!V3062</f>
        <v>1</v>
      </c>
      <c r="I3062" s="2" t="n">
        <f aca="false">IF(AND(ISNUMBER(B3062),B3062&lt;=25),2,0)+IF(AND(ISNUMBER(E3062),E3062&lt;=5),2,0)+IF(AND(ISNUMBER(F3062),F3062&lt;=1),2,0)+IF(AND(ISNUMBER(G3062),G3062&lt;=2),1,0)+IF(AND(ISNUMBER(H3062),H3062&lt;=2),1,0)</f>
        <v>1</v>
      </c>
      <c r="J3062" s="2" t="str">
        <f aca="false">IF(I3062&gt;=6,"High",IF(I3062&gt;=3,"Medium","Low"))</f>
        <v>Low</v>
      </c>
    </row>
    <row r="3063" customFormat="false" ht="15" hidden="false" customHeight="true" outlineLevel="0" collapsed="false">
      <c r="A3063" s="2" t="n">
        <f aca="false">'Raw Data'!H3063</f>
        <v>3062</v>
      </c>
      <c r="B3063" s="2" t="n">
        <f aca="false">'Raw Data'!A3063</f>
        <v>55</v>
      </c>
      <c r="C3063" s="2" t="str">
        <f aca="false">'Raw Data'!D3063</f>
        <v>Sales</v>
      </c>
      <c r="D3063" s="2" t="str">
        <f aca="false">'Raw Data'!K3063</f>
        <v>Laboratory Technician</v>
      </c>
      <c r="E3063" s="2" t="n">
        <f aca="false">'Raw Data'!Q3063</f>
        <v>30</v>
      </c>
      <c r="F3063" s="2" t="n">
        <f aca="false">'Raw Data'!U3063</f>
        <v>2</v>
      </c>
      <c r="G3063" s="2" t="n">
        <f aca="false">'Raw Data'!W3063</f>
        <v>4</v>
      </c>
      <c r="H3063" s="2" t="n">
        <f aca="false">'Raw Data'!V3063</f>
        <v>3</v>
      </c>
      <c r="I3063" s="2" t="n">
        <f aca="false">IF(AND(ISNUMBER(B3063),B3063&lt;=25),2,0)+IF(AND(ISNUMBER(E3063),E3063&lt;=5),2,0)+IF(AND(ISNUMBER(F3063),F3063&lt;=1),2,0)+IF(AND(ISNUMBER(G3063),G3063&lt;=2),1,0)+IF(AND(ISNUMBER(H3063),H3063&lt;=2),1,0)</f>
        <v>0</v>
      </c>
      <c r="J3063" s="2" t="str">
        <f aca="false">IF(I3063&gt;=6,"High",IF(I3063&gt;=3,"Medium","Low"))</f>
        <v>Low</v>
      </c>
    </row>
    <row r="3064" customFormat="false" ht="15" hidden="false" customHeight="true" outlineLevel="0" collapsed="false">
      <c r="A3064" s="2" t="n">
        <f aca="false">'Raw Data'!H3064</f>
        <v>3063</v>
      </c>
      <c r="B3064" s="2" t="n">
        <f aca="false">'Raw Data'!A3064</f>
        <v>24</v>
      </c>
      <c r="C3064" s="2" t="str">
        <f aca="false">'Raw Data'!D3064</f>
        <v>Research &amp; Development</v>
      </c>
      <c r="D3064" s="2" t="str">
        <f aca="false">'Raw Data'!K3064</f>
        <v>Manager</v>
      </c>
      <c r="E3064" s="2" t="n">
        <f aca="false">'Raw Data'!Q3064</f>
        <v>5</v>
      </c>
      <c r="F3064" s="2" t="n">
        <f aca="false">'Raw Data'!U3064</f>
        <v>3</v>
      </c>
      <c r="G3064" s="2" t="n">
        <f aca="false">'Raw Data'!W3064</f>
        <v>3</v>
      </c>
      <c r="H3064" s="2" t="n">
        <f aca="false">'Raw Data'!V3064</f>
        <v>4</v>
      </c>
      <c r="I3064" s="2" t="n">
        <f aca="false">IF(AND(ISNUMBER(B3064),B3064&lt;=25),2,0)+IF(AND(ISNUMBER(E3064),E3064&lt;=5),2,0)+IF(AND(ISNUMBER(F3064),F3064&lt;=1),2,0)+IF(AND(ISNUMBER(G3064),G3064&lt;=2),1,0)+IF(AND(ISNUMBER(H3064),H3064&lt;=2),1,0)</f>
        <v>4</v>
      </c>
      <c r="J3064" s="2" t="str">
        <f aca="false">IF(I3064&gt;=6,"High",IF(I3064&gt;=3,"Medium","Low"))</f>
        <v>Medium</v>
      </c>
    </row>
    <row r="3065" customFormat="false" ht="15" hidden="false" customHeight="true" outlineLevel="0" collapsed="false">
      <c r="A3065" s="2" t="n">
        <f aca="false">'Raw Data'!H3065</f>
        <v>3064</v>
      </c>
      <c r="B3065" s="2" t="n">
        <f aca="false">'Raw Data'!A3065</f>
        <v>30</v>
      </c>
      <c r="C3065" s="2" t="str">
        <f aca="false">'Raw Data'!D3065</f>
        <v>Research &amp; Development</v>
      </c>
      <c r="D3065" s="2" t="str">
        <f aca="false">'Raw Data'!K3065</f>
        <v>Manager</v>
      </c>
      <c r="E3065" s="2" t="n">
        <f aca="false">'Raw Data'!Q3065</f>
        <v>1</v>
      </c>
      <c r="F3065" s="2" t="n">
        <f aca="false">'Raw Data'!U3065</f>
        <v>0</v>
      </c>
      <c r="G3065" s="2" t="n">
        <f aca="false">'Raw Data'!W3065</f>
        <v>2</v>
      </c>
      <c r="H3065" s="2" t="n">
        <f aca="false">'Raw Data'!V3065</f>
        <v>3</v>
      </c>
      <c r="I3065" s="2" t="n">
        <f aca="false">IF(AND(ISNUMBER(B3065),B3065&lt;=25),2,0)+IF(AND(ISNUMBER(E3065),E3065&lt;=5),2,0)+IF(AND(ISNUMBER(F3065),F3065&lt;=1),2,0)+IF(AND(ISNUMBER(G3065),G3065&lt;=2),1,0)+IF(AND(ISNUMBER(H3065),H3065&lt;=2),1,0)</f>
        <v>5</v>
      </c>
      <c r="J3065" s="2" t="str">
        <f aca="false">IF(I3065&gt;=6,"High",IF(I3065&gt;=3,"Medium","Low"))</f>
        <v>Medium</v>
      </c>
    </row>
    <row r="3066" customFormat="false" ht="15" hidden="false" customHeight="true" outlineLevel="0" collapsed="false">
      <c r="A3066" s="2" t="n">
        <f aca="false">'Raw Data'!H3066</f>
        <v>3065</v>
      </c>
      <c r="B3066" s="2" t="n">
        <f aca="false">'Raw Data'!A3066</f>
        <v>26</v>
      </c>
      <c r="C3066" s="2" t="str">
        <f aca="false">'Raw Data'!D3066</f>
        <v>Sales</v>
      </c>
      <c r="D3066" s="2" t="str">
        <f aca="false">'Raw Data'!K3066</f>
        <v>Manager</v>
      </c>
      <c r="E3066" s="2" t="n">
        <f aca="false">'Raw Data'!Q3066</f>
        <v>7</v>
      </c>
      <c r="F3066" s="2" t="n">
        <f aca="false">'Raw Data'!U3066</f>
        <v>4</v>
      </c>
      <c r="G3066" s="2" t="n">
        <f aca="false">'Raw Data'!W3066</f>
        <v>1</v>
      </c>
      <c r="H3066" s="2" t="n">
        <f aca="false">'Raw Data'!V3066</f>
        <v>3</v>
      </c>
      <c r="I3066" s="2" t="n">
        <f aca="false">IF(AND(ISNUMBER(B3066),B3066&lt;=25),2,0)+IF(AND(ISNUMBER(E3066),E3066&lt;=5),2,0)+IF(AND(ISNUMBER(F3066),F3066&lt;=1),2,0)+IF(AND(ISNUMBER(G3066),G3066&lt;=2),1,0)+IF(AND(ISNUMBER(H3066),H3066&lt;=2),1,0)</f>
        <v>1</v>
      </c>
      <c r="J3066" s="2" t="str">
        <f aca="false">IF(I3066&gt;=6,"High",IF(I3066&gt;=3,"Medium","Low"))</f>
        <v>Low</v>
      </c>
    </row>
    <row r="3067" customFormat="false" ht="15" hidden="false" customHeight="true" outlineLevel="0" collapsed="false">
      <c r="A3067" s="2" t="n">
        <f aca="false">'Raw Data'!H3067</f>
        <v>3066</v>
      </c>
      <c r="B3067" s="2" t="n">
        <f aca="false">'Raw Data'!A3067</f>
        <v>22</v>
      </c>
      <c r="C3067" s="2" t="str">
        <f aca="false">'Raw Data'!D3067</f>
        <v>Research &amp; Development</v>
      </c>
      <c r="D3067" s="2" t="str">
        <f aca="false">'Raw Data'!K3067</f>
        <v>Research Scientist</v>
      </c>
      <c r="E3067" s="2" t="n">
        <f aca="false">'Raw Data'!Q3067</f>
        <v>2</v>
      </c>
      <c r="F3067" s="2" t="n">
        <f aca="false">'Raw Data'!U3067</f>
        <v>2</v>
      </c>
      <c r="G3067" s="2" t="n">
        <f aca="false">'Raw Data'!W3067</f>
        <v>2</v>
      </c>
      <c r="H3067" s="2" t="n">
        <f aca="false">'Raw Data'!V3067</f>
        <v>1</v>
      </c>
      <c r="I3067" s="2" t="n">
        <f aca="false">IF(AND(ISNUMBER(B3067),B3067&lt;=25),2,0)+IF(AND(ISNUMBER(E3067),E3067&lt;=5),2,0)+IF(AND(ISNUMBER(F3067),F3067&lt;=1),2,0)+IF(AND(ISNUMBER(G3067),G3067&lt;=2),1,0)+IF(AND(ISNUMBER(H3067),H3067&lt;=2),1,0)</f>
        <v>6</v>
      </c>
      <c r="J3067" s="2" t="str">
        <f aca="false">IF(I3067&gt;=6,"High",IF(I3067&gt;=3,"Medium","Low"))</f>
        <v>High</v>
      </c>
    </row>
    <row r="3068" customFormat="false" ht="15" hidden="false" customHeight="true" outlineLevel="0" collapsed="false">
      <c r="A3068" s="2" t="n">
        <f aca="false">'Raw Data'!H3068</f>
        <v>3067</v>
      </c>
      <c r="B3068" s="2" t="n">
        <f aca="false">'Raw Data'!A3068</f>
        <v>36</v>
      </c>
      <c r="C3068" s="2" t="str">
        <f aca="false">'Raw Data'!D3068</f>
        <v>Research &amp; Development</v>
      </c>
      <c r="D3068" s="2" t="str">
        <f aca="false">'Raw Data'!K3068</f>
        <v>Healthcare Representative</v>
      </c>
      <c r="E3068" s="2" t="n">
        <f aca="false">'Raw Data'!Q3068</f>
        <v>10</v>
      </c>
      <c r="F3068" s="2" t="n">
        <f aca="false">'Raw Data'!U3068</f>
        <v>0</v>
      </c>
      <c r="G3068" s="2" t="n">
        <f aca="false">'Raw Data'!W3068</f>
        <v>3</v>
      </c>
      <c r="H3068" s="2" t="n">
        <f aca="false">'Raw Data'!V3068</f>
        <v>2</v>
      </c>
      <c r="I3068" s="2" t="n">
        <f aca="false">IF(AND(ISNUMBER(B3068),B3068&lt;=25),2,0)+IF(AND(ISNUMBER(E3068),E3068&lt;=5),2,0)+IF(AND(ISNUMBER(F3068),F3068&lt;=1),2,0)+IF(AND(ISNUMBER(G3068),G3068&lt;=2),1,0)+IF(AND(ISNUMBER(H3068),H3068&lt;=2),1,0)</f>
        <v>3</v>
      </c>
      <c r="J3068" s="2" t="str">
        <f aca="false">IF(I3068&gt;=6,"High",IF(I3068&gt;=3,"Medium","Low"))</f>
        <v>Medium</v>
      </c>
    </row>
    <row r="3069" customFormat="false" ht="15" hidden="false" customHeight="true" outlineLevel="0" collapsed="false">
      <c r="A3069" s="2" t="n">
        <f aca="false">'Raw Data'!H3069</f>
        <v>3068</v>
      </c>
      <c r="B3069" s="2" t="n">
        <f aca="false">'Raw Data'!A3069</f>
        <v>30</v>
      </c>
      <c r="C3069" s="2" t="str">
        <f aca="false">'Raw Data'!D3069</f>
        <v>Sales</v>
      </c>
      <c r="D3069" s="2" t="str">
        <f aca="false">'Raw Data'!K3069</f>
        <v>Research Scientist</v>
      </c>
      <c r="E3069" s="2" t="n">
        <f aca="false">'Raw Data'!Q3069</f>
        <v>3</v>
      </c>
      <c r="F3069" s="2" t="n">
        <f aca="false">'Raw Data'!U3069</f>
        <v>0</v>
      </c>
      <c r="G3069" s="2" t="n">
        <f aca="false">'Raw Data'!W3069</f>
        <v>4</v>
      </c>
      <c r="H3069" s="2" t="n">
        <f aca="false">'Raw Data'!V3069</f>
        <v>3</v>
      </c>
      <c r="I3069" s="2" t="n">
        <f aca="false">IF(AND(ISNUMBER(B3069),B3069&lt;=25),2,0)+IF(AND(ISNUMBER(E3069),E3069&lt;=5),2,0)+IF(AND(ISNUMBER(F3069),F3069&lt;=1),2,0)+IF(AND(ISNUMBER(G3069),G3069&lt;=2),1,0)+IF(AND(ISNUMBER(H3069),H3069&lt;=2),1,0)</f>
        <v>4</v>
      </c>
      <c r="J3069" s="2" t="str">
        <f aca="false">IF(I3069&gt;=6,"High",IF(I3069&gt;=3,"Medium","Low"))</f>
        <v>Medium</v>
      </c>
    </row>
    <row r="3070" customFormat="false" ht="15" hidden="false" customHeight="true" outlineLevel="0" collapsed="false">
      <c r="A3070" s="2" t="n">
        <f aca="false">'Raw Data'!H3070</f>
        <v>3069</v>
      </c>
      <c r="B3070" s="2" t="n">
        <f aca="false">'Raw Data'!A3070</f>
        <v>37</v>
      </c>
      <c r="C3070" s="2" t="str">
        <f aca="false">'Raw Data'!D3070</f>
        <v>Research &amp; Development</v>
      </c>
      <c r="D3070" s="2" t="str">
        <f aca="false">'Raw Data'!K3070</f>
        <v>Sales Executive</v>
      </c>
      <c r="E3070" s="2" t="n">
        <f aca="false">'Raw Data'!Q3070</f>
        <v>18</v>
      </c>
      <c r="F3070" s="2" t="n">
        <f aca="false">'Raw Data'!U3070</f>
        <v>17</v>
      </c>
      <c r="G3070" s="2" t="n">
        <f aca="false">'Raw Data'!W3070</f>
        <v>1</v>
      </c>
      <c r="H3070" s="2" t="n">
        <f aca="false">'Raw Data'!V3070</f>
        <v>4</v>
      </c>
      <c r="I3070" s="2" t="n">
        <f aca="false">IF(AND(ISNUMBER(B3070),B3070&lt;=25),2,0)+IF(AND(ISNUMBER(E3070),E3070&lt;=5),2,0)+IF(AND(ISNUMBER(F3070),F3070&lt;=1),2,0)+IF(AND(ISNUMBER(G3070),G3070&lt;=2),1,0)+IF(AND(ISNUMBER(H3070),H3070&lt;=2),1,0)</f>
        <v>1</v>
      </c>
      <c r="J3070" s="2" t="str">
        <f aca="false">IF(I3070&gt;=6,"High",IF(I3070&gt;=3,"Medium","Low"))</f>
        <v>Low</v>
      </c>
    </row>
    <row r="3071" customFormat="false" ht="15" hidden="false" customHeight="true" outlineLevel="0" collapsed="false">
      <c r="A3071" s="2" t="n">
        <f aca="false">'Raw Data'!H3071</f>
        <v>3070</v>
      </c>
      <c r="B3071" s="2" t="n">
        <f aca="false">'Raw Data'!A3071</f>
        <v>40</v>
      </c>
      <c r="C3071" s="2" t="str">
        <f aca="false">'Raw Data'!D3071</f>
        <v>Research &amp; Development</v>
      </c>
      <c r="D3071" s="2" t="str">
        <f aca="false">'Raw Data'!K3071</f>
        <v>Research Scientist</v>
      </c>
      <c r="E3071" s="2" t="n">
        <f aca="false">'Raw Data'!Q3071</f>
        <v>8</v>
      </c>
      <c r="F3071" s="2" t="n">
        <f aca="false">'Raw Data'!U3071</f>
        <v>3</v>
      </c>
      <c r="G3071" s="2" t="n">
        <f aca="false">'Raw Data'!W3071</f>
        <v>2</v>
      </c>
      <c r="H3071" s="2" t="n">
        <f aca="false">'Raw Data'!V3071</f>
        <v>4</v>
      </c>
      <c r="I3071" s="2" t="n">
        <f aca="false">IF(AND(ISNUMBER(B3071),B3071&lt;=25),2,0)+IF(AND(ISNUMBER(E3071),E3071&lt;=5),2,0)+IF(AND(ISNUMBER(F3071),F3071&lt;=1),2,0)+IF(AND(ISNUMBER(G3071),G3071&lt;=2),1,0)+IF(AND(ISNUMBER(H3071),H3071&lt;=2),1,0)</f>
        <v>1</v>
      </c>
      <c r="J3071" s="2" t="str">
        <f aca="false">IF(I3071&gt;=6,"High",IF(I3071&gt;=3,"Medium","Low"))</f>
        <v>Low</v>
      </c>
    </row>
    <row r="3072" customFormat="false" ht="15" hidden="false" customHeight="true" outlineLevel="0" collapsed="false">
      <c r="A3072" s="2" t="n">
        <f aca="false">'Raw Data'!H3072</f>
        <v>3071</v>
      </c>
      <c r="B3072" s="2" t="n">
        <f aca="false">'Raw Data'!A3072</f>
        <v>42</v>
      </c>
      <c r="C3072" s="2" t="str">
        <f aca="false">'Raw Data'!D3072</f>
        <v>Research &amp; Development</v>
      </c>
      <c r="D3072" s="2" t="str">
        <f aca="false">'Raw Data'!K3072</f>
        <v>Manager</v>
      </c>
      <c r="E3072" s="2" t="n">
        <f aca="false">'Raw Data'!Q3072</f>
        <v>8</v>
      </c>
      <c r="F3072" s="2" t="n">
        <f aca="false">'Raw Data'!U3072</f>
        <v>2</v>
      </c>
      <c r="G3072" s="2" t="n">
        <f aca="false">'Raw Data'!W3072</f>
        <v>1</v>
      </c>
      <c r="H3072" s="2" t="n">
        <f aca="false">'Raw Data'!V3072</f>
        <v>2</v>
      </c>
      <c r="I3072" s="2" t="n">
        <f aca="false">IF(AND(ISNUMBER(B3072),B3072&lt;=25),2,0)+IF(AND(ISNUMBER(E3072),E3072&lt;=5),2,0)+IF(AND(ISNUMBER(F3072),F3072&lt;=1),2,0)+IF(AND(ISNUMBER(G3072),G3072&lt;=2),1,0)+IF(AND(ISNUMBER(H3072),H3072&lt;=2),1,0)</f>
        <v>2</v>
      </c>
      <c r="J3072" s="2" t="str">
        <f aca="false">IF(I3072&gt;=6,"High",IF(I3072&gt;=3,"Medium","Low"))</f>
        <v>Low</v>
      </c>
    </row>
    <row r="3073" customFormat="false" ht="15" hidden="false" customHeight="true" outlineLevel="0" collapsed="false">
      <c r="A3073" s="2" t="n">
        <f aca="false">'Raw Data'!H3073</f>
        <v>3072</v>
      </c>
      <c r="B3073" s="2" t="n">
        <f aca="false">'Raw Data'!A3073</f>
        <v>37</v>
      </c>
      <c r="C3073" s="2" t="str">
        <f aca="false">'Raw Data'!D3073</f>
        <v>Sales</v>
      </c>
      <c r="D3073" s="2" t="str">
        <f aca="false">'Raw Data'!K3073</f>
        <v>Sales Executive</v>
      </c>
      <c r="E3073" s="2" t="n">
        <f aca="false">'Raw Data'!Q3073</f>
        <v>18</v>
      </c>
      <c r="F3073" s="2" t="n">
        <f aca="false">'Raw Data'!U3073</f>
        <v>1</v>
      </c>
      <c r="G3073" s="2" t="n">
        <f aca="false">'Raw Data'!W3073</f>
        <v>2</v>
      </c>
      <c r="H3073" s="2" t="n">
        <f aca="false">'Raw Data'!V3073</f>
        <v>3</v>
      </c>
      <c r="I3073" s="2" t="n">
        <f aca="false">IF(AND(ISNUMBER(B3073),B3073&lt;=25),2,0)+IF(AND(ISNUMBER(E3073),E3073&lt;=5),2,0)+IF(AND(ISNUMBER(F3073),F3073&lt;=1),2,0)+IF(AND(ISNUMBER(G3073),G3073&lt;=2),1,0)+IF(AND(ISNUMBER(H3073),H3073&lt;=2),1,0)</f>
        <v>3</v>
      </c>
      <c r="J3073" s="2" t="str">
        <f aca="false">IF(I3073&gt;=6,"High",IF(I3073&gt;=3,"Medium","Low"))</f>
        <v>Medium</v>
      </c>
    </row>
    <row r="3074" customFormat="false" ht="15" hidden="false" customHeight="true" outlineLevel="0" collapsed="false">
      <c r="A3074" s="2" t="n">
        <f aca="false">'Raw Data'!H3074</f>
        <v>3073</v>
      </c>
      <c r="B3074" s="2" t="n">
        <f aca="false">'Raw Data'!A3074</f>
        <v>43</v>
      </c>
      <c r="C3074" s="2" t="str">
        <f aca="false">'Raw Data'!D3074</f>
        <v>Sales</v>
      </c>
      <c r="D3074" s="2" t="str">
        <f aca="false">'Raw Data'!K3074</f>
        <v>Sales Executive</v>
      </c>
      <c r="E3074" s="2" t="n">
        <f aca="false">'Raw Data'!Q3074</f>
        <v>25</v>
      </c>
      <c r="F3074" s="2" t="n">
        <f aca="false">'Raw Data'!U3074</f>
        <v>9</v>
      </c>
      <c r="G3074" s="2" t="n">
        <f aca="false">'Raw Data'!W3074</f>
        <v>2</v>
      </c>
      <c r="H3074" s="2" t="n">
        <f aca="false">'Raw Data'!V3074</f>
        <v>1</v>
      </c>
      <c r="I3074" s="2" t="n">
        <f aca="false">IF(AND(ISNUMBER(B3074),B3074&lt;=25),2,0)+IF(AND(ISNUMBER(E3074),E3074&lt;=5),2,0)+IF(AND(ISNUMBER(F3074),F3074&lt;=1),2,0)+IF(AND(ISNUMBER(G3074),G3074&lt;=2),1,0)+IF(AND(ISNUMBER(H3074),H3074&lt;=2),1,0)</f>
        <v>2</v>
      </c>
      <c r="J3074" s="2" t="str">
        <f aca="false">IF(I3074&gt;=6,"High",IF(I3074&gt;=3,"Medium","Low"))</f>
        <v>Low</v>
      </c>
    </row>
    <row r="3075" customFormat="false" ht="15" hidden="false" customHeight="true" outlineLevel="0" collapsed="false">
      <c r="A3075" s="2" t="n">
        <f aca="false">'Raw Data'!H3075</f>
        <v>3074</v>
      </c>
      <c r="B3075" s="2" t="n">
        <f aca="false">'Raw Data'!A3075</f>
        <v>40</v>
      </c>
      <c r="C3075" s="2" t="str">
        <f aca="false">'Raw Data'!D3075</f>
        <v>Sales</v>
      </c>
      <c r="D3075" s="2" t="str">
        <f aca="false">'Raw Data'!K3075</f>
        <v>Laboratory Technician</v>
      </c>
      <c r="E3075" s="2" t="n">
        <f aca="false">'Raw Data'!Q3075</f>
        <v>20</v>
      </c>
      <c r="F3075" s="2" t="n">
        <f aca="false">'Raw Data'!U3075</f>
        <v>0</v>
      </c>
      <c r="G3075" s="2" t="n">
        <f aca="false">'Raw Data'!W3075</f>
        <v>3</v>
      </c>
      <c r="H3075" s="2" t="n">
        <f aca="false">'Raw Data'!V3075</f>
        <v>2</v>
      </c>
      <c r="I3075" s="2" t="n">
        <f aca="false">IF(AND(ISNUMBER(B3075),B3075&lt;=25),2,0)+IF(AND(ISNUMBER(E3075),E3075&lt;=5),2,0)+IF(AND(ISNUMBER(F3075),F3075&lt;=1),2,0)+IF(AND(ISNUMBER(G3075),G3075&lt;=2),1,0)+IF(AND(ISNUMBER(H3075),H3075&lt;=2),1,0)</f>
        <v>3</v>
      </c>
      <c r="J3075" s="2" t="str">
        <f aca="false">IF(I3075&gt;=6,"High",IF(I3075&gt;=3,"Medium","Low"))</f>
        <v>Medium</v>
      </c>
    </row>
    <row r="3076" customFormat="false" ht="15" hidden="false" customHeight="true" outlineLevel="0" collapsed="false">
      <c r="A3076" s="2" t="n">
        <f aca="false">'Raw Data'!H3076</f>
        <v>3075</v>
      </c>
      <c r="B3076" s="2" t="n">
        <f aca="false">'Raw Data'!A3076</f>
        <v>54</v>
      </c>
      <c r="C3076" s="2" t="str">
        <f aca="false">'Raw Data'!D3076</f>
        <v>Human Resources</v>
      </c>
      <c r="D3076" s="2" t="str">
        <f aca="false">'Raw Data'!K3076</f>
        <v>Manufacturing Director</v>
      </c>
      <c r="E3076" s="2" t="n">
        <f aca="false">'Raw Data'!Q3076</f>
        <v>24</v>
      </c>
      <c r="F3076" s="2" t="n">
        <f aca="false">'Raw Data'!U3076</f>
        <v>2</v>
      </c>
      <c r="G3076" s="2" t="n">
        <f aca="false">'Raw Data'!W3076</f>
        <v>1</v>
      </c>
      <c r="H3076" s="2" t="n">
        <f aca="false">'Raw Data'!V3076</f>
        <v>1</v>
      </c>
      <c r="I3076" s="2" t="n">
        <f aca="false">IF(AND(ISNUMBER(B3076),B3076&lt;=25),2,0)+IF(AND(ISNUMBER(E3076),E3076&lt;=5),2,0)+IF(AND(ISNUMBER(F3076),F3076&lt;=1),2,0)+IF(AND(ISNUMBER(G3076),G3076&lt;=2),1,0)+IF(AND(ISNUMBER(H3076),H3076&lt;=2),1,0)</f>
        <v>2</v>
      </c>
      <c r="J3076" s="2" t="str">
        <f aca="false">IF(I3076&gt;=6,"High",IF(I3076&gt;=3,"Medium","Low"))</f>
        <v>Low</v>
      </c>
    </row>
    <row r="3077" customFormat="false" ht="15" hidden="false" customHeight="true" outlineLevel="0" collapsed="false">
      <c r="A3077" s="2" t="n">
        <f aca="false">'Raw Data'!H3077</f>
        <v>3076</v>
      </c>
      <c r="B3077" s="2" t="n">
        <f aca="false">'Raw Data'!A3077</f>
        <v>34</v>
      </c>
      <c r="C3077" s="2" t="str">
        <f aca="false">'Raw Data'!D3077</f>
        <v>Research &amp; Development</v>
      </c>
      <c r="D3077" s="2" t="str">
        <f aca="false">'Raw Data'!K3077</f>
        <v>Laboratory Technician</v>
      </c>
      <c r="E3077" s="2" t="n">
        <f aca="false">'Raw Data'!Q3077</f>
        <v>6</v>
      </c>
      <c r="F3077" s="2" t="n">
        <f aca="false">'Raw Data'!U3077</f>
        <v>2</v>
      </c>
      <c r="G3077" s="2" t="n">
        <f aca="false">'Raw Data'!W3077</f>
        <v>3</v>
      </c>
      <c r="H3077" s="2" t="n">
        <f aca="false">'Raw Data'!V3077</f>
        <v>3</v>
      </c>
      <c r="I3077" s="2" t="n">
        <f aca="false">IF(AND(ISNUMBER(B3077),B3077&lt;=25),2,0)+IF(AND(ISNUMBER(E3077),E3077&lt;=5),2,0)+IF(AND(ISNUMBER(F3077),F3077&lt;=1),2,0)+IF(AND(ISNUMBER(G3077),G3077&lt;=2),1,0)+IF(AND(ISNUMBER(H3077),H3077&lt;=2),1,0)</f>
        <v>0</v>
      </c>
      <c r="J3077" s="2" t="str">
        <f aca="false">IF(I3077&gt;=6,"High",IF(I3077&gt;=3,"Medium","Low"))</f>
        <v>Low</v>
      </c>
    </row>
    <row r="3078" customFormat="false" ht="15" hidden="false" customHeight="true" outlineLevel="0" collapsed="false">
      <c r="A3078" s="2" t="n">
        <f aca="false">'Raw Data'!H3078</f>
        <v>3077</v>
      </c>
      <c r="B3078" s="2" t="n">
        <f aca="false">'Raw Data'!A3078</f>
        <v>31</v>
      </c>
      <c r="C3078" s="2" t="str">
        <f aca="false">'Raw Data'!D3078</f>
        <v>Research &amp; Development</v>
      </c>
      <c r="D3078" s="2" t="str">
        <f aca="false">'Raw Data'!K3078</f>
        <v>Sales Executive</v>
      </c>
      <c r="E3078" s="2" t="n">
        <f aca="false">'Raw Data'!Q3078</f>
        <v>13</v>
      </c>
      <c r="F3078" s="2" t="n">
        <f aca="false">'Raw Data'!U3078</f>
        <v>12</v>
      </c>
      <c r="G3078" s="2" t="n">
        <f aca="false">'Raw Data'!W3078</f>
        <v>1</v>
      </c>
      <c r="H3078" s="2" t="n">
        <f aca="false">'Raw Data'!V3078</f>
        <v>2</v>
      </c>
      <c r="I3078" s="2" t="n">
        <f aca="false">IF(AND(ISNUMBER(B3078),B3078&lt;=25),2,0)+IF(AND(ISNUMBER(E3078),E3078&lt;=5),2,0)+IF(AND(ISNUMBER(F3078),F3078&lt;=1),2,0)+IF(AND(ISNUMBER(G3078),G3078&lt;=2),1,0)+IF(AND(ISNUMBER(H3078),H3078&lt;=2),1,0)</f>
        <v>2</v>
      </c>
      <c r="J3078" s="2" t="str">
        <f aca="false">IF(I3078&gt;=6,"High",IF(I3078&gt;=3,"Medium","Low"))</f>
        <v>Low</v>
      </c>
    </row>
    <row r="3079" customFormat="false" ht="15" hidden="false" customHeight="true" outlineLevel="0" collapsed="false">
      <c r="A3079" s="2" t="n">
        <f aca="false">'Raw Data'!H3079</f>
        <v>3078</v>
      </c>
      <c r="B3079" s="2" t="n">
        <f aca="false">'Raw Data'!A3079</f>
        <v>43</v>
      </c>
      <c r="C3079" s="2" t="str">
        <f aca="false">'Raw Data'!D3079</f>
        <v>Sales</v>
      </c>
      <c r="D3079" s="2" t="str">
        <f aca="false">'Raw Data'!K3079</f>
        <v>Manufacturing Director</v>
      </c>
      <c r="E3079" s="2" t="n">
        <f aca="false">'Raw Data'!Q3079</f>
        <v>8</v>
      </c>
      <c r="F3079" s="2" t="n">
        <f aca="false">'Raw Data'!U3079</f>
        <v>2</v>
      </c>
      <c r="G3079" s="2" t="n">
        <f aca="false">'Raw Data'!W3079</f>
        <v>4</v>
      </c>
      <c r="H3079" s="2" t="n">
        <f aca="false">'Raw Data'!V3079</f>
        <v>4</v>
      </c>
      <c r="I3079" s="2" t="n">
        <f aca="false">IF(AND(ISNUMBER(B3079),B3079&lt;=25),2,0)+IF(AND(ISNUMBER(E3079),E3079&lt;=5),2,0)+IF(AND(ISNUMBER(F3079),F3079&lt;=1),2,0)+IF(AND(ISNUMBER(G3079),G3079&lt;=2),1,0)+IF(AND(ISNUMBER(H3079),H3079&lt;=2),1,0)</f>
        <v>0</v>
      </c>
      <c r="J3079" s="2" t="str">
        <f aca="false">IF(I3079&gt;=6,"High",IF(I3079&gt;=3,"Medium","Low"))</f>
        <v>Low</v>
      </c>
    </row>
    <row r="3080" customFormat="false" ht="15" hidden="false" customHeight="true" outlineLevel="0" collapsed="false">
      <c r="A3080" s="2" t="n">
        <f aca="false">'Raw Data'!H3080</f>
        <v>3079</v>
      </c>
      <c r="B3080" s="2" t="n">
        <f aca="false">'Raw Data'!A3080</f>
        <v>43</v>
      </c>
      <c r="C3080" s="2" t="str">
        <f aca="false">'Raw Data'!D3080</f>
        <v>Sales</v>
      </c>
      <c r="D3080" s="2" t="str">
        <f aca="false">'Raw Data'!K3080</f>
        <v>Sales Representative</v>
      </c>
      <c r="E3080" s="2" t="n">
        <f aca="false">'Raw Data'!Q3080</f>
        <v>8</v>
      </c>
      <c r="F3080" s="2" t="n">
        <f aca="false">'Raw Data'!U3080</f>
        <v>2</v>
      </c>
      <c r="G3080" s="2" t="n">
        <f aca="false">'Raw Data'!W3080</f>
        <v>3</v>
      </c>
      <c r="H3080" s="2" t="n">
        <f aca="false">'Raw Data'!V3080</f>
        <v>3</v>
      </c>
      <c r="I3080" s="2" t="n">
        <f aca="false">IF(AND(ISNUMBER(B3080),B3080&lt;=25),2,0)+IF(AND(ISNUMBER(E3080),E3080&lt;=5),2,0)+IF(AND(ISNUMBER(F3080),F3080&lt;=1),2,0)+IF(AND(ISNUMBER(G3080),G3080&lt;=2),1,0)+IF(AND(ISNUMBER(H3080),H3080&lt;=2),1,0)</f>
        <v>0</v>
      </c>
      <c r="J3080" s="2" t="str">
        <f aca="false">IF(I3080&gt;=6,"High",IF(I3080&gt;=3,"Medium","Low"))</f>
        <v>Low</v>
      </c>
    </row>
    <row r="3081" customFormat="false" ht="15" hidden="false" customHeight="true" outlineLevel="0" collapsed="false">
      <c r="A3081" s="2" t="n">
        <f aca="false">'Raw Data'!H3081</f>
        <v>3080</v>
      </c>
      <c r="B3081" s="2" t="n">
        <f aca="false">'Raw Data'!A3081</f>
        <v>25</v>
      </c>
      <c r="C3081" s="2" t="str">
        <f aca="false">'Raw Data'!D3081</f>
        <v>Human Resources</v>
      </c>
      <c r="D3081" s="2" t="str">
        <f aca="false">'Raw Data'!K3081</f>
        <v>Manufacturing Director</v>
      </c>
      <c r="E3081" s="2" t="n">
        <f aca="false">'Raw Data'!Q3081</f>
        <v>5</v>
      </c>
      <c r="F3081" s="2" t="n">
        <f aca="false">'Raw Data'!U3081</f>
        <v>3</v>
      </c>
      <c r="G3081" s="2" t="n">
        <f aca="false">'Raw Data'!W3081</f>
        <v>4</v>
      </c>
      <c r="H3081" s="2" t="n">
        <f aca="false">'Raw Data'!V3081</f>
        <v>2</v>
      </c>
      <c r="I3081" s="2" t="n">
        <f aca="false">IF(AND(ISNUMBER(B3081),B3081&lt;=25),2,0)+IF(AND(ISNUMBER(E3081),E3081&lt;=5),2,0)+IF(AND(ISNUMBER(F3081),F3081&lt;=1),2,0)+IF(AND(ISNUMBER(G3081),G3081&lt;=2),1,0)+IF(AND(ISNUMBER(H3081),H3081&lt;=2),1,0)</f>
        <v>5</v>
      </c>
      <c r="J3081" s="2" t="str">
        <f aca="false">IF(I3081&gt;=6,"High",IF(I3081&gt;=3,"Medium","Low"))</f>
        <v>Medium</v>
      </c>
    </row>
    <row r="3082" customFormat="false" ht="15" hidden="false" customHeight="true" outlineLevel="0" collapsed="false">
      <c r="A3082" s="2" t="n">
        <f aca="false">'Raw Data'!H3082</f>
        <v>3081</v>
      </c>
      <c r="B3082" s="2" t="n">
        <f aca="false">'Raw Data'!A3082</f>
        <v>37</v>
      </c>
      <c r="C3082" s="2" t="str">
        <f aca="false">'Raw Data'!D3082</f>
        <v>Research &amp; Development</v>
      </c>
      <c r="D3082" s="2" t="str">
        <f aca="false">'Raw Data'!K3082</f>
        <v>Laboratory Technician</v>
      </c>
      <c r="E3082" s="2" t="n">
        <f aca="false">'Raw Data'!Q3082</f>
        <v>15</v>
      </c>
      <c r="F3082" s="2" t="n">
        <f aca="false">'Raw Data'!U3082</f>
        <v>7</v>
      </c>
      <c r="G3082" s="2" t="n">
        <f aca="false">'Raw Data'!W3082</f>
        <v>3</v>
      </c>
      <c r="H3082" s="2" t="n">
        <f aca="false">'Raw Data'!V3082</f>
        <v>2</v>
      </c>
      <c r="I3082" s="2" t="n">
        <f aca="false">IF(AND(ISNUMBER(B3082),B3082&lt;=25),2,0)+IF(AND(ISNUMBER(E3082),E3082&lt;=5),2,0)+IF(AND(ISNUMBER(F3082),F3082&lt;=1),2,0)+IF(AND(ISNUMBER(G3082),G3082&lt;=2),1,0)+IF(AND(ISNUMBER(H3082),H3082&lt;=2),1,0)</f>
        <v>1</v>
      </c>
      <c r="J3082" s="2" t="str">
        <f aca="false">IF(I3082&gt;=6,"High",IF(I3082&gt;=3,"Medium","Low"))</f>
        <v>Low</v>
      </c>
    </row>
    <row r="3083" customFormat="false" ht="15" hidden="false" customHeight="true" outlineLevel="0" collapsed="false">
      <c r="A3083" s="2" t="n">
        <f aca="false">'Raw Data'!H3083</f>
        <v>3082</v>
      </c>
      <c r="B3083" s="2" t="n">
        <f aca="false">'Raw Data'!A3083</f>
        <v>31</v>
      </c>
      <c r="C3083" s="2" t="str">
        <f aca="false">'Raw Data'!D3083</f>
        <v>Research &amp; Development</v>
      </c>
      <c r="D3083" s="2" t="str">
        <f aca="false">'Raw Data'!K3083</f>
        <v>Laboratory Technician</v>
      </c>
      <c r="E3083" s="2" t="n">
        <f aca="false">'Raw Data'!Q3083</f>
        <v>4</v>
      </c>
      <c r="F3083" s="2" t="n">
        <f aca="false">'Raw Data'!U3083</f>
        <v>2</v>
      </c>
      <c r="G3083" s="2" t="n">
        <f aca="false">'Raw Data'!W3083</f>
        <v>1</v>
      </c>
      <c r="H3083" s="2" t="n">
        <f aca="false">'Raw Data'!V3083</f>
        <v>4</v>
      </c>
      <c r="I3083" s="2" t="n">
        <f aca="false">IF(AND(ISNUMBER(B3083),B3083&lt;=25),2,0)+IF(AND(ISNUMBER(E3083),E3083&lt;=5),2,0)+IF(AND(ISNUMBER(F3083),F3083&lt;=1),2,0)+IF(AND(ISNUMBER(G3083),G3083&lt;=2),1,0)+IF(AND(ISNUMBER(H3083),H3083&lt;=2),1,0)</f>
        <v>3</v>
      </c>
      <c r="J3083" s="2" t="str">
        <f aca="false">IF(I3083&gt;=6,"High",IF(I3083&gt;=3,"Medium","Low"))</f>
        <v>Medium</v>
      </c>
    </row>
    <row r="3084" customFormat="false" ht="15" hidden="false" customHeight="true" outlineLevel="0" collapsed="false">
      <c r="A3084" s="2" t="n">
        <f aca="false">'Raw Data'!H3084</f>
        <v>3083</v>
      </c>
      <c r="B3084" s="2" t="n">
        <f aca="false">'Raw Data'!A3084</f>
        <v>39</v>
      </c>
      <c r="C3084" s="2" t="str">
        <f aca="false">'Raw Data'!D3084</f>
        <v>Research &amp; Development</v>
      </c>
      <c r="D3084" s="2" t="str">
        <f aca="false">'Raw Data'!K3084</f>
        <v>Sales Executive</v>
      </c>
      <c r="E3084" s="2" t="n">
        <f aca="false">'Raw Data'!Q3084</f>
        <v>21</v>
      </c>
      <c r="F3084" s="2" t="n">
        <f aca="false">'Raw Data'!U3084</f>
        <v>6</v>
      </c>
      <c r="G3084" s="2" t="n">
        <f aca="false">'Raw Data'!W3084</f>
        <v>3</v>
      </c>
      <c r="H3084" s="2" t="n">
        <f aca="false">'Raw Data'!V3084</f>
        <v>2</v>
      </c>
      <c r="I3084" s="2" t="n">
        <f aca="false">IF(AND(ISNUMBER(B3084),B3084&lt;=25),2,0)+IF(AND(ISNUMBER(E3084),E3084&lt;=5),2,0)+IF(AND(ISNUMBER(F3084),F3084&lt;=1),2,0)+IF(AND(ISNUMBER(G3084),G3084&lt;=2),1,0)+IF(AND(ISNUMBER(H3084),H3084&lt;=2),1,0)</f>
        <v>1</v>
      </c>
      <c r="J3084" s="2" t="str">
        <f aca="false">IF(I3084&gt;=6,"High",IF(I3084&gt;=3,"Medium","Low"))</f>
        <v>Low</v>
      </c>
    </row>
    <row r="3085" customFormat="false" ht="15" hidden="false" customHeight="true" outlineLevel="0" collapsed="false">
      <c r="A3085" s="2" t="n">
        <f aca="false">'Raw Data'!H3085</f>
        <v>3084</v>
      </c>
      <c r="B3085" s="2" t="n">
        <f aca="false">'Raw Data'!A3085</f>
        <v>56</v>
      </c>
      <c r="C3085" s="2" t="str">
        <f aca="false">'Raw Data'!D3085</f>
        <v>Research &amp; Development</v>
      </c>
      <c r="D3085" s="2" t="str">
        <f aca="false">'Raw Data'!K3085</f>
        <v>Sales Executive</v>
      </c>
      <c r="E3085" s="2" t="n">
        <f aca="false">'Raw Data'!Q3085</f>
        <v>36</v>
      </c>
      <c r="F3085" s="2" t="n">
        <f aca="false">'Raw Data'!U3085</f>
        <v>7</v>
      </c>
      <c r="G3085" s="2" t="n">
        <f aca="false">'Raw Data'!W3085</f>
        <v>1</v>
      </c>
      <c r="H3085" s="2" t="n">
        <f aca="false">'Raw Data'!V3085</f>
        <v>3</v>
      </c>
      <c r="I3085" s="2" t="n">
        <f aca="false">IF(AND(ISNUMBER(B3085),B3085&lt;=25),2,0)+IF(AND(ISNUMBER(E3085),E3085&lt;=5),2,0)+IF(AND(ISNUMBER(F3085),F3085&lt;=1),2,0)+IF(AND(ISNUMBER(G3085),G3085&lt;=2),1,0)+IF(AND(ISNUMBER(H3085),H3085&lt;=2),1,0)</f>
        <v>1</v>
      </c>
      <c r="J3085" s="2" t="str">
        <f aca="false">IF(I3085&gt;=6,"High",IF(I3085&gt;=3,"Medium","Low"))</f>
        <v>Low</v>
      </c>
    </row>
    <row r="3086" customFormat="false" ht="15" hidden="false" customHeight="true" outlineLevel="0" collapsed="false">
      <c r="A3086" s="2" t="n">
        <f aca="false">'Raw Data'!H3086</f>
        <v>3085</v>
      </c>
      <c r="B3086" s="2" t="n">
        <f aca="false">'Raw Data'!A3086</f>
        <v>30</v>
      </c>
      <c r="C3086" s="2" t="str">
        <f aca="false">'Raw Data'!D3086</f>
        <v>Sales</v>
      </c>
      <c r="D3086" s="2" t="str">
        <f aca="false">'Raw Data'!K3086</f>
        <v>Manufacturing Director</v>
      </c>
      <c r="E3086" s="2" t="n">
        <f aca="false">'Raw Data'!Q3086</f>
        <v>6</v>
      </c>
      <c r="F3086" s="2" t="n">
        <f aca="false">'Raw Data'!U3086</f>
        <v>4</v>
      </c>
      <c r="G3086" s="2" t="n">
        <f aca="false">'Raw Data'!W3086</f>
        <v>3</v>
      </c>
      <c r="H3086" s="2" t="n">
        <f aca="false">'Raw Data'!V3086</f>
        <v>2</v>
      </c>
      <c r="I3086" s="2" t="n">
        <f aca="false">IF(AND(ISNUMBER(B3086),B3086&lt;=25),2,0)+IF(AND(ISNUMBER(E3086),E3086&lt;=5),2,0)+IF(AND(ISNUMBER(F3086),F3086&lt;=1),2,0)+IF(AND(ISNUMBER(G3086),G3086&lt;=2),1,0)+IF(AND(ISNUMBER(H3086),H3086&lt;=2),1,0)</f>
        <v>1</v>
      </c>
      <c r="J3086" s="2" t="str">
        <f aca="false">IF(I3086&gt;=6,"High",IF(I3086&gt;=3,"Medium","Low"))</f>
        <v>Low</v>
      </c>
    </row>
    <row r="3087" customFormat="false" ht="15" hidden="false" customHeight="true" outlineLevel="0" collapsed="false">
      <c r="A3087" s="2" t="n">
        <f aca="false">'Raw Data'!H3087</f>
        <v>3086</v>
      </c>
      <c r="B3087" s="2" t="n">
        <f aca="false">'Raw Data'!A3087</f>
        <v>41</v>
      </c>
      <c r="C3087" s="2" t="str">
        <f aca="false">'Raw Data'!D3087</f>
        <v>Research &amp; Development</v>
      </c>
      <c r="D3087" s="2" t="str">
        <f aca="false">'Raw Data'!K3087</f>
        <v>Research Scientist</v>
      </c>
      <c r="E3087" s="2" t="n">
        <f aca="false">'Raw Data'!Q3087</f>
        <v>10</v>
      </c>
      <c r="F3087" s="2" t="n">
        <f aca="false">'Raw Data'!U3087</f>
        <v>7</v>
      </c>
      <c r="G3087" s="2" t="n">
        <f aca="false">'Raw Data'!W3087</f>
        <v>0</v>
      </c>
      <c r="H3087" s="2" t="n">
        <f aca="false">'Raw Data'!V3087</f>
        <v>2</v>
      </c>
      <c r="I3087" s="2" t="n">
        <f aca="false">IF(AND(ISNUMBER(B3087),B3087&lt;=25),2,0)+IF(AND(ISNUMBER(E3087),E3087&lt;=5),2,0)+IF(AND(ISNUMBER(F3087),F3087&lt;=1),2,0)+IF(AND(ISNUMBER(G3087),G3087&lt;=2),1,0)+IF(AND(ISNUMBER(H3087),H3087&lt;=2),1,0)</f>
        <v>1</v>
      </c>
      <c r="J3087" s="2" t="str">
        <f aca="false">IF(I3087&gt;=6,"High",IF(I3087&gt;=3,"Medium","Low"))</f>
        <v>Low</v>
      </c>
    </row>
    <row r="3088" customFormat="false" ht="15" hidden="false" customHeight="true" outlineLevel="0" collapsed="false">
      <c r="A3088" s="2" t="n">
        <f aca="false">'Raw Data'!H3088</f>
        <v>3087</v>
      </c>
      <c r="B3088" s="2" t="n">
        <f aca="false">'Raw Data'!A3088</f>
        <v>28</v>
      </c>
      <c r="C3088" s="2" t="str">
        <f aca="false">'Raw Data'!D3088</f>
        <v>Research &amp; Development</v>
      </c>
      <c r="D3088" s="2" t="str">
        <f aca="false">'Raw Data'!K3088</f>
        <v>Healthcare Representative</v>
      </c>
      <c r="E3088" s="2" t="n">
        <f aca="false">'Raw Data'!Q3088</f>
        <v>10</v>
      </c>
      <c r="F3088" s="2" t="n">
        <f aca="false">'Raw Data'!U3088</f>
        <v>8</v>
      </c>
      <c r="G3088" s="2" t="n">
        <f aca="false">'Raw Data'!W3088</f>
        <v>1</v>
      </c>
      <c r="H3088" s="2" t="n">
        <f aca="false">'Raw Data'!V3088</f>
        <v>3</v>
      </c>
      <c r="I3088" s="2" t="n">
        <f aca="false">IF(AND(ISNUMBER(B3088),B3088&lt;=25),2,0)+IF(AND(ISNUMBER(E3088),E3088&lt;=5),2,0)+IF(AND(ISNUMBER(F3088),F3088&lt;=1),2,0)+IF(AND(ISNUMBER(G3088),G3088&lt;=2),1,0)+IF(AND(ISNUMBER(H3088),H3088&lt;=2),1,0)</f>
        <v>1</v>
      </c>
      <c r="J3088" s="2" t="str">
        <f aca="false">IF(I3088&gt;=6,"High",IF(I3088&gt;=3,"Medium","Low"))</f>
        <v>Low</v>
      </c>
    </row>
    <row r="3089" customFormat="false" ht="15" hidden="false" customHeight="true" outlineLevel="0" collapsed="false">
      <c r="A3089" s="2" t="n">
        <f aca="false">'Raw Data'!H3089</f>
        <v>3088</v>
      </c>
      <c r="B3089" s="2" t="n">
        <f aca="false">'Raw Data'!A3089</f>
        <v>25</v>
      </c>
      <c r="C3089" s="2" t="str">
        <f aca="false">'Raw Data'!D3089</f>
        <v>Research &amp; Development</v>
      </c>
      <c r="D3089" s="2" t="str">
        <f aca="false">'Raw Data'!K3089</f>
        <v>Laboratory Technician</v>
      </c>
      <c r="E3089" s="2" t="n">
        <f aca="false">'Raw Data'!Q3089</f>
        <v>6</v>
      </c>
      <c r="F3089" s="2" t="n">
        <f aca="false">'Raw Data'!U3089</f>
        <v>2</v>
      </c>
      <c r="G3089" s="2" t="n">
        <f aca="false">'Raw Data'!W3089</f>
        <v>1</v>
      </c>
      <c r="H3089" s="2" t="n">
        <f aca="false">'Raw Data'!V3089</f>
        <v>1</v>
      </c>
      <c r="I3089" s="2" t="n">
        <f aca="false">IF(AND(ISNUMBER(B3089),B3089&lt;=25),2,0)+IF(AND(ISNUMBER(E3089),E3089&lt;=5),2,0)+IF(AND(ISNUMBER(F3089),F3089&lt;=1),2,0)+IF(AND(ISNUMBER(G3089),G3089&lt;=2),1,0)+IF(AND(ISNUMBER(H3089),H3089&lt;=2),1,0)</f>
        <v>4</v>
      </c>
      <c r="J3089" s="2" t="str">
        <f aca="false">IF(I3089&gt;=6,"High",IF(I3089&gt;=3,"Medium","Low"))</f>
        <v>Medium</v>
      </c>
    </row>
    <row r="3090" customFormat="false" ht="15" hidden="false" customHeight="true" outlineLevel="0" collapsed="false">
      <c r="A3090" s="2" t="n">
        <f aca="false">'Raw Data'!H3090</f>
        <v>3089</v>
      </c>
      <c r="B3090" s="2" t="n">
        <f aca="false">'Raw Data'!A3090</f>
        <v>52</v>
      </c>
      <c r="C3090" s="2" t="str">
        <f aca="false">'Raw Data'!D3090</f>
        <v>Research &amp; Development</v>
      </c>
      <c r="D3090" s="2" t="str">
        <f aca="false">'Raw Data'!K3090</f>
        <v>Sales Representative</v>
      </c>
      <c r="E3090" s="2" t="n">
        <f aca="false">'Raw Data'!Q3090</f>
        <v>28</v>
      </c>
      <c r="F3090" s="2" t="n">
        <f aca="false">'Raw Data'!U3090</f>
        <v>4</v>
      </c>
      <c r="G3090" s="2" t="n">
        <f aca="false">'Raw Data'!W3090</f>
        <v>3</v>
      </c>
      <c r="H3090" s="2" t="n">
        <f aca="false">'Raw Data'!V3090</f>
        <v>4</v>
      </c>
      <c r="I3090" s="2" t="n">
        <f aca="false">IF(AND(ISNUMBER(B3090),B3090&lt;=25),2,0)+IF(AND(ISNUMBER(E3090),E3090&lt;=5),2,0)+IF(AND(ISNUMBER(F3090),F3090&lt;=1),2,0)+IF(AND(ISNUMBER(G3090),G3090&lt;=2),1,0)+IF(AND(ISNUMBER(H3090),H3090&lt;=2),1,0)</f>
        <v>0</v>
      </c>
      <c r="J3090" s="2" t="str">
        <f aca="false">IF(I3090&gt;=6,"High",IF(I3090&gt;=3,"Medium","Low"))</f>
        <v>Low</v>
      </c>
    </row>
    <row r="3091" customFormat="false" ht="15" hidden="false" customHeight="true" outlineLevel="0" collapsed="false">
      <c r="A3091" s="2" t="n">
        <f aca="false">'Raw Data'!H3091</f>
        <v>3090</v>
      </c>
      <c r="B3091" s="2" t="n">
        <f aca="false">'Raw Data'!A3091</f>
        <v>45</v>
      </c>
      <c r="C3091" s="2" t="str">
        <f aca="false">'Raw Data'!D3091</f>
        <v>Research &amp; Development</v>
      </c>
      <c r="D3091" s="2" t="str">
        <f aca="false">'Raw Data'!K3091</f>
        <v>Sales Executive</v>
      </c>
      <c r="E3091" s="2" t="n">
        <f aca="false">'Raw Data'!Q3091</f>
        <v>8</v>
      </c>
      <c r="F3091" s="2" t="n">
        <f aca="false">'Raw Data'!U3091</f>
        <v>2</v>
      </c>
      <c r="G3091" s="2" t="n">
        <f aca="false">'Raw Data'!W3091</f>
        <v>4</v>
      </c>
      <c r="H3091" s="2" t="n">
        <f aca="false">'Raw Data'!V3091</f>
        <v>1</v>
      </c>
      <c r="I3091" s="2" t="n">
        <f aca="false">IF(AND(ISNUMBER(B3091),B3091&lt;=25),2,0)+IF(AND(ISNUMBER(E3091),E3091&lt;=5),2,0)+IF(AND(ISNUMBER(F3091),F3091&lt;=1),2,0)+IF(AND(ISNUMBER(G3091),G3091&lt;=2),1,0)+IF(AND(ISNUMBER(H3091),H3091&lt;=2),1,0)</f>
        <v>1</v>
      </c>
      <c r="J3091" s="2" t="str">
        <f aca="false">IF(I3091&gt;=6,"High",IF(I3091&gt;=3,"Medium","Low"))</f>
        <v>Low</v>
      </c>
    </row>
    <row r="3092" customFormat="false" ht="15" hidden="false" customHeight="true" outlineLevel="0" collapsed="false">
      <c r="A3092" s="2" t="n">
        <f aca="false">'Raw Data'!H3092</f>
        <v>3091</v>
      </c>
      <c r="B3092" s="2" t="n">
        <f aca="false">'Raw Data'!A3092</f>
        <v>52</v>
      </c>
      <c r="C3092" s="2" t="str">
        <f aca="false">'Raw Data'!D3092</f>
        <v>Research &amp; Development</v>
      </c>
      <c r="D3092" s="2" t="str">
        <f aca="false">'Raw Data'!K3092</f>
        <v>Research Scientist</v>
      </c>
      <c r="E3092" s="2" t="n">
        <f aca="false">'Raw Data'!Q3092</f>
        <v>31</v>
      </c>
      <c r="F3092" s="2" t="n">
        <f aca="false">'Raw Data'!U3092</f>
        <v>4</v>
      </c>
      <c r="G3092" s="2" t="n">
        <f aca="false">'Raw Data'!W3092</f>
        <v>4</v>
      </c>
      <c r="H3092" s="2" t="n">
        <f aca="false">'Raw Data'!V3092</f>
        <v>4</v>
      </c>
      <c r="I3092" s="2" t="n">
        <f aca="false">IF(AND(ISNUMBER(B3092),B3092&lt;=25),2,0)+IF(AND(ISNUMBER(E3092),E3092&lt;=5),2,0)+IF(AND(ISNUMBER(F3092),F3092&lt;=1),2,0)+IF(AND(ISNUMBER(G3092),G3092&lt;=2),1,0)+IF(AND(ISNUMBER(H3092),H3092&lt;=2),1,0)</f>
        <v>0</v>
      </c>
      <c r="J3092" s="2" t="str">
        <f aca="false">IF(I3092&gt;=6,"High",IF(I3092&gt;=3,"Medium","Low"))</f>
        <v>Low</v>
      </c>
    </row>
    <row r="3093" customFormat="false" ht="15" hidden="false" customHeight="true" outlineLevel="0" collapsed="false">
      <c r="A3093" s="2" t="n">
        <f aca="false">'Raw Data'!H3093</f>
        <v>3092</v>
      </c>
      <c r="B3093" s="2" t="n">
        <f aca="false">'Raw Data'!A3093</f>
        <v>42</v>
      </c>
      <c r="C3093" s="2" t="str">
        <f aca="false">'Raw Data'!D3093</f>
        <v>Sales</v>
      </c>
      <c r="D3093" s="2" t="str">
        <f aca="false">'Raw Data'!K3093</f>
        <v>Healthcare Representative</v>
      </c>
      <c r="E3093" s="2" t="n">
        <f aca="false">'Raw Data'!Q3093</f>
        <v>19</v>
      </c>
      <c r="F3093" s="2" t="n">
        <f aca="false">'Raw Data'!U3093</f>
        <v>2</v>
      </c>
      <c r="G3093" s="2" t="n">
        <f aca="false">'Raw Data'!W3093</f>
        <v>3</v>
      </c>
      <c r="H3093" s="2" t="n">
        <f aca="false">'Raw Data'!V3093</f>
        <v>1</v>
      </c>
      <c r="I3093" s="2" t="n">
        <f aca="false">IF(AND(ISNUMBER(B3093),B3093&lt;=25),2,0)+IF(AND(ISNUMBER(E3093),E3093&lt;=5),2,0)+IF(AND(ISNUMBER(F3093),F3093&lt;=1),2,0)+IF(AND(ISNUMBER(G3093),G3093&lt;=2),1,0)+IF(AND(ISNUMBER(H3093),H3093&lt;=2),1,0)</f>
        <v>1</v>
      </c>
      <c r="J3093" s="2" t="str">
        <f aca="false">IF(I3093&gt;=6,"High",IF(I3093&gt;=3,"Medium","Low"))</f>
        <v>Low</v>
      </c>
    </row>
    <row r="3094" customFormat="false" ht="15" hidden="false" customHeight="true" outlineLevel="0" collapsed="false">
      <c r="A3094" s="2" t="n">
        <f aca="false">'Raw Data'!H3094</f>
        <v>3093</v>
      </c>
      <c r="B3094" s="2" t="n">
        <f aca="false">'Raw Data'!A3094</f>
        <v>30</v>
      </c>
      <c r="C3094" s="2" t="str">
        <f aca="false">'Raw Data'!D3094</f>
        <v>Sales</v>
      </c>
      <c r="D3094" s="2" t="str">
        <f aca="false">'Raw Data'!K3094</f>
        <v>Sales Executive</v>
      </c>
      <c r="E3094" s="2" t="n">
        <f aca="false">'Raw Data'!Q3094</f>
        <v>11</v>
      </c>
      <c r="F3094" s="2" t="n">
        <f aca="false">'Raw Data'!U3094</f>
        <v>2</v>
      </c>
      <c r="G3094" s="2" t="n">
        <f aca="false">'Raw Data'!W3094</f>
        <v>4</v>
      </c>
      <c r="H3094" s="2" t="n">
        <f aca="false">'Raw Data'!V3094</f>
        <v>3</v>
      </c>
      <c r="I3094" s="2" t="n">
        <f aca="false">IF(AND(ISNUMBER(B3094),B3094&lt;=25),2,0)+IF(AND(ISNUMBER(E3094),E3094&lt;=5),2,0)+IF(AND(ISNUMBER(F3094),F3094&lt;=1),2,0)+IF(AND(ISNUMBER(G3094),G3094&lt;=2),1,0)+IF(AND(ISNUMBER(H3094),H3094&lt;=2),1,0)</f>
        <v>0</v>
      </c>
      <c r="J3094" s="2" t="str">
        <f aca="false">IF(I3094&gt;=6,"High",IF(I3094&gt;=3,"Medium","Low"))</f>
        <v>Low</v>
      </c>
    </row>
    <row r="3095" customFormat="false" ht="15" hidden="false" customHeight="true" outlineLevel="0" collapsed="false">
      <c r="A3095" s="2" t="n">
        <f aca="false">'Raw Data'!H3095</f>
        <v>3094</v>
      </c>
      <c r="B3095" s="2" t="n">
        <f aca="false">'Raw Data'!A3095</f>
        <v>60</v>
      </c>
      <c r="C3095" s="2" t="str">
        <f aca="false">'Raw Data'!D3095</f>
        <v>Research &amp; Development</v>
      </c>
      <c r="D3095" s="2" t="str">
        <f aca="false">'Raw Data'!K3095</f>
        <v>Manufacturing Director</v>
      </c>
      <c r="E3095" s="2" t="n">
        <f aca="false">'Raw Data'!Q3095</f>
        <v>33</v>
      </c>
      <c r="F3095" s="2" t="n">
        <f aca="false">'Raw Data'!U3095</f>
        <v>10</v>
      </c>
      <c r="G3095" s="2" t="n">
        <f aca="false">'Raw Data'!W3095</f>
        <v>1</v>
      </c>
      <c r="H3095" s="2" t="n">
        <f aca="false">'Raw Data'!V3095</f>
        <v>1</v>
      </c>
      <c r="I3095" s="2" t="n">
        <f aca="false">IF(AND(ISNUMBER(B3095),B3095&lt;=25),2,0)+IF(AND(ISNUMBER(E3095),E3095&lt;=5),2,0)+IF(AND(ISNUMBER(F3095),F3095&lt;=1),2,0)+IF(AND(ISNUMBER(G3095),G3095&lt;=2),1,0)+IF(AND(ISNUMBER(H3095),H3095&lt;=2),1,0)</f>
        <v>2</v>
      </c>
      <c r="J3095" s="2" t="str">
        <f aca="false">IF(I3095&gt;=6,"High",IF(I3095&gt;=3,"Medium","Low"))</f>
        <v>Low</v>
      </c>
    </row>
    <row r="3096" customFormat="false" ht="15" hidden="false" customHeight="true" outlineLevel="0" collapsed="false">
      <c r="A3096" s="2" t="n">
        <f aca="false">'Raw Data'!H3096</f>
        <v>3095</v>
      </c>
      <c r="B3096" s="2" t="n">
        <f aca="false">'Raw Data'!A3096</f>
        <v>46</v>
      </c>
      <c r="C3096" s="2" t="str">
        <f aca="false">'Raw Data'!D3096</f>
        <v>Sales</v>
      </c>
      <c r="D3096" s="2" t="str">
        <f aca="false">'Raw Data'!K3096</f>
        <v>Sales Executive</v>
      </c>
      <c r="E3096" s="2" t="n">
        <f aca="false">'Raw Data'!Q3096</f>
        <v>19</v>
      </c>
      <c r="F3096" s="2" t="n">
        <f aca="false">'Raw Data'!U3096</f>
        <v>8</v>
      </c>
      <c r="G3096" s="2" t="n">
        <f aca="false">'Raw Data'!W3096</f>
        <v>3</v>
      </c>
      <c r="H3096" s="2" t="n">
        <f aca="false">'Raw Data'!V3096</f>
        <v>3</v>
      </c>
      <c r="I3096" s="2" t="n">
        <f aca="false">IF(AND(ISNUMBER(B3096),B3096&lt;=25),2,0)+IF(AND(ISNUMBER(E3096),E3096&lt;=5),2,0)+IF(AND(ISNUMBER(F3096),F3096&lt;=1),2,0)+IF(AND(ISNUMBER(G3096),G3096&lt;=2),1,0)+IF(AND(ISNUMBER(H3096),H3096&lt;=2),1,0)</f>
        <v>0</v>
      </c>
      <c r="J3096" s="2" t="str">
        <f aca="false">IF(I3096&gt;=6,"High",IF(I3096&gt;=3,"Medium","Low"))</f>
        <v>Low</v>
      </c>
    </row>
    <row r="3097" customFormat="false" ht="15" hidden="false" customHeight="true" outlineLevel="0" collapsed="false">
      <c r="A3097" s="2" t="n">
        <f aca="false">'Raw Data'!H3097</f>
        <v>3096</v>
      </c>
      <c r="B3097" s="2" t="n">
        <f aca="false">'Raw Data'!A3097</f>
        <v>42</v>
      </c>
      <c r="C3097" s="2" t="str">
        <f aca="false">'Raw Data'!D3097</f>
        <v>Research &amp; Development</v>
      </c>
      <c r="D3097" s="2" t="str">
        <f aca="false">'Raw Data'!K3097</f>
        <v>Sales Executive</v>
      </c>
      <c r="E3097" s="2" t="n">
        <f aca="false">'Raw Data'!Q3097</f>
        <v>7</v>
      </c>
      <c r="F3097" s="2" t="n">
        <f aca="false">'Raw Data'!U3097</f>
        <v>4</v>
      </c>
      <c r="G3097" s="2" t="n">
        <f aca="false">'Raw Data'!W3097</f>
        <v>4</v>
      </c>
      <c r="H3097" s="2" t="n">
        <f aca="false">'Raw Data'!V3097</f>
        <v>4</v>
      </c>
      <c r="I3097" s="2" t="n">
        <f aca="false">IF(AND(ISNUMBER(B3097),B3097&lt;=25),2,0)+IF(AND(ISNUMBER(E3097),E3097&lt;=5),2,0)+IF(AND(ISNUMBER(F3097),F3097&lt;=1),2,0)+IF(AND(ISNUMBER(G3097),G3097&lt;=2),1,0)+IF(AND(ISNUMBER(H3097),H3097&lt;=2),1,0)</f>
        <v>0</v>
      </c>
      <c r="J3097" s="2" t="str">
        <f aca="false">IF(I3097&gt;=6,"High",IF(I3097&gt;=3,"Medium","Low"))</f>
        <v>Low</v>
      </c>
    </row>
    <row r="3098" customFormat="false" ht="15" hidden="false" customHeight="true" outlineLevel="0" collapsed="false">
      <c r="A3098" s="2" t="n">
        <f aca="false">'Raw Data'!H3098</f>
        <v>3097</v>
      </c>
      <c r="B3098" s="2" t="n">
        <f aca="false">'Raw Data'!A3098</f>
        <v>24</v>
      </c>
      <c r="C3098" s="2" t="str">
        <f aca="false">'Raw Data'!D3098</f>
        <v>Research &amp; Development</v>
      </c>
      <c r="D3098" s="2" t="str">
        <f aca="false">'Raw Data'!K3098</f>
        <v>Research Scientist</v>
      </c>
      <c r="E3098" s="2" t="n">
        <f aca="false">'Raw Data'!Q3098</f>
        <v>6</v>
      </c>
      <c r="F3098" s="2" t="n">
        <f aca="false">'Raw Data'!U3098</f>
        <v>4</v>
      </c>
      <c r="G3098" s="2" t="n">
        <f aca="false">'Raw Data'!W3098</f>
        <v>2</v>
      </c>
      <c r="H3098" s="2" t="n">
        <f aca="false">'Raw Data'!V3098</f>
        <v>1</v>
      </c>
      <c r="I3098" s="2" t="n">
        <f aca="false">IF(AND(ISNUMBER(B3098),B3098&lt;=25),2,0)+IF(AND(ISNUMBER(E3098),E3098&lt;=5),2,0)+IF(AND(ISNUMBER(F3098),F3098&lt;=1),2,0)+IF(AND(ISNUMBER(G3098),G3098&lt;=2),1,0)+IF(AND(ISNUMBER(H3098),H3098&lt;=2),1,0)</f>
        <v>4</v>
      </c>
      <c r="J3098" s="2" t="str">
        <f aca="false">IF(I3098&gt;=6,"High",IF(I3098&gt;=3,"Medium","Low"))</f>
        <v>Medium</v>
      </c>
    </row>
    <row r="3099" customFormat="false" ht="15" hidden="false" customHeight="true" outlineLevel="0" collapsed="false">
      <c r="A3099" s="2" t="n">
        <f aca="false">'Raw Data'!H3099</f>
        <v>3098</v>
      </c>
      <c r="B3099" s="2" t="n">
        <f aca="false">'Raw Data'!A3099</f>
        <v>34</v>
      </c>
      <c r="C3099" s="2" t="str">
        <f aca="false">'Raw Data'!D3099</f>
        <v>Research &amp; Development</v>
      </c>
      <c r="D3099" s="2" t="str">
        <f aca="false">'Raw Data'!K3099</f>
        <v>Research Scientist</v>
      </c>
      <c r="E3099" s="2" t="n">
        <f aca="false">'Raw Data'!Q3099</f>
        <v>3</v>
      </c>
      <c r="F3099" s="2" t="n">
        <f aca="false">'Raw Data'!U3099</f>
        <v>0</v>
      </c>
      <c r="G3099" s="2" t="n">
        <f aca="false">'Raw Data'!W3099</f>
        <v>3</v>
      </c>
      <c r="H3099" s="2" t="n">
        <f aca="false">'Raw Data'!V3099</f>
        <v>4</v>
      </c>
      <c r="I3099" s="2" t="n">
        <f aca="false">IF(AND(ISNUMBER(B3099),B3099&lt;=25),2,0)+IF(AND(ISNUMBER(E3099),E3099&lt;=5),2,0)+IF(AND(ISNUMBER(F3099),F3099&lt;=1),2,0)+IF(AND(ISNUMBER(G3099),G3099&lt;=2),1,0)+IF(AND(ISNUMBER(H3099),H3099&lt;=2),1,0)</f>
        <v>4</v>
      </c>
      <c r="J3099" s="2" t="str">
        <f aca="false">IF(I3099&gt;=6,"High",IF(I3099&gt;=3,"Medium","Low"))</f>
        <v>Medium</v>
      </c>
    </row>
    <row r="3100" customFormat="false" ht="15" hidden="false" customHeight="true" outlineLevel="0" collapsed="false">
      <c r="A3100" s="2" t="n">
        <f aca="false">'Raw Data'!H3100</f>
        <v>3099</v>
      </c>
      <c r="B3100" s="2" t="n">
        <f aca="false">'Raw Data'!A3100</f>
        <v>38</v>
      </c>
      <c r="C3100" s="2" t="str">
        <f aca="false">'Raw Data'!D3100</f>
        <v>Sales</v>
      </c>
      <c r="D3100" s="2" t="str">
        <f aca="false">'Raw Data'!K3100</f>
        <v>Sales Executive</v>
      </c>
      <c r="E3100" s="2" t="n">
        <f aca="false">'Raw Data'!Q3100</f>
        <v>1</v>
      </c>
      <c r="F3100" s="2" t="n">
        <f aca="false">'Raw Data'!U3100</f>
        <v>0</v>
      </c>
      <c r="G3100" s="2" t="n">
        <f aca="false">'Raw Data'!W3100</f>
        <v>4</v>
      </c>
      <c r="H3100" s="2" t="n">
        <f aca="false">'Raw Data'!V3100</f>
        <v>4</v>
      </c>
      <c r="I3100" s="2" t="n">
        <f aca="false">IF(AND(ISNUMBER(B3100),B3100&lt;=25),2,0)+IF(AND(ISNUMBER(E3100),E3100&lt;=5),2,0)+IF(AND(ISNUMBER(F3100),F3100&lt;=1),2,0)+IF(AND(ISNUMBER(G3100),G3100&lt;=2),1,0)+IF(AND(ISNUMBER(H3100),H3100&lt;=2),1,0)</f>
        <v>4</v>
      </c>
      <c r="J3100" s="2" t="str">
        <f aca="false">IF(I3100&gt;=6,"High",IF(I3100&gt;=3,"Medium","Low"))</f>
        <v>Medium</v>
      </c>
    </row>
    <row r="3101" customFormat="false" ht="15" hidden="false" customHeight="true" outlineLevel="0" collapsed="false">
      <c r="A3101" s="2" t="n">
        <f aca="false">'Raw Data'!H3101</f>
        <v>3100</v>
      </c>
      <c r="B3101" s="2" t="n">
        <f aca="false">'Raw Data'!A3101</f>
        <v>40</v>
      </c>
      <c r="C3101" s="2" t="str">
        <f aca="false">'Raw Data'!D3101</f>
        <v>Sales</v>
      </c>
      <c r="D3101" s="2" t="str">
        <f aca="false">'Raw Data'!K3101</f>
        <v>Sales Executive</v>
      </c>
      <c r="E3101" s="2" t="n">
        <f aca="false">'Raw Data'!Q3101</f>
        <v>21</v>
      </c>
      <c r="F3101" s="2" t="n">
        <f aca="false">'Raw Data'!U3101</f>
        <v>12</v>
      </c>
      <c r="G3101" s="2" t="n">
        <f aca="false">'Raw Data'!W3101</f>
        <v>3</v>
      </c>
      <c r="H3101" s="2" t="n">
        <f aca="false">'Raw Data'!V3101</f>
        <v>3</v>
      </c>
      <c r="I3101" s="2" t="n">
        <f aca="false">IF(AND(ISNUMBER(B3101),B3101&lt;=25),2,0)+IF(AND(ISNUMBER(E3101),E3101&lt;=5),2,0)+IF(AND(ISNUMBER(F3101),F3101&lt;=1),2,0)+IF(AND(ISNUMBER(G3101),G3101&lt;=2),1,0)+IF(AND(ISNUMBER(H3101),H3101&lt;=2),1,0)</f>
        <v>0</v>
      </c>
      <c r="J3101" s="2" t="str">
        <f aca="false">IF(I3101&gt;=6,"High",IF(I3101&gt;=3,"Medium","Low"))</f>
        <v>Low</v>
      </c>
    </row>
    <row r="3102" customFormat="false" ht="15" hidden="false" customHeight="true" outlineLevel="0" collapsed="false">
      <c r="A3102" s="2" t="n">
        <f aca="false">'Raw Data'!H3102</f>
        <v>3101</v>
      </c>
      <c r="B3102" s="2" t="n">
        <f aca="false">'Raw Data'!A3102</f>
        <v>26</v>
      </c>
      <c r="C3102" s="2" t="str">
        <f aca="false">'Raw Data'!D3102</f>
        <v>Research &amp; Development</v>
      </c>
      <c r="D3102" s="2" t="str">
        <f aca="false">'Raw Data'!K3102</f>
        <v>Healthcare Representative</v>
      </c>
      <c r="E3102" s="2" t="n">
        <f aca="false">'Raw Data'!Q3102</f>
        <v>3</v>
      </c>
      <c r="F3102" s="2" t="n">
        <f aca="false">'Raw Data'!U3102</f>
        <v>2</v>
      </c>
      <c r="G3102" s="2" t="n">
        <f aca="false">'Raw Data'!W3102</f>
        <v>4</v>
      </c>
      <c r="H3102" s="2" t="n">
        <f aca="false">'Raw Data'!V3102</f>
        <v>1</v>
      </c>
      <c r="I3102" s="2" t="n">
        <f aca="false">IF(AND(ISNUMBER(B3102),B3102&lt;=25),2,0)+IF(AND(ISNUMBER(E3102),E3102&lt;=5),2,0)+IF(AND(ISNUMBER(F3102),F3102&lt;=1),2,0)+IF(AND(ISNUMBER(G3102),G3102&lt;=2),1,0)+IF(AND(ISNUMBER(H3102),H3102&lt;=2),1,0)</f>
        <v>3</v>
      </c>
      <c r="J3102" s="2" t="str">
        <f aca="false">IF(I3102&gt;=6,"High",IF(I3102&gt;=3,"Medium","Low"))</f>
        <v>Medium</v>
      </c>
    </row>
    <row r="3103" customFormat="false" ht="15" hidden="false" customHeight="true" outlineLevel="0" collapsed="false">
      <c r="A3103" s="2" t="n">
        <f aca="false">'Raw Data'!H3103</f>
        <v>3102</v>
      </c>
      <c r="B3103" s="2" t="n">
        <f aca="false">'Raw Data'!A3103</f>
        <v>30</v>
      </c>
      <c r="C3103" s="2" t="str">
        <f aca="false">'Raw Data'!D3103</f>
        <v>Research &amp; Development</v>
      </c>
      <c r="D3103" s="2" t="str">
        <f aca="false">'Raw Data'!K3103</f>
        <v>Sales Executive</v>
      </c>
      <c r="E3103" s="2" t="n">
        <f aca="false">'Raw Data'!Q3103</f>
        <v>9</v>
      </c>
      <c r="F3103" s="2" t="n">
        <f aca="false">'Raw Data'!U3103</f>
        <v>4</v>
      </c>
      <c r="G3103" s="2" t="n">
        <f aca="false">'Raw Data'!W3103</f>
        <v>4</v>
      </c>
      <c r="H3103" s="2" t="n">
        <f aca="false">'Raw Data'!V3103</f>
        <v>3</v>
      </c>
      <c r="I3103" s="2" t="n">
        <f aca="false">IF(AND(ISNUMBER(B3103),B3103&lt;=25),2,0)+IF(AND(ISNUMBER(E3103),E3103&lt;=5),2,0)+IF(AND(ISNUMBER(F3103),F3103&lt;=1),2,0)+IF(AND(ISNUMBER(G3103),G3103&lt;=2),1,0)+IF(AND(ISNUMBER(H3103),H3103&lt;=2),1,0)</f>
        <v>0</v>
      </c>
      <c r="J3103" s="2" t="str">
        <f aca="false">IF(I3103&gt;=6,"High",IF(I3103&gt;=3,"Medium","Low"))</f>
        <v>Low</v>
      </c>
    </row>
    <row r="3104" customFormat="false" ht="15" hidden="false" customHeight="true" outlineLevel="0" collapsed="false">
      <c r="A3104" s="2" t="n">
        <f aca="false">'Raw Data'!H3104</f>
        <v>3103</v>
      </c>
      <c r="B3104" s="2" t="n">
        <f aca="false">'Raw Data'!A3104</f>
        <v>29</v>
      </c>
      <c r="C3104" s="2" t="str">
        <f aca="false">'Raw Data'!D3104</f>
        <v>Research &amp; Development</v>
      </c>
      <c r="D3104" s="2" t="str">
        <f aca="false">'Raw Data'!K3104</f>
        <v>Manufacturing Director</v>
      </c>
      <c r="E3104" s="2" t="n">
        <f aca="false">'Raw Data'!Q3104</f>
        <v>10</v>
      </c>
      <c r="F3104" s="2" t="n">
        <f aca="false">'Raw Data'!U3104</f>
        <v>7</v>
      </c>
      <c r="G3104" s="2" t="n">
        <f aca="false">'Raw Data'!W3104</f>
        <v>3</v>
      </c>
      <c r="H3104" s="2" t="n">
        <f aca="false">'Raw Data'!V3104</f>
        <v>2</v>
      </c>
      <c r="I3104" s="2" t="n">
        <f aca="false">IF(AND(ISNUMBER(B3104),B3104&lt;=25),2,0)+IF(AND(ISNUMBER(E3104),E3104&lt;=5),2,0)+IF(AND(ISNUMBER(F3104),F3104&lt;=1),2,0)+IF(AND(ISNUMBER(G3104),G3104&lt;=2),1,0)+IF(AND(ISNUMBER(H3104),H3104&lt;=2),1,0)</f>
        <v>1</v>
      </c>
      <c r="J3104" s="2" t="str">
        <f aca="false">IF(I3104&gt;=6,"High",IF(I3104&gt;=3,"Medium","Low"))</f>
        <v>Low</v>
      </c>
    </row>
    <row r="3105" customFormat="false" ht="15" hidden="false" customHeight="true" outlineLevel="0" collapsed="false">
      <c r="A3105" s="2" t="n">
        <f aca="false">'Raw Data'!H3105</f>
        <v>3104</v>
      </c>
      <c r="B3105" s="2" t="n">
        <f aca="false">'Raw Data'!A3105</f>
        <v>29</v>
      </c>
      <c r="C3105" s="2" t="str">
        <f aca="false">'Raw Data'!D3105</f>
        <v>Research &amp; Development</v>
      </c>
      <c r="D3105" s="2" t="str">
        <f aca="false">'Raw Data'!K3105</f>
        <v>Research Scientist</v>
      </c>
      <c r="E3105" s="2" t="n">
        <f aca="false">'Raw Data'!Q3105</f>
        <v>6</v>
      </c>
      <c r="F3105" s="2" t="n">
        <f aca="false">'Raw Data'!U3105</f>
        <v>1</v>
      </c>
      <c r="G3105" s="2" t="n">
        <f aca="false">'Raw Data'!W3105</f>
        <v>2</v>
      </c>
      <c r="H3105" s="2" t="n">
        <f aca="false">'Raw Data'!V3105</f>
        <v>3</v>
      </c>
      <c r="I3105" s="2" t="n">
        <f aca="false">IF(AND(ISNUMBER(B3105),B3105&lt;=25),2,0)+IF(AND(ISNUMBER(E3105),E3105&lt;=5),2,0)+IF(AND(ISNUMBER(F3105),F3105&lt;=1),2,0)+IF(AND(ISNUMBER(G3105),G3105&lt;=2),1,0)+IF(AND(ISNUMBER(H3105),H3105&lt;=2),1,0)</f>
        <v>3</v>
      </c>
      <c r="J3105" s="2" t="str">
        <f aca="false">IF(I3105&gt;=6,"High",IF(I3105&gt;=3,"Medium","Low"))</f>
        <v>Medium</v>
      </c>
    </row>
    <row r="3106" customFormat="false" ht="15" hidden="false" customHeight="true" outlineLevel="0" collapsed="false">
      <c r="A3106" s="2" t="n">
        <f aca="false">'Raw Data'!H3106</f>
        <v>3105</v>
      </c>
      <c r="B3106" s="2" t="n">
        <f aca="false">'Raw Data'!A3106</f>
        <v>19</v>
      </c>
      <c r="C3106" s="2" t="str">
        <f aca="false">'Raw Data'!D3106</f>
        <v>Research &amp; Development</v>
      </c>
      <c r="D3106" s="2" t="str">
        <f aca="false">'Raw Data'!K3106</f>
        <v>Sales Executive</v>
      </c>
      <c r="E3106" s="2" t="n">
        <f aca="false">'Raw Data'!Q3106</f>
        <v>1</v>
      </c>
      <c r="F3106" s="2" t="n">
        <f aca="false">'Raw Data'!U3106</f>
        <v>0</v>
      </c>
      <c r="G3106" s="2" t="n">
        <f aca="false">'Raw Data'!W3106</f>
        <v>4</v>
      </c>
      <c r="H3106" s="2" t="n">
        <f aca="false">'Raw Data'!V3106</f>
        <v>1</v>
      </c>
      <c r="I3106" s="2" t="n">
        <f aca="false">IF(AND(ISNUMBER(B3106),B3106&lt;=25),2,0)+IF(AND(ISNUMBER(E3106),E3106&lt;=5),2,0)+IF(AND(ISNUMBER(F3106),F3106&lt;=1),2,0)+IF(AND(ISNUMBER(G3106),G3106&lt;=2),1,0)+IF(AND(ISNUMBER(H3106),H3106&lt;=2),1,0)</f>
        <v>7</v>
      </c>
      <c r="J3106" s="2" t="str">
        <f aca="false">IF(I3106&gt;=6,"High",IF(I3106&gt;=3,"Medium","Low"))</f>
        <v>High</v>
      </c>
    </row>
    <row r="3107" customFormat="false" ht="15" hidden="false" customHeight="true" outlineLevel="0" collapsed="false">
      <c r="A3107" s="2" t="n">
        <f aca="false">'Raw Data'!H3107</f>
        <v>3106</v>
      </c>
      <c r="B3107" s="2" t="n">
        <f aca="false">'Raw Data'!A3107</f>
        <v>30</v>
      </c>
      <c r="C3107" s="2" t="str">
        <f aca="false">'Raw Data'!D3107</f>
        <v>Research &amp; Development</v>
      </c>
      <c r="D3107" s="2" t="str">
        <f aca="false">'Raw Data'!K3107</f>
        <v>Research Scientist</v>
      </c>
      <c r="E3107" s="2" t="n">
        <f aca="false">'Raw Data'!Q3107</f>
        <v>10</v>
      </c>
      <c r="F3107" s="2" t="n">
        <f aca="false">'Raw Data'!U3107</f>
        <v>8</v>
      </c>
      <c r="G3107" s="2" t="n">
        <f aca="false">'Raw Data'!W3107</f>
        <v>1</v>
      </c>
      <c r="H3107" s="2" t="n">
        <f aca="false">'Raw Data'!V3107</f>
        <v>3</v>
      </c>
      <c r="I3107" s="2" t="n">
        <f aca="false">IF(AND(ISNUMBER(B3107),B3107&lt;=25),2,0)+IF(AND(ISNUMBER(E3107),E3107&lt;=5),2,0)+IF(AND(ISNUMBER(F3107),F3107&lt;=1),2,0)+IF(AND(ISNUMBER(G3107),G3107&lt;=2),1,0)+IF(AND(ISNUMBER(H3107),H3107&lt;=2),1,0)</f>
        <v>1</v>
      </c>
      <c r="J3107" s="2" t="str">
        <f aca="false">IF(I3107&gt;=6,"High",IF(I3107&gt;=3,"Medium","Low"))</f>
        <v>Low</v>
      </c>
    </row>
    <row r="3108" customFormat="false" ht="15" hidden="false" customHeight="true" outlineLevel="0" collapsed="false">
      <c r="A3108" s="2" t="n">
        <f aca="false">'Raw Data'!H3108</f>
        <v>3107</v>
      </c>
      <c r="B3108" s="2" t="n">
        <f aca="false">'Raw Data'!A3108</f>
        <v>57</v>
      </c>
      <c r="C3108" s="2" t="str">
        <f aca="false">'Raw Data'!D3108</f>
        <v>Research &amp; Development</v>
      </c>
      <c r="D3108" s="2" t="str">
        <f aca="false">'Raw Data'!K3108</f>
        <v>Research Scientist</v>
      </c>
      <c r="E3108" s="2" t="n">
        <f aca="false">'Raw Data'!Q3108</f>
        <v>32</v>
      </c>
      <c r="F3108" s="2" t="n">
        <f aca="false">'Raw Data'!U3108</f>
        <v>0</v>
      </c>
      <c r="G3108" s="2" t="n">
        <f aca="false">'Raw Data'!W3108</f>
        <v>4</v>
      </c>
      <c r="H3108" s="2" t="n">
        <f aca="false">'Raw Data'!V3108</f>
        <v>1</v>
      </c>
      <c r="I3108" s="2" t="n">
        <f aca="false">IF(AND(ISNUMBER(B3108),B3108&lt;=25),2,0)+IF(AND(ISNUMBER(E3108),E3108&lt;=5),2,0)+IF(AND(ISNUMBER(F3108),F3108&lt;=1),2,0)+IF(AND(ISNUMBER(G3108),G3108&lt;=2),1,0)+IF(AND(ISNUMBER(H3108),H3108&lt;=2),1,0)</f>
        <v>3</v>
      </c>
      <c r="J3108" s="2" t="str">
        <f aca="false">IF(I3108&gt;=6,"High",IF(I3108&gt;=3,"Medium","Low"))</f>
        <v>Medium</v>
      </c>
    </row>
    <row r="3109" customFormat="false" ht="15" hidden="false" customHeight="true" outlineLevel="0" collapsed="false">
      <c r="A3109" s="2" t="n">
        <f aca="false">'Raw Data'!H3109</f>
        <v>3108</v>
      </c>
      <c r="B3109" s="2" t="n">
        <f aca="false">'Raw Data'!A3109</f>
        <v>50</v>
      </c>
      <c r="C3109" s="2" t="str">
        <f aca="false">'Raw Data'!D3109</f>
        <v>Sales</v>
      </c>
      <c r="D3109" s="2" t="str">
        <f aca="false">'Raw Data'!K3109</f>
        <v>Manager</v>
      </c>
      <c r="E3109" s="2" t="n">
        <f aca="false">'Raw Data'!Q3109</f>
        <v>28</v>
      </c>
      <c r="F3109" s="2" t="n">
        <f aca="false">'Raw Data'!U3109</f>
        <v>7</v>
      </c>
      <c r="G3109" s="2" t="n">
        <f aca="false">'Raw Data'!W3109</f>
        <v>3</v>
      </c>
      <c r="H3109" s="2" t="n">
        <f aca="false">'Raw Data'!V3109</f>
        <v>2</v>
      </c>
      <c r="I3109" s="2" t="n">
        <f aca="false">IF(AND(ISNUMBER(B3109),B3109&lt;=25),2,0)+IF(AND(ISNUMBER(E3109),E3109&lt;=5),2,0)+IF(AND(ISNUMBER(F3109),F3109&lt;=1),2,0)+IF(AND(ISNUMBER(G3109),G3109&lt;=2),1,0)+IF(AND(ISNUMBER(H3109),H3109&lt;=2),1,0)</f>
        <v>1</v>
      </c>
      <c r="J3109" s="2" t="str">
        <f aca="false">IF(I3109&gt;=6,"High",IF(I3109&gt;=3,"Medium","Low"))</f>
        <v>Low</v>
      </c>
    </row>
    <row r="3110" customFormat="false" ht="15" hidden="false" customHeight="true" outlineLevel="0" collapsed="false">
      <c r="A3110" s="2" t="n">
        <f aca="false">'Raw Data'!H3110</f>
        <v>3109</v>
      </c>
      <c r="B3110" s="2" t="n">
        <f aca="false">'Raw Data'!A3110</f>
        <v>30</v>
      </c>
      <c r="C3110" s="2" t="str">
        <f aca="false">'Raw Data'!D3110</f>
        <v>Sales</v>
      </c>
      <c r="D3110" s="2" t="str">
        <f aca="false">'Raw Data'!K3110</f>
        <v>Laboratory Technician</v>
      </c>
      <c r="E3110" s="2" t="n">
        <f aca="false">'Raw Data'!Q3110</f>
        <v>12</v>
      </c>
      <c r="F3110" s="2" t="n">
        <f aca="false">'Raw Data'!U3110</f>
        <v>7</v>
      </c>
      <c r="G3110" s="2" t="n">
        <f aca="false">'Raw Data'!W3110</f>
        <v>4</v>
      </c>
      <c r="H3110" s="2" t="n">
        <f aca="false">'Raw Data'!V3110</f>
        <v>3</v>
      </c>
      <c r="I3110" s="2" t="n">
        <f aca="false">IF(AND(ISNUMBER(B3110),B3110&lt;=25),2,0)+IF(AND(ISNUMBER(E3110),E3110&lt;=5),2,0)+IF(AND(ISNUMBER(F3110),F3110&lt;=1),2,0)+IF(AND(ISNUMBER(G3110),G3110&lt;=2),1,0)+IF(AND(ISNUMBER(H3110),H3110&lt;=2),1,0)</f>
        <v>0</v>
      </c>
      <c r="J3110" s="2" t="str">
        <f aca="false">IF(I3110&gt;=6,"High",IF(I3110&gt;=3,"Medium","Low"))</f>
        <v>Low</v>
      </c>
    </row>
    <row r="3111" customFormat="false" ht="15" hidden="false" customHeight="true" outlineLevel="0" collapsed="false">
      <c r="A3111" s="2" t="n">
        <f aca="false">'Raw Data'!H3111</f>
        <v>3110</v>
      </c>
      <c r="B3111" s="2" t="n">
        <f aca="false">'Raw Data'!A3111</f>
        <v>60</v>
      </c>
      <c r="C3111" s="2" t="str">
        <f aca="false">'Raw Data'!D3111</f>
        <v>Research &amp; Development</v>
      </c>
      <c r="D3111" s="2" t="str">
        <f aca="false">'Raw Data'!K3111</f>
        <v>Laboratory Technician</v>
      </c>
      <c r="E3111" s="2" t="n">
        <f aca="false">'Raw Data'!Q3111</f>
        <v>22</v>
      </c>
      <c r="F3111" s="2" t="n">
        <f aca="false">'Raw Data'!U3111</f>
        <v>11</v>
      </c>
      <c r="G3111" s="2" t="n">
        <f aca="false">'Raw Data'!W3111</f>
        <v>1</v>
      </c>
      <c r="H3111" s="2" t="n">
        <f aca="false">'Raw Data'!V3111</f>
        <v>3</v>
      </c>
      <c r="I3111" s="2" t="n">
        <f aca="false">IF(AND(ISNUMBER(B3111),B3111&lt;=25),2,0)+IF(AND(ISNUMBER(E3111),E3111&lt;=5),2,0)+IF(AND(ISNUMBER(F3111),F3111&lt;=1),2,0)+IF(AND(ISNUMBER(G3111),G3111&lt;=2),1,0)+IF(AND(ISNUMBER(H3111),H3111&lt;=2),1,0)</f>
        <v>1</v>
      </c>
      <c r="J3111" s="2" t="str">
        <f aca="false">IF(I3111&gt;=6,"High",IF(I3111&gt;=3,"Medium","Low"))</f>
        <v>Low</v>
      </c>
    </row>
    <row r="3112" customFormat="false" ht="15" hidden="false" customHeight="true" outlineLevel="0" collapsed="false">
      <c r="A3112" s="2" t="n">
        <f aca="false">'Raw Data'!H3112</f>
        <v>3111</v>
      </c>
      <c r="B3112" s="2" t="n">
        <f aca="false">'Raw Data'!A3112</f>
        <v>47</v>
      </c>
      <c r="C3112" s="2" t="str">
        <f aca="false">'Raw Data'!D3112</f>
        <v>Research &amp; Development</v>
      </c>
      <c r="D3112" s="2" t="str">
        <f aca="false">'Raw Data'!K3112</f>
        <v>Manufacturing Director</v>
      </c>
      <c r="E3112" s="2" t="n">
        <f aca="false">'Raw Data'!Q3112</f>
        <v>20</v>
      </c>
      <c r="F3112" s="2" t="n">
        <f aca="false">'Raw Data'!U3112</f>
        <v>4</v>
      </c>
      <c r="G3112" s="2" t="n">
        <f aca="false">'Raw Data'!W3112</f>
        <v>4</v>
      </c>
      <c r="H3112" s="2" t="n">
        <f aca="false">'Raw Data'!V3112</f>
        <v>1</v>
      </c>
      <c r="I3112" s="2" t="n">
        <f aca="false">IF(AND(ISNUMBER(B3112),B3112&lt;=25),2,0)+IF(AND(ISNUMBER(E3112),E3112&lt;=5),2,0)+IF(AND(ISNUMBER(F3112),F3112&lt;=1),2,0)+IF(AND(ISNUMBER(G3112),G3112&lt;=2),1,0)+IF(AND(ISNUMBER(H3112),H3112&lt;=2),1,0)</f>
        <v>1</v>
      </c>
      <c r="J3112" s="2" t="str">
        <f aca="false">IF(I3112&gt;=6,"High",IF(I3112&gt;=3,"Medium","Low"))</f>
        <v>Low</v>
      </c>
    </row>
    <row r="3113" customFormat="false" ht="15" hidden="false" customHeight="true" outlineLevel="0" collapsed="false">
      <c r="A3113" s="2" t="n">
        <f aca="false">'Raw Data'!H3113</f>
        <v>3112</v>
      </c>
      <c r="B3113" s="2" t="n">
        <f aca="false">'Raw Data'!A3113</f>
        <v>46</v>
      </c>
      <c r="C3113" s="2" t="str">
        <f aca="false">'Raw Data'!D3113</f>
        <v>Sales</v>
      </c>
      <c r="D3113" s="2" t="str">
        <f aca="false">'Raw Data'!K3113</f>
        <v>Laboratory Technician</v>
      </c>
      <c r="E3113" s="2" t="n">
        <f aca="false">'Raw Data'!Q3113</f>
        <v>26</v>
      </c>
      <c r="F3113" s="2" t="n">
        <f aca="false">'Raw Data'!U3113</f>
        <v>1</v>
      </c>
      <c r="G3113" s="2" t="n">
        <f aca="false">'Raw Data'!W3113</f>
        <v>3</v>
      </c>
      <c r="H3113" s="2" t="n">
        <f aca="false">'Raw Data'!V3113</f>
        <v>1</v>
      </c>
      <c r="I3113" s="2" t="n">
        <f aca="false">IF(AND(ISNUMBER(B3113),B3113&lt;=25),2,0)+IF(AND(ISNUMBER(E3113),E3113&lt;=5),2,0)+IF(AND(ISNUMBER(F3113),F3113&lt;=1),2,0)+IF(AND(ISNUMBER(G3113),G3113&lt;=2),1,0)+IF(AND(ISNUMBER(H3113),H3113&lt;=2),1,0)</f>
        <v>3</v>
      </c>
      <c r="J3113" s="2" t="str">
        <f aca="false">IF(I3113&gt;=6,"High",IF(I3113&gt;=3,"Medium","Low"))</f>
        <v>Medium</v>
      </c>
    </row>
    <row r="3114" customFormat="false" ht="15" hidden="false" customHeight="true" outlineLevel="0" collapsed="false">
      <c r="A3114" s="2" t="n">
        <f aca="false">'Raw Data'!H3114</f>
        <v>3113</v>
      </c>
      <c r="B3114" s="2" t="n">
        <f aca="false">'Raw Data'!A3114</f>
        <v>35</v>
      </c>
      <c r="C3114" s="2" t="str">
        <f aca="false">'Raw Data'!D3114</f>
        <v>Research &amp; Development</v>
      </c>
      <c r="D3114" s="2" t="str">
        <f aca="false">'Raw Data'!K3114</f>
        <v>Laboratory Technician</v>
      </c>
      <c r="E3114" s="2" t="n">
        <f aca="false">'Raw Data'!Q3114</f>
        <v>6</v>
      </c>
      <c r="F3114" s="2" t="n">
        <f aca="false">'Raw Data'!U3114</f>
        <v>3</v>
      </c>
      <c r="G3114" s="2" t="n">
        <f aca="false">'Raw Data'!W3114</f>
        <v>3</v>
      </c>
      <c r="H3114" s="2" t="n">
        <f aca="false">'Raw Data'!V3114</f>
        <v>4</v>
      </c>
      <c r="I3114" s="2" t="n">
        <f aca="false">IF(AND(ISNUMBER(B3114),B3114&lt;=25),2,0)+IF(AND(ISNUMBER(E3114),E3114&lt;=5),2,0)+IF(AND(ISNUMBER(F3114),F3114&lt;=1),2,0)+IF(AND(ISNUMBER(G3114),G3114&lt;=2),1,0)+IF(AND(ISNUMBER(H3114),H3114&lt;=2),1,0)</f>
        <v>0</v>
      </c>
      <c r="J3114" s="2" t="str">
        <f aca="false">IF(I3114&gt;=6,"High",IF(I3114&gt;=3,"Medium","Low"))</f>
        <v>Low</v>
      </c>
    </row>
    <row r="3115" customFormat="false" ht="15" hidden="false" customHeight="true" outlineLevel="0" collapsed="false">
      <c r="A3115" s="2" t="n">
        <f aca="false">'Raw Data'!H3115</f>
        <v>3114</v>
      </c>
      <c r="B3115" s="2" t="n">
        <f aca="false">'Raw Data'!A3115</f>
        <v>54</v>
      </c>
      <c r="C3115" s="2" t="str">
        <f aca="false">'Raw Data'!D3115</f>
        <v>Research &amp; Development</v>
      </c>
      <c r="D3115" s="2" t="str">
        <f aca="false">'Raw Data'!K3115</f>
        <v>Human Resources</v>
      </c>
      <c r="E3115" s="2" t="n">
        <f aca="false">'Raw Data'!Q3115</f>
        <v>19</v>
      </c>
      <c r="F3115" s="2" t="n">
        <f aca="false">'Raw Data'!U3115</f>
        <v>0</v>
      </c>
      <c r="G3115" s="2" t="n">
        <f aca="false">'Raw Data'!W3115</f>
        <v>3</v>
      </c>
      <c r="H3115" s="2" t="n">
        <f aca="false">'Raw Data'!V3115</f>
        <v>3</v>
      </c>
      <c r="I3115" s="2" t="n">
        <f aca="false">IF(AND(ISNUMBER(B3115),B3115&lt;=25),2,0)+IF(AND(ISNUMBER(E3115),E3115&lt;=5),2,0)+IF(AND(ISNUMBER(F3115),F3115&lt;=1),2,0)+IF(AND(ISNUMBER(G3115),G3115&lt;=2),1,0)+IF(AND(ISNUMBER(H3115),H3115&lt;=2),1,0)</f>
        <v>2</v>
      </c>
      <c r="J3115" s="2" t="str">
        <f aca="false">IF(I3115&gt;=6,"High",IF(I3115&gt;=3,"Medium","Low"))</f>
        <v>Low</v>
      </c>
    </row>
    <row r="3116" customFormat="false" ht="15" hidden="false" customHeight="true" outlineLevel="0" collapsed="false">
      <c r="A3116" s="2" t="n">
        <f aca="false">'Raw Data'!H3116</f>
        <v>3115</v>
      </c>
      <c r="B3116" s="2" t="n">
        <f aca="false">'Raw Data'!A3116</f>
        <v>34</v>
      </c>
      <c r="C3116" s="2" t="str">
        <f aca="false">'Raw Data'!D3116</f>
        <v>Sales</v>
      </c>
      <c r="D3116" s="2" t="str">
        <f aca="false">'Raw Data'!K3116</f>
        <v>Laboratory Technician</v>
      </c>
      <c r="E3116" s="2" t="n">
        <f aca="false">'Raw Data'!Q3116</f>
        <v>14</v>
      </c>
      <c r="F3116" s="2" t="n">
        <f aca="false">'Raw Data'!U3116</f>
        <v>7</v>
      </c>
      <c r="G3116" s="2" t="n">
        <f aca="false">'Raw Data'!W3116</f>
        <v>3</v>
      </c>
      <c r="H3116" s="2" t="n">
        <f aca="false">'Raw Data'!V3116</f>
        <v>0</v>
      </c>
      <c r="I3116" s="2" t="n">
        <f aca="false">IF(AND(ISNUMBER(B3116),B3116&lt;=25),2,0)+IF(AND(ISNUMBER(E3116),E3116&lt;=5),2,0)+IF(AND(ISNUMBER(F3116),F3116&lt;=1),2,0)+IF(AND(ISNUMBER(G3116),G3116&lt;=2),1,0)+IF(AND(ISNUMBER(H3116),H3116&lt;=2),1,0)</f>
        <v>0</v>
      </c>
      <c r="J3116" s="2" t="str">
        <f aca="false">IF(I3116&gt;=6,"High",IF(I3116&gt;=3,"Medium","Low"))</f>
        <v>Low</v>
      </c>
    </row>
    <row r="3117" customFormat="false" ht="15" hidden="false" customHeight="true" outlineLevel="0" collapsed="false">
      <c r="A3117" s="2" t="n">
        <f aca="false">'Raw Data'!H3117</f>
        <v>3116</v>
      </c>
      <c r="B3117" s="2" t="n">
        <f aca="false">'Raw Data'!A3117</f>
        <v>46</v>
      </c>
      <c r="C3117" s="2" t="str">
        <f aca="false">'Raw Data'!D3117</f>
        <v>Research &amp; Development</v>
      </c>
      <c r="D3117" s="2" t="str">
        <f aca="false">'Raw Data'!K3117</f>
        <v>Healthcare Representative</v>
      </c>
      <c r="E3117" s="2" t="n">
        <f aca="false">'Raw Data'!Q3117</f>
        <v>15</v>
      </c>
      <c r="F3117" s="2" t="n">
        <f aca="false">'Raw Data'!U3117</f>
        <v>2</v>
      </c>
      <c r="G3117" s="2" t="n">
        <f aca="false">'Raw Data'!W3117</f>
        <v>4</v>
      </c>
      <c r="H3117" s="2" t="n">
        <f aca="false">'Raw Data'!V3117</f>
        <v>3</v>
      </c>
      <c r="I3117" s="2" t="n">
        <f aca="false">IF(AND(ISNUMBER(B3117),B3117&lt;=25),2,0)+IF(AND(ISNUMBER(E3117),E3117&lt;=5),2,0)+IF(AND(ISNUMBER(F3117),F3117&lt;=1),2,0)+IF(AND(ISNUMBER(G3117),G3117&lt;=2),1,0)+IF(AND(ISNUMBER(H3117),H3117&lt;=2),1,0)</f>
        <v>0</v>
      </c>
      <c r="J3117" s="2" t="str">
        <f aca="false">IF(I3117&gt;=6,"High",IF(I3117&gt;=3,"Medium","Low"))</f>
        <v>Low</v>
      </c>
    </row>
    <row r="3118" customFormat="false" ht="15" hidden="false" customHeight="true" outlineLevel="0" collapsed="false">
      <c r="A3118" s="2" t="n">
        <f aca="false">'Raw Data'!H3118</f>
        <v>3117</v>
      </c>
      <c r="B3118" s="2" t="n">
        <f aca="false">'Raw Data'!A3118</f>
        <v>31</v>
      </c>
      <c r="C3118" s="2" t="str">
        <f aca="false">'Raw Data'!D3118</f>
        <v>Research &amp; Development</v>
      </c>
      <c r="D3118" s="2" t="str">
        <f aca="false">'Raw Data'!K3118</f>
        <v>Research Director</v>
      </c>
      <c r="E3118" s="2" t="n">
        <f aca="false">'Raw Data'!Q3118</f>
        <v>13</v>
      </c>
      <c r="F3118" s="2" t="n">
        <f aca="false">'Raw Data'!U3118</f>
        <v>8</v>
      </c>
      <c r="G3118" s="2" t="n">
        <f aca="false">'Raw Data'!W3118</f>
        <v>2</v>
      </c>
      <c r="H3118" s="2" t="n">
        <f aca="false">'Raw Data'!V3118</f>
        <v>3</v>
      </c>
      <c r="I3118" s="2" t="n">
        <f aca="false">IF(AND(ISNUMBER(B3118),B3118&lt;=25),2,0)+IF(AND(ISNUMBER(E3118),E3118&lt;=5),2,0)+IF(AND(ISNUMBER(F3118),F3118&lt;=1),2,0)+IF(AND(ISNUMBER(G3118),G3118&lt;=2),1,0)+IF(AND(ISNUMBER(H3118),H3118&lt;=2),1,0)</f>
        <v>1</v>
      </c>
      <c r="J3118" s="2" t="str">
        <f aca="false">IF(I3118&gt;=6,"High",IF(I3118&gt;=3,"Medium","Low"))</f>
        <v>Low</v>
      </c>
    </row>
    <row r="3119" customFormat="false" ht="15" hidden="false" customHeight="true" outlineLevel="0" collapsed="false">
      <c r="A3119" s="2" t="n">
        <f aca="false">'Raw Data'!H3119</f>
        <v>3118</v>
      </c>
      <c r="B3119" s="2" t="n">
        <f aca="false">'Raw Data'!A3119</f>
        <v>33</v>
      </c>
      <c r="C3119" s="2" t="str">
        <f aca="false">'Raw Data'!D3119</f>
        <v>Research &amp; Development</v>
      </c>
      <c r="D3119" s="2" t="str">
        <f aca="false">'Raw Data'!K3119</f>
        <v>Research Director</v>
      </c>
      <c r="E3119" s="2" t="n">
        <f aca="false">'Raw Data'!Q3119</f>
        <v>15</v>
      </c>
      <c r="F3119" s="2" t="n">
        <f aca="false">'Raw Data'!U3119</f>
        <v>7</v>
      </c>
      <c r="G3119" s="2" t="n">
        <f aca="false">'Raw Data'!W3119</f>
        <v>3</v>
      </c>
      <c r="H3119" s="2" t="n">
        <f aca="false">'Raw Data'!V3119</f>
        <v>2</v>
      </c>
      <c r="I3119" s="2" t="n">
        <f aca="false">IF(AND(ISNUMBER(B3119),B3119&lt;=25),2,0)+IF(AND(ISNUMBER(E3119),E3119&lt;=5),2,0)+IF(AND(ISNUMBER(F3119),F3119&lt;=1),2,0)+IF(AND(ISNUMBER(G3119),G3119&lt;=2),1,0)+IF(AND(ISNUMBER(H3119),H3119&lt;=2),1,0)</f>
        <v>1</v>
      </c>
      <c r="J3119" s="2" t="str">
        <f aca="false">IF(I3119&gt;=6,"High",IF(I3119&gt;=3,"Medium","Low"))</f>
        <v>Low</v>
      </c>
    </row>
    <row r="3120" customFormat="false" ht="15" hidden="false" customHeight="true" outlineLevel="0" collapsed="false">
      <c r="A3120" s="2" t="n">
        <f aca="false">'Raw Data'!H3120</f>
        <v>3119</v>
      </c>
      <c r="B3120" s="2" t="n">
        <f aca="false">'Raw Data'!A3120</f>
        <v>33</v>
      </c>
      <c r="C3120" s="2" t="str">
        <f aca="false">'Raw Data'!D3120</f>
        <v>Sales</v>
      </c>
      <c r="D3120" s="2" t="str">
        <f aca="false">'Raw Data'!K3120</f>
        <v>Research Director</v>
      </c>
      <c r="E3120" s="2" t="n">
        <f aca="false">'Raw Data'!Q3120</f>
        <v>8</v>
      </c>
      <c r="F3120" s="2" t="n">
        <f aca="false">'Raw Data'!U3120</f>
        <v>3</v>
      </c>
      <c r="G3120" s="2" t="n">
        <f aca="false">'Raw Data'!W3120</f>
        <v>4</v>
      </c>
      <c r="H3120" s="2" t="n">
        <f aca="false">'Raw Data'!V3120</f>
        <v>1</v>
      </c>
      <c r="I3120" s="2" t="n">
        <f aca="false">IF(AND(ISNUMBER(B3120),B3120&lt;=25),2,0)+IF(AND(ISNUMBER(E3120),E3120&lt;=5),2,0)+IF(AND(ISNUMBER(F3120),F3120&lt;=1),2,0)+IF(AND(ISNUMBER(G3120),G3120&lt;=2),1,0)+IF(AND(ISNUMBER(H3120),H3120&lt;=2),1,0)</f>
        <v>1</v>
      </c>
      <c r="J3120" s="2" t="str">
        <f aca="false">IF(I3120&gt;=6,"High",IF(I3120&gt;=3,"Medium","Low"))</f>
        <v>Low</v>
      </c>
    </row>
    <row r="3121" customFormat="false" ht="15" hidden="false" customHeight="true" outlineLevel="0" collapsed="false">
      <c r="A3121" s="2" t="n">
        <f aca="false">'Raw Data'!H3121</f>
        <v>3120</v>
      </c>
      <c r="B3121" s="2" t="n">
        <f aca="false">'Raw Data'!A3121</f>
        <v>30</v>
      </c>
      <c r="C3121" s="2" t="str">
        <f aca="false">'Raw Data'!D3121</f>
        <v>Research &amp; Development</v>
      </c>
      <c r="D3121" s="2" t="str">
        <f aca="false">'Raw Data'!K3121</f>
        <v>Sales Executive</v>
      </c>
      <c r="E3121" s="2" t="n">
        <f aca="false">'Raw Data'!Q3121</f>
        <v>4</v>
      </c>
      <c r="F3121" s="2" t="n">
        <f aca="false">'Raw Data'!U3121</f>
        <v>2</v>
      </c>
      <c r="G3121" s="2" t="n">
        <f aca="false">'Raw Data'!W3121</f>
        <v>2</v>
      </c>
      <c r="H3121" s="2" t="n">
        <f aca="false">'Raw Data'!V3121</f>
        <v>4</v>
      </c>
      <c r="I3121" s="2" t="n">
        <f aca="false">IF(AND(ISNUMBER(B3121),B3121&lt;=25),2,0)+IF(AND(ISNUMBER(E3121),E3121&lt;=5),2,0)+IF(AND(ISNUMBER(F3121),F3121&lt;=1),2,0)+IF(AND(ISNUMBER(G3121),G3121&lt;=2),1,0)+IF(AND(ISNUMBER(H3121),H3121&lt;=2),1,0)</f>
        <v>3</v>
      </c>
      <c r="J3121" s="2" t="str">
        <f aca="false">IF(I3121&gt;=6,"High",IF(I3121&gt;=3,"Medium","Low"))</f>
        <v>Medium</v>
      </c>
    </row>
    <row r="3122" customFormat="false" ht="15" hidden="false" customHeight="true" outlineLevel="0" collapsed="false">
      <c r="A3122" s="2" t="n">
        <f aca="false">'Raw Data'!H3122</f>
        <v>3121</v>
      </c>
      <c r="B3122" s="2" t="n">
        <f aca="false">'Raw Data'!A3122</f>
        <v>35</v>
      </c>
      <c r="C3122" s="2" t="str">
        <f aca="false">'Raw Data'!D3122</f>
        <v>Research &amp; Development</v>
      </c>
      <c r="D3122" s="2" t="str">
        <f aca="false">'Raw Data'!K3122</f>
        <v>Sales Representative</v>
      </c>
      <c r="E3122" s="2" t="n">
        <f aca="false">'Raw Data'!Q3122</f>
        <v>0</v>
      </c>
      <c r="F3122" s="2" t="n">
        <f aca="false">'Raw Data'!U3122</f>
        <v>0</v>
      </c>
      <c r="G3122" s="2" t="n">
        <f aca="false">'Raw Data'!W3122</f>
        <v>3</v>
      </c>
      <c r="H3122" s="2" t="n">
        <f aca="false">'Raw Data'!V3122</f>
        <v>4</v>
      </c>
      <c r="I3122" s="2" t="n">
        <f aca="false">IF(AND(ISNUMBER(B3122),B3122&lt;=25),2,0)+IF(AND(ISNUMBER(E3122),E3122&lt;=5),2,0)+IF(AND(ISNUMBER(F3122),F3122&lt;=1),2,0)+IF(AND(ISNUMBER(G3122),G3122&lt;=2),1,0)+IF(AND(ISNUMBER(H3122),H3122&lt;=2),1,0)</f>
        <v>2</v>
      </c>
      <c r="J3122" s="2" t="str">
        <f aca="false">IF(I3122&gt;=6,"High",IF(I3122&gt;=3,"Medium","Low"))</f>
        <v>Low</v>
      </c>
    </row>
    <row r="3123" customFormat="false" ht="15" hidden="false" customHeight="true" outlineLevel="0" collapsed="false">
      <c r="A3123" s="2" t="n">
        <f aca="false">'Raw Data'!H3123</f>
        <v>3122</v>
      </c>
      <c r="B3123" s="2" t="n">
        <f aca="false">'Raw Data'!A3123</f>
        <v>31</v>
      </c>
      <c r="C3123" s="2" t="str">
        <f aca="false">'Raw Data'!D3123</f>
        <v>Research &amp; Development</v>
      </c>
      <c r="D3123" s="2" t="str">
        <f aca="false">'Raw Data'!K3123</f>
        <v>Sales Executive</v>
      </c>
      <c r="E3123" s="2" t="n">
        <f aca="false">'Raw Data'!Q3123</f>
        <v>12</v>
      </c>
      <c r="F3123" s="2" t="n">
        <f aca="false">'Raw Data'!U3123</f>
        <v>0</v>
      </c>
      <c r="G3123" s="2" t="n">
        <f aca="false">'Raw Data'!W3123</f>
        <v>3</v>
      </c>
      <c r="H3123" s="2" t="n">
        <f aca="false">'Raw Data'!V3123</f>
        <v>1</v>
      </c>
      <c r="I3123" s="2" t="n">
        <f aca="false">IF(AND(ISNUMBER(B3123),B3123&lt;=25),2,0)+IF(AND(ISNUMBER(E3123),E3123&lt;=5),2,0)+IF(AND(ISNUMBER(F3123),F3123&lt;=1),2,0)+IF(AND(ISNUMBER(G3123),G3123&lt;=2),1,0)+IF(AND(ISNUMBER(H3123),H3123&lt;=2),1,0)</f>
        <v>3</v>
      </c>
      <c r="J3123" s="2" t="str">
        <f aca="false">IF(I3123&gt;=6,"High",IF(I3123&gt;=3,"Medium","Low"))</f>
        <v>Medium</v>
      </c>
    </row>
    <row r="3124" customFormat="false" ht="15" hidden="false" customHeight="true" outlineLevel="0" collapsed="false">
      <c r="A3124" s="2" t="n">
        <f aca="false">'Raw Data'!H3124</f>
        <v>3123</v>
      </c>
      <c r="B3124" s="2" t="n">
        <f aca="false">'Raw Data'!A3124</f>
        <v>34</v>
      </c>
      <c r="C3124" s="2" t="str">
        <f aca="false">'Raw Data'!D3124</f>
        <v>Sales</v>
      </c>
      <c r="D3124" s="2" t="str">
        <f aca="false">'Raw Data'!K3124</f>
        <v>Research Director</v>
      </c>
      <c r="E3124" s="2" t="n">
        <f aca="false">'Raw Data'!Q3124</f>
        <v>11</v>
      </c>
      <c r="F3124" s="2" t="n">
        <f aca="false">'Raw Data'!U3124</f>
        <v>2</v>
      </c>
      <c r="G3124" s="2" t="n">
        <f aca="false">'Raw Data'!W3124</f>
        <v>1</v>
      </c>
      <c r="H3124" s="2" t="n">
        <f aca="false">'Raw Data'!V3124</f>
        <v>2</v>
      </c>
      <c r="I3124" s="2" t="n">
        <f aca="false">IF(AND(ISNUMBER(B3124),B3124&lt;=25),2,0)+IF(AND(ISNUMBER(E3124),E3124&lt;=5),2,0)+IF(AND(ISNUMBER(F3124),F3124&lt;=1),2,0)+IF(AND(ISNUMBER(G3124),G3124&lt;=2),1,0)+IF(AND(ISNUMBER(H3124),H3124&lt;=2),1,0)</f>
        <v>2</v>
      </c>
      <c r="J3124" s="2" t="str">
        <f aca="false">IF(I3124&gt;=6,"High",IF(I3124&gt;=3,"Medium","Low"))</f>
        <v>Low</v>
      </c>
    </row>
    <row r="3125" customFormat="false" ht="15" hidden="false" customHeight="true" outlineLevel="0" collapsed="false">
      <c r="A3125" s="2" t="n">
        <f aca="false">'Raw Data'!H3125</f>
        <v>3124</v>
      </c>
      <c r="B3125" s="2" t="n">
        <f aca="false">'Raw Data'!A3125</f>
        <v>42</v>
      </c>
      <c r="C3125" s="2" t="str">
        <f aca="false">'Raw Data'!D3125</f>
        <v>Research &amp; Development</v>
      </c>
      <c r="D3125" s="2" t="str">
        <f aca="false">'Raw Data'!K3125</f>
        <v>Research Scientist</v>
      </c>
      <c r="E3125" s="2" t="n">
        <f aca="false">'Raw Data'!Q3125</f>
        <v>8</v>
      </c>
      <c r="F3125" s="2" t="n">
        <f aca="false">'Raw Data'!U3125</f>
        <v>0</v>
      </c>
      <c r="G3125" s="2" t="n">
        <f aca="false">'Raw Data'!W3125</f>
        <v>3</v>
      </c>
      <c r="H3125" s="2" t="n">
        <f aca="false">'Raw Data'!V3125</f>
        <v>2</v>
      </c>
      <c r="I3125" s="2" t="n">
        <f aca="false">IF(AND(ISNUMBER(B3125),B3125&lt;=25),2,0)+IF(AND(ISNUMBER(E3125),E3125&lt;=5),2,0)+IF(AND(ISNUMBER(F3125),F3125&lt;=1),2,0)+IF(AND(ISNUMBER(G3125),G3125&lt;=2),1,0)+IF(AND(ISNUMBER(H3125),H3125&lt;=2),1,0)</f>
        <v>3</v>
      </c>
      <c r="J3125" s="2" t="str">
        <f aca="false">IF(I3125&gt;=6,"High",IF(I3125&gt;=3,"Medium","Low"))</f>
        <v>Medium</v>
      </c>
    </row>
    <row r="3126" customFormat="false" ht="15" hidden="false" customHeight="true" outlineLevel="0" collapsed="false">
      <c r="A3126" s="2" t="n">
        <f aca="false">'Raw Data'!H3126</f>
        <v>3125</v>
      </c>
      <c r="B3126" s="2" t="n">
        <f aca="false">'Raw Data'!A3126</f>
        <v>36</v>
      </c>
      <c r="C3126" s="2" t="str">
        <f aca="false">'Raw Data'!D3126</f>
        <v>Research &amp; Development</v>
      </c>
      <c r="D3126" s="2" t="str">
        <f aca="false">'Raw Data'!K3126</f>
        <v>Research Scientist</v>
      </c>
      <c r="E3126" s="2" t="n">
        <f aca="false">'Raw Data'!Q3126</f>
        <v>10</v>
      </c>
      <c r="F3126" s="2" t="n">
        <f aca="false">'Raw Data'!U3126</f>
        <v>7</v>
      </c>
      <c r="G3126" s="2" t="n">
        <f aca="false">'Raw Data'!W3126</f>
        <v>4</v>
      </c>
      <c r="H3126" s="2" t="n">
        <f aca="false">'Raw Data'!V3126</f>
        <v>2</v>
      </c>
      <c r="I3126" s="2" t="n">
        <f aca="false">IF(AND(ISNUMBER(B3126),B3126&lt;=25),2,0)+IF(AND(ISNUMBER(E3126),E3126&lt;=5),2,0)+IF(AND(ISNUMBER(F3126),F3126&lt;=1),2,0)+IF(AND(ISNUMBER(G3126),G3126&lt;=2),1,0)+IF(AND(ISNUMBER(H3126),H3126&lt;=2),1,0)</f>
        <v>1</v>
      </c>
      <c r="J3126" s="2" t="str">
        <f aca="false">IF(I3126&gt;=6,"High",IF(I3126&gt;=3,"Medium","Low"))</f>
        <v>Low</v>
      </c>
    </row>
    <row r="3127" customFormat="false" ht="15" hidden="false" customHeight="true" outlineLevel="0" collapsed="false">
      <c r="A3127" s="2" t="n">
        <f aca="false">'Raw Data'!H3127</f>
        <v>3126</v>
      </c>
      <c r="B3127" s="2" t="n">
        <f aca="false">'Raw Data'!A3127</f>
        <v>22</v>
      </c>
      <c r="C3127" s="2" t="str">
        <f aca="false">'Raw Data'!D3127</f>
        <v>Research &amp; Development</v>
      </c>
      <c r="D3127" s="2" t="str">
        <f aca="false">'Raw Data'!K3127</f>
        <v>Laboratory Technician</v>
      </c>
      <c r="E3127" s="2" t="n">
        <f aca="false">'Raw Data'!Q3127</f>
        <v>4</v>
      </c>
      <c r="F3127" s="2" t="n">
        <f aca="false">'Raw Data'!U3127</f>
        <v>2</v>
      </c>
      <c r="G3127" s="2" t="n">
        <f aca="false">'Raw Data'!W3127</f>
        <v>3</v>
      </c>
      <c r="H3127" s="2" t="n">
        <f aca="false">'Raw Data'!V3127</f>
        <v>3</v>
      </c>
      <c r="I3127" s="2" t="n">
        <f aca="false">IF(AND(ISNUMBER(B3127),B3127&lt;=25),2,0)+IF(AND(ISNUMBER(E3127),E3127&lt;=5),2,0)+IF(AND(ISNUMBER(F3127),F3127&lt;=1),2,0)+IF(AND(ISNUMBER(G3127),G3127&lt;=2),1,0)+IF(AND(ISNUMBER(H3127),H3127&lt;=2),1,0)</f>
        <v>4</v>
      </c>
      <c r="J3127" s="2" t="str">
        <f aca="false">IF(I3127&gt;=6,"High",IF(I3127&gt;=3,"Medium","Low"))</f>
        <v>Medium</v>
      </c>
    </row>
    <row r="3128" customFormat="false" ht="15" hidden="false" customHeight="true" outlineLevel="0" collapsed="false">
      <c r="A3128" s="2" t="n">
        <f aca="false">'Raw Data'!H3128</f>
        <v>3127</v>
      </c>
      <c r="B3128" s="2" t="n">
        <f aca="false">'Raw Data'!A3128</f>
        <v>48</v>
      </c>
      <c r="C3128" s="2" t="str">
        <f aca="false">'Raw Data'!D3128</f>
        <v>Research &amp; Development</v>
      </c>
      <c r="D3128" s="2" t="str">
        <f aca="false">'Raw Data'!K3128</f>
        <v>Laboratory Technician</v>
      </c>
      <c r="E3128" s="2" t="n">
        <f aca="false">'Raw Data'!Q3128</f>
        <v>14</v>
      </c>
      <c r="F3128" s="2" t="n">
        <f aca="false">'Raw Data'!U3128</f>
        <v>7</v>
      </c>
      <c r="G3128" s="2" t="n">
        <f aca="false">'Raw Data'!W3128</f>
        <v>4</v>
      </c>
      <c r="H3128" s="2" t="n">
        <f aca="false">'Raw Data'!V3128</f>
        <v>2</v>
      </c>
      <c r="I3128" s="2" t="n">
        <f aca="false">IF(AND(ISNUMBER(B3128),B3128&lt;=25),2,0)+IF(AND(ISNUMBER(E3128),E3128&lt;=5),2,0)+IF(AND(ISNUMBER(F3128),F3128&lt;=1),2,0)+IF(AND(ISNUMBER(G3128),G3128&lt;=2),1,0)+IF(AND(ISNUMBER(H3128),H3128&lt;=2),1,0)</f>
        <v>1</v>
      </c>
      <c r="J3128" s="2" t="str">
        <f aca="false">IF(I3128&gt;=6,"High",IF(I3128&gt;=3,"Medium","Low"))</f>
        <v>Low</v>
      </c>
    </row>
    <row r="3129" customFormat="false" ht="15" hidden="false" customHeight="true" outlineLevel="0" collapsed="false">
      <c r="A3129" s="2" t="n">
        <f aca="false">'Raw Data'!H3129</f>
        <v>3128</v>
      </c>
      <c r="B3129" s="2" t="n">
        <f aca="false">'Raw Data'!A3129</f>
        <v>55</v>
      </c>
      <c r="C3129" s="2" t="str">
        <f aca="false">'Raw Data'!D3129</f>
        <v>Research &amp; Development</v>
      </c>
      <c r="D3129" s="2" t="str">
        <f aca="false">'Raw Data'!K3129</f>
        <v>Sales Executive</v>
      </c>
      <c r="E3129" s="2" t="n">
        <f aca="false">'Raw Data'!Q3129</f>
        <v>37</v>
      </c>
      <c r="F3129" s="2" t="n">
        <f aca="false">'Raw Data'!U3129</f>
        <v>7</v>
      </c>
      <c r="G3129" s="2" t="n">
        <f aca="false">'Raw Data'!W3129</f>
        <v>2</v>
      </c>
      <c r="H3129" s="2" t="n">
        <f aca="false">'Raw Data'!V3129</f>
        <v>1</v>
      </c>
      <c r="I3129" s="2" t="n">
        <f aca="false">IF(AND(ISNUMBER(B3129),B3129&lt;=25),2,0)+IF(AND(ISNUMBER(E3129),E3129&lt;=5),2,0)+IF(AND(ISNUMBER(F3129),F3129&lt;=1),2,0)+IF(AND(ISNUMBER(G3129),G3129&lt;=2),1,0)+IF(AND(ISNUMBER(H3129),H3129&lt;=2),1,0)</f>
        <v>2</v>
      </c>
      <c r="J3129" s="2" t="str">
        <f aca="false">IF(I3129&gt;=6,"High",IF(I3129&gt;=3,"Medium","Low"))</f>
        <v>Low</v>
      </c>
    </row>
    <row r="3130" customFormat="false" ht="15" hidden="false" customHeight="true" outlineLevel="0" collapsed="false">
      <c r="A3130" s="2" t="n">
        <f aca="false">'Raw Data'!H3130</f>
        <v>3129</v>
      </c>
      <c r="B3130" s="2" t="n">
        <f aca="false">'Raw Data'!A3130</f>
        <v>41</v>
      </c>
      <c r="C3130" s="2" t="str">
        <f aca="false">'Raw Data'!D3130</f>
        <v>Research &amp; Development</v>
      </c>
      <c r="D3130" s="2" t="str">
        <f aca="false">'Raw Data'!K3130</f>
        <v>Research Scientist</v>
      </c>
      <c r="E3130" s="2" t="n">
        <f aca="false">'Raw Data'!Q3130</f>
        <v>16</v>
      </c>
      <c r="F3130" s="2" t="n">
        <f aca="false">'Raw Data'!U3130</f>
        <v>10</v>
      </c>
      <c r="G3130" s="2" t="n">
        <f aca="false">'Raw Data'!W3130</f>
        <v>4</v>
      </c>
      <c r="H3130" s="2" t="n">
        <f aca="false">'Raw Data'!V3130</f>
        <v>4</v>
      </c>
      <c r="I3130" s="2" t="n">
        <f aca="false">IF(AND(ISNUMBER(B3130),B3130&lt;=25),2,0)+IF(AND(ISNUMBER(E3130),E3130&lt;=5),2,0)+IF(AND(ISNUMBER(F3130),F3130&lt;=1),2,0)+IF(AND(ISNUMBER(G3130),G3130&lt;=2),1,0)+IF(AND(ISNUMBER(H3130),H3130&lt;=2),1,0)</f>
        <v>0</v>
      </c>
      <c r="J3130" s="2" t="str">
        <f aca="false">IF(I3130&gt;=6,"High",IF(I3130&gt;=3,"Medium","Low"))</f>
        <v>Low</v>
      </c>
    </row>
    <row r="3131" customFormat="false" ht="15" hidden="false" customHeight="true" outlineLevel="0" collapsed="false">
      <c r="A3131" s="2" t="n">
        <f aca="false">'Raw Data'!H3131</f>
        <v>3130</v>
      </c>
      <c r="B3131" s="2" t="n">
        <f aca="false">'Raw Data'!A3131</f>
        <v>35</v>
      </c>
      <c r="C3131" s="2" t="str">
        <f aca="false">'Raw Data'!D3131</f>
        <v>Research &amp; Development</v>
      </c>
      <c r="D3131" s="2" t="str">
        <f aca="false">'Raw Data'!K3131</f>
        <v>Sales Representative</v>
      </c>
      <c r="E3131" s="2" t="n">
        <f aca="false">'Raw Data'!Q3131</f>
        <v>15</v>
      </c>
      <c r="F3131" s="2" t="n">
        <f aca="false">'Raw Data'!U3131</f>
        <v>9</v>
      </c>
      <c r="G3131" s="2" t="n">
        <f aca="false">'Raw Data'!W3131</f>
        <v>3</v>
      </c>
      <c r="H3131" s="2" t="n">
        <f aca="false">'Raw Data'!V3131</f>
        <v>2</v>
      </c>
      <c r="I3131" s="2" t="n">
        <f aca="false">IF(AND(ISNUMBER(B3131),B3131&lt;=25),2,0)+IF(AND(ISNUMBER(E3131),E3131&lt;=5),2,0)+IF(AND(ISNUMBER(F3131),F3131&lt;=1),2,0)+IF(AND(ISNUMBER(G3131),G3131&lt;=2),1,0)+IF(AND(ISNUMBER(H3131),H3131&lt;=2),1,0)</f>
        <v>1</v>
      </c>
      <c r="J3131" s="2" t="str">
        <f aca="false">IF(I3131&gt;=6,"High",IF(I3131&gt;=3,"Medium","Low"))</f>
        <v>Low</v>
      </c>
    </row>
    <row r="3132" customFormat="false" ht="15" hidden="false" customHeight="true" outlineLevel="0" collapsed="false">
      <c r="A3132" s="2" t="n">
        <f aca="false">'Raw Data'!H3132</f>
        <v>3131</v>
      </c>
      <c r="B3132" s="2" t="n">
        <f aca="false">'Raw Data'!A3132</f>
        <v>40</v>
      </c>
      <c r="C3132" s="2" t="str">
        <f aca="false">'Raw Data'!D3132</f>
        <v>Research &amp; Development</v>
      </c>
      <c r="D3132" s="2" t="str">
        <f aca="false">'Raw Data'!K3132</f>
        <v>Laboratory Technician</v>
      </c>
      <c r="E3132" s="2" t="n">
        <f aca="false">'Raw Data'!Q3132</f>
        <v>22</v>
      </c>
      <c r="F3132" s="2" t="n">
        <f aca="false">'Raw Data'!U3132</f>
        <v>13</v>
      </c>
      <c r="G3132" s="2" t="n">
        <f aca="false">'Raw Data'!W3132</f>
        <v>3</v>
      </c>
      <c r="H3132" s="2" t="n">
        <f aca="false">'Raw Data'!V3132</f>
        <v>2</v>
      </c>
      <c r="I3132" s="2" t="n">
        <f aca="false">IF(AND(ISNUMBER(B3132),B3132&lt;=25),2,0)+IF(AND(ISNUMBER(E3132),E3132&lt;=5),2,0)+IF(AND(ISNUMBER(F3132),F3132&lt;=1),2,0)+IF(AND(ISNUMBER(G3132),G3132&lt;=2),1,0)+IF(AND(ISNUMBER(H3132),H3132&lt;=2),1,0)</f>
        <v>1</v>
      </c>
      <c r="J3132" s="2" t="str">
        <f aca="false">IF(I3132&gt;=6,"High",IF(I3132&gt;=3,"Medium","Low"))</f>
        <v>Low</v>
      </c>
    </row>
    <row r="3133" customFormat="false" ht="15" hidden="false" customHeight="true" outlineLevel="0" collapsed="false">
      <c r="A3133" s="2" t="n">
        <f aca="false">'Raw Data'!H3133</f>
        <v>3132</v>
      </c>
      <c r="B3133" s="2" t="n">
        <f aca="false">'Raw Data'!A3133</f>
        <v>39</v>
      </c>
      <c r="C3133" s="2" t="str">
        <f aca="false">'Raw Data'!D3133</f>
        <v>Research &amp; Development</v>
      </c>
      <c r="D3133" s="2" t="str">
        <f aca="false">'Raw Data'!K3133</f>
        <v>Research Scientist</v>
      </c>
      <c r="E3133" s="2" t="n">
        <f aca="false">'Raw Data'!Q3133</f>
        <v>8</v>
      </c>
      <c r="F3133" s="2" t="n">
        <f aca="false">'Raw Data'!U3133</f>
        <v>7</v>
      </c>
      <c r="G3133" s="2" t="n">
        <f aca="false">'Raw Data'!W3133</f>
        <v>3</v>
      </c>
      <c r="H3133" s="2" t="n">
        <f aca="false">'Raw Data'!V3133</f>
        <v>3</v>
      </c>
      <c r="I3133" s="2" t="n">
        <f aca="false">IF(AND(ISNUMBER(B3133),B3133&lt;=25),2,0)+IF(AND(ISNUMBER(E3133),E3133&lt;=5),2,0)+IF(AND(ISNUMBER(F3133),F3133&lt;=1),2,0)+IF(AND(ISNUMBER(G3133),G3133&lt;=2),1,0)+IF(AND(ISNUMBER(H3133),H3133&lt;=2),1,0)</f>
        <v>0</v>
      </c>
      <c r="J3133" s="2" t="str">
        <f aca="false">IF(I3133&gt;=6,"High",IF(I3133&gt;=3,"Medium","Low"))</f>
        <v>Low</v>
      </c>
    </row>
    <row r="3134" customFormat="false" ht="15" hidden="false" customHeight="true" outlineLevel="0" collapsed="false">
      <c r="A3134" s="2" t="n">
        <f aca="false">'Raw Data'!H3134</f>
        <v>3133</v>
      </c>
      <c r="B3134" s="2" t="n">
        <f aca="false">'Raw Data'!A3134</f>
        <v>31</v>
      </c>
      <c r="C3134" s="2" t="str">
        <f aca="false">'Raw Data'!D3134</f>
        <v>Research &amp; Development</v>
      </c>
      <c r="D3134" s="2" t="str">
        <f aca="false">'Raw Data'!K3134</f>
        <v>Research Director</v>
      </c>
      <c r="E3134" s="2" t="n">
        <f aca="false">'Raw Data'!Q3134</f>
        <v>10</v>
      </c>
      <c r="F3134" s="2" t="n">
        <f aca="false">'Raw Data'!U3134</f>
        <v>5</v>
      </c>
      <c r="G3134" s="2" t="n">
        <f aca="false">'Raw Data'!W3134</f>
        <v>4</v>
      </c>
      <c r="H3134" s="2" t="n">
        <f aca="false">'Raw Data'!V3134</f>
        <v>2</v>
      </c>
      <c r="I3134" s="2" t="n">
        <f aca="false">IF(AND(ISNUMBER(B3134),B3134&lt;=25),2,0)+IF(AND(ISNUMBER(E3134),E3134&lt;=5),2,0)+IF(AND(ISNUMBER(F3134),F3134&lt;=1),2,0)+IF(AND(ISNUMBER(G3134),G3134&lt;=2),1,0)+IF(AND(ISNUMBER(H3134),H3134&lt;=2),1,0)</f>
        <v>1</v>
      </c>
      <c r="J3134" s="2" t="str">
        <f aca="false">IF(I3134&gt;=6,"High",IF(I3134&gt;=3,"Medium","Low"))</f>
        <v>Low</v>
      </c>
    </row>
    <row r="3135" customFormat="false" ht="15" hidden="false" customHeight="true" outlineLevel="0" collapsed="false">
      <c r="A3135" s="2" t="n">
        <f aca="false">'Raw Data'!H3135</f>
        <v>3134</v>
      </c>
      <c r="B3135" s="2" t="n">
        <f aca="false">'Raw Data'!A3135</f>
        <v>42</v>
      </c>
      <c r="C3135" s="2" t="str">
        <f aca="false">'Raw Data'!D3135</f>
        <v>Research &amp; Development</v>
      </c>
      <c r="D3135" s="2" t="str">
        <f aca="false">'Raw Data'!K3135</f>
        <v>Sales Executive</v>
      </c>
      <c r="E3135" s="2" t="n">
        <f aca="false">'Raw Data'!Q3135</f>
        <v>10</v>
      </c>
      <c r="F3135" s="2" t="n">
        <f aca="false">'Raw Data'!U3135</f>
        <v>8</v>
      </c>
      <c r="G3135" s="2" t="n">
        <f aca="false">'Raw Data'!W3135</f>
        <v>1</v>
      </c>
      <c r="H3135" s="2" t="n">
        <f aca="false">'Raw Data'!V3135</f>
        <v>4</v>
      </c>
      <c r="I3135" s="2" t="n">
        <f aca="false">IF(AND(ISNUMBER(B3135),B3135&lt;=25),2,0)+IF(AND(ISNUMBER(E3135),E3135&lt;=5),2,0)+IF(AND(ISNUMBER(F3135),F3135&lt;=1),2,0)+IF(AND(ISNUMBER(G3135),G3135&lt;=2),1,0)+IF(AND(ISNUMBER(H3135),H3135&lt;=2),1,0)</f>
        <v>1</v>
      </c>
      <c r="J3135" s="2" t="str">
        <f aca="false">IF(I3135&gt;=6,"High",IF(I3135&gt;=3,"Medium","Low"))</f>
        <v>Low</v>
      </c>
    </row>
    <row r="3136" customFormat="false" ht="15" hidden="false" customHeight="true" outlineLevel="0" collapsed="false">
      <c r="A3136" s="2" t="n">
        <f aca="false">'Raw Data'!H3136</f>
        <v>3135</v>
      </c>
      <c r="B3136" s="2" t="n">
        <f aca="false">'Raw Data'!A3136</f>
        <v>45</v>
      </c>
      <c r="C3136" s="2" t="str">
        <f aca="false">'Raw Data'!D3136</f>
        <v>Research &amp; Development</v>
      </c>
      <c r="D3136" s="2" t="str">
        <f aca="false">'Raw Data'!K3136</f>
        <v>Sales Executive</v>
      </c>
      <c r="E3136" s="2" t="n">
        <f aca="false">'Raw Data'!Q3136</f>
        <v>9</v>
      </c>
      <c r="F3136" s="2" t="n">
        <f aca="false">'Raw Data'!U3136</f>
        <v>7</v>
      </c>
      <c r="G3136" s="2" t="n">
        <f aca="false">'Raw Data'!W3136</f>
        <v>2</v>
      </c>
      <c r="H3136" s="2" t="n">
        <f aca="false">'Raw Data'!V3136</f>
        <v>4</v>
      </c>
      <c r="I3136" s="2" t="n">
        <f aca="false">IF(AND(ISNUMBER(B3136),B3136&lt;=25),2,0)+IF(AND(ISNUMBER(E3136),E3136&lt;=5),2,0)+IF(AND(ISNUMBER(F3136),F3136&lt;=1),2,0)+IF(AND(ISNUMBER(G3136),G3136&lt;=2),1,0)+IF(AND(ISNUMBER(H3136),H3136&lt;=2),1,0)</f>
        <v>1</v>
      </c>
      <c r="J3136" s="2" t="str">
        <f aca="false">IF(I3136&gt;=6,"High",IF(I3136&gt;=3,"Medium","Low"))</f>
        <v>Low</v>
      </c>
    </row>
    <row r="3137" customFormat="false" ht="15" hidden="false" customHeight="true" outlineLevel="0" collapsed="false">
      <c r="A3137" s="2" t="n">
        <f aca="false">'Raw Data'!H3137</f>
        <v>3136</v>
      </c>
      <c r="B3137" s="2" t="n">
        <f aca="false">'Raw Data'!A3137</f>
        <v>26</v>
      </c>
      <c r="C3137" s="2" t="str">
        <f aca="false">'Raw Data'!D3137</f>
        <v>Research &amp; Development</v>
      </c>
      <c r="D3137" s="2" t="str">
        <f aca="false">'Raw Data'!K3137</f>
        <v>Laboratory Technician</v>
      </c>
      <c r="E3137" s="2" t="n">
        <f aca="false">'Raw Data'!Q3137</f>
        <v>8</v>
      </c>
      <c r="F3137" s="2" t="n">
        <f aca="false">'Raw Data'!U3137</f>
        <v>0</v>
      </c>
      <c r="G3137" s="2" t="n">
        <f aca="false">'Raw Data'!W3137</f>
        <v>3</v>
      </c>
      <c r="H3137" s="2" t="n">
        <f aca="false">'Raw Data'!V3137</f>
        <v>2</v>
      </c>
      <c r="I3137" s="2" t="n">
        <f aca="false">IF(AND(ISNUMBER(B3137),B3137&lt;=25),2,0)+IF(AND(ISNUMBER(E3137),E3137&lt;=5),2,0)+IF(AND(ISNUMBER(F3137),F3137&lt;=1),2,0)+IF(AND(ISNUMBER(G3137),G3137&lt;=2),1,0)+IF(AND(ISNUMBER(H3137),H3137&lt;=2),1,0)</f>
        <v>3</v>
      </c>
      <c r="J3137" s="2" t="str">
        <f aca="false">IF(I3137&gt;=6,"High",IF(I3137&gt;=3,"Medium","Low"))</f>
        <v>Medium</v>
      </c>
    </row>
    <row r="3138" customFormat="false" ht="15" hidden="false" customHeight="true" outlineLevel="0" collapsed="false">
      <c r="A3138" s="2" t="n">
        <f aca="false">'Raw Data'!H3138</f>
        <v>3137</v>
      </c>
      <c r="B3138" s="2" t="n">
        <f aca="false">'Raw Data'!A3138</f>
        <v>29</v>
      </c>
      <c r="C3138" s="2" t="str">
        <f aca="false">'Raw Data'!D3138</f>
        <v>Research &amp; Development</v>
      </c>
      <c r="D3138" s="2" t="str">
        <f aca="false">'Raw Data'!K3138</f>
        <v>Research Scientist</v>
      </c>
      <c r="E3138" s="2" t="n">
        <f aca="false">'Raw Data'!Q3138</f>
        <v>8</v>
      </c>
      <c r="F3138" s="2" t="n">
        <f aca="false">'Raw Data'!U3138</f>
        <v>2</v>
      </c>
      <c r="G3138" s="2" t="n">
        <f aca="false">'Raw Data'!W3138</f>
        <v>4</v>
      </c>
      <c r="H3138" s="2" t="n">
        <f aca="false">'Raw Data'!V3138</f>
        <v>4</v>
      </c>
      <c r="I3138" s="2" t="n">
        <f aca="false">IF(AND(ISNUMBER(B3138),B3138&lt;=25),2,0)+IF(AND(ISNUMBER(E3138),E3138&lt;=5),2,0)+IF(AND(ISNUMBER(F3138),F3138&lt;=1),2,0)+IF(AND(ISNUMBER(G3138),G3138&lt;=2),1,0)+IF(AND(ISNUMBER(H3138),H3138&lt;=2),1,0)</f>
        <v>0</v>
      </c>
      <c r="J3138" s="2" t="str">
        <f aca="false">IF(I3138&gt;=6,"High",IF(I3138&gt;=3,"Medium","Low"))</f>
        <v>Low</v>
      </c>
    </row>
    <row r="3139" customFormat="false" ht="15" hidden="false" customHeight="true" outlineLevel="0" collapsed="false">
      <c r="A3139" s="2" t="n">
        <f aca="false">'Raw Data'!H3139</f>
        <v>3138</v>
      </c>
      <c r="B3139" s="2" t="n">
        <f aca="false">'Raw Data'!A3139</f>
        <v>33</v>
      </c>
      <c r="C3139" s="2" t="str">
        <f aca="false">'Raw Data'!D3139</f>
        <v>Research &amp; Development</v>
      </c>
      <c r="D3139" s="2" t="str">
        <f aca="false">'Raw Data'!K3139</f>
        <v>Laboratory Technician</v>
      </c>
      <c r="E3139" s="2" t="n">
        <f aca="false">'Raw Data'!Q3139</f>
        <v>10</v>
      </c>
      <c r="F3139" s="2" t="n">
        <f aca="false">'Raw Data'!U3139</f>
        <v>5</v>
      </c>
      <c r="G3139" s="2" t="n">
        <f aca="false">'Raw Data'!W3139</f>
        <v>3</v>
      </c>
      <c r="H3139" s="2" t="n">
        <f aca="false">'Raw Data'!V3139</f>
        <v>1</v>
      </c>
      <c r="I3139" s="2" t="n">
        <f aca="false">IF(AND(ISNUMBER(B3139),B3139&lt;=25),2,0)+IF(AND(ISNUMBER(E3139),E3139&lt;=5),2,0)+IF(AND(ISNUMBER(F3139),F3139&lt;=1),2,0)+IF(AND(ISNUMBER(G3139),G3139&lt;=2),1,0)+IF(AND(ISNUMBER(H3139),H3139&lt;=2),1,0)</f>
        <v>1</v>
      </c>
      <c r="J3139" s="2" t="str">
        <f aca="false">IF(I3139&gt;=6,"High",IF(I3139&gt;=3,"Medium","Low"))</f>
        <v>Low</v>
      </c>
    </row>
    <row r="3140" customFormat="false" ht="15" hidden="false" customHeight="true" outlineLevel="0" collapsed="false">
      <c r="A3140" s="2" t="n">
        <f aca="false">'Raw Data'!H3140</f>
        <v>3139</v>
      </c>
      <c r="B3140" s="2" t="n">
        <f aca="false">'Raw Data'!A3140</f>
        <v>31</v>
      </c>
      <c r="C3140" s="2" t="str">
        <f aca="false">'Raw Data'!D3140</f>
        <v>Research &amp; Development</v>
      </c>
      <c r="D3140" s="2" t="str">
        <f aca="false">'Raw Data'!K3140</f>
        <v>Sales Executive</v>
      </c>
      <c r="E3140" s="2" t="n">
        <f aca="false">'Raw Data'!Q3140</f>
        <v>10</v>
      </c>
      <c r="F3140" s="2" t="n">
        <f aca="false">'Raw Data'!U3140</f>
        <v>1</v>
      </c>
      <c r="G3140" s="2" t="n">
        <f aca="false">'Raw Data'!W3140</f>
        <v>4</v>
      </c>
      <c r="H3140" s="2" t="n">
        <f aca="false">'Raw Data'!V3140</f>
        <v>3</v>
      </c>
      <c r="I3140" s="2" t="n">
        <f aca="false">IF(AND(ISNUMBER(B3140),B3140&lt;=25),2,0)+IF(AND(ISNUMBER(E3140),E3140&lt;=5),2,0)+IF(AND(ISNUMBER(F3140),F3140&lt;=1),2,0)+IF(AND(ISNUMBER(G3140),G3140&lt;=2),1,0)+IF(AND(ISNUMBER(H3140),H3140&lt;=2),1,0)</f>
        <v>2</v>
      </c>
      <c r="J3140" s="2" t="str">
        <f aca="false">IF(I3140&gt;=6,"High",IF(I3140&gt;=3,"Medium","Low"))</f>
        <v>Low</v>
      </c>
    </row>
    <row r="3141" customFormat="false" ht="15" hidden="false" customHeight="true" outlineLevel="0" collapsed="false">
      <c r="A3141" s="2" t="n">
        <f aca="false">'Raw Data'!H3141</f>
        <v>3140</v>
      </c>
      <c r="B3141" s="2" t="n">
        <f aca="false">'Raw Data'!A3141</f>
        <v>18</v>
      </c>
      <c r="C3141" s="2" t="str">
        <f aca="false">'Raw Data'!D3141</f>
        <v>Research &amp; Development</v>
      </c>
      <c r="D3141" s="2" t="str">
        <f aca="false">'Raw Data'!K3141</f>
        <v>Sales Executive</v>
      </c>
      <c r="E3141" s="2" t="n">
        <f aca="false">'Raw Data'!Q3141</f>
        <v>0</v>
      </c>
      <c r="F3141" s="2" t="n">
        <f aca="false">'Raw Data'!U3141</f>
        <v>0</v>
      </c>
      <c r="G3141" s="2" t="n">
        <f aca="false">'Raw Data'!W3141</f>
        <v>2</v>
      </c>
      <c r="H3141" s="2" t="n">
        <f aca="false">'Raw Data'!V3141</f>
        <v>2</v>
      </c>
      <c r="I3141" s="2" t="n">
        <f aca="false">IF(AND(ISNUMBER(B3141),B3141&lt;=25),2,0)+IF(AND(ISNUMBER(E3141),E3141&lt;=5),2,0)+IF(AND(ISNUMBER(F3141),F3141&lt;=1),2,0)+IF(AND(ISNUMBER(G3141),G3141&lt;=2),1,0)+IF(AND(ISNUMBER(H3141),H3141&lt;=2),1,0)</f>
        <v>8</v>
      </c>
      <c r="J3141" s="2" t="str">
        <f aca="false">IF(I3141&gt;=6,"High",IF(I3141&gt;=3,"Medium","Low"))</f>
        <v>High</v>
      </c>
    </row>
    <row r="3142" customFormat="false" ht="15" hidden="false" customHeight="true" outlineLevel="0" collapsed="false">
      <c r="A3142" s="2" t="n">
        <f aca="false">'Raw Data'!H3142</f>
        <v>3141</v>
      </c>
      <c r="B3142" s="2" t="n">
        <f aca="false">'Raw Data'!A3142</f>
        <v>40</v>
      </c>
      <c r="C3142" s="2" t="str">
        <f aca="false">'Raw Data'!D3142</f>
        <v>Research &amp; Development</v>
      </c>
      <c r="D3142" s="2" t="str">
        <f aca="false">'Raw Data'!K3142</f>
        <v>Laboratory Technician</v>
      </c>
      <c r="E3142" s="2" t="n">
        <f aca="false">'Raw Data'!Q3142</f>
        <v>20</v>
      </c>
      <c r="F3142" s="2" t="n">
        <f aca="false">'Raw Data'!U3142</f>
        <v>1</v>
      </c>
      <c r="G3142" s="2" t="n">
        <f aca="false">'Raw Data'!W3142</f>
        <v>1</v>
      </c>
      <c r="H3142" s="2" t="n">
        <f aca="false">'Raw Data'!V3142</f>
        <v>3</v>
      </c>
      <c r="I3142" s="2" t="n">
        <f aca="false">IF(AND(ISNUMBER(B3142),B3142&lt;=25),2,0)+IF(AND(ISNUMBER(E3142),E3142&lt;=5),2,0)+IF(AND(ISNUMBER(F3142),F3142&lt;=1),2,0)+IF(AND(ISNUMBER(G3142),G3142&lt;=2),1,0)+IF(AND(ISNUMBER(H3142),H3142&lt;=2),1,0)</f>
        <v>3</v>
      </c>
      <c r="J3142" s="2" t="str">
        <f aca="false">IF(I3142&gt;=6,"High",IF(I3142&gt;=3,"Medium","Low"))</f>
        <v>Medium</v>
      </c>
    </row>
    <row r="3143" customFormat="false" ht="15" hidden="false" customHeight="true" outlineLevel="0" collapsed="false">
      <c r="A3143" s="2" t="n">
        <f aca="false">'Raw Data'!H3143</f>
        <v>3142</v>
      </c>
      <c r="B3143" s="2" t="n">
        <f aca="false">'Raw Data'!A3143</f>
        <v>41</v>
      </c>
      <c r="C3143" s="2" t="str">
        <f aca="false">'Raw Data'!D3143</f>
        <v>Research &amp; Development</v>
      </c>
      <c r="D3143" s="2" t="str">
        <f aca="false">'Raw Data'!K3143</f>
        <v>Manufacturing Director</v>
      </c>
      <c r="E3143" s="2" t="n">
        <f aca="false">'Raw Data'!Q3143</f>
        <v>10</v>
      </c>
      <c r="F3143" s="2" t="n">
        <f aca="false">'Raw Data'!U3143</f>
        <v>7</v>
      </c>
      <c r="G3143" s="2" t="n">
        <f aca="false">'Raw Data'!W3143</f>
        <v>3</v>
      </c>
      <c r="H3143" s="2" t="n">
        <f aca="false">'Raw Data'!V3143</f>
        <v>1</v>
      </c>
      <c r="I3143" s="2" t="n">
        <f aca="false">IF(AND(ISNUMBER(B3143),B3143&lt;=25),2,0)+IF(AND(ISNUMBER(E3143),E3143&lt;=5),2,0)+IF(AND(ISNUMBER(F3143),F3143&lt;=1),2,0)+IF(AND(ISNUMBER(G3143),G3143&lt;=2),1,0)+IF(AND(ISNUMBER(H3143),H3143&lt;=2),1,0)</f>
        <v>1</v>
      </c>
      <c r="J3143" s="2" t="str">
        <f aca="false">IF(I3143&gt;=6,"High",IF(I3143&gt;=3,"Medium","Low"))</f>
        <v>Low</v>
      </c>
    </row>
    <row r="3144" customFormat="false" ht="15" hidden="false" customHeight="true" outlineLevel="0" collapsed="false">
      <c r="A3144" s="2" t="n">
        <f aca="false">'Raw Data'!H3144</f>
        <v>3143</v>
      </c>
      <c r="B3144" s="2" t="n">
        <f aca="false">'Raw Data'!A3144</f>
        <v>26</v>
      </c>
      <c r="C3144" s="2" t="str">
        <f aca="false">'Raw Data'!D3144</f>
        <v>Research &amp; Development</v>
      </c>
      <c r="D3144" s="2" t="str">
        <f aca="false">'Raw Data'!K3144</f>
        <v>Healthcare Representative</v>
      </c>
      <c r="E3144" s="2" t="n">
        <f aca="false">'Raw Data'!Q3144</f>
        <v>8</v>
      </c>
      <c r="F3144" s="2" t="n">
        <f aca="false">'Raw Data'!U3144</f>
        <v>0</v>
      </c>
      <c r="G3144" s="2" t="n">
        <f aca="false">'Raw Data'!W3144</f>
        <v>3</v>
      </c>
      <c r="H3144" s="2" t="n">
        <f aca="false">'Raw Data'!V3144</f>
        <v>1</v>
      </c>
      <c r="I3144" s="2" t="n">
        <f aca="false">IF(AND(ISNUMBER(B3144),B3144&lt;=25),2,0)+IF(AND(ISNUMBER(E3144),E3144&lt;=5),2,0)+IF(AND(ISNUMBER(F3144),F3144&lt;=1),2,0)+IF(AND(ISNUMBER(G3144),G3144&lt;=2),1,0)+IF(AND(ISNUMBER(H3144),H3144&lt;=2),1,0)</f>
        <v>3</v>
      </c>
      <c r="J3144" s="2" t="str">
        <f aca="false">IF(I3144&gt;=6,"High",IF(I3144&gt;=3,"Medium","Low"))</f>
        <v>Medium</v>
      </c>
    </row>
    <row r="3145" customFormat="false" ht="15" hidden="false" customHeight="true" outlineLevel="0" collapsed="false">
      <c r="A3145" s="2" t="n">
        <f aca="false">'Raw Data'!H3145</f>
        <v>3144</v>
      </c>
      <c r="B3145" s="2" t="n">
        <f aca="false">'Raw Data'!A3145</f>
        <v>35</v>
      </c>
      <c r="C3145" s="2" t="str">
        <f aca="false">'Raw Data'!D3145</f>
        <v>Research &amp; Development</v>
      </c>
      <c r="D3145" s="2" t="str">
        <f aca="false">'Raw Data'!K3145</f>
        <v>Human Resources</v>
      </c>
      <c r="E3145" s="2" t="n">
        <f aca="false">'Raw Data'!Q3145</f>
        <v>5</v>
      </c>
      <c r="F3145" s="2" t="n">
        <f aca="false">'Raw Data'!U3145</f>
        <v>3</v>
      </c>
      <c r="G3145" s="2" t="n">
        <f aca="false">'Raw Data'!W3145</f>
        <v>3</v>
      </c>
      <c r="H3145" s="2" t="n">
        <f aca="false">'Raw Data'!V3145</f>
        <v>1</v>
      </c>
      <c r="I3145" s="2" t="n">
        <f aca="false">IF(AND(ISNUMBER(B3145),B3145&lt;=25),2,0)+IF(AND(ISNUMBER(E3145),E3145&lt;=5),2,0)+IF(AND(ISNUMBER(F3145),F3145&lt;=1),2,0)+IF(AND(ISNUMBER(G3145),G3145&lt;=2),1,0)+IF(AND(ISNUMBER(H3145),H3145&lt;=2),1,0)</f>
        <v>3</v>
      </c>
      <c r="J3145" s="2" t="str">
        <f aca="false">IF(I3145&gt;=6,"High",IF(I3145&gt;=3,"Medium","Low"))</f>
        <v>Medium</v>
      </c>
    </row>
    <row r="3146" customFormat="false" ht="15" hidden="false" customHeight="true" outlineLevel="0" collapsed="false">
      <c r="A3146" s="2" t="n">
        <f aca="false">'Raw Data'!H3146</f>
        <v>3145</v>
      </c>
      <c r="B3146" s="2" t="n">
        <f aca="false">'Raw Data'!A3146</f>
        <v>34</v>
      </c>
      <c r="C3146" s="2" t="str">
        <f aca="false">'Raw Data'!D3146</f>
        <v>Research &amp; Development</v>
      </c>
      <c r="D3146" s="2" t="str">
        <f aca="false">'Raw Data'!K3146</f>
        <v>Laboratory Technician</v>
      </c>
      <c r="E3146" s="2" t="n">
        <f aca="false">'Raw Data'!Q3146</f>
        <v>10</v>
      </c>
      <c r="F3146" s="2" t="n">
        <f aca="false">'Raw Data'!U3146</f>
        <v>7</v>
      </c>
      <c r="G3146" s="2" t="n">
        <f aca="false">'Raw Data'!W3146</f>
        <v>4</v>
      </c>
      <c r="H3146" s="2" t="n">
        <f aca="false">'Raw Data'!V3146</f>
        <v>4</v>
      </c>
      <c r="I3146" s="2" t="n">
        <f aca="false">IF(AND(ISNUMBER(B3146),B3146&lt;=25),2,0)+IF(AND(ISNUMBER(E3146),E3146&lt;=5),2,0)+IF(AND(ISNUMBER(F3146),F3146&lt;=1),2,0)+IF(AND(ISNUMBER(G3146),G3146&lt;=2),1,0)+IF(AND(ISNUMBER(H3146),H3146&lt;=2),1,0)</f>
        <v>0</v>
      </c>
      <c r="J3146" s="2" t="str">
        <f aca="false">IF(I3146&gt;=6,"High",IF(I3146&gt;=3,"Medium","Low"))</f>
        <v>Low</v>
      </c>
    </row>
    <row r="3147" customFormat="false" ht="15" hidden="false" customHeight="true" outlineLevel="0" collapsed="false">
      <c r="A3147" s="2" t="n">
        <f aca="false">'Raw Data'!H3147</f>
        <v>3146</v>
      </c>
      <c r="B3147" s="2" t="n">
        <f aca="false">'Raw Data'!A3147</f>
        <v>26</v>
      </c>
      <c r="C3147" s="2" t="str">
        <f aca="false">'Raw Data'!D3147</f>
        <v>Sales</v>
      </c>
      <c r="D3147" s="2" t="str">
        <f aca="false">'Raw Data'!K3147</f>
        <v>Manufacturing Director</v>
      </c>
      <c r="E3147" s="2" t="n">
        <f aca="false">'Raw Data'!Q3147</f>
        <v>1</v>
      </c>
      <c r="F3147" s="2" t="n">
        <f aca="false">'Raw Data'!U3147</f>
        <v>0</v>
      </c>
      <c r="G3147" s="2" t="n">
        <f aca="false">'Raw Data'!W3147</f>
        <v>4</v>
      </c>
      <c r="H3147" s="2" t="n">
        <f aca="false">'Raw Data'!V3147</f>
        <v>3</v>
      </c>
      <c r="I3147" s="2" t="n">
        <f aca="false">IF(AND(ISNUMBER(B3147),B3147&lt;=25),2,0)+IF(AND(ISNUMBER(E3147),E3147&lt;=5),2,0)+IF(AND(ISNUMBER(F3147),F3147&lt;=1),2,0)+IF(AND(ISNUMBER(G3147),G3147&lt;=2),1,0)+IF(AND(ISNUMBER(H3147),H3147&lt;=2),1,0)</f>
        <v>4</v>
      </c>
      <c r="J3147" s="2" t="str">
        <f aca="false">IF(I3147&gt;=6,"High",IF(I3147&gt;=3,"Medium","Low"))</f>
        <v>Medium</v>
      </c>
    </row>
    <row r="3148" customFormat="false" ht="15" hidden="false" customHeight="true" outlineLevel="0" collapsed="false">
      <c r="A3148" s="2" t="n">
        <f aca="false">'Raw Data'!H3148</f>
        <v>3147</v>
      </c>
      <c r="B3148" s="2" t="n">
        <f aca="false">'Raw Data'!A3148</f>
        <v>37</v>
      </c>
      <c r="C3148" s="2" t="str">
        <f aca="false">'Raw Data'!D3148</f>
        <v>Research &amp; Development</v>
      </c>
      <c r="D3148" s="2" t="str">
        <f aca="false">'Raw Data'!K3148</f>
        <v>Sales Executive</v>
      </c>
      <c r="E3148" s="2" t="n">
        <f aca="false">'Raw Data'!Q3148</f>
        <v>12</v>
      </c>
      <c r="F3148" s="2" t="n">
        <f aca="false">'Raw Data'!U3148</f>
        <v>2</v>
      </c>
      <c r="G3148" s="2" t="n">
        <f aca="false">'Raw Data'!W3148</f>
        <v>4</v>
      </c>
      <c r="H3148" s="2" t="n">
        <f aca="false">'Raw Data'!V3148</f>
        <v>2</v>
      </c>
      <c r="I3148" s="2" t="n">
        <f aca="false">IF(AND(ISNUMBER(B3148),B3148&lt;=25),2,0)+IF(AND(ISNUMBER(E3148),E3148&lt;=5),2,0)+IF(AND(ISNUMBER(F3148),F3148&lt;=1),2,0)+IF(AND(ISNUMBER(G3148),G3148&lt;=2),1,0)+IF(AND(ISNUMBER(H3148),H3148&lt;=2),1,0)</f>
        <v>1</v>
      </c>
      <c r="J3148" s="2" t="str">
        <f aca="false">IF(I3148&gt;=6,"High",IF(I3148&gt;=3,"Medium","Low"))</f>
        <v>Low</v>
      </c>
    </row>
    <row r="3149" customFormat="false" ht="15" hidden="false" customHeight="true" outlineLevel="0" collapsed="false">
      <c r="A3149" s="2" t="n">
        <f aca="false">'Raw Data'!H3149</f>
        <v>3148</v>
      </c>
      <c r="B3149" s="2" t="n">
        <f aca="false">'Raw Data'!A3149</f>
        <v>46</v>
      </c>
      <c r="C3149" s="2" t="str">
        <f aca="false">'Raw Data'!D3149</f>
        <v>Research &amp; Development</v>
      </c>
      <c r="D3149" s="2" t="str">
        <f aca="false">'Raw Data'!K3149</f>
        <v>Human Resources</v>
      </c>
      <c r="E3149" s="2" t="n">
        <f aca="false">'Raw Data'!Q3149</f>
        <v>28</v>
      </c>
      <c r="F3149" s="2" t="n">
        <f aca="false">'Raw Data'!U3149</f>
        <v>2</v>
      </c>
      <c r="G3149" s="2" t="n">
        <f aca="false">'Raw Data'!W3149</f>
        <v>3</v>
      </c>
      <c r="H3149" s="2" t="n">
        <f aca="false">'Raw Data'!V3149</f>
        <v>1</v>
      </c>
      <c r="I3149" s="2" t="n">
        <f aca="false">IF(AND(ISNUMBER(B3149),B3149&lt;=25),2,0)+IF(AND(ISNUMBER(E3149),E3149&lt;=5),2,0)+IF(AND(ISNUMBER(F3149),F3149&lt;=1),2,0)+IF(AND(ISNUMBER(G3149),G3149&lt;=2),1,0)+IF(AND(ISNUMBER(H3149),H3149&lt;=2),1,0)</f>
        <v>1</v>
      </c>
      <c r="J3149" s="2" t="str">
        <f aca="false">IF(I3149&gt;=6,"High",IF(I3149&gt;=3,"Medium","Low"))</f>
        <v>Low</v>
      </c>
    </row>
    <row r="3150" customFormat="false" ht="15" hidden="false" customHeight="true" outlineLevel="0" collapsed="false">
      <c r="A3150" s="2" t="n">
        <f aca="false">'Raw Data'!H3150</f>
        <v>3149</v>
      </c>
      <c r="B3150" s="2" t="n">
        <f aca="false">'Raw Data'!A3150</f>
        <v>41</v>
      </c>
      <c r="C3150" s="2" t="str">
        <f aca="false">'Raw Data'!D3150</f>
        <v>Research &amp; Development</v>
      </c>
      <c r="D3150" s="2" t="str">
        <f aca="false">'Raw Data'!K3150</f>
        <v>Research Director</v>
      </c>
      <c r="E3150" s="2" t="n">
        <f aca="false">'Raw Data'!Q3150</f>
        <v>22</v>
      </c>
      <c r="F3150" s="2" t="n">
        <f aca="false">'Raw Data'!U3150</f>
        <v>8</v>
      </c>
      <c r="G3150" s="2" t="n">
        <f aca="false">'Raw Data'!W3150</f>
        <v>1</v>
      </c>
      <c r="H3150" s="2" t="n">
        <f aca="false">'Raw Data'!V3150</f>
        <v>2</v>
      </c>
      <c r="I3150" s="2" t="n">
        <f aca="false">IF(AND(ISNUMBER(B3150),B3150&lt;=25),2,0)+IF(AND(ISNUMBER(E3150),E3150&lt;=5),2,0)+IF(AND(ISNUMBER(F3150),F3150&lt;=1),2,0)+IF(AND(ISNUMBER(G3150),G3150&lt;=2),1,0)+IF(AND(ISNUMBER(H3150),H3150&lt;=2),1,0)</f>
        <v>2</v>
      </c>
      <c r="J3150" s="2" t="str">
        <f aca="false">IF(I3150&gt;=6,"High",IF(I3150&gt;=3,"Medium","Low"))</f>
        <v>Low</v>
      </c>
    </row>
    <row r="3151" customFormat="false" ht="15" hidden="false" customHeight="true" outlineLevel="0" collapsed="false">
      <c r="A3151" s="2" t="n">
        <f aca="false">'Raw Data'!H3151</f>
        <v>3150</v>
      </c>
      <c r="B3151" s="2" t="n">
        <f aca="false">'Raw Data'!A3151</f>
        <v>37</v>
      </c>
      <c r="C3151" s="2" t="str">
        <f aca="false">'Raw Data'!D3151</f>
        <v>Research &amp; Development</v>
      </c>
      <c r="D3151" s="2" t="str">
        <f aca="false">'Raw Data'!K3151</f>
        <v>Sales Executive</v>
      </c>
      <c r="E3151" s="2" t="n">
        <f aca="false">'Raw Data'!Q3151</f>
        <v>9</v>
      </c>
      <c r="F3151" s="2" t="n">
        <f aca="false">'Raw Data'!U3151</f>
        <v>7</v>
      </c>
      <c r="G3151" s="2" t="n">
        <f aca="false">'Raw Data'!W3151</f>
        <v>2</v>
      </c>
      <c r="H3151" s="2" t="n">
        <f aca="false">'Raw Data'!V3151</f>
        <v>1</v>
      </c>
      <c r="I3151" s="2" t="n">
        <f aca="false">IF(AND(ISNUMBER(B3151),B3151&lt;=25),2,0)+IF(AND(ISNUMBER(E3151),E3151&lt;=5),2,0)+IF(AND(ISNUMBER(F3151),F3151&lt;=1),2,0)+IF(AND(ISNUMBER(G3151),G3151&lt;=2),1,0)+IF(AND(ISNUMBER(H3151),H3151&lt;=2),1,0)</f>
        <v>2</v>
      </c>
      <c r="J3151" s="2" t="str">
        <f aca="false">IF(I3151&gt;=6,"High",IF(I3151&gt;=3,"Medium","Low"))</f>
        <v>Low</v>
      </c>
    </row>
    <row r="3152" customFormat="false" ht="15" hidden="false" customHeight="true" outlineLevel="0" collapsed="false">
      <c r="A3152" s="2" t="n">
        <f aca="false">'Raw Data'!H3152</f>
        <v>3151</v>
      </c>
      <c r="B3152" s="2" t="n">
        <f aca="false">'Raw Data'!A3152</f>
        <v>52</v>
      </c>
      <c r="C3152" s="2" t="str">
        <f aca="false">'Raw Data'!D3152</f>
        <v>Sales</v>
      </c>
      <c r="D3152" s="2" t="str">
        <f aca="false">'Raw Data'!K3152</f>
        <v>Laboratory Technician</v>
      </c>
      <c r="E3152" s="2" t="n">
        <f aca="false">'Raw Data'!Q3152</f>
        <v>18</v>
      </c>
      <c r="F3152" s="2" t="n">
        <f aca="false">'Raw Data'!U3152</f>
        <v>9</v>
      </c>
      <c r="G3152" s="2" t="n">
        <f aca="false">'Raw Data'!W3152</f>
        <v>1</v>
      </c>
      <c r="H3152" s="2" t="n">
        <f aca="false">'Raw Data'!V3152</f>
        <v>4</v>
      </c>
      <c r="I3152" s="2" t="n">
        <f aca="false">IF(AND(ISNUMBER(B3152),B3152&lt;=25),2,0)+IF(AND(ISNUMBER(E3152),E3152&lt;=5),2,0)+IF(AND(ISNUMBER(F3152),F3152&lt;=1),2,0)+IF(AND(ISNUMBER(G3152),G3152&lt;=2),1,0)+IF(AND(ISNUMBER(H3152),H3152&lt;=2),1,0)</f>
        <v>1</v>
      </c>
      <c r="J3152" s="2" t="str">
        <f aca="false">IF(I3152&gt;=6,"High",IF(I3152&gt;=3,"Medium","Low"))</f>
        <v>Low</v>
      </c>
    </row>
    <row r="3153" customFormat="false" ht="15" hidden="false" customHeight="true" outlineLevel="0" collapsed="false">
      <c r="A3153" s="2" t="n">
        <f aca="false">'Raw Data'!H3153</f>
        <v>3152</v>
      </c>
      <c r="B3153" s="2" t="n">
        <f aca="false">'Raw Data'!A3153</f>
        <v>32</v>
      </c>
      <c r="C3153" s="2" t="str">
        <f aca="false">'Raw Data'!D3153</f>
        <v>Research &amp; Development</v>
      </c>
      <c r="D3153" s="2" t="str">
        <f aca="false">'Raw Data'!K3153</f>
        <v>Research Director</v>
      </c>
      <c r="E3153" s="2" t="n">
        <f aca="false">'Raw Data'!Q3153</f>
        <v>6</v>
      </c>
      <c r="F3153" s="2" t="n">
        <f aca="false">'Raw Data'!U3153</f>
        <v>2</v>
      </c>
      <c r="G3153" s="2" t="n">
        <f aca="false">'Raw Data'!W3153</f>
        <v>3</v>
      </c>
      <c r="H3153" s="2" t="n">
        <f aca="false">'Raw Data'!V3153</f>
        <v>4</v>
      </c>
      <c r="I3153" s="2" t="n">
        <f aca="false">IF(AND(ISNUMBER(B3153),B3153&lt;=25),2,0)+IF(AND(ISNUMBER(E3153),E3153&lt;=5),2,0)+IF(AND(ISNUMBER(F3153),F3153&lt;=1),2,0)+IF(AND(ISNUMBER(G3153),G3153&lt;=2),1,0)+IF(AND(ISNUMBER(H3153),H3153&lt;=2),1,0)</f>
        <v>0</v>
      </c>
      <c r="J3153" s="2" t="str">
        <f aca="false">IF(I3153&gt;=6,"High",IF(I3153&gt;=3,"Medium","Low"))</f>
        <v>Low</v>
      </c>
    </row>
    <row r="3154" customFormat="false" ht="15" hidden="false" customHeight="true" outlineLevel="0" collapsed="false">
      <c r="A3154" s="2" t="n">
        <f aca="false">'Raw Data'!H3154</f>
        <v>3153</v>
      </c>
      <c r="B3154" s="2" t="n">
        <f aca="false">'Raw Data'!A3154</f>
        <v>24</v>
      </c>
      <c r="C3154" s="2" t="str">
        <f aca="false">'Raw Data'!D3154</f>
        <v>Sales</v>
      </c>
      <c r="D3154" s="2" t="str">
        <f aca="false">'Raw Data'!K3154</f>
        <v>Healthcare Representative</v>
      </c>
      <c r="E3154" s="2" t="n">
        <f aca="false">'Raw Data'!Q3154</f>
        <v>3</v>
      </c>
      <c r="F3154" s="2" t="n">
        <f aca="false">'Raw Data'!U3154</f>
        <v>1</v>
      </c>
      <c r="G3154" s="2" t="n">
        <f aca="false">'Raw Data'!W3154</f>
        <v>4</v>
      </c>
      <c r="H3154" s="2" t="n">
        <f aca="false">'Raw Data'!V3154</f>
        <v>4</v>
      </c>
      <c r="I3154" s="2" t="n">
        <f aca="false">IF(AND(ISNUMBER(B3154),B3154&lt;=25),2,0)+IF(AND(ISNUMBER(E3154),E3154&lt;=5),2,0)+IF(AND(ISNUMBER(F3154),F3154&lt;=1),2,0)+IF(AND(ISNUMBER(G3154),G3154&lt;=2),1,0)+IF(AND(ISNUMBER(H3154),H3154&lt;=2),1,0)</f>
        <v>6</v>
      </c>
      <c r="J3154" s="2" t="str">
        <f aca="false">IF(I3154&gt;=6,"High",IF(I3154&gt;=3,"Medium","Low"))</f>
        <v>High</v>
      </c>
    </row>
    <row r="3155" customFormat="false" ht="15" hidden="false" customHeight="true" outlineLevel="0" collapsed="false">
      <c r="A3155" s="2" t="n">
        <f aca="false">'Raw Data'!H3155</f>
        <v>3154</v>
      </c>
      <c r="B3155" s="2" t="n">
        <f aca="false">'Raw Data'!A3155</f>
        <v>38</v>
      </c>
      <c r="C3155" s="2" t="str">
        <f aca="false">'Raw Data'!D3155</f>
        <v>Research &amp; Development</v>
      </c>
      <c r="D3155" s="2" t="str">
        <f aca="false">'Raw Data'!K3155</f>
        <v>Research Scientist</v>
      </c>
      <c r="E3155" s="2" t="n">
        <f aca="false">'Raw Data'!Q3155</f>
        <v>18</v>
      </c>
      <c r="F3155" s="2" t="n">
        <f aca="false">'Raw Data'!U3155</f>
        <v>0</v>
      </c>
      <c r="G3155" s="2" t="n">
        <f aca="false">'Raw Data'!W3155</f>
        <v>3</v>
      </c>
      <c r="H3155" s="2" t="n">
        <f aca="false">'Raw Data'!V3155</f>
        <v>3</v>
      </c>
      <c r="I3155" s="2" t="n">
        <f aca="false">IF(AND(ISNUMBER(B3155),B3155&lt;=25),2,0)+IF(AND(ISNUMBER(E3155),E3155&lt;=5),2,0)+IF(AND(ISNUMBER(F3155),F3155&lt;=1),2,0)+IF(AND(ISNUMBER(G3155),G3155&lt;=2),1,0)+IF(AND(ISNUMBER(H3155),H3155&lt;=2),1,0)</f>
        <v>2</v>
      </c>
      <c r="J3155" s="2" t="str">
        <f aca="false">IF(I3155&gt;=6,"High",IF(I3155&gt;=3,"Medium","Low"))</f>
        <v>Low</v>
      </c>
    </row>
    <row r="3156" customFormat="false" ht="15" hidden="false" customHeight="true" outlineLevel="0" collapsed="false">
      <c r="A3156" s="2" t="n">
        <f aca="false">'Raw Data'!H3156</f>
        <v>3155</v>
      </c>
      <c r="B3156" s="2" t="n">
        <f aca="false">'Raw Data'!A3156</f>
        <v>37</v>
      </c>
      <c r="C3156" s="2" t="str">
        <f aca="false">'Raw Data'!D3156</f>
        <v>Research &amp; Development</v>
      </c>
      <c r="D3156" s="2" t="str">
        <f aca="false">'Raw Data'!K3156</f>
        <v>Research Scientist</v>
      </c>
      <c r="E3156" s="2" t="n">
        <f aca="false">'Raw Data'!Q3156</f>
        <v>8</v>
      </c>
      <c r="F3156" s="2" t="n">
        <f aca="false">'Raw Data'!U3156</f>
        <v>3</v>
      </c>
      <c r="G3156" s="2" t="n">
        <f aca="false">'Raw Data'!W3156</f>
        <v>2</v>
      </c>
      <c r="H3156" s="2" t="n">
        <f aca="false">'Raw Data'!V3156</f>
        <v>2</v>
      </c>
      <c r="I3156" s="2" t="n">
        <f aca="false">IF(AND(ISNUMBER(B3156),B3156&lt;=25),2,0)+IF(AND(ISNUMBER(E3156),E3156&lt;=5),2,0)+IF(AND(ISNUMBER(F3156),F3156&lt;=1),2,0)+IF(AND(ISNUMBER(G3156),G3156&lt;=2),1,0)+IF(AND(ISNUMBER(H3156),H3156&lt;=2),1,0)</f>
        <v>2</v>
      </c>
      <c r="J3156" s="2" t="str">
        <f aca="false">IF(I3156&gt;=6,"High",IF(I3156&gt;=3,"Medium","Low"))</f>
        <v>Low</v>
      </c>
    </row>
    <row r="3157" customFormat="false" ht="15" hidden="false" customHeight="true" outlineLevel="0" collapsed="false">
      <c r="A3157" s="2" t="n">
        <f aca="false">'Raw Data'!H3157</f>
        <v>3156</v>
      </c>
      <c r="B3157" s="2" t="n">
        <f aca="false">'Raw Data'!A3157</f>
        <v>49</v>
      </c>
      <c r="C3157" s="2" t="str">
        <f aca="false">'Raw Data'!D3157</f>
        <v>Sales</v>
      </c>
      <c r="D3157" s="2" t="str">
        <f aca="false">'Raw Data'!K3157</f>
        <v>Sales Executive</v>
      </c>
      <c r="E3157" s="2" t="n">
        <f aca="false">'Raw Data'!Q3157</f>
        <v>31</v>
      </c>
      <c r="F3157" s="2" t="n">
        <f aca="false">'Raw Data'!U3157</f>
        <v>9</v>
      </c>
      <c r="G3157" s="2" t="n">
        <f aca="false">'Raw Data'!W3157</f>
        <v>3</v>
      </c>
      <c r="H3157" s="2" t="n">
        <f aca="false">'Raw Data'!V3157</f>
        <v>4</v>
      </c>
      <c r="I3157" s="2" t="n">
        <f aca="false">IF(AND(ISNUMBER(B3157),B3157&lt;=25),2,0)+IF(AND(ISNUMBER(E3157),E3157&lt;=5),2,0)+IF(AND(ISNUMBER(F3157),F3157&lt;=1),2,0)+IF(AND(ISNUMBER(G3157),G3157&lt;=2),1,0)+IF(AND(ISNUMBER(H3157),H3157&lt;=2),1,0)</f>
        <v>0</v>
      </c>
      <c r="J3157" s="2" t="str">
        <f aca="false">IF(I3157&gt;=6,"High",IF(I3157&gt;=3,"Medium","Low"))</f>
        <v>Low</v>
      </c>
    </row>
    <row r="3158" customFormat="false" ht="15" hidden="false" customHeight="true" outlineLevel="0" collapsed="false">
      <c r="A3158" s="2" t="n">
        <f aca="false">'Raw Data'!H3158</f>
        <v>3157</v>
      </c>
      <c r="B3158" s="2" t="n">
        <f aca="false">'Raw Data'!A3158</f>
        <v>24</v>
      </c>
      <c r="C3158" s="2" t="str">
        <f aca="false">'Raw Data'!D3158</f>
        <v>Sales</v>
      </c>
      <c r="D3158" s="2" t="str">
        <f aca="false">'Raw Data'!K3158</f>
        <v>Sales Executive</v>
      </c>
      <c r="E3158" s="2" t="n">
        <f aca="false">'Raw Data'!Q3158</f>
        <v>6</v>
      </c>
      <c r="F3158" s="2" t="n">
        <f aca="false">'Raw Data'!U3158</f>
        <v>4</v>
      </c>
      <c r="G3158" s="2" t="n">
        <f aca="false">'Raw Data'!W3158</f>
        <v>4</v>
      </c>
      <c r="H3158" s="2" t="n">
        <f aca="false">'Raw Data'!V3158</f>
        <v>2</v>
      </c>
      <c r="I3158" s="2" t="n">
        <f aca="false">IF(AND(ISNUMBER(B3158),B3158&lt;=25),2,0)+IF(AND(ISNUMBER(E3158),E3158&lt;=5),2,0)+IF(AND(ISNUMBER(F3158),F3158&lt;=1),2,0)+IF(AND(ISNUMBER(G3158),G3158&lt;=2),1,0)+IF(AND(ISNUMBER(H3158),H3158&lt;=2),1,0)</f>
        <v>3</v>
      </c>
      <c r="J3158" s="2" t="str">
        <f aca="false">IF(I3158&gt;=6,"High",IF(I3158&gt;=3,"Medium","Low"))</f>
        <v>Medium</v>
      </c>
    </row>
    <row r="3159" customFormat="false" ht="15" hidden="false" customHeight="true" outlineLevel="0" collapsed="false">
      <c r="A3159" s="2" t="n">
        <f aca="false">'Raw Data'!H3159</f>
        <v>3158</v>
      </c>
      <c r="B3159" s="2" t="n">
        <f aca="false">'Raw Data'!A3159</f>
        <v>26</v>
      </c>
      <c r="C3159" s="2" t="str">
        <f aca="false">'Raw Data'!D3159</f>
        <v>Research &amp; Development</v>
      </c>
      <c r="D3159" s="2" t="str">
        <f aca="false">'Raw Data'!K3159</f>
        <v>Sales Executive</v>
      </c>
      <c r="E3159" s="2" t="n">
        <f aca="false">'Raw Data'!Q3159</f>
        <v>6</v>
      </c>
      <c r="F3159" s="2" t="n">
        <f aca="false">'Raw Data'!U3159</f>
        <v>4</v>
      </c>
      <c r="G3159" s="2" t="n">
        <f aca="false">'Raw Data'!W3159</f>
        <v>2</v>
      </c>
      <c r="H3159" s="2" t="n">
        <f aca="false">'Raw Data'!V3159</f>
        <v>1</v>
      </c>
      <c r="I3159" s="2" t="n">
        <f aca="false">IF(AND(ISNUMBER(B3159),B3159&lt;=25),2,0)+IF(AND(ISNUMBER(E3159),E3159&lt;=5),2,0)+IF(AND(ISNUMBER(F3159),F3159&lt;=1),2,0)+IF(AND(ISNUMBER(G3159),G3159&lt;=2),1,0)+IF(AND(ISNUMBER(H3159),H3159&lt;=2),1,0)</f>
        <v>2</v>
      </c>
      <c r="J3159" s="2" t="str">
        <f aca="false">IF(I3159&gt;=6,"High",IF(I3159&gt;=3,"Medium","Low"))</f>
        <v>Low</v>
      </c>
    </row>
    <row r="3160" customFormat="false" ht="15" hidden="false" customHeight="true" outlineLevel="0" collapsed="false">
      <c r="A3160" s="2" t="n">
        <f aca="false">'Raw Data'!H3160</f>
        <v>3159</v>
      </c>
      <c r="B3160" s="2" t="n">
        <f aca="false">'Raw Data'!A3160</f>
        <v>24</v>
      </c>
      <c r="C3160" s="2" t="str">
        <f aca="false">'Raw Data'!D3160</f>
        <v>Sales</v>
      </c>
      <c r="D3160" s="2" t="str">
        <f aca="false">'Raw Data'!K3160</f>
        <v>Laboratory Technician</v>
      </c>
      <c r="E3160" s="2" t="n">
        <f aca="false">'Raw Data'!Q3160</f>
        <v>1</v>
      </c>
      <c r="F3160" s="2" t="n">
        <f aca="false">'Raw Data'!U3160</f>
        <v>0</v>
      </c>
      <c r="G3160" s="2" t="n">
        <f aca="false">'Raw Data'!W3160</f>
        <v>2</v>
      </c>
      <c r="H3160" s="2" t="n">
        <f aca="false">'Raw Data'!V3160</f>
        <v>4</v>
      </c>
      <c r="I3160" s="2" t="n">
        <f aca="false">IF(AND(ISNUMBER(B3160),B3160&lt;=25),2,0)+IF(AND(ISNUMBER(E3160),E3160&lt;=5),2,0)+IF(AND(ISNUMBER(F3160),F3160&lt;=1),2,0)+IF(AND(ISNUMBER(G3160),G3160&lt;=2),1,0)+IF(AND(ISNUMBER(H3160),H3160&lt;=2),1,0)</f>
        <v>7</v>
      </c>
      <c r="J3160" s="2" t="str">
        <f aca="false">IF(I3160&gt;=6,"High",IF(I3160&gt;=3,"Medium","Low"))</f>
        <v>High</v>
      </c>
    </row>
    <row r="3161" customFormat="false" ht="15" hidden="false" customHeight="true" outlineLevel="0" collapsed="false">
      <c r="A3161" s="2" t="n">
        <f aca="false">'Raw Data'!H3161</f>
        <v>3160</v>
      </c>
      <c r="B3161" s="2" t="n">
        <f aca="false">'Raw Data'!A3161</f>
        <v>50</v>
      </c>
      <c r="C3161" s="2" t="str">
        <f aca="false">'Raw Data'!D3161</f>
        <v>Sales</v>
      </c>
      <c r="D3161" s="2" t="str">
        <f aca="false">'Raw Data'!K3161</f>
        <v>Sales Executive</v>
      </c>
      <c r="E3161" s="2" t="n">
        <f aca="false">'Raw Data'!Q3161</f>
        <v>32</v>
      </c>
      <c r="F3161" s="2" t="n">
        <f aca="false">'Raw Data'!U3161</f>
        <v>7</v>
      </c>
      <c r="G3161" s="2" t="n">
        <f aca="false">'Raw Data'!W3161</f>
        <v>2</v>
      </c>
      <c r="H3161" s="2" t="n">
        <f aca="false">'Raw Data'!V3161</f>
        <v>1</v>
      </c>
      <c r="I3161" s="2" t="n">
        <f aca="false">IF(AND(ISNUMBER(B3161),B3161&lt;=25),2,0)+IF(AND(ISNUMBER(E3161),E3161&lt;=5),2,0)+IF(AND(ISNUMBER(F3161),F3161&lt;=1),2,0)+IF(AND(ISNUMBER(G3161),G3161&lt;=2),1,0)+IF(AND(ISNUMBER(H3161),H3161&lt;=2),1,0)</f>
        <v>2</v>
      </c>
      <c r="J3161" s="2" t="str">
        <f aca="false">IF(I3161&gt;=6,"High",IF(I3161&gt;=3,"Medium","Low"))</f>
        <v>Low</v>
      </c>
    </row>
    <row r="3162" customFormat="false" ht="15" hidden="false" customHeight="true" outlineLevel="0" collapsed="false">
      <c r="A3162" s="2" t="n">
        <f aca="false">'Raw Data'!H3162</f>
        <v>3161</v>
      </c>
      <c r="B3162" s="2" t="n">
        <f aca="false">'Raw Data'!A3162</f>
        <v>25</v>
      </c>
      <c r="C3162" s="2" t="str">
        <f aca="false">'Raw Data'!D3162</f>
        <v>Research &amp; Development</v>
      </c>
      <c r="D3162" s="2" t="str">
        <f aca="false">'Raw Data'!K3162</f>
        <v>Research Scientist</v>
      </c>
      <c r="E3162" s="2" t="n">
        <f aca="false">'Raw Data'!Q3162</f>
        <v>7</v>
      </c>
      <c r="F3162" s="2" t="n">
        <f aca="false">'Raw Data'!U3162</f>
        <v>6</v>
      </c>
      <c r="G3162" s="2" t="n">
        <f aca="false">'Raw Data'!W3162</f>
        <v>3</v>
      </c>
      <c r="H3162" s="2" t="n">
        <f aca="false">'Raw Data'!V3162</f>
        <v>2</v>
      </c>
      <c r="I3162" s="2" t="n">
        <f aca="false">IF(AND(ISNUMBER(B3162),B3162&lt;=25),2,0)+IF(AND(ISNUMBER(E3162),E3162&lt;=5),2,0)+IF(AND(ISNUMBER(F3162),F3162&lt;=1),2,0)+IF(AND(ISNUMBER(G3162),G3162&lt;=2),1,0)+IF(AND(ISNUMBER(H3162),H3162&lt;=2),1,0)</f>
        <v>3</v>
      </c>
      <c r="J3162" s="2" t="str">
        <f aca="false">IF(I3162&gt;=6,"High",IF(I3162&gt;=3,"Medium","Low"))</f>
        <v>Medium</v>
      </c>
    </row>
    <row r="3163" customFormat="false" ht="15" hidden="false" customHeight="true" outlineLevel="0" collapsed="false">
      <c r="A3163" s="2" t="n">
        <f aca="false">'Raw Data'!H3163</f>
        <v>3162</v>
      </c>
      <c r="B3163" s="2" t="n">
        <f aca="false">'Raw Data'!A3163</f>
        <v>24</v>
      </c>
      <c r="C3163" s="2" t="str">
        <f aca="false">'Raw Data'!D3163</f>
        <v>Research &amp; Development</v>
      </c>
      <c r="D3163" s="2" t="str">
        <f aca="false">'Raw Data'!K3163</f>
        <v>Research Scientist</v>
      </c>
      <c r="E3163" s="2" t="n">
        <f aca="false">'Raw Data'!Q3163</f>
        <v>6</v>
      </c>
      <c r="F3163" s="2" t="n">
        <f aca="false">'Raw Data'!U3163</f>
        <v>2</v>
      </c>
      <c r="G3163" s="2" t="n">
        <f aca="false">'Raw Data'!W3163</f>
        <v>3</v>
      </c>
      <c r="H3163" s="2" t="n">
        <f aca="false">'Raw Data'!V3163</f>
        <v>1</v>
      </c>
      <c r="I3163" s="2" t="n">
        <f aca="false">IF(AND(ISNUMBER(B3163),B3163&lt;=25),2,0)+IF(AND(ISNUMBER(E3163),E3163&lt;=5),2,0)+IF(AND(ISNUMBER(F3163),F3163&lt;=1),2,0)+IF(AND(ISNUMBER(G3163),G3163&lt;=2),1,0)+IF(AND(ISNUMBER(H3163),H3163&lt;=2),1,0)</f>
        <v>3</v>
      </c>
      <c r="J3163" s="2" t="str">
        <f aca="false">IF(I3163&gt;=6,"High",IF(I3163&gt;=3,"Medium","Low"))</f>
        <v>Medium</v>
      </c>
    </row>
    <row r="3164" customFormat="false" ht="15" hidden="false" customHeight="true" outlineLevel="0" collapsed="false">
      <c r="A3164" s="2" t="n">
        <f aca="false">'Raw Data'!H3164</f>
        <v>3163</v>
      </c>
      <c r="B3164" s="2" t="n">
        <f aca="false">'Raw Data'!A3164</f>
        <v>30</v>
      </c>
      <c r="C3164" s="2" t="str">
        <f aca="false">'Raw Data'!D3164</f>
        <v>Research &amp; Development</v>
      </c>
      <c r="D3164" s="2" t="str">
        <f aca="false">'Raw Data'!K3164</f>
        <v>Healthcare Representative</v>
      </c>
      <c r="E3164" s="2" t="n">
        <f aca="false">'Raw Data'!Q3164</f>
        <v>1</v>
      </c>
      <c r="F3164" s="2" t="n">
        <f aca="false">'Raw Data'!U3164</f>
        <v>0</v>
      </c>
      <c r="G3164" s="2" t="n">
        <f aca="false">'Raw Data'!W3164</f>
        <v>1</v>
      </c>
      <c r="H3164" s="2" t="n">
        <f aca="false">'Raw Data'!V3164</f>
        <v>2</v>
      </c>
      <c r="I3164" s="2" t="n">
        <f aca="false">IF(AND(ISNUMBER(B3164),B3164&lt;=25),2,0)+IF(AND(ISNUMBER(E3164),E3164&lt;=5),2,0)+IF(AND(ISNUMBER(F3164),F3164&lt;=1),2,0)+IF(AND(ISNUMBER(G3164),G3164&lt;=2),1,0)+IF(AND(ISNUMBER(H3164),H3164&lt;=2),1,0)</f>
        <v>6</v>
      </c>
      <c r="J3164" s="2" t="str">
        <f aca="false">IF(I3164&gt;=6,"High",IF(I3164&gt;=3,"Medium","Low"))</f>
        <v>High</v>
      </c>
    </row>
    <row r="3165" customFormat="false" ht="15" hidden="false" customHeight="true" outlineLevel="0" collapsed="false">
      <c r="A3165" s="2" t="n">
        <f aca="false">'Raw Data'!H3165</f>
        <v>3164</v>
      </c>
      <c r="B3165" s="2" t="n">
        <f aca="false">'Raw Data'!A3165</f>
        <v>34</v>
      </c>
      <c r="C3165" s="2" t="str">
        <f aca="false">'Raw Data'!D3165</f>
        <v>Sales</v>
      </c>
      <c r="D3165" s="2" t="str">
        <f aca="false">'Raw Data'!K3165</f>
        <v>Research Director</v>
      </c>
      <c r="E3165" s="2" t="n">
        <f aca="false">'Raw Data'!Q3165</f>
        <v>6</v>
      </c>
      <c r="F3165" s="2" t="n">
        <f aca="false">'Raw Data'!U3165</f>
        <v>3</v>
      </c>
      <c r="G3165" s="2" t="n">
        <f aca="false">'Raw Data'!W3165</f>
        <v>4</v>
      </c>
      <c r="H3165" s="2" t="n">
        <f aca="false">'Raw Data'!V3165</f>
        <v>2</v>
      </c>
      <c r="I3165" s="2" t="n">
        <f aca="false">IF(AND(ISNUMBER(B3165),B3165&lt;=25),2,0)+IF(AND(ISNUMBER(E3165),E3165&lt;=5),2,0)+IF(AND(ISNUMBER(F3165),F3165&lt;=1),2,0)+IF(AND(ISNUMBER(G3165),G3165&lt;=2),1,0)+IF(AND(ISNUMBER(H3165),H3165&lt;=2),1,0)</f>
        <v>1</v>
      </c>
      <c r="J3165" s="2" t="str">
        <f aca="false">IF(I3165&gt;=6,"High",IF(I3165&gt;=3,"Medium","Low"))</f>
        <v>Low</v>
      </c>
    </row>
    <row r="3166" customFormat="false" ht="15" hidden="false" customHeight="true" outlineLevel="0" collapsed="false">
      <c r="A3166" s="2" t="n">
        <f aca="false">'Raw Data'!H3166</f>
        <v>3165</v>
      </c>
      <c r="B3166" s="2" t="n">
        <f aca="false">'Raw Data'!A3166</f>
        <v>31</v>
      </c>
      <c r="C3166" s="2" t="str">
        <f aca="false">'Raw Data'!D3166</f>
        <v>Research &amp; Development</v>
      </c>
      <c r="D3166" s="2" t="str">
        <f aca="false">'Raw Data'!K3166</f>
        <v>Sales Representative</v>
      </c>
      <c r="E3166" s="2" t="n">
        <f aca="false">'Raw Data'!Q3166</f>
        <v>9</v>
      </c>
      <c r="F3166" s="2" t="n">
        <f aca="false">'Raw Data'!U3166</f>
        <v>2</v>
      </c>
      <c r="G3166" s="2" t="n">
        <f aca="false">'Raw Data'!W3166</f>
        <v>1</v>
      </c>
      <c r="H3166" s="2" t="n">
        <f aca="false">'Raw Data'!V3166</f>
        <v>2</v>
      </c>
      <c r="I3166" s="2" t="n">
        <f aca="false">IF(AND(ISNUMBER(B3166),B3166&lt;=25),2,0)+IF(AND(ISNUMBER(E3166),E3166&lt;=5),2,0)+IF(AND(ISNUMBER(F3166),F3166&lt;=1),2,0)+IF(AND(ISNUMBER(G3166),G3166&lt;=2),1,0)+IF(AND(ISNUMBER(H3166),H3166&lt;=2),1,0)</f>
        <v>2</v>
      </c>
      <c r="J3166" s="2" t="str">
        <f aca="false">IF(I3166&gt;=6,"High",IF(I3166&gt;=3,"Medium","Low"))</f>
        <v>Low</v>
      </c>
    </row>
    <row r="3167" customFormat="false" ht="15" hidden="false" customHeight="true" outlineLevel="0" collapsed="false">
      <c r="A3167" s="2" t="n">
        <f aca="false">'Raw Data'!H3167</f>
        <v>3166</v>
      </c>
      <c r="B3167" s="2" t="n">
        <f aca="false">'Raw Data'!A3167</f>
        <v>35</v>
      </c>
      <c r="C3167" s="2" t="str">
        <f aca="false">'Raw Data'!D3167</f>
        <v>Research &amp; Development</v>
      </c>
      <c r="D3167" s="2" t="str">
        <f aca="false">'Raw Data'!K3167</f>
        <v>Sales Executive</v>
      </c>
      <c r="E3167" s="2" t="n">
        <f aca="false">'Raw Data'!Q3167</f>
        <v>9</v>
      </c>
      <c r="F3167" s="2" t="n">
        <f aca="false">'Raw Data'!U3167</f>
        <v>2</v>
      </c>
      <c r="G3167" s="2" t="n">
        <f aca="false">'Raw Data'!W3167</f>
        <v>4</v>
      </c>
      <c r="H3167" s="2" t="n">
        <f aca="false">'Raw Data'!V3167</f>
        <v>1</v>
      </c>
      <c r="I3167" s="2" t="n">
        <f aca="false">IF(AND(ISNUMBER(B3167),B3167&lt;=25),2,0)+IF(AND(ISNUMBER(E3167),E3167&lt;=5),2,0)+IF(AND(ISNUMBER(F3167),F3167&lt;=1),2,0)+IF(AND(ISNUMBER(G3167),G3167&lt;=2),1,0)+IF(AND(ISNUMBER(H3167),H3167&lt;=2),1,0)</f>
        <v>1</v>
      </c>
      <c r="J3167" s="2" t="str">
        <f aca="false">IF(I3167&gt;=6,"High",IF(I3167&gt;=3,"Medium","Low"))</f>
        <v>Low</v>
      </c>
    </row>
    <row r="3168" customFormat="false" ht="15" hidden="false" customHeight="true" outlineLevel="0" collapsed="false">
      <c r="A3168" s="2" t="n">
        <f aca="false">'Raw Data'!H3168</f>
        <v>3167</v>
      </c>
      <c r="B3168" s="2" t="n">
        <f aca="false">'Raw Data'!A3168</f>
        <v>31</v>
      </c>
      <c r="C3168" s="2" t="str">
        <f aca="false">'Raw Data'!D3168</f>
        <v>Sales</v>
      </c>
      <c r="D3168" s="2" t="str">
        <f aca="false">'Raw Data'!K3168</f>
        <v>Sales Executive</v>
      </c>
      <c r="E3168" s="2" t="n">
        <f aca="false">'Raw Data'!Q3168</f>
        <v>13</v>
      </c>
      <c r="F3168" s="2" t="n">
        <f aca="false">'Raw Data'!U3168</f>
        <v>7</v>
      </c>
      <c r="G3168" s="2" t="n">
        <f aca="false">'Raw Data'!W3168</f>
        <v>4</v>
      </c>
      <c r="H3168" s="2" t="n">
        <f aca="false">'Raw Data'!V3168</f>
        <v>1</v>
      </c>
      <c r="I3168" s="2" t="n">
        <f aca="false">IF(AND(ISNUMBER(B3168),B3168&lt;=25),2,0)+IF(AND(ISNUMBER(E3168),E3168&lt;=5),2,0)+IF(AND(ISNUMBER(F3168),F3168&lt;=1),2,0)+IF(AND(ISNUMBER(G3168),G3168&lt;=2),1,0)+IF(AND(ISNUMBER(H3168),H3168&lt;=2),1,0)</f>
        <v>1</v>
      </c>
      <c r="J3168" s="2" t="str">
        <f aca="false">IF(I3168&gt;=6,"High",IF(I3168&gt;=3,"Medium","Low"))</f>
        <v>Low</v>
      </c>
    </row>
    <row r="3169" customFormat="false" ht="15" hidden="false" customHeight="true" outlineLevel="0" collapsed="false">
      <c r="A3169" s="2" t="n">
        <f aca="false">'Raw Data'!H3169</f>
        <v>3168</v>
      </c>
      <c r="B3169" s="2" t="n">
        <f aca="false">'Raw Data'!A3169</f>
        <v>27</v>
      </c>
      <c r="C3169" s="2" t="str">
        <f aca="false">'Raw Data'!D3169</f>
        <v>Sales</v>
      </c>
      <c r="D3169" s="2" t="str">
        <f aca="false">'Raw Data'!K3169</f>
        <v>Sales Representative</v>
      </c>
      <c r="E3169" s="2" t="n">
        <f aca="false">'Raw Data'!Q3169</f>
        <v>6</v>
      </c>
      <c r="F3169" s="2" t="n">
        <f aca="false">'Raw Data'!U3169</f>
        <v>3</v>
      </c>
      <c r="G3169" s="2" t="n">
        <f aca="false">'Raw Data'!W3169</f>
        <v>3</v>
      </c>
      <c r="H3169" s="2" t="n">
        <f aca="false">'Raw Data'!V3169</f>
        <v>1</v>
      </c>
      <c r="I3169" s="2" t="n">
        <f aca="false">IF(AND(ISNUMBER(B3169),B3169&lt;=25),2,0)+IF(AND(ISNUMBER(E3169),E3169&lt;=5),2,0)+IF(AND(ISNUMBER(F3169),F3169&lt;=1),2,0)+IF(AND(ISNUMBER(G3169),G3169&lt;=2),1,0)+IF(AND(ISNUMBER(H3169),H3169&lt;=2),1,0)</f>
        <v>1</v>
      </c>
      <c r="J3169" s="2" t="str">
        <f aca="false">IF(I3169&gt;=6,"High",IF(I3169&gt;=3,"Medium","Low"))</f>
        <v>Low</v>
      </c>
    </row>
    <row r="3170" customFormat="false" ht="15" hidden="false" customHeight="true" outlineLevel="0" collapsed="false">
      <c r="A3170" s="2" t="n">
        <f aca="false">'Raw Data'!H3170</f>
        <v>3169</v>
      </c>
      <c r="B3170" s="2" t="n">
        <f aca="false">'Raw Data'!A3170</f>
        <v>37</v>
      </c>
      <c r="C3170" s="2" t="str">
        <f aca="false">'Raw Data'!D3170</f>
        <v>Sales</v>
      </c>
      <c r="D3170" s="2" t="str">
        <f aca="false">'Raw Data'!K3170</f>
        <v>Laboratory Technician</v>
      </c>
      <c r="E3170" s="2" t="n">
        <f aca="false">'Raw Data'!Q3170</f>
        <v>17</v>
      </c>
      <c r="F3170" s="2" t="n">
        <f aca="false">'Raw Data'!U3170</f>
        <v>0</v>
      </c>
      <c r="G3170" s="2" t="n">
        <f aca="false">'Raw Data'!W3170</f>
        <v>3</v>
      </c>
      <c r="H3170" s="2" t="n">
        <f aca="false">'Raw Data'!V3170</f>
        <v>4</v>
      </c>
      <c r="I3170" s="2" t="n">
        <f aca="false">IF(AND(ISNUMBER(B3170),B3170&lt;=25),2,0)+IF(AND(ISNUMBER(E3170),E3170&lt;=5),2,0)+IF(AND(ISNUMBER(F3170),F3170&lt;=1),2,0)+IF(AND(ISNUMBER(G3170),G3170&lt;=2),1,0)+IF(AND(ISNUMBER(H3170),H3170&lt;=2),1,0)</f>
        <v>2</v>
      </c>
      <c r="J3170" s="2" t="str">
        <f aca="false">IF(I3170&gt;=6,"High",IF(I3170&gt;=3,"Medium","Low"))</f>
        <v>Low</v>
      </c>
    </row>
    <row r="3171" customFormat="false" ht="15" hidden="false" customHeight="true" outlineLevel="0" collapsed="false">
      <c r="A3171" s="2" t="n">
        <f aca="false">'Raw Data'!H3171</f>
        <v>3170</v>
      </c>
      <c r="B3171" s="2" t="n">
        <f aca="false">'Raw Data'!A3171</f>
        <v>20</v>
      </c>
      <c r="C3171" s="2" t="str">
        <f aca="false">'Raw Data'!D3171</f>
        <v>Research &amp; Development</v>
      </c>
      <c r="D3171" s="2" t="str">
        <f aca="false">'Raw Data'!K3171</f>
        <v>Sales Representative</v>
      </c>
      <c r="E3171" s="2" t="n">
        <f aca="false">'Raw Data'!Q3171</f>
        <v>1</v>
      </c>
      <c r="F3171" s="2" t="n">
        <f aca="false">'Raw Data'!U3171</f>
        <v>0</v>
      </c>
      <c r="G3171" s="2" t="n">
        <f aca="false">'Raw Data'!W3171</f>
        <v>2</v>
      </c>
      <c r="H3171" s="2" t="n">
        <f aca="false">'Raw Data'!V3171</f>
        <v>4</v>
      </c>
      <c r="I3171" s="2" t="n">
        <f aca="false">IF(AND(ISNUMBER(B3171),B3171&lt;=25),2,0)+IF(AND(ISNUMBER(E3171),E3171&lt;=5),2,0)+IF(AND(ISNUMBER(F3171),F3171&lt;=1),2,0)+IF(AND(ISNUMBER(G3171),G3171&lt;=2),1,0)+IF(AND(ISNUMBER(H3171),H3171&lt;=2),1,0)</f>
        <v>7</v>
      </c>
      <c r="J3171" s="2" t="str">
        <f aca="false">IF(I3171&gt;=6,"High",IF(I3171&gt;=3,"Medium","Low"))</f>
        <v>High</v>
      </c>
    </row>
    <row r="3172" customFormat="false" ht="15" hidden="false" customHeight="true" outlineLevel="0" collapsed="false">
      <c r="A3172" s="2" t="n">
        <f aca="false">'Raw Data'!H3172</f>
        <v>3171</v>
      </c>
      <c r="B3172" s="2" t="n">
        <f aca="false">'Raw Data'!A3172</f>
        <v>42</v>
      </c>
      <c r="C3172" s="2" t="str">
        <f aca="false">'Raw Data'!D3172</f>
        <v>Research &amp; Development</v>
      </c>
      <c r="D3172" s="2" t="str">
        <f aca="false">'Raw Data'!K3172</f>
        <v>Manufacturing Director</v>
      </c>
      <c r="E3172" s="2" t="n">
        <f aca="false">'Raw Data'!Q3172</f>
        <v>10</v>
      </c>
      <c r="F3172" s="2" t="n">
        <f aca="false">'Raw Data'!U3172</f>
        <v>2</v>
      </c>
      <c r="G3172" s="2" t="n">
        <f aca="false">'Raw Data'!W3172</f>
        <v>4</v>
      </c>
      <c r="H3172" s="2" t="n">
        <f aca="false">'Raw Data'!V3172</f>
        <v>3</v>
      </c>
      <c r="I3172" s="2" t="n">
        <f aca="false">IF(AND(ISNUMBER(B3172),B3172&lt;=25),2,0)+IF(AND(ISNUMBER(E3172),E3172&lt;=5),2,0)+IF(AND(ISNUMBER(F3172),F3172&lt;=1),2,0)+IF(AND(ISNUMBER(G3172),G3172&lt;=2),1,0)+IF(AND(ISNUMBER(H3172),H3172&lt;=2),1,0)</f>
        <v>0</v>
      </c>
      <c r="J3172" s="2" t="str">
        <f aca="false">IF(I3172&gt;=6,"High",IF(I3172&gt;=3,"Medium","Low"))</f>
        <v>Low</v>
      </c>
    </row>
    <row r="3173" customFormat="false" ht="15" hidden="false" customHeight="true" outlineLevel="0" collapsed="false">
      <c r="A3173" s="2" t="n">
        <f aca="false">'Raw Data'!H3173</f>
        <v>3172</v>
      </c>
      <c r="B3173" s="2" t="n">
        <f aca="false">'Raw Data'!A3173</f>
        <v>43</v>
      </c>
      <c r="C3173" s="2" t="str">
        <f aca="false">'Raw Data'!D3173</f>
        <v>Research &amp; Development</v>
      </c>
      <c r="D3173" s="2" t="str">
        <f aca="false">'Raw Data'!K3173</f>
        <v>Sales Executive</v>
      </c>
      <c r="E3173" s="2" t="n">
        <f aca="false">'Raw Data'!Q3173</f>
        <v>21</v>
      </c>
      <c r="F3173" s="2" t="n">
        <f aca="false">'Raw Data'!U3173</f>
        <v>0</v>
      </c>
      <c r="G3173" s="2" t="n">
        <f aca="false">'Raw Data'!W3173</f>
        <v>4</v>
      </c>
      <c r="H3173" s="2" t="n">
        <f aca="false">'Raw Data'!V3173</f>
        <v>2</v>
      </c>
      <c r="I3173" s="2" t="n">
        <f aca="false">IF(AND(ISNUMBER(B3173),B3173&lt;=25),2,0)+IF(AND(ISNUMBER(E3173),E3173&lt;=5),2,0)+IF(AND(ISNUMBER(F3173),F3173&lt;=1),2,0)+IF(AND(ISNUMBER(G3173),G3173&lt;=2),1,0)+IF(AND(ISNUMBER(H3173),H3173&lt;=2),1,0)</f>
        <v>3</v>
      </c>
      <c r="J3173" s="2" t="str">
        <f aca="false">IF(I3173&gt;=6,"High",IF(I3173&gt;=3,"Medium","Low"))</f>
        <v>Medium</v>
      </c>
    </row>
    <row r="3174" customFormat="false" ht="15" hidden="false" customHeight="true" outlineLevel="0" collapsed="false">
      <c r="A3174" s="2" t="n">
        <f aca="false">'Raw Data'!H3174</f>
        <v>3173</v>
      </c>
      <c r="B3174" s="2" t="n">
        <f aca="false">'Raw Data'!A3174</f>
        <v>38</v>
      </c>
      <c r="C3174" s="2" t="str">
        <f aca="false">'Raw Data'!D3174</f>
        <v>Human Resources</v>
      </c>
      <c r="D3174" s="2" t="str">
        <f aca="false">'Raw Data'!K3174</f>
        <v>Human Resources</v>
      </c>
      <c r="E3174" s="2" t="n">
        <f aca="false">'Raw Data'!Q3174</f>
        <v>8</v>
      </c>
      <c r="F3174" s="2" t="n">
        <f aca="false">'Raw Data'!U3174</f>
        <v>0</v>
      </c>
      <c r="G3174" s="2" t="n">
        <f aca="false">'Raw Data'!W3174</f>
        <v>1</v>
      </c>
      <c r="H3174" s="2" t="n">
        <f aca="false">'Raw Data'!V3174</f>
        <v>3</v>
      </c>
      <c r="I3174" s="2" t="n">
        <f aca="false">IF(AND(ISNUMBER(B3174),B3174&lt;=25),2,0)+IF(AND(ISNUMBER(E3174),E3174&lt;=5),2,0)+IF(AND(ISNUMBER(F3174),F3174&lt;=1),2,0)+IF(AND(ISNUMBER(G3174),G3174&lt;=2),1,0)+IF(AND(ISNUMBER(H3174),H3174&lt;=2),1,0)</f>
        <v>3</v>
      </c>
      <c r="J3174" s="2" t="str">
        <f aca="false">IF(I3174&gt;=6,"High",IF(I3174&gt;=3,"Medium","Low"))</f>
        <v>Medium</v>
      </c>
    </row>
    <row r="3175" customFormat="false" ht="15" hidden="false" customHeight="true" outlineLevel="0" collapsed="false">
      <c r="A3175" s="2" t="n">
        <f aca="false">'Raw Data'!H3175</f>
        <v>3174</v>
      </c>
      <c r="B3175" s="2" t="n">
        <f aca="false">'Raw Data'!A3175</f>
        <v>43</v>
      </c>
      <c r="C3175" s="2" t="str">
        <f aca="false">'Raw Data'!D3175</f>
        <v>Sales</v>
      </c>
      <c r="D3175" s="2" t="str">
        <f aca="false">'Raw Data'!K3175</f>
        <v>Healthcare Representative</v>
      </c>
      <c r="E3175" s="2" t="n">
        <f aca="false">'Raw Data'!Q3175</f>
        <v>10</v>
      </c>
      <c r="F3175" s="2" t="n">
        <f aca="false">'Raw Data'!U3175</f>
        <v>7</v>
      </c>
      <c r="G3175" s="2" t="n">
        <f aca="false">'Raw Data'!W3175</f>
        <v>3</v>
      </c>
      <c r="H3175" s="2" t="n">
        <f aca="false">'Raw Data'!V3175</f>
        <v>4</v>
      </c>
      <c r="I3175" s="2" t="n">
        <f aca="false">IF(AND(ISNUMBER(B3175),B3175&lt;=25),2,0)+IF(AND(ISNUMBER(E3175),E3175&lt;=5),2,0)+IF(AND(ISNUMBER(F3175),F3175&lt;=1),2,0)+IF(AND(ISNUMBER(G3175),G3175&lt;=2),1,0)+IF(AND(ISNUMBER(H3175),H3175&lt;=2),1,0)</f>
        <v>0</v>
      </c>
      <c r="J3175" s="2" t="str">
        <f aca="false">IF(I3175&gt;=6,"High",IF(I3175&gt;=3,"Medium","Low"))</f>
        <v>Low</v>
      </c>
    </row>
    <row r="3176" customFormat="false" ht="15" hidden="false" customHeight="true" outlineLevel="0" collapsed="false">
      <c r="A3176" s="2" t="n">
        <f aca="false">'Raw Data'!H3176</f>
        <v>3175</v>
      </c>
      <c r="B3176" s="2" t="n">
        <f aca="false">'Raw Data'!A3176</f>
        <v>48</v>
      </c>
      <c r="C3176" s="2" t="str">
        <f aca="false">'Raw Data'!D3176</f>
        <v>Research &amp; Development</v>
      </c>
      <c r="D3176" s="2" t="str">
        <f aca="false">'Raw Data'!K3176</f>
        <v>Laboratory Technician</v>
      </c>
      <c r="E3176" s="2" t="n">
        <f aca="false">'Raw Data'!Q3176</f>
        <v>21</v>
      </c>
      <c r="F3176" s="2" t="n">
        <f aca="false">'Raw Data'!U3176</f>
        <v>2</v>
      </c>
      <c r="G3176" s="2" t="n">
        <f aca="false">'Raw Data'!W3176</f>
        <v>1</v>
      </c>
      <c r="H3176" s="2" t="n">
        <f aca="false">'Raw Data'!V3176</f>
        <v>4</v>
      </c>
      <c r="I3176" s="2" t="n">
        <f aca="false">IF(AND(ISNUMBER(B3176),B3176&lt;=25),2,0)+IF(AND(ISNUMBER(E3176),E3176&lt;=5),2,0)+IF(AND(ISNUMBER(F3176),F3176&lt;=1),2,0)+IF(AND(ISNUMBER(G3176),G3176&lt;=2),1,0)+IF(AND(ISNUMBER(H3176),H3176&lt;=2),1,0)</f>
        <v>1</v>
      </c>
      <c r="J3176" s="2" t="str">
        <f aca="false">IF(I3176&gt;=6,"High",IF(I3176&gt;=3,"Medium","Low"))</f>
        <v>Low</v>
      </c>
    </row>
    <row r="3177" customFormat="false" ht="15" hidden="false" customHeight="true" outlineLevel="0" collapsed="false">
      <c r="A3177" s="2" t="n">
        <f aca="false">'Raw Data'!H3177</f>
        <v>3176</v>
      </c>
      <c r="B3177" s="2" t="n">
        <f aca="false">'Raw Data'!A3177</f>
        <v>44</v>
      </c>
      <c r="C3177" s="2" t="str">
        <f aca="false">'Raw Data'!D3177</f>
        <v>Sales</v>
      </c>
      <c r="D3177" s="2" t="str">
        <f aca="false">'Raw Data'!K3177</f>
        <v>Sales Executive</v>
      </c>
      <c r="E3177" s="2" t="n">
        <f aca="false">'Raw Data'!Q3177</f>
        <v>10</v>
      </c>
      <c r="F3177" s="2" t="n">
        <f aca="false">'Raw Data'!U3177</f>
        <v>2</v>
      </c>
      <c r="G3177" s="2" t="n">
        <f aca="false">'Raw Data'!W3177</f>
        <v>3</v>
      </c>
      <c r="H3177" s="2" t="n">
        <f aca="false">'Raw Data'!V3177</f>
        <v>1</v>
      </c>
      <c r="I3177" s="2" t="n">
        <f aca="false">IF(AND(ISNUMBER(B3177),B3177&lt;=25),2,0)+IF(AND(ISNUMBER(E3177),E3177&lt;=5),2,0)+IF(AND(ISNUMBER(F3177),F3177&lt;=1),2,0)+IF(AND(ISNUMBER(G3177),G3177&lt;=2),1,0)+IF(AND(ISNUMBER(H3177),H3177&lt;=2),1,0)</f>
        <v>1</v>
      </c>
      <c r="J3177" s="2" t="str">
        <f aca="false">IF(I3177&gt;=6,"High",IF(I3177&gt;=3,"Medium","Low"))</f>
        <v>Low</v>
      </c>
    </row>
    <row r="3178" customFormat="false" ht="15" hidden="false" customHeight="true" outlineLevel="0" collapsed="false">
      <c r="A3178" s="2" t="n">
        <f aca="false">'Raw Data'!H3178</f>
        <v>3177</v>
      </c>
      <c r="B3178" s="2" t="n">
        <f aca="false">'Raw Data'!A3178</f>
        <v>34</v>
      </c>
      <c r="C3178" s="2" t="str">
        <f aca="false">'Raw Data'!D3178</f>
        <v>Research &amp; Development</v>
      </c>
      <c r="D3178" s="2" t="str">
        <f aca="false">'Raw Data'!K3178</f>
        <v>Laboratory Technician</v>
      </c>
      <c r="E3178" s="2" t="n">
        <f aca="false">'Raw Data'!Q3178</f>
        <v>8</v>
      </c>
      <c r="F3178" s="2" t="n">
        <f aca="false">'Raw Data'!U3178</f>
        <v>6</v>
      </c>
      <c r="G3178" s="2" t="n">
        <f aca="false">'Raw Data'!W3178</f>
        <v>3</v>
      </c>
      <c r="H3178" s="2" t="n">
        <f aca="false">'Raw Data'!V3178</f>
        <v>3</v>
      </c>
      <c r="I3178" s="2" t="n">
        <f aca="false">IF(AND(ISNUMBER(B3178),B3178&lt;=25),2,0)+IF(AND(ISNUMBER(E3178),E3178&lt;=5),2,0)+IF(AND(ISNUMBER(F3178),F3178&lt;=1),2,0)+IF(AND(ISNUMBER(G3178),G3178&lt;=2),1,0)+IF(AND(ISNUMBER(H3178),H3178&lt;=2),1,0)</f>
        <v>0</v>
      </c>
      <c r="J3178" s="2" t="str">
        <f aca="false">IF(I3178&gt;=6,"High",IF(I3178&gt;=3,"Medium","Low"))</f>
        <v>Low</v>
      </c>
    </row>
    <row r="3179" customFormat="false" ht="15" hidden="false" customHeight="true" outlineLevel="0" collapsed="false">
      <c r="A3179" s="2" t="n">
        <f aca="false">'Raw Data'!H3179</f>
        <v>3178</v>
      </c>
      <c r="B3179" s="2" t="n">
        <f aca="false">'Raw Data'!A3179</f>
        <v>27</v>
      </c>
      <c r="C3179" s="2" t="str">
        <f aca="false">'Raw Data'!D3179</f>
        <v>Sales</v>
      </c>
      <c r="D3179" s="2" t="str">
        <f aca="false">'Raw Data'!K3179</f>
        <v>Research Scientist</v>
      </c>
      <c r="E3179" s="2" t="n">
        <f aca="false">'Raw Data'!Q3179</f>
        <v>5</v>
      </c>
      <c r="F3179" s="2" t="n">
        <f aca="false">'Raw Data'!U3179</f>
        <v>2</v>
      </c>
      <c r="G3179" s="2" t="n">
        <f aca="false">'Raw Data'!W3179</f>
        <v>1</v>
      </c>
      <c r="H3179" s="2" t="n">
        <f aca="false">'Raw Data'!V3179</f>
        <v>3</v>
      </c>
      <c r="I3179" s="2" t="n">
        <f aca="false">IF(AND(ISNUMBER(B3179),B3179&lt;=25),2,0)+IF(AND(ISNUMBER(E3179),E3179&lt;=5),2,0)+IF(AND(ISNUMBER(F3179),F3179&lt;=1),2,0)+IF(AND(ISNUMBER(G3179),G3179&lt;=2),1,0)+IF(AND(ISNUMBER(H3179),H3179&lt;=2),1,0)</f>
        <v>3</v>
      </c>
      <c r="J3179" s="2" t="str">
        <f aca="false">IF(I3179&gt;=6,"High",IF(I3179&gt;=3,"Medium","Low"))</f>
        <v>Medium</v>
      </c>
    </row>
    <row r="3180" customFormat="false" ht="15" hidden="false" customHeight="true" outlineLevel="0" collapsed="false">
      <c r="A3180" s="2" t="n">
        <f aca="false">'Raw Data'!H3180</f>
        <v>3179</v>
      </c>
      <c r="B3180" s="2" t="n">
        <f aca="false">'Raw Data'!A3180</f>
        <v>21</v>
      </c>
      <c r="C3180" s="2" t="str">
        <f aca="false">'Raw Data'!D3180</f>
        <v>Sales</v>
      </c>
      <c r="D3180" s="2" t="str">
        <f aca="false">'Raw Data'!K3180</f>
        <v>Sales Executive</v>
      </c>
      <c r="E3180" s="2" t="n">
        <f aca="false">'Raw Data'!Q3180</f>
        <v>3</v>
      </c>
      <c r="F3180" s="2" t="n">
        <f aca="false">'Raw Data'!U3180</f>
        <v>2</v>
      </c>
      <c r="G3180" s="2" t="n">
        <f aca="false">'Raw Data'!W3180</f>
        <v>3</v>
      </c>
      <c r="H3180" s="2" t="n">
        <f aca="false">'Raw Data'!V3180</f>
        <v>3</v>
      </c>
      <c r="I3180" s="2" t="n">
        <f aca="false">IF(AND(ISNUMBER(B3180),B3180&lt;=25),2,0)+IF(AND(ISNUMBER(E3180),E3180&lt;=5),2,0)+IF(AND(ISNUMBER(F3180),F3180&lt;=1),2,0)+IF(AND(ISNUMBER(G3180),G3180&lt;=2),1,0)+IF(AND(ISNUMBER(H3180),H3180&lt;=2),1,0)</f>
        <v>4</v>
      </c>
      <c r="J3180" s="2" t="str">
        <f aca="false">IF(I3180&gt;=6,"High",IF(I3180&gt;=3,"Medium","Low"))</f>
        <v>Medium</v>
      </c>
    </row>
    <row r="3181" customFormat="false" ht="15" hidden="false" customHeight="true" outlineLevel="0" collapsed="false">
      <c r="A3181" s="2" t="n">
        <f aca="false">'Raw Data'!H3181</f>
        <v>3180</v>
      </c>
      <c r="B3181" s="2" t="n">
        <f aca="false">'Raw Data'!A3181</f>
        <v>44</v>
      </c>
      <c r="C3181" s="2" t="str">
        <f aca="false">'Raw Data'!D3181</f>
        <v>Research &amp; Development</v>
      </c>
      <c r="D3181" s="2" t="str">
        <f aca="false">'Raw Data'!K3181</f>
        <v>Laboratory Technician</v>
      </c>
      <c r="E3181" s="2" t="n">
        <f aca="false">'Raw Data'!Q3181</f>
        <v>26</v>
      </c>
      <c r="F3181" s="2" t="n">
        <f aca="false">'Raw Data'!U3181</f>
        <v>1</v>
      </c>
      <c r="G3181" s="2" t="n">
        <f aca="false">'Raw Data'!W3181</f>
        <v>4</v>
      </c>
      <c r="H3181" s="2" t="n">
        <f aca="false">'Raw Data'!V3181</f>
        <v>4</v>
      </c>
      <c r="I3181" s="2" t="n">
        <f aca="false">IF(AND(ISNUMBER(B3181),B3181&lt;=25),2,0)+IF(AND(ISNUMBER(E3181),E3181&lt;=5),2,0)+IF(AND(ISNUMBER(F3181),F3181&lt;=1),2,0)+IF(AND(ISNUMBER(G3181),G3181&lt;=2),1,0)+IF(AND(ISNUMBER(H3181),H3181&lt;=2),1,0)</f>
        <v>2</v>
      </c>
      <c r="J3181" s="2" t="str">
        <f aca="false">IF(I3181&gt;=6,"High",IF(I3181&gt;=3,"Medium","Low"))</f>
        <v>Low</v>
      </c>
    </row>
    <row r="3182" customFormat="false" ht="15" hidden="false" customHeight="true" outlineLevel="0" collapsed="false">
      <c r="A3182" s="2" t="n">
        <f aca="false">'Raw Data'!H3182</f>
        <v>3181</v>
      </c>
      <c r="B3182" s="2" t="n">
        <f aca="false">'Raw Data'!A3182</f>
        <v>22</v>
      </c>
      <c r="C3182" s="2" t="str">
        <f aca="false">'Raw Data'!D3182</f>
        <v>Research &amp; Development</v>
      </c>
      <c r="D3182" s="2" t="str">
        <f aca="false">'Raw Data'!K3182</f>
        <v>Laboratory Technician</v>
      </c>
      <c r="E3182" s="2" t="n">
        <f aca="false">'Raw Data'!Q3182</f>
        <v>3</v>
      </c>
      <c r="F3182" s="2" t="n">
        <f aca="false">'Raw Data'!U3182</f>
        <v>2</v>
      </c>
      <c r="G3182" s="2" t="n">
        <f aca="false">'Raw Data'!W3182</f>
        <v>3</v>
      </c>
      <c r="H3182" s="2" t="n">
        <f aca="false">'Raw Data'!V3182</f>
        <v>1</v>
      </c>
      <c r="I3182" s="2" t="n">
        <f aca="false">IF(AND(ISNUMBER(B3182),B3182&lt;=25),2,0)+IF(AND(ISNUMBER(E3182),E3182&lt;=5),2,0)+IF(AND(ISNUMBER(F3182),F3182&lt;=1),2,0)+IF(AND(ISNUMBER(G3182),G3182&lt;=2),1,0)+IF(AND(ISNUMBER(H3182),H3182&lt;=2),1,0)</f>
        <v>5</v>
      </c>
      <c r="J3182" s="2" t="str">
        <f aca="false">IF(I3182&gt;=6,"High",IF(I3182&gt;=3,"Medium","Low"))</f>
        <v>Medium</v>
      </c>
    </row>
    <row r="3183" customFormat="false" ht="15" hidden="false" customHeight="true" outlineLevel="0" collapsed="false">
      <c r="A3183" s="2" t="n">
        <f aca="false">'Raw Data'!H3183</f>
        <v>3182</v>
      </c>
      <c r="B3183" s="2" t="n">
        <f aca="false">'Raw Data'!A3183</f>
        <v>33</v>
      </c>
      <c r="C3183" s="2" t="str">
        <f aca="false">'Raw Data'!D3183</f>
        <v>Sales</v>
      </c>
      <c r="D3183" s="2" t="str">
        <f aca="false">'Raw Data'!K3183</f>
        <v>Manufacturing Director</v>
      </c>
      <c r="E3183" s="2" t="n">
        <f aca="false">'Raw Data'!Q3183</f>
        <v>6</v>
      </c>
      <c r="F3183" s="2" t="n">
        <f aca="false">'Raw Data'!U3183</f>
        <v>2</v>
      </c>
      <c r="G3183" s="2" t="n">
        <f aca="false">'Raw Data'!W3183</f>
        <v>3</v>
      </c>
      <c r="H3183" s="2" t="n">
        <f aca="false">'Raw Data'!V3183</f>
        <v>3</v>
      </c>
      <c r="I3183" s="2" t="n">
        <f aca="false">IF(AND(ISNUMBER(B3183),B3183&lt;=25),2,0)+IF(AND(ISNUMBER(E3183),E3183&lt;=5),2,0)+IF(AND(ISNUMBER(F3183),F3183&lt;=1),2,0)+IF(AND(ISNUMBER(G3183),G3183&lt;=2),1,0)+IF(AND(ISNUMBER(H3183),H3183&lt;=2),1,0)</f>
        <v>0</v>
      </c>
      <c r="J3183" s="2" t="str">
        <f aca="false">IF(I3183&gt;=6,"High",IF(I3183&gt;=3,"Medium","Low"))</f>
        <v>Low</v>
      </c>
    </row>
    <row r="3184" customFormat="false" ht="15" hidden="false" customHeight="true" outlineLevel="0" collapsed="false">
      <c r="A3184" s="2" t="n">
        <f aca="false">'Raw Data'!H3184</f>
        <v>3183</v>
      </c>
      <c r="B3184" s="2" t="n">
        <f aca="false">'Raw Data'!A3184</f>
        <v>32</v>
      </c>
      <c r="C3184" s="2" t="str">
        <f aca="false">'Raw Data'!D3184</f>
        <v>Research &amp; Development</v>
      </c>
      <c r="D3184" s="2" t="str">
        <f aca="false">'Raw Data'!K3184</f>
        <v>Healthcare Representative</v>
      </c>
      <c r="E3184" s="2" t="n">
        <f aca="false">'Raw Data'!Q3184</f>
        <v>6</v>
      </c>
      <c r="F3184" s="2" t="n">
        <f aca="false">'Raw Data'!U3184</f>
        <v>5</v>
      </c>
      <c r="G3184" s="2" t="n">
        <f aca="false">'Raw Data'!W3184</f>
        <v>4</v>
      </c>
      <c r="H3184" s="2" t="n">
        <f aca="false">'Raw Data'!V3184</f>
        <v>1</v>
      </c>
      <c r="I3184" s="2" t="n">
        <f aca="false">IF(AND(ISNUMBER(B3184),B3184&lt;=25),2,0)+IF(AND(ISNUMBER(E3184),E3184&lt;=5),2,0)+IF(AND(ISNUMBER(F3184),F3184&lt;=1),2,0)+IF(AND(ISNUMBER(G3184),G3184&lt;=2),1,0)+IF(AND(ISNUMBER(H3184),H3184&lt;=2),1,0)</f>
        <v>1</v>
      </c>
      <c r="J3184" s="2" t="str">
        <f aca="false">IF(I3184&gt;=6,"High",IF(I3184&gt;=3,"Medium","Low"))</f>
        <v>Low</v>
      </c>
    </row>
    <row r="3185" customFormat="false" ht="15" hidden="false" customHeight="true" outlineLevel="0" collapsed="false">
      <c r="A3185" s="2" t="n">
        <f aca="false">'Raw Data'!H3185</f>
        <v>3184</v>
      </c>
      <c r="B3185" s="2" t="n">
        <f aca="false">'Raw Data'!A3185</f>
        <v>30</v>
      </c>
      <c r="C3185" s="2" t="str">
        <f aca="false">'Raw Data'!D3185</f>
        <v>Research &amp; Development</v>
      </c>
      <c r="D3185" s="2" t="str">
        <f aca="false">'Raw Data'!K3185</f>
        <v>Manager</v>
      </c>
      <c r="E3185" s="2" t="n">
        <f aca="false">'Raw Data'!Q3185</f>
        <v>1</v>
      </c>
      <c r="F3185" s="2" t="n">
        <f aca="false">'Raw Data'!U3185</f>
        <v>0</v>
      </c>
      <c r="G3185" s="2" t="n">
        <f aca="false">'Raw Data'!W3185</f>
        <v>3</v>
      </c>
      <c r="H3185" s="2" t="n">
        <f aca="false">'Raw Data'!V3185</f>
        <v>3</v>
      </c>
      <c r="I3185" s="2" t="n">
        <f aca="false">IF(AND(ISNUMBER(B3185),B3185&lt;=25),2,0)+IF(AND(ISNUMBER(E3185),E3185&lt;=5),2,0)+IF(AND(ISNUMBER(F3185),F3185&lt;=1),2,0)+IF(AND(ISNUMBER(G3185),G3185&lt;=2),1,0)+IF(AND(ISNUMBER(H3185),H3185&lt;=2),1,0)</f>
        <v>4</v>
      </c>
      <c r="J3185" s="2" t="str">
        <f aca="false">IF(I3185&gt;=6,"High",IF(I3185&gt;=3,"Medium","Low"))</f>
        <v>Medium</v>
      </c>
    </row>
    <row r="3186" customFormat="false" ht="15" hidden="false" customHeight="true" outlineLevel="0" collapsed="false">
      <c r="A3186" s="2" t="n">
        <f aca="false">'Raw Data'!H3186</f>
        <v>3185</v>
      </c>
      <c r="B3186" s="2" t="n">
        <f aca="false">'Raw Data'!A3186</f>
        <v>53</v>
      </c>
      <c r="C3186" s="2" t="str">
        <f aca="false">'Raw Data'!D3186</f>
        <v>Research &amp; Development</v>
      </c>
      <c r="D3186" s="2" t="str">
        <f aca="false">'Raw Data'!K3186</f>
        <v>Manager</v>
      </c>
      <c r="E3186" s="2" t="n">
        <f aca="false">'Raw Data'!Q3186</f>
        <v>18</v>
      </c>
      <c r="F3186" s="2" t="n">
        <f aca="false">'Raw Data'!U3186</f>
        <v>10</v>
      </c>
      <c r="G3186" s="2" t="n">
        <f aca="false">'Raw Data'!W3186</f>
        <v>1</v>
      </c>
      <c r="H3186" s="2" t="n">
        <f aca="false">'Raw Data'!V3186</f>
        <v>4</v>
      </c>
      <c r="I3186" s="2" t="n">
        <f aca="false">IF(AND(ISNUMBER(B3186),B3186&lt;=25),2,0)+IF(AND(ISNUMBER(E3186),E3186&lt;=5),2,0)+IF(AND(ISNUMBER(F3186),F3186&lt;=1),2,0)+IF(AND(ISNUMBER(G3186),G3186&lt;=2),1,0)+IF(AND(ISNUMBER(H3186),H3186&lt;=2),1,0)</f>
        <v>1</v>
      </c>
      <c r="J3186" s="2" t="str">
        <f aca="false">IF(I3186&gt;=6,"High",IF(I3186&gt;=3,"Medium","Low"))</f>
        <v>Low</v>
      </c>
    </row>
    <row r="3187" customFormat="false" ht="15" hidden="false" customHeight="true" outlineLevel="0" collapsed="false">
      <c r="A3187" s="2" t="n">
        <f aca="false">'Raw Data'!H3187</f>
        <v>3186</v>
      </c>
      <c r="B3187" s="2" t="n">
        <f aca="false">'Raw Data'!A3187</f>
        <v>34</v>
      </c>
      <c r="C3187" s="2" t="str">
        <f aca="false">'Raw Data'!D3187</f>
        <v>Research &amp; Development</v>
      </c>
      <c r="D3187" s="2" t="str">
        <f aca="false">'Raw Data'!K3187</f>
        <v>Research Scientist</v>
      </c>
      <c r="E3187" s="2" t="n">
        <f aca="false">'Raw Data'!Q3187</f>
        <v>10</v>
      </c>
      <c r="F3187" s="2" t="n">
        <f aca="false">'Raw Data'!U3187</f>
        <v>8</v>
      </c>
      <c r="G3187" s="2" t="n">
        <f aca="false">'Raw Data'!W3187</f>
        <v>4</v>
      </c>
      <c r="H3187" s="2" t="n">
        <f aca="false">'Raw Data'!V3187</f>
        <v>2</v>
      </c>
      <c r="I3187" s="2" t="n">
        <f aca="false">IF(AND(ISNUMBER(B3187),B3187&lt;=25),2,0)+IF(AND(ISNUMBER(E3187),E3187&lt;=5),2,0)+IF(AND(ISNUMBER(F3187),F3187&lt;=1),2,0)+IF(AND(ISNUMBER(G3187),G3187&lt;=2),1,0)+IF(AND(ISNUMBER(H3187),H3187&lt;=2),1,0)</f>
        <v>1</v>
      </c>
      <c r="J3187" s="2" t="str">
        <f aca="false">IF(I3187&gt;=6,"High",IF(I3187&gt;=3,"Medium","Low"))</f>
        <v>Low</v>
      </c>
    </row>
    <row r="3188" customFormat="false" ht="15" hidden="false" customHeight="true" outlineLevel="0" collapsed="false">
      <c r="A3188" s="2" t="n">
        <f aca="false">'Raw Data'!H3188</f>
        <v>3187</v>
      </c>
      <c r="B3188" s="2" t="n">
        <f aca="false">'Raw Data'!A3188</f>
        <v>45</v>
      </c>
      <c r="C3188" s="2" t="str">
        <f aca="false">'Raw Data'!D3188</f>
        <v>Research &amp; Development</v>
      </c>
      <c r="D3188" s="2" t="str">
        <f aca="false">'Raw Data'!K3188</f>
        <v>Research Director</v>
      </c>
      <c r="E3188" s="2" t="n">
        <f aca="false">'Raw Data'!Q3188</f>
        <v>5</v>
      </c>
      <c r="F3188" s="2" t="n">
        <f aca="false">'Raw Data'!U3188</f>
        <v>0</v>
      </c>
      <c r="G3188" s="2" t="n">
        <f aca="false">'Raw Data'!W3188</f>
        <v>1</v>
      </c>
      <c r="H3188" s="2" t="n">
        <f aca="false">'Raw Data'!V3188</f>
        <v>1</v>
      </c>
      <c r="I3188" s="2" t="n">
        <f aca="false">IF(AND(ISNUMBER(B3188),B3188&lt;=25),2,0)+IF(AND(ISNUMBER(E3188),E3188&lt;=5),2,0)+IF(AND(ISNUMBER(F3188),F3188&lt;=1),2,0)+IF(AND(ISNUMBER(G3188),G3188&lt;=2),1,0)+IF(AND(ISNUMBER(H3188),H3188&lt;=2),1,0)</f>
        <v>6</v>
      </c>
      <c r="J3188" s="2" t="str">
        <f aca="false">IF(I3188&gt;=6,"High",IF(I3188&gt;=3,"Medium","Low"))</f>
        <v>High</v>
      </c>
    </row>
    <row r="3189" customFormat="false" ht="15" hidden="false" customHeight="true" outlineLevel="0" collapsed="false">
      <c r="A3189" s="2" t="n">
        <f aca="false">'Raw Data'!H3189</f>
        <v>3188</v>
      </c>
      <c r="B3189" s="2" t="n">
        <f aca="false">'Raw Data'!A3189</f>
        <v>26</v>
      </c>
      <c r="C3189" s="2" t="str">
        <f aca="false">'Raw Data'!D3189</f>
        <v>Research &amp; Development</v>
      </c>
      <c r="D3189" s="2" t="str">
        <f aca="false">'Raw Data'!K3189</f>
        <v>Manufacturing Director</v>
      </c>
      <c r="E3189" s="2" t="n">
        <f aca="false">'Raw Data'!Q3189</f>
        <v>3</v>
      </c>
      <c r="F3189" s="2" t="n">
        <f aca="false">'Raw Data'!U3189</f>
        <v>2</v>
      </c>
      <c r="G3189" s="2" t="n">
        <f aca="false">'Raw Data'!W3189</f>
        <v>4</v>
      </c>
      <c r="H3189" s="2" t="n">
        <f aca="false">'Raw Data'!V3189</f>
        <v>3</v>
      </c>
      <c r="I3189" s="2" t="n">
        <f aca="false">IF(AND(ISNUMBER(B3189),B3189&lt;=25),2,0)+IF(AND(ISNUMBER(E3189),E3189&lt;=5),2,0)+IF(AND(ISNUMBER(F3189),F3189&lt;=1),2,0)+IF(AND(ISNUMBER(G3189),G3189&lt;=2),1,0)+IF(AND(ISNUMBER(H3189),H3189&lt;=2),1,0)</f>
        <v>2</v>
      </c>
      <c r="J3189" s="2" t="str">
        <f aca="false">IF(I3189&gt;=6,"High",IF(I3189&gt;=3,"Medium","Low"))</f>
        <v>Low</v>
      </c>
    </row>
    <row r="3190" customFormat="false" ht="15" hidden="false" customHeight="true" outlineLevel="0" collapsed="false">
      <c r="A3190" s="2" t="n">
        <f aca="false">'Raw Data'!H3190</f>
        <v>3189</v>
      </c>
      <c r="B3190" s="2" t="n">
        <f aca="false">'Raw Data'!A3190</f>
        <v>37</v>
      </c>
      <c r="C3190" s="2" t="str">
        <f aca="false">'Raw Data'!D3190</f>
        <v>Research &amp; Development</v>
      </c>
      <c r="D3190" s="2" t="str">
        <f aca="false">'Raw Data'!K3190</f>
        <v>Manager</v>
      </c>
      <c r="E3190" s="2" t="n">
        <f aca="false">'Raw Data'!Q3190</f>
        <v>10</v>
      </c>
      <c r="F3190" s="2" t="n">
        <f aca="false">'Raw Data'!U3190</f>
        <v>8</v>
      </c>
      <c r="G3190" s="2" t="n">
        <f aca="false">'Raw Data'!W3190</f>
        <v>3</v>
      </c>
      <c r="H3190" s="2" t="n">
        <f aca="false">'Raw Data'!V3190</f>
        <v>3</v>
      </c>
      <c r="I3190" s="2" t="n">
        <f aca="false">IF(AND(ISNUMBER(B3190),B3190&lt;=25),2,0)+IF(AND(ISNUMBER(E3190),E3190&lt;=5),2,0)+IF(AND(ISNUMBER(F3190),F3190&lt;=1),2,0)+IF(AND(ISNUMBER(G3190),G3190&lt;=2),1,0)+IF(AND(ISNUMBER(H3190),H3190&lt;=2),1,0)</f>
        <v>0</v>
      </c>
      <c r="J3190" s="2" t="str">
        <f aca="false">IF(I3190&gt;=6,"High",IF(I3190&gt;=3,"Medium","Low"))</f>
        <v>Low</v>
      </c>
    </row>
    <row r="3191" customFormat="false" ht="15" hidden="false" customHeight="true" outlineLevel="0" collapsed="false">
      <c r="A3191" s="2" t="n">
        <f aca="false">'Raw Data'!H3191</f>
        <v>3190</v>
      </c>
      <c r="B3191" s="2" t="n">
        <f aca="false">'Raw Data'!A3191</f>
        <v>29</v>
      </c>
      <c r="C3191" s="2" t="str">
        <f aca="false">'Raw Data'!D3191</f>
        <v>Research &amp; Development</v>
      </c>
      <c r="D3191" s="2" t="str">
        <f aca="false">'Raw Data'!K3191</f>
        <v>Healthcare Representative</v>
      </c>
      <c r="E3191" s="2" t="n">
        <f aca="false">'Raw Data'!Q3191</f>
        <v>6</v>
      </c>
      <c r="F3191" s="2" t="n">
        <f aca="false">'Raw Data'!U3191</f>
        <v>2</v>
      </c>
      <c r="G3191" s="2" t="n">
        <f aca="false">'Raw Data'!W3191</f>
        <v>3</v>
      </c>
      <c r="H3191" s="2" t="n">
        <f aca="false">'Raw Data'!V3191</f>
        <v>2</v>
      </c>
      <c r="I3191" s="2" t="n">
        <f aca="false">IF(AND(ISNUMBER(B3191),B3191&lt;=25),2,0)+IF(AND(ISNUMBER(E3191),E3191&lt;=5),2,0)+IF(AND(ISNUMBER(F3191),F3191&lt;=1),2,0)+IF(AND(ISNUMBER(G3191),G3191&lt;=2),1,0)+IF(AND(ISNUMBER(H3191),H3191&lt;=2),1,0)</f>
        <v>1</v>
      </c>
      <c r="J3191" s="2" t="str">
        <f aca="false">IF(I3191&gt;=6,"High",IF(I3191&gt;=3,"Medium","Low"))</f>
        <v>Low</v>
      </c>
    </row>
    <row r="3192" customFormat="false" ht="15" hidden="false" customHeight="true" outlineLevel="0" collapsed="false">
      <c r="A3192" s="2" t="n">
        <f aca="false">'Raw Data'!H3192</f>
        <v>3191</v>
      </c>
      <c r="B3192" s="2" t="n">
        <f aca="false">'Raw Data'!A3192</f>
        <v>35</v>
      </c>
      <c r="C3192" s="2" t="str">
        <f aca="false">'Raw Data'!D3192</f>
        <v>Research &amp; Development</v>
      </c>
      <c r="D3192" s="2" t="str">
        <f aca="false">'Raw Data'!K3192</f>
        <v>Laboratory Technician</v>
      </c>
      <c r="E3192" s="2" t="n">
        <f aca="false">'Raw Data'!Q3192</f>
        <v>17</v>
      </c>
      <c r="F3192" s="2" t="n">
        <f aca="false">'Raw Data'!U3192</f>
        <v>8</v>
      </c>
      <c r="G3192" s="2" t="n">
        <f aca="false">'Raw Data'!W3192</f>
        <v>4</v>
      </c>
      <c r="H3192" s="2" t="n">
        <f aca="false">'Raw Data'!V3192</f>
        <v>2</v>
      </c>
      <c r="I3192" s="2" t="n">
        <f aca="false">IF(AND(ISNUMBER(B3192),B3192&lt;=25),2,0)+IF(AND(ISNUMBER(E3192),E3192&lt;=5),2,0)+IF(AND(ISNUMBER(F3192),F3192&lt;=1),2,0)+IF(AND(ISNUMBER(G3192),G3192&lt;=2),1,0)+IF(AND(ISNUMBER(H3192),H3192&lt;=2),1,0)</f>
        <v>1</v>
      </c>
      <c r="J3192" s="2" t="str">
        <f aca="false">IF(I3192&gt;=6,"High",IF(I3192&gt;=3,"Medium","Low"))</f>
        <v>Low</v>
      </c>
    </row>
    <row r="3193" customFormat="false" ht="15" hidden="false" customHeight="true" outlineLevel="0" collapsed="false">
      <c r="A3193" s="2" t="n">
        <f aca="false">'Raw Data'!H3193</f>
        <v>3192</v>
      </c>
      <c r="B3193" s="2" t="n">
        <f aca="false">'Raw Data'!A3193</f>
        <v>33</v>
      </c>
      <c r="C3193" s="2" t="str">
        <f aca="false">'Raw Data'!D3193</f>
        <v>Research &amp; Development</v>
      </c>
      <c r="D3193" s="2" t="str">
        <f aca="false">'Raw Data'!K3193</f>
        <v>Laboratory Technician</v>
      </c>
      <c r="E3193" s="2" t="n">
        <f aca="false">'Raw Data'!Q3193</f>
        <v>15</v>
      </c>
      <c r="F3193" s="2" t="n">
        <f aca="false">'Raw Data'!U3193</f>
        <v>7</v>
      </c>
      <c r="G3193" s="2" t="n">
        <f aca="false">'Raw Data'!W3193</f>
        <v>4</v>
      </c>
      <c r="H3193" s="2" t="n">
        <f aca="false">'Raw Data'!V3193</f>
        <v>3</v>
      </c>
      <c r="I3193" s="2" t="n">
        <f aca="false">IF(AND(ISNUMBER(B3193),B3193&lt;=25),2,0)+IF(AND(ISNUMBER(E3193),E3193&lt;=5),2,0)+IF(AND(ISNUMBER(F3193),F3193&lt;=1),2,0)+IF(AND(ISNUMBER(G3193),G3193&lt;=2),1,0)+IF(AND(ISNUMBER(H3193),H3193&lt;=2),1,0)</f>
        <v>0</v>
      </c>
      <c r="J3193" s="2" t="str">
        <f aca="false">IF(I3193&gt;=6,"High",IF(I3193&gt;=3,"Medium","Low"))</f>
        <v>Low</v>
      </c>
    </row>
    <row r="3194" customFormat="false" ht="15" hidden="false" customHeight="true" outlineLevel="0" collapsed="false">
      <c r="A3194" s="2" t="n">
        <f aca="false">'Raw Data'!H3194</f>
        <v>3193</v>
      </c>
      <c r="B3194" s="2" t="n">
        <f aca="false">'Raw Data'!A3194</f>
        <v>54</v>
      </c>
      <c r="C3194" s="2" t="str">
        <f aca="false">'Raw Data'!D3194</f>
        <v>Research &amp; Development</v>
      </c>
      <c r="D3194" s="2" t="str">
        <f aca="false">'Raw Data'!K3194</f>
        <v>Sales Executive</v>
      </c>
      <c r="E3194" s="2" t="n">
        <f aca="false">'Raw Data'!Q3194</f>
        <v>16</v>
      </c>
      <c r="F3194" s="2" t="n">
        <f aca="false">'Raw Data'!U3194</f>
        <v>1</v>
      </c>
      <c r="G3194" s="2" t="n">
        <f aca="false">'Raw Data'!W3194</f>
        <v>2</v>
      </c>
      <c r="H3194" s="2" t="n">
        <f aca="false">'Raw Data'!V3194</f>
        <v>3</v>
      </c>
      <c r="I3194" s="2" t="n">
        <f aca="false">IF(AND(ISNUMBER(B3194),B3194&lt;=25),2,0)+IF(AND(ISNUMBER(E3194),E3194&lt;=5),2,0)+IF(AND(ISNUMBER(F3194),F3194&lt;=1),2,0)+IF(AND(ISNUMBER(G3194),G3194&lt;=2),1,0)+IF(AND(ISNUMBER(H3194),H3194&lt;=2),1,0)</f>
        <v>3</v>
      </c>
      <c r="J3194" s="2" t="str">
        <f aca="false">IF(I3194&gt;=6,"High",IF(I3194&gt;=3,"Medium","Low"))</f>
        <v>Medium</v>
      </c>
    </row>
    <row r="3195" customFormat="false" ht="15" hidden="false" customHeight="true" outlineLevel="0" collapsed="false">
      <c r="A3195" s="2" t="n">
        <f aca="false">'Raw Data'!H3195</f>
        <v>3194</v>
      </c>
      <c r="B3195" s="2" t="n">
        <f aca="false">'Raw Data'!A3195</f>
        <v>36</v>
      </c>
      <c r="C3195" s="2" t="str">
        <f aca="false">'Raw Data'!D3195</f>
        <v>Research &amp; Development</v>
      </c>
      <c r="D3195" s="2" t="str">
        <f aca="false">'Raw Data'!K3195</f>
        <v>Research Scientist</v>
      </c>
      <c r="E3195" s="2" t="n">
        <f aca="false">'Raw Data'!Q3195</f>
        <v>13</v>
      </c>
      <c r="F3195" s="2" t="n">
        <f aca="false">'Raw Data'!U3195</f>
        <v>2</v>
      </c>
      <c r="G3195" s="2" t="n">
        <f aca="false">'Raw Data'!W3195</f>
        <v>2</v>
      </c>
      <c r="H3195" s="2" t="n">
        <f aca="false">'Raw Data'!V3195</f>
        <v>2</v>
      </c>
      <c r="I3195" s="2" t="n">
        <f aca="false">IF(AND(ISNUMBER(B3195),B3195&lt;=25),2,0)+IF(AND(ISNUMBER(E3195),E3195&lt;=5),2,0)+IF(AND(ISNUMBER(F3195),F3195&lt;=1),2,0)+IF(AND(ISNUMBER(G3195),G3195&lt;=2),1,0)+IF(AND(ISNUMBER(H3195),H3195&lt;=2),1,0)</f>
        <v>2</v>
      </c>
      <c r="J3195" s="2" t="str">
        <f aca="false">IF(I3195&gt;=6,"High",IF(I3195&gt;=3,"Medium","Low"))</f>
        <v>Low</v>
      </c>
    </row>
    <row r="3196" customFormat="false" ht="15" hidden="false" customHeight="true" outlineLevel="0" collapsed="false">
      <c r="A3196" s="2" t="n">
        <f aca="false">'Raw Data'!H3196</f>
        <v>3195</v>
      </c>
      <c r="B3196" s="2" t="n">
        <f aca="false">'Raw Data'!A3196</f>
        <v>27</v>
      </c>
      <c r="C3196" s="2" t="str">
        <f aca="false">'Raw Data'!D3196</f>
        <v>Sales</v>
      </c>
      <c r="D3196" s="2" t="str">
        <f aca="false">'Raw Data'!K3196</f>
        <v>Research Director</v>
      </c>
      <c r="E3196" s="2" t="n">
        <f aca="false">'Raw Data'!Q3196</f>
        <v>5</v>
      </c>
      <c r="F3196" s="2" t="n">
        <f aca="false">'Raw Data'!U3196</f>
        <v>1</v>
      </c>
      <c r="G3196" s="2" t="n">
        <f aca="false">'Raw Data'!W3196</f>
        <v>4</v>
      </c>
      <c r="H3196" s="2" t="n">
        <f aca="false">'Raw Data'!V3196</f>
        <v>1</v>
      </c>
      <c r="I3196" s="2" t="n">
        <f aca="false">IF(AND(ISNUMBER(B3196),B3196&lt;=25),2,0)+IF(AND(ISNUMBER(E3196),E3196&lt;=5),2,0)+IF(AND(ISNUMBER(F3196),F3196&lt;=1),2,0)+IF(AND(ISNUMBER(G3196),G3196&lt;=2),1,0)+IF(AND(ISNUMBER(H3196),H3196&lt;=2),1,0)</f>
        <v>5</v>
      </c>
      <c r="J3196" s="2" t="str">
        <f aca="false">IF(I3196&gt;=6,"High",IF(I3196&gt;=3,"Medium","Low"))</f>
        <v>Medium</v>
      </c>
    </row>
    <row r="3197" customFormat="false" ht="15" hidden="false" customHeight="true" outlineLevel="0" collapsed="false">
      <c r="A3197" s="2" t="n">
        <f aca="false">'Raw Data'!H3197</f>
        <v>3196</v>
      </c>
      <c r="B3197" s="2" t="n">
        <f aca="false">'Raw Data'!A3197</f>
        <v>20</v>
      </c>
      <c r="C3197" s="2" t="str">
        <f aca="false">'Raw Data'!D3197</f>
        <v>Research &amp; Development</v>
      </c>
      <c r="D3197" s="2" t="str">
        <f aca="false">'Raw Data'!K3197</f>
        <v>Sales Representative</v>
      </c>
      <c r="E3197" s="2" t="n">
        <f aca="false">'Raw Data'!Q3197</f>
        <v>1</v>
      </c>
      <c r="F3197" s="2" t="n">
        <f aca="false">'Raw Data'!U3197</f>
        <v>1</v>
      </c>
      <c r="G3197" s="2" t="n">
        <f aca="false">'Raw Data'!W3197</f>
        <v>3</v>
      </c>
      <c r="H3197" s="2" t="n">
        <f aca="false">'Raw Data'!V3197</f>
        <v>4</v>
      </c>
      <c r="I3197" s="2" t="n">
        <f aca="false">IF(AND(ISNUMBER(B3197),B3197&lt;=25),2,0)+IF(AND(ISNUMBER(E3197),E3197&lt;=5),2,0)+IF(AND(ISNUMBER(F3197),F3197&lt;=1),2,0)+IF(AND(ISNUMBER(G3197),G3197&lt;=2),1,0)+IF(AND(ISNUMBER(H3197),H3197&lt;=2),1,0)</f>
        <v>6</v>
      </c>
      <c r="J3197" s="2" t="str">
        <f aca="false">IF(I3197&gt;=6,"High",IF(I3197&gt;=3,"Medium","Low"))</f>
        <v>High</v>
      </c>
    </row>
    <row r="3198" customFormat="false" ht="15" hidden="false" customHeight="true" outlineLevel="0" collapsed="false">
      <c r="A3198" s="2" t="n">
        <f aca="false">'Raw Data'!H3198</f>
        <v>3197</v>
      </c>
      <c r="B3198" s="2" t="n">
        <f aca="false">'Raw Data'!A3198</f>
        <v>33</v>
      </c>
      <c r="C3198" s="2" t="str">
        <f aca="false">'Raw Data'!D3198</f>
        <v>Research &amp; Development</v>
      </c>
      <c r="D3198" s="2" t="str">
        <f aca="false">'Raw Data'!K3198</f>
        <v>Laboratory Technician</v>
      </c>
      <c r="E3198" s="2" t="n">
        <f aca="false">'Raw Data'!Q3198</f>
        <v>10</v>
      </c>
      <c r="F3198" s="2" t="n">
        <f aca="false">'Raw Data'!U3198</f>
        <v>7</v>
      </c>
      <c r="G3198" s="2" t="n">
        <f aca="false">'Raw Data'!W3198</f>
        <v>1</v>
      </c>
      <c r="H3198" s="2" t="n">
        <f aca="false">'Raw Data'!V3198</f>
        <v>1</v>
      </c>
      <c r="I3198" s="2" t="n">
        <f aca="false">IF(AND(ISNUMBER(B3198),B3198&lt;=25),2,0)+IF(AND(ISNUMBER(E3198),E3198&lt;=5),2,0)+IF(AND(ISNUMBER(F3198),F3198&lt;=1),2,0)+IF(AND(ISNUMBER(G3198),G3198&lt;=2),1,0)+IF(AND(ISNUMBER(H3198),H3198&lt;=2),1,0)</f>
        <v>2</v>
      </c>
      <c r="J3198" s="2" t="str">
        <f aca="false">IF(I3198&gt;=6,"High",IF(I3198&gt;=3,"Medium","Low"))</f>
        <v>Low</v>
      </c>
    </row>
    <row r="3199" customFormat="false" ht="15" hidden="false" customHeight="true" outlineLevel="0" collapsed="false">
      <c r="A3199" s="2" t="n">
        <f aca="false">'Raw Data'!H3199</f>
        <v>3198</v>
      </c>
      <c r="B3199" s="2" t="n">
        <f aca="false">'Raw Data'!A3199</f>
        <v>35</v>
      </c>
      <c r="C3199" s="2" t="str">
        <f aca="false">'Raw Data'!D3199</f>
        <v>Research &amp; Development</v>
      </c>
      <c r="D3199" s="2" t="str">
        <f aca="false">'Raw Data'!K3199</f>
        <v>Research Scientist</v>
      </c>
      <c r="E3199" s="2" t="n">
        <f aca="false">'Raw Data'!Q3199</f>
        <v>1</v>
      </c>
      <c r="F3199" s="2" t="n">
        <f aca="false">'Raw Data'!U3199</f>
        <v>0</v>
      </c>
      <c r="G3199" s="2" t="n">
        <f aca="false">'Raw Data'!W3199</f>
        <v>3</v>
      </c>
      <c r="H3199" s="2" t="n">
        <f aca="false">'Raw Data'!V3199</f>
        <v>3</v>
      </c>
      <c r="I3199" s="2" t="n">
        <f aca="false">IF(AND(ISNUMBER(B3199),B3199&lt;=25),2,0)+IF(AND(ISNUMBER(E3199),E3199&lt;=5),2,0)+IF(AND(ISNUMBER(F3199),F3199&lt;=1),2,0)+IF(AND(ISNUMBER(G3199),G3199&lt;=2),1,0)+IF(AND(ISNUMBER(H3199),H3199&lt;=2),1,0)</f>
        <v>4</v>
      </c>
      <c r="J3199" s="2" t="str">
        <f aca="false">IF(I3199&gt;=6,"High",IF(I3199&gt;=3,"Medium","Low"))</f>
        <v>Medium</v>
      </c>
    </row>
    <row r="3200" customFormat="false" ht="15" hidden="false" customHeight="true" outlineLevel="0" collapsed="false">
      <c r="A3200" s="2" t="n">
        <f aca="false">'Raw Data'!H3200</f>
        <v>3199</v>
      </c>
      <c r="B3200" s="2" t="n">
        <f aca="false">'Raw Data'!A3200</f>
        <v>23</v>
      </c>
      <c r="C3200" s="2" t="str">
        <f aca="false">'Raw Data'!D3200</f>
        <v>Research &amp; Development</v>
      </c>
      <c r="D3200" s="2" t="str">
        <f aca="false">'Raw Data'!K3200</f>
        <v>Healthcare Representative</v>
      </c>
      <c r="E3200" s="2" t="n">
        <f aca="false">'Raw Data'!Q3200</f>
        <v>5</v>
      </c>
      <c r="F3200" s="2" t="n">
        <f aca="false">'Raw Data'!U3200</f>
        <v>2</v>
      </c>
      <c r="G3200" s="2" t="n">
        <f aca="false">'Raw Data'!W3200</f>
        <v>1</v>
      </c>
      <c r="H3200" s="2" t="n">
        <f aca="false">'Raw Data'!V3200</f>
        <v>1</v>
      </c>
      <c r="I3200" s="2" t="n">
        <f aca="false">IF(AND(ISNUMBER(B3200),B3200&lt;=25),2,0)+IF(AND(ISNUMBER(E3200),E3200&lt;=5),2,0)+IF(AND(ISNUMBER(F3200),F3200&lt;=1),2,0)+IF(AND(ISNUMBER(G3200),G3200&lt;=2),1,0)+IF(AND(ISNUMBER(H3200),H3200&lt;=2),1,0)</f>
        <v>6</v>
      </c>
      <c r="J3200" s="2" t="str">
        <f aca="false">IF(I3200&gt;=6,"High",IF(I3200&gt;=3,"Medium","Low"))</f>
        <v>High</v>
      </c>
    </row>
    <row r="3201" customFormat="false" ht="15" hidden="false" customHeight="true" outlineLevel="0" collapsed="false">
      <c r="A3201" s="2" t="n">
        <f aca="false">'Raw Data'!H3201</f>
        <v>3200</v>
      </c>
      <c r="B3201" s="2" t="n">
        <f aca="false">'Raw Data'!A3201</f>
        <v>25</v>
      </c>
      <c r="C3201" s="2" t="str">
        <f aca="false">'Raw Data'!D3201</f>
        <v>Research &amp; Development</v>
      </c>
      <c r="D3201" s="2" t="str">
        <f aca="false">'Raw Data'!K3201</f>
        <v>Manufacturing Director</v>
      </c>
      <c r="E3201" s="2" t="n">
        <f aca="false">'Raw Data'!Q3201</f>
        <v>4</v>
      </c>
      <c r="F3201" s="2" t="n">
        <f aca="false">'Raw Data'!U3201</f>
        <v>2</v>
      </c>
      <c r="G3201" s="2" t="n">
        <f aca="false">'Raw Data'!W3201</f>
        <v>2</v>
      </c>
      <c r="H3201" s="2" t="n">
        <f aca="false">'Raw Data'!V3201</f>
        <v>4</v>
      </c>
      <c r="I3201" s="2" t="n">
        <f aca="false">IF(AND(ISNUMBER(B3201),B3201&lt;=25),2,0)+IF(AND(ISNUMBER(E3201),E3201&lt;=5),2,0)+IF(AND(ISNUMBER(F3201),F3201&lt;=1),2,0)+IF(AND(ISNUMBER(G3201),G3201&lt;=2),1,0)+IF(AND(ISNUMBER(H3201),H3201&lt;=2),1,0)</f>
        <v>5</v>
      </c>
      <c r="J3201" s="2" t="str">
        <f aca="false">IF(I3201&gt;=6,"High",IF(I3201&gt;=3,"Medium","Low"))</f>
        <v>Medium</v>
      </c>
    </row>
    <row r="3202" customFormat="false" ht="15" hidden="false" customHeight="true" outlineLevel="0" collapsed="false">
      <c r="A3202" s="2" t="n">
        <f aca="false">'Raw Data'!H3202</f>
        <v>3201</v>
      </c>
      <c r="B3202" s="2" t="n">
        <f aca="false">'Raw Data'!A3202</f>
        <v>38</v>
      </c>
      <c r="C3202" s="2" t="str">
        <f aca="false">'Raw Data'!D3202</f>
        <v>Research &amp; Development</v>
      </c>
      <c r="D3202" s="2" t="str">
        <f aca="false">'Raw Data'!K3202</f>
        <v>Research Scientist</v>
      </c>
      <c r="E3202" s="2" t="n">
        <f aca="false">'Raw Data'!Q3202</f>
        <v>8</v>
      </c>
      <c r="F3202" s="2" t="n">
        <f aca="false">'Raw Data'!U3202</f>
        <v>5</v>
      </c>
      <c r="G3202" s="2" t="n">
        <f aca="false">'Raw Data'!W3202</f>
        <v>4</v>
      </c>
      <c r="H3202" s="2" t="n">
        <f aca="false">'Raw Data'!V3202</f>
        <v>4</v>
      </c>
      <c r="I3202" s="2" t="n">
        <f aca="false">IF(AND(ISNUMBER(B3202),B3202&lt;=25),2,0)+IF(AND(ISNUMBER(E3202),E3202&lt;=5),2,0)+IF(AND(ISNUMBER(F3202),F3202&lt;=1),2,0)+IF(AND(ISNUMBER(G3202),G3202&lt;=2),1,0)+IF(AND(ISNUMBER(H3202),H3202&lt;=2),1,0)</f>
        <v>0</v>
      </c>
      <c r="J3202" s="2" t="str">
        <f aca="false">IF(I3202&gt;=6,"High",IF(I3202&gt;=3,"Medium","Low"))</f>
        <v>Low</v>
      </c>
    </row>
    <row r="3203" customFormat="false" ht="15" hidden="false" customHeight="true" outlineLevel="0" collapsed="false">
      <c r="A3203" s="2" t="n">
        <f aca="false">'Raw Data'!H3203</f>
        <v>3202</v>
      </c>
      <c r="B3203" s="2" t="n">
        <f aca="false">'Raw Data'!A3203</f>
        <v>29</v>
      </c>
      <c r="C3203" s="2" t="str">
        <f aca="false">'Raw Data'!D3203</f>
        <v>Sales</v>
      </c>
      <c r="D3203" s="2" t="str">
        <f aca="false">'Raw Data'!K3203</f>
        <v>Healthcare Representative</v>
      </c>
      <c r="E3203" s="2" t="n">
        <f aca="false">'Raw Data'!Q3203</f>
        <v>10</v>
      </c>
      <c r="F3203" s="2" t="n">
        <f aca="false">'Raw Data'!U3203</f>
        <v>8</v>
      </c>
      <c r="G3203" s="2" t="n">
        <f aca="false">'Raw Data'!W3203</f>
        <v>4</v>
      </c>
      <c r="H3203" s="2" t="n">
        <f aca="false">'Raw Data'!V3203</f>
        <v>2</v>
      </c>
      <c r="I3203" s="2" t="n">
        <f aca="false">IF(AND(ISNUMBER(B3203),B3203&lt;=25),2,0)+IF(AND(ISNUMBER(E3203),E3203&lt;=5),2,0)+IF(AND(ISNUMBER(F3203),F3203&lt;=1),2,0)+IF(AND(ISNUMBER(G3203),G3203&lt;=2),1,0)+IF(AND(ISNUMBER(H3203),H3203&lt;=2),1,0)</f>
        <v>1</v>
      </c>
      <c r="J3203" s="2" t="str">
        <f aca="false">IF(I3203&gt;=6,"High",IF(I3203&gt;=3,"Medium","Low"))</f>
        <v>Low</v>
      </c>
    </row>
    <row r="3204" customFormat="false" ht="15" hidden="false" customHeight="true" outlineLevel="0" collapsed="false">
      <c r="A3204" s="2" t="n">
        <f aca="false">'Raw Data'!H3204</f>
        <v>3203</v>
      </c>
      <c r="B3204" s="2" t="n">
        <f aca="false">'Raw Data'!A3204</f>
        <v>48</v>
      </c>
      <c r="C3204" s="2" t="str">
        <f aca="false">'Raw Data'!D3204</f>
        <v>Research &amp; Development</v>
      </c>
      <c r="D3204" s="2" t="str">
        <f aca="false">'Raw Data'!K3204</f>
        <v>Sales Executive</v>
      </c>
      <c r="E3204" s="2" t="n">
        <f aca="false">'Raw Data'!Q3204</f>
        <v>12</v>
      </c>
      <c r="F3204" s="2" t="n">
        <f aca="false">'Raw Data'!U3204</f>
        <v>2</v>
      </c>
      <c r="G3204" s="2" t="n">
        <f aca="false">'Raw Data'!W3204</f>
        <v>2</v>
      </c>
      <c r="H3204" s="2" t="n">
        <f aca="false">'Raw Data'!V3204</f>
        <v>2</v>
      </c>
      <c r="I3204" s="2" t="n">
        <f aca="false">IF(AND(ISNUMBER(B3204),B3204&lt;=25),2,0)+IF(AND(ISNUMBER(E3204),E3204&lt;=5),2,0)+IF(AND(ISNUMBER(F3204),F3204&lt;=1),2,0)+IF(AND(ISNUMBER(G3204),G3204&lt;=2),1,0)+IF(AND(ISNUMBER(H3204),H3204&lt;=2),1,0)</f>
        <v>2</v>
      </c>
      <c r="J3204" s="2" t="str">
        <f aca="false">IF(I3204&gt;=6,"High",IF(I3204&gt;=3,"Medium","Low"))</f>
        <v>Low</v>
      </c>
    </row>
    <row r="3205" customFormat="false" ht="15" hidden="false" customHeight="true" outlineLevel="0" collapsed="false">
      <c r="A3205" s="2" t="n">
        <f aca="false">'Raw Data'!H3205</f>
        <v>3204</v>
      </c>
      <c r="B3205" s="2" t="n">
        <f aca="false">'Raw Data'!A3205</f>
        <v>27</v>
      </c>
      <c r="C3205" s="2" t="str">
        <f aca="false">'Raw Data'!D3205</f>
        <v>Sales</v>
      </c>
      <c r="D3205" s="2" t="str">
        <f aca="false">'Raw Data'!K3205</f>
        <v>Laboratory Technician</v>
      </c>
      <c r="E3205" s="2" t="n">
        <f aca="false">'Raw Data'!Q3205</f>
        <v>6</v>
      </c>
      <c r="F3205" s="2" t="n">
        <f aca="false">'Raw Data'!U3205</f>
        <v>4</v>
      </c>
      <c r="G3205" s="2" t="n">
        <f aca="false">'Raw Data'!W3205</f>
        <v>4</v>
      </c>
      <c r="H3205" s="2" t="n">
        <f aca="false">'Raw Data'!V3205</f>
        <v>4</v>
      </c>
      <c r="I3205" s="2" t="n">
        <f aca="false">IF(AND(ISNUMBER(B3205),B3205&lt;=25),2,0)+IF(AND(ISNUMBER(E3205),E3205&lt;=5),2,0)+IF(AND(ISNUMBER(F3205),F3205&lt;=1),2,0)+IF(AND(ISNUMBER(G3205),G3205&lt;=2),1,0)+IF(AND(ISNUMBER(H3205),H3205&lt;=2),1,0)</f>
        <v>0</v>
      </c>
      <c r="J3205" s="2" t="str">
        <f aca="false">IF(I3205&gt;=6,"High",IF(I3205&gt;=3,"Medium","Low"))</f>
        <v>Low</v>
      </c>
    </row>
    <row r="3206" customFormat="false" ht="15" hidden="false" customHeight="true" outlineLevel="0" collapsed="false">
      <c r="A3206" s="2" t="n">
        <f aca="false">'Raw Data'!H3206</f>
        <v>3205</v>
      </c>
      <c r="B3206" s="2" t="n">
        <f aca="false">'Raw Data'!A3206</f>
        <v>37</v>
      </c>
      <c r="C3206" s="2" t="str">
        <f aca="false">'Raw Data'!D3206</f>
        <v>Research &amp; Development</v>
      </c>
      <c r="D3206" s="2" t="str">
        <f aca="false">'Raw Data'!K3206</f>
        <v>Manager</v>
      </c>
      <c r="E3206" s="2" t="n">
        <f aca="false">'Raw Data'!Q3206</f>
        <v>4</v>
      </c>
      <c r="F3206" s="2" t="n">
        <f aca="false">'Raw Data'!U3206</f>
        <v>0</v>
      </c>
      <c r="G3206" s="2" t="n">
        <f aca="false">'Raw Data'!W3206</f>
        <v>4</v>
      </c>
      <c r="H3206" s="2" t="n">
        <f aca="false">'Raw Data'!V3206</f>
        <v>4</v>
      </c>
      <c r="I3206" s="2" t="n">
        <f aca="false">IF(AND(ISNUMBER(B3206),B3206&lt;=25),2,0)+IF(AND(ISNUMBER(E3206),E3206&lt;=5),2,0)+IF(AND(ISNUMBER(F3206),F3206&lt;=1),2,0)+IF(AND(ISNUMBER(G3206),G3206&lt;=2),1,0)+IF(AND(ISNUMBER(H3206),H3206&lt;=2),1,0)</f>
        <v>4</v>
      </c>
      <c r="J3206" s="2" t="str">
        <f aca="false">IF(I3206&gt;=6,"High",IF(I3206&gt;=3,"Medium","Low"))</f>
        <v>Medium</v>
      </c>
    </row>
    <row r="3207" customFormat="false" ht="15" hidden="false" customHeight="true" outlineLevel="0" collapsed="false">
      <c r="A3207" s="2" t="n">
        <f aca="false">'Raw Data'!H3207</f>
        <v>3206</v>
      </c>
      <c r="B3207" s="2" t="n">
        <f aca="false">'Raw Data'!A3207</f>
        <v>50</v>
      </c>
      <c r="C3207" s="2" t="str">
        <f aca="false">'Raw Data'!D3207</f>
        <v>Sales</v>
      </c>
      <c r="D3207" s="2" t="str">
        <f aca="false">'Raw Data'!K3207</f>
        <v>Laboratory Technician</v>
      </c>
      <c r="E3207" s="2" t="n">
        <f aca="false">'Raw Data'!Q3207</f>
        <v>20</v>
      </c>
      <c r="F3207" s="2" t="n">
        <f aca="false">'Raw Data'!U3207</f>
        <v>8</v>
      </c>
      <c r="G3207" s="2" t="n">
        <f aca="false">'Raw Data'!W3207</f>
        <v>3</v>
      </c>
      <c r="H3207" s="2" t="n">
        <f aca="false">'Raw Data'!V3207</f>
        <v>4</v>
      </c>
      <c r="I3207" s="2" t="n">
        <f aca="false">IF(AND(ISNUMBER(B3207),B3207&lt;=25),2,0)+IF(AND(ISNUMBER(E3207),E3207&lt;=5),2,0)+IF(AND(ISNUMBER(F3207),F3207&lt;=1),2,0)+IF(AND(ISNUMBER(G3207),G3207&lt;=2),1,0)+IF(AND(ISNUMBER(H3207),H3207&lt;=2),1,0)</f>
        <v>0</v>
      </c>
      <c r="J3207" s="2" t="str">
        <f aca="false">IF(I3207&gt;=6,"High",IF(I3207&gt;=3,"Medium","Low"))</f>
        <v>Low</v>
      </c>
    </row>
    <row r="3208" customFormat="false" ht="15" hidden="false" customHeight="true" outlineLevel="0" collapsed="false">
      <c r="A3208" s="2" t="n">
        <f aca="false">'Raw Data'!H3208</f>
        <v>3207</v>
      </c>
      <c r="B3208" s="2" t="n">
        <f aca="false">'Raw Data'!A3208</f>
        <v>34</v>
      </c>
      <c r="C3208" s="2" t="str">
        <f aca="false">'Raw Data'!D3208</f>
        <v>Research &amp; Development</v>
      </c>
      <c r="D3208" s="2" t="str">
        <f aca="false">'Raw Data'!K3208</f>
        <v>Healthcare Representative</v>
      </c>
      <c r="E3208" s="2" t="n">
        <f aca="false">'Raw Data'!Q3208</f>
        <v>9</v>
      </c>
      <c r="F3208" s="2" t="n">
        <f aca="false">'Raw Data'!U3208</f>
        <v>7</v>
      </c>
      <c r="G3208" s="2" t="n">
        <f aca="false">'Raw Data'!W3208</f>
        <v>2</v>
      </c>
      <c r="H3208" s="2" t="n">
        <f aca="false">'Raw Data'!V3208</f>
        <v>4</v>
      </c>
      <c r="I3208" s="2" t="n">
        <f aca="false">IF(AND(ISNUMBER(B3208),B3208&lt;=25),2,0)+IF(AND(ISNUMBER(E3208),E3208&lt;=5),2,0)+IF(AND(ISNUMBER(F3208),F3208&lt;=1),2,0)+IF(AND(ISNUMBER(G3208),G3208&lt;=2),1,0)+IF(AND(ISNUMBER(H3208),H3208&lt;=2),1,0)</f>
        <v>1</v>
      </c>
      <c r="J3208" s="2" t="str">
        <f aca="false">IF(I3208&gt;=6,"High",IF(I3208&gt;=3,"Medium","Low"))</f>
        <v>Low</v>
      </c>
    </row>
    <row r="3209" customFormat="false" ht="15" hidden="false" customHeight="true" outlineLevel="0" collapsed="false">
      <c r="A3209" s="2" t="n">
        <f aca="false">'Raw Data'!H3209</f>
        <v>3208</v>
      </c>
      <c r="B3209" s="2" t="n">
        <f aca="false">'Raw Data'!A3209</f>
        <v>24</v>
      </c>
      <c r="C3209" s="2" t="str">
        <f aca="false">'Raw Data'!D3209</f>
        <v>Research &amp; Development</v>
      </c>
      <c r="D3209" s="2" t="str">
        <f aca="false">'Raw Data'!K3209</f>
        <v>Healthcare Representative</v>
      </c>
      <c r="E3209" s="2" t="n">
        <f aca="false">'Raw Data'!Q3209</f>
        <v>4</v>
      </c>
      <c r="F3209" s="2" t="n">
        <f aca="false">'Raw Data'!U3209</f>
        <v>0</v>
      </c>
      <c r="G3209" s="2" t="n">
        <f aca="false">'Raw Data'!W3209</f>
        <v>3</v>
      </c>
      <c r="H3209" s="2" t="n">
        <f aca="false">'Raw Data'!V3209</f>
        <v>1</v>
      </c>
      <c r="I3209" s="2" t="n">
        <f aca="false">IF(AND(ISNUMBER(B3209),B3209&lt;=25),2,0)+IF(AND(ISNUMBER(E3209),E3209&lt;=5),2,0)+IF(AND(ISNUMBER(F3209),F3209&lt;=1),2,0)+IF(AND(ISNUMBER(G3209),G3209&lt;=2),1,0)+IF(AND(ISNUMBER(H3209),H3209&lt;=2),1,0)</f>
        <v>7</v>
      </c>
      <c r="J3209" s="2" t="str">
        <f aca="false">IF(I3209&gt;=6,"High",IF(I3209&gt;=3,"Medium","Low"))</f>
        <v>High</v>
      </c>
    </row>
    <row r="3210" customFormat="false" ht="15" hidden="false" customHeight="true" outlineLevel="0" collapsed="false">
      <c r="A3210" s="2" t="n">
        <f aca="false">'Raw Data'!H3210</f>
        <v>3209</v>
      </c>
      <c r="B3210" s="2" t="n">
        <f aca="false">'Raw Data'!A3210</f>
        <v>39</v>
      </c>
      <c r="C3210" s="2" t="str">
        <f aca="false">'Raw Data'!D3210</f>
        <v>Research &amp; Development</v>
      </c>
      <c r="D3210" s="2" t="str">
        <f aca="false">'Raw Data'!K3210</f>
        <v>Sales Representative</v>
      </c>
      <c r="E3210" s="2" t="n">
        <f aca="false">'Raw Data'!Q3210</f>
        <v>20</v>
      </c>
      <c r="F3210" s="2" t="n">
        <f aca="false">'Raw Data'!U3210</f>
        <v>10</v>
      </c>
      <c r="G3210" s="2" t="n">
        <f aca="false">'Raw Data'!W3210</f>
        <v>3</v>
      </c>
      <c r="H3210" s="2" t="n">
        <f aca="false">'Raw Data'!V3210</f>
        <v>4</v>
      </c>
      <c r="I3210" s="2" t="n">
        <f aca="false">IF(AND(ISNUMBER(B3210),B3210&lt;=25),2,0)+IF(AND(ISNUMBER(E3210),E3210&lt;=5),2,0)+IF(AND(ISNUMBER(F3210),F3210&lt;=1),2,0)+IF(AND(ISNUMBER(G3210),G3210&lt;=2),1,0)+IF(AND(ISNUMBER(H3210),H3210&lt;=2),1,0)</f>
        <v>0</v>
      </c>
      <c r="J3210" s="2" t="str">
        <f aca="false">IF(I3210&gt;=6,"High",IF(I3210&gt;=3,"Medium","Low"))</f>
        <v>Low</v>
      </c>
    </row>
    <row r="3211" customFormat="false" ht="15" hidden="false" customHeight="true" outlineLevel="0" collapsed="false">
      <c r="A3211" s="2" t="n">
        <f aca="false">'Raw Data'!H3211</f>
        <v>3210</v>
      </c>
      <c r="B3211" s="2" t="n">
        <f aca="false">'Raw Data'!A3211</f>
        <v>32</v>
      </c>
      <c r="C3211" s="2" t="str">
        <f aca="false">'Raw Data'!D3211</f>
        <v>Research &amp; Development</v>
      </c>
      <c r="D3211" s="2" t="str">
        <f aca="false">'Raw Data'!K3211</f>
        <v>Research Scientist</v>
      </c>
      <c r="E3211" s="2" t="n">
        <f aca="false">'Raw Data'!Q3211</f>
        <v>10</v>
      </c>
      <c r="F3211" s="2" t="n">
        <f aca="false">'Raw Data'!U3211</f>
        <v>8</v>
      </c>
      <c r="G3211" s="2" t="n">
        <f aca="false">'Raw Data'!W3211</f>
        <v>4</v>
      </c>
      <c r="H3211" s="2" t="n">
        <f aca="false">'Raw Data'!V3211</f>
        <v>4</v>
      </c>
      <c r="I3211" s="2" t="n">
        <f aca="false">IF(AND(ISNUMBER(B3211),B3211&lt;=25),2,0)+IF(AND(ISNUMBER(E3211),E3211&lt;=5),2,0)+IF(AND(ISNUMBER(F3211),F3211&lt;=1),2,0)+IF(AND(ISNUMBER(G3211),G3211&lt;=2),1,0)+IF(AND(ISNUMBER(H3211),H3211&lt;=2),1,0)</f>
        <v>0</v>
      </c>
      <c r="J3211" s="2" t="str">
        <f aca="false">IF(I3211&gt;=6,"High",IF(I3211&gt;=3,"Medium","Low"))</f>
        <v>Low</v>
      </c>
    </row>
    <row r="3212" customFormat="false" ht="15" hidden="false" customHeight="true" outlineLevel="0" collapsed="false">
      <c r="A3212" s="2" t="n">
        <f aca="false">'Raw Data'!H3212</f>
        <v>3211</v>
      </c>
      <c r="B3212" s="2" t="n">
        <f aca="false">'Raw Data'!A3212</f>
        <v>50</v>
      </c>
      <c r="C3212" s="2" t="str">
        <f aca="false">'Raw Data'!D3212</f>
        <v>Research &amp; Development</v>
      </c>
      <c r="D3212" s="2" t="str">
        <f aca="false">'Raw Data'!K3212</f>
        <v>Sales Representative</v>
      </c>
      <c r="E3212" s="2" t="n">
        <f aca="false">'Raw Data'!Q3212</f>
        <v>18</v>
      </c>
      <c r="F3212" s="2" t="n">
        <f aca="false">'Raw Data'!U3212</f>
        <v>3</v>
      </c>
      <c r="G3212" s="2" t="n">
        <f aca="false">'Raw Data'!W3212</f>
        <v>3</v>
      </c>
      <c r="H3212" s="2" t="n">
        <f aca="false">'Raw Data'!V3212</f>
        <v>2</v>
      </c>
      <c r="I3212" s="2" t="n">
        <f aca="false">IF(AND(ISNUMBER(B3212),B3212&lt;=25),2,0)+IF(AND(ISNUMBER(E3212),E3212&lt;=5),2,0)+IF(AND(ISNUMBER(F3212),F3212&lt;=1),2,0)+IF(AND(ISNUMBER(G3212),G3212&lt;=2),1,0)+IF(AND(ISNUMBER(H3212),H3212&lt;=2),1,0)</f>
        <v>1</v>
      </c>
      <c r="J3212" s="2" t="str">
        <f aca="false">IF(I3212&gt;=6,"High",IF(I3212&gt;=3,"Medium","Low"))</f>
        <v>Low</v>
      </c>
    </row>
    <row r="3213" customFormat="false" ht="15" hidden="false" customHeight="true" outlineLevel="0" collapsed="false">
      <c r="A3213" s="2" t="n">
        <f aca="false">'Raw Data'!H3213</f>
        <v>3212</v>
      </c>
      <c r="B3213" s="2" t="n">
        <f aca="false">'Raw Data'!A3213</f>
        <v>38</v>
      </c>
      <c r="C3213" s="2" t="str">
        <f aca="false">'Raw Data'!D3213</f>
        <v>Research &amp; Development</v>
      </c>
      <c r="D3213" s="2" t="str">
        <f aca="false">'Raw Data'!K3213</f>
        <v>Sales Executive</v>
      </c>
      <c r="E3213" s="2" t="n">
        <f aca="false">'Raw Data'!Q3213</f>
        <v>10</v>
      </c>
      <c r="F3213" s="2" t="n">
        <f aca="false">'Raw Data'!U3213</f>
        <v>8</v>
      </c>
      <c r="G3213" s="2" t="n">
        <f aca="false">'Raw Data'!W3213</f>
        <v>4</v>
      </c>
      <c r="H3213" s="2" t="n">
        <f aca="false">'Raw Data'!V3213</f>
        <v>2</v>
      </c>
      <c r="I3213" s="2" t="n">
        <f aca="false">IF(AND(ISNUMBER(B3213),B3213&lt;=25),2,0)+IF(AND(ISNUMBER(E3213),E3213&lt;=5),2,0)+IF(AND(ISNUMBER(F3213),F3213&lt;=1),2,0)+IF(AND(ISNUMBER(G3213),G3213&lt;=2),1,0)+IF(AND(ISNUMBER(H3213),H3213&lt;=2),1,0)</f>
        <v>1</v>
      </c>
      <c r="J3213" s="2" t="str">
        <f aca="false">IF(I3213&gt;=6,"High",IF(I3213&gt;=3,"Medium","Low"))</f>
        <v>Low</v>
      </c>
    </row>
    <row r="3214" customFormat="false" ht="15" hidden="false" customHeight="true" outlineLevel="0" collapsed="false">
      <c r="A3214" s="2" t="n">
        <f aca="false">'Raw Data'!H3214</f>
        <v>3213</v>
      </c>
      <c r="B3214" s="2" t="n">
        <f aca="false">'Raw Data'!A3214</f>
        <v>27</v>
      </c>
      <c r="C3214" s="2" t="str">
        <f aca="false">'Raw Data'!D3214</f>
        <v>Research &amp; Development</v>
      </c>
      <c r="D3214" s="2" t="str">
        <f aca="false">'Raw Data'!K3214</f>
        <v>Research Scientist</v>
      </c>
      <c r="E3214" s="2" t="n">
        <f aca="false">'Raw Data'!Q3214</f>
        <v>9</v>
      </c>
      <c r="F3214" s="2" t="n">
        <f aca="false">'Raw Data'!U3214</f>
        <v>7</v>
      </c>
      <c r="G3214" s="2" t="n">
        <f aca="false">'Raw Data'!W3214</f>
        <v>1</v>
      </c>
      <c r="H3214" s="2" t="n">
        <f aca="false">'Raw Data'!V3214</f>
        <v>3</v>
      </c>
      <c r="I3214" s="2" t="n">
        <f aca="false">IF(AND(ISNUMBER(B3214),B3214&lt;=25),2,0)+IF(AND(ISNUMBER(E3214),E3214&lt;=5),2,0)+IF(AND(ISNUMBER(F3214),F3214&lt;=1),2,0)+IF(AND(ISNUMBER(G3214),G3214&lt;=2),1,0)+IF(AND(ISNUMBER(H3214),H3214&lt;=2),1,0)</f>
        <v>1</v>
      </c>
      <c r="J3214" s="2" t="str">
        <f aca="false">IF(I3214&gt;=6,"High",IF(I3214&gt;=3,"Medium","Low"))</f>
        <v>Low</v>
      </c>
    </row>
    <row r="3215" customFormat="false" ht="15" hidden="false" customHeight="true" outlineLevel="0" collapsed="false">
      <c r="A3215" s="2" t="n">
        <f aca="false">'Raw Data'!H3215</f>
        <v>3214</v>
      </c>
      <c r="B3215" s="2" t="n">
        <f aca="false">'Raw Data'!A3215</f>
        <v>32</v>
      </c>
      <c r="C3215" s="2" t="str">
        <f aca="false">'Raw Data'!D3215</f>
        <v>Sales</v>
      </c>
      <c r="D3215" s="2" t="str">
        <f aca="false">'Raw Data'!K3215</f>
        <v>Sales Executive</v>
      </c>
      <c r="E3215" s="2" t="n">
        <f aca="false">'Raw Data'!Q3215</f>
        <v>10</v>
      </c>
      <c r="F3215" s="2" t="n">
        <f aca="false">'Raw Data'!U3215</f>
        <v>7</v>
      </c>
      <c r="G3215" s="2" t="n">
        <f aca="false">'Raw Data'!W3215</f>
        <v>4</v>
      </c>
      <c r="H3215" s="2" t="n">
        <f aca="false">'Raw Data'!V3215</f>
        <v>3</v>
      </c>
      <c r="I3215" s="2" t="n">
        <f aca="false">IF(AND(ISNUMBER(B3215),B3215&lt;=25),2,0)+IF(AND(ISNUMBER(E3215),E3215&lt;=5),2,0)+IF(AND(ISNUMBER(F3215),F3215&lt;=1),2,0)+IF(AND(ISNUMBER(G3215),G3215&lt;=2),1,0)+IF(AND(ISNUMBER(H3215),H3215&lt;=2),1,0)</f>
        <v>0</v>
      </c>
      <c r="J3215" s="2" t="str">
        <f aca="false">IF(I3215&gt;=6,"High",IF(I3215&gt;=3,"Medium","Low"))</f>
        <v>Low</v>
      </c>
    </row>
    <row r="3216" customFormat="false" ht="15" hidden="false" customHeight="true" outlineLevel="0" collapsed="false">
      <c r="A3216" s="2" t="n">
        <f aca="false">'Raw Data'!H3216</f>
        <v>3215</v>
      </c>
      <c r="B3216" s="2" t="n">
        <f aca="false">'Raw Data'!A3216</f>
        <v>47</v>
      </c>
      <c r="C3216" s="2" t="str">
        <f aca="false">'Raw Data'!D3216</f>
        <v>Research &amp; Development</v>
      </c>
      <c r="D3216" s="2" t="str">
        <f aca="false">'Raw Data'!K3216</f>
        <v>Sales Executive</v>
      </c>
      <c r="E3216" s="2" t="n">
        <f aca="false">'Raw Data'!Q3216</f>
        <v>20</v>
      </c>
      <c r="F3216" s="2" t="n">
        <f aca="false">'Raw Data'!U3216</f>
        <v>7</v>
      </c>
      <c r="G3216" s="2" t="n">
        <f aca="false">'Raw Data'!W3216</f>
        <v>1</v>
      </c>
      <c r="H3216" s="2" t="n">
        <f aca="false">'Raw Data'!V3216</f>
        <v>4</v>
      </c>
      <c r="I3216" s="2" t="n">
        <f aca="false">IF(AND(ISNUMBER(B3216),B3216&lt;=25),2,0)+IF(AND(ISNUMBER(E3216),E3216&lt;=5),2,0)+IF(AND(ISNUMBER(F3216),F3216&lt;=1),2,0)+IF(AND(ISNUMBER(G3216),G3216&lt;=2),1,0)+IF(AND(ISNUMBER(H3216),H3216&lt;=2),1,0)</f>
        <v>1</v>
      </c>
      <c r="J3216" s="2" t="str">
        <f aca="false">IF(I3216&gt;=6,"High",IF(I3216&gt;=3,"Medium","Low"))</f>
        <v>Low</v>
      </c>
    </row>
    <row r="3217" customFormat="false" ht="15" hidden="false" customHeight="true" outlineLevel="0" collapsed="false">
      <c r="A3217" s="2" t="n">
        <f aca="false">'Raw Data'!H3217</f>
        <v>3216</v>
      </c>
      <c r="B3217" s="2" t="n">
        <f aca="false">'Raw Data'!A3217</f>
        <v>40</v>
      </c>
      <c r="C3217" s="2" t="str">
        <f aca="false">'Raw Data'!D3217</f>
        <v>Research &amp; Development</v>
      </c>
      <c r="D3217" s="2" t="str">
        <f aca="false">'Raw Data'!K3217</f>
        <v>Human Resources</v>
      </c>
      <c r="E3217" s="2" t="n">
        <f aca="false">'Raw Data'!Q3217</f>
        <v>20</v>
      </c>
      <c r="F3217" s="2" t="n">
        <f aca="false">'Raw Data'!U3217</f>
        <v>12</v>
      </c>
      <c r="G3217" s="2" t="n">
        <f aca="false">'Raw Data'!W3217</f>
        <v>1</v>
      </c>
      <c r="H3217" s="2" t="n">
        <f aca="false">'Raw Data'!V3217</f>
        <v>4</v>
      </c>
      <c r="I3217" s="2" t="n">
        <f aca="false">IF(AND(ISNUMBER(B3217),B3217&lt;=25),2,0)+IF(AND(ISNUMBER(E3217),E3217&lt;=5),2,0)+IF(AND(ISNUMBER(F3217),F3217&lt;=1),2,0)+IF(AND(ISNUMBER(G3217),G3217&lt;=2),1,0)+IF(AND(ISNUMBER(H3217),H3217&lt;=2),1,0)</f>
        <v>1</v>
      </c>
      <c r="J3217" s="2" t="str">
        <f aca="false">IF(I3217&gt;=6,"High",IF(I3217&gt;=3,"Medium","Low"))</f>
        <v>Low</v>
      </c>
    </row>
    <row r="3218" customFormat="false" ht="15" hidden="false" customHeight="true" outlineLevel="0" collapsed="false">
      <c r="A3218" s="2" t="n">
        <f aca="false">'Raw Data'!H3218</f>
        <v>3217</v>
      </c>
      <c r="B3218" s="2" t="n">
        <f aca="false">'Raw Data'!A3218</f>
        <v>53</v>
      </c>
      <c r="C3218" s="2" t="str">
        <f aca="false">'Raw Data'!D3218</f>
        <v>Research &amp; Development</v>
      </c>
      <c r="D3218" s="2" t="str">
        <f aca="false">'Raw Data'!K3218</f>
        <v>Laboratory Technician</v>
      </c>
      <c r="E3218" s="2" t="n">
        <f aca="false">'Raw Data'!Q3218</f>
        <v>32</v>
      </c>
      <c r="F3218" s="2" t="n">
        <f aca="false">'Raw Data'!U3218</f>
        <v>3</v>
      </c>
      <c r="G3218" s="2" t="n">
        <f aca="false">'Raw Data'!W3218</f>
        <v>3</v>
      </c>
      <c r="H3218" s="2" t="n">
        <f aca="false">'Raw Data'!V3218</f>
        <v>3</v>
      </c>
      <c r="I3218" s="2" t="n">
        <f aca="false">IF(AND(ISNUMBER(B3218),B3218&lt;=25),2,0)+IF(AND(ISNUMBER(E3218),E3218&lt;=5),2,0)+IF(AND(ISNUMBER(F3218),F3218&lt;=1),2,0)+IF(AND(ISNUMBER(G3218),G3218&lt;=2),1,0)+IF(AND(ISNUMBER(H3218),H3218&lt;=2),1,0)</f>
        <v>0</v>
      </c>
      <c r="J3218" s="2" t="str">
        <f aca="false">IF(I3218&gt;=6,"High",IF(I3218&gt;=3,"Medium","Low"))</f>
        <v>Low</v>
      </c>
    </row>
    <row r="3219" customFormat="false" ht="15" hidden="false" customHeight="true" outlineLevel="0" collapsed="false">
      <c r="A3219" s="2" t="n">
        <f aca="false">'Raw Data'!H3219</f>
        <v>3218</v>
      </c>
      <c r="B3219" s="2" t="n">
        <f aca="false">'Raw Data'!A3219</f>
        <v>41</v>
      </c>
      <c r="C3219" s="2" t="str">
        <f aca="false">'Raw Data'!D3219</f>
        <v>Sales</v>
      </c>
      <c r="D3219" s="2" t="str">
        <f aca="false">'Raw Data'!K3219</f>
        <v>Sales Executive</v>
      </c>
      <c r="E3219" s="2" t="n">
        <f aca="false">'Raw Data'!Q3219</f>
        <v>23</v>
      </c>
      <c r="F3219" s="2" t="n">
        <f aca="false">'Raw Data'!U3219</f>
        <v>6</v>
      </c>
      <c r="G3219" s="2" t="n">
        <f aca="false">'Raw Data'!W3219</f>
        <v>4</v>
      </c>
      <c r="H3219" s="2" t="n">
        <f aca="false">'Raw Data'!V3219</f>
        <v>2</v>
      </c>
      <c r="I3219" s="2" t="n">
        <f aca="false">IF(AND(ISNUMBER(B3219),B3219&lt;=25),2,0)+IF(AND(ISNUMBER(E3219),E3219&lt;=5),2,0)+IF(AND(ISNUMBER(F3219),F3219&lt;=1),2,0)+IF(AND(ISNUMBER(G3219),G3219&lt;=2),1,0)+IF(AND(ISNUMBER(H3219),H3219&lt;=2),1,0)</f>
        <v>1</v>
      </c>
      <c r="J3219" s="2" t="str">
        <f aca="false">IF(I3219&gt;=6,"High",IF(I3219&gt;=3,"Medium","Low"))</f>
        <v>Low</v>
      </c>
    </row>
    <row r="3220" customFormat="false" ht="15" hidden="false" customHeight="true" outlineLevel="0" collapsed="false">
      <c r="A3220" s="2" t="n">
        <f aca="false">'Raw Data'!H3220</f>
        <v>3219</v>
      </c>
      <c r="B3220" s="2" t="n">
        <f aca="false">'Raw Data'!A3220</f>
        <v>60</v>
      </c>
      <c r="C3220" s="2" t="str">
        <f aca="false">'Raw Data'!D3220</f>
        <v>Research &amp; Development</v>
      </c>
      <c r="D3220" s="2" t="str">
        <f aca="false">'Raw Data'!K3220</f>
        <v>Laboratory Technician</v>
      </c>
      <c r="E3220" s="2" t="n">
        <f aca="false">'Raw Data'!Q3220</f>
        <v>10</v>
      </c>
      <c r="F3220" s="2" t="n">
        <f aca="false">'Raw Data'!U3220</f>
        <v>2</v>
      </c>
      <c r="G3220" s="2" t="n">
        <f aca="false">'Raw Data'!W3220</f>
        <v>1</v>
      </c>
      <c r="H3220" s="2" t="n">
        <f aca="false">'Raw Data'!V3220</f>
        <v>1</v>
      </c>
      <c r="I3220" s="2" t="n">
        <f aca="false">IF(AND(ISNUMBER(B3220),B3220&lt;=25),2,0)+IF(AND(ISNUMBER(E3220),E3220&lt;=5),2,0)+IF(AND(ISNUMBER(F3220),F3220&lt;=1),2,0)+IF(AND(ISNUMBER(G3220),G3220&lt;=2),1,0)+IF(AND(ISNUMBER(H3220),H3220&lt;=2),1,0)</f>
        <v>2</v>
      </c>
      <c r="J3220" s="2" t="str">
        <f aca="false">IF(I3220&gt;=6,"High",IF(I3220&gt;=3,"Medium","Low"))</f>
        <v>Low</v>
      </c>
    </row>
    <row r="3221" customFormat="false" ht="15" hidden="false" customHeight="true" outlineLevel="0" collapsed="false">
      <c r="A3221" s="2" t="n">
        <f aca="false">'Raw Data'!H3221</f>
        <v>3220</v>
      </c>
      <c r="B3221" s="2" t="n">
        <f aca="false">'Raw Data'!A3221</f>
        <v>27</v>
      </c>
      <c r="C3221" s="2" t="str">
        <f aca="false">'Raw Data'!D3221</f>
        <v>Research &amp; Development</v>
      </c>
      <c r="D3221" s="2" t="str">
        <f aca="false">'Raw Data'!K3221</f>
        <v>Manufacturing Director</v>
      </c>
      <c r="E3221" s="2" t="n">
        <f aca="false">'Raw Data'!Q3221</f>
        <v>9</v>
      </c>
      <c r="F3221" s="2" t="n">
        <f aca="false">'Raw Data'!U3221</f>
        <v>7</v>
      </c>
      <c r="G3221" s="2" t="n">
        <f aca="false">'Raw Data'!W3221</f>
        <v>1</v>
      </c>
      <c r="H3221" s="2" t="n">
        <f aca="false">'Raw Data'!V3221</f>
        <v>4</v>
      </c>
      <c r="I3221" s="2" t="n">
        <f aca="false">IF(AND(ISNUMBER(B3221),B3221&lt;=25),2,0)+IF(AND(ISNUMBER(E3221),E3221&lt;=5),2,0)+IF(AND(ISNUMBER(F3221),F3221&lt;=1),2,0)+IF(AND(ISNUMBER(G3221),G3221&lt;=2),1,0)+IF(AND(ISNUMBER(H3221),H3221&lt;=2),1,0)</f>
        <v>1</v>
      </c>
      <c r="J3221" s="2" t="str">
        <f aca="false">IF(I3221&gt;=6,"High",IF(I3221&gt;=3,"Medium","Low"))</f>
        <v>Low</v>
      </c>
    </row>
    <row r="3222" customFormat="false" ht="15" hidden="false" customHeight="true" outlineLevel="0" collapsed="false">
      <c r="A3222" s="2" t="n">
        <f aca="false">'Raw Data'!H3222</f>
        <v>3221</v>
      </c>
      <c r="B3222" s="2" t="n">
        <f aca="false">'Raw Data'!A3222</f>
        <v>41</v>
      </c>
      <c r="C3222" s="2" t="str">
        <f aca="false">'Raw Data'!D3222</f>
        <v>Research &amp; Development</v>
      </c>
      <c r="D3222" s="2" t="str">
        <f aca="false">'Raw Data'!K3222</f>
        <v>Manufacturing Director</v>
      </c>
      <c r="E3222" s="2" t="n">
        <f aca="false">'Raw Data'!Q3222</f>
        <v>22</v>
      </c>
      <c r="F3222" s="2" t="n">
        <f aca="false">'Raw Data'!U3222</f>
        <v>10</v>
      </c>
      <c r="G3222" s="2" t="n">
        <f aca="false">'Raw Data'!W3222</f>
        <v>3</v>
      </c>
      <c r="H3222" s="2" t="n">
        <f aca="false">'Raw Data'!V3222</f>
        <v>4</v>
      </c>
      <c r="I3222" s="2" t="n">
        <f aca="false">IF(AND(ISNUMBER(B3222),B3222&lt;=25),2,0)+IF(AND(ISNUMBER(E3222),E3222&lt;=5),2,0)+IF(AND(ISNUMBER(F3222),F3222&lt;=1),2,0)+IF(AND(ISNUMBER(G3222),G3222&lt;=2),1,0)+IF(AND(ISNUMBER(H3222),H3222&lt;=2),1,0)</f>
        <v>0</v>
      </c>
      <c r="J3222" s="2" t="str">
        <f aca="false">IF(I3222&gt;=6,"High",IF(I3222&gt;=3,"Medium","Low"))</f>
        <v>Low</v>
      </c>
    </row>
    <row r="3223" customFormat="false" ht="15" hidden="false" customHeight="true" outlineLevel="0" collapsed="false">
      <c r="A3223" s="2" t="n">
        <f aca="false">'Raw Data'!H3223</f>
        <v>3222</v>
      </c>
      <c r="B3223" s="2" t="n">
        <f aca="false">'Raw Data'!A3223</f>
        <v>50</v>
      </c>
      <c r="C3223" s="2" t="str">
        <f aca="false">'Raw Data'!D3223</f>
        <v>Sales</v>
      </c>
      <c r="D3223" s="2" t="str">
        <f aca="false">'Raw Data'!K3223</f>
        <v>Research Scientist</v>
      </c>
      <c r="E3223" s="2" t="n">
        <f aca="false">'Raw Data'!Q3223</f>
        <v>4</v>
      </c>
      <c r="F3223" s="2" t="n">
        <f aca="false">'Raw Data'!U3223</f>
        <v>2</v>
      </c>
      <c r="G3223" s="2" t="n">
        <f aca="false">'Raw Data'!W3223</f>
        <v>2</v>
      </c>
      <c r="H3223" s="2" t="n">
        <f aca="false">'Raw Data'!V3223</f>
        <v>4</v>
      </c>
      <c r="I3223" s="2" t="n">
        <f aca="false">IF(AND(ISNUMBER(B3223),B3223&lt;=25),2,0)+IF(AND(ISNUMBER(E3223),E3223&lt;=5),2,0)+IF(AND(ISNUMBER(F3223),F3223&lt;=1),2,0)+IF(AND(ISNUMBER(G3223),G3223&lt;=2),1,0)+IF(AND(ISNUMBER(H3223),H3223&lt;=2),1,0)</f>
        <v>3</v>
      </c>
      <c r="J3223" s="2" t="str">
        <f aca="false">IF(I3223&gt;=6,"High",IF(I3223&gt;=3,"Medium","Low"))</f>
        <v>Medium</v>
      </c>
    </row>
    <row r="3224" customFormat="false" ht="15" hidden="false" customHeight="true" outlineLevel="0" collapsed="false">
      <c r="A3224" s="2" t="n">
        <f aca="false">'Raw Data'!H3224</f>
        <v>3223</v>
      </c>
      <c r="B3224" s="2" t="n">
        <f aca="false">'Raw Data'!A3224</f>
        <v>28</v>
      </c>
      <c r="C3224" s="2" t="str">
        <f aca="false">'Raw Data'!D3224</f>
        <v>Sales</v>
      </c>
      <c r="D3224" s="2" t="str">
        <f aca="false">'Raw Data'!K3224</f>
        <v>Research Scientist</v>
      </c>
      <c r="E3224" s="2" t="n">
        <f aca="false">'Raw Data'!Q3224</f>
        <v>10</v>
      </c>
      <c r="F3224" s="2" t="n">
        <f aca="false">'Raw Data'!U3224</f>
        <v>7</v>
      </c>
      <c r="G3224" s="2" t="n">
        <f aca="false">'Raw Data'!W3224</f>
        <v>2</v>
      </c>
      <c r="H3224" s="2" t="n">
        <f aca="false">'Raw Data'!V3224</f>
        <v>1</v>
      </c>
      <c r="I3224" s="2" t="n">
        <f aca="false">IF(AND(ISNUMBER(B3224),B3224&lt;=25),2,0)+IF(AND(ISNUMBER(E3224),E3224&lt;=5),2,0)+IF(AND(ISNUMBER(F3224),F3224&lt;=1),2,0)+IF(AND(ISNUMBER(G3224),G3224&lt;=2),1,0)+IF(AND(ISNUMBER(H3224),H3224&lt;=2),1,0)</f>
        <v>2</v>
      </c>
      <c r="J3224" s="2" t="str">
        <f aca="false">IF(I3224&gt;=6,"High",IF(I3224&gt;=3,"Medium","Low"))</f>
        <v>Low</v>
      </c>
    </row>
    <row r="3225" customFormat="false" ht="15" hidden="false" customHeight="true" outlineLevel="0" collapsed="false">
      <c r="A3225" s="2" t="n">
        <f aca="false">'Raw Data'!H3225</f>
        <v>3224</v>
      </c>
      <c r="B3225" s="2" t="n">
        <f aca="false">'Raw Data'!A3225</f>
        <v>36</v>
      </c>
      <c r="C3225" s="2" t="str">
        <f aca="false">'Raw Data'!D3225</f>
        <v>Research &amp; Development</v>
      </c>
      <c r="D3225" s="2" t="str">
        <f aca="false">'Raw Data'!K3225</f>
        <v>Research Scientist</v>
      </c>
      <c r="E3225" s="2" t="n">
        <f aca="false">'Raw Data'!Q3225</f>
        <v>10</v>
      </c>
      <c r="F3225" s="2" t="n">
        <f aca="false">'Raw Data'!U3225</f>
        <v>5</v>
      </c>
      <c r="G3225" s="2" t="n">
        <f aca="false">'Raw Data'!W3225</f>
        <v>1</v>
      </c>
      <c r="H3225" s="2" t="n">
        <f aca="false">'Raw Data'!V3225</f>
        <v>1</v>
      </c>
      <c r="I3225" s="2" t="n">
        <f aca="false">IF(AND(ISNUMBER(B3225),B3225&lt;=25),2,0)+IF(AND(ISNUMBER(E3225),E3225&lt;=5),2,0)+IF(AND(ISNUMBER(F3225),F3225&lt;=1),2,0)+IF(AND(ISNUMBER(G3225),G3225&lt;=2),1,0)+IF(AND(ISNUMBER(H3225),H3225&lt;=2),1,0)</f>
        <v>2</v>
      </c>
      <c r="J3225" s="2" t="str">
        <f aca="false">IF(I3225&gt;=6,"High",IF(I3225&gt;=3,"Medium","Low"))</f>
        <v>Low</v>
      </c>
    </row>
    <row r="3226" customFormat="false" ht="15" hidden="false" customHeight="true" outlineLevel="0" collapsed="false">
      <c r="A3226" s="2" t="n">
        <f aca="false">'Raw Data'!H3226</f>
        <v>3225</v>
      </c>
      <c r="B3226" s="2" t="n">
        <f aca="false">'Raw Data'!A3226</f>
        <v>38</v>
      </c>
      <c r="C3226" s="2" t="str">
        <f aca="false">'Raw Data'!D3226</f>
        <v>Research &amp; Development</v>
      </c>
      <c r="D3226" s="2" t="str">
        <f aca="false">'Raw Data'!K3226</f>
        <v>Manager</v>
      </c>
      <c r="E3226" s="2" t="n">
        <f aca="false">'Raw Data'!Q3226</f>
        <v>10</v>
      </c>
      <c r="F3226" s="2" t="n">
        <f aca="false">'Raw Data'!U3226</f>
        <v>0</v>
      </c>
      <c r="G3226" s="2" t="n">
        <f aca="false">'Raw Data'!W3226</f>
        <v>3</v>
      </c>
      <c r="H3226" s="2" t="n">
        <f aca="false">'Raw Data'!V3226</f>
        <v>3</v>
      </c>
      <c r="I3226" s="2" t="n">
        <f aca="false">IF(AND(ISNUMBER(B3226),B3226&lt;=25),2,0)+IF(AND(ISNUMBER(E3226),E3226&lt;=5),2,0)+IF(AND(ISNUMBER(F3226),F3226&lt;=1),2,0)+IF(AND(ISNUMBER(G3226),G3226&lt;=2),1,0)+IF(AND(ISNUMBER(H3226),H3226&lt;=2),1,0)</f>
        <v>2</v>
      </c>
      <c r="J3226" s="2" t="str">
        <f aca="false">IF(I3226&gt;=6,"High",IF(I3226&gt;=3,"Medium","Low"))</f>
        <v>Low</v>
      </c>
    </row>
    <row r="3227" customFormat="false" ht="15" hidden="false" customHeight="true" outlineLevel="0" collapsed="false">
      <c r="A3227" s="2" t="n">
        <f aca="false">'Raw Data'!H3227</f>
        <v>3226</v>
      </c>
      <c r="B3227" s="2" t="n">
        <f aca="false">'Raw Data'!A3227</f>
        <v>44</v>
      </c>
      <c r="C3227" s="2" t="str">
        <f aca="false">'Raw Data'!D3227</f>
        <v>Research &amp; Development</v>
      </c>
      <c r="D3227" s="2" t="str">
        <f aca="false">'Raw Data'!K3227</f>
        <v>Research Scientist</v>
      </c>
      <c r="E3227" s="2" t="n">
        <f aca="false">'Raw Data'!Q3227</f>
        <v>9</v>
      </c>
      <c r="F3227" s="2" t="n">
        <f aca="false">'Raw Data'!U3227</f>
        <v>4</v>
      </c>
      <c r="G3227" s="2" t="n">
        <f aca="false">'Raw Data'!W3227</f>
        <v>3</v>
      </c>
      <c r="H3227" s="2" t="n">
        <f aca="false">'Raw Data'!V3227</f>
        <v>1</v>
      </c>
      <c r="I3227" s="2" t="n">
        <f aca="false">IF(AND(ISNUMBER(B3227),B3227&lt;=25),2,0)+IF(AND(ISNUMBER(E3227),E3227&lt;=5),2,0)+IF(AND(ISNUMBER(F3227),F3227&lt;=1),2,0)+IF(AND(ISNUMBER(G3227),G3227&lt;=2),1,0)+IF(AND(ISNUMBER(H3227),H3227&lt;=2),1,0)</f>
        <v>1</v>
      </c>
      <c r="J3227" s="2" t="str">
        <f aca="false">IF(I3227&gt;=6,"High",IF(I3227&gt;=3,"Medium","Low"))</f>
        <v>Low</v>
      </c>
    </row>
    <row r="3228" customFormat="false" ht="15" hidden="false" customHeight="true" outlineLevel="0" collapsed="false">
      <c r="A3228" s="2" t="n">
        <f aca="false">'Raw Data'!H3228</f>
        <v>3227</v>
      </c>
      <c r="B3228" s="2" t="n">
        <f aca="false">'Raw Data'!A3228</f>
        <v>47</v>
      </c>
      <c r="C3228" s="2" t="str">
        <f aca="false">'Raw Data'!D3228</f>
        <v>Research &amp; Development</v>
      </c>
      <c r="D3228" s="2" t="str">
        <f aca="false">'Raw Data'!K3228</f>
        <v>Research Scientist</v>
      </c>
      <c r="E3228" s="2" t="n">
        <f aca="false">'Raw Data'!Q3228</f>
        <v>28</v>
      </c>
      <c r="F3228" s="2" t="n">
        <f aca="false">'Raw Data'!U3228</f>
        <v>13</v>
      </c>
      <c r="G3228" s="2" t="n">
        <f aca="false">'Raw Data'!W3228</f>
        <v>3</v>
      </c>
      <c r="H3228" s="2" t="n">
        <f aca="false">'Raw Data'!V3228</f>
        <v>4</v>
      </c>
      <c r="I3228" s="2" t="n">
        <f aca="false">IF(AND(ISNUMBER(B3228),B3228&lt;=25),2,0)+IF(AND(ISNUMBER(E3228),E3228&lt;=5),2,0)+IF(AND(ISNUMBER(F3228),F3228&lt;=1),2,0)+IF(AND(ISNUMBER(G3228),G3228&lt;=2),1,0)+IF(AND(ISNUMBER(H3228),H3228&lt;=2),1,0)</f>
        <v>0</v>
      </c>
      <c r="J3228" s="2" t="str">
        <f aca="false">IF(I3228&gt;=6,"High",IF(I3228&gt;=3,"Medium","Low"))</f>
        <v>Low</v>
      </c>
    </row>
    <row r="3229" customFormat="false" ht="15" hidden="false" customHeight="true" outlineLevel="0" collapsed="false">
      <c r="A3229" s="2" t="n">
        <f aca="false">'Raw Data'!H3229</f>
        <v>3228</v>
      </c>
      <c r="B3229" s="2" t="n">
        <f aca="false">'Raw Data'!A3229</f>
        <v>30</v>
      </c>
      <c r="C3229" s="2" t="str">
        <f aca="false">'Raw Data'!D3229</f>
        <v>Research &amp; Development</v>
      </c>
      <c r="D3229" s="2" t="str">
        <f aca="false">'Raw Data'!K3229</f>
        <v>Sales Executive</v>
      </c>
      <c r="E3229" s="2" t="n">
        <f aca="false">'Raw Data'!Q3229</f>
        <v>10</v>
      </c>
      <c r="F3229" s="2" t="n">
        <f aca="false">'Raw Data'!U3229</f>
        <v>7</v>
      </c>
      <c r="G3229" s="2" t="n">
        <f aca="false">'Raw Data'!W3229</f>
        <v>4</v>
      </c>
      <c r="H3229" s="2" t="n">
        <f aca="false">'Raw Data'!V3229</f>
        <v>3</v>
      </c>
      <c r="I3229" s="2" t="n">
        <f aca="false">IF(AND(ISNUMBER(B3229),B3229&lt;=25),2,0)+IF(AND(ISNUMBER(E3229),E3229&lt;=5),2,0)+IF(AND(ISNUMBER(F3229),F3229&lt;=1),2,0)+IF(AND(ISNUMBER(G3229),G3229&lt;=2),1,0)+IF(AND(ISNUMBER(H3229),H3229&lt;=2),1,0)</f>
        <v>0</v>
      </c>
      <c r="J3229" s="2" t="str">
        <f aca="false">IF(I3229&gt;=6,"High",IF(I3229&gt;=3,"Medium","Low"))</f>
        <v>Low</v>
      </c>
    </row>
    <row r="3230" customFormat="false" ht="15" hidden="false" customHeight="true" outlineLevel="0" collapsed="false">
      <c r="A3230" s="2" t="n">
        <f aca="false">'Raw Data'!H3230</f>
        <v>3229</v>
      </c>
      <c r="B3230" s="2" t="n">
        <f aca="false">'Raw Data'!A3230</f>
        <v>29</v>
      </c>
      <c r="C3230" s="2" t="str">
        <f aca="false">'Raw Data'!D3230</f>
        <v>Research &amp; Development</v>
      </c>
      <c r="D3230" s="2" t="str">
        <f aca="false">'Raw Data'!K3230</f>
        <v>Sales Executive</v>
      </c>
      <c r="E3230" s="2" t="n">
        <f aca="false">'Raw Data'!Q3230</f>
        <v>1</v>
      </c>
      <c r="F3230" s="2" t="n">
        <f aca="false">'Raw Data'!U3230</f>
        <v>0</v>
      </c>
      <c r="G3230" s="2" t="n">
        <f aca="false">'Raw Data'!W3230</f>
        <v>3</v>
      </c>
      <c r="H3230" s="2" t="n">
        <f aca="false">'Raw Data'!V3230</f>
        <v>3</v>
      </c>
      <c r="I3230" s="2" t="n">
        <f aca="false">IF(AND(ISNUMBER(B3230),B3230&lt;=25),2,0)+IF(AND(ISNUMBER(E3230),E3230&lt;=5),2,0)+IF(AND(ISNUMBER(F3230),F3230&lt;=1),2,0)+IF(AND(ISNUMBER(G3230),G3230&lt;=2),1,0)+IF(AND(ISNUMBER(H3230),H3230&lt;=2),1,0)</f>
        <v>4</v>
      </c>
      <c r="J3230" s="2" t="str">
        <f aca="false">IF(I3230&gt;=6,"High",IF(I3230&gt;=3,"Medium","Low"))</f>
        <v>Medium</v>
      </c>
    </row>
    <row r="3231" customFormat="false" ht="15" hidden="false" customHeight="true" outlineLevel="0" collapsed="false">
      <c r="A3231" s="2" t="n">
        <f aca="false">'Raw Data'!H3231</f>
        <v>3230</v>
      </c>
      <c r="B3231" s="2" t="n">
        <f aca="false">'Raw Data'!A3231</f>
        <v>42</v>
      </c>
      <c r="C3231" s="2" t="str">
        <f aca="false">'Raw Data'!D3231</f>
        <v>Research &amp; Development</v>
      </c>
      <c r="D3231" s="2" t="str">
        <f aca="false">'Raw Data'!K3231</f>
        <v>Sales Executive</v>
      </c>
      <c r="E3231" s="2" t="n">
        <f aca="false">'Raw Data'!Q3231</f>
        <v>7</v>
      </c>
      <c r="F3231" s="2" t="n">
        <f aca="false">'Raw Data'!U3231</f>
        <v>2</v>
      </c>
      <c r="G3231" s="2" t="n">
        <f aca="false">'Raw Data'!W3231</f>
        <v>3</v>
      </c>
      <c r="H3231" s="2" t="n">
        <f aca="false">'Raw Data'!V3231</f>
        <v>3</v>
      </c>
      <c r="I3231" s="2" t="n">
        <f aca="false">IF(AND(ISNUMBER(B3231),B3231&lt;=25),2,0)+IF(AND(ISNUMBER(E3231),E3231&lt;=5),2,0)+IF(AND(ISNUMBER(F3231),F3231&lt;=1),2,0)+IF(AND(ISNUMBER(G3231),G3231&lt;=2),1,0)+IF(AND(ISNUMBER(H3231),H3231&lt;=2),1,0)</f>
        <v>0</v>
      </c>
      <c r="J3231" s="2" t="str">
        <f aca="false">IF(I3231&gt;=6,"High",IF(I3231&gt;=3,"Medium","Low"))</f>
        <v>Low</v>
      </c>
    </row>
    <row r="3232" customFormat="false" ht="15" hidden="false" customHeight="true" outlineLevel="0" collapsed="false">
      <c r="A3232" s="2" t="n">
        <f aca="false">'Raw Data'!H3232</f>
        <v>3231</v>
      </c>
      <c r="B3232" s="2" t="n">
        <f aca="false">'Raw Data'!A3232</f>
        <v>43</v>
      </c>
      <c r="C3232" s="2" t="str">
        <f aca="false">'Raw Data'!D3232</f>
        <v>Research &amp; Development</v>
      </c>
      <c r="D3232" s="2" t="str">
        <f aca="false">'Raw Data'!K3232</f>
        <v>Laboratory Technician</v>
      </c>
      <c r="E3232" s="2" t="n">
        <f aca="false">'Raw Data'!Q3232</f>
        <v>7</v>
      </c>
      <c r="F3232" s="2" t="n">
        <f aca="false">'Raw Data'!U3232</f>
        <v>2</v>
      </c>
      <c r="G3232" s="2" t="n">
        <f aca="false">'Raw Data'!W3232</f>
        <v>4</v>
      </c>
      <c r="H3232" s="2" t="n">
        <f aca="false">'Raw Data'!V3232</f>
        <v>4</v>
      </c>
      <c r="I3232" s="2" t="n">
        <f aca="false">IF(AND(ISNUMBER(B3232),B3232&lt;=25),2,0)+IF(AND(ISNUMBER(E3232),E3232&lt;=5),2,0)+IF(AND(ISNUMBER(F3232),F3232&lt;=1),2,0)+IF(AND(ISNUMBER(G3232),G3232&lt;=2),1,0)+IF(AND(ISNUMBER(H3232),H3232&lt;=2),1,0)</f>
        <v>0</v>
      </c>
      <c r="J3232" s="2" t="str">
        <f aca="false">IF(I3232&gt;=6,"High",IF(I3232&gt;=3,"Medium","Low"))</f>
        <v>Low</v>
      </c>
    </row>
    <row r="3233" customFormat="false" ht="15" hidden="false" customHeight="true" outlineLevel="0" collapsed="false">
      <c r="A3233" s="2" t="n">
        <f aca="false">'Raw Data'!H3233</f>
        <v>3232</v>
      </c>
      <c r="B3233" s="2" t="n">
        <f aca="false">'Raw Data'!A3233</f>
        <v>34</v>
      </c>
      <c r="C3233" s="2" t="str">
        <f aca="false">'Raw Data'!D3233</f>
        <v>Research &amp; Development</v>
      </c>
      <c r="D3233" s="2" t="str">
        <f aca="false">'Raw Data'!K3233</f>
        <v>Healthcare Representative</v>
      </c>
      <c r="E3233" s="2" t="n">
        <f aca="false">'Raw Data'!Q3233</f>
        <v>10</v>
      </c>
      <c r="F3233" s="2" t="n">
        <f aca="false">'Raw Data'!U3233</f>
        <v>3</v>
      </c>
      <c r="G3233" s="2" t="n">
        <f aca="false">'Raw Data'!W3233</f>
        <v>3</v>
      </c>
      <c r="H3233" s="2" t="n">
        <f aca="false">'Raw Data'!V3233</f>
        <v>2</v>
      </c>
      <c r="I3233" s="2" t="n">
        <f aca="false">IF(AND(ISNUMBER(B3233),B3233&lt;=25),2,0)+IF(AND(ISNUMBER(E3233),E3233&lt;=5),2,0)+IF(AND(ISNUMBER(F3233),F3233&lt;=1),2,0)+IF(AND(ISNUMBER(G3233),G3233&lt;=2),1,0)+IF(AND(ISNUMBER(H3233),H3233&lt;=2),1,0)</f>
        <v>1</v>
      </c>
      <c r="J3233" s="2" t="str">
        <f aca="false">IF(I3233&gt;=6,"High",IF(I3233&gt;=3,"Medium","Low"))</f>
        <v>Low</v>
      </c>
    </row>
    <row r="3234" customFormat="false" ht="15" hidden="false" customHeight="true" outlineLevel="0" collapsed="false">
      <c r="A3234" s="2" t="n">
        <f aca="false">'Raw Data'!H3234</f>
        <v>3233</v>
      </c>
      <c r="B3234" s="2" t="n">
        <f aca="false">'Raw Data'!A3234</f>
        <v>23</v>
      </c>
      <c r="C3234" s="2" t="str">
        <f aca="false">'Raw Data'!D3234</f>
        <v>Sales</v>
      </c>
      <c r="D3234" s="2" t="str">
        <f aca="false">'Raw Data'!K3234</f>
        <v>Sales Executive</v>
      </c>
      <c r="E3234" s="2" t="n">
        <f aca="false">'Raw Data'!Q3234</f>
        <v>5</v>
      </c>
      <c r="F3234" s="2" t="n">
        <f aca="false">'Raw Data'!U3234</f>
        <v>2</v>
      </c>
      <c r="G3234" s="2" t="n">
        <f aca="false">'Raw Data'!W3234</f>
        <v>1</v>
      </c>
      <c r="H3234" s="2" t="n">
        <f aca="false">'Raw Data'!V3234</f>
        <v>2</v>
      </c>
      <c r="I3234" s="2" t="n">
        <f aca="false">IF(AND(ISNUMBER(B3234),B3234&lt;=25),2,0)+IF(AND(ISNUMBER(E3234),E3234&lt;=5),2,0)+IF(AND(ISNUMBER(F3234),F3234&lt;=1),2,0)+IF(AND(ISNUMBER(G3234),G3234&lt;=2),1,0)+IF(AND(ISNUMBER(H3234),H3234&lt;=2),1,0)</f>
        <v>6</v>
      </c>
      <c r="J3234" s="2" t="str">
        <f aca="false">IF(I3234&gt;=6,"High",IF(I3234&gt;=3,"Medium","Low"))</f>
        <v>High</v>
      </c>
    </row>
    <row r="3235" customFormat="false" ht="15" hidden="false" customHeight="true" outlineLevel="0" collapsed="false">
      <c r="A3235" s="2" t="n">
        <f aca="false">'Raw Data'!H3235</f>
        <v>3234</v>
      </c>
      <c r="B3235" s="2" t="n">
        <f aca="false">'Raw Data'!A3235</f>
        <v>39</v>
      </c>
      <c r="C3235" s="2" t="str">
        <f aca="false">'Raw Data'!D3235</f>
        <v>Sales</v>
      </c>
      <c r="D3235" s="2" t="str">
        <f aca="false">'Raw Data'!K3235</f>
        <v>Healthcare Representative</v>
      </c>
      <c r="E3235" s="2" t="n">
        <f aca="false">'Raw Data'!Q3235</f>
        <v>12</v>
      </c>
      <c r="F3235" s="2" t="n">
        <f aca="false">'Raw Data'!U3235</f>
        <v>6</v>
      </c>
      <c r="G3235" s="2" t="n">
        <f aca="false">'Raw Data'!W3235</f>
        <v>2</v>
      </c>
      <c r="H3235" s="2" t="n">
        <f aca="false">'Raw Data'!V3235</f>
        <v>3</v>
      </c>
      <c r="I3235" s="2" t="n">
        <f aca="false">IF(AND(ISNUMBER(B3235),B3235&lt;=25),2,0)+IF(AND(ISNUMBER(E3235),E3235&lt;=5),2,0)+IF(AND(ISNUMBER(F3235),F3235&lt;=1),2,0)+IF(AND(ISNUMBER(G3235),G3235&lt;=2),1,0)+IF(AND(ISNUMBER(H3235),H3235&lt;=2),1,0)</f>
        <v>1</v>
      </c>
      <c r="J3235" s="2" t="str">
        <f aca="false">IF(I3235&gt;=6,"High",IF(I3235&gt;=3,"Medium","Low"))</f>
        <v>Low</v>
      </c>
    </row>
    <row r="3236" customFormat="false" ht="15" hidden="false" customHeight="true" outlineLevel="0" collapsed="false">
      <c r="A3236" s="2" t="n">
        <f aca="false">'Raw Data'!H3236</f>
        <v>3235</v>
      </c>
      <c r="B3236" s="2" t="n">
        <f aca="false">'Raw Data'!A3236</f>
        <v>56</v>
      </c>
      <c r="C3236" s="2" t="str">
        <f aca="false">'Raw Data'!D3236</f>
        <v>Research &amp; Development</v>
      </c>
      <c r="D3236" s="2" t="str">
        <f aca="false">'Raw Data'!K3236</f>
        <v>Manager</v>
      </c>
      <c r="E3236" s="2" t="n">
        <f aca="false">'Raw Data'!Q3236</f>
        <v>30</v>
      </c>
      <c r="F3236" s="2" t="n">
        <f aca="false">'Raw Data'!U3236</f>
        <v>1</v>
      </c>
      <c r="G3236" s="2" t="n">
        <f aca="false">'Raw Data'!W3236</f>
        <v>4</v>
      </c>
      <c r="H3236" s="2" t="n">
        <f aca="false">'Raw Data'!V3236</f>
        <v>3</v>
      </c>
      <c r="I3236" s="2" t="n">
        <f aca="false">IF(AND(ISNUMBER(B3236),B3236&lt;=25),2,0)+IF(AND(ISNUMBER(E3236),E3236&lt;=5),2,0)+IF(AND(ISNUMBER(F3236),F3236&lt;=1),2,0)+IF(AND(ISNUMBER(G3236),G3236&lt;=2),1,0)+IF(AND(ISNUMBER(H3236),H3236&lt;=2),1,0)</f>
        <v>2</v>
      </c>
      <c r="J3236" s="2" t="str">
        <f aca="false">IF(I3236&gt;=6,"High",IF(I3236&gt;=3,"Medium","Low"))</f>
        <v>Low</v>
      </c>
    </row>
    <row r="3237" customFormat="false" ht="15" hidden="false" customHeight="true" outlineLevel="0" collapsed="false">
      <c r="A3237" s="2" t="n">
        <f aca="false">'Raw Data'!H3237</f>
        <v>3236</v>
      </c>
      <c r="B3237" s="2" t="n">
        <f aca="false">'Raw Data'!A3237</f>
        <v>40</v>
      </c>
      <c r="C3237" s="2" t="str">
        <f aca="false">'Raw Data'!D3237</f>
        <v>Sales</v>
      </c>
      <c r="D3237" s="2" t="str">
        <f aca="false">'Raw Data'!K3237</f>
        <v>Research Scientist</v>
      </c>
      <c r="E3237" s="2" t="n">
        <f aca="false">'Raw Data'!Q3237</f>
        <v>5</v>
      </c>
      <c r="F3237" s="2" t="n">
        <f aca="false">'Raw Data'!U3237</f>
        <v>3</v>
      </c>
      <c r="G3237" s="2" t="n">
        <f aca="false">'Raw Data'!W3237</f>
        <v>4</v>
      </c>
      <c r="H3237" s="2" t="n">
        <f aca="false">'Raw Data'!V3237</f>
        <v>4</v>
      </c>
      <c r="I3237" s="2" t="n">
        <f aca="false">IF(AND(ISNUMBER(B3237),B3237&lt;=25),2,0)+IF(AND(ISNUMBER(E3237),E3237&lt;=5),2,0)+IF(AND(ISNUMBER(F3237),F3237&lt;=1),2,0)+IF(AND(ISNUMBER(G3237),G3237&lt;=2),1,0)+IF(AND(ISNUMBER(H3237),H3237&lt;=2),1,0)</f>
        <v>2</v>
      </c>
      <c r="J3237" s="2" t="str">
        <f aca="false">IF(I3237&gt;=6,"High",IF(I3237&gt;=3,"Medium","Low"))</f>
        <v>Low</v>
      </c>
    </row>
    <row r="3238" customFormat="false" ht="15" hidden="false" customHeight="true" outlineLevel="0" collapsed="false">
      <c r="A3238" s="2" t="n">
        <f aca="false">'Raw Data'!H3238</f>
        <v>3237</v>
      </c>
      <c r="B3238" s="2" t="n">
        <f aca="false">'Raw Data'!A3238</f>
        <v>27</v>
      </c>
      <c r="C3238" s="2" t="str">
        <f aca="false">'Raw Data'!D3238</f>
        <v>Research &amp; Development</v>
      </c>
      <c r="D3238" s="2" t="str">
        <f aca="false">'Raw Data'!K3238</f>
        <v>Laboratory Technician</v>
      </c>
      <c r="E3238" s="2" t="n">
        <f aca="false">'Raw Data'!Q3238</f>
        <v>9</v>
      </c>
      <c r="F3238" s="2" t="n">
        <f aca="false">'Raw Data'!U3238</f>
        <v>7</v>
      </c>
      <c r="G3238" s="2" t="n">
        <f aca="false">'Raw Data'!W3238</f>
        <v>1</v>
      </c>
      <c r="H3238" s="2" t="n">
        <f aca="false">'Raw Data'!V3238</f>
        <v>4</v>
      </c>
      <c r="I3238" s="2" t="n">
        <f aca="false">IF(AND(ISNUMBER(B3238),B3238&lt;=25),2,0)+IF(AND(ISNUMBER(E3238),E3238&lt;=5),2,0)+IF(AND(ISNUMBER(F3238),F3238&lt;=1),2,0)+IF(AND(ISNUMBER(G3238),G3238&lt;=2),1,0)+IF(AND(ISNUMBER(H3238),H3238&lt;=2),1,0)</f>
        <v>1</v>
      </c>
      <c r="J3238" s="2" t="str">
        <f aca="false">IF(I3238&gt;=6,"High",IF(I3238&gt;=3,"Medium","Low"))</f>
        <v>Low</v>
      </c>
    </row>
    <row r="3239" customFormat="false" ht="15" hidden="false" customHeight="true" outlineLevel="0" collapsed="false">
      <c r="A3239" s="2" t="n">
        <f aca="false">'Raw Data'!H3239</f>
        <v>3238</v>
      </c>
      <c r="B3239" s="2" t="n">
        <f aca="false">'Raw Data'!A3239</f>
        <v>29</v>
      </c>
      <c r="C3239" s="2" t="str">
        <f aca="false">'Raw Data'!D3239</f>
        <v>Sales</v>
      </c>
      <c r="D3239" s="2" t="str">
        <f aca="false">'Raw Data'!K3239</f>
        <v>Manager</v>
      </c>
      <c r="E3239" s="2" t="n">
        <f aca="false">'Raw Data'!Q3239</f>
        <v>2</v>
      </c>
      <c r="F3239" s="2" t="n">
        <f aca="false">'Raw Data'!U3239</f>
        <v>2</v>
      </c>
      <c r="G3239" s="2" t="n">
        <f aca="false">'Raw Data'!W3239</f>
        <v>2</v>
      </c>
      <c r="H3239" s="2" t="n">
        <f aca="false">'Raw Data'!V3239</f>
        <v>4</v>
      </c>
      <c r="I3239" s="2" t="n">
        <f aca="false">IF(AND(ISNUMBER(B3239),B3239&lt;=25),2,0)+IF(AND(ISNUMBER(E3239),E3239&lt;=5),2,0)+IF(AND(ISNUMBER(F3239),F3239&lt;=1),2,0)+IF(AND(ISNUMBER(G3239),G3239&lt;=2),1,0)+IF(AND(ISNUMBER(H3239),H3239&lt;=2),1,0)</f>
        <v>3</v>
      </c>
      <c r="J3239" s="2" t="str">
        <f aca="false">IF(I3239&gt;=6,"High",IF(I3239&gt;=3,"Medium","Low"))</f>
        <v>Medium</v>
      </c>
    </row>
    <row r="3240" customFormat="false" ht="15" hidden="false" customHeight="true" outlineLevel="0" collapsed="false">
      <c r="A3240" s="2" t="n">
        <f aca="false">'Raw Data'!H3240</f>
        <v>3239</v>
      </c>
      <c r="B3240" s="2" t="n">
        <f aca="false">'Raw Data'!A3240</f>
        <v>53</v>
      </c>
      <c r="C3240" s="2" t="str">
        <f aca="false">'Raw Data'!D3240</f>
        <v>Research &amp; Development</v>
      </c>
      <c r="D3240" s="2" t="str">
        <f aca="false">'Raw Data'!K3240</f>
        <v>Laboratory Technician</v>
      </c>
      <c r="E3240" s="2" t="n">
        <f aca="false">'Raw Data'!Q3240</f>
        <v>19</v>
      </c>
      <c r="F3240" s="2" t="n">
        <f aca="false">'Raw Data'!U3240</f>
        <v>2</v>
      </c>
      <c r="G3240" s="2" t="n">
        <f aca="false">'Raw Data'!W3240</f>
        <v>4</v>
      </c>
      <c r="H3240" s="2" t="n">
        <f aca="false">'Raw Data'!V3240</f>
        <v>4</v>
      </c>
      <c r="I3240" s="2" t="n">
        <f aca="false">IF(AND(ISNUMBER(B3240),B3240&lt;=25),2,0)+IF(AND(ISNUMBER(E3240),E3240&lt;=5),2,0)+IF(AND(ISNUMBER(F3240),F3240&lt;=1),2,0)+IF(AND(ISNUMBER(G3240),G3240&lt;=2),1,0)+IF(AND(ISNUMBER(H3240),H3240&lt;=2),1,0)</f>
        <v>0</v>
      </c>
      <c r="J3240" s="2" t="str">
        <f aca="false">IF(I3240&gt;=6,"High",IF(I3240&gt;=3,"Medium","Low"))</f>
        <v>Low</v>
      </c>
    </row>
    <row r="3241" customFormat="false" ht="15" hidden="false" customHeight="true" outlineLevel="0" collapsed="false">
      <c r="A3241" s="2" t="n">
        <f aca="false">'Raw Data'!H3241</f>
        <v>3240</v>
      </c>
      <c r="B3241" s="2" t="n">
        <f aca="false">'Raw Data'!A3241</f>
        <v>35</v>
      </c>
      <c r="C3241" s="2" t="str">
        <f aca="false">'Raw Data'!D3241</f>
        <v>Research &amp; Development</v>
      </c>
      <c r="D3241" s="2" t="str">
        <f aca="false">'Raw Data'!K3241</f>
        <v>Healthcare Representative</v>
      </c>
      <c r="E3241" s="2" t="n">
        <f aca="false">'Raw Data'!Q3241</f>
        <v>16</v>
      </c>
      <c r="F3241" s="2" t="n">
        <f aca="false">'Raw Data'!U3241</f>
        <v>0</v>
      </c>
      <c r="G3241" s="2" t="n">
        <f aca="false">'Raw Data'!W3241</f>
        <v>1</v>
      </c>
      <c r="H3241" s="2" t="n">
        <f aca="false">'Raw Data'!V3241</f>
        <v>4</v>
      </c>
      <c r="I3241" s="2" t="n">
        <f aca="false">IF(AND(ISNUMBER(B3241),B3241&lt;=25),2,0)+IF(AND(ISNUMBER(E3241),E3241&lt;=5),2,0)+IF(AND(ISNUMBER(F3241),F3241&lt;=1),2,0)+IF(AND(ISNUMBER(G3241),G3241&lt;=2),1,0)+IF(AND(ISNUMBER(H3241),H3241&lt;=2),1,0)</f>
        <v>3</v>
      </c>
      <c r="J3241" s="2" t="str">
        <f aca="false">IF(I3241&gt;=6,"High",IF(I3241&gt;=3,"Medium","Low"))</f>
        <v>Medium</v>
      </c>
    </row>
    <row r="3242" customFormat="false" ht="15" hidden="false" customHeight="true" outlineLevel="0" collapsed="false">
      <c r="A3242" s="2" t="n">
        <f aca="false">'Raw Data'!H3242</f>
        <v>3241</v>
      </c>
      <c r="B3242" s="2" t="n">
        <f aca="false">'Raw Data'!A3242</f>
        <v>32</v>
      </c>
      <c r="C3242" s="2" t="str">
        <f aca="false">'Raw Data'!D3242</f>
        <v>Sales</v>
      </c>
      <c r="D3242" s="2" t="str">
        <f aca="false">'Raw Data'!K3242</f>
        <v>Sales Executive</v>
      </c>
      <c r="E3242" s="2" t="n">
        <f aca="false">'Raw Data'!Q3242</f>
        <v>10</v>
      </c>
      <c r="F3242" s="2" t="n">
        <f aca="false">'Raw Data'!U3242</f>
        <v>7</v>
      </c>
      <c r="G3242" s="2" t="n">
        <f aca="false">'Raw Data'!W3242</f>
        <v>4</v>
      </c>
      <c r="H3242" s="2" t="n">
        <f aca="false">'Raw Data'!V3242</f>
        <v>1</v>
      </c>
      <c r="I3242" s="2" t="n">
        <f aca="false">IF(AND(ISNUMBER(B3242),B3242&lt;=25),2,0)+IF(AND(ISNUMBER(E3242),E3242&lt;=5),2,0)+IF(AND(ISNUMBER(F3242),F3242&lt;=1),2,0)+IF(AND(ISNUMBER(G3242),G3242&lt;=2),1,0)+IF(AND(ISNUMBER(H3242),H3242&lt;=2),1,0)</f>
        <v>1</v>
      </c>
      <c r="J3242" s="2" t="str">
        <f aca="false">IF(I3242&gt;=6,"High",IF(I3242&gt;=3,"Medium","Low"))</f>
        <v>Low</v>
      </c>
    </row>
    <row r="3243" customFormat="false" ht="15" hidden="false" customHeight="true" outlineLevel="0" collapsed="false">
      <c r="A3243" s="2" t="n">
        <f aca="false">'Raw Data'!H3243</f>
        <v>3242</v>
      </c>
      <c r="B3243" s="2" t="n">
        <f aca="false">'Raw Data'!A3243</f>
        <v>38</v>
      </c>
      <c r="C3243" s="2" t="str">
        <f aca="false">'Raw Data'!D3243</f>
        <v>Sales</v>
      </c>
      <c r="D3243" s="2" t="str">
        <f aca="false">'Raw Data'!K3243</f>
        <v>Laboratory Technician</v>
      </c>
      <c r="E3243" s="2" t="n">
        <f aca="false">'Raw Data'!Q3243</f>
        <v>6</v>
      </c>
      <c r="F3243" s="2" t="n">
        <f aca="false">'Raw Data'!U3243</f>
        <v>1</v>
      </c>
      <c r="G3243" s="2" t="n">
        <f aca="false">'Raw Data'!W3243</f>
        <v>3</v>
      </c>
      <c r="H3243" s="2" t="n">
        <f aca="false">'Raw Data'!V3243</f>
        <v>4</v>
      </c>
      <c r="I3243" s="2" t="n">
        <f aca="false">IF(AND(ISNUMBER(B3243),B3243&lt;=25),2,0)+IF(AND(ISNUMBER(E3243),E3243&lt;=5),2,0)+IF(AND(ISNUMBER(F3243),F3243&lt;=1),2,0)+IF(AND(ISNUMBER(G3243),G3243&lt;=2),1,0)+IF(AND(ISNUMBER(H3243),H3243&lt;=2),1,0)</f>
        <v>2</v>
      </c>
      <c r="J3243" s="2" t="str">
        <f aca="false">IF(I3243&gt;=6,"High",IF(I3243&gt;=3,"Medium","Low"))</f>
        <v>Low</v>
      </c>
    </row>
    <row r="3244" customFormat="false" ht="15" hidden="false" customHeight="true" outlineLevel="0" collapsed="false">
      <c r="A3244" s="2" t="n">
        <f aca="false">'Raw Data'!H3244</f>
        <v>3243</v>
      </c>
      <c r="B3244" s="2" t="n">
        <f aca="false">'Raw Data'!A3244</f>
        <v>34</v>
      </c>
      <c r="C3244" s="2" t="str">
        <f aca="false">'Raw Data'!D3244</f>
        <v>Research &amp; Development</v>
      </c>
      <c r="D3244" s="2" t="str">
        <f aca="false">'Raw Data'!K3244</f>
        <v>Laboratory Technician</v>
      </c>
      <c r="E3244" s="2" t="n">
        <f aca="false">'Raw Data'!Q3244</f>
        <v>7</v>
      </c>
      <c r="F3244" s="2" t="n">
        <f aca="false">'Raw Data'!U3244</f>
        <v>0</v>
      </c>
      <c r="G3244" s="2" t="n">
        <f aca="false">'Raw Data'!W3244</f>
        <v>1</v>
      </c>
      <c r="H3244" s="2" t="n">
        <f aca="false">'Raw Data'!V3244</f>
        <v>2</v>
      </c>
      <c r="I3244" s="2" t="n">
        <f aca="false">IF(AND(ISNUMBER(B3244),B3244&lt;=25),2,0)+IF(AND(ISNUMBER(E3244),E3244&lt;=5),2,0)+IF(AND(ISNUMBER(F3244),F3244&lt;=1),2,0)+IF(AND(ISNUMBER(G3244),G3244&lt;=2),1,0)+IF(AND(ISNUMBER(H3244),H3244&lt;=2),1,0)</f>
        <v>4</v>
      </c>
      <c r="J3244" s="2" t="str">
        <f aca="false">IF(I3244&gt;=6,"High",IF(I3244&gt;=3,"Medium","Low"))</f>
        <v>Medium</v>
      </c>
    </row>
    <row r="3245" customFormat="false" ht="15" hidden="false" customHeight="true" outlineLevel="0" collapsed="false">
      <c r="A3245" s="2" t="n">
        <f aca="false">'Raw Data'!H3245</f>
        <v>3244</v>
      </c>
      <c r="B3245" s="2" t="n">
        <f aca="false">'Raw Data'!A3245</f>
        <v>52</v>
      </c>
      <c r="C3245" s="2" t="str">
        <f aca="false">'Raw Data'!D3245</f>
        <v>Sales</v>
      </c>
      <c r="D3245" s="2" t="str">
        <f aca="false">'Raw Data'!K3245</f>
        <v>Manager</v>
      </c>
      <c r="E3245" s="2" t="n">
        <f aca="false">'Raw Data'!Q3245</f>
        <v>34</v>
      </c>
      <c r="F3245" s="2" t="n">
        <f aca="false">'Raw Data'!U3245</f>
        <v>16</v>
      </c>
      <c r="G3245" s="2" t="n">
        <f aca="false">'Raw Data'!W3245</f>
        <v>1</v>
      </c>
      <c r="H3245" s="2" t="n">
        <f aca="false">'Raw Data'!V3245</f>
        <v>3</v>
      </c>
      <c r="I3245" s="2" t="n">
        <f aca="false">IF(AND(ISNUMBER(B3245),B3245&lt;=25),2,0)+IF(AND(ISNUMBER(E3245),E3245&lt;=5),2,0)+IF(AND(ISNUMBER(F3245),F3245&lt;=1),2,0)+IF(AND(ISNUMBER(G3245),G3245&lt;=2),1,0)+IF(AND(ISNUMBER(H3245),H3245&lt;=2),1,0)</f>
        <v>1</v>
      </c>
      <c r="J3245" s="2" t="str">
        <f aca="false">IF(I3245&gt;=6,"High",IF(I3245&gt;=3,"Medium","Low"))</f>
        <v>Low</v>
      </c>
    </row>
    <row r="3246" customFormat="false" ht="15" hidden="false" customHeight="true" outlineLevel="0" collapsed="false">
      <c r="A3246" s="2" t="n">
        <f aca="false">'Raw Data'!H3246</f>
        <v>3245</v>
      </c>
      <c r="B3246" s="2" t="n">
        <f aca="false">'Raw Data'!A3246</f>
        <v>33</v>
      </c>
      <c r="C3246" s="2" t="str">
        <f aca="false">'Raw Data'!D3246</f>
        <v>Research &amp; Development</v>
      </c>
      <c r="D3246" s="2" t="str">
        <f aca="false">'Raw Data'!K3246</f>
        <v>Laboratory Technician</v>
      </c>
      <c r="E3246" s="2" t="n">
        <f aca="false">'Raw Data'!Q3246</f>
        <v>10</v>
      </c>
      <c r="F3246" s="2" t="n">
        <f aca="false">'Raw Data'!U3246</f>
        <v>8</v>
      </c>
      <c r="G3246" s="2" t="n">
        <f aca="false">'Raw Data'!W3246</f>
        <v>4</v>
      </c>
      <c r="H3246" s="2" t="n">
        <f aca="false">'Raw Data'!V3246</f>
        <v>4</v>
      </c>
      <c r="I3246" s="2" t="n">
        <f aca="false">IF(AND(ISNUMBER(B3246),B3246&lt;=25),2,0)+IF(AND(ISNUMBER(E3246),E3246&lt;=5),2,0)+IF(AND(ISNUMBER(F3246),F3246&lt;=1),2,0)+IF(AND(ISNUMBER(G3246),G3246&lt;=2),1,0)+IF(AND(ISNUMBER(H3246),H3246&lt;=2),1,0)</f>
        <v>0</v>
      </c>
      <c r="J3246" s="2" t="str">
        <f aca="false">IF(I3246&gt;=6,"High",IF(I3246&gt;=3,"Medium","Low"))</f>
        <v>Low</v>
      </c>
    </row>
    <row r="3247" customFormat="false" ht="15" hidden="false" customHeight="true" outlineLevel="0" collapsed="false">
      <c r="A3247" s="2" t="n">
        <f aca="false">'Raw Data'!H3247</f>
        <v>3246</v>
      </c>
      <c r="B3247" s="2" t="n">
        <f aca="false">'Raw Data'!A3247</f>
        <v>25</v>
      </c>
      <c r="C3247" s="2" t="str">
        <f aca="false">'Raw Data'!D3247</f>
        <v>Research &amp; Development</v>
      </c>
      <c r="D3247" s="2" t="str">
        <f aca="false">'Raw Data'!K3247</f>
        <v>Research Scientist</v>
      </c>
      <c r="E3247" s="2" t="n">
        <f aca="false">'Raw Data'!Q3247</f>
        <v>6</v>
      </c>
      <c r="F3247" s="2" t="n">
        <f aca="false">'Raw Data'!U3247</f>
        <v>4</v>
      </c>
      <c r="G3247" s="2" t="n">
        <f aca="false">'Raw Data'!W3247</f>
        <v>4</v>
      </c>
      <c r="H3247" s="2" t="n">
        <f aca="false">'Raw Data'!V3247</f>
        <v>3</v>
      </c>
      <c r="I3247" s="2" t="n">
        <f aca="false">IF(AND(ISNUMBER(B3247),B3247&lt;=25),2,0)+IF(AND(ISNUMBER(E3247),E3247&lt;=5),2,0)+IF(AND(ISNUMBER(F3247),F3247&lt;=1),2,0)+IF(AND(ISNUMBER(G3247),G3247&lt;=2),1,0)+IF(AND(ISNUMBER(H3247),H3247&lt;=2),1,0)</f>
        <v>2</v>
      </c>
      <c r="J3247" s="2" t="str">
        <f aca="false">IF(I3247&gt;=6,"High",IF(I3247&gt;=3,"Medium","Low"))</f>
        <v>Low</v>
      </c>
    </row>
    <row r="3248" customFormat="false" ht="15" hidden="false" customHeight="true" outlineLevel="0" collapsed="false">
      <c r="A3248" s="2" t="n">
        <f aca="false">'Raw Data'!H3248</f>
        <v>3247</v>
      </c>
      <c r="B3248" s="2" t="n">
        <f aca="false">'Raw Data'!A3248</f>
        <v>45</v>
      </c>
      <c r="C3248" s="2" t="str">
        <f aca="false">'Raw Data'!D3248</f>
        <v>Sales</v>
      </c>
      <c r="D3248" s="2" t="str">
        <f aca="false">'Raw Data'!K3248</f>
        <v>Healthcare Representative</v>
      </c>
      <c r="E3248" s="2" t="n">
        <f aca="false">'Raw Data'!Q3248</f>
        <v>9</v>
      </c>
      <c r="F3248" s="2" t="n">
        <f aca="false">'Raw Data'!U3248</f>
        <v>1</v>
      </c>
      <c r="G3248" s="2" t="n">
        <f aca="false">'Raw Data'!W3248</f>
        <v>3</v>
      </c>
      <c r="H3248" s="2" t="n">
        <f aca="false">'Raw Data'!V3248</f>
        <v>2</v>
      </c>
      <c r="I3248" s="2" t="n">
        <f aca="false">IF(AND(ISNUMBER(B3248),B3248&lt;=25),2,0)+IF(AND(ISNUMBER(E3248),E3248&lt;=5),2,0)+IF(AND(ISNUMBER(F3248),F3248&lt;=1),2,0)+IF(AND(ISNUMBER(G3248),G3248&lt;=2),1,0)+IF(AND(ISNUMBER(H3248),H3248&lt;=2),1,0)</f>
        <v>3</v>
      </c>
      <c r="J3248" s="2" t="str">
        <f aca="false">IF(I3248&gt;=6,"High",IF(I3248&gt;=3,"Medium","Low"))</f>
        <v>Medium</v>
      </c>
    </row>
    <row r="3249" customFormat="false" ht="15" hidden="false" customHeight="true" outlineLevel="0" collapsed="false">
      <c r="A3249" s="2" t="n">
        <f aca="false">'Raw Data'!H3249</f>
        <v>3248</v>
      </c>
      <c r="B3249" s="2" t="n">
        <f aca="false">'Raw Data'!A3249</f>
        <v>23</v>
      </c>
      <c r="C3249" s="2" t="str">
        <f aca="false">'Raw Data'!D3249</f>
        <v>Research &amp; Development</v>
      </c>
      <c r="D3249" s="2" t="str">
        <f aca="false">'Raw Data'!K3249</f>
        <v>Research Scientist</v>
      </c>
      <c r="E3249" s="2" t="n">
        <f aca="false">'Raw Data'!Q3249</f>
        <v>2</v>
      </c>
      <c r="F3249" s="2" t="n">
        <f aca="false">'Raw Data'!U3249</f>
        <v>2</v>
      </c>
      <c r="G3249" s="2" t="n">
        <f aca="false">'Raw Data'!W3249</f>
        <v>3</v>
      </c>
      <c r="H3249" s="2" t="n">
        <f aca="false">'Raw Data'!V3249</f>
        <v>1</v>
      </c>
      <c r="I3249" s="2" t="n">
        <f aca="false">IF(AND(ISNUMBER(B3249),B3249&lt;=25),2,0)+IF(AND(ISNUMBER(E3249),E3249&lt;=5),2,0)+IF(AND(ISNUMBER(F3249),F3249&lt;=1),2,0)+IF(AND(ISNUMBER(G3249),G3249&lt;=2),1,0)+IF(AND(ISNUMBER(H3249),H3249&lt;=2),1,0)</f>
        <v>5</v>
      </c>
      <c r="J3249" s="2" t="str">
        <f aca="false">IF(I3249&gt;=6,"High",IF(I3249&gt;=3,"Medium","Low"))</f>
        <v>Medium</v>
      </c>
    </row>
    <row r="3250" customFormat="false" ht="15" hidden="false" customHeight="true" outlineLevel="0" collapsed="false">
      <c r="A3250" s="2" t="n">
        <f aca="false">'Raw Data'!H3250</f>
        <v>3249</v>
      </c>
      <c r="B3250" s="2" t="n">
        <f aca="false">'Raw Data'!A3250</f>
        <v>47</v>
      </c>
      <c r="C3250" s="2" t="str">
        <f aca="false">'Raw Data'!D3250</f>
        <v>Research &amp; Development</v>
      </c>
      <c r="D3250" s="2" t="str">
        <f aca="false">'Raw Data'!K3250</f>
        <v>Research Director</v>
      </c>
      <c r="E3250" s="2" t="n">
        <f aca="false">'Raw Data'!Q3250</f>
        <v>8</v>
      </c>
      <c r="F3250" s="2" t="n">
        <f aca="false">'Raw Data'!U3250</f>
        <v>3</v>
      </c>
      <c r="G3250" s="2" t="n">
        <f aca="false">'Raw Data'!W3250</f>
        <v>3</v>
      </c>
      <c r="H3250" s="2" t="n">
        <f aca="false">'Raw Data'!V3250</f>
        <v>2</v>
      </c>
      <c r="I3250" s="2" t="n">
        <f aca="false">IF(AND(ISNUMBER(B3250),B3250&lt;=25),2,0)+IF(AND(ISNUMBER(E3250),E3250&lt;=5),2,0)+IF(AND(ISNUMBER(F3250),F3250&lt;=1),2,0)+IF(AND(ISNUMBER(G3250),G3250&lt;=2),1,0)+IF(AND(ISNUMBER(H3250),H3250&lt;=2),1,0)</f>
        <v>1</v>
      </c>
      <c r="J3250" s="2" t="str">
        <f aca="false">IF(I3250&gt;=6,"High",IF(I3250&gt;=3,"Medium","Low"))</f>
        <v>Low</v>
      </c>
    </row>
    <row r="3251" customFormat="false" ht="15" hidden="false" customHeight="true" outlineLevel="0" collapsed="false">
      <c r="A3251" s="2" t="n">
        <f aca="false">'Raw Data'!H3251</f>
        <v>3250</v>
      </c>
      <c r="B3251" s="2" t="n">
        <f aca="false">'Raw Data'!A3251</f>
        <v>34</v>
      </c>
      <c r="C3251" s="2" t="str">
        <f aca="false">'Raw Data'!D3251</f>
        <v>Research &amp; Development</v>
      </c>
      <c r="D3251" s="2" t="str">
        <f aca="false">'Raw Data'!K3251</f>
        <v>Research Scientist</v>
      </c>
      <c r="E3251" s="2" t="n">
        <f aca="false">'Raw Data'!Q3251</f>
        <v>6</v>
      </c>
      <c r="F3251" s="2" t="n">
        <f aca="false">'Raw Data'!U3251</f>
        <v>4</v>
      </c>
      <c r="G3251" s="2" t="n">
        <f aca="false">'Raw Data'!W3251</f>
        <v>4</v>
      </c>
      <c r="H3251" s="2" t="n">
        <f aca="false">'Raw Data'!V3251</f>
        <v>4</v>
      </c>
      <c r="I3251" s="2" t="n">
        <f aca="false">IF(AND(ISNUMBER(B3251),B3251&lt;=25),2,0)+IF(AND(ISNUMBER(E3251),E3251&lt;=5),2,0)+IF(AND(ISNUMBER(F3251),F3251&lt;=1),2,0)+IF(AND(ISNUMBER(G3251),G3251&lt;=2),1,0)+IF(AND(ISNUMBER(H3251),H3251&lt;=2),1,0)</f>
        <v>0</v>
      </c>
      <c r="J3251" s="2" t="str">
        <f aca="false">IF(I3251&gt;=6,"High",IF(I3251&gt;=3,"Medium","Low"))</f>
        <v>Low</v>
      </c>
    </row>
    <row r="3252" customFormat="false" ht="15" hidden="false" customHeight="true" outlineLevel="0" collapsed="false">
      <c r="A3252" s="2" t="n">
        <f aca="false">'Raw Data'!H3252</f>
        <v>3251</v>
      </c>
      <c r="B3252" s="2" t="n">
        <f aca="false">'Raw Data'!A3252</f>
        <v>55</v>
      </c>
      <c r="C3252" s="2" t="str">
        <f aca="false">'Raw Data'!D3252</f>
        <v>Human Resources</v>
      </c>
      <c r="D3252" s="2" t="str">
        <f aca="false">'Raw Data'!K3252</f>
        <v>Laboratory Technician</v>
      </c>
      <c r="E3252" s="2" t="n">
        <f aca="false">'Raw Data'!Q3252</f>
        <v>24</v>
      </c>
      <c r="F3252" s="2" t="n">
        <f aca="false">'Raw Data'!U3252</f>
        <v>4</v>
      </c>
      <c r="G3252" s="2" t="n">
        <f aca="false">'Raw Data'!W3252</f>
        <v>1</v>
      </c>
      <c r="H3252" s="2" t="n">
        <f aca="false">'Raw Data'!V3252</f>
        <v>4</v>
      </c>
      <c r="I3252" s="2" t="n">
        <f aca="false">IF(AND(ISNUMBER(B3252),B3252&lt;=25),2,0)+IF(AND(ISNUMBER(E3252),E3252&lt;=5),2,0)+IF(AND(ISNUMBER(F3252),F3252&lt;=1),2,0)+IF(AND(ISNUMBER(G3252),G3252&lt;=2),1,0)+IF(AND(ISNUMBER(H3252),H3252&lt;=2),1,0)</f>
        <v>1</v>
      </c>
      <c r="J3252" s="2" t="str">
        <f aca="false">IF(I3252&gt;=6,"High",IF(I3252&gt;=3,"Medium","Low"))</f>
        <v>Low</v>
      </c>
    </row>
    <row r="3253" customFormat="false" ht="15" hidden="false" customHeight="true" outlineLevel="0" collapsed="false">
      <c r="A3253" s="2" t="n">
        <f aca="false">'Raw Data'!H3253</f>
        <v>3252</v>
      </c>
      <c r="B3253" s="2" t="n">
        <f aca="false">'Raw Data'!A3253</f>
        <v>36</v>
      </c>
      <c r="C3253" s="2" t="str">
        <f aca="false">'Raw Data'!D3253</f>
        <v>Research &amp; Development</v>
      </c>
      <c r="D3253" s="2" t="str">
        <f aca="false">'Raw Data'!K3253</f>
        <v>Sales Executive</v>
      </c>
      <c r="E3253" s="2" t="n">
        <f aca="false">'Raw Data'!Q3253</f>
        <v>10</v>
      </c>
      <c r="F3253" s="2" t="n">
        <f aca="false">'Raw Data'!U3253</f>
        <v>9</v>
      </c>
      <c r="G3253" s="2" t="n">
        <f aca="false">'Raw Data'!W3253</f>
        <v>1</v>
      </c>
      <c r="H3253" s="2" t="n">
        <f aca="false">'Raw Data'!V3253</f>
        <v>1</v>
      </c>
      <c r="I3253" s="2" t="n">
        <f aca="false">IF(AND(ISNUMBER(B3253),B3253&lt;=25),2,0)+IF(AND(ISNUMBER(E3253),E3253&lt;=5),2,0)+IF(AND(ISNUMBER(F3253),F3253&lt;=1),2,0)+IF(AND(ISNUMBER(G3253),G3253&lt;=2),1,0)+IF(AND(ISNUMBER(H3253),H3253&lt;=2),1,0)</f>
        <v>2</v>
      </c>
      <c r="J3253" s="2" t="str">
        <f aca="false">IF(I3253&gt;=6,"High",IF(I3253&gt;=3,"Medium","Low"))</f>
        <v>Low</v>
      </c>
    </row>
    <row r="3254" customFormat="false" ht="15" hidden="false" customHeight="true" outlineLevel="0" collapsed="false">
      <c r="A3254" s="2" t="n">
        <f aca="false">'Raw Data'!H3254</f>
        <v>3253</v>
      </c>
      <c r="B3254" s="2" t="n">
        <f aca="false">'Raw Data'!A3254</f>
        <v>52</v>
      </c>
      <c r="C3254" s="2" t="str">
        <f aca="false">'Raw Data'!D3254</f>
        <v>Research &amp; Development</v>
      </c>
      <c r="D3254" s="2" t="str">
        <f aca="false">'Raw Data'!K3254</f>
        <v>Sales Executive</v>
      </c>
      <c r="E3254" s="2" t="n">
        <f aca="false">'Raw Data'!Q3254</f>
        <v>5</v>
      </c>
      <c r="F3254" s="2" t="n">
        <f aca="false">'Raw Data'!U3254</f>
        <v>2</v>
      </c>
      <c r="G3254" s="2" t="n">
        <f aca="false">'Raw Data'!W3254</f>
        <v>4</v>
      </c>
      <c r="H3254" s="2" t="n">
        <f aca="false">'Raw Data'!V3254</f>
        <v>4</v>
      </c>
      <c r="I3254" s="2" t="n">
        <f aca="false">IF(AND(ISNUMBER(B3254),B3254&lt;=25),2,0)+IF(AND(ISNUMBER(E3254),E3254&lt;=5),2,0)+IF(AND(ISNUMBER(F3254),F3254&lt;=1),2,0)+IF(AND(ISNUMBER(G3254),G3254&lt;=2),1,0)+IF(AND(ISNUMBER(H3254),H3254&lt;=2),1,0)</f>
        <v>2</v>
      </c>
      <c r="J3254" s="2" t="str">
        <f aca="false">IF(I3254&gt;=6,"High",IF(I3254&gt;=3,"Medium","Low"))</f>
        <v>Low</v>
      </c>
    </row>
    <row r="3255" customFormat="false" ht="15" hidden="false" customHeight="true" outlineLevel="0" collapsed="false">
      <c r="A3255" s="2" t="n">
        <f aca="false">'Raw Data'!H3255</f>
        <v>3254</v>
      </c>
      <c r="B3255" s="2" t="n">
        <f aca="false">'Raw Data'!A3255</f>
        <v>26</v>
      </c>
      <c r="C3255" s="2" t="str">
        <f aca="false">'Raw Data'!D3255</f>
        <v>Research &amp; Development</v>
      </c>
      <c r="D3255" s="2" t="str">
        <f aca="false">'Raw Data'!K3255</f>
        <v>Manufacturing Director</v>
      </c>
      <c r="E3255" s="2" t="n">
        <f aca="false">'Raw Data'!Q3255</f>
        <v>5</v>
      </c>
      <c r="F3255" s="2" t="n">
        <f aca="false">'Raw Data'!U3255</f>
        <v>0</v>
      </c>
      <c r="G3255" s="2" t="n">
        <f aca="false">'Raw Data'!W3255</f>
        <v>4</v>
      </c>
      <c r="H3255" s="2" t="n">
        <f aca="false">'Raw Data'!V3255</f>
        <v>1</v>
      </c>
      <c r="I3255" s="2" t="n">
        <f aca="false">IF(AND(ISNUMBER(B3255),B3255&lt;=25),2,0)+IF(AND(ISNUMBER(E3255),E3255&lt;=5),2,0)+IF(AND(ISNUMBER(F3255),F3255&lt;=1),2,0)+IF(AND(ISNUMBER(G3255),G3255&lt;=2),1,0)+IF(AND(ISNUMBER(H3255),H3255&lt;=2),1,0)</f>
        <v>5</v>
      </c>
      <c r="J3255" s="2" t="str">
        <f aca="false">IF(I3255&gt;=6,"High",IF(I3255&gt;=3,"Medium","Low"))</f>
        <v>Medium</v>
      </c>
    </row>
    <row r="3256" customFormat="false" ht="15" hidden="false" customHeight="true" outlineLevel="0" collapsed="false">
      <c r="A3256" s="2" t="n">
        <f aca="false">'Raw Data'!H3256</f>
        <v>3255</v>
      </c>
      <c r="B3256" s="2" t="n">
        <f aca="false">'Raw Data'!A3256</f>
        <v>29</v>
      </c>
      <c r="C3256" s="2" t="str">
        <f aca="false">'Raw Data'!D3256</f>
        <v>Research &amp; Development</v>
      </c>
      <c r="D3256" s="2" t="str">
        <f aca="false">'Raw Data'!K3256</f>
        <v>Manufacturing Director</v>
      </c>
      <c r="E3256" s="2" t="n">
        <f aca="false">'Raw Data'!Q3256</f>
        <v>11</v>
      </c>
      <c r="F3256" s="2" t="n">
        <f aca="false">'Raw Data'!U3256</f>
        <v>1</v>
      </c>
      <c r="G3256" s="2" t="n">
        <f aca="false">'Raw Data'!W3256</f>
        <v>3</v>
      </c>
      <c r="H3256" s="2" t="n">
        <f aca="false">'Raw Data'!V3256</f>
        <v>2</v>
      </c>
      <c r="I3256" s="2" t="n">
        <f aca="false">IF(AND(ISNUMBER(B3256),B3256&lt;=25),2,0)+IF(AND(ISNUMBER(E3256),E3256&lt;=5),2,0)+IF(AND(ISNUMBER(F3256),F3256&lt;=1),2,0)+IF(AND(ISNUMBER(G3256),G3256&lt;=2),1,0)+IF(AND(ISNUMBER(H3256),H3256&lt;=2),1,0)</f>
        <v>3</v>
      </c>
      <c r="J3256" s="2" t="str">
        <f aca="false">IF(I3256&gt;=6,"High",IF(I3256&gt;=3,"Medium","Low"))</f>
        <v>Medium</v>
      </c>
    </row>
    <row r="3257" customFormat="false" ht="15" hidden="false" customHeight="true" outlineLevel="0" collapsed="false">
      <c r="A3257" s="2" t="n">
        <f aca="false">'Raw Data'!H3257</f>
        <v>3256</v>
      </c>
      <c r="B3257" s="2" t="n">
        <f aca="false">'Raw Data'!A3257</f>
        <v>26</v>
      </c>
      <c r="C3257" s="2" t="str">
        <f aca="false">'Raw Data'!D3257</f>
        <v>Research &amp; Development</v>
      </c>
      <c r="D3257" s="2" t="str">
        <f aca="false">'Raw Data'!K3257</f>
        <v>Laboratory Technician</v>
      </c>
      <c r="E3257" s="2" t="n">
        <f aca="false">'Raw Data'!Q3257</f>
        <v>6</v>
      </c>
      <c r="F3257" s="2" t="n">
        <f aca="false">'Raw Data'!U3257</f>
        <v>2</v>
      </c>
      <c r="G3257" s="2" t="n">
        <f aca="false">'Raw Data'!W3257</f>
        <v>1</v>
      </c>
      <c r="H3257" s="2" t="n">
        <f aca="false">'Raw Data'!V3257</f>
        <v>4</v>
      </c>
      <c r="I3257" s="2" t="n">
        <f aca="false">IF(AND(ISNUMBER(B3257),B3257&lt;=25),2,0)+IF(AND(ISNUMBER(E3257),E3257&lt;=5),2,0)+IF(AND(ISNUMBER(F3257),F3257&lt;=1),2,0)+IF(AND(ISNUMBER(G3257),G3257&lt;=2),1,0)+IF(AND(ISNUMBER(H3257),H3257&lt;=2),1,0)</f>
        <v>1</v>
      </c>
      <c r="J3257" s="2" t="str">
        <f aca="false">IF(I3257&gt;=6,"High",IF(I3257&gt;=3,"Medium","Low"))</f>
        <v>Low</v>
      </c>
    </row>
    <row r="3258" customFormat="false" ht="15" hidden="false" customHeight="true" outlineLevel="0" collapsed="false">
      <c r="A3258" s="2" t="n">
        <f aca="false">'Raw Data'!H3258</f>
        <v>3257</v>
      </c>
      <c r="B3258" s="2" t="n">
        <f aca="false">'Raw Data'!A3258</f>
        <v>34</v>
      </c>
      <c r="C3258" s="2" t="str">
        <f aca="false">'Raw Data'!D3258</f>
        <v>Research &amp; Development</v>
      </c>
      <c r="D3258" s="2" t="str">
        <f aca="false">'Raw Data'!K3258</f>
        <v>Manufacturing Director</v>
      </c>
      <c r="E3258" s="2" t="n">
        <f aca="false">'Raw Data'!Q3258</f>
        <v>10</v>
      </c>
      <c r="F3258" s="2" t="n">
        <f aca="false">'Raw Data'!U3258</f>
        <v>3</v>
      </c>
      <c r="G3258" s="2" t="n">
        <f aca="false">'Raw Data'!W3258</f>
        <v>4</v>
      </c>
      <c r="H3258" s="2" t="n">
        <f aca="false">'Raw Data'!V3258</f>
        <v>2</v>
      </c>
      <c r="I3258" s="2" t="n">
        <f aca="false">IF(AND(ISNUMBER(B3258),B3258&lt;=25),2,0)+IF(AND(ISNUMBER(E3258),E3258&lt;=5),2,0)+IF(AND(ISNUMBER(F3258),F3258&lt;=1),2,0)+IF(AND(ISNUMBER(G3258),G3258&lt;=2),1,0)+IF(AND(ISNUMBER(H3258),H3258&lt;=2),1,0)</f>
        <v>1</v>
      </c>
      <c r="J3258" s="2" t="str">
        <f aca="false">IF(I3258&gt;=6,"High",IF(I3258&gt;=3,"Medium","Low"))</f>
        <v>Low</v>
      </c>
    </row>
    <row r="3259" customFormat="false" ht="15" hidden="false" customHeight="true" outlineLevel="0" collapsed="false">
      <c r="A3259" s="2" t="n">
        <f aca="false">'Raw Data'!H3259</f>
        <v>3258</v>
      </c>
      <c r="B3259" s="2" t="n">
        <f aca="false">'Raw Data'!A3259</f>
        <v>54</v>
      </c>
      <c r="C3259" s="2" t="str">
        <f aca="false">'Raw Data'!D3259</f>
        <v>Research &amp; Development</v>
      </c>
      <c r="D3259" s="2" t="str">
        <f aca="false">'Raw Data'!K3259</f>
        <v>Laboratory Technician</v>
      </c>
      <c r="E3259" s="2" t="n">
        <f aca="false">'Raw Data'!Q3259</f>
        <v>9</v>
      </c>
      <c r="F3259" s="2" t="n">
        <f aca="false">'Raw Data'!U3259</f>
        <v>4</v>
      </c>
      <c r="G3259" s="2" t="n">
        <f aca="false">'Raw Data'!W3259</f>
        <v>1</v>
      </c>
      <c r="H3259" s="2" t="n">
        <f aca="false">'Raw Data'!V3259</f>
        <v>4</v>
      </c>
      <c r="I3259" s="2" t="n">
        <f aca="false">IF(AND(ISNUMBER(B3259),B3259&lt;=25),2,0)+IF(AND(ISNUMBER(E3259),E3259&lt;=5),2,0)+IF(AND(ISNUMBER(F3259),F3259&lt;=1),2,0)+IF(AND(ISNUMBER(G3259),G3259&lt;=2),1,0)+IF(AND(ISNUMBER(H3259),H3259&lt;=2),1,0)</f>
        <v>1</v>
      </c>
      <c r="J3259" s="2" t="str">
        <f aca="false">IF(I3259&gt;=6,"High",IF(I3259&gt;=3,"Medium","Low"))</f>
        <v>Low</v>
      </c>
    </row>
    <row r="3260" customFormat="false" ht="15" hidden="false" customHeight="true" outlineLevel="0" collapsed="false">
      <c r="A3260" s="2" t="n">
        <f aca="false">'Raw Data'!H3260</f>
        <v>3259</v>
      </c>
      <c r="B3260" s="2" t="n">
        <f aca="false">'Raw Data'!A3260</f>
        <v>27</v>
      </c>
      <c r="C3260" s="2" t="str">
        <f aca="false">'Raw Data'!D3260</f>
        <v>Research &amp; Development</v>
      </c>
      <c r="D3260" s="2" t="str">
        <f aca="false">'Raw Data'!K3260</f>
        <v>Research Scientist</v>
      </c>
      <c r="E3260" s="2" t="n">
        <f aca="false">'Raw Data'!Q3260</f>
        <v>5</v>
      </c>
      <c r="F3260" s="2" t="n">
        <f aca="false">'Raw Data'!U3260</f>
        <v>1</v>
      </c>
      <c r="G3260" s="2" t="n">
        <f aca="false">'Raw Data'!W3260</f>
        <v>4</v>
      </c>
      <c r="H3260" s="2" t="n">
        <f aca="false">'Raw Data'!V3260</f>
        <v>3</v>
      </c>
      <c r="I3260" s="2" t="n">
        <f aca="false">IF(AND(ISNUMBER(B3260),B3260&lt;=25),2,0)+IF(AND(ISNUMBER(E3260),E3260&lt;=5),2,0)+IF(AND(ISNUMBER(F3260),F3260&lt;=1),2,0)+IF(AND(ISNUMBER(G3260),G3260&lt;=2),1,0)+IF(AND(ISNUMBER(H3260),H3260&lt;=2),1,0)</f>
        <v>4</v>
      </c>
      <c r="J3260" s="2" t="str">
        <f aca="false">IF(I3260&gt;=6,"High",IF(I3260&gt;=3,"Medium","Low"))</f>
        <v>Medium</v>
      </c>
    </row>
    <row r="3261" customFormat="false" ht="15" hidden="false" customHeight="true" outlineLevel="0" collapsed="false">
      <c r="A3261" s="2" t="n">
        <f aca="false">'Raw Data'!H3261</f>
        <v>3260</v>
      </c>
      <c r="B3261" s="2" t="n">
        <f aca="false">'Raw Data'!A3261</f>
        <v>37</v>
      </c>
      <c r="C3261" s="2" t="str">
        <f aca="false">'Raw Data'!D3261</f>
        <v>Sales</v>
      </c>
      <c r="D3261" s="2" t="str">
        <f aca="false">'Raw Data'!K3261</f>
        <v>Manufacturing Director</v>
      </c>
      <c r="E3261" s="2" t="n">
        <f aca="false">'Raw Data'!Q3261</f>
        <v>6</v>
      </c>
      <c r="F3261" s="2" t="n">
        <f aca="false">'Raw Data'!U3261</f>
        <v>3</v>
      </c>
      <c r="G3261" s="2" t="n">
        <f aca="false">'Raw Data'!W3261</f>
        <v>1</v>
      </c>
      <c r="H3261" s="2" t="n">
        <f aca="false">'Raw Data'!V3261</f>
        <v>4</v>
      </c>
      <c r="I3261" s="2" t="n">
        <f aca="false">IF(AND(ISNUMBER(B3261),B3261&lt;=25),2,0)+IF(AND(ISNUMBER(E3261),E3261&lt;=5),2,0)+IF(AND(ISNUMBER(F3261),F3261&lt;=1),2,0)+IF(AND(ISNUMBER(G3261),G3261&lt;=2),1,0)+IF(AND(ISNUMBER(H3261),H3261&lt;=2),1,0)</f>
        <v>1</v>
      </c>
      <c r="J3261" s="2" t="str">
        <f aca="false">IF(I3261&gt;=6,"High",IF(I3261&gt;=3,"Medium","Low"))</f>
        <v>Low</v>
      </c>
    </row>
    <row r="3262" customFormat="false" ht="15" hidden="false" customHeight="true" outlineLevel="0" collapsed="false">
      <c r="A3262" s="2" t="n">
        <f aca="false">'Raw Data'!H3262</f>
        <v>3261</v>
      </c>
      <c r="B3262" s="2" t="n">
        <f aca="false">'Raw Data'!A3262</f>
        <v>38</v>
      </c>
      <c r="C3262" s="2" t="str">
        <f aca="false">'Raw Data'!D3262</f>
        <v>Sales</v>
      </c>
      <c r="D3262" s="2" t="str">
        <f aca="false">'Raw Data'!K3262</f>
        <v>Research Scientist</v>
      </c>
      <c r="E3262" s="2" t="n">
        <f aca="false">'Raw Data'!Q3262</f>
        <v>17</v>
      </c>
      <c r="F3262" s="2" t="n">
        <f aca="false">'Raw Data'!U3262</f>
        <v>12</v>
      </c>
      <c r="G3262" s="2" t="n">
        <f aca="false">'Raw Data'!W3262</f>
        <v>1</v>
      </c>
      <c r="H3262" s="2" t="n">
        <f aca="false">'Raw Data'!V3262</f>
        <v>1</v>
      </c>
      <c r="I3262" s="2" t="n">
        <f aca="false">IF(AND(ISNUMBER(B3262),B3262&lt;=25),2,0)+IF(AND(ISNUMBER(E3262),E3262&lt;=5),2,0)+IF(AND(ISNUMBER(F3262),F3262&lt;=1),2,0)+IF(AND(ISNUMBER(G3262),G3262&lt;=2),1,0)+IF(AND(ISNUMBER(H3262),H3262&lt;=2),1,0)</f>
        <v>2</v>
      </c>
      <c r="J3262" s="2" t="str">
        <f aca="false">IF(I3262&gt;=6,"High",IF(I3262&gt;=3,"Medium","Low"))</f>
        <v>Low</v>
      </c>
    </row>
    <row r="3263" customFormat="false" ht="15" hidden="false" customHeight="true" outlineLevel="0" collapsed="false">
      <c r="A3263" s="2" t="n">
        <f aca="false">'Raw Data'!H3263</f>
        <v>3262</v>
      </c>
      <c r="B3263" s="2" t="n">
        <f aca="false">'Raw Data'!A3263</f>
        <v>34</v>
      </c>
      <c r="C3263" s="2" t="str">
        <f aca="false">'Raw Data'!D3263</f>
        <v>Sales</v>
      </c>
      <c r="D3263" s="2" t="str">
        <f aca="false">'Raw Data'!K3263</f>
        <v>Sales Representative</v>
      </c>
      <c r="E3263" s="2" t="n">
        <f aca="false">'Raw Data'!Q3263</f>
        <v>6</v>
      </c>
      <c r="F3263" s="2" t="n">
        <f aca="false">'Raw Data'!U3263</f>
        <v>3</v>
      </c>
      <c r="G3263" s="2" t="n">
        <f aca="false">'Raw Data'!W3263</f>
        <v>1</v>
      </c>
      <c r="H3263" s="2" t="n">
        <f aca="false">'Raw Data'!V3263</f>
        <v>0</v>
      </c>
      <c r="I3263" s="2" t="n">
        <f aca="false">IF(AND(ISNUMBER(B3263),B3263&lt;=25),2,0)+IF(AND(ISNUMBER(E3263),E3263&lt;=5),2,0)+IF(AND(ISNUMBER(F3263),F3263&lt;=1),2,0)+IF(AND(ISNUMBER(G3263),G3263&lt;=2),1,0)+IF(AND(ISNUMBER(H3263),H3263&lt;=2),1,0)</f>
        <v>1</v>
      </c>
      <c r="J3263" s="2" t="str">
        <f aca="false">IF(I3263&gt;=6,"High",IF(I3263&gt;=3,"Medium","Low"))</f>
        <v>Low</v>
      </c>
    </row>
    <row r="3264" customFormat="false" ht="15" hidden="false" customHeight="true" outlineLevel="0" collapsed="false">
      <c r="A3264" s="2" t="n">
        <f aca="false">'Raw Data'!H3264</f>
        <v>3263</v>
      </c>
      <c r="B3264" s="2" t="n">
        <f aca="false">'Raw Data'!A3264</f>
        <v>35</v>
      </c>
      <c r="C3264" s="2" t="str">
        <f aca="false">'Raw Data'!D3264</f>
        <v>Research &amp; Development</v>
      </c>
      <c r="D3264" s="2" t="str">
        <f aca="false">'Raw Data'!K3264</f>
        <v>Manager</v>
      </c>
      <c r="E3264" s="2" t="n">
        <f aca="false">'Raw Data'!Q3264</f>
        <v>3</v>
      </c>
      <c r="F3264" s="2" t="n">
        <f aca="false">'Raw Data'!U3264</f>
        <v>2</v>
      </c>
      <c r="G3264" s="2" t="n">
        <f aca="false">'Raw Data'!W3264</f>
        <v>4</v>
      </c>
      <c r="H3264" s="2" t="n">
        <f aca="false">'Raw Data'!V3264</f>
        <v>1</v>
      </c>
      <c r="I3264" s="2" t="n">
        <f aca="false">IF(AND(ISNUMBER(B3264),B3264&lt;=25),2,0)+IF(AND(ISNUMBER(E3264),E3264&lt;=5),2,0)+IF(AND(ISNUMBER(F3264),F3264&lt;=1),2,0)+IF(AND(ISNUMBER(G3264),G3264&lt;=2),1,0)+IF(AND(ISNUMBER(H3264),H3264&lt;=2),1,0)</f>
        <v>3</v>
      </c>
      <c r="J3264" s="2" t="str">
        <f aca="false">IF(I3264&gt;=6,"High",IF(I3264&gt;=3,"Medium","Low"))</f>
        <v>Medium</v>
      </c>
    </row>
    <row r="3265" customFormat="false" ht="15" hidden="false" customHeight="true" outlineLevel="0" collapsed="false">
      <c r="A3265" s="2" t="n">
        <f aca="false">'Raw Data'!H3265</f>
        <v>3264</v>
      </c>
      <c r="B3265" s="2" t="n">
        <f aca="false">'Raw Data'!A3265</f>
        <v>30</v>
      </c>
      <c r="C3265" s="2" t="str">
        <f aca="false">'Raw Data'!D3265</f>
        <v>Research &amp; Development</v>
      </c>
      <c r="D3265" s="2" t="str">
        <f aca="false">'Raw Data'!K3265</f>
        <v>Laboratory Technician</v>
      </c>
      <c r="E3265" s="2" t="n">
        <f aca="false">'Raw Data'!Q3265</f>
        <v>7</v>
      </c>
      <c r="F3265" s="2" t="n">
        <f aca="false">'Raw Data'!U3265</f>
        <v>2</v>
      </c>
      <c r="G3265" s="2" t="n">
        <f aca="false">'Raw Data'!W3265</f>
        <v>3</v>
      </c>
      <c r="H3265" s="2" t="n">
        <f aca="false">'Raw Data'!V3265</f>
        <v>4</v>
      </c>
      <c r="I3265" s="2" t="n">
        <f aca="false">IF(AND(ISNUMBER(B3265),B3265&lt;=25),2,0)+IF(AND(ISNUMBER(E3265),E3265&lt;=5),2,0)+IF(AND(ISNUMBER(F3265),F3265&lt;=1),2,0)+IF(AND(ISNUMBER(G3265),G3265&lt;=2),1,0)+IF(AND(ISNUMBER(H3265),H3265&lt;=2),1,0)</f>
        <v>0</v>
      </c>
      <c r="J3265" s="2" t="str">
        <f aca="false">IF(I3265&gt;=6,"High",IF(I3265&gt;=3,"Medium","Low"))</f>
        <v>Low</v>
      </c>
    </row>
    <row r="3266" customFormat="false" ht="15" hidden="false" customHeight="true" outlineLevel="0" collapsed="false">
      <c r="A3266" s="2" t="n">
        <f aca="false">'Raw Data'!H3266</f>
        <v>3265</v>
      </c>
      <c r="B3266" s="2" t="n">
        <f aca="false">'Raw Data'!A3266</f>
        <v>40</v>
      </c>
      <c r="C3266" s="2" t="str">
        <f aca="false">'Raw Data'!D3266</f>
        <v>Research &amp; Development</v>
      </c>
      <c r="D3266" s="2" t="str">
        <f aca="false">'Raw Data'!K3266</f>
        <v>Manufacturing Director</v>
      </c>
      <c r="E3266" s="2" t="n">
        <f aca="false">'Raw Data'!Q3266</f>
        <v>8</v>
      </c>
      <c r="F3266" s="2" t="n">
        <f aca="false">'Raw Data'!U3266</f>
        <v>7</v>
      </c>
      <c r="G3266" s="2" t="n">
        <f aca="false">'Raw Data'!W3266</f>
        <v>2</v>
      </c>
      <c r="H3266" s="2" t="n">
        <f aca="false">'Raw Data'!V3266</f>
        <v>3</v>
      </c>
      <c r="I3266" s="2" t="n">
        <f aca="false">IF(AND(ISNUMBER(B3266),B3266&lt;=25),2,0)+IF(AND(ISNUMBER(E3266),E3266&lt;=5),2,0)+IF(AND(ISNUMBER(F3266),F3266&lt;=1),2,0)+IF(AND(ISNUMBER(G3266),G3266&lt;=2),1,0)+IF(AND(ISNUMBER(H3266),H3266&lt;=2),1,0)</f>
        <v>1</v>
      </c>
      <c r="J3266" s="2" t="str">
        <f aca="false">IF(I3266&gt;=6,"High",IF(I3266&gt;=3,"Medium","Low"))</f>
        <v>Low</v>
      </c>
    </row>
    <row r="3267" customFormat="false" ht="15" hidden="false" customHeight="true" outlineLevel="0" collapsed="false">
      <c r="A3267" s="2" t="n">
        <f aca="false">'Raw Data'!H3267</f>
        <v>3266</v>
      </c>
      <c r="B3267" s="2" t="n">
        <f aca="false">'Raw Data'!A3267</f>
        <v>34</v>
      </c>
      <c r="C3267" s="2" t="str">
        <f aca="false">'Raw Data'!D3267</f>
        <v>Research &amp; Development</v>
      </c>
      <c r="D3267" s="2" t="str">
        <f aca="false">'Raw Data'!K3267</f>
        <v>Healthcare Representative</v>
      </c>
      <c r="E3267" s="2" t="n">
        <f aca="false">'Raw Data'!Q3267</f>
        <v>6</v>
      </c>
      <c r="F3267" s="2" t="n">
        <f aca="false">'Raw Data'!U3267</f>
        <v>2</v>
      </c>
      <c r="G3267" s="2" t="n">
        <f aca="false">'Raw Data'!W3267</f>
        <v>1</v>
      </c>
      <c r="H3267" s="2" t="n">
        <f aca="false">'Raw Data'!V3267</f>
        <v>3</v>
      </c>
      <c r="I3267" s="2" t="n">
        <f aca="false">IF(AND(ISNUMBER(B3267),B3267&lt;=25),2,0)+IF(AND(ISNUMBER(E3267),E3267&lt;=5),2,0)+IF(AND(ISNUMBER(F3267),F3267&lt;=1),2,0)+IF(AND(ISNUMBER(G3267),G3267&lt;=2),1,0)+IF(AND(ISNUMBER(H3267),H3267&lt;=2),1,0)</f>
        <v>1</v>
      </c>
      <c r="J3267" s="2" t="str">
        <f aca="false">IF(I3267&gt;=6,"High",IF(I3267&gt;=3,"Medium","Low"))</f>
        <v>Low</v>
      </c>
    </row>
    <row r="3268" customFormat="false" ht="15" hidden="false" customHeight="true" outlineLevel="0" collapsed="false">
      <c r="A3268" s="2" t="n">
        <f aca="false">'Raw Data'!H3268</f>
        <v>3267</v>
      </c>
      <c r="B3268" s="2" t="n">
        <f aca="false">'Raw Data'!A3268</f>
        <v>42</v>
      </c>
      <c r="C3268" s="2" t="str">
        <f aca="false">'Raw Data'!D3268</f>
        <v>Research &amp; Development</v>
      </c>
      <c r="D3268" s="2" t="str">
        <f aca="false">'Raw Data'!K3268</f>
        <v>Manufacturing Director</v>
      </c>
      <c r="E3268" s="2" t="n">
        <f aca="false">'Raw Data'!Q3268</f>
        <v>24</v>
      </c>
      <c r="F3268" s="2" t="n">
        <f aca="false">'Raw Data'!U3268</f>
        <v>9</v>
      </c>
      <c r="G3268" s="2" t="n">
        <f aca="false">'Raw Data'!W3268</f>
        <v>4</v>
      </c>
      <c r="H3268" s="2" t="n">
        <f aca="false">'Raw Data'!V3268</f>
        <v>2</v>
      </c>
      <c r="I3268" s="2" t="n">
        <f aca="false">IF(AND(ISNUMBER(B3268),B3268&lt;=25),2,0)+IF(AND(ISNUMBER(E3268),E3268&lt;=5),2,0)+IF(AND(ISNUMBER(F3268),F3268&lt;=1),2,0)+IF(AND(ISNUMBER(G3268),G3268&lt;=2),1,0)+IF(AND(ISNUMBER(H3268),H3268&lt;=2),1,0)</f>
        <v>1</v>
      </c>
      <c r="J3268" s="2" t="str">
        <f aca="false">IF(I3268&gt;=6,"High",IF(I3268&gt;=3,"Medium","Low"))</f>
        <v>Low</v>
      </c>
    </row>
    <row r="3269" customFormat="false" ht="15" hidden="false" customHeight="true" outlineLevel="0" collapsed="false">
      <c r="A3269" s="2" t="n">
        <f aca="false">'Raw Data'!H3269</f>
        <v>3268</v>
      </c>
      <c r="B3269" s="2" t="n">
        <f aca="false">'Raw Data'!A3269</f>
        <v>23</v>
      </c>
      <c r="C3269" s="2" t="str">
        <f aca="false">'Raw Data'!D3269</f>
        <v>Sales</v>
      </c>
      <c r="D3269" s="2" t="str">
        <f aca="false">'Raw Data'!K3269</f>
        <v>Manufacturing Director</v>
      </c>
      <c r="E3269" s="2" t="n">
        <f aca="false">'Raw Data'!Q3269</f>
        <v>1</v>
      </c>
      <c r="F3269" s="2" t="n">
        <f aca="false">'Raw Data'!U3269</f>
        <v>0</v>
      </c>
      <c r="G3269" s="2" t="n">
        <f aca="false">'Raw Data'!W3269</f>
        <v>1</v>
      </c>
      <c r="H3269" s="2" t="n">
        <f aca="false">'Raw Data'!V3269</f>
        <v>3</v>
      </c>
      <c r="I3269" s="2" t="n">
        <f aca="false">IF(AND(ISNUMBER(B3269),B3269&lt;=25),2,0)+IF(AND(ISNUMBER(E3269),E3269&lt;=5),2,0)+IF(AND(ISNUMBER(F3269),F3269&lt;=1),2,0)+IF(AND(ISNUMBER(G3269),G3269&lt;=2),1,0)+IF(AND(ISNUMBER(H3269),H3269&lt;=2),1,0)</f>
        <v>7</v>
      </c>
      <c r="J3269" s="2" t="str">
        <f aca="false">IF(I3269&gt;=6,"High",IF(I3269&gt;=3,"Medium","Low"))</f>
        <v>High</v>
      </c>
    </row>
    <row r="3270" customFormat="false" ht="15" hidden="false" customHeight="true" outlineLevel="0" collapsed="false">
      <c r="A3270" s="2" t="n">
        <f aca="false">'Raw Data'!H3270</f>
        <v>3269</v>
      </c>
      <c r="B3270" s="2" t="n">
        <f aca="false">'Raw Data'!A3270</f>
        <v>24</v>
      </c>
      <c r="C3270" s="2" t="str">
        <f aca="false">'Raw Data'!D3270</f>
        <v>Sales</v>
      </c>
      <c r="D3270" s="2" t="str">
        <f aca="false">'Raw Data'!K3270</f>
        <v>Manufacturing Director</v>
      </c>
      <c r="E3270" s="2" t="n">
        <f aca="false">'Raw Data'!Q3270</f>
        <v>1</v>
      </c>
      <c r="F3270" s="2" t="n">
        <f aca="false">'Raw Data'!U3270</f>
        <v>0</v>
      </c>
      <c r="G3270" s="2" t="n">
        <f aca="false">'Raw Data'!W3270</f>
        <v>2</v>
      </c>
      <c r="H3270" s="2" t="n">
        <f aca="false">'Raw Data'!V3270</f>
        <v>3</v>
      </c>
      <c r="I3270" s="2" t="n">
        <f aca="false">IF(AND(ISNUMBER(B3270),B3270&lt;=25),2,0)+IF(AND(ISNUMBER(E3270),E3270&lt;=5),2,0)+IF(AND(ISNUMBER(F3270),F3270&lt;=1),2,0)+IF(AND(ISNUMBER(G3270),G3270&lt;=2),1,0)+IF(AND(ISNUMBER(H3270),H3270&lt;=2),1,0)</f>
        <v>7</v>
      </c>
      <c r="J3270" s="2" t="str">
        <f aca="false">IF(I3270&gt;=6,"High",IF(I3270&gt;=3,"Medium","Low"))</f>
        <v>High</v>
      </c>
    </row>
    <row r="3271" customFormat="false" ht="15" hidden="false" customHeight="true" outlineLevel="0" collapsed="false">
      <c r="A3271" s="2" t="n">
        <f aca="false">'Raw Data'!H3271</f>
        <v>3270</v>
      </c>
      <c r="B3271" s="2" t="n">
        <f aca="false">'Raw Data'!A3271</f>
        <v>52</v>
      </c>
      <c r="C3271" s="2" t="str">
        <f aca="false">'Raw Data'!D3271</f>
        <v>Research &amp; Development</v>
      </c>
      <c r="D3271" s="2" t="str">
        <f aca="false">'Raw Data'!K3271</f>
        <v>Manufacturing Director</v>
      </c>
      <c r="E3271" s="2" t="n">
        <f aca="false">'Raw Data'!Q3271</f>
        <v>9</v>
      </c>
      <c r="F3271" s="2" t="n">
        <f aca="false">'Raw Data'!U3271</f>
        <v>4</v>
      </c>
      <c r="G3271" s="2" t="n">
        <f aca="false">'Raw Data'!W3271</f>
        <v>3</v>
      </c>
      <c r="H3271" s="2" t="n">
        <f aca="false">'Raw Data'!V3271</f>
        <v>4</v>
      </c>
      <c r="I3271" s="2" t="n">
        <f aca="false">IF(AND(ISNUMBER(B3271),B3271&lt;=25),2,0)+IF(AND(ISNUMBER(E3271),E3271&lt;=5),2,0)+IF(AND(ISNUMBER(F3271),F3271&lt;=1),2,0)+IF(AND(ISNUMBER(G3271),G3271&lt;=2),1,0)+IF(AND(ISNUMBER(H3271),H3271&lt;=2),1,0)</f>
        <v>0</v>
      </c>
      <c r="J3271" s="2" t="str">
        <f aca="false">IF(I3271&gt;=6,"High",IF(I3271&gt;=3,"Medium","Low"))</f>
        <v>Low</v>
      </c>
    </row>
    <row r="3272" customFormat="false" ht="15" hidden="false" customHeight="true" outlineLevel="0" collapsed="false">
      <c r="A3272" s="2" t="n">
        <f aca="false">'Raw Data'!H3272</f>
        <v>3271</v>
      </c>
      <c r="B3272" s="2" t="n">
        <f aca="false">'Raw Data'!A3272</f>
        <v>50</v>
      </c>
      <c r="C3272" s="2" t="str">
        <f aca="false">'Raw Data'!D3272</f>
        <v>Research &amp; Development</v>
      </c>
      <c r="D3272" s="2" t="str">
        <f aca="false">'Raw Data'!K3272</f>
        <v>Sales Executive</v>
      </c>
      <c r="E3272" s="2" t="n">
        <f aca="false">'Raw Data'!Q3272</f>
        <v>30</v>
      </c>
      <c r="F3272" s="2" t="n">
        <f aca="false">'Raw Data'!U3272</f>
        <v>3</v>
      </c>
      <c r="G3272" s="2" t="n">
        <f aca="false">'Raw Data'!W3272</f>
        <v>3</v>
      </c>
      <c r="H3272" s="2" t="n">
        <f aca="false">'Raw Data'!V3272</f>
        <v>3</v>
      </c>
      <c r="I3272" s="2" t="n">
        <f aca="false">IF(AND(ISNUMBER(B3272),B3272&lt;=25),2,0)+IF(AND(ISNUMBER(E3272),E3272&lt;=5),2,0)+IF(AND(ISNUMBER(F3272),F3272&lt;=1),2,0)+IF(AND(ISNUMBER(G3272),G3272&lt;=2),1,0)+IF(AND(ISNUMBER(H3272),H3272&lt;=2),1,0)</f>
        <v>0</v>
      </c>
      <c r="J3272" s="2" t="str">
        <f aca="false">IF(I3272&gt;=6,"High",IF(I3272&gt;=3,"Medium","Low"))</f>
        <v>Low</v>
      </c>
    </row>
    <row r="3273" customFormat="false" ht="15" hidden="false" customHeight="true" outlineLevel="0" collapsed="false">
      <c r="A3273" s="2" t="n">
        <f aca="false">'Raw Data'!H3273</f>
        <v>3272</v>
      </c>
      <c r="B3273" s="2" t="n">
        <f aca="false">'Raw Data'!A3273</f>
        <v>29</v>
      </c>
      <c r="C3273" s="2" t="str">
        <f aca="false">'Raw Data'!D3273</f>
        <v>Sales</v>
      </c>
      <c r="D3273" s="2" t="str">
        <f aca="false">'Raw Data'!K3273</f>
        <v>Research Scientist</v>
      </c>
      <c r="E3273" s="2" t="n">
        <f aca="false">'Raw Data'!Q3273</f>
        <v>1</v>
      </c>
      <c r="F3273" s="2" t="n">
        <f aca="false">'Raw Data'!U3273</f>
        <v>0</v>
      </c>
      <c r="G3273" s="2" t="n">
        <f aca="false">'Raw Data'!W3273</f>
        <v>1</v>
      </c>
      <c r="H3273" s="2" t="n">
        <f aca="false">'Raw Data'!V3273</f>
        <v>2</v>
      </c>
      <c r="I3273" s="2" t="n">
        <f aca="false">IF(AND(ISNUMBER(B3273),B3273&lt;=25),2,0)+IF(AND(ISNUMBER(E3273),E3273&lt;=5),2,0)+IF(AND(ISNUMBER(F3273),F3273&lt;=1),2,0)+IF(AND(ISNUMBER(G3273),G3273&lt;=2),1,0)+IF(AND(ISNUMBER(H3273),H3273&lt;=2),1,0)</f>
        <v>6</v>
      </c>
      <c r="J3273" s="2" t="str">
        <f aca="false">IF(I3273&gt;=6,"High",IF(I3273&gt;=3,"Medium","Low"))</f>
        <v>High</v>
      </c>
    </row>
    <row r="3274" customFormat="false" ht="15" hidden="false" customHeight="true" outlineLevel="0" collapsed="false">
      <c r="A3274" s="2" t="n">
        <f aca="false">'Raw Data'!H3274</f>
        <v>3273</v>
      </c>
      <c r="B3274" s="2" t="n">
        <f aca="false">'Raw Data'!A3274</f>
        <v>33</v>
      </c>
      <c r="C3274" s="2" t="str">
        <f aca="false">'Raw Data'!D3274</f>
        <v>Research &amp; Development</v>
      </c>
      <c r="D3274" s="2" t="str">
        <f aca="false">'Raw Data'!K3274</f>
        <v>Manufacturing Director</v>
      </c>
      <c r="E3274" s="2" t="n">
        <f aca="false">'Raw Data'!Q3274</f>
        <v>14</v>
      </c>
      <c r="F3274" s="2" t="n">
        <f aca="false">'Raw Data'!U3274</f>
        <v>7</v>
      </c>
      <c r="G3274" s="2" t="n">
        <f aca="false">'Raw Data'!W3274</f>
        <v>3</v>
      </c>
      <c r="H3274" s="2" t="n">
        <f aca="false">'Raw Data'!V3274</f>
        <v>3</v>
      </c>
      <c r="I3274" s="2" t="n">
        <f aca="false">IF(AND(ISNUMBER(B3274),B3274&lt;=25),2,0)+IF(AND(ISNUMBER(E3274),E3274&lt;=5),2,0)+IF(AND(ISNUMBER(F3274),F3274&lt;=1),2,0)+IF(AND(ISNUMBER(G3274),G3274&lt;=2),1,0)+IF(AND(ISNUMBER(H3274),H3274&lt;=2),1,0)</f>
        <v>0</v>
      </c>
      <c r="J3274" s="2" t="str">
        <f aca="false">IF(I3274&gt;=6,"High",IF(I3274&gt;=3,"Medium","Low"))</f>
        <v>Low</v>
      </c>
    </row>
    <row r="3275" customFormat="false" ht="15" hidden="false" customHeight="true" outlineLevel="0" collapsed="false">
      <c r="A3275" s="2" t="n">
        <f aca="false">'Raw Data'!H3275</f>
        <v>3274</v>
      </c>
      <c r="B3275" s="2" t="n">
        <f aca="false">'Raw Data'!A3275</f>
        <v>33</v>
      </c>
      <c r="C3275" s="2" t="str">
        <f aca="false">'Raw Data'!D3275</f>
        <v>Research &amp; Development</v>
      </c>
      <c r="D3275" s="2" t="str">
        <f aca="false">'Raw Data'!K3275</f>
        <v>Human Resources</v>
      </c>
      <c r="E3275" s="2" t="n">
        <f aca="false">'Raw Data'!Q3275</f>
        <v>6</v>
      </c>
      <c r="F3275" s="2" t="n">
        <f aca="false">'Raw Data'!U3275</f>
        <v>2</v>
      </c>
      <c r="G3275" s="2" t="n">
        <f aca="false">'Raw Data'!W3275</f>
        <v>1</v>
      </c>
      <c r="H3275" s="2" t="n">
        <f aca="false">'Raw Data'!V3275</f>
        <v>1</v>
      </c>
      <c r="I3275" s="2" t="n">
        <f aca="false">IF(AND(ISNUMBER(B3275),B3275&lt;=25),2,0)+IF(AND(ISNUMBER(E3275),E3275&lt;=5),2,0)+IF(AND(ISNUMBER(F3275),F3275&lt;=1),2,0)+IF(AND(ISNUMBER(G3275),G3275&lt;=2),1,0)+IF(AND(ISNUMBER(H3275),H3275&lt;=2),1,0)</f>
        <v>2</v>
      </c>
      <c r="J3275" s="2" t="str">
        <f aca="false">IF(I3275&gt;=6,"High",IF(I3275&gt;=3,"Medium","Low"))</f>
        <v>Low</v>
      </c>
    </row>
    <row r="3276" customFormat="false" ht="15" hidden="false" customHeight="true" outlineLevel="0" collapsed="false">
      <c r="A3276" s="2" t="n">
        <f aca="false">'Raw Data'!H3276</f>
        <v>3275</v>
      </c>
      <c r="B3276" s="2" t="n">
        <f aca="false">'Raw Data'!A3276</f>
        <v>47</v>
      </c>
      <c r="C3276" s="2" t="str">
        <f aca="false">'Raw Data'!D3276</f>
        <v>Research &amp; Development</v>
      </c>
      <c r="D3276" s="2" t="str">
        <f aca="false">'Raw Data'!K3276</f>
        <v>Manager</v>
      </c>
      <c r="E3276" s="2" t="n">
        <f aca="false">'Raw Data'!Q3276</f>
        <v>26</v>
      </c>
      <c r="F3276" s="2" t="n">
        <f aca="false">'Raw Data'!U3276</f>
        <v>0</v>
      </c>
      <c r="G3276" s="2" t="n">
        <f aca="false">'Raw Data'!W3276</f>
        <v>4</v>
      </c>
      <c r="H3276" s="2" t="n">
        <f aca="false">'Raw Data'!V3276</f>
        <v>3</v>
      </c>
      <c r="I3276" s="2" t="n">
        <f aca="false">IF(AND(ISNUMBER(B3276),B3276&lt;=25),2,0)+IF(AND(ISNUMBER(E3276),E3276&lt;=5),2,0)+IF(AND(ISNUMBER(F3276),F3276&lt;=1),2,0)+IF(AND(ISNUMBER(G3276),G3276&lt;=2),1,0)+IF(AND(ISNUMBER(H3276),H3276&lt;=2),1,0)</f>
        <v>2</v>
      </c>
      <c r="J3276" s="2" t="str">
        <f aca="false">IF(I3276&gt;=6,"High",IF(I3276&gt;=3,"Medium","Low"))</f>
        <v>Low</v>
      </c>
    </row>
    <row r="3277" customFormat="false" ht="15" hidden="false" customHeight="true" outlineLevel="0" collapsed="false">
      <c r="A3277" s="2" t="n">
        <f aca="false">'Raw Data'!H3277</f>
        <v>3276</v>
      </c>
      <c r="B3277" s="2" t="n">
        <f aca="false">'Raw Data'!A3277</f>
        <v>36</v>
      </c>
      <c r="C3277" s="2" t="str">
        <f aca="false">'Raw Data'!D3277</f>
        <v>Sales</v>
      </c>
      <c r="D3277" s="2" t="str">
        <f aca="false">'Raw Data'!K3277</f>
        <v>Sales Executive</v>
      </c>
      <c r="E3277" s="2" t="n">
        <f aca="false">'Raw Data'!Q3277</f>
        <v>10</v>
      </c>
      <c r="F3277" s="2" t="n">
        <f aca="false">'Raw Data'!U3277</f>
        <v>5</v>
      </c>
      <c r="G3277" s="2" t="n">
        <f aca="false">'Raw Data'!W3277</f>
        <v>2</v>
      </c>
      <c r="H3277" s="2" t="n">
        <f aca="false">'Raw Data'!V3277</f>
        <v>3</v>
      </c>
      <c r="I3277" s="2" t="n">
        <f aca="false">IF(AND(ISNUMBER(B3277),B3277&lt;=25),2,0)+IF(AND(ISNUMBER(E3277),E3277&lt;=5),2,0)+IF(AND(ISNUMBER(F3277),F3277&lt;=1),2,0)+IF(AND(ISNUMBER(G3277),G3277&lt;=2),1,0)+IF(AND(ISNUMBER(H3277),H3277&lt;=2),1,0)</f>
        <v>1</v>
      </c>
      <c r="J3277" s="2" t="str">
        <f aca="false">IF(I3277&gt;=6,"High",IF(I3277&gt;=3,"Medium","Low"))</f>
        <v>Low</v>
      </c>
    </row>
    <row r="3278" customFormat="false" ht="15" hidden="false" customHeight="true" outlineLevel="0" collapsed="false">
      <c r="A3278" s="2" t="n">
        <f aca="false">'Raw Data'!H3278</f>
        <v>3277</v>
      </c>
      <c r="B3278" s="2" t="n">
        <f aca="false">'Raw Data'!A3278</f>
        <v>29</v>
      </c>
      <c r="C3278" s="2" t="str">
        <f aca="false">'Raw Data'!D3278</f>
        <v>Research &amp; Development</v>
      </c>
      <c r="D3278" s="2" t="str">
        <f aca="false">'Raw Data'!K3278</f>
        <v>Research Scientist</v>
      </c>
      <c r="E3278" s="2" t="n">
        <f aca="false">'Raw Data'!Q3278</f>
        <v>10</v>
      </c>
      <c r="F3278" s="2" t="n">
        <f aca="false">'Raw Data'!U3278</f>
        <v>7</v>
      </c>
      <c r="G3278" s="2" t="n">
        <f aca="false">'Raw Data'!W3278</f>
        <v>3</v>
      </c>
      <c r="H3278" s="2" t="n">
        <f aca="false">'Raw Data'!V3278</f>
        <v>3</v>
      </c>
      <c r="I3278" s="2" t="n">
        <f aca="false">IF(AND(ISNUMBER(B3278),B3278&lt;=25),2,0)+IF(AND(ISNUMBER(E3278),E3278&lt;=5),2,0)+IF(AND(ISNUMBER(F3278),F3278&lt;=1),2,0)+IF(AND(ISNUMBER(G3278),G3278&lt;=2),1,0)+IF(AND(ISNUMBER(H3278),H3278&lt;=2),1,0)</f>
        <v>0</v>
      </c>
      <c r="J3278" s="2" t="str">
        <f aca="false">IF(I3278&gt;=6,"High",IF(I3278&gt;=3,"Medium","Low"))</f>
        <v>Low</v>
      </c>
    </row>
    <row r="3279" customFormat="false" ht="15" hidden="false" customHeight="true" outlineLevel="0" collapsed="false">
      <c r="A3279" s="2" t="n">
        <f aca="false">'Raw Data'!H3279</f>
        <v>3278</v>
      </c>
      <c r="B3279" s="2" t="n">
        <f aca="false">'Raw Data'!A3279</f>
        <v>58</v>
      </c>
      <c r="C3279" s="2" t="str">
        <f aca="false">'Raw Data'!D3279</f>
        <v>Research &amp; Development</v>
      </c>
      <c r="D3279" s="2" t="str">
        <f aca="false">'Raw Data'!K3279</f>
        <v>Research Scientist</v>
      </c>
      <c r="E3279" s="2" t="n">
        <f aca="false">'Raw Data'!Q3279</f>
        <v>40</v>
      </c>
      <c r="F3279" s="2" t="n">
        <f aca="false">'Raw Data'!U3279</f>
        <v>8</v>
      </c>
      <c r="G3279" s="2" t="n">
        <f aca="false">'Raw Data'!W3279</f>
        <v>2</v>
      </c>
      <c r="H3279" s="2" t="n">
        <f aca="false">'Raw Data'!V3279</f>
        <v>4</v>
      </c>
      <c r="I3279" s="2" t="n">
        <f aca="false">IF(AND(ISNUMBER(B3279),B3279&lt;=25),2,0)+IF(AND(ISNUMBER(E3279),E3279&lt;=5),2,0)+IF(AND(ISNUMBER(F3279),F3279&lt;=1),2,0)+IF(AND(ISNUMBER(G3279),G3279&lt;=2),1,0)+IF(AND(ISNUMBER(H3279),H3279&lt;=2),1,0)</f>
        <v>1</v>
      </c>
      <c r="J3279" s="2" t="str">
        <f aca="false">IF(I3279&gt;=6,"High",IF(I3279&gt;=3,"Medium","Low"))</f>
        <v>Low</v>
      </c>
    </row>
    <row r="3280" customFormat="false" ht="15" hidden="false" customHeight="true" outlineLevel="0" collapsed="false">
      <c r="A3280" s="2" t="n">
        <f aca="false">'Raw Data'!H3280</f>
        <v>3279</v>
      </c>
      <c r="B3280" s="2" t="n">
        <f aca="false">'Raw Data'!A3280</f>
        <v>35</v>
      </c>
      <c r="C3280" s="2" t="str">
        <f aca="false">'Raw Data'!D3280</f>
        <v>Sales</v>
      </c>
      <c r="D3280" s="2" t="str">
        <f aca="false">'Raw Data'!K3280</f>
        <v>Research Scientist</v>
      </c>
      <c r="E3280" s="2" t="n">
        <f aca="false">'Raw Data'!Q3280</f>
        <v>7</v>
      </c>
      <c r="F3280" s="2" t="n">
        <f aca="false">'Raw Data'!U3280</f>
        <v>2</v>
      </c>
      <c r="G3280" s="2" t="n">
        <f aca="false">'Raw Data'!W3280</f>
        <v>3</v>
      </c>
      <c r="H3280" s="2" t="n">
        <f aca="false">'Raw Data'!V3280</f>
        <v>4</v>
      </c>
      <c r="I3280" s="2" t="n">
        <f aca="false">IF(AND(ISNUMBER(B3280),B3280&lt;=25),2,0)+IF(AND(ISNUMBER(E3280),E3280&lt;=5),2,0)+IF(AND(ISNUMBER(F3280),F3280&lt;=1),2,0)+IF(AND(ISNUMBER(G3280),G3280&lt;=2),1,0)+IF(AND(ISNUMBER(H3280),H3280&lt;=2),1,0)</f>
        <v>0</v>
      </c>
      <c r="J3280" s="2" t="str">
        <f aca="false">IF(I3280&gt;=6,"High",IF(I3280&gt;=3,"Medium","Low"))</f>
        <v>Low</v>
      </c>
    </row>
    <row r="3281" customFormat="false" ht="15" hidden="false" customHeight="true" outlineLevel="0" collapsed="false">
      <c r="A3281" s="2" t="n">
        <f aca="false">'Raw Data'!H3281</f>
        <v>3280</v>
      </c>
      <c r="B3281" s="2" t="n">
        <f aca="false">'Raw Data'!A3281</f>
        <v>42</v>
      </c>
      <c r="C3281" s="2" t="str">
        <f aca="false">'Raw Data'!D3281</f>
        <v>Sales</v>
      </c>
      <c r="D3281" s="2" t="str">
        <f aca="false">'Raw Data'!K3281</f>
        <v>Laboratory Technician</v>
      </c>
      <c r="E3281" s="2" t="n">
        <f aca="false">'Raw Data'!Q3281</f>
        <v>8</v>
      </c>
      <c r="F3281" s="2" t="n">
        <f aca="false">'Raw Data'!U3281</f>
        <v>2</v>
      </c>
      <c r="G3281" s="2" t="n">
        <f aca="false">'Raw Data'!W3281</f>
        <v>4</v>
      </c>
      <c r="H3281" s="2" t="n">
        <f aca="false">'Raw Data'!V3281</f>
        <v>4</v>
      </c>
      <c r="I3281" s="2" t="n">
        <f aca="false">IF(AND(ISNUMBER(B3281),B3281&lt;=25),2,0)+IF(AND(ISNUMBER(E3281),E3281&lt;=5),2,0)+IF(AND(ISNUMBER(F3281),F3281&lt;=1),2,0)+IF(AND(ISNUMBER(G3281),G3281&lt;=2),1,0)+IF(AND(ISNUMBER(H3281),H3281&lt;=2),1,0)</f>
        <v>0</v>
      </c>
      <c r="J3281" s="2" t="str">
        <f aca="false">IF(I3281&gt;=6,"High",IF(I3281&gt;=3,"Medium","Low"))</f>
        <v>Low</v>
      </c>
    </row>
    <row r="3282" customFormat="false" ht="15" hidden="false" customHeight="true" outlineLevel="0" collapsed="false">
      <c r="A3282" s="2" t="n">
        <f aca="false">'Raw Data'!H3282</f>
        <v>3281</v>
      </c>
      <c r="B3282" s="2" t="n">
        <f aca="false">'Raw Data'!A3282</f>
        <v>28</v>
      </c>
      <c r="C3282" s="2" t="str">
        <f aca="false">'Raw Data'!D3282</f>
        <v>Research &amp; Development</v>
      </c>
      <c r="D3282" s="2" t="str">
        <f aca="false">'Raw Data'!K3282</f>
        <v>Sales Executive</v>
      </c>
      <c r="E3282" s="2" t="n">
        <f aca="false">'Raw Data'!Q3282</f>
        <v>5</v>
      </c>
      <c r="F3282" s="2" t="n">
        <f aca="false">'Raw Data'!U3282</f>
        <v>1</v>
      </c>
      <c r="G3282" s="2" t="n">
        <f aca="false">'Raw Data'!W3282</f>
        <v>3</v>
      </c>
      <c r="H3282" s="2" t="n">
        <f aca="false">'Raw Data'!V3282</f>
        <v>3</v>
      </c>
      <c r="I3282" s="2" t="n">
        <f aca="false">IF(AND(ISNUMBER(B3282),B3282&lt;=25),2,0)+IF(AND(ISNUMBER(E3282),E3282&lt;=5),2,0)+IF(AND(ISNUMBER(F3282),F3282&lt;=1),2,0)+IF(AND(ISNUMBER(G3282),G3282&lt;=2),1,0)+IF(AND(ISNUMBER(H3282),H3282&lt;=2),1,0)</f>
        <v>4</v>
      </c>
      <c r="J3282" s="2" t="str">
        <f aca="false">IF(I3282&gt;=6,"High",IF(I3282&gt;=3,"Medium","Low"))</f>
        <v>Medium</v>
      </c>
    </row>
    <row r="3283" customFormat="false" ht="15" hidden="false" customHeight="true" outlineLevel="0" collapsed="false">
      <c r="A3283" s="2" t="n">
        <f aca="false">'Raw Data'!H3283</f>
        <v>3282</v>
      </c>
      <c r="B3283" s="2" t="n">
        <f aca="false">'Raw Data'!A3283</f>
        <v>36</v>
      </c>
      <c r="C3283" s="2" t="str">
        <f aca="false">'Raw Data'!D3283</f>
        <v>Research &amp; Development</v>
      </c>
      <c r="D3283" s="2" t="str">
        <f aca="false">'Raw Data'!K3283</f>
        <v>Healthcare Representative</v>
      </c>
      <c r="E3283" s="2" t="n">
        <f aca="false">'Raw Data'!Q3283</f>
        <v>8</v>
      </c>
      <c r="F3283" s="2" t="n">
        <f aca="false">'Raw Data'!U3283</f>
        <v>4</v>
      </c>
      <c r="G3283" s="2" t="n">
        <f aca="false">'Raw Data'!W3283</f>
        <v>2</v>
      </c>
      <c r="H3283" s="2" t="n">
        <f aca="false">'Raw Data'!V3283</f>
        <v>3</v>
      </c>
      <c r="I3283" s="2" t="n">
        <f aca="false">IF(AND(ISNUMBER(B3283),B3283&lt;=25),2,0)+IF(AND(ISNUMBER(E3283),E3283&lt;=5),2,0)+IF(AND(ISNUMBER(F3283),F3283&lt;=1),2,0)+IF(AND(ISNUMBER(G3283),G3283&lt;=2),1,0)+IF(AND(ISNUMBER(H3283),H3283&lt;=2),1,0)</f>
        <v>1</v>
      </c>
      <c r="J3283" s="2" t="str">
        <f aca="false">IF(I3283&gt;=6,"High",IF(I3283&gt;=3,"Medium","Low"))</f>
        <v>Low</v>
      </c>
    </row>
    <row r="3284" customFormat="false" ht="15" hidden="false" customHeight="true" outlineLevel="0" collapsed="false">
      <c r="A3284" s="2" t="n">
        <f aca="false">'Raw Data'!H3284</f>
        <v>3283</v>
      </c>
      <c r="B3284" s="2" t="n">
        <f aca="false">'Raw Data'!A3284</f>
        <v>32</v>
      </c>
      <c r="C3284" s="2" t="str">
        <f aca="false">'Raw Data'!D3284</f>
        <v>Research &amp; Development</v>
      </c>
      <c r="D3284" s="2" t="str">
        <f aca="false">'Raw Data'!K3284</f>
        <v>Manufacturing Director</v>
      </c>
      <c r="E3284" s="2" t="n">
        <f aca="false">'Raw Data'!Q3284</f>
        <v>14</v>
      </c>
      <c r="F3284" s="2" t="n">
        <f aca="false">'Raw Data'!U3284</f>
        <v>8</v>
      </c>
      <c r="G3284" s="2" t="n">
        <f aca="false">'Raw Data'!W3284</f>
        <v>3</v>
      </c>
      <c r="H3284" s="2" t="n">
        <f aca="false">'Raw Data'!V3284</f>
        <v>3</v>
      </c>
      <c r="I3284" s="2" t="n">
        <f aca="false">IF(AND(ISNUMBER(B3284),B3284&lt;=25),2,0)+IF(AND(ISNUMBER(E3284),E3284&lt;=5),2,0)+IF(AND(ISNUMBER(F3284),F3284&lt;=1),2,0)+IF(AND(ISNUMBER(G3284),G3284&lt;=2),1,0)+IF(AND(ISNUMBER(H3284),H3284&lt;=2),1,0)</f>
        <v>0</v>
      </c>
      <c r="J3284" s="2" t="str">
        <f aca="false">IF(I3284&gt;=6,"High",IF(I3284&gt;=3,"Medium","Low"))</f>
        <v>Low</v>
      </c>
    </row>
    <row r="3285" customFormat="false" ht="15" hidden="false" customHeight="true" outlineLevel="0" collapsed="false">
      <c r="A3285" s="2" t="n">
        <f aca="false">'Raw Data'!H3285</f>
        <v>3284</v>
      </c>
      <c r="B3285" s="2" t="n">
        <f aca="false">'Raw Data'!A3285</f>
        <v>40</v>
      </c>
      <c r="C3285" s="2" t="str">
        <f aca="false">'Raw Data'!D3285</f>
        <v>Sales</v>
      </c>
      <c r="D3285" s="2" t="str">
        <f aca="false">'Raw Data'!K3285</f>
        <v>Manufacturing Director</v>
      </c>
      <c r="E3285" s="2" t="n">
        <f aca="false">'Raw Data'!Q3285</f>
        <v>10</v>
      </c>
      <c r="F3285" s="2" t="n">
        <f aca="false">'Raw Data'!U3285</f>
        <v>0</v>
      </c>
      <c r="G3285" s="2" t="n">
        <f aca="false">'Raw Data'!W3285</f>
        <v>3</v>
      </c>
      <c r="H3285" s="2" t="n">
        <f aca="false">'Raw Data'!V3285</f>
        <v>1</v>
      </c>
      <c r="I3285" s="2" t="n">
        <f aca="false">IF(AND(ISNUMBER(B3285),B3285&lt;=25),2,0)+IF(AND(ISNUMBER(E3285),E3285&lt;=5),2,0)+IF(AND(ISNUMBER(F3285),F3285&lt;=1),2,0)+IF(AND(ISNUMBER(G3285),G3285&lt;=2),1,0)+IF(AND(ISNUMBER(H3285),H3285&lt;=2),1,0)</f>
        <v>3</v>
      </c>
      <c r="J3285" s="2" t="str">
        <f aca="false">IF(I3285&gt;=6,"High",IF(I3285&gt;=3,"Medium","Low"))</f>
        <v>Medium</v>
      </c>
    </row>
    <row r="3286" customFormat="false" ht="15" hidden="false" customHeight="true" outlineLevel="0" collapsed="false">
      <c r="A3286" s="2" t="n">
        <f aca="false">'Raw Data'!H3286</f>
        <v>3285</v>
      </c>
      <c r="B3286" s="2" t="n">
        <f aca="false">'Raw Data'!A3286</f>
        <v>30</v>
      </c>
      <c r="C3286" s="2" t="str">
        <f aca="false">'Raw Data'!D3286</f>
        <v>Research &amp; Development</v>
      </c>
      <c r="D3286" s="2" t="str">
        <f aca="false">'Raw Data'!K3286</f>
        <v>Research Director</v>
      </c>
      <c r="E3286" s="2" t="n">
        <f aca="false">'Raw Data'!Q3286</f>
        <v>12</v>
      </c>
      <c r="F3286" s="2" t="n">
        <f aca="false">'Raw Data'!U3286</f>
        <v>0</v>
      </c>
      <c r="G3286" s="2" t="n">
        <f aca="false">'Raw Data'!W3286</f>
        <v>4</v>
      </c>
      <c r="H3286" s="2" t="n">
        <f aca="false">'Raw Data'!V3286</f>
        <v>3</v>
      </c>
      <c r="I3286" s="2" t="n">
        <f aca="false">IF(AND(ISNUMBER(B3286),B3286&lt;=25),2,0)+IF(AND(ISNUMBER(E3286),E3286&lt;=5),2,0)+IF(AND(ISNUMBER(F3286),F3286&lt;=1),2,0)+IF(AND(ISNUMBER(G3286),G3286&lt;=2),1,0)+IF(AND(ISNUMBER(H3286),H3286&lt;=2),1,0)</f>
        <v>2</v>
      </c>
      <c r="J3286" s="2" t="str">
        <f aca="false">IF(I3286&gt;=6,"High",IF(I3286&gt;=3,"Medium","Low"))</f>
        <v>Low</v>
      </c>
    </row>
    <row r="3287" customFormat="false" ht="15" hidden="false" customHeight="true" outlineLevel="0" collapsed="false">
      <c r="A3287" s="2" t="n">
        <f aca="false">'Raw Data'!H3287</f>
        <v>3286</v>
      </c>
      <c r="B3287" s="2" t="n">
        <f aca="false">'Raw Data'!A3287</f>
        <v>45</v>
      </c>
      <c r="C3287" s="2" t="str">
        <f aca="false">'Raw Data'!D3287</f>
        <v>Research &amp; Development</v>
      </c>
      <c r="D3287" s="2" t="str">
        <f aca="false">'Raw Data'!K3287</f>
        <v>Research Director</v>
      </c>
      <c r="E3287" s="2" t="n">
        <f aca="false">'Raw Data'!Q3287</f>
        <v>1</v>
      </c>
      <c r="F3287" s="2" t="n">
        <f aca="false">'Raw Data'!U3287</f>
        <v>0</v>
      </c>
      <c r="G3287" s="2" t="n">
        <f aca="false">'Raw Data'!W3287</f>
        <v>3</v>
      </c>
      <c r="H3287" s="2" t="n">
        <f aca="false">'Raw Data'!V3287</f>
        <v>2</v>
      </c>
      <c r="I3287" s="2" t="n">
        <f aca="false">IF(AND(ISNUMBER(B3287),B3287&lt;=25),2,0)+IF(AND(ISNUMBER(E3287),E3287&lt;=5),2,0)+IF(AND(ISNUMBER(F3287),F3287&lt;=1),2,0)+IF(AND(ISNUMBER(G3287),G3287&lt;=2),1,0)+IF(AND(ISNUMBER(H3287),H3287&lt;=2),1,0)</f>
        <v>5</v>
      </c>
      <c r="J3287" s="2" t="str">
        <f aca="false">IF(I3287&gt;=6,"High",IF(I3287&gt;=3,"Medium","Low"))</f>
        <v>Medium</v>
      </c>
    </row>
    <row r="3288" customFormat="false" ht="15" hidden="false" customHeight="true" outlineLevel="0" collapsed="false">
      <c r="A3288" s="2" t="n">
        <f aca="false">'Raw Data'!H3288</f>
        <v>3287</v>
      </c>
      <c r="B3288" s="2" t="n">
        <f aca="false">'Raw Data'!A3288</f>
        <v>42</v>
      </c>
      <c r="C3288" s="2" t="str">
        <f aca="false">'Raw Data'!D3288</f>
        <v>Research &amp; Development</v>
      </c>
      <c r="D3288" s="2" t="str">
        <f aca="false">'Raw Data'!K3288</f>
        <v>Sales Representative</v>
      </c>
      <c r="E3288" s="2" t="n">
        <f aca="false">'Raw Data'!Q3288</f>
        <v>10</v>
      </c>
      <c r="F3288" s="2" t="n">
        <f aca="false">'Raw Data'!U3288</f>
        <v>8</v>
      </c>
      <c r="G3288" s="2" t="n">
        <f aca="false">'Raw Data'!W3288</f>
        <v>2</v>
      </c>
      <c r="H3288" s="2" t="n">
        <f aca="false">'Raw Data'!V3288</f>
        <v>2</v>
      </c>
      <c r="I3288" s="2" t="n">
        <f aca="false">IF(AND(ISNUMBER(B3288),B3288&lt;=25),2,0)+IF(AND(ISNUMBER(E3288),E3288&lt;=5),2,0)+IF(AND(ISNUMBER(F3288),F3288&lt;=1),2,0)+IF(AND(ISNUMBER(G3288),G3288&lt;=2),1,0)+IF(AND(ISNUMBER(H3288),H3288&lt;=2),1,0)</f>
        <v>2</v>
      </c>
      <c r="J3288" s="2" t="str">
        <f aca="false">IF(I3288&gt;=6,"High",IF(I3288&gt;=3,"Medium","Low"))</f>
        <v>Low</v>
      </c>
    </row>
    <row r="3289" customFormat="false" ht="15" hidden="false" customHeight="true" outlineLevel="0" collapsed="false">
      <c r="A3289" s="2" t="n">
        <f aca="false">'Raw Data'!H3289</f>
        <v>3288</v>
      </c>
      <c r="B3289" s="2" t="n">
        <f aca="false">'Raw Data'!A3289</f>
        <v>38</v>
      </c>
      <c r="C3289" s="2" t="str">
        <f aca="false">'Raw Data'!D3289</f>
        <v>Sales</v>
      </c>
      <c r="D3289" s="2" t="str">
        <f aca="false">'Raw Data'!K3289</f>
        <v>Research Scientist</v>
      </c>
      <c r="E3289" s="2" t="n">
        <f aca="false">'Raw Data'!Q3289</f>
        <v>13</v>
      </c>
      <c r="F3289" s="2" t="n">
        <f aca="false">'Raw Data'!U3289</f>
        <v>2</v>
      </c>
      <c r="G3289" s="2" t="n">
        <f aca="false">'Raw Data'!W3289</f>
        <v>1</v>
      </c>
      <c r="H3289" s="2" t="n">
        <f aca="false">'Raw Data'!V3289</f>
        <v>1</v>
      </c>
      <c r="I3289" s="2" t="n">
        <f aca="false">IF(AND(ISNUMBER(B3289),B3289&lt;=25),2,0)+IF(AND(ISNUMBER(E3289),E3289&lt;=5),2,0)+IF(AND(ISNUMBER(F3289),F3289&lt;=1),2,0)+IF(AND(ISNUMBER(G3289),G3289&lt;=2),1,0)+IF(AND(ISNUMBER(H3289),H3289&lt;=2),1,0)</f>
        <v>2</v>
      </c>
      <c r="J3289" s="2" t="str">
        <f aca="false">IF(I3289&gt;=6,"High",IF(I3289&gt;=3,"Medium","Low"))</f>
        <v>Low</v>
      </c>
    </row>
    <row r="3290" customFormat="false" ht="15" hidden="false" customHeight="true" outlineLevel="0" collapsed="false">
      <c r="A3290" s="2" t="n">
        <f aca="false">'Raw Data'!H3290</f>
        <v>3289</v>
      </c>
      <c r="B3290" s="2" t="n">
        <f aca="false">'Raw Data'!A3290</f>
        <v>34</v>
      </c>
      <c r="C3290" s="2" t="str">
        <f aca="false">'Raw Data'!D3290</f>
        <v>Research &amp; Development</v>
      </c>
      <c r="D3290" s="2" t="str">
        <f aca="false">'Raw Data'!K3290</f>
        <v>Laboratory Technician</v>
      </c>
      <c r="E3290" s="2" t="n">
        <f aca="false">'Raw Data'!Q3290</f>
        <v>6</v>
      </c>
      <c r="F3290" s="2" t="n">
        <f aca="false">'Raw Data'!U3290</f>
        <v>3</v>
      </c>
      <c r="G3290" s="2" t="n">
        <f aca="false">'Raw Data'!W3290</f>
        <v>4</v>
      </c>
      <c r="H3290" s="2" t="n">
        <f aca="false">'Raw Data'!V3290</f>
        <v>3</v>
      </c>
      <c r="I3290" s="2" t="n">
        <f aca="false">IF(AND(ISNUMBER(B3290),B3290&lt;=25),2,0)+IF(AND(ISNUMBER(E3290),E3290&lt;=5),2,0)+IF(AND(ISNUMBER(F3290),F3290&lt;=1),2,0)+IF(AND(ISNUMBER(G3290),G3290&lt;=2),1,0)+IF(AND(ISNUMBER(H3290),H3290&lt;=2),1,0)</f>
        <v>0</v>
      </c>
      <c r="J3290" s="2" t="str">
        <f aca="false">IF(I3290&gt;=6,"High",IF(I3290&gt;=3,"Medium","Low"))</f>
        <v>Low</v>
      </c>
    </row>
    <row r="3291" customFormat="false" ht="15" hidden="false" customHeight="true" outlineLevel="0" collapsed="false">
      <c r="A3291" s="2" t="n">
        <f aca="false">'Raw Data'!H3291</f>
        <v>3290</v>
      </c>
      <c r="B3291" s="2" t="n">
        <f aca="false">'Raw Data'!A3291</f>
        <v>49</v>
      </c>
      <c r="C3291" s="2" t="str">
        <f aca="false">'Raw Data'!D3291</f>
        <v>Sales</v>
      </c>
      <c r="D3291" s="2" t="str">
        <f aca="false">'Raw Data'!K3291</f>
        <v>Healthcare Representative</v>
      </c>
      <c r="E3291" s="2" t="n">
        <f aca="false">'Raw Data'!Q3291</f>
        <v>9</v>
      </c>
      <c r="F3291" s="2" t="n">
        <f aca="false">'Raw Data'!U3291</f>
        <v>7</v>
      </c>
      <c r="G3291" s="2" t="n">
        <f aca="false">'Raw Data'!W3291</f>
        <v>4</v>
      </c>
      <c r="H3291" s="2" t="n">
        <f aca="false">'Raw Data'!V3291</f>
        <v>3</v>
      </c>
      <c r="I3291" s="2" t="n">
        <f aca="false">IF(AND(ISNUMBER(B3291),B3291&lt;=25),2,0)+IF(AND(ISNUMBER(E3291),E3291&lt;=5),2,0)+IF(AND(ISNUMBER(F3291),F3291&lt;=1),2,0)+IF(AND(ISNUMBER(G3291),G3291&lt;=2),1,0)+IF(AND(ISNUMBER(H3291),H3291&lt;=2),1,0)</f>
        <v>0</v>
      </c>
      <c r="J3291" s="2" t="str">
        <f aca="false">IF(I3291&gt;=6,"High",IF(I3291&gt;=3,"Medium","Low"))</f>
        <v>Low</v>
      </c>
    </row>
    <row r="3292" customFormat="false" ht="15" hidden="false" customHeight="true" outlineLevel="0" collapsed="false">
      <c r="A3292" s="2" t="n">
        <f aca="false">'Raw Data'!H3292</f>
        <v>3291</v>
      </c>
      <c r="B3292" s="2" t="n">
        <f aca="false">'Raw Data'!A3292</f>
        <v>55</v>
      </c>
      <c r="C3292" s="2" t="str">
        <f aca="false">'Raw Data'!D3292</f>
        <v>Human Resources</v>
      </c>
      <c r="D3292" s="2" t="str">
        <f aca="false">'Raw Data'!K3292</f>
        <v>Manufacturing Director</v>
      </c>
      <c r="E3292" s="2" t="n">
        <f aca="false">'Raw Data'!Q3292</f>
        <v>12</v>
      </c>
      <c r="F3292" s="2" t="n">
        <f aca="false">'Raw Data'!U3292</f>
        <v>3</v>
      </c>
      <c r="G3292" s="2" t="n">
        <f aca="false">'Raw Data'!W3292</f>
        <v>4</v>
      </c>
      <c r="H3292" s="2" t="n">
        <f aca="false">'Raw Data'!V3292</f>
        <v>3</v>
      </c>
      <c r="I3292" s="2" t="n">
        <f aca="false">IF(AND(ISNUMBER(B3292),B3292&lt;=25),2,0)+IF(AND(ISNUMBER(E3292),E3292&lt;=5),2,0)+IF(AND(ISNUMBER(F3292),F3292&lt;=1),2,0)+IF(AND(ISNUMBER(G3292),G3292&lt;=2),1,0)+IF(AND(ISNUMBER(H3292),H3292&lt;=2),1,0)</f>
        <v>0</v>
      </c>
      <c r="J3292" s="2" t="str">
        <f aca="false">IF(I3292&gt;=6,"High",IF(I3292&gt;=3,"Medium","Low"))</f>
        <v>Low</v>
      </c>
    </row>
    <row r="3293" customFormat="false" ht="15" hidden="false" customHeight="true" outlineLevel="0" collapsed="false">
      <c r="A3293" s="2" t="n">
        <f aca="false">'Raw Data'!H3293</f>
        <v>3292</v>
      </c>
      <c r="B3293" s="2" t="n">
        <f aca="false">'Raw Data'!A3293</f>
        <v>43</v>
      </c>
      <c r="C3293" s="2" t="str">
        <f aca="false">'Raw Data'!D3293</f>
        <v>Research &amp; Development</v>
      </c>
      <c r="D3293" s="2" t="str">
        <f aca="false">'Raw Data'!K3293</f>
        <v>Healthcare Representative</v>
      </c>
      <c r="E3293" s="2" t="n">
        <f aca="false">'Raw Data'!Q3293</f>
        <v>22</v>
      </c>
      <c r="F3293" s="2" t="n">
        <f aca="false">'Raw Data'!U3293</f>
        <v>0</v>
      </c>
      <c r="G3293" s="2" t="n">
        <f aca="false">'Raw Data'!W3293</f>
        <v>1</v>
      </c>
      <c r="H3293" s="2" t="n">
        <f aca="false">'Raw Data'!V3293</f>
        <v>2</v>
      </c>
      <c r="I3293" s="2" t="n">
        <f aca="false">IF(AND(ISNUMBER(B3293),B3293&lt;=25),2,0)+IF(AND(ISNUMBER(E3293),E3293&lt;=5),2,0)+IF(AND(ISNUMBER(F3293),F3293&lt;=1),2,0)+IF(AND(ISNUMBER(G3293),G3293&lt;=2),1,0)+IF(AND(ISNUMBER(H3293),H3293&lt;=2),1,0)</f>
        <v>4</v>
      </c>
      <c r="J3293" s="2" t="str">
        <f aca="false">IF(I3293&gt;=6,"High",IF(I3293&gt;=3,"Medium","Low"))</f>
        <v>Medium</v>
      </c>
    </row>
    <row r="3294" customFormat="false" ht="15" hidden="false" customHeight="true" outlineLevel="0" collapsed="false">
      <c r="A3294" s="2" t="n">
        <f aca="false">'Raw Data'!H3294</f>
        <v>3293</v>
      </c>
      <c r="B3294" s="2" t="n">
        <f aca="false">'Raw Data'!A3294</f>
        <v>27</v>
      </c>
      <c r="C3294" s="2" t="str">
        <f aca="false">'Raw Data'!D3294</f>
        <v>Sales</v>
      </c>
      <c r="D3294" s="2" t="str">
        <f aca="false">'Raw Data'!K3294</f>
        <v>Manager</v>
      </c>
      <c r="E3294" s="2" t="n">
        <f aca="false">'Raw Data'!Q3294</f>
        <v>9</v>
      </c>
      <c r="F3294" s="2" t="n">
        <f aca="false">'Raw Data'!U3294</f>
        <v>8</v>
      </c>
      <c r="G3294" s="2" t="n">
        <f aca="false">'Raw Data'!W3294</f>
        <v>4</v>
      </c>
      <c r="H3294" s="2" t="n">
        <f aca="false">'Raw Data'!V3294</f>
        <v>3</v>
      </c>
      <c r="I3294" s="2" t="n">
        <f aca="false">IF(AND(ISNUMBER(B3294),B3294&lt;=25),2,0)+IF(AND(ISNUMBER(E3294),E3294&lt;=5),2,0)+IF(AND(ISNUMBER(F3294),F3294&lt;=1),2,0)+IF(AND(ISNUMBER(G3294),G3294&lt;=2),1,0)+IF(AND(ISNUMBER(H3294),H3294&lt;=2),1,0)</f>
        <v>0</v>
      </c>
      <c r="J3294" s="2" t="str">
        <f aca="false">IF(I3294&gt;=6,"High",IF(I3294&gt;=3,"Medium","Low"))</f>
        <v>Low</v>
      </c>
    </row>
    <row r="3295" customFormat="false" ht="15" hidden="false" customHeight="true" outlineLevel="0" collapsed="false">
      <c r="A3295" s="2" t="n">
        <f aca="false">'Raw Data'!H3295</f>
        <v>3294</v>
      </c>
      <c r="B3295" s="2" t="n">
        <f aca="false">'Raw Data'!A3295</f>
        <v>35</v>
      </c>
      <c r="C3295" s="2" t="str">
        <f aca="false">'Raw Data'!D3295</f>
        <v>Research &amp; Development</v>
      </c>
      <c r="D3295" s="2" t="str">
        <f aca="false">'Raw Data'!K3295</f>
        <v>Research Director</v>
      </c>
      <c r="E3295" s="2" t="n">
        <f aca="false">'Raw Data'!Q3295</f>
        <v>17</v>
      </c>
      <c r="F3295" s="2" t="n">
        <f aca="false">'Raw Data'!U3295</f>
        <v>6</v>
      </c>
      <c r="G3295" s="2" t="n">
        <f aca="false">'Raw Data'!W3295</f>
        <v>3</v>
      </c>
      <c r="H3295" s="2" t="n">
        <f aca="false">'Raw Data'!V3295</f>
        <v>3</v>
      </c>
      <c r="I3295" s="2" t="n">
        <f aca="false">IF(AND(ISNUMBER(B3295),B3295&lt;=25),2,0)+IF(AND(ISNUMBER(E3295),E3295&lt;=5),2,0)+IF(AND(ISNUMBER(F3295),F3295&lt;=1),2,0)+IF(AND(ISNUMBER(G3295),G3295&lt;=2),1,0)+IF(AND(ISNUMBER(H3295),H3295&lt;=2),1,0)</f>
        <v>0</v>
      </c>
      <c r="J3295" s="2" t="str">
        <f aca="false">IF(I3295&gt;=6,"High",IF(I3295&gt;=3,"Medium","Low"))</f>
        <v>Low</v>
      </c>
    </row>
    <row r="3296" customFormat="false" ht="15" hidden="false" customHeight="true" outlineLevel="0" collapsed="false">
      <c r="A3296" s="2" t="n">
        <f aca="false">'Raw Data'!H3296</f>
        <v>3295</v>
      </c>
      <c r="B3296" s="2" t="n">
        <f aca="false">'Raw Data'!A3296</f>
        <v>28</v>
      </c>
      <c r="C3296" s="2" t="str">
        <f aca="false">'Raw Data'!D3296</f>
        <v>Sales</v>
      </c>
      <c r="D3296" s="2" t="str">
        <f aca="false">'Raw Data'!K3296</f>
        <v>Sales Executive</v>
      </c>
      <c r="E3296" s="2" t="n">
        <f aca="false">'Raw Data'!Q3296</f>
        <v>8</v>
      </c>
      <c r="F3296" s="2" t="n">
        <f aca="false">'Raw Data'!U3296</f>
        <v>5</v>
      </c>
      <c r="G3296" s="2" t="n">
        <f aca="false">'Raw Data'!W3296</f>
        <v>2</v>
      </c>
      <c r="H3296" s="2" t="n">
        <f aca="false">'Raw Data'!V3296</f>
        <v>2</v>
      </c>
      <c r="I3296" s="2" t="n">
        <f aca="false">IF(AND(ISNUMBER(B3296),B3296&lt;=25),2,0)+IF(AND(ISNUMBER(E3296),E3296&lt;=5),2,0)+IF(AND(ISNUMBER(F3296),F3296&lt;=1),2,0)+IF(AND(ISNUMBER(G3296),G3296&lt;=2),1,0)+IF(AND(ISNUMBER(H3296),H3296&lt;=2),1,0)</f>
        <v>2</v>
      </c>
      <c r="J3296" s="2" t="str">
        <f aca="false">IF(I3296&gt;=6,"High",IF(I3296&gt;=3,"Medium","Low"))</f>
        <v>Low</v>
      </c>
    </row>
    <row r="3297" customFormat="false" ht="15" hidden="false" customHeight="true" outlineLevel="0" collapsed="false">
      <c r="A3297" s="2" t="n">
        <f aca="false">'Raw Data'!H3297</f>
        <v>3296</v>
      </c>
      <c r="B3297" s="2" t="n">
        <f aca="false">'Raw Data'!A3297</f>
        <v>34</v>
      </c>
      <c r="C3297" s="2" t="str">
        <f aca="false">'Raw Data'!D3297</f>
        <v>Sales</v>
      </c>
      <c r="D3297" s="2" t="str">
        <f aca="false">'Raw Data'!K3297</f>
        <v>Research Scientist</v>
      </c>
      <c r="E3297" s="2" t="n">
        <f aca="false">'Raw Data'!Q3297</f>
        <v>4</v>
      </c>
      <c r="F3297" s="2" t="n">
        <f aca="false">'Raw Data'!U3297</f>
        <v>2</v>
      </c>
      <c r="G3297" s="2" t="n">
        <f aca="false">'Raw Data'!W3297</f>
        <v>0</v>
      </c>
      <c r="H3297" s="2" t="n">
        <f aca="false">'Raw Data'!V3297</f>
        <v>3</v>
      </c>
      <c r="I3297" s="2" t="n">
        <f aca="false">IF(AND(ISNUMBER(B3297),B3297&lt;=25),2,0)+IF(AND(ISNUMBER(E3297),E3297&lt;=5),2,0)+IF(AND(ISNUMBER(F3297),F3297&lt;=1),2,0)+IF(AND(ISNUMBER(G3297),G3297&lt;=2),1,0)+IF(AND(ISNUMBER(H3297),H3297&lt;=2),1,0)</f>
        <v>2</v>
      </c>
      <c r="J3297" s="2" t="str">
        <f aca="false">IF(I3297&gt;=6,"High",IF(I3297&gt;=3,"Medium","Low"))</f>
        <v>Low</v>
      </c>
    </row>
    <row r="3298" customFormat="false" ht="15" hidden="false" customHeight="true" outlineLevel="0" collapsed="false">
      <c r="A3298" s="2" t="n">
        <f aca="false">'Raw Data'!H3298</f>
        <v>3297</v>
      </c>
      <c r="B3298" s="2" t="n">
        <f aca="false">'Raw Data'!A3298</f>
        <v>26</v>
      </c>
      <c r="C3298" s="2" t="str">
        <f aca="false">'Raw Data'!D3298</f>
        <v>Research &amp; Development</v>
      </c>
      <c r="D3298" s="2" t="str">
        <f aca="false">'Raw Data'!K3298</f>
        <v>Sales Executive</v>
      </c>
      <c r="E3298" s="2" t="n">
        <f aca="false">'Raw Data'!Q3298</f>
        <v>8</v>
      </c>
      <c r="F3298" s="2" t="n">
        <f aca="false">'Raw Data'!U3298</f>
        <v>7</v>
      </c>
      <c r="G3298" s="2" t="n">
        <f aca="false">'Raw Data'!W3298</f>
        <v>3</v>
      </c>
      <c r="H3298" s="2" t="n">
        <f aca="false">'Raw Data'!V3298</f>
        <v>3</v>
      </c>
      <c r="I3298" s="2" t="n">
        <f aca="false">IF(AND(ISNUMBER(B3298),B3298&lt;=25),2,0)+IF(AND(ISNUMBER(E3298),E3298&lt;=5),2,0)+IF(AND(ISNUMBER(F3298),F3298&lt;=1),2,0)+IF(AND(ISNUMBER(G3298),G3298&lt;=2),1,0)+IF(AND(ISNUMBER(H3298),H3298&lt;=2),1,0)</f>
        <v>0</v>
      </c>
      <c r="J3298" s="2" t="str">
        <f aca="false">IF(I3298&gt;=6,"High",IF(I3298&gt;=3,"Medium","Low"))</f>
        <v>Low</v>
      </c>
    </row>
    <row r="3299" customFormat="false" ht="15" hidden="false" customHeight="true" outlineLevel="0" collapsed="false">
      <c r="A3299" s="2" t="n">
        <f aca="false">'Raw Data'!H3299</f>
        <v>3298</v>
      </c>
      <c r="B3299" s="2" t="n">
        <f aca="false">'Raw Data'!A3299</f>
        <v>27</v>
      </c>
      <c r="C3299" s="2" t="str">
        <f aca="false">'Raw Data'!D3299</f>
        <v>Sales</v>
      </c>
      <c r="D3299" s="2" t="str">
        <f aca="false">'Raw Data'!K3299</f>
        <v>Sales Executive</v>
      </c>
      <c r="E3299" s="2" t="n">
        <f aca="false">'Raw Data'!Q3299</f>
        <v>0</v>
      </c>
      <c r="F3299" s="2" t="n">
        <f aca="false">'Raw Data'!U3299</f>
        <v>0</v>
      </c>
      <c r="G3299" s="2" t="n">
        <f aca="false">'Raw Data'!W3299</f>
        <v>4</v>
      </c>
      <c r="H3299" s="2" t="n">
        <f aca="false">'Raw Data'!V3299</f>
        <v>4</v>
      </c>
      <c r="I3299" s="2" t="n">
        <f aca="false">IF(AND(ISNUMBER(B3299),B3299&lt;=25),2,0)+IF(AND(ISNUMBER(E3299),E3299&lt;=5),2,0)+IF(AND(ISNUMBER(F3299),F3299&lt;=1),2,0)+IF(AND(ISNUMBER(G3299),G3299&lt;=2),1,0)+IF(AND(ISNUMBER(H3299),H3299&lt;=2),1,0)</f>
        <v>4</v>
      </c>
      <c r="J3299" s="2" t="str">
        <f aca="false">IF(I3299&gt;=6,"High",IF(I3299&gt;=3,"Medium","Low"))</f>
        <v>Medium</v>
      </c>
    </row>
    <row r="3300" customFormat="false" ht="15" hidden="false" customHeight="true" outlineLevel="0" collapsed="false">
      <c r="A3300" s="2" t="n">
        <f aca="false">'Raw Data'!H3300</f>
        <v>3299</v>
      </c>
      <c r="B3300" s="2" t="n">
        <f aca="false">'Raw Data'!A3300</f>
        <v>51</v>
      </c>
      <c r="C3300" s="2" t="str">
        <f aca="false">'Raw Data'!D3300</f>
        <v>Sales</v>
      </c>
      <c r="D3300" s="2" t="str">
        <f aca="false">'Raw Data'!K3300</f>
        <v>Research Scientist</v>
      </c>
      <c r="E3300" s="2" t="n">
        <f aca="false">'Raw Data'!Q3300</f>
        <v>29</v>
      </c>
      <c r="F3300" s="2" t="n">
        <f aca="false">'Raw Data'!U3300</f>
        <v>17</v>
      </c>
      <c r="G3300" s="2" t="n">
        <f aca="false">'Raw Data'!W3300</f>
        <v>3</v>
      </c>
      <c r="H3300" s="2" t="n">
        <f aca="false">'Raw Data'!V3300</f>
        <v>1</v>
      </c>
      <c r="I3300" s="2" t="n">
        <f aca="false">IF(AND(ISNUMBER(B3300),B3300&lt;=25),2,0)+IF(AND(ISNUMBER(E3300),E3300&lt;=5),2,0)+IF(AND(ISNUMBER(F3300),F3300&lt;=1),2,0)+IF(AND(ISNUMBER(G3300),G3300&lt;=2),1,0)+IF(AND(ISNUMBER(H3300),H3300&lt;=2),1,0)</f>
        <v>1</v>
      </c>
      <c r="J3300" s="2" t="str">
        <f aca="false">IF(I3300&gt;=6,"High",IF(I3300&gt;=3,"Medium","Low"))</f>
        <v>Low</v>
      </c>
    </row>
    <row r="3301" customFormat="false" ht="15" hidden="false" customHeight="true" outlineLevel="0" collapsed="false">
      <c r="A3301" s="2" t="n">
        <f aca="false">'Raw Data'!H3301</f>
        <v>3300</v>
      </c>
      <c r="B3301" s="2" t="n">
        <f aca="false">'Raw Data'!A3301</f>
        <v>44</v>
      </c>
      <c r="C3301" s="2" t="str">
        <f aca="false">'Raw Data'!D3301</f>
        <v>Sales</v>
      </c>
      <c r="D3301" s="2" t="str">
        <f aca="false">'Raw Data'!K3301</f>
        <v>Sales Executive</v>
      </c>
      <c r="E3301" s="2" t="n">
        <f aca="false">'Raw Data'!Q3301</f>
        <v>10</v>
      </c>
      <c r="F3301" s="2" t="n">
        <f aca="false">'Raw Data'!U3301</f>
        <v>3</v>
      </c>
      <c r="G3301" s="2" t="n">
        <f aca="false">'Raw Data'!W3301</f>
        <v>2</v>
      </c>
      <c r="H3301" s="2" t="n">
        <f aca="false">'Raw Data'!V3301</f>
        <v>4</v>
      </c>
      <c r="I3301" s="2" t="n">
        <f aca="false">IF(AND(ISNUMBER(B3301),B3301&lt;=25),2,0)+IF(AND(ISNUMBER(E3301),E3301&lt;=5),2,0)+IF(AND(ISNUMBER(F3301),F3301&lt;=1),2,0)+IF(AND(ISNUMBER(G3301),G3301&lt;=2),1,0)+IF(AND(ISNUMBER(H3301),H3301&lt;=2),1,0)</f>
        <v>1</v>
      </c>
      <c r="J3301" s="2" t="str">
        <f aca="false">IF(I3301&gt;=6,"High",IF(I3301&gt;=3,"Medium","Low"))</f>
        <v>Low</v>
      </c>
    </row>
    <row r="3302" customFormat="false" ht="15" hidden="false" customHeight="true" outlineLevel="0" collapsed="false">
      <c r="A3302" s="2" t="n">
        <f aca="false">'Raw Data'!H3302</f>
        <v>3301</v>
      </c>
      <c r="B3302" s="2" t="n">
        <f aca="false">'Raw Data'!A3302</f>
        <v>25</v>
      </c>
      <c r="C3302" s="2" t="str">
        <f aca="false">'Raw Data'!D3302</f>
        <v>Research &amp; Development</v>
      </c>
      <c r="D3302" s="2" t="str">
        <f aca="false">'Raw Data'!K3302</f>
        <v>Laboratory Technician</v>
      </c>
      <c r="E3302" s="2" t="n">
        <f aca="false">'Raw Data'!Q3302</f>
        <v>6</v>
      </c>
      <c r="F3302" s="2" t="n">
        <f aca="false">'Raw Data'!U3302</f>
        <v>1</v>
      </c>
      <c r="G3302" s="2" t="n">
        <f aca="false">'Raw Data'!W3302</f>
        <v>1</v>
      </c>
      <c r="H3302" s="2" t="n">
        <f aca="false">'Raw Data'!V3302</f>
        <v>1</v>
      </c>
      <c r="I3302" s="2" t="n">
        <f aca="false">IF(AND(ISNUMBER(B3302),B3302&lt;=25),2,0)+IF(AND(ISNUMBER(E3302),E3302&lt;=5),2,0)+IF(AND(ISNUMBER(F3302),F3302&lt;=1),2,0)+IF(AND(ISNUMBER(G3302),G3302&lt;=2),1,0)+IF(AND(ISNUMBER(H3302),H3302&lt;=2),1,0)</f>
        <v>6</v>
      </c>
      <c r="J3302" s="2" t="str">
        <f aca="false">IF(I3302&gt;=6,"High",IF(I3302&gt;=3,"Medium","Low"))</f>
        <v>High</v>
      </c>
    </row>
    <row r="3303" customFormat="false" ht="15" hidden="false" customHeight="true" outlineLevel="0" collapsed="false">
      <c r="A3303" s="2" t="n">
        <f aca="false">'Raw Data'!H3303</f>
        <v>3302</v>
      </c>
      <c r="B3303" s="2" t="n">
        <f aca="false">'Raw Data'!A3303</f>
        <v>33</v>
      </c>
      <c r="C3303" s="2" t="str">
        <f aca="false">'Raw Data'!D3303</f>
        <v>Research &amp; Development</v>
      </c>
      <c r="D3303" s="2" t="str">
        <f aca="false">'Raw Data'!K3303</f>
        <v>Laboratory Technician</v>
      </c>
      <c r="E3303" s="2" t="n">
        <f aca="false">'Raw Data'!Q3303</f>
        <v>9</v>
      </c>
      <c r="F3303" s="2" t="n">
        <f aca="false">'Raw Data'!U3303</f>
        <v>8</v>
      </c>
      <c r="G3303" s="2" t="n">
        <f aca="false">'Raw Data'!W3303</f>
        <v>1</v>
      </c>
      <c r="H3303" s="2" t="n">
        <f aca="false">'Raw Data'!V3303</f>
        <v>1</v>
      </c>
      <c r="I3303" s="2" t="n">
        <f aca="false">IF(AND(ISNUMBER(B3303),B3303&lt;=25),2,0)+IF(AND(ISNUMBER(E3303),E3303&lt;=5),2,0)+IF(AND(ISNUMBER(F3303),F3303&lt;=1),2,0)+IF(AND(ISNUMBER(G3303),G3303&lt;=2),1,0)+IF(AND(ISNUMBER(H3303),H3303&lt;=2),1,0)</f>
        <v>2</v>
      </c>
      <c r="J3303" s="2" t="str">
        <f aca="false">IF(I3303&gt;=6,"High",IF(I3303&gt;=3,"Medium","Low"))</f>
        <v>Low</v>
      </c>
    </row>
    <row r="3304" customFormat="false" ht="15" hidden="false" customHeight="true" outlineLevel="0" collapsed="false">
      <c r="A3304" s="2" t="n">
        <f aca="false">'Raw Data'!H3304</f>
        <v>3303</v>
      </c>
      <c r="B3304" s="2" t="n">
        <f aca="false">'Raw Data'!A3304</f>
        <v>35</v>
      </c>
      <c r="C3304" s="2" t="str">
        <f aca="false">'Raw Data'!D3304</f>
        <v>Sales</v>
      </c>
      <c r="D3304" s="2" t="str">
        <f aca="false">'Raw Data'!K3304</f>
        <v>Manager</v>
      </c>
      <c r="E3304" s="2" t="n">
        <f aca="false">'Raw Data'!Q3304</f>
        <v>6</v>
      </c>
      <c r="F3304" s="2" t="n">
        <f aca="false">'Raw Data'!U3304</f>
        <v>1</v>
      </c>
      <c r="G3304" s="2" t="n">
        <f aca="false">'Raw Data'!W3304</f>
        <v>1</v>
      </c>
      <c r="H3304" s="2" t="n">
        <f aca="false">'Raw Data'!V3304</f>
        <v>3</v>
      </c>
      <c r="I3304" s="2" t="n">
        <f aca="false">IF(AND(ISNUMBER(B3304),B3304&lt;=25),2,0)+IF(AND(ISNUMBER(E3304),E3304&lt;=5),2,0)+IF(AND(ISNUMBER(F3304),F3304&lt;=1),2,0)+IF(AND(ISNUMBER(G3304),G3304&lt;=2),1,0)+IF(AND(ISNUMBER(H3304),H3304&lt;=2),1,0)</f>
        <v>3</v>
      </c>
      <c r="J3304" s="2" t="str">
        <f aca="false">IF(I3304&gt;=6,"High",IF(I3304&gt;=3,"Medium","Low"))</f>
        <v>Medium</v>
      </c>
    </row>
    <row r="3305" customFormat="false" ht="15" hidden="false" customHeight="true" outlineLevel="0" collapsed="false">
      <c r="A3305" s="2" t="n">
        <f aca="false">'Raw Data'!H3305</f>
        <v>3304</v>
      </c>
      <c r="B3305" s="2" t="n">
        <f aca="false">'Raw Data'!A3305</f>
        <v>36</v>
      </c>
      <c r="C3305" s="2" t="str">
        <f aca="false">'Raw Data'!D3305</f>
        <v>Sales</v>
      </c>
      <c r="D3305" s="2" t="str">
        <f aca="false">'Raw Data'!K3305</f>
        <v>Manager</v>
      </c>
      <c r="E3305" s="2" t="n">
        <f aca="false">'Raw Data'!Q3305</f>
        <v>18</v>
      </c>
      <c r="F3305" s="2" t="n">
        <f aca="false">'Raw Data'!U3305</f>
        <v>11</v>
      </c>
      <c r="G3305" s="2" t="n">
        <f aca="false">'Raw Data'!W3305</f>
        <v>4</v>
      </c>
      <c r="H3305" s="2" t="n">
        <f aca="false">'Raw Data'!V3305</f>
        <v>2</v>
      </c>
      <c r="I3305" s="2" t="n">
        <f aca="false">IF(AND(ISNUMBER(B3305),B3305&lt;=25),2,0)+IF(AND(ISNUMBER(E3305),E3305&lt;=5),2,0)+IF(AND(ISNUMBER(F3305),F3305&lt;=1),2,0)+IF(AND(ISNUMBER(G3305),G3305&lt;=2),1,0)+IF(AND(ISNUMBER(H3305),H3305&lt;=2),1,0)</f>
        <v>1</v>
      </c>
      <c r="J3305" s="2" t="str">
        <f aca="false">IF(I3305&gt;=6,"High",IF(I3305&gt;=3,"Medium","Low"))</f>
        <v>Low</v>
      </c>
    </row>
    <row r="3306" customFormat="false" ht="15" hidden="false" customHeight="true" outlineLevel="0" collapsed="false">
      <c r="A3306" s="2" t="n">
        <f aca="false">'Raw Data'!H3306</f>
        <v>3305</v>
      </c>
      <c r="B3306" s="2" t="n">
        <f aca="false">'Raw Data'!A3306</f>
        <v>32</v>
      </c>
      <c r="C3306" s="2" t="str">
        <f aca="false">'Raw Data'!D3306</f>
        <v>Research &amp; Development</v>
      </c>
      <c r="D3306" s="2" t="str">
        <f aca="false">'Raw Data'!K3306</f>
        <v>Sales Executive</v>
      </c>
      <c r="E3306" s="2" t="n">
        <f aca="false">'Raw Data'!Q3306</f>
        <v>8</v>
      </c>
      <c r="F3306" s="2" t="n">
        <f aca="false">'Raw Data'!U3306</f>
        <v>3</v>
      </c>
      <c r="G3306" s="2" t="n">
        <f aca="false">'Raw Data'!W3306</f>
        <v>4</v>
      </c>
      <c r="H3306" s="2" t="n">
        <f aca="false">'Raw Data'!V3306</f>
        <v>2</v>
      </c>
      <c r="I3306" s="2" t="n">
        <f aca="false">IF(AND(ISNUMBER(B3306),B3306&lt;=25),2,0)+IF(AND(ISNUMBER(E3306),E3306&lt;=5),2,0)+IF(AND(ISNUMBER(F3306),F3306&lt;=1),2,0)+IF(AND(ISNUMBER(G3306),G3306&lt;=2),1,0)+IF(AND(ISNUMBER(H3306),H3306&lt;=2),1,0)</f>
        <v>1</v>
      </c>
      <c r="J3306" s="2" t="str">
        <f aca="false">IF(I3306&gt;=6,"High",IF(I3306&gt;=3,"Medium","Low"))</f>
        <v>Low</v>
      </c>
    </row>
    <row r="3307" customFormat="false" ht="15" hidden="false" customHeight="true" outlineLevel="0" collapsed="false">
      <c r="A3307" s="2" t="n">
        <f aca="false">'Raw Data'!H3307</f>
        <v>3306</v>
      </c>
      <c r="B3307" s="2" t="n">
        <f aca="false">'Raw Data'!A3307</f>
        <v>30</v>
      </c>
      <c r="C3307" s="2" t="str">
        <f aca="false">'Raw Data'!D3307</f>
        <v>Research &amp; Development</v>
      </c>
      <c r="D3307" s="2" t="str">
        <f aca="false">'Raw Data'!K3307</f>
        <v>Sales Representative</v>
      </c>
      <c r="E3307" s="2" t="n">
        <f aca="false">'Raw Data'!Q3307</f>
        <v>10</v>
      </c>
      <c r="F3307" s="2" t="n">
        <f aca="false">'Raw Data'!U3307</f>
        <v>3</v>
      </c>
      <c r="G3307" s="2" t="n">
        <f aca="false">'Raw Data'!W3307</f>
        <v>4</v>
      </c>
      <c r="H3307" s="2" t="n">
        <f aca="false">'Raw Data'!V3307</f>
        <v>2</v>
      </c>
      <c r="I3307" s="2" t="n">
        <f aca="false">IF(AND(ISNUMBER(B3307),B3307&lt;=25),2,0)+IF(AND(ISNUMBER(E3307),E3307&lt;=5),2,0)+IF(AND(ISNUMBER(F3307),F3307&lt;=1),2,0)+IF(AND(ISNUMBER(G3307),G3307&lt;=2),1,0)+IF(AND(ISNUMBER(H3307),H3307&lt;=2),1,0)</f>
        <v>1</v>
      </c>
      <c r="J3307" s="2" t="str">
        <f aca="false">IF(I3307&gt;=6,"High",IF(I3307&gt;=3,"Medium","Low"))</f>
        <v>Low</v>
      </c>
    </row>
    <row r="3308" customFormat="false" ht="15" hidden="false" customHeight="true" outlineLevel="0" collapsed="false">
      <c r="A3308" s="2" t="n">
        <f aca="false">'Raw Data'!H3308</f>
        <v>3307</v>
      </c>
      <c r="B3308" s="2" t="n">
        <f aca="false">'Raw Data'!A3308</f>
        <v>53</v>
      </c>
      <c r="C3308" s="2" t="str">
        <f aca="false">'Raw Data'!D3308</f>
        <v>Sales</v>
      </c>
      <c r="D3308" s="2" t="str">
        <f aca="false">'Raw Data'!K3308</f>
        <v>Sales Executive</v>
      </c>
      <c r="E3308" s="2" t="n">
        <f aca="false">'Raw Data'!Q3308</f>
        <v>35</v>
      </c>
      <c r="F3308" s="2" t="n">
        <f aca="false">'Raw Data'!U3308</f>
        <v>4</v>
      </c>
      <c r="G3308" s="2" t="n">
        <f aca="false">'Raw Data'!W3308</f>
        <v>4</v>
      </c>
      <c r="H3308" s="2" t="n">
        <f aca="false">'Raw Data'!V3308</f>
        <v>1</v>
      </c>
      <c r="I3308" s="2" t="n">
        <f aca="false">IF(AND(ISNUMBER(B3308),B3308&lt;=25),2,0)+IF(AND(ISNUMBER(E3308),E3308&lt;=5),2,0)+IF(AND(ISNUMBER(F3308),F3308&lt;=1),2,0)+IF(AND(ISNUMBER(G3308),G3308&lt;=2),1,0)+IF(AND(ISNUMBER(H3308),H3308&lt;=2),1,0)</f>
        <v>1</v>
      </c>
      <c r="J3308" s="2" t="str">
        <f aca="false">IF(I3308&gt;=6,"High",IF(I3308&gt;=3,"Medium","Low"))</f>
        <v>Low</v>
      </c>
    </row>
    <row r="3309" customFormat="false" ht="15" hidden="false" customHeight="true" outlineLevel="0" collapsed="false">
      <c r="A3309" s="2" t="n">
        <f aca="false">'Raw Data'!H3309</f>
        <v>3308</v>
      </c>
      <c r="B3309" s="2" t="n">
        <f aca="false">'Raw Data'!A3309</f>
        <v>45</v>
      </c>
      <c r="C3309" s="2" t="str">
        <f aca="false">'Raw Data'!D3309</f>
        <v>Research &amp; Development</v>
      </c>
      <c r="D3309" s="2" t="str">
        <f aca="false">'Raw Data'!K3309</f>
        <v>Healthcare Representative</v>
      </c>
      <c r="E3309" s="2" t="n">
        <f aca="false">'Raw Data'!Q3309</f>
        <v>18</v>
      </c>
      <c r="F3309" s="2" t="n">
        <f aca="false">'Raw Data'!U3309</f>
        <v>2</v>
      </c>
      <c r="G3309" s="2" t="n">
        <f aca="false">'Raw Data'!W3309</f>
        <v>1</v>
      </c>
      <c r="H3309" s="2" t="n">
        <f aca="false">'Raw Data'!V3309</f>
        <v>4</v>
      </c>
      <c r="I3309" s="2" t="n">
        <f aca="false">IF(AND(ISNUMBER(B3309),B3309&lt;=25),2,0)+IF(AND(ISNUMBER(E3309),E3309&lt;=5),2,0)+IF(AND(ISNUMBER(F3309),F3309&lt;=1),2,0)+IF(AND(ISNUMBER(G3309),G3309&lt;=2),1,0)+IF(AND(ISNUMBER(H3309),H3309&lt;=2),1,0)</f>
        <v>1</v>
      </c>
      <c r="J3309" s="2" t="str">
        <f aca="false">IF(I3309&gt;=6,"High",IF(I3309&gt;=3,"Medium","Low"))</f>
        <v>Low</v>
      </c>
    </row>
    <row r="3310" customFormat="false" ht="15" hidden="false" customHeight="true" outlineLevel="0" collapsed="false">
      <c r="A3310" s="2" t="n">
        <f aca="false">'Raw Data'!H3310</f>
        <v>3309</v>
      </c>
      <c r="B3310" s="2" t="n">
        <f aca="false">'Raw Data'!A3310</f>
        <v>32</v>
      </c>
      <c r="C3310" s="2" t="str">
        <f aca="false">'Raw Data'!D3310</f>
        <v>Sales</v>
      </c>
      <c r="D3310" s="2" t="str">
        <f aca="false">'Raw Data'!K3310</f>
        <v>Human Resources</v>
      </c>
      <c r="E3310" s="2" t="n">
        <f aca="false">'Raw Data'!Q3310</f>
        <v>9</v>
      </c>
      <c r="F3310" s="2" t="n">
        <f aca="false">'Raw Data'!U3310</f>
        <v>3</v>
      </c>
      <c r="G3310" s="2" t="n">
        <f aca="false">'Raw Data'!W3310</f>
        <v>3</v>
      </c>
      <c r="H3310" s="2" t="n">
        <f aca="false">'Raw Data'!V3310</f>
        <v>3</v>
      </c>
      <c r="I3310" s="2" t="n">
        <f aca="false">IF(AND(ISNUMBER(B3310),B3310&lt;=25),2,0)+IF(AND(ISNUMBER(E3310),E3310&lt;=5),2,0)+IF(AND(ISNUMBER(F3310),F3310&lt;=1),2,0)+IF(AND(ISNUMBER(G3310),G3310&lt;=2),1,0)+IF(AND(ISNUMBER(H3310),H3310&lt;=2),1,0)</f>
        <v>0</v>
      </c>
      <c r="J3310" s="2" t="str">
        <f aca="false">IF(I3310&gt;=6,"High",IF(I3310&gt;=3,"Medium","Low"))</f>
        <v>Low</v>
      </c>
    </row>
    <row r="3311" customFormat="false" ht="15" hidden="false" customHeight="true" outlineLevel="0" collapsed="false">
      <c r="A3311" s="2" t="n">
        <f aca="false">'Raw Data'!H3311</f>
        <v>3310</v>
      </c>
      <c r="B3311" s="2" t="n">
        <f aca="false">'Raw Data'!A3311</f>
        <v>52</v>
      </c>
      <c r="C3311" s="2" t="str">
        <f aca="false">'Raw Data'!D3311</f>
        <v>Research &amp; Development</v>
      </c>
      <c r="D3311" s="2" t="str">
        <f aca="false">'Raw Data'!K3311</f>
        <v>Laboratory Technician</v>
      </c>
      <c r="E3311" s="2" t="n">
        <f aca="false">'Raw Data'!Q3311</f>
        <v>31</v>
      </c>
      <c r="F3311" s="2" t="n">
        <f aca="false">'Raw Data'!U3311</f>
        <v>0</v>
      </c>
      <c r="G3311" s="2" t="n">
        <f aca="false">'Raw Data'!W3311</f>
        <v>4</v>
      </c>
      <c r="H3311" s="2" t="n">
        <f aca="false">'Raw Data'!V3311</f>
        <v>3</v>
      </c>
      <c r="I3311" s="2" t="n">
        <f aca="false">IF(AND(ISNUMBER(B3311),B3311&lt;=25),2,0)+IF(AND(ISNUMBER(E3311),E3311&lt;=5),2,0)+IF(AND(ISNUMBER(F3311),F3311&lt;=1),2,0)+IF(AND(ISNUMBER(G3311),G3311&lt;=2),1,0)+IF(AND(ISNUMBER(H3311),H3311&lt;=2),1,0)</f>
        <v>2</v>
      </c>
      <c r="J3311" s="2" t="str">
        <f aca="false">IF(I3311&gt;=6,"High",IF(I3311&gt;=3,"Medium","Low"))</f>
        <v>Low</v>
      </c>
    </row>
    <row r="3312" customFormat="false" ht="15" hidden="false" customHeight="true" outlineLevel="0" collapsed="false">
      <c r="A3312" s="2" t="n">
        <f aca="false">'Raw Data'!H3312</f>
        <v>3311</v>
      </c>
      <c r="B3312" s="2" t="n">
        <f aca="false">'Raw Data'!A3312</f>
        <v>37</v>
      </c>
      <c r="C3312" s="2" t="str">
        <f aca="false">'Raw Data'!D3312</f>
        <v>Sales</v>
      </c>
      <c r="D3312" s="2" t="str">
        <f aca="false">'Raw Data'!K3312</f>
        <v>Laboratory Technician</v>
      </c>
      <c r="E3312" s="2" t="n">
        <f aca="false">'Raw Data'!Q3312</f>
        <v>9</v>
      </c>
      <c r="F3312" s="2" t="n">
        <f aca="false">'Raw Data'!U3312</f>
        <v>0</v>
      </c>
      <c r="G3312" s="2" t="n">
        <f aca="false">'Raw Data'!W3312</f>
        <v>3</v>
      </c>
      <c r="H3312" s="2" t="n">
        <f aca="false">'Raw Data'!V3312</f>
        <v>4</v>
      </c>
      <c r="I3312" s="2" t="n">
        <f aca="false">IF(AND(ISNUMBER(B3312),B3312&lt;=25),2,0)+IF(AND(ISNUMBER(E3312),E3312&lt;=5),2,0)+IF(AND(ISNUMBER(F3312),F3312&lt;=1),2,0)+IF(AND(ISNUMBER(G3312),G3312&lt;=2),1,0)+IF(AND(ISNUMBER(H3312),H3312&lt;=2),1,0)</f>
        <v>2</v>
      </c>
      <c r="J3312" s="2" t="str">
        <f aca="false">IF(I3312&gt;=6,"High",IF(I3312&gt;=3,"Medium","Low"))</f>
        <v>Low</v>
      </c>
    </row>
    <row r="3313" customFormat="false" ht="15" hidden="false" customHeight="true" outlineLevel="0" collapsed="false">
      <c r="A3313" s="2" t="n">
        <f aca="false">'Raw Data'!H3313</f>
        <v>3312</v>
      </c>
      <c r="B3313" s="2" t="n">
        <f aca="false">'Raw Data'!A3313</f>
        <v>28</v>
      </c>
      <c r="C3313" s="2" t="str">
        <f aca="false">'Raw Data'!D3313</f>
        <v>Research &amp; Development</v>
      </c>
      <c r="D3313" s="2" t="str">
        <f aca="false">'Raw Data'!K3313</f>
        <v>Healthcare Representative</v>
      </c>
      <c r="E3313" s="2" t="n">
        <f aca="false">'Raw Data'!Q3313</f>
        <v>6</v>
      </c>
      <c r="F3313" s="2" t="n">
        <f aca="false">'Raw Data'!U3313</f>
        <v>4</v>
      </c>
      <c r="G3313" s="2" t="n">
        <f aca="false">'Raw Data'!W3313</f>
        <v>4</v>
      </c>
      <c r="H3313" s="2" t="n">
        <f aca="false">'Raw Data'!V3313</f>
        <v>2</v>
      </c>
      <c r="I3313" s="2" t="n">
        <f aca="false">IF(AND(ISNUMBER(B3313),B3313&lt;=25),2,0)+IF(AND(ISNUMBER(E3313),E3313&lt;=5),2,0)+IF(AND(ISNUMBER(F3313),F3313&lt;=1),2,0)+IF(AND(ISNUMBER(G3313),G3313&lt;=2),1,0)+IF(AND(ISNUMBER(H3313),H3313&lt;=2),1,0)</f>
        <v>1</v>
      </c>
      <c r="J3313" s="2" t="str">
        <f aca="false">IF(I3313&gt;=6,"High",IF(I3313&gt;=3,"Medium","Low"))</f>
        <v>Low</v>
      </c>
    </row>
    <row r="3314" customFormat="false" ht="15" hidden="false" customHeight="true" outlineLevel="0" collapsed="false">
      <c r="A3314" s="2" t="n">
        <f aca="false">'Raw Data'!H3314</f>
        <v>3313</v>
      </c>
      <c r="B3314" s="2" t="n">
        <f aca="false">'Raw Data'!A3314</f>
        <v>22</v>
      </c>
      <c r="C3314" s="2" t="str">
        <f aca="false">'Raw Data'!D3314</f>
        <v>Research &amp; Development</v>
      </c>
      <c r="D3314" s="2" t="str">
        <f aca="false">'Raw Data'!K3314</f>
        <v>Sales Representative</v>
      </c>
      <c r="E3314" s="2" t="n">
        <f aca="false">'Raw Data'!Q3314</f>
        <v>4</v>
      </c>
      <c r="F3314" s="2" t="n">
        <f aca="false">'Raw Data'!U3314</f>
        <v>2</v>
      </c>
      <c r="G3314" s="2" t="n">
        <f aca="false">'Raw Data'!W3314</f>
        <v>4</v>
      </c>
      <c r="H3314" s="2" t="n">
        <f aca="false">'Raw Data'!V3314</f>
        <v>4</v>
      </c>
      <c r="I3314" s="2" t="n">
        <f aca="false">IF(AND(ISNUMBER(B3314),B3314&lt;=25),2,0)+IF(AND(ISNUMBER(E3314),E3314&lt;=5),2,0)+IF(AND(ISNUMBER(F3314),F3314&lt;=1),2,0)+IF(AND(ISNUMBER(G3314),G3314&lt;=2),1,0)+IF(AND(ISNUMBER(H3314),H3314&lt;=2),1,0)</f>
        <v>4</v>
      </c>
      <c r="J3314" s="2" t="str">
        <f aca="false">IF(I3314&gt;=6,"High",IF(I3314&gt;=3,"Medium","Low"))</f>
        <v>Medium</v>
      </c>
    </row>
    <row r="3315" customFormat="false" ht="15" hidden="false" customHeight="true" outlineLevel="0" collapsed="false">
      <c r="A3315" s="2" t="n">
        <f aca="false">'Raw Data'!H3315</f>
        <v>3314</v>
      </c>
      <c r="B3315" s="2" t="n">
        <f aca="false">'Raw Data'!A3315</f>
        <v>44</v>
      </c>
      <c r="C3315" s="2" t="str">
        <f aca="false">'Raw Data'!D3315</f>
        <v>Research &amp; Development</v>
      </c>
      <c r="D3315" s="2" t="str">
        <f aca="false">'Raw Data'!K3315</f>
        <v>Laboratory Technician</v>
      </c>
      <c r="E3315" s="2" t="n">
        <f aca="false">'Raw Data'!Q3315</f>
        <v>10</v>
      </c>
      <c r="F3315" s="2" t="n">
        <f aca="false">'Raw Data'!U3315</f>
        <v>2</v>
      </c>
      <c r="G3315" s="2" t="n">
        <f aca="false">'Raw Data'!W3315</f>
        <v>4</v>
      </c>
      <c r="H3315" s="2" t="n">
        <f aca="false">'Raw Data'!V3315</f>
        <v>1</v>
      </c>
      <c r="I3315" s="2" t="n">
        <f aca="false">IF(AND(ISNUMBER(B3315),B3315&lt;=25),2,0)+IF(AND(ISNUMBER(E3315),E3315&lt;=5),2,0)+IF(AND(ISNUMBER(F3315),F3315&lt;=1),2,0)+IF(AND(ISNUMBER(G3315),G3315&lt;=2),1,0)+IF(AND(ISNUMBER(H3315),H3315&lt;=2),1,0)</f>
        <v>1</v>
      </c>
      <c r="J3315" s="2" t="str">
        <f aca="false">IF(I3315&gt;=6,"High",IF(I3315&gt;=3,"Medium","Low"))</f>
        <v>Low</v>
      </c>
    </row>
    <row r="3316" customFormat="false" ht="15" hidden="false" customHeight="true" outlineLevel="0" collapsed="false">
      <c r="A3316" s="2" t="n">
        <f aca="false">'Raw Data'!H3316</f>
        <v>3315</v>
      </c>
      <c r="B3316" s="2" t="n">
        <f aca="false">'Raw Data'!A3316</f>
        <v>42</v>
      </c>
      <c r="C3316" s="2" t="str">
        <f aca="false">'Raw Data'!D3316</f>
        <v>Sales</v>
      </c>
      <c r="D3316" s="2" t="str">
        <f aca="false">'Raw Data'!K3316</f>
        <v>Laboratory Technician</v>
      </c>
      <c r="E3316" s="2" t="n">
        <f aca="false">'Raw Data'!Q3316</f>
        <v>8</v>
      </c>
      <c r="F3316" s="2" t="n">
        <f aca="false">'Raw Data'!U3316</f>
        <v>2</v>
      </c>
      <c r="G3316" s="2" t="n">
        <f aca="false">'Raw Data'!W3316</f>
        <v>4</v>
      </c>
      <c r="H3316" s="2" t="n">
        <f aca="false">'Raw Data'!V3316</f>
        <v>2</v>
      </c>
      <c r="I3316" s="2" t="n">
        <f aca="false">IF(AND(ISNUMBER(B3316),B3316&lt;=25),2,0)+IF(AND(ISNUMBER(E3316),E3316&lt;=5),2,0)+IF(AND(ISNUMBER(F3316),F3316&lt;=1),2,0)+IF(AND(ISNUMBER(G3316),G3316&lt;=2),1,0)+IF(AND(ISNUMBER(H3316),H3316&lt;=2),1,0)</f>
        <v>1</v>
      </c>
      <c r="J3316" s="2" t="str">
        <f aca="false">IF(I3316&gt;=6,"High",IF(I3316&gt;=3,"Medium","Low"))</f>
        <v>Low</v>
      </c>
    </row>
    <row r="3317" customFormat="false" ht="15" hidden="false" customHeight="true" outlineLevel="0" collapsed="false">
      <c r="A3317" s="2" t="n">
        <f aca="false">'Raw Data'!H3317</f>
        <v>3316</v>
      </c>
      <c r="B3317" s="2" t="n">
        <f aca="false">'Raw Data'!A3317</f>
        <v>36</v>
      </c>
      <c r="C3317" s="2" t="str">
        <f aca="false">'Raw Data'!D3317</f>
        <v>Research &amp; Development</v>
      </c>
      <c r="D3317" s="2" t="str">
        <f aca="false">'Raw Data'!K3317</f>
        <v>Research Scientist</v>
      </c>
      <c r="E3317" s="2" t="n">
        <f aca="false">'Raw Data'!Q3317</f>
        <v>6</v>
      </c>
      <c r="F3317" s="2" t="n">
        <f aca="false">'Raw Data'!U3317</f>
        <v>3</v>
      </c>
      <c r="G3317" s="2" t="n">
        <f aca="false">'Raw Data'!W3317</f>
        <v>1</v>
      </c>
      <c r="H3317" s="2" t="n">
        <f aca="false">'Raw Data'!V3317</f>
        <v>1</v>
      </c>
      <c r="I3317" s="2" t="n">
        <f aca="false">IF(AND(ISNUMBER(B3317),B3317&lt;=25),2,0)+IF(AND(ISNUMBER(E3317),E3317&lt;=5),2,0)+IF(AND(ISNUMBER(F3317),F3317&lt;=1),2,0)+IF(AND(ISNUMBER(G3317),G3317&lt;=2),1,0)+IF(AND(ISNUMBER(H3317),H3317&lt;=2),1,0)</f>
        <v>2</v>
      </c>
      <c r="J3317" s="2" t="str">
        <f aca="false">IF(I3317&gt;=6,"High",IF(I3317&gt;=3,"Medium","Low"))</f>
        <v>Low</v>
      </c>
    </row>
    <row r="3318" customFormat="false" ht="15" hidden="false" customHeight="true" outlineLevel="0" collapsed="false">
      <c r="A3318" s="2" t="n">
        <f aca="false">'Raw Data'!H3318</f>
        <v>3317</v>
      </c>
      <c r="B3318" s="2" t="n">
        <f aca="false">'Raw Data'!A3318</f>
        <v>25</v>
      </c>
      <c r="C3318" s="2" t="str">
        <f aca="false">'Raw Data'!D3318</f>
        <v>Sales</v>
      </c>
      <c r="D3318" s="2" t="str">
        <f aca="false">'Raw Data'!K3318</f>
        <v>Laboratory Technician</v>
      </c>
      <c r="E3318" s="2" t="n">
        <f aca="false">'Raw Data'!Q3318</f>
        <v>5</v>
      </c>
      <c r="F3318" s="2" t="n">
        <f aca="false">'Raw Data'!U3318</f>
        <v>3</v>
      </c>
      <c r="G3318" s="2" t="n">
        <f aca="false">'Raw Data'!W3318</f>
        <v>1</v>
      </c>
      <c r="H3318" s="2" t="n">
        <f aca="false">'Raw Data'!V3318</f>
        <v>3</v>
      </c>
      <c r="I3318" s="2" t="n">
        <f aca="false">IF(AND(ISNUMBER(B3318),B3318&lt;=25),2,0)+IF(AND(ISNUMBER(E3318),E3318&lt;=5),2,0)+IF(AND(ISNUMBER(F3318),F3318&lt;=1),2,0)+IF(AND(ISNUMBER(G3318),G3318&lt;=2),1,0)+IF(AND(ISNUMBER(H3318),H3318&lt;=2),1,0)</f>
        <v>5</v>
      </c>
      <c r="J3318" s="2" t="str">
        <f aca="false">IF(I3318&gt;=6,"High",IF(I3318&gt;=3,"Medium","Low"))</f>
        <v>Medium</v>
      </c>
    </row>
    <row r="3319" customFormat="false" ht="15" hidden="false" customHeight="true" outlineLevel="0" collapsed="false">
      <c r="A3319" s="2" t="n">
        <f aca="false">'Raw Data'!H3319</f>
        <v>3318</v>
      </c>
      <c r="B3319" s="2" t="n">
        <f aca="false">'Raw Data'!A3319</f>
        <v>35</v>
      </c>
      <c r="C3319" s="2" t="str">
        <f aca="false">'Raw Data'!D3319</f>
        <v>Research &amp; Development</v>
      </c>
      <c r="D3319" s="2" t="str">
        <f aca="false">'Raw Data'!K3319</f>
        <v>Healthcare Representative</v>
      </c>
      <c r="E3319" s="2" t="n">
        <f aca="false">'Raw Data'!Q3319</f>
        <v>17</v>
      </c>
      <c r="F3319" s="2" t="n">
        <f aca="false">'Raw Data'!U3319</f>
        <v>15</v>
      </c>
      <c r="G3319" s="2" t="n">
        <f aca="false">'Raw Data'!W3319</f>
        <v>3</v>
      </c>
      <c r="H3319" s="2" t="n">
        <f aca="false">'Raw Data'!V3319</f>
        <v>4</v>
      </c>
      <c r="I3319" s="2" t="n">
        <f aca="false">IF(AND(ISNUMBER(B3319),B3319&lt;=25),2,0)+IF(AND(ISNUMBER(E3319),E3319&lt;=5),2,0)+IF(AND(ISNUMBER(F3319),F3319&lt;=1),2,0)+IF(AND(ISNUMBER(G3319),G3319&lt;=2),1,0)+IF(AND(ISNUMBER(H3319),H3319&lt;=2),1,0)</f>
        <v>0</v>
      </c>
      <c r="J3319" s="2" t="str">
        <f aca="false">IF(I3319&gt;=6,"High",IF(I3319&gt;=3,"Medium","Low"))</f>
        <v>Low</v>
      </c>
    </row>
    <row r="3320" customFormat="false" ht="15" hidden="false" customHeight="true" outlineLevel="0" collapsed="false">
      <c r="A3320" s="2" t="n">
        <f aca="false">'Raw Data'!H3320</f>
        <v>3319</v>
      </c>
      <c r="B3320" s="2" t="n">
        <f aca="false">'Raw Data'!A3320</f>
        <v>35</v>
      </c>
      <c r="C3320" s="2" t="str">
        <f aca="false">'Raw Data'!D3320</f>
        <v>Sales</v>
      </c>
      <c r="D3320" s="2" t="str">
        <f aca="false">'Raw Data'!K3320</f>
        <v>Laboratory Technician</v>
      </c>
      <c r="E3320" s="2" t="n">
        <f aca="false">'Raw Data'!Q3320</f>
        <v>10</v>
      </c>
      <c r="F3320" s="2" t="n">
        <f aca="false">'Raw Data'!U3320</f>
        <v>8</v>
      </c>
      <c r="G3320" s="2" t="n">
        <f aca="false">'Raw Data'!W3320</f>
        <v>2</v>
      </c>
      <c r="H3320" s="2" t="n">
        <f aca="false">'Raw Data'!V3320</f>
        <v>4</v>
      </c>
      <c r="I3320" s="2" t="n">
        <f aca="false">IF(AND(ISNUMBER(B3320),B3320&lt;=25),2,0)+IF(AND(ISNUMBER(E3320),E3320&lt;=5),2,0)+IF(AND(ISNUMBER(F3320),F3320&lt;=1),2,0)+IF(AND(ISNUMBER(G3320),G3320&lt;=2),1,0)+IF(AND(ISNUMBER(H3320),H3320&lt;=2),1,0)</f>
        <v>1</v>
      </c>
      <c r="J3320" s="2" t="str">
        <f aca="false">IF(I3320&gt;=6,"High",IF(I3320&gt;=3,"Medium","Low"))</f>
        <v>Low</v>
      </c>
    </row>
    <row r="3321" customFormat="false" ht="15" hidden="false" customHeight="true" outlineLevel="0" collapsed="false">
      <c r="A3321" s="2" t="n">
        <f aca="false">'Raw Data'!H3321</f>
        <v>3320</v>
      </c>
      <c r="B3321" s="2" t="n">
        <f aca="false">'Raw Data'!A3321</f>
        <v>32</v>
      </c>
      <c r="C3321" s="2" t="str">
        <f aca="false">'Raw Data'!D3321</f>
        <v>Research &amp; Development</v>
      </c>
      <c r="D3321" s="2" t="str">
        <f aca="false">'Raw Data'!K3321</f>
        <v>Sales Executive</v>
      </c>
      <c r="E3321" s="2" t="n">
        <f aca="false">'Raw Data'!Q3321</f>
        <v>4</v>
      </c>
      <c r="F3321" s="2" t="n">
        <f aca="false">'Raw Data'!U3321</f>
        <v>2</v>
      </c>
      <c r="G3321" s="2" t="n">
        <f aca="false">'Raw Data'!W3321</f>
        <v>4</v>
      </c>
      <c r="H3321" s="2" t="n">
        <f aca="false">'Raw Data'!V3321</f>
        <v>4</v>
      </c>
      <c r="I3321" s="2" t="n">
        <f aca="false">IF(AND(ISNUMBER(B3321),B3321&lt;=25),2,0)+IF(AND(ISNUMBER(E3321),E3321&lt;=5),2,0)+IF(AND(ISNUMBER(F3321),F3321&lt;=1),2,0)+IF(AND(ISNUMBER(G3321),G3321&lt;=2),1,0)+IF(AND(ISNUMBER(H3321),H3321&lt;=2),1,0)</f>
        <v>2</v>
      </c>
      <c r="J3321" s="2" t="str">
        <f aca="false">IF(I3321&gt;=6,"High",IF(I3321&gt;=3,"Medium","Low"))</f>
        <v>Low</v>
      </c>
    </row>
    <row r="3322" customFormat="false" ht="15" hidden="false" customHeight="true" outlineLevel="0" collapsed="false">
      <c r="A3322" s="2" t="n">
        <f aca="false">'Raw Data'!H3322</f>
        <v>3321</v>
      </c>
      <c r="B3322" s="2" t="n">
        <f aca="false">'Raw Data'!A3322</f>
        <v>25</v>
      </c>
      <c r="C3322" s="2" t="str">
        <f aca="false">'Raw Data'!D3322</f>
        <v>Sales</v>
      </c>
      <c r="D3322" s="2" t="str">
        <f aca="false">'Raw Data'!K3322</f>
        <v>Research Scientist</v>
      </c>
      <c r="E3322" s="2" t="n">
        <f aca="false">'Raw Data'!Q3322</f>
        <v>5</v>
      </c>
      <c r="F3322" s="2" t="n">
        <f aca="false">'Raw Data'!U3322</f>
        <v>3</v>
      </c>
      <c r="G3322" s="2" t="n">
        <f aca="false">'Raw Data'!W3322</f>
        <v>1</v>
      </c>
      <c r="H3322" s="2" t="n">
        <f aca="false">'Raw Data'!V3322</f>
        <v>3</v>
      </c>
      <c r="I3322" s="2" t="n">
        <f aca="false">IF(AND(ISNUMBER(B3322),B3322&lt;=25),2,0)+IF(AND(ISNUMBER(E3322),E3322&lt;=5),2,0)+IF(AND(ISNUMBER(F3322),F3322&lt;=1),2,0)+IF(AND(ISNUMBER(G3322),G3322&lt;=2),1,0)+IF(AND(ISNUMBER(H3322),H3322&lt;=2),1,0)</f>
        <v>5</v>
      </c>
      <c r="J3322" s="2" t="str">
        <f aca="false">IF(I3322&gt;=6,"High",IF(I3322&gt;=3,"Medium","Low"))</f>
        <v>Medium</v>
      </c>
    </row>
    <row r="3323" customFormat="false" ht="15" hidden="false" customHeight="true" outlineLevel="0" collapsed="false">
      <c r="A3323" s="2" t="n">
        <f aca="false">'Raw Data'!H3323</f>
        <v>3322</v>
      </c>
      <c r="B3323" s="2" t="n">
        <f aca="false">'Raw Data'!A3323</f>
        <v>49</v>
      </c>
      <c r="C3323" s="2" t="str">
        <f aca="false">'Raw Data'!D3323</f>
        <v>Sales</v>
      </c>
      <c r="D3323" s="2" t="str">
        <f aca="false">'Raw Data'!K3323</f>
        <v>Sales Representative</v>
      </c>
      <c r="E3323" s="2" t="n">
        <f aca="false">'Raw Data'!Q3323</f>
        <v>7</v>
      </c>
      <c r="F3323" s="2" t="n">
        <f aca="false">'Raw Data'!U3323</f>
        <v>2</v>
      </c>
      <c r="G3323" s="2" t="n">
        <f aca="false">'Raw Data'!W3323</f>
        <v>1</v>
      </c>
      <c r="H3323" s="2" t="n">
        <f aca="false">'Raw Data'!V3323</f>
        <v>3</v>
      </c>
      <c r="I3323" s="2" t="n">
        <f aca="false">IF(AND(ISNUMBER(B3323),B3323&lt;=25),2,0)+IF(AND(ISNUMBER(E3323),E3323&lt;=5),2,0)+IF(AND(ISNUMBER(F3323),F3323&lt;=1),2,0)+IF(AND(ISNUMBER(G3323),G3323&lt;=2),1,0)+IF(AND(ISNUMBER(H3323),H3323&lt;=2),1,0)</f>
        <v>1</v>
      </c>
      <c r="J3323" s="2" t="str">
        <f aca="false">IF(I3323&gt;=6,"High",IF(I3323&gt;=3,"Medium","Low"))</f>
        <v>Low</v>
      </c>
    </row>
    <row r="3324" customFormat="false" ht="15" hidden="false" customHeight="true" outlineLevel="0" collapsed="false">
      <c r="A3324" s="2" t="n">
        <f aca="false">'Raw Data'!H3324</f>
        <v>3323</v>
      </c>
      <c r="B3324" s="2" t="n">
        <f aca="false">'Raw Data'!A3324</f>
        <v>24</v>
      </c>
      <c r="C3324" s="2" t="str">
        <f aca="false">'Raw Data'!D3324</f>
        <v>Research &amp; Development</v>
      </c>
      <c r="D3324" s="2" t="str">
        <f aca="false">'Raw Data'!K3324</f>
        <v>Healthcare Representative</v>
      </c>
      <c r="E3324" s="2" t="n">
        <f aca="false">'Raw Data'!Q3324</f>
        <v>6</v>
      </c>
      <c r="F3324" s="2" t="n">
        <f aca="false">'Raw Data'!U3324</f>
        <v>4</v>
      </c>
      <c r="G3324" s="2" t="n">
        <f aca="false">'Raw Data'!W3324</f>
        <v>4</v>
      </c>
      <c r="H3324" s="2" t="n">
        <f aca="false">'Raw Data'!V3324</f>
        <v>1</v>
      </c>
      <c r="I3324" s="2" t="n">
        <f aca="false">IF(AND(ISNUMBER(B3324),B3324&lt;=25),2,0)+IF(AND(ISNUMBER(E3324),E3324&lt;=5),2,0)+IF(AND(ISNUMBER(F3324),F3324&lt;=1),2,0)+IF(AND(ISNUMBER(G3324),G3324&lt;=2),1,0)+IF(AND(ISNUMBER(H3324),H3324&lt;=2),1,0)</f>
        <v>3</v>
      </c>
      <c r="J3324" s="2" t="str">
        <f aca="false">IF(I3324&gt;=6,"High",IF(I3324&gt;=3,"Medium","Low"))</f>
        <v>Medium</v>
      </c>
    </row>
    <row r="3325" customFormat="false" ht="15" hidden="false" customHeight="true" outlineLevel="0" collapsed="false">
      <c r="A3325" s="2" t="n">
        <f aca="false">'Raw Data'!H3325</f>
        <v>3324</v>
      </c>
      <c r="B3325" s="2" t="n">
        <f aca="false">'Raw Data'!A3325</f>
        <v>32</v>
      </c>
      <c r="C3325" s="2" t="str">
        <f aca="false">'Raw Data'!D3325</f>
        <v>Research &amp; Development</v>
      </c>
      <c r="D3325" s="2" t="str">
        <f aca="false">'Raw Data'!K3325</f>
        <v>Research Scientist</v>
      </c>
      <c r="E3325" s="2" t="n">
        <f aca="false">'Raw Data'!Q3325</f>
        <v>10</v>
      </c>
      <c r="F3325" s="2" t="n">
        <f aca="false">'Raw Data'!U3325</f>
        <v>3</v>
      </c>
      <c r="G3325" s="2" t="n">
        <f aca="false">'Raw Data'!W3325</f>
        <v>2</v>
      </c>
      <c r="H3325" s="2" t="n">
        <f aca="false">'Raw Data'!V3325</f>
        <v>2</v>
      </c>
      <c r="I3325" s="2" t="n">
        <f aca="false">IF(AND(ISNUMBER(B3325),B3325&lt;=25),2,0)+IF(AND(ISNUMBER(E3325),E3325&lt;=5),2,0)+IF(AND(ISNUMBER(F3325),F3325&lt;=1),2,0)+IF(AND(ISNUMBER(G3325),G3325&lt;=2),1,0)+IF(AND(ISNUMBER(H3325),H3325&lt;=2),1,0)</f>
        <v>2</v>
      </c>
      <c r="J3325" s="2" t="str">
        <f aca="false">IF(I3325&gt;=6,"High",IF(I3325&gt;=3,"Medium","Low"))</f>
        <v>Low</v>
      </c>
    </row>
    <row r="3326" customFormat="false" ht="15" hidden="false" customHeight="true" outlineLevel="0" collapsed="false">
      <c r="A3326" s="2" t="n">
        <f aca="false">'Raw Data'!H3326</f>
        <v>3325</v>
      </c>
      <c r="B3326" s="2" t="n">
        <f aca="false">'Raw Data'!A3326</f>
        <v>38</v>
      </c>
      <c r="C3326" s="2" t="str">
        <f aca="false">'Raw Data'!D3326</f>
        <v>Sales</v>
      </c>
      <c r="D3326" s="2" t="str">
        <f aca="false">'Raw Data'!K3326</f>
        <v>Sales Executive</v>
      </c>
      <c r="E3326" s="2" t="n">
        <f aca="false">'Raw Data'!Q3326</f>
        <v>3</v>
      </c>
      <c r="F3326" s="2" t="n">
        <f aca="false">'Raw Data'!U3326</f>
        <v>2</v>
      </c>
      <c r="G3326" s="2" t="n">
        <f aca="false">'Raw Data'!W3326</f>
        <v>2</v>
      </c>
      <c r="H3326" s="2" t="n">
        <f aca="false">'Raw Data'!V3326</f>
        <v>2</v>
      </c>
      <c r="I3326" s="2" t="n">
        <f aca="false">IF(AND(ISNUMBER(B3326),B3326&lt;=25),2,0)+IF(AND(ISNUMBER(E3326),E3326&lt;=5),2,0)+IF(AND(ISNUMBER(F3326),F3326&lt;=1),2,0)+IF(AND(ISNUMBER(G3326),G3326&lt;=2),1,0)+IF(AND(ISNUMBER(H3326),H3326&lt;=2),1,0)</f>
        <v>4</v>
      </c>
      <c r="J3326" s="2" t="str">
        <f aca="false">IF(I3326&gt;=6,"High",IF(I3326&gt;=3,"Medium","Low"))</f>
        <v>Medium</v>
      </c>
    </row>
    <row r="3327" customFormat="false" ht="15" hidden="false" customHeight="true" outlineLevel="0" collapsed="false">
      <c r="A3327" s="2" t="n">
        <f aca="false">'Raw Data'!H3327</f>
        <v>3326</v>
      </c>
      <c r="B3327" s="2" t="n">
        <f aca="false">'Raw Data'!A3327</f>
        <v>42</v>
      </c>
      <c r="C3327" s="2" t="str">
        <f aca="false">'Raw Data'!D3327</f>
        <v>Research &amp; Development</v>
      </c>
      <c r="D3327" s="2" t="str">
        <f aca="false">'Raw Data'!K3327</f>
        <v>Research Scientist</v>
      </c>
      <c r="E3327" s="2" t="n">
        <f aca="false">'Raw Data'!Q3327</f>
        <v>17</v>
      </c>
      <c r="F3327" s="2" t="n">
        <f aca="false">'Raw Data'!U3327</f>
        <v>3</v>
      </c>
      <c r="G3327" s="2" t="n">
        <f aca="false">'Raw Data'!W3327</f>
        <v>4</v>
      </c>
      <c r="H3327" s="2" t="n">
        <f aca="false">'Raw Data'!V3327</f>
        <v>3</v>
      </c>
      <c r="I3327" s="2" t="n">
        <f aca="false">IF(AND(ISNUMBER(B3327),B3327&lt;=25),2,0)+IF(AND(ISNUMBER(E3327),E3327&lt;=5),2,0)+IF(AND(ISNUMBER(F3327),F3327&lt;=1),2,0)+IF(AND(ISNUMBER(G3327),G3327&lt;=2),1,0)+IF(AND(ISNUMBER(H3327),H3327&lt;=2),1,0)</f>
        <v>0</v>
      </c>
      <c r="J3327" s="2" t="str">
        <f aca="false">IF(I3327&gt;=6,"High",IF(I3327&gt;=3,"Medium","Low"))</f>
        <v>Low</v>
      </c>
    </row>
    <row r="3328" customFormat="false" ht="15" hidden="false" customHeight="true" outlineLevel="0" collapsed="false">
      <c r="A3328" s="2" t="n">
        <f aca="false">'Raw Data'!H3328</f>
        <v>3327</v>
      </c>
      <c r="B3328" s="2" t="n">
        <f aca="false">'Raw Data'!A3328</f>
        <v>31</v>
      </c>
      <c r="C3328" s="2" t="str">
        <f aca="false">'Raw Data'!D3328</f>
        <v>Research &amp; Development</v>
      </c>
      <c r="D3328" s="2" t="str">
        <f aca="false">'Raw Data'!K3328</f>
        <v>Sales Executive</v>
      </c>
      <c r="E3328" s="2" t="n">
        <f aca="false">'Raw Data'!Q3328</f>
        <v>8</v>
      </c>
      <c r="F3328" s="2" t="n">
        <f aca="false">'Raw Data'!U3328</f>
        <v>2</v>
      </c>
      <c r="G3328" s="2" t="n">
        <f aca="false">'Raw Data'!W3328</f>
        <v>4</v>
      </c>
      <c r="H3328" s="2" t="n">
        <f aca="false">'Raw Data'!V3328</f>
        <v>4</v>
      </c>
      <c r="I3328" s="2" t="n">
        <f aca="false">IF(AND(ISNUMBER(B3328),B3328&lt;=25),2,0)+IF(AND(ISNUMBER(E3328),E3328&lt;=5),2,0)+IF(AND(ISNUMBER(F3328),F3328&lt;=1),2,0)+IF(AND(ISNUMBER(G3328),G3328&lt;=2),1,0)+IF(AND(ISNUMBER(H3328),H3328&lt;=2),1,0)</f>
        <v>0</v>
      </c>
      <c r="J3328" s="2" t="str">
        <f aca="false">IF(I3328&gt;=6,"High",IF(I3328&gt;=3,"Medium","Low"))</f>
        <v>Low</v>
      </c>
    </row>
    <row r="3329" customFormat="false" ht="15" hidden="false" customHeight="true" outlineLevel="0" collapsed="false">
      <c r="A3329" s="2" t="n">
        <f aca="false">'Raw Data'!H3329</f>
        <v>3328</v>
      </c>
      <c r="B3329" s="2" t="n">
        <f aca="false">'Raw Data'!A3329</f>
        <v>29</v>
      </c>
      <c r="C3329" s="2" t="str">
        <f aca="false">'Raw Data'!D3329</f>
        <v>Sales</v>
      </c>
      <c r="D3329" s="2" t="str">
        <f aca="false">'Raw Data'!K3329</f>
        <v>Laboratory Technician</v>
      </c>
      <c r="E3329" s="2" t="n">
        <f aca="false">'Raw Data'!Q3329</f>
        <v>5</v>
      </c>
      <c r="F3329" s="2" t="n">
        <f aca="false">'Raw Data'!U3329</f>
        <v>2</v>
      </c>
      <c r="G3329" s="2" t="n">
        <f aca="false">'Raw Data'!W3329</f>
        <v>3</v>
      </c>
      <c r="H3329" s="2" t="n">
        <f aca="false">'Raw Data'!V3329</f>
        <v>2</v>
      </c>
      <c r="I3329" s="2" t="n">
        <f aca="false">IF(AND(ISNUMBER(B3329),B3329&lt;=25),2,0)+IF(AND(ISNUMBER(E3329),E3329&lt;=5),2,0)+IF(AND(ISNUMBER(F3329),F3329&lt;=1),2,0)+IF(AND(ISNUMBER(G3329),G3329&lt;=2),1,0)+IF(AND(ISNUMBER(H3329),H3329&lt;=2),1,0)</f>
        <v>3</v>
      </c>
      <c r="J3329" s="2" t="str">
        <f aca="false">IF(I3329&gt;=6,"High",IF(I3329&gt;=3,"Medium","Low"))</f>
        <v>Medium</v>
      </c>
    </row>
    <row r="3330" customFormat="false" ht="15" hidden="false" customHeight="true" outlineLevel="0" collapsed="false">
      <c r="A3330" s="2" t="n">
        <f aca="false">'Raw Data'!H3330</f>
        <v>3329</v>
      </c>
      <c r="B3330" s="2" t="n">
        <f aca="false">'Raw Data'!A3330</f>
        <v>53</v>
      </c>
      <c r="C3330" s="2" t="str">
        <f aca="false">'Raw Data'!D3330</f>
        <v>Research &amp; Development</v>
      </c>
      <c r="D3330" s="2" t="str">
        <f aca="false">'Raw Data'!K3330</f>
        <v>Sales Representative</v>
      </c>
      <c r="E3330" s="2" t="n">
        <f aca="false">'Raw Data'!Q3330</f>
        <v>28</v>
      </c>
      <c r="F3330" s="2" t="n">
        <f aca="false">'Raw Data'!U3330</f>
        <v>2</v>
      </c>
      <c r="G3330" s="2" t="n">
        <f aca="false">'Raw Data'!W3330</f>
        <v>4</v>
      </c>
      <c r="H3330" s="2" t="n">
        <f aca="false">'Raw Data'!V3330</f>
        <v>1</v>
      </c>
      <c r="I3330" s="2" t="n">
        <f aca="false">IF(AND(ISNUMBER(B3330),B3330&lt;=25),2,0)+IF(AND(ISNUMBER(E3330),E3330&lt;=5),2,0)+IF(AND(ISNUMBER(F3330),F3330&lt;=1),2,0)+IF(AND(ISNUMBER(G3330),G3330&lt;=2),1,0)+IF(AND(ISNUMBER(H3330),H3330&lt;=2),1,0)</f>
        <v>1</v>
      </c>
      <c r="J3330" s="2" t="str">
        <f aca="false">IF(I3330&gt;=6,"High",IF(I3330&gt;=3,"Medium","Low"))</f>
        <v>Low</v>
      </c>
    </row>
    <row r="3331" customFormat="false" ht="15" hidden="false" customHeight="true" outlineLevel="0" collapsed="false">
      <c r="A3331" s="2" t="n">
        <f aca="false">'Raw Data'!H3331</f>
        <v>3330</v>
      </c>
      <c r="B3331" s="2" t="n">
        <f aca="false">'Raw Data'!A3331</f>
        <v>35</v>
      </c>
      <c r="C3331" s="2" t="str">
        <f aca="false">'Raw Data'!D3331</f>
        <v>Research &amp; Development</v>
      </c>
      <c r="D3331" s="2" t="str">
        <f aca="false">'Raw Data'!K3331</f>
        <v>Healthcare Representative</v>
      </c>
      <c r="E3331" s="2" t="n">
        <f aca="false">'Raw Data'!Q3331</f>
        <v>16</v>
      </c>
      <c r="F3331" s="2" t="n">
        <f aca="false">'Raw Data'!U3331</f>
        <v>8</v>
      </c>
      <c r="G3331" s="2" t="n">
        <f aca="false">'Raw Data'!W3331</f>
        <v>2</v>
      </c>
      <c r="H3331" s="2" t="n">
        <f aca="false">'Raw Data'!V3331</f>
        <v>4</v>
      </c>
      <c r="I3331" s="2" t="n">
        <f aca="false">IF(AND(ISNUMBER(B3331),B3331&lt;=25),2,0)+IF(AND(ISNUMBER(E3331),E3331&lt;=5),2,0)+IF(AND(ISNUMBER(F3331),F3331&lt;=1),2,0)+IF(AND(ISNUMBER(G3331),G3331&lt;=2),1,0)+IF(AND(ISNUMBER(H3331),H3331&lt;=2),1,0)</f>
        <v>1</v>
      </c>
      <c r="J3331" s="2" t="str">
        <f aca="false">IF(I3331&gt;=6,"High",IF(I3331&gt;=3,"Medium","Low"))</f>
        <v>Low</v>
      </c>
    </row>
    <row r="3332" customFormat="false" ht="15" hidden="false" customHeight="true" outlineLevel="0" collapsed="false">
      <c r="A3332" s="2" t="n">
        <f aca="false">'Raw Data'!H3332</f>
        <v>3331</v>
      </c>
      <c r="B3332" s="2" t="n">
        <f aca="false">'Raw Data'!A3332</f>
        <v>37</v>
      </c>
      <c r="C3332" s="2" t="str">
        <f aca="false">'Raw Data'!D3332</f>
        <v>Research &amp; Development</v>
      </c>
      <c r="D3332" s="2" t="str">
        <f aca="false">'Raw Data'!K3332</f>
        <v>Human Resources</v>
      </c>
      <c r="E3332" s="2" t="n">
        <f aca="false">'Raw Data'!Q3332</f>
        <v>10</v>
      </c>
      <c r="F3332" s="2" t="n">
        <f aca="false">'Raw Data'!U3332</f>
        <v>0</v>
      </c>
      <c r="G3332" s="2" t="n">
        <f aca="false">'Raw Data'!W3332</f>
        <v>4</v>
      </c>
      <c r="H3332" s="2" t="n">
        <f aca="false">'Raw Data'!V3332</f>
        <v>3</v>
      </c>
      <c r="I3332" s="2" t="n">
        <f aca="false">IF(AND(ISNUMBER(B3332),B3332&lt;=25),2,0)+IF(AND(ISNUMBER(E3332),E3332&lt;=5),2,0)+IF(AND(ISNUMBER(F3332),F3332&lt;=1),2,0)+IF(AND(ISNUMBER(G3332),G3332&lt;=2),1,0)+IF(AND(ISNUMBER(H3332),H3332&lt;=2),1,0)</f>
        <v>2</v>
      </c>
      <c r="J3332" s="2" t="str">
        <f aca="false">IF(I3332&gt;=6,"High",IF(I3332&gt;=3,"Medium","Low"))</f>
        <v>Low</v>
      </c>
    </row>
    <row r="3333" customFormat="false" ht="15" hidden="false" customHeight="true" outlineLevel="0" collapsed="false">
      <c r="A3333" s="2" t="n">
        <f aca="false">'Raw Data'!H3333</f>
        <v>3332</v>
      </c>
      <c r="B3333" s="2" t="n">
        <f aca="false">'Raw Data'!A3333</f>
        <v>53</v>
      </c>
      <c r="C3333" s="2" t="str">
        <f aca="false">'Raw Data'!D3333</f>
        <v>Research &amp; Development</v>
      </c>
      <c r="D3333" s="2" t="str">
        <f aca="false">'Raw Data'!K3333</f>
        <v>Sales Executive</v>
      </c>
      <c r="E3333" s="2" t="n">
        <f aca="false">'Raw Data'!Q3333</f>
        <v>33</v>
      </c>
      <c r="F3333" s="2" t="n">
        <f aca="false">'Raw Data'!U3333</f>
        <v>8</v>
      </c>
      <c r="G3333" s="2" t="n">
        <f aca="false">'Raw Data'!W3333</f>
        <v>4</v>
      </c>
      <c r="H3333" s="2" t="n">
        <f aca="false">'Raw Data'!V3333</f>
        <v>4</v>
      </c>
      <c r="I3333" s="2" t="n">
        <f aca="false">IF(AND(ISNUMBER(B3333),B3333&lt;=25),2,0)+IF(AND(ISNUMBER(E3333),E3333&lt;=5),2,0)+IF(AND(ISNUMBER(F3333),F3333&lt;=1),2,0)+IF(AND(ISNUMBER(G3333),G3333&lt;=2),1,0)+IF(AND(ISNUMBER(H3333),H3333&lt;=2),1,0)</f>
        <v>0</v>
      </c>
      <c r="J3333" s="2" t="str">
        <f aca="false">IF(I3333&gt;=6,"High",IF(I3333&gt;=3,"Medium","Low"))</f>
        <v>Low</v>
      </c>
    </row>
    <row r="3334" customFormat="false" ht="15" hidden="false" customHeight="true" outlineLevel="0" collapsed="false">
      <c r="A3334" s="2" t="n">
        <f aca="false">'Raw Data'!H3334</f>
        <v>3333</v>
      </c>
      <c r="B3334" s="2" t="n">
        <f aca="false">'Raw Data'!A3334</f>
        <v>43</v>
      </c>
      <c r="C3334" s="2" t="str">
        <f aca="false">'Raw Data'!D3334</f>
        <v>Research &amp; Development</v>
      </c>
      <c r="D3334" s="2" t="str">
        <f aca="false">'Raw Data'!K3334</f>
        <v>Laboratory Technician</v>
      </c>
      <c r="E3334" s="2" t="n">
        <f aca="false">'Raw Data'!Q3334</f>
        <v>12</v>
      </c>
      <c r="F3334" s="2" t="n">
        <f aca="false">'Raw Data'!U3334</f>
        <v>2</v>
      </c>
      <c r="G3334" s="2" t="n">
        <f aca="false">'Raw Data'!W3334</f>
        <v>4</v>
      </c>
      <c r="H3334" s="2" t="n">
        <f aca="false">'Raw Data'!V3334</f>
        <v>4</v>
      </c>
      <c r="I3334" s="2" t="n">
        <f aca="false">IF(AND(ISNUMBER(B3334),B3334&lt;=25),2,0)+IF(AND(ISNUMBER(E3334),E3334&lt;=5),2,0)+IF(AND(ISNUMBER(F3334),F3334&lt;=1),2,0)+IF(AND(ISNUMBER(G3334),G3334&lt;=2),1,0)+IF(AND(ISNUMBER(H3334),H3334&lt;=2),1,0)</f>
        <v>0</v>
      </c>
      <c r="J3334" s="2" t="str">
        <f aca="false">IF(I3334&gt;=6,"High",IF(I3334&gt;=3,"Medium","Low"))</f>
        <v>Low</v>
      </c>
    </row>
    <row r="3335" customFormat="false" ht="15" hidden="false" customHeight="true" outlineLevel="0" collapsed="false">
      <c r="A3335" s="2" t="n">
        <f aca="false">'Raw Data'!H3335</f>
        <v>3334</v>
      </c>
      <c r="B3335" s="2" t="n">
        <f aca="false">'Raw Data'!A3335</f>
        <v>47</v>
      </c>
      <c r="C3335" s="2" t="str">
        <f aca="false">'Raw Data'!D3335</f>
        <v>Sales</v>
      </c>
      <c r="D3335" s="2" t="str">
        <f aca="false">'Raw Data'!K3335</f>
        <v>Research Director</v>
      </c>
      <c r="E3335" s="2" t="n">
        <f aca="false">'Raw Data'!Q3335</f>
        <v>8</v>
      </c>
      <c r="F3335" s="2" t="n">
        <f aca="false">'Raw Data'!U3335</f>
        <v>7</v>
      </c>
      <c r="G3335" s="2" t="n">
        <f aca="false">'Raw Data'!W3335</f>
        <v>4</v>
      </c>
      <c r="H3335" s="2" t="n">
        <f aca="false">'Raw Data'!V3335</f>
        <v>3</v>
      </c>
      <c r="I3335" s="2" t="n">
        <f aca="false">IF(AND(ISNUMBER(B3335),B3335&lt;=25),2,0)+IF(AND(ISNUMBER(E3335),E3335&lt;=5),2,0)+IF(AND(ISNUMBER(F3335),F3335&lt;=1),2,0)+IF(AND(ISNUMBER(G3335),G3335&lt;=2),1,0)+IF(AND(ISNUMBER(H3335),H3335&lt;=2),1,0)</f>
        <v>0</v>
      </c>
      <c r="J3335" s="2" t="str">
        <f aca="false">IF(I3335&gt;=6,"High",IF(I3335&gt;=3,"Medium","Low"))</f>
        <v>Low</v>
      </c>
    </row>
    <row r="3336" customFormat="false" ht="15" hidden="false" customHeight="true" outlineLevel="0" collapsed="false">
      <c r="A3336" s="2" t="n">
        <f aca="false">'Raw Data'!H3336</f>
        <v>3335</v>
      </c>
      <c r="B3336" s="2" t="n">
        <f aca="false">'Raw Data'!A3336</f>
        <v>37</v>
      </c>
      <c r="C3336" s="2" t="str">
        <f aca="false">'Raw Data'!D3336</f>
        <v>Research &amp; Development</v>
      </c>
      <c r="D3336" s="2" t="str">
        <f aca="false">'Raw Data'!K3336</f>
        <v>Research Scientist</v>
      </c>
      <c r="E3336" s="2" t="n">
        <f aca="false">'Raw Data'!Q3336</f>
        <v>10</v>
      </c>
      <c r="F3336" s="2" t="n">
        <f aca="false">'Raw Data'!U3336</f>
        <v>9</v>
      </c>
      <c r="G3336" s="2" t="n">
        <f aca="false">'Raw Data'!W3336</f>
        <v>2</v>
      </c>
      <c r="H3336" s="2" t="n">
        <f aca="false">'Raw Data'!V3336</f>
        <v>1</v>
      </c>
      <c r="I3336" s="2" t="n">
        <f aca="false">IF(AND(ISNUMBER(B3336),B3336&lt;=25),2,0)+IF(AND(ISNUMBER(E3336),E3336&lt;=5),2,0)+IF(AND(ISNUMBER(F3336),F3336&lt;=1),2,0)+IF(AND(ISNUMBER(G3336),G3336&lt;=2),1,0)+IF(AND(ISNUMBER(H3336),H3336&lt;=2),1,0)</f>
        <v>2</v>
      </c>
      <c r="J3336" s="2" t="str">
        <f aca="false">IF(I3336&gt;=6,"High",IF(I3336&gt;=3,"Medium","Low"))</f>
        <v>Low</v>
      </c>
    </row>
    <row r="3337" customFormat="false" ht="15" hidden="false" customHeight="true" outlineLevel="0" collapsed="false">
      <c r="A3337" s="2" t="n">
        <f aca="false">'Raw Data'!H3337</f>
        <v>3336</v>
      </c>
      <c r="B3337" s="2" t="n">
        <f aca="false">'Raw Data'!A3337</f>
        <v>50</v>
      </c>
      <c r="C3337" s="2" t="str">
        <f aca="false">'Raw Data'!D3337</f>
        <v>Research &amp; Development</v>
      </c>
      <c r="D3337" s="2" t="str">
        <f aca="false">'Raw Data'!K3337</f>
        <v>Laboratory Technician</v>
      </c>
      <c r="E3337" s="2" t="n">
        <f aca="false">'Raw Data'!Q3337</f>
        <v>31</v>
      </c>
      <c r="F3337" s="2" t="n">
        <f aca="false">'Raw Data'!U3337</f>
        <v>7</v>
      </c>
      <c r="G3337" s="2" t="n">
        <f aca="false">'Raw Data'!W3337</f>
        <v>1</v>
      </c>
      <c r="H3337" s="2" t="n">
        <f aca="false">'Raw Data'!V3337</f>
        <v>1</v>
      </c>
      <c r="I3337" s="2" t="n">
        <f aca="false">IF(AND(ISNUMBER(B3337),B3337&lt;=25),2,0)+IF(AND(ISNUMBER(E3337),E3337&lt;=5),2,0)+IF(AND(ISNUMBER(F3337),F3337&lt;=1),2,0)+IF(AND(ISNUMBER(G3337),G3337&lt;=2),1,0)+IF(AND(ISNUMBER(H3337),H3337&lt;=2),1,0)</f>
        <v>2</v>
      </c>
      <c r="J3337" s="2" t="str">
        <f aca="false">IF(I3337&gt;=6,"High",IF(I3337&gt;=3,"Medium","Low"))</f>
        <v>Low</v>
      </c>
    </row>
    <row r="3338" customFormat="false" ht="15" hidden="false" customHeight="true" outlineLevel="0" collapsed="false">
      <c r="A3338" s="2" t="n">
        <f aca="false">'Raw Data'!H3338</f>
        <v>3337</v>
      </c>
      <c r="B3338" s="2" t="n">
        <f aca="false">'Raw Data'!A3338</f>
        <v>39</v>
      </c>
      <c r="C3338" s="2" t="str">
        <f aca="false">'Raw Data'!D3338</f>
        <v>Research &amp; Development</v>
      </c>
      <c r="D3338" s="2" t="str">
        <f aca="false">'Raw Data'!K3338</f>
        <v>Human Resources</v>
      </c>
      <c r="E3338" s="2" t="n">
        <f aca="false">'Raw Data'!Q3338</f>
        <v>13</v>
      </c>
      <c r="F3338" s="2" t="n">
        <f aca="false">'Raw Data'!U3338</f>
        <v>4</v>
      </c>
      <c r="G3338" s="2" t="n">
        <f aca="false">'Raw Data'!W3338</f>
        <v>4</v>
      </c>
      <c r="H3338" s="2" t="n">
        <f aca="false">'Raw Data'!V3338</f>
        <v>4</v>
      </c>
      <c r="I3338" s="2" t="n">
        <f aca="false">IF(AND(ISNUMBER(B3338),B3338&lt;=25),2,0)+IF(AND(ISNUMBER(E3338),E3338&lt;=5),2,0)+IF(AND(ISNUMBER(F3338),F3338&lt;=1),2,0)+IF(AND(ISNUMBER(G3338),G3338&lt;=2),1,0)+IF(AND(ISNUMBER(H3338),H3338&lt;=2),1,0)</f>
        <v>0</v>
      </c>
      <c r="J3338" s="2" t="str">
        <f aca="false">IF(I3338&gt;=6,"High",IF(I3338&gt;=3,"Medium","Low"))</f>
        <v>Low</v>
      </c>
    </row>
    <row r="3339" customFormat="false" ht="15" hidden="false" customHeight="true" outlineLevel="0" collapsed="false">
      <c r="A3339" s="2" t="n">
        <f aca="false">'Raw Data'!H3339</f>
        <v>3338</v>
      </c>
      <c r="B3339" s="2" t="n">
        <f aca="false">'Raw Data'!A3339</f>
        <v>33</v>
      </c>
      <c r="C3339" s="2" t="str">
        <f aca="false">'Raw Data'!D3339</f>
        <v>Sales</v>
      </c>
      <c r="D3339" s="2" t="str">
        <f aca="false">'Raw Data'!K3339</f>
        <v>Manufacturing Director</v>
      </c>
      <c r="E3339" s="2" t="n">
        <f aca="false">'Raw Data'!Q3339</f>
        <v>7</v>
      </c>
      <c r="F3339" s="2" t="n">
        <f aca="false">'Raw Data'!U3339</f>
        <v>3</v>
      </c>
      <c r="G3339" s="2" t="n">
        <f aca="false">'Raw Data'!W3339</f>
        <v>2</v>
      </c>
      <c r="H3339" s="2" t="n">
        <f aca="false">'Raw Data'!V3339</f>
        <v>4</v>
      </c>
      <c r="I3339" s="2" t="n">
        <f aca="false">IF(AND(ISNUMBER(B3339),B3339&lt;=25),2,0)+IF(AND(ISNUMBER(E3339),E3339&lt;=5),2,0)+IF(AND(ISNUMBER(F3339),F3339&lt;=1),2,0)+IF(AND(ISNUMBER(G3339),G3339&lt;=2),1,0)+IF(AND(ISNUMBER(H3339),H3339&lt;=2),1,0)</f>
        <v>1</v>
      </c>
      <c r="J3339" s="2" t="str">
        <f aca="false">IF(I3339&gt;=6,"High",IF(I3339&gt;=3,"Medium","Low"))</f>
        <v>Low</v>
      </c>
    </row>
    <row r="3340" customFormat="false" ht="15" hidden="false" customHeight="true" outlineLevel="0" collapsed="false">
      <c r="A3340" s="2" t="n">
        <f aca="false">'Raw Data'!H3340</f>
        <v>3339</v>
      </c>
      <c r="B3340" s="2" t="n">
        <f aca="false">'Raw Data'!A3340</f>
        <v>32</v>
      </c>
      <c r="C3340" s="2" t="str">
        <f aca="false">'Raw Data'!D3340</f>
        <v>Research &amp; Development</v>
      </c>
      <c r="D3340" s="2" t="str">
        <f aca="false">'Raw Data'!K3340</f>
        <v>Laboratory Technician</v>
      </c>
      <c r="E3340" s="2" t="n">
        <f aca="false">'Raw Data'!Q3340</f>
        <v>1</v>
      </c>
      <c r="F3340" s="2" t="n">
        <f aca="false">'Raw Data'!U3340</f>
        <v>1</v>
      </c>
      <c r="G3340" s="2" t="n">
        <f aca="false">'Raw Data'!W3340</f>
        <v>4</v>
      </c>
      <c r="H3340" s="2" t="n">
        <f aca="false">'Raw Data'!V3340</f>
        <v>1</v>
      </c>
      <c r="I3340" s="2" t="n">
        <f aca="false">IF(AND(ISNUMBER(B3340),B3340&lt;=25),2,0)+IF(AND(ISNUMBER(E3340),E3340&lt;=5),2,0)+IF(AND(ISNUMBER(F3340),F3340&lt;=1),2,0)+IF(AND(ISNUMBER(G3340),G3340&lt;=2),1,0)+IF(AND(ISNUMBER(H3340),H3340&lt;=2),1,0)</f>
        <v>5</v>
      </c>
      <c r="J3340" s="2" t="str">
        <f aca="false">IF(I3340&gt;=6,"High",IF(I3340&gt;=3,"Medium","Low"))</f>
        <v>Medium</v>
      </c>
    </row>
    <row r="3341" customFormat="false" ht="15" hidden="false" customHeight="true" outlineLevel="0" collapsed="false">
      <c r="A3341" s="2" t="n">
        <f aca="false">'Raw Data'!H3341</f>
        <v>3340</v>
      </c>
      <c r="B3341" s="2" t="n">
        <f aca="false">'Raw Data'!A3341</f>
        <v>29</v>
      </c>
      <c r="C3341" s="2" t="str">
        <f aca="false">'Raw Data'!D3341</f>
        <v>Research &amp; Development</v>
      </c>
      <c r="D3341" s="2" t="str">
        <f aca="false">'Raw Data'!K3341</f>
        <v>Healthcare Representative</v>
      </c>
      <c r="E3341" s="2" t="n">
        <f aca="false">'Raw Data'!Q3341</f>
        <v>8</v>
      </c>
      <c r="F3341" s="2" t="n">
        <f aca="false">'Raw Data'!U3341</f>
        <v>3</v>
      </c>
      <c r="G3341" s="2" t="n">
        <f aca="false">'Raw Data'!W3341</f>
        <v>4</v>
      </c>
      <c r="H3341" s="2" t="n">
        <f aca="false">'Raw Data'!V3341</f>
        <v>1</v>
      </c>
      <c r="I3341" s="2" t="n">
        <f aca="false">IF(AND(ISNUMBER(B3341),B3341&lt;=25),2,0)+IF(AND(ISNUMBER(E3341),E3341&lt;=5),2,0)+IF(AND(ISNUMBER(F3341),F3341&lt;=1),2,0)+IF(AND(ISNUMBER(G3341),G3341&lt;=2),1,0)+IF(AND(ISNUMBER(H3341),H3341&lt;=2),1,0)</f>
        <v>1</v>
      </c>
      <c r="J3341" s="2" t="str">
        <f aca="false">IF(I3341&gt;=6,"High",IF(I3341&gt;=3,"Medium","Low"))</f>
        <v>Low</v>
      </c>
    </row>
    <row r="3342" customFormat="false" ht="15" hidden="false" customHeight="true" outlineLevel="0" collapsed="false">
      <c r="A3342" s="2" t="n">
        <f aca="false">'Raw Data'!H3342</f>
        <v>3341</v>
      </c>
      <c r="B3342" s="2" t="n">
        <f aca="false">'Raw Data'!A3342</f>
        <v>44</v>
      </c>
      <c r="C3342" s="2" t="str">
        <f aca="false">'Raw Data'!D3342</f>
        <v>Research &amp; Development</v>
      </c>
      <c r="D3342" s="2" t="str">
        <f aca="false">'Raw Data'!K3342</f>
        <v>Manufacturing Director</v>
      </c>
      <c r="E3342" s="2" t="n">
        <f aca="false">'Raw Data'!Q3342</f>
        <v>8</v>
      </c>
      <c r="F3342" s="2" t="n">
        <f aca="false">'Raw Data'!U3342</f>
        <v>1</v>
      </c>
      <c r="G3342" s="2" t="n">
        <f aca="false">'Raw Data'!W3342</f>
        <v>1</v>
      </c>
      <c r="H3342" s="2" t="n">
        <f aca="false">'Raw Data'!V3342</f>
        <v>2</v>
      </c>
      <c r="I3342" s="2" t="n">
        <f aca="false">IF(AND(ISNUMBER(B3342),B3342&lt;=25),2,0)+IF(AND(ISNUMBER(E3342),E3342&lt;=5),2,0)+IF(AND(ISNUMBER(F3342),F3342&lt;=1),2,0)+IF(AND(ISNUMBER(G3342),G3342&lt;=2),1,0)+IF(AND(ISNUMBER(H3342),H3342&lt;=2),1,0)</f>
        <v>4</v>
      </c>
      <c r="J3342" s="2" t="str">
        <f aca="false">IF(I3342&gt;=6,"High",IF(I3342&gt;=3,"Medium","Low"))</f>
        <v>Medium</v>
      </c>
    </row>
    <row r="3343" customFormat="false" ht="15" hidden="false" customHeight="true" outlineLevel="0" collapsed="false">
      <c r="A3343" s="2" t="n">
        <f aca="false">'Raw Data'!H3343</f>
        <v>3342</v>
      </c>
      <c r="B3343" s="2" t="n">
        <f aca="false">'Raw Data'!A3343</f>
        <v>28</v>
      </c>
      <c r="C3343" s="2" t="str">
        <f aca="false">'Raw Data'!D3343</f>
        <v>Sales</v>
      </c>
      <c r="D3343" s="2" t="str">
        <f aca="false">'Raw Data'!K3343</f>
        <v>Research Scientist</v>
      </c>
      <c r="E3343" s="2" t="n">
        <f aca="false">'Raw Data'!Q3343</f>
        <v>4</v>
      </c>
      <c r="F3343" s="2" t="n">
        <f aca="false">'Raw Data'!U3343</f>
        <v>2</v>
      </c>
      <c r="G3343" s="2" t="n">
        <f aca="false">'Raw Data'!W3343</f>
        <v>4</v>
      </c>
      <c r="H3343" s="2" t="n">
        <f aca="false">'Raw Data'!V3343</f>
        <v>1</v>
      </c>
      <c r="I3343" s="2" t="n">
        <f aca="false">IF(AND(ISNUMBER(B3343),B3343&lt;=25),2,0)+IF(AND(ISNUMBER(E3343),E3343&lt;=5),2,0)+IF(AND(ISNUMBER(F3343),F3343&lt;=1),2,0)+IF(AND(ISNUMBER(G3343),G3343&lt;=2),1,0)+IF(AND(ISNUMBER(H3343),H3343&lt;=2),1,0)</f>
        <v>3</v>
      </c>
      <c r="J3343" s="2" t="str">
        <f aca="false">IF(I3343&gt;=6,"High",IF(I3343&gt;=3,"Medium","Low"))</f>
        <v>Medium</v>
      </c>
    </row>
    <row r="3344" customFormat="false" ht="15" hidden="false" customHeight="true" outlineLevel="0" collapsed="false">
      <c r="A3344" s="2" t="n">
        <f aca="false">'Raw Data'!H3344</f>
        <v>3343</v>
      </c>
      <c r="B3344" s="2" t="n">
        <f aca="false">'Raw Data'!A3344</f>
        <v>58</v>
      </c>
      <c r="C3344" s="2" t="str">
        <f aca="false">'Raw Data'!D3344</f>
        <v>Sales</v>
      </c>
      <c r="D3344" s="2" t="str">
        <f aca="false">'Raw Data'!K3344</f>
        <v>Sales Executive</v>
      </c>
      <c r="E3344" s="2" t="n">
        <f aca="false">'Raw Data'!Q3344</f>
        <v>3</v>
      </c>
      <c r="F3344" s="2" t="n">
        <f aca="false">'Raw Data'!U3344</f>
        <v>0</v>
      </c>
      <c r="G3344" s="2" t="n">
        <f aca="false">'Raw Data'!W3344</f>
        <v>4</v>
      </c>
      <c r="H3344" s="2" t="n">
        <f aca="false">'Raw Data'!V3344</f>
        <v>4</v>
      </c>
      <c r="I3344" s="2" t="n">
        <f aca="false">IF(AND(ISNUMBER(B3344),B3344&lt;=25),2,0)+IF(AND(ISNUMBER(E3344),E3344&lt;=5),2,0)+IF(AND(ISNUMBER(F3344),F3344&lt;=1),2,0)+IF(AND(ISNUMBER(G3344),G3344&lt;=2),1,0)+IF(AND(ISNUMBER(H3344),H3344&lt;=2),1,0)</f>
        <v>4</v>
      </c>
      <c r="J3344" s="2" t="str">
        <f aca="false">IF(I3344&gt;=6,"High",IF(I3344&gt;=3,"Medium","Low"))</f>
        <v>Medium</v>
      </c>
    </row>
    <row r="3345" customFormat="false" ht="15" hidden="false" customHeight="true" outlineLevel="0" collapsed="false">
      <c r="A3345" s="2" t="n">
        <f aca="false">'Raw Data'!H3345</f>
        <v>3344</v>
      </c>
      <c r="B3345" s="2" t="n">
        <f aca="false">'Raw Data'!A3345</f>
        <v>43</v>
      </c>
      <c r="C3345" s="2" t="str">
        <f aca="false">'Raw Data'!D3345</f>
        <v>Sales</v>
      </c>
      <c r="D3345" s="2" t="str">
        <f aca="false">'Raw Data'!K3345</f>
        <v>Sales Executive</v>
      </c>
      <c r="E3345" s="2" t="n">
        <f aca="false">'Raw Data'!Q3345</f>
        <v>4</v>
      </c>
      <c r="F3345" s="2" t="n">
        <f aca="false">'Raw Data'!U3345</f>
        <v>0</v>
      </c>
      <c r="G3345" s="2" t="n">
        <f aca="false">'Raw Data'!W3345</f>
        <v>2</v>
      </c>
      <c r="H3345" s="2" t="n">
        <f aca="false">'Raw Data'!V3345</f>
        <v>1</v>
      </c>
      <c r="I3345" s="2" t="n">
        <f aca="false">IF(AND(ISNUMBER(B3345),B3345&lt;=25),2,0)+IF(AND(ISNUMBER(E3345),E3345&lt;=5),2,0)+IF(AND(ISNUMBER(F3345),F3345&lt;=1),2,0)+IF(AND(ISNUMBER(G3345),G3345&lt;=2),1,0)+IF(AND(ISNUMBER(H3345),H3345&lt;=2),1,0)</f>
        <v>6</v>
      </c>
      <c r="J3345" s="2" t="str">
        <f aca="false">IF(I3345&gt;=6,"High",IF(I3345&gt;=3,"Medium","Low"))</f>
        <v>High</v>
      </c>
    </row>
    <row r="3346" customFormat="false" ht="15" hidden="false" customHeight="true" outlineLevel="0" collapsed="false">
      <c r="A3346" s="2" t="n">
        <f aca="false">'Raw Data'!H3346</f>
        <v>3345</v>
      </c>
      <c r="B3346" s="2" t="n">
        <f aca="false">'Raw Data'!A3346</f>
        <v>20</v>
      </c>
      <c r="C3346" s="2" t="str">
        <f aca="false">'Raw Data'!D3346</f>
        <v>Research &amp; Development</v>
      </c>
      <c r="D3346" s="2" t="str">
        <f aca="false">'Raw Data'!K3346</f>
        <v>Sales Executive</v>
      </c>
      <c r="E3346" s="2" t="n">
        <f aca="false">'Raw Data'!Q3346</f>
        <v>2</v>
      </c>
      <c r="F3346" s="2" t="n">
        <f aca="false">'Raw Data'!U3346</f>
        <v>2</v>
      </c>
      <c r="G3346" s="2" t="n">
        <f aca="false">'Raw Data'!W3346</f>
        <v>3</v>
      </c>
      <c r="H3346" s="2" t="n">
        <f aca="false">'Raw Data'!V3346</f>
        <v>3</v>
      </c>
      <c r="I3346" s="2" t="n">
        <f aca="false">IF(AND(ISNUMBER(B3346),B3346&lt;=25),2,0)+IF(AND(ISNUMBER(E3346),E3346&lt;=5),2,0)+IF(AND(ISNUMBER(F3346),F3346&lt;=1),2,0)+IF(AND(ISNUMBER(G3346),G3346&lt;=2),1,0)+IF(AND(ISNUMBER(H3346),H3346&lt;=2),1,0)</f>
        <v>4</v>
      </c>
      <c r="J3346" s="2" t="str">
        <f aca="false">IF(I3346&gt;=6,"High",IF(I3346&gt;=3,"Medium","Low"))</f>
        <v>Medium</v>
      </c>
    </row>
    <row r="3347" customFormat="false" ht="15" hidden="false" customHeight="true" outlineLevel="0" collapsed="false">
      <c r="A3347" s="2" t="n">
        <f aca="false">'Raw Data'!H3347</f>
        <v>3346</v>
      </c>
      <c r="B3347" s="2" t="n">
        <f aca="false">'Raw Data'!A3347</f>
        <v>21</v>
      </c>
      <c r="C3347" s="2" t="str">
        <f aca="false">'Raw Data'!D3347</f>
        <v>Research &amp; Development</v>
      </c>
      <c r="D3347" s="2" t="str">
        <f aca="false">'Raw Data'!K3347</f>
        <v>Sales Executive</v>
      </c>
      <c r="E3347" s="2" t="n">
        <f aca="false">'Raw Data'!Q3347</f>
        <v>1</v>
      </c>
      <c r="F3347" s="2" t="n">
        <f aca="false">'Raw Data'!U3347</f>
        <v>0</v>
      </c>
      <c r="G3347" s="2" t="n">
        <f aca="false">'Raw Data'!W3347</f>
        <v>4</v>
      </c>
      <c r="H3347" s="2" t="n">
        <f aca="false">'Raw Data'!V3347</f>
        <v>4</v>
      </c>
      <c r="I3347" s="2" t="n">
        <f aca="false">IF(AND(ISNUMBER(B3347),B3347&lt;=25),2,0)+IF(AND(ISNUMBER(E3347),E3347&lt;=5),2,0)+IF(AND(ISNUMBER(F3347),F3347&lt;=1),2,0)+IF(AND(ISNUMBER(G3347),G3347&lt;=2),1,0)+IF(AND(ISNUMBER(H3347),H3347&lt;=2),1,0)</f>
        <v>6</v>
      </c>
      <c r="J3347" s="2" t="str">
        <f aca="false">IF(I3347&gt;=6,"High",IF(I3347&gt;=3,"Medium","Low"))</f>
        <v>High</v>
      </c>
    </row>
    <row r="3348" customFormat="false" ht="15" hidden="false" customHeight="true" outlineLevel="0" collapsed="false">
      <c r="A3348" s="2" t="n">
        <f aca="false">'Raw Data'!H3348</f>
        <v>3347</v>
      </c>
      <c r="B3348" s="2" t="n">
        <f aca="false">'Raw Data'!A3348</f>
        <v>36</v>
      </c>
      <c r="C3348" s="2" t="str">
        <f aca="false">'Raw Data'!D3348</f>
        <v>Research &amp; Development</v>
      </c>
      <c r="D3348" s="2" t="str">
        <f aca="false">'Raw Data'!K3348</f>
        <v>Laboratory Technician</v>
      </c>
      <c r="E3348" s="2" t="n">
        <f aca="false">'Raw Data'!Q3348</f>
        <v>17</v>
      </c>
      <c r="F3348" s="2" t="n">
        <f aca="false">'Raw Data'!U3348</f>
        <v>11</v>
      </c>
      <c r="G3348" s="2" t="n">
        <f aca="false">'Raw Data'!W3348</f>
        <v>4</v>
      </c>
      <c r="H3348" s="2" t="n">
        <f aca="false">'Raw Data'!V3348</f>
        <v>3</v>
      </c>
      <c r="I3348" s="2" t="n">
        <f aca="false">IF(AND(ISNUMBER(B3348),B3348&lt;=25),2,0)+IF(AND(ISNUMBER(E3348),E3348&lt;=5),2,0)+IF(AND(ISNUMBER(F3348),F3348&lt;=1),2,0)+IF(AND(ISNUMBER(G3348),G3348&lt;=2),1,0)+IF(AND(ISNUMBER(H3348),H3348&lt;=2),1,0)</f>
        <v>0</v>
      </c>
      <c r="J3348" s="2" t="str">
        <f aca="false">IF(I3348&gt;=6,"High",IF(I3348&gt;=3,"Medium","Low"))</f>
        <v>Low</v>
      </c>
    </row>
    <row r="3349" customFormat="false" ht="15" hidden="false" customHeight="true" outlineLevel="0" collapsed="false">
      <c r="A3349" s="2" t="n">
        <f aca="false">'Raw Data'!H3349</f>
        <v>3348</v>
      </c>
      <c r="B3349" s="2" t="n">
        <f aca="false">'Raw Data'!A3349</f>
        <v>47</v>
      </c>
      <c r="C3349" s="2" t="str">
        <f aca="false">'Raw Data'!D3349</f>
        <v>Research &amp; Development</v>
      </c>
      <c r="D3349" s="2" t="str">
        <f aca="false">'Raw Data'!K3349</f>
        <v>Manufacturing Director</v>
      </c>
      <c r="E3349" s="2" t="n">
        <f aca="false">'Raw Data'!Q3349</f>
        <v>3</v>
      </c>
      <c r="F3349" s="2" t="n">
        <f aca="false">'Raw Data'!U3349</f>
        <v>2</v>
      </c>
      <c r="G3349" s="2" t="n">
        <f aca="false">'Raw Data'!W3349</f>
        <v>4</v>
      </c>
      <c r="H3349" s="2" t="n">
        <f aca="false">'Raw Data'!V3349</f>
        <v>4</v>
      </c>
      <c r="I3349" s="2" t="n">
        <f aca="false">IF(AND(ISNUMBER(B3349),B3349&lt;=25),2,0)+IF(AND(ISNUMBER(E3349),E3349&lt;=5),2,0)+IF(AND(ISNUMBER(F3349),F3349&lt;=1),2,0)+IF(AND(ISNUMBER(G3349),G3349&lt;=2),1,0)+IF(AND(ISNUMBER(H3349),H3349&lt;=2),1,0)</f>
        <v>2</v>
      </c>
      <c r="J3349" s="2" t="str">
        <f aca="false">IF(I3349&gt;=6,"High",IF(I3349&gt;=3,"Medium","Low"))</f>
        <v>Low</v>
      </c>
    </row>
    <row r="3350" customFormat="false" ht="15" hidden="false" customHeight="true" outlineLevel="0" collapsed="false">
      <c r="A3350" s="2" t="n">
        <f aca="false">'Raw Data'!H3350</f>
        <v>3349</v>
      </c>
      <c r="B3350" s="2" t="n">
        <f aca="false">'Raw Data'!A3350</f>
        <v>22</v>
      </c>
      <c r="C3350" s="2" t="str">
        <f aca="false">'Raw Data'!D3350</f>
        <v>Research &amp; Development</v>
      </c>
      <c r="D3350" s="2" t="str">
        <f aca="false">'Raw Data'!K3350</f>
        <v>Laboratory Technician</v>
      </c>
      <c r="E3350" s="2" t="n">
        <f aca="false">'Raw Data'!Q3350</f>
        <v>4</v>
      </c>
      <c r="F3350" s="2" t="n">
        <f aca="false">'Raw Data'!U3350</f>
        <v>2</v>
      </c>
      <c r="G3350" s="2" t="n">
        <f aca="false">'Raw Data'!W3350</f>
        <v>3</v>
      </c>
      <c r="H3350" s="2" t="n">
        <f aca="false">'Raw Data'!V3350</f>
        <v>2</v>
      </c>
      <c r="I3350" s="2" t="n">
        <f aca="false">IF(AND(ISNUMBER(B3350),B3350&lt;=25),2,0)+IF(AND(ISNUMBER(E3350),E3350&lt;=5),2,0)+IF(AND(ISNUMBER(F3350),F3350&lt;=1),2,0)+IF(AND(ISNUMBER(G3350),G3350&lt;=2),1,0)+IF(AND(ISNUMBER(H3350),H3350&lt;=2),1,0)</f>
        <v>5</v>
      </c>
      <c r="J3350" s="2" t="str">
        <f aca="false">IF(I3350&gt;=6,"High",IF(I3350&gt;=3,"Medium","Low"))</f>
        <v>Medium</v>
      </c>
    </row>
    <row r="3351" customFormat="false" ht="15" hidden="false" customHeight="true" outlineLevel="0" collapsed="false">
      <c r="A3351" s="2" t="n">
        <f aca="false">'Raw Data'!H3351</f>
        <v>3350</v>
      </c>
      <c r="B3351" s="2" t="n">
        <f aca="false">'Raw Data'!A3351</f>
        <v>41</v>
      </c>
      <c r="C3351" s="2" t="str">
        <f aca="false">'Raw Data'!D3351</f>
        <v>Research &amp; Development</v>
      </c>
      <c r="D3351" s="2" t="str">
        <f aca="false">'Raw Data'!K3351</f>
        <v>Sales Executive</v>
      </c>
      <c r="E3351" s="2" t="n">
        <f aca="false">'Raw Data'!Q3351</f>
        <v>10</v>
      </c>
      <c r="F3351" s="2" t="n">
        <f aca="false">'Raw Data'!U3351</f>
        <v>0</v>
      </c>
      <c r="G3351" s="2" t="n">
        <f aca="false">'Raw Data'!W3351</f>
        <v>4</v>
      </c>
      <c r="H3351" s="2" t="n">
        <f aca="false">'Raw Data'!V3351</f>
        <v>2</v>
      </c>
      <c r="I3351" s="2" t="n">
        <f aca="false">IF(AND(ISNUMBER(B3351),B3351&lt;=25),2,0)+IF(AND(ISNUMBER(E3351),E3351&lt;=5),2,0)+IF(AND(ISNUMBER(F3351),F3351&lt;=1),2,0)+IF(AND(ISNUMBER(G3351),G3351&lt;=2),1,0)+IF(AND(ISNUMBER(H3351),H3351&lt;=2),1,0)</f>
        <v>3</v>
      </c>
      <c r="J3351" s="2" t="str">
        <f aca="false">IF(I3351&gt;=6,"High",IF(I3351&gt;=3,"Medium","Low"))</f>
        <v>Medium</v>
      </c>
    </row>
    <row r="3352" customFormat="false" ht="15" hidden="false" customHeight="true" outlineLevel="0" collapsed="false">
      <c r="A3352" s="2" t="n">
        <f aca="false">'Raw Data'!H3352</f>
        <v>3351</v>
      </c>
      <c r="B3352" s="2" t="n">
        <f aca="false">'Raw Data'!A3352</f>
        <v>28</v>
      </c>
      <c r="C3352" s="2" t="str">
        <f aca="false">'Raw Data'!D3352</f>
        <v>Research &amp; Development</v>
      </c>
      <c r="D3352" s="2" t="str">
        <f aca="false">'Raw Data'!K3352</f>
        <v>Manager</v>
      </c>
      <c r="E3352" s="2" t="n">
        <f aca="false">'Raw Data'!Q3352</f>
        <v>6</v>
      </c>
      <c r="F3352" s="2" t="n">
        <f aca="false">'Raw Data'!U3352</f>
        <v>2</v>
      </c>
      <c r="G3352" s="2" t="n">
        <f aca="false">'Raw Data'!W3352</f>
        <v>3</v>
      </c>
      <c r="H3352" s="2" t="n">
        <f aca="false">'Raw Data'!V3352</f>
        <v>3</v>
      </c>
      <c r="I3352" s="2" t="n">
        <f aca="false">IF(AND(ISNUMBER(B3352),B3352&lt;=25),2,0)+IF(AND(ISNUMBER(E3352),E3352&lt;=5),2,0)+IF(AND(ISNUMBER(F3352),F3352&lt;=1),2,0)+IF(AND(ISNUMBER(G3352),G3352&lt;=2),1,0)+IF(AND(ISNUMBER(H3352),H3352&lt;=2),1,0)</f>
        <v>0</v>
      </c>
      <c r="J3352" s="2" t="str">
        <f aca="false">IF(I3352&gt;=6,"High",IF(I3352&gt;=3,"Medium","Low"))</f>
        <v>Low</v>
      </c>
    </row>
    <row r="3353" customFormat="false" ht="15" hidden="false" customHeight="true" outlineLevel="0" collapsed="false">
      <c r="A3353" s="2" t="n">
        <f aca="false">'Raw Data'!H3353</f>
        <v>3352</v>
      </c>
      <c r="B3353" s="2" t="n">
        <f aca="false">'Raw Data'!A3353</f>
        <v>39</v>
      </c>
      <c r="C3353" s="2" t="str">
        <f aca="false">'Raw Data'!D3353</f>
        <v>Research &amp; Development</v>
      </c>
      <c r="D3353" s="2" t="str">
        <f aca="false">'Raw Data'!K3353</f>
        <v>Human Resources</v>
      </c>
      <c r="E3353" s="2" t="n">
        <f aca="false">'Raw Data'!Q3353</f>
        <v>8</v>
      </c>
      <c r="F3353" s="2" t="n">
        <f aca="false">'Raw Data'!U3353</f>
        <v>2</v>
      </c>
      <c r="G3353" s="2" t="n">
        <f aca="false">'Raw Data'!W3353</f>
        <v>1</v>
      </c>
      <c r="H3353" s="2" t="n">
        <f aca="false">'Raw Data'!V3353</f>
        <v>4</v>
      </c>
      <c r="I3353" s="2" t="n">
        <f aca="false">IF(AND(ISNUMBER(B3353),B3353&lt;=25),2,0)+IF(AND(ISNUMBER(E3353),E3353&lt;=5),2,0)+IF(AND(ISNUMBER(F3353),F3353&lt;=1),2,0)+IF(AND(ISNUMBER(G3353),G3353&lt;=2),1,0)+IF(AND(ISNUMBER(H3353),H3353&lt;=2),1,0)</f>
        <v>1</v>
      </c>
      <c r="J3353" s="2" t="str">
        <f aca="false">IF(I3353&gt;=6,"High",IF(I3353&gt;=3,"Medium","Low"))</f>
        <v>Low</v>
      </c>
    </row>
    <row r="3354" customFormat="false" ht="15" hidden="false" customHeight="true" outlineLevel="0" collapsed="false">
      <c r="A3354" s="2" t="n">
        <f aca="false">'Raw Data'!H3354</f>
        <v>3353</v>
      </c>
      <c r="B3354" s="2" t="n">
        <f aca="false">'Raw Data'!A3354</f>
        <v>27</v>
      </c>
      <c r="C3354" s="2" t="str">
        <f aca="false">'Raw Data'!D3354</f>
        <v>Research &amp; Development</v>
      </c>
      <c r="D3354" s="2" t="str">
        <f aca="false">'Raw Data'!K3354</f>
        <v>Research Scientist</v>
      </c>
      <c r="E3354" s="2" t="n">
        <f aca="false">'Raw Data'!Q3354</f>
        <v>1</v>
      </c>
      <c r="F3354" s="2" t="n">
        <f aca="false">'Raw Data'!U3354</f>
        <v>0</v>
      </c>
      <c r="G3354" s="2" t="n">
        <f aca="false">'Raw Data'!W3354</f>
        <v>3</v>
      </c>
      <c r="H3354" s="2" t="n">
        <f aca="false">'Raw Data'!V3354</f>
        <v>2</v>
      </c>
      <c r="I3354" s="2" t="n">
        <f aca="false">IF(AND(ISNUMBER(B3354),B3354&lt;=25),2,0)+IF(AND(ISNUMBER(E3354),E3354&lt;=5),2,0)+IF(AND(ISNUMBER(F3354),F3354&lt;=1),2,0)+IF(AND(ISNUMBER(G3354),G3354&lt;=2),1,0)+IF(AND(ISNUMBER(H3354),H3354&lt;=2),1,0)</f>
        <v>5</v>
      </c>
      <c r="J3354" s="2" t="str">
        <f aca="false">IF(I3354&gt;=6,"High",IF(I3354&gt;=3,"Medium","Low"))</f>
        <v>Medium</v>
      </c>
    </row>
    <row r="3355" customFormat="false" ht="15" hidden="false" customHeight="true" outlineLevel="0" collapsed="false">
      <c r="A3355" s="2" t="n">
        <f aca="false">'Raw Data'!H3355</f>
        <v>3354</v>
      </c>
      <c r="B3355" s="2" t="n">
        <f aca="false">'Raw Data'!A3355</f>
        <v>34</v>
      </c>
      <c r="C3355" s="2" t="str">
        <f aca="false">'Raw Data'!D3355</f>
        <v>Research &amp; Development</v>
      </c>
      <c r="D3355" s="2" t="str">
        <f aca="false">'Raw Data'!K3355</f>
        <v>Human Resources</v>
      </c>
      <c r="E3355" s="2" t="n">
        <f aca="false">'Raw Data'!Q3355</f>
        <v>1</v>
      </c>
      <c r="F3355" s="2" t="n">
        <f aca="false">'Raw Data'!U3355</f>
        <v>0</v>
      </c>
      <c r="G3355" s="2" t="n">
        <f aca="false">'Raw Data'!W3355</f>
        <v>2</v>
      </c>
      <c r="H3355" s="2" t="n">
        <f aca="false">'Raw Data'!V3355</f>
        <v>2</v>
      </c>
      <c r="I3355" s="2" t="n">
        <f aca="false">IF(AND(ISNUMBER(B3355),B3355&lt;=25),2,0)+IF(AND(ISNUMBER(E3355),E3355&lt;=5),2,0)+IF(AND(ISNUMBER(F3355),F3355&lt;=1),2,0)+IF(AND(ISNUMBER(G3355),G3355&lt;=2),1,0)+IF(AND(ISNUMBER(H3355),H3355&lt;=2),1,0)</f>
        <v>6</v>
      </c>
      <c r="J3355" s="2" t="str">
        <f aca="false">IF(I3355&gt;=6,"High",IF(I3355&gt;=3,"Medium","Low"))</f>
        <v>High</v>
      </c>
    </row>
    <row r="3356" customFormat="false" ht="15" hidden="false" customHeight="true" outlineLevel="0" collapsed="false">
      <c r="A3356" s="2" t="n">
        <f aca="false">'Raw Data'!H3356</f>
        <v>3355</v>
      </c>
      <c r="B3356" s="2" t="n">
        <f aca="false">'Raw Data'!A3356</f>
        <v>42</v>
      </c>
      <c r="C3356" s="2" t="str">
        <f aca="false">'Raw Data'!D3356</f>
        <v>Sales</v>
      </c>
      <c r="D3356" s="2" t="str">
        <f aca="false">'Raw Data'!K3356</f>
        <v>Human Resources</v>
      </c>
      <c r="E3356" s="2" t="n">
        <f aca="false">'Raw Data'!Q3356</f>
        <v>10</v>
      </c>
      <c r="F3356" s="2" t="n">
        <f aca="false">'Raw Data'!U3356</f>
        <v>3</v>
      </c>
      <c r="G3356" s="2" t="n">
        <f aca="false">'Raw Data'!W3356</f>
        <v>3</v>
      </c>
      <c r="H3356" s="2" t="n">
        <f aca="false">'Raw Data'!V3356</f>
        <v>3</v>
      </c>
      <c r="I3356" s="2" t="n">
        <f aca="false">IF(AND(ISNUMBER(B3356),B3356&lt;=25),2,0)+IF(AND(ISNUMBER(E3356),E3356&lt;=5),2,0)+IF(AND(ISNUMBER(F3356),F3356&lt;=1),2,0)+IF(AND(ISNUMBER(G3356),G3356&lt;=2),1,0)+IF(AND(ISNUMBER(H3356),H3356&lt;=2),1,0)</f>
        <v>0</v>
      </c>
      <c r="J3356" s="2" t="str">
        <f aca="false">IF(I3356&gt;=6,"High",IF(I3356&gt;=3,"Medium","Low"))</f>
        <v>Low</v>
      </c>
    </row>
    <row r="3357" customFormat="false" ht="15" hidden="false" customHeight="true" outlineLevel="0" collapsed="false">
      <c r="A3357" s="2" t="n">
        <f aca="false">'Raw Data'!H3357</f>
        <v>3356</v>
      </c>
      <c r="B3357" s="2" t="n">
        <f aca="false">'Raw Data'!A3357</f>
        <v>33</v>
      </c>
      <c r="C3357" s="2" t="str">
        <f aca="false">'Raw Data'!D3357</f>
        <v>Sales</v>
      </c>
      <c r="D3357" s="2" t="str">
        <f aca="false">'Raw Data'!K3357</f>
        <v>Sales Executive</v>
      </c>
      <c r="E3357" s="2" t="n">
        <f aca="false">'Raw Data'!Q3357</f>
        <v>6</v>
      </c>
      <c r="F3357" s="2" t="n">
        <f aca="false">'Raw Data'!U3357</f>
        <v>2</v>
      </c>
      <c r="G3357" s="2" t="n">
        <f aca="false">'Raw Data'!W3357</f>
        <v>1</v>
      </c>
      <c r="H3357" s="2" t="n">
        <f aca="false">'Raw Data'!V3357</f>
        <v>3</v>
      </c>
      <c r="I3357" s="2" t="n">
        <f aca="false">IF(AND(ISNUMBER(B3357),B3357&lt;=25),2,0)+IF(AND(ISNUMBER(E3357),E3357&lt;=5),2,0)+IF(AND(ISNUMBER(F3357),F3357&lt;=1),2,0)+IF(AND(ISNUMBER(G3357),G3357&lt;=2),1,0)+IF(AND(ISNUMBER(H3357),H3357&lt;=2),1,0)</f>
        <v>1</v>
      </c>
      <c r="J3357" s="2" t="str">
        <f aca="false">IF(I3357&gt;=6,"High",IF(I3357&gt;=3,"Medium","Low"))</f>
        <v>Low</v>
      </c>
    </row>
    <row r="3358" customFormat="false" ht="15" hidden="false" customHeight="true" outlineLevel="0" collapsed="false">
      <c r="A3358" s="2" t="n">
        <f aca="false">'Raw Data'!H3358</f>
        <v>3357</v>
      </c>
      <c r="B3358" s="2" t="n">
        <f aca="false">'Raw Data'!A3358</f>
        <v>58</v>
      </c>
      <c r="C3358" s="2" t="str">
        <f aca="false">'Raw Data'!D3358</f>
        <v>Research &amp; Development</v>
      </c>
      <c r="D3358" s="2" t="str">
        <f aca="false">'Raw Data'!K3358</f>
        <v>Research Scientist</v>
      </c>
      <c r="E3358" s="2" t="n">
        <f aca="false">'Raw Data'!Q3358</f>
        <v>24</v>
      </c>
      <c r="F3358" s="2" t="n">
        <f aca="false">'Raw Data'!U3358</f>
        <v>4</v>
      </c>
      <c r="G3358" s="2" t="n">
        <f aca="false">'Raw Data'!W3358</f>
        <v>2</v>
      </c>
      <c r="H3358" s="2" t="n">
        <f aca="false">'Raw Data'!V3358</f>
        <v>3</v>
      </c>
      <c r="I3358" s="2" t="n">
        <f aca="false">IF(AND(ISNUMBER(B3358),B3358&lt;=25),2,0)+IF(AND(ISNUMBER(E3358),E3358&lt;=5),2,0)+IF(AND(ISNUMBER(F3358),F3358&lt;=1),2,0)+IF(AND(ISNUMBER(G3358),G3358&lt;=2),1,0)+IF(AND(ISNUMBER(H3358),H3358&lt;=2),1,0)</f>
        <v>1</v>
      </c>
      <c r="J3358" s="2" t="str">
        <f aca="false">IF(I3358&gt;=6,"High",IF(I3358&gt;=3,"Medium","Low"))</f>
        <v>Low</v>
      </c>
    </row>
    <row r="3359" customFormat="false" ht="15" hidden="false" customHeight="true" outlineLevel="0" collapsed="false">
      <c r="A3359" s="2" t="n">
        <f aca="false">'Raw Data'!H3359</f>
        <v>3358</v>
      </c>
      <c r="B3359" s="2" t="n">
        <f aca="false">'Raw Data'!A3359</f>
        <v>31</v>
      </c>
      <c r="C3359" s="2" t="str">
        <f aca="false">'Raw Data'!D3359</f>
        <v>Sales</v>
      </c>
      <c r="D3359" s="2" t="str">
        <f aca="false">'Raw Data'!K3359</f>
        <v>Sales Representative</v>
      </c>
      <c r="E3359" s="2" t="n">
        <f aca="false">'Raw Data'!Q3359</f>
        <v>13</v>
      </c>
      <c r="F3359" s="2" t="n">
        <f aca="false">'Raw Data'!U3359</f>
        <v>2</v>
      </c>
      <c r="G3359" s="2" t="n">
        <f aca="false">'Raw Data'!W3359</f>
        <v>3</v>
      </c>
      <c r="H3359" s="2" t="n">
        <f aca="false">'Raw Data'!V3359</f>
        <v>2</v>
      </c>
      <c r="I3359" s="2" t="n">
        <f aca="false">IF(AND(ISNUMBER(B3359),B3359&lt;=25),2,0)+IF(AND(ISNUMBER(E3359),E3359&lt;=5),2,0)+IF(AND(ISNUMBER(F3359),F3359&lt;=1),2,0)+IF(AND(ISNUMBER(G3359),G3359&lt;=2),1,0)+IF(AND(ISNUMBER(H3359),H3359&lt;=2),1,0)</f>
        <v>1</v>
      </c>
      <c r="J3359" s="2" t="str">
        <f aca="false">IF(I3359&gt;=6,"High",IF(I3359&gt;=3,"Medium","Low"))</f>
        <v>Low</v>
      </c>
    </row>
    <row r="3360" customFormat="false" ht="15" hidden="false" customHeight="true" outlineLevel="0" collapsed="false">
      <c r="A3360" s="2" t="n">
        <f aca="false">'Raw Data'!H3360</f>
        <v>3359</v>
      </c>
      <c r="B3360" s="2" t="n">
        <f aca="false">'Raw Data'!A3360</f>
        <v>35</v>
      </c>
      <c r="C3360" s="2" t="str">
        <f aca="false">'Raw Data'!D3360</f>
        <v>Research &amp; Development</v>
      </c>
      <c r="D3360" s="2" t="str">
        <f aca="false">'Raw Data'!K3360</f>
        <v>Healthcare Representative</v>
      </c>
      <c r="E3360" s="2" t="n">
        <f aca="false">'Raw Data'!Q3360</f>
        <v>10</v>
      </c>
      <c r="F3360" s="2" t="n">
        <f aca="false">'Raw Data'!U3360</f>
        <v>7</v>
      </c>
      <c r="G3360" s="2" t="n">
        <f aca="false">'Raw Data'!W3360</f>
        <v>4</v>
      </c>
      <c r="H3360" s="2" t="n">
        <f aca="false">'Raw Data'!V3360</f>
        <v>4</v>
      </c>
      <c r="I3360" s="2" t="n">
        <f aca="false">IF(AND(ISNUMBER(B3360),B3360&lt;=25),2,0)+IF(AND(ISNUMBER(E3360),E3360&lt;=5),2,0)+IF(AND(ISNUMBER(F3360),F3360&lt;=1),2,0)+IF(AND(ISNUMBER(G3360),G3360&lt;=2),1,0)+IF(AND(ISNUMBER(H3360),H3360&lt;=2),1,0)</f>
        <v>0</v>
      </c>
      <c r="J3360" s="2" t="str">
        <f aca="false">IF(I3360&gt;=6,"High",IF(I3360&gt;=3,"Medium","Low"))</f>
        <v>Low</v>
      </c>
    </row>
    <row r="3361" customFormat="false" ht="15" hidden="false" customHeight="true" outlineLevel="0" collapsed="false">
      <c r="A3361" s="2" t="n">
        <f aca="false">'Raw Data'!H3361</f>
        <v>3360</v>
      </c>
      <c r="B3361" s="2" t="n">
        <f aca="false">'Raw Data'!A3361</f>
        <v>49</v>
      </c>
      <c r="C3361" s="2" t="str">
        <f aca="false">'Raw Data'!D3361</f>
        <v>Research &amp; Development</v>
      </c>
      <c r="D3361" s="2" t="str">
        <f aca="false">'Raw Data'!K3361</f>
        <v>Sales Executive</v>
      </c>
      <c r="E3361" s="2" t="n">
        <f aca="false">'Raw Data'!Q3361</f>
        <v>29</v>
      </c>
      <c r="F3361" s="2" t="n">
        <f aca="false">'Raw Data'!U3361</f>
        <v>7</v>
      </c>
      <c r="G3361" s="2" t="n">
        <f aca="false">'Raw Data'!W3361</f>
        <v>2</v>
      </c>
      <c r="H3361" s="2" t="n">
        <f aca="false">'Raw Data'!V3361</f>
        <v>1</v>
      </c>
      <c r="I3361" s="2" t="n">
        <f aca="false">IF(AND(ISNUMBER(B3361),B3361&lt;=25),2,0)+IF(AND(ISNUMBER(E3361),E3361&lt;=5),2,0)+IF(AND(ISNUMBER(F3361),F3361&lt;=1),2,0)+IF(AND(ISNUMBER(G3361),G3361&lt;=2),1,0)+IF(AND(ISNUMBER(H3361),H3361&lt;=2),1,0)</f>
        <v>2</v>
      </c>
      <c r="J3361" s="2" t="str">
        <f aca="false">IF(I3361&gt;=6,"High",IF(I3361&gt;=3,"Medium","Low"))</f>
        <v>Low</v>
      </c>
    </row>
    <row r="3362" customFormat="false" ht="15" hidden="false" customHeight="true" outlineLevel="0" collapsed="false">
      <c r="A3362" s="2" t="n">
        <f aca="false">'Raw Data'!H3362</f>
        <v>3361</v>
      </c>
      <c r="B3362" s="2" t="n">
        <f aca="false">'Raw Data'!A3362</f>
        <v>48</v>
      </c>
      <c r="C3362" s="2" t="str">
        <f aca="false">'Raw Data'!D3362</f>
        <v>Research &amp; Development</v>
      </c>
      <c r="D3362" s="2" t="str">
        <f aca="false">'Raw Data'!K3362</f>
        <v>Research Scientist</v>
      </c>
      <c r="E3362" s="2" t="n">
        <f aca="false">'Raw Data'!Q3362</f>
        <v>13</v>
      </c>
      <c r="F3362" s="2" t="n">
        <f aca="false">'Raw Data'!U3362</f>
        <v>0</v>
      </c>
      <c r="G3362" s="2" t="n">
        <f aca="false">'Raw Data'!W3362</f>
        <v>3</v>
      </c>
      <c r="H3362" s="2" t="n">
        <f aca="false">'Raw Data'!V3362</f>
        <v>4</v>
      </c>
      <c r="I3362" s="2" t="n">
        <f aca="false">IF(AND(ISNUMBER(B3362),B3362&lt;=25),2,0)+IF(AND(ISNUMBER(E3362),E3362&lt;=5),2,0)+IF(AND(ISNUMBER(F3362),F3362&lt;=1),2,0)+IF(AND(ISNUMBER(G3362),G3362&lt;=2),1,0)+IF(AND(ISNUMBER(H3362),H3362&lt;=2),1,0)</f>
        <v>2</v>
      </c>
      <c r="J3362" s="2" t="str">
        <f aca="false">IF(I3362&gt;=6,"High",IF(I3362&gt;=3,"Medium","Low"))</f>
        <v>Low</v>
      </c>
    </row>
    <row r="3363" customFormat="false" ht="15" hidden="false" customHeight="true" outlineLevel="0" collapsed="false">
      <c r="A3363" s="2" t="n">
        <f aca="false">'Raw Data'!H3363</f>
        <v>3362</v>
      </c>
      <c r="B3363" s="2" t="n">
        <f aca="false">'Raw Data'!A3363</f>
        <v>31</v>
      </c>
      <c r="C3363" s="2" t="str">
        <f aca="false">'Raw Data'!D3363</f>
        <v>Research &amp; Development</v>
      </c>
      <c r="D3363" s="2" t="str">
        <f aca="false">'Raw Data'!K3363</f>
        <v>Sales Executive</v>
      </c>
      <c r="E3363" s="2" t="n">
        <f aca="false">'Raw Data'!Q3363</f>
        <v>9</v>
      </c>
      <c r="F3363" s="2" t="n">
        <f aca="false">'Raw Data'!U3363</f>
        <v>0</v>
      </c>
      <c r="G3363" s="2" t="n">
        <f aca="false">'Raw Data'!W3363</f>
        <v>3</v>
      </c>
      <c r="H3363" s="2" t="n">
        <f aca="false">'Raw Data'!V3363</f>
        <v>4</v>
      </c>
      <c r="I3363" s="2" t="n">
        <f aca="false">IF(AND(ISNUMBER(B3363),B3363&lt;=25),2,0)+IF(AND(ISNUMBER(E3363),E3363&lt;=5),2,0)+IF(AND(ISNUMBER(F3363),F3363&lt;=1),2,0)+IF(AND(ISNUMBER(G3363),G3363&lt;=2),1,0)+IF(AND(ISNUMBER(H3363),H3363&lt;=2),1,0)</f>
        <v>2</v>
      </c>
      <c r="J3363" s="2" t="str">
        <f aca="false">IF(I3363&gt;=6,"High",IF(I3363&gt;=3,"Medium","Low"))</f>
        <v>Low</v>
      </c>
    </row>
    <row r="3364" customFormat="false" ht="15" hidden="false" customHeight="true" outlineLevel="0" collapsed="false">
      <c r="A3364" s="2" t="n">
        <f aca="false">'Raw Data'!H3364</f>
        <v>3363</v>
      </c>
      <c r="B3364" s="2" t="n">
        <f aca="false">'Raw Data'!A3364</f>
        <v>36</v>
      </c>
      <c r="C3364" s="2" t="str">
        <f aca="false">'Raw Data'!D3364</f>
        <v>Human Resources</v>
      </c>
      <c r="D3364" s="2" t="str">
        <f aca="false">'Raw Data'!K3364</f>
        <v>Sales Executive</v>
      </c>
      <c r="E3364" s="2" t="n">
        <f aca="false">'Raw Data'!Q3364</f>
        <v>8</v>
      </c>
      <c r="F3364" s="2" t="n">
        <f aca="false">'Raw Data'!U3364</f>
        <v>1</v>
      </c>
      <c r="G3364" s="2" t="n">
        <f aca="false">'Raw Data'!W3364</f>
        <v>4</v>
      </c>
      <c r="H3364" s="2" t="n">
        <f aca="false">'Raw Data'!V3364</f>
        <v>2</v>
      </c>
      <c r="I3364" s="2" t="n">
        <f aca="false">IF(AND(ISNUMBER(B3364),B3364&lt;=25),2,0)+IF(AND(ISNUMBER(E3364),E3364&lt;=5),2,0)+IF(AND(ISNUMBER(F3364),F3364&lt;=1),2,0)+IF(AND(ISNUMBER(G3364),G3364&lt;=2),1,0)+IF(AND(ISNUMBER(H3364),H3364&lt;=2),1,0)</f>
        <v>3</v>
      </c>
      <c r="J3364" s="2" t="str">
        <f aca="false">IF(I3364&gt;=6,"High",IF(I3364&gt;=3,"Medium","Low"))</f>
        <v>Medium</v>
      </c>
    </row>
    <row r="3365" customFormat="false" ht="15" hidden="false" customHeight="true" outlineLevel="0" collapsed="false">
      <c r="A3365" s="2" t="n">
        <f aca="false">'Raw Data'!H3365</f>
        <v>3364</v>
      </c>
      <c r="B3365" s="2" t="n">
        <f aca="false">'Raw Data'!A3365</f>
        <v>38</v>
      </c>
      <c r="C3365" s="2" t="str">
        <f aca="false">'Raw Data'!D3365</f>
        <v>Sales</v>
      </c>
      <c r="D3365" s="2" t="str">
        <f aca="false">'Raw Data'!K3365</f>
        <v>Sales Executive</v>
      </c>
      <c r="E3365" s="2" t="n">
        <f aca="false">'Raw Data'!Q3365</f>
        <v>15</v>
      </c>
      <c r="F3365" s="2" t="n">
        <f aca="false">'Raw Data'!U3365</f>
        <v>11</v>
      </c>
      <c r="G3365" s="2" t="n">
        <f aca="false">'Raw Data'!W3365</f>
        <v>1</v>
      </c>
      <c r="H3365" s="2" t="n">
        <f aca="false">'Raw Data'!V3365</f>
        <v>4</v>
      </c>
      <c r="I3365" s="2" t="n">
        <f aca="false">IF(AND(ISNUMBER(B3365),B3365&lt;=25),2,0)+IF(AND(ISNUMBER(E3365),E3365&lt;=5),2,0)+IF(AND(ISNUMBER(F3365),F3365&lt;=1),2,0)+IF(AND(ISNUMBER(G3365),G3365&lt;=2),1,0)+IF(AND(ISNUMBER(H3365),H3365&lt;=2),1,0)</f>
        <v>1</v>
      </c>
      <c r="J3365" s="2" t="str">
        <f aca="false">IF(I3365&gt;=6,"High",IF(I3365&gt;=3,"Medium","Low"))</f>
        <v>Low</v>
      </c>
    </row>
    <row r="3366" customFormat="false" ht="15" hidden="false" customHeight="true" outlineLevel="0" collapsed="false">
      <c r="A3366" s="2" t="n">
        <f aca="false">'Raw Data'!H3366</f>
        <v>3365</v>
      </c>
      <c r="B3366" s="2" t="n">
        <f aca="false">'Raw Data'!A3366</f>
        <v>32</v>
      </c>
      <c r="C3366" s="2" t="str">
        <f aca="false">'Raw Data'!D3366</f>
        <v>Sales</v>
      </c>
      <c r="D3366" s="2" t="str">
        <f aca="false">'Raw Data'!K3366</f>
        <v>Laboratory Technician</v>
      </c>
      <c r="E3366" s="2" t="n">
        <f aca="false">'Raw Data'!Q3366</f>
        <v>5</v>
      </c>
      <c r="F3366" s="2" t="n">
        <f aca="false">'Raw Data'!U3366</f>
        <v>2</v>
      </c>
      <c r="G3366" s="2" t="n">
        <f aca="false">'Raw Data'!W3366</f>
        <v>2</v>
      </c>
      <c r="H3366" s="2" t="n">
        <f aca="false">'Raw Data'!V3366</f>
        <v>3</v>
      </c>
      <c r="I3366" s="2" t="n">
        <f aca="false">IF(AND(ISNUMBER(B3366),B3366&lt;=25),2,0)+IF(AND(ISNUMBER(E3366),E3366&lt;=5),2,0)+IF(AND(ISNUMBER(F3366),F3366&lt;=1),2,0)+IF(AND(ISNUMBER(G3366),G3366&lt;=2),1,0)+IF(AND(ISNUMBER(H3366),H3366&lt;=2),1,0)</f>
        <v>3</v>
      </c>
      <c r="J3366" s="2" t="str">
        <f aca="false">IF(I3366&gt;=6,"High",IF(I3366&gt;=3,"Medium","Low"))</f>
        <v>Medium</v>
      </c>
    </row>
    <row r="3367" customFormat="false" ht="15" hidden="false" customHeight="true" outlineLevel="0" collapsed="false">
      <c r="A3367" s="2" t="n">
        <f aca="false">'Raw Data'!H3367</f>
        <v>3366</v>
      </c>
      <c r="B3367" s="2" t="n">
        <f aca="false">'Raw Data'!A3367</f>
        <v>25</v>
      </c>
      <c r="C3367" s="2" t="str">
        <f aca="false">'Raw Data'!D3367</f>
        <v>Research &amp; Development</v>
      </c>
      <c r="D3367" s="2" t="str">
        <f aca="false">'Raw Data'!K3367</f>
        <v>Sales Executive</v>
      </c>
      <c r="E3367" s="2" t="n">
        <f aca="false">'Raw Data'!Q3367</f>
        <v>1</v>
      </c>
      <c r="F3367" s="2" t="n">
        <f aca="false">'Raw Data'!U3367</f>
        <v>0</v>
      </c>
      <c r="G3367" s="2" t="n">
        <f aca="false">'Raw Data'!W3367</f>
        <v>2</v>
      </c>
      <c r="H3367" s="2" t="n">
        <f aca="false">'Raw Data'!V3367</f>
        <v>3</v>
      </c>
      <c r="I3367" s="2" t="n">
        <f aca="false">IF(AND(ISNUMBER(B3367),B3367&lt;=25),2,0)+IF(AND(ISNUMBER(E3367),E3367&lt;=5),2,0)+IF(AND(ISNUMBER(F3367),F3367&lt;=1),2,0)+IF(AND(ISNUMBER(G3367),G3367&lt;=2),1,0)+IF(AND(ISNUMBER(H3367),H3367&lt;=2),1,0)</f>
        <v>7</v>
      </c>
      <c r="J3367" s="2" t="str">
        <f aca="false">IF(I3367&gt;=6,"High",IF(I3367&gt;=3,"Medium","Low"))</f>
        <v>High</v>
      </c>
    </row>
    <row r="3368" customFormat="false" ht="15" hidden="false" customHeight="true" outlineLevel="0" collapsed="false">
      <c r="A3368" s="2" t="n">
        <f aca="false">'Raw Data'!H3368</f>
        <v>3367</v>
      </c>
      <c r="B3368" s="2" t="n">
        <f aca="false">'Raw Data'!A3368</f>
        <v>40</v>
      </c>
      <c r="C3368" s="2" t="str">
        <f aca="false">'Raw Data'!D3368</f>
        <v>Research &amp; Development</v>
      </c>
      <c r="D3368" s="2" t="str">
        <f aca="false">'Raw Data'!K3368</f>
        <v>Research Scientist</v>
      </c>
      <c r="E3368" s="2" t="n">
        <f aca="false">'Raw Data'!Q3368</f>
        <v>11</v>
      </c>
      <c r="F3368" s="2" t="n">
        <f aca="false">'Raw Data'!U3368</f>
        <v>0</v>
      </c>
      <c r="G3368" s="2" t="n">
        <f aca="false">'Raw Data'!W3368</f>
        <v>2</v>
      </c>
      <c r="H3368" s="2" t="n">
        <f aca="false">'Raw Data'!V3368</f>
        <v>1</v>
      </c>
      <c r="I3368" s="2" t="n">
        <f aca="false">IF(AND(ISNUMBER(B3368),B3368&lt;=25),2,0)+IF(AND(ISNUMBER(E3368),E3368&lt;=5),2,0)+IF(AND(ISNUMBER(F3368),F3368&lt;=1),2,0)+IF(AND(ISNUMBER(G3368),G3368&lt;=2),1,0)+IF(AND(ISNUMBER(H3368),H3368&lt;=2),1,0)</f>
        <v>4</v>
      </c>
      <c r="J3368" s="2" t="str">
        <f aca="false">IF(I3368&gt;=6,"High",IF(I3368&gt;=3,"Medium","Low"))</f>
        <v>Medium</v>
      </c>
    </row>
    <row r="3369" customFormat="false" ht="15" hidden="false" customHeight="true" outlineLevel="0" collapsed="false">
      <c r="A3369" s="2" t="n">
        <f aca="false">'Raw Data'!H3369</f>
        <v>3368</v>
      </c>
      <c r="B3369" s="2" t="n">
        <f aca="false">'Raw Data'!A3369</f>
        <v>26</v>
      </c>
      <c r="C3369" s="2" t="str">
        <f aca="false">'Raw Data'!D3369</f>
        <v>Sales</v>
      </c>
      <c r="D3369" s="2" t="str">
        <f aca="false">'Raw Data'!K3369</f>
        <v>Healthcare Representative</v>
      </c>
      <c r="E3369" s="2" t="n">
        <f aca="false">'Raw Data'!Q3369</f>
        <v>7</v>
      </c>
      <c r="F3369" s="2" t="n">
        <f aca="false">'Raw Data'!U3369</f>
        <v>7</v>
      </c>
      <c r="G3369" s="2" t="n">
        <f aca="false">'Raw Data'!W3369</f>
        <v>1</v>
      </c>
      <c r="H3369" s="2" t="n">
        <f aca="false">'Raw Data'!V3369</f>
        <v>3</v>
      </c>
      <c r="I3369" s="2" t="n">
        <f aca="false">IF(AND(ISNUMBER(B3369),B3369&lt;=25),2,0)+IF(AND(ISNUMBER(E3369),E3369&lt;=5),2,0)+IF(AND(ISNUMBER(F3369),F3369&lt;=1),2,0)+IF(AND(ISNUMBER(G3369),G3369&lt;=2),1,0)+IF(AND(ISNUMBER(H3369),H3369&lt;=2),1,0)</f>
        <v>1</v>
      </c>
      <c r="J3369" s="2" t="str">
        <f aca="false">IF(I3369&gt;=6,"High",IF(I3369&gt;=3,"Medium","Low"))</f>
        <v>Low</v>
      </c>
    </row>
    <row r="3370" customFormat="false" ht="15" hidden="false" customHeight="true" outlineLevel="0" collapsed="false">
      <c r="A3370" s="2" t="n">
        <f aca="false">'Raw Data'!H3370</f>
        <v>3369</v>
      </c>
      <c r="B3370" s="2" t="n">
        <f aca="false">'Raw Data'!A3370</f>
        <v>41</v>
      </c>
      <c r="C3370" s="2" t="str">
        <f aca="false">'Raw Data'!D3370</f>
        <v>Research &amp; Development</v>
      </c>
      <c r="D3370" s="2" t="str">
        <f aca="false">'Raw Data'!K3370</f>
        <v>Research Scientist</v>
      </c>
      <c r="E3370" s="2" t="n">
        <f aca="false">'Raw Data'!Q3370</f>
        <v>20</v>
      </c>
      <c r="F3370" s="2" t="n">
        <f aca="false">'Raw Data'!U3370</f>
        <v>17</v>
      </c>
      <c r="G3370" s="2" t="n">
        <f aca="false">'Raw Data'!W3370</f>
        <v>1</v>
      </c>
      <c r="H3370" s="2" t="n">
        <f aca="false">'Raw Data'!V3370</f>
        <v>4</v>
      </c>
      <c r="I3370" s="2" t="n">
        <f aca="false">IF(AND(ISNUMBER(B3370),B3370&lt;=25),2,0)+IF(AND(ISNUMBER(E3370),E3370&lt;=5),2,0)+IF(AND(ISNUMBER(F3370),F3370&lt;=1),2,0)+IF(AND(ISNUMBER(G3370),G3370&lt;=2),1,0)+IF(AND(ISNUMBER(H3370),H3370&lt;=2),1,0)</f>
        <v>1</v>
      </c>
      <c r="J3370" s="2" t="str">
        <f aca="false">IF(I3370&gt;=6,"High",IF(I3370&gt;=3,"Medium","Low"))</f>
        <v>Low</v>
      </c>
    </row>
    <row r="3371" customFormat="false" ht="15" hidden="false" customHeight="true" outlineLevel="0" collapsed="false">
      <c r="A3371" s="2" t="n">
        <f aca="false">'Raw Data'!H3371</f>
        <v>3370</v>
      </c>
      <c r="B3371" s="2" t="n">
        <f aca="false">'Raw Data'!A3371</f>
        <v>36</v>
      </c>
      <c r="C3371" s="2" t="str">
        <f aca="false">'Raw Data'!D3371</f>
        <v>Research &amp; Development</v>
      </c>
      <c r="D3371" s="2" t="str">
        <f aca="false">'Raw Data'!K3371</f>
        <v>Healthcare Representative</v>
      </c>
      <c r="E3371" s="2" t="n">
        <f aca="false">'Raw Data'!Q3371</f>
        <v>16</v>
      </c>
      <c r="F3371" s="2" t="n">
        <f aca="false">'Raw Data'!U3371</f>
        <v>9</v>
      </c>
      <c r="G3371" s="2" t="n">
        <f aca="false">'Raw Data'!W3371</f>
        <v>3</v>
      </c>
      <c r="H3371" s="2" t="n">
        <f aca="false">'Raw Data'!V3371</f>
        <v>3</v>
      </c>
      <c r="I3371" s="2" t="n">
        <f aca="false">IF(AND(ISNUMBER(B3371),B3371&lt;=25),2,0)+IF(AND(ISNUMBER(E3371),E3371&lt;=5),2,0)+IF(AND(ISNUMBER(F3371),F3371&lt;=1),2,0)+IF(AND(ISNUMBER(G3371),G3371&lt;=2),1,0)+IF(AND(ISNUMBER(H3371),H3371&lt;=2),1,0)</f>
        <v>0</v>
      </c>
      <c r="J3371" s="2" t="str">
        <f aca="false">IF(I3371&gt;=6,"High",IF(I3371&gt;=3,"Medium","Low"))</f>
        <v>Low</v>
      </c>
    </row>
    <row r="3372" customFormat="false" ht="15" hidden="false" customHeight="true" outlineLevel="0" collapsed="false">
      <c r="A3372" s="2" t="n">
        <f aca="false">'Raw Data'!H3372</f>
        <v>3371</v>
      </c>
      <c r="B3372" s="2" t="n">
        <f aca="false">'Raw Data'!A3372</f>
        <v>19</v>
      </c>
      <c r="C3372" s="2" t="str">
        <f aca="false">'Raw Data'!D3372</f>
        <v>Research &amp; Development</v>
      </c>
      <c r="D3372" s="2" t="str">
        <f aca="false">'Raw Data'!K3372</f>
        <v>Research Scientist</v>
      </c>
      <c r="E3372" s="2" t="n">
        <f aca="false">'Raw Data'!Q3372</f>
        <v>1</v>
      </c>
      <c r="F3372" s="2" t="n">
        <f aca="false">'Raw Data'!U3372</f>
        <v>0</v>
      </c>
      <c r="G3372" s="2" t="n">
        <f aca="false">'Raw Data'!W3372</f>
        <v>2</v>
      </c>
      <c r="H3372" s="2" t="n">
        <f aca="false">'Raw Data'!V3372</f>
        <v>4</v>
      </c>
      <c r="I3372" s="2" t="n">
        <f aca="false">IF(AND(ISNUMBER(B3372),B3372&lt;=25),2,0)+IF(AND(ISNUMBER(E3372),E3372&lt;=5),2,0)+IF(AND(ISNUMBER(F3372),F3372&lt;=1),2,0)+IF(AND(ISNUMBER(G3372),G3372&lt;=2),1,0)+IF(AND(ISNUMBER(H3372),H3372&lt;=2),1,0)</f>
        <v>7</v>
      </c>
      <c r="J3372" s="2" t="str">
        <f aca="false">IF(I3372&gt;=6,"High",IF(I3372&gt;=3,"Medium","Low"))</f>
        <v>High</v>
      </c>
    </row>
    <row r="3373" customFormat="false" ht="15" hidden="false" customHeight="true" outlineLevel="0" collapsed="false">
      <c r="A3373" s="2" t="n">
        <f aca="false">'Raw Data'!H3373</f>
        <v>3372</v>
      </c>
      <c r="B3373" s="2" t="n">
        <f aca="false">'Raw Data'!A3373</f>
        <v>20</v>
      </c>
      <c r="C3373" s="2" t="str">
        <f aca="false">'Raw Data'!D3373</f>
        <v>Research &amp; Development</v>
      </c>
      <c r="D3373" s="2" t="str">
        <f aca="false">'Raw Data'!K3373</f>
        <v>Laboratory Technician</v>
      </c>
      <c r="E3373" s="2" t="n">
        <f aca="false">'Raw Data'!Q3373</f>
        <v>1</v>
      </c>
      <c r="F3373" s="2" t="n">
        <f aca="false">'Raw Data'!U3373</f>
        <v>0</v>
      </c>
      <c r="G3373" s="2" t="n">
        <f aca="false">'Raw Data'!W3373</f>
        <v>1</v>
      </c>
      <c r="H3373" s="2" t="n">
        <f aca="false">'Raw Data'!V3373</f>
        <v>1</v>
      </c>
      <c r="I3373" s="2" t="n">
        <f aca="false">IF(AND(ISNUMBER(B3373),B3373&lt;=25),2,0)+IF(AND(ISNUMBER(E3373),E3373&lt;=5),2,0)+IF(AND(ISNUMBER(F3373),F3373&lt;=1),2,0)+IF(AND(ISNUMBER(G3373),G3373&lt;=2),1,0)+IF(AND(ISNUMBER(H3373),H3373&lt;=2),1,0)</f>
        <v>8</v>
      </c>
      <c r="J3373" s="2" t="str">
        <f aca="false">IF(I3373&gt;=6,"High",IF(I3373&gt;=3,"Medium","Low"))</f>
        <v>High</v>
      </c>
    </row>
    <row r="3374" customFormat="false" ht="15" hidden="false" customHeight="true" outlineLevel="0" collapsed="false">
      <c r="A3374" s="2" t="n">
        <f aca="false">'Raw Data'!H3374</f>
        <v>3373</v>
      </c>
      <c r="B3374" s="2" t="n">
        <f aca="false">'Raw Data'!A3374</f>
        <v>31</v>
      </c>
      <c r="C3374" s="2" t="str">
        <f aca="false">'Raw Data'!D3374</f>
        <v>Research &amp; Development</v>
      </c>
      <c r="D3374" s="2" t="str">
        <f aca="false">'Raw Data'!K3374</f>
        <v>Research Director</v>
      </c>
      <c r="E3374" s="2" t="n">
        <f aca="false">'Raw Data'!Q3374</f>
        <v>10</v>
      </c>
      <c r="F3374" s="2" t="n">
        <f aca="false">'Raw Data'!U3374</f>
        <v>5</v>
      </c>
      <c r="G3374" s="2" t="n">
        <f aca="false">'Raw Data'!W3374</f>
        <v>4</v>
      </c>
      <c r="H3374" s="2" t="n">
        <f aca="false">'Raw Data'!V3374</f>
        <v>4</v>
      </c>
      <c r="I3374" s="2" t="n">
        <f aca="false">IF(AND(ISNUMBER(B3374),B3374&lt;=25),2,0)+IF(AND(ISNUMBER(E3374),E3374&lt;=5),2,0)+IF(AND(ISNUMBER(F3374),F3374&lt;=1),2,0)+IF(AND(ISNUMBER(G3374),G3374&lt;=2),1,0)+IF(AND(ISNUMBER(H3374),H3374&lt;=2),1,0)</f>
        <v>0</v>
      </c>
      <c r="J3374" s="2" t="str">
        <f aca="false">IF(I3374&gt;=6,"High",IF(I3374&gt;=3,"Medium","Low"))</f>
        <v>Low</v>
      </c>
    </row>
    <row r="3375" customFormat="false" ht="15" hidden="false" customHeight="true" outlineLevel="0" collapsed="false">
      <c r="A3375" s="2" t="n">
        <f aca="false">'Raw Data'!H3375</f>
        <v>3374</v>
      </c>
      <c r="B3375" s="2" t="n">
        <f aca="false">'Raw Data'!A3375</f>
        <v>40</v>
      </c>
      <c r="C3375" s="2" t="str">
        <f aca="false">'Raw Data'!D3375</f>
        <v>Sales</v>
      </c>
      <c r="D3375" s="2" t="str">
        <f aca="false">'Raw Data'!K3375</f>
        <v>Research Scientist</v>
      </c>
      <c r="E3375" s="2" t="n">
        <f aca="false">'Raw Data'!Q3375</f>
        <v>3</v>
      </c>
      <c r="F3375" s="2" t="n">
        <f aca="false">'Raw Data'!U3375</f>
        <v>0</v>
      </c>
      <c r="G3375" s="2" t="n">
        <f aca="false">'Raw Data'!W3375</f>
        <v>2</v>
      </c>
      <c r="H3375" s="2" t="n">
        <f aca="false">'Raw Data'!V3375</f>
        <v>4</v>
      </c>
      <c r="I3375" s="2" t="n">
        <f aca="false">IF(AND(ISNUMBER(B3375),B3375&lt;=25),2,0)+IF(AND(ISNUMBER(E3375),E3375&lt;=5),2,0)+IF(AND(ISNUMBER(F3375),F3375&lt;=1),2,0)+IF(AND(ISNUMBER(G3375),G3375&lt;=2),1,0)+IF(AND(ISNUMBER(H3375),H3375&lt;=2),1,0)</f>
        <v>5</v>
      </c>
      <c r="J3375" s="2" t="str">
        <f aca="false">IF(I3375&gt;=6,"High",IF(I3375&gt;=3,"Medium","Low"))</f>
        <v>Medium</v>
      </c>
    </row>
    <row r="3376" customFormat="false" ht="15" hidden="false" customHeight="true" outlineLevel="0" collapsed="false">
      <c r="A3376" s="2" t="n">
        <f aca="false">'Raw Data'!H3376</f>
        <v>3375</v>
      </c>
      <c r="B3376" s="2" t="n">
        <f aca="false">'Raw Data'!A3376</f>
        <v>32</v>
      </c>
      <c r="C3376" s="2" t="str">
        <f aca="false">'Raw Data'!D3376</f>
        <v>Research &amp; Development</v>
      </c>
      <c r="D3376" s="2" t="str">
        <f aca="false">'Raw Data'!K3376</f>
        <v>Laboratory Technician</v>
      </c>
      <c r="E3376" s="2" t="n">
        <f aca="false">'Raw Data'!Q3376</f>
        <v>8</v>
      </c>
      <c r="F3376" s="2" t="n">
        <f aca="false">'Raw Data'!U3376</f>
        <v>3</v>
      </c>
      <c r="G3376" s="2" t="n">
        <f aca="false">'Raw Data'!W3376</f>
        <v>1</v>
      </c>
      <c r="H3376" s="2" t="n">
        <f aca="false">'Raw Data'!V3376</f>
        <v>3</v>
      </c>
      <c r="I3376" s="2" t="n">
        <f aca="false">IF(AND(ISNUMBER(B3376),B3376&lt;=25),2,0)+IF(AND(ISNUMBER(E3376),E3376&lt;=5),2,0)+IF(AND(ISNUMBER(F3376),F3376&lt;=1),2,0)+IF(AND(ISNUMBER(G3376),G3376&lt;=2),1,0)+IF(AND(ISNUMBER(H3376),H3376&lt;=2),1,0)</f>
        <v>1</v>
      </c>
      <c r="J3376" s="2" t="str">
        <f aca="false">IF(I3376&gt;=6,"High",IF(I3376&gt;=3,"Medium","Low"))</f>
        <v>Low</v>
      </c>
    </row>
    <row r="3377" customFormat="false" ht="15" hidden="false" customHeight="true" outlineLevel="0" collapsed="false">
      <c r="A3377" s="2" t="n">
        <f aca="false">'Raw Data'!H3377</f>
        <v>3376</v>
      </c>
      <c r="B3377" s="2" t="n">
        <f aca="false">'Raw Data'!A3377</f>
        <v>36</v>
      </c>
      <c r="C3377" s="2" t="str">
        <f aca="false">'Raw Data'!D3377</f>
        <v>Research &amp; Development</v>
      </c>
      <c r="D3377" s="2" t="str">
        <f aca="false">'Raw Data'!K3377</f>
        <v>Sales Executive</v>
      </c>
      <c r="E3377" s="2" t="n">
        <f aca="false">'Raw Data'!Q3377</f>
        <v>16</v>
      </c>
      <c r="F3377" s="2" t="n">
        <f aca="false">'Raw Data'!U3377</f>
        <v>7</v>
      </c>
      <c r="G3377" s="2" t="n">
        <f aca="false">'Raw Data'!W3377</f>
        <v>4</v>
      </c>
      <c r="H3377" s="2" t="n">
        <f aca="false">'Raw Data'!V3377</f>
        <v>3</v>
      </c>
      <c r="I3377" s="2" t="n">
        <f aca="false">IF(AND(ISNUMBER(B3377),B3377&lt;=25),2,0)+IF(AND(ISNUMBER(E3377),E3377&lt;=5),2,0)+IF(AND(ISNUMBER(F3377),F3377&lt;=1),2,0)+IF(AND(ISNUMBER(G3377),G3377&lt;=2),1,0)+IF(AND(ISNUMBER(H3377),H3377&lt;=2),1,0)</f>
        <v>0</v>
      </c>
      <c r="J3377" s="2" t="str">
        <f aca="false">IF(I3377&gt;=6,"High",IF(I3377&gt;=3,"Medium","Low"))</f>
        <v>Low</v>
      </c>
    </row>
    <row r="3378" customFormat="false" ht="15" hidden="false" customHeight="true" outlineLevel="0" collapsed="false">
      <c r="A3378" s="2" t="n">
        <f aca="false">'Raw Data'!H3378</f>
        <v>3377</v>
      </c>
      <c r="B3378" s="2" t="n">
        <f aca="false">'Raw Data'!A3378</f>
        <v>33</v>
      </c>
      <c r="C3378" s="2" t="str">
        <f aca="false">'Raw Data'!D3378</f>
        <v>Research &amp; Development</v>
      </c>
      <c r="D3378" s="2" t="str">
        <f aca="false">'Raw Data'!K3378</f>
        <v>Manufacturing Director</v>
      </c>
      <c r="E3378" s="2" t="n">
        <f aca="false">'Raw Data'!Q3378</f>
        <v>6</v>
      </c>
      <c r="F3378" s="2" t="n">
        <f aca="false">'Raw Data'!U3378</f>
        <v>4</v>
      </c>
      <c r="G3378" s="2" t="n">
        <f aca="false">'Raw Data'!W3378</f>
        <v>4</v>
      </c>
      <c r="H3378" s="2" t="n">
        <f aca="false">'Raw Data'!V3378</f>
        <v>2</v>
      </c>
      <c r="I3378" s="2" t="n">
        <f aca="false">IF(AND(ISNUMBER(B3378),B3378&lt;=25),2,0)+IF(AND(ISNUMBER(E3378),E3378&lt;=5),2,0)+IF(AND(ISNUMBER(F3378),F3378&lt;=1),2,0)+IF(AND(ISNUMBER(G3378),G3378&lt;=2),1,0)+IF(AND(ISNUMBER(H3378),H3378&lt;=2),1,0)</f>
        <v>1</v>
      </c>
      <c r="J3378" s="2" t="str">
        <f aca="false">IF(I3378&gt;=6,"High",IF(I3378&gt;=3,"Medium","Low"))</f>
        <v>Low</v>
      </c>
    </row>
    <row r="3379" customFormat="false" ht="15" hidden="false" customHeight="true" outlineLevel="0" collapsed="false">
      <c r="A3379" s="2" t="n">
        <f aca="false">'Raw Data'!H3379</f>
        <v>3378</v>
      </c>
      <c r="B3379" s="2" t="n">
        <f aca="false">'Raw Data'!A3379</f>
        <v>37</v>
      </c>
      <c r="C3379" s="2" t="str">
        <f aca="false">'Raw Data'!D3379</f>
        <v>Sales</v>
      </c>
      <c r="D3379" s="2" t="str">
        <f aca="false">'Raw Data'!K3379</f>
        <v>Human Resources</v>
      </c>
      <c r="E3379" s="2" t="n">
        <f aca="false">'Raw Data'!Q3379</f>
        <v>17</v>
      </c>
      <c r="F3379" s="2" t="n">
        <f aca="false">'Raw Data'!U3379</f>
        <v>7</v>
      </c>
      <c r="G3379" s="2" t="n">
        <f aca="false">'Raw Data'!W3379</f>
        <v>3</v>
      </c>
      <c r="H3379" s="2" t="n">
        <f aca="false">'Raw Data'!V3379</f>
        <v>1</v>
      </c>
      <c r="I3379" s="2" t="n">
        <f aca="false">IF(AND(ISNUMBER(B3379),B3379&lt;=25),2,0)+IF(AND(ISNUMBER(E3379),E3379&lt;=5),2,0)+IF(AND(ISNUMBER(F3379),F3379&lt;=1),2,0)+IF(AND(ISNUMBER(G3379),G3379&lt;=2),1,0)+IF(AND(ISNUMBER(H3379),H3379&lt;=2),1,0)</f>
        <v>1</v>
      </c>
      <c r="J3379" s="2" t="str">
        <f aca="false">IF(I3379&gt;=6,"High",IF(I3379&gt;=3,"Medium","Low"))</f>
        <v>Low</v>
      </c>
    </row>
    <row r="3380" customFormat="false" ht="15" hidden="false" customHeight="true" outlineLevel="0" collapsed="false">
      <c r="A3380" s="2" t="n">
        <f aca="false">'Raw Data'!H3380</f>
        <v>3379</v>
      </c>
      <c r="B3380" s="2" t="n">
        <f aca="false">'Raw Data'!A3380</f>
        <v>45</v>
      </c>
      <c r="C3380" s="2" t="str">
        <f aca="false">'Raw Data'!D3380</f>
        <v>Research &amp; Development</v>
      </c>
      <c r="D3380" s="2" t="str">
        <f aca="false">'Raw Data'!K3380</f>
        <v>Sales Executive</v>
      </c>
      <c r="E3380" s="2" t="n">
        <f aca="false">'Raw Data'!Q3380</f>
        <v>9</v>
      </c>
      <c r="F3380" s="2" t="n">
        <f aca="false">'Raw Data'!U3380</f>
        <v>8</v>
      </c>
      <c r="G3380" s="2" t="n">
        <f aca="false">'Raw Data'!W3380</f>
        <v>2</v>
      </c>
      <c r="H3380" s="2" t="n">
        <f aca="false">'Raw Data'!V3380</f>
        <v>3</v>
      </c>
      <c r="I3380" s="2" t="n">
        <f aca="false">IF(AND(ISNUMBER(B3380),B3380&lt;=25),2,0)+IF(AND(ISNUMBER(E3380),E3380&lt;=5),2,0)+IF(AND(ISNUMBER(F3380),F3380&lt;=1),2,0)+IF(AND(ISNUMBER(G3380),G3380&lt;=2),1,0)+IF(AND(ISNUMBER(H3380),H3380&lt;=2),1,0)</f>
        <v>1</v>
      </c>
      <c r="J3380" s="2" t="str">
        <f aca="false">IF(I3380&gt;=6,"High",IF(I3380&gt;=3,"Medium","Low"))</f>
        <v>Low</v>
      </c>
    </row>
    <row r="3381" customFormat="false" ht="15" hidden="false" customHeight="true" outlineLevel="0" collapsed="false">
      <c r="A3381" s="2" t="n">
        <f aca="false">'Raw Data'!H3381</f>
        <v>3380</v>
      </c>
      <c r="B3381" s="2" t="n">
        <f aca="false">'Raw Data'!A3381</f>
        <v>29</v>
      </c>
      <c r="C3381" s="2" t="str">
        <f aca="false">'Raw Data'!D3381</f>
        <v>Research &amp; Development</v>
      </c>
      <c r="D3381" s="2" t="str">
        <f aca="false">'Raw Data'!K3381</f>
        <v>Sales Representative</v>
      </c>
      <c r="E3381" s="2" t="n">
        <f aca="false">'Raw Data'!Q3381</f>
        <v>3</v>
      </c>
      <c r="F3381" s="2" t="n">
        <f aca="false">'Raw Data'!U3381</f>
        <v>2</v>
      </c>
      <c r="G3381" s="2" t="n">
        <f aca="false">'Raw Data'!W3381</f>
        <v>4</v>
      </c>
      <c r="H3381" s="2" t="n">
        <f aca="false">'Raw Data'!V3381</f>
        <v>3</v>
      </c>
      <c r="I3381" s="2" t="n">
        <f aca="false">IF(AND(ISNUMBER(B3381),B3381&lt;=25),2,0)+IF(AND(ISNUMBER(E3381),E3381&lt;=5),2,0)+IF(AND(ISNUMBER(F3381),F3381&lt;=1),2,0)+IF(AND(ISNUMBER(G3381),G3381&lt;=2),1,0)+IF(AND(ISNUMBER(H3381),H3381&lt;=2),1,0)</f>
        <v>2</v>
      </c>
      <c r="J3381" s="2" t="str">
        <f aca="false">IF(I3381&gt;=6,"High",IF(I3381&gt;=3,"Medium","Low"))</f>
        <v>Low</v>
      </c>
    </row>
    <row r="3382" customFormat="false" ht="15" hidden="false" customHeight="true" outlineLevel="0" collapsed="false">
      <c r="A3382" s="2" t="n">
        <f aca="false">'Raw Data'!H3382</f>
        <v>3381</v>
      </c>
      <c r="B3382" s="2" t="n">
        <f aca="false">'Raw Data'!A3382</f>
        <v>35</v>
      </c>
      <c r="C3382" s="2" t="str">
        <f aca="false">'Raw Data'!D3382</f>
        <v>Human Resources</v>
      </c>
      <c r="D3382" s="2" t="str">
        <f aca="false">'Raw Data'!K3382</f>
        <v>Laboratory Technician</v>
      </c>
      <c r="E3382" s="2" t="n">
        <f aca="false">'Raw Data'!Q3382</f>
        <v>5</v>
      </c>
      <c r="F3382" s="2" t="n">
        <f aca="false">'Raw Data'!U3382</f>
        <v>0</v>
      </c>
      <c r="G3382" s="2" t="n">
        <f aca="false">'Raw Data'!W3382</f>
        <v>3</v>
      </c>
      <c r="H3382" s="2" t="n">
        <f aca="false">'Raw Data'!V3382</f>
        <v>3</v>
      </c>
      <c r="I3382" s="2" t="n">
        <f aca="false">IF(AND(ISNUMBER(B3382),B3382&lt;=25),2,0)+IF(AND(ISNUMBER(E3382),E3382&lt;=5),2,0)+IF(AND(ISNUMBER(F3382),F3382&lt;=1),2,0)+IF(AND(ISNUMBER(G3382),G3382&lt;=2),1,0)+IF(AND(ISNUMBER(H3382),H3382&lt;=2),1,0)</f>
        <v>4</v>
      </c>
      <c r="J3382" s="2" t="str">
        <f aca="false">IF(I3382&gt;=6,"High",IF(I3382&gt;=3,"Medium","Low"))</f>
        <v>Medium</v>
      </c>
    </row>
    <row r="3383" customFormat="false" ht="15" hidden="false" customHeight="true" outlineLevel="0" collapsed="false">
      <c r="A3383" s="2" t="n">
        <f aca="false">'Raw Data'!H3383</f>
        <v>3382</v>
      </c>
      <c r="B3383" s="2" t="n">
        <f aca="false">'Raw Data'!A3383</f>
        <v>52</v>
      </c>
      <c r="C3383" s="2" t="str">
        <f aca="false">'Raw Data'!D3383</f>
        <v>Research &amp; Development</v>
      </c>
      <c r="D3383" s="2" t="str">
        <f aca="false">'Raw Data'!K3383</f>
        <v>Laboratory Technician</v>
      </c>
      <c r="E3383" s="2" t="n">
        <f aca="false">'Raw Data'!Q3383</f>
        <v>26</v>
      </c>
      <c r="F3383" s="2" t="n">
        <f aca="false">'Raw Data'!U3383</f>
        <v>8</v>
      </c>
      <c r="G3383" s="2" t="n">
        <f aca="false">'Raw Data'!W3383</f>
        <v>4</v>
      </c>
      <c r="H3383" s="2" t="n">
        <f aca="false">'Raw Data'!V3383</f>
        <v>4</v>
      </c>
      <c r="I3383" s="2" t="n">
        <f aca="false">IF(AND(ISNUMBER(B3383),B3383&lt;=25),2,0)+IF(AND(ISNUMBER(E3383),E3383&lt;=5),2,0)+IF(AND(ISNUMBER(F3383),F3383&lt;=1),2,0)+IF(AND(ISNUMBER(G3383),G3383&lt;=2),1,0)+IF(AND(ISNUMBER(H3383),H3383&lt;=2),1,0)</f>
        <v>0</v>
      </c>
      <c r="J3383" s="2" t="str">
        <f aca="false">IF(I3383&gt;=6,"High",IF(I3383&gt;=3,"Medium","Low"))</f>
        <v>Low</v>
      </c>
    </row>
    <row r="3384" customFormat="false" ht="15" hidden="false" customHeight="true" outlineLevel="0" collapsed="false">
      <c r="A3384" s="2" t="n">
        <f aca="false">'Raw Data'!H3384</f>
        <v>3383</v>
      </c>
      <c r="B3384" s="2" t="n">
        <f aca="false">'Raw Data'!A3384</f>
        <v>58</v>
      </c>
      <c r="C3384" s="2" t="str">
        <f aca="false">'Raw Data'!D3384</f>
        <v>Sales</v>
      </c>
      <c r="D3384" s="2" t="str">
        <f aca="false">'Raw Data'!K3384</f>
        <v>Sales Executive</v>
      </c>
      <c r="E3384" s="2" t="n">
        <f aca="false">'Raw Data'!Q3384</f>
        <v>7</v>
      </c>
      <c r="F3384" s="2" t="n">
        <f aca="false">'Raw Data'!U3384</f>
        <v>0</v>
      </c>
      <c r="G3384" s="2" t="n">
        <f aca="false">'Raw Data'!W3384</f>
        <v>3</v>
      </c>
      <c r="H3384" s="2" t="n">
        <f aca="false">'Raw Data'!V3384</f>
        <v>4</v>
      </c>
      <c r="I3384" s="2" t="n">
        <f aca="false">IF(AND(ISNUMBER(B3384),B3384&lt;=25),2,0)+IF(AND(ISNUMBER(E3384),E3384&lt;=5),2,0)+IF(AND(ISNUMBER(F3384),F3384&lt;=1),2,0)+IF(AND(ISNUMBER(G3384),G3384&lt;=2),1,0)+IF(AND(ISNUMBER(H3384),H3384&lt;=2),1,0)</f>
        <v>2</v>
      </c>
      <c r="J3384" s="2" t="str">
        <f aca="false">IF(I3384&gt;=6,"High",IF(I3384&gt;=3,"Medium","Low"))</f>
        <v>Low</v>
      </c>
    </row>
    <row r="3385" customFormat="false" ht="15" hidden="false" customHeight="true" outlineLevel="0" collapsed="false">
      <c r="A3385" s="2" t="n">
        <f aca="false">'Raw Data'!H3385</f>
        <v>3384</v>
      </c>
      <c r="B3385" s="2" t="n">
        <f aca="false">'Raw Data'!A3385</f>
        <v>53</v>
      </c>
      <c r="C3385" s="2" t="str">
        <f aca="false">'Raw Data'!D3385</f>
        <v>Research &amp; Development</v>
      </c>
      <c r="D3385" s="2" t="str">
        <f aca="false">'Raw Data'!K3385</f>
        <v>Manager</v>
      </c>
      <c r="E3385" s="2" t="n">
        <f aca="false">'Raw Data'!Q3385</f>
        <v>22</v>
      </c>
      <c r="F3385" s="2" t="n">
        <f aca="false">'Raw Data'!U3385</f>
        <v>2</v>
      </c>
      <c r="G3385" s="2" t="n">
        <f aca="false">'Raw Data'!W3385</f>
        <v>3</v>
      </c>
      <c r="H3385" s="2" t="n">
        <f aca="false">'Raw Data'!V3385</f>
        <v>3</v>
      </c>
      <c r="I3385" s="2" t="n">
        <f aca="false">IF(AND(ISNUMBER(B3385),B3385&lt;=25),2,0)+IF(AND(ISNUMBER(E3385),E3385&lt;=5),2,0)+IF(AND(ISNUMBER(F3385),F3385&lt;=1),2,0)+IF(AND(ISNUMBER(G3385),G3385&lt;=2),1,0)+IF(AND(ISNUMBER(H3385),H3385&lt;=2),1,0)</f>
        <v>0</v>
      </c>
      <c r="J3385" s="2" t="str">
        <f aca="false">IF(I3385&gt;=6,"High",IF(I3385&gt;=3,"Medium","Low"))</f>
        <v>Low</v>
      </c>
    </row>
    <row r="3386" customFormat="false" ht="15" hidden="false" customHeight="true" outlineLevel="0" collapsed="false">
      <c r="A3386" s="2" t="n">
        <f aca="false">'Raw Data'!H3386</f>
        <v>3385</v>
      </c>
      <c r="B3386" s="2" t="n">
        <f aca="false">'Raw Data'!A3386</f>
        <v>30</v>
      </c>
      <c r="C3386" s="2" t="str">
        <f aca="false">'Raw Data'!D3386</f>
        <v>Sales</v>
      </c>
      <c r="D3386" s="2" t="str">
        <f aca="false">'Raw Data'!K3386</f>
        <v>Sales Executive</v>
      </c>
      <c r="E3386" s="2" t="n">
        <f aca="false">'Raw Data'!Q3386</f>
        <v>10</v>
      </c>
      <c r="F3386" s="2" t="n">
        <f aca="false">'Raw Data'!U3386</f>
        <v>7</v>
      </c>
      <c r="G3386" s="2" t="n">
        <f aca="false">'Raw Data'!W3386</f>
        <v>3</v>
      </c>
      <c r="H3386" s="2" t="n">
        <f aca="false">'Raw Data'!V3386</f>
        <v>3</v>
      </c>
      <c r="I3386" s="2" t="n">
        <f aca="false">IF(AND(ISNUMBER(B3386),B3386&lt;=25),2,0)+IF(AND(ISNUMBER(E3386),E3386&lt;=5),2,0)+IF(AND(ISNUMBER(F3386),F3386&lt;=1),2,0)+IF(AND(ISNUMBER(G3386),G3386&lt;=2),1,0)+IF(AND(ISNUMBER(H3386),H3386&lt;=2),1,0)</f>
        <v>0</v>
      </c>
      <c r="J3386" s="2" t="str">
        <f aca="false">IF(I3386&gt;=6,"High",IF(I3386&gt;=3,"Medium","Low"))</f>
        <v>Low</v>
      </c>
    </row>
    <row r="3387" customFormat="false" ht="15" hidden="false" customHeight="true" outlineLevel="0" collapsed="false">
      <c r="A3387" s="2" t="n">
        <f aca="false">'Raw Data'!H3387</f>
        <v>3386</v>
      </c>
      <c r="B3387" s="2" t="n">
        <f aca="false">'Raw Data'!A3387</f>
        <v>38</v>
      </c>
      <c r="C3387" s="2" t="str">
        <f aca="false">'Raw Data'!D3387</f>
        <v>Sales</v>
      </c>
      <c r="D3387" s="2" t="str">
        <f aca="false">'Raw Data'!K3387</f>
        <v>Research Director</v>
      </c>
      <c r="E3387" s="2" t="n">
        <f aca="false">'Raw Data'!Q3387</f>
        <v>6</v>
      </c>
      <c r="F3387" s="2" t="n">
        <f aca="false">'Raw Data'!U3387</f>
        <v>3</v>
      </c>
      <c r="G3387" s="2" t="n">
        <f aca="false">'Raw Data'!W3387</f>
        <v>4</v>
      </c>
      <c r="H3387" s="2" t="n">
        <f aca="false">'Raw Data'!V3387</f>
        <v>3</v>
      </c>
      <c r="I3387" s="2" t="n">
        <f aca="false">IF(AND(ISNUMBER(B3387),B3387&lt;=25),2,0)+IF(AND(ISNUMBER(E3387),E3387&lt;=5),2,0)+IF(AND(ISNUMBER(F3387),F3387&lt;=1),2,0)+IF(AND(ISNUMBER(G3387),G3387&lt;=2),1,0)+IF(AND(ISNUMBER(H3387),H3387&lt;=2),1,0)</f>
        <v>0</v>
      </c>
      <c r="J3387" s="2" t="str">
        <f aca="false">IF(I3387&gt;=6,"High",IF(I3387&gt;=3,"Medium","Low"))</f>
        <v>Low</v>
      </c>
    </row>
    <row r="3388" customFormat="false" ht="15" hidden="false" customHeight="true" outlineLevel="0" collapsed="false">
      <c r="A3388" s="2" t="n">
        <f aca="false">'Raw Data'!H3388</f>
        <v>3387</v>
      </c>
      <c r="B3388" s="2" t="n">
        <f aca="false">'Raw Data'!A3388</f>
        <v>35</v>
      </c>
      <c r="C3388" s="2" t="str">
        <f aca="false">'Raw Data'!D3388</f>
        <v>Sales</v>
      </c>
      <c r="D3388" s="2" t="str">
        <f aca="false">'Raw Data'!K3388</f>
        <v>Healthcare Representative</v>
      </c>
      <c r="E3388" s="2" t="n">
        <f aca="false">'Raw Data'!Q3388</f>
        <v>12</v>
      </c>
      <c r="F3388" s="2" t="n">
        <f aca="false">'Raw Data'!U3388</f>
        <v>8</v>
      </c>
      <c r="G3388" s="2" t="n">
        <f aca="false">'Raw Data'!W3388</f>
        <v>4</v>
      </c>
      <c r="H3388" s="2" t="n">
        <f aca="false">'Raw Data'!V3388</f>
        <v>4</v>
      </c>
      <c r="I3388" s="2" t="n">
        <f aca="false">IF(AND(ISNUMBER(B3388),B3388&lt;=25),2,0)+IF(AND(ISNUMBER(E3388),E3388&lt;=5),2,0)+IF(AND(ISNUMBER(F3388),F3388&lt;=1),2,0)+IF(AND(ISNUMBER(G3388),G3388&lt;=2),1,0)+IF(AND(ISNUMBER(H3388),H3388&lt;=2),1,0)</f>
        <v>0</v>
      </c>
      <c r="J3388" s="2" t="str">
        <f aca="false">IF(I3388&gt;=6,"High",IF(I3388&gt;=3,"Medium","Low"))</f>
        <v>Low</v>
      </c>
    </row>
    <row r="3389" customFormat="false" ht="15" hidden="false" customHeight="true" outlineLevel="0" collapsed="false">
      <c r="A3389" s="2" t="n">
        <f aca="false">'Raw Data'!H3389</f>
        <v>3388</v>
      </c>
      <c r="B3389" s="2" t="n">
        <f aca="false">'Raw Data'!A3389</f>
        <v>39</v>
      </c>
      <c r="C3389" s="2" t="str">
        <f aca="false">'Raw Data'!D3389</f>
        <v>Sales</v>
      </c>
      <c r="D3389" s="2" t="str">
        <f aca="false">'Raw Data'!K3389</f>
        <v>Research Scientist</v>
      </c>
      <c r="E3389" s="2" t="n">
        <f aca="false">'Raw Data'!Q3389</f>
        <v>9</v>
      </c>
      <c r="F3389" s="2" t="n">
        <f aca="false">'Raw Data'!U3389</f>
        <v>7</v>
      </c>
      <c r="G3389" s="2" t="n">
        <f aca="false">'Raw Data'!W3389</f>
        <v>3</v>
      </c>
      <c r="H3389" s="2" t="n">
        <f aca="false">'Raw Data'!V3389</f>
        <v>0</v>
      </c>
      <c r="I3389" s="2" t="n">
        <f aca="false">IF(AND(ISNUMBER(B3389),B3389&lt;=25),2,0)+IF(AND(ISNUMBER(E3389),E3389&lt;=5),2,0)+IF(AND(ISNUMBER(F3389),F3389&lt;=1),2,0)+IF(AND(ISNUMBER(G3389),G3389&lt;=2),1,0)+IF(AND(ISNUMBER(H3389),H3389&lt;=2),1,0)</f>
        <v>0</v>
      </c>
      <c r="J3389" s="2" t="str">
        <f aca="false">IF(I3389&gt;=6,"High",IF(I3389&gt;=3,"Medium","Low"))</f>
        <v>Low</v>
      </c>
    </row>
    <row r="3390" customFormat="false" ht="15" hidden="false" customHeight="true" outlineLevel="0" collapsed="false">
      <c r="A3390" s="2" t="n">
        <f aca="false">'Raw Data'!H3390</f>
        <v>3389</v>
      </c>
      <c r="B3390" s="2" t="n">
        <f aca="false">'Raw Data'!A3390</f>
        <v>40</v>
      </c>
      <c r="C3390" s="2" t="str">
        <f aca="false">'Raw Data'!D3390</f>
        <v>Research &amp; Development</v>
      </c>
      <c r="D3390" s="2" t="str">
        <f aca="false">'Raw Data'!K3390</f>
        <v>Human Resources</v>
      </c>
      <c r="E3390" s="2" t="n">
        <f aca="false">'Raw Data'!Q3390</f>
        <v>22</v>
      </c>
      <c r="F3390" s="2" t="n">
        <f aca="false">'Raw Data'!U3390</f>
        <v>0</v>
      </c>
      <c r="G3390" s="2" t="n">
        <f aca="false">'Raw Data'!W3390</f>
        <v>2</v>
      </c>
      <c r="H3390" s="2" t="n">
        <f aca="false">'Raw Data'!V3390</f>
        <v>2</v>
      </c>
      <c r="I3390" s="2" t="n">
        <f aca="false">IF(AND(ISNUMBER(B3390),B3390&lt;=25),2,0)+IF(AND(ISNUMBER(E3390),E3390&lt;=5),2,0)+IF(AND(ISNUMBER(F3390),F3390&lt;=1),2,0)+IF(AND(ISNUMBER(G3390),G3390&lt;=2),1,0)+IF(AND(ISNUMBER(H3390),H3390&lt;=2),1,0)</f>
        <v>4</v>
      </c>
      <c r="J3390" s="2" t="str">
        <f aca="false">IF(I3390&gt;=6,"High",IF(I3390&gt;=3,"Medium","Low"))</f>
        <v>Medium</v>
      </c>
    </row>
    <row r="3391" customFormat="false" ht="15" hidden="false" customHeight="true" outlineLevel="0" collapsed="false">
      <c r="A3391" s="2" t="n">
        <f aca="false">'Raw Data'!H3391</f>
        <v>3390</v>
      </c>
      <c r="B3391" s="2" t="n">
        <f aca="false">'Raw Data'!A3391</f>
        <v>47</v>
      </c>
      <c r="C3391" s="2" t="str">
        <f aca="false">'Raw Data'!D3391</f>
        <v>Research &amp; Development</v>
      </c>
      <c r="D3391" s="2" t="str">
        <f aca="false">'Raw Data'!K3391</f>
        <v>Sales Executive</v>
      </c>
      <c r="E3391" s="2" t="n">
        <f aca="false">'Raw Data'!Q3391</f>
        <v>20</v>
      </c>
      <c r="F3391" s="2" t="n">
        <f aca="false">'Raw Data'!U3391</f>
        <v>7</v>
      </c>
      <c r="G3391" s="2" t="n">
        <f aca="false">'Raw Data'!W3391</f>
        <v>3</v>
      </c>
      <c r="H3391" s="2" t="n">
        <f aca="false">'Raw Data'!V3391</f>
        <v>3</v>
      </c>
      <c r="I3391" s="2" t="n">
        <f aca="false">IF(AND(ISNUMBER(B3391),B3391&lt;=25),2,0)+IF(AND(ISNUMBER(E3391),E3391&lt;=5),2,0)+IF(AND(ISNUMBER(F3391),F3391&lt;=1),2,0)+IF(AND(ISNUMBER(G3391),G3391&lt;=2),1,0)+IF(AND(ISNUMBER(H3391),H3391&lt;=2),1,0)</f>
        <v>0</v>
      </c>
      <c r="J3391" s="2" t="str">
        <f aca="false">IF(I3391&gt;=6,"High",IF(I3391&gt;=3,"Medium","Low"))</f>
        <v>Low</v>
      </c>
    </row>
    <row r="3392" customFormat="false" ht="15" hidden="false" customHeight="true" outlineLevel="0" collapsed="false">
      <c r="A3392" s="2" t="n">
        <f aca="false">'Raw Data'!H3392</f>
        <v>3391</v>
      </c>
      <c r="B3392" s="2" t="n">
        <f aca="false">'Raw Data'!A3392</f>
        <v>36</v>
      </c>
      <c r="C3392" s="2" t="str">
        <f aca="false">'Raw Data'!D3392</f>
        <v>Sales</v>
      </c>
      <c r="D3392" s="2" t="str">
        <f aca="false">'Raw Data'!K3392</f>
        <v>Research Scientist</v>
      </c>
      <c r="E3392" s="2" t="n">
        <f aca="false">'Raw Data'!Q3392</f>
        <v>12</v>
      </c>
      <c r="F3392" s="2" t="n">
        <f aca="false">'Raw Data'!U3392</f>
        <v>7</v>
      </c>
      <c r="G3392" s="2" t="n">
        <f aca="false">'Raw Data'!W3392</f>
        <v>4</v>
      </c>
      <c r="H3392" s="2" t="n">
        <f aca="false">'Raw Data'!V3392</f>
        <v>1</v>
      </c>
      <c r="I3392" s="2" t="n">
        <f aca="false">IF(AND(ISNUMBER(B3392),B3392&lt;=25),2,0)+IF(AND(ISNUMBER(E3392),E3392&lt;=5),2,0)+IF(AND(ISNUMBER(F3392),F3392&lt;=1),2,0)+IF(AND(ISNUMBER(G3392),G3392&lt;=2),1,0)+IF(AND(ISNUMBER(H3392),H3392&lt;=2),1,0)</f>
        <v>1</v>
      </c>
      <c r="J3392" s="2" t="str">
        <f aca="false">IF(I3392&gt;=6,"High",IF(I3392&gt;=3,"Medium","Low"))</f>
        <v>Low</v>
      </c>
    </row>
    <row r="3393" customFormat="false" ht="15" hidden="false" customHeight="true" outlineLevel="0" collapsed="false">
      <c r="A3393" s="2" t="n">
        <f aca="false">'Raw Data'!H3393</f>
        <v>3392</v>
      </c>
      <c r="B3393" s="2" t="n">
        <f aca="false">'Raw Data'!A3393</f>
        <v>31</v>
      </c>
      <c r="C3393" s="2" t="str">
        <f aca="false">'Raw Data'!D3393</f>
        <v>Research &amp; Development</v>
      </c>
      <c r="D3393" s="2" t="str">
        <f aca="false">'Raw Data'!K3393</f>
        <v>Research Scientist</v>
      </c>
      <c r="E3393" s="2" t="n">
        <f aca="false">'Raw Data'!Q3393</f>
        <v>4</v>
      </c>
      <c r="F3393" s="2" t="n">
        <f aca="false">'Raw Data'!U3393</f>
        <v>2</v>
      </c>
      <c r="G3393" s="2" t="n">
        <f aca="false">'Raw Data'!W3393</f>
        <v>1</v>
      </c>
      <c r="H3393" s="2" t="n">
        <f aca="false">'Raw Data'!V3393</f>
        <v>3</v>
      </c>
      <c r="I3393" s="2" t="n">
        <f aca="false">IF(AND(ISNUMBER(B3393),B3393&lt;=25),2,0)+IF(AND(ISNUMBER(E3393),E3393&lt;=5),2,0)+IF(AND(ISNUMBER(F3393),F3393&lt;=1),2,0)+IF(AND(ISNUMBER(G3393),G3393&lt;=2),1,0)+IF(AND(ISNUMBER(H3393),H3393&lt;=2),1,0)</f>
        <v>3</v>
      </c>
      <c r="J3393" s="2" t="str">
        <f aca="false">IF(I3393&gt;=6,"High",IF(I3393&gt;=3,"Medium","Low"))</f>
        <v>Medium</v>
      </c>
    </row>
    <row r="3394" customFormat="false" ht="15" hidden="false" customHeight="true" outlineLevel="0" collapsed="false">
      <c r="A3394" s="2" t="n">
        <f aca="false">'Raw Data'!H3394</f>
        <v>3393</v>
      </c>
      <c r="B3394" s="2" t="n">
        <f aca="false">'Raw Data'!A3394</f>
        <v>33</v>
      </c>
      <c r="C3394" s="2" t="str">
        <f aca="false">'Raw Data'!D3394</f>
        <v>Sales</v>
      </c>
      <c r="D3394" s="2" t="str">
        <f aca="false">'Raw Data'!K3394</f>
        <v>Research Director</v>
      </c>
      <c r="E3394" s="2" t="n">
        <f aca="false">'Raw Data'!Q3394</f>
        <v>10</v>
      </c>
      <c r="F3394" s="2" t="n">
        <f aca="false">'Raw Data'!U3394</f>
        <v>0</v>
      </c>
      <c r="G3394" s="2" t="n">
        <f aca="false">'Raw Data'!W3394</f>
        <v>3</v>
      </c>
      <c r="H3394" s="2" t="n">
        <f aca="false">'Raw Data'!V3394</f>
        <v>4</v>
      </c>
      <c r="I3394" s="2" t="n">
        <f aca="false">IF(AND(ISNUMBER(B3394),B3394&lt;=25),2,0)+IF(AND(ISNUMBER(E3394),E3394&lt;=5),2,0)+IF(AND(ISNUMBER(F3394),F3394&lt;=1),2,0)+IF(AND(ISNUMBER(G3394),G3394&lt;=2),1,0)+IF(AND(ISNUMBER(H3394),H3394&lt;=2),1,0)</f>
        <v>2</v>
      </c>
      <c r="J3394" s="2" t="str">
        <f aca="false">IF(I3394&gt;=6,"High",IF(I3394&gt;=3,"Medium","Low"))</f>
        <v>Low</v>
      </c>
    </row>
    <row r="3395" customFormat="false" ht="15" hidden="false" customHeight="true" outlineLevel="0" collapsed="false">
      <c r="A3395" s="2" t="n">
        <f aca="false">'Raw Data'!H3395</f>
        <v>3394</v>
      </c>
      <c r="B3395" s="2" t="n">
        <f aca="false">'Raw Data'!A3395</f>
        <v>29</v>
      </c>
      <c r="C3395" s="2" t="str">
        <f aca="false">'Raw Data'!D3395</f>
        <v>Human Resources</v>
      </c>
      <c r="D3395" s="2" t="str">
        <f aca="false">'Raw Data'!K3395</f>
        <v>Sales Executive</v>
      </c>
      <c r="E3395" s="2" t="n">
        <f aca="false">'Raw Data'!Q3395</f>
        <v>3</v>
      </c>
      <c r="F3395" s="2" t="n">
        <f aca="false">'Raw Data'!U3395</f>
        <v>0</v>
      </c>
      <c r="G3395" s="2" t="n">
        <f aca="false">'Raw Data'!W3395</f>
        <v>1</v>
      </c>
      <c r="H3395" s="2" t="n">
        <f aca="false">'Raw Data'!V3395</f>
        <v>4</v>
      </c>
      <c r="I3395" s="2" t="n">
        <f aca="false">IF(AND(ISNUMBER(B3395),B3395&lt;=25),2,0)+IF(AND(ISNUMBER(E3395),E3395&lt;=5),2,0)+IF(AND(ISNUMBER(F3395),F3395&lt;=1),2,0)+IF(AND(ISNUMBER(G3395),G3395&lt;=2),1,0)+IF(AND(ISNUMBER(H3395),H3395&lt;=2),1,0)</f>
        <v>5</v>
      </c>
      <c r="J3395" s="2" t="str">
        <f aca="false">IF(I3395&gt;=6,"High",IF(I3395&gt;=3,"Medium","Low"))</f>
        <v>Medium</v>
      </c>
    </row>
    <row r="3396" customFormat="false" ht="15" hidden="false" customHeight="true" outlineLevel="0" collapsed="false">
      <c r="A3396" s="2" t="n">
        <f aca="false">'Raw Data'!H3396</f>
        <v>3395</v>
      </c>
      <c r="B3396" s="2" t="n">
        <f aca="false">'Raw Data'!A3396</f>
        <v>33</v>
      </c>
      <c r="C3396" s="2" t="str">
        <f aca="false">'Raw Data'!D3396</f>
        <v>Research &amp; Development</v>
      </c>
      <c r="D3396" s="2" t="str">
        <f aca="false">'Raw Data'!K3396</f>
        <v>Laboratory Technician</v>
      </c>
      <c r="E3396" s="2" t="n">
        <f aca="false">'Raw Data'!Q3396</f>
        <v>5</v>
      </c>
      <c r="F3396" s="2" t="n">
        <f aca="false">'Raw Data'!U3396</f>
        <v>2</v>
      </c>
      <c r="G3396" s="2" t="n">
        <f aca="false">'Raw Data'!W3396</f>
        <v>4</v>
      </c>
      <c r="H3396" s="2" t="n">
        <f aca="false">'Raw Data'!V3396</f>
        <v>2</v>
      </c>
      <c r="I3396" s="2" t="n">
        <f aca="false">IF(AND(ISNUMBER(B3396),B3396&lt;=25),2,0)+IF(AND(ISNUMBER(E3396),E3396&lt;=5),2,0)+IF(AND(ISNUMBER(F3396),F3396&lt;=1),2,0)+IF(AND(ISNUMBER(G3396),G3396&lt;=2),1,0)+IF(AND(ISNUMBER(H3396),H3396&lt;=2),1,0)</f>
        <v>3</v>
      </c>
      <c r="J3396" s="2" t="str">
        <f aca="false">IF(I3396&gt;=6,"High",IF(I3396&gt;=3,"Medium","Low"))</f>
        <v>Medium</v>
      </c>
    </row>
    <row r="3397" customFormat="false" ht="15" hidden="false" customHeight="true" outlineLevel="0" collapsed="false">
      <c r="A3397" s="2" t="n">
        <f aca="false">'Raw Data'!H3397</f>
        <v>3396</v>
      </c>
      <c r="B3397" s="2" t="n">
        <f aca="false">'Raw Data'!A3397</f>
        <v>45</v>
      </c>
      <c r="C3397" s="2" t="str">
        <f aca="false">'Raw Data'!D3397</f>
        <v>Research &amp; Development</v>
      </c>
      <c r="D3397" s="2" t="str">
        <f aca="false">'Raw Data'!K3397</f>
        <v>Healthcare Representative</v>
      </c>
      <c r="E3397" s="2" t="n">
        <f aca="false">'Raw Data'!Q3397</f>
        <v>8</v>
      </c>
      <c r="F3397" s="2" t="n">
        <f aca="false">'Raw Data'!U3397</f>
        <v>2</v>
      </c>
      <c r="G3397" s="2" t="n">
        <f aca="false">'Raw Data'!W3397</f>
        <v>4</v>
      </c>
      <c r="H3397" s="2" t="n">
        <f aca="false">'Raw Data'!V3397</f>
        <v>4</v>
      </c>
      <c r="I3397" s="2" t="n">
        <f aca="false">IF(AND(ISNUMBER(B3397),B3397&lt;=25),2,0)+IF(AND(ISNUMBER(E3397),E3397&lt;=5),2,0)+IF(AND(ISNUMBER(F3397),F3397&lt;=1),2,0)+IF(AND(ISNUMBER(G3397),G3397&lt;=2),1,0)+IF(AND(ISNUMBER(H3397),H3397&lt;=2),1,0)</f>
        <v>0</v>
      </c>
      <c r="J3397" s="2" t="str">
        <f aca="false">IF(I3397&gt;=6,"High",IF(I3397&gt;=3,"Medium","Low"))</f>
        <v>Low</v>
      </c>
    </row>
    <row r="3398" customFormat="false" ht="15" hidden="false" customHeight="true" outlineLevel="0" collapsed="false">
      <c r="A3398" s="2" t="n">
        <f aca="false">'Raw Data'!H3398</f>
        <v>3397</v>
      </c>
      <c r="B3398" s="2" t="n">
        <f aca="false">'Raw Data'!A3398</f>
        <v>50</v>
      </c>
      <c r="C3398" s="2" t="str">
        <f aca="false">'Raw Data'!D3398</f>
        <v>Sales</v>
      </c>
      <c r="D3398" s="2" t="str">
        <f aca="false">'Raw Data'!K3398</f>
        <v>Manufacturing Director</v>
      </c>
      <c r="E3398" s="2" t="n">
        <f aca="false">'Raw Data'!Q3398</f>
        <v>32</v>
      </c>
      <c r="F3398" s="2" t="n">
        <f aca="false">'Raw Data'!U3398</f>
        <v>3</v>
      </c>
      <c r="G3398" s="2" t="n">
        <f aca="false">'Raw Data'!W3398</f>
        <v>4</v>
      </c>
      <c r="H3398" s="2" t="n">
        <f aca="false">'Raw Data'!V3398</f>
        <v>4</v>
      </c>
      <c r="I3398" s="2" t="n">
        <f aca="false">IF(AND(ISNUMBER(B3398),B3398&lt;=25),2,0)+IF(AND(ISNUMBER(E3398),E3398&lt;=5),2,0)+IF(AND(ISNUMBER(F3398),F3398&lt;=1),2,0)+IF(AND(ISNUMBER(G3398),G3398&lt;=2),1,0)+IF(AND(ISNUMBER(H3398),H3398&lt;=2),1,0)</f>
        <v>0</v>
      </c>
      <c r="J3398" s="2" t="str">
        <f aca="false">IF(I3398&gt;=6,"High",IF(I3398&gt;=3,"Medium","Low"))</f>
        <v>Low</v>
      </c>
    </row>
    <row r="3399" customFormat="false" ht="15" hidden="false" customHeight="true" outlineLevel="0" collapsed="false">
      <c r="A3399" s="2" t="n">
        <f aca="false">'Raw Data'!H3399</f>
        <v>3398</v>
      </c>
      <c r="B3399" s="2" t="n">
        <f aca="false">'Raw Data'!A3399</f>
        <v>33</v>
      </c>
      <c r="C3399" s="2" t="str">
        <f aca="false">'Raw Data'!D3399</f>
        <v>Sales</v>
      </c>
      <c r="D3399" s="2" t="str">
        <f aca="false">'Raw Data'!K3399</f>
        <v>Human Resources</v>
      </c>
      <c r="E3399" s="2" t="n">
        <f aca="false">'Raw Data'!Q3399</f>
        <v>6</v>
      </c>
      <c r="F3399" s="2" t="n">
        <f aca="false">'Raw Data'!U3399</f>
        <v>2</v>
      </c>
      <c r="G3399" s="2" t="n">
        <f aca="false">'Raw Data'!W3399</f>
        <v>2</v>
      </c>
      <c r="H3399" s="2" t="n">
        <f aca="false">'Raw Data'!V3399</f>
        <v>3</v>
      </c>
      <c r="I3399" s="2" t="n">
        <f aca="false">IF(AND(ISNUMBER(B3399),B3399&lt;=25),2,0)+IF(AND(ISNUMBER(E3399),E3399&lt;=5),2,0)+IF(AND(ISNUMBER(F3399),F3399&lt;=1),2,0)+IF(AND(ISNUMBER(G3399),G3399&lt;=2),1,0)+IF(AND(ISNUMBER(H3399),H3399&lt;=2),1,0)</f>
        <v>1</v>
      </c>
      <c r="J3399" s="2" t="str">
        <f aca="false">IF(I3399&gt;=6,"High",IF(I3399&gt;=3,"Medium","Low"))</f>
        <v>Low</v>
      </c>
    </row>
    <row r="3400" customFormat="false" ht="15" hidden="false" customHeight="true" outlineLevel="0" collapsed="false">
      <c r="A3400" s="2" t="n">
        <f aca="false">'Raw Data'!H3400</f>
        <v>3399</v>
      </c>
      <c r="B3400" s="2" t="n">
        <f aca="false">'Raw Data'!A3400</f>
        <v>41</v>
      </c>
      <c r="C3400" s="2" t="str">
        <f aca="false">'Raw Data'!D3400</f>
        <v>Sales</v>
      </c>
      <c r="D3400" s="2" t="str">
        <f aca="false">'Raw Data'!K3400</f>
        <v>Laboratory Technician</v>
      </c>
      <c r="E3400" s="2" t="n">
        <f aca="false">'Raw Data'!Q3400</f>
        <v>21</v>
      </c>
      <c r="F3400" s="2" t="n">
        <f aca="false">'Raw Data'!U3400</f>
        <v>11</v>
      </c>
      <c r="G3400" s="2" t="n">
        <f aca="false">'Raw Data'!W3400</f>
        <v>3</v>
      </c>
      <c r="H3400" s="2" t="n">
        <f aca="false">'Raw Data'!V3400</f>
        <v>1</v>
      </c>
      <c r="I3400" s="2" t="n">
        <f aca="false">IF(AND(ISNUMBER(B3400),B3400&lt;=25),2,0)+IF(AND(ISNUMBER(E3400),E3400&lt;=5),2,0)+IF(AND(ISNUMBER(F3400),F3400&lt;=1),2,0)+IF(AND(ISNUMBER(G3400),G3400&lt;=2),1,0)+IF(AND(ISNUMBER(H3400),H3400&lt;=2),1,0)</f>
        <v>1</v>
      </c>
      <c r="J3400" s="2" t="str">
        <f aca="false">IF(I3400&gt;=6,"High",IF(I3400&gt;=3,"Medium","Low"))</f>
        <v>Low</v>
      </c>
    </row>
    <row r="3401" customFormat="false" ht="15" hidden="false" customHeight="true" outlineLevel="0" collapsed="false">
      <c r="A3401" s="2" t="n">
        <f aca="false">'Raw Data'!H3401</f>
        <v>3400</v>
      </c>
      <c r="B3401" s="2" t="n">
        <f aca="false">'Raw Data'!A3401</f>
        <v>27</v>
      </c>
      <c r="C3401" s="2" t="str">
        <f aca="false">'Raw Data'!D3401</f>
        <v>Research &amp; Development</v>
      </c>
      <c r="D3401" s="2" t="str">
        <f aca="false">'Raw Data'!K3401</f>
        <v>Manufacturing Director</v>
      </c>
      <c r="E3401" s="2" t="n">
        <f aca="false">'Raw Data'!Q3401</f>
        <v>4</v>
      </c>
      <c r="F3401" s="2" t="n">
        <f aca="false">'Raw Data'!U3401</f>
        <v>2</v>
      </c>
      <c r="G3401" s="2" t="n">
        <f aca="false">'Raw Data'!W3401</f>
        <v>2</v>
      </c>
      <c r="H3401" s="2" t="n">
        <f aca="false">'Raw Data'!V3401</f>
        <v>3</v>
      </c>
      <c r="I3401" s="2" t="n">
        <f aca="false">IF(AND(ISNUMBER(B3401),B3401&lt;=25),2,0)+IF(AND(ISNUMBER(E3401),E3401&lt;=5),2,0)+IF(AND(ISNUMBER(F3401),F3401&lt;=1),2,0)+IF(AND(ISNUMBER(G3401),G3401&lt;=2),1,0)+IF(AND(ISNUMBER(H3401),H3401&lt;=2),1,0)</f>
        <v>3</v>
      </c>
      <c r="J3401" s="2" t="str">
        <f aca="false">IF(I3401&gt;=6,"High",IF(I3401&gt;=3,"Medium","Low"))</f>
        <v>Medium</v>
      </c>
    </row>
    <row r="3402" customFormat="false" ht="15" hidden="false" customHeight="true" outlineLevel="0" collapsed="false">
      <c r="A3402" s="2" t="n">
        <f aca="false">'Raw Data'!H3402</f>
        <v>3401</v>
      </c>
      <c r="B3402" s="2" t="n">
        <f aca="false">'Raw Data'!A3402</f>
        <v>45</v>
      </c>
      <c r="C3402" s="2" t="str">
        <f aca="false">'Raw Data'!D3402</f>
        <v>Sales</v>
      </c>
      <c r="D3402" s="2" t="str">
        <f aca="false">'Raw Data'!K3402</f>
        <v>Sales Executive</v>
      </c>
      <c r="E3402" s="2" t="n">
        <f aca="false">'Raw Data'!Q3402</f>
        <v>9</v>
      </c>
      <c r="F3402" s="2" t="n">
        <f aca="false">'Raw Data'!U3402</f>
        <v>8</v>
      </c>
      <c r="G3402" s="2" t="n">
        <f aca="false">'Raw Data'!W3402</f>
        <v>1</v>
      </c>
      <c r="H3402" s="2" t="n">
        <f aca="false">'Raw Data'!V3402</f>
        <v>4</v>
      </c>
      <c r="I3402" s="2" t="n">
        <f aca="false">IF(AND(ISNUMBER(B3402),B3402&lt;=25),2,0)+IF(AND(ISNUMBER(E3402),E3402&lt;=5),2,0)+IF(AND(ISNUMBER(F3402),F3402&lt;=1),2,0)+IF(AND(ISNUMBER(G3402),G3402&lt;=2),1,0)+IF(AND(ISNUMBER(H3402),H3402&lt;=2),1,0)</f>
        <v>1</v>
      </c>
      <c r="J3402" s="2" t="str">
        <f aca="false">IF(I3402&gt;=6,"High",IF(I3402&gt;=3,"Medium","Low"))</f>
        <v>Low</v>
      </c>
    </row>
    <row r="3403" customFormat="false" ht="15" hidden="false" customHeight="true" outlineLevel="0" collapsed="false">
      <c r="A3403" s="2" t="n">
        <f aca="false">'Raw Data'!H3403</f>
        <v>3402</v>
      </c>
      <c r="B3403" s="2" t="n">
        <f aca="false">'Raw Data'!A3403</f>
        <v>47</v>
      </c>
      <c r="C3403" s="2" t="str">
        <f aca="false">'Raw Data'!D3403</f>
        <v>Sales</v>
      </c>
      <c r="D3403" s="2" t="str">
        <f aca="false">'Raw Data'!K3403</f>
        <v>Research Scientist</v>
      </c>
      <c r="E3403" s="2" t="n">
        <f aca="false">'Raw Data'!Q3403</f>
        <v>9</v>
      </c>
      <c r="F3403" s="2" t="n">
        <f aca="false">'Raw Data'!U3403</f>
        <v>7</v>
      </c>
      <c r="G3403" s="2" t="n">
        <f aca="false">'Raw Data'!W3403</f>
        <v>4</v>
      </c>
      <c r="H3403" s="2" t="n">
        <f aca="false">'Raw Data'!V3403</f>
        <v>4</v>
      </c>
      <c r="I3403" s="2" t="n">
        <f aca="false">IF(AND(ISNUMBER(B3403),B3403&lt;=25),2,0)+IF(AND(ISNUMBER(E3403),E3403&lt;=5),2,0)+IF(AND(ISNUMBER(F3403),F3403&lt;=1),2,0)+IF(AND(ISNUMBER(G3403),G3403&lt;=2),1,0)+IF(AND(ISNUMBER(H3403),H3403&lt;=2),1,0)</f>
        <v>0</v>
      </c>
      <c r="J3403" s="2" t="str">
        <f aca="false">IF(I3403&gt;=6,"High",IF(I3403&gt;=3,"Medium","Low"))</f>
        <v>Low</v>
      </c>
    </row>
    <row r="3404" customFormat="false" ht="15" hidden="false" customHeight="true" outlineLevel="0" collapsed="false">
      <c r="A3404" s="2" t="n">
        <f aca="false">'Raw Data'!H3404</f>
        <v>3403</v>
      </c>
      <c r="B3404" s="2" t="n">
        <f aca="false">'Raw Data'!A3404</f>
        <v>30</v>
      </c>
      <c r="C3404" s="2" t="str">
        <f aca="false">'Raw Data'!D3404</f>
        <v>Sales</v>
      </c>
      <c r="D3404" s="2" t="str">
        <f aca="false">'Raw Data'!K3404</f>
        <v>Healthcare Representative</v>
      </c>
      <c r="E3404" s="2" t="n">
        <f aca="false">'Raw Data'!Q3404</f>
        <v>7</v>
      </c>
      <c r="F3404" s="2" t="n">
        <f aca="false">'Raw Data'!U3404</f>
        <v>1</v>
      </c>
      <c r="G3404" s="2" t="n">
        <f aca="false">'Raw Data'!W3404</f>
        <v>3</v>
      </c>
      <c r="H3404" s="2" t="n">
        <f aca="false">'Raw Data'!V3404</f>
        <v>1</v>
      </c>
      <c r="I3404" s="2" t="n">
        <f aca="false">IF(AND(ISNUMBER(B3404),B3404&lt;=25),2,0)+IF(AND(ISNUMBER(E3404),E3404&lt;=5),2,0)+IF(AND(ISNUMBER(F3404),F3404&lt;=1),2,0)+IF(AND(ISNUMBER(G3404),G3404&lt;=2),1,0)+IF(AND(ISNUMBER(H3404),H3404&lt;=2),1,0)</f>
        <v>3</v>
      </c>
      <c r="J3404" s="2" t="str">
        <f aca="false">IF(I3404&gt;=6,"High",IF(I3404&gt;=3,"Medium","Low"))</f>
        <v>Medium</v>
      </c>
    </row>
    <row r="3405" customFormat="false" ht="15" hidden="false" customHeight="true" outlineLevel="0" collapsed="false">
      <c r="A3405" s="2" t="n">
        <f aca="false">'Raw Data'!H3405</f>
        <v>3404</v>
      </c>
      <c r="B3405" s="2" t="n">
        <f aca="false">'Raw Data'!A3405</f>
        <v>50</v>
      </c>
      <c r="C3405" s="2" t="str">
        <f aca="false">'Raw Data'!D3405</f>
        <v>Research &amp; Development</v>
      </c>
      <c r="D3405" s="2" t="str">
        <f aca="false">'Raw Data'!K3405</f>
        <v>Sales Executive</v>
      </c>
      <c r="E3405" s="2" t="n">
        <f aca="false">'Raw Data'!Q3405</f>
        <v>22</v>
      </c>
      <c r="F3405" s="2" t="n">
        <f aca="false">'Raw Data'!U3405</f>
        <v>5</v>
      </c>
      <c r="G3405" s="2" t="n">
        <f aca="false">'Raw Data'!W3405</f>
        <v>3</v>
      </c>
      <c r="H3405" s="2" t="n">
        <f aca="false">'Raw Data'!V3405</f>
        <v>4</v>
      </c>
      <c r="I3405" s="2" t="n">
        <f aca="false">IF(AND(ISNUMBER(B3405),B3405&lt;=25),2,0)+IF(AND(ISNUMBER(E3405),E3405&lt;=5),2,0)+IF(AND(ISNUMBER(F3405),F3405&lt;=1),2,0)+IF(AND(ISNUMBER(G3405),G3405&lt;=2),1,0)+IF(AND(ISNUMBER(H3405),H3405&lt;=2),1,0)</f>
        <v>0</v>
      </c>
      <c r="J3405" s="2" t="str">
        <f aca="false">IF(I3405&gt;=6,"High",IF(I3405&gt;=3,"Medium","Low"))</f>
        <v>Low</v>
      </c>
    </row>
    <row r="3406" customFormat="false" ht="15" hidden="false" customHeight="true" outlineLevel="0" collapsed="false">
      <c r="A3406" s="2" t="n">
        <f aca="false">'Raw Data'!H3406</f>
        <v>3405</v>
      </c>
      <c r="B3406" s="2" t="n">
        <f aca="false">'Raw Data'!A3406</f>
        <v>38</v>
      </c>
      <c r="C3406" s="2" t="str">
        <f aca="false">'Raw Data'!D3406</f>
        <v>Research &amp; Development</v>
      </c>
      <c r="D3406" s="2" t="str">
        <f aca="false">'Raw Data'!K3406</f>
        <v>Manufacturing Director</v>
      </c>
      <c r="E3406" s="2" t="n">
        <f aca="false">'Raw Data'!Q3406</f>
        <v>3</v>
      </c>
      <c r="F3406" s="2" t="n">
        <f aca="false">'Raw Data'!U3406</f>
        <v>2</v>
      </c>
      <c r="G3406" s="2" t="n">
        <f aca="false">'Raw Data'!W3406</f>
        <v>3</v>
      </c>
      <c r="H3406" s="2" t="n">
        <f aca="false">'Raw Data'!V3406</f>
        <v>3</v>
      </c>
      <c r="I3406" s="2" t="n">
        <f aca="false">IF(AND(ISNUMBER(B3406),B3406&lt;=25),2,0)+IF(AND(ISNUMBER(E3406),E3406&lt;=5),2,0)+IF(AND(ISNUMBER(F3406),F3406&lt;=1),2,0)+IF(AND(ISNUMBER(G3406),G3406&lt;=2),1,0)+IF(AND(ISNUMBER(H3406),H3406&lt;=2),1,0)</f>
        <v>2</v>
      </c>
      <c r="J3406" s="2" t="str">
        <f aca="false">IF(I3406&gt;=6,"High",IF(I3406&gt;=3,"Medium","Low"))</f>
        <v>Low</v>
      </c>
    </row>
    <row r="3407" customFormat="false" ht="15" hidden="false" customHeight="true" outlineLevel="0" collapsed="false">
      <c r="A3407" s="2" t="n">
        <f aca="false">'Raw Data'!H3407</f>
        <v>3406</v>
      </c>
      <c r="B3407" s="2" t="n">
        <f aca="false">'Raw Data'!A3407</f>
        <v>46</v>
      </c>
      <c r="C3407" s="2" t="str">
        <f aca="false">'Raw Data'!D3407</f>
        <v>Research &amp; Development</v>
      </c>
      <c r="D3407" s="2" t="str">
        <f aca="false">'Raw Data'!K3407</f>
        <v>Human Resources</v>
      </c>
      <c r="E3407" s="2" t="n">
        <f aca="false">'Raw Data'!Q3407</f>
        <v>13</v>
      </c>
      <c r="F3407" s="2" t="n">
        <f aca="false">'Raw Data'!U3407</f>
        <v>7</v>
      </c>
      <c r="G3407" s="2" t="n">
        <f aca="false">'Raw Data'!W3407</f>
        <v>3</v>
      </c>
      <c r="H3407" s="2" t="n">
        <f aca="false">'Raw Data'!V3407</f>
        <v>4</v>
      </c>
      <c r="I3407" s="2" t="n">
        <f aca="false">IF(AND(ISNUMBER(B3407),B3407&lt;=25),2,0)+IF(AND(ISNUMBER(E3407),E3407&lt;=5),2,0)+IF(AND(ISNUMBER(F3407),F3407&lt;=1),2,0)+IF(AND(ISNUMBER(G3407),G3407&lt;=2),1,0)+IF(AND(ISNUMBER(H3407),H3407&lt;=2),1,0)</f>
        <v>0</v>
      </c>
      <c r="J3407" s="2" t="str">
        <f aca="false">IF(I3407&gt;=6,"High",IF(I3407&gt;=3,"Medium","Low"))</f>
        <v>Low</v>
      </c>
    </row>
    <row r="3408" customFormat="false" ht="15" hidden="false" customHeight="true" outlineLevel="0" collapsed="false">
      <c r="A3408" s="2" t="n">
        <f aca="false">'Raw Data'!H3408</f>
        <v>3407</v>
      </c>
      <c r="B3408" s="2" t="n">
        <f aca="false">'Raw Data'!A3408</f>
        <v>24</v>
      </c>
      <c r="C3408" s="2" t="str">
        <f aca="false">'Raw Data'!D3408</f>
        <v>Sales</v>
      </c>
      <c r="D3408" s="2" t="str">
        <f aca="false">'Raw Data'!K3408</f>
        <v>Healthcare Representative</v>
      </c>
      <c r="E3408" s="2" t="n">
        <f aca="false">'Raw Data'!Q3408</f>
        <v>5</v>
      </c>
      <c r="F3408" s="2" t="n">
        <f aca="false">'Raw Data'!U3408</f>
        <v>2</v>
      </c>
      <c r="G3408" s="2" t="n">
        <f aca="false">'Raw Data'!W3408</f>
        <v>3</v>
      </c>
      <c r="H3408" s="2" t="n">
        <f aca="false">'Raw Data'!V3408</f>
        <v>4</v>
      </c>
      <c r="I3408" s="2" t="n">
        <f aca="false">IF(AND(ISNUMBER(B3408),B3408&lt;=25),2,0)+IF(AND(ISNUMBER(E3408),E3408&lt;=5),2,0)+IF(AND(ISNUMBER(F3408),F3408&lt;=1),2,0)+IF(AND(ISNUMBER(G3408),G3408&lt;=2),1,0)+IF(AND(ISNUMBER(H3408),H3408&lt;=2),1,0)</f>
        <v>4</v>
      </c>
      <c r="J3408" s="2" t="str">
        <f aca="false">IF(I3408&gt;=6,"High",IF(I3408&gt;=3,"Medium","Low"))</f>
        <v>Medium</v>
      </c>
    </row>
    <row r="3409" customFormat="false" ht="15" hidden="false" customHeight="true" outlineLevel="0" collapsed="false">
      <c r="A3409" s="2" t="n">
        <f aca="false">'Raw Data'!H3409</f>
        <v>3408</v>
      </c>
      <c r="B3409" s="2" t="n">
        <f aca="false">'Raw Data'!A3409</f>
        <v>35</v>
      </c>
      <c r="C3409" s="2" t="str">
        <f aca="false">'Raw Data'!D3409</f>
        <v>Sales</v>
      </c>
      <c r="D3409" s="2" t="str">
        <f aca="false">'Raw Data'!K3409</f>
        <v>Healthcare Representative</v>
      </c>
      <c r="E3409" s="2" t="n">
        <f aca="false">'Raw Data'!Q3409</f>
        <v>5</v>
      </c>
      <c r="F3409" s="2" t="n">
        <f aca="false">'Raw Data'!U3409</f>
        <v>2</v>
      </c>
      <c r="G3409" s="2" t="n">
        <f aca="false">'Raw Data'!W3409</f>
        <v>2</v>
      </c>
      <c r="H3409" s="2" t="n">
        <f aca="false">'Raw Data'!V3409</f>
        <v>3</v>
      </c>
      <c r="I3409" s="2" t="n">
        <f aca="false">IF(AND(ISNUMBER(B3409),B3409&lt;=25),2,0)+IF(AND(ISNUMBER(E3409),E3409&lt;=5),2,0)+IF(AND(ISNUMBER(F3409),F3409&lt;=1),2,0)+IF(AND(ISNUMBER(G3409),G3409&lt;=2),1,0)+IF(AND(ISNUMBER(H3409),H3409&lt;=2),1,0)</f>
        <v>3</v>
      </c>
      <c r="J3409" s="2" t="str">
        <f aca="false">IF(I3409&gt;=6,"High",IF(I3409&gt;=3,"Medium","Low"))</f>
        <v>Medium</v>
      </c>
    </row>
    <row r="3410" customFormat="false" ht="15" hidden="false" customHeight="true" outlineLevel="0" collapsed="false">
      <c r="A3410" s="2" t="n">
        <f aca="false">'Raw Data'!H3410</f>
        <v>3409</v>
      </c>
      <c r="B3410" s="2" t="n">
        <f aca="false">'Raw Data'!A3410</f>
        <v>31</v>
      </c>
      <c r="C3410" s="2" t="str">
        <f aca="false">'Raw Data'!D3410</f>
        <v>Research &amp; Development</v>
      </c>
      <c r="D3410" s="2" t="str">
        <f aca="false">'Raw Data'!K3410</f>
        <v>Sales Executive</v>
      </c>
      <c r="E3410" s="2" t="n">
        <f aca="false">'Raw Data'!Q3410</f>
        <v>4</v>
      </c>
      <c r="F3410" s="2" t="n">
        <f aca="false">'Raw Data'!U3410</f>
        <v>3</v>
      </c>
      <c r="G3410" s="2" t="n">
        <f aca="false">'Raw Data'!W3410</f>
        <v>1</v>
      </c>
      <c r="H3410" s="2" t="n">
        <f aca="false">'Raw Data'!V3410</f>
        <v>3</v>
      </c>
      <c r="I3410" s="2" t="n">
        <f aca="false">IF(AND(ISNUMBER(B3410),B3410&lt;=25),2,0)+IF(AND(ISNUMBER(E3410),E3410&lt;=5),2,0)+IF(AND(ISNUMBER(F3410),F3410&lt;=1),2,0)+IF(AND(ISNUMBER(G3410),G3410&lt;=2),1,0)+IF(AND(ISNUMBER(H3410),H3410&lt;=2),1,0)</f>
        <v>3</v>
      </c>
      <c r="J3410" s="2" t="str">
        <f aca="false">IF(I3410&gt;=6,"High",IF(I3410&gt;=3,"Medium","Low"))</f>
        <v>Medium</v>
      </c>
    </row>
    <row r="3411" customFormat="false" ht="15" hidden="false" customHeight="true" outlineLevel="0" collapsed="false">
      <c r="A3411" s="2" t="n">
        <f aca="false">'Raw Data'!H3411</f>
        <v>3410</v>
      </c>
      <c r="B3411" s="2" t="n">
        <f aca="false">'Raw Data'!A3411</f>
        <v>18</v>
      </c>
      <c r="C3411" s="2" t="str">
        <f aca="false">'Raw Data'!D3411</f>
        <v>Sales</v>
      </c>
      <c r="D3411" s="2" t="str">
        <f aca="false">'Raw Data'!K3411</f>
        <v>Manager</v>
      </c>
      <c r="E3411" s="2" t="n">
        <f aca="false">'Raw Data'!Q3411</f>
        <v>0</v>
      </c>
      <c r="F3411" s="2" t="n">
        <f aca="false">'Raw Data'!U3411</f>
        <v>0</v>
      </c>
      <c r="G3411" s="2" t="n">
        <f aca="false">'Raw Data'!W3411</f>
        <v>4</v>
      </c>
      <c r="H3411" s="2" t="n">
        <f aca="false">'Raw Data'!V3411</f>
        <v>2</v>
      </c>
      <c r="I3411" s="2" t="n">
        <f aca="false">IF(AND(ISNUMBER(B3411),B3411&lt;=25),2,0)+IF(AND(ISNUMBER(E3411),E3411&lt;=5),2,0)+IF(AND(ISNUMBER(F3411),F3411&lt;=1),2,0)+IF(AND(ISNUMBER(G3411),G3411&lt;=2),1,0)+IF(AND(ISNUMBER(H3411),H3411&lt;=2),1,0)</f>
        <v>7</v>
      </c>
      <c r="J3411" s="2" t="str">
        <f aca="false">IF(I3411&gt;=6,"High",IF(I3411&gt;=3,"Medium","Low"))</f>
        <v>High</v>
      </c>
    </row>
    <row r="3412" customFormat="false" ht="15" hidden="false" customHeight="true" outlineLevel="0" collapsed="false">
      <c r="A3412" s="2" t="n">
        <f aca="false">'Raw Data'!H3412</f>
        <v>3411</v>
      </c>
      <c r="B3412" s="2" t="n">
        <f aca="false">'Raw Data'!A3412</f>
        <v>54</v>
      </c>
      <c r="C3412" s="2" t="str">
        <f aca="false">'Raw Data'!D3412</f>
        <v>Sales</v>
      </c>
      <c r="D3412" s="2" t="str">
        <f aca="false">'Raw Data'!K3412</f>
        <v>Laboratory Technician</v>
      </c>
      <c r="E3412" s="2" t="n">
        <f aca="false">'Raw Data'!Q3412</f>
        <v>22</v>
      </c>
      <c r="F3412" s="2" t="n">
        <f aca="false">'Raw Data'!U3412</f>
        <v>8</v>
      </c>
      <c r="G3412" s="2" t="n">
        <f aca="false">'Raw Data'!W3412</f>
        <v>3</v>
      </c>
      <c r="H3412" s="2" t="n">
        <f aca="false">'Raw Data'!V3412</f>
        <v>3</v>
      </c>
      <c r="I3412" s="2" t="n">
        <f aca="false">IF(AND(ISNUMBER(B3412),B3412&lt;=25),2,0)+IF(AND(ISNUMBER(E3412),E3412&lt;=5),2,0)+IF(AND(ISNUMBER(F3412),F3412&lt;=1),2,0)+IF(AND(ISNUMBER(G3412),G3412&lt;=2),1,0)+IF(AND(ISNUMBER(H3412),H3412&lt;=2),1,0)</f>
        <v>0</v>
      </c>
      <c r="J3412" s="2" t="str">
        <f aca="false">IF(I3412&gt;=6,"High",IF(I3412&gt;=3,"Medium","Low"))</f>
        <v>Low</v>
      </c>
    </row>
    <row r="3413" customFormat="false" ht="15" hidden="false" customHeight="true" outlineLevel="0" collapsed="false">
      <c r="A3413" s="2" t="n">
        <f aca="false">'Raw Data'!H3413</f>
        <v>3412</v>
      </c>
      <c r="B3413" s="2" t="n">
        <f aca="false">'Raw Data'!A3413</f>
        <v>35</v>
      </c>
      <c r="C3413" s="2" t="str">
        <f aca="false">'Raw Data'!D3413</f>
        <v>Research &amp; Development</v>
      </c>
      <c r="D3413" s="2" t="str">
        <f aca="false">'Raw Data'!K3413</f>
        <v>Manufacturing Director</v>
      </c>
      <c r="E3413" s="2" t="n">
        <f aca="false">'Raw Data'!Q3413</f>
        <v>16</v>
      </c>
      <c r="F3413" s="2" t="n">
        <f aca="false">'Raw Data'!U3413</f>
        <v>1</v>
      </c>
      <c r="G3413" s="2" t="n">
        <f aca="false">'Raw Data'!W3413</f>
        <v>3</v>
      </c>
      <c r="H3413" s="2" t="n">
        <f aca="false">'Raw Data'!V3413</f>
        <v>3</v>
      </c>
      <c r="I3413" s="2" t="n">
        <f aca="false">IF(AND(ISNUMBER(B3413),B3413&lt;=25),2,0)+IF(AND(ISNUMBER(E3413),E3413&lt;=5),2,0)+IF(AND(ISNUMBER(F3413),F3413&lt;=1),2,0)+IF(AND(ISNUMBER(G3413),G3413&lt;=2),1,0)+IF(AND(ISNUMBER(H3413),H3413&lt;=2),1,0)</f>
        <v>2</v>
      </c>
      <c r="J3413" s="2" t="str">
        <f aca="false">IF(I3413&gt;=6,"High",IF(I3413&gt;=3,"Medium","Low"))</f>
        <v>Low</v>
      </c>
    </row>
    <row r="3414" customFormat="false" ht="15" hidden="false" customHeight="true" outlineLevel="0" collapsed="false">
      <c r="A3414" s="2" t="n">
        <f aca="false">'Raw Data'!H3414</f>
        <v>3413</v>
      </c>
      <c r="B3414" s="2" t="n">
        <f aca="false">'Raw Data'!A3414</f>
        <v>30</v>
      </c>
      <c r="C3414" s="2" t="str">
        <f aca="false">'Raw Data'!D3414</f>
        <v>Research &amp; Development</v>
      </c>
      <c r="D3414" s="2" t="str">
        <f aca="false">'Raw Data'!K3414</f>
        <v>Healthcare Representative</v>
      </c>
      <c r="E3414" s="2" t="n">
        <f aca="false">'Raw Data'!Q3414</f>
        <v>9</v>
      </c>
      <c r="F3414" s="2" t="n">
        <f aca="false">'Raw Data'!U3414</f>
        <v>7</v>
      </c>
      <c r="G3414" s="2" t="n">
        <f aca="false">'Raw Data'!W3414</f>
        <v>1</v>
      </c>
      <c r="H3414" s="2" t="n">
        <f aca="false">'Raw Data'!V3414</f>
        <v>2</v>
      </c>
      <c r="I3414" s="2" t="n">
        <f aca="false">IF(AND(ISNUMBER(B3414),B3414&lt;=25),2,0)+IF(AND(ISNUMBER(E3414),E3414&lt;=5),2,0)+IF(AND(ISNUMBER(F3414),F3414&lt;=1),2,0)+IF(AND(ISNUMBER(G3414),G3414&lt;=2),1,0)+IF(AND(ISNUMBER(H3414),H3414&lt;=2),1,0)</f>
        <v>2</v>
      </c>
      <c r="J3414" s="2" t="str">
        <f aca="false">IF(I3414&gt;=6,"High",IF(I3414&gt;=3,"Medium","Low"))</f>
        <v>Low</v>
      </c>
    </row>
    <row r="3415" customFormat="false" ht="15" hidden="false" customHeight="true" outlineLevel="0" collapsed="false">
      <c r="A3415" s="2" t="n">
        <f aca="false">'Raw Data'!H3415</f>
        <v>3414</v>
      </c>
      <c r="B3415" s="2" t="n">
        <f aca="false">'Raw Data'!A3415</f>
        <v>20</v>
      </c>
      <c r="C3415" s="2" t="str">
        <f aca="false">'Raw Data'!D3415</f>
        <v>Research &amp; Development</v>
      </c>
      <c r="D3415" s="2" t="str">
        <f aca="false">'Raw Data'!K3415</f>
        <v>Research Scientist</v>
      </c>
      <c r="E3415" s="2" t="n">
        <f aca="false">'Raw Data'!Q3415</f>
        <v>1</v>
      </c>
      <c r="F3415" s="2" t="n">
        <f aca="false">'Raw Data'!U3415</f>
        <v>0</v>
      </c>
      <c r="G3415" s="2" t="n">
        <f aca="false">'Raw Data'!W3415</f>
        <v>1</v>
      </c>
      <c r="H3415" s="2" t="n">
        <f aca="false">'Raw Data'!V3415</f>
        <v>4</v>
      </c>
      <c r="I3415" s="2" t="n">
        <f aca="false">IF(AND(ISNUMBER(B3415),B3415&lt;=25),2,0)+IF(AND(ISNUMBER(E3415),E3415&lt;=5),2,0)+IF(AND(ISNUMBER(F3415),F3415&lt;=1),2,0)+IF(AND(ISNUMBER(G3415),G3415&lt;=2),1,0)+IF(AND(ISNUMBER(H3415),H3415&lt;=2),1,0)</f>
        <v>7</v>
      </c>
      <c r="J3415" s="2" t="str">
        <f aca="false">IF(I3415&gt;=6,"High",IF(I3415&gt;=3,"Medium","Low"))</f>
        <v>High</v>
      </c>
    </row>
    <row r="3416" customFormat="false" ht="15" hidden="false" customHeight="true" outlineLevel="0" collapsed="false">
      <c r="A3416" s="2" t="n">
        <f aca="false">'Raw Data'!H3416</f>
        <v>3415</v>
      </c>
      <c r="B3416" s="2" t="n">
        <f aca="false">'Raw Data'!A3416</f>
        <v>30</v>
      </c>
      <c r="C3416" s="2" t="str">
        <f aca="false">'Raw Data'!D3416</f>
        <v>Research &amp; Development</v>
      </c>
      <c r="D3416" s="2" t="str">
        <f aca="false">'Raw Data'!K3416</f>
        <v>Sales Executive</v>
      </c>
      <c r="E3416" s="2" t="n">
        <f aca="false">'Raw Data'!Q3416</f>
        <v>4</v>
      </c>
      <c r="F3416" s="2" t="n">
        <f aca="false">'Raw Data'!U3416</f>
        <v>2</v>
      </c>
      <c r="G3416" s="2" t="n">
        <f aca="false">'Raw Data'!W3416</f>
        <v>2</v>
      </c>
      <c r="H3416" s="2" t="n">
        <f aca="false">'Raw Data'!V3416</f>
        <v>2</v>
      </c>
      <c r="I3416" s="2" t="n">
        <f aca="false">IF(AND(ISNUMBER(B3416),B3416&lt;=25),2,0)+IF(AND(ISNUMBER(E3416),E3416&lt;=5),2,0)+IF(AND(ISNUMBER(F3416),F3416&lt;=1),2,0)+IF(AND(ISNUMBER(G3416),G3416&lt;=2),1,0)+IF(AND(ISNUMBER(H3416),H3416&lt;=2),1,0)</f>
        <v>4</v>
      </c>
      <c r="J3416" s="2" t="str">
        <f aca="false">IF(I3416&gt;=6,"High",IF(I3416&gt;=3,"Medium","Low"))</f>
        <v>Medium</v>
      </c>
    </row>
    <row r="3417" customFormat="false" ht="15" hidden="false" customHeight="true" outlineLevel="0" collapsed="false">
      <c r="A3417" s="2" t="n">
        <f aca="false">'Raw Data'!H3417</f>
        <v>3416</v>
      </c>
      <c r="B3417" s="2" t="n">
        <f aca="false">'Raw Data'!A3417</f>
        <v>26</v>
      </c>
      <c r="C3417" s="2" t="str">
        <f aca="false">'Raw Data'!D3417</f>
        <v>Sales</v>
      </c>
      <c r="D3417" s="2" t="str">
        <f aca="false">'Raw Data'!K3417</f>
        <v>Research Scientist</v>
      </c>
      <c r="E3417" s="2" t="n">
        <f aca="false">'Raw Data'!Q3417</f>
        <v>8</v>
      </c>
      <c r="F3417" s="2" t="n">
        <f aca="false">'Raw Data'!U3417</f>
        <v>3</v>
      </c>
      <c r="G3417" s="2" t="n">
        <f aca="false">'Raw Data'!W3417</f>
        <v>4</v>
      </c>
      <c r="H3417" s="2" t="n">
        <f aca="false">'Raw Data'!V3417</f>
        <v>4</v>
      </c>
      <c r="I3417" s="2" t="n">
        <f aca="false">IF(AND(ISNUMBER(B3417),B3417&lt;=25),2,0)+IF(AND(ISNUMBER(E3417),E3417&lt;=5),2,0)+IF(AND(ISNUMBER(F3417),F3417&lt;=1),2,0)+IF(AND(ISNUMBER(G3417),G3417&lt;=2),1,0)+IF(AND(ISNUMBER(H3417),H3417&lt;=2),1,0)</f>
        <v>0</v>
      </c>
      <c r="J3417" s="2" t="str">
        <f aca="false">IF(I3417&gt;=6,"High",IF(I3417&gt;=3,"Medium","Low"))</f>
        <v>Low</v>
      </c>
    </row>
    <row r="3418" customFormat="false" ht="15" hidden="false" customHeight="true" outlineLevel="0" collapsed="false">
      <c r="A3418" s="2" t="n">
        <f aca="false">'Raw Data'!H3418</f>
        <v>3417</v>
      </c>
      <c r="B3418" s="2" t="n">
        <f aca="false">'Raw Data'!A3418</f>
        <v>22</v>
      </c>
      <c r="C3418" s="2" t="str">
        <f aca="false">'Raw Data'!D3418</f>
        <v>Research &amp; Development</v>
      </c>
      <c r="D3418" s="2" t="str">
        <f aca="false">'Raw Data'!K3418</f>
        <v>Sales Representative</v>
      </c>
      <c r="E3418" s="2" t="n">
        <f aca="false">'Raw Data'!Q3418</f>
        <v>4</v>
      </c>
      <c r="F3418" s="2" t="n">
        <f aca="false">'Raw Data'!U3418</f>
        <v>1</v>
      </c>
      <c r="G3418" s="2" t="n">
        <f aca="false">'Raw Data'!W3418</f>
        <v>1</v>
      </c>
      <c r="H3418" s="2" t="n">
        <f aca="false">'Raw Data'!V3418</f>
        <v>2</v>
      </c>
      <c r="I3418" s="2" t="n">
        <f aca="false">IF(AND(ISNUMBER(B3418),B3418&lt;=25),2,0)+IF(AND(ISNUMBER(E3418),E3418&lt;=5),2,0)+IF(AND(ISNUMBER(F3418),F3418&lt;=1),2,0)+IF(AND(ISNUMBER(G3418),G3418&lt;=2),1,0)+IF(AND(ISNUMBER(H3418),H3418&lt;=2),1,0)</f>
        <v>8</v>
      </c>
      <c r="J3418" s="2" t="str">
        <f aca="false">IF(I3418&gt;=6,"High",IF(I3418&gt;=3,"Medium","Low"))</f>
        <v>High</v>
      </c>
    </row>
    <row r="3419" customFormat="false" ht="15" hidden="false" customHeight="true" outlineLevel="0" collapsed="false">
      <c r="A3419" s="2" t="n">
        <f aca="false">'Raw Data'!H3419</f>
        <v>3418</v>
      </c>
      <c r="B3419" s="2" t="n">
        <f aca="false">'Raw Data'!A3419</f>
        <v>48</v>
      </c>
      <c r="C3419" s="2" t="str">
        <f aca="false">'Raw Data'!D3419</f>
        <v>Human Resources</v>
      </c>
      <c r="D3419" s="2" t="str">
        <f aca="false">'Raw Data'!K3419</f>
        <v>Sales Executive</v>
      </c>
      <c r="E3419" s="2" t="n">
        <f aca="false">'Raw Data'!Q3419</f>
        <v>19</v>
      </c>
      <c r="F3419" s="2" t="n">
        <f aca="false">'Raw Data'!U3419</f>
        <v>2</v>
      </c>
      <c r="G3419" s="2" t="n">
        <f aca="false">'Raw Data'!W3419</f>
        <v>3</v>
      </c>
      <c r="H3419" s="2" t="n">
        <f aca="false">'Raw Data'!V3419</f>
        <v>1</v>
      </c>
      <c r="I3419" s="2" t="n">
        <f aca="false">IF(AND(ISNUMBER(B3419),B3419&lt;=25),2,0)+IF(AND(ISNUMBER(E3419),E3419&lt;=5),2,0)+IF(AND(ISNUMBER(F3419),F3419&lt;=1),2,0)+IF(AND(ISNUMBER(G3419),G3419&lt;=2),1,0)+IF(AND(ISNUMBER(H3419),H3419&lt;=2),1,0)</f>
        <v>1</v>
      </c>
      <c r="J3419" s="2" t="str">
        <f aca="false">IF(I3419&gt;=6,"High",IF(I3419&gt;=3,"Medium","Low"))</f>
        <v>Low</v>
      </c>
    </row>
    <row r="3420" customFormat="false" ht="15" hidden="false" customHeight="true" outlineLevel="0" collapsed="false">
      <c r="A3420" s="2" t="n">
        <f aca="false">'Raw Data'!H3420</f>
        <v>3419</v>
      </c>
      <c r="B3420" s="2" t="n">
        <f aca="false">'Raw Data'!A3420</f>
        <v>48</v>
      </c>
      <c r="C3420" s="2" t="str">
        <f aca="false">'Raw Data'!D3420</f>
        <v>Sales</v>
      </c>
      <c r="D3420" s="2" t="str">
        <f aca="false">'Raw Data'!K3420</f>
        <v>Research Director</v>
      </c>
      <c r="E3420" s="2" t="n">
        <f aca="false">'Raw Data'!Q3420</f>
        <v>27</v>
      </c>
      <c r="F3420" s="2" t="n">
        <f aca="false">'Raw Data'!U3420</f>
        <v>8</v>
      </c>
      <c r="G3420" s="2" t="n">
        <f aca="false">'Raw Data'!W3420</f>
        <v>3</v>
      </c>
      <c r="H3420" s="2" t="n">
        <f aca="false">'Raw Data'!V3420</f>
        <v>3</v>
      </c>
      <c r="I3420" s="2" t="n">
        <f aca="false">IF(AND(ISNUMBER(B3420),B3420&lt;=25),2,0)+IF(AND(ISNUMBER(E3420),E3420&lt;=5),2,0)+IF(AND(ISNUMBER(F3420),F3420&lt;=1),2,0)+IF(AND(ISNUMBER(G3420),G3420&lt;=2),1,0)+IF(AND(ISNUMBER(H3420),H3420&lt;=2),1,0)</f>
        <v>0</v>
      </c>
      <c r="J3420" s="2" t="str">
        <f aca="false">IF(I3420&gt;=6,"High",IF(I3420&gt;=3,"Medium","Low"))</f>
        <v>Low</v>
      </c>
    </row>
    <row r="3421" customFormat="false" ht="15" hidden="false" customHeight="true" outlineLevel="0" collapsed="false">
      <c r="A3421" s="2" t="n">
        <f aca="false">'Raw Data'!H3421</f>
        <v>3420</v>
      </c>
      <c r="B3421" s="2" t="n">
        <f aca="false">'Raw Data'!A3421</f>
        <v>41</v>
      </c>
      <c r="C3421" s="2" t="str">
        <f aca="false">'Raw Data'!D3421</f>
        <v>Research &amp; Development</v>
      </c>
      <c r="D3421" s="2" t="str">
        <f aca="false">'Raw Data'!K3421</f>
        <v>Research Scientist</v>
      </c>
      <c r="E3421" s="2" t="n">
        <f aca="false">'Raw Data'!Q3421</f>
        <v>8</v>
      </c>
      <c r="F3421" s="2" t="n">
        <f aca="false">'Raw Data'!U3421</f>
        <v>1</v>
      </c>
      <c r="G3421" s="2" t="n">
        <f aca="false">'Raw Data'!W3421</f>
        <v>3</v>
      </c>
      <c r="H3421" s="2" t="n">
        <f aca="false">'Raw Data'!V3421</f>
        <v>4</v>
      </c>
      <c r="I3421" s="2" t="n">
        <f aca="false">IF(AND(ISNUMBER(B3421),B3421&lt;=25),2,0)+IF(AND(ISNUMBER(E3421),E3421&lt;=5),2,0)+IF(AND(ISNUMBER(F3421),F3421&lt;=1),2,0)+IF(AND(ISNUMBER(G3421),G3421&lt;=2),1,0)+IF(AND(ISNUMBER(H3421),H3421&lt;=2),1,0)</f>
        <v>2</v>
      </c>
      <c r="J3421" s="2" t="str">
        <f aca="false">IF(I3421&gt;=6,"High",IF(I3421&gt;=3,"Medium","Low"))</f>
        <v>Low</v>
      </c>
    </row>
    <row r="3422" customFormat="false" ht="15" hidden="false" customHeight="true" outlineLevel="0" collapsed="false">
      <c r="A3422" s="2" t="n">
        <f aca="false">'Raw Data'!H3422</f>
        <v>3421</v>
      </c>
      <c r="B3422" s="2" t="n">
        <f aca="false">'Raw Data'!A3422</f>
        <v>39</v>
      </c>
      <c r="C3422" s="2" t="str">
        <f aca="false">'Raw Data'!D3422</f>
        <v>Sales</v>
      </c>
      <c r="D3422" s="2" t="str">
        <f aca="false">'Raw Data'!K3422</f>
        <v>Human Resources</v>
      </c>
      <c r="E3422" s="2" t="n">
        <f aca="false">'Raw Data'!Q3422</f>
        <v>21</v>
      </c>
      <c r="F3422" s="2" t="n">
        <f aca="false">'Raw Data'!U3422</f>
        <v>8</v>
      </c>
      <c r="G3422" s="2" t="n">
        <f aca="false">'Raw Data'!W3422</f>
        <v>4</v>
      </c>
      <c r="H3422" s="2" t="n">
        <f aca="false">'Raw Data'!V3422</f>
        <v>4</v>
      </c>
      <c r="I3422" s="2" t="n">
        <f aca="false">IF(AND(ISNUMBER(B3422),B3422&lt;=25),2,0)+IF(AND(ISNUMBER(E3422),E3422&lt;=5),2,0)+IF(AND(ISNUMBER(F3422),F3422&lt;=1),2,0)+IF(AND(ISNUMBER(G3422),G3422&lt;=2),1,0)+IF(AND(ISNUMBER(H3422),H3422&lt;=2),1,0)</f>
        <v>0</v>
      </c>
      <c r="J3422" s="2" t="str">
        <f aca="false">IF(I3422&gt;=6,"High",IF(I3422&gt;=3,"Medium","Low"))</f>
        <v>Low</v>
      </c>
    </row>
    <row r="3423" customFormat="false" ht="15" hidden="false" customHeight="true" outlineLevel="0" collapsed="false">
      <c r="A3423" s="2" t="n">
        <f aca="false">'Raw Data'!H3423</f>
        <v>3422</v>
      </c>
      <c r="B3423" s="2" t="n">
        <f aca="false">'Raw Data'!A3423</f>
        <v>27</v>
      </c>
      <c r="C3423" s="2" t="str">
        <f aca="false">'Raw Data'!D3423</f>
        <v>Research &amp; Development</v>
      </c>
      <c r="D3423" s="2" t="str">
        <f aca="false">'Raw Data'!K3423</f>
        <v>Human Resources</v>
      </c>
      <c r="E3423" s="2" t="n">
        <f aca="false">'Raw Data'!Q3423</f>
        <v>4</v>
      </c>
      <c r="F3423" s="2" t="n">
        <f aca="false">'Raw Data'!U3423</f>
        <v>2</v>
      </c>
      <c r="G3423" s="2" t="n">
        <f aca="false">'Raw Data'!W3423</f>
        <v>4</v>
      </c>
      <c r="H3423" s="2" t="n">
        <f aca="false">'Raw Data'!V3423</f>
        <v>1</v>
      </c>
      <c r="I3423" s="2" t="n">
        <f aca="false">IF(AND(ISNUMBER(B3423),B3423&lt;=25),2,0)+IF(AND(ISNUMBER(E3423),E3423&lt;=5),2,0)+IF(AND(ISNUMBER(F3423),F3423&lt;=1),2,0)+IF(AND(ISNUMBER(G3423),G3423&lt;=2),1,0)+IF(AND(ISNUMBER(H3423),H3423&lt;=2),1,0)</f>
        <v>3</v>
      </c>
      <c r="J3423" s="2" t="str">
        <f aca="false">IF(I3423&gt;=6,"High",IF(I3423&gt;=3,"Medium","Low"))</f>
        <v>Medium</v>
      </c>
    </row>
    <row r="3424" customFormat="false" ht="15" hidden="false" customHeight="true" outlineLevel="0" collapsed="false">
      <c r="A3424" s="2" t="n">
        <f aca="false">'Raw Data'!H3424</f>
        <v>3423</v>
      </c>
      <c r="B3424" s="2" t="n">
        <f aca="false">'Raw Data'!A3424</f>
        <v>35</v>
      </c>
      <c r="C3424" s="2" t="str">
        <f aca="false">'Raw Data'!D3424</f>
        <v>Sales</v>
      </c>
      <c r="D3424" s="2" t="str">
        <f aca="false">'Raw Data'!K3424</f>
        <v>Sales Executive</v>
      </c>
      <c r="E3424" s="2" t="n">
        <f aca="false">'Raw Data'!Q3424</f>
        <v>3</v>
      </c>
      <c r="F3424" s="2" t="n">
        <f aca="false">'Raw Data'!U3424</f>
        <v>2</v>
      </c>
      <c r="G3424" s="2" t="n">
        <f aca="false">'Raw Data'!W3424</f>
        <v>4</v>
      </c>
      <c r="H3424" s="2" t="n">
        <f aca="false">'Raw Data'!V3424</f>
        <v>2</v>
      </c>
      <c r="I3424" s="2" t="n">
        <f aca="false">IF(AND(ISNUMBER(B3424),B3424&lt;=25),2,0)+IF(AND(ISNUMBER(E3424),E3424&lt;=5),2,0)+IF(AND(ISNUMBER(F3424),F3424&lt;=1),2,0)+IF(AND(ISNUMBER(G3424),G3424&lt;=2),1,0)+IF(AND(ISNUMBER(H3424),H3424&lt;=2),1,0)</f>
        <v>3</v>
      </c>
      <c r="J3424" s="2" t="str">
        <f aca="false">IF(I3424&gt;=6,"High",IF(I3424&gt;=3,"Medium","Low"))</f>
        <v>Medium</v>
      </c>
    </row>
    <row r="3425" customFormat="false" ht="15" hidden="false" customHeight="true" outlineLevel="0" collapsed="false">
      <c r="A3425" s="2" t="n">
        <f aca="false">'Raw Data'!H3425</f>
        <v>3424</v>
      </c>
      <c r="B3425" s="2" t="n">
        <f aca="false">'Raw Data'!A3425</f>
        <v>42</v>
      </c>
      <c r="C3425" s="2" t="str">
        <f aca="false">'Raw Data'!D3425</f>
        <v>Research &amp; Development</v>
      </c>
      <c r="D3425" s="2" t="str">
        <f aca="false">'Raw Data'!K3425</f>
        <v>Research Scientist</v>
      </c>
      <c r="E3425" s="2" t="n">
        <f aca="false">'Raw Data'!Q3425</f>
        <v>21</v>
      </c>
      <c r="F3425" s="2" t="n">
        <f aca="false">'Raw Data'!U3425</f>
        <v>0</v>
      </c>
      <c r="G3425" s="2" t="n">
        <f aca="false">'Raw Data'!W3425</f>
        <v>3</v>
      </c>
      <c r="H3425" s="2" t="n">
        <f aca="false">'Raw Data'!V3425</f>
        <v>4</v>
      </c>
      <c r="I3425" s="2" t="n">
        <f aca="false">IF(AND(ISNUMBER(B3425),B3425&lt;=25),2,0)+IF(AND(ISNUMBER(E3425),E3425&lt;=5),2,0)+IF(AND(ISNUMBER(F3425),F3425&lt;=1),2,0)+IF(AND(ISNUMBER(G3425),G3425&lt;=2),1,0)+IF(AND(ISNUMBER(H3425),H3425&lt;=2),1,0)</f>
        <v>2</v>
      </c>
      <c r="J3425" s="2" t="str">
        <f aca="false">IF(I3425&gt;=6,"High",IF(I3425&gt;=3,"Medium","Low"))</f>
        <v>Low</v>
      </c>
    </row>
    <row r="3426" customFormat="false" ht="15" hidden="false" customHeight="true" outlineLevel="0" collapsed="false">
      <c r="A3426" s="2" t="n">
        <f aca="false">'Raw Data'!H3426</f>
        <v>3425</v>
      </c>
      <c r="B3426" s="2" t="n">
        <f aca="false">'Raw Data'!A3426</f>
        <v>50</v>
      </c>
      <c r="C3426" s="2" t="str">
        <f aca="false">'Raw Data'!D3426</f>
        <v>Sales</v>
      </c>
      <c r="D3426" s="2" t="str">
        <f aca="false">'Raw Data'!K3426</f>
        <v>Sales Executive</v>
      </c>
      <c r="E3426" s="2" t="n">
        <f aca="false">'Raw Data'!Q3426</f>
        <v>8</v>
      </c>
      <c r="F3426" s="2" t="n">
        <f aca="false">'Raw Data'!U3426</f>
        <v>0</v>
      </c>
      <c r="G3426" s="2" t="n">
        <f aca="false">'Raw Data'!W3426</f>
        <v>4</v>
      </c>
      <c r="H3426" s="2" t="n">
        <f aca="false">'Raw Data'!V3426</f>
        <v>1</v>
      </c>
      <c r="I3426" s="2" t="n">
        <f aca="false">IF(AND(ISNUMBER(B3426),B3426&lt;=25),2,0)+IF(AND(ISNUMBER(E3426),E3426&lt;=5),2,0)+IF(AND(ISNUMBER(F3426),F3426&lt;=1),2,0)+IF(AND(ISNUMBER(G3426),G3426&lt;=2),1,0)+IF(AND(ISNUMBER(H3426),H3426&lt;=2),1,0)</f>
        <v>3</v>
      </c>
      <c r="J3426" s="2" t="str">
        <f aca="false">IF(I3426&gt;=6,"High",IF(I3426&gt;=3,"Medium","Low"))</f>
        <v>Medium</v>
      </c>
    </row>
    <row r="3427" customFormat="false" ht="15" hidden="false" customHeight="true" outlineLevel="0" collapsed="false">
      <c r="A3427" s="2" t="n">
        <f aca="false">'Raw Data'!H3427</f>
        <v>3426</v>
      </c>
      <c r="B3427" s="2" t="n">
        <f aca="false">'Raw Data'!A3427</f>
        <v>59</v>
      </c>
      <c r="C3427" s="2" t="str">
        <f aca="false">'Raw Data'!D3427</f>
        <v>Research &amp; Development</v>
      </c>
      <c r="D3427" s="2" t="str">
        <f aca="false">'Raw Data'!K3427</f>
        <v>Laboratory Technician</v>
      </c>
      <c r="E3427" s="2" t="n">
        <f aca="false">'Raw Data'!Q3427</f>
        <v>30</v>
      </c>
      <c r="F3427" s="2" t="n">
        <f aca="false">'Raw Data'!U3427</f>
        <v>3</v>
      </c>
      <c r="G3427" s="2" t="n">
        <f aca="false">'Raw Data'!W3427</f>
        <v>4</v>
      </c>
      <c r="H3427" s="2" t="n">
        <f aca="false">'Raw Data'!V3427</f>
        <v>3</v>
      </c>
      <c r="I3427" s="2" t="n">
        <f aca="false">IF(AND(ISNUMBER(B3427),B3427&lt;=25),2,0)+IF(AND(ISNUMBER(E3427),E3427&lt;=5),2,0)+IF(AND(ISNUMBER(F3427),F3427&lt;=1),2,0)+IF(AND(ISNUMBER(G3427),G3427&lt;=2),1,0)+IF(AND(ISNUMBER(H3427),H3427&lt;=2),1,0)</f>
        <v>0</v>
      </c>
      <c r="J3427" s="2" t="str">
        <f aca="false">IF(I3427&gt;=6,"High",IF(I3427&gt;=3,"Medium","Low"))</f>
        <v>Low</v>
      </c>
    </row>
    <row r="3428" customFormat="false" ht="15" hidden="false" customHeight="true" outlineLevel="0" collapsed="false">
      <c r="A3428" s="2" t="n">
        <f aca="false">'Raw Data'!H3428</f>
        <v>3427</v>
      </c>
      <c r="B3428" s="2" t="n">
        <f aca="false">'Raw Data'!A3428</f>
        <v>37</v>
      </c>
      <c r="C3428" s="2" t="str">
        <f aca="false">'Raw Data'!D3428</f>
        <v>Sales</v>
      </c>
      <c r="D3428" s="2" t="str">
        <f aca="false">'Raw Data'!K3428</f>
        <v>Laboratory Technician</v>
      </c>
      <c r="E3428" s="2" t="n">
        <f aca="false">'Raw Data'!Q3428</f>
        <v>15</v>
      </c>
      <c r="F3428" s="2" t="n">
        <f aca="false">'Raw Data'!U3428</f>
        <v>0</v>
      </c>
      <c r="G3428" s="2" t="n">
        <f aca="false">'Raw Data'!W3428</f>
        <v>2</v>
      </c>
      <c r="H3428" s="2" t="n">
        <f aca="false">'Raw Data'!V3428</f>
        <v>1</v>
      </c>
      <c r="I3428" s="2" t="n">
        <f aca="false">IF(AND(ISNUMBER(B3428),B3428&lt;=25),2,0)+IF(AND(ISNUMBER(E3428),E3428&lt;=5),2,0)+IF(AND(ISNUMBER(F3428),F3428&lt;=1),2,0)+IF(AND(ISNUMBER(G3428),G3428&lt;=2),1,0)+IF(AND(ISNUMBER(H3428),H3428&lt;=2),1,0)</f>
        <v>4</v>
      </c>
      <c r="J3428" s="2" t="str">
        <f aca="false">IF(I3428&gt;=6,"High",IF(I3428&gt;=3,"Medium","Low"))</f>
        <v>Medium</v>
      </c>
    </row>
    <row r="3429" customFormat="false" ht="15" hidden="false" customHeight="true" outlineLevel="0" collapsed="false">
      <c r="A3429" s="2" t="n">
        <f aca="false">'Raw Data'!H3429</f>
        <v>3428</v>
      </c>
      <c r="B3429" s="2" t="n">
        <f aca="false">'Raw Data'!A3429</f>
        <v>55</v>
      </c>
      <c r="C3429" s="2" t="str">
        <f aca="false">'Raw Data'!D3429</f>
        <v>Research &amp; Development</v>
      </c>
      <c r="D3429" s="2" t="str">
        <f aca="false">'Raw Data'!K3429</f>
        <v>Sales Executive</v>
      </c>
      <c r="E3429" s="2" t="n">
        <f aca="false">'Raw Data'!Q3429</f>
        <v>17</v>
      </c>
      <c r="F3429" s="2" t="n">
        <f aca="false">'Raw Data'!U3429</f>
        <v>7</v>
      </c>
      <c r="G3429" s="2" t="n">
        <f aca="false">'Raw Data'!W3429</f>
        <v>2</v>
      </c>
      <c r="H3429" s="2" t="n">
        <f aca="false">'Raw Data'!V3429</f>
        <v>3</v>
      </c>
      <c r="I3429" s="2" t="n">
        <f aca="false">IF(AND(ISNUMBER(B3429),B3429&lt;=25),2,0)+IF(AND(ISNUMBER(E3429),E3429&lt;=5),2,0)+IF(AND(ISNUMBER(F3429),F3429&lt;=1),2,0)+IF(AND(ISNUMBER(G3429),G3429&lt;=2),1,0)+IF(AND(ISNUMBER(H3429),H3429&lt;=2),1,0)</f>
        <v>1</v>
      </c>
      <c r="J3429" s="2" t="str">
        <f aca="false">IF(I3429&gt;=6,"High",IF(I3429&gt;=3,"Medium","Low"))</f>
        <v>Low</v>
      </c>
    </row>
    <row r="3430" customFormat="false" ht="15" hidden="false" customHeight="true" outlineLevel="0" collapsed="false">
      <c r="A3430" s="2" t="n">
        <f aca="false">'Raw Data'!H3430</f>
        <v>3429</v>
      </c>
      <c r="B3430" s="2" t="n">
        <f aca="false">'Raw Data'!A3430</f>
        <v>41</v>
      </c>
      <c r="C3430" s="2" t="str">
        <f aca="false">'Raw Data'!D3430</f>
        <v>Research &amp; Development</v>
      </c>
      <c r="D3430" s="2" t="str">
        <f aca="false">'Raw Data'!K3430</f>
        <v>Research Scientist</v>
      </c>
      <c r="E3430" s="2" t="n">
        <f aca="false">'Raw Data'!Q3430</f>
        <v>21</v>
      </c>
      <c r="F3430" s="2" t="n">
        <f aca="false">'Raw Data'!U3430</f>
        <v>10</v>
      </c>
      <c r="G3430" s="2" t="n">
        <f aca="false">'Raw Data'!W3430</f>
        <v>3</v>
      </c>
      <c r="H3430" s="2" t="n">
        <f aca="false">'Raw Data'!V3430</f>
        <v>2</v>
      </c>
      <c r="I3430" s="2" t="n">
        <f aca="false">IF(AND(ISNUMBER(B3430),B3430&lt;=25),2,0)+IF(AND(ISNUMBER(E3430),E3430&lt;=5),2,0)+IF(AND(ISNUMBER(F3430),F3430&lt;=1),2,0)+IF(AND(ISNUMBER(G3430),G3430&lt;=2),1,0)+IF(AND(ISNUMBER(H3430),H3430&lt;=2),1,0)</f>
        <v>1</v>
      </c>
      <c r="J3430" s="2" t="str">
        <f aca="false">IF(I3430&gt;=6,"High",IF(I3430&gt;=3,"Medium","Low"))</f>
        <v>Low</v>
      </c>
    </row>
    <row r="3431" customFormat="false" ht="15" hidden="false" customHeight="true" outlineLevel="0" collapsed="false">
      <c r="A3431" s="2" t="n">
        <f aca="false">'Raw Data'!H3431</f>
        <v>3430</v>
      </c>
      <c r="B3431" s="2" t="n">
        <f aca="false">'Raw Data'!A3431</f>
        <v>38</v>
      </c>
      <c r="C3431" s="2" t="str">
        <f aca="false">'Raw Data'!D3431</f>
        <v>Research &amp; Development</v>
      </c>
      <c r="D3431" s="2" t="str">
        <f aca="false">'Raw Data'!K3431</f>
        <v>Laboratory Technician</v>
      </c>
      <c r="E3431" s="2" t="n">
        <f aca="false">'Raw Data'!Q3431</f>
        <v>19</v>
      </c>
      <c r="F3431" s="2" t="n">
        <f aca="false">'Raw Data'!U3431</f>
        <v>0</v>
      </c>
      <c r="G3431" s="2" t="n">
        <f aca="false">'Raw Data'!W3431</f>
        <v>4</v>
      </c>
      <c r="H3431" s="2" t="n">
        <f aca="false">'Raw Data'!V3431</f>
        <v>2</v>
      </c>
      <c r="I3431" s="2" t="n">
        <f aca="false">IF(AND(ISNUMBER(B3431),B3431&lt;=25),2,0)+IF(AND(ISNUMBER(E3431),E3431&lt;=5),2,0)+IF(AND(ISNUMBER(F3431),F3431&lt;=1),2,0)+IF(AND(ISNUMBER(G3431),G3431&lt;=2),1,0)+IF(AND(ISNUMBER(H3431),H3431&lt;=2),1,0)</f>
        <v>3</v>
      </c>
      <c r="J3431" s="2" t="str">
        <f aca="false">IF(I3431&gt;=6,"High",IF(I3431&gt;=3,"Medium","Low"))</f>
        <v>Medium</v>
      </c>
    </row>
    <row r="3432" customFormat="false" ht="15" hidden="false" customHeight="true" outlineLevel="0" collapsed="false">
      <c r="A3432" s="2" t="n">
        <f aca="false">'Raw Data'!H3432</f>
        <v>3431</v>
      </c>
      <c r="B3432" s="2" t="n">
        <f aca="false">'Raw Data'!A3432</f>
        <v>26</v>
      </c>
      <c r="C3432" s="2" t="str">
        <f aca="false">'Raw Data'!D3432</f>
        <v>Research &amp; Development</v>
      </c>
      <c r="D3432" s="2" t="str">
        <f aca="false">'Raw Data'!K3432</f>
        <v>Manufacturing Director</v>
      </c>
      <c r="E3432" s="2" t="n">
        <f aca="false">'Raw Data'!Q3432</f>
        <v>7</v>
      </c>
      <c r="F3432" s="2" t="n">
        <f aca="false">'Raw Data'!U3432</f>
        <v>2</v>
      </c>
      <c r="G3432" s="2" t="n">
        <f aca="false">'Raw Data'!W3432</f>
        <v>1</v>
      </c>
      <c r="H3432" s="2" t="n">
        <f aca="false">'Raw Data'!V3432</f>
        <v>2</v>
      </c>
      <c r="I3432" s="2" t="n">
        <f aca="false">IF(AND(ISNUMBER(B3432),B3432&lt;=25),2,0)+IF(AND(ISNUMBER(E3432),E3432&lt;=5),2,0)+IF(AND(ISNUMBER(F3432),F3432&lt;=1),2,0)+IF(AND(ISNUMBER(G3432),G3432&lt;=2),1,0)+IF(AND(ISNUMBER(H3432),H3432&lt;=2),1,0)</f>
        <v>2</v>
      </c>
      <c r="J3432" s="2" t="str">
        <f aca="false">IF(I3432&gt;=6,"High",IF(I3432&gt;=3,"Medium","Low"))</f>
        <v>Low</v>
      </c>
    </row>
    <row r="3433" customFormat="false" ht="15" hidden="false" customHeight="true" outlineLevel="0" collapsed="false">
      <c r="A3433" s="2" t="n">
        <f aca="false">'Raw Data'!H3433</f>
        <v>3432</v>
      </c>
      <c r="B3433" s="2" t="n">
        <f aca="false">'Raw Data'!A3433</f>
        <v>52</v>
      </c>
      <c r="C3433" s="2" t="str">
        <f aca="false">'Raw Data'!D3433</f>
        <v>Research &amp; Development</v>
      </c>
      <c r="D3433" s="2" t="str">
        <f aca="false">'Raw Data'!K3433</f>
        <v>Human Resources</v>
      </c>
      <c r="E3433" s="2" t="n">
        <f aca="false">'Raw Data'!Q3433</f>
        <v>33</v>
      </c>
      <c r="F3433" s="2" t="n">
        <f aca="false">'Raw Data'!U3433</f>
        <v>9</v>
      </c>
      <c r="G3433" s="2" t="n">
        <f aca="false">'Raw Data'!W3433</f>
        <v>4</v>
      </c>
      <c r="H3433" s="2" t="n">
        <f aca="false">'Raw Data'!V3433</f>
        <v>1</v>
      </c>
      <c r="I3433" s="2" t="n">
        <f aca="false">IF(AND(ISNUMBER(B3433),B3433&lt;=25),2,0)+IF(AND(ISNUMBER(E3433),E3433&lt;=5),2,0)+IF(AND(ISNUMBER(F3433),F3433&lt;=1),2,0)+IF(AND(ISNUMBER(G3433),G3433&lt;=2),1,0)+IF(AND(ISNUMBER(H3433),H3433&lt;=2),1,0)</f>
        <v>1</v>
      </c>
      <c r="J3433" s="2" t="str">
        <f aca="false">IF(I3433&gt;=6,"High",IF(I3433&gt;=3,"Medium","Low"))</f>
        <v>Low</v>
      </c>
    </row>
    <row r="3434" customFormat="false" ht="15" hidden="false" customHeight="true" outlineLevel="0" collapsed="false">
      <c r="A3434" s="2" t="n">
        <f aca="false">'Raw Data'!H3434</f>
        <v>3433</v>
      </c>
      <c r="B3434" s="2" t="n">
        <f aca="false">'Raw Data'!A3434</f>
        <v>44</v>
      </c>
      <c r="C3434" s="2" t="str">
        <f aca="false">'Raw Data'!D3434</f>
        <v>Research &amp; Development</v>
      </c>
      <c r="D3434" s="2" t="str">
        <f aca="false">'Raw Data'!K3434</f>
        <v>Healthcare Representative</v>
      </c>
      <c r="E3434" s="2" t="n">
        <f aca="false">'Raw Data'!Q3434</f>
        <v>23</v>
      </c>
      <c r="F3434" s="2" t="n">
        <f aca="false">'Raw Data'!U3434</f>
        <v>11</v>
      </c>
      <c r="G3434" s="2" t="n">
        <f aca="false">'Raw Data'!W3434</f>
        <v>4</v>
      </c>
      <c r="H3434" s="2" t="n">
        <f aca="false">'Raw Data'!V3434</f>
        <v>4</v>
      </c>
      <c r="I3434" s="2" t="n">
        <f aca="false">IF(AND(ISNUMBER(B3434),B3434&lt;=25),2,0)+IF(AND(ISNUMBER(E3434),E3434&lt;=5),2,0)+IF(AND(ISNUMBER(F3434),F3434&lt;=1),2,0)+IF(AND(ISNUMBER(G3434),G3434&lt;=2),1,0)+IF(AND(ISNUMBER(H3434),H3434&lt;=2),1,0)</f>
        <v>0</v>
      </c>
      <c r="J3434" s="2" t="str">
        <f aca="false">IF(I3434&gt;=6,"High",IF(I3434&gt;=3,"Medium","Low"))</f>
        <v>Low</v>
      </c>
    </row>
    <row r="3435" customFormat="false" ht="15" hidden="false" customHeight="true" outlineLevel="0" collapsed="false">
      <c r="A3435" s="2" t="n">
        <f aca="false">'Raw Data'!H3435</f>
        <v>3434</v>
      </c>
      <c r="B3435" s="2" t="n">
        <f aca="false">'Raw Data'!A3435</f>
        <v>50</v>
      </c>
      <c r="C3435" s="2" t="str">
        <f aca="false">'Raw Data'!D3435</f>
        <v>Human Resources</v>
      </c>
      <c r="D3435" s="2" t="str">
        <f aca="false">'Raw Data'!K3435</f>
        <v>Laboratory Technician</v>
      </c>
      <c r="E3435" s="2" t="n">
        <f aca="false">'Raw Data'!Q3435</f>
        <v>19</v>
      </c>
      <c r="F3435" s="2" t="n">
        <f aca="false">'Raw Data'!U3435</f>
        <v>13</v>
      </c>
      <c r="G3435" s="2" t="n">
        <f aca="false">'Raw Data'!W3435</f>
        <v>3</v>
      </c>
      <c r="H3435" s="2" t="n">
        <f aca="false">'Raw Data'!V3435</f>
        <v>4</v>
      </c>
      <c r="I3435" s="2" t="n">
        <f aca="false">IF(AND(ISNUMBER(B3435),B3435&lt;=25),2,0)+IF(AND(ISNUMBER(E3435),E3435&lt;=5),2,0)+IF(AND(ISNUMBER(F3435),F3435&lt;=1),2,0)+IF(AND(ISNUMBER(G3435),G3435&lt;=2),1,0)+IF(AND(ISNUMBER(H3435),H3435&lt;=2),1,0)</f>
        <v>0</v>
      </c>
      <c r="J3435" s="2" t="str">
        <f aca="false">IF(I3435&gt;=6,"High",IF(I3435&gt;=3,"Medium","Low"))</f>
        <v>Low</v>
      </c>
    </row>
    <row r="3436" customFormat="false" ht="15" hidden="false" customHeight="true" outlineLevel="0" collapsed="false">
      <c r="A3436" s="2" t="n">
        <f aca="false">'Raw Data'!H3436</f>
        <v>3435</v>
      </c>
      <c r="B3436" s="2" t="n">
        <f aca="false">'Raw Data'!A3436</f>
        <v>36</v>
      </c>
      <c r="C3436" s="2" t="str">
        <f aca="false">'Raw Data'!D3436</f>
        <v>Sales</v>
      </c>
      <c r="D3436" s="2" t="str">
        <f aca="false">'Raw Data'!K3436</f>
        <v>Sales Executive</v>
      </c>
      <c r="E3436" s="2" t="n">
        <f aca="false">'Raw Data'!Q3436</f>
        <v>18</v>
      </c>
      <c r="F3436" s="2" t="n">
        <f aca="false">'Raw Data'!U3436</f>
        <v>14</v>
      </c>
      <c r="G3436" s="2" t="n">
        <f aca="false">'Raw Data'!W3436</f>
        <v>1</v>
      </c>
      <c r="H3436" s="2" t="n">
        <f aca="false">'Raw Data'!V3436</f>
        <v>3</v>
      </c>
      <c r="I3436" s="2" t="n">
        <f aca="false">IF(AND(ISNUMBER(B3436),B3436&lt;=25),2,0)+IF(AND(ISNUMBER(E3436),E3436&lt;=5),2,0)+IF(AND(ISNUMBER(F3436),F3436&lt;=1),2,0)+IF(AND(ISNUMBER(G3436),G3436&lt;=2),1,0)+IF(AND(ISNUMBER(H3436),H3436&lt;=2),1,0)</f>
        <v>1</v>
      </c>
      <c r="J3436" s="2" t="str">
        <f aca="false">IF(I3436&gt;=6,"High",IF(I3436&gt;=3,"Medium","Low"))</f>
        <v>Low</v>
      </c>
    </row>
    <row r="3437" customFormat="false" ht="15" hidden="false" customHeight="true" outlineLevel="0" collapsed="false">
      <c r="A3437" s="2" t="n">
        <f aca="false">'Raw Data'!H3437</f>
        <v>3436</v>
      </c>
      <c r="B3437" s="2" t="n">
        <f aca="false">'Raw Data'!A3437</f>
        <v>39</v>
      </c>
      <c r="C3437" s="2" t="str">
        <f aca="false">'Raw Data'!D3437</f>
        <v>Sales</v>
      </c>
      <c r="D3437" s="2" t="str">
        <f aca="false">'Raw Data'!K3437</f>
        <v>Sales Executive</v>
      </c>
      <c r="E3437" s="2" t="n">
        <f aca="false">'Raw Data'!Q3437</f>
        <v>21</v>
      </c>
      <c r="F3437" s="2" t="n">
        <f aca="false">'Raw Data'!U3437</f>
        <v>8</v>
      </c>
      <c r="G3437" s="2" t="n">
        <f aca="false">'Raw Data'!W3437</f>
        <v>1</v>
      </c>
      <c r="H3437" s="2" t="n">
        <f aca="false">'Raw Data'!V3437</f>
        <v>4</v>
      </c>
      <c r="I3437" s="2" t="n">
        <f aca="false">IF(AND(ISNUMBER(B3437),B3437&lt;=25),2,0)+IF(AND(ISNUMBER(E3437),E3437&lt;=5),2,0)+IF(AND(ISNUMBER(F3437),F3437&lt;=1),2,0)+IF(AND(ISNUMBER(G3437),G3437&lt;=2),1,0)+IF(AND(ISNUMBER(H3437),H3437&lt;=2),1,0)</f>
        <v>1</v>
      </c>
      <c r="J3437" s="2" t="str">
        <f aca="false">IF(I3437&gt;=6,"High",IF(I3437&gt;=3,"Medium","Low"))</f>
        <v>Low</v>
      </c>
    </row>
    <row r="3438" customFormat="false" ht="15" hidden="false" customHeight="true" outlineLevel="0" collapsed="false">
      <c r="A3438" s="2" t="n">
        <f aca="false">'Raw Data'!H3438</f>
        <v>3437</v>
      </c>
      <c r="B3438" s="2" t="n">
        <f aca="false">'Raw Data'!A3438</f>
        <v>33</v>
      </c>
      <c r="C3438" s="2" t="str">
        <f aca="false">'Raw Data'!D3438</f>
        <v>Sales</v>
      </c>
      <c r="D3438" s="2" t="str">
        <f aca="false">'Raw Data'!K3438</f>
        <v>Sales Representative</v>
      </c>
      <c r="E3438" s="2" t="n">
        <f aca="false">'Raw Data'!Q3438</f>
        <v>3</v>
      </c>
      <c r="F3438" s="2" t="n">
        <f aca="false">'Raw Data'!U3438</f>
        <v>2</v>
      </c>
      <c r="G3438" s="2" t="n">
        <f aca="false">'Raw Data'!W3438</f>
        <v>4</v>
      </c>
      <c r="H3438" s="2" t="n">
        <f aca="false">'Raw Data'!V3438</f>
        <v>2</v>
      </c>
      <c r="I3438" s="2" t="n">
        <f aca="false">IF(AND(ISNUMBER(B3438),B3438&lt;=25),2,0)+IF(AND(ISNUMBER(E3438),E3438&lt;=5),2,0)+IF(AND(ISNUMBER(F3438),F3438&lt;=1),2,0)+IF(AND(ISNUMBER(G3438),G3438&lt;=2),1,0)+IF(AND(ISNUMBER(H3438),H3438&lt;=2),1,0)</f>
        <v>3</v>
      </c>
      <c r="J3438" s="2" t="str">
        <f aca="false">IF(I3438&gt;=6,"High",IF(I3438&gt;=3,"Medium","Low"))</f>
        <v>Medium</v>
      </c>
    </row>
    <row r="3439" customFormat="false" ht="15" hidden="false" customHeight="true" outlineLevel="0" collapsed="false">
      <c r="A3439" s="2" t="n">
        <f aca="false">'Raw Data'!H3439</f>
        <v>3438</v>
      </c>
      <c r="B3439" s="2" t="n">
        <f aca="false">'Raw Data'!A3439</f>
        <v>45</v>
      </c>
      <c r="C3439" s="2" t="str">
        <f aca="false">'Raw Data'!D3439</f>
        <v>Research &amp; Development</v>
      </c>
      <c r="D3439" s="2" t="str">
        <f aca="false">'Raw Data'!K3439</f>
        <v>Human Resources</v>
      </c>
      <c r="E3439" s="2" t="n">
        <f aca="false">'Raw Data'!Q3439</f>
        <v>26</v>
      </c>
      <c r="F3439" s="2" t="n">
        <f aca="false">'Raw Data'!U3439</f>
        <v>1</v>
      </c>
      <c r="G3439" s="2" t="n">
        <f aca="false">'Raw Data'!W3439</f>
        <v>4</v>
      </c>
      <c r="H3439" s="2" t="n">
        <f aca="false">'Raw Data'!V3439</f>
        <v>4</v>
      </c>
      <c r="I3439" s="2" t="n">
        <f aca="false">IF(AND(ISNUMBER(B3439),B3439&lt;=25),2,0)+IF(AND(ISNUMBER(E3439),E3439&lt;=5),2,0)+IF(AND(ISNUMBER(F3439),F3439&lt;=1),2,0)+IF(AND(ISNUMBER(G3439),G3439&lt;=2),1,0)+IF(AND(ISNUMBER(H3439),H3439&lt;=2),1,0)</f>
        <v>2</v>
      </c>
      <c r="J3439" s="2" t="str">
        <f aca="false">IF(I3439&gt;=6,"High",IF(I3439&gt;=3,"Medium","Low"))</f>
        <v>Low</v>
      </c>
    </row>
    <row r="3440" customFormat="false" ht="15" hidden="false" customHeight="true" outlineLevel="0" collapsed="false">
      <c r="A3440" s="2" t="n">
        <f aca="false">'Raw Data'!H3440</f>
        <v>3439</v>
      </c>
      <c r="B3440" s="2" t="n">
        <f aca="false">'Raw Data'!A3440</f>
        <v>32</v>
      </c>
      <c r="C3440" s="2" t="str">
        <f aca="false">'Raw Data'!D3440</f>
        <v>Research &amp; Development</v>
      </c>
      <c r="D3440" s="2" t="str">
        <f aca="false">'Raw Data'!K3440</f>
        <v>Manager</v>
      </c>
      <c r="E3440" s="2" t="n">
        <f aca="false">'Raw Data'!Q3440</f>
        <v>10</v>
      </c>
      <c r="F3440" s="2" t="n">
        <f aca="false">'Raw Data'!U3440</f>
        <v>7</v>
      </c>
      <c r="G3440" s="2" t="n">
        <f aca="false">'Raw Data'!W3440</f>
        <v>3</v>
      </c>
      <c r="H3440" s="2" t="n">
        <f aca="false">'Raw Data'!V3440</f>
        <v>4</v>
      </c>
      <c r="I3440" s="2" t="n">
        <f aca="false">IF(AND(ISNUMBER(B3440),B3440&lt;=25),2,0)+IF(AND(ISNUMBER(E3440),E3440&lt;=5),2,0)+IF(AND(ISNUMBER(F3440),F3440&lt;=1),2,0)+IF(AND(ISNUMBER(G3440),G3440&lt;=2),1,0)+IF(AND(ISNUMBER(H3440),H3440&lt;=2),1,0)</f>
        <v>0</v>
      </c>
      <c r="J3440" s="2" t="str">
        <f aca="false">IF(I3440&gt;=6,"High",IF(I3440&gt;=3,"Medium","Low"))</f>
        <v>Low</v>
      </c>
    </row>
    <row r="3441" customFormat="false" ht="15" hidden="false" customHeight="true" outlineLevel="0" collapsed="false">
      <c r="A3441" s="2" t="n">
        <f aca="false">'Raw Data'!H3441</f>
        <v>3440</v>
      </c>
      <c r="B3441" s="2" t="n">
        <f aca="false">'Raw Data'!A3441</f>
        <v>34</v>
      </c>
      <c r="C3441" s="2" t="str">
        <f aca="false">'Raw Data'!D3441</f>
        <v>Sales</v>
      </c>
      <c r="D3441" s="2" t="str">
        <f aca="false">'Raw Data'!K3441</f>
        <v>Research Director</v>
      </c>
      <c r="E3441" s="2" t="n">
        <f aca="false">'Raw Data'!Q3441</f>
        <v>16</v>
      </c>
      <c r="F3441" s="2" t="n">
        <f aca="false">'Raw Data'!U3441</f>
        <v>9</v>
      </c>
      <c r="G3441" s="2" t="n">
        <f aca="false">'Raw Data'!W3441</f>
        <v>4</v>
      </c>
      <c r="H3441" s="2" t="n">
        <f aca="false">'Raw Data'!V3441</f>
        <v>2</v>
      </c>
      <c r="I3441" s="2" t="n">
        <f aca="false">IF(AND(ISNUMBER(B3441),B3441&lt;=25),2,0)+IF(AND(ISNUMBER(E3441),E3441&lt;=5),2,0)+IF(AND(ISNUMBER(F3441),F3441&lt;=1),2,0)+IF(AND(ISNUMBER(G3441),G3441&lt;=2),1,0)+IF(AND(ISNUMBER(H3441),H3441&lt;=2),1,0)</f>
        <v>1</v>
      </c>
      <c r="J3441" s="2" t="str">
        <f aca="false">IF(I3441&gt;=6,"High",IF(I3441&gt;=3,"Medium","Low"))</f>
        <v>Low</v>
      </c>
    </row>
    <row r="3442" customFormat="false" ht="15" hidden="false" customHeight="true" outlineLevel="0" collapsed="false">
      <c r="A3442" s="2" t="n">
        <f aca="false">'Raw Data'!H3442</f>
        <v>3441</v>
      </c>
      <c r="B3442" s="2" t="n">
        <f aca="false">'Raw Data'!A3442</f>
        <v>59</v>
      </c>
      <c r="C3442" s="2" t="str">
        <f aca="false">'Raw Data'!D3442</f>
        <v>Research &amp; Development</v>
      </c>
      <c r="D3442" s="2" t="str">
        <f aca="false">'Raw Data'!K3442</f>
        <v>Research Scientist</v>
      </c>
      <c r="E3442" s="2" t="n">
        <f aca="false">'Raw Data'!Q3442</f>
        <v>14</v>
      </c>
      <c r="F3442" s="2" t="n">
        <f aca="false">'Raw Data'!U3442</f>
        <v>4</v>
      </c>
      <c r="G3442" s="2" t="n">
        <f aca="false">'Raw Data'!W3442</f>
        <v>4</v>
      </c>
      <c r="H3442" s="2" t="n">
        <f aca="false">'Raw Data'!V3442</f>
        <v>2</v>
      </c>
      <c r="I3442" s="2" t="n">
        <f aca="false">IF(AND(ISNUMBER(B3442),B3442&lt;=25),2,0)+IF(AND(ISNUMBER(E3442),E3442&lt;=5),2,0)+IF(AND(ISNUMBER(F3442),F3442&lt;=1),2,0)+IF(AND(ISNUMBER(G3442),G3442&lt;=2),1,0)+IF(AND(ISNUMBER(H3442),H3442&lt;=2),1,0)</f>
        <v>1</v>
      </c>
      <c r="J3442" s="2" t="str">
        <f aca="false">IF(I3442&gt;=6,"High",IF(I3442&gt;=3,"Medium","Low"))</f>
        <v>Low</v>
      </c>
    </row>
    <row r="3443" customFormat="false" ht="15" hidden="false" customHeight="true" outlineLevel="0" collapsed="false">
      <c r="A3443" s="2" t="n">
        <f aca="false">'Raw Data'!H3443</f>
        <v>3442</v>
      </c>
      <c r="B3443" s="2" t="n">
        <f aca="false">'Raw Data'!A3443</f>
        <v>45</v>
      </c>
      <c r="C3443" s="2" t="str">
        <f aca="false">'Raw Data'!D3443</f>
        <v>Research &amp; Development</v>
      </c>
      <c r="D3443" s="2" t="str">
        <f aca="false">'Raw Data'!K3443</f>
        <v>Sales Executive</v>
      </c>
      <c r="E3443" s="2" t="n">
        <f aca="false">'Raw Data'!Q3443</f>
        <v>6</v>
      </c>
      <c r="F3443" s="2" t="n">
        <f aca="false">'Raw Data'!U3443</f>
        <v>4</v>
      </c>
      <c r="G3443" s="2" t="n">
        <f aca="false">'Raw Data'!W3443</f>
        <v>2</v>
      </c>
      <c r="H3443" s="2" t="n">
        <f aca="false">'Raw Data'!V3443</f>
        <v>2</v>
      </c>
      <c r="I3443" s="2" t="n">
        <f aca="false">IF(AND(ISNUMBER(B3443),B3443&lt;=25),2,0)+IF(AND(ISNUMBER(E3443),E3443&lt;=5),2,0)+IF(AND(ISNUMBER(F3443),F3443&lt;=1),2,0)+IF(AND(ISNUMBER(G3443),G3443&lt;=2),1,0)+IF(AND(ISNUMBER(H3443),H3443&lt;=2),1,0)</f>
        <v>2</v>
      </c>
      <c r="J3443" s="2" t="str">
        <f aca="false">IF(I3443&gt;=6,"High",IF(I3443&gt;=3,"Medium","Low"))</f>
        <v>Low</v>
      </c>
    </row>
    <row r="3444" customFormat="false" ht="15" hidden="false" customHeight="true" outlineLevel="0" collapsed="false">
      <c r="A3444" s="2" t="n">
        <f aca="false">'Raw Data'!H3444</f>
        <v>3443</v>
      </c>
      <c r="B3444" s="2" t="n">
        <f aca="false">'Raw Data'!A3444</f>
        <v>53</v>
      </c>
      <c r="C3444" s="2" t="str">
        <f aca="false">'Raw Data'!D3444</f>
        <v>Sales</v>
      </c>
      <c r="D3444" s="2" t="str">
        <f aca="false">'Raw Data'!K3444</f>
        <v>Research Scientist</v>
      </c>
      <c r="E3444" s="2" t="n">
        <f aca="false">'Raw Data'!Q3444</f>
        <v>30</v>
      </c>
      <c r="F3444" s="2" t="n">
        <f aca="false">'Raw Data'!U3444</f>
        <v>12</v>
      </c>
      <c r="G3444" s="2" t="n">
        <f aca="false">'Raw Data'!W3444</f>
        <v>2</v>
      </c>
      <c r="H3444" s="2" t="n">
        <f aca="false">'Raw Data'!V3444</f>
        <v>3</v>
      </c>
      <c r="I3444" s="2" t="n">
        <f aca="false">IF(AND(ISNUMBER(B3444),B3444&lt;=25),2,0)+IF(AND(ISNUMBER(E3444),E3444&lt;=5),2,0)+IF(AND(ISNUMBER(F3444),F3444&lt;=1),2,0)+IF(AND(ISNUMBER(G3444),G3444&lt;=2),1,0)+IF(AND(ISNUMBER(H3444),H3444&lt;=2),1,0)</f>
        <v>1</v>
      </c>
      <c r="J3444" s="2" t="str">
        <f aca="false">IF(I3444&gt;=6,"High",IF(I3444&gt;=3,"Medium","Low"))</f>
        <v>Low</v>
      </c>
    </row>
    <row r="3445" customFormat="false" ht="15" hidden="false" customHeight="true" outlineLevel="0" collapsed="false">
      <c r="A3445" s="2" t="n">
        <f aca="false">'Raw Data'!H3445</f>
        <v>3444</v>
      </c>
      <c r="B3445" s="2" t="n">
        <f aca="false">'Raw Data'!A3445</f>
        <v>36</v>
      </c>
      <c r="C3445" s="2" t="str">
        <f aca="false">'Raw Data'!D3445</f>
        <v>Research &amp; Development</v>
      </c>
      <c r="D3445" s="2" t="str">
        <f aca="false">'Raw Data'!K3445</f>
        <v>Research Scientist</v>
      </c>
      <c r="E3445" s="2" t="n">
        <f aca="false">'Raw Data'!Q3445</f>
        <v>9</v>
      </c>
      <c r="F3445" s="2" t="n">
        <f aca="false">'Raw Data'!U3445</f>
        <v>0</v>
      </c>
      <c r="G3445" s="2" t="n">
        <f aca="false">'Raw Data'!W3445</f>
        <v>3</v>
      </c>
      <c r="H3445" s="2" t="n">
        <f aca="false">'Raw Data'!V3445</f>
        <v>1</v>
      </c>
      <c r="I3445" s="2" t="n">
        <f aca="false">IF(AND(ISNUMBER(B3445),B3445&lt;=25),2,0)+IF(AND(ISNUMBER(E3445),E3445&lt;=5),2,0)+IF(AND(ISNUMBER(F3445),F3445&lt;=1),2,0)+IF(AND(ISNUMBER(G3445),G3445&lt;=2),1,0)+IF(AND(ISNUMBER(H3445),H3445&lt;=2),1,0)</f>
        <v>3</v>
      </c>
      <c r="J3445" s="2" t="str">
        <f aca="false">IF(I3445&gt;=6,"High",IF(I3445&gt;=3,"Medium","Low"))</f>
        <v>Medium</v>
      </c>
    </row>
    <row r="3446" customFormat="false" ht="15" hidden="false" customHeight="true" outlineLevel="0" collapsed="false">
      <c r="A3446" s="2" t="n">
        <f aca="false">'Raw Data'!H3446</f>
        <v>3445</v>
      </c>
      <c r="B3446" s="2" t="n">
        <f aca="false">'Raw Data'!A3446</f>
        <v>26</v>
      </c>
      <c r="C3446" s="2" t="str">
        <f aca="false">'Raw Data'!D3446</f>
        <v>Sales</v>
      </c>
      <c r="D3446" s="2" t="str">
        <f aca="false">'Raw Data'!K3446</f>
        <v>Research Scientist</v>
      </c>
      <c r="E3446" s="2" t="n">
        <f aca="false">'Raw Data'!Q3446</f>
        <v>6</v>
      </c>
      <c r="F3446" s="2" t="n">
        <f aca="false">'Raw Data'!U3446</f>
        <v>2</v>
      </c>
      <c r="G3446" s="2" t="n">
        <f aca="false">'Raw Data'!W3446</f>
        <v>1</v>
      </c>
      <c r="H3446" s="2" t="n">
        <f aca="false">'Raw Data'!V3446</f>
        <v>1</v>
      </c>
      <c r="I3446" s="2" t="n">
        <f aca="false">IF(AND(ISNUMBER(B3446),B3446&lt;=25),2,0)+IF(AND(ISNUMBER(E3446),E3446&lt;=5),2,0)+IF(AND(ISNUMBER(F3446),F3446&lt;=1),2,0)+IF(AND(ISNUMBER(G3446),G3446&lt;=2),1,0)+IF(AND(ISNUMBER(H3446),H3446&lt;=2),1,0)</f>
        <v>2</v>
      </c>
      <c r="J3446" s="2" t="str">
        <f aca="false">IF(I3446&gt;=6,"High",IF(I3446&gt;=3,"Medium","Low"))</f>
        <v>Low</v>
      </c>
    </row>
    <row r="3447" customFormat="false" ht="15" hidden="false" customHeight="true" outlineLevel="0" collapsed="false">
      <c r="A3447" s="2" t="n">
        <f aca="false">'Raw Data'!H3447</f>
        <v>3446</v>
      </c>
      <c r="B3447" s="2" t="n">
        <f aca="false">'Raw Data'!A3447</f>
        <v>34</v>
      </c>
      <c r="C3447" s="2" t="str">
        <f aca="false">'Raw Data'!D3447</f>
        <v>Research &amp; Development</v>
      </c>
      <c r="D3447" s="2" t="str">
        <f aca="false">'Raw Data'!K3447</f>
        <v>Sales Representative</v>
      </c>
      <c r="E3447" s="2" t="n">
        <f aca="false">'Raw Data'!Q3447</f>
        <v>1</v>
      </c>
      <c r="F3447" s="2" t="n">
        <f aca="false">'Raw Data'!U3447</f>
        <v>0</v>
      </c>
      <c r="G3447" s="2" t="n">
        <f aca="false">'Raw Data'!W3447</f>
        <v>3</v>
      </c>
      <c r="H3447" s="2" t="n">
        <f aca="false">'Raw Data'!V3447</f>
        <v>3</v>
      </c>
      <c r="I3447" s="2" t="n">
        <f aca="false">IF(AND(ISNUMBER(B3447),B3447&lt;=25),2,0)+IF(AND(ISNUMBER(E3447),E3447&lt;=5),2,0)+IF(AND(ISNUMBER(F3447),F3447&lt;=1),2,0)+IF(AND(ISNUMBER(G3447),G3447&lt;=2),1,0)+IF(AND(ISNUMBER(H3447),H3447&lt;=2),1,0)</f>
        <v>4</v>
      </c>
      <c r="J3447" s="2" t="str">
        <f aca="false">IF(I3447&gt;=6,"High",IF(I3447&gt;=3,"Medium","Low"))</f>
        <v>Medium</v>
      </c>
    </row>
    <row r="3448" customFormat="false" ht="15" hidden="false" customHeight="true" outlineLevel="0" collapsed="false">
      <c r="A3448" s="2" t="n">
        <f aca="false">'Raw Data'!H3448</f>
        <v>3447</v>
      </c>
      <c r="B3448" s="2" t="n">
        <f aca="false">'Raw Data'!A3448</f>
        <v>28</v>
      </c>
      <c r="C3448" s="2" t="str">
        <f aca="false">'Raw Data'!D3448</f>
        <v>Research &amp; Development</v>
      </c>
      <c r="D3448" s="2" t="str">
        <f aca="false">'Raw Data'!K3448</f>
        <v>Sales Representative</v>
      </c>
      <c r="E3448" s="2" t="n">
        <f aca="false">'Raw Data'!Q3448</f>
        <v>1</v>
      </c>
      <c r="F3448" s="2" t="n">
        <f aca="false">'Raw Data'!U3448</f>
        <v>0</v>
      </c>
      <c r="G3448" s="2" t="n">
        <f aca="false">'Raw Data'!W3448</f>
        <v>2</v>
      </c>
      <c r="H3448" s="2" t="n">
        <f aca="false">'Raw Data'!V3448</f>
        <v>4</v>
      </c>
      <c r="I3448" s="2" t="n">
        <f aca="false">IF(AND(ISNUMBER(B3448),B3448&lt;=25),2,0)+IF(AND(ISNUMBER(E3448),E3448&lt;=5),2,0)+IF(AND(ISNUMBER(F3448),F3448&lt;=1),2,0)+IF(AND(ISNUMBER(G3448),G3448&lt;=2),1,0)+IF(AND(ISNUMBER(H3448),H3448&lt;=2),1,0)</f>
        <v>5</v>
      </c>
      <c r="J3448" s="2" t="str">
        <f aca="false">IF(I3448&gt;=6,"High",IF(I3448&gt;=3,"Medium","Low"))</f>
        <v>Medium</v>
      </c>
    </row>
    <row r="3449" customFormat="false" ht="15" hidden="false" customHeight="true" outlineLevel="0" collapsed="false">
      <c r="A3449" s="2" t="n">
        <f aca="false">'Raw Data'!H3449</f>
        <v>3448</v>
      </c>
      <c r="B3449" s="2" t="n">
        <f aca="false">'Raw Data'!A3449</f>
        <v>38</v>
      </c>
      <c r="C3449" s="2" t="str">
        <f aca="false">'Raw Data'!D3449</f>
        <v>Sales</v>
      </c>
      <c r="D3449" s="2" t="str">
        <f aca="false">'Raw Data'!K3449</f>
        <v>Research Scientist</v>
      </c>
      <c r="E3449" s="2" t="n">
        <f aca="false">'Raw Data'!Q3449</f>
        <v>8</v>
      </c>
      <c r="F3449" s="2" t="n">
        <f aca="false">'Raw Data'!U3449</f>
        <v>2</v>
      </c>
      <c r="G3449" s="2" t="n">
        <f aca="false">'Raw Data'!W3449</f>
        <v>3</v>
      </c>
      <c r="H3449" s="2" t="n">
        <f aca="false">'Raw Data'!V3449</f>
        <v>3</v>
      </c>
      <c r="I3449" s="2" t="n">
        <f aca="false">IF(AND(ISNUMBER(B3449),B3449&lt;=25),2,0)+IF(AND(ISNUMBER(E3449),E3449&lt;=5),2,0)+IF(AND(ISNUMBER(F3449),F3449&lt;=1),2,0)+IF(AND(ISNUMBER(G3449),G3449&lt;=2),1,0)+IF(AND(ISNUMBER(H3449),H3449&lt;=2),1,0)</f>
        <v>0</v>
      </c>
      <c r="J3449" s="2" t="str">
        <f aca="false">IF(I3449&gt;=6,"High",IF(I3449&gt;=3,"Medium","Low"))</f>
        <v>Low</v>
      </c>
    </row>
    <row r="3450" customFormat="false" ht="15" hidden="false" customHeight="true" outlineLevel="0" collapsed="false">
      <c r="A3450" s="2" t="n">
        <f aca="false">'Raw Data'!H3450</f>
        <v>3449</v>
      </c>
      <c r="B3450" s="2" t="n">
        <f aca="false">'Raw Data'!A3450</f>
        <v>50</v>
      </c>
      <c r="C3450" s="2" t="str">
        <f aca="false">'Raw Data'!D3450</f>
        <v>Research &amp; Development</v>
      </c>
      <c r="D3450" s="2" t="str">
        <f aca="false">'Raw Data'!K3450</f>
        <v>Sales Executive</v>
      </c>
      <c r="E3450" s="2" t="n">
        <f aca="false">'Raw Data'!Q3450</f>
        <v>29</v>
      </c>
      <c r="F3450" s="2" t="n">
        <f aca="false">'Raw Data'!U3450</f>
        <v>7</v>
      </c>
      <c r="G3450" s="2" t="n">
        <f aca="false">'Raw Data'!W3450</f>
        <v>3</v>
      </c>
      <c r="H3450" s="2" t="n">
        <f aca="false">'Raw Data'!V3450</f>
        <v>2</v>
      </c>
      <c r="I3450" s="2" t="n">
        <f aca="false">IF(AND(ISNUMBER(B3450),B3450&lt;=25),2,0)+IF(AND(ISNUMBER(E3450),E3450&lt;=5),2,0)+IF(AND(ISNUMBER(F3450),F3450&lt;=1),2,0)+IF(AND(ISNUMBER(G3450),G3450&lt;=2),1,0)+IF(AND(ISNUMBER(H3450),H3450&lt;=2),1,0)</f>
        <v>1</v>
      </c>
      <c r="J3450" s="2" t="str">
        <f aca="false">IF(I3450&gt;=6,"High",IF(I3450&gt;=3,"Medium","Low"))</f>
        <v>Low</v>
      </c>
    </row>
    <row r="3451" customFormat="false" ht="15" hidden="false" customHeight="true" outlineLevel="0" collapsed="false">
      <c r="A3451" s="2" t="n">
        <f aca="false">'Raw Data'!H3451</f>
        <v>3450</v>
      </c>
      <c r="B3451" s="2" t="n">
        <f aca="false">'Raw Data'!A3451</f>
        <v>37</v>
      </c>
      <c r="C3451" s="2" t="str">
        <f aca="false">'Raw Data'!D3451</f>
        <v>Research &amp; Development</v>
      </c>
      <c r="D3451" s="2" t="str">
        <f aca="false">'Raw Data'!K3451</f>
        <v>Laboratory Technician</v>
      </c>
      <c r="E3451" s="2" t="n">
        <f aca="false">'Raw Data'!Q3451</f>
        <v>8</v>
      </c>
      <c r="F3451" s="2" t="n">
        <f aca="false">'Raw Data'!U3451</f>
        <v>1</v>
      </c>
      <c r="G3451" s="2" t="n">
        <f aca="false">'Raw Data'!W3451</f>
        <v>2</v>
      </c>
      <c r="H3451" s="2" t="n">
        <f aca="false">'Raw Data'!V3451</f>
        <v>4</v>
      </c>
      <c r="I3451" s="2" t="n">
        <f aca="false">IF(AND(ISNUMBER(B3451),B3451&lt;=25),2,0)+IF(AND(ISNUMBER(E3451),E3451&lt;=5),2,0)+IF(AND(ISNUMBER(F3451),F3451&lt;=1),2,0)+IF(AND(ISNUMBER(G3451),G3451&lt;=2),1,0)+IF(AND(ISNUMBER(H3451),H3451&lt;=2),1,0)</f>
        <v>3</v>
      </c>
      <c r="J3451" s="2" t="str">
        <f aca="false">IF(I3451&gt;=6,"High",IF(I3451&gt;=3,"Medium","Low"))</f>
        <v>Medium</v>
      </c>
    </row>
    <row r="3452" customFormat="false" ht="15" hidden="false" customHeight="true" outlineLevel="0" collapsed="false">
      <c r="A3452" s="2" t="n">
        <f aca="false">'Raw Data'!H3452</f>
        <v>3451</v>
      </c>
      <c r="B3452" s="2" t="n">
        <f aca="false">'Raw Data'!A3452</f>
        <v>40</v>
      </c>
      <c r="C3452" s="2" t="str">
        <f aca="false">'Raw Data'!D3452</f>
        <v>Human Resources</v>
      </c>
      <c r="D3452" s="2" t="str">
        <f aca="false">'Raw Data'!K3452</f>
        <v>Sales Executive</v>
      </c>
      <c r="E3452" s="2" t="n">
        <f aca="false">'Raw Data'!Q3452</f>
        <v>8</v>
      </c>
      <c r="F3452" s="2" t="n">
        <f aca="false">'Raw Data'!U3452</f>
        <v>5</v>
      </c>
      <c r="G3452" s="2" t="n">
        <f aca="false">'Raw Data'!W3452</f>
        <v>1</v>
      </c>
      <c r="H3452" s="2" t="n">
        <f aca="false">'Raw Data'!V3452</f>
        <v>3</v>
      </c>
      <c r="I3452" s="2" t="n">
        <f aca="false">IF(AND(ISNUMBER(B3452),B3452&lt;=25),2,0)+IF(AND(ISNUMBER(E3452),E3452&lt;=5),2,0)+IF(AND(ISNUMBER(F3452),F3452&lt;=1),2,0)+IF(AND(ISNUMBER(G3452),G3452&lt;=2),1,0)+IF(AND(ISNUMBER(H3452),H3452&lt;=2),1,0)</f>
        <v>1</v>
      </c>
      <c r="J3452" s="2" t="str">
        <f aca="false">IF(I3452&gt;=6,"High",IF(I3452&gt;=3,"Medium","Low"))</f>
        <v>Low</v>
      </c>
    </row>
    <row r="3453" customFormat="false" ht="15" hidden="false" customHeight="true" outlineLevel="0" collapsed="false">
      <c r="A3453" s="2" t="n">
        <f aca="false">'Raw Data'!H3453</f>
        <v>3452</v>
      </c>
      <c r="B3453" s="2" t="n">
        <f aca="false">'Raw Data'!A3453</f>
        <v>26</v>
      </c>
      <c r="C3453" s="2" t="str">
        <f aca="false">'Raw Data'!D3453</f>
        <v>Research &amp; Development</v>
      </c>
      <c r="D3453" s="2" t="str">
        <f aca="false">'Raw Data'!K3453</f>
        <v>Laboratory Technician</v>
      </c>
      <c r="E3453" s="2" t="n">
        <f aca="false">'Raw Data'!Q3453</f>
        <v>5</v>
      </c>
      <c r="F3453" s="2" t="n">
        <f aca="false">'Raw Data'!U3453</f>
        <v>3</v>
      </c>
      <c r="G3453" s="2" t="n">
        <f aca="false">'Raw Data'!W3453</f>
        <v>3</v>
      </c>
      <c r="H3453" s="2" t="n">
        <f aca="false">'Raw Data'!V3453</f>
        <v>1</v>
      </c>
      <c r="I3453" s="2" t="n">
        <f aca="false">IF(AND(ISNUMBER(B3453),B3453&lt;=25),2,0)+IF(AND(ISNUMBER(E3453),E3453&lt;=5),2,0)+IF(AND(ISNUMBER(F3453),F3453&lt;=1),2,0)+IF(AND(ISNUMBER(G3453),G3453&lt;=2),1,0)+IF(AND(ISNUMBER(H3453),H3453&lt;=2),1,0)</f>
        <v>3</v>
      </c>
      <c r="J3453" s="2" t="str">
        <f aca="false">IF(I3453&gt;=6,"High",IF(I3453&gt;=3,"Medium","Low"))</f>
        <v>Medium</v>
      </c>
    </row>
    <row r="3454" customFormat="false" ht="15" hidden="false" customHeight="true" outlineLevel="0" collapsed="false">
      <c r="A3454" s="2" t="n">
        <f aca="false">'Raw Data'!H3454</f>
        <v>3453</v>
      </c>
      <c r="B3454" s="2" t="n">
        <f aca="false">'Raw Data'!A3454</f>
        <v>46</v>
      </c>
      <c r="C3454" s="2" t="str">
        <f aca="false">'Raw Data'!D3454</f>
        <v>Research &amp; Development</v>
      </c>
      <c r="D3454" s="2" t="str">
        <f aca="false">'Raw Data'!K3454</f>
        <v>Research Scientist</v>
      </c>
      <c r="E3454" s="2" t="n">
        <f aca="false">'Raw Data'!Q3454</f>
        <v>23</v>
      </c>
      <c r="F3454" s="2" t="n">
        <f aca="false">'Raw Data'!U3454</f>
        <v>2</v>
      </c>
      <c r="G3454" s="2" t="n">
        <f aca="false">'Raw Data'!W3454</f>
        <v>4</v>
      </c>
      <c r="H3454" s="2" t="n">
        <f aca="false">'Raw Data'!V3454</f>
        <v>4</v>
      </c>
      <c r="I3454" s="2" t="n">
        <f aca="false">IF(AND(ISNUMBER(B3454),B3454&lt;=25),2,0)+IF(AND(ISNUMBER(E3454),E3454&lt;=5),2,0)+IF(AND(ISNUMBER(F3454),F3454&lt;=1),2,0)+IF(AND(ISNUMBER(G3454),G3454&lt;=2),1,0)+IF(AND(ISNUMBER(H3454),H3454&lt;=2),1,0)</f>
        <v>0</v>
      </c>
      <c r="J3454" s="2" t="str">
        <f aca="false">IF(I3454&gt;=6,"High",IF(I3454&gt;=3,"Medium","Low"))</f>
        <v>Low</v>
      </c>
    </row>
    <row r="3455" customFormat="false" ht="15" hidden="false" customHeight="true" outlineLevel="0" collapsed="false">
      <c r="A3455" s="2" t="n">
        <f aca="false">'Raw Data'!H3455</f>
        <v>3454</v>
      </c>
      <c r="B3455" s="2" t="n">
        <f aca="false">'Raw Data'!A3455</f>
        <v>54</v>
      </c>
      <c r="C3455" s="2" t="str">
        <f aca="false">'Raw Data'!D3455</f>
        <v>Research &amp; Development</v>
      </c>
      <c r="D3455" s="2" t="str">
        <f aca="false">'Raw Data'!K3455</f>
        <v>Manufacturing Director</v>
      </c>
      <c r="E3455" s="2" t="n">
        <f aca="false">'Raw Data'!Q3455</f>
        <v>13</v>
      </c>
      <c r="F3455" s="2" t="n">
        <f aca="false">'Raw Data'!U3455</f>
        <v>0</v>
      </c>
      <c r="G3455" s="2" t="n">
        <f aca="false">'Raw Data'!W3455</f>
        <v>3</v>
      </c>
      <c r="H3455" s="2" t="n">
        <f aca="false">'Raw Data'!V3455</f>
        <v>3</v>
      </c>
      <c r="I3455" s="2" t="n">
        <f aca="false">IF(AND(ISNUMBER(B3455),B3455&lt;=25),2,0)+IF(AND(ISNUMBER(E3455),E3455&lt;=5),2,0)+IF(AND(ISNUMBER(F3455),F3455&lt;=1),2,0)+IF(AND(ISNUMBER(G3455),G3455&lt;=2),1,0)+IF(AND(ISNUMBER(H3455),H3455&lt;=2),1,0)</f>
        <v>2</v>
      </c>
      <c r="J3455" s="2" t="str">
        <f aca="false">IF(I3455&gt;=6,"High",IF(I3455&gt;=3,"Medium","Low"))</f>
        <v>Low</v>
      </c>
    </row>
    <row r="3456" customFormat="false" ht="15" hidden="false" customHeight="true" outlineLevel="0" collapsed="false">
      <c r="A3456" s="2" t="n">
        <f aca="false">'Raw Data'!H3456</f>
        <v>3455</v>
      </c>
      <c r="B3456" s="2" t="n">
        <f aca="false">'Raw Data'!A3456</f>
        <v>56</v>
      </c>
      <c r="C3456" s="2" t="str">
        <f aca="false">'Raw Data'!D3456</f>
        <v>Research &amp; Development</v>
      </c>
      <c r="D3456" s="2" t="str">
        <f aca="false">'Raw Data'!K3456</f>
        <v>Manufacturing Director</v>
      </c>
      <c r="E3456" s="2" t="n">
        <f aca="false">'Raw Data'!Q3456</f>
        <v>18</v>
      </c>
      <c r="F3456" s="2" t="n">
        <f aca="false">'Raw Data'!U3456</f>
        <v>3</v>
      </c>
      <c r="G3456" s="2" t="n">
        <f aca="false">'Raw Data'!W3456</f>
        <v>3</v>
      </c>
      <c r="H3456" s="2" t="n">
        <f aca="false">'Raw Data'!V3456</f>
        <v>1</v>
      </c>
      <c r="I3456" s="2" t="n">
        <f aca="false">IF(AND(ISNUMBER(B3456),B3456&lt;=25),2,0)+IF(AND(ISNUMBER(E3456),E3456&lt;=5),2,0)+IF(AND(ISNUMBER(F3456),F3456&lt;=1),2,0)+IF(AND(ISNUMBER(G3456),G3456&lt;=2),1,0)+IF(AND(ISNUMBER(H3456),H3456&lt;=2),1,0)</f>
        <v>1</v>
      </c>
      <c r="J3456" s="2" t="str">
        <f aca="false">IF(I3456&gt;=6,"High",IF(I3456&gt;=3,"Medium","Low"))</f>
        <v>Low</v>
      </c>
    </row>
    <row r="3457" customFormat="false" ht="15" hidden="false" customHeight="true" outlineLevel="0" collapsed="false">
      <c r="A3457" s="2" t="n">
        <f aca="false">'Raw Data'!H3457</f>
        <v>3456</v>
      </c>
      <c r="B3457" s="2" t="n">
        <f aca="false">'Raw Data'!A3457</f>
        <v>36</v>
      </c>
      <c r="C3457" s="2" t="str">
        <f aca="false">'Raw Data'!D3457</f>
        <v>Research &amp; Development</v>
      </c>
      <c r="D3457" s="2" t="str">
        <f aca="false">'Raw Data'!K3457</f>
        <v>Human Resources</v>
      </c>
      <c r="E3457" s="2" t="n">
        <f aca="false">'Raw Data'!Q3457</f>
        <v>15</v>
      </c>
      <c r="F3457" s="2" t="n">
        <f aca="false">'Raw Data'!U3457</f>
        <v>8</v>
      </c>
      <c r="G3457" s="2" t="n">
        <f aca="false">'Raw Data'!W3457</f>
        <v>4</v>
      </c>
      <c r="H3457" s="2" t="n">
        <f aca="false">'Raw Data'!V3457</f>
        <v>4</v>
      </c>
      <c r="I3457" s="2" t="n">
        <f aca="false">IF(AND(ISNUMBER(B3457),B3457&lt;=25),2,0)+IF(AND(ISNUMBER(E3457),E3457&lt;=5),2,0)+IF(AND(ISNUMBER(F3457),F3457&lt;=1),2,0)+IF(AND(ISNUMBER(G3457),G3457&lt;=2),1,0)+IF(AND(ISNUMBER(H3457),H3457&lt;=2),1,0)</f>
        <v>0</v>
      </c>
      <c r="J3457" s="2" t="str">
        <f aca="false">IF(I3457&gt;=6,"High",IF(I3457&gt;=3,"Medium","Low"))</f>
        <v>Low</v>
      </c>
    </row>
    <row r="3458" customFormat="false" ht="15" hidden="false" customHeight="true" outlineLevel="0" collapsed="false">
      <c r="A3458" s="2" t="n">
        <f aca="false">'Raw Data'!H3458</f>
        <v>3457</v>
      </c>
      <c r="B3458" s="2" t="n">
        <f aca="false">'Raw Data'!A3458</f>
        <v>55</v>
      </c>
      <c r="C3458" s="2" t="str">
        <f aca="false">'Raw Data'!D3458</f>
        <v>Research &amp; Development</v>
      </c>
      <c r="D3458" s="2" t="str">
        <f aca="false">'Raw Data'!K3458</f>
        <v>Manager</v>
      </c>
      <c r="E3458" s="2" t="n">
        <f aca="false">'Raw Data'!Q3458</f>
        <v>31</v>
      </c>
      <c r="F3458" s="2" t="n">
        <f aca="false">'Raw Data'!U3458</f>
        <v>2</v>
      </c>
      <c r="G3458" s="2" t="n">
        <f aca="false">'Raw Data'!W3458</f>
        <v>1</v>
      </c>
      <c r="H3458" s="2" t="n">
        <f aca="false">'Raw Data'!V3458</f>
        <v>3</v>
      </c>
      <c r="I3458" s="2" t="n">
        <f aca="false">IF(AND(ISNUMBER(B3458),B3458&lt;=25),2,0)+IF(AND(ISNUMBER(E3458),E3458&lt;=5),2,0)+IF(AND(ISNUMBER(F3458),F3458&lt;=1),2,0)+IF(AND(ISNUMBER(G3458),G3458&lt;=2),1,0)+IF(AND(ISNUMBER(H3458),H3458&lt;=2),1,0)</f>
        <v>1</v>
      </c>
      <c r="J3458" s="2" t="str">
        <f aca="false">IF(I3458&gt;=6,"High",IF(I3458&gt;=3,"Medium","Low"))</f>
        <v>Low</v>
      </c>
    </row>
    <row r="3459" customFormat="false" ht="15" hidden="false" customHeight="true" outlineLevel="0" collapsed="false">
      <c r="A3459" s="2" t="n">
        <f aca="false">'Raw Data'!H3459</f>
        <v>3458</v>
      </c>
      <c r="B3459" s="2" t="n">
        <f aca="false">'Raw Data'!A3459</f>
        <v>43</v>
      </c>
      <c r="C3459" s="2" t="str">
        <f aca="false">'Raw Data'!D3459</f>
        <v>Sales</v>
      </c>
      <c r="D3459" s="2" t="str">
        <f aca="false">'Raw Data'!K3459</f>
        <v>Research Scientist</v>
      </c>
      <c r="E3459" s="2" t="n">
        <f aca="false">'Raw Data'!Q3459</f>
        <v>18</v>
      </c>
      <c r="F3459" s="2" t="n">
        <f aca="false">'Raw Data'!U3459</f>
        <v>0</v>
      </c>
      <c r="G3459" s="2" t="n">
        <f aca="false">'Raw Data'!W3459</f>
        <v>4</v>
      </c>
      <c r="H3459" s="2" t="n">
        <f aca="false">'Raw Data'!V3459</f>
        <v>3</v>
      </c>
      <c r="I3459" s="2" t="n">
        <f aca="false">IF(AND(ISNUMBER(B3459),B3459&lt;=25),2,0)+IF(AND(ISNUMBER(E3459),E3459&lt;=5),2,0)+IF(AND(ISNUMBER(F3459),F3459&lt;=1),2,0)+IF(AND(ISNUMBER(G3459),G3459&lt;=2),1,0)+IF(AND(ISNUMBER(H3459),H3459&lt;=2),1,0)</f>
        <v>2</v>
      </c>
      <c r="J3459" s="2" t="str">
        <f aca="false">IF(I3459&gt;=6,"High",IF(I3459&gt;=3,"Medium","Low"))</f>
        <v>Low</v>
      </c>
    </row>
    <row r="3460" customFormat="false" ht="15" hidden="false" customHeight="true" outlineLevel="0" collapsed="false">
      <c r="A3460" s="2" t="n">
        <f aca="false">'Raw Data'!H3460</f>
        <v>3459</v>
      </c>
      <c r="B3460" s="2" t="n">
        <f aca="false">'Raw Data'!A3460</f>
        <v>20</v>
      </c>
      <c r="C3460" s="2" t="str">
        <f aca="false">'Raw Data'!D3460</f>
        <v>Sales</v>
      </c>
      <c r="D3460" s="2" t="str">
        <f aca="false">'Raw Data'!K3460</f>
        <v>Sales Executive</v>
      </c>
      <c r="E3460" s="2" t="n">
        <f aca="false">'Raw Data'!Q3460</f>
        <v>2</v>
      </c>
      <c r="F3460" s="2" t="n">
        <f aca="false">'Raw Data'!U3460</f>
        <v>2</v>
      </c>
      <c r="G3460" s="2" t="n">
        <f aca="false">'Raw Data'!W3460</f>
        <v>4</v>
      </c>
      <c r="H3460" s="2" t="n">
        <f aca="false">'Raw Data'!V3460</f>
        <v>4</v>
      </c>
      <c r="I3460" s="2" t="n">
        <f aca="false">IF(AND(ISNUMBER(B3460),B3460&lt;=25),2,0)+IF(AND(ISNUMBER(E3460),E3460&lt;=5),2,0)+IF(AND(ISNUMBER(F3460),F3460&lt;=1),2,0)+IF(AND(ISNUMBER(G3460),G3460&lt;=2),1,0)+IF(AND(ISNUMBER(H3460),H3460&lt;=2),1,0)</f>
        <v>4</v>
      </c>
      <c r="J3460" s="2" t="str">
        <f aca="false">IF(I3460&gt;=6,"High",IF(I3460&gt;=3,"Medium","Low"))</f>
        <v>Medium</v>
      </c>
    </row>
    <row r="3461" customFormat="false" ht="15" hidden="false" customHeight="true" outlineLevel="0" collapsed="false">
      <c r="A3461" s="2" t="n">
        <f aca="false">'Raw Data'!H3461</f>
        <v>3460</v>
      </c>
      <c r="B3461" s="2" t="n">
        <f aca="false">'Raw Data'!A3461</f>
        <v>21</v>
      </c>
      <c r="C3461" s="2" t="str">
        <f aca="false">'Raw Data'!D3461</f>
        <v>Research &amp; Development</v>
      </c>
      <c r="D3461" s="2" t="str">
        <f aca="false">'Raw Data'!K3461</f>
        <v>Manager</v>
      </c>
      <c r="E3461" s="2" t="n">
        <f aca="false">'Raw Data'!Q3461</f>
        <v>1</v>
      </c>
      <c r="F3461" s="2" t="n">
        <f aca="false">'Raw Data'!U3461</f>
        <v>0</v>
      </c>
      <c r="G3461" s="2" t="n">
        <f aca="false">'Raw Data'!W3461</f>
        <v>1</v>
      </c>
      <c r="H3461" s="2" t="n">
        <f aca="false">'Raw Data'!V3461</f>
        <v>3</v>
      </c>
      <c r="I3461" s="2" t="n">
        <f aca="false">IF(AND(ISNUMBER(B3461),B3461&lt;=25),2,0)+IF(AND(ISNUMBER(E3461),E3461&lt;=5),2,0)+IF(AND(ISNUMBER(F3461),F3461&lt;=1),2,0)+IF(AND(ISNUMBER(G3461),G3461&lt;=2),1,0)+IF(AND(ISNUMBER(H3461),H3461&lt;=2),1,0)</f>
        <v>7</v>
      </c>
      <c r="J3461" s="2" t="str">
        <f aca="false">IF(I3461&gt;=6,"High",IF(I3461&gt;=3,"Medium","Low"))</f>
        <v>High</v>
      </c>
    </row>
    <row r="3462" customFormat="false" ht="15" hidden="false" customHeight="true" outlineLevel="0" collapsed="false">
      <c r="A3462" s="2" t="n">
        <f aca="false">'Raw Data'!H3462</f>
        <v>3461</v>
      </c>
      <c r="B3462" s="2" t="n">
        <f aca="false">'Raw Data'!A3462</f>
        <v>46</v>
      </c>
      <c r="C3462" s="2" t="str">
        <f aca="false">'Raw Data'!D3462</f>
        <v>Sales</v>
      </c>
      <c r="D3462" s="2" t="str">
        <f aca="false">'Raw Data'!K3462</f>
        <v>Healthcare Representative</v>
      </c>
      <c r="E3462" s="2" t="n">
        <f aca="false">'Raw Data'!Q3462</f>
        <v>19</v>
      </c>
      <c r="F3462" s="2" t="n">
        <f aca="false">'Raw Data'!U3462</f>
        <v>7</v>
      </c>
      <c r="G3462" s="2" t="n">
        <f aca="false">'Raw Data'!W3462</f>
        <v>1</v>
      </c>
      <c r="H3462" s="2" t="n">
        <f aca="false">'Raw Data'!V3462</f>
        <v>4</v>
      </c>
      <c r="I3462" s="2" t="n">
        <f aca="false">IF(AND(ISNUMBER(B3462),B3462&lt;=25),2,0)+IF(AND(ISNUMBER(E3462),E3462&lt;=5),2,0)+IF(AND(ISNUMBER(F3462),F3462&lt;=1),2,0)+IF(AND(ISNUMBER(G3462),G3462&lt;=2),1,0)+IF(AND(ISNUMBER(H3462),H3462&lt;=2),1,0)</f>
        <v>1</v>
      </c>
      <c r="J3462" s="2" t="str">
        <f aca="false">IF(I3462&gt;=6,"High",IF(I3462&gt;=3,"Medium","Low"))</f>
        <v>Low</v>
      </c>
    </row>
    <row r="3463" customFormat="false" ht="15" hidden="false" customHeight="true" outlineLevel="0" collapsed="false">
      <c r="A3463" s="2" t="n">
        <f aca="false">'Raw Data'!H3463</f>
        <v>3462</v>
      </c>
      <c r="B3463" s="2" t="n">
        <f aca="false">'Raw Data'!A3463</f>
        <v>51</v>
      </c>
      <c r="C3463" s="2" t="str">
        <f aca="false">'Raw Data'!D3463</f>
        <v>Sales</v>
      </c>
      <c r="D3463" s="2" t="str">
        <f aca="false">'Raw Data'!K3463</f>
        <v>Research Scientist</v>
      </c>
      <c r="E3463" s="2" t="n">
        <f aca="false">'Raw Data'!Q3463</f>
        <v>18</v>
      </c>
      <c r="F3463" s="2" t="n">
        <f aca="false">'Raw Data'!U3463</f>
        <v>7</v>
      </c>
      <c r="G3463" s="2" t="n">
        <f aca="false">'Raw Data'!W3463</f>
        <v>3</v>
      </c>
      <c r="H3463" s="2" t="n">
        <f aca="false">'Raw Data'!V3463</f>
        <v>1</v>
      </c>
      <c r="I3463" s="2" t="n">
        <f aca="false">IF(AND(ISNUMBER(B3463),B3463&lt;=25),2,0)+IF(AND(ISNUMBER(E3463),E3463&lt;=5),2,0)+IF(AND(ISNUMBER(F3463),F3463&lt;=1),2,0)+IF(AND(ISNUMBER(G3463),G3463&lt;=2),1,0)+IF(AND(ISNUMBER(H3463),H3463&lt;=2),1,0)</f>
        <v>1</v>
      </c>
      <c r="J3463" s="2" t="str">
        <f aca="false">IF(I3463&gt;=6,"High",IF(I3463&gt;=3,"Medium","Low"))</f>
        <v>Low</v>
      </c>
    </row>
    <row r="3464" customFormat="false" ht="15" hidden="false" customHeight="true" outlineLevel="0" collapsed="false">
      <c r="A3464" s="2" t="n">
        <f aca="false">'Raw Data'!H3464</f>
        <v>3463</v>
      </c>
      <c r="B3464" s="2" t="n">
        <f aca="false">'Raw Data'!A3464</f>
        <v>28</v>
      </c>
      <c r="C3464" s="2" t="str">
        <f aca="false">'Raw Data'!D3464</f>
        <v>Research &amp; Development</v>
      </c>
      <c r="D3464" s="2" t="str">
        <f aca="false">'Raw Data'!K3464</f>
        <v>Laboratory Technician</v>
      </c>
      <c r="E3464" s="2" t="n">
        <f aca="false">'Raw Data'!Q3464</f>
        <v>10</v>
      </c>
      <c r="F3464" s="2" t="n">
        <f aca="false">'Raw Data'!U3464</f>
        <v>9</v>
      </c>
      <c r="G3464" s="2" t="n">
        <f aca="false">'Raw Data'!W3464</f>
        <v>1</v>
      </c>
      <c r="H3464" s="2" t="n">
        <f aca="false">'Raw Data'!V3464</f>
        <v>2</v>
      </c>
      <c r="I3464" s="2" t="n">
        <f aca="false">IF(AND(ISNUMBER(B3464),B3464&lt;=25),2,0)+IF(AND(ISNUMBER(E3464),E3464&lt;=5),2,0)+IF(AND(ISNUMBER(F3464),F3464&lt;=1),2,0)+IF(AND(ISNUMBER(G3464),G3464&lt;=2),1,0)+IF(AND(ISNUMBER(H3464),H3464&lt;=2),1,0)</f>
        <v>2</v>
      </c>
      <c r="J3464" s="2" t="str">
        <f aca="false">IF(I3464&gt;=6,"High",IF(I3464&gt;=3,"Medium","Low"))</f>
        <v>Low</v>
      </c>
    </row>
    <row r="3465" customFormat="false" ht="15" hidden="false" customHeight="true" outlineLevel="0" collapsed="false">
      <c r="A3465" s="2" t="n">
        <f aca="false">'Raw Data'!H3465</f>
        <v>3464</v>
      </c>
      <c r="B3465" s="2" t="n">
        <f aca="false">'Raw Data'!A3465</f>
        <v>26</v>
      </c>
      <c r="C3465" s="2" t="str">
        <f aca="false">'Raw Data'!D3465</f>
        <v>Research &amp; Development</v>
      </c>
      <c r="D3465" s="2" t="str">
        <f aca="false">'Raw Data'!K3465</f>
        <v>Sales Executive</v>
      </c>
      <c r="E3465" s="2" t="n">
        <f aca="false">'Raw Data'!Q3465</f>
        <v>6</v>
      </c>
      <c r="F3465" s="2" t="n">
        <f aca="false">'Raw Data'!U3465</f>
        <v>3</v>
      </c>
      <c r="G3465" s="2" t="n">
        <f aca="false">'Raw Data'!W3465</f>
        <v>1</v>
      </c>
      <c r="H3465" s="2" t="n">
        <f aca="false">'Raw Data'!V3465</f>
        <v>1</v>
      </c>
      <c r="I3465" s="2" t="n">
        <f aca="false">IF(AND(ISNUMBER(B3465),B3465&lt;=25),2,0)+IF(AND(ISNUMBER(E3465),E3465&lt;=5),2,0)+IF(AND(ISNUMBER(F3465),F3465&lt;=1),2,0)+IF(AND(ISNUMBER(G3465),G3465&lt;=2),1,0)+IF(AND(ISNUMBER(H3465),H3465&lt;=2),1,0)</f>
        <v>2</v>
      </c>
      <c r="J3465" s="2" t="str">
        <f aca="false">IF(I3465&gt;=6,"High",IF(I3465&gt;=3,"Medium","Low"))</f>
        <v>Low</v>
      </c>
    </row>
    <row r="3466" customFormat="false" ht="15" hidden="false" customHeight="true" outlineLevel="0" collapsed="false">
      <c r="A3466" s="2" t="n">
        <f aca="false">'Raw Data'!H3466</f>
        <v>3465</v>
      </c>
      <c r="B3466" s="2" t="n">
        <f aca="false">'Raw Data'!A3466</f>
        <v>30</v>
      </c>
      <c r="C3466" s="2" t="str">
        <f aca="false">'Raw Data'!D3466</f>
        <v>Research &amp; Development</v>
      </c>
      <c r="D3466" s="2" t="str">
        <f aca="false">'Raw Data'!K3466</f>
        <v>Sales Executive</v>
      </c>
      <c r="E3466" s="2" t="n">
        <f aca="false">'Raw Data'!Q3466</f>
        <v>7</v>
      </c>
      <c r="F3466" s="2" t="n">
        <f aca="false">'Raw Data'!U3466</f>
        <v>2</v>
      </c>
      <c r="G3466" s="2" t="n">
        <f aca="false">'Raw Data'!W3466</f>
        <v>1</v>
      </c>
      <c r="H3466" s="2" t="n">
        <f aca="false">'Raw Data'!V3466</f>
        <v>3</v>
      </c>
      <c r="I3466" s="2" t="n">
        <f aca="false">IF(AND(ISNUMBER(B3466),B3466&lt;=25),2,0)+IF(AND(ISNUMBER(E3466),E3466&lt;=5),2,0)+IF(AND(ISNUMBER(F3466),F3466&lt;=1),2,0)+IF(AND(ISNUMBER(G3466),G3466&lt;=2),1,0)+IF(AND(ISNUMBER(H3466),H3466&lt;=2),1,0)</f>
        <v>1</v>
      </c>
      <c r="J3466" s="2" t="str">
        <f aca="false">IF(I3466&gt;=6,"High",IF(I3466&gt;=3,"Medium","Low"))</f>
        <v>Low</v>
      </c>
    </row>
    <row r="3467" customFormat="false" ht="15" hidden="false" customHeight="true" outlineLevel="0" collapsed="false">
      <c r="A3467" s="2" t="n">
        <f aca="false">'Raw Data'!H3467</f>
        <v>3466</v>
      </c>
      <c r="B3467" s="2" t="n">
        <f aca="false">'Raw Data'!A3467</f>
        <v>41</v>
      </c>
      <c r="C3467" s="2" t="str">
        <f aca="false">'Raw Data'!D3467</f>
        <v>Sales</v>
      </c>
      <c r="D3467" s="2" t="str">
        <f aca="false">'Raw Data'!K3467</f>
        <v>Research Director</v>
      </c>
      <c r="E3467" s="2" t="n">
        <f aca="false">'Raw Data'!Q3467</f>
        <v>10</v>
      </c>
      <c r="F3467" s="2" t="n">
        <f aca="false">'Raw Data'!U3467</f>
        <v>8</v>
      </c>
      <c r="G3467" s="2" t="n">
        <f aca="false">'Raw Data'!W3467</f>
        <v>3</v>
      </c>
      <c r="H3467" s="2" t="n">
        <f aca="false">'Raw Data'!V3467</f>
        <v>2</v>
      </c>
      <c r="I3467" s="2" t="n">
        <f aca="false">IF(AND(ISNUMBER(B3467),B3467&lt;=25),2,0)+IF(AND(ISNUMBER(E3467),E3467&lt;=5),2,0)+IF(AND(ISNUMBER(F3467),F3467&lt;=1),2,0)+IF(AND(ISNUMBER(G3467),G3467&lt;=2),1,0)+IF(AND(ISNUMBER(H3467),H3467&lt;=2),1,0)</f>
        <v>1</v>
      </c>
      <c r="J3467" s="2" t="str">
        <f aca="false">IF(I3467&gt;=6,"High",IF(I3467&gt;=3,"Medium","Low"))</f>
        <v>Low</v>
      </c>
    </row>
    <row r="3468" customFormat="false" ht="15" hidden="false" customHeight="true" outlineLevel="0" collapsed="false">
      <c r="A3468" s="2" t="n">
        <f aca="false">'Raw Data'!H3468</f>
        <v>3467</v>
      </c>
      <c r="B3468" s="2" t="n">
        <f aca="false">'Raw Data'!A3468</f>
        <v>38</v>
      </c>
      <c r="C3468" s="2" t="str">
        <f aca="false">'Raw Data'!D3468</f>
        <v>Research &amp; Development</v>
      </c>
      <c r="D3468" s="2" t="str">
        <f aca="false">'Raw Data'!K3468</f>
        <v>Sales Executive</v>
      </c>
      <c r="E3468" s="2" t="n">
        <f aca="false">'Raw Data'!Q3468</f>
        <v>20</v>
      </c>
      <c r="F3468" s="2" t="n">
        <f aca="false">'Raw Data'!U3468</f>
        <v>9</v>
      </c>
      <c r="G3468" s="2" t="n">
        <f aca="false">'Raw Data'!W3468</f>
        <v>3</v>
      </c>
      <c r="H3468" s="2" t="n">
        <f aca="false">'Raw Data'!V3468</f>
        <v>3</v>
      </c>
      <c r="I3468" s="2" t="n">
        <f aca="false">IF(AND(ISNUMBER(B3468),B3468&lt;=25),2,0)+IF(AND(ISNUMBER(E3468),E3468&lt;=5),2,0)+IF(AND(ISNUMBER(F3468),F3468&lt;=1),2,0)+IF(AND(ISNUMBER(G3468),G3468&lt;=2),1,0)+IF(AND(ISNUMBER(H3468),H3468&lt;=2),1,0)</f>
        <v>0</v>
      </c>
      <c r="J3468" s="2" t="str">
        <f aca="false">IF(I3468&gt;=6,"High",IF(I3468&gt;=3,"Medium","Low"))</f>
        <v>Low</v>
      </c>
    </row>
    <row r="3469" customFormat="false" ht="15" hidden="false" customHeight="true" outlineLevel="0" collapsed="false">
      <c r="A3469" s="2" t="n">
        <f aca="false">'Raw Data'!H3469</f>
        <v>3468</v>
      </c>
      <c r="B3469" s="2" t="n">
        <f aca="false">'Raw Data'!A3469</f>
        <v>40</v>
      </c>
      <c r="C3469" s="2" t="str">
        <f aca="false">'Raw Data'!D3469</f>
        <v>Sales</v>
      </c>
      <c r="D3469" s="2" t="str">
        <f aca="false">'Raw Data'!K3469</f>
        <v>Sales Executive</v>
      </c>
      <c r="E3469" s="2" t="n">
        <f aca="false">'Raw Data'!Q3469</f>
        <v>14</v>
      </c>
      <c r="F3469" s="2" t="n">
        <f aca="false">'Raw Data'!U3469</f>
        <v>1</v>
      </c>
      <c r="G3469" s="2" t="n">
        <f aca="false">'Raw Data'!W3469</f>
        <v>4</v>
      </c>
      <c r="H3469" s="2" t="n">
        <f aca="false">'Raw Data'!V3469</f>
        <v>1</v>
      </c>
      <c r="I3469" s="2" t="n">
        <f aca="false">IF(AND(ISNUMBER(B3469),B3469&lt;=25),2,0)+IF(AND(ISNUMBER(E3469),E3469&lt;=5),2,0)+IF(AND(ISNUMBER(F3469),F3469&lt;=1),2,0)+IF(AND(ISNUMBER(G3469),G3469&lt;=2),1,0)+IF(AND(ISNUMBER(H3469),H3469&lt;=2),1,0)</f>
        <v>3</v>
      </c>
      <c r="J3469" s="2" t="str">
        <f aca="false">IF(I3469&gt;=6,"High",IF(I3469&gt;=3,"Medium","Low"))</f>
        <v>Medium</v>
      </c>
    </row>
    <row r="3470" customFormat="false" ht="15" hidden="false" customHeight="true" outlineLevel="0" collapsed="false">
      <c r="A3470" s="2" t="n">
        <f aca="false">'Raw Data'!H3470</f>
        <v>3469</v>
      </c>
      <c r="B3470" s="2" t="n">
        <f aca="false">'Raw Data'!A3470</f>
        <v>27</v>
      </c>
      <c r="C3470" s="2" t="str">
        <f aca="false">'Raw Data'!D3470</f>
        <v>Sales</v>
      </c>
      <c r="D3470" s="2" t="str">
        <f aca="false">'Raw Data'!K3470</f>
        <v>Laboratory Technician</v>
      </c>
      <c r="E3470" s="2" t="n">
        <f aca="false">'Raw Data'!Q3470</f>
        <v>3</v>
      </c>
      <c r="F3470" s="2" t="n">
        <f aca="false">'Raw Data'!U3470</f>
        <v>2</v>
      </c>
      <c r="G3470" s="2" t="n">
        <f aca="false">'Raw Data'!W3470</f>
        <v>3</v>
      </c>
      <c r="H3470" s="2" t="n">
        <f aca="false">'Raw Data'!V3470</f>
        <v>1</v>
      </c>
      <c r="I3470" s="2" t="n">
        <f aca="false">IF(AND(ISNUMBER(B3470),B3470&lt;=25),2,0)+IF(AND(ISNUMBER(E3470),E3470&lt;=5),2,0)+IF(AND(ISNUMBER(F3470),F3470&lt;=1),2,0)+IF(AND(ISNUMBER(G3470),G3470&lt;=2),1,0)+IF(AND(ISNUMBER(H3470),H3470&lt;=2),1,0)</f>
        <v>3</v>
      </c>
      <c r="J3470" s="2" t="str">
        <f aca="false">IF(I3470&gt;=6,"High",IF(I3470&gt;=3,"Medium","Low"))</f>
        <v>Medium</v>
      </c>
    </row>
    <row r="3471" customFormat="false" ht="15" hidden="false" customHeight="true" outlineLevel="0" collapsed="false">
      <c r="A3471" s="2" t="n">
        <f aca="false">'Raw Data'!H3471</f>
        <v>3470</v>
      </c>
      <c r="B3471" s="2" t="n">
        <f aca="false">'Raw Data'!A3471</f>
        <v>55</v>
      </c>
      <c r="C3471" s="2" t="str">
        <f aca="false">'Raw Data'!D3471</f>
        <v>Research &amp; Development</v>
      </c>
      <c r="D3471" s="2" t="str">
        <f aca="false">'Raw Data'!K3471</f>
        <v>Laboratory Technician</v>
      </c>
      <c r="E3471" s="2" t="n">
        <f aca="false">'Raw Data'!Q3471</f>
        <v>23</v>
      </c>
      <c r="F3471" s="2" t="n">
        <f aca="false">'Raw Data'!U3471</f>
        <v>2</v>
      </c>
      <c r="G3471" s="2" t="n">
        <f aca="false">'Raw Data'!W3471</f>
        <v>2</v>
      </c>
      <c r="H3471" s="2" t="n">
        <f aca="false">'Raw Data'!V3471</f>
        <v>4</v>
      </c>
      <c r="I3471" s="2" t="n">
        <f aca="false">IF(AND(ISNUMBER(B3471),B3471&lt;=25),2,0)+IF(AND(ISNUMBER(E3471),E3471&lt;=5),2,0)+IF(AND(ISNUMBER(F3471),F3471&lt;=1),2,0)+IF(AND(ISNUMBER(G3471),G3471&lt;=2),1,0)+IF(AND(ISNUMBER(H3471),H3471&lt;=2),1,0)</f>
        <v>1</v>
      </c>
      <c r="J3471" s="2" t="str">
        <f aca="false">IF(I3471&gt;=6,"High",IF(I3471&gt;=3,"Medium","Low"))</f>
        <v>Low</v>
      </c>
    </row>
    <row r="3472" customFormat="false" ht="15" hidden="false" customHeight="true" outlineLevel="0" collapsed="false">
      <c r="A3472" s="2" t="n">
        <f aca="false">'Raw Data'!H3472</f>
        <v>3471</v>
      </c>
      <c r="B3472" s="2" t="n">
        <f aca="false">'Raw Data'!A3472</f>
        <v>28</v>
      </c>
      <c r="C3472" s="2" t="str">
        <f aca="false">'Raw Data'!D3472</f>
        <v>Research &amp; Development</v>
      </c>
      <c r="D3472" s="2" t="str">
        <f aca="false">'Raw Data'!K3472</f>
        <v>Healthcare Representative</v>
      </c>
      <c r="E3472" s="2" t="n">
        <f aca="false">'Raw Data'!Q3472</f>
        <v>10</v>
      </c>
      <c r="F3472" s="2" t="n">
        <f aca="false">'Raw Data'!U3472</f>
        <v>7</v>
      </c>
      <c r="G3472" s="2" t="n">
        <f aca="false">'Raw Data'!W3472</f>
        <v>3</v>
      </c>
      <c r="H3472" s="2" t="n">
        <f aca="false">'Raw Data'!V3472</f>
        <v>3</v>
      </c>
      <c r="I3472" s="2" t="n">
        <f aca="false">IF(AND(ISNUMBER(B3472),B3472&lt;=25),2,0)+IF(AND(ISNUMBER(E3472),E3472&lt;=5),2,0)+IF(AND(ISNUMBER(F3472),F3472&lt;=1),2,0)+IF(AND(ISNUMBER(G3472),G3472&lt;=2),1,0)+IF(AND(ISNUMBER(H3472),H3472&lt;=2),1,0)</f>
        <v>0</v>
      </c>
      <c r="J3472" s="2" t="str">
        <f aca="false">IF(I3472&gt;=6,"High",IF(I3472&gt;=3,"Medium","Low"))</f>
        <v>Low</v>
      </c>
    </row>
    <row r="3473" customFormat="false" ht="15" hidden="false" customHeight="true" outlineLevel="0" collapsed="false">
      <c r="A3473" s="2" t="n">
        <f aca="false">'Raw Data'!H3473</f>
        <v>3472</v>
      </c>
      <c r="B3473" s="2" t="n">
        <f aca="false">'Raw Data'!A3473</f>
        <v>44</v>
      </c>
      <c r="C3473" s="2" t="str">
        <f aca="false">'Raw Data'!D3473</f>
        <v>Research &amp; Development</v>
      </c>
      <c r="D3473" s="2" t="str">
        <f aca="false">'Raw Data'!K3473</f>
        <v>Sales Executive</v>
      </c>
      <c r="E3473" s="2" t="n">
        <f aca="false">'Raw Data'!Q3473</f>
        <v>24</v>
      </c>
      <c r="F3473" s="2" t="n">
        <f aca="false">'Raw Data'!U3473</f>
        <v>6</v>
      </c>
      <c r="G3473" s="2" t="n">
        <f aca="false">'Raw Data'!W3473</f>
        <v>1</v>
      </c>
      <c r="H3473" s="2" t="n">
        <f aca="false">'Raw Data'!V3473</f>
        <v>2</v>
      </c>
      <c r="I3473" s="2" t="n">
        <f aca="false">IF(AND(ISNUMBER(B3473),B3473&lt;=25),2,0)+IF(AND(ISNUMBER(E3473),E3473&lt;=5),2,0)+IF(AND(ISNUMBER(F3473),F3473&lt;=1),2,0)+IF(AND(ISNUMBER(G3473),G3473&lt;=2),1,0)+IF(AND(ISNUMBER(H3473),H3473&lt;=2),1,0)</f>
        <v>2</v>
      </c>
      <c r="J3473" s="2" t="str">
        <f aca="false">IF(I3473&gt;=6,"High",IF(I3473&gt;=3,"Medium","Low"))</f>
        <v>Low</v>
      </c>
    </row>
    <row r="3474" customFormat="false" ht="15" hidden="false" customHeight="true" outlineLevel="0" collapsed="false">
      <c r="A3474" s="2" t="n">
        <f aca="false">'Raw Data'!H3474</f>
        <v>3473</v>
      </c>
      <c r="B3474" s="2" t="n">
        <f aca="false">'Raw Data'!A3474</f>
        <v>33</v>
      </c>
      <c r="C3474" s="2" t="str">
        <f aca="false">'Raw Data'!D3474</f>
        <v>Sales</v>
      </c>
      <c r="D3474" s="2" t="str">
        <f aca="false">'Raw Data'!K3474</f>
        <v>Sales Executive</v>
      </c>
      <c r="E3474" s="2" t="n">
        <f aca="false">'Raw Data'!Q3474</f>
        <v>9</v>
      </c>
      <c r="F3474" s="2" t="n">
        <f aca="false">'Raw Data'!U3474</f>
        <v>2</v>
      </c>
      <c r="G3474" s="2" t="n">
        <f aca="false">'Raw Data'!W3474</f>
        <v>4</v>
      </c>
      <c r="H3474" s="2" t="n">
        <f aca="false">'Raw Data'!V3474</f>
        <v>4</v>
      </c>
      <c r="I3474" s="2" t="n">
        <f aca="false">IF(AND(ISNUMBER(B3474),B3474&lt;=25),2,0)+IF(AND(ISNUMBER(E3474),E3474&lt;=5),2,0)+IF(AND(ISNUMBER(F3474),F3474&lt;=1),2,0)+IF(AND(ISNUMBER(G3474),G3474&lt;=2),1,0)+IF(AND(ISNUMBER(H3474),H3474&lt;=2),1,0)</f>
        <v>0</v>
      </c>
      <c r="J3474" s="2" t="str">
        <f aca="false">IF(I3474&gt;=6,"High",IF(I3474&gt;=3,"Medium","Low"))</f>
        <v>Low</v>
      </c>
    </row>
    <row r="3475" customFormat="false" ht="15" hidden="false" customHeight="true" outlineLevel="0" collapsed="false">
      <c r="A3475" s="2" t="n">
        <f aca="false">'Raw Data'!H3475</f>
        <v>3474</v>
      </c>
      <c r="B3475" s="2" t="n">
        <f aca="false">'Raw Data'!A3475</f>
        <v>35</v>
      </c>
      <c r="C3475" s="2" t="str">
        <f aca="false">'Raw Data'!D3475</f>
        <v>Sales</v>
      </c>
      <c r="D3475" s="2" t="str">
        <f aca="false">'Raw Data'!K3475</f>
        <v>Sales Representative</v>
      </c>
      <c r="E3475" s="2" t="n">
        <f aca="false">'Raw Data'!Q3475</f>
        <v>9</v>
      </c>
      <c r="F3475" s="2" t="n">
        <f aca="false">'Raw Data'!U3475</f>
        <v>7</v>
      </c>
      <c r="G3475" s="2" t="n">
        <f aca="false">'Raw Data'!W3475</f>
        <v>1</v>
      </c>
      <c r="H3475" s="2" t="n">
        <f aca="false">'Raw Data'!V3475</f>
        <v>4</v>
      </c>
      <c r="I3475" s="2" t="n">
        <f aca="false">IF(AND(ISNUMBER(B3475),B3475&lt;=25),2,0)+IF(AND(ISNUMBER(E3475),E3475&lt;=5),2,0)+IF(AND(ISNUMBER(F3475),F3475&lt;=1),2,0)+IF(AND(ISNUMBER(G3475),G3475&lt;=2),1,0)+IF(AND(ISNUMBER(H3475),H3475&lt;=2),1,0)</f>
        <v>1</v>
      </c>
      <c r="J3475" s="2" t="str">
        <f aca="false">IF(I3475&gt;=6,"High",IF(I3475&gt;=3,"Medium","Low"))</f>
        <v>Low</v>
      </c>
    </row>
    <row r="3476" customFormat="false" ht="15" hidden="false" customHeight="true" outlineLevel="0" collapsed="false">
      <c r="A3476" s="2" t="n">
        <f aca="false">'Raw Data'!H3476</f>
        <v>3475</v>
      </c>
      <c r="B3476" s="2" t="n">
        <f aca="false">'Raw Data'!A3476</f>
        <v>33</v>
      </c>
      <c r="C3476" s="2" t="str">
        <f aca="false">'Raw Data'!D3476</f>
        <v>Research &amp; Development</v>
      </c>
      <c r="D3476" s="2" t="str">
        <f aca="false">'Raw Data'!K3476</f>
        <v>Sales Executive</v>
      </c>
      <c r="E3476" s="2" t="n">
        <f aca="false">'Raw Data'!Q3476</f>
        <v>14</v>
      </c>
      <c r="F3476" s="2" t="n">
        <f aca="false">'Raw Data'!U3476</f>
        <v>8</v>
      </c>
      <c r="G3476" s="2" t="n">
        <f aca="false">'Raw Data'!W3476</f>
        <v>3</v>
      </c>
      <c r="H3476" s="2" t="n">
        <f aca="false">'Raw Data'!V3476</f>
        <v>1</v>
      </c>
      <c r="I3476" s="2" t="n">
        <f aca="false">IF(AND(ISNUMBER(B3476),B3476&lt;=25),2,0)+IF(AND(ISNUMBER(E3476),E3476&lt;=5),2,0)+IF(AND(ISNUMBER(F3476),F3476&lt;=1),2,0)+IF(AND(ISNUMBER(G3476),G3476&lt;=2),1,0)+IF(AND(ISNUMBER(H3476),H3476&lt;=2),1,0)</f>
        <v>1</v>
      </c>
      <c r="J3476" s="2" t="str">
        <f aca="false">IF(I3476&gt;=6,"High",IF(I3476&gt;=3,"Medium","Low"))</f>
        <v>Low</v>
      </c>
    </row>
    <row r="3477" customFormat="false" ht="15" hidden="false" customHeight="true" outlineLevel="0" collapsed="false">
      <c r="A3477" s="2" t="n">
        <f aca="false">'Raw Data'!H3477</f>
        <v>3476</v>
      </c>
      <c r="B3477" s="2" t="n">
        <f aca="false">'Raw Data'!A3477</f>
        <v>28</v>
      </c>
      <c r="C3477" s="2" t="str">
        <f aca="false">'Raw Data'!D3477</f>
        <v>Human Resources</v>
      </c>
      <c r="D3477" s="2" t="str">
        <f aca="false">'Raw Data'!K3477</f>
        <v>Research Scientist</v>
      </c>
      <c r="E3477" s="2" t="n">
        <f aca="false">'Raw Data'!Q3477</f>
        <v>4</v>
      </c>
      <c r="F3477" s="2" t="n">
        <f aca="false">'Raw Data'!U3477</f>
        <v>2</v>
      </c>
      <c r="G3477" s="2" t="n">
        <f aca="false">'Raw Data'!W3477</f>
        <v>3</v>
      </c>
      <c r="H3477" s="2" t="n">
        <f aca="false">'Raw Data'!V3477</f>
        <v>1</v>
      </c>
      <c r="I3477" s="2" t="n">
        <f aca="false">IF(AND(ISNUMBER(B3477),B3477&lt;=25),2,0)+IF(AND(ISNUMBER(E3477),E3477&lt;=5),2,0)+IF(AND(ISNUMBER(F3477),F3477&lt;=1),2,0)+IF(AND(ISNUMBER(G3477),G3477&lt;=2),1,0)+IF(AND(ISNUMBER(H3477),H3477&lt;=2),1,0)</f>
        <v>3</v>
      </c>
      <c r="J3477" s="2" t="str">
        <f aca="false">IF(I3477&gt;=6,"High",IF(I3477&gt;=3,"Medium","Low"))</f>
        <v>Medium</v>
      </c>
    </row>
    <row r="3478" customFormat="false" ht="15" hidden="false" customHeight="true" outlineLevel="0" collapsed="false">
      <c r="A3478" s="2" t="n">
        <f aca="false">'Raw Data'!H3478</f>
        <v>3477</v>
      </c>
      <c r="B3478" s="2" t="n">
        <f aca="false">'Raw Data'!A3478</f>
        <v>34</v>
      </c>
      <c r="C3478" s="2" t="str">
        <f aca="false">'Raw Data'!D3478</f>
        <v>Sales</v>
      </c>
      <c r="D3478" s="2" t="str">
        <f aca="false">'Raw Data'!K3478</f>
        <v>Research Scientist</v>
      </c>
      <c r="E3478" s="2" t="n">
        <f aca="false">'Raw Data'!Q3478</f>
        <v>7</v>
      </c>
      <c r="F3478" s="2" t="n">
        <f aca="false">'Raw Data'!U3478</f>
        <v>4</v>
      </c>
      <c r="G3478" s="2" t="n">
        <f aca="false">'Raw Data'!W3478</f>
        <v>4</v>
      </c>
      <c r="H3478" s="2" t="n">
        <f aca="false">'Raw Data'!V3478</f>
        <v>1</v>
      </c>
      <c r="I3478" s="2" t="n">
        <f aca="false">IF(AND(ISNUMBER(B3478),B3478&lt;=25),2,0)+IF(AND(ISNUMBER(E3478),E3478&lt;=5),2,0)+IF(AND(ISNUMBER(F3478),F3478&lt;=1),2,0)+IF(AND(ISNUMBER(G3478),G3478&lt;=2),1,0)+IF(AND(ISNUMBER(H3478),H3478&lt;=2),1,0)</f>
        <v>1</v>
      </c>
      <c r="J3478" s="2" t="str">
        <f aca="false">IF(I3478&gt;=6,"High",IF(I3478&gt;=3,"Medium","Low"))</f>
        <v>Low</v>
      </c>
    </row>
    <row r="3479" customFormat="false" ht="15" hidden="false" customHeight="true" outlineLevel="0" collapsed="false">
      <c r="A3479" s="2" t="n">
        <f aca="false">'Raw Data'!H3479</f>
        <v>3478</v>
      </c>
      <c r="B3479" s="2" t="n">
        <f aca="false">'Raw Data'!A3479</f>
        <v>37</v>
      </c>
      <c r="C3479" s="2" t="str">
        <f aca="false">'Raw Data'!D3479</f>
        <v>Research &amp; Development</v>
      </c>
      <c r="D3479" s="2" t="str">
        <f aca="false">'Raw Data'!K3479</f>
        <v>Sales Executive</v>
      </c>
      <c r="E3479" s="2" t="n">
        <f aca="false">'Raw Data'!Q3479</f>
        <v>8</v>
      </c>
      <c r="F3479" s="2" t="n">
        <f aca="false">'Raw Data'!U3479</f>
        <v>0</v>
      </c>
      <c r="G3479" s="2" t="n">
        <f aca="false">'Raw Data'!W3479</f>
        <v>4</v>
      </c>
      <c r="H3479" s="2" t="n">
        <f aca="false">'Raw Data'!V3479</f>
        <v>4</v>
      </c>
      <c r="I3479" s="2" t="n">
        <f aca="false">IF(AND(ISNUMBER(B3479),B3479&lt;=25),2,0)+IF(AND(ISNUMBER(E3479),E3479&lt;=5),2,0)+IF(AND(ISNUMBER(F3479),F3479&lt;=1),2,0)+IF(AND(ISNUMBER(G3479),G3479&lt;=2),1,0)+IF(AND(ISNUMBER(H3479),H3479&lt;=2),1,0)</f>
        <v>2</v>
      </c>
      <c r="J3479" s="2" t="str">
        <f aca="false">IF(I3479&gt;=6,"High",IF(I3479&gt;=3,"Medium","Low"))</f>
        <v>Low</v>
      </c>
    </row>
    <row r="3480" customFormat="false" ht="15" hidden="false" customHeight="true" outlineLevel="0" collapsed="false">
      <c r="A3480" s="2" t="n">
        <f aca="false">'Raw Data'!H3480</f>
        <v>3479</v>
      </c>
      <c r="B3480" s="2" t="n">
        <f aca="false">'Raw Data'!A3480</f>
        <v>25</v>
      </c>
      <c r="C3480" s="2" t="str">
        <f aca="false">'Raw Data'!D3480</f>
        <v>Human Resources</v>
      </c>
      <c r="D3480" s="2" t="str">
        <f aca="false">'Raw Data'!K3480</f>
        <v>Research Scientist</v>
      </c>
      <c r="E3480" s="2" t="n">
        <f aca="false">'Raw Data'!Q3480</f>
        <v>7</v>
      </c>
      <c r="F3480" s="2" t="n">
        <f aca="false">'Raw Data'!U3480</f>
        <v>6</v>
      </c>
      <c r="G3480" s="2" t="n">
        <f aca="false">'Raw Data'!W3480</f>
        <v>4</v>
      </c>
      <c r="H3480" s="2" t="n">
        <f aca="false">'Raw Data'!V3480</f>
        <v>4</v>
      </c>
      <c r="I3480" s="2" t="n">
        <f aca="false">IF(AND(ISNUMBER(B3480),B3480&lt;=25),2,0)+IF(AND(ISNUMBER(E3480),E3480&lt;=5),2,0)+IF(AND(ISNUMBER(F3480),F3480&lt;=1),2,0)+IF(AND(ISNUMBER(G3480),G3480&lt;=2),1,0)+IF(AND(ISNUMBER(H3480),H3480&lt;=2),1,0)</f>
        <v>2</v>
      </c>
      <c r="J3480" s="2" t="str">
        <f aca="false">IF(I3480&gt;=6,"High",IF(I3480&gt;=3,"Medium","Low"))</f>
        <v>Low</v>
      </c>
    </row>
    <row r="3481" customFormat="false" ht="15" hidden="false" customHeight="true" outlineLevel="0" collapsed="false">
      <c r="A3481" s="2" t="n">
        <f aca="false">'Raw Data'!H3481</f>
        <v>3480</v>
      </c>
      <c r="B3481" s="2" t="n">
        <f aca="false">'Raw Data'!A3481</f>
        <v>26</v>
      </c>
      <c r="C3481" s="2" t="str">
        <f aca="false">'Raw Data'!D3481</f>
        <v>Sales</v>
      </c>
      <c r="D3481" s="2" t="str">
        <f aca="false">'Raw Data'!K3481</f>
        <v>Sales Executive</v>
      </c>
      <c r="E3481" s="2" t="n">
        <f aca="false">'Raw Data'!Q3481</f>
        <v>1</v>
      </c>
      <c r="F3481" s="2" t="n">
        <f aca="false">'Raw Data'!U3481</f>
        <v>0</v>
      </c>
      <c r="G3481" s="2" t="n">
        <f aca="false">'Raw Data'!W3481</f>
        <v>3</v>
      </c>
      <c r="H3481" s="2" t="n">
        <f aca="false">'Raw Data'!V3481</f>
        <v>1</v>
      </c>
      <c r="I3481" s="2" t="n">
        <f aca="false">IF(AND(ISNUMBER(B3481),B3481&lt;=25),2,0)+IF(AND(ISNUMBER(E3481),E3481&lt;=5),2,0)+IF(AND(ISNUMBER(F3481),F3481&lt;=1),2,0)+IF(AND(ISNUMBER(G3481),G3481&lt;=2),1,0)+IF(AND(ISNUMBER(H3481),H3481&lt;=2),1,0)</f>
        <v>5</v>
      </c>
      <c r="J3481" s="2" t="str">
        <f aca="false">IF(I3481&gt;=6,"High",IF(I3481&gt;=3,"Medium","Low"))</f>
        <v>Medium</v>
      </c>
    </row>
    <row r="3482" customFormat="false" ht="15" hidden="false" customHeight="true" outlineLevel="0" collapsed="false">
      <c r="A3482" s="2" t="n">
        <f aca="false">'Raw Data'!H3482</f>
        <v>3481</v>
      </c>
      <c r="B3482" s="2" t="n">
        <f aca="false">'Raw Data'!A3482</f>
        <v>33</v>
      </c>
      <c r="C3482" s="2" t="str">
        <f aca="false">'Raw Data'!D3482</f>
        <v>Research &amp; Development</v>
      </c>
      <c r="D3482" s="2" t="str">
        <f aca="false">'Raw Data'!K3482</f>
        <v>Manufacturing Director</v>
      </c>
      <c r="E3482" s="2" t="n">
        <f aca="false">'Raw Data'!Q3482</f>
        <v>5</v>
      </c>
      <c r="F3482" s="2" t="n">
        <f aca="false">'Raw Data'!U3482</f>
        <v>2</v>
      </c>
      <c r="G3482" s="2" t="n">
        <f aca="false">'Raw Data'!W3482</f>
        <v>2</v>
      </c>
      <c r="H3482" s="2" t="n">
        <f aca="false">'Raw Data'!V3482</f>
        <v>1</v>
      </c>
      <c r="I3482" s="2" t="n">
        <f aca="false">IF(AND(ISNUMBER(B3482),B3482&lt;=25),2,0)+IF(AND(ISNUMBER(E3482),E3482&lt;=5),2,0)+IF(AND(ISNUMBER(F3482),F3482&lt;=1),2,0)+IF(AND(ISNUMBER(G3482),G3482&lt;=2),1,0)+IF(AND(ISNUMBER(H3482),H3482&lt;=2),1,0)</f>
        <v>4</v>
      </c>
      <c r="J3482" s="2" t="str">
        <f aca="false">IF(I3482&gt;=6,"High",IF(I3482&gt;=3,"Medium","Low"))</f>
        <v>Medium</v>
      </c>
    </row>
    <row r="3483" customFormat="false" ht="15" hidden="false" customHeight="true" outlineLevel="0" collapsed="false">
      <c r="A3483" s="2" t="n">
        <f aca="false">'Raw Data'!H3483</f>
        <v>3482</v>
      </c>
      <c r="B3483" s="2" t="n">
        <f aca="false">'Raw Data'!A3483</f>
        <v>42</v>
      </c>
      <c r="C3483" s="2" t="str">
        <f aca="false">'Raw Data'!D3483</f>
        <v>Research &amp; Development</v>
      </c>
      <c r="D3483" s="2" t="str">
        <f aca="false">'Raw Data'!K3483</f>
        <v>Research Scientist</v>
      </c>
      <c r="E3483" s="2" t="n">
        <f aca="false">'Raw Data'!Q3483</f>
        <v>23</v>
      </c>
      <c r="F3483" s="2" t="n">
        <f aca="false">'Raw Data'!U3483</f>
        <v>7</v>
      </c>
      <c r="G3483" s="2" t="n">
        <f aca="false">'Raw Data'!W3483</f>
        <v>1</v>
      </c>
      <c r="H3483" s="2" t="n">
        <f aca="false">'Raw Data'!V3483</f>
        <v>4</v>
      </c>
      <c r="I3483" s="2" t="n">
        <f aca="false">IF(AND(ISNUMBER(B3483),B3483&lt;=25),2,0)+IF(AND(ISNUMBER(E3483),E3483&lt;=5),2,0)+IF(AND(ISNUMBER(F3483),F3483&lt;=1),2,0)+IF(AND(ISNUMBER(G3483),G3483&lt;=2),1,0)+IF(AND(ISNUMBER(H3483),H3483&lt;=2),1,0)</f>
        <v>1</v>
      </c>
      <c r="J3483" s="2" t="str">
        <f aca="false">IF(I3483&gt;=6,"High",IF(I3483&gt;=3,"Medium","Low"))</f>
        <v>Low</v>
      </c>
    </row>
    <row r="3484" customFormat="false" ht="15" hidden="false" customHeight="true" outlineLevel="0" collapsed="false">
      <c r="A3484" s="2" t="n">
        <f aca="false">'Raw Data'!H3484</f>
        <v>3483</v>
      </c>
      <c r="B3484" s="2" t="n">
        <f aca="false">'Raw Data'!A3484</f>
        <v>28</v>
      </c>
      <c r="C3484" s="2" t="str">
        <f aca="false">'Raw Data'!D3484</f>
        <v>Research &amp; Development</v>
      </c>
      <c r="D3484" s="2" t="str">
        <f aca="false">'Raw Data'!K3484</f>
        <v>Manager</v>
      </c>
      <c r="E3484" s="2" t="n">
        <f aca="false">'Raw Data'!Q3484</f>
        <v>1</v>
      </c>
      <c r="F3484" s="2" t="n">
        <f aca="false">'Raw Data'!U3484</f>
        <v>0</v>
      </c>
      <c r="G3484" s="2" t="n">
        <f aca="false">'Raw Data'!W3484</f>
        <v>2</v>
      </c>
      <c r="H3484" s="2" t="n">
        <f aca="false">'Raw Data'!V3484</f>
        <v>1</v>
      </c>
      <c r="I3484" s="2" t="n">
        <f aca="false">IF(AND(ISNUMBER(B3484),B3484&lt;=25),2,0)+IF(AND(ISNUMBER(E3484),E3484&lt;=5),2,0)+IF(AND(ISNUMBER(F3484),F3484&lt;=1),2,0)+IF(AND(ISNUMBER(G3484),G3484&lt;=2),1,0)+IF(AND(ISNUMBER(H3484),H3484&lt;=2),1,0)</f>
        <v>6</v>
      </c>
      <c r="J3484" s="2" t="str">
        <f aca="false">IF(I3484&gt;=6,"High",IF(I3484&gt;=3,"Medium","Low"))</f>
        <v>High</v>
      </c>
    </row>
    <row r="3485" customFormat="false" ht="15" hidden="false" customHeight="true" outlineLevel="0" collapsed="false">
      <c r="A3485" s="2" t="n">
        <f aca="false">'Raw Data'!H3485</f>
        <v>3484</v>
      </c>
      <c r="B3485" s="2" t="n">
        <f aca="false">'Raw Data'!A3485</f>
        <v>50</v>
      </c>
      <c r="C3485" s="2" t="str">
        <f aca="false">'Raw Data'!D3485</f>
        <v>Research &amp; Development</v>
      </c>
      <c r="D3485" s="2" t="str">
        <f aca="false">'Raw Data'!K3485</f>
        <v>Research Scientist</v>
      </c>
      <c r="E3485" s="2" t="n">
        <f aca="false">'Raw Data'!Q3485</f>
        <v>5</v>
      </c>
      <c r="F3485" s="2" t="n">
        <f aca="false">'Raw Data'!U3485</f>
        <v>0</v>
      </c>
      <c r="G3485" s="2" t="n">
        <f aca="false">'Raw Data'!W3485</f>
        <v>3</v>
      </c>
      <c r="H3485" s="2" t="n">
        <f aca="false">'Raw Data'!V3485</f>
        <v>4</v>
      </c>
      <c r="I3485" s="2" t="n">
        <f aca="false">IF(AND(ISNUMBER(B3485),B3485&lt;=25),2,0)+IF(AND(ISNUMBER(E3485),E3485&lt;=5),2,0)+IF(AND(ISNUMBER(F3485),F3485&lt;=1),2,0)+IF(AND(ISNUMBER(G3485),G3485&lt;=2),1,0)+IF(AND(ISNUMBER(H3485),H3485&lt;=2),1,0)</f>
        <v>4</v>
      </c>
      <c r="J3485" s="2" t="str">
        <f aca="false">IF(I3485&gt;=6,"High",IF(I3485&gt;=3,"Medium","Low"))</f>
        <v>Medium</v>
      </c>
    </row>
    <row r="3486" customFormat="false" ht="15" hidden="false" customHeight="true" outlineLevel="0" collapsed="false">
      <c r="A3486" s="2" t="n">
        <f aca="false">'Raw Data'!H3486</f>
        <v>3485</v>
      </c>
      <c r="B3486" s="2" t="n">
        <f aca="false">'Raw Data'!A3486</f>
        <v>33</v>
      </c>
      <c r="C3486" s="2" t="str">
        <f aca="false">'Raw Data'!D3486</f>
        <v>Sales</v>
      </c>
      <c r="D3486" s="2" t="str">
        <f aca="false">'Raw Data'!K3486</f>
        <v>Research Scientist</v>
      </c>
      <c r="E3486" s="2" t="n">
        <f aca="false">'Raw Data'!Q3486</f>
        <v>4</v>
      </c>
      <c r="F3486" s="2" t="n">
        <f aca="false">'Raw Data'!U3486</f>
        <v>2</v>
      </c>
      <c r="G3486" s="2" t="n">
        <f aca="false">'Raw Data'!W3486</f>
        <v>2</v>
      </c>
      <c r="H3486" s="2" t="n">
        <f aca="false">'Raw Data'!V3486</f>
        <v>4</v>
      </c>
      <c r="I3486" s="2" t="n">
        <f aca="false">IF(AND(ISNUMBER(B3486),B3486&lt;=25),2,0)+IF(AND(ISNUMBER(E3486),E3486&lt;=5),2,0)+IF(AND(ISNUMBER(F3486),F3486&lt;=1),2,0)+IF(AND(ISNUMBER(G3486),G3486&lt;=2),1,0)+IF(AND(ISNUMBER(H3486),H3486&lt;=2),1,0)</f>
        <v>3</v>
      </c>
      <c r="J3486" s="2" t="str">
        <f aca="false">IF(I3486&gt;=6,"High",IF(I3486&gt;=3,"Medium","Low"))</f>
        <v>Medium</v>
      </c>
    </row>
    <row r="3487" customFormat="false" ht="15" hidden="false" customHeight="true" outlineLevel="0" collapsed="false">
      <c r="A3487" s="2" t="n">
        <f aca="false">'Raw Data'!H3487</f>
        <v>3486</v>
      </c>
      <c r="B3487" s="2" t="n">
        <f aca="false">'Raw Data'!A3487</f>
        <v>34</v>
      </c>
      <c r="C3487" s="2" t="str">
        <f aca="false">'Raw Data'!D3487</f>
        <v>Sales</v>
      </c>
      <c r="D3487" s="2" t="str">
        <f aca="false">'Raw Data'!K3487</f>
        <v>Research Director</v>
      </c>
      <c r="E3487" s="2" t="n">
        <f aca="false">'Raw Data'!Q3487</f>
        <v>6</v>
      </c>
      <c r="F3487" s="2" t="n">
        <f aca="false">'Raw Data'!U3487</f>
        <v>0</v>
      </c>
      <c r="G3487" s="2" t="n">
        <f aca="false">'Raw Data'!W3487</f>
        <v>4</v>
      </c>
      <c r="H3487" s="2" t="n">
        <f aca="false">'Raw Data'!V3487</f>
        <v>3</v>
      </c>
      <c r="I3487" s="2" t="n">
        <f aca="false">IF(AND(ISNUMBER(B3487),B3487&lt;=25),2,0)+IF(AND(ISNUMBER(E3487),E3487&lt;=5),2,0)+IF(AND(ISNUMBER(F3487),F3487&lt;=1),2,0)+IF(AND(ISNUMBER(G3487),G3487&lt;=2),1,0)+IF(AND(ISNUMBER(H3487),H3487&lt;=2),1,0)</f>
        <v>2</v>
      </c>
      <c r="J3487" s="2" t="str">
        <f aca="false">IF(I3487&gt;=6,"High",IF(I3487&gt;=3,"Medium","Low"))</f>
        <v>Low</v>
      </c>
    </row>
    <row r="3488" customFormat="false" ht="15" hidden="false" customHeight="true" outlineLevel="0" collapsed="false">
      <c r="A3488" s="2" t="n">
        <f aca="false">'Raw Data'!H3488</f>
        <v>3487</v>
      </c>
      <c r="B3488" s="2" t="n">
        <f aca="false">'Raw Data'!A3488</f>
        <v>48</v>
      </c>
      <c r="C3488" s="2" t="str">
        <f aca="false">'Raw Data'!D3488</f>
        <v>Sales</v>
      </c>
      <c r="D3488" s="2" t="str">
        <f aca="false">'Raw Data'!K3488</f>
        <v>Sales Executive</v>
      </c>
      <c r="E3488" s="2" t="n">
        <f aca="false">'Raw Data'!Q3488</f>
        <v>27</v>
      </c>
      <c r="F3488" s="2" t="n">
        <f aca="false">'Raw Data'!U3488</f>
        <v>1</v>
      </c>
      <c r="G3488" s="2" t="n">
        <f aca="false">'Raw Data'!W3488</f>
        <v>4</v>
      </c>
      <c r="H3488" s="2" t="n">
        <f aca="false">'Raw Data'!V3488</f>
        <v>1</v>
      </c>
      <c r="I3488" s="2" t="n">
        <f aca="false">IF(AND(ISNUMBER(B3488),B3488&lt;=25),2,0)+IF(AND(ISNUMBER(E3488),E3488&lt;=5),2,0)+IF(AND(ISNUMBER(F3488),F3488&lt;=1),2,0)+IF(AND(ISNUMBER(G3488),G3488&lt;=2),1,0)+IF(AND(ISNUMBER(H3488),H3488&lt;=2),1,0)</f>
        <v>3</v>
      </c>
      <c r="J3488" s="2" t="str">
        <f aca="false">IF(I3488&gt;=6,"High",IF(I3488&gt;=3,"Medium","Low"))</f>
        <v>Medium</v>
      </c>
    </row>
    <row r="3489" customFormat="false" ht="15" hidden="false" customHeight="true" outlineLevel="0" collapsed="false">
      <c r="A3489" s="2" t="n">
        <f aca="false">'Raw Data'!H3489</f>
        <v>3488</v>
      </c>
      <c r="B3489" s="2" t="n">
        <f aca="false">'Raw Data'!A3489</f>
        <v>45</v>
      </c>
      <c r="C3489" s="2" t="str">
        <f aca="false">'Raw Data'!D3489</f>
        <v>Research &amp; Development</v>
      </c>
      <c r="D3489" s="2" t="str">
        <f aca="false">'Raw Data'!K3489</f>
        <v>Human Resources</v>
      </c>
      <c r="E3489" s="2" t="n">
        <f aca="false">'Raw Data'!Q3489</f>
        <v>15</v>
      </c>
      <c r="F3489" s="2" t="n">
        <f aca="false">'Raw Data'!U3489</f>
        <v>12</v>
      </c>
      <c r="G3489" s="2" t="n">
        <f aca="false">'Raw Data'!W3489</f>
        <v>3</v>
      </c>
      <c r="H3489" s="2" t="n">
        <f aca="false">'Raw Data'!V3489</f>
        <v>2</v>
      </c>
      <c r="I3489" s="2" t="n">
        <f aca="false">IF(AND(ISNUMBER(B3489),B3489&lt;=25),2,0)+IF(AND(ISNUMBER(E3489),E3489&lt;=5),2,0)+IF(AND(ISNUMBER(F3489),F3489&lt;=1),2,0)+IF(AND(ISNUMBER(G3489),G3489&lt;=2),1,0)+IF(AND(ISNUMBER(H3489),H3489&lt;=2),1,0)</f>
        <v>1</v>
      </c>
      <c r="J3489" s="2" t="str">
        <f aca="false">IF(I3489&gt;=6,"High",IF(I3489&gt;=3,"Medium","Low"))</f>
        <v>Low</v>
      </c>
    </row>
    <row r="3490" customFormat="false" ht="15" hidden="false" customHeight="true" outlineLevel="0" collapsed="false">
      <c r="A3490" s="2" t="n">
        <f aca="false">'Raw Data'!H3490</f>
        <v>3489</v>
      </c>
      <c r="B3490" s="2" t="n">
        <f aca="false">'Raw Data'!A3490</f>
        <v>52</v>
      </c>
      <c r="C3490" s="2" t="str">
        <f aca="false">'Raw Data'!D3490</f>
        <v>Sales</v>
      </c>
      <c r="D3490" s="2" t="str">
        <f aca="false">'Raw Data'!K3490</f>
        <v>Sales Executive</v>
      </c>
      <c r="E3490" s="2" t="n">
        <f aca="false">'Raw Data'!Q3490</f>
        <v>18</v>
      </c>
      <c r="F3490" s="2" t="n">
        <f aca="false">'Raw Data'!U3490</f>
        <v>0</v>
      </c>
      <c r="G3490" s="2" t="n">
        <f aca="false">'Raw Data'!W3490</f>
        <v>2</v>
      </c>
      <c r="H3490" s="2" t="n">
        <f aca="false">'Raw Data'!V3490</f>
        <v>2</v>
      </c>
      <c r="I3490" s="2" t="n">
        <f aca="false">IF(AND(ISNUMBER(B3490),B3490&lt;=25),2,0)+IF(AND(ISNUMBER(E3490),E3490&lt;=5),2,0)+IF(AND(ISNUMBER(F3490),F3490&lt;=1),2,0)+IF(AND(ISNUMBER(G3490),G3490&lt;=2),1,0)+IF(AND(ISNUMBER(H3490),H3490&lt;=2),1,0)</f>
        <v>4</v>
      </c>
      <c r="J3490" s="2" t="str">
        <f aca="false">IF(I3490&gt;=6,"High",IF(I3490&gt;=3,"Medium","Low"))</f>
        <v>Medium</v>
      </c>
    </row>
    <row r="3491" customFormat="false" ht="15" hidden="false" customHeight="true" outlineLevel="0" collapsed="false">
      <c r="A3491" s="2" t="n">
        <f aca="false">'Raw Data'!H3491</f>
        <v>3490</v>
      </c>
      <c r="B3491" s="2" t="n">
        <f aca="false">'Raw Data'!A3491</f>
        <v>38</v>
      </c>
      <c r="C3491" s="2" t="str">
        <f aca="false">'Raw Data'!D3491</f>
        <v>Research &amp; Development</v>
      </c>
      <c r="D3491" s="2" t="str">
        <f aca="false">'Raw Data'!K3491</f>
        <v>Research Scientist</v>
      </c>
      <c r="E3491" s="2" t="n">
        <f aca="false">'Raw Data'!Q3491</f>
        <v>9</v>
      </c>
      <c r="F3491" s="2" t="n">
        <f aca="false">'Raw Data'!U3491</f>
        <v>7</v>
      </c>
      <c r="G3491" s="2" t="n">
        <f aca="false">'Raw Data'!W3491</f>
        <v>3</v>
      </c>
      <c r="H3491" s="2" t="n">
        <f aca="false">'Raw Data'!V3491</f>
        <v>3</v>
      </c>
      <c r="I3491" s="2" t="n">
        <f aca="false">IF(AND(ISNUMBER(B3491),B3491&lt;=25),2,0)+IF(AND(ISNUMBER(E3491),E3491&lt;=5),2,0)+IF(AND(ISNUMBER(F3491),F3491&lt;=1),2,0)+IF(AND(ISNUMBER(G3491),G3491&lt;=2),1,0)+IF(AND(ISNUMBER(H3491),H3491&lt;=2),1,0)</f>
        <v>0</v>
      </c>
      <c r="J3491" s="2" t="str">
        <f aca="false">IF(I3491&gt;=6,"High",IF(I3491&gt;=3,"Medium","Low"))</f>
        <v>Low</v>
      </c>
    </row>
    <row r="3492" customFormat="false" ht="15" hidden="false" customHeight="true" outlineLevel="0" collapsed="false">
      <c r="A3492" s="2" t="n">
        <f aca="false">'Raw Data'!H3492</f>
        <v>3491</v>
      </c>
      <c r="B3492" s="2" t="n">
        <f aca="false">'Raw Data'!A3492</f>
        <v>29</v>
      </c>
      <c r="C3492" s="2" t="str">
        <f aca="false">'Raw Data'!D3492</f>
        <v>Research &amp; Development</v>
      </c>
      <c r="D3492" s="2" t="str">
        <f aca="false">'Raw Data'!K3492</f>
        <v>Research Scientist</v>
      </c>
      <c r="E3492" s="2" t="n">
        <f aca="false">'Raw Data'!Q3492</f>
        <v>11</v>
      </c>
      <c r="F3492" s="2" t="n">
        <f aca="false">'Raw Data'!U3492</f>
        <v>7</v>
      </c>
      <c r="G3492" s="2" t="n">
        <f aca="false">'Raw Data'!W3492</f>
        <v>4</v>
      </c>
      <c r="H3492" s="2" t="n">
        <f aca="false">'Raw Data'!V3492</f>
        <v>3</v>
      </c>
      <c r="I3492" s="2" t="n">
        <f aca="false">IF(AND(ISNUMBER(B3492),B3492&lt;=25),2,0)+IF(AND(ISNUMBER(E3492),E3492&lt;=5),2,0)+IF(AND(ISNUMBER(F3492),F3492&lt;=1),2,0)+IF(AND(ISNUMBER(G3492),G3492&lt;=2),1,0)+IF(AND(ISNUMBER(H3492),H3492&lt;=2),1,0)</f>
        <v>0</v>
      </c>
      <c r="J3492" s="2" t="str">
        <f aca="false">IF(I3492&gt;=6,"High",IF(I3492&gt;=3,"Medium","Low"))</f>
        <v>Low</v>
      </c>
    </row>
    <row r="3493" customFormat="false" ht="15" hidden="false" customHeight="true" outlineLevel="0" collapsed="false">
      <c r="A3493" s="2" t="n">
        <f aca="false">'Raw Data'!H3493</f>
        <v>3492</v>
      </c>
      <c r="B3493" s="2" t="n">
        <f aca="false">'Raw Data'!A3493</f>
        <v>28</v>
      </c>
      <c r="C3493" s="2" t="str">
        <f aca="false">'Raw Data'!D3493</f>
        <v>Human Resources</v>
      </c>
      <c r="D3493" s="2" t="str">
        <f aca="false">'Raw Data'!K3493</f>
        <v>Laboratory Technician</v>
      </c>
      <c r="E3493" s="2" t="n">
        <f aca="false">'Raw Data'!Q3493</f>
        <v>10</v>
      </c>
      <c r="F3493" s="2" t="n">
        <f aca="false">'Raw Data'!U3493</f>
        <v>7</v>
      </c>
      <c r="G3493" s="2" t="n">
        <f aca="false">'Raw Data'!W3493</f>
        <v>2</v>
      </c>
      <c r="H3493" s="2" t="n">
        <f aca="false">'Raw Data'!V3493</f>
        <v>4</v>
      </c>
      <c r="I3493" s="2" t="n">
        <f aca="false">IF(AND(ISNUMBER(B3493),B3493&lt;=25),2,0)+IF(AND(ISNUMBER(E3493),E3493&lt;=5),2,0)+IF(AND(ISNUMBER(F3493),F3493&lt;=1),2,0)+IF(AND(ISNUMBER(G3493),G3493&lt;=2),1,0)+IF(AND(ISNUMBER(H3493),H3493&lt;=2),1,0)</f>
        <v>1</v>
      </c>
      <c r="J3493" s="2" t="str">
        <f aca="false">IF(I3493&gt;=6,"High",IF(I3493&gt;=3,"Medium","Low"))</f>
        <v>Low</v>
      </c>
    </row>
    <row r="3494" customFormat="false" ht="15" hidden="false" customHeight="true" outlineLevel="0" collapsed="false">
      <c r="A3494" s="2" t="n">
        <f aca="false">'Raw Data'!H3494</f>
        <v>3493</v>
      </c>
      <c r="B3494" s="2" t="n">
        <f aca="false">'Raw Data'!A3494</f>
        <v>46</v>
      </c>
      <c r="C3494" s="2" t="str">
        <f aca="false">'Raw Data'!D3494</f>
        <v>Research &amp; Development</v>
      </c>
      <c r="D3494" s="2" t="str">
        <f aca="false">'Raw Data'!K3494</f>
        <v>Sales Executive</v>
      </c>
      <c r="E3494" s="2" t="n">
        <f aca="false">'Raw Data'!Q3494</f>
        <v>23</v>
      </c>
      <c r="F3494" s="2" t="n">
        <f aca="false">'Raw Data'!U3494</f>
        <v>9</v>
      </c>
      <c r="G3494" s="2" t="n">
        <f aca="false">'Raw Data'!W3494</f>
        <v>3</v>
      </c>
      <c r="H3494" s="2" t="n">
        <f aca="false">'Raw Data'!V3494</f>
        <v>1</v>
      </c>
      <c r="I3494" s="2" t="n">
        <f aca="false">IF(AND(ISNUMBER(B3494),B3494&lt;=25),2,0)+IF(AND(ISNUMBER(E3494),E3494&lt;=5),2,0)+IF(AND(ISNUMBER(F3494),F3494&lt;=1),2,0)+IF(AND(ISNUMBER(G3494),G3494&lt;=2),1,0)+IF(AND(ISNUMBER(H3494),H3494&lt;=2),1,0)</f>
        <v>1</v>
      </c>
      <c r="J3494" s="2" t="str">
        <f aca="false">IF(I3494&gt;=6,"High",IF(I3494&gt;=3,"Medium","Low"))</f>
        <v>Low</v>
      </c>
    </row>
    <row r="3495" customFormat="false" ht="15" hidden="false" customHeight="true" outlineLevel="0" collapsed="false">
      <c r="A3495" s="2" t="n">
        <f aca="false">'Raw Data'!H3495</f>
        <v>3494</v>
      </c>
      <c r="B3495" s="2" t="n">
        <f aca="false">'Raw Data'!A3495</f>
        <v>38</v>
      </c>
      <c r="C3495" s="2" t="str">
        <f aca="false">'Raw Data'!D3495</f>
        <v>Research &amp; Development</v>
      </c>
      <c r="D3495" s="2" t="str">
        <f aca="false">'Raw Data'!K3495</f>
        <v>Sales Executive</v>
      </c>
      <c r="E3495" s="2" t="n">
        <f aca="false">'Raw Data'!Q3495</f>
        <v>10</v>
      </c>
      <c r="F3495" s="2" t="n">
        <f aca="false">'Raw Data'!U3495</f>
        <v>0</v>
      </c>
      <c r="G3495" s="2" t="n">
        <f aca="false">'Raw Data'!W3495</f>
        <v>2</v>
      </c>
      <c r="H3495" s="2" t="n">
        <f aca="false">'Raw Data'!V3495</f>
        <v>4</v>
      </c>
      <c r="I3495" s="2" t="n">
        <f aca="false">IF(AND(ISNUMBER(B3495),B3495&lt;=25),2,0)+IF(AND(ISNUMBER(E3495),E3495&lt;=5),2,0)+IF(AND(ISNUMBER(F3495),F3495&lt;=1),2,0)+IF(AND(ISNUMBER(G3495),G3495&lt;=2),1,0)+IF(AND(ISNUMBER(H3495),H3495&lt;=2),1,0)</f>
        <v>3</v>
      </c>
      <c r="J3495" s="2" t="str">
        <f aca="false">IF(I3495&gt;=6,"High",IF(I3495&gt;=3,"Medium","Low"))</f>
        <v>Medium</v>
      </c>
    </row>
    <row r="3496" customFormat="false" ht="15" hidden="false" customHeight="true" outlineLevel="0" collapsed="false">
      <c r="A3496" s="2" t="n">
        <f aca="false">'Raw Data'!H3496</f>
        <v>3495</v>
      </c>
      <c r="B3496" s="2" t="n">
        <f aca="false">'Raw Data'!A3496</f>
        <v>43</v>
      </c>
      <c r="C3496" s="2" t="str">
        <f aca="false">'Raw Data'!D3496</f>
        <v>Research &amp; Development</v>
      </c>
      <c r="D3496" s="2" t="str">
        <f aca="false">'Raw Data'!K3496</f>
        <v>Laboratory Technician</v>
      </c>
      <c r="E3496" s="2" t="n">
        <f aca="false">'Raw Data'!Q3496</f>
        <v>18</v>
      </c>
      <c r="F3496" s="2" t="n">
        <f aca="false">'Raw Data'!U3496</f>
        <v>1</v>
      </c>
      <c r="G3496" s="2" t="n">
        <f aca="false">'Raw Data'!W3496</f>
        <v>1</v>
      </c>
      <c r="H3496" s="2" t="n">
        <f aca="false">'Raw Data'!V3496</f>
        <v>3</v>
      </c>
      <c r="I3496" s="2" t="n">
        <f aca="false">IF(AND(ISNUMBER(B3496),B3496&lt;=25),2,0)+IF(AND(ISNUMBER(E3496),E3496&lt;=5),2,0)+IF(AND(ISNUMBER(F3496),F3496&lt;=1),2,0)+IF(AND(ISNUMBER(G3496),G3496&lt;=2),1,0)+IF(AND(ISNUMBER(H3496),H3496&lt;=2),1,0)</f>
        <v>3</v>
      </c>
      <c r="J3496" s="2" t="str">
        <f aca="false">IF(I3496&gt;=6,"High",IF(I3496&gt;=3,"Medium","Low"))</f>
        <v>Medium</v>
      </c>
    </row>
    <row r="3497" customFormat="false" ht="15" hidden="false" customHeight="true" outlineLevel="0" collapsed="false">
      <c r="A3497" s="2" t="n">
        <f aca="false">'Raw Data'!H3497</f>
        <v>3496</v>
      </c>
      <c r="B3497" s="2" t="n">
        <f aca="false">'Raw Data'!A3497</f>
        <v>39</v>
      </c>
      <c r="C3497" s="2" t="str">
        <f aca="false">'Raw Data'!D3497</f>
        <v>Sales</v>
      </c>
      <c r="D3497" s="2" t="str">
        <f aca="false">'Raw Data'!K3497</f>
        <v>Healthcare Representative</v>
      </c>
      <c r="E3497" s="2" t="n">
        <f aca="false">'Raw Data'!Q3497</f>
        <v>21</v>
      </c>
      <c r="F3497" s="2" t="n">
        <f aca="false">'Raw Data'!U3497</f>
        <v>5</v>
      </c>
      <c r="G3497" s="2" t="n">
        <f aca="false">'Raw Data'!W3497</f>
        <v>4</v>
      </c>
      <c r="H3497" s="2" t="n">
        <f aca="false">'Raw Data'!V3497</f>
        <v>1</v>
      </c>
      <c r="I3497" s="2" t="n">
        <f aca="false">IF(AND(ISNUMBER(B3497),B3497&lt;=25),2,0)+IF(AND(ISNUMBER(E3497),E3497&lt;=5),2,0)+IF(AND(ISNUMBER(F3497),F3497&lt;=1),2,0)+IF(AND(ISNUMBER(G3497),G3497&lt;=2),1,0)+IF(AND(ISNUMBER(H3497),H3497&lt;=2),1,0)</f>
        <v>1</v>
      </c>
      <c r="J3497" s="2" t="str">
        <f aca="false">IF(I3497&gt;=6,"High",IF(I3497&gt;=3,"Medium","Low"))</f>
        <v>Low</v>
      </c>
    </row>
    <row r="3498" customFormat="false" ht="15" hidden="false" customHeight="true" outlineLevel="0" collapsed="false">
      <c r="A3498" s="2" t="n">
        <f aca="false">'Raw Data'!H3498</f>
        <v>3497</v>
      </c>
      <c r="B3498" s="2" t="n">
        <f aca="false">'Raw Data'!A3498</f>
        <v>40</v>
      </c>
      <c r="C3498" s="2" t="str">
        <f aca="false">'Raw Data'!D3498</f>
        <v>Research &amp; Development</v>
      </c>
      <c r="D3498" s="2" t="str">
        <f aca="false">'Raw Data'!K3498</f>
        <v>Healthcare Representative</v>
      </c>
      <c r="E3498" s="2" t="n">
        <f aca="false">'Raw Data'!Q3498</f>
        <v>21</v>
      </c>
      <c r="F3498" s="2" t="n">
        <f aca="false">'Raw Data'!U3498</f>
        <v>9</v>
      </c>
      <c r="G3498" s="2" t="n">
        <f aca="false">'Raw Data'!W3498</f>
        <v>3</v>
      </c>
      <c r="H3498" s="2" t="n">
        <f aca="false">'Raw Data'!V3498</f>
        <v>3</v>
      </c>
      <c r="I3498" s="2" t="n">
        <f aca="false">IF(AND(ISNUMBER(B3498),B3498&lt;=25),2,0)+IF(AND(ISNUMBER(E3498),E3498&lt;=5),2,0)+IF(AND(ISNUMBER(F3498),F3498&lt;=1),2,0)+IF(AND(ISNUMBER(G3498),G3498&lt;=2),1,0)+IF(AND(ISNUMBER(H3498),H3498&lt;=2),1,0)</f>
        <v>0</v>
      </c>
      <c r="J3498" s="2" t="str">
        <f aca="false">IF(I3498&gt;=6,"High",IF(I3498&gt;=3,"Medium","Low"))</f>
        <v>Low</v>
      </c>
    </row>
    <row r="3499" customFormat="false" ht="15" hidden="false" customHeight="true" outlineLevel="0" collapsed="false">
      <c r="A3499" s="2" t="n">
        <f aca="false">'Raw Data'!H3499</f>
        <v>3498</v>
      </c>
      <c r="B3499" s="2" t="n">
        <f aca="false">'Raw Data'!A3499</f>
        <v>21</v>
      </c>
      <c r="C3499" s="2" t="str">
        <f aca="false">'Raw Data'!D3499</f>
        <v>Research &amp; Development</v>
      </c>
      <c r="D3499" s="2" t="str">
        <f aca="false">'Raw Data'!K3499</f>
        <v>Research Scientist</v>
      </c>
      <c r="E3499" s="2" t="n">
        <f aca="false">'Raw Data'!Q3499</f>
        <v>2</v>
      </c>
      <c r="F3499" s="2" t="n">
        <f aca="false">'Raw Data'!U3499</f>
        <v>2</v>
      </c>
      <c r="G3499" s="2" t="n">
        <f aca="false">'Raw Data'!W3499</f>
        <v>2</v>
      </c>
      <c r="H3499" s="2" t="n">
        <f aca="false">'Raw Data'!V3499</f>
        <v>4</v>
      </c>
      <c r="I3499" s="2" t="n">
        <f aca="false">IF(AND(ISNUMBER(B3499),B3499&lt;=25),2,0)+IF(AND(ISNUMBER(E3499),E3499&lt;=5),2,0)+IF(AND(ISNUMBER(F3499),F3499&lt;=1),2,0)+IF(AND(ISNUMBER(G3499),G3499&lt;=2),1,0)+IF(AND(ISNUMBER(H3499),H3499&lt;=2),1,0)</f>
        <v>5</v>
      </c>
      <c r="J3499" s="2" t="str">
        <f aca="false">IF(I3499&gt;=6,"High",IF(I3499&gt;=3,"Medium","Low"))</f>
        <v>Medium</v>
      </c>
    </row>
    <row r="3500" customFormat="false" ht="15" hidden="false" customHeight="true" outlineLevel="0" collapsed="false">
      <c r="A3500" s="2" t="n">
        <f aca="false">'Raw Data'!H3500</f>
        <v>3499</v>
      </c>
      <c r="B3500" s="2" t="n">
        <f aca="false">'Raw Data'!A3500</f>
        <v>39</v>
      </c>
      <c r="C3500" s="2" t="str">
        <f aca="false">'Raw Data'!D3500</f>
        <v>Research &amp; Development</v>
      </c>
      <c r="D3500" s="2" t="str">
        <f aca="false">'Raw Data'!K3500</f>
        <v>Laboratory Technician</v>
      </c>
      <c r="E3500" s="2" t="n">
        <f aca="false">'Raw Data'!Q3500</f>
        <v>9</v>
      </c>
      <c r="F3500" s="2" t="n">
        <f aca="false">'Raw Data'!U3500</f>
        <v>3</v>
      </c>
      <c r="G3500" s="2" t="n">
        <f aca="false">'Raw Data'!W3500</f>
        <v>2</v>
      </c>
      <c r="H3500" s="2" t="n">
        <f aca="false">'Raw Data'!V3500</f>
        <v>3</v>
      </c>
      <c r="I3500" s="2" t="n">
        <f aca="false">IF(AND(ISNUMBER(B3500),B3500&lt;=25),2,0)+IF(AND(ISNUMBER(E3500),E3500&lt;=5),2,0)+IF(AND(ISNUMBER(F3500),F3500&lt;=1),2,0)+IF(AND(ISNUMBER(G3500),G3500&lt;=2),1,0)+IF(AND(ISNUMBER(H3500),H3500&lt;=2),1,0)</f>
        <v>1</v>
      </c>
      <c r="J3500" s="2" t="str">
        <f aca="false">IF(I3500&gt;=6,"High",IF(I3500&gt;=3,"Medium","Low"))</f>
        <v>Low</v>
      </c>
    </row>
    <row r="3501" customFormat="false" ht="15" hidden="false" customHeight="true" outlineLevel="0" collapsed="false">
      <c r="A3501" s="2" t="n">
        <f aca="false">'Raw Data'!H3501</f>
        <v>3500</v>
      </c>
      <c r="B3501" s="2" t="n">
        <f aca="false">'Raw Data'!A3501</f>
        <v>36</v>
      </c>
      <c r="C3501" s="2" t="str">
        <f aca="false">'Raw Data'!D3501</f>
        <v>Research &amp; Development</v>
      </c>
      <c r="D3501" s="2" t="str">
        <f aca="false">'Raw Data'!K3501</f>
        <v>Sales Representative</v>
      </c>
      <c r="E3501" s="2" t="n">
        <f aca="false">'Raw Data'!Q3501</f>
        <v>18</v>
      </c>
      <c r="F3501" s="2" t="n">
        <f aca="false">'Raw Data'!U3501</f>
        <v>9</v>
      </c>
      <c r="G3501" s="2" t="n">
        <f aca="false">'Raw Data'!W3501</f>
        <v>4</v>
      </c>
      <c r="H3501" s="2" t="n">
        <f aca="false">'Raw Data'!V3501</f>
        <v>1</v>
      </c>
      <c r="I3501" s="2" t="n">
        <f aca="false">IF(AND(ISNUMBER(B3501),B3501&lt;=25),2,0)+IF(AND(ISNUMBER(E3501),E3501&lt;=5),2,0)+IF(AND(ISNUMBER(F3501),F3501&lt;=1),2,0)+IF(AND(ISNUMBER(G3501),G3501&lt;=2),1,0)+IF(AND(ISNUMBER(H3501),H3501&lt;=2),1,0)</f>
        <v>1</v>
      </c>
      <c r="J3501" s="2" t="str">
        <f aca="false">IF(I3501&gt;=6,"High",IF(I3501&gt;=3,"Medium","Low"))</f>
        <v>Low</v>
      </c>
    </row>
    <row r="3502" customFormat="false" ht="15" hidden="false" customHeight="true" outlineLevel="0" collapsed="false">
      <c r="A3502" s="2" t="n">
        <f aca="false">'Raw Data'!H3502</f>
        <v>3501</v>
      </c>
      <c r="B3502" s="2" t="n">
        <f aca="false">'Raw Data'!A3502</f>
        <v>31</v>
      </c>
      <c r="C3502" s="2" t="str">
        <f aca="false">'Raw Data'!D3502</f>
        <v>Research &amp; Development</v>
      </c>
      <c r="D3502" s="2" t="str">
        <f aca="false">'Raw Data'!K3502</f>
        <v>Sales Executive</v>
      </c>
      <c r="E3502" s="2" t="n">
        <f aca="false">'Raw Data'!Q3502</f>
        <v>3</v>
      </c>
      <c r="F3502" s="2" t="n">
        <f aca="false">'Raw Data'!U3502</f>
        <v>2</v>
      </c>
      <c r="G3502" s="2" t="n">
        <f aca="false">'Raw Data'!W3502</f>
        <v>4</v>
      </c>
      <c r="H3502" s="2" t="n">
        <f aca="false">'Raw Data'!V3502</f>
        <v>3</v>
      </c>
      <c r="I3502" s="2" t="n">
        <f aca="false">IF(AND(ISNUMBER(B3502),B3502&lt;=25),2,0)+IF(AND(ISNUMBER(E3502),E3502&lt;=5),2,0)+IF(AND(ISNUMBER(F3502),F3502&lt;=1),2,0)+IF(AND(ISNUMBER(G3502),G3502&lt;=2),1,0)+IF(AND(ISNUMBER(H3502),H3502&lt;=2),1,0)</f>
        <v>2</v>
      </c>
      <c r="J3502" s="2" t="str">
        <f aca="false">IF(I3502&gt;=6,"High",IF(I3502&gt;=3,"Medium","Low"))</f>
        <v>Low</v>
      </c>
    </row>
    <row r="3503" customFormat="false" ht="15" hidden="false" customHeight="true" outlineLevel="0" collapsed="false">
      <c r="A3503" s="2" t="n">
        <f aca="false">'Raw Data'!H3503</f>
        <v>3502</v>
      </c>
      <c r="B3503" s="2" t="n">
        <f aca="false">'Raw Data'!A3503</f>
        <v>28</v>
      </c>
      <c r="C3503" s="2" t="str">
        <f aca="false">'Raw Data'!D3503</f>
        <v>Sales</v>
      </c>
      <c r="D3503" s="2" t="str">
        <f aca="false">'Raw Data'!K3503</f>
        <v>Sales Executive</v>
      </c>
      <c r="E3503" s="2" t="n">
        <f aca="false">'Raw Data'!Q3503</f>
        <v>6</v>
      </c>
      <c r="F3503" s="2" t="n">
        <f aca="false">'Raw Data'!U3503</f>
        <v>4</v>
      </c>
      <c r="G3503" s="2" t="n">
        <f aca="false">'Raw Data'!W3503</f>
        <v>2</v>
      </c>
      <c r="H3503" s="2" t="n">
        <f aca="false">'Raw Data'!V3503</f>
        <v>1</v>
      </c>
      <c r="I3503" s="2" t="n">
        <f aca="false">IF(AND(ISNUMBER(B3503),B3503&lt;=25),2,0)+IF(AND(ISNUMBER(E3503),E3503&lt;=5),2,0)+IF(AND(ISNUMBER(F3503),F3503&lt;=1),2,0)+IF(AND(ISNUMBER(G3503),G3503&lt;=2),1,0)+IF(AND(ISNUMBER(H3503),H3503&lt;=2),1,0)</f>
        <v>2</v>
      </c>
      <c r="J3503" s="2" t="str">
        <f aca="false">IF(I3503&gt;=6,"High",IF(I3503&gt;=3,"Medium","Low"))</f>
        <v>Low</v>
      </c>
    </row>
    <row r="3504" customFormat="false" ht="15" hidden="false" customHeight="true" outlineLevel="0" collapsed="false">
      <c r="A3504" s="2" t="n">
        <f aca="false">'Raw Data'!H3504</f>
        <v>3503</v>
      </c>
      <c r="B3504" s="2" t="n">
        <f aca="false">'Raw Data'!A3504</f>
        <v>35</v>
      </c>
      <c r="C3504" s="2" t="str">
        <f aca="false">'Raw Data'!D3504</f>
        <v>Research &amp; Development</v>
      </c>
      <c r="D3504" s="2" t="str">
        <f aca="false">'Raw Data'!K3504</f>
        <v>Manufacturing Director</v>
      </c>
      <c r="E3504" s="2" t="n">
        <f aca="false">'Raw Data'!Q3504</f>
        <v>5</v>
      </c>
      <c r="F3504" s="2" t="n">
        <f aca="false">'Raw Data'!U3504</f>
        <v>2</v>
      </c>
      <c r="G3504" s="2" t="n">
        <f aca="false">'Raw Data'!W3504</f>
        <v>4</v>
      </c>
      <c r="H3504" s="2" t="n">
        <f aca="false">'Raw Data'!V3504</f>
        <v>4</v>
      </c>
      <c r="I3504" s="2" t="n">
        <f aca="false">IF(AND(ISNUMBER(B3504),B3504&lt;=25),2,0)+IF(AND(ISNUMBER(E3504),E3504&lt;=5),2,0)+IF(AND(ISNUMBER(F3504),F3504&lt;=1),2,0)+IF(AND(ISNUMBER(G3504),G3504&lt;=2),1,0)+IF(AND(ISNUMBER(H3504),H3504&lt;=2),1,0)</f>
        <v>2</v>
      </c>
      <c r="J3504" s="2" t="str">
        <f aca="false">IF(I3504&gt;=6,"High",IF(I3504&gt;=3,"Medium","Low"))</f>
        <v>Low</v>
      </c>
    </row>
    <row r="3505" customFormat="false" ht="15" hidden="false" customHeight="true" outlineLevel="0" collapsed="false">
      <c r="A3505" s="2" t="n">
        <f aca="false">'Raw Data'!H3505</f>
        <v>3504</v>
      </c>
      <c r="B3505" s="2" t="n">
        <f aca="false">'Raw Data'!A3505</f>
        <v>49</v>
      </c>
      <c r="C3505" s="2" t="str">
        <f aca="false">'Raw Data'!D3505</f>
        <v>Sales</v>
      </c>
      <c r="D3505" s="2" t="str">
        <f aca="false">'Raw Data'!K3505</f>
        <v>Sales Executive</v>
      </c>
      <c r="E3505" s="2" t="n">
        <f aca="false">'Raw Data'!Q3505</f>
        <v>22</v>
      </c>
      <c r="F3505" s="2" t="n">
        <f aca="false">'Raw Data'!U3505</f>
        <v>3</v>
      </c>
      <c r="G3505" s="2" t="n">
        <f aca="false">'Raw Data'!W3505</f>
        <v>2</v>
      </c>
      <c r="H3505" s="2" t="n">
        <f aca="false">'Raw Data'!V3505</f>
        <v>4</v>
      </c>
      <c r="I3505" s="2" t="n">
        <f aca="false">IF(AND(ISNUMBER(B3505),B3505&lt;=25),2,0)+IF(AND(ISNUMBER(E3505),E3505&lt;=5),2,0)+IF(AND(ISNUMBER(F3505),F3505&lt;=1),2,0)+IF(AND(ISNUMBER(G3505),G3505&lt;=2),1,0)+IF(AND(ISNUMBER(H3505),H3505&lt;=2),1,0)</f>
        <v>1</v>
      </c>
      <c r="J3505" s="2" t="str">
        <f aca="false">IF(I3505&gt;=6,"High",IF(I3505&gt;=3,"Medium","Low"))</f>
        <v>Low</v>
      </c>
    </row>
    <row r="3506" customFormat="false" ht="15" hidden="false" customHeight="true" outlineLevel="0" collapsed="false">
      <c r="A3506" s="2" t="n">
        <f aca="false">'Raw Data'!H3506</f>
        <v>3505</v>
      </c>
      <c r="B3506" s="2" t="n">
        <f aca="false">'Raw Data'!A3506</f>
        <v>34</v>
      </c>
      <c r="C3506" s="2" t="str">
        <f aca="false">'Raw Data'!D3506</f>
        <v>Sales</v>
      </c>
      <c r="D3506" s="2" t="str">
        <f aca="false">'Raw Data'!K3506</f>
        <v>Sales Executive</v>
      </c>
      <c r="E3506" s="2" t="n">
        <f aca="false">'Raw Data'!Q3506</f>
        <v>5</v>
      </c>
      <c r="F3506" s="2" t="n">
        <f aca="false">'Raw Data'!U3506</f>
        <v>2</v>
      </c>
      <c r="G3506" s="2" t="n">
        <f aca="false">'Raw Data'!W3506</f>
        <v>3</v>
      </c>
      <c r="H3506" s="2" t="n">
        <f aca="false">'Raw Data'!V3506</f>
        <v>4</v>
      </c>
      <c r="I3506" s="2" t="n">
        <f aca="false">IF(AND(ISNUMBER(B3506),B3506&lt;=25),2,0)+IF(AND(ISNUMBER(E3506),E3506&lt;=5),2,0)+IF(AND(ISNUMBER(F3506),F3506&lt;=1),2,0)+IF(AND(ISNUMBER(G3506),G3506&lt;=2),1,0)+IF(AND(ISNUMBER(H3506),H3506&lt;=2),1,0)</f>
        <v>2</v>
      </c>
      <c r="J3506" s="2" t="str">
        <f aca="false">IF(I3506&gt;=6,"High",IF(I3506&gt;=3,"Medium","Low"))</f>
        <v>Low</v>
      </c>
    </row>
    <row r="3507" customFormat="false" ht="15" hidden="false" customHeight="true" outlineLevel="0" collapsed="false">
      <c r="A3507" s="2" t="n">
        <f aca="false">'Raw Data'!H3507</f>
        <v>3506</v>
      </c>
      <c r="B3507" s="2" t="n">
        <f aca="false">'Raw Data'!A3507</f>
        <v>29</v>
      </c>
      <c r="C3507" s="2" t="str">
        <f aca="false">'Raw Data'!D3507</f>
        <v>Research &amp; Development</v>
      </c>
      <c r="D3507" s="2" t="str">
        <f aca="false">'Raw Data'!K3507</f>
        <v>Research Scientist</v>
      </c>
      <c r="E3507" s="2" t="n">
        <f aca="false">'Raw Data'!Q3507</f>
        <v>8</v>
      </c>
      <c r="F3507" s="2" t="n">
        <f aca="false">'Raw Data'!U3507</f>
        <v>1</v>
      </c>
      <c r="G3507" s="2" t="n">
        <f aca="false">'Raw Data'!W3507</f>
        <v>2</v>
      </c>
      <c r="H3507" s="2" t="n">
        <f aca="false">'Raw Data'!V3507</f>
        <v>4</v>
      </c>
      <c r="I3507" s="2" t="n">
        <f aca="false">IF(AND(ISNUMBER(B3507),B3507&lt;=25),2,0)+IF(AND(ISNUMBER(E3507),E3507&lt;=5),2,0)+IF(AND(ISNUMBER(F3507),F3507&lt;=1),2,0)+IF(AND(ISNUMBER(G3507),G3507&lt;=2),1,0)+IF(AND(ISNUMBER(H3507),H3507&lt;=2),1,0)</f>
        <v>3</v>
      </c>
      <c r="J3507" s="2" t="str">
        <f aca="false">IF(I3507&gt;=6,"High",IF(I3507&gt;=3,"Medium","Low"))</f>
        <v>Medium</v>
      </c>
    </row>
    <row r="3508" customFormat="false" ht="15" hidden="false" customHeight="true" outlineLevel="0" collapsed="false">
      <c r="A3508" s="2" t="n">
        <f aca="false">'Raw Data'!H3508</f>
        <v>3507</v>
      </c>
      <c r="B3508" s="2" t="n">
        <f aca="false">'Raw Data'!A3508</f>
        <v>42</v>
      </c>
      <c r="C3508" s="2" t="str">
        <f aca="false">'Raw Data'!D3508</f>
        <v>Sales</v>
      </c>
      <c r="D3508" s="2" t="str">
        <f aca="false">'Raw Data'!K3508</f>
        <v>Healthcare Representative</v>
      </c>
      <c r="E3508" s="2" t="n">
        <f aca="false">'Raw Data'!Q3508</f>
        <v>16</v>
      </c>
      <c r="F3508" s="2" t="n">
        <f aca="false">'Raw Data'!U3508</f>
        <v>0</v>
      </c>
      <c r="G3508" s="2" t="n">
        <f aca="false">'Raw Data'!W3508</f>
        <v>4</v>
      </c>
      <c r="H3508" s="2" t="n">
        <f aca="false">'Raw Data'!V3508</f>
        <v>2</v>
      </c>
      <c r="I3508" s="2" t="n">
        <f aca="false">IF(AND(ISNUMBER(B3508),B3508&lt;=25),2,0)+IF(AND(ISNUMBER(E3508),E3508&lt;=5),2,0)+IF(AND(ISNUMBER(F3508),F3508&lt;=1),2,0)+IF(AND(ISNUMBER(G3508),G3508&lt;=2),1,0)+IF(AND(ISNUMBER(H3508),H3508&lt;=2),1,0)</f>
        <v>3</v>
      </c>
      <c r="J3508" s="2" t="str">
        <f aca="false">IF(I3508&gt;=6,"High",IF(I3508&gt;=3,"Medium","Low"))</f>
        <v>Medium</v>
      </c>
    </row>
    <row r="3509" customFormat="false" ht="15" hidden="false" customHeight="true" outlineLevel="0" collapsed="false">
      <c r="A3509" s="2" t="n">
        <f aca="false">'Raw Data'!H3509</f>
        <v>3508</v>
      </c>
      <c r="B3509" s="2" t="n">
        <f aca="false">'Raw Data'!A3509</f>
        <v>29</v>
      </c>
      <c r="C3509" s="2" t="str">
        <f aca="false">'Raw Data'!D3509</f>
        <v>Sales</v>
      </c>
      <c r="D3509" s="2" t="str">
        <f aca="false">'Raw Data'!K3509</f>
        <v>Healthcare Representative</v>
      </c>
      <c r="E3509" s="2" t="n">
        <f aca="false">'Raw Data'!Q3509</f>
        <v>10</v>
      </c>
      <c r="F3509" s="2" t="n">
        <f aca="false">'Raw Data'!U3509</f>
        <v>2</v>
      </c>
      <c r="G3509" s="2" t="n">
        <f aca="false">'Raw Data'!W3509</f>
        <v>4</v>
      </c>
      <c r="H3509" s="2" t="n">
        <f aca="false">'Raw Data'!V3509</f>
        <v>2</v>
      </c>
      <c r="I3509" s="2" t="n">
        <f aca="false">IF(AND(ISNUMBER(B3509),B3509&lt;=25),2,0)+IF(AND(ISNUMBER(E3509),E3509&lt;=5),2,0)+IF(AND(ISNUMBER(F3509),F3509&lt;=1),2,0)+IF(AND(ISNUMBER(G3509),G3509&lt;=2),1,0)+IF(AND(ISNUMBER(H3509),H3509&lt;=2),1,0)</f>
        <v>1</v>
      </c>
      <c r="J3509" s="2" t="str">
        <f aca="false">IF(I3509&gt;=6,"High",IF(I3509&gt;=3,"Medium","Low"))</f>
        <v>Low</v>
      </c>
    </row>
    <row r="3510" customFormat="false" ht="15" hidden="false" customHeight="true" outlineLevel="0" collapsed="false">
      <c r="A3510" s="2" t="n">
        <f aca="false">'Raw Data'!H3510</f>
        <v>3509</v>
      </c>
      <c r="B3510" s="2" t="n">
        <f aca="false">'Raw Data'!A3510</f>
        <v>38</v>
      </c>
      <c r="C3510" s="2" t="str">
        <f aca="false">'Raw Data'!D3510</f>
        <v>Research &amp; Development</v>
      </c>
      <c r="D3510" s="2" t="str">
        <f aca="false">'Raw Data'!K3510</f>
        <v>Human Resources</v>
      </c>
      <c r="E3510" s="2" t="n">
        <f aca="false">'Raw Data'!Q3510</f>
        <v>7</v>
      </c>
      <c r="F3510" s="2" t="n">
        <f aca="false">'Raw Data'!U3510</f>
        <v>0</v>
      </c>
      <c r="G3510" s="2" t="n">
        <f aca="false">'Raw Data'!W3510</f>
        <v>3</v>
      </c>
      <c r="H3510" s="2" t="n">
        <f aca="false">'Raw Data'!V3510</f>
        <v>3</v>
      </c>
      <c r="I3510" s="2" t="n">
        <f aca="false">IF(AND(ISNUMBER(B3510),B3510&lt;=25),2,0)+IF(AND(ISNUMBER(E3510),E3510&lt;=5),2,0)+IF(AND(ISNUMBER(F3510),F3510&lt;=1),2,0)+IF(AND(ISNUMBER(G3510),G3510&lt;=2),1,0)+IF(AND(ISNUMBER(H3510),H3510&lt;=2),1,0)</f>
        <v>2</v>
      </c>
      <c r="J3510" s="2" t="str">
        <f aca="false">IF(I3510&gt;=6,"High",IF(I3510&gt;=3,"Medium","Low"))</f>
        <v>Low</v>
      </c>
    </row>
    <row r="3511" customFormat="false" ht="15" hidden="false" customHeight="true" outlineLevel="0" collapsed="false">
      <c r="A3511" s="2" t="n">
        <f aca="false">'Raw Data'!H3511</f>
        <v>3510</v>
      </c>
      <c r="B3511" s="2" t="n">
        <f aca="false">'Raw Data'!A3511</f>
        <v>28</v>
      </c>
      <c r="C3511" s="2" t="str">
        <f aca="false">'Raw Data'!D3511</f>
        <v>Sales</v>
      </c>
      <c r="D3511" s="2" t="str">
        <f aca="false">'Raw Data'!K3511</f>
        <v>Manager</v>
      </c>
      <c r="E3511" s="2" t="n">
        <f aca="false">'Raw Data'!Q3511</f>
        <v>3</v>
      </c>
      <c r="F3511" s="2" t="n">
        <f aca="false">'Raw Data'!U3511</f>
        <v>2</v>
      </c>
      <c r="G3511" s="2" t="n">
        <f aca="false">'Raw Data'!W3511</f>
        <v>3</v>
      </c>
      <c r="H3511" s="2" t="n">
        <f aca="false">'Raw Data'!V3511</f>
        <v>3</v>
      </c>
      <c r="I3511" s="2" t="n">
        <f aca="false">IF(AND(ISNUMBER(B3511),B3511&lt;=25),2,0)+IF(AND(ISNUMBER(E3511),E3511&lt;=5),2,0)+IF(AND(ISNUMBER(F3511),F3511&lt;=1),2,0)+IF(AND(ISNUMBER(G3511),G3511&lt;=2),1,0)+IF(AND(ISNUMBER(H3511),H3511&lt;=2),1,0)</f>
        <v>2</v>
      </c>
      <c r="J3511" s="2" t="str">
        <f aca="false">IF(I3511&gt;=6,"High",IF(I3511&gt;=3,"Medium","Low"))</f>
        <v>Low</v>
      </c>
    </row>
    <row r="3512" customFormat="false" ht="15" hidden="false" customHeight="true" outlineLevel="0" collapsed="false">
      <c r="A3512" s="2" t="n">
        <f aca="false">'Raw Data'!H3512</f>
        <v>3511</v>
      </c>
      <c r="B3512" s="2" t="n">
        <f aca="false">'Raw Data'!A3512</f>
        <v>18</v>
      </c>
      <c r="C3512" s="2" t="str">
        <f aca="false">'Raw Data'!D3512</f>
        <v>Research &amp; Development</v>
      </c>
      <c r="D3512" s="2" t="str">
        <f aca="false">'Raw Data'!K3512</f>
        <v>Laboratory Technician</v>
      </c>
      <c r="E3512" s="2" t="n">
        <f aca="false">'Raw Data'!Q3512</f>
        <v>0</v>
      </c>
      <c r="F3512" s="2" t="n">
        <f aca="false">'Raw Data'!U3512</f>
        <v>0</v>
      </c>
      <c r="G3512" s="2" t="n">
        <f aca="false">'Raw Data'!W3512</f>
        <v>3</v>
      </c>
      <c r="H3512" s="2" t="n">
        <f aca="false">'Raw Data'!V3512</f>
        <v>3</v>
      </c>
      <c r="I3512" s="2" t="n">
        <f aca="false">IF(AND(ISNUMBER(B3512),B3512&lt;=25),2,0)+IF(AND(ISNUMBER(E3512),E3512&lt;=5),2,0)+IF(AND(ISNUMBER(F3512),F3512&lt;=1),2,0)+IF(AND(ISNUMBER(G3512),G3512&lt;=2),1,0)+IF(AND(ISNUMBER(H3512),H3512&lt;=2),1,0)</f>
        <v>6</v>
      </c>
      <c r="J3512" s="2" t="str">
        <f aca="false">IF(I3512&gt;=6,"High",IF(I3512&gt;=3,"Medium","Low"))</f>
        <v>High</v>
      </c>
    </row>
    <row r="3513" customFormat="false" ht="15" hidden="false" customHeight="true" outlineLevel="0" collapsed="false">
      <c r="A3513" s="2" t="n">
        <f aca="false">'Raw Data'!H3513</f>
        <v>3512</v>
      </c>
      <c r="B3513" s="2" t="n">
        <f aca="false">'Raw Data'!A3513</f>
        <v>33</v>
      </c>
      <c r="C3513" s="2" t="str">
        <f aca="false">'Raw Data'!D3513</f>
        <v>Research &amp; Development</v>
      </c>
      <c r="D3513" s="2" t="str">
        <f aca="false">'Raw Data'!K3513</f>
        <v>Sales Executive</v>
      </c>
      <c r="E3513" s="2" t="n">
        <f aca="false">'Raw Data'!Q3513</f>
        <v>6</v>
      </c>
      <c r="F3513" s="2" t="n">
        <f aca="false">'Raw Data'!U3513</f>
        <v>3</v>
      </c>
      <c r="G3513" s="2" t="n">
        <f aca="false">'Raw Data'!W3513</f>
        <v>1</v>
      </c>
      <c r="H3513" s="2" t="n">
        <f aca="false">'Raw Data'!V3513</f>
        <v>1</v>
      </c>
      <c r="I3513" s="2" t="n">
        <f aca="false">IF(AND(ISNUMBER(B3513),B3513&lt;=25),2,0)+IF(AND(ISNUMBER(E3513),E3513&lt;=5),2,0)+IF(AND(ISNUMBER(F3513),F3513&lt;=1),2,0)+IF(AND(ISNUMBER(G3513),G3513&lt;=2),1,0)+IF(AND(ISNUMBER(H3513),H3513&lt;=2),1,0)</f>
        <v>2</v>
      </c>
      <c r="J3513" s="2" t="str">
        <f aca="false">IF(I3513&gt;=6,"High",IF(I3513&gt;=3,"Medium","Low"))</f>
        <v>Low</v>
      </c>
    </row>
    <row r="3514" customFormat="false" ht="15" hidden="false" customHeight="true" outlineLevel="0" collapsed="false">
      <c r="A3514" s="2" t="n">
        <f aca="false">'Raw Data'!H3514</f>
        <v>3513</v>
      </c>
      <c r="B3514" s="2" t="n">
        <f aca="false">'Raw Data'!A3514</f>
        <v>41</v>
      </c>
      <c r="C3514" s="2" t="str">
        <f aca="false">'Raw Data'!D3514</f>
        <v>Research &amp; Development</v>
      </c>
      <c r="D3514" s="2" t="str">
        <f aca="false">'Raw Data'!K3514</f>
        <v>Research Scientist</v>
      </c>
      <c r="E3514" s="2" t="n">
        <f aca="false">'Raw Data'!Q3514</f>
        <v>6</v>
      </c>
      <c r="F3514" s="2" t="n">
        <f aca="false">'Raw Data'!U3514</f>
        <v>0</v>
      </c>
      <c r="G3514" s="2" t="n">
        <f aca="false">'Raw Data'!W3514</f>
        <v>4</v>
      </c>
      <c r="H3514" s="2" t="n">
        <f aca="false">'Raw Data'!V3514</f>
        <v>2</v>
      </c>
      <c r="I3514" s="2" t="n">
        <f aca="false">IF(AND(ISNUMBER(B3514),B3514&lt;=25),2,0)+IF(AND(ISNUMBER(E3514),E3514&lt;=5),2,0)+IF(AND(ISNUMBER(F3514),F3514&lt;=1),2,0)+IF(AND(ISNUMBER(G3514),G3514&lt;=2),1,0)+IF(AND(ISNUMBER(H3514),H3514&lt;=2),1,0)</f>
        <v>3</v>
      </c>
      <c r="J3514" s="2" t="str">
        <f aca="false">IF(I3514&gt;=6,"High",IF(I3514&gt;=3,"Medium","Low"))</f>
        <v>Medium</v>
      </c>
    </row>
    <row r="3515" customFormat="false" ht="15" hidden="false" customHeight="true" outlineLevel="0" collapsed="false">
      <c r="A3515" s="2" t="n">
        <f aca="false">'Raw Data'!H3515</f>
        <v>3514</v>
      </c>
      <c r="B3515" s="2" t="n">
        <f aca="false">'Raw Data'!A3515</f>
        <v>31</v>
      </c>
      <c r="C3515" s="2" t="str">
        <f aca="false">'Raw Data'!D3515</f>
        <v>Sales</v>
      </c>
      <c r="D3515" s="2" t="str">
        <f aca="false">'Raw Data'!K3515</f>
        <v>Research Director</v>
      </c>
      <c r="E3515" s="2" t="n">
        <f aca="false">'Raw Data'!Q3515</f>
        <v>2</v>
      </c>
      <c r="F3515" s="2" t="n">
        <f aca="false">'Raw Data'!U3515</f>
        <v>2</v>
      </c>
      <c r="G3515" s="2" t="n">
        <f aca="false">'Raw Data'!W3515</f>
        <v>3</v>
      </c>
      <c r="H3515" s="2" t="n">
        <f aca="false">'Raw Data'!V3515</f>
        <v>3</v>
      </c>
      <c r="I3515" s="2" t="n">
        <f aca="false">IF(AND(ISNUMBER(B3515),B3515&lt;=25),2,0)+IF(AND(ISNUMBER(E3515),E3515&lt;=5),2,0)+IF(AND(ISNUMBER(F3515),F3515&lt;=1),2,0)+IF(AND(ISNUMBER(G3515),G3515&lt;=2),1,0)+IF(AND(ISNUMBER(H3515),H3515&lt;=2),1,0)</f>
        <v>2</v>
      </c>
      <c r="J3515" s="2" t="str">
        <f aca="false">IF(I3515&gt;=6,"High",IF(I3515&gt;=3,"Medium","Low"))</f>
        <v>Low</v>
      </c>
    </row>
    <row r="3516" customFormat="false" ht="15" hidden="false" customHeight="true" outlineLevel="0" collapsed="false">
      <c r="A3516" s="2" t="n">
        <f aca="false">'Raw Data'!H3516</f>
        <v>3515</v>
      </c>
      <c r="B3516" s="2" t="n">
        <f aca="false">'Raw Data'!A3516</f>
        <v>37</v>
      </c>
      <c r="C3516" s="2" t="str">
        <f aca="false">'Raw Data'!D3516</f>
        <v>Research &amp; Development</v>
      </c>
      <c r="D3516" s="2" t="str">
        <f aca="false">'Raw Data'!K3516</f>
        <v>Manufacturing Director</v>
      </c>
      <c r="E3516" s="2" t="n">
        <f aca="false">'Raw Data'!Q3516</f>
        <v>9</v>
      </c>
      <c r="F3516" s="2" t="n">
        <f aca="false">'Raw Data'!U3516</f>
        <v>3</v>
      </c>
      <c r="G3516" s="2" t="n">
        <f aca="false">'Raw Data'!W3516</f>
        <v>4</v>
      </c>
      <c r="H3516" s="2" t="n">
        <f aca="false">'Raw Data'!V3516</f>
        <v>3</v>
      </c>
      <c r="I3516" s="2" t="n">
        <f aca="false">IF(AND(ISNUMBER(B3516),B3516&lt;=25),2,0)+IF(AND(ISNUMBER(E3516),E3516&lt;=5),2,0)+IF(AND(ISNUMBER(F3516),F3516&lt;=1),2,0)+IF(AND(ISNUMBER(G3516),G3516&lt;=2),1,0)+IF(AND(ISNUMBER(H3516),H3516&lt;=2),1,0)</f>
        <v>0</v>
      </c>
      <c r="J3516" s="2" t="str">
        <f aca="false">IF(I3516&gt;=6,"High",IF(I3516&gt;=3,"Medium","Low"))</f>
        <v>Low</v>
      </c>
    </row>
    <row r="3517" customFormat="false" ht="15" hidden="false" customHeight="true" outlineLevel="0" collapsed="false">
      <c r="A3517" s="2" t="n">
        <f aca="false">'Raw Data'!H3517</f>
        <v>3516</v>
      </c>
      <c r="B3517" s="2" t="n">
        <f aca="false">'Raw Data'!A3517</f>
        <v>27</v>
      </c>
      <c r="C3517" s="2" t="str">
        <f aca="false">'Raw Data'!D3517</f>
        <v>Research &amp; Development</v>
      </c>
      <c r="D3517" s="2" t="str">
        <f aca="false">'Raw Data'!K3517</f>
        <v>Healthcare Representative</v>
      </c>
      <c r="E3517" s="2" t="n">
        <f aca="false">'Raw Data'!Q3517</f>
        <v>4</v>
      </c>
      <c r="F3517" s="2" t="n">
        <f aca="false">'Raw Data'!U3517</f>
        <v>2</v>
      </c>
      <c r="G3517" s="2" t="n">
        <f aca="false">'Raw Data'!W3517</f>
        <v>3</v>
      </c>
      <c r="H3517" s="2" t="n">
        <f aca="false">'Raw Data'!V3517</f>
        <v>4</v>
      </c>
      <c r="I3517" s="2" t="n">
        <f aca="false">IF(AND(ISNUMBER(B3517),B3517&lt;=25),2,0)+IF(AND(ISNUMBER(E3517),E3517&lt;=5),2,0)+IF(AND(ISNUMBER(F3517),F3517&lt;=1),2,0)+IF(AND(ISNUMBER(G3517),G3517&lt;=2),1,0)+IF(AND(ISNUMBER(H3517),H3517&lt;=2),1,0)</f>
        <v>2</v>
      </c>
      <c r="J3517" s="2" t="str">
        <f aca="false">IF(I3517&gt;=6,"High",IF(I3517&gt;=3,"Medium","Low"))</f>
        <v>Low</v>
      </c>
    </row>
    <row r="3518" customFormat="false" ht="15" hidden="false" customHeight="true" outlineLevel="0" collapsed="false">
      <c r="A3518" s="2" t="n">
        <f aca="false">'Raw Data'!H3518</f>
        <v>3517</v>
      </c>
      <c r="B3518" s="2" t="n">
        <f aca="false">'Raw Data'!A3518</f>
        <v>34</v>
      </c>
      <c r="C3518" s="2" t="str">
        <f aca="false">'Raw Data'!D3518</f>
        <v>Sales</v>
      </c>
      <c r="D3518" s="2" t="str">
        <f aca="false">'Raw Data'!K3518</f>
        <v>Laboratory Technician</v>
      </c>
      <c r="E3518" s="2" t="n">
        <f aca="false">'Raw Data'!Q3518</f>
        <v>6</v>
      </c>
      <c r="F3518" s="2" t="n">
        <f aca="false">'Raw Data'!U3518</f>
        <v>3</v>
      </c>
      <c r="G3518" s="2" t="n">
        <f aca="false">'Raw Data'!W3518</f>
        <v>3</v>
      </c>
      <c r="H3518" s="2" t="n">
        <f aca="false">'Raw Data'!V3518</f>
        <v>2</v>
      </c>
      <c r="I3518" s="2" t="n">
        <f aca="false">IF(AND(ISNUMBER(B3518),B3518&lt;=25),2,0)+IF(AND(ISNUMBER(E3518),E3518&lt;=5),2,0)+IF(AND(ISNUMBER(F3518),F3518&lt;=1),2,0)+IF(AND(ISNUMBER(G3518),G3518&lt;=2),1,0)+IF(AND(ISNUMBER(H3518),H3518&lt;=2),1,0)</f>
        <v>1</v>
      </c>
      <c r="J3518" s="2" t="str">
        <f aca="false">IF(I3518&gt;=6,"High",IF(I3518&gt;=3,"Medium","Low"))</f>
        <v>Low</v>
      </c>
    </row>
    <row r="3519" customFormat="false" ht="15" hidden="false" customHeight="true" outlineLevel="0" collapsed="false">
      <c r="A3519" s="2" t="n">
        <f aca="false">'Raw Data'!H3519</f>
        <v>3518</v>
      </c>
      <c r="B3519" s="2" t="n">
        <f aca="false">'Raw Data'!A3519</f>
        <v>35</v>
      </c>
      <c r="C3519" s="2" t="str">
        <f aca="false">'Raw Data'!D3519</f>
        <v>Research &amp; Development</v>
      </c>
      <c r="D3519" s="2" t="str">
        <f aca="false">'Raw Data'!K3519</f>
        <v>Laboratory Technician</v>
      </c>
      <c r="E3519" s="2" t="n">
        <f aca="false">'Raw Data'!Q3519</f>
        <v>6</v>
      </c>
      <c r="F3519" s="2" t="n">
        <f aca="false">'Raw Data'!U3519</f>
        <v>4</v>
      </c>
      <c r="G3519" s="2" t="n">
        <f aca="false">'Raw Data'!W3519</f>
        <v>3</v>
      </c>
      <c r="H3519" s="2" t="n">
        <f aca="false">'Raw Data'!V3519</f>
        <v>3</v>
      </c>
      <c r="I3519" s="2" t="n">
        <f aca="false">IF(AND(ISNUMBER(B3519),B3519&lt;=25),2,0)+IF(AND(ISNUMBER(E3519),E3519&lt;=5),2,0)+IF(AND(ISNUMBER(F3519),F3519&lt;=1),2,0)+IF(AND(ISNUMBER(G3519),G3519&lt;=2),1,0)+IF(AND(ISNUMBER(H3519),H3519&lt;=2),1,0)</f>
        <v>0</v>
      </c>
      <c r="J3519" s="2" t="str">
        <f aca="false">IF(I3519&gt;=6,"High",IF(I3519&gt;=3,"Medium","Low"))</f>
        <v>Low</v>
      </c>
    </row>
    <row r="3520" customFormat="false" ht="15" hidden="false" customHeight="true" outlineLevel="0" collapsed="false">
      <c r="A3520" s="2" t="n">
        <f aca="false">'Raw Data'!H3520</f>
        <v>3519</v>
      </c>
      <c r="B3520" s="2" t="n">
        <f aca="false">'Raw Data'!A3520</f>
        <v>29</v>
      </c>
      <c r="C3520" s="2" t="str">
        <f aca="false">'Raw Data'!D3520</f>
        <v>Research &amp; Development</v>
      </c>
      <c r="D3520" s="2" t="str">
        <f aca="false">'Raw Data'!K3520</f>
        <v>Sales Executive</v>
      </c>
      <c r="E3520" s="2" t="n">
        <f aca="false">'Raw Data'!Q3520</f>
        <v>11</v>
      </c>
      <c r="F3520" s="2" t="n">
        <f aca="false">'Raw Data'!U3520</f>
        <v>10</v>
      </c>
      <c r="G3520" s="2" t="n">
        <f aca="false">'Raw Data'!W3520</f>
        <v>1</v>
      </c>
      <c r="H3520" s="2" t="n">
        <f aca="false">'Raw Data'!V3520</f>
        <v>4</v>
      </c>
      <c r="I3520" s="2" t="n">
        <f aca="false">IF(AND(ISNUMBER(B3520),B3520&lt;=25),2,0)+IF(AND(ISNUMBER(E3520),E3520&lt;=5),2,0)+IF(AND(ISNUMBER(F3520),F3520&lt;=1),2,0)+IF(AND(ISNUMBER(G3520),G3520&lt;=2),1,0)+IF(AND(ISNUMBER(H3520),H3520&lt;=2),1,0)</f>
        <v>1</v>
      </c>
      <c r="J3520" s="2" t="str">
        <f aca="false">IF(I3520&gt;=6,"High",IF(I3520&gt;=3,"Medium","Low"))</f>
        <v>Low</v>
      </c>
    </row>
    <row r="3521" customFormat="false" ht="15" hidden="false" customHeight="true" outlineLevel="0" collapsed="false">
      <c r="A3521" s="2" t="n">
        <f aca="false">'Raw Data'!H3521</f>
        <v>3520</v>
      </c>
      <c r="B3521" s="2" t="n">
        <f aca="false">'Raw Data'!A3521</f>
        <v>40</v>
      </c>
      <c r="C3521" s="2" t="str">
        <f aca="false">'Raw Data'!D3521</f>
        <v>Research &amp; Development</v>
      </c>
      <c r="D3521" s="2" t="str">
        <f aca="false">'Raw Data'!K3521</f>
        <v>Human Resources</v>
      </c>
      <c r="E3521" s="2" t="n">
        <f aca="false">'Raw Data'!Q3521</f>
        <v>20</v>
      </c>
      <c r="F3521" s="2" t="n">
        <f aca="false">'Raw Data'!U3521</f>
        <v>13</v>
      </c>
      <c r="G3521" s="2" t="n">
        <f aca="false">'Raw Data'!W3521</f>
        <v>3</v>
      </c>
      <c r="H3521" s="2" t="n">
        <f aca="false">'Raw Data'!V3521</f>
        <v>2</v>
      </c>
      <c r="I3521" s="2" t="n">
        <f aca="false">IF(AND(ISNUMBER(B3521),B3521&lt;=25),2,0)+IF(AND(ISNUMBER(E3521),E3521&lt;=5),2,0)+IF(AND(ISNUMBER(F3521),F3521&lt;=1),2,0)+IF(AND(ISNUMBER(G3521),G3521&lt;=2),1,0)+IF(AND(ISNUMBER(H3521),H3521&lt;=2),1,0)</f>
        <v>1</v>
      </c>
      <c r="J3521" s="2" t="str">
        <f aca="false">IF(I3521&gt;=6,"High",IF(I3521&gt;=3,"Medium","Low"))</f>
        <v>Low</v>
      </c>
    </row>
    <row r="3522" customFormat="false" ht="15" hidden="false" customHeight="true" outlineLevel="0" collapsed="false">
      <c r="A3522" s="2" t="n">
        <f aca="false">'Raw Data'!H3522</f>
        <v>3521</v>
      </c>
      <c r="B3522" s="2" t="n">
        <f aca="false">'Raw Data'!A3522</f>
        <v>42</v>
      </c>
      <c r="C3522" s="2" t="str">
        <f aca="false">'Raw Data'!D3522</f>
        <v>Sales</v>
      </c>
      <c r="D3522" s="2" t="str">
        <f aca="false">'Raw Data'!K3522</f>
        <v>Laboratory Technician</v>
      </c>
      <c r="E3522" s="2" t="n">
        <f aca="false">'Raw Data'!Q3522</f>
        <v>22</v>
      </c>
      <c r="F3522" s="2" t="n">
        <f aca="false">'Raw Data'!U3522</f>
        <v>14</v>
      </c>
      <c r="G3522" s="2" t="n">
        <f aca="false">'Raw Data'!W3522</f>
        <v>1</v>
      </c>
      <c r="H3522" s="2" t="n">
        <f aca="false">'Raw Data'!V3522</f>
        <v>3</v>
      </c>
      <c r="I3522" s="2" t="n">
        <f aca="false">IF(AND(ISNUMBER(B3522),B3522&lt;=25),2,0)+IF(AND(ISNUMBER(E3522),E3522&lt;=5),2,0)+IF(AND(ISNUMBER(F3522),F3522&lt;=1),2,0)+IF(AND(ISNUMBER(G3522),G3522&lt;=2),1,0)+IF(AND(ISNUMBER(H3522),H3522&lt;=2),1,0)</f>
        <v>1</v>
      </c>
      <c r="J3522" s="2" t="str">
        <f aca="false">IF(I3522&gt;=6,"High",IF(I3522&gt;=3,"Medium","Low"))</f>
        <v>Low</v>
      </c>
    </row>
    <row r="3523" customFormat="false" ht="15" hidden="false" customHeight="true" outlineLevel="0" collapsed="false">
      <c r="A3523" s="2" t="n">
        <f aca="false">'Raw Data'!H3523</f>
        <v>3522</v>
      </c>
      <c r="B3523" s="2" t="n">
        <f aca="false">'Raw Data'!A3523</f>
        <v>42</v>
      </c>
      <c r="C3523" s="2" t="str">
        <f aca="false">'Raw Data'!D3523</f>
        <v>Research &amp; Development</v>
      </c>
      <c r="D3523" s="2" t="str">
        <f aca="false">'Raw Data'!K3523</f>
        <v>Laboratory Technician</v>
      </c>
      <c r="E3523" s="2" t="n">
        <f aca="false">'Raw Data'!Q3523</f>
        <v>9</v>
      </c>
      <c r="F3523" s="2" t="n">
        <f aca="false">'Raw Data'!U3523</f>
        <v>5</v>
      </c>
      <c r="G3523" s="2" t="n">
        <f aca="false">'Raw Data'!W3523</f>
        <v>1</v>
      </c>
      <c r="H3523" s="2" t="n">
        <f aca="false">'Raw Data'!V3523</f>
        <v>2</v>
      </c>
      <c r="I3523" s="2" t="n">
        <f aca="false">IF(AND(ISNUMBER(B3523),B3523&lt;=25),2,0)+IF(AND(ISNUMBER(E3523),E3523&lt;=5),2,0)+IF(AND(ISNUMBER(F3523),F3523&lt;=1),2,0)+IF(AND(ISNUMBER(G3523),G3523&lt;=2),1,0)+IF(AND(ISNUMBER(H3523),H3523&lt;=2),1,0)</f>
        <v>2</v>
      </c>
      <c r="J3523" s="2" t="str">
        <f aca="false">IF(I3523&gt;=6,"High",IF(I3523&gt;=3,"Medium","Low"))</f>
        <v>Low</v>
      </c>
    </row>
    <row r="3524" customFormat="false" ht="15" hidden="false" customHeight="true" outlineLevel="0" collapsed="false">
      <c r="A3524" s="2" t="n">
        <f aca="false">'Raw Data'!H3524</f>
        <v>3523</v>
      </c>
      <c r="B3524" s="2" t="n">
        <f aca="false">'Raw Data'!A3524</f>
        <v>35</v>
      </c>
      <c r="C3524" s="2" t="str">
        <f aca="false">'Raw Data'!D3524</f>
        <v>Research &amp; Development</v>
      </c>
      <c r="D3524" s="2" t="str">
        <f aca="false">'Raw Data'!K3524</f>
        <v>Healthcare Representative</v>
      </c>
      <c r="E3524" s="2" t="n">
        <f aca="false">'Raw Data'!Q3524</f>
        <v>10</v>
      </c>
      <c r="F3524" s="2" t="n">
        <f aca="false">'Raw Data'!U3524</f>
        <v>7</v>
      </c>
      <c r="G3524" s="2" t="n">
        <f aca="false">'Raw Data'!W3524</f>
        <v>3</v>
      </c>
      <c r="H3524" s="2" t="n">
        <f aca="false">'Raw Data'!V3524</f>
        <v>4</v>
      </c>
      <c r="I3524" s="2" t="n">
        <f aca="false">IF(AND(ISNUMBER(B3524),B3524&lt;=25),2,0)+IF(AND(ISNUMBER(E3524),E3524&lt;=5),2,0)+IF(AND(ISNUMBER(F3524),F3524&lt;=1),2,0)+IF(AND(ISNUMBER(G3524),G3524&lt;=2),1,0)+IF(AND(ISNUMBER(H3524),H3524&lt;=2),1,0)</f>
        <v>0</v>
      </c>
      <c r="J3524" s="2" t="str">
        <f aca="false">IF(I3524&gt;=6,"High",IF(I3524&gt;=3,"Medium","Low"))</f>
        <v>Low</v>
      </c>
    </row>
    <row r="3525" customFormat="false" ht="15" hidden="false" customHeight="true" outlineLevel="0" collapsed="false">
      <c r="A3525" s="2" t="n">
        <f aca="false">'Raw Data'!H3525</f>
        <v>3524</v>
      </c>
      <c r="B3525" s="2" t="n">
        <f aca="false">'Raw Data'!A3525</f>
        <v>24</v>
      </c>
      <c r="C3525" s="2" t="str">
        <f aca="false">'Raw Data'!D3525</f>
        <v>Sales</v>
      </c>
      <c r="D3525" s="2" t="str">
        <f aca="false">'Raw Data'!K3525</f>
        <v>Laboratory Technician</v>
      </c>
      <c r="E3525" s="2" t="n">
        <f aca="false">'Raw Data'!Q3525</f>
        <v>6</v>
      </c>
      <c r="F3525" s="2" t="n">
        <f aca="false">'Raw Data'!U3525</f>
        <v>2</v>
      </c>
      <c r="G3525" s="2" t="n">
        <f aca="false">'Raw Data'!W3525</f>
        <v>2</v>
      </c>
      <c r="H3525" s="2" t="n">
        <f aca="false">'Raw Data'!V3525</f>
        <v>4</v>
      </c>
      <c r="I3525" s="2" t="n">
        <f aca="false">IF(AND(ISNUMBER(B3525),B3525&lt;=25),2,0)+IF(AND(ISNUMBER(E3525),E3525&lt;=5),2,0)+IF(AND(ISNUMBER(F3525),F3525&lt;=1),2,0)+IF(AND(ISNUMBER(G3525),G3525&lt;=2),1,0)+IF(AND(ISNUMBER(H3525),H3525&lt;=2),1,0)</f>
        <v>3</v>
      </c>
      <c r="J3525" s="2" t="str">
        <f aca="false">IF(I3525&gt;=6,"High",IF(I3525&gt;=3,"Medium","Low"))</f>
        <v>Medium</v>
      </c>
    </row>
    <row r="3526" customFormat="false" ht="15" hidden="false" customHeight="true" outlineLevel="0" collapsed="false">
      <c r="A3526" s="2" t="n">
        <f aca="false">'Raw Data'!H3526</f>
        <v>3525</v>
      </c>
      <c r="B3526" s="2" t="n">
        <f aca="false">'Raw Data'!A3526</f>
        <v>28</v>
      </c>
      <c r="C3526" s="2" t="str">
        <f aca="false">'Raw Data'!D3526</f>
        <v>Research &amp; Development</v>
      </c>
      <c r="D3526" s="2" t="str">
        <f aca="false">'Raw Data'!K3526</f>
        <v>Sales Executive</v>
      </c>
      <c r="E3526" s="2" t="n">
        <f aca="false">'Raw Data'!Q3526</f>
        <v>1</v>
      </c>
      <c r="F3526" s="2" t="n">
        <f aca="false">'Raw Data'!U3526</f>
        <v>0</v>
      </c>
      <c r="G3526" s="2" t="n">
        <f aca="false">'Raw Data'!W3526</f>
        <v>4</v>
      </c>
      <c r="H3526" s="2" t="n">
        <f aca="false">'Raw Data'!V3526</f>
        <v>3</v>
      </c>
      <c r="I3526" s="2" t="n">
        <f aca="false">IF(AND(ISNUMBER(B3526),B3526&lt;=25),2,0)+IF(AND(ISNUMBER(E3526),E3526&lt;=5),2,0)+IF(AND(ISNUMBER(F3526),F3526&lt;=1),2,0)+IF(AND(ISNUMBER(G3526),G3526&lt;=2),1,0)+IF(AND(ISNUMBER(H3526),H3526&lt;=2),1,0)</f>
        <v>4</v>
      </c>
      <c r="J3526" s="2" t="str">
        <f aca="false">IF(I3526&gt;=6,"High",IF(I3526&gt;=3,"Medium","Low"))</f>
        <v>Medium</v>
      </c>
    </row>
    <row r="3527" customFormat="false" ht="15" hidden="false" customHeight="true" outlineLevel="0" collapsed="false">
      <c r="A3527" s="2" t="n">
        <f aca="false">'Raw Data'!H3527</f>
        <v>3526</v>
      </c>
      <c r="B3527" s="2" t="n">
        <f aca="false">'Raw Data'!A3527</f>
        <v>26</v>
      </c>
      <c r="C3527" s="2" t="str">
        <f aca="false">'Raw Data'!D3527</f>
        <v>Research &amp; Development</v>
      </c>
      <c r="D3527" s="2" t="str">
        <f aca="false">'Raw Data'!K3527</f>
        <v>Sales Representative</v>
      </c>
      <c r="E3527" s="2" t="n">
        <f aca="false">'Raw Data'!Q3527</f>
        <v>8</v>
      </c>
      <c r="F3527" s="2" t="n">
        <f aca="false">'Raw Data'!U3527</f>
        <v>7</v>
      </c>
      <c r="G3527" s="2" t="n">
        <f aca="false">'Raw Data'!W3527</f>
        <v>4</v>
      </c>
      <c r="H3527" s="2" t="n">
        <f aca="false">'Raw Data'!V3527</f>
        <v>1</v>
      </c>
      <c r="I3527" s="2" t="n">
        <f aca="false">IF(AND(ISNUMBER(B3527),B3527&lt;=25),2,0)+IF(AND(ISNUMBER(E3527),E3527&lt;=5),2,0)+IF(AND(ISNUMBER(F3527),F3527&lt;=1),2,0)+IF(AND(ISNUMBER(G3527),G3527&lt;=2),1,0)+IF(AND(ISNUMBER(H3527),H3527&lt;=2),1,0)</f>
        <v>1</v>
      </c>
      <c r="J3527" s="2" t="str">
        <f aca="false">IF(I3527&gt;=6,"High",IF(I3527&gt;=3,"Medium","Low"))</f>
        <v>Low</v>
      </c>
    </row>
    <row r="3528" customFormat="false" ht="15" hidden="false" customHeight="true" outlineLevel="0" collapsed="false">
      <c r="A3528" s="2" t="n">
        <f aca="false">'Raw Data'!H3528</f>
        <v>3527</v>
      </c>
      <c r="B3528" s="2" t="n">
        <f aca="false">'Raw Data'!A3528</f>
        <v>30</v>
      </c>
      <c r="C3528" s="2" t="str">
        <f aca="false">'Raw Data'!D3528</f>
        <v>Research &amp; Development</v>
      </c>
      <c r="D3528" s="2" t="str">
        <f aca="false">'Raw Data'!K3528</f>
        <v>Manufacturing Director</v>
      </c>
      <c r="E3528" s="2" t="n">
        <f aca="false">'Raw Data'!Q3528</f>
        <v>10</v>
      </c>
      <c r="F3528" s="2" t="n">
        <f aca="false">'Raw Data'!U3528</f>
        <v>4</v>
      </c>
      <c r="G3528" s="2" t="n">
        <f aca="false">'Raw Data'!W3528</f>
        <v>0</v>
      </c>
      <c r="H3528" s="2" t="n">
        <f aca="false">'Raw Data'!V3528</f>
        <v>3</v>
      </c>
      <c r="I3528" s="2" t="n">
        <f aca="false">IF(AND(ISNUMBER(B3528),B3528&lt;=25),2,0)+IF(AND(ISNUMBER(E3528),E3528&lt;=5),2,0)+IF(AND(ISNUMBER(F3528),F3528&lt;=1),2,0)+IF(AND(ISNUMBER(G3528),G3528&lt;=2),1,0)+IF(AND(ISNUMBER(H3528),H3528&lt;=2),1,0)</f>
        <v>0</v>
      </c>
      <c r="J3528" s="2" t="str">
        <f aca="false">IF(I3528&gt;=6,"High",IF(I3528&gt;=3,"Medium","Low"))</f>
        <v>Low</v>
      </c>
    </row>
    <row r="3529" customFormat="false" ht="15" hidden="false" customHeight="true" outlineLevel="0" collapsed="false">
      <c r="A3529" s="2" t="n">
        <f aca="false">'Raw Data'!H3529</f>
        <v>3528</v>
      </c>
      <c r="B3529" s="2" t="n">
        <f aca="false">'Raw Data'!A3529</f>
        <v>40</v>
      </c>
      <c r="C3529" s="2" t="str">
        <f aca="false">'Raw Data'!D3529</f>
        <v>Research &amp; Development</v>
      </c>
      <c r="D3529" s="2" t="str">
        <f aca="false">'Raw Data'!K3529</f>
        <v>Research Scientist</v>
      </c>
      <c r="E3529" s="2" t="n">
        <f aca="false">'Raw Data'!Q3529</f>
        <v>16</v>
      </c>
      <c r="F3529" s="2" t="n">
        <f aca="false">'Raw Data'!U3529</f>
        <v>0</v>
      </c>
      <c r="G3529" s="2" t="n">
        <f aca="false">'Raw Data'!W3529</f>
        <v>4</v>
      </c>
      <c r="H3529" s="2" t="n">
        <f aca="false">'Raw Data'!V3529</f>
        <v>3</v>
      </c>
      <c r="I3529" s="2" t="n">
        <f aca="false">IF(AND(ISNUMBER(B3529),B3529&lt;=25),2,0)+IF(AND(ISNUMBER(E3529),E3529&lt;=5),2,0)+IF(AND(ISNUMBER(F3529),F3529&lt;=1),2,0)+IF(AND(ISNUMBER(G3529),G3529&lt;=2),1,0)+IF(AND(ISNUMBER(H3529),H3529&lt;=2),1,0)</f>
        <v>2</v>
      </c>
      <c r="J3529" s="2" t="str">
        <f aca="false">IF(I3529&gt;=6,"High",IF(I3529&gt;=3,"Medium","Low"))</f>
        <v>Low</v>
      </c>
    </row>
    <row r="3530" customFormat="false" ht="15" hidden="false" customHeight="true" outlineLevel="0" collapsed="false">
      <c r="A3530" s="2" t="n">
        <f aca="false">'Raw Data'!H3530</f>
        <v>3529</v>
      </c>
      <c r="B3530" s="2" t="n">
        <f aca="false">'Raw Data'!A3530</f>
        <v>35</v>
      </c>
      <c r="C3530" s="2" t="str">
        <f aca="false">'Raw Data'!D3530</f>
        <v>Research &amp; Development</v>
      </c>
      <c r="D3530" s="2" t="str">
        <f aca="false">'Raw Data'!K3530</f>
        <v>Research Scientist</v>
      </c>
      <c r="E3530" s="2" t="n">
        <f aca="false">'Raw Data'!Q3530</f>
        <v>15</v>
      </c>
      <c r="F3530" s="2" t="n">
        <f aca="false">'Raw Data'!U3530</f>
        <v>4</v>
      </c>
      <c r="G3530" s="2" t="n">
        <f aca="false">'Raw Data'!W3530</f>
        <v>2</v>
      </c>
      <c r="H3530" s="2" t="n">
        <f aca="false">'Raw Data'!V3530</f>
        <v>3</v>
      </c>
      <c r="I3530" s="2" t="n">
        <f aca="false">IF(AND(ISNUMBER(B3530),B3530&lt;=25),2,0)+IF(AND(ISNUMBER(E3530),E3530&lt;=5),2,0)+IF(AND(ISNUMBER(F3530),F3530&lt;=1),2,0)+IF(AND(ISNUMBER(G3530),G3530&lt;=2),1,0)+IF(AND(ISNUMBER(H3530),H3530&lt;=2),1,0)</f>
        <v>1</v>
      </c>
      <c r="J3530" s="2" t="str">
        <f aca="false">IF(I3530&gt;=6,"High",IF(I3530&gt;=3,"Medium","Low"))</f>
        <v>Low</v>
      </c>
    </row>
    <row r="3531" customFormat="false" ht="15" hidden="false" customHeight="true" outlineLevel="0" collapsed="false">
      <c r="A3531" s="2" t="n">
        <f aca="false">'Raw Data'!H3531</f>
        <v>3530</v>
      </c>
      <c r="B3531" s="2" t="n">
        <f aca="false">'Raw Data'!A3531</f>
        <v>34</v>
      </c>
      <c r="C3531" s="2" t="str">
        <f aca="false">'Raw Data'!D3531</f>
        <v>Research &amp; Development</v>
      </c>
      <c r="D3531" s="2" t="str">
        <f aca="false">'Raw Data'!K3531</f>
        <v>Research Director</v>
      </c>
      <c r="E3531" s="2" t="n">
        <f aca="false">'Raw Data'!Q3531</f>
        <v>14</v>
      </c>
      <c r="F3531" s="2" t="n">
        <f aca="false">'Raw Data'!U3531</f>
        <v>9</v>
      </c>
      <c r="G3531" s="2" t="n">
        <f aca="false">'Raw Data'!W3531</f>
        <v>1</v>
      </c>
      <c r="H3531" s="2" t="n">
        <f aca="false">'Raw Data'!V3531</f>
        <v>4</v>
      </c>
      <c r="I3531" s="2" t="n">
        <f aca="false">IF(AND(ISNUMBER(B3531),B3531&lt;=25),2,0)+IF(AND(ISNUMBER(E3531),E3531&lt;=5),2,0)+IF(AND(ISNUMBER(F3531),F3531&lt;=1),2,0)+IF(AND(ISNUMBER(G3531),G3531&lt;=2),1,0)+IF(AND(ISNUMBER(H3531),H3531&lt;=2),1,0)</f>
        <v>1</v>
      </c>
      <c r="J3531" s="2" t="str">
        <f aca="false">IF(I3531&gt;=6,"High",IF(I3531&gt;=3,"Medium","Low"))</f>
        <v>Low</v>
      </c>
    </row>
    <row r="3532" customFormat="false" ht="15" hidden="false" customHeight="true" outlineLevel="0" collapsed="false">
      <c r="A3532" s="2" t="n">
        <f aca="false">'Raw Data'!H3532</f>
        <v>3531</v>
      </c>
      <c r="B3532" s="2" t="n">
        <f aca="false">'Raw Data'!A3532</f>
        <v>35</v>
      </c>
      <c r="C3532" s="2" t="str">
        <f aca="false">'Raw Data'!D3532</f>
        <v>Research &amp; Development</v>
      </c>
      <c r="D3532" s="2" t="str">
        <f aca="false">'Raw Data'!K3532</f>
        <v>Laboratory Technician</v>
      </c>
      <c r="E3532" s="2" t="n">
        <f aca="false">'Raw Data'!Q3532</f>
        <v>2</v>
      </c>
      <c r="F3532" s="2" t="n">
        <f aca="false">'Raw Data'!U3532</f>
        <v>2</v>
      </c>
      <c r="G3532" s="2" t="n">
        <f aca="false">'Raw Data'!W3532</f>
        <v>4</v>
      </c>
      <c r="H3532" s="2" t="n">
        <f aca="false">'Raw Data'!V3532</f>
        <v>4</v>
      </c>
      <c r="I3532" s="2" t="n">
        <f aca="false">IF(AND(ISNUMBER(B3532),B3532&lt;=25),2,0)+IF(AND(ISNUMBER(E3532),E3532&lt;=5),2,0)+IF(AND(ISNUMBER(F3532),F3532&lt;=1),2,0)+IF(AND(ISNUMBER(G3532),G3532&lt;=2),1,0)+IF(AND(ISNUMBER(H3532),H3532&lt;=2),1,0)</f>
        <v>2</v>
      </c>
      <c r="J3532" s="2" t="str">
        <f aca="false">IF(I3532&gt;=6,"High",IF(I3532&gt;=3,"Medium","Low"))</f>
        <v>Low</v>
      </c>
    </row>
    <row r="3533" customFormat="false" ht="15" hidden="false" customHeight="true" outlineLevel="0" collapsed="false">
      <c r="A3533" s="2" t="n">
        <f aca="false">'Raw Data'!H3533</f>
        <v>3532</v>
      </c>
      <c r="B3533" s="2" t="n">
        <f aca="false">'Raw Data'!A3533</f>
        <v>43</v>
      </c>
      <c r="C3533" s="2" t="str">
        <f aca="false">'Raw Data'!D3533</f>
        <v>Sales</v>
      </c>
      <c r="D3533" s="2" t="str">
        <f aca="false">'Raw Data'!K3533</f>
        <v>Research Scientist</v>
      </c>
      <c r="E3533" s="2" t="n">
        <f aca="false">'Raw Data'!Q3533</f>
        <v>7</v>
      </c>
      <c r="F3533" s="2" t="n">
        <f aca="false">'Raw Data'!U3533</f>
        <v>3</v>
      </c>
      <c r="G3533" s="2" t="n">
        <f aca="false">'Raw Data'!W3533</f>
        <v>3</v>
      </c>
      <c r="H3533" s="2" t="n">
        <f aca="false">'Raw Data'!V3533</f>
        <v>1</v>
      </c>
      <c r="I3533" s="2" t="n">
        <f aca="false">IF(AND(ISNUMBER(B3533),B3533&lt;=25),2,0)+IF(AND(ISNUMBER(E3533),E3533&lt;=5),2,0)+IF(AND(ISNUMBER(F3533),F3533&lt;=1),2,0)+IF(AND(ISNUMBER(G3533),G3533&lt;=2),1,0)+IF(AND(ISNUMBER(H3533),H3533&lt;=2),1,0)</f>
        <v>1</v>
      </c>
      <c r="J3533" s="2" t="str">
        <f aca="false">IF(I3533&gt;=6,"High",IF(I3533&gt;=3,"Medium","Low"))</f>
        <v>Low</v>
      </c>
    </row>
    <row r="3534" customFormat="false" ht="15" hidden="false" customHeight="true" outlineLevel="0" collapsed="false">
      <c r="A3534" s="2" t="n">
        <f aca="false">'Raw Data'!H3534</f>
        <v>3533</v>
      </c>
      <c r="B3534" s="2" t="n">
        <f aca="false">'Raw Data'!A3534</f>
        <v>32</v>
      </c>
      <c r="C3534" s="2" t="str">
        <f aca="false">'Raw Data'!D3534</f>
        <v>Research &amp; Development</v>
      </c>
      <c r="D3534" s="2" t="str">
        <f aca="false">'Raw Data'!K3534</f>
        <v>Research Scientist</v>
      </c>
      <c r="E3534" s="2" t="n">
        <f aca="false">'Raw Data'!Q3534</f>
        <v>1</v>
      </c>
      <c r="F3534" s="2" t="n">
        <f aca="false">'Raw Data'!U3534</f>
        <v>0</v>
      </c>
      <c r="G3534" s="2" t="n">
        <f aca="false">'Raw Data'!W3534</f>
        <v>1</v>
      </c>
      <c r="H3534" s="2" t="n">
        <f aca="false">'Raw Data'!V3534</f>
        <v>3</v>
      </c>
      <c r="I3534" s="2" t="n">
        <f aca="false">IF(AND(ISNUMBER(B3534),B3534&lt;=25),2,0)+IF(AND(ISNUMBER(E3534),E3534&lt;=5),2,0)+IF(AND(ISNUMBER(F3534),F3534&lt;=1),2,0)+IF(AND(ISNUMBER(G3534),G3534&lt;=2),1,0)+IF(AND(ISNUMBER(H3534),H3534&lt;=2),1,0)</f>
        <v>5</v>
      </c>
      <c r="J3534" s="2" t="str">
        <f aca="false">IF(I3534&gt;=6,"High",IF(I3534&gt;=3,"Medium","Low"))</f>
        <v>Medium</v>
      </c>
    </row>
    <row r="3535" customFormat="false" ht="15" hidden="false" customHeight="true" outlineLevel="0" collapsed="false">
      <c r="A3535" s="2" t="n">
        <f aca="false">'Raw Data'!H3535</f>
        <v>3534</v>
      </c>
      <c r="B3535" s="2" t="n">
        <f aca="false">'Raw Data'!A3535</f>
        <v>56</v>
      </c>
      <c r="C3535" s="2" t="str">
        <f aca="false">'Raw Data'!D3535</f>
        <v>Research &amp; Development</v>
      </c>
      <c r="D3535" s="2" t="str">
        <f aca="false">'Raw Data'!K3535</f>
        <v>Healthcare Representative</v>
      </c>
      <c r="E3535" s="2" t="n">
        <f aca="false">'Raw Data'!Q3535</f>
        <v>28</v>
      </c>
      <c r="F3535" s="2" t="n">
        <f aca="false">'Raw Data'!U3535</f>
        <v>2</v>
      </c>
      <c r="G3535" s="2" t="n">
        <f aca="false">'Raw Data'!W3535</f>
        <v>1</v>
      </c>
      <c r="H3535" s="2" t="n">
        <f aca="false">'Raw Data'!V3535</f>
        <v>4</v>
      </c>
      <c r="I3535" s="2" t="n">
        <f aca="false">IF(AND(ISNUMBER(B3535),B3535&lt;=25),2,0)+IF(AND(ISNUMBER(E3535),E3535&lt;=5),2,0)+IF(AND(ISNUMBER(F3535),F3535&lt;=1),2,0)+IF(AND(ISNUMBER(G3535),G3535&lt;=2),1,0)+IF(AND(ISNUMBER(H3535),H3535&lt;=2),1,0)</f>
        <v>1</v>
      </c>
      <c r="J3535" s="2" t="str">
        <f aca="false">IF(I3535&gt;=6,"High",IF(I3535&gt;=3,"Medium","Low"))</f>
        <v>Low</v>
      </c>
    </row>
    <row r="3536" customFormat="false" ht="15" hidden="false" customHeight="true" outlineLevel="0" collapsed="false">
      <c r="A3536" s="2" t="n">
        <f aca="false">'Raw Data'!H3536</f>
        <v>3535</v>
      </c>
      <c r="B3536" s="2" t="n">
        <f aca="false">'Raw Data'!A3536</f>
        <v>29</v>
      </c>
      <c r="C3536" s="2" t="str">
        <f aca="false">'Raw Data'!D3536</f>
        <v>Research &amp; Development</v>
      </c>
      <c r="D3536" s="2" t="str">
        <f aca="false">'Raw Data'!K3536</f>
        <v>Laboratory Technician</v>
      </c>
      <c r="E3536" s="2" t="n">
        <f aca="false">'Raw Data'!Q3536</f>
        <v>10</v>
      </c>
      <c r="F3536" s="2" t="n">
        <f aca="false">'Raw Data'!U3536</f>
        <v>8</v>
      </c>
      <c r="G3536" s="2" t="n">
        <f aca="false">'Raw Data'!W3536</f>
        <v>4</v>
      </c>
      <c r="H3536" s="2" t="n">
        <f aca="false">'Raw Data'!V3536</f>
        <v>0</v>
      </c>
      <c r="I3536" s="2" t="n">
        <f aca="false">IF(AND(ISNUMBER(B3536),B3536&lt;=25),2,0)+IF(AND(ISNUMBER(E3536),E3536&lt;=5),2,0)+IF(AND(ISNUMBER(F3536),F3536&lt;=1),2,0)+IF(AND(ISNUMBER(G3536),G3536&lt;=2),1,0)+IF(AND(ISNUMBER(H3536),H3536&lt;=2),1,0)</f>
        <v>0</v>
      </c>
      <c r="J3536" s="2" t="str">
        <f aca="false">IF(I3536&gt;=6,"High",IF(I3536&gt;=3,"Medium","Low"))</f>
        <v>Low</v>
      </c>
    </row>
    <row r="3537" customFormat="false" ht="15" hidden="false" customHeight="true" outlineLevel="0" collapsed="false">
      <c r="A3537" s="2" t="n">
        <f aca="false">'Raw Data'!H3537</f>
        <v>3536</v>
      </c>
      <c r="B3537" s="2" t="n">
        <f aca="false">'Raw Data'!A3537</f>
        <v>19</v>
      </c>
      <c r="C3537" s="2" t="str">
        <f aca="false">'Raw Data'!D3537</f>
        <v>Research &amp; Development</v>
      </c>
      <c r="D3537" s="2" t="str">
        <f aca="false">'Raw Data'!K3537</f>
        <v>Laboratory Technician</v>
      </c>
      <c r="E3537" s="2" t="n">
        <f aca="false">'Raw Data'!Q3537</f>
        <v>1</v>
      </c>
      <c r="F3537" s="2" t="n">
        <f aca="false">'Raw Data'!U3537</f>
        <v>0</v>
      </c>
      <c r="G3537" s="2" t="n">
        <f aca="false">'Raw Data'!W3537</f>
        <v>1</v>
      </c>
      <c r="H3537" s="2" t="n">
        <f aca="false">'Raw Data'!V3537</f>
        <v>3</v>
      </c>
      <c r="I3537" s="2" t="n">
        <f aca="false">IF(AND(ISNUMBER(B3537),B3537&lt;=25),2,0)+IF(AND(ISNUMBER(E3537),E3537&lt;=5),2,0)+IF(AND(ISNUMBER(F3537),F3537&lt;=1),2,0)+IF(AND(ISNUMBER(G3537),G3537&lt;=2),1,0)+IF(AND(ISNUMBER(H3537),H3537&lt;=2),1,0)</f>
        <v>7</v>
      </c>
      <c r="J3537" s="2" t="str">
        <f aca="false">IF(I3537&gt;=6,"High",IF(I3537&gt;=3,"Medium","Low"))</f>
        <v>High</v>
      </c>
    </row>
    <row r="3538" customFormat="false" ht="15" hidden="false" customHeight="true" outlineLevel="0" collapsed="false">
      <c r="A3538" s="2" t="n">
        <f aca="false">'Raw Data'!H3538</f>
        <v>3537</v>
      </c>
      <c r="B3538" s="2" t="n">
        <f aca="false">'Raw Data'!A3538</f>
        <v>45</v>
      </c>
      <c r="C3538" s="2" t="str">
        <f aca="false">'Raw Data'!D3538</f>
        <v>Research &amp; Development</v>
      </c>
      <c r="D3538" s="2" t="str">
        <f aca="false">'Raw Data'!K3538</f>
        <v>Sales Representative</v>
      </c>
      <c r="E3538" s="2" t="n">
        <f aca="false">'Raw Data'!Q3538</f>
        <v>7</v>
      </c>
      <c r="F3538" s="2" t="n">
        <f aca="false">'Raw Data'!U3538</f>
        <v>2</v>
      </c>
      <c r="G3538" s="2" t="n">
        <f aca="false">'Raw Data'!W3538</f>
        <v>3</v>
      </c>
      <c r="H3538" s="2" t="n">
        <f aca="false">'Raw Data'!V3538</f>
        <v>1</v>
      </c>
      <c r="I3538" s="2" t="n">
        <f aca="false">IF(AND(ISNUMBER(B3538),B3538&lt;=25),2,0)+IF(AND(ISNUMBER(E3538),E3538&lt;=5),2,0)+IF(AND(ISNUMBER(F3538),F3538&lt;=1),2,0)+IF(AND(ISNUMBER(G3538),G3538&lt;=2),1,0)+IF(AND(ISNUMBER(H3538),H3538&lt;=2),1,0)</f>
        <v>1</v>
      </c>
      <c r="J3538" s="2" t="str">
        <f aca="false">IF(I3538&gt;=6,"High",IF(I3538&gt;=3,"Medium","Low"))</f>
        <v>Low</v>
      </c>
    </row>
    <row r="3539" customFormat="false" ht="15" hidden="false" customHeight="true" outlineLevel="0" collapsed="false">
      <c r="A3539" s="2" t="n">
        <f aca="false">'Raw Data'!H3539</f>
        <v>3538</v>
      </c>
      <c r="B3539" s="2" t="n">
        <f aca="false">'Raw Data'!A3539</f>
        <v>37</v>
      </c>
      <c r="C3539" s="2" t="str">
        <f aca="false">'Raw Data'!D3539</f>
        <v>Research &amp; Development</v>
      </c>
      <c r="D3539" s="2" t="str">
        <f aca="false">'Raw Data'!K3539</f>
        <v>Research Scientist</v>
      </c>
      <c r="E3539" s="2" t="n">
        <f aca="false">'Raw Data'!Q3539</f>
        <v>14</v>
      </c>
      <c r="F3539" s="2" t="n">
        <f aca="false">'Raw Data'!U3539</f>
        <v>11</v>
      </c>
      <c r="G3539" s="2" t="n">
        <f aca="false">'Raw Data'!W3539</f>
        <v>4</v>
      </c>
      <c r="H3539" s="2" t="n">
        <f aca="false">'Raw Data'!V3539</f>
        <v>4</v>
      </c>
      <c r="I3539" s="2" t="n">
        <f aca="false">IF(AND(ISNUMBER(B3539),B3539&lt;=25),2,0)+IF(AND(ISNUMBER(E3539),E3539&lt;=5),2,0)+IF(AND(ISNUMBER(F3539),F3539&lt;=1),2,0)+IF(AND(ISNUMBER(G3539),G3539&lt;=2),1,0)+IF(AND(ISNUMBER(H3539),H3539&lt;=2),1,0)</f>
        <v>0</v>
      </c>
      <c r="J3539" s="2" t="str">
        <f aca="false">IF(I3539&gt;=6,"High",IF(I3539&gt;=3,"Medium","Low"))</f>
        <v>Low</v>
      </c>
    </row>
    <row r="3540" customFormat="false" ht="15" hidden="false" customHeight="true" outlineLevel="0" collapsed="false">
      <c r="A3540" s="2" t="n">
        <f aca="false">'Raw Data'!H3540</f>
        <v>3539</v>
      </c>
      <c r="B3540" s="2" t="n">
        <f aca="false">'Raw Data'!A3540</f>
        <v>20</v>
      </c>
      <c r="C3540" s="2" t="str">
        <f aca="false">'Raw Data'!D3540</f>
        <v>Research &amp; Development</v>
      </c>
      <c r="D3540" s="2" t="str">
        <f aca="false">'Raw Data'!K3540</f>
        <v>Research Director</v>
      </c>
      <c r="E3540" s="2" t="n">
        <f aca="false">'Raw Data'!Q3540</f>
        <v>2</v>
      </c>
      <c r="F3540" s="2" t="n">
        <f aca="false">'Raw Data'!U3540</f>
        <v>2</v>
      </c>
      <c r="G3540" s="2" t="n">
        <f aca="false">'Raw Data'!W3540</f>
        <v>3</v>
      </c>
      <c r="H3540" s="2" t="n">
        <f aca="false">'Raw Data'!V3540</f>
        <v>1</v>
      </c>
      <c r="I3540" s="2" t="n">
        <f aca="false">IF(AND(ISNUMBER(B3540),B3540&lt;=25),2,0)+IF(AND(ISNUMBER(E3540),E3540&lt;=5),2,0)+IF(AND(ISNUMBER(F3540),F3540&lt;=1),2,0)+IF(AND(ISNUMBER(G3540),G3540&lt;=2),1,0)+IF(AND(ISNUMBER(H3540),H3540&lt;=2),1,0)</f>
        <v>5</v>
      </c>
      <c r="J3540" s="2" t="str">
        <f aca="false">IF(I3540&gt;=6,"High",IF(I3540&gt;=3,"Medium","Low"))</f>
        <v>Medium</v>
      </c>
    </row>
    <row r="3541" customFormat="false" ht="15" hidden="false" customHeight="true" outlineLevel="0" collapsed="false">
      <c r="A3541" s="2" t="n">
        <f aca="false">'Raw Data'!H3541</f>
        <v>3540</v>
      </c>
      <c r="B3541" s="2" t="n">
        <f aca="false">'Raw Data'!A3541</f>
        <v>44</v>
      </c>
      <c r="C3541" s="2" t="str">
        <f aca="false">'Raw Data'!D3541</f>
        <v>Human Resources</v>
      </c>
      <c r="D3541" s="2" t="str">
        <f aca="false">'Raw Data'!K3541</f>
        <v>Sales Executive</v>
      </c>
      <c r="E3541" s="2" t="n">
        <f aca="false">'Raw Data'!Q3541</f>
        <v>6</v>
      </c>
      <c r="F3541" s="2" t="n">
        <f aca="false">'Raw Data'!U3541</f>
        <v>2</v>
      </c>
      <c r="G3541" s="2" t="n">
        <f aca="false">'Raw Data'!W3541</f>
        <v>3</v>
      </c>
      <c r="H3541" s="2" t="n">
        <f aca="false">'Raw Data'!V3541</f>
        <v>3</v>
      </c>
      <c r="I3541" s="2" t="n">
        <f aca="false">IF(AND(ISNUMBER(B3541),B3541&lt;=25),2,0)+IF(AND(ISNUMBER(E3541),E3541&lt;=5),2,0)+IF(AND(ISNUMBER(F3541),F3541&lt;=1),2,0)+IF(AND(ISNUMBER(G3541),G3541&lt;=2),1,0)+IF(AND(ISNUMBER(H3541),H3541&lt;=2),1,0)</f>
        <v>0</v>
      </c>
      <c r="J3541" s="2" t="str">
        <f aca="false">IF(I3541&gt;=6,"High",IF(I3541&gt;=3,"Medium","Low"))</f>
        <v>Low</v>
      </c>
    </row>
    <row r="3542" customFormat="false" ht="15" hidden="false" customHeight="true" outlineLevel="0" collapsed="false">
      <c r="A3542" s="2" t="n">
        <f aca="false">'Raw Data'!H3542</f>
        <v>3541</v>
      </c>
      <c r="B3542" s="2" t="n">
        <f aca="false">'Raw Data'!A3542</f>
        <v>53</v>
      </c>
      <c r="C3542" s="2" t="str">
        <f aca="false">'Raw Data'!D3542</f>
        <v>Research &amp; Development</v>
      </c>
      <c r="D3542" s="2" t="str">
        <f aca="false">'Raw Data'!K3542</f>
        <v>Research Director</v>
      </c>
      <c r="E3542" s="2" t="n">
        <f aca="false">'Raw Data'!Q3542</f>
        <v>26</v>
      </c>
      <c r="F3542" s="2" t="n">
        <f aca="false">'Raw Data'!U3542</f>
        <v>7</v>
      </c>
      <c r="G3542" s="2" t="n">
        <f aca="false">'Raw Data'!W3542</f>
        <v>3</v>
      </c>
      <c r="H3542" s="2" t="n">
        <f aca="false">'Raw Data'!V3542</f>
        <v>4</v>
      </c>
      <c r="I3542" s="2" t="n">
        <f aca="false">IF(AND(ISNUMBER(B3542),B3542&lt;=25),2,0)+IF(AND(ISNUMBER(E3542),E3542&lt;=5),2,0)+IF(AND(ISNUMBER(F3542),F3542&lt;=1),2,0)+IF(AND(ISNUMBER(G3542),G3542&lt;=2),1,0)+IF(AND(ISNUMBER(H3542),H3542&lt;=2),1,0)</f>
        <v>0</v>
      </c>
      <c r="J3542" s="2" t="str">
        <f aca="false">IF(I3542&gt;=6,"High",IF(I3542&gt;=3,"Medium","Low"))</f>
        <v>Low</v>
      </c>
    </row>
    <row r="3543" customFormat="false" ht="15" hidden="false" customHeight="true" outlineLevel="0" collapsed="false">
      <c r="A3543" s="2" t="n">
        <f aca="false">'Raw Data'!H3543</f>
        <v>3542</v>
      </c>
      <c r="B3543" s="2" t="n">
        <f aca="false">'Raw Data'!A3543</f>
        <v>29</v>
      </c>
      <c r="C3543" s="2" t="str">
        <f aca="false">'Raw Data'!D3543</f>
        <v>Research &amp; Development</v>
      </c>
      <c r="D3543" s="2" t="str">
        <f aca="false">'Raw Data'!K3543</f>
        <v>Sales Executive</v>
      </c>
      <c r="E3543" s="2" t="n">
        <f aca="false">'Raw Data'!Q3543</f>
        <v>6</v>
      </c>
      <c r="F3543" s="2" t="n">
        <f aca="false">'Raw Data'!U3543</f>
        <v>3</v>
      </c>
      <c r="G3543" s="2" t="n">
        <f aca="false">'Raw Data'!W3543</f>
        <v>4</v>
      </c>
      <c r="H3543" s="2" t="n">
        <f aca="false">'Raw Data'!V3543</f>
        <v>2</v>
      </c>
      <c r="I3543" s="2" t="n">
        <f aca="false">IF(AND(ISNUMBER(B3543),B3543&lt;=25),2,0)+IF(AND(ISNUMBER(E3543),E3543&lt;=5),2,0)+IF(AND(ISNUMBER(F3543),F3543&lt;=1),2,0)+IF(AND(ISNUMBER(G3543),G3543&lt;=2),1,0)+IF(AND(ISNUMBER(H3543),H3543&lt;=2),1,0)</f>
        <v>1</v>
      </c>
      <c r="J3543" s="2" t="str">
        <f aca="false">IF(I3543&gt;=6,"High",IF(I3543&gt;=3,"Medium","Low"))</f>
        <v>Low</v>
      </c>
    </row>
    <row r="3544" customFormat="false" ht="15" hidden="false" customHeight="true" outlineLevel="0" collapsed="false">
      <c r="A3544" s="2" t="n">
        <f aca="false">'Raw Data'!H3544</f>
        <v>3543</v>
      </c>
      <c r="B3544" s="2" t="n">
        <f aca="false">'Raw Data'!A3544</f>
        <v>22</v>
      </c>
      <c r="C3544" s="2" t="str">
        <f aca="false">'Raw Data'!D3544</f>
        <v>Research &amp; Development</v>
      </c>
      <c r="D3544" s="2" t="str">
        <f aca="false">'Raw Data'!K3544</f>
        <v>Sales Representative</v>
      </c>
      <c r="E3544" s="2" t="n">
        <f aca="false">'Raw Data'!Q3544</f>
        <v>1</v>
      </c>
      <c r="F3544" s="2" t="n">
        <f aca="false">'Raw Data'!U3544</f>
        <v>0</v>
      </c>
      <c r="G3544" s="2" t="n">
        <f aca="false">'Raw Data'!W3544</f>
        <v>4</v>
      </c>
      <c r="H3544" s="2" t="n">
        <f aca="false">'Raw Data'!V3544</f>
        <v>3</v>
      </c>
      <c r="I3544" s="2" t="n">
        <f aca="false">IF(AND(ISNUMBER(B3544),B3544&lt;=25),2,0)+IF(AND(ISNUMBER(E3544),E3544&lt;=5),2,0)+IF(AND(ISNUMBER(F3544),F3544&lt;=1),2,0)+IF(AND(ISNUMBER(G3544),G3544&lt;=2),1,0)+IF(AND(ISNUMBER(H3544),H3544&lt;=2),1,0)</f>
        <v>6</v>
      </c>
      <c r="J3544" s="2" t="str">
        <f aca="false">IF(I3544&gt;=6,"High",IF(I3544&gt;=3,"Medium","Low"))</f>
        <v>High</v>
      </c>
    </row>
    <row r="3545" customFormat="false" ht="15" hidden="false" customHeight="true" outlineLevel="0" collapsed="false">
      <c r="A3545" s="2" t="n">
        <f aca="false">'Raw Data'!H3545</f>
        <v>3544</v>
      </c>
      <c r="B3545" s="2" t="n">
        <f aca="false">'Raw Data'!A3545</f>
        <v>46</v>
      </c>
      <c r="C3545" s="2" t="str">
        <f aca="false">'Raw Data'!D3545</f>
        <v>Research &amp; Development</v>
      </c>
      <c r="D3545" s="2" t="str">
        <f aca="false">'Raw Data'!K3545</f>
        <v>Research Scientist</v>
      </c>
      <c r="E3545" s="2" t="n">
        <f aca="false">'Raw Data'!Q3545</f>
        <v>28</v>
      </c>
      <c r="F3545" s="2" t="n">
        <f aca="false">'Raw Data'!U3545</f>
        <v>9</v>
      </c>
      <c r="G3545" s="2" t="n">
        <f aca="false">'Raw Data'!W3545</f>
        <v>1</v>
      </c>
      <c r="H3545" s="2" t="n">
        <f aca="false">'Raw Data'!V3545</f>
        <v>3</v>
      </c>
      <c r="I3545" s="2" t="n">
        <f aca="false">IF(AND(ISNUMBER(B3545),B3545&lt;=25),2,0)+IF(AND(ISNUMBER(E3545),E3545&lt;=5),2,0)+IF(AND(ISNUMBER(F3545),F3545&lt;=1),2,0)+IF(AND(ISNUMBER(G3545),G3545&lt;=2),1,0)+IF(AND(ISNUMBER(H3545),H3545&lt;=2),1,0)</f>
        <v>1</v>
      </c>
      <c r="J3545" s="2" t="str">
        <f aca="false">IF(I3545&gt;=6,"High",IF(I3545&gt;=3,"Medium","Low"))</f>
        <v>Low</v>
      </c>
    </row>
    <row r="3546" customFormat="false" ht="15" hidden="false" customHeight="true" outlineLevel="0" collapsed="false">
      <c r="A3546" s="2" t="n">
        <f aca="false">'Raw Data'!H3546</f>
        <v>3545</v>
      </c>
      <c r="B3546" s="2" t="n">
        <f aca="false">'Raw Data'!A3546</f>
        <v>44</v>
      </c>
      <c r="C3546" s="2" t="str">
        <f aca="false">'Raw Data'!D3546</f>
        <v>Research &amp; Development</v>
      </c>
      <c r="D3546" s="2" t="str">
        <f aca="false">'Raw Data'!K3546</f>
        <v>Sales Representative</v>
      </c>
      <c r="E3546" s="2" t="n">
        <f aca="false">'Raw Data'!Q3546</f>
        <v>6</v>
      </c>
      <c r="F3546" s="2" t="n">
        <f aca="false">'Raw Data'!U3546</f>
        <v>0</v>
      </c>
      <c r="G3546" s="2" t="n">
        <f aca="false">'Raw Data'!W3546</f>
        <v>3</v>
      </c>
      <c r="H3546" s="2" t="n">
        <f aca="false">'Raw Data'!V3546</f>
        <v>4</v>
      </c>
      <c r="I3546" s="2" t="n">
        <f aca="false">IF(AND(ISNUMBER(B3546),B3546&lt;=25),2,0)+IF(AND(ISNUMBER(E3546),E3546&lt;=5),2,0)+IF(AND(ISNUMBER(F3546),F3546&lt;=1),2,0)+IF(AND(ISNUMBER(G3546),G3546&lt;=2),1,0)+IF(AND(ISNUMBER(H3546),H3546&lt;=2),1,0)</f>
        <v>2</v>
      </c>
      <c r="J3546" s="2" t="str">
        <f aca="false">IF(I3546&gt;=6,"High",IF(I3546&gt;=3,"Medium","Low"))</f>
        <v>Low</v>
      </c>
    </row>
    <row r="3547" customFormat="false" ht="15" hidden="false" customHeight="true" outlineLevel="0" collapsed="false">
      <c r="A3547" s="2" t="n">
        <f aca="false">'Raw Data'!H3547</f>
        <v>3546</v>
      </c>
      <c r="B3547" s="2" t="n">
        <f aca="false">'Raw Data'!A3547</f>
        <v>33</v>
      </c>
      <c r="C3547" s="2" t="str">
        <f aca="false">'Raw Data'!D3547</f>
        <v>Research &amp; Development</v>
      </c>
      <c r="D3547" s="2" t="str">
        <f aca="false">'Raw Data'!K3547</f>
        <v>Manager</v>
      </c>
      <c r="E3547" s="2" t="n">
        <f aca="false">'Raw Data'!Q3547</f>
        <v>5</v>
      </c>
      <c r="F3547" s="2" t="n">
        <f aca="false">'Raw Data'!U3547</f>
        <v>4</v>
      </c>
      <c r="G3547" s="2" t="n">
        <f aca="false">'Raw Data'!W3547</f>
        <v>3</v>
      </c>
      <c r="H3547" s="2" t="n">
        <f aca="false">'Raw Data'!V3547</f>
        <v>2</v>
      </c>
      <c r="I3547" s="2" t="n">
        <f aca="false">IF(AND(ISNUMBER(B3547),B3547&lt;=25),2,0)+IF(AND(ISNUMBER(E3547),E3547&lt;=5),2,0)+IF(AND(ISNUMBER(F3547),F3547&lt;=1),2,0)+IF(AND(ISNUMBER(G3547),G3547&lt;=2),1,0)+IF(AND(ISNUMBER(H3547),H3547&lt;=2),1,0)</f>
        <v>3</v>
      </c>
      <c r="J3547" s="2" t="str">
        <f aca="false">IF(I3547&gt;=6,"High",IF(I3547&gt;=3,"Medium","Low"))</f>
        <v>Medium</v>
      </c>
    </row>
    <row r="3548" customFormat="false" ht="15" hidden="false" customHeight="true" outlineLevel="0" collapsed="false">
      <c r="A3548" s="2" t="n">
        <f aca="false">'Raw Data'!H3548</f>
        <v>3547</v>
      </c>
      <c r="B3548" s="2" t="n">
        <f aca="false">'Raw Data'!A3548</f>
        <v>41</v>
      </c>
      <c r="C3548" s="2" t="str">
        <f aca="false">'Raw Data'!D3548</f>
        <v>Research &amp; Development</v>
      </c>
      <c r="D3548" s="2" t="str">
        <f aca="false">'Raw Data'!K3548</f>
        <v>Sales Representative</v>
      </c>
      <c r="E3548" s="2" t="n">
        <f aca="false">'Raw Data'!Q3548</f>
        <v>5</v>
      </c>
      <c r="F3548" s="2" t="n">
        <f aca="false">'Raw Data'!U3548</f>
        <v>0</v>
      </c>
      <c r="G3548" s="2" t="n">
        <f aca="false">'Raw Data'!W3548</f>
        <v>1</v>
      </c>
      <c r="H3548" s="2" t="n">
        <f aca="false">'Raw Data'!V3548</f>
        <v>1</v>
      </c>
      <c r="I3548" s="2" t="n">
        <f aca="false">IF(AND(ISNUMBER(B3548),B3548&lt;=25),2,0)+IF(AND(ISNUMBER(E3548),E3548&lt;=5),2,0)+IF(AND(ISNUMBER(F3548),F3548&lt;=1),2,0)+IF(AND(ISNUMBER(G3548),G3548&lt;=2),1,0)+IF(AND(ISNUMBER(H3548),H3548&lt;=2),1,0)</f>
        <v>6</v>
      </c>
      <c r="J3548" s="2" t="str">
        <f aca="false">IF(I3548&gt;=6,"High",IF(I3548&gt;=3,"Medium","Low"))</f>
        <v>High</v>
      </c>
    </row>
    <row r="3549" customFormat="false" ht="15" hidden="false" customHeight="true" outlineLevel="0" collapsed="false">
      <c r="A3549" s="2" t="n">
        <f aca="false">'Raw Data'!H3549</f>
        <v>3548</v>
      </c>
      <c r="B3549" s="2" t="n">
        <f aca="false">'Raw Data'!A3549</f>
        <v>30</v>
      </c>
      <c r="C3549" s="2" t="str">
        <f aca="false">'Raw Data'!D3549</f>
        <v>Sales</v>
      </c>
      <c r="D3549" s="2" t="str">
        <f aca="false">'Raw Data'!K3549</f>
        <v>Sales Executive</v>
      </c>
      <c r="E3549" s="2" t="n">
        <f aca="false">'Raw Data'!Q3549</f>
        <v>8</v>
      </c>
      <c r="F3549" s="2" t="n">
        <f aca="false">'Raw Data'!U3549</f>
        <v>3</v>
      </c>
      <c r="G3549" s="2" t="n">
        <f aca="false">'Raw Data'!W3549</f>
        <v>1</v>
      </c>
      <c r="H3549" s="2" t="n">
        <f aca="false">'Raw Data'!V3549</f>
        <v>3</v>
      </c>
      <c r="I3549" s="2" t="n">
        <f aca="false">IF(AND(ISNUMBER(B3549),B3549&lt;=25),2,0)+IF(AND(ISNUMBER(E3549),E3549&lt;=5),2,0)+IF(AND(ISNUMBER(F3549),F3549&lt;=1),2,0)+IF(AND(ISNUMBER(G3549),G3549&lt;=2),1,0)+IF(AND(ISNUMBER(H3549),H3549&lt;=2),1,0)</f>
        <v>1</v>
      </c>
      <c r="J3549" s="2" t="str">
        <f aca="false">IF(I3549&gt;=6,"High",IF(I3549&gt;=3,"Medium","Low"))</f>
        <v>Low</v>
      </c>
    </row>
    <row r="3550" customFormat="false" ht="15" hidden="false" customHeight="true" outlineLevel="0" collapsed="false">
      <c r="A3550" s="2" t="n">
        <f aca="false">'Raw Data'!H3550</f>
        <v>3549</v>
      </c>
      <c r="B3550" s="2" t="n">
        <f aca="false">'Raw Data'!A3550</f>
        <v>40</v>
      </c>
      <c r="C3550" s="2" t="str">
        <f aca="false">'Raw Data'!D3550</f>
        <v>Sales</v>
      </c>
      <c r="D3550" s="2" t="str">
        <f aca="false">'Raw Data'!K3550</f>
        <v>Manufacturing Director</v>
      </c>
      <c r="E3550" s="2" t="n">
        <f aca="false">'Raw Data'!Q3550</f>
        <v>5</v>
      </c>
      <c r="F3550" s="2" t="n">
        <f aca="false">'Raw Data'!U3550</f>
        <v>0</v>
      </c>
      <c r="G3550" s="2" t="n">
        <f aca="false">'Raw Data'!W3550</f>
        <v>2</v>
      </c>
      <c r="H3550" s="2" t="n">
        <f aca="false">'Raw Data'!V3550</f>
        <v>2</v>
      </c>
      <c r="I3550" s="2" t="n">
        <f aca="false">IF(AND(ISNUMBER(B3550),B3550&lt;=25),2,0)+IF(AND(ISNUMBER(E3550),E3550&lt;=5),2,0)+IF(AND(ISNUMBER(F3550),F3550&lt;=1),2,0)+IF(AND(ISNUMBER(G3550),G3550&lt;=2),1,0)+IF(AND(ISNUMBER(H3550),H3550&lt;=2),1,0)</f>
        <v>6</v>
      </c>
      <c r="J3550" s="2" t="str">
        <f aca="false">IF(I3550&gt;=6,"High",IF(I3550&gt;=3,"Medium","Low"))</f>
        <v>High</v>
      </c>
    </row>
    <row r="3551" customFormat="false" ht="15" hidden="false" customHeight="true" outlineLevel="0" collapsed="false">
      <c r="A3551" s="2" t="n">
        <f aca="false">'Raw Data'!H3551</f>
        <v>3550</v>
      </c>
      <c r="B3551" s="2" t="n">
        <f aca="false">'Raw Data'!A3551</f>
        <v>50</v>
      </c>
      <c r="C3551" s="2" t="str">
        <f aca="false">'Raw Data'!D3551</f>
        <v>Research &amp; Development</v>
      </c>
      <c r="D3551" s="2" t="str">
        <f aca="false">'Raw Data'!K3551</f>
        <v>Healthcare Representative</v>
      </c>
      <c r="E3551" s="2" t="n">
        <f aca="false">'Raw Data'!Q3551</f>
        <v>32</v>
      </c>
      <c r="F3551" s="2" t="n">
        <f aca="false">'Raw Data'!U3551</f>
        <v>2</v>
      </c>
      <c r="G3551" s="2" t="n">
        <f aca="false">'Raw Data'!W3551</f>
        <v>1</v>
      </c>
      <c r="H3551" s="2" t="n">
        <f aca="false">'Raw Data'!V3551</f>
        <v>4</v>
      </c>
      <c r="I3551" s="2" t="n">
        <f aca="false">IF(AND(ISNUMBER(B3551),B3551&lt;=25),2,0)+IF(AND(ISNUMBER(E3551),E3551&lt;=5),2,0)+IF(AND(ISNUMBER(F3551),F3551&lt;=1),2,0)+IF(AND(ISNUMBER(G3551),G3551&lt;=2),1,0)+IF(AND(ISNUMBER(H3551),H3551&lt;=2),1,0)</f>
        <v>1</v>
      </c>
      <c r="J3551" s="2" t="str">
        <f aca="false">IF(I3551&gt;=6,"High",IF(I3551&gt;=3,"Medium","Low"))</f>
        <v>Low</v>
      </c>
    </row>
    <row r="3552" customFormat="false" ht="15" hidden="false" customHeight="true" outlineLevel="0" collapsed="false">
      <c r="A3552" s="2" t="n">
        <f aca="false">'Raw Data'!H3552</f>
        <v>3551</v>
      </c>
      <c r="B3552" s="2" t="n">
        <f aca="false">'Raw Data'!A3552</f>
        <v>28</v>
      </c>
      <c r="C3552" s="2" t="str">
        <f aca="false">'Raw Data'!D3552</f>
        <v>Research &amp; Development</v>
      </c>
      <c r="D3552" s="2" t="str">
        <f aca="false">'Raw Data'!K3552</f>
        <v>Research Scientist</v>
      </c>
      <c r="E3552" s="2" t="n">
        <f aca="false">'Raw Data'!Q3552</f>
        <v>6</v>
      </c>
      <c r="F3552" s="2" t="n">
        <f aca="false">'Raw Data'!U3552</f>
        <v>3</v>
      </c>
      <c r="G3552" s="2" t="n">
        <f aca="false">'Raw Data'!W3552</f>
        <v>1</v>
      </c>
      <c r="H3552" s="2" t="n">
        <f aca="false">'Raw Data'!V3552</f>
        <v>4</v>
      </c>
      <c r="I3552" s="2" t="n">
        <f aca="false">IF(AND(ISNUMBER(B3552),B3552&lt;=25),2,0)+IF(AND(ISNUMBER(E3552),E3552&lt;=5),2,0)+IF(AND(ISNUMBER(F3552),F3552&lt;=1),2,0)+IF(AND(ISNUMBER(G3552),G3552&lt;=2),1,0)+IF(AND(ISNUMBER(H3552),H3552&lt;=2),1,0)</f>
        <v>1</v>
      </c>
      <c r="J3552" s="2" t="str">
        <f aca="false">IF(I3552&gt;=6,"High",IF(I3552&gt;=3,"Medium","Low"))</f>
        <v>Low</v>
      </c>
    </row>
    <row r="3553" customFormat="false" ht="15" hidden="false" customHeight="true" outlineLevel="0" collapsed="false">
      <c r="A3553" s="2" t="n">
        <f aca="false">'Raw Data'!H3553</f>
        <v>3552</v>
      </c>
      <c r="B3553" s="2" t="n">
        <f aca="false">'Raw Data'!A3553</f>
        <v>46</v>
      </c>
      <c r="C3553" s="2" t="str">
        <f aca="false">'Raw Data'!D3553</f>
        <v>Research &amp; Development</v>
      </c>
      <c r="D3553" s="2" t="str">
        <f aca="false">'Raw Data'!K3553</f>
        <v>Manager</v>
      </c>
      <c r="E3553" s="2" t="n">
        <f aca="false">'Raw Data'!Q3553</f>
        <v>25</v>
      </c>
      <c r="F3553" s="2" t="n">
        <f aca="false">'Raw Data'!U3553</f>
        <v>3</v>
      </c>
      <c r="G3553" s="2" t="n">
        <f aca="false">'Raw Data'!W3553</f>
        <v>2</v>
      </c>
      <c r="H3553" s="2" t="n">
        <f aca="false">'Raw Data'!V3553</f>
        <v>4</v>
      </c>
      <c r="I3553" s="2" t="n">
        <f aca="false">IF(AND(ISNUMBER(B3553),B3553&lt;=25),2,0)+IF(AND(ISNUMBER(E3553),E3553&lt;=5),2,0)+IF(AND(ISNUMBER(F3553),F3553&lt;=1),2,0)+IF(AND(ISNUMBER(G3553),G3553&lt;=2),1,0)+IF(AND(ISNUMBER(H3553),H3553&lt;=2),1,0)</f>
        <v>1</v>
      </c>
      <c r="J3553" s="2" t="str">
        <f aca="false">IF(I3553&gt;=6,"High",IF(I3553&gt;=3,"Medium","Low"))</f>
        <v>Low</v>
      </c>
    </row>
    <row r="3554" customFormat="false" ht="15" hidden="false" customHeight="true" outlineLevel="0" collapsed="false">
      <c r="A3554" s="2" t="n">
        <f aca="false">'Raw Data'!H3554</f>
        <v>3553</v>
      </c>
      <c r="B3554" s="2" t="n">
        <f aca="false">'Raw Data'!A3554</f>
        <v>35</v>
      </c>
      <c r="C3554" s="2" t="str">
        <f aca="false">'Raw Data'!D3554</f>
        <v>Sales</v>
      </c>
      <c r="D3554" s="2" t="str">
        <f aca="false">'Raw Data'!K3554</f>
        <v>Laboratory Technician</v>
      </c>
      <c r="E3554" s="2" t="n">
        <f aca="false">'Raw Data'!Q3554</f>
        <v>15</v>
      </c>
      <c r="F3554" s="2" t="n">
        <f aca="false">'Raw Data'!U3554</f>
        <v>7</v>
      </c>
      <c r="G3554" s="2" t="n">
        <f aca="false">'Raw Data'!W3554</f>
        <v>1</v>
      </c>
      <c r="H3554" s="2" t="n">
        <f aca="false">'Raw Data'!V3554</f>
        <v>3</v>
      </c>
      <c r="I3554" s="2" t="n">
        <f aca="false">IF(AND(ISNUMBER(B3554),B3554&lt;=25),2,0)+IF(AND(ISNUMBER(E3554),E3554&lt;=5),2,0)+IF(AND(ISNUMBER(F3554),F3554&lt;=1),2,0)+IF(AND(ISNUMBER(G3554),G3554&lt;=2),1,0)+IF(AND(ISNUMBER(H3554),H3554&lt;=2),1,0)</f>
        <v>1</v>
      </c>
      <c r="J3554" s="2" t="str">
        <f aca="false">IF(I3554&gt;=6,"High",IF(I3554&gt;=3,"Medium","Low"))</f>
        <v>Low</v>
      </c>
    </row>
    <row r="3555" customFormat="false" ht="15" hidden="false" customHeight="true" outlineLevel="0" collapsed="false">
      <c r="A3555" s="2" t="n">
        <f aca="false">'Raw Data'!H3555</f>
        <v>3554</v>
      </c>
      <c r="B3555" s="2" t="n">
        <f aca="false">'Raw Data'!A3555</f>
        <v>24</v>
      </c>
      <c r="C3555" s="2" t="str">
        <f aca="false">'Raw Data'!D3555</f>
        <v>Human Resources</v>
      </c>
      <c r="D3555" s="2" t="str">
        <f aca="false">'Raw Data'!K3555</f>
        <v>Manufacturing Director</v>
      </c>
      <c r="E3555" s="2" t="n">
        <f aca="false">'Raw Data'!Q3555</f>
        <v>1</v>
      </c>
      <c r="F3555" s="2" t="n">
        <f aca="false">'Raw Data'!U3555</f>
        <v>0</v>
      </c>
      <c r="G3555" s="2" t="n">
        <f aca="false">'Raw Data'!W3555</f>
        <v>2</v>
      </c>
      <c r="H3555" s="2" t="n">
        <f aca="false">'Raw Data'!V3555</f>
        <v>4</v>
      </c>
      <c r="I3555" s="2" t="n">
        <f aca="false">IF(AND(ISNUMBER(B3555),B3555&lt;=25),2,0)+IF(AND(ISNUMBER(E3555),E3555&lt;=5),2,0)+IF(AND(ISNUMBER(F3555),F3555&lt;=1),2,0)+IF(AND(ISNUMBER(G3555),G3555&lt;=2),1,0)+IF(AND(ISNUMBER(H3555),H3555&lt;=2),1,0)</f>
        <v>7</v>
      </c>
      <c r="J3555" s="2" t="str">
        <f aca="false">IF(I3555&gt;=6,"High",IF(I3555&gt;=3,"Medium","Low"))</f>
        <v>High</v>
      </c>
    </row>
    <row r="3556" customFormat="false" ht="15" hidden="false" customHeight="true" outlineLevel="0" collapsed="false">
      <c r="A3556" s="2" t="n">
        <f aca="false">'Raw Data'!H3556</f>
        <v>3555</v>
      </c>
      <c r="B3556" s="2" t="n">
        <f aca="false">'Raw Data'!A3556</f>
        <v>33</v>
      </c>
      <c r="C3556" s="2" t="str">
        <f aca="false">'Raw Data'!D3556</f>
        <v>Research &amp; Development</v>
      </c>
      <c r="D3556" s="2" t="str">
        <f aca="false">'Raw Data'!K3556</f>
        <v>Sales Executive</v>
      </c>
      <c r="E3556" s="2" t="n">
        <f aca="false">'Raw Data'!Q3556</f>
        <v>10</v>
      </c>
      <c r="F3556" s="2" t="n">
        <f aca="false">'Raw Data'!U3556</f>
        <v>1</v>
      </c>
      <c r="G3556" s="2" t="n">
        <f aca="false">'Raw Data'!W3556</f>
        <v>3</v>
      </c>
      <c r="H3556" s="2" t="n">
        <f aca="false">'Raw Data'!V3556</f>
        <v>2</v>
      </c>
      <c r="I3556" s="2" t="n">
        <f aca="false">IF(AND(ISNUMBER(B3556),B3556&lt;=25),2,0)+IF(AND(ISNUMBER(E3556),E3556&lt;=5),2,0)+IF(AND(ISNUMBER(F3556),F3556&lt;=1),2,0)+IF(AND(ISNUMBER(G3556),G3556&lt;=2),1,0)+IF(AND(ISNUMBER(H3556),H3556&lt;=2),1,0)</f>
        <v>3</v>
      </c>
      <c r="J3556" s="2" t="str">
        <f aca="false">IF(I3556&gt;=6,"High",IF(I3556&gt;=3,"Medium","Low"))</f>
        <v>Medium</v>
      </c>
    </row>
    <row r="3557" customFormat="false" ht="15" hidden="false" customHeight="true" outlineLevel="0" collapsed="false">
      <c r="A3557" s="2" t="n">
        <f aca="false">'Raw Data'!H3557</f>
        <v>3556</v>
      </c>
      <c r="B3557" s="2" t="n">
        <f aca="false">'Raw Data'!A3557</f>
        <v>36</v>
      </c>
      <c r="C3557" s="2" t="str">
        <f aca="false">'Raw Data'!D3557</f>
        <v>Research &amp; Development</v>
      </c>
      <c r="D3557" s="2" t="str">
        <f aca="false">'Raw Data'!K3557</f>
        <v>Sales Executive</v>
      </c>
      <c r="E3557" s="2" t="n">
        <f aca="false">'Raw Data'!Q3557</f>
        <v>7</v>
      </c>
      <c r="F3557" s="2" t="n">
        <f aca="false">'Raw Data'!U3557</f>
        <v>7</v>
      </c>
      <c r="G3557" s="2" t="n">
        <f aca="false">'Raw Data'!W3557</f>
        <v>3</v>
      </c>
      <c r="H3557" s="2" t="n">
        <f aca="false">'Raw Data'!V3557</f>
        <v>3</v>
      </c>
      <c r="I3557" s="2" t="n">
        <f aca="false">IF(AND(ISNUMBER(B3557),B3557&lt;=25),2,0)+IF(AND(ISNUMBER(E3557),E3557&lt;=5),2,0)+IF(AND(ISNUMBER(F3557),F3557&lt;=1),2,0)+IF(AND(ISNUMBER(G3557),G3557&lt;=2),1,0)+IF(AND(ISNUMBER(H3557),H3557&lt;=2),1,0)</f>
        <v>0</v>
      </c>
      <c r="J3557" s="2" t="str">
        <f aca="false">IF(I3557&gt;=6,"High",IF(I3557&gt;=3,"Medium","Low"))</f>
        <v>Low</v>
      </c>
    </row>
    <row r="3558" customFormat="false" ht="15" hidden="false" customHeight="true" outlineLevel="0" collapsed="false">
      <c r="A3558" s="2" t="n">
        <f aca="false">'Raw Data'!H3558</f>
        <v>3557</v>
      </c>
      <c r="B3558" s="2" t="n">
        <f aca="false">'Raw Data'!A3558</f>
        <v>30</v>
      </c>
      <c r="C3558" s="2" t="str">
        <f aca="false">'Raw Data'!D3558</f>
        <v>Sales</v>
      </c>
      <c r="D3558" s="2" t="str">
        <f aca="false">'Raw Data'!K3558</f>
        <v>Sales Executive</v>
      </c>
      <c r="E3558" s="2" t="n">
        <f aca="false">'Raw Data'!Q3558</f>
        <v>10</v>
      </c>
      <c r="F3558" s="2" t="n">
        <f aca="false">'Raw Data'!U3558</f>
        <v>9</v>
      </c>
      <c r="G3558" s="2" t="n">
        <f aca="false">'Raw Data'!W3558</f>
        <v>3</v>
      </c>
      <c r="H3558" s="2" t="n">
        <f aca="false">'Raw Data'!V3558</f>
        <v>3</v>
      </c>
      <c r="I3558" s="2" t="n">
        <f aca="false">IF(AND(ISNUMBER(B3558),B3558&lt;=25),2,0)+IF(AND(ISNUMBER(E3558),E3558&lt;=5),2,0)+IF(AND(ISNUMBER(F3558),F3558&lt;=1),2,0)+IF(AND(ISNUMBER(G3558),G3558&lt;=2),1,0)+IF(AND(ISNUMBER(H3558),H3558&lt;=2),1,0)</f>
        <v>0</v>
      </c>
      <c r="J3558" s="2" t="str">
        <f aca="false">IF(I3558&gt;=6,"High",IF(I3558&gt;=3,"Medium","Low"))</f>
        <v>Low</v>
      </c>
    </row>
    <row r="3559" customFormat="false" ht="15" hidden="false" customHeight="true" outlineLevel="0" collapsed="false">
      <c r="A3559" s="2" t="n">
        <f aca="false">'Raw Data'!H3559</f>
        <v>3558</v>
      </c>
      <c r="B3559" s="2" t="n">
        <f aca="false">'Raw Data'!A3559</f>
        <v>44</v>
      </c>
      <c r="C3559" s="2" t="str">
        <f aca="false">'Raw Data'!D3559</f>
        <v>Research &amp; Development</v>
      </c>
      <c r="D3559" s="2" t="str">
        <f aca="false">'Raw Data'!K3559</f>
        <v>Research Scientist</v>
      </c>
      <c r="E3559" s="2" t="n">
        <f aca="false">'Raw Data'!Q3559</f>
        <v>20</v>
      </c>
      <c r="F3559" s="2" t="n">
        <f aca="false">'Raw Data'!U3559</f>
        <v>17</v>
      </c>
      <c r="G3559" s="2" t="n">
        <f aca="false">'Raw Data'!W3559</f>
        <v>4</v>
      </c>
      <c r="H3559" s="2" t="n">
        <f aca="false">'Raw Data'!V3559</f>
        <v>4</v>
      </c>
      <c r="I3559" s="2" t="n">
        <f aca="false">IF(AND(ISNUMBER(B3559),B3559&lt;=25),2,0)+IF(AND(ISNUMBER(E3559),E3559&lt;=5),2,0)+IF(AND(ISNUMBER(F3559),F3559&lt;=1),2,0)+IF(AND(ISNUMBER(G3559),G3559&lt;=2),1,0)+IF(AND(ISNUMBER(H3559),H3559&lt;=2),1,0)</f>
        <v>0</v>
      </c>
      <c r="J3559" s="2" t="str">
        <f aca="false">IF(I3559&gt;=6,"High",IF(I3559&gt;=3,"Medium","Low"))</f>
        <v>Low</v>
      </c>
    </row>
    <row r="3560" customFormat="false" ht="15" hidden="false" customHeight="true" outlineLevel="0" collapsed="false">
      <c r="A3560" s="2" t="n">
        <f aca="false">'Raw Data'!H3560</f>
        <v>3559</v>
      </c>
      <c r="B3560" s="2" t="n">
        <f aca="false">'Raw Data'!A3560</f>
        <v>20</v>
      </c>
      <c r="C3560" s="2" t="str">
        <f aca="false">'Raw Data'!D3560</f>
        <v>Research &amp; Development</v>
      </c>
      <c r="D3560" s="2" t="str">
        <f aca="false">'Raw Data'!K3560</f>
        <v>Human Resources</v>
      </c>
      <c r="E3560" s="2" t="n">
        <f aca="false">'Raw Data'!Q3560</f>
        <v>2</v>
      </c>
      <c r="F3560" s="2" t="n">
        <f aca="false">'Raw Data'!U3560</f>
        <v>2</v>
      </c>
      <c r="G3560" s="2" t="n">
        <f aca="false">'Raw Data'!W3560</f>
        <v>4</v>
      </c>
      <c r="H3560" s="2" t="n">
        <f aca="false">'Raw Data'!V3560</f>
        <v>3</v>
      </c>
      <c r="I3560" s="2" t="n">
        <f aca="false">IF(AND(ISNUMBER(B3560),B3560&lt;=25),2,0)+IF(AND(ISNUMBER(E3560),E3560&lt;=5),2,0)+IF(AND(ISNUMBER(F3560),F3560&lt;=1),2,0)+IF(AND(ISNUMBER(G3560),G3560&lt;=2),1,0)+IF(AND(ISNUMBER(H3560),H3560&lt;=2),1,0)</f>
        <v>4</v>
      </c>
      <c r="J3560" s="2" t="str">
        <f aca="false">IF(I3560&gt;=6,"High",IF(I3560&gt;=3,"Medium","Low"))</f>
        <v>Medium</v>
      </c>
    </row>
    <row r="3561" customFormat="false" ht="15" hidden="false" customHeight="true" outlineLevel="0" collapsed="false">
      <c r="A3561" s="2" t="n">
        <f aca="false">'Raw Data'!H3561</f>
        <v>3560</v>
      </c>
      <c r="B3561" s="2" t="n">
        <f aca="false">'Raw Data'!A3561</f>
        <v>46</v>
      </c>
      <c r="C3561" s="2" t="str">
        <f aca="false">'Raw Data'!D3561</f>
        <v>Sales</v>
      </c>
      <c r="D3561" s="2" t="str">
        <f aca="false">'Raw Data'!K3561</f>
        <v>Sales Executive</v>
      </c>
      <c r="E3561" s="2" t="n">
        <f aca="false">'Raw Data'!Q3561</f>
        <v>12</v>
      </c>
      <c r="F3561" s="2" t="n">
        <f aca="false">'Raw Data'!U3561</f>
        <v>4</v>
      </c>
      <c r="G3561" s="2" t="n">
        <f aca="false">'Raw Data'!W3561</f>
        <v>4</v>
      </c>
      <c r="H3561" s="2" t="n">
        <f aca="false">'Raw Data'!V3561</f>
        <v>4</v>
      </c>
      <c r="I3561" s="2" t="n">
        <f aca="false">IF(AND(ISNUMBER(B3561),B3561&lt;=25),2,0)+IF(AND(ISNUMBER(E3561),E3561&lt;=5),2,0)+IF(AND(ISNUMBER(F3561),F3561&lt;=1),2,0)+IF(AND(ISNUMBER(G3561),G3561&lt;=2),1,0)+IF(AND(ISNUMBER(H3561),H3561&lt;=2),1,0)</f>
        <v>0</v>
      </c>
      <c r="J3561" s="2" t="str">
        <f aca="false">IF(I3561&gt;=6,"High",IF(I3561&gt;=3,"Medium","Low"))</f>
        <v>Low</v>
      </c>
    </row>
    <row r="3562" customFormat="false" ht="15" hidden="false" customHeight="true" outlineLevel="0" collapsed="false">
      <c r="A3562" s="2" t="n">
        <f aca="false">'Raw Data'!H3562</f>
        <v>3561</v>
      </c>
      <c r="B3562" s="2" t="n">
        <f aca="false">'Raw Data'!A3562</f>
        <v>42</v>
      </c>
      <c r="C3562" s="2" t="str">
        <f aca="false">'Raw Data'!D3562</f>
        <v>Research &amp; Development</v>
      </c>
      <c r="D3562" s="2" t="str">
        <f aca="false">'Raw Data'!K3562</f>
        <v>Sales Executive</v>
      </c>
      <c r="E3562" s="2" t="n">
        <f aca="false">'Raw Data'!Q3562</f>
        <v>10</v>
      </c>
      <c r="F3562" s="2" t="n">
        <f aca="false">'Raw Data'!U3562</f>
        <v>3</v>
      </c>
      <c r="G3562" s="2" t="n">
        <f aca="false">'Raw Data'!W3562</f>
        <v>1</v>
      </c>
      <c r="H3562" s="2" t="n">
        <f aca="false">'Raw Data'!V3562</f>
        <v>4</v>
      </c>
      <c r="I3562" s="2" t="n">
        <f aca="false">IF(AND(ISNUMBER(B3562),B3562&lt;=25),2,0)+IF(AND(ISNUMBER(E3562),E3562&lt;=5),2,0)+IF(AND(ISNUMBER(F3562),F3562&lt;=1),2,0)+IF(AND(ISNUMBER(G3562),G3562&lt;=2),1,0)+IF(AND(ISNUMBER(H3562),H3562&lt;=2),1,0)</f>
        <v>1</v>
      </c>
      <c r="J3562" s="2" t="str">
        <f aca="false">IF(I3562&gt;=6,"High",IF(I3562&gt;=3,"Medium","Low"))</f>
        <v>Low</v>
      </c>
    </row>
    <row r="3563" customFormat="false" ht="15" hidden="false" customHeight="true" outlineLevel="0" collapsed="false">
      <c r="A3563" s="2" t="n">
        <f aca="false">'Raw Data'!H3563</f>
        <v>3562</v>
      </c>
      <c r="B3563" s="2" t="n">
        <f aca="false">'Raw Data'!A3563</f>
        <v>60</v>
      </c>
      <c r="C3563" s="2" t="str">
        <f aca="false">'Raw Data'!D3563</f>
        <v>Sales</v>
      </c>
      <c r="D3563" s="2" t="str">
        <f aca="false">'Raw Data'!K3563</f>
        <v>Sales Executive</v>
      </c>
      <c r="E3563" s="2" t="n">
        <f aca="false">'Raw Data'!Q3563</f>
        <v>12</v>
      </c>
      <c r="F3563" s="2" t="n">
        <f aca="false">'Raw Data'!U3563</f>
        <v>9</v>
      </c>
      <c r="G3563" s="2" t="n">
        <f aca="false">'Raw Data'!W3563</f>
        <v>4</v>
      </c>
      <c r="H3563" s="2" t="n">
        <f aca="false">'Raw Data'!V3563</f>
        <v>2</v>
      </c>
      <c r="I3563" s="2" t="n">
        <f aca="false">IF(AND(ISNUMBER(B3563),B3563&lt;=25),2,0)+IF(AND(ISNUMBER(E3563),E3563&lt;=5),2,0)+IF(AND(ISNUMBER(F3563),F3563&lt;=1),2,0)+IF(AND(ISNUMBER(G3563),G3563&lt;=2),1,0)+IF(AND(ISNUMBER(H3563),H3563&lt;=2),1,0)</f>
        <v>1</v>
      </c>
      <c r="J3563" s="2" t="str">
        <f aca="false">IF(I3563&gt;=6,"High",IF(I3563&gt;=3,"Medium","Low"))</f>
        <v>Low</v>
      </c>
    </row>
    <row r="3564" customFormat="false" ht="15" hidden="false" customHeight="true" outlineLevel="0" collapsed="false">
      <c r="A3564" s="2" t="n">
        <f aca="false">'Raw Data'!H3564</f>
        <v>3563</v>
      </c>
      <c r="B3564" s="2" t="n">
        <f aca="false">'Raw Data'!A3564</f>
        <v>32</v>
      </c>
      <c r="C3564" s="2" t="str">
        <f aca="false">'Raw Data'!D3564</f>
        <v>Sales</v>
      </c>
      <c r="D3564" s="2" t="str">
        <f aca="false">'Raw Data'!K3564</f>
        <v>Sales Executive</v>
      </c>
      <c r="E3564" s="2" t="n">
        <f aca="false">'Raw Data'!Q3564</f>
        <v>2</v>
      </c>
      <c r="F3564" s="2" t="n">
        <f aca="false">'Raw Data'!U3564</f>
        <v>2</v>
      </c>
      <c r="G3564" s="2" t="n">
        <f aca="false">'Raw Data'!W3564</f>
        <v>2</v>
      </c>
      <c r="H3564" s="2" t="n">
        <f aca="false">'Raw Data'!V3564</f>
        <v>3</v>
      </c>
      <c r="I3564" s="2" t="n">
        <f aca="false">IF(AND(ISNUMBER(B3564),B3564&lt;=25),2,0)+IF(AND(ISNUMBER(E3564),E3564&lt;=5),2,0)+IF(AND(ISNUMBER(F3564),F3564&lt;=1),2,0)+IF(AND(ISNUMBER(G3564),G3564&lt;=2),1,0)+IF(AND(ISNUMBER(H3564),H3564&lt;=2),1,0)</f>
        <v>3</v>
      </c>
      <c r="J3564" s="2" t="str">
        <f aca="false">IF(I3564&gt;=6,"High",IF(I3564&gt;=3,"Medium","Low"))</f>
        <v>Medium</v>
      </c>
    </row>
    <row r="3565" customFormat="false" ht="15" hidden="false" customHeight="true" outlineLevel="0" collapsed="false">
      <c r="A3565" s="2" t="n">
        <f aca="false">'Raw Data'!H3565</f>
        <v>3564</v>
      </c>
      <c r="B3565" s="2" t="n">
        <f aca="false">'Raw Data'!A3565</f>
        <v>32</v>
      </c>
      <c r="C3565" s="2" t="str">
        <f aca="false">'Raw Data'!D3565</f>
        <v>Research &amp; Development</v>
      </c>
      <c r="D3565" s="2" t="str">
        <f aca="false">'Raw Data'!K3565</f>
        <v>Research Scientist</v>
      </c>
      <c r="E3565" s="2" t="n">
        <f aca="false">'Raw Data'!Q3565</f>
        <v>10</v>
      </c>
      <c r="F3565" s="2" t="n">
        <f aca="false">'Raw Data'!U3565</f>
        <v>7</v>
      </c>
      <c r="G3565" s="2" t="n">
        <f aca="false">'Raw Data'!W3565</f>
        <v>3</v>
      </c>
      <c r="H3565" s="2" t="n">
        <f aca="false">'Raw Data'!V3565</f>
        <v>4</v>
      </c>
      <c r="I3565" s="2" t="n">
        <f aca="false">IF(AND(ISNUMBER(B3565),B3565&lt;=25),2,0)+IF(AND(ISNUMBER(E3565),E3565&lt;=5),2,0)+IF(AND(ISNUMBER(F3565),F3565&lt;=1),2,0)+IF(AND(ISNUMBER(G3565),G3565&lt;=2),1,0)+IF(AND(ISNUMBER(H3565),H3565&lt;=2),1,0)</f>
        <v>0</v>
      </c>
      <c r="J3565" s="2" t="str">
        <f aca="false">IF(I3565&gt;=6,"High",IF(I3565&gt;=3,"Medium","Low"))</f>
        <v>Low</v>
      </c>
    </row>
    <row r="3566" customFormat="false" ht="15" hidden="false" customHeight="true" outlineLevel="0" collapsed="false">
      <c r="A3566" s="2" t="n">
        <f aca="false">'Raw Data'!H3566</f>
        <v>3565</v>
      </c>
      <c r="B3566" s="2" t="n">
        <f aca="false">'Raw Data'!A3566</f>
        <v>36</v>
      </c>
      <c r="C3566" s="2" t="str">
        <f aca="false">'Raw Data'!D3566</f>
        <v>Sales</v>
      </c>
      <c r="D3566" s="2" t="str">
        <f aca="false">'Raw Data'!K3566</f>
        <v>Healthcare Representative</v>
      </c>
      <c r="E3566" s="2" t="n">
        <f aca="false">'Raw Data'!Q3566</f>
        <v>17</v>
      </c>
      <c r="F3566" s="2" t="n">
        <f aca="false">'Raw Data'!U3566</f>
        <v>7</v>
      </c>
      <c r="G3566" s="2" t="n">
        <f aca="false">'Raw Data'!W3566</f>
        <v>1</v>
      </c>
      <c r="H3566" s="2" t="n">
        <f aca="false">'Raw Data'!V3566</f>
        <v>3</v>
      </c>
      <c r="I3566" s="2" t="n">
        <f aca="false">IF(AND(ISNUMBER(B3566),B3566&lt;=25),2,0)+IF(AND(ISNUMBER(E3566),E3566&lt;=5),2,0)+IF(AND(ISNUMBER(F3566),F3566&lt;=1),2,0)+IF(AND(ISNUMBER(G3566),G3566&lt;=2),1,0)+IF(AND(ISNUMBER(H3566),H3566&lt;=2),1,0)</f>
        <v>1</v>
      </c>
      <c r="J3566" s="2" t="str">
        <f aca="false">IF(I3566&gt;=6,"High",IF(I3566&gt;=3,"Medium","Low"))</f>
        <v>Low</v>
      </c>
    </row>
    <row r="3567" customFormat="false" ht="15" hidden="false" customHeight="true" outlineLevel="0" collapsed="false">
      <c r="A3567" s="2" t="n">
        <f aca="false">'Raw Data'!H3567</f>
        <v>3566</v>
      </c>
      <c r="B3567" s="2" t="n">
        <f aca="false">'Raw Data'!A3567</f>
        <v>33</v>
      </c>
      <c r="C3567" s="2" t="str">
        <f aca="false">'Raw Data'!D3567</f>
        <v>Sales</v>
      </c>
      <c r="D3567" s="2" t="str">
        <f aca="false">'Raw Data'!K3567</f>
        <v>Research Scientist</v>
      </c>
      <c r="E3567" s="2" t="n">
        <f aca="false">'Raw Data'!Q3567</f>
        <v>15</v>
      </c>
      <c r="F3567" s="2" t="n">
        <f aca="false">'Raw Data'!U3567</f>
        <v>10</v>
      </c>
      <c r="G3567" s="2" t="n">
        <f aca="false">'Raw Data'!W3567</f>
        <v>4</v>
      </c>
      <c r="H3567" s="2" t="n">
        <f aca="false">'Raw Data'!V3567</f>
        <v>1</v>
      </c>
      <c r="I3567" s="2" t="n">
        <f aca="false">IF(AND(ISNUMBER(B3567),B3567&lt;=25),2,0)+IF(AND(ISNUMBER(E3567),E3567&lt;=5),2,0)+IF(AND(ISNUMBER(F3567),F3567&lt;=1),2,0)+IF(AND(ISNUMBER(G3567),G3567&lt;=2),1,0)+IF(AND(ISNUMBER(H3567),H3567&lt;=2),1,0)</f>
        <v>1</v>
      </c>
      <c r="J3567" s="2" t="str">
        <f aca="false">IF(I3567&gt;=6,"High",IF(I3567&gt;=3,"Medium","Low"))</f>
        <v>Low</v>
      </c>
    </row>
    <row r="3568" customFormat="false" ht="15" hidden="false" customHeight="true" outlineLevel="0" collapsed="false">
      <c r="A3568" s="2" t="n">
        <f aca="false">'Raw Data'!H3568</f>
        <v>3567</v>
      </c>
      <c r="B3568" s="2" t="n">
        <f aca="false">'Raw Data'!A3568</f>
        <v>40</v>
      </c>
      <c r="C3568" s="2" t="str">
        <f aca="false">'Raw Data'!D3568</f>
        <v>Research &amp; Development</v>
      </c>
      <c r="D3568" s="2" t="str">
        <f aca="false">'Raw Data'!K3568</f>
        <v>Research Scientist</v>
      </c>
      <c r="E3568" s="2" t="n">
        <f aca="false">'Raw Data'!Q3568</f>
        <v>7</v>
      </c>
      <c r="F3568" s="2" t="n">
        <f aca="false">'Raw Data'!U3568</f>
        <v>3</v>
      </c>
      <c r="G3568" s="2" t="n">
        <f aca="false">'Raw Data'!W3568</f>
        <v>2</v>
      </c>
      <c r="H3568" s="2" t="n">
        <f aca="false">'Raw Data'!V3568</f>
        <v>2</v>
      </c>
      <c r="I3568" s="2" t="n">
        <f aca="false">IF(AND(ISNUMBER(B3568),B3568&lt;=25),2,0)+IF(AND(ISNUMBER(E3568),E3568&lt;=5),2,0)+IF(AND(ISNUMBER(F3568),F3568&lt;=1),2,0)+IF(AND(ISNUMBER(G3568),G3568&lt;=2),1,0)+IF(AND(ISNUMBER(H3568),H3568&lt;=2),1,0)</f>
        <v>2</v>
      </c>
      <c r="J3568" s="2" t="str">
        <f aca="false">IF(I3568&gt;=6,"High",IF(I3568&gt;=3,"Medium","Low"))</f>
        <v>Low</v>
      </c>
    </row>
    <row r="3569" customFormat="false" ht="15" hidden="false" customHeight="true" outlineLevel="0" collapsed="false">
      <c r="A3569" s="2" t="n">
        <f aca="false">'Raw Data'!H3569</f>
        <v>3568</v>
      </c>
      <c r="B3569" s="2" t="n">
        <f aca="false">'Raw Data'!A3569</f>
        <v>25</v>
      </c>
      <c r="C3569" s="2" t="str">
        <f aca="false">'Raw Data'!D3569</f>
        <v>Research &amp; Development</v>
      </c>
      <c r="D3569" s="2" t="str">
        <f aca="false">'Raw Data'!K3569</f>
        <v>Laboratory Technician</v>
      </c>
      <c r="E3569" s="2" t="n">
        <f aca="false">'Raw Data'!Q3569</f>
        <v>5</v>
      </c>
      <c r="F3569" s="2" t="n">
        <f aca="false">'Raw Data'!U3569</f>
        <v>1</v>
      </c>
      <c r="G3569" s="2" t="n">
        <f aca="false">'Raw Data'!W3569</f>
        <v>4</v>
      </c>
      <c r="H3569" s="2" t="n">
        <f aca="false">'Raw Data'!V3569</f>
        <v>3</v>
      </c>
      <c r="I3569" s="2" t="n">
        <f aca="false">IF(AND(ISNUMBER(B3569),B3569&lt;=25),2,0)+IF(AND(ISNUMBER(E3569),E3569&lt;=5),2,0)+IF(AND(ISNUMBER(F3569),F3569&lt;=1),2,0)+IF(AND(ISNUMBER(G3569),G3569&lt;=2),1,0)+IF(AND(ISNUMBER(H3569),H3569&lt;=2),1,0)</f>
        <v>6</v>
      </c>
      <c r="J3569" s="2" t="str">
        <f aca="false">IF(I3569&gt;=6,"High",IF(I3569&gt;=3,"Medium","Low"))</f>
        <v>High</v>
      </c>
    </row>
    <row r="3570" customFormat="false" ht="15" hidden="false" customHeight="true" outlineLevel="0" collapsed="false">
      <c r="A3570" s="2" t="n">
        <f aca="false">'Raw Data'!H3570</f>
        <v>3569</v>
      </c>
      <c r="B3570" s="2" t="n">
        <f aca="false">'Raw Data'!A3570</f>
        <v>30</v>
      </c>
      <c r="C3570" s="2" t="str">
        <f aca="false">'Raw Data'!D3570</f>
        <v>Sales</v>
      </c>
      <c r="D3570" s="2" t="str">
        <f aca="false">'Raw Data'!K3570</f>
        <v>Research Scientist</v>
      </c>
      <c r="E3570" s="2" t="n">
        <f aca="false">'Raw Data'!Q3570</f>
        <v>12</v>
      </c>
      <c r="F3570" s="2" t="n">
        <f aca="false">'Raw Data'!U3570</f>
        <v>7</v>
      </c>
      <c r="G3570" s="2" t="n">
        <f aca="false">'Raw Data'!W3570</f>
        <v>2</v>
      </c>
      <c r="H3570" s="2" t="n">
        <f aca="false">'Raw Data'!V3570</f>
        <v>4</v>
      </c>
      <c r="I3570" s="2" t="n">
        <f aca="false">IF(AND(ISNUMBER(B3570),B3570&lt;=25),2,0)+IF(AND(ISNUMBER(E3570),E3570&lt;=5),2,0)+IF(AND(ISNUMBER(F3570),F3570&lt;=1),2,0)+IF(AND(ISNUMBER(G3570),G3570&lt;=2),1,0)+IF(AND(ISNUMBER(H3570),H3570&lt;=2),1,0)</f>
        <v>1</v>
      </c>
      <c r="J3570" s="2" t="str">
        <f aca="false">IF(I3570&gt;=6,"High",IF(I3570&gt;=3,"Medium","Low"))</f>
        <v>Low</v>
      </c>
    </row>
    <row r="3571" customFormat="false" ht="15" hidden="false" customHeight="true" outlineLevel="0" collapsed="false">
      <c r="A3571" s="2" t="n">
        <f aca="false">'Raw Data'!H3571</f>
        <v>3570</v>
      </c>
      <c r="B3571" s="2" t="n">
        <f aca="false">'Raw Data'!A3571</f>
        <v>42</v>
      </c>
      <c r="C3571" s="2" t="str">
        <f aca="false">'Raw Data'!D3571</f>
        <v>Human Resources</v>
      </c>
      <c r="D3571" s="2" t="str">
        <f aca="false">'Raw Data'!K3571</f>
        <v>Sales Executive</v>
      </c>
      <c r="E3571" s="2" t="n">
        <f aca="false">'Raw Data'!Q3571</f>
        <v>20</v>
      </c>
      <c r="F3571" s="2" t="n">
        <f aca="false">'Raw Data'!U3571</f>
        <v>0</v>
      </c>
      <c r="G3571" s="2" t="n">
        <f aca="false">'Raw Data'!W3571</f>
        <v>1</v>
      </c>
      <c r="H3571" s="2" t="n">
        <f aca="false">'Raw Data'!V3571</f>
        <v>1</v>
      </c>
      <c r="I3571" s="2" t="n">
        <f aca="false">IF(AND(ISNUMBER(B3571),B3571&lt;=25),2,0)+IF(AND(ISNUMBER(E3571),E3571&lt;=5),2,0)+IF(AND(ISNUMBER(F3571),F3571&lt;=1),2,0)+IF(AND(ISNUMBER(G3571),G3571&lt;=2),1,0)+IF(AND(ISNUMBER(H3571),H3571&lt;=2),1,0)</f>
        <v>4</v>
      </c>
      <c r="J3571" s="2" t="str">
        <f aca="false">IF(I3571&gt;=6,"High",IF(I3571&gt;=3,"Medium","Low"))</f>
        <v>Medium</v>
      </c>
    </row>
    <row r="3572" customFormat="false" ht="15" hidden="false" customHeight="true" outlineLevel="0" collapsed="false">
      <c r="A3572" s="2" t="n">
        <f aca="false">'Raw Data'!H3572</f>
        <v>3571</v>
      </c>
      <c r="B3572" s="2" t="n">
        <f aca="false">'Raw Data'!A3572</f>
        <v>35</v>
      </c>
      <c r="C3572" s="2" t="str">
        <f aca="false">'Raw Data'!D3572</f>
        <v>Research &amp; Development</v>
      </c>
      <c r="D3572" s="2" t="str">
        <f aca="false">'Raw Data'!K3572</f>
        <v>Sales Executive</v>
      </c>
      <c r="E3572" s="2" t="n">
        <f aca="false">'Raw Data'!Q3572</f>
        <v>16</v>
      </c>
      <c r="F3572" s="2" t="n">
        <f aca="false">'Raw Data'!U3572</f>
        <v>12</v>
      </c>
      <c r="G3572" s="2" t="n">
        <f aca="false">'Raw Data'!W3572</f>
        <v>4</v>
      </c>
      <c r="H3572" s="2" t="n">
        <f aca="false">'Raw Data'!V3572</f>
        <v>3</v>
      </c>
      <c r="I3572" s="2" t="n">
        <f aca="false">IF(AND(ISNUMBER(B3572),B3572&lt;=25),2,0)+IF(AND(ISNUMBER(E3572),E3572&lt;=5),2,0)+IF(AND(ISNUMBER(F3572),F3572&lt;=1),2,0)+IF(AND(ISNUMBER(G3572),G3572&lt;=2),1,0)+IF(AND(ISNUMBER(H3572),H3572&lt;=2),1,0)</f>
        <v>0</v>
      </c>
      <c r="J3572" s="2" t="str">
        <f aca="false">IF(I3572&gt;=6,"High",IF(I3572&gt;=3,"Medium","Low"))</f>
        <v>Low</v>
      </c>
    </row>
    <row r="3573" customFormat="false" ht="15" hidden="false" customHeight="true" outlineLevel="0" collapsed="false">
      <c r="A3573" s="2" t="n">
        <f aca="false">'Raw Data'!H3573</f>
        <v>3572</v>
      </c>
      <c r="B3573" s="2" t="n">
        <f aca="false">'Raw Data'!A3573</f>
        <v>27</v>
      </c>
      <c r="C3573" s="2" t="str">
        <f aca="false">'Raw Data'!D3573</f>
        <v>Research &amp; Development</v>
      </c>
      <c r="D3573" s="2" t="str">
        <f aca="false">'Raw Data'!K3573</f>
        <v>Manufacturing Director</v>
      </c>
      <c r="E3573" s="2" t="n">
        <f aca="false">'Raw Data'!Q3573</f>
        <v>9</v>
      </c>
      <c r="F3573" s="2" t="n">
        <f aca="false">'Raw Data'!U3573</f>
        <v>8</v>
      </c>
      <c r="G3573" s="2" t="n">
        <f aca="false">'Raw Data'!W3573</f>
        <v>1</v>
      </c>
      <c r="H3573" s="2" t="n">
        <f aca="false">'Raw Data'!V3573</f>
        <v>1</v>
      </c>
      <c r="I3573" s="2" t="n">
        <f aca="false">IF(AND(ISNUMBER(B3573),B3573&lt;=25),2,0)+IF(AND(ISNUMBER(E3573),E3573&lt;=5),2,0)+IF(AND(ISNUMBER(F3573),F3573&lt;=1),2,0)+IF(AND(ISNUMBER(G3573),G3573&lt;=2),1,0)+IF(AND(ISNUMBER(H3573),H3573&lt;=2),1,0)</f>
        <v>2</v>
      </c>
      <c r="J3573" s="2" t="str">
        <f aca="false">IF(I3573&gt;=6,"High",IF(I3573&gt;=3,"Medium","Low"))</f>
        <v>Low</v>
      </c>
    </row>
    <row r="3574" customFormat="false" ht="15" hidden="false" customHeight="true" outlineLevel="0" collapsed="false">
      <c r="A3574" s="2" t="n">
        <f aca="false">'Raw Data'!H3574</f>
        <v>3573</v>
      </c>
      <c r="B3574" s="2" t="n">
        <f aca="false">'Raw Data'!A3574</f>
        <v>54</v>
      </c>
      <c r="C3574" s="2" t="str">
        <f aca="false">'Raw Data'!D3574</f>
        <v>Research &amp; Development</v>
      </c>
      <c r="D3574" s="2" t="str">
        <f aca="false">'Raw Data'!K3574</f>
        <v>Sales Representative</v>
      </c>
      <c r="E3574" s="2" t="n">
        <f aca="false">'Raw Data'!Q3574</f>
        <v>33</v>
      </c>
      <c r="F3574" s="2" t="n">
        <f aca="false">'Raw Data'!U3574</f>
        <v>4</v>
      </c>
      <c r="G3574" s="2" t="n">
        <f aca="false">'Raw Data'!W3574</f>
        <v>3</v>
      </c>
      <c r="H3574" s="2" t="n">
        <f aca="false">'Raw Data'!V3574</f>
        <v>4</v>
      </c>
      <c r="I3574" s="2" t="n">
        <f aca="false">IF(AND(ISNUMBER(B3574),B3574&lt;=25),2,0)+IF(AND(ISNUMBER(E3574),E3574&lt;=5),2,0)+IF(AND(ISNUMBER(F3574),F3574&lt;=1),2,0)+IF(AND(ISNUMBER(G3574),G3574&lt;=2),1,0)+IF(AND(ISNUMBER(H3574),H3574&lt;=2),1,0)</f>
        <v>0</v>
      </c>
      <c r="J3574" s="2" t="str">
        <f aca="false">IF(I3574&gt;=6,"High",IF(I3574&gt;=3,"Medium","Low"))</f>
        <v>Low</v>
      </c>
    </row>
    <row r="3575" customFormat="false" ht="15" hidden="false" customHeight="true" outlineLevel="0" collapsed="false">
      <c r="A3575" s="2" t="n">
        <f aca="false">'Raw Data'!H3575</f>
        <v>3574</v>
      </c>
      <c r="B3575" s="2" t="n">
        <f aca="false">'Raw Data'!A3575</f>
        <v>44</v>
      </c>
      <c r="C3575" s="2" t="str">
        <f aca="false">'Raw Data'!D3575</f>
        <v>Human Resources</v>
      </c>
      <c r="D3575" s="2" t="str">
        <f aca="false">'Raw Data'!K3575</f>
        <v>Laboratory Technician</v>
      </c>
      <c r="E3575" s="2" t="n">
        <f aca="false">'Raw Data'!Q3575</f>
        <v>10</v>
      </c>
      <c r="F3575" s="2" t="n">
        <f aca="false">'Raw Data'!U3575</f>
        <v>7</v>
      </c>
      <c r="G3575" s="2" t="n">
        <f aca="false">'Raw Data'!W3575</f>
        <v>4</v>
      </c>
      <c r="H3575" s="2" t="n">
        <f aca="false">'Raw Data'!V3575</f>
        <v>1</v>
      </c>
      <c r="I3575" s="2" t="n">
        <f aca="false">IF(AND(ISNUMBER(B3575),B3575&lt;=25),2,0)+IF(AND(ISNUMBER(E3575),E3575&lt;=5),2,0)+IF(AND(ISNUMBER(F3575),F3575&lt;=1),2,0)+IF(AND(ISNUMBER(G3575),G3575&lt;=2),1,0)+IF(AND(ISNUMBER(H3575),H3575&lt;=2),1,0)</f>
        <v>1</v>
      </c>
      <c r="J3575" s="2" t="str">
        <f aca="false">IF(I3575&gt;=6,"High",IF(I3575&gt;=3,"Medium","Low"))</f>
        <v>Low</v>
      </c>
    </row>
    <row r="3576" customFormat="false" ht="15" hidden="false" customHeight="true" outlineLevel="0" collapsed="false">
      <c r="A3576" s="2" t="n">
        <f aca="false">'Raw Data'!H3576</f>
        <v>3575</v>
      </c>
      <c r="B3576" s="2" t="n">
        <f aca="false">'Raw Data'!A3576</f>
        <v>19</v>
      </c>
      <c r="C3576" s="2" t="str">
        <f aca="false">'Raw Data'!D3576</f>
        <v>Sales</v>
      </c>
      <c r="D3576" s="2" t="str">
        <f aca="false">'Raw Data'!K3576</f>
        <v>Healthcare Representative</v>
      </c>
      <c r="E3576" s="2" t="n">
        <f aca="false">'Raw Data'!Q3576</f>
        <v>1</v>
      </c>
      <c r="F3576" s="2" t="n">
        <f aca="false">'Raw Data'!U3576</f>
        <v>0</v>
      </c>
      <c r="G3576" s="2" t="n">
        <f aca="false">'Raw Data'!W3576</f>
        <v>2</v>
      </c>
      <c r="H3576" s="2" t="n">
        <f aca="false">'Raw Data'!V3576</f>
        <v>1</v>
      </c>
      <c r="I3576" s="2" t="n">
        <f aca="false">IF(AND(ISNUMBER(B3576),B3576&lt;=25),2,0)+IF(AND(ISNUMBER(E3576),E3576&lt;=5),2,0)+IF(AND(ISNUMBER(F3576),F3576&lt;=1),2,0)+IF(AND(ISNUMBER(G3576),G3576&lt;=2),1,0)+IF(AND(ISNUMBER(H3576),H3576&lt;=2),1,0)</f>
        <v>8</v>
      </c>
      <c r="J3576" s="2" t="str">
        <f aca="false">IF(I3576&gt;=6,"High",IF(I3576&gt;=3,"Medium","Low"))</f>
        <v>High</v>
      </c>
    </row>
    <row r="3577" customFormat="false" ht="15" hidden="false" customHeight="true" outlineLevel="0" collapsed="false">
      <c r="A3577" s="2" t="n">
        <f aca="false">'Raw Data'!H3577</f>
        <v>3576</v>
      </c>
      <c r="B3577" s="2" t="n">
        <f aca="false">'Raw Data'!A3577</f>
        <v>29</v>
      </c>
      <c r="C3577" s="2" t="str">
        <f aca="false">'Raw Data'!D3577</f>
        <v>Research &amp; Development</v>
      </c>
      <c r="D3577" s="2" t="str">
        <f aca="false">'Raw Data'!K3577</f>
        <v>Manufacturing Director</v>
      </c>
      <c r="E3577" s="2" t="n">
        <f aca="false">'Raw Data'!Q3577</f>
        <v>3</v>
      </c>
      <c r="F3577" s="2" t="n">
        <f aca="false">'Raw Data'!U3577</f>
        <v>2</v>
      </c>
      <c r="G3577" s="2" t="n">
        <f aca="false">'Raw Data'!W3577</f>
        <v>4</v>
      </c>
      <c r="H3577" s="2" t="n">
        <f aca="false">'Raw Data'!V3577</f>
        <v>1</v>
      </c>
      <c r="I3577" s="2" t="n">
        <f aca="false">IF(AND(ISNUMBER(B3577),B3577&lt;=25),2,0)+IF(AND(ISNUMBER(E3577),E3577&lt;=5),2,0)+IF(AND(ISNUMBER(F3577),F3577&lt;=1),2,0)+IF(AND(ISNUMBER(G3577),G3577&lt;=2),1,0)+IF(AND(ISNUMBER(H3577),H3577&lt;=2),1,0)</f>
        <v>3</v>
      </c>
      <c r="J3577" s="2" t="str">
        <f aca="false">IF(I3577&gt;=6,"High",IF(I3577&gt;=3,"Medium","Low"))</f>
        <v>Medium</v>
      </c>
    </row>
    <row r="3578" customFormat="false" ht="15" hidden="false" customHeight="true" outlineLevel="0" collapsed="false">
      <c r="A3578" s="2" t="n">
        <f aca="false">'Raw Data'!H3578</f>
        <v>3577</v>
      </c>
      <c r="B3578" s="2" t="n">
        <f aca="false">'Raw Data'!A3578</f>
        <v>54</v>
      </c>
      <c r="C3578" s="2" t="str">
        <f aca="false">'Raw Data'!D3578</f>
        <v>Research &amp; Development</v>
      </c>
      <c r="D3578" s="2" t="str">
        <f aca="false">'Raw Data'!K3578</f>
        <v>Sales Executive</v>
      </c>
      <c r="E3578" s="2" t="n">
        <f aca="false">'Raw Data'!Q3578</f>
        <v>36</v>
      </c>
      <c r="F3578" s="2" t="n">
        <f aca="false">'Raw Data'!U3578</f>
        <v>9</v>
      </c>
      <c r="G3578" s="2" t="n">
        <f aca="false">'Raw Data'!W3578</f>
        <v>4</v>
      </c>
      <c r="H3578" s="2" t="n">
        <f aca="false">'Raw Data'!V3578</f>
        <v>4</v>
      </c>
      <c r="I3578" s="2" t="n">
        <f aca="false">IF(AND(ISNUMBER(B3578),B3578&lt;=25),2,0)+IF(AND(ISNUMBER(E3578),E3578&lt;=5),2,0)+IF(AND(ISNUMBER(F3578),F3578&lt;=1),2,0)+IF(AND(ISNUMBER(G3578),G3578&lt;=2),1,0)+IF(AND(ISNUMBER(H3578),H3578&lt;=2),1,0)</f>
        <v>0</v>
      </c>
      <c r="J3578" s="2" t="str">
        <f aca="false">IF(I3578&gt;=6,"High",IF(I3578&gt;=3,"Medium","Low"))</f>
        <v>Low</v>
      </c>
    </row>
    <row r="3579" customFormat="false" ht="15" hidden="false" customHeight="true" outlineLevel="0" collapsed="false">
      <c r="A3579" s="2" t="n">
        <f aca="false">'Raw Data'!H3579</f>
        <v>3578</v>
      </c>
      <c r="B3579" s="2" t="n">
        <f aca="false">'Raw Data'!A3579</f>
        <v>31</v>
      </c>
      <c r="C3579" s="2" t="str">
        <f aca="false">'Raw Data'!D3579</f>
        <v>Research &amp; Development</v>
      </c>
      <c r="D3579" s="2" t="str">
        <f aca="false">'Raw Data'!K3579</f>
        <v>Laboratory Technician</v>
      </c>
      <c r="E3579" s="2" t="n">
        <f aca="false">'Raw Data'!Q3579</f>
        <v>6</v>
      </c>
      <c r="F3579" s="2" t="n">
        <f aca="false">'Raw Data'!U3579</f>
        <v>1</v>
      </c>
      <c r="G3579" s="2" t="n">
        <f aca="false">'Raw Data'!W3579</f>
        <v>1</v>
      </c>
      <c r="H3579" s="2" t="n">
        <f aca="false">'Raw Data'!V3579</f>
        <v>3</v>
      </c>
      <c r="I3579" s="2" t="n">
        <f aca="false">IF(AND(ISNUMBER(B3579),B3579&lt;=25),2,0)+IF(AND(ISNUMBER(E3579),E3579&lt;=5),2,0)+IF(AND(ISNUMBER(F3579),F3579&lt;=1),2,0)+IF(AND(ISNUMBER(G3579),G3579&lt;=2),1,0)+IF(AND(ISNUMBER(H3579),H3579&lt;=2),1,0)</f>
        <v>3</v>
      </c>
      <c r="J3579" s="2" t="str">
        <f aca="false">IF(I3579&gt;=6,"High",IF(I3579&gt;=3,"Medium","Low"))</f>
        <v>Medium</v>
      </c>
    </row>
    <row r="3580" customFormat="false" ht="15" hidden="false" customHeight="true" outlineLevel="0" collapsed="false">
      <c r="A3580" s="2" t="n">
        <f aca="false">'Raw Data'!H3580</f>
        <v>3579</v>
      </c>
      <c r="B3580" s="2" t="n">
        <f aca="false">'Raw Data'!A3580</f>
        <v>31</v>
      </c>
      <c r="C3580" s="2" t="str">
        <f aca="false">'Raw Data'!D3580</f>
        <v>Sales</v>
      </c>
      <c r="D3580" s="2" t="str">
        <f aca="false">'Raw Data'!K3580</f>
        <v>Sales Executive</v>
      </c>
      <c r="E3580" s="2" t="n">
        <f aca="false">'Raw Data'!Q3580</f>
        <v>10</v>
      </c>
      <c r="F3580" s="2" t="n">
        <f aca="false">'Raw Data'!U3580</f>
        <v>8</v>
      </c>
      <c r="G3580" s="2" t="n">
        <f aca="false">'Raw Data'!W3580</f>
        <v>1</v>
      </c>
      <c r="H3580" s="2" t="n">
        <f aca="false">'Raw Data'!V3580</f>
        <v>3</v>
      </c>
      <c r="I3580" s="2" t="n">
        <f aca="false">IF(AND(ISNUMBER(B3580),B3580&lt;=25),2,0)+IF(AND(ISNUMBER(E3580),E3580&lt;=5),2,0)+IF(AND(ISNUMBER(F3580),F3580&lt;=1),2,0)+IF(AND(ISNUMBER(G3580),G3580&lt;=2),1,0)+IF(AND(ISNUMBER(H3580),H3580&lt;=2),1,0)</f>
        <v>1</v>
      </c>
      <c r="J3580" s="2" t="str">
        <f aca="false">IF(I3580&gt;=6,"High",IF(I3580&gt;=3,"Medium","Low"))</f>
        <v>Low</v>
      </c>
    </row>
    <row r="3581" customFormat="false" ht="15" hidden="false" customHeight="true" outlineLevel="0" collapsed="false">
      <c r="A3581" s="2" t="n">
        <f aca="false">'Raw Data'!H3581</f>
        <v>3580</v>
      </c>
      <c r="B3581" s="2" t="n">
        <f aca="false">'Raw Data'!A3581</f>
        <v>59</v>
      </c>
      <c r="C3581" s="2" t="str">
        <f aca="false">'Raw Data'!D3581</f>
        <v>Research &amp; Development</v>
      </c>
      <c r="D3581" s="2" t="str">
        <f aca="false">'Raw Data'!K3581</f>
        <v>Research Scientist</v>
      </c>
      <c r="E3581" s="2" t="n">
        <f aca="false">'Raw Data'!Q3581</f>
        <v>13</v>
      </c>
      <c r="F3581" s="2" t="n">
        <f aca="false">'Raw Data'!U3581</f>
        <v>5</v>
      </c>
      <c r="G3581" s="2" t="n">
        <f aca="false">'Raw Data'!W3581</f>
        <v>4</v>
      </c>
      <c r="H3581" s="2" t="n">
        <f aca="false">'Raw Data'!V3581</f>
        <v>3</v>
      </c>
      <c r="I3581" s="2" t="n">
        <f aca="false">IF(AND(ISNUMBER(B3581),B3581&lt;=25),2,0)+IF(AND(ISNUMBER(E3581),E3581&lt;=5),2,0)+IF(AND(ISNUMBER(F3581),F3581&lt;=1),2,0)+IF(AND(ISNUMBER(G3581),G3581&lt;=2),1,0)+IF(AND(ISNUMBER(H3581),H3581&lt;=2),1,0)</f>
        <v>0</v>
      </c>
      <c r="J3581" s="2" t="str">
        <f aca="false">IF(I3581&gt;=6,"High",IF(I3581&gt;=3,"Medium","Low"))</f>
        <v>Low</v>
      </c>
    </row>
    <row r="3582" customFormat="false" ht="15" hidden="false" customHeight="true" outlineLevel="0" collapsed="false">
      <c r="A3582" s="2" t="n">
        <f aca="false">'Raw Data'!H3582</f>
        <v>3581</v>
      </c>
      <c r="B3582" s="2" t="n">
        <f aca="false">'Raw Data'!A3582</f>
        <v>43</v>
      </c>
      <c r="C3582" s="2" t="str">
        <f aca="false">'Raw Data'!D3582</f>
        <v>Research &amp; Development</v>
      </c>
      <c r="D3582" s="2" t="str">
        <f aca="false">'Raw Data'!K3582</f>
        <v>Laboratory Technician</v>
      </c>
      <c r="E3582" s="2" t="n">
        <f aca="false">'Raw Data'!Q3582</f>
        <v>25</v>
      </c>
      <c r="F3582" s="2" t="n">
        <f aca="false">'Raw Data'!U3582</f>
        <v>7</v>
      </c>
      <c r="G3582" s="2" t="n">
        <f aca="false">'Raw Data'!W3582</f>
        <v>4</v>
      </c>
      <c r="H3582" s="2" t="n">
        <f aca="false">'Raw Data'!V3582</f>
        <v>3</v>
      </c>
      <c r="I3582" s="2" t="n">
        <f aca="false">IF(AND(ISNUMBER(B3582),B3582&lt;=25),2,0)+IF(AND(ISNUMBER(E3582),E3582&lt;=5),2,0)+IF(AND(ISNUMBER(F3582),F3582&lt;=1),2,0)+IF(AND(ISNUMBER(G3582),G3582&lt;=2),1,0)+IF(AND(ISNUMBER(H3582),H3582&lt;=2),1,0)</f>
        <v>0</v>
      </c>
      <c r="J3582" s="2" t="str">
        <f aca="false">IF(I3582&gt;=6,"High",IF(I3582&gt;=3,"Medium","Low"))</f>
        <v>Low</v>
      </c>
    </row>
    <row r="3583" customFormat="false" ht="15" hidden="false" customHeight="true" outlineLevel="0" collapsed="false">
      <c r="A3583" s="2" t="n">
        <f aca="false">'Raw Data'!H3583</f>
        <v>3582</v>
      </c>
      <c r="B3583" s="2" t="n">
        <f aca="false">'Raw Data'!A3583</f>
        <v>49</v>
      </c>
      <c r="C3583" s="2" t="str">
        <f aca="false">'Raw Data'!D3583</f>
        <v>Sales</v>
      </c>
      <c r="D3583" s="2" t="str">
        <f aca="false">'Raw Data'!K3583</f>
        <v>Research Scientist</v>
      </c>
      <c r="E3583" s="2" t="n">
        <f aca="false">'Raw Data'!Q3583</f>
        <v>23</v>
      </c>
      <c r="F3583" s="2" t="n">
        <f aca="false">'Raw Data'!U3583</f>
        <v>0</v>
      </c>
      <c r="G3583" s="2" t="n">
        <f aca="false">'Raw Data'!W3583</f>
        <v>3</v>
      </c>
      <c r="H3583" s="2" t="n">
        <f aca="false">'Raw Data'!V3583</f>
        <v>1</v>
      </c>
      <c r="I3583" s="2" t="n">
        <f aca="false">IF(AND(ISNUMBER(B3583),B3583&lt;=25),2,0)+IF(AND(ISNUMBER(E3583),E3583&lt;=5),2,0)+IF(AND(ISNUMBER(F3583),F3583&lt;=1),2,0)+IF(AND(ISNUMBER(G3583),G3583&lt;=2),1,0)+IF(AND(ISNUMBER(H3583),H3583&lt;=2),1,0)</f>
        <v>3</v>
      </c>
      <c r="J3583" s="2" t="str">
        <f aca="false">IF(I3583&gt;=6,"High",IF(I3583&gt;=3,"Medium","Low"))</f>
        <v>Medium</v>
      </c>
    </row>
    <row r="3584" customFormat="false" ht="15" hidden="false" customHeight="true" outlineLevel="0" collapsed="false">
      <c r="A3584" s="2" t="n">
        <f aca="false">'Raw Data'!H3584</f>
        <v>3583</v>
      </c>
      <c r="B3584" s="2" t="n">
        <f aca="false">'Raw Data'!A3584</f>
        <v>36</v>
      </c>
      <c r="C3584" s="2" t="str">
        <f aca="false">'Raw Data'!D3584</f>
        <v>Sales</v>
      </c>
      <c r="D3584" s="2" t="str">
        <f aca="false">'Raw Data'!K3584</f>
        <v>Laboratory Technician</v>
      </c>
      <c r="E3584" s="2" t="n">
        <f aca="false">'Raw Data'!Q3584</f>
        <v>12</v>
      </c>
      <c r="F3584" s="2" t="n">
        <f aca="false">'Raw Data'!U3584</f>
        <v>7</v>
      </c>
      <c r="G3584" s="2" t="n">
        <f aca="false">'Raw Data'!W3584</f>
        <v>2</v>
      </c>
      <c r="H3584" s="2" t="n">
        <f aca="false">'Raw Data'!V3584</f>
        <v>3</v>
      </c>
      <c r="I3584" s="2" t="n">
        <f aca="false">IF(AND(ISNUMBER(B3584),B3584&lt;=25),2,0)+IF(AND(ISNUMBER(E3584),E3584&lt;=5),2,0)+IF(AND(ISNUMBER(F3584),F3584&lt;=1),2,0)+IF(AND(ISNUMBER(G3584),G3584&lt;=2),1,0)+IF(AND(ISNUMBER(H3584),H3584&lt;=2),1,0)</f>
        <v>1</v>
      </c>
      <c r="J3584" s="2" t="str">
        <f aca="false">IF(I3584&gt;=6,"High",IF(I3584&gt;=3,"Medium","Low"))</f>
        <v>Low</v>
      </c>
    </row>
    <row r="3585" customFormat="false" ht="15" hidden="false" customHeight="true" outlineLevel="0" collapsed="false">
      <c r="A3585" s="2" t="n">
        <f aca="false">'Raw Data'!H3585</f>
        <v>3584</v>
      </c>
      <c r="B3585" s="2" t="n">
        <f aca="false">'Raw Data'!A3585</f>
        <v>48</v>
      </c>
      <c r="C3585" s="2" t="str">
        <f aca="false">'Raw Data'!D3585</f>
        <v>Research &amp; Development</v>
      </c>
      <c r="D3585" s="2" t="str">
        <f aca="false">'Raw Data'!K3585</f>
        <v>Laboratory Technician</v>
      </c>
      <c r="E3585" s="2" t="n">
        <f aca="false">'Raw Data'!Q3585</f>
        <v>7</v>
      </c>
      <c r="F3585" s="2" t="n">
        <f aca="false">'Raw Data'!U3585</f>
        <v>0</v>
      </c>
      <c r="G3585" s="2" t="n">
        <f aca="false">'Raw Data'!W3585</f>
        <v>2</v>
      </c>
      <c r="H3585" s="2" t="n">
        <f aca="false">'Raw Data'!V3585</f>
        <v>4</v>
      </c>
      <c r="I3585" s="2" t="n">
        <f aca="false">IF(AND(ISNUMBER(B3585),B3585&lt;=25),2,0)+IF(AND(ISNUMBER(E3585),E3585&lt;=5),2,0)+IF(AND(ISNUMBER(F3585),F3585&lt;=1),2,0)+IF(AND(ISNUMBER(G3585),G3585&lt;=2),1,0)+IF(AND(ISNUMBER(H3585),H3585&lt;=2),1,0)</f>
        <v>3</v>
      </c>
      <c r="J3585" s="2" t="str">
        <f aca="false">IF(I3585&gt;=6,"High",IF(I3585&gt;=3,"Medium","Low"))</f>
        <v>Medium</v>
      </c>
    </row>
    <row r="3586" customFormat="false" ht="15" hidden="false" customHeight="true" outlineLevel="0" collapsed="false">
      <c r="A3586" s="2" t="n">
        <f aca="false">'Raw Data'!H3586</f>
        <v>3585</v>
      </c>
      <c r="B3586" s="2" t="n">
        <f aca="false">'Raw Data'!A3586</f>
        <v>27</v>
      </c>
      <c r="C3586" s="2" t="str">
        <f aca="false">'Raw Data'!D3586</f>
        <v>Research &amp; Development</v>
      </c>
      <c r="D3586" s="2" t="str">
        <f aca="false">'Raw Data'!K3586</f>
        <v>Laboratory Technician</v>
      </c>
      <c r="E3586" s="2" t="n">
        <f aca="false">'Raw Data'!Q3586</f>
        <v>5</v>
      </c>
      <c r="F3586" s="2" t="n">
        <f aca="false">'Raw Data'!U3586</f>
        <v>3</v>
      </c>
      <c r="G3586" s="2" t="n">
        <f aca="false">'Raw Data'!W3586</f>
        <v>3</v>
      </c>
      <c r="H3586" s="2" t="n">
        <f aca="false">'Raw Data'!V3586</f>
        <v>1</v>
      </c>
      <c r="I3586" s="2" t="n">
        <f aca="false">IF(AND(ISNUMBER(B3586),B3586&lt;=25),2,0)+IF(AND(ISNUMBER(E3586),E3586&lt;=5),2,0)+IF(AND(ISNUMBER(F3586),F3586&lt;=1),2,0)+IF(AND(ISNUMBER(G3586),G3586&lt;=2),1,0)+IF(AND(ISNUMBER(H3586),H3586&lt;=2),1,0)</f>
        <v>3</v>
      </c>
      <c r="J3586" s="2" t="str">
        <f aca="false">IF(I3586&gt;=6,"High",IF(I3586&gt;=3,"Medium","Low"))</f>
        <v>Medium</v>
      </c>
    </row>
    <row r="3587" customFormat="false" ht="15" hidden="false" customHeight="true" outlineLevel="0" collapsed="false">
      <c r="A3587" s="2" t="n">
        <f aca="false">'Raw Data'!H3587</f>
        <v>3586</v>
      </c>
      <c r="B3587" s="2" t="n">
        <f aca="false">'Raw Data'!A3587</f>
        <v>29</v>
      </c>
      <c r="C3587" s="2" t="str">
        <f aca="false">'Raw Data'!D3587</f>
        <v>Sales</v>
      </c>
      <c r="D3587" s="2" t="str">
        <f aca="false">'Raw Data'!K3587</f>
        <v>Laboratory Technician</v>
      </c>
      <c r="E3587" s="2" t="n">
        <f aca="false">'Raw Data'!Q3587</f>
        <v>6</v>
      </c>
      <c r="F3587" s="2" t="n">
        <f aca="false">'Raw Data'!U3587</f>
        <v>0</v>
      </c>
      <c r="G3587" s="2" t="n">
        <f aca="false">'Raw Data'!W3587</f>
        <v>4</v>
      </c>
      <c r="H3587" s="2" t="n">
        <f aca="false">'Raw Data'!V3587</f>
        <v>3</v>
      </c>
      <c r="I3587" s="2" t="n">
        <f aca="false">IF(AND(ISNUMBER(B3587),B3587&lt;=25),2,0)+IF(AND(ISNUMBER(E3587),E3587&lt;=5),2,0)+IF(AND(ISNUMBER(F3587),F3587&lt;=1),2,0)+IF(AND(ISNUMBER(G3587),G3587&lt;=2),1,0)+IF(AND(ISNUMBER(H3587),H3587&lt;=2),1,0)</f>
        <v>2</v>
      </c>
      <c r="J3587" s="2" t="str">
        <f aca="false">IF(I3587&gt;=6,"High",IF(I3587&gt;=3,"Medium","Low"))</f>
        <v>Low</v>
      </c>
    </row>
    <row r="3588" customFormat="false" ht="15" hidden="false" customHeight="true" outlineLevel="0" collapsed="false">
      <c r="A3588" s="2" t="n">
        <f aca="false">'Raw Data'!H3588</f>
        <v>3587</v>
      </c>
      <c r="B3588" s="2" t="n">
        <f aca="false">'Raw Data'!A3588</f>
        <v>48</v>
      </c>
      <c r="C3588" s="2" t="str">
        <f aca="false">'Raw Data'!D3588</f>
        <v>Sales</v>
      </c>
      <c r="D3588" s="2" t="str">
        <f aca="false">'Raw Data'!K3588</f>
        <v>Manufacturing Director</v>
      </c>
      <c r="E3588" s="2" t="n">
        <f aca="false">'Raw Data'!Q3588</f>
        <v>25</v>
      </c>
      <c r="F3588" s="2" t="n">
        <f aca="false">'Raw Data'!U3588</f>
        <v>0</v>
      </c>
      <c r="G3588" s="2" t="n">
        <f aca="false">'Raw Data'!W3588</f>
        <v>4</v>
      </c>
      <c r="H3588" s="2" t="n">
        <f aca="false">'Raw Data'!V3588</f>
        <v>4</v>
      </c>
      <c r="I3588" s="2" t="n">
        <f aca="false">IF(AND(ISNUMBER(B3588),B3588&lt;=25),2,0)+IF(AND(ISNUMBER(E3588),E3588&lt;=5),2,0)+IF(AND(ISNUMBER(F3588),F3588&lt;=1),2,0)+IF(AND(ISNUMBER(G3588),G3588&lt;=2),1,0)+IF(AND(ISNUMBER(H3588),H3588&lt;=2),1,0)</f>
        <v>2</v>
      </c>
      <c r="J3588" s="2" t="str">
        <f aca="false">IF(I3588&gt;=6,"High",IF(I3588&gt;=3,"Medium","Low"))</f>
        <v>Low</v>
      </c>
    </row>
    <row r="3589" customFormat="false" ht="15" hidden="false" customHeight="true" outlineLevel="0" collapsed="false">
      <c r="A3589" s="2" t="n">
        <f aca="false">'Raw Data'!H3589</f>
        <v>3588</v>
      </c>
      <c r="B3589" s="2" t="n">
        <f aca="false">'Raw Data'!A3589</f>
        <v>29</v>
      </c>
      <c r="C3589" s="2" t="str">
        <f aca="false">'Raw Data'!D3589</f>
        <v>Research &amp; Development</v>
      </c>
      <c r="D3589" s="2" t="str">
        <f aca="false">'Raw Data'!K3589</f>
        <v>Healthcare Representative</v>
      </c>
      <c r="E3589" s="2" t="n">
        <f aca="false">'Raw Data'!Q3589</f>
        <v>9</v>
      </c>
      <c r="F3589" s="2" t="n">
        <f aca="false">'Raw Data'!U3589</f>
        <v>7</v>
      </c>
      <c r="G3589" s="2" t="n">
        <f aca="false">'Raw Data'!W3589</f>
        <v>4</v>
      </c>
      <c r="H3589" s="2" t="n">
        <f aca="false">'Raw Data'!V3589</f>
        <v>4</v>
      </c>
      <c r="I3589" s="2" t="n">
        <f aca="false">IF(AND(ISNUMBER(B3589),B3589&lt;=25),2,0)+IF(AND(ISNUMBER(E3589),E3589&lt;=5),2,0)+IF(AND(ISNUMBER(F3589),F3589&lt;=1),2,0)+IF(AND(ISNUMBER(G3589),G3589&lt;=2),1,0)+IF(AND(ISNUMBER(H3589),H3589&lt;=2),1,0)</f>
        <v>0</v>
      </c>
      <c r="J3589" s="2" t="str">
        <f aca="false">IF(I3589&gt;=6,"High",IF(I3589&gt;=3,"Medium","Low"))</f>
        <v>Low</v>
      </c>
    </row>
    <row r="3590" customFormat="false" ht="15" hidden="false" customHeight="true" outlineLevel="0" collapsed="false">
      <c r="A3590" s="2" t="n">
        <f aca="false">'Raw Data'!H3590</f>
        <v>3589</v>
      </c>
      <c r="B3590" s="2" t="n">
        <f aca="false">'Raw Data'!A3590</f>
        <v>34</v>
      </c>
      <c r="C3590" s="2" t="str">
        <f aca="false">'Raw Data'!D3590</f>
        <v>Sales</v>
      </c>
      <c r="D3590" s="2" t="str">
        <f aca="false">'Raw Data'!K3590</f>
        <v>Laboratory Technician</v>
      </c>
      <c r="E3590" s="2" t="n">
        <f aca="false">'Raw Data'!Q3590</f>
        <v>2</v>
      </c>
      <c r="F3590" s="2" t="n">
        <f aca="false">'Raw Data'!U3590</f>
        <v>0</v>
      </c>
      <c r="G3590" s="2" t="n">
        <f aca="false">'Raw Data'!W3590</f>
        <v>3</v>
      </c>
      <c r="H3590" s="2" t="n">
        <f aca="false">'Raw Data'!V3590</f>
        <v>3</v>
      </c>
      <c r="I3590" s="2" t="n">
        <f aca="false">IF(AND(ISNUMBER(B3590),B3590&lt;=25),2,0)+IF(AND(ISNUMBER(E3590),E3590&lt;=5),2,0)+IF(AND(ISNUMBER(F3590),F3590&lt;=1),2,0)+IF(AND(ISNUMBER(G3590),G3590&lt;=2),1,0)+IF(AND(ISNUMBER(H3590),H3590&lt;=2),1,0)</f>
        <v>4</v>
      </c>
      <c r="J3590" s="2" t="str">
        <f aca="false">IF(I3590&gt;=6,"High",IF(I3590&gt;=3,"Medium","Low"))</f>
        <v>Medium</v>
      </c>
    </row>
    <row r="3591" customFormat="false" ht="15" hidden="false" customHeight="true" outlineLevel="0" collapsed="false">
      <c r="A3591" s="2" t="n">
        <f aca="false">'Raw Data'!H3591</f>
        <v>3590</v>
      </c>
      <c r="B3591" s="2" t="n">
        <f aca="false">'Raw Data'!A3591</f>
        <v>44</v>
      </c>
      <c r="C3591" s="2" t="str">
        <f aca="false">'Raw Data'!D3591</f>
        <v>Research &amp; Development</v>
      </c>
      <c r="D3591" s="2" t="str">
        <f aca="false">'Raw Data'!K3591</f>
        <v>Laboratory Technician</v>
      </c>
      <c r="E3591" s="2" t="n">
        <f aca="false">'Raw Data'!Q3591</f>
        <v>26</v>
      </c>
      <c r="F3591" s="2" t="n">
        <f aca="false">'Raw Data'!U3591</f>
        <v>10</v>
      </c>
      <c r="G3591" s="2" t="n">
        <f aca="false">'Raw Data'!W3591</f>
        <v>2</v>
      </c>
      <c r="H3591" s="2" t="n">
        <f aca="false">'Raw Data'!V3591</f>
        <v>2</v>
      </c>
      <c r="I3591" s="2" t="n">
        <f aca="false">IF(AND(ISNUMBER(B3591),B3591&lt;=25),2,0)+IF(AND(ISNUMBER(E3591),E3591&lt;=5),2,0)+IF(AND(ISNUMBER(F3591),F3591&lt;=1),2,0)+IF(AND(ISNUMBER(G3591),G3591&lt;=2),1,0)+IF(AND(ISNUMBER(H3591),H3591&lt;=2),1,0)</f>
        <v>2</v>
      </c>
      <c r="J3591" s="2" t="str">
        <f aca="false">IF(I3591&gt;=6,"High",IF(I3591&gt;=3,"Medium","Low"))</f>
        <v>Low</v>
      </c>
    </row>
    <row r="3592" customFormat="false" ht="15" hidden="false" customHeight="true" outlineLevel="0" collapsed="false">
      <c r="A3592" s="2" t="n">
        <f aca="false">'Raw Data'!H3592</f>
        <v>3591</v>
      </c>
      <c r="B3592" s="2" t="n">
        <f aca="false">'Raw Data'!A3592</f>
        <v>33</v>
      </c>
      <c r="C3592" s="2" t="str">
        <f aca="false">'Raw Data'!D3592</f>
        <v>Research &amp; Development</v>
      </c>
      <c r="D3592" s="2" t="str">
        <f aca="false">'Raw Data'!K3592</f>
        <v>Research Scientist</v>
      </c>
      <c r="E3592" s="2" t="n">
        <f aca="false">'Raw Data'!Q3592</f>
        <v>10</v>
      </c>
      <c r="F3592" s="2" t="n">
        <f aca="false">'Raw Data'!U3592</f>
        <v>8</v>
      </c>
      <c r="G3592" s="2" t="n">
        <f aca="false">'Raw Data'!W3592</f>
        <v>3</v>
      </c>
      <c r="H3592" s="2" t="n">
        <f aca="false">'Raw Data'!V3592</f>
        <v>4</v>
      </c>
      <c r="I3592" s="2" t="n">
        <f aca="false">IF(AND(ISNUMBER(B3592),B3592&lt;=25),2,0)+IF(AND(ISNUMBER(E3592),E3592&lt;=5),2,0)+IF(AND(ISNUMBER(F3592),F3592&lt;=1),2,0)+IF(AND(ISNUMBER(G3592),G3592&lt;=2),1,0)+IF(AND(ISNUMBER(H3592),H3592&lt;=2),1,0)</f>
        <v>0</v>
      </c>
      <c r="J3592" s="2" t="str">
        <f aca="false">IF(I3592&gt;=6,"High",IF(I3592&gt;=3,"Medium","Low"))</f>
        <v>Low</v>
      </c>
    </row>
    <row r="3593" customFormat="false" ht="15" hidden="false" customHeight="true" outlineLevel="0" collapsed="false">
      <c r="A3593" s="2" t="n">
        <f aca="false">'Raw Data'!H3593</f>
        <v>3592</v>
      </c>
      <c r="B3593" s="2" t="n">
        <f aca="false">'Raw Data'!A3593</f>
        <v>19</v>
      </c>
      <c r="C3593" s="2" t="str">
        <f aca="false">'Raw Data'!D3593</f>
        <v>Sales</v>
      </c>
      <c r="D3593" s="2" t="str">
        <f aca="false">'Raw Data'!K3593</f>
        <v>Laboratory Technician</v>
      </c>
      <c r="E3593" s="2" t="n">
        <f aca="false">'Raw Data'!Q3593</f>
        <v>1</v>
      </c>
      <c r="F3593" s="2" t="n">
        <f aca="false">'Raw Data'!U3593</f>
        <v>1</v>
      </c>
      <c r="G3593" s="2" t="n">
        <f aca="false">'Raw Data'!W3593</f>
        <v>4</v>
      </c>
      <c r="H3593" s="2" t="n">
        <f aca="false">'Raw Data'!V3593</f>
        <v>2</v>
      </c>
      <c r="I3593" s="2" t="n">
        <f aca="false">IF(AND(ISNUMBER(B3593),B3593&lt;=25),2,0)+IF(AND(ISNUMBER(E3593),E3593&lt;=5),2,0)+IF(AND(ISNUMBER(F3593),F3593&lt;=1),2,0)+IF(AND(ISNUMBER(G3593),G3593&lt;=2),1,0)+IF(AND(ISNUMBER(H3593),H3593&lt;=2),1,0)</f>
        <v>7</v>
      </c>
      <c r="J3593" s="2" t="str">
        <f aca="false">IF(I3593&gt;=6,"High",IF(I3593&gt;=3,"Medium","Low"))</f>
        <v>High</v>
      </c>
    </row>
    <row r="3594" customFormat="false" ht="15" hidden="false" customHeight="true" outlineLevel="0" collapsed="false">
      <c r="A3594" s="2" t="n">
        <f aca="false">'Raw Data'!H3594</f>
        <v>3593</v>
      </c>
      <c r="B3594" s="2" t="n">
        <f aca="false">'Raw Data'!A3594</f>
        <v>23</v>
      </c>
      <c r="C3594" s="2" t="str">
        <f aca="false">'Raw Data'!D3594</f>
        <v>Sales</v>
      </c>
      <c r="D3594" s="2" t="str">
        <f aca="false">'Raw Data'!K3594</f>
        <v>Laboratory Technician</v>
      </c>
      <c r="E3594" s="2" t="n">
        <f aca="false">'Raw Data'!Q3594</f>
        <v>1</v>
      </c>
      <c r="F3594" s="2" t="n">
        <f aca="false">'Raw Data'!U3594</f>
        <v>1</v>
      </c>
      <c r="G3594" s="2" t="n">
        <f aca="false">'Raw Data'!W3594</f>
        <v>3</v>
      </c>
      <c r="H3594" s="2" t="n">
        <f aca="false">'Raw Data'!V3594</f>
        <v>4</v>
      </c>
      <c r="I3594" s="2" t="n">
        <f aca="false">IF(AND(ISNUMBER(B3594),B3594&lt;=25),2,0)+IF(AND(ISNUMBER(E3594),E3594&lt;=5),2,0)+IF(AND(ISNUMBER(F3594),F3594&lt;=1),2,0)+IF(AND(ISNUMBER(G3594),G3594&lt;=2),1,0)+IF(AND(ISNUMBER(H3594),H3594&lt;=2),1,0)</f>
        <v>6</v>
      </c>
      <c r="J3594" s="2" t="str">
        <f aca="false">IF(I3594&gt;=6,"High",IF(I3594&gt;=3,"Medium","Low"))</f>
        <v>High</v>
      </c>
    </row>
    <row r="3595" customFormat="false" ht="15" hidden="false" customHeight="true" outlineLevel="0" collapsed="false">
      <c r="A3595" s="2" t="n">
        <f aca="false">'Raw Data'!H3595</f>
        <v>3594</v>
      </c>
      <c r="B3595" s="2" t="n">
        <f aca="false">'Raw Data'!A3595</f>
        <v>25</v>
      </c>
      <c r="C3595" s="2" t="str">
        <f aca="false">'Raw Data'!D3595</f>
        <v>Research &amp; Development</v>
      </c>
      <c r="D3595" s="2" t="str">
        <f aca="false">'Raw Data'!K3595</f>
        <v>Manufacturing Director</v>
      </c>
      <c r="E3595" s="2" t="n">
        <f aca="false">'Raw Data'!Q3595</f>
        <v>1</v>
      </c>
      <c r="F3595" s="2" t="n">
        <f aca="false">'Raw Data'!U3595</f>
        <v>0</v>
      </c>
      <c r="G3595" s="2" t="n">
        <f aca="false">'Raw Data'!W3595</f>
        <v>4</v>
      </c>
      <c r="H3595" s="2" t="n">
        <f aca="false">'Raw Data'!V3595</f>
        <v>3</v>
      </c>
      <c r="I3595" s="2" t="n">
        <f aca="false">IF(AND(ISNUMBER(B3595),B3595&lt;=25),2,0)+IF(AND(ISNUMBER(E3595),E3595&lt;=5),2,0)+IF(AND(ISNUMBER(F3595),F3595&lt;=1),2,0)+IF(AND(ISNUMBER(G3595),G3595&lt;=2),1,0)+IF(AND(ISNUMBER(H3595),H3595&lt;=2),1,0)</f>
        <v>6</v>
      </c>
      <c r="J3595" s="2" t="str">
        <f aca="false">IF(I3595&gt;=6,"High",IF(I3595&gt;=3,"Medium","Low"))</f>
        <v>High</v>
      </c>
    </row>
    <row r="3596" customFormat="false" ht="15" hidden="false" customHeight="true" outlineLevel="0" collapsed="false">
      <c r="A3596" s="2" t="n">
        <f aca="false">'Raw Data'!H3596</f>
        <v>3595</v>
      </c>
      <c r="B3596" s="2" t="n">
        <f aca="false">'Raw Data'!A3596</f>
        <v>26</v>
      </c>
      <c r="C3596" s="2" t="str">
        <f aca="false">'Raw Data'!D3596</f>
        <v>Human Resources</v>
      </c>
      <c r="D3596" s="2" t="str">
        <f aca="false">'Raw Data'!K3596</f>
        <v>Research Scientist</v>
      </c>
      <c r="E3596" s="2" t="n">
        <f aca="false">'Raw Data'!Q3596</f>
        <v>8</v>
      </c>
      <c r="F3596" s="2" t="n">
        <f aca="false">'Raw Data'!U3596</f>
        <v>2</v>
      </c>
      <c r="G3596" s="2" t="n">
        <f aca="false">'Raw Data'!W3596</f>
        <v>4</v>
      </c>
      <c r="H3596" s="2" t="n">
        <f aca="false">'Raw Data'!V3596</f>
        <v>3</v>
      </c>
      <c r="I3596" s="2" t="n">
        <f aca="false">IF(AND(ISNUMBER(B3596),B3596&lt;=25),2,0)+IF(AND(ISNUMBER(E3596),E3596&lt;=5),2,0)+IF(AND(ISNUMBER(F3596),F3596&lt;=1),2,0)+IF(AND(ISNUMBER(G3596),G3596&lt;=2),1,0)+IF(AND(ISNUMBER(H3596),H3596&lt;=2),1,0)</f>
        <v>0</v>
      </c>
      <c r="J3596" s="2" t="str">
        <f aca="false">IF(I3596&gt;=6,"High",IF(I3596&gt;=3,"Medium","Low"))</f>
        <v>Low</v>
      </c>
    </row>
    <row r="3597" customFormat="false" ht="15" hidden="false" customHeight="true" outlineLevel="0" collapsed="false">
      <c r="A3597" s="2" t="n">
        <f aca="false">'Raw Data'!H3597</f>
        <v>3596</v>
      </c>
      <c r="B3597" s="2" t="n">
        <f aca="false">'Raw Data'!A3597</f>
        <v>45</v>
      </c>
      <c r="C3597" s="2" t="str">
        <f aca="false">'Raw Data'!D3597</f>
        <v>Human Resources</v>
      </c>
      <c r="D3597" s="2" t="str">
        <f aca="false">'Raw Data'!K3597</f>
        <v>Laboratory Technician</v>
      </c>
      <c r="E3597" s="2" t="n">
        <f aca="false">'Raw Data'!Q3597</f>
        <v>26</v>
      </c>
      <c r="F3597" s="2" t="n">
        <f aca="false">'Raw Data'!U3597</f>
        <v>11</v>
      </c>
      <c r="G3597" s="2" t="n">
        <f aca="false">'Raw Data'!W3597</f>
        <v>2</v>
      </c>
      <c r="H3597" s="2" t="n">
        <f aca="false">'Raw Data'!V3597</f>
        <v>1</v>
      </c>
      <c r="I3597" s="2" t="n">
        <f aca="false">IF(AND(ISNUMBER(B3597),B3597&lt;=25),2,0)+IF(AND(ISNUMBER(E3597),E3597&lt;=5),2,0)+IF(AND(ISNUMBER(F3597),F3597&lt;=1),2,0)+IF(AND(ISNUMBER(G3597),G3597&lt;=2),1,0)+IF(AND(ISNUMBER(H3597),H3597&lt;=2),1,0)</f>
        <v>2</v>
      </c>
      <c r="J3597" s="2" t="str">
        <f aca="false">IF(I3597&gt;=6,"High",IF(I3597&gt;=3,"Medium","Low"))</f>
        <v>Low</v>
      </c>
    </row>
    <row r="3598" customFormat="false" ht="15" hidden="false" customHeight="true" outlineLevel="0" collapsed="false">
      <c r="A3598" s="2" t="n">
        <f aca="false">'Raw Data'!H3598</f>
        <v>3597</v>
      </c>
      <c r="B3598" s="2" t="n">
        <f aca="false">'Raw Data'!A3598</f>
        <v>55</v>
      </c>
      <c r="C3598" s="2" t="str">
        <f aca="false">'Raw Data'!D3598</f>
        <v>Research &amp; Development</v>
      </c>
      <c r="D3598" s="2" t="str">
        <f aca="false">'Raw Data'!K3598</f>
        <v>Manager</v>
      </c>
      <c r="E3598" s="2" t="n">
        <f aca="false">'Raw Data'!Q3598</f>
        <v>34</v>
      </c>
      <c r="F3598" s="2" t="n">
        <f aca="false">'Raw Data'!U3598</f>
        <v>0</v>
      </c>
      <c r="G3598" s="2" t="n">
        <f aca="false">'Raw Data'!W3598</f>
        <v>2</v>
      </c>
      <c r="H3598" s="2" t="n">
        <f aca="false">'Raw Data'!V3598</f>
        <v>4</v>
      </c>
      <c r="I3598" s="2" t="n">
        <f aca="false">IF(AND(ISNUMBER(B3598),B3598&lt;=25),2,0)+IF(AND(ISNUMBER(E3598),E3598&lt;=5),2,0)+IF(AND(ISNUMBER(F3598),F3598&lt;=1),2,0)+IF(AND(ISNUMBER(G3598),G3598&lt;=2),1,0)+IF(AND(ISNUMBER(H3598),H3598&lt;=2),1,0)</f>
        <v>3</v>
      </c>
      <c r="J3598" s="2" t="str">
        <f aca="false">IF(I3598&gt;=6,"High",IF(I3598&gt;=3,"Medium","Low"))</f>
        <v>Medium</v>
      </c>
    </row>
    <row r="3599" customFormat="false" ht="15" hidden="false" customHeight="true" outlineLevel="0" collapsed="false">
      <c r="A3599" s="2" t="n">
        <f aca="false">'Raw Data'!H3599</f>
        <v>3598</v>
      </c>
      <c r="B3599" s="2" t="n">
        <f aca="false">'Raw Data'!A3599</f>
        <v>21</v>
      </c>
      <c r="C3599" s="2" t="str">
        <f aca="false">'Raw Data'!D3599</f>
        <v>Research &amp; Development</v>
      </c>
      <c r="D3599" s="2" t="str">
        <f aca="false">'Raw Data'!K3599</f>
        <v>Research Scientist</v>
      </c>
      <c r="E3599" s="2" t="n">
        <f aca="false">'Raw Data'!Q3599</f>
        <v>2</v>
      </c>
      <c r="F3599" s="2" t="n">
        <f aca="false">'Raw Data'!U3599</f>
        <v>2</v>
      </c>
      <c r="G3599" s="2" t="n">
        <f aca="false">'Raw Data'!W3599</f>
        <v>3</v>
      </c>
      <c r="H3599" s="2" t="n">
        <f aca="false">'Raw Data'!V3599</f>
        <v>1</v>
      </c>
      <c r="I3599" s="2" t="n">
        <f aca="false">IF(AND(ISNUMBER(B3599),B3599&lt;=25),2,0)+IF(AND(ISNUMBER(E3599),E3599&lt;=5),2,0)+IF(AND(ISNUMBER(F3599),F3599&lt;=1),2,0)+IF(AND(ISNUMBER(G3599),G3599&lt;=2),1,0)+IF(AND(ISNUMBER(H3599),H3599&lt;=2),1,0)</f>
        <v>5</v>
      </c>
      <c r="J3599" s="2" t="str">
        <f aca="false">IF(I3599&gt;=6,"High",IF(I3599&gt;=3,"Medium","Low"))</f>
        <v>Medium</v>
      </c>
    </row>
    <row r="3600" customFormat="false" ht="15" hidden="false" customHeight="true" outlineLevel="0" collapsed="false">
      <c r="A3600" s="2" t="n">
        <f aca="false">'Raw Data'!H3600</f>
        <v>3599</v>
      </c>
      <c r="B3600" s="2" t="n">
        <f aca="false">'Raw Data'!A3600</f>
        <v>46</v>
      </c>
      <c r="C3600" s="2" t="str">
        <f aca="false">'Raw Data'!D3600</f>
        <v>Research &amp; Development</v>
      </c>
      <c r="D3600" s="2" t="str">
        <f aca="false">'Raw Data'!K3600</f>
        <v>Manufacturing Director</v>
      </c>
      <c r="E3600" s="2" t="n">
        <f aca="false">'Raw Data'!Q3600</f>
        <v>26</v>
      </c>
      <c r="F3600" s="2" t="n">
        <f aca="false">'Raw Data'!U3600</f>
        <v>8</v>
      </c>
      <c r="G3600" s="2" t="n">
        <f aca="false">'Raw Data'!W3600</f>
        <v>2</v>
      </c>
      <c r="H3600" s="2" t="n">
        <f aca="false">'Raw Data'!V3600</f>
        <v>4</v>
      </c>
      <c r="I3600" s="2" t="n">
        <f aca="false">IF(AND(ISNUMBER(B3600),B3600&lt;=25),2,0)+IF(AND(ISNUMBER(E3600),E3600&lt;=5),2,0)+IF(AND(ISNUMBER(F3600),F3600&lt;=1),2,0)+IF(AND(ISNUMBER(G3600),G3600&lt;=2),1,0)+IF(AND(ISNUMBER(H3600),H3600&lt;=2),1,0)</f>
        <v>1</v>
      </c>
      <c r="J3600" s="2" t="str">
        <f aca="false">IF(I3600&gt;=6,"High",IF(I3600&gt;=3,"Medium","Low"))</f>
        <v>Low</v>
      </c>
    </row>
    <row r="3601" customFormat="false" ht="15" hidden="false" customHeight="true" outlineLevel="0" collapsed="false">
      <c r="A3601" s="2" t="n">
        <f aca="false">'Raw Data'!H3601</f>
        <v>3600</v>
      </c>
      <c r="B3601" s="2" t="n">
        <f aca="false">'Raw Data'!A3601</f>
        <v>34</v>
      </c>
      <c r="C3601" s="2" t="str">
        <f aca="false">'Raw Data'!D3601</f>
        <v>Sales</v>
      </c>
      <c r="D3601" s="2" t="str">
        <f aca="false">'Raw Data'!K3601</f>
        <v>Sales Representative</v>
      </c>
      <c r="E3601" s="2" t="n">
        <f aca="false">'Raw Data'!Q3601</f>
        <v>4</v>
      </c>
      <c r="F3601" s="2" t="n">
        <f aca="false">'Raw Data'!U3601</f>
        <v>2</v>
      </c>
      <c r="G3601" s="2" t="n">
        <f aca="false">'Raw Data'!W3601</f>
        <v>1</v>
      </c>
      <c r="H3601" s="2" t="n">
        <f aca="false">'Raw Data'!V3601</f>
        <v>3</v>
      </c>
      <c r="I3601" s="2" t="n">
        <f aca="false">IF(AND(ISNUMBER(B3601),B3601&lt;=25),2,0)+IF(AND(ISNUMBER(E3601),E3601&lt;=5),2,0)+IF(AND(ISNUMBER(F3601),F3601&lt;=1),2,0)+IF(AND(ISNUMBER(G3601),G3601&lt;=2),1,0)+IF(AND(ISNUMBER(H3601),H3601&lt;=2),1,0)</f>
        <v>3</v>
      </c>
      <c r="J3601" s="2" t="str">
        <f aca="false">IF(I3601&gt;=6,"High",IF(I3601&gt;=3,"Medium","Low"))</f>
        <v>Medium</v>
      </c>
    </row>
    <row r="3602" customFormat="false" ht="15" hidden="false" customHeight="true" outlineLevel="0" collapsed="false">
      <c r="A3602" s="2" t="n">
        <f aca="false">'Raw Data'!H3602</f>
        <v>3601</v>
      </c>
      <c r="B3602" s="2" t="n">
        <f aca="false">'Raw Data'!A3602</f>
        <v>51</v>
      </c>
      <c r="C3602" s="2" t="str">
        <f aca="false">'Raw Data'!D3602</f>
        <v>Research &amp; Development</v>
      </c>
      <c r="D3602" s="2" t="str">
        <f aca="false">'Raw Data'!K3602</f>
        <v>Research Director</v>
      </c>
      <c r="E3602" s="2" t="n">
        <f aca="false">'Raw Data'!Q3602</f>
        <v>31</v>
      </c>
      <c r="F3602" s="2" t="n">
        <f aca="false">'Raw Data'!U3602</f>
        <v>10</v>
      </c>
      <c r="G3602" s="2" t="n">
        <f aca="false">'Raw Data'!W3602</f>
        <v>2</v>
      </c>
      <c r="H3602" s="2" t="n">
        <f aca="false">'Raw Data'!V3602</f>
        <v>4</v>
      </c>
      <c r="I3602" s="2" t="n">
        <f aca="false">IF(AND(ISNUMBER(B3602),B3602&lt;=25),2,0)+IF(AND(ISNUMBER(E3602),E3602&lt;=5),2,0)+IF(AND(ISNUMBER(F3602),F3602&lt;=1),2,0)+IF(AND(ISNUMBER(G3602),G3602&lt;=2),1,0)+IF(AND(ISNUMBER(H3602),H3602&lt;=2),1,0)</f>
        <v>1</v>
      </c>
      <c r="J3602" s="2" t="str">
        <f aca="false">IF(I3602&gt;=6,"High",IF(I3602&gt;=3,"Medium","Low"))</f>
        <v>Low</v>
      </c>
    </row>
    <row r="3603" customFormat="false" ht="15" hidden="false" customHeight="true" outlineLevel="0" collapsed="false">
      <c r="A3603" s="2" t="n">
        <f aca="false">'Raw Data'!H3603</f>
        <v>3602</v>
      </c>
      <c r="B3603" s="2" t="n">
        <f aca="false">'Raw Data'!A3603</f>
        <v>59</v>
      </c>
      <c r="C3603" s="2" t="str">
        <f aca="false">'Raw Data'!D3603</f>
        <v>Research &amp; Development</v>
      </c>
      <c r="D3603" s="2" t="str">
        <f aca="false">'Raw Data'!K3603</f>
        <v>Research Scientist</v>
      </c>
      <c r="E3603" s="2" t="n">
        <f aca="false">'Raw Data'!Q3603</f>
        <v>25</v>
      </c>
      <c r="F3603" s="2" t="n">
        <f aca="false">'Raw Data'!U3603</f>
        <v>4</v>
      </c>
      <c r="G3603" s="2" t="n">
        <f aca="false">'Raw Data'!W3603</f>
        <v>4</v>
      </c>
      <c r="H3603" s="2" t="n">
        <f aca="false">'Raw Data'!V3603</f>
        <v>4</v>
      </c>
      <c r="I3603" s="2" t="n">
        <f aca="false">IF(AND(ISNUMBER(B3603),B3603&lt;=25),2,0)+IF(AND(ISNUMBER(E3603),E3603&lt;=5),2,0)+IF(AND(ISNUMBER(F3603),F3603&lt;=1),2,0)+IF(AND(ISNUMBER(G3603),G3603&lt;=2),1,0)+IF(AND(ISNUMBER(H3603),H3603&lt;=2),1,0)</f>
        <v>0</v>
      </c>
      <c r="J3603" s="2" t="str">
        <f aca="false">IF(I3603&gt;=6,"High",IF(I3603&gt;=3,"Medium","Low"))</f>
        <v>Low</v>
      </c>
    </row>
    <row r="3604" customFormat="false" ht="15" hidden="false" customHeight="true" outlineLevel="0" collapsed="false">
      <c r="A3604" s="2" t="n">
        <f aca="false">'Raw Data'!H3604</f>
        <v>3603</v>
      </c>
      <c r="B3604" s="2" t="n">
        <f aca="false">'Raw Data'!A3604</f>
        <v>34</v>
      </c>
      <c r="C3604" s="2" t="str">
        <f aca="false">'Raw Data'!D3604</f>
        <v>Sales</v>
      </c>
      <c r="D3604" s="2" t="str">
        <f aca="false">'Raw Data'!K3604</f>
        <v>Research Scientist</v>
      </c>
      <c r="E3604" s="2" t="n">
        <f aca="false">'Raw Data'!Q3604</f>
        <v>15</v>
      </c>
      <c r="F3604" s="2" t="n">
        <f aca="false">'Raw Data'!U3604</f>
        <v>10</v>
      </c>
      <c r="G3604" s="2" t="n">
        <f aca="false">'Raw Data'!W3604</f>
        <v>2</v>
      </c>
      <c r="H3604" s="2" t="n">
        <f aca="false">'Raw Data'!V3604</f>
        <v>3</v>
      </c>
      <c r="I3604" s="2" t="n">
        <f aca="false">IF(AND(ISNUMBER(B3604),B3604&lt;=25),2,0)+IF(AND(ISNUMBER(E3604),E3604&lt;=5),2,0)+IF(AND(ISNUMBER(F3604),F3604&lt;=1),2,0)+IF(AND(ISNUMBER(G3604),G3604&lt;=2),1,0)+IF(AND(ISNUMBER(H3604),H3604&lt;=2),1,0)</f>
        <v>1</v>
      </c>
      <c r="J3604" s="2" t="str">
        <f aca="false">IF(I3604&gt;=6,"High",IF(I3604&gt;=3,"Medium","Low"))</f>
        <v>Low</v>
      </c>
    </row>
    <row r="3605" customFormat="false" ht="15" hidden="false" customHeight="true" outlineLevel="0" collapsed="false">
      <c r="A3605" s="2" t="n">
        <f aca="false">'Raw Data'!H3605</f>
        <v>3604</v>
      </c>
      <c r="B3605" s="2" t="n">
        <f aca="false">'Raw Data'!A3605</f>
        <v>28</v>
      </c>
      <c r="C3605" s="2" t="str">
        <f aca="false">'Raw Data'!D3605</f>
        <v>Research &amp; Development</v>
      </c>
      <c r="D3605" s="2" t="str">
        <f aca="false">'Raw Data'!K3605</f>
        <v>Manager</v>
      </c>
      <c r="E3605" s="2" t="n">
        <f aca="false">'Raw Data'!Q3605</f>
        <v>5</v>
      </c>
      <c r="F3605" s="2" t="n">
        <f aca="false">'Raw Data'!U3605</f>
        <v>2</v>
      </c>
      <c r="G3605" s="2" t="n">
        <f aca="false">'Raw Data'!W3605</f>
        <v>3</v>
      </c>
      <c r="H3605" s="2" t="n">
        <f aca="false">'Raw Data'!V3605</f>
        <v>4</v>
      </c>
      <c r="I3605" s="2" t="n">
        <f aca="false">IF(AND(ISNUMBER(B3605),B3605&lt;=25),2,0)+IF(AND(ISNUMBER(E3605),E3605&lt;=5),2,0)+IF(AND(ISNUMBER(F3605),F3605&lt;=1),2,0)+IF(AND(ISNUMBER(G3605),G3605&lt;=2),1,0)+IF(AND(ISNUMBER(H3605),H3605&lt;=2),1,0)</f>
        <v>2</v>
      </c>
      <c r="J3605" s="2" t="str">
        <f aca="false">IF(I3605&gt;=6,"High",IF(I3605&gt;=3,"Medium","Low"))</f>
        <v>Low</v>
      </c>
    </row>
    <row r="3606" customFormat="false" ht="15" hidden="false" customHeight="true" outlineLevel="0" collapsed="false">
      <c r="A3606" s="2" t="n">
        <f aca="false">'Raw Data'!H3606</f>
        <v>3605</v>
      </c>
      <c r="B3606" s="2" t="n">
        <f aca="false">'Raw Data'!A3606</f>
        <v>44</v>
      </c>
      <c r="C3606" s="2" t="str">
        <f aca="false">'Raw Data'!D3606</f>
        <v>Research &amp; Development</v>
      </c>
      <c r="D3606" s="2" t="str">
        <f aca="false">'Raw Data'!K3606</f>
        <v>Research Scientist</v>
      </c>
      <c r="E3606" s="2" t="n">
        <f aca="false">'Raw Data'!Q3606</f>
        <v>26</v>
      </c>
      <c r="F3606" s="2" t="n">
        <f aca="false">'Raw Data'!U3606</f>
        <v>13</v>
      </c>
      <c r="G3606" s="2" t="n">
        <f aca="false">'Raw Data'!W3606</f>
        <v>1</v>
      </c>
      <c r="H3606" s="2" t="n">
        <f aca="false">'Raw Data'!V3606</f>
        <v>3</v>
      </c>
      <c r="I3606" s="2" t="n">
        <f aca="false">IF(AND(ISNUMBER(B3606),B3606&lt;=25),2,0)+IF(AND(ISNUMBER(E3606),E3606&lt;=5),2,0)+IF(AND(ISNUMBER(F3606),F3606&lt;=1),2,0)+IF(AND(ISNUMBER(G3606),G3606&lt;=2),1,0)+IF(AND(ISNUMBER(H3606),H3606&lt;=2),1,0)</f>
        <v>1</v>
      </c>
      <c r="J3606" s="2" t="str">
        <f aca="false">IF(I3606&gt;=6,"High",IF(I3606&gt;=3,"Medium","Low"))</f>
        <v>Low</v>
      </c>
    </row>
    <row r="3607" customFormat="false" ht="15" hidden="false" customHeight="true" outlineLevel="0" collapsed="false">
      <c r="A3607" s="2" t="n">
        <f aca="false">'Raw Data'!H3607</f>
        <v>3606</v>
      </c>
      <c r="B3607" s="2" t="n">
        <f aca="false">'Raw Data'!A3607</f>
        <v>34</v>
      </c>
      <c r="C3607" s="2" t="str">
        <f aca="false">'Raw Data'!D3607</f>
        <v>Sales</v>
      </c>
      <c r="D3607" s="2" t="str">
        <f aca="false">'Raw Data'!K3607</f>
        <v>Sales Executive</v>
      </c>
      <c r="E3607" s="2" t="n">
        <f aca="false">'Raw Data'!Q3607</f>
        <v>14</v>
      </c>
      <c r="F3607" s="2" t="n">
        <f aca="false">'Raw Data'!U3607</f>
        <v>8</v>
      </c>
      <c r="G3607" s="2" t="n">
        <f aca="false">'Raw Data'!W3607</f>
        <v>2</v>
      </c>
      <c r="H3607" s="2" t="n">
        <f aca="false">'Raw Data'!V3607</f>
        <v>3</v>
      </c>
      <c r="I3607" s="2" t="n">
        <f aca="false">IF(AND(ISNUMBER(B3607),B3607&lt;=25),2,0)+IF(AND(ISNUMBER(E3607),E3607&lt;=5),2,0)+IF(AND(ISNUMBER(F3607),F3607&lt;=1),2,0)+IF(AND(ISNUMBER(G3607),G3607&lt;=2),1,0)+IF(AND(ISNUMBER(H3607),H3607&lt;=2),1,0)</f>
        <v>1</v>
      </c>
      <c r="J3607" s="2" t="str">
        <f aca="false">IF(I3607&gt;=6,"High",IF(I3607&gt;=3,"Medium","Low"))</f>
        <v>Low</v>
      </c>
    </row>
    <row r="3608" customFormat="false" ht="15" hidden="false" customHeight="true" outlineLevel="0" collapsed="false">
      <c r="A3608" s="2" t="n">
        <f aca="false">'Raw Data'!H3608</f>
        <v>3607</v>
      </c>
      <c r="B3608" s="2" t="n">
        <f aca="false">'Raw Data'!A3608</f>
        <v>35</v>
      </c>
      <c r="C3608" s="2" t="str">
        <f aca="false">'Raw Data'!D3608</f>
        <v>Research &amp; Development</v>
      </c>
      <c r="D3608" s="2" t="str">
        <f aca="false">'Raw Data'!K3608</f>
        <v>Healthcare Representative</v>
      </c>
      <c r="E3608" s="2" t="n">
        <f aca="false">'Raw Data'!Q3608</f>
        <v>4</v>
      </c>
      <c r="F3608" s="2" t="n">
        <f aca="false">'Raw Data'!U3608</f>
        <v>2</v>
      </c>
      <c r="G3608" s="2" t="n">
        <f aca="false">'Raw Data'!W3608</f>
        <v>3</v>
      </c>
      <c r="H3608" s="2" t="n">
        <f aca="false">'Raw Data'!V3608</f>
        <v>3</v>
      </c>
      <c r="I3608" s="2" t="n">
        <f aca="false">IF(AND(ISNUMBER(B3608),B3608&lt;=25),2,0)+IF(AND(ISNUMBER(E3608),E3608&lt;=5),2,0)+IF(AND(ISNUMBER(F3608),F3608&lt;=1),2,0)+IF(AND(ISNUMBER(G3608),G3608&lt;=2),1,0)+IF(AND(ISNUMBER(H3608),H3608&lt;=2),1,0)</f>
        <v>2</v>
      </c>
      <c r="J3608" s="2" t="str">
        <f aca="false">IF(I3608&gt;=6,"High",IF(I3608&gt;=3,"Medium","Low"))</f>
        <v>Low</v>
      </c>
    </row>
    <row r="3609" customFormat="false" ht="15" hidden="false" customHeight="true" outlineLevel="0" collapsed="false">
      <c r="A3609" s="2" t="n">
        <f aca="false">'Raw Data'!H3609</f>
        <v>3608</v>
      </c>
      <c r="B3609" s="2" t="n">
        <f aca="false">'Raw Data'!A3609</f>
        <v>42</v>
      </c>
      <c r="C3609" s="2" t="str">
        <f aca="false">'Raw Data'!D3609</f>
        <v>Research &amp; Development</v>
      </c>
      <c r="D3609" s="2" t="str">
        <f aca="false">'Raw Data'!K3609</f>
        <v>Manager</v>
      </c>
      <c r="E3609" s="2" t="n">
        <f aca="false">'Raw Data'!Q3609</f>
        <v>18</v>
      </c>
      <c r="F3609" s="2" t="n">
        <f aca="false">'Raw Data'!U3609</f>
        <v>0</v>
      </c>
      <c r="G3609" s="2" t="n">
        <f aca="false">'Raw Data'!W3609</f>
        <v>2</v>
      </c>
      <c r="H3609" s="2" t="n">
        <f aca="false">'Raw Data'!V3609</f>
        <v>2</v>
      </c>
      <c r="I3609" s="2" t="n">
        <f aca="false">IF(AND(ISNUMBER(B3609),B3609&lt;=25),2,0)+IF(AND(ISNUMBER(E3609),E3609&lt;=5),2,0)+IF(AND(ISNUMBER(F3609),F3609&lt;=1),2,0)+IF(AND(ISNUMBER(G3609),G3609&lt;=2),1,0)+IF(AND(ISNUMBER(H3609),H3609&lt;=2),1,0)</f>
        <v>4</v>
      </c>
      <c r="J3609" s="2" t="str">
        <f aca="false">IF(I3609&gt;=6,"High",IF(I3609&gt;=3,"Medium","Low"))</f>
        <v>Medium</v>
      </c>
    </row>
    <row r="3610" customFormat="false" ht="15" hidden="false" customHeight="true" outlineLevel="0" collapsed="false">
      <c r="A3610" s="2" t="n">
        <f aca="false">'Raw Data'!H3610</f>
        <v>3609</v>
      </c>
      <c r="B3610" s="2" t="n">
        <f aca="false">'Raw Data'!A3610</f>
        <v>43</v>
      </c>
      <c r="C3610" s="2" t="str">
        <f aca="false">'Raw Data'!D3610</f>
        <v>Research &amp; Development</v>
      </c>
      <c r="D3610" s="2" t="str">
        <f aca="false">'Raw Data'!K3610</f>
        <v>Laboratory Technician</v>
      </c>
      <c r="E3610" s="2" t="n">
        <f aca="false">'Raw Data'!Q3610</f>
        <v>23</v>
      </c>
      <c r="F3610" s="2" t="n">
        <f aca="false">'Raw Data'!U3610</f>
        <v>17</v>
      </c>
      <c r="G3610" s="2" t="n">
        <f aca="false">'Raw Data'!W3610</f>
        <v>4</v>
      </c>
      <c r="H3610" s="2" t="n">
        <f aca="false">'Raw Data'!V3610</f>
        <v>4</v>
      </c>
      <c r="I3610" s="2" t="n">
        <f aca="false">IF(AND(ISNUMBER(B3610),B3610&lt;=25),2,0)+IF(AND(ISNUMBER(E3610),E3610&lt;=5),2,0)+IF(AND(ISNUMBER(F3610),F3610&lt;=1),2,0)+IF(AND(ISNUMBER(G3610),G3610&lt;=2),1,0)+IF(AND(ISNUMBER(H3610),H3610&lt;=2),1,0)</f>
        <v>0</v>
      </c>
      <c r="J3610" s="2" t="str">
        <f aca="false">IF(I3610&gt;=6,"High",IF(I3610&gt;=3,"Medium","Low"))</f>
        <v>Low</v>
      </c>
    </row>
    <row r="3611" customFormat="false" ht="15" hidden="false" customHeight="true" outlineLevel="0" collapsed="false">
      <c r="A3611" s="2" t="n">
        <f aca="false">'Raw Data'!H3611</f>
        <v>3610</v>
      </c>
      <c r="B3611" s="2" t="n">
        <f aca="false">'Raw Data'!A3611</f>
        <v>36</v>
      </c>
      <c r="C3611" s="2" t="str">
        <f aca="false">'Raw Data'!D3611</f>
        <v>Research &amp; Development</v>
      </c>
      <c r="D3611" s="2" t="str">
        <f aca="false">'Raw Data'!K3611</f>
        <v>Healthcare Representative</v>
      </c>
      <c r="E3611" s="2" t="n">
        <f aca="false">'Raw Data'!Q3611</f>
        <v>18</v>
      </c>
      <c r="F3611" s="2" t="n">
        <f aca="false">'Raw Data'!U3611</f>
        <v>12</v>
      </c>
      <c r="G3611" s="2" t="n">
        <f aca="false">'Raw Data'!W3611</f>
        <v>2</v>
      </c>
      <c r="H3611" s="2" t="n">
        <f aca="false">'Raw Data'!V3611</f>
        <v>3</v>
      </c>
      <c r="I3611" s="2" t="n">
        <f aca="false">IF(AND(ISNUMBER(B3611),B3611&lt;=25),2,0)+IF(AND(ISNUMBER(E3611),E3611&lt;=5),2,0)+IF(AND(ISNUMBER(F3611),F3611&lt;=1),2,0)+IF(AND(ISNUMBER(G3611),G3611&lt;=2),1,0)+IF(AND(ISNUMBER(H3611),H3611&lt;=2),1,0)</f>
        <v>1</v>
      </c>
      <c r="J3611" s="2" t="str">
        <f aca="false">IF(I3611&gt;=6,"High",IF(I3611&gt;=3,"Medium","Low"))</f>
        <v>Low</v>
      </c>
    </row>
    <row r="3612" customFormat="false" ht="15" hidden="false" customHeight="true" outlineLevel="0" collapsed="false">
      <c r="A3612" s="2" t="n">
        <f aca="false">'Raw Data'!H3612</f>
        <v>3611</v>
      </c>
      <c r="B3612" s="2" t="n">
        <f aca="false">'Raw Data'!A3612</f>
        <v>44</v>
      </c>
      <c r="C3612" s="2" t="str">
        <f aca="false">'Raw Data'!D3612</f>
        <v>Research &amp; Development</v>
      </c>
      <c r="D3612" s="2" t="str">
        <f aca="false">'Raw Data'!K3612</f>
        <v>Laboratory Technician</v>
      </c>
      <c r="E3612" s="2" t="n">
        <f aca="false">'Raw Data'!Q3612</f>
        <v>10</v>
      </c>
      <c r="F3612" s="2" t="n">
        <f aca="false">'Raw Data'!U3612</f>
        <v>5</v>
      </c>
      <c r="G3612" s="2" t="n">
        <f aca="false">'Raw Data'!W3612</f>
        <v>4</v>
      </c>
      <c r="H3612" s="2" t="n">
        <f aca="false">'Raw Data'!V3612</f>
        <v>1</v>
      </c>
      <c r="I3612" s="2" t="n">
        <f aca="false">IF(AND(ISNUMBER(B3612),B3612&lt;=25),2,0)+IF(AND(ISNUMBER(E3612),E3612&lt;=5),2,0)+IF(AND(ISNUMBER(F3612),F3612&lt;=1),2,0)+IF(AND(ISNUMBER(G3612),G3612&lt;=2),1,0)+IF(AND(ISNUMBER(H3612),H3612&lt;=2),1,0)</f>
        <v>1</v>
      </c>
      <c r="J3612" s="2" t="str">
        <f aca="false">IF(I3612&gt;=6,"High",IF(I3612&gt;=3,"Medium","Low"))</f>
        <v>Low</v>
      </c>
    </row>
    <row r="3613" customFormat="false" ht="15" hidden="false" customHeight="true" outlineLevel="0" collapsed="false">
      <c r="A3613" s="2" t="n">
        <f aca="false">'Raw Data'!H3613</f>
        <v>3612</v>
      </c>
      <c r="B3613" s="2" t="n">
        <f aca="false">'Raw Data'!A3613</f>
        <v>28</v>
      </c>
      <c r="C3613" s="2" t="str">
        <f aca="false">'Raw Data'!D3613</f>
        <v>Research &amp; Development</v>
      </c>
      <c r="D3613" s="2" t="str">
        <f aca="false">'Raw Data'!K3613</f>
        <v>Sales Representative</v>
      </c>
      <c r="E3613" s="2" t="n">
        <f aca="false">'Raw Data'!Q3613</f>
        <v>2</v>
      </c>
      <c r="F3613" s="2" t="n">
        <f aca="false">'Raw Data'!U3613</f>
        <v>2</v>
      </c>
      <c r="G3613" s="2" t="n">
        <f aca="false">'Raw Data'!W3613</f>
        <v>4</v>
      </c>
      <c r="H3613" s="2" t="n">
        <f aca="false">'Raw Data'!V3613</f>
        <v>4</v>
      </c>
      <c r="I3613" s="2" t="n">
        <f aca="false">IF(AND(ISNUMBER(B3613),B3613&lt;=25),2,0)+IF(AND(ISNUMBER(E3613),E3613&lt;=5),2,0)+IF(AND(ISNUMBER(F3613),F3613&lt;=1),2,0)+IF(AND(ISNUMBER(G3613),G3613&lt;=2),1,0)+IF(AND(ISNUMBER(H3613),H3613&lt;=2),1,0)</f>
        <v>2</v>
      </c>
      <c r="J3613" s="2" t="str">
        <f aca="false">IF(I3613&gt;=6,"High",IF(I3613&gt;=3,"Medium","Low"))</f>
        <v>Low</v>
      </c>
    </row>
    <row r="3614" customFormat="false" ht="15" hidden="false" customHeight="true" outlineLevel="0" collapsed="false">
      <c r="A3614" s="2" t="n">
        <f aca="false">'Raw Data'!H3614</f>
        <v>3613</v>
      </c>
      <c r="B3614" s="2" t="n">
        <f aca="false">'Raw Data'!A3614</f>
        <v>51</v>
      </c>
      <c r="C3614" s="2" t="str">
        <f aca="false">'Raw Data'!D3614</f>
        <v>Sales</v>
      </c>
      <c r="D3614" s="2" t="str">
        <f aca="false">'Raw Data'!K3614</f>
        <v>Research Scientist</v>
      </c>
      <c r="E3614" s="2" t="n">
        <f aca="false">'Raw Data'!Q3614</f>
        <v>8</v>
      </c>
      <c r="F3614" s="2" t="n">
        <f aca="false">'Raw Data'!U3614</f>
        <v>7</v>
      </c>
      <c r="G3614" s="2" t="n">
        <f aca="false">'Raw Data'!W3614</f>
        <v>3</v>
      </c>
      <c r="H3614" s="2" t="n">
        <f aca="false">'Raw Data'!V3614</f>
        <v>2</v>
      </c>
      <c r="I3614" s="2" t="n">
        <f aca="false">IF(AND(ISNUMBER(B3614),B3614&lt;=25),2,0)+IF(AND(ISNUMBER(E3614),E3614&lt;=5),2,0)+IF(AND(ISNUMBER(F3614),F3614&lt;=1),2,0)+IF(AND(ISNUMBER(G3614),G3614&lt;=2),1,0)+IF(AND(ISNUMBER(H3614),H3614&lt;=2),1,0)</f>
        <v>1</v>
      </c>
      <c r="J3614" s="2" t="str">
        <f aca="false">IF(I3614&gt;=6,"High",IF(I3614&gt;=3,"Medium","Low"))</f>
        <v>Low</v>
      </c>
    </row>
    <row r="3615" customFormat="false" ht="15" hidden="false" customHeight="true" outlineLevel="0" collapsed="false">
      <c r="A3615" s="2" t="n">
        <f aca="false">'Raw Data'!H3615</f>
        <v>3614</v>
      </c>
      <c r="B3615" s="2" t="n">
        <f aca="false">'Raw Data'!A3615</f>
        <v>30</v>
      </c>
      <c r="C3615" s="2" t="str">
        <f aca="false">'Raw Data'!D3615</f>
        <v>Research &amp; Development</v>
      </c>
      <c r="D3615" s="2" t="str">
        <f aca="false">'Raw Data'!K3615</f>
        <v>Research Scientist</v>
      </c>
      <c r="E3615" s="2" t="n">
        <f aca="false">'Raw Data'!Q3615</f>
        <v>10</v>
      </c>
      <c r="F3615" s="2" t="n">
        <f aca="false">'Raw Data'!U3615</f>
        <v>7</v>
      </c>
      <c r="G3615" s="2" t="n">
        <f aca="false">'Raw Data'!W3615</f>
        <v>3</v>
      </c>
      <c r="H3615" s="2" t="n">
        <f aca="false">'Raw Data'!V3615</f>
        <v>3</v>
      </c>
      <c r="I3615" s="2" t="n">
        <f aca="false">IF(AND(ISNUMBER(B3615),B3615&lt;=25),2,0)+IF(AND(ISNUMBER(E3615),E3615&lt;=5),2,0)+IF(AND(ISNUMBER(F3615),F3615&lt;=1),2,0)+IF(AND(ISNUMBER(G3615),G3615&lt;=2),1,0)+IF(AND(ISNUMBER(H3615),H3615&lt;=2),1,0)</f>
        <v>0</v>
      </c>
      <c r="J3615" s="2" t="str">
        <f aca="false">IF(I3615&gt;=6,"High",IF(I3615&gt;=3,"Medium","Low"))</f>
        <v>Low</v>
      </c>
    </row>
    <row r="3616" customFormat="false" ht="15" hidden="false" customHeight="true" outlineLevel="0" collapsed="false">
      <c r="A3616" s="2" t="n">
        <f aca="false">'Raw Data'!H3616</f>
        <v>3615</v>
      </c>
      <c r="B3616" s="2" t="n">
        <f aca="false">'Raw Data'!A3616</f>
        <v>29</v>
      </c>
      <c r="C3616" s="2" t="str">
        <f aca="false">'Raw Data'!D3616</f>
        <v>Research &amp; Development</v>
      </c>
      <c r="D3616" s="2" t="str">
        <f aca="false">'Raw Data'!K3616</f>
        <v>Sales Representative</v>
      </c>
      <c r="E3616" s="2" t="n">
        <f aca="false">'Raw Data'!Q3616</f>
        <v>10</v>
      </c>
      <c r="F3616" s="2" t="n">
        <f aca="false">'Raw Data'!U3616</f>
        <v>7</v>
      </c>
      <c r="G3616" s="2" t="n">
        <f aca="false">'Raw Data'!W3616</f>
        <v>3</v>
      </c>
      <c r="H3616" s="2" t="n">
        <f aca="false">'Raw Data'!V3616</f>
        <v>2</v>
      </c>
      <c r="I3616" s="2" t="n">
        <f aca="false">IF(AND(ISNUMBER(B3616),B3616&lt;=25),2,0)+IF(AND(ISNUMBER(E3616),E3616&lt;=5),2,0)+IF(AND(ISNUMBER(F3616),F3616&lt;=1),2,0)+IF(AND(ISNUMBER(G3616),G3616&lt;=2),1,0)+IF(AND(ISNUMBER(H3616),H3616&lt;=2),1,0)</f>
        <v>1</v>
      </c>
      <c r="J3616" s="2" t="str">
        <f aca="false">IF(I3616&gt;=6,"High",IF(I3616&gt;=3,"Medium","Low"))</f>
        <v>Low</v>
      </c>
    </row>
    <row r="3617" customFormat="false" ht="15" hidden="false" customHeight="true" outlineLevel="0" collapsed="false">
      <c r="A3617" s="2" t="n">
        <f aca="false">'Raw Data'!H3617</f>
        <v>3616</v>
      </c>
      <c r="B3617" s="2" t="n">
        <f aca="false">'Raw Data'!A3617</f>
        <v>28</v>
      </c>
      <c r="C3617" s="2" t="str">
        <f aca="false">'Raw Data'!D3617</f>
        <v>Sales</v>
      </c>
      <c r="D3617" s="2" t="str">
        <f aca="false">'Raw Data'!K3617</f>
        <v>Sales Representative</v>
      </c>
      <c r="E3617" s="2" t="n">
        <f aca="false">'Raw Data'!Q3617</f>
        <v>5</v>
      </c>
      <c r="F3617" s="2" t="n">
        <f aca="false">'Raw Data'!U3617</f>
        <v>2</v>
      </c>
      <c r="G3617" s="2" t="n">
        <f aca="false">'Raw Data'!W3617</f>
        <v>1</v>
      </c>
      <c r="H3617" s="2" t="n">
        <f aca="false">'Raw Data'!V3617</f>
        <v>4</v>
      </c>
      <c r="I3617" s="2" t="n">
        <f aca="false">IF(AND(ISNUMBER(B3617),B3617&lt;=25),2,0)+IF(AND(ISNUMBER(E3617),E3617&lt;=5),2,0)+IF(AND(ISNUMBER(F3617),F3617&lt;=1),2,0)+IF(AND(ISNUMBER(G3617),G3617&lt;=2),1,0)+IF(AND(ISNUMBER(H3617),H3617&lt;=2),1,0)</f>
        <v>3</v>
      </c>
      <c r="J3617" s="2" t="str">
        <f aca="false">IF(I3617&gt;=6,"High",IF(I3617&gt;=3,"Medium","Low"))</f>
        <v>Medium</v>
      </c>
    </row>
    <row r="3618" customFormat="false" ht="15" hidden="false" customHeight="true" outlineLevel="0" collapsed="false">
      <c r="A3618" s="2" t="n">
        <f aca="false">'Raw Data'!H3618</f>
        <v>3617</v>
      </c>
      <c r="B3618" s="2" t="n">
        <f aca="false">'Raw Data'!A3618</f>
        <v>25</v>
      </c>
      <c r="C3618" s="2" t="str">
        <f aca="false">'Raw Data'!D3618</f>
        <v>Research &amp; Development</v>
      </c>
      <c r="D3618" s="2" t="str">
        <f aca="false">'Raw Data'!K3618</f>
        <v>Research Scientist</v>
      </c>
      <c r="E3618" s="2" t="n">
        <f aca="false">'Raw Data'!Q3618</f>
        <v>2</v>
      </c>
      <c r="F3618" s="2" t="n">
        <f aca="false">'Raw Data'!U3618</f>
        <v>1</v>
      </c>
      <c r="G3618" s="2" t="n">
        <f aca="false">'Raw Data'!W3618</f>
        <v>2</v>
      </c>
      <c r="H3618" s="2" t="n">
        <f aca="false">'Raw Data'!V3618</f>
        <v>4</v>
      </c>
      <c r="I3618" s="2" t="n">
        <f aca="false">IF(AND(ISNUMBER(B3618),B3618&lt;=25),2,0)+IF(AND(ISNUMBER(E3618),E3618&lt;=5),2,0)+IF(AND(ISNUMBER(F3618),F3618&lt;=1),2,0)+IF(AND(ISNUMBER(G3618),G3618&lt;=2),1,0)+IF(AND(ISNUMBER(H3618),H3618&lt;=2),1,0)</f>
        <v>7</v>
      </c>
      <c r="J3618" s="2" t="str">
        <f aca="false">IF(I3618&gt;=6,"High",IF(I3618&gt;=3,"Medium","Low"))</f>
        <v>High</v>
      </c>
    </row>
    <row r="3619" customFormat="false" ht="15" hidden="false" customHeight="true" outlineLevel="0" collapsed="false">
      <c r="A3619" s="2" t="n">
        <f aca="false">'Raw Data'!H3619</f>
        <v>3618</v>
      </c>
      <c r="B3619" s="2" t="n">
        <f aca="false">'Raw Data'!A3619</f>
        <v>32</v>
      </c>
      <c r="C3619" s="2" t="str">
        <f aca="false">'Raw Data'!D3619</f>
        <v>Research &amp; Development</v>
      </c>
      <c r="D3619" s="2" t="str">
        <f aca="false">'Raw Data'!K3619</f>
        <v>Sales Executive</v>
      </c>
      <c r="E3619" s="2" t="n">
        <f aca="false">'Raw Data'!Q3619</f>
        <v>10</v>
      </c>
      <c r="F3619" s="2" t="n">
        <f aca="false">'Raw Data'!U3619</f>
        <v>8</v>
      </c>
      <c r="G3619" s="2" t="n">
        <f aca="false">'Raw Data'!W3619</f>
        <v>4</v>
      </c>
      <c r="H3619" s="2" t="n">
        <f aca="false">'Raw Data'!V3619</f>
        <v>3</v>
      </c>
      <c r="I3619" s="2" t="n">
        <f aca="false">IF(AND(ISNUMBER(B3619),B3619&lt;=25),2,0)+IF(AND(ISNUMBER(E3619),E3619&lt;=5),2,0)+IF(AND(ISNUMBER(F3619),F3619&lt;=1),2,0)+IF(AND(ISNUMBER(G3619),G3619&lt;=2),1,0)+IF(AND(ISNUMBER(H3619),H3619&lt;=2),1,0)</f>
        <v>0</v>
      </c>
      <c r="J3619" s="2" t="str">
        <f aca="false">IF(I3619&gt;=6,"High",IF(I3619&gt;=3,"Medium","Low"))</f>
        <v>Low</v>
      </c>
    </row>
    <row r="3620" customFormat="false" ht="15" hidden="false" customHeight="true" outlineLevel="0" collapsed="false">
      <c r="A3620" s="2" t="n">
        <f aca="false">'Raw Data'!H3620</f>
        <v>3619</v>
      </c>
      <c r="B3620" s="2" t="n">
        <f aca="false">'Raw Data'!A3620</f>
        <v>45</v>
      </c>
      <c r="C3620" s="2" t="str">
        <f aca="false">'Raw Data'!D3620</f>
        <v>Research &amp; Development</v>
      </c>
      <c r="D3620" s="2" t="str">
        <f aca="false">'Raw Data'!K3620</f>
        <v>Laboratory Technician</v>
      </c>
      <c r="E3620" s="2" t="n">
        <f aca="false">'Raw Data'!Q3620</f>
        <v>22</v>
      </c>
      <c r="F3620" s="2" t="n">
        <f aca="false">'Raw Data'!U3620</f>
        <v>0</v>
      </c>
      <c r="G3620" s="2" t="n">
        <f aca="false">'Raw Data'!W3620</f>
        <v>2</v>
      </c>
      <c r="H3620" s="2" t="n">
        <f aca="false">'Raw Data'!V3620</f>
        <v>2</v>
      </c>
      <c r="I3620" s="2" t="n">
        <f aca="false">IF(AND(ISNUMBER(B3620),B3620&lt;=25),2,0)+IF(AND(ISNUMBER(E3620),E3620&lt;=5),2,0)+IF(AND(ISNUMBER(F3620),F3620&lt;=1),2,0)+IF(AND(ISNUMBER(G3620),G3620&lt;=2),1,0)+IF(AND(ISNUMBER(H3620),H3620&lt;=2),1,0)</f>
        <v>4</v>
      </c>
      <c r="J3620" s="2" t="str">
        <f aca="false">IF(I3620&gt;=6,"High",IF(I3620&gt;=3,"Medium","Low"))</f>
        <v>Medium</v>
      </c>
    </row>
    <row r="3621" customFormat="false" ht="15" hidden="false" customHeight="true" outlineLevel="0" collapsed="false">
      <c r="A3621" s="2" t="n">
        <f aca="false">'Raw Data'!H3621</f>
        <v>3620</v>
      </c>
      <c r="B3621" s="2" t="n">
        <f aca="false">'Raw Data'!A3621</f>
        <v>39</v>
      </c>
      <c r="C3621" s="2" t="str">
        <f aca="false">'Raw Data'!D3621</f>
        <v>Sales</v>
      </c>
      <c r="D3621" s="2" t="str">
        <f aca="false">'Raw Data'!K3621</f>
        <v>Laboratory Technician</v>
      </c>
      <c r="E3621" s="2" t="n">
        <f aca="false">'Raw Data'!Q3621</f>
        <v>21</v>
      </c>
      <c r="F3621" s="2" t="n">
        <f aca="false">'Raw Data'!U3621</f>
        <v>2</v>
      </c>
      <c r="G3621" s="2" t="n">
        <f aca="false">'Raw Data'!W3621</f>
        <v>2</v>
      </c>
      <c r="H3621" s="2" t="n">
        <f aca="false">'Raw Data'!V3621</f>
        <v>3</v>
      </c>
      <c r="I3621" s="2" t="n">
        <f aca="false">IF(AND(ISNUMBER(B3621),B3621&lt;=25),2,0)+IF(AND(ISNUMBER(E3621),E3621&lt;=5),2,0)+IF(AND(ISNUMBER(F3621),F3621&lt;=1),2,0)+IF(AND(ISNUMBER(G3621),G3621&lt;=2),1,0)+IF(AND(ISNUMBER(H3621),H3621&lt;=2),1,0)</f>
        <v>1</v>
      </c>
      <c r="J3621" s="2" t="str">
        <f aca="false">IF(I3621&gt;=6,"High",IF(I3621&gt;=3,"Medium","Low"))</f>
        <v>Low</v>
      </c>
    </row>
    <row r="3622" customFormat="false" ht="15" hidden="false" customHeight="true" outlineLevel="0" collapsed="false">
      <c r="A3622" s="2" t="n">
        <f aca="false">'Raw Data'!H3622</f>
        <v>3621</v>
      </c>
      <c r="B3622" s="2" t="n">
        <f aca="false">'Raw Data'!A3622</f>
        <v>58</v>
      </c>
      <c r="C3622" s="2" t="str">
        <f aca="false">'Raw Data'!D3622</f>
        <v>Research &amp; Development</v>
      </c>
      <c r="D3622" s="2" t="str">
        <f aca="false">'Raw Data'!K3622</f>
        <v>Laboratory Technician</v>
      </c>
      <c r="E3622" s="2" t="n">
        <f aca="false">'Raw Data'!Q3622</f>
        <v>2</v>
      </c>
      <c r="F3622" s="2" t="n">
        <f aca="false">'Raw Data'!U3622</f>
        <v>2</v>
      </c>
      <c r="G3622" s="2" t="n">
        <f aca="false">'Raw Data'!W3622</f>
        <v>3</v>
      </c>
      <c r="H3622" s="2" t="n">
        <f aca="false">'Raw Data'!V3622</f>
        <v>1</v>
      </c>
      <c r="I3622" s="2" t="n">
        <f aca="false">IF(AND(ISNUMBER(B3622),B3622&lt;=25),2,0)+IF(AND(ISNUMBER(E3622),E3622&lt;=5),2,0)+IF(AND(ISNUMBER(F3622),F3622&lt;=1),2,0)+IF(AND(ISNUMBER(G3622),G3622&lt;=2),1,0)+IF(AND(ISNUMBER(H3622),H3622&lt;=2),1,0)</f>
        <v>3</v>
      </c>
      <c r="J3622" s="2" t="str">
        <f aca="false">IF(I3622&gt;=6,"High",IF(I3622&gt;=3,"Medium","Low"))</f>
        <v>Medium</v>
      </c>
    </row>
    <row r="3623" customFormat="false" ht="15" hidden="false" customHeight="true" outlineLevel="0" collapsed="false">
      <c r="A3623" s="2" t="n">
        <f aca="false">'Raw Data'!H3623</f>
        <v>3622</v>
      </c>
      <c r="B3623" s="2" t="n">
        <f aca="false">'Raw Data'!A3623</f>
        <v>32</v>
      </c>
      <c r="C3623" s="2" t="str">
        <f aca="false">'Raw Data'!D3623</f>
        <v>Research &amp; Development</v>
      </c>
      <c r="D3623" s="2" t="str">
        <f aca="false">'Raw Data'!K3623</f>
        <v>Sales Executive</v>
      </c>
      <c r="E3623" s="2" t="n">
        <f aca="false">'Raw Data'!Q3623</f>
        <v>10</v>
      </c>
      <c r="F3623" s="2" t="n">
        <f aca="false">'Raw Data'!U3623</f>
        <v>1</v>
      </c>
      <c r="G3623" s="2" t="n">
        <f aca="false">'Raw Data'!W3623</f>
        <v>3</v>
      </c>
      <c r="H3623" s="2" t="n">
        <f aca="false">'Raw Data'!V3623</f>
        <v>4</v>
      </c>
      <c r="I3623" s="2" t="n">
        <f aca="false">IF(AND(ISNUMBER(B3623),B3623&lt;=25),2,0)+IF(AND(ISNUMBER(E3623),E3623&lt;=5),2,0)+IF(AND(ISNUMBER(F3623),F3623&lt;=1),2,0)+IF(AND(ISNUMBER(G3623),G3623&lt;=2),1,0)+IF(AND(ISNUMBER(H3623),H3623&lt;=2),1,0)</f>
        <v>2</v>
      </c>
      <c r="J3623" s="2" t="str">
        <f aca="false">IF(I3623&gt;=6,"High",IF(I3623&gt;=3,"Medium","Low"))</f>
        <v>Low</v>
      </c>
    </row>
    <row r="3624" customFormat="false" ht="15" hidden="false" customHeight="true" outlineLevel="0" collapsed="false">
      <c r="A3624" s="2" t="n">
        <f aca="false">'Raw Data'!H3624</f>
        <v>3623</v>
      </c>
      <c r="B3624" s="2" t="n">
        <f aca="false">'Raw Data'!A3624</f>
        <v>39</v>
      </c>
      <c r="C3624" s="2" t="str">
        <f aca="false">'Raw Data'!D3624</f>
        <v>Research &amp; Development</v>
      </c>
      <c r="D3624" s="2" t="str">
        <f aca="false">'Raw Data'!K3624</f>
        <v>Laboratory Technician</v>
      </c>
      <c r="E3624" s="2" t="n">
        <f aca="false">'Raw Data'!Q3624</f>
        <v>6</v>
      </c>
      <c r="F3624" s="2" t="n">
        <f aca="false">'Raw Data'!U3624</f>
        <v>3</v>
      </c>
      <c r="G3624" s="2" t="n">
        <f aca="false">'Raw Data'!W3624</f>
        <v>1</v>
      </c>
      <c r="H3624" s="2" t="n">
        <f aca="false">'Raw Data'!V3624</f>
        <v>3</v>
      </c>
      <c r="I3624" s="2" t="n">
        <f aca="false">IF(AND(ISNUMBER(B3624),B3624&lt;=25),2,0)+IF(AND(ISNUMBER(E3624),E3624&lt;=5),2,0)+IF(AND(ISNUMBER(F3624),F3624&lt;=1),2,0)+IF(AND(ISNUMBER(G3624),G3624&lt;=2),1,0)+IF(AND(ISNUMBER(H3624),H3624&lt;=2),1,0)</f>
        <v>1</v>
      </c>
      <c r="J3624" s="2" t="str">
        <f aca="false">IF(I3624&gt;=6,"High",IF(I3624&gt;=3,"Medium","Low"))</f>
        <v>Low</v>
      </c>
    </row>
    <row r="3625" customFormat="false" ht="15" hidden="false" customHeight="true" outlineLevel="0" collapsed="false">
      <c r="A3625" s="2" t="n">
        <f aca="false">'Raw Data'!H3625</f>
        <v>3624</v>
      </c>
      <c r="B3625" s="2" t="n">
        <f aca="false">'Raw Data'!A3625</f>
        <v>30</v>
      </c>
      <c r="C3625" s="2" t="str">
        <f aca="false">'Raw Data'!D3625</f>
        <v>Sales</v>
      </c>
      <c r="D3625" s="2" t="str">
        <f aca="false">'Raw Data'!K3625</f>
        <v>Research Director</v>
      </c>
      <c r="E3625" s="2" t="n">
        <f aca="false">'Raw Data'!Q3625</f>
        <v>10</v>
      </c>
      <c r="F3625" s="2" t="n">
        <f aca="false">'Raw Data'!U3625</f>
        <v>7</v>
      </c>
      <c r="G3625" s="2" t="n">
        <f aca="false">'Raw Data'!W3625</f>
        <v>4</v>
      </c>
      <c r="H3625" s="2" t="n">
        <f aca="false">'Raw Data'!V3625</f>
        <v>1</v>
      </c>
      <c r="I3625" s="2" t="n">
        <f aca="false">IF(AND(ISNUMBER(B3625),B3625&lt;=25),2,0)+IF(AND(ISNUMBER(E3625),E3625&lt;=5),2,0)+IF(AND(ISNUMBER(F3625),F3625&lt;=1),2,0)+IF(AND(ISNUMBER(G3625),G3625&lt;=2),1,0)+IF(AND(ISNUMBER(H3625),H3625&lt;=2),1,0)</f>
        <v>1</v>
      </c>
      <c r="J3625" s="2" t="str">
        <f aca="false">IF(I3625&gt;=6,"High",IF(I3625&gt;=3,"Medium","Low"))</f>
        <v>Low</v>
      </c>
    </row>
    <row r="3626" customFormat="false" ht="15" hidden="false" customHeight="true" outlineLevel="0" collapsed="false">
      <c r="A3626" s="2" t="n">
        <f aca="false">'Raw Data'!H3626</f>
        <v>3625</v>
      </c>
      <c r="B3626" s="2" t="n">
        <f aca="false">'Raw Data'!A3626</f>
        <v>36</v>
      </c>
      <c r="C3626" s="2" t="str">
        <f aca="false">'Raw Data'!D3626</f>
        <v>Sales</v>
      </c>
      <c r="D3626" s="2" t="str">
        <f aca="false">'Raw Data'!K3626</f>
        <v>Sales Executive</v>
      </c>
      <c r="E3626" s="2" t="n">
        <f aca="false">'Raw Data'!Q3626</f>
        <v>10</v>
      </c>
      <c r="F3626" s="2" t="n">
        <f aca="false">'Raw Data'!U3626</f>
        <v>7</v>
      </c>
      <c r="G3626" s="2" t="n">
        <f aca="false">'Raw Data'!W3626</f>
        <v>3</v>
      </c>
      <c r="H3626" s="2" t="n">
        <f aca="false">'Raw Data'!V3626</f>
        <v>4</v>
      </c>
      <c r="I3626" s="2" t="n">
        <f aca="false">IF(AND(ISNUMBER(B3626),B3626&lt;=25),2,0)+IF(AND(ISNUMBER(E3626),E3626&lt;=5),2,0)+IF(AND(ISNUMBER(F3626),F3626&lt;=1),2,0)+IF(AND(ISNUMBER(G3626),G3626&lt;=2),1,0)+IF(AND(ISNUMBER(H3626),H3626&lt;=2),1,0)</f>
        <v>0</v>
      </c>
      <c r="J3626" s="2" t="str">
        <f aca="false">IF(I3626&gt;=6,"High",IF(I3626&gt;=3,"Medium","Low"))</f>
        <v>Low</v>
      </c>
    </row>
    <row r="3627" customFormat="false" ht="15" hidden="false" customHeight="true" outlineLevel="0" collapsed="false">
      <c r="A3627" s="2" t="n">
        <f aca="false">'Raw Data'!H3627</f>
        <v>3626</v>
      </c>
      <c r="B3627" s="2" t="n">
        <f aca="false">'Raw Data'!A3627</f>
        <v>46</v>
      </c>
      <c r="C3627" s="2" t="str">
        <f aca="false">'Raw Data'!D3627</f>
        <v>Sales</v>
      </c>
      <c r="D3627" s="2" t="str">
        <f aca="false">'Raw Data'!K3627</f>
        <v>Research Scientist</v>
      </c>
      <c r="E3627" s="2" t="n">
        <f aca="false">'Raw Data'!Q3627</f>
        <v>10</v>
      </c>
      <c r="F3627" s="2" t="n">
        <f aca="false">'Raw Data'!U3627</f>
        <v>7</v>
      </c>
      <c r="G3627" s="2" t="n">
        <f aca="false">'Raw Data'!W3627</f>
        <v>1</v>
      </c>
      <c r="H3627" s="2" t="n">
        <f aca="false">'Raw Data'!V3627</f>
        <v>4</v>
      </c>
      <c r="I3627" s="2" t="n">
        <f aca="false">IF(AND(ISNUMBER(B3627),B3627&lt;=25),2,0)+IF(AND(ISNUMBER(E3627),E3627&lt;=5),2,0)+IF(AND(ISNUMBER(F3627),F3627&lt;=1),2,0)+IF(AND(ISNUMBER(G3627),G3627&lt;=2),1,0)+IF(AND(ISNUMBER(H3627),H3627&lt;=2),1,0)</f>
        <v>1</v>
      </c>
      <c r="J3627" s="2" t="str">
        <f aca="false">IF(I3627&gt;=6,"High",IF(I3627&gt;=3,"Medium","Low"))</f>
        <v>Low</v>
      </c>
    </row>
    <row r="3628" customFormat="false" ht="15" hidden="false" customHeight="true" outlineLevel="0" collapsed="false">
      <c r="A3628" s="2" t="n">
        <f aca="false">'Raw Data'!H3628</f>
        <v>3627</v>
      </c>
      <c r="B3628" s="2" t="n">
        <f aca="false">'Raw Data'!A3628</f>
        <v>28</v>
      </c>
      <c r="C3628" s="2" t="str">
        <f aca="false">'Raw Data'!D3628</f>
        <v>Research &amp; Development</v>
      </c>
      <c r="D3628" s="2" t="str">
        <f aca="false">'Raw Data'!K3628</f>
        <v>Sales Executive</v>
      </c>
      <c r="E3628" s="2" t="n">
        <f aca="false">'Raw Data'!Q3628</f>
        <v>10</v>
      </c>
      <c r="F3628" s="2" t="n">
        <f aca="false">'Raw Data'!U3628</f>
        <v>5</v>
      </c>
      <c r="G3628" s="2" t="n">
        <f aca="false">'Raw Data'!W3628</f>
        <v>4</v>
      </c>
      <c r="H3628" s="2" t="n">
        <f aca="false">'Raw Data'!V3628</f>
        <v>3</v>
      </c>
      <c r="I3628" s="2" t="n">
        <f aca="false">IF(AND(ISNUMBER(B3628),B3628&lt;=25),2,0)+IF(AND(ISNUMBER(E3628),E3628&lt;=5),2,0)+IF(AND(ISNUMBER(F3628),F3628&lt;=1),2,0)+IF(AND(ISNUMBER(G3628),G3628&lt;=2),1,0)+IF(AND(ISNUMBER(H3628),H3628&lt;=2),1,0)</f>
        <v>0</v>
      </c>
      <c r="J3628" s="2" t="str">
        <f aca="false">IF(I3628&gt;=6,"High",IF(I3628&gt;=3,"Medium","Low"))</f>
        <v>Low</v>
      </c>
    </row>
    <row r="3629" customFormat="false" ht="15" hidden="false" customHeight="true" outlineLevel="0" collapsed="false">
      <c r="A3629" s="2" t="n">
        <f aca="false">'Raw Data'!H3629</f>
        <v>3628</v>
      </c>
      <c r="B3629" s="2" t="n">
        <f aca="false">'Raw Data'!A3629</f>
        <v>50</v>
      </c>
      <c r="C3629" s="2" t="str">
        <f aca="false">'Raw Data'!D3629</f>
        <v>Research &amp; Development</v>
      </c>
      <c r="D3629" s="2" t="str">
        <f aca="false">'Raw Data'!K3629</f>
        <v>Laboratory Technician</v>
      </c>
      <c r="E3629" s="2" t="n">
        <f aca="false">'Raw Data'!Q3629</f>
        <v>25</v>
      </c>
      <c r="F3629" s="2" t="n">
        <f aca="false">'Raw Data'!U3629</f>
        <v>2</v>
      </c>
      <c r="G3629" s="2" t="n">
        <f aca="false">'Raw Data'!W3629</f>
        <v>1</v>
      </c>
      <c r="H3629" s="2" t="n">
        <f aca="false">'Raw Data'!V3629</f>
        <v>4</v>
      </c>
      <c r="I3629" s="2" t="n">
        <f aca="false">IF(AND(ISNUMBER(B3629),B3629&lt;=25),2,0)+IF(AND(ISNUMBER(E3629),E3629&lt;=5),2,0)+IF(AND(ISNUMBER(F3629),F3629&lt;=1),2,0)+IF(AND(ISNUMBER(G3629),G3629&lt;=2),1,0)+IF(AND(ISNUMBER(H3629),H3629&lt;=2),1,0)</f>
        <v>1</v>
      </c>
      <c r="J3629" s="2" t="str">
        <f aca="false">IF(I3629&gt;=6,"High",IF(I3629&gt;=3,"Medium","Low"))</f>
        <v>Low</v>
      </c>
    </row>
    <row r="3630" customFormat="false" ht="15" hidden="false" customHeight="true" outlineLevel="0" collapsed="false">
      <c r="A3630" s="2" t="n">
        <f aca="false">'Raw Data'!H3630</f>
        <v>3629</v>
      </c>
      <c r="B3630" s="2" t="n">
        <f aca="false">'Raw Data'!A3630</f>
        <v>40</v>
      </c>
      <c r="C3630" s="2" t="str">
        <f aca="false">'Raw Data'!D3630</f>
        <v>Sales</v>
      </c>
      <c r="D3630" s="2" t="str">
        <f aca="false">'Raw Data'!K3630</f>
        <v>Laboratory Technician</v>
      </c>
      <c r="E3630" s="2" t="n">
        <f aca="false">'Raw Data'!Q3630</f>
        <v>9</v>
      </c>
      <c r="F3630" s="2" t="n">
        <f aca="false">'Raw Data'!U3630</f>
        <v>0</v>
      </c>
      <c r="G3630" s="2" t="n">
        <f aca="false">'Raw Data'!W3630</f>
        <v>2</v>
      </c>
      <c r="H3630" s="2" t="n">
        <f aca="false">'Raw Data'!V3630</f>
        <v>4</v>
      </c>
      <c r="I3630" s="2" t="n">
        <f aca="false">IF(AND(ISNUMBER(B3630),B3630&lt;=25),2,0)+IF(AND(ISNUMBER(E3630),E3630&lt;=5),2,0)+IF(AND(ISNUMBER(F3630),F3630&lt;=1),2,0)+IF(AND(ISNUMBER(G3630),G3630&lt;=2),1,0)+IF(AND(ISNUMBER(H3630),H3630&lt;=2),1,0)</f>
        <v>3</v>
      </c>
      <c r="J3630" s="2" t="str">
        <f aca="false">IF(I3630&gt;=6,"High",IF(I3630&gt;=3,"Medium","Low"))</f>
        <v>Medium</v>
      </c>
    </row>
    <row r="3631" customFormat="false" ht="15" hidden="false" customHeight="true" outlineLevel="0" collapsed="false">
      <c r="A3631" s="2" t="n">
        <f aca="false">'Raw Data'!H3631</f>
        <v>3630</v>
      </c>
      <c r="B3631" s="2" t="n">
        <f aca="false">'Raw Data'!A3631</f>
        <v>52</v>
      </c>
      <c r="C3631" s="2" t="str">
        <f aca="false">'Raw Data'!D3631</f>
        <v>Research &amp; Development</v>
      </c>
      <c r="D3631" s="2" t="str">
        <f aca="false">'Raw Data'!K3631</f>
        <v>Laboratory Technician</v>
      </c>
      <c r="E3631" s="2" t="n">
        <f aca="false">'Raw Data'!Q3631</f>
        <v>10</v>
      </c>
      <c r="F3631" s="2" t="n">
        <f aca="false">'Raw Data'!U3631</f>
        <v>7</v>
      </c>
      <c r="G3631" s="2" t="n">
        <f aca="false">'Raw Data'!W3631</f>
        <v>2</v>
      </c>
      <c r="H3631" s="2" t="n">
        <f aca="false">'Raw Data'!V3631</f>
        <v>2</v>
      </c>
      <c r="I3631" s="2" t="n">
        <f aca="false">IF(AND(ISNUMBER(B3631),B3631&lt;=25),2,0)+IF(AND(ISNUMBER(E3631),E3631&lt;=5),2,0)+IF(AND(ISNUMBER(F3631),F3631&lt;=1),2,0)+IF(AND(ISNUMBER(G3631),G3631&lt;=2),1,0)+IF(AND(ISNUMBER(H3631),H3631&lt;=2),1,0)</f>
        <v>2</v>
      </c>
      <c r="J3631" s="2" t="str">
        <f aca="false">IF(I3631&gt;=6,"High",IF(I3631&gt;=3,"Medium","Low"))</f>
        <v>Low</v>
      </c>
    </row>
    <row r="3632" customFormat="false" ht="15" hidden="false" customHeight="true" outlineLevel="0" collapsed="false">
      <c r="A3632" s="2" t="n">
        <f aca="false">'Raw Data'!H3632</f>
        <v>3631</v>
      </c>
      <c r="B3632" s="2" t="n">
        <f aca="false">'Raw Data'!A3632</f>
        <v>30</v>
      </c>
      <c r="C3632" s="2" t="str">
        <f aca="false">'Raw Data'!D3632</f>
        <v>Research &amp; Development</v>
      </c>
      <c r="D3632" s="2" t="str">
        <f aca="false">'Raw Data'!K3632</f>
        <v>Sales Executive</v>
      </c>
      <c r="E3632" s="2" t="n">
        <f aca="false">'Raw Data'!Q3632</f>
        <v>9</v>
      </c>
      <c r="F3632" s="2" t="n">
        <f aca="false">'Raw Data'!U3632</f>
        <v>8</v>
      </c>
      <c r="G3632" s="2" t="n">
        <f aca="false">'Raw Data'!W3632</f>
        <v>1</v>
      </c>
      <c r="H3632" s="2" t="n">
        <f aca="false">'Raw Data'!V3632</f>
        <v>2</v>
      </c>
      <c r="I3632" s="2" t="n">
        <f aca="false">IF(AND(ISNUMBER(B3632),B3632&lt;=25),2,0)+IF(AND(ISNUMBER(E3632),E3632&lt;=5),2,0)+IF(AND(ISNUMBER(F3632),F3632&lt;=1),2,0)+IF(AND(ISNUMBER(G3632),G3632&lt;=2),1,0)+IF(AND(ISNUMBER(H3632),H3632&lt;=2),1,0)</f>
        <v>2</v>
      </c>
      <c r="J3632" s="2" t="str">
        <f aca="false">IF(I3632&gt;=6,"High",IF(I3632&gt;=3,"Medium","Low"))</f>
        <v>Low</v>
      </c>
    </row>
    <row r="3633" customFormat="false" ht="15" hidden="false" customHeight="true" outlineLevel="0" collapsed="false">
      <c r="A3633" s="2" t="n">
        <f aca="false">'Raw Data'!H3633</f>
        <v>3632</v>
      </c>
      <c r="B3633" s="2" t="n">
        <f aca="false">'Raw Data'!A3633</f>
        <v>39</v>
      </c>
      <c r="C3633" s="2" t="str">
        <f aca="false">'Raw Data'!D3633</f>
        <v>Research &amp; Development</v>
      </c>
      <c r="D3633" s="2" t="str">
        <f aca="false">'Raw Data'!K3633</f>
        <v>Healthcare Representative</v>
      </c>
      <c r="E3633" s="2" t="n">
        <f aca="false">'Raw Data'!Q3633</f>
        <v>9</v>
      </c>
      <c r="F3633" s="2" t="n">
        <f aca="false">'Raw Data'!U3633</f>
        <v>7</v>
      </c>
      <c r="G3633" s="2" t="n">
        <f aca="false">'Raw Data'!W3633</f>
        <v>3</v>
      </c>
      <c r="H3633" s="2" t="n">
        <f aca="false">'Raw Data'!V3633</f>
        <v>1</v>
      </c>
      <c r="I3633" s="2" t="n">
        <f aca="false">IF(AND(ISNUMBER(B3633),B3633&lt;=25),2,0)+IF(AND(ISNUMBER(E3633),E3633&lt;=5),2,0)+IF(AND(ISNUMBER(F3633),F3633&lt;=1),2,0)+IF(AND(ISNUMBER(G3633),G3633&lt;=2),1,0)+IF(AND(ISNUMBER(H3633),H3633&lt;=2),1,0)</f>
        <v>1</v>
      </c>
      <c r="J3633" s="2" t="str">
        <f aca="false">IF(I3633&gt;=6,"High",IF(I3633&gt;=3,"Medium","Low"))</f>
        <v>Low</v>
      </c>
    </row>
    <row r="3634" customFormat="false" ht="15" hidden="false" customHeight="true" outlineLevel="0" collapsed="false">
      <c r="A3634" s="2" t="n">
        <f aca="false">'Raw Data'!H3634</f>
        <v>3633</v>
      </c>
      <c r="B3634" s="2" t="n">
        <f aca="false">'Raw Data'!A3634</f>
        <v>31</v>
      </c>
      <c r="C3634" s="2" t="str">
        <f aca="false">'Raw Data'!D3634</f>
        <v>Research &amp; Development</v>
      </c>
      <c r="D3634" s="2" t="str">
        <f aca="false">'Raw Data'!K3634</f>
        <v>Sales Executive</v>
      </c>
      <c r="E3634" s="2" t="n">
        <f aca="false">'Raw Data'!Q3634</f>
        <v>10</v>
      </c>
      <c r="F3634" s="2" t="n">
        <f aca="false">'Raw Data'!U3634</f>
        <v>6</v>
      </c>
      <c r="G3634" s="2" t="n">
        <f aca="false">'Raw Data'!W3634</f>
        <v>3</v>
      </c>
      <c r="H3634" s="2" t="n">
        <f aca="false">'Raw Data'!V3634</f>
        <v>4</v>
      </c>
      <c r="I3634" s="2" t="n">
        <f aca="false">IF(AND(ISNUMBER(B3634),B3634&lt;=25),2,0)+IF(AND(ISNUMBER(E3634),E3634&lt;=5),2,0)+IF(AND(ISNUMBER(F3634),F3634&lt;=1),2,0)+IF(AND(ISNUMBER(G3634),G3634&lt;=2),1,0)+IF(AND(ISNUMBER(H3634),H3634&lt;=2),1,0)</f>
        <v>0</v>
      </c>
      <c r="J3634" s="2" t="str">
        <f aca="false">IF(I3634&gt;=6,"High",IF(I3634&gt;=3,"Medium","Low"))</f>
        <v>Low</v>
      </c>
    </row>
    <row r="3635" customFormat="false" ht="15" hidden="false" customHeight="true" outlineLevel="0" collapsed="false">
      <c r="A3635" s="2" t="n">
        <f aca="false">'Raw Data'!H3635</f>
        <v>3634</v>
      </c>
      <c r="B3635" s="2" t="n">
        <f aca="false">'Raw Data'!A3635</f>
        <v>41</v>
      </c>
      <c r="C3635" s="2" t="str">
        <f aca="false">'Raw Data'!D3635</f>
        <v>Sales</v>
      </c>
      <c r="D3635" s="2" t="str">
        <f aca="false">'Raw Data'!K3635</f>
        <v>Research Director</v>
      </c>
      <c r="E3635" s="2" t="n">
        <f aca="false">'Raw Data'!Q3635</f>
        <v>19</v>
      </c>
      <c r="F3635" s="2" t="n">
        <f aca="false">'Raw Data'!U3635</f>
        <v>9</v>
      </c>
      <c r="G3635" s="2" t="n">
        <f aca="false">'Raw Data'!W3635</f>
        <v>2</v>
      </c>
      <c r="H3635" s="2" t="n">
        <f aca="false">'Raw Data'!V3635</f>
        <v>3</v>
      </c>
      <c r="I3635" s="2" t="n">
        <f aca="false">IF(AND(ISNUMBER(B3635),B3635&lt;=25),2,0)+IF(AND(ISNUMBER(E3635),E3635&lt;=5),2,0)+IF(AND(ISNUMBER(F3635),F3635&lt;=1),2,0)+IF(AND(ISNUMBER(G3635),G3635&lt;=2),1,0)+IF(AND(ISNUMBER(H3635),H3635&lt;=2),1,0)</f>
        <v>1</v>
      </c>
      <c r="J3635" s="2" t="str">
        <f aca="false">IF(I3635&gt;=6,"High",IF(I3635&gt;=3,"Medium","Low"))</f>
        <v>Low</v>
      </c>
    </row>
    <row r="3636" customFormat="false" ht="15" hidden="false" customHeight="true" outlineLevel="0" collapsed="false">
      <c r="A3636" s="2" t="n">
        <f aca="false">'Raw Data'!H3636</f>
        <v>3635</v>
      </c>
      <c r="B3636" s="2" t="n">
        <f aca="false">'Raw Data'!A3636</f>
        <v>31</v>
      </c>
      <c r="C3636" s="2" t="str">
        <f aca="false">'Raw Data'!D3636</f>
        <v>Research &amp; Development</v>
      </c>
      <c r="D3636" s="2" t="str">
        <f aca="false">'Raw Data'!K3636</f>
        <v>Sales Executive</v>
      </c>
      <c r="E3636" s="2" t="n">
        <f aca="false">'Raw Data'!Q3636</f>
        <v>3</v>
      </c>
      <c r="F3636" s="2" t="n">
        <f aca="false">'Raw Data'!U3636</f>
        <v>2</v>
      </c>
      <c r="G3636" s="2" t="n">
        <f aca="false">'Raw Data'!W3636</f>
        <v>2</v>
      </c>
      <c r="H3636" s="2" t="n">
        <f aca="false">'Raw Data'!V3636</f>
        <v>4</v>
      </c>
      <c r="I3636" s="2" t="n">
        <f aca="false">IF(AND(ISNUMBER(B3636),B3636&lt;=25),2,0)+IF(AND(ISNUMBER(E3636),E3636&lt;=5),2,0)+IF(AND(ISNUMBER(F3636),F3636&lt;=1),2,0)+IF(AND(ISNUMBER(G3636),G3636&lt;=2),1,0)+IF(AND(ISNUMBER(H3636),H3636&lt;=2),1,0)</f>
        <v>3</v>
      </c>
      <c r="J3636" s="2" t="str">
        <f aca="false">IF(I3636&gt;=6,"High",IF(I3636&gt;=3,"Medium","Low"))</f>
        <v>Medium</v>
      </c>
    </row>
    <row r="3637" customFormat="false" ht="15" hidden="false" customHeight="true" outlineLevel="0" collapsed="false">
      <c r="A3637" s="2" t="n">
        <f aca="false">'Raw Data'!H3637</f>
        <v>3636</v>
      </c>
      <c r="B3637" s="2" t="n">
        <f aca="false">'Raw Data'!A3637</f>
        <v>44</v>
      </c>
      <c r="C3637" s="2" t="str">
        <f aca="false">'Raw Data'!D3637</f>
        <v>Sales</v>
      </c>
      <c r="D3637" s="2" t="str">
        <f aca="false">'Raw Data'!K3637</f>
        <v>Laboratory Technician</v>
      </c>
      <c r="E3637" s="2" t="n">
        <f aca="false">'Raw Data'!Q3637</f>
        <v>10</v>
      </c>
      <c r="F3637" s="2" t="n">
        <f aca="false">'Raw Data'!U3637</f>
        <v>2</v>
      </c>
      <c r="G3637" s="2" t="n">
        <f aca="false">'Raw Data'!W3637</f>
        <v>1</v>
      </c>
      <c r="H3637" s="2" t="n">
        <f aca="false">'Raw Data'!V3637</f>
        <v>1</v>
      </c>
      <c r="I3637" s="2" t="n">
        <f aca="false">IF(AND(ISNUMBER(B3637),B3637&lt;=25),2,0)+IF(AND(ISNUMBER(E3637),E3637&lt;=5),2,0)+IF(AND(ISNUMBER(F3637),F3637&lt;=1),2,0)+IF(AND(ISNUMBER(G3637),G3637&lt;=2),1,0)+IF(AND(ISNUMBER(H3637),H3637&lt;=2),1,0)</f>
        <v>2</v>
      </c>
      <c r="J3637" s="2" t="str">
        <f aca="false">IF(I3637&gt;=6,"High",IF(I3637&gt;=3,"Medium","Low"))</f>
        <v>Low</v>
      </c>
    </row>
    <row r="3638" customFormat="false" ht="15" hidden="false" customHeight="true" outlineLevel="0" collapsed="false">
      <c r="A3638" s="2" t="n">
        <f aca="false">'Raw Data'!H3638</f>
        <v>3637</v>
      </c>
      <c r="B3638" s="2" t="n">
        <f aca="false">'Raw Data'!A3638</f>
        <v>42</v>
      </c>
      <c r="C3638" s="2" t="str">
        <f aca="false">'Raw Data'!D3638</f>
        <v>Research &amp; Development</v>
      </c>
      <c r="D3638" s="2" t="str">
        <f aca="false">'Raw Data'!K3638</f>
        <v>Laboratory Technician</v>
      </c>
      <c r="E3638" s="2" t="n">
        <f aca="false">'Raw Data'!Q3638</f>
        <v>21</v>
      </c>
      <c r="F3638" s="2" t="n">
        <f aca="false">'Raw Data'!U3638</f>
        <v>10</v>
      </c>
      <c r="G3638" s="2" t="n">
        <f aca="false">'Raw Data'!W3638</f>
        <v>3</v>
      </c>
      <c r="H3638" s="2" t="n">
        <f aca="false">'Raw Data'!V3638</f>
        <v>3</v>
      </c>
      <c r="I3638" s="2" t="n">
        <f aca="false">IF(AND(ISNUMBER(B3638),B3638&lt;=25),2,0)+IF(AND(ISNUMBER(E3638),E3638&lt;=5),2,0)+IF(AND(ISNUMBER(F3638),F3638&lt;=1),2,0)+IF(AND(ISNUMBER(G3638),G3638&lt;=2),1,0)+IF(AND(ISNUMBER(H3638),H3638&lt;=2),1,0)</f>
        <v>0</v>
      </c>
      <c r="J3638" s="2" t="str">
        <f aca="false">IF(I3638&gt;=6,"High",IF(I3638&gt;=3,"Medium","Low"))</f>
        <v>Low</v>
      </c>
    </row>
    <row r="3639" customFormat="false" ht="15" hidden="false" customHeight="true" outlineLevel="0" collapsed="false">
      <c r="A3639" s="2" t="n">
        <f aca="false">'Raw Data'!H3639</f>
        <v>3638</v>
      </c>
      <c r="B3639" s="2" t="n">
        <f aca="false">'Raw Data'!A3639</f>
        <v>55</v>
      </c>
      <c r="C3639" s="2" t="str">
        <f aca="false">'Raw Data'!D3639</f>
        <v>Sales</v>
      </c>
      <c r="D3639" s="2" t="str">
        <f aca="false">'Raw Data'!K3639</f>
        <v>Manufacturing Director</v>
      </c>
      <c r="E3639" s="2" t="n">
        <f aca="false">'Raw Data'!Q3639</f>
        <v>23</v>
      </c>
      <c r="F3639" s="2" t="n">
        <f aca="false">'Raw Data'!U3639</f>
        <v>11</v>
      </c>
      <c r="G3639" s="2" t="n">
        <f aca="false">'Raw Data'!W3639</f>
        <v>3</v>
      </c>
      <c r="H3639" s="2" t="n">
        <f aca="false">'Raw Data'!V3639</f>
        <v>4</v>
      </c>
      <c r="I3639" s="2" t="n">
        <f aca="false">IF(AND(ISNUMBER(B3639),B3639&lt;=25),2,0)+IF(AND(ISNUMBER(E3639),E3639&lt;=5),2,0)+IF(AND(ISNUMBER(F3639),F3639&lt;=1),2,0)+IF(AND(ISNUMBER(G3639),G3639&lt;=2),1,0)+IF(AND(ISNUMBER(H3639),H3639&lt;=2),1,0)</f>
        <v>0</v>
      </c>
      <c r="J3639" s="2" t="str">
        <f aca="false">IF(I3639&gt;=6,"High",IF(I3639&gt;=3,"Medium","Low"))</f>
        <v>Low</v>
      </c>
    </row>
    <row r="3640" customFormat="false" ht="15" hidden="false" customHeight="true" outlineLevel="0" collapsed="false">
      <c r="A3640" s="2" t="n">
        <f aca="false">'Raw Data'!H3640</f>
        <v>3639</v>
      </c>
      <c r="B3640" s="2" t="n">
        <f aca="false">'Raw Data'!A3640</f>
        <v>56</v>
      </c>
      <c r="C3640" s="2" t="str">
        <f aca="false">'Raw Data'!D3640</f>
        <v>Sales</v>
      </c>
      <c r="D3640" s="2" t="str">
        <f aca="false">'Raw Data'!K3640</f>
        <v>Manufacturing Director</v>
      </c>
      <c r="E3640" s="2" t="n">
        <f aca="false">'Raw Data'!Q3640</f>
        <v>36</v>
      </c>
      <c r="F3640" s="2" t="n">
        <f aca="false">'Raw Data'!U3640</f>
        <v>7</v>
      </c>
      <c r="G3640" s="2" t="n">
        <f aca="false">'Raw Data'!W3640</f>
        <v>2</v>
      </c>
      <c r="H3640" s="2" t="n">
        <f aca="false">'Raw Data'!V3640</f>
        <v>4</v>
      </c>
      <c r="I3640" s="2" t="n">
        <f aca="false">IF(AND(ISNUMBER(B3640),B3640&lt;=25),2,0)+IF(AND(ISNUMBER(E3640),E3640&lt;=5),2,0)+IF(AND(ISNUMBER(F3640),F3640&lt;=1),2,0)+IF(AND(ISNUMBER(G3640),G3640&lt;=2),1,0)+IF(AND(ISNUMBER(H3640),H3640&lt;=2),1,0)</f>
        <v>1</v>
      </c>
      <c r="J3640" s="2" t="str">
        <f aca="false">IF(I3640&gt;=6,"High",IF(I3640&gt;=3,"Medium","Low"))</f>
        <v>Low</v>
      </c>
    </row>
    <row r="3641" customFormat="false" ht="15" hidden="false" customHeight="true" outlineLevel="0" collapsed="false">
      <c r="A3641" s="2" t="n">
        <f aca="false">'Raw Data'!H3641</f>
        <v>3640</v>
      </c>
      <c r="B3641" s="2" t="n">
        <f aca="false">'Raw Data'!A3641</f>
        <v>40</v>
      </c>
      <c r="C3641" s="2" t="str">
        <f aca="false">'Raw Data'!D3641</f>
        <v>Research &amp; Development</v>
      </c>
      <c r="D3641" s="2" t="str">
        <f aca="false">'Raw Data'!K3641</f>
        <v>Laboratory Technician</v>
      </c>
      <c r="E3641" s="2" t="n">
        <f aca="false">'Raw Data'!Q3641</f>
        <v>6</v>
      </c>
      <c r="F3641" s="2" t="n">
        <f aca="false">'Raw Data'!U3641</f>
        <v>0</v>
      </c>
      <c r="G3641" s="2" t="n">
        <f aca="false">'Raw Data'!W3641</f>
        <v>3</v>
      </c>
      <c r="H3641" s="2" t="n">
        <f aca="false">'Raw Data'!V3641</f>
        <v>3</v>
      </c>
      <c r="I3641" s="2" t="n">
        <f aca="false">IF(AND(ISNUMBER(B3641),B3641&lt;=25),2,0)+IF(AND(ISNUMBER(E3641),E3641&lt;=5),2,0)+IF(AND(ISNUMBER(F3641),F3641&lt;=1),2,0)+IF(AND(ISNUMBER(G3641),G3641&lt;=2),1,0)+IF(AND(ISNUMBER(H3641),H3641&lt;=2),1,0)</f>
        <v>2</v>
      </c>
      <c r="J3641" s="2" t="str">
        <f aca="false">IF(I3641&gt;=6,"High",IF(I3641&gt;=3,"Medium","Low"))</f>
        <v>Low</v>
      </c>
    </row>
    <row r="3642" customFormat="false" ht="15" hidden="false" customHeight="true" outlineLevel="0" collapsed="false">
      <c r="A3642" s="2" t="n">
        <f aca="false">'Raw Data'!H3642</f>
        <v>3641</v>
      </c>
      <c r="B3642" s="2" t="n">
        <f aca="false">'Raw Data'!A3642</f>
        <v>34</v>
      </c>
      <c r="C3642" s="2" t="str">
        <f aca="false">'Raw Data'!D3642</f>
        <v>Research &amp; Development</v>
      </c>
      <c r="D3642" s="2" t="str">
        <f aca="false">'Raw Data'!K3642</f>
        <v>Research Director</v>
      </c>
      <c r="E3642" s="2" t="n">
        <f aca="false">'Raw Data'!Q3642</f>
        <v>10</v>
      </c>
      <c r="F3642" s="2" t="n">
        <f aca="false">'Raw Data'!U3642</f>
        <v>6</v>
      </c>
      <c r="G3642" s="2" t="n">
        <f aca="false">'Raw Data'!W3642</f>
        <v>4</v>
      </c>
      <c r="H3642" s="2" t="n">
        <f aca="false">'Raw Data'!V3642</f>
        <v>4</v>
      </c>
      <c r="I3642" s="2" t="n">
        <f aca="false">IF(AND(ISNUMBER(B3642),B3642&lt;=25),2,0)+IF(AND(ISNUMBER(E3642),E3642&lt;=5),2,0)+IF(AND(ISNUMBER(F3642),F3642&lt;=1),2,0)+IF(AND(ISNUMBER(G3642),G3642&lt;=2),1,0)+IF(AND(ISNUMBER(H3642),H3642&lt;=2),1,0)</f>
        <v>0</v>
      </c>
      <c r="J3642" s="2" t="str">
        <f aca="false">IF(I3642&gt;=6,"High",IF(I3642&gt;=3,"Medium","Low"))</f>
        <v>Low</v>
      </c>
    </row>
    <row r="3643" customFormat="false" ht="15" hidden="false" customHeight="true" outlineLevel="0" collapsed="false">
      <c r="A3643" s="2" t="n">
        <f aca="false">'Raw Data'!H3643</f>
        <v>3642</v>
      </c>
      <c r="B3643" s="2" t="n">
        <f aca="false">'Raw Data'!A3643</f>
        <v>40</v>
      </c>
      <c r="C3643" s="2" t="str">
        <f aca="false">'Raw Data'!D3643</f>
        <v>Sales</v>
      </c>
      <c r="D3643" s="2" t="str">
        <f aca="false">'Raw Data'!K3643</f>
        <v>Sales Executive</v>
      </c>
      <c r="E3643" s="2" t="n">
        <f aca="false">'Raw Data'!Q3643</f>
        <v>9</v>
      </c>
      <c r="F3643" s="2" t="n">
        <f aca="false">'Raw Data'!U3643</f>
        <v>8</v>
      </c>
      <c r="G3643" s="2" t="n">
        <f aca="false">'Raw Data'!W3643</f>
        <v>4</v>
      </c>
      <c r="H3643" s="2" t="n">
        <f aca="false">'Raw Data'!V3643</f>
        <v>3</v>
      </c>
      <c r="I3643" s="2" t="n">
        <f aca="false">IF(AND(ISNUMBER(B3643),B3643&lt;=25),2,0)+IF(AND(ISNUMBER(E3643),E3643&lt;=5),2,0)+IF(AND(ISNUMBER(F3643),F3643&lt;=1),2,0)+IF(AND(ISNUMBER(G3643),G3643&lt;=2),1,0)+IF(AND(ISNUMBER(H3643),H3643&lt;=2),1,0)</f>
        <v>0</v>
      </c>
      <c r="J3643" s="2" t="str">
        <f aca="false">IF(I3643&gt;=6,"High",IF(I3643&gt;=3,"Medium","Low"))</f>
        <v>Low</v>
      </c>
    </row>
    <row r="3644" customFormat="false" ht="15" hidden="false" customHeight="true" outlineLevel="0" collapsed="false">
      <c r="A3644" s="2" t="n">
        <f aca="false">'Raw Data'!H3644</f>
        <v>3643</v>
      </c>
      <c r="B3644" s="2" t="n">
        <f aca="false">'Raw Data'!A3644</f>
        <v>41</v>
      </c>
      <c r="C3644" s="2" t="str">
        <f aca="false">'Raw Data'!D3644</f>
        <v>Sales</v>
      </c>
      <c r="D3644" s="2" t="str">
        <f aca="false">'Raw Data'!K3644</f>
        <v>Healthcare Representative</v>
      </c>
      <c r="E3644" s="2" t="n">
        <f aca="false">'Raw Data'!Q3644</f>
        <v>10</v>
      </c>
      <c r="F3644" s="2" t="n">
        <f aca="false">'Raw Data'!U3644</f>
        <v>7</v>
      </c>
      <c r="G3644" s="2" t="n">
        <f aca="false">'Raw Data'!W3644</f>
        <v>1</v>
      </c>
      <c r="H3644" s="2" t="n">
        <f aca="false">'Raw Data'!V3644</f>
        <v>3</v>
      </c>
      <c r="I3644" s="2" t="n">
        <f aca="false">IF(AND(ISNUMBER(B3644),B3644&lt;=25),2,0)+IF(AND(ISNUMBER(E3644),E3644&lt;=5),2,0)+IF(AND(ISNUMBER(F3644),F3644&lt;=1),2,0)+IF(AND(ISNUMBER(G3644),G3644&lt;=2),1,0)+IF(AND(ISNUMBER(H3644),H3644&lt;=2),1,0)</f>
        <v>1</v>
      </c>
      <c r="J3644" s="2" t="str">
        <f aca="false">IF(I3644&gt;=6,"High",IF(I3644&gt;=3,"Medium","Low"))</f>
        <v>Low</v>
      </c>
    </row>
    <row r="3645" customFormat="false" ht="15" hidden="false" customHeight="true" outlineLevel="0" collapsed="false">
      <c r="A3645" s="2" t="n">
        <f aca="false">'Raw Data'!H3645</f>
        <v>3644</v>
      </c>
      <c r="B3645" s="2" t="n">
        <f aca="false">'Raw Data'!A3645</f>
        <v>35</v>
      </c>
      <c r="C3645" s="2" t="str">
        <f aca="false">'Raw Data'!D3645</f>
        <v>Sales</v>
      </c>
      <c r="D3645" s="2" t="str">
        <f aca="false">'Raw Data'!K3645</f>
        <v>Manager</v>
      </c>
      <c r="E3645" s="2" t="n">
        <f aca="false">'Raw Data'!Q3645</f>
        <v>9</v>
      </c>
      <c r="F3645" s="2" t="n">
        <f aca="false">'Raw Data'!U3645</f>
        <v>1</v>
      </c>
      <c r="G3645" s="2" t="n">
        <f aca="false">'Raw Data'!W3645</f>
        <v>3</v>
      </c>
      <c r="H3645" s="2" t="n">
        <f aca="false">'Raw Data'!V3645</f>
        <v>3</v>
      </c>
      <c r="I3645" s="2" t="n">
        <f aca="false">IF(AND(ISNUMBER(B3645),B3645&lt;=25),2,0)+IF(AND(ISNUMBER(E3645),E3645&lt;=5),2,0)+IF(AND(ISNUMBER(F3645),F3645&lt;=1),2,0)+IF(AND(ISNUMBER(G3645),G3645&lt;=2),1,0)+IF(AND(ISNUMBER(H3645),H3645&lt;=2),1,0)</f>
        <v>2</v>
      </c>
      <c r="J3645" s="2" t="str">
        <f aca="false">IF(I3645&gt;=6,"High",IF(I3645&gt;=3,"Medium","Low"))</f>
        <v>Low</v>
      </c>
    </row>
    <row r="3646" customFormat="false" ht="15" hidden="false" customHeight="true" outlineLevel="0" collapsed="false">
      <c r="A3646" s="2" t="n">
        <f aca="false">'Raw Data'!H3646</f>
        <v>3645</v>
      </c>
      <c r="B3646" s="2" t="n">
        <f aca="false">'Raw Data'!A3646</f>
        <v>51</v>
      </c>
      <c r="C3646" s="2" t="str">
        <f aca="false">'Raw Data'!D3646</f>
        <v>Sales</v>
      </c>
      <c r="D3646" s="2" t="str">
        <f aca="false">'Raw Data'!K3646</f>
        <v>Manufacturing Director</v>
      </c>
      <c r="E3646" s="2" t="n">
        <f aca="false">'Raw Data'!Q3646</f>
        <v>33</v>
      </c>
      <c r="F3646" s="2" t="n">
        <f aca="false">'Raw Data'!U3646</f>
        <v>10</v>
      </c>
      <c r="G3646" s="2" t="n">
        <f aca="false">'Raw Data'!W3646</f>
        <v>2</v>
      </c>
      <c r="H3646" s="2" t="n">
        <f aca="false">'Raw Data'!V3646</f>
        <v>3</v>
      </c>
      <c r="I3646" s="2" t="n">
        <f aca="false">IF(AND(ISNUMBER(B3646),B3646&lt;=25),2,0)+IF(AND(ISNUMBER(E3646),E3646&lt;=5),2,0)+IF(AND(ISNUMBER(F3646),F3646&lt;=1),2,0)+IF(AND(ISNUMBER(G3646),G3646&lt;=2),1,0)+IF(AND(ISNUMBER(H3646),H3646&lt;=2),1,0)</f>
        <v>1</v>
      </c>
      <c r="J3646" s="2" t="str">
        <f aca="false">IF(I3646&gt;=6,"High",IF(I3646&gt;=3,"Medium","Low"))</f>
        <v>Low</v>
      </c>
    </row>
    <row r="3647" customFormat="false" ht="15" hidden="false" customHeight="true" outlineLevel="0" collapsed="false">
      <c r="A3647" s="2" t="n">
        <f aca="false">'Raw Data'!H3647</f>
        <v>3646</v>
      </c>
      <c r="B3647" s="2" t="n">
        <f aca="false">'Raw Data'!A3647</f>
        <v>38</v>
      </c>
      <c r="C3647" s="2" t="str">
        <f aca="false">'Raw Data'!D3647</f>
        <v>Sales</v>
      </c>
      <c r="D3647" s="2" t="str">
        <f aca="false">'Raw Data'!K3647</f>
        <v>Research Scientist</v>
      </c>
      <c r="E3647" s="2" t="n">
        <f aca="false">'Raw Data'!Q3647</f>
        <v>11</v>
      </c>
      <c r="F3647" s="2" t="n">
        <f aca="false">'Raw Data'!U3647</f>
        <v>7</v>
      </c>
      <c r="G3647" s="2" t="n">
        <f aca="false">'Raw Data'!W3647</f>
        <v>1</v>
      </c>
      <c r="H3647" s="2" t="n">
        <f aca="false">'Raw Data'!V3647</f>
        <v>2</v>
      </c>
      <c r="I3647" s="2" t="n">
        <f aca="false">IF(AND(ISNUMBER(B3647),B3647&lt;=25),2,0)+IF(AND(ISNUMBER(E3647),E3647&lt;=5),2,0)+IF(AND(ISNUMBER(F3647),F3647&lt;=1),2,0)+IF(AND(ISNUMBER(G3647),G3647&lt;=2),1,0)+IF(AND(ISNUMBER(H3647),H3647&lt;=2),1,0)</f>
        <v>2</v>
      </c>
      <c r="J3647" s="2" t="str">
        <f aca="false">IF(I3647&gt;=6,"High",IF(I3647&gt;=3,"Medium","Low"))</f>
        <v>Low</v>
      </c>
    </row>
    <row r="3648" customFormat="false" ht="15" hidden="false" customHeight="true" outlineLevel="0" collapsed="false">
      <c r="A3648" s="2" t="n">
        <f aca="false">'Raw Data'!H3648</f>
        <v>3647</v>
      </c>
      <c r="B3648" s="2" t="n">
        <f aca="false">'Raw Data'!A3648</f>
        <v>34</v>
      </c>
      <c r="C3648" s="2" t="str">
        <f aca="false">'Raw Data'!D3648</f>
        <v>Sales</v>
      </c>
      <c r="D3648" s="2" t="str">
        <f aca="false">'Raw Data'!K3648</f>
        <v>Research Scientist</v>
      </c>
      <c r="E3648" s="2" t="n">
        <f aca="false">'Raw Data'!Q3648</f>
        <v>10</v>
      </c>
      <c r="F3648" s="2" t="n">
        <f aca="false">'Raw Data'!U3648</f>
        <v>6</v>
      </c>
      <c r="G3648" s="2" t="n">
        <f aca="false">'Raw Data'!W3648</f>
        <v>1</v>
      </c>
      <c r="H3648" s="2" t="n">
        <f aca="false">'Raw Data'!V3648</f>
        <v>3</v>
      </c>
      <c r="I3648" s="2" t="n">
        <f aca="false">IF(AND(ISNUMBER(B3648),B3648&lt;=25),2,0)+IF(AND(ISNUMBER(E3648),E3648&lt;=5),2,0)+IF(AND(ISNUMBER(F3648),F3648&lt;=1),2,0)+IF(AND(ISNUMBER(G3648),G3648&lt;=2),1,0)+IF(AND(ISNUMBER(H3648),H3648&lt;=2),1,0)</f>
        <v>1</v>
      </c>
      <c r="J3648" s="2" t="str">
        <f aca="false">IF(I3648&gt;=6,"High",IF(I3648&gt;=3,"Medium","Low"))</f>
        <v>Low</v>
      </c>
    </row>
    <row r="3649" customFormat="false" ht="15" hidden="false" customHeight="true" outlineLevel="0" collapsed="false">
      <c r="A3649" s="2" t="n">
        <f aca="false">'Raw Data'!H3649</f>
        <v>3648</v>
      </c>
      <c r="B3649" s="2" t="n">
        <f aca="false">'Raw Data'!A3649</f>
        <v>25</v>
      </c>
      <c r="C3649" s="2" t="str">
        <f aca="false">'Raw Data'!D3649</f>
        <v>Research &amp; Development</v>
      </c>
      <c r="D3649" s="2" t="str">
        <f aca="false">'Raw Data'!K3649</f>
        <v>Research Scientist</v>
      </c>
      <c r="E3649" s="2" t="n">
        <f aca="false">'Raw Data'!Q3649</f>
        <v>7</v>
      </c>
      <c r="F3649" s="2" t="n">
        <f aca="false">'Raw Data'!U3649</f>
        <v>2</v>
      </c>
      <c r="G3649" s="2" t="n">
        <f aca="false">'Raw Data'!W3649</f>
        <v>4</v>
      </c>
      <c r="H3649" s="2" t="n">
        <f aca="false">'Raw Data'!V3649</f>
        <v>4</v>
      </c>
      <c r="I3649" s="2" t="n">
        <f aca="false">IF(AND(ISNUMBER(B3649),B3649&lt;=25),2,0)+IF(AND(ISNUMBER(E3649),E3649&lt;=5),2,0)+IF(AND(ISNUMBER(F3649),F3649&lt;=1),2,0)+IF(AND(ISNUMBER(G3649),G3649&lt;=2),1,0)+IF(AND(ISNUMBER(H3649),H3649&lt;=2),1,0)</f>
        <v>2</v>
      </c>
      <c r="J3649" s="2" t="str">
        <f aca="false">IF(I3649&gt;=6,"High",IF(I3649&gt;=3,"Medium","Low"))</f>
        <v>Low</v>
      </c>
    </row>
    <row r="3650" customFormat="false" ht="15" hidden="false" customHeight="true" outlineLevel="0" collapsed="false">
      <c r="A3650" s="2" t="n">
        <f aca="false">'Raw Data'!H3650</f>
        <v>3649</v>
      </c>
      <c r="B3650" s="2" t="n">
        <f aca="false">'Raw Data'!A3650</f>
        <v>58</v>
      </c>
      <c r="C3650" s="2" t="str">
        <f aca="false">'Raw Data'!D3650</f>
        <v>Sales</v>
      </c>
      <c r="D3650" s="2" t="str">
        <f aca="false">'Raw Data'!K3650</f>
        <v>Sales Executive</v>
      </c>
      <c r="E3650" s="2" t="n">
        <f aca="false">'Raw Data'!Q3650</f>
        <v>31</v>
      </c>
      <c r="F3650" s="2" t="n">
        <f aca="false">'Raw Data'!U3650</f>
        <v>9</v>
      </c>
      <c r="G3650" s="2" t="n">
        <f aca="false">'Raw Data'!W3650</f>
        <v>1</v>
      </c>
      <c r="H3650" s="2" t="n">
        <f aca="false">'Raw Data'!V3650</f>
        <v>3</v>
      </c>
      <c r="I3650" s="2" t="n">
        <f aca="false">IF(AND(ISNUMBER(B3650),B3650&lt;=25),2,0)+IF(AND(ISNUMBER(E3650),E3650&lt;=5),2,0)+IF(AND(ISNUMBER(F3650),F3650&lt;=1),2,0)+IF(AND(ISNUMBER(G3650),G3650&lt;=2),1,0)+IF(AND(ISNUMBER(H3650),H3650&lt;=2),1,0)</f>
        <v>1</v>
      </c>
      <c r="J3650" s="2" t="str">
        <f aca="false">IF(I3650&gt;=6,"High",IF(I3650&gt;=3,"Medium","Low"))</f>
        <v>Low</v>
      </c>
    </row>
    <row r="3651" customFormat="false" ht="15" hidden="false" customHeight="true" outlineLevel="0" collapsed="false">
      <c r="A3651" s="2" t="n">
        <f aca="false">'Raw Data'!H3651</f>
        <v>3650</v>
      </c>
      <c r="B3651" s="2" t="n">
        <f aca="false">'Raw Data'!A3651</f>
        <v>40</v>
      </c>
      <c r="C3651" s="2" t="str">
        <f aca="false">'Raw Data'!D3651</f>
        <v>Research &amp; Development</v>
      </c>
      <c r="D3651" s="2" t="str">
        <f aca="false">'Raw Data'!K3651</f>
        <v>Research Scientist</v>
      </c>
      <c r="E3651" s="2" t="n">
        <f aca="false">'Raw Data'!Q3651</f>
        <v>7</v>
      </c>
      <c r="F3651" s="2" t="n">
        <f aca="false">'Raw Data'!U3651</f>
        <v>3</v>
      </c>
      <c r="G3651" s="2" t="n">
        <f aca="false">'Raw Data'!W3651</f>
        <v>2</v>
      </c>
      <c r="H3651" s="2" t="n">
        <f aca="false">'Raw Data'!V3651</f>
        <v>2</v>
      </c>
      <c r="I3651" s="2" t="n">
        <f aca="false">IF(AND(ISNUMBER(B3651),B3651&lt;=25),2,0)+IF(AND(ISNUMBER(E3651),E3651&lt;=5),2,0)+IF(AND(ISNUMBER(F3651),F3651&lt;=1),2,0)+IF(AND(ISNUMBER(G3651),G3651&lt;=2),1,0)+IF(AND(ISNUMBER(H3651),H3651&lt;=2),1,0)</f>
        <v>2</v>
      </c>
      <c r="J3651" s="2" t="str">
        <f aca="false">IF(I3651&gt;=6,"High",IF(I3651&gt;=3,"Medium","Low"))</f>
        <v>Low</v>
      </c>
    </row>
    <row r="3652" customFormat="false" ht="15" hidden="false" customHeight="true" outlineLevel="0" collapsed="false">
      <c r="A3652" s="2" t="n">
        <f aca="false">'Raw Data'!H3652</f>
        <v>3651</v>
      </c>
      <c r="B3652" s="2" t="n">
        <f aca="false">'Raw Data'!A3652</f>
        <v>36</v>
      </c>
      <c r="C3652" s="2" t="str">
        <f aca="false">'Raw Data'!D3652</f>
        <v>Sales</v>
      </c>
      <c r="D3652" s="2" t="str">
        <f aca="false">'Raw Data'!K3652</f>
        <v>Research Scientist</v>
      </c>
      <c r="E3652" s="2" t="n">
        <f aca="false">'Raw Data'!Q3652</f>
        <v>17</v>
      </c>
      <c r="F3652" s="2" t="n">
        <f aca="false">'Raw Data'!U3652</f>
        <v>13</v>
      </c>
      <c r="G3652" s="2" t="n">
        <f aca="false">'Raw Data'!W3652</f>
        <v>1</v>
      </c>
      <c r="H3652" s="2" t="n">
        <f aca="false">'Raw Data'!V3652</f>
        <v>1</v>
      </c>
      <c r="I3652" s="2" t="n">
        <f aca="false">IF(AND(ISNUMBER(B3652),B3652&lt;=25),2,0)+IF(AND(ISNUMBER(E3652),E3652&lt;=5),2,0)+IF(AND(ISNUMBER(F3652),F3652&lt;=1),2,0)+IF(AND(ISNUMBER(G3652),G3652&lt;=2),1,0)+IF(AND(ISNUMBER(H3652),H3652&lt;=2),1,0)</f>
        <v>2</v>
      </c>
      <c r="J3652" s="2" t="str">
        <f aca="false">IF(I3652&gt;=6,"High",IF(I3652&gt;=3,"Medium","Low"))</f>
        <v>Low</v>
      </c>
    </row>
    <row r="3653" customFormat="false" ht="15" hidden="false" customHeight="true" outlineLevel="0" collapsed="false">
      <c r="A3653" s="2" t="n">
        <f aca="false">'Raw Data'!H3653</f>
        <v>3652</v>
      </c>
      <c r="B3653" s="2" t="n">
        <f aca="false">'Raw Data'!A3653</f>
        <v>48</v>
      </c>
      <c r="C3653" s="2" t="str">
        <f aca="false">'Raw Data'!D3653</f>
        <v>Research &amp; Development</v>
      </c>
      <c r="D3653" s="2" t="str">
        <f aca="false">'Raw Data'!K3653</f>
        <v>Research Scientist</v>
      </c>
      <c r="E3653" s="2" t="n">
        <f aca="false">'Raw Data'!Q3653</f>
        <v>11</v>
      </c>
      <c r="F3653" s="2" t="n">
        <f aca="false">'Raw Data'!U3653</f>
        <v>8</v>
      </c>
      <c r="G3653" s="2" t="n">
        <f aca="false">'Raw Data'!W3653</f>
        <v>4</v>
      </c>
      <c r="H3653" s="2" t="n">
        <f aca="false">'Raw Data'!V3653</f>
        <v>4</v>
      </c>
      <c r="I3653" s="2" t="n">
        <f aca="false">IF(AND(ISNUMBER(B3653),B3653&lt;=25),2,0)+IF(AND(ISNUMBER(E3653),E3653&lt;=5),2,0)+IF(AND(ISNUMBER(F3653),F3653&lt;=1),2,0)+IF(AND(ISNUMBER(G3653),G3653&lt;=2),1,0)+IF(AND(ISNUMBER(H3653),H3653&lt;=2),1,0)</f>
        <v>0</v>
      </c>
      <c r="J3653" s="2" t="str">
        <f aca="false">IF(I3653&gt;=6,"High",IF(I3653&gt;=3,"Medium","Low"))</f>
        <v>Low</v>
      </c>
    </row>
    <row r="3654" customFormat="false" ht="15" hidden="false" customHeight="true" outlineLevel="0" collapsed="false">
      <c r="A3654" s="2" t="n">
        <f aca="false">'Raw Data'!H3654</f>
        <v>3653</v>
      </c>
      <c r="B3654" s="2" t="n">
        <f aca="false">'Raw Data'!A3654</f>
        <v>27</v>
      </c>
      <c r="C3654" s="2" t="str">
        <f aca="false">'Raw Data'!D3654</f>
        <v>Research &amp; Development</v>
      </c>
      <c r="D3654" s="2" t="str">
        <f aca="false">'Raw Data'!K3654</f>
        <v>Laboratory Technician</v>
      </c>
      <c r="E3654" s="2" t="n">
        <f aca="false">'Raw Data'!Q3654</f>
        <v>5</v>
      </c>
      <c r="F3654" s="2" t="n">
        <f aca="false">'Raw Data'!U3654</f>
        <v>0</v>
      </c>
      <c r="G3654" s="2" t="n">
        <f aca="false">'Raw Data'!W3654</f>
        <v>4</v>
      </c>
      <c r="H3654" s="2" t="n">
        <f aca="false">'Raw Data'!V3654</f>
        <v>3</v>
      </c>
      <c r="I3654" s="2" t="n">
        <f aca="false">IF(AND(ISNUMBER(B3654),B3654&lt;=25),2,0)+IF(AND(ISNUMBER(E3654),E3654&lt;=5),2,0)+IF(AND(ISNUMBER(F3654),F3654&lt;=1),2,0)+IF(AND(ISNUMBER(G3654),G3654&lt;=2),1,0)+IF(AND(ISNUMBER(H3654),H3654&lt;=2),1,0)</f>
        <v>4</v>
      </c>
      <c r="J3654" s="2" t="str">
        <f aca="false">IF(I3654&gt;=6,"High",IF(I3654&gt;=3,"Medium","Low"))</f>
        <v>Medium</v>
      </c>
    </row>
    <row r="3655" customFormat="false" ht="15" hidden="false" customHeight="true" outlineLevel="0" collapsed="false">
      <c r="A3655" s="2" t="n">
        <f aca="false">'Raw Data'!H3655</f>
        <v>3654</v>
      </c>
      <c r="B3655" s="2" t="n">
        <f aca="false">'Raw Data'!A3655</f>
        <v>51</v>
      </c>
      <c r="C3655" s="2" t="str">
        <f aca="false">'Raw Data'!D3655</f>
        <v>Research &amp; Development</v>
      </c>
      <c r="D3655" s="2" t="str">
        <f aca="false">'Raw Data'!K3655</f>
        <v>Manufacturing Director</v>
      </c>
      <c r="E3655" s="2" t="n">
        <f aca="false">'Raw Data'!Q3655</f>
        <v>29</v>
      </c>
      <c r="F3655" s="2" t="n">
        <f aca="false">'Raw Data'!U3655</f>
        <v>3</v>
      </c>
      <c r="G3655" s="2" t="n">
        <f aca="false">'Raw Data'!W3655</f>
        <v>2</v>
      </c>
      <c r="H3655" s="2" t="n">
        <f aca="false">'Raw Data'!V3655</f>
        <v>4</v>
      </c>
      <c r="I3655" s="2" t="n">
        <f aca="false">IF(AND(ISNUMBER(B3655),B3655&lt;=25),2,0)+IF(AND(ISNUMBER(E3655),E3655&lt;=5),2,0)+IF(AND(ISNUMBER(F3655),F3655&lt;=1),2,0)+IF(AND(ISNUMBER(G3655),G3655&lt;=2),1,0)+IF(AND(ISNUMBER(H3655),H3655&lt;=2),1,0)</f>
        <v>1</v>
      </c>
      <c r="J3655" s="2" t="str">
        <f aca="false">IF(I3655&gt;=6,"High",IF(I3655&gt;=3,"Medium","Low"))</f>
        <v>Low</v>
      </c>
    </row>
    <row r="3656" customFormat="false" ht="15" hidden="false" customHeight="true" outlineLevel="0" collapsed="false">
      <c r="A3656" s="2" t="n">
        <f aca="false">'Raw Data'!H3656</f>
        <v>3655</v>
      </c>
      <c r="B3656" s="2" t="n">
        <f aca="false">'Raw Data'!A3656</f>
        <v>18</v>
      </c>
      <c r="C3656" s="2" t="str">
        <f aca="false">'Raw Data'!D3656</f>
        <v>Research &amp; Development</v>
      </c>
      <c r="D3656" s="2" t="str">
        <f aca="false">'Raw Data'!K3656</f>
        <v>Sales Executive</v>
      </c>
      <c r="E3656" s="2" t="n">
        <f aca="false">'Raw Data'!Q3656</f>
        <v>0</v>
      </c>
      <c r="F3656" s="2" t="n">
        <f aca="false">'Raw Data'!U3656</f>
        <v>0</v>
      </c>
      <c r="G3656" s="2" t="n">
        <f aca="false">'Raw Data'!W3656</f>
        <v>4</v>
      </c>
      <c r="H3656" s="2" t="n">
        <f aca="false">'Raw Data'!V3656</f>
        <v>4</v>
      </c>
      <c r="I3656" s="2" t="n">
        <f aca="false">IF(AND(ISNUMBER(B3656),B3656&lt;=25),2,0)+IF(AND(ISNUMBER(E3656),E3656&lt;=5),2,0)+IF(AND(ISNUMBER(F3656),F3656&lt;=1),2,0)+IF(AND(ISNUMBER(G3656),G3656&lt;=2),1,0)+IF(AND(ISNUMBER(H3656),H3656&lt;=2),1,0)</f>
        <v>6</v>
      </c>
      <c r="J3656" s="2" t="str">
        <f aca="false">IF(I3656&gt;=6,"High",IF(I3656&gt;=3,"Medium","Low"))</f>
        <v>High</v>
      </c>
    </row>
    <row r="3657" customFormat="false" ht="15" hidden="false" customHeight="true" outlineLevel="0" collapsed="false">
      <c r="A3657" s="2" t="n">
        <f aca="false">'Raw Data'!H3657</f>
        <v>3656</v>
      </c>
      <c r="B3657" s="2" t="n">
        <f aca="false">'Raw Data'!A3657</f>
        <v>35</v>
      </c>
      <c r="C3657" s="2" t="str">
        <f aca="false">'Raw Data'!D3657</f>
        <v>Research &amp; Development</v>
      </c>
      <c r="D3657" s="2" t="str">
        <f aca="false">'Raw Data'!K3657</f>
        <v>Research Director</v>
      </c>
      <c r="E3657" s="2" t="n">
        <f aca="false">'Raw Data'!Q3657</f>
        <v>10</v>
      </c>
      <c r="F3657" s="2" t="n">
        <f aca="false">'Raw Data'!U3657</f>
        <v>0</v>
      </c>
      <c r="G3657" s="2" t="n">
        <f aca="false">'Raw Data'!W3657</f>
        <v>4</v>
      </c>
      <c r="H3657" s="2" t="n">
        <f aca="false">'Raw Data'!V3657</f>
        <v>4</v>
      </c>
      <c r="I3657" s="2" t="n">
        <f aca="false">IF(AND(ISNUMBER(B3657),B3657&lt;=25),2,0)+IF(AND(ISNUMBER(E3657),E3657&lt;=5),2,0)+IF(AND(ISNUMBER(F3657),F3657&lt;=1),2,0)+IF(AND(ISNUMBER(G3657),G3657&lt;=2),1,0)+IF(AND(ISNUMBER(H3657),H3657&lt;=2),1,0)</f>
        <v>2</v>
      </c>
      <c r="J3657" s="2" t="str">
        <f aca="false">IF(I3657&gt;=6,"High",IF(I3657&gt;=3,"Medium","Low"))</f>
        <v>Low</v>
      </c>
    </row>
    <row r="3658" customFormat="false" ht="15" hidden="false" customHeight="true" outlineLevel="0" collapsed="false">
      <c r="A3658" s="2" t="n">
        <f aca="false">'Raw Data'!H3658</f>
        <v>3657</v>
      </c>
      <c r="B3658" s="2" t="n">
        <f aca="false">'Raw Data'!A3658</f>
        <v>27</v>
      </c>
      <c r="C3658" s="2" t="str">
        <f aca="false">'Raw Data'!D3658</f>
        <v>Research &amp; Development</v>
      </c>
      <c r="D3658" s="2" t="str">
        <f aca="false">'Raw Data'!K3658</f>
        <v>Research Director</v>
      </c>
      <c r="E3658" s="2" t="n">
        <f aca="false">'Raw Data'!Q3658</f>
        <v>8</v>
      </c>
      <c r="F3658" s="2" t="n">
        <f aca="false">'Raw Data'!U3658</f>
        <v>0</v>
      </c>
      <c r="G3658" s="2" t="n">
        <f aca="false">'Raw Data'!W3658</f>
        <v>4</v>
      </c>
      <c r="H3658" s="2" t="n">
        <f aca="false">'Raw Data'!V3658</f>
        <v>4</v>
      </c>
      <c r="I3658" s="2" t="n">
        <f aca="false">IF(AND(ISNUMBER(B3658),B3658&lt;=25),2,0)+IF(AND(ISNUMBER(E3658),E3658&lt;=5),2,0)+IF(AND(ISNUMBER(F3658),F3658&lt;=1),2,0)+IF(AND(ISNUMBER(G3658),G3658&lt;=2),1,0)+IF(AND(ISNUMBER(H3658),H3658&lt;=2),1,0)</f>
        <v>2</v>
      </c>
      <c r="J3658" s="2" t="str">
        <f aca="false">IF(I3658&gt;=6,"High",IF(I3658&gt;=3,"Medium","Low"))</f>
        <v>Low</v>
      </c>
    </row>
    <row r="3659" customFormat="false" ht="15" hidden="false" customHeight="true" outlineLevel="0" collapsed="false">
      <c r="A3659" s="2" t="n">
        <f aca="false">'Raw Data'!H3659</f>
        <v>3658</v>
      </c>
      <c r="B3659" s="2" t="n">
        <f aca="false">'Raw Data'!A3659</f>
        <v>55</v>
      </c>
      <c r="C3659" s="2" t="str">
        <f aca="false">'Raw Data'!D3659</f>
        <v>Research &amp; Development</v>
      </c>
      <c r="D3659" s="2" t="str">
        <f aca="false">'Raw Data'!K3659</f>
        <v>Human Resources</v>
      </c>
      <c r="E3659" s="2" t="n">
        <f aca="false">'Raw Data'!Q3659</f>
        <v>24</v>
      </c>
      <c r="F3659" s="2" t="n">
        <f aca="false">'Raw Data'!U3659</f>
        <v>8</v>
      </c>
      <c r="G3659" s="2" t="n">
        <f aca="false">'Raw Data'!W3659</f>
        <v>3</v>
      </c>
      <c r="H3659" s="2" t="n">
        <f aca="false">'Raw Data'!V3659</f>
        <v>1</v>
      </c>
      <c r="I3659" s="2" t="n">
        <f aca="false">IF(AND(ISNUMBER(B3659),B3659&lt;=25),2,0)+IF(AND(ISNUMBER(E3659),E3659&lt;=5),2,0)+IF(AND(ISNUMBER(F3659),F3659&lt;=1),2,0)+IF(AND(ISNUMBER(G3659),G3659&lt;=2),1,0)+IF(AND(ISNUMBER(H3659),H3659&lt;=2),1,0)</f>
        <v>1</v>
      </c>
      <c r="J3659" s="2" t="str">
        <f aca="false">IF(I3659&gt;=6,"High",IF(I3659&gt;=3,"Medium","Low"))</f>
        <v>Low</v>
      </c>
    </row>
    <row r="3660" customFormat="false" ht="15" hidden="false" customHeight="true" outlineLevel="0" collapsed="false">
      <c r="A3660" s="2" t="n">
        <f aca="false">'Raw Data'!H3660</f>
        <v>3659</v>
      </c>
      <c r="B3660" s="2" t="n">
        <f aca="false">'Raw Data'!A3660</f>
        <v>56</v>
      </c>
      <c r="C3660" s="2" t="str">
        <f aca="false">'Raw Data'!D3660</f>
        <v>Research &amp; Development</v>
      </c>
      <c r="D3660" s="2" t="str">
        <f aca="false">'Raw Data'!K3660</f>
        <v>Laboratory Technician</v>
      </c>
      <c r="E3660" s="2" t="n">
        <f aca="false">'Raw Data'!Q3660</f>
        <v>33</v>
      </c>
      <c r="F3660" s="2" t="n">
        <f aca="false">'Raw Data'!U3660</f>
        <v>9</v>
      </c>
      <c r="G3660" s="2" t="n">
        <f aca="false">'Raw Data'!W3660</f>
        <v>2</v>
      </c>
      <c r="H3660" s="2" t="n">
        <f aca="false">'Raw Data'!V3660</f>
        <v>4</v>
      </c>
      <c r="I3660" s="2" t="n">
        <f aca="false">IF(AND(ISNUMBER(B3660),B3660&lt;=25),2,0)+IF(AND(ISNUMBER(E3660),E3660&lt;=5),2,0)+IF(AND(ISNUMBER(F3660),F3660&lt;=1),2,0)+IF(AND(ISNUMBER(G3660),G3660&lt;=2),1,0)+IF(AND(ISNUMBER(H3660),H3660&lt;=2),1,0)</f>
        <v>1</v>
      </c>
      <c r="J3660" s="2" t="str">
        <f aca="false">IF(I3660&gt;=6,"High",IF(I3660&gt;=3,"Medium","Low"))</f>
        <v>Low</v>
      </c>
    </row>
    <row r="3661" customFormat="false" ht="15" hidden="false" customHeight="true" outlineLevel="0" collapsed="false">
      <c r="A3661" s="2" t="n">
        <f aca="false">'Raw Data'!H3661</f>
        <v>3660</v>
      </c>
      <c r="B3661" s="2" t="n">
        <f aca="false">'Raw Data'!A3661</f>
        <v>34</v>
      </c>
      <c r="C3661" s="2" t="str">
        <f aca="false">'Raw Data'!D3661</f>
        <v>Sales</v>
      </c>
      <c r="D3661" s="2" t="str">
        <f aca="false">'Raw Data'!K3661</f>
        <v>Research Scientist</v>
      </c>
      <c r="E3661" s="2" t="n">
        <f aca="false">'Raw Data'!Q3661</f>
        <v>5</v>
      </c>
      <c r="F3661" s="2" t="n">
        <f aca="false">'Raw Data'!U3661</f>
        <v>0</v>
      </c>
      <c r="G3661" s="2" t="n">
        <f aca="false">'Raw Data'!W3661</f>
        <v>3</v>
      </c>
      <c r="H3661" s="2" t="n">
        <f aca="false">'Raw Data'!V3661</f>
        <v>1</v>
      </c>
      <c r="I3661" s="2" t="n">
        <f aca="false">IF(AND(ISNUMBER(B3661),B3661&lt;=25),2,0)+IF(AND(ISNUMBER(E3661),E3661&lt;=5),2,0)+IF(AND(ISNUMBER(F3661),F3661&lt;=1),2,0)+IF(AND(ISNUMBER(G3661),G3661&lt;=2),1,0)+IF(AND(ISNUMBER(H3661),H3661&lt;=2),1,0)</f>
        <v>5</v>
      </c>
      <c r="J3661" s="2" t="str">
        <f aca="false">IF(I3661&gt;=6,"High",IF(I3661&gt;=3,"Medium","Low"))</f>
        <v>Medium</v>
      </c>
    </row>
    <row r="3662" customFormat="false" ht="15" hidden="false" customHeight="true" outlineLevel="0" collapsed="false">
      <c r="A3662" s="2" t="n">
        <f aca="false">'Raw Data'!H3662</f>
        <v>3661</v>
      </c>
      <c r="B3662" s="2" t="n">
        <f aca="false">'Raw Data'!A3662</f>
        <v>40</v>
      </c>
      <c r="C3662" s="2" t="str">
        <f aca="false">'Raw Data'!D3662</f>
        <v>Research &amp; Development</v>
      </c>
      <c r="D3662" s="2" t="str">
        <f aca="false">'Raw Data'!K3662</f>
        <v>Sales Executive</v>
      </c>
      <c r="E3662" s="2" t="n">
        <f aca="false">'Raw Data'!Q3662</f>
        <v>15</v>
      </c>
      <c r="F3662" s="2" t="n">
        <f aca="false">'Raw Data'!U3662</f>
        <v>8</v>
      </c>
      <c r="G3662" s="2" t="n">
        <f aca="false">'Raw Data'!W3662</f>
        <v>3</v>
      </c>
      <c r="H3662" s="2" t="n">
        <f aca="false">'Raw Data'!V3662</f>
        <v>2</v>
      </c>
      <c r="I3662" s="2" t="n">
        <f aca="false">IF(AND(ISNUMBER(B3662),B3662&lt;=25),2,0)+IF(AND(ISNUMBER(E3662),E3662&lt;=5),2,0)+IF(AND(ISNUMBER(F3662),F3662&lt;=1),2,0)+IF(AND(ISNUMBER(G3662),G3662&lt;=2),1,0)+IF(AND(ISNUMBER(H3662),H3662&lt;=2),1,0)</f>
        <v>1</v>
      </c>
      <c r="J3662" s="2" t="str">
        <f aca="false">IF(I3662&gt;=6,"High",IF(I3662&gt;=3,"Medium","Low"))</f>
        <v>Low</v>
      </c>
    </row>
    <row r="3663" customFormat="false" ht="15" hidden="false" customHeight="true" outlineLevel="0" collapsed="false">
      <c r="A3663" s="2" t="n">
        <f aca="false">'Raw Data'!H3663</f>
        <v>3662</v>
      </c>
      <c r="B3663" s="2" t="n">
        <f aca="false">'Raw Data'!A3663</f>
        <v>34</v>
      </c>
      <c r="C3663" s="2" t="str">
        <f aca="false">'Raw Data'!D3663</f>
        <v>Research &amp; Development</v>
      </c>
      <c r="D3663" s="2" t="str">
        <f aca="false">'Raw Data'!K3663</f>
        <v>Research Scientist</v>
      </c>
      <c r="E3663" s="2" t="n">
        <f aca="false">'Raw Data'!Q3663</f>
        <v>10</v>
      </c>
      <c r="F3663" s="2" t="n">
        <f aca="false">'Raw Data'!U3663</f>
        <v>7</v>
      </c>
      <c r="G3663" s="2" t="n">
        <f aca="false">'Raw Data'!W3663</f>
        <v>3</v>
      </c>
      <c r="H3663" s="2" t="n">
        <f aca="false">'Raw Data'!V3663</f>
        <v>2</v>
      </c>
      <c r="I3663" s="2" t="n">
        <f aca="false">IF(AND(ISNUMBER(B3663),B3663&lt;=25),2,0)+IF(AND(ISNUMBER(E3663),E3663&lt;=5),2,0)+IF(AND(ISNUMBER(F3663),F3663&lt;=1),2,0)+IF(AND(ISNUMBER(G3663),G3663&lt;=2),1,0)+IF(AND(ISNUMBER(H3663),H3663&lt;=2),1,0)</f>
        <v>1</v>
      </c>
      <c r="J3663" s="2" t="str">
        <f aca="false">IF(I3663&gt;=6,"High",IF(I3663&gt;=3,"Medium","Low"))</f>
        <v>Low</v>
      </c>
    </row>
    <row r="3664" customFormat="false" ht="15" hidden="false" customHeight="true" outlineLevel="0" collapsed="false">
      <c r="A3664" s="2" t="n">
        <f aca="false">'Raw Data'!H3664</f>
        <v>3663</v>
      </c>
      <c r="B3664" s="2" t="n">
        <f aca="false">'Raw Data'!A3664</f>
        <v>31</v>
      </c>
      <c r="C3664" s="2" t="str">
        <f aca="false">'Raw Data'!D3664</f>
        <v>Research &amp; Development</v>
      </c>
      <c r="D3664" s="2" t="str">
        <f aca="false">'Raw Data'!K3664</f>
        <v>Manufacturing Director</v>
      </c>
      <c r="E3664" s="2" t="n">
        <f aca="false">'Raw Data'!Q3664</f>
        <v>3</v>
      </c>
      <c r="F3664" s="2" t="n">
        <f aca="false">'Raw Data'!U3664</f>
        <v>0</v>
      </c>
      <c r="G3664" s="2" t="n">
        <f aca="false">'Raw Data'!W3664</f>
        <v>4</v>
      </c>
      <c r="H3664" s="2" t="n">
        <f aca="false">'Raw Data'!V3664</f>
        <v>3</v>
      </c>
      <c r="I3664" s="2" t="n">
        <f aca="false">IF(AND(ISNUMBER(B3664),B3664&lt;=25),2,0)+IF(AND(ISNUMBER(E3664),E3664&lt;=5),2,0)+IF(AND(ISNUMBER(F3664),F3664&lt;=1),2,0)+IF(AND(ISNUMBER(G3664),G3664&lt;=2),1,0)+IF(AND(ISNUMBER(H3664),H3664&lt;=2),1,0)</f>
        <v>4</v>
      </c>
      <c r="J3664" s="2" t="str">
        <f aca="false">IF(I3664&gt;=6,"High",IF(I3664&gt;=3,"Medium","Low"))</f>
        <v>Medium</v>
      </c>
    </row>
    <row r="3665" customFormat="false" ht="15" hidden="false" customHeight="true" outlineLevel="0" collapsed="false">
      <c r="A3665" s="2" t="n">
        <f aca="false">'Raw Data'!H3665</f>
        <v>3664</v>
      </c>
      <c r="B3665" s="2" t="n">
        <f aca="false">'Raw Data'!A3665</f>
        <v>35</v>
      </c>
      <c r="C3665" s="2" t="str">
        <f aca="false">'Raw Data'!D3665</f>
        <v>Research &amp; Development</v>
      </c>
      <c r="D3665" s="2" t="str">
        <f aca="false">'Raw Data'!K3665</f>
        <v>Manufacturing Director</v>
      </c>
      <c r="E3665" s="2" t="n">
        <f aca="false">'Raw Data'!Q3665</f>
        <v>5</v>
      </c>
      <c r="F3665" s="2" t="n">
        <f aca="false">'Raw Data'!U3665</f>
        <v>2</v>
      </c>
      <c r="G3665" s="2" t="n">
        <f aca="false">'Raw Data'!W3665</f>
        <v>3</v>
      </c>
      <c r="H3665" s="2" t="n">
        <f aca="false">'Raw Data'!V3665</f>
        <v>4</v>
      </c>
      <c r="I3665" s="2" t="n">
        <f aca="false">IF(AND(ISNUMBER(B3665),B3665&lt;=25),2,0)+IF(AND(ISNUMBER(E3665),E3665&lt;=5),2,0)+IF(AND(ISNUMBER(F3665),F3665&lt;=1),2,0)+IF(AND(ISNUMBER(G3665),G3665&lt;=2),1,0)+IF(AND(ISNUMBER(H3665),H3665&lt;=2),1,0)</f>
        <v>2</v>
      </c>
      <c r="J3665" s="2" t="str">
        <f aca="false">IF(I3665&gt;=6,"High",IF(I3665&gt;=3,"Medium","Low"))</f>
        <v>Low</v>
      </c>
    </row>
    <row r="3666" customFormat="false" ht="15" hidden="false" customHeight="true" outlineLevel="0" collapsed="false">
      <c r="A3666" s="2" t="n">
        <f aca="false">'Raw Data'!H3666</f>
        <v>3665</v>
      </c>
      <c r="B3666" s="2" t="n">
        <f aca="false">'Raw Data'!A3666</f>
        <v>38</v>
      </c>
      <c r="C3666" s="2" t="str">
        <f aca="false">'Raw Data'!D3666</f>
        <v>Research &amp; Development</v>
      </c>
      <c r="D3666" s="2" t="str">
        <f aca="false">'Raw Data'!K3666</f>
        <v>Sales Representative</v>
      </c>
      <c r="E3666" s="2" t="n">
        <f aca="false">'Raw Data'!Q3666</f>
        <v>4</v>
      </c>
      <c r="F3666" s="2" t="n">
        <f aca="false">'Raw Data'!U3666</f>
        <v>3</v>
      </c>
      <c r="G3666" s="2" t="n">
        <f aca="false">'Raw Data'!W3666</f>
        <v>3</v>
      </c>
      <c r="H3666" s="2" t="n">
        <f aca="false">'Raw Data'!V3666</f>
        <v>4</v>
      </c>
      <c r="I3666" s="2" t="n">
        <f aca="false">IF(AND(ISNUMBER(B3666),B3666&lt;=25),2,0)+IF(AND(ISNUMBER(E3666),E3666&lt;=5),2,0)+IF(AND(ISNUMBER(F3666),F3666&lt;=1),2,0)+IF(AND(ISNUMBER(G3666),G3666&lt;=2),1,0)+IF(AND(ISNUMBER(H3666),H3666&lt;=2),1,0)</f>
        <v>2</v>
      </c>
      <c r="J3666" s="2" t="str">
        <f aca="false">IF(I3666&gt;=6,"High",IF(I3666&gt;=3,"Medium","Low"))</f>
        <v>Low</v>
      </c>
    </row>
    <row r="3667" customFormat="false" ht="15" hidden="false" customHeight="true" outlineLevel="0" collapsed="false">
      <c r="A3667" s="2" t="n">
        <f aca="false">'Raw Data'!H3667</f>
        <v>3666</v>
      </c>
      <c r="B3667" s="2" t="n">
        <f aca="false">'Raw Data'!A3667</f>
        <v>34</v>
      </c>
      <c r="C3667" s="2" t="str">
        <f aca="false">'Raw Data'!D3667</f>
        <v>Research &amp; Development</v>
      </c>
      <c r="D3667" s="2" t="str">
        <f aca="false">'Raw Data'!K3667</f>
        <v>Laboratory Technician</v>
      </c>
      <c r="E3667" s="2" t="n">
        <f aca="false">'Raw Data'!Q3667</f>
        <v>14</v>
      </c>
      <c r="F3667" s="2" t="n">
        <f aca="false">'Raw Data'!U3667</f>
        <v>11</v>
      </c>
      <c r="G3667" s="2" t="n">
        <f aca="false">'Raw Data'!W3667</f>
        <v>4</v>
      </c>
      <c r="H3667" s="2" t="n">
        <f aca="false">'Raw Data'!V3667</f>
        <v>3</v>
      </c>
      <c r="I3667" s="2" t="n">
        <f aca="false">IF(AND(ISNUMBER(B3667),B3667&lt;=25),2,0)+IF(AND(ISNUMBER(E3667),E3667&lt;=5),2,0)+IF(AND(ISNUMBER(F3667),F3667&lt;=1),2,0)+IF(AND(ISNUMBER(G3667),G3667&lt;=2),1,0)+IF(AND(ISNUMBER(H3667),H3667&lt;=2),1,0)</f>
        <v>0</v>
      </c>
      <c r="J3667" s="2" t="str">
        <f aca="false">IF(I3667&gt;=6,"High",IF(I3667&gt;=3,"Medium","Low"))</f>
        <v>Low</v>
      </c>
    </row>
    <row r="3668" customFormat="false" ht="15" hidden="false" customHeight="true" outlineLevel="0" collapsed="false">
      <c r="A3668" s="2" t="n">
        <f aca="false">'Raw Data'!H3668</f>
        <v>3667</v>
      </c>
      <c r="B3668" s="2" t="n">
        <f aca="false">'Raw Data'!A3668</f>
        <v>28</v>
      </c>
      <c r="C3668" s="2" t="str">
        <f aca="false">'Raw Data'!D3668</f>
        <v>Research &amp; Development</v>
      </c>
      <c r="D3668" s="2" t="str">
        <f aca="false">'Raw Data'!K3668</f>
        <v>Healthcare Representative</v>
      </c>
      <c r="E3668" s="2" t="n">
        <f aca="false">'Raw Data'!Q3668</f>
        <v>5</v>
      </c>
      <c r="F3668" s="2" t="n">
        <f aca="false">'Raw Data'!U3668</f>
        <v>4</v>
      </c>
      <c r="G3668" s="2" t="n">
        <f aca="false">'Raw Data'!W3668</f>
        <v>1</v>
      </c>
      <c r="H3668" s="2" t="n">
        <f aca="false">'Raw Data'!V3668</f>
        <v>3</v>
      </c>
      <c r="I3668" s="2" t="n">
        <f aca="false">IF(AND(ISNUMBER(B3668),B3668&lt;=25),2,0)+IF(AND(ISNUMBER(E3668),E3668&lt;=5),2,0)+IF(AND(ISNUMBER(F3668),F3668&lt;=1),2,0)+IF(AND(ISNUMBER(G3668),G3668&lt;=2),1,0)+IF(AND(ISNUMBER(H3668),H3668&lt;=2),1,0)</f>
        <v>3</v>
      </c>
      <c r="J3668" s="2" t="str">
        <f aca="false">IF(I3668&gt;=6,"High",IF(I3668&gt;=3,"Medium","Low"))</f>
        <v>Medium</v>
      </c>
    </row>
    <row r="3669" customFormat="false" ht="15" hidden="false" customHeight="true" outlineLevel="0" collapsed="false">
      <c r="A3669" s="2" t="n">
        <f aca="false">'Raw Data'!H3669</f>
        <v>3668</v>
      </c>
      <c r="B3669" s="2" t="n">
        <f aca="false">'Raw Data'!A3669</f>
        <v>31</v>
      </c>
      <c r="C3669" s="2" t="str">
        <f aca="false">'Raw Data'!D3669</f>
        <v>Research &amp; Development</v>
      </c>
      <c r="D3669" s="2" t="str">
        <f aca="false">'Raw Data'!K3669</f>
        <v>Sales Executive</v>
      </c>
      <c r="E3669" s="2" t="n">
        <f aca="false">'Raw Data'!Q3669</f>
        <v>10</v>
      </c>
      <c r="F3669" s="2" t="n">
        <f aca="false">'Raw Data'!U3669</f>
        <v>7</v>
      </c>
      <c r="G3669" s="2" t="n">
        <f aca="false">'Raw Data'!W3669</f>
        <v>3</v>
      </c>
      <c r="H3669" s="2" t="n">
        <f aca="false">'Raw Data'!V3669</f>
        <v>4</v>
      </c>
      <c r="I3669" s="2" t="n">
        <f aca="false">IF(AND(ISNUMBER(B3669),B3669&lt;=25),2,0)+IF(AND(ISNUMBER(E3669),E3669&lt;=5),2,0)+IF(AND(ISNUMBER(F3669),F3669&lt;=1),2,0)+IF(AND(ISNUMBER(G3669),G3669&lt;=2),1,0)+IF(AND(ISNUMBER(H3669),H3669&lt;=2),1,0)</f>
        <v>0</v>
      </c>
      <c r="J3669" s="2" t="str">
        <f aca="false">IF(I3669&gt;=6,"High",IF(I3669&gt;=3,"Medium","Low"))</f>
        <v>Low</v>
      </c>
    </row>
    <row r="3670" customFormat="false" ht="15" hidden="false" customHeight="true" outlineLevel="0" collapsed="false">
      <c r="A3670" s="2" t="n">
        <f aca="false">'Raw Data'!H3670</f>
        <v>3669</v>
      </c>
      <c r="B3670" s="2" t="n">
        <f aca="false">'Raw Data'!A3670</f>
        <v>39</v>
      </c>
      <c r="C3670" s="2" t="str">
        <f aca="false">'Raw Data'!D3670</f>
        <v>Research &amp; Development</v>
      </c>
      <c r="D3670" s="2" t="str">
        <f aca="false">'Raw Data'!K3670</f>
        <v>Healthcare Representative</v>
      </c>
      <c r="E3670" s="2" t="n">
        <f aca="false">'Raw Data'!Q3670</f>
        <v>8</v>
      </c>
      <c r="F3670" s="2" t="n">
        <f aca="false">'Raw Data'!U3670</f>
        <v>4</v>
      </c>
      <c r="G3670" s="2" t="n">
        <f aca="false">'Raw Data'!W3670</f>
        <v>4</v>
      </c>
      <c r="H3670" s="2" t="n">
        <f aca="false">'Raw Data'!V3670</f>
        <v>1</v>
      </c>
      <c r="I3670" s="2" t="n">
        <f aca="false">IF(AND(ISNUMBER(B3670),B3670&lt;=25),2,0)+IF(AND(ISNUMBER(E3670),E3670&lt;=5),2,0)+IF(AND(ISNUMBER(F3670),F3670&lt;=1),2,0)+IF(AND(ISNUMBER(G3670),G3670&lt;=2),1,0)+IF(AND(ISNUMBER(H3670),H3670&lt;=2),1,0)</f>
        <v>1</v>
      </c>
      <c r="J3670" s="2" t="str">
        <f aca="false">IF(I3670&gt;=6,"High",IF(I3670&gt;=3,"Medium","Low"))</f>
        <v>Low</v>
      </c>
    </row>
    <row r="3671" customFormat="false" ht="15" hidden="false" customHeight="true" outlineLevel="0" collapsed="false">
      <c r="A3671" s="2" t="n">
        <f aca="false">'Raw Data'!H3671</f>
        <v>3670</v>
      </c>
      <c r="B3671" s="2" t="n">
        <f aca="false">'Raw Data'!A3671</f>
        <v>51</v>
      </c>
      <c r="C3671" s="2" t="str">
        <f aca="false">'Raw Data'!D3671</f>
        <v>Research &amp; Development</v>
      </c>
      <c r="D3671" s="2" t="str">
        <f aca="false">'Raw Data'!K3671</f>
        <v>Sales Executive</v>
      </c>
      <c r="E3671" s="2" t="n">
        <f aca="false">'Raw Data'!Q3671</f>
        <v>14</v>
      </c>
      <c r="F3671" s="2" t="n">
        <f aca="false">'Raw Data'!U3671</f>
        <v>2</v>
      </c>
      <c r="G3671" s="2" t="n">
        <f aca="false">'Raw Data'!W3671</f>
        <v>2</v>
      </c>
      <c r="H3671" s="2" t="n">
        <f aca="false">'Raw Data'!V3671</f>
        <v>2</v>
      </c>
      <c r="I3671" s="2" t="n">
        <f aca="false">IF(AND(ISNUMBER(B3671),B3671&lt;=25),2,0)+IF(AND(ISNUMBER(E3671),E3671&lt;=5),2,0)+IF(AND(ISNUMBER(F3671),F3671&lt;=1),2,0)+IF(AND(ISNUMBER(G3671),G3671&lt;=2),1,0)+IF(AND(ISNUMBER(H3671),H3671&lt;=2),1,0)</f>
        <v>2</v>
      </c>
      <c r="J3671" s="2" t="str">
        <f aca="false">IF(I3671&gt;=6,"High",IF(I3671&gt;=3,"Medium","Low"))</f>
        <v>Low</v>
      </c>
    </row>
    <row r="3672" customFormat="false" ht="15" hidden="false" customHeight="true" outlineLevel="0" collapsed="false">
      <c r="A3672" s="2" t="n">
        <f aca="false">'Raw Data'!H3672</f>
        <v>3671</v>
      </c>
      <c r="B3672" s="2" t="n">
        <f aca="false">'Raw Data'!A3672</f>
        <v>41</v>
      </c>
      <c r="C3672" s="2" t="str">
        <f aca="false">'Raw Data'!D3672</f>
        <v>Research &amp; Development</v>
      </c>
      <c r="D3672" s="2" t="str">
        <f aca="false">'Raw Data'!K3672</f>
        <v>Sales Executive</v>
      </c>
      <c r="E3672" s="2" t="n">
        <f aca="false">'Raw Data'!Q3672</f>
        <v>12</v>
      </c>
      <c r="F3672" s="2" t="n">
        <f aca="false">'Raw Data'!U3672</f>
        <v>3</v>
      </c>
      <c r="G3672" s="2" t="n">
        <f aca="false">'Raw Data'!W3672</f>
        <v>4</v>
      </c>
      <c r="H3672" s="2" t="n">
        <f aca="false">'Raw Data'!V3672</f>
        <v>4</v>
      </c>
      <c r="I3672" s="2" t="n">
        <f aca="false">IF(AND(ISNUMBER(B3672),B3672&lt;=25),2,0)+IF(AND(ISNUMBER(E3672),E3672&lt;=5),2,0)+IF(AND(ISNUMBER(F3672),F3672&lt;=1),2,0)+IF(AND(ISNUMBER(G3672),G3672&lt;=2),1,0)+IF(AND(ISNUMBER(H3672),H3672&lt;=2),1,0)</f>
        <v>0</v>
      </c>
      <c r="J3672" s="2" t="str">
        <f aca="false">IF(I3672&gt;=6,"High",IF(I3672&gt;=3,"Medium","Low"))</f>
        <v>Low</v>
      </c>
    </row>
    <row r="3673" customFormat="false" ht="15" hidden="false" customHeight="true" outlineLevel="0" collapsed="false">
      <c r="A3673" s="2" t="n">
        <f aca="false">'Raw Data'!H3673</f>
        <v>3672</v>
      </c>
      <c r="B3673" s="2" t="n">
        <f aca="false">'Raw Data'!A3673</f>
        <v>37</v>
      </c>
      <c r="C3673" s="2" t="str">
        <f aca="false">'Raw Data'!D3673</f>
        <v>Research &amp; Development</v>
      </c>
      <c r="D3673" s="2" t="str">
        <f aca="false">'Raw Data'!K3673</f>
        <v>Healthcare Representative</v>
      </c>
      <c r="E3673" s="2" t="n">
        <f aca="false">'Raw Data'!Q3673</f>
        <v>8</v>
      </c>
      <c r="F3673" s="2" t="n">
        <f aca="false">'Raw Data'!U3673</f>
        <v>3</v>
      </c>
      <c r="G3673" s="2" t="n">
        <f aca="false">'Raw Data'!W3673</f>
        <v>3</v>
      </c>
      <c r="H3673" s="2" t="n">
        <f aca="false">'Raw Data'!V3673</f>
        <v>3</v>
      </c>
      <c r="I3673" s="2" t="n">
        <f aca="false">IF(AND(ISNUMBER(B3673),B3673&lt;=25),2,0)+IF(AND(ISNUMBER(E3673),E3673&lt;=5),2,0)+IF(AND(ISNUMBER(F3673),F3673&lt;=1),2,0)+IF(AND(ISNUMBER(G3673),G3673&lt;=2),1,0)+IF(AND(ISNUMBER(H3673),H3673&lt;=2),1,0)</f>
        <v>0</v>
      </c>
      <c r="J3673" s="2" t="str">
        <f aca="false">IF(I3673&gt;=6,"High",IF(I3673&gt;=3,"Medium","Low"))</f>
        <v>Low</v>
      </c>
    </row>
    <row r="3674" customFormat="false" ht="15" hidden="false" customHeight="true" outlineLevel="0" collapsed="false">
      <c r="A3674" s="2" t="n">
        <f aca="false">'Raw Data'!H3674</f>
        <v>3673</v>
      </c>
      <c r="B3674" s="2" t="n">
        <f aca="false">'Raw Data'!A3674</f>
        <v>33</v>
      </c>
      <c r="C3674" s="2" t="str">
        <f aca="false">'Raw Data'!D3674</f>
        <v>Research &amp; Development</v>
      </c>
      <c r="D3674" s="2" t="str">
        <f aca="false">'Raw Data'!K3674</f>
        <v>Sales Executive</v>
      </c>
      <c r="E3674" s="2" t="n">
        <f aca="false">'Raw Data'!Q3674</f>
        <v>8</v>
      </c>
      <c r="F3674" s="2" t="n">
        <f aca="false">'Raw Data'!U3674</f>
        <v>2</v>
      </c>
      <c r="G3674" s="2" t="n">
        <f aca="false">'Raw Data'!W3674</f>
        <v>4</v>
      </c>
      <c r="H3674" s="2" t="n">
        <f aca="false">'Raw Data'!V3674</f>
        <v>2</v>
      </c>
      <c r="I3674" s="2" t="n">
        <f aca="false">IF(AND(ISNUMBER(B3674),B3674&lt;=25),2,0)+IF(AND(ISNUMBER(E3674),E3674&lt;=5),2,0)+IF(AND(ISNUMBER(F3674),F3674&lt;=1),2,0)+IF(AND(ISNUMBER(G3674),G3674&lt;=2),1,0)+IF(AND(ISNUMBER(H3674),H3674&lt;=2),1,0)</f>
        <v>1</v>
      </c>
      <c r="J3674" s="2" t="str">
        <f aca="false">IF(I3674&gt;=6,"High",IF(I3674&gt;=3,"Medium","Low"))</f>
        <v>Low</v>
      </c>
    </row>
    <row r="3675" customFormat="false" ht="15" hidden="false" customHeight="true" outlineLevel="0" collapsed="false">
      <c r="A3675" s="2" t="n">
        <f aca="false">'Raw Data'!H3675</f>
        <v>3674</v>
      </c>
      <c r="B3675" s="2" t="n">
        <f aca="false">'Raw Data'!A3675</f>
        <v>32</v>
      </c>
      <c r="C3675" s="2" t="str">
        <f aca="false">'Raw Data'!D3675</f>
        <v>Research &amp; Development</v>
      </c>
      <c r="D3675" s="2" t="str">
        <f aca="false">'Raw Data'!K3675</f>
        <v>Research Director</v>
      </c>
      <c r="E3675" s="2" t="n">
        <f aca="false">'Raw Data'!Q3675</f>
        <v>4</v>
      </c>
      <c r="F3675" s="2" t="n">
        <f aca="false">'Raw Data'!U3675</f>
        <v>2</v>
      </c>
      <c r="G3675" s="2" t="n">
        <f aca="false">'Raw Data'!W3675</f>
        <v>2</v>
      </c>
      <c r="H3675" s="2" t="n">
        <f aca="false">'Raw Data'!V3675</f>
        <v>3</v>
      </c>
      <c r="I3675" s="2" t="n">
        <f aca="false">IF(AND(ISNUMBER(B3675),B3675&lt;=25),2,0)+IF(AND(ISNUMBER(E3675),E3675&lt;=5),2,0)+IF(AND(ISNUMBER(F3675),F3675&lt;=1),2,0)+IF(AND(ISNUMBER(G3675),G3675&lt;=2),1,0)+IF(AND(ISNUMBER(H3675),H3675&lt;=2),1,0)</f>
        <v>3</v>
      </c>
      <c r="J3675" s="2" t="str">
        <f aca="false">IF(I3675&gt;=6,"High",IF(I3675&gt;=3,"Medium","Low"))</f>
        <v>Medium</v>
      </c>
    </row>
    <row r="3676" customFormat="false" ht="15" hidden="false" customHeight="true" outlineLevel="0" collapsed="false">
      <c r="A3676" s="2" t="n">
        <f aca="false">'Raw Data'!H3676</f>
        <v>3675</v>
      </c>
      <c r="B3676" s="2" t="n">
        <f aca="false">'Raw Data'!A3676</f>
        <v>39</v>
      </c>
      <c r="C3676" s="2" t="str">
        <f aca="false">'Raw Data'!D3676</f>
        <v>Research &amp; Development</v>
      </c>
      <c r="D3676" s="2" t="str">
        <f aca="false">'Raw Data'!K3676</f>
        <v>Sales Executive</v>
      </c>
      <c r="E3676" s="2" t="n">
        <f aca="false">'Raw Data'!Q3676</f>
        <v>13</v>
      </c>
      <c r="F3676" s="2" t="n">
        <f aca="false">'Raw Data'!U3676</f>
        <v>5</v>
      </c>
      <c r="G3676" s="2" t="n">
        <f aca="false">'Raw Data'!W3676</f>
        <v>3</v>
      </c>
      <c r="H3676" s="2" t="n">
        <f aca="false">'Raw Data'!V3676</f>
        <v>3</v>
      </c>
      <c r="I3676" s="2" t="n">
        <f aca="false">IF(AND(ISNUMBER(B3676),B3676&lt;=25),2,0)+IF(AND(ISNUMBER(E3676),E3676&lt;=5),2,0)+IF(AND(ISNUMBER(F3676),F3676&lt;=1),2,0)+IF(AND(ISNUMBER(G3676),G3676&lt;=2),1,0)+IF(AND(ISNUMBER(H3676),H3676&lt;=2),1,0)</f>
        <v>0</v>
      </c>
      <c r="J3676" s="2" t="str">
        <f aca="false">IF(I3676&gt;=6,"High",IF(I3676&gt;=3,"Medium","Low"))</f>
        <v>Low</v>
      </c>
    </row>
    <row r="3677" customFormat="false" ht="15" hidden="false" customHeight="true" outlineLevel="0" collapsed="false">
      <c r="A3677" s="2" t="n">
        <f aca="false">'Raw Data'!H3677</f>
        <v>3676</v>
      </c>
      <c r="B3677" s="2" t="n">
        <f aca="false">'Raw Data'!A3677</f>
        <v>25</v>
      </c>
      <c r="C3677" s="2" t="str">
        <f aca="false">'Raw Data'!D3677</f>
        <v>Research &amp; Development</v>
      </c>
      <c r="D3677" s="2" t="str">
        <f aca="false">'Raw Data'!K3677</f>
        <v>Sales Executive</v>
      </c>
      <c r="E3677" s="2" t="n">
        <f aca="false">'Raw Data'!Q3677</f>
        <v>6</v>
      </c>
      <c r="F3677" s="2" t="n">
        <f aca="false">'Raw Data'!U3677</f>
        <v>2</v>
      </c>
      <c r="G3677" s="2" t="n">
        <f aca="false">'Raw Data'!W3677</f>
        <v>3</v>
      </c>
      <c r="H3677" s="2" t="n">
        <f aca="false">'Raw Data'!V3677</f>
        <v>1</v>
      </c>
      <c r="I3677" s="2" t="n">
        <f aca="false">IF(AND(ISNUMBER(B3677),B3677&lt;=25),2,0)+IF(AND(ISNUMBER(E3677),E3677&lt;=5),2,0)+IF(AND(ISNUMBER(F3677),F3677&lt;=1),2,0)+IF(AND(ISNUMBER(G3677),G3677&lt;=2),1,0)+IF(AND(ISNUMBER(H3677),H3677&lt;=2),1,0)</f>
        <v>3</v>
      </c>
      <c r="J3677" s="2" t="str">
        <f aca="false">IF(I3677&gt;=6,"High",IF(I3677&gt;=3,"Medium","Low"))</f>
        <v>Medium</v>
      </c>
    </row>
    <row r="3678" customFormat="false" ht="15" hidden="false" customHeight="true" outlineLevel="0" collapsed="false">
      <c r="A3678" s="2" t="n">
        <f aca="false">'Raw Data'!H3678</f>
        <v>3677</v>
      </c>
      <c r="B3678" s="2" t="n">
        <f aca="false">'Raw Data'!A3678</f>
        <v>52</v>
      </c>
      <c r="C3678" s="2" t="str">
        <f aca="false">'Raw Data'!D3678</f>
        <v>Research &amp; Development</v>
      </c>
      <c r="D3678" s="2" t="str">
        <f aca="false">'Raw Data'!K3678</f>
        <v>Sales Executive</v>
      </c>
      <c r="E3678" s="2" t="n">
        <f aca="false">'Raw Data'!Q3678</f>
        <v>24</v>
      </c>
      <c r="F3678" s="2" t="n">
        <f aca="false">'Raw Data'!U3678</f>
        <v>2</v>
      </c>
      <c r="G3678" s="2" t="n">
        <f aca="false">'Raw Data'!W3678</f>
        <v>3</v>
      </c>
      <c r="H3678" s="2" t="n">
        <f aca="false">'Raw Data'!V3678</f>
        <v>4</v>
      </c>
      <c r="I3678" s="2" t="n">
        <f aca="false">IF(AND(ISNUMBER(B3678),B3678&lt;=25),2,0)+IF(AND(ISNUMBER(E3678),E3678&lt;=5),2,0)+IF(AND(ISNUMBER(F3678),F3678&lt;=1),2,0)+IF(AND(ISNUMBER(G3678),G3678&lt;=2),1,0)+IF(AND(ISNUMBER(H3678),H3678&lt;=2),1,0)</f>
        <v>0</v>
      </c>
      <c r="J3678" s="2" t="str">
        <f aca="false">IF(I3678&gt;=6,"High",IF(I3678&gt;=3,"Medium","Low"))</f>
        <v>Low</v>
      </c>
    </row>
    <row r="3679" customFormat="false" ht="15" hidden="false" customHeight="true" outlineLevel="0" collapsed="false">
      <c r="A3679" s="2" t="n">
        <f aca="false">'Raw Data'!H3679</f>
        <v>3678</v>
      </c>
      <c r="B3679" s="2" t="n">
        <f aca="false">'Raw Data'!A3679</f>
        <v>43</v>
      </c>
      <c r="C3679" s="2" t="str">
        <f aca="false">'Raw Data'!D3679</f>
        <v>Research &amp; Development</v>
      </c>
      <c r="D3679" s="2" t="str">
        <f aca="false">'Raw Data'!K3679</f>
        <v>Laboratory Technician</v>
      </c>
      <c r="E3679" s="2" t="n">
        <f aca="false">'Raw Data'!Q3679</f>
        <v>20</v>
      </c>
      <c r="F3679" s="2" t="n">
        <f aca="false">'Raw Data'!U3679</f>
        <v>8</v>
      </c>
      <c r="G3679" s="2" t="n">
        <f aca="false">'Raw Data'!W3679</f>
        <v>3</v>
      </c>
      <c r="H3679" s="2" t="n">
        <f aca="false">'Raw Data'!V3679</f>
        <v>1</v>
      </c>
      <c r="I3679" s="2" t="n">
        <f aca="false">IF(AND(ISNUMBER(B3679),B3679&lt;=25),2,0)+IF(AND(ISNUMBER(E3679),E3679&lt;=5),2,0)+IF(AND(ISNUMBER(F3679),F3679&lt;=1),2,0)+IF(AND(ISNUMBER(G3679),G3679&lt;=2),1,0)+IF(AND(ISNUMBER(H3679),H3679&lt;=2),1,0)</f>
        <v>1</v>
      </c>
      <c r="J3679" s="2" t="str">
        <f aca="false">IF(I3679&gt;=6,"High",IF(I3679&gt;=3,"Medium","Low"))</f>
        <v>Low</v>
      </c>
    </row>
    <row r="3680" customFormat="false" ht="15" hidden="false" customHeight="true" outlineLevel="0" collapsed="false">
      <c r="A3680" s="2" t="n">
        <f aca="false">'Raw Data'!H3680</f>
        <v>3679</v>
      </c>
      <c r="B3680" s="2" t="n">
        <f aca="false">'Raw Data'!A3680</f>
        <v>27</v>
      </c>
      <c r="C3680" s="2" t="str">
        <f aca="false">'Raw Data'!D3680</f>
        <v>Research &amp; Development</v>
      </c>
      <c r="D3680" s="2" t="str">
        <f aca="false">'Raw Data'!K3680</f>
        <v>Human Resources</v>
      </c>
      <c r="E3680" s="2" t="n">
        <f aca="false">'Raw Data'!Q3680</f>
        <v>6</v>
      </c>
      <c r="F3680" s="2" t="n">
        <f aca="false">'Raw Data'!U3680</f>
        <v>4</v>
      </c>
      <c r="G3680" s="2" t="n">
        <f aca="false">'Raw Data'!W3680</f>
        <v>4</v>
      </c>
      <c r="H3680" s="2" t="n">
        <f aca="false">'Raw Data'!V3680</f>
        <v>4</v>
      </c>
      <c r="I3680" s="2" t="n">
        <f aca="false">IF(AND(ISNUMBER(B3680),B3680&lt;=25),2,0)+IF(AND(ISNUMBER(E3680),E3680&lt;=5),2,0)+IF(AND(ISNUMBER(F3680),F3680&lt;=1),2,0)+IF(AND(ISNUMBER(G3680),G3680&lt;=2),1,0)+IF(AND(ISNUMBER(H3680),H3680&lt;=2),1,0)</f>
        <v>0</v>
      </c>
      <c r="J3680" s="2" t="str">
        <f aca="false">IF(I3680&gt;=6,"High",IF(I3680&gt;=3,"Medium","Low"))</f>
        <v>Low</v>
      </c>
    </row>
    <row r="3681" customFormat="false" ht="15" hidden="false" customHeight="true" outlineLevel="0" collapsed="false">
      <c r="A3681" s="2" t="n">
        <f aca="false">'Raw Data'!H3681</f>
        <v>3680</v>
      </c>
      <c r="B3681" s="2" t="n">
        <f aca="false">'Raw Data'!A3681</f>
        <v>27</v>
      </c>
      <c r="C3681" s="2" t="str">
        <f aca="false">'Raw Data'!D3681</f>
        <v>Research &amp; Development</v>
      </c>
      <c r="D3681" s="2" t="str">
        <f aca="false">'Raw Data'!K3681</f>
        <v>Research Scientist</v>
      </c>
      <c r="E3681" s="2" t="n">
        <f aca="false">'Raw Data'!Q3681</f>
        <v>8</v>
      </c>
      <c r="F3681" s="2" t="n">
        <f aca="false">'Raw Data'!U3681</f>
        <v>7</v>
      </c>
      <c r="G3681" s="2" t="n">
        <f aca="false">'Raw Data'!W3681</f>
        <v>3</v>
      </c>
      <c r="H3681" s="2" t="n">
        <f aca="false">'Raw Data'!V3681</f>
        <v>4</v>
      </c>
      <c r="I3681" s="2" t="n">
        <f aca="false">IF(AND(ISNUMBER(B3681),B3681&lt;=25),2,0)+IF(AND(ISNUMBER(E3681),E3681&lt;=5),2,0)+IF(AND(ISNUMBER(F3681),F3681&lt;=1),2,0)+IF(AND(ISNUMBER(G3681),G3681&lt;=2),1,0)+IF(AND(ISNUMBER(H3681),H3681&lt;=2),1,0)</f>
        <v>0</v>
      </c>
      <c r="J3681" s="2" t="str">
        <f aca="false">IF(I3681&gt;=6,"High",IF(I3681&gt;=3,"Medium","Low"))</f>
        <v>Low</v>
      </c>
    </row>
    <row r="3682" customFormat="false" ht="15" hidden="false" customHeight="true" outlineLevel="0" collapsed="false">
      <c r="A3682" s="2" t="n">
        <f aca="false">'Raw Data'!H3682</f>
        <v>3681</v>
      </c>
      <c r="B3682" s="2" t="n">
        <f aca="false">'Raw Data'!A3682</f>
        <v>26</v>
      </c>
      <c r="C3682" s="2" t="str">
        <f aca="false">'Raw Data'!D3682</f>
        <v>Research &amp; Development</v>
      </c>
      <c r="D3682" s="2" t="str">
        <f aca="false">'Raw Data'!K3682</f>
        <v>Laboratory Technician</v>
      </c>
      <c r="E3682" s="2" t="n">
        <f aca="false">'Raw Data'!Q3682</f>
        <v>5</v>
      </c>
      <c r="F3682" s="2" t="n">
        <f aca="false">'Raw Data'!U3682</f>
        <v>1</v>
      </c>
      <c r="G3682" s="2" t="n">
        <f aca="false">'Raw Data'!W3682</f>
        <v>4</v>
      </c>
      <c r="H3682" s="2" t="n">
        <f aca="false">'Raw Data'!V3682</f>
        <v>1</v>
      </c>
      <c r="I3682" s="2" t="n">
        <f aca="false">IF(AND(ISNUMBER(B3682),B3682&lt;=25),2,0)+IF(AND(ISNUMBER(E3682),E3682&lt;=5),2,0)+IF(AND(ISNUMBER(F3682),F3682&lt;=1),2,0)+IF(AND(ISNUMBER(G3682),G3682&lt;=2),1,0)+IF(AND(ISNUMBER(H3682),H3682&lt;=2),1,0)</f>
        <v>5</v>
      </c>
      <c r="J3682" s="2" t="str">
        <f aca="false">IF(I3682&gt;=6,"High",IF(I3682&gt;=3,"Medium","Low"))</f>
        <v>Medium</v>
      </c>
    </row>
    <row r="3683" customFormat="false" ht="15" hidden="false" customHeight="true" outlineLevel="0" collapsed="false">
      <c r="A3683" s="2" t="n">
        <f aca="false">'Raw Data'!H3683</f>
        <v>3682</v>
      </c>
      <c r="B3683" s="2" t="n">
        <f aca="false">'Raw Data'!A3683</f>
        <v>42</v>
      </c>
      <c r="C3683" s="2" t="str">
        <f aca="false">'Raw Data'!D3683</f>
        <v>Sales</v>
      </c>
      <c r="D3683" s="2" t="str">
        <f aca="false">'Raw Data'!K3683</f>
        <v>Research Scientist</v>
      </c>
      <c r="E3683" s="2" t="n">
        <f aca="false">'Raw Data'!Q3683</f>
        <v>21</v>
      </c>
      <c r="F3683" s="2" t="n">
        <f aca="false">'Raw Data'!U3683</f>
        <v>9</v>
      </c>
      <c r="G3683" s="2" t="n">
        <f aca="false">'Raw Data'!W3683</f>
        <v>1</v>
      </c>
      <c r="H3683" s="2" t="n">
        <f aca="false">'Raw Data'!V3683</f>
        <v>0</v>
      </c>
      <c r="I3683" s="2" t="n">
        <f aca="false">IF(AND(ISNUMBER(B3683),B3683&lt;=25),2,0)+IF(AND(ISNUMBER(E3683),E3683&lt;=5),2,0)+IF(AND(ISNUMBER(F3683),F3683&lt;=1),2,0)+IF(AND(ISNUMBER(G3683),G3683&lt;=2),1,0)+IF(AND(ISNUMBER(H3683),H3683&lt;=2),1,0)</f>
        <v>1</v>
      </c>
      <c r="J3683" s="2" t="str">
        <f aca="false">IF(I3683&gt;=6,"High",IF(I3683&gt;=3,"Medium","Low"))</f>
        <v>Low</v>
      </c>
    </row>
    <row r="3684" customFormat="false" ht="15" hidden="false" customHeight="true" outlineLevel="0" collapsed="false">
      <c r="A3684" s="2" t="n">
        <f aca="false">'Raw Data'!H3684</f>
        <v>3683</v>
      </c>
      <c r="B3684" s="2" t="n">
        <f aca="false">'Raw Data'!A3684</f>
        <v>52</v>
      </c>
      <c r="C3684" s="2" t="str">
        <f aca="false">'Raw Data'!D3684</f>
        <v>Research &amp; Development</v>
      </c>
      <c r="D3684" s="2" t="str">
        <f aca="false">'Raw Data'!K3684</f>
        <v>Healthcare Representative</v>
      </c>
      <c r="E3684" s="2" t="n">
        <f aca="false">'Raw Data'!Q3684</f>
        <v>12</v>
      </c>
      <c r="F3684" s="2" t="n">
        <f aca="false">'Raw Data'!U3684</f>
        <v>4</v>
      </c>
      <c r="G3684" s="2" t="n">
        <f aca="false">'Raw Data'!W3684</f>
        <v>1</v>
      </c>
      <c r="H3684" s="2" t="n">
        <f aca="false">'Raw Data'!V3684</f>
        <v>3</v>
      </c>
      <c r="I3684" s="2" t="n">
        <f aca="false">IF(AND(ISNUMBER(B3684),B3684&lt;=25),2,0)+IF(AND(ISNUMBER(E3684),E3684&lt;=5),2,0)+IF(AND(ISNUMBER(F3684),F3684&lt;=1),2,0)+IF(AND(ISNUMBER(G3684),G3684&lt;=2),1,0)+IF(AND(ISNUMBER(H3684),H3684&lt;=2),1,0)</f>
        <v>1</v>
      </c>
      <c r="J3684" s="2" t="str">
        <f aca="false">IF(I3684&gt;=6,"High",IF(I3684&gt;=3,"Medium","Low"))</f>
        <v>Low</v>
      </c>
    </row>
    <row r="3685" customFormat="false" ht="15" hidden="false" customHeight="true" outlineLevel="0" collapsed="false">
      <c r="A3685" s="2" t="n">
        <f aca="false">'Raw Data'!H3685</f>
        <v>3684</v>
      </c>
      <c r="B3685" s="2" t="n">
        <f aca="false">'Raw Data'!A3685</f>
        <v>37</v>
      </c>
      <c r="C3685" s="2" t="str">
        <f aca="false">'Raw Data'!D3685</f>
        <v>Research &amp; Development</v>
      </c>
      <c r="D3685" s="2" t="str">
        <f aca="false">'Raw Data'!K3685</f>
        <v>Manager</v>
      </c>
      <c r="E3685" s="2" t="n">
        <f aca="false">'Raw Data'!Q3685</f>
        <v>8</v>
      </c>
      <c r="F3685" s="2" t="n">
        <f aca="false">'Raw Data'!U3685</f>
        <v>2</v>
      </c>
      <c r="G3685" s="2" t="n">
        <f aca="false">'Raw Data'!W3685</f>
        <v>3</v>
      </c>
      <c r="H3685" s="2" t="n">
        <f aca="false">'Raw Data'!V3685</f>
        <v>1</v>
      </c>
      <c r="I3685" s="2" t="n">
        <f aca="false">IF(AND(ISNUMBER(B3685),B3685&lt;=25),2,0)+IF(AND(ISNUMBER(E3685),E3685&lt;=5),2,0)+IF(AND(ISNUMBER(F3685),F3685&lt;=1),2,0)+IF(AND(ISNUMBER(G3685),G3685&lt;=2),1,0)+IF(AND(ISNUMBER(H3685),H3685&lt;=2),1,0)</f>
        <v>1</v>
      </c>
      <c r="J3685" s="2" t="str">
        <f aca="false">IF(I3685&gt;=6,"High",IF(I3685&gt;=3,"Medium","Low"))</f>
        <v>Low</v>
      </c>
    </row>
    <row r="3686" customFormat="false" ht="15" hidden="false" customHeight="true" outlineLevel="0" collapsed="false">
      <c r="A3686" s="2" t="n">
        <f aca="false">'Raw Data'!H3686</f>
        <v>3685</v>
      </c>
      <c r="B3686" s="2" t="n">
        <f aca="false">'Raw Data'!A3686</f>
        <v>35</v>
      </c>
      <c r="C3686" s="2" t="str">
        <f aca="false">'Raw Data'!D3686</f>
        <v>Research &amp; Development</v>
      </c>
      <c r="D3686" s="2" t="str">
        <f aca="false">'Raw Data'!K3686</f>
        <v>Research Director</v>
      </c>
      <c r="E3686" s="2" t="n">
        <f aca="false">'Raw Data'!Q3686</f>
        <v>10</v>
      </c>
      <c r="F3686" s="2" t="n">
        <f aca="false">'Raw Data'!U3686</f>
        <v>2</v>
      </c>
      <c r="G3686" s="2" t="n">
        <f aca="false">'Raw Data'!W3686</f>
        <v>4</v>
      </c>
      <c r="H3686" s="2" t="n">
        <f aca="false">'Raw Data'!V3686</f>
        <v>3</v>
      </c>
      <c r="I3686" s="2" t="n">
        <f aca="false">IF(AND(ISNUMBER(B3686),B3686&lt;=25),2,0)+IF(AND(ISNUMBER(E3686),E3686&lt;=5),2,0)+IF(AND(ISNUMBER(F3686),F3686&lt;=1),2,0)+IF(AND(ISNUMBER(G3686),G3686&lt;=2),1,0)+IF(AND(ISNUMBER(H3686),H3686&lt;=2),1,0)</f>
        <v>0</v>
      </c>
      <c r="J3686" s="2" t="str">
        <f aca="false">IF(I3686&gt;=6,"High",IF(I3686&gt;=3,"Medium","Low"))</f>
        <v>Low</v>
      </c>
    </row>
    <row r="3687" customFormat="false" ht="15" hidden="false" customHeight="true" outlineLevel="0" collapsed="false">
      <c r="A3687" s="2" t="n">
        <f aca="false">'Raw Data'!H3687</f>
        <v>3686</v>
      </c>
      <c r="B3687" s="2" t="n">
        <f aca="false">'Raw Data'!A3687</f>
        <v>25</v>
      </c>
      <c r="C3687" s="2" t="str">
        <f aca="false">'Raw Data'!D3687</f>
        <v>Research &amp; Development</v>
      </c>
      <c r="D3687" s="2" t="str">
        <f aca="false">'Raw Data'!K3687</f>
        <v>Sales Executive</v>
      </c>
      <c r="E3687" s="2" t="n">
        <f aca="false">'Raw Data'!Q3687</f>
        <v>7</v>
      </c>
      <c r="F3687" s="2" t="n">
        <f aca="false">'Raw Data'!U3687</f>
        <v>2</v>
      </c>
      <c r="G3687" s="2" t="n">
        <f aca="false">'Raw Data'!W3687</f>
        <v>4</v>
      </c>
      <c r="H3687" s="2" t="n">
        <f aca="false">'Raw Data'!V3687</f>
        <v>1</v>
      </c>
      <c r="I3687" s="2" t="n">
        <f aca="false">IF(AND(ISNUMBER(B3687),B3687&lt;=25),2,0)+IF(AND(ISNUMBER(E3687),E3687&lt;=5),2,0)+IF(AND(ISNUMBER(F3687),F3687&lt;=1),2,0)+IF(AND(ISNUMBER(G3687),G3687&lt;=2),1,0)+IF(AND(ISNUMBER(H3687),H3687&lt;=2),1,0)</f>
        <v>3</v>
      </c>
      <c r="J3687" s="2" t="str">
        <f aca="false">IF(I3687&gt;=6,"High",IF(I3687&gt;=3,"Medium","Low"))</f>
        <v>Medium</v>
      </c>
    </row>
    <row r="3688" customFormat="false" ht="15" hidden="false" customHeight="true" outlineLevel="0" collapsed="false">
      <c r="A3688" s="2" t="n">
        <f aca="false">'Raw Data'!H3688</f>
        <v>3687</v>
      </c>
      <c r="B3688" s="2" t="n">
        <f aca="false">'Raw Data'!A3688</f>
        <v>26</v>
      </c>
      <c r="C3688" s="2" t="str">
        <f aca="false">'Raw Data'!D3688</f>
        <v>Research &amp; Development</v>
      </c>
      <c r="D3688" s="2" t="str">
        <f aca="false">'Raw Data'!K3688</f>
        <v>Research Scientist</v>
      </c>
      <c r="E3688" s="2" t="n">
        <f aca="false">'Raw Data'!Q3688</f>
        <v>8</v>
      </c>
      <c r="F3688" s="2" t="n">
        <f aca="false">'Raw Data'!U3688</f>
        <v>7</v>
      </c>
      <c r="G3688" s="2" t="n">
        <f aca="false">'Raw Data'!W3688</f>
        <v>1</v>
      </c>
      <c r="H3688" s="2" t="n">
        <f aca="false">'Raw Data'!V3688</f>
        <v>3</v>
      </c>
      <c r="I3688" s="2" t="n">
        <f aca="false">IF(AND(ISNUMBER(B3688),B3688&lt;=25),2,0)+IF(AND(ISNUMBER(E3688),E3688&lt;=5),2,0)+IF(AND(ISNUMBER(F3688),F3688&lt;=1),2,0)+IF(AND(ISNUMBER(G3688),G3688&lt;=2),1,0)+IF(AND(ISNUMBER(H3688),H3688&lt;=2),1,0)</f>
        <v>1</v>
      </c>
      <c r="J3688" s="2" t="str">
        <f aca="false">IF(I3688&gt;=6,"High",IF(I3688&gt;=3,"Medium","Low"))</f>
        <v>Low</v>
      </c>
    </row>
    <row r="3689" customFormat="false" ht="15" hidden="false" customHeight="true" outlineLevel="0" collapsed="false">
      <c r="A3689" s="2" t="n">
        <f aca="false">'Raw Data'!H3689</f>
        <v>3688</v>
      </c>
      <c r="B3689" s="2" t="n">
        <f aca="false">'Raw Data'!A3689</f>
        <v>29</v>
      </c>
      <c r="C3689" s="2" t="str">
        <f aca="false">'Raw Data'!D3689</f>
        <v>Sales</v>
      </c>
      <c r="D3689" s="2" t="str">
        <f aca="false">'Raw Data'!K3689</f>
        <v>Laboratory Technician</v>
      </c>
      <c r="E3689" s="2" t="n">
        <f aca="false">'Raw Data'!Q3689</f>
        <v>10</v>
      </c>
      <c r="F3689" s="2" t="n">
        <f aca="false">'Raw Data'!U3689</f>
        <v>9</v>
      </c>
      <c r="G3689" s="2" t="n">
        <f aca="false">'Raw Data'!W3689</f>
        <v>1</v>
      </c>
      <c r="H3689" s="2" t="n">
        <f aca="false">'Raw Data'!V3689</f>
        <v>2</v>
      </c>
      <c r="I3689" s="2" t="n">
        <f aca="false">IF(AND(ISNUMBER(B3689),B3689&lt;=25),2,0)+IF(AND(ISNUMBER(E3689),E3689&lt;=5),2,0)+IF(AND(ISNUMBER(F3689),F3689&lt;=1),2,0)+IF(AND(ISNUMBER(G3689),G3689&lt;=2),1,0)+IF(AND(ISNUMBER(H3689),H3689&lt;=2),1,0)</f>
        <v>2</v>
      </c>
      <c r="J3689" s="2" t="str">
        <f aca="false">IF(I3689&gt;=6,"High",IF(I3689&gt;=3,"Medium","Low"))</f>
        <v>Low</v>
      </c>
    </row>
    <row r="3690" customFormat="false" ht="15" hidden="false" customHeight="true" outlineLevel="0" collapsed="false">
      <c r="A3690" s="2" t="n">
        <f aca="false">'Raw Data'!H3690</f>
        <v>3689</v>
      </c>
      <c r="B3690" s="2" t="n">
        <f aca="false">'Raw Data'!A3690</f>
        <v>49</v>
      </c>
      <c r="C3690" s="2" t="str">
        <f aca="false">'Raw Data'!D3690</f>
        <v>Sales</v>
      </c>
      <c r="D3690" s="2" t="str">
        <f aca="false">'Raw Data'!K3690</f>
        <v>Healthcare Representative</v>
      </c>
      <c r="E3690" s="2" t="n">
        <f aca="false">'Raw Data'!Q3690</f>
        <v>20</v>
      </c>
      <c r="F3690" s="2" t="n">
        <f aca="false">'Raw Data'!U3690</f>
        <v>3</v>
      </c>
      <c r="G3690" s="2" t="n">
        <f aca="false">'Raw Data'!W3690</f>
        <v>1</v>
      </c>
      <c r="H3690" s="2" t="n">
        <f aca="false">'Raw Data'!V3690</f>
        <v>1</v>
      </c>
      <c r="I3690" s="2" t="n">
        <f aca="false">IF(AND(ISNUMBER(B3690),B3690&lt;=25),2,0)+IF(AND(ISNUMBER(E3690),E3690&lt;=5),2,0)+IF(AND(ISNUMBER(F3690),F3690&lt;=1),2,0)+IF(AND(ISNUMBER(G3690),G3690&lt;=2),1,0)+IF(AND(ISNUMBER(H3690),H3690&lt;=2),1,0)</f>
        <v>2</v>
      </c>
      <c r="J3690" s="2" t="str">
        <f aca="false">IF(I3690&gt;=6,"High",IF(I3690&gt;=3,"Medium","Low"))</f>
        <v>Low</v>
      </c>
    </row>
    <row r="3691" customFormat="false" ht="15" hidden="false" customHeight="true" outlineLevel="0" collapsed="false">
      <c r="A3691" s="2" t="n">
        <f aca="false">'Raw Data'!H3691</f>
        <v>3690</v>
      </c>
      <c r="B3691" s="2" t="n">
        <f aca="false">'Raw Data'!A3691</f>
        <v>29</v>
      </c>
      <c r="C3691" s="2" t="str">
        <f aca="false">'Raw Data'!D3691</f>
        <v>Sales</v>
      </c>
      <c r="D3691" s="2" t="str">
        <f aca="false">'Raw Data'!K3691</f>
        <v>Laboratory Technician</v>
      </c>
      <c r="E3691" s="2" t="n">
        <f aca="false">'Raw Data'!Q3691</f>
        <v>9</v>
      </c>
      <c r="F3691" s="2" t="n">
        <f aca="false">'Raw Data'!U3691</f>
        <v>7</v>
      </c>
      <c r="G3691" s="2" t="n">
        <f aca="false">'Raw Data'!W3691</f>
        <v>4</v>
      </c>
      <c r="H3691" s="2" t="n">
        <f aca="false">'Raw Data'!V3691</f>
        <v>3</v>
      </c>
      <c r="I3691" s="2" t="n">
        <f aca="false">IF(AND(ISNUMBER(B3691),B3691&lt;=25),2,0)+IF(AND(ISNUMBER(E3691),E3691&lt;=5),2,0)+IF(AND(ISNUMBER(F3691),F3691&lt;=1),2,0)+IF(AND(ISNUMBER(G3691),G3691&lt;=2),1,0)+IF(AND(ISNUMBER(H3691),H3691&lt;=2),1,0)</f>
        <v>0</v>
      </c>
      <c r="J3691" s="2" t="str">
        <f aca="false">IF(I3691&gt;=6,"High",IF(I3691&gt;=3,"Medium","Low"))</f>
        <v>Low</v>
      </c>
    </row>
    <row r="3692" customFormat="false" ht="15" hidden="false" customHeight="true" outlineLevel="0" collapsed="false">
      <c r="A3692" s="2" t="n">
        <f aca="false">'Raw Data'!H3692</f>
        <v>3691</v>
      </c>
      <c r="B3692" s="2" t="n">
        <f aca="false">'Raw Data'!A3692</f>
        <v>54</v>
      </c>
      <c r="C3692" s="2" t="str">
        <f aca="false">'Raw Data'!D3692</f>
        <v>Sales</v>
      </c>
      <c r="D3692" s="2" t="str">
        <f aca="false">'Raw Data'!K3692</f>
        <v>Manager</v>
      </c>
      <c r="E3692" s="2" t="n">
        <f aca="false">'Raw Data'!Q3692</f>
        <v>29</v>
      </c>
      <c r="F3692" s="2" t="n">
        <f aca="false">'Raw Data'!U3692</f>
        <v>7</v>
      </c>
      <c r="G3692" s="2" t="n">
        <f aca="false">'Raw Data'!W3692</f>
        <v>4</v>
      </c>
      <c r="H3692" s="2" t="n">
        <f aca="false">'Raw Data'!V3692</f>
        <v>4</v>
      </c>
      <c r="I3692" s="2" t="n">
        <f aca="false">IF(AND(ISNUMBER(B3692),B3692&lt;=25),2,0)+IF(AND(ISNUMBER(E3692),E3692&lt;=5),2,0)+IF(AND(ISNUMBER(F3692),F3692&lt;=1),2,0)+IF(AND(ISNUMBER(G3692),G3692&lt;=2),1,0)+IF(AND(ISNUMBER(H3692),H3692&lt;=2),1,0)</f>
        <v>0</v>
      </c>
      <c r="J3692" s="2" t="str">
        <f aca="false">IF(I3692&gt;=6,"High",IF(I3692&gt;=3,"Medium","Low"))</f>
        <v>Low</v>
      </c>
    </row>
    <row r="3693" customFormat="false" ht="15" hidden="false" customHeight="true" outlineLevel="0" collapsed="false">
      <c r="A3693" s="2" t="n">
        <f aca="false">'Raw Data'!H3693</f>
        <v>3692</v>
      </c>
      <c r="B3693" s="2" t="n">
        <f aca="false">'Raw Data'!A3693</f>
        <v>58</v>
      </c>
      <c r="C3693" s="2" t="str">
        <f aca="false">'Raw Data'!D3693</f>
        <v>Sales</v>
      </c>
      <c r="D3693" s="2" t="str">
        <f aca="false">'Raw Data'!K3693</f>
        <v>Laboratory Technician</v>
      </c>
      <c r="E3693" s="2" t="n">
        <f aca="false">'Raw Data'!Q3693</f>
        <v>32</v>
      </c>
      <c r="F3693" s="2" t="n">
        <f aca="false">'Raw Data'!U3693</f>
        <v>5</v>
      </c>
      <c r="G3693" s="2" t="n">
        <f aca="false">'Raw Data'!W3693</f>
        <v>1</v>
      </c>
      <c r="H3693" s="2" t="n">
        <f aca="false">'Raw Data'!V3693</f>
        <v>4</v>
      </c>
      <c r="I3693" s="2" t="n">
        <f aca="false">IF(AND(ISNUMBER(B3693),B3693&lt;=25),2,0)+IF(AND(ISNUMBER(E3693),E3693&lt;=5),2,0)+IF(AND(ISNUMBER(F3693),F3693&lt;=1),2,0)+IF(AND(ISNUMBER(G3693),G3693&lt;=2),1,0)+IF(AND(ISNUMBER(H3693),H3693&lt;=2),1,0)</f>
        <v>1</v>
      </c>
      <c r="J3693" s="2" t="str">
        <f aca="false">IF(I3693&gt;=6,"High",IF(I3693&gt;=3,"Medium","Low"))</f>
        <v>Low</v>
      </c>
    </row>
    <row r="3694" customFormat="false" ht="15" hidden="false" customHeight="true" outlineLevel="0" collapsed="false">
      <c r="A3694" s="2" t="n">
        <f aca="false">'Raw Data'!H3694</f>
        <v>3693</v>
      </c>
      <c r="B3694" s="2" t="n">
        <f aca="false">'Raw Data'!A3694</f>
        <v>55</v>
      </c>
      <c r="C3694" s="2" t="str">
        <f aca="false">'Raw Data'!D3694</f>
        <v>Research &amp; Development</v>
      </c>
      <c r="D3694" s="2" t="str">
        <f aca="false">'Raw Data'!K3694</f>
        <v>Research Scientist</v>
      </c>
      <c r="E3694" s="2" t="n">
        <f aca="false">'Raw Data'!Q3694</f>
        <v>31</v>
      </c>
      <c r="F3694" s="2" t="n">
        <f aca="false">'Raw Data'!U3694</f>
        <v>0</v>
      </c>
      <c r="G3694" s="2" t="n">
        <f aca="false">'Raw Data'!W3694</f>
        <v>4</v>
      </c>
      <c r="H3694" s="2" t="n">
        <f aca="false">'Raw Data'!V3694</f>
        <v>2</v>
      </c>
      <c r="I3694" s="2" t="n">
        <f aca="false">IF(AND(ISNUMBER(B3694),B3694&lt;=25),2,0)+IF(AND(ISNUMBER(E3694),E3694&lt;=5),2,0)+IF(AND(ISNUMBER(F3694),F3694&lt;=1),2,0)+IF(AND(ISNUMBER(G3694),G3694&lt;=2),1,0)+IF(AND(ISNUMBER(H3694),H3694&lt;=2),1,0)</f>
        <v>3</v>
      </c>
      <c r="J3694" s="2" t="str">
        <f aca="false">IF(I3694&gt;=6,"High",IF(I3694&gt;=3,"Medium","Low"))</f>
        <v>Medium</v>
      </c>
    </row>
    <row r="3695" customFormat="false" ht="15" hidden="false" customHeight="true" outlineLevel="0" collapsed="false">
      <c r="A3695" s="2" t="n">
        <f aca="false">'Raw Data'!H3695</f>
        <v>3694</v>
      </c>
      <c r="B3695" s="2" t="n">
        <f aca="false">'Raw Data'!A3695</f>
        <v>36</v>
      </c>
      <c r="C3695" s="2" t="str">
        <f aca="false">'Raw Data'!D3695</f>
        <v>Research &amp; Development</v>
      </c>
      <c r="D3695" s="2" t="str">
        <f aca="false">'Raw Data'!K3695</f>
        <v>Sales Executive</v>
      </c>
      <c r="E3695" s="2" t="n">
        <f aca="false">'Raw Data'!Q3695</f>
        <v>15</v>
      </c>
      <c r="F3695" s="2" t="n">
        <f aca="false">'Raw Data'!U3695</f>
        <v>1</v>
      </c>
      <c r="G3695" s="2" t="n">
        <f aca="false">'Raw Data'!W3695</f>
        <v>2</v>
      </c>
      <c r="H3695" s="2" t="n">
        <f aca="false">'Raw Data'!V3695</f>
        <v>1</v>
      </c>
      <c r="I3695" s="2" t="n">
        <f aca="false">IF(AND(ISNUMBER(B3695),B3695&lt;=25),2,0)+IF(AND(ISNUMBER(E3695),E3695&lt;=5),2,0)+IF(AND(ISNUMBER(F3695),F3695&lt;=1),2,0)+IF(AND(ISNUMBER(G3695),G3695&lt;=2),1,0)+IF(AND(ISNUMBER(H3695),H3695&lt;=2),1,0)</f>
        <v>4</v>
      </c>
      <c r="J3695" s="2" t="str">
        <f aca="false">IF(I3695&gt;=6,"High",IF(I3695&gt;=3,"Medium","Low"))</f>
        <v>Medium</v>
      </c>
    </row>
    <row r="3696" customFormat="false" ht="15" hidden="false" customHeight="true" outlineLevel="0" collapsed="false">
      <c r="A3696" s="2" t="n">
        <f aca="false">'Raw Data'!H3696</f>
        <v>3695</v>
      </c>
      <c r="B3696" s="2" t="n">
        <f aca="false">'Raw Data'!A3696</f>
        <v>31</v>
      </c>
      <c r="C3696" s="2" t="str">
        <f aca="false">'Raw Data'!D3696</f>
        <v>Sales</v>
      </c>
      <c r="D3696" s="2" t="str">
        <f aca="false">'Raw Data'!K3696</f>
        <v>Manager</v>
      </c>
      <c r="E3696" s="2" t="n">
        <f aca="false">'Raw Data'!Q3696</f>
        <v>1</v>
      </c>
      <c r="F3696" s="2" t="n">
        <f aca="false">'Raw Data'!U3696</f>
        <v>0</v>
      </c>
      <c r="G3696" s="2" t="n">
        <f aca="false">'Raw Data'!W3696</f>
        <v>3</v>
      </c>
      <c r="H3696" s="2" t="n">
        <f aca="false">'Raw Data'!V3696</f>
        <v>2</v>
      </c>
      <c r="I3696" s="2" t="n">
        <f aca="false">IF(AND(ISNUMBER(B3696),B3696&lt;=25),2,0)+IF(AND(ISNUMBER(E3696),E3696&lt;=5),2,0)+IF(AND(ISNUMBER(F3696),F3696&lt;=1),2,0)+IF(AND(ISNUMBER(G3696),G3696&lt;=2),1,0)+IF(AND(ISNUMBER(H3696),H3696&lt;=2),1,0)</f>
        <v>5</v>
      </c>
      <c r="J3696" s="2" t="str">
        <f aca="false">IF(I3696&gt;=6,"High",IF(I3696&gt;=3,"Medium","Low"))</f>
        <v>Medium</v>
      </c>
    </row>
    <row r="3697" customFormat="false" ht="15" hidden="false" customHeight="true" outlineLevel="0" collapsed="false">
      <c r="A3697" s="2" t="n">
        <f aca="false">'Raw Data'!H3697</f>
        <v>3696</v>
      </c>
      <c r="B3697" s="2" t="n">
        <f aca="false">'Raw Data'!A3697</f>
        <v>30</v>
      </c>
      <c r="C3697" s="2" t="str">
        <f aca="false">'Raw Data'!D3697</f>
        <v>Sales</v>
      </c>
      <c r="D3697" s="2" t="str">
        <f aca="false">'Raw Data'!K3697</f>
        <v>Sales Executive</v>
      </c>
      <c r="E3697" s="2" t="n">
        <f aca="false">'Raw Data'!Q3697</f>
        <v>8</v>
      </c>
      <c r="F3697" s="2" t="n">
        <f aca="false">'Raw Data'!U3697</f>
        <v>2</v>
      </c>
      <c r="G3697" s="2" t="n">
        <f aca="false">'Raw Data'!W3697</f>
        <v>1</v>
      </c>
      <c r="H3697" s="2" t="n">
        <f aca="false">'Raw Data'!V3697</f>
        <v>4</v>
      </c>
      <c r="I3697" s="2" t="n">
        <f aca="false">IF(AND(ISNUMBER(B3697),B3697&lt;=25),2,0)+IF(AND(ISNUMBER(E3697),E3697&lt;=5),2,0)+IF(AND(ISNUMBER(F3697),F3697&lt;=1),2,0)+IF(AND(ISNUMBER(G3697),G3697&lt;=2),1,0)+IF(AND(ISNUMBER(H3697),H3697&lt;=2),1,0)</f>
        <v>1</v>
      </c>
      <c r="J3697" s="2" t="str">
        <f aca="false">IF(I3697&gt;=6,"High",IF(I3697&gt;=3,"Medium","Low"))</f>
        <v>Low</v>
      </c>
    </row>
    <row r="3698" customFormat="false" ht="15" hidden="false" customHeight="true" outlineLevel="0" collapsed="false">
      <c r="A3698" s="2" t="n">
        <f aca="false">'Raw Data'!H3698</f>
        <v>3697</v>
      </c>
      <c r="B3698" s="2" t="n">
        <f aca="false">'Raw Data'!A3698</f>
        <v>31</v>
      </c>
      <c r="C3698" s="2" t="str">
        <f aca="false">'Raw Data'!D3698</f>
        <v>Research &amp; Development</v>
      </c>
      <c r="D3698" s="2" t="str">
        <f aca="false">'Raw Data'!K3698</f>
        <v>Laboratory Technician</v>
      </c>
      <c r="E3698" s="2" t="n">
        <f aca="false">'Raw Data'!Q3698</f>
        <v>9</v>
      </c>
      <c r="F3698" s="2" t="n">
        <f aca="false">'Raw Data'!U3698</f>
        <v>0</v>
      </c>
      <c r="G3698" s="2" t="n">
        <f aca="false">'Raw Data'!W3698</f>
        <v>2</v>
      </c>
      <c r="H3698" s="2" t="n">
        <f aca="false">'Raw Data'!V3698</f>
        <v>1</v>
      </c>
      <c r="I3698" s="2" t="n">
        <f aca="false">IF(AND(ISNUMBER(B3698),B3698&lt;=25),2,0)+IF(AND(ISNUMBER(E3698),E3698&lt;=5),2,0)+IF(AND(ISNUMBER(F3698),F3698&lt;=1),2,0)+IF(AND(ISNUMBER(G3698),G3698&lt;=2),1,0)+IF(AND(ISNUMBER(H3698),H3698&lt;=2),1,0)</f>
        <v>4</v>
      </c>
      <c r="J3698" s="2" t="str">
        <f aca="false">IF(I3698&gt;=6,"High",IF(I3698&gt;=3,"Medium","Low"))</f>
        <v>Medium</v>
      </c>
    </row>
    <row r="3699" customFormat="false" ht="15" hidden="false" customHeight="true" outlineLevel="0" collapsed="false">
      <c r="A3699" s="2" t="n">
        <f aca="false">'Raw Data'!H3699</f>
        <v>3698</v>
      </c>
      <c r="B3699" s="2" t="n">
        <f aca="false">'Raw Data'!A3699</f>
        <v>34</v>
      </c>
      <c r="C3699" s="2" t="str">
        <f aca="false">'Raw Data'!D3699</f>
        <v>Sales</v>
      </c>
      <c r="D3699" s="2" t="str">
        <f aca="false">'Raw Data'!K3699</f>
        <v>Manager</v>
      </c>
      <c r="E3699" s="2" t="n">
        <f aca="false">'Raw Data'!Q3699</f>
        <v>10</v>
      </c>
      <c r="F3699" s="2" t="n">
        <f aca="false">'Raw Data'!U3699</f>
        <v>3</v>
      </c>
      <c r="G3699" s="2" t="n">
        <f aca="false">'Raw Data'!W3699</f>
        <v>1</v>
      </c>
      <c r="H3699" s="2" t="n">
        <f aca="false">'Raw Data'!V3699</f>
        <v>4</v>
      </c>
      <c r="I3699" s="2" t="n">
        <f aca="false">IF(AND(ISNUMBER(B3699),B3699&lt;=25),2,0)+IF(AND(ISNUMBER(E3699),E3699&lt;=5),2,0)+IF(AND(ISNUMBER(F3699),F3699&lt;=1),2,0)+IF(AND(ISNUMBER(G3699),G3699&lt;=2),1,0)+IF(AND(ISNUMBER(H3699),H3699&lt;=2),1,0)</f>
        <v>1</v>
      </c>
      <c r="J3699" s="2" t="str">
        <f aca="false">IF(I3699&gt;=6,"High",IF(I3699&gt;=3,"Medium","Low"))</f>
        <v>Low</v>
      </c>
    </row>
    <row r="3700" customFormat="false" ht="15" hidden="false" customHeight="true" outlineLevel="0" collapsed="false">
      <c r="A3700" s="2" t="n">
        <f aca="false">'Raw Data'!H3700</f>
        <v>3699</v>
      </c>
      <c r="B3700" s="2" t="n">
        <f aca="false">'Raw Data'!A3700</f>
        <v>31</v>
      </c>
      <c r="C3700" s="2" t="str">
        <f aca="false">'Raw Data'!D3700</f>
        <v>Sales</v>
      </c>
      <c r="D3700" s="2" t="str">
        <f aca="false">'Raw Data'!K3700</f>
        <v>Research Scientist</v>
      </c>
      <c r="E3700" s="2" t="n">
        <f aca="false">'Raw Data'!Q3700</f>
        <v>1</v>
      </c>
      <c r="F3700" s="2" t="n">
        <f aca="false">'Raw Data'!U3700</f>
        <v>0</v>
      </c>
      <c r="G3700" s="2" t="n">
        <f aca="false">'Raw Data'!W3700</f>
        <v>2</v>
      </c>
      <c r="H3700" s="2" t="n">
        <f aca="false">'Raw Data'!V3700</f>
        <v>1</v>
      </c>
      <c r="I3700" s="2" t="n">
        <f aca="false">IF(AND(ISNUMBER(B3700),B3700&lt;=25),2,0)+IF(AND(ISNUMBER(E3700),E3700&lt;=5),2,0)+IF(AND(ISNUMBER(F3700),F3700&lt;=1),2,0)+IF(AND(ISNUMBER(G3700),G3700&lt;=2),1,0)+IF(AND(ISNUMBER(H3700),H3700&lt;=2),1,0)</f>
        <v>6</v>
      </c>
      <c r="J3700" s="2" t="str">
        <f aca="false">IF(I3700&gt;=6,"High",IF(I3700&gt;=3,"Medium","Low"))</f>
        <v>High</v>
      </c>
    </row>
    <row r="3701" customFormat="false" ht="15" hidden="false" customHeight="true" outlineLevel="0" collapsed="false">
      <c r="A3701" s="2" t="n">
        <f aca="false">'Raw Data'!H3701</f>
        <v>3700</v>
      </c>
      <c r="B3701" s="2" t="n">
        <f aca="false">'Raw Data'!A3701</f>
        <v>27</v>
      </c>
      <c r="C3701" s="2" t="str">
        <f aca="false">'Raw Data'!D3701</f>
        <v>Human Resources</v>
      </c>
      <c r="D3701" s="2" t="str">
        <f aca="false">'Raw Data'!K3701</f>
        <v>Sales Executive</v>
      </c>
      <c r="E3701" s="2" t="n">
        <f aca="false">'Raw Data'!Q3701</f>
        <v>6</v>
      </c>
      <c r="F3701" s="2" t="n">
        <f aca="false">'Raw Data'!U3701</f>
        <v>4</v>
      </c>
      <c r="G3701" s="2" t="n">
        <f aca="false">'Raw Data'!W3701</f>
        <v>1</v>
      </c>
      <c r="H3701" s="2" t="n">
        <f aca="false">'Raw Data'!V3701</f>
        <v>2</v>
      </c>
      <c r="I3701" s="2" t="n">
        <f aca="false">IF(AND(ISNUMBER(B3701),B3701&lt;=25),2,0)+IF(AND(ISNUMBER(E3701),E3701&lt;=5),2,0)+IF(AND(ISNUMBER(F3701),F3701&lt;=1),2,0)+IF(AND(ISNUMBER(G3701),G3701&lt;=2),1,0)+IF(AND(ISNUMBER(H3701),H3701&lt;=2),1,0)</f>
        <v>2</v>
      </c>
      <c r="J3701" s="2" t="str">
        <f aca="false">IF(I3701&gt;=6,"High",IF(I3701&gt;=3,"Medium","Low"))</f>
        <v>Low</v>
      </c>
    </row>
    <row r="3702" customFormat="false" ht="15" hidden="false" customHeight="true" outlineLevel="0" collapsed="false">
      <c r="A3702" s="2" t="n">
        <f aca="false">'Raw Data'!H3702</f>
        <v>3701</v>
      </c>
      <c r="B3702" s="2" t="n">
        <f aca="false">'Raw Data'!A3702</f>
        <v>36</v>
      </c>
      <c r="C3702" s="2" t="str">
        <f aca="false">'Raw Data'!D3702</f>
        <v>Sales</v>
      </c>
      <c r="D3702" s="2" t="str">
        <f aca="false">'Raw Data'!K3702</f>
        <v>Research Scientist</v>
      </c>
      <c r="E3702" s="2" t="n">
        <f aca="false">'Raw Data'!Q3702</f>
        <v>10</v>
      </c>
      <c r="F3702" s="2" t="n">
        <f aca="false">'Raw Data'!U3702</f>
        <v>8</v>
      </c>
      <c r="G3702" s="2" t="n">
        <f aca="false">'Raw Data'!W3702</f>
        <v>4</v>
      </c>
      <c r="H3702" s="2" t="n">
        <f aca="false">'Raw Data'!V3702</f>
        <v>1</v>
      </c>
      <c r="I3702" s="2" t="n">
        <f aca="false">IF(AND(ISNUMBER(B3702),B3702&lt;=25),2,0)+IF(AND(ISNUMBER(E3702),E3702&lt;=5),2,0)+IF(AND(ISNUMBER(F3702),F3702&lt;=1),2,0)+IF(AND(ISNUMBER(G3702),G3702&lt;=2),1,0)+IF(AND(ISNUMBER(H3702),H3702&lt;=2),1,0)</f>
        <v>1</v>
      </c>
      <c r="J3702" s="2" t="str">
        <f aca="false">IF(I3702&gt;=6,"High",IF(I3702&gt;=3,"Medium","Low"))</f>
        <v>Low</v>
      </c>
    </row>
    <row r="3703" customFormat="false" ht="15" hidden="false" customHeight="true" outlineLevel="0" collapsed="false">
      <c r="A3703" s="2" t="n">
        <f aca="false">'Raw Data'!H3703</f>
        <v>3702</v>
      </c>
      <c r="B3703" s="2" t="n">
        <f aca="false">'Raw Data'!A3703</f>
        <v>36</v>
      </c>
      <c r="C3703" s="2" t="str">
        <f aca="false">'Raw Data'!D3703</f>
        <v>Research &amp; Development</v>
      </c>
      <c r="D3703" s="2" t="str">
        <f aca="false">'Raw Data'!K3703</f>
        <v>Research Director</v>
      </c>
      <c r="E3703" s="2" t="n">
        <f aca="false">'Raw Data'!Q3703</f>
        <v>11</v>
      </c>
      <c r="F3703" s="2" t="n">
        <f aca="false">'Raw Data'!U3703</f>
        <v>2</v>
      </c>
      <c r="G3703" s="2" t="n">
        <f aca="false">'Raw Data'!W3703</f>
        <v>1</v>
      </c>
      <c r="H3703" s="2" t="n">
        <f aca="false">'Raw Data'!V3703</f>
        <v>3</v>
      </c>
      <c r="I3703" s="2" t="n">
        <f aca="false">IF(AND(ISNUMBER(B3703),B3703&lt;=25),2,0)+IF(AND(ISNUMBER(E3703),E3703&lt;=5),2,0)+IF(AND(ISNUMBER(F3703),F3703&lt;=1),2,0)+IF(AND(ISNUMBER(G3703),G3703&lt;=2),1,0)+IF(AND(ISNUMBER(H3703),H3703&lt;=2),1,0)</f>
        <v>1</v>
      </c>
      <c r="J3703" s="2" t="str">
        <f aca="false">IF(I3703&gt;=6,"High",IF(I3703&gt;=3,"Medium","Low"))</f>
        <v>Low</v>
      </c>
    </row>
    <row r="3704" customFormat="false" ht="15" hidden="false" customHeight="true" outlineLevel="0" collapsed="false">
      <c r="A3704" s="2" t="n">
        <f aca="false">'Raw Data'!H3704</f>
        <v>3703</v>
      </c>
      <c r="B3704" s="2" t="n">
        <f aca="false">'Raw Data'!A3704</f>
        <v>47</v>
      </c>
      <c r="C3704" s="2" t="str">
        <f aca="false">'Raw Data'!D3704</f>
        <v>Research &amp; Development</v>
      </c>
      <c r="D3704" s="2" t="str">
        <f aca="false">'Raw Data'!K3704</f>
        <v>Sales Executive</v>
      </c>
      <c r="E3704" s="2" t="n">
        <f aca="false">'Raw Data'!Q3704</f>
        <v>17</v>
      </c>
      <c r="F3704" s="2" t="n">
        <f aca="false">'Raw Data'!U3704</f>
        <v>2</v>
      </c>
      <c r="G3704" s="2" t="n">
        <f aca="false">'Raw Data'!W3704</f>
        <v>4</v>
      </c>
      <c r="H3704" s="2" t="n">
        <f aca="false">'Raw Data'!V3704</f>
        <v>1</v>
      </c>
      <c r="I3704" s="2" t="n">
        <f aca="false">IF(AND(ISNUMBER(B3704),B3704&lt;=25),2,0)+IF(AND(ISNUMBER(E3704),E3704&lt;=5),2,0)+IF(AND(ISNUMBER(F3704),F3704&lt;=1),2,0)+IF(AND(ISNUMBER(G3704),G3704&lt;=2),1,0)+IF(AND(ISNUMBER(H3704),H3704&lt;=2),1,0)</f>
        <v>1</v>
      </c>
      <c r="J3704" s="2" t="str">
        <f aca="false">IF(I3704&gt;=6,"High",IF(I3704&gt;=3,"Medium","Low"))</f>
        <v>Low</v>
      </c>
    </row>
    <row r="3705" customFormat="false" ht="15" hidden="false" customHeight="true" outlineLevel="0" collapsed="false">
      <c r="A3705" s="2" t="n">
        <f aca="false">'Raw Data'!H3705</f>
        <v>3704</v>
      </c>
      <c r="B3705" s="2" t="n">
        <f aca="false">'Raw Data'!A3705</f>
        <v>25</v>
      </c>
      <c r="C3705" s="2" t="str">
        <f aca="false">'Raw Data'!D3705</f>
        <v>Sales</v>
      </c>
      <c r="D3705" s="2" t="str">
        <f aca="false">'Raw Data'!K3705</f>
        <v>Research Scientist</v>
      </c>
      <c r="E3705" s="2" t="n">
        <f aca="false">'Raw Data'!Q3705</f>
        <v>6</v>
      </c>
      <c r="F3705" s="2" t="n">
        <f aca="false">'Raw Data'!U3705</f>
        <v>2</v>
      </c>
      <c r="G3705" s="2" t="n">
        <f aca="false">'Raw Data'!W3705</f>
        <v>1</v>
      </c>
      <c r="H3705" s="2" t="n">
        <f aca="false">'Raw Data'!V3705</f>
        <v>1</v>
      </c>
      <c r="I3705" s="2" t="n">
        <f aca="false">IF(AND(ISNUMBER(B3705),B3705&lt;=25),2,0)+IF(AND(ISNUMBER(E3705),E3705&lt;=5),2,0)+IF(AND(ISNUMBER(F3705),F3705&lt;=1),2,0)+IF(AND(ISNUMBER(G3705),G3705&lt;=2),1,0)+IF(AND(ISNUMBER(H3705),H3705&lt;=2),1,0)</f>
        <v>4</v>
      </c>
      <c r="J3705" s="2" t="str">
        <f aca="false">IF(I3705&gt;=6,"High",IF(I3705&gt;=3,"Medium","Low"))</f>
        <v>Medium</v>
      </c>
    </row>
    <row r="3706" customFormat="false" ht="15" hidden="false" customHeight="true" outlineLevel="0" collapsed="false">
      <c r="A3706" s="2" t="n">
        <f aca="false">'Raw Data'!H3706</f>
        <v>3705</v>
      </c>
      <c r="B3706" s="2" t="n">
        <f aca="false">'Raw Data'!A3706</f>
        <v>37</v>
      </c>
      <c r="C3706" s="2" t="str">
        <f aca="false">'Raw Data'!D3706</f>
        <v>Sales</v>
      </c>
      <c r="D3706" s="2" t="str">
        <f aca="false">'Raw Data'!K3706</f>
        <v>Healthcare Representative</v>
      </c>
      <c r="E3706" s="2" t="n">
        <f aca="false">'Raw Data'!Q3706</f>
        <v>7</v>
      </c>
      <c r="F3706" s="2" t="n">
        <f aca="false">'Raw Data'!U3706</f>
        <v>3</v>
      </c>
      <c r="G3706" s="2" t="n">
        <f aca="false">'Raw Data'!W3706</f>
        <v>3</v>
      </c>
      <c r="H3706" s="2" t="n">
        <f aca="false">'Raw Data'!V3706</f>
        <v>3</v>
      </c>
      <c r="I3706" s="2" t="n">
        <f aca="false">IF(AND(ISNUMBER(B3706),B3706&lt;=25),2,0)+IF(AND(ISNUMBER(E3706),E3706&lt;=5),2,0)+IF(AND(ISNUMBER(F3706),F3706&lt;=1),2,0)+IF(AND(ISNUMBER(G3706),G3706&lt;=2),1,0)+IF(AND(ISNUMBER(H3706),H3706&lt;=2),1,0)</f>
        <v>0</v>
      </c>
      <c r="J3706" s="2" t="str">
        <f aca="false">IF(I3706&gt;=6,"High",IF(I3706&gt;=3,"Medium","Low"))</f>
        <v>Low</v>
      </c>
    </row>
    <row r="3707" customFormat="false" ht="15" hidden="false" customHeight="true" outlineLevel="0" collapsed="false">
      <c r="A3707" s="2" t="n">
        <f aca="false">'Raw Data'!H3707</f>
        <v>3706</v>
      </c>
      <c r="B3707" s="2" t="n">
        <f aca="false">'Raw Data'!A3707</f>
        <v>56</v>
      </c>
      <c r="C3707" s="2" t="str">
        <f aca="false">'Raw Data'!D3707</f>
        <v>Research &amp; Development</v>
      </c>
      <c r="D3707" s="2" t="str">
        <f aca="false">'Raw Data'!K3707</f>
        <v>Sales Representative</v>
      </c>
      <c r="E3707" s="2" t="n">
        <f aca="false">'Raw Data'!Q3707</f>
        <v>5</v>
      </c>
      <c r="F3707" s="2" t="n">
        <f aca="false">'Raw Data'!U3707</f>
        <v>0</v>
      </c>
      <c r="G3707" s="2" t="n">
        <f aca="false">'Raw Data'!W3707</f>
        <v>1</v>
      </c>
      <c r="H3707" s="2" t="n">
        <f aca="false">'Raw Data'!V3707</f>
        <v>1</v>
      </c>
      <c r="I3707" s="2" t="n">
        <f aca="false">IF(AND(ISNUMBER(B3707),B3707&lt;=25),2,0)+IF(AND(ISNUMBER(E3707),E3707&lt;=5),2,0)+IF(AND(ISNUMBER(F3707),F3707&lt;=1),2,0)+IF(AND(ISNUMBER(G3707),G3707&lt;=2),1,0)+IF(AND(ISNUMBER(H3707),H3707&lt;=2),1,0)</f>
        <v>6</v>
      </c>
      <c r="J3707" s="2" t="str">
        <f aca="false">IF(I3707&gt;=6,"High",IF(I3707&gt;=3,"Medium","Low"))</f>
        <v>High</v>
      </c>
    </row>
    <row r="3708" customFormat="false" ht="15" hidden="false" customHeight="true" outlineLevel="0" collapsed="false">
      <c r="A3708" s="2" t="n">
        <f aca="false">'Raw Data'!H3708</f>
        <v>3707</v>
      </c>
      <c r="B3708" s="2" t="n">
        <f aca="false">'Raw Data'!A3708</f>
        <v>47</v>
      </c>
      <c r="C3708" s="2" t="str">
        <f aca="false">'Raw Data'!D3708</f>
        <v>Research &amp; Development</v>
      </c>
      <c r="D3708" s="2" t="str">
        <f aca="false">'Raw Data'!K3708</f>
        <v>Laboratory Technician</v>
      </c>
      <c r="E3708" s="2" t="n">
        <f aca="false">'Raw Data'!Q3708</f>
        <v>26</v>
      </c>
      <c r="F3708" s="2" t="n">
        <f aca="false">'Raw Data'!U3708</f>
        <v>6</v>
      </c>
      <c r="G3708" s="2" t="n">
        <f aca="false">'Raw Data'!W3708</f>
        <v>3</v>
      </c>
      <c r="H3708" s="2" t="n">
        <f aca="false">'Raw Data'!V3708</f>
        <v>1</v>
      </c>
      <c r="I3708" s="2" t="n">
        <f aca="false">IF(AND(ISNUMBER(B3708),B3708&lt;=25),2,0)+IF(AND(ISNUMBER(E3708),E3708&lt;=5),2,0)+IF(AND(ISNUMBER(F3708),F3708&lt;=1),2,0)+IF(AND(ISNUMBER(G3708),G3708&lt;=2),1,0)+IF(AND(ISNUMBER(H3708),H3708&lt;=2),1,0)</f>
        <v>1</v>
      </c>
      <c r="J3708" s="2" t="str">
        <f aca="false">IF(I3708&gt;=6,"High",IF(I3708&gt;=3,"Medium","Low"))</f>
        <v>Low</v>
      </c>
    </row>
    <row r="3709" customFormat="false" ht="15" hidden="false" customHeight="true" outlineLevel="0" collapsed="false">
      <c r="A3709" s="2" t="n">
        <f aca="false">'Raw Data'!H3709</f>
        <v>3708</v>
      </c>
      <c r="B3709" s="2" t="n">
        <f aca="false">'Raw Data'!A3709</f>
        <v>24</v>
      </c>
      <c r="C3709" s="2" t="str">
        <f aca="false">'Raw Data'!D3709</f>
        <v>Research &amp; Development</v>
      </c>
      <c r="D3709" s="2" t="str">
        <f aca="false">'Raw Data'!K3709</f>
        <v>Manufacturing Director</v>
      </c>
      <c r="E3709" s="2" t="n">
        <f aca="false">'Raw Data'!Q3709</f>
        <v>5</v>
      </c>
      <c r="F3709" s="2" t="n">
        <f aca="false">'Raw Data'!U3709</f>
        <v>3</v>
      </c>
      <c r="G3709" s="2" t="n">
        <f aca="false">'Raw Data'!W3709</f>
        <v>3</v>
      </c>
      <c r="H3709" s="2" t="n">
        <f aca="false">'Raw Data'!V3709</f>
        <v>4</v>
      </c>
      <c r="I3709" s="2" t="n">
        <f aca="false">IF(AND(ISNUMBER(B3709),B3709&lt;=25),2,0)+IF(AND(ISNUMBER(E3709),E3709&lt;=5),2,0)+IF(AND(ISNUMBER(F3709),F3709&lt;=1),2,0)+IF(AND(ISNUMBER(G3709),G3709&lt;=2),1,0)+IF(AND(ISNUMBER(H3709),H3709&lt;=2),1,0)</f>
        <v>4</v>
      </c>
      <c r="J3709" s="2" t="str">
        <f aca="false">IF(I3709&gt;=6,"High",IF(I3709&gt;=3,"Medium","Low"))</f>
        <v>Medium</v>
      </c>
    </row>
    <row r="3710" customFormat="false" ht="15" hidden="false" customHeight="true" outlineLevel="0" collapsed="false">
      <c r="A3710" s="2" t="n">
        <f aca="false">'Raw Data'!H3710</f>
        <v>3709</v>
      </c>
      <c r="B3710" s="2" t="n">
        <f aca="false">'Raw Data'!A3710</f>
        <v>32</v>
      </c>
      <c r="C3710" s="2" t="str">
        <f aca="false">'Raw Data'!D3710</f>
        <v>Sales</v>
      </c>
      <c r="D3710" s="2" t="str">
        <f aca="false">'Raw Data'!K3710</f>
        <v>Research Scientist</v>
      </c>
      <c r="E3710" s="2" t="n">
        <f aca="false">'Raw Data'!Q3710</f>
        <v>7</v>
      </c>
      <c r="F3710" s="2" t="n">
        <f aca="false">'Raw Data'!U3710</f>
        <v>3</v>
      </c>
      <c r="G3710" s="2" t="n">
        <f aca="false">'Raw Data'!W3710</f>
        <v>4</v>
      </c>
      <c r="H3710" s="2" t="n">
        <f aca="false">'Raw Data'!V3710</f>
        <v>4</v>
      </c>
      <c r="I3710" s="2" t="n">
        <f aca="false">IF(AND(ISNUMBER(B3710),B3710&lt;=25),2,0)+IF(AND(ISNUMBER(E3710),E3710&lt;=5),2,0)+IF(AND(ISNUMBER(F3710),F3710&lt;=1),2,0)+IF(AND(ISNUMBER(G3710),G3710&lt;=2),1,0)+IF(AND(ISNUMBER(H3710),H3710&lt;=2),1,0)</f>
        <v>0</v>
      </c>
      <c r="J3710" s="2" t="str">
        <f aca="false">IF(I3710&gt;=6,"High",IF(I3710&gt;=3,"Medium","Low"))</f>
        <v>Low</v>
      </c>
    </row>
    <row r="3711" customFormat="false" ht="15" hidden="false" customHeight="true" outlineLevel="0" collapsed="false">
      <c r="A3711" s="2" t="n">
        <f aca="false">'Raw Data'!H3711</f>
        <v>3710</v>
      </c>
      <c r="B3711" s="2" t="n">
        <f aca="false">'Raw Data'!A3711</f>
        <v>34</v>
      </c>
      <c r="C3711" s="2" t="str">
        <f aca="false">'Raw Data'!D3711</f>
        <v>Research &amp; Development</v>
      </c>
      <c r="D3711" s="2" t="str">
        <f aca="false">'Raw Data'!K3711</f>
        <v>Sales Executive</v>
      </c>
      <c r="E3711" s="2" t="n">
        <f aca="false">'Raw Data'!Q3711</f>
        <v>7</v>
      </c>
      <c r="F3711" s="2" t="n">
        <f aca="false">'Raw Data'!U3711</f>
        <v>2</v>
      </c>
      <c r="G3711" s="2" t="n">
        <f aca="false">'Raw Data'!W3711</f>
        <v>2</v>
      </c>
      <c r="H3711" s="2" t="n">
        <f aca="false">'Raw Data'!V3711</f>
        <v>4</v>
      </c>
      <c r="I3711" s="2" t="n">
        <f aca="false">IF(AND(ISNUMBER(B3711),B3711&lt;=25),2,0)+IF(AND(ISNUMBER(E3711),E3711&lt;=5),2,0)+IF(AND(ISNUMBER(F3711),F3711&lt;=1),2,0)+IF(AND(ISNUMBER(G3711),G3711&lt;=2),1,0)+IF(AND(ISNUMBER(H3711),H3711&lt;=2),1,0)</f>
        <v>1</v>
      </c>
      <c r="J3711" s="2" t="str">
        <f aca="false">IF(I3711&gt;=6,"High",IF(I3711&gt;=3,"Medium","Low"))</f>
        <v>Low</v>
      </c>
    </row>
    <row r="3712" customFormat="false" ht="15" hidden="false" customHeight="true" outlineLevel="0" collapsed="false">
      <c r="A3712" s="2" t="n">
        <f aca="false">'Raw Data'!H3712</f>
        <v>3711</v>
      </c>
      <c r="B3712" s="2" t="n">
        <f aca="false">'Raw Data'!A3712</f>
        <v>41</v>
      </c>
      <c r="C3712" s="2" t="str">
        <f aca="false">'Raw Data'!D3712</f>
        <v>Research &amp; Development</v>
      </c>
      <c r="D3712" s="2" t="str">
        <f aca="false">'Raw Data'!K3712</f>
        <v>Sales Executive</v>
      </c>
      <c r="E3712" s="2" t="n">
        <f aca="false">'Raw Data'!Q3712</f>
        <v>7</v>
      </c>
      <c r="F3712" s="2" t="n">
        <f aca="false">'Raw Data'!U3712</f>
        <v>3</v>
      </c>
      <c r="G3712" s="2" t="n">
        <f aca="false">'Raw Data'!W3712</f>
        <v>3</v>
      </c>
      <c r="H3712" s="2" t="n">
        <f aca="false">'Raw Data'!V3712</f>
        <v>2</v>
      </c>
      <c r="I3712" s="2" t="n">
        <f aca="false">IF(AND(ISNUMBER(B3712),B3712&lt;=25),2,0)+IF(AND(ISNUMBER(E3712),E3712&lt;=5),2,0)+IF(AND(ISNUMBER(F3712),F3712&lt;=1),2,0)+IF(AND(ISNUMBER(G3712),G3712&lt;=2),1,0)+IF(AND(ISNUMBER(H3712),H3712&lt;=2),1,0)</f>
        <v>1</v>
      </c>
      <c r="J3712" s="2" t="str">
        <f aca="false">IF(I3712&gt;=6,"High",IF(I3712&gt;=3,"Medium","Low"))</f>
        <v>Low</v>
      </c>
    </row>
    <row r="3713" customFormat="false" ht="15" hidden="false" customHeight="true" outlineLevel="0" collapsed="false">
      <c r="A3713" s="2" t="n">
        <f aca="false">'Raw Data'!H3713</f>
        <v>3712</v>
      </c>
      <c r="B3713" s="2" t="n">
        <f aca="false">'Raw Data'!A3713</f>
        <v>40</v>
      </c>
      <c r="C3713" s="2" t="str">
        <f aca="false">'Raw Data'!D3713</f>
        <v>Sales</v>
      </c>
      <c r="D3713" s="2" t="str">
        <f aca="false">'Raw Data'!K3713</f>
        <v>Sales Executive</v>
      </c>
      <c r="E3713" s="2" t="n">
        <f aca="false">'Raw Data'!Q3713</f>
        <v>11</v>
      </c>
      <c r="F3713" s="2" t="n">
        <f aca="false">'Raw Data'!U3713</f>
        <v>7</v>
      </c>
      <c r="G3713" s="2" t="n">
        <f aca="false">'Raw Data'!W3713</f>
        <v>3</v>
      </c>
      <c r="H3713" s="2" t="n">
        <f aca="false">'Raw Data'!V3713</f>
        <v>3</v>
      </c>
      <c r="I3713" s="2" t="n">
        <f aca="false">IF(AND(ISNUMBER(B3713),B3713&lt;=25),2,0)+IF(AND(ISNUMBER(E3713),E3713&lt;=5),2,0)+IF(AND(ISNUMBER(F3713),F3713&lt;=1),2,0)+IF(AND(ISNUMBER(G3713),G3713&lt;=2),1,0)+IF(AND(ISNUMBER(H3713),H3713&lt;=2),1,0)</f>
        <v>0</v>
      </c>
      <c r="J3713" s="2" t="str">
        <f aca="false">IF(I3713&gt;=6,"High",IF(I3713&gt;=3,"Medium","Low"))</f>
        <v>Low</v>
      </c>
    </row>
    <row r="3714" customFormat="false" ht="15" hidden="false" customHeight="true" outlineLevel="0" collapsed="false">
      <c r="A3714" s="2" t="n">
        <f aca="false">'Raw Data'!H3714</f>
        <v>3713</v>
      </c>
      <c r="B3714" s="2" t="n">
        <f aca="false">'Raw Data'!A3714</f>
        <v>31</v>
      </c>
      <c r="C3714" s="2" t="str">
        <f aca="false">'Raw Data'!D3714</f>
        <v>Research &amp; Development</v>
      </c>
      <c r="D3714" s="2" t="str">
        <f aca="false">'Raw Data'!K3714</f>
        <v>Human Resources</v>
      </c>
      <c r="E3714" s="2" t="n">
        <f aca="false">'Raw Data'!Q3714</f>
        <v>13</v>
      </c>
      <c r="F3714" s="2" t="n">
        <f aca="false">'Raw Data'!U3714</f>
        <v>9</v>
      </c>
      <c r="G3714" s="2" t="n">
        <f aca="false">'Raw Data'!W3714</f>
        <v>4</v>
      </c>
      <c r="H3714" s="2" t="n">
        <f aca="false">'Raw Data'!V3714</f>
        <v>1</v>
      </c>
      <c r="I3714" s="2" t="n">
        <f aca="false">IF(AND(ISNUMBER(B3714),B3714&lt;=25),2,0)+IF(AND(ISNUMBER(E3714),E3714&lt;=5),2,0)+IF(AND(ISNUMBER(F3714),F3714&lt;=1),2,0)+IF(AND(ISNUMBER(G3714),G3714&lt;=2),1,0)+IF(AND(ISNUMBER(H3714),H3714&lt;=2),1,0)</f>
        <v>1</v>
      </c>
      <c r="J3714" s="2" t="str">
        <f aca="false">IF(I3714&gt;=6,"High",IF(I3714&gt;=3,"Medium","Low"))</f>
        <v>Low</v>
      </c>
    </row>
    <row r="3715" customFormat="false" ht="15" hidden="false" customHeight="true" outlineLevel="0" collapsed="false">
      <c r="A3715" s="2" t="n">
        <f aca="false">'Raw Data'!H3715</f>
        <v>3714</v>
      </c>
      <c r="B3715" s="2" t="n">
        <f aca="false">'Raw Data'!A3715</f>
        <v>46</v>
      </c>
      <c r="C3715" s="2" t="str">
        <f aca="false">'Raw Data'!D3715</f>
        <v>Research &amp; Development</v>
      </c>
      <c r="D3715" s="2" t="str">
        <f aca="false">'Raw Data'!K3715</f>
        <v>Manufacturing Director</v>
      </c>
      <c r="E3715" s="2" t="n">
        <f aca="false">'Raw Data'!Q3715</f>
        <v>28</v>
      </c>
      <c r="F3715" s="2" t="n">
        <f aca="false">'Raw Data'!U3715</f>
        <v>3</v>
      </c>
      <c r="G3715" s="2" t="n">
        <f aca="false">'Raw Data'!W3715</f>
        <v>4</v>
      </c>
      <c r="H3715" s="2" t="n">
        <f aca="false">'Raw Data'!V3715</f>
        <v>1</v>
      </c>
      <c r="I3715" s="2" t="n">
        <f aca="false">IF(AND(ISNUMBER(B3715),B3715&lt;=25),2,0)+IF(AND(ISNUMBER(E3715),E3715&lt;=5),2,0)+IF(AND(ISNUMBER(F3715),F3715&lt;=1),2,0)+IF(AND(ISNUMBER(G3715),G3715&lt;=2),1,0)+IF(AND(ISNUMBER(H3715),H3715&lt;=2),1,0)</f>
        <v>1</v>
      </c>
      <c r="J3715" s="2" t="str">
        <f aca="false">IF(I3715&gt;=6,"High",IF(I3715&gt;=3,"Medium","Low"))</f>
        <v>Low</v>
      </c>
    </row>
    <row r="3716" customFormat="false" ht="15" hidden="false" customHeight="true" outlineLevel="0" collapsed="false">
      <c r="A3716" s="2" t="n">
        <f aca="false">'Raw Data'!H3716</f>
        <v>3715</v>
      </c>
      <c r="B3716" s="2" t="n">
        <f aca="false">'Raw Data'!A3716</f>
        <v>39</v>
      </c>
      <c r="C3716" s="2" t="str">
        <f aca="false">'Raw Data'!D3716</f>
        <v>Research &amp; Development</v>
      </c>
      <c r="D3716" s="2" t="str">
        <f aca="false">'Raw Data'!K3716</f>
        <v>Manufacturing Director</v>
      </c>
      <c r="E3716" s="2" t="n">
        <f aca="false">'Raw Data'!Q3716</f>
        <v>11</v>
      </c>
      <c r="F3716" s="2" t="n">
        <f aca="false">'Raw Data'!U3716</f>
        <v>0</v>
      </c>
      <c r="G3716" s="2" t="n">
        <f aca="false">'Raw Data'!W3716</f>
        <v>1</v>
      </c>
      <c r="H3716" s="2" t="n">
        <f aca="false">'Raw Data'!V3716</f>
        <v>1</v>
      </c>
      <c r="I3716" s="2" t="n">
        <f aca="false">IF(AND(ISNUMBER(B3716),B3716&lt;=25),2,0)+IF(AND(ISNUMBER(E3716),E3716&lt;=5),2,0)+IF(AND(ISNUMBER(F3716),F3716&lt;=1),2,0)+IF(AND(ISNUMBER(G3716),G3716&lt;=2),1,0)+IF(AND(ISNUMBER(H3716),H3716&lt;=2),1,0)</f>
        <v>4</v>
      </c>
      <c r="J3716" s="2" t="str">
        <f aca="false">IF(I3716&gt;=6,"High",IF(I3716&gt;=3,"Medium","Low"))</f>
        <v>Medium</v>
      </c>
    </row>
    <row r="3717" customFormat="false" ht="15" hidden="false" customHeight="true" outlineLevel="0" collapsed="false">
      <c r="A3717" s="2" t="n">
        <f aca="false">'Raw Data'!H3717</f>
        <v>3716</v>
      </c>
      <c r="B3717" s="2" t="n">
        <f aca="false">'Raw Data'!A3717</f>
        <v>31</v>
      </c>
      <c r="C3717" s="2" t="str">
        <f aca="false">'Raw Data'!D3717</f>
        <v>Sales</v>
      </c>
      <c r="D3717" s="2" t="str">
        <f aca="false">'Raw Data'!K3717</f>
        <v>Sales Executive</v>
      </c>
      <c r="E3717" s="2" t="n">
        <f aca="false">'Raw Data'!Q3717</f>
        <v>10</v>
      </c>
      <c r="F3717" s="2" t="n">
        <f aca="false">'Raw Data'!U3717</f>
        <v>7</v>
      </c>
      <c r="G3717" s="2" t="n">
        <f aca="false">'Raw Data'!W3717</f>
        <v>2</v>
      </c>
      <c r="H3717" s="2" t="n">
        <f aca="false">'Raw Data'!V3717</f>
        <v>3</v>
      </c>
      <c r="I3717" s="2" t="n">
        <f aca="false">IF(AND(ISNUMBER(B3717),B3717&lt;=25),2,0)+IF(AND(ISNUMBER(E3717),E3717&lt;=5),2,0)+IF(AND(ISNUMBER(F3717),F3717&lt;=1),2,0)+IF(AND(ISNUMBER(G3717),G3717&lt;=2),1,0)+IF(AND(ISNUMBER(H3717),H3717&lt;=2),1,0)</f>
        <v>1</v>
      </c>
      <c r="J3717" s="2" t="str">
        <f aca="false">IF(I3717&gt;=6,"High",IF(I3717&gt;=3,"Medium","Low"))</f>
        <v>Low</v>
      </c>
    </row>
    <row r="3718" customFormat="false" ht="15" hidden="false" customHeight="true" outlineLevel="0" collapsed="false">
      <c r="A3718" s="2" t="n">
        <f aca="false">'Raw Data'!H3718</f>
        <v>3717</v>
      </c>
      <c r="B3718" s="2" t="n">
        <f aca="false">'Raw Data'!A3718</f>
        <v>45</v>
      </c>
      <c r="C3718" s="2" t="str">
        <f aca="false">'Raw Data'!D3718</f>
        <v>Sales</v>
      </c>
      <c r="D3718" s="2" t="str">
        <f aca="false">'Raw Data'!K3718</f>
        <v>Sales Executive</v>
      </c>
      <c r="E3718" s="2" t="n">
        <f aca="false">'Raw Data'!Q3718</f>
        <v>24</v>
      </c>
      <c r="F3718" s="2" t="n">
        <f aca="false">'Raw Data'!U3718</f>
        <v>7</v>
      </c>
      <c r="G3718" s="2" t="n">
        <f aca="false">'Raw Data'!W3718</f>
        <v>1</v>
      </c>
      <c r="H3718" s="2" t="n">
        <f aca="false">'Raw Data'!V3718</f>
        <v>2</v>
      </c>
      <c r="I3718" s="2" t="n">
        <f aca="false">IF(AND(ISNUMBER(B3718),B3718&lt;=25),2,0)+IF(AND(ISNUMBER(E3718),E3718&lt;=5),2,0)+IF(AND(ISNUMBER(F3718),F3718&lt;=1),2,0)+IF(AND(ISNUMBER(G3718),G3718&lt;=2),1,0)+IF(AND(ISNUMBER(H3718),H3718&lt;=2),1,0)</f>
        <v>2</v>
      </c>
      <c r="J3718" s="2" t="str">
        <f aca="false">IF(I3718&gt;=6,"High",IF(I3718&gt;=3,"Medium","Low"))</f>
        <v>Low</v>
      </c>
    </row>
    <row r="3719" customFormat="false" ht="15" hidden="false" customHeight="true" outlineLevel="0" collapsed="false">
      <c r="A3719" s="2" t="n">
        <f aca="false">'Raw Data'!H3719</f>
        <v>3718</v>
      </c>
      <c r="B3719" s="2" t="n">
        <f aca="false">'Raw Data'!A3719</f>
        <v>31</v>
      </c>
      <c r="C3719" s="2" t="str">
        <f aca="false">'Raw Data'!D3719</f>
        <v>Research &amp; Development</v>
      </c>
      <c r="D3719" s="2" t="str">
        <f aca="false">'Raw Data'!K3719</f>
        <v>Human Resources</v>
      </c>
      <c r="E3719" s="2" t="n">
        <f aca="false">'Raw Data'!Q3719</f>
        <v>8</v>
      </c>
      <c r="F3719" s="2" t="n">
        <f aca="false">'Raw Data'!U3719</f>
        <v>2</v>
      </c>
      <c r="G3719" s="2" t="n">
        <f aca="false">'Raw Data'!W3719</f>
        <v>2</v>
      </c>
      <c r="H3719" s="2" t="n">
        <f aca="false">'Raw Data'!V3719</f>
        <v>4</v>
      </c>
      <c r="I3719" s="2" t="n">
        <f aca="false">IF(AND(ISNUMBER(B3719),B3719&lt;=25),2,0)+IF(AND(ISNUMBER(E3719),E3719&lt;=5),2,0)+IF(AND(ISNUMBER(F3719),F3719&lt;=1),2,0)+IF(AND(ISNUMBER(G3719),G3719&lt;=2),1,0)+IF(AND(ISNUMBER(H3719),H3719&lt;=2),1,0)</f>
        <v>1</v>
      </c>
      <c r="J3719" s="2" t="str">
        <f aca="false">IF(I3719&gt;=6,"High",IF(I3719&gt;=3,"Medium","Low"))</f>
        <v>Low</v>
      </c>
    </row>
    <row r="3720" customFormat="false" ht="15" hidden="false" customHeight="true" outlineLevel="0" collapsed="false">
      <c r="A3720" s="2" t="n">
        <f aca="false">'Raw Data'!H3720</f>
        <v>3719</v>
      </c>
      <c r="B3720" s="2" t="n">
        <f aca="false">'Raw Data'!A3720</f>
        <v>31</v>
      </c>
      <c r="C3720" s="2" t="str">
        <f aca="false">'Raw Data'!D3720</f>
        <v>Research &amp; Development</v>
      </c>
      <c r="D3720" s="2" t="str">
        <f aca="false">'Raw Data'!K3720</f>
        <v>Laboratory Technician</v>
      </c>
      <c r="E3720" s="2" t="n">
        <f aca="false">'Raw Data'!Q3720</f>
        <v>7</v>
      </c>
      <c r="F3720" s="2" t="n">
        <f aca="false">'Raw Data'!U3720</f>
        <v>2</v>
      </c>
      <c r="G3720" s="2" t="n">
        <f aca="false">'Raw Data'!W3720</f>
        <v>4</v>
      </c>
      <c r="H3720" s="2" t="n">
        <f aca="false">'Raw Data'!V3720</f>
        <v>2</v>
      </c>
      <c r="I3720" s="2" t="n">
        <f aca="false">IF(AND(ISNUMBER(B3720),B3720&lt;=25),2,0)+IF(AND(ISNUMBER(E3720),E3720&lt;=5),2,0)+IF(AND(ISNUMBER(F3720),F3720&lt;=1),2,0)+IF(AND(ISNUMBER(G3720),G3720&lt;=2),1,0)+IF(AND(ISNUMBER(H3720),H3720&lt;=2),1,0)</f>
        <v>1</v>
      </c>
      <c r="J3720" s="2" t="str">
        <f aca="false">IF(I3720&gt;=6,"High",IF(I3720&gt;=3,"Medium","Low"))</f>
        <v>Low</v>
      </c>
    </row>
    <row r="3721" customFormat="false" ht="15" hidden="false" customHeight="true" outlineLevel="0" collapsed="false">
      <c r="A3721" s="2" t="n">
        <f aca="false">'Raw Data'!H3721</f>
        <v>3720</v>
      </c>
      <c r="B3721" s="2" t="n">
        <f aca="false">'Raw Data'!A3721</f>
        <v>45</v>
      </c>
      <c r="C3721" s="2" t="str">
        <f aca="false">'Raw Data'!D3721</f>
        <v>Research &amp; Development</v>
      </c>
      <c r="D3721" s="2" t="str">
        <f aca="false">'Raw Data'!K3721</f>
        <v>Research Scientist</v>
      </c>
      <c r="E3721" s="2" t="n">
        <f aca="false">'Raw Data'!Q3721</f>
        <v>10</v>
      </c>
      <c r="F3721" s="2" t="n">
        <f aca="false">'Raw Data'!U3721</f>
        <v>2</v>
      </c>
      <c r="G3721" s="2" t="n">
        <f aca="false">'Raw Data'!W3721</f>
        <v>4</v>
      </c>
      <c r="H3721" s="2" t="n">
        <f aca="false">'Raw Data'!V3721</f>
        <v>2</v>
      </c>
      <c r="I3721" s="2" t="n">
        <f aca="false">IF(AND(ISNUMBER(B3721),B3721&lt;=25),2,0)+IF(AND(ISNUMBER(E3721),E3721&lt;=5),2,0)+IF(AND(ISNUMBER(F3721),F3721&lt;=1),2,0)+IF(AND(ISNUMBER(G3721),G3721&lt;=2),1,0)+IF(AND(ISNUMBER(H3721),H3721&lt;=2),1,0)</f>
        <v>1</v>
      </c>
      <c r="J3721" s="2" t="str">
        <f aca="false">IF(I3721&gt;=6,"High",IF(I3721&gt;=3,"Medium","Low"))</f>
        <v>Low</v>
      </c>
    </row>
    <row r="3722" customFormat="false" ht="15" hidden="false" customHeight="true" outlineLevel="0" collapsed="false">
      <c r="A3722" s="2" t="n">
        <f aca="false">'Raw Data'!H3722</f>
        <v>3721</v>
      </c>
      <c r="B3722" s="2" t="n">
        <f aca="false">'Raw Data'!A3722</f>
        <v>48</v>
      </c>
      <c r="C3722" s="2" t="str">
        <f aca="false">'Raw Data'!D3722</f>
        <v>Research &amp; Development</v>
      </c>
      <c r="D3722" s="2" t="str">
        <f aca="false">'Raw Data'!K3722</f>
        <v>Research Scientist</v>
      </c>
      <c r="E3722" s="2" t="n">
        <f aca="false">'Raw Data'!Q3722</f>
        <v>15</v>
      </c>
      <c r="F3722" s="2" t="n">
        <f aca="false">'Raw Data'!U3722</f>
        <v>2</v>
      </c>
      <c r="G3722" s="2" t="n">
        <f aca="false">'Raw Data'!W3722</f>
        <v>1</v>
      </c>
      <c r="H3722" s="2" t="n">
        <f aca="false">'Raw Data'!V3722</f>
        <v>3</v>
      </c>
      <c r="I3722" s="2" t="n">
        <f aca="false">IF(AND(ISNUMBER(B3722),B3722&lt;=25),2,0)+IF(AND(ISNUMBER(E3722),E3722&lt;=5),2,0)+IF(AND(ISNUMBER(F3722),F3722&lt;=1),2,0)+IF(AND(ISNUMBER(G3722),G3722&lt;=2),1,0)+IF(AND(ISNUMBER(H3722),H3722&lt;=2),1,0)</f>
        <v>1</v>
      </c>
      <c r="J3722" s="2" t="str">
        <f aca="false">IF(I3722&gt;=6,"High",IF(I3722&gt;=3,"Medium","Low"))</f>
        <v>Low</v>
      </c>
    </row>
    <row r="3723" customFormat="false" ht="15" hidden="false" customHeight="true" outlineLevel="0" collapsed="false">
      <c r="A3723" s="2" t="n">
        <f aca="false">'Raw Data'!H3723</f>
        <v>3722</v>
      </c>
      <c r="B3723" s="2" t="n">
        <f aca="false">'Raw Data'!A3723</f>
        <v>34</v>
      </c>
      <c r="C3723" s="2" t="str">
        <f aca="false">'Raw Data'!D3723</f>
        <v>Research &amp; Development</v>
      </c>
      <c r="D3723" s="2" t="str">
        <f aca="false">'Raw Data'!K3723</f>
        <v>Research Scientist</v>
      </c>
      <c r="E3723" s="2" t="n">
        <f aca="false">'Raw Data'!Q3723</f>
        <v>2</v>
      </c>
      <c r="F3723" s="2" t="n">
        <f aca="false">'Raw Data'!U3723</f>
        <v>2</v>
      </c>
      <c r="G3723" s="2" t="n">
        <f aca="false">'Raw Data'!W3723</f>
        <v>3</v>
      </c>
      <c r="H3723" s="2" t="n">
        <f aca="false">'Raw Data'!V3723</f>
        <v>1</v>
      </c>
      <c r="I3723" s="2" t="n">
        <f aca="false">IF(AND(ISNUMBER(B3723),B3723&lt;=25),2,0)+IF(AND(ISNUMBER(E3723),E3723&lt;=5),2,0)+IF(AND(ISNUMBER(F3723),F3723&lt;=1),2,0)+IF(AND(ISNUMBER(G3723),G3723&lt;=2),1,0)+IF(AND(ISNUMBER(H3723),H3723&lt;=2),1,0)</f>
        <v>3</v>
      </c>
      <c r="J3723" s="2" t="str">
        <f aca="false">IF(I3723&gt;=6,"High",IF(I3723&gt;=3,"Medium","Low"))</f>
        <v>Medium</v>
      </c>
    </row>
    <row r="3724" customFormat="false" ht="15" hidden="false" customHeight="true" outlineLevel="0" collapsed="false">
      <c r="A3724" s="2" t="n">
        <f aca="false">'Raw Data'!H3724</f>
        <v>3723</v>
      </c>
      <c r="B3724" s="2" t="n">
        <f aca="false">'Raw Data'!A3724</f>
        <v>40</v>
      </c>
      <c r="C3724" s="2" t="str">
        <f aca="false">'Raw Data'!D3724</f>
        <v>Research &amp; Development</v>
      </c>
      <c r="D3724" s="2" t="str">
        <f aca="false">'Raw Data'!K3724</f>
        <v>Sales Executive</v>
      </c>
      <c r="E3724" s="2" t="n">
        <f aca="false">'Raw Data'!Q3724</f>
        <v>16</v>
      </c>
      <c r="F3724" s="2" t="n">
        <f aca="false">'Raw Data'!U3724</f>
        <v>8</v>
      </c>
      <c r="G3724" s="2" t="n">
        <f aca="false">'Raw Data'!W3724</f>
        <v>2</v>
      </c>
      <c r="H3724" s="2" t="n">
        <f aca="false">'Raw Data'!V3724</f>
        <v>4</v>
      </c>
      <c r="I3724" s="2" t="n">
        <f aca="false">IF(AND(ISNUMBER(B3724),B3724&lt;=25),2,0)+IF(AND(ISNUMBER(E3724),E3724&lt;=5),2,0)+IF(AND(ISNUMBER(F3724),F3724&lt;=1),2,0)+IF(AND(ISNUMBER(G3724),G3724&lt;=2),1,0)+IF(AND(ISNUMBER(H3724),H3724&lt;=2),1,0)</f>
        <v>1</v>
      </c>
      <c r="J3724" s="2" t="str">
        <f aca="false">IF(I3724&gt;=6,"High",IF(I3724&gt;=3,"Medium","Low"))</f>
        <v>Low</v>
      </c>
    </row>
    <row r="3725" customFormat="false" ht="15" hidden="false" customHeight="true" outlineLevel="0" collapsed="false">
      <c r="A3725" s="2" t="n">
        <f aca="false">'Raw Data'!H3725</f>
        <v>3724</v>
      </c>
      <c r="B3725" s="2" t="n">
        <f aca="false">'Raw Data'!A3725</f>
        <v>28</v>
      </c>
      <c r="C3725" s="2" t="str">
        <f aca="false">'Raw Data'!D3725</f>
        <v>Research &amp; Development</v>
      </c>
      <c r="D3725" s="2" t="str">
        <f aca="false">'Raw Data'!K3725</f>
        <v>Research Scientist</v>
      </c>
      <c r="E3725" s="2" t="n">
        <f aca="false">'Raw Data'!Q3725</f>
        <v>6</v>
      </c>
      <c r="F3725" s="2" t="n">
        <f aca="false">'Raw Data'!U3725</f>
        <v>3</v>
      </c>
      <c r="G3725" s="2" t="n">
        <f aca="false">'Raw Data'!W3725</f>
        <v>1</v>
      </c>
      <c r="H3725" s="2" t="n">
        <f aca="false">'Raw Data'!V3725</f>
        <v>4</v>
      </c>
      <c r="I3725" s="2" t="n">
        <f aca="false">IF(AND(ISNUMBER(B3725),B3725&lt;=25),2,0)+IF(AND(ISNUMBER(E3725),E3725&lt;=5),2,0)+IF(AND(ISNUMBER(F3725),F3725&lt;=1),2,0)+IF(AND(ISNUMBER(G3725),G3725&lt;=2),1,0)+IF(AND(ISNUMBER(H3725),H3725&lt;=2),1,0)</f>
        <v>1</v>
      </c>
      <c r="J3725" s="2" t="str">
        <f aca="false">IF(I3725&gt;=6,"High",IF(I3725&gt;=3,"Medium","Low"))</f>
        <v>Low</v>
      </c>
    </row>
    <row r="3726" customFormat="false" ht="15" hidden="false" customHeight="true" outlineLevel="0" collapsed="false">
      <c r="A3726" s="2" t="n">
        <f aca="false">'Raw Data'!H3726</f>
        <v>3725</v>
      </c>
      <c r="B3726" s="2" t="n">
        <f aca="false">'Raw Data'!A3726</f>
        <v>44</v>
      </c>
      <c r="C3726" s="2" t="str">
        <f aca="false">'Raw Data'!D3726</f>
        <v>Research &amp; Development</v>
      </c>
      <c r="D3726" s="2" t="str">
        <f aca="false">'Raw Data'!K3726</f>
        <v>Laboratory Technician</v>
      </c>
      <c r="E3726" s="2" t="n">
        <f aca="false">'Raw Data'!Q3726</f>
        <v>7</v>
      </c>
      <c r="F3726" s="2" t="n">
        <f aca="false">'Raw Data'!U3726</f>
        <v>3</v>
      </c>
      <c r="G3726" s="2" t="n">
        <f aca="false">'Raw Data'!W3726</f>
        <v>3</v>
      </c>
      <c r="H3726" s="2" t="n">
        <f aca="false">'Raw Data'!V3726</f>
        <v>3</v>
      </c>
      <c r="I3726" s="2" t="n">
        <f aca="false">IF(AND(ISNUMBER(B3726),B3726&lt;=25),2,0)+IF(AND(ISNUMBER(E3726),E3726&lt;=5),2,0)+IF(AND(ISNUMBER(F3726),F3726&lt;=1),2,0)+IF(AND(ISNUMBER(G3726),G3726&lt;=2),1,0)+IF(AND(ISNUMBER(H3726),H3726&lt;=2),1,0)</f>
        <v>0</v>
      </c>
      <c r="J3726" s="2" t="str">
        <f aca="false">IF(I3726&gt;=6,"High",IF(I3726&gt;=3,"Medium","Low"))</f>
        <v>Low</v>
      </c>
    </row>
    <row r="3727" customFormat="false" ht="15" hidden="false" customHeight="true" outlineLevel="0" collapsed="false">
      <c r="A3727" s="2" t="n">
        <f aca="false">'Raw Data'!H3727</f>
        <v>3726</v>
      </c>
      <c r="B3727" s="2" t="n">
        <f aca="false">'Raw Data'!A3727</f>
        <v>53</v>
      </c>
      <c r="C3727" s="2" t="str">
        <f aca="false">'Raw Data'!D3727</f>
        <v>Research &amp; Development</v>
      </c>
      <c r="D3727" s="2" t="str">
        <f aca="false">'Raw Data'!K3727</f>
        <v>Manager</v>
      </c>
      <c r="E3727" s="2" t="n">
        <f aca="false">'Raw Data'!Q3727</f>
        <v>35</v>
      </c>
      <c r="F3727" s="2" t="n">
        <f aca="false">'Raw Data'!U3727</f>
        <v>8</v>
      </c>
      <c r="G3727" s="2" t="n">
        <f aca="false">'Raw Data'!W3727</f>
        <v>2</v>
      </c>
      <c r="H3727" s="2" t="n">
        <f aca="false">'Raw Data'!V3727</f>
        <v>4</v>
      </c>
      <c r="I3727" s="2" t="n">
        <f aca="false">IF(AND(ISNUMBER(B3727),B3727&lt;=25),2,0)+IF(AND(ISNUMBER(E3727),E3727&lt;=5),2,0)+IF(AND(ISNUMBER(F3727),F3727&lt;=1),2,0)+IF(AND(ISNUMBER(G3727),G3727&lt;=2),1,0)+IF(AND(ISNUMBER(H3727),H3727&lt;=2),1,0)</f>
        <v>1</v>
      </c>
      <c r="J3727" s="2" t="str">
        <f aca="false">IF(I3727&gt;=6,"High",IF(I3727&gt;=3,"Medium","Low"))</f>
        <v>Low</v>
      </c>
    </row>
    <row r="3728" customFormat="false" ht="15" hidden="false" customHeight="true" outlineLevel="0" collapsed="false">
      <c r="A3728" s="2" t="n">
        <f aca="false">'Raw Data'!H3728</f>
        <v>3727</v>
      </c>
      <c r="B3728" s="2" t="n">
        <f aca="false">'Raw Data'!A3728</f>
        <v>49</v>
      </c>
      <c r="C3728" s="2" t="str">
        <f aca="false">'Raw Data'!D3728</f>
        <v>Research &amp; Development</v>
      </c>
      <c r="D3728" s="2" t="str">
        <f aca="false">'Raw Data'!K3728</f>
        <v>Laboratory Technician</v>
      </c>
      <c r="E3728" s="2" t="n">
        <f aca="false">'Raw Data'!Q3728</f>
        <v>20</v>
      </c>
      <c r="F3728" s="2" t="n">
        <f aca="false">'Raw Data'!U3728</f>
        <v>2</v>
      </c>
      <c r="G3728" s="2" t="n">
        <f aca="false">'Raw Data'!W3728</f>
        <v>3</v>
      </c>
      <c r="H3728" s="2" t="n">
        <f aca="false">'Raw Data'!V3728</f>
        <v>1</v>
      </c>
      <c r="I3728" s="2" t="n">
        <f aca="false">IF(AND(ISNUMBER(B3728),B3728&lt;=25),2,0)+IF(AND(ISNUMBER(E3728),E3728&lt;=5),2,0)+IF(AND(ISNUMBER(F3728),F3728&lt;=1),2,0)+IF(AND(ISNUMBER(G3728),G3728&lt;=2),1,0)+IF(AND(ISNUMBER(H3728),H3728&lt;=2),1,0)</f>
        <v>1</v>
      </c>
      <c r="J3728" s="2" t="str">
        <f aca="false">IF(I3728&gt;=6,"High",IF(I3728&gt;=3,"Medium","Low"))</f>
        <v>Low</v>
      </c>
    </row>
    <row r="3729" customFormat="false" ht="15" hidden="false" customHeight="true" outlineLevel="0" collapsed="false">
      <c r="A3729" s="2" t="n">
        <f aca="false">'Raw Data'!H3729</f>
        <v>3728</v>
      </c>
      <c r="B3729" s="2" t="n">
        <f aca="false">'Raw Data'!A3729</f>
        <v>40</v>
      </c>
      <c r="C3729" s="2" t="str">
        <f aca="false">'Raw Data'!D3729</f>
        <v>Research &amp; Development</v>
      </c>
      <c r="D3729" s="2" t="str">
        <f aca="false">'Raw Data'!K3729</f>
        <v>Laboratory Technician</v>
      </c>
      <c r="E3729" s="2" t="n">
        <f aca="false">'Raw Data'!Q3729</f>
        <v>8</v>
      </c>
      <c r="F3729" s="2" t="n">
        <f aca="false">'Raw Data'!U3729</f>
        <v>2</v>
      </c>
      <c r="G3729" s="2" t="n">
        <f aca="false">'Raw Data'!W3729</f>
        <v>3</v>
      </c>
      <c r="H3729" s="2" t="n">
        <f aca="false">'Raw Data'!V3729</f>
        <v>3</v>
      </c>
      <c r="I3729" s="2" t="n">
        <f aca="false">IF(AND(ISNUMBER(B3729),B3729&lt;=25),2,0)+IF(AND(ISNUMBER(E3729),E3729&lt;=5),2,0)+IF(AND(ISNUMBER(F3729),F3729&lt;=1),2,0)+IF(AND(ISNUMBER(G3729),G3729&lt;=2),1,0)+IF(AND(ISNUMBER(H3729),H3729&lt;=2),1,0)</f>
        <v>0</v>
      </c>
      <c r="J3729" s="2" t="str">
        <f aca="false">IF(I3729&gt;=6,"High",IF(I3729&gt;=3,"Medium","Low"))</f>
        <v>Low</v>
      </c>
    </row>
    <row r="3730" customFormat="false" ht="15" hidden="false" customHeight="true" outlineLevel="0" collapsed="false">
      <c r="A3730" s="2" t="n">
        <f aca="false">'Raw Data'!H3730</f>
        <v>3729</v>
      </c>
      <c r="B3730" s="2" t="n">
        <f aca="false">'Raw Data'!A3730</f>
        <v>44</v>
      </c>
      <c r="C3730" s="2" t="str">
        <f aca="false">'Raw Data'!D3730</f>
        <v>Research &amp; Development</v>
      </c>
      <c r="D3730" s="2" t="str">
        <f aca="false">'Raw Data'!K3730</f>
        <v>Research Scientist</v>
      </c>
      <c r="E3730" s="2" t="n">
        <f aca="false">'Raw Data'!Q3730</f>
        <v>6</v>
      </c>
      <c r="F3730" s="2" t="n">
        <f aca="false">'Raw Data'!U3730</f>
        <v>3</v>
      </c>
      <c r="G3730" s="2" t="n">
        <f aca="false">'Raw Data'!W3730</f>
        <v>2</v>
      </c>
      <c r="H3730" s="2" t="n">
        <f aca="false">'Raw Data'!V3730</f>
        <v>4</v>
      </c>
      <c r="I3730" s="2" t="n">
        <f aca="false">IF(AND(ISNUMBER(B3730),B3730&lt;=25),2,0)+IF(AND(ISNUMBER(E3730),E3730&lt;=5),2,0)+IF(AND(ISNUMBER(F3730),F3730&lt;=1),2,0)+IF(AND(ISNUMBER(G3730),G3730&lt;=2),1,0)+IF(AND(ISNUMBER(H3730),H3730&lt;=2),1,0)</f>
        <v>1</v>
      </c>
      <c r="J3730" s="2" t="str">
        <f aca="false">IF(I3730&gt;=6,"High",IF(I3730&gt;=3,"Medium","Low"))</f>
        <v>Low</v>
      </c>
    </row>
    <row r="3731" customFormat="false" ht="15" hidden="false" customHeight="true" outlineLevel="0" collapsed="false">
      <c r="A3731" s="2" t="n">
        <f aca="false">'Raw Data'!H3731</f>
        <v>3730</v>
      </c>
      <c r="B3731" s="2" t="n">
        <f aca="false">'Raw Data'!A3731</f>
        <v>33</v>
      </c>
      <c r="C3731" s="2" t="str">
        <f aca="false">'Raw Data'!D3731</f>
        <v>Human Resources</v>
      </c>
      <c r="D3731" s="2" t="str">
        <f aca="false">'Raw Data'!K3731</f>
        <v>Sales Executive</v>
      </c>
      <c r="E3731" s="2" t="n">
        <f aca="false">'Raw Data'!Q3731</f>
        <v>5</v>
      </c>
      <c r="F3731" s="2" t="n">
        <f aca="false">'Raw Data'!U3731</f>
        <v>3</v>
      </c>
      <c r="G3731" s="2" t="n">
        <f aca="false">'Raw Data'!W3731</f>
        <v>1</v>
      </c>
      <c r="H3731" s="2" t="n">
        <f aca="false">'Raw Data'!V3731</f>
        <v>4</v>
      </c>
      <c r="I3731" s="2" t="n">
        <f aca="false">IF(AND(ISNUMBER(B3731),B3731&lt;=25),2,0)+IF(AND(ISNUMBER(E3731),E3731&lt;=5),2,0)+IF(AND(ISNUMBER(F3731),F3731&lt;=1),2,0)+IF(AND(ISNUMBER(G3731),G3731&lt;=2),1,0)+IF(AND(ISNUMBER(H3731),H3731&lt;=2),1,0)</f>
        <v>3</v>
      </c>
      <c r="J3731" s="2" t="str">
        <f aca="false">IF(I3731&gt;=6,"High",IF(I3731&gt;=3,"Medium","Low"))</f>
        <v>Medium</v>
      </c>
    </row>
    <row r="3732" customFormat="false" ht="15" hidden="false" customHeight="true" outlineLevel="0" collapsed="false">
      <c r="A3732" s="2" t="n">
        <f aca="false">'Raw Data'!H3732</f>
        <v>3731</v>
      </c>
      <c r="B3732" s="2" t="n">
        <f aca="false">'Raw Data'!A3732</f>
        <v>34</v>
      </c>
      <c r="C3732" s="2" t="str">
        <f aca="false">'Raw Data'!D3732</f>
        <v>Research &amp; Development</v>
      </c>
      <c r="D3732" s="2" t="str">
        <f aca="false">'Raw Data'!K3732</f>
        <v>Sales Representative</v>
      </c>
      <c r="E3732" s="2" t="n">
        <f aca="false">'Raw Data'!Q3732</f>
        <v>15</v>
      </c>
      <c r="F3732" s="2" t="n">
        <f aca="false">'Raw Data'!U3732</f>
        <v>12</v>
      </c>
      <c r="G3732" s="2" t="n">
        <f aca="false">'Raw Data'!W3732</f>
        <v>1</v>
      </c>
      <c r="H3732" s="2" t="n">
        <f aca="false">'Raw Data'!V3732</f>
        <v>4</v>
      </c>
      <c r="I3732" s="2" t="n">
        <f aca="false">IF(AND(ISNUMBER(B3732),B3732&lt;=25),2,0)+IF(AND(ISNUMBER(E3732),E3732&lt;=5),2,0)+IF(AND(ISNUMBER(F3732),F3732&lt;=1),2,0)+IF(AND(ISNUMBER(G3732),G3732&lt;=2),1,0)+IF(AND(ISNUMBER(H3732),H3732&lt;=2),1,0)</f>
        <v>1</v>
      </c>
      <c r="J3732" s="2" t="str">
        <f aca="false">IF(I3732&gt;=6,"High",IF(I3732&gt;=3,"Medium","Low"))</f>
        <v>Low</v>
      </c>
    </row>
    <row r="3733" customFormat="false" ht="15" hidden="false" customHeight="true" outlineLevel="0" collapsed="false">
      <c r="A3733" s="2" t="n">
        <f aca="false">'Raw Data'!H3733</f>
        <v>3732</v>
      </c>
      <c r="B3733" s="2" t="n">
        <f aca="false">'Raw Data'!A3733</f>
        <v>30</v>
      </c>
      <c r="C3733" s="2" t="str">
        <f aca="false">'Raw Data'!D3733</f>
        <v>Sales</v>
      </c>
      <c r="D3733" s="2" t="str">
        <f aca="false">'Raw Data'!K3733</f>
        <v>Laboratory Technician</v>
      </c>
      <c r="E3733" s="2" t="n">
        <f aca="false">'Raw Data'!Q3733</f>
        <v>4</v>
      </c>
      <c r="F3733" s="2" t="n">
        <f aca="false">'Raw Data'!U3733</f>
        <v>2</v>
      </c>
      <c r="G3733" s="2" t="n">
        <f aca="false">'Raw Data'!W3733</f>
        <v>3</v>
      </c>
      <c r="H3733" s="2" t="n">
        <f aca="false">'Raw Data'!V3733</f>
        <v>4</v>
      </c>
      <c r="I3733" s="2" t="n">
        <f aca="false">IF(AND(ISNUMBER(B3733),B3733&lt;=25),2,0)+IF(AND(ISNUMBER(E3733),E3733&lt;=5),2,0)+IF(AND(ISNUMBER(F3733),F3733&lt;=1),2,0)+IF(AND(ISNUMBER(G3733),G3733&lt;=2),1,0)+IF(AND(ISNUMBER(H3733),H3733&lt;=2),1,0)</f>
        <v>2</v>
      </c>
      <c r="J3733" s="2" t="str">
        <f aca="false">IF(I3733&gt;=6,"High",IF(I3733&gt;=3,"Medium","Low"))</f>
        <v>Low</v>
      </c>
    </row>
    <row r="3734" customFormat="false" ht="15" hidden="false" customHeight="true" outlineLevel="0" collapsed="false">
      <c r="A3734" s="2" t="n">
        <f aca="false">'Raw Data'!H3734</f>
        <v>3733</v>
      </c>
      <c r="B3734" s="2" t="n">
        <f aca="false">'Raw Data'!A3734</f>
        <v>42</v>
      </c>
      <c r="C3734" s="2" t="str">
        <f aca="false">'Raw Data'!D3734</f>
        <v>Research &amp; Development</v>
      </c>
      <c r="D3734" s="2" t="str">
        <f aca="false">'Raw Data'!K3734</f>
        <v>Sales Executive</v>
      </c>
      <c r="E3734" s="2" t="n">
        <f aca="false">'Raw Data'!Q3734</f>
        <v>12</v>
      </c>
      <c r="F3734" s="2" t="n">
        <f aca="false">'Raw Data'!U3734</f>
        <v>8</v>
      </c>
      <c r="G3734" s="2" t="n">
        <f aca="false">'Raw Data'!W3734</f>
        <v>4</v>
      </c>
      <c r="H3734" s="2" t="n">
        <f aca="false">'Raw Data'!V3734</f>
        <v>1</v>
      </c>
      <c r="I3734" s="2" t="n">
        <f aca="false">IF(AND(ISNUMBER(B3734),B3734&lt;=25),2,0)+IF(AND(ISNUMBER(E3734),E3734&lt;=5),2,0)+IF(AND(ISNUMBER(F3734),F3734&lt;=1),2,0)+IF(AND(ISNUMBER(G3734),G3734&lt;=2),1,0)+IF(AND(ISNUMBER(H3734),H3734&lt;=2),1,0)</f>
        <v>1</v>
      </c>
      <c r="J3734" s="2" t="str">
        <f aca="false">IF(I3734&gt;=6,"High",IF(I3734&gt;=3,"Medium","Low"))</f>
        <v>Low</v>
      </c>
    </row>
    <row r="3735" customFormat="false" ht="15" hidden="false" customHeight="true" outlineLevel="0" collapsed="false">
      <c r="A3735" s="2" t="n">
        <f aca="false">'Raw Data'!H3735</f>
        <v>3734</v>
      </c>
      <c r="B3735" s="2" t="n">
        <f aca="false">'Raw Data'!A3735</f>
        <v>44</v>
      </c>
      <c r="C3735" s="2" t="str">
        <f aca="false">'Raw Data'!D3735</f>
        <v>Research &amp; Development</v>
      </c>
      <c r="D3735" s="2" t="str">
        <f aca="false">'Raw Data'!K3735</f>
        <v>Manufacturing Director</v>
      </c>
      <c r="E3735" s="2" t="n">
        <f aca="false">'Raw Data'!Q3735</f>
        <v>11</v>
      </c>
      <c r="F3735" s="2" t="n">
        <f aca="false">'Raw Data'!U3735</f>
        <v>0</v>
      </c>
      <c r="G3735" s="2" t="n">
        <f aca="false">'Raw Data'!W3735</f>
        <v>3</v>
      </c>
      <c r="H3735" s="2" t="n">
        <f aca="false">'Raw Data'!V3735</f>
        <v>1</v>
      </c>
      <c r="I3735" s="2" t="n">
        <f aca="false">IF(AND(ISNUMBER(B3735),B3735&lt;=25),2,0)+IF(AND(ISNUMBER(E3735),E3735&lt;=5),2,0)+IF(AND(ISNUMBER(F3735),F3735&lt;=1),2,0)+IF(AND(ISNUMBER(G3735),G3735&lt;=2),1,0)+IF(AND(ISNUMBER(H3735),H3735&lt;=2),1,0)</f>
        <v>3</v>
      </c>
      <c r="J3735" s="2" t="str">
        <f aca="false">IF(I3735&gt;=6,"High",IF(I3735&gt;=3,"Medium","Low"))</f>
        <v>Medium</v>
      </c>
    </row>
    <row r="3736" customFormat="false" ht="15" hidden="false" customHeight="true" outlineLevel="0" collapsed="false">
      <c r="A3736" s="2" t="n">
        <f aca="false">'Raw Data'!H3736</f>
        <v>3735</v>
      </c>
      <c r="B3736" s="2" t="n">
        <f aca="false">'Raw Data'!A3736</f>
        <v>30</v>
      </c>
      <c r="C3736" s="2" t="str">
        <f aca="false">'Raw Data'!D3736</f>
        <v>Research &amp; Development</v>
      </c>
      <c r="D3736" s="2" t="str">
        <f aca="false">'Raw Data'!K3736</f>
        <v>Manufacturing Director</v>
      </c>
      <c r="E3736" s="2" t="n">
        <f aca="false">'Raw Data'!Q3736</f>
        <v>1</v>
      </c>
      <c r="F3736" s="2" t="n">
        <f aca="false">'Raw Data'!U3736</f>
        <v>0</v>
      </c>
      <c r="G3736" s="2" t="n">
        <f aca="false">'Raw Data'!W3736</f>
        <v>3</v>
      </c>
      <c r="H3736" s="2" t="n">
        <f aca="false">'Raw Data'!V3736</f>
        <v>3</v>
      </c>
      <c r="I3736" s="2" t="n">
        <f aca="false">IF(AND(ISNUMBER(B3736),B3736&lt;=25),2,0)+IF(AND(ISNUMBER(E3736),E3736&lt;=5),2,0)+IF(AND(ISNUMBER(F3736),F3736&lt;=1),2,0)+IF(AND(ISNUMBER(G3736),G3736&lt;=2),1,0)+IF(AND(ISNUMBER(H3736),H3736&lt;=2),1,0)</f>
        <v>4</v>
      </c>
      <c r="J3736" s="2" t="str">
        <f aca="false">IF(I3736&gt;=6,"High",IF(I3736&gt;=3,"Medium","Low"))</f>
        <v>Medium</v>
      </c>
    </row>
    <row r="3737" customFormat="false" ht="15" hidden="false" customHeight="true" outlineLevel="0" collapsed="false">
      <c r="A3737" s="2" t="n">
        <f aca="false">'Raw Data'!H3737</f>
        <v>3736</v>
      </c>
      <c r="B3737" s="2" t="n">
        <f aca="false">'Raw Data'!A3737</f>
        <v>57</v>
      </c>
      <c r="C3737" s="2" t="str">
        <f aca="false">'Raw Data'!D3737</f>
        <v>Sales</v>
      </c>
      <c r="D3737" s="2" t="str">
        <f aca="false">'Raw Data'!K3737</f>
        <v>Research Scientist</v>
      </c>
      <c r="E3737" s="2" t="n">
        <f aca="false">'Raw Data'!Q3737</f>
        <v>13</v>
      </c>
      <c r="F3737" s="2" t="n">
        <f aca="false">'Raw Data'!U3737</f>
        <v>8</v>
      </c>
      <c r="G3737" s="2" t="n">
        <f aca="false">'Raw Data'!W3737</f>
        <v>3</v>
      </c>
      <c r="H3737" s="2" t="n">
        <f aca="false">'Raw Data'!V3737</f>
        <v>2</v>
      </c>
      <c r="I3737" s="2" t="n">
        <f aca="false">IF(AND(ISNUMBER(B3737),B3737&lt;=25),2,0)+IF(AND(ISNUMBER(E3737),E3737&lt;=5),2,0)+IF(AND(ISNUMBER(F3737),F3737&lt;=1),2,0)+IF(AND(ISNUMBER(G3737),G3737&lt;=2),1,0)+IF(AND(ISNUMBER(H3737),H3737&lt;=2),1,0)</f>
        <v>1</v>
      </c>
      <c r="J3737" s="2" t="str">
        <f aca="false">IF(I3737&gt;=6,"High",IF(I3737&gt;=3,"Medium","Low"))</f>
        <v>Low</v>
      </c>
    </row>
    <row r="3738" customFormat="false" ht="15" hidden="false" customHeight="true" outlineLevel="0" collapsed="false">
      <c r="A3738" s="2" t="n">
        <f aca="false">'Raw Data'!H3738</f>
        <v>3737</v>
      </c>
      <c r="B3738" s="2" t="n">
        <f aca="false">'Raw Data'!A3738</f>
        <v>49</v>
      </c>
      <c r="C3738" s="2" t="str">
        <f aca="false">'Raw Data'!D3738</f>
        <v>Research &amp; Development</v>
      </c>
      <c r="D3738" s="2" t="str">
        <f aca="false">'Raw Data'!K3738</f>
        <v>Sales Executive</v>
      </c>
      <c r="E3738" s="2" t="n">
        <f aca="false">'Raw Data'!Q3738</f>
        <v>29</v>
      </c>
      <c r="F3738" s="2" t="n">
        <f aca="false">'Raw Data'!U3738</f>
        <v>7</v>
      </c>
      <c r="G3738" s="2" t="n">
        <f aca="false">'Raw Data'!W3738</f>
        <v>2</v>
      </c>
      <c r="H3738" s="2" t="n">
        <f aca="false">'Raw Data'!V3738</f>
        <v>3</v>
      </c>
      <c r="I3738" s="2" t="n">
        <f aca="false">IF(AND(ISNUMBER(B3738),B3738&lt;=25),2,0)+IF(AND(ISNUMBER(E3738),E3738&lt;=5),2,0)+IF(AND(ISNUMBER(F3738),F3738&lt;=1),2,0)+IF(AND(ISNUMBER(G3738),G3738&lt;=2),1,0)+IF(AND(ISNUMBER(H3738),H3738&lt;=2),1,0)</f>
        <v>1</v>
      </c>
      <c r="J3738" s="2" t="str">
        <f aca="false">IF(I3738&gt;=6,"High",IF(I3738&gt;=3,"Medium","Low"))</f>
        <v>Low</v>
      </c>
    </row>
    <row r="3739" customFormat="false" ht="15" hidden="false" customHeight="true" outlineLevel="0" collapsed="false">
      <c r="A3739" s="2" t="n">
        <f aca="false">'Raw Data'!H3739</f>
        <v>3738</v>
      </c>
      <c r="B3739" s="2" t="n">
        <f aca="false">'Raw Data'!A3739</f>
        <v>34</v>
      </c>
      <c r="C3739" s="2" t="str">
        <f aca="false">'Raw Data'!D3739</f>
        <v>Research &amp; Development</v>
      </c>
      <c r="D3739" s="2" t="str">
        <f aca="false">'Raw Data'!K3739</f>
        <v>Sales Representative</v>
      </c>
      <c r="E3739" s="2" t="n">
        <f aca="false">'Raw Data'!Q3739</f>
        <v>16</v>
      </c>
      <c r="F3739" s="2" t="n">
        <f aca="false">'Raw Data'!U3739</f>
        <v>9</v>
      </c>
      <c r="G3739" s="2" t="n">
        <f aca="false">'Raw Data'!W3739</f>
        <v>1</v>
      </c>
      <c r="H3739" s="2" t="n">
        <f aca="false">'Raw Data'!V3739</f>
        <v>2</v>
      </c>
      <c r="I3739" s="2" t="n">
        <f aca="false">IF(AND(ISNUMBER(B3739),B3739&lt;=25),2,0)+IF(AND(ISNUMBER(E3739),E3739&lt;=5),2,0)+IF(AND(ISNUMBER(F3739),F3739&lt;=1),2,0)+IF(AND(ISNUMBER(G3739),G3739&lt;=2),1,0)+IF(AND(ISNUMBER(H3739),H3739&lt;=2),1,0)</f>
        <v>2</v>
      </c>
      <c r="J3739" s="2" t="str">
        <f aca="false">IF(I3739&gt;=6,"High",IF(I3739&gt;=3,"Medium","Low"))</f>
        <v>Low</v>
      </c>
    </row>
    <row r="3740" customFormat="false" ht="15" hidden="false" customHeight="true" outlineLevel="0" collapsed="false">
      <c r="A3740" s="2" t="n">
        <f aca="false">'Raw Data'!H3740</f>
        <v>3739</v>
      </c>
      <c r="B3740" s="2" t="n">
        <f aca="false">'Raw Data'!A3740</f>
        <v>28</v>
      </c>
      <c r="C3740" s="2" t="str">
        <f aca="false">'Raw Data'!D3740</f>
        <v>Research &amp; Development</v>
      </c>
      <c r="D3740" s="2" t="str">
        <f aca="false">'Raw Data'!K3740</f>
        <v>Research Scientist</v>
      </c>
      <c r="E3740" s="2" t="n">
        <f aca="false">'Raw Data'!Q3740</f>
        <v>5</v>
      </c>
      <c r="F3740" s="2" t="n">
        <f aca="false">'Raw Data'!U3740</f>
        <v>2</v>
      </c>
      <c r="G3740" s="2" t="n">
        <f aca="false">'Raw Data'!W3740</f>
        <v>3</v>
      </c>
      <c r="H3740" s="2" t="n">
        <f aca="false">'Raw Data'!V3740</f>
        <v>1</v>
      </c>
      <c r="I3740" s="2" t="n">
        <f aca="false">IF(AND(ISNUMBER(B3740),B3740&lt;=25),2,0)+IF(AND(ISNUMBER(E3740),E3740&lt;=5),2,0)+IF(AND(ISNUMBER(F3740),F3740&lt;=1),2,0)+IF(AND(ISNUMBER(G3740),G3740&lt;=2),1,0)+IF(AND(ISNUMBER(H3740),H3740&lt;=2),1,0)</f>
        <v>3</v>
      </c>
      <c r="J3740" s="2" t="str">
        <f aca="false">IF(I3740&gt;=6,"High",IF(I3740&gt;=3,"Medium","Low"))</f>
        <v>Medium</v>
      </c>
    </row>
    <row r="3741" customFormat="false" ht="15" hidden="false" customHeight="true" outlineLevel="0" collapsed="false">
      <c r="A3741" s="2" t="n">
        <f aca="false">'Raw Data'!H3741</f>
        <v>3740</v>
      </c>
      <c r="B3741" s="2" t="n">
        <f aca="false">'Raw Data'!A3741</f>
        <v>29</v>
      </c>
      <c r="C3741" s="2" t="str">
        <f aca="false">'Raw Data'!D3741</f>
        <v>Research &amp; Development</v>
      </c>
      <c r="D3741" s="2" t="str">
        <f aca="false">'Raw Data'!K3741</f>
        <v>Research Scientist</v>
      </c>
      <c r="E3741" s="2" t="n">
        <f aca="false">'Raw Data'!Q3741</f>
        <v>7</v>
      </c>
      <c r="F3741" s="2" t="n">
        <f aca="false">'Raw Data'!U3741</f>
        <v>0</v>
      </c>
      <c r="G3741" s="2" t="n">
        <f aca="false">'Raw Data'!W3741</f>
        <v>2</v>
      </c>
      <c r="H3741" s="2" t="n">
        <f aca="false">'Raw Data'!V3741</f>
        <v>1</v>
      </c>
      <c r="I3741" s="2" t="n">
        <f aca="false">IF(AND(ISNUMBER(B3741),B3741&lt;=25),2,0)+IF(AND(ISNUMBER(E3741),E3741&lt;=5),2,0)+IF(AND(ISNUMBER(F3741),F3741&lt;=1),2,0)+IF(AND(ISNUMBER(G3741),G3741&lt;=2),1,0)+IF(AND(ISNUMBER(H3741),H3741&lt;=2),1,0)</f>
        <v>4</v>
      </c>
      <c r="J3741" s="2" t="str">
        <f aca="false">IF(I3741&gt;=6,"High",IF(I3741&gt;=3,"Medium","Low"))</f>
        <v>Medium</v>
      </c>
    </row>
    <row r="3742" customFormat="false" ht="15" hidden="false" customHeight="true" outlineLevel="0" collapsed="false">
      <c r="A3742" s="2" t="n">
        <f aca="false">'Raw Data'!H3742</f>
        <v>3741</v>
      </c>
      <c r="B3742" s="2" t="n">
        <f aca="false">'Raw Data'!A3742</f>
        <v>34</v>
      </c>
      <c r="C3742" s="2" t="str">
        <f aca="false">'Raw Data'!D3742</f>
        <v>Research &amp; Development</v>
      </c>
      <c r="D3742" s="2" t="str">
        <f aca="false">'Raw Data'!K3742</f>
        <v>Research Scientist</v>
      </c>
      <c r="E3742" s="2" t="n">
        <f aca="false">'Raw Data'!Q3742</f>
        <v>16</v>
      </c>
      <c r="F3742" s="2" t="n">
        <f aca="false">'Raw Data'!U3742</f>
        <v>10</v>
      </c>
      <c r="G3742" s="2" t="n">
        <f aca="false">'Raw Data'!W3742</f>
        <v>2</v>
      </c>
      <c r="H3742" s="2" t="n">
        <f aca="false">'Raw Data'!V3742</f>
        <v>1</v>
      </c>
      <c r="I3742" s="2" t="n">
        <f aca="false">IF(AND(ISNUMBER(B3742),B3742&lt;=25),2,0)+IF(AND(ISNUMBER(E3742),E3742&lt;=5),2,0)+IF(AND(ISNUMBER(F3742),F3742&lt;=1),2,0)+IF(AND(ISNUMBER(G3742),G3742&lt;=2),1,0)+IF(AND(ISNUMBER(H3742),H3742&lt;=2),1,0)</f>
        <v>2</v>
      </c>
      <c r="J3742" s="2" t="str">
        <f aca="false">IF(I3742&gt;=6,"High",IF(I3742&gt;=3,"Medium","Low"))</f>
        <v>Low</v>
      </c>
    </row>
    <row r="3743" customFormat="false" ht="15" hidden="false" customHeight="true" outlineLevel="0" collapsed="false">
      <c r="A3743" s="2" t="n">
        <f aca="false">'Raw Data'!H3743</f>
        <v>3742</v>
      </c>
      <c r="B3743" s="2" t="n">
        <f aca="false">'Raw Data'!A3743</f>
        <v>35</v>
      </c>
      <c r="C3743" s="2" t="str">
        <f aca="false">'Raw Data'!D3743</f>
        <v>Sales</v>
      </c>
      <c r="D3743" s="2" t="str">
        <f aca="false">'Raw Data'!K3743</f>
        <v>Healthcare Representative</v>
      </c>
      <c r="E3743" s="2" t="n">
        <f aca="false">'Raw Data'!Q3743</f>
        <v>1</v>
      </c>
      <c r="F3743" s="2" t="n">
        <f aca="false">'Raw Data'!U3743</f>
        <v>0</v>
      </c>
      <c r="G3743" s="2" t="n">
        <f aca="false">'Raw Data'!W3743</f>
        <v>3</v>
      </c>
      <c r="H3743" s="2" t="n">
        <f aca="false">'Raw Data'!V3743</f>
        <v>4</v>
      </c>
      <c r="I3743" s="2" t="n">
        <f aca="false">IF(AND(ISNUMBER(B3743),B3743&lt;=25),2,0)+IF(AND(ISNUMBER(E3743),E3743&lt;=5),2,0)+IF(AND(ISNUMBER(F3743),F3743&lt;=1),2,0)+IF(AND(ISNUMBER(G3743),G3743&lt;=2),1,0)+IF(AND(ISNUMBER(H3743),H3743&lt;=2),1,0)</f>
        <v>4</v>
      </c>
      <c r="J3743" s="2" t="str">
        <f aca="false">IF(I3743&gt;=6,"High",IF(I3743&gt;=3,"Medium","Low"))</f>
        <v>Medium</v>
      </c>
    </row>
    <row r="3744" customFormat="false" ht="15" hidden="false" customHeight="true" outlineLevel="0" collapsed="false">
      <c r="A3744" s="2" t="n">
        <f aca="false">'Raw Data'!H3744</f>
        <v>3743</v>
      </c>
      <c r="B3744" s="2" t="n">
        <f aca="false">'Raw Data'!A3744</f>
        <v>24</v>
      </c>
      <c r="C3744" s="2" t="str">
        <f aca="false">'Raw Data'!D3744</f>
        <v>Sales</v>
      </c>
      <c r="D3744" s="2" t="str">
        <f aca="false">'Raw Data'!K3744</f>
        <v>Research Scientist</v>
      </c>
      <c r="E3744" s="2" t="n">
        <f aca="false">'Raw Data'!Q3744</f>
        <v>4</v>
      </c>
      <c r="F3744" s="2" t="n">
        <f aca="false">'Raw Data'!U3744</f>
        <v>0</v>
      </c>
      <c r="G3744" s="2" t="n">
        <f aca="false">'Raw Data'!W3744</f>
        <v>1</v>
      </c>
      <c r="H3744" s="2" t="n">
        <f aca="false">'Raw Data'!V3744</f>
        <v>2</v>
      </c>
      <c r="I3744" s="2" t="n">
        <f aca="false">IF(AND(ISNUMBER(B3744),B3744&lt;=25),2,0)+IF(AND(ISNUMBER(E3744),E3744&lt;=5),2,0)+IF(AND(ISNUMBER(F3744),F3744&lt;=1),2,0)+IF(AND(ISNUMBER(G3744),G3744&lt;=2),1,0)+IF(AND(ISNUMBER(H3744),H3744&lt;=2),1,0)</f>
        <v>8</v>
      </c>
      <c r="J3744" s="2" t="str">
        <f aca="false">IF(I3744&gt;=6,"High",IF(I3744&gt;=3,"Medium","Low"))</f>
        <v>High</v>
      </c>
    </row>
    <row r="3745" customFormat="false" ht="15" hidden="false" customHeight="true" outlineLevel="0" collapsed="false">
      <c r="A3745" s="2" t="n">
        <f aca="false">'Raw Data'!H3745</f>
        <v>3744</v>
      </c>
      <c r="B3745" s="2" t="n">
        <f aca="false">'Raw Data'!A3745</f>
        <v>24</v>
      </c>
      <c r="C3745" s="2" t="str">
        <f aca="false">'Raw Data'!D3745</f>
        <v>Research &amp; Development</v>
      </c>
      <c r="D3745" s="2" t="str">
        <f aca="false">'Raw Data'!K3745</f>
        <v>Manager</v>
      </c>
      <c r="E3745" s="2" t="n">
        <f aca="false">'Raw Data'!Q3745</f>
        <v>1</v>
      </c>
      <c r="F3745" s="2" t="n">
        <f aca="false">'Raw Data'!U3745</f>
        <v>0</v>
      </c>
      <c r="G3745" s="2" t="n">
        <f aca="false">'Raw Data'!W3745</f>
        <v>2</v>
      </c>
      <c r="H3745" s="2" t="n">
        <f aca="false">'Raw Data'!V3745</f>
        <v>4</v>
      </c>
      <c r="I3745" s="2" t="n">
        <f aca="false">IF(AND(ISNUMBER(B3745),B3745&lt;=25),2,0)+IF(AND(ISNUMBER(E3745),E3745&lt;=5),2,0)+IF(AND(ISNUMBER(F3745),F3745&lt;=1),2,0)+IF(AND(ISNUMBER(G3745),G3745&lt;=2),1,0)+IF(AND(ISNUMBER(H3745),H3745&lt;=2),1,0)</f>
        <v>7</v>
      </c>
      <c r="J3745" s="2" t="str">
        <f aca="false">IF(I3745&gt;=6,"High",IF(I3745&gt;=3,"Medium","Low"))</f>
        <v>High</v>
      </c>
    </row>
    <row r="3746" customFormat="false" ht="15" hidden="false" customHeight="true" outlineLevel="0" collapsed="false">
      <c r="A3746" s="2" t="n">
        <f aca="false">'Raw Data'!H3746</f>
        <v>3745</v>
      </c>
      <c r="B3746" s="2" t="n">
        <f aca="false">'Raw Data'!A3746</f>
        <v>44</v>
      </c>
      <c r="C3746" s="2" t="str">
        <f aca="false">'Raw Data'!D3746</f>
        <v>Research &amp; Development</v>
      </c>
      <c r="D3746" s="2" t="str">
        <f aca="false">'Raw Data'!K3746</f>
        <v>Research Scientist</v>
      </c>
      <c r="E3746" s="2" t="n">
        <f aca="false">'Raw Data'!Q3746</f>
        <v>16</v>
      </c>
      <c r="F3746" s="2" t="n">
        <f aca="false">'Raw Data'!U3746</f>
        <v>2</v>
      </c>
      <c r="G3746" s="2" t="n">
        <f aca="false">'Raw Data'!W3746</f>
        <v>3</v>
      </c>
      <c r="H3746" s="2" t="n">
        <f aca="false">'Raw Data'!V3746</f>
        <v>2</v>
      </c>
      <c r="I3746" s="2" t="n">
        <f aca="false">IF(AND(ISNUMBER(B3746),B3746&lt;=25),2,0)+IF(AND(ISNUMBER(E3746),E3746&lt;=5),2,0)+IF(AND(ISNUMBER(F3746),F3746&lt;=1),2,0)+IF(AND(ISNUMBER(G3746),G3746&lt;=2),1,0)+IF(AND(ISNUMBER(H3746),H3746&lt;=2),1,0)</f>
        <v>1</v>
      </c>
      <c r="J3746" s="2" t="str">
        <f aca="false">IF(I3746&gt;=6,"High",IF(I3746&gt;=3,"Medium","Low"))</f>
        <v>Low</v>
      </c>
    </row>
    <row r="3747" customFormat="false" ht="15" hidden="false" customHeight="true" outlineLevel="0" collapsed="false">
      <c r="A3747" s="2" t="n">
        <f aca="false">'Raw Data'!H3747</f>
        <v>3746</v>
      </c>
      <c r="B3747" s="2" t="n">
        <f aca="false">'Raw Data'!A3747</f>
        <v>29</v>
      </c>
      <c r="C3747" s="2" t="str">
        <f aca="false">'Raw Data'!D3747</f>
        <v>Sales</v>
      </c>
      <c r="D3747" s="2" t="str">
        <f aca="false">'Raw Data'!K3747</f>
        <v>Sales Executive</v>
      </c>
      <c r="E3747" s="2" t="n">
        <f aca="false">'Raw Data'!Q3747</f>
        <v>10</v>
      </c>
      <c r="F3747" s="2" t="n">
        <f aca="false">'Raw Data'!U3747</f>
        <v>4</v>
      </c>
      <c r="G3747" s="2" t="n">
        <f aca="false">'Raw Data'!W3747</f>
        <v>3</v>
      </c>
      <c r="H3747" s="2" t="n">
        <f aca="false">'Raw Data'!V3747</f>
        <v>3</v>
      </c>
      <c r="I3747" s="2" t="n">
        <f aca="false">IF(AND(ISNUMBER(B3747),B3747&lt;=25),2,0)+IF(AND(ISNUMBER(E3747),E3747&lt;=5),2,0)+IF(AND(ISNUMBER(F3747),F3747&lt;=1),2,0)+IF(AND(ISNUMBER(G3747),G3747&lt;=2),1,0)+IF(AND(ISNUMBER(H3747),H3747&lt;=2),1,0)</f>
        <v>0</v>
      </c>
      <c r="J3747" s="2" t="str">
        <f aca="false">IF(I3747&gt;=6,"High",IF(I3747&gt;=3,"Medium","Low"))</f>
        <v>Low</v>
      </c>
    </row>
    <row r="3748" customFormat="false" ht="15" hidden="false" customHeight="true" outlineLevel="0" collapsed="false">
      <c r="A3748" s="2" t="n">
        <f aca="false">'Raw Data'!H3748</f>
        <v>3747</v>
      </c>
      <c r="B3748" s="2" t="n">
        <f aca="false">'Raw Data'!A3748</f>
        <v>30</v>
      </c>
      <c r="C3748" s="2" t="str">
        <f aca="false">'Raw Data'!D3748</f>
        <v>Research &amp; Development</v>
      </c>
      <c r="D3748" s="2" t="str">
        <f aca="false">'Raw Data'!K3748</f>
        <v>Sales Executive</v>
      </c>
      <c r="E3748" s="2" t="n">
        <f aca="false">'Raw Data'!Q3748</f>
        <v>6</v>
      </c>
      <c r="F3748" s="2" t="n">
        <f aca="false">'Raw Data'!U3748</f>
        <v>3</v>
      </c>
      <c r="G3748" s="2" t="n">
        <f aca="false">'Raw Data'!W3748</f>
        <v>3</v>
      </c>
      <c r="H3748" s="2" t="n">
        <f aca="false">'Raw Data'!V3748</f>
        <v>3</v>
      </c>
      <c r="I3748" s="2" t="n">
        <f aca="false">IF(AND(ISNUMBER(B3748),B3748&lt;=25),2,0)+IF(AND(ISNUMBER(E3748),E3748&lt;=5),2,0)+IF(AND(ISNUMBER(F3748),F3748&lt;=1),2,0)+IF(AND(ISNUMBER(G3748),G3748&lt;=2),1,0)+IF(AND(ISNUMBER(H3748),H3748&lt;=2),1,0)</f>
        <v>0</v>
      </c>
      <c r="J3748" s="2" t="str">
        <f aca="false">IF(I3748&gt;=6,"High",IF(I3748&gt;=3,"Medium","Low"))</f>
        <v>Low</v>
      </c>
    </row>
    <row r="3749" customFormat="false" ht="15" hidden="false" customHeight="true" outlineLevel="0" collapsed="false">
      <c r="A3749" s="2" t="n">
        <f aca="false">'Raw Data'!H3749</f>
        <v>3748</v>
      </c>
      <c r="B3749" s="2" t="n">
        <f aca="false">'Raw Data'!A3749</f>
        <v>55</v>
      </c>
      <c r="C3749" s="2" t="str">
        <f aca="false">'Raw Data'!D3749</f>
        <v>Sales</v>
      </c>
      <c r="D3749" s="2" t="str">
        <f aca="false">'Raw Data'!K3749</f>
        <v>Research Scientist</v>
      </c>
      <c r="E3749" s="2" t="n">
        <f aca="false">'Raw Data'!Q3749</f>
        <v>4</v>
      </c>
      <c r="F3749" s="2" t="n">
        <f aca="false">'Raw Data'!U3749</f>
        <v>2</v>
      </c>
      <c r="G3749" s="2" t="n">
        <f aca="false">'Raw Data'!W3749</f>
        <v>3</v>
      </c>
      <c r="H3749" s="2" t="n">
        <f aca="false">'Raw Data'!V3749</f>
        <v>4</v>
      </c>
      <c r="I3749" s="2" t="n">
        <f aca="false">IF(AND(ISNUMBER(B3749),B3749&lt;=25),2,0)+IF(AND(ISNUMBER(E3749),E3749&lt;=5),2,0)+IF(AND(ISNUMBER(F3749),F3749&lt;=1),2,0)+IF(AND(ISNUMBER(G3749),G3749&lt;=2),1,0)+IF(AND(ISNUMBER(H3749),H3749&lt;=2),1,0)</f>
        <v>2</v>
      </c>
      <c r="J3749" s="2" t="str">
        <f aca="false">IF(I3749&gt;=6,"High",IF(I3749&gt;=3,"Medium","Low"))</f>
        <v>Low</v>
      </c>
    </row>
    <row r="3750" customFormat="false" ht="15" hidden="false" customHeight="true" outlineLevel="0" collapsed="false">
      <c r="A3750" s="2" t="n">
        <f aca="false">'Raw Data'!H3750</f>
        <v>3749</v>
      </c>
      <c r="B3750" s="2" t="n">
        <f aca="false">'Raw Data'!A3750</f>
        <v>33</v>
      </c>
      <c r="C3750" s="2" t="str">
        <f aca="false">'Raw Data'!D3750</f>
        <v>Research &amp; Development</v>
      </c>
      <c r="D3750" s="2" t="str">
        <f aca="false">'Raw Data'!K3750</f>
        <v>Research Scientist</v>
      </c>
      <c r="E3750" s="2" t="n">
        <f aca="false">'Raw Data'!Q3750</f>
        <v>8</v>
      </c>
      <c r="F3750" s="2" t="n">
        <f aca="false">'Raw Data'!U3750</f>
        <v>2</v>
      </c>
      <c r="G3750" s="2" t="n">
        <f aca="false">'Raw Data'!W3750</f>
        <v>2</v>
      </c>
      <c r="H3750" s="2" t="n">
        <f aca="false">'Raw Data'!V3750</f>
        <v>1</v>
      </c>
      <c r="I3750" s="2" t="n">
        <f aca="false">IF(AND(ISNUMBER(B3750),B3750&lt;=25),2,0)+IF(AND(ISNUMBER(E3750),E3750&lt;=5),2,0)+IF(AND(ISNUMBER(F3750),F3750&lt;=1),2,0)+IF(AND(ISNUMBER(G3750),G3750&lt;=2),1,0)+IF(AND(ISNUMBER(H3750),H3750&lt;=2),1,0)</f>
        <v>2</v>
      </c>
      <c r="J3750" s="2" t="str">
        <f aca="false">IF(I3750&gt;=6,"High",IF(I3750&gt;=3,"Medium","Low"))</f>
        <v>Low</v>
      </c>
    </row>
    <row r="3751" customFormat="false" ht="15" hidden="false" customHeight="true" outlineLevel="0" collapsed="false">
      <c r="A3751" s="2" t="n">
        <f aca="false">'Raw Data'!H3751</f>
        <v>3750</v>
      </c>
      <c r="B3751" s="2" t="n">
        <f aca="false">'Raw Data'!A3751</f>
        <v>47</v>
      </c>
      <c r="C3751" s="2" t="str">
        <f aca="false">'Raw Data'!D3751</f>
        <v>Research &amp; Development</v>
      </c>
      <c r="D3751" s="2" t="str">
        <f aca="false">'Raw Data'!K3751</f>
        <v>Sales Representative</v>
      </c>
      <c r="E3751" s="2" t="n">
        <f aca="false">'Raw Data'!Q3751</f>
        <v>11</v>
      </c>
      <c r="F3751" s="2" t="n">
        <f aca="false">'Raw Data'!U3751</f>
        <v>2</v>
      </c>
      <c r="G3751" s="2" t="n">
        <f aca="false">'Raw Data'!W3751</f>
        <v>3</v>
      </c>
      <c r="H3751" s="2" t="n">
        <f aca="false">'Raw Data'!V3751</f>
        <v>3</v>
      </c>
      <c r="I3751" s="2" t="n">
        <f aca="false">IF(AND(ISNUMBER(B3751),B3751&lt;=25),2,0)+IF(AND(ISNUMBER(E3751),E3751&lt;=5),2,0)+IF(AND(ISNUMBER(F3751),F3751&lt;=1),2,0)+IF(AND(ISNUMBER(G3751),G3751&lt;=2),1,0)+IF(AND(ISNUMBER(H3751),H3751&lt;=2),1,0)</f>
        <v>0</v>
      </c>
      <c r="J3751" s="2" t="str">
        <f aca="false">IF(I3751&gt;=6,"High",IF(I3751&gt;=3,"Medium","Low"))</f>
        <v>Low</v>
      </c>
    </row>
    <row r="3752" customFormat="false" ht="15" hidden="false" customHeight="true" outlineLevel="0" collapsed="false">
      <c r="A3752" s="2" t="n">
        <f aca="false">'Raw Data'!H3752</f>
        <v>3751</v>
      </c>
      <c r="B3752" s="2" t="n">
        <f aca="false">'Raw Data'!A3752</f>
        <v>28</v>
      </c>
      <c r="C3752" s="2" t="str">
        <f aca="false">'Raw Data'!D3752</f>
        <v>Sales</v>
      </c>
      <c r="D3752" s="2" t="str">
        <f aca="false">'Raw Data'!K3752</f>
        <v>Laboratory Technician</v>
      </c>
      <c r="E3752" s="2" t="n">
        <f aca="false">'Raw Data'!Q3752</f>
        <v>8</v>
      </c>
      <c r="F3752" s="2" t="n">
        <f aca="false">'Raw Data'!U3752</f>
        <v>0</v>
      </c>
      <c r="G3752" s="2" t="n">
        <f aca="false">'Raw Data'!W3752</f>
        <v>1</v>
      </c>
      <c r="H3752" s="2" t="n">
        <f aca="false">'Raw Data'!V3752</f>
        <v>3</v>
      </c>
      <c r="I3752" s="2" t="n">
        <f aca="false">IF(AND(ISNUMBER(B3752),B3752&lt;=25),2,0)+IF(AND(ISNUMBER(E3752),E3752&lt;=5),2,0)+IF(AND(ISNUMBER(F3752),F3752&lt;=1),2,0)+IF(AND(ISNUMBER(G3752),G3752&lt;=2),1,0)+IF(AND(ISNUMBER(H3752),H3752&lt;=2),1,0)</f>
        <v>3</v>
      </c>
      <c r="J3752" s="2" t="str">
        <f aca="false">IF(I3752&gt;=6,"High",IF(I3752&gt;=3,"Medium","Low"))</f>
        <v>Medium</v>
      </c>
    </row>
    <row r="3753" customFormat="false" ht="15" hidden="false" customHeight="true" outlineLevel="0" collapsed="false">
      <c r="A3753" s="2" t="n">
        <f aca="false">'Raw Data'!H3753</f>
        <v>3752</v>
      </c>
      <c r="B3753" s="2" t="n">
        <f aca="false">'Raw Data'!A3753</f>
        <v>28</v>
      </c>
      <c r="C3753" s="2" t="str">
        <f aca="false">'Raw Data'!D3753</f>
        <v>Sales</v>
      </c>
      <c r="D3753" s="2" t="str">
        <f aca="false">'Raw Data'!K3753</f>
        <v>Laboratory Technician</v>
      </c>
      <c r="E3753" s="2" t="n">
        <f aca="false">'Raw Data'!Q3753</f>
        <v>1</v>
      </c>
      <c r="F3753" s="2" t="n">
        <f aca="false">'Raw Data'!U3753</f>
        <v>0</v>
      </c>
      <c r="G3753" s="2" t="n">
        <f aca="false">'Raw Data'!W3753</f>
        <v>3</v>
      </c>
      <c r="H3753" s="2" t="n">
        <f aca="false">'Raw Data'!V3753</f>
        <v>1</v>
      </c>
      <c r="I3753" s="2" t="n">
        <f aca="false">IF(AND(ISNUMBER(B3753),B3753&lt;=25),2,0)+IF(AND(ISNUMBER(E3753),E3753&lt;=5),2,0)+IF(AND(ISNUMBER(F3753),F3753&lt;=1),2,0)+IF(AND(ISNUMBER(G3753),G3753&lt;=2),1,0)+IF(AND(ISNUMBER(H3753),H3753&lt;=2),1,0)</f>
        <v>5</v>
      </c>
      <c r="J3753" s="2" t="str">
        <f aca="false">IF(I3753&gt;=6,"High",IF(I3753&gt;=3,"Medium","Low"))</f>
        <v>Medium</v>
      </c>
    </row>
    <row r="3754" customFormat="false" ht="15" hidden="false" customHeight="true" outlineLevel="0" collapsed="false">
      <c r="A3754" s="2" t="n">
        <f aca="false">'Raw Data'!H3754</f>
        <v>3753</v>
      </c>
      <c r="B3754" s="2" t="n">
        <f aca="false">'Raw Data'!A3754</f>
        <v>28</v>
      </c>
      <c r="C3754" s="2" t="str">
        <f aca="false">'Raw Data'!D3754</f>
        <v>Research &amp; Development</v>
      </c>
      <c r="D3754" s="2" t="str">
        <f aca="false">'Raw Data'!K3754</f>
        <v>Sales Executive</v>
      </c>
      <c r="E3754" s="2" t="n">
        <f aca="false">'Raw Data'!Q3754</f>
        <v>5</v>
      </c>
      <c r="F3754" s="2" t="n">
        <f aca="false">'Raw Data'!U3754</f>
        <v>3</v>
      </c>
      <c r="G3754" s="2" t="n">
        <f aca="false">'Raw Data'!W3754</f>
        <v>1</v>
      </c>
      <c r="H3754" s="2" t="n">
        <f aca="false">'Raw Data'!V3754</f>
        <v>3</v>
      </c>
      <c r="I3754" s="2" t="n">
        <f aca="false">IF(AND(ISNUMBER(B3754),B3754&lt;=25),2,0)+IF(AND(ISNUMBER(E3754),E3754&lt;=5),2,0)+IF(AND(ISNUMBER(F3754),F3754&lt;=1),2,0)+IF(AND(ISNUMBER(G3754),G3754&lt;=2),1,0)+IF(AND(ISNUMBER(H3754),H3754&lt;=2),1,0)</f>
        <v>3</v>
      </c>
      <c r="J3754" s="2" t="str">
        <f aca="false">IF(I3754&gt;=6,"High",IF(I3754&gt;=3,"Medium","Low"))</f>
        <v>Medium</v>
      </c>
    </row>
    <row r="3755" customFormat="false" ht="15" hidden="false" customHeight="true" outlineLevel="0" collapsed="false">
      <c r="A3755" s="2" t="n">
        <f aca="false">'Raw Data'!H3755</f>
        <v>3754</v>
      </c>
      <c r="B3755" s="2" t="n">
        <f aca="false">'Raw Data'!A3755</f>
        <v>49</v>
      </c>
      <c r="C3755" s="2" t="str">
        <f aca="false">'Raw Data'!D3755</f>
        <v>Research &amp; Development</v>
      </c>
      <c r="D3755" s="2" t="str">
        <f aca="false">'Raw Data'!K3755</f>
        <v>Research Scientist</v>
      </c>
      <c r="E3755" s="2" t="n">
        <f aca="false">'Raw Data'!Q3755</f>
        <v>10</v>
      </c>
      <c r="F3755" s="2" t="n">
        <f aca="false">'Raw Data'!U3755</f>
        <v>2</v>
      </c>
      <c r="G3755" s="2" t="n">
        <f aca="false">'Raw Data'!W3755</f>
        <v>1</v>
      </c>
      <c r="H3755" s="2" t="n">
        <f aca="false">'Raw Data'!V3755</f>
        <v>3</v>
      </c>
      <c r="I3755" s="2" t="n">
        <f aca="false">IF(AND(ISNUMBER(B3755),B3755&lt;=25),2,0)+IF(AND(ISNUMBER(E3755),E3755&lt;=5),2,0)+IF(AND(ISNUMBER(F3755),F3755&lt;=1),2,0)+IF(AND(ISNUMBER(G3755),G3755&lt;=2),1,0)+IF(AND(ISNUMBER(H3755),H3755&lt;=2),1,0)</f>
        <v>1</v>
      </c>
      <c r="J3755" s="2" t="str">
        <f aca="false">IF(I3755&gt;=6,"High",IF(I3755&gt;=3,"Medium","Low"))</f>
        <v>Low</v>
      </c>
    </row>
    <row r="3756" customFormat="false" ht="15" hidden="false" customHeight="true" outlineLevel="0" collapsed="false">
      <c r="A3756" s="2" t="n">
        <f aca="false">'Raw Data'!H3756</f>
        <v>3755</v>
      </c>
      <c r="B3756" s="2" t="n">
        <f aca="false">'Raw Data'!A3756</f>
        <v>29</v>
      </c>
      <c r="C3756" s="2" t="str">
        <f aca="false">'Raw Data'!D3756</f>
        <v>Research &amp; Development</v>
      </c>
      <c r="D3756" s="2" t="str">
        <f aca="false">'Raw Data'!K3756</f>
        <v>Research Scientist</v>
      </c>
      <c r="E3756" s="2" t="n">
        <f aca="false">'Raw Data'!Q3756</f>
        <v>4</v>
      </c>
      <c r="F3756" s="2" t="n">
        <f aca="false">'Raw Data'!U3756</f>
        <v>2</v>
      </c>
      <c r="G3756" s="2" t="n">
        <f aca="false">'Raw Data'!W3756</f>
        <v>2</v>
      </c>
      <c r="H3756" s="2" t="n">
        <f aca="false">'Raw Data'!V3756</f>
        <v>4</v>
      </c>
      <c r="I3756" s="2" t="n">
        <f aca="false">IF(AND(ISNUMBER(B3756),B3756&lt;=25),2,0)+IF(AND(ISNUMBER(E3756),E3756&lt;=5),2,0)+IF(AND(ISNUMBER(F3756),F3756&lt;=1),2,0)+IF(AND(ISNUMBER(G3756),G3756&lt;=2),1,0)+IF(AND(ISNUMBER(H3756),H3756&lt;=2),1,0)</f>
        <v>3</v>
      </c>
      <c r="J3756" s="2" t="str">
        <f aca="false">IF(I3756&gt;=6,"High",IF(I3756&gt;=3,"Medium","Low"))</f>
        <v>Medium</v>
      </c>
    </row>
    <row r="3757" customFormat="false" ht="15" hidden="false" customHeight="true" outlineLevel="0" collapsed="false">
      <c r="A3757" s="2" t="n">
        <f aca="false">'Raw Data'!H3757</f>
        <v>3756</v>
      </c>
      <c r="B3757" s="2" t="n">
        <f aca="false">'Raw Data'!A3757</f>
        <v>28</v>
      </c>
      <c r="C3757" s="2" t="str">
        <f aca="false">'Raw Data'!D3757</f>
        <v>Research &amp; Development</v>
      </c>
      <c r="D3757" s="2" t="str">
        <f aca="false">'Raw Data'!K3757</f>
        <v>Laboratory Technician</v>
      </c>
      <c r="E3757" s="2" t="n">
        <f aca="false">'Raw Data'!Q3757</f>
        <v>8</v>
      </c>
      <c r="F3757" s="2" t="n">
        <f aca="false">'Raw Data'!U3757</f>
        <v>7</v>
      </c>
      <c r="G3757" s="2" t="n">
        <f aca="false">'Raw Data'!W3757</f>
        <v>2</v>
      </c>
      <c r="H3757" s="2" t="n">
        <f aca="false">'Raw Data'!V3757</f>
        <v>3</v>
      </c>
      <c r="I3757" s="2" t="n">
        <f aca="false">IF(AND(ISNUMBER(B3757),B3757&lt;=25),2,0)+IF(AND(ISNUMBER(E3757),E3757&lt;=5),2,0)+IF(AND(ISNUMBER(F3757),F3757&lt;=1),2,0)+IF(AND(ISNUMBER(G3757),G3757&lt;=2),1,0)+IF(AND(ISNUMBER(H3757),H3757&lt;=2),1,0)</f>
        <v>1</v>
      </c>
      <c r="J3757" s="2" t="str">
        <f aca="false">IF(I3757&gt;=6,"High",IF(I3757&gt;=3,"Medium","Low"))</f>
        <v>Low</v>
      </c>
    </row>
    <row r="3758" customFormat="false" ht="15" hidden="false" customHeight="true" outlineLevel="0" collapsed="false">
      <c r="A3758" s="2" t="n">
        <f aca="false">'Raw Data'!H3758</f>
        <v>3757</v>
      </c>
      <c r="B3758" s="2" t="n">
        <f aca="false">'Raw Data'!A3758</f>
        <v>33</v>
      </c>
      <c r="C3758" s="2" t="str">
        <f aca="false">'Raw Data'!D3758</f>
        <v>Research &amp; Development</v>
      </c>
      <c r="D3758" s="2" t="str">
        <f aca="false">'Raw Data'!K3758</f>
        <v>Sales Executive</v>
      </c>
      <c r="E3758" s="2" t="n">
        <f aca="false">'Raw Data'!Q3758</f>
        <v>14</v>
      </c>
      <c r="F3758" s="2" t="n">
        <f aca="false">'Raw Data'!U3758</f>
        <v>0</v>
      </c>
      <c r="G3758" s="2" t="n">
        <f aca="false">'Raw Data'!W3758</f>
        <v>3</v>
      </c>
      <c r="H3758" s="2" t="n">
        <f aca="false">'Raw Data'!V3758</f>
        <v>4</v>
      </c>
      <c r="I3758" s="2" t="n">
        <f aca="false">IF(AND(ISNUMBER(B3758),B3758&lt;=25),2,0)+IF(AND(ISNUMBER(E3758),E3758&lt;=5),2,0)+IF(AND(ISNUMBER(F3758),F3758&lt;=1),2,0)+IF(AND(ISNUMBER(G3758),G3758&lt;=2),1,0)+IF(AND(ISNUMBER(H3758),H3758&lt;=2),1,0)</f>
        <v>2</v>
      </c>
      <c r="J3758" s="2" t="str">
        <f aca="false">IF(I3758&gt;=6,"High",IF(I3758&gt;=3,"Medium","Low"))</f>
        <v>Low</v>
      </c>
    </row>
    <row r="3759" customFormat="false" ht="15" hidden="false" customHeight="true" outlineLevel="0" collapsed="false">
      <c r="A3759" s="2" t="n">
        <f aca="false">'Raw Data'!H3759</f>
        <v>3758</v>
      </c>
      <c r="B3759" s="2" t="n">
        <f aca="false">'Raw Data'!A3759</f>
        <v>32</v>
      </c>
      <c r="C3759" s="2" t="str">
        <f aca="false">'Raw Data'!D3759</f>
        <v>Research &amp; Development</v>
      </c>
      <c r="D3759" s="2" t="str">
        <f aca="false">'Raw Data'!K3759</f>
        <v>Laboratory Technician</v>
      </c>
      <c r="E3759" s="2" t="n">
        <f aca="false">'Raw Data'!Q3759</f>
        <v>10</v>
      </c>
      <c r="F3759" s="2" t="n">
        <f aca="false">'Raw Data'!U3759</f>
        <v>0</v>
      </c>
      <c r="G3759" s="2" t="n">
        <f aca="false">'Raw Data'!W3759</f>
        <v>4</v>
      </c>
      <c r="H3759" s="2" t="n">
        <f aca="false">'Raw Data'!V3759</f>
        <v>3</v>
      </c>
      <c r="I3759" s="2" t="n">
        <f aca="false">IF(AND(ISNUMBER(B3759),B3759&lt;=25),2,0)+IF(AND(ISNUMBER(E3759),E3759&lt;=5),2,0)+IF(AND(ISNUMBER(F3759),F3759&lt;=1),2,0)+IF(AND(ISNUMBER(G3759),G3759&lt;=2),1,0)+IF(AND(ISNUMBER(H3759),H3759&lt;=2),1,0)</f>
        <v>2</v>
      </c>
      <c r="J3759" s="2" t="str">
        <f aca="false">IF(I3759&gt;=6,"High",IF(I3759&gt;=3,"Medium","Low"))</f>
        <v>Low</v>
      </c>
    </row>
    <row r="3760" customFormat="false" ht="15" hidden="false" customHeight="true" outlineLevel="0" collapsed="false">
      <c r="A3760" s="2" t="n">
        <f aca="false">'Raw Data'!H3760</f>
        <v>3759</v>
      </c>
      <c r="B3760" s="2" t="n">
        <f aca="false">'Raw Data'!A3760</f>
        <v>54</v>
      </c>
      <c r="C3760" s="2" t="str">
        <f aca="false">'Raw Data'!D3760</f>
        <v>Sales</v>
      </c>
      <c r="D3760" s="2" t="str">
        <f aca="false">'Raw Data'!K3760</f>
        <v>Research Scientist</v>
      </c>
      <c r="E3760" s="2" t="n">
        <f aca="false">'Raw Data'!Q3760</f>
        <v>26</v>
      </c>
      <c r="F3760" s="2" t="n">
        <f aca="false">'Raw Data'!U3760</f>
        <v>12</v>
      </c>
      <c r="G3760" s="2" t="n">
        <f aca="false">'Raw Data'!W3760</f>
        <v>4</v>
      </c>
      <c r="H3760" s="2" t="n">
        <f aca="false">'Raw Data'!V3760</f>
        <v>2</v>
      </c>
      <c r="I3760" s="2" t="n">
        <f aca="false">IF(AND(ISNUMBER(B3760),B3760&lt;=25),2,0)+IF(AND(ISNUMBER(E3760),E3760&lt;=5),2,0)+IF(AND(ISNUMBER(F3760),F3760&lt;=1),2,0)+IF(AND(ISNUMBER(G3760),G3760&lt;=2),1,0)+IF(AND(ISNUMBER(H3760),H3760&lt;=2),1,0)</f>
        <v>1</v>
      </c>
      <c r="J3760" s="2" t="str">
        <f aca="false">IF(I3760&gt;=6,"High",IF(I3760&gt;=3,"Medium","Low"))</f>
        <v>Low</v>
      </c>
    </row>
    <row r="3761" customFormat="false" ht="15" hidden="false" customHeight="true" outlineLevel="0" collapsed="false">
      <c r="A3761" s="2" t="n">
        <f aca="false">'Raw Data'!H3761</f>
        <v>3760</v>
      </c>
      <c r="B3761" s="2" t="n">
        <f aca="false">'Raw Data'!A3761</f>
        <v>29</v>
      </c>
      <c r="C3761" s="2" t="str">
        <f aca="false">'Raw Data'!D3761</f>
        <v>Research &amp; Development</v>
      </c>
      <c r="D3761" s="2" t="str">
        <f aca="false">'Raw Data'!K3761</f>
        <v>Research Scientist</v>
      </c>
      <c r="E3761" s="2" t="n">
        <f aca="false">'Raw Data'!Q3761</f>
        <v>11</v>
      </c>
      <c r="F3761" s="2" t="n">
        <f aca="false">'Raw Data'!U3761</f>
        <v>7</v>
      </c>
      <c r="G3761" s="2" t="n">
        <f aca="false">'Raw Data'!W3761</f>
        <v>1</v>
      </c>
      <c r="H3761" s="2" t="n">
        <f aca="false">'Raw Data'!V3761</f>
        <v>1</v>
      </c>
      <c r="I3761" s="2" t="n">
        <f aca="false">IF(AND(ISNUMBER(B3761),B3761&lt;=25),2,0)+IF(AND(ISNUMBER(E3761),E3761&lt;=5),2,0)+IF(AND(ISNUMBER(F3761),F3761&lt;=1),2,0)+IF(AND(ISNUMBER(G3761),G3761&lt;=2),1,0)+IF(AND(ISNUMBER(H3761),H3761&lt;=2),1,0)</f>
        <v>2</v>
      </c>
      <c r="J3761" s="2" t="str">
        <f aca="false">IF(I3761&gt;=6,"High",IF(I3761&gt;=3,"Medium","Low"))</f>
        <v>Low</v>
      </c>
    </row>
    <row r="3762" customFormat="false" ht="15" hidden="false" customHeight="true" outlineLevel="0" collapsed="false">
      <c r="A3762" s="2" t="n">
        <f aca="false">'Raw Data'!H3762</f>
        <v>3761</v>
      </c>
      <c r="B3762" s="2" t="n">
        <f aca="false">'Raw Data'!A3762</f>
        <v>44</v>
      </c>
      <c r="C3762" s="2" t="str">
        <f aca="false">'Raw Data'!D3762</f>
        <v>Sales</v>
      </c>
      <c r="D3762" s="2" t="str">
        <f aca="false">'Raw Data'!K3762</f>
        <v>Sales Representative</v>
      </c>
      <c r="E3762" s="2" t="n">
        <f aca="false">'Raw Data'!Q3762</f>
        <v>24</v>
      </c>
      <c r="F3762" s="2" t="n">
        <f aca="false">'Raw Data'!U3762</f>
        <v>17</v>
      </c>
      <c r="G3762" s="2" t="n">
        <f aca="false">'Raw Data'!W3762</f>
        <v>1</v>
      </c>
      <c r="H3762" s="2" t="n">
        <f aca="false">'Raw Data'!V3762</f>
        <v>4</v>
      </c>
      <c r="I3762" s="2" t="n">
        <f aca="false">IF(AND(ISNUMBER(B3762),B3762&lt;=25),2,0)+IF(AND(ISNUMBER(E3762),E3762&lt;=5),2,0)+IF(AND(ISNUMBER(F3762),F3762&lt;=1),2,0)+IF(AND(ISNUMBER(G3762),G3762&lt;=2),1,0)+IF(AND(ISNUMBER(H3762),H3762&lt;=2),1,0)</f>
        <v>1</v>
      </c>
      <c r="J3762" s="2" t="str">
        <f aca="false">IF(I3762&gt;=6,"High",IF(I3762&gt;=3,"Medium","Low"))</f>
        <v>Low</v>
      </c>
    </row>
    <row r="3763" customFormat="false" ht="15" hidden="false" customHeight="true" outlineLevel="0" collapsed="false">
      <c r="A3763" s="2" t="n">
        <f aca="false">'Raw Data'!H3763</f>
        <v>3762</v>
      </c>
      <c r="B3763" s="2" t="n">
        <f aca="false">'Raw Data'!A3763</f>
        <v>39</v>
      </c>
      <c r="C3763" s="2" t="str">
        <f aca="false">'Raw Data'!D3763</f>
        <v>Sales</v>
      </c>
      <c r="D3763" s="2" t="str">
        <f aca="false">'Raw Data'!K3763</f>
        <v>Laboratory Technician</v>
      </c>
      <c r="E3763" s="2" t="n">
        <f aca="false">'Raw Data'!Q3763</f>
        <v>9</v>
      </c>
      <c r="F3763" s="2" t="n">
        <f aca="false">'Raw Data'!U3763</f>
        <v>2</v>
      </c>
      <c r="G3763" s="2" t="n">
        <f aca="false">'Raw Data'!W3763</f>
        <v>2</v>
      </c>
      <c r="H3763" s="2" t="n">
        <f aca="false">'Raw Data'!V3763</f>
        <v>2</v>
      </c>
      <c r="I3763" s="2" t="n">
        <f aca="false">IF(AND(ISNUMBER(B3763),B3763&lt;=25),2,0)+IF(AND(ISNUMBER(E3763),E3763&lt;=5),2,0)+IF(AND(ISNUMBER(F3763),F3763&lt;=1),2,0)+IF(AND(ISNUMBER(G3763),G3763&lt;=2),1,0)+IF(AND(ISNUMBER(H3763),H3763&lt;=2),1,0)</f>
        <v>2</v>
      </c>
      <c r="J3763" s="2" t="str">
        <f aca="false">IF(I3763&gt;=6,"High",IF(I3763&gt;=3,"Medium","Low"))</f>
        <v>Low</v>
      </c>
    </row>
    <row r="3764" customFormat="false" ht="15" hidden="false" customHeight="true" outlineLevel="0" collapsed="false">
      <c r="A3764" s="2" t="n">
        <f aca="false">'Raw Data'!H3764</f>
        <v>3763</v>
      </c>
      <c r="B3764" s="2" t="n">
        <f aca="false">'Raw Data'!A3764</f>
        <v>46</v>
      </c>
      <c r="C3764" s="2" t="str">
        <f aca="false">'Raw Data'!D3764</f>
        <v>Research &amp; Development</v>
      </c>
      <c r="D3764" s="2" t="str">
        <f aca="false">'Raw Data'!K3764</f>
        <v>Manufacturing Director</v>
      </c>
      <c r="E3764" s="2" t="n">
        <f aca="false">'Raw Data'!Q3764</f>
        <v>23</v>
      </c>
      <c r="F3764" s="2" t="n">
        <f aca="false">'Raw Data'!U3764</f>
        <v>1</v>
      </c>
      <c r="G3764" s="2" t="n">
        <f aca="false">'Raw Data'!W3764</f>
        <v>2</v>
      </c>
      <c r="H3764" s="2" t="n">
        <f aca="false">'Raw Data'!V3764</f>
        <v>3</v>
      </c>
      <c r="I3764" s="2" t="n">
        <f aca="false">IF(AND(ISNUMBER(B3764),B3764&lt;=25),2,0)+IF(AND(ISNUMBER(E3764),E3764&lt;=5),2,0)+IF(AND(ISNUMBER(F3764),F3764&lt;=1),2,0)+IF(AND(ISNUMBER(G3764),G3764&lt;=2),1,0)+IF(AND(ISNUMBER(H3764),H3764&lt;=2),1,0)</f>
        <v>3</v>
      </c>
      <c r="J3764" s="2" t="str">
        <f aca="false">IF(I3764&gt;=6,"High",IF(I3764&gt;=3,"Medium","Low"))</f>
        <v>Medium</v>
      </c>
    </row>
    <row r="3765" customFormat="false" ht="15" hidden="false" customHeight="true" outlineLevel="0" collapsed="false">
      <c r="A3765" s="2" t="n">
        <f aca="false">'Raw Data'!H3765</f>
        <v>3764</v>
      </c>
      <c r="B3765" s="2" t="n">
        <f aca="false">'Raw Data'!A3765</f>
        <v>35</v>
      </c>
      <c r="C3765" s="2" t="str">
        <f aca="false">'Raw Data'!D3765</f>
        <v>Research &amp; Development</v>
      </c>
      <c r="D3765" s="2" t="str">
        <f aca="false">'Raw Data'!K3765</f>
        <v>Research Scientist</v>
      </c>
      <c r="E3765" s="2" t="n">
        <f aca="false">'Raw Data'!Q3765</f>
        <v>11</v>
      </c>
      <c r="F3765" s="2" t="n">
        <f aca="false">'Raw Data'!U3765</f>
        <v>3</v>
      </c>
      <c r="G3765" s="2" t="n">
        <f aca="false">'Raw Data'!W3765</f>
        <v>2</v>
      </c>
      <c r="H3765" s="2" t="n">
        <f aca="false">'Raw Data'!V3765</f>
        <v>4</v>
      </c>
      <c r="I3765" s="2" t="n">
        <f aca="false">IF(AND(ISNUMBER(B3765),B3765&lt;=25),2,0)+IF(AND(ISNUMBER(E3765),E3765&lt;=5),2,0)+IF(AND(ISNUMBER(F3765),F3765&lt;=1),2,0)+IF(AND(ISNUMBER(G3765),G3765&lt;=2),1,0)+IF(AND(ISNUMBER(H3765),H3765&lt;=2),1,0)</f>
        <v>1</v>
      </c>
      <c r="J3765" s="2" t="str">
        <f aca="false">IF(I3765&gt;=6,"High",IF(I3765&gt;=3,"Medium","Low"))</f>
        <v>Low</v>
      </c>
    </row>
    <row r="3766" customFormat="false" ht="15" hidden="false" customHeight="true" outlineLevel="0" collapsed="false">
      <c r="A3766" s="2" t="n">
        <f aca="false">'Raw Data'!H3766</f>
        <v>3765</v>
      </c>
      <c r="B3766" s="2" t="n">
        <f aca="false">'Raw Data'!A3766</f>
        <v>23</v>
      </c>
      <c r="C3766" s="2" t="str">
        <f aca="false">'Raw Data'!D3766</f>
        <v>Research &amp; Development</v>
      </c>
      <c r="D3766" s="2" t="str">
        <f aca="false">'Raw Data'!K3766</f>
        <v>Manager</v>
      </c>
      <c r="E3766" s="2" t="n">
        <f aca="false">'Raw Data'!Q3766</f>
        <v>5</v>
      </c>
      <c r="F3766" s="2" t="n">
        <f aca="false">'Raw Data'!U3766</f>
        <v>2</v>
      </c>
      <c r="G3766" s="2" t="n">
        <f aca="false">'Raw Data'!W3766</f>
        <v>3</v>
      </c>
      <c r="H3766" s="2" t="n">
        <f aca="false">'Raw Data'!V3766</f>
        <v>1</v>
      </c>
      <c r="I3766" s="2" t="n">
        <f aca="false">IF(AND(ISNUMBER(B3766),B3766&lt;=25),2,0)+IF(AND(ISNUMBER(E3766),E3766&lt;=5),2,0)+IF(AND(ISNUMBER(F3766),F3766&lt;=1),2,0)+IF(AND(ISNUMBER(G3766),G3766&lt;=2),1,0)+IF(AND(ISNUMBER(H3766),H3766&lt;=2),1,0)</f>
        <v>5</v>
      </c>
      <c r="J3766" s="2" t="str">
        <f aca="false">IF(I3766&gt;=6,"High",IF(I3766&gt;=3,"Medium","Low"))</f>
        <v>Medium</v>
      </c>
    </row>
    <row r="3767" customFormat="false" ht="15" hidden="false" customHeight="true" outlineLevel="0" collapsed="false">
      <c r="A3767" s="2" t="n">
        <f aca="false">'Raw Data'!H3767</f>
        <v>3766</v>
      </c>
      <c r="B3767" s="2" t="n">
        <f aca="false">'Raw Data'!A3767</f>
        <v>40</v>
      </c>
      <c r="C3767" s="2" t="str">
        <f aca="false">'Raw Data'!D3767</f>
        <v>Research &amp; Development</v>
      </c>
      <c r="D3767" s="2" t="str">
        <f aca="false">'Raw Data'!K3767</f>
        <v>Research Director</v>
      </c>
      <c r="E3767" s="2" t="n">
        <f aca="false">'Raw Data'!Q3767</f>
        <v>15</v>
      </c>
      <c r="F3767" s="2" t="n">
        <f aca="false">'Raw Data'!U3767</f>
        <v>0</v>
      </c>
      <c r="G3767" s="2" t="n">
        <f aca="false">'Raw Data'!W3767</f>
        <v>1</v>
      </c>
      <c r="H3767" s="2" t="n">
        <f aca="false">'Raw Data'!V3767</f>
        <v>4</v>
      </c>
      <c r="I3767" s="2" t="n">
        <f aca="false">IF(AND(ISNUMBER(B3767),B3767&lt;=25),2,0)+IF(AND(ISNUMBER(E3767),E3767&lt;=5),2,0)+IF(AND(ISNUMBER(F3767),F3767&lt;=1),2,0)+IF(AND(ISNUMBER(G3767),G3767&lt;=2),1,0)+IF(AND(ISNUMBER(H3767),H3767&lt;=2),1,0)</f>
        <v>3</v>
      </c>
      <c r="J3767" s="2" t="str">
        <f aca="false">IF(I3767&gt;=6,"High",IF(I3767&gt;=3,"Medium","Low"))</f>
        <v>Medium</v>
      </c>
    </row>
    <row r="3768" customFormat="false" ht="15" hidden="false" customHeight="true" outlineLevel="0" collapsed="false">
      <c r="A3768" s="2" t="n">
        <f aca="false">'Raw Data'!H3768</f>
        <v>3767</v>
      </c>
      <c r="B3768" s="2" t="n">
        <f aca="false">'Raw Data'!A3768</f>
        <v>34</v>
      </c>
      <c r="C3768" s="2" t="str">
        <f aca="false">'Raw Data'!D3768</f>
        <v>Human Resources</v>
      </c>
      <c r="D3768" s="2" t="str">
        <f aca="false">'Raw Data'!K3768</f>
        <v>Manufacturing Director</v>
      </c>
      <c r="E3768" s="2" t="n">
        <f aca="false">'Raw Data'!Q3768</f>
        <v>10</v>
      </c>
      <c r="F3768" s="2" t="n">
        <f aca="false">'Raw Data'!U3768</f>
        <v>6</v>
      </c>
      <c r="G3768" s="2" t="n">
        <f aca="false">'Raw Data'!W3768</f>
        <v>3</v>
      </c>
      <c r="H3768" s="2" t="n">
        <f aca="false">'Raw Data'!V3768</f>
        <v>4</v>
      </c>
      <c r="I3768" s="2" t="n">
        <f aca="false">IF(AND(ISNUMBER(B3768),B3768&lt;=25),2,0)+IF(AND(ISNUMBER(E3768),E3768&lt;=5),2,0)+IF(AND(ISNUMBER(F3768),F3768&lt;=1),2,0)+IF(AND(ISNUMBER(G3768),G3768&lt;=2),1,0)+IF(AND(ISNUMBER(H3768),H3768&lt;=2),1,0)</f>
        <v>0</v>
      </c>
      <c r="J3768" s="2" t="str">
        <f aca="false">IF(I3768&gt;=6,"High",IF(I3768&gt;=3,"Medium","Low"))</f>
        <v>Low</v>
      </c>
    </row>
    <row r="3769" customFormat="false" ht="15" hidden="false" customHeight="true" outlineLevel="0" collapsed="false">
      <c r="A3769" s="2" t="n">
        <f aca="false">'Raw Data'!H3769</f>
        <v>3768</v>
      </c>
      <c r="B3769" s="2" t="n">
        <f aca="false">'Raw Data'!A3769</f>
        <v>31</v>
      </c>
      <c r="C3769" s="2" t="str">
        <f aca="false">'Raw Data'!D3769</f>
        <v>Research &amp; Development</v>
      </c>
      <c r="D3769" s="2" t="str">
        <f aca="false">'Raw Data'!K3769</f>
        <v>Healthcare Representative</v>
      </c>
      <c r="E3769" s="2" t="n">
        <f aca="false">'Raw Data'!Q3769</f>
        <v>7</v>
      </c>
      <c r="F3769" s="2" t="n">
        <f aca="false">'Raw Data'!U3769</f>
        <v>7</v>
      </c>
      <c r="G3769" s="2" t="n">
        <f aca="false">'Raw Data'!W3769</f>
        <v>3</v>
      </c>
      <c r="H3769" s="2" t="n">
        <f aca="false">'Raw Data'!V3769</f>
        <v>4</v>
      </c>
      <c r="I3769" s="2" t="n">
        <f aca="false">IF(AND(ISNUMBER(B3769),B3769&lt;=25),2,0)+IF(AND(ISNUMBER(E3769),E3769&lt;=5),2,0)+IF(AND(ISNUMBER(F3769),F3769&lt;=1),2,0)+IF(AND(ISNUMBER(G3769),G3769&lt;=2),1,0)+IF(AND(ISNUMBER(H3769),H3769&lt;=2),1,0)</f>
        <v>0</v>
      </c>
      <c r="J3769" s="2" t="str">
        <f aca="false">IF(I3769&gt;=6,"High",IF(I3769&gt;=3,"Medium","Low"))</f>
        <v>Low</v>
      </c>
    </row>
    <row r="3770" customFormat="false" ht="15" hidden="false" customHeight="true" outlineLevel="0" collapsed="false">
      <c r="A3770" s="2" t="n">
        <f aca="false">'Raw Data'!H3770</f>
        <v>3769</v>
      </c>
      <c r="B3770" s="2" t="n">
        <f aca="false">'Raw Data'!A3770</f>
        <v>50</v>
      </c>
      <c r="C3770" s="2" t="str">
        <f aca="false">'Raw Data'!D3770</f>
        <v>Research &amp; Development</v>
      </c>
      <c r="D3770" s="2" t="str">
        <f aca="false">'Raw Data'!K3770</f>
        <v>Manager</v>
      </c>
      <c r="E3770" s="2" t="n">
        <f aca="false">'Raw Data'!Q3770</f>
        <v>32</v>
      </c>
      <c r="F3770" s="2" t="n">
        <f aca="false">'Raw Data'!U3770</f>
        <v>9</v>
      </c>
      <c r="G3770" s="2" t="n">
        <f aca="false">'Raw Data'!W3770</f>
        <v>4</v>
      </c>
      <c r="H3770" s="2" t="n">
        <f aca="false">'Raw Data'!V3770</f>
        <v>3</v>
      </c>
      <c r="I3770" s="2" t="n">
        <f aca="false">IF(AND(ISNUMBER(B3770),B3770&lt;=25),2,0)+IF(AND(ISNUMBER(E3770),E3770&lt;=5),2,0)+IF(AND(ISNUMBER(F3770),F3770&lt;=1),2,0)+IF(AND(ISNUMBER(G3770),G3770&lt;=2),1,0)+IF(AND(ISNUMBER(H3770),H3770&lt;=2),1,0)</f>
        <v>0</v>
      </c>
      <c r="J3770" s="2" t="str">
        <f aca="false">IF(I3770&gt;=6,"High",IF(I3770&gt;=3,"Medium","Low"))</f>
        <v>Low</v>
      </c>
    </row>
    <row r="3771" customFormat="false" ht="15" hidden="false" customHeight="true" outlineLevel="0" collapsed="false">
      <c r="A3771" s="2" t="n">
        <f aca="false">'Raw Data'!H3771</f>
        <v>3770</v>
      </c>
      <c r="B3771" s="2" t="n">
        <f aca="false">'Raw Data'!A3771</f>
        <v>34</v>
      </c>
      <c r="C3771" s="2" t="str">
        <f aca="false">'Raw Data'!D3771</f>
        <v>Sales</v>
      </c>
      <c r="D3771" s="2" t="str">
        <f aca="false">'Raw Data'!K3771</f>
        <v>Research Scientist</v>
      </c>
      <c r="E3771" s="2" t="n">
        <f aca="false">'Raw Data'!Q3771</f>
        <v>12</v>
      </c>
      <c r="F3771" s="2" t="n">
        <f aca="false">'Raw Data'!U3771</f>
        <v>7</v>
      </c>
      <c r="G3771" s="2" t="n">
        <f aca="false">'Raw Data'!W3771</f>
        <v>3</v>
      </c>
      <c r="H3771" s="2" t="n">
        <f aca="false">'Raw Data'!V3771</f>
        <v>2</v>
      </c>
      <c r="I3771" s="2" t="n">
        <f aca="false">IF(AND(ISNUMBER(B3771),B3771&lt;=25),2,0)+IF(AND(ISNUMBER(E3771),E3771&lt;=5),2,0)+IF(AND(ISNUMBER(F3771),F3771&lt;=1),2,0)+IF(AND(ISNUMBER(G3771),G3771&lt;=2),1,0)+IF(AND(ISNUMBER(H3771),H3771&lt;=2),1,0)</f>
        <v>1</v>
      </c>
      <c r="J3771" s="2" t="str">
        <f aca="false">IF(I3771&gt;=6,"High",IF(I3771&gt;=3,"Medium","Low"))</f>
        <v>Low</v>
      </c>
    </row>
    <row r="3772" customFormat="false" ht="15" hidden="false" customHeight="true" outlineLevel="0" collapsed="false">
      <c r="A3772" s="2" t="n">
        <f aca="false">'Raw Data'!H3772</f>
        <v>3771</v>
      </c>
      <c r="B3772" s="2" t="n">
        <f aca="false">'Raw Data'!A3772</f>
        <v>42</v>
      </c>
      <c r="C3772" s="2" t="str">
        <f aca="false">'Raw Data'!D3772</f>
        <v>Research &amp; Development</v>
      </c>
      <c r="D3772" s="2" t="str">
        <f aca="false">'Raw Data'!K3772</f>
        <v>Manufacturing Director</v>
      </c>
      <c r="E3772" s="2" t="n">
        <f aca="false">'Raw Data'!Q3772</f>
        <v>4</v>
      </c>
      <c r="F3772" s="2" t="n">
        <f aca="false">'Raw Data'!U3772</f>
        <v>0</v>
      </c>
      <c r="G3772" s="2" t="n">
        <f aca="false">'Raw Data'!W3772</f>
        <v>2</v>
      </c>
      <c r="H3772" s="2" t="n">
        <f aca="false">'Raw Data'!V3772</f>
        <v>3</v>
      </c>
      <c r="I3772" s="2" t="n">
        <f aca="false">IF(AND(ISNUMBER(B3772),B3772&lt;=25),2,0)+IF(AND(ISNUMBER(E3772),E3772&lt;=5),2,0)+IF(AND(ISNUMBER(F3772),F3772&lt;=1),2,0)+IF(AND(ISNUMBER(G3772),G3772&lt;=2),1,0)+IF(AND(ISNUMBER(H3772),H3772&lt;=2),1,0)</f>
        <v>5</v>
      </c>
      <c r="J3772" s="2" t="str">
        <f aca="false">IF(I3772&gt;=6,"High",IF(I3772&gt;=3,"Medium","Low"))</f>
        <v>Medium</v>
      </c>
    </row>
    <row r="3773" customFormat="false" ht="15" hidden="false" customHeight="true" outlineLevel="0" collapsed="false">
      <c r="A3773" s="2" t="n">
        <f aca="false">'Raw Data'!H3773</f>
        <v>3772</v>
      </c>
      <c r="B3773" s="2" t="n">
        <f aca="false">'Raw Data'!A3773</f>
        <v>37</v>
      </c>
      <c r="C3773" s="2" t="str">
        <f aca="false">'Raw Data'!D3773</f>
        <v>Research &amp; Development</v>
      </c>
      <c r="D3773" s="2" t="str">
        <f aca="false">'Raw Data'!K3773</f>
        <v>Research Scientist</v>
      </c>
      <c r="E3773" s="2" t="n">
        <f aca="false">'Raw Data'!Q3773</f>
        <v>10</v>
      </c>
      <c r="F3773" s="2" t="n">
        <f aca="false">'Raw Data'!U3773</f>
        <v>7</v>
      </c>
      <c r="G3773" s="2" t="n">
        <f aca="false">'Raw Data'!W3773</f>
        <v>4</v>
      </c>
      <c r="H3773" s="2" t="n">
        <f aca="false">'Raw Data'!V3773</f>
        <v>1</v>
      </c>
      <c r="I3773" s="2" t="n">
        <f aca="false">IF(AND(ISNUMBER(B3773),B3773&lt;=25),2,0)+IF(AND(ISNUMBER(E3773),E3773&lt;=5),2,0)+IF(AND(ISNUMBER(F3773),F3773&lt;=1),2,0)+IF(AND(ISNUMBER(G3773),G3773&lt;=2),1,0)+IF(AND(ISNUMBER(H3773),H3773&lt;=2),1,0)</f>
        <v>1</v>
      </c>
      <c r="J3773" s="2" t="str">
        <f aca="false">IF(I3773&gt;=6,"High",IF(I3773&gt;=3,"Medium","Low"))</f>
        <v>Low</v>
      </c>
    </row>
    <row r="3774" customFormat="false" ht="15" hidden="false" customHeight="true" outlineLevel="0" collapsed="false">
      <c r="A3774" s="2" t="n">
        <f aca="false">'Raw Data'!H3774</f>
        <v>3773</v>
      </c>
      <c r="B3774" s="2" t="n">
        <f aca="false">'Raw Data'!A3774</f>
        <v>29</v>
      </c>
      <c r="C3774" s="2" t="str">
        <f aca="false">'Raw Data'!D3774</f>
        <v>Research &amp; Development</v>
      </c>
      <c r="D3774" s="2" t="str">
        <f aca="false">'Raw Data'!K3774</f>
        <v>Manager</v>
      </c>
      <c r="E3774" s="2" t="n">
        <f aca="false">'Raw Data'!Q3774</f>
        <v>9</v>
      </c>
      <c r="F3774" s="2" t="n">
        <f aca="false">'Raw Data'!U3774</f>
        <v>7</v>
      </c>
      <c r="G3774" s="2" t="n">
        <f aca="false">'Raw Data'!W3774</f>
        <v>1</v>
      </c>
      <c r="H3774" s="2" t="n">
        <f aca="false">'Raw Data'!V3774</f>
        <v>3</v>
      </c>
      <c r="I3774" s="2" t="n">
        <f aca="false">IF(AND(ISNUMBER(B3774),B3774&lt;=25),2,0)+IF(AND(ISNUMBER(E3774),E3774&lt;=5),2,0)+IF(AND(ISNUMBER(F3774),F3774&lt;=1),2,0)+IF(AND(ISNUMBER(G3774),G3774&lt;=2),1,0)+IF(AND(ISNUMBER(H3774),H3774&lt;=2),1,0)</f>
        <v>1</v>
      </c>
      <c r="J3774" s="2" t="str">
        <f aca="false">IF(I3774&gt;=6,"High",IF(I3774&gt;=3,"Medium","Low"))</f>
        <v>Low</v>
      </c>
    </row>
    <row r="3775" customFormat="false" ht="15" hidden="false" customHeight="true" outlineLevel="0" collapsed="false">
      <c r="A3775" s="2" t="n">
        <f aca="false">'Raw Data'!H3775</f>
        <v>3774</v>
      </c>
      <c r="B3775" s="2" t="n">
        <f aca="false">'Raw Data'!A3775</f>
        <v>33</v>
      </c>
      <c r="C3775" s="2" t="str">
        <f aca="false">'Raw Data'!D3775</f>
        <v>Research &amp; Development</v>
      </c>
      <c r="D3775" s="2" t="str">
        <f aca="false">'Raw Data'!K3775</f>
        <v>Research Scientist</v>
      </c>
      <c r="E3775" s="2" t="n">
        <f aca="false">'Raw Data'!Q3775</f>
        <v>5</v>
      </c>
      <c r="F3775" s="2" t="n">
        <f aca="false">'Raw Data'!U3775</f>
        <v>2</v>
      </c>
      <c r="G3775" s="2" t="n">
        <f aca="false">'Raw Data'!W3775</f>
        <v>2</v>
      </c>
      <c r="H3775" s="2" t="n">
        <f aca="false">'Raw Data'!V3775</f>
        <v>4</v>
      </c>
      <c r="I3775" s="2" t="n">
        <f aca="false">IF(AND(ISNUMBER(B3775),B3775&lt;=25),2,0)+IF(AND(ISNUMBER(E3775),E3775&lt;=5),2,0)+IF(AND(ISNUMBER(F3775),F3775&lt;=1),2,0)+IF(AND(ISNUMBER(G3775),G3775&lt;=2),1,0)+IF(AND(ISNUMBER(H3775),H3775&lt;=2),1,0)</f>
        <v>3</v>
      </c>
      <c r="J3775" s="2" t="str">
        <f aca="false">IF(I3775&gt;=6,"High",IF(I3775&gt;=3,"Medium","Low"))</f>
        <v>Medium</v>
      </c>
    </row>
    <row r="3776" customFormat="false" ht="15" hidden="false" customHeight="true" outlineLevel="0" collapsed="false">
      <c r="A3776" s="2" t="n">
        <f aca="false">'Raw Data'!H3776</f>
        <v>3775</v>
      </c>
      <c r="B3776" s="2" t="n">
        <f aca="false">'Raw Data'!A3776</f>
        <v>45</v>
      </c>
      <c r="C3776" s="2" t="str">
        <f aca="false">'Raw Data'!D3776</f>
        <v>Sales</v>
      </c>
      <c r="D3776" s="2" t="str">
        <f aca="false">'Raw Data'!K3776</f>
        <v>Laboratory Technician</v>
      </c>
      <c r="E3776" s="2" t="n">
        <f aca="false">'Raw Data'!Q3776</f>
        <v>8</v>
      </c>
      <c r="F3776" s="2" t="n">
        <f aca="false">'Raw Data'!U3776</f>
        <v>3</v>
      </c>
      <c r="G3776" s="2" t="n">
        <f aca="false">'Raw Data'!W3776</f>
        <v>4</v>
      </c>
      <c r="H3776" s="2" t="n">
        <f aca="false">'Raw Data'!V3776</f>
        <v>4</v>
      </c>
      <c r="I3776" s="2" t="n">
        <f aca="false">IF(AND(ISNUMBER(B3776),B3776&lt;=25),2,0)+IF(AND(ISNUMBER(E3776),E3776&lt;=5),2,0)+IF(AND(ISNUMBER(F3776),F3776&lt;=1),2,0)+IF(AND(ISNUMBER(G3776),G3776&lt;=2),1,0)+IF(AND(ISNUMBER(H3776),H3776&lt;=2),1,0)</f>
        <v>0</v>
      </c>
      <c r="J3776" s="2" t="str">
        <f aca="false">IF(I3776&gt;=6,"High",IF(I3776&gt;=3,"Medium","Low"))</f>
        <v>Low</v>
      </c>
    </row>
    <row r="3777" customFormat="false" ht="15" hidden="false" customHeight="true" outlineLevel="0" collapsed="false">
      <c r="A3777" s="2" t="n">
        <f aca="false">'Raw Data'!H3777</f>
        <v>3776</v>
      </c>
      <c r="B3777" s="2" t="n">
        <f aca="false">'Raw Data'!A3777</f>
        <v>42</v>
      </c>
      <c r="C3777" s="2" t="str">
        <f aca="false">'Raw Data'!D3777</f>
        <v>Human Resources</v>
      </c>
      <c r="D3777" s="2" t="str">
        <f aca="false">'Raw Data'!K3777</f>
        <v>Manufacturing Director</v>
      </c>
      <c r="E3777" s="2" t="n">
        <f aca="false">'Raw Data'!Q3777</f>
        <v>24</v>
      </c>
      <c r="F3777" s="2" t="n">
        <f aca="false">'Raw Data'!U3777</f>
        <v>9</v>
      </c>
      <c r="G3777" s="2" t="n">
        <f aca="false">'Raw Data'!W3777</f>
        <v>4</v>
      </c>
      <c r="H3777" s="2" t="n">
        <f aca="false">'Raw Data'!V3777</f>
        <v>4</v>
      </c>
      <c r="I3777" s="2" t="n">
        <f aca="false">IF(AND(ISNUMBER(B3777),B3777&lt;=25),2,0)+IF(AND(ISNUMBER(E3777),E3777&lt;=5),2,0)+IF(AND(ISNUMBER(F3777),F3777&lt;=1),2,0)+IF(AND(ISNUMBER(G3777),G3777&lt;=2),1,0)+IF(AND(ISNUMBER(H3777),H3777&lt;=2),1,0)</f>
        <v>0</v>
      </c>
      <c r="J3777" s="2" t="str">
        <f aca="false">IF(I3777&gt;=6,"High",IF(I3777&gt;=3,"Medium","Low"))</f>
        <v>Low</v>
      </c>
    </row>
    <row r="3778" customFormat="false" ht="15" hidden="false" customHeight="true" outlineLevel="0" collapsed="false">
      <c r="A3778" s="2" t="n">
        <f aca="false">'Raw Data'!H3778</f>
        <v>3777</v>
      </c>
      <c r="B3778" s="2" t="n">
        <f aca="false">'Raw Data'!A3778</f>
        <v>40</v>
      </c>
      <c r="C3778" s="2" t="str">
        <f aca="false">'Raw Data'!D3778</f>
        <v>Sales</v>
      </c>
      <c r="D3778" s="2" t="str">
        <f aca="false">'Raw Data'!K3778</f>
        <v>Manufacturing Director</v>
      </c>
      <c r="E3778" s="2" t="n">
        <f aca="false">'Raw Data'!Q3778</f>
        <v>9</v>
      </c>
      <c r="F3778" s="2" t="n">
        <f aca="false">'Raw Data'!U3778</f>
        <v>1</v>
      </c>
      <c r="G3778" s="2" t="n">
        <f aca="false">'Raw Data'!W3778</f>
        <v>1</v>
      </c>
      <c r="H3778" s="2" t="n">
        <f aca="false">'Raw Data'!V3778</f>
        <v>1</v>
      </c>
      <c r="I3778" s="2" t="n">
        <f aca="false">IF(AND(ISNUMBER(B3778),B3778&lt;=25),2,0)+IF(AND(ISNUMBER(E3778),E3778&lt;=5),2,0)+IF(AND(ISNUMBER(F3778),F3778&lt;=1),2,0)+IF(AND(ISNUMBER(G3778),G3778&lt;=2),1,0)+IF(AND(ISNUMBER(H3778),H3778&lt;=2),1,0)</f>
        <v>4</v>
      </c>
      <c r="J3778" s="2" t="str">
        <f aca="false">IF(I3778&gt;=6,"High",IF(I3778&gt;=3,"Medium","Low"))</f>
        <v>Medium</v>
      </c>
    </row>
    <row r="3779" customFormat="false" ht="15" hidden="false" customHeight="true" outlineLevel="0" collapsed="false">
      <c r="A3779" s="2" t="n">
        <f aca="false">'Raw Data'!H3779</f>
        <v>3778</v>
      </c>
      <c r="B3779" s="2" t="n">
        <f aca="false">'Raw Data'!A3779</f>
        <v>33</v>
      </c>
      <c r="C3779" s="2" t="str">
        <f aca="false">'Raw Data'!D3779</f>
        <v>Research &amp; Development</v>
      </c>
      <c r="D3779" s="2" t="str">
        <f aca="false">'Raw Data'!K3779</f>
        <v>Manufacturing Director</v>
      </c>
      <c r="E3779" s="2" t="n">
        <f aca="false">'Raw Data'!Q3779</f>
        <v>15</v>
      </c>
      <c r="F3779" s="2" t="n">
        <f aca="false">'Raw Data'!U3779</f>
        <v>7</v>
      </c>
      <c r="G3779" s="2" t="n">
        <f aca="false">'Raw Data'!W3779</f>
        <v>3</v>
      </c>
      <c r="H3779" s="2" t="n">
        <f aca="false">'Raw Data'!V3779</f>
        <v>2</v>
      </c>
      <c r="I3779" s="2" t="n">
        <f aca="false">IF(AND(ISNUMBER(B3779),B3779&lt;=25),2,0)+IF(AND(ISNUMBER(E3779),E3779&lt;=5),2,0)+IF(AND(ISNUMBER(F3779),F3779&lt;=1),2,0)+IF(AND(ISNUMBER(G3779),G3779&lt;=2),1,0)+IF(AND(ISNUMBER(H3779),H3779&lt;=2),1,0)</f>
        <v>1</v>
      </c>
      <c r="J3779" s="2" t="str">
        <f aca="false">IF(I3779&gt;=6,"High",IF(I3779&gt;=3,"Medium","Low"))</f>
        <v>Low</v>
      </c>
    </row>
    <row r="3780" customFormat="false" ht="15" hidden="false" customHeight="true" outlineLevel="0" collapsed="false">
      <c r="A3780" s="2" t="n">
        <f aca="false">'Raw Data'!H3780</f>
        <v>3779</v>
      </c>
      <c r="B3780" s="2" t="n">
        <f aca="false">'Raw Data'!A3780</f>
        <v>40</v>
      </c>
      <c r="C3780" s="2" t="str">
        <f aca="false">'Raw Data'!D3780</f>
        <v>Sales</v>
      </c>
      <c r="D3780" s="2" t="str">
        <f aca="false">'Raw Data'!K3780</f>
        <v>Manufacturing Director</v>
      </c>
      <c r="E3780" s="2" t="n">
        <f aca="false">'Raw Data'!Q3780</f>
        <v>21</v>
      </c>
      <c r="F3780" s="2" t="n">
        <f aca="false">'Raw Data'!U3780</f>
        <v>7</v>
      </c>
      <c r="G3780" s="2" t="n">
        <f aca="false">'Raw Data'!W3780</f>
        <v>0</v>
      </c>
      <c r="H3780" s="2" t="n">
        <f aca="false">'Raw Data'!V3780</f>
        <v>3</v>
      </c>
      <c r="I3780" s="2" t="n">
        <f aca="false">IF(AND(ISNUMBER(B3780),B3780&lt;=25),2,0)+IF(AND(ISNUMBER(E3780),E3780&lt;=5),2,0)+IF(AND(ISNUMBER(F3780),F3780&lt;=1),2,0)+IF(AND(ISNUMBER(G3780),G3780&lt;=2),1,0)+IF(AND(ISNUMBER(H3780),H3780&lt;=2),1,0)</f>
        <v>0</v>
      </c>
      <c r="J3780" s="2" t="str">
        <f aca="false">IF(I3780&gt;=6,"High",IF(I3780&gt;=3,"Medium","Low"))</f>
        <v>Low</v>
      </c>
    </row>
    <row r="3781" customFormat="false" ht="15" hidden="false" customHeight="true" outlineLevel="0" collapsed="false">
      <c r="A3781" s="2" t="n">
        <f aca="false">'Raw Data'!H3781</f>
        <v>3780</v>
      </c>
      <c r="B3781" s="2" t="n">
        <f aca="false">'Raw Data'!A3781</f>
        <v>24</v>
      </c>
      <c r="C3781" s="2" t="str">
        <f aca="false">'Raw Data'!D3781</f>
        <v>Sales</v>
      </c>
      <c r="D3781" s="2" t="str">
        <f aca="false">'Raw Data'!K3781</f>
        <v>Manufacturing Director</v>
      </c>
      <c r="E3781" s="2" t="n">
        <f aca="false">'Raw Data'!Q3781</f>
        <v>2</v>
      </c>
      <c r="F3781" s="2" t="n">
        <f aca="false">'Raw Data'!U3781</f>
        <v>0</v>
      </c>
      <c r="G3781" s="2" t="n">
        <f aca="false">'Raw Data'!W3781</f>
        <v>1</v>
      </c>
      <c r="H3781" s="2" t="n">
        <f aca="false">'Raw Data'!V3781</f>
        <v>3</v>
      </c>
      <c r="I3781" s="2" t="n">
        <f aca="false">IF(AND(ISNUMBER(B3781),B3781&lt;=25),2,0)+IF(AND(ISNUMBER(E3781),E3781&lt;=5),2,0)+IF(AND(ISNUMBER(F3781),F3781&lt;=1),2,0)+IF(AND(ISNUMBER(G3781),G3781&lt;=2),1,0)+IF(AND(ISNUMBER(H3781),H3781&lt;=2),1,0)</f>
        <v>7</v>
      </c>
      <c r="J3781" s="2" t="str">
        <f aca="false">IF(I3781&gt;=6,"High",IF(I3781&gt;=3,"Medium","Low"))</f>
        <v>High</v>
      </c>
    </row>
    <row r="3782" customFormat="false" ht="15" hidden="false" customHeight="true" outlineLevel="0" collapsed="false">
      <c r="A3782" s="2" t="n">
        <f aca="false">'Raw Data'!H3782</f>
        <v>3781</v>
      </c>
      <c r="B3782" s="2" t="n">
        <f aca="false">'Raw Data'!A3782</f>
        <v>40</v>
      </c>
      <c r="C3782" s="2" t="str">
        <f aca="false">'Raw Data'!D3782</f>
        <v>Research &amp; Development</v>
      </c>
      <c r="D3782" s="2" t="str">
        <f aca="false">'Raw Data'!K3782</f>
        <v>Research Scientist</v>
      </c>
      <c r="E3782" s="2" t="n">
        <f aca="false">'Raw Data'!Q3782</f>
        <v>8</v>
      </c>
      <c r="F3782" s="2" t="n">
        <f aca="false">'Raw Data'!U3782</f>
        <v>2</v>
      </c>
      <c r="G3782" s="2" t="n">
        <f aca="false">'Raw Data'!W3782</f>
        <v>4</v>
      </c>
      <c r="H3782" s="2" t="n">
        <f aca="false">'Raw Data'!V3782</f>
        <v>4</v>
      </c>
      <c r="I3782" s="2" t="n">
        <f aca="false">IF(AND(ISNUMBER(B3782),B3782&lt;=25),2,0)+IF(AND(ISNUMBER(E3782),E3782&lt;=5),2,0)+IF(AND(ISNUMBER(F3782),F3782&lt;=1),2,0)+IF(AND(ISNUMBER(G3782),G3782&lt;=2),1,0)+IF(AND(ISNUMBER(H3782),H3782&lt;=2),1,0)</f>
        <v>0</v>
      </c>
      <c r="J3782" s="2" t="str">
        <f aca="false">IF(I3782&gt;=6,"High",IF(I3782&gt;=3,"Medium","Low"))</f>
        <v>Low</v>
      </c>
    </row>
    <row r="3783" customFormat="false" ht="15" hidden="false" customHeight="true" outlineLevel="0" collapsed="false">
      <c r="A3783" s="2" t="n">
        <f aca="false">'Raw Data'!H3783</f>
        <v>3782</v>
      </c>
      <c r="B3783" s="2" t="n">
        <f aca="false">'Raw Data'!A3783</f>
        <v>45</v>
      </c>
      <c r="C3783" s="2" t="str">
        <f aca="false">'Raw Data'!D3783</f>
        <v>Research &amp; Development</v>
      </c>
      <c r="D3783" s="2" t="str">
        <f aca="false">'Raw Data'!K3783</f>
        <v>Laboratory Technician</v>
      </c>
      <c r="E3783" s="2" t="n">
        <f aca="false">'Raw Data'!Q3783</f>
        <v>10</v>
      </c>
      <c r="F3783" s="2" t="n">
        <f aca="false">'Raw Data'!U3783</f>
        <v>7</v>
      </c>
      <c r="G3783" s="2" t="n">
        <f aca="false">'Raw Data'!W3783</f>
        <v>2</v>
      </c>
      <c r="H3783" s="2" t="n">
        <f aca="false">'Raw Data'!V3783</f>
        <v>1</v>
      </c>
      <c r="I3783" s="2" t="n">
        <f aca="false">IF(AND(ISNUMBER(B3783),B3783&lt;=25),2,0)+IF(AND(ISNUMBER(E3783),E3783&lt;=5),2,0)+IF(AND(ISNUMBER(F3783),F3783&lt;=1),2,0)+IF(AND(ISNUMBER(G3783),G3783&lt;=2),1,0)+IF(AND(ISNUMBER(H3783),H3783&lt;=2),1,0)</f>
        <v>2</v>
      </c>
      <c r="J3783" s="2" t="str">
        <f aca="false">IF(I3783&gt;=6,"High",IF(I3783&gt;=3,"Medium","Low"))</f>
        <v>Low</v>
      </c>
    </row>
    <row r="3784" customFormat="false" ht="15" hidden="false" customHeight="true" outlineLevel="0" collapsed="false">
      <c r="A3784" s="2" t="n">
        <f aca="false">'Raw Data'!H3784</f>
        <v>3783</v>
      </c>
      <c r="B3784" s="2" t="n">
        <f aca="false">'Raw Data'!A3784</f>
        <v>35</v>
      </c>
      <c r="C3784" s="2" t="str">
        <f aca="false">'Raw Data'!D3784</f>
        <v>Research &amp; Development</v>
      </c>
      <c r="D3784" s="2" t="str">
        <f aca="false">'Raw Data'!K3784</f>
        <v>Healthcare Representative</v>
      </c>
      <c r="E3784" s="2" t="n">
        <f aca="false">'Raw Data'!Q3784</f>
        <v>6</v>
      </c>
      <c r="F3784" s="2" t="n">
        <f aca="false">'Raw Data'!U3784</f>
        <v>2</v>
      </c>
      <c r="G3784" s="2" t="n">
        <f aca="false">'Raw Data'!W3784</f>
        <v>3</v>
      </c>
      <c r="H3784" s="2" t="n">
        <f aca="false">'Raw Data'!V3784</f>
        <v>2</v>
      </c>
      <c r="I3784" s="2" t="n">
        <f aca="false">IF(AND(ISNUMBER(B3784),B3784&lt;=25),2,0)+IF(AND(ISNUMBER(E3784),E3784&lt;=5),2,0)+IF(AND(ISNUMBER(F3784),F3784&lt;=1),2,0)+IF(AND(ISNUMBER(G3784),G3784&lt;=2),1,0)+IF(AND(ISNUMBER(H3784),H3784&lt;=2),1,0)</f>
        <v>1</v>
      </c>
      <c r="J3784" s="2" t="str">
        <f aca="false">IF(I3784&gt;=6,"High",IF(I3784&gt;=3,"Medium","Low"))</f>
        <v>Low</v>
      </c>
    </row>
    <row r="3785" customFormat="false" ht="15" hidden="false" customHeight="true" outlineLevel="0" collapsed="false">
      <c r="A3785" s="2" t="n">
        <f aca="false">'Raw Data'!H3785</f>
        <v>3784</v>
      </c>
      <c r="B3785" s="2" t="n">
        <f aca="false">'Raw Data'!A3785</f>
        <v>32</v>
      </c>
      <c r="C3785" s="2" t="str">
        <f aca="false">'Raw Data'!D3785</f>
        <v>Research &amp; Development</v>
      </c>
      <c r="D3785" s="2" t="str">
        <f aca="false">'Raw Data'!K3785</f>
        <v>Sales Executive</v>
      </c>
      <c r="E3785" s="2" t="n">
        <f aca="false">'Raw Data'!Q3785</f>
        <v>12</v>
      </c>
      <c r="F3785" s="2" t="n">
        <f aca="false">'Raw Data'!U3785</f>
        <v>5</v>
      </c>
      <c r="G3785" s="2" t="n">
        <f aca="false">'Raw Data'!W3785</f>
        <v>2</v>
      </c>
      <c r="H3785" s="2" t="n">
        <f aca="false">'Raw Data'!V3785</f>
        <v>4</v>
      </c>
      <c r="I3785" s="2" t="n">
        <f aca="false">IF(AND(ISNUMBER(B3785),B3785&lt;=25),2,0)+IF(AND(ISNUMBER(E3785),E3785&lt;=5),2,0)+IF(AND(ISNUMBER(F3785),F3785&lt;=1),2,0)+IF(AND(ISNUMBER(G3785),G3785&lt;=2),1,0)+IF(AND(ISNUMBER(H3785),H3785&lt;=2),1,0)</f>
        <v>1</v>
      </c>
      <c r="J3785" s="2" t="str">
        <f aca="false">IF(I3785&gt;=6,"High",IF(I3785&gt;=3,"Medium","Low"))</f>
        <v>Low</v>
      </c>
    </row>
    <row r="3786" customFormat="false" ht="15" hidden="false" customHeight="true" outlineLevel="0" collapsed="false">
      <c r="A3786" s="2" t="n">
        <f aca="false">'Raw Data'!H3786</f>
        <v>3785</v>
      </c>
      <c r="B3786" s="2" t="n">
        <f aca="false">'Raw Data'!A3786</f>
        <v>36</v>
      </c>
      <c r="C3786" s="2" t="str">
        <f aca="false">'Raw Data'!D3786</f>
        <v>Sales</v>
      </c>
      <c r="D3786" s="2" t="str">
        <f aca="false">'Raw Data'!K3786</f>
        <v>Research Scientist</v>
      </c>
      <c r="E3786" s="2" t="n">
        <f aca="false">'Raw Data'!Q3786</f>
        <v>7</v>
      </c>
      <c r="F3786" s="2" t="n">
        <f aca="false">'Raw Data'!U3786</f>
        <v>2</v>
      </c>
      <c r="G3786" s="2" t="n">
        <f aca="false">'Raw Data'!W3786</f>
        <v>4</v>
      </c>
      <c r="H3786" s="2" t="n">
        <f aca="false">'Raw Data'!V3786</f>
        <v>3</v>
      </c>
      <c r="I3786" s="2" t="n">
        <f aca="false">IF(AND(ISNUMBER(B3786),B3786&lt;=25),2,0)+IF(AND(ISNUMBER(E3786),E3786&lt;=5),2,0)+IF(AND(ISNUMBER(F3786),F3786&lt;=1),2,0)+IF(AND(ISNUMBER(G3786),G3786&lt;=2),1,0)+IF(AND(ISNUMBER(H3786),H3786&lt;=2),1,0)</f>
        <v>0</v>
      </c>
      <c r="J3786" s="2" t="str">
        <f aca="false">IF(I3786&gt;=6,"High",IF(I3786&gt;=3,"Medium","Low"))</f>
        <v>Low</v>
      </c>
    </row>
    <row r="3787" customFormat="false" ht="15" hidden="false" customHeight="true" outlineLevel="0" collapsed="false">
      <c r="A3787" s="2" t="n">
        <f aca="false">'Raw Data'!H3787</f>
        <v>3786</v>
      </c>
      <c r="B3787" s="2" t="n">
        <f aca="false">'Raw Data'!A3787</f>
        <v>48</v>
      </c>
      <c r="C3787" s="2" t="str">
        <f aca="false">'Raw Data'!D3787</f>
        <v>Research &amp; Development</v>
      </c>
      <c r="D3787" s="2" t="str">
        <f aca="false">'Raw Data'!K3787</f>
        <v>Laboratory Technician</v>
      </c>
      <c r="E3787" s="2" t="n">
        <f aca="false">'Raw Data'!Q3787</f>
        <v>18</v>
      </c>
      <c r="F3787" s="2" t="n">
        <f aca="false">'Raw Data'!U3787</f>
        <v>7</v>
      </c>
      <c r="G3787" s="2" t="n">
        <f aca="false">'Raw Data'!W3787</f>
        <v>3</v>
      </c>
      <c r="H3787" s="2" t="n">
        <f aca="false">'Raw Data'!V3787</f>
        <v>3</v>
      </c>
      <c r="I3787" s="2" t="n">
        <f aca="false">IF(AND(ISNUMBER(B3787),B3787&lt;=25),2,0)+IF(AND(ISNUMBER(E3787),E3787&lt;=5),2,0)+IF(AND(ISNUMBER(F3787),F3787&lt;=1),2,0)+IF(AND(ISNUMBER(G3787),G3787&lt;=2),1,0)+IF(AND(ISNUMBER(H3787),H3787&lt;=2),1,0)</f>
        <v>0</v>
      </c>
      <c r="J3787" s="2" t="str">
        <f aca="false">IF(I3787&gt;=6,"High",IF(I3787&gt;=3,"Medium","Low"))</f>
        <v>Low</v>
      </c>
    </row>
    <row r="3788" customFormat="false" ht="15" hidden="false" customHeight="true" outlineLevel="0" collapsed="false">
      <c r="A3788" s="2" t="n">
        <f aca="false">'Raw Data'!H3788</f>
        <v>3787</v>
      </c>
      <c r="B3788" s="2" t="n">
        <f aca="false">'Raw Data'!A3788</f>
        <v>29</v>
      </c>
      <c r="C3788" s="2" t="str">
        <f aca="false">'Raw Data'!D3788</f>
        <v>Research &amp; Development</v>
      </c>
      <c r="D3788" s="2" t="str">
        <f aca="false">'Raw Data'!K3788</f>
        <v>Healthcare Representative</v>
      </c>
      <c r="E3788" s="2" t="n">
        <f aca="false">'Raw Data'!Q3788</f>
        <v>5</v>
      </c>
      <c r="F3788" s="2" t="n">
        <f aca="false">'Raw Data'!U3788</f>
        <v>0</v>
      </c>
      <c r="G3788" s="2" t="n">
        <f aca="false">'Raw Data'!W3788</f>
        <v>3</v>
      </c>
      <c r="H3788" s="2" t="n">
        <f aca="false">'Raw Data'!V3788</f>
        <v>3</v>
      </c>
      <c r="I3788" s="2" t="n">
        <f aca="false">IF(AND(ISNUMBER(B3788),B3788&lt;=25),2,0)+IF(AND(ISNUMBER(E3788),E3788&lt;=5),2,0)+IF(AND(ISNUMBER(F3788),F3788&lt;=1),2,0)+IF(AND(ISNUMBER(G3788),G3788&lt;=2),1,0)+IF(AND(ISNUMBER(H3788),H3788&lt;=2),1,0)</f>
        <v>4</v>
      </c>
      <c r="J3788" s="2" t="str">
        <f aca="false">IF(I3788&gt;=6,"High",IF(I3788&gt;=3,"Medium","Low"))</f>
        <v>Medium</v>
      </c>
    </row>
    <row r="3789" customFormat="false" ht="15" hidden="false" customHeight="true" outlineLevel="0" collapsed="false">
      <c r="A3789" s="2" t="n">
        <f aca="false">'Raw Data'!H3789</f>
        <v>3788</v>
      </c>
      <c r="B3789" s="2" t="n">
        <f aca="false">'Raw Data'!A3789</f>
        <v>33</v>
      </c>
      <c r="C3789" s="2" t="str">
        <f aca="false">'Raw Data'!D3789</f>
        <v>Research &amp; Development</v>
      </c>
      <c r="D3789" s="2" t="str">
        <f aca="false">'Raw Data'!K3789</f>
        <v>Healthcare Representative</v>
      </c>
      <c r="E3789" s="2" t="n">
        <f aca="false">'Raw Data'!Q3789</f>
        <v>8</v>
      </c>
      <c r="F3789" s="2" t="n">
        <f aca="false">'Raw Data'!U3789</f>
        <v>2</v>
      </c>
      <c r="G3789" s="2" t="n">
        <f aca="false">'Raw Data'!W3789</f>
        <v>1</v>
      </c>
      <c r="H3789" s="2" t="n">
        <f aca="false">'Raw Data'!V3789</f>
        <v>1</v>
      </c>
      <c r="I3789" s="2" t="n">
        <f aca="false">IF(AND(ISNUMBER(B3789),B3789&lt;=25),2,0)+IF(AND(ISNUMBER(E3789),E3789&lt;=5),2,0)+IF(AND(ISNUMBER(F3789),F3789&lt;=1),2,0)+IF(AND(ISNUMBER(G3789),G3789&lt;=2),1,0)+IF(AND(ISNUMBER(H3789),H3789&lt;=2),1,0)</f>
        <v>2</v>
      </c>
      <c r="J3789" s="2" t="str">
        <f aca="false">IF(I3789&gt;=6,"High",IF(I3789&gt;=3,"Medium","Low"))</f>
        <v>Low</v>
      </c>
    </row>
    <row r="3790" customFormat="false" ht="15" hidden="false" customHeight="true" outlineLevel="0" collapsed="false">
      <c r="A3790" s="2" t="n">
        <f aca="false">'Raw Data'!H3790</f>
        <v>3789</v>
      </c>
      <c r="B3790" s="2" t="n">
        <f aca="false">'Raw Data'!A3790</f>
        <v>30</v>
      </c>
      <c r="C3790" s="2" t="str">
        <f aca="false">'Raw Data'!D3790</f>
        <v>Research &amp; Development</v>
      </c>
      <c r="D3790" s="2" t="str">
        <f aca="false">'Raw Data'!K3790</f>
        <v>Sales Executive</v>
      </c>
      <c r="E3790" s="2" t="n">
        <f aca="false">'Raw Data'!Q3790</f>
        <v>10</v>
      </c>
      <c r="F3790" s="2" t="n">
        <f aca="false">'Raw Data'!U3790</f>
        <v>7</v>
      </c>
      <c r="G3790" s="2" t="n">
        <f aca="false">'Raw Data'!W3790</f>
        <v>1</v>
      </c>
      <c r="H3790" s="2" t="n">
        <f aca="false">'Raw Data'!V3790</f>
        <v>2</v>
      </c>
      <c r="I3790" s="2" t="n">
        <f aca="false">IF(AND(ISNUMBER(B3790),B3790&lt;=25),2,0)+IF(AND(ISNUMBER(E3790),E3790&lt;=5),2,0)+IF(AND(ISNUMBER(F3790),F3790&lt;=1),2,0)+IF(AND(ISNUMBER(G3790),G3790&lt;=2),1,0)+IF(AND(ISNUMBER(H3790),H3790&lt;=2),1,0)</f>
        <v>2</v>
      </c>
      <c r="J3790" s="2" t="str">
        <f aca="false">IF(I3790&gt;=6,"High",IF(I3790&gt;=3,"Medium","Low"))</f>
        <v>Low</v>
      </c>
    </row>
    <row r="3791" customFormat="false" ht="15" hidden="false" customHeight="true" outlineLevel="0" collapsed="false">
      <c r="A3791" s="2" t="n">
        <f aca="false">'Raw Data'!H3791</f>
        <v>3790</v>
      </c>
      <c r="B3791" s="2" t="n">
        <f aca="false">'Raw Data'!A3791</f>
        <v>38</v>
      </c>
      <c r="C3791" s="2" t="str">
        <f aca="false">'Raw Data'!D3791</f>
        <v>Sales</v>
      </c>
      <c r="D3791" s="2" t="str">
        <f aca="false">'Raw Data'!K3791</f>
        <v>Manufacturing Director</v>
      </c>
      <c r="E3791" s="2" t="n">
        <f aca="false">'Raw Data'!Q3791</f>
        <v>10</v>
      </c>
      <c r="F3791" s="2" t="n">
        <f aca="false">'Raw Data'!U3791</f>
        <v>2</v>
      </c>
      <c r="G3791" s="2" t="n">
        <f aca="false">'Raw Data'!W3791</f>
        <v>3</v>
      </c>
      <c r="H3791" s="2" t="n">
        <f aca="false">'Raw Data'!V3791</f>
        <v>3</v>
      </c>
      <c r="I3791" s="2" t="n">
        <f aca="false">IF(AND(ISNUMBER(B3791),B3791&lt;=25),2,0)+IF(AND(ISNUMBER(E3791),E3791&lt;=5),2,0)+IF(AND(ISNUMBER(F3791),F3791&lt;=1),2,0)+IF(AND(ISNUMBER(G3791),G3791&lt;=2),1,0)+IF(AND(ISNUMBER(H3791),H3791&lt;=2),1,0)</f>
        <v>0</v>
      </c>
      <c r="J3791" s="2" t="str">
        <f aca="false">IF(I3791&gt;=6,"High",IF(I3791&gt;=3,"Medium","Low"))</f>
        <v>Low</v>
      </c>
    </row>
    <row r="3792" customFormat="false" ht="15" hidden="false" customHeight="true" outlineLevel="0" collapsed="false">
      <c r="A3792" s="2" t="n">
        <f aca="false">'Raw Data'!H3792</f>
        <v>3791</v>
      </c>
      <c r="B3792" s="2" t="n">
        <f aca="false">'Raw Data'!A3792</f>
        <v>35</v>
      </c>
      <c r="C3792" s="2" t="str">
        <f aca="false">'Raw Data'!D3792</f>
        <v>Sales</v>
      </c>
      <c r="D3792" s="2" t="str">
        <f aca="false">'Raw Data'!K3792</f>
        <v>Sales Executive</v>
      </c>
      <c r="E3792" s="2" t="n">
        <f aca="false">'Raw Data'!Q3792</f>
        <v>3</v>
      </c>
      <c r="F3792" s="2" t="n">
        <f aca="false">'Raw Data'!U3792</f>
        <v>2</v>
      </c>
      <c r="G3792" s="2" t="n">
        <f aca="false">'Raw Data'!W3792</f>
        <v>1</v>
      </c>
      <c r="H3792" s="2" t="n">
        <f aca="false">'Raw Data'!V3792</f>
        <v>4</v>
      </c>
      <c r="I3792" s="2" t="n">
        <f aca="false">IF(AND(ISNUMBER(B3792),B3792&lt;=25),2,0)+IF(AND(ISNUMBER(E3792),E3792&lt;=5),2,0)+IF(AND(ISNUMBER(F3792),F3792&lt;=1),2,0)+IF(AND(ISNUMBER(G3792),G3792&lt;=2),1,0)+IF(AND(ISNUMBER(H3792),H3792&lt;=2),1,0)</f>
        <v>3</v>
      </c>
      <c r="J3792" s="2" t="str">
        <f aca="false">IF(I3792&gt;=6,"High",IF(I3792&gt;=3,"Medium","Low"))</f>
        <v>Medium</v>
      </c>
    </row>
    <row r="3793" customFormat="false" ht="15" hidden="false" customHeight="true" outlineLevel="0" collapsed="false">
      <c r="A3793" s="2" t="n">
        <f aca="false">'Raw Data'!H3793</f>
        <v>3792</v>
      </c>
      <c r="B3793" s="2" t="n">
        <f aca="false">'Raw Data'!A3793</f>
        <v>30</v>
      </c>
      <c r="C3793" s="2" t="str">
        <f aca="false">'Raw Data'!D3793</f>
        <v>Research &amp; Development</v>
      </c>
      <c r="D3793" s="2" t="str">
        <f aca="false">'Raw Data'!K3793</f>
        <v>Research Director</v>
      </c>
      <c r="E3793" s="2" t="n">
        <f aca="false">'Raw Data'!Q3793</f>
        <v>9</v>
      </c>
      <c r="F3793" s="2" t="n">
        <f aca="false">'Raw Data'!U3793</f>
        <v>3</v>
      </c>
      <c r="G3793" s="2" t="n">
        <f aca="false">'Raw Data'!W3793</f>
        <v>2</v>
      </c>
      <c r="H3793" s="2" t="n">
        <f aca="false">'Raw Data'!V3793</f>
        <v>3</v>
      </c>
      <c r="I3793" s="2" t="n">
        <f aca="false">IF(AND(ISNUMBER(B3793),B3793&lt;=25),2,0)+IF(AND(ISNUMBER(E3793),E3793&lt;=5),2,0)+IF(AND(ISNUMBER(F3793),F3793&lt;=1),2,0)+IF(AND(ISNUMBER(G3793),G3793&lt;=2),1,0)+IF(AND(ISNUMBER(H3793),H3793&lt;=2),1,0)</f>
        <v>1</v>
      </c>
      <c r="J3793" s="2" t="str">
        <f aca="false">IF(I3793&gt;=6,"High",IF(I3793&gt;=3,"Medium","Low"))</f>
        <v>Low</v>
      </c>
    </row>
    <row r="3794" customFormat="false" ht="15" hidden="false" customHeight="true" outlineLevel="0" collapsed="false">
      <c r="A3794" s="2" t="n">
        <f aca="false">'Raw Data'!H3794</f>
        <v>3793</v>
      </c>
      <c r="B3794" s="2" t="n">
        <f aca="false">'Raw Data'!A3794</f>
        <v>35</v>
      </c>
      <c r="C3794" s="2" t="str">
        <f aca="false">'Raw Data'!D3794</f>
        <v>Research &amp; Development</v>
      </c>
      <c r="D3794" s="2" t="str">
        <f aca="false">'Raw Data'!K3794</f>
        <v>Research Scientist</v>
      </c>
      <c r="E3794" s="2" t="n">
        <f aca="false">'Raw Data'!Q3794</f>
        <v>1</v>
      </c>
      <c r="F3794" s="2" t="n">
        <f aca="false">'Raw Data'!U3794</f>
        <v>0</v>
      </c>
      <c r="G3794" s="2" t="n">
        <f aca="false">'Raw Data'!W3794</f>
        <v>1</v>
      </c>
      <c r="H3794" s="2" t="n">
        <f aca="false">'Raw Data'!V3794</f>
        <v>1</v>
      </c>
      <c r="I3794" s="2" t="n">
        <f aca="false">IF(AND(ISNUMBER(B3794),B3794&lt;=25),2,0)+IF(AND(ISNUMBER(E3794),E3794&lt;=5),2,0)+IF(AND(ISNUMBER(F3794),F3794&lt;=1),2,0)+IF(AND(ISNUMBER(G3794),G3794&lt;=2),1,0)+IF(AND(ISNUMBER(H3794),H3794&lt;=2),1,0)</f>
        <v>6</v>
      </c>
      <c r="J3794" s="2" t="str">
        <f aca="false">IF(I3794&gt;=6,"High",IF(I3794&gt;=3,"Medium","Low"))</f>
        <v>High</v>
      </c>
    </row>
    <row r="3795" customFormat="false" ht="15" hidden="false" customHeight="true" outlineLevel="0" collapsed="false">
      <c r="A3795" s="2" t="n">
        <f aca="false">'Raw Data'!H3795</f>
        <v>3794</v>
      </c>
      <c r="B3795" s="2" t="n">
        <f aca="false">'Raw Data'!A3795</f>
        <v>53</v>
      </c>
      <c r="C3795" s="2" t="str">
        <f aca="false">'Raw Data'!D3795</f>
        <v>Research &amp; Development</v>
      </c>
      <c r="D3795" s="2" t="str">
        <f aca="false">'Raw Data'!K3795</f>
        <v>Manager</v>
      </c>
      <c r="E3795" s="2" t="n">
        <f aca="false">'Raw Data'!Q3795</f>
        <v>34</v>
      </c>
      <c r="F3795" s="2" t="n">
        <f aca="false">'Raw Data'!U3795</f>
        <v>9</v>
      </c>
      <c r="G3795" s="2" t="n">
        <f aca="false">'Raw Data'!W3795</f>
        <v>4</v>
      </c>
      <c r="H3795" s="2" t="n">
        <f aca="false">'Raw Data'!V3795</f>
        <v>3</v>
      </c>
      <c r="I3795" s="2" t="n">
        <f aca="false">IF(AND(ISNUMBER(B3795),B3795&lt;=25),2,0)+IF(AND(ISNUMBER(E3795),E3795&lt;=5),2,0)+IF(AND(ISNUMBER(F3795),F3795&lt;=1),2,0)+IF(AND(ISNUMBER(G3795),G3795&lt;=2),1,0)+IF(AND(ISNUMBER(H3795),H3795&lt;=2),1,0)</f>
        <v>0</v>
      </c>
      <c r="J3795" s="2" t="str">
        <f aca="false">IF(I3795&gt;=6,"High",IF(I3795&gt;=3,"Medium","Low"))</f>
        <v>Low</v>
      </c>
    </row>
    <row r="3796" customFormat="false" ht="15" hidden="false" customHeight="true" outlineLevel="0" collapsed="false">
      <c r="A3796" s="2" t="n">
        <f aca="false">'Raw Data'!H3796</f>
        <v>3795</v>
      </c>
      <c r="B3796" s="2" t="n">
        <f aca="false">'Raw Data'!A3796</f>
        <v>38</v>
      </c>
      <c r="C3796" s="2" t="str">
        <f aca="false">'Raw Data'!D3796</f>
        <v>Research &amp; Development</v>
      </c>
      <c r="D3796" s="2" t="str">
        <f aca="false">'Raw Data'!K3796</f>
        <v>Sales Executive</v>
      </c>
      <c r="E3796" s="2" t="n">
        <f aca="false">'Raw Data'!Q3796</f>
        <v>7</v>
      </c>
      <c r="F3796" s="2" t="n">
        <f aca="false">'Raw Data'!U3796</f>
        <v>4</v>
      </c>
      <c r="G3796" s="2" t="n">
        <f aca="false">'Raw Data'!W3796</f>
        <v>2</v>
      </c>
      <c r="H3796" s="2" t="n">
        <f aca="false">'Raw Data'!V3796</f>
        <v>3</v>
      </c>
      <c r="I3796" s="2" t="n">
        <f aca="false">IF(AND(ISNUMBER(B3796),B3796&lt;=25),2,0)+IF(AND(ISNUMBER(E3796),E3796&lt;=5),2,0)+IF(AND(ISNUMBER(F3796),F3796&lt;=1),2,0)+IF(AND(ISNUMBER(G3796),G3796&lt;=2),1,0)+IF(AND(ISNUMBER(H3796),H3796&lt;=2),1,0)</f>
        <v>1</v>
      </c>
      <c r="J3796" s="2" t="str">
        <f aca="false">IF(I3796&gt;=6,"High",IF(I3796&gt;=3,"Medium","Low"))</f>
        <v>Low</v>
      </c>
    </row>
    <row r="3797" customFormat="false" ht="15" hidden="false" customHeight="true" outlineLevel="0" collapsed="false">
      <c r="A3797" s="2" t="n">
        <f aca="false">'Raw Data'!H3797</f>
        <v>3796</v>
      </c>
      <c r="B3797" s="2" t="n">
        <f aca="false">'Raw Data'!A3797</f>
        <v>32</v>
      </c>
      <c r="C3797" s="2" t="str">
        <f aca="false">'Raw Data'!D3797</f>
        <v>Research &amp; Development</v>
      </c>
      <c r="D3797" s="2" t="str">
        <f aca="false">'Raw Data'!K3797</f>
        <v>Research Scientist</v>
      </c>
      <c r="E3797" s="2" t="n">
        <f aca="false">'Raw Data'!Q3797</f>
        <v>9</v>
      </c>
      <c r="F3797" s="2" t="n">
        <f aca="false">'Raw Data'!U3797</f>
        <v>2</v>
      </c>
      <c r="G3797" s="2" t="n">
        <f aca="false">'Raw Data'!W3797</f>
        <v>1</v>
      </c>
      <c r="H3797" s="2" t="n">
        <f aca="false">'Raw Data'!V3797</f>
        <v>4</v>
      </c>
      <c r="I3797" s="2" t="n">
        <f aca="false">IF(AND(ISNUMBER(B3797),B3797&lt;=25),2,0)+IF(AND(ISNUMBER(E3797),E3797&lt;=5),2,0)+IF(AND(ISNUMBER(F3797),F3797&lt;=1),2,0)+IF(AND(ISNUMBER(G3797),G3797&lt;=2),1,0)+IF(AND(ISNUMBER(H3797),H3797&lt;=2),1,0)</f>
        <v>1</v>
      </c>
      <c r="J3797" s="2" t="str">
        <f aca="false">IF(I3797&gt;=6,"High",IF(I3797&gt;=3,"Medium","Low"))</f>
        <v>Low</v>
      </c>
    </row>
    <row r="3798" customFormat="false" ht="15" hidden="false" customHeight="true" outlineLevel="0" collapsed="false">
      <c r="A3798" s="2" t="n">
        <f aca="false">'Raw Data'!H3798</f>
        <v>3797</v>
      </c>
      <c r="B3798" s="2" t="n">
        <f aca="false">'Raw Data'!A3798</f>
        <v>48</v>
      </c>
      <c r="C3798" s="2" t="str">
        <f aca="false">'Raw Data'!D3798</f>
        <v>Research &amp; Development</v>
      </c>
      <c r="D3798" s="2" t="str">
        <f aca="false">'Raw Data'!K3798</f>
        <v>Sales Executive</v>
      </c>
      <c r="E3798" s="2" t="n">
        <f aca="false">'Raw Data'!Q3798</f>
        <v>10</v>
      </c>
      <c r="F3798" s="2" t="n">
        <f aca="false">'Raw Data'!U3798</f>
        <v>6</v>
      </c>
      <c r="G3798" s="2" t="n">
        <f aca="false">'Raw Data'!W3798</f>
        <v>1</v>
      </c>
      <c r="H3798" s="2" t="n">
        <f aca="false">'Raw Data'!V3798</f>
        <v>3</v>
      </c>
      <c r="I3798" s="2" t="n">
        <f aca="false">IF(AND(ISNUMBER(B3798),B3798&lt;=25),2,0)+IF(AND(ISNUMBER(E3798),E3798&lt;=5),2,0)+IF(AND(ISNUMBER(F3798),F3798&lt;=1),2,0)+IF(AND(ISNUMBER(G3798),G3798&lt;=2),1,0)+IF(AND(ISNUMBER(H3798),H3798&lt;=2),1,0)</f>
        <v>1</v>
      </c>
      <c r="J3798" s="2" t="str">
        <f aca="false">IF(I3798&gt;=6,"High",IF(I3798&gt;=3,"Medium","Low"))</f>
        <v>Low</v>
      </c>
    </row>
    <row r="3799" customFormat="false" ht="15" hidden="false" customHeight="true" outlineLevel="0" collapsed="false">
      <c r="A3799" s="2" t="n">
        <f aca="false">'Raw Data'!H3799</f>
        <v>3798</v>
      </c>
      <c r="B3799" s="2" t="n">
        <f aca="false">'Raw Data'!A3799</f>
        <v>34</v>
      </c>
      <c r="C3799" s="2" t="str">
        <f aca="false">'Raw Data'!D3799</f>
        <v>Research &amp; Development</v>
      </c>
      <c r="D3799" s="2" t="str">
        <f aca="false">'Raw Data'!K3799</f>
        <v>Sales Executive</v>
      </c>
      <c r="E3799" s="2" t="n">
        <f aca="false">'Raw Data'!Q3799</f>
        <v>1</v>
      </c>
      <c r="F3799" s="2" t="n">
        <f aca="false">'Raw Data'!U3799</f>
        <v>0</v>
      </c>
      <c r="G3799" s="2" t="n">
        <f aca="false">'Raw Data'!W3799</f>
        <v>4</v>
      </c>
      <c r="H3799" s="2" t="n">
        <f aca="false">'Raw Data'!V3799</f>
        <v>1</v>
      </c>
      <c r="I3799" s="2" t="n">
        <f aca="false">IF(AND(ISNUMBER(B3799),B3799&lt;=25),2,0)+IF(AND(ISNUMBER(E3799),E3799&lt;=5),2,0)+IF(AND(ISNUMBER(F3799),F3799&lt;=1),2,0)+IF(AND(ISNUMBER(G3799),G3799&lt;=2),1,0)+IF(AND(ISNUMBER(H3799),H3799&lt;=2),1,0)</f>
        <v>5</v>
      </c>
      <c r="J3799" s="2" t="str">
        <f aca="false">IF(I3799&gt;=6,"High",IF(I3799&gt;=3,"Medium","Low"))</f>
        <v>Medium</v>
      </c>
    </row>
    <row r="3800" customFormat="false" ht="15" hidden="false" customHeight="true" outlineLevel="0" collapsed="false">
      <c r="A3800" s="2" t="n">
        <f aca="false">'Raw Data'!H3800</f>
        <v>3799</v>
      </c>
      <c r="B3800" s="2" t="n">
        <f aca="false">'Raw Data'!A3800</f>
        <v>55</v>
      </c>
      <c r="C3800" s="2" t="str">
        <f aca="false">'Raw Data'!D3800</f>
        <v>Research &amp; Development</v>
      </c>
      <c r="D3800" s="2" t="str">
        <f aca="false">'Raw Data'!K3800</f>
        <v>Laboratory Technician</v>
      </c>
      <c r="E3800" s="2" t="n">
        <f aca="false">'Raw Data'!Q3800</f>
        <v>36</v>
      </c>
      <c r="F3800" s="2" t="n">
        <f aca="false">'Raw Data'!U3800</f>
        <v>13</v>
      </c>
      <c r="G3800" s="2" t="n">
        <f aca="false">'Raw Data'!W3800</f>
        <v>4</v>
      </c>
      <c r="H3800" s="2" t="n">
        <f aca="false">'Raw Data'!V3800</f>
        <v>3</v>
      </c>
      <c r="I3800" s="2" t="n">
        <f aca="false">IF(AND(ISNUMBER(B3800),B3800&lt;=25),2,0)+IF(AND(ISNUMBER(E3800),E3800&lt;=5),2,0)+IF(AND(ISNUMBER(F3800),F3800&lt;=1),2,0)+IF(AND(ISNUMBER(G3800),G3800&lt;=2),1,0)+IF(AND(ISNUMBER(H3800),H3800&lt;=2),1,0)</f>
        <v>0</v>
      </c>
      <c r="J3800" s="2" t="str">
        <f aca="false">IF(I3800&gt;=6,"High",IF(I3800&gt;=3,"Medium","Low"))</f>
        <v>Low</v>
      </c>
    </row>
    <row r="3801" customFormat="false" ht="15" hidden="false" customHeight="true" outlineLevel="0" collapsed="false">
      <c r="A3801" s="2" t="n">
        <f aca="false">'Raw Data'!H3801</f>
        <v>3800</v>
      </c>
      <c r="B3801" s="2" t="n">
        <f aca="false">'Raw Data'!A3801</f>
        <v>34</v>
      </c>
      <c r="C3801" s="2" t="str">
        <f aca="false">'Raw Data'!D3801</f>
        <v>Research &amp; Development</v>
      </c>
      <c r="D3801" s="2" t="str">
        <f aca="false">'Raw Data'!K3801</f>
        <v>Research Scientist</v>
      </c>
      <c r="E3801" s="2" t="n">
        <f aca="false">'Raw Data'!Q3801</f>
        <v>9</v>
      </c>
      <c r="F3801" s="2" t="n">
        <f aca="false">'Raw Data'!U3801</f>
        <v>1</v>
      </c>
      <c r="G3801" s="2" t="n">
        <f aca="false">'Raw Data'!W3801</f>
        <v>4</v>
      </c>
      <c r="H3801" s="2" t="n">
        <f aca="false">'Raw Data'!V3801</f>
        <v>2</v>
      </c>
      <c r="I3801" s="2" t="n">
        <f aca="false">IF(AND(ISNUMBER(B3801),B3801&lt;=25),2,0)+IF(AND(ISNUMBER(E3801),E3801&lt;=5),2,0)+IF(AND(ISNUMBER(F3801),F3801&lt;=1),2,0)+IF(AND(ISNUMBER(G3801),G3801&lt;=2),1,0)+IF(AND(ISNUMBER(H3801),H3801&lt;=2),1,0)</f>
        <v>3</v>
      </c>
      <c r="J3801" s="2" t="str">
        <f aca="false">IF(I3801&gt;=6,"High",IF(I3801&gt;=3,"Medium","Low"))</f>
        <v>Medium</v>
      </c>
    </row>
    <row r="3802" customFormat="false" ht="15" hidden="false" customHeight="true" outlineLevel="0" collapsed="false">
      <c r="A3802" s="2" t="n">
        <f aca="false">'Raw Data'!H3802</f>
        <v>3801</v>
      </c>
      <c r="B3802" s="2" t="n">
        <f aca="false">'Raw Data'!A3802</f>
        <v>26</v>
      </c>
      <c r="C3802" s="2" t="str">
        <f aca="false">'Raw Data'!D3802</f>
        <v>Research &amp; Development</v>
      </c>
      <c r="D3802" s="2" t="str">
        <f aca="false">'Raw Data'!K3802</f>
        <v>Research Director</v>
      </c>
      <c r="E3802" s="2" t="n">
        <f aca="false">'Raw Data'!Q3802</f>
        <v>1</v>
      </c>
      <c r="F3802" s="2" t="n">
        <f aca="false">'Raw Data'!U3802</f>
        <v>0</v>
      </c>
      <c r="G3802" s="2" t="n">
        <f aca="false">'Raw Data'!W3802</f>
        <v>4</v>
      </c>
      <c r="H3802" s="2" t="n">
        <f aca="false">'Raw Data'!V3802</f>
        <v>1</v>
      </c>
      <c r="I3802" s="2" t="n">
        <f aca="false">IF(AND(ISNUMBER(B3802),B3802&lt;=25),2,0)+IF(AND(ISNUMBER(E3802),E3802&lt;=5),2,0)+IF(AND(ISNUMBER(F3802),F3802&lt;=1),2,0)+IF(AND(ISNUMBER(G3802),G3802&lt;=2),1,0)+IF(AND(ISNUMBER(H3802),H3802&lt;=2),1,0)</f>
        <v>5</v>
      </c>
      <c r="J3802" s="2" t="str">
        <f aca="false">IF(I3802&gt;=6,"High",IF(I3802&gt;=3,"Medium","Low"))</f>
        <v>Medium</v>
      </c>
    </row>
    <row r="3803" customFormat="false" ht="15" hidden="false" customHeight="true" outlineLevel="0" collapsed="false">
      <c r="A3803" s="2" t="n">
        <f aca="false">'Raw Data'!H3803</f>
        <v>3802</v>
      </c>
      <c r="B3803" s="2" t="n">
        <f aca="false">'Raw Data'!A3803</f>
        <v>38</v>
      </c>
      <c r="C3803" s="2" t="str">
        <f aca="false">'Raw Data'!D3803</f>
        <v>Sales</v>
      </c>
      <c r="D3803" s="2" t="str">
        <f aca="false">'Raw Data'!K3803</f>
        <v>Sales Executive</v>
      </c>
      <c r="E3803" s="2" t="n">
        <f aca="false">'Raw Data'!Q3803</f>
        <v>10</v>
      </c>
      <c r="F3803" s="2" t="n">
        <f aca="false">'Raw Data'!U3803</f>
        <v>7</v>
      </c>
      <c r="G3803" s="2" t="n">
        <f aca="false">'Raw Data'!W3803</f>
        <v>2</v>
      </c>
      <c r="H3803" s="2" t="n">
        <f aca="false">'Raw Data'!V3803</f>
        <v>3</v>
      </c>
      <c r="I3803" s="2" t="n">
        <f aca="false">IF(AND(ISNUMBER(B3803),B3803&lt;=25),2,0)+IF(AND(ISNUMBER(E3803),E3803&lt;=5),2,0)+IF(AND(ISNUMBER(F3803),F3803&lt;=1),2,0)+IF(AND(ISNUMBER(G3803),G3803&lt;=2),1,0)+IF(AND(ISNUMBER(H3803),H3803&lt;=2),1,0)</f>
        <v>1</v>
      </c>
      <c r="J3803" s="2" t="str">
        <f aca="false">IF(I3803&gt;=6,"High",IF(I3803&gt;=3,"Medium","Low"))</f>
        <v>Low</v>
      </c>
    </row>
    <row r="3804" customFormat="false" ht="15" hidden="false" customHeight="true" outlineLevel="0" collapsed="false">
      <c r="A3804" s="2" t="n">
        <f aca="false">'Raw Data'!H3804</f>
        <v>3803</v>
      </c>
      <c r="B3804" s="2" t="n">
        <f aca="false">'Raw Data'!A3804</f>
        <v>38</v>
      </c>
      <c r="C3804" s="2" t="str">
        <f aca="false">'Raw Data'!D3804</f>
        <v>Research &amp; Development</v>
      </c>
      <c r="D3804" s="2" t="str">
        <f aca="false">'Raw Data'!K3804</f>
        <v>Manufacturing Director</v>
      </c>
      <c r="E3804" s="2" t="n">
        <f aca="false">'Raw Data'!Q3804</f>
        <v>8</v>
      </c>
      <c r="F3804" s="2" t="n">
        <f aca="false">'Raw Data'!U3804</f>
        <v>2</v>
      </c>
      <c r="G3804" s="2" t="n">
        <f aca="false">'Raw Data'!W3804</f>
        <v>2</v>
      </c>
      <c r="H3804" s="2" t="n">
        <f aca="false">'Raw Data'!V3804</f>
        <v>2</v>
      </c>
      <c r="I3804" s="2" t="n">
        <f aca="false">IF(AND(ISNUMBER(B3804),B3804&lt;=25),2,0)+IF(AND(ISNUMBER(E3804),E3804&lt;=5),2,0)+IF(AND(ISNUMBER(F3804),F3804&lt;=1),2,0)+IF(AND(ISNUMBER(G3804),G3804&lt;=2),1,0)+IF(AND(ISNUMBER(H3804),H3804&lt;=2),1,0)</f>
        <v>2</v>
      </c>
      <c r="J3804" s="2" t="str">
        <f aca="false">IF(I3804&gt;=6,"High",IF(I3804&gt;=3,"Medium","Low"))</f>
        <v>Low</v>
      </c>
    </row>
    <row r="3805" customFormat="false" ht="15" hidden="false" customHeight="true" outlineLevel="0" collapsed="false">
      <c r="A3805" s="2" t="n">
        <f aca="false">'Raw Data'!H3805</f>
        <v>3804</v>
      </c>
      <c r="B3805" s="2" t="n">
        <f aca="false">'Raw Data'!A3805</f>
        <v>36</v>
      </c>
      <c r="C3805" s="2" t="str">
        <f aca="false">'Raw Data'!D3805</f>
        <v>Human Resources</v>
      </c>
      <c r="D3805" s="2" t="str">
        <f aca="false">'Raw Data'!K3805</f>
        <v>Research Scientist</v>
      </c>
      <c r="E3805" s="2" t="n">
        <f aca="false">'Raw Data'!Q3805</f>
        <v>15</v>
      </c>
      <c r="F3805" s="2" t="n">
        <f aca="false">'Raw Data'!U3805</f>
        <v>0</v>
      </c>
      <c r="G3805" s="2" t="n">
        <f aca="false">'Raw Data'!W3805</f>
        <v>3</v>
      </c>
      <c r="H3805" s="2" t="n">
        <f aca="false">'Raw Data'!V3805</f>
        <v>2</v>
      </c>
      <c r="I3805" s="2" t="n">
        <f aca="false">IF(AND(ISNUMBER(B3805),B3805&lt;=25),2,0)+IF(AND(ISNUMBER(E3805),E3805&lt;=5),2,0)+IF(AND(ISNUMBER(F3805),F3805&lt;=1),2,0)+IF(AND(ISNUMBER(G3805),G3805&lt;=2),1,0)+IF(AND(ISNUMBER(H3805),H3805&lt;=2),1,0)</f>
        <v>3</v>
      </c>
      <c r="J3805" s="2" t="str">
        <f aca="false">IF(I3805&gt;=6,"High",IF(I3805&gt;=3,"Medium","Low"))</f>
        <v>Medium</v>
      </c>
    </row>
    <row r="3806" customFormat="false" ht="15" hidden="false" customHeight="true" outlineLevel="0" collapsed="false">
      <c r="A3806" s="2" t="n">
        <f aca="false">'Raw Data'!H3806</f>
        <v>3805</v>
      </c>
      <c r="B3806" s="2" t="n">
        <f aca="false">'Raw Data'!A3806</f>
        <v>29</v>
      </c>
      <c r="C3806" s="2" t="str">
        <f aca="false">'Raw Data'!D3806</f>
        <v>Research &amp; Development</v>
      </c>
      <c r="D3806" s="2" t="str">
        <f aca="false">'Raw Data'!K3806</f>
        <v>Sales Representative</v>
      </c>
      <c r="E3806" s="2" t="n">
        <f aca="false">'Raw Data'!Q3806</f>
        <v>10</v>
      </c>
      <c r="F3806" s="2" t="n">
        <f aca="false">'Raw Data'!U3806</f>
        <v>5</v>
      </c>
      <c r="G3806" s="2" t="n">
        <f aca="false">'Raw Data'!W3806</f>
        <v>1</v>
      </c>
      <c r="H3806" s="2" t="n">
        <f aca="false">'Raw Data'!V3806</f>
        <v>2</v>
      </c>
      <c r="I3806" s="2" t="n">
        <f aca="false">IF(AND(ISNUMBER(B3806),B3806&lt;=25),2,0)+IF(AND(ISNUMBER(E3806),E3806&lt;=5),2,0)+IF(AND(ISNUMBER(F3806),F3806&lt;=1),2,0)+IF(AND(ISNUMBER(G3806),G3806&lt;=2),1,0)+IF(AND(ISNUMBER(H3806),H3806&lt;=2),1,0)</f>
        <v>2</v>
      </c>
      <c r="J3806" s="2" t="str">
        <f aca="false">IF(I3806&gt;=6,"High",IF(I3806&gt;=3,"Medium","Low"))</f>
        <v>Low</v>
      </c>
    </row>
    <row r="3807" customFormat="false" ht="15" hidden="false" customHeight="true" outlineLevel="0" collapsed="false">
      <c r="A3807" s="2" t="n">
        <f aca="false">'Raw Data'!H3807</f>
        <v>3806</v>
      </c>
      <c r="B3807" s="2" t="n">
        <f aca="false">'Raw Data'!A3807</f>
        <v>35</v>
      </c>
      <c r="C3807" s="2" t="str">
        <f aca="false">'Raw Data'!D3807</f>
        <v>Sales</v>
      </c>
      <c r="D3807" s="2" t="str">
        <f aca="false">'Raw Data'!K3807</f>
        <v>Sales Executive</v>
      </c>
      <c r="E3807" s="2" t="n">
        <f aca="false">'Raw Data'!Q3807</f>
        <v>10</v>
      </c>
      <c r="F3807" s="2" t="n">
        <f aca="false">'Raw Data'!U3807</f>
        <v>4</v>
      </c>
      <c r="G3807" s="2" t="n">
        <f aca="false">'Raw Data'!W3807</f>
        <v>3</v>
      </c>
      <c r="H3807" s="2" t="n">
        <f aca="false">'Raw Data'!V3807</f>
        <v>1</v>
      </c>
      <c r="I3807" s="2" t="n">
        <f aca="false">IF(AND(ISNUMBER(B3807),B3807&lt;=25),2,0)+IF(AND(ISNUMBER(E3807),E3807&lt;=5),2,0)+IF(AND(ISNUMBER(F3807),F3807&lt;=1),2,0)+IF(AND(ISNUMBER(G3807),G3807&lt;=2),1,0)+IF(AND(ISNUMBER(H3807),H3807&lt;=2),1,0)</f>
        <v>1</v>
      </c>
      <c r="J3807" s="2" t="str">
        <f aca="false">IF(I3807&gt;=6,"High",IF(I3807&gt;=3,"Medium","Low"))</f>
        <v>Low</v>
      </c>
    </row>
    <row r="3808" customFormat="false" ht="15" hidden="false" customHeight="true" outlineLevel="0" collapsed="false">
      <c r="A3808" s="2" t="n">
        <f aca="false">'Raw Data'!H3808</f>
        <v>3807</v>
      </c>
      <c r="B3808" s="2" t="n">
        <f aca="false">'Raw Data'!A3808</f>
        <v>39</v>
      </c>
      <c r="C3808" s="2" t="str">
        <f aca="false">'Raw Data'!D3808</f>
        <v>Sales</v>
      </c>
      <c r="D3808" s="2" t="str">
        <f aca="false">'Raw Data'!K3808</f>
        <v>Sales Executive</v>
      </c>
      <c r="E3808" s="2" t="n">
        <f aca="false">'Raw Data'!Q3808</f>
        <v>11</v>
      </c>
      <c r="F3808" s="2" t="n">
        <f aca="false">'Raw Data'!U3808</f>
        <v>6</v>
      </c>
      <c r="G3808" s="2" t="n">
        <f aca="false">'Raw Data'!W3808</f>
        <v>3</v>
      </c>
      <c r="H3808" s="2" t="n">
        <f aca="false">'Raw Data'!V3808</f>
        <v>4</v>
      </c>
      <c r="I3808" s="2" t="n">
        <f aca="false">IF(AND(ISNUMBER(B3808),B3808&lt;=25),2,0)+IF(AND(ISNUMBER(E3808),E3808&lt;=5),2,0)+IF(AND(ISNUMBER(F3808),F3808&lt;=1),2,0)+IF(AND(ISNUMBER(G3808),G3808&lt;=2),1,0)+IF(AND(ISNUMBER(H3808),H3808&lt;=2),1,0)</f>
        <v>0</v>
      </c>
      <c r="J3808" s="2" t="str">
        <f aca="false">IF(I3808&gt;=6,"High",IF(I3808&gt;=3,"Medium","Low"))</f>
        <v>Low</v>
      </c>
    </row>
    <row r="3809" customFormat="false" ht="15" hidden="false" customHeight="true" outlineLevel="0" collapsed="false">
      <c r="A3809" s="2" t="n">
        <f aca="false">'Raw Data'!H3809</f>
        <v>3808</v>
      </c>
      <c r="B3809" s="2" t="n">
        <f aca="false">'Raw Data'!A3809</f>
        <v>29</v>
      </c>
      <c r="C3809" s="2" t="str">
        <f aca="false">'Raw Data'!D3809</f>
        <v>Research &amp; Development</v>
      </c>
      <c r="D3809" s="2" t="str">
        <f aca="false">'Raw Data'!K3809</f>
        <v>Research Scientist</v>
      </c>
      <c r="E3809" s="2" t="n">
        <f aca="false">'Raw Data'!Q3809</f>
        <v>6</v>
      </c>
      <c r="F3809" s="2" t="n">
        <f aca="false">'Raw Data'!U3809</f>
        <v>3</v>
      </c>
      <c r="G3809" s="2" t="n">
        <f aca="false">'Raw Data'!W3809</f>
        <v>4</v>
      </c>
      <c r="H3809" s="2" t="n">
        <f aca="false">'Raw Data'!V3809</f>
        <v>1</v>
      </c>
      <c r="I3809" s="2" t="n">
        <f aca="false">IF(AND(ISNUMBER(B3809),B3809&lt;=25),2,0)+IF(AND(ISNUMBER(E3809),E3809&lt;=5),2,0)+IF(AND(ISNUMBER(F3809),F3809&lt;=1),2,0)+IF(AND(ISNUMBER(G3809),G3809&lt;=2),1,0)+IF(AND(ISNUMBER(H3809),H3809&lt;=2),1,0)</f>
        <v>1</v>
      </c>
      <c r="J3809" s="2" t="str">
        <f aca="false">IF(I3809&gt;=6,"High",IF(I3809&gt;=3,"Medium","Low"))</f>
        <v>Low</v>
      </c>
    </row>
    <row r="3810" customFormat="false" ht="15" hidden="false" customHeight="true" outlineLevel="0" collapsed="false">
      <c r="A3810" s="2" t="n">
        <f aca="false">'Raw Data'!H3810</f>
        <v>3809</v>
      </c>
      <c r="B3810" s="2" t="n">
        <f aca="false">'Raw Data'!A3810</f>
        <v>50</v>
      </c>
      <c r="C3810" s="2" t="str">
        <f aca="false">'Raw Data'!D3810</f>
        <v>Research &amp; Development</v>
      </c>
      <c r="D3810" s="2" t="str">
        <f aca="false">'Raw Data'!K3810</f>
        <v>Laboratory Technician</v>
      </c>
      <c r="E3810" s="2" t="n">
        <f aca="false">'Raw Data'!Q3810</f>
        <v>27</v>
      </c>
      <c r="F3810" s="2" t="n">
        <f aca="false">'Raw Data'!U3810</f>
        <v>0</v>
      </c>
      <c r="G3810" s="2" t="n">
        <f aca="false">'Raw Data'!W3810</f>
        <v>3</v>
      </c>
      <c r="H3810" s="2" t="n">
        <f aca="false">'Raw Data'!V3810</f>
        <v>3</v>
      </c>
      <c r="I3810" s="2" t="n">
        <f aca="false">IF(AND(ISNUMBER(B3810),B3810&lt;=25),2,0)+IF(AND(ISNUMBER(E3810),E3810&lt;=5),2,0)+IF(AND(ISNUMBER(F3810),F3810&lt;=1),2,0)+IF(AND(ISNUMBER(G3810),G3810&lt;=2),1,0)+IF(AND(ISNUMBER(H3810),H3810&lt;=2),1,0)</f>
        <v>2</v>
      </c>
      <c r="J3810" s="2" t="str">
        <f aca="false">IF(I3810&gt;=6,"High",IF(I3810&gt;=3,"Medium","Low"))</f>
        <v>Low</v>
      </c>
    </row>
    <row r="3811" customFormat="false" ht="15" hidden="false" customHeight="true" outlineLevel="0" collapsed="false">
      <c r="A3811" s="2" t="n">
        <f aca="false">'Raw Data'!H3811</f>
        <v>3810</v>
      </c>
      <c r="B3811" s="2" t="n">
        <f aca="false">'Raw Data'!A3811</f>
        <v>23</v>
      </c>
      <c r="C3811" s="2" t="str">
        <f aca="false">'Raw Data'!D3811</f>
        <v>Research &amp; Development</v>
      </c>
      <c r="D3811" s="2" t="str">
        <f aca="false">'Raw Data'!K3811</f>
        <v>Manager</v>
      </c>
      <c r="E3811" s="2" t="n">
        <f aca="false">'Raw Data'!Q3811</f>
        <v>4</v>
      </c>
      <c r="F3811" s="2" t="n">
        <f aca="false">'Raw Data'!U3811</f>
        <v>2</v>
      </c>
      <c r="G3811" s="2" t="n">
        <f aca="false">'Raw Data'!W3811</f>
        <v>3</v>
      </c>
      <c r="H3811" s="2" t="n">
        <f aca="false">'Raw Data'!V3811</f>
        <v>4</v>
      </c>
      <c r="I3811" s="2" t="n">
        <f aca="false">IF(AND(ISNUMBER(B3811),B3811&lt;=25),2,0)+IF(AND(ISNUMBER(E3811),E3811&lt;=5),2,0)+IF(AND(ISNUMBER(F3811),F3811&lt;=1),2,0)+IF(AND(ISNUMBER(G3811),G3811&lt;=2),1,0)+IF(AND(ISNUMBER(H3811),H3811&lt;=2),1,0)</f>
        <v>4</v>
      </c>
      <c r="J3811" s="2" t="str">
        <f aca="false">IF(I3811&gt;=6,"High",IF(I3811&gt;=3,"Medium","Low"))</f>
        <v>Medium</v>
      </c>
    </row>
    <row r="3812" customFormat="false" ht="15" hidden="false" customHeight="true" outlineLevel="0" collapsed="false">
      <c r="A3812" s="2" t="n">
        <f aca="false">'Raw Data'!H3812</f>
        <v>3811</v>
      </c>
      <c r="B3812" s="2" t="n">
        <f aca="false">'Raw Data'!A3812</f>
        <v>36</v>
      </c>
      <c r="C3812" s="2" t="str">
        <f aca="false">'Raw Data'!D3812</f>
        <v>Sales</v>
      </c>
      <c r="D3812" s="2" t="str">
        <f aca="false">'Raw Data'!K3812</f>
        <v>Human Resources</v>
      </c>
      <c r="E3812" s="2" t="n">
        <f aca="false">'Raw Data'!Q3812</f>
        <v>9</v>
      </c>
      <c r="F3812" s="2" t="n">
        <f aca="false">'Raw Data'!U3812</f>
        <v>2</v>
      </c>
      <c r="G3812" s="2" t="n">
        <f aca="false">'Raw Data'!W3812</f>
        <v>1</v>
      </c>
      <c r="H3812" s="2" t="n">
        <f aca="false">'Raw Data'!V3812</f>
        <v>1</v>
      </c>
      <c r="I3812" s="2" t="n">
        <f aca="false">IF(AND(ISNUMBER(B3812),B3812&lt;=25),2,0)+IF(AND(ISNUMBER(E3812),E3812&lt;=5),2,0)+IF(AND(ISNUMBER(F3812),F3812&lt;=1),2,0)+IF(AND(ISNUMBER(G3812),G3812&lt;=2),1,0)+IF(AND(ISNUMBER(H3812),H3812&lt;=2),1,0)</f>
        <v>2</v>
      </c>
      <c r="J3812" s="2" t="str">
        <f aca="false">IF(I3812&gt;=6,"High",IF(I3812&gt;=3,"Medium","Low"))</f>
        <v>Low</v>
      </c>
    </row>
    <row r="3813" customFormat="false" ht="15" hidden="false" customHeight="true" outlineLevel="0" collapsed="false">
      <c r="A3813" s="2" t="n">
        <f aca="false">'Raw Data'!H3813</f>
        <v>3812</v>
      </c>
      <c r="B3813" s="2" t="n">
        <f aca="false">'Raw Data'!A3813</f>
        <v>42</v>
      </c>
      <c r="C3813" s="2" t="str">
        <f aca="false">'Raw Data'!D3813</f>
        <v>Research &amp; Development</v>
      </c>
      <c r="D3813" s="2" t="str">
        <f aca="false">'Raw Data'!K3813</f>
        <v>Manager</v>
      </c>
      <c r="E3813" s="2" t="n">
        <f aca="false">'Raw Data'!Q3813</f>
        <v>24</v>
      </c>
      <c r="F3813" s="2" t="n">
        <f aca="false">'Raw Data'!U3813</f>
        <v>1</v>
      </c>
      <c r="G3813" s="2" t="n">
        <f aca="false">'Raw Data'!W3813</f>
        <v>4</v>
      </c>
      <c r="H3813" s="2" t="n">
        <f aca="false">'Raw Data'!V3813</f>
        <v>4</v>
      </c>
      <c r="I3813" s="2" t="n">
        <f aca="false">IF(AND(ISNUMBER(B3813),B3813&lt;=25),2,0)+IF(AND(ISNUMBER(E3813),E3813&lt;=5),2,0)+IF(AND(ISNUMBER(F3813),F3813&lt;=1),2,0)+IF(AND(ISNUMBER(G3813),G3813&lt;=2),1,0)+IF(AND(ISNUMBER(H3813),H3813&lt;=2),1,0)</f>
        <v>2</v>
      </c>
      <c r="J3813" s="2" t="str">
        <f aca="false">IF(I3813&gt;=6,"High",IF(I3813&gt;=3,"Medium","Low"))</f>
        <v>Low</v>
      </c>
    </row>
    <row r="3814" customFormat="false" ht="15" hidden="false" customHeight="true" outlineLevel="0" collapsed="false">
      <c r="A3814" s="2" t="n">
        <f aca="false">'Raw Data'!H3814</f>
        <v>3813</v>
      </c>
      <c r="B3814" s="2" t="n">
        <f aca="false">'Raw Data'!A3814</f>
        <v>35</v>
      </c>
      <c r="C3814" s="2" t="str">
        <f aca="false">'Raw Data'!D3814</f>
        <v>Sales</v>
      </c>
      <c r="D3814" s="2" t="str">
        <f aca="false">'Raw Data'!K3814</f>
        <v>Laboratory Technician</v>
      </c>
      <c r="E3814" s="2" t="n">
        <f aca="false">'Raw Data'!Q3814</f>
        <v>10</v>
      </c>
      <c r="F3814" s="2" t="n">
        <f aca="false">'Raw Data'!U3814</f>
        <v>8</v>
      </c>
      <c r="G3814" s="2" t="n">
        <f aca="false">'Raw Data'!W3814</f>
        <v>3</v>
      </c>
      <c r="H3814" s="2" t="n">
        <f aca="false">'Raw Data'!V3814</f>
        <v>2</v>
      </c>
      <c r="I3814" s="2" t="n">
        <f aca="false">IF(AND(ISNUMBER(B3814),B3814&lt;=25),2,0)+IF(AND(ISNUMBER(E3814),E3814&lt;=5),2,0)+IF(AND(ISNUMBER(F3814),F3814&lt;=1),2,0)+IF(AND(ISNUMBER(G3814),G3814&lt;=2),1,0)+IF(AND(ISNUMBER(H3814),H3814&lt;=2),1,0)</f>
        <v>1</v>
      </c>
      <c r="J3814" s="2" t="str">
        <f aca="false">IF(I3814&gt;=6,"High",IF(I3814&gt;=3,"Medium","Low"))</f>
        <v>Low</v>
      </c>
    </row>
    <row r="3815" customFormat="false" ht="15" hidden="false" customHeight="true" outlineLevel="0" collapsed="false">
      <c r="A3815" s="2" t="n">
        <f aca="false">'Raw Data'!H3815</f>
        <v>3814</v>
      </c>
      <c r="B3815" s="2" t="n">
        <f aca="false">'Raw Data'!A3815</f>
        <v>34</v>
      </c>
      <c r="C3815" s="2" t="str">
        <f aca="false">'Raw Data'!D3815</f>
        <v>Research &amp; Development</v>
      </c>
      <c r="D3815" s="2" t="str">
        <f aca="false">'Raw Data'!K3815</f>
        <v>Manager</v>
      </c>
      <c r="E3815" s="2" t="n">
        <f aca="false">'Raw Data'!Q3815</f>
        <v>8</v>
      </c>
      <c r="F3815" s="2" t="n">
        <f aca="false">'Raw Data'!U3815</f>
        <v>7</v>
      </c>
      <c r="G3815" s="2" t="n">
        <f aca="false">'Raw Data'!W3815</f>
        <v>3</v>
      </c>
      <c r="H3815" s="2" t="n">
        <f aca="false">'Raw Data'!V3815</f>
        <v>4</v>
      </c>
      <c r="I3815" s="2" t="n">
        <f aca="false">IF(AND(ISNUMBER(B3815),B3815&lt;=25),2,0)+IF(AND(ISNUMBER(E3815),E3815&lt;=5),2,0)+IF(AND(ISNUMBER(F3815),F3815&lt;=1),2,0)+IF(AND(ISNUMBER(G3815),G3815&lt;=2),1,0)+IF(AND(ISNUMBER(H3815),H3815&lt;=2),1,0)</f>
        <v>0</v>
      </c>
      <c r="J3815" s="2" t="str">
        <f aca="false">IF(I3815&gt;=6,"High",IF(I3815&gt;=3,"Medium","Low"))</f>
        <v>Low</v>
      </c>
    </row>
    <row r="3816" customFormat="false" ht="15" hidden="false" customHeight="true" outlineLevel="0" collapsed="false">
      <c r="A3816" s="2" t="n">
        <f aca="false">'Raw Data'!H3816</f>
        <v>3815</v>
      </c>
      <c r="B3816" s="2" t="n">
        <f aca="false">'Raw Data'!A3816</f>
        <v>40</v>
      </c>
      <c r="C3816" s="2" t="str">
        <f aca="false">'Raw Data'!D3816</f>
        <v>Research &amp; Development</v>
      </c>
      <c r="D3816" s="2" t="str">
        <f aca="false">'Raw Data'!K3816</f>
        <v>Laboratory Technician</v>
      </c>
      <c r="E3816" s="2" t="n">
        <f aca="false">'Raw Data'!Q3816</f>
        <v>5</v>
      </c>
      <c r="F3816" s="2" t="n">
        <f aca="false">'Raw Data'!U3816</f>
        <v>2</v>
      </c>
      <c r="G3816" s="2" t="n">
        <f aca="false">'Raw Data'!W3816</f>
        <v>1</v>
      </c>
      <c r="H3816" s="2" t="n">
        <f aca="false">'Raw Data'!V3816</f>
        <v>4</v>
      </c>
      <c r="I3816" s="2" t="n">
        <f aca="false">IF(AND(ISNUMBER(B3816),B3816&lt;=25),2,0)+IF(AND(ISNUMBER(E3816),E3816&lt;=5),2,0)+IF(AND(ISNUMBER(F3816),F3816&lt;=1),2,0)+IF(AND(ISNUMBER(G3816),G3816&lt;=2),1,0)+IF(AND(ISNUMBER(H3816),H3816&lt;=2),1,0)</f>
        <v>3</v>
      </c>
      <c r="J3816" s="2" t="str">
        <f aca="false">IF(I3816&gt;=6,"High",IF(I3816&gt;=3,"Medium","Low"))</f>
        <v>Medium</v>
      </c>
    </row>
    <row r="3817" customFormat="false" ht="15" hidden="false" customHeight="true" outlineLevel="0" collapsed="false">
      <c r="A3817" s="2" t="n">
        <f aca="false">'Raw Data'!H3817</f>
        <v>3816</v>
      </c>
      <c r="B3817" s="2" t="n">
        <f aca="false">'Raw Data'!A3817</f>
        <v>43</v>
      </c>
      <c r="C3817" s="2" t="str">
        <f aca="false">'Raw Data'!D3817</f>
        <v>Research &amp; Development</v>
      </c>
      <c r="D3817" s="2" t="str">
        <f aca="false">'Raw Data'!K3817</f>
        <v>Manager</v>
      </c>
      <c r="E3817" s="2" t="n">
        <f aca="false">'Raw Data'!Q3817</f>
        <v>8</v>
      </c>
      <c r="F3817" s="2" t="n">
        <f aca="false">'Raw Data'!U3817</f>
        <v>2</v>
      </c>
      <c r="G3817" s="2" t="n">
        <f aca="false">'Raw Data'!W3817</f>
        <v>2</v>
      </c>
      <c r="H3817" s="2" t="n">
        <f aca="false">'Raw Data'!V3817</f>
        <v>4</v>
      </c>
      <c r="I3817" s="2" t="n">
        <f aca="false">IF(AND(ISNUMBER(B3817),B3817&lt;=25),2,0)+IF(AND(ISNUMBER(E3817),E3817&lt;=5),2,0)+IF(AND(ISNUMBER(F3817),F3817&lt;=1),2,0)+IF(AND(ISNUMBER(G3817),G3817&lt;=2),1,0)+IF(AND(ISNUMBER(H3817),H3817&lt;=2),1,0)</f>
        <v>1</v>
      </c>
      <c r="J3817" s="2" t="str">
        <f aca="false">IF(I3817&gt;=6,"High",IF(I3817&gt;=3,"Medium","Low"))</f>
        <v>Low</v>
      </c>
    </row>
    <row r="3818" customFormat="false" ht="15" hidden="false" customHeight="true" outlineLevel="0" collapsed="false">
      <c r="A3818" s="2" t="n">
        <f aca="false">'Raw Data'!H3818</f>
        <v>3817</v>
      </c>
      <c r="B3818" s="2" t="n">
        <f aca="false">'Raw Data'!A3818</f>
        <v>35</v>
      </c>
      <c r="C3818" s="2" t="str">
        <f aca="false">'Raw Data'!D3818</f>
        <v>Sales</v>
      </c>
      <c r="D3818" s="2" t="str">
        <f aca="false">'Raw Data'!K3818</f>
        <v>Sales Representative</v>
      </c>
      <c r="E3818" s="2" t="n">
        <f aca="false">'Raw Data'!Q3818</f>
        <v>1</v>
      </c>
      <c r="F3818" s="2" t="n">
        <f aca="false">'Raw Data'!U3818</f>
        <v>1</v>
      </c>
      <c r="G3818" s="2" t="n">
        <f aca="false">'Raw Data'!W3818</f>
        <v>4</v>
      </c>
      <c r="H3818" s="2" t="n">
        <f aca="false">'Raw Data'!V3818</f>
        <v>3</v>
      </c>
      <c r="I3818" s="2" t="n">
        <f aca="false">IF(AND(ISNUMBER(B3818),B3818&lt;=25),2,0)+IF(AND(ISNUMBER(E3818),E3818&lt;=5),2,0)+IF(AND(ISNUMBER(F3818),F3818&lt;=1),2,0)+IF(AND(ISNUMBER(G3818),G3818&lt;=2),1,0)+IF(AND(ISNUMBER(H3818),H3818&lt;=2),1,0)</f>
        <v>4</v>
      </c>
      <c r="J3818" s="2" t="str">
        <f aca="false">IF(I3818&gt;=6,"High",IF(I3818&gt;=3,"Medium","Low"))</f>
        <v>Medium</v>
      </c>
    </row>
    <row r="3819" customFormat="false" ht="15" hidden="false" customHeight="true" outlineLevel="0" collapsed="false">
      <c r="A3819" s="2" t="n">
        <f aca="false">'Raw Data'!H3819</f>
        <v>3818</v>
      </c>
      <c r="B3819" s="2" t="n">
        <f aca="false">'Raw Data'!A3819</f>
        <v>46</v>
      </c>
      <c r="C3819" s="2" t="str">
        <f aca="false">'Raw Data'!D3819</f>
        <v>Research &amp; Development</v>
      </c>
      <c r="D3819" s="2" t="str">
        <f aca="false">'Raw Data'!K3819</f>
        <v>Laboratory Technician</v>
      </c>
      <c r="E3819" s="2" t="n">
        <f aca="false">'Raw Data'!Q3819</f>
        <v>27</v>
      </c>
      <c r="F3819" s="2" t="n">
        <f aca="false">'Raw Data'!U3819</f>
        <v>12</v>
      </c>
      <c r="G3819" s="2" t="n">
        <f aca="false">'Raw Data'!W3819</f>
        <v>1</v>
      </c>
      <c r="H3819" s="2" t="n">
        <f aca="false">'Raw Data'!V3819</f>
        <v>4</v>
      </c>
      <c r="I3819" s="2" t="n">
        <f aca="false">IF(AND(ISNUMBER(B3819),B3819&lt;=25),2,0)+IF(AND(ISNUMBER(E3819),E3819&lt;=5),2,0)+IF(AND(ISNUMBER(F3819),F3819&lt;=1),2,0)+IF(AND(ISNUMBER(G3819),G3819&lt;=2),1,0)+IF(AND(ISNUMBER(H3819),H3819&lt;=2),1,0)</f>
        <v>1</v>
      </c>
      <c r="J3819" s="2" t="str">
        <f aca="false">IF(I3819&gt;=6,"High",IF(I3819&gt;=3,"Medium","Low"))</f>
        <v>Low</v>
      </c>
    </row>
    <row r="3820" customFormat="false" ht="15" hidden="false" customHeight="true" outlineLevel="0" collapsed="false">
      <c r="A3820" s="2" t="n">
        <f aca="false">'Raw Data'!H3820</f>
        <v>3819</v>
      </c>
      <c r="B3820" s="2" t="n">
        <f aca="false">'Raw Data'!A3820</f>
        <v>28</v>
      </c>
      <c r="C3820" s="2" t="str">
        <f aca="false">'Raw Data'!D3820</f>
        <v>Human Resources</v>
      </c>
      <c r="D3820" s="2" t="str">
        <f aca="false">'Raw Data'!K3820</f>
        <v>Laboratory Technician</v>
      </c>
      <c r="E3820" s="2" t="n">
        <f aca="false">'Raw Data'!Q3820</f>
        <v>0</v>
      </c>
      <c r="F3820" s="2" t="n">
        <f aca="false">'Raw Data'!U3820</f>
        <v>0</v>
      </c>
      <c r="G3820" s="2" t="n">
        <f aca="false">'Raw Data'!W3820</f>
        <v>2</v>
      </c>
      <c r="H3820" s="2" t="n">
        <f aca="false">'Raw Data'!V3820</f>
        <v>3</v>
      </c>
      <c r="I3820" s="2" t="n">
        <f aca="false">IF(AND(ISNUMBER(B3820),B3820&lt;=25),2,0)+IF(AND(ISNUMBER(E3820),E3820&lt;=5),2,0)+IF(AND(ISNUMBER(F3820),F3820&lt;=1),2,0)+IF(AND(ISNUMBER(G3820),G3820&lt;=2),1,0)+IF(AND(ISNUMBER(H3820),H3820&lt;=2),1,0)</f>
        <v>3</v>
      </c>
      <c r="J3820" s="2" t="str">
        <f aca="false">IF(I3820&gt;=6,"High",IF(I3820&gt;=3,"Medium","Low"))</f>
        <v>Medium</v>
      </c>
    </row>
    <row r="3821" customFormat="false" ht="15" hidden="false" customHeight="true" outlineLevel="0" collapsed="false">
      <c r="A3821" s="2" t="n">
        <f aca="false">'Raw Data'!H3821</f>
        <v>3820</v>
      </c>
      <c r="B3821" s="2" t="n">
        <f aca="false">'Raw Data'!A3821</f>
        <v>22</v>
      </c>
      <c r="C3821" s="2" t="str">
        <f aca="false">'Raw Data'!D3821</f>
        <v>Sales</v>
      </c>
      <c r="D3821" s="2" t="str">
        <f aca="false">'Raw Data'!K3821</f>
        <v>Sales Executive</v>
      </c>
      <c r="E3821" s="2" t="n">
        <f aca="false">'Raw Data'!Q3821</f>
        <v>4</v>
      </c>
      <c r="F3821" s="2" t="n">
        <f aca="false">'Raw Data'!U3821</f>
        <v>3</v>
      </c>
      <c r="G3821" s="2" t="n">
        <f aca="false">'Raw Data'!W3821</f>
        <v>3</v>
      </c>
      <c r="H3821" s="2" t="n">
        <f aca="false">'Raw Data'!V3821</f>
        <v>2</v>
      </c>
      <c r="I3821" s="2" t="n">
        <f aca="false">IF(AND(ISNUMBER(B3821),B3821&lt;=25),2,0)+IF(AND(ISNUMBER(E3821),E3821&lt;=5),2,0)+IF(AND(ISNUMBER(F3821),F3821&lt;=1),2,0)+IF(AND(ISNUMBER(G3821),G3821&lt;=2),1,0)+IF(AND(ISNUMBER(H3821),H3821&lt;=2),1,0)</f>
        <v>5</v>
      </c>
      <c r="J3821" s="2" t="str">
        <f aca="false">IF(I3821&gt;=6,"High",IF(I3821&gt;=3,"Medium","Low"))</f>
        <v>Medium</v>
      </c>
    </row>
    <row r="3822" customFormat="false" ht="15" hidden="false" customHeight="true" outlineLevel="0" collapsed="false">
      <c r="A3822" s="2" t="n">
        <f aca="false">'Raw Data'!H3822</f>
        <v>3821</v>
      </c>
      <c r="B3822" s="2" t="n">
        <f aca="false">'Raw Data'!A3822</f>
        <v>50</v>
      </c>
      <c r="C3822" s="2" t="str">
        <f aca="false">'Raw Data'!D3822</f>
        <v>Research &amp; Development</v>
      </c>
      <c r="D3822" s="2" t="str">
        <f aca="false">'Raw Data'!K3822</f>
        <v>Research Scientist</v>
      </c>
      <c r="E3822" s="2" t="n">
        <f aca="false">'Raw Data'!Q3822</f>
        <v>32</v>
      </c>
      <c r="F3822" s="2" t="n">
        <f aca="false">'Raw Data'!U3822</f>
        <v>13</v>
      </c>
      <c r="G3822" s="2" t="n">
        <f aca="false">'Raw Data'!W3822</f>
        <v>3</v>
      </c>
      <c r="H3822" s="2" t="n">
        <f aca="false">'Raw Data'!V3822</f>
        <v>2</v>
      </c>
      <c r="I3822" s="2" t="n">
        <f aca="false">IF(AND(ISNUMBER(B3822),B3822&lt;=25),2,0)+IF(AND(ISNUMBER(E3822),E3822&lt;=5),2,0)+IF(AND(ISNUMBER(F3822),F3822&lt;=1),2,0)+IF(AND(ISNUMBER(G3822),G3822&lt;=2),1,0)+IF(AND(ISNUMBER(H3822),H3822&lt;=2),1,0)</f>
        <v>1</v>
      </c>
      <c r="J3822" s="2" t="str">
        <f aca="false">IF(I3822&gt;=6,"High",IF(I3822&gt;=3,"Medium","Low"))</f>
        <v>Low</v>
      </c>
    </row>
    <row r="3823" customFormat="false" ht="15" hidden="false" customHeight="true" outlineLevel="0" collapsed="false">
      <c r="A3823" s="2" t="n">
        <f aca="false">'Raw Data'!H3823</f>
        <v>3822</v>
      </c>
      <c r="B3823" s="2" t="n">
        <f aca="false">'Raw Data'!A3823</f>
        <v>32</v>
      </c>
      <c r="C3823" s="2" t="str">
        <f aca="false">'Raw Data'!D3823</f>
        <v>Research &amp; Development</v>
      </c>
      <c r="D3823" s="2" t="str">
        <f aca="false">'Raw Data'!K3823</f>
        <v>Research Scientist</v>
      </c>
      <c r="E3823" s="2" t="n">
        <f aca="false">'Raw Data'!Q3823</f>
        <v>6</v>
      </c>
      <c r="F3823" s="2" t="n">
        <f aca="false">'Raw Data'!U3823</f>
        <v>2</v>
      </c>
      <c r="G3823" s="2" t="n">
        <f aca="false">'Raw Data'!W3823</f>
        <v>4</v>
      </c>
      <c r="H3823" s="2" t="n">
        <f aca="false">'Raw Data'!V3823</f>
        <v>2</v>
      </c>
      <c r="I3823" s="2" t="n">
        <f aca="false">IF(AND(ISNUMBER(B3823),B3823&lt;=25),2,0)+IF(AND(ISNUMBER(E3823),E3823&lt;=5),2,0)+IF(AND(ISNUMBER(F3823),F3823&lt;=1),2,0)+IF(AND(ISNUMBER(G3823),G3823&lt;=2),1,0)+IF(AND(ISNUMBER(H3823),H3823&lt;=2),1,0)</f>
        <v>1</v>
      </c>
      <c r="J3823" s="2" t="str">
        <f aca="false">IF(I3823&gt;=6,"High",IF(I3823&gt;=3,"Medium","Low"))</f>
        <v>Low</v>
      </c>
    </row>
    <row r="3824" customFormat="false" ht="15" hidden="false" customHeight="true" outlineLevel="0" collapsed="false">
      <c r="A3824" s="2" t="n">
        <f aca="false">'Raw Data'!H3824</f>
        <v>3823</v>
      </c>
      <c r="B3824" s="2" t="n">
        <f aca="false">'Raw Data'!A3824</f>
        <v>44</v>
      </c>
      <c r="C3824" s="2" t="str">
        <f aca="false">'Raw Data'!D3824</f>
        <v>Research &amp; Development</v>
      </c>
      <c r="D3824" s="2" t="str">
        <f aca="false">'Raw Data'!K3824</f>
        <v>Manager</v>
      </c>
      <c r="E3824" s="2" t="n">
        <f aca="false">'Raw Data'!Q3824</f>
        <v>23</v>
      </c>
      <c r="F3824" s="2" t="n">
        <f aca="false">'Raw Data'!U3824</f>
        <v>10</v>
      </c>
      <c r="G3824" s="2" t="n">
        <f aca="false">'Raw Data'!W3824</f>
        <v>4</v>
      </c>
      <c r="H3824" s="2" t="n">
        <f aca="false">'Raw Data'!V3824</f>
        <v>2</v>
      </c>
      <c r="I3824" s="2" t="n">
        <f aca="false">IF(AND(ISNUMBER(B3824),B3824&lt;=25),2,0)+IF(AND(ISNUMBER(E3824),E3824&lt;=5),2,0)+IF(AND(ISNUMBER(F3824),F3824&lt;=1),2,0)+IF(AND(ISNUMBER(G3824),G3824&lt;=2),1,0)+IF(AND(ISNUMBER(H3824),H3824&lt;=2),1,0)</f>
        <v>1</v>
      </c>
      <c r="J3824" s="2" t="str">
        <f aca="false">IF(I3824&gt;=6,"High",IF(I3824&gt;=3,"Medium","Low"))</f>
        <v>Low</v>
      </c>
    </row>
    <row r="3825" customFormat="false" ht="15" hidden="false" customHeight="true" outlineLevel="0" collapsed="false">
      <c r="A3825" s="2" t="n">
        <f aca="false">'Raw Data'!H3825</f>
        <v>3824</v>
      </c>
      <c r="B3825" s="2" t="n">
        <f aca="false">'Raw Data'!A3825</f>
        <v>30</v>
      </c>
      <c r="C3825" s="2" t="str">
        <f aca="false">'Raw Data'!D3825</f>
        <v>Research &amp; Development</v>
      </c>
      <c r="D3825" s="2" t="str">
        <f aca="false">'Raw Data'!K3825</f>
        <v>Research Director</v>
      </c>
      <c r="E3825" s="2" t="n">
        <f aca="false">'Raw Data'!Q3825</f>
        <v>6</v>
      </c>
      <c r="F3825" s="2" t="n">
        <f aca="false">'Raw Data'!U3825</f>
        <v>1</v>
      </c>
      <c r="G3825" s="2" t="n">
        <f aca="false">'Raw Data'!W3825</f>
        <v>2</v>
      </c>
      <c r="H3825" s="2" t="n">
        <f aca="false">'Raw Data'!V3825</f>
        <v>2</v>
      </c>
      <c r="I3825" s="2" t="n">
        <f aca="false">IF(AND(ISNUMBER(B3825),B3825&lt;=25),2,0)+IF(AND(ISNUMBER(E3825),E3825&lt;=5),2,0)+IF(AND(ISNUMBER(F3825),F3825&lt;=1),2,0)+IF(AND(ISNUMBER(G3825),G3825&lt;=2),1,0)+IF(AND(ISNUMBER(H3825),H3825&lt;=2),1,0)</f>
        <v>4</v>
      </c>
      <c r="J3825" s="2" t="str">
        <f aca="false">IF(I3825&gt;=6,"High",IF(I3825&gt;=3,"Medium","Low"))</f>
        <v>Medium</v>
      </c>
    </row>
    <row r="3826" customFormat="false" ht="15" hidden="false" customHeight="true" outlineLevel="0" collapsed="false">
      <c r="A3826" s="2" t="n">
        <f aca="false">'Raw Data'!H3826</f>
        <v>3825</v>
      </c>
      <c r="B3826" s="2" t="n">
        <f aca="false">'Raw Data'!A3826</f>
        <v>45</v>
      </c>
      <c r="C3826" s="2" t="str">
        <f aca="false">'Raw Data'!D3826</f>
        <v>Sales</v>
      </c>
      <c r="D3826" s="2" t="str">
        <f aca="false">'Raw Data'!K3826</f>
        <v>Research Scientist</v>
      </c>
      <c r="E3826" s="2" t="n">
        <f aca="false">'Raw Data'!Q3826</f>
        <v>10</v>
      </c>
      <c r="F3826" s="2" t="n">
        <f aca="false">'Raw Data'!U3826</f>
        <v>4</v>
      </c>
      <c r="G3826" s="2" t="n">
        <f aca="false">'Raw Data'!W3826</f>
        <v>1</v>
      </c>
      <c r="H3826" s="2" t="n">
        <f aca="false">'Raw Data'!V3826</f>
        <v>3</v>
      </c>
      <c r="I3826" s="2" t="n">
        <f aca="false">IF(AND(ISNUMBER(B3826),B3826&lt;=25),2,0)+IF(AND(ISNUMBER(E3826),E3826&lt;=5),2,0)+IF(AND(ISNUMBER(F3826),F3826&lt;=1),2,0)+IF(AND(ISNUMBER(G3826),G3826&lt;=2),1,0)+IF(AND(ISNUMBER(H3826),H3826&lt;=2),1,0)</f>
        <v>1</v>
      </c>
      <c r="J3826" s="2" t="str">
        <f aca="false">IF(I3826&gt;=6,"High",IF(I3826&gt;=3,"Medium","Low"))</f>
        <v>Low</v>
      </c>
    </row>
    <row r="3827" customFormat="false" ht="15" hidden="false" customHeight="true" outlineLevel="0" collapsed="false">
      <c r="A3827" s="2" t="n">
        <f aca="false">'Raw Data'!H3827</f>
        <v>3826</v>
      </c>
      <c r="B3827" s="2" t="n">
        <f aca="false">'Raw Data'!A3827</f>
        <v>45</v>
      </c>
      <c r="C3827" s="2" t="str">
        <f aca="false">'Raw Data'!D3827</f>
        <v>Sales</v>
      </c>
      <c r="D3827" s="2" t="str">
        <f aca="false">'Raw Data'!K3827</f>
        <v>Manufacturing Director</v>
      </c>
      <c r="E3827" s="2" t="n">
        <f aca="false">'Raw Data'!Q3827</f>
        <v>10</v>
      </c>
      <c r="F3827" s="2" t="n">
        <f aca="false">'Raw Data'!U3827</f>
        <v>5</v>
      </c>
      <c r="G3827" s="2" t="n">
        <f aca="false">'Raw Data'!W3827</f>
        <v>1</v>
      </c>
      <c r="H3827" s="2" t="n">
        <f aca="false">'Raw Data'!V3827</f>
        <v>1</v>
      </c>
      <c r="I3827" s="2" t="n">
        <f aca="false">IF(AND(ISNUMBER(B3827),B3827&lt;=25),2,0)+IF(AND(ISNUMBER(E3827),E3827&lt;=5),2,0)+IF(AND(ISNUMBER(F3827),F3827&lt;=1),2,0)+IF(AND(ISNUMBER(G3827),G3827&lt;=2),1,0)+IF(AND(ISNUMBER(H3827),H3827&lt;=2),1,0)</f>
        <v>2</v>
      </c>
      <c r="J3827" s="2" t="str">
        <f aca="false">IF(I3827&gt;=6,"High",IF(I3827&gt;=3,"Medium","Low"))</f>
        <v>Low</v>
      </c>
    </row>
    <row r="3828" customFormat="false" ht="15" hidden="false" customHeight="true" outlineLevel="0" collapsed="false">
      <c r="A3828" s="2" t="n">
        <f aca="false">'Raw Data'!H3828</f>
        <v>3827</v>
      </c>
      <c r="B3828" s="2" t="n">
        <f aca="false">'Raw Data'!A3828</f>
        <v>31</v>
      </c>
      <c r="C3828" s="2" t="str">
        <f aca="false">'Raw Data'!D3828</f>
        <v>Research &amp; Development</v>
      </c>
      <c r="D3828" s="2" t="str">
        <f aca="false">'Raw Data'!K3828</f>
        <v>Research Scientist</v>
      </c>
      <c r="E3828" s="2" t="n">
        <f aca="false">'Raw Data'!Q3828</f>
        <v>10</v>
      </c>
      <c r="F3828" s="2" t="n">
        <f aca="false">'Raw Data'!U3828</f>
        <v>3</v>
      </c>
      <c r="G3828" s="2" t="n">
        <f aca="false">'Raw Data'!W3828</f>
        <v>1</v>
      </c>
      <c r="H3828" s="2" t="n">
        <f aca="false">'Raw Data'!V3828</f>
        <v>4</v>
      </c>
      <c r="I3828" s="2" t="n">
        <f aca="false">IF(AND(ISNUMBER(B3828),B3828&lt;=25),2,0)+IF(AND(ISNUMBER(E3828),E3828&lt;=5),2,0)+IF(AND(ISNUMBER(F3828),F3828&lt;=1),2,0)+IF(AND(ISNUMBER(G3828),G3828&lt;=2),1,0)+IF(AND(ISNUMBER(H3828),H3828&lt;=2),1,0)</f>
        <v>1</v>
      </c>
      <c r="J3828" s="2" t="str">
        <f aca="false">IF(I3828&gt;=6,"High",IF(I3828&gt;=3,"Medium","Low"))</f>
        <v>Low</v>
      </c>
    </row>
    <row r="3829" customFormat="false" ht="15" hidden="false" customHeight="true" outlineLevel="0" collapsed="false">
      <c r="A3829" s="2" t="n">
        <f aca="false">'Raw Data'!H3829</f>
        <v>3828</v>
      </c>
      <c r="B3829" s="2" t="n">
        <f aca="false">'Raw Data'!A3829</f>
        <v>36</v>
      </c>
      <c r="C3829" s="2" t="str">
        <f aca="false">'Raw Data'!D3829</f>
        <v>Research &amp; Development</v>
      </c>
      <c r="D3829" s="2" t="str">
        <f aca="false">'Raw Data'!K3829</f>
        <v>Manufacturing Director</v>
      </c>
      <c r="E3829" s="2" t="n">
        <f aca="false">'Raw Data'!Q3829</f>
        <v>7</v>
      </c>
      <c r="F3829" s="2" t="n">
        <f aca="false">'Raw Data'!U3829</f>
        <v>1</v>
      </c>
      <c r="G3829" s="2" t="n">
        <f aca="false">'Raw Data'!W3829</f>
        <v>3</v>
      </c>
      <c r="H3829" s="2" t="n">
        <f aca="false">'Raw Data'!V3829</f>
        <v>3</v>
      </c>
      <c r="I3829" s="2" t="n">
        <f aca="false">IF(AND(ISNUMBER(B3829),B3829&lt;=25),2,0)+IF(AND(ISNUMBER(E3829),E3829&lt;=5),2,0)+IF(AND(ISNUMBER(F3829),F3829&lt;=1),2,0)+IF(AND(ISNUMBER(G3829),G3829&lt;=2),1,0)+IF(AND(ISNUMBER(H3829),H3829&lt;=2),1,0)</f>
        <v>2</v>
      </c>
      <c r="J3829" s="2" t="str">
        <f aca="false">IF(I3829&gt;=6,"High",IF(I3829&gt;=3,"Medium","Low"))</f>
        <v>Low</v>
      </c>
    </row>
    <row r="3830" customFormat="false" ht="15" hidden="false" customHeight="true" outlineLevel="0" collapsed="false">
      <c r="A3830" s="2" t="n">
        <f aca="false">'Raw Data'!H3830</f>
        <v>3829</v>
      </c>
      <c r="B3830" s="2" t="n">
        <f aca="false">'Raw Data'!A3830</f>
        <v>34</v>
      </c>
      <c r="C3830" s="2" t="str">
        <f aca="false">'Raw Data'!D3830</f>
        <v>Sales</v>
      </c>
      <c r="D3830" s="2" t="str">
        <f aca="false">'Raw Data'!K3830</f>
        <v>Manufacturing Director</v>
      </c>
      <c r="E3830" s="2" t="n">
        <f aca="false">'Raw Data'!Q3830</f>
        <v>9</v>
      </c>
      <c r="F3830" s="2" t="n">
        <f aca="false">'Raw Data'!U3830</f>
        <v>2</v>
      </c>
      <c r="G3830" s="2" t="n">
        <f aca="false">'Raw Data'!W3830</f>
        <v>4</v>
      </c>
      <c r="H3830" s="2" t="n">
        <f aca="false">'Raw Data'!V3830</f>
        <v>3</v>
      </c>
      <c r="I3830" s="2" t="n">
        <f aca="false">IF(AND(ISNUMBER(B3830),B3830&lt;=25),2,0)+IF(AND(ISNUMBER(E3830),E3830&lt;=5),2,0)+IF(AND(ISNUMBER(F3830),F3830&lt;=1),2,0)+IF(AND(ISNUMBER(G3830),G3830&lt;=2),1,0)+IF(AND(ISNUMBER(H3830),H3830&lt;=2),1,0)</f>
        <v>0</v>
      </c>
      <c r="J3830" s="2" t="str">
        <f aca="false">IF(I3830&gt;=6,"High",IF(I3830&gt;=3,"Medium","Low"))</f>
        <v>Low</v>
      </c>
    </row>
    <row r="3831" customFormat="false" ht="15" hidden="false" customHeight="true" outlineLevel="0" collapsed="false">
      <c r="A3831" s="2" t="n">
        <f aca="false">'Raw Data'!H3831</f>
        <v>3830</v>
      </c>
      <c r="B3831" s="2" t="n">
        <f aca="false">'Raw Data'!A3831</f>
        <v>49</v>
      </c>
      <c r="C3831" s="2" t="str">
        <f aca="false">'Raw Data'!D3831</f>
        <v>Research &amp; Development</v>
      </c>
      <c r="D3831" s="2" t="str">
        <f aca="false">'Raw Data'!K3831</f>
        <v>Healthcare Representative</v>
      </c>
      <c r="E3831" s="2" t="n">
        <f aca="false">'Raw Data'!Q3831</f>
        <v>10</v>
      </c>
      <c r="F3831" s="2" t="n">
        <f aca="false">'Raw Data'!U3831</f>
        <v>4</v>
      </c>
      <c r="G3831" s="2" t="n">
        <f aca="false">'Raw Data'!W3831</f>
        <v>1</v>
      </c>
      <c r="H3831" s="2" t="n">
        <f aca="false">'Raw Data'!V3831</f>
        <v>3</v>
      </c>
      <c r="I3831" s="2" t="n">
        <f aca="false">IF(AND(ISNUMBER(B3831),B3831&lt;=25),2,0)+IF(AND(ISNUMBER(E3831),E3831&lt;=5),2,0)+IF(AND(ISNUMBER(F3831),F3831&lt;=1),2,0)+IF(AND(ISNUMBER(G3831),G3831&lt;=2),1,0)+IF(AND(ISNUMBER(H3831),H3831&lt;=2),1,0)</f>
        <v>1</v>
      </c>
      <c r="J3831" s="2" t="str">
        <f aca="false">IF(I3831&gt;=6,"High",IF(I3831&gt;=3,"Medium","Low"))</f>
        <v>Low</v>
      </c>
    </row>
    <row r="3832" customFormat="false" ht="15" hidden="false" customHeight="true" outlineLevel="0" collapsed="false">
      <c r="A3832" s="2" t="n">
        <f aca="false">'Raw Data'!H3832</f>
        <v>3831</v>
      </c>
      <c r="B3832" s="2" t="n">
        <f aca="false">'Raw Data'!A3832</f>
        <v>39</v>
      </c>
      <c r="C3832" s="2" t="str">
        <f aca="false">'Raw Data'!D3832</f>
        <v>Research &amp; Development</v>
      </c>
      <c r="D3832" s="2" t="str">
        <f aca="false">'Raw Data'!K3832</f>
        <v>Research Scientist</v>
      </c>
      <c r="E3832" s="2" t="n">
        <f aca="false">'Raw Data'!Q3832</f>
        <v>10</v>
      </c>
      <c r="F3832" s="2" t="n">
        <f aca="false">'Raw Data'!U3832</f>
        <v>7</v>
      </c>
      <c r="G3832" s="2" t="n">
        <f aca="false">'Raw Data'!W3832</f>
        <v>1</v>
      </c>
      <c r="H3832" s="2" t="n">
        <f aca="false">'Raw Data'!V3832</f>
        <v>2</v>
      </c>
      <c r="I3832" s="2" t="n">
        <f aca="false">IF(AND(ISNUMBER(B3832),B3832&lt;=25),2,0)+IF(AND(ISNUMBER(E3832),E3832&lt;=5),2,0)+IF(AND(ISNUMBER(F3832),F3832&lt;=1),2,0)+IF(AND(ISNUMBER(G3832),G3832&lt;=2),1,0)+IF(AND(ISNUMBER(H3832),H3832&lt;=2),1,0)</f>
        <v>2</v>
      </c>
      <c r="J3832" s="2" t="str">
        <f aca="false">IF(I3832&gt;=6,"High",IF(I3832&gt;=3,"Medium","Low"))</f>
        <v>Low</v>
      </c>
    </row>
    <row r="3833" customFormat="false" ht="15" hidden="false" customHeight="true" outlineLevel="0" collapsed="false">
      <c r="A3833" s="2" t="n">
        <f aca="false">'Raw Data'!H3833</f>
        <v>3832</v>
      </c>
      <c r="B3833" s="2" t="n">
        <f aca="false">'Raw Data'!A3833</f>
        <v>27</v>
      </c>
      <c r="C3833" s="2" t="str">
        <f aca="false">'Raw Data'!D3833</f>
        <v>Research &amp; Development</v>
      </c>
      <c r="D3833" s="2" t="str">
        <f aca="false">'Raw Data'!K3833</f>
        <v>Research Scientist</v>
      </c>
      <c r="E3833" s="2" t="n">
        <f aca="false">'Raw Data'!Q3833</f>
        <v>7</v>
      </c>
      <c r="F3833" s="2" t="n">
        <f aca="false">'Raw Data'!U3833</f>
        <v>7</v>
      </c>
      <c r="G3833" s="2" t="n">
        <f aca="false">'Raw Data'!W3833</f>
        <v>1</v>
      </c>
      <c r="H3833" s="2" t="n">
        <f aca="false">'Raw Data'!V3833</f>
        <v>4</v>
      </c>
      <c r="I3833" s="2" t="n">
        <f aca="false">IF(AND(ISNUMBER(B3833),B3833&lt;=25),2,0)+IF(AND(ISNUMBER(E3833),E3833&lt;=5),2,0)+IF(AND(ISNUMBER(F3833),F3833&lt;=1),2,0)+IF(AND(ISNUMBER(G3833),G3833&lt;=2),1,0)+IF(AND(ISNUMBER(H3833),H3833&lt;=2),1,0)</f>
        <v>1</v>
      </c>
      <c r="J3833" s="2" t="str">
        <f aca="false">IF(I3833&gt;=6,"High",IF(I3833&gt;=3,"Medium","Low"))</f>
        <v>Low</v>
      </c>
    </row>
    <row r="3834" customFormat="false" ht="15" hidden="false" customHeight="true" outlineLevel="0" collapsed="false">
      <c r="A3834" s="2" t="n">
        <f aca="false">'Raw Data'!H3834</f>
        <v>3833</v>
      </c>
      <c r="B3834" s="2" t="n">
        <f aca="false">'Raw Data'!A3834</f>
        <v>35</v>
      </c>
      <c r="C3834" s="2" t="str">
        <f aca="false">'Raw Data'!D3834</f>
        <v>Research &amp; Development</v>
      </c>
      <c r="D3834" s="2" t="str">
        <f aca="false">'Raw Data'!K3834</f>
        <v>Sales Executive</v>
      </c>
      <c r="E3834" s="2" t="n">
        <f aca="false">'Raw Data'!Q3834</f>
        <v>16</v>
      </c>
      <c r="F3834" s="2" t="n">
        <f aca="false">'Raw Data'!U3834</f>
        <v>10</v>
      </c>
      <c r="G3834" s="2" t="n">
        <f aca="false">'Raw Data'!W3834</f>
        <v>1</v>
      </c>
      <c r="H3834" s="2" t="n">
        <f aca="false">'Raw Data'!V3834</f>
        <v>2</v>
      </c>
      <c r="I3834" s="2" t="n">
        <f aca="false">IF(AND(ISNUMBER(B3834),B3834&lt;=25),2,0)+IF(AND(ISNUMBER(E3834),E3834&lt;=5),2,0)+IF(AND(ISNUMBER(F3834),F3834&lt;=1),2,0)+IF(AND(ISNUMBER(G3834),G3834&lt;=2),1,0)+IF(AND(ISNUMBER(H3834),H3834&lt;=2),1,0)</f>
        <v>2</v>
      </c>
      <c r="J3834" s="2" t="str">
        <f aca="false">IF(I3834&gt;=6,"High",IF(I3834&gt;=3,"Medium","Low"))</f>
        <v>Low</v>
      </c>
    </row>
    <row r="3835" customFormat="false" ht="15" hidden="false" customHeight="true" outlineLevel="0" collapsed="false">
      <c r="A3835" s="2" t="n">
        <f aca="false">'Raw Data'!H3835</f>
        <v>3834</v>
      </c>
      <c r="B3835" s="2" t="n">
        <f aca="false">'Raw Data'!A3835</f>
        <v>28</v>
      </c>
      <c r="C3835" s="2" t="str">
        <f aca="false">'Raw Data'!D3835</f>
        <v>Research &amp; Development</v>
      </c>
      <c r="D3835" s="2" t="str">
        <f aca="false">'Raw Data'!K3835</f>
        <v>Manufacturing Director</v>
      </c>
      <c r="E3835" s="2" t="n">
        <f aca="false">'Raw Data'!Q3835</f>
        <v>6</v>
      </c>
      <c r="F3835" s="2" t="n">
        <f aca="false">'Raw Data'!U3835</f>
        <v>0</v>
      </c>
      <c r="G3835" s="2" t="n">
        <f aca="false">'Raw Data'!W3835</f>
        <v>1</v>
      </c>
      <c r="H3835" s="2" t="n">
        <f aca="false">'Raw Data'!V3835</f>
        <v>2</v>
      </c>
      <c r="I3835" s="2" t="n">
        <f aca="false">IF(AND(ISNUMBER(B3835),B3835&lt;=25),2,0)+IF(AND(ISNUMBER(E3835),E3835&lt;=5),2,0)+IF(AND(ISNUMBER(F3835),F3835&lt;=1),2,0)+IF(AND(ISNUMBER(G3835),G3835&lt;=2),1,0)+IF(AND(ISNUMBER(H3835),H3835&lt;=2),1,0)</f>
        <v>4</v>
      </c>
      <c r="J3835" s="2" t="str">
        <f aca="false">IF(I3835&gt;=6,"High",IF(I3835&gt;=3,"Medium","Low"))</f>
        <v>Medium</v>
      </c>
    </row>
    <row r="3836" customFormat="false" ht="15" hidden="false" customHeight="true" outlineLevel="0" collapsed="false">
      <c r="A3836" s="2" t="n">
        <f aca="false">'Raw Data'!H3836</f>
        <v>3835</v>
      </c>
      <c r="B3836" s="2" t="n">
        <f aca="false">'Raw Data'!A3836</f>
        <v>21</v>
      </c>
      <c r="C3836" s="2" t="str">
        <f aca="false">'Raw Data'!D3836</f>
        <v>Research &amp; Development</v>
      </c>
      <c r="D3836" s="2" t="str">
        <f aca="false">'Raw Data'!K3836</f>
        <v>Laboratory Technician</v>
      </c>
      <c r="E3836" s="2" t="n">
        <f aca="false">'Raw Data'!Q3836</f>
        <v>3</v>
      </c>
      <c r="F3836" s="2" t="n">
        <f aca="false">'Raw Data'!U3836</f>
        <v>2</v>
      </c>
      <c r="G3836" s="2" t="n">
        <f aca="false">'Raw Data'!W3836</f>
        <v>4</v>
      </c>
      <c r="H3836" s="2" t="n">
        <f aca="false">'Raw Data'!V3836</f>
        <v>3</v>
      </c>
      <c r="I3836" s="2" t="n">
        <f aca="false">IF(AND(ISNUMBER(B3836),B3836&lt;=25),2,0)+IF(AND(ISNUMBER(E3836),E3836&lt;=5),2,0)+IF(AND(ISNUMBER(F3836),F3836&lt;=1),2,0)+IF(AND(ISNUMBER(G3836),G3836&lt;=2),1,0)+IF(AND(ISNUMBER(H3836),H3836&lt;=2),1,0)</f>
        <v>4</v>
      </c>
      <c r="J3836" s="2" t="str">
        <f aca="false">IF(I3836&gt;=6,"High",IF(I3836&gt;=3,"Medium","Low"))</f>
        <v>Medium</v>
      </c>
    </row>
    <row r="3837" customFormat="false" ht="15" hidden="false" customHeight="true" outlineLevel="0" collapsed="false">
      <c r="A3837" s="2" t="n">
        <f aca="false">'Raw Data'!H3837</f>
        <v>3836</v>
      </c>
      <c r="B3837" s="2" t="n">
        <f aca="false">'Raw Data'!A3837</f>
        <v>18</v>
      </c>
      <c r="C3837" s="2" t="str">
        <f aca="false">'Raw Data'!D3837</f>
        <v>Research &amp; Development</v>
      </c>
      <c r="D3837" s="2" t="str">
        <f aca="false">'Raw Data'!K3837</f>
        <v>Research Director</v>
      </c>
      <c r="E3837" s="2" t="n">
        <f aca="false">'Raw Data'!Q3837</f>
        <v>0</v>
      </c>
      <c r="F3837" s="2" t="n">
        <f aca="false">'Raw Data'!U3837</f>
        <v>0</v>
      </c>
      <c r="G3837" s="2" t="n">
        <f aca="false">'Raw Data'!W3837</f>
        <v>4</v>
      </c>
      <c r="H3837" s="2" t="n">
        <f aca="false">'Raw Data'!V3837</f>
        <v>2</v>
      </c>
      <c r="I3837" s="2" t="n">
        <f aca="false">IF(AND(ISNUMBER(B3837),B3837&lt;=25),2,0)+IF(AND(ISNUMBER(E3837),E3837&lt;=5),2,0)+IF(AND(ISNUMBER(F3837),F3837&lt;=1),2,0)+IF(AND(ISNUMBER(G3837),G3837&lt;=2),1,0)+IF(AND(ISNUMBER(H3837),H3837&lt;=2),1,0)</f>
        <v>7</v>
      </c>
      <c r="J3837" s="2" t="str">
        <f aca="false">IF(I3837&gt;=6,"High",IF(I3837&gt;=3,"Medium","Low"))</f>
        <v>High</v>
      </c>
    </row>
    <row r="3838" customFormat="false" ht="15" hidden="false" customHeight="true" outlineLevel="0" collapsed="false">
      <c r="A3838" s="2" t="n">
        <f aca="false">'Raw Data'!H3838</f>
        <v>3837</v>
      </c>
      <c r="B3838" s="2" t="n">
        <f aca="false">'Raw Data'!A3838</f>
        <v>47</v>
      </c>
      <c r="C3838" s="2" t="str">
        <f aca="false">'Raw Data'!D3838</f>
        <v>Research &amp; Development</v>
      </c>
      <c r="D3838" s="2" t="str">
        <f aca="false">'Raw Data'!K3838</f>
        <v>Research Scientist</v>
      </c>
      <c r="E3838" s="2" t="n">
        <f aca="false">'Raw Data'!Q3838</f>
        <v>27</v>
      </c>
      <c r="F3838" s="2" t="n">
        <f aca="false">'Raw Data'!U3838</f>
        <v>0</v>
      </c>
      <c r="G3838" s="2" t="n">
        <f aca="false">'Raw Data'!W3838</f>
        <v>3</v>
      </c>
      <c r="H3838" s="2" t="n">
        <f aca="false">'Raw Data'!V3838</f>
        <v>4</v>
      </c>
      <c r="I3838" s="2" t="n">
        <f aca="false">IF(AND(ISNUMBER(B3838),B3838&lt;=25),2,0)+IF(AND(ISNUMBER(E3838),E3838&lt;=5),2,0)+IF(AND(ISNUMBER(F3838),F3838&lt;=1),2,0)+IF(AND(ISNUMBER(G3838),G3838&lt;=2),1,0)+IF(AND(ISNUMBER(H3838),H3838&lt;=2),1,0)</f>
        <v>2</v>
      </c>
      <c r="J3838" s="2" t="str">
        <f aca="false">IF(I3838&gt;=6,"High",IF(I3838&gt;=3,"Medium","Low"))</f>
        <v>Low</v>
      </c>
    </row>
    <row r="3839" customFormat="false" ht="15" hidden="false" customHeight="true" outlineLevel="0" collapsed="false">
      <c r="A3839" s="2" t="n">
        <f aca="false">'Raw Data'!H3839</f>
        <v>3838</v>
      </c>
      <c r="B3839" s="2" t="n">
        <f aca="false">'Raw Data'!A3839</f>
        <v>39</v>
      </c>
      <c r="C3839" s="2" t="str">
        <f aca="false">'Raw Data'!D3839</f>
        <v>Sales</v>
      </c>
      <c r="D3839" s="2" t="str">
        <f aca="false">'Raw Data'!K3839</f>
        <v>Laboratory Technician</v>
      </c>
      <c r="E3839" s="2" t="n">
        <f aca="false">'Raw Data'!Q3839</f>
        <v>11</v>
      </c>
      <c r="F3839" s="2" t="n">
        <f aca="false">'Raw Data'!U3839</f>
        <v>7</v>
      </c>
      <c r="G3839" s="2" t="n">
        <f aca="false">'Raw Data'!W3839</f>
        <v>3</v>
      </c>
      <c r="H3839" s="2" t="n">
        <f aca="false">'Raw Data'!V3839</f>
        <v>3</v>
      </c>
      <c r="I3839" s="2" t="n">
        <f aca="false">IF(AND(ISNUMBER(B3839),B3839&lt;=25),2,0)+IF(AND(ISNUMBER(E3839),E3839&lt;=5),2,0)+IF(AND(ISNUMBER(F3839),F3839&lt;=1),2,0)+IF(AND(ISNUMBER(G3839),G3839&lt;=2),1,0)+IF(AND(ISNUMBER(H3839),H3839&lt;=2),1,0)</f>
        <v>0</v>
      </c>
      <c r="J3839" s="2" t="str">
        <f aca="false">IF(I3839&gt;=6,"High",IF(I3839&gt;=3,"Medium","Low"))</f>
        <v>Low</v>
      </c>
    </row>
    <row r="3840" customFormat="false" ht="15" hidden="false" customHeight="true" outlineLevel="0" collapsed="false">
      <c r="A3840" s="2" t="n">
        <f aca="false">'Raw Data'!H3840</f>
        <v>3839</v>
      </c>
      <c r="B3840" s="2" t="n">
        <f aca="false">'Raw Data'!A3840</f>
        <v>40</v>
      </c>
      <c r="C3840" s="2" t="str">
        <f aca="false">'Raw Data'!D3840</f>
        <v>Research &amp; Development</v>
      </c>
      <c r="D3840" s="2" t="str">
        <f aca="false">'Raw Data'!K3840</f>
        <v>Laboratory Technician</v>
      </c>
      <c r="E3840" s="2" t="n">
        <f aca="false">'Raw Data'!Q3840</f>
        <v>18</v>
      </c>
      <c r="F3840" s="2" t="n">
        <f aca="false">'Raw Data'!U3840</f>
        <v>12</v>
      </c>
      <c r="G3840" s="2" t="n">
        <f aca="false">'Raw Data'!W3840</f>
        <v>3</v>
      </c>
      <c r="H3840" s="2" t="n">
        <f aca="false">'Raw Data'!V3840</f>
        <v>1</v>
      </c>
      <c r="I3840" s="2" t="n">
        <f aca="false">IF(AND(ISNUMBER(B3840),B3840&lt;=25),2,0)+IF(AND(ISNUMBER(E3840),E3840&lt;=5),2,0)+IF(AND(ISNUMBER(F3840),F3840&lt;=1),2,0)+IF(AND(ISNUMBER(G3840),G3840&lt;=2),1,0)+IF(AND(ISNUMBER(H3840),H3840&lt;=2),1,0)</f>
        <v>1</v>
      </c>
      <c r="J3840" s="2" t="str">
        <f aca="false">IF(I3840&gt;=6,"High",IF(I3840&gt;=3,"Medium","Low"))</f>
        <v>Low</v>
      </c>
    </row>
    <row r="3841" customFormat="false" ht="15" hidden="false" customHeight="true" outlineLevel="0" collapsed="false">
      <c r="A3841" s="2" t="n">
        <f aca="false">'Raw Data'!H3841</f>
        <v>3840</v>
      </c>
      <c r="B3841" s="2" t="n">
        <f aca="false">'Raw Data'!A3841</f>
        <v>35</v>
      </c>
      <c r="C3841" s="2" t="str">
        <f aca="false">'Raw Data'!D3841</f>
        <v>Research &amp; Development</v>
      </c>
      <c r="D3841" s="2" t="str">
        <f aca="false">'Raw Data'!K3841</f>
        <v>Sales Executive</v>
      </c>
      <c r="E3841" s="2" t="n">
        <f aca="false">'Raw Data'!Q3841</f>
        <v>15</v>
      </c>
      <c r="F3841" s="2" t="n">
        <f aca="false">'Raw Data'!U3841</f>
        <v>9</v>
      </c>
      <c r="G3841" s="2" t="n">
        <f aca="false">'Raw Data'!W3841</f>
        <v>3</v>
      </c>
      <c r="H3841" s="2" t="n">
        <f aca="false">'Raw Data'!V3841</f>
        <v>3</v>
      </c>
      <c r="I3841" s="2" t="n">
        <f aca="false">IF(AND(ISNUMBER(B3841),B3841&lt;=25),2,0)+IF(AND(ISNUMBER(E3841),E3841&lt;=5),2,0)+IF(AND(ISNUMBER(F3841),F3841&lt;=1),2,0)+IF(AND(ISNUMBER(G3841),G3841&lt;=2),1,0)+IF(AND(ISNUMBER(H3841),H3841&lt;=2),1,0)</f>
        <v>0</v>
      </c>
      <c r="J3841" s="2" t="str">
        <f aca="false">IF(I3841&gt;=6,"High",IF(I3841&gt;=3,"Medium","Low"))</f>
        <v>Low</v>
      </c>
    </row>
    <row r="3842" customFormat="false" ht="15" hidden="false" customHeight="true" outlineLevel="0" collapsed="false">
      <c r="A3842" s="2" t="n">
        <f aca="false">'Raw Data'!H3842</f>
        <v>3841</v>
      </c>
      <c r="B3842" s="2" t="n">
        <f aca="false">'Raw Data'!A3842</f>
        <v>37</v>
      </c>
      <c r="C3842" s="2" t="str">
        <f aca="false">'Raw Data'!D3842</f>
        <v>Research &amp; Development</v>
      </c>
      <c r="D3842" s="2" t="str">
        <f aca="false">'Raw Data'!K3842</f>
        <v>Laboratory Technician</v>
      </c>
      <c r="E3842" s="2" t="n">
        <f aca="false">'Raw Data'!Q3842</f>
        <v>9</v>
      </c>
      <c r="F3842" s="2" t="n">
        <f aca="false">'Raw Data'!U3842</f>
        <v>2</v>
      </c>
      <c r="G3842" s="2" t="n">
        <f aca="false">'Raw Data'!W3842</f>
        <v>3</v>
      </c>
      <c r="H3842" s="2" t="n">
        <f aca="false">'Raw Data'!V3842</f>
        <v>3</v>
      </c>
      <c r="I3842" s="2" t="n">
        <f aca="false">IF(AND(ISNUMBER(B3842),B3842&lt;=25),2,0)+IF(AND(ISNUMBER(E3842),E3842&lt;=5),2,0)+IF(AND(ISNUMBER(F3842),F3842&lt;=1),2,0)+IF(AND(ISNUMBER(G3842),G3842&lt;=2),1,0)+IF(AND(ISNUMBER(H3842),H3842&lt;=2),1,0)</f>
        <v>0</v>
      </c>
      <c r="J3842" s="2" t="str">
        <f aca="false">IF(I3842&gt;=6,"High",IF(I3842&gt;=3,"Medium","Low"))</f>
        <v>Low</v>
      </c>
    </row>
    <row r="3843" customFormat="false" ht="15" hidden="false" customHeight="true" outlineLevel="0" collapsed="false">
      <c r="A3843" s="2" t="n">
        <f aca="false">'Raw Data'!H3843</f>
        <v>3842</v>
      </c>
      <c r="B3843" s="2" t="n">
        <f aca="false">'Raw Data'!A3843</f>
        <v>39</v>
      </c>
      <c r="C3843" s="2" t="str">
        <f aca="false">'Raw Data'!D3843</f>
        <v>Research &amp; Development</v>
      </c>
      <c r="D3843" s="2" t="str">
        <f aca="false">'Raw Data'!K3843</f>
        <v>Manager</v>
      </c>
      <c r="E3843" s="2" t="n">
        <f aca="false">'Raw Data'!Q3843</f>
        <v>10</v>
      </c>
      <c r="F3843" s="2" t="n">
        <f aca="false">'Raw Data'!U3843</f>
        <v>8</v>
      </c>
      <c r="G3843" s="2" t="n">
        <f aca="false">'Raw Data'!W3843</f>
        <v>3</v>
      </c>
      <c r="H3843" s="2" t="n">
        <f aca="false">'Raw Data'!V3843</f>
        <v>1</v>
      </c>
      <c r="I3843" s="2" t="n">
        <f aca="false">IF(AND(ISNUMBER(B3843),B3843&lt;=25),2,0)+IF(AND(ISNUMBER(E3843),E3843&lt;=5),2,0)+IF(AND(ISNUMBER(F3843),F3843&lt;=1),2,0)+IF(AND(ISNUMBER(G3843),G3843&lt;=2),1,0)+IF(AND(ISNUMBER(H3843),H3843&lt;=2),1,0)</f>
        <v>1</v>
      </c>
      <c r="J3843" s="2" t="str">
        <f aca="false">IF(I3843&gt;=6,"High",IF(I3843&gt;=3,"Medium","Low"))</f>
        <v>Low</v>
      </c>
    </row>
    <row r="3844" customFormat="false" ht="15" hidden="false" customHeight="true" outlineLevel="0" collapsed="false">
      <c r="A3844" s="2" t="n">
        <f aca="false">'Raw Data'!H3844</f>
        <v>3843</v>
      </c>
      <c r="B3844" s="2" t="n">
        <f aca="false">'Raw Data'!A3844</f>
        <v>45</v>
      </c>
      <c r="C3844" s="2" t="str">
        <f aca="false">'Raw Data'!D3844</f>
        <v>Research &amp; Development</v>
      </c>
      <c r="D3844" s="2" t="str">
        <f aca="false">'Raw Data'!K3844</f>
        <v>Laboratory Technician</v>
      </c>
      <c r="E3844" s="2" t="n">
        <f aca="false">'Raw Data'!Q3844</f>
        <v>10</v>
      </c>
      <c r="F3844" s="2" t="n">
        <f aca="false">'Raw Data'!U3844</f>
        <v>9</v>
      </c>
      <c r="G3844" s="2" t="n">
        <f aca="false">'Raw Data'!W3844</f>
        <v>4</v>
      </c>
      <c r="H3844" s="2" t="n">
        <f aca="false">'Raw Data'!V3844</f>
        <v>4</v>
      </c>
      <c r="I3844" s="2" t="n">
        <f aca="false">IF(AND(ISNUMBER(B3844),B3844&lt;=25),2,0)+IF(AND(ISNUMBER(E3844),E3844&lt;=5),2,0)+IF(AND(ISNUMBER(F3844),F3844&lt;=1),2,0)+IF(AND(ISNUMBER(G3844),G3844&lt;=2),1,0)+IF(AND(ISNUMBER(H3844),H3844&lt;=2),1,0)</f>
        <v>0</v>
      </c>
      <c r="J3844" s="2" t="str">
        <f aca="false">IF(I3844&gt;=6,"High",IF(I3844&gt;=3,"Medium","Low"))</f>
        <v>Low</v>
      </c>
    </row>
    <row r="3845" customFormat="false" ht="15" hidden="false" customHeight="true" outlineLevel="0" collapsed="false">
      <c r="A3845" s="2" t="n">
        <f aca="false">'Raw Data'!H3845</f>
        <v>3844</v>
      </c>
      <c r="B3845" s="2" t="n">
        <f aca="false">'Raw Data'!A3845</f>
        <v>38</v>
      </c>
      <c r="C3845" s="2" t="str">
        <f aca="false">'Raw Data'!D3845</f>
        <v>Research &amp; Development</v>
      </c>
      <c r="D3845" s="2" t="str">
        <f aca="false">'Raw Data'!K3845</f>
        <v>Sales Executive</v>
      </c>
      <c r="E3845" s="2" t="n">
        <f aca="false">'Raw Data'!Q3845</f>
        <v>10</v>
      </c>
      <c r="F3845" s="2" t="n">
        <f aca="false">'Raw Data'!U3845</f>
        <v>2</v>
      </c>
      <c r="G3845" s="2" t="n">
        <f aca="false">'Raw Data'!W3845</f>
        <v>3</v>
      </c>
      <c r="H3845" s="2" t="n">
        <f aca="false">'Raw Data'!V3845</f>
        <v>4</v>
      </c>
      <c r="I3845" s="2" t="n">
        <f aca="false">IF(AND(ISNUMBER(B3845),B3845&lt;=25),2,0)+IF(AND(ISNUMBER(E3845),E3845&lt;=5),2,0)+IF(AND(ISNUMBER(F3845),F3845&lt;=1),2,0)+IF(AND(ISNUMBER(G3845),G3845&lt;=2),1,0)+IF(AND(ISNUMBER(H3845),H3845&lt;=2),1,0)</f>
        <v>0</v>
      </c>
      <c r="J3845" s="2" t="str">
        <f aca="false">IF(I3845&gt;=6,"High",IF(I3845&gt;=3,"Medium","Low"))</f>
        <v>Low</v>
      </c>
    </row>
    <row r="3846" customFormat="false" ht="15" hidden="false" customHeight="true" outlineLevel="0" collapsed="false">
      <c r="A3846" s="2" t="n">
        <f aca="false">'Raw Data'!H3846</f>
        <v>3845</v>
      </c>
      <c r="B3846" s="2" t="n">
        <f aca="false">'Raw Data'!A3846</f>
        <v>35</v>
      </c>
      <c r="C3846" s="2" t="str">
        <f aca="false">'Raw Data'!D3846</f>
        <v>Research &amp; Development</v>
      </c>
      <c r="D3846" s="2" t="str">
        <f aca="false">'Raw Data'!K3846</f>
        <v>Healthcare Representative</v>
      </c>
      <c r="E3846" s="2" t="n">
        <f aca="false">'Raw Data'!Q3846</f>
        <v>15</v>
      </c>
      <c r="F3846" s="2" t="n">
        <f aca="false">'Raw Data'!U3846</f>
        <v>0</v>
      </c>
      <c r="G3846" s="2" t="n">
        <f aca="false">'Raw Data'!W3846</f>
        <v>1</v>
      </c>
      <c r="H3846" s="2" t="n">
        <f aca="false">'Raw Data'!V3846</f>
        <v>4</v>
      </c>
      <c r="I3846" s="2" t="n">
        <f aca="false">IF(AND(ISNUMBER(B3846),B3846&lt;=25),2,0)+IF(AND(ISNUMBER(E3846),E3846&lt;=5),2,0)+IF(AND(ISNUMBER(F3846),F3846&lt;=1),2,0)+IF(AND(ISNUMBER(G3846),G3846&lt;=2),1,0)+IF(AND(ISNUMBER(H3846),H3846&lt;=2),1,0)</f>
        <v>3</v>
      </c>
      <c r="J3846" s="2" t="str">
        <f aca="false">IF(I3846&gt;=6,"High",IF(I3846&gt;=3,"Medium","Low"))</f>
        <v>Medium</v>
      </c>
    </row>
    <row r="3847" customFormat="false" ht="15" hidden="false" customHeight="true" outlineLevel="0" collapsed="false">
      <c r="A3847" s="2" t="n">
        <f aca="false">'Raw Data'!H3847</f>
        <v>3846</v>
      </c>
      <c r="B3847" s="2" t="n">
        <f aca="false">'Raw Data'!A3847</f>
        <v>37</v>
      </c>
      <c r="C3847" s="2" t="str">
        <f aca="false">'Raw Data'!D3847</f>
        <v>Research &amp; Development</v>
      </c>
      <c r="D3847" s="2" t="str">
        <f aca="false">'Raw Data'!K3847</f>
        <v>Healthcare Representative</v>
      </c>
      <c r="E3847" s="2" t="n">
        <f aca="false">'Raw Data'!Q3847</f>
        <v>8</v>
      </c>
      <c r="F3847" s="2" t="n">
        <f aca="false">'Raw Data'!U3847</f>
        <v>7</v>
      </c>
      <c r="G3847" s="2" t="n">
        <f aca="false">'Raw Data'!W3847</f>
        <v>2</v>
      </c>
      <c r="H3847" s="2" t="n">
        <f aca="false">'Raw Data'!V3847</f>
        <v>2</v>
      </c>
      <c r="I3847" s="2" t="n">
        <f aca="false">IF(AND(ISNUMBER(B3847),B3847&lt;=25),2,0)+IF(AND(ISNUMBER(E3847),E3847&lt;=5),2,0)+IF(AND(ISNUMBER(F3847),F3847&lt;=1),2,0)+IF(AND(ISNUMBER(G3847),G3847&lt;=2),1,0)+IF(AND(ISNUMBER(H3847),H3847&lt;=2),1,0)</f>
        <v>2</v>
      </c>
      <c r="J3847" s="2" t="str">
        <f aca="false">IF(I3847&gt;=6,"High",IF(I3847&gt;=3,"Medium","Low"))</f>
        <v>Low</v>
      </c>
    </row>
    <row r="3848" customFormat="false" ht="15" hidden="false" customHeight="true" outlineLevel="0" collapsed="false">
      <c r="A3848" s="2" t="n">
        <f aca="false">'Raw Data'!H3848</f>
        <v>3847</v>
      </c>
      <c r="B3848" s="2" t="n">
        <f aca="false">'Raw Data'!A3848</f>
        <v>40</v>
      </c>
      <c r="C3848" s="2" t="str">
        <f aca="false">'Raw Data'!D3848</f>
        <v>Research &amp; Development</v>
      </c>
      <c r="D3848" s="2" t="str">
        <f aca="false">'Raw Data'!K3848</f>
        <v>Healthcare Representative</v>
      </c>
      <c r="E3848" s="2" t="n">
        <f aca="false">'Raw Data'!Q3848</f>
        <v>18</v>
      </c>
      <c r="F3848" s="2" t="n">
        <f aca="false">'Raw Data'!U3848</f>
        <v>3</v>
      </c>
      <c r="G3848" s="2" t="n">
        <f aca="false">'Raw Data'!W3848</f>
        <v>4</v>
      </c>
      <c r="H3848" s="2" t="n">
        <f aca="false">'Raw Data'!V3848</f>
        <v>3</v>
      </c>
      <c r="I3848" s="2" t="n">
        <f aca="false">IF(AND(ISNUMBER(B3848),B3848&lt;=25),2,0)+IF(AND(ISNUMBER(E3848),E3848&lt;=5),2,0)+IF(AND(ISNUMBER(F3848),F3848&lt;=1),2,0)+IF(AND(ISNUMBER(G3848),G3848&lt;=2),1,0)+IF(AND(ISNUMBER(H3848),H3848&lt;=2),1,0)</f>
        <v>0</v>
      </c>
      <c r="J3848" s="2" t="str">
        <f aca="false">IF(I3848&gt;=6,"High",IF(I3848&gt;=3,"Medium","Low"))</f>
        <v>Low</v>
      </c>
    </row>
    <row r="3849" customFormat="false" ht="15" hidden="false" customHeight="true" outlineLevel="0" collapsed="false">
      <c r="A3849" s="2" t="n">
        <f aca="false">'Raw Data'!H3849</f>
        <v>3848</v>
      </c>
      <c r="B3849" s="2" t="n">
        <f aca="false">'Raw Data'!A3849</f>
        <v>44</v>
      </c>
      <c r="C3849" s="2" t="str">
        <f aca="false">'Raw Data'!D3849</f>
        <v>Sales</v>
      </c>
      <c r="D3849" s="2" t="str">
        <f aca="false">'Raw Data'!K3849</f>
        <v>Laboratory Technician</v>
      </c>
      <c r="E3849" s="2" t="n">
        <f aca="false">'Raw Data'!Q3849</f>
        <v>14</v>
      </c>
      <c r="F3849" s="2" t="n">
        <f aca="false">'Raw Data'!U3849</f>
        <v>2</v>
      </c>
      <c r="G3849" s="2" t="n">
        <f aca="false">'Raw Data'!W3849</f>
        <v>4</v>
      </c>
      <c r="H3849" s="2" t="n">
        <f aca="false">'Raw Data'!V3849</f>
        <v>1</v>
      </c>
      <c r="I3849" s="2" t="n">
        <f aca="false">IF(AND(ISNUMBER(B3849),B3849&lt;=25),2,0)+IF(AND(ISNUMBER(E3849),E3849&lt;=5),2,0)+IF(AND(ISNUMBER(F3849),F3849&lt;=1),2,0)+IF(AND(ISNUMBER(G3849),G3849&lt;=2),1,0)+IF(AND(ISNUMBER(H3849),H3849&lt;=2),1,0)</f>
        <v>1</v>
      </c>
      <c r="J3849" s="2" t="str">
        <f aca="false">IF(I3849&gt;=6,"High",IF(I3849&gt;=3,"Medium","Low"))</f>
        <v>Low</v>
      </c>
    </row>
    <row r="3850" customFormat="false" ht="15" hidden="false" customHeight="true" outlineLevel="0" collapsed="false">
      <c r="A3850" s="2" t="n">
        <f aca="false">'Raw Data'!H3850</f>
        <v>3849</v>
      </c>
      <c r="B3850" s="2" t="n">
        <f aca="false">'Raw Data'!A3850</f>
        <v>48</v>
      </c>
      <c r="C3850" s="2" t="str">
        <f aca="false">'Raw Data'!D3850</f>
        <v>Sales</v>
      </c>
      <c r="D3850" s="2" t="str">
        <f aca="false">'Raw Data'!K3850</f>
        <v>Manager</v>
      </c>
      <c r="E3850" s="2" t="n">
        <f aca="false">'Raw Data'!Q3850</f>
        <v>23</v>
      </c>
      <c r="F3850" s="2" t="n">
        <f aca="false">'Raw Data'!U3850</f>
        <v>2</v>
      </c>
      <c r="G3850" s="2" t="n">
        <f aca="false">'Raw Data'!W3850</f>
        <v>4</v>
      </c>
      <c r="H3850" s="2" t="n">
        <f aca="false">'Raw Data'!V3850</f>
        <v>3</v>
      </c>
      <c r="I3850" s="2" t="n">
        <f aca="false">IF(AND(ISNUMBER(B3850),B3850&lt;=25),2,0)+IF(AND(ISNUMBER(E3850),E3850&lt;=5),2,0)+IF(AND(ISNUMBER(F3850),F3850&lt;=1),2,0)+IF(AND(ISNUMBER(G3850),G3850&lt;=2),1,0)+IF(AND(ISNUMBER(H3850),H3850&lt;=2),1,0)</f>
        <v>0</v>
      </c>
      <c r="J3850" s="2" t="str">
        <f aca="false">IF(I3850&gt;=6,"High",IF(I3850&gt;=3,"Medium","Low"))</f>
        <v>Low</v>
      </c>
    </row>
    <row r="3851" customFormat="false" ht="15" hidden="false" customHeight="true" outlineLevel="0" collapsed="false">
      <c r="A3851" s="2" t="n">
        <f aca="false">'Raw Data'!H3851</f>
        <v>3850</v>
      </c>
      <c r="B3851" s="2" t="n">
        <f aca="false">'Raw Data'!A3851</f>
        <v>35</v>
      </c>
      <c r="C3851" s="2" t="str">
        <f aca="false">'Raw Data'!D3851</f>
        <v>Research &amp; Development</v>
      </c>
      <c r="D3851" s="2" t="str">
        <f aca="false">'Raw Data'!K3851</f>
        <v>Manager</v>
      </c>
      <c r="E3851" s="2" t="n">
        <f aca="false">'Raw Data'!Q3851</f>
        <v>7</v>
      </c>
      <c r="F3851" s="2" t="n">
        <f aca="false">'Raw Data'!U3851</f>
        <v>2</v>
      </c>
      <c r="G3851" s="2" t="n">
        <f aca="false">'Raw Data'!W3851</f>
        <v>4</v>
      </c>
      <c r="H3851" s="2" t="n">
        <f aca="false">'Raw Data'!V3851</f>
        <v>1</v>
      </c>
      <c r="I3851" s="2" t="n">
        <f aca="false">IF(AND(ISNUMBER(B3851),B3851&lt;=25),2,0)+IF(AND(ISNUMBER(E3851),E3851&lt;=5),2,0)+IF(AND(ISNUMBER(F3851),F3851&lt;=1),2,0)+IF(AND(ISNUMBER(G3851),G3851&lt;=2),1,0)+IF(AND(ISNUMBER(H3851),H3851&lt;=2),1,0)</f>
        <v>1</v>
      </c>
      <c r="J3851" s="2" t="str">
        <f aca="false">IF(I3851&gt;=6,"High",IF(I3851&gt;=3,"Medium","Low"))</f>
        <v>Low</v>
      </c>
    </row>
    <row r="3852" customFormat="false" ht="15" hidden="false" customHeight="true" outlineLevel="0" collapsed="false">
      <c r="A3852" s="2" t="n">
        <f aca="false">'Raw Data'!H3852</f>
        <v>3851</v>
      </c>
      <c r="B3852" s="2" t="n">
        <f aca="false">'Raw Data'!A3852</f>
        <v>24</v>
      </c>
      <c r="C3852" s="2" t="str">
        <f aca="false">'Raw Data'!D3852</f>
        <v>Research &amp; Development</v>
      </c>
      <c r="D3852" s="2" t="str">
        <f aca="false">'Raw Data'!K3852</f>
        <v>Research Scientist</v>
      </c>
      <c r="E3852" s="2" t="n">
        <f aca="false">'Raw Data'!Q3852</f>
        <v>6</v>
      </c>
      <c r="F3852" s="2" t="n">
        <f aca="false">'Raw Data'!U3852</f>
        <v>3</v>
      </c>
      <c r="G3852" s="2" t="n">
        <f aca="false">'Raw Data'!W3852</f>
        <v>4</v>
      </c>
      <c r="H3852" s="2" t="n">
        <f aca="false">'Raw Data'!V3852</f>
        <v>1</v>
      </c>
      <c r="I3852" s="2" t="n">
        <f aca="false">IF(AND(ISNUMBER(B3852),B3852&lt;=25),2,0)+IF(AND(ISNUMBER(E3852),E3852&lt;=5),2,0)+IF(AND(ISNUMBER(F3852),F3852&lt;=1),2,0)+IF(AND(ISNUMBER(G3852),G3852&lt;=2),1,0)+IF(AND(ISNUMBER(H3852),H3852&lt;=2),1,0)</f>
        <v>3</v>
      </c>
      <c r="J3852" s="2" t="str">
        <f aca="false">IF(I3852&gt;=6,"High",IF(I3852&gt;=3,"Medium","Low"))</f>
        <v>Medium</v>
      </c>
    </row>
    <row r="3853" customFormat="false" ht="15" hidden="false" customHeight="true" outlineLevel="0" collapsed="false">
      <c r="A3853" s="2" t="n">
        <f aca="false">'Raw Data'!H3853</f>
        <v>3852</v>
      </c>
      <c r="B3853" s="2" t="n">
        <f aca="false">'Raw Data'!A3853</f>
        <v>27</v>
      </c>
      <c r="C3853" s="2" t="str">
        <f aca="false">'Raw Data'!D3853</f>
        <v>Sales</v>
      </c>
      <c r="D3853" s="2" t="str">
        <f aca="false">'Raw Data'!K3853</f>
        <v>Sales Executive</v>
      </c>
      <c r="E3853" s="2" t="n">
        <f aca="false">'Raw Data'!Q3853</f>
        <v>5</v>
      </c>
      <c r="F3853" s="2" t="n">
        <f aca="false">'Raw Data'!U3853</f>
        <v>2</v>
      </c>
      <c r="G3853" s="2" t="n">
        <f aca="false">'Raw Data'!W3853</f>
        <v>3</v>
      </c>
      <c r="H3853" s="2" t="n">
        <f aca="false">'Raw Data'!V3853</f>
        <v>2</v>
      </c>
      <c r="I3853" s="2" t="n">
        <f aca="false">IF(AND(ISNUMBER(B3853),B3853&lt;=25),2,0)+IF(AND(ISNUMBER(E3853),E3853&lt;=5),2,0)+IF(AND(ISNUMBER(F3853),F3853&lt;=1),2,0)+IF(AND(ISNUMBER(G3853),G3853&lt;=2),1,0)+IF(AND(ISNUMBER(H3853),H3853&lt;=2),1,0)</f>
        <v>3</v>
      </c>
      <c r="J3853" s="2" t="str">
        <f aca="false">IF(I3853&gt;=6,"High",IF(I3853&gt;=3,"Medium","Low"))</f>
        <v>Medium</v>
      </c>
    </row>
    <row r="3854" customFormat="false" ht="15" hidden="false" customHeight="true" outlineLevel="0" collapsed="false">
      <c r="A3854" s="2" t="n">
        <f aca="false">'Raw Data'!H3854</f>
        <v>3853</v>
      </c>
      <c r="B3854" s="2" t="n">
        <f aca="false">'Raw Data'!A3854</f>
        <v>27</v>
      </c>
      <c r="C3854" s="2" t="str">
        <f aca="false">'Raw Data'!D3854</f>
        <v>Research &amp; Development</v>
      </c>
      <c r="D3854" s="2" t="str">
        <f aca="false">'Raw Data'!K3854</f>
        <v>Research Scientist</v>
      </c>
      <c r="E3854" s="2" t="n">
        <f aca="false">'Raw Data'!Q3854</f>
        <v>6</v>
      </c>
      <c r="F3854" s="2" t="n">
        <f aca="false">'Raw Data'!U3854</f>
        <v>2</v>
      </c>
      <c r="G3854" s="2" t="n">
        <f aca="false">'Raw Data'!W3854</f>
        <v>4</v>
      </c>
      <c r="H3854" s="2" t="n">
        <f aca="false">'Raw Data'!V3854</f>
        <v>4</v>
      </c>
      <c r="I3854" s="2" t="n">
        <f aca="false">IF(AND(ISNUMBER(B3854),B3854&lt;=25),2,0)+IF(AND(ISNUMBER(E3854),E3854&lt;=5),2,0)+IF(AND(ISNUMBER(F3854),F3854&lt;=1),2,0)+IF(AND(ISNUMBER(G3854),G3854&lt;=2),1,0)+IF(AND(ISNUMBER(H3854),H3854&lt;=2),1,0)</f>
        <v>0</v>
      </c>
      <c r="J3854" s="2" t="str">
        <f aca="false">IF(I3854&gt;=6,"High",IF(I3854&gt;=3,"Medium","Low"))</f>
        <v>Low</v>
      </c>
    </row>
    <row r="3855" customFormat="false" ht="15" hidden="false" customHeight="true" outlineLevel="0" collapsed="false">
      <c r="A3855" s="2" t="n">
        <f aca="false">'Raw Data'!H3855</f>
        <v>3854</v>
      </c>
      <c r="B3855" s="2" t="n">
        <f aca="false">'Raw Data'!A3855</f>
        <v>40</v>
      </c>
      <c r="C3855" s="2" t="str">
        <f aca="false">'Raw Data'!D3855</f>
        <v>Sales</v>
      </c>
      <c r="D3855" s="2" t="str">
        <f aca="false">'Raw Data'!K3855</f>
        <v>Research Director</v>
      </c>
      <c r="E3855" s="2" t="n">
        <f aca="false">'Raw Data'!Q3855</f>
        <v>10</v>
      </c>
      <c r="F3855" s="2" t="n">
        <f aca="false">'Raw Data'!U3855</f>
        <v>3</v>
      </c>
      <c r="G3855" s="2" t="n">
        <f aca="false">'Raw Data'!W3855</f>
        <v>1</v>
      </c>
      <c r="H3855" s="2" t="n">
        <f aca="false">'Raw Data'!V3855</f>
        <v>1</v>
      </c>
      <c r="I3855" s="2" t="n">
        <f aca="false">IF(AND(ISNUMBER(B3855),B3855&lt;=25),2,0)+IF(AND(ISNUMBER(E3855),E3855&lt;=5),2,0)+IF(AND(ISNUMBER(F3855),F3855&lt;=1),2,0)+IF(AND(ISNUMBER(G3855),G3855&lt;=2),1,0)+IF(AND(ISNUMBER(H3855),H3855&lt;=2),1,0)</f>
        <v>2</v>
      </c>
      <c r="J3855" s="2" t="str">
        <f aca="false">IF(I3855&gt;=6,"High",IF(I3855&gt;=3,"Medium","Low"))</f>
        <v>Low</v>
      </c>
    </row>
    <row r="3856" customFormat="false" ht="15" hidden="false" customHeight="true" outlineLevel="0" collapsed="false">
      <c r="A3856" s="2" t="n">
        <f aca="false">'Raw Data'!H3856</f>
        <v>3855</v>
      </c>
      <c r="B3856" s="2" t="n">
        <f aca="false">'Raw Data'!A3856</f>
        <v>29</v>
      </c>
      <c r="C3856" s="2" t="str">
        <f aca="false">'Raw Data'!D3856</f>
        <v>Research &amp; Development</v>
      </c>
      <c r="D3856" s="2" t="str">
        <f aca="false">'Raw Data'!K3856</f>
        <v>Manager</v>
      </c>
      <c r="E3856" s="2" t="n">
        <f aca="false">'Raw Data'!Q3856</f>
        <v>8</v>
      </c>
      <c r="F3856" s="2" t="n">
        <f aca="false">'Raw Data'!U3856</f>
        <v>4</v>
      </c>
      <c r="G3856" s="2" t="n">
        <f aca="false">'Raw Data'!W3856</f>
        <v>3</v>
      </c>
      <c r="H3856" s="2" t="n">
        <f aca="false">'Raw Data'!V3856</f>
        <v>3</v>
      </c>
      <c r="I3856" s="2" t="n">
        <f aca="false">IF(AND(ISNUMBER(B3856),B3856&lt;=25),2,0)+IF(AND(ISNUMBER(E3856),E3856&lt;=5),2,0)+IF(AND(ISNUMBER(F3856),F3856&lt;=1),2,0)+IF(AND(ISNUMBER(G3856),G3856&lt;=2),1,0)+IF(AND(ISNUMBER(H3856),H3856&lt;=2),1,0)</f>
        <v>0</v>
      </c>
      <c r="J3856" s="2" t="str">
        <f aca="false">IF(I3856&gt;=6,"High",IF(I3856&gt;=3,"Medium","Low"))</f>
        <v>Low</v>
      </c>
    </row>
    <row r="3857" customFormat="false" ht="15" hidden="false" customHeight="true" outlineLevel="0" collapsed="false">
      <c r="A3857" s="2" t="n">
        <f aca="false">'Raw Data'!H3857</f>
        <v>3856</v>
      </c>
      <c r="B3857" s="2" t="n">
        <f aca="false">'Raw Data'!A3857</f>
        <v>36</v>
      </c>
      <c r="C3857" s="2" t="str">
        <f aca="false">'Raw Data'!D3857</f>
        <v>Research &amp; Development</v>
      </c>
      <c r="D3857" s="2" t="str">
        <f aca="false">'Raw Data'!K3857</f>
        <v>Sales Executive</v>
      </c>
      <c r="E3857" s="2" t="n">
        <f aca="false">'Raw Data'!Q3857</f>
        <v>9</v>
      </c>
      <c r="F3857" s="2" t="n">
        <f aca="false">'Raw Data'!U3857</f>
        <v>2</v>
      </c>
      <c r="G3857" s="2" t="n">
        <f aca="false">'Raw Data'!W3857</f>
        <v>1</v>
      </c>
      <c r="H3857" s="2" t="n">
        <f aca="false">'Raw Data'!V3857</f>
        <v>2</v>
      </c>
      <c r="I3857" s="2" t="n">
        <f aca="false">IF(AND(ISNUMBER(B3857),B3857&lt;=25),2,0)+IF(AND(ISNUMBER(E3857),E3857&lt;=5),2,0)+IF(AND(ISNUMBER(F3857),F3857&lt;=1),2,0)+IF(AND(ISNUMBER(G3857),G3857&lt;=2),1,0)+IF(AND(ISNUMBER(H3857),H3857&lt;=2),1,0)</f>
        <v>2</v>
      </c>
      <c r="J3857" s="2" t="str">
        <f aca="false">IF(I3857&gt;=6,"High",IF(I3857&gt;=3,"Medium","Low"))</f>
        <v>Low</v>
      </c>
    </row>
    <row r="3858" customFormat="false" ht="15" hidden="false" customHeight="true" outlineLevel="0" collapsed="false">
      <c r="A3858" s="2" t="n">
        <f aca="false">'Raw Data'!H3858</f>
        <v>3857</v>
      </c>
      <c r="B3858" s="2" t="n">
        <f aca="false">'Raw Data'!A3858</f>
        <v>25</v>
      </c>
      <c r="C3858" s="2" t="str">
        <f aca="false">'Raw Data'!D3858</f>
        <v>Sales</v>
      </c>
      <c r="D3858" s="2" t="str">
        <f aca="false">'Raw Data'!K3858</f>
        <v>Manufacturing Director</v>
      </c>
      <c r="E3858" s="2" t="n">
        <f aca="false">'Raw Data'!Q3858</f>
        <v>7</v>
      </c>
      <c r="F3858" s="2" t="n">
        <f aca="false">'Raw Data'!U3858</f>
        <v>7</v>
      </c>
      <c r="G3858" s="2" t="n">
        <f aca="false">'Raw Data'!W3858</f>
        <v>3</v>
      </c>
      <c r="H3858" s="2" t="n">
        <f aca="false">'Raw Data'!V3858</f>
        <v>4</v>
      </c>
      <c r="I3858" s="2" t="n">
        <f aca="false">IF(AND(ISNUMBER(B3858),B3858&lt;=25),2,0)+IF(AND(ISNUMBER(E3858),E3858&lt;=5),2,0)+IF(AND(ISNUMBER(F3858),F3858&lt;=1),2,0)+IF(AND(ISNUMBER(G3858),G3858&lt;=2),1,0)+IF(AND(ISNUMBER(H3858),H3858&lt;=2),1,0)</f>
        <v>2</v>
      </c>
      <c r="J3858" s="2" t="str">
        <f aca="false">IF(I3858&gt;=6,"High",IF(I3858&gt;=3,"Medium","Low"))</f>
        <v>Low</v>
      </c>
    </row>
    <row r="3859" customFormat="false" ht="15" hidden="false" customHeight="true" outlineLevel="0" collapsed="false">
      <c r="A3859" s="2" t="n">
        <f aca="false">'Raw Data'!H3859</f>
        <v>3858</v>
      </c>
      <c r="B3859" s="2" t="n">
        <f aca="false">'Raw Data'!A3859</f>
        <v>39</v>
      </c>
      <c r="C3859" s="2" t="str">
        <f aca="false">'Raw Data'!D3859</f>
        <v>Sales</v>
      </c>
      <c r="D3859" s="2" t="str">
        <f aca="false">'Raw Data'!K3859</f>
        <v>Research Director</v>
      </c>
      <c r="E3859" s="2" t="n">
        <f aca="false">'Raw Data'!Q3859</f>
        <v>7</v>
      </c>
      <c r="F3859" s="2" t="n">
        <f aca="false">'Raw Data'!U3859</f>
        <v>0</v>
      </c>
      <c r="G3859" s="2" t="n">
        <f aca="false">'Raw Data'!W3859</f>
        <v>2</v>
      </c>
      <c r="H3859" s="2" t="n">
        <f aca="false">'Raw Data'!V3859</f>
        <v>4</v>
      </c>
      <c r="I3859" s="2" t="n">
        <f aca="false">IF(AND(ISNUMBER(B3859),B3859&lt;=25),2,0)+IF(AND(ISNUMBER(E3859),E3859&lt;=5),2,0)+IF(AND(ISNUMBER(F3859),F3859&lt;=1),2,0)+IF(AND(ISNUMBER(G3859),G3859&lt;=2),1,0)+IF(AND(ISNUMBER(H3859),H3859&lt;=2),1,0)</f>
        <v>3</v>
      </c>
      <c r="J3859" s="2" t="str">
        <f aca="false">IF(I3859&gt;=6,"High",IF(I3859&gt;=3,"Medium","Low"))</f>
        <v>Medium</v>
      </c>
    </row>
    <row r="3860" customFormat="false" ht="15" hidden="false" customHeight="true" outlineLevel="0" collapsed="false">
      <c r="A3860" s="2" t="n">
        <f aca="false">'Raw Data'!H3860</f>
        <v>3859</v>
      </c>
      <c r="B3860" s="2" t="n">
        <f aca="false">'Raw Data'!A3860</f>
        <v>49</v>
      </c>
      <c r="C3860" s="2" t="str">
        <f aca="false">'Raw Data'!D3860</f>
        <v>Sales</v>
      </c>
      <c r="D3860" s="2" t="str">
        <f aca="false">'Raw Data'!K3860</f>
        <v>Research Director</v>
      </c>
      <c r="E3860" s="2" t="n">
        <f aca="false">'Raw Data'!Q3860</f>
        <v>27</v>
      </c>
      <c r="F3860" s="2" t="n">
        <f aca="false">'Raw Data'!U3860</f>
        <v>2</v>
      </c>
      <c r="G3860" s="2" t="n">
        <f aca="false">'Raw Data'!W3860</f>
        <v>2</v>
      </c>
      <c r="H3860" s="2" t="n">
        <f aca="false">'Raw Data'!V3860</f>
        <v>1</v>
      </c>
      <c r="I3860" s="2" t="n">
        <f aca="false">IF(AND(ISNUMBER(B3860),B3860&lt;=25),2,0)+IF(AND(ISNUMBER(E3860),E3860&lt;=5),2,0)+IF(AND(ISNUMBER(F3860),F3860&lt;=1),2,0)+IF(AND(ISNUMBER(G3860),G3860&lt;=2),1,0)+IF(AND(ISNUMBER(H3860),H3860&lt;=2),1,0)</f>
        <v>2</v>
      </c>
      <c r="J3860" s="2" t="str">
        <f aca="false">IF(I3860&gt;=6,"High",IF(I3860&gt;=3,"Medium","Low"))</f>
        <v>Low</v>
      </c>
    </row>
    <row r="3861" customFormat="false" ht="15" hidden="false" customHeight="true" outlineLevel="0" collapsed="false">
      <c r="A3861" s="2" t="n">
        <f aca="false">'Raw Data'!H3861</f>
        <v>3860</v>
      </c>
      <c r="B3861" s="2" t="n">
        <f aca="false">'Raw Data'!A3861</f>
        <v>50</v>
      </c>
      <c r="C3861" s="2" t="str">
        <f aca="false">'Raw Data'!D3861</f>
        <v>Research &amp; Development</v>
      </c>
      <c r="D3861" s="2" t="str">
        <f aca="false">'Raw Data'!K3861</f>
        <v>Sales Executive</v>
      </c>
      <c r="E3861" s="2" t="n">
        <f aca="false">'Raw Data'!Q3861</f>
        <v>19</v>
      </c>
      <c r="F3861" s="2" t="n">
        <f aca="false">'Raw Data'!U3861</f>
        <v>11</v>
      </c>
      <c r="G3861" s="2" t="n">
        <f aca="false">'Raw Data'!W3861</f>
        <v>1</v>
      </c>
      <c r="H3861" s="2" t="n">
        <f aca="false">'Raw Data'!V3861</f>
        <v>4</v>
      </c>
      <c r="I3861" s="2" t="n">
        <f aca="false">IF(AND(ISNUMBER(B3861),B3861&lt;=25),2,0)+IF(AND(ISNUMBER(E3861),E3861&lt;=5),2,0)+IF(AND(ISNUMBER(F3861),F3861&lt;=1),2,0)+IF(AND(ISNUMBER(G3861),G3861&lt;=2),1,0)+IF(AND(ISNUMBER(H3861),H3861&lt;=2),1,0)</f>
        <v>1</v>
      </c>
      <c r="J3861" s="2" t="str">
        <f aca="false">IF(I3861&gt;=6,"High",IF(I3861&gt;=3,"Medium","Low"))</f>
        <v>Low</v>
      </c>
    </row>
    <row r="3862" customFormat="false" ht="15" hidden="false" customHeight="true" outlineLevel="0" collapsed="false">
      <c r="A3862" s="2" t="n">
        <f aca="false">'Raw Data'!H3862</f>
        <v>3861</v>
      </c>
      <c r="B3862" s="2" t="n">
        <f aca="false">'Raw Data'!A3862</f>
        <v>20</v>
      </c>
      <c r="C3862" s="2" t="str">
        <f aca="false">'Raw Data'!D3862</f>
        <v>Research &amp; Development</v>
      </c>
      <c r="D3862" s="2" t="str">
        <f aca="false">'Raw Data'!K3862</f>
        <v>Sales Executive</v>
      </c>
      <c r="E3862" s="2" t="n">
        <f aca="false">'Raw Data'!Q3862</f>
        <v>2</v>
      </c>
      <c r="F3862" s="2" t="n">
        <f aca="false">'Raw Data'!U3862</f>
        <v>2</v>
      </c>
      <c r="G3862" s="2" t="n">
        <f aca="false">'Raw Data'!W3862</f>
        <v>3</v>
      </c>
      <c r="H3862" s="2" t="n">
        <f aca="false">'Raw Data'!V3862</f>
        <v>3</v>
      </c>
      <c r="I3862" s="2" t="n">
        <f aca="false">IF(AND(ISNUMBER(B3862),B3862&lt;=25),2,0)+IF(AND(ISNUMBER(E3862),E3862&lt;=5),2,0)+IF(AND(ISNUMBER(F3862),F3862&lt;=1),2,0)+IF(AND(ISNUMBER(G3862),G3862&lt;=2),1,0)+IF(AND(ISNUMBER(H3862),H3862&lt;=2),1,0)</f>
        <v>4</v>
      </c>
      <c r="J3862" s="2" t="str">
        <f aca="false">IF(I3862&gt;=6,"High",IF(I3862&gt;=3,"Medium","Low"))</f>
        <v>Medium</v>
      </c>
    </row>
    <row r="3863" customFormat="false" ht="15" hidden="false" customHeight="true" outlineLevel="0" collapsed="false">
      <c r="A3863" s="2" t="n">
        <f aca="false">'Raw Data'!H3863</f>
        <v>3862</v>
      </c>
      <c r="B3863" s="2" t="n">
        <f aca="false">'Raw Data'!A3863</f>
        <v>34</v>
      </c>
      <c r="C3863" s="2" t="str">
        <f aca="false">'Raw Data'!D3863</f>
        <v>Research &amp; Development</v>
      </c>
      <c r="D3863" s="2" t="str">
        <f aca="false">'Raw Data'!K3863</f>
        <v>Laboratory Technician</v>
      </c>
      <c r="E3863" s="2" t="n">
        <f aca="false">'Raw Data'!Q3863</f>
        <v>11</v>
      </c>
      <c r="F3863" s="2" t="n">
        <f aca="false">'Raw Data'!U3863</f>
        <v>9</v>
      </c>
      <c r="G3863" s="2" t="n">
        <f aca="false">'Raw Data'!W3863</f>
        <v>2</v>
      </c>
      <c r="H3863" s="2" t="n">
        <f aca="false">'Raw Data'!V3863</f>
        <v>4</v>
      </c>
      <c r="I3863" s="2" t="n">
        <f aca="false">IF(AND(ISNUMBER(B3863),B3863&lt;=25),2,0)+IF(AND(ISNUMBER(E3863),E3863&lt;=5),2,0)+IF(AND(ISNUMBER(F3863),F3863&lt;=1),2,0)+IF(AND(ISNUMBER(G3863),G3863&lt;=2),1,0)+IF(AND(ISNUMBER(H3863),H3863&lt;=2),1,0)</f>
        <v>1</v>
      </c>
      <c r="J3863" s="2" t="str">
        <f aca="false">IF(I3863&gt;=6,"High",IF(I3863&gt;=3,"Medium","Low"))</f>
        <v>Low</v>
      </c>
    </row>
    <row r="3864" customFormat="false" ht="15" hidden="false" customHeight="true" outlineLevel="0" collapsed="false">
      <c r="A3864" s="2" t="n">
        <f aca="false">'Raw Data'!H3864</f>
        <v>3863</v>
      </c>
      <c r="B3864" s="2" t="n">
        <f aca="false">'Raw Data'!A3864</f>
        <v>36</v>
      </c>
      <c r="C3864" s="2" t="str">
        <f aca="false">'Raw Data'!D3864</f>
        <v>Research &amp; Development</v>
      </c>
      <c r="D3864" s="2" t="str">
        <f aca="false">'Raw Data'!K3864</f>
        <v>Healthcare Representative</v>
      </c>
      <c r="E3864" s="2" t="n">
        <f aca="false">'Raw Data'!Q3864</f>
        <v>15</v>
      </c>
      <c r="F3864" s="2" t="n">
        <f aca="false">'Raw Data'!U3864</f>
        <v>3</v>
      </c>
      <c r="G3864" s="2" t="n">
        <f aca="false">'Raw Data'!W3864</f>
        <v>2</v>
      </c>
      <c r="H3864" s="2" t="n">
        <f aca="false">'Raw Data'!V3864</f>
        <v>1</v>
      </c>
      <c r="I3864" s="2" t="n">
        <f aca="false">IF(AND(ISNUMBER(B3864),B3864&lt;=25),2,0)+IF(AND(ISNUMBER(E3864),E3864&lt;=5),2,0)+IF(AND(ISNUMBER(F3864),F3864&lt;=1),2,0)+IF(AND(ISNUMBER(G3864),G3864&lt;=2),1,0)+IF(AND(ISNUMBER(H3864),H3864&lt;=2),1,0)</f>
        <v>2</v>
      </c>
      <c r="J3864" s="2" t="str">
        <f aca="false">IF(I3864&gt;=6,"High",IF(I3864&gt;=3,"Medium","Low"))</f>
        <v>Low</v>
      </c>
    </row>
    <row r="3865" customFormat="false" ht="15" hidden="false" customHeight="true" outlineLevel="0" collapsed="false">
      <c r="A3865" s="2" t="n">
        <f aca="false">'Raw Data'!H3865</f>
        <v>3864</v>
      </c>
      <c r="B3865" s="2" t="n">
        <f aca="false">'Raw Data'!A3865</f>
        <v>49</v>
      </c>
      <c r="C3865" s="2" t="str">
        <f aca="false">'Raw Data'!D3865</f>
        <v>Human Resources</v>
      </c>
      <c r="D3865" s="2" t="str">
        <f aca="false">'Raw Data'!K3865</f>
        <v>Research Scientist</v>
      </c>
      <c r="E3865" s="2" t="n">
        <f aca="false">'Raw Data'!Q3865</f>
        <v>30</v>
      </c>
      <c r="F3865" s="2" t="n">
        <f aca="false">'Raw Data'!U3865</f>
        <v>12</v>
      </c>
      <c r="G3865" s="2" t="n">
        <f aca="false">'Raw Data'!W3865</f>
        <v>3</v>
      </c>
      <c r="H3865" s="2" t="n">
        <f aca="false">'Raw Data'!V3865</f>
        <v>3</v>
      </c>
      <c r="I3865" s="2" t="n">
        <f aca="false">IF(AND(ISNUMBER(B3865),B3865&lt;=25),2,0)+IF(AND(ISNUMBER(E3865),E3865&lt;=5),2,0)+IF(AND(ISNUMBER(F3865),F3865&lt;=1),2,0)+IF(AND(ISNUMBER(G3865),G3865&lt;=2),1,0)+IF(AND(ISNUMBER(H3865),H3865&lt;=2),1,0)</f>
        <v>0</v>
      </c>
      <c r="J3865" s="2" t="str">
        <f aca="false">IF(I3865&gt;=6,"High",IF(I3865&gt;=3,"Medium","Low"))</f>
        <v>Low</v>
      </c>
    </row>
    <row r="3866" customFormat="false" ht="15" hidden="false" customHeight="true" outlineLevel="0" collapsed="false">
      <c r="A3866" s="2" t="n">
        <f aca="false">'Raw Data'!H3866</f>
        <v>3865</v>
      </c>
      <c r="B3866" s="2" t="n">
        <f aca="false">'Raw Data'!A3866</f>
        <v>36</v>
      </c>
      <c r="C3866" s="2" t="str">
        <f aca="false">'Raw Data'!D3866</f>
        <v>Research &amp; Development</v>
      </c>
      <c r="D3866" s="2" t="str">
        <f aca="false">'Raw Data'!K3866</f>
        <v>Laboratory Technician</v>
      </c>
      <c r="E3866" s="2" t="n">
        <f aca="false">'Raw Data'!Q3866</f>
        <v>4</v>
      </c>
      <c r="F3866" s="2" t="n">
        <f aca="false">'Raw Data'!U3866</f>
        <v>2</v>
      </c>
      <c r="G3866" s="2" t="n">
        <f aca="false">'Raw Data'!W3866</f>
        <v>3</v>
      </c>
      <c r="H3866" s="2" t="n">
        <f aca="false">'Raw Data'!V3866</f>
        <v>4</v>
      </c>
      <c r="I3866" s="2" t="n">
        <f aca="false">IF(AND(ISNUMBER(B3866),B3866&lt;=25),2,0)+IF(AND(ISNUMBER(E3866),E3866&lt;=5),2,0)+IF(AND(ISNUMBER(F3866),F3866&lt;=1),2,0)+IF(AND(ISNUMBER(G3866),G3866&lt;=2),1,0)+IF(AND(ISNUMBER(H3866),H3866&lt;=2),1,0)</f>
        <v>2</v>
      </c>
      <c r="J3866" s="2" t="str">
        <f aca="false">IF(I3866&gt;=6,"High",IF(I3866&gt;=3,"Medium","Low"))</f>
        <v>Low</v>
      </c>
    </row>
    <row r="3867" customFormat="false" ht="15" hidden="false" customHeight="true" outlineLevel="0" collapsed="false">
      <c r="A3867" s="2" t="n">
        <f aca="false">'Raw Data'!H3867</f>
        <v>3866</v>
      </c>
      <c r="B3867" s="2" t="n">
        <f aca="false">'Raw Data'!A3867</f>
        <v>36</v>
      </c>
      <c r="C3867" s="2" t="str">
        <f aca="false">'Raw Data'!D3867</f>
        <v>Research &amp; Development</v>
      </c>
      <c r="D3867" s="2" t="str">
        <f aca="false">'Raw Data'!K3867</f>
        <v>Healthcare Representative</v>
      </c>
      <c r="E3867" s="2" t="n">
        <f aca="false">'Raw Data'!Q3867</f>
        <v>13</v>
      </c>
      <c r="F3867" s="2" t="n">
        <f aca="false">'Raw Data'!U3867</f>
        <v>4</v>
      </c>
      <c r="G3867" s="2" t="n">
        <f aca="false">'Raw Data'!W3867</f>
        <v>1</v>
      </c>
      <c r="H3867" s="2" t="n">
        <f aca="false">'Raw Data'!V3867</f>
        <v>4</v>
      </c>
      <c r="I3867" s="2" t="n">
        <f aca="false">IF(AND(ISNUMBER(B3867),B3867&lt;=25),2,0)+IF(AND(ISNUMBER(E3867),E3867&lt;=5),2,0)+IF(AND(ISNUMBER(F3867),F3867&lt;=1),2,0)+IF(AND(ISNUMBER(G3867),G3867&lt;=2),1,0)+IF(AND(ISNUMBER(H3867),H3867&lt;=2),1,0)</f>
        <v>1</v>
      </c>
      <c r="J3867" s="2" t="str">
        <f aca="false">IF(I3867&gt;=6,"High",IF(I3867&gt;=3,"Medium","Low"))</f>
        <v>Low</v>
      </c>
    </row>
    <row r="3868" customFormat="false" ht="15" hidden="false" customHeight="true" outlineLevel="0" collapsed="false">
      <c r="A3868" s="2" t="n">
        <f aca="false">'Raw Data'!H3868</f>
        <v>3867</v>
      </c>
      <c r="B3868" s="2" t="n">
        <f aca="false">'Raw Data'!A3868</f>
        <v>54</v>
      </c>
      <c r="C3868" s="2" t="str">
        <f aca="false">'Raw Data'!D3868</f>
        <v>Sales</v>
      </c>
      <c r="D3868" s="2" t="str">
        <f aca="false">'Raw Data'!K3868</f>
        <v>Laboratory Technician</v>
      </c>
      <c r="E3868" s="2" t="n">
        <f aca="false">'Raw Data'!Q3868</f>
        <v>36</v>
      </c>
      <c r="F3868" s="2" t="n">
        <f aca="false">'Raw Data'!U3868</f>
        <v>7</v>
      </c>
      <c r="G3868" s="2" t="n">
        <f aca="false">'Raw Data'!W3868</f>
        <v>3</v>
      </c>
      <c r="H3868" s="2" t="n">
        <f aca="false">'Raw Data'!V3868</f>
        <v>2</v>
      </c>
      <c r="I3868" s="2" t="n">
        <f aca="false">IF(AND(ISNUMBER(B3868),B3868&lt;=25),2,0)+IF(AND(ISNUMBER(E3868),E3868&lt;=5),2,0)+IF(AND(ISNUMBER(F3868),F3868&lt;=1),2,0)+IF(AND(ISNUMBER(G3868),G3868&lt;=2),1,0)+IF(AND(ISNUMBER(H3868),H3868&lt;=2),1,0)</f>
        <v>1</v>
      </c>
      <c r="J3868" s="2" t="str">
        <f aca="false">IF(I3868&gt;=6,"High",IF(I3868&gt;=3,"Medium","Low"))</f>
        <v>Low</v>
      </c>
    </row>
    <row r="3869" customFormat="false" ht="15" hidden="false" customHeight="true" outlineLevel="0" collapsed="false">
      <c r="A3869" s="2" t="n">
        <f aca="false">'Raw Data'!H3869</f>
        <v>3868</v>
      </c>
      <c r="B3869" s="2" t="n">
        <f aca="false">'Raw Data'!A3869</f>
        <v>43</v>
      </c>
      <c r="C3869" s="2" t="str">
        <f aca="false">'Raw Data'!D3869</f>
        <v>Research &amp; Development</v>
      </c>
      <c r="D3869" s="2" t="str">
        <f aca="false">'Raw Data'!K3869</f>
        <v>Research Scientist</v>
      </c>
      <c r="E3869" s="2" t="n">
        <f aca="false">'Raw Data'!Q3869</f>
        <v>14</v>
      </c>
      <c r="F3869" s="2" t="n">
        <f aca="false">'Raw Data'!U3869</f>
        <v>11</v>
      </c>
      <c r="G3869" s="2" t="n">
        <f aca="false">'Raw Data'!W3869</f>
        <v>3</v>
      </c>
      <c r="H3869" s="2" t="n">
        <f aca="false">'Raw Data'!V3869</f>
        <v>3</v>
      </c>
      <c r="I3869" s="2" t="n">
        <f aca="false">IF(AND(ISNUMBER(B3869),B3869&lt;=25),2,0)+IF(AND(ISNUMBER(E3869),E3869&lt;=5),2,0)+IF(AND(ISNUMBER(F3869),F3869&lt;=1),2,0)+IF(AND(ISNUMBER(G3869),G3869&lt;=2),1,0)+IF(AND(ISNUMBER(H3869),H3869&lt;=2),1,0)</f>
        <v>0</v>
      </c>
      <c r="J3869" s="2" t="str">
        <f aca="false">IF(I3869&gt;=6,"High",IF(I3869&gt;=3,"Medium","Low"))</f>
        <v>Low</v>
      </c>
    </row>
    <row r="3870" customFormat="false" ht="15" hidden="false" customHeight="true" outlineLevel="0" collapsed="false">
      <c r="A3870" s="2" t="n">
        <f aca="false">'Raw Data'!H3870</f>
        <v>3869</v>
      </c>
      <c r="B3870" s="2" t="n">
        <f aca="false">'Raw Data'!A3870</f>
        <v>35</v>
      </c>
      <c r="C3870" s="2" t="str">
        <f aca="false">'Raw Data'!D3870</f>
        <v>Research &amp; Development</v>
      </c>
      <c r="D3870" s="2" t="str">
        <f aca="false">'Raw Data'!K3870</f>
        <v>Research Director</v>
      </c>
      <c r="E3870" s="2" t="n">
        <f aca="false">'Raw Data'!Q3870</f>
        <v>13</v>
      </c>
      <c r="F3870" s="2" t="n">
        <f aca="false">'Raw Data'!U3870</f>
        <v>7</v>
      </c>
      <c r="G3870" s="2" t="n">
        <f aca="false">'Raw Data'!W3870</f>
        <v>4</v>
      </c>
      <c r="H3870" s="2" t="n">
        <f aca="false">'Raw Data'!V3870</f>
        <v>4</v>
      </c>
      <c r="I3870" s="2" t="n">
        <f aca="false">IF(AND(ISNUMBER(B3870),B3870&lt;=25),2,0)+IF(AND(ISNUMBER(E3870),E3870&lt;=5),2,0)+IF(AND(ISNUMBER(F3870),F3870&lt;=1),2,0)+IF(AND(ISNUMBER(G3870),G3870&lt;=2),1,0)+IF(AND(ISNUMBER(H3870),H3870&lt;=2),1,0)</f>
        <v>0</v>
      </c>
      <c r="J3870" s="2" t="str">
        <f aca="false">IF(I3870&gt;=6,"High",IF(I3870&gt;=3,"Medium","Low"))</f>
        <v>Low</v>
      </c>
    </row>
    <row r="3871" customFormat="false" ht="15" hidden="false" customHeight="true" outlineLevel="0" collapsed="false">
      <c r="A3871" s="2" t="n">
        <f aca="false">'Raw Data'!H3871</f>
        <v>3870</v>
      </c>
      <c r="B3871" s="2" t="n">
        <f aca="false">'Raw Data'!A3871</f>
        <v>38</v>
      </c>
      <c r="C3871" s="2" t="str">
        <f aca="false">'Raw Data'!D3871</f>
        <v>Research &amp; Development</v>
      </c>
      <c r="D3871" s="2" t="str">
        <f aca="false">'Raw Data'!K3871</f>
        <v>Research Scientist</v>
      </c>
      <c r="E3871" s="2" t="n">
        <f aca="false">'Raw Data'!Q3871</f>
        <v>19</v>
      </c>
      <c r="F3871" s="2" t="n">
        <f aca="false">'Raw Data'!U3871</f>
        <v>9</v>
      </c>
      <c r="G3871" s="2" t="n">
        <f aca="false">'Raw Data'!W3871</f>
        <v>4</v>
      </c>
      <c r="H3871" s="2" t="n">
        <f aca="false">'Raw Data'!V3871</f>
        <v>4</v>
      </c>
      <c r="I3871" s="2" t="n">
        <f aca="false">IF(AND(ISNUMBER(B3871),B3871&lt;=25),2,0)+IF(AND(ISNUMBER(E3871),E3871&lt;=5),2,0)+IF(AND(ISNUMBER(F3871),F3871&lt;=1),2,0)+IF(AND(ISNUMBER(G3871),G3871&lt;=2),1,0)+IF(AND(ISNUMBER(H3871),H3871&lt;=2),1,0)</f>
        <v>0</v>
      </c>
      <c r="J3871" s="2" t="str">
        <f aca="false">IF(I3871&gt;=6,"High",IF(I3871&gt;=3,"Medium","Low"))</f>
        <v>Low</v>
      </c>
    </row>
    <row r="3872" customFormat="false" ht="15" hidden="false" customHeight="true" outlineLevel="0" collapsed="false">
      <c r="A3872" s="2" t="n">
        <f aca="false">'Raw Data'!H3872</f>
        <v>3871</v>
      </c>
      <c r="B3872" s="2" t="n">
        <f aca="false">'Raw Data'!A3872</f>
        <v>29</v>
      </c>
      <c r="C3872" s="2" t="str">
        <f aca="false">'Raw Data'!D3872</f>
        <v>Research &amp; Development</v>
      </c>
      <c r="D3872" s="2" t="str">
        <f aca="false">'Raw Data'!K3872</f>
        <v>Sales Representative</v>
      </c>
      <c r="E3872" s="2" t="n">
        <f aca="false">'Raw Data'!Q3872</f>
        <v>10</v>
      </c>
      <c r="F3872" s="2" t="n">
        <f aca="false">'Raw Data'!U3872</f>
        <v>9</v>
      </c>
      <c r="G3872" s="2" t="n">
        <f aca="false">'Raw Data'!W3872</f>
        <v>2</v>
      </c>
      <c r="H3872" s="2" t="n">
        <f aca="false">'Raw Data'!V3872</f>
        <v>1</v>
      </c>
      <c r="I3872" s="2" t="n">
        <f aca="false">IF(AND(ISNUMBER(B3872),B3872&lt;=25),2,0)+IF(AND(ISNUMBER(E3872),E3872&lt;=5),2,0)+IF(AND(ISNUMBER(F3872),F3872&lt;=1),2,0)+IF(AND(ISNUMBER(G3872),G3872&lt;=2),1,0)+IF(AND(ISNUMBER(H3872),H3872&lt;=2),1,0)</f>
        <v>2</v>
      </c>
      <c r="J3872" s="2" t="str">
        <f aca="false">IF(I3872&gt;=6,"High",IF(I3872&gt;=3,"Medium","Low"))</f>
        <v>Low</v>
      </c>
    </row>
    <row r="3873" customFormat="false" ht="15" hidden="false" customHeight="true" outlineLevel="0" collapsed="false">
      <c r="A3873" s="2" t="n">
        <f aca="false">'Raw Data'!H3873</f>
        <v>3872</v>
      </c>
      <c r="B3873" s="2" t="n">
        <f aca="false">'Raw Data'!A3873</f>
        <v>33</v>
      </c>
      <c r="C3873" s="2" t="str">
        <f aca="false">'Raw Data'!D3873</f>
        <v>Research &amp; Development</v>
      </c>
      <c r="D3873" s="2" t="str">
        <f aca="false">'Raw Data'!K3873</f>
        <v>Sales Executive</v>
      </c>
      <c r="E3873" s="2" t="n">
        <f aca="false">'Raw Data'!Q3873</f>
        <v>6</v>
      </c>
      <c r="F3873" s="2" t="n">
        <f aca="false">'Raw Data'!U3873</f>
        <v>4</v>
      </c>
      <c r="G3873" s="2" t="n">
        <f aca="false">'Raw Data'!W3873</f>
        <v>4</v>
      </c>
      <c r="H3873" s="2" t="n">
        <f aca="false">'Raw Data'!V3873</f>
        <v>4</v>
      </c>
      <c r="I3873" s="2" t="n">
        <f aca="false">IF(AND(ISNUMBER(B3873),B3873&lt;=25),2,0)+IF(AND(ISNUMBER(E3873),E3873&lt;=5),2,0)+IF(AND(ISNUMBER(F3873),F3873&lt;=1),2,0)+IF(AND(ISNUMBER(G3873),G3873&lt;=2),1,0)+IF(AND(ISNUMBER(H3873),H3873&lt;=2),1,0)</f>
        <v>0</v>
      </c>
      <c r="J3873" s="2" t="str">
        <f aca="false">IF(I3873&gt;=6,"High",IF(I3873&gt;=3,"Medium","Low"))</f>
        <v>Low</v>
      </c>
    </row>
    <row r="3874" customFormat="false" ht="15" hidden="false" customHeight="true" outlineLevel="0" collapsed="false">
      <c r="A3874" s="2" t="n">
        <f aca="false">'Raw Data'!H3874</f>
        <v>3873</v>
      </c>
      <c r="B3874" s="2" t="n">
        <f aca="false">'Raw Data'!A3874</f>
        <v>32</v>
      </c>
      <c r="C3874" s="2" t="str">
        <f aca="false">'Raw Data'!D3874</f>
        <v>Research &amp; Development</v>
      </c>
      <c r="D3874" s="2" t="str">
        <f aca="false">'Raw Data'!K3874</f>
        <v>Research Scientist</v>
      </c>
      <c r="E3874" s="2" t="n">
        <f aca="false">'Raw Data'!Q3874</f>
        <v>10</v>
      </c>
      <c r="F3874" s="2" t="n">
        <f aca="false">'Raw Data'!U3874</f>
        <v>6</v>
      </c>
      <c r="G3874" s="2" t="n">
        <f aca="false">'Raw Data'!W3874</f>
        <v>2</v>
      </c>
      <c r="H3874" s="2" t="n">
        <f aca="false">'Raw Data'!V3874</f>
        <v>4</v>
      </c>
      <c r="I3874" s="2" t="n">
        <f aca="false">IF(AND(ISNUMBER(B3874),B3874&lt;=25),2,0)+IF(AND(ISNUMBER(E3874),E3874&lt;=5),2,0)+IF(AND(ISNUMBER(F3874),F3874&lt;=1),2,0)+IF(AND(ISNUMBER(G3874),G3874&lt;=2),1,0)+IF(AND(ISNUMBER(H3874),H3874&lt;=2),1,0)</f>
        <v>1</v>
      </c>
      <c r="J3874" s="2" t="str">
        <f aca="false">IF(I3874&gt;=6,"High",IF(I3874&gt;=3,"Medium","Low"))</f>
        <v>Low</v>
      </c>
    </row>
    <row r="3875" customFormat="false" ht="15" hidden="false" customHeight="true" outlineLevel="0" collapsed="false">
      <c r="A3875" s="2" t="n">
        <f aca="false">'Raw Data'!H3875</f>
        <v>3874</v>
      </c>
      <c r="B3875" s="2" t="n">
        <f aca="false">'Raw Data'!A3875</f>
        <v>31</v>
      </c>
      <c r="C3875" s="2" t="str">
        <f aca="false">'Raw Data'!D3875</f>
        <v>Research &amp; Development</v>
      </c>
      <c r="D3875" s="2" t="str">
        <f aca="false">'Raw Data'!K3875</f>
        <v>Sales Executive</v>
      </c>
      <c r="E3875" s="2" t="n">
        <f aca="false">'Raw Data'!Q3875</f>
        <v>10</v>
      </c>
      <c r="F3875" s="2" t="n">
        <f aca="false">'Raw Data'!U3875</f>
        <v>2</v>
      </c>
      <c r="G3875" s="2" t="n">
        <f aca="false">'Raw Data'!W3875</f>
        <v>4</v>
      </c>
      <c r="H3875" s="2" t="n">
        <f aca="false">'Raw Data'!V3875</f>
        <v>1</v>
      </c>
      <c r="I3875" s="2" t="n">
        <f aca="false">IF(AND(ISNUMBER(B3875),B3875&lt;=25),2,0)+IF(AND(ISNUMBER(E3875),E3875&lt;=5),2,0)+IF(AND(ISNUMBER(F3875),F3875&lt;=1),2,0)+IF(AND(ISNUMBER(G3875),G3875&lt;=2),1,0)+IF(AND(ISNUMBER(H3875),H3875&lt;=2),1,0)</f>
        <v>1</v>
      </c>
      <c r="J3875" s="2" t="str">
        <f aca="false">IF(I3875&gt;=6,"High",IF(I3875&gt;=3,"Medium","Low"))</f>
        <v>Low</v>
      </c>
    </row>
    <row r="3876" customFormat="false" ht="15" hidden="false" customHeight="true" outlineLevel="0" collapsed="false">
      <c r="A3876" s="2" t="n">
        <f aca="false">'Raw Data'!H3876</f>
        <v>3875</v>
      </c>
      <c r="B3876" s="2" t="n">
        <f aca="false">'Raw Data'!A3876</f>
        <v>49</v>
      </c>
      <c r="C3876" s="2" t="str">
        <f aca="false">'Raw Data'!D3876</f>
        <v>Research &amp; Development</v>
      </c>
      <c r="D3876" s="2" t="str">
        <f aca="false">'Raw Data'!K3876</f>
        <v>Laboratory Technician</v>
      </c>
      <c r="E3876" s="2" t="n">
        <f aca="false">'Raw Data'!Q3876</f>
        <v>17</v>
      </c>
      <c r="F3876" s="2" t="n">
        <f aca="false">'Raw Data'!U3876</f>
        <v>2</v>
      </c>
      <c r="G3876" s="2" t="n">
        <f aca="false">'Raw Data'!W3876</f>
        <v>1</v>
      </c>
      <c r="H3876" s="2" t="n">
        <f aca="false">'Raw Data'!V3876</f>
        <v>4</v>
      </c>
      <c r="I3876" s="2" t="n">
        <f aca="false">IF(AND(ISNUMBER(B3876),B3876&lt;=25),2,0)+IF(AND(ISNUMBER(E3876),E3876&lt;=5),2,0)+IF(AND(ISNUMBER(F3876),F3876&lt;=1),2,0)+IF(AND(ISNUMBER(G3876),G3876&lt;=2),1,0)+IF(AND(ISNUMBER(H3876),H3876&lt;=2),1,0)</f>
        <v>1</v>
      </c>
      <c r="J3876" s="2" t="str">
        <f aca="false">IF(I3876&gt;=6,"High",IF(I3876&gt;=3,"Medium","Low"))</f>
        <v>Low</v>
      </c>
    </row>
    <row r="3877" customFormat="false" ht="15" hidden="false" customHeight="true" outlineLevel="0" collapsed="false">
      <c r="A3877" s="2" t="n">
        <f aca="false">'Raw Data'!H3877</f>
        <v>3876</v>
      </c>
      <c r="B3877" s="2" t="n">
        <f aca="false">'Raw Data'!A3877</f>
        <v>38</v>
      </c>
      <c r="C3877" s="2" t="str">
        <f aca="false">'Raw Data'!D3877</f>
        <v>Sales</v>
      </c>
      <c r="D3877" s="2" t="str">
        <f aca="false">'Raw Data'!K3877</f>
        <v>Sales Executive</v>
      </c>
      <c r="E3877" s="2" t="n">
        <f aca="false">'Raw Data'!Q3877</f>
        <v>4</v>
      </c>
      <c r="F3877" s="2" t="n">
        <f aca="false">'Raw Data'!U3877</f>
        <v>3</v>
      </c>
      <c r="G3877" s="2" t="n">
        <f aca="false">'Raw Data'!W3877</f>
        <v>2</v>
      </c>
      <c r="H3877" s="2" t="n">
        <f aca="false">'Raw Data'!V3877</f>
        <v>4</v>
      </c>
      <c r="I3877" s="2" t="n">
        <f aca="false">IF(AND(ISNUMBER(B3877),B3877&lt;=25),2,0)+IF(AND(ISNUMBER(E3877),E3877&lt;=5),2,0)+IF(AND(ISNUMBER(F3877),F3877&lt;=1),2,0)+IF(AND(ISNUMBER(G3877),G3877&lt;=2),1,0)+IF(AND(ISNUMBER(H3877),H3877&lt;=2),1,0)</f>
        <v>3</v>
      </c>
      <c r="J3877" s="2" t="str">
        <f aca="false">IF(I3877&gt;=6,"High",IF(I3877&gt;=3,"Medium","Low"))</f>
        <v>Medium</v>
      </c>
    </row>
    <row r="3878" customFormat="false" ht="15" hidden="false" customHeight="true" outlineLevel="0" collapsed="false">
      <c r="A3878" s="2" t="n">
        <f aca="false">'Raw Data'!H3878</f>
        <v>3877</v>
      </c>
      <c r="B3878" s="2" t="n">
        <f aca="false">'Raw Data'!A3878</f>
        <v>47</v>
      </c>
      <c r="C3878" s="2" t="str">
        <f aca="false">'Raw Data'!D3878</f>
        <v>Research &amp; Development</v>
      </c>
      <c r="D3878" s="2" t="str">
        <f aca="false">'Raw Data'!K3878</f>
        <v>Laboratory Technician</v>
      </c>
      <c r="E3878" s="2" t="n">
        <f aca="false">'Raw Data'!Q3878</f>
        <v>29</v>
      </c>
      <c r="F3878" s="2" t="n">
        <f aca="false">'Raw Data'!U3878</f>
        <v>2</v>
      </c>
      <c r="G3878" s="2" t="n">
        <f aca="false">'Raw Data'!W3878</f>
        <v>2</v>
      </c>
      <c r="H3878" s="2" t="n">
        <f aca="false">'Raw Data'!V3878</f>
        <v>2</v>
      </c>
      <c r="I3878" s="2" t="n">
        <f aca="false">IF(AND(ISNUMBER(B3878),B3878&lt;=25),2,0)+IF(AND(ISNUMBER(E3878),E3878&lt;=5),2,0)+IF(AND(ISNUMBER(F3878),F3878&lt;=1),2,0)+IF(AND(ISNUMBER(G3878),G3878&lt;=2),1,0)+IF(AND(ISNUMBER(H3878),H3878&lt;=2),1,0)</f>
        <v>2</v>
      </c>
      <c r="J3878" s="2" t="str">
        <f aca="false">IF(I3878&gt;=6,"High",IF(I3878&gt;=3,"Medium","Low"))</f>
        <v>Low</v>
      </c>
    </row>
    <row r="3879" customFormat="false" ht="15" hidden="false" customHeight="true" outlineLevel="0" collapsed="false">
      <c r="A3879" s="2" t="n">
        <f aca="false">'Raw Data'!H3879</f>
        <v>3878</v>
      </c>
      <c r="B3879" s="2" t="n">
        <f aca="false">'Raw Data'!A3879</f>
        <v>49</v>
      </c>
      <c r="C3879" s="2" t="str">
        <f aca="false">'Raw Data'!D3879</f>
        <v>Research &amp; Development</v>
      </c>
      <c r="D3879" s="2" t="str">
        <f aca="false">'Raw Data'!K3879</f>
        <v>Manufacturing Director</v>
      </c>
      <c r="E3879" s="2" t="n">
        <f aca="false">'Raw Data'!Q3879</f>
        <v>23</v>
      </c>
      <c r="F3879" s="2" t="n">
        <f aca="false">'Raw Data'!U3879</f>
        <v>0</v>
      </c>
      <c r="G3879" s="2" t="n">
        <f aca="false">'Raw Data'!W3879</f>
        <v>3</v>
      </c>
      <c r="H3879" s="2" t="n">
        <f aca="false">'Raw Data'!V3879</f>
        <v>3</v>
      </c>
      <c r="I3879" s="2" t="n">
        <f aca="false">IF(AND(ISNUMBER(B3879),B3879&lt;=25),2,0)+IF(AND(ISNUMBER(E3879),E3879&lt;=5),2,0)+IF(AND(ISNUMBER(F3879),F3879&lt;=1),2,0)+IF(AND(ISNUMBER(G3879),G3879&lt;=2),1,0)+IF(AND(ISNUMBER(H3879),H3879&lt;=2),1,0)</f>
        <v>2</v>
      </c>
      <c r="J3879" s="2" t="str">
        <f aca="false">IF(I3879&gt;=6,"High",IF(I3879&gt;=3,"Medium","Low"))</f>
        <v>Low</v>
      </c>
    </row>
    <row r="3880" customFormat="false" ht="15" hidden="false" customHeight="true" outlineLevel="0" collapsed="false">
      <c r="A3880" s="2" t="n">
        <f aca="false">'Raw Data'!H3880</f>
        <v>3879</v>
      </c>
      <c r="B3880" s="2" t="n">
        <f aca="false">'Raw Data'!A3880</f>
        <v>41</v>
      </c>
      <c r="C3880" s="2" t="str">
        <f aca="false">'Raw Data'!D3880</f>
        <v>Research &amp; Development</v>
      </c>
      <c r="D3880" s="2" t="str">
        <f aca="false">'Raw Data'!K3880</f>
        <v>Manager</v>
      </c>
      <c r="E3880" s="2" t="n">
        <f aca="false">'Raw Data'!Q3880</f>
        <v>21</v>
      </c>
      <c r="F3880" s="2" t="n">
        <f aca="false">'Raw Data'!U3880</f>
        <v>2</v>
      </c>
      <c r="G3880" s="2" t="n">
        <f aca="false">'Raw Data'!W3880</f>
        <v>3</v>
      </c>
      <c r="H3880" s="2" t="n">
        <f aca="false">'Raw Data'!V3880</f>
        <v>4</v>
      </c>
      <c r="I3880" s="2" t="n">
        <f aca="false">IF(AND(ISNUMBER(B3880),B3880&lt;=25),2,0)+IF(AND(ISNUMBER(E3880),E3880&lt;=5),2,0)+IF(AND(ISNUMBER(F3880),F3880&lt;=1),2,0)+IF(AND(ISNUMBER(G3880),G3880&lt;=2),1,0)+IF(AND(ISNUMBER(H3880),H3880&lt;=2),1,0)</f>
        <v>0</v>
      </c>
      <c r="J3880" s="2" t="str">
        <f aca="false">IF(I3880&gt;=6,"High",IF(I3880&gt;=3,"Medium","Low"))</f>
        <v>Low</v>
      </c>
    </row>
    <row r="3881" customFormat="false" ht="15" hidden="false" customHeight="true" outlineLevel="0" collapsed="false">
      <c r="A3881" s="2" t="n">
        <f aca="false">'Raw Data'!H3881</f>
        <v>3880</v>
      </c>
      <c r="B3881" s="2" t="n">
        <f aca="false">'Raw Data'!A3881</f>
        <v>20</v>
      </c>
      <c r="C3881" s="2" t="str">
        <f aca="false">'Raw Data'!D3881</f>
        <v>Research &amp; Development</v>
      </c>
      <c r="D3881" s="2" t="str">
        <f aca="false">'Raw Data'!K3881</f>
        <v>Sales Representative</v>
      </c>
      <c r="E3881" s="2" t="n">
        <f aca="false">'Raw Data'!Q3881</f>
        <v>2</v>
      </c>
      <c r="F3881" s="2" t="n">
        <f aca="false">'Raw Data'!U3881</f>
        <v>2</v>
      </c>
      <c r="G3881" s="2" t="n">
        <f aca="false">'Raw Data'!W3881</f>
        <v>1</v>
      </c>
      <c r="H3881" s="2" t="n">
        <f aca="false">'Raw Data'!V3881</f>
        <v>4</v>
      </c>
      <c r="I3881" s="2" t="n">
        <f aca="false">IF(AND(ISNUMBER(B3881),B3881&lt;=25),2,0)+IF(AND(ISNUMBER(E3881),E3881&lt;=5),2,0)+IF(AND(ISNUMBER(F3881),F3881&lt;=1),2,0)+IF(AND(ISNUMBER(G3881),G3881&lt;=2),1,0)+IF(AND(ISNUMBER(H3881),H3881&lt;=2),1,0)</f>
        <v>5</v>
      </c>
      <c r="J3881" s="2" t="str">
        <f aca="false">IF(I3881&gt;=6,"High",IF(I3881&gt;=3,"Medium","Low"))</f>
        <v>Medium</v>
      </c>
    </row>
    <row r="3882" customFormat="false" ht="15" hidden="false" customHeight="true" outlineLevel="0" collapsed="false">
      <c r="A3882" s="2" t="n">
        <f aca="false">'Raw Data'!H3882</f>
        <v>3881</v>
      </c>
      <c r="B3882" s="2" t="n">
        <f aca="false">'Raw Data'!A3882</f>
        <v>33</v>
      </c>
      <c r="C3882" s="2" t="str">
        <f aca="false">'Raw Data'!D3882</f>
        <v>Research &amp; Development</v>
      </c>
      <c r="D3882" s="2" t="str">
        <f aca="false">'Raw Data'!K3882</f>
        <v>Healthcare Representative</v>
      </c>
      <c r="E3882" s="2" t="n">
        <f aca="false">'Raw Data'!Q3882</f>
        <v>7</v>
      </c>
      <c r="F3882" s="2" t="n">
        <f aca="false">'Raw Data'!U3882</f>
        <v>2</v>
      </c>
      <c r="G3882" s="2" t="n">
        <f aca="false">'Raw Data'!W3882</f>
        <v>4</v>
      </c>
      <c r="H3882" s="2" t="n">
        <f aca="false">'Raw Data'!V3882</f>
        <v>3</v>
      </c>
      <c r="I3882" s="2" t="n">
        <f aca="false">IF(AND(ISNUMBER(B3882),B3882&lt;=25),2,0)+IF(AND(ISNUMBER(E3882),E3882&lt;=5),2,0)+IF(AND(ISNUMBER(F3882),F3882&lt;=1),2,0)+IF(AND(ISNUMBER(G3882),G3882&lt;=2),1,0)+IF(AND(ISNUMBER(H3882),H3882&lt;=2),1,0)</f>
        <v>0</v>
      </c>
      <c r="J3882" s="2" t="str">
        <f aca="false">IF(I3882&gt;=6,"High",IF(I3882&gt;=3,"Medium","Low"))</f>
        <v>Low</v>
      </c>
    </row>
    <row r="3883" customFormat="false" ht="15" hidden="false" customHeight="true" outlineLevel="0" collapsed="false">
      <c r="A3883" s="2" t="n">
        <f aca="false">'Raw Data'!H3883</f>
        <v>3882</v>
      </c>
      <c r="B3883" s="2" t="n">
        <f aca="false">'Raw Data'!A3883</f>
        <v>36</v>
      </c>
      <c r="C3883" s="2" t="str">
        <f aca="false">'Raw Data'!D3883</f>
        <v>Research &amp; Development</v>
      </c>
      <c r="D3883" s="2" t="str">
        <f aca="false">'Raw Data'!K3883</f>
        <v>Sales Executive</v>
      </c>
      <c r="E3883" s="2" t="n">
        <f aca="false">'Raw Data'!Q3883</f>
        <v>10</v>
      </c>
      <c r="F3883" s="2" t="n">
        <f aca="false">'Raw Data'!U3883</f>
        <v>2</v>
      </c>
      <c r="G3883" s="2" t="n">
        <f aca="false">'Raw Data'!W3883</f>
        <v>3</v>
      </c>
      <c r="H3883" s="2" t="n">
        <f aca="false">'Raw Data'!V3883</f>
        <v>1</v>
      </c>
      <c r="I3883" s="2" t="n">
        <f aca="false">IF(AND(ISNUMBER(B3883),B3883&lt;=25),2,0)+IF(AND(ISNUMBER(E3883),E3883&lt;=5),2,0)+IF(AND(ISNUMBER(F3883),F3883&lt;=1),2,0)+IF(AND(ISNUMBER(G3883),G3883&lt;=2),1,0)+IF(AND(ISNUMBER(H3883),H3883&lt;=2),1,0)</f>
        <v>1</v>
      </c>
      <c r="J3883" s="2" t="str">
        <f aca="false">IF(I3883&gt;=6,"High",IF(I3883&gt;=3,"Medium","Low"))</f>
        <v>Low</v>
      </c>
    </row>
    <row r="3884" customFormat="false" ht="15" hidden="false" customHeight="true" outlineLevel="0" collapsed="false">
      <c r="A3884" s="2" t="n">
        <f aca="false">'Raw Data'!H3884</f>
        <v>3883</v>
      </c>
      <c r="B3884" s="2" t="n">
        <f aca="false">'Raw Data'!A3884</f>
        <v>44</v>
      </c>
      <c r="C3884" s="2" t="str">
        <f aca="false">'Raw Data'!D3884</f>
        <v>Research &amp; Development</v>
      </c>
      <c r="D3884" s="2" t="str">
        <f aca="false">'Raw Data'!K3884</f>
        <v>Healthcare Representative</v>
      </c>
      <c r="E3884" s="2" t="n">
        <f aca="false">'Raw Data'!Q3884</f>
        <v>8</v>
      </c>
      <c r="F3884" s="2" t="n">
        <f aca="false">'Raw Data'!U3884</f>
        <v>2</v>
      </c>
      <c r="G3884" s="2" t="n">
        <f aca="false">'Raw Data'!W3884</f>
        <v>4</v>
      </c>
      <c r="H3884" s="2" t="n">
        <f aca="false">'Raw Data'!V3884</f>
        <v>3</v>
      </c>
      <c r="I3884" s="2" t="n">
        <f aca="false">IF(AND(ISNUMBER(B3884),B3884&lt;=25),2,0)+IF(AND(ISNUMBER(E3884),E3884&lt;=5),2,0)+IF(AND(ISNUMBER(F3884),F3884&lt;=1),2,0)+IF(AND(ISNUMBER(G3884),G3884&lt;=2),1,0)+IF(AND(ISNUMBER(H3884),H3884&lt;=2),1,0)</f>
        <v>0</v>
      </c>
      <c r="J3884" s="2" t="str">
        <f aca="false">IF(I3884&gt;=6,"High",IF(I3884&gt;=3,"Medium","Low"))</f>
        <v>Low</v>
      </c>
    </row>
    <row r="3885" customFormat="false" ht="15" hidden="false" customHeight="true" outlineLevel="0" collapsed="false">
      <c r="A3885" s="2" t="n">
        <f aca="false">'Raw Data'!H3885</f>
        <v>3884</v>
      </c>
      <c r="B3885" s="2" t="n">
        <f aca="false">'Raw Data'!A3885</f>
        <v>23</v>
      </c>
      <c r="C3885" s="2" t="str">
        <f aca="false">'Raw Data'!D3885</f>
        <v>Human Resources</v>
      </c>
      <c r="D3885" s="2" t="str">
        <f aca="false">'Raw Data'!K3885</f>
        <v>Laboratory Technician</v>
      </c>
      <c r="E3885" s="2" t="n">
        <f aca="false">'Raw Data'!Q3885</f>
        <v>5</v>
      </c>
      <c r="F3885" s="2" t="n">
        <f aca="false">'Raw Data'!U3885</f>
        <v>2</v>
      </c>
      <c r="G3885" s="2" t="n">
        <f aca="false">'Raw Data'!W3885</f>
        <v>3</v>
      </c>
      <c r="H3885" s="2" t="n">
        <f aca="false">'Raw Data'!V3885</f>
        <v>4</v>
      </c>
      <c r="I3885" s="2" t="n">
        <f aca="false">IF(AND(ISNUMBER(B3885),B3885&lt;=25),2,0)+IF(AND(ISNUMBER(E3885),E3885&lt;=5),2,0)+IF(AND(ISNUMBER(F3885),F3885&lt;=1),2,0)+IF(AND(ISNUMBER(G3885),G3885&lt;=2),1,0)+IF(AND(ISNUMBER(H3885),H3885&lt;=2),1,0)</f>
        <v>4</v>
      </c>
      <c r="J3885" s="2" t="str">
        <f aca="false">IF(I3885&gt;=6,"High",IF(I3885&gt;=3,"Medium","Low"))</f>
        <v>Medium</v>
      </c>
    </row>
    <row r="3886" customFormat="false" ht="15" hidden="false" customHeight="true" outlineLevel="0" collapsed="false">
      <c r="A3886" s="2" t="n">
        <f aca="false">'Raw Data'!H3886</f>
        <v>3885</v>
      </c>
      <c r="B3886" s="2" t="n">
        <f aca="false">'Raw Data'!A3886</f>
        <v>38</v>
      </c>
      <c r="C3886" s="2" t="str">
        <f aca="false">'Raw Data'!D3886</f>
        <v>Research &amp; Development</v>
      </c>
      <c r="D3886" s="2" t="str">
        <f aca="false">'Raw Data'!K3886</f>
        <v>Sales Executive</v>
      </c>
      <c r="E3886" s="2" t="n">
        <f aca="false">'Raw Data'!Q3886</f>
        <v>7</v>
      </c>
      <c r="F3886" s="2" t="n">
        <f aca="false">'Raw Data'!U3886</f>
        <v>0</v>
      </c>
      <c r="G3886" s="2" t="n">
        <f aca="false">'Raw Data'!W3886</f>
        <v>3</v>
      </c>
      <c r="H3886" s="2" t="n">
        <f aca="false">'Raw Data'!V3886</f>
        <v>4</v>
      </c>
      <c r="I3886" s="2" t="n">
        <f aca="false">IF(AND(ISNUMBER(B3886),B3886&lt;=25),2,0)+IF(AND(ISNUMBER(E3886),E3886&lt;=5),2,0)+IF(AND(ISNUMBER(F3886),F3886&lt;=1),2,0)+IF(AND(ISNUMBER(G3886),G3886&lt;=2),1,0)+IF(AND(ISNUMBER(H3886),H3886&lt;=2),1,0)</f>
        <v>2</v>
      </c>
      <c r="J3886" s="2" t="str">
        <f aca="false">IF(I3886&gt;=6,"High",IF(I3886&gt;=3,"Medium","Low"))</f>
        <v>Low</v>
      </c>
    </row>
    <row r="3887" customFormat="false" ht="15" hidden="false" customHeight="true" outlineLevel="0" collapsed="false">
      <c r="A3887" s="2" t="n">
        <f aca="false">'Raw Data'!H3887</f>
        <v>3886</v>
      </c>
      <c r="B3887" s="2" t="n">
        <f aca="false">'Raw Data'!A3887</f>
        <v>53</v>
      </c>
      <c r="C3887" s="2" t="str">
        <f aca="false">'Raw Data'!D3887</f>
        <v>Research &amp; Development</v>
      </c>
      <c r="D3887" s="2" t="str">
        <f aca="false">'Raw Data'!K3887</f>
        <v>Research Director</v>
      </c>
      <c r="E3887" s="2" t="n">
        <f aca="false">'Raw Data'!Q3887</f>
        <v>11</v>
      </c>
      <c r="F3887" s="2" t="n">
        <f aca="false">'Raw Data'!U3887</f>
        <v>2</v>
      </c>
      <c r="G3887" s="2" t="n">
        <f aca="false">'Raw Data'!W3887</f>
        <v>4</v>
      </c>
      <c r="H3887" s="2" t="n">
        <f aca="false">'Raw Data'!V3887</f>
        <v>2</v>
      </c>
      <c r="I3887" s="2" t="n">
        <f aca="false">IF(AND(ISNUMBER(B3887),B3887&lt;=25),2,0)+IF(AND(ISNUMBER(E3887),E3887&lt;=5),2,0)+IF(AND(ISNUMBER(F3887),F3887&lt;=1),2,0)+IF(AND(ISNUMBER(G3887),G3887&lt;=2),1,0)+IF(AND(ISNUMBER(H3887),H3887&lt;=2),1,0)</f>
        <v>1</v>
      </c>
      <c r="J3887" s="2" t="str">
        <f aca="false">IF(I3887&gt;=6,"High",IF(I3887&gt;=3,"Medium","Low"))</f>
        <v>Low</v>
      </c>
    </row>
    <row r="3888" customFormat="false" ht="15" hidden="false" customHeight="true" outlineLevel="0" collapsed="false">
      <c r="A3888" s="2" t="n">
        <f aca="false">'Raw Data'!H3888</f>
        <v>3887</v>
      </c>
      <c r="B3888" s="2" t="n">
        <f aca="false">'Raw Data'!A3888</f>
        <v>48</v>
      </c>
      <c r="C3888" s="2" t="str">
        <f aca="false">'Raw Data'!D3888</f>
        <v>Sales</v>
      </c>
      <c r="D3888" s="2" t="str">
        <f aca="false">'Raw Data'!K3888</f>
        <v>Healthcare Representative</v>
      </c>
      <c r="E3888" s="2" t="n">
        <f aca="false">'Raw Data'!Q3888</f>
        <v>19</v>
      </c>
      <c r="F3888" s="2" t="n">
        <f aca="false">'Raw Data'!U3888</f>
        <v>7</v>
      </c>
      <c r="G3888" s="2" t="n">
        <f aca="false">'Raw Data'!W3888</f>
        <v>3</v>
      </c>
      <c r="H3888" s="2" t="n">
        <f aca="false">'Raw Data'!V3888</f>
        <v>4</v>
      </c>
      <c r="I3888" s="2" t="n">
        <f aca="false">IF(AND(ISNUMBER(B3888),B3888&lt;=25),2,0)+IF(AND(ISNUMBER(E3888),E3888&lt;=5),2,0)+IF(AND(ISNUMBER(F3888),F3888&lt;=1),2,0)+IF(AND(ISNUMBER(G3888),G3888&lt;=2),1,0)+IF(AND(ISNUMBER(H3888),H3888&lt;=2),1,0)</f>
        <v>0</v>
      </c>
      <c r="J3888" s="2" t="str">
        <f aca="false">IF(I3888&gt;=6,"High",IF(I3888&gt;=3,"Medium","Low"))</f>
        <v>Low</v>
      </c>
    </row>
    <row r="3889" customFormat="false" ht="15" hidden="false" customHeight="true" outlineLevel="0" collapsed="false">
      <c r="A3889" s="2" t="n">
        <f aca="false">'Raw Data'!H3889</f>
        <v>3888</v>
      </c>
      <c r="B3889" s="2" t="n">
        <f aca="false">'Raw Data'!A3889</f>
        <v>32</v>
      </c>
      <c r="C3889" s="2" t="str">
        <f aca="false">'Raw Data'!D3889</f>
        <v>Sales</v>
      </c>
      <c r="D3889" s="2" t="str">
        <f aca="false">'Raw Data'!K3889</f>
        <v>Research Scientist</v>
      </c>
      <c r="E3889" s="2" t="n">
        <f aca="false">'Raw Data'!Q3889</f>
        <v>1</v>
      </c>
      <c r="F3889" s="2" t="n">
        <f aca="false">'Raw Data'!U3889</f>
        <v>0</v>
      </c>
      <c r="G3889" s="2" t="n">
        <f aca="false">'Raw Data'!W3889</f>
        <v>2</v>
      </c>
      <c r="H3889" s="2" t="n">
        <f aca="false">'Raw Data'!V3889</f>
        <v>4</v>
      </c>
      <c r="I3889" s="2" t="n">
        <f aca="false">IF(AND(ISNUMBER(B3889),B3889&lt;=25),2,0)+IF(AND(ISNUMBER(E3889),E3889&lt;=5),2,0)+IF(AND(ISNUMBER(F3889),F3889&lt;=1),2,0)+IF(AND(ISNUMBER(G3889),G3889&lt;=2),1,0)+IF(AND(ISNUMBER(H3889),H3889&lt;=2),1,0)</f>
        <v>5</v>
      </c>
      <c r="J3889" s="2" t="str">
        <f aca="false">IF(I3889&gt;=6,"High",IF(I3889&gt;=3,"Medium","Low"))</f>
        <v>Medium</v>
      </c>
    </row>
    <row r="3890" customFormat="false" ht="15" hidden="false" customHeight="true" outlineLevel="0" collapsed="false">
      <c r="A3890" s="2" t="n">
        <f aca="false">'Raw Data'!H3890</f>
        <v>3889</v>
      </c>
      <c r="B3890" s="2" t="n">
        <f aca="false">'Raw Data'!A3890</f>
        <v>26</v>
      </c>
      <c r="C3890" s="2" t="str">
        <f aca="false">'Raw Data'!D3890</f>
        <v>Research &amp; Development</v>
      </c>
      <c r="D3890" s="2" t="str">
        <f aca="false">'Raw Data'!K3890</f>
        <v>Human Resources</v>
      </c>
      <c r="E3890" s="2" t="n">
        <f aca="false">'Raw Data'!Q3890</f>
        <v>7</v>
      </c>
      <c r="F3890" s="2" t="n">
        <f aca="false">'Raw Data'!U3890</f>
        <v>7</v>
      </c>
      <c r="G3890" s="2" t="n">
        <f aca="false">'Raw Data'!W3890</f>
        <v>4</v>
      </c>
      <c r="H3890" s="2" t="n">
        <f aca="false">'Raw Data'!V3890</f>
        <v>4</v>
      </c>
      <c r="I3890" s="2" t="n">
        <f aca="false">IF(AND(ISNUMBER(B3890),B3890&lt;=25),2,0)+IF(AND(ISNUMBER(E3890),E3890&lt;=5),2,0)+IF(AND(ISNUMBER(F3890),F3890&lt;=1),2,0)+IF(AND(ISNUMBER(G3890),G3890&lt;=2),1,0)+IF(AND(ISNUMBER(H3890),H3890&lt;=2),1,0)</f>
        <v>0</v>
      </c>
      <c r="J3890" s="2" t="str">
        <f aca="false">IF(I3890&gt;=6,"High",IF(I3890&gt;=3,"Medium","Low"))</f>
        <v>Low</v>
      </c>
    </row>
    <row r="3891" customFormat="false" ht="15" hidden="false" customHeight="true" outlineLevel="0" collapsed="false">
      <c r="A3891" s="2" t="n">
        <f aca="false">'Raw Data'!H3891</f>
        <v>3890</v>
      </c>
      <c r="B3891" s="2" t="n">
        <f aca="false">'Raw Data'!A3891</f>
        <v>55</v>
      </c>
      <c r="C3891" s="2" t="str">
        <f aca="false">'Raw Data'!D3891</f>
        <v>Research &amp; Development</v>
      </c>
      <c r="D3891" s="2" t="str">
        <f aca="false">'Raw Data'!K3891</f>
        <v>Laboratory Technician</v>
      </c>
      <c r="E3891" s="2" t="n">
        <f aca="false">'Raw Data'!Q3891</f>
        <v>8</v>
      </c>
      <c r="F3891" s="2" t="n">
        <f aca="false">'Raw Data'!U3891</f>
        <v>2</v>
      </c>
      <c r="G3891" s="2" t="n">
        <f aca="false">'Raw Data'!W3891</f>
        <v>2</v>
      </c>
      <c r="H3891" s="2" t="n">
        <f aca="false">'Raw Data'!V3891</f>
        <v>1</v>
      </c>
      <c r="I3891" s="2" t="n">
        <f aca="false">IF(AND(ISNUMBER(B3891),B3891&lt;=25),2,0)+IF(AND(ISNUMBER(E3891),E3891&lt;=5),2,0)+IF(AND(ISNUMBER(F3891),F3891&lt;=1),2,0)+IF(AND(ISNUMBER(G3891),G3891&lt;=2),1,0)+IF(AND(ISNUMBER(H3891),H3891&lt;=2),1,0)</f>
        <v>2</v>
      </c>
      <c r="J3891" s="2" t="str">
        <f aca="false">IF(I3891&gt;=6,"High",IF(I3891&gt;=3,"Medium","Low"))</f>
        <v>Low</v>
      </c>
    </row>
    <row r="3892" customFormat="false" ht="15" hidden="false" customHeight="true" outlineLevel="0" collapsed="false">
      <c r="A3892" s="2" t="n">
        <f aca="false">'Raw Data'!H3892</f>
        <v>3891</v>
      </c>
      <c r="B3892" s="2" t="n">
        <f aca="false">'Raw Data'!A3892</f>
        <v>34</v>
      </c>
      <c r="C3892" s="2" t="str">
        <f aca="false">'Raw Data'!D3892</f>
        <v>Sales</v>
      </c>
      <c r="D3892" s="2" t="str">
        <f aca="false">'Raw Data'!K3892</f>
        <v>Research Scientist</v>
      </c>
      <c r="E3892" s="2" t="n">
        <f aca="false">'Raw Data'!Q3892</f>
        <v>15</v>
      </c>
      <c r="F3892" s="2" t="n">
        <f aca="false">'Raw Data'!U3892</f>
        <v>13</v>
      </c>
      <c r="G3892" s="2" t="n">
        <f aca="false">'Raw Data'!W3892</f>
        <v>4</v>
      </c>
      <c r="H3892" s="2" t="n">
        <f aca="false">'Raw Data'!V3892</f>
        <v>2</v>
      </c>
      <c r="I3892" s="2" t="n">
        <f aca="false">IF(AND(ISNUMBER(B3892),B3892&lt;=25),2,0)+IF(AND(ISNUMBER(E3892),E3892&lt;=5),2,0)+IF(AND(ISNUMBER(F3892),F3892&lt;=1),2,0)+IF(AND(ISNUMBER(G3892),G3892&lt;=2),1,0)+IF(AND(ISNUMBER(H3892),H3892&lt;=2),1,0)</f>
        <v>1</v>
      </c>
      <c r="J3892" s="2" t="str">
        <f aca="false">IF(I3892&gt;=6,"High",IF(I3892&gt;=3,"Medium","Low"))</f>
        <v>Low</v>
      </c>
    </row>
    <row r="3893" customFormat="false" ht="15" hidden="false" customHeight="true" outlineLevel="0" collapsed="false">
      <c r="A3893" s="2" t="n">
        <f aca="false">'Raw Data'!H3893</f>
        <v>3892</v>
      </c>
      <c r="B3893" s="2" t="n">
        <f aca="false">'Raw Data'!A3893</f>
        <v>60</v>
      </c>
      <c r="C3893" s="2" t="str">
        <f aca="false">'Raw Data'!D3893</f>
        <v>Sales</v>
      </c>
      <c r="D3893" s="2" t="str">
        <f aca="false">'Raw Data'!K3893</f>
        <v>Manager</v>
      </c>
      <c r="E3893" s="2" t="n">
        <f aca="false">'Raw Data'!Q3893</f>
        <v>19</v>
      </c>
      <c r="F3893" s="2" t="n">
        <f aca="false">'Raw Data'!U3893</f>
        <v>0</v>
      </c>
      <c r="G3893" s="2" t="n">
        <f aca="false">'Raw Data'!W3893</f>
        <v>4</v>
      </c>
      <c r="H3893" s="2" t="n">
        <f aca="false">'Raw Data'!V3893</f>
        <v>3</v>
      </c>
      <c r="I3893" s="2" t="n">
        <f aca="false">IF(AND(ISNUMBER(B3893),B3893&lt;=25),2,0)+IF(AND(ISNUMBER(E3893),E3893&lt;=5),2,0)+IF(AND(ISNUMBER(F3893),F3893&lt;=1),2,0)+IF(AND(ISNUMBER(G3893),G3893&lt;=2),1,0)+IF(AND(ISNUMBER(H3893),H3893&lt;=2),1,0)</f>
        <v>2</v>
      </c>
      <c r="J3893" s="2" t="str">
        <f aca="false">IF(I3893&gt;=6,"High",IF(I3893&gt;=3,"Medium","Low"))</f>
        <v>Low</v>
      </c>
    </row>
    <row r="3894" customFormat="false" ht="15" hidden="false" customHeight="true" outlineLevel="0" collapsed="false">
      <c r="A3894" s="2" t="n">
        <f aca="false">'Raw Data'!H3894</f>
        <v>3893</v>
      </c>
      <c r="B3894" s="2" t="n">
        <f aca="false">'Raw Data'!A3894</f>
        <v>33</v>
      </c>
      <c r="C3894" s="2" t="str">
        <f aca="false">'Raw Data'!D3894</f>
        <v>Sales</v>
      </c>
      <c r="D3894" s="2" t="str">
        <f aca="false">'Raw Data'!K3894</f>
        <v>Manager</v>
      </c>
      <c r="E3894" s="2" t="n">
        <f aca="false">'Raw Data'!Q3894</f>
        <v>14</v>
      </c>
      <c r="F3894" s="2" t="n">
        <f aca="false">'Raw Data'!U3894</f>
        <v>13</v>
      </c>
      <c r="G3894" s="2" t="n">
        <f aca="false">'Raw Data'!W3894</f>
        <v>2</v>
      </c>
      <c r="H3894" s="2" t="n">
        <f aca="false">'Raw Data'!V3894</f>
        <v>2</v>
      </c>
      <c r="I3894" s="2" t="n">
        <f aca="false">IF(AND(ISNUMBER(B3894),B3894&lt;=25),2,0)+IF(AND(ISNUMBER(E3894),E3894&lt;=5),2,0)+IF(AND(ISNUMBER(F3894),F3894&lt;=1),2,0)+IF(AND(ISNUMBER(G3894),G3894&lt;=2),1,0)+IF(AND(ISNUMBER(H3894),H3894&lt;=2),1,0)</f>
        <v>2</v>
      </c>
      <c r="J3894" s="2" t="str">
        <f aca="false">IF(I3894&gt;=6,"High",IF(I3894&gt;=3,"Medium","Low"))</f>
        <v>Low</v>
      </c>
    </row>
    <row r="3895" customFormat="false" ht="15" hidden="false" customHeight="true" outlineLevel="0" collapsed="false">
      <c r="A3895" s="2" t="n">
        <f aca="false">'Raw Data'!H3895</f>
        <v>3894</v>
      </c>
      <c r="B3895" s="2" t="n">
        <f aca="false">'Raw Data'!A3895</f>
        <v>37</v>
      </c>
      <c r="C3895" s="2" t="str">
        <f aca="false">'Raw Data'!D3895</f>
        <v>Research &amp; Development</v>
      </c>
      <c r="D3895" s="2" t="str">
        <f aca="false">'Raw Data'!K3895</f>
        <v>Laboratory Technician</v>
      </c>
      <c r="E3895" s="2" t="n">
        <f aca="false">'Raw Data'!Q3895</f>
        <v>6</v>
      </c>
      <c r="F3895" s="2" t="n">
        <f aca="false">'Raw Data'!U3895</f>
        <v>3</v>
      </c>
      <c r="G3895" s="2" t="n">
        <f aca="false">'Raw Data'!W3895</f>
        <v>4</v>
      </c>
      <c r="H3895" s="2" t="n">
        <f aca="false">'Raw Data'!V3895</f>
        <v>3</v>
      </c>
      <c r="I3895" s="2" t="n">
        <f aca="false">IF(AND(ISNUMBER(B3895),B3895&lt;=25),2,0)+IF(AND(ISNUMBER(E3895),E3895&lt;=5),2,0)+IF(AND(ISNUMBER(F3895),F3895&lt;=1),2,0)+IF(AND(ISNUMBER(G3895),G3895&lt;=2),1,0)+IF(AND(ISNUMBER(H3895),H3895&lt;=2),1,0)</f>
        <v>0</v>
      </c>
      <c r="J3895" s="2" t="str">
        <f aca="false">IF(I3895&gt;=6,"High",IF(I3895&gt;=3,"Medium","Low"))</f>
        <v>Low</v>
      </c>
    </row>
    <row r="3896" customFormat="false" ht="15" hidden="false" customHeight="true" outlineLevel="0" collapsed="false">
      <c r="A3896" s="2" t="n">
        <f aca="false">'Raw Data'!H3896</f>
        <v>3895</v>
      </c>
      <c r="B3896" s="2" t="n">
        <f aca="false">'Raw Data'!A3896</f>
        <v>34</v>
      </c>
      <c r="C3896" s="2" t="str">
        <f aca="false">'Raw Data'!D3896</f>
        <v>Research &amp; Development</v>
      </c>
      <c r="D3896" s="2" t="str">
        <f aca="false">'Raw Data'!K3896</f>
        <v>Healthcare Representative</v>
      </c>
      <c r="E3896" s="2" t="n">
        <f aca="false">'Raw Data'!Q3896</f>
        <v>10</v>
      </c>
      <c r="F3896" s="2" t="n">
        <f aca="false">'Raw Data'!U3896</f>
        <v>7</v>
      </c>
      <c r="G3896" s="2" t="n">
        <f aca="false">'Raw Data'!W3896</f>
        <v>4</v>
      </c>
      <c r="H3896" s="2" t="n">
        <f aca="false">'Raw Data'!V3896</f>
        <v>2</v>
      </c>
      <c r="I3896" s="2" t="n">
        <f aca="false">IF(AND(ISNUMBER(B3896),B3896&lt;=25),2,0)+IF(AND(ISNUMBER(E3896),E3896&lt;=5),2,0)+IF(AND(ISNUMBER(F3896),F3896&lt;=1),2,0)+IF(AND(ISNUMBER(G3896),G3896&lt;=2),1,0)+IF(AND(ISNUMBER(H3896),H3896&lt;=2),1,0)</f>
        <v>1</v>
      </c>
      <c r="J3896" s="2" t="str">
        <f aca="false">IF(I3896&gt;=6,"High",IF(I3896&gt;=3,"Medium","Low"))</f>
        <v>Low</v>
      </c>
    </row>
    <row r="3897" customFormat="false" ht="15" hidden="false" customHeight="true" outlineLevel="0" collapsed="false">
      <c r="A3897" s="2" t="n">
        <f aca="false">'Raw Data'!H3897</f>
        <v>3896</v>
      </c>
      <c r="B3897" s="2" t="n">
        <f aca="false">'Raw Data'!A3897</f>
        <v>23</v>
      </c>
      <c r="C3897" s="2" t="str">
        <f aca="false">'Raw Data'!D3897</f>
        <v>Research &amp; Development</v>
      </c>
      <c r="D3897" s="2" t="str">
        <f aca="false">'Raw Data'!K3897</f>
        <v>Research Scientist</v>
      </c>
      <c r="E3897" s="2" t="n">
        <f aca="false">'Raw Data'!Q3897</f>
        <v>3</v>
      </c>
      <c r="F3897" s="2" t="n">
        <f aca="false">'Raw Data'!U3897</f>
        <v>2</v>
      </c>
      <c r="G3897" s="2" t="n">
        <f aca="false">'Raw Data'!W3897</f>
        <v>4</v>
      </c>
      <c r="H3897" s="2" t="n">
        <f aca="false">'Raw Data'!V3897</f>
        <v>3</v>
      </c>
      <c r="I3897" s="2" t="n">
        <f aca="false">IF(AND(ISNUMBER(B3897),B3897&lt;=25),2,0)+IF(AND(ISNUMBER(E3897),E3897&lt;=5),2,0)+IF(AND(ISNUMBER(F3897),F3897&lt;=1),2,0)+IF(AND(ISNUMBER(G3897),G3897&lt;=2),1,0)+IF(AND(ISNUMBER(H3897),H3897&lt;=2),1,0)</f>
        <v>4</v>
      </c>
      <c r="J3897" s="2" t="str">
        <f aca="false">IF(I3897&gt;=6,"High",IF(I3897&gt;=3,"Medium","Low"))</f>
        <v>Medium</v>
      </c>
    </row>
    <row r="3898" customFormat="false" ht="15" hidden="false" customHeight="true" outlineLevel="0" collapsed="false">
      <c r="A3898" s="2" t="n">
        <f aca="false">'Raw Data'!H3898</f>
        <v>3897</v>
      </c>
      <c r="B3898" s="2" t="n">
        <f aca="false">'Raw Data'!A3898</f>
        <v>44</v>
      </c>
      <c r="C3898" s="2" t="str">
        <f aca="false">'Raw Data'!D3898</f>
        <v>Human Resources</v>
      </c>
      <c r="D3898" s="2" t="str">
        <f aca="false">'Raw Data'!K3898</f>
        <v>Research Scientist</v>
      </c>
      <c r="E3898" s="2" t="n">
        <f aca="false">'Raw Data'!Q3898</f>
        <v>9</v>
      </c>
      <c r="F3898" s="2" t="n">
        <f aca="false">'Raw Data'!U3898</f>
        <v>7</v>
      </c>
      <c r="G3898" s="2" t="n">
        <f aca="false">'Raw Data'!W3898</f>
        <v>4</v>
      </c>
      <c r="H3898" s="2" t="n">
        <f aca="false">'Raw Data'!V3898</f>
        <v>3</v>
      </c>
      <c r="I3898" s="2" t="n">
        <f aca="false">IF(AND(ISNUMBER(B3898),B3898&lt;=25),2,0)+IF(AND(ISNUMBER(E3898),E3898&lt;=5),2,0)+IF(AND(ISNUMBER(F3898),F3898&lt;=1),2,0)+IF(AND(ISNUMBER(G3898),G3898&lt;=2),1,0)+IF(AND(ISNUMBER(H3898),H3898&lt;=2),1,0)</f>
        <v>0</v>
      </c>
      <c r="J3898" s="2" t="str">
        <f aca="false">IF(I3898&gt;=6,"High",IF(I3898&gt;=3,"Medium","Low"))</f>
        <v>Low</v>
      </c>
    </row>
    <row r="3899" customFormat="false" ht="15" hidden="false" customHeight="true" outlineLevel="0" collapsed="false">
      <c r="A3899" s="2" t="n">
        <f aca="false">'Raw Data'!H3899</f>
        <v>3898</v>
      </c>
      <c r="B3899" s="2" t="n">
        <f aca="false">'Raw Data'!A3899</f>
        <v>35</v>
      </c>
      <c r="C3899" s="2" t="str">
        <f aca="false">'Raw Data'!D3899</f>
        <v>Research &amp; Development</v>
      </c>
      <c r="D3899" s="2" t="str">
        <f aca="false">'Raw Data'!K3899</f>
        <v>Sales Executive</v>
      </c>
      <c r="E3899" s="2" t="n">
        <f aca="false">'Raw Data'!Q3899</f>
        <v>6</v>
      </c>
      <c r="F3899" s="2" t="n">
        <f aca="false">'Raw Data'!U3899</f>
        <v>4</v>
      </c>
      <c r="G3899" s="2" t="n">
        <f aca="false">'Raw Data'!W3899</f>
        <v>4</v>
      </c>
      <c r="H3899" s="2" t="n">
        <f aca="false">'Raw Data'!V3899</f>
        <v>1</v>
      </c>
      <c r="I3899" s="2" t="n">
        <f aca="false">IF(AND(ISNUMBER(B3899),B3899&lt;=25),2,0)+IF(AND(ISNUMBER(E3899),E3899&lt;=5),2,0)+IF(AND(ISNUMBER(F3899),F3899&lt;=1),2,0)+IF(AND(ISNUMBER(G3899),G3899&lt;=2),1,0)+IF(AND(ISNUMBER(H3899),H3899&lt;=2),1,0)</f>
        <v>1</v>
      </c>
      <c r="J3899" s="2" t="str">
        <f aca="false">IF(I3899&gt;=6,"High",IF(I3899&gt;=3,"Medium","Low"))</f>
        <v>Low</v>
      </c>
    </row>
    <row r="3900" customFormat="false" ht="15" hidden="false" customHeight="true" outlineLevel="0" collapsed="false">
      <c r="A3900" s="2" t="n">
        <f aca="false">'Raw Data'!H3900</f>
        <v>3899</v>
      </c>
      <c r="B3900" s="2" t="n">
        <f aca="false">'Raw Data'!A3900</f>
        <v>43</v>
      </c>
      <c r="C3900" s="2" t="str">
        <f aca="false">'Raw Data'!D3900</f>
        <v>Research &amp; Development</v>
      </c>
      <c r="D3900" s="2" t="str">
        <f aca="false">'Raw Data'!K3900</f>
        <v>Sales Executive</v>
      </c>
      <c r="E3900" s="2" t="n">
        <f aca="false">'Raw Data'!Q3900</f>
        <v>10</v>
      </c>
      <c r="F3900" s="2" t="n">
        <f aca="false">'Raw Data'!U3900</f>
        <v>8</v>
      </c>
      <c r="G3900" s="2" t="n">
        <f aca="false">'Raw Data'!W3900</f>
        <v>4</v>
      </c>
      <c r="H3900" s="2" t="n">
        <f aca="false">'Raw Data'!V3900</f>
        <v>4</v>
      </c>
      <c r="I3900" s="2" t="n">
        <f aca="false">IF(AND(ISNUMBER(B3900),B3900&lt;=25),2,0)+IF(AND(ISNUMBER(E3900),E3900&lt;=5),2,0)+IF(AND(ISNUMBER(F3900),F3900&lt;=1),2,0)+IF(AND(ISNUMBER(G3900),G3900&lt;=2),1,0)+IF(AND(ISNUMBER(H3900),H3900&lt;=2),1,0)</f>
        <v>0</v>
      </c>
      <c r="J3900" s="2" t="str">
        <f aca="false">IF(I3900&gt;=6,"High",IF(I3900&gt;=3,"Medium","Low"))</f>
        <v>Low</v>
      </c>
    </row>
    <row r="3901" customFormat="false" ht="15" hidden="false" customHeight="true" outlineLevel="0" collapsed="false">
      <c r="A3901" s="2" t="n">
        <f aca="false">'Raw Data'!H3901</f>
        <v>3900</v>
      </c>
      <c r="B3901" s="2" t="n">
        <f aca="false">'Raw Data'!A3901</f>
        <v>24</v>
      </c>
      <c r="C3901" s="2" t="str">
        <f aca="false">'Raw Data'!D3901</f>
        <v>Research &amp; Development</v>
      </c>
      <c r="D3901" s="2" t="str">
        <f aca="false">'Raw Data'!K3901</f>
        <v>Sales Executive</v>
      </c>
      <c r="E3901" s="2" t="n">
        <f aca="false">'Raw Data'!Q3901</f>
        <v>5</v>
      </c>
      <c r="F3901" s="2" t="n">
        <f aca="false">'Raw Data'!U3901</f>
        <v>4</v>
      </c>
      <c r="G3901" s="2" t="n">
        <f aca="false">'Raw Data'!W3901</f>
        <v>3</v>
      </c>
      <c r="H3901" s="2" t="n">
        <f aca="false">'Raw Data'!V3901</f>
        <v>3</v>
      </c>
      <c r="I3901" s="2" t="n">
        <f aca="false">IF(AND(ISNUMBER(B3901),B3901&lt;=25),2,0)+IF(AND(ISNUMBER(E3901),E3901&lt;=5),2,0)+IF(AND(ISNUMBER(F3901),F3901&lt;=1),2,0)+IF(AND(ISNUMBER(G3901),G3901&lt;=2),1,0)+IF(AND(ISNUMBER(H3901),H3901&lt;=2),1,0)</f>
        <v>4</v>
      </c>
      <c r="J3901" s="2" t="str">
        <f aca="false">IF(I3901&gt;=6,"High",IF(I3901&gt;=3,"Medium","Low"))</f>
        <v>Medium</v>
      </c>
    </row>
    <row r="3902" customFormat="false" ht="15" hidden="false" customHeight="true" outlineLevel="0" collapsed="false">
      <c r="A3902" s="2" t="n">
        <f aca="false">'Raw Data'!H3902</f>
        <v>3901</v>
      </c>
      <c r="B3902" s="2" t="n">
        <f aca="false">'Raw Data'!A3902</f>
        <v>41</v>
      </c>
      <c r="C3902" s="2" t="str">
        <f aca="false">'Raw Data'!D3902</f>
        <v>Sales</v>
      </c>
      <c r="D3902" s="2" t="str">
        <f aca="false">'Raw Data'!K3902</f>
        <v>Research Scientist</v>
      </c>
      <c r="E3902" s="2" t="n">
        <f aca="false">'Raw Data'!Q3902</f>
        <v>10</v>
      </c>
      <c r="F3902" s="2" t="n">
        <f aca="false">'Raw Data'!U3902</f>
        <v>7</v>
      </c>
      <c r="G3902" s="2" t="n">
        <f aca="false">'Raw Data'!W3902</f>
        <v>3</v>
      </c>
      <c r="H3902" s="2" t="n">
        <f aca="false">'Raw Data'!V3902</f>
        <v>4</v>
      </c>
      <c r="I3902" s="2" t="n">
        <f aca="false">IF(AND(ISNUMBER(B3902),B3902&lt;=25),2,0)+IF(AND(ISNUMBER(E3902),E3902&lt;=5),2,0)+IF(AND(ISNUMBER(F3902),F3902&lt;=1),2,0)+IF(AND(ISNUMBER(G3902),G3902&lt;=2),1,0)+IF(AND(ISNUMBER(H3902),H3902&lt;=2),1,0)</f>
        <v>0</v>
      </c>
      <c r="J3902" s="2" t="str">
        <f aca="false">IF(I3902&gt;=6,"High",IF(I3902&gt;=3,"Medium","Low"))</f>
        <v>Low</v>
      </c>
    </row>
    <row r="3903" customFormat="false" ht="15" hidden="false" customHeight="true" outlineLevel="0" collapsed="false">
      <c r="A3903" s="2" t="n">
        <f aca="false">'Raw Data'!H3903</f>
        <v>3902</v>
      </c>
      <c r="B3903" s="2" t="n">
        <f aca="false">'Raw Data'!A3903</f>
        <v>29</v>
      </c>
      <c r="C3903" s="2" t="str">
        <f aca="false">'Raw Data'!D3903</f>
        <v>Research &amp; Development</v>
      </c>
      <c r="D3903" s="2" t="str">
        <f aca="false">'Raw Data'!K3903</f>
        <v>Research Scientist</v>
      </c>
      <c r="E3903" s="2" t="n">
        <f aca="false">'Raw Data'!Q3903</f>
        <v>9</v>
      </c>
      <c r="F3903" s="2" t="n">
        <f aca="false">'Raw Data'!U3903</f>
        <v>2</v>
      </c>
      <c r="G3903" s="2" t="n">
        <f aca="false">'Raw Data'!W3903</f>
        <v>3</v>
      </c>
      <c r="H3903" s="2" t="n">
        <f aca="false">'Raw Data'!V3903</f>
        <v>4</v>
      </c>
      <c r="I3903" s="2" t="n">
        <f aca="false">IF(AND(ISNUMBER(B3903),B3903&lt;=25),2,0)+IF(AND(ISNUMBER(E3903),E3903&lt;=5),2,0)+IF(AND(ISNUMBER(F3903),F3903&lt;=1),2,0)+IF(AND(ISNUMBER(G3903),G3903&lt;=2),1,0)+IF(AND(ISNUMBER(H3903),H3903&lt;=2),1,0)</f>
        <v>0</v>
      </c>
      <c r="J3903" s="2" t="str">
        <f aca="false">IF(I3903&gt;=6,"High",IF(I3903&gt;=3,"Medium","Low"))</f>
        <v>Low</v>
      </c>
    </row>
    <row r="3904" customFormat="false" ht="15" hidden="false" customHeight="true" outlineLevel="0" collapsed="false">
      <c r="A3904" s="2" t="n">
        <f aca="false">'Raw Data'!H3904</f>
        <v>3903</v>
      </c>
      <c r="B3904" s="2" t="n">
        <f aca="false">'Raw Data'!A3904</f>
        <v>36</v>
      </c>
      <c r="C3904" s="2" t="str">
        <f aca="false">'Raw Data'!D3904</f>
        <v>Human Resources</v>
      </c>
      <c r="D3904" s="2" t="str">
        <f aca="false">'Raw Data'!K3904</f>
        <v>Research Scientist</v>
      </c>
      <c r="E3904" s="2" t="n">
        <f aca="false">'Raw Data'!Q3904</f>
        <v>17</v>
      </c>
      <c r="F3904" s="2" t="n">
        <f aca="false">'Raw Data'!U3904</f>
        <v>7</v>
      </c>
      <c r="G3904" s="2" t="n">
        <f aca="false">'Raw Data'!W3904</f>
        <v>4</v>
      </c>
      <c r="H3904" s="2" t="n">
        <f aca="false">'Raw Data'!V3904</f>
        <v>3</v>
      </c>
      <c r="I3904" s="2" t="n">
        <f aca="false">IF(AND(ISNUMBER(B3904),B3904&lt;=25),2,0)+IF(AND(ISNUMBER(E3904),E3904&lt;=5),2,0)+IF(AND(ISNUMBER(F3904),F3904&lt;=1),2,0)+IF(AND(ISNUMBER(G3904),G3904&lt;=2),1,0)+IF(AND(ISNUMBER(H3904),H3904&lt;=2),1,0)</f>
        <v>0</v>
      </c>
      <c r="J3904" s="2" t="str">
        <f aca="false">IF(I3904&gt;=6,"High",IF(I3904&gt;=3,"Medium","Low"))</f>
        <v>Low</v>
      </c>
    </row>
    <row r="3905" customFormat="false" ht="15" hidden="false" customHeight="true" outlineLevel="0" collapsed="false">
      <c r="A3905" s="2" t="n">
        <f aca="false">'Raw Data'!H3905</f>
        <v>3904</v>
      </c>
      <c r="B3905" s="2" t="n">
        <f aca="false">'Raw Data'!A3905</f>
        <v>45</v>
      </c>
      <c r="C3905" s="2" t="str">
        <f aca="false">'Raw Data'!D3905</f>
        <v>Sales</v>
      </c>
      <c r="D3905" s="2" t="str">
        <f aca="false">'Raw Data'!K3905</f>
        <v>Manufacturing Director</v>
      </c>
      <c r="E3905" s="2" t="n">
        <f aca="false">'Raw Data'!Q3905</f>
        <v>25</v>
      </c>
      <c r="F3905" s="2" t="n">
        <f aca="false">'Raw Data'!U3905</f>
        <v>4</v>
      </c>
      <c r="G3905" s="2" t="n">
        <f aca="false">'Raw Data'!W3905</f>
        <v>3</v>
      </c>
      <c r="H3905" s="2" t="n">
        <f aca="false">'Raw Data'!V3905</f>
        <v>3</v>
      </c>
      <c r="I3905" s="2" t="n">
        <f aca="false">IF(AND(ISNUMBER(B3905),B3905&lt;=25),2,0)+IF(AND(ISNUMBER(E3905),E3905&lt;=5),2,0)+IF(AND(ISNUMBER(F3905),F3905&lt;=1),2,0)+IF(AND(ISNUMBER(G3905),G3905&lt;=2),1,0)+IF(AND(ISNUMBER(H3905),H3905&lt;=2),1,0)</f>
        <v>0</v>
      </c>
      <c r="J3905" s="2" t="str">
        <f aca="false">IF(I3905&gt;=6,"High",IF(I3905&gt;=3,"Medium","Low"))</f>
        <v>Low</v>
      </c>
    </row>
    <row r="3906" customFormat="false" ht="15" hidden="false" customHeight="true" outlineLevel="0" collapsed="false">
      <c r="A3906" s="2" t="n">
        <f aca="false">'Raw Data'!H3906</f>
        <v>3905</v>
      </c>
      <c r="B3906" s="2" t="n">
        <f aca="false">'Raw Data'!A3906</f>
        <v>24</v>
      </c>
      <c r="C3906" s="2" t="str">
        <f aca="false">'Raw Data'!D3906</f>
        <v>Sales</v>
      </c>
      <c r="D3906" s="2" t="str">
        <f aca="false">'Raw Data'!K3906</f>
        <v>Manager</v>
      </c>
      <c r="E3906" s="2" t="n">
        <f aca="false">'Raw Data'!Q3906</f>
        <v>1</v>
      </c>
      <c r="F3906" s="2" t="n">
        <f aca="false">'Raw Data'!U3906</f>
        <v>0</v>
      </c>
      <c r="G3906" s="2" t="n">
        <f aca="false">'Raw Data'!W3906</f>
        <v>3</v>
      </c>
      <c r="H3906" s="2" t="n">
        <f aca="false">'Raw Data'!V3906</f>
        <v>4</v>
      </c>
      <c r="I3906" s="2" t="n">
        <f aca="false">IF(AND(ISNUMBER(B3906),B3906&lt;=25),2,0)+IF(AND(ISNUMBER(E3906),E3906&lt;=5),2,0)+IF(AND(ISNUMBER(F3906),F3906&lt;=1),2,0)+IF(AND(ISNUMBER(G3906),G3906&lt;=2),1,0)+IF(AND(ISNUMBER(H3906),H3906&lt;=2),1,0)</f>
        <v>6</v>
      </c>
      <c r="J3906" s="2" t="str">
        <f aca="false">IF(I3906&gt;=6,"High",IF(I3906&gt;=3,"Medium","Low"))</f>
        <v>High</v>
      </c>
    </row>
    <row r="3907" customFormat="false" ht="15" hidden="false" customHeight="true" outlineLevel="0" collapsed="false">
      <c r="A3907" s="2" t="n">
        <f aca="false">'Raw Data'!H3907</f>
        <v>3906</v>
      </c>
      <c r="B3907" s="2" t="n">
        <f aca="false">'Raw Data'!A3907</f>
        <v>47</v>
      </c>
      <c r="C3907" s="2" t="str">
        <f aca="false">'Raw Data'!D3907</f>
        <v>Research &amp; Development</v>
      </c>
      <c r="D3907" s="2" t="str">
        <f aca="false">'Raw Data'!K3907</f>
        <v>Sales Executive</v>
      </c>
      <c r="E3907" s="2" t="n">
        <f aca="false">'Raw Data'!Q3907</f>
        <v>25</v>
      </c>
      <c r="F3907" s="2" t="n">
        <f aca="false">'Raw Data'!U3907</f>
        <v>10</v>
      </c>
      <c r="G3907" s="2" t="n">
        <f aca="false">'Raw Data'!W3907</f>
        <v>3</v>
      </c>
      <c r="H3907" s="2" t="n">
        <f aca="false">'Raw Data'!V3907</f>
        <v>3</v>
      </c>
      <c r="I3907" s="2" t="n">
        <f aca="false">IF(AND(ISNUMBER(B3907),B3907&lt;=25),2,0)+IF(AND(ISNUMBER(E3907),E3907&lt;=5),2,0)+IF(AND(ISNUMBER(F3907),F3907&lt;=1),2,0)+IF(AND(ISNUMBER(G3907),G3907&lt;=2),1,0)+IF(AND(ISNUMBER(H3907),H3907&lt;=2),1,0)</f>
        <v>0</v>
      </c>
      <c r="J3907" s="2" t="str">
        <f aca="false">IF(I3907&gt;=6,"High",IF(I3907&gt;=3,"Medium","Low"))</f>
        <v>Low</v>
      </c>
    </row>
    <row r="3908" customFormat="false" ht="15" hidden="false" customHeight="true" outlineLevel="0" collapsed="false">
      <c r="A3908" s="2" t="n">
        <f aca="false">'Raw Data'!H3908</f>
        <v>3907</v>
      </c>
      <c r="B3908" s="2" t="n">
        <f aca="false">'Raw Data'!A3908</f>
        <v>26</v>
      </c>
      <c r="C3908" s="2" t="str">
        <f aca="false">'Raw Data'!D3908</f>
        <v>Research &amp; Development</v>
      </c>
      <c r="D3908" s="2" t="str">
        <f aca="false">'Raw Data'!K3908</f>
        <v>Sales Executive</v>
      </c>
      <c r="E3908" s="2" t="n">
        <f aca="false">'Raw Data'!Q3908</f>
        <v>3</v>
      </c>
      <c r="F3908" s="2" t="n">
        <f aca="false">'Raw Data'!U3908</f>
        <v>2</v>
      </c>
      <c r="G3908" s="2" t="n">
        <f aca="false">'Raw Data'!W3908</f>
        <v>3</v>
      </c>
      <c r="H3908" s="2" t="n">
        <f aca="false">'Raw Data'!V3908</f>
        <v>4</v>
      </c>
      <c r="I3908" s="2" t="n">
        <f aca="false">IF(AND(ISNUMBER(B3908),B3908&lt;=25),2,0)+IF(AND(ISNUMBER(E3908),E3908&lt;=5),2,0)+IF(AND(ISNUMBER(F3908),F3908&lt;=1),2,0)+IF(AND(ISNUMBER(G3908),G3908&lt;=2),1,0)+IF(AND(ISNUMBER(H3908),H3908&lt;=2),1,0)</f>
        <v>2</v>
      </c>
      <c r="J3908" s="2" t="str">
        <f aca="false">IF(I3908&gt;=6,"High",IF(I3908&gt;=3,"Medium","Low"))</f>
        <v>Low</v>
      </c>
    </row>
    <row r="3909" customFormat="false" ht="15" hidden="false" customHeight="true" outlineLevel="0" collapsed="false">
      <c r="A3909" s="2" t="n">
        <f aca="false">'Raw Data'!H3909</f>
        <v>3908</v>
      </c>
      <c r="B3909" s="2" t="n">
        <f aca="false">'Raw Data'!A3909</f>
        <v>45</v>
      </c>
      <c r="C3909" s="2" t="str">
        <f aca="false">'Raw Data'!D3909</f>
        <v>Research &amp; Development</v>
      </c>
      <c r="D3909" s="2" t="str">
        <f aca="false">'Raw Data'!K3909</f>
        <v>Research Director</v>
      </c>
      <c r="E3909" s="2" t="n">
        <f aca="false">'Raw Data'!Q3909</f>
        <v>21</v>
      </c>
      <c r="F3909" s="2" t="n">
        <f aca="false">'Raw Data'!U3909</f>
        <v>6</v>
      </c>
      <c r="G3909" s="2" t="n">
        <f aca="false">'Raw Data'!W3909</f>
        <v>2</v>
      </c>
      <c r="H3909" s="2" t="n">
        <f aca="false">'Raw Data'!V3909</f>
        <v>4</v>
      </c>
      <c r="I3909" s="2" t="n">
        <f aca="false">IF(AND(ISNUMBER(B3909),B3909&lt;=25),2,0)+IF(AND(ISNUMBER(E3909),E3909&lt;=5),2,0)+IF(AND(ISNUMBER(F3909),F3909&lt;=1),2,0)+IF(AND(ISNUMBER(G3909),G3909&lt;=2),1,0)+IF(AND(ISNUMBER(H3909),H3909&lt;=2),1,0)</f>
        <v>1</v>
      </c>
      <c r="J3909" s="2" t="str">
        <f aca="false">IF(I3909&gt;=6,"High",IF(I3909&gt;=3,"Medium","Low"))</f>
        <v>Low</v>
      </c>
    </row>
    <row r="3910" customFormat="false" ht="15" hidden="false" customHeight="true" outlineLevel="0" collapsed="false">
      <c r="A3910" s="2" t="n">
        <f aca="false">'Raw Data'!H3910</f>
        <v>3909</v>
      </c>
      <c r="B3910" s="2" t="n">
        <f aca="false">'Raw Data'!A3910</f>
        <v>32</v>
      </c>
      <c r="C3910" s="2" t="str">
        <f aca="false">'Raw Data'!D3910</f>
        <v>Sales</v>
      </c>
      <c r="D3910" s="2" t="str">
        <f aca="false">'Raw Data'!K3910</f>
        <v>Laboratory Technician</v>
      </c>
      <c r="E3910" s="2" t="n">
        <f aca="false">'Raw Data'!Q3910</f>
        <v>10</v>
      </c>
      <c r="F3910" s="2" t="n">
        <f aca="false">'Raw Data'!U3910</f>
        <v>3</v>
      </c>
      <c r="G3910" s="2" t="n">
        <f aca="false">'Raw Data'!W3910</f>
        <v>3</v>
      </c>
      <c r="H3910" s="2" t="n">
        <f aca="false">'Raw Data'!V3910</f>
        <v>1</v>
      </c>
      <c r="I3910" s="2" t="n">
        <f aca="false">IF(AND(ISNUMBER(B3910),B3910&lt;=25),2,0)+IF(AND(ISNUMBER(E3910),E3910&lt;=5),2,0)+IF(AND(ISNUMBER(F3910),F3910&lt;=1),2,0)+IF(AND(ISNUMBER(G3910),G3910&lt;=2),1,0)+IF(AND(ISNUMBER(H3910),H3910&lt;=2),1,0)</f>
        <v>1</v>
      </c>
      <c r="J3910" s="2" t="str">
        <f aca="false">IF(I3910&gt;=6,"High",IF(I3910&gt;=3,"Medium","Low"))</f>
        <v>Low</v>
      </c>
    </row>
    <row r="3911" customFormat="false" ht="15" hidden="false" customHeight="true" outlineLevel="0" collapsed="false">
      <c r="A3911" s="2" t="n">
        <f aca="false">'Raw Data'!H3911</f>
        <v>3910</v>
      </c>
      <c r="B3911" s="2" t="n">
        <f aca="false">'Raw Data'!A3911</f>
        <v>31</v>
      </c>
      <c r="C3911" s="2" t="str">
        <f aca="false">'Raw Data'!D3911</f>
        <v>Research &amp; Development</v>
      </c>
      <c r="D3911" s="2" t="str">
        <f aca="false">'Raw Data'!K3911</f>
        <v>Sales Executive</v>
      </c>
      <c r="E3911" s="2" t="n">
        <f aca="false">'Raw Data'!Q3911</f>
        <v>6</v>
      </c>
      <c r="F3911" s="2" t="n">
        <f aca="false">'Raw Data'!U3911</f>
        <v>3</v>
      </c>
      <c r="G3911" s="2" t="n">
        <f aca="false">'Raw Data'!W3911</f>
        <v>3</v>
      </c>
      <c r="H3911" s="2" t="n">
        <f aca="false">'Raw Data'!V3911</f>
        <v>2</v>
      </c>
      <c r="I3911" s="2" t="n">
        <f aca="false">IF(AND(ISNUMBER(B3911),B3911&lt;=25),2,0)+IF(AND(ISNUMBER(E3911),E3911&lt;=5),2,0)+IF(AND(ISNUMBER(F3911),F3911&lt;=1),2,0)+IF(AND(ISNUMBER(G3911),G3911&lt;=2),1,0)+IF(AND(ISNUMBER(H3911),H3911&lt;=2),1,0)</f>
        <v>1</v>
      </c>
      <c r="J3911" s="2" t="str">
        <f aca="false">IF(I3911&gt;=6,"High",IF(I3911&gt;=3,"Medium","Low"))</f>
        <v>Low</v>
      </c>
    </row>
    <row r="3912" customFormat="false" ht="15" hidden="false" customHeight="true" outlineLevel="0" collapsed="false">
      <c r="A3912" s="2" t="n">
        <f aca="false">'Raw Data'!H3912</f>
        <v>3911</v>
      </c>
      <c r="B3912" s="2" t="n">
        <f aca="false">'Raw Data'!A3912</f>
        <v>41</v>
      </c>
      <c r="C3912" s="2" t="str">
        <f aca="false">'Raw Data'!D3912</f>
        <v>Sales</v>
      </c>
      <c r="D3912" s="2" t="str">
        <f aca="false">'Raw Data'!K3912</f>
        <v>Research Scientist</v>
      </c>
      <c r="E3912" s="2" t="n">
        <f aca="false">'Raw Data'!Q3912</f>
        <v>10</v>
      </c>
      <c r="F3912" s="2" t="n">
        <f aca="false">'Raw Data'!U3912</f>
        <v>2</v>
      </c>
      <c r="G3912" s="2" t="n">
        <f aca="false">'Raw Data'!W3912</f>
        <v>2</v>
      </c>
      <c r="H3912" s="2" t="n">
        <f aca="false">'Raw Data'!V3912</f>
        <v>3</v>
      </c>
      <c r="I3912" s="2" t="n">
        <f aca="false">IF(AND(ISNUMBER(B3912),B3912&lt;=25),2,0)+IF(AND(ISNUMBER(E3912),E3912&lt;=5),2,0)+IF(AND(ISNUMBER(F3912),F3912&lt;=1),2,0)+IF(AND(ISNUMBER(G3912),G3912&lt;=2),1,0)+IF(AND(ISNUMBER(H3912),H3912&lt;=2),1,0)</f>
        <v>1</v>
      </c>
      <c r="J3912" s="2" t="str">
        <f aca="false">IF(I3912&gt;=6,"High",IF(I3912&gt;=3,"Medium","Low"))</f>
        <v>Low</v>
      </c>
    </row>
    <row r="3913" customFormat="false" ht="15" hidden="false" customHeight="true" outlineLevel="0" collapsed="false">
      <c r="A3913" s="2" t="n">
        <f aca="false">'Raw Data'!H3913</f>
        <v>3912</v>
      </c>
      <c r="B3913" s="2" t="n">
        <f aca="false">'Raw Data'!A3913</f>
        <v>40</v>
      </c>
      <c r="C3913" s="2" t="str">
        <f aca="false">'Raw Data'!D3913</f>
        <v>Research &amp; Development</v>
      </c>
      <c r="D3913" s="2" t="str">
        <f aca="false">'Raw Data'!K3913</f>
        <v>Healthcare Representative</v>
      </c>
      <c r="E3913" s="2" t="n">
        <f aca="false">'Raw Data'!Q3913</f>
        <v>18</v>
      </c>
      <c r="F3913" s="2" t="n">
        <f aca="false">'Raw Data'!U3913</f>
        <v>0</v>
      </c>
      <c r="G3913" s="2" t="n">
        <f aca="false">'Raw Data'!W3913</f>
        <v>1</v>
      </c>
      <c r="H3913" s="2" t="n">
        <f aca="false">'Raw Data'!V3913</f>
        <v>2</v>
      </c>
      <c r="I3913" s="2" t="n">
        <f aca="false">IF(AND(ISNUMBER(B3913),B3913&lt;=25),2,0)+IF(AND(ISNUMBER(E3913),E3913&lt;=5),2,0)+IF(AND(ISNUMBER(F3913),F3913&lt;=1),2,0)+IF(AND(ISNUMBER(G3913),G3913&lt;=2),1,0)+IF(AND(ISNUMBER(H3913),H3913&lt;=2),1,0)</f>
        <v>4</v>
      </c>
      <c r="J3913" s="2" t="str">
        <f aca="false">IF(I3913&gt;=6,"High",IF(I3913&gt;=3,"Medium","Low"))</f>
        <v>Medium</v>
      </c>
    </row>
    <row r="3914" customFormat="false" ht="15" hidden="false" customHeight="true" outlineLevel="0" collapsed="false">
      <c r="A3914" s="2" t="n">
        <f aca="false">'Raw Data'!H3914</f>
        <v>3913</v>
      </c>
      <c r="B3914" s="2" t="n">
        <f aca="false">'Raw Data'!A3914</f>
        <v>24</v>
      </c>
      <c r="C3914" s="2" t="str">
        <f aca="false">'Raw Data'!D3914</f>
        <v>Research &amp; Development</v>
      </c>
      <c r="D3914" s="2" t="str">
        <f aca="false">'Raw Data'!K3914</f>
        <v>Research Scientist</v>
      </c>
      <c r="E3914" s="2" t="n">
        <f aca="false">'Raw Data'!Q3914</f>
        <v>6</v>
      </c>
      <c r="F3914" s="2" t="n">
        <f aca="false">'Raw Data'!U3914</f>
        <v>2</v>
      </c>
      <c r="G3914" s="2" t="n">
        <f aca="false">'Raw Data'!W3914</f>
        <v>1</v>
      </c>
      <c r="H3914" s="2" t="n">
        <f aca="false">'Raw Data'!V3914</f>
        <v>2</v>
      </c>
      <c r="I3914" s="2" t="n">
        <f aca="false">IF(AND(ISNUMBER(B3914),B3914&lt;=25),2,0)+IF(AND(ISNUMBER(E3914),E3914&lt;=5),2,0)+IF(AND(ISNUMBER(F3914),F3914&lt;=1),2,0)+IF(AND(ISNUMBER(G3914),G3914&lt;=2),1,0)+IF(AND(ISNUMBER(H3914),H3914&lt;=2),1,0)</f>
        <v>4</v>
      </c>
      <c r="J3914" s="2" t="str">
        <f aca="false">IF(I3914&gt;=6,"High",IF(I3914&gt;=3,"Medium","Low"))</f>
        <v>Medium</v>
      </c>
    </row>
    <row r="3915" customFormat="false" ht="15" hidden="false" customHeight="true" outlineLevel="0" collapsed="false">
      <c r="A3915" s="2" t="n">
        <f aca="false">'Raw Data'!H3915</f>
        <v>3914</v>
      </c>
      <c r="B3915" s="2" t="n">
        <f aca="false">'Raw Data'!A3915</f>
        <v>46</v>
      </c>
      <c r="C3915" s="2" t="str">
        <f aca="false">'Raw Data'!D3915</f>
        <v>Research &amp; Development</v>
      </c>
      <c r="D3915" s="2" t="str">
        <f aca="false">'Raw Data'!K3915</f>
        <v>Sales Executive</v>
      </c>
      <c r="E3915" s="2" t="n">
        <f aca="false">'Raw Data'!Q3915</f>
        <v>19</v>
      </c>
      <c r="F3915" s="2" t="n">
        <f aca="false">'Raw Data'!U3915</f>
        <v>9</v>
      </c>
      <c r="G3915" s="2" t="n">
        <f aca="false">'Raw Data'!W3915</f>
        <v>2</v>
      </c>
      <c r="H3915" s="2" t="n">
        <f aca="false">'Raw Data'!V3915</f>
        <v>3</v>
      </c>
      <c r="I3915" s="2" t="n">
        <f aca="false">IF(AND(ISNUMBER(B3915),B3915&lt;=25),2,0)+IF(AND(ISNUMBER(E3915),E3915&lt;=5),2,0)+IF(AND(ISNUMBER(F3915),F3915&lt;=1),2,0)+IF(AND(ISNUMBER(G3915),G3915&lt;=2),1,0)+IF(AND(ISNUMBER(H3915),H3915&lt;=2),1,0)</f>
        <v>1</v>
      </c>
      <c r="J3915" s="2" t="str">
        <f aca="false">IF(I3915&gt;=6,"High",IF(I3915&gt;=3,"Medium","Low"))</f>
        <v>Low</v>
      </c>
    </row>
    <row r="3916" customFormat="false" ht="15" hidden="false" customHeight="true" outlineLevel="0" collapsed="false">
      <c r="A3916" s="2" t="n">
        <f aca="false">'Raw Data'!H3916</f>
        <v>3915</v>
      </c>
      <c r="B3916" s="2" t="n">
        <f aca="false">'Raw Data'!A3916</f>
        <v>35</v>
      </c>
      <c r="C3916" s="2" t="str">
        <f aca="false">'Raw Data'!D3916</f>
        <v>Sales</v>
      </c>
      <c r="D3916" s="2" t="str">
        <f aca="false">'Raw Data'!K3916</f>
        <v>Laboratory Technician</v>
      </c>
      <c r="E3916" s="2" t="n">
        <f aca="false">'Raw Data'!Q3916</f>
        <v>17</v>
      </c>
      <c r="F3916" s="2" t="n">
        <f aca="false">'Raw Data'!U3916</f>
        <v>7</v>
      </c>
      <c r="G3916" s="2" t="n">
        <f aca="false">'Raw Data'!W3916</f>
        <v>3</v>
      </c>
      <c r="H3916" s="2" t="n">
        <f aca="false">'Raw Data'!V3916</f>
        <v>4</v>
      </c>
      <c r="I3916" s="2" t="n">
        <f aca="false">IF(AND(ISNUMBER(B3916),B3916&lt;=25),2,0)+IF(AND(ISNUMBER(E3916),E3916&lt;=5),2,0)+IF(AND(ISNUMBER(F3916),F3916&lt;=1),2,0)+IF(AND(ISNUMBER(G3916),G3916&lt;=2),1,0)+IF(AND(ISNUMBER(H3916),H3916&lt;=2),1,0)</f>
        <v>0</v>
      </c>
      <c r="J3916" s="2" t="str">
        <f aca="false">IF(I3916&gt;=6,"High",IF(I3916&gt;=3,"Medium","Low"))</f>
        <v>Low</v>
      </c>
    </row>
    <row r="3917" customFormat="false" ht="15" hidden="false" customHeight="true" outlineLevel="0" collapsed="false">
      <c r="A3917" s="2" t="n">
        <f aca="false">'Raw Data'!H3917</f>
        <v>3916</v>
      </c>
      <c r="B3917" s="2" t="n">
        <f aca="false">'Raw Data'!A3917</f>
        <v>30</v>
      </c>
      <c r="C3917" s="2" t="str">
        <f aca="false">'Raw Data'!D3917</f>
        <v>Sales</v>
      </c>
      <c r="D3917" s="2" t="str">
        <f aca="false">'Raw Data'!K3917</f>
        <v>Laboratory Technician</v>
      </c>
      <c r="E3917" s="2" t="n">
        <f aca="false">'Raw Data'!Q3917</f>
        <v>10</v>
      </c>
      <c r="F3917" s="2" t="n">
        <f aca="false">'Raw Data'!U3917</f>
        <v>8</v>
      </c>
      <c r="G3917" s="2" t="n">
        <f aca="false">'Raw Data'!W3917</f>
        <v>4</v>
      </c>
      <c r="H3917" s="2" t="n">
        <f aca="false">'Raw Data'!V3917</f>
        <v>2</v>
      </c>
      <c r="I3917" s="2" t="n">
        <f aca="false">IF(AND(ISNUMBER(B3917),B3917&lt;=25),2,0)+IF(AND(ISNUMBER(E3917),E3917&lt;=5),2,0)+IF(AND(ISNUMBER(F3917),F3917&lt;=1),2,0)+IF(AND(ISNUMBER(G3917),G3917&lt;=2),1,0)+IF(AND(ISNUMBER(H3917),H3917&lt;=2),1,0)</f>
        <v>1</v>
      </c>
      <c r="J3917" s="2" t="str">
        <f aca="false">IF(I3917&gt;=6,"High",IF(I3917&gt;=3,"Medium","Low"))</f>
        <v>Low</v>
      </c>
    </row>
    <row r="3918" customFormat="false" ht="15" hidden="false" customHeight="true" outlineLevel="0" collapsed="false">
      <c r="A3918" s="2" t="n">
        <f aca="false">'Raw Data'!H3918</f>
        <v>3917</v>
      </c>
      <c r="B3918" s="2" t="n">
        <f aca="false">'Raw Data'!A3918</f>
        <v>47</v>
      </c>
      <c r="C3918" s="2" t="str">
        <f aca="false">'Raw Data'!D3918</f>
        <v>Research &amp; Development</v>
      </c>
      <c r="D3918" s="2" t="str">
        <f aca="false">'Raw Data'!K3918</f>
        <v>Sales Executive</v>
      </c>
      <c r="E3918" s="2" t="n">
        <f aca="false">'Raw Data'!Q3918</f>
        <v>4</v>
      </c>
      <c r="F3918" s="2" t="n">
        <f aca="false">'Raw Data'!U3918</f>
        <v>0</v>
      </c>
      <c r="G3918" s="2" t="n">
        <f aca="false">'Raw Data'!W3918</f>
        <v>2</v>
      </c>
      <c r="H3918" s="2" t="n">
        <f aca="false">'Raw Data'!V3918</f>
        <v>3</v>
      </c>
      <c r="I3918" s="2" t="n">
        <f aca="false">IF(AND(ISNUMBER(B3918),B3918&lt;=25),2,0)+IF(AND(ISNUMBER(E3918),E3918&lt;=5),2,0)+IF(AND(ISNUMBER(F3918),F3918&lt;=1),2,0)+IF(AND(ISNUMBER(G3918),G3918&lt;=2),1,0)+IF(AND(ISNUMBER(H3918),H3918&lt;=2),1,0)</f>
        <v>5</v>
      </c>
      <c r="J3918" s="2" t="str">
        <f aca="false">IF(I3918&gt;=6,"High",IF(I3918&gt;=3,"Medium","Low"))</f>
        <v>Medium</v>
      </c>
    </row>
    <row r="3919" customFormat="false" ht="15" hidden="false" customHeight="true" outlineLevel="0" collapsed="false">
      <c r="A3919" s="2" t="n">
        <f aca="false">'Raw Data'!H3919</f>
        <v>3918</v>
      </c>
      <c r="B3919" s="2" t="n">
        <f aca="false">'Raw Data'!A3919</f>
        <v>46</v>
      </c>
      <c r="C3919" s="2" t="str">
        <f aca="false">'Raw Data'!D3919</f>
        <v>Research &amp; Development</v>
      </c>
      <c r="D3919" s="2" t="str">
        <f aca="false">'Raw Data'!K3919</f>
        <v>Sales Executive</v>
      </c>
      <c r="E3919" s="2" t="n">
        <f aca="false">'Raw Data'!Q3919</f>
        <v>13</v>
      </c>
      <c r="F3919" s="2" t="n">
        <f aca="false">'Raw Data'!U3919</f>
        <v>3</v>
      </c>
      <c r="G3919" s="2" t="n">
        <f aca="false">'Raw Data'!W3919</f>
        <v>4</v>
      </c>
      <c r="H3919" s="2" t="n">
        <f aca="false">'Raw Data'!V3919</f>
        <v>3</v>
      </c>
      <c r="I3919" s="2" t="n">
        <f aca="false">IF(AND(ISNUMBER(B3919),B3919&lt;=25),2,0)+IF(AND(ISNUMBER(E3919),E3919&lt;=5),2,0)+IF(AND(ISNUMBER(F3919),F3919&lt;=1),2,0)+IF(AND(ISNUMBER(G3919),G3919&lt;=2),1,0)+IF(AND(ISNUMBER(H3919),H3919&lt;=2),1,0)</f>
        <v>0</v>
      </c>
      <c r="J3919" s="2" t="str">
        <f aca="false">IF(I3919&gt;=6,"High",IF(I3919&gt;=3,"Medium","Low"))</f>
        <v>Low</v>
      </c>
    </row>
    <row r="3920" customFormat="false" ht="15" hidden="false" customHeight="true" outlineLevel="0" collapsed="false">
      <c r="A3920" s="2" t="n">
        <f aca="false">'Raw Data'!H3920</f>
        <v>3919</v>
      </c>
      <c r="B3920" s="2" t="n">
        <f aca="false">'Raw Data'!A3920</f>
        <v>36</v>
      </c>
      <c r="C3920" s="2" t="str">
        <f aca="false">'Raw Data'!D3920</f>
        <v>Research &amp; Development</v>
      </c>
      <c r="D3920" s="2" t="str">
        <f aca="false">'Raw Data'!K3920</f>
        <v>Manufacturing Director</v>
      </c>
      <c r="E3920" s="2" t="n">
        <f aca="false">'Raw Data'!Q3920</f>
        <v>16</v>
      </c>
      <c r="F3920" s="2" t="n">
        <f aca="false">'Raw Data'!U3920</f>
        <v>2</v>
      </c>
      <c r="G3920" s="2" t="n">
        <f aca="false">'Raw Data'!W3920</f>
        <v>1</v>
      </c>
      <c r="H3920" s="2" t="n">
        <f aca="false">'Raw Data'!V3920</f>
        <v>2</v>
      </c>
      <c r="I3920" s="2" t="n">
        <f aca="false">IF(AND(ISNUMBER(B3920),B3920&lt;=25),2,0)+IF(AND(ISNUMBER(E3920),E3920&lt;=5),2,0)+IF(AND(ISNUMBER(F3920),F3920&lt;=1),2,0)+IF(AND(ISNUMBER(G3920),G3920&lt;=2),1,0)+IF(AND(ISNUMBER(H3920),H3920&lt;=2),1,0)</f>
        <v>2</v>
      </c>
      <c r="J3920" s="2" t="str">
        <f aca="false">IF(I3920&gt;=6,"High",IF(I3920&gt;=3,"Medium","Low"))</f>
        <v>Low</v>
      </c>
    </row>
    <row r="3921" customFormat="false" ht="15" hidden="false" customHeight="true" outlineLevel="0" collapsed="false">
      <c r="A3921" s="2" t="n">
        <f aca="false">'Raw Data'!H3921</f>
        <v>3920</v>
      </c>
      <c r="B3921" s="2" t="n">
        <f aca="false">'Raw Data'!A3921</f>
        <v>32</v>
      </c>
      <c r="C3921" s="2" t="str">
        <f aca="false">'Raw Data'!D3921</f>
        <v>Research &amp; Development</v>
      </c>
      <c r="D3921" s="2" t="str">
        <f aca="false">'Raw Data'!K3921</f>
        <v>Research Director</v>
      </c>
      <c r="E3921" s="2" t="n">
        <f aca="false">'Raw Data'!Q3921</f>
        <v>10</v>
      </c>
      <c r="F3921" s="2" t="n">
        <f aca="false">'Raw Data'!U3921</f>
        <v>0</v>
      </c>
      <c r="G3921" s="2" t="n">
        <f aca="false">'Raw Data'!W3921</f>
        <v>2</v>
      </c>
      <c r="H3921" s="2" t="n">
        <f aca="false">'Raw Data'!V3921</f>
        <v>1</v>
      </c>
      <c r="I3921" s="2" t="n">
        <f aca="false">IF(AND(ISNUMBER(B3921),B3921&lt;=25),2,0)+IF(AND(ISNUMBER(E3921),E3921&lt;=5),2,0)+IF(AND(ISNUMBER(F3921),F3921&lt;=1),2,0)+IF(AND(ISNUMBER(G3921),G3921&lt;=2),1,0)+IF(AND(ISNUMBER(H3921),H3921&lt;=2),1,0)</f>
        <v>4</v>
      </c>
      <c r="J3921" s="2" t="str">
        <f aca="false">IF(I3921&gt;=6,"High",IF(I3921&gt;=3,"Medium","Low"))</f>
        <v>Medium</v>
      </c>
    </row>
    <row r="3922" customFormat="false" ht="15" hidden="false" customHeight="true" outlineLevel="0" collapsed="false">
      <c r="A3922" s="2" t="n">
        <f aca="false">'Raw Data'!H3922</f>
        <v>3921</v>
      </c>
      <c r="B3922" s="2" t="n">
        <f aca="false">'Raw Data'!A3922</f>
        <v>23</v>
      </c>
      <c r="C3922" s="2" t="str">
        <f aca="false">'Raw Data'!D3922</f>
        <v>Sales</v>
      </c>
      <c r="D3922" s="2" t="str">
        <f aca="false">'Raw Data'!K3922</f>
        <v>Manufacturing Director</v>
      </c>
      <c r="E3922" s="2" t="n">
        <f aca="false">'Raw Data'!Q3922</f>
        <v>3</v>
      </c>
      <c r="F3922" s="2" t="n">
        <f aca="false">'Raw Data'!U3922</f>
        <v>2</v>
      </c>
      <c r="G3922" s="2" t="n">
        <f aca="false">'Raw Data'!W3922</f>
        <v>2</v>
      </c>
      <c r="H3922" s="2" t="n">
        <f aca="false">'Raw Data'!V3922</f>
        <v>3</v>
      </c>
      <c r="I3922" s="2" t="n">
        <f aca="false">IF(AND(ISNUMBER(B3922),B3922&lt;=25),2,0)+IF(AND(ISNUMBER(E3922),E3922&lt;=5),2,0)+IF(AND(ISNUMBER(F3922),F3922&lt;=1),2,0)+IF(AND(ISNUMBER(G3922),G3922&lt;=2),1,0)+IF(AND(ISNUMBER(H3922),H3922&lt;=2),1,0)</f>
        <v>5</v>
      </c>
      <c r="J3922" s="2" t="str">
        <f aca="false">IF(I3922&gt;=6,"High",IF(I3922&gt;=3,"Medium","Low"))</f>
        <v>Medium</v>
      </c>
    </row>
    <row r="3923" customFormat="false" ht="15" hidden="false" customHeight="true" outlineLevel="0" collapsed="false">
      <c r="A3923" s="2" t="n">
        <f aca="false">'Raw Data'!H3923</f>
        <v>3922</v>
      </c>
      <c r="B3923" s="2" t="n">
        <f aca="false">'Raw Data'!A3923</f>
        <v>31</v>
      </c>
      <c r="C3923" s="2" t="str">
        <f aca="false">'Raw Data'!D3923</f>
        <v>Sales</v>
      </c>
      <c r="D3923" s="2" t="str">
        <f aca="false">'Raw Data'!K3923</f>
        <v>Sales Executive</v>
      </c>
      <c r="E3923" s="2" t="n">
        <f aca="false">'Raw Data'!Q3923</f>
        <v>9</v>
      </c>
      <c r="F3923" s="2" t="n">
        <f aca="false">'Raw Data'!U3923</f>
        <v>4</v>
      </c>
      <c r="G3923" s="2" t="n">
        <f aca="false">'Raw Data'!W3923</f>
        <v>4</v>
      </c>
      <c r="H3923" s="2" t="n">
        <f aca="false">'Raw Data'!V3923</f>
        <v>4</v>
      </c>
      <c r="I3923" s="2" t="n">
        <f aca="false">IF(AND(ISNUMBER(B3923),B3923&lt;=25),2,0)+IF(AND(ISNUMBER(E3923),E3923&lt;=5),2,0)+IF(AND(ISNUMBER(F3923),F3923&lt;=1),2,0)+IF(AND(ISNUMBER(G3923),G3923&lt;=2),1,0)+IF(AND(ISNUMBER(H3923),H3923&lt;=2),1,0)</f>
        <v>0</v>
      </c>
      <c r="J3923" s="2" t="str">
        <f aca="false">IF(I3923&gt;=6,"High",IF(I3923&gt;=3,"Medium","Low"))</f>
        <v>Low</v>
      </c>
    </row>
    <row r="3924" customFormat="false" ht="15" hidden="false" customHeight="true" outlineLevel="0" collapsed="false">
      <c r="A3924" s="2" t="n">
        <f aca="false">'Raw Data'!H3924</f>
        <v>3923</v>
      </c>
      <c r="B3924" s="2" t="n">
        <f aca="false">'Raw Data'!A3924</f>
        <v>39</v>
      </c>
      <c r="C3924" s="2" t="str">
        <f aca="false">'Raw Data'!D3924</f>
        <v>Research &amp; Development</v>
      </c>
      <c r="D3924" s="2" t="str">
        <f aca="false">'Raw Data'!K3924</f>
        <v>Manufacturing Director</v>
      </c>
      <c r="E3924" s="2" t="n">
        <f aca="false">'Raw Data'!Q3924</f>
        <v>9</v>
      </c>
      <c r="F3924" s="2" t="n">
        <f aca="false">'Raw Data'!U3924</f>
        <v>8</v>
      </c>
      <c r="G3924" s="2" t="n">
        <f aca="false">'Raw Data'!W3924</f>
        <v>4</v>
      </c>
      <c r="H3924" s="2" t="n">
        <f aca="false">'Raw Data'!V3924</f>
        <v>4</v>
      </c>
      <c r="I3924" s="2" t="n">
        <f aca="false">IF(AND(ISNUMBER(B3924),B3924&lt;=25),2,0)+IF(AND(ISNUMBER(E3924),E3924&lt;=5),2,0)+IF(AND(ISNUMBER(F3924),F3924&lt;=1),2,0)+IF(AND(ISNUMBER(G3924),G3924&lt;=2),1,0)+IF(AND(ISNUMBER(H3924),H3924&lt;=2),1,0)</f>
        <v>0</v>
      </c>
      <c r="J3924" s="2" t="str">
        <f aca="false">IF(I3924&gt;=6,"High",IF(I3924&gt;=3,"Medium","Low"))</f>
        <v>Low</v>
      </c>
    </row>
    <row r="3925" customFormat="false" ht="15" hidden="false" customHeight="true" outlineLevel="0" collapsed="false">
      <c r="A3925" s="2" t="n">
        <f aca="false">'Raw Data'!H3925</f>
        <v>3924</v>
      </c>
      <c r="B3925" s="2" t="n">
        <f aca="false">'Raw Data'!A3925</f>
        <v>32</v>
      </c>
      <c r="C3925" s="2" t="str">
        <f aca="false">'Raw Data'!D3925</f>
        <v>Research &amp; Development</v>
      </c>
      <c r="D3925" s="2" t="str">
        <f aca="false">'Raw Data'!K3925</f>
        <v>Research Scientist</v>
      </c>
      <c r="E3925" s="2" t="n">
        <f aca="false">'Raw Data'!Q3925</f>
        <v>10</v>
      </c>
      <c r="F3925" s="2" t="n">
        <f aca="false">'Raw Data'!U3925</f>
        <v>2</v>
      </c>
      <c r="G3925" s="2" t="n">
        <f aca="false">'Raw Data'!W3925</f>
        <v>3</v>
      </c>
      <c r="H3925" s="2" t="n">
        <f aca="false">'Raw Data'!V3925</f>
        <v>4</v>
      </c>
      <c r="I3925" s="2" t="n">
        <f aca="false">IF(AND(ISNUMBER(B3925),B3925&lt;=25),2,0)+IF(AND(ISNUMBER(E3925),E3925&lt;=5),2,0)+IF(AND(ISNUMBER(F3925),F3925&lt;=1),2,0)+IF(AND(ISNUMBER(G3925),G3925&lt;=2),1,0)+IF(AND(ISNUMBER(H3925),H3925&lt;=2),1,0)</f>
        <v>0</v>
      </c>
      <c r="J3925" s="2" t="str">
        <f aca="false">IF(I3925&gt;=6,"High",IF(I3925&gt;=3,"Medium","Low"))</f>
        <v>Low</v>
      </c>
    </row>
    <row r="3926" customFormat="false" ht="15" hidden="false" customHeight="true" outlineLevel="0" collapsed="false">
      <c r="A3926" s="2" t="n">
        <f aca="false">'Raw Data'!H3926</f>
        <v>3925</v>
      </c>
      <c r="B3926" s="2" t="n">
        <f aca="false">'Raw Data'!A3926</f>
        <v>40</v>
      </c>
      <c r="C3926" s="2" t="str">
        <f aca="false">'Raw Data'!D3926</f>
        <v>Sales</v>
      </c>
      <c r="D3926" s="2" t="str">
        <f aca="false">'Raw Data'!K3926</f>
        <v>Manufacturing Director</v>
      </c>
      <c r="E3926" s="2" t="n">
        <f aca="false">'Raw Data'!Q3926</f>
        <v>21</v>
      </c>
      <c r="F3926" s="2" t="n">
        <f aca="false">'Raw Data'!U3926</f>
        <v>8</v>
      </c>
      <c r="G3926" s="2" t="n">
        <f aca="false">'Raw Data'!W3926</f>
        <v>2</v>
      </c>
      <c r="H3926" s="2" t="n">
        <f aca="false">'Raw Data'!V3926</f>
        <v>2</v>
      </c>
      <c r="I3926" s="2" t="n">
        <f aca="false">IF(AND(ISNUMBER(B3926),B3926&lt;=25),2,0)+IF(AND(ISNUMBER(E3926),E3926&lt;=5),2,0)+IF(AND(ISNUMBER(F3926),F3926&lt;=1),2,0)+IF(AND(ISNUMBER(G3926),G3926&lt;=2),1,0)+IF(AND(ISNUMBER(H3926),H3926&lt;=2),1,0)</f>
        <v>2</v>
      </c>
      <c r="J3926" s="2" t="str">
        <f aca="false">IF(I3926&gt;=6,"High",IF(I3926&gt;=3,"Medium","Low"))</f>
        <v>Low</v>
      </c>
    </row>
    <row r="3927" customFormat="false" ht="15" hidden="false" customHeight="true" outlineLevel="0" collapsed="false">
      <c r="A3927" s="2" t="n">
        <f aca="false">'Raw Data'!H3927</f>
        <v>3926</v>
      </c>
      <c r="B3927" s="2" t="n">
        <f aca="false">'Raw Data'!A3927</f>
        <v>45</v>
      </c>
      <c r="C3927" s="2" t="str">
        <f aca="false">'Raw Data'!D3927</f>
        <v>Research &amp; Development</v>
      </c>
      <c r="D3927" s="2" t="str">
        <f aca="false">'Raw Data'!K3927</f>
        <v>Sales Representative</v>
      </c>
      <c r="E3927" s="2" t="n">
        <f aca="false">'Raw Data'!Q3927</f>
        <v>9</v>
      </c>
      <c r="F3927" s="2" t="n">
        <f aca="false">'Raw Data'!U3927</f>
        <v>3</v>
      </c>
      <c r="G3927" s="2" t="n">
        <f aca="false">'Raw Data'!W3927</f>
        <v>3</v>
      </c>
      <c r="H3927" s="2" t="n">
        <f aca="false">'Raw Data'!V3927</f>
        <v>3</v>
      </c>
      <c r="I3927" s="2" t="n">
        <f aca="false">IF(AND(ISNUMBER(B3927),B3927&lt;=25),2,0)+IF(AND(ISNUMBER(E3927),E3927&lt;=5),2,0)+IF(AND(ISNUMBER(F3927),F3927&lt;=1),2,0)+IF(AND(ISNUMBER(G3927),G3927&lt;=2),1,0)+IF(AND(ISNUMBER(H3927),H3927&lt;=2),1,0)</f>
        <v>0</v>
      </c>
      <c r="J3927" s="2" t="str">
        <f aca="false">IF(I3927&gt;=6,"High",IF(I3927&gt;=3,"Medium","Low"))</f>
        <v>Low</v>
      </c>
    </row>
    <row r="3928" customFormat="false" ht="15" hidden="false" customHeight="true" outlineLevel="0" collapsed="false">
      <c r="A3928" s="2" t="n">
        <f aca="false">'Raw Data'!H3928</f>
        <v>3927</v>
      </c>
      <c r="B3928" s="2" t="n">
        <f aca="false">'Raw Data'!A3928</f>
        <v>30</v>
      </c>
      <c r="C3928" s="2" t="str">
        <f aca="false">'Raw Data'!D3928</f>
        <v>Sales</v>
      </c>
      <c r="D3928" s="2" t="str">
        <f aca="false">'Raw Data'!K3928</f>
        <v>Research Director</v>
      </c>
      <c r="E3928" s="2" t="n">
        <f aca="false">'Raw Data'!Q3928</f>
        <v>10</v>
      </c>
      <c r="F3928" s="2" t="n">
        <f aca="false">'Raw Data'!U3928</f>
        <v>7</v>
      </c>
      <c r="G3928" s="2" t="n">
        <f aca="false">'Raw Data'!W3928</f>
        <v>1</v>
      </c>
      <c r="H3928" s="2" t="n">
        <f aca="false">'Raw Data'!V3928</f>
        <v>4</v>
      </c>
      <c r="I3928" s="2" t="n">
        <f aca="false">IF(AND(ISNUMBER(B3928),B3928&lt;=25),2,0)+IF(AND(ISNUMBER(E3928),E3928&lt;=5),2,0)+IF(AND(ISNUMBER(F3928),F3928&lt;=1),2,0)+IF(AND(ISNUMBER(G3928),G3928&lt;=2),1,0)+IF(AND(ISNUMBER(H3928),H3928&lt;=2),1,0)</f>
        <v>1</v>
      </c>
      <c r="J3928" s="2" t="str">
        <f aca="false">IF(I3928&gt;=6,"High",IF(I3928&gt;=3,"Medium","Low"))</f>
        <v>Low</v>
      </c>
    </row>
    <row r="3929" customFormat="false" ht="15" hidden="false" customHeight="true" outlineLevel="0" collapsed="false">
      <c r="A3929" s="2" t="n">
        <f aca="false">'Raw Data'!H3929</f>
        <v>3928</v>
      </c>
      <c r="B3929" s="2" t="n">
        <f aca="false">'Raw Data'!A3929</f>
        <v>24</v>
      </c>
      <c r="C3929" s="2" t="str">
        <f aca="false">'Raw Data'!D3929</f>
        <v>Sales</v>
      </c>
      <c r="D3929" s="2" t="str">
        <f aca="false">'Raw Data'!K3929</f>
        <v>Sales Executive</v>
      </c>
      <c r="E3929" s="2" t="n">
        <f aca="false">'Raw Data'!Q3929</f>
        <v>3</v>
      </c>
      <c r="F3929" s="2" t="n">
        <f aca="false">'Raw Data'!U3929</f>
        <v>1</v>
      </c>
      <c r="G3929" s="2" t="n">
        <f aca="false">'Raw Data'!W3929</f>
        <v>4</v>
      </c>
      <c r="H3929" s="2" t="n">
        <f aca="false">'Raw Data'!V3929</f>
        <v>1</v>
      </c>
      <c r="I3929" s="2" t="n">
        <f aca="false">IF(AND(ISNUMBER(B3929),B3929&lt;=25),2,0)+IF(AND(ISNUMBER(E3929),E3929&lt;=5),2,0)+IF(AND(ISNUMBER(F3929),F3929&lt;=1),2,0)+IF(AND(ISNUMBER(G3929),G3929&lt;=2),1,0)+IF(AND(ISNUMBER(H3929),H3929&lt;=2),1,0)</f>
        <v>7</v>
      </c>
      <c r="J3929" s="2" t="str">
        <f aca="false">IF(I3929&gt;=6,"High",IF(I3929&gt;=3,"Medium","Low"))</f>
        <v>High</v>
      </c>
    </row>
    <row r="3930" customFormat="false" ht="15" hidden="false" customHeight="true" outlineLevel="0" collapsed="false">
      <c r="A3930" s="2" t="n">
        <f aca="false">'Raw Data'!H3930</f>
        <v>3929</v>
      </c>
      <c r="B3930" s="2" t="n">
        <f aca="false">'Raw Data'!A3930</f>
        <v>30</v>
      </c>
      <c r="C3930" s="2" t="str">
        <f aca="false">'Raw Data'!D3930</f>
        <v>Research &amp; Development</v>
      </c>
      <c r="D3930" s="2" t="str">
        <f aca="false">'Raw Data'!K3930</f>
        <v>Human Resources</v>
      </c>
      <c r="E3930" s="2" t="n">
        <f aca="false">'Raw Data'!Q3930</f>
        <v>6</v>
      </c>
      <c r="F3930" s="2" t="n">
        <f aca="false">'Raw Data'!U3930</f>
        <v>2</v>
      </c>
      <c r="G3930" s="2" t="n">
        <f aca="false">'Raw Data'!W3930</f>
        <v>4</v>
      </c>
      <c r="H3930" s="2" t="n">
        <f aca="false">'Raw Data'!V3930</f>
        <v>3</v>
      </c>
      <c r="I3930" s="2" t="n">
        <f aca="false">IF(AND(ISNUMBER(B3930),B3930&lt;=25),2,0)+IF(AND(ISNUMBER(E3930),E3930&lt;=5),2,0)+IF(AND(ISNUMBER(F3930),F3930&lt;=1),2,0)+IF(AND(ISNUMBER(G3930),G3930&lt;=2),1,0)+IF(AND(ISNUMBER(H3930),H3930&lt;=2),1,0)</f>
        <v>0</v>
      </c>
      <c r="J3930" s="2" t="str">
        <f aca="false">IF(I3930&gt;=6,"High",IF(I3930&gt;=3,"Medium","Low"))</f>
        <v>Low</v>
      </c>
    </row>
    <row r="3931" customFormat="false" ht="15" hidden="false" customHeight="true" outlineLevel="0" collapsed="false">
      <c r="A3931" s="2" t="n">
        <f aca="false">'Raw Data'!H3931</f>
        <v>3930</v>
      </c>
      <c r="B3931" s="2" t="n">
        <f aca="false">'Raw Data'!A3931</f>
        <v>31</v>
      </c>
      <c r="C3931" s="2" t="str">
        <f aca="false">'Raw Data'!D3931</f>
        <v>Research &amp; Development</v>
      </c>
      <c r="D3931" s="2" t="str">
        <f aca="false">'Raw Data'!K3931</f>
        <v>Laboratory Technician</v>
      </c>
      <c r="E3931" s="2" t="n">
        <f aca="false">'Raw Data'!Q3931</f>
        <v>6</v>
      </c>
      <c r="F3931" s="2" t="n">
        <f aca="false">'Raw Data'!U3931</f>
        <v>2</v>
      </c>
      <c r="G3931" s="2" t="n">
        <f aca="false">'Raw Data'!W3931</f>
        <v>3</v>
      </c>
      <c r="H3931" s="2" t="n">
        <f aca="false">'Raw Data'!V3931</f>
        <v>1</v>
      </c>
      <c r="I3931" s="2" t="n">
        <f aca="false">IF(AND(ISNUMBER(B3931),B3931&lt;=25),2,0)+IF(AND(ISNUMBER(E3931),E3931&lt;=5),2,0)+IF(AND(ISNUMBER(F3931),F3931&lt;=1),2,0)+IF(AND(ISNUMBER(G3931),G3931&lt;=2),1,0)+IF(AND(ISNUMBER(H3931),H3931&lt;=2),1,0)</f>
        <v>1</v>
      </c>
      <c r="J3931" s="2" t="str">
        <f aca="false">IF(I3931&gt;=6,"High",IF(I3931&gt;=3,"Medium","Low"))</f>
        <v>Low</v>
      </c>
    </row>
    <row r="3932" customFormat="false" ht="15" hidden="false" customHeight="true" outlineLevel="0" collapsed="false">
      <c r="A3932" s="2" t="n">
        <f aca="false">'Raw Data'!H3932</f>
        <v>3931</v>
      </c>
      <c r="B3932" s="2" t="n">
        <f aca="false">'Raw Data'!A3932</f>
        <v>27</v>
      </c>
      <c r="C3932" s="2" t="str">
        <f aca="false">'Raw Data'!D3932</f>
        <v>Sales</v>
      </c>
      <c r="D3932" s="2" t="str">
        <f aca="false">'Raw Data'!K3932</f>
        <v>Manager</v>
      </c>
      <c r="E3932" s="2" t="n">
        <f aca="false">'Raw Data'!Q3932</f>
        <v>6</v>
      </c>
      <c r="F3932" s="2" t="n">
        <f aca="false">'Raw Data'!U3932</f>
        <v>4</v>
      </c>
      <c r="G3932" s="2" t="n">
        <f aca="false">'Raw Data'!W3932</f>
        <v>4</v>
      </c>
      <c r="H3932" s="2" t="n">
        <f aca="false">'Raw Data'!V3932</f>
        <v>3</v>
      </c>
      <c r="I3932" s="2" t="n">
        <f aca="false">IF(AND(ISNUMBER(B3932),B3932&lt;=25),2,0)+IF(AND(ISNUMBER(E3932),E3932&lt;=5),2,0)+IF(AND(ISNUMBER(F3932),F3932&lt;=1),2,0)+IF(AND(ISNUMBER(G3932),G3932&lt;=2),1,0)+IF(AND(ISNUMBER(H3932),H3932&lt;=2),1,0)</f>
        <v>0</v>
      </c>
      <c r="J3932" s="2" t="str">
        <f aca="false">IF(I3932&gt;=6,"High",IF(I3932&gt;=3,"Medium","Low"))</f>
        <v>Low</v>
      </c>
    </row>
    <row r="3933" customFormat="false" ht="15" hidden="false" customHeight="true" outlineLevel="0" collapsed="false">
      <c r="A3933" s="2" t="n">
        <f aca="false">'Raw Data'!H3933</f>
        <v>3932</v>
      </c>
      <c r="B3933" s="2" t="n">
        <f aca="false">'Raw Data'!A3933</f>
        <v>29</v>
      </c>
      <c r="C3933" s="2" t="str">
        <f aca="false">'Raw Data'!D3933</f>
        <v>Sales</v>
      </c>
      <c r="D3933" s="2" t="str">
        <f aca="false">'Raw Data'!K3933</f>
        <v>Research Scientist</v>
      </c>
      <c r="E3933" s="2" t="n">
        <f aca="false">'Raw Data'!Q3933</f>
        <v>2</v>
      </c>
      <c r="F3933" s="2" t="n">
        <f aca="false">'Raw Data'!U3933</f>
        <v>2</v>
      </c>
      <c r="G3933" s="2" t="n">
        <f aca="false">'Raw Data'!W3933</f>
        <v>2</v>
      </c>
      <c r="H3933" s="2" t="n">
        <f aca="false">'Raw Data'!V3933</f>
        <v>2</v>
      </c>
      <c r="I3933" s="2" t="n">
        <f aca="false">IF(AND(ISNUMBER(B3933),B3933&lt;=25),2,0)+IF(AND(ISNUMBER(E3933),E3933&lt;=5),2,0)+IF(AND(ISNUMBER(F3933),F3933&lt;=1),2,0)+IF(AND(ISNUMBER(G3933),G3933&lt;=2),1,0)+IF(AND(ISNUMBER(H3933),H3933&lt;=2),1,0)</f>
        <v>4</v>
      </c>
      <c r="J3933" s="2" t="str">
        <f aca="false">IF(I3933&gt;=6,"High",IF(I3933&gt;=3,"Medium","Low"))</f>
        <v>Medium</v>
      </c>
    </row>
    <row r="3934" customFormat="false" ht="15" hidden="false" customHeight="true" outlineLevel="0" collapsed="false">
      <c r="A3934" s="2" t="n">
        <f aca="false">'Raw Data'!H3934</f>
        <v>3933</v>
      </c>
      <c r="B3934" s="2" t="n">
        <f aca="false">'Raw Data'!A3934</f>
        <v>29</v>
      </c>
      <c r="C3934" s="2" t="str">
        <f aca="false">'Raw Data'!D3934</f>
        <v>Research &amp; Development</v>
      </c>
      <c r="D3934" s="2" t="str">
        <f aca="false">'Raw Data'!K3934</f>
        <v>Sales Executive</v>
      </c>
      <c r="E3934" s="2" t="n">
        <f aca="false">'Raw Data'!Q3934</f>
        <v>10</v>
      </c>
      <c r="F3934" s="2" t="n">
        <f aca="false">'Raw Data'!U3934</f>
        <v>2</v>
      </c>
      <c r="G3934" s="2" t="n">
        <f aca="false">'Raw Data'!W3934</f>
        <v>3</v>
      </c>
      <c r="H3934" s="2" t="n">
        <f aca="false">'Raw Data'!V3934</f>
        <v>4</v>
      </c>
      <c r="I3934" s="2" t="n">
        <f aca="false">IF(AND(ISNUMBER(B3934),B3934&lt;=25),2,0)+IF(AND(ISNUMBER(E3934),E3934&lt;=5),2,0)+IF(AND(ISNUMBER(F3934),F3934&lt;=1),2,0)+IF(AND(ISNUMBER(G3934),G3934&lt;=2),1,0)+IF(AND(ISNUMBER(H3934),H3934&lt;=2),1,0)</f>
        <v>0</v>
      </c>
      <c r="J3934" s="2" t="str">
        <f aca="false">IF(I3934&gt;=6,"High",IF(I3934&gt;=3,"Medium","Low"))</f>
        <v>Low</v>
      </c>
    </row>
    <row r="3935" customFormat="false" ht="15" hidden="false" customHeight="true" outlineLevel="0" collapsed="false">
      <c r="A3935" s="2" t="n">
        <f aca="false">'Raw Data'!H3935</f>
        <v>3934</v>
      </c>
      <c r="B3935" s="2" t="n">
        <f aca="false">'Raw Data'!A3935</f>
        <v>30</v>
      </c>
      <c r="C3935" s="2" t="str">
        <f aca="false">'Raw Data'!D3935</f>
        <v>Sales</v>
      </c>
      <c r="D3935" s="2" t="str">
        <f aca="false">'Raw Data'!K3935</f>
        <v>Sales Executive</v>
      </c>
      <c r="E3935" s="2" t="n">
        <f aca="false">'Raw Data'!Q3935</f>
        <v>12</v>
      </c>
      <c r="F3935" s="2" t="n">
        <f aca="false">'Raw Data'!U3935</f>
        <v>7</v>
      </c>
      <c r="G3935" s="2" t="n">
        <f aca="false">'Raw Data'!W3935</f>
        <v>1</v>
      </c>
      <c r="H3935" s="2" t="n">
        <f aca="false">'Raw Data'!V3935</f>
        <v>3</v>
      </c>
      <c r="I3935" s="2" t="n">
        <f aca="false">IF(AND(ISNUMBER(B3935),B3935&lt;=25),2,0)+IF(AND(ISNUMBER(E3935),E3935&lt;=5),2,0)+IF(AND(ISNUMBER(F3935),F3935&lt;=1),2,0)+IF(AND(ISNUMBER(G3935),G3935&lt;=2),1,0)+IF(AND(ISNUMBER(H3935),H3935&lt;=2),1,0)</f>
        <v>1</v>
      </c>
      <c r="J3935" s="2" t="str">
        <f aca="false">IF(I3935&gt;=6,"High",IF(I3935&gt;=3,"Medium","Low"))</f>
        <v>Low</v>
      </c>
    </row>
    <row r="3936" customFormat="false" ht="15" hidden="false" customHeight="true" outlineLevel="0" collapsed="false">
      <c r="A3936" s="2" t="n">
        <f aca="false">'Raw Data'!H3936</f>
        <v>3935</v>
      </c>
      <c r="B3936" s="2" t="n">
        <f aca="false">'Raw Data'!A3936</f>
        <v>34</v>
      </c>
      <c r="C3936" s="2" t="str">
        <f aca="false">'Raw Data'!D3936</f>
        <v>Research &amp; Development</v>
      </c>
      <c r="D3936" s="2" t="str">
        <f aca="false">'Raw Data'!K3936</f>
        <v>Healthcare Representative</v>
      </c>
      <c r="E3936" s="2" t="n">
        <f aca="false">'Raw Data'!Q3936</f>
        <v>6</v>
      </c>
      <c r="F3936" s="2" t="n">
        <f aca="false">'Raw Data'!U3936</f>
        <v>2</v>
      </c>
      <c r="G3936" s="2" t="n">
        <f aca="false">'Raw Data'!W3936</f>
        <v>4</v>
      </c>
      <c r="H3936" s="2" t="n">
        <f aca="false">'Raw Data'!V3936</f>
        <v>4</v>
      </c>
      <c r="I3936" s="2" t="n">
        <f aca="false">IF(AND(ISNUMBER(B3936),B3936&lt;=25),2,0)+IF(AND(ISNUMBER(E3936),E3936&lt;=5),2,0)+IF(AND(ISNUMBER(F3936),F3936&lt;=1),2,0)+IF(AND(ISNUMBER(G3936),G3936&lt;=2),1,0)+IF(AND(ISNUMBER(H3936),H3936&lt;=2),1,0)</f>
        <v>0</v>
      </c>
      <c r="J3936" s="2" t="str">
        <f aca="false">IF(I3936&gt;=6,"High",IF(I3936&gt;=3,"Medium","Low"))</f>
        <v>Low</v>
      </c>
    </row>
    <row r="3937" customFormat="false" ht="15" hidden="false" customHeight="true" outlineLevel="0" collapsed="false">
      <c r="A3937" s="2" t="n">
        <f aca="false">'Raw Data'!H3937</f>
        <v>3936</v>
      </c>
      <c r="B3937" s="2" t="n">
        <f aca="false">'Raw Data'!A3937</f>
        <v>33</v>
      </c>
      <c r="C3937" s="2" t="str">
        <f aca="false">'Raw Data'!D3937</f>
        <v>Research &amp; Development</v>
      </c>
      <c r="D3937" s="2" t="str">
        <f aca="false">'Raw Data'!K3937</f>
        <v>Sales Representative</v>
      </c>
      <c r="E3937" s="2" t="n">
        <f aca="false">'Raw Data'!Q3937</f>
        <v>13</v>
      </c>
      <c r="F3937" s="2" t="n">
        <f aca="false">'Raw Data'!U3937</f>
        <v>7</v>
      </c>
      <c r="G3937" s="2" t="n">
        <f aca="false">'Raw Data'!W3937</f>
        <v>2</v>
      </c>
      <c r="H3937" s="2" t="n">
        <f aca="false">'Raw Data'!V3937</f>
        <v>4</v>
      </c>
      <c r="I3937" s="2" t="n">
        <f aca="false">IF(AND(ISNUMBER(B3937),B3937&lt;=25),2,0)+IF(AND(ISNUMBER(E3937),E3937&lt;=5),2,0)+IF(AND(ISNUMBER(F3937),F3937&lt;=1),2,0)+IF(AND(ISNUMBER(G3937),G3937&lt;=2),1,0)+IF(AND(ISNUMBER(H3937),H3937&lt;=2),1,0)</f>
        <v>1</v>
      </c>
      <c r="J3937" s="2" t="str">
        <f aca="false">IF(I3937&gt;=6,"High",IF(I3937&gt;=3,"Medium","Low"))</f>
        <v>Low</v>
      </c>
    </row>
    <row r="3938" customFormat="false" ht="15" hidden="false" customHeight="true" outlineLevel="0" collapsed="false">
      <c r="A3938" s="2" t="n">
        <f aca="false">'Raw Data'!H3938</f>
        <v>3937</v>
      </c>
      <c r="B3938" s="2" t="n">
        <f aca="false">'Raw Data'!A3938</f>
        <v>49</v>
      </c>
      <c r="C3938" s="2" t="str">
        <f aca="false">'Raw Data'!D3938</f>
        <v>Sales</v>
      </c>
      <c r="D3938" s="2" t="str">
        <f aca="false">'Raw Data'!K3938</f>
        <v>Sales Executive</v>
      </c>
      <c r="E3938" s="2" t="n">
        <f aca="false">'Raw Data'!Q3938</f>
        <v>8</v>
      </c>
      <c r="F3938" s="2" t="n">
        <f aca="false">'Raw Data'!U3938</f>
        <v>4</v>
      </c>
      <c r="G3938" s="2" t="n">
        <f aca="false">'Raw Data'!W3938</f>
        <v>4</v>
      </c>
      <c r="H3938" s="2" t="n">
        <f aca="false">'Raw Data'!V3938</f>
        <v>4</v>
      </c>
      <c r="I3938" s="2" t="n">
        <f aca="false">IF(AND(ISNUMBER(B3938),B3938&lt;=25),2,0)+IF(AND(ISNUMBER(E3938),E3938&lt;=5),2,0)+IF(AND(ISNUMBER(F3938),F3938&lt;=1),2,0)+IF(AND(ISNUMBER(G3938),G3938&lt;=2),1,0)+IF(AND(ISNUMBER(H3938),H3938&lt;=2),1,0)</f>
        <v>0</v>
      </c>
      <c r="J3938" s="2" t="str">
        <f aca="false">IF(I3938&gt;=6,"High",IF(I3938&gt;=3,"Medium","Low"))</f>
        <v>Low</v>
      </c>
    </row>
    <row r="3939" customFormat="false" ht="15" hidden="false" customHeight="true" outlineLevel="0" collapsed="false">
      <c r="A3939" s="2" t="n">
        <f aca="false">'Raw Data'!H3939</f>
        <v>3938</v>
      </c>
      <c r="B3939" s="2" t="n">
        <f aca="false">'Raw Data'!A3939</f>
        <v>33</v>
      </c>
      <c r="C3939" s="2" t="str">
        <f aca="false">'Raw Data'!D3939</f>
        <v>Research &amp; Development</v>
      </c>
      <c r="D3939" s="2" t="str">
        <f aca="false">'Raw Data'!K3939</f>
        <v>Sales Executive</v>
      </c>
      <c r="E3939" s="2" t="n">
        <f aca="false">'Raw Data'!Q3939</f>
        <v>11</v>
      </c>
      <c r="F3939" s="2" t="n">
        <f aca="false">'Raw Data'!U3939</f>
        <v>0</v>
      </c>
      <c r="G3939" s="2" t="n">
        <f aca="false">'Raw Data'!W3939</f>
        <v>1</v>
      </c>
      <c r="H3939" s="2" t="n">
        <f aca="false">'Raw Data'!V3939</f>
        <v>1</v>
      </c>
      <c r="I3939" s="2" t="n">
        <f aca="false">IF(AND(ISNUMBER(B3939),B3939&lt;=25),2,0)+IF(AND(ISNUMBER(E3939),E3939&lt;=5),2,0)+IF(AND(ISNUMBER(F3939),F3939&lt;=1),2,0)+IF(AND(ISNUMBER(G3939),G3939&lt;=2),1,0)+IF(AND(ISNUMBER(H3939),H3939&lt;=2),1,0)</f>
        <v>4</v>
      </c>
      <c r="J3939" s="2" t="str">
        <f aca="false">IF(I3939&gt;=6,"High",IF(I3939&gt;=3,"Medium","Low"))</f>
        <v>Medium</v>
      </c>
    </row>
    <row r="3940" customFormat="false" ht="15" hidden="false" customHeight="true" outlineLevel="0" collapsed="false">
      <c r="A3940" s="2" t="n">
        <f aca="false">'Raw Data'!H3940</f>
        <v>3939</v>
      </c>
      <c r="B3940" s="2" t="n">
        <f aca="false">'Raw Data'!A3940</f>
        <v>38</v>
      </c>
      <c r="C3940" s="2" t="str">
        <f aca="false">'Raw Data'!D3940</f>
        <v>Research &amp; Development</v>
      </c>
      <c r="D3940" s="2" t="str">
        <f aca="false">'Raw Data'!K3940</f>
        <v>Healthcare Representative</v>
      </c>
      <c r="E3940" s="2" t="n">
        <f aca="false">'Raw Data'!Q3940</f>
        <v>9</v>
      </c>
      <c r="F3940" s="2" t="n">
        <f aca="false">'Raw Data'!U3940</f>
        <v>5</v>
      </c>
      <c r="G3940" s="2" t="n">
        <f aca="false">'Raw Data'!W3940</f>
        <v>2</v>
      </c>
      <c r="H3940" s="2" t="n">
        <f aca="false">'Raw Data'!V3940</f>
        <v>3</v>
      </c>
      <c r="I3940" s="2" t="n">
        <f aca="false">IF(AND(ISNUMBER(B3940),B3940&lt;=25),2,0)+IF(AND(ISNUMBER(E3940),E3940&lt;=5),2,0)+IF(AND(ISNUMBER(F3940),F3940&lt;=1),2,0)+IF(AND(ISNUMBER(G3940),G3940&lt;=2),1,0)+IF(AND(ISNUMBER(H3940),H3940&lt;=2),1,0)</f>
        <v>1</v>
      </c>
      <c r="J3940" s="2" t="str">
        <f aca="false">IF(I3940&gt;=6,"High",IF(I3940&gt;=3,"Medium","Low"))</f>
        <v>Low</v>
      </c>
    </row>
    <row r="3941" customFormat="false" ht="15" hidden="false" customHeight="true" outlineLevel="0" collapsed="false">
      <c r="A3941" s="2" t="n">
        <f aca="false">'Raw Data'!H3941</f>
        <v>3940</v>
      </c>
      <c r="B3941" s="2" t="n">
        <f aca="false">'Raw Data'!A3941</f>
        <v>31</v>
      </c>
      <c r="C3941" s="2" t="str">
        <f aca="false">'Raw Data'!D3941</f>
        <v>Human Resources</v>
      </c>
      <c r="D3941" s="2" t="str">
        <f aca="false">'Raw Data'!K3941</f>
        <v>Laboratory Technician</v>
      </c>
      <c r="E3941" s="2" t="n">
        <f aca="false">'Raw Data'!Q3941</f>
        <v>10</v>
      </c>
      <c r="F3941" s="2" t="n">
        <f aca="false">'Raw Data'!U3941</f>
        <v>0</v>
      </c>
      <c r="G3941" s="2" t="n">
        <f aca="false">'Raw Data'!W3941</f>
        <v>3</v>
      </c>
      <c r="H3941" s="2" t="n">
        <f aca="false">'Raw Data'!V3941</f>
        <v>1</v>
      </c>
      <c r="I3941" s="2" t="n">
        <f aca="false">IF(AND(ISNUMBER(B3941),B3941&lt;=25),2,0)+IF(AND(ISNUMBER(E3941),E3941&lt;=5),2,0)+IF(AND(ISNUMBER(F3941),F3941&lt;=1),2,0)+IF(AND(ISNUMBER(G3941),G3941&lt;=2),1,0)+IF(AND(ISNUMBER(H3941),H3941&lt;=2),1,0)</f>
        <v>3</v>
      </c>
      <c r="J3941" s="2" t="str">
        <f aca="false">IF(I3941&gt;=6,"High",IF(I3941&gt;=3,"Medium","Low"))</f>
        <v>Medium</v>
      </c>
    </row>
    <row r="3942" customFormat="false" ht="15" hidden="false" customHeight="true" outlineLevel="0" collapsed="false">
      <c r="A3942" s="2" t="n">
        <f aca="false">'Raw Data'!H3942</f>
        <v>3941</v>
      </c>
      <c r="B3942" s="2" t="n">
        <f aca="false">'Raw Data'!A3942</f>
        <v>29</v>
      </c>
      <c r="C3942" s="2" t="str">
        <f aca="false">'Raw Data'!D3942</f>
        <v>Research &amp; Development</v>
      </c>
      <c r="D3942" s="2" t="str">
        <f aca="false">'Raw Data'!K3942</f>
        <v>Sales Representative</v>
      </c>
      <c r="E3942" s="2" t="n">
        <f aca="false">'Raw Data'!Q3942</f>
        <v>1</v>
      </c>
      <c r="F3942" s="2" t="n">
        <f aca="false">'Raw Data'!U3942</f>
        <v>0</v>
      </c>
      <c r="G3942" s="2" t="n">
        <f aca="false">'Raw Data'!W3942</f>
        <v>1</v>
      </c>
      <c r="H3942" s="2" t="n">
        <f aca="false">'Raw Data'!V3942</f>
        <v>4</v>
      </c>
      <c r="I3942" s="2" t="n">
        <f aca="false">IF(AND(ISNUMBER(B3942),B3942&lt;=25),2,0)+IF(AND(ISNUMBER(E3942),E3942&lt;=5),2,0)+IF(AND(ISNUMBER(F3942),F3942&lt;=1),2,0)+IF(AND(ISNUMBER(G3942),G3942&lt;=2),1,0)+IF(AND(ISNUMBER(H3942),H3942&lt;=2),1,0)</f>
        <v>5</v>
      </c>
      <c r="J3942" s="2" t="str">
        <f aca="false">IF(I3942&gt;=6,"High",IF(I3942&gt;=3,"Medium","Low"))</f>
        <v>Medium</v>
      </c>
    </row>
    <row r="3943" customFormat="false" ht="15" hidden="false" customHeight="true" outlineLevel="0" collapsed="false">
      <c r="A3943" s="2" t="n">
        <f aca="false">'Raw Data'!H3943</f>
        <v>3942</v>
      </c>
      <c r="B3943" s="2" t="n">
        <f aca="false">'Raw Data'!A3943</f>
        <v>30</v>
      </c>
      <c r="C3943" s="2" t="str">
        <f aca="false">'Raw Data'!D3943</f>
        <v>Research &amp; Development</v>
      </c>
      <c r="D3943" s="2" t="str">
        <f aca="false">'Raw Data'!K3943</f>
        <v>Sales Representative</v>
      </c>
      <c r="E3943" s="2" t="n">
        <f aca="false">'Raw Data'!Q3943</f>
        <v>10</v>
      </c>
      <c r="F3943" s="2" t="n">
        <f aca="false">'Raw Data'!U3943</f>
        <v>7</v>
      </c>
      <c r="G3943" s="2" t="n">
        <f aca="false">'Raw Data'!W3943</f>
        <v>3</v>
      </c>
      <c r="H3943" s="2" t="n">
        <f aca="false">'Raw Data'!V3943</f>
        <v>3</v>
      </c>
      <c r="I3943" s="2" t="n">
        <f aca="false">IF(AND(ISNUMBER(B3943),B3943&lt;=25),2,0)+IF(AND(ISNUMBER(E3943),E3943&lt;=5),2,0)+IF(AND(ISNUMBER(F3943),F3943&lt;=1),2,0)+IF(AND(ISNUMBER(G3943),G3943&lt;=2),1,0)+IF(AND(ISNUMBER(H3943),H3943&lt;=2),1,0)</f>
        <v>0</v>
      </c>
      <c r="J3943" s="2" t="str">
        <f aca="false">IF(I3943&gt;=6,"High",IF(I3943&gt;=3,"Medium","Low"))</f>
        <v>Low</v>
      </c>
    </row>
    <row r="3944" customFormat="false" ht="15" hidden="false" customHeight="true" outlineLevel="0" collapsed="false">
      <c r="A3944" s="2" t="n">
        <f aca="false">'Raw Data'!H3944</f>
        <v>3943</v>
      </c>
      <c r="B3944" s="2" t="n">
        <f aca="false">'Raw Data'!A3944</f>
        <v>32</v>
      </c>
      <c r="C3944" s="2" t="str">
        <f aca="false">'Raw Data'!D3944</f>
        <v>Research &amp; Development</v>
      </c>
      <c r="D3944" s="2" t="str">
        <f aca="false">'Raw Data'!K3944</f>
        <v>Laboratory Technician</v>
      </c>
      <c r="E3944" s="2" t="n">
        <f aca="false">'Raw Data'!Q3944</f>
        <v>12</v>
      </c>
      <c r="F3944" s="2" t="n">
        <f aca="false">'Raw Data'!U3944</f>
        <v>7</v>
      </c>
      <c r="G3944" s="2" t="n">
        <f aca="false">'Raw Data'!W3944</f>
        <v>2</v>
      </c>
      <c r="H3944" s="2" t="n">
        <f aca="false">'Raw Data'!V3944</f>
        <v>2</v>
      </c>
      <c r="I3944" s="2" t="n">
        <f aca="false">IF(AND(ISNUMBER(B3944),B3944&lt;=25),2,0)+IF(AND(ISNUMBER(E3944),E3944&lt;=5),2,0)+IF(AND(ISNUMBER(F3944),F3944&lt;=1),2,0)+IF(AND(ISNUMBER(G3944),G3944&lt;=2),1,0)+IF(AND(ISNUMBER(H3944),H3944&lt;=2),1,0)</f>
        <v>2</v>
      </c>
      <c r="J3944" s="2" t="str">
        <f aca="false">IF(I3944&gt;=6,"High",IF(I3944&gt;=3,"Medium","Low"))</f>
        <v>Low</v>
      </c>
    </row>
    <row r="3945" customFormat="false" ht="15" hidden="false" customHeight="true" outlineLevel="0" collapsed="false">
      <c r="A3945" s="2" t="n">
        <f aca="false">'Raw Data'!H3945</f>
        <v>3944</v>
      </c>
      <c r="B3945" s="2" t="n">
        <f aca="false">'Raw Data'!A3945</f>
        <v>38</v>
      </c>
      <c r="C3945" s="2" t="str">
        <f aca="false">'Raw Data'!D3945</f>
        <v>Research &amp; Development</v>
      </c>
      <c r="D3945" s="2" t="str">
        <f aca="false">'Raw Data'!K3945</f>
        <v>Manufacturing Director</v>
      </c>
      <c r="E3945" s="2" t="n">
        <f aca="false">'Raw Data'!Q3945</f>
        <v>15</v>
      </c>
      <c r="F3945" s="2" t="n">
        <f aca="false">'Raw Data'!U3945</f>
        <v>0</v>
      </c>
      <c r="G3945" s="2" t="n">
        <f aca="false">'Raw Data'!W3945</f>
        <v>4</v>
      </c>
      <c r="H3945" s="2" t="n">
        <f aca="false">'Raw Data'!V3945</f>
        <v>2</v>
      </c>
      <c r="I3945" s="2" t="n">
        <f aca="false">IF(AND(ISNUMBER(B3945),B3945&lt;=25),2,0)+IF(AND(ISNUMBER(E3945),E3945&lt;=5),2,0)+IF(AND(ISNUMBER(F3945),F3945&lt;=1),2,0)+IF(AND(ISNUMBER(G3945),G3945&lt;=2),1,0)+IF(AND(ISNUMBER(H3945),H3945&lt;=2),1,0)</f>
        <v>3</v>
      </c>
      <c r="J3945" s="2" t="str">
        <f aca="false">IF(I3945&gt;=6,"High",IF(I3945&gt;=3,"Medium","Low"))</f>
        <v>Medium</v>
      </c>
    </row>
    <row r="3946" customFormat="false" ht="15" hidden="false" customHeight="true" outlineLevel="0" collapsed="false">
      <c r="A3946" s="2" t="n">
        <f aca="false">'Raw Data'!H3946</f>
        <v>3945</v>
      </c>
      <c r="B3946" s="2" t="n">
        <f aca="false">'Raw Data'!A3946</f>
        <v>43</v>
      </c>
      <c r="C3946" s="2" t="str">
        <f aca="false">'Raw Data'!D3946</f>
        <v>Research &amp; Development</v>
      </c>
      <c r="D3946" s="2" t="str">
        <f aca="false">'Raw Data'!K3946</f>
        <v>Sales Executive</v>
      </c>
      <c r="E3946" s="2" t="n">
        <f aca="false">'Raw Data'!Q3946</f>
        <v>6</v>
      </c>
      <c r="F3946" s="2" t="n">
        <f aca="false">'Raw Data'!U3946</f>
        <v>0</v>
      </c>
      <c r="G3946" s="2" t="n">
        <f aca="false">'Raw Data'!W3946</f>
        <v>3</v>
      </c>
      <c r="H3946" s="2" t="n">
        <f aca="false">'Raw Data'!V3946</f>
        <v>3</v>
      </c>
      <c r="I3946" s="2" t="n">
        <f aca="false">IF(AND(ISNUMBER(B3946),B3946&lt;=25),2,0)+IF(AND(ISNUMBER(E3946),E3946&lt;=5),2,0)+IF(AND(ISNUMBER(F3946),F3946&lt;=1),2,0)+IF(AND(ISNUMBER(G3946),G3946&lt;=2),1,0)+IF(AND(ISNUMBER(H3946),H3946&lt;=2),1,0)</f>
        <v>2</v>
      </c>
      <c r="J3946" s="2" t="str">
        <f aca="false">IF(I3946&gt;=6,"High",IF(I3946&gt;=3,"Medium","Low"))</f>
        <v>Low</v>
      </c>
    </row>
    <row r="3947" customFormat="false" ht="15" hidden="false" customHeight="true" outlineLevel="0" collapsed="false">
      <c r="A3947" s="2" t="n">
        <f aca="false">'Raw Data'!H3947</f>
        <v>3946</v>
      </c>
      <c r="B3947" s="2" t="n">
        <f aca="false">'Raw Data'!A3947</f>
        <v>42</v>
      </c>
      <c r="C3947" s="2" t="str">
        <f aca="false">'Raw Data'!D3947</f>
        <v>Human Resources</v>
      </c>
      <c r="D3947" s="2" t="str">
        <f aca="false">'Raw Data'!K3947</f>
        <v>Healthcare Representative</v>
      </c>
      <c r="E3947" s="2" t="n">
        <f aca="false">'Raw Data'!Q3947</f>
        <v>7</v>
      </c>
      <c r="F3947" s="2" t="n">
        <f aca="false">'Raw Data'!U3947</f>
        <v>4</v>
      </c>
      <c r="G3947" s="2" t="n">
        <f aca="false">'Raw Data'!W3947</f>
        <v>2</v>
      </c>
      <c r="H3947" s="2" t="n">
        <f aca="false">'Raw Data'!V3947</f>
        <v>2</v>
      </c>
      <c r="I3947" s="2" t="n">
        <f aca="false">IF(AND(ISNUMBER(B3947),B3947&lt;=25),2,0)+IF(AND(ISNUMBER(E3947),E3947&lt;=5),2,0)+IF(AND(ISNUMBER(F3947),F3947&lt;=1),2,0)+IF(AND(ISNUMBER(G3947),G3947&lt;=2),1,0)+IF(AND(ISNUMBER(H3947),H3947&lt;=2),1,0)</f>
        <v>2</v>
      </c>
      <c r="J3947" s="2" t="str">
        <f aca="false">IF(I3947&gt;=6,"High",IF(I3947&gt;=3,"Medium","Low"))</f>
        <v>Low</v>
      </c>
    </row>
    <row r="3948" customFormat="false" ht="15" hidden="false" customHeight="true" outlineLevel="0" collapsed="false">
      <c r="A3948" s="2" t="n">
        <f aca="false">'Raw Data'!H3948</f>
        <v>3947</v>
      </c>
      <c r="B3948" s="2" t="n">
        <f aca="false">'Raw Data'!A3948</f>
        <v>55</v>
      </c>
      <c r="C3948" s="2" t="str">
        <f aca="false">'Raw Data'!D3948</f>
        <v>Research &amp; Development</v>
      </c>
      <c r="D3948" s="2" t="str">
        <f aca="false">'Raw Data'!K3948</f>
        <v>Sales Executive</v>
      </c>
      <c r="E3948" s="2" t="n">
        <f aca="false">'Raw Data'!Q3948</f>
        <v>34</v>
      </c>
      <c r="F3948" s="2" t="n">
        <f aca="false">'Raw Data'!U3948</f>
        <v>0</v>
      </c>
      <c r="G3948" s="2" t="n">
        <f aca="false">'Raw Data'!W3948</f>
        <v>1</v>
      </c>
      <c r="H3948" s="2" t="n">
        <f aca="false">'Raw Data'!V3948</f>
        <v>3</v>
      </c>
      <c r="I3948" s="2" t="n">
        <f aca="false">IF(AND(ISNUMBER(B3948),B3948&lt;=25),2,0)+IF(AND(ISNUMBER(E3948),E3948&lt;=5),2,0)+IF(AND(ISNUMBER(F3948),F3948&lt;=1),2,0)+IF(AND(ISNUMBER(G3948),G3948&lt;=2),1,0)+IF(AND(ISNUMBER(H3948),H3948&lt;=2),1,0)</f>
        <v>3</v>
      </c>
      <c r="J3948" s="2" t="str">
        <f aca="false">IF(I3948&gt;=6,"High",IF(I3948&gt;=3,"Medium","Low"))</f>
        <v>Medium</v>
      </c>
    </row>
    <row r="3949" customFormat="false" ht="15" hidden="false" customHeight="true" outlineLevel="0" collapsed="false">
      <c r="A3949" s="2" t="n">
        <f aca="false">'Raw Data'!H3949</f>
        <v>3948</v>
      </c>
      <c r="B3949" s="2" t="n">
        <f aca="false">'Raw Data'!A3949</f>
        <v>33</v>
      </c>
      <c r="C3949" s="2" t="str">
        <f aca="false">'Raw Data'!D3949</f>
        <v>Research &amp; Development</v>
      </c>
      <c r="D3949" s="2" t="str">
        <f aca="false">'Raw Data'!K3949</f>
        <v>Research Scientist</v>
      </c>
      <c r="E3949" s="2" t="n">
        <f aca="false">'Raw Data'!Q3949</f>
        <v>11</v>
      </c>
      <c r="F3949" s="2" t="n">
        <f aca="false">'Raw Data'!U3949</f>
        <v>7</v>
      </c>
      <c r="G3949" s="2" t="n">
        <f aca="false">'Raw Data'!W3949</f>
        <v>2</v>
      </c>
      <c r="H3949" s="2" t="n">
        <f aca="false">'Raw Data'!V3949</f>
        <v>4</v>
      </c>
      <c r="I3949" s="2" t="n">
        <f aca="false">IF(AND(ISNUMBER(B3949),B3949&lt;=25),2,0)+IF(AND(ISNUMBER(E3949),E3949&lt;=5),2,0)+IF(AND(ISNUMBER(F3949),F3949&lt;=1),2,0)+IF(AND(ISNUMBER(G3949),G3949&lt;=2),1,0)+IF(AND(ISNUMBER(H3949),H3949&lt;=2),1,0)</f>
        <v>1</v>
      </c>
      <c r="J3949" s="2" t="str">
        <f aca="false">IF(I3949&gt;=6,"High",IF(I3949&gt;=3,"Medium","Low"))</f>
        <v>Low</v>
      </c>
    </row>
    <row r="3950" customFormat="false" ht="15" hidden="false" customHeight="true" outlineLevel="0" collapsed="false">
      <c r="A3950" s="2" t="n">
        <f aca="false">'Raw Data'!H3950</f>
        <v>3949</v>
      </c>
      <c r="B3950" s="2" t="n">
        <f aca="false">'Raw Data'!A3950</f>
        <v>41</v>
      </c>
      <c r="C3950" s="2" t="str">
        <f aca="false">'Raw Data'!D3950</f>
        <v>Research &amp; Development</v>
      </c>
      <c r="D3950" s="2" t="str">
        <f aca="false">'Raw Data'!K3950</f>
        <v>Sales Representative</v>
      </c>
      <c r="E3950" s="2" t="n">
        <f aca="false">'Raw Data'!Q3950</f>
        <v>5</v>
      </c>
      <c r="F3950" s="2" t="n">
        <f aca="false">'Raw Data'!U3950</f>
        <v>4</v>
      </c>
      <c r="G3950" s="2" t="n">
        <f aca="false">'Raw Data'!W3950</f>
        <v>1</v>
      </c>
      <c r="H3950" s="2" t="n">
        <f aca="false">'Raw Data'!V3950</f>
        <v>3</v>
      </c>
      <c r="I3950" s="2" t="n">
        <f aca="false">IF(AND(ISNUMBER(B3950),B3950&lt;=25),2,0)+IF(AND(ISNUMBER(E3950),E3950&lt;=5),2,0)+IF(AND(ISNUMBER(F3950),F3950&lt;=1),2,0)+IF(AND(ISNUMBER(G3950),G3950&lt;=2),1,0)+IF(AND(ISNUMBER(H3950),H3950&lt;=2),1,0)</f>
        <v>3</v>
      </c>
      <c r="J3950" s="2" t="str">
        <f aca="false">IF(I3950&gt;=6,"High",IF(I3950&gt;=3,"Medium","Low"))</f>
        <v>Medium</v>
      </c>
    </row>
    <row r="3951" customFormat="false" ht="15" hidden="false" customHeight="true" outlineLevel="0" collapsed="false">
      <c r="A3951" s="2" t="n">
        <f aca="false">'Raw Data'!H3951</f>
        <v>3950</v>
      </c>
      <c r="B3951" s="2" t="n">
        <f aca="false">'Raw Data'!A3951</f>
        <v>34</v>
      </c>
      <c r="C3951" s="2" t="str">
        <f aca="false">'Raw Data'!D3951</f>
        <v>Research &amp; Development</v>
      </c>
      <c r="D3951" s="2" t="str">
        <f aca="false">'Raw Data'!K3951</f>
        <v>Research Scientist</v>
      </c>
      <c r="E3951" s="2" t="n">
        <f aca="false">'Raw Data'!Q3951</f>
        <v>15</v>
      </c>
      <c r="F3951" s="2" t="n">
        <f aca="false">'Raw Data'!U3951</f>
        <v>7</v>
      </c>
      <c r="G3951" s="2" t="n">
        <f aca="false">'Raw Data'!W3951</f>
        <v>3</v>
      </c>
      <c r="H3951" s="2" t="n">
        <f aca="false">'Raw Data'!V3951</f>
        <v>4</v>
      </c>
      <c r="I3951" s="2" t="n">
        <f aca="false">IF(AND(ISNUMBER(B3951),B3951&lt;=25),2,0)+IF(AND(ISNUMBER(E3951),E3951&lt;=5),2,0)+IF(AND(ISNUMBER(F3951),F3951&lt;=1),2,0)+IF(AND(ISNUMBER(G3951),G3951&lt;=2),1,0)+IF(AND(ISNUMBER(H3951),H3951&lt;=2),1,0)</f>
        <v>0</v>
      </c>
      <c r="J3951" s="2" t="str">
        <f aca="false">IF(I3951&gt;=6,"High",IF(I3951&gt;=3,"Medium","Low"))</f>
        <v>Low</v>
      </c>
    </row>
    <row r="3952" customFormat="false" ht="15" hidden="false" customHeight="true" outlineLevel="0" collapsed="false">
      <c r="A3952" s="2" t="n">
        <f aca="false">'Raw Data'!H3952</f>
        <v>3951</v>
      </c>
      <c r="B3952" s="2" t="n">
        <f aca="false">'Raw Data'!A3952</f>
        <v>53</v>
      </c>
      <c r="C3952" s="2" t="str">
        <f aca="false">'Raw Data'!D3952</f>
        <v>Research &amp; Development</v>
      </c>
      <c r="D3952" s="2" t="str">
        <f aca="false">'Raw Data'!K3952</f>
        <v>Healthcare Representative</v>
      </c>
      <c r="E3952" s="2" t="n">
        <f aca="false">'Raw Data'!Q3952</f>
        <v>27</v>
      </c>
      <c r="F3952" s="2" t="n">
        <f aca="false">'Raw Data'!U3952</f>
        <v>2</v>
      </c>
      <c r="G3952" s="2" t="n">
        <f aca="false">'Raw Data'!W3952</f>
        <v>3</v>
      </c>
      <c r="H3952" s="2" t="n">
        <f aca="false">'Raw Data'!V3952</f>
        <v>1</v>
      </c>
      <c r="I3952" s="2" t="n">
        <f aca="false">IF(AND(ISNUMBER(B3952),B3952&lt;=25),2,0)+IF(AND(ISNUMBER(E3952),E3952&lt;=5),2,0)+IF(AND(ISNUMBER(F3952),F3952&lt;=1),2,0)+IF(AND(ISNUMBER(G3952),G3952&lt;=2),1,0)+IF(AND(ISNUMBER(H3952),H3952&lt;=2),1,0)</f>
        <v>1</v>
      </c>
      <c r="J3952" s="2" t="str">
        <f aca="false">IF(I3952&gt;=6,"High",IF(I3952&gt;=3,"Medium","Low"))</f>
        <v>Low</v>
      </c>
    </row>
    <row r="3953" customFormat="false" ht="15" hidden="false" customHeight="true" outlineLevel="0" collapsed="false">
      <c r="A3953" s="2" t="n">
        <f aca="false">'Raw Data'!H3953</f>
        <v>3952</v>
      </c>
      <c r="B3953" s="2" t="n">
        <f aca="false">'Raw Data'!A3953</f>
        <v>43</v>
      </c>
      <c r="C3953" s="2" t="str">
        <f aca="false">'Raw Data'!D3953</f>
        <v>Sales</v>
      </c>
      <c r="D3953" s="2" t="str">
        <f aca="false">'Raw Data'!K3953</f>
        <v>Laboratory Technician</v>
      </c>
      <c r="E3953" s="2" t="n">
        <f aca="false">'Raw Data'!Q3953</f>
        <v>10</v>
      </c>
      <c r="F3953" s="2" t="n">
        <f aca="false">'Raw Data'!U3953</f>
        <v>8</v>
      </c>
      <c r="G3953" s="2" t="n">
        <f aca="false">'Raw Data'!W3953</f>
        <v>4</v>
      </c>
      <c r="H3953" s="2" t="n">
        <f aca="false">'Raw Data'!V3953</f>
        <v>2</v>
      </c>
      <c r="I3953" s="2" t="n">
        <f aca="false">IF(AND(ISNUMBER(B3953),B3953&lt;=25),2,0)+IF(AND(ISNUMBER(E3953),E3953&lt;=5),2,0)+IF(AND(ISNUMBER(F3953),F3953&lt;=1),2,0)+IF(AND(ISNUMBER(G3953),G3953&lt;=2),1,0)+IF(AND(ISNUMBER(H3953),H3953&lt;=2),1,0)</f>
        <v>1</v>
      </c>
      <c r="J3953" s="2" t="str">
        <f aca="false">IF(I3953&gt;=6,"High",IF(I3953&gt;=3,"Medium","Low"))</f>
        <v>Low</v>
      </c>
    </row>
    <row r="3954" customFormat="false" ht="15" hidden="false" customHeight="true" outlineLevel="0" collapsed="false">
      <c r="A3954" s="2" t="n">
        <f aca="false">'Raw Data'!H3954</f>
        <v>3953</v>
      </c>
      <c r="B3954" s="2" t="n">
        <f aca="false">'Raw Data'!A3954</f>
        <v>34</v>
      </c>
      <c r="C3954" s="2" t="str">
        <f aca="false">'Raw Data'!D3954</f>
        <v>Sales</v>
      </c>
      <c r="D3954" s="2" t="str">
        <f aca="false">'Raw Data'!K3954</f>
        <v>Sales Executive</v>
      </c>
      <c r="E3954" s="2" t="n">
        <f aca="false">'Raw Data'!Q3954</f>
        <v>6</v>
      </c>
      <c r="F3954" s="2" t="n">
        <f aca="false">'Raw Data'!U3954</f>
        <v>2</v>
      </c>
      <c r="G3954" s="2" t="n">
        <f aca="false">'Raw Data'!W3954</f>
        <v>4</v>
      </c>
      <c r="H3954" s="2" t="n">
        <f aca="false">'Raw Data'!V3954</f>
        <v>4</v>
      </c>
      <c r="I3954" s="2" t="n">
        <f aca="false">IF(AND(ISNUMBER(B3954),B3954&lt;=25),2,0)+IF(AND(ISNUMBER(E3954),E3954&lt;=5),2,0)+IF(AND(ISNUMBER(F3954),F3954&lt;=1),2,0)+IF(AND(ISNUMBER(G3954),G3954&lt;=2),1,0)+IF(AND(ISNUMBER(H3954),H3954&lt;=2),1,0)</f>
        <v>0</v>
      </c>
      <c r="J3954" s="2" t="str">
        <f aca="false">IF(I3954&gt;=6,"High",IF(I3954&gt;=3,"Medium","Low"))</f>
        <v>Low</v>
      </c>
    </row>
    <row r="3955" customFormat="false" ht="15" hidden="false" customHeight="true" outlineLevel="0" collapsed="false">
      <c r="A3955" s="2" t="n">
        <f aca="false">'Raw Data'!H3955</f>
        <v>3954</v>
      </c>
      <c r="B3955" s="2" t="n">
        <f aca="false">'Raw Data'!A3955</f>
        <v>21</v>
      </c>
      <c r="C3955" s="2" t="str">
        <f aca="false">'Raw Data'!D3955</f>
        <v>Sales</v>
      </c>
      <c r="D3955" s="2" t="str">
        <f aca="false">'Raw Data'!K3955</f>
        <v>Healthcare Representative</v>
      </c>
      <c r="E3955" s="2" t="n">
        <f aca="false">'Raw Data'!Q3955</f>
        <v>1</v>
      </c>
      <c r="F3955" s="2" t="n">
        <f aca="false">'Raw Data'!U3955</f>
        <v>0</v>
      </c>
      <c r="G3955" s="2" t="n">
        <f aca="false">'Raw Data'!W3955</f>
        <v>2</v>
      </c>
      <c r="H3955" s="2" t="n">
        <f aca="false">'Raw Data'!V3955</f>
        <v>2</v>
      </c>
      <c r="I3955" s="2" t="n">
        <f aca="false">IF(AND(ISNUMBER(B3955),B3955&lt;=25),2,0)+IF(AND(ISNUMBER(E3955),E3955&lt;=5),2,0)+IF(AND(ISNUMBER(F3955),F3955&lt;=1),2,0)+IF(AND(ISNUMBER(G3955),G3955&lt;=2),1,0)+IF(AND(ISNUMBER(H3955),H3955&lt;=2),1,0)</f>
        <v>8</v>
      </c>
      <c r="J3955" s="2" t="str">
        <f aca="false">IF(I3955&gt;=6,"High",IF(I3955&gt;=3,"Medium","Low"))</f>
        <v>High</v>
      </c>
    </row>
    <row r="3956" customFormat="false" ht="15" hidden="false" customHeight="true" outlineLevel="0" collapsed="false">
      <c r="A3956" s="2" t="n">
        <f aca="false">'Raw Data'!H3956</f>
        <v>3955</v>
      </c>
      <c r="B3956" s="2" t="n">
        <f aca="false">'Raw Data'!A3956</f>
        <v>38</v>
      </c>
      <c r="C3956" s="2" t="str">
        <f aca="false">'Raw Data'!D3956</f>
        <v>Research &amp; Development</v>
      </c>
      <c r="D3956" s="2" t="str">
        <f aca="false">'Raw Data'!K3956</f>
        <v>Sales Executive</v>
      </c>
      <c r="E3956" s="2" t="n">
        <f aca="false">'Raw Data'!Q3956</f>
        <v>5</v>
      </c>
      <c r="F3956" s="2" t="n">
        <f aca="false">'Raw Data'!U3956</f>
        <v>4</v>
      </c>
      <c r="G3956" s="2" t="n">
        <f aca="false">'Raw Data'!W3956</f>
        <v>3</v>
      </c>
      <c r="H3956" s="2" t="n">
        <f aca="false">'Raw Data'!V3956</f>
        <v>4</v>
      </c>
      <c r="I3956" s="2" t="n">
        <f aca="false">IF(AND(ISNUMBER(B3956),B3956&lt;=25),2,0)+IF(AND(ISNUMBER(E3956),E3956&lt;=5),2,0)+IF(AND(ISNUMBER(F3956),F3956&lt;=1),2,0)+IF(AND(ISNUMBER(G3956),G3956&lt;=2),1,0)+IF(AND(ISNUMBER(H3956),H3956&lt;=2),1,0)</f>
        <v>2</v>
      </c>
      <c r="J3956" s="2" t="str">
        <f aca="false">IF(I3956&gt;=6,"High",IF(I3956&gt;=3,"Medium","Low"))</f>
        <v>Low</v>
      </c>
    </row>
    <row r="3957" customFormat="false" ht="15" hidden="false" customHeight="true" outlineLevel="0" collapsed="false">
      <c r="A3957" s="2" t="n">
        <f aca="false">'Raw Data'!H3957</f>
        <v>3956</v>
      </c>
      <c r="B3957" s="2" t="n">
        <f aca="false">'Raw Data'!A3957</f>
        <v>22</v>
      </c>
      <c r="C3957" s="2" t="str">
        <f aca="false">'Raw Data'!D3957</f>
        <v>Research &amp; Development</v>
      </c>
      <c r="D3957" s="2" t="str">
        <f aca="false">'Raw Data'!K3957</f>
        <v>Research Scientist</v>
      </c>
      <c r="E3957" s="2" t="n">
        <f aca="false">'Raw Data'!Q3957</f>
        <v>1</v>
      </c>
      <c r="F3957" s="2" t="n">
        <f aca="false">'Raw Data'!U3957</f>
        <v>0</v>
      </c>
      <c r="G3957" s="2" t="n">
        <f aca="false">'Raw Data'!W3957</f>
        <v>1</v>
      </c>
      <c r="H3957" s="2" t="n">
        <f aca="false">'Raw Data'!V3957</f>
        <v>3</v>
      </c>
      <c r="I3957" s="2" t="n">
        <f aca="false">IF(AND(ISNUMBER(B3957),B3957&lt;=25),2,0)+IF(AND(ISNUMBER(E3957),E3957&lt;=5),2,0)+IF(AND(ISNUMBER(F3957),F3957&lt;=1),2,0)+IF(AND(ISNUMBER(G3957),G3957&lt;=2),1,0)+IF(AND(ISNUMBER(H3957),H3957&lt;=2),1,0)</f>
        <v>7</v>
      </c>
      <c r="J3957" s="2" t="str">
        <f aca="false">IF(I3957&gt;=6,"High",IF(I3957&gt;=3,"Medium","Low"))</f>
        <v>High</v>
      </c>
    </row>
    <row r="3958" customFormat="false" ht="15" hidden="false" customHeight="true" outlineLevel="0" collapsed="false">
      <c r="A3958" s="2" t="n">
        <f aca="false">'Raw Data'!H3958</f>
        <v>3957</v>
      </c>
      <c r="B3958" s="2" t="n">
        <f aca="false">'Raw Data'!A3958</f>
        <v>31</v>
      </c>
      <c r="C3958" s="2" t="str">
        <f aca="false">'Raw Data'!D3958</f>
        <v>Research &amp; Development</v>
      </c>
      <c r="D3958" s="2" t="str">
        <f aca="false">'Raw Data'!K3958</f>
        <v>Sales Executive</v>
      </c>
      <c r="E3958" s="2" t="n">
        <f aca="false">'Raw Data'!Q3958</f>
        <v>13</v>
      </c>
      <c r="F3958" s="2" t="n">
        <f aca="false">'Raw Data'!U3958</f>
        <v>7</v>
      </c>
      <c r="G3958" s="2" t="n">
        <f aca="false">'Raw Data'!W3958</f>
        <v>4</v>
      </c>
      <c r="H3958" s="2" t="n">
        <f aca="false">'Raw Data'!V3958</f>
        <v>1</v>
      </c>
      <c r="I3958" s="2" t="n">
        <f aca="false">IF(AND(ISNUMBER(B3958),B3958&lt;=25),2,0)+IF(AND(ISNUMBER(E3958),E3958&lt;=5),2,0)+IF(AND(ISNUMBER(F3958),F3958&lt;=1),2,0)+IF(AND(ISNUMBER(G3958),G3958&lt;=2),1,0)+IF(AND(ISNUMBER(H3958),H3958&lt;=2),1,0)</f>
        <v>1</v>
      </c>
      <c r="J3958" s="2" t="str">
        <f aca="false">IF(I3958&gt;=6,"High",IF(I3958&gt;=3,"Medium","Low"))</f>
        <v>Low</v>
      </c>
    </row>
    <row r="3959" customFormat="false" ht="15" hidden="false" customHeight="true" outlineLevel="0" collapsed="false">
      <c r="A3959" s="2" t="n">
        <f aca="false">'Raw Data'!H3959</f>
        <v>3958</v>
      </c>
      <c r="B3959" s="2" t="n">
        <f aca="false">'Raw Data'!A3959</f>
        <v>51</v>
      </c>
      <c r="C3959" s="2" t="str">
        <f aca="false">'Raw Data'!D3959</f>
        <v>Research &amp; Development</v>
      </c>
      <c r="D3959" s="2" t="str">
        <f aca="false">'Raw Data'!K3959</f>
        <v>Manager</v>
      </c>
      <c r="E3959" s="2" t="n">
        <f aca="false">'Raw Data'!Q3959</f>
        <v>15</v>
      </c>
      <c r="F3959" s="2" t="n">
        <f aca="false">'Raw Data'!U3959</f>
        <v>2</v>
      </c>
      <c r="G3959" s="2" t="n">
        <f aca="false">'Raw Data'!W3959</f>
        <v>3</v>
      </c>
      <c r="H3959" s="2" t="n">
        <f aca="false">'Raw Data'!V3959</f>
        <v>1</v>
      </c>
      <c r="I3959" s="2" t="n">
        <f aca="false">IF(AND(ISNUMBER(B3959),B3959&lt;=25),2,0)+IF(AND(ISNUMBER(E3959),E3959&lt;=5),2,0)+IF(AND(ISNUMBER(F3959),F3959&lt;=1),2,0)+IF(AND(ISNUMBER(G3959),G3959&lt;=2),1,0)+IF(AND(ISNUMBER(H3959),H3959&lt;=2),1,0)</f>
        <v>1</v>
      </c>
      <c r="J3959" s="2" t="str">
        <f aca="false">IF(I3959&gt;=6,"High",IF(I3959&gt;=3,"Medium","Low"))</f>
        <v>Low</v>
      </c>
    </row>
    <row r="3960" customFormat="false" ht="15" hidden="false" customHeight="true" outlineLevel="0" collapsed="false">
      <c r="A3960" s="2" t="n">
        <f aca="false">'Raw Data'!H3960</f>
        <v>3959</v>
      </c>
      <c r="B3960" s="2" t="n">
        <f aca="false">'Raw Data'!A3960</f>
        <v>37</v>
      </c>
      <c r="C3960" s="2" t="str">
        <f aca="false">'Raw Data'!D3960</f>
        <v>Research &amp; Development</v>
      </c>
      <c r="D3960" s="2" t="str">
        <f aca="false">'Raw Data'!K3960</f>
        <v>Sales Executive</v>
      </c>
      <c r="E3960" s="2" t="n">
        <f aca="false">'Raw Data'!Q3960</f>
        <v>5</v>
      </c>
      <c r="F3960" s="2" t="n">
        <f aca="false">'Raw Data'!U3960</f>
        <v>3</v>
      </c>
      <c r="G3960" s="2" t="n">
        <f aca="false">'Raw Data'!W3960</f>
        <v>2</v>
      </c>
      <c r="H3960" s="2" t="n">
        <f aca="false">'Raw Data'!V3960</f>
        <v>2</v>
      </c>
      <c r="I3960" s="2" t="n">
        <f aca="false">IF(AND(ISNUMBER(B3960),B3960&lt;=25),2,0)+IF(AND(ISNUMBER(E3960),E3960&lt;=5),2,0)+IF(AND(ISNUMBER(F3960),F3960&lt;=1),2,0)+IF(AND(ISNUMBER(G3960),G3960&lt;=2),1,0)+IF(AND(ISNUMBER(H3960),H3960&lt;=2),1,0)</f>
        <v>4</v>
      </c>
      <c r="J3960" s="2" t="str">
        <f aca="false">IF(I3960&gt;=6,"High",IF(I3960&gt;=3,"Medium","Low"))</f>
        <v>Medium</v>
      </c>
    </row>
    <row r="3961" customFormat="false" ht="15" hidden="false" customHeight="true" outlineLevel="0" collapsed="false">
      <c r="A3961" s="2" t="n">
        <f aca="false">'Raw Data'!H3961</f>
        <v>3960</v>
      </c>
      <c r="B3961" s="2" t="n">
        <f aca="false">'Raw Data'!A3961</f>
        <v>46</v>
      </c>
      <c r="C3961" s="2" t="str">
        <f aca="false">'Raw Data'!D3961</f>
        <v>Sales</v>
      </c>
      <c r="D3961" s="2" t="str">
        <f aca="false">'Raw Data'!K3961</f>
        <v>Sales Representative</v>
      </c>
      <c r="E3961" s="2" t="n">
        <f aca="false">'Raw Data'!Q3961</f>
        <v>24</v>
      </c>
      <c r="F3961" s="2" t="n">
        <f aca="false">'Raw Data'!U3961</f>
        <v>2</v>
      </c>
      <c r="G3961" s="2" t="n">
        <f aca="false">'Raw Data'!W3961</f>
        <v>4</v>
      </c>
      <c r="H3961" s="2" t="n">
        <f aca="false">'Raw Data'!V3961</f>
        <v>3</v>
      </c>
      <c r="I3961" s="2" t="n">
        <f aca="false">IF(AND(ISNUMBER(B3961),B3961&lt;=25),2,0)+IF(AND(ISNUMBER(E3961),E3961&lt;=5),2,0)+IF(AND(ISNUMBER(F3961),F3961&lt;=1),2,0)+IF(AND(ISNUMBER(G3961),G3961&lt;=2),1,0)+IF(AND(ISNUMBER(H3961),H3961&lt;=2),1,0)</f>
        <v>0</v>
      </c>
      <c r="J3961" s="2" t="str">
        <f aca="false">IF(I3961&gt;=6,"High",IF(I3961&gt;=3,"Medium","Low"))</f>
        <v>Low</v>
      </c>
    </row>
    <row r="3962" customFormat="false" ht="15" hidden="false" customHeight="true" outlineLevel="0" collapsed="false">
      <c r="A3962" s="2" t="n">
        <f aca="false">'Raw Data'!H3962</f>
        <v>3961</v>
      </c>
      <c r="B3962" s="2" t="n">
        <f aca="false">'Raw Data'!A3962</f>
        <v>36</v>
      </c>
      <c r="C3962" s="2" t="str">
        <f aca="false">'Raw Data'!D3962</f>
        <v>Research &amp; Development</v>
      </c>
      <c r="D3962" s="2" t="str">
        <f aca="false">'Raw Data'!K3962</f>
        <v>Research Scientist</v>
      </c>
      <c r="E3962" s="2" t="n">
        <f aca="false">'Raw Data'!Q3962</f>
        <v>15</v>
      </c>
      <c r="F3962" s="2" t="n">
        <f aca="false">'Raw Data'!U3962</f>
        <v>7</v>
      </c>
      <c r="G3962" s="2" t="n">
        <f aca="false">'Raw Data'!W3962</f>
        <v>1</v>
      </c>
      <c r="H3962" s="2" t="n">
        <f aca="false">'Raw Data'!V3962</f>
        <v>4</v>
      </c>
      <c r="I3962" s="2" t="n">
        <f aca="false">IF(AND(ISNUMBER(B3962),B3962&lt;=25),2,0)+IF(AND(ISNUMBER(E3962),E3962&lt;=5),2,0)+IF(AND(ISNUMBER(F3962),F3962&lt;=1),2,0)+IF(AND(ISNUMBER(G3962),G3962&lt;=2),1,0)+IF(AND(ISNUMBER(H3962),H3962&lt;=2),1,0)</f>
        <v>1</v>
      </c>
      <c r="J3962" s="2" t="str">
        <f aca="false">IF(I3962&gt;=6,"High",IF(I3962&gt;=3,"Medium","Low"))</f>
        <v>Low</v>
      </c>
    </row>
    <row r="3963" customFormat="false" ht="15" hidden="false" customHeight="true" outlineLevel="0" collapsed="false">
      <c r="A3963" s="2" t="n">
        <f aca="false">'Raw Data'!H3963</f>
        <v>3962</v>
      </c>
      <c r="B3963" s="2" t="n">
        <f aca="false">'Raw Data'!A3963</f>
        <v>44</v>
      </c>
      <c r="C3963" s="2" t="str">
        <f aca="false">'Raw Data'!D3963</f>
        <v>Sales</v>
      </c>
      <c r="D3963" s="2" t="str">
        <f aca="false">'Raw Data'!K3963</f>
        <v>Research Scientist</v>
      </c>
      <c r="E3963" s="2" t="n">
        <f aca="false">'Raw Data'!Q3963</f>
        <v>6</v>
      </c>
      <c r="F3963" s="2" t="n">
        <f aca="false">'Raw Data'!U3963</f>
        <v>3</v>
      </c>
      <c r="G3963" s="2" t="n">
        <f aca="false">'Raw Data'!W3963</f>
        <v>2</v>
      </c>
      <c r="H3963" s="2" t="n">
        <f aca="false">'Raw Data'!V3963</f>
        <v>3</v>
      </c>
      <c r="I3963" s="2" t="n">
        <f aca="false">IF(AND(ISNUMBER(B3963),B3963&lt;=25),2,0)+IF(AND(ISNUMBER(E3963),E3963&lt;=5),2,0)+IF(AND(ISNUMBER(F3963),F3963&lt;=1),2,0)+IF(AND(ISNUMBER(G3963),G3963&lt;=2),1,0)+IF(AND(ISNUMBER(H3963),H3963&lt;=2),1,0)</f>
        <v>1</v>
      </c>
      <c r="J3963" s="2" t="str">
        <f aca="false">IF(I3963&gt;=6,"High",IF(I3963&gt;=3,"Medium","Low"))</f>
        <v>Low</v>
      </c>
    </row>
    <row r="3964" customFormat="false" ht="15" hidden="false" customHeight="true" outlineLevel="0" collapsed="false">
      <c r="A3964" s="2" t="n">
        <f aca="false">'Raw Data'!H3964</f>
        <v>3963</v>
      </c>
      <c r="B3964" s="2" t="n">
        <f aca="false">'Raw Data'!A3964</f>
        <v>37</v>
      </c>
      <c r="C3964" s="2" t="str">
        <f aca="false">'Raw Data'!D3964</f>
        <v>Research &amp; Development</v>
      </c>
      <c r="D3964" s="2" t="str">
        <f aca="false">'Raw Data'!K3964</f>
        <v>Sales Executive</v>
      </c>
      <c r="E3964" s="2" t="n">
        <f aca="false">'Raw Data'!Q3964</f>
        <v>19</v>
      </c>
      <c r="F3964" s="2" t="n">
        <f aca="false">'Raw Data'!U3964</f>
        <v>7</v>
      </c>
      <c r="G3964" s="2" t="n">
        <f aca="false">'Raw Data'!W3964</f>
        <v>2</v>
      </c>
      <c r="H3964" s="2" t="n">
        <f aca="false">'Raw Data'!V3964</f>
        <v>3</v>
      </c>
      <c r="I3964" s="2" t="n">
        <f aca="false">IF(AND(ISNUMBER(B3964),B3964&lt;=25),2,0)+IF(AND(ISNUMBER(E3964),E3964&lt;=5),2,0)+IF(AND(ISNUMBER(F3964),F3964&lt;=1),2,0)+IF(AND(ISNUMBER(G3964),G3964&lt;=2),1,0)+IF(AND(ISNUMBER(H3964),H3964&lt;=2),1,0)</f>
        <v>1</v>
      </c>
      <c r="J3964" s="2" t="str">
        <f aca="false">IF(I3964&gt;=6,"High",IF(I3964&gt;=3,"Medium","Low"))</f>
        <v>Low</v>
      </c>
    </row>
    <row r="3965" customFormat="false" ht="15" hidden="false" customHeight="true" outlineLevel="0" collapsed="false">
      <c r="A3965" s="2" t="n">
        <f aca="false">'Raw Data'!H3965</f>
        <v>3964</v>
      </c>
      <c r="B3965" s="2" t="n">
        <f aca="false">'Raw Data'!A3965</f>
        <v>35</v>
      </c>
      <c r="C3965" s="2" t="str">
        <f aca="false">'Raw Data'!D3965</f>
        <v>Research &amp; Development</v>
      </c>
      <c r="D3965" s="2" t="str">
        <f aca="false">'Raw Data'!K3965</f>
        <v>Research Scientist</v>
      </c>
      <c r="E3965" s="2" t="n">
        <f aca="false">'Raw Data'!Q3965</f>
        <v>10</v>
      </c>
      <c r="F3965" s="2" t="n">
        <f aca="false">'Raw Data'!U3965</f>
        <v>7</v>
      </c>
      <c r="G3965" s="2" t="n">
        <f aca="false">'Raw Data'!W3965</f>
        <v>4</v>
      </c>
      <c r="H3965" s="2" t="n">
        <f aca="false">'Raw Data'!V3965</f>
        <v>3</v>
      </c>
      <c r="I3965" s="2" t="n">
        <f aca="false">IF(AND(ISNUMBER(B3965),B3965&lt;=25),2,0)+IF(AND(ISNUMBER(E3965),E3965&lt;=5),2,0)+IF(AND(ISNUMBER(F3965),F3965&lt;=1),2,0)+IF(AND(ISNUMBER(G3965),G3965&lt;=2),1,0)+IF(AND(ISNUMBER(H3965),H3965&lt;=2),1,0)</f>
        <v>0</v>
      </c>
      <c r="J3965" s="2" t="str">
        <f aca="false">IF(I3965&gt;=6,"High",IF(I3965&gt;=3,"Medium","Low"))</f>
        <v>Low</v>
      </c>
    </row>
    <row r="3966" customFormat="false" ht="15" hidden="false" customHeight="true" outlineLevel="0" collapsed="false">
      <c r="A3966" s="2" t="n">
        <f aca="false">'Raw Data'!H3966</f>
        <v>3965</v>
      </c>
      <c r="B3966" s="2" t="n">
        <f aca="false">'Raw Data'!A3966</f>
        <v>33</v>
      </c>
      <c r="C3966" s="2" t="str">
        <f aca="false">'Raw Data'!D3966</f>
        <v>Research &amp; Development</v>
      </c>
      <c r="D3966" s="2" t="str">
        <f aca="false">'Raw Data'!K3966</f>
        <v>Laboratory Technician</v>
      </c>
      <c r="E3966" s="2" t="n">
        <f aca="false">'Raw Data'!Q3966</f>
        <v>14</v>
      </c>
      <c r="F3966" s="2" t="n">
        <f aca="false">'Raw Data'!U3966</f>
        <v>6</v>
      </c>
      <c r="G3966" s="2" t="n">
        <f aca="false">'Raw Data'!W3966</f>
        <v>1</v>
      </c>
      <c r="H3966" s="2" t="n">
        <f aca="false">'Raw Data'!V3966</f>
        <v>4</v>
      </c>
      <c r="I3966" s="2" t="n">
        <f aca="false">IF(AND(ISNUMBER(B3966),B3966&lt;=25),2,0)+IF(AND(ISNUMBER(E3966),E3966&lt;=5),2,0)+IF(AND(ISNUMBER(F3966),F3966&lt;=1),2,0)+IF(AND(ISNUMBER(G3966),G3966&lt;=2),1,0)+IF(AND(ISNUMBER(H3966),H3966&lt;=2),1,0)</f>
        <v>1</v>
      </c>
      <c r="J3966" s="2" t="str">
        <f aca="false">IF(I3966&gt;=6,"High",IF(I3966&gt;=3,"Medium","Low"))</f>
        <v>Low</v>
      </c>
    </row>
    <row r="3967" customFormat="false" ht="15" hidden="false" customHeight="true" outlineLevel="0" collapsed="false">
      <c r="A3967" s="2" t="n">
        <f aca="false">'Raw Data'!H3967</f>
        <v>3966</v>
      </c>
      <c r="B3967" s="2" t="n">
        <f aca="false">'Raw Data'!A3967</f>
        <v>28</v>
      </c>
      <c r="C3967" s="2" t="str">
        <f aca="false">'Raw Data'!D3967</f>
        <v>Sales</v>
      </c>
      <c r="D3967" s="2" t="str">
        <f aca="false">'Raw Data'!K3967</f>
        <v>Sales Executive</v>
      </c>
      <c r="E3967" s="2" t="n">
        <f aca="false">'Raw Data'!Q3967</f>
        <v>5</v>
      </c>
      <c r="F3967" s="2" t="n">
        <f aca="false">'Raw Data'!U3967</f>
        <v>3</v>
      </c>
      <c r="G3967" s="2" t="n">
        <f aca="false">'Raw Data'!W3967</f>
        <v>4</v>
      </c>
      <c r="H3967" s="2" t="n">
        <f aca="false">'Raw Data'!V3967</f>
        <v>3</v>
      </c>
      <c r="I3967" s="2" t="n">
        <f aca="false">IF(AND(ISNUMBER(B3967),B3967&lt;=25),2,0)+IF(AND(ISNUMBER(E3967),E3967&lt;=5),2,0)+IF(AND(ISNUMBER(F3967),F3967&lt;=1),2,0)+IF(AND(ISNUMBER(G3967),G3967&lt;=2),1,0)+IF(AND(ISNUMBER(H3967),H3967&lt;=2),1,0)</f>
        <v>2</v>
      </c>
      <c r="J3967" s="2" t="str">
        <f aca="false">IF(I3967&gt;=6,"High",IF(I3967&gt;=3,"Medium","Low"))</f>
        <v>Low</v>
      </c>
    </row>
    <row r="3968" customFormat="false" ht="15" hidden="false" customHeight="true" outlineLevel="0" collapsed="false">
      <c r="A3968" s="2" t="n">
        <f aca="false">'Raw Data'!H3968</f>
        <v>3967</v>
      </c>
      <c r="B3968" s="2" t="n">
        <f aca="false">'Raw Data'!A3968</f>
        <v>39</v>
      </c>
      <c r="C3968" s="2" t="str">
        <f aca="false">'Raw Data'!D3968</f>
        <v>Sales</v>
      </c>
      <c r="D3968" s="2" t="str">
        <f aca="false">'Raw Data'!K3968</f>
        <v>Laboratory Technician</v>
      </c>
      <c r="E3968" s="2" t="n">
        <f aca="false">'Raw Data'!Q3968</f>
        <v>9</v>
      </c>
      <c r="F3968" s="2" t="n">
        <f aca="false">'Raw Data'!U3968</f>
        <v>2</v>
      </c>
      <c r="G3968" s="2" t="n">
        <f aca="false">'Raw Data'!W3968</f>
        <v>3</v>
      </c>
      <c r="H3968" s="2" t="n">
        <f aca="false">'Raw Data'!V3968</f>
        <v>3</v>
      </c>
      <c r="I3968" s="2" t="n">
        <f aca="false">IF(AND(ISNUMBER(B3968),B3968&lt;=25),2,0)+IF(AND(ISNUMBER(E3968),E3968&lt;=5),2,0)+IF(AND(ISNUMBER(F3968),F3968&lt;=1),2,0)+IF(AND(ISNUMBER(G3968),G3968&lt;=2),1,0)+IF(AND(ISNUMBER(H3968),H3968&lt;=2),1,0)</f>
        <v>0</v>
      </c>
      <c r="J3968" s="2" t="str">
        <f aca="false">IF(I3968&gt;=6,"High",IF(I3968&gt;=3,"Medium","Low"))</f>
        <v>Low</v>
      </c>
    </row>
    <row r="3969" customFormat="false" ht="15" hidden="false" customHeight="true" outlineLevel="0" collapsed="false">
      <c r="A3969" s="2" t="n">
        <f aca="false">'Raw Data'!H3969</f>
        <v>3968</v>
      </c>
      <c r="B3969" s="2" t="n">
        <f aca="false">'Raw Data'!A3969</f>
        <v>46</v>
      </c>
      <c r="C3969" s="2" t="str">
        <f aca="false">'Raw Data'!D3969</f>
        <v>Research &amp; Development</v>
      </c>
      <c r="D3969" s="2" t="str">
        <f aca="false">'Raw Data'!K3969</f>
        <v>Manufacturing Director</v>
      </c>
      <c r="E3969" s="2" t="n">
        <f aca="false">'Raw Data'!Q3969</f>
        <v>6</v>
      </c>
      <c r="F3969" s="2" t="n">
        <f aca="false">'Raw Data'!U3969</f>
        <v>2</v>
      </c>
      <c r="G3969" s="2" t="n">
        <f aca="false">'Raw Data'!W3969</f>
        <v>2</v>
      </c>
      <c r="H3969" s="2" t="n">
        <f aca="false">'Raw Data'!V3969</f>
        <v>2</v>
      </c>
      <c r="I3969" s="2" t="n">
        <f aca="false">IF(AND(ISNUMBER(B3969),B3969&lt;=25),2,0)+IF(AND(ISNUMBER(E3969),E3969&lt;=5),2,0)+IF(AND(ISNUMBER(F3969),F3969&lt;=1),2,0)+IF(AND(ISNUMBER(G3969),G3969&lt;=2),1,0)+IF(AND(ISNUMBER(H3969),H3969&lt;=2),1,0)</f>
        <v>2</v>
      </c>
      <c r="J3969" s="2" t="str">
        <f aca="false">IF(I3969&gt;=6,"High",IF(I3969&gt;=3,"Medium","Low"))</f>
        <v>Low</v>
      </c>
    </row>
    <row r="3970" customFormat="false" ht="15" hidden="false" customHeight="true" outlineLevel="0" collapsed="false">
      <c r="A3970" s="2" t="n">
        <f aca="false">'Raw Data'!H3970</f>
        <v>3969</v>
      </c>
      <c r="B3970" s="2" t="n">
        <f aca="false">'Raw Data'!A3970</f>
        <v>40</v>
      </c>
      <c r="C3970" s="2" t="str">
        <f aca="false">'Raw Data'!D3970</f>
        <v>Research &amp; Development</v>
      </c>
      <c r="D3970" s="2" t="str">
        <f aca="false">'Raw Data'!K3970</f>
        <v>Research Director</v>
      </c>
      <c r="E3970" s="2" t="n">
        <f aca="false">'Raw Data'!Q3970</f>
        <v>7</v>
      </c>
      <c r="F3970" s="2" t="n">
        <f aca="false">'Raw Data'!U3970</f>
        <v>2</v>
      </c>
      <c r="G3970" s="2" t="n">
        <f aca="false">'Raw Data'!W3970</f>
        <v>1</v>
      </c>
      <c r="H3970" s="2" t="n">
        <f aca="false">'Raw Data'!V3970</f>
        <v>3</v>
      </c>
      <c r="I3970" s="2" t="n">
        <f aca="false">IF(AND(ISNUMBER(B3970),B3970&lt;=25),2,0)+IF(AND(ISNUMBER(E3970),E3970&lt;=5),2,0)+IF(AND(ISNUMBER(F3970),F3970&lt;=1),2,0)+IF(AND(ISNUMBER(G3970),G3970&lt;=2),1,0)+IF(AND(ISNUMBER(H3970),H3970&lt;=2),1,0)</f>
        <v>1</v>
      </c>
      <c r="J3970" s="2" t="str">
        <f aca="false">IF(I3970&gt;=6,"High",IF(I3970&gt;=3,"Medium","Low"))</f>
        <v>Low</v>
      </c>
    </row>
    <row r="3971" customFormat="false" ht="15" hidden="false" customHeight="true" outlineLevel="0" collapsed="false">
      <c r="A3971" s="2" t="n">
        <f aca="false">'Raw Data'!H3971</f>
        <v>3970</v>
      </c>
      <c r="B3971" s="2" t="n">
        <f aca="false">'Raw Data'!A3971</f>
        <v>42</v>
      </c>
      <c r="C3971" s="2" t="str">
        <f aca="false">'Raw Data'!D3971</f>
        <v>Research &amp; Development</v>
      </c>
      <c r="D3971" s="2" t="str">
        <f aca="false">'Raw Data'!K3971</f>
        <v>Laboratory Technician</v>
      </c>
      <c r="E3971" s="2" t="n">
        <f aca="false">'Raw Data'!Q3971</f>
        <v>10</v>
      </c>
      <c r="F3971" s="2" t="n">
        <f aca="false">'Raw Data'!U3971</f>
        <v>0</v>
      </c>
      <c r="G3971" s="2" t="n">
        <f aca="false">'Raw Data'!W3971</f>
        <v>1</v>
      </c>
      <c r="H3971" s="2" t="n">
        <f aca="false">'Raw Data'!V3971</f>
        <v>2</v>
      </c>
      <c r="I3971" s="2" t="n">
        <f aca="false">IF(AND(ISNUMBER(B3971),B3971&lt;=25),2,0)+IF(AND(ISNUMBER(E3971),E3971&lt;=5),2,0)+IF(AND(ISNUMBER(F3971),F3971&lt;=1),2,0)+IF(AND(ISNUMBER(G3971),G3971&lt;=2),1,0)+IF(AND(ISNUMBER(H3971),H3971&lt;=2),1,0)</f>
        <v>4</v>
      </c>
      <c r="J3971" s="2" t="str">
        <f aca="false">IF(I3971&gt;=6,"High",IF(I3971&gt;=3,"Medium","Low"))</f>
        <v>Medium</v>
      </c>
    </row>
    <row r="3972" customFormat="false" ht="15" hidden="false" customHeight="true" outlineLevel="0" collapsed="false">
      <c r="A3972" s="2" t="n">
        <f aca="false">'Raw Data'!H3972</f>
        <v>3971</v>
      </c>
      <c r="B3972" s="2" t="n">
        <f aca="false">'Raw Data'!A3972</f>
        <v>35</v>
      </c>
      <c r="C3972" s="2" t="str">
        <f aca="false">'Raw Data'!D3972</f>
        <v>Sales</v>
      </c>
      <c r="D3972" s="2" t="str">
        <f aca="false">'Raw Data'!K3972</f>
        <v>Research Director</v>
      </c>
      <c r="E3972" s="2" t="n">
        <f aca="false">'Raw Data'!Q3972</f>
        <v>15</v>
      </c>
      <c r="F3972" s="2" t="n">
        <f aca="false">'Raw Data'!U3972</f>
        <v>7</v>
      </c>
      <c r="G3972" s="2" t="n">
        <f aca="false">'Raw Data'!W3972</f>
        <v>4</v>
      </c>
      <c r="H3972" s="2" t="n">
        <f aca="false">'Raw Data'!V3972</f>
        <v>2</v>
      </c>
      <c r="I3972" s="2" t="n">
        <f aca="false">IF(AND(ISNUMBER(B3972),B3972&lt;=25),2,0)+IF(AND(ISNUMBER(E3972),E3972&lt;=5),2,0)+IF(AND(ISNUMBER(F3972),F3972&lt;=1),2,0)+IF(AND(ISNUMBER(G3972),G3972&lt;=2),1,0)+IF(AND(ISNUMBER(H3972),H3972&lt;=2),1,0)</f>
        <v>1</v>
      </c>
      <c r="J3972" s="2" t="str">
        <f aca="false">IF(I3972&gt;=6,"High",IF(I3972&gt;=3,"Medium","Low"))</f>
        <v>Low</v>
      </c>
    </row>
    <row r="3973" customFormat="false" ht="15" hidden="false" customHeight="true" outlineLevel="0" collapsed="false">
      <c r="A3973" s="2" t="n">
        <f aca="false">'Raw Data'!H3973</f>
        <v>3972</v>
      </c>
      <c r="B3973" s="2" t="n">
        <f aca="false">'Raw Data'!A3973</f>
        <v>38</v>
      </c>
      <c r="C3973" s="2" t="str">
        <f aca="false">'Raw Data'!D3973</f>
        <v>Sales</v>
      </c>
      <c r="D3973" s="2" t="str">
        <f aca="false">'Raw Data'!K3973</f>
        <v>Sales Executive</v>
      </c>
      <c r="E3973" s="2" t="n">
        <f aca="false">'Raw Data'!Q3973</f>
        <v>13</v>
      </c>
      <c r="F3973" s="2" t="n">
        <f aca="false">'Raw Data'!U3973</f>
        <v>8</v>
      </c>
      <c r="G3973" s="2" t="n">
        <f aca="false">'Raw Data'!W3973</f>
        <v>2</v>
      </c>
      <c r="H3973" s="2" t="n">
        <f aca="false">'Raw Data'!V3973</f>
        <v>1</v>
      </c>
      <c r="I3973" s="2" t="n">
        <f aca="false">IF(AND(ISNUMBER(B3973),B3973&lt;=25),2,0)+IF(AND(ISNUMBER(E3973),E3973&lt;=5),2,0)+IF(AND(ISNUMBER(F3973),F3973&lt;=1),2,0)+IF(AND(ISNUMBER(G3973),G3973&lt;=2),1,0)+IF(AND(ISNUMBER(H3973),H3973&lt;=2),1,0)</f>
        <v>2</v>
      </c>
      <c r="J3973" s="2" t="str">
        <f aca="false">IF(I3973&gt;=6,"High",IF(I3973&gt;=3,"Medium","Low"))</f>
        <v>Low</v>
      </c>
    </row>
    <row r="3974" customFormat="false" ht="15" hidden="false" customHeight="true" outlineLevel="0" collapsed="false">
      <c r="A3974" s="2" t="n">
        <f aca="false">'Raw Data'!H3974</f>
        <v>3973</v>
      </c>
      <c r="B3974" s="2" t="n">
        <f aca="false">'Raw Data'!A3974</f>
        <v>34</v>
      </c>
      <c r="C3974" s="2" t="str">
        <f aca="false">'Raw Data'!D3974</f>
        <v>Research &amp; Development</v>
      </c>
      <c r="D3974" s="2" t="str">
        <f aca="false">'Raw Data'!K3974</f>
        <v>Manufacturing Director</v>
      </c>
      <c r="E3974" s="2" t="n">
        <f aca="false">'Raw Data'!Q3974</f>
        <v>11</v>
      </c>
      <c r="F3974" s="2" t="n">
        <f aca="false">'Raw Data'!U3974</f>
        <v>7</v>
      </c>
      <c r="G3974" s="2" t="n">
        <f aca="false">'Raw Data'!W3974</f>
        <v>1</v>
      </c>
      <c r="H3974" s="2" t="n">
        <f aca="false">'Raw Data'!V3974</f>
        <v>4</v>
      </c>
      <c r="I3974" s="2" t="n">
        <f aca="false">IF(AND(ISNUMBER(B3974),B3974&lt;=25),2,0)+IF(AND(ISNUMBER(E3974),E3974&lt;=5),2,0)+IF(AND(ISNUMBER(F3974),F3974&lt;=1),2,0)+IF(AND(ISNUMBER(G3974),G3974&lt;=2),1,0)+IF(AND(ISNUMBER(H3974),H3974&lt;=2),1,0)</f>
        <v>1</v>
      </c>
      <c r="J3974" s="2" t="str">
        <f aca="false">IF(I3974&gt;=6,"High",IF(I3974&gt;=3,"Medium","Low"))</f>
        <v>Low</v>
      </c>
    </row>
    <row r="3975" customFormat="false" ht="15" hidden="false" customHeight="true" outlineLevel="0" collapsed="false">
      <c r="A3975" s="2" t="n">
        <f aca="false">'Raw Data'!H3975</f>
        <v>3974</v>
      </c>
      <c r="B3975" s="2" t="n">
        <f aca="false">'Raw Data'!A3975</f>
        <v>37</v>
      </c>
      <c r="C3975" s="2" t="str">
        <f aca="false">'Raw Data'!D3975</f>
        <v>Research &amp; Development</v>
      </c>
      <c r="D3975" s="2" t="str">
        <f aca="false">'Raw Data'!K3975</f>
        <v>Laboratory Technician</v>
      </c>
      <c r="E3975" s="2" t="n">
        <f aca="false">'Raw Data'!Q3975</f>
        <v>10</v>
      </c>
      <c r="F3975" s="2" t="n">
        <f aca="false">'Raw Data'!U3975</f>
        <v>8</v>
      </c>
      <c r="G3975" s="2" t="n">
        <f aca="false">'Raw Data'!W3975</f>
        <v>1</v>
      </c>
      <c r="H3975" s="2" t="n">
        <f aca="false">'Raw Data'!V3975</f>
        <v>4</v>
      </c>
      <c r="I3975" s="2" t="n">
        <f aca="false">IF(AND(ISNUMBER(B3975),B3975&lt;=25),2,0)+IF(AND(ISNUMBER(E3975),E3975&lt;=5),2,0)+IF(AND(ISNUMBER(F3975),F3975&lt;=1),2,0)+IF(AND(ISNUMBER(G3975),G3975&lt;=2),1,0)+IF(AND(ISNUMBER(H3975),H3975&lt;=2),1,0)</f>
        <v>1</v>
      </c>
      <c r="J3975" s="2" t="str">
        <f aca="false">IF(I3975&gt;=6,"High",IF(I3975&gt;=3,"Medium","Low"))</f>
        <v>Low</v>
      </c>
    </row>
    <row r="3976" customFormat="false" ht="15" hidden="false" customHeight="true" outlineLevel="0" collapsed="false">
      <c r="A3976" s="2" t="n">
        <f aca="false">'Raw Data'!H3976</f>
        <v>3975</v>
      </c>
      <c r="B3976" s="2" t="n">
        <f aca="false">'Raw Data'!A3976</f>
        <v>39</v>
      </c>
      <c r="C3976" s="2" t="str">
        <f aca="false">'Raw Data'!D3976</f>
        <v>Research &amp; Development</v>
      </c>
      <c r="D3976" s="2" t="str">
        <f aca="false">'Raw Data'!K3976</f>
        <v>Healthcare Representative</v>
      </c>
      <c r="E3976" s="2" t="n">
        <f aca="false">'Raw Data'!Q3976</f>
        <v>7</v>
      </c>
      <c r="F3976" s="2" t="n">
        <f aca="false">'Raw Data'!U3976</f>
        <v>2</v>
      </c>
      <c r="G3976" s="2" t="n">
        <f aca="false">'Raw Data'!W3976</f>
        <v>4</v>
      </c>
      <c r="H3976" s="2" t="n">
        <f aca="false">'Raw Data'!V3976</f>
        <v>3</v>
      </c>
      <c r="I3976" s="2" t="n">
        <f aca="false">IF(AND(ISNUMBER(B3976),B3976&lt;=25),2,0)+IF(AND(ISNUMBER(E3976),E3976&lt;=5),2,0)+IF(AND(ISNUMBER(F3976),F3976&lt;=1),2,0)+IF(AND(ISNUMBER(G3976),G3976&lt;=2),1,0)+IF(AND(ISNUMBER(H3976),H3976&lt;=2),1,0)</f>
        <v>0</v>
      </c>
      <c r="J3976" s="2" t="str">
        <f aca="false">IF(I3976&gt;=6,"High",IF(I3976&gt;=3,"Medium","Low"))</f>
        <v>Low</v>
      </c>
    </row>
    <row r="3977" customFormat="false" ht="15" hidden="false" customHeight="true" outlineLevel="0" collapsed="false">
      <c r="A3977" s="2" t="n">
        <f aca="false">'Raw Data'!H3977</f>
        <v>3976</v>
      </c>
      <c r="B3977" s="2" t="n">
        <f aca="false">'Raw Data'!A3977</f>
        <v>43</v>
      </c>
      <c r="C3977" s="2" t="str">
        <f aca="false">'Raw Data'!D3977</f>
        <v>Human Resources</v>
      </c>
      <c r="D3977" s="2" t="str">
        <f aca="false">'Raw Data'!K3977</f>
        <v>Sales Executive</v>
      </c>
      <c r="E3977" s="2" t="n">
        <f aca="false">'Raw Data'!Q3977</f>
        <v>7</v>
      </c>
      <c r="F3977" s="2" t="n">
        <f aca="false">'Raw Data'!U3977</f>
        <v>2</v>
      </c>
      <c r="G3977" s="2" t="n">
        <f aca="false">'Raw Data'!W3977</f>
        <v>3</v>
      </c>
      <c r="H3977" s="2" t="n">
        <f aca="false">'Raw Data'!V3977</f>
        <v>1</v>
      </c>
      <c r="I3977" s="2" t="n">
        <f aca="false">IF(AND(ISNUMBER(B3977),B3977&lt;=25),2,0)+IF(AND(ISNUMBER(E3977),E3977&lt;=5),2,0)+IF(AND(ISNUMBER(F3977),F3977&lt;=1),2,0)+IF(AND(ISNUMBER(G3977),G3977&lt;=2),1,0)+IF(AND(ISNUMBER(H3977),H3977&lt;=2),1,0)</f>
        <v>1</v>
      </c>
      <c r="J3977" s="2" t="str">
        <f aca="false">IF(I3977&gt;=6,"High",IF(I3977&gt;=3,"Medium","Low"))</f>
        <v>Low</v>
      </c>
    </row>
    <row r="3978" customFormat="false" ht="15" hidden="false" customHeight="true" outlineLevel="0" collapsed="false">
      <c r="A3978" s="2" t="n">
        <f aca="false">'Raw Data'!H3978</f>
        <v>3977</v>
      </c>
      <c r="B3978" s="2" t="n">
        <f aca="false">'Raw Data'!A3978</f>
        <v>41</v>
      </c>
      <c r="C3978" s="2" t="str">
        <f aca="false">'Raw Data'!D3978</f>
        <v>Research &amp; Development</v>
      </c>
      <c r="D3978" s="2" t="str">
        <f aca="false">'Raw Data'!K3978</f>
        <v>Research Scientist</v>
      </c>
      <c r="E3978" s="2" t="n">
        <f aca="false">'Raw Data'!Q3978</f>
        <v>11</v>
      </c>
      <c r="F3978" s="2" t="n">
        <f aca="false">'Raw Data'!U3978</f>
        <v>2</v>
      </c>
      <c r="G3978" s="2" t="n">
        <f aca="false">'Raw Data'!W3978</f>
        <v>2</v>
      </c>
      <c r="H3978" s="2" t="n">
        <f aca="false">'Raw Data'!V3978</f>
        <v>2</v>
      </c>
      <c r="I3978" s="2" t="n">
        <f aca="false">IF(AND(ISNUMBER(B3978),B3978&lt;=25),2,0)+IF(AND(ISNUMBER(E3978),E3978&lt;=5),2,0)+IF(AND(ISNUMBER(F3978),F3978&lt;=1),2,0)+IF(AND(ISNUMBER(G3978),G3978&lt;=2),1,0)+IF(AND(ISNUMBER(H3978),H3978&lt;=2),1,0)</f>
        <v>2</v>
      </c>
      <c r="J3978" s="2" t="str">
        <f aca="false">IF(I3978&gt;=6,"High",IF(I3978&gt;=3,"Medium","Low"))</f>
        <v>Low</v>
      </c>
    </row>
    <row r="3979" customFormat="false" ht="15" hidden="false" customHeight="true" outlineLevel="0" collapsed="false">
      <c r="A3979" s="2" t="n">
        <f aca="false">'Raw Data'!H3979</f>
        <v>3978</v>
      </c>
      <c r="B3979" s="2" t="n">
        <f aca="false">'Raw Data'!A3979</f>
        <v>41</v>
      </c>
      <c r="C3979" s="2" t="str">
        <f aca="false">'Raw Data'!D3979</f>
        <v>Research &amp; Development</v>
      </c>
      <c r="D3979" s="2" t="str">
        <f aca="false">'Raw Data'!K3979</f>
        <v>Laboratory Technician</v>
      </c>
      <c r="E3979" s="2" t="n">
        <f aca="false">'Raw Data'!Q3979</f>
        <v>23</v>
      </c>
      <c r="F3979" s="2" t="n">
        <f aca="false">'Raw Data'!U3979</f>
        <v>5</v>
      </c>
      <c r="G3979" s="2" t="n">
        <f aca="false">'Raw Data'!W3979</f>
        <v>3</v>
      </c>
      <c r="H3979" s="2" t="n">
        <f aca="false">'Raw Data'!V3979</f>
        <v>3</v>
      </c>
      <c r="I3979" s="2" t="n">
        <f aca="false">IF(AND(ISNUMBER(B3979),B3979&lt;=25),2,0)+IF(AND(ISNUMBER(E3979),E3979&lt;=5),2,0)+IF(AND(ISNUMBER(F3979),F3979&lt;=1),2,0)+IF(AND(ISNUMBER(G3979),G3979&lt;=2),1,0)+IF(AND(ISNUMBER(H3979),H3979&lt;=2),1,0)</f>
        <v>0</v>
      </c>
      <c r="J3979" s="2" t="str">
        <f aca="false">IF(I3979&gt;=6,"High",IF(I3979&gt;=3,"Medium","Low"))</f>
        <v>Low</v>
      </c>
    </row>
    <row r="3980" customFormat="false" ht="15" hidden="false" customHeight="true" outlineLevel="0" collapsed="false">
      <c r="A3980" s="2" t="n">
        <f aca="false">'Raw Data'!H3980</f>
        <v>3979</v>
      </c>
      <c r="B3980" s="2" t="n">
        <f aca="false">'Raw Data'!A3980</f>
        <v>30</v>
      </c>
      <c r="C3980" s="2" t="str">
        <f aca="false">'Raw Data'!D3980</f>
        <v>Sales</v>
      </c>
      <c r="D3980" s="2" t="str">
        <f aca="false">'Raw Data'!K3980</f>
        <v>Manager</v>
      </c>
      <c r="E3980" s="2" t="n">
        <f aca="false">'Raw Data'!Q3980</f>
        <v>9</v>
      </c>
      <c r="F3980" s="2" t="n">
        <f aca="false">'Raw Data'!U3980</f>
        <v>2</v>
      </c>
      <c r="G3980" s="2" t="n">
        <f aca="false">'Raw Data'!W3980</f>
        <v>3</v>
      </c>
      <c r="H3980" s="2" t="n">
        <f aca="false">'Raw Data'!V3980</f>
        <v>1</v>
      </c>
      <c r="I3980" s="2" t="n">
        <f aca="false">IF(AND(ISNUMBER(B3980),B3980&lt;=25),2,0)+IF(AND(ISNUMBER(E3980),E3980&lt;=5),2,0)+IF(AND(ISNUMBER(F3980),F3980&lt;=1),2,0)+IF(AND(ISNUMBER(G3980),G3980&lt;=2),1,0)+IF(AND(ISNUMBER(H3980),H3980&lt;=2),1,0)</f>
        <v>1</v>
      </c>
      <c r="J3980" s="2" t="str">
        <f aca="false">IF(I3980&gt;=6,"High",IF(I3980&gt;=3,"Medium","Low"))</f>
        <v>Low</v>
      </c>
    </row>
    <row r="3981" customFormat="false" ht="15" hidden="false" customHeight="true" outlineLevel="0" collapsed="false">
      <c r="A3981" s="2" t="n">
        <f aca="false">'Raw Data'!H3981</f>
        <v>3980</v>
      </c>
      <c r="B3981" s="2" t="n">
        <f aca="false">'Raw Data'!A3981</f>
        <v>26</v>
      </c>
      <c r="C3981" s="2" t="str">
        <f aca="false">'Raw Data'!D3981</f>
        <v>Human Resources</v>
      </c>
      <c r="D3981" s="2" t="str">
        <f aca="false">'Raw Data'!K3981</f>
        <v>Sales Executive</v>
      </c>
      <c r="E3981" s="2" t="n">
        <f aca="false">'Raw Data'!Q3981</f>
        <v>6</v>
      </c>
      <c r="F3981" s="2" t="n">
        <f aca="false">'Raw Data'!U3981</f>
        <v>4</v>
      </c>
      <c r="G3981" s="2" t="n">
        <f aca="false">'Raw Data'!W3981</f>
        <v>2</v>
      </c>
      <c r="H3981" s="2" t="n">
        <f aca="false">'Raw Data'!V3981</f>
        <v>4</v>
      </c>
      <c r="I3981" s="2" t="n">
        <f aca="false">IF(AND(ISNUMBER(B3981),B3981&lt;=25),2,0)+IF(AND(ISNUMBER(E3981),E3981&lt;=5),2,0)+IF(AND(ISNUMBER(F3981),F3981&lt;=1),2,0)+IF(AND(ISNUMBER(G3981),G3981&lt;=2),1,0)+IF(AND(ISNUMBER(H3981),H3981&lt;=2),1,0)</f>
        <v>1</v>
      </c>
      <c r="J3981" s="2" t="str">
        <f aca="false">IF(I3981&gt;=6,"High",IF(I3981&gt;=3,"Medium","Low"))</f>
        <v>Low</v>
      </c>
    </row>
    <row r="3982" customFormat="false" ht="15" hidden="false" customHeight="true" outlineLevel="0" collapsed="false">
      <c r="A3982" s="2" t="n">
        <f aca="false">'Raw Data'!H3982</f>
        <v>3981</v>
      </c>
      <c r="B3982" s="2" t="n">
        <f aca="false">'Raw Data'!A3982</f>
        <v>46</v>
      </c>
      <c r="C3982" s="2" t="str">
        <f aca="false">'Raw Data'!D3982</f>
        <v>Research &amp; Development</v>
      </c>
      <c r="D3982" s="2" t="str">
        <f aca="false">'Raw Data'!K3982</f>
        <v>Sales Executive</v>
      </c>
      <c r="E3982" s="2" t="n">
        <f aca="false">'Raw Data'!Q3982</f>
        <v>13</v>
      </c>
      <c r="F3982" s="2" t="n">
        <f aca="false">'Raw Data'!U3982</f>
        <v>7</v>
      </c>
      <c r="G3982" s="2" t="n">
        <f aca="false">'Raw Data'!W3982</f>
        <v>2</v>
      </c>
      <c r="H3982" s="2" t="n">
        <f aca="false">'Raw Data'!V3982</f>
        <v>4</v>
      </c>
      <c r="I3982" s="2" t="n">
        <f aca="false">IF(AND(ISNUMBER(B3982),B3982&lt;=25),2,0)+IF(AND(ISNUMBER(E3982),E3982&lt;=5),2,0)+IF(AND(ISNUMBER(F3982),F3982&lt;=1),2,0)+IF(AND(ISNUMBER(G3982),G3982&lt;=2),1,0)+IF(AND(ISNUMBER(H3982),H3982&lt;=2),1,0)</f>
        <v>1</v>
      </c>
      <c r="J3982" s="2" t="str">
        <f aca="false">IF(I3982&gt;=6,"High",IF(I3982&gt;=3,"Medium","Low"))</f>
        <v>Low</v>
      </c>
    </row>
    <row r="3983" customFormat="false" ht="15" hidden="false" customHeight="true" outlineLevel="0" collapsed="false">
      <c r="A3983" s="2" t="n">
        <f aca="false">'Raw Data'!H3983</f>
        <v>3982</v>
      </c>
      <c r="B3983" s="2" t="n">
        <f aca="false">'Raw Data'!A3983</f>
        <v>40</v>
      </c>
      <c r="C3983" s="2" t="str">
        <f aca="false">'Raw Data'!D3983</f>
        <v>Sales</v>
      </c>
      <c r="D3983" s="2" t="str">
        <f aca="false">'Raw Data'!K3983</f>
        <v>Sales Executive</v>
      </c>
      <c r="E3983" s="2" t="n">
        <f aca="false">'Raw Data'!Q3983</f>
        <v>12</v>
      </c>
      <c r="F3983" s="2" t="n">
        <f aca="false">'Raw Data'!U3983</f>
        <v>3</v>
      </c>
      <c r="G3983" s="2" t="n">
        <f aca="false">'Raw Data'!W3983</f>
        <v>4</v>
      </c>
      <c r="H3983" s="2" t="n">
        <f aca="false">'Raw Data'!V3983</f>
        <v>3</v>
      </c>
      <c r="I3983" s="2" t="n">
        <f aca="false">IF(AND(ISNUMBER(B3983),B3983&lt;=25),2,0)+IF(AND(ISNUMBER(E3983),E3983&lt;=5),2,0)+IF(AND(ISNUMBER(F3983),F3983&lt;=1),2,0)+IF(AND(ISNUMBER(G3983),G3983&lt;=2),1,0)+IF(AND(ISNUMBER(H3983),H3983&lt;=2),1,0)</f>
        <v>0</v>
      </c>
      <c r="J3983" s="2" t="str">
        <f aca="false">IF(I3983&gt;=6,"High",IF(I3983&gt;=3,"Medium","Low"))</f>
        <v>Low</v>
      </c>
    </row>
    <row r="3984" customFormat="false" ht="15" hidden="false" customHeight="true" outlineLevel="0" collapsed="false">
      <c r="A3984" s="2" t="n">
        <f aca="false">'Raw Data'!H3984</f>
        <v>3983</v>
      </c>
      <c r="B3984" s="2" t="n">
        <f aca="false">'Raw Data'!A3984</f>
        <v>34</v>
      </c>
      <c r="C3984" s="2" t="str">
        <f aca="false">'Raw Data'!D3984</f>
        <v>Research &amp; Development</v>
      </c>
      <c r="D3984" s="2" t="str">
        <f aca="false">'Raw Data'!K3984</f>
        <v>Laboratory Technician</v>
      </c>
      <c r="E3984" s="2" t="n">
        <f aca="false">'Raw Data'!Q3984</f>
        <v>10</v>
      </c>
      <c r="F3984" s="2" t="n">
        <f aca="false">'Raw Data'!U3984</f>
        <v>8</v>
      </c>
      <c r="G3984" s="2" t="n">
        <f aca="false">'Raw Data'!W3984</f>
        <v>3</v>
      </c>
      <c r="H3984" s="2" t="n">
        <f aca="false">'Raw Data'!V3984</f>
        <v>2</v>
      </c>
      <c r="I3984" s="2" t="n">
        <f aca="false">IF(AND(ISNUMBER(B3984),B3984&lt;=25),2,0)+IF(AND(ISNUMBER(E3984),E3984&lt;=5),2,0)+IF(AND(ISNUMBER(F3984),F3984&lt;=1),2,0)+IF(AND(ISNUMBER(G3984),G3984&lt;=2),1,0)+IF(AND(ISNUMBER(H3984),H3984&lt;=2),1,0)</f>
        <v>1</v>
      </c>
      <c r="J3984" s="2" t="str">
        <f aca="false">IF(I3984&gt;=6,"High",IF(I3984&gt;=3,"Medium","Low"))</f>
        <v>Low</v>
      </c>
    </row>
    <row r="3985" customFormat="false" ht="15" hidden="false" customHeight="true" outlineLevel="0" collapsed="false">
      <c r="A3985" s="2" t="n">
        <f aca="false">'Raw Data'!H3985</f>
        <v>3984</v>
      </c>
      <c r="B3985" s="2" t="n">
        <f aca="false">'Raw Data'!A3985</f>
        <v>58</v>
      </c>
      <c r="C3985" s="2" t="str">
        <f aca="false">'Raw Data'!D3985</f>
        <v>Research &amp; Development</v>
      </c>
      <c r="D3985" s="2" t="str">
        <f aca="false">'Raw Data'!K3985</f>
        <v>Laboratory Technician</v>
      </c>
      <c r="E3985" s="2" t="n">
        <f aca="false">'Raw Data'!Q3985</f>
        <v>37</v>
      </c>
      <c r="F3985" s="2" t="n">
        <f aca="false">'Raw Data'!U3985</f>
        <v>14</v>
      </c>
      <c r="G3985" s="2" t="n">
        <f aca="false">'Raw Data'!W3985</f>
        <v>2</v>
      </c>
      <c r="H3985" s="2" t="n">
        <f aca="false">'Raw Data'!V3985</f>
        <v>2</v>
      </c>
      <c r="I3985" s="2" t="n">
        <f aca="false">IF(AND(ISNUMBER(B3985),B3985&lt;=25),2,0)+IF(AND(ISNUMBER(E3985),E3985&lt;=5),2,0)+IF(AND(ISNUMBER(F3985),F3985&lt;=1),2,0)+IF(AND(ISNUMBER(G3985),G3985&lt;=2),1,0)+IF(AND(ISNUMBER(H3985),H3985&lt;=2),1,0)</f>
        <v>2</v>
      </c>
      <c r="J3985" s="2" t="str">
        <f aca="false">IF(I3985&gt;=6,"High",IF(I3985&gt;=3,"Medium","Low"))</f>
        <v>Low</v>
      </c>
    </row>
    <row r="3986" customFormat="false" ht="15" hidden="false" customHeight="true" outlineLevel="0" collapsed="false">
      <c r="A3986" s="2" t="n">
        <f aca="false">'Raw Data'!H3986</f>
        <v>3985</v>
      </c>
      <c r="B3986" s="2" t="n">
        <f aca="false">'Raw Data'!A3986</f>
        <v>35</v>
      </c>
      <c r="C3986" s="2" t="str">
        <f aca="false">'Raw Data'!D3986</f>
        <v>Research &amp; Development</v>
      </c>
      <c r="D3986" s="2" t="str">
        <f aca="false">'Raw Data'!K3986</f>
        <v>Manufacturing Director</v>
      </c>
      <c r="E3986" s="2" t="n">
        <f aca="false">'Raw Data'!Q3986</f>
        <v>6</v>
      </c>
      <c r="F3986" s="2" t="n">
        <f aca="false">'Raw Data'!U3986</f>
        <v>3</v>
      </c>
      <c r="G3986" s="2" t="n">
        <f aca="false">'Raw Data'!W3986</f>
        <v>3</v>
      </c>
      <c r="H3986" s="2" t="n">
        <f aca="false">'Raw Data'!V3986</f>
        <v>2</v>
      </c>
      <c r="I3986" s="2" t="n">
        <f aca="false">IF(AND(ISNUMBER(B3986),B3986&lt;=25),2,0)+IF(AND(ISNUMBER(E3986),E3986&lt;=5),2,0)+IF(AND(ISNUMBER(F3986),F3986&lt;=1),2,0)+IF(AND(ISNUMBER(G3986),G3986&lt;=2),1,0)+IF(AND(ISNUMBER(H3986),H3986&lt;=2),1,0)</f>
        <v>1</v>
      </c>
      <c r="J3986" s="2" t="str">
        <f aca="false">IF(I3986&gt;=6,"High",IF(I3986&gt;=3,"Medium","Low"))</f>
        <v>Low</v>
      </c>
    </row>
    <row r="3987" customFormat="false" ht="15" hidden="false" customHeight="true" outlineLevel="0" collapsed="false">
      <c r="A3987" s="2" t="n">
        <f aca="false">'Raw Data'!H3987</f>
        <v>3986</v>
      </c>
      <c r="B3987" s="2" t="n">
        <f aca="false">'Raw Data'!A3987</f>
        <v>47</v>
      </c>
      <c r="C3987" s="2" t="str">
        <f aca="false">'Raw Data'!D3987</f>
        <v>Research &amp; Development</v>
      </c>
      <c r="D3987" s="2" t="str">
        <f aca="false">'Raw Data'!K3987</f>
        <v>Research Scientist</v>
      </c>
      <c r="E3987" s="2" t="n">
        <f aca="false">'Raw Data'!Q3987</f>
        <v>28</v>
      </c>
      <c r="F3987" s="2" t="n">
        <f aca="false">'Raw Data'!U3987</f>
        <v>10</v>
      </c>
      <c r="G3987" s="2" t="n">
        <f aca="false">'Raw Data'!W3987</f>
        <v>2</v>
      </c>
      <c r="H3987" s="2" t="n">
        <f aca="false">'Raw Data'!V3987</f>
        <v>3</v>
      </c>
      <c r="I3987" s="2" t="n">
        <f aca="false">IF(AND(ISNUMBER(B3987),B3987&lt;=25),2,0)+IF(AND(ISNUMBER(E3987),E3987&lt;=5),2,0)+IF(AND(ISNUMBER(F3987),F3987&lt;=1),2,0)+IF(AND(ISNUMBER(G3987),G3987&lt;=2),1,0)+IF(AND(ISNUMBER(H3987),H3987&lt;=2),1,0)</f>
        <v>1</v>
      </c>
      <c r="J3987" s="2" t="str">
        <f aca="false">IF(I3987&gt;=6,"High",IF(I3987&gt;=3,"Medium","Low"))</f>
        <v>Low</v>
      </c>
    </row>
    <row r="3988" customFormat="false" ht="15" hidden="false" customHeight="true" outlineLevel="0" collapsed="false">
      <c r="A3988" s="2" t="n">
        <f aca="false">'Raw Data'!H3988</f>
        <v>3987</v>
      </c>
      <c r="B3988" s="2" t="n">
        <f aca="false">'Raw Data'!A3988</f>
        <v>40</v>
      </c>
      <c r="C3988" s="2" t="str">
        <f aca="false">'Raw Data'!D3988</f>
        <v>Research &amp; Development</v>
      </c>
      <c r="D3988" s="2" t="str">
        <f aca="false">'Raw Data'!K3988</f>
        <v>Manager</v>
      </c>
      <c r="E3988" s="2" t="n">
        <f aca="false">'Raw Data'!Q3988</f>
        <v>15</v>
      </c>
      <c r="F3988" s="2" t="n">
        <f aca="false">'Raw Data'!U3988</f>
        <v>7</v>
      </c>
      <c r="G3988" s="2" t="n">
        <f aca="false">'Raw Data'!W3988</f>
        <v>1</v>
      </c>
      <c r="H3988" s="2" t="n">
        <f aca="false">'Raw Data'!V3988</f>
        <v>2</v>
      </c>
      <c r="I3988" s="2" t="n">
        <f aca="false">IF(AND(ISNUMBER(B3988),B3988&lt;=25),2,0)+IF(AND(ISNUMBER(E3988),E3988&lt;=5),2,0)+IF(AND(ISNUMBER(F3988),F3988&lt;=1),2,0)+IF(AND(ISNUMBER(G3988),G3988&lt;=2),1,0)+IF(AND(ISNUMBER(H3988),H3988&lt;=2),1,0)</f>
        <v>2</v>
      </c>
      <c r="J3988" s="2" t="str">
        <f aca="false">IF(I3988&gt;=6,"High",IF(I3988&gt;=3,"Medium","Low"))</f>
        <v>Low</v>
      </c>
    </row>
    <row r="3989" customFormat="false" ht="15" hidden="false" customHeight="true" outlineLevel="0" collapsed="false">
      <c r="A3989" s="2" t="n">
        <f aca="false">'Raw Data'!H3989</f>
        <v>3988</v>
      </c>
      <c r="B3989" s="2" t="n">
        <f aca="false">'Raw Data'!A3989</f>
        <v>54</v>
      </c>
      <c r="C3989" s="2" t="str">
        <f aca="false">'Raw Data'!D3989</f>
        <v>Sales</v>
      </c>
      <c r="D3989" s="2" t="str">
        <f aca="false">'Raw Data'!K3989</f>
        <v>Research Scientist</v>
      </c>
      <c r="E3989" s="2" t="n">
        <f aca="false">'Raw Data'!Q3989</f>
        <v>14</v>
      </c>
      <c r="F3989" s="2" t="n">
        <f aca="false">'Raw Data'!U3989</f>
        <v>7</v>
      </c>
      <c r="G3989" s="2" t="n">
        <f aca="false">'Raw Data'!W3989</f>
        <v>4</v>
      </c>
      <c r="H3989" s="2" t="n">
        <f aca="false">'Raw Data'!V3989</f>
        <v>4</v>
      </c>
      <c r="I3989" s="2" t="n">
        <f aca="false">IF(AND(ISNUMBER(B3989),B3989&lt;=25),2,0)+IF(AND(ISNUMBER(E3989),E3989&lt;=5),2,0)+IF(AND(ISNUMBER(F3989),F3989&lt;=1),2,0)+IF(AND(ISNUMBER(G3989),G3989&lt;=2),1,0)+IF(AND(ISNUMBER(H3989),H3989&lt;=2),1,0)</f>
        <v>0</v>
      </c>
      <c r="J3989" s="2" t="str">
        <f aca="false">IF(I3989&gt;=6,"High",IF(I3989&gt;=3,"Medium","Low"))</f>
        <v>Low</v>
      </c>
    </row>
    <row r="3990" customFormat="false" ht="15" hidden="false" customHeight="true" outlineLevel="0" collapsed="false">
      <c r="A3990" s="2" t="n">
        <f aca="false">'Raw Data'!H3990</f>
        <v>3989</v>
      </c>
      <c r="B3990" s="2" t="n">
        <f aca="false">'Raw Data'!A3990</f>
        <v>31</v>
      </c>
      <c r="C3990" s="2" t="str">
        <f aca="false">'Raw Data'!D3990</f>
        <v>Sales</v>
      </c>
      <c r="D3990" s="2" t="str">
        <f aca="false">'Raw Data'!K3990</f>
        <v>Manufacturing Director</v>
      </c>
      <c r="E3990" s="2" t="n">
        <f aca="false">'Raw Data'!Q3990</f>
        <v>9</v>
      </c>
      <c r="F3990" s="2" t="n">
        <f aca="false">'Raw Data'!U3990</f>
        <v>2</v>
      </c>
      <c r="G3990" s="2" t="n">
        <f aca="false">'Raw Data'!W3990</f>
        <v>1</v>
      </c>
      <c r="H3990" s="2" t="n">
        <f aca="false">'Raw Data'!V3990</f>
        <v>1</v>
      </c>
      <c r="I3990" s="2" t="n">
        <f aca="false">IF(AND(ISNUMBER(B3990),B3990&lt;=25),2,0)+IF(AND(ISNUMBER(E3990),E3990&lt;=5),2,0)+IF(AND(ISNUMBER(F3990),F3990&lt;=1),2,0)+IF(AND(ISNUMBER(G3990),G3990&lt;=2),1,0)+IF(AND(ISNUMBER(H3990),H3990&lt;=2),1,0)</f>
        <v>2</v>
      </c>
      <c r="J3990" s="2" t="str">
        <f aca="false">IF(I3990&gt;=6,"High",IF(I3990&gt;=3,"Medium","Low"))</f>
        <v>Low</v>
      </c>
    </row>
    <row r="3991" customFormat="false" ht="15" hidden="false" customHeight="true" outlineLevel="0" collapsed="false">
      <c r="A3991" s="2" t="n">
        <f aca="false">'Raw Data'!H3991</f>
        <v>3990</v>
      </c>
      <c r="B3991" s="2" t="n">
        <f aca="false">'Raw Data'!A3991</f>
        <v>28</v>
      </c>
      <c r="C3991" s="2" t="str">
        <f aca="false">'Raw Data'!D3991</f>
        <v>Sales</v>
      </c>
      <c r="D3991" s="2" t="str">
        <f aca="false">'Raw Data'!K3991</f>
        <v>Manager</v>
      </c>
      <c r="E3991" s="2" t="n">
        <f aca="false">'Raw Data'!Q3991</f>
        <v>3</v>
      </c>
      <c r="F3991" s="2" t="n">
        <f aca="false">'Raw Data'!U3991</f>
        <v>2</v>
      </c>
      <c r="G3991" s="2" t="n">
        <f aca="false">'Raw Data'!W3991</f>
        <v>1</v>
      </c>
      <c r="H3991" s="2" t="n">
        <f aca="false">'Raw Data'!V3991</f>
        <v>3</v>
      </c>
      <c r="I3991" s="2" t="n">
        <f aca="false">IF(AND(ISNUMBER(B3991),B3991&lt;=25),2,0)+IF(AND(ISNUMBER(E3991),E3991&lt;=5),2,0)+IF(AND(ISNUMBER(F3991),F3991&lt;=1),2,0)+IF(AND(ISNUMBER(G3991),G3991&lt;=2),1,0)+IF(AND(ISNUMBER(H3991),H3991&lt;=2),1,0)</f>
        <v>3</v>
      </c>
      <c r="J3991" s="2" t="str">
        <f aca="false">IF(I3991&gt;=6,"High",IF(I3991&gt;=3,"Medium","Low"))</f>
        <v>Medium</v>
      </c>
    </row>
    <row r="3992" customFormat="false" ht="15" hidden="false" customHeight="true" outlineLevel="0" collapsed="false">
      <c r="A3992" s="2" t="n">
        <f aca="false">'Raw Data'!H3992</f>
        <v>3991</v>
      </c>
      <c r="B3992" s="2" t="n">
        <f aca="false">'Raw Data'!A3992</f>
        <v>38</v>
      </c>
      <c r="C3992" s="2" t="str">
        <f aca="false">'Raw Data'!D3992</f>
        <v>Research &amp; Development</v>
      </c>
      <c r="D3992" s="2" t="str">
        <f aca="false">'Raw Data'!K3992</f>
        <v>Manufacturing Director</v>
      </c>
      <c r="E3992" s="2" t="n">
        <f aca="false">'Raw Data'!Q3992</f>
        <v>20</v>
      </c>
      <c r="F3992" s="2" t="n">
        <f aca="false">'Raw Data'!U3992</f>
        <v>3</v>
      </c>
      <c r="G3992" s="2" t="n">
        <f aca="false">'Raw Data'!W3992</f>
        <v>4</v>
      </c>
      <c r="H3992" s="2" t="n">
        <f aca="false">'Raw Data'!V3992</f>
        <v>2</v>
      </c>
      <c r="I3992" s="2" t="n">
        <f aca="false">IF(AND(ISNUMBER(B3992),B3992&lt;=25),2,0)+IF(AND(ISNUMBER(E3992),E3992&lt;=5),2,0)+IF(AND(ISNUMBER(F3992),F3992&lt;=1),2,0)+IF(AND(ISNUMBER(G3992),G3992&lt;=2),1,0)+IF(AND(ISNUMBER(H3992),H3992&lt;=2),1,0)</f>
        <v>1</v>
      </c>
      <c r="J3992" s="2" t="str">
        <f aca="false">IF(I3992&gt;=6,"High",IF(I3992&gt;=3,"Medium","Low"))</f>
        <v>Low</v>
      </c>
    </row>
    <row r="3993" customFormat="false" ht="15" hidden="false" customHeight="true" outlineLevel="0" collapsed="false">
      <c r="A3993" s="2" t="n">
        <f aca="false">'Raw Data'!H3993</f>
        <v>3992</v>
      </c>
      <c r="B3993" s="2" t="n">
        <f aca="false">'Raw Data'!A3993</f>
        <v>26</v>
      </c>
      <c r="C3993" s="2" t="str">
        <f aca="false">'Raw Data'!D3993</f>
        <v>Sales</v>
      </c>
      <c r="D3993" s="2" t="str">
        <f aca="false">'Raw Data'!K3993</f>
        <v>Healthcare Representative</v>
      </c>
      <c r="E3993" s="2" t="n">
        <f aca="false">'Raw Data'!Q3993</f>
        <v>5</v>
      </c>
      <c r="F3993" s="2" t="n">
        <f aca="false">'Raw Data'!U3993</f>
        <v>2</v>
      </c>
      <c r="G3993" s="2" t="n">
        <f aca="false">'Raw Data'!W3993</f>
        <v>4</v>
      </c>
      <c r="H3993" s="2" t="n">
        <f aca="false">'Raw Data'!V3993</f>
        <v>3</v>
      </c>
      <c r="I3993" s="2" t="n">
        <f aca="false">IF(AND(ISNUMBER(B3993),B3993&lt;=25),2,0)+IF(AND(ISNUMBER(E3993),E3993&lt;=5),2,0)+IF(AND(ISNUMBER(F3993),F3993&lt;=1),2,0)+IF(AND(ISNUMBER(G3993),G3993&lt;=2),1,0)+IF(AND(ISNUMBER(H3993),H3993&lt;=2),1,0)</f>
        <v>2</v>
      </c>
      <c r="J3993" s="2" t="str">
        <f aca="false">IF(I3993&gt;=6,"High",IF(I3993&gt;=3,"Medium","Low"))</f>
        <v>Low</v>
      </c>
    </row>
    <row r="3994" customFormat="false" ht="15" hidden="false" customHeight="true" outlineLevel="0" collapsed="false">
      <c r="A3994" s="2" t="n">
        <f aca="false">'Raw Data'!H3994</f>
        <v>3993</v>
      </c>
      <c r="B3994" s="2" t="n">
        <f aca="false">'Raw Data'!A3994</f>
        <v>58</v>
      </c>
      <c r="C3994" s="2" t="str">
        <f aca="false">'Raw Data'!D3994</f>
        <v>Research &amp; Development</v>
      </c>
      <c r="D3994" s="2" t="str">
        <f aca="false">'Raw Data'!K3994</f>
        <v>Sales Representative</v>
      </c>
      <c r="E3994" s="2" t="n">
        <f aca="false">'Raw Data'!Q3994</f>
        <v>23</v>
      </c>
      <c r="F3994" s="2" t="n">
        <f aca="false">'Raw Data'!U3994</f>
        <v>2</v>
      </c>
      <c r="G3994" s="2" t="n">
        <f aca="false">'Raw Data'!W3994</f>
        <v>3</v>
      </c>
      <c r="H3994" s="2" t="n">
        <f aca="false">'Raw Data'!V3994</f>
        <v>1</v>
      </c>
      <c r="I3994" s="2" t="n">
        <f aca="false">IF(AND(ISNUMBER(B3994),B3994&lt;=25),2,0)+IF(AND(ISNUMBER(E3994),E3994&lt;=5),2,0)+IF(AND(ISNUMBER(F3994),F3994&lt;=1),2,0)+IF(AND(ISNUMBER(G3994),G3994&lt;=2),1,0)+IF(AND(ISNUMBER(H3994),H3994&lt;=2),1,0)</f>
        <v>1</v>
      </c>
      <c r="J3994" s="2" t="str">
        <f aca="false">IF(I3994&gt;=6,"High",IF(I3994&gt;=3,"Medium","Low"))</f>
        <v>Low</v>
      </c>
    </row>
    <row r="3995" customFormat="false" ht="15" hidden="false" customHeight="true" outlineLevel="0" collapsed="false">
      <c r="A3995" s="2" t="n">
        <f aca="false">'Raw Data'!H3995</f>
        <v>3994</v>
      </c>
      <c r="B3995" s="2" t="n">
        <f aca="false">'Raw Data'!A3995</f>
        <v>18</v>
      </c>
      <c r="C3995" s="2" t="str">
        <f aca="false">'Raw Data'!D3995</f>
        <v>Research &amp; Development</v>
      </c>
      <c r="D3995" s="2" t="str">
        <f aca="false">'Raw Data'!K3995</f>
        <v>Sales Representative</v>
      </c>
      <c r="E3995" s="2" t="n">
        <f aca="false">'Raw Data'!Q3995</f>
        <v>0</v>
      </c>
      <c r="F3995" s="2" t="n">
        <f aca="false">'Raw Data'!U3995</f>
        <v>0</v>
      </c>
      <c r="G3995" s="2" t="n">
        <f aca="false">'Raw Data'!W3995</f>
        <v>3</v>
      </c>
      <c r="H3995" s="2" t="n">
        <f aca="false">'Raw Data'!V3995</f>
        <v>2</v>
      </c>
      <c r="I3995" s="2" t="n">
        <f aca="false">IF(AND(ISNUMBER(B3995),B3995&lt;=25),2,0)+IF(AND(ISNUMBER(E3995),E3995&lt;=5),2,0)+IF(AND(ISNUMBER(F3995),F3995&lt;=1),2,0)+IF(AND(ISNUMBER(G3995),G3995&lt;=2),1,0)+IF(AND(ISNUMBER(H3995),H3995&lt;=2),1,0)</f>
        <v>7</v>
      </c>
      <c r="J3995" s="2" t="str">
        <f aca="false">IF(I3995&gt;=6,"High",IF(I3995&gt;=3,"Medium","Low"))</f>
        <v>High</v>
      </c>
    </row>
    <row r="3996" customFormat="false" ht="15" hidden="false" customHeight="true" outlineLevel="0" collapsed="false">
      <c r="A3996" s="2" t="n">
        <f aca="false">'Raw Data'!H3996</f>
        <v>3995</v>
      </c>
      <c r="B3996" s="2" t="n">
        <f aca="false">'Raw Data'!A3996</f>
        <v>31</v>
      </c>
      <c r="C3996" s="2" t="str">
        <f aca="false">'Raw Data'!D3996</f>
        <v>Research &amp; Development</v>
      </c>
      <c r="D3996" s="2" t="str">
        <f aca="false">'Raw Data'!K3996</f>
        <v>Laboratory Technician</v>
      </c>
      <c r="E3996" s="2" t="n">
        <f aca="false">'Raw Data'!Q3996</f>
        <v>2</v>
      </c>
      <c r="F3996" s="2" t="n">
        <f aca="false">'Raw Data'!U3996</f>
        <v>0</v>
      </c>
      <c r="G3996" s="2" t="n">
        <f aca="false">'Raw Data'!W3996</f>
        <v>1</v>
      </c>
      <c r="H3996" s="2" t="n">
        <f aca="false">'Raw Data'!V3996</f>
        <v>4</v>
      </c>
      <c r="I3996" s="2" t="n">
        <f aca="false">IF(AND(ISNUMBER(B3996),B3996&lt;=25),2,0)+IF(AND(ISNUMBER(E3996),E3996&lt;=5),2,0)+IF(AND(ISNUMBER(F3996),F3996&lt;=1),2,0)+IF(AND(ISNUMBER(G3996),G3996&lt;=2),1,0)+IF(AND(ISNUMBER(H3996),H3996&lt;=2),1,0)</f>
        <v>5</v>
      </c>
      <c r="J3996" s="2" t="str">
        <f aca="false">IF(I3996&gt;=6,"High",IF(I3996&gt;=3,"Medium","Low"))</f>
        <v>Medium</v>
      </c>
    </row>
    <row r="3997" customFormat="false" ht="15" hidden="false" customHeight="true" outlineLevel="0" collapsed="false">
      <c r="A3997" s="2" t="n">
        <f aca="false">'Raw Data'!H3997</f>
        <v>3996</v>
      </c>
      <c r="B3997" s="2" t="n">
        <f aca="false">'Raw Data'!A3997</f>
        <v>29</v>
      </c>
      <c r="C3997" s="2" t="str">
        <f aca="false">'Raw Data'!D3997</f>
        <v>Research &amp; Development</v>
      </c>
      <c r="D3997" s="2" t="str">
        <f aca="false">'Raw Data'!K3997</f>
        <v>Manager</v>
      </c>
      <c r="E3997" s="2" t="n">
        <f aca="false">'Raw Data'!Q3997</f>
        <v>4</v>
      </c>
      <c r="F3997" s="2" t="n">
        <f aca="false">'Raw Data'!U3997</f>
        <v>0</v>
      </c>
      <c r="G3997" s="2" t="n">
        <f aca="false">'Raw Data'!W3997</f>
        <v>1</v>
      </c>
      <c r="H3997" s="2" t="n">
        <f aca="false">'Raw Data'!V3997</f>
        <v>1</v>
      </c>
      <c r="I3997" s="2" t="n">
        <f aca="false">IF(AND(ISNUMBER(B3997),B3997&lt;=25),2,0)+IF(AND(ISNUMBER(E3997),E3997&lt;=5),2,0)+IF(AND(ISNUMBER(F3997),F3997&lt;=1),2,0)+IF(AND(ISNUMBER(G3997),G3997&lt;=2),1,0)+IF(AND(ISNUMBER(H3997),H3997&lt;=2),1,0)</f>
        <v>6</v>
      </c>
      <c r="J3997" s="2" t="str">
        <f aca="false">IF(I3997&gt;=6,"High",IF(I3997&gt;=3,"Medium","Low"))</f>
        <v>High</v>
      </c>
    </row>
    <row r="3998" customFormat="false" ht="15" hidden="false" customHeight="true" outlineLevel="0" collapsed="false">
      <c r="A3998" s="2" t="n">
        <f aca="false">'Raw Data'!H3998</f>
        <v>3997</v>
      </c>
      <c r="B3998" s="2" t="n">
        <f aca="false">'Raw Data'!A3998</f>
        <v>45</v>
      </c>
      <c r="C3998" s="2" t="str">
        <f aca="false">'Raw Data'!D3998</f>
        <v>Sales</v>
      </c>
      <c r="D3998" s="2" t="str">
        <f aca="false">'Raw Data'!K3998</f>
        <v>Research Scientist</v>
      </c>
      <c r="E3998" s="2" t="n">
        <f aca="false">'Raw Data'!Q3998</f>
        <v>10</v>
      </c>
      <c r="F3998" s="2" t="n">
        <f aca="false">'Raw Data'!U3998</f>
        <v>7</v>
      </c>
      <c r="G3998" s="2" t="n">
        <f aca="false">'Raw Data'!W3998</f>
        <v>3</v>
      </c>
      <c r="H3998" s="2" t="n">
        <f aca="false">'Raw Data'!V3998</f>
        <v>0</v>
      </c>
      <c r="I3998" s="2" t="n">
        <f aca="false">IF(AND(ISNUMBER(B3998),B3998&lt;=25),2,0)+IF(AND(ISNUMBER(E3998),E3998&lt;=5),2,0)+IF(AND(ISNUMBER(F3998),F3998&lt;=1),2,0)+IF(AND(ISNUMBER(G3998),G3998&lt;=2),1,0)+IF(AND(ISNUMBER(H3998),H3998&lt;=2),1,0)</f>
        <v>0</v>
      </c>
      <c r="J3998" s="2" t="str">
        <f aca="false">IF(I3998&gt;=6,"High",IF(I3998&gt;=3,"Medium","Low"))</f>
        <v>Low</v>
      </c>
    </row>
    <row r="3999" customFormat="false" ht="15" hidden="false" customHeight="true" outlineLevel="0" collapsed="false">
      <c r="A3999" s="2" t="n">
        <f aca="false">'Raw Data'!H3999</f>
        <v>3998</v>
      </c>
      <c r="B3999" s="2" t="n">
        <f aca="false">'Raw Data'!A3999</f>
        <v>36</v>
      </c>
      <c r="C3999" s="2" t="str">
        <f aca="false">'Raw Data'!D3999</f>
        <v>Sales</v>
      </c>
      <c r="D3999" s="2" t="str">
        <f aca="false">'Raw Data'!K3999</f>
        <v>Laboratory Technician</v>
      </c>
      <c r="E3999" s="2" t="n">
        <f aca="false">'Raw Data'!Q3999</f>
        <v>15</v>
      </c>
      <c r="F3999" s="2" t="n">
        <f aca="false">'Raw Data'!U3999</f>
        <v>0</v>
      </c>
      <c r="G3999" s="2" t="n">
        <f aca="false">'Raw Data'!W3999</f>
        <v>2</v>
      </c>
      <c r="H3999" s="2" t="n">
        <f aca="false">'Raw Data'!V3999</f>
        <v>4</v>
      </c>
      <c r="I3999" s="2" t="n">
        <f aca="false">IF(AND(ISNUMBER(B3999),B3999&lt;=25),2,0)+IF(AND(ISNUMBER(E3999),E3999&lt;=5),2,0)+IF(AND(ISNUMBER(F3999),F3999&lt;=1),2,0)+IF(AND(ISNUMBER(G3999),G3999&lt;=2),1,0)+IF(AND(ISNUMBER(H3999),H3999&lt;=2),1,0)</f>
        <v>3</v>
      </c>
      <c r="J3999" s="2" t="str">
        <f aca="false">IF(I3999&gt;=6,"High",IF(I3999&gt;=3,"Medium","Low"))</f>
        <v>Medium</v>
      </c>
    </row>
    <row r="4000" customFormat="false" ht="15" hidden="false" customHeight="true" outlineLevel="0" collapsed="false">
      <c r="A4000" s="2" t="n">
        <f aca="false">'Raw Data'!H4000</f>
        <v>3999</v>
      </c>
      <c r="B4000" s="2" t="n">
        <f aca="false">'Raw Data'!A4000</f>
        <v>43</v>
      </c>
      <c r="C4000" s="2" t="str">
        <f aca="false">'Raw Data'!D4000</f>
        <v>Sales</v>
      </c>
      <c r="D4000" s="2" t="str">
        <f aca="false">'Raw Data'!K4000</f>
        <v>Research Director</v>
      </c>
      <c r="E4000" s="2" t="n">
        <f aca="false">'Raw Data'!Q4000</f>
        <v>7</v>
      </c>
      <c r="F4000" s="2" t="n">
        <f aca="false">'Raw Data'!U4000</f>
        <v>7</v>
      </c>
      <c r="G4000" s="2" t="n">
        <f aca="false">'Raw Data'!W4000</f>
        <v>4</v>
      </c>
      <c r="H4000" s="2" t="n">
        <f aca="false">'Raw Data'!V4000</f>
        <v>1</v>
      </c>
      <c r="I4000" s="2" t="n">
        <f aca="false">IF(AND(ISNUMBER(B4000),B4000&lt;=25),2,0)+IF(AND(ISNUMBER(E4000),E4000&lt;=5),2,0)+IF(AND(ISNUMBER(F4000),F4000&lt;=1),2,0)+IF(AND(ISNUMBER(G4000),G4000&lt;=2),1,0)+IF(AND(ISNUMBER(H4000),H4000&lt;=2),1,0)</f>
        <v>1</v>
      </c>
      <c r="J4000" s="2" t="str">
        <f aca="false">IF(I4000&gt;=6,"High",IF(I4000&gt;=3,"Medium","Low"))</f>
        <v>Low</v>
      </c>
    </row>
    <row r="4001" customFormat="false" ht="15" hidden="false" customHeight="true" outlineLevel="0" collapsed="false">
      <c r="A4001" s="2" t="n">
        <f aca="false">'Raw Data'!H4001</f>
        <v>4000</v>
      </c>
      <c r="B4001" s="2" t="n">
        <f aca="false">'Raw Data'!A4001</f>
        <v>27</v>
      </c>
      <c r="C4001" s="2" t="str">
        <f aca="false">'Raw Data'!D4001</f>
        <v>Sales</v>
      </c>
      <c r="D4001" s="2" t="str">
        <f aca="false">'Raw Data'!K4001</f>
        <v>Research Scientist</v>
      </c>
      <c r="E4001" s="2" t="n">
        <f aca="false">'Raw Data'!Q4001</f>
        <v>6</v>
      </c>
      <c r="F4001" s="2" t="n">
        <f aca="false">'Raw Data'!U4001</f>
        <v>2</v>
      </c>
      <c r="G4001" s="2" t="n">
        <f aca="false">'Raw Data'!W4001</f>
        <v>4</v>
      </c>
      <c r="H4001" s="2" t="n">
        <f aca="false">'Raw Data'!V4001</f>
        <v>4</v>
      </c>
      <c r="I4001" s="2" t="n">
        <f aca="false">IF(AND(ISNUMBER(B4001),B4001&lt;=25),2,0)+IF(AND(ISNUMBER(E4001),E4001&lt;=5),2,0)+IF(AND(ISNUMBER(F4001),F4001&lt;=1),2,0)+IF(AND(ISNUMBER(G4001),G4001&lt;=2),1,0)+IF(AND(ISNUMBER(H4001),H4001&lt;=2),1,0)</f>
        <v>0</v>
      </c>
      <c r="J4001" s="2" t="str">
        <f aca="false">IF(I4001&gt;=6,"High",IF(I4001&gt;=3,"Medium","Low"))</f>
        <v>Low</v>
      </c>
    </row>
    <row r="4002" customFormat="false" ht="15" hidden="false" customHeight="true" outlineLevel="0" collapsed="false">
      <c r="A4002" s="2" t="n">
        <f aca="false">'Raw Data'!H4002</f>
        <v>4001</v>
      </c>
      <c r="B4002" s="2" t="n">
        <f aca="false">'Raw Data'!A4002</f>
        <v>29</v>
      </c>
      <c r="C4002" s="2" t="str">
        <f aca="false">'Raw Data'!D4002</f>
        <v>Research &amp; Development</v>
      </c>
      <c r="D4002" s="2" t="str">
        <f aca="false">'Raw Data'!K4002</f>
        <v>Human Resources</v>
      </c>
      <c r="E4002" s="2" t="n">
        <f aca="false">'Raw Data'!Q4002</f>
        <v>11</v>
      </c>
      <c r="F4002" s="2" t="n">
        <f aca="false">'Raw Data'!U4002</f>
        <v>10</v>
      </c>
      <c r="G4002" s="2" t="n">
        <f aca="false">'Raw Data'!W4002</f>
        <v>4</v>
      </c>
      <c r="H4002" s="2" t="n">
        <f aca="false">'Raw Data'!V4002</f>
        <v>4</v>
      </c>
      <c r="I4002" s="2" t="n">
        <f aca="false">IF(AND(ISNUMBER(B4002),B4002&lt;=25),2,0)+IF(AND(ISNUMBER(E4002),E4002&lt;=5),2,0)+IF(AND(ISNUMBER(F4002),F4002&lt;=1),2,0)+IF(AND(ISNUMBER(G4002),G4002&lt;=2),1,0)+IF(AND(ISNUMBER(H4002),H4002&lt;=2),1,0)</f>
        <v>0</v>
      </c>
      <c r="J4002" s="2" t="str">
        <f aca="false">IF(I4002&gt;=6,"High",IF(I4002&gt;=3,"Medium","Low"))</f>
        <v>Low</v>
      </c>
    </row>
    <row r="4003" customFormat="false" ht="15" hidden="false" customHeight="true" outlineLevel="0" collapsed="false">
      <c r="A4003" s="2" t="n">
        <f aca="false">'Raw Data'!H4003</f>
        <v>4002</v>
      </c>
      <c r="B4003" s="2" t="n">
        <f aca="false">'Raw Data'!A4003</f>
        <v>32</v>
      </c>
      <c r="C4003" s="2" t="str">
        <f aca="false">'Raw Data'!D4003</f>
        <v>Sales</v>
      </c>
      <c r="D4003" s="2" t="str">
        <f aca="false">'Raw Data'!K4003</f>
        <v>Sales Executive</v>
      </c>
      <c r="E4003" s="2" t="n">
        <f aca="false">'Raw Data'!Q4003</f>
        <v>4</v>
      </c>
      <c r="F4003" s="2" t="n">
        <f aca="false">'Raw Data'!U4003</f>
        <v>0</v>
      </c>
      <c r="G4003" s="2" t="n">
        <f aca="false">'Raw Data'!W4003</f>
        <v>4</v>
      </c>
      <c r="H4003" s="2" t="n">
        <f aca="false">'Raw Data'!V4003</f>
        <v>4</v>
      </c>
      <c r="I4003" s="2" t="n">
        <f aca="false">IF(AND(ISNUMBER(B4003),B4003&lt;=25),2,0)+IF(AND(ISNUMBER(E4003),E4003&lt;=5),2,0)+IF(AND(ISNUMBER(F4003),F4003&lt;=1),2,0)+IF(AND(ISNUMBER(G4003),G4003&lt;=2),1,0)+IF(AND(ISNUMBER(H4003),H4003&lt;=2),1,0)</f>
        <v>4</v>
      </c>
      <c r="J4003" s="2" t="str">
        <f aca="false">IF(I4003&gt;=6,"High",IF(I4003&gt;=3,"Medium","Low"))</f>
        <v>Medium</v>
      </c>
    </row>
    <row r="4004" customFormat="false" ht="15" hidden="false" customHeight="true" outlineLevel="0" collapsed="false">
      <c r="A4004" s="2" t="n">
        <f aca="false">'Raw Data'!H4004</f>
        <v>4003</v>
      </c>
      <c r="B4004" s="2" t="n">
        <f aca="false">'Raw Data'!A4004</f>
        <v>42</v>
      </c>
      <c r="C4004" s="2" t="str">
        <f aca="false">'Raw Data'!D4004</f>
        <v>Research &amp; Development</v>
      </c>
      <c r="D4004" s="2" t="str">
        <f aca="false">'Raw Data'!K4004</f>
        <v>Manager</v>
      </c>
      <c r="E4004" s="2" t="n">
        <f aca="false">'Raw Data'!Q4004</f>
        <v>10</v>
      </c>
      <c r="F4004" s="2" t="n">
        <f aca="false">'Raw Data'!U4004</f>
        <v>3</v>
      </c>
      <c r="G4004" s="2" t="n">
        <f aca="false">'Raw Data'!W4004</f>
        <v>3</v>
      </c>
      <c r="H4004" s="2" t="n">
        <f aca="false">'Raw Data'!V4004</f>
        <v>3</v>
      </c>
      <c r="I4004" s="2" t="n">
        <f aca="false">IF(AND(ISNUMBER(B4004),B4004&lt;=25),2,0)+IF(AND(ISNUMBER(E4004),E4004&lt;=5),2,0)+IF(AND(ISNUMBER(F4004),F4004&lt;=1),2,0)+IF(AND(ISNUMBER(G4004),G4004&lt;=2),1,0)+IF(AND(ISNUMBER(H4004),H4004&lt;=2),1,0)</f>
        <v>0</v>
      </c>
      <c r="J4004" s="2" t="str">
        <f aca="false">IF(I4004&gt;=6,"High",IF(I4004&gt;=3,"Medium","Low"))</f>
        <v>Low</v>
      </c>
    </row>
    <row r="4005" customFormat="false" ht="15" hidden="false" customHeight="true" outlineLevel="0" collapsed="false">
      <c r="A4005" s="2" t="n">
        <f aca="false">'Raw Data'!H4005</f>
        <v>4004</v>
      </c>
      <c r="B4005" s="2" t="n">
        <f aca="false">'Raw Data'!A4005</f>
        <v>47</v>
      </c>
      <c r="C4005" s="2" t="str">
        <f aca="false">'Raw Data'!D4005</f>
        <v>Sales</v>
      </c>
      <c r="D4005" s="2" t="str">
        <f aca="false">'Raw Data'!K4005</f>
        <v>Manager</v>
      </c>
      <c r="E4005" s="2" t="n">
        <f aca="false">'Raw Data'!Q4005</f>
        <v>7</v>
      </c>
      <c r="F4005" s="2" t="n">
        <f aca="false">'Raw Data'!U4005</f>
        <v>0</v>
      </c>
      <c r="G4005" s="2" t="n">
        <f aca="false">'Raw Data'!W4005</f>
        <v>3</v>
      </c>
      <c r="H4005" s="2" t="n">
        <f aca="false">'Raw Data'!V4005</f>
        <v>2</v>
      </c>
      <c r="I4005" s="2" t="n">
        <f aca="false">IF(AND(ISNUMBER(B4005),B4005&lt;=25),2,0)+IF(AND(ISNUMBER(E4005),E4005&lt;=5),2,0)+IF(AND(ISNUMBER(F4005),F4005&lt;=1),2,0)+IF(AND(ISNUMBER(G4005),G4005&lt;=2),1,0)+IF(AND(ISNUMBER(H4005),H4005&lt;=2),1,0)</f>
        <v>3</v>
      </c>
      <c r="J4005" s="2" t="str">
        <f aca="false">IF(I4005&gt;=6,"High",IF(I4005&gt;=3,"Medium","Low"))</f>
        <v>Medium</v>
      </c>
    </row>
    <row r="4006" customFormat="false" ht="15" hidden="false" customHeight="true" outlineLevel="0" collapsed="false">
      <c r="A4006" s="2" t="n">
        <f aca="false">'Raw Data'!H4006</f>
        <v>4005</v>
      </c>
      <c r="B4006" s="2" t="n">
        <f aca="false">'Raw Data'!A4006</f>
        <v>46</v>
      </c>
      <c r="C4006" s="2" t="str">
        <f aca="false">'Raw Data'!D4006</f>
        <v>Human Resources</v>
      </c>
      <c r="D4006" s="2" t="str">
        <f aca="false">'Raw Data'!K4006</f>
        <v>Laboratory Technician</v>
      </c>
      <c r="E4006" s="2" t="n">
        <f aca="false">'Raw Data'!Q4006</f>
        <v>12</v>
      </c>
      <c r="F4006" s="2" t="n">
        <f aca="false">'Raw Data'!U4006</f>
        <v>7</v>
      </c>
      <c r="G4006" s="2" t="n">
        <f aca="false">'Raw Data'!W4006</f>
        <v>4</v>
      </c>
      <c r="H4006" s="2" t="n">
        <f aca="false">'Raw Data'!V4006</f>
        <v>4</v>
      </c>
      <c r="I4006" s="2" t="n">
        <f aca="false">IF(AND(ISNUMBER(B4006),B4006&lt;=25),2,0)+IF(AND(ISNUMBER(E4006),E4006&lt;=5),2,0)+IF(AND(ISNUMBER(F4006),F4006&lt;=1),2,0)+IF(AND(ISNUMBER(G4006),G4006&lt;=2),1,0)+IF(AND(ISNUMBER(H4006),H4006&lt;=2),1,0)</f>
        <v>0</v>
      </c>
      <c r="J4006" s="2" t="str">
        <f aca="false">IF(I4006&gt;=6,"High",IF(I4006&gt;=3,"Medium","Low"))</f>
        <v>Low</v>
      </c>
    </row>
    <row r="4007" customFormat="false" ht="15" hidden="false" customHeight="true" outlineLevel="0" collapsed="false">
      <c r="A4007" s="2" t="n">
        <f aca="false">'Raw Data'!H4007</f>
        <v>4006</v>
      </c>
      <c r="B4007" s="2" t="n">
        <f aca="false">'Raw Data'!A4007</f>
        <v>28</v>
      </c>
      <c r="C4007" s="2" t="str">
        <f aca="false">'Raw Data'!D4007</f>
        <v>Research &amp; Development</v>
      </c>
      <c r="D4007" s="2" t="str">
        <f aca="false">'Raw Data'!K4007</f>
        <v>Sales Executive</v>
      </c>
      <c r="E4007" s="2" t="n">
        <f aca="false">'Raw Data'!Q4007</f>
        <v>3</v>
      </c>
      <c r="F4007" s="2" t="n">
        <f aca="false">'Raw Data'!U4007</f>
        <v>2</v>
      </c>
      <c r="G4007" s="2" t="n">
        <f aca="false">'Raw Data'!W4007</f>
        <v>4</v>
      </c>
      <c r="H4007" s="2" t="n">
        <f aca="false">'Raw Data'!V4007</f>
        <v>3</v>
      </c>
      <c r="I4007" s="2" t="n">
        <f aca="false">IF(AND(ISNUMBER(B4007),B4007&lt;=25),2,0)+IF(AND(ISNUMBER(E4007),E4007&lt;=5),2,0)+IF(AND(ISNUMBER(F4007),F4007&lt;=1),2,0)+IF(AND(ISNUMBER(G4007),G4007&lt;=2),1,0)+IF(AND(ISNUMBER(H4007),H4007&lt;=2),1,0)</f>
        <v>2</v>
      </c>
      <c r="J4007" s="2" t="str">
        <f aca="false">IF(I4007&gt;=6,"High",IF(I4007&gt;=3,"Medium","Low"))</f>
        <v>Low</v>
      </c>
    </row>
    <row r="4008" customFormat="false" ht="15" hidden="false" customHeight="true" outlineLevel="0" collapsed="false">
      <c r="A4008" s="2" t="n">
        <f aca="false">'Raw Data'!H4008</f>
        <v>4007</v>
      </c>
      <c r="B4008" s="2" t="n">
        <f aca="false">'Raw Data'!A4008</f>
        <v>29</v>
      </c>
      <c r="C4008" s="2" t="str">
        <f aca="false">'Raw Data'!D4008</f>
        <v>Research &amp; Development</v>
      </c>
      <c r="D4008" s="2" t="str">
        <f aca="false">'Raw Data'!K4008</f>
        <v>Manufacturing Director</v>
      </c>
      <c r="E4008" s="2" t="n">
        <f aca="false">'Raw Data'!Q4008</f>
        <v>11</v>
      </c>
      <c r="F4008" s="2" t="n">
        <f aca="false">'Raw Data'!U4008</f>
        <v>6</v>
      </c>
      <c r="G4008" s="2" t="n">
        <f aca="false">'Raw Data'!W4008</f>
        <v>3</v>
      </c>
      <c r="H4008" s="2" t="n">
        <f aca="false">'Raw Data'!V4008</f>
        <v>4</v>
      </c>
      <c r="I4008" s="2" t="n">
        <f aca="false">IF(AND(ISNUMBER(B4008),B4008&lt;=25),2,0)+IF(AND(ISNUMBER(E4008),E4008&lt;=5),2,0)+IF(AND(ISNUMBER(F4008),F4008&lt;=1),2,0)+IF(AND(ISNUMBER(G4008),G4008&lt;=2),1,0)+IF(AND(ISNUMBER(H4008),H4008&lt;=2),1,0)</f>
        <v>0</v>
      </c>
      <c r="J4008" s="2" t="str">
        <f aca="false">IF(I4008&gt;=6,"High",IF(I4008&gt;=3,"Medium","Low"))</f>
        <v>Low</v>
      </c>
    </row>
    <row r="4009" customFormat="false" ht="15" hidden="false" customHeight="true" outlineLevel="0" collapsed="false">
      <c r="A4009" s="2" t="n">
        <f aca="false">'Raw Data'!H4009</f>
        <v>4008</v>
      </c>
      <c r="B4009" s="2" t="n">
        <f aca="false">'Raw Data'!A4009</f>
        <v>42</v>
      </c>
      <c r="C4009" s="2" t="str">
        <f aca="false">'Raw Data'!D4009</f>
        <v>Sales</v>
      </c>
      <c r="D4009" s="2" t="str">
        <f aca="false">'Raw Data'!K4009</f>
        <v>Research Director</v>
      </c>
      <c r="E4009" s="2" t="n">
        <f aca="false">'Raw Data'!Q4009</f>
        <v>8</v>
      </c>
      <c r="F4009" s="2" t="n">
        <f aca="false">'Raw Data'!U4009</f>
        <v>0</v>
      </c>
      <c r="G4009" s="2" t="n">
        <f aca="false">'Raw Data'!W4009</f>
        <v>3</v>
      </c>
      <c r="H4009" s="2" t="n">
        <f aca="false">'Raw Data'!V4009</f>
        <v>4</v>
      </c>
      <c r="I4009" s="2" t="n">
        <f aca="false">IF(AND(ISNUMBER(B4009),B4009&lt;=25),2,0)+IF(AND(ISNUMBER(E4009),E4009&lt;=5),2,0)+IF(AND(ISNUMBER(F4009),F4009&lt;=1),2,0)+IF(AND(ISNUMBER(G4009),G4009&lt;=2),1,0)+IF(AND(ISNUMBER(H4009),H4009&lt;=2),1,0)</f>
        <v>2</v>
      </c>
      <c r="J4009" s="2" t="str">
        <f aca="false">IF(I4009&gt;=6,"High",IF(I4009&gt;=3,"Medium","Low"))</f>
        <v>Low</v>
      </c>
    </row>
    <row r="4010" customFormat="false" ht="15" hidden="false" customHeight="true" outlineLevel="0" collapsed="false">
      <c r="A4010" s="2" t="n">
        <f aca="false">'Raw Data'!H4010</f>
        <v>4009</v>
      </c>
      <c r="B4010" s="2" t="n">
        <f aca="false">'Raw Data'!A4010</f>
        <v>32</v>
      </c>
      <c r="C4010" s="2" t="str">
        <f aca="false">'Raw Data'!D4010</f>
        <v>Research &amp; Development</v>
      </c>
      <c r="D4010" s="2" t="str">
        <f aca="false">'Raw Data'!K4010</f>
        <v>Laboratory Technician</v>
      </c>
      <c r="E4010" s="2" t="n">
        <f aca="false">'Raw Data'!Q4010</f>
        <v>7</v>
      </c>
      <c r="F4010" s="2" t="n">
        <f aca="false">'Raw Data'!U4010</f>
        <v>2</v>
      </c>
      <c r="G4010" s="2" t="n">
        <f aca="false">'Raw Data'!W4010</f>
        <v>2</v>
      </c>
      <c r="H4010" s="2" t="n">
        <f aca="false">'Raw Data'!V4010</f>
        <v>3</v>
      </c>
      <c r="I4010" s="2" t="n">
        <f aca="false">IF(AND(ISNUMBER(B4010),B4010&lt;=25),2,0)+IF(AND(ISNUMBER(E4010),E4010&lt;=5),2,0)+IF(AND(ISNUMBER(F4010),F4010&lt;=1),2,0)+IF(AND(ISNUMBER(G4010),G4010&lt;=2),1,0)+IF(AND(ISNUMBER(H4010),H4010&lt;=2),1,0)</f>
        <v>1</v>
      </c>
      <c r="J4010" s="2" t="str">
        <f aca="false">IF(I4010&gt;=6,"High",IF(I4010&gt;=3,"Medium","Low"))</f>
        <v>Low</v>
      </c>
    </row>
    <row r="4011" customFormat="false" ht="15" hidden="false" customHeight="true" outlineLevel="0" collapsed="false">
      <c r="A4011" s="2" t="n">
        <f aca="false">'Raw Data'!H4011</f>
        <v>4010</v>
      </c>
      <c r="B4011" s="2" t="n">
        <f aca="false">'Raw Data'!A4011</f>
        <v>46</v>
      </c>
      <c r="C4011" s="2" t="str">
        <f aca="false">'Raw Data'!D4011</f>
        <v>Research &amp; Development</v>
      </c>
      <c r="D4011" s="2" t="str">
        <f aca="false">'Raw Data'!K4011</f>
        <v>Laboratory Technician</v>
      </c>
      <c r="E4011" s="2" t="n">
        <f aca="false">'Raw Data'!Q4011</f>
        <v>25</v>
      </c>
      <c r="F4011" s="2" t="n">
        <f aca="false">'Raw Data'!U4011</f>
        <v>8</v>
      </c>
      <c r="G4011" s="2" t="n">
        <f aca="false">'Raw Data'!W4011</f>
        <v>1</v>
      </c>
      <c r="H4011" s="2" t="n">
        <f aca="false">'Raw Data'!V4011</f>
        <v>1</v>
      </c>
      <c r="I4011" s="2" t="n">
        <f aca="false">IF(AND(ISNUMBER(B4011),B4011&lt;=25),2,0)+IF(AND(ISNUMBER(E4011),E4011&lt;=5),2,0)+IF(AND(ISNUMBER(F4011),F4011&lt;=1),2,0)+IF(AND(ISNUMBER(G4011),G4011&lt;=2),1,0)+IF(AND(ISNUMBER(H4011),H4011&lt;=2),1,0)</f>
        <v>2</v>
      </c>
      <c r="J4011" s="2" t="str">
        <f aca="false">IF(I4011&gt;=6,"High",IF(I4011&gt;=3,"Medium","Low"))</f>
        <v>Low</v>
      </c>
    </row>
    <row r="4012" customFormat="false" ht="15" hidden="false" customHeight="true" outlineLevel="0" collapsed="false">
      <c r="A4012" s="2" t="n">
        <f aca="false">'Raw Data'!H4012</f>
        <v>4011</v>
      </c>
      <c r="B4012" s="2" t="n">
        <f aca="false">'Raw Data'!A4012</f>
        <v>27</v>
      </c>
      <c r="C4012" s="2" t="str">
        <f aca="false">'Raw Data'!D4012</f>
        <v>Sales</v>
      </c>
      <c r="D4012" s="2" t="str">
        <f aca="false">'Raw Data'!K4012</f>
        <v>Research Scientist</v>
      </c>
      <c r="E4012" s="2" t="n">
        <f aca="false">'Raw Data'!Q4012</f>
        <v>9</v>
      </c>
      <c r="F4012" s="2" t="n">
        <f aca="false">'Raw Data'!U4012</f>
        <v>8</v>
      </c>
      <c r="G4012" s="2" t="n">
        <f aca="false">'Raw Data'!W4012</f>
        <v>3</v>
      </c>
      <c r="H4012" s="2" t="n">
        <f aca="false">'Raw Data'!V4012</f>
        <v>2</v>
      </c>
      <c r="I4012" s="2" t="n">
        <f aca="false">IF(AND(ISNUMBER(B4012),B4012&lt;=25),2,0)+IF(AND(ISNUMBER(E4012),E4012&lt;=5),2,0)+IF(AND(ISNUMBER(F4012),F4012&lt;=1),2,0)+IF(AND(ISNUMBER(G4012),G4012&lt;=2),1,0)+IF(AND(ISNUMBER(H4012),H4012&lt;=2),1,0)</f>
        <v>1</v>
      </c>
      <c r="J4012" s="2" t="str">
        <f aca="false">IF(I4012&gt;=6,"High",IF(I4012&gt;=3,"Medium","Low"))</f>
        <v>Low</v>
      </c>
    </row>
    <row r="4013" customFormat="false" ht="15" hidden="false" customHeight="true" outlineLevel="0" collapsed="false">
      <c r="A4013" s="2" t="n">
        <f aca="false">'Raw Data'!H4013</f>
        <v>4012</v>
      </c>
      <c r="B4013" s="2" t="n">
        <f aca="false">'Raw Data'!A4013</f>
        <v>29</v>
      </c>
      <c r="C4013" s="2" t="str">
        <f aca="false">'Raw Data'!D4013</f>
        <v>Research &amp; Development</v>
      </c>
      <c r="D4013" s="2" t="str">
        <f aca="false">'Raw Data'!K4013</f>
        <v>Sales Executive</v>
      </c>
      <c r="E4013" s="2" t="n">
        <f aca="false">'Raw Data'!Q4013</f>
        <v>1</v>
      </c>
      <c r="F4013" s="2" t="n">
        <f aca="false">'Raw Data'!U4013</f>
        <v>0</v>
      </c>
      <c r="G4013" s="2" t="n">
        <f aca="false">'Raw Data'!W4013</f>
        <v>2</v>
      </c>
      <c r="H4013" s="2" t="n">
        <f aca="false">'Raw Data'!V4013</f>
        <v>4</v>
      </c>
      <c r="I4013" s="2" t="n">
        <f aca="false">IF(AND(ISNUMBER(B4013),B4013&lt;=25),2,0)+IF(AND(ISNUMBER(E4013),E4013&lt;=5),2,0)+IF(AND(ISNUMBER(F4013),F4013&lt;=1),2,0)+IF(AND(ISNUMBER(G4013),G4013&lt;=2),1,0)+IF(AND(ISNUMBER(H4013),H4013&lt;=2),1,0)</f>
        <v>5</v>
      </c>
      <c r="J4013" s="2" t="str">
        <f aca="false">IF(I4013&gt;=6,"High",IF(I4013&gt;=3,"Medium","Low"))</f>
        <v>Medium</v>
      </c>
    </row>
    <row r="4014" customFormat="false" ht="15" hidden="false" customHeight="true" outlineLevel="0" collapsed="false">
      <c r="A4014" s="2" t="n">
        <f aca="false">'Raw Data'!H4014</f>
        <v>4013</v>
      </c>
      <c r="B4014" s="2" t="n">
        <f aca="false">'Raw Data'!A4014</f>
        <v>43</v>
      </c>
      <c r="C4014" s="2" t="str">
        <f aca="false">'Raw Data'!D4014</f>
        <v>Research &amp; Development</v>
      </c>
      <c r="D4014" s="2" t="str">
        <f aca="false">'Raw Data'!K4014</f>
        <v>Manufacturing Director</v>
      </c>
      <c r="E4014" s="2" t="n">
        <f aca="false">'Raw Data'!Q4014</f>
        <v>21</v>
      </c>
      <c r="F4014" s="2" t="n">
        <f aca="false">'Raw Data'!U4014</f>
        <v>14</v>
      </c>
      <c r="G4014" s="2" t="n">
        <f aca="false">'Raw Data'!W4014</f>
        <v>3</v>
      </c>
      <c r="H4014" s="2" t="n">
        <f aca="false">'Raw Data'!V4014</f>
        <v>1</v>
      </c>
      <c r="I4014" s="2" t="n">
        <f aca="false">IF(AND(ISNUMBER(B4014),B4014&lt;=25),2,0)+IF(AND(ISNUMBER(E4014),E4014&lt;=5),2,0)+IF(AND(ISNUMBER(F4014),F4014&lt;=1),2,0)+IF(AND(ISNUMBER(G4014),G4014&lt;=2),1,0)+IF(AND(ISNUMBER(H4014),H4014&lt;=2),1,0)</f>
        <v>1</v>
      </c>
      <c r="J4014" s="2" t="str">
        <f aca="false">IF(I4014&gt;=6,"High",IF(I4014&gt;=3,"Medium","Low"))</f>
        <v>Low</v>
      </c>
    </row>
    <row r="4015" customFormat="false" ht="15" hidden="false" customHeight="true" outlineLevel="0" collapsed="false">
      <c r="A4015" s="2" t="n">
        <f aca="false">'Raw Data'!H4015</f>
        <v>4014</v>
      </c>
      <c r="B4015" s="2" t="n">
        <f aca="false">'Raw Data'!A4015</f>
        <v>48</v>
      </c>
      <c r="C4015" s="2" t="str">
        <f aca="false">'Raw Data'!D4015</f>
        <v>Research &amp; Development</v>
      </c>
      <c r="D4015" s="2" t="str">
        <f aca="false">'Raw Data'!K4015</f>
        <v>Manager</v>
      </c>
      <c r="E4015" s="2" t="n">
        <f aca="false">'Raw Data'!Q4015</f>
        <v>29</v>
      </c>
      <c r="F4015" s="2" t="n">
        <f aca="false">'Raw Data'!U4015</f>
        <v>9</v>
      </c>
      <c r="G4015" s="2" t="n">
        <f aca="false">'Raw Data'!W4015</f>
        <v>2</v>
      </c>
      <c r="H4015" s="2" t="n">
        <f aca="false">'Raw Data'!V4015</f>
        <v>4</v>
      </c>
      <c r="I4015" s="2" t="n">
        <f aca="false">IF(AND(ISNUMBER(B4015),B4015&lt;=25),2,0)+IF(AND(ISNUMBER(E4015),E4015&lt;=5),2,0)+IF(AND(ISNUMBER(F4015),F4015&lt;=1),2,0)+IF(AND(ISNUMBER(G4015),G4015&lt;=2),1,0)+IF(AND(ISNUMBER(H4015),H4015&lt;=2),1,0)</f>
        <v>1</v>
      </c>
      <c r="J4015" s="2" t="str">
        <f aca="false">IF(I4015&gt;=6,"High",IF(I4015&gt;=3,"Medium","Low"))</f>
        <v>Low</v>
      </c>
    </row>
    <row r="4016" customFormat="false" ht="15" hidden="false" customHeight="true" outlineLevel="0" collapsed="false">
      <c r="A4016" s="2" t="n">
        <f aca="false">'Raw Data'!H4016</f>
        <v>4015</v>
      </c>
      <c r="B4016" s="2" t="n">
        <f aca="false">'Raw Data'!A4016</f>
        <v>29</v>
      </c>
      <c r="C4016" s="2" t="str">
        <f aca="false">'Raw Data'!D4016</f>
        <v>Research &amp; Development</v>
      </c>
      <c r="D4016" s="2" t="str">
        <f aca="false">'Raw Data'!K4016</f>
        <v>Laboratory Technician</v>
      </c>
      <c r="E4016" s="2" t="n">
        <f aca="false">'Raw Data'!Q4016</f>
        <v>1</v>
      </c>
      <c r="F4016" s="2" t="n">
        <f aca="false">'Raw Data'!U4016</f>
        <v>0</v>
      </c>
      <c r="G4016" s="2" t="n">
        <f aca="false">'Raw Data'!W4016</f>
        <v>4</v>
      </c>
      <c r="H4016" s="2" t="n">
        <f aca="false">'Raw Data'!V4016</f>
        <v>4</v>
      </c>
      <c r="I4016" s="2" t="n">
        <f aca="false">IF(AND(ISNUMBER(B4016),B4016&lt;=25),2,0)+IF(AND(ISNUMBER(E4016),E4016&lt;=5),2,0)+IF(AND(ISNUMBER(F4016),F4016&lt;=1),2,0)+IF(AND(ISNUMBER(G4016),G4016&lt;=2),1,0)+IF(AND(ISNUMBER(H4016),H4016&lt;=2),1,0)</f>
        <v>4</v>
      </c>
      <c r="J4016" s="2" t="str">
        <f aca="false">IF(I4016&gt;=6,"High",IF(I4016&gt;=3,"Medium","Low"))</f>
        <v>Medium</v>
      </c>
    </row>
    <row r="4017" customFormat="false" ht="15" hidden="false" customHeight="true" outlineLevel="0" collapsed="false">
      <c r="A4017" s="2" t="n">
        <f aca="false">'Raw Data'!H4017</f>
        <v>4016</v>
      </c>
      <c r="B4017" s="2" t="n">
        <f aca="false">'Raw Data'!A4017</f>
        <v>46</v>
      </c>
      <c r="C4017" s="2" t="str">
        <f aca="false">'Raw Data'!D4017</f>
        <v>Research &amp; Development</v>
      </c>
      <c r="D4017" s="2" t="str">
        <f aca="false">'Raw Data'!K4017</f>
        <v>Sales Representative</v>
      </c>
      <c r="E4017" s="2" t="n">
        <f aca="false">'Raw Data'!Q4017</f>
        <v>14</v>
      </c>
      <c r="F4017" s="2" t="n">
        <f aca="false">'Raw Data'!U4017</f>
        <v>7</v>
      </c>
      <c r="G4017" s="2" t="n">
        <f aca="false">'Raw Data'!W4017</f>
        <v>2</v>
      </c>
      <c r="H4017" s="2" t="n">
        <f aca="false">'Raw Data'!V4017</f>
        <v>3</v>
      </c>
      <c r="I4017" s="2" t="n">
        <f aca="false">IF(AND(ISNUMBER(B4017),B4017&lt;=25),2,0)+IF(AND(ISNUMBER(E4017),E4017&lt;=5),2,0)+IF(AND(ISNUMBER(F4017),F4017&lt;=1),2,0)+IF(AND(ISNUMBER(G4017),G4017&lt;=2),1,0)+IF(AND(ISNUMBER(H4017),H4017&lt;=2),1,0)</f>
        <v>1</v>
      </c>
      <c r="J4017" s="2" t="str">
        <f aca="false">IF(I4017&gt;=6,"High",IF(I4017&gt;=3,"Medium","Low"))</f>
        <v>Low</v>
      </c>
    </row>
    <row r="4018" customFormat="false" ht="15" hidden="false" customHeight="true" outlineLevel="0" collapsed="false">
      <c r="A4018" s="2" t="n">
        <f aca="false">'Raw Data'!H4018</f>
        <v>4017</v>
      </c>
      <c r="B4018" s="2" t="n">
        <f aca="false">'Raw Data'!A4018</f>
        <v>27</v>
      </c>
      <c r="C4018" s="2" t="str">
        <f aca="false">'Raw Data'!D4018</f>
        <v>Research &amp; Development</v>
      </c>
      <c r="D4018" s="2" t="str">
        <f aca="false">'Raw Data'!K4018</f>
        <v>Healthcare Representative</v>
      </c>
      <c r="E4018" s="2" t="n">
        <f aca="false">'Raw Data'!Q4018</f>
        <v>8</v>
      </c>
      <c r="F4018" s="2" t="n">
        <f aca="false">'Raw Data'!U4018</f>
        <v>3</v>
      </c>
      <c r="G4018" s="2" t="n">
        <f aca="false">'Raw Data'!W4018</f>
        <v>1</v>
      </c>
      <c r="H4018" s="2" t="n">
        <f aca="false">'Raw Data'!V4018</f>
        <v>4</v>
      </c>
      <c r="I4018" s="2" t="n">
        <f aca="false">IF(AND(ISNUMBER(B4018),B4018&lt;=25),2,0)+IF(AND(ISNUMBER(E4018),E4018&lt;=5),2,0)+IF(AND(ISNUMBER(F4018),F4018&lt;=1),2,0)+IF(AND(ISNUMBER(G4018),G4018&lt;=2),1,0)+IF(AND(ISNUMBER(H4018),H4018&lt;=2),1,0)</f>
        <v>1</v>
      </c>
      <c r="J4018" s="2" t="str">
        <f aca="false">IF(I4018&gt;=6,"High",IF(I4018&gt;=3,"Medium","Low"))</f>
        <v>Low</v>
      </c>
    </row>
    <row r="4019" customFormat="false" ht="15" hidden="false" customHeight="true" outlineLevel="0" collapsed="false">
      <c r="A4019" s="2" t="n">
        <f aca="false">'Raw Data'!H4019</f>
        <v>4018</v>
      </c>
      <c r="B4019" s="2" t="n">
        <f aca="false">'Raw Data'!A4019</f>
        <v>39</v>
      </c>
      <c r="C4019" s="2" t="str">
        <f aca="false">'Raw Data'!D4019</f>
        <v>Research &amp; Development</v>
      </c>
      <c r="D4019" s="2" t="str">
        <f aca="false">'Raw Data'!K4019</f>
        <v>Healthcare Representative</v>
      </c>
      <c r="E4019" s="2" t="n">
        <f aca="false">'Raw Data'!Q4019</f>
        <v>7</v>
      </c>
      <c r="F4019" s="2" t="n">
        <f aca="false">'Raw Data'!U4019</f>
        <v>2</v>
      </c>
      <c r="G4019" s="2" t="n">
        <f aca="false">'Raw Data'!W4019</f>
        <v>4</v>
      </c>
      <c r="H4019" s="2" t="n">
        <f aca="false">'Raw Data'!V4019</f>
        <v>4</v>
      </c>
      <c r="I4019" s="2" t="n">
        <f aca="false">IF(AND(ISNUMBER(B4019),B4019&lt;=25),2,0)+IF(AND(ISNUMBER(E4019),E4019&lt;=5),2,0)+IF(AND(ISNUMBER(F4019),F4019&lt;=1),2,0)+IF(AND(ISNUMBER(G4019),G4019&lt;=2),1,0)+IF(AND(ISNUMBER(H4019),H4019&lt;=2),1,0)</f>
        <v>0</v>
      </c>
      <c r="J4019" s="2" t="str">
        <f aca="false">IF(I4019&gt;=6,"High",IF(I4019&gt;=3,"Medium","Low"))</f>
        <v>Low</v>
      </c>
    </row>
    <row r="4020" customFormat="false" ht="15" hidden="false" customHeight="true" outlineLevel="0" collapsed="false">
      <c r="A4020" s="2" t="n">
        <f aca="false">'Raw Data'!H4020</f>
        <v>4019</v>
      </c>
      <c r="B4020" s="2" t="n">
        <f aca="false">'Raw Data'!A4020</f>
        <v>55</v>
      </c>
      <c r="C4020" s="2" t="str">
        <f aca="false">'Raw Data'!D4020</f>
        <v>Research &amp; Development</v>
      </c>
      <c r="D4020" s="2" t="str">
        <f aca="false">'Raw Data'!K4020</f>
        <v>Human Resources</v>
      </c>
      <c r="E4020" s="2" t="n">
        <f aca="false">'Raw Data'!Q4020</f>
        <v>19</v>
      </c>
      <c r="F4020" s="2" t="n">
        <f aca="false">'Raw Data'!U4020</f>
        <v>4</v>
      </c>
      <c r="G4020" s="2" t="n">
        <f aca="false">'Raw Data'!W4020</f>
        <v>4</v>
      </c>
      <c r="H4020" s="2" t="n">
        <f aca="false">'Raw Data'!V4020</f>
        <v>2</v>
      </c>
      <c r="I4020" s="2" t="n">
        <f aca="false">IF(AND(ISNUMBER(B4020),B4020&lt;=25),2,0)+IF(AND(ISNUMBER(E4020),E4020&lt;=5),2,0)+IF(AND(ISNUMBER(F4020),F4020&lt;=1),2,0)+IF(AND(ISNUMBER(G4020),G4020&lt;=2),1,0)+IF(AND(ISNUMBER(H4020),H4020&lt;=2),1,0)</f>
        <v>1</v>
      </c>
      <c r="J4020" s="2" t="str">
        <f aca="false">IF(I4020&gt;=6,"High",IF(I4020&gt;=3,"Medium","Low"))</f>
        <v>Low</v>
      </c>
    </row>
    <row r="4021" customFormat="false" ht="15" hidden="false" customHeight="true" outlineLevel="0" collapsed="false">
      <c r="A4021" s="2" t="n">
        <f aca="false">'Raw Data'!H4021</f>
        <v>4020</v>
      </c>
      <c r="B4021" s="2" t="n">
        <f aca="false">'Raw Data'!A4021</f>
        <v>28</v>
      </c>
      <c r="C4021" s="2" t="str">
        <f aca="false">'Raw Data'!D4021</f>
        <v>Research &amp; Development</v>
      </c>
      <c r="D4021" s="2" t="str">
        <f aca="false">'Raw Data'!K4021</f>
        <v>Laboratory Technician</v>
      </c>
      <c r="E4021" s="2" t="n">
        <f aca="false">'Raw Data'!Q4021</f>
        <v>1</v>
      </c>
      <c r="F4021" s="2" t="n">
        <f aca="false">'Raw Data'!U4021</f>
        <v>0</v>
      </c>
      <c r="G4021" s="2" t="n">
        <f aca="false">'Raw Data'!W4021</f>
        <v>2</v>
      </c>
      <c r="H4021" s="2" t="n">
        <f aca="false">'Raw Data'!V4021</f>
        <v>2</v>
      </c>
      <c r="I4021" s="2" t="n">
        <f aca="false">IF(AND(ISNUMBER(B4021),B4021&lt;=25),2,0)+IF(AND(ISNUMBER(E4021),E4021&lt;=5),2,0)+IF(AND(ISNUMBER(F4021),F4021&lt;=1),2,0)+IF(AND(ISNUMBER(G4021),G4021&lt;=2),1,0)+IF(AND(ISNUMBER(H4021),H4021&lt;=2),1,0)</f>
        <v>6</v>
      </c>
      <c r="J4021" s="2" t="str">
        <f aca="false">IF(I4021&gt;=6,"High",IF(I4021&gt;=3,"Medium","Low"))</f>
        <v>High</v>
      </c>
    </row>
    <row r="4022" customFormat="false" ht="15" hidden="false" customHeight="true" outlineLevel="0" collapsed="false">
      <c r="A4022" s="2" t="n">
        <f aca="false">'Raw Data'!H4022</f>
        <v>4021</v>
      </c>
      <c r="B4022" s="2" t="n">
        <f aca="false">'Raw Data'!A4022</f>
        <v>30</v>
      </c>
      <c r="C4022" s="2" t="str">
        <f aca="false">'Raw Data'!D4022</f>
        <v>Sales</v>
      </c>
      <c r="D4022" s="2" t="str">
        <f aca="false">'Raw Data'!K4022</f>
        <v>Sales Executive</v>
      </c>
      <c r="E4022" s="2" t="n">
        <f aca="false">'Raw Data'!Q4022</f>
        <v>1</v>
      </c>
      <c r="F4022" s="2" t="n">
        <f aca="false">'Raw Data'!U4022</f>
        <v>0</v>
      </c>
      <c r="G4022" s="2" t="n">
        <f aca="false">'Raw Data'!W4022</f>
        <v>4</v>
      </c>
      <c r="H4022" s="2" t="n">
        <f aca="false">'Raw Data'!V4022</f>
        <v>2</v>
      </c>
      <c r="I4022" s="2" t="n">
        <f aca="false">IF(AND(ISNUMBER(B4022),B4022&lt;=25),2,0)+IF(AND(ISNUMBER(E4022),E4022&lt;=5),2,0)+IF(AND(ISNUMBER(F4022),F4022&lt;=1),2,0)+IF(AND(ISNUMBER(G4022),G4022&lt;=2),1,0)+IF(AND(ISNUMBER(H4022),H4022&lt;=2),1,0)</f>
        <v>5</v>
      </c>
      <c r="J4022" s="2" t="str">
        <f aca="false">IF(I4022&gt;=6,"High",IF(I4022&gt;=3,"Medium","Low"))</f>
        <v>Medium</v>
      </c>
    </row>
    <row r="4023" customFormat="false" ht="15" hidden="false" customHeight="true" outlineLevel="0" collapsed="false">
      <c r="A4023" s="2" t="n">
        <f aca="false">'Raw Data'!H4023</f>
        <v>4022</v>
      </c>
      <c r="B4023" s="2" t="n">
        <f aca="false">'Raw Data'!A4023</f>
        <v>22</v>
      </c>
      <c r="C4023" s="2" t="str">
        <f aca="false">'Raw Data'!D4023</f>
        <v>Research &amp; Development</v>
      </c>
      <c r="D4023" s="2" t="str">
        <f aca="false">'Raw Data'!K4023</f>
        <v>Laboratory Technician</v>
      </c>
      <c r="E4023" s="2" t="n">
        <f aca="false">'Raw Data'!Q4023</f>
        <v>1</v>
      </c>
      <c r="F4023" s="2" t="n">
        <f aca="false">'Raw Data'!U4023</f>
        <v>0</v>
      </c>
      <c r="G4023" s="2" t="n">
        <f aca="false">'Raw Data'!W4023</f>
        <v>2</v>
      </c>
      <c r="H4023" s="2" t="n">
        <f aca="false">'Raw Data'!V4023</f>
        <v>4</v>
      </c>
      <c r="I4023" s="2" t="n">
        <f aca="false">IF(AND(ISNUMBER(B4023),B4023&lt;=25),2,0)+IF(AND(ISNUMBER(E4023),E4023&lt;=5),2,0)+IF(AND(ISNUMBER(F4023),F4023&lt;=1),2,0)+IF(AND(ISNUMBER(G4023),G4023&lt;=2),1,0)+IF(AND(ISNUMBER(H4023),H4023&lt;=2),1,0)</f>
        <v>7</v>
      </c>
      <c r="J4023" s="2" t="str">
        <f aca="false">IF(I4023&gt;=6,"High",IF(I4023&gt;=3,"Medium","Low"))</f>
        <v>High</v>
      </c>
    </row>
    <row r="4024" customFormat="false" ht="15" hidden="false" customHeight="true" outlineLevel="0" collapsed="false">
      <c r="A4024" s="2" t="n">
        <f aca="false">'Raw Data'!H4024</f>
        <v>4023</v>
      </c>
      <c r="B4024" s="2" t="n">
        <f aca="false">'Raw Data'!A4024</f>
        <v>36</v>
      </c>
      <c r="C4024" s="2" t="str">
        <f aca="false">'Raw Data'!D4024</f>
        <v>Research &amp; Development</v>
      </c>
      <c r="D4024" s="2" t="str">
        <f aca="false">'Raw Data'!K4024</f>
        <v>Sales Executive</v>
      </c>
      <c r="E4024" s="2" t="n">
        <f aca="false">'Raw Data'!Q4024</f>
        <v>10</v>
      </c>
      <c r="F4024" s="2" t="n">
        <f aca="false">'Raw Data'!U4024</f>
        <v>7</v>
      </c>
      <c r="G4024" s="2" t="n">
        <f aca="false">'Raw Data'!W4024</f>
        <v>3</v>
      </c>
      <c r="H4024" s="2" t="n">
        <f aca="false">'Raw Data'!V4024</f>
        <v>2</v>
      </c>
      <c r="I4024" s="2" t="n">
        <f aca="false">IF(AND(ISNUMBER(B4024),B4024&lt;=25),2,0)+IF(AND(ISNUMBER(E4024),E4024&lt;=5),2,0)+IF(AND(ISNUMBER(F4024),F4024&lt;=1),2,0)+IF(AND(ISNUMBER(G4024),G4024&lt;=2),1,0)+IF(AND(ISNUMBER(H4024),H4024&lt;=2),1,0)</f>
        <v>1</v>
      </c>
      <c r="J4024" s="2" t="str">
        <f aca="false">IF(I4024&gt;=6,"High",IF(I4024&gt;=3,"Medium","Low"))</f>
        <v>Low</v>
      </c>
    </row>
    <row r="4025" customFormat="false" ht="15" hidden="false" customHeight="true" outlineLevel="0" collapsed="false">
      <c r="A4025" s="2" t="n">
        <f aca="false">'Raw Data'!H4025</f>
        <v>4024</v>
      </c>
      <c r="B4025" s="2" t="n">
        <f aca="false">'Raw Data'!A4025</f>
        <v>31</v>
      </c>
      <c r="C4025" s="2" t="str">
        <f aca="false">'Raw Data'!D4025</f>
        <v>Research &amp; Development</v>
      </c>
      <c r="D4025" s="2" t="str">
        <f aca="false">'Raw Data'!K4025</f>
        <v>Manager</v>
      </c>
      <c r="E4025" s="2" t="n">
        <f aca="false">'Raw Data'!Q4025</f>
        <v>10</v>
      </c>
      <c r="F4025" s="2" t="n">
        <f aca="false">'Raw Data'!U4025</f>
        <v>2</v>
      </c>
      <c r="G4025" s="2" t="n">
        <f aca="false">'Raw Data'!W4025</f>
        <v>3</v>
      </c>
      <c r="H4025" s="2" t="n">
        <f aca="false">'Raw Data'!V4025</f>
        <v>2</v>
      </c>
      <c r="I4025" s="2" t="n">
        <f aca="false">IF(AND(ISNUMBER(B4025),B4025&lt;=25),2,0)+IF(AND(ISNUMBER(E4025),E4025&lt;=5),2,0)+IF(AND(ISNUMBER(F4025),F4025&lt;=1),2,0)+IF(AND(ISNUMBER(G4025),G4025&lt;=2),1,0)+IF(AND(ISNUMBER(H4025),H4025&lt;=2),1,0)</f>
        <v>1</v>
      </c>
      <c r="J4025" s="2" t="str">
        <f aca="false">IF(I4025&gt;=6,"High",IF(I4025&gt;=3,"Medium","Low"))</f>
        <v>Low</v>
      </c>
    </row>
    <row r="4026" customFormat="false" ht="15" hidden="false" customHeight="true" outlineLevel="0" collapsed="false">
      <c r="A4026" s="2" t="n">
        <f aca="false">'Raw Data'!H4026</f>
        <v>4025</v>
      </c>
      <c r="B4026" s="2" t="n">
        <f aca="false">'Raw Data'!A4026</f>
        <v>34</v>
      </c>
      <c r="C4026" s="2" t="str">
        <f aca="false">'Raw Data'!D4026</f>
        <v>Sales</v>
      </c>
      <c r="D4026" s="2" t="str">
        <f aca="false">'Raw Data'!K4026</f>
        <v>Sales Executive</v>
      </c>
      <c r="E4026" s="2" t="n">
        <f aca="false">'Raw Data'!Q4026</f>
        <v>9</v>
      </c>
      <c r="F4026" s="2" t="n">
        <f aca="false">'Raw Data'!U4026</f>
        <v>0</v>
      </c>
      <c r="G4026" s="2" t="n">
        <f aca="false">'Raw Data'!W4026</f>
        <v>4</v>
      </c>
      <c r="H4026" s="2" t="n">
        <f aca="false">'Raw Data'!V4026</f>
        <v>3</v>
      </c>
      <c r="I4026" s="2" t="n">
        <f aca="false">IF(AND(ISNUMBER(B4026),B4026&lt;=25),2,0)+IF(AND(ISNUMBER(E4026),E4026&lt;=5),2,0)+IF(AND(ISNUMBER(F4026),F4026&lt;=1),2,0)+IF(AND(ISNUMBER(G4026),G4026&lt;=2),1,0)+IF(AND(ISNUMBER(H4026),H4026&lt;=2),1,0)</f>
        <v>2</v>
      </c>
      <c r="J4026" s="2" t="str">
        <f aca="false">IF(I4026&gt;=6,"High",IF(I4026&gt;=3,"Medium","Low"))</f>
        <v>Low</v>
      </c>
    </row>
    <row r="4027" customFormat="false" ht="15" hidden="false" customHeight="true" outlineLevel="0" collapsed="false">
      <c r="A4027" s="2" t="n">
        <f aca="false">'Raw Data'!H4027</f>
        <v>4026</v>
      </c>
      <c r="B4027" s="2" t="n">
        <f aca="false">'Raw Data'!A4027</f>
        <v>29</v>
      </c>
      <c r="C4027" s="2" t="str">
        <f aca="false">'Raw Data'!D4027</f>
        <v>Research &amp; Development</v>
      </c>
      <c r="D4027" s="2" t="str">
        <f aca="false">'Raw Data'!K4027</f>
        <v>Sales Executive</v>
      </c>
      <c r="E4027" s="2" t="n">
        <f aca="false">'Raw Data'!Q4027</f>
        <v>11</v>
      </c>
      <c r="F4027" s="2" t="n">
        <f aca="false">'Raw Data'!U4027</f>
        <v>2</v>
      </c>
      <c r="G4027" s="2" t="n">
        <f aca="false">'Raw Data'!W4027</f>
        <v>1</v>
      </c>
      <c r="H4027" s="2" t="n">
        <f aca="false">'Raw Data'!V4027</f>
        <v>4</v>
      </c>
      <c r="I4027" s="2" t="n">
        <f aca="false">IF(AND(ISNUMBER(B4027),B4027&lt;=25),2,0)+IF(AND(ISNUMBER(E4027),E4027&lt;=5),2,0)+IF(AND(ISNUMBER(F4027),F4027&lt;=1),2,0)+IF(AND(ISNUMBER(G4027),G4027&lt;=2),1,0)+IF(AND(ISNUMBER(H4027),H4027&lt;=2),1,0)</f>
        <v>1</v>
      </c>
      <c r="J4027" s="2" t="str">
        <f aca="false">IF(I4027&gt;=6,"High",IF(I4027&gt;=3,"Medium","Low"))</f>
        <v>Low</v>
      </c>
    </row>
    <row r="4028" customFormat="false" ht="15" hidden="false" customHeight="true" outlineLevel="0" collapsed="false">
      <c r="A4028" s="2" t="n">
        <f aca="false">'Raw Data'!H4028</f>
        <v>4027</v>
      </c>
      <c r="B4028" s="2" t="n">
        <f aca="false">'Raw Data'!A4028</f>
        <v>37</v>
      </c>
      <c r="C4028" s="2" t="str">
        <f aca="false">'Raw Data'!D4028</f>
        <v>Research &amp; Development</v>
      </c>
      <c r="D4028" s="2" t="str">
        <f aca="false">'Raw Data'!K4028</f>
        <v>Manufacturing Director</v>
      </c>
      <c r="E4028" s="2" t="n">
        <f aca="false">'Raw Data'!Q4028</f>
        <v>16</v>
      </c>
      <c r="F4028" s="2" t="n">
        <f aca="false">'Raw Data'!U4028</f>
        <v>4</v>
      </c>
      <c r="G4028" s="2" t="n">
        <f aca="false">'Raw Data'!W4028</f>
        <v>1</v>
      </c>
      <c r="H4028" s="2" t="n">
        <f aca="false">'Raw Data'!V4028</f>
        <v>4</v>
      </c>
      <c r="I4028" s="2" t="n">
        <f aca="false">IF(AND(ISNUMBER(B4028),B4028&lt;=25),2,0)+IF(AND(ISNUMBER(E4028),E4028&lt;=5),2,0)+IF(AND(ISNUMBER(F4028),F4028&lt;=1),2,0)+IF(AND(ISNUMBER(G4028),G4028&lt;=2),1,0)+IF(AND(ISNUMBER(H4028),H4028&lt;=2),1,0)</f>
        <v>1</v>
      </c>
      <c r="J4028" s="2" t="str">
        <f aca="false">IF(I4028&gt;=6,"High",IF(I4028&gt;=3,"Medium","Low"))</f>
        <v>Low</v>
      </c>
    </row>
    <row r="4029" customFormat="false" ht="15" hidden="false" customHeight="true" outlineLevel="0" collapsed="false">
      <c r="A4029" s="2" t="n">
        <f aca="false">'Raw Data'!H4029</f>
        <v>4028</v>
      </c>
      <c r="B4029" s="2" t="n">
        <f aca="false">'Raw Data'!A4029</f>
        <v>35</v>
      </c>
      <c r="C4029" s="2" t="str">
        <f aca="false">'Raw Data'!D4029</f>
        <v>Sales</v>
      </c>
      <c r="D4029" s="2" t="str">
        <f aca="false">'Raw Data'!K4029</f>
        <v>Laboratory Technician</v>
      </c>
      <c r="E4029" s="2" t="n">
        <f aca="false">'Raw Data'!Q4029</f>
        <v>4</v>
      </c>
      <c r="F4029" s="2" t="n">
        <f aca="false">'Raw Data'!U4029</f>
        <v>2</v>
      </c>
      <c r="G4029" s="2" t="n">
        <f aca="false">'Raw Data'!W4029</f>
        <v>2</v>
      </c>
      <c r="H4029" s="2" t="n">
        <f aca="false">'Raw Data'!V4029</f>
        <v>4</v>
      </c>
      <c r="I4029" s="2" t="n">
        <f aca="false">IF(AND(ISNUMBER(B4029),B4029&lt;=25),2,0)+IF(AND(ISNUMBER(E4029),E4029&lt;=5),2,0)+IF(AND(ISNUMBER(F4029),F4029&lt;=1),2,0)+IF(AND(ISNUMBER(G4029),G4029&lt;=2),1,0)+IF(AND(ISNUMBER(H4029),H4029&lt;=2),1,0)</f>
        <v>3</v>
      </c>
      <c r="J4029" s="2" t="str">
        <f aca="false">IF(I4029&gt;=6,"High",IF(I4029&gt;=3,"Medium","Low"))</f>
        <v>Medium</v>
      </c>
    </row>
    <row r="4030" customFormat="false" ht="15" hidden="false" customHeight="true" outlineLevel="0" collapsed="false">
      <c r="A4030" s="2" t="n">
        <f aca="false">'Raw Data'!H4030</f>
        <v>4029</v>
      </c>
      <c r="B4030" s="2" t="n">
        <f aca="false">'Raw Data'!A4030</f>
        <v>45</v>
      </c>
      <c r="C4030" s="2" t="str">
        <f aca="false">'Raw Data'!D4030</f>
        <v>Research &amp; Development</v>
      </c>
      <c r="D4030" s="2" t="str">
        <f aca="false">'Raw Data'!K4030</f>
        <v>Sales Executive</v>
      </c>
      <c r="E4030" s="2" t="n">
        <f aca="false">'Raw Data'!Q4030</f>
        <v>10</v>
      </c>
      <c r="F4030" s="2" t="n">
        <f aca="false">'Raw Data'!U4030</f>
        <v>8</v>
      </c>
      <c r="G4030" s="2" t="n">
        <f aca="false">'Raw Data'!W4030</f>
        <v>4</v>
      </c>
      <c r="H4030" s="2" t="n">
        <f aca="false">'Raw Data'!V4030</f>
        <v>2</v>
      </c>
      <c r="I4030" s="2" t="n">
        <f aca="false">IF(AND(ISNUMBER(B4030),B4030&lt;=25),2,0)+IF(AND(ISNUMBER(E4030),E4030&lt;=5),2,0)+IF(AND(ISNUMBER(F4030),F4030&lt;=1),2,0)+IF(AND(ISNUMBER(G4030),G4030&lt;=2),1,0)+IF(AND(ISNUMBER(H4030),H4030&lt;=2),1,0)</f>
        <v>1</v>
      </c>
      <c r="J4030" s="2" t="str">
        <f aca="false">IF(I4030&gt;=6,"High",IF(I4030&gt;=3,"Medium","Low"))</f>
        <v>Low</v>
      </c>
    </row>
    <row r="4031" customFormat="false" ht="15" hidden="false" customHeight="true" outlineLevel="0" collapsed="false">
      <c r="A4031" s="2" t="n">
        <f aca="false">'Raw Data'!H4031</f>
        <v>4030</v>
      </c>
      <c r="B4031" s="2" t="n">
        <f aca="false">'Raw Data'!A4031</f>
        <v>36</v>
      </c>
      <c r="C4031" s="2" t="str">
        <f aca="false">'Raw Data'!D4031</f>
        <v>Research &amp; Development</v>
      </c>
      <c r="D4031" s="2" t="str">
        <f aca="false">'Raw Data'!K4031</f>
        <v>Manufacturing Director</v>
      </c>
      <c r="E4031" s="2" t="n">
        <f aca="false">'Raw Data'!Q4031</f>
        <v>10</v>
      </c>
      <c r="F4031" s="2" t="n">
        <f aca="false">'Raw Data'!U4031</f>
        <v>8</v>
      </c>
      <c r="G4031" s="2" t="n">
        <f aca="false">'Raw Data'!W4031</f>
        <v>4</v>
      </c>
      <c r="H4031" s="2" t="n">
        <f aca="false">'Raw Data'!V4031</f>
        <v>2</v>
      </c>
      <c r="I4031" s="2" t="n">
        <f aca="false">IF(AND(ISNUMBER(B4031),B4031&lt;=25),2,0)+IF(AND(ISNUMBER(E4031),E4031&lt;=5),2,0)+IF(AND(ISNUMBER(F4031),F4031&lt;=1),2,0)+IF(AND(ISNUMBER(G4031),G4031&lt;=2),1,0)+IF(AND(ISNUMBER(H4031),H4031&lt;=2),1,0)</f>
        <v>1</v>
      </c>
      <c r="J4031" s="2" t="str">
        <f aca="false">IF(I4031&gt;=6,"High",IF(I4031&gt;=3,"Medium","Low"))</f>
        <v>Low</v>
      </c>
    </row>
    <row r="4032" customFormat="false" ht="15" hidden="false" customHeight="true" outlineLevel="0" collapsed="false">
      <c r="A4032" s="2" t="n">
        <f aca="false">'Raw Data'!H4032</f>
        <v>4031</v>
      </c>
      <c r="B4032" s="2" t="n">
        <f aca="false">'Raw Data'!A4032</f>
        <v>40</v>
      </c>
      <c r="C4032" s="2" t="str">
        <f aca="false">'Raw Data'!D4032</f>
        <v>Research &amp; Development</v>
      </c>
      <c r="D4032" s="2" t="str">
        <f aca="false">'Raw Data'!K4032</f>
        <v>Sales Executive</v>
      </c>
      <c r="E4032" s="2" t="n">
        <f aca="false">'Raw Data'!Q4032</f>
        <v>22</v>
      </c>
      <c r="F4032" s="2" t="n">
        <f aca="false">'Raw Data'!U4032</f>
        <v>16</v>
      </c>
      <c r="G4032" s="2" t="n">
        <f aca="false">'Raw Data'!W4032</f>
        <v>0</v>
      </c>
      <c r="H4032" s="2" t="n">
        <f aca="false">'Raw Data'!V4032</f>
        <v>1</v>
      </c>
      <c r="I4032" s="2" t="n">
        <f aca="false">IF(AND(ISNUMBER(B4032),B4032&lt;=25),2,0)+IF(AND(ISNUMBER(E4032),E4032&lt;=5),2,0)+IF(AND(ISNUMBER(F4032),F4032&lt;=1),2,0)+IF(AND(ISNUMBER(G4032),G4032&lt;=2),1,0)+IF(AND(ISNUMBER(H4032),H4032&lt;=2),1,0)</f>
        <v>1</v>
      </c>
      <c r="J4032" s="2" t="str">
        <f aca="false">IF(I4032&gt;=6,"High",IF(I4032&gt;=3,"Medium","Low"))</f>
        <v>Low</v>
      </c>
    </row>
    <row r="4033" customFormat="false" ht="15" hidden="false" customHeight="true" outlineLevel="0" collapsed="false">
      <c r="A4033" s="2" t="n">
        <f aca="false">'Raw Data'!H4033</f>
        <v>4032</v>
      </c>
      <c r="B4033" s="2" t="n">
        <f aca="false">'Raw Data'!A4033</f>
        <v>26</v>
      </c>
      <c r="C4033" s="2" t="str">
        <f aca="false">'Raw Data'!D4033</f>
        <v>Research &amp; Development</v>
      </c>
      <c r="D4033" s="2" t="str">
        <f aca="false">'Raw Data'!K4033</f>
        <v>Human Resources</v>
      </c>
      <c r="E4033" s="2" t="n">
        <f aca="false">'Raw Data'!Q4033</f>
        <v>1</v>
      </c>
      <c r="F4033" s="2" t="n">
        <f aca="false">'Raw Data'!U4033</f>
        <v>0</v>
      </c>
      <c r="G4033" s="2" t="n">
        <f aca="false">'Raw Data'!W4033</f>
        <v>3</v>
      </c>
      <c r="H4033" s="2" t="n">
        <f aca="false">'Raw Data'!V4033</f>
        <v>2</v>
      </c>
      <c r="I4033" s="2" t="n">
        <f aca="false">IF(AND(ISNUMBER(B4033),B4033&lt;=25),2,0)+IF(AND(ISNUMBER(E4033),E4033&lt;=5),2,0)+IF(AND(ISNUMBER(F4033),F4033&lt;=1),2,0)+IF(AND(ISNUMBER(G4033),G4033&lt;=2),1,0)+IF(AND(ISNUMBER(H4033),H4033&lt;=2),1,0)</f>
        <v>5</v>
      </c>
      <c r="J4033" s="2" t="str">
        <f aca="false">IF(I4033&gt;=6,"High",IF(I4033&gt;=3,"Medium","Low"))</f>
        <v>Medium</v>
      </c>
    </row>
    <row r="4034" customFormat="false" ht="15" hidden="false" customHeight="true" outlineLevel="0" collapsed="false">
      <c r="A4034" s="2" t="n">
        <f aca="false">'Raw Data'!H4034</f>
        <v>4033</v>
      </c>
      <c r="B4034" s="2" t="n">
        <f aca="false">'Raw Data'!A4034</f>
        <v>27</v>
      </c>
      <c r="C4034" s="2" t="str">
        <f aca="false">'Raw Data'!D4034</f>
        <v>Research &amp; Development</v>
      </c>
      <c r="D4034" s="2" t="str">
        <f aca="false">'Raw Data'!K4034</f>
        <v>Manufacturing Director</v>
      </c>
      <c r="E4034" s="2" t="n">
        <f aca="false">'Raw Data'!Q4034</f>
        <v>9</v>
      </c>
      <c r="F4034" s="2" t="n">
        <f aca="false">'Raw Data'!U4034</f>
        <v>7</v>
      </c>
      <c r="G4034" s="2" t="n">
        <f aca="false">'Raw Data'!W4034</f>
        <v>3</v>
      </c>
      <c r="H4034" s="2" t="n">
        <f aca="false">'Raw Data'!V4034</f>
        <v>1</v>
      </c>
      <c r="I4034" s="2" t="n">
        <f aca="false">IF(AND(ISNUMBER(B4034),B4034&lt;=25),2,0)+IF(AND(ISNUMBER(E4034),E4034&lt;=5),2,0)+IF(AND(ISNUMBER(F4034),F4034&lt;=1),2,0)+IF(AND(ISNUMBER(G4034),G4034&lt;=2),1,0)+IF(AND(ISNUMBER(H4034),H4034&lt;=2),1,0)</f>
        <v>1</v>
      </c>
      <c r="J4034" s="2" t="str">
        <f aca="false">IF(I4034&gt;=6,"High",IF(I4034&gt;=3,"Medium","Low"))</f>
        <v>Low</v>
      </c>
    </row>
    <row r="4035" customFormat="false" ht="15" hidden="false" customHeight="true" outlineLevel="0" collapsed="false">
      <c r="A4035" s="2" t="n">
        <f aca="false">'Raw Data'!H4035</f>
        <v>4034</v>
      </c>
      <c r="B4035" s="2" t="n">
        <f aca="false">'Raw Data'!A4035</f>
        <v>48</v>
      </c>
      <c r="C4035" s="2" t="str">
        <f aca="false">'Raw Data'!D4035</f>
        <v>Research &amp; Development</v>
      </c>
      <c r="D4035" s="2" t="str">
        <f aca="false">'Raw Data'!K4035</f>
        <v>Research Director</v>
      </c>
      <c r="E4035" s="2" t="n">
        <f aca="false">'Raw Data'!Q4035</f>
        <v>24</v>
      </c>
      <c r="F4035" s="2" t="n">
        <f aca="false">'Raw Data'!U4035</f>
        <v>7</v>
      </c>
      <c r="G4035" s="2" t="n">
        <f aca="false">'Raw Data'!W4035</f>
        <v>4</v>
      </c>
      <c r="H4035" s="2" t="n">
        <f aca="false">'Raw Data'!V4035</f>
        <v>4</v>
      </c>
      <c r="I4035" s="2" t="n">
        <f aca="false">IF(AND(ISNUMBER(B4035),B4035&lt;=25),2,0)+IF(AND(ISNUMBER(E4035),E4035&lt;=5),2,0)+IF(AND(ISNUMBER(F4035),F4035&lt;=1),2,0)+IF(AND(ISNUMBER(G4035),G4035&lt;=2),1,0)+IF(AND(ISNUMBER(H4035),H4035&lt;=2),1,0)</f>
        <v>0</v>
      </c>
      <c r="J4035" s="2" t="str">
        <f aca="false">IF(I4035&gt;=6,"High",IF(I4035&gt;=3,"Medium","Low"))</f>
        <v>Low</v>
      </c>
    </row>
    <row r="4036" customFormat="false" ht="15" hidden="false" customHeight="true" outlineLevel="0" collapsed="false">
      <c r="A4036" s="2" t="n">
        <f aca="false">'Raw Data'!H4036</f>
        <v>4035</v>
      </c>
      <c r="B4036" s="2" t="n">
        <f aca="false">'Raw Data'!A4036</f>
        <v>44</v>
      </c>
      <c r="C4036" s="2" t="str">
        <f aca="false">'Raw Data'!D4036</f>
        <v>Sales</v>
      </c>
      <c r="D4036" s="2" t="str">
        <f aca="false">'Raw Data'!K4036</f>
        <v>Manager</v>
      </c>
      <c r="E4036" s="2" t="n">
        <f aca="false">'Raw Data'!Q4036</f>
        <v>10</v>
      </c>
      <c r="F4036" s="2" t="n">
        <f aca="false">'Raw Data'!U4036</f>
        <v>2</v>
      </c>
      <c r="G4036" s="2" t="n">
        <f aca="false">'Raw Data'!W4036</f>
        <v>1</v>
      </c>
      <c r="H4036" s="2" t="n">
        <f aca="false">'Raw Data'!V4036</f>
        <v>2</v>
      </c>
      <c r="I4036" s="2" t="n">
        <f aca="false">IF(AND(ISNUMBER(B4036),B4036&lt;=25),2,0)+IF(AND(ISNUMBER(E4036),E4036&lt;=5),2,0)+IF(AND(ISNUMBER(F4036),F4036&lt;=1),2,0)+IF(AND(ISNUMBER(G4036),G4036&lt;=2),1,0)+IF(AND(ISNUMBER(H4036),H4036&lt;=2),1,0)</f>
        <v>2</v>
      </c>
      <c r="J4036" s="2" t="str">
        <f aca="false">IF(I4036&gt;=6,"High",IF(I4036&gt;=3,"Medium","Low"))</f>
        <v>Low</v>
      </c>
    </row>
    <row r="4037" customFormat="false" ht="15" hidden="false" customHeight="true" outlineLevel="0" collapsed="false">
      <c r="A4037" s="2" t="n">
        <f aca="false">'Raw Data'!H4037</f>
        <v>4036</v>
      </c>
      <c r="B4037" s="2" t="n">
        <f aca="false">'Raw Data'!A4037</f>
        <v>34</v>
      </c>
      <c r="C4037" s="2" t="str">
        <f aca="false">'Raw Data'!D4037</f>
        <v>Research &amp; Development</v>
      </c>
      <c r="D4037" s="2" t="str">
        <f aca="false">'Raw Data'!K4037</f>
        <v>Sales Representative</v>
      </c>
      <c r="E4037" s="2" t="n">
        <f aca="false">'Raw Data'!Q4037</f>
        <v>5</v>
      </c>
      <c r="F4037" s="2" t="n">
        <f aca="false">'Raw Data'!U4037</f>
        <v>0</v>
      </c>
      <c r="G4037" s="2" t="n">
        <f aca="false">'Raw Data'!W4037</f>
        <v>1</v>
      </c>
      <c r="H4037" s="2" t="n">
        <f aca="false">'Raw Data'!V4037</f>
        <v>4</v>
      </c>
      <c r="I4037" s="2" t="n">
        <f aca="false">IF(AND(ISNUMBER(B4037),B4037&lt;=25),2,0)+IF(AND(ISNUMBER(E4037),E4037&lt;=5),2,0)+IF(AND(ISNUMBER(F4037),F4037&lt;=1),2,0)+IF(AND(ISNUMBER(G4037),G4037&lt;=2),1,0)+IF(AND(ISNUMBER(H4037),H4037&lt;=2),1,0)</f>
        <v>5</v>
      </c>
      <c r="J4037" s="2" t="str">
        <f aca="false">IF(I4037&gt;=6,"High",IF(I4037&gt;=3,"Medium","Low"))</f>
        <v>Medium</v>
      </c>
    </row>
    <row r="4038" customFormat="false" ht="15" hidden="false" customHeight="true" outlineLevel="0" collapsed="false">
      <c r="A4038" s="2" t="n">
        <f aca="false">'Raw Data'!H4038</f>
        <v>4037</v>
      </c>
      <c r="B4038" s="2" t="n">
        <f aca="false">'Raw Data'!A4038</f>
        <v>56</v>
      </c>
      <c r="C4038" s="2" t="str">
        <f aca="false">'Raw Data'!D4038</f>
        <v>Human Resources</v>
      </c>
      <c r="D4038" s="2" t="str">
        <f aca="false">'Raw Data'!K4038</f>
        <v>Sales Executive</v>
      </c>
      <c r="E4038" s="2" t="n">
        <f aca="false">'Raw Data'!Q4038</f>
        <v>5</v>
      </c>
      <c r="F4038" s="2" t="n">
        <f aca="false">'Raw Data'!U4038</f>
        <v>0</v>
      </c>
      <c r="G4038" s="2" t="n">
        <f aca="false">'Raw Data'!W4038</f>
        <v>4</v>
      </c>
      <c r="H4038" s="2" t="n">
        <f aca="false">'Raw Data'!V4038</f>
        <v>1</v>
      </c>
      <c r="I4038" s="2" t="n">
        <f aca="false">IF(AND(ISNUMBER(B4038),B4038&lt;=25),2,0)+IF(AND(ISNUMBER(E4038),E4038&lt;=5),2,0)+IF(AND(ISNUMBER(F4038),F4038&lt;=1),2,0)+IF(AND(ISNUMBER(G4038),G4038&lt;=2),1,0)+IF(AND(ISNUMBER(H4038),H4038&lt;=2),1,0)</f>
        <v>5</v>
      </c>
      <c r="J4038" s="2" t="str">
        <f aca="false">IF(I4038&gt;=6,"High",IF(I4038&gt;=3,"Medium","Low"))</f>
        <v>Medium</v>
      </c>
    </row>
    <row r="4039" customFormat="false" ht="15" hidden="false" customHeight="true" outlineLevel="0" collapsed="false">
      <c r="A4039" s="2" t="n">
        <f aca="false">'Raw Data'!H4039</f>
        <v>4038</v>
      </c>
      <c r="B4039" s="2" t="n">
        <f aca="false">'Raw Data'!A4039</f>
        <v>36</v>
      </c>
      <c r="C4039" s="2" t="str">
        <f aca="false">'Raw Data'!D4039</f>
        <v>Research &amp; Development</v>
      </c>
      <c r="D4039" s="2" t="str">
        <f aca="false">'Raw Data'!K4039</f>
        <v>Healthcare Representative</v>
      </c>
      <c r="E4039" s="2" t="n">
        <f aca="false">'Raw Data'!Q4039</f>
        <v>12</v>
      </c>
      <c r="F4039" s="2" t="n">
        <f aca="false">'Raw Data'!U4039</f>
        <v>3</v>
      </c>
      <c r="G4039" s="2" t="n">
        <f aca="false">'Raw Data'!W4039</f>
        <v>2</v>
      </c>
      <c r="H4039" s="2" t="n">
        <f aca="false">'Raw Data'!V4039</f>
        <v>3</v>
      </c>
      <c r="I4039" s="2" t="n">
        <f aca="false">IF(AND(ISNUMBER(B4039),B4039&lt;=25),2,0)+IF(AND(ISNUMBER(E4039),E4039&lt;=5),2,0)+IF(AND(ISNUMBER(F4039),F4039&lt;=1),2,0)+IF(AND(ISNUMBER(G4039),G4039&lt;=2),1,0)+IF(AND(ISNUMBER(H4039),H4039&lt;=2),1,0)</f>
        <v>1</v>
      </c>
      <c r="J4039" s="2" t="str">
        <f aca="false">IF(I4039&gt;=6,"High",IF(I4039&gt;=3,"Medium","Low"))</f>
        <v>Low</v>
      </c>
    </row>
    <row r="4040" customFormat="false" ht="15" hidden="false" customHeight="true" outlineLevel="0" collapsed="false">
      <c r="A4040" s="2" t="n">
        <f aca="false">'Raw Data'!H4040</f>
        <v>4039</v>
      </c>
      <c r="B4040" s="2" t="n">
        <f aca="false">'Raw Data'!A4040</f>
        <v>41</v>
      </c>
      <c r="C4040" s="2" t="str">
        <f aca="false">'Raw Data'!D4040</f>
        <v>Research &amp; Development</v>
      </c>
      <c r="D4040" s="2" t="str">
        <f aca="false">'Raw Data'!K4040</f>
        <v>Sales Executive</v>
      </c>
      <c r="E4040" s="2" t="n">
        <f aca="false">'Raw Data'!Q4040</f>
        <v>14</v>
      </c>
      <c r="F4040" s="2" t="n">
        <f aca="false">'Raw Data'!U4040</f>
        <v>4</v>
      </c>
      <c r="G4040" s="2" t="n">
        <f aca="false">'Raw Data'!W4040</f>
        <v>2</v>
      </c>
      <c r="H4040" s="2" t="n">
        <f aca="false">'Raw Data'!V4040</f>
        <v>3</v>
      </c>
      <c r="I4040" s="2" t="n">
        <f aca="false">IF(AND(ISNUMBER(B4040),B4040&lt;=25),2,0)+IF(AND(ISNUMBER(E4040),E4040&lt;=5),2,0)+IF(AND(ISNUMBER(F4040),F4040&lt;=1),2,0)+IF(AND(ISNUMBER(G4040),G4040&lt;=2),1,0)+IF(AND(ISNUMBER(H4040),H4040&lt;=2),1,0)</f>
        <v>1</v>
      </c>
      <c r="J4040" s="2" t="str">
        <f aca="false">IF(I4040&gt;=6,"High",IF(I4040&gt;=3,"Medium","Low"))</f>
        <v>Low</v>
      </c>
    </row>
    <row r="4041" customFormat="false" ht="15" hidden="false" customHeight="true" outlineLevel="0" collapsed="false">
      <c r="A4041" s="2" t="n">
        <f aca="false">'Raw Data'!H4041</f>
        <v>4040</v>
      </c>
      <c r="B4041" s="2" t="n">
        <f aca="false">'Raw Data'!A4041</f>
        <v>42</v>
      </c>
      <c r="C4041" s="2" t="str">
        <f aca="false">'Raw Data'!D4041</f>
        <v>Research &amp; Development</v>
      </c>
      <c r="D4041" s="2" t="str">
        <f aca="false">'Raw Data'!K4041</f>
        <v>Sales Executive</v>
      </c>
      <c r="E4041" s="2" t="n">
        <f aca="false">'Raw Data'!Q4041</f>
        <v>18</v>
      </c>
      <c r="F4041" s="2" t="n">
        <f aca="false">'Raw Data'!U4041</f>
        <v>7</v>
      </c>
      <c r="G4041" s="2" t="n">
        <f aca="false">'Raw Data'!W4041</f>
        <v>1</v>
      </c>
      <c r="H4041" s="2" t="n">
        <f aca="false">'Raw Data'!V4041</f>
        <v>3</v>
      </c>
      <c r="I4041" s="2" t="n">
        <f aca="false">IF(AND(ISNUMBER(B4041),B4041&lt;=25),2,0)+IF(AND(ISNUMBER(E4041),E4041&lt;=5),2,0)+IF(AND(ISNUMBER(F4041),F4041&lt;=1),2,0)+IF(AND(ISNUMBER(G4041),G4041&lt;=2),1,0)+IF(AND(ISNUMBER(H4041),H4041&lt;=2),1,0)</f>
        <v>1</v>
      </c>
      <c r="J4041" s="2" t="str">
        <f aca="false">IF(I4041&gt;=6,"High",IF(I4041&gt;=3,"Medium","Low"))</f>
        <v>Low</v>
      </c>
    </row>
    <row r="4042" customFormat="false" ht="15" hidden="false" customHeight="true" outlineLevel="0" collapsed="false">
      <c r="A4042" s="2" t="n">
        <f aca="false">'Raw Data'!H4042</f>
        <v>4041</v>
      </c>
      <c r="B4042" s="2" t="n">
        <f aca="false">'Raw Data'!A4042</f>
        <v>31</v>
      </c>
      <c r="C4042" s="2" t="str">
        <f aca="false">'Raw Data'!D4042</f>
        <v>Sales</v>
      </c>
      <c r="D4042" s="2" t="str">
        <f aca="false">'Raw Data'!K4042</f>
        <v>Sales Executive</v>
      </c>
      <c r="E4042" s="2" t="n">
        <f aca="false">'Raw Data'!Q4042</f>
        <v>8</v>
      </c>
      <c r="F4042" s="2" t="n">
        <f aca="false">'Raw Data'!U4042</f>
        <v>4</v>
      </c>
      <c r="G4042" s="2" t="n">
        <f aca="false">'Raw Data'!W4042</f>
        <v>4</v>
      </c>
      <c r="H4042" s="2" t="n">
        <f aca="false">'Raw Data'!V4042</f>
        <v>3</v>
      </c>
      <c r="I4042" s="2" t="n">
        <f aca="false">IF(AND(ISNUMBER(B4042),B4042&lt;=25),2,0)+IF(AND(ISNUMBER(E4042),E4042&lt;=5),2,0)+IF(AND(ISNUMBER(F4042),F4042&lt;=1),2,0)+IF(AND(ISNUMBER(G4042),G4042&lt;=2),1,0)+IF(AND(ISNUMBER(H4042),H4042&lt;=2),1,0)</f>
        <v>0</v>
      </c>
      <c r="J4042" s="2" t="str">
        <f aca="false">IF(I4042&gt;=6,"High",IF(I4042&gt;=3,"Medium","Low"))</f>
        <v>Low</v>
      </c>
    </row>
    <row r="4043" customFormat="false" ht="15" hidden="false" customHeight="true" outlineLevel="0" collapsed="false">
      <c r="A4043" s="2" t="n">
        <f aca="false">'Raw Data'!H4043</f>
        <v>4042</v>
      </c>
      <c r="B4043" s="2" t="n">
        <f aca="false">'Raw Data'!A4043</f>
        <v>34</v>
      </c>
      <c r="C4043" s="2" t="str">
        <f aca="false">'Raw Data'!D4043</f>
        <v>Research &amp; Development</v>
      </c>
      <c r="D4043" s="2" t="str">
        <f aca="false">'Raw Data'!K4043</f>
        <v>Laboratory Technician</v>
      </c>
      <c r="E4043" s="2" t="n">
        <f aca="false">'Raw Data'!Q4043</f>
        <v>9</v>
      </c>
      <c r="F4043" s="2" t="n">
        <f aca="false">'Raw Data'!U4043</f>
        <v>1</v>
      </c>
      <c r="G4043" s="2" t="n">
        <f aca="false">'Raw Data'!W4043</f>
        <v>4</v>
      </c>
      <c r="H4043" s="2" t="n">
        <f aca="false">'Raw Data'!V4043</f>
        <v>4</v>
      </c>
      <c r="I4043" s="2" t="n">
        <f aca="false">IF(AND(ISNUMBER(B4043),B4043&lt;=25),2,0)+IF(AND(ISNUMBER(E4043),E4043&lt;=5),2,0)+IF(AND(ISNUMBER(F4043),F4043&lt;=1),2,0)+IF(AND(ISNUMBER(G4043),G4043&lt;=2),1,0)+IF(AND(ISNUMBER(H4043),H4043&lt;=2),1,0)</f>
        <v>2</v>
      </c>
      <c r="J4043" s="2" t="str">
        <f aca="false">IF(I4043&gt;=6,"High",IF(I4043&gt;=3,"Medium","Low"))</f>
        <v>Low</v>
      </c>
    </row>
    <row r="4044" customFormat="false" ht="15" hidden="false" customHeight="true" outlineLevel="0" collapsed="false">
      <c r="A4044" s="2" t="n">
        <f aca="false">'Raw Data'!H4044</f>
        <v>4043</v>
      </c>
      <c r="B4044" s="2" t="n">
        <f aca="false">'Raw Data'!A4044</f>
        <v>31</v>
      </c>
      <c r="C4044" s="2" t="str">
        <f aca="false">'Raw Data'!D4044</f>
        <v>Sales</v>
      </c>
      <c r="D4044" s="2" t="str">
        <f aca="false">'Raw Data'!K4044</f>
        <v>Manufacturing Director</v>
      </c>
      <c r="E4044" s="2" t="n">
        <f aca="false">'Raw Data'!Q4044</f>
        <v>4</v>
      </c>
      <c r="F4044" s="2" t="n">
        <f aca="false">'Raw Data'!U4044</f>
        <v>2</v>
      </c>
      <c r="G4044" s="2" t="n">
        <f aca="false">'Raw Data'!W4044</f>
        <v>3</v>
      </c>
      <c r="H4044" s="2" t="n">
        <f aca="false">'Raw Data'!V4044</f>
        <v>1</v>
      </c>
      <c r="I4044" s="2" t="n">
        <f aca="false">IF(AND(ISNUMBER(B4044),B4044&lt;=25),2,0)+IF(AND(ISNUMBER(E4044),E4044&lt;=5),2,0)+IF(AND(ISNUMBER(F4044),F4044&lt;=1),2,0)+IF(AND(ISNUMBER(G4044),G4044&lt;=2),1,0)+IF(AND(ISNUMBER(H4044),H4044&lt;=2),1,0)</f>
        <v>3</v>
      </c>
      <c r="J4044" s="2" t="str">
        <f aca="false">IF(I4044&gt;=6,"High",IF(I4044&gt;=3,"Medium","Low"))</f>
        <v>Medium</v>
      </c>
    </row>
    <row r="4045" customFormat="false" ht="15" hidden="false" customHeight="true" outlineLevel="0" collapsed="false">
      <c r="A4045" s="2" t="n">
        <f aca="false">'Raw Data'!H4045</f>
        <v>4044</v>
      </c>
      <c r="B4045" s="2" t="n">
        <f aca="false">'Raw Data'!A4045</f>
        <v>26</v>
      </c>
      <c r="C4045" s="2" t="str">
        <f aca="false">'Raw Data'!D4045</f>
        <v>Sales</v>
      </c>
      <c r="D4045" s="2" t="str">
        <f aca="false">'Raw Data'!K4045</f>
        <v>Healthcare Representative</v>
      </c>
      <c r="E4045" s="2" t="n">
        <f aca="false">'Raw Data'!Q4045</f>
        <v>8</v>
      </c>
      <c r="F4045" s="2" t="n">
        <f aca="false">'Raw Data'!U4045</f>
        <v>7</v>
      </c>
      <c r="G4045" s="2" t="n">
        <f aca="false">'Raw Data'!W4045</f>
        <v>4</v>
      </c>
      <c r="H4045" s="2" t="n">
        <f aca="false">'Raw Data'!V4045</f>
        <v>3</v>
      </c>
      <c r="I4045" s="2" t="n">
        <f aca="false">IF(AND(ISNUMBER(B4045),B4045&lt;=25),2,0)+IF(AND(ISNUMBER(E4045),E4045&lt;=5),2,0)+IF(AND(ISNUMBER(F4045),F4045&lt;=1),2,0)+IF(AND(ISNUMBER(G4045),G4045&lt;=2),1,0)+IF(AND(ISNUMBER(H4045),H4045&lt;=2),1,0)</f>
        <v>0</v>
      </c>
      <c r="J4045" s="2" t="str">
        <f aca="false">IF(I4045&gt;=6,"High",IF(I4045&gt;=3,"Medium","Low"))</f>
        <v>Low</v>
      </c>
    </row>
    <row r="4046" customFormat="false" ht="15" hidden="false" customHeight="true" outlineLevel="0" collapsed="false">
      <c r="A4046" s="2" t="n">
        <f aca="false">'Raw Data'!H4046</f>
        <v>4045</v>
      </c>
      <c r="B4046" s="2" t="n">
        <f aca="false">'Raw Data'!A4046</f>
        <v>45</v>
      </c>
      <c r="C4046" s="2" t="str">
        <f aca="false">'Raw Data'!D4046</f>
        <v>Research &amp; Development</v>
      </c>
      <c r="D4046" s="2" t="str">
        <f aca="false">'Raw Data'!K4046</f>
        <v>Manager</v>
      </c>
      <c r="E4046" s="2" t="n">
        <f aca="false">'Raw Data'!Q4046</f>
        <v>12</v>
      </c>
      <c r="F4046" s="2" t="n">
        <f aca="false">'Raw Data'!U4046</f>
        <v>3</v>
      </c>
      <c r="G4046" s="2" t="n">
        <f aca="false">'Raw Data'!W4046</f>
        <v>3</v>
      </c>
      <c r="H4046" s="2" t="n">
        <f aca="false">'Raw Data'!V4046</f>
        <v>2</v>
      </c>
      <c r="I4046" s="2" t="n">
        <f aca="false">IF(AND(ISNUMBER(B4046),B4046&lt;=25),2,0)+IF(AND(ISNUMBER(E4046),E4046&lt;=5),2,0)+IF(AND(ISNUMBER(F4046),F4046&lt;=1),2,0)+IF(AND(ISNUMBER(G4046),G4046&lt;=2),1,0)+IF(AND(ISNUMBER(H4046),H4046&lt;=2),1,0)</f>
        <v>1</v>
      </c>
      <c r="J4046" s="2" t="str">
        <f aca="false">IF(I4046&gt;=6,"High",IF(I4046&gt;=3,"Medium","Low"))</f>
        <v>Low</v>
      </c>
    </row>
    <row r="4047" customFormat="false" ht="15" hidden="false" customHeight="true" outlineLevel="0" collapsed="false">
      <c r="A4047" s="2" t="n">
        <f aca="false">'Raw Data'!H4047</f>
        <v>4046</v>
      </c>
      <c r="B4047" s="2" t="n">
        <f aca="false">'Raw Data'!A4047</f>
        <v>33</v>
      </c>
      <c r="C4047" s="2" t="str">
        <f aca="false">'Raw Data'!D4047</f>
        <v>Sales</v>
      </c>
      <c r="D4047" s="2" t="str">
        <f aca="false">'Raw Data'!K4047</f>
        <v>Sales Executive</v>
      </c>
      <c r="E4047" s="2" t="n">
        <f aca="false">'Raw Data'!Q4047</f>
        <v>10</v>
      </c>
      <c r="F4047" s="2" t="n">
        <f aca="false">'Raw Data'!U4047</f>
        <v>9</v>
      </c>
      <c r="G4047" s="2" t="n">
        <f aca="false">'Raw Data'!W4047</f>
        <v>3</v>
      </c>
      <c r="H4047" s="2" t="n">
        <f aca="false">'Raw Data'!V4047</f>
        <v>2</v>
      </c>
      <c r="I4047" s="2" t="n">
        <f aca="false">IF(AND(ISNUMBER(B4047),B4047&lt;=25),2,0)+IF(AND(ISNUMBER(E4047),E4047&lt;=5),2,0)+IF(AND(ISNUMBER(F4047),F4047&lt;=1),2,0)+IF(AND(ISNUMBER(G4047),G4047&lt;=2),1,0)+IF(AND(ISNUMBER(H4047),H4047&lt;=2),1,0)</f>
        <v>1</v>
      </c>
      <c r="J4047" s="2" t="str">
        <f aca="false">IF(I4047&gt;=6,"High",IF(I4047&gt;=3,"Medium","Low"))</f>
        <v>Low</v>
      </c>
    </row>
    <row r="4048" customFormat="false" ht="15" hidden="false" customHeight="true" outlineLevel="0" collapsed="false">
      <c r="A4048" s="2" t="n">
        <f aca="false">'Raw Data'!H4048</f>
        <v>4047</v>
      </c>
      <c r="B4048" s="2" t="n">
        <f aca="false">'Raw Data'!A4048</f>
        <v>28</v>
      </c>
      <c r="C4048" s="2" t="str">
        <f aca="false">'Raw Data'!D4048</f>
        <v>Sales</v>
      </c>
      <c r="D4048" s="2" t="str">
        <f aca="false">'Raw Data'!K4048</f>
        <v>Research Scientist</v>
      </c>
      <c r="E4048" s="2" t="n">
        <f aca="false">'Raw Data'!Q4048</f>
        <v>7</v>
      </c>
      <c r="F4048" s="2" t="n">
        <f aca="false">'Raw Data'!U4048</f>
        <v>7</v>
      </c>
      <c r="G4048" s="2" t="n">
        <f aca="false">'Raw Data'!W4048</f>
        <v>4</v>
      </c>
      <c r="H4048" s="2" t="n">
        <f aca="false">'Raw Data'!V4048</f>
        <v>3</v>
      </c>
      <c r="I4048" s="2" t="n">
        <f aca="false">IF(AND(ISNUMBER(B4048),B4048&lt;=25),2,0)+IF(AND(ISNUMBER(E4048),E4048&lt;=5),2,0)+IF(AND(ISNUMBER(F4048),F4048&lt;=1),2,0)+IF(AND(ISNUMBER(G4048),G4048&lt;=2),1,0)+IF(AND(ISNUMBER(H4048),H4048&lt;=2),1,0)</f>
        <v>0</v>
      </c>
      <c r="J4048" s="2" t="str">
        <f aca="false">IF(I4048&gt;=6,"High",IF(I4048&gt;=3,"Medium","Low"))</f>
        <v>Low</v>
      </c>
    </row>
    <row r="4049" customFormat="false" ht="15" hidden="false" customHeight="true" outlineLevel="0" collapsed="false">
      <c r="A4049" s="2" t="n">
        <f aca="false">'Raw Data'!H4049</f>
        <v>4048</v>
      </c>
      <c r="B4049" s="2" t="n">
        <f aca="false">'Raw Data'!A4049</f>
        <v>29</v>
      </c>
      <c r="C4049" s="2" t="str">
        <f aca="false">'Raw Data'!D4049</f>
        <v>Human Resources</v>
      </c>
      <c r="D4049" s="2" t="str">
        <f aca="false">'Raw Data'!K4049</f>
        <v>Sales Executive</v>
      </c>
      <c r="E4049" s="2" t="n">
        <f aca="false">'Raw Data'!Q4049</f>
        <v>1</v>
      </c>
      <c r="F4049" s="2" t="n">
        <f aca="false">'Raw Data'!U4049</f>
        <v>0</v>
      </c>
      <c r="G4049" s="2" t="n">
        <f aca="false">'Raw Data'!W4049</f>
        <v>1</v>
      </c>
      <c r="H4049" s="2" t="n">
        <f aca="false">'Raw Data'!V4049</f>
        <v>3</v>
      </c>
      <c r="I4049" s="2" t="n">
        <f aca="false">IF(AND(ISNUMBER(B4049),B4049&lt;=25),2,0)+IF(AND(ISNUMBER(E4049),E4049&lt;=5),2,0)+IF(AND(ISNUMBER(F4049),F4049&lt;=1),2,0)+IF(AND(ISNUMBER(G4049),G4049&lt;=2),1,0)+IF(AND(ISNUMBER(H4049),H4049&lt;=2),1,0)</f>
        <v>5</v>
      </c>
      <c r="J4049" s="2" t="str">
        <f aca="false">IF(I4049&gt;=6,"High",IF(I4049&gt;=3,"Medium","Low"))</f>
        <v>Medium</v>
      </c>
    </row>
    <row r="4050" customFormat="false" ht="15" hidden="false" customHeight="true" outlineLevel="0" collapsed="false">
      <c r="A4050" s="2" t="n">
        <f aca="false">'Raw Data'!H4050</f>
        <v>4049</v>
      </c>
      <c r="B4050" s="2" t="n">
        <f aca="false">'Raw Data'!A4050</f>
        <v>39</v>
      </c>
      <c r="C4050" s="2" t="str">
        <f aca="false">'Raw Data'!D4050</f>
        <v>Research &amp; Development</v>
      </c>
      <c r="D4050" s="2" t="str">
        <f aca="false">'Raw Data'!K4050</f>
        <v>Sales Representative</v>
      </c>
      <c r="E4050" s="2" t="n">
        <f aca="false">'Raw Data'!Q4050</f>
        <v>10</v>
      </c>
      <c r="F4050" s="2" t="n">
        <f aca="false">'Raw Data'!U4050</f>
        <v>2</v>
      </c>
      <c r="G4050" s="2" t="n">
        <f aca="false">'Raw Data'!W4050</f>
        <v>3</v>
      </c>
      <c r="H4050" s="2" t="n">
        <f aca="false">'Raw Data'!V4050</f>
        <v>1</v>
      </c>
      <c r="I4050" s="2" t="n">
        <f aca="false">IF(AND(ISNUMBER(B4050),B4050&lt;=25),2,0)+IF(AND(ISNUMBER(E4050),E4050&lt;=5),2,0)+IF(AND(ISNUMBER(F4050),F4050&lt;=1),2,0)+IF(AND(ISNUMBER(G4050),G4050&lt;=2),1,0)+IF(AND(ISNUMBER(H4050),H4050&lt;=2),1,0)</f>
        <v>1</v>
      </c>
      <c r="J4050" s="2" t="str">
        <f aca="false">IF(I4050&gt;=6,"High",IF(I4050&gt;=3,"Medium","Low"))</f>
        <v>Low</v>
      </c>
    </row>
    <row r="4051" customFormat="false" ht="15" hidden="false" customHeight="true" outlineLevel="0" collapsed="false">
      <c r="A4051" s="2" t="n">
        <f aca="false">'Raw Data'!H4051</f>
        <v>4050</v>
      </c>
      <c r="B4051" s="2" t="n">
        <f aca="false">'Raw Data'!A4051</f>
        <v>27</v>
      </c>
      <c r="C4051" s="2" t="str">
        <f aca="false">'Raw Data'!D4051</f>
        <v>Sales</v>
      </c>
      <c r="D4051" s="2" t="str">
        <f aca="false">'Raw Data'!K4051</f>
        <v>Healthcare Representative</v>
      </c>
      <c r="E4051" s="2" t="n">
        <f aca="false">'Raw Data'!Q4051</f>
        <v>6</v>
      </c>
      <c r="F4051" s="2" t="n">
        <f aca="false">'Raw Data'!U4051</f>
        <v>2</v>
      </c>
      <c r="G4051" s="2" t="n">
        <f aca="false">'Raw Data'!W4051</f>
        <v>2</v>
      </c>
      <c r="H4051" s="2" t="n">
        <f aca="false">'Raw Data'!V4051</f>
        <v>2</v>
      </c>
      <c r="I4051" s="2" t="n">
        <f aca="false">IF(AND(ISNUMBER(B4051),B4051&lt;=25),2,0)+IF(AND(ISNUMBER(E4051),E4051&lt;=5),2,0)+IF(AND(ISNUMBER(F4051),F4051&lt;=1),2,0)+IF(AND(ISNUMBER(G4051),G4051&lt;=2),1,0)+IF(AND(ISNUMBER(H4051),H4051&lt;=2),1,0)</f>
        <v>2</v>
      </c>
      <c r="J4051" s="2" t="str">
        <f aca="false">IF(I4051&gt;=6,"High",IF(I4051&gt;=3,"Medium","Low"))</f>
        <v>Low</v>
      </c>
    </row>
    <row r="4052" customFormat="false" ht="15" hidden="false" customHeight="true" outlineLevel="0" collapsed="false">
      <c r="A4052" s="2" t="n">
        <f aca="false">'Raw Data'!H4052</f>
        <v>4051</v>
      </c>
      <c r="B4052" s="2" t="n">
        <f aca="false">'Raw Data'!A4052</f>
        <v>34</v>
      </c>
      <c r="C4052" s="2" t="str">
        <f aca="false">'Raw Data'!D4052</f>
        <v>Research &amp; Development</v>
      </c>
      <c r="D4052" s="2" t="str">
        <f aca="false">'Raw Data'!K4052</f>
        <v>Manufacturing Director</v>
      </c>
      <c r="E4052" s="2" t="n">
        <f aca="false">'Raw Data'!Q4052</f>
        <v>16</v>
      </c>
      <c r="F4052" s="2" t="n">
        <f aca="false">'Raw Data'!U4052</f>
        <v>11</v>
      </c>
      <c r="G4052" s="2" t="n">
        <f aca="false">'Raw Data'!W4052</f>
        <v>4</v>
      </c>
      <c r="H4052" s="2" t="n">
        <f aca="false">'Raw Data'!V4052</f>
        <v>3</v>
      </c>
      <c r="I4052" s="2" t="n">
        <f aca="false">IF(AND(ISNUMBER(B4052),B4052&lt;=25),2,0)+IF(AND(ISNUMBER(E4052),E4052&lt;=5),2,0)+IF(AND(ISNUMBER(F4052),F4052&lt;=1),2,0)+IF(AND(ISNUMBER(G4052),G4052&lt;=2),1,0)+IF(AND(ISNUMBER(H4052),H4052&lt;=2),1,0)</f>
        <v>0</v>
      </c>
      <c r="J4052" s="2" t="str">
        <f aca="false">IF(I4052&gt;=6,"High",IF(I4052&gt;=3,"Medium","Low"))</f>
        <v>Low</v>
      </c>
    </row>
    <row r="4053" customFormat="false" ht="15" hidden="false" customHeight="true" outlineLevel="0" collapsed="false">
      <c r="A4053" s="2" t="n">
        <f aca="false">'Raw Data'!H4053</f>
        <v>4052</v>
      </c>
      <c r="B4053" s="2" t="n">
        <f aca="false">'Raw Data'!A4053</f>
        <v>28</v>
      </c>
      <c r="C4053" s="2" t="str">
        <f aca="false">'Raw Data'!D4053</f>
        <v>Research &amp; Development</v>
      </c>
      <c r="D4053" s="2" t="str">
        <f aca="false">'Raw Data'!K4053</f>
        <v>Research Director</v>
      </c>
      <c r="E4053" s="2" t="n">
        <f aca="false">'Raw Data'!Q4053</f>
        <v>6</v>
      </c>
      <c r="F4053" s="2" t="n">
        <f aca="false">'Raw Data'!U4053</f>
        <v>2</v>
      </c>
      <c r="G4053" s="2" t="n">
        <f aca="false">'Raw Data'!W4053</f>
        <v>3</v>
      </c>
      <c r="H4053" s="2" t="n">
        <f aca="false">'Raw Data'!V4053</f>
        <v>4</v>
      </c>
      <c r="I4053" s="2" t="n">
        <f aca="false">IF(AND(ISNUMBER(B4053),B4053&lt;=25),2,0)+IF(AND(ISNUMBER(E4053),E4053&lt;=5),2,0)+IF(AND(ISNUMBER(F4053),F4053&lt;=1),2,0)+IF(AND(ISNUMBER(G4053),G4053&lt;=2),1,0)+IF(AND(ISNUMBER(H4053),H4053&lt;=2),1,0)</f>
        <v>0</v>
      </c>
      <c r="J4053" s="2" t="str">
        <f aca="false">IF(I4053&gt;=6,"High",IF(I4053&gt;=3,"Medium","Low"))</f>
        <v>Low</v>
      </c>
    </row>
    <row r="4054" customFormat="false" ht="15" hidden="false" customHeight="true" outlineLevel="0" collapsed="false">
      <c r="A4054" s="2" t="n">
        <f aca="false">'Raw Data'!H4054</f>
        <v>4053</v>
      </c>
      <c r="B4054" s="2" t="n">
        <f aca="false">'Raw Data'!A4054</f>
        <v>47</v>
      </c>
      <c r="C4054" s="2" t="str">
        <f aca="false">'Raw Data'!D4054</f>
        <v>Research &amp; Development</v>
      </c>
      <c r="D4054" s="2" t="str">
        <f aca="false">'Raw Data'!K4054</f>
        <v>Research Scientist</v>
      </c>
      <c r="E4054" s="2" t="n">
        <f aca="false">'Raw Data'!Q4054</f>
        <v>16</v>
      </c>
      <c r="F4054" s="2" t="n">
        <f aca="false">'Raw Data'!U4054</f>
        <v>7</v>
      </c>
      <c r="G4054" s="2" t="n">
        <f aca="false">'Raw Data'!W4054</f>
        <v>2</v>
      </c>
      <c r="H4054" s="2" t="n">
        <f aca="false">'Raw Data'!V4054</f>
        <v>3</v>
      </c>
      <c r="I4054" s="2" t="n">
        <f aca="false">IF(AND(ISNUMBER(B4054),B4054&lt;=25),2,0)+IF(AND(ISNUMBER(E4054),E4054&lt;=5),2,0)+IF(AND(ISNUMBER(F4054),F4054&lt;=1),2,0)+IF(AND(ISNUMBER(G4054),G4054&lt;=2),1,0)+IF(AND(ISNUMBER(H4054),H4054&lt;=2),1,0)</f>
        <v>1</v>
      </c>
      <c r="J4054" s="2" t="str">
        <f aca="false">IF(I4054&gt;=6,"High",IF(I4054&gt;=3,"Medium","Low"))</f>
        <v>Low</v>
      </c>
    </row>
    <row r="4055" customFormat="false" ht="15" hidden="false" customHeight="true" outlineLevel="0" collapsed="false">
      <c r="A4055" s="2" t="n">
        <f aca="false">'Raw Data'!H4055</f>
        <v>4054</v>
      </c>
      <c r="B4055" s="2" t="n">
        <f aca="false">'Raw Data'!A4055</f>
        <v>56</v>
      </c>
      <c r="C4055" s="2" t="str">
        <f aca="false">'Raw Data'!D4055</f>
        <v>Research &amp; Development</v>
      </c>
      <c r="D4055" s="2" t="str">
        <f aca="false">'Raw Data'!K4055</f>
        <v>Sales Executive</v>
      </c>
      <c r="E4055" s="2" t="n">
        <f aca="false">'Raw Data'!Q4055</f>
        <v>6</v>
      </c>
      <c r="F4055" s="2" t="n">
        <f aca="false">'Raw Data'!U4055</f>
        <v>0</v>
      </c>
      <c r="G4055" s="2" t="n">
        <f aca="false">'Raw Data'!W4055</f>
        <v>1</v>
      </c>
      <c r="H4055" s="2" t="n">
        <f aca="false">'Raw Data'!V4055</f>
        <v>4</v>
      </c>
      <c r="I4055" s="2" t="n">
        <f aca="false">IF(AND(ISNUMBER(B4055),B4055&lt;=25),2,0)+IF(AND(ISNUMBER(E4055),E4055&lt;=5),2,0)+IF(AND(ISNUMBER(F4055),F4055&lt;=1),2,0)+IF(AND(ISNUMBER(G4055),G4055&lt;=2),1,0)+IF(AND(ISNUMBER(H4055),H4055&lt;=2),1,0)</f>
        <v>3</v>
      </c>
      <c r="J4055" s="2" t="str">
        <f aca="false">IF(I4055&gt;=6,"High",IF(I4055&gt;=3,"Medium","Low"))</f>
        <v>Medium</v>
      </c>
    </row>
    <row r="4056" customFormat="false" ht="15" hidden="false" customHeight="true" outlineLevel="0" collapsed="false">
      <c r="A4056" s="2" t="n">
        <f aca="false">'Raw Data'!H4056</f>
        <v>4055</v>
      </c>
      <c r="B4056" s="2" t="n">
        <f aca="false">'Raw Data'!A4056</f>
        <v>39</v>
      </c>
      <c r="C4056" s="2" t="str">
        <f aca="false">'Raw Data'!D4056</f>
        <v>Research &amp; Development</v>
      </c>
      <c r="D4056" s="2" t="str">
        <f aca="false">'Raw Data'!K4056</f>
        <v>Laboratory Technician</v>
      </c>
      <c r="E4056" s="2" t="n">
        <f aca="false">'Raw Data'!Q4056</f>
        <v>10</v>
      </c>
      <c r="F4056" s="2" t="n">
        <f aca="false">'Raw Data'!U4056</f>
        <v>9</v>
      </c>
      <c r="G4056" s="2" t="n">
        <f aca="false">'Raw Data'!W4056</f>
        <v>1</v>
      </c>
      <c r="H4056" s="2" t="n">
        <f aca="false">'Raw Data'!V4056</f>
        <v>1</v>
      </c>
      <c r="I4056" s="2" t="n">
        <f aca="false">IF(AND(ISNUMBER(B4056),B4056&lt;=25),2,0)+IF(AND(ISNUMBER(E4056),E4056&lt;=5),2,0)+IF(AND(ISNUMBER(F4056),F4056&lt;=1),2,0)+IF(AND(ISNUMBER(G4056),G4056&lt;=2),1,0)+IF(AND(ISNUMBER(H4056),H4056&lt;=2),1,0)</f>
        <v>2</v>
      </c>
      <c r="J4056" s="2" t="str">
        <f aca="false">IF(I4056&gt;=6,"High",IF(I4056&gt;=3,"Medium","Low"))</f>
        <v>Low</v>
      </c>
    </row>
    <row r="4057" customFormat="false" ht="15" hidden="false" customHeight="true" outlineLevel="0" collapsed="false">
      <c r="A4057" s="2" t="n">
        <f aca="false">'Raw Data'!H4057</f>
        <v>4056</v>
      </c>
      <c r="B4057" s="2" t="n">
        <f aca="false">'Raw Data'!A4057</f>
        <v>38</v>
      </c>
      <c r="C4057" s="2" t="str">
        <f aca="false">'Raw Data'!D4057</f>
        <v>Research &amp; Development</v>
      </c>
      <c r="D4057" s="2" t="str">
        <f aca="false">'Raw Data'!K4057</f>
        <v>Manager</v>
      </c>
      <c r="E4057" s="2" t="n">
        <f aca="false">'Raw Data'!Q4057</f>
        <v>20</v>
      </c>
      <c r="F4057" s="2" t="n">
        <f aca="false">'Raw Data'!U4057</f>
        <v>7</v>
      </c>
      <c r="G4057" s="2" t="n">
        <f aca="false">'Raw Data'!W4057</f>
        <v>2</v>
      </c>
      <c r="H4057" s="2" t="n">
        <f aca="false">'Raw Data'!V4057</f>
        <v>4</v>
      </c>
      <c r="I4057" s="2" t="n">
        <f aca="false">IF(AND(ISNUMBER(B4057),B4057&lt;=25),2,0)+IF(AND(ISNUMBER(E4057),E4057&lt;=5),2,0)+IF(AND(ISNUMBER(F4057),F4057&lt;=1),2,0)+IF(AND(ISNUMBER(G4057),G4057&lt;=2),1,0)+IF(AND(ISNUMBER(H4057),H4057&lt;=2),1,0)</f>
        <v>1</v>
      </c>
      <c r="J4057" s="2" t="str">
        <f aca="false">IF(I4057&gt;=6,"High",IF(I4057&gt;=3,"Medium","Low"))</f>
        <v>Low</v>
      </c>
    </row>
    <row r="4058" customFormat="false" ht="15" hidden="false" customHeight="true" outlineLevel="0" collapsed="false">
      <c r="A4058" s="2" t="n">
        <f aca="false">'Raw Data'!H4058</f>
        <v>4057</v>
      </c>
      <c r="B4058" s="2" t="n">
        <f aca="false">'Raw Data'!A4058</f>
        <v>58</v>
      </c>
      <c r="C4058" s="2" t="str">
        <f aca="false">'Raw Data'!D4058</f>
        <v>Sales</v>
      </c>
      <c r="D4058" s="2" t="str">
        <f aca="false">'Raw Data'!K4058</f>
        <v>Sales Representative</v>
      </c>
      <c r="E4058" s="2" t="n">
        <f aca="false">'Raw Data'!Q4058</f>
        <v>29</v>
      </c>
      <c r="F4058" s="2" t="n">
        <f aca="false">'Raw Data'!U4058</f>
        <v>0</v>
      </c>
      <c r="G4058" s="2" t="n">
        <f aca="false">'Raw Data'!W4058</f>
        <v>4</v>
      </c>
      <c r="H4058" s="2" t="n">
        <f aca="false">'Raw Data'!V4058</f>
        <v>4</v>
      </c>
      <c r="I4058" s="2" t="n">
        <f aca="false">IF(AND(ISNUMBER(B4058),B4058&lt;=25),2,0)+IF(AND(ISNUMBER(E4058),E4058&lt;=5),2,0)+IF(AND(ISNUMBER(F4058),F4058&lt;=1),2,0)+IF(AND(ISNUMBER(G4058),G4058&lt;=2),1,0)+IF(AND(ISNUMBER(H4058),H4058&lt;=2),1,0)</f>
        <v>2</v>
      </c>
      <c r="J4058" s="2" t="str">
        <f aca="false">IF(I4058&gt;=6,"High",IF(I4058&gt;=3,"Medium","Low"))</f>
        <v>Low</v>
      </c>
    </row>
    <row r="4059" customFormat="false" ht="15" hidden="false" customHeight="true" outlineLevel="0" collapsed="false">
      <c r="A4059" s="2" t="n">
        <f aca="false">'Raw Data'!H4059</f>
        <v>4058</v>
      </c>
      <c r="B4059" s="2" t="n">
        <f aca="false">'Raw Data'!A4059</f>
        <v>32</v>
      </c>
      <c r="C4059" s="2" t="str">
        <f aca="false">'Raw Data'!D4059</f>
        <v>Research &amp; Development</v>
      </c>
      <c r="D4059" s="2" t="str">
        <f aca="false">'Raw Data'!K4059</f>
        <v>Laboratory Technician</v>
      </c>
      <c r="E4059" s="2" t="n">
        <f aca="false">'Raw Data'!Q4059</f>
        <v>8</v>
      </c>
      <c r="F4059" s="2" t="n">
        <f aca="false">'Raw Data'!U4059</f>
        <v>3</v>
      </c>
      <c r="G4059" s="2" t="n">
        <f aca="false">'Raw Data'!W4059</f>
        <v>3</v>
      </c>
      <c r="H4059" s="2" t="n">
        <f aca="false">'Raw Data'!V4059</f>
        <v>1</v>
      </c>
      <c r="I4059" s="2" t="n">
        <f aca="false">IF(AND(ISNUMBER(B4059),B4059&lt;=25),2,0)+IF(AND(ISNUMBER(E4059),E4059&lt;=5),2,0)+IF(AND(ISNUMBER(F4059),F4059&lt;=1),2,0)+IF(AND(ISNUMBER(G4059),G4059&lt;=2),1,0)+IF(AND(ISNUMBER(H4059),H4059&lt;=2),1,0)</f>
        <v>1</v>
      </c>
      <c r="J4059" s="2" t="str">
        <f aca="false">IF(I4059&gt;=6,"High",IF(I4059&gt;=3,"Medium","Low"))</f>
        <v>Low</v>
      </c>
    </row>
    <row r="4060" customFormat="false" ht="15" hidden="false" customHeight="true" outlineLevel="0" collapsed="false">
      <c r="A4060" s="2" t="n">
        <f aca="false">'Raw Data'!H4060</f>
        <v>4059</v>
      </c>
      <c r="B4060" s="2" t="n">
        <f aca="false">'Raw Data'!A4060</f>
        <v>38</v>
      </c>
      <c r="C4060" s="2" t="str">
        <f aca="false">'Raw Data'!D4060</f>
        <v>Research &amp; Development</v>
      </c>
      <c r="D4060" s="2" t="str">
        <f aca="false">'Raw Data'!K4060</f>
        <v>Sales Representative</v>
      </c>
      <c r="E4060" s="2" t="n">
        <f aca="false">'Raw Data'!Q4060</f>
        <v>10</v>
      </c>
      <c r="F4060" s="2" t="n">
        <f aca="false">'Raw Data'!U4060</f>
        <v>3</v>
      </c>
      <c r="G4060" s="2" t="n">
        <f aca="false">'Raw Data'!W4060</f>
        <v>4</v>
      </c>
      <c r="H4060" s="2" t="n">
        <f aca="false">'Raw Data'!V4060</f>
        <v>2</v>
      </c>
      <c r="I4060" s="2" t="n">
        <f aca="false">IF(AND(ISNUMBER(B4060),B4060&lt;=25),2,0)+IF(AND(ISNUMBER(E4060),E4060&lt;=5),2,0)+IF(AND(ISNUMBER(F4060),F4060&lt;=1),2,0)+IF(AND(ISNUMBER(G4060),G4060&lt;=2),1,0)+IF(AND(ISNUMBER(H4060),H4060&lt;=2),1,0)</f>
        <v>1</v>
      </c>
      <c r="J4060" s="2" t="str">
        <f aca="false">IF(I4060&gt;=6,"High",IF(I4060&gt;=3,"Medium","Low"))</f>
        <v>Low</v>
      </c>
    </row>
    <row r="4061" customFormat="false" ht="15" hidden="false" customHeight="true" outlineLevel="0" collapsed="false">
      <c r="A4061" s="2" t="n">
        <f aca="false">'Raw Data'!H4061</f>
        <v>4060</v>
      </c>
      <c r="B4061" s="2" t="n">
        <f aca="false">'Raw Data'!A4061</f>
        <v>49</v>
      </c>
      <c r="C4061" s="2" t="str">
        <f aca="false">'Raw Data'!D4061</f>
        <v>Sales</v>
      </c>
      <c r="D4061" s="2" t="str">
        <f aca="false">'Raw Data'!K4061</f>
        <v>Research Scientist</v>
      </c>
      <c r="E4061" s="2" t="n">
        <f aca="false">'Raw Data'!Q4061</f>
        <v>28</v>
      </c>
      <c r="F4061" s="2" t="n">
        <f aca="false">'Raw Data'!U4061</f>
        <v>3</v>
      </c>
      <c r="G4061" s="2" t="n">
        <f aca="false">'Raw Data'!W4061</f>
        <v>4</v>
      </c>
      <c r="H4061" s="2" t="n">
        <f aca="false">'Raw Data'!V4061</f>
        <v>2</v>
      </c>
      <c r="I4061" s="2" t="n">
        <f aca="false">IF(AND(ISNUMBER(B4061),B4061&lt;=25),2,0)+IF(AND(ISNUMBER(E4061),E4061&lt;=5),2,0)+IF(AND(ISNUMBER(F4061),F4061&lt;=1),2,0)+IF(AND(ISNUMBER(G4061),G4061&lt;=2),1,0)+IF(AND(ISNUMBER(H4061),H4061&lt;=2),1,0)</f>
        <v>1</v>
      </c>
      <c r="J4061" s="2" t="str">
        <f aca="false">IF(I4061&gt;=6,"High",IF(I4061&gt;=3,"Medium","Low"))</f>
        <v>Low</v>
      </c>
    </row>
    <row r="4062" customFormat="false" ht="15" hidden="false" customHeight="true" outlineLevel="0" collapsed="false">
      <c r="A4062" s="2" t="n">
        <f aca="false">'Raw Data'!H4062</f>
        <v>4061</v>
      </c>
      <c r="B4062" s="2" t="n">
        <f aca="false">'Raw Data'!A4062</f>
        <v>42</v>
      </c>
      <c r="C4062" s="2" t="str">
        <f aca="false">'Raw Data'!D4062</f>
        <v>Sales</v>
      </c>
      <c r="D4062" s="2" t="str">
        <f aca="false">'Raw Data'!K4062</f>
        <v>Sales Executive</v>
      </c>
      <c r="E4062" s="2" t="n">
        <f aca="false">'Raw Data'!Q4062</f>
        <v>14</v>
      </c>
      <c r="F4062" s="2" t="n">
        <f aca="false">'Raw Data'!U4062</f>
        <v>0</v>
      </c>
      <c r="G4062" s="2" t="n">
        <f aca="false">'Raw Data'!W4062</f>
        <v>4</v>
      </c>
      <c r="H4062" s="2" t="n">
        <f aca="false">'Raw Data'!V4062</f>
        <v>2</v>
      </c>
      <c r="I4062" s="2" t="n">
        <f aca="false">IF(AND(ISNUMBER(B4062),B4062&lt;=25),2,0)+IF(AND(ISNUMBER(E4062),E4062&lt;=5),2,0)+IF(AND(ISNUMBER(F4062),F4062&lt;=1),2,0)+IF(AND(ISNUMBER(G4062),G4062&lt;=2),1,0)+IF(AND(ISNUMBER(H4062),H4062&lt;=2),1,0)</f>
        <v>3</v>
      </c>
      <c r="J4062" s="2" t="str">
        <f aca="false">IF(I4062&gt;=6,"High",IF(I4062&gt;=3,"Medium","Low"))</f>
        <v>Medium</v>
      </c>
    </row>
    <row r="4063" customFormat="false" ht="15" hidden="false" customHeight="true" outlineLevel="0" collapsed="false">
      <c r="A4063" s="2" t="n">
        <f aca="false">'Raw Data'!H4063</f>
        <v>4062</v>
      </c>
      <c r="B4063" s="2" t="n">
        <f aca="false">'Raw Data'!A4063</f>
        <v>27</v>
      </c>
      <c r="C4063" s="2" t="str">
        <f aca="false">'Raw Data'!D4063</f>
        <v>Sales</v>
      </c>
      <c r="D4063" s="2" t="str">
        <f aca="false">'Raw Data'!K4063</f>
        <v>Laboratory Technician</v>
      </c>
      <c r="E4063" s="2" t="n">
        <f aca="false">'Raw Data'!Q4063</f>
        <v>1</v>
      </c>
      <c r="F4063" s="2" t="n">
        <f aca="false">'Raw Data'!U4063</f>
        <v>0</v>
      </c>
      <c r="G4063" s="2" t="n">
        <f aca="false">'Raw Data'!W4063</f>
        <v>2</v>
      </c>
      <c r="H4063" s="2" t="n">
        <f aca="false">'Raw Data'!V4063</f>
        <v>1</v>
      </c>
      <c r="I4063" s="2" t="n">
        <f aca="false">IF(AND(ISNUMBER(B4063),B4063&lt;=25),2,0)+IF(AND(ISNUMBER(E4063),E4063&lt;=5),2,0)+IF(AND(ISNUMBER(F4063),F4063&lt;=1),2,0)+IF(AND(ISNUMBER(G4063),G4063&lt;=2),1,0)+IF(AND(ISNUMBER(H4063),H4063&lt;=2),1,0)</f>
        <v>6</v>
      </c>
      <c r="J4063" s="2" t="str">
        <f aca="false">IF(I4063&gt;=6,"High",IF(I4063&gt;=3,"Medium","Low"))</f>
        <v>High</v>
      </c>
    </row>
    <row r="4064" customFormat="false" ht="15" hidden="false" customHeight="true" outlineLevel="0" collapsed="false">
      <c r="A4064" s="2" t="n">
        <f aca="false">'Raw Data'!H4064</f>
        <v>4063</v>
      </c>
      <c r="B4064" s="2" t="n">
        <f aca="false">'Raw Data'!A4064</f>
        <v>35</v>
      </c>
      <c r="C4064" s="2" t="str">
        <f aca="false">'Raw Data'!D4064</f>
        <v>Research &amp; Development</v>
      </c>
      <c r="D4064" s="2" t="str">
        <f aca="false">'Raw Data'!K4064</f>
        <v>Sales Executive</v>
      </c>
      <c r="E4064" s="2" t="n">
        <f aca="false">'Raw Data'!Q4064</f>
        <v>6</v>
      </c>
      <c r="F4064" s="2" t="n">
        <f aca="false">'Raw Data'!U4064</f>
        <v>4</v>
      </c>
      <c r="G4064" s="2" t="n">
        <f aca="false">'Raw Data'!W4064</f>
        <v>1</v>
      </c>
      <c r="H4064" s="2" t="n">
        <f aca="false">'Raw Data'!V4064</f>
        <v>2</v>
      </c>
      <c r="I4064" s="2" t="n">
        <f aca="false">IF(AND(ISNUMBER(B4064),B4064&lt;=25),2,0)+IF(AND(ISNUMBER(E4064),E4064&lt;=5),2,0)+IF(AND(ISNUMBER(F4064),F4064&lt;=1),2,0)+IF(AND(ISNUMBER(G4064),G4064&lt;=2),1,0)+IF(AND(ISNUMBER(H4064),H4064&lt;=2),1,0)</f>
        <v>2</v>
      </c>
      <c r="J4064" s="2" t="str">
        <f aca="false">IF(I4064&gt;=6,"High",IF(I4064&gt;=3,"Medium","Low"))</f>
        <v>Low</v>
      </c>
    </row>
    <row r="4065" customFormat="false" ht="15" hidden="false" customHeight="true" outlineLevel="0" collapsed="false">
      <c r="A4065" s="2" t="n">
        <f aca="false">'Raw Data'!H4065</f>
        <v>4064</v>
      </c>
      <c r="B4065" s="2" t="n">
        <f aca="false">'Raw Data'!A4065</f>
        <v>28</v>
      </c>
      <c r="C4065" s="2" t="str">
        <f aca="false">'Raw Data'!D4065</f>
        <v>Research &amp; Development</v>
      </c>
      <c r="D4065" s="2" t="str">
        <f aca="false">'Raw Data'!K4065</f>
        <v>Research Scientist</v>
      </c>
      <c r="E4065" s="2" t="n">
        <f aca="false">'Raw Data'!Q4065</f>
        <v>5</v>
      </c>
      <c r="F4065" s="2" t="n">
        <f aca="false">'Raw Data'!U4065</f>
        <v>4</v>
      </c>
      <c r="G4065" s="2" t="n">
        <f aca="false">'Raw Data'!W4065</f>
        <v>3</v>
      </c>
      <c r="H4065" s="2" t="n">
        <f aca="false">'Raw Data'!V4065</f>
        <v>3</v>
      </c>
      <c r="I4065" s="2" t="n">
        <f aca="false">IF(AND(ISNUMBER(B4065),B4065&lt;=25),2,0)+IF(AND(ISNUMBER(E4065),E4065&lt;=5),2,0)+IF(AND(ISNUMBER(F4065),F4065&lt;=1),2,0)+IF(AND(ISNUMBER(G4065),G4065&lt;=2),1,0)+IF(AND(ISNUMBER(H4065),H4065&lt;=2),1,0)</f>
        <v>2</v>
      </c>
      <c r="J4065" s="2" t="str">
        <f aca="false">IF(I4065&gt;=6,"High",IF(I4065&gt;=3,"Medium","Low"))</f>
        <v>Low</v>
      </c>
    </row>
    <row r="4066" customFormat="false" ht="15" hidden="false" customHeight="true" outlineLevel="0" collapsed="false">
      <c r="A4066" s="2" t="n">
        <f aca="false">'Raw Data'!H4066</f>
        <v>4065</v>
      </c>
      <c r="B4066" s="2" t="n">
        <f aca="false">'Raw Data'!A4066</f>
        <v>31</v>
      </c>
      <c r="C4066" s="2" t="str">
        <f aca="false">'Raw Data'!D4066</f>
        <v>Sales</v>
      </c>
      <c r="D4066" s="2" t="str">
        <f aca="false">'Raw Data'!K4066</f>
        <v>Sales Executive</v>
      </c>
      <c r="E4066" s="2" t="n">
        <f aca="false">'Raw Data'!Q4066</f>
        <v>4</v>
      </c>
      <c r="F4066" s="2" t="n">
        <f aca="false">'Raw Data'!U4066</f>
        <v>3</v>
      </c>
      <c r="G4066" s="2" t="n">
        <f aca="false">'Raw Data'!W4066</f>
        <v>1</v>
      </c>
      <c r="H4066" s="2" t="n">
        <f aca="false">'Raw Data'!V4066</f>
        <v>3</v>
      </c>
      <c r="I4066" s="2" t="n">
        <f aca="false">IF(AND(ISNUMBER(B4066),B4066&lt;=25),2,0)+IF(AND(ISNUMBER(E4066),E4066&lt;=5),2,0)+IF(AND(ISNUMBER(F4066),F4066&lt;=1),2,0)+IF(AND(ISNUMBER(G4066),G4066&lt;=2),1,0)+IF(AND(ISNUMBER(H4066),H4066&lt;=2),1,0)</f>
        <v>3</v>
      </c>
      <c r="J4066" s="2" t="str">
        <f aca="false">IF(I4066&gt;=6,"High",IF(I4066&gt;=3,"Medium","Low"))</f>
        <v>Medium</v>
      </c>
    </row>
    <row r="4067" customFormat="false" ht="15" hidden="false" customHeight="true" outlineLevel="0" collapsed="false">
      <c r="A4067" s="2" t="n">
        <f aca="false">'Raw Data'!H4067</f>
        <v>4066</v>
      </c>
      <c r="B4067" s="2" t="n">
        <f aca="false">'Raw Data'!A4067</f>
        <v>36</v>
      </c>
      <c r="C4067" s="2" t="str">
        <f aca="false">'Raw Data'!D4067</f>
        <v>Research &amp; Development</v>
      </c>
      <c r="D4067" s="2" t="str">
        <f aca="false">'Raw Data'!K4067</f>
        <v>Research Scientist</v>
      </c>
      <c r="E4067" s="2" t="n">
        <f aca="false">'Raw Data'!Q4067</f>
        <v>5</v>
      </c>
      <c r="F4067" s="2" t="n">
        <f aca="false">'Raw Data'!U4067</f>
        <v>2</v>
      </c>
      <c r="G4067" s="2" t="n">
        <f aca="false">'Raw Data'!W4067</f>
        <v>2</v>
      </c>
      <c r="H4067" s="2" t="n">
        <f aca="false">'Raw Data'!V4067</f>
        <v>1</v>
      </c>
      <c r="I4067" s="2" t="n">
        <f aca="false">IF(AND(ISNUMBER(B4067),B4067&lt;=25),2,0)+IF(AND(ISNUMBER(E4067),E4067&lt;=5),2,0)+IF(AND(ISNUMBER(F4067),F4067&lt;=1),2,0)+IF(AND(ISNUMBER(G4067),G4067&lt;=2),1,0)+IF(AND(ISNUMBER(H4067),H4067&lt;=2),1,0)</f>
        <v>4</v>
      </c>
      <c r="J4067" s="2" t="str">
        <f aca="false">IF(I4067&gt;=6,"High",IF(I4067&gt;=3,"Medium","Low"))</f>
        <v>Medium</v>
      </c>
    </row>
    <row r="4068" customFormat="false" ht="15" hidden="false" customHeight="true" outlineLevel="0" collapsed="false">
      <c r="A4068" s="2" t="n">
        <f aca="false">'Raw Data'!H4068</f>
        <v>4067</v>
      </c>
      <c r="B4068" s="2" t="n">
        <f aca="false">'Raw Data'!A4068</f>
        <v>34</v>
      </c>
      <c r="C4068" s="2" t="str">
        <f aca="false">'Raw Data'!D4068</f>
        <v>Sales</v>
      </c>
      <c r="D4068" s="2" t="str">
        <f aca="false">'Raw Data'!K4068</f>
        <v>Healthcare Representative</v>
      </c>
      <c r="E4068" s="2" t="n">
        <f aca="false">'Raw Data'!Q4068</f>
        <v>14</v>
      </c>
      <c r="F4068" s="2" t="n">
        <f aca="false">'Raw Data'!U4068</f>
        <v>1</v>
      </c>
      <c r="G4068" s="2" t="n">
        <f aca="false">'Raw Data'!W4068</f>
        <v>4</v>
      </c>
      <c r="H4068" s="2" t="n">
        <f aca="false">'Raw Data'!V4068</f>
        <v>1</v>
      </c>
      <c r="I4068" s="2" t="n">
        <f aca="false">IF(AND(ISNUMBER(B4068),B4068&lt;=25),2,0)+IF(AND(ISNUMBER(E4068),E4068&lt;=5),2,0)+IF(AND(ISNUMBER(F4068),F4068&lt;=1),2,0)+IF(AND(ISNUMBER(G4068),G4068&lt;=2),1,0)+IF(AND(ISNUMBER(H4068),H4068&lt;=2),1,0)</f>
        <v>3</v>
      </c>
      <c r="J4068" s="2" t="str">
        <f aca="false">IF(I4068&gt;=6,"High",IF(I4068&gt;=3,"Medium","Low"))</f>
        <v>Medium</v>
      </c>
    </row>
    <row r="4069" customFormat="false" ht="15" hidden="false" customHeight="true" outlineLevel="0" collapsed="false">
      <c r="A4069" s="2" t="n">
        <f aca="false">'Raw Data'!H4069</f>
        <v>4068</v>
      </c>
      <c r="B4069" s="2" t="n">
        <f aca="false">'Raw Data'!A4069</f>
        <v>34</v>
      </c>
      <c r="C4069" s="2" t="str">
        <f aca="false">'Raw Data'!D4069</f>
        <v>Research &amp; Development</v>
      </c>
      <c r="D4069" s="2" t="str">
        <f aca="false">'Raw Data'!K4069</f>
        <v>Research Director</v>
      </c>
      <c r="E4069" s="2" t="n">
        <f aca="false">'Raw Data'!Q4069</f>
        <v>9</v>
      </c>
      <c r="F4069" s="2" t="n">
        <f aca="false">'Raw Data'!U4069</f>
        <v>1</v>
      </c>
      <c r="G4069" s="2" t="n">
        <f aca="false">'Raw Data'!W4069</f>
        <v>3</v>
      </c>
      <c r="H4069" s="2" t="n">
        <f aca="false">'Raw Data'!V4069</f>
        <v>4</v>
      </c>
      <c r="I4069" s="2" t="n">
        <f aca="false">IF(AND(ISNUMBER(B4069),B4069&lt;=25),2,0)+IF(AND(ISNUMBER(E4069),E4069&lt;=5),2,0)+IF(AND(ISNUMBER(F4069),F4069&lt;=1),2,0)+IF(AND(ISNUMBER(G4069),G4069&lt;=2),1,0)+IF(AND(ISNUMBER(H4069),H4069&lt;=2),1,0)</f>
        <v>2</v>
      </c>
      <c r="J4069" s="2" t="str">
        <f aca="false">IF(I4069&gt;=6,"High",IF(I4069&gt;=3,"Medium","Low"))</f>
        <v>Low</v>
      </c>
    </row>
    <row r="4070" customFormat="false" ht="15" hidden="false" customHeight="true" outlineLevel="0" collapsed="false">
      <c r="A4070" s="2" t="n">
        <f aca="false">'Raw Data'!H4070</f>
        <v>4069</v>
      </c>
      <c r="B4070" s="2" t="n">
        <f aca="false">'Raw Data'!A4070</f>
        <v>26</v>
      </c>
      <c r="C4070" s="2" t="str">
        <f aca="false">'Raw Data'!D4070</f>
        <v>Research &amp; Development</v>
      </c>
      <c r="D4070" s="2" t="str">
        <f aca="false">'Raw Data'!K4070</f>
        <v>Research Scientist</v>
      </c>
      <c r="E4070" s="2" t="n">
        <f aca="false">'Raw Data'!Q4070</f>
        <v>8</v>
      </c>
      <c r="F4070" s="2" t="n">
        <f aca="false">'Raw Data'!U4070</f>
        <v>6</v>
      </c>
      <c r="G4070" s="2" t="n">
        <f aca="false">'Raw Data'!W4070</f>
        <v>1</v>
      </c>
      <c r="H4070" s="2" t="n">
        <f aca="false">'Raw Data'!V4070</f>
        <v>3</v>
      </c>
      <c r="I4070" s="2" t="n">
        <f aca="false">IF(AND(ISNUMBER(B4070),B4070&lt;=25),2,0)+IF(AND(ISNUMBER(E4070),E4070&lt;=5),2,0)+IF(AND(ISNUMBER(F4070),F4070&lt;=1),2,0)+IF(AND(ISNUMBER(G4070),G4070&lt;=2),1,0)+IF(AND(ISNUMBER(H4070),H4070&lt;=2),1,0)</f>
        <v>1</v>
      </c>
      <c r="J4070" s="2" t="str">
        <f aca="false">IF(I4070&gt;=6,"High",IF(I4070&gt;=3,"Medium","Low"))</f>
        <v>Low</v>
      </c>
    </row>
    <row r="4071" customFormat="false" ht="15" hidden="false" customHeight="true" outlineLevel="0" collapsed="false">
      <c r="A4071" s="2" t="n">
        <f aca="false">'Raw Data'!H4071</f>
        <v>4070</v>
      </c>
      <c r="B4071" s="2" t="n">
        <f aca="false">'Raw Data'!A4071</f>
        <v>29</v>
      </c>
      <c r="C4071" s="2" t="str">
        <f aca="false">'Raw Data'!D4071</f>
        <v>Research &amp; Development</v>
      </c>
      <c r="D4071" s="2" t="str">
        <f aca="false">'Raw Data'!K4071</f>
        <v>Laboratory Technician</v>
      </c>
      <c r="E4071" s="2" t="n">
        <f aca="false">'Raw Data'!Q4071</f>
        <v>6</v>
      </c>
      <c r="F4071" s="2" t="n">
        <f aca="false">'Raw Data'!U4071</f>
        <v>2</v>
      </c>
      <c r="G4071" s="2" t="n">
        <f aca="false">'Raw Data'!W4071</f>
        <v>1</v>
      </c>
      <c r="H4071" s="2" t="n">
        <f aca="false">'Raw Data'!V4071</f>
        <v>1</v>
      </c>
      <c r="I4071" s="2" t="n">
        <f aca="false">IF(AND(ISNUMBER(B4071),B4071&lt;=25),2,0)+IF(AND(ISNUMBER(E4071),E4071&lt;=5),2,0)+IF(AND(ISNUMBER(F4071),F4071&lt;=1),2,0)+IF(AND(ISNUMBER(G4071),G4071&lt;=2),1,0)+IF(AND(ISNUMBER(H4071),H4071&lt;=2),1,0)</f>
        <v>2</v>
      </c>
      <c r="J4071" s="2" t="str">
        <f aca="false">IF(I4071&gt;=6,"High",IF(I4071&gt;=3,"Medium","Low"))</f>
        <v>Low</v>
      </c>
    </row>
    <row r="4072" customFormat="false" ht="15" hidden="false" customHeight="true" outlineLevel="0" collapsed="false">
      <c r="A4072" s="2" t="n">
        <f aca="false">'Raw Data'!H4072</f>
        <v>4071</v>
      </c>
      <c r="B4072" s="2" t="n">
        <f aca="false">'Raw Data'!A4072</f>
        <v>32</v>
      </c>
      <c r="C4072" s="2" t="str">
        <f aca="false">'Raw Data'!D4072</f>
        <v>Research &amp; Development</v>
      </c>
      <c r="D4072" s="2" t="str">
        <f aca="false">'Raw Data'!K4072</f>
        <v>Manager</v>
      </c>
      <c r="E4072" s="2" t="n">
        <f aca="false">'Raw Data'!Q4072</f>
        <v>9</v>
      </c>
      <c r="F4072" s="2" t="n">
        <f aca="false">'Raw Data'!U4072</f>
        <v>2</v>
      </c>
      <c r="G4072" s="2" t="n">
        <f aca="false">'Raw Data'!W4072</f>
        <v>4</v>
      </c>
      <c r="H4072" s="2" t="n">
        <f aca="false">'Raw Data'!V4072</f>
        <v>3</v>
      </c>
      <c r="I4072" s="2" t="n">
        <f aca="false">IF(AND(ISNUMBER(B4072),B4072&lt;=25),2,0)+IF(AND(ISNUMBER(E4072),E4072&lt;=5),2,0)+IF(AND(ISNUMBER(F4072),F4072&lt;=1),2,0)+IF(AND(ISNUMBER(G4072),G4072&lt;=2),1,0)+IF(AND(ISNUMBER(H4072),H4072&lt;=2),1,0)</f>
        <v>0</v>
      </c>
      <c r="J4072" s="2" t="str">
        <f aca="false">IF(I4072&gt;=6,"High",IF(I4072&gt;=3,"Medium","Low"))</f>
        <v>Low</v>
      </c>
    </row>
    <row r="4073" customFormat="false" ht="15" hidden="false" customHeight="true" outlineLevel="0" collapsed="false">
      <c r="A4073" s="2" t="n">
        <f aca="false">'Raw Data'!H4073</f>
        <v>4072</v>
      </c>
      <c r="B4073" s="2" t="n">
        <f aca="false">'Raw Data'!A4073</f>
        <v>31</v>
      </c>
      <c r="C4073" s="2" t="str">
        <f aca="false">'Raw Data'!D4073</f>
        <v>Research &amp; Development</v>
      </c>
      <c r="D4073" s="2" t="str">
        <f aca="false">'Raw Data'!K4073</f>
        <v>Human Resources</v>
      </c>
      <c r="E4073" s="2" t="n">
        <f aca="false">'Raw Data'!Q4073</f>
        <v>10</v>
      </c>
      <c r="F4073" s="2" t="n">
        <f aca="false">'Raw Data'!U4073</f>
        <v>7</v>
      </c>
      <c r="G4073" s="2" t="n">
        <f aca="false">'Raw Data'!W4073</f>
        <v>1</v>
      </c>
      <c r="H4073" s="2" t="n">
        <f aca="false">'Raw Data'!V4073</f>
        <v>4</v>
      </c>
      <c r="I4073" s="2" t="n">
        <f aca="false">IF(AND(ISNUMBER(B4073),B4073&lt;=25),2,0)+IF(AND(ISNUMBER(E4073),E4073&lt;=5),2,0)+IF(AND(ISNUMBER(F4073),F4073&lt;=1),2,0)+IF(AND(ISNUMBER(G4073),G4073&lt;=2),1,0)+IF(AND(ISNUMBER(H4073),H4073&lt;=2),1,0)</f>
        <v>1</v>
      </c>
      <c r="J4073" s="2" t="str">
        <f aca="false">IF(I4073&gt;=6,"High",IF(I4073&gt;=3,"Medium","Low"))</f>
        <v>Low</v>
      </c>
    </row>
    <row r="4074" customFormat="false" ht="15" hidden="false" customHeight="true" outlineLevel="0" collapsed="false">
      <c r="A4074" s="2" t="n">
        <f aca="false">'Raw Data'!H4074</f>
        <v>4073</v>
      </c>
      <c r="B4074" s="2" t="n">
        <f aca="false">'Raw Data'!A4074</f>
        <v>28</v>
      </c>
      <c r="C4074" s="2" t="str">
        <f aca="false">'Raw Data'!D4074</f>
        <v>Sales</v>
      </c>
      <c r="D4074" s="2" t="str">
        <f aca="false">'Raw Data'!K4074</f>
        <v>Sales Representative</v>
      </c>
      <c r="E4074" s="2" t="n">
        <f aca="false">'Raw Data'!Q4074</f>
        <v>6</v>
      </c>
      <c r="F4074" s="2" t="n">
        <f aca="false">'Raw Data'!U4074</f>
        <v>3</v>
      </c>
      <c r="G4074" s="2" t="n">
        <f aca="false">'Raw Data'!W4074</f>
        <v>4</v>
      </c>
      <c r="H4074" s="2" t="n">
        <f aca="false">'Raw Data'!V4074</f>
        <v>3</v>
      </c>
      <c r="I4074" s="2" t="n">
        <f aca="false">IF(AND(ISNUMBER(B4074),B4074&lt;=25),2,0)+IF(AND(ISNUMBER(E4074),E4074&lt;=5),2,0)+IF(AND(ISNUMBER(F4074),F4074&lt;=1),2,0)+IF(AND(ISNUMBER(G4074),G4074&lt;=2),1,0)+IF(AND(ISNUMBER(H4074),H4074&lt;=2),1,0)</f>
        <v>0</v>
      </c>
      <c r="J4074" s="2" t="str">
        <f aca="false">IF(I4074&gt;=6,"High",IF(I4074&gt;=3,"Medium","Low"))</f>
        <v>Low</v>
      </c>
    </row>
    <row r="4075" customFormat="false" ht="15" hidden="false" customHeight="true" outlineLevel="0" collapsed="false">
      <c r="A4075" s="2" t="n">
        <f aca="false">'Raw Data'!H4075</f>
        <v>4074</v>
      </c>
      <c r="B4075" s="2" t="n">
        <f aca="false">'Raw Data'!A4075</f>
        <v>38</v>
      </c>
      <c r="C4075" s="2" t="str">
        <f aca="false">'Raw Data'!D4075</f>
        <v>Research &amp; Development</v>
      </c>
      <c r="D4075" s="2" t="str">
        <f aca="false">'Raw Data'!K4075</f>
        <v>Sales Representative</v>
      </c>
      <c r="E4075" s="2" t="n">
        <f aca="false">'Raw Data'!Q4075</f>
        <v>20</v>
      </c>
      <c r="F4075" s="2" t="n">
        <f aca="false">'Raw Data'!U4075</f>
        <v>0</v>
      </c>
      <c r="G4075" s="2" t="n">
        <f aca="false">'Raw Data'!W4075</f>
        <v>1</v>
      </c>
      <c r="H4075" s="2" t="n">
        <f aca="false">'Raw Data'!V4075</f>
        <v>1</v>
      </c>
      <c r="I4075" s="2" t="n">
        <f aca="false">IF(AND(ISNUMBER(B4075),B4075&lt;=25),2,0)+IF(AND(ISNUMBER(E4075),E4075&lt;=5),2,0)+IF(AND(ISNUMBER(F4075),F4075&lt;=1),2,0)+IF(AND(ISNUMBER(G4075),G4075&lt;=2),1,0)+IF(AND(ISNUMBER(H4075),H4075&lt;=2),1,0)</f>
        <v>4</v>
      </c>
      <c r="J4075" s="2" t="str">
        <f aca="false">IF(I4075&gt;=6,"High",IF(I4075&gt;=3,"Medium","Low"))</f>
        <v>Medium</v>
      </c>
    </row>
    <row r="4076" customFormat="false" ht="15" hidden="false" customHeight="true" outlineLevel="0" collapsed="false">
      <c r="A4076" s="2" t="n">
        <f aca="false">'Raw Data'!H4076</f>
        <v>4075</v>
      </c>
      <c r="B4076" s="2" t="n">
        <f aca="false">'Raw Data'!A4076</f>
        <v>35</v>
      </c>
      <c r="C4076" s="2" t="str">
        <f aca="false">'Raw Data'!D4076</f>
        <v>Research &amp; Development</v>
      </c>
      <c r="D4076" s="2" t="str">
        <f aca="false">'Raw Data'!K4076</f>
        <v>Sales Representative</v>
      </c>
      <c r="E4076" s="2" t="n">
        <f aca="false">'Raw Data'!Q4076</f>
        <v>10</v>
      </c>
      <c r="F4076" s="2" t="n">
        <f aca="false">'Raw Data'!U4076</f>
        <v>9</v>
      </c>
      <c r="G4076" s="2" t="n">
        <f aca="false">'Raw Data'!W4076</f>
        <v>4</v>
      </c>
      <c r="H4076" s="2" t="n">
        <f aca="false">'Raw Data'!V4076</f>
        <v>3</v>
      </c>
      <c r="I4076" s="2" t="n">
        <f aca="false">IF(AND(ISNUMBER(B4076),B4076&lt;=25),2,0)+IF(AND(ISNUMBER(E4076),E4076&lt;=5),2,0)+IF(AND(ISNUMBER(F4076),F4076&lt;=1),2,0)+IF(AND(ISNUMBER(G4076),G4076&lt;=2),1,0)+IF(AND(ISNUMBER(H4076),H4076&lt;=2),1,0)</f>
        <v>0</v>
      </c>
      <c r="J4076" s="2" t="str">
        <f aca="false">IF(I4076&gt;=6,"High",IF(I4076&gt;=3,"Medium","Low"))</f>
        <v>Low</v>
      </c>
    </row>
    <row r="4077" customFormat="false" ht="15" hidden="false" customHeight="true" outlineLevel="0" collapsed="false">
      <c r="A4077" s="2" t="n">
        <f aca="false">'Raw Data'!H4077</f>
        <v>4076</v>
      </c>
      <c r="B4077" s="2" t="n">
        <f aca="false">'Raw Data'!A4077</f>
        <v>27</v>
      </c>
      <c r="C4077" s="2" t="str">
        <f aca="false">'Raw Data'!D4077</f>
        <v>Sales</v>
      </c>
      <c r="D4077" s="2" t="str">
        <f aca="false">'Raw Data'!K4077</f>
        <v>Manager</v>
      </c>
      <c r="E4077" s="2" t="n">
        <f aca="false">'Raw Data'!Q4077</f>
        <v>7</v>
      </c>
      <c r="F4077" s="2" t="n">
        <f aca="false">'Raw Data'!U4077</f>
        <v>7</v>
      </c>
      <c r="G4077" s="2" t="n">
        <f aca="false">'Raw Data'!W4077</f>
        <v>4</v>
      </c>
      <c r="H4077" s="2" t="n">
        <f aca="false">'Raw Data'!V4077</f>
        <v>4</v>
      </c>
      <c r="I4077" s="2" t="n">
        <f aca="false">IF(AND(ISNUMBER(B4077),B4077&lt;=25),2,0)+IF(AND(ISNUMBER(E4077),E4077&lt;=5),2,0)+IF(AND(ISNUMBER(F4077),F4077&lt;=1),2,0)+IF(AND(ISNUMBER(G4077),G4077&lt;=2),1,0)+IF(AND(ISNUMBER(H4077),H4077&lt;=2),1,0)</f>
        <v>0</v>
      </c>
      <c r="J4077" s="2" t="str">
        <f aca="false">IF(I4077&gt;=6,"High",IF(I4077&gt;=3,"Medium","Low"))</f>
        <v>Low</v>
      </c>
    </row>
    <row r="4078" customFormat="false" ht="15" hidden="false" customHeight="true" outlineLevel="0" collapsed="false">
      <c r="A4078" s="2" t="n">
        <f aca="false">'Raw Data'!H4078</f>
        <v>4077</v>
      </c>
      <c r="B4078" s="2" t="n">
        <f aca="false">'Raw Data'!A4078</f>
        <v>32</v>
      </c>
      <c r="C4078" s="2" t="str">
        <f aca="false">'Raw Data'!D4078</f>
        <v>Research &amp; Development</v>
      </c>
      <c r="D4078" s="2" t="str">
        <f aca="false">'Raw Data'!K4078</f>
        <v>Research Scientist</v>
      </c>
      <c r="E4078" s="2" t="n">
        <f aca="false">'Raw Data'!Q4078</f>
        <v>8</v>
      </c>
      <c r="F4078" s="2" t="n">
        <f aca="false">'Raw Data'!U4078</f>
        <v>0</v>
      </c>
      <c r="G4078" s="2" t="n">
        <f aca="false">'Raw Data'!W4078</f>
        <v>4</v>
      </c>
      <c r="H4078" s="2" t="n">
        <f aca="false">'Raw Data'!V4078</f>
        <v>4</v>
      </c>
      <c r="I4078" s="2" t="n">
        <f aca="false">IF(AND(ISNUMBER(B4078),B4078&lt;=25),2,0)+IF(AND(ISNUMBER(E4078),E4078&lt;=5),2,0)+IF(AND(ISNUMBER(F4078),F4078&lt;=1),2,0)+IF(AND(ISNUMBER(G4078),G4078&lt;=2),1,0)+IF(AND(ISNUMBER(H4078),H4078&lt;=2),1,0)</f>
        <v>2</v>
      </c>
      <c r="J4078" s="2" t="str">
        <f aca="false">IF(I4078&gt;=6,"High",IF(I4078&gt;=3,"Medium","Low"))</f>
        <v>Low</v>
      </c>
    </row>
    <row r="4079" customFormat="false" ht="15" hidden="false" customHeight="true" outlineLevel="0" collapsed="false">
      <c r="A4079" s="2" t="n">
        <f aca="false">'Raw Data'!H4079</f>
        <v>4078</v>
      </c>
      <c r="B4079" s="2" t="n">
        <f aca="false">'Raw Data'!A4079</f>
        <v>31</v>
      </c>
      <c r="C4079" s="2" t="str">
        <f aca="false">'Raw Data'!D4079</f>
        <v>Research &amp; Development</v>
      </c>
      <c r="D4079" s="2" t="str">
        <f aca="false">'Raw Data'!K4079</f>
        <v>Sales Executive</v>
      </c>
      <c r="E4079" s="2" t="n">
        <f aca="false">'Raw Data'!Q4079</f>
        <v>10</v>
      </c>
      <c r="F4079" s="2" t="n">
        <f aca="false">'Raw Data'!U4079</f>
        <v>8</v>
      </c>
      <c r="G4079" s="2" t="n">
        <f aca="false">'Raw Data'!W4079</f>
        <v>4</v>
      </c>
      <c r="H4079" s="2" t="n">
        <f aca="false">'Raw Data'!V4079</f>
        <v>1</v>
      </c>
      <c r="I4079" s="2" t="n">
        <f aca="false">IF(AND(ISNUMBER(B4079),B4079&lt;=25),2,0)+IF(AND(ISNUMBER(E4079),E4079&lt;=5),2,0)+IF(AND(ISNUMBER(F4079),F4079&lt;=1),2,0)+IF(AND(ISNUMBER(G4079),G4079&lt;=2),1,0)+IF(AND(ISNUMBER(H4079),H4079&lt;=2),1,0)</f>
        <v>1</v>
      </c>
      <c r="J4079" s="2" t="str">
        <f aca="false">IF(I4079&gt;=6,"High",IF(I4079&gt;=3,"Medium","Low"))</f>
        <v>Low</v>
      </c>
    </row>
    <row r="4080" customFormat="false" ht="15" hidden="false" customHeight="true" outlineLevel="0" collapsed="false">
      <c r="A4080" s="2" t="n">
        <f aca="false">'Raw Data'!H4080</f>
        <v>4079</v>
      </c>
      <c r="B4080" s="2" t="n">
        <f aca="false">'Raw Data'!A4080</f>
        <v>53</v>
      </c>
      <c r="C4080" s="2" t="str">
        <f aca="false">'Raw Data'!D4080</f>
        <v>Research &amp; Development</v>
      </c>
      <c r="D4080" s="2" t="str">
        <f aca="false">'Raw Data'!K4080</f>
        <v>Research Scientist</v>
      </c>
      <c r="E4080" s="2" t="n">
        <f aca="false">'Raw Data'!Q4080</f>
        <v>15</v>
      </c>
      <c r="F4080" s="2" t="n">
        <f aca="false">'Raw Data'!U4080</f>
        <v>2</v>
      </c>
      <c r="G4080" s="2" t="n">
        <f aca="false">'Raw Data'!W4080</f>
        <v>1</v>
      </c>
      <c r="H4080" s="2" t="n">
        <f aca="false">'Raw Data'!V4080</f>
        <v>1</v>
      </c>
      <c r="I4080" s="2" t="n">
        <f aca="false">IF(AND(ISNUMBER(B4080),B4080&lt;=25),2,0)+IF(AND(ISNUMBER(E4080),E4080&lt;=5),2,0)+IF(AND(ISNUMBER(F4080),F4080&lt;=1),2,0)+IF(AND(ISNUMBER(G4080),G4080&lt;=2),1,0)+IF(AND(ISNUMBER(H4080),H4080&lt;=2),1,0)</f>
        <v>2</v>
      </c>
      <c r="J4080" s="2" t="str">
        <f aca="false">IF(I4080&gt;=6,"High",IF(I4080&gt;=3,"Medium","Low"))</f>
        <v>Low</v>
      </c>
    </row>
    <row r="4081" customFormat="false" ht="15" hidden="false" customHeight="true" outlineLevel="0" collapsed="false">
      <c r="A4081" s="2" t="n">
        <f aca="false">'Raw Data'!H4081</f>
        <v>4080</v>
      </c>
      <c r="B4081" s="2" t="n">
        <f aca="false">'Raw Data'!A4081</f>
        <v>54</v>
      </c>
      <c r="C4081" s="2" t="str">
        <f aca="false">'Raw Data'!D4081</f>
        <v>Research &amp; Development</v>
      </c>
      <c r="D4081" s="2" t="str">
        <f aca="false">'Raw Data'!K4081</f>
        <v>Research Scientist</v>
      </c>
      <c r="E4081" s="2" t="n">
        <f aca="false">'Raw Data'!Q4081</f>
        <v>9</v>
      </c>
      <c r="F4081" s="2" t="n">
        <f aca="false">'Raw Data'!U4081</f>
        <v>3</v>
      </c>
      <c r="G4081" s="2" t="n">
        <f aca="false">'Raw Data'!W4081</f>
        <v>3</v>
      </c>
      <c r="H4081" s="2" t="n">
        <f aca="false">'Raw Data'!V4081</f>
        <v>1</v>
      </c>
      <c r="I4081" s="2" t="n">
        <f aca="false">IF(AND(ISNUMBER(B4081),B4081&lt;=25),2,0)+IF(AND(ISNUMBER(E4081),E4081&lt;=5),2,0)+IF(AND(ISNUMBER(F4081),F4081&lt;=1),2,0)+IF(AND(ISNUMBER(G4081),G4081&lt;=2),1,0)+IF(AND(ISNUMBER(H4081),H4081&lt;=2),1,0)</f>
        <v>1</v>
      </c>
      <c r="J4081" s="2" t="str">
        <f aca="false">IF(I4081&gt;=6,"High",IF(I4081&gt;=3,"Medium","Low"))</f>
        <v>Low</v>
      </c>
    </row>
    <row r="4082" customFormat="false" ht="15" hidden="false" customHeight="true" outlineLevel="0" collapsed="false">
      <c r="A4082" s="2" t="n">
        <f aca="false">'Raw Data'!H4082</f>
        <v>4081</v>
      </c>
      <c r="B4082" s="2" t="n">
        <f aca="false">'Raw Data'!A4082</f>
        <v>33</v>
      </c>
      <c r="C4082" s="2" t="str">
        <f aca="false">'Raw Data'!D4082</f>
        <v>Research &amp; Development</v>
      </c>
      <c r="D4082" s="2" t="str">
        <f aca="false">'Raw Data'!K4082</f>
        <v>Sales Executive</v>
      </c>
      <c r="E4082" s="2" t="n">
        <f aca="false">'Raw Data'!Q4082</f>
        <v>9</v>
      </c>
      <c r="F4082" s="2" t="n">
        <f aca="false">'Raw Data'!U4082</f>
        <v>8</v>
      </c>
      <c r="G4082" s="2" t="n">
        <f aca="false">'Raw Data'!W4082</f>
        <v>3</v>
      </c>
      <c r="H4082" s="2" t="n">
        <f aca="false">'Raw Data'!V4082</f>
        <v>4</v>
      </c>
      <c r="I4082" s="2" t="n">
        <f aca="false">IF(AND(ISNUMBER(B4082),B4082&lt;=25),2,0)+IF(AND(ISNUMBER(E4082),E4082&lt;=5),2,0)+IF(AND(ISNUMBER(F4082),F4082&lt;=1),2,0)+IF(AND(ISNUMBER(G4082),G4082&lt;=2),1,0)+IF(AND(ISNUMBER(H4082),H4082&lt;=2),1,0)</f>
        <v>0</v>
      </c>
      <c r="J4082" s="2" t="str">
        <f aca="false">IF(I4082&gt;=6,"High",IF(I4082&gt;=3,"Medium","Low"))</f>
        <v>Low</v>
      </c>
    </row>
    <row r="4083" customFormat="false" ht="15" hidden="false" customHeight="true" outlineLevel="0" collapsed="false">
      <c r="A4083" s="2" t="n">
        <f aca="false">'Raw Data'!H4083</f>
        <v>4082</v>
      </c>
      <c r="B4083" s="2" t="n">
        <f aca="false">'Raw Data'!A4083</f>
        <v>43</v>
      </c>
      <c r="C4083" s="2" t="str">
        <f aca="false">'Raw Data'!D4083</f>
        <v>Research &amp; Development</v>
      </c>
      <c r="D4083" s="2" t="str">
        <f aca="false">'Raw Data'!K4083</f>
        <v>Research Scientist</v>
      </c>
      <c r="E4083" s="2" t="n">
        <f aca="false">'Raw Data'!Q4083</f>
        <v>10</v>
      </c>
      <c r="F4083" s="2" t="n">
        <f aca="false">'Raw Data'!U4083</f>
        <v>9</v>
      </c>
      <c r="G4083" s="2" t="n">
        <f aca="false">'Raw Data'!W4083</f>
        <v>3</v>
      </c>
      <c r="H4083" s="2" t="n">
        <f aca="false">'Raw Data'!V4083</f>
        <v>1</v>
      </c>
      <c r="I4083" s="2" t="n">
        <f aca="false">IF(AND(ISNUMBER(B4083),B4083&lt;=25),2,0)+IF(AND(ISNUMBER(E4083),E4083&lt;=5),2,0)+IF(AND(ISNUMBER(F4083),F4083&lt;=1),2,0)+IF(AND(ISNUMBER(G4083),G4083&lt;=2),1,0)+IF(AND(ISNUMBER(H4083),H4083&lt;=2),1,0)</f>
        <v>1</v>
      </c>
      <c r="J4083" s="2" t="str">
        <f aca="false">IF(I4083&gt;=6,"High",IF(I4083&gt;=3,"Medium","Low"))</f>
        <v>Low</v>
      </c>
    </row>
    <row r="4084" customFormat="false" ht="15" hidden="false" customHeight="true" outlineLevel="0" collapsed="false">
      <c r="A4084" s="2" t="n">
        <f aca="false">'Raw Data'!H4084</f>
        <v>4083</v>
      </c>
      <c r="B4084" s="2" t="n">
        <f aca="false">'Raw Data'!A4084</f>
        <v>38</v>
      </c>
      <c r="C4084" s="2" t="str">
        <f aca="false">'Raw Data'!D4084</f>
        <v>Research &amp; Development</v>
      </c>
      <c r="D4084" s="2" t="str">
        <f aca="false">'Raw Data'!K4084</f>
        <v>Sales Executive</v>
      </c>
      <c r="E4084" s="2" t="n">
        <f aca="false">'Raw Data'!Q4084</f>
        <v>7</v>
      </c>
      <c r="F4084" s="2" t="n">
        <f aca="false">'Raw Data'!U4084</f>
        <v>2</v>
      </c>
      <c r="G4084" s="2" t="n">
        <f aca="false">'Raw Data'!W4084</f>
        <v>2</v>
      </c>
      <c r="H4084" s="2" t="n">
        <f aca="false">'Raw Data'!V4084</f>
        <v>4</v>
      </c>
      <c r="I4084" s="2" t="n">
        <f aca="false">IF(AND(ISNUMBER(B4084),B4084&lt;=25),2,0)+IF(AND(ISNUMBER(E4084),E4084&lt;=5),2,0)+IF(AND(ISNUMBER(F4084),F4084&lt;=1),2,0)+IF(AND(ISNUMBER(G4084),G4084&lt;=2),1,0)+IF(AND(ISNUMBER(H4084),H4084&lt;=2),1,0)</f>
        <v>1</v>
      </c>
      <c r="J4084" s="2" t="str">
        <f aca="false">IF(I4084&gt;=6,"High",IF(I4084&gt;=3,"Medium","Low"))</f>
        <v>Low</v>
      </c>
    </row>
    <row r="4085" customFormat="false" ht="15" hidden="false" customHeight="true" outlineLevel="0" collapsed="false">
      <c r="A4085" s="2" t="n">
        <f aca="false">'Raw Data'!H4085</f>
        <v>4084</v>
      </c>
      <c r="B4085" s="2" t="n">
        <f aca="false">'Raw Data'!A4085</f>
        <v>55</v>
      </c>
      <c r="C4085" s="2" t="str">
        <f aca="false">'Raw Data'!D4085</f>
        <v>Sales</v>
      </c>
      <c r="D4085" s="2" t="str">
        <f aca="false">'Raw Data'!K4085</f>
        <v>Laboratory Technician</v>
      </c>
      <c r="E4085" s="2" t="n">
        <f aca="false">'Raw Data'!Q4085</f>
        <v>35</v>
      </c>
      <c r="F4085" s="2" t="n">
        <f aca="false">'Raw Data'!U4085</f>
        <v>4</v>
      </c>
      <c r="G4085" s="2" t="n">
        <f aca="false">'Raw Data'!W4085</f>
        <v>2</v>
      </c>
      <c r="H4085" s="2" t="n">
        <f aca="false">'Raw Data'!V4085</f>
        <v>3</v>
      </c>
      <c r="I4085" s="2" t="n">
        <f aca="false">IF(AND(ISNUMBER(B4085),B4085&lt;=25),2,0)+IF(AND(ISNUMBER(E4085),E4085&lt;=5),2,0)+IF(AND(ISNUMBER(F4085),F4085&lt;=1),2,0)+IF(AND(ISNUMBER(G4085),G4085&lt;=2),1,0)+IF(AND(ISNUMBER(H4085),H4085&lt;=2),1,0)</f>
        <v>1</v>
      </c>
      <c r="J4085" s="2" t="str">
        <f aca="false">IF(I4085&gt;=6,"High",IF(I4085&gt;=3,"Medium","Low"))</f>
        <v>Low</v>
      </c>
    </row>
    <row r="4086" customFormat="false" ht="15" hidden="false" customHeight="true" outlineLevel="0" collapsed="false">
      <c r="A4086" s="2" t="n">
        <f aca="false">'Raw Data'!H4086</f>
        <v>4085</v>
      </c>
      <c r="B4086" s="2" t="n">
        <f aca="false">'Raw Data'!A4086</f>
        <v>31</v>
      </c>
      <c r="C4086" s="2" t="str">
        <f aca="false">'Raw Data'!D4086</f>
        <v>Sales</v>
      </c>
      <c r="D4086" s="2" t="str">
        <f aca="false">'Raw Data'!K4086</f>
        <v>Manufacturing Director</v>
      </c>
      <c r="E4086" s="2" t="n">
        <f aca="false">'Raw Data'!Q4086</f>
        <v>1</v>
      </c>
      <c r="F4086" s="2" t="n">
        <f aca="false">'Raw Data'!U4086</f>
        <v>0</v>
      </c>
      <c r="G4086" s="2" t="n">
        <f aca="false">'Raw Data'!W4086</f>
        <v>4</v>
      </c>
      <c r="H4086" s="2" t="n">
        <f aca="false">'Raw Data'!V4086</f>
        <v>4</v>
      </c>
      <c r="I4086" s="2" t="n">
        <f aca="false">IF(AND(ISNUMBER(B4086),B4086&lt;=25),2,0)+IF(AND(ISNUMBER(E4086),E4086&lt;=5),2,0)+IF(AND(ISNUMBER(F4086),F4086&lt;=1),2,0)+IF(AND(ISNUMBER(G4086),G4086&lt;=2),1,0)+IF(AND(ISNUMBER(H4086),H4086&lt;=2),1,0)</f>
        <v>4</v>
      </c>
      <c r="J4086" s="2" t="str">
        <f aca="false">IF(I4086&gt;=6,"High",IF(I4086&gt;=3,"Medium","Low"))</f>
        <v>Medium</v>
      </c>
    </row>
    <row r="4087" customFormat="false" ht="15" hidden="false" customHeight="true" outlineLevel="0" collapsed="false">
      <c r="A4087" s="2" t="n">
        <f aca="false">'Raw Data'!H4087</f>
        <v>4086</v>
      </c>
      <c r="B4087" s="2" t="n">
        <f aca="false">'Raw Data'!A4087</f>
        <v>39</v>
      </c>
      <c r="C4087" s="2" t="str">
        <f aca="false">'Raw Data'!D4087</f>
        <v>Research &amp; Development</v>
      </c>
      <c r="D4087" s="2" t="str">
        <f aca="false">'Raw Data'!K4087</f>
        <v>Sales Executive</v>
      </c>
      <c r="E4087" s="2" t="n">
        <f aca="false">'Raw Data'!Q4087</f>
        <v>21</v>
      </c>
      <c r="F4087" s="2" t="n">
        <f aca="false">'Raw Data'!U4087</f>
        <v>10</v>
      </c>
      <c r="G4087" s="2" t="n">
        <f aca="false">'Raw Data'!W4087</f>
        <v>1</v>
      </c>
      <c r="H4087" s="2" t="n">
        <f aca="false">'Raw Data'!V4087</f>
        <v>2</v>
      </c>
      <c r="I4087" s="2" t="n">
        <f aca="false">IF(AND(ISNUMBER(B4087),B4087&lt;=25),2,0)+IF(AND(ISNUMBER(E4087),E4087&lt;=5),2,0)+IF(AND(ISNUMBER(F4087),F4087&lt;=1),2,0)+IF(AND(ISNUMBER(G4087),G4087&lt;=2),1,0)+IF(AND(ISNUMBER(H4087),H4087&lt;=2),1,0)</f>
        <v>2</v>
      </c>
      <c r="J4087" s="2" t="str">
        <f aca="false">IF(I4087&gt;=6,"High",IF(I4087&gt;=3,"Medium","Low"))</f>
        <v>Low</v>
      </c>
    </row>
    <row r="4088" customFormat="false" ht="15" hidden="false" customHeight="true" outlineLevel="0" collapsed="false">
      <c r="A4088" s="2" t="n">
        <f aca="false">'Raw Data'!H4088</f>
        <v>4087</v>
      </c>
      <c r="B4088" s="2" t="n">
        <f aca="false">'Raw Data'!A4088</f>
        <v>42</v>
      </c>
      <c r="C4088" s="2" t="str">
        <f aca="false">'Raw Data'!D4088</f>
        <v>Research &amp; Development</v>
      </c>
      <c r="D4088" s="2" t="str">
        <f aca="false">'Raw Data'!K4088</f>
        <v>Research Scientist</v>
      </c>
      <c r="E4088" s="2" t="n">
        <f aca="false">'Raw Data'!Q4088</f>
        <v>20</v>
      </c>
      <c r="F4088" s="2" t="n">
        <f aca="false">'Raw Data'!U4088</f>
        <v>7</v>
      </c>
      <c r="G4088" s="2" t="n">
        <f aca="false">'Raw Data'!W4088</f>
        <v>3</v>
      </c>
      <c r="H4088" s="2" t="n">
        <f aca="false">'Raw Data'!V4088</f>
        <v>4</v>
      </c>
      <c r="I4088" s="2" t="n">
        <f aca="false">IF(AND(ISNUMBER(B4088),B4088&lt;=25),2,0)+IF(AND(ISNUMBER(E4088),E4088&lt;=5),2,0)+IF(AND(ISNUMBER(F4088),F4088&lt;=1),2,0)+IF(AND(ISNUMBER(G4088),G4088&lt;=2),1,0)+IF(AND(ISNUMBER(H4088),H4088&lt;=2),1,0)</f>
        <v>0</v>
      </c>
      <c r="J4088" s="2" t="str">
        <f aca="false">IF(I4088&gt;=6,"High",IF(I4088&gt;=3,"Medium","Low"))</f>
        <v>Low</v>
      </c>
    </row>
    <row r="4089" customFormat="false" ht="15" hidden="false" customHeight="true" outlineLevel="0" collapsed="false">
      <c r="A4089" s="2" t="n">
        <f aca="false">'Raw Data'!H4089</f>
        <v>4088</v>
      </c>
      <c r="B4089" s="2" t="n">
        <f aca="false">'Raw Data'!A4089</f>
        <v>31</v>
      </c>
      <c r="C4089" s="2" t="str">
        <f aca="false">'Raw Data'!D4089</f>
        <v>Research &amp; Development</v>
      </c>
      <c r="D4089" s="2" t="str">
        <f aca="false">'Raw Data'!K4089</f>
        <v>Healthcare Representative</v>
      </c>
      <c r="E4089" s="2" t="n">
        <f aca="false">'Raw Data'!Q4089</f>
        <v>13</v>
      </c>
      <c r="F4089" s="2" t="n">
        <f aca="false">'Raw Data'!U4089</f>
        <v>8</v>
      </c>
      <c r="G4089" s="2" t="n">
        <f aca="false">'Raw Data'!W4089</f>
        <v>3</v>
      </c>
      <c r="H4089" s="2" t="n">
        <f aca="false">'Raw Data'!V4089</f>
        <v>3</v>
      </c>
      <c r="I4089" s="2" t="n">
        <f aca="false">IF(AND(ISNUMBER(B4089),B4089&lt;=25),2,0)+IF(AND(ISNUMBER(E4089),E4089&lt;=5),2,0)+IF(AND(ISNUMBER(F4089),F4089&lt;=1),2,0)+IF(AND(ISNUMBER(G4089),G4089&lt;=2),1,0)+IF(AND(ISNUMBER(H4089),H4089&lt;=2),1,0)</f>
        <v>0</v>
      </c>
      <c r="J4089" s="2" t="str">
        <f aca="false">IF(I4089&gt;=6,"High",IF(I4089&gt;=3,"Medium","Low"))</f>
        <v>Low</v>
      </c>
    </row>
    <row r="4090" customFormat="false" ht="15" hidden="false" customHeight="true" outlineLevel="0" collapsed="false">
      <c r="A4090" s="2" t="n">
        <f aca="false">'Raw Data'!H4090</f>
        <v>4089</v>
      </c>
      <c r="B4090" s="2" t="n">
        <f aca="false">'Raw Data'!A4090</f>
        <v>54</v>
      </c>
      <c r="C4090" s="2" t="str">
        <f aca="false">'Raw Data'!D4090</f>
        <v>Research &amp; Development</v>
      </c>
      <c r="D4090" s="2" t="str">
        <f aca="false">'Raw Data'!K4090</f>
        <v>Human Resources</v>
      </c>
      <c r="E4090" s="2" t="n">
        <f aca="false">'Raw Data'!Q4090</f>
        <v>9</v>
      </c>
      <c r="F4090" s="2" t="n">
        <f aca="false">'Raw Data'!U4090</f>
        <v>4</v>
      </c>
      <c r="G4090" s="2" t="n">
        <f aca="false">'Raw Data'!W4090</f>
        <v>1</v>
      </c>
      <c r="H4090" s="2" t="n">
        <f aca="false">'Raw Data'!V4090</f>
        <v>3</v>
      </c>
      <c r="I4090" s="2" t="n">
        <f aca="false">IF(AND(ISNUMBER(B4090),B4090&lt;=25),2,0)+IF(AND(ISNUMBER(E4090),E4090&lt;=5),2,0)+IF(AND(ISNUMBER(F4090),F4090&lt;=1),2,0)+IF(AND(ISNUMBER(G4090),G4090&lt;=2),1,0)+IF(AND(ISNUMBER(H4090),H4090&lt;=2),1,0)</f>
        <v>1</v>
      </c>
      <c r="J4090" s="2" t="str">
        <f aca="false">IF(I4090&gt;=6,"High",IF(I4090&gt;=3,"Medium","Low"))</f>
        <v>Low</v>
      </c>
    </row>
    <row r="4091" customFormat="false" ht="15" hidden="false" customHeight="true" outlineLevel="0" collapsed="false">
      <c r="A4091" s="2" t="n">
        <f aca="false">'Raw Data'!H4091</f>
        <v>4090</v>
      </c>
      <c r="B4091" s="2" t="n">
        <f aca="false">'Raw Data'!A4091</f>
        <v>24</v>
      </c>
      <c r="C4091" s="2" t="str">
        <f aca="false">'Raw Data'!D4091</f>
        <v>Research &amp; Development</v>
      </c>
      <c r="D4091" s="2" t="str">
        <f aca="false">'Raw Data'!K4091</f>
        <v>Manufacturing Director</v>
      </c>
      <c r="E4091" s="2" t="n">
        <f aca="false">'Raw Data'!Q4091</f>
        <v>4</v>
      </c>
      <c r="F4091" s="2" t="n">
        <f aca="false">'Raw Data'!U4091</f>
        <v>2</v>
      </c>
      <c r="G4091" s="2" t="n">
        <f aca="false">'Raw Data'!W4091</f>
        <v>3</v>
      </c>
      <c r="H4091" s="2" t="n">
        <f aca="false">'Raw Data'!V4091</f>
        <v>2</v>
      </c>
      <c r="I4091" s="2" t="n">
        <f aca="false">IF(AND(ISNUMBER(B4091),B4091&lt;=25),2,0)+IF(AND(ISNUMBER(E4091),E4091&lt;=5),2,0)+IF(AND(ISNUMBER(F4091),F4091&lt;=1),2,0)+IF(AND(ISNUMBER(G4091),G4091&lt;=2),1,0)+IF(AND(ISNUMBER(H4091),H4091&lt;=2),1,0)</f>
        <v>5</v>
      </c>
      <c r="J4091" s="2" t="str">
        <f aca="false">IF(I4091&gt;=6,"High",IF(I4091&gt;=3,"Medium","Low"))</f>
        <v>Medium</v>
      </c>
    </row>
    <row r="4092" customFormat="false" ht="15" hidden="false" customHeight="true" outlineLevel="0" collapsed="false">
      <c r="A4092" s="2" t="n">
        <f aca="false">'Raw Data'!H4092</f>
        <v>4091</v>
      </c>
      <c r="B4092" s="2" t="n">
        <f aca="false">'Raw Data'!A4092</f>
        <v>23</v>
      </c>
      <c r="C4092" s="2" t="str">
        <f aca="false">'Raw Data'!D4092</f>
        <v>Research &amp; Development</v>
      </c>
      <c r="D4092" s="2" t="str">
        <f aca="false">'Raw Data'!K4092</f>
        <v>Research Scientist</v>
      </c>
      <c r="E4092" s="2" t="n">
        <f aca="false">'Raw Data'!Q4092</f>
        <v>5</v>
      </c>
      <c r="F4092" s="2" t="n">
        <f aca="false">'Raw Data'!U4092</f>
        <v>4</v>
      </c>
      <c r="G4092" s="2" t="n">
        <f aca="false">'Raw Data'!W4092</f>
        <v>4</v>
      </c>
      <c r="H4092" s="2" t="n">
        <f aca="false">'Raw Data'!V4092</f>
        <v>4</v>
      </c>
      <c r="I4092" s="2" t="n">
        <f aca="false">IF(AND(ISNUMBER(B4092),B4092&lt;=25),2,0)+IF(AND(ISNUMBER(E4092),E4092&lt;=5),2,0)+IF(AND(ISNUMBER(F4092),F4092&lt;=1),2,0)+IF(AND(ISNUMBER(G4092),G4092&lt;=2),1,0)+IF(AND(ISNUMBER(H4092),H4092&lt;=2),1,0)</f>
        <v>4</v>
      </c>
      <c r="J4092" s="2" t="str">
        <f aca="false">IF(I4092&gt;=6,"High",IF(I4092&gt;=3,"Medium","Low"))</f>
        <v>Medium</v>
      </c>
    </row>
    <row r="4093" customFormat="false" ht="15" hidden="false" customHeight="true" outlineLevel="0" collapsed="false">
      <c r="A4093" s="2" t="n">
        <f aca="false">'Raw Data'!H4093</f>
        <v>4092</v>
      </c>
      <c r="B4093" s="2" t="n">
        <f aca="false">'Raw Data'!A4093</f>
        <v>40</v>
      </c>
      <c r="C4093" s="2" t="str">
        <f aca="false">'Raw Data'!D4093</f>
        <v>Research &amp; Development</v>
      </c>
      <c r="D4093" s="2" t="str">
        <f aca="false">'Raw Data'!K4093</f>
        <v>Research Scientist</v>
      </c>
      <c r="E4093" s="2" t="n">
        <f aca="false">'Raw Data'!Q4093</f>
        <v>10</v>
      </c>
      <c r="F4093" s="2" t="n">
        <f aca="false">'Raw Data'!U4093</f>
        <v>4</v>
      </c>
      <c r="G4093" s="2" t="n">
        <f aca="false">'Raw Data'!W4093</f>
        <v>3</v>
      </c>
      <c r="H4093" s="2" t="n">
        <f aca="false">'Raw Data'!V4093</f>
        <v>4</v>
      </c>
      <c r="I4093" s="2" t="n">
        <f aca="false">IF(AND(ISNUMBER(B4093),B4093&lt;=25),2,0)+IF(AND(ISNUMBER(E4093),E4093&lt;=5),2,0)+IF(AND(ISNUMBER(F4093),F4093&lt;=1),2,0)+IF(AND(ISNUMBER(G4093),G4093&lt;=2),1,0)+IF(AND(ISNUMBER(H4093),H4093&lt;=2),1,0)</f>
        <v>0</v>
      </c>
      <c r="J4093" s="2" t="str">
        <f aca="false">IF(I4093&gt;=6,"High",IF(I4093&gt;=3,"Medium","Low"))</f>
        <v>Low</v>
      </c>
    </row>
    <row r="4094" customFormat="false" ht="15" hidden="false" customHeight="true" outlineLevel="0" collapsed="false">
      <c r="A4094" s="2" t="n">
        <f aca="false">'Raw Data'!H4094</f>
        <v>4093</v>
      </c>
      <c r="B4094" s="2" t="n">
        <f aca="false">'Raw Data'!A4094</f>
        <v>40</v>
      </c>
      <c r="C4094" s="2" t="str">
        <f aca="false">'Raw Data'!D4094</f>
        <v>Research &amp; Development</v>
      </c>
      <c r="D4094" s="2" t="str">
        <f aca="false">'Raw Data'!K4094</f>
        <v>Research Scientist</v>
      </c>
      <c r="E4094" s="2" t="n">
        <f aca="false">'Raw Data'!Q4094</f>
        <v>15</v>
      </c>
      <c r="F4094" s="2" t="n">
        <f aca="false">'Raw Data'!U4094</f>
        <v>10</v>
      </c>
      <c r="G4094" s="2" t="n">
        <f aca="false">'Raw Data'!W4094</f>
        <v>2</v>
      </c>
      <c r="H4094" s="2" t="n">
        <f aca="false">'Raw Data'!V4094</f>
        <v>2</v>
      </c>
      <c r="I4094" s="2" t="n">
        <f aca="false">IF(AND(ISNUMBER(B4094),B4094&lt;=25),2,0)+IF(AND(ISNUMBER(E4094),E4094&lt;=5),2,0)+IF(AND(ISNUMBER(F4094),F4094&lt;=1),2,0)+IF(AND(ISNUMBER(G4094),G4094&lt;=2),1,0)+IF(AND(ISNUMBER(H4094),H4094&lt;=2),1,0)</f>
        <v>2</v>
      </c>
      <c r="J4094" s="2" t="str">
        <f aca="false">IF(I4094&gt;=6,"High",IF(I4094&gt;=3,"Medium","Low"))</f>
        <v>Low</v>
      </c>
    </row>
    <row r="4095" customFormat="false" ht="15" hidden="false" customHeight="true" outlineLevel="0" collapsed="false">
      <c r="A4095" s="2" t="n">
        <f aca="false">'Raw Data'!H4095</f>
        <v>4094</v>
      </c>
      <c r="B4095" s="2" t="n">
        <f aca="false">'Raw Data'!A4095</f>
        <v>25</v>
      </c>
      <c r="C4095" s="2" t="str">
        <f aca="false">'Raw Data'!D4095</f>
        <v>Sales</v>
      </c>
      <c r="D4095" s="2" t="str">
        <f aca="false">'Raw Data'!K4095</f>
        <v>Laboratory Technician</v>
      </c>
      <c r="E4095" s="2" t="n">
        <f aca="false">'Raw Data'!Q4095</f>
        <v>6</v>
      </c>
      <c r="F4095" s="2" t="n">
        <f aca="false">'Raw Data'!U4095</f>
        <v>2</v>
      </c>
      <c r="G4095" s="2" t="n">
        <f aca="false">'Raw Data'!W4095</f>
        <v>2</v>
      </c>
      <c r="H4095" s="2" t="n">
        <f aca="false">'Raw Data'!V4095</f>
        <v>3</v>
      </c>
      <c r="I4095" s="2" t="n">
        <f aca="false">IF(AND(ISNUMBER(B4095),B4095&lt;=25),2,0)+IF(AND(ISNUMBER(E4095),E4095&lt;=5),2,0)+IF(AND(ISNUMBER(F4095),F4095&lt;=1),2,0)+IF(AND(ISNUMBER(G4095),G4095&lt;=2),1,0)+IF(AND(ISNUMBER(H4095),H4095&lt;=2),1,0)</f>
        <v>3</v>
      </c>
      <c r="J4095" s="2" t="str">
        <f aca="false">IF(I4095&gt;=6,"High",IF(I4095&gt;=3,"Medium","Low"))</f>
        <v>Medium</v>
      </c>
    </row>
    <row r="4096" customFormat="false" ht="15" hidden="false" customHeight="true" outlineLevel="0" collapsed="false">
      <c r="A4096" s="2" t="n">
        <f aca="false">'Raw Data'!H4096</f>
        <v>4095</v>
      </c>
      <c r="B4096" s="2" t="n">
        <f aca="false">'Raw Data'!A4096</f>
        <v>30</v>
      </c>
      <c r="C4096" s="2" t="str">
        <f aca="false">'Raw Data'!D4096</f>
        <v>Human Resources</v>
      </c>
      <c r="D4096" s="2" t="str">
        <f aca="false">'Raw Data'!K4096</f>
        <v>Research Scientist</v>
      </c>
      <c r="E4096" s="2" t="n">
        <f aca="false">'Raw Data'!Q4096</f>
        <v>12</v>
      </c>
      <c r="F4096" s="2" t="n">
        <f aca="false">'Raw Data'!U4096</f>
        <v>7</v>
      </c>
      <c r="G4096" s="2" t="n">
        <f aca="false">'Raw Data'!W4096</f>
        <v>2</v>
      </c>
      <c r="H4096" s="2" t="n">
        <f aca="false">'Raw Data'!V4096</f>
        <v>4</v>
      </c>
      <c r="I4096" s="2" t="n">
        <f aca="false">IF(AND(ISNUMBER(B4096),B4096&lt;=25),2,0)+IF(AND(ISNUMBER(E4096),E4096&lt;=5),2,0)+IF(AND(ISNUMBER(F4096),F4096&lt;=1),2,0)+IF(AND(ISNUMBER(G4096),G4096&lt;=2),1,0)+IF(AND(ISNUMBER(H4096),H4096&lt;=2),1,0)</f>
        <v>1</v>
      </c>
      <c r="J4096" s="2" t="str">
        <f aca="false">IF(I4096&gt;=6,"High",IF(I4096&gt;=3,"Medium","Low"))</f>
        <v>Low</v>
      </c>
    </row>
    <row r="4097" customFormat="false" ht="15" hidden="false" customHeight="true" outlineLevel="0" collapsed="false">
      <c r="A4097" s="2" t="n">
        <f aca="false">'Raw Data'!H4097</f>
        <v>4096</v>
      </c>
      <c r="B4097" s="2" t="n">
        <f aca="false">'Raw Data'!A4097</f>
        <v>25</v>
      </c>
      <c r="C4097" s="2" t="str">
        <f aca="false">'Raw Data'!D4097</f>
        <v>Research &amp; Development</v>
      </c>
      <c r="D4097" s="2" t="str">
        <f aca="false">'Raw Data'!K4097</f>
        <v>Sales Executive</v>
      </c>
      <c r="E4097" s="2" t="n">
        <f aca="false">'Raw Data'!Q4097</f>
        <v>7</v>
      </c>
      <c r="F4097" s="2" t="n">
        <f aca="false">'Raw Data'!U4097</f>
        <v>2</v>
      </c>
      <c r="G4097" s="2" t="n">
        <f aca="false">'Raw Data'!W4097</f>
        <v>3</v>
      </c>
      <c r="H4097" s="2" t="n">
        <f aca="false">'Raw Data'!V4097</f>
        <v>4</v>
      </c>
      <c r="I4097" s="2" t="n">
        <f aca="false">IF(AND(ISNUMBER(B4097),B4097&lt;=25),2,0)+IF(AND(ISNUMBER(E4097),E4097&lt;=5),2,0)+IF(AND(ISNUMBER(F4097),F4097&lt;=1),2,0)+IF(AND(ISNUMBER(G4097),G4097&lt;=2),1,0)+IF(AND(ISNUMBER(H4097),H4097&lt;=2),1,0)</f>
        <v>2</v>
      </c>
      <c r="J4097" s="2" t="str">
        <f aca="false">IF(I4097&gt;=6,"High",IF(I4097&gt;=3,"Medium","Low"))</f>
        <v>Low</v>
      </c>
    </row>
    <row r="4098" customFormat="false" ht="15" hidden="false" customHeight="true" outlineLevel="0" collapsed="false">
      <c r="A4098" s="2" t="n">
        <f aca="false">'Raw Data'!H4098</f>
        <v>4097</v>
      </c>
      <c r="B4098" s="2" t="n">
        <f aca="false">'Raw Data'!A4098</f>
        <v>47</v>
      </c>
      <c r="C4098" s="2" t="str">
        <f aca="false">'Raw Data'!D4098</f>
        <v>Research &amp; Development</v>
      </c>
      <c r="D4098" s="2" t="str">
        <f aca="false">'Raw Data'!K4098</f>
        <v>Sales Executive</v>
      </c>
      <c r="E4098" s="2" t="n">
        <f aca="false">'Raw Data'!Q4098</f>
        <v>25</v>
      </c>
      <c r="F4098" s="2" t="n">
        <f aca="false">'Raw Data'!U4098</f>
        <v>11</v>
      </c>
      <c r="G4098" s="2" t="n">
        <f aca="false">'Raw Data'!W4098</f>
        <v>3</v>
      </c>
      <c r="H4098" s="2" t="n">
        <f aca="false">'Raw Data'!V4098</f>
        <v>1</v>
      </c>
      <c r="I4098" s="2" t="n">
        <f aca="false">IF(AND(ISNUMBER(B4098),B4098&lt;=25),2,0)+IF(AND(ISNUMBER(E4098),E4098&lt;=5),2,0)+IF(AND(ISNUMBER(F4098),F4098&lt;=1),2,0)+IF(AND(ISNUMBER(G4098),G4098&lt;=2),1,0)+IF(AND(ISNUMBER(H4098),H4098&lt;=2),1,0)</f>
        <v>1</v>
      </c>
      <c r="J4098" s="2" t="str">
        <f aca="false">IF(I4098&gt;=6,"High",IF(I4098&gt;=3,"Medium","Low"))</f>
        <v>Low</v>
      </c>
    </row>
    <row r="4099" customFormat="false" ht="15" hidden="false" customHeight="true" outlineLevel="0" collapsed="false">
      <c r="A4099" s="2" t="n">
        <f aca="false">'Raw Data'!H4099</f>
        <v>4098</v>
      </c>
      <c r="B4099" s="2" t="n">
        <f aca="false">'Raw Data'!A4099</f>
        <v>33</v>
      </c>
      <c r="C4099" s="2" t="str">
        <f aca="false">'Raw Data'!D4099</f>
        <v>Research &amp; Development</v>
      </c>
      <c r="D4099" s="2" t="str">
        <f aca="false">'Raw Data'!K4099</f>
        <v>Research Scientist</v>
      </c>
      <c r="E4099" s="2" t="n">
        <f aca="false">'Raw Data'!Q4099</f>
        <v>1</v>
      </c>
      <c r="F4099" s="2" t="n">
        <f aca="false">'Raw Data'!U4099</f>
        <v>0</v>
      </c>
      <c r="G4099" s="2" t="n">
        <f aca="false">'Raw Data'!W4099</f>
        <v>3</v>
      </c>
      <c r="H4099" s="2" t="n">
        <f aca="false">'Raw Data'!V4099</f>
        <v>2</v>
      </c>
      <c r="I4099" s="2" t="n">
        <f aca="false">IF(AND(ISNUMBER(B4099),B4099&lt;=25),2,0)+IF(AND(ISNUMBER(E4099),E4099&lt;=5),2,0)+IF(AND(ISNUMBER(F4099),F4099&lt;=1),2,0)+IF(AND(ISNUMBER(G4099),G4099&lt;=2),1,0)+IF(AND(ISNUMBER(H4099),H4099&lt;=2),1,0)</f>
        <v>5</v>
      </c>
      <c r="J4099" s="2" t="str">
        <f aca="false">IF(I4099&gt;=6,"High",IF(I4099&gt;=3,"Medium","Low"))</f>
        <v>Medium</v>
      </c>
    </row>
    <row r="4100" customFormat="false" ht="15" hidden="false" customHeight="true" outlineLevel="0" collapsed="false">
      <c r="A4100" s="2" t="n">
        <f aca="false">'Raw Data'!H4100</f>
        <v>4099</v>
      </c>
      <c r="B4100" s="2" t="n">
        <f aca="false">'Raw Data'!A4100</f>
        <v>38</v>
      </c>
      <c r="C4100" s="2" t="str">
        <f aca="false">'Raw Data'!D4100</f>
        <v>Research &amp; Development</v>
      </c>
      <c r="D4100" s="2" t="str">
        <f aca="false">'Raw Data'!K4100</f>
        <v>Sales Executive</v>
      </c>
      <c r="E4100" s="2" t="n">
        <f aca="false">'Raw Data'!Q4100</f>
        <v>16</v>
      </c>
      <c r="F4100" s="2" t="n">
        <f aca="false">'Raw Data'!U4100</f>
        <v>8</v>
      </c>
      <c r="G4100" s="2" t="n">
        <f aca="false">'Raw Data'!W4100</f>
        <v>2</v>
      </c>
      <c r="H4100" s="2" t="n">
        <f aca="false">'Raw Data'!V4100</f>
        <v>4</v>
      </c>
      <c r="I4100" s="2" t="n">
        <f aca="false">IF(AND(ISNUMBER(B4100),B4100&lt;=25),2,0)+IF(AND(ISNUMBER(E4100),E4100&lt;=5),2,0)+IF(AND(ISNUMBER(F4100),F4100&lt;=1),2,0)+IF(AND(ISNUMBER(G4100),G4100&lt;=2),1,0)+IF(AND(ISNUMBER(H4100),H4100&lt;=2),1,0)</f>
        <v>1</v>
      </c>
      <c r="J4100" s="2" t="str">
        <f aca="false">IF(I4100&gt;=6,"High",IF(I4100&gt;=3,"Medium","Low"))</f>
        <v>Low</v>
      </c>
    </row>
    <row r="4101" customFormat="false" ht="15" hidden="false" customHeight="true" outlineLevel="0" collapsed="false">
      <c r="A4101" s="2" t="n">
        <f aca="false">'Raw Data'!H4101</f>
        <v>4100</v>
      </c>
      <c r="B4101" s="2" t="n">
        <f aca="false">'Raw Data'!A4101</f>
        <v>31</v>
      </c>
      <c r="C4101" s="2" t="str">
        <f aca="false">'Raw Data'!D4101</f>
        <v>Research &amp; Development</v>
      </c>
      <c r="D4101" s="2" t="str">
        <f aca="false">'Raw Data'!K4101</f>
        <v>Sales Executive</v>
      </c>
      <c r="E4101" s="2" t="n">
        <f aca="false">'Raw Data'!Q4101</f>
        <v>3</v>
      </c>
      <c r="F4101" s="2" t="n">
        <f aca="false">'Raw Data'!U4101</f>
        <v>2</v>
      </c>
      <c r="G4101" s="2" t="n">
        <f aca="false">'Raw Data'!W4101</f>
        <v>3</v>
      </c>
      <c r="H4101" s="2" t="n">
        <f aca="false">'Raw Data'!V4101</f>
        <v>1</v>
      </c>
      <c r="I4101" s="2" t="n">
        <f aca="false">IF(AND(ISNUMBER(B4101),B4101&lt;=25),2,0)+IF(AND(ISNUMBER(E4101),E4101&lt;=5),2,0)+IF(AND(ISNUMBER(F4101),F4101&lt;=1),2,0)+IF(AND(ISNUMBER(G4101),G4101&lt;=2),1,0)+IF(AND(ISNUMBER(H4101),H4101&lt;=2),1,0)</f>
        <v>3</v>
      </c>
      <c r="J4101" s="2" t="str">
        <f aca="false">IF(I4101&gt;=6,"High",IF(I4101&gt;=3,"Medium","Low"))</f>
        <v>Medium</v>
      </c>
    </row>
    <row r="4102" customFormat="false" ht="15" hidden="false" customHeight="true" outlineLevel="0" collapsed="false">
      <c r="A4102" s="2" t="n">
        <f aca="false">'Raw Data'!H4102</f>
        <v>4101</v>
      </c>
      <c r="B4102" s="2" t="n">
        <f aca="false">'Raw Data'!A4102</f>
        <v>38</v>
      </c>
      <c r="C4102" s="2" t="str">
        <f aca="false">'Raw Data'!D4102</f>
        <v>Research &amp; Development</v>
      </c>
      <c r="D4102" s="2" t="str">
        <f aca="false">'Raw Data'!K4102</f>
        <v>Research Scientist</v>
      </c>
      <c r="E4102" s="2" t="n">
        <f aca="false">'Raw Data'!Q4102</f>
        <v>10</v>
      </c>
      <c r="F4102" s="2" t="n">
        <f aca="false">'Raw Data'!U4102</f>
        <v>7</v>
      </c>
      <c r="G4102" s="2" t="n">
        <f aca="false">'Raw Data'!W4102</f>
        <v>3</v>
      </c>
      <c r="H4102" s="2" t="n">
        <f aca="false">'Raw Data'!V4102</f>
        <v>1</v>
      </c>
      <c r="I4102" s="2" t="n">
        <f aca="false">IF(AND(ISNUMBER(B4102),B4102&lt;=25),2,0)+IF(AND(ISNUMBER(E4102),E4102&lt;=5),2,0)+IF(AND(ISNUMBER(F4102),F4102&lt;=1),2,0)+IF(AND(ISNUMBER(G4102),G4102&lt;=2),1,0)+IF(AND(ISNUMBER(H4102),H4102&lt;=2),1,0)</f>
        <v>1</v>
      </c>
      <c r="J4102" s="2" t="str">
        <f aca="false">IF(I4102&gt;=6,"High",IF(I4102&gt;=3,"Medium","Low"))</f>
        <v>Low</v>
      </c>
    </row>
    <row r="4103" customFormat="false" ht="15" hidden="false" customHeight="true" outlineLevel="0" collapsed="false">
      <c r="A4103" s="2" t="n">
        <f aca="false">'Raw Data'!H4103</f>
        <v>4102</v>
      </c>
      <c r="B4103" s="2" t="n">
        <f aca="false">'Raw Data'!A4103</f>
        <v>42</v>
      </c>
      <c r="C4103" s="2" t="str">
        <f aca="false">'Raw Data'!D4103</f>
        <v>Research &amp; Development</v>
      </c>
      <c r="D4103" s="2" t="str">
        <f aca="false">'Raw Data'!K4103</f>
        <v>Laboratory Technician</v>
      </c>
      <c r="E4103" s="2" t="n">
        <f aca="false">'Raw Data'!Q4103</f>
        <v>9</v>
      </c>
      <c r="F4103" s="2" t="n">
        <f aca="false">'Raw Data'!U4103</f>
        <v>2</v>
      </c>
      <c r="G4103" s="2" t="n">
        <f aca="false">'Raw Data'!W4103</f>
        <v>1</v>
      </c>
      <c r="H4103" s="2" t="n">
        <f aca="false">'Raw Data'!V4103</f>
        <v>4</v>
      </c>
      <c r="I4103" s="2" t="n">
        <f aca="false">IF(AND(ISNUMBER(B4103),B4103&lt;=25),2,0)+IF(AND(ISNUMBER(E4103),E4103&lt;=5),2,0)+IF(AND(ISNUMBER(F4103),F4103&lt;=1),2,0)+IF(AND(ISNUMBER(G4103),G4103&lt;=2),1,0)+IF(AND(ISNUMBER(H4103),H4103&lt;=2),1,0)</f>
        <v>1</v>
      </c>
      <c r="J4103" s="2" t="str">
        <f aca="false">IF(I4103&gt;=6,"High",IF(I4103&gt;=3,"Medium","Low"))</f>
        <v>Low</v>
      </c>
    </row>
    <row r="4104" customFormat="false" ht="15" hidden="false" customHeight="true" outlineLevel="0" collapsed="false">
      <c r="A4104" s="2" t="n">
        <f aca="false">'Raw Data'!H4104</f>
        <v>4103</v>
      </c>
      <c r="B4104" s="2" t="n">
        <f aca="false">'Raw Data'!A4104</f>
        <v>41</v>
      </c>
      <c r="C4104" s="2" t="str">
        <f aca="false">'Raw Data'!D4104</f>
        <v>Sales</v>
      </c>
      <c r="D4104" s="2" t="str">
        <f aca="false">'Raw Data'!K4104</f>
        <v>Healthcare Representative</v>
      </c>
      <c r="E4104" s="2" t="n">
        <f aca="false">'Raw Data'!Q4104</f>
        <v>12</v>
      </c>
      <c r="F4104" s="2" t="n">
        <f aca="false">'Raw Data'!U4104</f>
        <v>0</v>
      </c>
      <c r="G4104" s="2" t="n">
        <f aca="false">'Raw Data'!W4104</f>
        <v>4</v>
      </c>
      <c r="H4104" s="2" t="n">
        <f aca="false">'Raw Data'!V4104</f>
        <v>4</v>
      </c>
      <c r="I4104" s="2" t="n">
        <f aca="false">IF(AND(ISNUMBER(B4104),B4104&lt;=25),2,0)+IF(AND(ISNUMBER(E4104),E4104&lt;=5),2,0)+IF(AND(ISNUMBER(F4104),F4104&lt;=1),2,0)+IF(AND(ISNUMBER(G4104),G4104&lt;=2),1,0)+IF(AND(ISNUMBER(H4104),H4104&lt;=2),1,0)</f>
        <v>2</v>
      </c>
      <c r="J4104" s="2" t="str">
        <f aca="false">IF(I4104&gt;=6,"High",IF(I4104&gt;=3,"Medium","Low"))</f>
        <v>Low</v>
      </c>
    </row>
    <row r="4105" customFormat="false" ht="15" hidden="false" customHeight="true" outlineLevel="0" collapsed="false">
      <c r="A4105" s="2" t="n">
        <f aca="false">'Raw Data'!H4105</f>
        <v>4104</v>
      </c>
      <c r="B4105" s="2" t="n">
        <f aca="false">'Raw Data'!A4105</f>
        <v>47</v>
      </c>
      <c r="C4105" s="2" t="str">
        <f aca="false">'Raw Data'!D4105</f>
        <v>Research &amp; Development</v>
      </c>
      <c r="D4105" s="2" t="str">
        <f aca="false">'Raw Data'!K4105</f>
        <v>Sales Executive</v>
      </c>
      <c r="E4105" s="2" t="n">
        <f aca="false">'Raw Data'!Q4105</f>
        <v>14</v>
      </c>
      <c r="F4105" s="2" t="n">
        <f aca="false">'Raw Data'!U4105</f>
        <v>12</v>
      </c>
      <c r="G4105" s="2" t="n">
        <f aca="false">'Raw Data'!W4105</f>
        <v>2</v>
      </c>
      <c r="H4105" s="2" t="n">
        <f aca="false">'Raw Data'!V4105</f>
        <v>3</v>
      </c>
      <c r="I4105" s="2" t="n">
        <f aca="false">IF(AND(ISNUMBER(B4105),B4105&lt;=25),2,0)+IF(AND(ISNUMBER(E4105),E4105&lt;=5),2,0)+IF(AND(ISNUMBER(F4105),F4105&lt;=1),2,0)+IF(AND(ISNUMBER(G4105),G4105&lt;=2),1,0)+IF(AND(ISNUMBER(H4105),H4105&lt;=2),1,0)</f>
        <v>1</v>
      </c>
      <c r="J4105" s="2" t="str">
        <f aca="false">IF(I4105&gt;=6,"High",IF(I4105&gt;=3,"Medium","Low"))</f>
        <v>Low</v>
      </c>
    </row>
    <row r="4106" customFormat="false" ht="15" hidden="false" customHeight="true" outlineLevel="0" collapsed="false">
      <c r="A4106" s="2" t="n">
        <f aca="false">'Raw Data'!H4106</f>
        <v>4105</v>
      </c>
      <c r="B4106" s="2" t="n">
        <f aca="false">'Raw Data'!A4106</f>
        <v>35</v>
      </c>
      <c r="C4106" s="2" t="str">
        <f aca="false">'Raw Data'!D4106</f>
        <v>Research &amp; Development</v>
      </c>
      <c r="D4106" s="2" t="str">
        <f aca="false">'Raw Data'!K4106</f>
        <v>Healthcare Representative</v>
      </c>
      <c r="E4106" s="2" t="n">
        <f aca="false">'Raw Data'!Q4106</f>
        <v>5</v>
      </c>
      <c r="F4106" s="2" t="n">
        <f aca="false">'Raw Data'!U4106</f>
        <v>2</v>
      </c>
      <c r="G4106" s="2" t="n">
        <f aca="false">'Raw Data'!W4106</f>
        <v>3</v>
      </c>
      <c r="H4106" s="2" t="n">
        <f aca="false">'Raw Data'!V4106</f>
        <v>4</v>
      </c>
      <c r="I4106" s="2" t="n">
        <f aca="false">IF(AND(ISNUMBER(B4106),B4106&lt;=25),2,0)+IF(AND(ISNUMBER(E4106),E4106&lt;=5),2,0)+IF(AND(ISNUMBER(F4106),F4106&lt;=1),2,0)+IF(AND(ISNUMBER(G4106),G4106&lt;=2),1,0)+IF(AND(ISNUMBER(H4106),H4106&lt;=2),1,0)</f>
        <v>2</v>
      </c>
      <c r="J4106" s="2" t="str">
        <f aca="false">IF(I4106&gt;=6,"High",IF(I4106&gt;=3,"Medium","Low"))</f>
        <v>Low</v>
      </c>
    </row>
    <row r="4107" customFormat="false" ht="15" hidden="false" customHeight="true" outlineLevel="0" collapsed="false">
      <c r="A4107" s="2" t="n">
        <f aca="false">'Raw Data'!H4107</f>
        <v>4106</v>
      </c>
      <c r="B4107" s="2" t="n">
        <f aca="false">'Raw Data'!A4107</f>
        <v>22</v>
      </c>
      <c r="C4107" s="2" t="str">
        <f aca="false">'Raw Data'!D4107</f>
        <v>Human Resources</v>
      </c>
      <c r="D4107" s="2" t="str">
        <f aca="false">'Raw Data'!K4107</f>
        <v>Sales Executive</v>
      </c>
      <c r="E4107" s="2" t="n">
        <f aca="false">'Raw Data'!Q4107</f>
        <v>4</v>
      </c>
      <c r="F4107" s="2" t="n">
        <f aca="false">'Raw Data'!U4107</f>
        <v>2</v>
      </c>
      <c r="G4107" s="2" t="n">
        <f aca="false">'Raw Data'!W4107</f>
        <v>3</v>
      </c>
      <c r="H4107" s="2" t="n">
        <f aca="false">'Raw Data'!V4107</f>
        <v>4</v>
      </c>
      <c r="I4107" s="2" t="n">
        <f aca="false">IF(AND(ISNUMBER(B4107),B4107&lt;=25),2,0)+IF(AND(ISNUMBER(E4107),E4107&lt;=5),2,0)+IF(AND(ISNUMBER(F4107),F4107&lt;=1),2,0)+IF(AND(ISNUMBER(G4107),G4107&lt;=2),1,0)+IF(AND(ISNUMBER(H4107),H4107&lt;=2),1,0)</f>
        <v>4</v>
      </c>
      <c r="J4107" s="2" t="str">
        <f aca="false">IF(I4107&gt;=6,"High",IF(I4107&gt;=3,"Medium","Low"))</f>
        <v>Medium</v>
      </c>
    </row>
    <row r="4108" customFormat="false" ht="15" hidden="false" customHeight="true" outlineLevel="0" collapsed="false">
      <c r="A4108" s="2" t="n">
        <f aca="false">'Raw Data'!H4108</f>
        <v>4107</v>
      </c>
      <c r="B4108" s="2" t="n">
        <f aca="false">'Raw Data'!A4108</f>
        <v>35</v>
      </c>
      <c r="C4108" s="2" t="str">
        <f aca="false">'Raw Data'!D4108</f>
        <v>Research &amp; Development</v>
      </c>
      <c r="D4108" s="2" t="str">
        <f aca="false">'Raw Data'!K4108</f>
        <v>Sales Executive</v>
      </c>
      <c r="E4108" s="2" t="n">
        <f aca="false">'Raw Data'!Q4108</f>
        <v>10</v>
      </c>
      <c r="F4108" s="2" t="n">
        <f aca="false">'Raw Data'!U4108</f>
        <v>8</v>
      </c>
      <c r="G4108" s="2" t="n">
        <f aca="false">'Raw Data'!W4108</f>
        <v>3</v>
      </c>
      <c r="H4108" s="2" t="n">
        <f aca="false">'Raw Data'!V4108</f>
        <v>2</v>
      </c>
      <c r="I4108" s="2" t="n">
        <f aca="false">IF(AND(ISNUMBER(B4108),B4108&lt;=25),2,0)+IF(AND(ISNUMBER(E4108),E4108&lt;=5),2,0)+IF(AND(ISNUMBER(F4108),F4108&lt;=1),2,0)+IF(AND(ISNUMBER(G4108),G4108&lt;=2),1,0)+IF(AND(ISNUMBER(H4108),H4108&lt;=2),1,0)</f>
        <v>1</v>
      </c>
      <c r="J4108" s="2" t="str">
        <f aca="false">IF(I4108&gt;=6,"High",IF(I4108&gt;=3,"Medium","Low"))</f>
        <v>Low</v>
      </c>
    </row>
    <row r="4109" customFormat="false" ht="15" hidden="false" customHeight="true" outlineLevel="0" collapsed="false">
      <c r="A4109" s="2" t="n">
        <f aca="false">'Raw Data'!H4109</f>
        <v>4108</v>
      </c>
      <c r="B4109" s="2" t="n">
        <f aca="false">'Raw Data'!A4109</f>
        <v>33</v>
      </c>
      <c r="C4109" s="2" t="str">
        <f aca="false">'Raw Data'!D4109</f>
        <v>Sales</v>
      </c>
      <c r="D4109" s="2" t="str">
        <f aca="false">'Raw Data'!K4109</f>
        <v>Healthcare Representative</v>
      </c>
      <c r="E4109" s="2" t="n">
        <f aca="false">'Raw Data'!Q4109</f>
        <v>10</v>
      </c>
      <c r="F4109" s="2" t="n">
        <f aca="false">'Raw Data'!U4109</f>
        <v>1</v>
      </c>
      <c r="G4109" s="2" t="n">
        <f aca="false">'Raw Data'!W4109</f>
        <v>4</v>
      </c>
      <c r="H4109" s="2" t="n">
        <f aca="false">'Raw Data'!V4109</f>
        <v>2</v>
      </c>
      <c r="I4109" s="2" t="n">
        <f aca="false">IF(AND(ISNUMBER(B4109),B4109&lt;=25),2,0)+IF(AND(ISNUMBER(E4109),E4109&lt;=5),2,0)+IF(AND(ISNUMBER(F4109),F4109&lt;=1),2,0)+IF(AND(ISNUMBER(G4109),G4109&lt;=2),1,0)+IF(AND(ISNUMBER(H4109),H4109&lt;=2),1,0)</f>
        <v>3</v>
      </c>
      <c r="J4109" s="2" t="str">
        <f aca="false">IF(I4109&gt;=6,"High",IF(I4109&gt;=3,"Medium","Low"))</f>
        <v>Medium</v>
      </c>
    </row>
    <row r="4110" customFormat="false" ht="15" hidden="false" customHeight="true" outlineLevel="0" collapsed="false">
      <c r="A4110" s="2" t="n">
        <f aca="false">'Raw Data'!H4110</f>
        <v>4109</v>
      </c>
      <c r="B4110" s="2" t="n">
        <f aca="false">'Raw Data'!A4110</f>
        <v>32</v>
      </c>
      <c r="C4110" s="2" t="str">
        <f aca="false">'Raw Data'!D4110</f>
        <v>Research &amp; Development</v>
      </c>
      <c r="D4110" s="2" t="str">
        <f aca="false">'Raw Data'!K4110</f>
        <v>Manufacturing Director</v>
      </c>
      <c r="E4110" s="2" t="n">
        <f aca="false">'Raw Data'!Q4110</f>
        <v>6</v>
      </c>
      <c r="F4110" s="2" t="n">
        <f aca="false">'Raw Data'!U4110</f>
        <v>1</v>
      </c>
      <c r="G4110" s="2" t="n">
        <f aca="false">'Raw Data'!W4110</f>
        <v>2</v>
      </c>
      <c r="H4110" s="2" t="n">
        <f aca="false">'Raw Data'!V4110</f>
        <v>3</v>
      </c>
      <c r="I4110" s="2" t="n">
        <f aca="false">IF(AND(ISNUMBER(B4110),B4110&lt;=25),2,0)+IF(AND(ISNUMBER(E4110),E4110&lt;=5),2,0)+IF(AND(ISNUMBER(F4110),F4110&lt;=1),2,0)+IF(AND(ISNUMBER(G4110),G4110&lt;=2),1,0)+IF(AND(ISNUMBER(H4110),H4110&lt;=2),1,0)</f>
        <v>3</v>
      </c>
      <c r="J4110" s="2" t="str">
        <f aca="false">IF(I4110&gt;=6,"High",IF(I4110&gt;=3,"Medium","Low"))</f>
        <v>Medium</v>
      </c>
    </row>
    <row r="4111" customFormat="false" ht="15" hidden="false" customHeight="true" outlineLevel="0" collapsed="false">
      <c r="A4111" s="2" t="n">
        <f aca="false">'Raw Data'!H4111</f>
        <v>4110</v>
      </c>
      <c r="B4111" s="2" t="n">
        <f aca="false">'Raw Data'!A4111</f>
        <v>40</v>
      </c>
      <c r="C4111" s="2" t="str">
        <f aca="false">'Raw Data'!D4111</f>
        <v>Research &amp; Development</v>
      </c>
      <c r="D4111" s="2" t="str">
        <f aca="false">'Raw Data'!K4111</f>
        <v>Research Director</v>
      </c>
      <c r="E4111" s="2" t="n">
        <f aca="false">'Raw Data'!Q4111</f>
        <v>8</v>
      </c>
      <c r="F4111" s="2" t="n">
        <f aca="false">'Raw Data'!U4111</f>
        <v>0</v>
      </c>
      <c r="G4111" s="2" t="n">
        <f aca="false">'Raw Data'!W4111</f>
        <v>4</v>
      </c>
      <c r="H4111" s="2" t="n">
        <f aca="false">'Raw Data'!V4111</f>
        <v>1</v>
      </c>
      <c r="I4111" s="2" t="n">
        <f aca="false">IF(AND(ISNUMBER(B4111),B4111&lt;=25),2,0)+IF(AND(ISNUMBER(E4111),E4111&lt;=5),2,0)+IF(AND(ISNUMBER(F4111),F4111&lt;=1),2,0)+IF(AND(ISNUMBER(G4111),G4111&lt;=2),1,0)+IF(AND(ISNUMBER(H4111),H4111&lt;=2),1,0)</f>
        <v>3</v>
      </c>
      <c r="J4111" s="2" t="str">
        <f aca="false">IF(I4111&gt;=6,"High",IF(I4111&gt;=3,"Medium","Low"))</f>
        <v>Medium</v>
      </c>
    </row>
    <row r="4112" customFormat="false" ht="15" hidden="false" customHeight="true" outlineLevel="0" collapsed="false">
      <c r="A4112" s="2" t="n">
        <f aca="false">'Raw Data'!H4112</f>
        <v>4111</v>
      </c>
      <c r="B4112" s="2" t="n">
        <f aca="false">'Raw Data'!A4112</f>
        <v>32</v>
      </c>
      <c r="C4112" s="2" t="str">
        <f aca="false">'Raw Data'!D4112</f>
        <v>Research &amp; Development</v>
      </c>
      <c r="D4112" s="2" t="str">
        <f aca="false">'Raw Data'!K4112</f>
        <v>Sales Executive</v>
      </c>
      <c r="E4112" s="2" t="n">
        <f aca="false">'Raw Data'!Q4112</f>
        <v>3</v>
      </c>
      <c r="F4112" s="2" t="n">
        <f aca="false">'Raw Data'!U4112</f>
        <v>2</v>
      </c>
      <c r="G4112" s="2" t="n">
        <f aca="false">'Raw Data'!W4112</f>
        <v>2</v>
      </c>
      <c r="H4112" s="2" t="n">
        <f aca="false">'Raw Data'!V4112</f>
        <v>2</v>
      </c>
      <c r="I4112" s="2" t="n">
        <f aca="false">IF(AND(ISNUMBER(B4112),B4112&lt;=25),2,0)+IF(AND(ISNUMBER(E4112),E4112&lt;=5),2,0)+IF(AND(ISNUMBER(F4112),F4112&lt;=1),2,0)+IF(AND(ISNUMBER(G4112),G4112&lt;=2),1,0)+IF(AND(ISNUMBER(H4112),H4112&lt;=2),1,0)</f>
        <v>4</v>
      </c>
      <c r="J4112" s="2" t="str">
        <f aca="false">IF(I4112&gt;=6,"High",IF(I4112&gt;=3,"Medium","Low"))</f>
        <v>Medium</v>
      </c>
    </row>
    <row r="4113" customFormat="false" ht="15" hidden="false" customHeight="true" outlineLevel="0" collapsed="false">
      <c r="A4113" s="2" t="n">
        <f aca="false">'Raw Data'!H4113</f>
        <v>4112</v>
      </c>
      <c r="B4113" s="2" t="n">
        <f aca="false">'Raw Data'!A4113</f>
        <v>39</v>
      </c>
      <c r="C4113" s="2" t="str">
        <f aca="false">'Raw Data'!D4113</f>
        <v>Research &amp; Development</v>
      </c>
      <c r="D4113" s="2" t="str">
        <f aca="false">'Raw Data'!K4113</f>
        <v>Sales Executive</v>
      </c>
      <c r="E4113" s="2" t="n">
        <f aca="false">'Raw Data'!Q4113</f>
        <v>18</v>
      </c>
      <c r="F4113" s="2" t="n">
        <f aca="false">'Raw Data'!U4113</f>
        <v>7</v>
      </c>
      <c r="G4113" s="2" t="n">
        <f aca="false">'Raw Data'!W4113</f>
        <v>4</v>
      </c>
      <c r="H4113" s="2" t="n">
        <f aca="false">'Raw Data'!V4113</f>
        <v>1</v>
      </c>
      <c r="I4113" s="2" t="n">
        <f aca="false">IF(AND(ISNUMBER(B4113),B4113&lt;=25),2,0)+IF(AND(ISNUMBER(E4113),E4113&lt;=5),2,0)+IF(AND(ISNUMBER(F4113),F4113&lt;=1),2,0)+IF(AND(ISNUMBER(G4113),G4113&lt;=2),1,0)+IF(AND(ISNUMBER(H4113),H4113&lt;=2),1,0)</f>
        <v>1</v>
      </c>
      <c r="J4113" s="2" t="str">
        <f aca="false">IF(I4113&gt;=6,"High",IF(I4113&gt;=3,"Medium","Low"))</f>
        <v>Low</v>
      </c>
    </row>
    <row r="4114" customFormat="false" ht="15" hidden="false" customHeight="true" outlineLevel="0" collapsed="false">
      <c r="A4114" s="2" t="n">
        <f aca="false">'Raw Data'!H4114</f>
        <v>4113</v>
      </c>
      <c r="B4114" s="2" t="n">
        <f aca="false">'Raw Data'!A4114</f>
        <v>38</v>
      </c>
      <c r="C4114" s="2" t="str">
        <f aca="false">'Raw Data'!D4114</f>
        <v>Sales</v>
      </c>
      <c r="D4114" s="2" t="str">
        <f aca="false">'Raw Data'!K4114</f>
        <v>Research Director</v>
      </c>
      <c r="E4114" s="2" t="n">
        <f aca="false">'Raw Data'!Q4114</f>
        <v>20</v>
      </c>
      <c r="F4114" s="2" t="n">
        <f aca="false">'Raw Data'!U4114</f>
        <v>11</v>
      </c>
      <c r="G4114" s="2" t="n">
        <f aca="false">'Raw Data'!W4114</f>
        <v>3</v>
      </c>
      <c r="H4114" s="2" t="n">
        <f aca="false">'Raw Data'!V4114</f>
        <v>2</v>
      </c>
      <c r="I4114" s="2" t="n">
        <f aca="false">IF(AND(ISNUMBER(B4114),B4114&lt;=25),2,0)+IF(AND(ISNUMBER(E4114),E4114&lt;=5),2,0)+IF(AND(ISNUMBER(F4114),F4114&lt;=1),2,0)+IF(AND(ISNUMBER(G4114),G4114&lt;=2),1,0)+IF(AND(ISNUMBER(H4114),H4114&lt;=2),1,0)</f>
        <v>1</v>
      </c>
      <c r="J4114" s="2" t="str">
        <f aca="false">IF(I4114&gt;=6,"High",IF(I4114&gt;=3,"Medium","Low"))</f>
        <v>Low</v>
      </c>
    </row>
    <row r="4115" customFormat="false" ht="15" hidden="false" customHeight="true" outlineLevel="0" collapsed="false">
      <c r="A4115" s="2" t="n">
        <f aca="false">'Raw Data'!H4115</f>
        <v>4114</v>
      </c>
      <c r="B4115" s="2" t="n">
        <f aca="false">'Raw Data'!A4115</f>
        <v>32</v>
      </c>
      <c r="C4115" s="2" t="str">
        <f aca="false">'Raw Data'!D4115</f>
        <v>Research &amp; Development</v>
      </c>
      <c r="D4115" s="2" t="str">
        <f aca="false">'Raw Data'!K4115</f>
        <v>Manager</v>
      </c>
      <c r="E4115" s="2" t="n">
        <f aca="false">'Raw Data'!Q4115</f>
        <v>14</v>
      </c>
      <c r="F4115" s="2" t="n">
        <f aca="false">'Raw Data'!U4115</f>
        <v>7</v>
      </c>
      <c r="G4115" s="2" t="n">
        <f aca="false">'Raw Data'!W4115</f>
        <v>4</v>
      </c>
      <c r="H4115" s="2" t="n">
        <f aca="false">'Raw Data'!V4115</f>
        <v>3</v>
      </c>
      <c r="I4115" s="2" t="n">
        <f aca="false">IF(AND(ISNUMBER(B4115),B4115&lt;=25),2,0)+IF(AND(ISNUMBER(E4115),E4115&lt;=5),2,0)+IF(AND(ISNUMBER(F4115),F4115&lt;=1),2,0)+IF(AND(ISNUMBER(G4115),G4115&lt;=2),1,0)+IF(AND(ISNUMBER(H4115),H4115&lt;=2),1,0)</f>
        <v>0</v>
      </c>
      <c r="J4115" s="2" t="str">
        <f aca="false">IF(I4115&gt;=6,"High",IF(I4115&gt;=3,"Medium","Low"))</f>
        <v>Low</v>
      </c>
    </row>
    <row r="4116" customFormat="false" ht="15" hidden="false" customHeight="true" outlineLevel="0" collapsed="false">
      <c r="A4116" s="2" t="n">
        <f aca="false">'Raw Data'!H4116</f>
        <v>4115</v>
      </c>
      <c r="B4116" s="2" t="n">
        <f aca="false">'Raw Data'!A4116</f>
        <v>37</v>
      </c>
      <c r="C4116" s="2" t="str">
        <f aca="false">'Raw Data'!D4116</f>
        <v>Research &amp; Development</v>
      </c>
      <c r="D4116" s="2" t="str">
        <f aca="false">'Raw Data'!K4116</f>
        <v>Sales Executive</v>
      </c>
      <c r="E4116" s="2" t="n">
        <f aca="false">'Raw Data'!Q4116</f>
        <v>16</v>
      </c>
      <c r="F4116" s="2" t="n">
        <f aca="false">'Raw Data'!U4116</f>
        <v>8</v>
      </c>
      <c r="G4116" s="2" t="n">
        <f aca="false">'Raw Data'!W4116</f>
        <v>4</v>
      </c>
      <c r="H4116" s="2" t="n">
        <f aca="false">'Raw Data'!V4116</f>
        <v>3</v>
      </c>
      <c r="I4116" s="2" t="n">
        <f aca="false">IF(AND(ISNUMBER(B4116),B4116&lt;=25),2,0)+IF(AND(ISNUMBER(E4116),E4116&lt;=5),2,0)+IF(AND(ISNUMBER(F4116),F4116&lt;=1),2,0)+IF(AND(ISNUMBER(G4116),G4116&lt;=2),1,0)+IF(AND(ISNUMBER(H4116),H4116&lt;=2),1,0)</f>
        <v>0</v>
      </c>
      <c r="J4116" s="2" t="str">
        <f aca="false">IF(I4116&gt;=6,"High",IF(I4116&gt;=3,"Medium","Low"))</f>
        <v>Low</v>
      </c>
    </row>
    <row r="4117" customFormat="false" ht="15" hidden="false" customHeight="true" outlineLevel="0" collapsed="false">
      <c r="A4117" s="2" t="n">
        <f aca="false">'Raw Data'!H4117</f>
        <v>4116</v>
      </c>
      <c r="B4117" s="2" t="n">
        <f aca="false">'Raw Data'!A4117</f>
        <v>25</v>
      </c>
      <c r="C4117" s="2" t="str">
        <f aca="false">'Raw Data'!D4117</f>
        <v>Research &amp; Development</v>
      </c>
      <c r="D4117" s="2" t="str">
        <f aca="false">'Raw Data'!K4117</f>
        <v>Manufacturing Director</v>
      </c>
      <c r="E4117" s="2" t="n">
        <f aca="false">'Raw Data'!Q4117</f>
        <v>6</v>
      </c>
      <c r="F4117" s="2" t="n">
        <f aca="false">'Raw Data'!U4117</f>
        <v>4</v>
      </c>
      <c r="G4117" s="2" t="n">
        <f aca="false">'Raw Data'!W4117</f>
        <v>3</v>
      </c>
      <c r="H4117" s="2" t="n">
        <f aca="false">'Raw Data'!V4117</f>
        <v>1</v>
      </c>
      <c r="I4117" s="2" t="n">
        <f aca="false">IF(AND(ISNUMBER(B4117),B4117&lt;=25),2,0)+IF(AND(ISNUMBER(E4117),E4117&lt;=5),2,0)+IF(AND(ISNUMBER(F4117),F4117&lt;=1),2,0)+IF(AND(ISNUMBER(G4117),G4117&lt;=2),1,0)+IF(AND(ISNUMBER(H4117),H4117&lt;=2),1,0)</f>
        <v>3</v>
      </c>
      <c r="J4117" s="2" t="str">
        <f aca="false">IF(I4117&gt;=6,"High",IF(I4117&gt;=3,"Medium","Low"))</f>
        <v>Medium</v>
      </c>
    </row>
    <row r="4118" customFormat="false" ht="15" hidden="false" customHeight="true" outlineLevel="0" collapsed="false">
      <c r="A4118" s="2" t="n">
        <f aca="false">'Raw Data'!H4118</f>
        <v>4117</v>
      </c>
      <c r="B4118" s="2" t="n">
        <f aca="false">'Raw Data'!A4118</f>
        <v>52</v>
      </c>
      <c r="C4118" s="2" t="str">
        <f aca="false">'Raw Data'!D4118</f>
        <v>Research &amp; Development</v>
      </c>
      <c r="D4118" s="2" t="str">
        <f aca="false">'Raw Data'!K4118</f>
        <v>Manager</v>
      </c>
      <c r="E4118" s="2" t="n">
        <f aca="false">'Raw Data'!Q4118</f>
        <v>16</v>
      </c>
      <c r="F4118" s="2" t="n">
        <f aca="false">'Raw Data'!U4118</f>
        <v>0</v>
      </c>
      <c r="G4118" s="2" t="n">
        <f aca="false">'Raw Data'!W4118</f>
        <v>4</v>
      </c>
      <c r="H4118" s="2" t="n">
        <f aca="false">'Raw Data'!V4118</f>
        <v>1</v>
      </c>
      <c r="I4118" s="2" t="n">
        <f aca="false">IF(AND(ISNUMBER(B4118),B4118&lt;=25),2,0)+IF(AND(ISNUMBER(E4118),E4118&lt;=5),2,0)+IF(AND(ISNUMBER(F4118),F4118&lt;=1),2,0)+IF(AND(ISNUMBER(G4118),G4118&lt;=2),1,0)+IF(AND(ISNUMBER(H4118),H4118&lt;=2),1,0)</f>
        <v>3</v>
      </c>
      <c r="J4118" s="2" t="str">
        <f aca="false">IF(I4118&gt;=6,"High",IF(I4118&gt;=3,"Medium","Low"))</f>
        <v>Medium</v>
      </c>
    </row>
    <row r="4119" customFormat="false" ht="15" hidden="false" customHeight="true" outlineLevel="0" collapsed="false">
      <c r="A4119" s="2" t="n">
        <f aca="false">'Raw Data'!H4119</f>
        <v>4118</v>
      </c>
      <c r="B4119" s="2" t="n">
        <f aca="false">'Raw Data'!A4119</f>
        <v>44</v>
      </c>
      <c r="C4119" s="2" t="str">
        <f aca="false">'Raw Data'!D4119</f>
        <v>Research &amp; Development</v>
      </c>
      <c r="D4119" s="2" t="str">
        <f aca="false">'Raw Data'!K4119</f>
        <v>Sales Representative</v>
      </c>
      <c r="E4119" s="2" t="n">
        <f aca="false">'Raw Data'!Q4119</f>
        <v>6</v>
      </c>
      <c r="F4119" s="2" t="n">
        <f aca="false">'Raw Data'!U4119</f>
        <v>2</v>
      </c>
      <c r="G4119" s="2" t="n">
        <f aca="false">'Raw Data'!W4119</f>
        <v>4</v>
      </c>
      <c r="H4119" s="2" t="n">
        <f aca="false">'Raw Data'!V4119</f>
        <v>2</v>
      </c>
      <c r="I4119" s="2" t="n">
        <f aca="false">IF(AND(ISNUMBER(B4119),B4119&lt;=25),2,0)+IF(AND(ISNUMBER(E4119),E4119&lt;=5),2,0)+IF(AND(ISNUMBER(F4119),F4119&lt;=1),2,0)+IF(AND(ISNUMBER(G4119),G4119&lt;=2),1,0)+IF(AND(ISNUMBER(H4119),H4119&lt;=2),1,0)</f>
        <v>1</v>
      </c>
      <c r="J4119" s="2" t="str">
        <f aca="false">IF(I4119&gt;=6,"High",IF(I4119&gt;=3,"Medium","Low"))</f>
        <v>Low</v>
      </c>
    </row>
    <row r="4120" customFormat="false" ht="15" hidden="false" customHeight="true" outlineLevel="0" collapsed="false">
      <c r="A4120" s="2" t="n">
        <f aca="false">'Raw Data'!H4120</f>
        <v>4119</v>
      </c>
      <c r="B4120" s="2" t="n">
        <f aca="false">'Raw Data'!A4120</f>
        <v>21</v>
      </c>
      <c r="C4120" s="2" t="str">
        <f aca="false">'Raw Data'!D4120</f>
        <v>Sales</v>
      </c>
      <c r="D4120" s="2" t="str">
        <f aca="false">'Raw Data'!K4120</f>
        <v>Research Scientist</v>
      </c>
      <c r="E4120" s="2" t="n">
        <f aca="false">'Raw Data'!Q4120</f>
        <v>2</v>
      </c>
      <c r="F4120" s="2" t="n">
        <f aca="false">'Raw Data'!U4120</f>
        <v>2</v>
      </c>
      <c r="G4120" s="2" t="n">
        <f aca="false">'Raw Data'!W4120</f>
        <v>1</v>
      </c>
      <c r="H4120" s="2" t="n">
        <f aca="false">'Raw Data'!V4120</f>
        <v>3</v>
      </c>
      <c r="I4120" s="2" t="n">
        <f aca="false">IF(AND(ISNUMBER(B4120),B4120&lt;=25),2,0)+IF(AND(ISNUMBER(E4120),E4120&lt;=5),2,0)+IF(AND(ISNUMBER(F4120),F4120&lt;=1),2,0)+IF(AND(ISNUMBER(G4120),G4120&lt;=2),1,0)+IF(AND(ISNUMBER(H4120),H4120&lt;=2),1,0)</f>
        <v>5</v>
      </c>
      <c r="J4120" s="2" t="str">
        <f aca="false">IF(I4120&gt;=6,"High",IF(I4120&gt;=3,"Medium","Low"))</f>
        <v>Medium</v>
      </c>
    </row>
    <row r="4121" customFormat="false" ht="15" hidden="false" customHeight="true" outlineLevel="0" collapsed="false">
      <c r="A4121" s="2" t="n">
        <f aca="false">'Raw Data'!H4121</f>
        <v>4120</v>
      </c>
      <c r="B4121" s="2" t="n">
        <f aca="false">'Raw Data'!A4121</f>
        <v>39</v>
      </c>
      <c r="C4121" s="2" t="str">
        <f aca="false">'Raw Data'!D4121</f>
        <v>Research &amp; Development</v>
      </c>
      <c r="D4121" s="2" t="str">
        <f aca="false">'Raw Data'!K4121</f>
        <v>Research Director</v>
      </c>
      <c r="E4121" s="2" t="n">
        <f aca="false">'Raw Data'!Q4121</f>
        <v>21</v>
      </c>
      <c r="F4121" s="2" t="n">
        <f aca="false">'Raw Data'!U4121</f>
        <v>3</v>
      </c>
      <c r="G4121" s="2" t="n">
        <f aca="false">'Raw Data'!W4121</f>
        <v>4</v>
      </c>
      <c r="H4121" s="2" t="n">
        <f aca="false">'Raw Data'!V4121</f>
        <v>4</v>
      </c>
      <c r="I4121" s="2" t="n">
        <f aca="false">IF(AND(ISNUMBER(B4121),B4121&lt;=25),2,0)+IF(AND(ISNUMBER(E4121),E4121&lt;=5),2,0)+IF(AND(ISNUMBER(F4121),F4121&lt;=1),2,0)+IF(AND(ISNUMBER(G4121),G4121&lt;=2),1,0)+IF(AND(ISNUMBER(H4121),H4121&lt;=2),1,0)</f>
        <v>0</v>
      </c>
      <c r="J4121" s="2" t="str">
        <f aca="false">IF(I4121&gt;=6,"High",IF(I4121&gt;=3,"Medium","Low"))</f>
        <v>Low</v>
      </c>
    </row>
    <row r="4122" customFormat="false" ht="15" hidden="false" customHeight="true" outlineLevel="0" collapsed="false">
      <c r="A4122" s="2" t="n">
        <f aca="false">'Raw Data'!H4122</f>
        <v>4121</v>
      </c>
      <c r="B4122" s="2" t="n">
        <f aca="false">'Raw Data'!A4122</f>
        <v>23</v>
      </c>
      <c r="C4122" s="2" t="str">
        <f aca="false">'Raw Data'!D4122</f>
        <v>Research &amp; Development</v>
      </c>
      <c r="D4122" s="2" t="str">
        <f aca="false">'Raw Data'!K4122</f>
        <v>Manufacturing Director</v>
      </c>
      <c r="E4122" s="2" t="n">
        <f aca="false">'Raw Data'!Q4122</f>
        <v>1</v>
      </c>
      <c r="F4122" s="2" t="n">
        <f aca="false">'Raw Data'!U4122</f>
        <v>0</v>
      </c>
      <c r="G4122" s="2" t="n">
        <f aca="false">'Raw Data'!W4122</f>
        <v>1</v>
      </c>
      <c r="H4122" s="2" t="n">
        <f aca="false">'Raw Data'!V4122</f>
        <v>4</v>
      </c>
      <c r="I4122" s="2" t="n">
        <f aca="false">IF(AND(ISNUMBER(B4122),B4122&lt;=25),2,0)+IF(AND(ISNUMBER(E4122),E4122&lt;=5),2,0)+IF(AND(ISNUMBER(F4122),F4122&lt;=1),2,0)+IF(AND(ISNUMBER(G4122),G4122&lt;=2),1,0)+IF(AND(ISNUMBER(H4122),H4122&lt;=2),1,0)</f>
        <v>7</v>
      </c>
      <c r="J4122" s="2" t="str">
        <f aca="false">IF(I4122&gt;=6,"High",IF(I4122&gt;=3,"Medium","Low"))</f>
        <v>High</v>
      </c>
    </row>
    <row r="4123" customFormat="false" ht="15" hidden="false" customHeight="true" outlineLevel="0" collapsed="false">
      <c r="A4123" s="2" t="n">
        <f aca="false">'Raw Data'!H4123</f>
        <v>4122</v>
      </c>
      <c r="B4123" s="2" t="n">
        <f aca="false">'Raw Data'!A4123</f>
        <v>36</v>
      </c>
      <c r="C4123" s="2" t="str">
        <f aca="false">'Raw Data'!D4123</f>
        <v>Research &amp; Development</v>
      </c>
      <c r="D4123" s="2" t="str">
        <f aca="false">'Raw Data'!K4123</f>
        <v>Laboratory Technician</v>
      </c>
      <c r="E4123" s="2" t="n">
        <f aca="false">'Raw Data'!Q4123</f>
        <v>10</v>
      </c>
      <c r="F4123" s="2" t="n">
        <f aca="false">'Raw Data'!U4123</f>
        <v>4</v>
      </c>
      <c r="G4123" s="2" t="n">
        <f aca="false">'Raw Data'!W4123</f>
        <v>4</v>
      </c>
      <c r="H4123" s="2" t="n">
        <f aca="false">'Raw Data'!V4123</f>
        <v>1</v>
      </c>
      <c r="I4123" s="2" t="n">
        <f aca="false">IF(AND(ISNUMBER(B4123),B4123&lt;=25),2,0)+IF(AND(ISNUMBER(E4123),E4123&lt;=5),2,0)+IF(AND(ISNUMBER(F4123),F4123&lt;=1),2,0)+IF(AND(ISNUMBER(G4123),G4123&lt;=2),1,0)+IF(AND(ISNUMBER(H4123),H4123&lt;=2),1,0)</f>
        <v>1</v>
      </c>
      <c r="J4123" s="2" t="str">
        <f aca="false">IF(I4123&gt;=6,"High",IF(I4123&gt;=3,"Medium","Low"))</f>
        <v>Low</v>
      </c>
    </row>
    <row r="4124" customFormat="false" ht="15" hidden="false" customHeight="true" outlineLevel="0" collapsed="false">
      <c r="A4124" s="2" t="n">
        <f aca="false">'Raw Data'!H4124</f>
        <v>4123</v>
      </c>
      <c r="B4124" s="2" t="n">
        <f aca="false">'Raw Data'!A4124</f>
        <v>36</v>
      </c>
      <c r="C4124" s="2" t="str">
        <f aca="false">'Raw Data'!D4124</f>
        <v>Research &amp; Development</v>
      </c>
      <c r="D4124" s="2" t="str">
        <f aca="false">'Raw Data'!K4124</f>
        <v>Sales Executive</v>
      </c>
      <c r="E4124" s="2" t="n">
        <f aca="false">'Raw Data'!Q4124</f>
        <v>18</v>
      </c>
      <c r="F4124" s="2" t="n">
        <f aca="false">'Raw Data'!U4124</f>
        <v>2</v>
      </c>
      <c r="G4124" s="2" t="n">
        <f aca="false">'Raw Data'!W4124</f>
        <v>2</v>
      </c>
      <c r="H4124" s="2" t="n">
        <f aca="false">'Raw Data'!V4124</f>
        <v>4</v>
      </c>
      <c r="I4124" s="2" t="n">
        <f aca="false">IF(AND(ISNUMBER(B4124),B4124&lt;=25),2,0)+IF(AND(ISNUMBER(E4124),E4124&lt;=5),2,0)+IF(AND(ISNUMBER(F4124),F4124&lt;=1),2,0)+IF(AND(ISNUMBER(G4124),G4124&lt;=2),1,0)+IF(AND(ISNUMBER(H4124),H4124&lt;=2),1,0)</f>
        <v>1</v>
      </c>
      <c r="J4124" s="2" t="str">
        <f aca="false">IF(I4124&gt;=6,"High",IF(I4124&gt;=3,"Medium","Low"))</f>
        <v>Low</v>
      </c>
    </row>
    <row r="4125" customFormat="false" ht="15" hidden="false" customHeight="true" outlineLevel="0" collapsed="false">
      <c r="A4125" s="2" t="n">
        <f aca="false">'Raw Data'!H4125</f>
        <v>4124</v>
      </c>
      <c r="B4125" s="2" t="n">
        <f aca="false">'Raw Data'!A4125</f>
        <v>56</v>
      </c>
      <c r="C4125" s="2" t="str">
        <f aca="false">'Raw Data'!D4125</f>
        <v>Research &amp; Development</v>
      </c>
      <c r="D4125" s="2" t="str">
        <f aca="false">'Raw Data'!K4125</f>
        <v>Sales Executive</v>
      </c>
      <c r="E4125" s="2" t="n">
        <f aca="false">'Raw Data'!Q4125</f>
        <v>13</v>
      </c>
      <c r="F4125" s="2" t="n">
        <f aca="false">'Raw Data'!U4125</f>
        <v>9</v>
      </c>
      <c r="G4125" s="2" t="n">
        <f aca="false">'Raw Data'!W4125</f>
        <v>3</v>
      </c>
      <c r="H4125" s="2" t="n">
        <f aca="false">'Raw Data'!V4125</f>
        <v>3</v>
      </c>
      <c r="I4125" s="2" t="n">
        <f aca="false">IF(AND(ISNUMBER(B4125),B4125&lt;=25),2,0)+IF(AND(ISNUMBER(E4125),E4125&lt;=5),2,0)+IF(AND(ISNUMBER(F4125),F4125&lt;=1),2,0)+IF(AND(ISNUMBER(G4125),G4125&lt;=2),1,0)+IF(AND(ISNUMBER(H4125),H4125&lt;=2),1,0)</f>
        <v>0</v>
      </c>
      <c r="J4125" s="2" t="str">
        <f aca="false">IF(I4125&gt;=6,"High",IF(I4125&gt;=3,"Medium","Low"))</f>
        <v>Low</v>
      </c>
    </row>
    <row r="4126" customFormat="false" ht="15" hidden="false" customHeight="true" outlineLevel="0" collapsed="false">
      <c r="A4126" s="2" t="n">
        <f aca="false">'Raw Data'!H4126</f>
        <v>4125</v>
      </c>
      <c r="B4126" s="2" t="n">
        <f aca="false">'Raw Data'!A4126</f>
        <v>29</v>
      </c>
      <c r="C4126" s="2" t="str">
        <f aca="false">'Raw Data'!D4126</f>
        <v>Research &amp; Development</v>
      </c>
      <c r="D4126" s="2" t="str">
        <f aca="false">'Raw Data'!K4126</f>
        <v>Sales Representative</v>
      </c>
      <c r="E4126" s="2" t="n">
        <f aca="false">'Raw Data'!Q4126</f>
        <v>4</v>
      </c>
      <c r="F4126" s="2" t="n">
        <f aca="false">'Raw Data'!U4126</f>
        <v>2</v>
      </c>
      <c r="G4126" s="2" t="n">
        <f aca="false">'Raw Data'!W4126</f>
        <v>4</v>
      </c>
      <c r="H4126" s="2" t="n">
        <f aca="false">'Raw Data'!V4126</f>
        <v>1</v>
      </c>
      <c r="I4126" s="2" t="n">
        <f aca="false">IF(AND(ISNUMBER(B4126),B4126&lt;=25),2,0)+IF(AND(ISNUMBER(E4126),E4126&lt;=5),2,0)+IF(AND(ISNUMBER(F4126),F4126&lt;=1),2,0)+IF(AND(ISNUMBER(G4126),G4126&lt;=2),1,0)+IF(AND(ISNUMBER(H4126),H4126&lt;=2),1,0)</f>
        <v>3</v>
      </c>
      <c r="J4126" s="2" t="str">
        <f aca="false">IF(I4126&gt;=6,"High",IF(I4126&gt;=3,"Medium","Low"))</f>
        <v>Medium</v>
      </c>
    </row>
    <row r="4127" customFormat="false" ht="15" hidden="false" customHeight="true" outlineLevel="0" collapsed="false">
      <c r="A4127" s="2" t="n">
        <f aca="false">'Raw Data'!H4127</f>
        <v>4126</v>
      </c>
      <c r="B4127" s="2" t="n">
        <f aca="false">'Raw Data'!A4127</f>
        <v>42</v>
      </c>
      <c r="C4127" s="2" t="str">
        <f aca="false">'Raw Data'!D4127</f>
        <v>Research &amp; Development</v>
      </c>
      <c r="D4127" s="2" t="str">
        <f aca="false">'Raw Data'!K4127</f>
        <v>Research Scientist</v>
      </c>
      <c r="E4127" s="2" t="n">
        <f aca="false">'Raw Data'!Q4127</f>
        <v>24</v>
      </c>
      <c r="F4127" s="2" t="n">
        <f aca="false">'Raw Data'!U4127</f>
        <v>14</v>
      </c>
      <c r="G4127" s="2" t="n">
        <f aca="false">'Raw Data'!W4127</f>
        <v>3</v>
      </c>
      <c r="H4127" s="2" t="n">
        <f aca="false">'Raw Data'!V4127</f>
        <v>1</v>
      </c>
      <c r="I4127" s="2" t="n">
        <f aca="false">IF(AND(ISNUMBER(B4127),B4127&lt;=25),2,0)+IF(AND(ISNUMBER(E4127),E4127&lt;=5),2,0)+IF(AND(ISNUMBER(F4127),F4127&lt;=1),2,0)+IF(AND(ISNUMBER(G4127),G4127&lt;=2),1,0)+IF(AND(ISNUMBER(H4127),H4127&lt;=2),1,0)</f>
        <v>1</v>
      </c>
      <c r="J4127" s="2" t="str">
        <f aca="false">IF(I4127&gt;=6,"High",IF(I4127&gt;=3,"Medium","Low"))</f>
        <v>Low</v>
      </c>
    </row>
    <row r="4128" customFormat="false" ht="15" hidden="false" customHeight="true" outlineLevel="0" collapsed="false">
      <c r="A4128" s="2" t="n">
        <f aca="false">'Raw Data'!H4128</f>
        <v>4127</v>
      </c>
      <c r="B4128" s="2" t="n">
        <f aca="false">'Raw Data'!A4128</f>
        <v>56</v>
      </c>
      <c r="C4128" s="2" t="str">
        <f aca="false">'Raw Data'!D4128</f>
        <v>Sales</v>
      </c>
      <c r="D4128" s="2" t="str">
        <f aca="false">'Raw Data'!K4128</f>
        <v>Sales Executive</v>
      </c>
      <c r="E4128" s="2" t="n">
        <f aca="false">'Raw Data'!Q4128</f>
        <v>14</v>
      </c>
      <c r="F4128" s="2" t="n">
        <f aca="false">'Raw Data'!U4128</f>
        <v>8</v>
      </c>
      <c r="G4128" s="2" t="n">
        <f aca="false">'Raw Data'!W4128</f>
        <v>3</v>
      </c>
      <c r="H4128" s="2" t="n">
        <f aca="false">'Raw Data'!V4128</f>
        <v>4</v>
      </c>
      <c r="I4128" s="2" t="n">
        <f aca="false">IF(AND(ISNUMBER(B4128),B4128&lt;=25),2,0)+IF(AND(ISNUMBER(E4128),E4128&lt;=5),2,0)+IF(AND(ISNUMBER(F4128),F4128&lt;=1),2,0)+IF(AND(ISNUMBER(G4128),G4128&lt;=2),1,0)+IF(AND(ISNUMBER(H4128),H4128&lt;=2),1,0)</f>
        <v>0</v>
      </c>
      <c r="J4128" s="2" t="str">
        <f aca="false">IF(I4128&gt;=6,"High",IF(I4128&gt;=3,"Medium","Low"))</f>
        <v>Low</v>
      </c>
    </row>
    <row r="4129" customFormat="false" ht="15" hidden="false" customHeight="true" outlineLevel="0" collapsed="false">
      <c r="A4129" s="2" t="n">
        <f aca="false">'Raw Data'!H4129</f>
        <v>4128</v>
      </c>
      <c r="B4129" s="2" t="n">
        <f aca="false">'Raw Data'!A4129</f>
        <v>41</v>
      </c>
      <c r="C4129" s="2" t="str">
        <f aca="false">'Raw Data'!D4129</f>
        <v>Research &amp; Development</v>
      </c>
      <c r="D4129" s="2" t="str">
        <f aca="false">'Raw Data'!K4129</f>
        <v>Healthcare Representative</v>
      </c>
      <c r="E4129" s="2" t="n">
        <f aca="false">'Raw Data'!Q4129</f>
        <v>21</v>
      </c>
      <c r="F4129" s="2" t="n">
        <f aca="false">'Raw Data'!U4129</f>
        <v>10</v>
      </c>
      <c r="G4129" s="2" t="n">
        <f aca="false">'Raw Data'!W4129</f>
        <v>2</v>
      </c>
      <c r="H4129" s="2" t="n">
        <f aca="false">'Raw Data'!V4129</f>
        <v>1</v>
      </c>
      <c r="I4129" s="2" t="n">
        <f aca="false">IF(AND(ISNUMBER(B4129),B4129&lt;=25),2,0)+IF(AND(ISNUMBER(E4129),E4129&lt;=5),2,0)+IF(AND(ISNUMBER(F4129),F4129&lt;=1),2,0)+IF(AND(ISNUMBER(G4129),G4129&lt;=2),1,0)+IF(AND(ISNUMBER(H4129),H4129&lt;=2),1,0)</f>
        <v>2</v>
      </c>
      <c r="J4129" s="2" t="str">
        <f aca="false">IF(I4129&gt;=6,"High",IF(I4129&gt;=3,"Medium","Low"))</f>
        <v>Low</v>
      </c>
    </row>
    <row r="4130" customFormat="false" ht="15" hidden="false" customHeight="true" outlineLevel="0" collapsed="false">
      <c r="A4130" s="2" t="n">
        <f aca="false">'Raw Data'!H4130</f>
        <v>4129</v>
      </c>
      <c r="B4130" s="2" t="n">
        <f aca="false">'Raw Data'!A4130</f>
        <v>34</v>
      </c>
      <c r="C4130" s="2" t="str">
        <f aca="false">'Raw Data'!D4130</f>
        <v>Sales</v>
      </c>
      <c r="D4130" s="2" t="str">
        <f aca="false">'Raw Data'!K4130</f>
        <v>Laboratory Technician</v>
      </c>
      <c r="E4130" s="2" t="n">
        <f aca="false">'Raw Data'!Q4130</f>
        <v>8</v>
      </c>
      <c r="F4130" s="2" t="n">
        <f aca="false">'Raw Data'!U4130</f>
        <v>7</v>
      </c>
      <c r="G4130" s="2" t="n">
        <f aca="false">'Raw Data'!W4130</f>
        <v>3</v>
      </c>
      <c r="H4130" s="2" t="n">
        <f aca="false">'Raw Data'!V4130</f>
        <v>4</v>
      </c>
      <c r="I4130" s="2" t="n">
        <f aca="false">IF(AND(ISNUMBER(B4130),B4130&lt;=25),2,0)+IF(AND(ISNUMBER(E4130),E4130&lt;=5),2,0)+IF(AND(ISNUMBER(F4130),F4130&lt;=1),2,0)+IF(AND(ISNUMBER(G4130),G4130&lt;=2),1,0)+IF(AND(ISNUMBER(H4130),H4130&lt;=2),1,0)</f>
        <v>0</v>
      </c>
      <c r="J4130" s="2" t="str">
        <f aca="false">IF(I4130&gt;=6,"High",IF(I4130&gt;=3,"Medium","Low"))</f>
        <v>Low</v>
      </c>
    </row>
    <row r="4131" customFormat="false" ht="15" hidden="false" customHeight="true" outlineLevel="0" collapsed="false">
      <c r="A4131" s="2" t="n">
        <f aca="false">'Raw Data'!H4131</f>
        <v>4130</v>
      </c>
      <c r="B4131" s="2" t="n">
        <f aca="false">'Raw Data'!A4131</f>
        <v>36</v>
      </c>
      <c r="C4131" s="2" t="str">
        <f aca="false">'Raw Data'!D4131</f>
        <v>Sales</v>
      </c>
      <c r="D4131" s="2" t="str">
        <f aca="false">'Raw Data'!K4131</f>
        <v>Human Resources</v>
      </c>
      <c r="E4131" s="2" t="n">
        <f aca="false">'Raw Data'!Q4131</f>
        <v>15</v>
      </c>
      <c r="F4131" s="2" t="n">
        <f aca="false">'Raw Data'!U4131</f>
        <v>11</v>
      </c>
      <c r="G4131" s="2" t="n">
        <f aca="false">'Raw Data'!W4131</f>
        <v>4</v>
      </c>
      <c r="H4131" s="2" t="n">
        <f aca="false">'Raw Data'!V4131</f>
        <v>4</v>
      </c>
      <c r="I4131" s="2" t="n">
        <f aca="false">IF(AND(ISNUMBER(B4131),B4131&lt;=25),2,0)+IF(AND(ISNUMBER(E4131),E4131&lt;=5),2,0)+IF(AND(ISNUMBER(F4131),F4131&lt;=1),2,0)+IF(AND(ISNUMBER(G4131),G4131&lt;=2),1,0)+IF(AND(ISNUMBER(H4131),H4131&lt;=2),1,0)</f>
        <v>0</v>
      </c>
      <c r="J4131" s="2" t="str">
        <f aca="false">IF(I4131&gt;=6,"High",IF(I4131&gt;=3,"Medium","Low"))</f>
        <v>Low</v>
      </c>
    </row>
    <row r="4132" customFormat="false" ht="15" hidden="false" customHeight="true" outlineLevel="0" collapsed="false">
      <c r="A4132" s="2" t="n">
        <f aca="false">'Raw Data'!H4132</f>
        <v>4131</v>
      </c>
      <c r="B4132" s="2" t="n">
        <f aca="false">'Raw Data'!A4132</f>
        <v>41</v>
      </c>
      <c r="C4132" s="2" t="str">
        <f aca="false">'Raw Data'!D4132</f>
        <v>Research &amp; Development</v>
      </c>
      <c r="D4132" s="2" t="str">
        <f aca="false">'Raw Data'!K4132</f>
        <v>Healthcare Representative</v>
      </c>
      <c r="E4132" s="2" t="n">
        <f aca="false">'Raw Data'!Q4132</f>
        <v>14</v>
      </c>
      <c r="F4132" s="2" t="n">
        <f aca="false">'Raw Data'!U4132</f>
        <v>4</v>
      </c>
      <c r="G4132" s="2" t="n">
        <f aca="false">'Raw Data'!W4132</f>
        <v>2</v>
      </c>
      <c r="H4132" s="2" t="n">
        <f aca="false">'Raw Data'!V4132</f>
        <v>3</v>
      </c>
      <c r="I4132" s="2" t="n">
        <f aca="false">IF(AND(ISNUMBER(B4132),B4132&lt;=25),2,0)+IF(AND(ISNUMBER(E4132),E4132&lt;=5),2,0)+IF(AND(ISNUMBER(F4132),F4132&lt;=1),2,0)+IF(AND(ISNUMBER(G4132),G4132&lt;=2),1,0)+IF(AND(ISNUMBER(H4132),H4132&lt;=2),1,0)</f>
        <v>1</v>
      </c>
      <c r="J4132" s="2" t="str">
        <f aca="false">IF(I4132&gt;=6,"High",IF(I4132&gt;=3,"Medium","Low"))</f>
        <v>Low</v>
      </c>
    </row>
    <row r="4133" customFormat="false" ht="15" hidden="false" customHeight="true" outlineLevel="0" collapsed="false">
      <c r="A4133" s="2" t="n">
        <f aca="false">'Raw Data'!H4133</f>
        <v>4132</v>
      </c>
      <c r="B4133" s="2" t="n">
        <f aca="false">'Raw Data'!A4133</f>
        <v>32</v>
      </c>
      <c r="C4133" s="2" t="str">
        <f aca="false">'Raw Data'!D4133</f>
        <v>Sales</v>
      </c>
      <c r="D4133" s="2" t="str">
        <f aca="false">'Raw Data'!K4133</f>
        <v>Research Scientist</v>
      </c>
      <c r="E4133" s="2" t="n">
        <f aca="false">'Raw Data'!Q4133</f>
        <v>4</v>
      </c>
      <c r="F4133" s="2" t="n">
        <f aca="false">'Raw Data'!U4133</f>
        <v>2</v>
      </c>
      <c r="G4133" s="2" t="n">
        <f aca="false">'Raw Data'!W4133</f>
        <v>1</v>
      </c>
      <c r="H4133" s="2" t="n">
        <f aca="false">'Raw Data'!V4133</f>
        <v>4</v>
      </c>
      <c r="I4133" s="2" t="n">
        <f aca="false">IF(AND(ISNUMBER(B4133),B4133&lt;=25),2,0)+IF(AND(ISNUMBER(E4133),E4133&lt;=5),2,0)+IF(AND(ISNUMBER(F4133),F4133&lt;=1),2,0)+IF(AND(ISNUMBER(G4133),G4133&lt;=2),1,0)+IF(AND(ISNUMBER(H4133),H4133&lt;=2),1,0)</f>
        <v>3</v>
      </c>
      <c r="J4133" s="2" t="str">
        <f aca="false">IF(I4133&gt;=6,"High",IF(I4133&gt;=3,"Medium","Low"))</f>
        <v>Medium</v>
      </c>
    </row>
    <row r="4134" customFormat="false" ht="15" hidden="false" customHeight="true" outlineLevel="0" collapsed="false">
      <c r="A4134" s="2" t="n">
        <f aca="false">'Raw Data'!H4134</f>
        <v>4133</v>
      </c>
      <c r="B4134" s="2" t="n">
        <f aca="false">'Raw Data'!A4134</f>
        <v>35</v>
      </c>
      <c r="C4134" s="2" t="str">
        <f aca="false">'Raw Data'!D4134</f>
        <v>Research &amp; Development</v>
      </c>
      <c r="D4134" s="2" t="str">
        <f aca="false">'Raw Data'!K4134</f>
        <v>Healthcare Representative</v>
      </c>
      <c r="E4134" s="2" t="n">
        <f aca="false">'Raw Data'!Q4134</f>
        <v>9</v>
      </c>
      <c r="F4134" s="2" t="n">
        <f aca="false">'Raw Data'!U4134</f>
        <v>7</v>
      </c>
      <c r="G4134" s="2" t="n">
        <f aca="false">'Raw Data'!W4134</f>
        <v>4</v>
      </c>
      <c r="H4134" s="2" t="n">
        <f aca="false">'Raw Data'!V4134</f>
        <v>3</v>
      </c>
      <c r="I4134" s="2" t="n">
        <f aca="false">IF(AND(ISNUMBER(B4134),B4134&lt;=25),2,0)+IF(AND(ISNUMBER(E4134),E4134&lt;=5),2,0)+IF(AND(ISNUMBER(F4134),F4134&lt;=1),2,0)+IF(AND(ISNUMBER(G4134),G4134&lt;=2),1,0)+IF(AND(ISNUMBER(H4134),H4134&lt;=2),1,0)</f>
        <v>0</v>
      </c>
      <c r="J4134" s="2" t="str">
        <f aca="false">IF(I4134&gt;=6,"High",IF(I4134&gt;=3,"Medium","Low"))</f>
        <v>Low</v>
      </c>
    </row>
    <row r="4135" customFormat="false" ht="15" hidden="false" customHeight="true" outlineLevel="0" collapsed="false">
      <c r="A4135" s="2" t="n">
        <f aca="false">'Raw Data'!H4135</f>
        <v>4134</v>
      </c>
      <c r="B4135" s="2" t="n">
        <f aca="false">'Raw Data'!A4135</f>
        <v>38</v>
      </c>
      <c r="C4135" s="2" t="str">
        <f aca="false">'Raw Data'!D4135</f>
        <v>Research &amp; Development</v>
      </c>
      <c r="D4135" s="2" t="str">
        <f aca="false">'Raw Data'!K4135</f>
        <v>Sales Representative</v>
      </c>
      <c r="E4135" s="2" t="n">
        <f aca="false">'Raw Data'!Q4135</f>
        <v>10</v>
      </c>
      <c r="F4135" s="2" t="n">
        <f aca="false">'Raw Data'!U4135</f>
        <v>9</v>
      </c>
      <c r="G4135" s="2" t="n">
        <f aca="false">'Raw Data'!W4135</f>
        <v>4</v>
      </c>
      <c r="H4135" s="2" t="n">
        <f aca="false">'Raw Data'!V4135</f>
        <v>1</v>
      </c>
      <c r="I4135" s="2" t="n">
        <f aca="false">IF(AND(ISNUMBER(B4135),B4135&lt;=25),2,0)+IF(AND(ISNUMBER(E4135),E4135&lt;=5),2,0)+IF(AND(ISNUMBER(F4135),F4135&lt;=1),2,0)+IF(AND(ISNUMBER(G4135),G4135&lt;=2),1,0)+IF(AND(ISNUMBER(H4135),H4135&lt;=2),1,0)</f>
        <v>1</v>
      </c>
      <c r="J4135" s="2" t="str">
        <f aca="false">IF(I4135&gt;=6,"High",IF(I4135&gt;=3,"Medium","Low"))</f>
        <v>Low</v>
      </c>
    </row>
    <row r="4136" customFormat="false" ht="15" hidden="false" customHeight="true" outlineLevel="0" collapsed="false">
      <c r="A4136" s="2" t="n">
        <f aca="false">'Raw Data'!H4136</f>
        <v>4135</v>
      </c>
      <c r="B4136" s="2" t="n">
        <f aca="false">'Raw Data'!A4136</f>
        <v>50</v>
      </c>
      <c r="C4136" s="2" t="str">
        <f aca="false">'Raw Data'!D4136</f>
        <v>Sales</v>
      </c>
      <c r="D4136" s="2" t="str">
        <f aca="false">'Raw Data'!K4136</f>
        <v>Laboratory Technician</v>
      </c>
      <c r="E4136" s="2" t="n">
        <f aca="false">'Raw Data'!Q4136</f>
        <v>12</v>
      </c>
      <c r="F4136" s="2" t="n">
        <f aca="false">'Raw Data'!U4136</f>
        <v>1</v>
      </c>
      <c r="G4136" s="2" t="n">
        <f aca="false">'Raw Data'!W4136</f>
        <v>3</v>
      </c>
      <c r="H4136" s="2" t="n">
        <f aca="false">'Raw Data'!V4136</f>
        <v>2</v>
      </c>
      <c r="I4136" s="2" t="n">
        <f aca="false">IF(AND(ISNUMBER(B4136),B4136&lt;=25),2,0)+IF(AND(ISNUMBER(E4136),E4136&lt;=5),2,0)+IF(AND(ISNUMBER(F4136),F4136&lt;=1),2,0)+IF(AND(ISNUMBER(G4136),G4136&lt;=2),1,0)+IF(AND(ISNUMBER(H4136),H4136&lt;=2),1,0)</f>
        <v>3</v>
      </c>
      <c r="J4136" s="2" t="str">
        <f aca="false">IF(I4136&gt;=6,"High",IF(I4136&gt;=3,"Medium","Low"))</f>
        <v>Medium</v>
      </c>
    </row>
    <row r="4137" customFormat="false" ht="15" hidden="false" customHeight="true" outlineLevel="0" collapsed="false">
      <c r="A4137" s="2" t="n">
        <f aca="false">'Raw Data'!H4137</f>
        <v>4136</v>
      </c>
      <c r="B4137" s="2" t="n">
        <f aca="false">'Raw Data'!A4137</f>
        <v>36</v>
      </c>
      <c r="C4137" s="2" t="str">
        <f aca="false">'Raw Data'!D4137</f>
        <v>Research &amp; Development</v>
      </c>
      <c r="D4137" s="2" t="str">
        <f aca="false">'Raw Data'!K4137</f>
        <v>Healthcare Representative</v>
      </c>
      <c r="E4137" s="2" t="n">
        <f aca="false">'Raw Data'!Q4137</f>
        <v>8</v>
      </c>
      <c r="F4137" s="2" t="n">
        <f aca="false">'Raw Data'!U4137</f>
        <v>0</v>
      </c>
      <c r="G4137" s="2" t="n">
        <f aca="false">'Raw Data'!W4137</f>
        <v>4</v>
      </c>
      <c r="H4137" s="2" t="n">
        <f aca="false">'Raw Data'!V4137</f>
        <v>2</v>
      </c>
      <c r="I4137" s="2" t="n">
        <f aca="false">IF(AND(ISNUMBER(B4137),B4137&lt;=25),2,0)+IF(AND(ISNUMBER(E4137),E4137&lt;=5),2,0)+IF(AND(ISNUMBER(F4137),F4137&lt;=1),2,0)+IF(AND(ISNUMBER(G4137),G4137&lt;=2),1,0)+IF(AND(ISNUMBER(H4137),H4137&lt;=2),1,0)</f>
        <v>3</v>
      </c>
      <c r="J4137" s="2" t="str">
        <f aca="false">IF(I4137&gt;=6,"High",IF(I4137&gt;=3,"Medium","Low"))</f>
        <v>Medium</v>
      </c>
    </row>
    <row r="4138" customFormat="false" ht="15" hidden="false" customHeight="true" outlineLevel="0" collapsed="false">
      <c r="A4138" s="2" t="n">
        <f aca="false">'Raw Data'!H4138</f>
        <v>4137</v>
      </c>
      <c r="B4138" s="2" t="n">
        <f aca="false">'Raw Data'!A4138</f>
        <v>45</v>
      </c>
      <c r="C4138" s="2" t="str">
        <f aca="false">'Raw Data'!D4138</f>
        <v>Sales</v>
      </c>
      <c r="D4138" s="2" t="str">
        <f aca="false">'Raw Data'!K4138</f>
        <v>Laboratory Technician</v>
      </c>
      <c r="E4138" s="2" t="n">
        <f aca="false">'Raw Data'!Q4138</f>
        <v>8</v>
      </c>
      <c r="F4138" s="2" t="n">
        <f aca="false">'Raw Data'!U4138</f>
        <v>1</v>
      </c>
      <c r="G4138" s="2" t="n">
        <f aca="false">'Raw Data'!W4138</f>
        <v>3</v>
      </c>
      <c r="H4138" s="2" t="n">
        <f aca="false">'Raw Data'!V4138</f>
        <v>4</v>
      </c>
      <c r="I4138" s="2" t="n">
        <f aca="false">IF(AND(ISNUMBER(B4138),B4138&lt;=25),2,0)+IF(AND(ISNUMBER(E4138),E4138&lt;=5),2,0)+IF(AND(ISNUMBER(F4138),F4138&lt;=1),2,0)+IF(AND(ISNUMBER(G4138),G4138&lt;=2),1,0)+IF(AND(ISNUMBER(H4138),H4138&lt;=2),1,0)</f>
        <v>2</v>
      </c>
      <c r="J4138" s="2" t="str">
        <f aca="false">IF(I4138&gt;=6,"High",IF(I4138&gt;=3,"Medium","Low"))</f>
        <v>Low</v>
      </c>
    </row>
    <row r="4139" customFormat="false" ht="15" hidden="false" customHeight="true" outlineLevel="0" collapsed="false">
      <c r="A4139" s="2" t="n">
        <f aca="false">'Raw Data'!H4139</f>
        <v>4138</v>
      </c>
      <c r="B4139" s="2" t="n">
        <f aca="false">'Raw Data'!A4139</f>
        <v>40</v>
      </c>
      <c r="C4139" s="2" t="str">
        <f aca="false">'Raw Data'!D4139</f>
        <v>Sales</v>
      </c>
      <c r="D4139" s="2" t="str">
        <f aca="false">'Raw Data'!K4139</f>
        <v>Research Scientist</v>
      </c>
      <c r="E4139" s="2" t="n">
        <f aca="false">'Raw Data'!Q4139</f>
        <v>8</v>
      </c>
      <c r="F4139" s="2" t="n">
        <f aca="false">'Raw Data'!U4139</f>
        <v>2</v>
      </c>
      <c r="G4139" s="2" t="n">
        <f aca="false">'Raw Data'!W4139</f>
        <v>3</v>
      </c>
      <c r="H4139" s="2" t="n">
        <f aca="false">'Raw Data'!V4139</f>
        <v>3</v>
      </c>
      <c r="I4139" s="2" t="n">
        <f aca="false">IF(AND(ISNUMBER(B4139),B4139&lt;=25),2,0)+IF(AND(ISNUMBER(E4139),E4139&lt;=5),2,0)+IF(AND(ISNUMBER(F4139),F4139&lt;=1),2,0)+IF(AND(ISNUMBER(G4139),G4139&lt;=2),1,0)+IF(AND(ISNUMBER(H4139),H4139&lt;=2),1,0)</f>
        <v>0</v>
      </c>
      <c r="J4139" s="2" t="str">
        <f aca="false">IF(I4139&gt;=6,"High",IF(I4139&gt;=3,"Medium","Low"))</f>
        <v>Low</v>
      </c>
    </row>
    <row r="4140" customFormat="false" ht="15" hidden="false" customHeight="true" outlineLevel="0" collapsed="false">
      <c r="A4140" s="2" t="n">
        <f aca="false">'Raw Data'!H4140</f>
        <v>4139</v>
      </c>
      <c r="B4140" s="2" t="n">
        <f aca="false">'Raw Data'!A4140</f>
        <v>35</v>
      </c>
      <c r="C4140" s="2" t="str">
        <f aca="false">'Raw Data'!D4140</f>
        <v>Sales</v>
      </c>
      <c r="D4140" s="2" t="str">
        <f aca="false">'Raw Data'!K4140</f>
        <v>Manufacturing Director</v>
      </c>
      <c r="E4140" s="2" t="n">
        <f aca="false">'Raw Data'!Q4140</f>
        <v>10</v>
      </c>
      <c r="F4140" s="2" t="n">
        <f aca="false">'Raw Data'!U4140</f>
        <v>2</v>
      </c>
      <c r="G4140" s="2" t="n">
        <f aca="false">'Raw Data'!W4140</f>
        <v>3</v>
      </c>
      <c r="H4140" s="2" t="n">
        <f aca="false">'Raw Data'!V4140</f>
        <v>3</v>
      </c>
      <c r="I4140" s="2" t="n">
        <f aca="false">IF(AND(ISNUMBER(B4140),B4140&lt;=25),2,0)+IF(AND(ISNUMBER(E4140),E4140&lt;=5),2,0)+IF(AND(ISNUMBER(F4140),F4140&lt;=1),2,0)+IF(AND(ISNUMBER(G4140),G4140&lt;=2),1,0)+IF(AND(ISNUMBER(H4140),H4140&lt;=2),1,0)</f>
        <v>0</v>
      </c>
      <c r="J4140" s="2" t="str">
        <f aca="false">IF(I4140&gt;=6,"High",IF(I4140&gt;=3,"Medium","Low"))</f>
        <v>Low</v>
      </c>
    </row>
    <row r="4141" customFormat="false" ht="15" hidden="false" customHeight="true" outlineLevel="0" collapsed="false">
      <c r="A4141" s="2" t="n">
        <f aca="false">'Raw Data'!H4141</f>
        <v>4140</v>
      </c>
      <c r="B4141" s="2" t="n">
        <f aca="false">'Raw Data'!A4141</f>
        <v>40</v>
      </c>
      <c r="C4141" s="2" t="str">
        <f aca="false">'Raw Data'!D4141</f>
        <v>Research &amp; Development</v>
      </c>
      <c r="D4141" s="2" t="str">
        <f aca="false">'Raw Data'!K4141</f>
        <v>Manager</v>
      </c>
      <c r="E4141" s="2" t="n">
        <f aca="false">'Raw Data'!Q4141</f>
        <v>20</v>
      </c>
      <c r="F4141" s="2" t="n">
        <f aca="false">'Raw Data'!U4141</f>
        <v>2</v>
      </c>
      <c r="G4141" s="2" t="n">
        <f aca="false">'Raw Data'!W4141</f>
        <v>3</v>
      </c>
      <c r="H4141" s="2" t="n">
        <f aca="false">'Raw Data'!V4141</f>
        <v>3</v>
      </c>
      <c r="I4141" s="2" t="n">
        <f aca="false">IF(AND(ISNUMBER(B4141),B4141&lt;=25),2,0)+IF(AND(ISNUMBER(E4141),E4141&lt;=5),2,0)+IF(AND(ISNUMBER(F4141),F4141&lt;=1),2,0)+IF(AND(ISNUMBER(G4141),G4141&lt;=2),1,0)+IF(AND(ISNUMBER(H4141),H4141&lt;=2),1,0)</f>
        <v>0</v>
      </c>
      <c r="J4141" s="2" t="str">
        <f aca="false">IF(I4141&gt;=6,"High",IF(I4141&gt;=3,"Medium","Low"))</f>
        <v>Low</v>
      </c>
    </row>
    <row r="4142" customFormat="false" ht="15" hidden="false" customHeight="true" outlineLevel="0" collapsed="false">
      <c r="A4142" s="2" t="n">
        <f aca="false">'Raw Data'!H4142</f>
        <v>4141</v>
      </c>
      <c r="B4142" s="2" t="n">
        <f aca="false">'Raw Data'!A4142</f>
        <v>35</v>
      </c>
      <c r="C4142" s="2" t="str">
        <f aca="false">'Raw Data'!D4142</f>
        <v>Human Resources</v>
      </c>
      <c r="D4142" s="2" t="str">
        <f aca="false">'Raw Data'!K4142</f>
        <v>Research Scientist</v>
      </c>
      <c r="E4142" s="2" t="n">
        <f aca="false">'Raw Data'!Q4142</f>
        <v>4</v>
      </c>
      <c r="F4142" s="2" t="n">
        <f aca="false">'Raw Data'!U4142</f>
        <v>1</v>
      </c>
      <c r="G4142" s="2" t="n">
        <f aca="false">'Raw Data'!W4142</f>
        <v>4</v>
      </c>
      <c r="H4142" s="2" t="n">
        <f aca="false">'Raw Data'!V4142</f>
        <v>3</v>
      </c>
      <c r="I4142" s="2" t="n">
        <f aca="false">IF(AND(ISNUMBER(B4142),B4142&lt;=25),2,0)+IF(AND(ISNUMBER(E4142),E4142&lt;=5),2,0)+IF(AND(ISNUMBER(F4142),F4142&lt;=1),2,0)+IF(AND(ISNUMBER(G4142),G4142&lt;=2),1,0)+IF(AND(ISNUMBER(H4142),H4142&lt;=2),1,0)</f>
        <v>4</v>
      </c>
      <c r="J4142" s="2" t="str">
        <f aca="false">IF(I4142&gt;=6,"High",IF(I4142&gt;=3,"Medium","Low"))</f>
        <v>Medium</v>
      </c>
    </row>
    <row r="4143" customFormat="false" ht="15" hidden="false" customHeight="true" outlineLevel="0" collapsed="false">
      <c r="A4143" s="2" t="n">
        <f aca="false">'Raw Data'!H4143</f>
        <v>4142</v>
      </c>
      <c r="B4143" s="2" t="n">
        <f aca="false">'Raw Data'!A4143</f>
        <v>29</v>
      </c>
      <c r="C4143" s="2" t="str">
        <f aca="false">'Raw Data'!D4143</f>
        <v>Research &amp; Development</v>
      </c>
      <c r="D4143" s="2" t="str">
        <f aca="false">'Raw Data'!K4143</f>
        <v>Sales Executive</v>
      </c>
      <c r="E4143" s="2" t="n">
        <f aca="false">'Raw Data'!Q4143</f>
        <v>10</v>
      </c>
      <c r="F4143" s="2" t="n">
        <f aca="false">'Raw Data'!U4143</f>
        <v>3</v>
      </c>
      <c r="G4143" s="2" t="n">
        <f aca="false">'Raw Data'!W4143</f>
        <v>2</v>
      </c>
      <c r="H4143" s="2" t="n">
        <f aca="false">'Raw Data'!V4143</f>
        <v>4</v>
      </c>
      <c r="I4143" s="2" t="n">
        <f aca="false">IF(AND(ISNUMBER(B4143),B4143&lt;=25),2,0)+IF(AND(ISNUMBER(E4143),E4143&lt;=5),2,0)+IF(AND(ISNUMBER(F4143),F4143&lt;=1),2,0)+IF(AND(ISNUMBER(G4143),G4143&lt;=2),1,0)+IF(AND(ISNUMBER(H4143),H4143&lt;=2),1,0)</f>
        <v>1</v>
      </c>
      <c r="J4143" s="2" t="str">
        <f aca="false">IF(I4143&gt;=6,"High",IF(I4143&gt;=3,"Medium","Low"))</f>
        <v>Low</v>
      </c>
    </row>
    <row r="4144" customFormat="false" ht="15" hidden="false" customHeight="true" outlineLevel="0" collapsed="false">
      <c r="A4144" s="2" t="n">
        <f aca="false">'Raw Data'!H4144</f>
        <v>4143</v>
      </c>
      <c r="B4144" s="2" t="n">
        <f aca="false">'Raw Data'!A4144</f>
        <v>29</v>
      </c>
      <c r="C4144" s="2" t="str">
        <f aca="false">'Raw Data'!D4144</f>
        <v>Research &amp; Development</v>
      </c>
      <c r="D4144" s="2" t="str">
        <f aca="false">'Raw Data'!K4144</f>
        <v>Sales Representative</v>
      </c>
      <c r="E4144" s="2" t="n">
        <f aca="false">'Raw Data'!Q4144</f>
        <v>5</v>
      </c>
      <c r="F4144" s="2" t="n">
        <f aca="false">'Raw Data'!U4144</f>
        <v>4</v>
      </c>
      <c r="G4144" s="2" t="n">
        <f aca="false">'Raw Data'!W4144</f>
        <v>1</v>
      </c>
      <c r="H4144" s="2" t="n">
        <f aca="false">'Raw Data'!V4144</f>
        <v>4</v>
      </c>
      <c r="I4144" s="2" t="n">
        <f aca="false">IF(AND(ISNUMBER(B4144),B4144&lt;=25),2,0)+IF(AND(ISNUMBER(E4144),E4144&lt;=5),2,0)+IF(AND(ISNUMBER(F4144),F4144&lt;=1),2,0)+IF(AND(ISNUMBER(G4144),G4144&lt;=2),1,0)+IF(AND(ISNUMBER(H4144),H4144&lt;=2),1,0)</f>
        <v>3</v>
      </c>
      <c r="J4144" s="2" t="str">
        <f aca="false">IF(I4144&gt;=6,"High",IF(I4144&gt;=3,"Medium","Low"))</f>
        <v>Medium</v>
      </c>
    </row>
    <row r="4145" customFormat="false" ht="15" hidden="false" customHeight="true" outlineLevel="0" collapsed="false">
      <c r="A4145" s="2" t="n">
        <f aca="false">'Raw Data'!H4145</f>
        <v>4144</v>
      </c>
      <c r="B4145" s="2" t="n">
        <f aca="false">'Raw Data'!A4145</f>
        <v>50</v>
      </c>
      <c r="C4145" s="2" t="str">
        <f aca="false">'Raw Data'!D4145</f>
        <v>Research &amp; Development</v>
      </c>
      <c r="D4145" s="2" t="str">
        <f aca="false">'Raw Data'!K4145</f>
        <v>Research Scientist</v>
      </c>
      <c r="E4145" s="2" t="n">
        <f aca="false">'Raw Data'!Q4145</f>
        <v>20</v>
      </c>
      <c r="F4145" s="2" t="n">
        <f aca="false">'Raw Data'!U4145</f>
        <v>0</v>
      </c>
      <c r="G4145" s="2" t="n">
        <f aca="false">'Raw Data'!W4145</f>
        <v>1</v>
      </c>
      <c r="H4145" s="2" t="n">
        <f aca="false">'Raw Data'!V4145</f>
        <v>4</v>
      </c>
      <c r="I4145" s="2" t="n">
        <f aca="false">IF(AND(ISNUMBER(B4145),B4145&lt;=25),2,0)+IF(AND(ISNUMBER(E4145),E4145&lt;=5),2,0)+IF(AND(ISNUMBER(F4145),F4145&lt;=1),2,0)+IF(AND(ISNUMBER(G4145),G4145&lt;=2),1,0)+IF(AND(ISNUMBER(H4145),H4145&lt;=2),1,0)</f>
        <v>3</v>
      </c>
      <c r="J4145" s="2" t="str">
        <f aca="false">IF(I4145&gt;=6,"High",IF(I4145&gt;=3,"Medium","Low"))</f>
        <v>Medium</v>
      </c>
    </row>
    <row r="4146" customFormat="false" ht="15" hidden="false" customHeight="true" outlineLevel="0" collapsed="false">
      <c r="A4146" s="2" t="n">
        <f aca="false">'Raw Data'!H4146</f>
        <v>4145</v>
      </c>
      <c r="B4146" s="2" t="n">
        <f aca="false">'Raw Data'!A4146</f>
        <v>39</v>
      </c>
      <c r="C4146" s="2" t="str">
        <f aca="false">'Raw Data'!D4146</f>
        <v>Sales</v>
      </c>
      <c r="D4146" s="2" t="str">
        <f aca="false">'Raw Data'!K4146</f>
        <v>Sales Executive</v>
      </c>
      <c r="E4146" s="2" t="n">
        <f aca="false">'Raw Data'!Q4146</f>
        <v>21</v>
      </c>
      <c r="F4146" s="2" t="n">
        <f aca="false">'Raw Data'!U4146</f>
        <v>6</v>
      </c>
      <c r="G4146" s="2" t="n">
        <f aca="false">'Raw Data'!W4146</f>
        <v>4</v>
      </c>
      <c r="H4146" s="2" t="n">
        <f aca="false">'Raw Data'!V4146</f>
        <v>2</v>
      </c>
      <c r="I4146" s="2" t="n">
        <f aca="false">IF(AND(ISNUMBER(B4146),B4146&lt;=25),2,0)+IF(AND(ISNUMBER(E4146),E4146&lt;=5),2,0)+IF(AND(ISNUMBER(F4146),F4146&lt;=1),2,0)+IF(AND(ISNUMBER(G4146),G4146&lt;=2),1,0)+IF(AND(ISNUMBER(H4146),H4146&lt;=2),1,0)</f>
        <v>1</v>
      </c>
      <c r="J4146" s="2" t="str">
        <f aca="false">IF(I4146&gt;=6,"High",IF(I4146&gt;=3,"Medium","Low"))</f>
        <v>Low</v>
      </c>
    </row>
    <row r="4147" customFormat="false" ht="15" hidden="false" customHeight="true" outlineLevel="0" collapsed="false">
      <c r="A4147" s="2" t="n">
        <f aca="false">'Raw Data'!H4147</f>
        <v>4146</v>
      </c>
      <c r="B4147" s="2" t="n">
        <f aca="false">'Raw Data'!A4147</f>
        <v>31</v>
      </c>
      <c r="C4147" s="2" t="str">
        <f aca="false">'Raw Data'!D4147</f>
        <v>Research &amp; Development</v>
      </c>
      <c r="D4147" s="2" t="str">
        <f aca="false">'Raw Data'!K4147</f>
        <v>Sales Executive</v>
      </c>
      <c r="E4147" s="2" t="n">
        <f aca="false">'Raw Data'!Q4147</f>
        <v>10</v>
      </c>
      <c r="F4147" s="2" t="n">
        <f aca="false">'Raw Data'!U4147</f>
        <v>7</v>
      </c>
      <c r="G4147" s="2" t="n">
        <f aca="false">'Raw Data'!W4147</f>
        <v>1</v>
      </c>
      <c r="H4147" s="2" t="n">
        <f aca="false">'Raw Data'!V4147</f>
        <v>2</v>
      </c>
      <c r="I4147" s="2" t="n">
        <f aca="false">IF(AND(ISNUMBER(B4147),B4147&lt;=25),2,0)+IF(AND(ISNUMBER(E4147),E4147&lt;=5),2,0)+IF(AND(ISNUMBER(F4147),F4147&lt;=1),2,0)+IF(AND(ISNUMBER(G4147),G4147&lt;=2),1,0)+IF(AND(ISNUMBER(H4147),H4147&lt;=2),1,0)</f>
        <v>2</v>
      </c>
      <c r="J4147" s="2" t="str">
        <f aca="false">IF(I4147&gt;=6,"High",IF(I4147&gt;=3,"Medium","Low"))</f>
        <v>Low</v>
      </c>
    </row>
    <row r="4148" customFormat="false" ht="15" hidden="false" customHeight="true" outlineLevel="0" collapsed="false">
      <c r="A4148" s="2" t="n">
        <f aca="false">'Raw Data'!H4148</f>
        <v>4147</v>
      </c>
      <c r="B4148" s="2" t="n">
        <f aca="false">'Raw Data'!A4148</f>
        <v>26</v>
      </c>
      <c r="C4148" s="2" t="str">
        <f aca="false">'Raw Data'!D4148</f>
        <v>Research &amp; Development</v>
      </c>
      <c r="D4148" s="2" t="str">
        <f aca="false">'Raw Data'!K4148</f>
        <v>Manager</v>
      </c>
      <c r="E4148" s="2" t="n">
        <f aca="false">'Raw Data'!Q4148</f>
        <v>5</v>
      </c>
      <c r="F4148" s="2" t="n">
        <f aca="false">'Raw Data'!U4148</f>
        <v>0</v>
      </c>
      <c r="G4148" s="2" t="n">
        <f aca="false">'Raw Data'!W4148</f>
        <v>3</v>
      </c>
      <c r="H4148" s="2" t="n">
        <f aca="false">'Raw Data'!V4148</f>
        <v>4</v>
      </c>
      <c r="I4148" s="2" t="n">
        <f aca="false">IF(AND(ISNUMBER(B4148),B4148&lt;=25),2,0)+IF(AND(ISNUMBER(E4148),E4148&lt;=5),2,0)+IF(AND(ISNUMBER(F4148),F4148&lt;=1),2,0)+IF(AND(ISNUMBER(G4148),G4148&lt;=2),1,0)+IF(AND(ISNUMBER(H4148),H4148&lt;=2),1,0)</f>
        <v>4</v>
      </c>
      <c r="J4148" s="2" t="str">
        <f aca="false">IF(I4148&gt;=6,"High",IF(I4148&gt;=3,"Medium","Low"))</f>
        <v>Medium</v>
      </c>
    </row>
    <row r="4149" customFormat="false" ht="15" hidden="false" customHeight="true" outlineLevel="0" collapsed="false">
      <c r="A4149" s="2" t="n">
        <f aca="false">'Raw Data'!H4149</f>
        <v>4148</v>
      </c>
      <c r="B4149" s="2" t="n">
        <f aca="false">'Raw Data'!A4149</f>
        <v>36</v>
      </c>
      <c r="C4149" s="2" t="str">
        <f aca="false">'Raw Data'!D4149</f>
        <v>Research &amp; Development</v>
      </c>
      <c r="D4149" s="2" t="str">
        <f aca="false">'Raw Data'!K4149</f>
        <v>Sales Executive</v>
      </c>
      <c r="E4149" s="2" t="n">
        <f aca="false">'Raw Data'!Q4149</f>
        <v>17</v>
      </c>
      <c r="F4149" s="2" t="n">
        <f aca="false">'Raw Data'!U4149</f>
        <v>3</v>
      </c>
      <c r="G4149" s="2" t="n">
        <f aca="false">'Raw Data'!W4149</f>
        <v>4</v>
      </c>
      <c r="H4149" s="2" t="n">
        <f aca="false">'Raw Data'!V4149</f>
        <v>3</v>
      </c>
      <c r="I4149" s="2" t="n">
        <f aca="false">IF(AND(ISNUMBER(B4149),B4149&lt;=25),2,0)+IF(AND(ISNUMBER(E4149),E4149&lt;=5),2,0)+IF(AND(ISNUMBER(F4149),F4149&lt;=1),2,0)+IF(AND(ISNUMBER(G4149),G4149&lt;=2),1,0)+IF(AND(ISNUMBER(H4149),H4149&lt;=2),1,0)</f>
        <v>0</v>
      </c>
      <c r="J4149" s="2" t="str">
        <f aca="false">IF(I4149&gt;=6,"High",IF(I4149&gt;=3,"Medium","Low"))</f>
        <v>Low</v>
      </c>
    </row>
    <row r="4150" customFormat="false" ht="15" hidden="false" customHeight="true" outlineLevel="0" collapsed="false">
      <c r="A4150" s="2" t="n">
        <f aca="false">'Raw Data'!H4150</f>
        <v>4149</v>
      </c>
      <c r="B4150" s="2" t="n">
        <f aca="false">'Raw Data'!A4150</f>
        <v>39</v>
      </c>
      <c r="C4150" s="2" t="str">
        <f aca="false">'Raw Data'!D4150</f>
        <v>Research &amp; Development</v>
      </c>
      <c r="D4150" s="2" t="str">
        <f aca="false">'Raw Data'!K4150</f>
        <v>Research Scientist</v>
      </c>
      <c r="E4150" s="2" t="n">
        <f aca="false">'Raw Data'!Q4150</f>
        <v>9</v>
      </c>
      <c r="F4150" s="2" t="n">
        <f aca="false">'Raw Data'!U4150</f>
        <v>7</v>
      </c>
      <c r="G4150" s="2" t="n">
        <f aca="false">'Raw Data'!W4150</f>
        <v>1</v>
      </c>
      <c r="H4150" s="2" t="n">
        <f aca="false">'Raw Data'!V4150</f>
        <v>4</v>
      </c>
      <c r="I4150" s="2" t="n">
        <f aca="false">IF(AND(ISNUMBER(B4150),B4150&lt;=25),2,0)+IF(AND(ISNUMBER(E4150),E4150&lt;=5),2,0)+IF(AND(ISNUMBER(F4150),F4150&lt;=1),2,0)+IF(AND(ISNUMBER(G4150),G4150&lt;=2),1,0)+IF(AND(ISNUMBER(H4150),H4150&lt;=2),1,0)</f>
        <v>1</v>
      </c>
      <c r="J4150" s="2" t="str">
        <f aca="false">IF(I4150&gt;=6,"High",IF(I4150&gt;=3,"Medium","Low"))</f>
        <v>Low</v>
      </c>
    </row>
    <row r="4151" customFormat="false" ht="15" hidden="false" customHeight="true" outlineLevel="0" collapsed="false">
      <c r="A4151" s="2" t="n">
        <f aca="false">'Raw Data'!H4151</f>
        <v>4150</v>
      </c>
      <c r="B4151" s="2" t="n">
        <f aca="false">'Raw Data'!A4151</f>
        <v>27</v>
      </c>
      <c r="C4151" s="2" t="str">
        <f aca="false">'Raw Data'!D4151</f>
        <v>Research &amp; Development</v>
      </c>
      <c r="D4151" s="2" t="str">
        <f aca="false">'Raw Data'!K4151</f>
        <v>Laboratory Technician</v>
      </c>
      <c r="E4151" s="2" t="n">
        <f aca="false">'Raw Data'!Q4151</f>
        <v>6</v>
      </c>
      <c r="F4151" s="2" t="n">
        <f aca="false">'Raw Data'!U4151</f>
        <v>3</v>
      </c>
      <c r="G4151" s="2" t="n">
        <f aca="false">'Raw Data'!W4151</f>
        <v>2</v>
      </c>
      <c r="H4151" s="2" t="n">
        <f aca="false">'Raw Data'!V4151</f>
        <v>2</v>
      </c>
      <c r="I4151" s="2" t="n">
        <f aca="false">IF(AND(ISNUMBER(B4151),B4151&lt;=25),2,0)+IF(AND(ISNUMBER(E4151),E4151&lt;=5),2,0)+IF(AND(ISNUMBER(F4151),F4151&lt;=1),2,0)+IF(AND(ISNUMBER(G4151),G4151&lt;=2),1,0)+IF(AND(ISNUMBER(H4151),H4151&lt;=2),1,0)</f>
        <v>2</v>
      </c>
      <c r="J4151" s="2" t="str">
        <f aca="false">IF(I4151&gt;=6,"High",IF(I4151&gt;=3,"Medium","Low"))</f>
        <v>Low</v>
      </c>
    </row>
    <row r="4152" customFormat="false" ht="15" hidden="false" customHeight="true" outlineLevel="0" collapsed="false">
      <c r="A4152" s="2" t="n">
        <f aca="false">'Raw Data'!H4152</f>
        <v>4151</v>
      </c>
      <c r="B4152" s="2" t="n">
        <f aca="false">'Raw Data'!A4152</f>
        <v>49</v>
      </c>
      <c r="C4152" s="2" t="str">
        <f aca="false">'Raw Data'!D4152</f>
        <v>Research &amp; Development</v>
      </c>
      <c r="D4152" s="2" t="str">
        <f aca="false">'Raw Data'!K4152</f>
        <v>Healthcare Representative</v>
      </c>
      <c r="E4152" s="2" t="n">
        <f aca="false">'Raw Data'!Q4152</f>
        <v>17</v>
      </c>
      <c r="F4152" s="2" t="n">
        <f aca="false">'Raw Data'!U4152</f>
        <v>8</v>
      </c>
      <c r="G4152" s="2" t="n">
        <f aca="false">'Raw Data'!W4152</f>
        <v>2</v>
      </c>
      <c r="H4152" s="2" t="n">
        <f aca="false">'Raw Data'!V4152</f>
        <v>4</v>
      </c>
      <c r="I4152" s="2" t="n">
        <f aca="false">IF(AND(ISNUMBER(B4152),B4152&lt;=25),2,0)+IF(AND(ISNUMBER(E4152),E4152&lt;=5),2,0)+IF(AND(ISNUMBER(F4152),F4152&lt;=1),2,0)+IF(AND(ISNUMBER(G4152),G4152&lt;=2),1,0)+IF(AND(ISNUMBER(H4152),H4152&lt;=2),1,0)</f>
        <v>1</v>
      </c>
      <c r="J4152" s="2" t="str">
        <f aca="false">IF(I4152&gt;=6,"High",IF(I4152&gt;=3,"Medium","Low"))</f>
        <v>Low</v>
      </c>
    </row>
    <row r="4153" customFormat="false" ht="15" hidden="false" customHeight="true" outlineLevel="0" collapsed="false">
      <c r="A4153" s="2" t="n">
        <f aca="false">'Raw Data'!H4153</f>
        <v>4152</v>
      </c>
      <c r="B4153" s="2" t="n">
        <f aca="false">'Raw Data'!A4153</f>
        <v>34</v>
      </c>
      <c r="C4153" s="2" t="str">
        <f aca="false">'Raw Data'!D4153</f>
        <v>Sales</v>
      </c>
      <c r="D4153" s="2" t="str">
        <f aca="false">'Raw Data'!K4153</f>
        <v>Sales Executive</v>
      </c>
      <c r="E4153" s="2" t="n">
        <f aca="false">'Raw Data'!Q4153</f>
        <v>6</v>
      </c>
      <c r="F4153" s="2" t="n">
        <f aca="false">'Raw Data'!U4153</f>
        <v>2</v>
      </c>
      <c r="G4153" s="2" t="n">
        <f aca="false">'Raw Data'!W4153</f>
        <v>3</v>
      </c>
      <c r="H4153" s="2" t="n">
        <f aca="false">'Raw Data'!V4153</f>
        <v>2</v>
      </c>
      <c r="I4153" s="2" t="n">
        <f aca="false">IF(AND(ISNUMBER(B4153),B4153&lt;=25),2,0)+IF(AND(ISNUMBER(E4153),E4153&lt;=5),2,0)+IF(AND(ISNUMBER(F4153),F4153&lt;=1),2,0)+IF(AND(ISNUMBER(G4153),G4153&lt;=2),1,0)+IF(AND(ISNUMBER(H4153),H4153&lt;=2),1,0)</f>
        <v>1</v>
      </c>
      <c r="J4153" s="2" t="str">
        <f aca="false">IF(I4153&gt;=6,"High",IF(I4153&gt;=3,"Medium","Low"))</f>
        <v>Low</v>
      </c>
    </row>
    <row r="4154" customFormat="false" ht="15" hidden="false" customHeight="true" outlineLevel="0" collapsed="false">
      <c r="A4154" s="2" t="n">
        <f aca="false">'Raw Data'!H4154</f>
        <v>4153</v>
      </c>
      <c r="B4154" s="2" t="n">
        <f aca="false">'Raw Data'!A4154</f>
        <v>41</v>
      </c>
      <c r="C4154" s="2" t="str">
        <f aca="false">'Raw Data'!D4154</f>
        <v>Research &amp; Development</v>
      </c>
      <c r="D4154" s="2" t="str">
        <f aca="false">'Raw Data'!K4154</f>
        <v>Research Scientist</v>
      </c>
      <c r="E4154" s="2" t="n">
        <f aca="false">'Raw Data'!Q4154</f>
        <v>8</v>
      </c>
      <c r="F4154" s="2" t="n">
        <f aca="false">'Raw Data'!U4154</f>
        <v>5</v>
      </c>
      <c r="G4154" s="2" t="n">
        <f aca="false">'Raw Data'!W4154</f>
        <v>4</v>
      </c>
      <c r="H4154" s="2" t="n">
        <f aca="false">'Raw Data'!V4154</f>
        <v>2</v>
      </c>
      <c r="I4154" s="2" t="n">
        <f aca="false">IF(AND(ISNUMBER(B4154),B4154&lt;=25),2,0)+IF(AND(ISNUMBER(E4154),E4154&lt;=5),2,0)+IF(AND(ISNUMBER(F4154),F4154&lt;=1),2,0)+IF(AND(ISNUMBER(G4154),G4154&lt;=2),1,0)+IF(AND(ISNUMBER(H4154),H4154&lt;=2),1,0)</f>
        <v>1</v>
      </c>
      <c r="J4154" s="2" t="str">
        <f aca="false">IF(I4154&gt;=6,"High",IF(I4154&gt;=3,"Medium","Low"))</f>
        <v>Low</v>
      </c>
    </row>
    <row r="4155" customFormat="false" ht="15" hidden="false" customHeight="true" outlineLevel="0" collapsed="false">
      <c r="A4155" s="2" t="n">
        <f aca="false">'Raw Data'!H4155</f>
        <v>4154</v>
      </c>
      <c r="B4155" s="2" t="n">
        <f aca="false">'Raw Data'!A4155</f>
        <v>49</v>
      </c>
      <c r="C4155" s="2" t="str">
        <f aca="false">'Raw Data'!D4155</f>
        <v>Sales</v>
      </c>
      <c r="D4155" s="2" t="str">
        <f aca="false">'Raw Data'!K4155</f>
        <v>Manufacturing Director</v>
      </c>
      <c r="E4155" s="2" t="n">
        <f aca="false">'Raw Data'!Q4155</f>
        <v>10</v>
      </c>
      <c r="F4155" s="2" t="n">
        <f aca="false">'Raw Data'!U4155</f>
        <v>7</v>
      </c>
      <c r="G4155" s="2" t="n">
        <f aca="false">'Raw Data'!W4155</f>
        <v>2</v>
      </c>
      <c r="H4155" s="2" t="n">
        <f aca="false">'Raw Data'!V4155</f>
        <v>3</v>
      </c>
      <c r="I4155" s="2" t="n">
        <f aca="false">IF(AND(ISNUMBER(B4155),B4155&lt;=25),2,0)+IF(AND(ISNUMBER(E4155),E4155&lt;=5),2,0)+IF(AND(ISNUMBER(F4155),F4155&lt;=1),2,0)+IF(AND(ISNUMBER(G4155),G4155&lt;=2),1,0)+IF(AND(ISNUMBER(H4155),H4155&lt;=2),1,0)</f>
        <v>1</v>
      </c>
      <c r="J4155" s="2" t="str">
        <f aca="false">IF(I4155&gt;=6,"High",IF(I4155&gt;=3,"Medium","Low"))</f>
        <v>Low</v>
      </c>
    </row>
    <row r="4156" customFormat="false" ht="15" hidden="false" customHeight="true" outlineLevel="0" collapsed="false">
      <c r="A4156" s="2" t="n">
        <f aca="false">'Raw Data'!H4156</f>
        <v>4155</v>
      </c>
      <c r="B4156" s="2" t="n">
        <f aca="false">'Raw Data'!A4156</f>
        <v>37</v>
      </c>
      <c r="C4156" s="2" t="str">
        <f aca="false">'Raw Data'!D4156</f>
        <v>Research &amp; Development</v>
      </c>
      <c r="D4156" s="2" t="str">
        <f aca="false">'Raw Data'!K4156</f>
        <v>Sales Executive</v>
      </c>
      <c r="E4156" s="2" t="n">
        <f aca="false">'Raw Data'!Q4156</f>
        <v>7</v>
      </c>
      <c r="F4156" s="2" t="n">
        <f aca="false">'Raw Data'!U4156</f>
        <v>0</v>
      </c>
      <c r="G4156" s="2" t="n">
        <f aca="false">'Raw Data'!W4156</f>
        <v>3</v>
      </c>
      <c r="H4156" s="2" t="n">
        <f aca="false">'Raw Data'!V4156</f>
        <v>4</v>
      </c>
      <c r="I4156" s="2" t="n">
        <f aca="false">IF(AND(ISNUMBER(B4156),B4156&lt;=25),2,0)+IF(AND(ISNUMBER(E4156),E4156&lt;=5),2,0)+IF(AND(ISNUMBER(F4156),F4156&lt;=1),2,0)+IF(AND(ISNUMBER(G4156),G4156&lt;=2),1,0)+IF(AND(ISNUMBER(H4156),H4156&lt;=2),1,0)</f>
        <v>2</v>
      </c>
      <c r="J4156" s="2" t="str">
        <f aca="false">IF(I4156&gt;=6,"High",IF(I4156&gt;=3,"Medium","Low"))</f>
        <v>Low</v>
      </c>
    </row>
    <row r="4157" customFormat="false" ht="15" hidden="false" customHeight="true" outlineLevel="0" collapsed="false">
      <c r="A4157" s="2" t="n">
        <f aca="false">'Raw Data'!H4157</f>
        <v>4156</v>
      </c>
      <c r="B4157" s="2" t="n">
        <f aca="false">'Raw Data'!A4157</f>
        <v>33</v>
      </c>
      <c r="C4157" s="2" t="str">
        <f aca="false">'Raw Data'!D4157</f>
        <v>Research &amp; Development</v>
      </c>
      <c r="D4157" s="2" t="str">
        <f aca="false">'Raw Data'!K4157</f>
        <v>Research Scientist</v>
      </c>
      <c r="E4157" s="2" t="n">
        <f aca="false">'Raw Data'!Q4157</f>
        <v>8</v>
      </c>
      <c r="F4157" s="2" t="n">
        <f aca="false">'Raw Data'!U4157</f>
        <v>0</v>
      </c>
      <c r="G4157" s="2" t="n">
        <f aca="false">'Raw Data'!W4157</f>
        <v>3</v>
      </c>
      <c r="H4157" s="2" t="n">
        <f aca="false">'Raw Data'!V4157</f>
        <v>4</v>
      </c>
      <c r="I4157" s="2" t="n">
        <f aca="false">IF(AND(ISNUMBER(B4157),B4157&lt;=25),2,0)+IF(AND(ISNUMBER(E4157),E4157&lt;=5),2,0)+IF(AND(ISNUMBER(F4157),F4157&lt;=1),2,0)+IF(AND(ISNUMBER(G4157),G4157&lt;=2),1,0)+IF(AND(ISNUMBER(H4157),H4157&lt;=2),1,0)</f>
        <v>2</v>
      </c>
      <c r="J4157" s="2" t="str">
        <f aca="false">IF(I4157&gt;=6,"High",IF(I4157&gt;=3,"Medium","Low"))</f>
        <v>Low</v>
      </c>
    </row>
    <row r="4158" customFormat="false" ht="15" hidden="false" customHeight="true" outlineLevel="0" collapsed="false">
      <c r="A4158" s="2" t="n">
        <f aca="false">'Raw Data'!H4158</f>
        <v>4157</v>
      </c>
      <c r="B4158" s="2" t="n">
        <f aca="false">'Raw Data'!A4158</f>
        <v>27</v>
      </c>
      <c r="C4158" s="2" t="str">
        <f aca="false">'Raw Data'!D4158</f>
        <v>Sales</v>
      </c>
      <c r="D4158" s="2" t="str">
        <f aca="false">'Raw Data'!K4158</f>
        <v>Manufacturing Director</v>
      </c>
      <c r="E4158" s="2" t="n">
        <f aca="false">'Raw Data'!Q4158</f>
        <v>6</v>
      </c>
      <c r="F4158" s="2" t="n">
        <f aca="false">'Raw Data'!U4158</f>
        <v>2</v>
      </c>
      <c r="G4158" s="2" t="n">
        <f aca="false">'Raw Data'!W4158</f>
        <v>2</v>
      </c>
      <c r="H4158" s="2" t="n">
        <f aca="false">'Raw Data'!V4158</f>
        <v>1</v>
      </c>
      <c r="I4158" s="2" t="n">
        <f aca="false">IF(AND(ISNUMBER(B4158),B4158&lt;=25),2,0)+IF(AND(ISNUMBER(E4158),E4158&lt;=5),2,0)+IF(AND(ISNUMBER(F4158),F4158&lt;=1),2,0)+IF(AND(ISNUMBER(G4158),G4158&lt;=2),1,0)+IF(AND(ISNUMBER(H4158),H4158&lt;=2),1,0)</f>
        <v>2</v>
      </c>
      <c r="J4158" s="2" t="str">
        <f aca="false">IF(I4158&gt;=6,"High",IF(I4158&gt;=3,"Medium","Low"))</f>
        <v>Low</v>
      </c>
    </row>
    <row r="4159" customFormat="false" ht="15" hidden="false" customHeight="true" outlineLevel="0" collapsed="false">
      <c r="A4159" s="2" t="n">
        <f aca="false">'Raw Data'!H4159</f>
        <v>4158</v>
      </c>
      <c r="B4159" s="2" t="n">
        <f aca="false">'Raw Data'!A4159</f>
        <v>32</v>
      </c>
      <c r="C4159" s="2" t="str">
        <f aca="false">'Raw Data'!D4159</f>
        <v>Research &amp; Development</v>
      </c>
      <c r="D4159" s="2" t="str">
        <f aca="false">'Raw Data'!K4159</f>
        <v>Research Scientist</v>
      </c>
      <c r="E4159" s="2" t="n">
        <f aca="false">'Raw Data'!Q4159</f>
        <v>8</v>
      </c>
      <c r="F4159" s="2" t="n">
        <f aca="false">'Raw Data'!U4159</f>
        <v>6</v>
      </c>
      <c r="G4159" s="2" t="n">
        <f aca="false">'Raw Data'!W4159</f>
        <v>4</v>
      </c>
      <c r="H4159" s="2" t="n">
        <f aca="false">'Raw Data'!V4159</f>
        <v>4</v>
      </c>
      <c r="I4159" s="2" t="n">
        <f aca="false">IF(AND(ISNUMBER(B4159),B4159&lt;=25),2,0)+IF(AND(ISNUMBER(E4159),E4159&lt;=5),2,0)+IF(AND(ISNUMBER(F4159),F4159&lt;=1),2,0)+IF(AND(ISNUMBER(G4159),G4159&lt;=2),1,0)+IF(AND(ISNUMBER(H4159),H4159&lt;=2),1,0)</f>
        <v>0</v>
      </c>
      <c r="J4159" s="2" t="str">
        <f aca="false">IF(I4159&gt;=6,"High",IF(I4159&gt;=3,"Medium","Low"))</f>
        <v>Low</v>
      </c>
    </row>
    <row r="4160" customFormat="false" ht="15" hidden="false" customHeight="true" outlineLevel="0" collapsed="false">
      <c r="A4160" s="2" t="n">
        <f aca="false">'Raw Data'!H4160</f>
        <v>4159</v>
      </c>
      <c r="B4160" s="2" t="n">
        <f aca="false">'Raw Data'!A4160</f>
        <v>59</v>
      </c>
      <c r="C4160" s="2" t="str">
        <f aca="false">'Raw Data'!D4160</f>
        <v>Sales</v>
      </c>
      <c r="D4160" s="2" t="str">
        <f aca="false">'Raw Data'!K4160</f>
        <v>Sales Representative</v>
      </c>
      <c r="E4160" s="2" t="n">
        <f aca="false">'Raw Data'!Q4160</f>
        <v>12</v>
      </c>
      <c r="F4160" s="2" t="n">
        <f aca="false">'Raw Data'!U4160</f>
        <v>0</v>
      </c>
      <c r="G4160" s="2" t="n">
        <f aca="false">'Raw Data'!W4160</f>
        <v>1</v>
      </c>
      <c r="H4160" s="2" t="n">
        <f aca="false">'Raw Data'!V4160</f>
        <v>3</v>
      </c>
      <c r="I4160" s="2" t="n">
        <f aca="false">IF(AND(ISNUMBER(B4160),B4160&lt;=25),2,0)+IF(AND(ISNUMBER(E4160),E4160&lt;=5),2,0)+IF(AND(ISNUMBER(F4160),F4160&lt;=1),2,0)+IF(AND(ISNUMBER(G4160),G4160&lt;=2),1,0)+IF(AND(ISNUMBER(H4160),H4160&lt;=2),1,0)</f>
        <v>3</v>
      </c>
      <c r="J4160" s="2" t="str">
        <f aca="false">IF(I4160&gt;=6,"High",IF(I4160&gt;=3,"Medium","Low"))</f>
        <v>Medium</v>
      </c>
    </row>
    <row r="4161" customFormat="false" ht="15" hidden="false" customHeight="true" outlineLevel="0" collapsed="false">
      <c r="A4161" s="2" t="n">
        <f aca="false">'Raw Data'!H4161</f>
        <v>4160</v>
      </c>
      <c r="B4161" s="2" t="n">
        <f aca="false">'Raw Data'!A4161</f>
        <v>30</v>
      </c>
      <c r="C4161" s="2" t="str">
        <f aca="false">'Raw Data'!D4161</f>
        <v>Research &amp; Development</v>
      </c>
      <c r="D4161" s="2" t="str">
        <f aca="false">'Raw Data'!K4161</f>
        <v>Laboratory Technician</v>
      </c>
      <c r="E4161" s="2" t="n">
        <f aca="false">'Raw Data'!Q4161</f>
        <v>1</v>
      </c>
      <c r="F4161" s="2" t="n">
        <f aca="false">'Raw Data'!U4161</f>
        <v>0</v>
      </c>
      <c r="G4161" s="2" t="n">
        <f aca="false">'Raw Data'!W4161</f>
        <v>3</v>
      </c>
      <c r="H4161" s="2" t="n">
        <f aca="false">'Raw Data'!V4161</f>
        <v>4</v>
      </c>
      <c r="I4161" s="2" t="n">
        <f aca="false">IF(AND(ISNUMBER(B4161),B4161&lt;=25),2,0)+IF(AND(ISNUMBER(E4161),E4161&lt;=5),2,0)+IF(AND(ISNUMBER(F4161),F4161&lt;=1),2,0)+IF(AND(ISNUMBER(G4161),G4161&lt;=2),1,0)+IF(AND(ISNUMBER(H4161),H4161&lt;=2),1,0)</f>
        <v>4</v>
      </c>
      <c r="J4161" s="2" t="str">
        <f aca="false">IF(I4161&gt;=6,"High",IF(I4161&gt;=3,"Medium","Low"))</f>
        <v>Medium</v>
      </c>
    </row>
    <row r="4162" customFormat="false" ht="15" hidden="false" customHeight="true" outlineLevel="0" collapsed="false">
      <c r="A4162" s="2" t="n">
        <f aca="false">'Raw Data'!H4162</f>
        <v>4161</v>
      </c>
      <c r="B4162" s="2" t="n">
        <f aca="false">'Raw Data'!A4162</f>
        <v>38</v>
      </c>
      <c r="C4162" s="2" t="str">
        <f aca="false">'Raw Data'!D4162</f>
        <v>Sales</v>
      </c>
      <c r="D4162" s="2" t="str">
        <f aca="false">'Raw Data'!K4162</f>
        <v>Healthcare Representative</v>
      </c>
      <c r="E4162" s="2" t="n">
        <f aca="false">'Raw Data'!Q4162</f>
        <v>10</v>
      </c>
      <c r="F4162" s="2" t="n">
        <f aca="false">'Raw Data'!U4162</f>
        <v>8</v>
      </c>
      <c r="G4162" s="2" t="n">
        <f aca="false">'Raw Data'!W4162</f>
        <v>3</v>
      </c>
      <c r="H4162" s="2" t="n">
        <f aca="false">'Raw Data'!V4162</f>
        <v>4</v>
      </c>
      <c r="I4162" s="2" t="n">
        <f aca="false">IF(AND(ISNUMBER(B4162),B4162&lt;=25),2,0)+IF(AND(ISNUMBER(E4162),E4162&lt;=5),2,0)+IF(AND(ISNUMBER(F4162),F4162&lt;=1),2,0)+IF(AND(ISNUMBER(G4162),G4162&lt;=2),1,0)+IF(AND(ISNUMBER(H4162),H4162&lt;=2),1,0)</f>
        <v>0</v>
      </c>
      <c r="J4162" s="2" t="str">
        <f aca="false">IF(I4162&gt;=6,"High",IF(I4162&gt;=3,"Medium","Low"))</f>
        <v>Low</v>
      </c>
    </row>
    <row r="4163" customFormat="false" ht="15" hidden="false" customHeight="true" outlineLevel="0" collapsed="false">
      <c r="A4163" s="2" t="n">
        <f aca="false">'Raw Data'!H4163</f>
        <v>4162</v>
      </c>
      <c r="B4163" s="2" t="n">
        <f aca="false">'Raw Data'!A4163</f>
        <v>36</v>
      </c>
      <c r="C4163" s="2" t="str">
        <f aca="false">'Raw Data'!D4163</f>
        <v>Research &amp; Development</v>
      </c>
      <c r="D4163" s="2" t="str">
        <f aca="false">'Raw Data'!K4163</f>
        <v>Sales Executive</v>
      </c>
      <c r="E4163" s="2" t="n">
        <f aca="false">'Raw Data'!Q4163</f>
        <v>17</v>
      </c>
      <c r="F4163" s="2" t="n">
        <f aca="false">'Raw Data'!U4163</f>
        <v>7</v>
      </c>
      <c r="G4163" s="2" t="n">
        <f aca="false">'Raw Data'!W4163</f>
        <v>3</v>
      </c>
      <c r="H4163" s="2" t="n">
        <f aca="false">'Raw Data'!V4163</f>
        <v>3</v>
      </c>
      <c r="I4163" s="2" t="n">
        <f aca="false">IF(AND(ISNUMBER(B4163),B4163&lt;=25),2,0)+IF(AND(ISNUMBER(E4163),E4163&lt;=5),2,0)+IF(AND(ISNUMBER(F4163),F4163&lt;=1),2,0)+IF(AND(ISNUMBER(G4163),G4163&lt;=2),1,0)+IF(AND(ISNUMBER(H4163),H4163&lt;=2),1,0)</f>
        <v>0</v>
      </c>
      <c r="J4163" s="2" t="str">
        <f aca="false">IF(I4163&gt;=6,"High",IF(I4163&gt;=3,"Medium","Low"))</f>
        <v>Low</v>
      </c>
    </row>
    <row r="4164" customFormat="false" ht="15" hidden="false" customHeight="true" outlineLevel="0" collapsed="false">
      <c r="A4164" s="2" t="n">
        <f aca="false">'Raw Data'!H4164</f>
        <v>4163</v>
      </c>
      <c r="B4164" s="2" t="n">
        <f aca="false">'Raw Data'!A4164</f>
        <v>35</v>
      </c>
      <c r="C4164" s="2" t="str">
        <f aca="false">'Raw Data'!D4164</f>
        <v>Human Resources</v>
      </c>
      <c r="D4164" s="2" t="str">
        <f aca="false">'Raw Data'!K4164</f>
        <v>Manager</v>
      </c>
      <c r="E4164" s="2" t="n">
        <f aca="false">'Raw Data'!Q4164</f>
        <v>6</v>
      </c>
      <c r="F4164" s="2" t="n">
        <f aca="false">'Raw Data'!U4164</f>
        <v>3</v>
      </c>
      <c r="G4164" s="2" t="n">
        <f aca="false">'Raw Data'!W4164</f>
        <v>2</v>
      </c>
      <c r="H4164" s="2" t="n">
        <f aca="false">'Raw Data'!V4164</f>
        <v>1</v>
      </c>
      <c r="I4164" s="2" t="n">
        <f aca="false">IF(AND(ISNUMBER(B4164),B4164&lt;=25),2,0)+IF(AND(ISNUMBER(E4164),E4164&lt;=5),2,0)+IF(AND(ISNUMBER(F4164),F4164&lt;=1),2,0)+IF(AND(ISNUMBER(G4164),G4164&lt;=2),1,0)+IF(AND(ISNUMBER(H4164),H4164&lt;=2),1,0)</f>
        <v>2</v>
      </c>
      <c r="J4164" s="2" t="str">
        <f aca="false">IF(I4164&gt;=6,"High",IF(I4164&gt;=3,"Medium","Low"))</f>
        <v>Low</v>
      </c>
    </row>
    <row r="4165" customFormat="false" ht="15" hidden="false" customHeight="true" outlineLevel="0" collapsed="false">
      <c r="A4165" s="2" t="n">
        <f aca="false">'Raw Data'!H4165</f>
        <v>4164</v>
      </c>
      <c r="B4165" s="2" t="n">
        <f aca="false">'Raw Data'!A4165</f>
        <v>29</v>
      </c>
      <c r="C4165" s="2" t="str">
        <f aca="false">'Raw Data'!D4165</f>
        <v>Sales</v>
      </c>
      <c r="D4165" s="2" t="str">
        <f aca="false">'Raw Data'!K4165</f>
        <v>Laboratory Technician</v>
      </c>
      <c r="E4165" s="2" t="n">
        <f aca="false">'Raw Data'!Q4165</f>
        <v>10</v>
      </c>
      <c r="F4165" s="2" t="n">
        <f aca="false">'Raw Data'!U4165</f>
        <v>8</v>
      </c>
      <c r="G4165" s="2" t="n">
        <f aca="false">'Raw Data'!W4165</f>
        <v>3</v>
      </c>
      <c r="H4165" s="2" t="n">
        <f aca="false">'Raw Data'!V4165</f>
        <v>4</v>
      </c>
      <c r="I4165" s="2" t="n">
        <f aca="false">IF(AND(ISNUMBER(B4165),B4165&lt;=25),2,0)+IF(AND(ISNUMBER(E4165),E4165&lt;=5),2,0)+IF(AND(ISNUMBER(F4165),F4165&lt;=1),2,0)+IF(AND(ISNUMBER(G4165),G4165&lt;=2),1,0)+IF(AND(ISNUMBER(H4165),H4165&lt;=2),1,0)</f>
        <v>0</v>
      </c>
      <c r="J4165" s="2" t="str">
        <f aca="false">IF(I4165&gt;=6,"High",IF(I4165&gt;=3,"Medium","Low"))</f>
        <v>Low</v>
      </c>
    </row>
    <row r="4166" customFormat="false" ht="15" hidden="false" customHeight="true" outlineLevel="0" collapsed="false">
      <c r="A4166" s="2" t="n">
        <f aca="false">'Raw Data'!H4166</f>
        <v>4165</v>
      </c>
      <c r="B4166" s="2" t="n">
        <f aca="false">'Raw Data'!A4166</f>
        <v>31</v>
      </c>
      <c r="C4166" s="2" t="str">
        <f aca="false">'Raw Data'!D4166</f>
        <v>Research &amp; Development</v>
      </c>
      <c r="D4166" s="2" t="str">
        <f aca="false">'Raw Data'!K4166</f>
        <v>Laboratory Technician</v>
      </c>
      <c r="E4166" s="2" t="n">
        <f aca="false">'Raw Data'!Q4166</f>
        <v>5</v>
      </c>
      <c r="F4166" s="2" t="n">
        <f aca="false">'Raw Data'!U4166</f>
        <v>3</v>
      </c>
      <c r="G4166" s="2" t="n">
        <f aca="false">'Raw Data'!W4166</f>
        <v>3</v>
      </c>
      <c r="H4166" s="2" t="n">
        <f aca="false">'Raw Data'!V4166</f>
        <v>1</v>
      </c>
      <c r="I4166" s="2" t="n">
        <f aca="false">IF(AND(ISNUMBER(B4166),B4166&lt;=25),2,0)+IF(AND(ISNUMBER(E4166),E4166&lt;=5),2,0)+IF(AND(ISNUMBER(F4166),F4166&lt;=1),2,0)+IF(AND(ISNUMBER(G4166),G4166&lt;=2),1,0)+IF(AND(ISNUMBER(H4166),H4166&lt;=2),1,0)</f>
        <v>3</v>
      </c>
      <c r="J4166" s="2" t="str">
        <f aca="false">IF(I4166&gt;=6,"High",IF(I4166&gt;=3,"Medium","Low"))</f>
        <v>Medium</v>
      </c>
    </row>
    <row r="4167" customFormat="false" ht="15" hidden="false" customHeight="true" outlineLevel="0" collapsed="false">
      <c r="A4167" s="2" t="n">
        <f aca="false">'Raw Data'!H4167</f>
        <v>4166</v>
      </c>
      <c r="B4167" s="2" t="n">
        <f aca="false">'Raw Data'!A4167</f>
        <v>34</v>
      </c>
      <c r="C4167" s="2" t="str">
        <f aca="false">'Raw Data'!D4167</f>
        <v>Research &amp; Development</v>
      </c>
      <c r="D4167" s="2" t="str">
        <f aca="false">'Raw Data'!K4167</f>
        <v>Laboratory Technician</v>
      </c>
      <c r="E4167" s="2" t="n">
        <f aca="false">'Raw Data'!Q4167</f>
        <v>3</v>
      </c>
      <c r="F4167" s="2" t="n">
        <f aca="false">'Raw Data'!U4167</f>
        <v>2</v>
      </c>
      <c r="G4167" s="2" t="n">
        <f aca="false">'Raw Data'!W4167</f>
        <v>4</v>
      </c>
      <c r="H4167" s="2" t="n">
        <f aca="false">'Raw Data'!V4167</f>
        <v>2</v>
      </c>
      <c r="I4167" s="2" t="n">
        <f aca="false">IF(AND(ISNUMBER(B4167),B4167&lt;=25),2,0)+IF(AND(ISNUMBER(E4167),E4167&lt;=5),2,0)+IF(AND(ISNUMBER(F4167),F4167&lt;=1),2,0)+IF(AND(ISNUMBER(G4167),G4167&lt;=2),1,0)+IF(AND(ISNUMBER(H4167),H4167&lt;=2),1,0)</f>
        <v>3</v>
      </c>
      <c r="J4167" s="2" t="str">
        <f aca="false">IF(I4167&gt;=6,"High",IF(I4167&gt;=3,"Medium","Low"))</f>
        <v>Medium</v>
      </c>
    </row>
    <row r="4168" customFormat="false" ht="15" hidden="false" customHeight="true" outlineLevel="0" collapsed="false">
      <c r="A4168" s="2" t="n">
        <f aca="false">'Raw Data'!H4168</f>
        <v>4167</v>
      </c>
      <c r="B4168" s="2" t="n">
        <f aca="false">'Raw Data'!A4168</f>
        <v>28</v>
      </c>
      <c r="C4168" s="2" t="str">
        <f aca="false">'Raw Data'!D4168</f>
        <v>Research &amp; Development</v>
      </c>
      <c r="D4168" s="2" t="str">
        <f aca="false">'Raw Data'!K4168</f>
        <v>Research Director</v>
      </c>
      <c r="E4168" s="2" t="n">
        <f aca="false">'Raw Data'!Q4168</f>
        <v>6</v>
      </c>
      <c r="F4168" s="2" t="n">
        <f aca="false">'Raw Data'!U4168</f>
        <v>3</v>
      </c>
      <c r="G4168" s="2" t="n">
        <f aca="false">'Raw Data'!W4168</f>
        <v>3</v>
      </c>
      <c r="H4168" s="2" t="n">
        <f aca="false">'Raw Data'!V4168</f>
        <v>3</v>
      </c>
      <c r="I4168" s="2" t="n">
        <f aca="false">IF(AND(ISNUMBER(B4168),B4168&lt;=25),2,0)+IF(AND(ISNUMBER(E4168),E4168&lt;=5),2,0)+IF(AND(ISNUMBER(F4168),F4168&lt;=1),2,0)+IF(AND(ISNUMBER(G4168),G4168&lt;=2),1,0)+IF(AND(ISNUMBER(H4168),H4168&lt;=2),1,0)</f>
        <v>0</v>
      </c>
      <c r="J4168" s="2" t="str">
        <f aca="false">IF(I4168&gt;=6,"High",IF(I4168&gt;=3,"Medium","Low"))</f>
        <v>Low</v>
      </c>
    </row>
    <row r="4169" customFormat="false" ht="15" hidden="false" customHeight="true" outlineLevel="0" collapsed="false">
      <c r="A4169" s="2" t="n">
        <f aca="false">'Raw Data'!H4169</f>
        <v>4168</v>
      </c>
      <c r="B4169" s="2" t="n">
        <f aca="false">'Raw Data'!A4169</f>
        <v>29</v>
      </c>
      <c r="C4169" s="2" t="str">
        <f aca="false">'Raw Data'!D4169</f>
        <v>Research &amp; Development</v>
      </c>
      <c r="D4169" s="2" t="str">
        <f aca="false">'Raw Data'!K4169</f>
        <v>Laboratory Technician</v>
      </c>
      <c r="E4169" s="2" t="n">
        <f aca="false">'Raw Data'!Q4169</f>
        <v>10</v>
      </c>
      <c r="F4169" s="2" t="n">
        <f aca="false">'Raw Data'!U4169</f>
        <v>8</v>
      </c>
      <c r="G4169" s="2" t="n">
        <f aca="false">'Raw Data'!W4169</f>
        <v>1</v>
      </c>
      <c r="H4169" s="2" t="n">
        <f aca="false">'Raw Data'!V4169</f>
        <v>2</v>
      </c>
      <c r="I4169" s="2" t="n">
        <f aca="false">IF(AND(ISNUMBER(B4169),B4169&lt;=25),2,0)+IF(AND(ISNUMBER(E4169),E4169&lt;=5),2,0)+IF(AND(ISNUMBER(F4169),F4169&lt;=1),2,0)+IF(AND(ISNUMBER(G4169),G4169&lt;=2),1,0)+IF(AND(ISNUMBER(H4169),H4169&lt;=2),1,0)</f>
        <v>2</v>
      </c>
      <c r="J4169" s="2" t="str">
        <f aca="false">IF(I4169&gt;=6,"High",IF(I4169&gt;=3,"Medium","Low"))</f>
        <v>Low</v>
      </c>
    </row>
    <row r="4170" customFormat="false" ht="15" hidden="false" customHeight="true" outlineLevel="0" collapsed="false">
      <c r="A4170" s="2" t="n">
        <f aca="false">'Raw Data'!H4170</f>
        <v>4169</v>
      </c>
      <c r="B4170" s="2" t="n">
        <f aca="false">'Raw Data'!A4170</f>
        <v>32</v>
      </c>
      <c r="C4170" s="2" t="str">
        <f aca="false">'Raw Data'!D4170</f>
        <v>Human Resources</v>
      </c>
      <c r="D4170" s="2" t="str">
        <f aca="false">'Raw Data'!K4170</f>
        <v>Research Director</v>
      </c>
      <c r="E4170" s="2" t="n">
        <f aca="false">'Raw Data'!Q4170</f>
        <v>7</v>
      </c>
      <c r="F4170" s="2" t="n">
        <f aca="false">'Raw Data'!U4170</f>
        <v>5</v>
      </c>
      <c r="G4170" s="2" t="n">
        <f aca="false">'Raw Data'!W4170</f>
        <v>2</v>
      </c>
      <c r="H4170" s="2" t="n">
        <f aca="false">'Raw Data'!V4170</f>
        <v>1</v>
      </c>
      <c r="I4170" s="2" t="n">
        <f aca="false">IF(AND(ISNUMBER(B4170),B4170&lt;=25),2,0)+IF(AND(ISNUMBER(E4170),E4170&lt;=5),2,0)+IF(AND(ISNUMBER(F4170),F4170&lt;=1),2,0)+IF(AND(ISNUMBER(G4170),G4170&lt;=2),1,0)+IF(AND(ISNUMBER(H4170),H4170&lt;=2),1,0)</f>
        <v>2</v>
      </c>
      <c r="J4170" s="2" t="str">
        <f aca="false">IF(I4170&gt;=6,"High",IF(I4170&gt;=3,"Medium","Low"))</f>
        <v>Low</v>
      </c>
    </row>
    <row r="4171" customFormat="false" ht="15" hidden="false" customHeight="true" outlineLevel="0" collapsed="false">
      <c r="A4171" s="2" t="n">
        <f aca="false">'Raw Data'!H4171</f>
        <v>4170</v>
      </c>
      <c r="B4171" s="2" t="n">
        <f aca="false">'Raw Data'!A4171</f>
        <v>22</v>
      </c>
      <c r="C4171" s="2" t="str">
        <f aca="false">'Raw Data'!D4171</f>
        <v>Research &amp; Development</v>
      </c>
      <c r="D4171" s="2" t="str">
        <f aca="false">'Raw Data'!K4171</f>
        <v>Sales Executive</v>
      </c>
      <c r="E4171" s="2" t="n">
        <f aca="false">'Raw Data'!Q4171</f>
        <v>1</v>
      </c>
      <c r="F4171" s="2" t="n">
        <f aca="false">'Raw Data'!U4171</f>
        <v>0</v>
      </c>
      <c r="G4171" s="2" t="n">
        <f aca="false">'Raw Data'!W4171</f>
        <v>4</v>
      </c>
      <c r="H4171" s="2" t="n">
        <f aca="false">'Raw Data'!V4171</f>
        <v>4</v>
      </c>
      <c r="I4171" s="2" t="n">
        <f aca="false">IF(AND(ISNUMBER(B4171),B4171&lt;=25),2,0)+IF(AND(ISNUMBER(E4171),E4171&lt;=5),2,0)+IF(AND(ISNUMBER(F4171),F4171&lt;=1),2,0)+IF(AND(ISNUMBER(G4171),G4171&lt;=2),1,0)+IF(AND(ISNUMBER(H4171),H4171&lt;=2),1,0)</f>
        <v>6</v>
      </c>
      <c r="J4171" s="2" t="str">
        <f aca="false">IF(I4171&gt;=6,"High",IF(I4171&gt;=3,"Medium","Low"))</f>
        <v>High</v>
      </c>
    </row>
    <row r="4172" customFormat="false" ht="15" hidden="false" customHeight="true" outlineLevel="0" collapsed="false">
      <c r="A4172" s="2" t="n">
        <f aca="false">'Raw Data'!H4172</f>
        <v>4171</v>
      </c>
      <c r="B4172" s="2" t="n">
        <f aca="false">'Raw Data'!A4172</f>
        <v>53</v>
      </c>
      <c r="C4172" s="2" t="str">
        <f aca="false">'Raw Data'!D4172</f>
        <v>Research &amp; Development</v>
      </c>
      <c r="D4172" s="2" t="str">
        <f aca="false">'Raw Data'!K4172</f>
        <v>Manager</v>
      </c>
      <c r="E4172" s="2" t="n">
        <f aca="false">'Raw Data'!Q4172</f>
        <v>31</v>
      </c>
      <c r="F4172" s="2" t="n">
        <f aca="false">'Raw Data'!U4172</f>
        <v>7</v>
      </c>
      <c r="G4172" s="2" t="n">
        <f aca="false">'Raw Data'!W4172</f>
        <v>4</v>
      </c>
      <c r="H4172" s="2" t="n">
        <f aca="false">'Raw Data'!V4172</f>
        <v>1</v>
      </c>
      <c r="I4172" s="2" t="n">
        <f aca="false">IF(AND(ISNUMBER(B4172),B4172&lt;=25),2,0)+IF(AND(ISNUMBER(E4172),E4172&lt;=5),2,0)+IF(AND(ISNUMBER(F4172),F4172&lt;=1),2,0)+IF(AND(ISNUMBER(G4172),G4172&lt;=2),1,0)+IF(AND(ISNUMBER(H4172),H4172&lt;=2),1,0)</f>
        <v>1</v>
      </c>
      <c r="J4172" s="2" t="str">
        <f aca="false">IF(I4172&gt;=6,"High",IF(I4172&gt;=3,"Medium","Low"))</f>
        <v>Low</v>
      </c>
    </row>
    <row r="4173" customFormat="false" ht="15" hidden="false" customHeight="true" outlineLevel="0" collapsed="false">
      <c r="A4173" s="2" t="n">
        <f aca="false">'Raw Data'!H4173</f>
        <v>4172</v>
      </c>
      <c r="B4173" s="2" t="n">
        <f aca="false">'Raw Data'!A4173</f>
        <v>38</v>
      </c>
      <c r="C4173" s="2" t="str">
        <f aca="false">'Raw Data'!D4173</f>
        <v>Research &amp; Development</v>
      </c>
      <c r="D4173" s="2" t="str">
        <f aca="false">'Raw Data'!K4173</f>
        <v>Manufacturing Director</v>
      </c>
      <c r="E4173" s="2" t="n">
        <f aca="false">'Raw Data'!Q4173</f>
        <v>6</v>
      </c>
      <c r="F4173" s="2" t="n">
        <f aca="false">'Raw Data'!U4173</f>
        <v>2</v>
      </c>
      <c r="G4173" s="2" t="n">
        <f aca="false">'Raw Data'!W4173</f>
        <v>4</v>
      </c>
      <c r="H4173" s="2" t="n">
        <f aca="false">'Raw Data'!V4173</f>
        <v>4</v>
      </c>
      <c r="I4173" s="2" t="n">
        <f aca="false">IF(AND(ISNUMBER(B4173),B4173&lt;=25),2,0)+IF(AND(ISNUMBER(E4173),E4173&lt;=5),2,0)+IF(AND(ISNUMBER(F4173),F4173&lt;=1),2,0)+IF(AND(ISNUMBER(G4173),G4173&lt;=2),1,0)+IF(AND(ISNUMBER(H4173),H4173&lt;=2),1,0)</f>
        <v>0</v>
      </c>
      <c r="J4173" s="2" t="str">
        <f aca="false">IF(I4173&gt;=6,"High",IF(I4173&gt;=3,"Medium","Low"))</f>
        <v>Low</v>
      </c>
    </row>
    <row r="4174" customFormat="false" ht="15" hidden="false" customHeight="true" outlineLevel="0" collapsed="false">
      <c r="A4174" s="2" t="n">
        <f aca="false">'Raw Data'!H4174</f>
        <v>4173</v>
      </c>
      <c r="B4174" s="2" t="n">
        <f aca="false">'Raw Data'!A4174</f>
        <v>24</v>
      </c>
      <c r="C4174" s="2" t="str">
        <f aca="false">'Raw Data'!D4174</f>
        <v>Research &amp; Development</v>
      </c>
      <c r="D4174" s="2" t="str">
        <f aca="false">'Raw Data'!K4174</f>
        <v>Research Scientist</v>
      </c>
      <c r="E4174" s="2" t="n">
        <f aca="false">'Raw Data'!Q4174</f>
        <v>5</v>
      </c>
      <c r="F4174" s="2" t="n">
        <f aca="false">'Raw Data'!U4174</f>
        <v>3</v>
      </c>
      <c r="G4174" s="2" t="n">
        <f aca="false">'Raw Data'!W4174</f>
        <v>3</v>
      </c>
      <c r="H4174" s="2" t="n">
        <f aca="false">'Raw Data'!V4174</f>
        <v>1</v>
      </c>
      <c r="I4174" s="2" t="n">
        <f aca="false">IF(AND(ISNUMBER(B4174),B4174&lt;=25),2,0)+IF(AND(ISNUMBER(E4174),E4174&lt;=5),2,0)+IF(AND(ISNUMBER(F4174),F4174&lt;=1),2,0)+IF(AND(ISNUMBER(G4174),G4174&lt;=2),1,0)+IF(AND(ISNUMBER(H4174),H4174&lt;=2),1,0)</f>
        <v>5</v>
      </c>
      <c r="J4174" s="2" t="str">
        <f aca="false">IF(I4174&gt;=6,"High",IF(I4174&gt;=3,"Medium","Low"))</f>
        <v>Medium</v>
      </c>
    </row>
    <row r="4175" customFormat="false" ht="15" hidden="false" customHeight="true" outlineLevel="0" collapsed="false">
      <c r="A4175" s="2" t="n">
        <f aca="false">'Raw Data'!H4175</f>
        <v>4174</v>
      </c>
      <c r="B4175" s="2" t="n">
        <f aca="false">'Raw Data'!A4175</f>
        <v>36</v>
      </c>
      <c r="C4175" s="2" t="str">
        <f aca="false">'Raw Data'!D4175</f>
        <v>Research &amp; Development</v>
      </c>
      <c r="D4175" s="2" t="str">
        <f aca="false">'Raw Data'!K4175</f>
        <v>Research Director</v>
      </c>
      <c r="E4175" s="2" t="n">
        <f aca="false">'Raw Data'!Q4175</f>
        <v>10</v>
      </c>
      <c r="F4175" s="2" t="n">
        <f aca="false">'Raw Data'!U4175</f>
        <v>3</v>
      </c>
      <c r="G4175" s="2" t="n">
        <f aca="false">'Raw Data'!W4175</f>
        <v>1</v>
      </c>
      <c r="H4175" s="2" t="n">
        <f aca="false">'Raw Data'!V4175</f>
        <v>3</v>
      </c>
      <c r="I4175" s="2" t="n">
        <f aca="false">IF(AND(ISNUMBER(B4175),B4175&lt;=25),2,0)+IF(AND(ISNUMBER(E4175),E4175&lt;=5),2,0)+IF(AND(ISNUMBER(F4175),F4175&lt;=1),2,0)+IF(AND(ISNUMBER(G4175),G4175&lt;=2),1,0)+IF(AND(ISNUMBER(H4175),H4175&lt;=2),1,0)</f>
        <v>1</v>
      </c>
      <c r="J4175" s="2" t="str">
        <f aca="false">IF(I4175&gt;=6,"High",IF(I4175&gt;=3,"Medium","Low"))</f>
        <v>Low</v>
      </c>
    </row>
    <row r="4176" customFormat="false" ht="15" hidden="false" customHeight="true" outlineLevel="0" collapsed="false">
      <c r="A4176" s="2" t="n">
        <f aca="false">'Raw Data'!H4176</f>
        <v>4175</v>
      </c>
      <c r="B4176" s="2" t="n">
        <f aca="false">'Raw Data'!A4176</f>
        <v>34</v>
      </c>
      <c r="C4176" s="2" t="str">
        <f aca="false">'Raw Data'!D4176</f>
        <v>Sales</v>
      </c>
      <c r="D4176" s="2" t="str">
        <f aca="false">'Raw Data'!K4176</f>
        <v>Research Scientist</v>
      </c>
      <c r="E4176" s="2" t="n">
        <f aca="false">'Raw Data'!Q4176</f>
        <v>13</v>
      </c>
      <c r="F4176" s="2" t="n">
        <f aca="false">'Raw Data'!U4176</f>
        <v>11</v>
      </c>
      <c r="G4176" s="2" t="n">
        <f aca="false">'Raw Data'!W4176</f>
        <v>2</v>
      </c>
      <c r="H4176" s="2" t="n">
        <f aca="false">'Raw Data'!V4176</f>
        <v>1</v>
      </c>
      <c r="I4176" s="2" t="n">
        <f aca="false">IF(AND(ISNUMBER(B4176),B4176&lt;=25),2,0)+IF(AND(ISNUMBER(E4176),E4176&lt;=5),2,0)+IF(AND(ISNUMBER(F4176),F4176&lt;=1),2,0)+IF(AND(ISNUMBER(G4176),G4176&lt;=2),1,0)+IF(AND(ISNUMBER(H4176),H4176&lt;=2),1,0)</f>
        <v>2</v>
      </c>
      <c r="J4176" s="2" t="str">
        <f aca="false">IF(I4176&gt;=6,"High",IF(I4176&gt;=3,"Medium","Low"))</f>
        <v>Low</v>
      </c>
    </row>
    <row r="4177" customFormat="false" ht="15" hidden="false" customHeight="true" outlineLevel="0" collapsed="false">
      <c r="A4177" s="2" t="n">
        <f aca="false">'Raw Data'!H4177</f>
        <v>4176</v>
      </c>
      <c r="B4177" s="2" t="n">
        <f aca="false">'Raw Data'!A4177</f>
        <v>21</v>
      </c>
      <c r="C4177" s="2" t="str">
        <f aca="false">'Raw Data'!D4177</f>
        <v>Sales</v>
      </c>
      <c r="D4177" s="2" t="str">
        <f aca="false">'Raw Data'!K4177</f>
        <v>Manufacturing Director</v>
      </c>
      <c r="E4177" s="2" t="n">
        <f aca="false">'Raw Data'!Q4177</f>
        <v>0</v>
      </c>
      <c r="F4177" s="2" t="n">
        <f aca="false">'Raw Data'!U4177</f>
        <v>0</v>
      </c>
      <c r="G4177" s="2" t="n">
        <f aca="false">'Raw Data'!W4177</f>
        <v>4</v>
      </c>
      <c r="H4177" s="2" t="n">
        <f aca="false">'Raw Data'!V4177</f>
        <v>3</v>
      </c>
      <c r="I4177" s="2" t="n">
        <f aca="false">IF(AND(ISNUMBER(B4177),B4177&lt;=25),2,0)+IF(AND(ISNUMBER(E4177),E4177&lt;=5),2,0)+IF(AND(ISNUMBER(F4177),F4177&lt;=1),2,0)+IF(AND(ISNUMBER(G4177),G4177&lt;=2),1,0)+IF(AND(ISNUMBER(H4177),H4177&lt;=2),1,0)</f>
        <v>6</v>
      </c>
      <c r="J4177" s="2" t="str">
        <f aca="false">IF(I4177&gt;=6,"High",IF(I4177&gt;=3,"Medium","Low"))</f>
        <v>High</v>
      </c>
    </row>
    <row r="4178" customFormat="false" ht="15" hidden="false" customHeight="true" outlineLevel="0" collapsed="false">
      <c r="A4178" s="2" t="n">
        <f aca="false">'Raw Data'!H4178</f>
        <v>4177</v>
      </c>
      <c r="B4178" s="2" t="n">
        <f aca="false">'Raw Data'!A4178</f>
        <v>34</v>
      </c>
      <c r="C4178" s="2" t="str">
        <f aca="false">'Raw Data'!D4178</f>
        <v>Sales</v>
      </c>
      <c r="D4178" s="2" t="str">
        <f aca="false">'Raw Data'!K4178</f>
        <v>Research Scientist</v>
      </c>
      <c r="E4178" s="2" t="n">
        <f aca="false">'Raw Data'!Q4178</f>
        <v>8</v>
      </c>
      <c r="F4178" s="2" t="n">
        <f aca="false">'Raw Data'!U4178</f>
        <v>3</v>
      </c>
      <c r="G4178" s="2" t="n">
        <f aca="false">'Raw Data'!W4178</f>
        <v>1</v>
      </c>
      <c r="H4178" s="2" t="n">
        <f aca="false">'Raw Data'!V4178</f>
        <v>2</v>
      </c>
      <c r="I4178" s="2" t="n">
        <f aca="false">IF(AND(ISNUMBER(B4178),B4178&lt;=25),2,0)+IF(AND(ISNUMBER(E4178),E4178&lt;=5),2,0)+IF(AND(ISNUMBER(F4178),F4178&lt;=1),2,0)+IF(AND(ISNUMBER(G4178),G4178&lt;=2),1,0)+IF(AND(ISNUMBER(H4178),H4178&lt;=2),1,0)</f>
        <v>2</v>
      </c>
      <c r="J4178" s="2" t="str">
        <f aca="false">IF(I4178&gt;=6,"High",IF(I4178&gt;=3,"Medium","Low"))</f>
        <v>Low</v>
      </c>
    </row>
    <row r="4179" customFormat="false" ht="15" hidden="false" customHeight="true" outlineLevel="0" collapsed="false">
      <c r="A4179" s="2" t="n">
        <f aca="false">'Raw Data'!H4179</f>
        <v>4178</v>
      </c>
      <c r="B4179" s="2" t="n">
        <f aca="false">'Raw Data'!A4179</f>
        <v>53</v>
      </c>
      <c r="C4179" s="2" t="str">
        <f aca="false">'Raw Data'!D4179</f>
        <v>Sales</v>
      </c>
      <c r="D4179" s="2" t="str">
        <f aca="false">'Raw Data'!K4179</f>
        <v>Human Resources</v>
      </c>
      <c r="E4179" s="2" t="n">
        <f aca="false">'Raw Data'!Q4179</f>
        <v>26</v>
      </c>
      <c r="F4179" s="2" t="n">
        <f aca="false">'Raw Data'!U4179</f>
        <v>8</v>
      </c>
      <c r="G4179" s="2" t="n">
        <f aca="false">'Raw Data'!W4179</f>
        <v>3</v>
      </c>
      <c r="H4179" s="2" t="n">
        <f aca="false">'Raw Data'!V4179</f>
        <v>3</v>
      </c>
      <c r="I4179" s="2" t="n">
        <f aca="false">IF(AND(ISNUMBER(B4179),B4179&lt;=25),2,0)+IF(AND(ISNUMBER(E4179),E4179&lt;=5),2,0)+IF(AND(ISNUMBER(F4179),F4179&lt;=1),2,0)+IF(AND(ISNUMBER(G4179),G4179&lt;=2),1,0)+IF(AND(ISNUMBER(H4179),H4179&lt;=2),1,0)</f>
        <v>0</v>
      </c>
      <c r="J4179" s="2" t="str">
        <f aca="false">IF(I4179&gt;=6,"High",IF(I4179&gt;=3,"Medium","Low"))</f>
        <v>Low</v>
      </c>
    </row>
    <row r="4180" customFormat="false" ht="15" hidden="false" customHeight="true" outlineLevel="0" collapsed="false">
      <c r="A4180" s="2" t="n">
        <f aca="false">'Raw Data'!H4180</f>
        <v>4179</v>
      </c>
      <c r="B4180" s="2" t="n">
        <f aca="false">'Raw Data'!A4180</f>
        <v>32</v>
      </c>
      <c r="C4180" s="2" t="str">
        <f aca="false">'Raw Data'!D4180</f>
        <v>Research &amp; Development</v>
      </c>
      <c r="D4180" s="2" t="str">
        <f aca="false">'Raw Data'!K4180</f>
        <v>Manufacturing Director</v>
      </c>
      <c r="E4180" s="2" t="n">
        <f aca="false">'Raw Data'!Q4180</f>
        <v>10</v>
      </c>
      <c r="F4180" s="2" t="n">
        <f aca="false">'Raw Data'!U4180</f>
        <v>7</v>
      </c>
      <c r="G4180" s="2" t="n">
        <f aca="false">'Raw Data'!W4180</f>
        <v>1</v>
      </c>
      <c r="H4180" s="2" t="n">
        <f aca="false">'Raw Data'!V4180</f>
        <v>2</v>
      </c>
      <c r="I4180" s="2" t="n">
        <f aca="false">IF(AND(ISNUMBER(B4180),B4180&lt;=25),2,0)+IF(AND(ISNUMBER(E4180),E4180&lt;=5),2,0)+IF(AND(ISNUMBER(F4180),F4180&lt;=1),2,0)+IF(AND(ISNUMBER(G4180),G4180&lt;=2),1,0)+IF(AND(ISNUMBER(H4180),H4180&lt;=2),1,0)</f>
        <v>2</v>
      </c>
      <c r="J4180" s="2" t="str">
        <f aca="false">IF(I4180&gt;=6,"High",IF(I4180&gt;=3,"Medium","Low"))</f>
        <v>Low</v>
      </c>
    </row>
    <row r="4181" customFormat="false" ht="15" hidden="false" customHeight="true" outlineLevel="0" collapsed="false">
      <c r="A4181" s="2" t="n">
        <f aca="false">'Raw Data'!H4181</f>
        <v>4180</v>
      </c>
      <c r="B4181" s="2" t="n">
        <f aca="false">'Raw Data'!A4181</f>
        <v>42</v>
      </c>
      <c r="C4181" s="2" t="str">
        <f aca="false">'Raw Data'!D4181</f>
        <v>Research &amp; Development</v>
      </c>
      <c r="D4181" s="2" t="str">
        <f aca="false">'Raw Data'!K4181</f>
        <v>Laboratory Technician</v>
      </c>
      <c r="E4181" s="2" t="n">
        <f aca="false">'Raw Data'!Q4181</f>
        <v>10</v>
      </c>
      <c r="F4181" s="2" t="n">
        <f aca="false">'Raw Data'!U4181</f>
        <v>2</v>
      </c>
      <c r="G4181" s="2" t="n">
        <f aca="false">'Raw Data'!W4181</f>
        <v>2</v>
      </c>
      <c r="H4181" s="2" t="n">
        <f aca="false">'Raw Data'!V4181</f>
        <v>3</v>
      </c>
      <c r="I4181" s="2" t="n">
        <f aca="false">IF(AND(ISNUMBER(B4181),B4181&lt;=25),2,0)+IF(AND(ISNUMBER(E4181),E4181&lt;=5),2,0)+IF(AND(ISNUMBER(F4181),F4181&lt;=1),2,0)+IF(AND(ISNUMBER(G4181),G4181&lt;=2),1,0)+IF(AND(ISNUMBER(H4181),H4181&lt;=2),1,0)</f>
        <v>1</v>
      </c>
      <c r="J4181" s="2" t="str">
        <f aca="false">IF(I4181&gt;=6,"High",IF(I4181&gt;=3,"Medium","Low"))</f>
        <v>Low</v>
      </c>
    </row>
    <row r="4182" customFormat="false" ht="15" hidden="false" customHeight="true" outlineLevel="0" collapsed="false">
      <c r="A4182" s="2" t="n">
        <f aca="false">'Raw Data'!H4182</f>
        <v>4181</v>
      </c>
      <c r="B4182" s="2" t="n">
        <f aca="false">'Raw Data'!A4182</f>
        <v>44</v>
      </c>
      <c r="C4182" s="2" t="str">
        <f aca="false">'Raw Data'!D4182</f>
        <v>Research &amp; Development</v>
      </c>
      <c r="D4182" s="2" t="str">
        <f aca="false">'Raw Data'!K4182</f>
        <v>Manufacturing Director</v>
      </c>
      <c r="E4182" s="2" t="n">
        <f aca="false">'Raw Data'!Q4182</f>
        <v>24</v>
      </c>
      <c r="F4182" s="2" t="n">
        <f aca="false">'Raw Data'!U4182</f>
        <v>17</v>
      </c>
      <c r="G4182" s="2" t="n">
        <f aca="false">'Raw Data'!W4182</f>
        <v>4</v>
      </c>
      <c r="H4182" s="2" t="n">
        <f aca="false">'Raw Data'!V4182</f>
        <v>1</v>
      </c>
      <c r="I4182" s="2" t="n">
        <f aca="false">IF(AND(ISNUMBER(B4182),B4182&lt;=25),2,0)+IF(AND(ISNUMBER(E4182),E4182&lt;=5),2,0)+IF(AND(ISNUMBER(F4182),F4182&lt;=1),2,0)+IF(AND(ISNUMBER(G4182),G4182&lt;=2),1,0)+IF(AND(ISNUMBER(H4182),H4182&lt;=2),1,0)</f>
        <v>1</v>
      </c>
      <c r="J4182" s="2" t="str">
        <f aca="false">IF(I4182&gt;=6,"High",IF(I4182&gt;=3,"Medium","Low"))</f>
        <v>Low</v>
      </c>
    </row>
    <row r="4183" customFormat="false" ht="15" hidden="false" customHeight="true" outlineLevel="0" collapsed="false">
      <c r="A4183" s="2" t="n">
        <f aca="false">'Raw Data'!H4183</f>
        <v>4182</v>
      </c>
      <c r="B4183" s="2" t="n">
        <f aca="false">'Raw Data'!A4183</f>
        <v>46</v>
      </c>
      <c r="C4183" s="2" t="str">
        <f aca="false">'Raw Data'!D4183</f>
        <v>Sales</v>
      </c>
      <c r="D4183" s="2" t="str">
        <f aca="false">'Raw Data'!K4183</f>
        <v>Research Scientist</v>
      </c>
      <c r="E4183" s="2" t="n">
        <f aca="false">'Raw Data'!Q4183</f>
        <v>22</v>
      </c>
      <c r="F4183" s="2" t="n">
        <f aca="false">'Raw Data'!U4183</f>
        <v>1</v>
      </c>
      <c r="G4183" s="2" t="n">
        <f aca="false">'Raw Data'!W4183</f>
        <v>1</v>
      </c>
      <c r="H4183" s="2" t="n">
        <f aca="false">'Raw Data'!V4183</f>
        <v>2</v>
      </c>
      <c r="I4183" s="2" t="n">
        <f aca="false">IF(AND(ISNUMBER(B4183),B4183&lt;=25),2,0)+IF(AND(ISNUMBER(E4183),E4183&lt;=5),2,0)+IF(AND(ISNUMBER(F4183),F4183&lt;=1),2,0)+IF(AND(ISNUMBER(G4183),G4183&lt;=2),1,0)+IF(AND(ISNUMBER(H4183),H4183&lt;=2),1,0)</f>
        <v>4</v>
      </c>
      <c r="J4183" s="2" t="str">
        <f aca="false">IF(I4183&gt;=6,"High",IF(I4183&gt;=3,"Medium","Low"))</f>
        <v>Medium</v>
      </c>
    </row>
    <row r="4184" customFormat="false" ht="15" hidden="false" customHeight="true" outlineLevel="0" collapsed="false">
      <c r="A4184" s="2" t="n">
        <f aca="false">'Raw Data'!H4184</f>
        <v>4183</v>
      </c>
      <c r="B4184" s="2" t="n">
        <f aca="false">'Raw Data'!A4184</f>
        <v>33</v>
      </c>
      <c r="C4184" s="2" t="str">
        <f aca="false">'Raw Data'!D4184</f>
        <v>Sales</v>
      </c>
      <c r="D4184" s="2" t="str">
        <f aca="false">'Raw Data'!K4184</f>
        <v>Manufacturing Director</v>
      </c>
      <c r="E4184" s="2" t="n">
        <f aca="false">'Raw Data'!Q4184</f>
        <v>7</v>
      </c>
      <c r="F4184" s="2" t="n">
        <f aca="false">'Raw Data'!U4184</f>
        <v>0</v>
      </c>
      <c r="G4184" s="2" t="n">
        <f aca="false">'Raw Data'!W4184</f>
        <v>4</v>
      </c>
      <c r="H4184" s="2" t="n">
        <f aca="false">'Raw Data'!V4184</f>
        <v>3</v>
      </c>
      <c r="I4184" s="2" t="n">
        <f aca="false">IF(AND(ISNUMBER(B4184),B4184&lt;=25),2,0)+IF(AND(ISNUMBER(E4184),E4184&lt;=5),2,0)+IF(AND(ISNUMBER(F4184),F4184&lt;=1),2,0)+IF(AND(ISNUMBER(G4184),G4184&lt;=2),1,0)+IF(AND(ISNUMBER(H4184),H4184&lt;=2),1,0)</f>
        <v>2</v>
      </c>
      <c r="J4184" s="2" t="str">
        <f aca="false">IF(I4184&gt;=6,"High",IF(I4184&gt;=3,"Medium","Low"))</f>
        <v>Low</v>
      </c>
    </row>
    <row r="4185" customFormat="false" ht="15" hidden="false" customHeight="true" outlineLevel="0" collapsed="false">
      <c r="A4185" s="2" t="n">
        <f aca="false">'Raw Data'!H4185</f>
        <v>4184</v>
      </c>
      <c r="B4185" s="2" t="n">
        <f aca="false">'Raw Data'!A4185</f>
        <v>44</v>
      </c>
      <c r="C4185" s="2" t="str">
        <f aca="false">'Raw Data'!D4185</f>
        <v>Human Resources</v>
      </c>
      <c r="D4185" s="2" t="str">
        <f aca="false">'Raw Data'!K4185</f>
        <v>Healthcare Representative</v>
      </c>
      <c r="E4185" s="2" t="n">
        <f aca="false">'Raw Data'!Q4185</f>
        <v>9</v>
      </c>
      <c r="F4185" s="2" t="n">
        <f aca="false">'Raw Data'!U4185</f>
        <v>3</v>
      </c>
      <c r="G4185" s="2" t="n">
        <f aca="false">'Raw Data'!W4185</f>
        <v>4</v>
      </c>
      <c r="H4185" s="2" t="n">
        <f aca="false">'Raw Data'!V4185</f>
        <v>4</v>
      </c>
      <c r="I4185" s="2" t="n">
        <f aca="false">IF(AND(ISNUMBER(B4185),B4185&lt;=25),2,0)+IF(AND(ISNUMBER(E4185),E4185&lt;=5),2,0)+IF(AND(ISNUMBER(F4185),F4185&lt;=1),2,0)+IF(AND(ISNUMBER(G4185),G4185&lt;=2),1,0)+IF(AND(ISNUMBER(H4185),H4185&lt;=2),1,0)</f>
        <v>0</v>
      </c>
      <c r="J4185" s="2" t="str">
        <f aca="false">IF(I4185&gt;=6,"High",IF(I4185&gt;=3,"Medium","Low"))</f>
        <v>Low</v>
      </c>
    </row>
    <row r="4186" customFormat="false" ht="15" hidden="false" customHeight="true" outlineLevel="0" collapsed="false">
      <c r="A4186" s="2" t="n">
        <f aca="false">'Raw Data'!H4186</f>
        <v>4185</v>
      </c>
      <c r="B4186" s="2" t="n">
        <f aca="false">'Raw Data'!A4186</f>
        <v>30</v>
      </c>
      <c r="C4186" s="2" t="str">
        <f aca="false">'Raw Data'!D4186</f>
        <v>Research &amp; Development</v>
      </c>
      <c r="D4186" s="2" t="str">
        <f aca="false">'Raw Data'!K4186</f>
        <v>Research Scientist</v>
      </c>
      <c r="E4186" s="2" t="n">
        <f aca="false">'Raw Data'!Q4186</f>
        <v>10</v>
      </c>
      <c r="F4186" s="2" t="n">
        <f aca="false">'Raw Data'!U4186</f>
        <v>8</v>
      </c>
      <c r="G4186" s="2" t="n">
        <f aca="false">'Raw Data'!W4186</f>
        <v>3</v>
      </c>
      <c r="H4186" s="2" t="n">
        <f aca="false">'Raw Data'!V4186</f>
        <v>4</v>
      </c>
      <c r="I4186" s="2" t="n">
        <f aca="false">IF(AND(ISNUMBER(B4186),B4186&lt;=25),2,0)+IF(AND(ISNUMBER(E4186),E4186&lt;=5),2,0)+IF(AND(ISNUMBER(F4186),F4186&lt;=1),2,0)+IF(AND(ISNUMBER(G4186),G4186&lt;=2),1,0)+IF(AND(ISNUMBER(H4186),H4186&lt;=2),1,0)</f>
        <v>0</v>
      </c>
      <c r="J4186" s="2" t="str">
        <f aca="false">IF(I4186&gt;=6,"High",IF(I4186&gt;=3,"Medium","Low"))</f>
        <v>Low</v>
      </c>
    </row>
    <row r="4187" customFormat="false" ht="15" hidden="false" customHeight="true" outlineLevel="0" collapsed="false">
      <c r="A4187" s="2" t="n">
        <f aca="false">'Raw Data'!H4187</f>
        <v>4186</v>
      </c>
      <c r="B4187" s="2" t="n">
        <f aca="false">'Raw Data'!A4187</f>
        <v>39</v>
      </c>
      <c r="C4187" s="2" t="str">
        <f aca="false">'Raw Data'!D4187</f>
        <v>Human Resources</v>
      </c>
      <c r="D4187" s="2" t="str">
        <f aca="false">'Raw Data'!K4187</f>
        <v>Sales Executive</v>
      </c>
      <c r="E4187" s="2" t="n">
        <f aca="false">'Raw Data'!Q4187</f>
        <v>19</v>
      </c>
      <c r="F4187" s="2" t="n">
        <f aca="false">'Raw Data'!U4187</f>
        <v>0</v>
      </c>
      <c r="G4187" s="2" t="n">
        <f aca="false">'Raw Data'!W4187</f>
        <v>4</v>
      </c>
      <c r="H4187" s="2" t="n">
        <f aca="false">'Raw Data'!V4187</f>
        <v>4</v>
      </c>
      <c r="I4187" s="2" t="n">
        <f aca="false">IF(AND(ISNUMBER(B4187),B4187&lt;=25),2,0)+IF(AND(ISNUMBER(E4187),E4187&lt;=5),2,0)+IF(AND(ISNUMBER(F4187),F4187&lt;=1),2,0)+IF(AND(ISNUMBER(G4187),G4187&lt;=2),1,0)+IF(AND(ISNUMBER(H4187),H4187&lt;=2),1,0)</f>
        <v>2</v>
      </c>
      <c r="J4187" s="2" t="str">
        <f aca="false">IF(I4187&gt;=6,"High",IF(I4187&gt;=3,"Medium","Low"))</f>
        <v>Low</v>
      </c>
    </row>
    <row r="4188" customFormat="false" ht="15" hidden="false" customHeight="true" outlineLevel="0" collapsed="false">
      <c r="A4188" s="2" t="n">
        <f aca="false">'Raw Data'!H4188</f>
        <v>4187</v>
      </c>
      <c r="B4188" s="2" t="n">
        <f aca="false">'Raw Data'!A4188</f>
        <v>24</v>
      </c>
      <c r="C4188" s="2" t="str">
        <f aca="false">'Raw Data'!D4188</f>
        <v>Human Resources</v>
      </c>
      <c r="D4188" s="2" t="str">
        <f aca="false">'Raw Data'!K4188</f>
        <v>Sales Executive</v>
      </c>
      <c r="E4188" s="2" t="n">
        <f aca="false">'Raw Data'!Q4188</f>
        <v>6</v>
      </c>
      <c r="F4188" s="2" t="n">
        <f aca="false">'Raw Data'!U4188</f>
        <v>0</v>
      </c>
      <c r="G4188" s="2" t="n">
        <f aca="false">'Raw Data'!W4188</f>
        <v>4</v>
      </c>
      <c r="H4188" s="2" t="n">
        <f aca="false">'Raw Data'!V4188</f>
        <v>2</v>
      </c>
      <c r="I4188" s="2" t="n">
        <f aca="false">IF(AND(ISNUMBER(B4188),B4188&lt;=25),2,0)+IF(AND(ISNUMBER(E4188),E4188&lt;=5),2,0)+IF(AND(ISNUMBER(F4188),F4188&lt;=1),2,0)+IF(AND(ISNUMBER(G4188),G4188&lt;=2),1,0)+IF(AND(ISNUMBER(H4188),H4188&lt;=2),1,0)</f>
        <v>5</v>
      </c>
      <c r="J4188" s="2" t="str">
        <f aca="false">IF(I4188&gt;=6,"High",IF(I4188&gt;=3,"Medium","Low"))</f>
        <v>Medium</v>
      </c>
    </row>
    <row r="4189" customFormat="false" ht="15" hidden="false" customHeight="true" outlineLevel="0" collapsed="false">
      <c r="A4189" s="2" t="n">
        <f aca="false">'Raw Data'!H4189</f>
        <v>4188</v>
      </c>
      <c r="B4189" s="2" t="n">
        <f aca="false">'Raw Data'!A4189</f>
        <v>43</v>
      </c>
      <c r="C4189" s="2" t="str">
        <f aca="false">'Raw Data'!D4189</f>
        <v>Sales</v>
      </c>
      <c r="D4189" s="2" t="str">
        <f aca="false">'Raw Data'!K4189</f>
        <v>Research Director</v>
      </c>
      <c r="E4189" s="2" t="n">
        <f aca="false">'Raw Data'!Q4189</f>
        <v>6</v>
      </c>
      <c r="F4189" s="2" t="n">
        <f aca="false">'Raw Data'!U4189</f>
        <v>4</v>
      </c>
      <c r="G4189" s="2" t="n">
        <f aca="false">'Raw Data'!W4189</f>
        <v>3</v>
      </c>
      <c r="H4189" s="2" t="n">
        <f aca="false">'Raw Data'!V4189</f>
        <v>4</v>
      </c>
      <c r="I4189" s="2" t="n">
        <f aca="false">IF(AND(ISNUMBER(B4189),B4189&lt;=25),2,0)+IF(AND(ISNUMBER(E4189),E4189&lt;=5),2,0)+IF(AND(ISNUMBER(F4189),F4189&lt;=1),2,0)+IF(AND(ISNUMBER(G4189),G4189&lt;=2),1,0)+IF(AND(ISNUMBER(H4189),H4189&lt;=2),1,0)</f>
        <v>0</v>
      </c>
      <c r="J4189" s="2" t="str">
        <f aca="false">IF(I4189&gt;=6,"High",IF(I4189&gt;=3,"Medium","Low"))</f>
        <v>Low</v>
      </c>
    </row>
    <row r="4190" customFormat="false" ht="15" hidden="false" customHeight="true" outlineLevel="0" collapsed="false">
      <c r="A4190" s="2" t="n">
        <f aca="false">'Raw Data'!H4190</f>
        <v>4189</v>
      </c>
      <c r="B4190" s="2" t="n">
        <f aca="false">'Raw Data'!A4190</f>
        <v>50</v>
      </c>
      <c r="C4190" s="2" t="str">
        <f aca="false">'Raw Data'!D4190</f>
        <v>Research &amp; Development</v>
      </c>
      <c r="D4190" s="2" t="str">
        <f aca="false">'Raw Data'!K4190</f>
        <v>Research Director</v>
      </c>
      <c r="E4190" s="2" t="n">
        <f aca="false">'Raw Data'!Q4190</f>
        <v>3</v>
      </c>
      <c r="F4190" s="2" t="n">
        <f aca="false">'Raw Data'!U4190</f>
        <v>2</v>
      </c>
      <c r="G4190" s="2" t="n">
        <f aca="false">'Raw Data'!W4190</f>
        <v>3</v>
      </c>
      <c r="H4190" s="2" t="n">
        <f aca="false">'Raw Data'!V4190</f>
        <v>1</v>
      </c>
      <c r="I4190" s="2" t="n">
        <f aca="false">IF(AND(ISNUMBER(B4190),B4190&lt;=25),2,0)+IF(AND(ISNUMBER(E4190),E4190&lt;=5),2,0)+IF(AND(ISNUMBER(F4190),F4190&lt;=1),2,0)+IF(AND(ISNUMBER(G4190),G4190&lt;=2),1,0)+IF(AND(ISNUMBER(H4190),H4190&lt;=2),1,0)</f>
        <v>3</v>
      </c>
      <c r="J4190" s="2" t="str">
        <f aca="false">IF(I4190&gt;=6,"High",IF(I4190&gt;=3,"Medium","Low"))</f>
        <v>Medium</v>
      </c>
    </row>
    <row r="4191" customFormat="false" ht="15" hidden="false" customHeight="true" outlineLevel="0" collapsed="false">
      <c r="A4191" s="2" t="n">
        <f aca="false">'Raw Data'!H4191</f>
        <v>4190</v>
      </c>
      <c r="B4191" s="2" t="n">
        <f aca="false">'Raw Data'!A4191</f>
        <v>35</v>
      </c>
      <c r="C4191" s="2" t="str">
        <f aca="false">'Raw Data'!D4191</f>
        <v>Sales</v>
      </c>
      <c r="D4191" s="2" t="str">
        <f aca="false">'Raw Data'!K4191</f>
        <v>Manufacturing Director</v>
      </c>
      <c r="E4191" s="2" t="n">
        <f aca="false">'Raw Data'!Q4191</f>
        <v>2</v>
      </c>
      <c r="F4191" s="2" t="n">
        <f aca="false">'Raw Data'!U4191</f>
        <v>2</v>
      </c>
      <c r="G4191" s="2" t="n">
        <f aca="false">'Raw Data'!W4191</f>
        <v>4</v>
      </c>
      <c r="H4191" s="2" t="n">
        <f aca="false">'Raw Data'!V4191</f>
        <v>4</v>
      </c>
      <c r="I4191" s="2" t="n">
        <f aca="false">IF(AND(ISNUMBER(B4191),B4191&lt;=25),2,0)+IF(AND(ISNUMBER(E4191),E4191&lt;=5),2,0)+IF(AND(ISNUMBER(F4191),F4191&lt;=1),2,0)+IF(AND(ISNUMBER(G4191),G4191&lt;=2),1,0)+IF(AND(ISNUMBER(H4191),H4191&lt;=2),1,0)</f>
        <v>2</v>
      </c>
      <c r="J4191" s="2" t="str">
        <f aca="false">IF(I4191&gt;=6,"High",IF(I4191&gt;=3,"Medium","Low"))</f>
        <v>Low</v>
      </c>
    </row>
    <row r="4192" customFormat="false" ht="15" hidden="false" customHeight="true" outlineLevel="0" collapsed="false">
      <c r="A4192" s="2" t="n">
        <f aca="false">'Raw Data'!H4192</f>
        <v>4191</v>
      </c>
      <c r="B4192" s="2" t="n">
        <f aca="false">'Raw Data'!A4192</f>
        <v>36</v>
      </c>
      <c r="C4192" s="2" t="str">
        <f aca="false">'Raw Data'!D4192</f>
        <v>Research &amp; Development</v>
      </c>
      <c r="D4192" s="2" t="str">
        <f aca="false">'Raw Data'!K4192</f>
        <v>Sales Executive</v>
      </c>
      <c r="E4192" s="2" t="n">
        <f aca="false">'Raw Data'!Q4192</f>
        <v>6</v>
      </c>
      <c r="F4192" s="2" t="n">
        <f aca="false">'Raw Data'!U4192</f>
        <v>0</v>
      </c>
      <c r="G4192" s="2" t="n">
        <f aca="false">'Raw Data'!W4192</f>
        <v>1</v>
      </c>
      <c r="H4192" s="2" t="n">
        <f aca="false">'Raw Data'!V4192</f>
        <v>2</v>
      </c>
      <c r="I4192" s="2" t="n">
        <f aca="false">IF(AND(ISNUMBER(B4192),B4192&lt;=25),2,0)+IF(AND(ISNUMBER(E4192),E4192&lt;=5),2,0)+IF(AND(ISNUMBER(F4192),F4192&lt;=1),2,0)+IF(AND(ISNUMBER(G4192),G4192&lt;=2),1,0)+IF(AND(ISNUMBER(H4192),H4192&lt;=2),1,0)</f>
        <v>4</v>
      </c>
      <c r="J4192" s="2" t="str">
        <f aca="false">IF(I4192&gt;=6,"High",IF(I4192&gt;=3,"Medium","Low"))</f>
        <v>Medium</v>
      </c>
    </row>
    <row r="4193" customFormat="false" ht="15" hidden="false" customHeight="true" outlineLevel="0" collapsed="false">
      <c r="A4193" s="2" t="n">
        <f aca="false">'Raw Data'!H4193</f>
        <v>4192</v>
      </c>
      <c r="B4193" s="2" t="n">
        <f aca="false">'Raw Data'!A4193</f>
        <v>33</v>
      </c>
      <c r="C4193" s="2" t="str">
        <f aca="false">'Raw Data'!D4193</f>
        <v>Sales</v>
      </c>
      <c r="D4193" s="2" t="str">
        <f aca="false">'Raw Data'!K4193</f>
        <v>Human Resources</v>
      </c>
      <c r="E4193" s="2" t="n">
        <f aca="false">'Raw Data'!Q4193</f>
        <v>10</v>
      </c>
      <c r="F4193" s="2" t="n">
        <f aca="false">'Raw Data'!U4193</f>
        <v>3</v>
      </c>
      <c r="G4193" s="2" t="n">
        <f aca="false">'Raw Data'!W4193</f>
        <v>1</v>
      </c>
      <c r="H4193" s="2" t="n">
        <f aca="false">'Raw Data'!V4193</f>
        <v>3</v>
      </c>
      <c r="I4193" s="2" t="n">
        <f aca="false">IF(AND(ISNUMBER(B4193),B4193&lt;=25),2,0)+IF(AND(ISNUMBER(E4193),E4193&lt;=5),2,0)+IF(AND(ISNUMBER(F4193),F4193&lt;=1),2,0)+IF(AND(ISNUMBER(G4193),G4193&lt;=2),1,0)+IF(AND(ISNUMBER(H4193),H4193&lt;=2),1,0)</f>
        <v>1</v>
      </c>
      <c r="J4193" s="2" t="str">
        <f aca="false">IF(I4193&gt;=6,"High",IF(I4193&gt;=3,"Medium","Low"))</f>
        <v>Low</v>
      </c>
    </row>
    <row r="4194" customFormat="false" ht="15" hidden="false" customHeight="true" outlineLevel="0" collapsed="false">
      <c r="A4194" s="2" t="n">
        <f aca="false">'Raw Data'!H4194</f>
        <v>4193</v>
      </c>
      <c r="B4194" s="2" t="n">
        <f aca="false">'Raw Data'!A4194</f>
        <v>35</v>
      </c>
      <c r="C4194" s="2" t="str">
        <f aca="false">'Raw Data'!D4194</f>
        <v>Research &amp; Development</v>
      </c>
      <c r="D4194" s="2" t="str">
        <f aca="false">'Raw Data'!K4194</f>
        <v>Research Scientist</v>
      </c>
      <c r="E4194" s="2" t="n">
        <f aca="false">'Raw Data'!Q4194</f>
        <v>1</v>
      </c>
      <c r="F4194" s="2" t="n">
        <f aca="false">'Raw Data'!U4194</f>
        <v>0</v>
      </c>
      <c r="G4194" s="2" t="n">
        <f aca="false">'Raw Data'!W4194</f>
        <v>4</v>
      </c>
      <c r="H4194" s="2" t="n">
        <f aca="false">'Raw Data'!V4194</f>
        <v>3</v>
      </c>
      <c r="I4194" s="2" t="n">
        <f aca="false">IF(AND(ISNUMBER(B4194),B4194&lt;=25),2,0)+IF(AND(ISNUMBER(E4194),E4194&lt;=5),2,0)+IF(AND(ISNUMBER(F4194),F4194&lt;=1),2,0)+IF(AND(ISNUMBER(G4194),G4194&lt;=2),1,0)+IF(AND(ISNUMBER(H4194),H4194&lt;=2),1,0)</f>
        <v>4</v>
      </c>
      <c r="J4194" s="2" t="str">
        <f aca="false">IF(I4194&gt;=6,"High",IF(I4194&gt;=3,"Medium","Low"))</f>
        <v>Medium</v>
      </c>
    </row>
    <row r="4195" customFormat="false" ht="15" hidden="false" customHeight="true" outlineLevel="0" collapsed="false">
      <c r="A4195" s="2" t="n">
        <f aca="false">'Raw Data'!H4195</f>
        <v>4194</v>
      </c>
      <c r="B4195" s="2" t="n">
        <f aca="false">'Raw Data'!A4195</f>
        <v>27</v>
      </c>
      <c r="C4195" s="2" t="str">
        <f aca="false">'Raw Data'!D4195</f>
        <v>Sales</v>
      </c>
      <c r="D4195" s="2" t="str">
        <f aca="false">'Raw Data'!K4195</f>
        <v>Research Scientist</v>
      </c>
      <c r="E4195" s="2" t="n">
        <f aca="false">'Raw Data'!Q4195</f>
        <v>1</v>
      </c>
      <c r="F4195" s="2" t="n">
        <f aca="false">'Raw Data'!U4195</f>
        <v>0</v>
      </c>
      <c r="G4195" s="2" t="n">
        <f aca="false">'Raw Data'!W4195</f>
        <v>1</v>
      </c>
      <c r="H4195" s="2" t="n">
        <f aca="false">'Raw Data'!V4195</f>
        <v>4</v>
      </c>
      <c r="I4195" s="2" t="n">
        <f aca="false">IF(AND(ISNUMBER(B4195),B4195&lt;=25),2,0)+IF(AND(ISNUMBER(E4195),E4195&lt;=5),2,0)+IF(AND(ISNUMBER(F4195),F4195&lt;=1),2,0)+IF(AND(ISNUMBER(G4195),G4195&lt;=2),1,0)+IF(AND(ISNUMBER(H4195),H4195&lt;=2),1,0)</f>
        <v>5</v>
      </c>
      <c r="J4195" s="2" t="str">
        <f aca="false">IF(I4195&gt;=6,"High",IF(I4195&gt;=3,"Medium","Low"))</f>
        <v>Medium</v>
      </c>
    </row>
    <row r="4196" customFormat="false" ht="15" hidden="false" customHeight="true" outlineLevel="0" collapsed="false">
      <c r="A4196" s="2" t="n">
        <f aca="false">'Raw Data'!H4196</f>
        <v>4195</v>
      </c>
      <c r="B4196" s="2" t="n">
        <f aca="false">'Raw Data'!A4196</f>
        <v>26</v>
      </c>
      <c r="C4196" s="2" t="str">
        <f aca="false">'Raw Data'!D4196</f>
        <v>Sales</v>
      </c>
      <c r="D4196" s="2" t="str">
        <f aca="false">'Raw Data'!K4196</f>
        <v>Manager</v>
      </c>
      <c r="E4196" s="2" t="n">
        <f aca="false">'Raw Data'!Q4196</f>
        <v>1</v>
      </c>
      <c r="F4196" s="2" t="n">
        <f aca="false">'Raw Data'!U4196</f>
        <v>1</v>
      </c>
      <c r="G4196" s="2" t="n">
        <f aca="false">'Raw Data'!W4196</f>
        <v>3</v>
      </c>
      <c r="H4196" s="2" t="n">
        <f aca="false">'Raw Data'!V4196</f>
        <v>1</v>
      </c>
      <c r="I4196" s="2" t="n">
        <f aca="false">IF(AND(ISNUMBER(B4196),B4196&lt;=25),2,0)+IF(AND(ISNUMBER(E4196),E4196&lt;=5),2,0)+IF(AND(ISNUMBER(F4196),F4196&lt;=1),2,0)+IF(AND(ISNUMBER(G4196),G4196&lt;=2),1,0)+IF(AND(ISNUMBER(H4196),H4196&lt;=2),1,0)</f>
        <v>5</v>
      </c>
      <c r="J4196" s="2" t="str">
        <f aca="false">IF(I4196&gt;=6,"High",IF(I4196&gt;=3,"Medium","Low"))</f>
        <v>Medium</v>
      </c>
    </row>
    <row r="4197" customFormat="false" ht="15" hidden="false" customHeight="true" outlineLevel="0" collapsed="false">
      <c r="A4197" s="2" t="n">
        <f aca="false">'Raw Data'!H4197</f>
        <v>4196</v>
      </c>
      <c r="B4197" s="2" t="n">
        <f aca="false">'Raw Data'!A4197</f>
        <v>27</v>
      </c>
      <c r="C4197" s="2" t="str">
        <f aca="false">'Raw Data'!D4197</f>
        <v>Sales</v>
      </c>
      <c r="D4197" s="2" t="str">
        <f aca="false">'Raw Data'!K4197</f>
        <v>Healthcare Representative</v>
      </c>
      <c r="E4197" s="2" t="n">
        <f aca="false">'Raw Data'!Q4197</f>
        <v>9</v>
      </c>
      <c r="F4197" s="2" t="n">
        <f aca="false">'Raw Data'!U4197</f>
        <v>7</v>
      </c>
      <c r="G4197" s="2" t="n">
        <f aca="false">'Raw Data'!W4197</f>
        <v>3</v>
      </c>
      <c r="H4197" s="2" t="n">
        <f aca="false">'Raw Data'!V4197</f>
        <v>4</v>
      </c>
      <c r="I4197" s="2" t="n">
        <f aca="false">IF(AND(ISNUMBER(B4197),B4197&lt;=25),2,0)+IF(AND(ISNUMBER(E4197),E4197&lt;=5),2,0)+IF(AND(ISNUMBER(F4197),F4197&lt;=1),2,0)+IF(AND(ISNUMBER(G4197),G4197&lt;=2),1,0)+IF(AND(ISNUMBER(H4197),H4197&lt;=2),1,0)</f>
        <v>0</v>
      </c>
      <c r="J4197" s="2" t="str">
        <f aca="false">IF(I4197&gt;=6,"High",IF(I4197&gt;=3,"Medium","Low"))</f>
        <v>Low</v>
      </c>
    </row>
    <row r="4198" customFormat="false" ht="15" hidden="false" customHeight="true" outlineLevel="0" collapsed="false">
      <c r="A4198" s="2" t="n">
        <f aca="false">'Raw Data'!H4198</f>
        <v>4197</v>
      </c>
      <c r="B4198" s="2" t="n">
        <f aca="false">'Raw Data'!A4198</f>
        <v>30</v>
      </c>
      <c r="C4198" s="2" t="str">
        <f aca="false">'Raw Data'!D4198</f>
        <v>Research &amp; Development</v>
      </c>
      <c r="D4198" s="2" t="str">
        <f aca="false">'Raw Data'!K4198</f>
        <v>Research Scientist</v>
      </c>
      <c r="E4198" s="2" t="n">
        <f aca="false">'Raw Data'!Q4198</f>
        <v>12</v>
      </c>
      <c r="F4198" s="2" t="n">
        <f aca="false">'Raw Data'!U4198</f>
        <v>7</v>
      </c>
      <c r="G4198" s="2" t="n">
        <f aca="false">'Raw Data'!W4198</f>
        <v>4</v>
      </c>
      <c r="H4198" s="2" t="n">
        <f aca="false">'Raw Data'!V4198</f>
        <v>3</v>
      </c>
      <c r="I4198" s="2" t="n">
        <f aca="false">IF(AND(ISNUMBER(B4198),B4198&lt;=25),2,0)+IF(AND(ISNUMBER(E4198),E4198&lt;=5),2,0)+IF(AND(ISNUMBER(F4198),F4198&lt;=1),2,0)+IF(AND(ISNUMBER(G4198),G4198&lt;=2),1,0)+IF(AND(ISNUMBER(H4198),H4198&lt;=2),1,0)</f>
        <v>0</v>
      </c>
      <c r="J4198" s="2" t="str">
        <f aca="false">IF(I4198&gt;=6,"High",IF(I4198&gt;=3,"Medium","Low"))</f>
        <v>Low</v>
      </c>
    </row>
    <row r="4199" customFormat="false" ht="15" hidden="false" customHeight="true" outlineLevel="0" collapsed="false">
      <c r="A4199" s="2" t="n">
        <f aca="false">'Raw Data'!H4199</f>
        <v>4198</v>
      </c>
      <c r="B4199" s="2" t="n">
        <f aca="false">'Raw Data'!A4199</f>
        <v>41</v>
      </c>
      <c r="C4199" s="2" t="str">
        <f aca="false">'Raw Data'!D4199</f>
        <v>Sales</v>
      </c>
      <c r="D4199" s="2" t="str">
        <f aca="false">'Raw Data'!K4199</f>
        <v>Sales Executive</v>
      </c>
      <c r="E4199" s="2" t="n">
        <f aca="false">'Raw Data'!Q4199</f>
        <v>23</v>
      </c>
      <c r="F4199" s="2" t="n">
        <f aca="false">'Raw Data'!U4199</f>
        <v>8</v>
      </c>
      <c r="G4199" s="2" t="n">
        <f aca="false">'Raw Data'!W4199</f>
        <v>3</v>
      </c>
      <c r="H4199" s="2" t="n">
        <f aca="false">'Raw Data'!V4199</f>
        <v>2</v>
      </c>
      <c r="I4199" s="2" t="n">
        <f aca="false">IF(AND(ISNUMBER(B4199),B4199&lt;=25),2,0)+IF(AND(ISNUMBER(E4199),E4199&lt;=5),2,0)+IF(AND(ISNUMBER(F4199),F4199&lt;=1),2,0)+IF(AND(ISNUMBER(G4199),G4199&lt;=2),1,0)+IF(AND(ISNUMBER(H4199),H4199&lt;=2),1,0)</f>
        <v>1</v>
      </c>
      <c r="J4199" s="2" t="str">
        <f aca="false">IF(I4199&gt;=6,"High",IF(I4199&gt;=3,"Medium","Low"))</f>
        <v>Low</v>
      </c>
    </row>
    <row r="4200" customFormat="false" ht="15" hidden="false" customHeight="true" outlineLevel="0" collapsed="false">
      <c r="A4200" s="2" t="n">
        <f aca="false">'Raw Data'!H4200</f>
        <v>4199</v>
      </c>
      <c r="B4200" s="2" t="n">
        <f aca="false">'Raw Data'!A4200</f>
        <v>34</v>
      </c>
      <c r="C4200" s="2" t="str">
        <f aca="false">'Raw Data'!D4200</f>
        <v>Research &amp; Development</v>
      </c>
      <c r="D4200" s="2" t="str">
        <f aca="false">'Raw Data'!K4200</f>
        <v>Research Scientist</v>
      </c>
      <c r="E4200" s="2" t="n">
        <f aca="false">'Raw Data'!Q4200</f>
        <v>10</v>
      </c>
      <c r="F4200" s="2" t="n">
        <f aca="false">'Raw Data'!U4200</f>
        <v>7</v>
      </c>
      <c r="G4200" s="2" t="n">
        <f aca="false">'Raw Data'!W4200</f>
        <v>3</v>
      </c>
      <c r="H4200" s="2" t="n">
        <f aca="false">'Raw Data'!V4200</f>
        <v>2</v>
      </c>
      <c r="I4200" s="2" t="n">
        <f aca="false">IF(AND(ISNUMBER(B4200),B4200&lt;=25),2,0)+IF(AND(ISNUMBER(E4200),E4200&lt;=5),2,0)+IF(AND(ISNUMBER(F4200),F4200&lt;=1),2,0)+IF(AND(ISNUMBER(G4200),G4200&lt;=2),1,0)+IF(AND(ISNUMBER(H4200),H4200&lt;=2),1,0)</f>
        <v>1</v>
      </c>
      <c r="J4200" s="2" t="str">
        <f aca="false">IF(I4200&gt;=6,"High",IF(I4200&gt;=3,"Medium","Low"))</f>
        <v>Low</v>
      </c>
    </row>
    <row r="4201" customFormat="false" ht="15" hidden="false" customHeight="true" outlineLevel="0" collapsed="false">
      <c r="A4201" s="2" t="n">
        <f aca="false">'Raw Data'!H4201</f>
        <v>4200</v>
      </c>
      <c r="B4201" s="2" t="n">
        <f aca="false">'Raw Data'!A4201</f>
        <v>37</v>
      </c>
      <c r="C4201" s="2" t="str">
        <f aca="false">'Raw Data'!D4201</f>
        <v>Research &amp; Development</v>
      </c>
      <c r="D4201" s="2" t="str">
        <f aca="false">'Raw Data'!K4201</f>
        <v>Sales Executive</v>
      </c>
      <c r="E4201" s="2" t="n">
        <f aca="false">'Raw Data'!Q4201</f>
        <v>8</v>
      </c>
      <c r="F4201" s="2" t="n">
        <f aca="false">'Raw Data'!U4201</f>
        <v>0</v>
      </c>
      <c r="G4201" s="2" t="n">
        <f aca="false">'Raw Data'!W4201</f>
        <v>2</v>
      </c>
      <c r="H4201" s="2" t="n">
        <f aca="false">'Raw Data'!V4201</f>
        <v>2</v>
      </c>
      <c r="I4201" s="2" t="n">
        <f aca="false">IF(AND(ISNUMBER(B4201),B4201&lt;=25),2,0)+IF(AND(ISNUMBER(E4201),E4201&lt;=5),2,0)+IF(AND(ISNUMBER(F4201),F4201&lt;=1),2,0)+IF(AND(ISNUMBER(G4201),G4201&lt;=2),1,0)+IF(AND(ISNUMBER(H4201),H4201&lt;=2),1,0)</f>
        <v>4</v>
      </c>
      <c r="J4201" s="2" t="str">
        <f aca="false">IF(I4201&gt;=6,"High",IF(I4201&gt;=3,"Medium","Low"))</f>
        <v>Medium</v>
      </c>
    </row>
    <row r="4202" customFormat="false" ht="15" hidden="false" customHeight="true" outlineLevel="0" collapsed="false">
      <c r="A4202" s="2" t="n">
        <f aca="false">'Raw Data'!H4202</f>
        <v>4201</v>
      </c>
      <c r="B4202" s="2" t="n">
        <f aca="false">'Raw Data'!A4202</f>
        <v>46</v>
      </c>
      <c r="C4202" s="2" t="str">
        <f aca="false">'Raw Data'!D4202</f>
        <v>Research &amp; Development</v>
      </c>
      <c r="D4202" s="2" t="str">
        <f aca="false">'Raw Data'!K4202</f>
        <v>Sales Executive</v>
      </c>
      <c r="E4202" s="2" t="n">
        <f aca="false">'Raw Data'!Q4202</f>
        <v>14</v>
      </c>
      <c r="F4202" s="2" t="n">
        <f aca="false">'Raw Data'!U4202</f>
        <v>8</v>
      </c>
      <c r="G4202" s="2" t="n">
        <f aca="false">'Raw Data'!W4202</f>
        <v>4</v>
      </c>
      <c r="H4202" s="2" t="n">
        <f aca="false">'Raw Data'!V4202</f>
        <v>1</v>
      </c>
      <c r="I4202" s="2" t="n">
        <f aca="false">IF(AND(ISNUMBER(B4202),B4202&lt;=25),2,0)+IF(AND(ISNUMBER(E4202),E4202&lt;=5),2,0)+IF(AND(ISNUMBER(F4202),F4202&lt;=1),2,0)+IF(AND(ISNUMBER(G4202),G4202&lt;=2),1,0)+IF(AND(ISNUMBER(H4202),H4202&lt;=2),1,0)</f>
        <v>1</v>
      </c>
      <c r="J4202" s="2" t="str">
        <f aca="false">IF(I4202&gt;=6,"High",IF(I4202&gt;=3,"Medium","Low"))</f>
        <v>Low</v>
      </c>
    </row>
    <row r="4203" customFormat="false" ht="15" hidden="false" customHeight="true" outlineLevel="0" collapsed="false">
      <c r="A4203" s="2" t="n">
        <f aca="false">'Raw Data'!H4203</f>
        <v>4202</v>
      </c>
      <c r="B4203" s="2" t="n">
        <f aca="false">'Raw Data'!A4203</f>
        <v>35</v>
      </c>
      <c r="C4203" s="2" t="str">
        <f aca="false">'Raw Data'!D4203</f>
        <v>Research &amp; Development</v>
      </c>
      <c r="D4203" s="2" t="str">
        <f aca="false">'Raw Data'!K4203</f>
        <v>Research Scientist</v>
      </c>
      <c r="E4203" s="2" t="n">
        <f aca="false">'Raw Data'!Q4203</f>
        <v>1</v>
      </c>
      <c r="F4203" s="2" t="n">
        <f aca="false">'Raw Data'!U4203</f>
        <v>1</v>
      </c>
      <c r="G4203" s="2" t="n">
        <f aca="false">'Raw Data'!W4203</f>
        <v>4</v>
      </c>
      <c r="H4203" s="2" t="n">
        <f aca="false">'Raw Data'!V4203</f>
        <v>4</v>
      </c>
      <c r="I4203" s="2" t="n">
        <f aca="false">IF(AND(ISNUMBER(B4203),B4203&lt;=25),2,0)+IF(AND(ISNUMBER(E4203),E4203&lt;=5),2,0)+IF(AND(ISNUMBER(F4203),F4203&lt;=1),2,0)+IF(AND(ISNUMBER(G4203),G4203&lt;=2),1,0)+IF(AND(ISNUMBER(H4203),H4203&lt;=2),1,0)</f>
        <v>4</v>
      </c>
      <c r="J4203" s="2" t="str">
        <f aca="false">IF(I4203&gt;=6,"High",IF(I4203&gt;=3,"Medium","Low"))</f>
        <v>Medium</v>
      </c>
    </row>
    <row r="4204" customFormat="false" ht="15" hidden="false" customHeight="true" outlineLevel="0" collapsed="false">
      <c r="A4204" s="2" t="n">
        <f aca="false">'Raw Data'!H4204</f>
        <v>4203</v>
      </c>
      <c r="B4204" s="2" t="n">
        <f aca="false">'Raw Data'!A4204</f>
        <v>48</v>
      </c>
      <c r="C4204" s="2" t="str">
        <f aca="false">'Raw Data'!D4204</f>
        <v>Research &amp; Development</v>
      </c>
      <c r="D4204" s="2" t="str">
        <f aca="false">'Raw Data'!K4204</f>
        <v>Sales Executive</v>
      </c>
      <c r="E4204" s="2" t="n">
        <f aca="false">'Raw Data'!Q4204</f>
        <v>23</v>
      </c>
      <c r="F4204" s="2" t="n">
        <f aca="false">'Raw Data'!U4204</f>
        <v>0</v>
      </c>
      <c r="G4204" s="2" t="n">
        <f aca="false">'Raw Data'!W4204</f>
        <v>3</v>
      </c>
      <c r="H4204" s="2" t="n">
        <f aca="false">'Raw Data'!V4204</f>
        <v>1</v>
      </c>
      <c r="I4204" s="2" t="n">
        <f aca="false">IF(AND(ISNUMBER(B4204),B4204&lt;=25),2,0)+IF(AND(ISNUMBER(E4204),E4204&lt;=5),2,0)+IF(AND(ISNUMBER(F4204),F4204&lt;=1),2,0)+IF(AND(ISNUMBER(G4204),G4204&lt;=2),1,0)+IF(AND(ISNUMBER(H4204),H4204&lt;=2),1,0)</f>
        <v>3</v>
      </c>
      <c r="J4204" s="2" t="str">
        <f aca="false">IF(I4204&gt;=6,"High",IF(I4204&gt;=3,"Medium","Low"))</f>
        <v>Medium</v>
      </c>
    </row>
    <row r="4205" customFormat="false" ht="15" hidden="false" customHeight="true" outlineLevel="0" collapsed="false">
      <c r="A4205" s="2" t="n">
        <f aca="false">'Raw Data'!H4205</f>
        <v>4204</v>
      </c>
      <c r="B4205" s="2" t="n">
        <f aca="false">'Raw Data'!A4205</f>
        <v>28</v>
      </c>
      <c r="C4205" s="2" t="str">
        <f aca="false">'Raw Data'!D4205</f>
        <v>Research &amp; Development</v>
      </c>
      <c r="D4205" s="2" t="str">
        <f aca="false">'Raw Data'!K4205</f>
        <v>Sales Executive</v>
      </c>
      <c r="E4205" s="2" t="n">
        <f aca="false">'Raw Data'!Q4205</f>
        <v>2</v>
      </c>
      <c r="F4205" s="2" t="n">
        <f aca="false">'Raw Data'!U4205</f>
        <v>2</v>
      </c>
      <c r="G4205" s="2" t="n">
        <f aca="false">'Raw Data'!W4205</f>
        <v>3</v>
      </c>
      <c r="H4205" s="2" t="n">
        <f aca="false">'Raw Data'!V4205</f>
        <v>3</v>
      </c>
      <c r="I4205" s="2" t="n">
        <f aca="false">IF(AND(ISNUMBER(B4205),B4205&lt;=25),2,0)+IF(AND(ISNUMBER(E4205),E4205&lt;=5),2,0)+IF(AND(ISNUMBER(F4205),F4205&lt;=1),2,0)+IF(AND(ISNUMBER(G4205),G4205&lt;=2),1,0)+IF(AND(ISNUMBER(H4205),H4205&lt;=2),1,0)</f>
        <v>2</v>
      </c>
      <c r="J4205" s="2" t="str">
        <f aca="false">IF(I4205&gt;=6,"High",IF(I4205&gt;=3,"Medium","Low"))</f>
        <v>Low</v>
      </c>
    </row>
    <row r="4206" customFormat="false" ht="15" hidden="false" customHeight="true" outlineLevel="0" collapsed="false">
      <c r="A4206" s="2" t="n">
        <f aca="false">'Raw Data'!H4206</f>
        <v>4205</v>
      </c>
      <c r="B4206" s="2" t="n">
        <f aca="false">'Raw Data'!A4206</f>
        <v>44</v>
      </c>
      <c r="C4206" s="2" t="str">
        <f aca="false">'Raw Data'!D4206</f>
        <v>Research &amp; Development</v>
      </c>
      <c r="D4206" s="2" t="str">
        <f aca="false">'Raw Data'!K4206</f>
        <v>Research Scientist</v>
      </c>
      <c r="E4206" s="2" t="n">
        <f aca="false">'Raw Data'!Q4206</f>
        <v>9</v>
      </c>
      <c r="F4206" s="2" t="n">
        <f aca="false">'Raw Data'!U4206</f>
        <v>3</v>
      </c>
      <c r="G4206" s="2" t="n">
        <f aca="false">'Raw Data'!W4206</f>
        <v>1</v>
      </c>
      <c r="H4206" s="2" t="n">
        <f aca="false">'Raw Data'!V4206</f>
        <v>2</v>
      </c>
      <c r="I4206" s="2" t="n">
        <f aca="false">IF(AND(ISNUMBER(B4206),B4206&lt;=25),2,0)+IF(AND(ISNUMBER(E4206),E4206&lt;=5),2,0)+IF(AND(ISNUMBER(F4206),F4206&lt;=1),2,0)+IF(AND(ISNUMBER(G4206),G4206&lt;=2),1,0)+IF(AND(ISNUMBER(H4206),H4206&lt;=2),1,0)</f>
        <v>2</v>
      </c>
      <c r="J4206" s="2" t="str">
        <f aca="false">IF(I4206&gt;=6,"High",IF(I4206&gt;=3,"Medium","Low"))</f>
        <v>Low</v>
      </c>
    </row>
    <row r="4207" customFormat="false" ht="15" hidden="false" customHeight="true" outlineLevel="0" collapsed="false">
      <c r="A4207" s="2" t="n">
        <f aca="false">'Raw Data'!H4207</f>
        <v>4206</v>
      </c>
      <c r="B4207" s="2" t="n">
        <f aca="false">'Raw Data'!A4207</f>
        <v>35</v>
      </c>
      <c r="C4207" s="2" t="str">
        <f aca="false">'Raw Data'!D4207</f>
        <v>Research &amp; Development</v>
      </c>
      <c r="D4207" s="2" t="str">
        <f aca="false">'Raw Data'!K4207</f>
        <v>Manufacturing Director</v>
      </c>
      <c r="E4207" s="2" t="n">
        <f aca="false">'Raw Data'!Q4207</f>
        <v>10</v>
      </c>
      <c r="F4207" s="2" t="n">
        <f aca="false">'Raw Data'!U4207</f>
        <v>3</v>
      </c>
      <c r="G4207" s="2" t="n">
        <f aca="false">'Raw Data'!W4207</f>
        <v>1</v>
      </c>
      <c r="H4207" s="2" t="n">
        <f aca="false">'Raw Data'!V4207</f>
        <v>3</v>
      </c>
      <c r="I4207" s="2" t="n">
        <f aca="false">IF(AND(ISNUMBER(B4207),B4207&lt;=25),2,0)+IF(AND(ISNUMBER(E4207),E4207&lt;=5),2,0)+IF(AND(ISNUMBER(F4207),F4207&lt;=1),2,0)+IF(AND(ISNUMBER(G4207),G4207&lt;=2),1,0)+IF(AND(ISNUMBER(H4207),H4207&lt;=2),1,0)</f>
        <v>1</v>
      </c>
      <c r="J4207" s="2" t="str">
        <f aca="false">IF(I4207&gt;=6,"High",IF(I4207&gt;=3,"Medium","Low"))</f>
        <v>Low</v>
      </c>
    </row>
    <row r="4208" customFormat="false" ht="15" hidden="false" customHeight="true" outlineLevel="0" collapsed="false">
      <c r="A4208" s="2" t="n">
        <f aca="false">'Raw Data'!H4208</f>
        <v>4207</v>
      </c>
      <c r="B4208" s="2" t="n">
        <f aca="false">'Raw Data'!A4208</f>
        <v>26</v>
      </c>
      <c r="C4208" s="2" t="str">
        <f aca="false">'Raw Data'!D4208</f>
        <v>Research &amp; Development</v>
      </c>
      <c r="D4208" s="2" t="str">
        <f aca="false">'Raw Data'!K4208</f>
        <v>Sales Executive</v>
      </c>
      <c r="E4208" s="2" t="n">
        <f aca="false">'Raw Data'!Q4208</f>
        <v>5</v>
      </c>
      <c r="F4208" s="2" t="n">
        <f aca="false">'Raw Data'!U4208</f>
        <v>0</v>
      </c>
      <c r="G4208" s="2" t="n">
        <f aca="false">'Raw Data'!W4208</f>
        <v>4</v>
      </c>
      <c r="H4208" s="2" t="n">
        <f aca="false">'Raw Data'!V4208</f>
        <v>3</v>
      </c>
      <c r="I4208" s="2" t="n">
        <f aca="false">IF(AND(ISNUMBER(B4208),B4208&lt;=25),2,0)+IF(AND(ISNUMBER(E4208),E4208&lt;=5),2,0)+IF(AND(ISNUMBER(F4208),F4208&lt;=1),2,0)+IF(AND(ISNUMBER(G4208),G4208&lt;=2),1,0)+IF(AND(ISNUMBER(H4208),H4208&lt;=2),1,0)</f>
        <v>4</v>
      </c>
      <c r="J4208" s="2" t="str">
        <f aca="false">IF(I4208&gt;=6,"High",IF(I4208&gt;=3,"Medium","Low"))</f>
        <v>Medium</v>
      </c>
    </row>
    <row r="4209" customFormat="false" ht="15" hidden="false" customHeight="true" outlineLevel="0" collapsed="false">
      <c r="A4209" s="2" t="n">
        <f aca="false">'Raw Data'!H4209</f>
        <v>4208</v>
      </c>
      <c r="B4209" s="2" t="n">
        <f aca="false">'Raw Data'!A4209</f>
        <v>33</v>
      </c>
      <c r="C4209" s="2" t="str">
        <f aca="false">'Raw Data'!D4209</f>
        <v>Sales</v>
      </c>
      <c r="D4209" s="2" t="str">
        <f aca="false">'Raw Data'!K4209</f>
        <v>Human Resources</v>
      </c>
      <c r="E4209" s="2" t="n">
        <f aca="false">'Raw Data'!Q4209</f>
        <v>15</v>
      </c>
      <c r="F4209" s="2" t="n">
        <f aca="false">'Raw Data'!U4209</f>
        <v>12</v>
      </c>
      <c r="G4209" s="2" t="n">
        <f aca="false">'Raw Data'!W4209</f>
        <v>4</v>
      </c>
      <c r="H4209" s="2" t="n">
        <f aca="false">'Raw Data'!V4209</f>
        <v>1</v>
      </c>
      <c r="I4209" s="2" t="n">
        <f aca="false">IF(AND(ISNUMBER(B4209),B4209&lt;=25),2,0)+IF(AND(ISNUMBER(E4209),E4209&lt;=5),2,0)+IF(AND(ISNUMBER(F4209),F4209&lt;=1),2,0)+IF(AND(ISNUMBER(G4209),G4209&lt;=2),1,0)+IF(AND(ISNUMBER(H4209),H4209&lt;=2),1,0)</f>
        <v>1</v>
      </c>
      <c r="J4209" s="2" t="str">
        <f aca="false">IF(I4209&gt;=6,"High",IF(I4209&gt;=3,"Medium","Low"))</f>
        <v>Low</v>
      </c>
    </row>
    <row r="4210" customFormat="false" ht="15" hidden="false" customHeight="true" outlineLevel="0" collapsed="false">
      <c r="A4210" s="2" t="n">
        <f aca="false">'Raw Data'!H4210</f>
        <v>4209</v>
      </c>
      <c r="B4210" s="2" t="n">
        <f aca="false">'Raw Data'!A4210</f>
        <v>35</v>
      </c>
      <c r="C4210" s="2" t="str">
        <f aca="false">'Raw Data'!D4210</f>
        <v>Research &amp; Development</v>
      </c>
      <c r="D4210" s="2" t="str">
        <f aca="false">'Raw Data'!K4210</f>
        <v>Manufacturing Director</v>
      </c>
      <c r="E4210" s="2" t="n">
        <f aca="false">'Raw Data'!Q4210</f>
        <v>9</v>
      </c>
      <c r="F4210" s="2" t="n">
        <f aca="false">'Raw Data'!U4210</f>
        <v>8</v>
      </c>
      <c r="G4210" s="2" t="n">
        <f aca="false">'Raw Data'!W4210</f>
        <v>1</v>
      </c>
      <c r="H4210" s="2" t="n">
        <f aca="false">'Raw Data'!V4210</f>
        <v>2</v>
      </c>
      <c r="I4210" s="2" t="n">
        <f aca="false">IF(AND(ISNUMBER(B4210),B4210&lt;=25),2,0)+IF(AND(ISNUMBER(E4210),E4210&lt;=5),2,0)+IF(AND(ISNUMBER(F4210),F4210&lt;=1),2,0)+IF(AND(ISNUMBER(G4210),G4210&lt;=2),1,0)+IF(AND(ISNUMBER(H4210),H4210&lt;=2),1,0)</f>
        <v>2</v>
      </c>
      <c r="J4210" s="2" t="str">
        <f aca="false">IF(I4210&gt;=6,"High",IF(I4210&gt;=3,"Medium","Low"))</f>
        <v>Low</v>
      </c>
    </row>
    <row r="4211" customFormat="false" ht="15" hidden="false" customHeight="true" outlineLevel="0" collapsed="false">
      <c r="A4211" s="2" t="n">
        <f aca="false">'Raw Data'!H4211</f>
        <v>4210</v>
      </c>
      <c r="B4211" s="2" t="n">
        <f aca="false">'Raw Data'!A4211</f>
        <v>35</v>
      </c>
      <c r="C4211" s="2" t="str">
        <f aca="false">'Raw Data'!D4211</f>
        <v>Human Resources</v>
      </c>
      <c r="D4211" s="2" t="str">
        <f aca="false">'Raw Data'!K4211</f>
        <v>Laboratory Technician</v>
      </c>
      <c r="E4211" s="2" t="n">
        <f aca="false">'Raw Data'!Q4211</f>
        <v>4</v>
      </c>
      <c r="F4211" s="2" t="n">
        <f aca="false">'Raw Data'!U4211</f>
        <v>2</v>
      </c>
      <c r="G4211" s="2" t="n">
        <f aca="false">'Raw Data'!W4211</f>
        <v>1</v>
      </c>
      <c r="H4211" s="2" t="n">
        <f aca="false">'Raw Data'!V4211</f>
        <v>3</v>
      </c>
      <c r="I4211" s="2" t="n">
        <f aca="false">IF(AND(ISNUMBER(B4211),B4211&lt;=25),2,0)+IF(AND(ISNUMBER(E4211),E4211&lt;=5),2,0)+IF(AND(ISNUMBER(F4211),F4211&lt;=1),2,0)+IF(AND(ISNUMBER(G4211),G4211&lt;=2),1,0)+IF(AND(ISNUMBER(H4211),H4211&lt;=2),1,0)</f>
        <v>3</v>
      </c>
      <c r="J4211" s="2" t="str">
        <f aca="false">IF(I4211&gt;=6,"High",IF(I4211&gt;=3,"Medium","Low"))</f>
        <v>Medium</v>
      </c>
    </row>
    <row r="4212" customFormat="false" ht="15" hidden="false" customHeight="true" outlineLevel="0" collapsed="false">
      <c r="A4212" s="2" t="n">
        <f aca="false">'Raw Data'!H4212</f>
        <v>4211</v>
      </c>
      <c r="B4212" s="2" t="n">
        <f aca="false">'Raw Data'!A4212</f>
        <v>31</v>
      </c>
      <c r="C4212" s="2" t="str">
        <f aca="false">'Raw Data'!D4212</f>
        <v>Sales</v>
      </c>
      <c r="D4212" s="2" t="str">
        <f aca="false">'Raw Data'!K4212</f>
        <v>Research Scientist</v>
      </c>
      <c r="E4212" s="2" t="n">
        <f aca="false">'Raw Data'!Q4212</f>
        <v>10</v>
      </c>
      <c r="F4212" s="2" t="n">
        <f aca="false">'Raw Data'!U4212</f>
        <v>7</v>
      </c>
      <c r="G4212" s="2" t="n">
        <f aca="false">'Raw Data'!W4212</f>
        <v>4</v>
      </c>
      <c r="H4212" s="2" t="n">
        <f aca="false">'Raw Data'!V4212</f>
        <v>4</v>
      </c>
      <c r="I4212" s="2" t="n">
        <f aca="false">IF(AND(ISNUMBER(B4212),B4212&lt;=25),2,0)+IF(AND(ISNUMBER(E4212),E4212&lt;=5),2,0)+IF(AND(ISNUMBER(F4212),F4212&lt;=1),2,0)+IF(AND(ISNUMBER(G4212),G4212&lt;=2),1,0)+IF(AND(ISNUMBER(H4212),H4212&lt;=2),1,0)</f>
        <v>0</v>
      </c>
      <c r="J4212" s="2" t="str">
        <f aca="false">IF(I4212&gt;=6,"High",IF(I4212&gt;=3,"Medium","Low"))</f>
        <v>Low</v>
      </c>
    </row>
    <row r="4213" customFormat="false" ht="15" hidden="false" customHeight="true" outlineLevel="0" collapsed="false">
      <c r="A4213" s="2" t="n">
        <f aca="false">'Raw Data'!H4213</f>
        <v>4212</v>
      </c>
      <c r="B4213" s="2" t="n">
        <f aca="false">'Raw Data'!A4213</f>
        <v>37</v>
      </c>
      <c r="C4213" s="2" t="str">
        <f aca="false">'Raw Data'!D4213</f>
        <v>Sales</v>
      </c>
      <c r="D4213" s="2" t="str">
        <f aca="false">'Raw Data'!K4213</f>
        <v>Human Resources</v>
      </c>
      <c r="E4213" s="2" t="n">
        <f aca="false">'Raw Data'!Q4213</f>
        <v>7</v>
      </c>
      <c r="F4213" s="2" t="n">
        <f aca="false">'Raw Data'!U4213</f>
        <v>7</v>
      </c>
      <c r="G4213" s="2" t="n">
        <f aca="false">'Raw Data'!W4213</f>
        <v>3</v>
      </c>
      <c r="H4213" s="2" t="n">
        <f aca="false">'Raw Data'!V4213</f>
        <v>1</v>
      </c>
      <c r="I4213" s="2" t="n">
        <f aca="false">IF(AND(ISNUMBER(B4213),B4213&lt;=25),2,0)+IF(AND(ISNUMBER(E4213),E4213&lt;=5),2,0)+IF(AND(ISNUMBER(F4213),F4213&lt;=1),2,0)+IF(AND(ISNUMBER(G4213),G4213&lt;=2),1,0)+IF(AND(ISNUMBER(H4213),H4213&lt;=2),1,0)</f>
        <v>1</v>
      </c>
      <c r="J4213" s="2" t="str">
        <f aca="false">IF(I4213&gt;=6,"High",IF(I4213&gt;=3,"Medium","Low"))</f>
        <v>Low</v>
      </c>
    </row>
    <row r="4214" customFormat="false" ht="15" hidden="false" customHeight="true" outlineLevel="0" collapsed="false">
      <c r="A4214" s="2" t="n">
        <f aca="false">'Raw Data'!H4214</f>
        <v>4213</v>
      </c>
      <c r="B4214" s="2" t="n">
        <f aca="false">'Raw Data'!A4214</f>
        <v>32</v>
      </c>
      <c r="C4214" s="2" t="str">
        <f aca="false">'Raw Data'!D4214</f>
        <v>Research &amp; Development</v>
      </c>
      <c r="D4214" s="2" t="str">
        <f aca="false">'Raw Data'!K4214</f>
        <v>Sales Executive</v>
      </c>
      <c r="E4214" s="2" t="n">
        <f aca="false">'Raw Data'!Q4214</f>
        <v>9</v>
      </c>
      <c r="F4214" s="2" t="n">
        <f aca="false">'Raw Data'!U4214</f>
        <v>8</v>
      </c>
      <c r="G4214" s="2" t="n">
        <f aca="false">'Raw Data'!W4214</f>
        <v>4</v>
      </c>
      <c r="H4214" s="2" t="n">
        <f aca="false">'Raw Data'!V4214</f>
        <v>1</v>
      </c>
      <c r="I4214" s="2" t="n">
        <f aca="false">IF(AND(ISNUMBER(B4214),B4214&lt;=25),2,0)+IF(AND(ISNUMBER(E4214),E4214&lt;=5),2,0)+IF(AND(ISNUMBER(F4214),F4214&lt;=1),2,0)+IF(AND(ISNUMBER(G4214),G4214&lt;=2),1,0)+IF(AND(ISNUMBER(H4214),H4214&lt;=2),1,0)</f>
        <v>1</v>
      </c>
      <c r="J4214" s="2" t="str">
        <f aca="false">IF(I4214&gt;=6,"High",IF(I4214&gt;=3,"Medium","Low"))</f>
        <v>Low</v>
      </c>
    </row>
    <row r="4215" customFormat="false" ht="15" hidden="false" customHeight="true" outlineLevel="0" collapsed="false">
      <c r="A4215" s="2" t="n">
        <f aca="false">'Raw Data'!H4215</f>
        <v>4214</v>
      </c>
      <c r="B4215" s="2" t="n">
        <f aca="false">'Raw Data'!A4215</f>
        <v>38</v>
      </c>
      <c r="C4215" s="2" t="str">
        <f aca="false">'Raw Data'!D4215</f>
        <v>Research &amp; Development</v>
      </c>
      <c r="D4215" s="2" t="str">
        <f aca="false">'Raw Data'!K4215</f>
        <v>Manufacturing Director</v>
      </c>
      <c r="E4215" s="2" t="n">
        <f aca="false">'Raw Data'!Q4215</f>
        <v>10</v>
      </c>
      <c r="F4215" s="2" t="n">
        <f aca="false">'Raw Data'!U4215</f>
        <v>9</v>
      </c>
      <c r="G4215" s="2" t="n">
        <f aca="false">'Raw Data'!W4215</f>
        <v>4</v>
      </c>
      <c r="H4215" s="2" t="n">
        <f aca="false">'Raw Data'!V4215</f>
        <v>4</v>
      </c>
      <c r="I4215" s="2" t="n">
        <f aca="false">IF(AND(ISNUMBER(B4215),B4215&lt;=25),2,0)+IF(AND(ISNUMBER(E4215),E4215&lt;=5),2,0)+IF(AND(ISNUMBER(F4215),F4215&lt;=1),2,0)+IF(AND(ISNUMBER(G4215),G4215&lt;=2),1,0)+IF(AND(ISNUMBER(H4215),H4215&lt;=2),1,0)</f>
        <v>0</v>
      </c>
      <c r="J4215" s="2" t="str">
        <f aca="false">IF(I4215&gt;=6,"High",IF(I4215&gt;=3,"Medium","Low"))</f>
        <v>Low</v>
      </c>
    </row>
    <row r="4216" customFormat="false" ht="15" hidden="false" customHeight="true" outlineLevel="0" collapsed="false">
      <c r="A4216" s="2" t="n">
        <f aca="false">'Raw Data'!H4216</f>
        <v>4215</v>
      </c>
      <c r="B4216" s="2" t="n">
        <f aca="false">'Raw Data'!A4216</f>
        <v>50</v>
      </c>
      <c r="C4216" s="2" t="str">
        <f aca="false">'Raw Data'!D4216</f>
        <v>Sales</v>
      </c>
      <c r="D4216" s="2" t="str">
        <f aca="false">'Raw Data'!K4216</f>
        <v>Research Scientist</v>
      </c>
      <c r="E4216" s="2" t="n">
        <f aca="false">'Raw Data'!Q4216</f>
        <v>29</v>
      </c>
      <c r="F4216" s="2" t="n">
        <f aca="false">'Raw Data'!U4216</f>
        <v>8</v>
      </c>
      <c r="G4216" s="2" t="n">
        <f aca="false">'Raw Data'!W4216</f>
        <v>3</v>
      </c>
      <c r="H4216" s="2" t="n">
        <f aca="false">'Raw Data'!V4216</f>
        <v>2</v>
      </c>
      <c r="I4216" s="2" t="n">
        <f aca="false">IF(AND(ISNUMBER(B4216),B4216&lt;=25),2,0)+IF(AND(ISNUMBER(E4216),E4216&lt;=5),2,0)+IF(AND(ISNUMBER(F4216),F4216&lt;=1),2,0)+IF(AND(ISNUMBER(G4216),G4216&lt;=2),1,0)+IF(AND(ISNUMBER(H4216),H4216&lt;=2),1,0)</f>
        <v>1</v>
      </c>
      <c r="J4216" s="2" t="str">
        <f aca="false">IF(I4216&gt;=6,"High",IF(I4216&gt;=3,"Medium","Low"))</f>
        <v>Low</v>
      </c>
    </row>
    <row r="4217" customFormat="false" ht="15" hidden="false" customHeight="true" outlineLevel="0" collapsed="false">
      <c r="A4217" s="2" t="n">
        <f aca="false">'Raw Data'!H4217</f>
        <v>4216</v>
      </c>
      <c r="B4217" s="2" t="n">
        <f aca="false">'Raw Data'!A4217</f>
        <v>59</v>
      </c>
      <c r="C4217" s="2" t="str">
        <f aca="false">'Raw Data'!D4217</f>
        <v>Research &amp; Development</v>
      </c>
      <c r="D4217" s="2" t="str">
        <f aca="false">'Raw Data'!K4217</f>
        <v>Laboratory Technician</v>
      </c>
      <c r="E4217" s="2" t="n">
        <f aca="false">'Raw Data'!Q4217</f>
        <v>28</v>
      </c>
      <c r="F4217" s="2" t="n">
        <f aca="false">'Raw Data'!U4217</f>
        <v>9</v>
      </c>
      <c r="G4217" s="2" t="n">
        <f aca="false">'Raw Data'!W4217</f>
        <v>1</v>
      </c>
      <c r="H4217" s="2" t="n">
        <f aca="false">'Raw Data'!V4217</f>
        <v>1</v>
      </c>
      <c r="I4217" s="2" t="n">
        <f aca="false">IF(AND(ISNUMBER(B4217),B4217&lt;=25),2,0)+IF(AND(ISNUMBER(E4217),E4217&lt;=5),2,0)+IF(AND(ISNUMBER(F4217),F4217&lt;=1),2,0)+IF(AND(ISNUMBER(G4217),G4217&lt;=2),1,0)+IF(AND(ISNUMBER(H4217),H4217&lt;=2),1,0)</f>
        <v>2</v>
      </c>
      <c r="J4217" s="2" t="str">
        <f aca="false">IF(I4217&gt;=6,"High",IF(I4217&gt;=3,"Medium","Low"))</f>
        <v>Low</v>
      </c>
    </row>
    <row r="4218" customFormat="false" ht="15" hidden="false" customHeight="true" outlineLevel="0" collapsed="false">
      <c r="A4218" s="2" t="n">
        <f aca="false">'Raw Data'!H4218</f>
        <v>4217</v>
      </c>
      <c r="B4218" s="2" t="n">
        <f aca="false">'Raw Data'!A4218</f>
        <v>36</v>
      </c>
      <c r="C4218" s="2" t="str">
        <f aca="false">'Raw Data'!D4218</f>
        <v>Sales</v>
      </c>
      <c r="D4218" s="2" t="str">
        <f aca="false">'Raw Data'!K4218</f>
        <v>Sales Executive</v>
      </c>
      <c r="E4218" s="2" t="n">
        <f aca="false">'Raw Data'!Q4218</f>
        <v>17</v>
      </c>
      <c r="F4218" s="2" t="n">
        <f aca="false">'Raw Data'!U4218</f>
        <v>8</v>
      </c>
      <c r="G4218" s="2" t="n">
        <f aca="false">'Raw Data'!W4218</f>
        <v>3</v>
      </c>
      <c r="H4218" s="2" t="n">
        <f aca="false">'Raw Data'!V4218</f>
        <v>3</v>
      </c>
      <c r="I4218" s="2" t="n">
        <f aca="false">IF(AND(ISNUMBER(B4218),B4218&lt;=25),2,0)+IF(AND(ISNUMBER(E4218),E4218&lt;=5),2,0)+IF(AND(ISNUMBER(F4218),F4218&lt;=1),2,0)+IF(AND(ISNUMBER(G4218),G4218&lt;=2),1,0)+IF(AND(ISNUMBER(H4218),H4218&lt;=2),1,0)</f>
        <v>0</v>
      </c>
      <c r="J4218" s="2" t="str">
        <f aca="false">IF(I4218&gt;=6,"High",IF(I4218&gt;=3,"Medium","Low"))</f>
        <v>Low</v>
      </c>
    </row>
    <row r="4219" customFormat="false" ht="15" hidden="false" customHeight="true" outlineLevel="0" collapsed="false">
      <c r="A4219" s="2" t="n">
        <f aca="false">'Raw Data'!H4219</f>
        <v>4218</v>
      </c>
      <c r="B4219" s="2" t="n">
        <f aca="false">'Raw Data'!A4219</f>
        <v>55</v>
      </c>
      <c r="C4219" s="2" t="str">
        <f aca="false">'Raw Data'!D4219</f>
        <v>Research &amp; Development</v>
      </c>
      <c r="D4219" s="2" t="str">
        <f aca="false">'Raw Data'!K4219</f>
        <v>Research Scientist</v>
      </c>
      <c r="E4219" s="2" t="n">
        <f aca="false">'Raw Data'!Q4219</f>
        <v>21</v>
      </c>
      <c r="F4219" s="2" t="n">
        <f aca="false">'Raw Data'!U4219</f>
        <v>2</v>
      </c>
      <c r="G4219" s="2" t="n">
        <f aca="false">'Raw Data'!W4219</f>
        <v>3</v>
      </c>
      <c r="H4219" s="2" t="n">
        <f aca="false">'Raw Data'!V4219</f>
        <v>4</v>
      </c>
      <c r="I4219" s="2" t="n">
        <f aca="false">IF(AND(ISNUMBER(B4219),B4219&lt;=25),2,0)+IF(AND(ISNUMBER(E4219),E4219&lt;=5),2,0)+IF(AND(ISNUMBER(F4219),F4219&lt;=1),2,0)+IF(AND(ISNUMBER(G4219),G4219&lt;=2),1,0)+IF(AND(ISNUMBER(H4219),H4219&lt;=2),1,0)</f>
        <v>0</v>
      </c>
      <c r="J4219" s="2" t="str">
        <f aca="false">IF(I4219&gt;=6,"High",IF(I4219&gt;=3,"Medium","Low"))</f>
        <v>Low</v>
      </c>
    </row>
    <row r="4220" customFormat="false" ht="15" hidden="false" customHeight="true" outlineLevel="0" collapsed="false">
      <c r="A4220" s="2" t="n">
        <f aca="false">'Raw Data'!H4220</f>
        <v>4219</v>
      </c>
      <c r="B4220" s="2" t="n">
        <f aca="false">'Raw Data'!A4220</f>
        <v>36</v>
      </c>
      <c r="C4220" s="2" t="str">
        <f aca="false">'Raw Data'!D4220</f>
        <v>Research &amp; Development</v>
      </c>
      <c r="D4220" s="2" t="str">
        <f aca="false">'Raw Data'!K4220</f>
        <v>Laboratory Technician</v>
      </c>
      <c r="E4220" s="2" t="n">
        <f aca="false">'Raw Data'!Q4220</f>
        <v>6</v>
      </c>
      <c r="F4220" s="2" t="n">
        <f aca="false">'Raw Data'!U4220</f>
        <v>3</v>
      </c>
      <c r="G4220" s="2" t="n">
        <f aca="false">'Raw Data'!W4220</f>
        <v>2</v>
      </c>
      <c r="H4220" s="2" t="n">
        <f aca="false">'Raw Data'!V4220</f>
        <v>2</v>
      </c>
      <c r="I4220" s="2" t="n">
        <f aca="false">IF(AND(ISNUMBER(B4220),B4220&lt;=25),2,0)+IF(AND(ISNUMBER(E4220),E4220&lt;=5),2,0)+IF(AND(ISNUMBER(F4220),F4220&lt;=1),2,0)+IF(AND(ISNUMBER(G4220),G4220&lt;=2),1,0)+IF(AND(ISNUMBER(H4220),H4220&lt;=2),1,0)</f>
        <v>2</v>
      </c>
      <c r="J4220" s="2" t="str">
        <f aca="false">IF(I4220&gt;=6,"High",IF(I4220&gt;=3,"Medium","Low"))</f>
        <v>Low</v>
      </c>
    </row>
    <row r="4221" customFormat="false" ht="15" hidden="false" customHeight="true" outlineLevel="0" collapsed="false">
      <c r="A4221" s="2" t="n">
        <f aca="false">'Raw Data'!H4221</f>
        <v>4220</v>
      </c>
      <c r="B4221" s="2" t="n">
        <f aca="false">'Raw Data'!A4221</f>
        <v>45</v>
      </c>
      <c r="C4221" s="2" t="str">
        <f aca="false">'Raw Data'!D4221</f>
        <v>Research &amp; Development</v>
      </c>
      <c r="D4221" s="2" t="str">
        <f aca="false">'Raw Data'!K4221</f>
        <v>Sales Executive</v>
      </c>
      <c r="E4221" s="2" t="n">
        <f aca="false">'Raw Data'!Q4221</f>
        <v>25</v>
      </c>
      <c r="F4221" s="2" t="n">
        <f aca="false">'Raw Data'!U4221</f>
        <v>0</v>
      </c>
      <c r="G4221" s="2" t="n">
        <f aca="false">'Raw Data'!W4221</f>
        <v>0</v>
      </c>
      <c r="H4221" s="2" t="n">
        <f aca="false">'Raw Data'!V4221</f>
        <v>2</v>
      </c>
      <c r="I4221" s="2" t="n">
        <f aca="false">IF(AND(ISNUMBER(B4221),B4221&lt;=25),2,0)+IF(AND(ISNUMBER(E4221),E4221&lt;=5),2,0)+IF(AND(ISNUMBER(F4221),F4221&lt;=1),2,0)+IF(AND(ISNUMBER(G4221),G4221&lt;=2),1,0)+IF(AND(ISNUMBER(H4221),H4221&lt;=2),1,0)</f>
        <v>3</v>
      </c>
      <c r="J4221" s="2" t="str">
        <f aca="false">IF(I4221&gt;=6,"High",IF(I4221&gt;=3,"Medium","Low"))</f>
        <v>Medium</v>
      </c>
    </row>
    <row r="4222" customFormat="false" ht="15" hidden="false" customHeight="true" outlineLevel="0" collapsed="false">
      <c r="A4222" s="2" t="n">
        <f aca="false">'Raw Data'!H4222</f>
        <v>4221</v>
      </c>
      <c r="B4222" s="2" t="n">
        <f aca="false">'Raw Data'!A4222</f>
        <v>35</v>
      </c>
      <c r="C4222" s="2" t="str">
        <f aca="false">'Raw Data'!D4222</f>
        <v>Human Resources</v>
      </c>
      <c r="D4222" s="2" t="str">
        <f aca="false">'Raw Data'!K4222</f>
        <v>Sales Representative</v>
      </c>
      <c r="E4222" s="2" t="n">
        <f aca="false">'Raw Data'!Q4222</f>
        <v>5</v>
      </c>
      <c r="F4222" s="2" t="n">
        <f aca="false">'Raw Data'!U4222</f>
        <v>2</v>
      </c>
      <c r="G4222" s="2" t="n">
        <f aca="false">'Raw Data'!W4222</f>
        <v>1</v>
      </c>
      <c r="H4222" s="2" t="n">
        <f aca="false">'Raw Data'!V4222</f>
        <v>2</v>
      </c>
      <c r="I4222" s="2" t="n">
        <f aca="false">IF(AND(ISNUMBER(B4222),B4222&lt;=25),2,0)+IF(AND(ISNUMBER(E4222),E4222&lt;=5),2,0)+IF(AND(ISNUMBER(F4222),F4222&lt;=1),2,0)+IF(AND(ISNUMBER(G4222),G4222&lt;=2),1,0)+IF(AND(ISNUMBER(H4222),H4222&lt;=2),1,0)</f>
        <v>4</v>
      </c>
      <c r="J4222" s="2" t="str">
        <f aca="false">IF(I4222&gt;=6,"High",IF(I4222&gt;=3,"Medium","Low"))</f>
        <v>Medium</v>
      </c>
    </row>
    <row r="4223" customFormat="false" ht="15" hidden="false" customHeight="true" outlineLevel="0" collapsed="false">
      <c r="A4223" s="2" t="n">
        <f aca="false">'Raw Data'!H4223</f>
        <v>4222</v>
      </c>
      <c r="B4223" s="2" t="n">
        <f aca="false">'Raw Data'!A4223</f>
        <v>36</v>
      </c>
      <c r="C4223" s="2" t="str">
        <f aca="false">'Raw Data'!D4223</f>
        <v>Sales</v>
      </c>
      <c r="D4223" s="2" t="str">
        <f aca="false">'Raw Data'!K4223</f>
        <v>Laboratory Technician</v>
      </c>
      <c r="E4223" s="2" t="n">
        <f aca="false">'Raw Data'!Q4223</f>
        <v>2</v>
      </c>
      <c r="F4223" s="2" t="n">
        <f aca="false">'Raw Data'!U4223</f>
        <v>0</v>
      </c>
      <c r="G4223" s="2" t="n">
        <f aca="false">'Raw Data'!W4223</f>
        <v>3</v>
      </c>
      <c r="H4223" s="2" t="n">
        <f aca="false">'Raw Data'!V4223</f>
        <v>4</v>
      </c>
      <c r="I4223" s="2" t="n">
        <f aca="false">IF(AND(ISNUMBER(B4223),B4223&lt;=25),2,0)+IF(AND(ISNUMBER(E4223),E4223&lt;=5),2,0)+IF(AND(ISNUMBER(F4223),F4223&lt;=1),2,0)+IF(AND(ISNUMBER(G4223),G4223&lt;=2),1,0)+IF(AND(ISNUMBER(H4223),H4223&lt;=2),1,0)</f>
        <v>4</v>
      </c>
      <c r="J4223" s="2" t="str">
        <f aca="false">IF(I4223&gt;=6,"High",IF(I4223&gt;=3,"Medium","Low"))</f>
        <v>Medium</v>
      </c>
    </row>
    <row r="4224" customFormat="false" ht="15" hidden="false" customHeight="true" outlineLevel="0" collapsed="false">
      <c r="A4224" s="2" t="n">
        <f aca="false">'Raw Data'!H4224</f>
        <v>4223</v>
      </c>
      <c r="B4224" s="2" t="n">
        <f aca="false">'Raw Data'!A4224</f>
        <v>59</v>
      </c>
      <c r="C4224" s="2" t="str">
        <f aca="false">'Raw Data'!D4224</f>
        <v>Research &amp; Development</v>
      </c>
      <c r="D4224" s="2" t="str">
        <f aca="false">'Raw Data'!K4224</f>
        <v>Research Scientist</v>
      </c>
      <c r="E4224" s="2" t="n">
        <f aca="false">'Raw Data'!Q4224</f>
        <v>20</v>
      </c>
      <c r="F4224" s="2" t="n">
        <f aca="false">'Raw Data'!U4224</f>
        <v>3</v>
      </c>
      <c r="G4224" s="2" t="n">
        <f aca="false">'Raw Data'!W4224</f>
        <v>3</v>
      </c>
      <c r="H4224" s="2" t="n">
        <f aca="false">'Raw Data'!V4224</f>
        <v>1</v>
      </c>
      <c r="I4224" s="2" t="n">
        <f aca="false">IF(AND(ISNUMBER(B4224),B4224&lt;=25),2,0)+IF(AND(ISNUMBER(E4224),E4224&lt;=5),2,0)+IF(AND(ISNUMBER(F4224),F4224&lt;=1),2,0)+IF(AND(ISNUMBER(G4224),G4224&lt;=2),1,0)+IF(AND(ISNUMBER(H4224),H4224&lt;=2),1,0)</f>
        <v>1</v>
      </c>
      <c r="J4224" s="2" t="str">
        <f aca="false">IF(I4224&gt;=6,"High",IF(I4224&gt;=3,"Medium","Low"))</f>
        <v>Low</v>
      </c>
    </row>
    <row r="4225" customFormat="false" ht="15" hidden="false" customHeight="true" outlineLevel="0" collapsed="false">
      <c r="A4225" s="2" t="n">
        <f aca="false">'Raw Data'!H4225</f>
        <v>4224</v>
      </c>
      <c r="B4225" s="2" t="n">
        <f aca="false">'Raw Data'!A4225</f>
        <v>29</v>
      </c>
      <c r="C4225" s="2" t="str">
        <f aca="false">'Raw Data'!D4225</f>
        <v>Research &amp; Development</v>
      </c>
      <c r="D4225" s="2" t="str">
        <f aca="false">'Raw Data'!K4225</f>
        <v>Sales Representative</v>
      </c>
      <c r="E4225" s="2" t="n">
        <f aca="false">'Raw Data'!Q4225</f>
        <v>6</v>
      </c>
      <c r="F4225" s="2" t="n">
        <f aca="false">'Raw Data'!U4225</f>
        <v>4</v>
      </c>
      <c r="G4225" s="2" t="n">
        <f aca="false">'Raw Data'!W4225</f>
        <v>2</v>
      </c>
      <c r="H4225" s="2" t="n">
        <f aca="false">'Raw Data'!V4225</f>
        <v>3</v>
      </c>
      <c r="I4225" s="2" t="n">
        <f aca="false">IF(AND(ISNUMBER(B4225),B4225&lt;=25),2,0)+IF(AND(ISNUMBER(E4225),E4225&lt;=5),2,0)+IF(AND(ISNUMBER(F4225),F4225&lt;=1),2,0)+IF(AND(ISNUMBER(G4225),G4225&lt;=2),1,0)+IF(AND(ISNUMBER(H4225),H4225&lt;=2),1,0)</f>
        <v>1</v>
      </c>
      <c r="J4225" s="2" t="str">
        <f aca="false">IF(I4225&gt;=6,"High",IF(I4225&gt;=3,"Medium","Low"))</f>
        <v>Low</v>
      </c>
    </row>
    <row r="4226" customFormat="false" ht="15" hidden="false" customHeight="true" outlineLevel="0" collapsed="false">
      <c r="A4226" s="2" t="n">
        <f aca="false">'Raw Data'!H4226</f>
        <v>4225</v>
      </c>
      <c r="B4226" s="2" t="n">
        <f aca="false">'Raw Data'!A4226</f>
        <v>31</v>
      </c>
      <c r="C4226" s="2" t="str">
        <f aca="false">'Raw Data'!D4226</f>
        <v>Research &amp; Development</v>
      </c>
      <c r="D4226" s="2" t="str">
        <f aca="false">'Raw Data'!K4226</f>
        <v>Sales Executive</v>
      </c>
      <c r="E4226" s="2" t="n">
        <f aca="false">'Raw Data'!Q4226</f>
        <v>1</v>
      </c>
      <c r="F4226" s="2" t="n">
        <f aca="false">'Raw Data'!U4226</f>
        <v>0</v>
      </c>
      <c r="G4226" s="2" t="n">
        <f aca="false">'Raw Data'!W4226</f>
        <v>2</v>
      </c>
      <c r="H4226" s="2" t="n">
        <f aca="false">'Raw Data'!V4226</f>
        <v>3</v>
      </c>
      <c r="I4226" s="2" t="n">
        <f aca="false">IF(AND(ISNUMBER(B4226),B4226&lt;=25),2,0)+IF(AND(ISNUMBER(E4226),E4226&lt;=5),2,0)+IF(AND(ISNUMBER(F4226),F4226&lt;=1),2,0)+IF(AND(ISNUMBER(G4226),G4226&lt;=2),1,0)+IF(AND(ISNUMBER(H4226),H4226&lt;=2),1,0)</f>
        <v>5</v>
      </c>
      <c r="J4226" s="2" t="str">
        <f aca="false">IF(I4226&gt;=6,"High",IF(I4226&gt;=3,"Medium","Low"))</f>
        <v>Medium</v>
      </c>
    </row>
    <row r="4227" customFormat="false" ht="15" hidden="false" customHeight="true" outlineLevel="0" collapsed="false">
      <c r="A4227" s="2" t="n">
        <f aca="false">'Raw Data'!H4227</f>
        <v>4226</v>
      </c>
      <c r="B4227" s="2" t="n">
        <f aca="false">'Raw Data'!A4227</f>
        <v>32</v>
      </c>
      <c r="C4227" s="2" t="str">
        <f aca="false">'Raw Data'!D4227</f>
        <v>Sales</v>
      </c>
      <c r="D4227" s="2" t="str">
        <f aca="false">'Raw Data'!K4227</f>
        <v>Manufacturing Director</v>
      </c>
      <c r="E4227" s="2" t="n">
        <f aca="false">'Raw Data'!Q4227</f>
        <v>10</v>
      </c>
      <c r="F4227" s="2" t="n">
        <f aca="false">'Raw Data'!U4227</f>
        <v>9</v>
      </c>
      <c r="G4227" s="2" t="n">
        <f aca="false">'Raw Data'!W4227</f>
        <v>2</v>
      </c>
      <c r="H4227" s="2" t="n">
        <f aca="false">'Raw Data'!V4227</f>
        <v>2</v>
      </c>
      <c r="I4227" s="2" t="n">
        <f aca="false">IF(AND(ISNUMBER(B4227),B4227&lt;=25),2,0)+IF(AND(ISNUMBER(E4227),E4227&lt;=5),2,0)+IF(AND(ISNUMBER(F4227),F4227&lt;=1),2,0)+IF(AND(ISNUMBER(G4227),G4227&lt;=2),1,0)+IF(AND(ISNUMBER(H4227),H4227&lt;=2),1,0)</f>
        <v>2</v>
      </c>
      <c r="J4227" s="2" t="str">
        <f aca="false">IF(I4227&gt;=6,"High",IF(I4227&gt;=3,"Medium","Low"))</f>
        <v>Low</v>
      </c>
    </row>
    <row r="4228" customFormat="false" ht="15" hidden="false" customHeight="true" outlineLevel="0" collapsed="false">
      <c r="A4228" s="2" t="n">
        <f aca="false">'Raw Data'!H4228</f>
        <v>4227</v>
      </c>
      <c r="B4228" s="2" t="n">
        <f aca="false">'Raw Data'!A4228</f>
        <v>36</v>
      </c>
      <c r="C4228" s="2" t="str">
        <f aca="false">'Raw Data'!D4228</f>
        <v>Research &amp; Development</v>
      </c>
      <c r="D4228" s="2" t="str">
        <f aca="false">'Raw Data'!K4228</f>
        <v>Sales Representative</v>
      </c>
      <c r="E4228" s="2" t="n">
        <f aca="false">'Raw Data'!Q4228</f>
        <v>5</v>
      </c>
      <c r="F4228" s="2" t="n">
        <f aca="false">'Raw Data'!U4228</f>
        <v>0</v>
      </c>
      <c r="G4228" s="2" t="n">
        <f aca="false">'Raw Data'!W4228</f>
        <v>4</v>
      </c>
      <c r="H4228" s="2" t="n">
        <f aca="false">'Raw Data'!V4228</f>
        <v>2</v>
      </c>
      <c r="I4228" s="2" t="n">
        <f aca="false">IF(AND(ISNUMBER(B4228),B4228&lt;=25),2,0)+IF(AND(ISNUMBER(E4228),E4228&lt;=5),2,0)+IF(AND(ISNUMBER(F4228),F4228&lt;=1),2,0)+IF(AND(ISNUMBER(G4228),G4228&lt;=2),1,0)+IF(AND(ISNUMBER(H4228),H4228&lt;=2),1,0)</f>
        <v>5</v>
      </c>
      <c r="J4228" s="2" t="str">
        <f aca="false">IF(I4228&gt;=6,"High",IF(I4228&gt;=3,"Medium","Low"))</f>
        <v>Medium</v>
      </c>
    </row>
    <row r="4229" customFormat="false" ht="15" hidden="false" customHeight="true" outlineLevel="0" collapsed="false">
      <c r="A4229" s="2" t="n">
        <f aca="false">'Raw Data'!H4229</f>
        <v>4228</v>
      </c>
      <c r="B4229" s="2" t="n">
        <f aca="false">'Raw Data'!A4229</f>
        <v>31</v>
      </c>
      <c r="C4229" s="2" t="str">
        <f aca="false">'Raw Data'!D4229</f>
        <v>Research &amp; Development</v>
      </c>
      <c r="D4229" s="2" t="str">
        <f aca="false">'Raw Data'!K4229</f>
        <v>Research Director</v>
      </c>
      <c r="E4229" s="2" t="n">
        <f aca="false">'Raw Data'!Q4229</f>
        <v>11</v>
      </c>
      <c r="F4229" s="2" t="n">
        <f aca="false">'Raw Data'!U4229</f>
        <v>8</v>
      </c>
      <c r="G4229" s="2" t="n">
        <f aca="false">'Raw Data'!W4229</f>
        <v>4</v>
      </c>
      <c r="H4229" s="2" t="n">
        <f aca="false">'Raw Data'!V4229</f>
        <v>3</v>
      </c>
      <c r="I4229" s="2" t="n">
        <f aca="false">IF(AND(ISNUMBER(B4229),B4229&lt;=25),2,0)+IF(AND(ISNUMBER(E4229),E4229&lt;=5),2,0)+IF(AND(ISNUMBER(F4229),F4229&lt;=1),2,0)+IF(AND(ISNUMBER(G4229),G4229&lt;=2),1,0)+IF(AND(ISNUMBER(H4229),H4229&lt;=2),1,0)</f>
        <v>0</v>
      </c>
      <c r="J4229" s="2" t="str">
        <f aca="false">IF(I4229&gt;=6,"High",IF(I4229&gt;=3,"Medium","Low"))</f>
        <v>Low</v>
      </c>
    </row>
    <row r="4230" customFormat="false" ht="15" hidden="false" customHeight="true" outlineLevel="0" collapsed="false">
      <c r="A4230" s="2" t="n">
        <f aca="false">'Raw Data'!H4230</f>
        <v>4229</v>
      </c>
      <c r="B4230" s="2" t="n">
        <f aca="false">'Raw Data'!A4230</f>
        <v>35</v>
      </c>
      <c r="C4230" s="2" t="str">
        <f aca="false">'Raw Data'!D4230</f>
        <v>Research &amp; Development</v>
      </c>
      <c r="D4230" s="2" t="str">
        <f aca="false">'Raw Data'!K4230</f>
        <v>Healthcare Representative</v>
      </c>
      <c r="E4230" s="2" t="n">
        <f aca="false">'Raw Data'!Q4230</f>
        <v>16</v>
      </c>
      <c r="F4230" s="2" t="n">
        <f aca="false">'Raw Data'!U4230</f>
        <v>8</v>
      </c>
      <c r="G4230" s="2" t="n">
        <f aca="false">'Raw Data'!W4230</f>
        <v>1</v>
      </c>
      <c r="H4230" s="2" t="n">
        <f aca="false">'Raw Data'!V4230</f>
        <v>3</v>
      </c>
      <c r="I4230" s="2" t="n">
        <f aca="false">IF(AND(ISNUMBER(B4230),B4230&lt;=25),2,0)+IF(AND(ISNUMBER(E4230),E4230&lt;=5),2,0)+IF(AND(ISNUMBER(F4230),F4230&lt;=1),2,0)+IF(AND(ISNUMBER(G4230),G4230&lt;=2),1,0)+IF(AND(ISNUMBER(H4230),H4230&lt;=2),1,0)</f>
        <v>1</v>
      </c>
      <c r="J4230" s="2" t="str">
        <f aca="false">IF(I4230&gt;=6,"High",IF(I4230&gt;=3,"Medium","Low"))</f>
        <v>Low</v>
      </c>
    </row>
    <row r="4231" customFormat="false" ht="15" hidden="false" customHeight="true" outlineLevel="0" collapsed="false">
      <c r="A4231" s="2" t="n">
        <f aca="false">'Raw Data'!H4231</f>
        <v>4230</v>
      </c>
      <c r="B4231" s="2" t="n">
        <f aca="false">'Raw Data'!A4231</f>
        <v>45</v>
      </c>
      <c r="C4231" s="2" t="str">
        <f aca="false">'Raw Data'!D4231</f>
        <v>Human Resources</v>
      </c>
      <c r="D4231" s="2" t="str">
        <f aca="false">'Raw Data'!K4231</f>
        <v>Sales Executive</v>
      </c>
      <c r="E4231" s="2" t="n">
        <f aca="false">'Raw Data'!Q4231</f>
        <v>17</v>
      </c>
      <c r="F4231" s="2" t="n">
        <f aca="false">'Raw Data'!U4231</f>
        <v>0</v>
      </c>
      <c r="G4231" s="2" t="n">
        <f aca="false">'Raw Data'!W4231</f>
        <v>1</v>
      </c>
      <c r="H4231" s="2" t="n">
        <f aca="false">'Raw Data'!V4231</f>
        <v>4</v>
      </c>
      <c r="I4231" s="2" t="n">
        <f aca="false">IF(AND(ISNUMBER(B4231),B4231&lt;=25),2,0)+IF(AND(ISNUMBER(E4231),E4231&lt;=5),2,0)+IF(AND(ISNUMBER(F4231),F4231&lt;=1),2,0)+IF(AND(ISNUMBER(G4231),G4231&lt;=2),1,0)+IF(AND(ISNUMBER(H4231),H4231&lt;=2),1,0)</f>
        <v>3</v>
      </c>
      <c r="J4231" s="2" t="str">
        <f aca="false">IF(I4231&gt;=6,"High",IF(I4231&gt;=3,"Medium","Low"))</f>
        <v>Medium</v>
      </c>
    </row>
    <row r="4232" customFormat="false" ht="15" hidden="false" customHeight="true" outlineLevel="0" collapsed="false">
      <c r="A4232" s="2" t="n">
        <f aca="false">'Raw Data'!H4232</f>
        <v>4231</v>
      </c>
      <c r="B4232" s="2" t="n">
        <f aca="false">'Raw Data'!A4232</f>
        <v>37</v>
      </c>
      <c r="C4232" s="2" t="str">
        <f aca="false">'Raw Data'!D4232</f>
        <v>Research &amp; Development</v>
      </c>
      <c r="D4232" s="2" t="str">
        <f aca="false">'Raw Data'!K4232</f>
        <v>Sales Executive</v>
      </c>
      <c r="E4232" s="2" t="n">
        <f aca="false">'Raw Data'!Q4232</f>
        <v>16</v>
      </c>
      <c r="F4232" s="2" t="n">
        <f aca="false">'Raw Data'!U4232</f>
        <v>2</v>
      </c>
      <c r="G4232" s="2" t="n">
        <f aca="false">'Raw Data'!W4232</f>
        <v>3</v>
      </c>
      <c r="H4232" s="2" t="n">
        <f aca="false">'Raw Data'!V4232</f>
        <v>1</v>
      </c>
      <c r="I4232" s="2" t="n">
        <f aca="false">IF(AND(ISNUMBER(B4232),B4232&lt;=25),2,0)+IF(AND(ISNUMBER(E4232),E4232&lt;=5),2,0)+IF(AND(ISNUMBER(F4232),F4232&lt;=1),2,0)+IF(AND(ISNUMBER(G4232),G4232&lt;=2),1,0)+IF(AND(ISNUMBER(H4232),H4232&lt;=2),1,0)</f>
        <v>1</v>
      </c>
      <c r="J4232" s="2" t="str">
        <f aca="false">IF(I4232&gt;=6,"High",IF(I4232&gt;=3,"Medium","Low"))</f>
        <v>Low</v>
      </c>
    </row>
    <row r="4233" customFormat="false" ht="15" hidden="false" customHeight="true" outlineLevel="0" collapsed="false">
      <c r="A4233" s="2" t="n">
        <f aca="false">'Raw Data'!H4233</f>
        <v>4232</v>
      </c>
      <c r="B4233" s="2" t="n">
        <f aca="false">'Raw Data'!A4233</f>
        <v>46</v>
      </c>
      <c r="C4233" s="2" t="str">
        <f aca="false">'Raw Data'!D4233</f>
        <v>Research &amp; Development</v>
      </c>
      <c r="D4233" s="2" t="str">
        <f aca="false">'Raw Data'!K4233</f>
        <v>Manager</v>
      </c>
      <c r="E4233" s="2" t="n">
        <f aca="false">'Raw Data'!Q4233</f>
        <v>16</v>
      </c>
      <c r="F4233" s="2" t="n">
        <f aca="false">'Raw Data'!U4233</f>
        <v>2</v>
      </c>
      <c r="G4233" s="2" t="n">
        <f aca="false">'Raw Data'!W4233</f>
        <v>2</v>
      </c>
      <c r="H4233" s="2" t="n">
        <f aca="false">'Raw Data'!V4233</f>
        <v>2</v>
      </c>
      <c r="I4233" s="2" t="n">
        <f aca="false">IF(AND(ISNUMBER(B4233),B4233&lt;=25),2,0)+IF(AND(ISNUMBER(E4233),E4233&lt;=5),2,0)+IF(AND(ISNUMBER(F4233),F4233&lt;=1),2,0)+IF(AND(ISNUMBER(G4233),G4233&lt;=2),1,0)+IF(AND(ISNUMBER(H4233),H4233&lt;=2),1,0)</f>
        <v>2</v>
      </c>
      <c r="J4233" s="2" t="str">
        <f aca="false">IF(I4233&gt;=6,"High",IF(I4233&gt;=3,"Medium","Low"))</f>
        <v>Low</v>
      </c>
    </row>
    <row r="4234" customFormat="false" ht="15" hidden="false" customHeight="true" outlineLevel="0" collapsed="false">
      <c r="A4234" s="2" t="n">
        <f aca="false">'Raw Data'!H4234</f>
        <v>4233</v>
      </c>
      <c r="B4234" s="2" t="n">
        <f aca="false">'Raw Data'!A4234</f>
        <v>30</v>
      </c>
      <c r="C4234" s="2" t="str">
        <f aca="false">'Raw Data'!D4234</f>
        <v>Sales</v>
      </c>
      <c r="D4234" s="2" t="str">
        <f aca="false">'Raw Data'!K4234</f>
        <v>Human Resources</v>
      </c>
      <c r="E4234" s="2" t="n">
        <f aca="false">'Raw Data'!Q4234</f>
        <v>10</v>
      </c>
      <c r="F4234" s="2" t="n">
        <f aca="false">'Raw Data'!U4234</f>
        <v>0</v>
      </c>
      <c r="G4234" s="2" t="n">
        <f aca="false">'Raw Data'!W4234</f>
        <v>4</v>
      </c>
      <c r="H4234" s="2" t="n">
        <f aca="false">'Raw Data'!V4234</f>
        <v>4</v>
      </c>
      <c r="I4234" s="2" t="n">
        <f aca="false">IF(AND(ISNUMBER(B4234),B4234&lt;=25),2,0)+IF(AND(ISNUMBER(E4234),E4234&lt;=5),2,0)+IF(AND(ISNUMBER(F4234),F4234&lt;=1),2,0)+IF(AND(ISNUMBER(G4234),G4234&lt;=2),1,0)+IF(AND(ISNUMBER(H4234),H4234&lt;=2),1,0)</f>
        <v>2</v>
      </c>
      <c r="J4234" s="2" t="str">
        <f aca="false">IF(I4234&gt;=6,"High",IF(I4234&gt;=3,"Medium","Low"))</f>
        <v>Low</v>
      </c>
    </row>
    <row r="4235" customFormat="false" ht="15" hidden="false" customHeight="true" outlineLevel="0" collapsed="false">
      <c r="A4235" s="2" t="n">
        <f aca="false">'Raw Data'!H4235</f>
        <v>4234</v>
      </c>
      <c r="B4235" s="2" t="n">
        <f aca="false">'Raw Data'!A4235</f>
        <v>35</v>
      </c>
      <c r="C4235" s="2" t="str">
        <f aca="false">'Raw Data'!D4235</f>
        <v>Research &amp; Development</v>
      </c>
      <c r="D4235" s="2" t="str">
        <f aca="false">'Raw Data'!K4235</f>
        <v>Human Resources</v>
      </c>
      <c r="E4235" s="2" t="n">
        <f aca="false">'Raw Data'!Q4235</f>
        <v>6</v>
      </c>
      <c r="F4235" s="2" t="n">
        <f aca="false">'Raw Data'!U4235</f>
        <v>4</v>
      </c>
      <c r="G4235" s="2" t="n">
        <f aca="false">'Raw Data'!W4235</f>
        <v>3</v>
      </c>
      <c r="H4235" s="2" t="n">
        <f aca="false">'Raw Data'!V4235</f>
        <v>2</v>
      </c>
      <c r="I4235" s="2" t="n">
        <f aca="false">IF(AND(ISNUMBER(B4235),B4235&lt;=25),2,0)+IF(AND(ISNUMBER(E4235),E4235&lt;=5),2,0)+IF(AND(ISNUMBER(F4235),F4235&lt;=1),2,0)+IF(AND(ISNUMBER(G4235),G4235&lt;=2),1,0)+IF(AND(ISNUMBER(H4235),H4235&lt;=2),1,0)</f>
        <v>1</v>
      </c>
      <c r="J4235" s="2" t="str">
        <f aca="false">IF(I4235&gt;=6,"High",IF(I4235&gt;=3,"Medium","Low"))</f>
        <v>Low</v>
      </c>
    </row>
    <row r="4236" customFormat="false" ht="15" hidden="false" customHeight="true" outlineLevel="0" collapsed="false">
      <c r="A4236" s="2" t="n">
        <f aca="false">'Raw Data'!H4236</f>
        <v>4235</v>
      </c>
      <c r="B4236" s="2" t="n">
        <f aca="false">'Raw Data'!A4236</f>
        <v>55</v>
      </c>
      <c r="C4236" s="2" t="str">
        <f aca="false">'Raw Data'!D4236</f>
        <v>Research &amp; Development</v>
      </c>
      <c r="D4236" s="2" t="str">
        <f aca="false">'Raw Data'!K4236</f>
        <v>Laboratory Technician</v>
      </c>
      <c r="E4236" s="2" t="n">
        <f aca="false">'Raw Data'!Q4236</f>
        <v>24</v>
      </c>
      <c r="F4236" s="2" t="n">
        <f aca="false">'Raw Data'!U4236</f>
        <v>0</v>
      </c>
      <c r="G4236" s="2" t="n">
        <f aca="false">'Raw Data'!W4236</f>
        <v>4</v>
      </c>
      <c r="H4236" s="2" t="n">
        <f aca="false">'Raw Data'!V4236</f>
        <v>1</v>
      </c>
      <c r="I4236" s="2" t="n">
        <f aca="false">IF(AND(ISNUMBER(B4236),B4236&lt;=25),2,0)+IF(AND(ISNUMBER(E4236),E4236&lt;=5),2,0)+IF(AND(ISNUMBER(F4236),F4236&lt;=1),2,0)+IF(AND(ISNUMBER(G4236),G4236&lt;=2),1,0)+IF(AND(ISNUMBER(H4236),H4236&lt;=2),1,0)</f>
        <v>3</v>
      </c>
      <c r="J4236" s="2" t="str">
        <f aca="false">IF(I4236&gt;=6,"High",IF(I4236&gt;=3,"Medium","Low"))</f>
        <v>Medium</v>
      </c>
    </row>
    <row r="4237" customFormat="false" ht="15" hidden="false" customHeight="true" outlineLevel="0" collapsed="false">
      <c r="A4237" s="2" t="n">
        <f aca="false">'Raw Data'!H4237</f>
        <v>4236</v>
      </c>
      <c r="B4237" s="2" t="n">
        <f aca="false">'Raw Data'!A4237</f>
        <v>38</v>
      </c>
      <c r="C4237" s="2" t="str">
        <f aca="false">'Raw Data'!D4237</f>
        <v>Sales</v>
      </c>
      <c r="D4237" s="2" t="str">
        <f aca="false">'Raw Data'!K4237</f>
        <v>Laboratory Technician</v>
      </c>
      <c r="E4237" s="2" t="n">
        <f aca="false">'Raw Data'!Q4237</f>
        <v>17</v>
      </c>
      <c r="F4237" s="2" t="n">
        <f aca="false">'Raw Data'!U4237</f>
        <v>9</v>
      </c>
      <c r="G4237" s="2" t="n">
        <f aca="false">'Raw Data'!W4237</f>
        <v>4</v>
      </c>
      <c r="H4237" s="2" t="n">
        <f aca="false">'Raw Data'!V4237</f>
        <v>2</v>
      </c>
      <c r="I4237" s="2" t="n">
        <f aca="false">IF(AND(ISNUMBER(B4237),B4237&lt;=25),2,0)+IF(AND(ISNUMBER(E4237),E4237&lt;=5),2,0)+IF(AND(ISNUMBER(F4237),F4237&lt;=1),2,0)+IF(AND(ISNUMBER(G4237),G4237&lt;=2),1,0)+IF(AND(ISNUMBER(H4237),H4237&lt;=2),1,0)</f>
        <v>1</v>
      </c>
      <c r="J4237" s="2" t="str">
        <f aca="false">IF(I4237&gt;=6,"High",IF(I4237&gt;=3,"Medium","Low"))</f>
        <v>Low</v>
      </c>
    </row>
    <row r="4238" customFormat="false" ht="15" hidden="false" customHeight="true" outlineLevel="0" collapsed="false">
      <c r="A4238" s="2" t="n">
        <f aca="false">'Raw Data'!H4238</f>
        <v>4237</v>
      </c>
      <c r="B4238" s="2" t="n">
        <f aca="false">'Raw Data'!A4238</f>
        <v>34</v>
      </c>
      <c r="C4238" s="2" t="str">
        <f aca="false">'Raw Data'!D4238</f>
        <v>Research &amp; Development</v>
      </c>
      <c r="D4238" s="2" t="str">
        <f aca="false">'Raw Data'!K4238</f>
        <v>Research Scientist</v>
      </c>
      <c r="E4238" s="2" t="n">
        <f aca="false">'Raw Data'!Q4238</f>
        <v>5</v>
      </c>
      <c r="F4238" s="2" t="n">
        <f aca="false">'Raw Data'!U4238</f>
        <v>3</v>
      </c>
      <c r="G4238" s="2" t="n">
        <f aca="false">'Raw Data'!W4238</f>
        <v>2</v>
      </c>
      <c r="H4238" s="2" t="n">
        <f aca="false">'Raw Data'!V4238</f>
        <v>1</v>
      </c>
      <c r="I4238" s="2" t="n">
        <f aca="false">IF(AND(ISNUMBER(B4238),B4238&lt;=25),2,0)+IF(AND(ISNUMBER(E4238),E4238&lt;=5),2,0)+IF(AND(ISNUMBER(F4238),F4238&lt;=1),2,0)+IF(AND(ISNUMBER(G4238),G4238&lt;=2),1,0)+IF(AND(ISNUMBER(H4238),H4238&lt;=2),1,0)</f>
        <v>4</v>
      </c>
      <c r="J4238" s="2" t="str">
        <f aca="false">IF(I4238&gt;=6,"High",IF(I4238&gt;=3,"Medium","Low"))</f>
        <v>Medium</v>
      </c>
    </row>
    <row r="4239" customFormat="false" ht="15" hidden="false" customHeight="true" outlineLevel="0" collapsed="false">
      <c r="A4239" s="2" t="n">
        <f aca="false">'Raw Data'!H4239</f>
        <v>4238</v>
      </c>
      <c r="B4239" s="2" t="n">
        <f aca="false">'Raw Data'!A4239</f>
        <v>56</v>
      </c>
      <c r="C4239" s="2" t="str">
        <f aca="false">'Raw Data'!D4239</f>
        <v>Human Resources</v>
      </c>
      <c r="D4239" s="2" t="str">
        <f aca="false">'Raw Data'!K4239</f>
        <v>Sales Executive</v>
      </c>
      <c r="E4239" s="2" t="n">
        <f aca="false">'Raw Data'!Q4239</f>
        <v>37</v>
      </c>
      <c r="F4239" s="2" t="n">
        <f aca="false">'Raw Data'!U4239</f>
        <v>2</v>
      </c>
      <c r="G4239" s="2" t="n">
        <f aca="false">'Raw Data'!W4239</f>
        <v>4</v>
      </c>
      <c r="H4239" s="2" t="n">
        <f aca="false">'Raw Data'!V4239</f>
        <v>4</v>
      </c>
      <c r="I4239" s="2" t="n">
        <f aca="false">IF(AND(ISNUMBER(B4239),B4239&lt;=25),2,0)+IF(AND(ISNUMBER(E4239),E4239&lt;=5),2,0)+IF(AND(ISNUMBER(F4239),F4239&lt;=1),2,0)+IF(AND(ISNUMBER(G4239),G4239&lt;=2),1,0)+IF(AND(ISNUMBER(H4239),H4239&lt;=2),1,0)</f>
        <v>0</v>
      </c>
      <c r="J4239" s="2" t="str">
        <f aca="false">IF(I4239&gt;=6,"High",IF(I4239&gt;=3,"Medium","Low"))</f>
        <v>Low</v>
      </c>
    </row>
    <row r="4240" customFormat="false" ht="15" hidden="false" customHeight="true" outlineLevel="0" collapsed="false">
      <c r="A4240" s="2" t="n">
        <f aca="false">'Raw Data'!H4240</f>
        <v>4239</v>
      </c>
      <c r="B4240" s="2" t="n">
        <f aca="false">'Raw Data'!A4240</f>
        <v>23</v>
      </c>
      <c r="C4240" s="2" t="str">
        <f aca="false">'Raw Data'!D4240</f>
        <v>Research &amp; Development</v>
      </c>
      <c r="D4240" s="2" t="str">
        <f aca="false">'Raw Data'!K4240</f>
        <v>Laboratory Technician</v>
      </c>
      <c r="E4240" s="2" t="n">
        <f aca="false">'Raw Data'!Q4240</f>
        <v>3</v>
      </c>
      <c r="F4240" s="2" t="n">
        <f aca="false">'Raw Data'!U4240</f>
        <v>0</v>
      </c>
      <c r="G4240" s="2" t="n">
        <f aca="false">'Raw Data'!W4240</f>
        <v>1</v>
      </c>
      <c r="H4240" s="2" t="n">
        <f aca="false">'Raw Data'!V4240</f>
        <v>3</v>
      </c>
      <c r="I4240" s="2" t="n">
        <f aca="false">IF(AND(ISNUMBER(B4240),B4240&lt;=25),2,0)+IF(AND(ISNUMBER(E4240),E4240&lt;=5),2,0)+IF(AND(ISNUMBER(F4240),F4240&lt;=1),2,0)+IF(AND(ISNUMBER(G4240),G4240&lt;=2),1,0)+IF(AND(ISNUMBER(H4240),H4240&lt;=2),1,0)</f>
        <v>7</v>
      </c>
      <c r="J4240" s="2" t="str">
        <f aca="false">IF(I4240&gt;=6,"High",IF(I4240&gt;=3,"Medium","Low"))</f>
        <v>High</v>
      </c>
    </row>
    <row r="4241" customFormat="false" ht="15" hidden="false" customHeight="true" outlineLevel="0" collapsed="false">
      <c r="A4241" s="2" t="n">
        <f aca="false">'Raw Data'!H4241</f>
        <v>4240</v>
      </c>
      <c r="B4241" s="2" t="n">
        <f aca="false">'Raw Data'!A4241</f>
        <v>51</v>
      </c>
      <c r="C4241" s="2" t="str">
        <f aca="false">'Raw Data'!D4241</f>
        <v>Research &amp; Development</v>
      </c>
      <c r="D4241" s="2" t="str">
        <f aca="false">'Raw Data'!K4241</f>
        <v>Manufacturing Director</v>
      </c>
      <c r="E4241" s="2" t="n">
        <f aca="false">'Raw Data'!Q4241</f>
        <v>10</v>
      </c>
      <c r="F4241" s="2" t="n">
        <f aca="false">'Raw Data'!U4241</f>
        <v>3</v>
      </c>
      <c r="G4241" s="2" t="n">
        <f aca="false">'Raw Data'!W4241</f>
        <v>4</v>
      </c>
      <c r="H4241" s="2" t="n">
        <f aca="false">'Raw Data'!V4241</f>
        <v>4</v>
      </c>
      <c r="I4241" s="2" t="n">
        <f aca="false">IF(AND(ISNUMBER(B4241),B4241&lt;=25),2,0)+IF(AND(ISNUMBER(E4241),E4241&lt;=5),2,0)+IF(AND(ISNUMBER(F4241),F4241&lt;=1),2,0)+IF(AND(ISNUMBER(G4241),G4241&lt;=2),1,0)+IF(AND(ISNUMBER(H4241),H4241&lt;=2),1,0)</f>
        <v>0</v>
      </c>
      <c r="J4241" s="2" t="str">
        <f aca="false">IF(I4241&gt;=6,"High",IF(I4241&gt;=3,"Medium","Low"))</f>
        <v>Low</v>
      </c>
    </row>
    <row r="4242" customFormat="false" ht="15" hidden="false" customHeight="true" outlineLevel="0" collapsed="false">
      <c r="A4242" s="2" t="n">
        <f aca="false">'Raw Data'!H4242</f>
        <v>4241</v>
      </c>
      <c r="B4242" s="2" t="n">
        <f aca="false">'Raw Data'!A4242</f>
        <v>30</v>
      </c>
      <c r="C4242" s="2" t="str">
        <f aca="false">'Raw Data'!D4242</f>
        <v>Sales</v>
      </c>
      <c r="D4242" s="2" t="str">
        <f aca="false">'Raw Data'!K4242</f>
        <v>Sales Representative</v>
      </c>
      <c r="E4242" s="2" t="n">
        <f aca="false">'Raw Data'!Q4242</f>
        <v>11</v>
      </c>
      <c r="F4242" s="2" t="n">
        <f aca="false">'Raw Data'!U4242</f>
        <v>8</v>
      </c>
      <c r="G4242" s="2" t="n">
        <f aca="false">'Raw Data'!W4242</f>
        <v>4</v>
      </c>
      <c r="H4242" s="2" t="n">
        <f aca="false">'Raw Data'!V4242</f>
        <v>3</v>
      </c>
      <c r="I4242" s="2" t="n">
        <f aca="false">IF(AND(ISNUMBER(B4242),B4242&lt;=25),2,0)+IF(AND(ISNUMBER(E4242),E4242&lt;=5),2,0)+IF(AND(ISNUMBER(F4242),F4242&lt;=1),2,0)+IF(AND(ISNUMBER(G4242),G4242&lt;=2),1,0)+IF(AND(ISNUMBER(H4242),H4242&lt;=2),1,0)</f>
        <v>0</v>
      </c>
      <c r="J4242" s="2" t="str">
        <f aca="false">IF(I4242&gt;=6,"High",IF(I4242&gt;=3,"Medium","Low"))</f>
        <v>Low</v>
      </c>
    </row>
    <row r="4243" customFormat="false" ht="15" hidden="false" customHeight="true" outlineLevel="0" collapsed="false">
      <c r="A4243" s="2" t="n">
        <f aca="false">'Raw Data'!H4243</f>
        <v>4242</v>
      </c>
      <c r="B4243" s="2" t="n">
        <f aca="false">'Raw Data'!A4243</f>
        <v>46</v>
      </c>
      <c r="C4243" s="2" t="str">
        <f aca="false">'Raw Data'!D4243</f>
        <v>Sales</v>
      </c>
      <c r="D4243" s="2" t="str">
        <f aca="false">'Raw Data'!K4243</f>
        <v>Research Scientist</v>
      </c>
      <c r="E4243" s="2" t="n">
        <f aca="false">'Raw Data'!Q4243</f>
        <v>9</v>
      </c>
      <c r="F4243" s="2" t="n">
        <f aca="false">'Raw Data'!U4243</f>
        <v>7</v>
      </c>
      <c r="G4243" s="2" t="n">
        <f aca="false">'Raw Data'!W4243</f>
        <v>4</v>
      </c>
      <c r="H4243" s="2" t="n">
        <f aca="false">'Raw Data'!V4243</f>
        <v>3</v>
      </c>
      <c r="I4243" s="2" t="n">
        <f aca="false">IF(AND(ISNUMBER(B4243),B4243&lt;=25),2,0)+IF(AND(ISNUMBER(E4243),E4243&lt;=5),2,0)+IF(AND(ISNUMBER(F4243),F4243&lt;=1),2,0)+IF(AND(ISNUMBER(G4243),G4243&lt;=2),1,0)+IF(AND(ISNUMBER(H4243),H4243&lt;=2),1,0)</f>
        <v>0</v>
      </c>
      <c r="J4243" s="2" t="str">
        <f aca="false">IF(I4243&gt;=6,"High",IF(I4243&gt;=3,"Medium","Low"))</f>
        <v>Low</v>
      </c>
    </row>
    <row r="4244" customFormat="false" ht="15" hidden="false" customHeight="true" outlineLevel="0" collapsed="false">
      <c r="A4244" s="2" t="n">
        <f aca="false">'Raw Data'!H4244</f>
        <v>4243</v>
      </c>
      <c r="B4244" s="2" t="n">
        <f aca="false">'Raw Data'!A4244</f>
        <v>40</v>
      </c>
      <c r="C4244" s="2" t="str">
        <f aca="false">'Raw Data'!D4244</f>
        <v>Research &amp; Development</v>
      </c>
      <c r="D4244" s="2" t="str">
        <f aca="false">'Raw Data'!K4244</f>
        <v>Healthcare Representative</v>
      </c>
      <c r="E4244" s="2" t="n">
        <f aca="false">'Raw Data'!Q4244</f>
        <v>22</v>
      </c>
      <c r="F4244" s="2" t="n">
        <f aca="false">'Raw Data'!U4244</f>
        <v>11</v>
      </c>
      <c r="G4244" s="2" t="n">
        <f aca="false">'Raw Data'!W4244</f>
        <v>2</v>
      </c>
      <c r="H4244" s="2" t="n">
        <f aca="false">'Raw Data'!V4244</f>
        <v>3</v>
      </c>
      <c r="I4244" s="2" t="n">
        <f aca="false">IF(AND(ISNUMBER(B4244),B4244&lt;=25),2,0)+IF(AND(ISNUMBER(E4244),E4244&lt;=5),2,0)+IF(AND(ISNUMBER(F4244),F4244&lt;=1),2,0)+IF(AND(ISNUMBER(G4244),G4244&lt;=2),1,0)+IF(AND(ISNUMBER(H4244),H4244&lt;=2),1,0)</f>
        <v>1</v>
      </c>
      <c r="J4244" s="2" t="str">
        <f aca="false">IF(I4244&gt;=6,"High",IF(I4244&gt;=3,"Medium","Low"))</f>
        <v>Low</v>
      </c>
    </row>
    <row r="4245" customFormat="false" ht="15" hidden="false" customHeight="true" outlineLevel="0" collapsed="false">
      <c r="A4245" s="2" t="n">
        <f aca="false">'Raw Data'!H4245</f>
        <v>4244</v>
      </c>
      <c r="B4245" s="2" t="n">
        <f aca="false">'Raw Data'!A4245</f>
        <v>51</v>
      </c>
      <c r="C4245" s="2" t="str">
        <f aca="false">'Raw Data'!D4245</f>
        <v>Research &amp; Development</v>
      </c>
      <c r="D4245" s="2" t="str">
        <f aca="false">'Raw Data'!K4245</f>
        <v>Sales Representative</v>
      </c>
      <c r="E4245" s="2" t="n">
        <f aca="false">'Raw Data'!Q4245</f>
        <v>11</v>
      </c>
      <c r="F4245" s="2" t="n">
        <f aca="false">'Raw Data'!U4245</f>
        <v>0</v>
      </c>
      <c r="G4245" s="2" t="n">
        <f aca="false">'Raw Data'!W4245</f>
        <v>4</v>
      </c>
      <c r="H4245" s="2" t="n">
        <f aca="false">'Raw Data'!V4245</f>
        <v>3</v>
      </c>
      <c r="I4245" s="2" t="n">
        <f aca="false">IF(AND(ISNUMBER(B4245),B4245&lt;=25),2,0)+IF(AND(ISNUMBER(E4245),E4245&lt;=5),2,0)+IF(AND(ISNUMBER(F4245),F4245&lt;=1),2,0)+IF(AND(ISNUMBER(G4245),G4245&lt;=2),1,0)+IF(AND(ISNUMBER(H4245),H4245&lt;=2),1,0)</f>
        <v>2</v>
      </c>
      <c r="J4245" s="2" t="str">
        <f aca="false">IF(I4245&gt;=6,"High",IF(I4245&gt;=3,"Medium","Low"))</f>
        <v>Low</v>
      </c>
    </row>
    <row r="4246" customFormat="false" ht="15" hidden="false" customHeight="true" outlineLevel="0" collapsed="false">
      <c r="A4246" s="2" t="n">
        <f aca="false">'Raw Data'!H4246</f>
        <v>4245</v>
      </c>
      <c r="B4246" s="2" t="n">
        <f aca="false">'Raw Data'!A4246</f>
        <v>30</v>
      </c>
      <c r="C4246" s="2" t="str">
        <f aca="false">'Raw Data'!D4246</f>
        <v>Research &amp; Development</v>
      </c>
      <c r="D4246" s="2" t="str">
        <f aca="false">'Raw Data'!K4246</f>
        <v>Manufacturing Director</v>
      </c>
      <c r="E4246" s="2" t="n">
        <f aca="false">'Raw Data'!Q4246</f>
        <v>11</v>
      </c>
      <c r="F4246" s="2" t="n">
        <f aca="false">'Raw Data'!U4246</f>
        <v>7</v>
      </c>
      <c r="G4246" s="2" t="n">
        <f aca="false">'Raw Data'!W4246</f>
        <v>2</v>
      </c>
      <c r="H4246" s="2" t="n">
        <f aca="false">'Raw Data'!V4246</f>
        <v>3</v>
      </c>
      <c r="I4246" s="2" t="n">
        <f aca="false">IF(AND(ISNUMBER(B4246),B4246&lt;=25),2,0)+IF(AND(ISNUMBER(E4246),E4246&lt;=5),2,0)+IF(AND(ISNUMBER(F4246),F4246&lt;=1),2,0)+IF(AND(ISNUMBER(G4246),G4246&lt;=2),1,0)+IF(AND(ISNUMBER(H4246),H4246&lt;=2),1,0)</f>
        <v>1</v>
      </c>
      <c r="J4246" s="2" t="str">
        <f aca="false">IF(I4246&gt;=6,"High",IF(I4246&gt;=3,"Medium","Low"))</f>
        <v>Low</v>
      </c>
    </row>
    <row r="4247" customFormat="false" ht="15" hidden="false" customHeight="true" outlineLevel="0" collapsed="false">
      <c r="A4247" s="2" t="n">
        <f aca="false">'Raw Data'!H4247</f>
        <v>4246</v>
      </c>
      <c r="B4247" s="2" t="n">
        <f aca="false">'Raw Data'!A4247</f>
        <v>46</v>
      </c>
      <c r="C4247" s="2" t="str">
        <f aca="false">'Raw Data'!D4247</f>
        <v>Research &amp; Development</v>
      </c>
      <c r="D4247" s="2" t="str">
        <f aca="false">'Raw Data'!K4247</f>
        <v>Laboratory Technician</v>
      </c>
      <c r="E4247" s="2" t="n">
        <f aca="false">'Raw Data'!Q4247</f>
        <v>21</v>
      </c>
      <c r="F4247" s="2" t="n">
        <f aca="false">'Raw Data'!U4247</f>
        <v>5</v>
      </c>
      <c r="G4247" s="2" t="n">
        <f aca="false">'Raw Data'!W4247</f>
        <v>1</v>
      </c>
      <c r="H4247" s="2" t="n">
        <f aca="false">'Raw Data'!V4247</f>
        <v>3</v>
      </c>
      <c r="I4247" s="2" t="n">
        <f aca="false">IF(AND(ISNUMBER(B4247),B4247&lt;=25),2,0)+IF(AND(ISNUMBER(E4247),E4247&lt;=5),2,0)+IF(AND(ISNUMBER(F4247),F4247&lt;=1),2,0)+IF(AND(ISNUMBER(G4247),G4247&lt;=2),1,0)+IF(AND(ISNUMBER(H4247),H4247&lt;=2),1,0)</f>
        <v>1</v>
      </c>
      <c r="J4247" s="2" t="str">
        <f aca="false">IF(I4247&gt;=6,"High",IF(I4247&gt;=3,"Medium","Low"))</f>
        <v>Low</v>
      </c>
    </row>
    <row r="4248" customFormat="false" ht="15" hidden="false" customHeight="true" outlineLevel="0" collapsed="false">
      <c r="A4248" s="2" t="n">
        <f aca="false">'Raw Data'!H4248</f>
        <v>4247</v>
      </c>
      <c r="B4248" s="2" t="n">
        <f aca="false">'Raw Data'!A4248</f>
        <v>32</v>
      </c>
      <c r="C4248" s="2" t="str">
        <f aca="false">'Raw Data'!D4248</f>
        <v>Sales</v>
      </c>
      <c r="D4248" s="2" t="str">
        <f aca="false">'Raw Data'!K4248</f>
        <v>Research Scientist</v>
      </c>
      <c r="E4248" s="2" t="n">
        <f aca="false">'Raw Data'!Q4248</f>
        <v>12</v>
      </c>
      <c r="F4248" s="2" t="n">
        <f aca="false">'Raw Data'!U4248</f>
        <v>7</v>
      </c>
      <c r="G4248" s="2" t="n">
        <f aca="false">'Raw Data'!W4248</f>
        <v>3</v>
      </c>
      <c r="H4248" s="2" t="n">
        <f aca="false">'Raw Data'!V4248</f>
        <v>2</v>
      </c>
      <c r="I4248" s="2" t="n">
        <f aca="false">IF(AND(ISNUMBER(B4248),B4248&lt;=25),2,0)+IF(AND(ISNUMBER(E4248),E4248&lt;=5),2,0)+IF(AND(ISNUMBER(F4248),F4248&lt;=1),2,0)+IF(AND(ISNUMBER(G4248),G4248&lt;=2),1,0)+IF(AND(ISNUMBER(H4248),H4248&lt;=2),1,0)</f>
        <v>1</v>
      </c>
      <c r="J4248" s="2" t="str">
        <f aca="false">IF(I4248&gt;=6,"High",IF(I4248&gt;=3,"Medium","Low"))</f>
        <v>Low</v>
      </c>
    </row>
    <row r="4249" customFormat="false" ht="15" hidden="false" customHeight="true" outlineLevel="0" collapsed="false">
      <c r="A4249" s="2" t="n">
        <f aca="false">'Raw Data'!H4249</f>
        <v>4248</v>
      </c>
      <c r="B4249" s="2" t="n">
        <f aca="false">'Raw Data'!A4249</f>
        <v>54</v>
      </c>
      <c r="C4249" s="2" t="str">
        <f aca="false">'Raw Data'!D4249</f>
        <v>Research &amp; Development</v>
      </c>
      <c r="D4249" s="2" t="str">
        <f aca="false">'Raw Data'!K4249</f>
        <v>Laboratory Technician</v>
      </c>
      <c r="E4249" s="2" t="n">
        <f aca="false">'Raw Data'!Q4249</f>
        <v>16</v>
      </c>
      <c r="F4249" s="2" t="n">
        <f aca="false">'Raw Data'!U4249</f>
        <v>3</v>
      </c>
      <c r="G4249" s="2" t="n">
        <f aca="false">'Raw Data'!W4249</f>
        <v>3</v>
      </c>
      <c r="H4249" s="2" t="n">
        <f aca="false">'Raw Data'!V4249</f>
        <v>1</v>
      </c>
      <c r="I4249" s="2" t="n">
        <f aca="false">IF(AND(ISNUMBER(B4249),B4249&lt;=25),2,0)+IF(AND(ISNUMBER(E4249),E4249&lt;=5),2,0)+IF(AND(ISNUMBER(F4249),F4249&lt;=1),2,0)+IF(AND(ISNUMBER(G4249),G4249&lt;=2),1,0)+IF(AND(ISNUMBER(H4249),H4249&lt;=2),1,0)</f>
        <v>1</v>
      </c>
      <c r="J4249" s="2" t="str">
        <f aca="false">IF(I4249&gt;=6,"High",IF(I4249&gt;=3,"Medium","Low"))</f>
        <v>Low</v>
      </c>
    </row>
    <row r="4250" customFormat="false" ht="15" hidden="false" customHeight="true" outlineLevel="0" collapsed="false">
      <c r="A4250" s="2" t="n">
        <f aca="false">'Raw Data'!H4250</f>
        <v>4249</v>
      </c>
      <c r="B4250" s="2" t="n">
        <f aca="false">'Raw Data'!A4250</f>
        <v>24</v>
      </c>
      <c r="C4250" s="2" t="str">
        <f aca="false">'Raw Data'!D4250</f>
        <v>Sales</v>
      </c>
      <c r="D4250" s="2" t="str">
        <f aca="false">'Raw Data'!K4250</f>
        <v>Research Scientist</v>
      </c>
      <c r="E4250" s="2" t="n">
        <f aca="false">'Raw Data'!Q4250</f>
        <v>4</v>
      </c>
      <c r="F4250" s="2" t="n">
        <f aca="false">'Raw Data'!U4250</f>
        <v>2</v>
      </c>
      <c r="G4250" s="2" t="n">
        <f aca="false">'Raw Data'!W4250</f>
        <v>3</v>
      </c>
      <c r="H4250" s="2" t="n">
        <f aca="false">'Raw Data'!V4250</f>
        <v>1</v>
      </c>
      <c r="I4250" s="2" t="n">
        <f aca="false">IF(AND(ISNUMBER(B4250),B4250&lt;=25),2,0)+IF(AND(ISNUMBER(E4250),E4250&lt;=5),2,0)+IF(AND(ISNUMBER(F4250),F4250&lt;=1),2,0)+IF(AND(ISNUMBER(G4250),G4250&lt;=2),1,0)+IF(AND(ISNUMBER(H4250),H4250&lt;=2),1,0)</f>
        <v>5</v>
      </c>
      <c r="J4250" s="2" t="str">
        <f aca="false">IF(I4250&gt;=6,"High",IF(I4250&gt;=3,"Medium","Low"))</f>
        <v>Medium</v>
      </c>
    </row>
    <row r="4251" customFormat="false" ht="15" hidden="false" customHeight="true" outlineLevel="0" collapsed="false">
      <c r="A4251" s="2" t="n">
        <f aca="false">'Raw Data'!H4251</f>
        <v>4250</v>
      </c>
      <c r="B4251" s="2" t="n">
        <f aca="false">'Raw Data'!A4251</f>
        <v>28</v>
      </c>
      <c r="C4251" s="2" t="str">
        <f aca="false">'Raw Data'!D4251</f>
        <v>Sales</v>
      </c>
      <c r="D4251" s="2" t="str">
        <f aca="false">'Raw Data'!K4251</f>
        <v>Laboratory Technician</v>
      </c>
      <c r="E4251" s="2" t="n">
        <f aca="false">'Raw Data'!Q4251</f>
        <v>5</v>
      </c>
      <c r="F4251" s="2" t="n">
        <f aca="false">'Raw Data'!U4251</f>
        <v>4</v>
      </c>
      <c r="G4251" s="2" t="n">
        <f aca="false">'Raw Data'!W4251</f>
        <v>3</v>
      </c>
      <c r="H4251" s="2" t="n">
        <f aca="false">'Raw Data'!V4251</f>
        <v>2</v>
      </c>
      <c r="I4251" s="2" t="n">
        <f aca="false">IF(AND(ISNUMBER(B4251),B4251&lt;=25),2,0)+IF(AND(ISNUMBER(E4251),E4251&lt;=5),2,0)+IF(AND(ISNUMBER(F4251),F4251&lt;=1),2,0)+IF(AND(ISNUMBER(G4251),G4251&lt;=2),1,0)+IF(AND(ISNUMBER(H4251),H4251&lt;=2),1,0)</f>
        <v>3</v>
      </c>
      <c r="J4251" s="2" t="str">
        <f aca="false">IF(I4251&gt;=6,"High",IF(I4251&gt;=3,"Medium","Low"))</f>
        <v>Medium</v>
      </c>
    </row>
    <row r="4252" customFormat="false" ht="15" hidden="false" customHeight="true" outlineLevel="0" collapsed="false">
      <c r="A4252" s="2" t="n">
        <f aca="false">'Raw Data'!H4252</f>
        <v>4251</v>
      </c>
      <c r="B4252" s="2" t="n">
        <f aca="false">'Raw Data'!A4252</f>
        <v>58</v>
      </c>
      <c r="C4252" s="2" t="str">
        <f aca="false">'Raw Data'!D4252</f>
        <v>Research &amp; Development</v>
      </c>
      <c r="D4252" s="2" t="str">
        <f aca="false">'Raw Data'!K4252</f>
        <v>Sales Executive</v>
      </c>
      <c r="E4252" s="2" t="n">
        <f aca="false">'Raw Data'!Q4252</f>
        <v>38</v>
      </c>
      <c r="F4252" s="2" t="n">
        <f aca="false">'Raw Data'!U4252</f>
        <v>8</v>
      </c>
      <c r="G4252" s="2" t="n">
        <f aca="false">'Raw Data'!W4252</f>
        <v>3</v>
      </c>
      <c r="H4252" s="2" t="n">
        <f aca="false">'Raw Data'!V4252</f>
        <v>4</v>
      </c>
      <c r="I4252" s="2" t="n">
        <f aca="false">IF(AND(ISNUMBER(B4252),B4252&lt;=25),2,0)+IF(AND(ISNUMBER(E4252),E4252&lt;=5),2,0)+IF(AND(ISNUMBER(F4252),F4252&lt;=1),2,0)+IF(AND(ISNUMBER(G4252),G4252&lt;=2),1,0)+IF(AND(ISNUMBER(H4252),H4252&lt;=2),1,0)</f>
        <v>0</v>
      </c>
      <c r="J4252" s="2" t="str">
        <f aca="false">IF(I4252&gt;=6,"High",IF(I4252&gt;=3,"Medium","Low"))</f>
        <v>Low</v>
      </c>
    </row>
    <row r="4253" customFormat="false" ht="15" hidden="false" customHeight="true" outlineLevel="0" collapsed="false">
      <c r="A4253" s="2" t="n">
        <f aca="false">'Raw Data'!H4253</f>
        <v>4252</v>
      </c>
      <c r="B4253" s="2" t="n">
        <f aca="false">'Raw Data'!A4253</f>
        <v>44</v>
      </c>
      <c r="C4253" s="2" t="str">
        <f aca="false">'Raw Data'!D4253</f>
        <v>Research &amp; Development</v>
      </c>
      <c r="D4253" s="2" t="str">
        <f aca="false">'Raw Data'!K4253</f>
        <v>Research Scientist</v>
      </c>
      <c r="E4253" s="2" t="n">
        <f aca="false">'Raw Data'!Q4253</f>
        <v>17</v>
      </c>
      <c r="F4253" s="2" t="n">
        <f aca="false">'Raw Data'!U4253</f>
        <v>2</v>
      </c>
      <c r="G4253" s="2" t="n">
        <f aca="false">'Raw Data'!W4253</f>
        <v>2</v>
      </c>
      <c r="H4253" s="2" t="n">
        <f aca="false">'Raw Data'!V4253</f>
        <v>2</v>
      </c>
      <c r="I4253" s="2" t="n">
        <f aca="false">IF(AND(ISNUMBER(B4253),B4253&lt;=25),2,0)+IF(AND(ISNUMBER(E4253),E4253&lt;=5),2,0)+IF(AND(ISNUMBER(F4253),F4253&lt;=1),2,0)+IF(AND(ISNUMBER(G4253),G4253&lt;=2),1,0)+IF(AND(ISNUMBER(H4253),H4253&lt;=2),1,0)</f>
        <v>2</v>
      </c>
      <c r="J4253" s="2" t="str">
        <f aca="false">IF(I4253&gt;=6,"High",IF(I4253&gt;=3,"Medium","Low"))</f>
        <v>Low</v>
      </c>
    </row>
    <row r="4254" customFormat="false" ht="15" hidden="false" customHeight="true" outlineLevel="0" collapsed="false">
      <c r="A4254" s="2" t="n">
        <f aca="false">'Raw Data'!H4254</f>
        <v>4253</v>
      </c>
      <c r="B4254" s="2" t="n">
        <f aca="false">'Raw Data'!A4254</f>
        <v>37</v>
      </c>
      <c r="C4254" s="2" t="str">
        <f aca="false">'Raw Data'!D4254</f>
        <v>Human Resources</v>
      </c>
      <c r="D4254" s="2" t="str">
        <f aca="false">'Raw Data'!K4254</f>
        <v>Healthcare Representative</v>
      </c>
      <c r="E4254" s="2" t="n">
        <f aca="false">'Raw Data'!Q4254</f>
        <v>7</v>
      </c>
      <c r="F4254" s="2" t="n">
        <f aca="false">'Raw Data'!U4254</f>
        <v>2</v>
      </c>
      <c r="G4254" s="2" t="n">
        <f aca="false">'Raw Data'!W4254</f>
        <v>1</v>
      </c>
      <c r="H4254" s="2" t="n">
        <f aca="false">'Raw Data'!V4254</f>
        <v>3</v>
      </c>
      <c r="I4254" s="2" t="n">
        <f aca="false">IF(AND(ISNUMBER(B4254),B4254&lt;=25),2,0)+IF(AND(ISNUMBER(E4254),E4254&lt;=5),2,0)+IF(AND(ISNUMBER(F4254),F4254&lt;=1),2,0)+IF(AND(ISNUMBER(G4254),G4254&lt;=2),1,0)+IF(AND(ISNUMBER(H4254),H4254&lt;=2),1,0)</f>
        <v>1</v>
      </c>
      <c r="J4254" s="2" t="str">
        <f aca="false">IF(I4254&gt;=6,"High",IF(I4254&gt;=3,"Medium","Low"))</f>
        <v>Low</v>
      </c>
    </row>
    <row r="4255" customFormat="false" ht="15" hidden="false" customHeight="true" outlineLevel="0" collapsed="false">
      <c r="A4255" s="2" t="n">
        <f aca="false">'Raw Data'!H4255</f>
        <v>4254</v>
      </c>
      <c r="B4255" s="2" t="n">
        <f aca="false">'Raw Data'!A4255</f>
        <v>32</v>
      </c>
      <c r="C4255" s="2" t="str">
        <f aca="false">'Raw Data'!D4255</f>
        <v>Human Resources</v>
      </c>
      <c r="D4255" s="2" t="str">
        <f aca="false">'Raw Data'!K4255</f>
        <v>Sales Representative</v>
      </c>
      <c r="E4255" s="2" t="n">
        <f aca="false">'Raw Data'!Q4255</f>
        <v>1</v>
      </c>
      <c r="F4255" s="2" t="n">
        <f aca="false">'Raw Data'!U4255</f>
        <v>0</v>
      </c>
      <c r="G4255" s="2" t="n">
        <f aca="false">'Raw Data'!W4255</f>
        <v>1</v>
      </c>
      <c r="H4255" s="2" t="n">
        <f aca="false">'Raw Data'!V4255</f>
        <v>4</v>
      </c>
      <c r="I4255" s="2" t="n">
        <f aca="false">IF(AND(ISNUMBER(B4255),B4255&lt;=25),2,0)+IF(AND(ISNUMBER(E4255),E4255&lt;=5),2,0)+IF(AND(ISNUMBER(F4255),F4255&lt;=1),2,0)+IF(AND(ISNUMBER(G4255),G4255&lt;=2),1,0)+IF(AND(ISNUMBER(H4255),H4255&lt;=2),1,0)</f>
        <v>5</v>
      </c>
      <c r="J4255" s="2" t="str">
        <f aca="false">IF(I4255&gt;=6,"High",IF(I4255&gt;=3,"Medium","Low"))</f>
        <v>Medium</v>
      </c>
    </row>
    <row r="4256" customFormat="false" ht="15" hidden="false" customHeight="true" outlineLevel="0" collapsed="false">
      <c r="A4256" s="2" t="n">
        <f aca="false">'Raw Data'!H4256</f>
        <v>4255</v>
      </c>
      <c r="B4256" s="2" t="n">
        <f aca="false">'Raw Data'!A4256</f>
        <v>20</v>
      </c>
      <c r="C4256" s="2" t="str">
        <f aca="false">'Raw Data'!D4256</f>
        <v>Sales</v>
      </c>
      <c r="D4256" s="2" t="str">
        <f aca="false">'Raw Data'!K4256</f>
        <v>Healthcare Representative</v>
      </c>
      <c r="E4256" s="2" t="n">
        <f aca="false">'Raw Data'!Q4256</f>
        <v>1</v>
      </c>
      <c r="F4256" s="2" t="n">
        <f aca="false">'Raw Data'!U4256</f>
        <v>0</v>
      </c>
      <c r="G4256" s="2" t="n">
        <f aca="false">'Raw Data'!W4256</f>
        <v>4</v>
      </c>
      <c r="H4256" s="2" t="n">
        <f aca="false">'Raw Data'!V4256</f>
        <v>4</v>
      </c>
      <c r="I4256" s="2" t="n">
        <f aca="false">IF(AND(ISNUMBER(B4256),B4256&lt;=25),2,0)+IF(AND(ISNUMBER(E4256),E4256&lt;=5),2,0)+IF(AND(ISNUMBER(F4256),F4256&lt;=1),2,0)+IF(AND(ISNUMBER(G4256),G4256&lt;=2),1,0)+IF(AND(ISNUMBER(H4256),H4256&lt;=2),1,0)</f>
        <v>6</v>
      </c>
      <c r="J4256" s="2" t="str">
        <f aca="false">IF(I4256&gt;=6,"High",IF(I4256&gt;=3,"Medium","Low"))</f>
        <v>High</v>
      </c>
    </row>
    <row r="4257" customFormat="false" ht="15" hidden="false" customHeight="true" outlineLevel="0" collapsed="false">
      <c r="A4257" s="2" t="n">
        <f aca="false">'Raw Data'!H4257</f>
        <v>4256</v>
      </c>
      <c r="B4257" s="2" t="n">
        <f aca="false">'Raw Data'!A4257</f>
        <v>34</v>
      </c>
      <c r="C4257" s="2" t="str">
        <f aca="false">'Raw Data'!D4257</f>
        <v>Research &amp; Development</v>
      </c>
      <c r="D4257" s="2" t="str">
        <f aca="false">'Raw Data'!K4257</f>
        <v>Laboratory Technician</v>
      </c>
      <c r="E4257" s="2" t="n">
        <f aca="false">'Raw Data'!Q4257</f>
        <v>16</v>
      </c>
      <c r="F4257" s="2" t="n">
        <f aca="false">'Raw Data'!U4257</f>
        <v>10</v>
      </c>
      <c r="G4257" s="2" t="n">
        <f aca="false">'Raw Data'!W4257</f>
        <v>3</v>
      </c>
      <c r="H4257" s="2" t="n">
        <f aca="false">'Raw Data'!V4257</f>
        <v>1</v>
      </c>
      <c r="I4257" s="2" t="n">
        <f aca="false">IF(AND(ISNUMBER(B4257),B4257&lt;=25),2,0)+IF(AND(ISNUMBER(E4257),E4257&lt;=5),2,0)+IF(AND(ISNUMBER(F4257),F4257&lt;=1),2,0)+IF(AND(ISNUMBER(G4257),G4257&lt;=2),1,0)+IF(AND(ISNUMBER(H4257),H4257&lt;=2),1,0)</f>
        <v>1</v>
      </c>
      <c r="J4257" s="2" t="str">
        <f aca="false">IF(I4257&gt;=6,"High",IF(I4257&gt;=3,"Medium","Low"))</f>
        <v>Low</v>
      </c>
    </row>
    <row r="4258" customFormat="false" ht="15" hidden="false" customHeight="true" outlineLevel="0" collapsed="false">
      <c r="A4258" s="2" t="n">
        <f aca="false">'Raw Data'!H4258</f>
        <v>4257</v>
      </c>
      <c r="B4258" s="2" t="n">
        <f aca="false">'Raw Data'!A4258</f>
        <v>37</v>
      </c>
      <c r="C4258" s="2" t="str">
        <f aca="false">'Raw Data'!D4258</f>
        <v>Sales</v>
      </c>
      <c r="D4258" s="2" t="str">
        <f aca="false">'Raw Data'!K4258</f>
        <v>Research Scientist</v>
      </c>
      <c r="E4258" s="2" t="n">
        <f aca="false">'Raw Data'!Q4258</f>
        <v>17</v>
      </c>
      <c r="F4258" s="2" t="n">
        <f aca="false">'Raw Data'!U4258</f>
        <v>0</v>
      </c>
      <c r="G4258" s="2" t="n">
        <f aca="false">'Raw Data'!W4258</f>
        <v>4</v>
      </c>
      <c r="H4258" s="2" t="n">
        <f aca="false">'Raw Data'!V4258</f>
        <v>3</v>
      </c>
      <c r="I4258" s="2" t="n">
        <f aca="false">IF(AND(ISNUMBER(B4258),B4258&lt;=25),2,0)+IF(AND(ISNUMBER(E4258),E4258&lt;=5),2,0)+IF(AND(ISNUMBER(F4258),F4258&lt;=1),2,0)+IF(AND(ISNUMBER(G4258),G4258&lt;=2),1,0)+IF(AND(ISNUMBER(H4258),H4258&lt;=2),1,0)</f>
        <v>2</v>
      </c>
      <c r="J4258" s="2" t="str">
        <f aca="false">IF(I4258&gt;=6,"High",IF(I4258&gt;=3,"Medium","Low"))</f>
        <v>Low</v>
      </c>
    </row>
    <row r="4259" customFormat="false" ht="15" hidden="false" customHeight="true" outlineLevel="0" collapsed="false">
      <c r="A4259" s="2" t="n">
        <f aca="false">'Raw Data'!H4259</f>
        <v>4258</v>
      </c>
      <c r="B4259" s="2" t="n">
        <f aca="false">'Raw Data'!A4259</f>
        <v>59</v>
      </c>
      <c r="C4259" s="2" t="str">
        <f aca="false">'Raw Data'!D4259</f>
        <v>Research &amp; Development</v>
      </c>
      <c r="D4259" s="2" t="str">
        <f aca="false">'Raw Data'!K4259</f>
        <v>Sales Executive</v>
      </c>
      <c r="E4259" s="2" t="n">
        <f aca="false">'Raw Data'!Q4259</f>
        <v>30</v>
      </c>
      <c r="F4259" s="2" t="n">
        <f aca="false">'Raw Data'!U4259</f>
        <v>2</v>
      </c>
      <c r="G4259" s="2" t="n">
        <f aca="false">'Raw Data'!W4259</f>
        <v>4</v>
      </c>
      <c r="H4259" s="2" t="n">
        <f aca="false">'Raw Data'!V4259</f>
        <v>3</v>
      </c>
      <c r="I4259" s="2" t="n">
        <f aca="false">IF(AND(ISNUMBER(B4259),B4259&lt;=25),2,0)+IF(AND(ISNUMBER(E4259),E4259&lt;=5),2,0)+IF(AND(ISNUMBER(F4259),F4259&lt;=1),2,0)+IF(AND(ISNUMBER(G4259),G4259&lt;=2),1,0)+IF(AND(ISNUMBER(H4259),H4259&lt;=2),1,0)</f>
        <v>0</v>
      </c>
      <c r="J4259" s="2" t="str">
        <f aca="false">IF(I4259&gt;=6,"High",IF(I4259&gt;=3,"Medium","Low"))</f>
        <v>Low</v>
      </c>
    </row>
    <row r="4260" customFormat="false" ht="15" hidden="false" customHeight="true" outlineLevel="0" collapsed="false">
      <c r="A4260" s="2" t="n">
        <f aca="false">'Raw Data'!H4260</f>
        <v>4259</v>
      </c>
      <c r="B4260" s="2" t="n">
        <f aca="false">'Raw Data'!A4260</f>
        <v>50</v>
      </c>
      <c r="C4260" s="2" t="str">
        <f aca="false">'Raw Data'!D4260</f>
        <v>Research &amp; Development</v>
      </c>
      <c r="D4260" s="2" t="str">
        <f aca="false">'Raw Data'!K4260</f>
        <v>Research Scientist</v>
      </c>
      <c r="E4260" s="2" t="n">
        <f aca="false">'Raw Data'!Q4260</f>
        <v>28</v>
      </c>
      <c r="F4260" s="2" t="n">
        <f aca="false">'Raw Data'!U4260</f>
        <v>7</v>
      </c>
      <c r="G4260" s="2" t="n">
        <f aca="false">'Raw Data'!W4260</f>
        <v>2</v>
      </c>
      <c r="H4260" s="2" t="n">
        <f aca="false">'Raw Data'!V4260</f>
        <v>1</v>
      </c>
      <c r="I4260" s="2" t="n">
        <f aca="false">IF(AND(ISNUMBER(B4260),B4260&lt;=25),2,0)+IF(AND(ISNUMBER(E4260),E4260&lt;=5),2,0)+IF(AND(ISNUMBER(F4260),F4260&lt;=1),2,0)+IF(AND(ISNUMBER(G4260),G4260&lt;=2),1,0)+IF(AND(ISNUMBER(H4260),H4260&lt;=2),1,0)</f>
        <v>2</v>
      </c>
      <c r="J4260" s="2" t="str">
        <f aca="false">IF(I4260&gt;=6,"High",IF(I4260&gt;=3,"Medium","Low"))</f>
        <v>Low</v>
      </c>
    </row>
    <row r="4261" customFormat="false" ht="15" hidden="false" customHeight="true" outlineLevel="0" collapsed="false">
      <c r="A4261" s="2" t="n">
        <f aca="false">'Raw Data'!H4261</f>
        <v>4260</v>
      </c>
      <c r="B4261" s="2" t="n">
        <f aca="false">'Raw Data'!A4261</f>
        <v>25</v>
      </c>
      <c r="C4261" s="2" t="str">
        <f aca="false">'Raw Data'!D4261</f>
        <v>Sales</v>
      </c>
      <c r="D4261" s="2" t="str">
        <f aca="false">'Raw Data'!K4261</f>
        <v>Research Director</v>
      </c>
      <c r="E4261" s="2" t="n">
        <f aca="false">'Raw Data'!Q4261</f>
        <v>6</v>
      </c>
      <c r="F4261" s="2" t="n">
        <f aca="false">'Raw Data'!U4261</f>
        <v>3</v>
      </c>
      <c r="G4261" s="2" t="n">
        <f aca="false">'Raw Data'!W4261</f>
        <v>3</v>
      </c>
      <c r="H4261" s="2" t="n">
        <f aca="false">'Raw Data'!V4261</f>
        <v>3</v>
      </c>
      <c r="I4261" s="2" t="n">
        <f aca="false">IF(AND(ISNUMBER(B4261),B4261&lt;=25),2,0)+IF(AND(ISNUMBER(E4261),E4261&lt;=5),2,0)+IF(AND(ISNUMBER(F4261),F4261&lt;=1),2,0)+IF(AND(ISNUMBER(G4261),G4261&lt;=2),1,0)+IF(AND(ISNUMBER(H4261),H4261&lt;=2),1,0)</f>
        <v>2</v>
      </c>
      <c r="J4261" s="2" t="str">
        <f aca="false">IF(I4261&gt;=6,"High",IF(I4261&gt;=3,"Medium","Low"))</f>
        <v>Low</v>
      </c>
    </row>
    <row r="4262" customFormat="false" ht="15" hidden="false" customHeight="true" outlineLevel="0" collapsed="false">
      <c r="A4262" s="2" t="n">
        <f aca="false">'Raw Data'!H4262</f>
        <v>4261</v>
      </c>
      <c r="B4262" s="2" t="n">
        <f aca="false">'Raw Data'!A4262</f>
        <v>25</v>
      </c>
      <c r="C4262" s="2" t="str">
        <f aca="false">'Raw Data'!D4262</f>
        <v>Research &amp; Development</v>
      </c>
      <c r="D4262" s="2" t="str">
        <f aca="false">'Raw Data'!K4262</f>
        <v>Laboratory Technician</v>
      </c>
      <c r="E4262" s="2" t="n">
        <f aca="false">'Raw Data'!Q4262</f>
        <v>2</v>
      </c>
      <c r="F4262" s="2" t="n">
        <f aca="false">'Raw Data'!U4262</f>
        <v>1</v>
      </c>
      <c r="G4262" s="2" t="n">
        <f aca="false">'Raw Data'!W4262</f>
        <v>4</v>
      </c>
      <c r="H4262" s="2" t="n">
        <f aca="false">'Raw Data'!V4262</f>
        <v>4</v>
      </c>
      <c r="I4262" s="2" t="n">
        <f aca="false">IF(AND(ISNUMBER(B4262),B4262&lt;=25),2,0)+IF(AND(ISNUMBER(E4262),E4262&lt;=5),2,0)+IF(AND(ISNUMBER(F4262),F4262&lt;=1),2,0)+IF(AND(ISNUMBER(G4262),G4262&lt;=2),1,0)+IF(AND(ISNUMBER(H4262),H4262&lt;=2),1,0)</f>
        <v>6</v>
      </c>
      <c r="J4262" s="2" t="str">
        <f aca="false">IF(I4262&gt;=6,"High",IF(I4262&gt;=3,"Medium","Low"))</f>
        <v>High</v>
      </c>
    </row>
    <row r="4263" customFormat="false" ht="15" hidden="false" customHeight="true" outlineLevel="0" collapsed="false">
      <c r="A4263" s="2" t="n">
        <f aca="false">'Raw Data'!H4263</f>
        <v>4262</v>
      </c>
      <c r="B4263" s="2" t="n">
        <f aca="false">'Raw Data'!A4263</f>
        <v>22</v>
      </c>
      <c r="C4263" s="2" t="str">
        <f aca="false">'Raw Data'!D4263</f>
        <v>Research &amp; Development</v>
      </c>
      <c r="D4263" s="2" t="str">
        <f aca="false">'Raw Data'!K4263</f>
        <v>Sales Representative</v>
      </c>
      <c r="E4263" s="2" t="n">
        <f aca="false">'Raw Data'!Q4263</f>
        <v>1</v>
      </c>
      <c r="F4263" s="2" t="n">
        <f aca="false">'Raw Data'!U4263</f>
        <v>0</v>
      </c>
      <c r="G4263" s="2" t="n">
        <f aca="false">'Raw Data'!W4263</f>
        <v>4</v>
      </c>
      <c r="H4263" s="2" t="n">
        <f aca="false">'Raw Data'!V4263</f>
        <v>2</v>
      </c>
      <c r="I4263" s="2" t="n">
        <f aca="false">IF(AND(ISNUMBER(B4263),B4263&lt;=25),2,0)+IF(AND(ISNUMBER(E4263),E4263&lt;=5),2,0)+IF(AND(ISNUMBER(F4263),F4263&lt;=1),2,0)+IF(AND(ISNUMBER(G4263),G4263&lt;=2),1,0)+IF(AND(ISNUMBER(H4263),H4263&lt;=2),1,0)</f>
        <v>7</v>
      </c>
      <c r="J4263" s="2" t="str">
        <f aca="false">IF(I4263&gt;=6,"High",IF(I4263&gt;=3,"Medium","Low"))</f>
        <v>High</v>
      </c>
    </row>
    <row r="4264" customFormat="false" ht="15" hidden="false" customHeight="true" outlineLevel="0" collapsed="false">
      <c r="A4264" s="2" t="n">
        <f aca="false">'Raw Data'!H4264</f>
        <v>4263</v>
      </c>
      <c r="B4264" s="2" t="n">
        <f aca="false">'Raw Data'!A4264</f>
        <v>51</v>
      </c>
      <c r="C4264" s="2" t="str">
        <f aca="false">'Raw Data'!D4264</f>
        <v>Research &amp; Development</v>
      </c>
      <c r="D4264" s="2" t="str">
        <f aca="false">'Raw Data'!K4264</f>
        <v>Sales Executive</v>
      </c>
      <c r="E4264" s="2" t="n">
        <f aca="false">'Raw Data'!Q4264</f>
        <v>23</v>
      </c>
      <c r="F4264" s="2" t="n">
        <f aca="false">'Raw Data'!U4264</f>
        <v>8</v>
      </c>
      <c r="G4264" s="2" t="n">
        <f aca="false">'Raw Data'!W4264</f>
        <v>1</v>
      </c>
      <c r="H4264" s="2" t="n">
        <f aca="false">'Raw Data'!V4264</f>
        <v>1</v>
      </c>
      <c r="I4264" s="2" t="n">
        <f aca="false">IF(AND(ISNUMBER(B4264),B4264&lt;=25),2,0)+IF(AND(ISNUMBER(E4264),E4264&lt;=5),2,0)+IF(AND(ISNUMBER(F4264),F4264&lt;=1),2,0)+IF(AND(ISNUMBER(G4264),G4264&lt;=2),1,0)+IF(AND(ISNUMBER(H4264),H4264&lt;=2),1,0)</f>
        <v>2</v>
      </c>
      <c r="J4264" s="2" t="str">
        <f aca="false">IF(I4264&gt;=6,"High",IF(I4264&gt;=3,"Medium","Low"))</f>
        <v>Low</v>
      </c>
    </row>
    <row r="4265" customFormat="false" ht="15" hidden="false" customHeight="true" outlineLevel="0" collapsed="false">
      <c r="A4265" s="2" t="n">
        <f aca="false">'Raw Data'!H4265</f>
        <v>4264</v>
      </c>
      <c r="B4265" s="2" t="n">
        <f aca="false">'Raw Data'!A4265</f>
        <v>34</v>
      </c>
      <c r="C4265" s="2" t="str">
        <f aca="false">'Raw Data'!D4265</f>
        <v>Human Resources</v>
      </c>
      <c r="D4265" s="2" t="str">
        <f aca="false">'Raw Data'!K4265</f>
        <v>Sales Executive</v>
      </c>
      <c r="E4265" s="2" t="n">
        <f aca="false">'Raw Data'!Q4265</f>
        <v>9</v>
      </c>
      <c r="F4265" s="2" t="n">
        <f aca="false">'Raw Data'!U4265</f>
        <v>6</v>
      </c>
      <c r="G4265" s="2" t="n">
        <f aca="false">'Raw Data'!W4265</f>
        <v>3</v>
      </c>
      <c r="H4265" s="2" t="n">
        <f aca="false">'Raw Data'!V4265</f>
        <v>1</v>
      </c>
      <c r="I4265" s="2" t="n">
        <f aca="false">IF(AND(ISNUMBER(B4265),B4265&lt;=25),2,0)+IF(AND(ISNUMBER(E4265),E4265&lt;=5),2,0)+IF(AND(ISNUMBER(F4265),F4265&lt;=1),2,0)+IF(AND(ISNUMBER(G4265),G4265&lt;=2),1,0)+IF(AND(ISNUMBER(H4265),H4265&lt;=2),1,0)</f>
        <v>1</v>
      </c>
      <c r="J4265" s="2" t="str">
        <f aca="false">IF(I4265&gt;=6,"High",IF(I4265&gt;=3,"Medium","Low"))</f>
        <v>Low</v>
      </c>
    </row>
    <row r="4266" customFormat="false" ht="15" hidden="false" customHeight="true" outlineLevel="0" collapsed="false">
      <c r="A4266" s="2" t="n">
        <f aca="false">'Raw Data'!H4266</f>
        <v>4265</v>
      </c>
      <c r="B4266" s="2" t="n">
        <f aca="false">'Raw Data'!A4266</f>
        <v>54</v>
      </c>
      <c r="C4266" s="2" t="str">
        <f aca="false">'Raw Data'!D4266</f>
        <v>Research &amp; Development</v>
      </c>
      <c r="D4266" s="2" t="str">
        <f aca="false">'Raw Data'!K4266</f>
        <v>Laboratory Technician</v>
      </c>
      <c r="E4266" s="2" t="n">
        <f aca="false">'Raw Data'!Q4266</f>
        <v>23</v>
      </c>
      <c r="F4266" s="2" t="n">
        <f aca="false">'Raw Data'!U4266</f>
        <v>4</v>
      </c>
      <c r="G4266" s="2" t="n">
        <f aca="false">'Raw Data'!W4266</f>
        <v>4</v>
      </c>
      <c r="H4266" s="2" t="n">
        <f aca="false">'Raw Data'!V4266</f>
        <v>4</v>
      </c>
      <c r="I4266" s="2" t="n">
        <f aca="false">IF(AND(ISNUMBER(B4266),B4266&lt;=25),2,0)+IF(AND(ISNUMBER(E4266),E4266&lt;=5),2,0)+IF(AND(ISNUMBER(F4266),F4266&lt;=1),2,0)+IF(AND(ISNUMBER(G4266),G4266&lt;=2),1,0)+IF(AND(ISNUMBER(H4266),H4266&lt;=2),1,0)</f>
        <v>0</v>
      </c>
      <c r="J4266" s="2" t="str">
        <f aca="false">IF(I4266&gt;=6,"High",IF(I4266&gt;=3,"Medium","Low"))</f>
        <v>Low</v>
      </c>
    </row>
    <row r="4267" customFormat="false" ht="15" hidden="false" customHeight="true" outlineLevel="0" collapsed="false">
      <c r="A4267" s="2" t="n">
        <f aca="false">'Raw Data'!H4267</f>
        <v>4266</v>
      </c>
      <c r="B4267" s="2" t="n">
        <f aca="false">'Raw Data'!A4267</f>
        <v>24</v>
      </c>
      <c r="C4267" s="2" t="str">
        <f aca="false">'Raw Data'!D4267</f>
        <v>Research &amp; Development</v>
      </c>
      <c r="D4267" s="2" t="str">
        <f aca="false">'Raw Data'!K4267</f>
        <v>Laboratory Technician</v>
      </c>
      <c r="E4267" s="2" t="n">
        <f aca="false">'Raw Data'!Q4267</f>
        <v>6</v>
      </c>
      <c r="F4267" s="2" t="n">
        <f aca="false">'Raw Data'!U4267</f>
        <v>2</v>
      </c>
      <c r="G4267" s="2" t="n">
        <f aca="false">'Raw Data'!W4267</f>
        <v>3</v>
      </c>
      <c r="H4267" s="2" t="n">
        <f aca="false">'Raw Data'!V4267</f>
        <v>2</v>
      </c>
      <c r="I4267" s="2" t="n">
        <f aca="false">IF(AND(ISNUMBER(B4267),B4267&lt;=25),2,0)+IF(AND(ISNUMBER(E4267),E4267&lt;=5),2,0)+IF(AND(ISNUMBER(F4267),F4267&lt;=1),2,0)+IF(AND(ISNUMBER(G4267),G4267&lt;=2),1,0)+IF(AND(ISNUMBER(H4267),H4267&lt;=2),1,0)</f>
        <v>3</v>
      </c>
      <c r="J4267" s="2" t="str">
        <f aca="false">IF(I4267&gt;=6,"High",IF(I4267&gt;=3,"Medium","Low"))</f>
        <v>Medium</v>
      </c>
    </row>
    <row r="4268" customFormat="false" ht="15" hidden="false" customHeight="true" outlineLevel="0" collapsed="false">
      <c r="A4268" s="2" t="n">
        <f aca="false">'Raw Data'!H4268</f>
        <v>4267</v>
      </c>
      <c r="B4268" s="2" t="n">
        <f aca="false">'Raw Data'!A4268</f>
        <v>34</v>
      </c>
      <c r="C4268" s="2" t="str">
        <f aca="false">'Raw Data'!D4268</f>
        <v>Sales</v>
      </c>
      <c r="D4268" s="2" t="str">
        <f aca="false">'Raw Data'!K4268</f>
        <v>Sales Representative</v>
      </c>
      <c r="E4268" s="2" t="n">
        <f aca="false">'Raw Data'!Q4268</f>
        <v>12</v>
      </c>
      <c r="F4268" s="2" t="n">
        <f aca="false">'Raw Data'!U4268</f>
        <v>0</v>
      </c>
      <c r="G4268" s="2" t="n">
        <f aca="false">'Raw Data'!W4268</f>
        <v>2</v>
      </c>
      <c r="H4268" s="2" t="n">
        <f aca="false">'Raw Data'!V4268</f>
        <v>3</v>
      </c>
      <c r="I4268" s="2" t="n">
        <f aca="false">IF(AND(ISNUMBER(B4268),B4268&lt;=25),2,0)+IF(AND(ISNUMBER(E4268),E4268&lt;=5),2,0)+IF(AND(ISNUMBER(F4268),F4268&lt;=1),2,0)+IF(AND(ISNUMBER(G4268),G4268&lt;=2),1,0)+IF(AND(ISNUMBER(H4268),H4268&lt;=2),1,0)</f>
        <v>3</v>
      </c>
      <c r="J4268" s="2" t="str">
        <f aca="false">IF(I4268&gt;=6,"High",IF(I4268&gt;=3,"Medium","Low"))</f>
        <v>Medium</v>
      </c>
    </row>
    <row r="4269" customFormat="false" ht="15" hidden="false" customHeight="true" outlineLevel="0" collapsed="false">
      <c r="A4269" s="2" t="n">
        <f aca="false">'Raw Data'!H4269</f>
        <v>4268</v>
      </c>
      <c r="B4269" s="2" t="n">
        <f aca="false">'Raw Data'!A4269</f>
        <v>37</v>
      </c>
      <c r="C4269" s="2" t="str">
        <f aca="false">'Raw Data'!D4269</f>
        <v>Sales</v>
      </c>
      <c r="D4269" s="2" t="str">
        <f aca="false">'Raw Data'!K4269</f>
        <v>Laboratory Technician</v>
      </c>
      <c r="E4269" s="2" t="n">
        <f aca="false">'Raw Data'!Q4269</f>
        <v>12</v>
      </c>
      <c r="F4269" s="2" t="n">
        <f aca="false">'Raw Data'!U4269</f>
        <v>3</v>
      </c>
      <c r="G4269" s="2" t="n">
        <f aca="false">'Raw Data'!W4269</f>
        <v>4</v>
      </c>
      <c r="H4269" s="2" t="n">
        <f aca="false">'Raw Data'!V4269</f>
        <v>3</v>
      </c>
      <c r="I4269" s="2" t="n">
        <f aca="false">IF(AND(ISNUMBER(B4269),B4269&lt;=25),2,0)+IF(AND(ISNUMBER(E4269),E4269&lt;=5),2,0)+IF(AND(ISNUMBER(F4269),F4269&lt;=1),2,0)+IF(AND(ISNUMBER(G4269),G4269&lt;=2),1,0)+IF(AND(ISNUMBER(H4269),H4269&lt;=2),1,0)</f>
        <v>0</v>
      </c>
      <c r="J4269" s="2" t="str">
        <f aca="false">IF(I4269&gt;=6,"High",IF(I4269&gt;=3,"Medium","Low"))</f>
        <v>Low</v>
      </c>
    </row>
    <row r="4270" customFormat="false" ht="15" hidden="false" customHeight="true" outlineLevel="0" collapsed="false">
      <c r="A4270" s="2" t="n">
        <f aca="false">'Raw Data'!H4270</f>
        <v>4269</v>
      </c>
      <c r="B4270" s="2" t="n">
        <f aca="false">'Raw Data'!A4270</f>
        <v>34</v>
      </c>
      <c r="C4270" s="2" t="str">
        <f aca="false">'Raw Data'!D4270</f>
        <v>Sales</v>
      </c>
      <c r="D4270" s="2" t="str">
        <f aca="false">'Raw Data'!K4270</f>
        <v>Healthcare Representative</v>
      </c>
      <c r="E4270" s="2" t="n">
        <f aca="false">'Raw Data'!Q4270</f>
        <v>14</v>
      </c>
      <c r="F4270" s="2" t="n">
        <f aca="false">'Raw Data'!U4270</f>
        <v>8</v>
      </c>
      <c r="G4270" s="2" t="n">
        <f aca="false">'Raw Data'!W4270</f>
        <v>1</v>
      </c>
      <c r="H4270" s="2" t="n">
        <f aca="false">'Raw Data'!V4270</f>
        <v>3</v>
      </c>
      <c r="I4270" s="2" t="n">
        <f aca="false">IF(AND(ISNUMBER(B4270),B4270&lt;=25),2,0)+IF(AND(ISNUMBER(E4270),E4270&lt;=5),2,0)+IF(AND(ISNUMBER(F4270),F4270&lt;=1),2,0)+IF(AND(ISNUMBER(G4270),G4270&lt;=2),1,0)+IF(AND(ISNUMBER(H4270),H4270&lt;=2),1,0)</f>
        <v>1</v>
      </c>
      <c r="J4270" s="2" t="str">
        <f aca="false">IF(I4270&gt;=6,"High",IF(I4270&gt;=3,"Medium","Low"))</f>
        <v>Low</v>
      </c>
    </row>
    <row r="4271" customFormat="false" ht="15" hidden="false" customHeight="true" outlineLevel="0" collapsed="false">
      <c r="A4271" s="2" t="n">
        <f aca="false">'Raw Data'!H4271</f>
        <v>4270</v>
      </c>
      <c r="B4271" s="2" t="n">
        <f aca="false">'Raw Data'!A4271</f>
        <v>36</v>
      </c>
      <c r="C4271" s="2" t="str">
        <f aca="false">'Raw Data'!D4271</f>
        <v>Human Resources</v>
      </c>
      <c r="D4271" s="2" t="str">
        <f aca="false">'Raw Data'!K4271</f>
        <v>Research Scientist</v>
      </c>
      <c r="E4271" s="2" t="n">
        <f aca="false">'Raw Data'!Q4271</f>
        <v>10</v>
      </c>
      <c r="F4271" s="2" t="n">
        <f aca="false">'Raw Data'!U4271</f>
        <v>8</v>
      </c>
      <c r="G4271" s="2" t="n">
        <f aca="false">'Raw Data'!W4271</f>
        <v>4</v>
      </c>
      <c r="H4271" s="2" t="n">
        <f aca="false">'Raw Data'!V4271</f>
        <v>2</v>
      </c>
      <c r="I4271" s="2" t="n">
        <f aca="false">IF(AND(ISNUMBER(B4271),B4271&lt;=25),2,0)+IF(AND(ISNUMBER(E4271),E4271&lt;=5),2,0)+IF(AND(ISNUMBER(F4271),F4271&lt;=1),2,0)+IF(AND(ISNUMBER(G4271),G4271&lt;=2),1,0)+IF(AND(ISNUMBER(H4271),H4271&lt;=2),1,0)</f>
        <v>1</v>
      </c>
      <c r="J4271" s="2" t="str">
        <f aca="false">IF(I4271&gt;=6,"High",IF(I4271&gt;=3,"Medium","Low"))</f>
        <v>Low</v>
      </c>
    </row>
    <row r="4272" customFormat="false" ht="15" hidden="false" customHeight="true" outlineLevel="0" collapsed="false">
      <c r="A4272" s="2" t="n">
        <f aca="false">'Raw Data'!H4272</f>
        <v>4271</v>
      </c>
      <c r="B4272" s="2" t="n">
        <f aca="false">'Raw Data'!A4272</f>
        <v>36</v>
      </c>
      <c r="C4272" s="2" t="str">
        <f aca="false">'Raw Data'!D4272</f>
        <v>Research &amp; Development</v>
      </c>
      <c r="D4272" s="2" t="str">
        <f aca="false">'Raw Data'!K4272</f>
        <v>Manufacturing Director</v>
      </c>
      <c r="E4272" s="2" t="n">
        <f aca="false">'Raw Data'!Q4272</f>
        <v>7</v>
      </c>
      <c r="F4272" s="2" t="n">
        <f aca="false">'Raw Data'!U4272</f>
        <v>0</v>
      </c>
      <c r="G4272" s="2" t="n">
        <f aca="false">'Raw Data'!W4272</f>
        <v>4</v>
      </c>
      <c r="H4272" s="2" t="n">
        <f aca="false">'Raw Data'!V4272</f>
        <v>1</v>
      </c>
      <c r="I4272" s="2" t="n">
        <f aca="false">IF(AND(ISNUMBER(B4272),B4272&lt;=25),2,0)+IF(AND(ISNUMBER(E4272),E4272&lt;=5),2,0)+IF(AND(ISNUMBER(F4272),F4272&lt;=1),2,0)+IF(AND(ISNUMBER(G4272),G4272&lt;=2),1,0)+IF(AND(ISNUMBER(H4272),H4272&lt;=2),1,0)</f>
        <v>3</v>
      </c>
      <c r="J4272" s="2" t="str">
        <f aca="false">IF(I4272&gt;=6,"High",IF(I4272&gt;=3,"Medium","Low"))</f>
        <v>Medium</v>
      </c>
    </row>
    <row r="4273" customFormat="false" ht="15" hidden="false" customHeight="true" outlineLevel="0" collapsed="false">
      <c r="A4273" s="2" t="n">
        <f aca="false">'Raw Data'!H4273</f>
        <v>4272</v>
      </c>
      <c r="B4273" s="2" t="n">
        <f aca="false">'Raw Data'!A4273</f>
        <v>43</v>
      </c>
      <c r="C4273" s="2" t="str">
        <f aca="false">'Raw Data'!D4273</f>
        <v>Research &amp; Development</v>
      </c>
      <c r="D4273" s="2" t="str">
        <f aca="false">'Raw Data'!K4273</f>
        <v>Sales Executive</v>
      </c>
      <c r="E4273" s="2" t="n">
        <f aca="false">'Raw Data'!Q4273</f>
        <v>25</v>
      </c>
      <c r="F4273" s="2" t="n">
        <f aca="false">'Raw Data'!U4273</f>
        <v>12</v>
      </c>
      <c r="G4273" s="2" t="n">
        <f aca="false">'Raw Data'!W4273</f>
        <v>4</v>
      </c>
      <c r="H4273" s="2" t="n">
        <f aca="false">'Raw Data'!V4273</f>
        <v>3</v>
      </c>
      <c r="I4273" s="2" t="n">
        <f aca="false">IF(AND(ISNUMBER(B4273),B4273&lt;=25),2,0)+IF(AND(ISNUMBER(E4273),E4273&lt;=5),2,0)+IF(AND(ISNUMBER(F4273),F4273&lt;=1),2,0)+IF(AND(ISNUMBER(G4273),G4273&lt;=2),1,0)+IF(AND(ISNUMBER(H4273),H4273&lt;=2),1,0)</f>
        <v>0</v>
      </c>
      <c r="J4273" s="2" t="str">
        <f aca="false">IF(I4273&gt;=6,"High",IF(I4273&gt;=3,"Medium","Low"))</f>
        <v>Low</v>
      </c>
    </row>
    <row r="4274" customFormat="false" ht="15" hidden="false" customHeight="true" outlineLevel="0" collapsed="false">
      <c r="A4274" s="2" t="n">
        <f aca="false">'Raw Data'!H4274</f>
        <v>4273</v>
      </c>
      <c r="B4274" s="2" t="n">
        <f aca="false">'Raw Data'!A4274</f>
        <v>30</v>
      </c>
      <c r="C4274" s="2" t="str">
        <f aca="false">'Raw Data'!D4274</f>
        <v>Research &amp; Development</v>
      </c>
      <c r="D4274" s="2" t="str">
        <f aca="false">'Raw Data'!K4274</f>
        <v>Healthcare Representative</v>
      </c>
      <c r="E4274" s="2" t="n">
        <f aca="false">'Raw Data'!Q4274</f>
        <v>10</v>
      </c>
      <c r="F4274" s="2" t="n">
        <f aca="false">'Raw Data'!U4274</f>
        <v>9</v>
      </c>
      <c r="G4274" s="2" t="n">
        <f aca="false">'Raw Data'!W4274</f>
        <v>3</v>
      </c>
      <c r="H4274" s="2" t="n">
        <f aca="false">'Raw Data'!V4274</f>
        <v>1</v>
      </c>
      <c r="I4274" s="2" t="n">
        <f aca="false">IF(AND(ISNUMBER(B4274),B4274&lt;=25),2,0)+IF(AND(ISNUMBER(E4274),E4274&lt;=5),2,0)+IF(AND(ISNUMBER(F4274),F4274&lt;=1),2,0)+IF(AND(ISNUMBER(G4274),G4274&lt;=2),1,0)+IF(AND(ISNUMBER(H4274),H4274&lt;=2),1,0)</f>
        <v>1</v>
      </c>
      <c r="J4274" s="2" t="str">
        <f aca="false">IF(I4274&gt;=6,"High",IF(I4274&gt;=3,"Medium","Low"))</f>
        <v>Low</v>
      </c>
    </row>
    <row r="4275" customFormat="false" ht="15" hidden="false" customHeight="true" outlineLevel="0" collapsed="false">
      <c r="A4275" s="2" t="n">
        <f aca="false">'Raw Data'!H4275</f>
        <v>4274</v>
      </c>
      <c r="B4275" s="2" t="n">
        <f aca="false">'Raw Data'!A4275</f>
        <v>33</v>
      </c>
      <c r="C4275" s="2" t="str">
        <f aca="false">'Raw Data'!D4275</f>
        <v>Sales</v>
      </c>
      <c r="D4275" s="2" t="str">
        <f aca="false">'Raw Data'!K4275</f>
        <v>Sales Executive</v>
      </c>
      <c r="E4275" s="2" t="n">
        <f aca="false">'Raw Data'!Q4275</f>
        <v>8</v>
      </c>
      <c r="F4275" s="2" t="n">
        <f aca="false">'Raw Data'!U4275</f>
        <v>7</v>
      </c>
      <c r="G4275" s="2" t="n">
        <f aca="false">'Raw Data'!W4275</f>
        <v>2</v>
      </c>
      <c r="H4275" s="2" t="n">
        <f aca="false">'Raw Data'!V4275</f>
        <v>3</v>
      </c>
      <c r="I4275" s="2" t="n">
        <f aca="false">IF(AND(ISNUMBER(B4275),B4275&lt;=25),2,0)+IF(AND(ISNUMBER(E4275),E4275&lt;=5),2,0)+IF(AND(ISNUMBER(F4275),F4275&lt;=1),2,0)+IF(AND(ISNUMBER(G4275),G4275&lt;=2),1,0)+IF(AND(ISNUMBER(H4275),H4275&lt;=2),1,0)</f>
        <v>1</v>
      </c>
      <c r="J4275" s="2" t="str">
        <f aca="false">IF(I4275&gt;=6,"High",IF(I4275&gt;=3,"Medium","Low"))</f>
        <v>Low</v>
      </c>
    </row>
    <row r="4276" customFormat="false" ht="15" hidden="false" customHeight="true" outlineLevel="0" collapsed="false">
      <c r="A4276" s="2" t="n">
        <f aca="false">'Raw Data'!H4276</f>
        <v>4275</v>
      </c>
      <c r="B4276" s="2" t="n">
        <f aca="false">'Raw Data'!A4276</f>
        <v>56</v>
      </c>
      <c r="C4276" s="2" t="str">
        <f aca="false">'Raw Data'!D4276</f>
        <v>Research &amp; Development</v>
      </c>
      <c r="D4276" s="2" t="str">
        <f aca="false">'Raw Data'!K4276</f>
        <v>Laboratory Technician</v>
      </c>
      <c r="E4276" s="2" t="n">
        <f aca="false">'Raw Data'!Q4276</f>
        <v>7</v>
      </c>
      <c r="F4276" s="2" t="n">
        <f aca="false">'Raw Data'!U4276</f>
        <v>3</v>
      </c>
      <c r="G4276" s="2" t="n">
        <f aca="false">'Raw Data'!W4276</f>
        <v>2</v>
      </c>
      <c r="H4276" s="2" t="n">
        <f aca="false">'Raw Data'!V4276</f>
        <v>2</v>
      </c>
      <c r="I4276" s="2" t="n">
        <f aca="false">IF(AND(ISNUMBER(B4276),B4276&lt;=25),2,0)+IF(AND(ISNUMBER(E4276),E4276&lt;=5),2,0)+IF(AND(ISNUMBER(F4276),F4276&lt;=1),2,0)+IF(AND(ISNUMBER(G4276),G4276&lt;=2),1,0)+IF(AND(ISNUMBER(H4276),H4276&lt;=2),1,0)</f>
        <v>2</v>
      </c>
      <c r="J4276" s="2" t="str">
        <f aca="false">IF(I4276&gt;=6,"High",IF(I4276&gt;=3,"Medium","Low"))</f>
        <v>Low</v>
      </c>
    </row>
    <row r="4277" customFormat="false" ht="15" hidden="false" customHeight="true" outlineLevel="0" collapsed="false">
      <c r="A4277" s="2" t="n">
        <f aca="false">'Raw Data'!H4277</f>
        <v>4276</v>
      </c>
      <c r="B4277" s="2" t="n">
        <f aca="false">'Raw Data'!A4277</f>
        <v>51</v>
      </c>
      <c r="C4277" s="2" t="str">
        <f aca="false">'Raw Data'!D4277</f>
        <v>Research &amp; Development</v>
      </c>
      <c r="D4277" s="2" t="str">
        <f aca="false">'Raw Data'!K4277</f>
        <v>Sales Representative</v>
      </c>
      <c r="E4277" s="2" t="n">
        <f aca="false">'Raw Data'!Q4277</f>
        <v>23</v>
      </c>
      <c r="F4277" s="2" t="n">
        <f aca="false">'Raw Data'!U4277</f>
        <v>15</v>
      </c>
      <c r="G4277" s="2" t="n">
        <f aca="false">'Raw Data'!W4277</f>
        <v>3</v>
      </c>
      <c r="H4277" s="2" t="n">
        <f aca="false">'Raw Data'!V4277</f>
        <v>1</v>
      </c>
      <c r="I4277" s="2" t="n">
        <f aca="false">IF(AND(ISNUMBER(B4277),B4277&lt;=25),2,0)+IF(AND(ISNUMBER(E4277),E4277&lt;=5),2,0)+IF(AND(ISNUMBER(F4277),F4277&lt;=1),2,0)+IF(AND(ISNUMBER(G4277),G4277&lt;=2),1,0)+IF(AND(ISNUMBER(H4277),H4277&lt;=2),1,0)</f>
        <v>1</v>
      </c>
      <c r="J4277" s="2" t="str">
        <f aca="false">IF(I4277&gt;=6,"High",IF(I4277&gt;=3,"Medium","Low"))</f>
        <v>Low</v>
      </c>
    </row>
    <row r="4278" customFormat="false" ht="15" hidden="false" customHeight="true" outlineLevel="0" collapsed="false">
      <c r="A4278" s="2" t="n">
        <f aca="false">'Raw Data'!H4278</f>
        <v>4277</v>
      </c>
      <c r="B4278" s="2" t="n">
        <f aca="false">'Raw Data'!A4278</f>
        <v>31</v>
      </c>
      <c r="C4278" s="2" t="str">
        <f aca="false">'Raw Data'!D4278</f>
        <v>Research &amp; Development</v>
      </c>
      <c r="D4278" s="2" t="str">
        <f aca="false">'Raw Data'!K4278</f>
        <v>Sales Executive</v>
      </c>
      <c r="E4278" s="2" t="n">
        <f aca="false">'Raw Data'!Q4278</f>
        <v>12</v>
      </c>
      <c r="F4278" s="2" t="n">
        <f aca="false">'Raw Data'!U4278</f>
        <v>7</v>
      </c>
      <c r="G4278" s="2" t="n">
        <f aca="false">'Raw Data'!W4278</f>
        <v>3</v>
      </c>
      <c r="H4278" s="2" t="n">
        <f aca="false">'Raw Data'!V4278</f>
        <v>2</v>
      </c>
      <c r="I4278" s="2" t="n">
        <f aca="false">IF(AND(ISNUMBER(B4278),B4278&lt;=25),2,0)+IF(AND(ISNUMBER(E4278),E4278&lt;=5),2,0)+IF(AND(ISNUMBER(F4278),F4278&lt;=1),2,0)+IF(AND(ISNUMBER(G4278),G4278&lt;=2),1,0)+IF(AND(ISNUMBER(H4278),H4278&lt;=2),1,0)</f>
        <v>1</v>
      </c>
      <c r="J4278" s="2" t="str">
        <f aca="false">IF(I4278&gt;=6,"High",IF(I4278&gt;=3,"Medium","Low"))</f>
        <v>Low</v>
      </c>
    </row>
    <row r="4279" customFormat="false" ht="15" hidden="false" customHeight="true" outlineLevel="0" collapsed="false">
      <c r="A4279" s="2" t="n">
        <f aca="false">'Raw Data'!H4279</f>
        <v>4278</v>
      </c>
      <c r="B4279" s="2" t="n">
        <f aca="false">'Raw Data'!A4279</f>
        <v>26</v>
      </c>
      <c r="C4279" s="2" t="str">
        <f aca="false">'Raw Data'!D4279</f>
        <v>Sales</v>
      </c>
      <c r="D4279" s="2" t="str">
        <f aca="false">'Raw Data'!K4279</f>
        <v>Manager</v>
      </c>
      <c r="E4279" s="2" t="n">
        <f aca="false">'Raw Data'!Q4279</f>
        <v>5</v>
      </c>
      <c r="F4279" s="2" t="n">
        <f aca="false">'Raw Data'!U4279</f>
        <v>3</v>
      </c>
      <c r="G4279" s="2" t="n">
        <f aca="false">'Raw Data'!W4279</f>
        <v>2</v>
      </c>
      <c r="H4279" s="2" t="n">
        <f aca="false">'Raw Data'!V4279</f>
        <v>3</v>
      </c>
      <c r="I4279" s="2" t="n">
        <f aca="false">IF(AND(ISNUMBER(B4279),B4279&lt;=25),2,0)+IF(AND(ISNUMBER(E4279),E4279&lt;=5),2,0)+IF(AND(ISNUMBER(F4279),F4279&lt;=1),2,0)+IF(AND(ISNUMBER(G4279),G4279&lt;=2),1,0)+IF(AND(ISNUMBER(H4279),H4279&lt;=2),1,0)</f>
        <v>3</v>
      </c>
      <c r="J4279" s="2" t="str">
        <f aca="false">IF(I4279&gt;=6,"High",IF(I4279&gt;=3,"Medium","Low"))</f>
        <v>Medium</v>
      </c>
    </row>
    <row r="4280" customFormat="false" ht="15" hidden="false" customHeight="true" outlineLevel="0" collapsed="false">
      <c r="A4280" s="2" t="n">
        <f aca="false">'Raw Data'!H4280</f>
        <v>4279</v>
      </c>
      <c r="B4280" s="2" t="n">
        <f aca="false">'Raw Data'!A4280</f>
        <v>58</v>
      </c>
      <c r="C4280" s="2" t="str">
        <f aca="false">'Raw Data'!D4280</f>
        <v>Sales</v>
      </c>
      <c r="D4280" s="2" t="str">
        <f aca="false">'Raw Data'!K4280</f>
        <v>Research Scientist</v>
      </c>
      <c r="E4280" s="2" t="n">
        <f aca="false">'Raw Data'!Q4280</f>
        <v>40</v>
      </c>
      <c r="F4280" s="2" t="n">
        <f aca="false">'Raw Data'!U4280</f>
        <v>6</v>
      </c>
      <c r="G4280" s="2" t="n">
        <f aca="false">'Raw Data'!W4280</f>
        <v>4</v>
      </c>
      <c r="H4280" s="2" t="n">
        <f aca="false">'Raw Data'!V4280</f>
        <v>4</v>
      </c>
      <c r="I4280" s="2" t="n">
        <f aca="false">IF(AND(ISNUMBER(B4280),B4280&lt;=25),2,0)+IF(AND(ISNUMBER(E4280),E4280&lt;=5),2,0)+IF(AND(ISNUMBER(F4280),F4280&lt;=1),2,0)+IF(AND(ISNUMBER(G4280),G4280&lt;=2),1,0)+IF(AND(ISNUMBER(H4280),H4280&lt;=2),1,0)</f>
        <v>0</v>
      </c>
      <c r="J4280" s="2" t="str">
        <f aca="false">IF(I4280&gt;=6,"High",IF(I4280&gt;=3,"Medium","Low"))</f>
        <v>Low</v>
      </c>
    </row>
    <row r="4281" customFormat="false" ht="15" hidden="false" customHeight="true" outlineLevel="0" collapsed="false">
      <c r="A4281" s="2" t="n">
        <f aca="false">'Raw Data'!H4281</f>
        <v>4280</v>
      </c>
      <c r="B4281" s="2" t="n">
        <f aca="false">'Raw Data'!A4281</f>
        <v>19</v>
      </c>
      <c r="C4281" s="2" t="str">
        <f aca="false">'Raw Data'!D4281</f>
        <v>Research &amp; Development</v>
      </c>
      <c r="D4281" s="2" t="str">
        <f aca="false">'Raw Data'!K4281</f>
        <v>Manager</v>
      </c>
      <c r="E4281" s="2" t="n">
        <f aca="false">'Raw Data'!Q4281</f>
        <v>0</v>
      </c>
      <c r="F4281" s="2" t="n">
        <f aca="false">'Raw Data'!U4281</f>
        <v>0</v>
      </c>
      <c r="G4281" s="2" t="n">
        <f aca="false">'Raw Data'!W4281</f>
        <v>3</v>
      </c>
      <c r="H4281" s="2" t="n">
        <f aca="false">'Raw Data'!V4281</f>
        <v>4</v>
      </c>
      <c r="I4281" s="2" t="n">
        <f aca="false">IF(AND(ISNUMBER(B4281),B4281&lt;=25),2,0)+IF(AND(ISNUMBER(E4281),E4281&lt;=5),2,0)+IF(AND(ISNUMBER(F4281),F4281&lt;=1),2,0)+IF(AND(ISNUMBER(G4281),G4281&lt;=2),1,0)+IF(AND(ISNUMBER(H4281),H4281&lt;=2),1,0)</f>
        <v>6</v>
      </c>
      <c r="J4281" s="2" t="str">
        <f aca="false">IF(I4281&gt;=6,"High",IF(I4281&gt;=3,"Medium","Low"))</f>
        <v>High</v>
      </c>
    </row>
    <row r="4282" customFormat="false" ht="15" hidden="false" customHeight="true" outlineLevel="0" collapsed="false">
      <c r="A4282" s="2" t="n">
        <f aca="false">'Raw Data'!H4282</f>
        <v>4281</v>
      </c>
      <c r="B4282" s="2" t="n">
        <f aca="false">'Raw Data'!A4282</f>
        <v>22</v>
      </c>
      <c r="C4282" s="2" t="str">
        <f aca="false">'Raw Data'!D4282</f>
        <v>Sales</v>
      </c>
      <c r="D4282" s="2" t="str">
        <f aca="false">'Raw Data'!K4282</f>
        <v>Sales Executive</v>
      </c>
      <c r="E4282" s="2" t="n">
        <f aca="false">'Raw Data'!Q4282</f>
        <v>3</v>
      </c>
      <c r="F4282" s="2" t="n">
        <f aca="false">'Raw Data'!U4282</f>
        <v>1</v>
      </c>
      <c r="G4282" s="2" t="n">
        <f aca="false">'Raw Data'!W4282</f>
        <v>4</v>
      </c>
      <c r="H4282" s="2" t="n">
        <f aca="false">'Raw Data'!V4282</f>
        <v>3</v>
      </c>
      <c r="I4282" s="2" t="n">
        <f aca="false">IF(AND(ISNUMBER(B4282),B4282&lt;=25),2,0)+IF(AND(ISNUMBER(E4282),E4282&lt;=5),2,0)+IF(AND(ISNUMBER(F4282),F4282&lt;=1),2,0)+IF(AND(ISNUMBER(G4282),G4282&lt;=2),1,0)+IF(AND(ISNUMBER(H4282),H4282&lt;=2),1,0)</f>
        <v>6</v>
      </c>
      <c r="J4282" s="2" t="str">
        <f aca="false">IF(I4282&gt;=6,"High",IF(I4282&gt;=3,"Medium","Low"))</f>
        <v>High</v>
      </c>
    </row>
    <row r="4283" customFormat="false" ht="15" hidden="false" customHeight="true" outlineLevel="0" collapsed="false">
      <c r="A4283" s="2" t="n">
        <f aca="false">'Raw Data'!H4283</f>
        <v>4282</v>
      </c>
      <c r="B4283" s="2" t="n">
        <f aca="false">'Raw Data'!A4283</f>
        <v>49</v>
      </c>
      <c r="C4283" s="2" t="str">
        <f aca="false">'Raw Data'!D4283</f>
        <v>Research &amp; Development</v>
      </c>
      <c r="D4283" s="2" t="str">
        <f aca="false">'Raw Data'!K4283</f>
        <v>Sales Executive</v>
      </c>
      <c r="E4283" s="2" t="n">
        <f aca="false">'Raw Data'!Q4283</f>
        <v>16</v>
      </c>
      <c r="F4283" s="2" t="n">
        <f aca="false">'Raw Data'!U4283</f>
        <v>11</v>
      </c>
      <c r="G4283" s="2" t="n">
        <f aca="false">'Raw Data'!W4283</f>
        <v>1</v>
      </c>
      <c r="H4283" s="2" t="n">
        <f aca="false">'Raw Data'!V4283</f>
        <v>3</v>
      </c>
      <c r="I4283" s="2" t="n">
        <f aca="false">IF(AND(ISNUMBER(B4283),B4283&lt;=25),2,0)+IF(AND(ISNUMBER(E4283),E4283&lt;=5),2,0)+IF(AND(ISNUMBER(F4283),F4283&lt;=1),2,0)+IF(AND(ISNUMBER(G4283),G4283&lt;=2),1,0)+IF(AND(ISNUMBER(H4283),H4283&lt;=2),1,0)</f>
        <v>1</v>
      </c>
      <c r="J4283" s="2" t="str">
        <f aca="false">IF(I4283&gt;=6,"High",IF(I4283&gt;=3,"Medium","Low"))</f>
        <v>Low</v>
      </c>
    </row>
    <row r="4284" customFormat="false" ht="15" hidden="false" customHeight="true" outlineLevel="0" collapsed="false">
      <c r="A4284" s="2" t="n">
        <f aca="false">'Raw Data'!H4284</f>
        <v>4283</v>
      </c>
      <c r="B4284" s="2" t="n">
        <f aca="false">'Raw Data'!A4284</f>
        <v>43</v>
      </c>
      <c r="C4284" s="2" t="str">
        <f aca="false">'Raw Data'!D4284</f>
        <v>Sales</v>
      </c>
      <c r="D4284" s="2" t="str">
        <f aca="false">'Raw Data'!K4284</f>
        <v>Sales Executive</v>
      </c>
      <c r="E4284" s="2" t="n">
        <f aca="false">'Raw Data'!Q4284</f>
        <v>18</v>
      </c>
      <c r="F4284" s="2" t="n">
        <f aca="false">'Raw Data'!U4284</f>
        <v>2</v>
      </c>
      <c r="G4284" s="2" t="n">
        <f aca="false">'Raw Data'!W4284</f>
        <v>3</v>
      </c>
      <c r="H4284" s="2" t="n">
        <f aca="false">'Raw Data'!V4284</f>
        <v>2</v>
      </c>
      <c r="I4284" s="2" t="n">
        <f aca="false">IF(AND(ISNUMBER(B4284),B4284&lt;=25),2,0)+IF(AND(ISNUMBER(E4284),E4284&lt;=5),2,0)+IF(AND(ISNUMBER(F4284),F4284&lt;=1),2,0)+IF(AND(ISNUMBER(G4284),G4284&lt;=2),1,0)+IF(AND(ISNUMBER(H4284),H4284&lt;=2),1,0)</f>
        <v>1</v>
      </c>
      <c r="J4284" s="2" t="str">
        <f aca="false">IF(I4284&gt;=6,"High",IF(I4284&gt;=3,"Medium","Low"))</f>
        <v>Low</v>
      </c>
    </row>
    <row r="4285" customFormat="false" ht="15" hidden="false" customHeight="true" outlineLevel="0" collapsed="false">
      <c r="A4285" s="2" t="n">
        <f aca="false">'Raw Data'!H4285</f>
        <v>4284</v>
      </c>
      <c r="B4285" s="2" t="n">
        <f aca="false">'Raw Data'!A4285</f>
        <v>50</v>
      </c>
      <c r="C4285" s="2" t="str">
        <f aca="false">'Raw Data'!D4285</f>
        <v>Research &amp; Development</v>
      </c>
      <c r="D4285" s="2" t="str">
        <f aca="false">'Raw Data'!K4285</f>
        <v>Sales Executive</v>
      </c>
      <c r="E4285" s="2" t="n">
        <f aca="false">'Raw Data'!Q4285</f>
        <v>16</v>
      </c>
      <c r="F4285" s="2" t="n">
        <f aca="false">'Raw Data'!U4285</f>
        <v>1</v>
      </c>
      <c r="G4285" s="2" t="n">
        <f aca="false">'Raw Data'!W4285</f>
        <v>4</v>
      </c>
      <c r="H4285" s="2" t="n">
        <f aca="false">'Raw Data'!V4285</f>
        <v>3</v>
      </c>
      <c r="I4285" s="2" t="n">
        <f aca="false">IF(AND(ISNUMBER(B4285),B4285&lt;=25),2,0)+IF(AND(ISNUMBER(E4285),E4285&lt;=5),2,0)+IF(AND(ISNUMBER(F4285),F4285&lt;=1),2,0)+IF(AND(ISNUMBER(G4285),G4285&lt;=2),1,0)+IF(AND(ISNUMBER(H4285),H4285&lt;=2),1,0)</f>
        <v>2</v>
      </c>
      <c r="J4285" s="2" t="str">
        <f aca="false">IF(I4285&gt;=6,"High",IF(I4285&gt;=3,"Medium","Low"))</f>
        <v>Low</v>
      </c>
    </row>
    <row r="4286" customFormat="false" ht="15" hidden="false" customHeight="true" outlineLevel="0" collapsed="false">
      <c r="A4286" s="2" t="n">
        <f aca="false">'Raw Data'!H4286</f>
        <v>4285</v>
      </c>
      <c r="B4286" s="2" t="n">
        <f aca="false">'Raw Data'!A4286</f>
        <v>31</v>
      </c>
      <c r="C4286" s="2" t="str">
        <f aca="false">'Raw Data'!D4286</f>
        <v>Research &amp; Development</v>
      </c>
      <c r="D4286" s="2" t="str">
        <f aca="false">'Raw Data'!K4286</f>
        <v>Sales Executive</v>
      </c>
      <c r="E4286" s="2" t="n">
        <f aca="false">'Raw Data'!Q4286</f>
        <v>4</v>
      </c>
      <c r="F4286" s="2" t="n">
        <f aca="false">'Raw Data'!U4286</f>
        <v>2</v>
      </c>
      <c r="G4286" s="2" t="n">
        <f aca="false">'Raw Data'!W4286</f>
        <v>3</v>
      </c>
      <c r="H4286" s="2" t="n">
        <f aca="false">'Raw Data'!V4286</f>
        <v>2</v>
      </c>
      <c r="I4286" s="2" t="n">
        <f aca="false">IF(AND(ISNUMBER(B4286),B4286&lt;=25),2,0)+IF(AND(ISNUMBER(E4286),E4286&lt;=5),2,0)+IF(AND(ISNUMBER(F4286),F4286&lt;=1),2,0)+IF(AND(ISNUMBER(G4286),G4286&lt;=2),1,0)+IF(AND(ISNUMBER(H4286),H4286&lt;=2),1,0)</f>
        <v>3</v>
      </c>
      <c r="J4286" s="2" t="str">
        <f aca="false">IF(I4286&gt;=6,"High",IF(I4286&gt;=3,"Medium","Low"))</f>
        <v>Medium</v>
      </c>
    </row>
    <row r="4287" customFormat="false" ht="15" hidden="false" customHeight="true" outlineLevel="0" collapsed="false">
      <c r="A4287" s="2" t="n">
        <f aca="false">'Raw Data'!H4287</f>
        <v>4286</v>
      </c>
      <c r="B4287" s="2" t="n">
        <f aca="false">'Raw Data'!A4287</f>
        <v>41</v>
      </c>
      <c r="C4287" s="2" t="str">
        <f aca="false">'Raw Data'!D4287</f>
        <v>Research &amp; Development</v>
      </c>
      <c r="D4287" s="2" t="str">
        <f aca="false">'Raw Data'!K4287</f>
        <v>Manufacturing Director</v>
      </c>
      <c r="E4287" s="2" t="n">
        <f aca="false">'Raw Data'!Q4287</f>
        <v>12</v>
      </c>
      <c r="F4287" s="2" t="n">
        <f aca="false">'Raw Data'!U4287</f>
        <v>7</v>
      </c>
      <c r="G4287" s="2" t="n">
        <f aca="false">'Raw Data'!W4287</f>
        <v>3</v>
      </c>
      <c r="H4287" s="2" t="n">
        <f aca="false">'Raw Data'!V4287</f>
        <v>3</v>
      </c>
      <c r="I4287" s="2" t="n">
        <f aca="false">IF(AND(ISNUMBER(B4287),B4287&lt;=25),2,0)+IF(AND(ISNUMBER(E4287),E4287&lt;=5),2,0)+IF(AND(ISNUMBER(F4287),F4287&lt;=1),2,0)+IF(AND(ISNUMBER(G4287),G4287&lt;=2),1,0)+IF(AND(ISNUMBER(H4287),H4287&lt;=2),1,0)</f>
        <v>0</v>
      </c>
      <c r="J4287" s="2" t="str">
        <f aca="false">IF(I4287&gt;=6,"High",IF(I4287&gt;=3,"Medium","Low"))</f>
        <v>Low</v>
      </c>
    </row>
    <row r="4288" customFormat="false" ht="15" hidden="false" customHeight="true" outlineLevel="0" collapsed="false">
      <c r="A4288" s="2" t="n">
        <f aca="false">'Raw Data'!H4288</f>
        <v>4287</v>
      </c>
      <c r="B4288" s="2" t="n">
        <f aca="false">'Raw Data'!A4288</f>
        <v>26</v>
      </c>
      <c r="C4288" s="2" t="str">
        <f aca="false">'Raw Data'!D4288</f>
        <v>Research &amp; Development</v>
      </c>
      <c r="D4288" s="2" t="str">
        <f aca="false">'Raw Data'!K4288</f>
        <v>Sales Executive</v>
      </c>
      <c r="E4288" s="2" t="n">
        <f aca="false">'Raw Data'!Q4288</f>
        <v>8</v>
      </c>
      <c r="F4288" s="2" t="n">
        <f aca="false">'Raw Data'!U4288</f>
        <v>7</v>
      </c>
      <c r="G4288" s="2" t="n">
        <f aca="false">'Raw Data'!W4288</f>
        <v>3</v>
      </c>
      <c r="H4288" s="2" t="n">
        <f aca="false">'Raw Data'!V4288</f>
        <v>3</v>
      </c>
      <c r="I4288" s="2" t="n">
        <f aca="false">IF(AND(ISNUMBER(B4288),B4288&lt;=25),2,0)+IF(AND(ISNUMBER(E4288),E4288&lt;=5),2,0)+IF(AND(ISNUMBER(F4288),F4288&lt;=1),2,0)+IF(AND(ISNUMBER(G4288),G4288&lt;=2),1,0)+IF(AND(ISNUMBER(H4288),H4288&lt;=2),1,0)</f>
        <v>0</v>
      </c>
      <c r="J4288" s="2" t="str">
        <f aca="false">IF(I4288&gt;=6,"High",IF(I4288&gt;=3,"Medium","Low"))</f>
        <v>Low</v>
      </c>
    </row>
    <row r="4289" customFormat="false" ht="15" hidden="false" customHeight="true" outlineLevel="0" collapsed="false">
      <c r="A4289" s="2" t="n">
        <f aca="false">'Raw Data'!H4289</f>
        <v>4288</v>
      </c>
      <c r="B4289" s="2" t="n">
        <f aca="false">'Raw Data'!A4289</f>
        <v>36</v>
      </c>
      <c r="C4289" s="2" t="str">
        <f aca="false">'Raw Data'!D4289</f>
        <v>Human Resources</v>
      </c>
      <c r="D4289" s="2" t="str">
        <f aca="false">'Raw Data'!K4289</f>
        <v>Research Scientist</v>
      </c>
      <c r="E4289" s="2" t="n">
        <f aca="false">'Raw Data'!Q4289</f>
        <v>7</v>
      </c>
      <c r="F4289" s="2" t="n">
        <f aca="false">'Raw Data'!U4289</f>
        <v>1</v>
      </c>
      <c r="G4289" s="2" t="n">
        <f aca="false">'Raw Data'!W4289</f>
        <v>2</v>
      </c>
      <c r="H4289" s="2" t="n">
        <f aca="false">'Raw Data'!V4289</f>
        <v>2</v>
      </c>
      <c r="I4289" s="2" t="n">
        <f aca="false">IF(AND(ISNUMBER(B4289),B4289&lt;=25),2,0)+IF(AND(ISNUMBER(E4289),E4289&lt;=5),2,0)+IF(AND(ISNUMBER(F4289),F4289&lt;=1),2,0)+IF(AND(ISNUMBER(G4289),G4289&lt;=2),1,0)+IF(AND(ISNUMBER(H4289),H4289&lt;=2),1,0)</f>
        <v>4</v>
      </c>
      <c r="J4289" s="2" t="str">
        <f aca="false">IF(I4289&gt;=6,"High",IF(I4289&gt;=3,"Medium","Low"))</f>
        <v>Medium</v>
      </c>
    </row>
    <row r="4290" customFormat="false" ht="15" hidden="false" customHeight="true" outlineLevel="0" collapsed="false">
      <c r="A4290" s="2" t="n">
        <f aca="false">'Raw Data'!H4290</f>
        <v>4289</v>
      </c>
      <c r="B4290" s="2" t="n">
        <f aca="false">'Raw Data'!A4290</f>
        <v>51</v>
      </c>
      <c r="C4290" s="2" t="str">
        <f aca="false">'Raw Data'!D4290</f>
        <v>Research &amp; Development</v>
      </c>
      <c r="D4290" s="2" t="str">
        <f aca="false">'Raw Data'!K4290</f>
        <v>Manager</v>
      </c>
      <c r="E4290" s="2" t="n">
        <f aca="false">'Raw Data'!Q4290</f>
        <v>18</v>
      </c>
      <c r="F4290" s="2" t="n">
        <f aca="false">'Raw Data'!U4290</f>
        <v>3</v>
      </c>
      <c r="G4290" s="2" t="n">
        <f aca="false">'Raw Data'!W4290</f>
        <v>4</v>
      </c>
      <c r="H4290" s="2" t="n">
        <f aca="false">'Raw Data'!V4290</f>
        <v>1</v>
      </c>
      <c r="I4290" s="2" t="n">
        <f aca="false">IF(AND(ISNUMBER(B4290),B4290&lt;=25),2,0)+IF(AND(ISNUMBER(E4290),E4290&lt;=5),2,0)+IF(AND(ISNUMBER(F4290),F4290&lt;=1),2,0)+IF(AND(ISNUMBER(G4290),G4290&lt;=2),1,0)+IF(AND(ISNUMBER(H4290),H4290&lt;=2),1,0)</f>
        <v>1</v>
      </c>
      <c r="J4290" s="2" t="str">
        <f aca="false">IF(I4290&gt;=6,"High",IF(I4290&gt;=3,"Medium","Low"))</f>
        <v>Low</v>
      </c>
    </row>
    <row r="4291" customFormat="false" ht="15" hidden="false" customHeight="true" outlineLevel="0" collapsed="false">
      <c r="A4291" s="2" t="n">
        <f aca="false">'Raw Data'!H4291</f>
        <v>4290</v>
      </c>
      <c r="B4291" s="2" t="n">
        <f aca="false">'Raw Data'!A4291</f>
        <v>39</v>
      </c>
      <c r="C4291" s="2" t="str">
        <f aca="false">'Raw Data'!D4291</f>
        <v>Research &amp; Development</v>
      </c>
      <c r="D4291" s="2" t="str">
        <f aca="false">'Raw Data'!K4291</f>
        <v>Research Scientist</v>
      </c>
      <c r="E4291" s="2" t="n">
        <f aca="false">'Raw Data'!Q4291</f>
        <v>17</v>
      </c>
      <c r="F4291" s="2" t="n">
        <f aca="false">'Raw Data'!U4291</f>
        <v>9</v>
      </c>
      <c r="G4291" s="2" t="n">
        <f aca="false">'Raw Data'!W4291</f>
        <v>3</v>
      </c>
      <c r="H4291" s="2" t="n">
        <f aca="false">'Raw Data'!V4291</f>
        <v>4</v>
      </c>
      <c r="I4291" s="2" t="n">
        <f aca="false">IF(AND(ISNUMBER(B4291),B4291&lt;=25),2,0)+IF(AND(ISNUMBER(E4291),E4291&lt;=5),2,0)+IF(AND(ISNUMBER(F4291),F4291&lt;=1),2,0)+IF(AND(ISNUMBER(G4291),G4291&lt;=2),1,0)+IF(AND(ISNUMBER(H4291),H4291&lt;=2),1,0)</f>
        <v>0</v>
      </c>
      <c r="J4291" s="2" t="str">
        <f aca="false">IF(I4291&gt;=6,"High",IF(I4291&gt;=3,"Medium","Low"))</f>
        <v>Low</v>
      </c>
    </row>
    <row r="4292" customFormat="false" ht="15" hidden="false" customHeight="true" outlineLevel="0" collapsed="false">
      <c r="A4292" s="2" t="n">
        <f aca="false">'Raw Data'!H4292</f>
        <v>4291</v>
      </c>
      <c r="B4292" s="2" t="n">
        <f aca="false">'Raw Data'!A4292</f>
        <v>25</v>
      </c>
      <c r="C4292" s="2" t="str">
        <f aca="false">'Raw Data'!D4292</f>
        <v>Sales</v>
      </c>
      <c r="D4292" s="2" t="str">
        <f aca="false">'Raw Data'!K4292</f>
        <v>Research Scientist</v>
      </c>
      <c r="E4292" s="2" t="n">
        <f aca="false">'Raw Data'!Q4292</f>
        <v>6</v>
      </c>
      <c r="F4292" s="2" t="n">
        <f aca="false">'Raw Data'!U4292</f>
        <v>2</v>
      </c>
      <c r="G4292" s="2" t="n">
        <f aca="false">'Raw Data'!W4292</f>
        <v>3</v>
      </c>
      <c r="H4292" s="2" t="n">
        <f aca="false">'Raw Data'!V4292</f>
        <v>1</v>
      </c>
      <c r="I4292" s="2" t="n">
        <f aca="false">IF(AND(ISNUMBER(B4292),B4292&lt;=25),2,0)+IF(AND(ISNUMBER(E4292),E4292&lt;=5),2,0)+IF(AND(ISNUMBER(F4292),F4292&lt;=1),2,0)+IF(AND(ISNUMBER(G4292),G4292&lt;=2),1,0)+IF(AND(ISNUMBER(H4292),H4292&lt;=2),1,0)</f>
        <v>3</v>
      </c>
      <c r="J4292" s="2" t="str">
        <f aca="false">IF(I4292&gt;=6,"High",IF(I4292&gt;=3,"Medium","Low"))</f>
        <v>Medium</v>
      </c>
    </row>
    <row r="4293" customFormat="false" ht="15" hidden="false" customHeight="true" outlineLevel="0" collapsed="false">
      <c r="A4293" s="2" t="n">
        <f aca="false">'Raw Data'!H4293</f>
        <v>4292</v>
      </c>
      <c r="B4293" s="2" t="n">
        <f aca="false">'Raw Data'!A4293</f>
        <v>30</v>
      </c>
      <c r="C4293" s="2" t="str">
        <f aca="false">'Raw Data'!D4293</f>
        <v>Research &amp; Development</v>
      </c>
      <c r="D4293" s="2" t="str">
        <f aca="false">'Raw Data'!K4293</f>
        <v>Laboratory Technician</v>
      </c>
      <c r="E4293" s="2" t="n">
        <f aca="false">'Raw Data'!Q4293</f>
        <v>12</v>
      </c>
      <c r="F4293" s="2" t="n">
        <f aca="false">'Raw Data'!U4293</f>
        <v>7</v>
      </c>
      <c r="G4293" s="2" t="n">
        <f aca="false">'Raw Data'!W4293</f>
        <v>4</v>
      </c>
      <c r="H4293" s="2" t="n">
        <f aca="false">'Raw Data'!V4293</f>
        <v>3</v>
      </c>
      <c r="I4293" s="2" t="n">
        <f aca="false">IF(AND(ISNUMBER(B4293),B4293&lt;=25),2,0)+IF(AND(ISNUMBER(E4293),E4293&lt;=5),2,0)+IF(AND(ISNUMBER(F4293),F4293&lt;=1),2,0)+IF(AND(ISNUMBER(G4293),G4293&lt;=2),1,0)+IF(AND(ISNUMBER(H4293),H4293&lt;=2),1,0)</f>
        <v>0</v>
      </c>
      <c r="J4293" s="2" t="str">
        <f aca="false">IF(I4293&gt;=6,"High",IF(I4293&gt;=3,"Medium","Low"))</f>
        <v>Low</v>
      </c>
    </row>
    <row r="4294" customFormat="false" ht="15" hidden="false" customHeight="true" outlineLevel="0" collapsed="false">
      <c r="A4294" s="2" t="n">
        <f aca="false">'Raw Data'!H4294</f>
        <v>4293</v>
      </c>
      <c r="B4294" s="2" t="n">
        <f aca="false">'Raw Data'!A4294</f>
        <v>32</v>
      </c>
      <c r="C4294" s="2" t="str">
        <f aca="false">'Raw Data'!D4294</f>
        <v>Research &amp; Development</v>
      </c>
      <c r="D4294" s="2" t="str">
        <f aca="false">'Raw Data'!K4294</f>
        <v>Research Director</v>
      </c>
      <c r="E4294" s="2" t="n">
        <f aca="false">'Raw Data'!Q4294</f>
        <v>10</v>
      </c>
      <c r="F4294" s="2" t="n">
        <f aca="false">'Raw Data'!U4294</f>
        <v>4</v>
      </c>
      <c r="G4294" s="2" t="n">
        <f aca="false">'Raw Data'!W4294</f>
        <v>1</v>
      </c>
      <c r="H4294" s="2" t="n">
        <f aca="false">'Raw Data'!V4294</f>
        <v>1</v>
      </c>
      <c r="I4294" s="2" t="n">
        <f aca="false">IF(AND(ISNUMBER(B4294),B4294&lt;=25),2,0)+IF(AND(ISNUMBER(E4294),E4294&lt;=5),2,0)+IF(AND(ISNUMBER(F4294),F4294&lt;=1),2,0)+IF(AND(ISNUMBER(G4294),G4294&lt;=2),1,0)+IF(AND(ISNUMBER(H4294),H4294&lt;=2),1,0)</f>
        <v>2</v>
      </c>
      <c r="J4294" s="2" t="str">
        <f aca="false">IF(I4294&gt;=6,"High",IF(I4294&gt;=3,"Medium","Low"))</f>
        <v>Low</v>
      </c>
    </row>
    <row r="4295" customFormat="false" ht="15" hidden="false" customHeight="true" outlineLevel="0" collapsed="false">
      <c r="A4295" s="2" t="n">
        <f aca="false">'Raw Data'!H4295</f>
        <v>4294</v>
      </c>
      <c r="B4295" s="2" t="n">
        <f aca="false">'Raw Data'!A4295</f>
        <v>45</v>
      </c>
      <c r="C4295" s="2" t="str">
        <f aca="false">'Raw Data'!D4295</f>
        <v>Research &amp; Development</v>
      </c>
      <c r="D4295" s="2" t="str">
        <f aca="false">'Raw Data'!K4295</f>
        <v>Healthcare Representative</v>
      </c>
      <c r="E4295" s="2" t="n">
        <f aca="false">'Raw Data'!Q4295</f>
        <v>9</v>
      </c>
      <c r="F4295" s="2" t="n">
        <f aca="false">'Raw Data'!U4295</f>
        <v>3</v>
      </c>
      <c r="G4295" s="2" t="n">
        <f aca="false">'Raw Data'!W4295</f>
        <v>4</v>
      </c>
      <c r="H4295" s="2" t="n">
        <f aca="false">'Raw Data'!V4295</f>
        <v>3</v>
      </c>
      <c r="I4295" s="2" t="n">
        <f aca="false">IF(AND(ISNUMBER(B4295),B4295&lt;=25),2,0)+IF(AND(ISNUMBER(E4295),E4295&lt;=5),2,0)+IF(AND(ISNUMBER(F4295),F4295&lt;=1),2,0)+IF(AND(ISNUMBER(G4295),G4295&lt;=2),1,0)+IF(AND(ISNUMBER(H4295),H4295&lt;=2),1,0)</f>
        <v>0</v>
      </c>
      <c r="J4295" s="2" t="str">
        <f aca="false">IF(I4295&gt;=6,"High",IF(I4295&gt;=3,"Medium","Low"))</f>
        <v>Low</v>
      </c>
    </row>
    <row r="4296" customFormat="false" ht="15" hidden="false" customHeight="true" outlineLevel="0" collapsed="false">
      <c r="A4296" s="2" t="n">
        <f aca="false">'Raw Data'!H4296</f>
        <v>4295</v>
      </c>
      <c r="B4296" s="2" t="n">
        <f aca="false">'Raw Data'!A4296</f>
        <v>38</v>
      </c>
      <c r="C4296" s="2" t="str">
        <f aca="false">'Raw Data'!D4296</f>
        <v>Research &amp; Development</v>
      </c>
      <c r="D4296" s="2" t="str">
        <f aca="false">'Raw Data'!K4296</f>
        <v>Research Director</v>
      </c>
      <c r="E4296" s="2" t="n">
        <f aca="false">'Raw Data'!Q4296</f>
        <v>19</v>
      </c>
      <c r="F4296" s="2" t="n">
        <f aca="false">'Raw Data'!U4296</f>
        <v>2</v>
      </c>
      <c r="G4296" s="2" t="n">
        <f aca="false">'Raw Data'!W4296</f>
        <v>3</v>
      </c>
      <c r="H4296" s="2" t="n">
        <f aca="false">'Raw Data'!V4296</f>
        <v>4</v>
      </c>
      <c r="I4296" s="2" t="n">
        <f aca="false">IF(AND(ISNUMBER(B4296),B4296&lt;=25),2,0)+IF(AND(ISNUMBER(E4296),E4296&lt;=5),2,0)+IF(AND(ISNUMBER(F4296),F4296&lt;=1),2,0)+IF(AND(ISNUMBER(G4296),G4296&lt;=2),1,0)+IF(AND(ISNUMBER(H4296),H4296&lt;=2),1,0)</f>
        <v>0</v>
      </c>
      <c r="J4296" s="2" t="str">
        <f aca="false">IF(I4296&gt;=6,"High",IF(I4296&gt;=3,"Medium","Low"))</f>
        <v>Low</v>
      </c>
    </row>
    <row r="4297" customFormat="false" ht="15" hidden="false" customHeight="true" outlineLevel="0" collapsed="false">
      <c r="A4297" s="2" t="n">
        <f aca="false">'Raw Data'!H4297</f>
        <v>4296</v>
      </c>
      <c r="B4297" s="2" t="n">
        <f aca="false">'Raw Data'!A4297</f>
        <v>30</v>
      </c>
      <c r="C4297" s="2" t="str">
        <f aca="false">'Raw Data'!D4297</f>
        <v>Sales</v>
      </c>
      <c r="D4297" s="2" t="str">
        <f aca="false">'Raw Data'!K4297</f>
        <v>Laboratory Technician</v>
      </c>
      <c r="E4297" s="2" t="n">
        <f aca="false">'Raw Data'!Q4297</f>
        <v>5</v>
      </c>
      <c r="F4297" s="2" t="n">
        <f aca="false">'Raw Data'!U4297</f>
        <v>4</v>
      </c>
      <c r="G4297" s="2" t="n">
        <f aca="false">'Raw Data'!W4297</f>
        <v>3</v>
      </c>
      <c r="H4297" s="2" t="n">
        <f aca="false">'Raw Data'!V4297</f>
        <v>1</v>
      </c>
      <c r="I4297" s="2" t="n">
        <f aca="false">IF(AND(ISNUMBER(B4297),B4297&lt;=25),2,0)+IF(AND(ISNUMBER(E4297),E4297&lt;=5),2,0)+IF(AND(ISNUMBER(F4297),F4297&lt;=1),2,0)+IF(AND(ISNUMBER(G4297),G4297&lt;=2),1,0)+IF(AND(ISNUMBER(H4297),H4297&lt;=2),1,0)</f>
        <v>3</v>
      </c>
      <c r="J4297" s="2" t="str">
        <f aca="false">IF(I4297&gt;=6,"High",IF(I4297&gt;=3,"Medium","Low"))</f>
        <v>Medium</v>
      </c>
    </row>
    <row r="4298" customFormat="false" ht="15" hidden="false" customHeight="true" outlineLevel="0" collapsed="false">
      <c r="A4298" s="2" t="n">
        <f aca="false">'Raw Data'!H4298</f>
        <v>4297</v>
      </c>
      <c r="B4298" s="2" t="n">
        <f aca="false">'Raw Data'!A4298</f>
        <v>32</v>
      </c>
      <c r="C4298" s="2" t="str">
        <f aca="false">'Raw Data'!D4298</f>
        <v>Sales</v>
      </c>
      <c r="D4298" s="2" t="str">
        <f aca="false">'Raw Data'!K4298</f>
        <v>Laboratory Technician</v>
      </c>
      <c r="E4298" s="2" t="n">
        <f aca="false">'Raw Data'!Q4298</f>
        <v>9</v>
      </c>
      <c r="F4298" s="2" t="n">
        <f aca="false">'Raw Data'!U4298</f>
        <v>7</v>
      </c>
      <c r="G4298" s="2" t="n">
        <f aca="false">'Raw Data'!W4298</f>
        <v>4</v>
      </c>
      <c r="H4298" s="2" t="n">
        <f aca="false">'Raw Data'!V4298</f>
        <v>4</v>
      </c>
      <c r="I4298" s="2" t="n">
        <f aca="false">IF(AND(ISNUMBER(B4298),B4298&lt;=25),2,0)+IF(AND(ISNUMBER(E4298),E4298&lt;=5),2,0)+IF(AND(ISNUMBER(F4298),F4298&lt;=1),2,0)+IF(AND(ISNUMBER(G4298),G4298&lt;=2),1,0)+IF(AND(ISNUMBER(H4298),H4298&lt;=2),1,0)</f>
        <v>0</v>
      </c>
      <c r="J4298" s="2" t="str">
        <f aca="false">IF(I4298&gt;=6,"High",IF(I4298&gt;=3,"Medium","Low"))</f>
        <v>Low</v>
      </c>
    </row>
    <row r="4299" customFormat="false" ht="15" hidden="false" customHeight="true" outlineLevel="0" collapsed="false">
      <c r="A4299" s="2" t="n">
        <f aca="false">'Raw Data'!H4299</f>
        <v>4298</v>
      </c>
      <c r="B4299" s="2" t="n">
        <f aca="false">'Raw Data'!A4299</f>
        <v>30</v>
      </c>
      <c r="C4299" s="2" t="str">
        <f aca="false">'Raw Data'!D4299</f>
        <v>Research &amp; Development</v>
      </c>
      <c r="D4299" s="2" t="str">
        <f aca="false">'Raw Data'!K4299</f>
        <v>Sales Executive</v>
      </c>
      <c r="E4299" s="2" t="n">
        <f aca="false">'Raw Data'!Q4299</f>
        <v>8</v>
      </c>
      <c r="F4299" s="2" t="n">
        <f aca="false">'Raw Data'!U4299</f>
        <v>2</v>
      </c>
      <c r="G4299" s="2" t="n">
        <f aca="false">'Raw Data'!W4299</f>
        <v>1</v>
      </c>
      <c r="H4299" s="2" t="n">
        <f aca="false">'Raw Data'!V4299</f>
        <v>4</v>
      </c>
      <c r="I4299" s="2" t="n">
        <f aca="false">IF(AND(ISNUMBER(B4299),B4299&lt;=25),2,0)+IF(AND(ISNUMBER(E4299),E4299&lt;=5),2,0)+IF(AND(ISNUMBER(F4299),F4299&lt;=1),2,0)+IF(AND(ISNUMBER(G4299),G4299&lt;=2),1,0)+IF(AND(ISNUMBER(H4299),H4299&lt;=2),1,0)</f>
        <v>1</v>
      </c>
      <c r="J4299" s="2" t="str">
        <f aca="false">IF(I4299&gt;=6,"High",IF(I4299&gt;=3,"Medium","Low"))</f>
        <v>Low</v>
      </c>
    </row>
    <row r="4300" customFormat="false" ht="15" hidden="false" customHeight="true" outlineLevel="0" collapsed="false">
      <c r="A4300" s="2" t="n">
        <f aca="false">'Raw Data'!H4300</f>
        <v>4299</v>
      </c>
      <c r="B4300" s="2" t="n">
        <f aca="false">'Raw Data'!A4300</f>
        <v>30</v>
      </c>
      <c r="C4300" s="2" t="str">
        <f aca="false">'Raw Data'!D4300</f>
        <v>Sales</v>
      </c>
      <c r="D4300" s="2" t="str">
        <f aca="false">'Raw Data'!K4300</f>
        <v>Research Scientist</v>
      </c>
      <c r="E4300" s="2" t="n">
        <f aca="false">'Raw Data'!Q4300</f>
        <v>6</v>
      </c>
      <c r="F4300" s="2" t="n">
        <f aca="false">'Raw Data'!U4300</f>
        <v>2</v>
      </c>
      <c r="G4300" s="2" t="n">
        <f aca="false">'Raw Data'!W4300</f>
        <v>4</v>
      </c>
      <c r="H4300" s="2" t="n">
        <f aca="false">'Raw Data'!V4300</f>
        <v>2</v>
      </c>
      <c r="I4300" s="2" t="n">
        <f aca="false">IF(AND(ISNUMBER(B4300),B4300&lt;=25),2,0)+IF(AND(ISNUMBER(E4300),E4300&lt;=5),2,0)+IF(AND(ISNUMBER(F4300),F4300&lt;=1),2,0)+IF(AND(ISNUMBER(G4300),G4300&lt;=2),1,0)+IF(AND(ISNUMBER(H4300),H4300&lt;=2),1,0)</f>
        <v>1</v>
      </c>
      <c r="J4300" s="2" t="str">
        <f aca="false">IF(I4300&gt;=6,"High",IF(I4300&gt;=3,"Medium","Low"))</f>
        <v>Low</v>
      </c>
    </row>
    <row r="4301" customFormat="false" ht="15" hidden="false" customHeight="true" outlineLevel="0" collapsed="false">
      <c r="A4301" s="2" t="n">
        <f aca="false">'Raw Data'!H4301</f>
        <v>4300</v>
      </c>
      <c r="B4301" s="2" t="n">
        <f aca="false">'Raw Data'!A4301</f>
        <v>41</v>
      </c>
      <c r="C4301" s="2" t="str">
        <f aca="false">'Raw Data'!D4301</f>
        <v>Sales</v>
      </c>
      <c r="D4301" s="2" t="str">
        <f aca="false">'Raw Data'!K4301</f>
        <v>Manufacturing Director</v>
      </c>
      <c r="E4301" s="2" t="n">
        <f aca="false">'Raw Data'!Q4301</f>
        <v>21</v>
      </c>
      <c r="F4301" s="2" t="n">
        <f aca="false">'Raw Data'!U4301</f>
        <v>7</v>
      </c>
      <c r="G4301" s="2" t="n">
        <f aca="false">'Raw Data'!W4301</f>
        <v>1</v>
      </c>
      <c r="H4301" s="2" t="n">
        <f aca="false">'Raw Data'!V4301</f>
        <v>4</v>
      </c>
      <c r="I4301" s="2" t="n">
        <f aca="false">IF(AND(ISNUMBER(B4301),B4301&lt;=25),2,0)+IF(AND(ISNUMBER(E4301),E4301&lt;=5),2,0)+IF(AND(ISNUMBER(F4301),F4301&lt;=1),2,0)+IF(AND(ISNUMBER(G4301),G4301&lt;=2),1,0)+IF(AND(ISNUMBER(H4301),H4301&lt;=2),1,0)</f>
        <v>1</v>
      </c>
      <c r="J4301" s="2" t="str">
        <f aca="false">IF(I4301&gt;=6,"High",IF(I4301&gt;=3,"Medium","Low"))</f>
        <v>Low</v>
      </c>
    </row>
    <row r="4302" customFormat="false" ht="15" hidden="false" customHeight="true" outlineLevel="0" collapsed="false">
      <c r="A4302" s="2" t="n">
        <f aca="false">'Raw Data'!H4302</f>
        <v>4301</v>
      </c>
      <c r="B4302" s="2" t="n">
        <f aca="false">'Raw Data'!A4302</f>
        <v>41</v>
      </c>
      <c r="C4302" s="2" t="str">
        <f aca="false">'Raw Data'!D4302</f>
        <v>Research &amp; Development</v>
      </c>
      <c r="D4302" s="2" t="str">
        <f aca="false">'Raw Data'!K4302</f>
        <v>Research Scientist</v>
      </c>
      <c r="E4302" s="2" t="n">
        <f aca="false">'Raw Data'!Q4302</f>
        <v>7</v>
      </c>
      <c r="F4302" s="2" t="n">
        <f aca="false">'Raw Data'!U4302</f>
        <v>4</v>
      </c>
      <c r="G4302" s="2" t="n">
        <f aca="false">'Raw Data'!W4302</f>
        <v>1</v>
      </c>
      <c r="H4302" s="2" t="n">
        <f aca="false">'Raw Data'!V4302</f>
        <v>3</v>
      </c>
      <c r="I4302" s="2" t="n">
        <f aca="false">IF(AND(ISNUMBER(B4302),B4302&lt;=25),2,0)+IF(AND(ISNUMBER(E4302),E4302&lt;=5),2,0)+IF(AND(ISNUMBER(F4302),F4302&lt;=1),2,0)+IF(AND(ISNUMBER(G4302),G4302&lt;=2),1,0)+IF(AND(ISNUMBER(H4302),H4302&lt;=2),1,0)</f>
        <v>1</v>
      </c>
      <c r="J4302" s="2" t="str">
        <f aca="false">IF(I4302&gt;=6,"High",IF(I4302&gt;=3,"Medium","Low"))</f>
        <v>Low</v>
      </c>
    </row>
    <row r="4303" customFormat="false" ht="15" hidden="false" customHeight="true" outlineLevel="0" collapsed="false">
      <c r="A4303" s="2" t="n">
        <f aca="false">'Raw Data'!H4303</f>
        <v>4302</v>
      </c>
      <c r="B4303" s="2" t="n">
        <f aca="false">'Raw Data'!A4303</f>
        <v>19</v>
      </c>
      <c r="C4303" s="2" t="str">
        <f aca="false">'Raw Data'!D4303</f>
        <v>Research &amp; Development</v>
      </c>
      <c r="D4303" s="2" t="str">
        <f aca="false">'Raw Data'!K4303</f>
        <v>Manufacturing Director</v>
      </c>
      <c r="E4303" s="2" t="n">
        <f aca="false">'Raw Data'!Q4303</f>
        <v>1</v>
      </c>
      <c r="F4303" s="2" t="n">
        <f aca="false">'Raw Data'!U4303</f>
        <v>0</v>
      </c>
      <c r="G4303" s="2" t="n">
        <f aca="false">'Raw Data'!W4303</f>
        <v>2</v>
      </c>
      <c r="H4303" s="2" t="n">
        <f aca="false">'Raw Data'!V4303</f>
        <v>2</v>
      </c>
      <c r="I4303" s="2" t="n">
        <f aca="false">IF(AND(ISNUMBER(B4303),B4303&lt;=25),2,0)+IF(AND(ISNUMBER(E4303),E4303&lt;=5),2,0)+IF(AND(ISNUMBER(F4303),F4303&lt;=1),2,0)+IF(AND(ISNUMBER(G4303),G4303&lt;=2),1,0)+IF(AND(ISNUMBER(H4303),H4303&lt;=2),1,0)</f>
        <v>8</v>
      </c>
      <c r="J4303" s="2" t="str">
        <f aca="false">IF(I4303&gt;=6,"High",IF(I4303&gt;=3,"Medium","Low"))</f>
        <v>High</v>
      </c>
    </row>
    <row r="4304" customFormat="false" ht="15" hidden="false" customHeight="true" outlineLevel="0" collapsed="false">
      <c r="A4304" s="2" t="n">
        <f aca="false">'Raw Data'!H4304</f>
        <v>4303</v>
      </c>
      <c r="B4304" s="2" t="n">
        <f aca="false">'Raw Data'!A4304</f>
        <v>40</v>
      </c>
      <c r="C4304" s="2" t="str">
        <f aca="false">'Raw Data'!D4304</f>
        <v>Research &amp; Development</v>
      </c>
      <c r="D4304" s="2" t="str">
        <f aca="false">'Raw Data'!K4304</f>
        <v>Manufacturing Director</v>
      </c>
      <c r="E4304" s="2" t="n">
        <f aca="false">'Raw Data'!Q4304</f>
        <v>20</v>
      </c>
      <c r="F4304" s="2" t="n">
        <f aca="false">'Raw Data'!U4304</f>
        <v>13</v>
      </c>
      <c r="G4304" s="2" t="n">
        <f aca="false">'Raw Data'!W4304</f>
        <v>2</v>
      </c>
      <c r="H4304" s="2" t="n">
        <f aca="false">'Raw Data'!V4304</f>
        <v>2</v>
      </c>
      <c r="I4304" s="2" t="n">
        <f aca="false">IF(AND(ISNUMBER(B4304),B4304&lt;=25),2,0)+IF(AND(ISNUMBER(E4304),E4304&lt;=5),2,0)+IF(AND(ISNUMBER(F4304),F4304&lt;=1),2,0)+IF(AND(ISNUMBER(G4304),G4304&lt;=2),1,0)+IF(AND(ISNUMBER(H4304),H4304&lt;=2),1,0)</f>
        <v>2</v>
      </c>
      <c r="J4304" s="2" t="str">
        <f aca="false">IF(I4304&gt;=6,"High",IF(I4304&gt;=3,"Medium","Low"))</f>
        <v>Low</v>
      </c>
    </row>
    <row r="4305" customFormat="false" ht="15" hidden="false" customHeight="true" outlineLevel="0" collapsed="false">
      <c r="A4305" s="2" t="n">
        <f aca="false">'Raw Data'!H4305</f>
        <v>4304</v>
      </c>
      <c r="B4305" s="2" t="n">
        <f aca="false">'Raw Data'!A4305</f>
        <v>35</v>
      </c>
      <c r="C4305" s="2" t="str">
        <f aca="false">'Raw Data'!D4305</f>
        <v>Sales</v>
      </c>
      <c r="D4305" s="2" t="str">
        <f aca="false">'Raw Data'!K4305</f>
        <v>Laboratory Technician</v>
      </c>
      <c r="E4305" s="2" t="n">
        <f aca="false">'Raw Data'!Q4305</f>
        <v>10</v>
      </c>
      <c r="F4305" s="2" t="n">
        <f aca="false">'Raw Data'!U4305</f>
        <v>6</v>
      </c>
      <c r="G4305" s="2" t="n">
        <f aca="false">'Raw Data'!W4305</f>
        <v>2</v>
      </c>
      <c r="H4305" s="2" t="n">
        <f aca="false">'Raw Data'!V4305</f>
        <v>3</v>
      </c>
      <c r="I4305" s="2" t="n">
        <f aca="false">IF(AND(ISNUMBER(B4305),B4305&lt;=25),2,0)+IF(AND(ISNUMBER(E4305),E4305&lt;=5),2,0)+IF(AND(ISNUMBER(F4305),F4305&lt;=1),2,0)+IF(AND(ISNUMBER(G4305),G4305&lt;=2),1,0)+IF(AND(ISNUMBER(H4305),H4305&lt;=2),1,0)</f>
        <v>1</v>
      </c>
      <c r="J4305" s="2" t="str">
        <f aca="false">IF(I4305&gt;=6,"High",IF(I4305&gt;=3,"Medium","Low"))</f>
        <v>Low</v>
      </c>
    </row>
    <row r="4306" customFormat="false" ht="15" hidden="false" customHeight="true" outlineLevel="0" collapsed="false">
      <c r="A4306" s="2" t="n">
        <f aca="false">'Raw Data'!H4306</f>
        <v>4305</v>
      </c>
      <c r="B4306" s="2" t="n">
        <f aca="false">'Raw Data'!A4306</f>
        <v>53</v>
      </c>
      <c r="C4306" s="2" t="str">
        <f aca="false">'Raw Data'!D4306</f>
        <v>Sales</v>
      </c>
      <c r="D4306" s="2" t="str">
        <f aca="false">'Raw Data'!K4306</f>
        <v>Manufacturing Director</v>
      </c>
      <c r="E4306" s="2" t="n">
        <f aca="false">'Raw Data'!Q4306</f>
        <v>13</v>
      </c>
      <c r="F4306" s="2" t="n">
        <f aca="false">'Raw Data'!U4306</f>
        <v>5</v>
      </c>
      <c r="G4306" s="2" t="n">
        <f aca="false">'Raw Data'!W4306</f>
        <v>3</v>
      </c>
      <c r="H4306" s="2" t="n">
        <f aca="false">'Raw Data'!V4306</f>
        <v>2</v>
      </c>
      <c r="I4306" s="2" t="n">
        <f aca="false">IF(AND(ISNUMBER(B4306),B4306&lt;=25),2,0)+IF(AND(ISNUMBER(E4306),E4306&lt;=5),2,0)+IF(AND(ISNUMBER(F4306),F4306&lt;=1),2,0)+IF(AND(ISNUMBER(G4306),G4306&lt;=2),1,0)+IF(AND(ISNUMBER(H4306),H4306&lt;=2),1,0)</f>
        <v>1</v>
      </c>
      <c r="J4306" s="2" t="str">
        <f aca="false">IF(I4306&gt;=6,"High",IF(I4306&gt;=3,"Medium","Low"))</f>
        <v>Low</v>
      </c>
    </row>
    <row r="4307" customFormat="false" ht="15" hidden="false" customHeight="true" outlineLevel="0" collapsed="false">
      <c r="A4307" s="2" t="n">
        <f aca="false">'Raw Data'!H4307</f>
        <v>4306</v>
      </c>
      <c r="B4307" s="2" t="n">
        <f aca="false">'Raw Data'!A4307</f>
        <v>45</v>
      </c>
      <c r="C4307" s="2" t="str">
        <f aca="false">'Raw Data'!D4307</f>
        <v>Sales</v>
      </c>
      <c r="D4307" s="2" t="str">
        <f aca="false">'Raw Data'!K4307</f>
        <v>Research Scientist</v>
      </c>
      <c r="E4307" s="2" t="n">
        <f aca="false">'Raw Data'!Q4307</f>
        <v>20</v>
      </c>
      <c r="F4307" s="2" t="n">
        <f aca="false">'Raw Data'!U4307</f>
        <v>15</v>
      </c>
      <c r="G4307" s="2" t="n">
        <f aca="false">'Raw Data'!W4307</f>
        <v>2</v>
      </c>
      <c r="H4307" s="2" t="n">
        <f aca="false">'Raw Data'!V4307</f>
        <v>2</v>
      </c>
      <c r="I4307" s="2" t="n">
        <f aca="false">IF(AND(ISNUMBER(B4307),B4307&lt;=25),2,0)+IF(AND(ISNUMBER(E4307),E4307&lt;=5),2,0)+IF(AND(ISNUMBER(F4307),F4307&lt;=1),2,0)+IF(AND(ISNUMBER(G4307),G4307&lt;=2),1,0)+IF(AND(ISNUMBER(H4307),H4307&lt;=2),1,0)</f>
        <v>2</v>
      </c>
      <c r="J4307" s="2" t="str">
        <f aca="false">IF(I4307&gt;=6,"High",IF(I4307&gt;=3,"Medium","Low"))</f>
        <v>Low</v>
      </c>
    </row>
    <row r="4308" customFormat="false" ht="15" hidden="false" customHeight="true" outlineLevel="0" collapsed="false">
      <c r="A4308" s="2" t="n">
        <f aca="false">'Raw Data'!H4308</f>
        <v>4307</v>
      </c>
      <c r="B4308" s="2" t="n">
        <f aca="false">'Raw Data'!A4308</f>
        <v>32</v>
      </c>
      <c r="C4308" s="2" t="str">
        <f aca="false">'Raw Data'!D4308</f>
        <v>Sales</v>
      </c>
      <c r="D4308" s="2" t="str">
        <f aca="false">'Raw Data'!K4308</f>
        <v>Manufacturing Director</v>
      </c>
      <c r="E4308" s="2" t="n">
        <f aca="false">'Raw Data'!Q4308</f>
        <v>9</v>
      </c>
      <c r="F4308" s="2" t="n">
        <f aca="false">'Raw Data'!U4308</f>
        <v>7</v>
      </c>
      <c r="G4308" s="2" t="n">
        <f aca="false">'Raw Data'!W4308</f>
        <v>4</v>
      </c>
      <c r="H4308" s="2" t="n">
        <f aca="false">'Raw Data'!V4308</f>
        <v>2</v>
      </c>
      <c r="I4308" s="2" t="n">
        <f aca="false">IF(AND(ISNUMBER(B4308),B4308&lt;=25),2,0)+IF(AND(ISNUMBER(E4308),E4308&lt;=5),2,0)+IF(AND(ISNUMBER(F4308),F4308&lt;=1),2,0)+IF(AND(ISNUMBER(G4308),G4308&lt;=2),1,0)+IF(AND(ISNUMBER(H4308),H4308&lt;=2),1,0)</f>
        <v>1</v>
      </c>
      <c r="J4308" s="2" t="str">
        <f aca="false">IF(I4308&gt;=6,"High",IF(I4308&gt;=3,"Medium","Low"))</f>
        <v>Low</v>
      </c>
    </row>
    <row r="4309" customFormat="false" ht="15" hidden="false" customHeight="true" outlineLevel="0" collapsed="false">
      <c r="A4309" s="2" t="n">
        <f aca="false">'Raw Data'!H4309</f>
        <v>4308</v>
      </c>
      <c r="B4309" s="2" t="n">
        <f aca="false">'Raw Data'!A4309</f>
        <v>29</v>
      </c>
      <c r="C4309" s="2" t="str">
        <f aca="false">'Raw Data'!D4309</f>
        <v>Research &amp; Development</v>
      </c>
      <c r="D4309" s="2" t="str">
        <f aca="false">'Raw Data'!K4309</f>
        <v>Healthcare Representative</v>
      </c>
      <c r="E4309" s="2" t="n">
        <f aca="false">'Raw Data'!Q4309</f>
        <v>10</v>
      </c>
      <c r="F4309" s="2" t="n">
        <f aca="false">'Raw Data'!U4309</f>
        <v>9</v>
      </c>
      <c r="G4309" s="2" t="n">
        <f aca="false">'Raw Data'!W4309</f>
        <v>3</v>
      </c>
      <c r="H4309" s="2" t="n">
        <f aca="false">'Raw Data'!V4309</f>
        <v>4</v>
      </c>
      <c r="I4309" s="2" t="n">
        <f aca="false">IF(AND(ISNUMBER(B4309),B4309&lt;=25),2,0)+IF(AND(ISNUMBER(E4309),E4309&lt;=5),2,0)+IF(AND(ISNUMBER(F4309),F4309&lt;=1),2,0)+IF(AND(ISNUMBER(G4309),G4309&lt;=2),1,0)+IF(AND(ISNUMBER(H4309),H4309&lt;=2),1,0)</f>
        <v>0</v>
      </c>
      <c r="J4309" s="2" t="str">
        <f aca="false">IF(I4309&gt;=6,"High",IF(I4309&gt;=3,"Medium","Low"))</f>
        <v>Low</v>
      </c>
    </row>
    <row r="4310" customFormat="false" ht="15" hidden="false" customHeight="true" outlineLevel="0" collapsed="false">
      <c r="A4310" s="2" t="n">
        <f aca="false">'Raw Data'!H4310</f>
        <v>4309</v>
      </c>
      <c r="B4310" s="2" t="n">
        <f aca="false">'Raw Data'!A4310</f>
        <v>51</v>
      </c>
      <c r="C4310" s="2" t="str">
        <f aca="false">'Raw Data'!D4310</f>
        <v>Research &amp; Development</v>
      </c>
      <c r="D4310" s="2" t="str">
        <f aca="false">'Raw Data'!K4310</f>
        <v>Research Director</v>
      </c>
      <c r="E4310" s="2" t="n">
        <f aca="false">'Raw Data'!Q4310</f>
        <v>10</v>
      </c>
      <c r="F4310" s="2" t="n">
        <f aca="false">'Raw Data'!U4310</f>
        <v>0</v>
      </c>
      <c r="G4310" s="2" t="n">
        <f aca="false">'Raw Data'!W4310</f>
        <v>3</v>
      </c>
      <c r="H4310" s="2" t="n">
        <f aca="false">'Raw Data'!V4310</f>
        <v>2</v>
      </c>
      <c r="I4310" s="2" t="n">
        <f aca="false">IF(AND(ISNUMBER(B4310),B4310&lt;=25),2,0)+IF(AND(ISNUMBER(E4310),E4310&lt;=5),2,0)+IF(AND(ISNUMBER(F4310),F4310&lt;=1),2,0)+IF(AND(ISNUMBER(G4310),G4310&lt;=2),1,0)+IF(AND(ISNUMBER(H4310),H4310&lt;=2),1,0)</f>
        <v>3</v>
      </c>
      <c r="J4310" s="2" t="str">
        <f aca="false">IF(I4310&gt;=6,"High",IF(I4310&gt;=3,"Medium","Low"))</f>
        <v>Medium</v>
      </c>
    </row>
    <row r="4311" customFormat="false" ht="15" hidden="false" customHeight="true" outlineLevel="0" collapsed="false">
      <c r="A4311" s="2" t="n">
        <f aca="false">'Raw Data'!H4311</f>
        <v>4310</v>
      </c>
      <c r="B4311" s="2" t="n">
        <f aca="false">'Raw Data'!A4311</f>
        <v>58</v>
      </c>
      <c r="C4311" s="2" t="str">
        <f aca="false">'Raw Data'!D4311</f>
        <v>Sales</v>
      </c>
      <c r="D4311" s="2" t="str">
        <f aca="false">'Raw Data'!K4311</f>
        <v>Research Scientist</v>
      </c>
      <c r="E4311" s="2" t="n">
        <f aca="false">'Raw Data'!Q4311</f>
        <v>9</v>
      </c>
      <c r="F4311" s="2" t="n">
        <f aca="false">'Raw Data'!U4311</f>
        <v>0</v>
      </c>
      <c r="G4311" s="2" t="n">
        <f aca="false">'Raw Data'!W4311</f>
        <v>2</v>
      </c>
      <c r="H4311" s="2" t="n">
        <f aca="false">'Raw Data'!V4311</f>
        <v>2</v>
      </c>
      <c r="I4311" s="2" t="n">
        <f aca="false">IF(AND(ISNUMBER(B4311),B4311&lt;=25),2,0)+IF(AND(ISNUMBER(E4311),E4311&lt;=5),2,0)+IF(AND(ISNUMBER(F4311),F4311&lt;=1),2,0)+IF(AND(ISNUMBER(G4311),G4311&lt;=2),1,0)+IF(AND(ISNUMBER(H4311),H4311&lt;=2),1,0)</f>
        <v>4</v>
      </c>
      <c r="J4311" s="2" t="str">
        <f aca="false">IF(I4311&gt;=6,"High",IF(I4311&gt;=3,"Medium","Low"))</f>
        <v>Medium</v>
      </c>
    </row>
    <row r="4312" customFormat="false" ht="15" hidden="false" customHeight="true" outlineLevel="0" collapsed="false">
      <c r="A4312" s="2" t="n">
        <f aca="false">'Raw Data'!H4312</f>
        <v>4311</v>
      </c>
      <c r="B4312" s="2" t="n">
        <f aca="false">'Raw Data'!A4312</f>
        <v>40</v>
      </c>
      <c r="C4312" s="2" t="str">
        <f aca="false">'Raw Data'!D4312</f>
        <v>Research &amp; Development</v>
      </c>
      <c r="D4312" s="2" t="str">
        <f aca="false">'Raw Data'!K4312</f>
        <v>Laboratory Technician</v>
      </c>
      <c r="E4312" s="2" t="n">
        <f aca="false">'Raw Data'!Q4312</f>
        <v>15</v>
      </c>
      <c r="F4312" s="2" t="n">
        <f aca="false">'Raw Data'!U4312</f>
        <v>11</v>
      </c>
      <c r="G4312" s="2" t="n">
        <f aca="false">'Raw Data'!W4312</f>
        <v>4</v>
      </c>
      <c r="H4312" s="2" t="n">
        <f aca="false">'Raw Data'!V4312</f>
        <v>3</v>
      </c>
      <c r="I4312" s="2" t="n">
        <f aca="false">IF(AND(ISNUMBER(B4312),B4312&lt;=25),2,0)+IF(AND(ISNUMBER(E4312),E4312&lt;=5),2,0)+IF(AND(ISNUMBER(F4312),F4312&lt;=1),2,0)+IF(AND(ISNUMBER(G4312),G4312&lt;=2),1,0)+IF(AND(ISNUMBER(H4312),H4312&lt;=2),1,0)</f>
        <v>0</v>
      </c>
      <c r="J4312" s="2" t="str">
        <f aca="false">IF(I4312&gt;=6,"High",IF(I4312&gt;=3,"Medium","Low"))</f>
        <v>Low</v>
      </c>
    </row>
    <row r="4313" customFormat="false" ht="15" hidden="false" customHeight="true" outlineLevel="0" collapsed="false">
      <c r="A4313" s="2" t="n">
        <f aca="false">'Raw Data'!H4313</f>
        <v>4312</v>
      </c>
      <c r="B4313" s="2" t="n">
        <f aca="false">'Raw Data'!A4313</f>
        <v>34</v>
      </c>
      <c r="C4313" s="2" t="str">
        <f aca="false">'Raw Data'!D4313</f>
        <v>Sales</v>
      </c>
      <c r="D4313" s="2" t="str">
        <f aca="false">'Raw Data'!K4313</f>
        <v>Manufacturing Director</v>
      </c>
      <c r="E4313" s="2" t="n">
        <f aca="false">'Raw Data'!Q4313</f>
        <v>6</v>
      </c>
      <c r="F4313" s="2" t="n">
        <f aca="false">'Raw Data'!U4313</f>
        <v>2</v>
      </c>
      <c r="G4313" s="2" t="n">
        <f aca="false">'Raw Data'!W4313</f>
        <v>3</v>
      </c>
      <c r="H4313" s="2" t="n">
        <f aca="false">'Raw Data'!V4313</f>
        <v>3</v>
      </c>
      <c r="I4313" s="2" t="n">
        <f aca="false">IF(AND(ISNUMBER(B4313),B4313&lt;=25),2,0)+IF(AND(ISNUMBER(E4313),E4313&lt;=5),2,0)+IF(AND(ISNUMBER(F4313),F4313&lt;=1),2,0)+IF(AND(ISNUMBER(G4313),G4313&lt;=2),1,0)+IF(AND(ISNUMBER(H4313),H4313&lt;=2),1,0)</f>
        <v>0</v>
      </c>
      <c r="J4313" s="2" t="str">
        <f aca="false">IF(I4313&gt;=6,"High",IF(I4313&gt;=3,"Medium","Low"))</f>
        <v>Low</v>
      </c>
    </row>
    <row r="4314" customFormat="false" ht="15" hidden="false" customHeight="true" outlineLevel="0" collapsed="false">
      <c r="A4314" s="2" t="n">
        <f aca="false">'Raw Data'!H4314</f>
        <v>4313</v>
      </c>
      <c r="B4314" s="2" t="n">
        <f aca="false">'Raw Data'!A4314</f>
        <v>22</v>
      </c>
      <c r="C4314" s="2" t="str">
        <f aca="false">'Raw Data'!D4314</f>
        <v>Research &amp; Development</v>
      </c>
      <c r="D4314" s="2" t="str">
        <f aca="false">'Raw Data'!K4314</f>
        <v>Laboratory Technician</v>
      </c>
      <c r="E4314" s="2" t="n">
        <f aca="false">'Raw Data'!Q4314</f>
        <v>2</v>
      </c>
      <c r="F4314" s="2" t="n">
        <f aca="false">'Raw Data'!U4314</f>
        <v>2</v>
      </c>
      <c r="G4314" s="2" t="n">
        <f aca="false">'Raw Data'!W4314</f>
        <v>4</v>
      </c>
      <c r="H4314" s="2" t="n">
        <f aca="false">'Raw Data'!V4314</f>
        <v>3</v>
      </c>
      <c r="I4314" s="2" t="n">
        <f aca="false">IF(AND(ISNUMBER(B4314),B4314&lt;=25),2,0)+IF(AND(ISNUMBER(E4314),E4314&lt;=5),2,0)+IF(AND(ISNUMBER(F4314),F4314&lt;=1),2,0)+IF(AND(ISNUMBER(G4314),G4314&lt;=2),1,0)+IF(AND(ISNUMBER(H4314),H4314&lt;=2),1,0)</f>
        <v>4</v>
      </c>
      <c r="J4314" s="2" t="str">
        <f aca="false">IF(I4314&gt;=6,"High",IF(I4314&gt;=3,"Medium","Low"))</f>
        <v>Medium</v>
      </c>
    </row>
    <row r="4315" customFormat="false" ht="15" hidden="false" customHeight="true" outlineLevel="0" collapsed="false">
      <c r="A4315" s="2" t="n">
        <f aca="false">'Raw Data'!H4315</f>
        <v>4314</v>
      </c>
      <c r="B4315" s="2" t="n">
        <f aca="false">'Raw Data'!A4315</f>
        <v>27</v>
      </c>
      <c r="C4315" s="2" t="str">
        <f aca="false">'Raw Data'!D4315</f>
        <v>Research &amp; Development</v>
      </c>
      <c r="D4315" s="2" t="str">
        <f aca="false">'Raw Data'!K4315</f>
        <v>Healthcare Representative</v>
      </c>
      <c r="E4315" s="2" t="n">
        <f aca="false">'Raw Data'!Q4315</f>
        <v>6</v>
      </c>
      <c r="F4315" s="2" t="n">
        <f aca="false">'Raw Data'!U4315</f>
        <v>2</v>
      </c>
      <c r="G4315" s="2" t="n">
        <f aca="false">'Raw Data'!W4315</f>
        <v>2</v>
      </c>
      <c r="H4315" s="2" t="n">
        <f aca="false">'Raw Data'!V4315</f>
        <v>4</v>
      </c>
      <c r="I4315" s="2" t="n">
        <f aca="false">IF(AND(ISNUMBER(B4315),B4315&lt;=25),2,0)+IF(AND(ISNUMBER(E4315),E4315&lt;=5),2,0)+IF(AND(ISNUMBER(F4315),F4315&lt;=1),2,0)+IF(AND(ISNUMBER(G4315),G4315&lt;=2),1,0)+IF(AND(ISNUMBER(H4315),H4315&lt;=2),1,0)</f>
        <v>1</v>
      </c>
      <c r="J4315" s="2" t="str">
        <f aca="false">IF(I4315&gt;=6,"High",IF(I4315&gt;=3,"Medium","Low"))</f>
        <v>Low</v>
      </c>
    </row>
    <row r="4316" customFormat="false" ht="15" hidden="false" customHeight="true" outlineLevel="0" collapsed="false">
      <c r="A4316" s="2" t="n">
        <f aca="false">'Raw Data'!H4316</f>
        <v>4315</v>
      </c>
      <c r="B4316" s="2" t="n">
        <f aca="false">'Raw Data'!A4316</f>
        <v>28</v>
      </c>
      <c r="C4316" s="2" t="str">
        <f aca="false">'Raw Data'!D4316</f>
        <v>Sales</v>
      </c>
      <c r="D4316" s="2" t="str">
        <f aca="false">'Raw Data'!K4316</f>
        <v>Healthcare Representative</v>
      </c>
      <c r="E4316" s="2" t="n">
        <f aca="false">'Raw Data'!Q4316</f>
        <v>5</v>
      </c>
      <c r="F4316" s="2" t="n">
        <f aca="false">'Raw Data'!U4316</f>
        <v>2</v>
      </c>
      <c r="G4316" s="2" t="n">
        <f aca="false">'Raw Data'!W4316</f>
        <v>4</v>
      </c>
      <c r="H4316" s="2" t="n">
        <f aca="false">'Raw Data'!V4316</f>
        <v>3</v>
      </c>
      <c r="I4316" s="2" t="n">
        <f aca="false">IF(AND(ISNUMBER(B4316),B4316&lt;=25),2,0)+IF(AND(ISNUMBER(E4316),E4316&lt;=5),2,0)+IF(AND(ISNUMBER(F4316),F4316&lt;=1),2,0)+IF(AND(ISNUMBER(G4316),G4316&lt;=2),1,0)+IF(AND(ISNUMBER(H4316),H4316&lt;=2),1,0)</f>
        <v>2</v>
      </c>
      <c r="J4316" s="2" t="str">
        <f aca="false">IF(I4316&gt;=6,"High",IF(I4316&gt;=3,"Medium","Low"))</f>
        <v>Low</v>
      </c>
    </row>
    <row r="4317" customFormat="false" ht="15" hidden="false" customHeight="true" outlineLevel="0" collapsed="false">
      <c r="A4317" s="2" t="n">
        <f aca="false">'Raw Data'!H4317</f>
        <v>4316</v>
      </c>
      <c r="B4317" s="2" t="n">
        <f aca="false">'Raw Data'!A4317</f>
        <v>57</v>
      </c>
      <c r="C4317" s="2" t="str">
        <f aca="false">'Raw Data'!D4317</f>
        <v>Research &amp; Development</v>
      </c>
      <c r="D4317" s="2" t="str">
        <f aca="false">'Raw Data'!K4317</f>
        <v>Manufacturing Director</v>
      </c>
      <c r="E4317" s="2" t="n">
        <f aca="false">'Raw Data'!Q4317</f>
        <v>12</v>
      </c>
      <c r="F4317" s="2" t="n">
        <f aca="false">'Raw Data'!U4317</f>
        <v>4</v>
      </c>
      <c r="G4317" s="2" t="n">
        <f aca="false">'Raw Data'!W4317</f>
        <v>4</v>
      </c>
      <c r="H4317" s="2" t="n">
        <f aca="false">'Raw Data'!V4317</f>
        <v>3</v>
      </c>
      <c r="I4317" s="2" t="n">
        <f aca="false">IF(AND(ISNUMBER(B4317),B4317&lt;=25),2,0)+IF(AND(ISNUMBER(E4317),E4317&lt;=5),2,0)+IF(AND(ISNUMBER(F4317),F4317&lt;=1),2,0)+IF(AND(ISNUMBER(G4317),G4317&lt;=2),1,0)+IF(AND(ISNUMBER(H4317),H4317&lt;=2),1,0)</f>
        <v>0</v>
      </c>
      <c r="J4317" s="2" t="str">
        <f aca="false">IF(I4317&gt;=6,"High",IF(I4317&gt;=3,"Medium","Low"))</f>
        <v>Low</v>
      </c>
    </row>
    <row r="4318" customFormat="false" ht="15" hidden="false" customHeight="true" outlineLevel="0" collapsed="false">
      <c r="A4318" s="2" t="n">
        <f aca="false">'Raw Data'!H4318</f>
        <v>4317</v>
      </c>
      <c r="B4318" s="2" t="n">
        <f aca="false">'Raw Data'!A4318</f>
        <v>27</v>
      </c>
      <c r="C4318" s="2" t="str">
        <f aca="false">'Raw Data'!D4318</f>
        <v>Research &amp; Development</v>
      </c>
      <c r="D4318" s="2" t="str">
        <f aca="false">'Raw Data'!K4318</f>
        <v>Manufacturing Director</v>
      </c>
      <c r="E4318" s="2" t="n">
        <f aca="false">'Raw Data'!Q4318</f>
        <v>1</v>
      </c>
      <c r="F4318" s="2" t="n">
        <f aca="false">'Raw Data'!U4318</f>
        <v>1</v>
      </c>
      <c r="G4318" s="2" t="n">
        <f aca="false">'Raw Data'!W4318</f>
        <v>3</v>
      </c>
      <c r="H4318" s="2" t="n">
        <f aca="false">'Raw Data'!V4318</f>
        <v>3</v>
      </c>
      <c r="I4318" s="2" t="n">
        <f aca="false">IF(AND(ISNUMBER(B4318),B4318&lt;=25),2,0)+IF(AND(ISNUMBER(E4318),E4318&lt;=5),2,0)+IF(AND(ISNUMBER(F4318),F4318&lt;=1),2,0)+IF(AND(ISNUMBER(G4318),G4318&lt;=2),1,0)+IF(AND(ISNUMBER(H4318),H4318&lt;=2),1,0)</f>
        <v>4</v>
      </c>
      <c r="J4318" s="2" t="str">
        <f aca="false">IF(I4318&gt;=6,"High",IF(I4318&gt;=3,"Medium","Low"))</f>
        <v>Medium</v>
      </c>
    </row>
    <row r="4319" customFormat="false" ht="15" hidden="false" customHeight="true" outlineLevel="0" collapsed="false">
      <c r="A4319" s="2" t="n">
        <f aca="false">'Raw Data'!H4319</f>
        <v>4318</v>
      </c>
      <c r="B4319" s="2" t="n">
        <f aca="false">'Raw Data'!A4319</f>
        <v>50</v>
      </c>
      <c r="C4319" s="2" t="str">
        <f aca="false">'Raw Data'!D4319</f>
        <v>Research &amp; Development</v>
      </c>
      <c r="D4319" s="2" t="str">
        <f aca="false">'Raw Data'!K4319</f>
        <v>Manufacturing Director</v>
      </c>
      <c r="E4319" s="2" t="n">
        <f aca="false">'Raw Data'!Q4319</f>
        <v>21</v>
      </c>
      <c r="F4319" s="2" t="n">
        <f aca="false">'Raw Data'!U4319</f>
        <v>4</v>
      </c>
      <c r="G4319" s="2" t="n">
        <f aca="false">'Raw Data'!W4319</f>
        <v>2</v>
      </c>
      <c r="H4319" s="2" t="n">
        <f aca="false">'Raw Data'!V4319</f>
        <v>3</v>
      </c>
      <c r="I4319" s="2" t="n">
        <f aca="false">IF(AND(ISNUMBER(B4319),B4319&lt;=25),2,0)+IF(AND(ISNUMBER(E4319),E4319&lt;=5),2,0)+IF(AND(ISNUMBER(F4319),F4319&lt;=1),2,0)+IF(AND(ISNUMBER(G4319),G4319&lt;=2),1,0)+IF(AND(ISNUMBER(H4319),H4319&lt;=2),1,0)</f>
        <v>1</v>
      </c>
      <c r="J4319" s="2" t="str">
        <f aca="false">IF(I4319&gt;=6,"High",IF(I4319&gt;=3,"Medium","Low"))</f>
        <v>Low</v>
      </c>
    </row>
    <row r="4320" customFormat="false" ht="15" hidden="false" customHeight="true" outlineLevel="0" collapsed="false">
      <c r="A4320" s="2" t="n">
        <f aca="false">'Raw Data'!H4320</f>
        <v>4319</v>
      </c>
      <c r="B4320" s="2" t="n">
        <f aca="false">'Raw Data'!A4320</f>
        <v>41</v>
      </c>
      <c r="C4320" s="2" t="str">
        <f aca="false">'Raw Data'!D4320</f>
        <v>Sales</v>
      </c>
      <c r="D4320" s="2" t="str">
        <f aca="false">'Raw Data'!K4320</f>
        <v>Laboratory Technician</v>
      </c>
      <c r="E4320" s="2" t="n">
        <f aca="false">'Raw Data'!Q4320</f>
        <v>13</v>
      </c>
      <c r="F4320" s="2" t="n">
        <f aca="false">'Raw Data'!U4320</f>
        <v>8</v>
      </c>
      <c r="G4320" s="2" t="n">
        <f aca="false">'Raw Data'!W4320</f>
        <v>3</v>
      </c>
      <c r="H4320" s="2" t="n">
        <f aca="false">'Raw Data'!V4320</f>
        <v>1</v>
      </c>
      <c r="I4320" s="2" t="n">
        <f aca="false">IF(AND(ISNUMBER(B4320),B4320&lt;=25),2,0)+IF(AND(ISNUMBER(E4320),E4320&lt;=5),2,0)+IF(AND(ISNUMBER(F4320),F4320&lt;=1),2,0)+IF(AND(ISNUMBER(G4320),G4320&lt;=2),1,0)+IF(AND(ISNUMBER(H4320),H4320&lt;=2),1,0)</f>
        <v>1</v>
      </c>
      <c r="J4320" s="2" t="str">
        <f aca="false">IF(I4320&gt;=6,"High",IF(I4320&gt;=3,"Medium","Low"))</f>
        <v>Low</v>
      </c>
    </row>
    <row r="4321" customFormat="false" ht="15" hidden="false" customHeight="true" outlineLevel="0" collapsed="false">
      <c r="A4321" s="2" t="n">
        <f aca="false">'Raw Data'!H4321</f>
        <v>4320</v>
      </c>
      <c r="B4321" s="2" t="n">
        <f aca="false">'Raw Data'!A4321</f>
        <v>30</v>
      </c>
      <c r="C4321" s="2" t="str">
        <f aca="false">'Raw Data'!D4321</f>
        <v>Human Resources</v>
      </c>
      <c r="D4321" s="2" t="str">
        <f aca="false">'Raw Data'!K4321</f>
        <v>Manager</v>
      </c>
      <c r="E4321" s="2" t="n">
        <f aca="false">'Raw Data'!Q4321</f>
        <v>12</v>
      </c>
      <c r="F4321" s="2" t="n">
        <f aca="false">'Raw Data'!U4321</f>
        <v>4</v>
      </c>
      <c r="G4321" s="2" t="n">
        <f aca="false">'Raw Data'!W4321</f>
        <v>4</v>
      </c>
      <c r="H4321" s="2" t="n">
        <f aca="false">'Raw Data'!V4321</f>
        <v>2</v>
      </c>
      <c r="I4321" s="2" t="n">
        <f aca="false">IF(AND(ISNUMBER(B4321),B4321&lt;=25),2,0)+IF(AND(ISNUMBER(E4321),E4321&lt;=5),2,0)+IF(AND(ISNUMBER(F4321),F4321&lt;=1),2,0)+IF(AND(ISNUMBER(G4321),G4321&lt;=2),1,0)+IF(AND(ISNUMBER(H4321),H4321&lt;=2),1,0)</f>
        <v>1</v>
      </c>
      <c r="J4321" s="2" t="str">
        <f aca="false">IF(I4321&gt;=6,"High",IF(I4321&gt;=3,"Medium","Low"))</f>
        <v>Low</v>
      </c>
    </row>
    <row r="4322" customFormat="false" ht="15" hidden="false" customHeight="true" outlineLevel="0" collapsed="false">
      <c r="A4322" s="2" t="n">
        <f aca="false">'Raw Data'!H4322</f>
        <v>4321</v>
      </c>
      <c r="B4322" s="2" t="n">
        <f aca="false">'Raw Data'!A4322</f>
        <v>38</v>
      </c>
      <c r="C4322" s="2" t="str">
        <f aca="false">'Raw Data'!D4322</f>
        <v>Sales</v>
      </c>
      <c r="D4322" s="2" t="str">
        <f aca="false">'Raw Data'!K4322</f>
        <v>Laboratory Technician</v>
      </c>
      <c r="E4322" s="2" t="n">
        <f aca="false">'Raw Data'!Q4322</f>
        <v>12</v>
      </c>
      <c r="F4322" s="2" t="n">
        <f aca="false">'Raw Data'!U4322</f>
        <v>7</v>
      </c>
      <c r="G4322" s="2" t="n">
        <f aca="false">'Raw Data'!W4322</f>
        <v>4</v>
      </c>
      <c r="H4322" s="2" t="n">
        <f aca="false">'Raw Data'!V4322</f>
        <v>1</v>
      </c>
      <c r="I4322" s="2" t="n">
        <f aca="false">IF(AND(ISNUMBER(B4322),B4322&lt;=25),2,0)+IF(AND(ISNUMBER(E4322),E4322&lt;=5),2,0)+IF(AND(ISNUMBER(F4322),F4322&lt;=1),2,0)+IF(AND(ISNUMBER(G4322),G4322&lt;=2),1,0)+IF(AND(ISNUMBER(H4322),H4322&lt;=2),1,0)</f>
        <v>1</v>
      </c>
      <c r="J4322" s="2" t="str">
        <f aca="false">IF(I4322&gt;=6,"High",IF(I4322&gt;=3,"Medium","Low"))</f>
        <v>Low</v>
      </c>
    </row>
    <row r="4323" customFormat="false" ht="15" hidden="false" customHeight="true" outlineLevel="0" collapsed="false">
      <c r="A4323" s="2" t="n">
        <f aca="false">'Raw Data'!H4323</f>
        <v>4322</v>
      </c>
      <c r="B4323" s="2" t="n">
        <f aca="false">'Raw Data'!A4323</f>
        <v>32</v>
      </c>
      <c r="C4323" s="2" t="str">
        <f aca="false">'Raw Data'!D4323</f>
        <v>Research &amp; Development</v>
      </c>
      <c r="D4323" s="2" t="str">
        <f aca="false">'Raw Data'!K4323</f>
        <v>Manufacturing Director</v>
      </c>
      <c r="E4323" s="2" t="n">
        <f aca="false">'Raw Data'!Q4323</f>
        <v>8</v>
      </c>
      <c r="F4323" s="2" t="n">
        <f aca="false">'Raw Data'!U4323</f>
        <v>4</v>
      </c>
      <c r="G4323" s="2" t="n">
        <f aca="false">'Raw Data'!W4323</f>
        <v>3</v>
      </c>
      <c r="H4323" s="2" t="n">
        <f aca="false">'Raw Data'!V4323</f>
        <v>3</v>
      </c>
      <c r="I4323" s="2" t="n">
        <f aca="false">IF(AND(ISNUMBER(B4323),B4323&lt;=25),2,0)+IF(AND(ISNUMBER(E4323),E4323&lt;=5),2,0)+IF(AND(ISNUMBER(F4323),F4323&lt;=1),2,0)+IF(AND(ISNUMBER(G4323),G4323&lt;=2),1,0)+IF(AND(ISNUMBER(H4323),H4323&lt;=2),1,0)</f>
        <v>0</v>
      </c>
      <c r="J4323" s="2" t="str">
        <f aca="false">IF(I4323&gt;=6,"High",IF(I4323&gt;=3,"Medium","Low"))</f>
        <v>Low</v>
      </c>
    </row>
    <row r="4324" customFormat="false" ht="15" hidden="false" customHeight="true" outlineLevel="0" collapsed="false">
      <c r="A4324" s="2" t="n">
        <f aca="false">'Raw Data'!H4324</f>
        <v>4323</v>
      </c>
      <c r="B4324" s="2" t="n">
        <f aca="false">'Raw Data'!A4324</f>
        <v>27</v>
      </c>
      <c r="C4324" s="2" t="str">
        <f aca="false">'Raw Data'!D4324</f>
        <v>Research &amp; Development</v>
      </c>
      <c r="D4324" s="2" t="str">
        <f aca="false">'Raw Data'!K4324</f>
        <v>Healthcare Representative</v>
      </c>
      <c r="E4324" s="2" t="n">
        <f aca="false">'Raw Data'!Q4324</f>
        <v>6</v>
      </c>
      <c r="F4324" s="2" t="n">
        <f aca="false">'Raw Data'!U4324</f>
        <v>1</v>
      </c>
      <c r="G4324" s="2" t="n">
        <f aca="false">'Raw Data'!W4324</f>
        <v>2</v>
      </c>
      <c r="H4324" s="2" t="n">
        <f aca="false">'Raw Data'!V4324</f>
        <v>3</v>
      </c>
      <c r="I4324" s="2" t="n">
        <f aca="false">IF(AND(ISNUMBER(B4324),B4324&lt;=25),2,0)+IF(AND(ISNUMBER(E4324),E4324&lt;=5),2,0)+IF(AND(ISNUMBER(F4324),F4324&lt;=1),2,0)+IF(AND(ISNUMBER(G4324),G4324&lt;=2),1,0)+IF(AND(ISNUMBER(H4324),H4324&lt;=2),1,0)</f>
        <v>3</v>
      </c>
      <c r="J4324" s="2" t="str">
        <f aca="false">IF(I4324&gt;=6,"High",IF(I4324&gt;=3,"Medium","Low"))</f>
        <v>Medium</v>
      </c>
    </row>
    <row r="4325" customFormat="false" ht="15" hidden="false" customHeight="true" outlineLevel="0" collapsed="false">
      <c r="A4325" s="2" t="n">
        <f aca="false">'Raw Data'!H4325</f>
        <v>4324</v>
      </c>
      <c r="B4325" s="2" t="n">
        <f aca="false">'Raw Data'!A4325</f>
        <v>19</v>
      </c>
      <c r="C4325" s="2" t="str">
        <f aca="false">'Raw Data'!D4325</f>
        <v>Research &amp; Development</v>
      </c>
      <c r="D4325" s="2" t="str">
        <f aca="false">'Raw Data'!K4325</f>
        <v>Healthcare Representative</v>
      </c>
      <c r="E4325" s="2" t="n">
        <f aca="false">'Raw Data'!Q4325</f>
        <v>1</v>
      </c>
      <c r="F4325" s="2" t="n">
        <f aca="false">'Raw Data'!U4325</f>
        <v>0</v>
      </c>
      <c r="G4325" s="2" t="n">
        <f aca="false">'Raw Data'!W4325</f>
        <v>1</v>
      </c>
      <c r="H4325" s="2" t="n">
        <f aca="false">'Raw Data'!V4325</f>
        <v>3</v>
      </c>
      <c r="I4325" s="2" t="n">
        <f aca="false">IF(AND(ISNUMBER(B4325),B4325&lt;=25),2,0)+IF(AND(ISNUMBER(E4325),E4325&lt;=5),2,0)+IF(AND(ISNUMBER(F4325),F4325&lt;=1),2,0)+IF(AND(ISNUMBER(G4325),G4325&lt;=2),1,0)+IF(AND(ISNUMBER(H4325),H4325&lt;=2),1,0)</f>
        <v>7</v>
      </c>
      <c r="J4325" s="2" t="str">
        <f aca="false">IF(I4325&gt;=6,"High",IF(I4325&gt;=3,"Medium","Low"))</f>
        <v>High</v>
      </c>
    </row>
    <row r="4326" customFormat="false" ht="15" hidden="false" customHeight="true" outlineLevel="0" collapsed="false">
      <c r="A4326" s="2" t="n">
        <f aca="false">'Raw Data'!H4326</f>
        <v>4325</v>
      </c>
      <c r="B4326" s="2" t="n">
        <f aca="false">'Raw Data'!A4326</f>
        <v>36</v>
      </c>
      <c r="C4326" s="2" t="str">
        <f aca="false">'Raw Data'!D4326</f>
        <v>Sales</v>
      </c>
      <c r="D4326" s="2" t="str">
        <f aca="false">'Raw Data'!K4326</f>
        <v>Research Director</v>
      </c>
      <c r="E4326" s="2" t="n">
        <f aca="false">'Raw Data'!Q4326</f>
        <v>13</v>
      </c>
      <c r="F4326" s="2" t="n">
        <f aca="false">'Raw Data'!U4326</f>
        <v>2</v>
      </c>
      <c r="G4326" s="2" t="n">
        <f aca="false">'Raw Data'!W4326</f>
        <v>2</v>
      </c>
      <c r="H4326" s="2" t="n">
        <f aca="false">'Raw Data'!V4326</f>
        <v>4</v>
      </c>
      <c r="I4326" s="2" t="n">
        <f aca="false">IF(AND(ISNUMBER(B4326),B4326&lt;=25),2,0)+IF(AND(ISNUMBER(E4326),E4326&lt;=5),2,0)+IF(AND(ISNUMBER(F4326),F4326&lt;=1),2,0)+IF(AND(ISNUMBER(G4326),G4326&lt;=2),1,0)+IF(AND(ISNUMBER(H4326),H4326&lt;=2),1,0)</f>
        <v>1</v>
      </c>
      <c r="J4326" s="2" t="str">
        <f aca="false">IF(I4326&gt;=6,"High",IF(I4326&gt;=3,"Medium","Low"))</f>
        <v>Low</v>
      </c>
    </row>
    <row r="4327" customFormat="false" ht="15" hidden="false" customHeight="true" outlineLevel="0" collapsed="false">
      <c r="A4327" s="2" t="n">
        <f aca="false">'Raw Data'!H4327</f>
        <v>4326</v>
      </c>
      <c r="B4327" s="2" t="n">
        <f aca="false">'Raw Data'!A4327</f>
        <v>30</v>
      </c>
      <c r="C4327" s="2" t="str">
        <f aca="false">'Raw Data'!D4327</f>
        <v>Sales</v>
      </c>
      <c r="D4327" s="2" t="str">
        <f aca="false">'Raw Data'!K4327</f>
        <v>Sales Executive</v>
      </c>
      <c r="E4327" s="2" t="n">
        <f aca="false">'Raw Data'!Q4327</f>
        <v>12</v>
      </c>
      <c r="F4327" s="2" t="n">
        <f aca="false">'Raw Data'!U4327</f>
        <v>10</v>
      </c>
      <c r="G4327" s="2" t="n">
        <f aca="false">'Raw Data'!W4327</f>
        <v>1</v>
      </c>
      <c r="H4327" s="2" t="n">
        <f aca="false">'Raw Data'!V4327</f>
        <v>3</v>
      </c>
      <c r="I4327" s="2" t="n">
        <f aca="false">IF(AND(ISNUMBER(B4327),B4327&lt;=25),2,0)+IF(AND(ISNUMBER(E4327),E4327&lt;=5),2,0)+IF(AND(ISNUMBER(F4327),F4327&lt;=1),2,0)+IF(AND(ISNUMBER(G4327),G4327&lt;=2),1,0)+IF(AND(ISNUMBER(H4327),H4327&lt;=2),1,0)</f>
        <v>1</v>
      </c>
      <c r="J4327" s="2" t="str">
        <f aca="false">IF(I4327&gt;=6,"High",IF(I4327&gt;=3,"Medium","Low"))</f>
        <v>Low</v>
      </c>
    </row>
    <row r="4328" customFormat="false" ht="15" hidden="false" customHeight="true" outlineLevel="0" collapsed="false">
      <c r="A4328" s="2" t="n">
        <f aca="false">'Raw Data'!H4328</f>
        <v>4327</v>
      </c>
      <c r="B4328" s="2" t="n">
        <f aca="false">'Raw Data'!A4328</f>
        <v>45</v>
      </c>
      <c r="C4328" s="2" t="str">
        <f aca="false">'Raw Data'!D4328</f>
        <v>Research &amp; Development</v>
      </c>
      <c r="D4328" s="2" t="str">
        <f aca="false">'Raw Data'!K4328</f>
        <v>Sales Executive</v>
      </c>
      <c r="E4328" s="2" t="n">
        <f aca="false">'Raw Data'!Q4328</f>
        <v>9</v>
      </c>
      <c r="F4328" s="2" t="n">
        <f aca="false">'Raw Data'!U4328</f>
        <v>3</v>
      </c>
      <c r="G4328" s="2" t="n">
        <f aca="false">'Raw Data'!W4328</f>
        <v>1</v>
      </c>
      <c r="H4328" s="2" t="n">
        <f aca="false">'Raw Data'!V4328</f>
        <v>3</v>
      </c>
      <c r="I4328" s="2" t="n">
        <f aca="false">IF(AND(ISNUMBER(B4328),B4328&lt;=25),2,0)+IF(AND(ISNUMBER(E4328),E4328&lt;=5),2,0)+IF(AND(ISNUMBER(F4328),F4328&lt;=1),2,0)+IF(AND(ISNUMBER(G4328),G4328&lt;=2),1,0)+IF(AND(ISNUMBER(H4328),H4328&lt;=2),1,0)</f>
        <v>1</v>
      </c>
      <c r="J4328" s="2" t="str">
        <f aca="false">IF(I4328&gt;=6,"High",IF(I4328&gt;=3,"Medium","Low"))</f>
        <v>Low</v>
      </c>
    </row>
    <row r="4329" customFormat="false" ht="15" hidden="false" customHeight="true" outlineLevel="0" collapsed="false">
      <c r="A4329" s="2" t="n">
        <f aca="false">'Raw Data'!H4329</f>
        <v>4328</v>
      </c>
      <c r="B4329" s="2" t="n">
        <f aca="false">'Raw Data'!A4329</f>
        <v>56</v>
      </c>
      <c r="C4329" s="2" t="str">
        <f aca="false">'Raw Data'!D4329</f>
        <v>Research &amp; Development</v>
      </c>
      <c r="D4329" s="2" t="str">
        <f aca="false">'Raw Data'!K4329</f>
        <v>Manager</v>
      </c>
      <c r="E4329" s="2" t="n">
        <f aca="false">'Raw Data'!Q4329</f>
        <v>19</v>
      </c>
      <c r="F4329" s="2" t="n">
        <f aca="false">'Raw Data'!U4329</f>
        <v>2</v>
      </c>
      <c r="G4329" s="2" t="n">
        <f aca="false">'Raw Data'!W4329</f>
        <v>1</v>
      </c>
      <c r="H4329" s="2" t="n">
        <f aca="false">'Raw Data'!V4329</f>
        <v>3</v>
      </c>
      <c r="I4329" s="2" t="n">
        <f aca="false">IF(AND(ISNUMBER(B4329),B4329&lt;=25),2,0)+IF(AND(ISNUMBER(E4329),E4329&lt;=5),2,0)+IF(AND(ISNUMBER(F4329),F4329&lt;=1),2,0)+IF(AND(ISNUMBER(G4329),G4329&lt;=2),1,0)+IF(AND(ISNUMBER(H4329),H4329&lt;=2),1,0)</f>
        <v>1</v>
      </c>
      <c r="J4329" s="2" t="str">
        <f aca="false">IF(I4329&gt;=6,"High",IF(I4329&gt;=3,"Medium","Low"))</f>
        <v>Low</v>
      </c>
    </row>
    <row r="4330" customFormat="false" ht="15" hidden="false" customHeight="true" outlineLevel="0" collapsed="false">
      <c r="A4330" s="2" t="n">
        <f aca="false">'Raw Data'!H4330</f>
        <v>4329</v>
      </c>
      <c r="B4330" s="2" t="n">
        <f aca="false">'Raw Data'!A4330</f>
        <v>33</v>
      </c>
      <c r="C4330" s="2" t="str">
        <f aca="false">'Raw Data'!D4330</f>
        <v>Research &amp; Development</v>
      </c>
      <c r="D4330" s="2" t="str">
        <f aca="false">'Raw Data'!K4330</f>
        <v>Sales Executive</v>
      </c>
      <c r="E4330" s="2" t="n">
        <f aca="false">'Raw Data'!Q4330</f>
        <v>4</v>
      </c>
      <c r="F4330" s="2" t="n">
        <f aca="false">'Raw Data'!U4330</f>
        <v>2</v>
      </c>
      <c r="G4330" s="2" t="n">
        <f aca="false">'Raw Data'!W4330</f>
        <v>4</v>
      </c>
      <c r="H4330" s="2" t="n">
        <f aca="false">'Raw Data'!V4330</f>
        <v>3</v>
      </c>
      <c r="I4330" s="2" t="n">
        <f aca="false">IF(AND(ISNUMBER(B4330),B4330&lt;=25),2,0)+IF(AND(ISNUMBER(E4330),E4330&lt;=5),2,0)+IF(AND(ISNUMBER(F4330),F4330&lt;=1),2,0)+IF(AND(ISNUMBER(G4330),G4330&lt;=2),1,0)+IF(AND(ISNUMBER(H4330),H4330&lt;=2),1,0)</f>
        <v>2</v>
      </c>
      <c r="J4330" s="2" t="str">
        <f aca="false">IF(I4330&gt;=6,"High",IF(I4330&gt;=3,"Medium","Low"))</f>
        <v>Low</v>
      </c>
    </row>
    <row r="4331" customFormat="false" ht="15" hidden="false" customHeight="true" outlineLevel="0" collapsed="false">
      <c r="A4331" s="2" t="n">
        <f aca="false">'Raw Data'!H4331</f>
        <v>4330</v>
      </c>
      <c r="B4331" s="2" t="n">
        <f aca="false">'Raw Data'!A4331</f>
        <v>19</v>
      </c>
      <c r="C4331" s="2" t="str">
        <f aca="false">'Raw Data'!D4331</f>
        <v>Research &amp; Development</v>
      </c>
      <c r="D4331" s="2" t="str">
        <f aca="false">'Raw Data'!K4331</f>
        <v>Sales Executive</v>
      </c>
      <c r="E4331" s="2" t="n">
        <f aca="false">'Raw Data'!Q4331</f>
        <v>1</v>
      </c>
      <c r="F4331" s="2" t="n">
        <f aca="false">'Raw Data'!U4331</f>
        <v>0</v>
      </c>
      <c r="G4331" s="2" t="n">
        <f aca="false">'Raw Data'!W4331</f>
        <v>4</v>
      </c>
      <c r="H4331" s="2" t="n">
        <f aca="false">'Raw Data'!V4331</f>
        <v>2</v>
      </c>
      <c r="I4331" s="2" t="n">
        <f aca="false">IF(AND(ISNUMBER(B4331),B4331&lt;=25),2,0)+IF(AND(ISNUMBER(E4331),E4331&lt;=5),2,0)+IF(AND(ISNUMBER(F4331),F4331&lt;=1),2,0)+IF(AND(ISNUMBER(G4331),G4331&lt;=2),1,0)+IF(AND(ISNUMBER(H4331),H4331&lt;=2),1,0)</f>
        <v>7</v>
      </c>
      <c r="J4331" s="2" t="str">
        <f aca="false">IF(I4331&gt;=6,"High",IF(I4331&gt;=3,"Medium","Low"))</f>
        <v>High</v>
      </c>
    </row>
    <row r="4332" customFormat="false" ht="15" hidden="false" customHeight="true" outlineLevel="0" collapsed="false">
      <c r="A4332" s="2" t="n">
        <f aca="false">'Raw Data'!H4332</f>
        <v>4331</v>
      </c>
      <c r="B4332" s="2" t="n">
        <f aca="false">'Raw Data'!A4332</f>
        <v>46</v>
      </c>
      <c r="C4332" s="2" t="str">
        <f aca="false">'Raw Data'!D4332</f>
        <v>Research &amp; Development</v>
      </c>
      <c r="D4332" s="2" t="str">
        <f aca="false">'Raw Data'!K4332</f>
        <v>Laboratory Technician</v>
      </c>
      <c r="E4332" s="2" t="n">
        <f aca="false">'Raw Data'!Q4332</f>
        <v>24</v>
      </c>
      <c r="F4332" s="2" t="n">
        <f aca="false">'Raw Data'!U4332</f>
        <v>7</v>
      </c>
      <c r="G4332" s="2" t="n">
        <f aca="false">'Raw Data'!W4332</f>
        <v>1</v>
      </c>
      <c r="H4332" s="2" t="n">
        <f aca="false">'Raw Data'!V4332</f>
        <v>2</v>
      </c>
      <c r="I4332" s="2" t="n">
        <f aca="false">IF(AND(ISNUMBER(B4332),B4332&lt;=25),2,0)+IF(AND(ISNUMBER(E4332),E4332&lt;=5),2,0)+IF(AND(ISNUMBER(F4332),F4332&lt;=1),2,0)+IF(AND(ISNUMBER(G4332),G4332&lt;=2),1,0)+IF(AND(ISNUMBER(H4332),H4332&lt;=2),1,0)</f>
        <v>2</v>
      </c>
      <c r="J4332" s="2" t="str">
        <f aca="false">IF(I4332&gt;=6,"High",IF(I4332&gt;=3,"Medium","Low"))</f>
        <v>Low</v>
      </c>
    </row>
    <row r="4333" customFormat="false" ht="15" hidden="false" customHeight="true" outlineLevel="0" collapsed="false">
      <c r="A4333" s="2" t="n">
        <f aca="false">'Raw Data'!H4333</f>
        <v>4332</v>
      </c>
      <c r="B4333" s="2" t="n">
        <f aca="false">'Raw Data'!A4333</f>
        <v>38</v>
      </c>
      <c r="C4333" s="2" t="str">
        <f aca="false">'Raw Data'!D4333</f>
        <v>Sales</v>
      </c>
      <c r="D4333" s="2" t="str">
        <f aca="false">'Raw Data'!K4333</f>
        <v>Manufacturing Director</v>
      </c>
      <c r="E4333" s="2" t="n">
        <f aca="false">'Raw Data'!Q4333</f>
        <v>2</v>
      </c>
      <c r="F4333" s="2" t="n">
        <f aca="false">'Raw Data'!U4333</f>
        <v>1</v>
      </c>
      <c r="G4333" s="2" t="n">
        <f aca="false">'Raw Data'!W4333</f>
        <v>4</v>
      </c>
      <c r="H4333" s="2" t="n">
        <f aca="false">'Raw Data'!V4333</f>
        <v>3</v>
      </c>
      <c r="I4333" s="2" t="n">
        <f aca="false">IF(AND(ISNUMBER(B4333),B4333&lt;=25),2,0)+IF(AND(ISNUMBER(E4333),E4333&lt;=5),2,0)+IF(AND(ISNUMBER(F4333),F4333&lt;=1),2,0)+IF(AND(ISNUMBER(G4333),G4333&lt;=2),1,0)+IF(AND(ISNUMBER(H4333),H4333&lt;=2),1,0)</f>
        <v>4</v>
      </c>
      <c r="J4333" s="2" t="str">
        <f aca="false">IF(I4333&gt;=6,"High",IF(I4333&gt;=3,"Medium","Low"))</f>
        <v>Medium</v>
      </c>
    </row>
    <row r="4334" customFormat="false" ht="15" hidden="false" customHeight="true" outlineLevel="0" collapsed="false">
      <c r="A4334" s="2" t="n">
        <f aca="false">'Raw Data'!H4334</f>
        <v>4333</v>
      </c>
      <c r="B4334" s="2" t="n">
        <f aca="false">'Raw Data'!A4334</f>
        <v>31</v>
      </c>
      <c r="C4334" s="2" t="str">
        <f aca="false">'Raw Data'!D4334</f>
        <v>Sales</v>
      </c>
      <c r="D4334" s="2" t="str">
        <f aca="false">'Raw Data'!K4334</f>
        <v>Sales Representative</v>
      </c>
      <c r="E4334" s="2" t="n">
        <f aca="false">'Raw Data'!Q4334</f>
        <v>7</v>
      </c>
      <c r="F4334" s="2" t="n">
        <f aca="false">'Raw Data'!U4334</f>
        <v>2</v>
      </c>
      <c r="G4334" s="2" t="n">
        <f aca="false">'Raw Data'!W4334</f>
        <v>4</v>
      </c>
      <c r="H4334" s="2" t="n">
        <f aca="false">'Raw Data'!V4334</f>
        <v>0</v>
      </c>
      <c r="I4334" s="2" t="n">
        <f aca="false">IF(AND(ISNUMBER(B4334),B4334&lt;=25),2,0)+IF(AND(ISNUMBER(E4334),E4334&lt;=5),2,0)+IF(AND(ISNUMBER(F4334),F4334&lt;=1),2,0)+IF(AND(ISNUMBER(G4334),G4334&lt;=2),1,0)+IF(AND(ISNUMBER(H4334),H4334&lt;=2),1,0)</f>
        <v>0</v>
      </c>
      <c r="J4334" s="2" t="str">
        <f aca="false">IF(I4334&gt;=6,"High",IF(I4334&gt;=3,"Medium","Low"))</f>
        <v>Low</v>
      </c>
    </row>
    <row r="4335" customFormat="false" ht="15" hidden="false" customHeight="true" outlineLevel="0" collapsed="false">
      <c r="A4335" s="2" t="n">
        <f aca="false">'Raw Data'!H4335</f>
        <v>4334</v>
      </c>
      <c r="B4335" s="2" t="n">
        <f aca="false">'Raw Data'!A4335</f>
        <v>34</v>
      </c>
      <c r="C4335" s="2" t="str">
        <f aca="false">'Raw Data'!D4335</f>
        <v>Sales</v>
      </c>
      <c r="D4335" s="2" t="str">
        <f aca="false">'Raw Data'!K4335</f>
        <v>Manager</v>
      </c>
      <c r="E4335" s="2" t="n">
        <f aca="false">'Raw Data'!Q4335</f>
        <v>9</v>
      </c>
      <c r="F4335" s="2" t="n">
        <f aca="false">'Raw Data'!U4335</f>
        <v>2</v>
      </c>
      <c r="G4335" s="2" t="n">
        <f aca="false">'Raw Data'!W4335</f>
        <v>2</v>
      </c>
      <c r="H4335" s="2" t="n">
        <f aca="false">'Raw Data'!V4335</f>
        <v>4</v>
      </c>
      <c r="I4335" s="2" t="n">
        <f aca="false">IF(AND(ISNUMBER(B4335),B4335&lt;=25),2,0)+IF(AND(ISNUMBER(E4335),E4335&lt;=5),2,0)+IF(AND(ISNUMBER(F4335),F4335&lt;=1),2,0)+IF(AND(ISNUMBER(G4335),G4335&lt;=2),1,0)+IF(AND(ISNUMBER(H4335),H4335&lt;=2),1,0)</f>
        <v>1</v>
      </c>
      <c r="J4335" s="2" t="str">
        <f aca="false">IF(I4335&gt;=6,"High",IF(I4335&gt;=3,"Medium","Low"))</f>
        <v>Low</v>
      </c>
    </row>
    <row r="4336" customFormat="false" ht="15" hidden="false" customHeight="true" outlineLevel="0" collapsed="false">
      <c r="A4336" s="2" t="n">
        <f aca="false">'Raw Data'!H4336</f>
        <v>4335</v>
      </c>
      <c r="B4336" s="2" t="n">
        <f aca="false">'Raw Data'!A4336</f>
        <v>41</v>
      </c>
      <c r="C4336" s="2" t="str">
        <f aca="false">'Raw Data'!D4336</f>
        <v>Research &amp; Development</v>
      </c>
      <c r="D4336" s="2" t="str">
        <f aca="false">'Raw Data'!K4336</f>
        <v>Laboratory Technician</v>
      </c>
      <c r="E4336" s="2" t="n">
        <f aca="false">'Raw Data'!Q4336</f>
        <v>4</v>
      </c>
      <c r="F4336" s="2" t="n">
        <f aca="false">'Raw Data'!U4336</f>
        <v>2</v>
      </c>
      <c r="G4336" s="2" t="n">
        <f aca="false">'Raw Data'!W4336</f>
        <v>2</v>
      </c>
      <c r="H4336" s="2" t="n">
        <f aca="false">'Raw Data'!V4336</f>
        <v>2</v>
      </c>
      <c r="I4336" s="2" t="n">
        <f aca="false">IF(AND(ISNUMBER(B4336),B4336&lt;=25),2,0)+IF(AND(ISNUMBER(E4336),E4336&lt;=5),2,0)+IF(AND(ISNUMBER(F4336),F4336&lt;=1),2,0)+IF(AND(ISNUMBER(G4336),G4336&lt;=2),1,0)+IF(AND(ISNUMBER(H4336),H4336&lt;=2),1,0)</f>
        <v>4</v>
      </c>
      <c r="J4336" s="2" t="str">
        <f aca="false">IF(I4336&gt;=6,"High",IF(I4336&gt;=3,"Medium","Low"))</f>
        <v>Medium</v>
      </c>
    </row>
    <row r="4337" customFormat="false" ht="15" hidden="false" customHeight="true" outlineLevel="0" collapsed="false">
      <c r="A4337" s="2" t="n">
        <f aca="false">'Raw Data'!H4337</f>
        <v>4336</v>
      </c>
      <c r="B4337" s="2" t="n">
        <f aca="false">'Raw Data'!A4337</f>
        <v>50</v>
      </c>
      <c r="C4337" s="2" t="str">
        <f aca="false">'Raw Data'!D4337</f>
        <v>Sales</v>
      </c>
      <c r="D4337" s="2" t="str">
        <f aca="false">'Raw Data'!K4337</f>
        <v>Sales Executive</v>
      </c>
      <c r="E4337" s="2" t="n">
        <f aca="false">'Raw Data'!Q4337</f>
        <v>5</v>
      </c>
      <c r="F4337" s="2" t="n">
        <f aca="false">'Raw Data'!U4337</f>
        <v>2</v>
      </c>
      <c r="G4337" s="2" t="n">
        <f aca="false">'Raw Data'!W4337</f>
        <v>3</v>
      </c>
      <c r="H4337" s="2" t="n">
        <f aca="false">'Raw Data'!V4337</f>
        <v>3</v>
      </c>
      <c r="I4337" s="2" t="n">
        <f aca="false">IF(AND(ISNUMBER(B4337),B4337&lt;=25),2,0)+IF(AND(ISNUMBER(E4337),E4337&lt;=5),2,0)+IF(AND(ISNUMBER(F4337),F4337&lt;=1),2,0)+IF(AND(ISNUMBER(G4337),G4337&lt;=2),1,0)+IF(AND(ISNUMBER(H4337),H4337&lt;=2),1,0)</f>
        <v>2</v>
      </c>
      <c r="J4337" s="2" t="str">
        <f aca="false">IF(I4337&gt;=6,"High",IF(I4337&gt;=3,"Medium","Low"))</f>
        <v>Low</v>
      </c>
    </row>
    <row r="4338" customFormat="false" ht="15" hidden="false" customHeight="true" outlineLevel="0" collapsed="false">
      <c r="A4338" s="2" t="n">
        <f aca="false">'Raw Data'!H4338</f>
        <v>4337</v>
      </c>
      <c r="B4338" s="2" t="n">
        <f aca="false">'Raw Data'!A4338</f>
        <v>53</v>
      </c>
      <c r="C4338" s="2" t="str">
        <f aca="false">'Raw Data'!D4338</f>
        <v>Sales</v>
      </c>
      <c r="D4338" s="2" t="str">
        <f aca="false">'Raw Data'!K4338</f>
        <v>Manager</v>
      </c>
      <c r="E4338" s="2" t="n">
        <f aca="false">'Raw Data'!Q4338</f>
        <v>5</v>
      </c>
      <c r="F4338" s="2" t="n">
        <f aca="false">'Raw Data'!U4338</f>
        <v>3</v>
      </c>
      <c r="G4338" s="2" t="n">
        <f aca="false">'Raw Data'!W4338</f>
        <v>1</v>
      </c>
      <c r="H4338" s="2" t="n">
        <f aca="false">'Raw Data'!V4338</f>
        <v>4</v>
      </c>
      <c r="I4338" s="2" t="n">
        <f aca="false">IF(AND(ISNUMBER(B4338),B4338&lt;=25),2,0)+IF(AND(ISNUMBER(E4338),E4338&lt;=5),2,0)+IF(AND(ISNUMBER(F4338),F4338&lt;=1),2,0)+IF(AND(ISNUMBER(G4338),G4338&lt;=2),1,0)+IF(AND(ISNUMBER(H4338),H4338&lt;=2),1,0)</f>
        <v>3</v>
      </c>
      <c r="J4338" s="2" t="str">
        <f aca="false">IF(I4338&gt;=6,"High",IF(I4338&gt;=3,"Medium","Low"))</f>
        <v>Medium</v>
      </c>
    </row>
    <row r="4339" customFormat="false" ht="15" hidden="false" customHeight="true" outlineLevel="0" collapsed="false">
      <c r="A4339" s="2" t="n">
        <f aca="false">'Raw Data'!H4339</f>
        <v>4338</v>
      </c>
      <c r="B4339" s="2" t="n">
        <f aca="false">'Raw Data'!A4339</f>
        <v>33</v>
      </c>
      <c r="C4339" s="2" t="str">
        <f aca="false">'Raw Data'!D4339</f>
        <v>Research &amp; Development</v>
      </c>
      <c r="D4339" s="2" t="str">
        <f aca="false">'Raw Data'!K4339</f>
        <v>Human Resources</v>
      </c>
      <c r="E4339" s="2" t="n">
        <f aca="false">'Raw Data'!Q4339</f>
        <v>8</v>
      </c>
      <c r="F4339" s="2" t="n">
        <f aca="false">'Raw Data'!U4339</f>
        <v>6</v>
      </c>
      <c r="G4339" s="2" t="n">
        <f aca="false">'Raw Data'!W4339</f>
        <v>2</v>
      </c>
      <c r="H4339" s="2" t="n">
        <f aca="false">'Raw Data'!V4339</f>
        <v>4</v>
      </c>
      <c r="I4339" s="2" t="n">
        <f aca="false">IF(AND(ISNUMBER(B4339),B4339&lt;=25),2,0)+IF(AND(ISNUMBER(E4339),E4339&lt;=5),2,0)+IF(AND(ISNUMBER(F4339),F4339&lt;=1),2,0)+IF(AND(ISNUMBER(G4339),G4339&lt;=2),1,0)+IF(AND(ISNUMBER(H4339),H4339&lt;=2),1,0)</f>
        <v>1</v>
      </c>
      <c r="J4339" s="2" t="str">
        <f aca="false">IF(I4339&gt;=6,"High",IF(I4339&gt;=3,"Medium","Low"))</f>
        <v>Low</v>
      </c>
    </row>
    <row r="4340" customFormat="false" ht="15" hidden="false" customHeight="true" outlineLevel="0" collapsed="false">
      <c r="A4340" s="2" t="n">
        <f aca="false">'Raw Data'!H4340</f>
        <v>4339</v>
      </c>
      <c r="B4340" s="2" t="n">
        <f aca="false">'Raw Data'!A4340</f>
        <v>40</v>
      </c>
      <c r="C4340" s="2" t="str">
        <f aca="false">'Raw Data'!D4340</f>
        <v>Research &amp; Development</v>
      </c>
      <c r="D4340" s="2" t="str">
        <f aca="false">'Raw Data'!K4340</f>
        <v>Sales Executive</v>
      </c>
      <c r="E4340" s="2" t="n">
        <f aca="false">'Raw Data'!Q4340</f>
        <v>21</v>
      </c>
      <c r="F4340" s="2" t="n">
        <f aca="false">'Raw Data'!U4340</f>
        <v>9</v>
      </c>
      <c r="G4340" s="2" t="n">
        <f aca="false">'Raw Data'!W4340</f>
        <v>3</v>
      </c>
      <c r="H4340" s="2" t="n">
        <f aca="false">'Raw Data'!V4340</f>
        <v>4</v>
      </c>
      <c r="I4340" s="2" t="n">
        <f aca="false">IF(AND(ISNUMBER(B4340),B4340&lt;=25),2,0)+IF(AND(ISNUMBER(E4340),E4340&lt;=5),2,0)+IF(AND(ISNUMBER(F4340),F4340&lt;=1),2,0)+IF(AND(ISNUMBER(G4340),G4340&lt;=2),1,0)+IF(AND(ISNUMBER(H4340),H4340&lt;=2),1,0)</f>
        <v>0</v>
      </c>
      <c r="J4340" s="2" t="str">
        <f aca="false">IF(I4340&gt;=6,"High",IF(I4340&gt;=3,"Medium","Low"))</f>
        <v>Low</v>
      </c>
    </row>
    <row r="4341" customFormat="false" ht="15" hidden="false" customHeight="true" outlineLevel="0" collapsed="false">
      <c r="A4341" s="2" t="n">
        <f aca="false">'Raw Data'!H4341</f>
        <v>4340</v>
      </c>
      <c r="B4341" s="2" t="n">
        <f aca="false">'Raw Data'!A4341</f>
        <v>55</v>
      </c>
      <c r="C4341" s="2" t="str">
        <f aca="false">'Raw Data'!D4341</f>
        <v>Research &amp; Development</v>
      </c>
      <c r="D4341" s="2" t="str">
        <f aca="false">'Raw Data'!K4341</f>
        <v>Laboratory Technician</v>
      </c>
      <c r="E4341" s="2" t="n">
        <f aca="false">'Raw Data'!Q4341</f>
        <v>36</v>
      </c>
      <c r="F4341" s="2" t="n">
        <f aca="false">'Raw Data'!U4341</f>
        <v>15</v>
      </c>
      <c r="G4341" s="2" t="n">
        <f aca="false">'Raw Data'!W4341</f>
        <v>2</v>
      </c>
      <c r="H4341" s="2" t="n">
        <f aca="false">'Raw Data'!V4341</f>
        <v>3</v>
      </c>
      <c r="I4341" s="2" t="n">
        <f aca="false">IF(AND(ISNUMBER(B4341),B4341&lt;=25),2,0)+IF(AND(ISNUMBER(E4341),E4341&lt;=5),2,0)+IF(AND(ISNUMBER(F4341),F4341&lt;=1),2,0)+IF(AND(ISNUMBER(G4341),G4341&lt;=2),1,0)+IF(AND(ISNUMBER(H4341),H4341&lt;=2),1,0)</f>
        <v>1</v>
      </c>
      <c r="J4341" s="2" t="str">
        <f aca="false">IF(I4341&gt;=6,"High",IF(I4341&gt;=3,"Medium","Low"))</f>
        <v>Low</v>
      </c>
    </row>
    <row r="4342" customFormat="false" ht="15" hidden="false" customHeight="true" outlineLevel="0" collapsed="false">
      <c r="A4342" s="2" t="n">
        <f aca="false">'Raw Data'!H4342</f>
        <v>4341</v>
      </c>
      <c r="B4342" s="2" t="n">
        <f aca="false">'Raw Data'!A4342</f>
        <v>34</v>
      </c>
      <c r="C4342" s="2" t="str">
        <f aca="false">'Raw Data'!D4342</f>
        <v>Human Resources</v>
      </c>
      <c r="D4342" s="2" t="str">
        <f aca="false">'Raw Data'!K4342</f>
        <v>Research Scientist</v>
      </c>
      <c r="E4342" s="2" t="n">
        <f aca="false">'Raw Data'!Q4342</f>
        <v>10</v>
      </c>
      <c r="F4342" s="2" t="n">
        <f aca="false">'Raw Data'!U4342</f>
        <v>9</v>
      </c>
      <c r="G4342" s="2" t="n">
        <f aca="false">'Raw Data'!W4342</f>
        <v>3</v>
      </c>
      <c r="H4342" s="2" t="n">
        <f aca="false">'Raw Data'!V4342</f>
        <v>4</v>
      </c>
      <c r="I4342" s="2" t="n">
        <f aca="false">IF(AND(ISNUMBER(B4342),B4342&lt;=25),2,0)+IF(AND(ISNUMBER(E4342),E4342&lt;=5),2,0)+IF(AND(ISNUMBER(F4342),F4342&lt;=1),2,0)+IF(AND(ISNUMBER(G4342),G4342&lt;=2),1,0)+IF(AND(ISNUMBER(H4342),H4342&lt;=2),1,0)</f>
        <v>0</v>
      </c>
      <c r="J4342" s="2" t="str">
        <f aca="false">IF(I4342&gt;=6,"High",IF(I4342&gt;=3,"Medium","Low"))</f>
        <v>Low</v>
      </c>
    </row>
    <row r="4343" customFormat="false" ht="15" hidden="false" customHeight="true" outlineLevel="0" collapsed="false">
      <c r="A4343" s="2" t="n">
        <f aca="false">'Raw Data'!H4343</f>
        <v>4342</v>
      </c>
      <c r="B4343" s="2" t="n">
        <f aca="false">'Raw Data'!A4343</f>
        <v>51</v>
      </c>
      <c r="C4343" s="2" t="str">
        <f aca="false">'Raw Data'!D4343</f>
        <v>Human Resources</v>
      </c>
      <c r="D4343" s="2" t="str">
        <f aca="false">'Raw Data'!K4343</f>
        <v>Sales Representative</v>
      </c>
      <c r="E4343" s="2" t="n">
        <f aca="false">'Raw Data'!Q4343</f>
        <v>21</v>
      </c>
      <c r="F4343" s="2" t="n">
        <f aca="false">'Raw Data'!U4343</f>
        <v>0</v>
      </c>
      <c r="G4343" s="2" t="n">
        <f aca="false">'Raw Data'!W4343</f>
        <v>2</v>
      </c>
      <c r="H4343" s="2" t="n">
        <f aca="false">'Raw Data'!V4343</f>
        <v>4</v>
      </c>
      <c r="I4343" s="2" t="n">
        <f aca="false">IF(AND(ISNUMBER(B4343),B4343&lt;=25),2,0)+IF(AND(ISNUMBER(E4343),E4343&lt;=5),2,0)+IF(AND(ISNUMBER(F4343),F4343&lt;=1),2,0)+IF(AND(ISNUMBER(G4343),G4343&lt;=2),1,0)+IF(AND(ISNUMBER(H4343),H4343&lt;=2),1,0)</f>
        <v>3</v>
      </c>
      <c r="J4343" s="2" t="str">
        <f aca="false">IF(I4343&gt;=6,"High",IF(I4343&gt;=3,"Medium","Low"))</f>
        <v>Medium</v>
      </c>
    </row>
    <row r="4344" customFormat="false" ht="15" hidden="false" customHeight="true" outlineLevel="0" collapsed="false">
      <c r="A4344" s="2" t="n">
        <f aca="false">'Raw Data'!H4344</f>
        <v>4343</v>
      </c>
      <c r="B4344" s="2" t="n">
        <f aca="false">'Raw Data'!A4344</f>
        <v>52</v>
      </c>
      <c r="C4344" s="2" t="str">
        <f aca="false">'Raw Data'!D4344</f>
        <v>Research &amp; Development</v>
      </c>
      <c r="D4344" s="2" t="str">
        <f aca="false">'Raw Data'!K4344</f>
        <v>Sales Representative</v>
      </c>
      <c r="E4344" s="2" t="n">
        <f aca="false">'Raw Data'!Q4344</f>
        <v>34</v>
      </c>
      <c r="F4344" s="2" t="n">
        <f aca="false">'Raw Data'!U4344</f>
        <v>9</v>
      </c>
      <c r="G4344" s="2" t="n">
        <f aca="false">'Raw Data'!W4344</f>
        <v>3</v>
      </c>
      <c r="H4344" s="2" t="n">
        <f aca="false">'Raw Data'!V4344</f>
        <v>3</v>
      </c>
      <c r="I4344" s="2" t="n">
        <f aca="false">IF(AND(ISNUMBER(B4344),B4344&lt;=25),2,0)+IF(AND(ISNUMBER(E4344),E4344&lt;=5),2,0)+IF(AND(ISNUMBER(F4344),F4344&lt;=1),2,0)+IF(AND(ISNUMBER(G4344),G4344&lt;=2),1,0)+IF(AND(ISNUMBER(H4344),H4344&lt;=2),1,0)</f>
        <v>0</v>
      </c>
      <c r="J4344" s="2" t="str">
        <f aca="false">IF(I4344&gt;=6,"High",IF(I4344&gt;=3,"Medium","Low"))</f>
        <v>Low</v>
      </c>
    </row>
    <row r="4345" customFormat="false" ht="15" hidden="false" customHeight="true" outlineLevel="0" collapsed="false">
      <c r="A4345" s="2" t="n">
        <f aca="false">'Raw Data'!H4345</f>
        <v>4344</v>
      </c>
      <c r="B4345" s="2" t="n">
        <f aca="false">'Raw Data'!A4345</f>
        <v>27</v>
      </c>
      <c r="C4345" s="2" t="str">
        <f aca="false">'Raw Data'!D4345</f>
        <v>Sales</v>
      </c>
      <c r="D4345" s="2" t="str">
        <f aca="false">'Raw Data'!K4345</f>
        <v>Research Scientist</v>
      </c>
      <c r="E4345" s="2" t="n">
        <f aca="false">'Raw Data'!Q4345</f>
        <v>7</v>
      </c>
      <c r="F4345" s="2" t="n">
        <f aca="false">'Raw Data'!U4345</f>
        <v>3</v>
      </c>
      <c r="G4345" s="2" t="n">
        <f aca="false">'Raw Data'!W4345</f>
        <v>2</v>
      </c>
      <c r="H4345" s="2" t="n">
        <f aca="false">'Raw Data'!V4345</f>
        <v>4</v>
      </c>
      <c r="I4345" s="2" t="n">
        <f aca="false">IF(AND(ISNUMBER(B4345),B4345&lt;=25),2,0)+IF(AND(ISNUMBER(E4345),E4345&lt;=5),2,0)+IF(AND(ISNUMBER(F4345),F4345&lt;=1),2,0)+IF(AND(ISNUMBER(G4345),G4345&lt;=2),1,0)+IF(AND(ISNUMBER(H4345),H4345&lt;=2),1,0)</f>
        <v>1</v>
      </c>
      <c r="J4345" s="2" t="str">
        <f aca="false">IF(I4345&gt;=6,"High",IF(I4345&gt;=3,"Medium","Low"))</f>
        <v>Low</v>
      </c>
    </row>
    <row r="4346" customFormat="false" ht="15" hidden="false" customHeight="true" outlineLevel="0" collapsed="false">
      <c r="A4346" s="2" t="n">
        <f aca="false">'Raw Data'!H4346</f>
        <v>4345</v>
      </c>
      <c r="B4346" s="2" t="n">
        <f aca="false">'Raw Data'!A4346</f>
        <v>35</v>
      </c>
      <c r="C4346" s="2" t="str">
        <f aca="false">'Raw Data'!D4346</f>
        <v>Research &amp; Development</v>
      </c>
      <c r="D4346" s="2" t="str">
        <f aca="false">'Raw Data'!K4346</f>
        <v>Research Director</v>
      </c>
      <c r="E4346" s="2" t="n">
        <f aca="false">'Raw Data'!Q4346</f>
        <v>8</v>
      </c>
      <c r="F4346" s="2" t="n">
        <f aca="false">'Raw Data'!U4346</f>
        <v>1</v>
      </c>
      <c r="G4346" s="2" t="n">
        <f aca="false">'Raw Data'!W4346</f>
        <v>3</v>
      </c>
      <c r="H4346" s="2" t="n">
        <f aca="false">'Raw Data'!V4346</f>
        <v>2</v>
      </c>
      <c r="I4346" s="2" t="n">
        <f aca="false">IF(AND(ISNUMBER(B4346),B4346&lt;=25),2,0)+IF(AND(ISNUMBER(E4346),E4346&lt;=5),2,0)+IF(AND(ISNUMBER(F4346),F4346&lt;=1),2,0)+IF(AND(ISNUMBER(G4346),G4346&lt;=2),1,0)+IF(AND(ISNUMBER(H4346),H4346&lt;=2),1,0)</f>
        <v>3</v>
      </c>
      <c r="J4346" s="2" t="str">
        <f aca="false">IF(I4346&gt;=6,"High",IF(I4346&gt;=3,"Medium","Low"))</f>
        <v>Medium</v>
      </c>
    </row>
    <row r="4347" customFormat="false" ht="15" hidden="false" customHeight="true" outlineLevel="0" collapsed="false">
      <c r="A4347" s="2" t="n">
        <f aca="false">'Raw Data'!H4347</f>
        <v>4346</v>
      </c>
      <c r="B4347" s="2" t="n">
        <f aca="false">'Raw Data'!A4347</f>
        <v>43</v>
      </c>
      <c r="C4347" s="2" t="str">
        <f aca="false">'Raw Data'!D4347</f>
        <v>Research &amp; Development</v>
      </c>
      <c r="D4347" s="2" t="str">
        <f aca="false">'Raw Data'!K4347</f>
        <v>Healthcare Representative</v>
      </c>
      <c r="E4347" s="2" t="n">
        <f aca="false">'Raw Data'!Q4347</f>
        <v>7</v>
      </c>
      <c r="F4347" s="2" t="n">
        <f aca="false">'Raw Data'!U4347</f>
        <v>2</v>
      </c>
      <c r="G4347" s="2" t="n">
        <f aca="false">'Raw Data'!W4347</f>
        <v>0</v>
      </c>
      <c r="H4347" s="2" t="n">
        <f aca="false">'Raw Data'!V4347</f>
        <v>4</v>
      </c>
      <c r="I4347" s="2" t="n">
        <f aca="false">IF(AND(ISNUMBER(B4347),B4347&lt;=25),2,0)+IF(AND(ISNUMBER(E4347),E4347&lt;=5),2,0)+IF(AND(ISNUMBER(F4347),F4347&lt;=1),2,0)+IF(AND(ISNUMBER(G4347),G4347&lt;=2),1,0)+IF(AND(ISNUMBER(H4347),H4347&lt;=2),1,0)</f>
        <v>0</v>
      </c>
      <c r="J4347" s="2" t="str">
        <f aca="false">IF(I4347&gt;=6,"High",IF(I4347&gt;=3,"Medium","Low"))</f>
        <v>Low</v>
      </c>
    </row>
    <row r="4348" customFormat="false" ht="15" hidden="false" customHeight="true" outlineLevel="0" collapsed="false">
      <c r="A4348" s="2" t="n">
        <f aca="false">'Raw Data'!H4348</f>
        <v>4347</v>
      </c>
      <c r="B4348" s="2" t="n">
        <f aca="false">'Raw Data'!A4348</f>
        <v>45</v>
      </c>
      <c r="C4348" s="2" t="str">
        <f aca="false">'Raw Data'!D4348</f>
        <v>Research &amp; Development</v>
      </c>
      <c r="D4348" s="2" t="str">
        <f aca="false">'Raw Data'!K4348</f>
        <v>Sales Executive</v>
      </c>
      <c r="E4348" s="2" t="n">
        <f aca="false">'Raw Data'!Q4348</f>
        <v>22</v>
      </c>
      <c r="F4348" s="2" t="n">
        <f aca="false">'Raw Data'!U4348</f>
        <v>8</v>
      </c>
      <c r="G4348" s="2" t="n">
        <f aca="false">'Raw Data'!W4348</f>
        <v>4</v>
      </c>
      <c r="H4348" s="2" t="n">
        <f aca="false">'Raw Data'!V4348</f>
        <v>1</v>
      </c>
      <c r="I4348" s="2" t="n">
        <f aca="false">IF(AND(ISNUMBER(B4348),B4348&lt;=25),2,0)+IF(AND(ISNUMBER(E4348),E4348&lt;=5),2,0)+IF(AND(ISNUMBER(F4348),F4348&lt;=1),2,0)+IF(AND(ISNUMBER(G4348),G4348&lt;=2),1,0)+IF(AND(ISNUMBER(H4348),H4348&lt;=2),1,0)</f>
        <v>1</v>
      </c>
      <c r="J4348" s="2" t="str">
        <f aca="false">IF(I4348&gt;=6,"High",IF(I4348&gt;=3,"Medium","Low"))</f>
        <v>Low</v>
      </c>
    </row>
    <row r="4349" customFormat="false" ht="15" hidden="false" customHeight="true" outlineLevel="0" collapsed="false">
      <c r="A4349" s="2" t="n">
        <f aca="false">'Raw Data'!H4349</f>
        <v>4348</v>
      </c>
      <c r="B4349" s="2" t="n">
        <f aca="false">'Raw Data'!A4349</f>
        <v>37</v>
      </c>
      <c r="C4349" s="2" t="str">
        <f aca="false">'Raw Data'!D4349</f>
        <v>Research &amp; Development</v>
      </c>
      <c r="D4349" s="2" t="str">
        <f aca="false">'Raw Data'!K4349</f>
        <v>Research Scientist</v>
      </c>
      <c r="E4349" s="2" t="n">
        <f aca="false">'Raw Data'!Q4349</f>
        <v>8</v>
      </c>
      <c r="F4349" s="2" t="n">
        <f aca="false">'Raw Data'!U4349</f>
        <v>7</v>
      </c>
      <c r="G4349" s="2" t="n">
        <f aca="false">'Raw Data'!W4349</f>
        <v>1</v>
      </c>
      <c r="H4349" s="2" t="n">
        <f aca="false">'Raw Data'!V4349</f>
        <v>2</v>
      </c>
      <c r="I4349" s="2" t="n">
        <f aca="false">IF(AND(ISNUMBER(B4349),B4349&lt;=25),2,0)+IF(AND(ISNUMBER(E4349),E4349&lt;=5),2,0)+IF(AND(ISNUMBER(F4349),F4349&lt;=1),2,0)+IF(AND(ISNUMBER(G4349),G4349&lt;=2),1,0)+IF(AND(ISNUMBER(H4349),H4349&lt;=2),1,0)</f>
        <v>2</v>
      </c>
      <c r="J4349" s="2" t="str">
        <f aca="false">IF(I4349&gt;=6,"High",IF(I4349&gt;=3,"Medium","Low"))</f>
        <v>Low</v>
      </c>
    </row>
    <row r="4350" customFormat="false" ht="15" hidden="false" customHeight="true" outlineLevel="0" collapsed="false">
      <c r="A4350" s="2" t="n">
        <f aca="false">'Raw Data'!H4350</f>
        <v>4349</v>
      </c>
      <c r="B4350" s="2" t="n">
        <f aca="false">'Raw Data'!A4350</f>
        <v>35</v>
      </c>
      <c r="C4350" s="2" t="str">
        <f aca="false">'Raw Data'!D4350</f>
        <v>Research &amp; Development</v>
      </c>
      <c r="D4350" s="2" t="str">
        <f aca="false">'Raw Data'!K4350</f>
        <v>Research Director</v>
      </c>
      <c r="E4350" s="2" t="n">
        <f aca="false">'Raw Data'!Q4350</f>
        <v>10</v>
      </c>
      <c r="F4350" s="2" t="n">
        <f aca="false">'Raw Data'!U4350</f>
        <v>2</v>
      </c>
      <c r="G4350" s="2" t="n">
        <f aca="false">'Raw Data'!W4350</f>
        <v>2</v>
      </c>
      <c r="H4350" s="2" t="n">
        <f aca="false">'Raw Data'!V4350</f>
        <v>2</v>
      </c>
      <c r="I4350" s="2" t="n">
        <f aca="false">IF(AND(ISNUMBER(B4350),B4350&lt;=25),2,0)+IF(AND(ISNUMBER(E4350),E4350&lt;=5),2,0)+IF(AND(ISNUMBER(F4350),F4350&lt;=1),2,0)+IF(AND(ISNUMBER(G4350),G4350&lt;=2),1,0)+IF(AND(ISNUMBER(H4350),H4350&lt;=2),1,0)</f>
        <v>2</v>
      </c>
      <c r="J4350" s="2" t="str">
        <f aca="false">IF(I4350&gt;=6,"High",IF(I4350&gt;=3,"Medium","Low"))</f>
        <v>Low</v>
      </c>
    </row>
    <row r="4351" customFormat="false" ht="15" hidden="false" customHeight="true" outlineLevel="0" collapsed="false">
      <c r="A4351" s="2" t="n">
        <f aca="false">'Raw Data'!H4351</f>
        <v>4350</v>
      </c>
      <c r="B4351" s="2" t="n">
        <f aca="false">'Raw Data'!A4351</f>
        <v>42</v>
      </c>
      <c r="C4351" s="2" t="str">
        <f aca="false">'Raw Data'!D4351</f>
        <v>Research &amp; Development</v>
      </c>
      <c r="D4351" s="2" t="str">
        <f aca="false">'Raw Data'!K4351</f>
        <v>Sales Executive</v>
      </c>
      <c r="E4351" s="2" t="n">
        <f aca="false">'Raw Data'!Q4351</f>
        <v>11</v>
      </c>
      <c r="F4351" s="2" t="n">
        <f aca="false">'Raw Data'!U4351</f>
        <v>2</v>
      </c>
      <c r="G4351" s="2" t="n">
        <f aca="false">'Raw Data'!W4351</f>
        <v>3</v>
      </c>
      <c r="H4351" s="2" t="n">
        <f aca="false">'Raw Data'!V4351</f>
        <v>3</v>
      </c>
      <c r="I4351" s="2" t="n">
        <f aca="false">IF(AND(ISNUMBER(B4351),B4351&lt;=25),2,0)+IF(AND(ISNUMBER(E4351),E4351&lt;=5),2,0)+IF(AND(ISNUMBER(F4351),F4351&lt;=1),2,0)+IF(AND(ISNUMBER(G4351),G4351&lt;=2),1,0)+IF(AND(ISNUMBER(H4351),H4351&lt;=2),1,0)</f>
        <v>0</v>
      </c>
      <c r="J4351" s="2" t="str">
        <f aca="false">IF(I4351&gt;=6,"High",IF(I4351&gt;=3,"Medium","Low"))</f>
        <v>Low</v>
      </c>
    </row>
    <row r="4352" customFormat="false" ht="15" hidden="false" customHeight="true" outlineLevel="0" collapsed="false">
      <c r="A4352" s="2" t="n">
        <f aca="false">'Raw Data'!H4352</f>
        <v>4351</v>
      </c>
      <c r="B4352" s="2" t="n">
        <f aca="false">'Raw Data'!A4352</f>
        <v>38</v>
      </c>
      <c r="C4352" s="2" t="str">
        <f aca="false">'Raw Data'!D4352</f>
        <v>Sales</v>
      </c>
      <c r="D4352" s="2" t="str">
        <f aca="false">'Raw Data'!K4352</f>
        <v>Research Scientist</v>
      </c>
      <c r="E4352" s="2" t="n">
        <f aca="false">'Raw Data'!Q4352</f>
        <v>14</v>
      </c>
      <c r="F4352" s="2" t="n">
        <f aca="false">'Raw Data'!U4352</f>
        <v>0</v>
      </c>
      <c r="G4352" s="2" t="n">
        <f aca="false">'Raw Data'!W4352</f>
        <v>3</v>
      </c>
      <c r="H4352" s="2" t="n">
        <f aca="false">'Raw Data'!V4352</f>
        <v>4</v>
      </c>
      <c r="I4352" s="2" t="n">
        <f aca="false">IF(AND(ISNUMBER(B4352),B4352&lt;=25),2,0)+IF(AND(ISNUMBER(E4352),E4352&lt;=5),2,0)+IF(AND(ISNUMBER(F4352),F4352&lt;=1),2,0)+IF(AND(ISNUMBER(G4352),G4352&lt;=2),1,0)+IF(AND(ISNUMBER(H4352),H4352&lt;=2),1,0)</f>
        <v>2</v>
      </c>
      <c r="J4352" s="2" t="str">
        <f aca="false">IF(I4352&gt;=6,"High",IF(I4352&gt;=3,"Medium","Low"))</f>
        <v>Low</v>
      </c>
    </row>
    <row r="4353" customFormat="false" ht="15" hidden="false" customHeight="true" outlineLevel="0" collapsed="false">
      <c r="A4353" s="2" t="n">
        <f aca="false">'Raw Data'!H4353</f>
        <v>4352</v>
      </c>
      <c r="B4353" s="2" t="n">
        <f aca="false">'Raw Data'!A4353</f>
        <v>38</v>
      </c>
      <c r="C4353" s="2" t="str">
        <f aca="false">'Raw Data'!D4353</f>
        <v>Human Resources</v>
      </c>
      <c r="D4353" s="2" t="str">
        <f aca="false">'Raw Data'!K4353</f>
        <v>Manufacturing Director</v>
      </c>
      <c r="E4353" s="2" t="n">
        <f aca="false">'Raw Data'!Q4353</f>
        <v>9</v>
      </c>
      <c r="F4353" s="2" t="n">
        <f aca="false">'Raw Data'!U4353</f>
        <v>7</v>
      </c>
      <c r="G4353" s="2" t="n">
        <f aca="false">'Raw Data'!W4353</f>
        <v>4</v>
      </c>
      <c r="H4353" s="2" t="n">
        <f aca="false">'Raw Data'!V4353</f>
        <v>4</v>
      </c>
      <c r="I4353" s="2" t="n">
        <f aca="false">IF(AND(ISNUMBER(B4353),B4353&lt;=25),2,0)+IF(AND(ISNUMBER(E4353),E4353&lt;=5),2,0)+IF(AND(ISNUMBER(F4353),F4353&lt;=1),2,0)+IF(AND(ISNUMBER(G4353),G4353&lt;=2),1,0)+IF(AND(ISNUMBER(H4353),H4353&lt;=2),1,0)</f>
        <v>0</v>
      </c>
      <c r="J4353" s="2" t="str">
        <f aca="false">IF(I4353&gt;=6,"High",IF(I4353&gt;=3,"Medium","Low"))</f>
        <v>Low</v>
      </c>
    </row>
    <row r="4354" customFormat="false" ht="15" hidden="false" customHeight="true" outlineLevel="0" collapsed="false">
      <c r="A4354" s="2" t="n">
        <f aca="false">'Raw Data'!H4354</f>
        <v>4353</v>
      </c>
      <c r="B4354" s="2" t="n">
        <f aca="false">'Raw Data'!A4354</f>
        <v>27</v>
      </c>
      <c r="C4354" s="2" t="str">
        <f aca="false">'Raw Data'!D4354</f>
        <v>Research &amp; Development</v>
      </c>
      <c r="D4354" s="2" t="str">
        <f aca="false">'Raw Data'!K4354</f>
        <v>Manager</v>
      </c>
      <c r="E4354" s="2" t="n">
        <f aca="false">'Raw Data'!Q4354</f>
        <v>6</v>
      </c>
      <c r="F4354" s="2" t="n">
        <f aca="false">'Raw Data'!U4354</f>
        <v>0</v>
      </c>
      <c r="G4354" s="2" t="n">
        <f aca="false">'Raw Data'!W4354</f>
        <v>1</v>
      </c>
      <c r="H4354" s="2" t="n">
        <f aca="false">'Raw Data'!V4354</f>
        <v>3</v>
      </c>
      <c r="I4354" s="2" t="n">
        <f aca="false">IF(AND(ISNUMBER(B4354),B4354&lt;=25),2,0)+IF(AND(ISNUMBER(E4354),E4354&lt;=5),2,0)+IF(AND(ISNUMBER(F4354),F4354&lt;=1),2,0)+IF(AND(ISNUMBER(G4354),G4354&lt;=2),1,0)+IF(AND(ISNUMBER(H4354),H4354&lt;=2),1,0)</f>
        <v>3</v>
      </c>
      <c r="J4354" s="2" t="str">
        <f aca="false">IF(I4354&gt;=6,"High",IF(I4354&gt;=3,"Medium","Low"))</f>
        <v>Medium</v>
      </c>
    </row>
    <row r="4355" customFormat="false" ht="15" hidden="false" customHeight="true" outlineLevel="0" collapsed="false">
      <c r="A4355" s="2" t="n">
        <f aca="false">'Raw Data'!H4355</f>
        <v>4354</v>
      </c>
      <c r="B4355" s="2" t="n">
        <f aca="false">'Raw Data'!A4355</f>
        <v>49</v>
      </c>
      <c r="C4355" s="2" t="str">
        <f aca="false">'Raw Data'!D4355</f>
        <v>Research &amp; Development</v>
      </c>
      <c r="D4355" s="2" t="str">
        <f aca="false">'Raw Data'!K4355</f>
        <v>Sales Executive</v>
      </c>
      <c r="E4355" s="2" t="n">
        <f aca="false">'Raw Data'!Q4355</f>
        <v>7</v>
      </c>
      <c r="F4355" s="2" t="n">
        <f aca="false">'Raw Data'!U4355</f>
        <v>7</v>
      </c>
      <c r="G4355" s="2" t="n">
        <f aca="false">'Raw Data'!W4355</f>
        <v>4</v>
      </c>
      <c r="H4355" s="2" t="n">
        <f aca="false">'Raw Data'!V4355</f>
        <v>4</v>
      </c>
      <c r="I4355" s="2" t="n">
        <f aca="false">IF(AND(ISNUMBER(B4355),B4355&lt;=25),2,0)+IF(AND(ISNUMBER(E4355),E4355&lt;=5),2,0)+IF(AND(ISNUMBER(F4355),F4355&lt;=1),2,0)+IF(AND(ISNUMBER(G4355),G4355&lt;=2),1,0)+IF(AND(ISNUMBER(H4355),H4355&lt;=2),1,0)</f>
        <v>0</v>
      </c>
      <c r="J4355" s="2" t="str">
        <f aca="false">IF(I4355&gt;=6,"High",IF(I4355&gt;=3,"Medium","Low"))</f>
        <v>Low</v>
      </c>
    </row>
    <row r="4356" customFormat="false" ht="15" hidden="false" customHeight="true" outlineLevel="0" collapsed="false">
      <c r="A4356" s="2" t="n">
        <f aca="false">'Raw Data'!H4356</f>
        <v>4355</v>
      </c>
      <c r="B4356" s="2" t="n">
        <f aca="false">'Raw Data'!A4356</f>
        <v>34</v>
      </c>
      <c r="C4356" s="2" t="str">
        <f aca="false">'Raw Data'!D4356</f>
        <v>Research &amp; Development</v>
      </c>
      <c r="D4356" s="2" t="str">
        <f aca="false">'Raw Data'!K4356</f>
        <v>Sales Representative</v>
      </c>
      <c r="E4356" s="2" t="n">
        <f aca="false">'Raw Data'!Q4356</f>
        <v>5</v>
      </c>
      <c r="F4356" s="2" t="n">
        <f aca="false">'Raw Data'!U4356</f>
        <v>0</v>
      </c>
      <c r="G4356" s="2" t="n">
        <f aca="false">'Raw Data'!W4356</f>
        <v>3</v>
      </c>
      <c r="H4356" s="2" t="n">
        <f aca="false">'Raw Data'!V4356</f>
        <v>4</v>
      </c>
      <c r="I4356" s="2" t="n">
        <f aca="false">IF(AND(ISNUMBER(B4356),B4356&lt;=25),2,0)+IF(AND(ISNUMBER(E4356),E4356&lt;=5),2,0)+IF(AND(ISNUMBER(F4356),F4356&lt;=1),2,0)+IF(AND(ISNUMBER(G4356),G4356&lt;=2),1,0)+IF(AND(ISNUMBER(H4356),H4356&lt;=2),1,0)</f>
        <v>4</v>
      </c>
      <c r="J4356" s="2" t="str">
        <f aca="false">IF(I4356&gt;=6,"High",IF(I4356&gt;=3,"Medium","Low"))</f>
        <v>Medium</v>
      </c>
    </row>
    <row r="4357" customFormat="false" ht="15" hidden="false" customHeight="true" outlineLevel="0" collapsed="false">
      <c r="A4357" s="2" t="n">
        <f aca="false">'Raw Data'!H4357</f>
        <v>4356</v>
      </c>
      <c r="B4357" s="2" t="n">
        <f aca="false">'Raw Data'!A4357</f>
        <v>40</v>
      </c>
      <c r="C4357" s="2" t="str">
        <f aca="false">'Raw Data'!D4357</f>
        <v>Research &amp; Development</v>
      </c>
      <c r="D4357" s="2" t="str">
        <f aca="false">'Raw Data'!K4357</f>
        <v>Laboratory Technician</v>
      </c>
      <c r="E4357" s="2" t="n">
        <f aca="false">'Raw Data'!Q4357</f>
        <v>15</v>
      </c>
      <c r="F4357" s="2" t="n">
        <f aca="false">'Raw Data'!U4357</f>
        <v>7</v>
      </c>
      <c r="G4357" s="2" t="n">
        <f aca="false">'Raw Data'!W4357</f>
        <v>4</v>
      </c>
      <c r="H4357" s="2" t="n">
        <f aca="false">'Raw Data'!V4357</f>
        <v>3</v>
      </c>
      <c r="I4357" s="2" t="n">
        <f aca="false">IF(AND(ISNUMBER(B4357),B4357&lt;=25),2,0)+IF(AND(ISNUMBER(E4357),E4357&lt;=5),2,0)+IF(AND(ISNUMBER(F4357),F4357&lt;=1),2,0)+IF(AND(ISNUMBER(G4357),G4357&lt;=2),1,0)+IF(AND(ISNUMBER(H4357),H4357&lt;=2),1,0)</f>
        <v>0</v>
      </c>
      <c r="J4357" s="2" t="str">
        <f aca="false">IF(I4357&gt;=6,"High",IF(I4357&gt;=3,"Medium","Low"))</f>
        <v>Low</v>
      </c>
    </row>
    <row r="4358" customFormat="false" ht="15" hidden="false" customHeight="true" outlineLevel="0" collapsed="false">
      <c r="A4358" s="2" t="n">
        <f aca="false">'Raw Data'!H4358</f>
        <v>4357</v>
      </c>
      <c r="B4358" s="2" t="n">
        <f aca="false">'Raw Data'!A4358</f>
        <v>38</v>
      </c>
      <c r="C4358" s="2" t="str">
        <f aca="false">'Raw Data'!D4358</f>
        <v>Sales</v>
      </c>
      <c r="D4358" s="2" t="str">
        <f aca="false">'Raw Data'!K4358</f>
        <v>Research Scientist</v>
      </c>
      <c r="E4358" s="2" t="n">
        <f aca="false">'Raw Data'!Q4358</f>
        <v>17</v>
      </c>
      <c r="F4358" s="2" t="n">
        <f aca="false">'Raw Data'!U4358</f>
        <v>0</v>
      </c>
      <c r="G4358" s="2" t="n">
        <f aca="false">'Raw Data'!W4358</f>
        <v>1</v>
      </c>
      <c r="H4358" s="2" t="n">
        <f aca="false">'Raw Data'!V4358</f>
        <v>2</v>
      </c>
      <c r="I4358" s="2" t="n">
        <f aca="false">IF(AND(ISNUMBER(B4358),B4358&lt;=25),2,0)+IF(AND(ISNUMBER(E4358),E4358&lt;=5),2,0)+IF(AND(ISNUMBER(F4358),F4358&lt;=1),2,0)+IF(AND(ISNUMBER(G4358),G4358&lt;=2),1,0)+IF(AND(ISNUMBER(H4358),H4358&lt;=2),1,0)</f>
        <v>4</v>
      </c>
      <c r="J4358" s="2" t="str">
        <f aca="false">IF(I4358&gt;=6,"High",IF(I4358&gt;=3,"Medium","Low"))</f>
        <v>Medium</v>
      </c>
    </row>
    <row r="4359" customFormat="false" ht="15" hidden="false" customHeight="true" outlineLevel="0" collapsed="false">
      <c r="A4359" s="2" t="n">
        <f aca="false">'Raw Data'!H4359</f>
        <v>4358</v>
      </c>
      <c r="B4359" s="2" t="n">
        <f aca="false">'Raw Data'!A4359</f>
        <v>29</v>
      </c>
      <c r="C4359" s="2" t="str">
        <f aca="false">'Raw Data'!D4359</f>
        <v>Sales</v>
      </c>
      <c r="D4359" s="2" t="str">
        <f aca="false">'Raw Data'!K4359</f>
        <v>Research Scientist</v>
      </c>
      <c r="E4359" s="2" t="n">
        <f aca="false">'Raw Data'!Q4359</f>
        <v>10</v>
      </c>
      <c r="F4359" s="2" t="n">
        <f aca="false">'Raw Data'!U4359</f>
        <v>9</v>
      </c>
      <c r="G4359" s="2" t="n">
        <f aca="false">'Raw Data'!W4359</f>
        <v>4</v>
      </c>
      <c r="H4359" s="2" t="n">
        <f aca="false">'Raw Data'!V4359</f>
        <v>2</v>
      </c>
      <c r="I4359" s="2" t="n">
        <f aca="false">IF(AND(ISNUMBER(B4359),B4359&lt;=25),2,0)+IF(AND(ISNUMBER(E4359),E4359&lt;=5),2,0)+IF(AND(ISNUMBER(F4359),F4359&lt;=1),2,0)+IF(AND(ISNUMBER(G4359),G4359&lt;=2),1,0)+IF(AND(ISNUMBER(H4359),H4359&lt;=2),1,0)</f>
        <v>1</v>
      </c>
      <c r="J4359" s="2" t="str">
        <f aca="false">IF(I4359&gt;=6,"High",IF(I4359&gt;=3,"Medium","Low"))</f>
        <v>Low</v>
      </c>
    </row>
    <row r="4360" customFormat="false" ht="15" hidden="false" customHeight="true" outlineLevel="0" collapsed="false">
      <c r="A4360" s="2" t="n">
        <f aca="false">'Raw Data'!H4360</f>
        <v>4359</v>
      </c>
      <c r="B4360" s="2" t="n">
        <f aca="false">'Raw Data'!A4360</f>
        <v>22</v>
      </c>
      <c r="C4360" s="2" t="str">
        <f aca="false">'Raw Data'!D4360</f>
        <v>Research &amp; Development</v>
      </c>
      <c r="D4360" s="2" t="str">
        <f aca="false">'Raw Data'!K4360</f>
        <v>Healthcare Representative</v>
      </c>
      <c r="E4360" s="2" t="n">
        <f aca="false">'Raw Data'!Q4360</f>
        <v>4</v>
      </c>
      <c r="F4360" s="2" t="n">
        <f aca="false">'Raw Data'!U4360</f>
        <v>2</v>
      </c>
      <c r="G4360" s="2" t="n">
        <f aca="false">'Raw Data'!W4360</f>
        <v>2</v>
      </c>
      <c r="H4360" s="2" t="n">
        <f aca="false">'Raw Data'!V4360</f>
        <v>4</v>
      </c>
      <c r="I4360" s="2" t="n">
        <f aca="false">IF(AND(ISNUMBER(B4360),B4360&lt;=25),2,0)+IF(AND(ISNUMBER(E4360),E4360&lt;=5),2,0)+IF(AND(ISNUMBER(F4360),F4360&lt;=1),2,0)+IF(AND(ISNUMBER(G4360),G4360&lt;=2),1,0)+IF(AND(ISNUMBER(H4360),H4360&lt;=2),1,0)</f>
        <v>5</v>
      </c>
      <c r="J4360" s="2" t="str">
        <f aca="false">IF(I4360&gt;=6,"High",IF(I4360&gt;=3,"Medium","Low"))</f>
        <v>Medium</v>
      </c>
    </row>
    <row r="4361" customFormat="false" ht="15" hidden="false" customHeight="true" outlineLevel="0" collapsed="false">
      <c r="A4361" s="2" t="n">
        <f aca="false">'Raw Data'!H4361</f>
        <v>4360</v>
      </c>
      <c r="B4361" s="2" t="n">
        <f aca="false">'Raw Data'!A4361</f>
        <v>36</v>
      </c>
      <c r="C4361" s="2" t="str">
        <f aca="false">'Raw Data'!D4361</f>
        <v>Research &amp; Development</v>
      </c>
      <c r="D4361" s="2" t="str">
        <f aca="false">'Raw Data'!K4361</f>
        <v>Laboratory Technician</v>
      </c>
      <c r="E4361" s="2" t="n">
        <f aca="false">'Raw Data'!Q4361</f>
        <v>8</v>
      </c>
      <c r="F4361" s="2" t="n">
        <f aca="false">'Raw Data'!U4361</f>
        <v>7</v>
      </c>
      <c r="G4361" s="2" t="n">
        <f aca="false">'Raw Data'!W4361</f>
        <v>4</v>
      </c>
      <c r="H4361" s="2" t="n">
        <f aca="false">'Raw Data'!V4361</f>
        <v>2</v>
      </c>
      <c r="I4361" s="2" t="n">
        <f aca="false">IF(AND(ISNUMBER(B4361),B4361&lt;=25),2,0)+IF(AND(ISNUMBER(E4361),E4361&lt;=5),2,0)+IF(AND(ISNUMBER(F4361),F4361&lt;=1),2,0)+IF(AND(ISNUMBER(G4361),G4361&lt;=2),1,0)+IF(AND(ISNUMBER(H4361),H4361&lt;=2),1,0)</f>
        <v>1</v>
      </c>
      <c r="J4361" s="2" t="str">
        <f aca="false">IF(I4361&gt;=6,"High",IF(I4361&gt;=3,"Medium","Low"))</f>
        <v>Low</v>
      </c>
    </row>
    <row r="4362" customFormat="false" ht="15" hidden="false" customHeight="true" outlineLevel="0" collapsed="false">
      <c r="A4362" s="2" t="n">
        <f aca="false">'Raw Data'!H4362</f>
        <v>4361</v>
      </c>
      <c r="B4362" s="2" t="n">
        <f aca="false">'Raw Data'!A4362</f>
        <v>40</v>
      </c>
      <c r="C4362" s="2" t="str">
        <f aca="false">'Raw Data'!D4362</f>
        <v>Research &amp; Development</v>
      </c>
      <c r="D4362" s="2" t="str">
        <f aca="false">'Raw Data'!K4362</f>
        <v>Manufacturing Director</v>
      </c>
      <c r="E4362" s="2" t="n">
        <f aca="false">'Raw Data'!Q4362</f>
        <v>5</v>
      </c>
      <c r="F4362" s="2" t="n">
        <f aca="false">'Raw Data'!U4362</f>
        <v>2</v>
      </c>
      <c r="G4362" s="2" t="n">
        <f aca="false">'Raw Data'!W4362</f>
        <v>4</v>
      </c>
      <c r="H4362" s="2" t="n">
        <f aca="false">'Raw Data'!V4362</f>
        <v>4</v>
      </c>
      <c r="I4362" s="2" t="n">
        <f aca="false">IF(AND(ISNUMBER(B4362),B4362&lt;=25),2,0)+IF(AND(ISNUMBER(E4362),E4362&lt;=5),2,0)+IF(AND(ISNUMBER(F4362),F4362&lt;=1),2,0)+IF(AND(ISNUMBER(G4362),G4362&lt;=2),1,0)+IF(AND(ISNUMBER(H4362),H4362&lt;=2),1,0)</f>
        <v>2</v>
      </c>
      <c r="J4362" s="2" t="str">
        <f aca="false">IF(I4362&gt;=6,"High",IF(I4362&gt;=3,"Medium","Low"))</f>
        <v>Low</v>
      </c>
    </row>
    <row r="4363" customFormat="false" ht="15" hidden="false" customHeight="true" outlineLevel="0" collapsed="false">
      <c r="A4363" s="2" t="n">
        <f aca="false">'Raw Data'!H4363</f>
        <v>4362</v>
      </c>
      <c r="B4363" s="2" t="n">
        <f aca="false">'Raw Data'!A4363</f>
        <v>46</v>
      </c>
      <c r="C4363" s="2" t="str">
        <f aca="false">'Raw Data'!D4363</f>
        <v>Research &amp; Development</v>
      </c>
      <c r="D4363" s="2" t="str">
        <f aca="false">'Raw Data'!K4363</f>
        <v>Research Scientist</v>
      </c>
      <c r="E4363" s="2" t="n">
        <f aca="false">'Raw Data'!Q4363</f>
        <v>17</v>
      </c>
      <c r="F4363" s="2" t="n">
        <f aca="false">'Raw Data'!U4363</f>
        <v>3</v>
      </c>
      <c r="G4363" s="2" t="n">
        <f aca="false">'Raw Data'!W4363</f>
        <v>1</v>
      </c>
      <c r="H4363" s="2" t="n">
        <f aca="false">'Raw Data'!V4363</f>
        <v>4</v>
      </c>
      <c r="I4363" s="2" t="n">
        <f aca="false">IF(AND(ISNUMBER(B4363),B4363&lt;=25),2,0)+IF(AND(ISNUMBER(E4363),E4363&lt;=5),2,0)+IF(AND(ISNUMBER(F4363),F4363&lt;=1),2,0)+IF(AND(ISNUMBER(G4363),G4363&lt;=2),1,0)+IF(AND(ISNUMBER(H4363),H4363&lt;=2),1,0)</f>
        <v>1</v>
      </c>
      <c r="J4363" s="2" t="str">
        <f aca="false">IF(I4363&gt;=6,"High",IF(I4363&gt;=3,"Medium","Low"))</f>
        <v>Low</v>
      </c>
    </row>
    <row r="4364" customFormat="false" ht="15" hidden="false" customHeight="true" outlineLevel="0" collapsed="false">
      <c r="A4364" s="2" t="n">
        <f aca="false">'Raw Data'!H4364</f>
        <v>4363</v>
      </c>
      <c r="B4364" s="2" t="n">
        <f aca="false">'Raw Data'!A4364</f>
        <v>32</v>
      </c>
      <c r="C4364" s="2" t="str">
        <f aca="false">'Raw Data'!D4364</f>
        <v>Research &amp; Development</v>
      </c>
      <c r="D4364" s="2" t="str">
        <f aca="false">'Raw Data'!K4364</f>
        <v>Healthcare Representative</v>
      </c>
      <c r="E4364" s="2" t="n">
        <f aca="false">'Raw Data'!Q4364</f>
        <v>14</v>
      </c>
      <c r="F4364" s="2" t="n">
        <f aca="false">'Raw Data'!U4364</f>
        <v>8</v>
      </c>
      <c r="G4364" s="2" t="n">
        <f aca="false">'Raw Data'!W4364</f>
        <v>4</v>
      </c>
      <c r="H4364" s="2" t="n">
        <f aca="false">'Raw Data'!V4364</f>
        <v>4</v>
      </c>
      <c r="I4364" s="2" t="n">
        <f aca="false">IF(AND(ISNUMBER(B4364),B4364&lt;=25),2,0)+IF(AND(ISNUMBER(E4364),E4364&lt;=5),2,0)+IF(AND(ISNUMBER(F4364),F4364&lt;=1),2,0)+IF(AND(ISNUMBER(G4364),G4364&lt;=2),1,0)+IF(AND(ISNUMBER(H4364),H4364&lt;=2),1,0)</f>
        <v>0</v>
      </c>
      <c r="J4364" s="2" t="str">
        <f aca="false">IF(I4364&gt;=6,"High",IF(I4364&gt;=3,"Medium","Low"))</f>
        <v>Low</v>
      </c>
    </row>
    <row r="4365" customFormat="false" ht="15" hidden="false" customHeight="true" outlineLevel="0" collapsed="false">
      <c r="A4365" s="2" t="n">
        <f aca="false">'Raw Data'!H4365</f>
        <v>4364</v>
      </c>
      <c r="B4365" s="2" t="n">
        <f aca="false">'Raw Data'!A4365</f>
        <v>30</v>
      </c>
      <c r="C4365" s="2" t="str">
        <f aca="false">'Raw Data'!D4365</f>
        <v>Research &amp; Development</v>
      </c>
      <c r="D4365" s="2" t="str">
        <f aca="false">'Raw Data'!K4365</f>
        <v>Healthcare Representative</v>
      </c>
      <c r="E4365" s="2" t="n">
        <f aca="false">'Raw Data'!Q4365</f>
        <v>12</v>
      </c>
      <c r="F4365" s="2" t="n">
        <f aca="false">'Raw Data'!U4365</f>
        <v>8</v>
      </c>
      <c r="G4365" s="2" t="n">
        <f aca="false">'Raw Data'!W4365</f>
        <v>3</v>
      </c>
      <c r="H4365" s="2" t="n">
        <f aca="false">'Raw Data'!V4365</f>
        <v>3</v>
      </c>
      <c r="I4365" s="2" t="n">
        <f aca="false">IF(AND(ISNUMBER(B4365),B4365&lt;=25),2,0)+IF(AND(ISNUMBER(E4365),E4365&lt;=5),2,0)+IF(AND(ISNUMBER(F4365),F4365&lt;=1),2,0)+IF(AND(ISNUMBER(G4365),G4365&lt;=2),1,0)+IF(AND(ISNUMBER(H4365),H4365&lt;=2),1,0)</f>
        <v>0</v>
      </c>
      <c r="J4365" s="2" t="str">
        <f aca="false">IF(I4365&gt;=6,"High",IF(I4365&gt;=3,"Medium","Low"))</f>
        <v>Low</v>
      </c>
    </row>
    <row r="4366" customFormat="false" ht="15" hidden="false" customHeight="true" outlineLevel="0" collapsed="false">
      <c r="A4366" s="2" t="n">
        <f aca="false">'Raw Data'!H4366</f>
        <v>4365</v>
      </c>
      <c r="B4366" s="2" t="n">
        <f aca="false">'Raw Data'!A4366</f>
        <v>27</v>
      </c>
      <c r="C4366" s="2" t="str">
        <f aca="false">'Raw Data'!D4366</f>
        <v>Research &amp; Development</v>
      </c>
      <c r="D4366" s="2" t="str">
        <f aca="false">'Raw Data'!K4366</f>
        <v>Laboratory Technician</v>
      </c>
      <c r="E4366" s="2" t="n">
        <f aca="false">'Raw Data'!Q4366</f>
        <v>7</v>
      </c>
      <c r="F4366" s="2" t="n">
        <f aca="false">'Raw Data'!U4366</f>
        <v>7</v>
      </c>
      <c r="G4366" s="2" t="n">
        <f aca="false">'Raw Data'!W4366</f>
        <v>3</v>
      </c>
      <c r="H4366" s="2" t="n">
        <f aca="false">'Raw Data'!V4366</f>
        <v>4</v>
      </c>
      <c r="I4366" s="2" t="n">
        <f aca="false">IF(AND(ISNUMBER(B4366),B4366&lt;=25),2,0)+IF(AND(ISNUMBER(E4366),E4366&lt;=5),2,0)+IF(AND(ISNUMBER(F4366),F4366&lt;=1),2,0)+IF(AND(ISNUMBER(G4366),G4366&lt;=2),1,0)+IF(AND(ISNUMBER(H4366),H4366&lt;=2),1,0)</f>
        <v>0</v>
      </c>
      <c r="J4366" s="2" t="str">
        <f aca="false">IF(I4366&gt;=6,"High",IF(I4366&gt;=3,"Medium","Low"))</f>
        <v>Low</v>
      </c>
    </row>
    <row r="4367" customFormat="false" ht="15" hidden="false" customHeight="true" outlineLevel="0" collapsed="false">
      <c r="A4367" s="2" t="n">
        <f aca="false">'Raw Data'!H4367</f>
        <v>4366</v>
      </c>
      <c r="B4367" s="2" t="n">
        <f aca="false">'Raw Data'!A4367</f>
        <v>51</v>
      </c>
      <c r="C4367" s="2" t="str">
        <f aca="false">'Raw Data'!D4367</f>
        <v>Research &amp; Development</v>
      </c>
      <c r="D4367" s="2" t="str">
        <f aca="false">'Raw Data'!K4367</f>
        <v>Manufacturing Director</v>
      </c>
      <c r="E4367" s="2" t="n">
        <f aca="false">'Raw Data'!Q4367</f>
        <v>16</v>
      </c>
      <c r="F4367" s="2" t="n">
        <f aca="false">'Raw Data'!U4367</f>
        <v>7</v>
      </c>
      <c r="G4367" s="2" t="n">
        <f aca="false">'Raw Data'!W4367</f>
        <v>2</v>
      </c>
      <c r="H4367" s="2" t="n">
        <f aca="false">'Raw Data'!V4367</f>
        <v>2</v>
      </c>
      <c r="I4367" s="2" t="n">
        <f aca="false">IF(AND(ISNUMBER(B4367),B4367&lt;=25),2,0)+IF(AND(ISNUMBER(E4367),E4367&lt;=5),2,0)+IF(AND(ISNUMBER(F4367),F4367&lt;=1),2,0)+IF(AND(ISNUMBER(G4367),G4367&lt;=2),1,0)+IF(AND(ISNUMBER(H4367),H4367&lt;=2),1,0)</f>
        <v>2</v>
      </c>
      <c r="J4367" s="2" t="str">
        <f aca="false">IF(I4367&gt;=6,"High",IF(I4367&gt;=3,"Medium","Low"))</f>
        <v>Low</v>
      </c>
    </row>
    <row r="4368" customFormat="false" ht="15" hidden="false" customHeight="true" outlineLevel="0" collapsed="false">
      <c r="A4368" s="2" t="n">
        <f aca="false">'Raw Data'!H4368</f>
        <v>4367</v>
      </c>
      <c r="B4368" s="2" t="n">
        <f aca="false">'Raw Data'!A4368</f>
        <v>30</v>
      </c>
      <c r="C4368" s="2" t="str">
        <f aca="false">'Raw Data'!D4368</f>
        <v>Research &amp; Development</v>
      </c>
      <c r="D4368" s="2" t="str">
        <f aca="false">'Raw Data'!K4368</f>
        <v>Research Scientist</v>
      </c>
      <c r="E4368" s="2" t="n">
        <f aca="false">'Raw Data'!Q4368</f>
        <v>8</v>
      </c>
      <c r="F4368" s="2" t="n">
        <f aca="false">'Raw Data'!U4368</f>
        <v>4</v>
      </c>
      <c r="G4368" s="2" t="n">
        <f aca="false">'Raw Data'!W4368</f>
        <v>1</v>
      </c>
      <c r="H4368" s="2" t="n">
        <f aca="false">'Raw Data'!V4368</f>
        <v>4</v>
      </c>
      <c r="I4368" s="2" t="n">
        <f aca="false">IF(AND(ISNUMBER(B4368),B4368&lt;=25),2,0)+IF(AND(ISNUMBER(E4368),E4368&lt;=5),2,0)+IF(AND(ISNUMBER(F4368),F4368&lt;=1),2,0)+IF(AND(ISNUMBER(G4368),G4368&lt;=2),1,0)+IF(AND(ISNUMBER(H4368),H4368&lt;=2),1,0)</f>
        <v>1</v>
      </c>
      <c r="J4368" s="2" t="str">
        <f aca="false">IF(I4368&gt;=6,"High",IF(I4368&gt;=3,"Medium","Low"))</f>
        <v>Low</v>
      </c>
    </row>
    <row r="4369" customFormat="false" ht="15" hidden="false" customHeight="true" outlineLevel="0" collapsed="false">
      <c r="A4369" s="2" t="n">
        <f aca="false">'Raw Data'!H4369</f>
        <v>4368</v>
      </c>
      <c r="B4369" s="2" t="n">
        <f aca="false">'Raw Data'!A4369</f>
        <v>41</v>
      </c>
      <c r="C4369" s="2" t="str">
        <f aca="false">'Raw Data'!D4369</f>
        <v>Research &amp; Development</v>
      </c>
      <c r="D4369" s="2" t="str">
        <f aca="false">'Raw Data'!K4369</f>
        <v>Human Resources</v>
      </c>
      <c r="E4369" s="2" t="n">
        <f aca="false">'Raw Data'!Q4369</f>
        <v>16</v>
      </c>
      <c r="F4369" s="2" t="n">
        <f aca="false">'Raw Data'!U4369</f>
        <v>0</v>
      </c>
      <c r="G4369" s="2" t="n">
        <f aca="false">'Raw Data'!W4369</f>
        <v>4</v>
      </c>
      <c r="H4369" s="2" t="n">
        <f aca="false">'Raw Data'!V4369</f>
        <v>4</v>
      </c>
      <c r="I4369" s="2" t="n">
        <f aca="false">IF(AND(ISNUMBER(B4369),B4369&lt;=25),2,0)+IF(AND(ISNUMBER(E4369),E4369&lt;=5),2,0)+IF(AND(ISNUMBER(F4369),F4369&lt;=1),2,0)+IF(AND(ISNUMBER(G4369),G4369&lt;=2),1,0)+IF(AND(ISNUMBER(H4369),H4369&lt;=2),1,0)</f>
        <v>2</v>
      </c>
      <c r="J4369" s="2" t="str">
        <f aca="false">IF(I4369&gt;=6,"High",IF(I4369&gt;=3,"Medium","Low"))</f>
        <v>Low</v>
      </c>
    </row>
    <row r="4370" customFormat="false" ht="15" hidden="false" customHeight="true" outlineLevel="0" collapsed="false">
      <c r="A4370" s="2" t="n">
        <f aca="false">'Raw Data'!H4370</f>
        <v>4369</v>
      </c>
      <c r="B4370" s="2" t="n">
        <f aca="false">'Raw Data'!A4370</f>
        <v>30</v>
      </c>
      <c r="C4370" s="2" t="str">
        <f aca="false">'Raw Data'!D4370</f>
        <v>Sales</v>
      </c>
      <c r="D4370" s="2" t="str">
        <f aca="false">'Raw Data'!K4370</f>
        <v>Healthcare Representative</v>
      </c>
      <c r="E4370" s="2" t="n">
        <f aca="false">'Raw Data'!Q4370</f>
        <v>9</v>
      </c>
      <c r="F4370" s="2" t="n">
        <f aca="false">'Raw Data'!U4370</f>
        <v>1</v>
      </c>
      <c r="G4370" s="2" t="n">
        <f aca="false">'Raw Data'!W4370</f>
        <v>1</v>
      </c>
      <c r="H4370" s="2" t="n">
        <f aca="false">'Raw Data'!V4370</f>
        <v>3</v>
      </c>
      <c r="I4370" s="2" t="n">
        <f aca="false">IF(AND(ISNUMBER(B4370),B4370&lt;=25),2,0)+IF(AND(ISNUMBER(E4370),E4370&lt;=5),2,0)+IF(AND(ISNUMBER(F4370),F4370&lt;=1),2,0)+IF(AND(ISNUMBER(G4370),G4370&lt;=2),1,0)+IF(AND(ISNUMBER(H4370),H4370&lt;=2),1,0)</f>
        <v>3</v>
      </c>
      <c r="J4370" s="2" t="str">
        <f aca="false">IF(I4370&gt;=6,"High",IF(I4370&gt;=3,"Medium","Low"))</f>
        <v>Medium</v>
      </c>
    </row>
    <row r="4371" customFormat="false" ht="15" hidden="false" customHeight="true" outlineLevel="0" collapsed="false">
      <c r="A4371" s="2" t="n">
        <f aca="false">'Raw Data'!H4371</f>
        <v>4370</v>
      </c>
      <c r="B4371" s="2" t="n">
        <f aca="false">'Raw Data'!A4371</f>
        <v>29</v>
      </c>
      <c r="C4371" s="2" t="str">
        <f aca="false">'Raw Data'!D4371</f>
        <v>Research &amp; Development</v>
      </c>
      <c r="D4371" s="2" t="str">
        <f aca="false">'Raw Data'!K4371</f>
        <v>Sales Executive</v>
      </c>
      <c r="E4371" s="2" t="n">
        <f aca="false">'Raw Data'!Q4371</f>
        <v>7</v>
      </c>
      <c r="F4371" s="2" t="n">
        <f aca="false">'Raw Data'!U4371</f>
        <v>5</v>
      </c>
      <c r="G4371" s="2" t="n">
        <f aca="false">'Raw Data'!W4371</f>
        <v>3</v>
      </c>
      <c r="H4371" s="2" t="n">
        <f aca="false">'Raw Data'!V4371</f>
        <v>3</v>
      </c>
      <c r="I4371" s="2" t="n">
        <f aca="false">IF(AND(ISNUMBER(B4371),B4371&lt;=25),2,0)+IF(AND(ISNUMBER(E4371),E4371&lt;=5),2,0)+IF(AND(ISNUMBER(F4371),F4371&lt;=1),2,0)+IF(AND(ISNUMBER(G4371),G4371&lt;=2),1,0)+IF(AND(ISNUMBER(H4371),H4371&lt;=2),1,0)</f>
        <v>0</v>
      </c>
      <c r="J4371" s="2" t="str">
        <f aca="false">IF(I4371&gt;=6,"High",IF(I4371&gt;=3,"Medium","Low"))</f>
        <v>Low</v>
      </c>
    </row>
    <row r="4372" customFormat="false" ht="15" hidden="false" customHeight="true" outlineLevel="0" collapsed="false">
      <c r="A4372" s="2" t="n">
        <f aca="false">'Raw Data'!H4372</f>
        <v>4371</v>
      </c>
      <c r="B4372" s="2" t="n">
        <f aca="false">'Raw Data'!A4372</f>
        <v>45</v>
      </c>
      <c r="C4372" s="2" t="str">
        <f aca="false">'Raw Data'!D4372</f>
        <v>Research &amp; Development</v>
      </c>
      <c r="D4372" s="2" t="str">
        <f aca="false">'Raw Data'!K4372</f>
        <v>Research Scientist</v>
      </c>
      <c r="E4372" s="2" t="n">
        <f aca="false">'Raw Data'!Q4372</f>
        <v>23</v>
      </c>
      <c r="F4372" s="2" t="n">
        <f aca="false">'Raw Data'!U4372</f>
        <v>8</v>
      </c>
      <c r="G4372" s="2" t="n">
        <f aca="false">'Raw Data'!W4372</f>
        <v>4</v>
      </c>
      <c r="H4372" s="2" t="n">
        <f aca="false">'Raw Data'!V4372</f>
        <v>4</v>
      </c>
      <c r="I4372" s="2" t="n">
        <f aca="false">IF(AND(ISNUMBER(B4372),B4372&lt;=25),2,0)+IF(AND(ISNUMBER(E4372),E4372&lt;=5),2,0)+IF(AND(ISNUMBER(F4372),F4372&lt;=1),2,0)+IF(AND(ISNUMBER(G4372),G4372&lt;=2),1,0)+IF(AND(ISNUMBER(H4372),H4372&lt;=2),1,0)</f>
        <v>0</v>
      </c>
      <c r="J4372" s="2" t="str">
        <f aca="false">IF(I4372&gt;=6,"High",IF(I4372&gt;=3,"Medium","Low"))</f>
        <v>Low</v>
      </c>
    </row>
    <row r="4373" customFormat="false" ht="15" hidden="false" customHeight="true" outlineLevel="0" collapsed="false">
      <c r="A4373" s="2" t="n">
        <f aca="false">'Raw Data'!H4373</f>
        <v>4372</v>
      </c>
      <c r="B4373" s="2" t="n">
        <f aca="false">'Raw Data'!A4373</f>
        <v>54</v>
      </c>
      <c r="C4373" s="2" t="str">
        <f aca="false">'Raw Data'!D4373</f>
        <v>Sales</v>
      </c>
      <c r="D4373" s="2" t="str">
        <f aca="false">'Raw Data'!K4373</f>
        <v>Laboratory Technician</v>
      </c>
      <c r="E4373" s="2" t="n">
        <f aca="false">'Raw Data'!Q4373</f>
        <v>16</v>
      </c>
      <c r="F4373" s="2" t="n">
        <f aca="false">'Raw Data'!U4373</f>
        <v>5</v>
      </c>
      <c r="G4373" s="2" t="n">
        <f aca="false">'Raw Data'!W4373</f>
        <v>1</v>
      </c>
      <c r="H4373" s="2" t="n">
        <f aca="false">'Raw Data'!V4373</f>
        <v>4</v>
      </c>
      <c r="I4373" s="2" t="n">
        <f aca="false">IF(AND(ISNUMBER(B4373),B4373&lt;=25),2,0)+IF(AND(ISNUMBER(E4373),E4373&lt;=5),2,0)+IF(AND(ISNUMBER(F4373),F4373&lt;=1),2,0)+IF(AND(ISNUMBER(G4373),G4373&lt;=2),1,0)+IF(AND(ISNUMBER(H4373),H4373&lt;=2),1,0)</f>
        <v>1</v>
      </c>
      <c r="J4373" s="2" t="str">
        <f aca="false">IF(I4373&gt;=6,"High",IF(I4373&gt;=3,"Medium","Low"))</f>
        <v>Low</v>
      </c>
    </row>
    <row r="4374" customFormat="false" ht="15" hidden="false" customHeight="true" outlineLevel="0" collapsed="false">
      <c r="A4374" s="2" t="n">
        <f aca="false">'Raw Data'!H4374</f>
        <v>4373</v>
      </c>
      <c r="B4374" s="2" t="n">
        <f aca="false">'Raw Data'!A4374</f>
        <v>36</v>
      </c>
      <c r="C4374" s="2" t="str">
        <f aca="false">'Raw Data'!D4374</f>
        <v>Research &amp; Development</v>
      </c>
      <c r="D4374" s="2" t="str">
        <f aca="false">'Raw Data'!K4374</f>
        <v>Healthcare Representative</v>
      </c>
      <c r="E4374" s="2" t="n">
        <f aca="false">'Raw Data'!Q4374</f>
        <v>16</v>
      </c>
      <c r="F4374" s="2" t="n">
        <f aca="false">'Raw Data'!U4374</f>
        <v>7</v>
      </c>
      <c r="G4374" s="2" t="n">
        <f aca="false">'Raw Data'!W4374</f>
        <v>2</v>
      </c>
      <c r="H4374" s="2" t="n">
        <f aca="false">'Raw Data'!V4374</f>
        <v>4</v>
      </c>
      <c r="I4374" s="2" t="n">
        <f aca="false">IF(AND(ISNUMBER(B4374),B4374&lt;=25),2,0)+IF(AND(ISNUMBER(E4374),E4374&lt;=5),2,0)+IF(AND(ISNUMBER(F4374),F4374&lt;=1),2,0)+IF(AND(ISNUMBER(G4374),G4374&lt;=2),1,0)+IF(AND(ISNUMBER(H4374),H4374&lt;=2),1,0)</f>
        <v>1</v>
      </c>
      <c r="J4374" s="2" t="str">
        <f aca="false">IF(I4374&gt;=6,"High",IF(I4374&gt;=3,"Medium","Low"))</f>
        <v>Low</v>
      </c>
    </row>
    <row r="4375" customFormat="false" ht="15" hidden="false" customHeight="true" outlineLevel="0" collapsed="false">
      <c r="A4375" s="2" t="n">
        <f aca="false">'Raw Data'!H4375</f>
        <v>4374</v>
      </c>
      <c r="B4375" s="2" t="n">
        <f aca="false">'Raw Data'!A4375</f>
        <v>33</v>
      </c>
      <c r="C4375" s="2" t="str">
        <f aca="false">'Raw Data'!D4375</f>
        <v>Sales</v>
      </c>
      <c r="D4375" s="2" t="str">
        <f aca="false">'Raw Data'!K4375</f>
        <v>Sales Executive</v>
      </c>
      <c r="E4375" s="2" t="n">
        <f aca="false">'Raw Data'!Q4375</f>
        <v>7</v>
      </c>
      <c r="F4375" s="2" t="n">
        <f aca="false">'Raw Data'!U4375</f>
        <v>1</v>
      </c>
      <c r="G4375" s="2" t="n">
        <f aca="false">'Raw Data'!W4375</f>
        <v>2</v>
      </c>
      <c r="H4375" s="2" t="n">
        <f aca="false">'Raw Data'!V4375</f>
        <v>3</v>
      </c>
      <c r="I4375" s="2" t="n">
        <f aca="false">IF(AND(ISNUMBER(B4375),B4375&lt;=25),2,0)+IF(AND(ISNUMBER(E4375),E4375&lt;=5),2,0)+IF(AND(ISNUMBER(F4375),F4375&lt;=1),2,0)+IF(AND(ISNUMBER(G4375),G4375&lt;=2),1,0)+IF(AND(ISNUMBER(H4375),H4375&lt;=2),1,0)</f>
        <v>3</v>
      </c>
      <c r="J4375" s="2" t="str">
        <f aca="false">IF(I4375&gt;=6,"High",IF(I4375&gt;=3,"Medium","Low"))</f>
        <v>Medium</v>
      </c>
    </row>
    <row r="4376" customFormat="false" ht="15" hidden="false" customHeight="true" outlineLevel="0" collapsed="false">
      <c r="A4376" s="2" t="n">
        <f aca="false">'Raw Data'!H4376</f>
        <v>4375</v>
      </c>
      <c r="B4376" s="2" t="n">
        <f aca="false">'Raw Data'!A4376</f>
        <v>37</v>
      </c>
      <c r="C4376" s="2" t="str">
        <f aca="false">'Raw Data'!D4376</f>
        <v>Sales</v>
      </c>
      <c r="D4376" s="2" t="str">
        <f aca="false">'Raw Data'!K4376</f>
        <v>Laboratory Technician</v>
      </c>
      <c r="E4376" s="2" t="n">
        <f aca="false">'Raw Data'!Q4376</f>
        <v>10</v>
      </c>
      <c r="F4376" s="2" t="n">
        <f aca="false">'Raw Data'!U4376</f>
        <v>7</v>
      </c>
      <c r="G4376" s="2" t="n">
        <f aca="false">'Raw Data'!W4376</f>
        <v>4</v>
      </c>
      <c r="H4376" s="2" t="n">
        <f aca="false">'Raw Data'!V4376</f>
        <v>2</v>
      </c>
      <c r="I4376" s="2" t="n">
        <f aca="false">IF(AND(ISNUMBER(B4376),B4376&lt;=25),2,0)+IF(AND(ISNUMBER(E4376),E4376&lt;=5),2,0)+IF(AND(ISNUMBER(F4376),F4376&lt;=1),2,0)+IF(AND(ISNUMBER(G4376),G4376&lt;=2),1,0)+IF(AND(ISNUMBER(H4376),H4376&lt;=2),1,0)</f>
        <v>1</v>
      </c>
      <c r="J4376" s="2" t="str">
        <f aca="false">IF(I4376&gt;=6,"High",IF(I4376&gt;=3,"Medium","Low"))</f>
        <v>Low</v>
      </c>
    </row>
    <row r="4377" customFormat="false" ht="15" hidden="false" customHeight="true" outlineLevel="0" collapsed="false">
      <c r="A4377" s="2" t="n">
        <f aca="false">'Raw Data'!H4377</f>
        <v>4376</v>
      </c>
      <c r="B4377" s="2" t="n">
        <f aca="false">'Raw Data'!A4377</f>
        <v>38</v>
      </c>
      <c r="C4377" s="2" t="str">
        <f aca="false">'Raw Data'!D4377</f>
        <v>Research &amp; Development</v>
      </c>
      <c r="D4377" s="2" t="str">
        <f aca="false">'Raw Data'!K4377</f>
        <v>Laboratory Technician</v>
      </c>
      <c r="E4377" s="2" t="n">
        <f aca="false">'Raw Data'!Q4377</f>
        <v>17</v>
      </c>
      <c r="F4377" s="2" t="n">
        <f aca="false">'Raw Data'!U4377</f>
        <v>13</v>
      </c>
      <c r="G4377" s="2" t="n">
        <f aca="false">'Raw Data'!W4377</f>
        <v>3</v>
      </c>
      <c r="H4377" s="2" t="n">
        <f aca="false">'Raw Data'!V4377</f>
        <v>1</v>
      </c>
      <c r="I4377" s="2" t="n">
        <f aca="false">IF(AND(ISNUMBER(B4377),B4377&lt;=25),2,0)+IF(AND(ISNUMBER(E4377),E4377&lt;=5),2,0)+IF(AND(ISNUMBER(F4377),F4377&lt;=1),2,0)+IF(AND(ISNUMBER(G4377),G4377&lt;=2),1,0)+IF(AND(ISNUMBER(H4377),H4377&lt;=2),1,0)</f>
        <v>1</v>
      </c>
      <c r="J4377" s="2" t="str">
        <f aca="false">IF(I4377&gt;=6,"High",IF(I4377&gt;=3,"Medium","Low"))</f>
        <v>Low</v>
      </c>
    </row>
    <row r="4378" customFormat="false" ht="15" hidden="false" customHeight="true" outlineLevel="0" collapsed="false">
      <c r="A4378" s="2" t="n">
        <f aca="false">'Raw Data'!H4378</f>
        <v>4377</v>
      </c>
      <c r="B4378" s="2" t="n">
        <f aca="false">'Raw Data'!A4378</f>
        <v>31</v>
      </c>
      <c r="C4378" s="2" t="str">
        <f aca="false">'Raw Data'!D4378</f>
        <v>Sales</v>
      </c>
      <c r="D4378" s="2" t="str">
        <f aca="false">'Raw Data'!K4378</f>
        <v>Research Scientist</v>
      </c>
      <c r="E4378" s="2" t="n">
        <f aca="false">'Raw Data'!Q4378</f>
        <v>6</v>
      </c>
      <c r="F4378" s="2" t="n">
        <f aca="false">'Raw Data'!U4378</f>
        <v>4</v>
      </c>
      <c r="G4378" s="2" t="n">
        <f aca="false">'Raw Data'!W4378</f>
        <v>3</v>
      </c>
      <c r="H4378" s="2" t="n">
        <f aca="false">'Raw Data'!V4378</f>
        <v>3</v>
      </c>
      <c r="I4378" s="2" t="n">
        <f aca="false">IF(AND(ISNUMBER(B4378),B4378&lt;=25),2,0)+IF(AND(ISNUMBER(E4378),E4378&lt;=5),2,0)+IF(AND(ISNUMBER(F4378),F4378&lt;=1),2,0)+IF(AND(ISNUMBER(G4378),G4378&lt;=2),1,0)+IF(AND(ISNUMBER(H4378),H4378&lt;=2),1,0)</f>
        <v>0</v>
      </c>
      <c r="J4378" s="2" t="str">
        <f aca="false">IF(I4378&gt;=6,"High",IF(I4378&gt;=3,"Medium","Low"))</f>
        <v>Low</v>
      </c>
    </row>
    <row r="4379" customFormat="false" ht="15" hidden="false" customHeight="true" outlineLevel="0" collapsed="false">
      <c r="A4379" s="2" t="n">
        <f aca="false">'Raw Data'!H4379</f>
        <v>4378</v>
      </c>
      <c r="B4379" s="2" t="n">
        <f aca="false">'Raw Data'!A4379</f>
        <v>59</v>
      </c>
      <c r="C4379" s="2" t="str">
        <f aca="false">'Raw Data'!D4379</f>
        <v>Research &amp; Development</v>
      </c>
      <c r="D4379" s="2" t="str">
        <f aca="false">'Raw Data'!K4379</f>
        <v>Manager</v>
      </c>
      <c r="E4379" s="2" t="n">
        <f aca="false">'Raw Data'!Q4379</f>
        <v>7</v>
      </c>
      <c r="F4379" s="2" t="n">
        <f aca="false">'Raw Data'!U4379</f>
        <v>0</v>
      </c>
      <c r="G4379" s="2" t="n">
        <f aca="false">'Raw Data'!W4379</f>
        <v>4</v>
      </c>
      <c r="H4379" s="2" t="n">
        <f aca="false">'Raw Data'!V4379</f>
        <v>3</v>
      </c>
      <c r="I4379" s="2" t="n">
        <f aca="false">IF(AND(ISNUMBER(B4379),B4379&lt;=25),2,0)+IF(AND(ISNUMBER(E4379),E4379&lt;=5),2,0)+IF(AND(ISNUMBER(F4379),F4379&lt;=1),2,0)+IF(AND(ISNUMBER(G4379),G4379&lt;=2),1,0)+IF(AND(ISNUMBER(H4379),H4379&lt;=2),1,0)</f>
        <v>2</v>
      </c>
      <c r="J4379" s="2" t="str">
        <f aca="false">IF(I4379&gt;=6,"High",IF(I4379&gt;=3,"Medium","Low"))</f>
        <v>Low</v>
      </c>
    </row>
    <row r="4380" customFormat="false" ht="15" hidden="false" customHeight="true" outlineLevel="0" collapsed="false">
      <c r="A4380" s="2" t="n">
        <f aca="false">'Raw Data'!H4380</f>
        <v>4379</v>
      </c>
      <c r="B4380" s="2" t="n">
        <f aca="false">'Raw Data'!A4380</f>
        <v>37</v>
      </c>
      <c r="C4380" s="2" t="str">
        <f aca="false">'Raw Data'!D4380</f>
        <v>Sales</v>
      </c>
      <c r="D4380" s="2" t="str">
        <f aca="false">'Raw Data'!K4380</f>
        <v>Laboratory Technician</v>
      </c>
      <c r="E4380" s="2" t="n">
        <f aca="false">'Raw Data'!Q4380</f>
        <v>13</v>
      </c>
      <c r="F4380" s="2" t="n">
        <f aca="false">'Raw Data'!U4380</f>
        <v>8</v>
      </c>
      <c r="G4380" s="2" t="n">
        <f aca="false">'Raw Data'!W4380</f>
        <v>4</v>
      </c>
      <c r="H4380" s="2" t="n">
        <f aca="false">'Raw Data'!V4380</f>
        <v>1</v>
      </c>
      <c r="I4380" s="2" t="n">
        <f aca="false">IF(AND(ISNUMBER(B4380),B4380&lt;=25),2,0)+IF(AND(ISNUMBER(E4380),E4380&lt;=5),2,0)+IF(AND(ISNUMBER(F4380),F4380&lt;=1),2,0)+IF(AND(ISNUMBER(G4380),G4380&lt;=2),1,0)+IF(AND(ISNUMBER(H4380),H4380&lt;=2),1,0)</f>
        <v>1</v>
      </c>
      <c r="J4380" s="2" t="str">
        <f aca="false">IF(I4380&gt;=6,"High",IF(I4380&gt;=3,"Medium","Low"))</f>
        <v>Low</v>
      </c>
    </row>
    <row r="4381" customFormat="false" ht="15" hidden="false" customHeight="true" outlineLevel="0" collapsed="false">
      <c r="A4381" s="2" t="n">
        <f aca="false">'Raw Data'!H4381</f>
        <v>4380</v>
      </c>
      <c r="B4381" s="2" t="n">
        <f aca="false">'Raw Data'!A4381</f>
        <v>29</v>
      </c>
      <c r="C4381" s="2" t="str">
        <f aca="false">'Raw Data'!D4381</f>
        <v>Sales</v>
      </c>
      <c r="D4381" s="2" t="str">
        <f aca="false">'Raw Data'!K4381</f>
        <v>Sales Executive</v>
      </c>
      <c r="E4381" s="2" t="n">
        <f aca="false">'Raw Data'!Q4381</f>
        <v>11</v>
      </c>
      <c r="F4381" s="2" t="n">
        <f aca="false">'Raw Data'!U4381</f>
        <v>1</v>
      </c>
      <c r="G4381" s="2" t="n">
        <f aca="false">'Raw Data'!W4381</f>
        <v>4</v>
      </c>
      <c r="H4381" s="2" t="n">
        <f aca="false">'Raw Data'!V4381</f>
        <v>2</v>
      </c>
      <c r="I4381" s="2" t="n">
        <f aca="false">IF(AND(ISNUMBER(B4381),B4381&lt;=25),2,0)+IF(AND(ISNUMBER(E4381),E4381&lt;=5),2,0)+IF(AND(ISNUMBER(F4381),F4381&lt;=1),2,0)+IF(AND(ISNUMBER(G4381),G4381&lt;=2),1,0)+IF(AND(ISNUMBER(H4381),H4381&lt;=2),1,0)</f>
        <v>3</v>
      </c>
      <c r="J4381" s="2" t="str">
        <f aca="false">IF(I4381&gt;=6,"High",IF(I4381&gt;=3,"Medium","Low"))</f>
        <v>Medium</v>
      </c>
    </row>
    <row r="4382" customFormat="false" ht="15" hidden="false" customHeight="true" outlineLevel="0" collapsed="false">
      <c r="A4382" s="2" t="n">
        <f aca="false">'Raw Data'!H4382</f>
        <v>4381</v>
      </c>
      <c r="B4382" s="2" t="n">
        <f aca="false">'Raw Data'!A4382</f>
        <v>35</v>
      </c>
      <c r="C4382" s="2" t="str">
        <f aca="false">'Raw Data'!D4382</f>
        <v>Research &amp; Development</v>
      </c>
      <c r="D4382" s="2" t="str">
        <f aca="false">'Raw Data'!K4382</f>
        <v>Sales Executive</v>
      </c>
      <c r="E4382" s="2" t="n">
        <f aca="false">'Raw Data'!Q4382</f>
        <v>10</v>
      </c>
      <c r="F4382" s="2" t="n">
        <f aca="false">'Raw Data'!U4382</f>
        <v>8</v>
      </c>
      <c r="G4382" s="2" t="n">
        <f aca="false">'Raw Data'!W4382</f>
        <v>3</v>
      </c>
      <c r="H4382" s="2" t="n">
        <f aca="false">'Raw Data'!V4382</f>
        <v>3</v>
      </c>
      <c r="I4382" s="2" t="n">
        <f aca="false">IF(AND(ISNUMBER(B4382),B4382&lt;=25),2,0)+IF(AND(ISNUMBER(E4382),E4382&lt;=5),2,0)+IF(AND(ISNUMBER(F4382),F4382&lt;=1),2,0)+IF(AND(ISNUMBER(G4382),G4382&lt;=2),1,0)+IF(AND(ISNUMBER(H4382),H4382&lt;=2),1,0)</f>
        <v>0</v>
      </c>
      <c r="J4382" s="2" t="str">
        <f aca="false">IF(I4382&gt;=6,"High",IF(I4382&gt;=3,"Medium","Low"))</f>
        <v>Low</v>
      </c>
    </row>
    <row r="4383" customFormat="false" ht="15" hidden="false" customHeight="true" outlineLevel="0" collapsed="false">
      <c r="A4383" s="2" t="n">
        <f aca="false">'Raw Data'!H4383</f>
        <v>4382</v>
      </c>
      <c r="B4383" s="2" t="n">
        <f aca="false">'Raw Data'!A4383</f>
        <v>29</v>
      </c>
      <c r="C4383" s="2" t="str">
        <f aca="false">'Raw Data'!D4383</f>
        <v>Research &amp; Development</v>
      </c>
      <c r="D4383" s="2" t="str">
        <f aca="false">'Raw Data'!K4383</f>
        <v>Research Scientist</v>
      </c>
      <c r="E4383" s="2" t="n">
        <f aca="false">'Raw Data'!Q4383</f>
        <v>4</v>
      </c>
      <c r="F4383" s="2" t="n">
        <f aca="false">'Raw Data'!U4383</f>
        <v>1</v>
      </c>
      <c r="G4383" s="2" t="n">
        <f aca="false">'Raw Data'!W4383</f>
        <v>4</v>
      </c>
      <c r="H4383" s="2" t="n">
        <f aca="false">'Raw Data'!V4383</f>
        <v>3</v>
      </c>
      <c r="I4383" s="2" t="n">
        <f aca="false">IF(AND(ISNUMBER(B4383),B4383&lt;=25),2,0)+IF(AND(ISNUMBER(E4383),E4383&lt;=5),2,0)+IF(AND(ISNUMBER(F4383),F4383&lt;=1),2,0)+IF(AND(ISNUMBER(G4383),G4383&lt;=2),1,0)+IF(AND(ISNUMBER(H4383),H4383&lt;=2),1,0)</f>
        <v>4</v>
      </c>
      <c r="J4383" s="2" t="str">
        <f aca="false">IF(I4383&gt;=6,"High",IF(I4383&gt;=3,"Medium","Low"))</f>
        <v>Medium</v>
      </c>
    </row>
    <row r="4384" customFormat="false" ht="15" hidden="false" customHeight="true" outlineLevel="0" collapsed="false">
      <c r="A4384" s="2" t="n">
        <f aca="false">'Raw Data'!H4384</f>
        <v>4383</v>
      </c>
      <c r="B4384" s="2" t="n">
        <f aca="false">'Raw Data'!A4384</f>
        <v>52</v>
      </c>
      <c r="C4384" s="2" t="str">
        <f aca="false">'Raw Data'!D4384</f>
        <v>Research &amp; Development</v>
      </c>
      <c r="D4384" s="2" t="str">
        <f aca="false">'Raw Data'!K4384</f>
        <v>Manager</v>
      </c>
      <c r="E4384" s="2" t="n">
        <f aca="false">'Raw Data'!Q4384</f>
        <v>6</v>
      </c>
      <c r="F4384" s="2" t="n">
        <f aca="false">'Raw Data'!U4384</f>
        <v>2</v>
      </c>
      <c r="G4384" s="2" t="n">
        <f aca="false">'Raw Data'!W4384</f>
        <v>4</v>
      </c>
      <c r="H4384" s="2" t="n">
        <f aca="false">'Raw Data'!V4384</f>
        <v>3</v>
      </c>
      <c r="I4384" s="2" t="n">
        <f aca="false">IF(AND(ISNUMBER(B4384),B4384&lt;=25),2,0)+IF(AND(ISNUMBER(E4384),E4384&lt;=5),2,0)+IF(AND(ISNUMBER(F4384),F4384&lt;=1),2,0)+IF(AND(ISNUMBER(G4384),G4384&lt;=2),1,0)+IF(AND(ISNUMBER(H4384),H4384&lt;=2),1,0)</f>
        <v>0</v>
      </c>
      <c r="J4384" s="2" t="str">
        <f aca="false">IF(I4384&gt;=6,"High",IF(I4384&gt;=3,"Medium","Low"))</f>
        <v>Low</v>
      </c>
    </row>
    <row r="4385" customFormat="false" ht="15" hidden="false" customHeight="true" outlineLevel="0" collapsed="false">
      <c r="A4385" s="2" t="n">
        <f aca="false">'Raw Data'!H4385</f>
        <v>4384</v>
      </c>
      <c r="B4385" s="2" t="n">
        <f aca="false">'Raw Data'!A4385</f>
        <v>42</v>
      </c>
      <c r="C4385" s="2" t="str">
        <f aca="false">'Raw Data'!D4385</f>
        <v>Research &amp; Development</v>
      </c>
      <c r="D4385" s="2" t="str">
        <f aca="false">'Raw Data'!K4385</f>
        <v>Sales Executive</v>
      </c>
      <c r="E4385" s="2" t="n">
        <f aca="false">'Raw Data'!Q4385</f>
        <v>22</v>
      </c>
      <c r="F4385" s="2" t="n">
        <f aca="false">'Raw Data'!U4385</f>
        <v>15</v>
      </c>
      <c r="G4385" s="2" t="n">
        <f aca="false">'Raw Data'!W4385</f>
        <v>4</v>
      </c>
      <c r="H4385" s="2" t="n">
        <f aca="false">'Raw Data'!V4385</f>
        <v>3</v>
      </c>
      <c r="I4385" s="2" t="n">
        <f aca="false">IF(AND(ISNUMBER(B4385),B4385&lt;=25),2,0)+IF(AND(ISNUMBER(E4385),E4385&lt;=5),2,0)+IF(AND(ISNUMBER(F4385),F4385&lt;=1),2,0)+IF(AND(ISNUMBER(G4385),G4385&lt;=2),1,0)+IF(AND(ISNUMBER(H4385),H4385&lt;=2),1,0)</f>
        <v>0</v>
      </c>
      <c r="J4385" s="2" t="str">
        <f aca="false">IF(I4385&gt;=6,"High",IF(I4385&gt;=3,"Medium","Low"))</f>
        <v>Low</v>
      </c>
    </row>
    <row r="4386" customFormat="false" ht="15" hidden="false" customHeight="true" outlineLevel="0" collapsed="false">
      <c r="A4386" s="2" t="n">
        <f aca="false">'Raw Data'!H4386</f>
        <v>4385</v>
      </c>
      <c r="B4386" s="2" t="n">
        <f aca="false">'Raw Data'!A4386</f>
        <v>59</v>
      </c>
      <c r="C4386" s="2" t="str">
        <f aca="false">'Raw Data'!D4386</f>
        <v>Research &amp; Development</v>
      </c>
      <c r="D4386" s="2" t="str">
        <f aca="false">'Raw Data'!K4386</f>
        <v>Healthcare Representative</v>
      </c>
      <c r="E4386" s="2" t="n">
        <f aca="false">'Raw Data'!Q4386</f>
        <v>7</v>
      </c>
      <c r="F4386" s="2" t="n">
        <f aca="false">'Raw Data'!U4386</f>
        <v>2</v>
      </c>
      <c r="G4386" s="2" t="n">
        <f aca="false">'Raw Data'!W4386</f>
        <v>3</v>
      </c>
      <c r="H4386" s="2" t="n">
        <f aca="false">'Raw Data'!V4386</f>
        <v>2</v>
      </c>
      <c r="I4386" s="2" t="n">
        <f aca="false">IF(AND(ISNUMBER(B4386),B4386&lt;=25),2,0)+IF(AND(ISNUMBER(E4386),E4386&lt;=5),2,0)+IF(AND(ISNUMBER(F4386),F4386&lt;=1),2,0)+IF(AND(ISNUMBER(G4386),G4386&lt;=2),1,0)+IF(AND(ISNUMBER(H4386),H4386&lt;=2),1,0)</f>
        <v>1</v>
      </c>
      <c r="J4386" s="2" t="str">
        <f aca="false">IF(I4386&gt;=6,"High",IF(I4386&gt;=3,"Medium","Low"))</f>
        <v>Low</v>
      </c>
    </row>
    <row r="4387" customFormat="false" ht="15" hidden="false" customHeight="true" outlineLevel="0" collapsed="false">
      <c r="A4387" s="2" t="n">
        <f aca="false">'Raw Data'!H4387</f>
        <v>4386</v>
      </c>
      <c r="B4387" s="2" t="n">
        <f aca="false">'Raw Data'!A4387</f>
        <v>50</v>
      </c>
      <c r="C4387" s="2" t="str">
        <f aca="false">'Raw Data'!D4387</f>
        <v>Research &amp; Development</v>
      </c>
      <c r="D4387" s="2" t="str">
        <f aca="false">'Raw Data'!K4387</f>
        <v>Sales Executive</v>
      </c>
      <c r="E4387" s="2" t="n">
        <f aca="false">'Raw Data'!Q4387</f>
        <v>32</v>
      </c>
      <c r="F4387" s="2" t="n">
        <f aca="false">'Raw Data'!U4387</f>
        <v>6</v>
      </c>
      <c r="G4387" s="2" t="n">
        <f aca="false">'Raw Data'!W4387</f>
        <v>4</v>
      </c>
      <c r="H4387" s="2" t="n">
        <f aca="false">'Raw Data'!V4387</f>
        <v>4</v>
      </c>
      <c r="I4387" s="2" t="n">
        <f aca="false">IF(AND(ISNUMBER(B4387),B4387&lt;=25),2,0)+IF(AND(ISNUMBER(E4387),E4387&lt;=5),2,0)+IF(AND(ISNUMBER(F4387),F4387&lt;=1),2,0)+IF(AND(ISNUMBER(G4387),G4387&lt;=2),1,0)+IF(AND(ISNUMBER(H4387),H4387&lt;=2),1,0)</f>
        <v>0</v>
      </c>
      <c r="J4387" s="2" t="str">
        <f aca="false">IF(I4387&gt;=6,"High",IF(I4387&gt;=3,"Medium","Low"))</f>
        <v>Low</v>
      </c>
    </row>
    <row r="4388" customFormat="false" ht="15" hidden="false" customHeight="true" outlineLevel="0" collapsed="false">
      <c r="A4388" s="2" t="n">
        <f aca="false">'Raw Data'!H4388</f>
        <v>4387</v>
      </c>
      <c r="B4388" s="2" t="n">
        <f aca="false">'Raw Data'!A4388</f>
        <v>33</v>
      </c>
      <c r="C4388" s="2" t="str">
        <f aca="false">'Raw Data'!D4388</f>
        <v>Sales</v>
      </c>
      <c r="D4388" s="2" t="str">
        <f aca="false">'Raw Data'!K4388</f>
        <v>Research Scientist</v>
      </c>
      <c r="E4388" s="2" t="n">
        <f aca="false">'Raw Data'!Q4388</f>
        <v>8</v>
      </c>
      <c r="F4388" s="2" t="n">
        <f aca="false">'Raw Data'!U4388</f>
        <v>4</v>
      </c>
      <c r="G4388" s="2" t="n">
        <f aca="false">'Raw Data'!W4388</f>
        <v>4</v>
      </c>
      <c r="H4388" s="2" t="n">
        <f aca="false">'Raw Data'!V4388</f>
        <v>3</v>
      </c>
      <c r="I4388" s="2" t="n">
        <f aca="false">IF(AND(ISNUMBER(B4388),B4388&lt;=25),2,0)+IF(AND(ISNUMBER(E4388),E4388&lt;=5),2,0)+IF(AND(ISNUMBER(F4388),F4388&lt;=1),2,0)+IF(AND(ISNUMBER(G4388),G4388&lt;=2),1,0)+IF(AND(ISNUMBER(H4388),H4388&lt;=2),1,0)</f>
        <v>0</v>
      </c>
      <c r="J4388" s="2" t="str">
        <f aca="false">IF(I4388&gt;=6,"High",IF(I4388&gt;=3,"Medium","Low"))</f>
        <v>Low</v>
      </c>
    </row>
    <row r="4389" customFormat="false" ht="15" hidden="false" customHeight="true" outlineLevel="0" collapsed="false">
      <c r="A4389" s="2" t="n">
        <f aca="false">'Raw Data'!H4389</f>
        <v>4388</v>
      </c>
      <c r="B4389" s="2" t="n">
        <f aca="false">'Raw Data'!A4389</f>
        <v>43</v>
      </c>
      <c r="C4389" s="2" t="str">
        <f aca="false">'Raw Data'!D4389</f>
        <v>Sales</v>
      </c>
      <c r="D4389" s="2" t="str">
        <f aca="false">'Raw Data'!K4389</f>
        <v>Manufacturing Director</v>
      </c>
      <c r="E4389" s="2" t="n">
        <f aca="false">'Raw Data'!Q4389</f>
        <v>22</v>
      </c>
      <c r="F4389" s="2" t="n">
        <f aca="false">'Raw Data'!U4389</f>
        <v>9</v>
      </c>
      <c r="G4389" s="2" t="n">
        <f aca="false">'Raw Data'!W4389</f>
        <v>4</v>
      </c>
      <c r="H4389" s="2" t="n">
        <f aca="false">'Raw Data'!V4389</f>
        <v>4</v>
      </c>
      <c r="I4389" s="2" t="n">
        <f aca="false">IF(AND(ISNUMBER(B4389),B4389&lt;=25),2,0)+IF(AND(ISNUMBER(E4389),E4389&lt;=5),2,0)+IF(AND(ISNUMBER(F4389),F4389&lt;=1),2,0)+IF(AND(ISNUMBER(G4389),G4389&lt;=2),1,0)+IF(AND(ISNUMBER(H4389),H4389&lt;=2),1,0)</f>
        <v>0</v>
      </c>
      <c r="J4389" s="2" t="str">
        <f aca="false">IF(I4389&gt;=6,"High",IF(I4389&gt;=3,"Medium","Low"))</f>
        <v>Low</v>
      </c>
    </row>
    <row r="4390" customFormat="false" ht="15" hidden="false" customHeight="true" outlineLevel="0" collapsed="false">
      <c r="A4390" s="2" t="n">
        <f aca="false">'Raw Data'!H4390</f>
        <v>4389</v>
      </c>
      <c r="B4390" s="2" t="n">
        <f aca="false">'Raw Data'!A4390</f>
        <v>33</v>
      </c>
      <c r="C4390" s="2" t="str">
        <f aca="false">'Raw Data'!D4390</f>
        <v>Sales</v>
      </c>
      <c r="D4390" s="2" t="str">
        <f aca="false">'Raw Data'!K4390</f>
        <v>Manager</v>
      </c>
      <c r="E4390" s="2" t="n">
        <f aca="false">'Raw Data'!Q4390</f>
        <v>13</v>
      </c>
      <c r="F4390" s="2" t="n">
        <f aca="false">'Raw Data'!U4390</f>
        <v>7</v>
      </c>
      <c r="G4390" s="2" t="n">
        <f aca="false">'Raw Data'!W4390</f>
        <v>1</v>
      </c>
      <c r="H4390" s="2" t="n">
        <f aca="false">'Raw Data'!V4390</f>
        <v>1</v>
      </c>
      <c r="I4390" s="2" t="n">
        <f aca="false">IF(AND(ISNUMBER(B4390),B4390&lt;=25),2,0)+IF(AND(ISNUMBER(E4390),E4390&lt;=5),2,0)+IF(AND(ISNUMBER(F4390),F4390&lt;=1),2,0)+IF(AND(ISNUMBER(G4390),G4390&lt;=2),1,0)+IF(AND(ISNUMBER(H4390),H4390&lt;=2),1,0)</f>
        <v>2</v>
      </c>
      <c r="J4390" s="2" t="str">
        <f aca="false">IF(I4390&gt;=6,"High",IF(I4390&gt;=3,"Medium","Low"))</f>
        <v>Low</v>
      </c>
    </row>
    <row r="4391" customFormat="false" ht="15" hidden="false" customHeight="true" outlineLevel="0" collapsed="false">
      <c r="A4391" s="2" t="n">
        <f aca="false">'Raw Data'!H4391</f>
        <v>4390</v>
      </c>
      <c r="B4391" s="2" t="n">
        <f aca="false">'Raw Data'!A4391</f>
        <v>52</v>
      </c>
      <c r="C4391" s="2" t="str">
        <f aca="false">'Raw Data'!D4391</f>
        <v>Research &amp; Development</v>
      </c>
      <c r="D4391" s="2" t="str">
        <f aca="false">'Raw Data'!K4391</f>
        <v>Sales Executive</v>
      </c>
      <c r="E4391" s="2" t="n">
        <f aca="false">'Raw Data'!Q4391</f>
        <v>33</v>
      </c>
      <c r="F4391" s="2" t="n">
        <f aca="false">'Raw Data'!U4391</f>
        <v>12</v>
      </c>
      <c r="G4391" s="2" t="n">
        <f aca="false">'Raw Data'!W4391</f>
        <v>3</v>
      </c>
      <c r="H4391" s="2" t="n">
        <f aca="false">'Raw Data'!V4391</f>
        <v>1</v>
      </c>
      <c r="I4391" s="2" t="n">
        <f aca="false">IF(AND(ISNUMBER(B4391),B4391&lt;=25),2,0)+IF(AND(ISNUMBER(E4391),E4391&lt;=5),2,0)+IF(AND(ISNUMBER(F4391),F4391&lt;=1),2,0)+IF(AND(ISNUMBER(G4391),G4391&lt;=2),1,0)+IF(AND(ISNUMBER(H4391),H4391&lt;=2),1,0)</f>
        <v>1</v>
      </c>
      <c r="J4391" s="2" t="str">
        <f aca="false">IF(I4391&gt;=6,"High",IF(I4391&gt;=3,"Medium","Low"))</f>
        <v>Low</v>
      </c>
    </row>
    <row r="4392" customFormat="false" ht="15" hidden="false" customHeight="true" outlineLevel="0" collapsed="false">
      <c r="A4392" s="2" t="n">
        <f aca="false">'Raw Data'!H4392</f>
        <v>4391</v>
      </c>
      <c r="B4392" s="2" t="n">
        <f aca="false">'Raw Data'!A4392</f>
        <v>32</v>
      </c>
      <c r="C4392" s="2" t="str">
        <f aca="false">'Raw Data'!D4392</f>
        <v>Human Resources</v>
      </c>
      <c r="D4392" s="2" t="str">
        <f aca="false">'Raw Data'!K4392</f>
        <v>Manufacturing Director</v>
      </c>
      <c r="E4392" s="2" t="n">
        <f aca="false">'Raw Data'!Q4392</f>
        <v>6</v>
      </c>
      <c r="F4392" s="2" t="n">
        <f aca="false">'Raw Data'!U4392</f>
        <v>2</v>
      </c>
      <c r="G4392" s="2" t="n">
        <f aca="false">'Raw Data'!W4392</f>
        <v>2</v>
      </c>
      <c r="H4392" s="2" t="n">
        <f aca="false">'Raw Data'!V4392</f>
        <v>3</v>
      </c>
      <c r="I4392" s="2" t="n">
        <f aca="false">IF(AND(ISNUMBER(B4392),B4392&lt;=25),2,0)+IF(AND(ISNUMBER(E4392),E4392&lt;=5),2,0)+IF(AND(ISNUMBER(F4392),F4392&lt;=1),2,0)+IF(AND(ISNUMBER(G4392),G4392&lt;=2),1,0)+IF(AND(ISNUMBER(H4392),H4392&lt;=2),1,0)</f>
        <v>1</v>
      </c>
      <c r="J4392" s="2" t="str">
        <f aca="false">IF(I4392&gt;=6,"High",IF(I4392&gt;=3,"Medium","Low"))</f>
        <v>Low</v>
      </c>
    </row>
    <row r="4393" customFormat="false" ht="15" hidden="false" customHeight="true" outlineLevel="0" collapsed="false">
      <c r="A4393" s="2" t="n">
        <f aca="false">'Raw Data'!H4393</f>
        <v>4392</v>
      </c>
      <c r="B4393" s="2" t="n">
        <f aca="false">'Raw Data'!A4393</f>
        <v>32</v>
      </c>
      <c r="C4393" s="2" t="str">
        <f aca="false">'Raw Data'!D4393</f>
        <v>Sales</v>
      </c>
      <c r="D4393" s="2" t="str">
        <f aca="false">'Raw Data'!K4393</f>
        <v>Healthcare Representative</v>
      </c>
      <c r="E4393" s="2" t="n">
        <f aca="false">'Raw Data'!Q4393</f>
        <v>4</v>
      </c>
      <c r="F4393" s="2" t="n">
        <f aca="false">'Raw Data'!U4393</f>
        <v>2</v>
      </c>
      <c r="G4393" s="2" t="n">
        <f aca="false">'Raw Data'!W4393</f>
        <v>3</v>
      </c>
      <c r="H4393" s="2" t="n">
        <f aca="false">'Raw Data'!V4393</f>
        <v>4</v>
      </c>
      <c r="I4393" s="2" t="n">
        <f aca="false">IF(AND(ISNUMBER(B4393),B4393&lt;=25),2,0)+IF(AND(ISNUMBER(E4393),E4393&lt;=5),2,0)+IF(AND(ISNUMBER(F4393),F4393&lt;=1),2,0)+IF(AND(ISNUMBER(G4393),G4393&lt;=2),1,0)+IF(AND(ISNUMBER(H4393),H4393&lt;=2),1,0)</f>
        <v>2</v>
      </c>
      <c r="J4393" s="2" t="str">
        <f aca="false">IF(I4393&gt;=6,"High",IF(I4393&gt;=3,"Medium","Low"))</f>
        <v>Low</v>
      </c>
    </row>
    <row r="4394" customFormat="false" ht="15" hidden="false" customHeight="true" outlineLevel="0" collapsed="false">
      <c r="A4394" s="2" t="n">
        <f aca="false">'Raw Data'!H4394</f>
        <v>4393</v>
      </c>
      <c r="B4394" s="2" t="n">
        <f aca="false">'Raw Data'!A4394</f>
        <v>39</v>
      </c>
      <c r="C4394" s="2" t="str">
        <f aca="false">'Raw Data'!D4394</f>
        <v>Sales</v>
      </c>
      <c r="D4394" s="2" t="str">
        <f aca="false">'Raw Data'!K4394</f>
        <v>Research Director</v>
      </c>
      <c r="E4394" s="2" t="n">
        <f aca="false">'Raw Data'!Q4394</f>
        <v>7</v>
      </c>
      <c r="F4394" s="2" t="n">
        <f aca="false">'Raw Data'!U4394</f>
        <v>2</v>
      </c>
      <c r="G4394" s="2" t="n">
        <f aca="false">'Raw Data'!W4394</f>
        <v>3</v>
      </c>
      <c r="H4394" s="2" t="n">
        <f aca="false">'Raw Data'!V4394</f>
        <v>3</v>
      </c>
      <c r="I4394" s="2" t="n">
        <f aca="false">IF(AND(ISNUMBER(B4394),B4394&lt;=25),2,0)+IF(AND(ISNUMBER(E4394),E4394&lt;=5),2,0)+IF(AND(ISNUMBER(F4394),F4394&lt;=1),2,0)+IF(AND(ISNUMBER(G4394),G4394&lt;=2),1,0)+IF(AND(ISNUMBER(H4394),H4394&lt;=2),1,0)</f>
        <v>0</v>
      </c>
      <c r="J4394" s="2" t="str">
        <f aca="false">IF(I4394&gt;=6,"High",IF(I4394&gt;=3,"Medium","Low"))</f>
        <v>Low</v>
      </c>
    </row>
    <row r="4395" customFormat="false" ht="15" hidden="false" customHeight="true" outlineLevel="0" collapsed="false">
      <c r="A4395" s="2" t="n">
        <f aca="false">'Raw Data'!H4395</f>
        <v>4394</v>
      </c>
      <c r="B4395" s="2" t="n">
        <f aca="false">'Raw Data'!A4395</f>
        <v>32</v>
      </c>
      <c r="C4395" s="2" t="str">
        <f aca="false">'Raw Data'!D4395</f>
        <v>Sales</v>
      </c>
      <c r="D4395" s="2" t="str">
        <f aca="false">'Raw Data'!K4395</f>
        <v>Research Scientist</v>
      </c>
      <c r="E4395" s="2" t="n">
        <f aca="false">'Raw Data'!Q4395</f>
        <v>4</v>
      </c>
      <c r="F4395" s="2" t="n">
        <f aca="false">'Raw Data'!U4395</f>
        <v>2</v>
      </c>
      <c r="G4395" s="2" t="n">
        <f aca="false">'Raw Data'!W4395</f>
        <v>4</v>
      </c>
      <c r="H4395" s="2" t="n">
        <f aca="false">'Raw Data'!V4395</f>
        <v>3</v>
      </c>
      <c r="I4395" s="2" t="n">
        <f aca="false">IF(AND(ISNUMBER(B4395),B4395&lt;=25),2,0)+IF(AND(ISNUMBER(E4395),E4395&lt;=5),2,0)+IF(AND(ISNUMBER(F4395),F4395&lt;=1),2,0)+IF(AND(ISNUMBER(G4395),G4395&lt;=2),1,0)+IF(AND(ISNUMBER(H4395),H4395&lt;=2),1,0)</f>
        <v>2</v>
      </c>
      <c r="J4395" s="2" t="str">
        <f aca="false">IF(I4395&gt;=6,"High",IF(I4395&gt;=3,"Medium","Low"))</f>
        <v>Low</v>
      </c>
    </row>
    <row r="4396" customFormat="false" ht="15" hidden="false" customHeight="true" outlineLevel="0" collapsed="false">
      <c r="A4396" s="2" t="n">
        <f aca="false">'Raw Data'!H4396</f>
        <v>4395</v>
      </c>
      <c r="B4396" s="2" t="n">
        <f aca="false">'Raw Data'!A4396</f>
        <v>41</v>
      </c>
      <c r="C4396" s="2" t="str">
        <f aca="false">'Raw Data'!D4396</f>
        <v>Sales</v>
      </c>
      <c r="D4396" s="2" t="str">
        <f aca="false">'Raw Data'!K4396</f>
        <v>Laboratory Technician</v>
      </c>
      <c r="E4396" s="2" t="n">
        <f aca="false">'Raw Data'!Q4396</f>
        <v>17</v>
      </c>
      <c r="F4396" s="2" t="n">
        <f aca="false">'Raw Data'!U4396</f>
        <v>0</v>
      </c>
      <c r="G4396" s="2" t="n">
        <f aca="false">'Raw Data'!W4396</f>
        <v>1</v>
      </c>
      <c r="H4396" s="2" t="n">
        <f aca="false">'Raw Data'!V4396</f>
        <v>3</v>
      </c>
      <c r="I4396" s="2" t="n">
        <f aca="false">IF(AND(ISNUMBER(B4396),B4396&lt;=25),2,0)+IF(AND(ISNUMBER(E4396),E4396&lt;=5),2,0)+IF(AND(ISNUMBER(F4396),F4396&lt;=1),2,0)+IF(AND(ISNUMBER(G4396),G4396&lt;=2),1,0)+IF(AND(ISNUMBER(H4396),H4396&lt;=2),1,0)</f>
        <v>3</v>
      </c>
      <c r="J4396" s="2" t="str">
        <f aca="false">IF(I4396&gt;=6,"High",IF(I4396&gt;=3,"Medium","Low"))</f>
        <v>Medium</v>
      </c>
    </row>
    <row r="4397" customFormat="false" ht="15" hidden="false" customHeight="true" outlineLevel="0" collapsed="false">
      <c r="A4397" s="2" t="n">
        <f aca="false">'Raw Data'!H4397</f>
        <v>4396</v>
      </c>
      <c r="B4397" s="2" t="n">
        <f aca="false">'Raw Data'!A4397</f>
        <v>40</v>
      </c>
      <c r="C4397" s="2" t="str">
        <f aca="false">'Raw Data'!D4397</f>
        <v>Research &amp; Development</v>
      </c>
      <c r="D4397" s="2" t="str">
        <f aca="false">'Raw Data'!K4397</f>
        <v>Manufacturing Director</v>
      </c>
      <c r="E4397" s="2" t="n">
        <f aca="false">'Raw Data'!Q4397</f>
        <v>9</v>
      </c>
      <c r="F4397" s="2" t="n">
        <f aca="false">'Raw Data'!U4397</f>
        <v>7</v>
      </c>
      <c r="G4397" s="2" t="n">
        <f aca="false">'Raw Data'!W4397</f>
        <v>4</v>
      </c>
      <c r="H4397" s="2" t="n">
        <f aca="false">'Raw Data'!V4397</f>
        <v>1</v>
      </c>
      <c r="I4397" s="2" t="n">
        <f aca="false">IF(AND(ISNUMBER(B4397),B4397&lt;=25),2,0)+IF(AND(ISNUMBER(E4397),E4397&lt;=5),2,0)+IF(AND(ISNUMBER(F4397),F4397&lt;=1),2,0)+IF(AND(ISNUMBER(G4397),G4397&lt;=2),1,0)+IF(AND(ISNUMBER(H4397),H4397&lt;=2),1,0)</f>
        <v>1</v>
      </c>
      <c r="J4397" s="2" t="str">
        <f aca="false">IF(I4397&gt;=6,"High",IF(I4397&gt;=3,"Medium","Low"))</f>
        <v>Low</v>
      </c>
    </row>
    <row r="4398" customFormat="false" ht="15" hidden="false" customHeight="true" outlineLevel="0" collapsed="false">
      <c r="A4398" s="2" t="n">
        <f aca="false">'Raw Data'!H4398</f>
        <v>4397</v>
      </c>
      <c r="B4398" s="2" t="n">
        <f aca="false">'Raw Data'!A4398</f>
        <v>45</v>
      </c>
      <c r="C4398" s="2" t="str">
        <f aca="false">'Raw Data'!D4398</f>
        <v>Research &amp; Development</v>
      </c>
      <c r="D4398" s="2" t="str">
        <f aca="false">'Raw Data'!K4398</f>
        <v>Sales Representative</v>
      </c>
      <c r="E4398" s="2" t="n">
        <f aca="false">'Raw Data'!Q4398</f>
        <v>25</v>
      </c>
      <c r="F4398" s="2" t="n">
        <f aca="false">'Raw Data'!U4398</f>
        <v>7</v>
      </c>
      <c r="G4398" s="2" t="n">
        <f aca="false">'Raw Data'!W4398</f>
        <v>4</v>
      </c>
      <c r="H4398" s="2" t="n">
        <f aca="false">'Raw Data'!V4398</f>
        <v>3</v>
      </c>
      <c r="I4398" s="2" t="n">
        <f aca="false">IF(AND(ISNUMBER(B4398),B4398&lt;=25),2,0)+IF(AND(ISNUMBER(E4398),E4398&lt;=5),2,0)+IF(AND(ISNUMBER(F4398),F4398&lt;=1),2,0)+IF(AND(ISNUMBER(G4398),G4398&lt;=2),1,0)+IF(AND(ISNUMBER(H4398),H4398&lt;=2),1,0)</f>
        <v>0</v>
      </c>
      <c r="J4398" s="2" t="str">
        <f aca="false">IF(I4398&gt;=6,"High",IF(I4398&gt;=3,"Medium","Low"))</f>
        <v>Low</v>
      </c>
    </row>
    <row r="4399" customFormat="false" ht="15" hidden="false" customHeight="true" outlineLevel="0" collapsed="false">
      <c r="A4399" s="2" t="n">
        <f aca="false">'Raw Data'!H4399</f>
        <v>4398</v>
      </c>
      <c r="B4399" s="2" t="n">
        <f aca="false">'Raw Data'!A4399</f>
        <v>31</v>
      </c>
      <c r="C4399" s="2" t="str">
        <f aca="false">'Raw Data'!D4399</f>
        <v>Research &amp; Development</v>
      </c>
      <c r="D4399" s="2" t="str">
        <f aca="false">'Raw Data'!K4399</f>
        <v>Research Scientist</v>
      </c>
      <c r="E4399" s="2" t="n">
        <f aca="false">'Raw Data'!Q4399</f>
        <v>9</v>
      </c>
      <c r="F4399" s="2" t="n">
        <f aca="false">'Raw Data'!U4399</f>
        <v>2</v>
      </c>
      <c r="G4399" s="2" t="n">
        <f aca="false">'Raw Data'!W4399</f>
        <v>3</v>
      </c>
      <c r="H4399" s="2" t="n">
        <f aca="false">'Raw Data'!V4399</f>
        <v>2</v>
      </c>
      <c r="I4399" s="2" t="n">
        <f aca="false">IF(AND(ISNUMBER(B4399),B4399&lt;=25),2,0)+IF(AND(ISNUMBER(E4399),E4399&lt;=5),2,0)+IF(AND(ISNUMBER(F4399),F4399&lt;=1),2,0)+IF(AND(ISNUMBER(G4399),G4399&lt;=2),1,0)+IF(AND(ISNUMBER(H4399),H4399&lt;=2),1,0)</f>
        <v>1</v>
      </c>
      <c r="J4399" s="2" t="str">
        <f aca="false">IF(I4399&gt;=6,"High",IF(I4399&gt;=3,"Medium","Low"))</f>
        <v>Low</v>
      </c>
    </row>
    <row r="4400" customFormat="false" ht="15" hidden="false" customHeight="true" outlineLevel="0" collapsed="false">
      <c r="A4400" s="2" t="n">
        <f aca="false">'Raw Data'!H4400</f>
        <v>4399</v>
      </c>
      <c r="B4400" s="2" t="n">
        <f aca="false">'Raw Data'!A4400</f>
        <v>33</v>
      </c>
      <c r="C4400" s="2" t="str">
        <f aca="false">'Raw Data'!D4400</f>
        <v>Research &amp; Development</v>
      </c>
      <c r="D4400" s="2" t="str">
        <f aca="false">'Raw Data'!K4400</f>
        <v>Sales Executive</v>
      </c>
      <c r="E4400" s="2" t="n">
        <f aca="false">'Raw Data'!Q4400</f>
        <v>2</v>
      </c>
      <c r="F4400" s="2" t="n">
        <f aca="false">'Raw Data'!U4400</f>
        <v>2</v>
      </c>
      <c r="G4400" s="2" t="n">
        <f aca="false">'Raw Data'!W4400</f>
        <v>4</v>
      </c>
      <c r="H4400" s="2" t="n">
        <f aca="false">'Raw Data'!V4400</f>
        <v>3</v>
      </c>
      <c r="I4400" s="2" t="n">
        <f aca="false">IF(AND(ISNUMBER(B4400),B4400&lt;=25),2,0)+IF(AND(ISNUMBER(E4400),E4400&lt;=5),2,0)+IF(AND(ISNUMBER(F4400),F4400&lt;=1),2,0)+IF(AND(ISNUMBER(G4400),G4400&lt;=2),1,0)+IF(AND(ISNUMBER(H4400),H4400&lt;=2),1,0)</f>
        <v>2</v>
      </c>
      <c r="J4400" s="2" t="str">
        <f aca="false">IF(I4400&gt;=6,"High",IF(I4400&gt;=3,"Medium","Low"))</f>
        <v>Low</v>
      </c>
    </row>
    <row r="4401" customFormat="false" ht="15" hidden="false" customHeight="true" outlineLevel="0" collapsed="false">
      <c r="A4401" s="2" t="n">
        <f aca="false">'Raw Data'!H4401</f>
        <v>4400</v>
      </c>
      <c r="B4401" s="2" t="n">
        <f aca="false">'Raw Data'!A4401</f>
        <v>34</v>
      </c>
      <c r="C4401" s="2" t="str">
        <f aca="false">'Raw Data'!D4401</f>
        <v>Research &amp; Development</v>
      </c>
      <c r="D4401" s="2" t="str">
        <f aca="false">'Raw Data'!K4401</f>
        <v>Sales Executive</v>
      </c>
      <c r="E4401" s="2" t="n">
        <f aca="false">'Raw Data'!Q4401</f>
        <v>13</v>
      </c>
      <c r="F4401" s="2" t="n">
        <f aca="false">'Raw Data'!U4401</f>
        <v>9</v>
      </c>
      <c r="G4401" s="2" t="n">
        <f aca="false">'Raw Data'!W4401</f>
        <v>1</v>
      </c>
      <c r="H4401" s="2" t="n">
        <f aca="false">'Raw Data'!V4401</f>
        <v>4</v>
      </c>
      <c r="I4401" s="2" t="n">
        <f aca="false">IF(AND(ISNUMBER(B4401),B4401&lt;=25),2,0)+IF(AND(ISNUMBER(E4401),E4401&lt;=5),2,0)+IF(AND(ISNUMBER(F4401),F4401&lt;=1),2,0)+IF(AND(ISNUMBER(G4401),G4401&lt;=2),1,0)+IF(AND(ISNUMBER(H4401),H4401&lt;=2),1,0)</f>
        <v>1</v>
      </c>
      <c r="J4401" s="2" t="str">
        <f aca="false">IF(I4401&gt;=6,"High",IF(I4401&gt;=3,"Medium","Low"))</f>
        <v>Low</v>
      </c>
    </row>
    <row r="4402" customFormat="false" ht="15" hidden="false" customHeight="true" outlineLevel="0" collapsed="false">
      <c r="A4402" s="2" t="n">
        <f aca="false">'Raw Data'!H4402</f>
        <v>4401</v>
      </c>
      <c r="B4402" s="2" t="n">
        <f aca="false">'Raw Data'!A4402</f>
        <v>37</v>
      </c>
      <c r="C4402" s="2" t="str">
        <f aca="false">'Raw Data'!D4402</f>
        <v>Research &amp; Development</v>
      </c>
      <c r="D4402" s="2" t="str">
        <f aca="false">'Raw Data'!K4402</f>
        <v>Manufacturing Director</v>
      </c>
      <c r="E4402" s="2" t="n">
        <f aca="false">'Raw Data'!Q4402</f>
        <v>17</v>
      </c>
      <c r="F4402" s="2" t="n">
        <f aca="false">'Raw Data'!U4402</f>
        <v>2</v>
      </c>
      <c r="G4402" s="2" t="n">
        <f aca="false">'Raw Data'!W4402</f>
        <v>1</v>
      </c>
      <c r="H4402" s="2" t="n">
        <f aca="false">'Raw Data'!V4402</f>
        <v>3</v>
      </c>
      <c r="I4402" s="2" t="n">
        <f aca="false">IF(AND(ISNUMBER(B4402),B4402&lt;=25),2,0)+IF(AND(ISNUMBER(E4402),E4402&lt;=5),2,0)+IF(AND(ISNUMBER(F4402),F4402&lt;=1),2,0)+IF(AND(ISNUMBER(G4402),G4402&lt;=2),1,0)+IF(AND(ISNUMBER(H4402),H4402&lt;=2),1,0)</f>
        <v>1</v>
      </c>
      <c r="J4402" s="2" t="str">
        <f aca="false">IF(I4402&gt;=6,"High",IF(I4402&gt;=3,"Medium","Low"))</f>
        <v>Low</v>
      </c>
    </row>
    <row r="4403" customFormat="false" ht="15" hidden="false" customHeight="true" outlineLevel="0" collapsed="false">
      <c r="A4403" s="2" t="n">
        <f aca="false">'Raw Data'!H4403</f>
        <v>4402</v>
      </c>
      <c r="B4403" s="2" t="n">
        <f aca="false">'Raw Data'!A4403</f>
        <v>45</v>
      </c>
      <c r="C4403" s="2" t="str">
        <f aca="false">'Raw Data'!D4403</f>
        <v>Sales</v>
      </c>
      <c r="D4403" s="2" t="str">
        <f aca="false">'Raw Data'!K4403</f>
        <v>Research Scientist</v>
      </c>
      <c r="E4403" s="2" t="n">
        <f aca="false">'Raw Data'!Q4403</f>
        <v>9</v>
      </c>
      <c r="F4403" s="2" t="n">
        <f aca="false">'Raw Data'!U4403</f>
        <v>2</v>
      </c>
      <c r="G4403" s="2" t="n">
        <f aca="false">'Raw Data'!W4403</f>
        <v>3</v>
      </c>
      <c r="H4403" s="2" t="n">
        <f aca="false">'Raw Data'!V4403</f>
        <v>1</v>
      </c>
      <c r="I4403" s="2" t="n">
        <f aca="false">IF(AND(ISNUMBER(B4403),B4403&lt;=25),2,0)+IF(AND(ISNUMBER(E4403),E4403&lt;=5),2,0)+IF(AND(ISNUMBER(F4403),F4403&lt;=1),2,0)+IF(AND(ISNUMBER(G4403),G4403&lt;=2),1,0)+IF(AND(ISNUMBER(H4403),H4403&lt;=2),1,0)</f>
        <v>1</v>
      </c>
      <c r="J4403" s="2" t="str">
        <f aca="false">IF(I4403&gt;=6,"High",IF(I4403&gt;=3,"Medium","Low"))</f>
        <v>Low</v>
      </c>
    </row>
    <row r="4404" customFormat="false" ht="15" hidden="false" customHeight="true" outlineLevel="0" collapsed="false">
      <c r="A4404" s="2" t="n">
        <f aca="false">'Raw Data'!H4404</f>
        <v>4403</v>
      </c>
      <c r="B4404" s="2" t="n">
        <f aca="false">'Raw Data'!A4404</f>
        <v>37</v>
      </c>
      <c r="C4404" s="2" t="str">
        <f aca="false">'Raw Data'!D4404</f>
        <v>Sales</v>
      </c>
      <c r="D4404" s="2" t="str">
        <f aca="false">'Raw Data'!K4404</f>
        <v>Laboratory Technician</v>
      </c>
      <c r="E4404" s="2" t="n">
        <f aca="false">'Raw Data'!Q4404</f>
        <v>17</v>
      </c>
      <c r="F4404" s="2" t="n">
        <f aca="false">'Raw Data'!U4404</f>
        <v>0</v>
      </c>
      <c r="G4404" s="2" t="n">
        <f aca="false">'Raw Data'!W4404</f>
        <v>3</v>
      </c>
      <c r="H4404" s="2" t="n">
        <f aca="false">'Raw Data'!V4404</f>
        <v>1</v>
      </c>
      <c r="I4404" s="2" t="n">
        <f aca="false">IF(AND(ISNUMBER(B4404),B4404&lt;=25),2,0)+IF(AND(ISNUMBER(E4404),E4404&lt;=5),2,0)+IF(AND(ISNUMBER(F4404),F4404&lt;=1),2,0)+IF(AND(ISNUMBER(G4404),G4404&lt;=2),1,0)+IF(AND(ISNUMBER(H4404),H4404&lt;=2),1,0)</f>
        <v>3</v>
      </c>
      <c r="J4404" s="2" t="str">
        <f aca="false">IF(I4404&gt;=6,"High",IF(I4404&gt;=3,"Medium","Low"))</f>
        <v>Medium</v>
      </c>
    </row>
    <row r="4405" customFormat="false" ht="15" hidden="false" customHeight="true" outlineLevel="0" collapsed="false">
      <c r="A4405" s="2" t="n">
        <f aca="false">'Raw Data'!H4405</f>
        <v>4404</v>
      </c>
      <c r="B4405" s="2" t="n">
        <f aca="false">'Raw Data'!A4405</f>
        <v>39</v>
      </c>
      <c r="C4405" s="2" t="str">
        <f aca="false">'Raw Data'!D4405</f>
        <v>Research &amp; Development</v>
      </c>
      <c r="D4405" s="2" t="str">
        <f aca="false">'Raw Data'!K4405</f>
        <v>Manufacturing Director</v>
      </c>
      <c r="E4405" s="2" t="n">
        <f aca="false">'Raw Data'!Q4405</f>
        <v>20</v>
      </c>
      <c r="F4405" s="2" t="n">
        <f aca="false">'Raw Data'!U4405</f>
        <v>8</v>
      </c>
      <c r="G4405" s="2" t="n">
        <f aca="false">'Raw Data'!W4405</f>
        <v>3</v>
      </c>
      <c r="H4405" s="2" t="n">
        <f aca="false">'Raw Data'!V4405</f>
        <v>3</v>
      </c>
      <c r="I4405" s="2" t="n">
        <f aca="false">IF(AND(ISNUMBER(B4405),B4405&lt;=25),2,0)+IF(AND(ISNUMBER(E4405),E4405&lt;=5),2,0)+IF(AND(ISNUMBER(F4405),F4405&lt;=1),2,0)+IF(AND(ISNUMBER(G4405),G4405&lt;=2),1,0)+IF(AND(ISNUMBER(H4405),H4405&lt;=2),1,0)</f>
        <v>0</v>
      </c>
      <c r="J4405" s="2" t="str">
        <f aca="false">IF(I4405&gt;=6,"High",IF(I4405&gt;=3,"Medium","Low"))</f>
        <v>Low</v>
      </c>
    </row>
    <row r="4406" customFormat="false" ht="15" hidden="false" customHeight="true" outlineLevel="0" collapsed="false">
      <c r="A4406" s="2" t="n">
        <f aca="false">'Raw Data'!H4406</f>
        <v>4405</v>
      </c>
      <c r="B4406" s="2" t="n">
        <f aca="false">'Raw Data'!A4406</f>
        <v>29</v>
      </c>
      <c r="C4406" s="2" t="str">
        <f aca="false">'Raw Data'!D4406</f>
        <v>Sales</v>
      </c>
      <c r="D4406" s="2" t="str">
        <f aca="false">'Raw Data'!K4406</f>
        <v>Human Resources</v>
      </c>
      <c r="E4406" s="2" t="n">
        <f aca="false">'Raw Data'!Q4406</f>
        <v>6</v>
      </c>
      <c r="F4406" s="2" t="n">
        <f aca="false">'Raw Data'!U4406</f>
        <v>5</v>
      </c>
      <c r="G4406" s="2" t="n">
        <f aca="false">'Raw Data'!W4406</f>
        <v>4</v>
      </c>
      <c r="H4406" s="2" t="n">
        <f aca="false">'Raw Data'!V4406</f>
        <v>3</v>
      </c>
      <c r="I4406" s="2" t="n">
        <f aca="false">IF(AND(ISNUMBER(B4406),B4406&lt;=25),2,0)+IF(AND(ISNUMBER(E4406),E4406&lt;=5),2,0)+IF(AND(ISNUMBER(F4406),F4406&lt;=1),2,0)+IF(AND(ISNUMBER(G4406),G4406&lt;=2),1,0)+IF(AND(ISNUMBER(H4406),H4406&lt;=2),1,0)</f>
        <v>0</v>
      </c>
      <c r="J4406" s="2" t="str">
        <f aca="false">IF(I4406&gt;=6,"High",IF(I4406&gt;=3,"Medium","Low"))</f>
        <v>Low</v>
      </c>
    </row>
    <row r="4407" customFormat="false" ht="15" hidden="false" customHeight="true" outlineLevel="0" collapsed="false">
      <c r="A4407" s="2" t="n">
        <f aca="false">'Raw Data'!H4407</f>
        <v>4406</v>
      </c>
      <c r="B4407" s="2" t="n">
        <f aca="false">'Raw Data'!A4407</f>
        <v>42</v>
      </c>
      <c r="C4407" s="2" t="str">
        <f aca="false">'Raw Data'!D4407</f>
        <v>Research &amp; Development</v>
      </c>
      <c r="D4407" s="2" t="str">
        <f aca="false">'Raw Data'!K4407</f>
        <v>Research Scientist</v>
      </c>
      <c r="E4407" s="2" t="n">
        <f aca="false">'Raw Data'!Q4407</f>
        <v>10</v>
      </c>
      <c r="F4407" s="2" t="n">
        <f aca="false">'Raw Data'!U4407</f>
        <v>2</v>
      </c>
      <c r="G4407" s="2" t="n">
        <f aca="false">'Raw Data'!W4407</f>
        <v>1</v>
      </c>
      <c r="H4407" s="2" t="n">
        <f aca="false">'Raw Data'!V4407</f>
        <v>4</v>
      </c>
      <c r="I4407" s="2" t="n">
        <f aca="false">IF(AND(ISNUMBER(B4407),B4407&lt;=25),2,0)+IF(AND(ISNUMBER(E4407),E4407&lt;=5),2,0)+IF(AND(ISNUMBER(F4407),F4407&lt;=1),2,0)+IF(AND(ISNUMBER(G4407),G4407&lt;=2),1,0)+IF(AND(ISNUMBER(H4407),H4407&lt;=2),1,0)</f>
        <v>1</v>
      </c>
      <c r="J4407" s="2" t="str">
        <f aca="false">IF(I4407&gt;=6,"High",IF(I4407&gt;=3,"Medium","Low"))</f>
        <v>Low</v>
      </c>
    </row>
    <row r="4408" customFormat="false" ht="15" hidden="false" customHeight="true" outlineLevel="0" collapsed="false">
      <c r="A4408" s="2" t="n">
        <f aca="false">'Raw Data'!H4408</f>
        <v>4407</v>
      </c>
      <c r="B4408" s="2" t="n">
        <f aca="false">'Raw Data'!A4408</f>
        <v>29</v>
      </c>
      <c r="C4408" s="2" t="str">
        <f aca="false">'Raw Data'!D4408</f>
        <v>Research &amp; Development</v>
      </c>
      <c r="D4408" s="2" t="str">
        <f aca="false">'Raw Data'!K4408</f>
        <v>Laboratory Technician</v>
      </c>
      <c r="E4408" s="2" t="n">
        <f aca="false">'Raw Data'!Q4408</f>
        <v>10</v>
      </c>
      <c r="F4408" s="2" t="n">
        <f aca="false">'Raw Data'!U4408</f>
        <v>2</v>
      </c>
      <c r="G4408" s="2" t="n">
        <f aca="false">'Raw Data'!W4408</f>
        <v>4</v>
      </c>
      <c r="H4408" s="2" t="n">
        <f aca="false">'Raw Data'!V4408</f>
        <v>4</v>
      </c>
      <c r="I4408" s="2" t="n">
        <f aca="false">IF(AND(ISNUMBER(B4408),B4408&lt;=25),2,0)+IF(AND(ISNUMBER(E4408),E4408&lt;=5),2,0)+IF(AND(ISNUMBER(F4408),F4408&lt;=1),2,0)+IF(AND(ISNUMBER(G4408),G4408&lt;=2),1,0)+IF(AND(ISNUMBER(H4408),H4408&lt;=2),1,0)</f>
        <v>0</v>
      </c>
      <c r="J4408" s="2" t="str">
        <f aca="false">IF(I4408&gt;=6,"High",IF(I4408&gt;=3,"Medium","Low"))</f>
        <v>Low</v>
      </c>
    </row>
    <row r="4409" customFormat="false" ht="15" hidden="false" customHeight="true" outlineLevel="0" collapsed="false">
      <c r="A4409" s="2" t="n">
        <f aca="false">'Raw Data'!H4409</f>
        <v>4408</v>
      </c>
      <c r="B4409" s="2" t="n">
        <f aca="false">'Raw Data'!A4409</f>
        <v>25</v>
      </c>
      <c r="C4409" s="2" t="str">
        <f aca="false">'Raw Data'!D4409</f>
        <v>Research &amp; Development</v>
      </c>
      <c r="D4409" s="2" t="str">
        <f aca="false">'Raw Data'!K4409</f>
        <v>Sales Executive</v>
      </c>
      <c r="E4409" s="2" t="n">
        <f aca="false">'Raw Data'!Q4409</f>
        <v>5</v>
      </c>
      <c r="F4409" s="2" t="n">
        <f aca="false">'Raw Data'!U4409</f>
        <v>2</v>
      </c>
      <c r="G4409" s="2" t="n">
        <f aca="false">'Raw Data'!W4409</f>
        <v>3</v>
      </c>
      <c r="H4409" s="2" t="n">
        <f aca="false">'Raw Data'!V4409</f>
        <v>1</v>
      </c>
      <c r="I4409" s="2" t="n">
        <f aca="false">IF(AND(ISNUMBER(B4409),B4409&lt;=25),2,0)+IF(AND(ISNUMBER(E4409),E4409&lt;=5),2,0)+IF(AND(ISNUMBER(F4409),F4409&lt;=1),2,0)+IF(AND(ISNUMBER(G4409),G4409&lt;=2),1,0)+IF(AND(ISNUMBER(H4409),H4409&lt;=2),1,0)</f>
        <v>5</v>
      </c>
      <c r="J4409" s="2" t="str">
        <f aca="false">IF(I4409&gt;=6,"High",IF(I4409&gt;=3,"Medium","Low"))</f>
        <v>Medium</v>
      </c>
    </row>
    <row r="4410" customFormat="false" ht="15" hidden="false" customHeight="true" outlineLevel="0" collapsed="false">
      <c r="A4410" s="2" t="n">
        <f aca="false">'Raw Data'!H4410</f>
        <v>4409</v>
      </c>
      <c r="B4410" s="2" t="n">
        <f aca="false">'Raw Data'!A4410</f>
        <v>42</v>
      </c>
      <c r="C4410" s="2" t="str">
        <f aca="false">'Raw Data'!D4410</f>
        <v>Sales</v>
      </c>
      <c r="D4410" s="2" t="str">
        <f aca="false">'Raw Data'!K4410</f>
        <v>Laboratory Technician</v>
      </c>
      <c r="E4410" s="2" t="n">
        <f aca="false">'Raw Data'!Q4410</f>
        <v>10</v>
      </c>
      <c r="F4410" s="2" t="n">
        <f aca="false">'Raw Data'!U4410</f>
        <v>8</v>
      </c>
      <c r="G4410" s="2" t="n">
        <f aca="false">'Raw Data'!W4410</f>
        <v>1</v>
      </c>
      <c r="H4410" s="2" t="n">
        <f aca="false">'Raw Data'!V4410</f>
        <v>4</v>
      </c>
      <c r="I4410" s="2" t="n">
        <f aca="false">IF(AND(ISNUMBER(B4410),B4410&lt;=25),2,0)+IF(AND(ISNUMBER(E4410),E4410&lt;=5),2,0)+IF(AND(ISNUMBER(F4410),F4410&lt;=1),2,0)+IF(AND(ISNUMBER(G4410),G4410&lt;=2),1,0)+IF(AND(ISNUMBER(H4410),H4410&lt;=2),1,0)</f>
        <v>1</v>
      </c>
      <c r="J4410" s="2" t="str">
        <f aca="false">IF(I4410&gt;=6,"High",IF(I4410&gt;=3,"Medium","Low"))</f>
        <v>Low</v>
      </c>
    </row>
    <row r="4411" customFormat="false" ht="15" hidden="false" customHeight="true" outlineLevel="0" collapsed="false">
      <c r="A4411" s="2" t="n">
        <f aca="false">'Raw Data'!H4411</f>
        <v>4410</v>
      </c>
      <c r="B4411" s="2" t="n">
        <f aca="false">'Raw Data'!A4411</f>
        <v>40</v>
      </c>
      <c r="C4411" s="2" t="str">
        <f aca="false">'Raw Data'!D4411</f>
        <v>Research &amp; Development</v>
      </c>
      <c r="D4411" s="2" t="str">
        <f aca="false">'Raw Data'!K4411</f>
        <v>Laboratory Technician</v>
      </c>
      <c r="E4411" s="2" t="n">
        <f aca="false">'Raw Data'!Q4411</f>
        <v>0</v>
      </c>
      <c r="F4411" s="2" t="n">
        <f aca="false">'Raw Data'!U4411</f>
        <v>9</v>
      </c>
      <c r="G4411" s="2" t="n">
        <f aca="false">'Raw Data'!W4411</f>
        <v>3</v>
      </c>
      <c r="H4411" s="2" t="n">
        <f aca="false">'Raw Data'!V4411</f>
        <v>1</v>
      </c>
      <c r="I4411" s="2" t="n">
        <f aca="false">IF(AND(ISNUMBER(B4411),B4411&lt;=25),2,0)+IF(AND(ISNUMBER(E4411),E4411&lt;=5),2,0)+IF(AND(ISNUMBER(F4411),F4411&lt;=1),2,0)+IF(AND(ISNUMBER(G4411),G4411&lt;=2),1,0)+IF(AND(ISNUMBER(H4411),H4411&lt;=2),1,0)</f>
        <v>1</v>
      </c>
      <c r="J4411" s="2" t="str">
        <f aca="false">IF(I4411&gt;=6,"High",IF(I4411&gt;=3,"Medium","Low"))</f>
        <v>Low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0"/>
  </cols>
  <sheetData>
    <row r="1" customFormat="false" ht="16.15" hidden="false" customHeight="false" outlineLevel="0" collapsed="false">
      <c r="A1" s="5" t="s">
        <v>67</v>
      </c>
    </row>
    <row r="3" customFormat="false" ht="15" hidden="false" customHeight="false" outlineLevel="0" collapsed="false">
      <c r="A3" s="6" t="s">
        <v>7</v>
      </c>
      <c r="B3" s="6" t="s">
        <v>0</v>
      </c>
      <c r="C3" s="6" t="s">
        <v>3</v>
      </c>
      <c r="D3" s="6" t="s">
        <v>10</v>
      </c>
      <c r="E3" s="6" t="s">
        <v>16</v>
      </c>
      <c r="F3" s="6" t="s">
        <v>20</v>
      </c>
      <c r="G3" s="6" t="s">
        <v>22</v>
      </c>
      <c r="H3" s="6" t="s">
        <v>21</v>
      </c>
      <c r="I3" s="6" t="s">
        <v>65</v>
      </c>
    </row>
    <row r="4" customFormat="false" ht="15" hidden="false" customHeight="false" outlineLevel="0" collapsed="false">
      <c r="A4" s="7" t="n">
        <f aca="false">'Risk Score'!A201</f>
        <v>200</v>
      </c>
      <c r="B4" s="7" t="n">
        <f aca="false">'Risk Score'!B201</f>
        <v>18</v>
      </c>
      <c r="C4" s="7" t="str">
        <f aca="false">'Risk Score'!C201</f>
        <v>Research &amp; Development</v>
      </c>
      <c r="D4" s="7" t="str">
        <f aca="false">'Risk Score'!D201</f>
        <v>Sales Executive</v>
      </c>
      <c r="E4" s="7" t="n">
        <f aca="false">'Risk Score'!E201</f>
        <v>0</v>
      </c>
      <c r="F4" s="7" t="n">
        <f aca="false">'Risk Score'!F201</f>
        <v>0</v>
      </c>
      <c r="G4" s="7" t="n">
        <f aca="false">'Risk Score'!G201</f>
        <v>2</v>
      </c>
      <c r="H4" s="7" t="n">
        <f aca="false">'Risk Score'!H201</f>
        <v>2</v>
      </c>
      <c r="I4" s="7" t="n">
        <f aca="false">'Risk Score'!I201</f>
        <v>8</v>
      </c>
    </row>
    <row r="5" customFormat="false" ht="15" hidden="false" customHeight="false" outlineLevel="0" collapsed="false">
      <c r="A5" s="7" t="n">
        <f aca="false">'Risk Score'!A433</f>
        <v>432</v>
      </c>
      <c r="B5" s="7" t="n">
        <f aca="false">'Risk Score'!B433</f>
        <v>20</v>
      </c>
      <c r="C5" s="7" t="str">
        <f aca="false">'Risk Score'!C433</f>
        <v>Research &amp; Development</v>
      </c>
      <c r="D5" s="7" t="str">
        <f aca="false">'Risk Score'!D433</f>
        <v>Laboratory Technician</v>
      </c>
      <c r="E5" s="7" t="n">
        <f aca="false">'Risk Score'!E433</f>
        <v>1</v>
      </c>
      <c r="F5" s="7" t="n">
        <f aca="false">'Risk Score'!F433</f>
        <v>0</v>
      </c>
      <c r="G5" s="7" t="n">
        <f aca="false">'Risk Score'!G433</f>
        <v>1</v>
      </c>
      <c r="H5" s="7" t="n">
        <f aca="false">'Risk Score'!H433</f>
        <v>1</v>
      </c>
      <c r="I5" s="7" t="n">
        <f aca="false">'Risk Score'!I433</f>
        <v>8</v>
      </c>
    </row>
    <row r="6" customFormat="false" ht="15" hidden="false" customHeight="false" outlineLevel="0" collapsed="false">
      <c r="A6" s="7" t="n">
        <f aca="false">'Risk Score'!A478</f>
        <v>477</v>
      </c>
      <c r="B6" s="7" t="n">
        <f aca="false">'Risk Score'!B478</f>
        <v>22</v>
      </c>
      <c r="C6" s="7" t="str">
        <f aca="false">'Risk Score'!C478</f>
        <v>Research &amp; Development</v>
      </c>
      <c r="D6" s="7" t="str">
        <f aca="false">'Risk Score'!D478</f>
        <v>Sales Representative</v>
      </c>
      <c r="E6" s="7" t="n">
        <f aca="false">'Risk Score'!E478</f>
        <v>4</v>
      </c>
      <c r="F6" s="7" t="n">
        <f aca="false">'Risk Score'!F478</f>
        <v>1</v>
      </c>
      <c r="G6" s="7" t="n">
        <f aca="false">'Risk Score'!G478</f>
        <v>1</v>
      </c>
      <c r="H6" s="7" t="n">
        <f aca="false">'Risk Score'!H478</f>
        <v>2</v>
      </c>
      <c r="I6" s="7" t="n">
        <f aca="false">'Risk Score'!I478</f>
        <v>8</v>
      </c>
    </row>
    <row r="7" customFormat="false" ht="15" hidden="false" customHeight="false" outlineLevel="0" collapsed="false">
      <c r="A7" s="7" t="n">
        <f aca="false">'Risk Score'!A804</f>
        <v>803</v>
      </c>
      <c r="B7" s="7" t="n">
        <f aca="false">'Risk Score'!B804</f>
        <v>24</v>
      </c>
      <c r="C7" s="7" t="str">
        <f aca="false">'Risk Score'!C804</f>
        <v>Sales</v>
      </c>
      <c r="D7" s="7" t="str">
        <f aca="false">'Risk Score'!D804</f>
        <v>Research Scientist</v>
      </c>
      <c r="E7" s="7" t="n">
        <f aca="false">'Risk Score'!E804</f>
        <v>4</v>
      </c>
      <c r="F7" s="7" t="n">
        <f aca="false">'Risk Score'!F804</f>
        <v>0</v>
      </c>
      <c r="G7" s="7" t="n">
        <f aca="false">'Risk Score'!G804</f>
        <v>1</v>
      </c>
      <c r="H7" s="7" t="n">
        <f aca="false">'Risk Score'!H804</f>
        <v>2</v>
      </c>
      <c r="I7" s="7" t="n">
        <f aca="false">'Risk Score'!I804</f>
        <v>8</v>
      </c>
    </row>
    <row r="8" customFormat="false" ht="15" hidden="false" customHeight="false" outlineLevel="0" collapsed="false">
      <c r="A8" s="7" t="n">
        <f aca="false">'Risk Score'!A1015</f>
        <v>1014</v>
      </c>
      <c r="B8" s="7" t="n">
        <f aca="false">'Risk Score'!B1015</f>
        <v>21</v>
      </c>
      <c r="C8" s="7" t="str">
        <f aca="false">'Risk Score'!C1015</f>
        <v>Sales</v>
      </c>
      <c r="D8" s="7" t="str">
        <f aca="false">'Risk Score'!D1015</f>
        <v>Healthcare Representative</v>
      </c>
      <c r="E8" s="7" t="n">
        <f aca="false">'Risk Score'!E1015</f>
        <v>1</v>
      </c>
      <c r="F8" s="7" t="n">
        <f aca="false">'Risk Score'!F1015</f>
        <v>0</v>
      </c>
      <c r="G8" s="7" t="n">
        <f aca="false">'Risk Score'!G1015</f>
        <v>2</v>
      </c>
      <c r="H8" s="7" t="n">
        <f aca="false">'Risk Score'!H1015</f>
        <v>2</v>
      </c>
      <c r="I8" s="7" t="n">
        <f aca="false">'Risk Score'!I1015</f>
        <v>8</v>
      </c>
    </row>
    <row r="9" customFormat="false" ht="15" hidden="false" customHeight="false" outlineLevel="0" collapsed="false">
      <c r="A9" s="7" t="n">
        <f aca="false">'Risk Score'!A1363</f>
        <v>1362</v>
      </c>
      <c r="B9" s="7" t="n">
        <f aca="false">'Risk Score'!B1363</f>
        <v>19</v>
      </c>
      <c r="C9" s="7" t="str">
        <f aca="false">'Risk Score'!C1363</f>
        <v>Research &amp; Development</v>
      </c>
      <c r="D9" s="7" t="str">
        <f aca="false">'Risk Score'!D1363</f>
        <v>Manufacturing Director</v>
      </c>
      <c r="E9" s="7" t="n">
        <f aca="false">'Risk Score'!E1363</f>
        <v>1</v>
      </c>
      <c r="F9" s="7" t="n">
        <f aca="false">'Risk Score'!F1363</f>
        <v>0</v>
      </c>
      <c r="G9" s="7" t="n">
        <f aca="false">'Risk Score'!G1363</f>
        <v>2</v>
      </c>
      <c r="H9" s="7" t="n">
        <f aca="false">'Risk Score'!H1363</f>
        <v>2</v>
      </c>
      <c r="I9" s="7" t="n">
        <f aca="false">'Risk Score'!I1363</f>
        <v>8</v>
      </c>
    </row>
    <row r="10" customFormat="false" ht="15" hidden="false" customHeight="false" outlineLevel="0" collapsed="false">
      <c r="A10" s="7" t="n">
        <f aca="false">'Risk Score'!A1671</f>
        <v>1670</v>
      </c>
      <c r="B10" s="7" t="n">
        <f aca="false">'Risk Score'!B1671</f>
        <v>18</v>
      </c>
      <c r="C10" s="7" t="str">
        <f aca="false">'Risk Score'!C1671</f>
        <v>Research &amp; Development</v>
      </c>
      <c r="D10" s="7" t="str">
        <f aca="false">'Risk Score'!D1671</f>
        <v>Sales Executive</v>
      </c>
      <c r="E10" s="7" t="n">
        <f aca="false">'Risk Score'!E1671</f>
        <v>0</v>
      </c>
      <c r="F10" s="7" t="n">
        <f aca="false">'Risk Score'!F1671</f>
        <v>0</v>
      </c>
      <c r="G10" s="7" t="n">
        <f aca="false">'Risk Score'!G1671</f>
        <v>2</v>
      </c>
      <c r="H10" s="7" t="n">
        <f aca="false">'Risk Score'!H1671</f>
        <v>2</v>
      </c>
      <c r="I10" s="7" t="n">
        <f aca="false">'Risk Score'!I1671</f>
        <v>8</v>
      </c>
    </row>
    <row r="11" customFormat="false" ht="15" hidden="false" customHeight="false" outlineLevel="0" collapsed="false">
      <c r="A11" s="7" t="n">
        <f aca="false">'Risk Score'!A636</f>
        <v>635</v>
      </c>
      <c r="B11" s="7" t="n">
        <f aca="false">'Risk Score'!B636</f>
        <v>19</v>
      </c>
      <c r="C11" s="7" t="str">
        <f aca="false">'Risk Score'!C636</f>
        <v>Sales</v>
      </c>
      <c r="D11" s="7" t="str">
        <f aca="false">'Risk Score'!D636</f>
        <v>Healthcare Representative</v>
      </c>
      <c r="E11" s="7" t="n">
        <f aca="false">'Risk Score'!E636</f>
        <v>1</v>
      </c>
      <c r="F11" s="7" t="n">
        <f aca="false">'Risk Score'!F636</f>
        <v>0</v>
      </c>
      <c r="G11" s="7" t="n">
        <f aca="false">'Risk Score'!G636</f>
        <v>2</v>
      </c>
      <c r="H11" s="7" t="n">
        <f aca="false">'Risk Score'!H636</f>
        <v>1</v>
      </c>
      <c r="I11" s="7" t="n">
        <f aca="false">'Risk Score'!I636</f>
        <v>8</v>
      </c>
    </row>
    <row r="12" customFormat="false" ht="15" hidden="false" customHeight="false" outlineLevel="0" collapsed="false">
      <c r="A12" s="7" t="n">
        <f aca="false">'Risk Score'!A2274</f>
        <v>2273</v>
      </c>
      <c r="B12" s="7" t="n">
        <f aca="false">'Risk Score'!B2274</f>
        <v>24</v>
      </c>
      <c r="C12" s="7" t="str">
        <f aca="false">'Risk Score'!C2274</f>
        <v>Sales</v>
      </c>
      <c r="D12" s="7" t="str">
        <f aca="false">'Risk Score'!D2274</f>
        <v>Research Scientist</v>
      </c>
      <c r="E12" s="7" t="n">
        <f aca="false">'Risk Score'!E2274</f>
        <v>4</v>
      </c>
      <c r="F12" s="7" t="n">
        <f aca="false">'Risk Score'!F2274</f>
        <v>0</v>
      </c>
      <c r="G12" s="7" t="n">
        <f aca="false">'Risk Score'!G2274</f>
        <v>1</v>
      </c>
      <c r="H12" s="7" t="n">
        <f aca="false">'Risk Score'!H2274</f>
        <v>2</v>
      </c>
      <c r="I12" s="7" t="n">
        <f aca="false">'Risk Score'!I2274</f>
        <v>8</v>
      </c>
    </row>
    <row r="13" customFormat="false" ht="15" hidden="false" customHeight="false" outlineLevel="0" collapsed="false">
      <c r="A13" s="7" t="n">
        <f aca="false">'Risk Score'!A1903</f>
        <v>1902</v>
      </c>
      <c r="B13" s="7" t="n">
        <f aca="false">'Risk Score'!B1903</f>
        <v>20</v>
      </c>
      <c r="C13" s="7" t="str">
        <f aca="false">'Risk Score'!C1903</f>
        <v>Research &amp; Development</v>
      </c>
      <c r="D13" s="7" t="str">
        <f aca="false">'Risk Score'!D1903</f>
        <v>Laboratory Technician</v>
      </c>
      <c r="E13" s="7" t="n">
        <f aca="false">'Risk Score'!E1903</f>
        <v>1</v>
      </c>
      <c r="F13" s="7" t="n">
        <f aca="false">'Risk Score'!F1903</f>
        <v>0</v>
      </c>
      <c r="G13" s="7" t="n">
        <f aca="false">'Risk Score'!G1903</f>
        <v>1</v>
      </c>
      <c r="H13" s="7" t="n">
        <f aca="false">'Risk Score'!H1903</f>
        <v>1</v>
      </c>
      <c r="I13" s="7" t="n">
        <f aca="false">'Risk Score'!I1903</f>
        <v>8</v>
      </c>
    </row>
    <row r="14" customFormat="false" ht="15" hidden="false" customHeight="false" outlineLevel="0" collapsed="false">
      <c r="A14" s="7" t="n">
        <f aca="false">'Risk Score'!A1948</f>
        <v>1947</v>
      </c>
      <c r="B14" s="7" t="n">
        <f aca="false">'Risk Score'!B1948</f>
        <v>22</v>
      </c>
      <c r="C14" s="7" t="str">
        <f aca="false">'Risk Score'!C1948</f>
        <v>Research &amp; Development</v>
      </c>
      <c r="D14" s="7" t="str">
        <f aca="false">'Risk Score'!D1948</f>
        <v>Sales Representative</v>
      </c>
      <c r="E14" s="7" t="n">
        <f aca="false">'Risk Score'!E1948</f>
        <v>4</v>
      </c>
      <c r="F14" s="7" t="n">
        <f aca="false">'Risk Score'!F1948</f>
        <v>1</v>
      </c>
      <c r="G14" s="7" t="n">
        <f aca="false">'Risk Score'!G1948</f>
        <v>1</v>
      </c>
      <c r="H14" s="7" t="n">
        <f aca="false">'Risk Score'!H1948</f>
        <v>2</v>
      </c>
      <c r="I14" s="7" t="n">
        <f aca="false">'Risk Score'!I1948</f>
        <v>8</v>
      </c>
    </row>
    <row r="15" customFormat="false" ht="15" hidden="false" customHeight="false" outlineLevel="0" collapsed="false">
      <c r="A15" s="7" t="n">
        <f aca="false">'Risk Score'!A3418</f>
        <v>3417</v>
      </c>
      <c r="B15" s="7" t="n">
        <f aca="false">'Risk Score'!B3418</f>
        <v>22</v>
      </c>
      <c r="C15" s="7" t="str">
        <f aca="false">'Risk Score'!C3418</f>
        <v>Research &amp; Development</v>
      </c>
      <c r="D15" s="7" t="str">
        <f aca="false">'Risk Score'!D3418</f>
        <v>Sales Representative</v>
      </c>
      <c r="E15" s="7" t="n">
        <f aca="false">'Risk Score'!E3418</f>
        <v>4</v>
      </c>
      <c r="F15" s="7" t="n">
        <f aca="false">'Risk Score'!F3418</f>
        <v>1</v>
      </c>
      <c r="G15" s="7" t="n">
        <f aca="false">'Risk Score'!G3418</f>
        <v>1</v>
      </c>
      <c r="H15" s="7" t="n">
        <f aca="false">'Risk Score'!H3418</f>
        <v>2</v>
      </c>
      <c r="I15" s="7" t="n">
        <f aca="false">'Risk Score'!I3418</f>
        <v>8</v>
      </c>
    </row>
    <row r="16" customFormat="false" ht="15" hidden="false" customHeight="false" outlineLevel="0" collapsed="false">
      <c r="A16" s="7" t="n">
        <f aca="false">'Risk Score'!A2485</f>
        <v>2484</v>
      </c>
      <c r="B16" s="7" t="n">
        <f aca="false">'Risk Score'!B2485</f>
        <v>21</v>
      </c>
      <c r="C16" s="7" t="str">
        <f aca="false">'Risk Score'!C2485</f>
        <v>Sales</v>
      </c>
      <c r="D16" s="7" t="str">
        <f aca="false">'Risk Score'!D2485</f>
        <v>Healthcare Representative</v>
      </c>
      <c r="E16" s="7" t="n">
        <f aca="false">'Risk Score'!E2485</f>
        <v>1</v>
      </c>
      <c r="F16" s="7" t="n">
        <f aca="false">'Risk Score'!F2485</f>
        <v>0</v>
      </c>
      <c r="G16" s="7" t="n">
        <f aca="false">'Risk Score'!G2485</f>
        <v>2</v>
      </c>
      <c r="H16" s="7" t="n">
        <f aca="false">'Risk Score'!H2485</f>
        <v>2</v>
      </c>
      <c r="I16" s="7" t="n">
        <f aca="false">'Risk Score'!I2485</f>
        <v>8</v>
      </c>
    </row>
    <row r="17" customFormat="false" ht="15" hidden="false" customHeight="false" outlineLevel="0" collapsed="false">
      <c r="A17" s="7" t="n">
        <f aca="false">'Risk Score'!A3141</f>
        <v>3140</v>
      </c>
      <c r="B17" s="7" t="n">
        <f aca="false">'Risk Score'!B3141</f>
        <v>18</v>
      </c>
      <c r="C17" s="7" t="str">
        <f aca="false">'Risk Score'!C3141</f>
        <v>Research &amp; Development</v>
      </c>
      <c r="D17" s="7" t="str">
        <f aca="false">'Risk Score'!D3141</f>
        <v>Sales Executive</v>
      </c>
      <c r="E17" s="7" t="n">
        <f aca="false">'Risk Score'!E3141</f>
        <v>0</v>
      </c>
      <c r="F17" s="7" t="n">
        <f aca="false">'Risk Score'!F3141</f>
        <v>0</v>
      </c>
      <c r="G17" s="7" t="n">
        <f aca="false">'Risk Score'!G3141</f>
        <v>2</v>
      </c>
      <c r="H17" s="7" t="n">
        <f aca="false">'Risk Score'!H3141</f>
        <v>2</v>
      </c>
      <c r="I17" s="7" t="n">
        <f aca="false">'Risk Score'!I3141</f>
        <v>8</v>
      </c>
    </row>
    <row r="18" customFormat="false" ht="15" hidden="false" customHeight="false" outlineLevel="0" collapsed="false">
      <c r="A18" s="7" t="n">
        <f aca="false">'Risk Score'!A3576</f>
        <v>3575</v>
      </c>
      <c r="B18" s="7" t="n">
        <f aca="false">'Risk Score'!B3576</f>
        <v>19</v>
      </c>
      <c r="C18" s="7" t="str">
        <f aca="false">'Risk Score'!C3576</f>
        <v>Sales</v>
      </c>
      <c r="D18" s="7" t="str">
        <f aca="false">'Risk Score'!D3576</f>
        <v>Healthcare Representative</v>
      </c>
      <c r="E18" s="7" t="n">
        <f aca="false">'Risk Score'!E3576</f>
        <v>1</v>
      </c>
      <c r="F18" s="7" t="n">
        <f aca="false">'Risk Score'!F3576</f>
        <v>0</v>
      </c>
      <c r="G18" s="7" t="n">
        <f aca="false">'Risk Score'!G3576</f>
        <v>2</v>
      </c>
      <c r="H18" s="7" t="n">
        <f aca="false">'Risk Score'!H3576</f>
        <v>1</v>
      </c>
      <c r="I18" s="7" t="n">
        <f aca="false">'Risk Score'!I3576</f>
        <v>8</v>
      </c>
    </row>
    <row r="19" customFormat="false" ht="15" hidden="false" customHeight="false" outlineLevel="0" collapsed="false">
      <c r="A19" s="7" t="n">
        <f aca="false">'Risk Score'!A3955</f>
        <v>3954</v>
      </c>
      <c r="B19" s="7" t="n">
        <f aca="false">'Risk Score'!B3955</f>
        <v>21</v>
      </c>
      <c r="C19" s="7" t="str">
        <f aca="false">'Risk Score'!C3955</f>
        <v>Sales</v>
      </c>
      <c r="D19" s="7" t="str">
        <f aca="false">'Risk Score'!D3955</f>
        <v>Healthcare Representative</v>
      </c>
      <c r="E19" s="7" t="n">
        <f aca="false">'Risk Score'!E3955</f>
        <v>1</v>
      </c>
      <c r="F19" s="7" t="n">
        <f aca="false">'Risk Score'!F3955</f>
        <v>0</v>
      </c>
      <c r="G19" s="7" t="n">
        <f aca="false">'Risk Score'!G3955</f>
        <v>2</v>
      </c>
      <c r="H19" s="7" t="n">
        <f aca="false">'Risk Score'!H3955</f>
        <v>2</v>
      </c>
      <c r="I19" s="7" t="n">
        <f aca="false">'Risk Score'!I3955</f>
        <v>8</v>
      </c>
    </row>
    <row r="20" customFormat="false" ht="15" hidden="false" customHeight="false" outlineLevel="0" collapsed="false">
      <c r="A20" s="7" t="n">
        <f aca="false">'Risk Score'!A4303</f>
        <v>4302</v>
      </c>
      <c r="B20" s="7" t="n">
        <f aca="false">'Risk Score'!B4303</f>
        <v>19</v>
      </c>
      <c r="C20" s="7" t="str">
        <f aca="false">'Risk Score'!C4303</f>
        <v>Research &amp; Development</v>
      </c>
      <c r="D20" s="7" t="str">
        <f aca="false">'Risk Score'!D4303</f>
        <v>Manufacturing Director</v>
      </c>
      <c r="E20" s="7" t="n">
        <f aca="false">'Risk Score'!E4303</f>
        <v>1</v>
      </c>
      <c r="F20" s="7" t="n">
        <f aca="false">'Risk Score'!F4303</f>
        <v>0</v>
      </c>
      <c r="G20" s="7" t="n">
        <f aca="false">'Risk Score'!G4303</f>
        <v>2</v>
      </c>
      <c r="H20" s="7" t="n">
        <f aca="false">'Risk Score'!H4303</f>
        <v>2</v>
      </c>
      <c r="I20" s="7" t="n">
        <f aca="false">'Risk Score'!I4303</f>
        <v>8</v>
      </c>
    </row>
    <row r="21" customFormat="false" ht="15" hidden="false" customHeight="false" outlineLevel="0" collapsed="false">
      <c r="A21" s="7" t="n">
        <f aca="false">'Risk Score'!A3373</f>
        <v>3372</v>
      </c>
      <c r="B21" s="7" t="n">
        <f aca="false">'Risk Score'!B3373</f>
        <v>20</v>
      </c>
      <c r="C21" s="7" t="str">
        <f aca="false">'Risk Score'!C3373</f>
        <v>Research &amp; Development</v>
      </c>
      <c r="D21" s="7" t="str">
        <f aca="false">'Risk Score'!D3373</f>
        <v>Laboratory Technician</v>
      </c>
      <c r="E21" s="7" t="n">
        <f aca="false">'Risk Score'!E3373</f>
        <v>1</v>
      </c>
      <c r="F21" s="7" t="n">
        <f aca="false">'Risk Score'!F3373</f>
        <v>0</v>
      </c>
      <c r="G21" s="7" t="n">
        <f aca="false">'Risk Score'!G3373</f>
        <v>1</v>
      </c>
      <c r="H21" s="7" t="n">
        <f aca="false">'Risk Score'!H3373</f>
        <v>1</v>
      </c>
      <c r="I21" s="7" t="n">
        <f aca="false">'Risk Score'!I3373</f>
        <v>8</v>
      </c>
    </row>
    <row r="22" customFormat="false" ht="15" hidden="false" customHeight="false" outlineLevel="0" collapsed="false">
      <c r="A22" s="7" t="n">
        <f aca="false">'Risk Score'!A3744</f>
        <v>3743</v>
      </c>
      <c r="B22" s="7" t="n">
        <f aca="false">'Risk Score'!B3744</f>
        <v>24</v>
      </c>
      <c r="C22" s="7" t="str">
        <f aca="false">'Risk Score'!C3744</f>
        <v>Sales</v>
      </c>
      <c r="D22" s="7" t="str">
        <f aca="false">'Risk Score'!D3744</f>
        <v>Research Scientist</v>
      </c>
      <c r="E22" s="7" t="n">
        <f aca="false">'Risk Score'!E3744</f>
        <v>4</v>
      </c>
      <c r="F22" s="7" t="n">
        <f aca="false">'Risk Score'!F3744</f>
        <v>0</v>
      </c>
      <c r="G22" s="7" t="n">
        <f aca="false">'Risk Score'!G3744</f>
        <v>1</v>
      </c>
      <c r="H22" s="7" t="n">
        <f aca="false">'Risk Score'!H3744</f>
        <v>2</v>
      </c>
      <c r="I22" s="7" t="n">
        <f aca="false">'Risk Score'!I3744</f>
        <v>8</v>
      </c>
    </row>
    <row r="23" customFormat="false" ht="15" hidden="false" customHeight="false" outlineLevel="0" collapsed="false">
      <c r="A23" s="7" t="n">
        <f aca="false">'Risk Score'!A2106</f>
        <v>2105</v>
      </c>
      <c r="B23" s="7" t="n">
        <f aca="false">'Risk Score'!B2106</f>
        <v>19</v>
      </c>
      <c r="C23" s="7" t="str">
        <f aca="false">'Risk Score'!C2106</f>
        <v>Sales</v>
      </c>
      <c r="D23" s="7" t="str">
        <f aca="false">'Risk Score'!D2106</f>
        <v>Healthcare Representative</v>
      </c>
      <c r="E23" s="7" t="n">
        <f aca="false">'Risk Score'!E2106</f>
        <v>1</v>
      </c>
      <c r="F23" s="7" t="n">
        <f aca="false">'Risk Score'!F2106</f>
        <v>0</v>
      </c>
      <c r="G23" s="7" t="n">
        <f aca="false">'Risk Score'!G2106</f>
        <v>2</v>
      </c>
      <c r="H23" s="7" t="n">
        <f aca="false">'Risk Score'!H2106</f>
        <v>1</v>
      </c>
      <c r="I23" s="7" t="n">
        <f aca="false">'Risk Score'!I2106</f>
        <v>8</v>
      </c>
    </row>
    <row r="24" customFormat="false" ht="15" hidden="false" customHeight="false" outlineLevel="0" collapsed="false">
      <c r="A24" s="7" t="n">
        <f aca="false">'Risk Score'!A2833</f>
        <v>2832</v>
      </c>
      <c r="B24" s="7" t="n">
        <f aca="false">'Risk Score'!B2833</f>
        <v>19</v>
      </c>
      <c r="C24" s="7" t="str">
        <f aca="false">'Risk Score'!C2833</f>
        <v>Research &amp; Development</v>
      </c>
      <c r="D24" s="7" t="str">
        <f aca="false">'Risk Score'!D2833</f>
        <v>Manufacturing Director</v>
      </c>
      <c r="E24" s="7" t="n">
        <f aca="false">'Risk Score'!E2833</f>
        <v>1</v>
      </c>
      <c r="F24" s="7" t="n">
        <f aca="false">'Risk Score'!F2833</f>
        <v>0</v>
      </c>
      <c r="G24" s="7" t="n">
        <f aca="false">'Risk Score'!G2833</f>
        <v>2</v>
      </c>
      <c r="H24" s="7" t="n">
        <f aca="false">'Risk Score'!H2833</f>
        <v>2</v>
      </c>
      <c r="I24" s="7" t="n">
        <f aca="false">'Risk Score'!I2833</f>
        <v>8</v>
      </c>
    </row>
    <row r="25" customFormat="false" ht="15" hidden="false" customHeight="false" outlineLevel="0" collapsed="false">
      <c r="A25" s="7" t="n">
        <f aca="false">'Risk Score'!A805</f>
        <v>804</v>
      </c>
      <c r="B25" s="7" t="n">
        <f aca="false">'Risk Score'!B805</f>
        <v>24</v>
      </c>
      <c r="C25" s="7" t="str">
        <f aca="false">'Risk Score'!C805</f>
        <v>Research &amp; Development</v>
      </c>
      <c r="D25" s="7" t="str">
        <f aca="false">'Risk Score'!D805</f>
        <v>Manager</v>
      </c>
      <c r="E25" s="7" t="n">
        <f aca="false">'Risk Score'!E805</f>
        <v>1</v>
      </c>
      <c r="F25" s="7" t="n">
        <f aca="false">'Risk Score'!F805</f>
        <v>0</v>
      </c>
      <c r="G25" s="7" t="n">
        <f aca="false">'Risk Score'!G805</f>
        <v>2</v>
      </c>
      <c r="H25" s="7" t="n">
        <f aca="false">'Risk Score'!H805</f>
        <v>4</v>
      </c>
      <c r="I25" s="7" t="n">
        <f aca="false">'Risk Score'!I805</f>
        <v>7</v>
      </c>
    </row>
    <row r="26" customFormat="false" ht="15" hidden="false" customHeight="false" outlineLevel="0" collapsed="false">
      <c r="A26" s="7" t="n">
        <f aca="false">'Risk Score'!A475</f>
        <v>474</v>
      </c>
      <c r="B26" s="7" t="n">
        <f aca="false">'Risk Score'!B475</f>
        <v>20</v>
      </c>
      <c r="C26" s="7" t="str">
        <f aca="false">'Risk Score'!C475</f>
        <v>Research &amp; Development</v>
      </c>
      <c r="D26" s="7" t="str">
        <f aca="false">'Risk Score'!D475</f>
        <v>Research Scientist</v>
      </c>
      <c r="E26" s="7" t="n">
        <f aca="false">'Risk Score'!E475</f>
        <v>1</v>
      </c>
      <c r="F26" s="7" t="n">
        <f aca="false">'Risk Score'!F475</f>
        <v>0</v>
      </c>
      <c r="G26" s="7" t="n">
        <f aca="false">'Risk Score'!G475</f>
        <v>1</v>
      </c>
      <c r="H26" s="7" t="n">
        <f aca="false">'Risk Score'!H475</f>
        <v>4</v>
      </c>
      <c r="I26" s="7" t="n">
        <f aca="false">'Risk Score'!I475</f>
        <v>7</v>
      </c>
    </row>
    <row r="27" customFormat="false" ht="15" hidden="false" customHeight="false" outlineLevel="0" collapsed="false">
      <c r="A27" s="7" t="n">
        <f aca="false">'Risk Score'!A471</f>
        <v>470</v>
      </c>
      <c r="B27" s="7" t="n">
        <f aca="false">'Risk Score'!B471</f>
        <v>18</v>
      </c>
      <c r="C27" s="7" t="str">
        <f aca="false">'Risk Score'!C471</f>
        <v>Sales</v>
      </c>
      <c r="D27" s="7" t="str">
        <f aca="false">'Risk Score'!D471</f>
        <v>Manager</v>
      </c>
      <c r="E27" s="7" t="n">
        <f aca="false">'Risk Score'!E471</f>
        <v>0</v>
      </c>
      <c r="F27" s="7" t="n">
        <f aca="false">'Risk Score'!F471</f>
        <v>0</v>
      </c>
      <c r="G27" s="7" t="n">
        <f aca="false">'Risk Score'!G471</f>
        <v>4</v>
      </c>
      <c r="H27" s="7" t="n">
        <f aca="false">'Risk Score'!H471</f>
        <v>2</v>
      </c>
      <c r="I27" s="7" t="n">
        <f aca="false">'Risk Score'!I471</f>
        <v>7</v>
      </c>
    </row>
    <row r="28" customFormat="false" ht="15" hidden="false" customHeight="false" outlineLevel="0" collapsed="false">
      <c r="A28" s="7" t="n">
        <f aca="false">'Risk Score'!A269</f>
        <v>268</v>
      </c>
      <c r="B28" s="7" t="n">
        <f aca="false">'Risk Score'!B269</f>
        <v>24</v>
      </c>
      <c r="C28" s="7" t="str">
        <f aca="false">'Risk Score'!C269</f>
        <v>Research &amp; Development</v>
      </c>
      <c r="D28" s="7" t="str">
        <f aca="false">'Risk Score'!D269</f>
        <v>Healthcare Representative</v>
      </c>
      <c r="E28" s="7" t="n">
        <f aca="false">'Risk Score'!E269</f>
        <v>4</v>
      </c>
      <c r="F28" s="7" t="n">
        <f aca="false">'Risk Score'!F269</f>
        <v>0</v>
      </c>
      <c r="G28" s="7" t="n">
        <f aca="false">'Risk Score'!G269</f>
        <v>3</v>
      </c>
      <c r="H28" s="7" t="n">
        <f aca="false">'Risk Score'!H269</f>
        <v>1</v>
      </c>
      <c r="I28" s="7" t="n">
        <f aca="false">'Risk Score'!I269</f>
        <v>7</v>
      </c>
    </row>
    <row r="29" customFormat="false" ht="15" hidden="false" customHeight="false" outlineLevel="0" collapsed="false">
      <c r="A29" s="7" t="n">
        <f aca="false">'Risk Score'!A166</f>
        <v>165</v>
      </c>
      <c r="B29" s="7" t="n">
        <f aca="false">'Risk Score'!B166</f>
        <v>19</v>
      </c>
      <c r="C29" s="7" t="str">
        <f aca="false">'Risk Score'!C166</f>
        <v>Research &amp; Development</v>
      </c>
      <c r="D29" s="7" t="str">
        <f aca="false">'Risk Score'!D166</f>
        <v>Sales Executive</v>
      </c>
      <c r="E29" s="7" t="n">
        <f aca="false">'Risk Score'!E166</f>
        <v>1</v>
      </c>
      <c r="F29" s="7" t="n">
        <f aca="false">'Risk Score'!F166</f>
        <v>0</v>
      </c>
      <c r="G29" s="7" t="n">
        <f aca="false">'Risk Score'!G166</f>
        <v>4</v>
      </c>
      <c r="H29" s="7" t="n">
        <f aca="false">'Risk Score'!H166</f>
        <v>1</v>
      </c>
      <c r="I29" s="7" t="n">
        <f aca="false">'Risk Score'!I166</f>
        <v>7</v>
      </c>
    </row>
    <row r="30" customFormat="false" ht="15" hidden="false" customHeight="false" outlineLevel="0" collapsed="false">
      <c r="A30" s="7" t="n">
        <f aca="false">'Risk Score'!A114</f>
        <v>113</v>
      </c>
      <c r="B30" s="7" t="n">
        <f aca="false">'Risk Score'!B114</f>
        <v>21</v>
      </c>
      <c r="C30" s="7" t="str">
        <f aca="false">'Risk Score'!C114</f>
        <v>Human Resources</v>
      </c>
      <c r="D30" s="7" t="str">
        <f aca="false">'Risk Score'!D114</f>
        <v>Laboratory Technician</v>
      </c>
      <c r="E30" s="7" t="n">
        <f aca="false">'Risk Score'!E114</f>
        <v>1</v>
      </c>
      <c r="F30" s="7" t="n">
        <f aca="false">'Risk Score'!F114</f>
        <v>0</v>
      </c>
      <c r="G30" s="7" t="n">
        <f aca="false">'Risk Score'!G114</f>
        <v>2</v>
      </c>
      <c r="H30" s="7" t="n">
        <f aca="false">'Risk Score'!H114</f>
        <v>3</v>
      </c>
      <c r="I30" s="7" t="n">
        <f aca="false">'Risk Score'!I114</f>
        <v>7</v>
      </c>
    </row>
    <row r="31" customFormat="false" ht="15" hidden="false" customHeight="false" outlineLevel="0" collapsed="false">
      <c r="A31" s="7" t="n">
        <f aca="false">'Risk Score'!A1055</f>
        <v>1054</v>
      </c>
      <c r="B31" s="7" t="n">
        <f aca="false">'Risk Score'!B1055</f>
        <v>18</v>
      </c>
      <c r="C31" s="7" t="str">
        <f aca="false">'Risk Score'!C1055</f>
        <v>Research &amp; Development</v>
      </c>
      <c r="D31" s="7" t="str">
        <f aca="false">'Risk Score'!D1055</f>
        <v>Sales Representative</v>
      </c>
      <c r="E31" s="7" t="n">
        <f aca="false">'Risk Score'!E1055</f>
        <v>0</v>
      </c>
      <c r="F31" s="7" t="n">
        <f aca="false">'Risk Score'!F1055</f>
        <v>0</v>
      </c>
      <c r="G31" s="7" t="n">
        <f aca="false">'Risk Score'!G1055</f>
        <v>3</v>
      </c>
      <c r="H31" s="7" t="n">
        <f aca="false">'Risk Score'!H1055</f>
        <v>2</v>
      </c>
      <c r="I31" s="7" t="n">
        <f aca="false">'Risk Score'!I1055</f>
        <v>7</v>
      </c>
    </row>
    <row r="32" customFormat="false" ht="15" hidden="false" customHeight="false" outlineLevel="0" collapsed="false">
      <c r="A32" s="7" t="n">
        <f aca="false">'Risk Score'!A1323</f>
        <v>1322</v>
      </c>
      <c r="B32" s="7" t="n">
        <f aca="false">'Risk Score'!B1323</f>
        <v>22</v>
      </c>
      <c r="C32" s="7" t="str">
        <f aca="false">'Risk Score'!C1323</f>
        <v>Research &amp; Development</v>
      </c>
      <c r="D32" s="7" t="str">
        <f aca="false">'Risk Score'!D1323</f>
        <v>Sales Representative</v>
      </c>
      <c r="E32" s="7" t="n">
        <f aca="false">'Risk Score'!E1323</f>
        <v>1</v>
      </c>
      <c r="F32" s="7" t="n">
        <f aca="false">'Risk Score'!F1323</f>
        <v>0</v>
      </c>
      <c r="G32" s="7" t="n">
        <f aca="false">'Risk Score'!G1323</f>
        <v>4</v>
      </c>
      <c r="H32" s="7" t="n">
        <f aca="false">'Risk Score'!H1323</f>
        <v>2</v>
      </c>
      <c r="I32" s="7" t="n">
        <f aca="false">'Risk Score'!I1323</f>
        <v>7</v>
      </c>
    </row>
    <row r="33" customFormat="false" ht="15" hidden="false" customHeight="false" outlineLevel="0" collapsed="false">
      <c r="A33" s="7" t="n">
        <f aca="false">'Risk Score'!A1636</f>
        <v>1635</v>
      </c>
      <c r="B33" s="7" t="n">
        <f aca="false">'Risk Score'!B1636</f>
        <v>19</v>
      </c>
      <c r="C33" s="7" t="str">
        <f aca="false">'Risk Score'!C1636</f>
        <v>Research &amp; Development</v>
      </c>
      <c r="D33" s="7" t="str">
        <f aca="false">'Risk Score'!D1636</f>
        <v>Sales Executive</v>
      </c>
      <c r="E33" s="7" t="n">
        <f aca="false">'Risk Score'!E1636</f>
        <v>1</v>
      </c>
      <c r="F33" s="7" t="n">
        <f aca="false">'Risk Score'!F1636</f>
        <v>0</v>
      </c>
      <c r="G33" s="7" t="n">
        <f aca="false">'Risk Score'!G1636</f>
        <v>4</v>
      </c>
      <c r="H33" s="7" t="n">
        <f aca="false">'Risk Score'!H1636</f>
        <v>1</v>
      </c>
      <c r="I33" s="7" t="n">
        <f aca="false">'Risk Score'!I1636</f>
        <v>7</v>
      </c>
    </row>
    <row r="34" customFormat="false" ht="15" hidden="false" customHeight="false" outlineLevel="0" collapsed="false">
      <c r="A34" s="7" t="n">
        <f aca="false">'Risk Score'!A1584</f>
        <v>1583</v>
      </c>
      <c r="B34" s="7" t="n">
        <f aca="false">'Risk Score'!B1584</f>
        <v>21</v>
      </c>
      <c r="C34" s="7" t="str">
        <f aca="false">'Risk Score'!C1584</f>
        <v>Human Resources</v>
      </c>
      <c r="D34" s="7" t="str">
        <f aca="false">'Risk Score'!D1584</f>
        <v>Laboratory Technician</v>
      </c>
      <c r="E34" s="7" t="n">
        <f aca="false">'Risk Score'!E1584</f>
        <v>1</v>
      </c>
      <c r="F34" s="7" t="n">
        <f aca="false">'Risk Score'!F1584</f>
        <v>0</v>
      </c>
      <c r="G34" s="7" t="n">
        <f aca="false">'Risk Score'!G1584</f>
        <v>2</v>
      </c>
      <c r="H34" s="7" t="n">
        <f aca="false">'Risk Score'!H1584</f>
        <v>3</v>
      </c>
      <c r="I34" s="7" t="n">
        <f aca="false">'Risk Score'!I1584</f>
        <v>7</v>
      </c>
    </row>
    <row r="35" customFormat="false" ht="15" hidden="false" customHeight="false" outlineLevel="0" collapsed="false">
      <c r="A35" s="7" t="n">
        <f aca="false">'Risk Score'!A1739</f>
        <v>1738</v>
      </c>
      <c r="B35" s="7" t="n">
        <f aca="false">'Risk Score'!B1739</f>
        <v>24</v>
      </c>
      <c r="C35" s="7" t="str">
        <f aca="false">'Risk Score'!C1739</f>
        <v>Research &amp; Development</v>
      </c>
      <c r="D35" s="7" t="str">
        <f aca="false">'Risk Score'!D1739</f>
        <v>Healthcare Representative</v>
      </c>
      <c r="E35" s="7" t="n">
        <f aca="false">'Risk Score'!E1739</f>
        <v>4</v>
      </c>
      <c r="F35" s="7" t="n">
        <f aca="false">'Risk Score'!F1739</f>
        <v>0</v>
      </c>
      <c r="G35" s="7" t="n">
        <f aca="false">'Risk Score'!G1739</f>
        <v>3</v>
      </c>
      <c r="H35" s="7" t="n">
        <f aca="false">'Risk Score'!H1739</f>
        <v>1</v>
      </c>
      <c r="I35" s="7" t="n">
        <f aca="false">'Risk Score'!I1739</f>
        <v>7</v>
      </c>
    </row>
    <row r="36" customFormat="false" ht="15" hidden="false" customHeight="false" outlineLevel="0" collapsed="false">
      <c r="A36" s="7" t="n">
        <f aca="false">'Risk Score'!A1799</f>
        <v>1798</v>
      </c>
      <c r="B36" s="7" t="n">
        <f aca="false">'Risk Score'!B1799</f>
        <v>23</v>
      </c>
      <c r="C36" s="7" t="str">
        <f aca="false">'Risk Score'!C1799</f>
        <v>Sales</v>
      </c>
      <c r="D36" s="7" t="str">
        <f aca="false">'Risk Score'!D1799</f>
        <v>Manufacturing Director</v>
      </c>
      <c r="E36" s="7" t="n">
        <f aca="false">'Risk Score'!E1799</f>
        <v>1</v>
      </c>
      <c r="F36" s="7" t="n">
        <f aca="false">'Risk Score'!F1799</f>
        <v>0</v>
      </c>
      <c r="G36" s="7" t="n">
        <f aca="false">'Risk Score'!G1799</f>
        <v>1</v>
      </c>
      <c r="H36" s="7" t="n">
        <f aca="false">'Risk Score'!H1799</f>
        <v>3</v>
      </c>
      <c r="I36" s="7" t="n">
        <f aca="false">'Risk Score'!I1799</f>
        <v>7</v>
      </c>
    </row>
    <row r="37" customFormat="false" ht="15" hidden="false" customHeight="false" outlineLevel="0" collapsed="false">
      <c r="A37" s="7" t="n">
        <f aca="false">'Risk Score'!A1701</f>
        <v>1700</v>
      </c>
      <c r="B37" s="7" t="n">
        <f aca="false">'Risk Score'!B1701</f>
        <v>20</v>
      </c>
      <c r="C37" s="7" t="str">
        <f aca="false">'Risk Score'!C1701</f>
        <v>Research &amp; Development</v>
      </c>
      <c r="D37" s="7" t="str">
        <f aca="false">'Risk Score'!D1701</f>
        <v>Sales Representative</v>
      </c>
      <c r="E37" s="7" t="n">
        <f aca="false">'Risk Score'!E1701</f>
        <v>1</v>
      </c>
      <c r="F37" s="7" t="n">
        <f aca="false">'Risk Score'!F1701</f>
        <v>0</v>
      </c>
      <c r="G37" s="7" t="n">
        <f aca="false">'Risk Score'!G1701</f>
        <v>2</v>
      </c>
      <c r="H37" s="7" t="n">
        <f aca="false">'Risk Score'!H1701</f>
        <v>4</v>
      </c>
      <c r="I37" s="7" t="n">
        <f aca="false">'Risk Score'!I1701</f>
        <v>7</v>
      </c>
    </row>
    <row r="38" customFormat="false" ht="15" hidden="false" customHeight="false" outlineLevel="0" collapsed="false">
      <c r="A38" s="7" t="n">
        <f aca="false">'Risk Score'!A1690</f>
        <v>1689</v>
      </c>
      <c r="B38" s="7" t="n">
        <f aca="false">'Risk Score'!B1690</f>
        <v>24</v>
      </c>
      <c r="C38" s="7" t="str">
        <f aca="false">'Risk Score'!C1690</f>
        <v>Sales</v>
      </c>
      <c r="D38" s="7" t="str">
        <f aca="false">'Risk Score'!D1690</f>
        <v>Laboratory Technician</v>
      </c>
      <c r="E38" s="7" t="n">
        <f aca="false">'Risk Score'!E1690</f>
        <v>1</v>
      </c>
      <c r="F38" s="7" t="n">
        <f aca="false">'Risk Score'!F1690</f>
        <v>0</v>
      </c>
      <c r="G38" s="7" t="n">
        <f aca="false">'Risk Score'!G1690</f>
        <v>2</v>
      </c>
      <c r="H38" s="7" t="n">
        <f aca="false">'Risk Score'!H1690</f>
        <v>4</v>
      </c>
      <c r="I38" s="7" t="n">
        <f aca="false">'Risk Score'!I1690</f>
        <v>7</v>
      </c>
    </row>
    <row r="39" customFormat="false" ht="15" hidden="false" customHeight="false" outlineLevel="0" collapsed="false">
      <c r="A39" s="7" t="n">
        <f aca="false">'Risk Score'!A1182</f>
        <v>1181</v>
      </c>
      <c r="B39" s="7" t="n">
        <f aca="false">'Risk Score'!B1182</f>
        <v>23</v>
      </c>
      <c r="C39" s="7" t="str">
        <f aca="false">'Risk Score'!C1182</f>
        <v>Research &amp; Development</v>
      </c>
      <c r="D39" s="7" t="str">
        <f aca="false">'Risk Score'!D1182</f>
        <v>Manufacturing Director</v>
      </c>
      <c r="E39" s="7" t="n">
        <f aca="false">'Risk Score'!E1182</f>
        <v>1</v>
      </c>
      <c r="F39" s="7" t="n">
        <f aca="false">'Risk Score'!F1182</f>
        <v>0</v>
      </c>
      <c r="G39" s="7" t="n">
        <f aca="false">'Risk Score'!G1182</f>
        <v>1</v>
      </c>
      <c r="H39" s="7" t="n">
        <f aca="false">'Risk Score'!H1182</f>
        <v>4</v>
      </c>
      <c r="I39" s="7" t="n">
        <f aca="false">'Risk Score'!I1182</f>
        <v>7</v>
      </c>
    </row>
    <row r="40" customFormat="false" ht="15" hidden="false" customHeight="false" outlineLevel="0" collapsed="false">
      <c r="A40" s="7" t="n">
        <f aca="false">'Risk Score'!A1300</f>
        <v>1299</v>
      </c>
      <c r="B40" s="7" t="n">
        <f aca="false">'Risk Score'!B1300</f>
        <v>23</v>
      </c>
      <c r="C40" s="7" t="str">
        <f aca="false">'Risk Score'!C1300</f>
        <v>Research &amp; Development</v>
      </c>
      <c r="D40" s="7" t="str">
        <f aca="false">'Risk Score'!D1300</f>
        <v>Laboratory Technician</v>
      </c>
      <c r="E40" s="7" t="n">
        <f aca="false">'Risk Score'!E1300</f>
        <v>3</v>
      </c>
      <c r="F40" s="7" t="n">
        <f aca="false">'Risk Score'!F1300</f>
        <v>0</v>
      </c>
      <c r="G40" s="7" t="n">
        <f aca="false">'Risk Score'!G1300</f>
        <v>1</v>
      </c>
      <c r="H40" s="7" t="n">
        <f aca="false">'Risk Score'!H1300</f>
        <v>3</v>
      </c>
      <c r="I40" s="7" t="n">
        <f aca="false">'Risk Score'!I1300</f>
        <v>7</v>
      </c>
    </row>
    <row r="41" customFormat="false" ht="15" hidden="false" customHeight="false" outlineLevel="0" collapsed="false">
      <c r="A41" s="7" t="n">
        <f aca="false">'Risk Score'!A1391</f>
        <v>1390</v>
      </c>
      <c r="B41" s="7" t="n">
        <f aca="false">'Risk Score'!B1391</f>
        <v>19</v>
      </c>
      <c r="C41" s="7" t="str">
        <f aca="false">'Risk Score'!C1391</f>
        <v>Research &amp; Development</v>
      </c>
      <c r="D41" s="7" t="str">
        <f aca="false">'Risk Score'!D1391</f>
        <v>Sales Executive</v>
      </c>
      <c r="E41" s="7" t="n">
        <f aca="false">'Risk Score'!E1391</f>
        <v>1</v>
      </c>
      <c r="F41" s="7" t="n">
        <f aca="false">'Risk Score'!F1391</f>
        <v>0</v>
      </c>
      <c r="G41" s="7" t="n">
        <f aca="false">'Risk Score'!G1391</f>
        <v>4</v>
      </c>
      <c r="H41" s="7" t="n">
        <f aca="false">'Risk Score'!H1391</f>
        <v>2</v>
      </c>
      <c r="I41" s="7" t="n">
        <f aca="false">'Risk Score'!I1391</f>
        <v>7</v>
      </c>
    </row>
    <row r="42" customFormat="false" ht="15" hidden="false" customHeight="false" outlineLevel="0" collapsed="false">
      <c r="A42" s="7" t="n">
        <f aca="false">'Risk Score'!A1385</f>
        <v>1384</v>
      </c>
      <c r="B42" s="7" t="n">
        <f aca="false">'Risk Score'!B1385</f>
        <v>19</v>
      </c>
      <c r="C42" s="7" t="str">
        <f aca="false">'Risk Score'!C1385</f>
        <v>Research &amp; Development</v>
      </c>
      <c r="D42" s="7" t="str">
        <f aca="false">'Risk Score'!D1385</f>
        <v>Healthcare Representative</v>
      </c>
      <c r="E42" s="7" t="n">
        <f aca="false">'Risk Score'!E1385</f>
        <v>1</v>
      </c>
      <c r="F42" s="7" t="n">
        <f aca="false">'Risk Score'!F1385</f>
        <v>0</v>
      </c>
      <c r="G42" s="7" t="n">
        <f aca="false">'Risk Score'!G1385</f>
        <v>1</v>
      </c>
      <c r="H42" s="7" t="n">
        <f aca="false">'Risk Score'!H1385</f>
        <v>3</v>
      </c>
      <c r="I42" s="7" t="n">
        <f aca="false">'Risk Score'!I1385</f>
        <v>7</v>
      </c>
    </row>
    <row r="43" customFormat="false" ht="15" hidden="false" customHeight="false" outlineLevel="0" collapsed="false">
      <c r="A43" s="7" t="n">
        <f aca="false">'Risk Score'!A1083</f>
        <v>1082</v>
      </c>
      <c r="B43" s="7" t="n">
        <f aca="false">'Risk Score'!B1083</f>
        <v>22</v>
      </c>
      <c r="C43" s="7" t="str">
        <f aca="false">'Risk Score'!C1083</f>
        <v>Research &amp; Development</v>
      </c>
      <c r="D43" s="7" t="str">
        <f aca="false">'Risk Score'!D1083</f>
        <v>Laboratory Technician</v>
      </c>
      <c r="E43" s="7" t="n">
        <f aca="false">'Risk Score'!E1083</f>
        <v>1</v>
      </c>
      <c r="F43" s="7" t="n">
        <f aca="false">'Risk Score'!F1083</f>
        <v>0</v>
      </c>
      <c r="G43" s="7" t="n">
        <f aca="false">'Risk Score'!G1083</f>
        <v>2</v>
      </c>
      <c r="H43" s="7" t="n">
        <f aca="false">'Risk Score'!H1083</f>
        <v>4</v>
      </c>
      <c r="I43" s="7" t="n">
        <f aca="false">'Risk Score'!I1083</f>
        <v>7</v>
      </c>
    </row>
    <row r="44" customFormat="false" ht="15" hidden="false" customHeight="false" outlineLevel="0" collapsed="false">
      <c r="A44" s="7" t="n">
        <f aca="false">'Risk Score'!A521</f>
        <v>520</v>
      </c>
      <c r="B44" s="7" t="n">
        <f aca="false">'Risk Score'!B521</f>
        <v>21</v>
      </c>
      <c r="C44" s="7" t="str">
        <f aca="false">'Risk Score'!C521</f>
        <v>Research &amp; Development</v>
      </c>
      <c r="D44" s="7" t="str">
        <f aca="false">'Risk Score'!D521</f>
        <v>Manager</v>
      </c>
      <c r="E44" s="7" t="n">
        <f aca="false">'Risk Score'!E521</f>
        <v>1</v>
      </c>
      <c r="F44" s="7" t="n">
        <f aca="false">'Risk Score'!F521</f>
        <v>0</v>
      </c>
      <c r="G44" s="7" t="n">
        <f aca="false">'Risk Score'!G521</f>
        <v>1</v>
      </c>
      <c r="H44" s="7" t="n">
        <f aca="false">'Risk Score'!H521</f>
        <v>3</v>
      </c>
      <c r="I44" s="7" t="n">
        <f aca="false">'Risk Score'!I521</f>
        <v>7</v>
      </c>
    </row>
    <row r="45" customFormat="false" ht="15" hidden="false" customHeight="false" outlineLevel="0" collapsed="false">
      <c r="A45" s="7" t="n">
        <f aca="false">'Risk Score'!A615</f>
        <v>614</v>
      </c>
      <c r="B45" s="7" t="n">
        <f aca="false">'Risk Score'!B615</f>
        <v>24</v>
      </c>
      <c r="C45" s="7" t="str">
        <f aca="false">'Risk Score'!C615</f>
        <v>Human Resources</v>
      </c>
      <c r="D45" s="7" t="str">
        <f aca="false">'Risk Score'!D615</f>
        <v>Manufacturing Director</v>
      </c>
      <c r="E45" s="7" t="n">
        <f aca="false">'Risk Score'!E615</f>
        <v>1</v>
      </c>
      <c r="F45" s="7" t="n">
        <f aca="false">'Risk Score'!F615</f>
        <v>0</v>
      </c>
      <c r="G45" s="7" t="n">
        <f aca="false">'Risk Score'!G615</f>
        <v>2</v>
      </c>
      <c r="H45" s="7" t="n">
        <f aca="false">'Risk Score'!H615</f>
        <v>4</v>
      </c>
      <c r="I45" s="7" t="n">
        <f aca="false">'Risk Score'!I615</f>
        <v>7</v>
      </c>
    </row>
    <row r="46" customFormat="false" ht="15" hidden="false" customHeight="false" outlineLevel="0" collapsed="false">
      <c r="A46" s="7" t="n">
        <f aca="false">'Risk Score'!A3269</f>
        <v>3268</v>
      </c>
      <c r="B46" s="7" t="n">
        <f aca="false">'Risk Score'!B3269</f>
        <v>23</v>
      </c>
      <c r="C46" s="7" t="str">
        <f aca="false">'Risk Score'!C3269</f>
        <v>Sales</v>
      </c>
      <c r="D46" s="7" t="str">
        <f aca="false">'Risk Score'!D3269</f>
        <v>Manufacturing Director</v>
      </c>
      <c r="E46" s="7" t="n">
        <f aca="false">'Risk Score'!E3269</f>
        <v>1</v>
      </c>
      <c r="F46" s="7" t="n">
        <f aca="false">'Risk Score'!F3269</f>
        <v>0</v>
      </c>
      <c r="G46" s="7" t="n">
        <f aca="false">'Risk Score'!G3269</f>
        <v>1</v>
      </c>
      <c r="H46" s="7" t="n">
        <f aca="false">'Risk Score'!H3269</f>
        <v>3</v>
      </c>
      <c r="I46" s="7" t="n">
        <f aca="false">'Risk Score'!I3269</f>
        <v>7</v>
      </c>
    </row>
    <row r="47" customFormat="false" ht="15" hidden="false" customHeight="false" outlineLevel="0" collapsed="false">
      <c r="A47" s="7" t="n">
        <f aca="false">'Risk Score'!A3957</f>
        <v>3956</v>
      </c>
      <c r="B47" s="7" t="n">
        <f aca="false">'Risk Score'!B3957</f>
        <v>22</v>
      </c>
      <c r="C47" s="7" t="str">
        <f aca="false">'Risk Score'!C3957</f>
        <v>Research &amp; Development</v>
      </c>
      <c r="D47" s="7" t="str">
        <f aca="false">'Risk Score'!D3957</f>
        <v>Research Scientist</v>
      </c>
      <c r="E47" s="7" t="n">
        <f aca="false">'Risk Score'!E3957</f>
        <v>1</v>
      </c>
      <c r="F47" s="7" t="n">
        <f aca="false">'Risk Score'!F3957</f>
        <v>0</v>
      </c>
      <c r="G47" s="7" t="n">
        <f aca="false">'Risk Score'!G3957</f>
        <v>1</v>
      </c>
      <c r="H47" s="7" t="n">
        <f aca="false">'Risk Score'!H3957</f>
        <v>3</v>
      </c>
      <c r="I47" s="7" t="n">
        <f aca="false">'Risk Score'!I3957</f>
        <v>7</v>
      </c>
    </row>
    <row r="48" customFormat="false" ht="15" hidden="false" customHeight="false" outlineLevel="0" collapsed="false">
      <c r="A48" s="7" t="n">
        <f aca="false">'Risk Score'!A4023</f>
        <v>4022</v>
      </c>
      <c r="B48" s="7" t="n">
        <f aca="false">'Risk Score'!B4023</f>
        <v>22</v>
      </c>
      <c r="C48" s="7" t="str">
        <f aca="false">'Risk Score'!C4023</f>
        <v>Research &amp; Development</v>
      </c>
      <c r="D48" s="7" t="str">
        <f aca="false">'Risk Score'!D4023</f>
        <v>Laboratory Technician</v>
      </c>
      <c r="E48" s="7" t="n">
        <f aca="false">'Risk Score'!E4023</f>
        <v>1</v>
      </c>
      <c r="F48" s="7" t="n">
        <f aca="false">'Risk Score'!F4023</f>
        <v>0</v>
      </c>
      <c r="G48" s="7" t="n">
        <f aca="false">'Risk Score'!G4023</f>
        <v>2</v>
      </c>
      <c r="H48" s="7" t="n">
        <f aca="false">'Risk Score'!H4023</f>
        <v>4</v>
      </c>
      <c r="I48" s="7" t="n">
        <f aca="false">'Risk Score'!I4023</f>
        <v>7</v>
      </c>
    </row>
    <row r="49" customFormat="false" ht="15" hidden="false" customHeight="false" outlineLevel="0" collapsed="false">
      <c r="A49" s="7" t="n">
        <f aca="false">'Risk Score'!A4240</f>
        <v>4239</v>
      </c>
      <c r="B49" s="7" t="n">
        <f aca="false">'Risk Score'!B4240</f>
        <v>23</v>
      </c>
      <c r="C49" s="7" t="str">
        <f aca="false">'Risk Score'!C4240</f>
        <v>Research &amp; Development</v>
      </c>
      <c r="D49" s="7" t="str">
        <f aca="false">'Risk Score'!D4240</f>
        <v>Laboratory Technician</v>
      </c>
      <c r="E49" s="7" t="n">
        <f aca="false">'Risk Score'!E4240</f>
        <v>3</v>
      </c>
      <c r="F49" s="7" t="n">
        <f aca="false">'Risk Score'!F4240</f>
        <v>0</v>
      </c>
      <c r="G49" s="7" t="n">
        <f aca="false">'Risk Score'!G4240</f>
        <v>1</v>
      </c>
      <c r="H49" s="7" t="n">
        <f aca="false">'Risk Score'!H4240</f>
        <v>3</v>
      </c>
      <c r="I49" s="7" t="n">
        <f aca="false">'Risk Score'!I4240</f>
        <v>7</v>
      </c>
    </row>
    <row r="50" customFormat="false" ht="15" hidden="false" customHeight="false" outlineLevel="0" collapsed="false">
      <c r="A50" s="7" t="n">
        <f aca="false">'Risk Score'!A4122</f>
        <v>4121</v>
      </c>
      <c r="B50" s="7" t="n">
        <f aca="false">'Risk Score'!B4122</f>
        <v>23</v>
      </c>
      <c r="C50" s="7" t="str">
        <f aca="false">'Risk Score'!C4122</f>
        <v>Research &amp; Development</v>
      </c>
      <c r="D50" s="7" t="str">
        <f aca="false">'Risk Score'!D4122</f>
        <v>Manufacturing Director</v>
      </c>
      <c r="E50" s="7" t="n">
        <f aca="false">'Risk Score'!E4122</f>
        <v>1</v>
      </c>
      <c r="F50" s="7" t="n">
        <f aca="false">'Risk Score'!F4122</f>
        <v>0</v>
      </c>
      <c r="G50" s="7" t="n">
        <f aca="false">'Risk Score'!G4122</f>
        <v>1</v>
      </c>
      <c r="H50" s="7" t="n">
        <f aca="false">'Risk Score'!H4122</f>
        <v>4</v>
      </c>
      <c r="I50" s="7" t="n">
        <f aca="false">'Risk Score'!I4122</f>
        <v>7</v>
      </c>
    </row>
    <row r="51" customFormat="false" ht="15" hidden="false" customHeight="false" outlineLevel="0" collapsed="false">
      <c r="A51" s="7" t="n">
        <f aca="false">'Risk Score'!A4331</f>
        <v>4330</v>
      </c>
      <c r="B51" s="7" t="n">
        <f aca="false">'Risk Score'!B4331</f>
        <v>19</v>
      </c>
      <c r="C51" s="7" t="str">
        <f aca="false">'Risk Score'!C4331</f>
        <v>Research &amp; Development</v>
      </c>
      <c r="D51" s="7" t="str">
        <f aca="false">'Risk Score'!D4331</f>
        <v>Sales Executive</v>
      </c>
      <c r="E51" s="7" t="n">
        <f aca="false">'Risk Score'!E4331</f>
        <v>1</v>
      </c>
      <c r="F51" s="7" t="n">
        <f aca="false">'Risk Score'!F4331</f>
        <v>0</v>
      </c>
      <c r="G51" s="7" t="n">
        <f aca="false">'Risk Score'!G4331</f>
        <v>4</v>
      </c>
      <c r="H51" s="7" t="n">
        <f aca="false">'Risk Score'!H4331</f>
        <v>2</v>
      </c>
      <c r="I51" s="7" t="n">
        <f aca="false">'Risk Score'!I4331</f>
        <v>7</v>
      </c>
    </row>
    <row r="52" customFormat="false" ht="15" hidden="false" customHeight="false" outlineLevel="0" collapsed="false">
      <c r="A52" s="7" t="n">
        <f aca="false">'Risk Score'!A4325</f>
        <v>4324</v>
      </c>
      <c r="B52" s="7" t="n">
        <f aca="false">'Risk Score'!B4325</f>
        <v>19</v>
      </c>
      <c r="C52" s="7" t="str">
        <f aca="false">'Risk Score'!C4325</f>
        <v>Research &amp; Development</v>
      </c>
      <c r="D52" s="7" t="str">
        <f aca="false">'Risk Score'!D4325</f>
        <v>Healthcare Representative</v>
      </c>
      <c r="E52" s="7" t="n">
        <f aca="false">'Risk Score'!E4325</f>
        <v>1</v>
      </c>
      <c r="F52" s="7" t="n">
        <f aca="false">'Risk Score'!F4325</f>
        <v>0</v>
      </c>
      <c r="G52" s="7" t="n">
        <f aca="false">'Risk Score'!G4325</f>
        <v>1</v>
      </c>
      <c r="H52" s="7" t="n">
        <f aca="false">'Risk Score'!H4325</f>
        <v>3</v>
      </c>
      <c r="I52" s="7" t="n">
        <f aca="false">'Risk Score'!I4325</f>
        <v>7</v>
      </c>
    </row>
    <row r="53" customFormat="false" ht="15" hidden="false" customHeight="false" outlineLevel="0" collapsed="false">
      <c r="A53" s="7" t="n">
        <f aca="false">'Risk Score'!A4263</f>
        <v>4262</v>
      </c>
      <c r="B53" s="7" t="n">
        <f aca="false">'Risk Score'!B4263</f>
        <v>22</v>
      </c>
      <c r="C53" s="7" t="str">
        <f aca="false">'Risk Score'!C4263</f>
        <v>Research &amp; Development</v>
      </c>
      <c r="D53" s="7" t="str">
        <f aca="false">'Risk Score'!D4263</f>
        <v>Sales Representative</v>
      </c>
      <c r="E53" s="7" t="n">
        <f aca="false">'Risk Score'!E4263</f>
        <v>1</v>
      </c>
      <c r="F53" s="7" t="n">
        <f aca="false">'Risk Score'!F4263</f>
        <v>0</v>
      </c>
      <c r="G53" s="7" t="n">
        <f aca="false">'Risk Score'!G4263</f>
        <v>4</v>
      </c>
      <c r="H53" s="7" t="n">
        <f aca="false">'Risk Score'!H4263</f>
        <v>2</v>
      </c>
      <c r="I53" s="7" t="n">
        <f aca="false">'Risk Score'!I4263</f>
        <v>7</v>
      </c>
    </row>
    <row r="54" customFormat="false" ht="15" hidden="false" customHeight="false" outlineLevel="0" collapsed="false">
      <c r="A54" s="7" t="n">
        <f aca="false">'Risk Score'!A3995</f>
        <v>3994</v>
      </c>
      <c r="B54" s="7" t="n">
        <f aca="false">'Risk Score'!B3995</f>
        <v>18</v>
      </c>
      <c r="C54" s="7" t="str">
        <f aca="false">'Risk Score'!C3995</f>
        <v>Research &amp; Development</v>
      </c>
      <c r="D54" s="7" t="str">
        <f aca="false">'Risk Score'!D3995</f>
        <v>Sales Representative</v>
      </c>
      <c r="E54" s="7" t="n">
        <f aca="false">'Risk Score'!E3995</f>
        <v>0</v>
      </c>
      <c r="F54" s="7" t="n">
        <f aca="false">'Risk Score'!F3995</f>
        <v>0</v>
      </c>
      <c r="G54" s="7" t="n">
        <f aca="false">'Risk Score'!G3995</f>
        <v>3</v>
      </c>
      <c r="H54" s="7" t="n">
        <f aca="false">'Risk Score'!H3995</f>
        <v>2</v>
      </c>
      <c r="I54" s="7" t="n">
        <f aca="false">'Risk Score'!I3995</f>
        <v>7</v>
      </c>
    </row>
    <row r="55" customFormat="false" ht="15" hidden="false" customHeight="false" outlineLevel="0" collapsed="false">
      <c r="A55" s="7" t="n">
        <f aca="false">'Risk Score'!A3618</f>
        <v>3617</v>
      </c>
      <c r="B55" s="7" t="n">
        <f aca="false">'Risk Score'!B3618</f>
        <v>25</v>
      </c>
      <c r="C55" s="7" t="str">
        <f aca="false">'Risk Score'!C3618</f>
        <v>Research &amp; Development</v>
      </c>
      <c r="D55" s="7" t="str">
        <f aca="false">'Risk Score'!D3618</f>
        <v>Research Scientist</v>
      </c>
      <c r="E55" s="7" t="n">
        <f aca="false">'Risk Score'!E3618</f>
        <v>2</v>
      </c>
      <c r="F55" s="7" t="n">
        <f aca="false">'Risk Score'!F3618</f>
        <v>1</v>
      </c>
      <c r="G55" s="7" t="n">
        <f aca="false">'Risk Score'!G3618</f>
        <v>2</v>
      </c>
      <c r="H55" s="7" t="n">
        <f aca="false">'Risk Score'!H3618</f>
        <v>4</v>
      </c>
      <c r="I55" s="7" t="n">
        <f aca="false">'Risk Score'!I3618</f>
        <v>7</v>
      </c>
    </row>
    <row r="56" customFormat="false" ht="15" hidden="false" customHeight="false" outlineLevel="0" collapsed="false">
      <c r="A56" s="7" t="n">
        <f aca="false">'Risk Score'!A3781</f>
        <v>3780</v>
      </c>
      <c r="B56" s="7" t="n">
        <f aca="false">'Risk Score'!B3781</f>
        <v>24</v>
      </c>
      <c r="C56" s="7" t="str">
        <f aca="false">'Risk Score'!C3781</f>
        <v>Sales</v>
      </c>
      <c r="D56" s="7" t="str">
        <f aca="false">'Risk Score'!D3781</f>
        <v>Manufacturing Director</v>
      </c>
      <c r="E56" s="7" t="n">
        <f aca="false">'Risk Score'!E3781</f>
        <v>2</v>
      </c>
      <c r="F56" s="7" t="n">
        <f aca="false">'Risk Score'!F3781</f>
        <v>0</v>
      </c>
      <c r="G56" s="7" t="n">
        <f aca="false">'Risk Score'!G3781</f>
        <v>1</v>
      </c>
      <c r="H56" s="7" t="n">
        <f aca="false">'Risk Score'!H3781</f>
        <v>3</v>
      </c>
      <c r="I56" s="7" t="n">
        <f aca="false">'Risk Score'!I3781</f>
        <v>7</v>
      </c>
    </row>
    <row r="57" customFormat="false" ht="15" hidden="false" customHeight="false" outlineLevel="0" collapsed="false">
      <c r="A57" s="7" t="n">
        <f aca="false">'Risk Score'!A3929</f>
        <v>3928</v>
      </c>
      <c r="B57" s="7" t="n">
        <f aca="false">'Risk Score'!B3929</f>
        <v>24</v>
      </c>
      <c r="C57" s="7" t="str">
        <f aca="false">'Risk Score'!C3929</f>
        <v>Sales</v>
      </c>
      <c r="D57" s="7" t="str">
        <f aca="false">'Risk Score'!D3929</f>
        <v>Sales Executive</v>
      </c>
      <c r="E57" s="7" t="n">
        <f aca="false">'Risk Score'!E3929</f>
        <v>3</v>
      </c>
      <c r="F57" s="7" t="n">
        <f aca="false">'Risk Score'!F3929</f>
        <v>1</v>
      </c>
      <c r="G57" s="7" t="n">
        <f aca="false">'Risk Score'!G3929</f>
        <v>4</v>
      </c>
      <c r="H57" s="7" t="n">
        <f aca="false">'Risk Score'!H3929</f>
        <v>1</v>
      </c>
      <c r="I57" s="7" t="n">
        <f aca="false">'Risk Score'!I3929</f>
        <v>7</v>
      </c>
    </row>
    <row r="58" customFormat="false" ht="15" hidden="false" customHeight="false" outlineLevel="0" collapsed="false">
      <c r="A58" s="7" t="n">
        <f aca="false">'Risk Score'!A3837</f>
        <v>3836</v>
      </c>
      <c r="B58" s="7" t="n">
        <f aca="false">'Risk Score'!B3837</f>
        <v>18</v>
      </c>
      <c r="C58" s="7" t="str">
        <f aca="false">'Risk Score'!C3837</f>
        <v>Research &amp; Development</v>
      </c>
      <c r="D58" s="7" t="str">
        <f aca="false">'Risk Score'!D3837</f>
        <v>Research Director</v>
      </c>
      <c r="E58" s="7" t="n">
        <f aca="false">'Risk Score'!E3837</f>
        <v>0</v>
      </c>
      <c r="F58" s="7" t="n">
        <f aca="false">'Risk Score'!F3837</f>
        <v>0</v>
      </c>
      <c r="G58" s="7" t="n">
        <f aca="false">'Risk Score'!G3837</f>
        <v>4</v>
      </c>
      <c r="H58" s="7" t="n">
        <f aca="false">'Risk Score'!H3837</f>
        <v>2</v>
      </c>
      <c r="I58" s="7" t="n">
        <f aca="false">'Risk Score'!I3837</f>
        <v>7</v>
      </c>
    </row>
    <row r="59" customFormat="false" ht="15" hidden="false" customHeight="false" outlineLevel="0" collapsed="false">
      <c r="A59" s="7" t="n">
        <f aca="false">'Risk Score'!A3745</f>
        <v>3744</v>
      </c>
      <c r="B59" s="7" t="n">
        <f aca="false">'Risk Score'!B3745</f>
        <v>24</v>
      </c>
      <c r="C59" s="7" t="str">
        <f aca="false">'Risk Score'!C3745</f>
        <v>Research &amp; Development</v>
      </c>
      <c r="D59" s="7" t="str">
        <f aca="false">'Risk Score'!D3745</f>
        <v>Manager</v>
      </c>
      <c r="E59" s="7" t="n">
        <f aca="false">'Risk Score'!E3745</f>
        <v>1</v>
      </c>
      <c r="F59" s="7" t="n">
        <f aca="false">'Risk Score'!F3745</f>
        <v>0</v>
      </c>
      <c r="G59" s="7" t="n">
        <f aca="false">'Risk Score'!G3745</f>
        <v>2</v>
      </c>
      <c r="H59" s="7" t="n">
        <f aca="false">'Risk Score'!H3745</f>
        <v>4</v>
      </c>
      <c r="I59" s="7" t="n">
        <f aca="false">'Risk Score'!I3745</f>
        <v>7</v>
      </c>
    </row>
    <row r="60" customFormat="false" ht="15" hidden="false" customHeight="false" outlineLevel="0" collapsed="false">
      <c r="A60" s="7" t="n">
        <f aca="false">'Risk Score'!A3367</f>
        <v>3366</v>
      </c>
      <c r="B60" s="7" t="n">
        <f aca="false">'Risk Score'!B3367</f>
        <v>25</v>
      </c>
      <c r="C60" s="7" t="str">
        <f aca="false">'Risk Score'!C3367</f>
        <v>Research &amp; Development</v>
      </c>
      <c r="D60" s="7" t="str">
        <f aca="false">'Risk Score'!D3367</f>
        <v>Sales Executive</v>
      </c>
      <c r="E60" s="7" t="n">
        <f aca="false">'Risk Score'!E3367</f>
        <v>1</v>
      </c>
      <c r="F60" s="7" t="n">
        <f aca="false">'Risk Score'!F3367</f>
        <v>0</v>
      </c>
      <c r="G60" s="7" t="n">
        <f aca="false">'Risk Score'!G3367</f>
        <v>2</v>
      </c>
      <c r="H60" s="7" t="n">
        <f aca="false">'Risk Score'!H3367</f>
        <v>3</v>
      </c>
      <c r="I60" s="7" t="n">
        <f aca="false">'Risk Score'!I3367</f>
        <v>7</v>
      </c>
    </row>
    <row r="61" customFormat="false" ht="15" hidden="false" customHeight="false" outlineLevel="0" collapsed="false">
      <c r="A61" s="7" t="n">
        <f aca="false">'Risk Score'!A3593</f>
        <v>3592</v>
      </c>
      <c r="B61" s="7" t="n">
        <f aca="false">'Risk Score'!B3593</f>
        <v>19</v>
      </c>
      <c r="C61" s="7" t="str">
        <f aca="false">'Risk Score'!C3593</f>
        <v>Sales</v>
      </c>
      <c r="D61" s="7" t="str">
        <f aca="false">'Risk Score'!D3593</f>
        <v>Laboratory Technician</v>
      </c>
      <c r="E61" s="7" t="n">
        <f aca="false">'Risk Score'!E3593</f>
        <v>1</v>
      </c>
      <c r="F61" s="7" t="n">
        <f aca="false">'Risk Score'!F3593</f>
        <v>1</v>
      </c>
      <c r="G61" s="7" t="n">
        <f aca="false">'Risk Score'!G3593</f>
        <v>4</v>
      </c>
      <c r="H61" s="7" t="n">
        <f aca="false">'Risk Score'!H3593</f>
        <v>2</v>
      </c>
      <c r="I61" s="7" t="n">
        <f aca="false">'Risk Score'!I3593</f>
        <v>7</v>
      </c>
    </row>
    <row r="62" customFormat="false" ht="15" hidden="false" customHeight="false" outlineLevel="0" collapsed="false">
      <c r="A62" s="7" t="n">
        <f aca="false">'Risk Score'!A3555</f>
        <v>3554</v>
      </c>
      <c r="B62" s="7" t="n">
        <f aca="false">'Risk Score'!B3555</f>
        <v>24</v>
      </c>
      <c r="C62" s="7" t="str">
        <f aca="false">'Risk Score'!C3555</f>
        <v>Human Resources</v>
      </c>
      <c r="D62" s="7" t="str">
        <f aca="false">'Risk Score'!D3555</f>
        <v>Manufacturing Director</v>
      </c>
      <c r="E62" s="7" t="n">
        <f aca="false">'Risk Score'!E3555</f>
        <v>1</v>
      </c>
      <c r="F62" s="7" t="n">
        <f aca="false">'Risk Score'!F3555</f>
        <v>0</v>
      </c>
      <c r="G62" s="7" t="n">
        <f aca="false">'Risk Score'!G3555</f>
        <v>2</v>
      </c>
      <c r="H62" s="7" t="n">
        <f aca="false">'Risk Score'!H3555</f>
        <v>4</v>
      </c>
      <c r="I62" s="7" t="n">
        <f aca="false">'Risk Score'!I3555</f>
        <v>7</v>
      </c>
    </row>
    <row r="63" customFormat="false" ht="15" hidden="false" customHeight="false" outlineLevel="0" collapsed="false">
      <c r="A63" s="7" t="n">
        <f aca="false">'Risk Score'!A1902</f>
        <v>1901</v>
      </c>
      <c r="B63" s="7" t="n">
        <f aca="false">'Risk Score'!B1902</f>
        <v>19</v>
      </c>
      <c r="C63" s="7" t="str">
        <f aca="false">'Risk Score'!C1902</f>
        <v>Research &amp; Development</v>
      </c>
      <c r="D63" s="7" t="str">
        <f aca="false">'Risk Score'!D1902</f>
        <v>Research Scientist</v>
      </c>
      <c r="E63" s="7" t="n">
        <f aca="false">'Risk Score'!E1902</f>
        <v>1</v>
      </c>
      <c r="F63" s="7" t="n">
        <f aca="false">'Risk Score'!F1902</f>
        <v>0</v>
      </c>
      <c r="G63" s="7" t="n">
        <f aca="false">'Risk Score'!G1902</f>
        <v>2</v>
      </c>
      <c r="H63" s="7" t="n">
        <f aca="false">'Risk Score'!H1902</f>
        <v>4</v>
      </c>
      <c r="I63" s="7" t="n">
        <f aca="false">'Risk Score'!I1902</f>
        <v>7</v>
      </c>
    </row>
    <row r="64" customFormat="false" ht="15" hidden="false" customHeight="false" outlineLevel="0" collapsed="false">
      <c r="A64" s="7" t="n">
        <f aca="false">'Risk Score'!A1800</f>
        <v>1799</v>
      </c>
      <c r="B64" s="7" t="n">
        <f aca="false">'Risk Score'!B1800</f>
        <v>24</v>
      </c>
      <c r="C64" s="7" t="str">
        <f aca="false">'Risk Score'!C1800</f>
        <v>Sales</v>
      </c>
      <c r="D64" s="7" t="str">
        <f aca="false">'Risk Score'!D1800</f>
        <v>Manufacturing Director</v>
      </c>
      <c r="E64" s="7" t="n">
        <f aca="false">'Risk Score'!E1800</f>
        <v>1</v>
      </c>
      <c r="F64" s="7" t="n">
        <f aca="false">'Risk Score'!F1800</f>
        <v>0</v>
      </c>
      <c r="G64" s="7" t="n">
        <f aca="false">'Risk Score'!G1800</f>
        <v>2</v>
      </c>
      <c r="H64" s="7" t="n">
        <f aca="false">'Risk Score'!H1800</f>
        <v>3</v>
      </c>
      <c r="I64" s="7" t="n">
        <f aca="false">'Risk Score'!I1800</f>
        <v>7</v>
      </c>
    </row>
    <row r="65" customFormat="false" ht="15" hidden="false" customHeight="false" outlineLevel="0" collapsed="false">
      <c r="A65" s="7" t="n">
        <f aca="false">'Risk Score'!A1941</f>
        <v>1940</v>
      </c>
      <c r="B65" s="7" t="n">
        <f aca="false">'Risk Score'!B1941</f>
        <v>18</v>
      </c>
      <c r="C65" s="7" t="str">
        <f aca="false">'Risk Score'!C1941</f>
        <v>Sales</v>
      </c>
      <c r="D65" s="7" t="str">
        <f aca="false">'Risk Score'!D1941</f>
        <v>Manager</v>
      </c>
      <c r="E65" s="7" t="n">
        <f aca="false">'Risk Score'!E1941</f>
        <v>0</v>
      </c>
      <c r="F65" s="7" t="n">
        <f aca="false">'Risk Score'!F1941</f>
        <v>0</v>
      </c>
      <c r="G65" s="7" t="n">
        <f aca="false">'Risk Score'!G1941</f>
        <v>4</v>
      </c>
      <c r="H65" s="7" t="n">
        <f aca="false">'Risk Score'!H1941</f>
        <v>2</v>
      </c>
      <c r="I65" s="7" t="n">
        <f aca="false">'Risk Score'!I1941</f>
        <v>7</v>
      </c>
    </row>
    <row r="66" customFormat="false" ht="15" hidden="false" customHeight="false" outlineLevel="0" collapsed="false">
      <c r="A66" s="7" t="n">
        <f aca="false">'Risk Score'!A2085</f>
        <v>2084</v>
      </c>
      <c r="B66" s="7" t="n">
        <f aca="false">'Risk Score'!B2085</f>
        <v>24</v>
      </c>
      <c r="C66" s="7" t="str">
        <f aca="false">'Risk Score'!C2085</f>
        <v>Human Resources</v>
      </c>
      <c r="D66" s="7" t="str">
        <f aca="false">'Risk Score'!D2085</f>
        <v>Manufacturing Director</v>
      </c>
      <c r="E66" s="7" t="n">
        <f aca="false">'Risk Score'!E2085</f>
        <v>1</v>
      </c>
      <c r="F66" s="7" t="n">
        <f aca="false">'Risk Score'!F2085</f>
        <v>0</v>
      </c>
      <c r="G66" s="7" t="n">
        <f aca="false">'Risk Score'!G2085</f>
        <v>2</v>
      </c>
      <c r="H66" s="7" t="n">
        <f aca="false">'Risk Score'!H2085</f>
        <v>4</v>
      </c>
      <c r="I66" s="7" t="n">
        <f aca="false">'Risk Score'!I2085</f>
        <v>7</v>
      </c>
    </row>
    <row r="67" customFormat="false" ht="15" hidden="false" customHeight="false" outlineLevel="0" collapsed="false">
      <c r="A67" s="7" t="n">
        <f aca="false">'Risk Score'!A2311</f>
        <v>2310</v>
      </c>
      <c r="B67" s="7" t="n">
        <f aca="false">'Risk Score'!B2311</f>
        <v>24</v>
      </c>
      <c r="C67" s="7" t="str">
        <f aca="false">'Risk Score'!C2311</f>
        <v>Sales</v>
      </c>
      <c r="D67" s="7" t="str">
        <f aca="false">'Risk Score'!D2311</f>
        <v>Manufacturing Director</v>
      </c>
      <c r="E67" s="7" t="n">
        <f aca="false">'Risk Score'!E2311</f>
        <v>2</v>
      </c>
      <c r="F67" s="7" t="n">
        <f aca="false">'Risk Score'!F2311</f>
        <v>0</v>
      </c>
      <c r="G67" s="7" t="n">
        <f aca="false">'Risk Score'!G2311</f>
        <v>1</v>
      </c>
      <c r="H67" s="7" t="n">
        <f aca="false">'Risk Score'!H2311</f>
        <v>3</v>
      </c>
      <c r="I67" s="7" t="n">
        <f aca="false">'Risk Score'!I2311</f>
        <v>7</v>
      </c>
    </row>
    <row r="68" customFormat="false" ht="15" hidden="false" customHeight="false" outlineLevel="0" collapsed="false">
      <c r="A68" s="7" t="n">
        <f aca="false">'Risk Score'!A2275</f>
        <v>2274</v>
      </c>
      <c r="B68" s="7" t="n">
        <f aca="false">'Risk Score'!B2275</f>
        <v>24</v>
      </c>
      <c r="C68" s="7" t="str">
        <f aca="false">'Risk Score'!C2275</f>
        <v>Research &amp; Development</v>
      </c>
      <c r="D68" s="7" t="str">
        <f aca="false">'Risk Score'!D2275</f>
        <v>Manager</v>
      </c>
      <c r="E68" s="7" t="n">
        <f aca="false">'Risk Score'!E2275</f>
        <v>1</v>
      </c>
      <c r="F68" s="7" t="n">
        <f aca="false">'Risk Score'!F2275</f>
        <v>0</v>
      </c>
      <c r="G68" s="7" t="n">
        <f aca="false">'Risk Score'!G2275</f>
        <v>2</v>
      </c>
      <c r="H68" s="7" t="n">
        <f aca="false">'Risk Score'!H2275</f>
        <v>4</v>
      </c>
      <c r="I68" s="7" t="n">
        <f aca="false">'Risk Score'!I2275</f>
        <v>7</v>
      </c>
    </row>
    <row r="69" customFormat="false" ht="15" hidden="false" customHeight="false" outlineLevel="0" collapsed="false">
      <c r="A69" s="7" t="n">
        <f aca="false">'Risk Score'!A2487</f>
        <v>2486</v>
      </c>
      <c r="B69" s="7" t="n">
        <f aca="false">'Risk Score'!B2487</f>
        <v>22</v>
      </c>
      <c r="C69" s="7" t="str">
        <f aca="false">'Risk Score'!C2487</f>
        <v>Research &amp; Development</v>
      </c>
      <c r="D69" s="7" t="str">
        <f aca="false">'Risk Score'!D2487</f>
        <v>Research Scientist</v>
      </c>
      <c r="E69" s="7" t="n">
        <f aca="false">'Risk Score'!E2487</f>
        <v>1</v>
      </c>
      <c r="F69" s="7" t="n">
        <f aca="false">'Risk Score'!F2487</f>
        <v>0</v>
      </c>
      <c r="G69" s="7" t="n">
        <f aca="false">'Risk Score'!G2487</f>
        <v>1</v>
      </c>
      <c r="H69" s="7" t="n">
        <f aca="false">'Risk Score'!H2487</f>
        <v>3</v>
      </c>
      <c r="I69" s="7" t="n">
        <f aca="false">'Risk Score'!I2487</f>
        <v>7</v>
      </c>
    </row>
    <row r="70" customFormat="false" ht="15" hidden="false" customHeight="false" outlineLevel="0" collapsed="false">
      <c r="A70" s="7" t="n">
        <f aca="false">'Risk Score'!A2367</f>
        <v>2366</v>
      </c>
      <c r="B70" s="7" t="n">
        <f aca="false">'Risk Score'!B2367</f>
        <v>18</v>
      </c>
      <c r="C70" s="7" t="str">
        <f aca="false">'Risk Score'!C2367</f>
        <v>Research &amp; Development</v>
      </c>
      <c r="D70" s="7" t="str">
        <f aca="false">'Risk Score'!D2367</f>
        <v>Research Director</v>
      </c>
      <c r="E70" s="7" t="n">
        <f aca="false">'Risk Score'!E2367</f>
        <v>0</v>
      </c>
      <c r="F70" s="7" t="n">
        <f aca="false">'Risk Score'!F2367</f>
        <v>0</v>
      </c>
      <c r="G70" s="7" t="n">
        <f aca="false">'Risk Score'!G2367</f>
        <v>4</v>
      </c>
      <c r="H70" s="7" t="n">
        <f aca="false">'Risk Score'!H2367</f>
        <v>2</v>
      </c>
      <c r="I70" s="7" t="n">
        <f aca="false">'Risk Score'!I2367</f>
        <v>7</v>
      </c>
    </row>
    <row r="71" customFormat="false" ht="15" hidden="false" customHeight="false" outlineLevel="0" collapsed="false">
      <c r="A71" s="7" t="n">
        <f aca="false">'Risk Score'!A2793</f>
        <v>2792</v>
      </c>
      <c r="B71" s="7" t="n">
        <f aca="false">'Risk Score'!B2793</f>
        <v>22</v>
      </c>
      <c r="C71" s="7" t="str">
        <f aca="false">'Risk Score'!C2793</f>
        <v>Research &amp; Development</v>
      </c>
      <c r="D71" s="7" t="str">
        <f aca="false">'Risk Score'!D2793</f>
        <v>Sales Representative</v>
      </c>
      <c r="E71" s="7" t="n">
        <f aca="false">'Risk Score'!E2793</f>
        <v>1</v>
      </c>
      <c r="F71" s="7" t="n">
        <f aca="false">'Risk Score'!F2793</f>
        <v>0</v>
      </c>
      <c r="G71" s="7" t="n">
        <f aca="false">'Risk Score'!G2793</f>
        <v>4</v>
      </c>
      <c r="H71" s="7" t="n">
        <f aca="false">'Risk Score'!H2793</f>
        <v>2</v>
      </c>
      <c r="I71" s="7" t="n">
        <f aca="false">'Risk Score'!I2793</f>
        <v>7</v>
      </c>
    </row>
    <row r="72" customFormat="false" ht="15" hidden="false" customHeight="false" outlineLevel="0" collapsed="false">
      <c r="A72" s="7" t="n">
        <f aca="false">'Risk Score'!A2861</f>
        <v>2860</v>
      </c>
      <c r="B72" s="7" t="n">
        <f aca="false">'Risk Score'!B2861</f>
        <v>19</v>
      </c>
      <c r="C72" s="7" t="str">
        <f aca="false">'Risk Score'!C2861</f>
        <v>Research &amp; Development</v>
      </c>
      <c r="D72" s="7" t="str">
        <f aca="false">'Risk Score'!D2861</f>
        <v>Sales Executive</v>
      </c>
      <c r="E72" s="7" t="n">
        <f aca="false">'Risk Score'!E2861</f>
        <v>1</v>
      </c>
      <c r="F72" s="7" t="n">
        <f aca="false">'Risk Score'!F2861</f>
        <v>0</v>
      </c>
      <c r="G72" s="7" t="n">
        <f aca="false">'Risk Score'!G2861</f>
        <v>4</v>
      </c>
      <c r="H72" s="7" t="n">
        <f aca="false">'Risk Score'!H2861</f>
        <v>2</v>
      </c>
      <c r="I72" s="7" t="n">
        <f aca="false">'Risk Score'!I2861</f>
        <v>7</v>
      </c>
    </row>
    <row r="73" customFormat="false" ht="15" hidden="false" customHeight="false" outlineLevel="0" collapsed="false">
      <c r="A73" s="7" t="n">
        <f aca="false">'Risk Score'!A3106</f>
        <v>3105</v>
      </c>
      <c r="B73" s="7" t="n">
        <f aca="false">'Risk Score'!B3106</f>
        <v>19</v>
      </c>
      <c r="C73" s="7" t="str">
        <f aca="false">'Risk Score'!C3106</f>
        <v>Research &amp; Development</v>
      </c>
      <c r="D73" s="7" t="str">
        <f aca="false">'Risk Score'!D3106</f>
        <v>Sales Executive</v>
      </c>
      <c r="E73" s="7" t="n">
        <f aca="false">'Risk Score'!E3106</f>
        <v>1</v>
      </c>
      <c r="F73" s="7" t="n">
        <f aca="false">'Risk Score'!F3106</f>
        <v>0</v>
      </c>
      <c r="G73" s="7" t="n">
        <f aca="false">'Risk Score'!G3106</f>
        <v>4</v>
      </c>
      <c r="H73" s="7" t="n">
        <f aca="false">'Risk Score'!H3106</f>
        <v>1</v>
      </c>
      <c r="I73" s="7" t="n">
        <f aca="false">'Risk Score'!I3106</f>
        <v>7</v>
      </c>
    </row>
    <row r="74" customFormat="false" ht="15" hidden="false" customHeight="false" outlineLevel="0" collapsed="false">
      <c r="A74" s="7" t="n">
        <f aca="false">'Risk Score'!A3054</f>
        <v>3053</v>
      </c>
      <c r="B74" s="7" t="n">
        <f aca="false">'Risk Score'!B3054</f>
        <v>21</v>
      </c>
      <c r="C74" s="7" t="str">
        <f aca="false">'Risk Score'!C3054</f>
        <v>Human Resources</v>
      </c>
      <c r="D74" s="7" t="str">
        <f aca="false">'Risk Score'!D3054</f>
        <v>Laboratory Technician</v>
      </c>
      <c r="E74" s="7" t="n">
        <f aca="false">'Risk Score'!E3054</f>
        <v>1</v>
      </c>
      <c r="F74" s="7" t="n">
        <f aca="false">'Risk Score'!F3054</f>
        <v>0</v>
      </c>
      <c r="G74" s="7" t="n">
        <f aca="false">'Risk Score'!G3054</f>
        <v>2</v>
      </c>
      <c r="H74" s="7" t="n">
        <f aca="false">'Risk Score'!H3054</f>
        <v>3</v>
      </c>
      <c r="I74" s="7" t="n">
        <f aca="false">'Risk Score'!I3054</f>
        <v>7</v>
      </c>
    </row>
    <row r="75" customFormat="false" ht="15" hidden="false" customHeight="false" outlineLevel="0" collapsed="false">
      <c r="A75" s="7" t="n">
        <f aca="false">'Risk Score'!A2652</f>
        <v>2651</v>
      </c>
      <c r="B75" s="7" t="n">
        <f aca="false">'Risk Score'!B2652</f>
        <v>23</v>
      </c>
      <c r="C75" s="7" t="str">
        <f aca="false">'Risk Score'!C2652</f>
        <v>Research &amp; Development</v>
      </c>
      <c r="D75" s="7" t="str">
        <f aca="false">'Risk Score'!D2652</f>
        <v>Manufacturing Director</v>
      </c>
      <c r="E75" s="7" t="n">
        <f aca="false">'Risk Score'!E2652</f>
        <v>1</v>
      </c>
      <c r="F75" s="7" t="n">
        <f aca="false">'Risk Score'!F2652</f>
        <v>0</v>
      </c>
      <c r="G75" s="7" t="n">
        <f aca="false">'Risk Score'!G2652</f>
        <v>1</v>
      </c>
      <c r="H75" s="7" t="n">
        <f aca="false">'Risk Score'!H2652</f>
        <v>4</v>
      </c>
      <c r="I75" s="7" t="n">
        <f aca="false">'Risk Score'!I2652</f>
        <v>7</v>
      </c>
    </row>
    <row r="76" customFormat="false" ht="15" hidden="false" customHeight="false" outlineLevel="0" collapsed="false">
      <c r="A76" s="7" t="n">
        <f aca="false">'Risk Score'!A2855</f>
        <v>2854</v>
      </c>
      <c r="B76" s="7" t="n">
        <f aca="false">'Risk Score'!B2855</f>
        <v>19</v>
      </c>
      <c r="C76" s="7" t="str">
        <f aca="false">'Risk Score'!C2855</f>
        <v>Research &amp; Development</v>
      </c>
      <c r="D76" s="7" t="str">
        <f aca="false">'Risk Score'!D2855</f>
        <v>Healthcare Representative</v>
      </c>
      <c r="E76" s="7" t="n">
        <f aca="false">'Risk Score'!E2855</f>
        <v>1</v>
      </c>
      <c r="F76" s="7" t="n">
        <f aca="false">'Risk Score'!F2855</f>
        <v>0</v>
      </c>
      <c r="G76" s="7" t="n">
        <f aca="false">'Risk Score'!G2855</f>
        <v>1</v>
      </c>
      <c r="H76" s="7" t="n">
        <f aca="false">'Risk Score'!H2855</f>
        <v>3</v>
      </c>
      <c r="I76" s="7" t="n">
        <f aca="false">'Risk Score'!I2855</f>
        <v>7</v>
      </c>
    </row>
    <row r="77" customFormat="false" ht="15" hidden="false" customHeight="false" outlineLevel="0" collapsed="false">
      <c r="A77" s="7" t="n">
        <f aca="false">'Risk Score'!A2553</f>
        <v>2552</v>
      </c>
      <c r="B77" s="7" t="n">
        <f aca="false">'Risk Score'!B2553</f>
        <v>22</v>
      </c>
      <c r="C77" s="7" t="str">
        <f aca="false">'Risk Score'!C2553</f>
        <v>Research &amp; Development</v>
      </c>
      <c r="D77" s="7" t="str">
        <f aca="false">'Risk Score'!D2553</f>
        <v>Laboratory Technician</v>
      </c>
      <c r="E77" s="7" t="n">
        <f aca="false">'Risk Score'!E2553</f>
        <v>1</v>
      </c>
      <c r="F77" s="7" t="n">
        <f aca="false">'Risk Score'!F2553</f>
        <v>0</v>
      </c>
      <c r="G77" s="7" t="n">
        <f aca="false">'Risk Score'!G2553</f>
        <v>2</v>
      </c>
      <c r="H77" s="7" t="n">
        <f aca="false">'Risk Score'!H2553</f>
        <v>4</v>
      </c>
      <c r="I77" s="7" t="n">
        <f aca="false">'Risk Score'!I2553</f>
        <v>7</v>
      </c>
    </row>
    <row r="78" customFormat="false" ht="15" hidden="false" customHeight="false" outlineLevel="0" collapsed="false">
      <c r="A78" s="7" t="n">
        <f aca="false">'Risk Score'!A2459</f>
        <v>2458</v>
      </c>
      <c r="B78" s="7" t="n">
        <f aca="false">'Risk Score'!B2459</f>
        <v>24</v>
      </c>
      <c r="C78" s="7" t="str">
        <f aca="false">'Risk Score'!C2459</f>
        <v>Sales</v>
      </c>
      <c r="D78" s="7" t="str">
        <f aca="false">'Risk Score'!D2459</f>
        <v>Sales Executive</v>
      </c>
      <c r="E78" s="7" t="n">
        <f aca="false">'Risk Score'!E2459</f>
        <v>3</v>
      </c>
      <c r="F78" s="7" t="n">
        <f aca="false">'Risk Score'!F2459</f>
        <v>1</v>
      </c>
      <c r="G78" s="7" t="n">
        <f aca="false">'Risk Score'!G2459</f>
        <v>4</v>
      </c>
      <c r="H78" s="7" t="n">
        <f aca="false">'Risk Score'!H2459</f>
        <v>1</v>
      </c>
      <c r="I78" s="7" t="n">
        <f aca="false">'Risk Score'!I2459</f>
        <v>7</v>
      </c>
    </row>
    <row r="79" customFormat="false" ht="15" hidden="false" customHeight="false" outlineLevel="0" collapsed="false">
      <c r="A79" s="7" t="n">
        <f aca="false">'Risk Score'!A1945</f>
        <v>1944</v>
      </c>
      <c r="B79" s="7" t="n">
        <f aca="false">'Risk Score'!B1945</f>
        <v>20</v>
      </c>
      <c r="C79" s="7" t="str">
        <f aca="false">'Risk Score'!C1945</f>
        <v>Research &amp; Development</v>
      </c>
      <c r="D79" s="7" t="str">
        <f aca="false">'Risk Score'!D1945</f>
        <v>Research Scientist</v>
      </c>
      <c r="E79" s="7" t="n">
        <f aca="false">'Risk Score'!E1945</f>
        <v>1</v>
      </c>
      <c r="F79" s="7" t="n">
        <f aca="false">'Risk Score'!F1945</f>
        <v>0</v>
      </c>
      <c r="G79" s="7" t="n">
        <f aca="false">'Risk Score'!G1945</f>
        <v>1</v>
      </c>
      <c r="H79" s="7" t="n">
        <f aca="false">'Risk Score'!H1945</f>
        <v>4</v>
      </c>
      <c r="I79" s="7" t="n">
        <f aca="false">'Risk Score'!I1945</f>
        <v>7</v>
      </c>
    </row>
    <row r="80" customFormat="false" ht="15" hidden="false" customHeight="false" outlineLevel="0" collapsed="false">
      <c r="A80" s="7" t="n">
        <f aca="false">'Risk Score'!A2067</f>
        <v>2066</v>
      </c>
      <c r="B80" s="7" t="n">
        <f aca="false">'Risk Score'!B2067</f>
        <v>19</v>
      </c>
      <c r="C80" s="7" t="str">
        <f aca="false">'Risk Score'!C2067</f>
        <v>Research &amp; Development</v>
      </c>
      <c r="D80" s="7" t="str">
        <f aca="false">'Risk Score'!D2067</f>
        <v>Laboratory Technician</v>
      </c>
      <c r="E80" s="7" t="n">
        <f aca="false">'Risk Score'!E2067</f>
        <v>1</v>
      </c>
      <c r="F80" s="7" t="n">
        <f aca="false">'Risk Score'!F2067</f>
        <v>0</v>
      </c>
      <c r="G80" s="7" t="n">
        <f aca="false">'Risk Score'!G2067</f>
        <v>1</v>
      </c>
      <c r="H80" s="7" t="n">
        <f aca="false">'Risk Score'!H2067</f>
        <v>3</v>
      </c>
      <c r="I80" s="7" t="n">
        <f aca="false">'Risk Score'!I2067</f>
        <v>7</v>
      </c>
    </row>
    <row r="81" customFormat="false" ht="15" hidden="false" customHeight="false" outlineLevel="0" collapsed="false">
      <c r="A81" s="7" t="n">
        <f aca="false">'Risk Score'!A2148</f>
        <v>2147</v>
      </c>
      <c r="B81" s="7" t="n">
        <f aca="false">'Risk Score'!B2148</f>
        <v>25</v>
      </c>
      <c r="C81" s="7" t="str">
        <f aca="false">'Risk Score'!C2148</f>
        <v>Research &amp; Development</v>
      </c>
      <c r="D81" s="7" t="str">
        <f aca="false">'Risk Score'!D2148</f>
        <v>Research Scientist</v>
      </c>
      <c r="E81" s="7" t="n">
        <f aca="false">'Risk Score'!E2148</f>
        <v>2</v>
      </c>
      <c r="F81" s="7" t="n">
        <f aca="false">'Risk Score'!F2148</f>
        <v>1</v>
      </c>
      <c r="G81" s="7" t="n">
        <f aca="false">'Risk Score'!G2148</f>
        <v>2</v>
      </c>
      <c r="H81" s="7" t="n">
        <f aca="false">'Risk Score'!H2148</f>
        <v>4</v>
      </c>
      <c r="I81" s="7" t="n">
        <f aca="false">'Risk Score'!I2148</f>
        <v>7</v>
      </c>
    </row>
    <row r="82" customFormat="false" ht="15" hidden="false" customHeight="false" outlineLevel="0" collapsed="false">
      <c r="A82" s="7" t="n">
        <f aca="false">'Risk Score'!A678</f>
        <v>677</v>
      </c>
      <c r="B82" s="7" t="n">
        <f aca="false">'Risk Score'!B678</f>
        <v>25</v>
      </c>
      <c r="C82" s="7" t="str">
        <f aca="false">'Risk Score'!C678</f>
        <v>Research &amp; Development</v>
      </c>
      <c r="D82" s="7" t="str">
        <f aca="false">'Risk Score'!D678</f>
        <v>Research Scientist</v>
      </c>
      <c r="E82" s="7" t="n">
        <f aca="false">'Risk Score'!E678</f>
        <v>2</v>
      </c>
      <c r="F82" s="7" t="n">
        <f aca="false">'Risk Score'!F678</f>
        <v>1</v>
      </c>
      <c r="G82" s="7" t="n">
        <f aca="false">'Risk Score'!G678</f>
        <v>2</v>
      </c>
      <c r="H82" s="7" t="n">
        <f aca="false">'Risk Score'!H678</f>
        <v>4</v>
      </c>
      <c r="I82" s="7" t="n">
        <f aca="false">'Risk Score'!I678</f>
        <v>7</v>
      </c>
    </row>
    <row r="83" customFormat="false" ht="15" hidden="false" customHeight="false" outlineLevel="0" collapsed="false">
      <c r="A83" s="7" t="n">
        <f aca="false">'Risk Score'!A1017</f>
        <v>1016</v>
      </c>
      <c r="B83" s="7" t="n">
        <f aca="false">'Risk Score'!B1017</f>
        <v>22</v>
      </c>
      <c r="C83" s="7" t="str">
        <f aca="false">'Risk Score'!C1017</f>
        <v>Research &amp; Development</v>
      </c>
      <c r="D83" s="7" t="str">
        <f aca="false">'Risk Score'!D1017</f>
        <v>Research Scientist</v>
      </c>
      <c r="E83" s="7" t="n">
        <f aca="false">'Risk Score'!E1017</f>
        <v>1</v>
      </c>
      <c r="F83" s="7" t="n">
        <f aca="false">'Risk Score'!F1017</f>
        <v>0</v>
      </c>
      <c r="G83" s="7" t="n">
        <f aca="false">'Risk Score'!G1017</f>
        <v>1</v>
      </c>
      <c r="H83" s="7" t="n">
        <f aca="false">'Risk Score'!H1017</f>
        <v>3</v>
      </c>
      <c r="I83" s="7" t="n">
        <f aca="false">'Risk Score'!I1017</f>
        <v>7</v>
      </c>
    </row>
    <row r="84" customFormat="false" ht="15" hidden="false" customHeight="false" outlineLevel="0" collapsed="false">
      <c r="A84" s="7" t="n">
        <f aca="false">'Risk Score'!A989</f>
        <v>988</v>
      </c>
      <c r="B84" s="7" t="n">
        <f aca="false">'Risk Score'!B989</f>
        <v>24</v>
      </c>
      <c r="C84" s="7" t="str">
        <f aca="false">'Risk Score'!C989</f>
        <v>Sales</v>
      </c>
      <c r="D84" s="7" t="str">
        <f aca="false">'Risk Score'!D989</f>
        <v>Sales Executive</v>
      </c>
      <c r="E84" s="7" t="n">
        <f aca="false">'Risk Score'!E989</f>
        <v>3</v>
      </c>
      <c r="F84" s="7" t="n">
        <f aca="false">'Risk Score'!F989</f>
        <v>1</v>
      </c>
      <c r="G84" s="7" t="n">
        <f aca="false">'Risk Score'!G989</f>
        <v>4</v>
      </c>
      <c r="H84" s="7" t="n">
        <f aca="false">'Risk Score'!H989</f>
        <v>1</v>
      </c>
      <c r="I84" s="7" t="n">
        <f aca="false">'Risk Score'!I989</f>
        <v>7</v>
      </c>
    </row>
    <row r="85" customFormat="false" ht="15" hidden="false" customHeight="false" outlineLevel="0" collapsed="false">
      <c r="A85" s="7" t="n">
        <f aca="false">'Risk Score'!A897</f>
        <v>896</v>
      </c>
      <c r="B85" s="7" t="n">
        <f aca="false">'Risk Score'!B897</f>
        <v>18</v>
      </c>
      <c r="C85" s="7" t="str">
        <f aca="false">'Risk Score'!C897</f>
        <v>Research &amp; Development</v>
      </c>
      <c r="D85" s="7" t="str">
        <f aca="false">'Risk Score'!D897</f>
        <v>Research Director</v>
      </c>
      <c r="E85" s="7" t="n">
        <f aca="false">'Risk Score'!E897</f>
        <v>0</v>
      </c>
      <c r="F85" s="7" t="n">
        <f aca="false">'Risk Score'!F897</f>
        <v>0</v>
      </c>
      <c r="G85" s="7" t="n">
        <f aca="false">'Risk Score'!G897</f>
        <v>4</v>
      </c>
      <c r="H85" s="7" t="n">
        <f aca="false">'Risk Score'!H897</f>
        <v>2</v>
      </c>
      <c r="I85" s="7" t="n">
        <f aca="false">'Risk Score'!I897</f>
        <v>7</v>
      </c>
    </row>
    <row r="86" customFormat="false" ht="15" hidden="false" customHeight="false" outlineLevel="0" collapsed="false">
      <c r="A86" s="7" t="n">
        <f aca="false">'Risk Score'!A841</f>
        <v>840</v>
      </c>
      <c r="B86" s="7" t="n">
        <f aca="false">'Risk Score'!B841</f>
        <v>24</v>
      </c>
      <c r="C86" s="7" t="str">
        <f aca="false">'Risk Score'!C841</f>
        <v>Sales</v>
      </c>
      <c r="D86" s="7" t="str">
        <f aca="false">'Risk Score'!D841</f>
        <v>Manufacturing Director</v>
      </c>
      <c r="E86" s="7" t="n">
        <f aca="false">'Risk Score'!E841</f>
        <v>2</v>
      </c>
      <c r="F86" s="7" t="n">
        <f aca="false">'Risk Score'!F841</f>
        <v>0</v>
      </c>
      <c r="G86" s="7" t="n">
        <f aca="false">'Risk Score'!G841</f>
        <v>1</v>
      </c>
      <c r="H86" s="7" t="n">
        <f aca="false">'Risk Score'!H841</f>
        <v>3</v>
      </c>
      <c r="I86" s="7" t="n">
        <f aca="false">'Risk Score'!I841</f>
        <v>7</v>
      </c>
    </row>
    <row r="87" customFormat="false" ht="15" hidden="false" customHeight="false" outlineLevel="0" collapsed="false">
      <c r="A87" s="7" t="n">
        <f aca="false">'Risk Score'!A653</f>
        <v>652</v>
      </c>
      <c r="B87" s="7" t="n">
        <f aca="false">'Risk Score'!B653</f>
        <v>19</v>
      </c>
      <c r="C87" s="7" t="str">
        <f aca="false">'Risk Score'!C653</f>
        <v>Sales</v>
      </c>
      <c r="D87" s="7" t="str">
        <f aca="false">'Risk Score'!D653</f>
        <v>Laboratory Technician</v>
      </c>
      <c r="E87" s="7" t="n">
        <f aca="false">'Risk Score'!E653</f>
        <v>1</v>
      </c>
      <c r="F87" s="7" t="n">
        <f aca="false">'Risk Score'!F653</f>
        <v>1</v>
      </c>
      <c r="G87" s="7" t="n">
        <f aca="false">'Risk Score'!G653</f>
        <v>4</v>
      </c>
      <c r="H87" s="7" t="n">
        <f aca="false">'Risk Score'!H653</f>
        <v>2</v>
      </c>
      <c r="I87" s="7" t="n">
        <f aca="false">'Risk Score'!I653</f>
        <v>7</v>
      </c>
    </row>
    <row r="88" customFormat="false" ht="15" hidden="false" customHeight="false" outlineLevel="0" collapsed="false">
      <c r="A88" s="7" t="n">
        <f aca="false">'Risk Score'!A597</f>
        <v>596</v>
      </c>
      <c r="B88" s="7" t="n">
        <f aca="false">'Risk Score'!B597</f>
        <v>19</v>
      </c>
      <c r="C88" s="7" t="str">
        <f aca="false">'Risk Score'!C597</f>
        <v>Research &amp; Development</v>
      </c>
      <c r="D88" s="7" t="str">
        <f aca="false">'Risk Score'!D597</f>
        <v>Laboratory Technician</v>
      </c>
      <c r="E88" s="7" t="n">
        <f aca="false">'Risk Score'!E597</f>
        <v>1</v>
      </c>
      <c r="F88" s="7" t="n">
        <f aca="false">'Risk Score'!F597</f>
        <v>0</v>
      </c>
      <c r="G88" s="7" t="n">
        <f aca="false">'Risk Score'!G597</f>
        <v>1</v>
      </c>
      <c r="H88" s="7" t="n">
        <f aca="false">'Risk Score'!H597</f>
        <v>3</v>
      </c>
      <c r="I88" s="7" t="n">
        <f aca="false">'Risk Score'!I597</f>
        <v>7</v>
      </c>
    </row>
    <row r="89" customFormat="false" ht="15" hidden="false" customHeight="false" outlineLevel="0" collapsed="false">
      <c r="A89" s="7" t="n">
        <f aca="false">'Risk Score'!A432</f>
        <v>431</v>
      </c>
      <c r="B89" s="7" t="n">
        <f aca="false">'Risk Score'!B432</f>
        <v>19</v>
      </c>
      <c r="C89" s="7" t="str">
        <f aca="false">'Risk Score'!C432</f>
        <v>Research &amp; Development</v>
      </c>
      <c r="D89" s="7" t="str">
        <f aca="false">'Risk Score'!D432</f>
        <v>Research Scientist</v>
      </c>
      <c r="E89" s="7" t="n">
        <f aca="false">'Risk Score'!E432</f>
        <v>1</v>
      </c>
      <c r="F89" s="7" t="n">
        <f aca="false">'Risk Score'!F432</f>
        <v>0</v>
      </c>
      <c r="G89" s="7" t="n">
        <f aca="false">'Risk Score'!G432</f>
        <v>2</v>
      </c>
      <c r="H89" s="7" t="n">
        <f aca="false">'Risk Score'!H432</f>
        <v>4</v>
      </c>
      <c r="I89" s="7" t="n">
        <f aca="false">'Risk Score'!I432</f>
        <v>7</v>
      </c>
    </row>
    <row r="90" customFormat="false" ht="15" hidden="false" customHeight="false" outlineLevel="0" collapsed="false">
      <c r="A90" s="7" t="n">
        <f aca="false">'Risk Score'!A427</f>
        <v>426</v>
      </c>
      <c r="B90" s="7" t="n">
        <f aca="false">'Risk Score'!B427</f>
        <v>25</v>
      </c>
      <c r="C90" s="7" t="str">
        <f aca="false">'Risk Score'!C427</f>
        <v>Research &amp; Development</v>
      </c>
      <c r="D90" s="7" t="str">
        <f aca="false">'Risk Score'!D427</f>
        <v>Sales Executive</v>
      </c>
      <c r="E90" s="7" t="n">
        <f aca="false">'Risk Score'!E427</f>
        <v>1</v>
      </c>
      <c r="F90" s="7" t="n">
        <f aca="false">'Risk Score'!F427</f>
        <v>0</v>
      </c>
      <c r="G90" s="7" t="n">
        <f aca="false">'Risk Score'!G427</f>
        <v>2</v>
      </c>
      <c r="H90" s="7" t="n">
        <f aca="false">'Risk Score'!H427</f>
        <v>3</v>
      </c>
      <c r="I90" s="7" t="n">
        <f aca="false">'Risk Score'!I427</f>
        <v>7</v>
      </c>
    </row>
    <row r="91" customFormat="false" ht="15" hidden="false" customHeight="false" outlineLevel="0" collapsed="false">
      <c r="A91" s="7" t="n">
        <f aca="false">'Risk Score'!A330</f>
        <v>329</v>
      </c>
      <c r="B91" s="7" t="n">
        <f aca="false">'Risk Score'!B330</f>
        <v>24</v>
      </c>
      <c r="C91" s="7" t="str">
        <f aca="false">'Risk Score'!C330</f>
        <v>Sales</v>
      </c>
      <c r="D91" s="7" t="str">
        <f aca="false">'Risk Score'!D330</f>
        <v>Manufacturing Director</v>
      </c>
      <c r="E91" s="7" t="n">
        <f aca="false">'Risk Score'!E330</f>
        <v>1</v>
      </c>
      <c r="F91" s="7" t="n">
        <f aca="false">'Risk Score'!F330</f>
        <v>0</v>
      </c>
      <c r="G91" s="7" t="n">
        <f aca="false">'Risk Score'!G330</f>
        <v>2</v>
      </c>
      <c r="H91" s="7" t="n">
        <f aca="false">'Risk Score'!H330</f>
        <v>3</v>
      </c>
      <c r="I91" s="7" t="n">
        <f aca="false">'Risk Score'!I330</f>
        <v>7</v>
      </c>
    </row>
    <row r="92" customFormat="false" ht="15" hidden="false" customHeight="false" outlineLevel="0" collapsed="false">
      <c r="A92" s="7" t="n">
        <f aca="false">'Risk Score'!A329</f>
        <v>328</v>
      </c>
      <c r="B92" s="7" t="n">
        <f aca="false">'Risk Score'!B329</f>
        <v>23</v>
      </c>
      <c r="C92" s="7" t="str">
        <f aca="false">'Risk Score'!C329</f>
        <v>Sales</v>
      </c>
      <c r="D92" s="7" t="str">
        <f aca="false">'Risk Score'!D329</f>
        <v>Manufacturing Director</v>
      </c>
      <c r="E92" s="7" t="n">
        <f aca="false">'Risk Score'!E329</f>
        <v>1</v>
      </c>
      <c r="F92" s="7" t="n">
        <f aca="false">'Risk Score'!F329</f>
        <v>0</v>
      </c>
      <c r="G92" s="7" t="n">
        <f aca="false">'Risk Score'!G329</f>
        <v>1</v>
      </c>
      <c r="H92" s="7" t="n">
        <f aca="false">'Risk Score'!H329</f>
        <v>3</v>
      </c>
      <c r="I92" s="7" t="n">
        <f aca="false">'Risk Score'!I329</f>
        <v>7</v>
      </c>
    </row>
    <row r="93" customFormat="false" ht="15" hidden="false" customHeight="false" outlineLevel="0" collapsed="false">
      <c r="A93" s="7" t="n">
        <f aca="false">'Risk Score'!A231</f>
        <v>230</v>
      </c>
      <c r="B93" s="7" t="n">
        <f aca="false">'Risk Score'!B231</f>
        <v>20</v>
      </c>
      <c r="C93" s="7" t="str">
        <f aca="false">'Risk Score'!C231</f>
        <v>Research &amp; Development</v>
      </c>
      <c r="D93" s="7" t="str">
        <f aca="false">'Risk Score'!D231</f>
        <v>Sales Representative</v>
      </c>
      <c r="E93" s="7" t="n">
        <f aca="false">'Risk Score'!E231</f>
        <v>1</v>
      </c>
      <c r="F93" s="7" t="n">
        <f aca="false">'Risk Score'!F231</f>
        <v>0</v>
      </c>
      <c r="G93" s="7" t="n">
        <f aca="false">'Risk Score'!G231</f>
        <v>2</v>
      </c>
      <c r="H93" s="7" t="n">
        <f aca="false">'Risk Score'!H231</f>
        <v>4</v>
      </c>
      <c r="I93" s="7" t="n">
        <f aca="false">'Risk Score'!I231</f>
        <v>7</v>
      </c>
    </row>
    <row r="94" customFormat="false" ht="15" hidden="false" customHeight="false" outlineLevel="0" collapsed="false">
      <c r="A94" s="7" t="n">
        <f aca="false">'Risk Score'!A220</f>
        <v>219</v>
      </c>
      <c r="B94" s="7" t="n">
        <f aca="false">'Risk Score'!B220</f>
        <v>24</v>
      </c>
      <c r="C94" s="7" t="str">
        <f aca="false">'Risk Score'!C220</f>
        <v>Sales</v>
      </c>
      <c r="D94" s="7" t="str">
        <f aca="false">'Risk Score'!D220</f>
        <v>Laboratory Technician</v>
      </c>
      <c r="E94" s="7" t="n">
        <f aca="false">'Risk Score'!E220</f>
        <v>1</v>
      </c>
      <c r="F94" s="7" t="n">
        <f aca="false">'Risk Score'!F220</f>
        <v>0</v>
      </c>
      <c r="G94" s="7" t="n">
        <f aca="false">'Risk Score'!G220</f>
        <v>2</v>
      </c>
      <c r="H94" s="7" t="n">
        <f aca="false">'Risk Score'!H220</f>
        <v>4</v>
      </c>
      <c r="I94" s="7" t="n">
        <f aca="false">'Risk Score'!I220</f>
        <v>7</v>
      </c>
    </row>
    <row r="95" customFormat="false" ht="15" hidden="false" customHeight="false" outlineLevel="0" collapsed="false">
      <c r="A95" s="7" t="n">
        <f aca="false">'Risk Score'!A3160</f>
        <v>3159</v>
      </c>
      <c r="B95" s="7" t="n">
        <f aca="false">'Risk Score'!B3160</f>
        <v>24</v>
      </c>
      <c r="C95" s="7" t="str">
        <f aca="false">'Risk Score'!C3160</f>
        <v>Sales</v>
      </c>
      <c r="D95" s="7" t="str">
        <f aca="false">'Risk Score'!D3160</f>
        <v>Laboratory Technician</v>
      </c>
      <c r="E95" s="7" t="n">
        <f aca="false">'Risk Score'!E3160</f>
        <v>1</v>
      </c>
      <c r="F95" s="7" t="n">
        <f aca="false">'Risk Score'!F3160</f>
        <v>0</v>
      </c>
      <c r="G95" s="7" t="n">
        <f aca="false">'Risk Score'!G3160</f>
        <v>2</v>
      </c>
      <c r="H95" s="7" t="n">
        <f aca="false">'Risk Score'!H3160</f>
        <v>4</v>
      </c>
      <c r="I95" s="7" t="n">
        <f aca="false">'Risk Score'!I3160</f>
        <v>7</v>
      </c>
    </row>
    <row r="96" customFormat="false" ht="15" hidden="false" customHeight="false" outlineLevel="0" collapsed="false">
      <c r="A96" s="7" t="n">
        <f aca="false">'Risk Score'!A3209</f>
        <v>3208</v>
      </c>
      <c r="B96" s="7" t="n">
        <f aca="false">'Risk Score'!B3209</f>
        <v>24</v>
      </c>
      <c r="C96" s="7" t="str">
        <f aca="false">'Risk Score'!C3209</f>
        <v>Research &amp; Development</v>
      </c>
      <c r="D96" s="7" t="str">
        <f aca="false">'Risk Score'!D3209</f>
        <v>Healthcare Representative</v>
      </c>
      <c r="E96" s="7" t="n">
        <f aca="false">'Risk Score'!E3209</f>
        <v>4</v>
      </c>
      <c r="F96" s="7" t="n">
        <f aca="false">'Risk Score'!F3209</f>
        <v>0</v>
      </c>
      <c r="G96" s="7" t="n">
        <f aca="false">'Risk Score'!G3209</f>
        <v>3</v>
      </c>
      <c r="H96" s="7" t="n">
        <f aca="false">'Risk Score'!H3209</f>
        <v>1</v>
      </c>
      <c r="I96" s="7" t="n">
        <f aca="false">'Risk Score'!I3209</f>
        <v>7</v>
      </c>
    </row>
    <row r="97" customFormat="false" ht="15" hidden="false" customHeight="false" outlineLevel="0" collapsed="false">
      <c r="A97" s="7" t="n">
        <f aca="false">'Risk Score'!A3171</f>
        <v>3170</v>
      </c>
      <c r="B97" s="7" t="n">
        <f aca="false">'Risk Score'!B3171</f>
        <v>20</v>
      </c>
      <c r="C97" s="7" t="str">
        <f aca="false">'Risk Score'!C3171</f>
        <v>Research &amp; Development</v>
      </c>
      <c r="D97" s="7" t="str">
        <f aca="false">'Risk Score'!D3171</f>
        <v>Sales Representative</v>
      </c>
      <c r="E97" s="7" t="n">
        <f aca="false">'Risk Score'!E3171</f>
        <v>1</v>
      </c>
      <c r="F97" s="7" t="n">
        <f aca="false">'Risk Score'!F3171</f>
        <v>0</v>
      </c>
      <c r="G97" s="7" t="n">
        <f aca="false">'Risk Score'!G3171</f>
        <v>2</v>
      </c>
      <c r="H97" s="7" t="n">
        <f aca="false">'Risk Score'!H3171</f>
        <v>4</v>
      </c>
      <c r="I97" s="7" t="n">
        <f aca="false">'Risk Score'!I3171</f>
        <v>7</v>
      </c>
    </row>
    <row r="98" customFormat="false" ht="15" hidden="false" customHeight="false" outlineLevel="0" collapsed="false">
      <c r="A98" s="7" t="n">
        <f aca="false">'Risk Score'!A3411</f>
        <v>3410</v>
      </c>
      <c r="B98" s="7" t="n">
        <f aca="false">'Risk Score'!B3411</f>
        <v>18</v>
      </c>
      <c r="C98" s="7" t="str">
        <f aca="false">'Risk Score'!C3411</f>
        <v>Sales</v>
      </c>
      <c r="D98" s="7" t="str">
        <f aca="false">'Risk Score'!D3411</f>
        <v>Manager</v>
      </c>
      <c r="E98" s="7" t="n">
        <f aca="false">'Risk Score'!E3411</f>
        <v>0</v>
      </c>
      <c r="F98" s="7" t="n">
        <f aca="false">'Risk Score'!F3411</f>
        <v>0</v>
      </c>
      <c r="G98" s="7" t="n">
        <f aca="false">'Risk Score'!G3411</f>
        <v>4</v>
      </c>
      <c r="H98" s="7" t="n">
        <f aca="false">'Risk Score'!H3411</f>
        <v>2</v>
      </c>
      <c r="I98" s="7" t="n">
        <f aca="false">'Risk Score'!I3411</f>
        <v>7</v>
      </c>
    </row>
    <row r="99" customFormat="false" ht="15" hidden="false" customHeight="false" outlineLevel="0" collapsed="false">
      <c r="A99" s="7" t="n">
        <f aca="false">'Risk Score'!A3415</f>
        <v>3414</v>
      </c>
      <c r="B99" s="7" t="n">
        <f aca="false">'Risk Score'!B3415</f>
        <v>20</v>
      </c>
      <c r="C99" s="7" t="str">
        <f aca="false">'Risk Score'!C3415</f>
        <v>Research &amp; Development</v>
      </c>
      <c r="D99" s="7" t="str">
        <f aca="false">'Risk Score'!D3415</f>
        <v>Research Scientist</v>
      </c>
      <c r="E99" s="7" t="n">
        <f aca="false">'Risk Score'!E3415</f>
        <v>1</v>
      </c>
      <c r="F99" s="7" t="n">
        <f aca="false">'Risk Score'!F3415</f>
        <v>0</v>
      </c>
      <c r="G99" s="7" t="n">
        <f aca="false">'Risk Score'!G3415</f>
        <v>1</v>
      </c>
      <c r="H99" s="7" t="n">
        <f aca="false">'Risk Score'!H3415</f>
        <v>4</v>
      </c>
      <c r="I99" s="7" t="n">
        <f aca="false">'Risk Score'!I3415</f>
        <v>7</v>
      </c>
    </row>
    <row r="100" customFormat="false" ht="15" hidden="false" customHeight="false" outlineLevel="0" collapsed="false">
      <c r="A100" s="7" t="n">
        <f aca="false">'Risk Score'!A3461</f>
        <v>3460</v>
      </c>
      <c r="B100" s="7" t="n">
        <f aca="false">'Risk Score'!B3461</f>
        <v>21</v>
      </c>
      <c r="C100" s="7" t="str">
        <f aca="false">'Risk Score'!C3461</f>
        <v>Research &amp; Development</v>
      </c>
      <c r="D100" s="7" t="str">
        <f aca="false">'Risk Score'!D3461</f>
        <v>Manager</v>
      </c>
      <c r="E100" s="7" t="n">
        <f aca="false">'Risk Score'!E3461</f>
        <v>1</v>
      </c>
      <c r="F100" s="7" t="n">
        <f aca="false">'Risk Score'!F3461</f>
        <v>0</v>
      </c>
      <c r="G100" s="7" t="n">
        <f aca="false">'Risk Score'!G3461</f>
        <v>1</v>
      </c>
      <c r="H100" s="7" t="n">
        <f aca="false">'Risk Score'!H3461</f>
        <v>3</v>
      </c>
      <c r="I100" s="7" t="n">
        <f aca="false">'Risk Score'!I3461</f>
        <v>7</v>
      </c>
    </row>
    <row r="101" customFormat="false" ht="15" hidden="false" customHeight="false" outlineLevel="0" collapsed="false">
      <c r="A101" s="7" t="n">
        <f aca="false">'Risk Score'!A3537</f>
        <v>3536</v>
      </c>
      <c r="B101" s="7" t="n">
        <f aca="false">'Risk Score'!B3537</f>
        <v>19</v>
      </c>
      <c r="C101" s="7" t="str">
        <f aca="false">'Risk Score'!C3537</f>
        <v>Research &amp; Development</v>
      </c>
      <c r="D101" s="7" t="str">
        <f aca="false">'Risk Score'!D3537</f>
        <v>Laboratory Technician</v>
      </c>
      <c r="E101" s="7" t="n">
        <f aca="false">'Risk Score'!E3537</f>
        <v>1</v>
      </c>
      <c r="F101" s="7" t="n">
        <f aca="false">'Risk Score'!F3537</f>
        <v>0</v>
      </c>
      <c r="G101" s="7" t="n">
        <f aca="false">'Risk Score'!G3537</f>
        <v>1</v>
      </c>
      <c r="H101" s="7" t="n">
        <f aca="false">'Risk Score'!H3537</f>
        <v>3</v>
      </c>
      <c r="I101" s="7" t="n">
        <f aca="false">'Risk Score'!I3537</f>
        <v>7</v>
      </c>
    </row>
    <row r="102" customFormat="false" ht="15" hidden="false" customHeight="false" outlineLevel="0" collapsed="false">
      <c r="A102" s="7" t="n">
        <f aca="false">'Risk Score'!A3372</f>
        <v>3371</v>
      </c>
      <c r="B102" s="7" t="n">
        <f aca="false">'Risk Score'!B3372</f>
        <v>19</v>
      </c>
      <c r="C102" s="7" t="str">
        <f aca="false">'Risk Score'!C3372</f>
        <v>Research &amp; Development</v>
      </c>
      <c r="D102" s="7" t="str">
        <f aca="false">'Risk Score'!D3372</f>
        <v>Research Scientist</v>
      </c>
      <c r="E102" s="7" t="n">
        <f aca="false">'Risk Score'!E3372</f>
        <v>1</v>
      </c>
      <c r="F102" s="7" t="n">
        <f aca="false">'Risk Score'!F3372</f>
        <v>0</v>
      </c>
      <c r="G102" s="7" t="n">
        <f aca="false">'Risk Score'!G3372</f>
        <v>2</v>
      </c>
      <c r="H102" s="7" t="n">
        <f aca="false">'Risk Score'!H3372</f>
        <v>4</v>
      </c>
      <c r="I102" s="7" t="n">
        <f aca="false">'Risk Score'!I3372</f>
        <v>7</v>
      </c>
    </row>
    <row r="103" customFormat="false" ht="15" hidden="false" customHeight="false" outlineLevel="0" collapsed="false">
      <c r="A103" s="7" t="n">
        <f aca="false">'Risk Score'!A1897</f>
        <v>1896</v>
      </c>
      <c r="B103" s="7" t="n">
        <f aca="false">'Risk Score'!B1897</f>
        <v>25</v>
      </c>
      <c r="C103" s="7" t="str">
        <f aca="false">'Risk Score'!C1897</f>
        <v>Research &amp; Development</v>
      </c>
      <c r="D103" s="7" t="str">
        <f aca="false">'Risk Score'!D1897</f>
        <v>Sales Executive</v>
      </c>
      <c r="E103" s="7" t="n">
        <f aca="false">'Risk Score'!E1897</f>
        <v>1</v>
      </c>
      <c r="F103" s="7" t="n">
        <f aca="false">'Risk Score'!F1897</f>
        <v>0</v>
      </c>
      <c r="G103" s="7" t="n">
        <f aca="false">'Risk Score'!G1897</f>
        <v>2</v>
      </c>
      <c r="H103" s="7" t="n">
        <f aca="false">'Risk Score'!H1897</f>
        <v>3</v>
      </c>
      <c r="I103" s="7" t="n">
        <f aca="false">'Risk Score'!I1897</f>
        <v>7</v>
      </c>
    </row>
    <row r="104" customFormat="false" ht="15" hidden="false" customHeight="false" outlineLevel="0" collapsed="false">
      <c r="A104" s="7" t="n">
        <f aca="false">'Risk Score'!A3270</f>
        <v>3269</v>
      </c>
      <c r="B104" s="7" t="n">
        <f aca="false">'Risk Score'!B3270</f>
        <v>24</v>
      </c>
      <c r="C104" s="7" t="str">
        <f aca="false">'Risk Score'!C3270</f>
        <v>Sales</v>
      </c>
      <c r="D104" s="7" t="str">
        <f aca="false">'Risk Score'!D3270</f>
        <v>Manufacturing Director</v>
      </c>
      <c r="E104" s="7" t="n">
        <f aca="false">'Risk Score'!E3270</f>
        <v>1</v>
      </c>
      <c r="F104" s="7" t="n">
        <f aca="false">'Risk Score'!F3270</f>
        <v>0</v>
      </c>
      <c r="G104" s="7" t="n">
        <f aca="false">'Risk Score'!G3270</f>
        <v>2</v>
      </c>
      <c r="H104" s="7" t="n">
        <f aca="false">'Risk Score'!H3270</f>
        <v>3</v>
      </c>
      <c r="I104" s="7" t="n">
        <f aca="false">'Risk Score'!I3270</f>
        <v>7</v>
      </c>
    </row>
    <row r="105" customFormat="false" ht="15" hidden="false" customHeight="false" outlineLevel="0" collapsed="false">
      <c r="A105" s="7" t="n">
        <f aca="false">'Risk Score'!A2770</f>
        <v>2769</v>
      </c>
      <c r="B105" s="7" t="n">
        <f aca="false">'Risk Score'!B2770</f>
        <v>23</v>
      </c>
      <c r="C105" s="7" t="str">
        <f aca="false">'Risk Score'!C2770</f>
        <v>Research &amp; Development</v>
      </c>
      <c r="D105" s="7" t="str">
        <f aca="false">'Risk Score'!D2770</f>
        <v>Laboratory Technician</v>
      </c>
      <c r="E105" s="7" t="n">
        <f aca="false">'Risk Score'!E2770</f>
        <v>3</v>
      </c>
      <c r="F105" s="7" t="n">
        <f aca="false">'Risk Score'!F2770</f>
        <v>0</v>
      </c>
      <c r="G105" s="7" t="n">
        <f aca="false">'Risk Score'!G2770</f>
        <v>1</v>
      </c>
      <c r="H105" s="7" t="n">
        <f aca="false">'Risk Score'!H2770</f>
        <v>3</v>
      </c>
      <c r="I105" s="7" t="n">
        <f aca="false">'Risk Score'!I2770</f>
        <v>7</v>
      </c>
    </row>
    <row r="106" customFormat="false" ht="15" hidden="false" customHeight="false" outlineLevel="0" collapsed="false">
      <c r="A106" s="7" t="n">
        <f aca="false">'Risk Score'!A2525</f>
        <v>2524</v>
      </c>
      <c r="B106" s="7" t="n">
        <f aca="false">'Risk Score'!B2525</f>
        <v>18</v>
      </c>
      <c r="C106" s="7" t="str">
        <f aca="false">'Risk Score'!C2525</f>
        <v>Research &amp; Development</v>
      </c>
      <c r="D106" s="7" t="str">
        <f aca="false">'Risk Score'!D2525</f>
        <v>Sales Representative</v>
      </c>
      <c r="E106" s="7" t="n">
        <f aca="false">'Risk Score'!E2525</f>
        <v>0</v>
      </c>
      <c r="F106" s="7" t="n">
        <f aca="false">'Risk Score'!F2525</f>
        <v>0</v>
      </c>
      <c r="G106" s="7" t="n">
        <f aca="false">'Risk Score'!G2525</f>
        <v>3</v>
      </c>
      <c r="H106" s="7" t="n">
        <f aca="false">'Risk Score'!H2525</f>
        <v>2</v>
      </c>
      <c r="I106" s="7" t="n">
        <f aca="false">'Risk Score'!I2525</f>
        <v>7</v>
      </c>
    </row>
    <row r="107" customFormat="false" ht="15" hidden="false" customHeight="false" outlineLevel="0" collapsed="false">
      <c r="A107" s="7" t="n">
        <f aca="false">'Risk Score'!A1991</f>
        <v>1990</v>
      </c>
      <c r="B107" s="7" t="n">
        <f aca="false">'Risk Score'!B1991</f>
        <v>21</v>
      </c>
      <c r="C107" s="7" t="str">
        <f aca="false">'Risk Score'!C1991</f>
        <v>Research &amp; Development</v>
      </c>
      <c r="D107" s="7" t="str">
        <f aca="false">'Risk Score'!D1991</f>
        <v>Manager</v>
      </c>
      <c r="E107" s="7" t="n">
        <f aca="false">'Risk Score'!E1991</f>
        <v>1</v>
      </c>
      <c r="F107" s="7" t="n">
        <f aca="false">'Risk Score'!F1991</f>
        <v>0</v>
      </c>
      <c r="G107" s="7" t="n">
        <f aca="false">'Risk Score'!G1991</f>
        <v>1</v>
      </c>
      <c r="H107" s="7" t="n">
        <f aca="false">'Risk Score'!H1991</f>
        <v>3</v>
      </c>
      <c r="I107" s="7" t="n">
        <f aca="false">'Risk Score'!I1991</f>
        <v>7</v>
      </c>
    </row>
    <row r="108" customFormat="false" ht="15" hidden="false" customHeight="false" outlineLevel="0" collapsed="false">
      <c r="A108" s="7" t="n">
        <f aca="false">'Risk Score'!A2123</f>
        <v>2122</v>
      </c>
      <c r="B108" s="7" t="n">
        <f aca="false">'Risk Score'!B2123</f>
        <v>19</v>
      </c>
      <c r="C108" s="7" t="str">
        <f aca="false">'Risk Score'!C2123</f>
        <v>Sales</v>
      </c>
      <c r="D108" s="7" t="str">
        <f aca="false">'Risk Score'!D2123</f>
        <v>Laboratory Technician</v>
      </c>
      <c r="E108" s="7" t="n">
        <f aca="false">'Risk Score'!E2123</f>
        <v>1</v>
      </c>
      <c r="F108" s="7" t="n">
        <f aca="false">'Risk Score'!F2123</f>
        <v>1</v>
      </c>
      <c r="G108" s="7" t="n">
        <f aca="false">'Risk Score'!G2123</f>
        <v>4</v>
      </c>
      <c r="H108" s="7" t="n">
        <f aca="false">'Risk Score'!H2123</f>
        <v>2</v>
      </c>
      <c r="I108" s="7" t="n">
        <f aca="false">'Risk Score'!I2123</f>
        <v>7</v>
      </c>
    </row>
    <row r="109" customFormat="false" ht="15" hidden="false" customHeight="false" outlineLevel="0" collapsed="false">
      <c r="A109" s="7" t="n">
        <f aca="false">'Risk Score'!A1764</f>
        <v>1763</v>
      </c>
      <c r="B109" s="7" t="n">
        <f aca="false">'Risk Score'!B1764</f>
        <v>23</v>
      </c>
      <c r="C109" s="7" t="str">
        <f aca="false">'Risk Score'!C1764</f>
        <v>Sales</v>
      </c>
      <c r="D109" s="7" t="str">
        <f aca="false">'Risk Score'!D1764</f>
        <v>Sales Executive</v>
      </c>
      <c r="E109" s="7" t="n">
        <f aca="false">'Risk Score'!E1764</f>
        <v>5</v>
      </c>
      <c r="F109" s="7" t="n">
        <f aca="false">'Risk Score'!F1764</f>
        <v>2</v>
      </c>
      <c r="G109" s="7" t="n">
        <f aca="false">'Risk Score'!G1764</f>
        <v>1</v>
      </c>
      <c r="H109" s="7" t="n">
        <f aca="false">'Risk Score'!H1764</f>
        <v>2</v>
      </c>
      <c r="I109" s="7" t="n">
        <f aca="false">'Risk Score'!I1764</f>
        <v>6</v>
      </c>
    </row>
    <row r="110" customFormat="false" ht="15" hidden="false" customHeight="false" outlineLevel="0" collapsed="false">
      <c r="A110" s="7" t="n">
        <f aca="false">'Risk Score'!A1510</f>
        <v>1509</v>
      </c>
      <c r="B110" s="7" t="n">
        <f aca="false">'Risk Score'!B1510</f>
        <v>18</v>
      </c>
      <c r="C110" s="7" t="str">
        <f aca="false">'Risk Score'!C1510</f>
        <v>Research &amp; Development</v>
      </c>
      <c r="D110" s="7" t="str">
        <f aca="false">'Risk Score'!D1510</f>
        <v>Sales Executive</v>
      </c>
      <c r="E110" s="7" t="n">
        <f aca="false">'Risk Score'!E1510</f>
        <v>0</v>
      </c>
      <c r="F110" s="7" t="n">
        <f aca="false">'Risk Score'!F1510</f>
        <v>0</v>
      </c>
      <c r="G110" s="7" t="n">
        <f aca="false">'Risk Score'!G1510</f>
        <v>3</v>
      </c>
      <c r="H110" s="7" t="n">
        <f aca="false">'Risk Score'!H1510</f>
        <v>3</v>
      </c>
      <c r="I110" s="7" t="n">
        <f aca="false">'Risk Score'!I1510</f>
        <v>6</v>
      </c>
    </row>
    <row r="111" customFormat="false" ht="15" hidden="false" customHeight="false" outlineLevel="0" collapsed="false">
      <c r="A111" s="7" t="n">
        <f aca="false">'Risk Score'!A1123</f>
        <v>1122</v>
      </c>
      <c r="B111" s="7" t="n">
        <f aca="false">'Risk Score'!B1123</f>
        <v>27</v>
      </c>
      <c r="C111" s="7" t="str">
        <f aca="false">'Risk Score'!C1123</f>
        <v>Sales</v>
      </c>
      <c r="D111" s="7" t="str">
        <f aca="false">'Risk Score'!D1123</f>
        <v>Laboratory Technician</v>
      </c>
      <c r="E111" s="7" t="n">
        <f aca="false">'Risk Score'!E1123</f>
        <v>1</v>
      </c>
      <c r="F111" s="7" t="n">
        <f aca="false">'Risk Score'!F1123</f>
        <v>0</v>
      </c>
      <c r="G111" s="7" t="n">
        <f aca="false">'Risk Score'!G1123</f>
        <v>2</v>
      </c>
      <c r="H111" s="7" t="n">
        <f aca="false">'Risk Score'!H1123</f>
        <v>1</v>
      </c>
      <c r="I111" s="7" t="n">
        <f aca="false">'Risk Score'!I1123</f>
        <v>6</v>
      </c>
    </row>
    <row r="112" customFormat="false" ht="15" hidden="false" customHeight="false" outlineLevel="0" collapsed="false">
      <c r="A112" s="7" t="n">
        <f aca="false">'Risk Score'!A1730</f>
        <v>1729</v>
      </c>
      <c r="B112" s="7" t="n">
        <f aca="false">'Risk Score'!B1730</f>
        <v>23</v>
      </c>
      <c r="C112" s="7" t="str">
        <f aca="false">'Risk Score'!C1730</f>
        <v>Research &amp; Development</v>
      </c>
      <c r="D112" s="7" t="str">
        <f aca="false">'Risk Score'!D1730</f>
        <v>Healthcare Representative</v>
      </c>
      <c r="E112" s="7" t="n">
        <f aca="false">'Risk Score'!E1730</f>
        <v>5</v>
      </c>
      <c r="F112" s="7" t="n">
        <f aca="false">'Risk Score'!F1730</f>
        <v>2</v>
      </c>
      <c r="G112" s="7" t="n">
        <f aca="false">'Risk Score'!G1730</f>
        <v>1</v>
      </c>
      <c r="H112" s="7" t="n">
        <f aca="false">'Risk Score'!H1730</f>
        <v>1</v>
      </c>
      <c r="I112" s="7" t="n">
        <f aca="false">'Risk Score'!I1730</f>
        <v>6</v>
      </c>
    </row>
    <row r="113" customFormat="false" ht="15" hidden="false" customHeight="false" outlineLevel="0" collapsed="false">
      <c r="A113" s="7" t="n">
        <f aca="false">'Risk Score'!A1718</f>
        <v>1717</v>
      </c>
      <c r="B113" s="7" t="n">
        <f aca="false">'Risk Score'!B1718</f>
        <v>45</v>
      </c>
      <c r="C113" s="7" t="str">
        <f aca="false">'Risk Score'!C1718</f>
        <v>Research &amp; Development</v>
      </c>
      <c r="D113" s="7" t="str">
        <f aca="false">'Risk Score'!D1718</f>
        <v>Research Director</v>
      </c>
      <c r="E113" s="7" t="n">
        <f aca="false">'Risk Score'!E1718</f>
        <v>5</v>
      </c>
      <c r="F113" s="7" t="n">
        <f aca="false">'Risk Score'!F1718</f>
        <v>0</v>
      </c>
      <c r="G113" s="7" t="n">
        <f aca="false">'Risk Score'!G1718</f>
        <v>1</v>
      </c>
      <c r="H113" s="7" t="n">
        <f aca="false">'Risk Score'!H1718</f>
        <v>1</v>
      </c>
      <c r="I113" s="7" t="n">
        <f aca="false">'Risk Score'!I1718</f>
        <v>6</v>
      </c>
    </row>
    <row r="114" customFormat="false" ht="15" hidden="false" customHeight="false" outlineLevel="0" collapsed="false">
      <c r="A114" s="7" t="n">
        <f aca="false">'Risk Score'!A1727</f>
        <v>1726</v>
      </c>
      <c r="B114" s="7" t="n">
        <f aca="false">'Risk Score'!B1727</f>
        <v>20</v>
      </c>
      <c r="C114" s="7" t="str">
        <f aca="false">'Risk Score'!C1727</f>
        <v>Research &amp; Development</v>
      </c>
      <c r="D114" s="7" t="str">
        <f aca="false">'Risk Score'!D1727</f>
        <v>Sales Representative</v>
      </c>
      <c r="E114" s="7" t="n">
        <f aca="false">'Risk Score'!E1727</f>
        <v>1</v>
      </c>
      <c r="F114" s="7" t="n">
        <f aca="false">'Risk Score'!F1727</f>
        <v>1</v>
      </c>
      <c r="G114" s="7" t="n">
        <f aca="false">'Risk Score'!G1727</f>
        <v>3</v>
      </c>
      <c r="H114" s="7" t="n">
        <f aca="false">'Risk Score'!H1727</f>
        <v>4</v>
      </c>
      <c r="I114" s="7" t="n">
        <f aca="false">'Risk Score'!I1727</f>
        <v>6</v>
      </c>
    </row>
    <row r="115" customFormat="false" ht="15" hidden="false" customHeight="false" outlineLevel="0" collapsed="false">
      <c r="A115" s="7" t="n">
        <f aca="false">'Risk Score'!A1694</f>
        <v>1693</v>
      </c>
      <c r="B115" s="7" t="n">
        <f aca="false">'Risk Score'!B1694</f>
        <v>30</v>
      </c>
      <c r="C115" s="7" t="str">
        <f aca="false">'Risk Score'!C1694</f>
        <v>Research &amp; Development</v>
      </c>
      <c r="D115" s="7" t="str">
        <f aca="false">'Risk Score'!D1694</f>
        <v>Healthcare Representative</v>
      </c>
      <c r="E115" s="7" t="n">
        <f aca="false">'Risk Score'!E1694</f>
        <v>1</v>
      </c>
      <c r="F115" s="7" t="n">
        <f aca="false">'Risk Score'!F1694</f>
        <v>0</v>
      </c>
      <c r="G115" s="7" t="n">
        <f aca="false">'Risk Score'!G1694</f>
        <v>1</v>
      </c>
      <c r="H115" s="7" t="n">
        <f aca="false">'Risk Score'!H1694</f>
        <v>2</v>
      </c>
      <c r="I115" s="7" t="n">
        <f aca="false">'Risk Score'!I1694</f>
        <v>6</v>
      </c>
    </row>
    <row r="116" customFormat="false" ht="15" hidden="false" customHeight="false" outlineLevel="0" collapsed="false">
      <c r="A116" s="7" t="n">
        <f aca="false">'Risk Score'!A1571</f>
        <v>1570</v>
      </c>
      <c r="B116" s="7" t="n">
        <f aca="false">'Risk Score'!B1571</f>
        <v>21</v>
      </c>
      <c r="C116" s="7" t="str">
        <f aca="false">'Risk Score'!C1571</f>
        <v>Research &amp; Development</v>
      </c>
      <c r="D116" s="7" t="str">
        <f aca="false">'Risk Score'!D1571</f>
        <v>Manufacturing Director</v>
      </c>
      <c r="E116" s="7" t="n">
        <f aca="false">'Risk Score'!E1571</f>
        <v>3</v>
      </c>
      <c r="F116" s="7" t="n">
        <f aca="false">'Risk Score'!F1571</f>
        <v>2</v>
      </c>
      <c r="G116" s="7" t="n">
        <f aca="false">'Risk Score'!G1571</f>
        <v>2</v>
      </c>
      <c r="H116" s="7" t="n">
        <f aca="false">'Risk Score'!H1571</f>
        <v>1</v>
      </c>
      <c r="I116" s="7" t="n">
        <f aca="false">'Risk Score'!I1571</f>
        <v>6</v>
      </c>
    </row>
    <row r="117" customFormat="false" ht="15" hidden="false" customHeight="false" outlineLevel="0" collapsed="false">
      <c r="A117" s="7" t="n">
        <f aca="false">'Risk Score'!A1515</f>
        <v>1514</v>
      </c>
      <c r="B117" s="7" t="n">
        <f aca="false">'Risk Score'!B1515</f>
        <v>18</v>
      </c>
      <c r="C117" s="7" t="str">
        <f aca="false">'Risk Score'!C1515</f>
        <v>Sales</v>
      </c>
      <c r="D117" s="7" t="str">
        <f aca="false">'Risk Score'!D1515</f>
        <v>Research Scientist</v>
      </c>
      <c r="E117" s="7" t="n">
        <f aca="false">'Risk Score'!E1515</f>
        <v>0</v>
      </c>
      <c r="F117" s="7" t="n">
        <f aca="false">'Risk Score'!F1515</f>
        <v>0</v>
      </c>
      <c r="G117" s="7" t="n">
        <f aca="false">'Risk Score'!G1515</f>
        <v>3</v>
      </c>
      <c r="H117" s="7" t="n">
        <f aca="false">'Risk Score'!H1515</f>
        <v>4</v>
      </c>
      <c r="I117" s="7" t="n">
        <f aca="false">'Risk Score'!I1515</f>
        <v>6</v>
      </c>
    </row>
    <row r="118" customFormat="false" ht="15" hidden="false" customHeight="false" outlineLevel="0" collapsed="false">
      <c r="A118" s="7" t="n">
        <f aca="false">'Risk Score'!A1684</f>
        <v>1683</v>
      </c>
      <c r="B118" s="7" t="n">
        <f aca="false">'Risk Score'!B1684</f>
        <v>24</v>
      </c>
      <c r="C118" s="7" t="str">
        <f aca="false">'Risk Score'!C1684</f>
        <v>Sales</v>
      </c>
      <c r="D118" s="7" t="str">
        <f aca="false">'Risk Score'!D1684</f>
        <v>Healthcare Representative</v>
      </c>
      <c r="E118" s="7" t="n">
        <f aca="false">'Risk Score'!E1684</f>
        <v>3</v>
      </c>
      <c r="F118" s="7" t="n">
        <f aca="false">'Risk Score'!F1684</f>
        <v>1</v>
      </c>
      <c r="G118" s="7" t="n">
        <f aca="false">'Risk Score'!G1684</f>
        <v>4</v>
      </c>
      <c r="H118" s="7" t="n">
        <f aca="false">'Risk Score'!H1684</f>
        <v>4</v>
      </c>
      <c r="I118" s="7" t="n">
        <f aca="false">'Risk Score'!I1684</f>
        <v>6</v>
      </c>
    </row>
    <row r="119" customFormat="false" ht="15" hidden="false" customHeight="false" outlineLevel="0" collapsed="false">
      <c r="A119" s="7" t="n">
        <f aca="false">'Risk Score'!A1597</f>
        <v>1596</v>
      </c>
      <c r="B119" s="7" t="n">
        <f aca="false">'Risk Score'!B1597</f>
        <v>22</v>
      </c>
      <c r="C119" s="7" t="str">
        <f aca="false">'Risk Score'!C1597</f>
        <v>Research &amp; Development</v>
      </c>
      <c r="D119" s="7" t="str">
        <f aca="false">'Risk Score'!D1597</f>
        <v>Research Scientist</v>
      </c>
      <c r="E119" s="7" t="n">
        <f aca="false">'Risk Score'!E1597</f>
        <v>2</v>
      </c>
      <c r="F119" s="7" t="n">
        <f aca="false">'Risk Score'!F1597</f>
        <v>2</v>
      </c>
      <c r="G119" s="7" t="n">
        <f aca="false">'Risk Score'!G1597</f>
        <v>2</v>
      </c>
      <c r="H119" s="7" t="n">
        <f aca="false">'Risk Score'!H1597</f>
        <v>1</v>
      </c>
      <c r="I119" s="7" t="n">
        <f aca="false">'Risk Score'!I1597</f>
        <v>6</v>
      </c>
    </row>
    <row r="120" customFormat="false" ht="15" hidden="false" customHeight="false" outlineLevel="0" collapsed="false">
      <c r="A120" s="7" t="n">
        <f aca="false">'Risk Score'!A1316</f>
        <v>1315</v>
      </c>
      <c r="B120" s="7" t="n">
        <f aca="false">'Risk Score'!B1316</f>
        <v>20</v>
      </c>
      <c r="C120" s="7" t="str">
        <f aca="false">'Risk Score'!C1316</f>
        <v>Sales</v>
      </c>
      <c r="D120" s="7" t="str">
        <f aca="false">'Risk Score'!D1316</f>
        <v>Healthcare Representative</v>
      </c>
      <c r="E120" s="7" t="n">
        <f aca="false">'Risk Score'!E1316</f>
        <v>1</v>
      </c>
      <c r="F120" s="7" t="n">
        <f aca="false">'Risk Score'!F1316</f>
        <v>0</v>
      </c>
      <c r="G120" s="7" t="n">
        <f aca="false">'Risk Score'!G1316</f>
        <v>4</v>
      </c>
      <c r="H120" s="7" t="n">
        <f aca="false">'Risk Score'!H1316</f>
        <v>4</v>
      </c>
      <c r="I120" s="7" t="n">
        <f aca="false">'Risk Score'!I1316</f>
        <v>6</v>
      </c>
    </row>
    <row r="121" customFormat="false" ht="15" hidden="false" customHeight="false" outlineLevel="0" collapsed="false">
      <c r="A121" s="7" t="n">
        <f aca="false">'Risk Score'!A1237</f>
        <v>1236</v>
      </c>
      <c r="B121" s="7" t="n">
        <f aca="false">'Risk Score'!B1237</f>
        <v>21</v>
      </c>
      <c r="C121" s="7" t="str">
        <f aca="false">'Risk Score'!C1237</f>
        <v>Sales</v>
      </c>
      <c r="D121" s="7" t="str">
        <f aca="false">'Risk Score'!D1237</f>
        <v>Manufacturing Director</v>
      </c>
      <c r="E121" s="7" t="n">
        <f aca="false">'Risk Score'!E1237</f>
        <v>0</v>
      </c>
      <c r="F121" s="7" t="n">
        <f aca="false">'Risk Score'!F1237</f>
        <v>0</v>
      </c>
      <c r="G121" s="7" t="n">
        <f aca="false">'Risk Score'!G1237</f>
        <v>4</v>
      </c>
      <c r="H121" s="7" t="n">
        <f aca="false">'Risk Score'!H1237</f>
        <v>3</v>
      </c>
      <c r="I121" s="7" t="n">
        <f aca="false">'Risk Score'!I1237</f>
        <v>6</v>
      </c>
    </row>
    <row r="122" customFormat="false" ht="15" hidden="false" customHeight="false" outlineLevel="0" collapsed="false">
      <c r="A122" s="7" t="n">
        <f aca="false">'Risk Score'!A1231</f>
        <v>1230</v>
      </c>
      <c r="B122" s="7" t="n">
        <f aca="false">'Risk Score'!B1231</f>
        <v>22</v>
      </c>
      <c r="C122" s="7" t="str">
        <f aca="false">'Risk Score'!C1231</f>
        <v>Research &amp; Development</v>
      </c>
      <c r="D122" s="7" t="str">
        <f aca="false">'Risk Score'!D1231</f>
        <v>Sales Executive</v>
      </c>
      <c r="E122" s="7" t="n">
        <f aca="false">'Risk Score'!E1231</f>
        <v>1</v>
      </c>
      <c r="F122" s="7" t="n">
        <f aca="false">'Risk Score'!F1231</f>
        <v>0</v>
      </c>
      <c r="G122" s="7" t="n">
        <f aca="false">'Risk Score'!G1231</f>
        <v>4</v>
      </c>
      <c r="H122" s="7" t="n">
        <f aca="false">'Risk Score'!H1231</f>
        <v>4</v>
      </c>
      <c r="I122" s="7" t="n">
        <f aca="false">'Risk Score'!I1231</f>
        <v>6</v>
      </c>
    </row>
    <row r="123" customFormat="false" ht="15" hidden="false" customHeight="false" outlineLevel="0" collapsed="false">
      <c r="A123" s="7" t="n">
        <f aca="false">'Risk Score'!A1342</f>
        <v>1341</v>
      </c>
      <c r="B123" s="7" t="n">
        <f aca="false">'Risk Score'!B1342</f>
        <v>22</v>
      </c>
      <c r="C123" s="7" t="str">
        <f aca="false">'Risk Score'!C1342</f>
        <v>Sales</v>
      </c>
      <c r="D123" s="7" t="str">
        <f aca="false">'Risk Score'!D1342</f>
        <v>Sales Executive</v>
      </c>
      <c r="E123" s="7" t="n">
        <f aca="false">'Risk Score'!E1342</f>
        <v>3</v>
      </c>
      <c r="F123" s="7" t="n">
        <f aca="false">'Risk Score'!F1342</f>
        <v>1</v>
      </c>
      <c r="G123" s="7" t="n">
        <f aca="false">'Risk Score'!G1342</f>
        <v>4</v>
      </c>
      <c r="H123" s="7" t="n">
        <f aca="false">'Risk Score'!H1342</f>
        <v>3</v>
      </c>
      <c r="I123" s="7" t="n">
        <f aca="false">'Risk Score'!I1342</f>
        <v>6</v>
      </c>
    </row>
    <row r="124" customFormat="false" ht="15" hidden="false" customHeight="false" outlineLevel="0" collapsed="false">
      <c r="A124" s="7" t="n">
        <f aca="false">'Risk Score'!A1341</f>
        <v>1340</v>
      </c>
      <c r="B124" s="7" t="n">
        <f aca="false">'Risk Score'!B1341</f>
        <v>19</v>
      </c>
      <c r="C124" s="7" t="str">
        <f aca="false">'Risk Score'!C1341</f>
        <v>Research &amp; Development</v>
      </c>
      <c r="D124" s="7" t="str">
        <f aca="false">'Risk Score'!D1341</f>
        <v>Manager</v>
      </c>
      <c r="E124" s="7" t="n">
        <f aca="false">'Risk Score'!E1341</f>
        <v>0</v>
      </c>
      <c r="F124" s="7" t="n">
        <f aca="false">'Risk Score'!F1341</f>
        <v>0</v>
      </c>
      <c r="G124" s="7" t="n">
        <f aca="false">'Risk Score'!G1341</f>
        <v>3</v>
      </c>
      <c r="H124" s="7" t="n">
        <f aca="false">'Risk Score'!H1341</f>
        <v>4</v>
      </c>
      <c r="I124" s="7" t="n">
        <f aca="false">'Risk Score'!I1341</f>
        <v>6</v>
      </c>
    </row>
    <row r="125" customFormat="false" ht="15" hidden="false" customHeight="false" outlineLevel="0" collapsed="false">
      <c r="A125" s="7" t="n">
        <f aca="false">'Risk Score'!A1488</f>
        <v>1487</v>
      </c>
      <c r="B125" s="7" t="n">
        <f aca="false">'Risk Score'!B1488</f>
        <v>21</v>
      </c>
      <c r="C125" s="7" t="str">
        <f aca="false">'Risk Score'!C1488</f>
        <v>Research &amp; Development</v>
      </c>
      <c r="D125" s="7" t="str">
        <f aca="false">'Risk Score'!D1488</f>
        <v>Laboratory Technician</v>
      </c>
      <c r="E125" s="7" t="n">
        <f aca="false">'Risk Score'!E1488</f>
        <v>3</v>
      </c>
      <c r="F125" s="7" t="n">
        <f aca="false">'Risk Score'!F1488</f>
        <v>0</v>
      </c>
      <c r="G125" s="7" t="n">
        <f aca="false">'Risk Score'!G1488</f>
        <v>3</v>
      </c>
      <c r="H125" s="7" t="n">
        <f aca="false">'Risk Score'!H1488</f>
        <v>4</v>
      </c>
      <c r="I125" s="7" t="n">
        <f aca="false">'Risk Score'!I1488</f>
        <v>6</v>
      </c>
    </row>
    <row r="126" customFormat="false" ht="15" hidden="false" customHeight="false" outlineLevel="0" collapsed="false">
      <c r="A126" s="7" t="n">
        <f aca="false">'Risk Score'!A1081</f>
        <v>1080</v>
      </c>
      <c r="B126" s="7" t="n">
        <f aca="false">'Risk Score'!B1081</f>
        <v>28</v>
      </c>
      <c r="C126" s="7" t="str">
        <f aca="false">'Risk Score'!C1081</f>
        <v>Research &amp; Development</v>
      </c>
      <c r="D126" s="7" t="str">
        <f aca="false">'Risk Score'!D1081</f>
        <v>Laboratory Technician</v>
      </c>
      <c r="E126" s="7" t="n">
        <f aca="false">'Risk Score'!E1081</f>
        <v>1</v>
      </c>
      <c r="F126" s="7" t="n">
        <f aca="false">'Risk Score'!F1081</f>
        <v>0</v>
      </c>
      <c r="G126" s="7" t="n">
        <f aca="false">'Risk Score'!G1081</f>
        <v>2</v>
      </c>
      <c r="H126" s="7" t="n">
        <f aca="false">'Risk Score'!H1081</f>
        <v>2</v>
      </c>
      <c r="I126" s="7" t="n">
        <f aca="false">'Risk Score'!I1081</f>
        <v>6</v>
      </c>
    </row>
    <row r="127" customFormat="false" ht="15" hidden="false" customHeight="false" outlineLevel="0" collapsed="false">
      <c r="A127" s="7" t="n">
        <f aca="false">'Risk Score'!A654</f>
        <v>653</v>
      </c>
      <c r="B127" s="7" t="n">
        <f aca="false">'Risk Score'!B654</f>
        <v>23</v>
      </c>
      <c r="C127" s="7" t="str">
        <f aca="false">'Risk Score'!C654</f>
        <v>Sales</v>
      </c>
      <c r="D127" s="7" t="str">
        <f aca="false">'Risk Score'!D654</f>
        <v>Laboratory Technician</v>
      </c>
      <c r="E127" s="7" t="n">
        <f aca="false">'Risk Score'!E654</f>
        <v>1</v>
      </c>
      <c r="F127" s="7" t="n">
        <f aca="false">'Risk Score'!F654</f>
        <v>1</v>
      </c>
      <c r="G127" s="7" t="n">
        <f aca="false">'Risk Score'!G654</f>
        <v>3</v>
      </c>
      <c r="H127" s="7" t="n">
        <f aca="false">'Risk Score'!H654</f>
        <v>4</v>
      </c>
      <c r="I127" s="7" t="n">
        <f aca="false">'Risk Score'!I654</f>
        <v>6</v>
      </c>
    </row>
    <row r="128" customFormat="false" ht="15" hidden="false" customHeight="false" outlineLevel="0" collapsed="false">
      <c r="A128" s="7" t="n">
        <f aca="false">'Risk Score'!A214</f>
        <v>213</v>
      </c>
      <c r="B128" s="7" t="n">
        <f aca="false">'Risk Score'!B214</f>
        <v>24</v>
      </c>
      <c r="C128" s="7" t="str">
        <f aca="false">'Risk Score'!C214</f>
        <v>Sales</v>
      </c>
      <c r="D128" s="7" t="str">
        <f aca="false">'Risk Score'!D214</f>
        <v>Healthcare Representative</v>
      </c>
      <c r="E128" s="7" t="n">
        <f aca="false">'Risk Score'!E214</f>
        <v>3</v>
      </c>
      <c r="F128" s="7" t="n">
        <f aca="false">'Risk Score'!F214</f>
        <v>1</v>
      </c>
      <c r="G128" s="7" t="n">
        <f aca="false">'Risk Score'!G214</f>
        <v>4</v>
      </c>
      <c r="H128" s="7" t="n">
        <f aca="false">'Risk Score'!H214</f>
        <v>4</v>
      </c>
      <c r="I128" s="7" t="n">
        <f aca="false">'Risk Score'!I214</f>
        <v>6</v>
      </c>
    </row>
    <row r="129" customFormat="false" ht="15" hidden="false" customHeight="false" outlineLevel="0" collapsed="false">
      <c r="A129" s="7" t="n">
        <f aca="false">'Risk Score'!A101</f>
        <v>100</v>
      </c>
      <c r="B129" s="7" t="n">
        <f aca="false">'Risk Score'!B101</f>
        <v>21</v>
      </c>
      <c r="C129" s="7" t="str">
        <f aca="false">'Risk Score'!C101</f>
        <v>Research &amp; Development</v>
      </c>
      <c r="D129" s="7" t="str">
        <f aca="false">'Risk Score'!D101</f>
        <v>Manufacturing Director</v>
      </c>
      <c r="E129" s="7" t="n">
        <f aca="false">'Risk Score'!E101</f>
        <v>3</v>
      </c>
      <c r="F129" s="7" t="n">
        <f aca="false">'Risk Score'!F101</f>
        <v>2</v>
      </c>
      <c r="G129" s="7" t="n">
        <f aca="false">'Risk Score'!G101</f>
        <v>2</v>
      </c>
      <c r="H129" s="7" t="n">
        <f aca="false">'Risk Score'!H101</f>
        <v>1</v>
      </c>
      <c r="I129" s="7" t="n">
        <f aca="false">'Risk Score'!I101</f>
        <v>6</v>
      </c>
    </row>
    <row r="130" customFormat="false" ht="15" hidden="false" customHeight="false" outlineLevel="0" collapsed="false">
      <c r="A130" s="7" t="n">
        <f aca="false">'Risk Score'!A127</f>
        <v>126</v>
      </c>
      <c r="B130" s="7" t="n">
        <f aca="false">'Risk Score'!B127</f>
        <v>22</v>
      </c>
      <c r="C130" s="7" t="str">
        <f aca="false">'Risk Score'!C127</f>
        <v>Research &amp; Development</v>
      </c>
      <c r="D130" s="7" t="str">
        <f aca="false">'Risk Score'!D127</f>
        <v>Research Scientist</v>
      </c>
      <c r="E130" s="7" t="n">
        <f aca="false">'Risk Score'!E127</f>
        <v>2</v>
      </c>
      <c r="F130" s="7" t="n">
        <f aca="false">'Risk Score'!F127</f>
        <v>2</v>
      </c>
      <c r="G130" s="7" t="n">
        <f aca="false">'Risk Score'!G127</f>
        <v>2</v>
      </c>
      <c r="H130" s="7" t="n">
        <f aca="false">'Risk Score'!H127</f>
        <v>1</v>
      </c>
      <c r="I130" s="7" t="n">
        <f aca="false">'Risk Score'!I127</f>
        <v>6</v>
      </c>
    </row>
    <row r="131" customFormat="false" ht="15" hidden="false" customHeight="false" outlineLevel="0" collapsed="false">
      <c r="A131" s="7" t="n">
        <f aca="false">'Risk Score'!A40</f>
        <v>39</v>
      </c>
      <c r="B131" s="7" t="n">
        <f aca="false">'Risk Score'!B40</f>
        <v>18</v>
      </c>
      <c r="C131" s="7" t="str">
        <f aca="false">'Risk Score'!C40</f>
        <v>Research &amp; Development</v>
      </c>
      <c r="D131" s="7" t="str">
        <f aca="false">'Risk Score'!D40</f>
        <v>Sales Executive</v>
      </c>
      <c r="E131" s="7" t="n">
        <f aca="false">'Risk Score'!E40</f>
        <v>0</v>
      </c>
      <c r="F131" s="7" t="n">
        <f aca="false">'Risk Score'!F40</f>
        <v>0</v>
      </c>
      <c r="G131" s="7" t="n">
        <f aca="false">'Risk Score'!G40</f>
        <v>3</v>
      </c>
      <c r="H131" s="7" t="n">
        <f aca="false">'Risk Score'!H40</f>
        <v>3</v>
      </c>
      <c r="I131" s="7" t="n">
        <f aca="false">'Risk Score'!I40</f>
        <v>6</v>
      </c>
    </row>
    <row r="132" customFormat="false" ht="15" hidden="false" customHeight="false" outlineLevel="0" collapsed="false">
      <c r="A132" s="7" t="n">
        <f aca="false">'Risk Score'!A18</f>
        <v>17</v>
      </c>
      <c r="B132" s="7" t="n">
        <f aca="false">'Risk Score'!B18</f>
        <v>21</v>
      </c>
      <c r="C132" s="7" t="str">
        <f aca="false">'Risk Score'!C18</f>
        <v>Research &amp; Development</v>
      </c>
      <c r="D132" s="7" t="str">
        <f aca="false">'Risk Score'!D18</f>
        <v>Laboratory Technician</v>
      </c>
      <c r="E132" s="7" t="n">
        <f aca="false">'Risk Score'!E18</f>
        <v>3</v>
      </c>
      <c r="F132" s="7" t="n">
        <f aca="false">'Risk Score'!F18</f>
        <v>0</v>
      </c>
      <c r="G132" s="7" t="n">
        <f aca="false">'Risk Score'!G18</f>
        <v>3</v>
      </c>
      <c r="H132" s="7" t="n">
        <f aca="false">'Risk Score'!H18</f>
        <v>4</v>
      </c>
      <c r="I132" s="7" t="n">
        <f aca="false">'Risk Score'!I18</f>
        <v>6</v>
      </c>
    </row>
    <row r="133" customFormat="false" ht="15" hidden="false" customHeight="false" outlineLevel="0" collapsed="false">
      <c r="A133" s="7" t="n">
        <f aca="false">'Risk Score'!A45</f>
        <v>44</v>
      </c>
      <c r="B133" s="7" t="n">
        <f aca="false">'Risk Score'!B45</f>
        <v>18</v>
      </c>
      <c r="C133" s="7" t="str">
        <f aca="false">'Risk Score'!C45</f>
        <v>Sales</v>
      </c>
      <c r="D133" s="7" t="str">
        <f aca="false">'Risk Score'!D45</f>
        <v>Research Scientist</v>
      </c>
      <c r="E133" s="7" t="n">
        <f aca="false">'Risk Score'!E45</f>
        <v>0</v>
      </c>
      <c r="F133" s="7" t="n">
        <f aca="false">'Risk Score'!F45</f>
        <v>0</v>
      </c>
      <c r="G133" s="7" t="n">
        <f aca="false">'Risk Score'!G45</f>
        <v>3</v>
      </c>
      <c r="H133" s="7" t="n">
        <f aca="false">'Risk Score'!H45</f>
        <v>4</v>
      </c>
      <c r="I133" s="7" t="n">
        <f aca="false">'Risk Score'!I45</f>
        <v>6</v>
      </c>
    </row>
    <row r="134" customFormat="false" ht="15" hidden="false" customHeight="false" outlineLevel="0" collapsed="false">
      <c r="A134" s="7" t="n">
        <f aca="false">'Risk Score'!A260</f>
        <v>259</v>
      </c>
      <c r="B134" s="7" t="n">
        <f aca="false">'Risk Score'!B260</f>
        <v>23</v>
      </c>
      <c r="C134" s="7" t="str">
        <f aca="false">'Risk Score'!C260</f>
        <v>Research &amp; Development</v>
      </c>
      <c r="D134" s="7" t="str">
        <f aca="false">'Risk Score'!D260</f>
        <v>Healthcare Representative</v>
      </c>
      <c r="E134" s="7" t="n">
        <f aca="false">'Risk Score'!E260</f>
        <v>5</v>
      </c>
      <c r="F134" s="7" t="n">
        <f aca="false">'Risk Score'!F260</f>
        <v>2</v>
      </c>
      <c r="G134" s="7" t="n">
        <f aca="false">'Risk Score'!G260</f>
        <v>1</v>
      </c>
      <c r="H134" s="7" t="n">
        <f aca="false">'Risk Score'!H260</f>
        <v>1</v>
      </c>
      <c r="I134" s="7" t="n">
        <f aca="false">'Risk Score'!I260</f>
        <v>6</v>
      </c>
    </row>
    <row r="135" customFormat="false" ht="15" hidden="false" customHeight="false" outlineLevel="0" collapsed="false">
      <c r="A135" s="7" t="n">
        <f aca="false">'Risk Score'!A294</f>
        <v>293</v>
      </c>
      <c r="B135" s="7" t="n">
        <f aca="false">'Risk Score'!B294</f>
        <v>23</v>
      </c>
      <c r="C135" s="7" t="str">
        <f aca="false">'Risk Score'!C294</f>
        <v>Sales</v>
      </c>
      <c r="D135" s="7" t="str">
        <f aca="false">'Risk Score'!D294</f>
        <v>Sales Executive</v>
      </c>
      <c r="E135" s="7" t="n">
        <f aca="false">'Risk Score'!E294</f>
        <v>5</v>
      </c>
      <c r="F135" s="7" t="n">
        <f aca="false">'Risk Score'!F294</f>
        <v>2</v>
      </c>
      <c r="G135" s="7" t="n">
        <f aca="false">'Risk Score'!G294</f>
        <v>1</v>
      </c>
      <c r="H135" s="7" t="n">
        <f aca="false">'Risk Score'!H294</f>
        <v>2</v>
      </c>
      <c r="I135" s="7" t="n">
        <f aca="false">'Risk Score'!I294</f>
        <v>6</v>
      </c>
    </row>
    <row r="136" customFormat="false" ht="15" hidden="false" customHeight="false" outlineLevel="0" collapsed="false">
      <c r="A136" s="7" t="n">
        <f aca="false">'Risk Score'!A248</f>
        <v>247</v>
      </c>
      <c r="B136" s="7" t="n">
        <f aca="false">'Risk Score'!B248</f>
        <v>45</v>
      </c>
      <c r="C136" s="7" t="str">
        <f aca="false">'Risk Score'!C248</f>
        <v>Research &amp; Development</v>
      </c>
      <c r="D136" s="7" t="str">
        <f aca="false">'Risk Score'!D248</f>
        <v>Research Director</v>
      </c>
      <c r="E136" s="7" t="n">
        <f aca="false">'Risk Score'!E248</f>
        <v>5</v>
      </c>
      <c r="F136" s="7" t="n">
        <f aca="false">'Risk Score'!F248</f>
        <v>0</v>
      </c>
      <c r="G136" s="7" t="n">
        <f aca="false">'Risk Score'!G248</f>
        <v>1</v>
      </c>
      <c r="H136" s="7" t="n">
        <f aca="false">'Risk Score'!H248</f>
        <v>1</v>
      </c>
      <c r="I136" s="7" t="n">
        <f aca="false">'Risk Score'!I248</f>
        <v>6</v>
      </c>
    </row>
    <row r="137" customFormat="false" ht="15" hidden="false" customHeight="false" outlineLevel="0" collapsed="false">
      <c r="A137" s="7" t="n">
        <f aca="false">'Risk Score'!A257</f>
        <v>256</v>
      </c>
      <c r="B137" s="7" t="n">
        <f aca="false">'Risk Score'!B257</f>
        <v>20</v>
      </c>
      <c r="C137" s="7" t="str">
        <f aca="false">'Risk Score'!C257</f>
        <v>Research &amp; Development</v>
      </c>
      <c r="D137" s="7" t="str">
        <f aca="false">'Risk Score'!D257</f>
        <v>Sales Representative</v>
      </c>
      <c r="E137" s="7" t="n">
        <f aca="false">'Risk Score'!E257</f>
        <v>1</v>
      </c>
      <c r="F137" s="7" t="n">
        <f aca="false">'Risk Score'!F257</f>
        <v>1</v>
      </c>
      <c r="G137" s="7" t="n">
        <f aca="false">'Risk Score'!G257</f>
        <v>3</v>
      </c>
      <c r="H137" s="7" t="n">
        <f aca="false">'Risk Score'!H257</f>
        <v>4</v>
      </c>
      <c r="I137" s="7" t="n">
        <f aca="false">'Risk Score'!I257</f>
        <v>6</v>
      </c>
    </row>
    <row r="138" customFormat="false" ht="15" hidden="false" customHeight="false" outlineLevel="0" collapsed="false">
      <c r="A138" s="7" t="n">
        <f aca="false">'Risk Score'!A333</f>
        <v>332</v>
      </c>
      <c r="B138" s="7" t="n">
        <f aca="false">'Risk Score'!B333</f>
        <v>29</v>
      </c>
      <c r="C138" s="7" t="str">
        <f aca="false">'Risk Score'!C333</f>
        <v>Sales</v>
      </c>
      <c r="D138" s="7" t="str">
        <f aca="false">'Risk Score'!D333</f>
        <v>Research Scientist</v>
      </c>
      <c r="E138" s="7" t="n">
        <f aca="false">'Risk Score'!E333</f>
        <v>1</v>
      </c>
      <c r="F138" s="7" t="n">
        <f aca="false">'Risk Score'!F333</f>
        <v>0</v>
      </c>
      <c r="G138" s="7" t="n">
        <f aca="false">'Risk Score'!G333</f>
        <v>1</v>
      </c>
      <c r="H138" s="7" t="n">
        <f aca="false">'Risk Score'!H333</f>
        <v>2</v>
      </c>
      <c r="I138" s="7" t="n">
        <f aca="false">'Risk Score'!I333</f>
        <v>6</v>
      </c>
    </row>
    <row r="139" customFormat="false" ht="15" hidden="false" customHeight="false" outlineLevel="0" collapsed="false">
      <c r="A139" s="7" t="n">
        <f aca="false">'Risk Score'!A407</f>
        <v>406</v>
      </c>
      <c r="B139" s="7" t="n">
        <f aca="false">'Risk Score'!B407</f>
        <v>21</v>
      </c>
      <c r="C139" s="7" t="str">
        <f aca="false">'Risk Score'!C407</f>
        <v>Research &amp; Development</v>
      </c>
      <c r="D139" s="7" t="str">
        <f aca="false">'Risk Score'!D407</f>
        <v>Sales Executive</v>
      </c>
      <c r="E139" s="7" t="n">
        <f aca="false">'Risk Score'!E407</f>
        <v>1</v>
      </c>
      <c r="F139" s="7" t="n">
        <f aca="false">'Risk Score'!F407</f>
        <v>0</v>
      </c>
      <c r="G139" s="7" t="n">
        <f aca="false">'Risk Score'!G407</f>
        <v>4</v>
      </c>
      <c r="H139" s="7" t="n">
        <f aca="false">'Risk Score'!H407</f>
        <v>0</v>
      </c>
      <c r="I139" s="7" t="n">
        <f aca="false">'Risk Score'!I407</f>
        <v>6</v>
      </c>
    </row>
    <row r="140" customFormat="false" ht="15" hidden="false" customHeight="false" outlineLevel="0" collapsed="false">
      <c r="A140" s="7" t="n">
        <f aca="false">'Risk Score'!A405</f>
        <v>404</v>
      </c>
      <c r="B140" s="7" t="n">
        <f aca="false">'Risk Score'!B405</f>
        <v>43</v>
      </c>
      <c r="C140" s="7" t="str">
        <f aca="false">'Risk Score'!C405</f>
        <v>Sales</v>
      </c>
      <c r="D140" s="7" t="str">
        <f aca="false">'Risk Score'!D405</f>
        <v>Sales Executive</v>
      </c>
      <c r="E140" s="7" t="n">
        <f aca="false">'Risk Score'!E405</f>
        <v>4</v>
      </c>
      <c r="F140" s="7" t="n">
        <f aca="false">'Risk Score'!F405</f>
        <v>0</v>
      </c>
      <c r="G140" s="7" t="n">
        <f aca="false">'Risk Score'!G405</f>
        <v>2</v>
      </c>
      <c r="H140" s="7" t="n">
        <f aca="false">'Risk Score'!H405</f>
        <v>1</v>
      </c>
      <c r="I140" s="7" t="n">
        <f aca="false">'Risk Score'!I405</f>
        <v>6</v>
      </c>
    </row>
    <row r="141" customFormat="false" ht="15" hidden="false" customHeight="false" outlineLevel="0" collapsed="false">
      <c r="A141" s="7" t="n">
        <f aca="false">'Risk Score'!A362</f>
        <v>361</v>
      </c>
      <c r="B141" s="7" t="n">
        <f aca="false">'Risk Score'!B362</f>
        <v>25</v>
      </c>
      <c r="C141" s="7" t="str">
        <f aca="false">'Risk Score'!C362</f>
        <v>Research &amp; Development</v>
      </c>
      <c r="D141" s="7" t="str">
        <f aca="false">'Risk Score'!D362</f>
        <v>Laboratory Technician</v>
      </c>
      <c r="E141" s="7" t="n">
        <f aca="false">'Risk Score'!E362</f>
        <v>6</v>
      </c>
      <c r="F141" s="7" t="n">
        <f aca="false">'Risk Score'!F362</f>
        <v>1</v>
      </c>
      <c r="G141" s="7" t="n">
        <f aca="false">'Risk Score'!G362</f>
        <v>1</v>
      </c>
      <c r="H141" s="7" t="n">
        <f aca="false">'Risk Score'!H362</f>
        <v>1</v>
      </c>
      <c r="I141" s="7" t="n">
        <f aca="false">'Risk Score'!I362</f>
        <v>6</v>
      </c>
    </row>
    <row r="142" customFormat="false" ht="15" hidden="false" customHeight="false" outlineLevel="0" collapsed="false">
      <c r="A142" s="7" t="n">
        <f aca="false">'Risk Score'!A415</f>
        <v>414</v>
      </c>
      <c r="B142" s="7" t="n">
        <f aca="false">'Risk Score'!B415</f>
        <v>34</v>
      </c>
      <c r="C142" s="7" t="str">
        <f aca="false">'Risk Score'!C415</f>
        <v>Research &amp; Development</v>
      </c>
      <c r="D142" s="7" t="str">
        <f aca="false">'Risk Score'!D415</f>
        <v>Human Resources</v>
      </c>
      <c r="E142" s="7" t="n">
        <f aca="false">'Risk Score'!E415</f>
        <v>1</v>
      </c>
      <c r="F142" s="7" t="n">
        <f aca="false">'Risk Score'!F415</f>
        <v>0</v>
      </c>
      <c r="G142" s="7" t="n">
        <f aca="false">'Risk Score'!G415</f>
        <v>2</v>
      </c>
      <c r="H142" s="7" t="n">
        <f aca="false">'Risk Score'!H415</f>
        <v>2</v>
      </c>
      <c r="I142" s="7" t="n">
        <f aca="false">'Risk Score'!I415</f>
        <v>6</v>
      </c>
    </row>
    <row r="143" customFormat="false" ht="15" hidden="false" customHeight="false" outlineLevel="0" collapsed="false">
      <c r="A143" s="7" t="n">
        <f aca="false">'Risk Score'!A224</f>
        <v>223</v>
      </c>
      <c r="B143" s="7" t="n">
        <f aca="false">'Risk Score'!B224</f>
        <v>30</v>
      </c>
      <c r="C143" s="7" t="str">
        <f aca="false">'Risk Score'!C224</f>
        <v>Research &amp; Development</v>
      </c>
      <c r="D143" s="7" t="str">
        <f aca="false">'Risk Score'!D224</f>
        <v>Healthcare Representative</v>
      </c>
      <c r="E143" s="7" t="n">
        <f aca="false">'Risk Score'!E224</f>
        <v>1</v>
      </c>
      <c r="F143" s="7" t="n">
        <f aca="false">'Risk Score'!F224</f>
        <v>0</v>
      </c>
      <c r="G143" s="7" t="n">
        <f aca="false">'Risk Score'!G224</f>
        <v>1</v>
      </c>
      <c r="H143" s="7" t="n">
        <f aca="false">'Risk Score'!H224</f>
        <v>2</v>
      </c>
      <c r="I143" s="7" t="n">
        <f aca="false">'Risk Score'!I224</f>
        <v>6</v>
      </c>
    </row>
    <row r="144" customFormat="false" ht="15" hidden="false" customHeight="false" outlineLevel="0" collapsed="false">
      <c r="A144" s="7" t="n">
        <f aca="false">'Risk Score'!A1322</f>
        <v>1321</v>
      </c>
      <c r="B144" s="7" t="n">
        <f aca="false">'Risk Score'!B1322</f>
        <v>25</v>
      </c>
      <c r="C144" s="7" t="str">
        <f aca="false">'Risk Score'!C1322</f>
        <v>Research &amp; Development</v>
      </c>
      <c r="D144" s="7" t="str">
        <f aca="false">'Risk Score'!D1322</f>
        <v>Laboratory Technician</v>
      </c>
      <c r="E144" s="7" t="n">
        <f aca="false">'Risk Score'!E1322</f>
        <v>2</v>
      </c>
      <c r="F144" s="7" t="n">
        <f aca="false">'Risk Score'!F1322</f>
        <v>1</v>
      </c>
      <c r="G144" s="7" t="n">
        <f aca="false">'Risk Score'!G1322</f>
        <v>4</v>
      </c>
      <c r="H144" s="7" t="n">
        <f aca="false">'Risk Score'!H1322</f>
        <v>4</v>
      </c>
      <c r="I144" s="7" t="n">
        <f aca="false">'Risk Score'!I1322</f>
        <v>6</v>
      </c>
    </row>
    <row r="145" customFormat="false" ht="15" hidden="false" customHeight="false" outlineLevel="0" collapsed="false">
      <c r="A145" s="7" t="n">
        <f aca="false">'Risk Score'!A610</f>
        <v>609</v>
      </c>
      <c r="B145" s="7" t="n">
        <f aca="false">'Risk Score'!B610</f>
        <v>40</v>
      </c>
      <c r="C145" s="7" t="str">
        <f aca="false">'Risk Score'!C610</f>
        <v>Sales</v>
      </c>
      <c r="D145" s="7" t="str">
        <f aca="false">'Risk Score'!D610</f>
        <v>Manufacturing Director</v>
      </c>
      <c r="E145" s="7" t="n">
        <f aca="false">'Risk Score'!E610</f>
        <v>5</v>
      </c>
      <c r="F145" s="7" t="n">
        <f aca="false">'Risk Score'!F610</f>
        <v>0</v>
      </c>
      <c r="G145" s="7" t="n">
        <f aca="false">'Risk Score'!G610</f>
        <v>2</v>
      </c>
      <c r="H145" s="7" t="n">
        <f aca="false">'Risk Score'!H610</f>
        <v>2</v>
      </c>
      <c r="I145" s="7" t="n">
        <f aca="false">'Risk Score'!I610</f>
        <v>6</v>
      </c>
    </row>
    <row r="146" customFormat="false" ht="15" hidden="false" customHeight="false" outlineLevel="0" collapsed="false">
      <c r="A146" s="7" t="n">
        <f aca="false">'Risk Score'!A629</f>
        <v>628</v>
      </c>
      <c r="B146" s="7" t="n">
        <f aca="false">'Risk Score'!B629</f>
        <v>25</v>
      </c>
      <c r="C146" s="7" t="str">
        <f aca="false">'Risk Score'!C629</f>
        <v>Research &amp; Development</v>
      </c>
      <c r="D146" s="7" t="str">
        <f aca="false">'Risk Score'!D629</f>
        <v>Laboratory Technician</v>
      </c>
      <c r="E146" s="7" t="n">
        <f aca="false">'Risk Score'!E629</f>
        <v>5</v>
      </c>
      <c r="F146" s="7" t="n">
        <f aca="false">'Risk Score'!F629</f>
        <v>1</v>
      </c>
      <c r="G146" s="7" t="n">
        <f aca="false">'Risk Score'!G629</f>
        <v>4</v>
      </c>
      <c r="H146" s="7" t="n">
        <f aca="false">'Risk Score'!H629</f>
        <v>3</v>
      </c>
      <c r="I146" s="7" t="n">
        <f aca="false">'Risk Score'!I629</f>
        <v>6</v>
      </c>
    </row>
    <row r="147" customFormat="false" ht="15" hidden="false" customHeight="false" outlineLevel="0" collapsed="false">
      <c r="A147" s="7" t="n">
        <f aca="false">'Risk Score'!A608</f>
        <v>607</v>
      </c>
      <c r="B147" s="7" t="n">
        <f aca="false">'Risk Score'!B608</f>
        <v>41</v>
      </c>
      <c r="C147" s="7" t="str">
        <f aca="false">'Risk Score'!C608</f>
        <v>Research &amp; Development</v>
      </c>
      <c r="D147" s="7" t="str">
        <f aca="false">'Risk Score'!D608</f>
        <v>Sales Representative</v>
      </c>
      <c r="E147" s="7" t="n">
        <f aca="false">'Risk Score'!E608</f>
        <v>5</v>
      </c>
      <c r="F147" s="7" t="n">
        <f aca="false">'Risk Score'!F608</f>
        <v>0</v>
      </c>
      <c r="G147" s="7" t="n">
        <f aca="false">'Risk Score'!G608</f>
        <v>1</v>
      </c>
      <c r="H147" s="7" t="n">
        <f aca="false">'Risk Score'!H608</f>
        <v>1</v>
      </c>
      <c r="I147" s="7" t="n">
        <f aca="false">'Risk Score'!I608</f>
        <v>6</v>
      </c>
    </row>
    <row r="148" customFormat="false" ht="15" hidden="false" customHeight="false" outlineLevel="0" collapsed="false">
      <c r="A148" s="7" t="n">
        <f aca="false">'Risk Score'!A544</f>
        <v>543</v>
      </c>
      <c r="B148" s="7" t="n">
        <f aca="false">'Risk Score'!B544</f>
        <v>28</v>
      </c>
      <c r="C148" s="7" t="str">
        <f aca="false">'Risk Score'!C544</f>
        <v>Research &amp; Development</v>
      </c>
      <c r="D148" s="7" t="str">
        <f aca="false">'Risk Score'!D544</f>
        <v>Manager</v>
      </c>
      <c r="E148" s="7" t="n">
        <f aca="false">'Risk Score'!E544</f>
        <v>1</v>
      </c>
      <c r="F148" s="7" t="n">
        <f aca="false">'Risk Score'!F544</f>
        <v>0</v>
      </c>
      <c r="G148" s="7" t="n">
        <f aca="false">'Risk Score'!G544</f>
        <v>2</v>
      </c>
      <c r="H148" s="7" t="n">
        <f aca="false">'Risk Score'!H544</f>
        <v>1</v>
      </c>
      <c r="I148" s="7" t="n">
        <f aca="false">'Risk Score'!I544</f>
        <v>6</v>
      </c>
    </row>
    <row r="149" customFormat="false" ht="15" hidden="false" customHeight="false" outlineLevel="0" collapsed="false">
      <c r="A149" s="7" t="n">
        <f aca="false">'Risk Score'!A572</f>
        <v>571</v>
      </c>
      <c r="B149" s="7" t="n">
        <f aca="false">'Risk Score'!B572</f>
        <v>18</v>
      </c>
      <c r="C149" s="7" t="str">
        <f aca="false">'Risk Score'!C572</f>
        <v>Research &amp; Development</v>
      </c>
      <c r="D149" s="7" t="str">
        <f aca="false">'Risk Score'!D572</f>
        <v>Laboratory Technician</v>
      </c>
      <c r="E149" s="7" t="n">
        <f aca="false">'Risk Score'!E572</f>
        <v>0</v>
      </c>
      <c r="F149" s="7" t="n">
        <f aca="false">'Risk Score'!F572</f>
        <v>0</v>
      </c>
      <c r="G149" s="7" t="n">
        <f aca="false">'Risk Score'!G572</f>
        <v>3</v>
      </c>
      <c r="H149" s="7" t="n">
        <f aca="false">'Risk Score'!H572</f>
        <v>3</v>
      </c>
      <c r="I149" s="7" t="n">
        <f aca="false">'Risk Score'!I572</f>
        <v>6</v>
      </c>
    </row>
    <row r="150" customFormat="false" ht="15" hidden="false" customHeight="false" outlineLevel="0" collapsed="false">
      <c r="A150" s="7" t="n">
        <f aca="false">'Risk Score'!A604</f>
        <v>603</v>
      </c>
      <c r="B150" s="7" t="n">
        <f aca="false">'Risk Score'!B604</f>
        <v>22</v>
      </c>
      <c r="C150" s="7" t="str">
        <f aca="false">'Risk Score'!C604</f>
        <v>Research &amp; Development</v>
      </c>
      <c r="D150" s="7" t="str">
        <f aca="false">'Risk Score'!D604</f>
        <v>Sales Representative</v>
      </c>
      <c r="E150" s="7" t="n">
        <f aca="false">'Risk Score'!E604</f>
        <v>1</v>
      </c>
      <c r="F150" s="7" t="n">
        <f aca="false">'Risk Score'!F604</f>
        <v>0</v>
      </c>
      <c r="G150" s="7" t="n">
        <f aca="false">'Risk Score'!G604</f>
        <v>4</v>
      </c>
      <c r="H150" s="7" t="n">
        <f aca="false">'Risk Score'!H604</f>
        <v>3</v>
      </c>
      <c r="I150" s="7" t="n">
        <f aca="false">'Risk Score'!I604</f>
        <v>6</v>
      </c>
    </row>
    <row r="151" customFormat="false" ht="15" hidden="false" customHeight="false" outlineLevel="0" collapsed="false">
      <c r="A151" s="7" t="n">
        <f aca="false">'Risk Score'!A655</f>
        <v>654</v>
      </c>
      <c r="B151" s="7" t="n">
        <f aca="false">'Risk Score'!B655</f>
        <v>25</v>
      </c>
      <c r="C151" s="7" t="str">
        <f aca="false">'Risk Score'!C655</f>
        <v>Research &amp; Development</v>
      </c>
      <c r="D151" s="7" t="str">
        <f aca="false">'Risk Score'!D655</f>
        <v>Manufacturing Director</v>
      </c>
      <c r="E151" s="7" t="n">
        <f aca="false">'Risk Score'!E655</f>
        <v>1</v>
      </c>
      <c r="F151" s="7" t="n">
        <f aca="false">'Risk Score'!F655</f>
        <v>0</v>
      </c>
      <c r="G151" s="7" t="n">
        <f aca="false">'Risk Score'!G655</f>
        <v>4</v>
      </c>
      <c r="H151" s="7" t="n">
        <f aca="false">'Risk Score'!H655</f>
        <v>3</v>
      </c>
      <c r="I151" s="7" t="n">
        <f aca="false">'Risk Score'!I655</f>
        <v>6</v>
      </c>
    </row>
    <row r="152" customFormat="false" ht="15" hidden="false" customHeight="false" outlineLevel="0" collapsed="false">
      <c r="A152" s="7" t="n">
        <f aca="false">'Risk Score'!A716</f>
        <v>715</v>
      </c>
      <c r="B152" s="7" t="n">
        <f aca="false">'Risk Score'!B716</f>
        <v>18</v>
      </c>
      <c r="C152" s="7" t="str">
        <f aca="false">'Risk Score'!C716</f>
        <v>Research &amp; Development</v>
      </c>
      <c r="D152" s="7" t="str">
        <f aca="false">'Risk Score'!D716</f>
        <v>Sales Executive</v>
      </c>
      <c r="E152" s="7" t="n">
        <f aca="false">'Risk Score'!E716</f>
        <v>0</v>
      </c>
      <c r="F152" s="7" t="n">
        <f aca="false">'Risk Score'!F716</f>
        <v>0</v>
      </c>
      <c r="G152" s="7" t="n">
        <f aca="false">'Risk Score'!G716</f>
        <v>4</v>
      </c>
      <c r="H152" s="7" t="n">
        <f aca="false">'Risk Score'!H716</f>
        <v>4</v>
      </c>
      <c r="I152" s="7" t="n">
        <f aca="false">'Risk Score'!I716</f>
        <v>6</v>
      </c>
    </row>
    <row r="153" customFormat="false" ht="15" hidden="false" customHeight="false" outlineLevel="0" collapsed="false">
      <c r="A153" s="7" t="n">
        <f aca="false">'Risk Score'!A760</f>
        <v>759</v>
      </c>
      <c r="B153" s="7" t="n">
        <f aca="false">'Risk Score'!B760</f>
        <v>31</v>
      </c>
      <c r="C153" s="7" t="str">
        <f aca="false">'Risk Score'!C760</f>
        <v>Sales</v>
      </c>
      <c r="D153" s="7" t="str">
        <f aca="false">'Risk Score'!D760</f>
        <v>Research Scientist</v>
      </c>
      <c r="E153" s="7" t="n">
        <f aca="false">'Risk Score'!E760</f>
        <v>1</v>
      </c>
      <c r="F153" s="7" t="n">
        <f aca="false">'Risk Score'!F760</f>
        <v>0</v>
      </c>
      <c r="G153" s="7" t="n">
        <f aca="false">'Risk Score'!G760</f>
        <v>2</v>
      </c>
      <c r="H153" s="7" t="n">
        <f aca="false">'Risk Score'!H760</f>
        <v>1</v>
      </c>
      <c r="I153" s="7" t="n">
        <f aca="false">'Risk Score'!I760</f>
        <v>6</v>
      </c>
    </row>
    <row r="154" customFormat="false" ht="15" hidden="false" customHeight="false" outlineLevel="0" collapsed="false">
      <c r="A154" s="7" t="n">
        <f aca="false">'Risk Score'!A767</f>
        <v>766</v>
      </c>
      <c r="B154" s="7" t="n">
        <f aca="false">'Risk Score'!B767</f>
        <v>56</v>
      </c>
      <c r="C154" s="7" t="str">
        <f aca="false">'Risk Score'!C767</f>
        <v>Research &amp; Development</v>
      </c>
      <c r="D154" s="7" t="str">
        <f aca="false">'Risk Score'!D767</f>
        <v>Sales Representative</v>
      </c>
      <c r="E154" s="7" t="n">
        <f aca="false">'Risk Score'!E767</f>
        <v>5</v>
      </c>
      <c r="F154" s="7" t="n">
        <f aca="false">'Risk Score'!F767</f>
        <v>0</v>
      </c>
      <c r="G154" s="7" t="n">
        <f aca="false">'Risk Score'!G767</f>
        <v>1</v>
      </c>
      <c r="H154" s="7" t="n">
        <f aca="false">'Risk Score'!H767</f>
        <v>1</v>
      </c>
      <c r="I154" s="7" t="n">
        <f aca="false">'Risk Score'!I767</f>
        <v>6</v>
      </c>
    </row>
    <row r="155" customFormat="false" ht="15" hidden="false" customHeight="false" outlineLevel="0" collapsed="false">
      <c r="A155" s="7" t="n">
        <f aca="false">'Risk Score'!A854</f>
        <v>853</v>
      </c>
      <c r="B155" s="7" t="n">
        <f aca="false">'Risk Score'!B854</f>
        <v>35</v>
      </c>
      <c r="C155" s="7" t="str">
        <f aca="false">'Risk Score'!C854</f>
        <v>Research &amp; Development</v>
      </c>
      <c r="D155" s="7" t="str">
        <f aca="false">'Risk Score'!D854</f>
        <v>Research Scientist</v>
      </c>
      <c r="E155" s="7" t="n">
        <f aca="false">'Risk Score'!E854</f>
        <v>1</v>
      </c>
      <c r="F155" s="7" t="n">
        <f aca="false">'Risk Score'!F854</f>
        <v>0</v>
      </c>
      <c r="G155" s="7" t="n">
        <f aca="false">'Risk Score'!G854</f>
        <v>1</v>
      </c>
      <c r="H155" s="7" t="n">
        <f aca="false">'Risk Score'!H854</f>
        <v>1</v>
      </c>
      <c r="I155" s="7" t="n">
        <f aca="false">'Risk Score'!I854</f>
        <v>6</v>
      </c>
    </row>
    <row r="156" customFormat="false" ht="15" hidden="false" customHeight="false" outlineLevel="0" collapsed="false">
      <c r="A156" s="7" t="n">
        <f aca="false">'Risk Score'!A966</f>
        <v>965</v>
      </c>
      <c r="B156" s="7" t="n">
        <f aca="false">'Risk Score'!B966</f>
        <v>24</v>
      </c>
      <c r="C156" s="7" t="str">
        <f aca="false">'Risk Score'!C966</f>
        <v>Sales</v>
      </c>
      <c r="D156" s="7" t="str">
        <f aca="false">'Risk Score'!D966</f>
        <v>Manager</v>
      </c>
      <c r="E156" s="7" t="n">
        <f aca="false">'Risk Score'!E966</f>
        <v>1</v>
      </c>
      <c r="F156" s="7" t="n">
        <f aca="false">'Risk Score'!F966</f>
        <v>0</v>
      </c>
      <c r="G156" s="7" t="n">
        <f aca="false">'Risk Score'!G966</f>
        <v>3</v>
      </c>
      <c r="H156" s="7" t="n">
        <f aca="false">'Risk Score'!H966</f>
        <v>4</v>
      </c>
      <c r="I156" s="7" t="n">
        <f aca="false">'Risk Score'!I966</f>
        <v>6</v>
      </c>
    </row>
    <row r="157" customFormat="false" ht="15" hidden="false" customHeight="false" outlineLevel="0" collapsed="false">
      <c r="A157" s="7" t="n">
        <f aca="false">'Risk Score'!A1057</f>
        <v>1056</v>
      </c>
      <c r="B157" s="7" t="n">
        <f aca="false">'Risk Score'!B1057</f>
        <v>29</v>
      </c>
      <c r="C157" s="7" t="str">
        <f aca="false">'Risk Score'!C1057</f>
        <v>Research &amp; Development</v>
      </c>
      <c r="D157" s="7" t="str">
        <f aca="false">'Risk Score'!D1057</f>
        <v>Manager</v>
      </c>
      <c r="E157" s="7" t="n">
        <f aca="false">'Risk Score'!E1057</f>
        <v>4</v>
      </c>
      <c r="F157" s="7" t="n">
        <f aca="false">'Risk Score'!F1057</f>
        <v>0</v>
      </c>
      <c r="G157" s="7" t="n">
        <f aca="false">'Risk Score'!G1057</f>
        <v>1</v>
      </c>
      <c r="H157" s="7" t="n">
        <f aca="false">'Risk Score'!H1057</f>
        <v>1</v>
      </c>
      <c r="I157" s="7" t="n">
        <f aca="false">'Risk Score'!I1057</f>
        <v>6</v>
      </c>
    </row>
    <row r="158" customFormat="false" ht="15" hidden="false" customHeight="false" outlineLevel="0" collapsed="false">
      <c r="A158" s="7" t="n">
        <f aca="false">'Risk Score'!A2042</f>
        <v>2041</v>
      </c>
      <c r="B158" s="7" t="n">
        <f aca="false">'Risk Score'!B2042</f>
        <v>18</v>
      </c>
      <c r="C158" s="7" t="str">
        <f aca="false">'Risk Score'!C2042</f>
        <v>Research &amp; Development</v>
      </c>
      <c r="D158" s="7" t="str">
        <f aca="false">'Risk Score'!D2042</f>
        <v>Laboratory Technician</v>
      </c>
      <c r="E158" s="7" t="n">
        <f aca="false">'Risk Score'!E2042</f>
        <v>0</v>
      </c>
      <c r="F158" s="7" t="n">
        <f aca="false">'Risk Score'!F2042</f>
        <v>0</v>
      </c>
      <c r="G158" s="7" t="n">
        <f aca="false">'Risk Score'!G2042</f>
        <v>3</v>
      </c>
      <c r="H158" s="7" t="n">
        <f aca="false">'Risk Score'!H2042</f>
        <v>3</v>
      </c>
      <c r="I158" s="7" t="n">
        <f aca="false">'Risk Score'!I2042</f>
        <v>6</v>
      </c>
    </row>
    <row r="159" customFormat="false" ht="15" hidden="false" customHeight="false" outlineLevel="0" collapsed="false">
      <c r="A159" s="7" t="n">
        <f aca="false">'Risk Score'!A3154</f>
        <v>3153</v>
      </c>
      <c r="B159" s="7" t="n">
        <f aca="false">'Risk Score'!B3154</f>
        <v>24</v>
      </c>
      <c r="C159" s="7" t="str">
        <f aca="false">'Risk Score'!C3154</f>
        <v>Sales</v>
      </c>
      <c r="D159" s="7" t="str">
        <f aca="false">'Risk Score'!D3154</f>
        <v>Healthcare Representative</v>
      </c>
      <c r="E159" s="7" t="n">
        <f aca="false">'Risk Score'!E3154</f>
        <v>3</v>
      </c>
      <c r="F159" s="7" t="n">
        <f aca="false">'Risk Score'!F3154</f>
        <v>1</v>
      </c>
      <c r="G159" s="7" t="n">
        <f aca="false">'Risk Score'!G3154</f>
        <v>4</v>
      </c>
      <c r="H159" s="7" t="n">
        <f aca="false">'Risk Score'!H3154</f>
        <v>4</v>
      </c>
      <c r="I159" s="7" t="n">
        <f aca="false">'Risk Score'!I3154</f>
        <v>6</v>
      </c>
    </row>
    <row r="160" customFormat="false" ht="15" hidden="false" customHeight="false" outlineLevel="0" collapsed="false">
      <c r="A160" s="7" t="n">
        <f aca="false">'Risk Score'!A3067</f>
        <v>3066</v>
      </c>
      <c r="B160" s="7" t="n">
        <f aca="false">'Risk Score'!B3067</f>
        <v>22</v>
      </c>
      <c r="C160" s="7" t="str">
        <f aca="false">'Risk Score'!C3067</f>
        <v>Research &amp; Development</v>
      </c>
      <c r="D160" s="7" t="str">
        <f aca="false">'Risk Score'!D3067</f>
        <v>Research Scientist</v>
      </c>
      <c r="E160" s="7" t="n">
        <f aca="false">'Risk Score'!E3067</f>
        <v>2</v>
      </c>
      <c r="F160" s="7" t="n">
        <f aca="false">'Risk Score'!F3067</f>
        <v>2</v>
      </c>
      <c r="G160" s="7" t="n">
        <f aca="false">'Risk Score'!G3067</f>
        <v>2</v>
      </c>
      <c r="H160" s="7" t="n">
        <f aca="false">'Risk Score'!H3067</f>
        <v>1</v>
      </c>
      <c r="I160" s="7" t="n">
        <f aca="false">'Risk Score'!I3067</f>
        <v>6</v>
      </c>
    </row>
    <row r="161" customFormat="false" ht="15" hidden="false" customHeight="false" outlineLevel="0" collapsed="false">
      <c r="A161" s="7" t="n">
        <f aca="false">'Risk Score'!A2985</f>
        <v>2984</v>
      </c>
      <c r="B161" s="7" t="n">
        <f aca="false">'Risk Score'!B2985</f>
        <v>18</v>
      </c>
      <c r="C161" s="7" t="str">
        <f aca="false">'Risk Score'!C2985</f>
        <v>Sales</v>
      </c>
      <c r="D161" s="7" t="str">
        <f aca="false">'Risk Score'!D2985</f>
        <v>Research Scientist</v>
      </c>
      <c r="E161" s="7" t="n">
        <f aca="false">'Risk Score'!E2985</f>
        <v>0</v>
      </c>
      <c r="F161" s="7" t="n">
        <f aca="false">'Risk Score'!F2985</f>
        <v>0</v>
      </c>
      <c r="G161" s="7" t="n">
        <f aca="false">'Risk Score'!G2985</f>
        <v>3</v>
      </c>
      <c r="H161" s="7" t="n">
        <f aca="false">'Risk Score'!H2985</f>
        <v>4</v>
      </c>
      <c r="I161" s="7" t="n">
        <f aca="false">'Risk Score'!I2985</f>
        <v>6</v>
      </c>
    </row>
    <row r="162" customFormat="false" ht="15" hidden="false" customHeight="false" outlineLevel="0" collapsed="false">
      <c r="A162" s="7" t="n">
        <f aca="false">'Risk Score'!A3041</f>
        <v>3040</v>
      </c>
      <c r="B162" s="7" t="n">
        <f aca="false">'Risk Score'!B3041</f>
        <v>21</v>
      </c>
      <c r="C162" s="7" t="str">
        <f aca="false">'Risk Score'!C3041</f>
        <v>Research &amp; Development</v>
      </c>
      <c r="D162" s="7" t="str">
        <f aca="false">'Risk Score'!D3041</f>
        <v>Manufacturing Director</v>
      </c>
      <c r="E162" s="7" t="n">
        <f aca="false">'Risk Score'!E3041</f>
        <v>3</v>
      </c>
      <c r="F162" s="7" t="n">
        <f aca="false">'Risk Score'!F3041</f>
        <v>2</v>
      </c>
      <c r="G162" s="7" t="n">
        <f aca="false">'Risk Score'!G3041</f>
        <v>2</v>
      </c>
      <c r="H162" s="7" t="n">
        <f aca="false">'Risk Score'!H3041</f>
        <v>1</v>
      </c>
      <c r="I162" s="7" t="n">
        <f aca="false">'Risk Score'!I3041</f>
        <v>6</v>
      </c>
    </row>
    <row r="163" customFormat="false" ht="15" hidden="false" customHeight="false" outlineLevel="0" collapsed="false">
      <c r="A163" s="7" t="n">
        <f aca="false">'Risk Score'!A2980</f>
        <v>2979</v>
      </c>
      <c r="B163" s="7" t="n">
        <f aca="false">'Risk Score'!B2980</f>
        <v>18</v>
      </c>
      <c r="C163" s="7" t="str">
        <f aca="false">'Risk Score'!C2980</f>
        <v>Research &amp; Development</v>
      </c>
      <c r="D163" s="7" t="str">
        <f aca="false">'Risk Score'!D2980</f>
        <v>Sales Executive</v>
      </c>
      <c r="E163" s="7" t="n">
        <f aca="false">'Risk Score'!E2980</f>
        <v>0</v>
      </c>
      <c r="F163" s="7" t="n">
        <f aca="false">'Risk Score'!F2980</f>
        <v>0</v>
      </c>
      <c r="G163" s="7" t="n">
        <f aca="false">'Risk Score'!G2980</f>
        <v>3</v>
      </c>
      <c r="H163" s="7" t="n">
        <f aca="false">'Risk Score'!H2980</f>
        <v>3</v>
      </c>
      <c r="I163" s="7" t="n">
        <f aca="false">'Risk Score'!I2980</f>
        <v>6</v>
      </c>
    </row>
    <row r="164" customFormat="false" ht="15" hidden="false" customHeight="false" outlineLevel="0" collapsed="false">
      <c r="A164" s="7" t="n">
        <f aca="false">'Risk Score'!A2811</f>
        <v>2810</v>
      </c>
      <c r="B164" s="7" t="n">
        <f aca="false">'Risk Score'!B2811</f>
        <v>19</v>
      </c>
      <c r="C164" s="7" t="str">
        <f aca="false">'Risk Score'!C2811</f>
        <v>Research &amp; Development</v>
      </c>
      <c r="D164" s="7" t="str">
        <f aca="false">'Risk Score'!D2811</f>
        <v>Manager</v>
      </c>
      <c r="E164" s="7" t="n">
        <f aca="false">'Risk Score'!E2811</f>
        <v>0</v>
      </c>
      <c r="F164" s="7" t="n">
        <f aca="false">'Risk Score'!F2811</f>
        <v>0</v>
      </c>
      <c r="G164" s="7" t="n">
        <f aca="false">'Risk Score'!G2811</f>
        <v>3</v>
      </c>
      <c r="H164" s="7" t="n">
        <f aca="false">'Risk Score'!H2811</f>
        <v>4</v>
      </c>
      <c r="I164" s="7" t="n">
        <f aca="false">'Risk Score'!I2811</f>
        <v>6</v>
      </c>
    </row>
    <row r="165" customFormat="false" ht="15" hidden="false" customHeight="false" outlineLevel="0" collapsed="false">
      <c r="A165" s="7" t="n">
        <f aca="false">'Risk Score'!A2792</f>
        <v>2791</v>
      </c>
      <c r="B165" s="7" t="n">
        <f aca="false">'Risk Score'!B2792</f>
        <v>25</v>
      </c>
      <c r="C165" s="7" t="str">
        <f aca="false">'Risk Score'!C2792</f>
        <v>Research &amp; Development</v>
      </c>
      <c r="D165" s="7" t="str">
        <f aca="false">'Risk Score'!D2792</f>
        <v>Laboratory Technician</v>
      </c>
      <c r="E165" s="7" t="n">
        <f aca="false">'Risk Score'!E2792</f>
        <v>2</v>
      </c>
      <c r="F165" s="7" t="n">
        <f aca="false">'Risk Score'!F2792</f>
        <v>1</v>
      </c>
      <c r="G165" s="7" t="n">
        <f aca="false">'Risk Score'!G2792</f>
        <v>4</v>
      </c>
      <c r="H165" s="7" t="n">
        <f aca="false">'Risk Score'!H2792</f>
        <v>4</v>
      </c>
      <c r="I165" s="7" t="n">
        <f aca="false">'Risk Score'!I2792</f>
        <v>6</v>
      </c>
    </row>
    <row r="166" customFormat="false" ht="15" hidden="false" customHeight="false" outlineLevel="0" collapsed="false">
      <c r="A166" s="7" t="n">
        <f aca="false">'Risk Score'!A2958</f>
        <v>2957</v>
      </c>
      <c r="B166" s="7" t="n">
        <f aca="false">'Risk Score'!B2958</f>
        <v>21</v>
      </c>
      <c r="C166" s="7" t="str">
        <f aca="false">'Risk Score'!C2958</f>
        <v>Research &amp; Development</v>
      </c>
      <c r="D166" s="7" t="str">
        <f aca="false">'Risk Score'!D2958</f>
        <v>Laboratory Technician</v>
      </c>
      <c r="E166" s="7" t="n">
        <f aca="false">'Risk Score'!E2958</f>
        <v>3</v>
      </c>
      <c r="F166" s="7" t="n">
        <f aca="false">'Risk Score'!F2958</f>
        <v>0</v>
      </c>
      <c r="G166" s="7" t="n">
        <f aca="false">'Risk Score'!G2958</f>
        <v>3</v>
      </c>
      <c r="H166" s="7" t="n">
        <f aca="false">'Risk Score'!H2958</f>
        <v>4</v>
      </c>
      <c r="I166" s="7" t="n">
        <f aca="false">'Risk Score'!I2958</f>
        <v>6</v>
      </c>
    </row>
    <row r="167" customFormat="false" ht="15" hidden="false" customHeight="false" outlineLevel="0" collapsed="false">
      <c r="A167" s="7" t="n">
        <f aca="false">'Risk Score'!A2812</f>
        <v>2811</v>
      </c>
      <c r="B167" s="7" t="n">
        <f aca="false">'Risk Score'!B2812</f>
        <v>22</v>
      </c>
      <c r="C167" s="7" t="str">
        <f aca="false">'Risk Score'!C2812</f>
        <v>Sales</v>
      </c>
      <c r="D167" s="7" t="str">
        <f aca="false">'Risk Score'!D2812</f>
        <v>Sales Executive</v>
      </c>
      <c r="E167" s="7" t="n">
        <f aca="false">'Risk Score'!E2812</f>
        <v>3</v>
      </c>
      <c r="F167" s="7" t="n">
        <f aca="false">'Risk Score'!F2812</f>
        <v>1</v>
      </c>
      <c r="G167" s="7" t="n">
        <f aca="false">'Risk Score'!G2812</f>
        <v>4</v>
      </c>
      <c r="H167" s="7" t="n">
        <f aca="false">'Risk Score'!H2812</f>
        <v>3</v>
      </c>
      <c r="I167" s="7" t="n">
        <f aca="false">'Risk Score'!I2812</f>
        <v>6</v>
      </c>
    </row>
    <row r="168" customFormat="false" ht="15" hidden="false" customHeight="false" outlineLevel="0" collapsed="false">
      <c r="A168" s="7" t="n">
        <f aca="false">'Risk Score'!A2436</f>
        <v>2435</v>
      </c>
      <c r="B168" s="7" t="n">
        <f aca="false">'Risk Score'!B2436</f>
        <v>24</v>
      </c>
      <c r="C168" s="7" t="str">
        <f aca="false">'Risk Score'!C2436</f>
        <v>Sales</v>
      </c>
      <c r="D168" s="7" t="str">
        <f aca="false">'Risk Score'!D2436</f>
        <v>Manager</v>
      </c>
      <c r="E168" s="7" t="n">
        <f aca="false">'Risk Score'!E2436</f>
        <v>1</v>
      </c>
      <c r="F168" s="7" t="n">
        <f aca="false">'Risk Score'!F2436</f>
        <v>0</v>
      </c>
      <c r="G168" s="7" t="n">
        <f aca="false">'Risk Score'!G2436</f>
        <v>3</v>
      </c>
      <c r="H168" s="7" t="n">
        <f aca="false">'Risk Score'!H2436</f>
        <v>4</v>
      </c>
      <c r="I168" s="7" t="n">
        <f aca="false">'Risk Score'!I2436</f>
        <v>6</v>
      </c>
    </row>
    <row r="169" customFormat="false" ht="15" hidden="false" customHeight="false" outlineLevel="0" collapsed="false">
      <c r="A169" s="7" t="n">
        <f aca="false">'Risk Score'!A2324</f>
        <v>2323</v>
      </c>
      <c r="B169" s="7" t="n">
        <f aca="false">'Risk Score'!B2324</f>
        <v>35</v>
      </c>
      <c r="C169" s="7" t="str">
        <f aca="false">'Risk Score'!C2324</f>
        <v>Research &amp; Development</v>
      </c>
      <c r="D169" s="7" t="str">
        <f aca="false">'Risk Score'!D2324</f>
        <v>Research Scientist</v>
      </c>
      <c r="E169" s="7" t="n">
        <f aca="false">'Risk Score'!E2324</f>
        <v>1</v>
      </c>
      <c r="F169" s="7" t="n">
        <f aca="false">'Risk Score'!F2324</f>
        <v>0</v>
      </c>
      <c r="G169" s="7" t="n">
        <f aca="false">'Risk Score'!G2324</f>
        <v>1</v>
      </c>
      <c r="H169" s="7" t="n">
        <f aca="false">'Risk Score'!H2324</f>
        <v>1</v>
      </c>
      <c r="I169" s="7" t="n">
        <f aca="false">'Risk Score'!I2324</f>
        <v>6</v>
      </c>
    </row>
    <row r="170" customFormat="false" ht="15" hidden="false" customHeight="false" outlineLevel="0" collapsed="false">
      <c r="A170" s="7" t="n">
        <f aca="false">'Risk Score'!A2551</f>
        <v>2550</v>
      </c>
      <c r="B170" s="7" t="n">
        <f aca="false">'Risk Score'!B2551</f>
        <v>28</v>
      </c>
      <c r="C170" s="7" t="str">
        <f aca="false">'Risk Score'!C2551</f>
        <v>Research &amp; Development</v>
      </c>
      <c r="D170" s="7" t="str">
        <f aca="false">'Risk Score'!D2551</f>
        <v>Laboratory Technician</v>
      </c>
      <c r="E170" s="7" t="n">
        <f aca="false">'Risk Score'!E2551</f>
        <v>1</v>
      </c>
      <c r="F170" s="7" t="n">
        <f aca="false">'Risk Score'!F2551</f>
        <v>0</v>
      </c>
      <c r="G170" s="7" t="n">
        <f aca="false">'Risk Score'!G2551</f>
        <v>2</v>
      </c>
      <c r="H170" s="7" t="n">
        <f aca="false">'Risk Score'!H2551</f>
        <v>2</v>
      </c>
      <c r="I170" s="7" t="n">
        <f aca="false">'Risk Score'!I2551</f>
        <v>6</v>
      </c>
    </row>
    <row r="171" customFormat="false" ht="15" hidden="false" customHeight="false" outlineLevel="0" collapsed="false">
      <c r="A171" s="7" t="n">
        <f aca="false">'Risk Score'!A2593</f>
        <v>2592</v>
      </c>
      <c r="B171" s="7" t="n">
        <f aca="false">'Risk Score'!B2593</f>
        <v>27</v>
      </c>
      <c r="C171" s="7" t="str">
        <f aca="false">'Risk Score'!C2593</f>
        <v>Sales</v>
      </c>
      <c r="D171" s="7" t="str">
        <f aca="false">'Risk Score'!D2593</f>
        <v>Laboratory Technician</v>
      </c>
      <c r="E171" s="7" t="n">
        <f aca="false">'Risk Score'!E2593</f>
        <v>1</v>
      </c>
      <c r="F171" s="7" t="n">
        <f aca="false">'Risk Score'!F2593</f>
        <v>0</v>
      </c>
      <c r="G171" s="7" t="n">
        <f aca="false">'Risk Score'!G2593</f>
        <v>2</v>
      </c>
      <c r="H171" s="7" t="n">
        <f aca="false">'Risk Score'!H2593</f>
        <v>1</v>
      </c>
      <c r="I171" s="7" t="n">
        <f aca="false">'Risk Score'!I2593</f>
        <v>6</v>
      </c>
    </row>
    <row r="172" customFormat="false" ht="15" hidden="false" customHeight="false" outlineLevel="0" collapsed="false">
      <c r="A172" s="7" t="n">
        <f aca="false">'Risk Score'!A2701</f>
        <v>2700</v>
      </c>
      <c r="B172" s="7" t="n">
        <f aca="false">'Risk Score'!B2701</f>
        <v>22</v>
      </c>
      <c r="C172" s="7" t="str">
        <f aca="false">'Risk Score'!C2701</f>
        <v>Research &amp; Development</v>
      </c>
      <c r="D172" s="7" t="str">
        <f aca="false">'Risk Score'!D2701</f>
        <v>Sales Executive</v>
      </c>
      <c r="E172" s="7" t="n">
        <f aca="false">'Risk Score'!E2701</f>
        <v>1</v>
      </c>
      <c r="F172" s="7" t="n">
        <f aca="false">'Risk Score'!F2701</f>
        <v>0</v>
      </c>
      <c r="G172" s="7" t="n">
        <f aca="false">'Risk Score'!G2701</f>
        <v>4</v>
      </c>
      <c r="H172" s="7" t="n">
        <f aca="false">'Risk Score'!H2701</f>
        <v>4</v>
      </c>
      <c r="I172" s="7" t="n">
        <f aca="false">'Risk Score'!I2701</f>
        <v>6</v>
      </c>
    </row>
    <row r="173" customFormat="false" ht="15" hidden="false" customHeight="false" outlineLevel="0" collapsed="false">
      <c r="A173" s="7" t="n">
        <f aca="false">'Risk Score'!A2707</f>
        <v>2706</v>
      </c>
      <c r="B173" s="7" t="n">
        <f aca="false">'Risk Score'!B2707</f>
        <v>21</v>
      </c>
      <c r="C173" s="7" t="str">
        <f aca="false">'Risk Score'!C2707</f>
        <v>Sales</v>
      </c>
      <c r="D173" s="7" t="str">
        <f aca="false">'Risk Score'!D2707</f>
        <v>Manufacturing Director</v>
      </c>
      <c r="E173" s="7" t="n">
        <f aca="false">'Risk Score'!E2707</f>
        <v>0</v>
      </c>
      <c r="F173" s="7" t="n">
        <f aca="false">'Risk Score'!F2707</f>
        <v>0</v>
      </c>
      <c r="G173" s="7" t="n">
        <f aca="false">'Risk Score'!G2707</f>
        <v>4</v>
      </c>
      <c r="H173" s="7" t="n">
        <f aca="false">'Risk Score'!H2707</f>
        <v>3</v>
      </c>
      <c r="I173" s="7" t="n">
        <f aca="false">'Risk Score'!I2707</f>
        <v>6</v>
      </c>
    </row>
    <row r="174" customFormat="false" ht="15" hidden="false" customHeight="false" outlineLevel="0" collapsed="false">
      <c r="A174" s="7" t="n">
        <f aca="false">'Risk Score'!A2786</f>
        <v>2785</v>
      </c>
      <c r="B174" s="7" t="n">
        <f aca="false">'Risk Score'!B2786</f>
        <v>20</v>
      </c>
      <c r="C174" s="7" t="str">
        <f aca="false">'Risk Score'!C2786</f>
        <v>Sales</v>
      </c>
      <c r="D174" s="7" t="str">
        <f aca="false">'Risk Score'!D2786</f>
        <v>Healthcare Representative</v>
      </c>
      <c r="E174" s="7" t="n">
        <f aca="false">'Risk Score'!E2786</f>
        <v>1</v>
      </c>
      <c r="F174" s="7" t="n">
        <f aca="false">'Risk Score'!F2786</f>
        <v>0</v>
      </c>
      <c r="G174" s="7" t="n">
        <f aca="false">'Risk Score'!G2786</f>
        <v>4</v>
      </c>
      <c r="H174" s="7" t="n">
        <f aca="false">'Risk Score'!H2786</f>
        <v>4</v>
      </c>
      <c r="I174" s="7" t="n">
        <f aca="false">'Risk Score'!I2786</f>
        <v>6</v>
      </c>
    </row>
    <row r="175" customFormat="false" ht="15" hidden="false" customHeight="false" outlineLevel="0" collapsed="false">
      <c r="A175" s="7" t="n">
        <f aca="false">'Risk Score'!A2527</f>
        <v>2526</v>
      </c>
      <c r="B175" s="7" t="n">
        <f aca="false">'Risk Score'!B2527</f>
        <v>29</v>
      </c>
      <c r="C175" s="7" t="str">
        <f aca="false">'Risk Score'!C2527</f>
        <v>Research &amp; Development</v>
      </c>
      <c r="D175" s="7" t="str">
        <f aca="false">'Risk Score'!D2527</f>
        <v>Manager</v>
      </c>
      <c r="E175" s="7" t="n">
        <f aca="false">'Risk Score'!E2527</f>
        <v>4</v>
      </c>
      <c r="F175" s="7" t="n">
        <f aca="false">'Risk Score'!F2527</f>
        <v>0</v>
      </c>
      <c r="G175" s="7" t="n">
        <f aca="false">'Risk Score'!G2527</f>
        <v>1</v>
      </c>
      <c r="H175" s="7" t="n">
        <f aca="false">'Risk Score'!H2527</f>
        <v>1</v>
      </c>
      <c r="I175" s="7" t="n">
        <f aca="false">'Risk Score'!I2527</f>
        <v>6</v>
      </c>
    </row>
    <row r="176" customFormat="false" ht="15" hidden="false" customHeight="false" outlineLevel="0" collapsed="false">
      <c r="A176" s="7" t="n">
        <f aca="false">'Risk Score'!A2014</f>
        <v>2013</v>
      </c>
      <c r="B176" s="7" t="n">
        <f aca="false">'Risk Score'!B2014</f>
        <v>28</v>
      </c>
      <c r="C176" s="7" t="str">
        <f aca="false">'Risk Score'!C2014</f>
        <v>Research &amp; Development</v>
      </c>
      <c r="D176" s="7" t="str">
        <f aca="false">'Risk Score'!D2014</f>
        <v>Manager</v>
      </c>
      <c r="E176" s="7" t="n">
        <f aca="false">'Risk Score'!E2014</f>
        <v>1</v>
      </c>
      <c r="F176" s="7" t="n">
        <f aca="false">'Risk Score'!F2014</f>
        <v>0</v>
      </c>
      <c r="G176" s="7" t="n">
        <f aca="false">'Risk Score'!G2014</f>
        <v>2</v>
      </c>
      <c r="H176" s="7" t="n">
        <f aca="false">'Risk Score'!H2014</f>
        <v>1</v>
      </c>
      <c r="I176" s="7" t="n">
        <f aca="false">'Risk Score'!I2014</f>
        <v>6</v>
      </c>
    </row>
    <row r="177" customFormat="false" ht="15" hidden="false" customHeight="false" outlineLevel="0" collapsed="false">
      <c r="A177" s="7" t="n">
        <f aca="false">'Risk Score'!A1885</f>
        <v>1884</v>
      </c>
      <c r="B177" s="7" t="n">
        <f aca="false">'Risk Score'!B1885</f>
        <v>34</v>
      </c>
      <c r="C177" s="7" t="str">
        <f aca="false">'Risk Score'!C1885</f>
        <v>Research &amp; Development</v>
      </c>
      <c r="D177" s="7" t="str">
        <f aca="false">'Risk Score'!D1885</f>
        <v>Human Resources</v>
      </c>
      <c r="E177" s="7" t="n">
        <f aca="false">'Risk Score'!E1885</f>
        <v>1</v>
      </c>
      <c r="F177" s="7" t="n">
        <f aca="false">'Risk Score'!F1885</f>
        <v>0</v>
      </c>
      <c r="G177" s="7" t="n">
        <f aca="false">'Risk Score'!G1885</f>
        <v>2</v>
      </c>
      <c r="H177" s="7" t="n">
        <f aca="false">'Risk Score'!H1885</f>
        <v>2</v>
      </c>
      <c r="I177" s="7" t="n">
        <f aca="false">'Risk Score'!I1885</f>
        <v>6</v>
      </c>
    </row>
    <row r="178" customFormat="false" ht="15" hidden="false" customHeight="false" outlineLevel="0" collapsed="false">
      <c r="A178" s="7" t="n">
        <f aca="false">'Risk Score'!A1803</f>
        <v>1802</v>
      </c>
      <c r="B178" s="7" t="n">
        <f aca="false">'Risk Score'!B1803</f>
        <v>29</v>
      </c>
      <c r="C178" s="7" t="str">
        <f aca="false">'Risk Score'!C1803</f>
        <v>Sales</v>
      </c>
      <c r="D178" s="7" t="str">
        <f aca="false">'Risk Score'!D1803</f>
        <v>Research Scientist</v>
      </c>
      <c r="E178" s="7" t="n">
        <f aca="false">'Risk Score'!E1803</f>
        <v>1</v>
      </c>
      <c r="F178" s="7" t="n">
        <f aca="false">'Risk Score'!F1803</f>
        <v>0</v>
      </c>
      <c r="G178" s="7" t="n">
        <f aca="false">'Risk Score'!G1803</f>
        <v>1</v>
      </c>
      <c r="H178" s="7" t="n">
        <f aca="false">'Risk Score'!H1803</f>
        <v>2</v>
      </c>
      <c r="I178" s="7" t="n">
        <f aca="false">'Risk Score'!I1803</f>
        <v>6</v>
      </c>
    </row>
    <row r="179" customFormat="false" ht="15" hidden="false" customHeight="false" outlineLevel="0" collapsed="false">
      <c r="A179" s="7" t="n">
        <f aca="false">'Risk Score'!A1875</f>
        <v>1874</v>
      </c>
      <c r="B179" s="7" t="n">
        <f aca="false">'Risk Score'!B1875</f>
        <v>43</v>
      </c>
      <c r="C179" s="7" t="str">
        <f aca="false">'Risk Score'!C1875</f>
        <v>Sales</v>
      </c>
      <c r="D179" s="7" t="str">
        <f aca="false">'Risk Score'!D1875</f>
        <v>Sales Executive</v>
      </c>
      <c r="E179" s="7" t="n">
        <f aca="false">'Risk Score'!E1875</f>
        <v>4</v>
      </c>
      <c r="F179" s="7" t="n">
        <f aca="false">'Risk Score'!F1875</f>
        <v>0</v>
      </c>
      <c r="G179" s="7" t="n">
        <f aca="false">'Risk Score'!G1875</f>
        <v>2</v>
      </c>
      <c r="H179" s="7" t="n">
        <f aca="false">'Risk Score'!H1875</f>
        <v>1</v>
      </c>
      <c r="I179" s="7" t="n">
        <f aca="false">'Risk Score'!I1875</f>
        <v>6</v>
      </c>
    </row>
    <row r="180" customFormat="false" ht="15" hidden="false" customHeight="false" outlineLevel="0" collapsed="false">
      <c r="A180" s="7" t="n">
        <f aca="false">'Risk Score'!A1832</f>
        <v>1831</v>
      </c>
      <c r="B180" s="7" t="n">
        <f aca="false">'Risk Score'!B1832</f>
        <v>25</v>
      </c>
      <c r="C180" s="7" t="str">
        <f aca="false">'Risk Score'!C1832</f>
        <v>Research &amp; Development</v>
      </c>
      <c r="D180" s="7" t="str">
        <f aca="false">'Risk Score'!D1832</f>
        <v>Laboratory Technician</v>
      </c>
      <c r="E180" s="7" t="n">
        <f aca="false">'Risk Score'!E1832</f>
        <v>6</v>
      </c>
      <c r="F180" s="7" t="n">
        <f aca="false">'Risk Score'!F1832</f>
        <v>1</v>
      </c>
      <c r="G180" s="7" t="n">
        <f aca="false">'Risk Score'!G1832</f>
        <v>1</v>
      </c>
      <c r="H180" s="7" t="n">
        <f aca="false">'Risk Score'!H1832</f>
        <v>1</v>
      </c>
      <c r="I180" s="7" t="n">
        <f aca="false">'Risk Score'!I1832</f>
        <v>6</v>
      </c>
    </row>
    <row r="181" customFormat="false" ht="15" hidden="false" customHeight="false" outlineLevel="0" collapsed="false">
      <c r="A181" s="7" t="n">
        <f aca="false">'Risk Score'!A1877</f>
        <v>1876</v>
      </c>
      <c r="B181" s="7" t="n">
        <f aca="false">'Risk Score'!B1877</f>
        <v>21</v>
      </c>
      <c r="C181" s="7" t="str">
        <f aca="false">'Risk Score'!C1877</f>
        <v>Research &amp; Development</v>
      </c>
      <c r="D181" s="7" t="str">
        <f aca="false">'Risk Score'!D1877</f>
        <v>Sales Executive</v>
      </c>
      <c r="E181" s="7" t="n">
        <f aca="false">'Risk Score'!E1877</f>
        <v>1</v>
      </c>
      <c r="F181" s="7" t="n">
        <f aca="false">'Risk Score'!F1877</f>
        <v>0</v>
      </c>
      <c r="G181" s="7" t="n">
        <f aca="false">'Risk Score'!G1877</f>
        <v>4</v>
      </c>
      <c r="H181" s="7" t="n">
        <f aca="false">'Risk Score'!H1877</f>
        <v>4</v>
      </c>
      <c r="I181" s="7" t="n">
        <f aca="false">'Risk Score'!I1877</f>
        <v>6</v>
      </c>
    </row>
    <row r="182" customFormat="false" ht="15" hidden="false" customHeight="false" outlineLevel="0" collapsed="false">
      <c r="A182" s="7" t="n">
        <f aca="false">'Risk Score'!A2074</f>
        <v>2073</v>
      </c>
      <c r="B182" s="7" t="n">
        <f aca="false">'Risk Score'!B2074</f>
        <v>22</v>
      </c>
      <c r="C182" s="7" t="str">
        <f aca="false">'Risk Score'!C2074</f>
        <v>Research &amp; Development</v>
      </c>
      <c r="D182" s="7" t="str">
        <f aca="false">'Risk Score'!D2074</f>
        <v>Sales Representative</v>
      </c>
      <c r="E182" s="7" t="n">
        <f aca="false">'Risk Score'!E2074</f>
        <v>1</v>
      </c>
      <c r="F182" s="7" t="n">
        <f aca="false">'Risk Score'!F2074</f>
        <v>0</v>
      </c>
      <c r="G182" s="7" t="n">
        <f aca="false">'Risk Score'!G2074</f>
        <v>4</v>
      </c>
      <c r="H182" s="7" t="n">
        <f aca="false">'Risk Score'!H2074</f>
        <v>3</v>
      </c>
      <c r="I182" s="7" t="n">
        <f aca="false">'Risk Score'!I2074</f>
        <v>6</v>
      </c>
    </row>
    <row r="183" customFormat="false" ht="15" hidden="false" customHeight="false" outlineLevel="0" collapsed="false">
      <c r="A183" s="7" t="n">
        <f aca="false">'Risk Score'!A2124</f>
        <v>2123</v>
      </c>
      <c r="B183" s="7" t="n">
        <f aca="false">'Risk Score'!B2124</f>
        <v>23</v>
      </c>
      <c r="C183" s="7" t="str">
        <f aca="false">'Risk Score'!C2124</f>
        <v>Sales</v>
      </c>
      <c r="D183" s="7" t="str">
        <f aca="false">'Risk Score'!D2124</f>
        <v>Laboratory Technician</v>
      </c>
      <c r="E183" s="7" t="n">
        <f aca="false">'Risk Score'!E2124</f>
        <v>1</v>
      </c>
      <c r="F183" s="7" t="n">
        <f aca="false">'Risk Score'!F2124</f>
        <v>1</v>
      </c>
      <c r="G183" s="7" t="n">
        <f aca="false">'Risk Score'!G2124</f>
        <v>3</v>
      </c>
      <c r="H183" s="7" t="n">
        <f aca="false">'Risk Score'!H2124</f>
        <v>4</v>
      </c>
      <c r="I183" s="7" t="n">
        <f aca="false">'Risk Score'!I2124</f>
        <v>6</v>
      </c>
    </row>
    <row r="184" customFormat="false" ht="15" hidden="false" customHeight="false" outlineLevel="0" collapsed="false">
      <c r="A184" s="7" t="n">
        <f aca="false">'Risk Score'!A2099</f>
        <v>2098</v>
      </c>
      <c r="B184" s="7" t="n">
        <f aca="false">'Risk Score'!B2099</f>
        <v>25</v>
      </c>
      <c r="C184" s="7" t="str">
        <f aca="false">'Risk Score'!C2099</f>
        <v>Research &amp; Development</v>
      </c>
      <c r="D184" s="7" t="str">
        <f aca="false">'Risk Score'!D2099</f>
        <v>Laboratory Technician</v>
      </c>
      <c r="E184" s="7" t="n">
        <f aca="false">'Risk Score'!E2099</f>
        <v>5</v>
      </c>
      <c r="F184" s="7" t="n">
        <f aca="false">'Risk Score'!F2099</f>
        <v>1</v>
      </c>
      <c r="G184" s="7" t="n">
        <f aca="false">'Risk Score'!G2099</f>
        <v>4</v>
      </c>
      <c r="H184" s="7" t="n">
        <f aca="false">'Risk Score'!H2099</f>
        <v>3</v>
      </c>
      <c r="I184" s="7" t="n">
        <f aca="false">'Risk Score'!I2099</f>
        <v>6</v>
      </c>
    </row>
    <row r="185" customFormat="false" ht="15" hidden="false" customHeight="false" outlineLevel="0" collapsed="false">
      <c r="A185" s="7" t="n">
        <f aca="false">'Risk Score'!A2078</f>
        <v>2077</v>
      </c>
      <c r="B185" s="7" t="n">
        <f aca="false">'Risk Score'!B2078</f>
        <v>41</v>
      </c>
      <c r="C185" s="7" t="str">
        <f aca="false">'Risk Score'!C2078</f>
        <v>Research &amp; Development</v>
      </c>
      <c r="D185" s="7" t="str">
        <f aca="false">'Risk Score'!D2078</f>
        <v>Sales Representative</v>
      </c>
      <c r="E185" s="7" t="n">
        <f aca="false">'Risk Score'!E2078</f>
        <v>5</v>
      </c>
      <c r="F185" s="7" t="n">
        <f aca="false">'Risk Score'!F2078</f>
        <v>0</v>
      </c>
      <c r="G185" s="7" t="n">
        <f aca="false">'Risk Score'!G2078</f>
        <v>1</v>
      </c>
      <c r="H185" s="7" t="n">
        <f aca="false">'Risk Score'!H2078</f>
        <v>1</v>
      </c>
      <c r="I185" s="7" t="n">
        <f aca="false">'Risk Score'!I2078</f>
        <v>6</v>
      </c>
    </row>
    <row r="186" customFormat="false" ht="15" hidden="false" customHeight="false" outlineLevel="0" collapsed="false">
      <c r="A186" s="7" t="n">
        <f aca="false">'Risk Score'!A2080</f>
        <v>2079</v>
      </c>
      <c r="B186" s="7" t="n">
        <f aca="false">'Risk Score'!B2080</f>
        <v>40</v>
      </c>
      <c r="C186" s="7" t="str">
        <f aca="false">'Risk Score'!C2080</f>
        <v>Sales</v>
      </c>
      <c r="D186" s="7" t="str">
        <f aca="false">'Risk Score'!D2080</f>
        <v>Manufacturing Director</v>
      </c>
      <c r="E186" s="7" t="n">
        <f aca="false">'Risk Score'!E2080</f>
        <v>5</v>
      </c>
      <c r="F186" s="7" t="n">
        <f aca="false">'Risk Score'!F2080</f>
        <v>0</v>
      </c>
      <c r="G186" s="7" t="n">
        <f aca="false">'Risk Score'!G2080</f>
        <v>2</v>
      </c>
      <c r="H186" s="7" t="n">
        <f aca="false">'Risk Score'!H2080</f>
        <v>2</v>
      </c>
      <c r="I186" s="7" t="n">
        <f aca="false">'Risk Score'!I2080</f>
        <v>6</v>
      </c>
    </row>
    <row r="187" customFormat="false" ht="15" hidden="false" customHeight="false" outlineLevel="0" collapsed="false">
      <c r="A187" s="7" t="n">
        <f aca="false">'Risk Score'!A2230</f>
        <v>2229</v>
      </c>
      <c r="B187" s="7" t="n">
        <f aca="false">'Risk Score'!B2230</f>
        <v>31</v>
      </c>
      <c r="C187" s="7" t="str">
        <f aca="false">'Risk Score'!C2230</f>
        <v>Sales</v>
      </c>
      <c r="D187" s="7" t="str">
        <f aca="false">'Risk Score'!D2230</f>
        <v>Research Scientist</v>
      </c>
      <c r="E187" s="7" t="n">
        <f aca="false">'Risk Score'!E2230</f>
        <v>1</v>
      </c>
      <c r="F187" s="7" t="n">
        <f aca="false">'Risk Score'!F2230</f>
        <v>0</v>
      </c>
      <c r="G187" s="7" t="n">
        <f aca="false">'Risk Score'!G2230</f>
        <v>2</v>
      </c>
      <c r="H187" s="7" t="n">
        <f aca="false">'Risk Score'!H2230</f>
        <v>1</v>
      </c>
      <c r="I187" s="7" t="n">
        <f aca="false">'Risk Score'!I2230</f>
        <v>6</v>
      </c>
    </row>
    <row r="188" customFormat="false" ht="15" hidden="false" customHeight="false" outlineLevel="0" collapsed="false">
      <c r="A188" s="7" t="n">
        <f aca="false">'Risk Score'!A2186</f>
        <v>2185</v>
      </c>
      <c r="B188" s="7" t="n">
        <f aca="false">'Risk Score'!B2186</f>
        <v>18</v>
      </c>
      <c r="C188" s="7" t="str">
        <f aca="false">'Risk Score'!C2186</f>
        <v>Research &amp; Development</v>
      </c>
      <c r="D188" s="7" t="str">
        <f aca="false">'Risk Score'!D2186</f>
        <v>Sales Executive</v>
      </c>
      <c r="E188" s="7" t="n">
        <f aca="false">'Risk Score'!E2186</f>
        <v>0</v>
      </c>
      <c r="F188" s="7" t="n">
        <f aca="false">'Risk Score'!F2186</f>
        <v>0</v>
      </c>
      <c r="G188" s="7" t="n">
        <f aca="false">'Risk Score'!G2186</f>
        <v>4</v>
      </c>
      <c r="H188" s="7" t="n">
        <f aca="false">'Risk Score'!H2186</f>
        <v>4</v>
      </c>
      <c r="I188" s="7" t="n">
        <f aca="false">'Risk Score'!I2186</f>
        <v>6</v>
      </c>
    </row>
    <row r="189" customFormat="false" ht="15" hidden="false" customHeight="false" outlineLevel="0" collapsed="false">
      <c r="A189" s="7" t="n">
        <f aca="false">'Risk Score'!A2125</f>
        <v>2124</v>
      </c>
      <c r="B189" s="7" t="n">
        <f aca="false">'Risk Score'!B2125</f>
        <v>25</v>
      </c>
      <c r="C189" s="7" t="str">
        <f aca="false">'Risk Score'!C2125</f>
        <v>Research &amp; Development</v>
      </c>
      <c r="D189" s="7" t="str">
        <f aca="false">'Risk Score'!D2125</f>
        <v>Manufacturing Director</v>
      </c>
      <c r="E189" s="7" t="n">
        <f aca="false">'Risk Score'!E2125</f>
        <v>1</v>
      </c>
      <c r="F189" s="7" t="n">
        <f aca="false">'Risk Score'!F2125</f>
        <v>0</v>
      </c>
      <c r="G189" s="7" t="n">
        <f aca="false">'Risk Score'!G2125</f>
        <v>4</v>
      </c>
      <c r="H189" s="7" t="n">
        <f aca="false">'Risk Score'!H2125</f>
        <v>3</v>
      </c>
      <c r="I189" s="7" t="n">
        <f aca="false">'Risk Score'!I2125</f>
        <v>6</v>
      </c>
    </row>
    <row r="190" customFormat="false" ht="15" hidden="false" customHeight="false" outlineLevel="0" collapsed="false">
      <c r="A190" s="7" t="n">
        <f aca="false">'Risk Score'!A2237</f>
        <v>2236</v>
      </c>
      <c r="B190" s="7" t="n">
        <f aca="false">'Risk Score'!B2237</f>
        <v>56</v>
      </c>
      <c r="C190" s="7" t="str">
        <f aca="false">'Risk Score'!C2237</f>
        <v>Research &amp; Development</v>
      </c>
      <c r="D190" s="7" t="str">
        <f aca="false">'Risk Score'!D2237</f>
        <v>Sales Representative</v>
      </c>
      <c r="E190" s="7" t="n">
        <f aca="false">'Risk Score'!E2237</f>
        <v>5</v>
      </c>
      <c r="F190" s="7" t="n">
        <f aca="false">'Risk Score'!F2237</f>
        <v>0</v>
      </c>
      <c r="G190" s="7" t="n">
        <f aca="false">'Risk Score'!G2237</f>
        <v>1</v>
      </c>
      <c r="H190" s="7" t="n">
        <f aca="false">'Risk Score'!H2237</f>
        <v>1</v>
      </c>
      <c r="I190" s="7" t="n">
        <f aca="false">'Risk Score'!I2237</f>
        <v>6</v>
      </c>
    </row>
    <row r="191" customFormat="false" ht="15" hidden="false" customHeight="false" outlineLevel="0" collapsed="false">
      <c r="A191" s="7" t="n">
        <f aca="false">'Risk Score'!A3569</f>
        <v>3568</v>
      </c>
      <c r="B191" s="7" t="n">
        <f aca="false">'Risk Score'!B3569</f>
        <v>25</v>
      </c>
      <c r="C191" s="7" t="str">
        <f aca="false">'Risk Score'!C3569</f>
        <v>Research &amp; Development</v>
      </c>
      <c r="D191" s="7" t="str">
        <f aca="false">'Risk Score'!D3569</f>
        <v>Laboratory Technician</v>
      </c>
      <c r="E191" s="7" t="n">
        <f aca="false">'Risk Score'!E3569</f>
        <v>5</v>
      </c>
      <c r="F191" s="7" t="n">
        <f aca="false">'Risk Score'!F3569</f>
        <v>1</v>
      </c>
      <c r="G191" s="7" t="n">
        <f aca="false">'Risk Score'!G3569</f>
        <v>4</v>
      </c>
      <c r="H191" s="7" t="n">
        <f aca="false">'Risk Score'!H3569</f>
        <v>3</v>
      </c>
      <c r="I191" s="7" t="n">
        <f aca="false">'Risk Score'!I3569</f>
        <v>6</v>
      </c>
    </row>
    <row r="192" customFormat="false" ht="15" hidden="false" customHeight="false" outlineLevel="0" collapsed="false">
      <c r="A192" s="7" t="n">
        <f aca="false">'Risk Score'!A3544</f>
        <v>3543</v>
      </c>
      <c r="B192" s="7" t="n">
        <f aca="false">'Risk Score'!B3544</f>
        <v>22</v>
      </c>
      <c r="C192" s="7" t="str">
        <f aca="false">'Risk Score'!C3544</f>
        <v>Research &amp; Development</v>
      </c>
      <c r="D192" s="7" t="str">
        <f aca="false">'Risk Score'!D3544</f>
        <v>Sales Representative</v>
      </c>
      <c r="E192" s="7" t="n">
        <f aca="false">'Risk Score'!E3544</f>
        <v>1</v>
      </c>
      <c r="F192" s="7" t="n">
        <f aca="false">'Risk Score'!F3544</f>
        <v>0</v>
      </c>
      <c r="G192" s="7" t="n">
        <f aca="false">'Risk Score'!G3544</f>
        <v>4</v>
      </c>
      <c r="H192" s="7" t="n">
        <f aca="false">'Risk Score'!H3544</f>
        <v>3</v>
      </c>
      <c r="I192" s="7" t="n">
        <f aca="false">'Risk Score'!I3544</f>
        <v>6</v>
      </c>
    </row>
    <row r="193" customFormat="false" ht="15" hidden="false" customHeight="false" outlineLevel="0" collapsed="false">
      <c r="A193" s="7" t="n">
        <f aca="false">'Risk Score'!A3548</f>
        <v>3547</v>
      </c>
      <c r="B193" s="7" t="n">
        <f aca="false">'Risk Score'!B3548</f>
        <v>41</v>
      </c>
      <c r="C193" s="7" t="str">
        <f aca="false">'Risk Score'!C3548</f>
        <v>Research &amp; Development</v>
      </c>
      <c r="D193" s="7" t="str">
        <f aca="false">'Risk Score'!D3548</f>
        <v>Sales Representative</v>
      </c>
      <c r="E193" s="7" t="n">
        <f aca="false">'Risk Score'!E3548</f>
        <v>5</v>
      </c>
      <c r="F193" s="7" t="n">
        <f aca="false">'Risk Score'!F3548</f>
        <v>0</v>
      </c>
      <c r="G193" s="7" t="n">
        <f aca="false">'Risk Score'!G3548</f>
        <v>1</v>
      </c>
      <c r="H193" s="7" t="n">
        <f aca="false">'Risk Score'!H3548</f>
        <v>1</v>
      </c>
      <c r="I193" s="7" t="n">
        <f aca="false">'Risk Score'!I3548</f>
        <v>6</v>
      </c>
    </row>
    <row r="194" customFormat="false" ht="15" hidden="false" customHeight="false" outlineLevel="0" collapsed="false">
      <c r="A194" s="7" t="n">
        <f aca="false">'Risk Score'!A3550</f>
        <v>3549</v>
      </c>
      <c r="B194" s="7" t="n">
        <f aca="false">'Risk Score'!B3550</f>
        <v>40</v>
      </c>
      <c r="C194" s="7" t="str">
        <f aca="false">'Risk Score'!C3550</f>
        <v>Sales</v>
      </c>
      <c r="D194" s="7" t="str">
        <f aca="false">'Risk Score'!D3550</f>
        <v>Manufacturing Director</v>
      </c>
      <c r="E194" s="7" t="n">
        <f aca="false">'Risk Score'!E3550</f>
        <v>5</v>
      </c>
      <c r="F194" s="7" t="n">
        <f aca="false">'Risk Score'!F3550</f>
        <v>0</v>
      </c>
      <c r="G194" s="7" t="n">
        <f aca="false">'Risk Score'!G3550</f>
        <v>2</v>
      </c>
      <c r="H194" s="7" t="n">
        <f aca="false">'Risk Score'!H3550</f>
        <v>2</v>
      </c>
      <c r="I194" s="7" t="n">
        <f aca="false">'Risk Score'!I3550</f>
        <v>6</v>
      </c>
    </row>
    <row r="195" customFormat="false" ht="15" hidden="false" customHeight="false" outlineLevel="0" collapsed="false">
      <c r="A195" s="7" t="n">
        <f aca="false">'Risk Score'!A3484</f>
        <v>3483</v>
      </c>
      <c r="B195" s="7" t="n">
        <f aca="false">'Risk Score'!B3484</f>
        <v>28</v>
      </c>
      <c r="C195" s="7" t="str">
        <f aca="false">'Risk Score'!C3484</f>
        <v>Research &amp; Development</v>
      </c>
      <c r="D195" s="7" t="str">
        <f aca="false">'Risk Score'!D3484</f>
        <v>Manager</v>
      </c>
      <c r="E195" s="7" t="n">
        <f aca="false">'Risk Score'!E3484</f>
        <v>1</v>
      </c>
      <c r="F195" s="7" t="n">
        <f aca="false">'Risk Score'!F3484</f>
        <v>0</v>
      </c>
      <c r="G195" s="7" t="n">
        <f aca="false">'Risk Score'!G3484</f>
        <v>2</v>
      </c>
      <c r="H195" s="7" t="n">
        <f aca="false">'Risk Score'!H3484</f>
        <v>1</v>
      </c>
      <c r="I195" s="7" t="n">
        <f aca="false">'Risk Score'!I3484</f>
        <v>6</v>
      </c>
    </row>
    <row r="196" customFormat="false" ht="15" hidden="false" customHeight="false" outlineLevel="0" collapsed="false">
      <c r="A196" s="7" t="n">
        <f aca="false">'Risk Score'!A3512</f>
        <v>3511</v>
      </c>
      <c r="B196" s="7" t="n">
        <f aca="false">'Risk Score'!B3512</f>
        <v>18</v>
      </c>
      <c r="C196" s="7" t="str">
        <f aca="false">'Risk Score'!C3512</f>
        <v>Research &amp; Development</v>
      </c>
      <c r="D196" s="7" t="str">
        <f aca="false">'Risk Score'!D3512</f>
        <v>Laboratory Technician</v>
      </c>
      <c r="E196" s="7" t="n">
        <f aca="false">'Risk Score'!E3512</f>
        <v>0</v>
      </c>
      <c r="F196" s="7" t="n">
        <f aca="false">'Risk Score'!F3512</f>
        <v>0</v>
      </c>
      <c r="G196" s="7" t="n">
        <f aca="false">'Risk Score'!G3512</f>
        <v>3</v>
      </c>
      <c r="H196" s="7" t="n">
        <f aca="false">'Risk Score'!H3512</f>
        <v>3</v>
      </c>
      <c r="I196" s="7" t="n">
        <f aca="false">'Risk Score'!I3512</f>
        <v>6</v>
      </c>
    </row>
    <row r="197" customFormat="false" ht="15" hidden="false" customHeight="false" outlineLevel="0" collapsed="false">
      <c r="A197" s="7" t="n">
        <f aca="false">'Risk Score'!A3188</f>
        <v>3187</v>
      </c>
      <c r="B197" s="7" t="n">
        <f aca="false">'Risk Score'!B3188</f>
        <v>45</v>
      </c>
      <c r="C197" s="7" t="str">
        <f aca="false">'Risk Score'!C3188</f>
        <v>Research &amp; Development</v>
      </c>
      <c r="D197" s="7" t="str">
        <f aca="false">'Risk Score'!D3188</f>
        <v>Research Director</v>
      </c>
      <c r="E197" s="7" t="n">
        <f aca="false">'Risk Score'!E3188</f>
        <v>5</v>
      </c>
      <c r="F197" s="7" t="n">
        <f aca="false">'Risk Score'!F3188</f>
        <v>0</v>
      </c>
      <c r="G197" s="7" t="n">
        <f aca="false">'Risk Score'!G3188</f>
        <v>1</v>
      </c>
      <c r="H197" s="7" t="n">
        <f aca="false">'Risk Score'!H3188</f>
        <v>1</v>
      </c>
      <c r="I197" s="7" t="n">
        <f aca="false">'Risk Score'!I3188</f>
        <v>6</v>
      </c>
    </row>
    <row r="198" customFormat="false" ht="15" hidden="false" customHeight="false" outlineLevel="0" collapsed="false">
      <c r="A198" s="7" t="n">
        <f aca="false">'Risk Score'!A3164</f>
        <v>3163</v>
      </c>
      <c r="B198" s="7" t="n">
        <f aca="false">'Risk Score'!B3164</f>
        <v>30</v>
      </c>
      <c r="C198" s="7" t="str">
        <f aca="false">'Risk Score'!C3164</f>
        <v>Research &amp; Development</v>
      </c>
      <c r="D198" s="7" t="str">
        <f aca="false">'Risk Score'!D3164</f>
        <v>Healthcare Representative</v>
      </c>
      <c r="E198" s="7" t="n">
        <f aca="false">'Risk Score'!E3164</f>
        <v>1</v>
      </c>
      <c r="F198" s="7" t="n">
        <f aca="false">'Risk Score'!F3164</f>
        <v>0</v>
      </c>
      <c r="G198" s="7" t="n">
        <f aca="false">'Risk Score'!G3164</f>
        <v>1</v>
      </c>
      <c r="H198" s="7" t="n">
        <f aca="false">'Risk Score'!H3164</f>
        <v>2</v>
      </c>
      <c r="I198" s="7" t="n">
        <f aca="false">'Risk Score'!I3164</f>
        <v>6</v>
      </c>
    </row>
    <row r="199" customFormat="false" ht="15" hidden="false" customHeight="false" outlineLevel="0" collapsed="false">
      <c r="A199" s="7" t="n">
        <f aca="false">'Risk Score'!A3234</f>
        <v>3233</v>
      </c>
      <c r="B199" s="7" t="n">
        <f aca="false">'Risk Score'!B3234</f>
        <v>23</v>
      </c>
      <c r="C199" s="7" t="str">
        <f aca="false">'Risk Score'!C3234</f>
        <v>Sales</v>
      </c>
      <c r="D199" s="7" t="str">
        <f aca="false">'Risk Score'!D3234</f>
        <v>Sales Executive</v>
      </c>
      <c r="E199" s="7" t="n">
        <f aca="false">'Risk Score'!E3234</f>
        <v>5</v>
      </c>
      <c r="F199" s="7" t="n">
        <f aca="false">'Risk Score'!F3234</f>
        <v>2</v>
      </c>
      <c r="G199" s="7" t="n">
        <f aca="false">'Risk Score'!G3234</f>
        <v>1</v>
      </c>
      <c r="H199" s="7" t="n">
        <f aca="false">'Risk Score'!H3234</f>
        <v>2</v>
      </c>
      <c r="I199" s="7" t="n">
        <f aca="false">'Risk Score'!I3234</f>
        <v>6</v>
      </c>
    </row>
    <row r="200" customFormat="false" ht="15" hidden="false" customHeight="false" outlineLevel="0" collapsed="false">
      <c r="A200" s="7" t="n">
        <f aca="false">'Risk Score'!A3200</f>
        <v>3199</v>
      </c>
      <c r="B200" s="7" t="n">
        <f aca="false">'Risk Score'!B3200</f>
        <v>23</v>
      </c>
      <c r="C200" s="7" t="str">
        <f aca="false">'Risk Score'!C3200</f>
        <v>Research &amp; Development</v>
      </c>
      <c r="D200" s="7" t="str">
        <f aca="false">'Risk Score'!D3200</f>
        <v>Healthcare Representative</v>
      </c>
      <c r="E200" s="7" t="n">
        <f aca="false">'Risk Score'!E3200</f>
        <v>5</v>
      </c>
      <c r="F200" s="7" t="n">
        <f aca="false">'Risk Score'!F3200</f>
        <v>2</v>
      </c>
      <c r="G200" s="7" t="n">
        <f aca="false">'Risk Score'!G3200</f>
        <v>1</v>
      </c>
      <c r="H200" s="7" t="n">
        <f aca="false">'Risk Score'!H3200</f>
        <v>1</v>
      </c>
      <c r="I200" s="7" t="n">
        <f aca="false">'Risk Score'!I3200</f>
        <v>6</v>
      </c>
    </row>
    <row r="201" customFormat="false" ht="15" hidden="false" customHeight="false" outlineLevel="0" collapsed="false">
      <c r="A201" s="7" t="n">
        <f aca="false">'Risk Score'!A3197</f>
        <v>3196</v>
      </c>
      <c r="B201" s="7" t="n">
        <f aca="false">'Risk Score'!B3197</f>
        <v>20</v>
      </c>
      <c r="C201" s="7" t="str">
        <f aca="false">'Risk Score'!C3197</f>
        <v>Research &amp; Development</v>
      </c>
      <c r="D201" s="7" t="str">
        <f aca="false">'Risk Score'!D3197</f>
        <v>Sales Representative</v>
      </c>
      <c r="E201" s="7" t="n">
        <f aca="false">'Risk Score'!E3197</f>
        <v>1</v>
      </c>
      <c r="F201" s="7" t="n">
        <f aca="false">'Risk Score'!F3197</f>
        <v>1</v>
      </c>
      <c r="G201" s="7" t="n">
        <f aca="false">'Risk Score'!G3197</f>
        <v>3</v>
      </c>
      <c r="H201" s="7" t="n">
        <f aca="false">'Risk Score'!H3197</f>
        <v>4</v>
      </c>
      <c r="I201" s="7" t="n">
        <f aca="false">'Risk Score'!I3197</f>
        <v>6</v>
      </c>
    </row>
    <row r="202" customFormat="false" ht="15" hidden="false" customHeight="false" outlineLevel="0" collapsed="false">
      <c r="A202" s="7" t="n">
        <f aca="false">'Risk Score'!A3273</f>
        <v>3272</v>
      </c>
      <c r="B202" s="7" t="n">
        <f aca="false">'Risk Score'!B3273</f>
        <v>29</v>
      </c>
      <c r="C202" s="7" t="str">
        <f aca="false">'Risk Score'!C3273</f>
        <v>Sales</v>
      </c>
      <c r="D202" s="7" t="str">
        <f aca="false">'Risk Score'!D3273</f>
        <v>Research Scientist</v>
      </c>
      <c r="E202" s="7" t="n">
        <f aca="false">'Risk Score'!E3273</f>
        <v>1</v>
      </c>
      <c r="F202" s="7" t="n">
        <f aca="false">'Risk Score'!F3273</f>
        <v>0</v>
      </c>
      <c r="G202" s="7" t="n">
        <f aca="false">'Risk Score'!G3273</f>
        <v>1</v>
      </c>
      <c r="H202" s="7" t="n">
        <f aca="false">'Risk Score'!H3273</f>
        <v>2</v>
      </c>
      <c r="I202" s="7" t="n">
        <f aca="false">'Risk Score'!I3273</f>
        <v>6</v>
      </c>
    </row>
    <row r="203" customFormat="false" ht="15" hidden="false" customHeight="false" outlineLevel="0" collapsed="false">
      <c r="A203" s="7" t="n">
        <f aca="false">'Risk Score'!A3302</f>
        <v>3301</v>
      </c>
      <c r="B203" s="7" t="n">
        <f aca="false">'Risk Score'!B3302</f>
        <v>25</v>
      </c>
      <c r="C203" s="7" t="str">
        <f aca="false">'Risk Score'!C3302</f>
        <v>Research &amp; Development</v>
      </c>
      <c r="D203" s="7" t="str">
        <f aca="false">'Risk Score'!D3302</f>
        <v>Laboratory Technician</v>
      </c>
      <c r="E203" s="7" t="n">
        <f aca="false">'Risk Score'!E3302</f>
        <v>6</v>
      </c>
      <c r="F203" s="7" t="n">
        <f aca="false">'Risk Score'!F3302</f>
        <v>1</v>
      </c>
      <c r="G203" s="7" t="n">
        <f aca="false">'Risk Score'!G3302</f>
        <v>1</v>
      </c>
      <c r="H203" s="7" t="n">
        <f aca="false">'Risk Score'!H3302</f>
        <v>1</v>
      </c>
      <c r="I203" s="7" t="n">
        <f aca="false">'Risk Score'!I3302</f>
        <v>6</v>
      </c>
    </row>
    <row r="204" customFormat="false" ht="15" hidden="false" customHeight="false" outlineLevel="0" collapsed="false">
      <c r="A204" s="7" t="n">
        <f aca="false">'Risk Score'!A3345</f>
        <v>3344</v>
      </c>
      <c r="B204" s="7" t="n">
        <f aca="false">'Risk Score'!B3345</f>
        <v>43</v>
      </c>
      <c r="C204" s="7" t="str">
        <f aca="false">'Risk Score'!C3345</f>
        <v>Sales</v>
      </c>
      <c r="D204" s="7" t="str">
        <f aca="false">'Risk Score'!D3345</f>
        <v>Sales Executive</v>
      </c>
      <c r="E204" s="7" t="n">
        <f aca="false">'Risk Score'!E3345</f>
        <v>4</v>
      </c>
      <c r="F204" s="7" t="n">
        <f aca="false">'Risk Score'!F3345</f>
        <v>0</v>
      </c>
      <c r="G204" s="7" t="n">
        <f aca="false">'Risk Score'!G3345</f>
        <v>2</v>
      </c>
      <c r="H204" s="7" t="n">
        <f aca="false">'Risk Score'!H3345</f>
        <v>1</v>
      </c>
      <c r="I204" s="7" t="n">
        <f aca="false">'Risk Score'!I3345</f>
        <v>6</v>
      </c>
    </row>
    <row r="205" customFormat="false" ht="15" hidden="false" customHeight="false" outlineLevel="0" collapsed="false">
      <c r="A205" s="7" t="n">
        <f aca="false">'Risk Score'!A3347</f>
        <v>3346</v>
      </c>
      <c r="B205" s="7" t="n">
        <f aca="false">'Risk Score'!B3347</f>
        <v>21</v>
      </c>
      <c r="C205" s="7" t="str">
        <f aca="false">'Risk Score'!C3347</f>
        <v>Research &amp; Development</v>
      </c>
      <c r="D205" s="7" t="str">
        <f aca="false">'Risk Score'!D3347</f>
        <v>Sales Executive</v>
      </c>
      <c r="E205" s="7" t="n">
        <f aca="false">'Risk Score'!E3347</f>
        <v>1</v>
      </c>
      <c r="F205" s="7" t="n">
        <f aca="false">'Risk Score'!F3347</f>
        <v>0</v>
      </c>
      <c r="G205" s="7" t="n">
        <f aca="false">'Risk Score'!G3347</f>
        <v>4</v>
      </c>
      <c r="H205" s="7" t="n">
        <f aca="false">'Risk Score'!H3347</f>
        <v>4</v>
      </c>
      <c r="I205" s="7" t="n">
        <f aca="false">'Risk Score'!I3347</f>
        <v>6</v>
      </c>
    </row>
    <row r="206" customFormat="false" ht="15" hidden="false" customHeight="false" outlineLevel="0" collapsed="false">
      <c r="A206" s="7" t="n">
        <f aca="false">'Risk Score'!A3355</f>
        <v>3354</v>
      </c>
      <c r="B206" s="7" t="n">
        <f aca="false">'Risk Score'!B3355</f>
        <v>34</v>
      </c>
      <c r="C206" s="7" t="str">
        <f aca="false">'Risk Score'!C3355</f>
        <v>Research &amp; Development</v>
      </c>
      <c r="D206" s="7" t="str">
        <f aca="false">'Risk Score'!D3355</f>
        <v>Human Resources</v>
      </c>
      <c r="E206" s="7" t="n">
        <f aca="false">'Risk Score'!E3355</f>
        <v>1</v>
      </c>
      <c r="F206" s="7" t="n">
        <f aca="false">'Risk Score'!F3355</f>
        <v>0</v>
      </c>
      <c r="G206" s="7" t="n">
        <f aca="false">'Risk Score'!G3355</f>
        <v>2</v>
      </c>
      <c r="H206" s="7" t="n">
        <f aca="false">'Risk Score'!H3355</f>
        <v>2</v>
      </c>
      <c r="I206" s="7" t="n">
        <f aca="false">'Risk Score'!I3355</f>
        <v>6</v>
      </c>
    </row>
    <row r="207" customFormat="false" ht="15" hidden="false" customHeight="false" outlineLevel="0" collapsed="false">
      <c r="A207" s="7" t="n">
        <f aca="false">'Risk Score'!A3794</f>
        <v>3793</v>
      </c>
      <c r="B207" s="7" t="n">
        <f aca="false">'Risk Score'!B3794</f>
        <v>35</v>
      </c>
      <c r="C207" s="7" t="str">
        <f aca="false">'Risk Score'!C3794</f>
        <v>Research &amp; Development</v>
      </c>
      <c r="D207" s="7" t="str">
        <f aca="false">'Risk Score'!D3794</f>
        <v>Research Scientist</v>
      </c>
      <c r="E207" s="7" t="n">
        <f aca="false">'Risk Score'!E3794</f>
        <v>1</v>
      </c>
      <c r="F207" s="7" t="n">
        <f aca="false">'Risk Score'!F3794</f>
        <v>0</v>
      </c>
      <c r="G207" s="7" t="n">
        <f aca="false">'Risk Score'!G3794</f>
        <v>1</v>
      </c>
      <c r="H207" s="7" t="n">
        <f aca="false">'Risk Score'!H3794</f>
        <v>1</v>
      </c>
      <c r="I207" s="7" t="n">
        <f aca="false">'Risk Score'!I3794</f>
        <v>6</v>
      </c>
    </row>
    <row r="208" customFormat="false" ht="15" hidden="false" customHeight="false" outlineLevel="0" collapsed="false">
      <c r="A208" s="7" t="n">
        <f aca="false">'Risk Score'!A3906</f>
        <v>3905</v>
      </c>
      <c r="B208" s="7" t="n">
        <f aca="false">'Risk Score'!B3906</f>
        <v>24</v>
      </c>
      <c r="C208" s="7" t="str">
        <f aca="false">'Risk Score'!C3906</f>
        <v>Sales</v>
      </c>
      <c r="D208" s="7" t="str">
        <f aca="false">'Risk Score'!D3906</f>
        <v>Manager</v>
      </c>
      <c r="E208" s="7" t="n">
        <f aca="false">'Risk Score'!E3906</f>
        <v>1</v>
      </c>
      <c r="F208" s="7" t="n">
        <f aca="false">'Risk Score'!F3906</f>
        <v>0</v>
      </c>
      <c r="G208" s="7" t="n">
        <f aca="false">'Risk Score'!G3906</f>
        <v>3</v>
      </c>
      <c r="H208" s="7" t="n">
        <f aca="false">'Risk Score'!H3906</f>
        <v>4</v>
      </c>
      <c r="I208" s="7" t="n">
        <f aca="false">'Risk Score'!I3906</f>
        <v>6</v>
      </c>
    </row>
    <row r="209" customFormat="false" ht="15" hidden="false" customHeight="false" outlineLevel="0" collapsed="false">
      <c r="A209" s="7" t="n">
        <f aca="false">'Risk Score'!A3707</f>
        <v>3706</v>
      </c>
      <c r="B209" s="7" t="n">
        <f aca="false">'Risk Score'!B3707</f>
        <v>56</v>
      </c>
      <c r="C209" s="7" t="str">
        <f aca="false">'Risk Score'!C3707</f>
        <v>Research &amp; Development</v>
      </c>
      <c r="D209" s="7" t="str">
        <f aca="false">'Risk Score'!D3707</f>
        <v>Sales Representative</v>
      </c>
      <c r="E209" s="7" t="n">
        <f aca="false">'Risk Score'!E3707</f>
        <v>5</v>
      </c>
      <c r="F209" s="7" t="n">
        <f aca="false">'Risk Score'!F3707</f>
        <v>0</v>
      </c>
      <c r="G209" s="7" t="n">
        <f aca="false">'Risk Score'!G3707</f>
        <v>1</v>
      </c>
      <c r="H209" s="7" t="n">
        <f aca="false">'Risk Score'!H3707</f>
        <v>1</v>
      </c>
      <c r="I209" s="7" t="n">
        <f aca="false">'Risk Score'!I3707</f>
        <v>6</v>
      </c>
    </row>
    <row r="210" customFormat="false" ht="15" hidden="false" customHeight="false" outlineLevel="0" collapsed="false">
      <c r="A210" s="7" t="n">
        <f aca="false">'Risk Score'!A3594</f>
        <v>3593</v>
      </c>
      <c r="B210" s="7" t="n">
        <f aca="false">'Risk Score'!B3594</f>
        <v>23</v>
      </c>
      <c r="C210" s="7" t="str">
        <f aca="false">'Risk Score'!C3594</f>
        <v>Sales</v>
      </c>
      <c r="D210" s="7" t="str">
        <f aca="false">'Risk Score'!D3594</f>
        <v>Laboratory Technician</v>
      </c>
      <c r="E210" s="7" t="n">
        <f aca="false">'Risk Score'!E3594</f>
        <v>1</v>
      </c>
      <c r="F210" s="7" t="n">
        <f aca="false">'Risk Score'!F3594</f>
        <v>1</v>
      </c>
      <c r="G210" s="7" t="n">
        <f aca="false">'Risk Score'!G3594</f>
        <v>3</v>
      </c>
      <c r="H210" s="7" t="n">
        <f aca="false">'Risk Score'!H3594</f>
        <v>4</v>
      </c>
      <c r="I210" s="7" t="n">
        <f aca="false">'Risk Score'!I3594</f>
        <v>6</v>
      </c>
    </row>
    <row r="211" customFormat="false" ht="15" hidden="false" customHeight="false" outlineLevel="0" collapsed="false">
      <c r="A211" s="7" t="n">
        <f aca="false">'Risk Score'!A3656</f>
        <v>3655</v>
      </c>
      <c r="B211" s="7" t="n">
        <f aca="false">'Risk Score'!B3656</f>
        <v>18</v>
      </c>
      <c r="C211" s="7" t="str">
        <f aca="false">'Risk Score'!C3656</f>
        <v>Research &amp; Development</v>
      </c>
      <c r="D211" s="7" t="str">
        <f aca="false">'Risk Score'!D3656</f>
        <v>Sales Executive</v>
      </c>
      <c r="E211" s="7" t="n">
        <f aca="false">'Risk Score'!E3656</f>
        <v>0</v>
      </c>
      <c r="F211" s="7" t="n">
        <f aca="false">'Risk Score'!F3656</f>
        <v>0</v>
      </c>
      <c r="G211" s="7" t="n">
        <f aca="false">'Risk Score'!G3656</f>
        <v>4</v>
      </c>
      <c r="H211" s="7" t="n">
        <f aca="false">'Risk Score'!H3656</f>
        <v>4</v>
      </c>
      <c r="I211" s="7" t="n">
        <f aca="false">'Risk Score'!I3656</f>
        <v>6</v>
      </c>
    </row>
    <row r="212" customFormat="false" ht="15" hidden="false" customHeight="false" outlineLevel="0" collapsed="false">
      <c r="A212" s="7" t="n">
        <f aca="false">'Risk Score'!A3595</f>
        <v>3594</v>
      </c>
      <c r="B212" s="7" t="n">
        <f aca="false">'Risk Score'!B3595</f>
        <v>25</v>
      </c>
      <c r="C212" s="7" t="str">
        <f aca="false">'Risk Score'!C3595</f>
        <v>Research &amp; Development</v>
      </c>
      <c r="D212" s="7" t="str">
        <f aca="false">'Risk Score'!D3595</f>
        <v>Manufacturing Director</v>
      </c>
      <c r="E212" s="7" t="n">
        <f aca="false">'Risk Score'!E3595</f>
        <v>1</v>
      </c>
      <c r="F212" s="7" t="n">
        <f aca="false">'Risk Score'!F3595</f>
        <v>0</v>
      </c>
      <c r="G212" s="7" t="n">
        <f aca="false">'Risk Score'!G3595</f>
        <v>4</v>
      </c>
      <c r="H212" s="7" t="n">
        <f aca="false">'Risk Score'!H3595</f>
        <v>3</v>
      </c>
      <c r="I212" s="7" t="n">
        <f aca="false">'Risk Score'!I3595</f>
        <v>6</v>
      </c>
    </row>
    <row r="213" customFormat="false" ht="15" hidden="false" customHeight="false" outlineLevel="0" collapsed="false">
      <c r="A213" s="7" t="n">
        <f aca="false">'Risk Score'!A3700</f>
        <v>3699</v>
      </c>
      <c r="B213" s="7" t="n">
        <f aca="false">'Risk Score'!B3700</f>
        <v>31</v>
      </c>
      <c r="C213" s="7" t="str">
        <f aca="false">'Risk Score'!C3700</f>
        <v>Sales</v>
      </c>
      <c r="D213" s="7" t="str">
        <f aca="false">'Risk Score'!D3700</f>
        <v>Research Scientist</v>
      </c>
      <c r="E213" s="7" t="n">
        <f aca="false">'Risk Score'!E3700</f>
        <v>1</v>
      </c>
      <c r="F213" s="7" t="n">
        <f aca="false">'Risk Score'!F3700</f>
        <v>0</v>
      </c>
      <c r="G213" s="7" t="n">
        <f aca="false">'Risk Score'!G3700</f>
        <v>2</v>
      </c>
      <c r="H213" s="7" t="n">
        <f aca="false">'Risk Score'!H3700</f>
        <v>1</v>
      </c>
      <c r="I213" s="7" t="n">
        <f aca="false">'Risk Score'!I3700</f>
        <v>6</v>
      </c>
    </row>
    <row r="214" customFormat="false" ht="15" hidden="false" customHeight="false" outlineLevel="0" collapsed="false">
      <c r="A214" s="7" t="n">
        <f aca="false">'Risk Score'!A3997</f>
        <v>3996</v>
      </c>
      <c r="B214" s="7" t="n">
        <f aca="false">'Risk Score'!B3997</f>
        <v>29</v>
      </c>
      <c r="C214" s="7" t="str">
        <f aca="false">'Risk Score'!C3997</f>
        <v>Research &amp; Development</v>
      </c>
      <c r="D214" s="7" t="str">
        <f aca="false">'Risk Score'!D3997</f>
        <v>Manager</v>
      </c>
      <c r="E214" s="7" t="n">
        <f aca="false">'Risk Score'!E3997</f>
        <v>4</v>
      </c>
      <c r="F214" s="7" t="n">
        <f aca="false">'Risk Score'!F3997</f>
        <v>0</v>
      </c>
      <c r="G214" s="7" t="n">
        <f aca="false">'Risk Score'!G3997</f>
        <v>1</v>
      </c>
      <c r="H214" s="7" t="n">
        <f aca="false">'Risk Score'!H3997</f>
        <v>1</v>
      </c>
      <c r="I214" s="7" t="n">
        <f aca="false">'Risk Score'!I3997</f>
        <v>6</v>
      </c>
    </row>
    <row r="215" customFormat="false" ht="15" hidden="false" customHeight="false" outlineLevel="0" collapsed="false">
      <c r="A215" s="7" t="n">
        <f aca="false">'Risk Score'!A4177</f>
        <v>4176</v>
      </c>
      <c r="B215" s="7" t="n">
        <f aca="false">'Risk Score'!B4177</f>
        <v>21</v>
      </c>
      <c r="C215" s="7" t="str">
        <f aca="false">'Risk Score'!C4177</f>
        <v>Sales</v>
      </c>
      <c r="D215" s="7" t="str">
        <f aca="false">'Risk Score'!D4177</f>
        <v>Manufacturing Director</v>
      </c>
      <c r="E215" s="7" t="n">
        <f aca="false">'Risk Score'!E4177</f>
        <v>0</v>
      </c>
      <c r="F215" s="7" t="n">
        <f aca="false">'Risk Score'!F4177</f>
        <v>0</v>
      </c>
      <c r="G215" s="7" t="n">
        <f aca="false">'Risk Score'!G4177</f>
        <v>4</v>
      </c>
      <c r="H215" s="7" t="n">
        <f aca="false">'Risk Score'!H4177</f>
        <v>3</v>
      </c>
      <c r="I215" s="7" t="n">
        <f aca="false">'Risk Score'!I4177</f>
        <v>6</v>
      </c>
    </row>
    <row r="216" customFormat="false" ht="15" hidden="false" customHeight="false" outlineLevel="0" collapsed="false">
      <c r="A216" s="7" t="n">
        <f aca="false">'Risk Score'!A4171</f>
        <v>4170</v>
      </c>
      <c r="B216" s="7" t="n">
        <f aca="false">'Risk Score'!B4171</f>
        <v>22</v>
      </c>
      <c r="C216" s="7" t="str">
        <f aca="false">'Risk Score'!C4171</f>
        <v>Research &amp; Development</v>
      </c>
      <c r="D216" s="7" t="str">
        <f aca="false">'Risk Score'!D4171</f>
        <v>Sales Executive</v>
      </c>
      <c r="E216" s="7" t="n">
        <f aca="false">'Risk Score'!E4171</f>
        <v>1</v>
      </c>
      <c r="F216" s="7" t="n">
        <f aca="false">'Risk Score'!F4171</f>
        <v>0</v>
      </c>
      <c r="G216" s="7" t="n">
        <f aca="false">'Risk Score'!G4171</f>
        <v>4</v>
      </c>
      <c r="H216" s="7" t="n">
        <f aca="false">'Risk Score'!H4171</f>
        <v>4</v>
      </c>
      <c r="I216" s="7" t="n">
        <f aca="false">'Risk Score'!I4171</f>
        <v>6</v>
      </c>
    </row>
    <row r="217" customFormat="false" ht="15" hidden="false" customHeight="false" outlineLevel="0" collapsed="false">
      <c r="A217" s="7" t="n">
        <f aca="false">'Risk Score'!A4021</f>
        <v>4020</v>
      </c>
      <c r="B217" s="7" t="n">
        <f aca="false">'Risk Score'!B4021</f>
        <v>28</v>
      </c>
      <c r="C217" s="7" t="str">
        <f aca="false">'Risk Score'!C4021</f>
        <v>Research &amp; Development</v>
      </c>
      <c r="D217" s="7" t="str">
        <f aca="false">'Risk Score'!D4021</f>
        <v>Laboratory Technician</v>
      </c>
      <c r="E217" s="7" t="n">
        <f aca="false">'Risk Score'!E4021</f>
        <v>1</v>
      </c>
      <c r="F217" s="7" t="n">
        <f aca="false">'Risk Score'!F4021</f>
        <v>0</v>
      </c>
      <c r="G217" s="7" t="n">
        <f aca="false">'Risk Score'!G4021</f>
        <v>2</v>
      </c>
      <c r="H217" s="7" t="n">
        <f aca="false">'Risk Score'!H4021</f>
        <v>2</v>
      </c>
      <c r="I217" s="7" t="n">
        <f aca="false">'Risk Score'!I4021</f>
        <v>6</v>
      </c>
    </row>
    <row r="218" customFormat="false" ht="15" hidden="false" customHeight="false" outlineLevel="0" collapsed="false">
      <c r="A218" s="7" t="n">
        <f aca="false">'Risk Score'!A4063</f>
        <v>4062</v>
      </c>
      <c r="B218" s="7" t="n">
        <f aca="false">'Risk Score'!B4063</f>
        <v>27</v>
      </c>
      <c r="C218" s="7" t="str">
        <f aca="false">'Risk Score'!C4063</f>
        <v>Sales</v>
      </c>
      <c r="D218" s="7" t="str">
        <f aca="false">'Risk Score'!D4063</f>
        <v>Laboratory Technician</v>
      </c>
      <c r="E218" s="7" t="n">
        <f aca="false">'Risk Score'!E4063</f>
        <v>1</v>
      </c>
      <c r="F218" s="7" t="n">
        <f aca="false">'Risk Score'!F4063</f>
        <v>0</v>
      </c>
      <c r="G218" s="7" t="n">
        <f aca="false">'Risk Score'!G4063</f>
        <v>2</v>
      </c>
      <c r="H218" s="7" t="n">
        <f aca="false">'Risk Score'!H4063</f>
        <v>1</v>
      </c>
      <c r="I218" s="7" t="n">
        <f aca="false">'Risk Score'!I4063</f>
        <v>6</v>
      </c>
    </row>
    <row r="219" customFormat="false" ht="15" hidden="false" customHeight="false" outlineLevel="0" collapsed="false">
      <c r="A219" s="7" t="n">
        <f aca="false">'Risk Score'!A4281</f>
        <v>4280</v>
      </c>
      <c r="B219" s="7" t="n">
        <f aca="false">'Risk Score'!B4281</f>
        <v>19</v>
      </c>
      <c r="C219" s="7" t="str">
        <f aca="false">'Risk Score'!C4281</f>
        <v>Research &amp; Development</v>
      </c>
      <c r="D219" s="7" t="str">
        <f aca="false">'Risk Score'!D4281</f>
        <v>Manager</v>
      </c>
      <c r="E219" s="7" t="n">
        <f aca="false">'Risk Score'!E4281</f>
        <v>0</v>
      </c>
      <c r="F219" s="7" t="n">
        <f aca="false">'Risk Score'!F4281</f>
        <v>0</v>
      </c>
      <c r="G219" s="7" t="n">
        <f aca="false">'Risk Score'!G4281</f>
        <v>3</v>
      </c>
      <c r="H219" s="7" t="n">
        <f aca="false">'Risk Score'!H4281</f>
        <v>4</v>
      </c>
      <c r="I219" s="7" t="n">
        <f aca="false">'Risk Score'!I4281</f>
        <v>6</v>
      </c>
    </row>
    <row r="220" customFormat="false" ht="15" hidden="false" customHeight="false" outlineLevel="0" collapsed="false">
      <c r="A220" s="7" t="n">
        <f aca="false">'Risk Score'!A4262</f>
        <v>4261</v>
      </c>
      <c r="B220" s="7" t="n">
        <f aca="false">'Risk Score'!B4262</f>
        <v>25</v>
      </c>
      <c r="C220" s="7" t="str">
        <f aca="false">'Risk Score'!C4262</f>
        <v>Research &amp; Development</v>
      </c>
      <c r="D220" s="7" t="str">
        <f aca="false">'Risk Score'!D4262</f>
        <v>Laboratory Technician</v>
      </c>
      <c r="E220" s="7" t="n">
        <f aca="false">'Risk Score'!E4262</f>
        <v>2</v>
      </c>
      <c r="F220" s="7" t="n">
        <f aca="false">'Risk Score'!F4262</f>
        <v>1</v>
      </c>
      <c r="G220" s="7" t="n">
        <f aca="false">'Risk Score'!G4262</f>
        <v>4</v>
      </c>
      <c r="H220" s="7" t="n">
        <f aca="false">'Risk Score'!H4262</f>
        <v>4</v>
      </c>
      <c r="I220" s="7" t="n">
        <f aca="false">'Risk Score'!I4262</f>
        <v>6</v>
      </c>
    </row>
    <row r="221" customFormat="false" ht="15" hidden="false" customHeight="false" outlineLevel="0" collapsed="false">
      <c r="A221" s="7" t="n">
        <f aca="false">'Risk Score'!A4256</f>
        <v>4255</v>
      </c>
      <c r="B221" s="7" t="n">
        <f aca="false">'Risk Score'!B4256</f>
        <v>20</v>
      </c>
      <c r="C221" s="7" t="str">
        <f aca="false">'Risk Score'!C4256</f>
        <v>Sales</v>
      </c>
      <c r="D221" s="7" t="str">
        <f aca="false">'Risk Score'!D4256</f>
        <v>Healthcare Representative</v>
      </c>
      <c r="E221" s="7" t="n">
        <f aca="false">'Risk Score'!E4256</f>
        <v>1</v>
      </c>
      <c r="F221" s="7" t="n">
        <f aca="false">'Risk Score'!F4256</f>
        <v>0</v>
      </c>
      <c r="G221" s="7" t="n">
        <f aca="false">'Risk Score'!G4256</f>
        <v>4</v>
      </c>
      <c r="H221" s="7" t="n">
        <f aca="false">'Risk Score'!H4256</f>
        <v>4</v>
      </c>
      <c r="I221" s="7" t="n">
        <f aca="false">'Risk Score'!I4256</f>
        <v>6</v>
      </c>
    </row>
    <row r="222" customFormat="false" ht="15" hidden="false" customHeight="false" outlineLevel="0" collapsed="false">
      <c r="A222" s="7" t="n">
        <f aca="false">'Risk Score'!A4282</f>
        <v>4281</v>
      </c>
      <c r="B222" s="7" t="n">
        <f aca="false">'Risk Score'!B4282</f>
        <v>22</v>
      </c>
      <c r="C222" s="7" t="str">
        <f aca="false">'Risk Score'!C4282</f>
        <v>Sales</v>
      </c>
      <c r="D222" s="7" t="str">
        <f aca="false">'Risk Score'!D4282</f>
        <v>Sales Executive</v>
      </c>
      <c r="E222" s="7" t="n">
        <f aca="false">'Risk Score'!E4282</f>
        <v>3</v>
      </c>
      <c r="F222" s="7" t="n">
        <f aca="false">'Risk Score'!F4282</f>
        <v>1</v>
      </c>
      <c r="G222" s="7" t="n">
        <f aca="false">'Risk Score'!G4282</f>
        <v>4</v>
      </c>
      <c r="H222" s="7" t="n">
        <f aca="false">'Risk Score'!H4282</f>
        <v>3</v>
      </c>
      <c r="I222" s="7" t="n">
        <f aca="false">'Risk Score'!I4282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2026-09-06T09:05:22Z</dcterms:created>
  <dc:creator>openpyxl</dc:creator>
  <dc:description/>
  <dc:language>en-US</dc:language>
  <cp:lastModifiedBy/>
  <dcterms:modified xsi:type="dcterms:W3CDTF">2026-09-06T09:07:00Z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